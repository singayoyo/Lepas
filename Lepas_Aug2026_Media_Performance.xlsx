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.xml" ContentType="application/vnd.openxmlformats-officedocument.spreadsheetml.comments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1" activeTab="1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_Trend" sheetId="3" state="visible" r:id="rId3"/>
    <sheet xmlns:r="http://schemas.openxmlformats.org/officeDocument/2006/relationships" name="Budget_Forecast" sheetId="4" state="visible" r:id="rId4"/>
    <sheet xmlns:r="http://schemas.openxmlformats.org/officeDocument/2006/relationships" name="Channel_Detail" sheetId="5" state="visible" r:id="rId5"/>
    <sheet xmlns:r="http://schemas.openxmlformats.org/officeDocument/2006/relationships" name="Campaign_AdSet" sheetId="6" state="visible" r:id="rId6"/>
    <sheet xmlns:r="http://schemas.openxmlformats.org/officeDocument/2006/relationships" name="Creative_Performance" sheetId="7" state="visible" r:id="rId7"/>
    <sheet xmlns:r="http://schemas.openxmlformats.org/officeDocument/2006/relationships" name="Creative_Fatigue" sheetId="8" state="visible" r:id="rId8"/>
    <sheet xmlns:r="http://schemas.openxmlformats.org/officeDocument/2006/relationships" name="Placements" sheetId="9" state="visible" r:id="rId9"/>
    <sheet xmlns:r="http://schemas.openxmlformats.org/officeDocument/2006/relationships" name="Demographics" sheetId="10" state="visible" r:id="rId10"/>
    <sheet xmlns:r="http://schemas.openxmlformats.org/officeDocument/2006/relationships" name="Location" sheetId="11" state="visible" r:id="rId11"/>
    <sheet xmlns:r="http://schemas.openxmlformats.org/officeDocument/2006/relationships" name="Devices_Apps" sheetId="12" state="visible" r:id="rId12"/>
    <sheet xmlns:r="http://schemas.openxmlformats.org/officeDocument/2006/relationships" name="Landing_Pages" sheetId="13" state="visible" r:id="rId13"/>
    <sheet xmlns:r="http://schemas.openxmlformats.org/officeDocument/2006/relationships" name="Raw_Data" sheetId="14" state="visible" r:id="rId14"/>
    <sheet xmlns:r="http://schemas.openxmlformats.org/officeDocument/2006/relationships" name="Assumptions" sheetId="15" state="visible" r:id="rId15"/>
    <sheet xmlns:r="http://schemas.openxmlformats.org/officeDocument/2006/relationships" name="QA_Checks" sheetId="16" state="visible" r:id="rId16"/>
  </sheets>
  <definedNames>
    <definedName name="_xlnm._FilterDatabase" localSheetId="3" hidden="1">'Budget_Forecast'!$A$1:$P$7</definedName>
    <definedName name="_xlnm._FilterDatabase" localSheetId="6" hidden="1">'Creative_Performance'!$A$4:$AL$58</definedName>
    <definedName name="_xlnm._FilterDatabase" localSheetId="7" hidden="1">'Creative_Fatigue'!$A$1:$AB$55</definedName>
    <definedName name="_xlnm._FilterDatabase" localSheetId="8" hidden="1">'Placements'!$A$4:$S$26</definedName>
    <definedName name="_xlnm._FilterDatabase" localSheetId="9" hidden="1">'Demographics'!$A$4:$U$220</definedName>
    <definedName name="_xlnm._FilterDatabase" localSheetId="10" hidden="1">'Location'!$A$4:$U$76</definedName>
    <definedName name="_xlnm._FilterDatabase" localSheetId="11" hidden="1">'Devices_Apps'!$A$4:$T$26</definedName>
    <definedName name="_xlnm._FilterDatabase" localSheetId="12" hidden="1">'Landing_Pages'!$A$4:$S$16</definedName>
    <definedName name="_xlnm._FilterDatabase" localSheetId="13" hidden="1">'Raw_Data'!$A$1:$AU$2552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\R\ #,##0;\(\R\ #,##0\);&quot;-&quot;"/>
    <numFmt numFmtId="165" formatCode="#,##0;\(#,##0\);&quot;-&quot;"/>
    <numFmt numFmtId="166" formatCode="0.00;\(0.00\);&quot;-&quot;"/>
    <numFmt numFmtId="167" formatCode="0.00%;\(0.00%\);&quot;-&quot;"/>
    <numFmt numFmtId="168" formatCode="\R\ #,##0.00;\(\R\ #,##0.00\);&quot;-&quot;"/>
    <numFmt numFmtId="169" formatCode="0.0%;\(0.0%\);&quot;-&quot;"/>
    <numFmt numFmtId="170" formatCode="yyyy\-mm\-dd"/>
    <numFmt numFmtId="171" formatCode="0&quot;/100&quot;"/>
    <numFmt numFmtId="172" formatCode="0.0&quot; sec&quot;"/>
    <numFmt numFmtId="173" formatCode="yyyy-mm-dd h:mm:ss"/>
    <numFmt numFmtId="174" formatCode="R#,##0"/>
    <numFmt numFmtId="175" formatCode="0.0"/>
    <numFmt numFmtId="176" formatCode="0.0%"/>
  </numFmts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F3251"/>
      <sz val="16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1"/>
    </font>
    <font>
      <name val="Arial"/>
      <family val="2"/>
      <b val="1"/>
      <sz val="9"/>
    </font>
    <font>
      <name val="Arial"/>
      <family val="2"/>
      <color rgb="FF0000FF"/>
      <sz val="9"/>
    </font>
    <font>
      <name val="Arial"/>
      <family val="2"/>
      <color rgb="FF008000"/>
      <sz val="9"/>
    </font>
    <font>
      <name val="Arial"/>
      <family val="2"/>
      <b val="1"/>
      <color rgb="FF595959"/>
      <sz val="8"/>
    </font>
    <font>
      <name val="Arial"/>
      <family val="2"/>
      <b val="1"/>
      <color rgb="FF1F3251"/>
      <sz val="20"/>
    </font>
    <font>
      <name val="Arial"/>
      <family val="2"/>
      <b val="1"/>
      <color rgb="FFC00000"/>
      <sz val="9"/>
    </font>
    <font>
      <name val="Arial"/>
      <family val="2"/>
      <color rgb="FFC00000"/>
      <sz val="9"/>
    </font>
    <font>
      <name val="Arial"/>
      <family val="2"/>
      <color rgb="FF0563C1"/>
      <sz val="9"/>
      <u val="single"/>
    </font>
    <font>
      <b val="1"/>
      <color rgb="00EEF8F6"/>
    </font>
    <font>
      <b val="1"/>
    </font>
  </fonts>
  <fills count="14">
    <fill>
      <patternFill/>
    </fill>
    <fill>
      <patternFill patternType="gray125"/>
    </fill>
    <fill>
      <patternFill patternType="solid">
        <fgColor rgb="FF1F3251"/>
      </patternFill>
    </fill>
    <fill>
      <patternFill patternType="solid">
        <fgColor rgb="FFEEF1F6"/>
      </patternFill>
    </fill>
    <fill>
      <patternFill patternType="solid">
        <fgColor rgb="FF3D5A8A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B8873B"/>
      </patternFill>
    </fill>
    <fill>
      <patternFill patternType="solid">
        <fgColor rgb="FFFFF2CC"/>
      </patternFill>
    </fill>
    <fill>
      <patternFill patternType="solid">
        <fgColor rgb="00071A1D"/>
      </patternFill>
    </fill>
    <fill>
      <patternFill patternType="solid">
        <fgColor rgb="00FFF4B8"/>
      </patternFill>
    </fill>
    <fill>
      <patternFill patternType="solid">
        <fgColor rgb="00DFF1E6"/>
      </patternFill>
    </fill>
    <fill>
      <patternFill patternType="solid">
        <fgColor rgb="00F6D6C4"/>
      </patternFill>
    </fill>
    <fill>
      <patternFill patternType="solid">
        <fgColor rgb="00EAF0F1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251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bottom style="thin">
        <color rgb="00D9E2E4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applyAlignment="1" pivotButton="0" quotePrefix="0" xfId="0">
      <alignment vertical="center" wrapText="1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pivotButton="0" quotePrefix="0" xfId="0"/>
    <xf numFmtId="165" fontId="2" fillId="0" borderId="1" pivotButton="0" quotePrefix="0" xfId="0"/>
    <xf numFmtId="166" fontId="2" fillId="0" borderId="1" applyAlignment="1" pivotButton="0" quotePrefix="0" xfId="0">
      <alignment horizontal="center" vertical="center"/>
    </xf>
    <xf numFmtId="167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0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166" fontId="6" fillId="5" borderId="1" applyAlignment="1" pivotButton="0" quotePrefix="0" xfId="0">
      <alignment horizontal="center" vertical="center"/>
    </xf>
    <xf numFmtId="167" fontId="6" fillId="5" borderId="1" pivotButton="0" quotePrefix="0" xfId="0"/>
    <xf numFmtId="168" fontId="6" fillId="5" borderId="1" pivotButton="0" quotePrefix="0" xfId="0"/>
    <xf numFmtId="169" fontId="6" fillId="5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70" fontId="6" fillId="0" borderId="1" pivotButton="0" quotePrefix="0" xfId="0"/>
    <xf numFmtId="0" fontId="11" fillId="0" borderId="1" applyAlignment="1" pivotButton="0" quotePrefix="0" xfId="0">
      <alignment horizontal="center" vertical="center"/>
    </xf>
    <xf numFmtId="164" fontId="8" fillId="0" borderId="1" pivotButton="0" quotePrefix="0" xfId="0"/>
    <xf numFmtId="165" fontId="8" fillId="0" borderId="1" pivotButton="0" quotePrefix="0" xfId="0"/>
    <xf numFmtId="0" fontId="2" fillId="5" borderId="1" pivotButton="0" quotePrefix="0" xfId="0"/>
    <xf numFmtId="17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pivotButton="0" quotePrefix="0" xfId="0"/>
    <xf numFmtId="166" fontId="6" fillId="5" borderId="1" pivotButton="0" quotePrefix="0" xfId="0"/>
    <xf numFmtId="167" fontId="12" fillId="0" borderId="1" pivotButton="0" quotePrefix="0" xfId="0"/>
    <xf numFmtId="171" fontId="2" fillId="0" borderId="1" applyAlignment="1" pivotButton="0" quotePrefix="0" xfId="0">
      <alignment horizontal="center" vertical="center"/>
    </xf>
    <xf numFmtId="0" fontId="13" fillId="0" borderId="1" pivotButton="0" quotePrefix="0" xfId="0"/>
    <xf numFmtId="172" fontId="2" fillId="0" borderId="1" applyAlignment="1" pivotButton="0" quotePrefix="0" xfId="0">
      <alignment horizontal="center" vertical="center"/>
    </xf>
    <xf numFmtId="170" fontId="2" fillId="3" borderId="0" pivotButton="0" quotePrefix="0" xfId="0"/>
    <xf numFmtId="0" fontId="2" fillId="3" borderId="0" pivotButton="0" quotePrefix="0" xfId="0"/>
    <xf numFmtId="168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69" fontId="2" fillId="3" borderId="0" pivotButton="0" quotePrefix="0" xfId="0"/>
    <xf numFmtId="164" fontId="2" fillId="3" borderId="0" pivotButton="0" quotePrefix="0" xfId="0"/>
    <xf numFmtId="170" fontId="2" fillId="0" borderId="0" pivotButton="0" quotePrefix="0" xfId="0"/>
    <xf numFmtId="168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9" fontId="2" fillId="0" borderId="0" pivotButton="0" quotePrefix="0" xfId="0"/>
    <xf numFmtId="164" fontId="2" fillId="0" borderId="0" pivotButton="0" quotePrefix="0" xfId="0"/>
    <xf numFmtId="164" fontId="7" fillId="0" borderId="1" pivotButton="0" quotePrefix="0" xfId="0"/>
    <xf numFmtId="164" fontId="6" fillId="5" borderId="2" pivotButton="0" quotePrefix="0" xfId="0"/>
    <xf numFmtId="169" fontId="8" fillId="0" borderId="1" pivotButton="0" quotePrefix="0" xfId="0"/>
    <xf numFmtId="0" fontId="4" fillId="0" borderId="1" applyAlignment="1" pivotButton="0" quotePrefix="0" xfId="0">
      <alignment horizontal="center" vertical="center"/>
    </xf>
    <xf numFmtId="169" fontId="7" fillId="6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2" fillId="6" borderId="1" pivotButton="0" quotePrefix="0" xfId="0"/>
    <xf numFmtId="168" fontId="8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6" fillId="8" borderId="0" pivotButton="0" quotePrefix="0" xfId="0"/>
    <xf numFmtId="0" fontId="2" fillId="8" borderId="0" pivotButton="0" quotePrefix="0" xfId="0"/>
    <xf numFmtId="0" fontId="3" fillId="0" borderId="0" pivotButton="0" quotePrefix="0" xfId="0"/>
    <xf numFmtId="0" fontId="9" fillId="3" borderId="0" applyAlignment="1" pivotButton="0" quotePrefix="0" xfId="0">
      <alignment horizontal="center"/>
    </xf>
    <xf numFmtId="0" fontId="0" fillId="3" borderId="0" pivotButton="0" quotePrefix="0" xfId="0"/>
    <xf numFmtId="165" fontId="10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8" borderId="0" pivotButton="0" quotePrefix="0" xfId="0"/>
    <xf numFmtId="0" fontId="2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1" pivotButton="0" quotePrefix="0" xfId="0"/>
    <xf numFmtId="0" fontId="15" fillId="0" borderId="0" pivotButton="0" quotePrefix="0" xfId="0"/>
    <xf numFmtId="0" fontId="0" fillId="0" borderId="0" applyAlignment="1" pivotButton="0" quotePrefix="0" xfId="0">
      <alignment wrapText="1"/>
    </xf>
    <xf numFmtId="164" fontId="10" fillId="3" borderId="0" applyAlignment="1" pivotButton="0" quotePrefix="0" xfId="0">
      <alignment horizontal="center" vertical="center"/>
    </xf>
    <xf numFmtId="165" fontId="10" fillId="3" borderId="0" applyAlignment="1" pivotButton="0" quotePrefix="0" xfId="0">
      <alignment horizontal="center" vertical="center"/>
    </xf>
    <xf numFmtId="164" fontId="2" fillId="0" borderId="1" pivotButton="0" quotePrefix="0" xfId="0"/>
    <xf numFmtId="165" fontId="2" fillId="0" borderId="1" pivotButton="0" quotePrefix="0" xfId="0"/>
    <xf numFmtId="166" fontId="2" fillId="0" borderId="1" applyAlignment="1" pivotButton="0" quotePrefix="0" xfId="0">
      <alignment horizontal="center" vertical="center"/>
    </xf>
    <xf numFmtId="167" fontId="2" fillId="0" borderId="1" pivotButton="0" quotePrefix="0" xfId="0"/>
    <xf numFmtId="168" fontId="2" fillId="0" borderId="1" pivotButton="0" quotePrefix="0" xfId="0"/>
    <xf numFmtId="164" fontId="6" fillId="5" borderId="1" pivotButton="0" quotePrefix="0" xfId="0"/>
    <xf numFmtId="165" fontId="6" fillId="5" borderId="1" pivotButton="0" quotePrefix="0" xfId="0"/>
    <xf numFmtId="166" fontId="6" fillId="5" borderId="1" applyAlignment="1" pivotButton="0" quotePrefix="0" xfId="0">
      <alignment horizontal="center" vertical="center"/>
    </xf>
    <xf numFmtId="167" fontId="6" fillId="5" borderId="1" pivotButton="0" quotePrefix="0" xfId="0"/>
    <xf numFmtId="168" fontId="6" fillId="5" borderId="1" pivotButton="0" quotePrefix="0" xfId="0"/>
    <xf numFmtId="170" fontId="6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7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14" fillId="9" borderId="7" applyAlignment="1" pivotButton="0" quotePrefix="0" xfId="0">
      <alignment vertical="center" wrapText="1"/>
    </xf>
    <xf numFmtId="0" fontId="0" fillId="0" borderId="7" pivotButton="0" quotePrefix="0" xfId="0"/>
    <xf numFmtId="173" fontId="0" fillId="0" borderId="7" pivotButton="0" quotePrefix="0" xfId="0"/>
    <xf numFmtId="174" fontId="0" fillId="0" borderId="7" pivotButton="0" quotePrefix="0" xfId="0"/>
    <xf numFmtId="175" fontId="0" fillId="0" borderId="7" pivotButton="0" quotePrefix="0" xfId="0"/>
    <xf numFmtId="176" fontId="0" fillId="0" borderId="7" pivotButton="0" quotePrefix="0" xfId="0"/>
    <xf numFmtId="175" fontId="0" fillId="10" borderId="7" pivotButton="0" quotePrefix="0" xfId="0"/>
    <xf numFmtId="0" fontId="0" fillId="10" borderId="7" pivotButton="0" quotePrefix="0" xfId="0"/>
    <xf numFmtId="175" fontId="0" fillId="11" borderId="7" pivotButton="0" quotePrefix="0" xfId="0"/>
    <xf numFmtId="0" fontId="0" fillId="11" borderId="7" pivotButton="0" quotePrefix="0" xfId="0"/>
    <xf numFmtId="166" fontId="2" fillId="0" borderId="1" pivotButton="0" quotePrefix="0" xfId="0"/>
    <xf numFmtId="166" fontId="6" fillId="5" borderId="1" pivotButton="0" quotePrefix="0" xfId="0"/>
    <xf numFmtId="167" fontId="12" fillId="0" borderId="1" pivotButton="0" quotePrefix="0" xfId="0"/>
    <xf numFmtId="170" fontId="2" fillId="3" borderId="0" pivotButton="0" quotePrefix="0" xfId="0"/>
    <xf numFmtId="168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64" fontId="2" fillId="3" borderId="0" pivotButton="0" quotePrefix="0" xfId="0"/>
    <xf numFmtId="170" fontId="2" fillId="0" borderId="0" pivotButton="0" quotePrefix="0" xfId="0"/>
    <xf numFmtId="168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164" fontId="7" fillId="0" borderId="1" pivotButton="0" quotePrefix="0" xfId="0"/>
    <xf numFmtId="164" fontId="6" fillId="5" borderId="2" pivotButton="0" quotePrefix="0" xfId="0"/>
    <xf numFmtId="168" fontId="8" fillId="0" borderId="1" pivotButton="0" quotePrefix="0" xfId="0"/>
    <xf numFmtId="174" fontId="0" fillId="0" borderId="7" pivotButton="0" quotePrefix="0" xfId="0"/>
    <xf numFmtId="1" fontId="0" fillId="0" borderId="7" pivotButton="0" quotePrefix="0" xfId="0"/>
    <xf numFmtId="176" fontId="0" fillId="0" borderId="7" pivotButton="0" quotePrefix="0" xfId="0"/>
    <xf numFmtId="174" fontId="0" fillId="11" borderId="7" pivotButton="0" quotePrefix="0" xfId="0"/>
    <xf numFmtId="174" fontId="0" fillId="10" borderId="7" pivotButton="0" quotePrefix="0" xfId="0"/>
    <xf numFmtId="0" fontId="0" fillId="12" borderId="7" pivotButton="0" quotePrefix="0" xfId="0"/>
    <xf numFmtId="174" fontId="0" fillId="12" borderId="7" pivotButton="0" quotePrefix="0" xfId="0"/>
    <xf numFmtId="0" fontId="15" fillId="0" borderId="7" pivotButton="0" quotePrefix="0" xfId="0"/>
    <xf numFmtId="174" fontId="15" fillId="0" borderId="7" pivotButton="0" quotePrefix="0" xfId="0"/>
    <xf numFmtId="1" fontId="15" fillId="0" borderId="7" pivotButton="0" quotePrefix="0" xfId="0"/>
    <xf numFmtId="176" fontId="15" fillId="0" borderId="7" pivotButton="0" quotePrefix="0" xfId="0"/>
    <xf numFmtId="0" fontId="15" fillId="13" borderId="7" pivotButton="0" quotePrefix="0" xfId="0"/>
    <xf numFmtId="174" fontId="15" fillId="13" borderId="7" pivotButton="0" quotePrefix="0" xfId="0"/>
    <xf numFmtId="175" fontId="0" fillId="0" borderId="7" pivotButton="0" quotePrefix="0" xfId="0"/>
    <xf numFmtId="175" fontId="0" fillId="10" borderId="7" pivotButton="0" quotePrefix="0" xfId="0"/>
    <xf numFmtId="175" fontId="0" fillId="11" borderId="7" pivotButton="0" quotePrefix="0" xfId="0"/>
  </cellXfs>
  <cellStyles count="1">
    <cellStyle name="Normal" xfId="0" builtinId="0"/>
  </cellStyles>
  <dxfs count="3">
    <dxf>
      <font>
        <name val="Arial"/>
        <b val="1"/>
        <color rgb="FF9C0006"/>
        <sz val="9"/>
      </font>
      <fill>
        <patternFill patternType="solid">
          <fgColor rgb="FFFFC7CE"/>
        </patternFill>
      </fill>
    </dxf>
    <dxf>
      <font>
        <name val="Arial"/>
        <b val="1"/>
        <color rgb="FF006100"/>
        <sz val="9"/>
      </font>
      <fill>
        <patternFill patternType="solid">
          <fgColor rgb="FFC6EFCE"/>
        </patternFill>
      </fill>
    </dxf>
    <dxf>
      <font>
        <name val="Arial"/>
        <b val="1"/>
        <color rgb="FF9C0006"/>
        <sz val="9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Lepas Reporting</author>
  </authors>
  <commentList>
    <comment ref="R1" authorId="0" shapeId="0">
      <text>
        <t>Spend, impressions, reach, clicks, video views, bookings, qualified leads, VTC and assisted conversions are the source ('actual') figures.
Every rate and cost metric on this sheet is a live formula off those columns - edit a source figure and the entire workbook recalculates.</t>
      </text>
    </comment>
  </commentList>
</comments>
</file>

<file path=xl/comments/comment2.xml><?xml version="1.0" encoding="utf-8"?>
<comments xmlns="http://schemas.openxmlformats.org/spreadsheetml/2006/main">
  <authors>
    <author>Lepas Reporting</author>
  </authors>
  <commentList>
    <comment ref="C26" authorId="0" shapeId="0">
      <text>
        <t>KEY ASSUMPTION. Est. Revenue Pipeline on Raw_Data column AU is:
  Qualified Leads x Attendance Rate x Close Rate x Model Retail Price
Change this cell to re-forecast the entire month.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B8873B"/>
    <outlinePr summaryBelow="1" summaryRight="1"/>
    <pageSetUpPr fitToPage="1"/>
  </sheetPr>
  <dimension ref="A1:F101"/>
  <sheetViews>
    <sheetView showGridLines="0" topLeftCell="A5" workbookViewId="0">
      <selection activeCell="A1" sqref="A1:F1"/>
    </sheetView>
  </sheetViews>
  <sheetFormatPr baseColWidth="10" defaultColWidth="8.83203125" defaultRowHeight="15"/>
  <cols>
    <col width="3" customWidth="1" style="67" min="1" max="1"/>
    <col width="34" customWidth="1" style="67" min="2" max="2"/>
    <col width="96" customWidth="1" style="67" min="3" max="3"/>
    <col width="20" customWidth="1" style="67" min="4" max="6"/>
  </cols>
  <sheetData>
    <row r="1" ht="24" customHeight="1" s="67">
      <c r="A1" s="71" t="inlineStr">
        <is>
          <t>Lepas South Africa  —  August 2026 Media Performance Workbook</t>
        </is>
      </c>
    </row>
    <row r="2">
      <c r="A2" s="68" t="inlineStr">
        <is>
          <t>Read me first.  Dummy / illustrative data built to the structure of live platform exports.  Not actual Lepas results.</t>
        </is>
      </c>
    </row>
    <row r="4" ht="18" customHeight="1" s="67">
      <c r="A4" s="2" t="inlineStr">
        <is>
          <t xml:space="preserve">  1.  WHAT THIS IS</t>
        </is>
      </c>
      <c r="B4" s="3" t="n"/>
      <c r="C4" s="3" t="n"/>
      <c r="D4" s="3" t="n"/>
      <c r="E4" s="3" t="n"/>
      <c r="F4" s="3" t="n"/>
    </row>
    <row r="5">
      <c r="B5" s="66" t="inlineStr">
        <is>
          <t>Campaign:        Lepas SA — August 2026, national.</t>
        </is>
      </c>
    </row>
    <row r="6">
      <c r="B6" s="66" t="inlineStr">
        <is>
          <t>Objective:       Test drive bookings. That is the single conversion in this workbook.</t>
        </is>
      </c>
    </row>
    <row r="7">
      <c r="B7" s="66" t="inlineStr">
        <is>
          <t>Conversion point: https://www.lepas-sa.co.za/offers  →  test drive booking form.</t>
        </is>
      </c>
    </row>
    <row r="8">
      <c r="B8" s="66" t="inlineStr">
        <is>
          <t>Models in market: AMUR (1.5 M/T), JAVAN (1.5T DCT), PANTERA (1.5T DCT), on 0% and 10% deposit offers.</t>
        </is>
      </c>
    </row>
    <row r="9">
      <c r="B9" s="66" t="inlineStr">
        <is>
          <t>Channels:        Meta (Facebook + Instagram), TikTok, X, Programmatic (DV360).</t>
        </is>
      </c>
    </row>
    <row r="10">
      <c r="B10" s="66" t="inlineStr">
        <is>
          <t>Total budget:    R400,000 excl. VAT, 1 – 31 August 2026.</t>
        </is>
      </c>
    </row>
    <row r="11">
      <c r="B11" s="66" t="inlineStr">
        <is>
          <t>Currency:        South African Rand (ZAR), excluding VAT.</t>
        </is>
      </c>
    </row>
    <row r="13">
      <c r="B13" s="69" t="inlineStr">
        <is>
          <t>ALL DATA IN THIS WORKBOOK IS SYNTHETIC. It is modelled on realistic South African automotive benchmarks so that it behaves like real data — but no figure here came from a live Lepas account. Replace Raw_Data with a genuine platform export and every other tab recalculates against it.</t>
        </is>
      </c>
    </row>
    <row r="16" ht="18" customHeight="1" s="67">
      <c r="A16" s="2" t="inlineStr">
        <is>
          <t xml:space="preserve">  2.  HOW THIS WORKBOOK IS WIRED</t>
        </is>
      </c>
      <c r="B16" s="3" t="n"/>
      <c r="C16" s="3" t="n"/>
      <c r="D16" s="3" t="n"/>
      <c r="E16" s="3" t="n"/>
      <c r="F16" s="3" t="n"/>
    </row>
    <row r="17">
      <c r="B17" s="66" t="inlineStr">
        <is>
          <t>•  Raw_Data is the single source of truth. 2,551 rows at Day x Channel x Campaign x Ad Set x Creative.</t>
        </is>
      </c>
    </row>
    <row r="18">
      <c r="B18" s="66" t="inlineStr">
        <is>
          <t>•  Every reporting tab is built on live SUMIFS formulas pointing at Raw_Data. Nothing is pasted or hardcoded.</t>
        </is>
      </c>
    </row>
    <row r="19">
      <c r="B19" s="66" t="inlineStr">
        <is>
          <t>•  Assumptions is the control panel. Change a blue cell — budget, vehicle price, close rate, CPL target — and the whole workbook re-forecasts.</t>
        </is>
      </c>
    </row>
    <row r="20">
      <c r="B20" s="66" t="inlineStr">
        <is>
          <t>•  QA_Checks proves the tabs reconcile. Open it after any edit; every row should read PASS.</t>
        </is>
      </c>
    </row>
    <row r="21">
      <c r="B21" s="66" t="inlineStr">
        <is>
          <t>•  Breakdown tabs (Placements, Demographics, Location, Devices_Apps, Landing_Pages) are separate aggregates, exactly as platform exports are — you cannot cross-tab age against creative in Meta or DV360 either. They tie to the same channel totals.</t>
        </is>
      </c>
    </row>
    <row r="24" ht="18" customHeight="1" s="67">
      <c r="A24" s="2" t="inlineStr">
        <is>
          <t xml:space="preserve">  3.  TAB GUIDE</t>
        </is>
      </c>
      <c r="B24" s="3" t="n"/>
      <c r="C24" s="3" t="n"/>
      <c r="D24" s="3" t="n"/>
      <c r="E24" s="3" t="n"/>
      <c r="F24" s="3" t="n"/>
    </row>
    <row r="25" ht="16" customHeight="1" s="67">
      <c r="A25" s="5" t="n"/>
      <c r="B25" s="5" t="inlineStr">
        <is>
          <t>Tab</t>
        </is>
      </c>
      <c r="C25" s="5" t="inlineStr">
        <is>
          <t>What it answers</t>
        </is>
      </c>
      <c r="D25" s="5" t="inlineStr">
        <is>
          <t>Rows</t>
        </is>
      </c>
      <c r="E25" s="5" t="inlineStr">
        <is>
          <t>Built from</t>
        </is>
      </c>
      <c r="F25" s="5" t="n"/>
    </row>
    <row r="26">
      <c r="B26" s="6" t="inlineStr">
        <is>
          <t>README</t>
        </is>
      </c>
      <c r="C26" s="78" t="inlineStr">
        <is>
          <t>You are here — definitions, method and caveats.</t>
        </is>
      </c>
      <c r="D26" s="8" t="inlineStr">
        <is>
          <t>—</t>
        </is>
      </c>
      <c r="E26" s="81" t="inlineStr">
        <is>
          <t>—</t>
        </is>
      </c>
    </row>
    <row r="27">
      <c r="B27" s="6" t="inlineStr">
        <is>
          <t>Summary</t>
        </is>
      </c>
      <c r="C27" s="78" t="inlineStr">
        <is>
          <t>Headline KPIs, then performance by channel, model, audience strategy and week.</t>
        </is>
      </c>
      <c r="D27" s="8" t="inlineStr">
        <is>
          <t>~30</t>
        </is>
      </c>
      <c r="E27" s="81" t="inlineStr">
        <is>
          <t>SUMIFS on Raw_Data</t>
        </is>
      </c>
    </row>
    <row r="28">
      <c r="B28" s="6" t="inlineStr">
        <is>
          <t>Daily_Trend</t>
        </is>
      </c>
      <c r="C28" s="78" t="inlineStr">
        <is>
          <t>Day-by-day delivery, cumulative pacing against the R400k plan, and per-channel spend / bookings / CPL.</t>
        </is>
      </c>
      <c r="D28" s="8" t="inlineStr">
        <is>
          <t>31</t>
        </is>
      </c>
      <c r="E28" s="81" t="inlineStr">
        <is>
          <t>SUMIFS on Raw_Data</t>
        </is>
      </c>
    </row>
    <row r="29">
      <c r="B29" s="6" t="inlineStr">
        <is>
          <t>Channel_Detail</t>
        </is>
      </c>
      <c r="C29" s="78" t="inlineStr">
        <is>
          <t>Each channel cut by week, by model and by audience strategy.</t>
        </is>
      </c>
      <c r="D29" s="8" t="inlineStr">
        <is>
          <t>64</t>
        </is>
      </c>
      <c r="E29" s="81" t="inlineStr">
        <is>
          <t>SUMIFS on Raw_Data</t>
        </is>
      </c>
    </row>
    <row r="30">
      <c r="B30" s="6" t="inlineStr">
        <is>
          <t>Campaign_AdSet</t>
        </is>
      </c>
      <c r="C30" s="78" t="inlineStr">
        <is>
          <t>Campaign roll-up, then every ad set / line item.</t>
        </is>
      </c>
      <c r="D30" s="8" t="inlineStr">
        <is>
          <t>12+31</t>
        </is>
      </c>
      <c r="E30" s="81" t="inlineStr">
        <is>
          <t>SUMIFS on Raw_Data</t>
        </is>
      </c>
    </row>
    <row r="31">
      <c r="B31" s="6" t="inlineStr">
        <is>
          <t>Creative_Performance</t>
        </is>
      </c>
      <c r="C31" s="78" t="inlineStr">
        <is>
          <t>Every asset, its flight window, funnel efficiency and video engagement.</t>
        </is>
      </c>
      <c r="D31" s="8" t="inlineStr">
        <is>
          <t>54</t>
        </is>
      </c>
      <c r="E31" s="81" t="inlineStr">
        <is>
          <t>SUMIFS on Raw_Data</t>
        </is>
      </c>
    </row>
    <row r="32">
      <c r="B32" s="6" t="inlineStr">
        <is>
          <t>Placements</t>
        </is>
      </c>
      <c r="C32" s="78" t="inlineStr">
        <is>
          <t>Where impressions served, indexed against each channel's own average.</t>
        </is>
      </c>
      <c r="D32" s="8" t="inlineStr">
        <is>
          <t>22</t>
        </is>
      </c>
      <c r="E32" s="81" t="inlineStr">
        <is>
          <t>Platform placement export</t>
        </is>
      </c>
    </row>
    <row r="33">
      <c r="B33" s="6" t="inlineStr">
        <is>
          <t>Demographics</t>
        </is>
      </c>
      <c r="C33" s="78" t="inlineStr">
        <is>
          <t>Age band x gender per campaign.</t>
        </is>
      </c>
      <c r="D33" s="8" t="inlineStr">
        <is>
          <t>216</t>
        </is>
      </c>
      <c r="E33" s="81" t="inlineStr">
        <is>
          <t>Platform demo export</t>
        </is>
      </c>
    </row>
    <row r="34">
      <c r="B34" s="6" t="inlineStr">
        <is>
          <t>Location</t>
        </is>
      </c>
      <c r="C34" s="78" t="inlineStr">
        <is>
          <t>Province and metro / non-metro, indexed to dealer density.</t>
        </is>
      </c>
      <c r="D34" s="8" t="inlineStr">
        <is>
          <t>72</t>
        </is>
      </c>
      <c r="E34" s="81" t="inlineStr">
        <is>
          <t>Platform geo export</t>
        </is>
      </c>
    </row>
    <row r="35">
      <c r="B35" s="6" t="inlineStr">
        <is>
          <t>Devices_Apps</t>
        </is>
      </c>
      <c r="C35" s="78" t="inlineStr">
        <is>
          <t>Device and OS split, plus the app / domain inventory with viewability, IVT and brand safety.</t>
        </is>
      </c>
      <c r="D35" s="8" t="inlineStr">
        <is>
          <t>22+25</t>
        </is>
      </c>
      <c r="E35" s="81" t="inlineStr">
        <is>
          <t>Platform + DV360 export</t>
        </is>
      </c>
    </row>
    <row r="36">
      <c r="B36" s="6" t="inlineStr">
        <is>
          <t>Landing_Pages</t>
        </is>
      </c>
      <c r="C36" s="78" t="inlineStr">
        <is>
          <t>On-site behaviour per destination URL: sessions, bounce, form starts and completions.</t>
        </is>
      </c>
      <c r="D36" s="8" t="inlineStr">
        <is>
          <t>12</t>
        </is>
      </c>
      <c r="E36" s="81" t="inlineStr">
        <is>
          <t>Analytics export</t>
        </is>
      </c>
    </row>
    <row r="37">
      <c r="B37" s="6" t="inlineStr">
        <is>
          <t>Raw_Data</t>
        </is>
      </c>
      <c r="C37" s="78" t="inlineStr">
        <is>
          <t>The fact table. Filter it, pivot it, replace it.</t>
        </is>
      </c>
      <c r="D37" s="8" t="inlineStr">
        <is>
          <t>2,551</t>
        </is>
      </c>
      <c r="E37" s="81" t="inlineStr">
        <is>
          <t>Source</t>
        </is>
      </c>
    </row>
    <row r="38">
      <c r="B38" s="6" t="inlineStr">
        <is>
          <t>Assumptions</t>
        </is>
      </c>
      <c r="C38" s="78" t="inlineStr">
        <is>
          <t>Control panel — budgets, prices, rates, benchmarks, calendar flags.</t>
        </is>
      </c>
      <c r="D38" s="8" t="inlineStr">
        <is>
          <t>—</t>
        </is>
      </c>
      <c r="E38" s="81" t="inlineStr">
        <is>
          <t>Inputs</t>
        </is>
      </c>
    </row>
    <row r="39">
      <c r="B39" s="6" t="inlineStr">
        <is>
          <t>QA_Checks</t>
        </is>
      </c>
      <c r="C39" s="78" t="inlineStr">
        <is>
          <t>Reconciliation between every tab and Raw_Data.</t>
        </is>
      </c>
      <c r="D39" s="8" t="inlineStr">
        <is>
          <t>24</t>
        </is>
      </c>
      <c r="E39" s="81" t="inlineStr">
        <is>
          <t>Cross-tab formulas</t>
        </is>
      </c>
    </row>
    <row r="42" ht="18" customHeight="1" s="67">
      <c r="A42" s="2" t="inlineStr">
        <is>
          <t xml:space="preserve">  4.  DATA DICTIONARY</t>
        </is>
      </c>
      <c r="B42" s="3" t="n"/>
      <c r="C42" s="3" t="n"/>
      <c r="D42" s="3" t="n"/>
      <c r="E42" s="3" t="n"/>
      <c r="F42" s="3" t="n"/>
    </row>
    <row r="43" ht="16" customHeight="1" s="67">
      <c r="A43" s="5" t="n"/>
      <c r="B43" s="5" t="inlineStr">
        <is>
          <t>Metric</t>
        </is>
      </c>
      <c r="C43" s="5" t="inlineStr">
        <is>
          <t>Definition</t>
        </is>
      </c>
      <c r="D43" s="5" t="n"/>
      <c r="E43" s="5" t="n"/>
      <c r="F43" s="5" t="n"/>
    </row>
    <row r="44" ht="14" customHeight="1" s="67">
      <c r="B44" s="6" t="inlineStr">
        <is>
          <t>Spend (ZAR)</t>
        </is>
      </c>
      <c r="C44" s="10" t="inlineStr">
        <is>
          <t>Media cost, excluding VAT and agency fee.</t>
        </is>
      </c>
    </row>
    <row r="45" ht="14" customHeight="1" s="67">
      <c r="B45" s="6" t="inlineStr">
        <is>
          <t>Impressions</t>
        </is>
      </c>
      <c r="C45" s="10" t="inlineStr">
        <is>
          <t>Times an ad was rendered. Not unique people.</t>
        </is>
      </c>
    </row>
    <row r="46" ht="26" customHeight="1" s="67">
      <c r="B46" s="6" t="inlineStr">
        <is>
          <t>Reach (sum of daily)</t>
        </is>
      </c>
      <c r="C46" s="10" t="inlineStr">
        <is>
          <t>Unique people reached, de-duplicated WITHIN a day. Summing 31 days overstates true monthly unique reach — treat as a delivery indicator, not a reach figure.</t>
        </is>
      </c>
    </row>
    <row r="47" ht="14" customHeight="1" s="67">
      <c r="B47" s="6" t="inlineStr">
        <is>
          <t>Avg Daily Frequency</t>
        </is>
      </c>
      <c r="C47" s="10" t="inlineStr">
        <is>
          <t>Impressions ÷ sum of daily reach. Average times a person saw an ad per day, not across the month.</t>
        </is>
      </c>
    </row>
    <row r="48" ht="14" customHeight="1" s="67">
      <c r="B48" s="6" t="inlineStr">
        <is>
          <t>Clicks (All)</t>
        </is>
      </c>
      <c r="C48" s="10" t="inlineStr">
        <is>
          <t>Every click, including profile taps, expands and reactions.</t>
        </is>
      </c>
    </row>
    <row r="49" ht="14" customHeight="1" s="67">
      <c r="B49" s="6" t="inlineStr">
        <is>
          <t>Link Clicks</t>
        </is>
      </c>
      <c r="C49" s="10" t="inlineStr">
        <is>
          <t>Clicks that requested the destination URL. The number that matters.</t>
        </is>
      </c>
    </row>
    <row r="50" ht="14" customHeight="1" s="67">
      <c r="B50" s="6" t="inlineStr">
        <is>
          <t>CTR (Link)</t>
        </is>
      </c>
      <c r="C50" s="10" t="inlineStr">
        <is>
          <t>Link Clicks ÷ Impressions.</t>
        </is>
      </c>
    </row>
    <row r="51" ht="14" customHeight="1" s="67">
      <c r="B51" s="6" t="inlineStr">
        <is>
          <t>CPC (Link)</t>
        </is>
      </c>
      <c r="C51" s="10" t="inlineStr">
        <is>
          <t>Spend ÷ Link Clicks.</t>
        </is>
      </c>
    </row>
    <row r="52" ht="14" customHeight="1" s="67">
      <c r="B52" s="6" t="inlineStr">
        <is>
          <t>CPM</t>
        </is>
      </c>
      <c r="C52" s="10" t="inlineStr">
        <is>
          <t>Spend ÷ Impressions × 1,000. Cost to reach a thousand impressions.</t>
        </is>
      </c>
    </row>
    <row r="53" ht="26" customHeight="1" s="67">
      <c r="B53" s="6" t="inlineStr">
        <is>
          <t>Landing Page Views</t>
        </is>
      </c>
      <c r="C53" s="10" t="inlineStr">
        <is>
          <t>Sessions where the page actually rendered. Always lower than link clicks — the gap is bounce-before-load, and it is a site speed problem, not a media one.</t>
        </is>
      </c>
    </row>
    <row r="54" ht="14" customHeight="1" s="67">
      <c r="B54" s="6" t="inlineStr">
        <is>
          <t>LPV Rate</t>
        </is>
      </c>
      <c r="C54" s="10" t="inlineStr">
        <is>
          <t>Landing Page Views ÷ Link Clicks. Below ~75% points at page load time.</t>
        </is>
      </c>
    </row>
    <row r="55" ht="14" customHeight="1" s="67">
      <c r="B55" s="6" t="inlineStr">
        <is>
          <t>Video Views 3s / 6s</t>
        </is>
      </c>
      <c r="C55" s="10" t="inlineStr">
        <is>
          <t>Views reaching 3 and 6 seconds. 3s is the hook test.</t>
        </is>
      </c>
    </row>
    <row r="56" ht="26" customHeight="1" s="67">
      <c r="B56" s="6" t="inlineStr">
        <is>
          <t>Video 25 / 50 / 75 / 100%</t>
        </is>
      </c>
      <c r="C56" s="10" t="inlineStr">
        <is>
          <t>Quartile completions. CTV runs near-100% because it is non-skippable — do not benchmark it against social.</t>
        </is>
      </c>
    </row>
    <row r="57" ht="14" customHeight="1" s="67">
      <c r="B57" s="6" t="inlineStr">
        <is>
          <t>Hook Rate (3s)</t>
        </is>
      </c>
      <c r="C57" s="10" t="inlineStr">
        <is>
          <t>3-second views ÷ Impressions. Did the first frame stop the scroll.</t>
        </is>
      </c>
    </row>
    <row r="58" ht="14" customHeight="1" s="67">
      <c r="B58" s="6" t="inlineStr">
        <is>
          <t>Video Completion Rate</t>
        </is>
      </c>
      <c r="C58" s="10" t="inlineStr">
        <is>
          <t>100% views ÷ Impressions.</t>
        </is>
      </c>
    </row>
    <row r="59" ht="14" customHeight="1" s="67">
      <c r="B59" s="6" t="inlineStr">
        <is>
          <t>Engagements</t>
        </is>
      </c>
      <c r="C59" s="10" t="inlineStr">
        <is>
          <t>Reactions, comments, shares, saves and follows.</t>
        </is>
      </c>
    </row>
    <row r="60" ht="26" customHeight="1" s="67">
      <c r="B60" s="6" t="inlineStr">
        <is>
          <t>Test Drive Bookings</t>
        </is>
      </c>
      <c r="C60" s="10" t="inlineStr">
        <is>
          <t>THE CONVERSION. A completed test drive booking form on lepas-sa.co.za. Last-click, in-platform attribution.</t>
        </is>
      </c>
    </row>
    <row r="61" ht="26" customHeight="1" s="67">
      <c r="B61" s="6" t="inlineStr">
        <is>
          <t>CVR (Booking / LPV)</t>
        </is>
      </c>
      <c r="C61" s="10" t="inlineStr">
        <is>
          <t>Test Drive Bookings ÷ Landing Page Views. The landing page's own conversion rate, isolated from media efficiency.</t>
        </is>
      </c>
    </row>
    <row r="62" ht="14" customHeight="1" s="67">
      <c r="B62" s="6" t="inlineStr">
        <is>
          <t>CPL (Cost / Booking)</t>
        </is>
      </c>
      <c r="C62" s="10" t="inlineStr">
        <is>
          <t>Spend ÷ Test Drive Bookings. The headline efficiency metric. Target is set on Assumptions.</t>
        </is>
      </c>
    </row>
    <row r="63" ht="26" customHeight="1" s="67">
      <c r="B63" s="6" t="inlineStr">
        <is>
          <t>Qualified Leads</t>
        </is>
      </c>
      <c r="C63" s="10" t="inlineStr">
        <is>
          <t>Bookings passing dealer validation — contactable number, serviceable area, genuine intent. Rejects duplicates and junk.</t>
        </is>
      </c>
    </row>
    <row r="64" ht="14" customHeight="1" s="67">
      <c r="B64" s="6" t="inlineStr">
        <is>
          <t>Qualified Rate</t>
        </is>
      </c>
      <c r="C64" s="10" t="inlineStr">
        <is>
          <t>Qualified Leads ÷ Test Drive Bookings. Lead quality, separate from lead cost.</t>
        </is>
      </c>
    </row>
    <row r="65" ht="14" customHeight="1" s="67">
      <c r="B65" s="6" t="inlineStr">
        <is>
          <t>Cost per Qualified Lead</t>
        </is>
      </c>
      <c r="C65" s="10" t="inlineStr">
        <is>
          <t>Spend ÷ Qualified Leads. A channel can win on CPL and lose here — always read the pair together.</t>
        </is>
      </c>
    </row>
    <row r="66" ht="26" customHeight="1" s="67">
      <c r="B66" s="6" t="inlineStr">
        <is>
          <t>View-Through Conversions</t>
        </is>
      </c>
      <c r="C66" s="10" t="inlineStr">
        <is>
          <t>Bookings from people who saw but never clicked, inside the view-through window. High on Programmatic and CTV by design.</t>
        </is>
      </c>
    </row>
    <row r="67" ht="26" customHeight="1" s="67">
      <c r="B67" s="6" t="inlineStr">
        <is>
          <t>Assisted Conversions</t>
        </is>
      </c>
      <c r="C67" s="10" t="inlineStr">
        <is>
          <t>Bookings where the channel appeared in the path but was not last click. The argument for upper-funnel budget.</t>
        </is>
      </c>
    </row>
    <row r="68" ht="14" customHeight="1" s="67">
      <c r="B68" s="6" t="inlineStr">
        <is>
          <t>Total Attributed Conv.</t>
        </is>
      </c>
      <c r="C68" s="10" t="inlineStr">
        <is>
          <t>Bookings + View-Through. Do NOT sum this across channels — it double-counts.</t>
        </is>
      </c>
    </row>
    <row r="69" ht="26" customHeight="1" s="67">
      <c r="B69" s="6" t="inlineStr">
        <is>
          <t>Est. Revenue Pipeline</t>
        </is>
      </c>
      <c r="C69" s="10" t="inlineStr">
        <is>
          <t>Qualified Leads × attendance rate × close rate × model retail price. A modelled forecast off Assumptions, not booked revenue.</t>
        </is>
      </c>
    </row>
    <row r="70" ht="26" customHeight="1" s="67">
      <c r="B70" s="6" t="inlineStr">
        <is>
          <t>CPL Index vs Channel Avg</t>
        </is>
      </c>
      <c r="C70" s="10" t="inlineStr">
        <is>
          <t>This row's CPL ÷ its own channel's average CPL. Above 1.00 is worse than the channel norm. Lets you compare a placement to its channel rather than to an unrelated channel.</t>
        </is>
      </c>
    </row>
    <row r="71" ht="14" customHeight="1" s="67">
      <c r="B71" s="6" t="inlineStr">
        <is>
          <t>Pacing Index</t>
        </is>
      </c>
      <c r="C71" s="10" t="inlineStr">
        <is>
          <t>Budget consumed ÷ month elapsed. 1.00 is exactly on pace; above 1.00 is front-loaded.</t>
        </is>
      </c>
    </row>
    <row r="72" ht="14" customHeight="1" s="67">
      <c r="B72" s="6" t="inlineStr">
        <is>
          <t>Viewability</t>
        </is>
      </c>
      <c r="C72" s="10" t="inlineStr">
        <is>
          <t>Share of impressions meeting the MRC viewable standard.</t>
        </is>
      </c>
    </row>
    <row r="73" ht="14" customHeight="1" s="67">
      <c r="B73" s="6" t="inlineStr">
        <is>
          <t>IVT / Invalid Traffic</t>
        </is>
      </c>
      <c r="C73" s="10" t="inlineStr">
        <is>
          <t>Invalid traffic share. Above 2.00% is flagged red and should go on the exclusion list.</t>
        </is>
      </c>
    </row>
    <row r="74" ht="14" customHeight="1" s="67">
      <c r="B74" s="6" t="inlineStr">
        <is>
          <t>Brand Safety Score</t>
        </is>
      </c>
      <c r="C74" s="10" t="inlineStr">
        <is>
          <t>Inventory quality rating out of 100.</t>
        </is>
      </c>
    </row>
    <row r="77" ht="18" customHeight="1" s="67">
      <c r="A77" s="2" t="inlineStr">
        <is>
          <t xml:space="preserve">  5.  HOW THE DUMMY DATA WAS MODELLED</t>
        </is>
      </c>
      <c r="B77" s="3" t="n"/>
      <c r="C77" s="3" t="n"/>
      <c r="D77" s="3" t="n"/>
      <c r="E77" s="3" t="n"/>
      <c r="F77" s="3" t="n"/>
    </row>
    <row r="78">
      <c r="B78" s="66" t="inlineStr">
        <is>
          <t>•  Spend was allocated bottom-up by ad set and creative weight, then normalised so each channel hits its budget to the cent.</t>
        </is>
      </c>
    </row>
    <row r="79">
      <c r="B79" s="66" t="inlineStr">
        <is>
          <t>•  The funnel is derived, not invented: spend → impressions (via CPM) → link clicks (via CTR) → landing page views (via LPV rate) → bookings (via CVR). Change any input and the chain holds.</t>
        </is>
      </c>
    </row>
    <row r="80">
      <c r="B80" s="66" t="inlineStr">
        <is>
          <t>•  Daily volume follows a Thursday-to-Sunday curve, because that is when South Africans book test drives. Women's Day (observed 10 August) is indexed up.</t>
        </is>
      </c>
    </row>
    <row r="81">
      <c r="B81" s="66" t="inlineStr">
        <is>
          <t>•  Creatives fatigue: CTR and CVR decay roughly 1.1% per day of a creative's flight, floored at 72%. The 13 August refresh wave resets it.</t>
        </is>
      </c>
    </row>
    <row r="82">
      <c r="B82" s="66" t="inlineStr">
        <is>
          <t>•  Retargeting audiences convert ~1.85x prospecting; lookalikes ~1.28x. Frequency climbs through the month.</t>
        </is>
      </c>
    </row>
    <row r="83">
      <c r="B83" s="66" t="inlineStr">
        <is>
          <t>•  Sub-1.0 daily conversions are rounded stochastically, not to the nearest integer — otherwise thin channels like Programmatic would floor to zero and understate by an order of magnitude.</t>
        </is>
      </c>
    </row>
    <row r="84">
      <c r="B84" s="66" t="inlineStr">
        <is>
          <t>•  Full benchmark ranges, calendar flags and rate assumptions are on the Assumptions tab.</t>
        </is>
      </c>
    </row>
    <row r="87" ht="18" customHeight="1" s="67">
      <c r="A87" s="2" t="inlineStr">
        <is>
          <t xml:space="preserve">  6.  READ THIS BEFORE YOU QUOTE ANY NUMBER</t>
        </is>
      </c>
      <c r="B87" s="3" t="n"/>
      <c r="C87" s="3" t="n"/>
      <c r="D87" s="3" t="n"/>
      <c r="E87" s="3" t="n"/>
      <c r="F87" s="3" t="n"/>
    </row>
    <row r="88">
      <c r="B88" s="70" t="inlineStr">
        <is>
          <t>•  The data is synthetic. Useful for building reports, testing dashboards, training and presenting structure — not for stating Lepas performance.</t>
        </is>
      </c>
    </row>
    <row r="89">
      <c r="B89" s="66" t="inlineStr">
        <is>
          <t>•  Attribution is last-click in-platform. Every platform marks its own homework, so channel bookings summed across platforms will exceed what analytics reports.</t>
        </is>
      </c>
    </row>
    <row r="90">
      <c r="B90" s="66" t="inlineStr">
        <is>
          <t>•  View-through and assisted conversions overlap with last-click bookings. Never add all three together.</t>
        </is>
      </c>
    </row>
    <row r="91">
      <c r="B91" s="66" t="inlineStr">
        <is>
          <t>•  Reach does not sum across days, channels or breakdowns.</t>
        </is>
      </c>
    </row>
    <row r="92">
      <c r="B92" s="66" t="inlineStr">
        <is>
          <t>•  Est. Revenue Pipeline is a forecast built on assumed attendance and close rates. Replace those two cells with dealer network actuals before it goes anywhere near a finance conversation.</t>
        </is>
      </c>
    </row>
    <row r="95">
      <c r="B95" s="68" t="inlineStr">
        <is>
          <t>Workbook generated 2026-09-10  |  Reporting period 2026-08-01 to 2026-08-31  |  2,551 raw rows  |  14 tabs</t>
        </is>
      </c>
    </row>
    <row r="97">
      <c r="A97" s="82" t="inlineStr">
        <is>
          <t xml:space="preserve">  8.  CREATIVE FATIGUE TAB</t>
        </is>
      </c>
    </row>
    <row r="98">
      <c r="A98" s="83" t="inlineStr">
        <is>
          <t>Creative_Fatigue derives first/latest 3-day CTR, CPL decay, creative frequency, thumb-stop, hold rate, watch-depth proxy, engagement proxy, message territory and a CMO refresh decision from Raw_Data.</t>
        </is>
      </c>
    </row>
    <row r="100">
      <c r="A100" s="82" t="inlineStr">
        <is>
          <t xml:space="preserve">  9.  BUDGET FORECAST TAB</t>
        </is>
      </c>
    </row>
    <row r="101">
      <c r="A101" s="83" t="inlineStr">
        <is>
          <t>Budget_Forecast derives planned daily spend, actual daily spend, spend variance, required run-rate, forecast bookings/CPL/qualified leads, reallocation recommendation and recommended next-month budget from Raw_Data and Assumptions budget controls.</t>
        </is>
      </c>
    </row>
  </sheetData>
  <mergeCells count="27">
    <mergeCell ref="B91:F91"/>
    <mergeCell ref="B7:F7"/>
    <mergeCell ref="B81:F81"/>
    <mergeCell ref="B90:F90"/>
    <mergeCell ref="B18:F18"/>
    <mergeCell ref="B21:F21"/>
    <mergeCell ref="A2:F2"/>
    <mergeCell ref="B11:F11"/>
    <mergeCell ref="B8:F8"/>
    <mergeCell ref="B17:F17"/>
    <mergeCell ref="B88:F88"/>
    <mergeCell ref="B13:F13"/>
    <mergeCell ref="B82:F82"/>
    <mergeCell ref="B78:F78"/>
    <mergeCell ref="B10:F10"/>
    <mergeCell ref="B19:F19"/>
    <mergeCell ref="B84:F84"/>
    <mergeCell ref="B9:F9"/>
    <mergeCell ref="B92:F92"/>
    <mergeCell ref="B83:F83"/>
    <mergeCell ref="B6:F6"/>
    <mergeCell ref="B20:F20"/>
    <mergeCell ref="A1:F1"/>
    <mergeCell ref="B89:F89"/>
    <mergeCell ref="B5:F5"/>
    <mergeCell ref="B80:F80"/>
    <mergeCell ref="B79:F79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1F3251"/>
    <outlinePr summaryBelow="1" summaryRight="1"/>
    <pageSetUpPr fitToPage="1"/>
  </sheetPr>
  <dimension ref="A1:Y45"/>
  <sheetViews>
    <sheetView showGridLines="0"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0" customWidth="1" style="67" min="1" max="1"/>
    <col width="14" customWidth="1" style="67" min="2" max="2"/>
    <col width="13" customWidth="1" style="67" min="3" max="3"/>
    <col width="15" customWidth="1" style="67" min="4" max="4"/>
    <col width="12" customWidth="1" style="67" min="5" max="6"/>
    <col width="10" customWidth="1" style="67" min="7" max="7"/>
    <col width="11" customWidth="1" style="67" min="8" max="9"/>
    <col width="13" customWidth="1" style="67" min="10" max="10"/>
    <col width="10" customWidth="1" style="67" min="11" max="11"/>
    <col width="13" customWidth="1" style="67" min="12" max="12"/>
    <col width="12" customWidth="1" style="67" min="13" max="13"/>
    <col width="13" customWidth="1" style="67" min="14" max="14"/>
    <col width="11" customWidth="1" style="67" min="15" max="15"/>
    <col width="10" customWidth="1" style="67" min="16" max="16"/>
    <col width="14" customWidth="1" style="67" min="17" max="17"/>
    <col width="12" customWidth="1" style="67" min="18" max="19"/>
    <col width="13" customWidth="1" style="67" min="20" max="20"/>
    <col width="18" customWidth="1" style="67" min="21" max="21"/>
    <col width="10" customWidth="1" style="67" min="22" max="22"/>
    <col width="11" customWidth="1" style="67" min="23" max="23"/>
  </cols>
  <sheetData>
    <row r="1" ht="24" customHeight="1" s="67">
      <c r="A1" s="71" t="inlineStr">
        <is>
          <t>Lepas South Africa  —  August 2026 Media Performance</t>
        </is>
      </c>
    </row>
    <row r="2">
      <c r="A2" s="68" t="inlineStr">
        <is>
          <t>Campaign objective: Test Drive Bookings  |  Conversion point: lepas-sa.co.za/offers  |  All figures in ZAR, excl. VAT  |  Every cell below is a live formula over Raw_Data.</t>
        </is>
      </c>
    </row>
    <row r="4" ht="18" customHeight="1" s="67">
      <c r="A4" s="2" t="inlineStr">
        <is>
          <t xml:space="preserve">  HEADLINE — MONTH TO DATE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B5" s="72" t="inlineStr">
        <is>
          <t>TOTAL MEDIA SPEND</t>
        </is>
      </c>
      <c r="E5" s="72" t="inlineStr">
        <is>
          <t>IMPRESSIONS</t>
        </is>
      </c>
      <c r="H5" s="72" t="inlineStr">
        <is>
          <t>LINK CLICKS</t>
        </is>
      </c>
      <c r="K5" s="72" t="inlineStr">
        <is>
          <t>TEST DRIVE BOOKINGS</t>
        </is>
      </c>
      <c r="N5" s="72" t="inlineStr">
        <is>
          <t>BLENDED CPL</t>
        </is>
      </c>
      <c r="Q5" s="72" t="inlineStr">
        <is>
          <t>QUALIFIED BOOKINGS</t>
        </is>
      </c>
      <c r="T5" s="72" t="inlineStr">
        <is>
          <t>COST / QUALIFIED</t>
        </is>
      </c>
      <c r="W5" s="72" t="inlineStr">
        <is>
          <t>EST. REVENUE PIPELINE</t>
        </is>
      </c>
    </row>
    <row r="6" ht="30" customHeight="1" s="67">
      <c r="B6" s="84">
        <f>SUM(Raw_Data!$R$2:$R$2552)</f>
        <v/>
      </c>
      <c r="E6" s="85">
        <f>SUM(Raw_Data!$S$2:$S$2552)</f>
        <v/>
      </c>
      <c r="H6" s="85">
        <f>SUM(Raw_Data!$W$2:$W$2552)</f>
        <v/>
      </c>
      <c r="K6" s="85">
        <f>SUM(Raw_Data!$AL$2:$AL$2552)</f>
        <v/>
      </c>
      <c r="N6" s="84">
        <f>IFERROR(B6/K6,"")</f>
        <v/>
      </c>
      <c r="Q6" s="85">
        <f>SUM(Raw_Data!$AO$2:$AO$2552)</f>
        <v/>
      </c>
      <c r="T6" s="84">
        <f>IFERROR(B6/Q6,"")</f>
        <v/>
      </c>
      <c r="W6" s="84">
        <f>SUM(Raw_Data!$AU$2:$AU$2552)</f>
        <v/>
      </c>
    </row>
    <row r="8">
      <c r="B8" s="76">
        <f>IF(N6&lt;=Assumptions!$C$29,"ON TARGET — blended CPL of R"&amp;TEXT(N6,"#,##0")&amp;" is at or under the R"&amp;TEXT(Assumptions!$C$29,"#,##0")&amp;" KPI","OVER TARGET — blended CPL of R"&amp;TEXT(N6,"#,##0")&amp;" vs the R"&amp;TEXT(Assumptions!$C$29,"#,##0")&amp;" KPI")</f>
        <v/>
      </c>
    </row>
    <row r="9">
      <c r="B9" s="68">
        <f>"Return on media: every R1 of spend is modelled to return R"&amp;TEXT(IFERROR(W6/B6,0),"#,##0.00")&amp;" of vehicle revenue pipeline "&amp;"("&amp;TEXT(IFERROR(Q6*Assumptions!$C$26*Assumptions!$C$27,0),"#,##0")&amp;" units at the assumed attendance and close rates)."</f>
        <v/>
      </c>
    </row>
    <row r="11" ht="18" customHeight="1" s="67">
      <c r="A11" s="2" t="inlineStr">
        <is>
          <t xml:space="preserve">  PERFORMANCE BY CHANNEL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30" customHeight="1" s="67">
      <c r="A12" s="12" t="inlineStr">
        <is>
          <t>Channel</t>
        </is>
      </c>
      <c r="B12" s="12" t="inlineStr">
        <is>
          <t>Spend (ZAR)</t>
        </is>
      </c>
      <c r="C12" s="12" t="inlineStr">
        <is>
          <t>Impressions</t>
        </is>
      </c>
      <c r="D12" s="12" t="inlineStr">
        <is>
          <t>Reach (sum of daily)</t>
        </is>
      </c>
      <c r="E12" s="12" t="inlineStr">
        <is>
          <t>Avg Daily Frequency</t>
        </is>
      </c>
      <c r="F12" s="12" t="inlineStr">
        <is>
          <t>Link Clicks</t>
        </is>
      </c>
      <c r="G12" s="12" t="inlineStr">
        <is>
          <t>CTR (Link)</t>
        </is>
      </c>
      <c r="H12" s="12" t="inlineStr">
        <is>
          <t>CPC (Link)</t>
        </is>
      </c>
      <c r="I12" s="12" t="inlineStr">
        <is>
          <t>CPM</t>
        </is>
      </c>
      <c r="J12" s="12" t="inlineStr">
        <is>
          <t>Landing Page Views</t>
        </is>
      </c>
      <c r="K12" s="12" t="inlineStr">
        <is>
          <t>LPV Rate</t>
        </is>
      </c>
      <c r="L12" s="12" t="inlineStr">
        <is>
          <t>Test Drive Bookings</t>
        </is>
      </c>
      <c r="M12" s="12" t="inlineStr">
        <is>
          <t>CVR (Booking / LPV)</t>
        </is>
      </c>
      <c r="N12" s="12" t="inlineStr">
        <is>
          <t>CPL (Cost / Booking)</t>
        </is>
      </c>
      <c r="O12" s="12" t="inlineStr">
        <is>
          <t>Qualified Leads</t>
        </is>
      </c>
      <c r="P12" s="12" t="inlineStr">
        <is>
          <t>Qualified Rate</t>
        </is>
      </c>
      <c r="Q12" s="12" t="inlineStr">
        <is>
          <t>Cost per Qualified Lead</t>
        </is>
      </c>
      <c r="R12" s="12" t="inlineStr">
        <is>
          <t>View-Through Conv.</t>
        </is>
      </c>
      <c r="S12" s="12" t="inlineStr">
        <is>
          <t>Assisted Conv.</t>
        </is>
      </c>
      <c r="T12" s="12" t="inlineStr">
        <is>
          <t>Total Attributed Conv.</t>
        </is>
      </c>
      <c r="U12" s="12" t="inlineStr">
        <is>
          <t>Est. Revenue Pipeline (ZAR)</t>
        </is>
      </c>
      <c r="V12" s="12" t="inlineStr">
        <is>
          <t>% of Spend</t>
        </is>
      </c>
      <c r="W12" s="12" t="inlineStr">
        <is>
          <t>% of Bookings</t>
        </is>
      </c>
    </row>
    <row r="13">
      <c r="A13" s="6" t="inlineStr">
        <is>
          <t>Meta (FB/IG)</t>
        </is>
      </c>
      <c r="B13" s="86">
        <f>SUMIFS(Raw_Data!$R$2:$R$2552,Raw_Data!$D$2:$D$2552,$A13)</f>
        <v/>
      </c>
      <c r="C13" s="87">
        <f>SUMIFS(Raw_Data!$S$2:$S$2552,Raw_Data!$D$2:$D$2552,$A13)</f>
        <v/>
      </c>
      <c r="D13" s="87">
        <f>SUMIFS(Raw_Data!$T$2:$T$2552,Raw_Data!$D$2:$D$2552,$A13)</f>
        <v/>
      </c>
      <c r="E13" s="88">
        <f>IFERROR(C13/D13,"")</f>
        <v/>
      </c>
      <c r="F13" s="87">
        <f>SUMIFS(Raw_Data!$W$2:$W$2552,Raw_Data!$D$2:$D$2552,$A13)</f>
        <v/>
      </c>
      <c r="G13" s="89">
        <f>IFERROR(F13/C13,"")</f>
        <v/>
      </c>
      <c r="H13" s="90">
        <f>IFERROR(B13/F13,"")</f>
        <v/>
      </c>
      <c r="I13" s="90">
        <f>IFERROR(B13/C13*1000,"")</f>
        <v/>
      </c>
      <c r="J13" s="87">
        <f>SUMIFS(Raw_Data!$AA$2:$AA$2552,Raw_Data!$D$2:$D$2552,$A13)</f>
        <v/>
      </c>
      <c r="K13" s="18">
        <f>IFERROR(J13/F13,"")</f>
        <v/>
      </c>
      <c r="L13" s="87">
        <f>SUMIFS(Raw_Data!$AL$2:$AL$2552,Raw_Data!$D$2:$D$2552,$A13)</f>
        <v/>
      </c>
      <c r="M13" s="89">
        <f>IFERROR(L13/J13,"")</f>
        <v/>
      </c>
      <c r="N13" s="86">
        <f>IFERROR(B13/L13,"")</f>
        <v/>
      </c>
      <c r="O13" s="87">
        <f>SUMIFS(Raw_Data!$AO$2:$AO$2552,Raw_Data!$D$2:$D$2552,$A13)</f>
        <v/>
      </c>
      <c r="P13" s="18">
        <f>IFERROR(O13/L13,"")</f>
        <v/>
      </c>
      <c r="Q13" s="86">
        <f>IFERROR(B13/O13,"")</f>
        <v/>
      </c>
      <c r="R13" s="87">
        <f>SUMIFS(Raw_Data!$AR$2:$AR$2552,Raw_Data!$D$2:$D$2552,$A13)</f>
        <v/>
      </c>
      <c r="S13" s="87">
        <f>SUMIFS(Raw_Data!$AS$2:$AS$2552,Raw_Data!$D$2:$D$2552,$A13)</f>
        <v/>
      </c>
      <c r="T13" s="87">
        <f>L13+R13</f>
        <v/>
      </c>
      <c r="U13" s="86">
        <f>SUMIFS(Raw_Data!$AU$2:$AU$2552,Raw_Data!$D$2:$D$2552,$A13)</f>
        <v/>
      </c>
      <c r="V13" s="18">
        <f>IFERROR(B13/$B$17,"")</f>
        <v/>
      </c>
      <c r="W13" s="18">
        <f>IFERROR(L13/$L$17,"")</f>
        <v/>
      </c>
    </row>
    <row r="14">
      <c r="A14" s="6" t="inlineStr">
        <is>
          <t>TikTok</t>
        </is>
      </c>
      <c r="B14" s="86">
        <f>SUMIFS(Raw_Data!$R$2:$R$2552,Raw_Data!$D$2:$D$2552,$A14)</f>
        <v/>
      </c>
      <c r="C14" s="87">
        <f>SUMIFS(Raw_Data!$S$2:$S$2552,Raw_Data!$D$2:$D$2552,$A14)</f>
        <v/>
      </c>
      <c r="D14" s="87">
        <f>SUMIFS(Raw_Data!$T$2:$T$2552,Raw_Data!$D$2:$D$2552,$A14)</f>
        <v/>
      </c>
      <c r="E14" s="88">
        <f>IFERROR(C14/D14,"")</f>
        <v/>
      </c>
      <c r="F14" s="87">
        <f>SUMIFS(Raw_Data!$W$2:$W$2552,Raw_Data!$D$2:$D$2552,$A14)</f>
        <v/>
      </c>
      <c r="G14" s="89">
        <f>IFERROR(F14/C14,"")</f>
        <v/>
      </c>
      <c r="H14" s="90">
        <f>IFERROR(B14/F14,"")</f>
        <v/>
      </c>
      <c r="I14" s="90">
        <f>IFERROR(B14/C14*1000,"")</f>
        <v/>
      </c>
      <c r="J14" s="87">
        <f>SUMIFS(Raw_Data!$AA$2:$AA$2552,Raw_Data!$D$2:$D$2552,$A14)</f>
        <v/>
      </c>
      <c r="K14" s="18">
        <f>IFERROR(J14/F14,"")</f>
        <v/>
      </c>
      <c r="L14" s="87">
        <f>SUMIFS(Raw_Data!$AL$2:$AL$2552,Raw_Data!$D$2:$D$2552,$A14)</f>
        <v/>
      </c>
      <c r="M14" s="89">
        <f>IFERROR(L14/J14,"")</f>
        <v/>
      </c>
      <c r="N14" s="86">
        <f>IFERROR(B14/L14,"")</f>
        <v/>
      </c>
      <c r="O14" s="87">
        <f>SUMIFS(Raw_Data!$AO$2:$AO$2552,Raw_Data!$D$2:$D$2552,$A14)</f>
        <v/>
      </c>
      <c r="P14" s="18">
        <f>IFERROR(O14/L14,"")</f>
        <v/>
      </c>
      <c r="Q14" s="86">
        <f>IFERROR(B14/O14,"")</f>
        <v/>
      </c>
      <c r="R14" s="87">
        <f>SUMIFS(Raw_Data!$AR$2:$AR$2552,Raw_Data!$D$2:$D$2552,$A14)</f>
        <v/>
      </c>
      <c r="S14" s="87">
        <f>SUMIFS(Raw_Data!$AS$2:$AS$2552,Raw_Data!$D$2:$D$2552,$A14)</f>
        <v/>
      </c>
      <c r="T14" s="87">
        <f>L14+R14</f>
        <v/>
      </c>
      <c r="U14" s="86">
        <f>SUMIFS(Raw_Data!$AU$2:$AU$2552,Raw_Data!$D$2:$D$2552,$A14)</f>
        <v/>
      </c>
      <c r="V14" s="18">
        <f>IFERROR(B14/$B$17,"")</f>
        <v/>
      </c>
      <c r="W14" s="18">
        <f>IFERROR(L14/$L$17,"")</f>
        <v/>
      </c>
    </row>
    <row r="15">
      <c r="A15" s="6" t="inlineStr">
        <is>
          <t>X</t>
        </is>
      </c>
      <c r="B15" s="86">
        <f>SUMIFS(Raw_Data!$R$2:$R$2552,Raw_Data!$D$2:$D$2552,$A15)</f>
        <v/>
      </c>
      <c r="C15" s="87">
        <f>SUMIFS(Raw_Data!$S$2:$S$2552,Raw_Data!$D$2:$D$2552,$A15)</f>
        <v/>
      </c>
      <c r="D15" s="87">
        <f>SUMIFS(Raw_Data!$T$2:$T$2552,Raw_Data!$D$2:$D$2552,$A15)</f>
        <v/>
      </c>
      <c r="E15" s="88">
        <f>IFERROR(C15/D15,"")</f>
        <v/>
      </c>
      <c r="F15" s="87">
        <f>SUMIFS(Raw_Data!$W$2:$W$2552,Raw_Data!$D$2:$D$2552,$A15)</f>
        <v/>
      </c>
      <c r="G15" s="89">
        <f>IFERROR(F15/C15,"")</f>
        <v/>
      </c>
      <c r="H15" s="90">
        <f>IFERROR(B15/F15,"")</f>
        <v/>
      </c>
      <c r="I15" s="90">
        <f>IFERROR(B15/C15*1000,"")</f>
        <v/>
      </c>
      <c r="J15" s="87">
        <f>SUMIFS(Raw_Data!$AA$2:$AA$2552,Raw_Data!$D$2:$D$2552,$A15)</f>
        <v/>
      </c>
      <c r="K15" s="18">
        <f>IFERROR(J15/F15,"")</f>
        <v/>
      </c>
      <c r="L15" s="87">
        <f>SUMIFS(Raw_Data!$AL$2:$AL$2552,Raw_Data!$D$2:$D$2552,$A15)</f>
        <v/>
      </c>
      <c r="M15" s="89">
        <f>IFERROR(L15/J15,"")</f>
        <v/>
      </c>
      <c r="N15" s="86">
        <f>IFERROR(B15/L15,"")</f>
        <v/>
      </c>
      <c r="O15" s="87">
        <f>SUMIFS(Raw_Data!$AO$2:$AO$2552,Raw_Data!$D$2:$D$2552,$A15)</f>
        <v/>
      </c>
      <c r="P15" s="18">
        <f>IFERROR(O15/L15,"")</f>
        <v/>
      </c>
      <c r="Q15" s="86">
        <f>IFERROR(B15/O15,"")</f>
        <v/>
      </c>
      <c r="R15" s="87">
        <f>SUMIFS(Raw_Data!$AR$2:$AR$2552,Raw_Data!$D$2:$D$2552,$A15)</f>
        <v/>
      </c>
      <c r="S15" s="87">
        <f>SUMIFS(Raw_Data!$AS$2:$AS$2552,Raw_Data!$D$2:$D$2552,$A15)</f>
        <v/>
      </c>
      <c r="T15" s="87">
        <f>L15+R15</f>
        <v/>
      </c>
      <c r="U15" s="86">
        <f>SUMIFS(Raw_Data!$AU$2:$AU$2552,Raw_Data!$D$2:$D$2552,$A15)</f>
        <v/>
      </c>
      <c r="V15" s="18">
        <f>IFERROR(B15/$B$17,"")</f>
        <v/>
      </c>
      <c r="W15" s="18">
        <f>IFERROR(L15/$L$17,"")</f>
        <v/>
      </c>
    </row>
    <row r="16">
      <c r="A16" s="6" t="inlineStr">
        <is>
          <t>Programmatic</t>
        </is>
      </c>
      <c r="B16" s="86">
        <f>SUMIFS(Raw_Data!$R$2:$R$2552,Raw_Data!$D$2:$D$2552,$A16)</f>
        <v/>
      </c>
      <c r="C16" s="87">
        <f>SUMIFS(Raw_Data!$S$2:$S$2552,Raw_Data!$D$2:$D$2552,$A16)</f>
        <v/>
      </c>
      <c r="D16" s="87">
        <f>SUMIFS(Raw_Data!$T$2:$T$2552,Raw_Data!$D$2:$D$2552,$A16)</f>
        <v/>
      </c>
      <c r="E16" s="88">
        <f>IFERROR(C16/D16,"")</f>
        <v/>
      </c>
      <c r="F16" s="87">
        <f>SUMIFS(Raw_Data!$W$2:$W$2552,Raw_Data!$D$2:$D$2552,$A16)</f>
        <v/>
      </c>
      <c r="G16" s="89">
        <f>IFERROR(F16/C16,"")</f>
        <v/>
      </c>
      <c r="H16" s="90">
        <f>IFERROR(B16/F16,"")</f>
        <v/>
      </c>
      <c r="I16" s="90">
        <f>IFERROR(B16/C16*1000,"")</f>
        <v/>
      </c>
      <c r="J16" s="87">
        <f>SUMIFS(Raw_Data!$AA$2:$AA$2552,Raw_Data!$D$2:$D$2552,$A16)</f>
        <v/>
      </c>
      <c r="K16" s="18">
        <f>IFERROR(J16/F16,"")</f>
        <v/>
      </c>
      <c r="L16" s="87">
        <f>SUMIFS(Raw_Data!$AL$2:$AL$2552,Raw_Data!$D$2:$D$2552,$A16)</f>
        <v/>
      </c>
      <c r="M16" s="89">
        <f>IFERROR(L16/J16,"")</f>
        <v/>
      </c>
      <c r="N16" s="86">
        <f>IFERROR(B16/L16,"")</f>
        <v/>
      </c>
      <c r="O16" s="87">
        <f>SUMIFS(Raw_Data!$AO$2:$AO$2552,Raw_Data!$D$2:$D$2552,$A16)</f>
        <v/>
      </c>
      <c r="P16" s="18">
        <f>IFERROR(O16/L16,"")</f>
        <v/>
      </c>
      <c r="Q16" s="86">
        <f>IFERROR(B16/O16,"")</f>
        <v/>
      </c>
      <c r="R16" s="87">
        <f>SUMIFS(Raw_Data!$AR$2:$AR$2552,Raw_Data!$D$2:$D$2552,$A16)</f>
        <v/>
      </c>
      <c r="S16" s="87">
        <f>SUMIFS(Raw_Data!$AS$2:$AS$2552,Raw_Data!$D$2:$D$2552,$A16)</f>
        <v/>
      </c>
      <c r="T16" s="87">
        <f>L16+R16</f>
        <v/>
      </c>
      <c r="U16" s="86">
        <f>SUMIFS(Raw_Data!$AU$2:$AU$2552,Raw_Data!$D$2:$D$2552,$A16)</f>
        <v/>
      </c>
      <c r="V16" s="18">
        <f>IFERROR(B16/$B$17,"")</f>
        <v/>
      </c>
      <c r="W16" s="18">
        <f>IFERROR(L16/$L$17,"")</f>
        <v/>
      </c>
    </row>
    <row r="17">
      <c r="A17" s="19" t="inlineStr">
        <is>
          <t>TOTAL / BLENDED</t>
        </is>
      </c>
      <c r="B17" s="91" t="n"/>
      <c r="C17" s="92" t="n"/>
      <c r="D17" s="92" t="n"/>
      <c r="E17" s="93">
        <f>IFERROR(C17/D17,"")</f>
        <v/>
      </c>
      <c r="F17" s="92" t="n"/>
      <c r="G17" s="94">
        <f>IFERROR(F17/C17,"")</f>
        <v/>
      </c>
      <c r="H17" s="95">
        <f>IFERROR(B17/F17,"")</f>
        <v/>
      </c>
      <c r="I17" s="95">
        <f>IFERROR(B17/C17*1000,"")</f>
        <v/>
      </c>
      <c r="J17" s="92" t="n"/>
      <c r="K17" s="25">
        <f>IFERROR(J17/F17,"")</f>
        <v/>
      </c>
      <c r="L17" s="92" t="n"/>
      <c r="M17" s="94">
        <f>IFERROR(L17/J17,"")</f>
        <v/>
      </c>
      <c r="N17" s="91">
        <f>IFERROR(B17/L17,"")</f>
        <v/>
      </c>
      <c r="O17" s="92" t="n"/>
      <c r="P17" s="25">
        <f>IFERROR(O17/L17,"")</f>
        <v/>
      </c>
      <c r="Q17" s="91">
        <f>IFERROR(B17/O17,"")</f>
        <v/>
      </c>
      <c r="R17" s="92" t="n"/>
      <c r="S17" s="92" t="n"/>
      <c r="T17" s="92">
        <f>L17+R17</f>
        <v/>
      </c>
      <c r="U17" s="91" t="n"/>
      <c r="V17" s="25">
        <f>IFERROR(B17/$B$17,"")</f>
        <v/>
      </c>
      <c r="W17" s="25">
        <f>IFERROR(L17/$L$17,"")</f>
        <v/>
      </c>
    </row>
    <row r="19" ht="18" customHeight="1" s="67">
      <c r="A19" s="2" t="inlineStr">
        <is>
          <t xml:space="preserve">  PERFORMANCE BY MODEL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30" customHeight="1" s="67">
      <c r="A20" s="12" t="inlineStr">
        <is>
          <t>Model</t>
        </is>
      </c>
      <c r="B20" s="12" t="inlineStr">
        <is>
          <t>Spend (ZAR)</t>
        </is>
      </c>
      <c r="C20" s="12" t="inlineStr">
        <is>
          <t>Impressions</t>
        </is>
      </c>
      <c r="D20" s="12" t="inlineStr">
        <is>
          <t>Reach (sum of daily)</t>
        </is>
      </c>
      <c r="E20" s="12" t="inlineStr">
        <is>
          <t>Avg Daily Frequency</t>
        </is>
      </c>
      <c r="F20" s="12" t="inlineStr">
        <is>
          <t>Link Clicks</t>
        </is>
      </c>
      <c r="G20" s="12" t="inlineStr">
        <is>
          <t>CTR (Link)</t>
        </is>
      </c>
      <c r="H20" s="12" t="inlineStr">
        <is>
          <t>CPC (Link)</t>
        </is>
      </c>
      <c r="I20" s="12" t="inlineStr">
        <is>
          <t>CPM</t>
        </is>
      </c>
      <c r="J20" s="12" t="inlineStr">
        <is>
          <t>Landing Page Views</t>
        </is>
      </c>
      <c r="K20" s="12" t="inlineStr">
        <is>
          <t>LPV Rate</t>
        </is>
      </c>
      <c r="L20" s="12" t="inlineStr">
        <is>
          <t>Test Drive Bookings</t>
        </is>
      </c>
      <c r="M20" s="12" t="inlineStr">
        <is>
          <t>CVR (Booking / LPV)</t>
        </is>
      </c>
      <c r="N20" s="12" t="inlineStr">
        <is>
          <t>CPL (Cost / Booking)</t>
        </is>
      </c>
      <c r="O20" s="12" t="inlineStr">
        <is>
          <t>Qualified Leads</t>
        </is>
      </c>
      <c r="P20" s="12" t="inlineStr">
        <is>
          <t>Qualified Rate</t>
        </is>
      </c>
      <c r="Q20" s="12" t="inlineStr">
        <is>
          <t>Cost per Qualified Lead</t>
        </is>
      </c>
      <c r="R20" s="12" t="inlineStr">
        <is>
          <t>View-Through Conv.</t>
        </is>
      </c>
      <c r="S20" s="12" t="inlineStr">
        <is>
          <t>Assisted Conv.</t>
        </is>
      </c>
      <c r="T20" s="12" t="inlineStr">
        <is>
          <t>Total Attributed Conv.</t>
        </is>
      </c>
      <c r="U20" s="12" t="inlineStr">
        <is>
          <t>Est. Revenue Pipeline (ZAR)</t>
        </is>
      </c>
      <c r="V20" s="12" t="inlineStr">
        <is>
          <t>% of Spend</t>
        </is>
      </c>
      <c r="W20" s="12" t="inlineStr">
        <is>
          <t>% of Bookings</t>
        </is>
      </c>
    </row>
    <row r="21">
      <c r="A21" s="6" t="inlineStr">
        <is>
          <t>AMUR</t>
        </is>
      </c>
      <c r="B21" s="86">
        <f>SUMIFS(Raw_Data!$R$2:$R$2552,Raw_Data!$H$2:$H$2552,$A21)</f>
        <v/>
      </c>
      <c r="C21" s="87">
        <f>SUMIFS(Raw_Data!$S$2:$S$2552,Raw_Data!$H$2:$H$2552,$A21)</f>
        <v/>
      </c>
      <c r="D21" s="87">
        <f>SUMIFS(Raw_Data!$T$2:$T$2552,Raw_Data!$H$2:$H$2552,$A21)</f>
        <v/>
      </c>
      <c r="E21" s="88">
        <f>IFERROR(C21/D21,"")</f>
        <v/>
      </c>
      <c r="F21" s="87">
        <f>SUMIFS(Raw_Data!$W$2:$W$2552,Raw_Data!$H$2:$H$2552,$A21)</f>
        <v/>
      </c>
      <c r="G21" s="89">
        <f>IFERROR(F21/C21,"")</f>
        <v/>
      </c>
      <c r="H21" s="90">
        <f>IFERROR(B21/F21,"")</f>
        <v/>
      </c>
      <c r="I21" s="90">
        <f>IFERROR(B21/C21*1000,"")</f>
        <v/>
      </c>
      <c r="J21" s="87">
        <f>SUMIFS(Raw_Data!$AA$2:$AA$2552,Raw_Data!$H$2:$H$2552,$A21)</f>
        <v/>
      </c>
      <c r="K21" s="18">
        <f>IFERROR(J21/F21,"")</f>
        <v/>
      </c>
      <c r="L21" s="87">
        <f>SUMIFS(Raw_Data!$AL$2:$AL$2552,Raw_Data!$H$2:$H$2552,$A21)</f>
        <v/>
      </c>
      <c r="M21" s="89">
        <f>IFERROR(L21/J21,"")</f>
        <v/>
      </c>
      <c r="N21" s="86">
        <f>IFERROR(B21/L21,"")</f>
        <v/>
      </c>
      <c r="O21" s="87">
        <f>SUMIFS(Raw_Data!$AO$2:$AO$2552,Raw_Data!$H$2:$H$2552,$A21)</f>
        <v/>
      </c>
      <c r="P21" s="18">
        <f>IFERROR(O21/L21,"")</f>
        <v/>
      </c>
      <c r="Q21" s="86">
        <f>IFERROR(B21/O21,"")</f>
        <v/>
      </c>
      <c r="R21" s="87">
        <f>SUMIFS(Raw_Data!$AR$2:$AR$2552,Raw_Data!$H$2:$H$2552,$A21)</f>
        <v/>
      </c>
      <c r="S21" s="87">
        <f>SUMIFS(Raw_Data!$AS$2:$AS$2552,Raw_Data!$H$2:$H$2552,$A21)</f>
        <v/>
      </c>
      <c r="T21" s="87">
        <f>L21+R21</f>
        <v/>
      </c>
      <c r="U21" s="86">
        <f>SUMIFS(Raw_Data!$AU$2:$AU$2552,Raw_Data!$H$2:$H$2552,$A21)</f>
        <v/>
      </c>
      <c r="V21" s="18">
        <f>IFERROR(B21/$B$17,"")</f>
        <v/>
      </c>
      <c r="W21" s="18">
        <f>IFERROR(L21/$L$17,"")</f>
        <v/>
      </c>
    </row>
    <row r="22">
      <c r="A22" s="6" t="inlineStr">
        <is>
          <t>JAVAN</t>
        </is>
      </c>
      <c r="B22" s="86">
        <f>SUMIFS(Raw_Data!$R$2:$R$2552,Raw_Data!$H$2:$H$2552,$A22)</f>
        <v/>
      </c>
      <c r="C22" s="87">
        <f>SUMIFS(Raw_Data!$S$2:$S$2552,Raw_Data!$H$2:$H$2552,$A22)</f>
        <v/>
      </c>
      <c r="D22" s="87">
        <f>SUMIFS(Raw_Data!$T$2:$T$2552,Raw_Data!$H$2:$H$2552,$A22)</f>
        <v/>
      </c>
      <c r="E22" s="88">
        <f>IFERROR(C22/D22,"")</f>
        <v/>
      </c>
      <c r="F22" s="87">
        <f>SUMIFS(Raw_Data!$W$2:$W$2552,Raw_Data!$H$2:$H$2552,$A22)</f>
        <v/>
      </c>
      <c r="G22" s="89">
        <f>IFERROR(F22/C22,"")</f>
        <v/>
      </c>
      <c r="H22" s="90">
        <f>IFERROR(B22/F22,"")</f>
        <v/>
      </c>
      <c r="I22" s="90">
        <f>IFERROR(B22/C22*1000,"")</f>
        <v/>
      </c>
      <c r="J22" s="87">
        <f>SUMIFS(Raw_Data!$AA$2:$AA$2552,Raw_Data!$H$2:$H$2552,$A22)</f>
        <v/>
      </c>
      <c r="K22" s="18">
        <f>IFERROR(J22/F22,"")</f>
        <v/>
      </c>
      <c r="L22" s="87">
        <f>SUMIFS(Raw_Data!$AL$2:$AL$2552,Raw_Data!$H$2:$H$2552,$A22)</f>
        <v/>
      </c>
      <c r="M22" s="89">
        <f>IFERROR(L22/J22,"")</f>
        <v/>
      </c>
      <c r="N22" s="86">
        <f>IFERROR(B22/L22,"")</f>
        <v/>
      </c>
      <c r="O22" s="87">
        <f>SUMIFS(Raw_Data!$AO$2:$AO$2552,Raw_Data!$H$2:$H$2552,$A22)</f>
        <v/>
      </c>
      <c r="P22" s="18">
        <f>IFERROR(O22/L22,"")</f>
        <v/>
      </c>
      <c r="Q22" s="86">
        <f>IFERROR(B22/O22,"")</f>
        <v/>
      </c>
      <c r="R22" s="87">
        <f>SUMIFS(Raw_Data!$AR$2:$AR$2552,Raw_Data!$H$2:$H$2552,$A22)</f>
        <v/>
      </c>
      <c r="S22" s="87">
        <f>SUMIFS(Raw_Data!$AS$2:$AS$2552,Raw_Data!$H$2:$H$2552,$A22)</f>
        <v/>
      </c>
      <c r="T22" s="87">
        <f>L22+R22</f>
        <v/>
      </c>
      <c r="U22" s="86">
        <f>SUMIFS(Raw_Data!$AU$2:$AU$2552,Raw_Data!$H$2:$H$2552,$A22)</f>
        <v/>
      </c>
      <c r="V22" s="18">
        <f>IFERROR(B22/$B$17,"")</f>
        <v/>
      </c>
      <c r="W22" s="18">
        <f>IFERROR(L22/$L$17,"")</f>
        <v/>
      </c>
    </row>
    <row r="23">
      <c r="A23" s="6" t="inlineStr">
        <is>
          <t>PANTERA</t>
        </is>
      </c>
      <c r="B23" s="86">
        <f>SUMIFS(Raw_Data!$R$2:$R$2552,Raw_Data!$H$2:$H$2552,$A23)</f>
        <v/>
      </c>
      <c r="C23" s="87">
        <f>SUMIFS(Raw_Data!$S$2:$S$2552,Raw_Data!$H$2:$H$2552,$A23)</f>
        <v/>
      </c>
      <c r="D23" s="87">
        <f>SUMIFS(Raw_Data!$T$2:$T$2552,Raw_Data!$H$2:$H$2552,$A23)</f>
        <v/>
      </c>
      <c r="E23" s="88">
        <f>IFERROR(C23/D23,"")</f>
        <v/>
      </c>
      <c r="F23" s="87">
        <f>SUMIFS(Raw_Data!$W$2:$W$2552,Raw_Data!$H$2:$H$2552,$A23)</f>
        <v/>
      </c>
      <c r="G23" s="89">
        <f>IFERROR(F23/C23,"")</f>
        <v/>
      </c>
      <c r="H23" s="90">
        <f>IFERROR(B23/F23,"")</f>
        <v/>
      </c>
      <c r="I23" s="90">
        <f>IFERROR(B23/C23*1000,"")</f>
        <v/>
      </c>
      <c r="J23" s="87">
        <f>SUMIFS(Raw_Data!$AA$2:$AA$2552,Raw_Data!$H$2:$H$2552,$A23)</f>
        <v/>
      </c>
      <c r="K23" s="18">
        <f>IFERROR(J23/F23,"")</f>
        <v/>
      </c>
      <c r="L23" s="87">
        <f>SUMIFS(Raw_Data!$AL$2:$AL$2552,Raw_Data!$H$2:$H$2552,$A23)</f>
        <v/>
      </c>
      <c r="M23" s="89">
        <f>IFERROR(L23/J23,"")</f>
        <v/>
      </c>
      <c r="N23" s="86">
        <f>IFERROR(B23/L23,"")</f>
        <v/>
      </c>
      <c r="O23" s="87">
        <f>SUMIFS(Raw_Data!$AO$2:$AO$2552,Raw_Data!$H$2:$H$2552,$A23)</f>
        <v/>
      </c>
      <c r="P23" s="18">
        <f>IFERROR(O23/L23,"")</f>
        <v/>
      </c>
      <c r="Q23" s="86">
        <f>IFERROR(B23/O23,"")</f>
        <v/>
      </c>
      <c r="R23" s="87">
        <f>SUMIFS(Raw_Data!$AR$2:$AR$2552,Raw_Data!$H$2:$H$2552,$A23)</f>
        <v/>
      </c>
      <c r="S23" s="87">
        <f>SUMIFS(Raw_Data!$AS$2:$AS$2552,Raw_Data!$H$2:$H$2552,$A23)</f>
        <v/>
      </c>
      <c r="T23" s="87">
        <f>L23+R23</f>
        <v/>
      </c>
      <c r="U23" s="86">
        <f>SUMIFS(Raw_Data!$AU$2:$AU$2552,Raw_Data!$H$2:$H$2552,$A23)</f>
        <v/>
      </c>
      <c r="V23" s="18">
        <f>IFERROR(B23/$B$17,"")</f>
        <v/>
      </c>
      <c r="W23" s="18">
        <f>IFERROR(L23/$L$17,"")</f>
        <v/>
      </c>
    </row>
    <row r="24">
      <c r="A24" s="6" t="inlineStr">
        <is>
          <t>Range</t>
        </is>
      </c>
      <c r="B24" s="86">
        <f>SUMIFS(Raw_Data!$R$2:$R$2552,Raw_Data!$H$2:$H$2552,$A24)</f>
        <v/>
      </c>
      <c r="C24" s="87">
        <f>SUMIFS(Raw_Data!$S$2:$S$2552,Raw_Data!$H$2:$H$2552,$A24)</f>
        <v/>
      </c>
      <c r="D24" s="87">
        <f>SUMIFS(Raw_Data!$T$2:$T$2552,Raw_Data!$H$2:$H$2552,$A24)</f>
        <v/>
      </c>
      <c r="E24" s="88">
        <f>IFERROR(C24/D24,"")</f>
        <v/>
      </c>
      <c r="F24" s="87">
        <f>SUMIFS(Raw_Data!$W$2:$W$2552,Raw_Data!$H$2:$H$2552,$A24)</f>
        <v/>
      </c>
      <c r="G24" s="89">
        <f>IFERROR(F24/C24,"")</f>
        <v/>
      </c>
      <c r="H24" s="90">
        <f>IFERROR(B24/F24,"")</f>
        <v/>
      </c>
      <c r="I24" s="90">
        <f>IFERROR(B24/C24*1000,"")</f>
        <v/>
      </c>
      <c r="J24" s="87">
        <f>SUMIFS(Raw_Data!$AA$2:$AA$2552,Raw_Data!$H$2:$H$2552,$A24)</f>
        <v/>
      </c>
      <c r="K24" s="18">
        <f>IFERROR(J24/F24,"")</f>
        <v/>
      </c>
      <c r="L24" s="87">
        <f>SUMIFS(Raw_Data!$AL$2:$AL$2552,Raw_Data!$H$2:$H$2552,$A24)</f>
        <v/>
      </c>
      <c r="M24" s="89">
        <f>IFERROR(L24/J24,"")</f>
        <v/>
      </c>
      <c r="N24" s="86">
        <f>IFERROR(B24/L24,"")</f>
        <v/>
      </c>
      <c r="O24" s="87">
        <f>SUMIFS(Raw_Data!$AO$2:$AO$2552,Raw_Data!$H$2:$H$2552,$A24)</f>
        <v/>
      </c>
      <c r="P24" s="18">
        <f>IFERROR(O24/L24,"")</f>
        <v/>
      </c>
      <c r="Q24" s="86">
        <f>IFERROR(B24/O24,"")</f>
        <v/>
      </c>
      <c r="R24" s="87">
        <f>SUMIFS(Raw_Data!$AR$2:$AR$2552,Raw_Data!$H$2:$H$2552,$A24)</f>
        <v/>
      </c>
      <c r="S24" s="87">
        <f>SUMIFS(Raw_Data!$AS$2:$AS$2552,Raw_Data!$H$2:$H$2552,$A24)</f>
        <v/>
      </c>
      <c r="T24" s="87">
        <f>L24+R24</f>
        <v/>
      </c>
      <c r="U24" s="86">
        <f>SUMIFS(Raw_Data!$AU$2:$AU$2552,Raw_Data!$H$2:$H$2552,$A24)</f>
        <v/>
      </c>
      <c r="V24" s="18">
        <f>IFERROR(B24/$B$17,"")</f>
        <v/>
      </c>
      <c r="W24" s="18">
        <f>IFERROR(L24/$L$17,"")</f>
        <v/>
      </c>
    </row>
    <row r="25">
      <c r="A25" s="19" t="inlineStr">
        <is>
          <t>TOTAL</t>
        </is>
      </c>
      <c r="B25" s="91" t="n"/>
      <c r="C25" s="92" t="n"/>
      <c r="D25" s="92" t="n"/>
      <c r="E25" s="93">
        <f>IFERROR(C25/D25,"")</f>
        <v/>
      </c>
      <c r="F25" s="92" t="n"/>
      <c r="G25" s="94">
        <f>IFERROR(F25/C25,"")</f>
        <v/>
      </c>
      <c r="H25" s="95">
        <f>IFERROR(B25/F25,"")</f>
        <v/>
      </c>
      <c r="I25" s="95">
        <f>IFERROR(B25/C25*1000,"")</f>
        <v/>
      </c>
      <c r="J25" s="92" t="n"/>
      <c r="K25" s="25">
        <f>IFERROR(J25/F25,"")</f>
        <v/>
      </c>
      <c r="L25" s="92" t="n"/>
      <c r="M25" s="94">
        <f>IFERROR(L25/J25,"")</f>
        <v/>
      </c>
      <c r="N25" s="91">
        <f>IFERROR(B25/L25,"")</f>
        <v/>
      </c>
      <c r="O25" s="92" t="n"/>
      <c r="P25" s="25">
        <f>IFERROR(O25/L25,"")</f>
        <v/>
      </c>
      <c r="Q25" s="91">
        <f>IFERROR(B25/O25,"")</f>
        <v/>
      </c>
      <c r="R25" s="92" t="n"/>
      <c r="S25" s="92" t="n"/>
      <c r="T25" s="92">
        <f>L25+R25</f>
        <v/>
      </c>
      <c r="U25" s="91" t="n"/>
      <c r="V25" s="25">
        <f>IFERROR(B25/$B$17,"")</f>
        <v/>
      </c>
      <c r="W25" s="25">
        <f>IFERROR(L25/$L$17,"")</f>
        <v/>
      </c>
    </row>
    <row r="27" ht="18" customHeight="1" s="67">
      <c r="A27" s="2" t="inlineStr">
        <is>
          <t xml:space="preserve">  PERFORMANCE BY AUDIENCE STRATEGY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30" customHeight="1" s="67">
      <c r="A28" s="12" t="inlineStr">
        <is>
          <t>Audience Type</t>
        </is>
      </c>
      <c r="B28" s="12" t="inlineStr">
        <is>
          <t>Spend (ZAR)</t>
        </is>
      </c>
      <c r="C28" s="12" t="inlineStr">
        <is>
          <t>Impressions</t>
        </is>
      </c>
      <c r="D28" s="12" t="inlineStr">
        <is>
          <t>Reach (sum of daily)</t>
        </is>
      </c>
      <c r="E28" s="12" t="inlineStr">
        <is>
          <t>Avg Daily Frequency</t>
        </is>
      </c>
      <c r="F28" s="12" t="inlineStr">
        <is>
          <t>Link Clicks</t>
        </is>
      </c>
      <c r="G28" s="12" t="inlineStr">
        <is>
          <t>CTR (Link)</t>
        </is>
      </c>
      <c r="H28" s="12" t="inlineStr">
        <is>
          <t>CPC (Link)</t>
        </is>
      </c>
      <c r="I28" s="12" t="inlineStr">
        <is>
          <t>CPM</t>
        </is>
      </c>
      <c r="J28" s="12" t="inlineStr">
        <is>
          <t>Landing Page Views</t>
        </is>
      </c>
      <c r="K28" s="12" t="inlineStr">
        <is>
          <t>LPV Rate</t>
        </is>
      </c>
      <c r="L28" s="12" t="inlineStr">
        <is>
          <t>Test Drive Bookings</t>
        </is>
      </c>
      <c r="M28" s="12" t="inlineStr">
        <is>
          <t>CVR (Booking / LPV)</t>
        </is>
      </c>
      <c r="N28" s="12" t="inlineStr">
        <is>
          <t>CPL (Cost / Booking)</t>
        </is>
      </c>
      <c r="O28" s="12" t="inlineStr">
        <is>
          <t>Qualified Leads</t>
        </is>
      </c>
      <c r="P28" s="12" t="inlineStr">
        <is>
          <t>Qualified Rate</t>
        </is>
      </c>
      <c r="Q28" s="12" t="inlineStr">
        <is>
          <t>Cost per Qualified Lead</t>
        </is>
      </c>
      <c r="R28" s="12" t="inlineStr">
        <is>
          <t>View-Through Conv.</t>
        </is>
      </c>
      <c r="S28" s="12" t="inlineStr">
        <is>
          <t>Assisted Conv.</t>
        </is>
      </c>
      <c r="T28" s="12" t="inlineStr">
        <is>
          <t>Total Attributed Conv.</t>
        </is>
      </c>
      <c r="U28" s="12" t="inlineStr">
        <is>
          <t>Est. Revenue Pipeline (ZAR)</t>
        </is>
      </c>
      <c r="V28" s="12" t="inlineStr">
        <is>
          <t>% of Spend</t>
        </is>
      </c>
      <c r="W28" s="12" t="inlineStr">
        <is>
          <t>% of Bookings</t>
        </is>
      </c>
    </row>
    <row r="29">
      <c r="A29" s="6" t="inlineStr">
        <is>
          <t>Contextual</t>
        </is>
      </c>
      <c r="B29" s="86">
        <f>SUMIFS(Raw_Data!$R$2:$R$2552,Raw_Data!$K$2:$K$2552,$A29)</f>
        <v/>
      </c>
      <c r="C29" s="87">
        <f>SUMIFS(Raw_Data!$S$2:$S$2552,Raw_Data!$K$2:$K$2552,$A29)</f>
        <v/>
      </c>
      <c r="D29" s="87">
        <f>SUMIFS(Raw_Data!$T$2:$T$2552,Raw_Data!$K$2:$K$2552,$A29)</f>
        <v/>
      </c>
      <c r="E29" s="88">
        <f>IFERROR(C29/D29,"")</f>
        <v/>
      </c>
      <c r="F29" s="87">
        <f>SUMIFS(Raw_Data!$W$2:$W$2552,Raw_Data!$K$2:$K$2552,$A29)</f>
        <v/>
      </c>
      <c r="G29" s="89">
        <f>IFERROR(F29/C29,"")</f>
        <v/>
      </c>
      <c r="H29" s="90">
        <f>IFERROR(B29/F29,"")</f>
        <v/>
      </c>
      <c r="I29" s="90">
        <f>IFERROR(B29/C29*1000,"")</f>
        <v/>
      </c>
      <c r="J29" s="87">
        <f>SUMIFS(Raw_Data!$AA$2:$AA$2552,Raw_Data!$K$2:$K$2552,$A29)</f>
        <v/>
      </c>
      <c r="K29" s="18">
        <f>IFERROR(J29/F29,"")</f>
        <v/>
      </c>
      <c r="L29" s="87">
        <f>SUMIFS(Raw_Data!$AL$2:$AL$2552,Raw_Data!$K$2:$K$2552,$A29)</f>
        <v/>
      </c>
      <c r="M29" s="89">
        <f>IFERROR(L29/J29,"")</f>
        <v/>
      </c>
      <c r="N29" s="86">
        <f>IFERROR(B29/L29,"")</f>
        <v/>
      </c>
      <c r="O29" s="87">
        <f>SUMIFS(Raw_Data!$AO$2:$AO$2552,Raw_Data!$K$2:$K$2552,$A29)</f>
        <v/>
      </c>
      <c r="P29" s="18">
        <f>IFERROR(O29/L29,"")</f>
        <v/>
      </c>
      <c r="Q29" s="86">
        <f>IFERROR(B29/O29,"")</f>
        <v/>
      </c>
      <c r="R29" s="87">
        <f>SUMIFS(Raw_Data!$AR$2:$AR$2552,Raw_Data!$K$2:$K$2552,$A29)</f>
        <v/>
      </c>
      <c r="S29" s="87">
        <f>SUMIFS(Raw_Data!$AS$2:$AS$2552,Raw_Data!$K$2:$K$2552,$A29)</f>
        <v/>
      </c>
      <c r="T29" s="87">
        <f>L29+R29</f>
        <v/>
      </c>
      <c r="U29" s="86">
        <f>SUMIFS(Raw_Data!$AU$2:$AU$2552,Raw_Data!$K$2:$K$2552,$A29)</f>
        <v/>
      </c>
      <c r="V29" s="18">
        <f>IFERROR(B29/$B$17,"")</f>
        <v/>
      </c>
      <c r="W29" s="18">
        <f>IFERROR(L29/$L$17,"")</f>
        <v/>
      </c>
    </row>
    <row r="30">
      <c r="A30" s="6" t="inlineStr">
        <is>
          <t>In-Market</t>
        </is>
      </c>
      <c r="B30" s="86">
        <f>SUMIFS(Raw_Data!$R$2:$R$2552,Raw_Data!$K$2:$K$2552,$A30)</f>
        <v/>
      </c>
      <c r="C30" s="87">
        <f>SUMIFS(Raw_Data!$S$2:$S$2552,Raw_Data!$K$2:$K$2552,$A30)</f>
        <v/>
      </c>
      <c r="D30" s="87">
        <f>SUMIFS(Raw_Data!$T$2:$T$2552,Raw_Data!$K$2:$K$2552,$A30)</f>
        <v/>
      </c>
      <c r="E30" s="88">
        <f>IFERROR(C30/D30,"")</f>
        <v/>
      </c>
      <c r="F30" s="87">
        <f>SUMIFS(Raw_Data!$W$2:$W$2552,Raw_Data!$K$2:$K$2552,$A30)</f>
        <v/>
      </c>
      <c r="G30" s="89">
        <f>IFERROR(F30/C30,"")</f>
        <v/>
      </c>
      <c r="H30" s="90">
        <f>IFERROR(B30/F30,"")</f>
        <v/>
      </c>
      <c r="I30" s="90">
        <f>IFERROR(B30/C30*1000,"")</f>
        <v/>
      </c>
      <c r="J30" s="87">
        <f>SUMIFS(Raw_Data!$AA$2:$AA$2552,Raw_Data!$K$2:$K$2552,$A30)</f>
        <v/>
      </c>
      <c r="K30" s="18">
        <f>IFERROR(J30/F30,"")</f>
        <v/>
      </c>
      <c r="L30" s="87">
        <f>SUMIFS(Raw_Data!$AL$2:$AL$2552,Raw_Data!$K$2:$K$2552,$A30)</f>
        <v/>
      </c>
      <c r="M30" s="89">
        <f>IFERROR(L30/J30,"")</f>
        <v/>
      </c>
      <c r="N30" s="86">
        <f>IFERROR(B30/L30,"")</f>
        <v/>
      </c>
      <c r="O30" s="87">
        <f>SUMIFS(Raw_Data!$AO$2:$AO$2552,Raw_Data!$K$2:$K$2552,$A30)</f>
        <v/>
      </c>
      <c r="P30" s="18">
        <f>IFERROR(O30/L30,"")</f>
        <v/>
      </c>
      <c r="Q30" s="86">
        <f>IFERROR(B30/O30,"")</f>
        <v/>
      </c>
      <c r="R30" s="87">
        <f>SUMIFS(Raw_Data!$AR$2:$AR$2552,Raw_Data!$K$2:$K$2552,$A30)</f>
        <v/>
      </c>
      <c r="S30" s="87">
        <f>SUMIFS(Raw_Data!$AS$2:$AS$2552,Raw_Data!$K$2:$K$2552,$A30)</f>
        <v/>
      </c>
      <c r="T30" s="87">
        <f>L30+R30</f>
        <v/>
      </c>
      <c r="U30" s="86">
        <f>SUMIFS(Raw_Data!$AU$2:$AU$2552,Raw_Data!$K$2:$K$2552,$A30)</f>
        <v/>
      </c>
      <c r="V30" s="18">
        <f>IFERROR(B30/$B$17,"")</f>
        <v/>
      </c>
      <c r="W30" s="18">
        <f>IFERROR(L30/$L$17,"")</f>
        <v/>
      </c>
    </row>
    <row r="31">
      <c r="A31" s="6" t="inlineStr">
        <is>
          <t>Interest</t>
        </is>
      </c>
      <c r="B31" s="86">
        <f>SUMIFS(Raw_Data!$R$2:$R$2552,Raw_Data!$K$2:$K$2552,$A31)</f>
        <v/>
      </c>
      <c r="C31" s="87">
        <f>SUMIFS(Raw_Data!$S$2:$S$2552,Raw_Data!$K$2:$K$2552,$A31)</f>
        <v/>
      </c>
      <c r="D31" s="87">
        <f>SUMIFS(Raw_Data!$T$2:$T$2552,Raw_Data!$K$2:$K$2552,$A31)</f>
        <v/>
      </c>
      <c r="E31" s="88">
        <f>IFERROR(C31/D31,"")</f>
        <v/>
      </c>
      <c r="F31" s="87">
        <f>SUMIFS(Raw_Data!$W$2:$W$2552,Raw_Data!$K$2:$K$2552,$A31)</f>
        <v/>
      </c>
      <c r="G31" s="89">
        <f>IFERROR(F31/C31,"")</f>
        <v/>
      </c>
      <c r="H31" s="90">
        <f>IFERROR(B31/F31,"")</f>
        <v/>
      </c>
      <c r="I31" s="90">
        <f>IFERROR(B31/C31*1000,"")</f>
        <v/>
      </c>
      <c r="J31" s="87">
        <f>SUMIFS(Raw_Data!$AA$2:$AA$2552,Raw_Data!$K$2:$K$2552,$A31)</f>
        <v/>
      </c>
      <c r="K31" s="18">
        <f>IFERROR(J31/F31,"")</f>
        <v/>
      </c>
      <c r="L31" s="87">
        <f>SUMIFS(Raw_Data!$AL$2:$AL$2552,Raw_Data!$K$2:$K$2552,$A31)</f>
        <v/>
      </c>
      <c r="M31" s="89">
        <f>IFERROR(L31/J31,"")</f>
        <v/>
      </c>
      <c r="N31" s="86">
        <f>IFERROR(B31/L31,"")</f>
        <v/>
      </c>
      <c r="O31" s="87">
        <f>SUMIFS(Raw_Data!$AO$2:$AO$2552,Raw_Data!$K$2:$K$2552,$A31)</f>
        <v/>
      </c>
      <c r="P31" s="18">
        <f>IFERROR(O31/L31,"")</f>
        <v/>
      </c>
      <c r="Q31" s="86">
        <f>IFERROR(B31/O31,"")</f>
        <v/>
      </c>
      <c r="R31" s="87">
        <f>SUMIFS(Raw_Data!$AR$2:$AR$2552,Raw_Data!$K$2:$K$2552,$A31)</f>
        <v/>
      </c>
      <c r="S31" s="87">
        <f>SUMIFS(Raw_Data!$AS$2:$AS$2552,Raw_Data!$K$2:$K$2552,$A31)</f>
        <v/>
      </c>
      <c r="T31" s="87">
        <f>L31+R31</f>
        <v/>
      </c>
      <c r="U31" s="86">
        <f>SUMIFS(Raw_Data!$AU$2:$AU$2552,Raw_Data!$K$2:$K$2552,$A31)</f>
        <v/>
      </c>
      <c r="V31" s="18">
        <f>IFERROR(B31/$B$17,"")</f>
        <v/>
      </c>
      <c r="W31" s="18">
        <f>IFERROR(L31/$L$17,"")</f>
        <v/>
      </c>
    </row>
    <row r="32">
      <c r="A32" s="6" t="inlineStr">
        <is>
          <t>Lookalike</t>
        </is>
      </c>
      <c r="B32" s="86">
        <f>SUMIFS(Raw_Data!$R$2:$R$2552,Raw_Data!$K$2:$K$2552,$A32)</f>
        <v/>
      </c>
      <c r="C32" s="87">
        <f>SUMIFS(Raw_Data!$S$2:$S$2552,Raw_Data!$K$2:$K$2552,$A32)</f>
        <v/>
      </c>
      <c r="D32" s="87">
        <f>SUMIFS(Raw_Data!$T$2:$T$2552,Raw_Data!$K$2:$K$2552,$A32)</f>
        <v/>
      </c>
      <c r="E32" s="88">
        <f>IFERROR(C32/D32,"")</f>
        <v/>
      </c>
      <c r="F32" s="87">
        <f>SUMIFS(Raw_Data!$W$2:$W$2552,Raw_Data!$K$2:$K$2552,$A32)</f>
        <v/>
      </c>
      <c r="G32" s="89">
        <f>IFERROR(F32/C32,"")</f>
        <v/>
      </c>
      <c r="H32" s="90">
        <f>IFERROR(B32/F32,"")</f>
        <v/>
      </c>
      <c r="I32" s="90">
        <f>IFERROR(B32/C32*1000,"")</f>
        <v/>
      </c>
      <c r="J32" s="87">
        <f>SUMIFS(Raw_Data!$AA$2:$AA$2552,Raw_Data!$K$2:$K$2552,$A32)</f>
        <v/>
      </c>
      <c r="K32" s="18">
        <f>IFERROR(J32/F32,"")</f>
        <v/>
      </c>
      <c r="L32" s="87">
        <f>SUMIFS(Raw_Data!$AL$2:$AL$2552,Raw_Data!$K$2:$K$2552,$A32)</f>
        <v/>
      </c>
      <c r="M32" s="89">
        <f>IFERROR(L32/J32,"")</f>
        <v/>
      </c>
      <c r="N32" s="86">
        <f>IFERROR(B32/L32,"")</f>
        <v/>
      </c>
      <c r="O32" s="87">
        <f>SUMIFS(Raw_Data!$AO$2:$AO$2552,Raw_Data!$K$2:$K$2552,$A32)</f>
        <v/>
      </c>
      <c r="P32" s="18">
        <f>IFERROR(O32/L32,"")</f>
        <v/>
      </c>
      <c r="Q32" s="86">
        <f>IFERROR(B32/O32,"")</f>
        <v/>
      </c>
      <c r="R32" s="87">
        <f>SUMIFS(Raw_Data!$AR$2:$AR$2552,Raw_Data!$K$2:$K$2552,$A32)</f>
        <v/>
      </c>
      <c r="S32" s="87">
        <f>SUMIFS(Raw_Data!$AS$2:$AS$2552,Raw_Data!$K$2:$K$2552,$A32)</f>
        <v/>
      </c>
      <c r="T32" s="87">
        <f>L32+R32</f>
        <v/>
      </c>
      <c r="U32" s="86">
        <f>SUMIFS(Raw_Data!$AU$2:$AU$2552,Raw_Data!$K$2:$K$2552,$A32)</f>
        <v/>
      </c>
      <c r="V32" s="18">
        <f>IFERROR(B32/$B$17,"")</f>
        <v/>
      </c>
      <c r="W32" s="18">
        <f>IFERROR(L32/$L$17,"")</f>
        <v/>
      </c>
    </row>
    <row r="33">
      <c r="A33" s="6" t="inlineStr">
        <is>
          <t>Prospecting</t>
        </is>
      </c>
      <c r="B33" s="86">
        <f>SUMIFS(Raw_Data!$R$2:$R$2552,Raw_Data!$K$2:$K$2552,$A33)</f>
        <v/>
      </c>
      <c r="C33" s="87">
        <f>SUMIFS(Raw_Data!$S$2:$S$2552,Raw_Data!$K$2:$K$2552,$A33)</f>
        <v/>
      </c>
      <c r="D33" s="87">
        <f>SUMIFS(Raw_Data!$T$2:$T$2552,Raw_Data!$K$2:$K$2552,$A33)</f>
        <v/>
      </c>
      <c r="E33" s="88">
        <f>IFERROR(C33/D33,"")</f>
        <v/>
      </c>
      <c r="F33" s="87">
        <f>SUMIFS(Raw_Data!$W$2:$W$2552,Raw_Data!$K$2:$K$2552,$A33)</f>
        <v/>
      </c>
      <c r="G33" s="89">
        <f>IFERROR(F33/C33,"")</f>
        <v/>
      </c>
      <c r="H33" s="90">
        <f>IFERROR(B33/F33,"")</f>
        <v/>
      </c>
      <c r="I33" s="90">
        <f>IFERROR(B33/C33*1000,"")</f>
        <v/>
      </c>
      <c r="J33" s="87">
        <f>SUMIFS(Raw_Data!$AA$2:$AA$2552,Raw_Data!$K$2:$K$2552,$A33)</f>
        <v/>
      </c>
      <c r="K33" s="18">
        <f>IFERROR(J33/F33,"")</f>
        <v/>
      </c>
      <c r="L33" s="87">
        <f>SUMIFS(Raw_Data!$AL$2:$AL$2552,Raw_Data!$K$2:$K$2552,$A33)</f>
        <v/>
      </c>
      <c r="M33" s="89">
        <f>IFERROR(L33/J33,"")</f>
        <v/>
      </c>
      <c r="N33" s="86">
        <f>IFERROR(B33/L33,"")</f>
        <v/>
      </c>
      <c r="O33" s="87">
        <f>SUMIFS(Raw_Data!$AO$2:$AO$2552,Raw_Data!$K$2:$K$2552,$A33)</f>
        <v/>
      </c>
      <c r="P33" s="18">
        <f>IFERROR(O33/L33,"")</f>
        <v/>
      </c>
      <c r="Q33" s="86">
        <f>IFERROR(B33/O33,"")</f>
        <v/>
      </c>
      <c r="R33" s="87">
        <f>SUMIFS(Raw_Data!$AR$2:$AR$2552,Raw_Data!$K$2:$K$2552,$A33)</f>
        <v/>
      </c>
      <c r="S33" s="87">
        <f>SUMIFS(Raw_Data!$AS$2:$AS$2552,Raw_Data!$K$2:$K$2552,$A33)</f>
        <v/>
      </c>
      <c r="T33" s="87">
        <f>L33+R33</f>
        <v/>
      </c>
      <c r="U33" s="86">
        <f>SUMIFS(Raw_Data!$AU$2:$AU$2552,Raw_Data!$K$2:$K$2552,$A33)</f>
        <v/>
      </c>
      <c r="V33" s="18">
        <f>IFERROR(B33/$B$17,"")</f>
        <v/>
      </c>
      <c r="W33" s="18">
        <f>IFERROR(L33/$L$17,"")</f>
        <v/>
      </c>
    </row>
    <row r="34">
      <c r="A34" s="6" t="inlineStr">
        <is>
          <t>Retargeting</t>
        </is>
      </c>
      <c r="B34" s="86">
        <f>SUMIFS(Raw_Data!$R$2:$R$2552,Raw_Data!$K$2:$K$2552,$A34)</f>
        <v/>
      </c>
      <c r="C34" s="87">
        <f>SUMIFS(Raw_Data!$S$2:$S$2552,Raw_Data!$K$2:$K$2552,$A34)</f>
        <v/>
      </c>
      <c r="D34" s="87">
        <f>SUMIFS(Raw_Data!$T$2:$T$2552,Raw_Data!$K$2:$K$2552,$A34)</f>
        <v/>
      </c>
      <c r="E34" s="88">
        <f>IFERROR(C34/D34,"")</f>
        <v/>
      </c>
      <c r="F34" s="87">
        <f>SUMIFS(Raw_Data!$W$2:$W$2552,Raw_Data!$K$2:$K$2552,$A34)</f>
        <v/>
      </c>
      <c r="G34" s="89">
        <f>IFERROR(F34/C34,"")</f>
        <v/>
      </c>
      <c r="H34" s="90">
        <f>IFERROR(B34/F34,"")</f>
        <v/>
      </c>
      <c r="I34" s="90">
        <f>IFERROR(B34/C34*1000,"")</f>
        <v/>
      </c>
      <c r="J34" s="87">
        <f>SUMIFS(Raw_Data!$AA$2:$AA$2552,Raw_Data!$K$2:$K$2552,$A34)</f>
        <v/>
      </c>
      <c r="K34" s="18">
        <f>IFERROR(J34/F34,"")</f>
        <v/>
      </c>
      <c r="L34" s="87">
        <f>SUMIFS(Raw_Data!$AL$2:$AL$2552,Raw_Data!$K$2:$K$2552,$A34)</f>
        <v/>
      </c>
      <c r="M34" s="89">
        <f>IFERROR(L34/J34,"")</f>
        <v/>
      </c>
      <c r="N34" s="86">
        <f>IFERROR(B34/L34,"")</f>
        <v/>
      </c>
      <c r="O34" s="87">
        <f>SUMIFS(Raw_Data!$AO$2:$AO$2552,Raw_Data!$K$2:$K$2552,$A34)</f>
        <v/>
      </c>
      <c r="P34" s="18">
        <f>IFERROR(O34/L34,"")</f>
        <v/>
      </c>
      <c r="Q34" s="86">
        <f>IFERROR(B34/O34,"")</f>
        <v/>
      </c>
      <c r="R34" s="87">
        <f>SUMIFS(Raw_Data!$AR$2:$AR$2552,Raw_Data!$K$2:$K$2552,$A34)</f>
        <v/>
      </c>
      <c r="S34" s="87">
        <f>SUMIFS(Raw_Data!$AS$2:$AS$2552,Raw_Data!$K$2:$K$2552,$A34)</f>
        <v/>
      </c>
      <c r="T34" s="87">
        <f>L34+R34</f>
        <v/>
      </c>
      <c r="U34" s="86">
        <f>SUMIFS(Raw_Data!$AU$2:$AU$2552,Raw_Data!$K$2:$K$2552,$A34)</f>
        <v/>
      </c>
      <c r="V34" s="18">
        <f>IFERROR(B34/$B$17,"")</f>
        <v/>
      </c>
      <c r="W34" s="18">
        <f>IFERROR(L34/$L$17,"")</f>
        <v/>
      </c>
    </row>
    <row r="35">
      <c r="A35" s="19" t="inlineStr">
        <is>
          <t>TOTAL</t>
        </is>
      </c>
      <c r="B35" s="91" t="n"/>
      <c r="C35" s="92" t="n"/>
      <c r="D35" s="92" t="n"/>
      <c r="E35" s="93">
        <f>IFERROR(C35/D35,"")</f>
        <v/>
      </c>
      <c r="F35" s="92" t="n"/>
      <c r="G35" s="94">
        <f>IFERROR(F35/C35,"")</f>
        <v/>
      </c>
      <c r="H35" s="95">
        <f>IFERROR(B35/F35,"")</f>
        <v/>
      </c>
      <c r="I35" s="95">
        <f>IFERROR(B35/C35*1000,"")</f>
        <v/>
      </c>
      <c r="J35" s="92" t="n"/>
      <c r="K35" s="25">
        <f>IFERROR(J35/F35,"")</f>
        <v/>
      </c>
      <c r="L35" s="92" t="n"/>
      <c r="M35" s="94">
        <f>IFERROR(L35/J35,"")</f>
        <v/>
      </c>
      <c r="N35" s="91">
        <f>IFERROR(B35/L35,"")</f>
        <v/>
      </c>
      <c r="O35" s="92" t="n"/>
      <c r="P35" s="25">
        <f>IFERROR(O35/L35,"")</f>
        <v/>
      </c>
      <c r="Q35" s="91">
        <f>IFERROR(B35/O35,"")</f>
        <v/>
      </c>
      <c r="R35" s="92" t="n"/>
      <c r="S35" s="92" t="n"/>
      <c r="T35" s="92">
        <f>L35+R35</f>
        <v/>
      </c>
      <c r="U35" s="91" t="n"/>
      <c r="V35" s="25">
        <f>IFERROR(B35/$B$17,"")</f>
        <v/>
      </c>
      <c r="W35" s="25">
        <f>IFERROR(L35/$L$17,"")</f>
        <v/>
      </c>
    </row>
    <row r="37" ht="18" customHeight="1" s="67">
      <c r="A37" s="2" t="inlineStr">
        <is>
          <t xml:space="preserve">  PERFORMANCE BY WEEK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30" customHeight="1" s="67">
      <c r="A38" s="12" t="inlineStr">
        <is>
          <t>ISO Week</t>
        </is>
      </c>
      <c r="B38" s="12" t="inlineStr">
        <is>
          <t>Spend (ZAR)</t>
        </is>
      </c>
      <c r="C38" s="12" t="inlineStr">
        <is>
          <t>Impressions</t>
        </is>
      </c>
      <c r="D38" s="12" t="inlineStr">
        <is>
          <t>Reach (sum of daily)</t>
        </is>
      </c>
      <c r="E38" s="12" t="inlineStr">
        <is>
          <t>Avg Daily Frequency</t>
        </is>
      </c>
      <c r="F38" s="12" t="inlineStr">
        <is>
          <t>Link Clicks</t>
        </is>
      </c>
      <c r="G38" s="12" t="inlineStr">
        <is>
          <t>CTR (Link)</t>
        </is>
      </c>
      <c r="H38" s="12" t="inlineStr">
        <is>
          <t>CPC (Link)</t>
        </is>
      </c>
      <c r="I38" s="12" t="inlineStr">
        <is>
          <t>CPM</t>
        </is>
      </c>
      <c r="J38" s="12" t="inlineStr">
        <is>
          <t>Landing Page Views</t>
        </is>
      </c>
      <c r="K38" s="12" t="inlineStr">
        <is>
          <t>LPV Rate</t>
        </is>
      </c>
      <c r="L38" s="12" t="inlineStr">
        <is>
          <t>Test Drive Bookings</t>
        </is>
      </c>
      <c r="M38" s="12" t="inlineStr">
        <is>
          <t>CVR (Booking / LPV)</t>
        </is>
      </c>
      <c r="N38" s="12" t="inlineStr">
        <is>
          <t>CPL (Cost / Booking)</t>
        </is>
      </c>
      <c r="O38" s="12" t="inlineStr">
        <is>
          <t>Qualified Leads</t>
        </is>
      </c>
      <c r="P38" s="12" t="inlineStr">
        <is>
          <t>Qualified Rate</t>
        </is>
      </c>
      <c r="Q38" s="12" t="inlineStr">
        <is>
          <t>Cost per Qualified Lead</t>
        </is>
      </c>
      <c r="R38" s="12" t="inlineStr">
        <is>
          <t>View-Through Conv.</t>
        </is>
      </c>
      <c r="S38" s="12" t="inlineStr">
        <is>
          <t>Assisted Conv.</t>
        </is>
      </c>
      <c r="T38" s="12" t="inlineStr">
        <is>
          <t>Total Attributed Conv.</t>
        </is>
      </c>
      <c r="U38" s="12" t="inlineStr">
        <is>
          <t>Est. Revenue Pipeline (ZAR)</t>
        </is>
      </c>
      <c r="V38" s="12" t="inlineStr">
        <is>
          <t>% of Spend</t>
        </is>
      </c>
      <c r="W38" s="12" t="inlineStr">
        <is>
          <t>% of Bookings</t>
        </is>
      </c>
    </row>
    <row r="39">
      <c r="A39" s="6" t="inlineStr">
        <is>
          <t>Wk 31</t>
        </is>
      </c>
      <c r="B39" s="86">
        <f>SUMIFS(Raw_Data!$R$2:$R$2552,Raw_Data!$B$2:$B$2552,$A39)</f>
        <v/>
      </c>
      <c r="C39" s="87">
        <f>SUMIFS(Raw_Data!$S$2:$S$2552,Raw_Data!$B$2:$B$2552,$A39)</f>
        <v/>
      </c>
      <c r="D39" s="87">
        <f>SUMIFS(Raw_Data!$T$2:$T$2552,Raw_Data!$B$2:$B$2552,$A39)</f>
        <v/>
      </c>
      <c r="E39" s="88">
        <f>IFERROR(C39/D39,"")</f>
        <v/>
      </c>
      <c r="F39" s="87">
        <f>SUMIFS(Raw_Data!$W$2:$W$2552,Raw_Data!$B$2:$B$2552,$A39)</f>
        <v/>
      </c>
      <c r="G39" s="89">
        <f>IFERROR(F39/C39,"")</f>
        <v/>
      </c>
      <c r="H39" s="90">
        <f>IFERROR(B39/F39,"")</f>
        <v/>
      </c>
      <c r="I39" s="90">
        <f>IFERROR(B39/C39*1000,"")</f>
        <v/>
      </c>
      <c r="J39" s="87">
        <f>SUMIFS(Raw_Data!$AA$2:$AA$2552,Raw_Data!$B$2:$B$2552,$A39)</f>
        <v/>
      </c>
      <c r="K39" s="18">
        <f>IFERROR(J39/F39,"")</f>
        <v/>
      </c>
      <c r="L39" s="87">
        <f>SUMIFS(Raw_Data!$AL$2:$AL$2552,Raw_Data!$B$2:$B$2552,$A39)</f>
        <v/>
      </c>
      <c r="M39" s="89">
        <f>IFERROR(L39/J39,"")</f>
        <v/>
      </c>
      <c r="N39" s="86">
        <f>IFERROR(B39/L39,"")</f>
        <v/>
      </c>
      <c r="O39" s="87">
        <f>SUMIFS(Raw_Data!$AO$2:$AO$2552,Raw_Data!$B$2:$B$2552,$A39)</f>
        <v/>
      </c>
      <c r="P39" s="18">
        <f>IFERROR(O39/L39,"")</f>
        <v/>
      </c>
      <c r="Q39" s="86">
        <f>IFERROR(B39/O39,"")</f>
        <v/>
      </c>
      <c r="R39" s="87">
        <f>SUMIFS(Raw_Data!$AR$2:$AR$2552,Raw_Data!$B$2:$B$2552,$A39)</f>
        <v/>
      </c>
      <c r="S39" s="87">
        <f>SUMIFS(Raw_Data!$AS$2:$AS$2552,Raw_Data!$B$2:$B$2552,$A39)</f>
        <v/>
      </c>
      <c r="T39" s="87">
        <f>L39+R39</f>
        <v/>
      </c>
      <c r="U39" s="86">
        <f>SUMIFS(Raw_Data!$AU$2:$AU$2552,Raw_Data!$B$2:$B$2552,$A39)</f>
        <v/>
      </c>
      <c r="V39" s="18">
        <f>IFERROR(B39/$B$17,"")</f>
        <v/>
      </c>
      <c r="W39" s="18">
        <f>IFERROR(L39/$L$17,"")</f>
        <v/>
      </c>
    </row>
    <row r="40">
      <c r="A40" s="6" t="inlineStr">
        <is>
          <t>Wk 32</t>
        </is>
      </c>
      <c r="B40" s="86">
        <f>SUMIFS(Raw_Data!$R$2:$R$2552,Raw_Data!$B$2:$B$2552,$A40)</f>
        <v/>
      </c>
      <c r="C40" s="87">
        <f>SUMIFS(Raw_Data!$S$2:$S$2552,Raw_Data!$B$2:$B$2552,$A40)</f>
        <v/>
      </c>
      <c r="D40" s="87">
        <f>SUMIFS(Raw_Data!$T$2:$T$2552,Raw_Data!$B$2:$B$2552,$A40)</f>
        <v/>
      </c>
      <c r="E40" s="88">
        <f>IFERROR(C40/D40,"")</f>
        <v/>
      </c>
      <c r="F40" s="87">
        <f>SUMIFS(Raw_Data!$W$2:$W$2552,Raw_Data!$B$2:$B$2552,$A40)</f>
        <v/>
      </c>
      <c r="G40" s="89">
        <f>IFERROR(F40/C40,"")</f>
        <v/>
      </c>
      <c r="H40" s="90">
        <f>IFERROR(B40/F40,"")</f>
        <v/>
      </c>
      <c r="I40" s="90">
        <f>IFERROR(B40/C40*1000,"")</f>
        <v/>
      </c>
      <c r="J40" s="87">
        <f>SUMIFS(Raw_Data!$AA$2:$AA$2552,Raw_Data!$B$2:$B$2552,$A40)</f>
        <v/>
      </c>
      <c r="K40" s="18">
        <f>IFERROR(J40/F40,"")</f>
        <v/>
      </c>
      <c r="L40" s="87">
        <f>SUMIFS(Raw_Data!$AL$2:$AL$2552,Raw_Data!$B$2:$B$2552,$A40)</f>
        <v/>
      </c>
      <c r="M40" s="89">
        <f>IFERROR(L40/J40,"")</f>
        <v/>
      </c>
      <c r="N40" s="86">
        <f>IFERROR(B40/L40,"")</f>
        <v/>
      </c>
      <c r="O40" s="87">
        <f>SUMIFS(Raw_Data!$AO$2:$AO$2552,Raw_Data!$B$2:$B$2552,$A40)</f>
        <v/>
      </c>
      <c r="P40" s="18">
        <f>IFERROR(O40/L40,"")</f>
        <v/>
      </c>
      <c r="Q40" s="86">
        <f>IFERROR(B40/O40,"")</f>
        <v/>
      </c>
      <c r="R40" s="87">
        <f>SUMIFS(Raw_Data!$AR$2:$AR$2552,Raw_Data!$B$2:$B$2552,$A40)</f>
        <v/>
      </c>
      <c r="S40" s="87">
        <f>SUMIFS(Raw_Data!$AS$2:$AS$2552,Raw_Data!$B$2:$B$2552,$A40)</f>
        <v/>
      </c>
      <c r="T40" s="87">
        <f>L40+R40</f>
        <v/>
      </c>
      <c r="U40" s="86">
        <f>SUMIFS(Raw_Data!$AU$2:$AU$2552,Raw_Data!$B$2:$B$2552,$A40)</f>
        <v/>
      </c>
      <c r="V40" s="18">
        <f>IFERROR(B40/$B$17,"")</f>
        <v/>
      </c>
      <c r="W40" s="18">
        <f>IFERROR(L40/$L$17,"")</f>
        <v/>
      </c>
    </row>
    <row r="41">
      <c r="A41" s="6" t="inlineStr">
        <is>
          <t>Wk 33</t>
        </is>
      </c>
      <c r="B41" s="86">
        <f>SUMIFS(Raw_Data!$R$2:$R$2552,Raw_Data!$B$2:$B$2552,$A41)</f>
        <v/>
      </c>
      <c r="C41" s="87">
        <f>SUMIFS(Raw_Data!$S$2:$S$2552,Raw_Data!$B$2:$B$2552,$A41)</f>
        <v/>
      </c>
      <c r="D41" s="87">
        <f>SUMIFS(Raw_Data!$T$2:$T$2552,Raw_Data!$B$2:$B$2552,$A41)</f>
        <v/>
      </c>
      <c r="E41" s="88">
        <f>IFERROR(C41/D41,"")</f>
        <v/>
      </c>
      <c r="F41" s="87">
        <f>SUMIFS(Raw_Data!$W$2:$W$2552,Raw_Data!$B$2:$B$2552,$A41)</f>
        <v/>
      </c>
      <c r="G41" s="89">
        <f>IFERROR(F41/C41,"")</f>
        <v/>
      </c>
      <c r="H41" s="90">
        <f>IFERROR(B41/F41,"")</f>
        <v/>
      </c>
      <c r="I41" s="90">
        <f>IFERROR(B41/C41*1000,"")</f>
        <v/>
      </c>
      <c r="J41" s="87">
        <f>SUMIFS(Raw_Data!$AA$2:$AA$2552,Raw_Data!$B$2:$B$2552,$A41)</f>
        <v/>
      </c>
      <c r="K41" s="18">
        <f>IFERROR(J41/F41,"")</f>
        <v/>
      </c>
      <c r="L41" s="87">
        <f>SUMIFS(Raw_Data!$AL$2:$AL$2552,Raw_Data!$B$2:$B$2552,$A41)</f>
        <v/>
      </c>
      <c r="M41" s="89">
        <f>IFERROR(L41/J41,"")</f>
        <v/>
      </c>
      <c r="N41" s="86">
        <f>IFERROR(B41/L41,"")</f>
        <v/>
      </c>
      <c r="O41" s="87">
        <f>SUMIFS(Raw_Data!$AO$2:$AO$2552,Raw_Data!$B$2:$B$2552,$A41)</f>
        <v/>
      </c>
      <c r="P41" s="18">
        <f>IFERROR(O41/L41,"")</f>
        <v/>
      </c>
      <c r="Q41" s="86">
        <f>IFERROR(B41/O41,"")</f>
        <v/>
      </c>
      <c r="R41" s="87">
        <f>SUMIFS(Raw_Data!$AR$2:$AR$2552,Raw_Data!$B$2:$B$2552,$A41)</f>
        <v/>
      </c>
      <c r="S41" s="87">
        <f>SUMIFS(Raw_Data!$AS$2:$AS$2552,Raw_Data!$B$2:$B$2552,$A41)</f>
        <v/>
      </c>
      <c r="T41" s="87">
        <f>L41+R41</f>
        <v/>
      </c>
      <c r="U41" s="86">
        <f>SUMIFS(Raw_Data!$AU$2:$AU$2552,Raw_Data!$B$2:$B$2552,$A41)</f>
        <v/>
      </c>
      <c r="V41" s="18">
        <f>IFERROR(B41/$B$17,"")</f>
        <v/>
      </c>
      <c r="W41" s="18">
        <f>IFERROR(L41/$L$17,"")</f>
        <v/>
      </c>
    </row>
    <row r="42">
      <c r="A42" s="6" t="inlineStr">
        <is>
          <t>Wk 34</t>
        </is>
      </c>
      <c r="B42" s="86">
        <f>SUMIFS(Raw_Data!$R$2:$R$2552,Raw_Data!$B$2:$B$2552,$A42)</f>
        <v/>
      </c>
      <c r="C42" s="87">
        <f>SUMIFS(Raw_Data!$S$2:$S$2552,Raw_Data!$B$2:$B$2552,$A42)</f>
        <v/>
      </c>
      <c r="D42" s="87">
        <f>SUMIFS(Raw_Data!$T$2:$T$2552,Raw_Data!$B$2:$B$2552,$A42)</f>
        <v/>
      </c>
      <c r="E42" s="88">
        <f>IFERROR(C42/D42,"")</f>
        <v/>
      </c>
      <c r="F42" s="87">
        <f>SUMIFS(Raw_Data!$W$2:$W$2552,Raw_Data!$B$2:$B$2552,$A42)</f>
        <v/>
      </c>
      <c r="G42" s="89">
        <f>IFERROR(F42/C42,"")</f>
        <v/>
      </c>
      <c r="H42" s="90">
        <f>IFERROR(B42/F42,"")</f>
        <v/>
      </c>
      <c r="I42" s="90">
        <f>IFERROR(B42/C42*1000,"")</f>
        <v/>
      </c>
      <c r="J42" s="87">
        <f>SUMIFS(Raw_Data!$AA$2:$AA$2552,Raw_Data!$B$2:$B$2552,$A42)</f>
        <v/>
      </c>
      <c r="K42" s="18">
        <f>IFERROR(J42/F42,"")</f>
        <v/>
      </c>
      <c r="L42" s="87">
        <f>SUMIFS(Raw_Data!$AL$2:$AL$2552,Raw_Data!$B$2:$B$2552,$A42)</f>
        <v/>
      </c>
      <c r="M42" s="89">
        <f>IFERROR(L42/J42,"")</f>
        <v/>
      </c>
      <c r="N42" s="86">
        <f>IFERROR(B42/L42,"")</f>
        <v/>
      </c>
      <c r="O42" s="87">
        <f>SUMIFS(Raw_Data!$AO$2:$AO$2552,Raw_Data!$B$2:$B$2552,$A42)</f>
        <v/>
      </c>
      <c r="P42" s="18">
        <f>IFERROR(O42/L42,"")</f>
        <v/>
      </c>
      <c r="Q42" s="86">
        <f>IFERROR(B42/O42,"")</f>
        <v/>
      </c>
      <c r="R42" s="87">
        <f>SUMIFS(Raw_Data!$AR$2:$AR$2552,Raw_Data!$B$2:$B$2552,$A42)</f>
        <v/>
      </c>
      <c r="S42" s="87">
        <f>SUMIFS(Raw_Data!$AS$2:$AS$2552,Raw_Data!$B$2:$B$2552,$A42)</f>
        <v/>
      </c>
      <c r="T42" s="87">
        <f>L42+R42</f>
        <v/>
      </c>
      <c r="U42" s="86">
        <f>SUMIFS(Raw_Data!$AU$2:$AU$2552,Raw_Data!$B$2:$B$2552,$A42)</f>
        <v/>
      </c>
      <c r="V42" s="18">
        <f>IFERROR(B42/$B$17,"")</f>
        <v/>
      </c>
      <c r="W42" s="18">
        <f>IFERROR(L42/$L$17,"")</f>
        <v/>
      </c>
    </row>
    <row r="43">
      <c r="A43" s="6" t="inlineStr">
        <is>
          <t>Wk 35</t>
        </is>
      </c>
      <c r="B43" s="86">
        <f>SUMIFS(Raw_Data!$R$2:$R$2552,Raw_Data!$B$2:$B$2552,$A43)</f>
        <v/>
      </c>
      <c r="C43" s="87">
        <f>SUMIFS(Raw_Data!$S$2:$S$2552,Raw_Data!$B$2:$B$2552,$A43)</f>
        <v/>
      </c>
      <c r="D43" s="87">
        <f>SUMIFS(Raw_Data!$T$2:$T$2552,Raw_Data!$B$2:$B$2552,$A43)</f>
        <v/>
      </c>
      <c r="E43" s="88">
        <f>IFERROR(C43/D43,"")</f>
        <v/>
      </c>
      <c r="F43" s="87">
        <f>SUMIFS(Raw_Data!$W$2:$W$2552,Raw_Data!$B$2:$B$2552,$A43)</f>
        <v/>
      </c>
      <c r="G43" s="89">
        <f>IFERROR(F43/C43,"")</f>
        <v/>
      </c>
      <c r="H43" s="90">
        <f>IFERROR(B43/F43,"")</f>
        <v/>
      </c>
      <c r="I43" s="90">
        <f>IFERROR(B43/C43*1000,"")</f>
        <v/>
      </c>
      <c r="J43" s="87">
        <f>SUMIFS(Raw_Data!$AA$2:$AA$2552,Raw_Data!$B$2:$B$2552,$A43)</f>
        <v/>
      </c>
      <c r="K43" s="18">
        <f>IFERROR(J43/F43,"")</f>
        <v/>
      </c>
      <c r="L43" s="87">
        <f>SUMIFS(Raw_Data!$AL$2:$AL$2552,Raw_Data!$B$2:$B$2552,$A43)</f>
        <v/>
      </c>
      <c r="M43" s="89">
        <f>IFERROR(L43/J43,"")</f>
        <v/>
      </c>
      <c r="N43" s="86">
        <f>IFERROR(B43/L43,"")</f>
        <v/>
      </c>
      <c r="O43" s="87">
        <f>SUMIFS(Raw_Data!$AO$2:$AO$2552,Raw_Data!$B$2:$B$2552,$A43)</f>
        <v/>
      </c>
      <c r="P43" s="18">
        <f>IFERROR(O43/L43,"")</f>
        <v/>
      </c>
      <c r="Q43" s="86">
        <f>IFERROR(B43/O43,"")</f>
        <v/>
      </c>
      <c r="R43" s="87">
        <f>SUMIFS(Raw_Data!$AR$2:$AR$2552,Raw_Data!$B$2:$B$2552,$A43)</f>
        <v/>
      </c>
      <c r="S43" s="87">
        <f>SUMIFS(Raw_Data!$AS$2:$AS$2552,Raw_Data!$B$2:$B$2552,$A43)</f>
        <v/>
      </c>
      <c r="T43" s="87">
        <f>L43+R43</f>
        <v/>
      </c>
      <c r="U43" s="86">
        <f>SUMIFS(Raw_Data!$AU$2:$AU$2552,Raw_Data!$B$2:$B$2552,$A43)</f>
        <v/>
      </c>
      <c r="V43" s="18">
        <f>IFERROR(B43/$B$17,"")</f>
        <v/>
      </c>
      <c r="W43" s="18">
        <f>IFERROR(L43/$L$17,"")</f>
        <v/>
      </c>
    </row>
    <row r="44">
      <c r="A44" s="6" t="inlineStr">
        <is>
          <t>Wk 36</t>
        </is>
      </c>
      <c r="B44" s="86">
        <f>SUMIFS(Raw_Data!$R$2:$R$2552,Raw_Data!$B$2:$B$2552,$A44)</f>
        <v/>
      </c>
      <c r="C44" s="87">
        <f>SUMIFS(Raw_Data!$S$2:$S$2552,Raw_Data!$B$2:$B$2552,$A44)</f>
        <v/>
      </c>
      <c r="D44" s="87">
        <f>SUMIFS(Raw_Data!$T$2:$T$2552,Raw_Data!$B$2:$B$2552,$A44)</f>
        <v/>
      </c>
      <c r="E44" s="88">
        <f>IFERROR(C44/D44,"")</f>
        <v/>
      </c>
      <c r="F44" s="87">
        <f>SUMIFS(Raw_Data!$W$2:$W$2552,Raw_Data!$B$2:$B$2552,$A44)</f>
        <v/>
      </c>
      <c r="G44" s="89">
        <f>IFERROR(F44/C44,"")</f>
        <v/>
      </c>
      <c r="H44" s="90">
        <f>IFERROR(B44/F44,"")</f>
        <v/>
      </c>
      <c r="I44" s="90">
        <f>IFERROR(B44/C44*1000,"")</f>
        <v/>
      </c>
      <c r="J44" s="87">
        <f>SUMIFS(Raw_Data!$AA$2:$AA$2552,Raw_Data!$B$2:$B$2552,$A44)</f>
        <v/>
      </c>
      <c r="K44" s="18">
        <f>IFERROR(J44/F44,"")</f>
        <v/>
      </c>
      <c r="L44" s="87">
        <f>SUMIFS(Raw_Data!$AL$2:$AL$2552,Raw_Data!$B$2:$B$2552,$A44)</f>
        <v/>
      </c>
      <c r="M44" s="89">
        <f>IFERROR(L44/J44,"")</f>
        <v/>
      </c>
      <c r="N44" s="86">
        <f>IFERROR(B44/L44,"")</f>
        <v/>
      </c>
      <c r="O44" s="87">
        <f>SUMIFS(Raw_Data!$AO$2:$AO$2552,Raw_Data!$B$2:$B$2552,$A44)</f>
        <v/>
      </c>
      <c r="P44" s="18">
        <f>IFERROR(O44/L44,"")</f>
        <v/>
      </c>
      <c r="Q44" s="86">
        <f>IFERROR(B44/O44,"")</f>
        <v/>
      </c>
      <c r="R44" s="87">
        <f>SUMIFS(Raw_Data!$AR$2:$AR$2552,Raw_Data!$B$2:$B$2552,$A44)</f>
        <v/>
      </c>
      <c r="S44" s="87">
        <f>SUMIFS(Raw_Data!$AS$2:$AS$2552,Raw_Data!$B$2:$B$2552,$A44)</f>
        <v/>
      </c>
      <c r="T44" s="87">
        <f>L44+R44</f>
        <v/>
      </c>
      <c r="U44" s="86">
        <f>SUMIFS(Raw_Data!$AU$2:$AU$2552,Raw_Data!$B$2:$B$2552,$A44)</f>
        <v/>
      </c>
      <c r="V44" s="18">
        <f>IFERROR(B44/$B$17,"")</f>
        <v/>
      </c>
      <c r="W44" s="18">
        <f>IFERROR(L44/$L$17,"")</f>
        <v/>
      </c>
    </row>
    <row r="45">
      <c r="A45" s="19" t="inlineStr">
        <is>
          <t>TOTAL</t>
        </is>
      </c>
      <c r="B45" s="91" t="n"/>
      <c r="C45" s="92" t="n"/>
      <c r="D45" s="92" t="n"/>
      <c r="E45" s="93">
        <f>IFERROR(C45/D45,"")</f>
        <v/>
      </c>
      <c r="F45" s="92" t="n"/>
      <c r="G45" s="94">
        <f>IFERROR(F45/C45,"")</f>
        <v/>
      </c>
      <c r="H45" s="95">
        <f>IFERROR(B45/F45,"")</f>
        <v/>
      </c>
      <c r="I45" s="95">
        <f>IFERROR(B45/C45*1000,"")</f>
        <v/>
      </c>
      <c r="J45" s="92" t="n"/>
      <c r="K45" s="25">
        <f>IFERROR(J45/F45,"")</f>
        <v/>
      </c>
      <c r="L45" s="92" t="n"/>
      <c r="M45" s="94">
        <f>IFERROR(L45/J45,"")</f>
        <v/>
      </c>
      <c r="N45" s="91">
        <f>IFERROR(B45/L45,"")</f>
        <v/>
      </c>
      <c r="O45" s="92" t="n"/>
      <c r="P45" s="25">
        <f>IFERROR(O45/L45,"")</f>
        <v/>
      </c>
      <c r="Q45" s="91">
        <f>IFERROR(B45/O45,"")</f>
        <v/>
      </c>
      <c r="R45" s="92" t="n"/>
      <c r="S45" s="92" t="n"/>
      <c r="T45" s="92">
        <f>L45+R45</f>
        <v/>
      </c>
      <c r="U45" s="91" t="n"/>
      <c r="V45" s="25">
        <f>IFERROR(B45/$B$17,"")</f>
        <v/>
      </c>
      <c r="W45" s="25">
        <f>IFERROR(L45/$L$17,"")</f>
        <v/>
      </c>
    </row>
  </sheetData>
  <mergeCells count="20">
    <mergeCell ref="Q5:S5"/>
    <mergeCell ref="N5:P5"/>
    <mergeCell ref="E6:G6"/>
    <mergeCell ref="Q6:S6"/>
    <mergeCell ref="A2:L2"/>
    <mergeCell ref="B6:D6"/>
    <mergeCell ref="N6:P6"/>
    <mergeCell ref="T6:V6"/>
    <mergeCell ref="B5:D5"/>
    <mergeCell ref="B8:X8"/>
    <mergeCell ref="K6:M6"/>
    <mergeCell ref="H5:J5"/>
    <mergeCell ref="W6:Y6"/>
    <mergeCell ref="B9:X9"/>
    <mergeCell ref="T5:V5"/>
    <mergeCell ref="E5:G5"/>
    <mergeCell ref="K5:M5"/>
    <mergeCell ref="A1:L1"/>
    <mergeCell ref="W5:Y5"/>
    <mergeCell ref="H6:J6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3D5A8A"/>
    <outlinePr summaryBelow="1" summaryRight="1"/>
    <pageSetUpPr fitToPage="1"/>
  </sheetPr>
  <dimension ref="A1:AQ36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10" defaultColWidth="8.83203125" defaultRowHeight="15"/>
  <cols>
    <col width="12" customWidth="1" style="67" min="1" max="1"/>
    <col width="7" customWidth="1" style="67" min="2" max="2"/>
    <col width="8" customWidth="1" style="67" min="3" max="3"/>
    <col width="14" customWidth="1" style="67" min="4" max="4"/>
    <col width="13" customWidth="1" style="67" min="5" max="5"/>
    <col width="15" customWidth="1" style="67" min="6" max="6"/>
    <col width="12" customWidth="1" style="67" min="7" max="8"/>
    <col width="10" customWidth="1" style="67" min="9" max="9"/>
    <col width="11" customWidth="1" style="67" min="10" max="11"/>
    <col width="13" customWidth="1" style="67" min="12" max="12"/>
    <col width="10" customWidth="1" style="67" min="13" max="13"/>
    <col width="13" customWidth="1" style="67" min="14" max="14"/>
    <col width="12" customWidth="1" style="67" min="15" max="15"/>
    <col width="13" customWidth="1" style="67" min="16" max="16"/>
    <col width="11" customWidth="1" style="67" min="17" max="17"/>
    <col width="10" customWidth="1" style="67" min="18" max="18"/>
    <col width="14" customWidth="1" style="67" min="19" max="19"/>
    <col width="12" customWidth="1" style="67" min="20" max="21"/>
    <col width="13" customWidth="1" style="67" min="22" max="22"/>
    <col width="18" customWidth="1" style="67" min="23" max="23"/>
    <col width="10" customWidth="1" style="67" min="24" max="24"/>
    <col width="11" customWidth="1" style="67" min="25" max="25"/>
    <col width="14" customWidth="1" style="67" min="26" max="31"/>
    <col width="13" customWidth="1" style="67" min="32" max="43"/>
  </cols>
  <sheetData>
    <row r="1" ht="24" customHeight="1" s="67">
      <c r="A1" s="71" t="inlineStr">
        <is>
          <t>Daily Trend — 1 to 31 August 2026</t>
        </is>
      </c>
    </row>
    <row r="2">
      <c r="A2" s="68" t="inlineStr">
        <is>
          <t>Total market delivery per day, cumulative pacing against the R400,000 plan, and per-channel spend / bookings / CPL for charting.</t>
        </is>
      </c>
    </row>
    <row r="4" ht="30" customHeight="1" s="67">
      <c r="A4" s="12" t="inlineStr">
        <is>
          <t>Date</t>
        </is>
      </c>
      <c r="B4" s="12" t="inlineStr">
        <is>
          <t>Day</t>
        </is>
      </c>
      <c r="C4" s="12" t="inlineStr">
        <is>
          <t>Week</t>
        </is>
      </c>
      <c r="D4" s="12" t="inlineStr">
        <is>
          <t>Spend (ZAR)</t>
        </is>
      </c>
      <c r="E4" s="12" t="inlineStr">
        <is>
          <t>Impressions</t>
        </is>
      </c>
      <c r="F4" s="12" t="inlineStr">
        <is>
          <t>Reach (sum of daily)</t>
        </is>
      </c>
      <c r="G4" s="12" t="inlineStr">
        <is>
          <t>Avg Daily Frequency</t>
        </is>
      </c>
      <c r="H4" s="12" t="inlineStr">
        <is>
          <t>Link Clicks</t>
        </is>
      </c>
      <c r="I4" s="12" t="inlineStr">
        <is>
          <t>CTR (Link)</t>
        </is>
      </c>
      <c r="J4" s="12" t="inlineStr">
        <is>
          <t>CPC (Link)</t>
        </is>
      </c>
      <c r="K4" s="12" t="inlineStr">
        <is>
          <t>CPM</t>
        </is>
      </c>
      <c r="L4" s="12" t="inlineStr">
        <is>
          <t>Landing Page Views</t>
        </is>
      </c>
      <c r="M4" s="12" t="inlineStr">
        <is>
          <t>LPV Rate</t>
        </is>
      </c>
      <c r="N4" s="12" t="inlineStr">
        <is>
          <t>Test Drive Bookings</t>
        </is>
      </c>
      <c r="O4" s="12" t="inlineStr">
        <is>
          <t>CVR (Booking / LPV)</t>
        </is>
      </c>
      <c r="P4" s="12" t="inlineStr">
        <is>
          <t>CPL (Cost / Booking)</t>
        </is>
      </c>
      <c r="Q4" s="12" t="inlineStr">
        <is>
          <t>Qualified Leads</t>
        </is>
      </c>
      <c r="R4" s="12" t="inlineStr">
        <is>
          <t>Qualified Rate</t>
        </is>
      </c>
      <c r="S4" s="12" t="inlineStr">
        <is>
          <t>Cost per Qualified Lead</t>
        </is>
      </c>
      <c r="T4" s="12" t="inlineStr">
        <is>
          <t>View-Through Conv.</t>
        </is>
      </c>
      <c r="U4" s="12" t="inlineStr">
        <is>
          <t>Assisted Conv.</t>
        </is>
      </c>
      <c r="V4" s="12" t="inlineStr">
        <is>
          <t>Total Attributed Conv.</t>
        </is>
      </c>
      <c r="W4" s="12" t="inlineStr">
        <is>
          <t>Est. Revenue Pipeline (ZAR)</t>
        </is>
      </c>
      <c r="X4" s="12" t="inlineStr">
        <is>
          <t>% of Spend</t>
        </is>
      </c>
      <c r="Y4" s="12" t="inlineStr">
        <is>
          <t>% of Bookings</t>
        </is>
      </c>
      <c r="Z4" s="26" t="inlineStr">
        <is>
          <t>Cumulative Spend</t>
        </is>
      </c>
      <c r="AA4" s="26" t="inlineStr">
        <is>
          <t>Cumulative Bookings</t>
        </is>
      </c>
      <c r="AB4" s="26" t="inlineStr">
        <is>
          <t>Cumulative CPL</t>
        </is>
      </c>
      <c r="AC4" s="26" t="inlineStr">
        <is>
          <t>Budget Consumed</t>
        </is>
      </c>
      <c r="AD4" s="26" t="inlineStr">
        <is>
          <t>Month Elapsed</t>
        </is>
      </c>
      <c r="AE4" s="26" t="inlineStr">
        <is>
          <t>Pacing Index</t>
        </is>
      </c>
      <c r="AF4" s="27" t="inlineStr">
        <is>
          <t>Meta (FB/IG)
Spend</t>
        </is>
      </c>
      <c r="AG4" s="27" t="inlineStr">
        <is>
          <t>Meta (FB/IG)
Bookings</t>
        </is>
      </c>
      <c r="AH4" s="27" t="inlineStr">
        <is>
          <t>Meta (FB/IG)
CPL</t>
        </is>
      </c>
      <c r="AI4" s="27" t="inlineStr">
        <is>
          <t>TikTok
Spend</t>
        </is>
      </c>
      <c r="AJ4" s="27" t="inlineStr">
        <is>
          <t>TikTok
Bookings</t>
        </is>
      </c>
      <c r="AK4" s="27" t="inlineStr">
        <is>
          <t>TikTok
CPL</t>
        </is>
      </c>
      <c r="AL4" s="27" t="inlineStr">
        <is>
          <t>X
Spend</t>
        </is>
      </c>
      <c r="AM4" s="27" t="inlineStr">
        <is>
          <t>X
Bookings</t>
        </is>
      </c>
      <c r="AN4" s="27" t="inlineStr">
        <is>
          <t>X
CPL</t>
        </is>
      </c>
      <c r="AO4" s="27" t="inlineStr">
        <is>
          <t>Programmatic
Spend</t>
        </is>
      </c>
      <c r="AP4" s="27" t="inlineStr">
        <is>
          <t>Programmatic
Bookings</t>
        </is>
      </c>
      <c r="AQ4" s="27" t="inlineStr">
        <is>
          <t>Programmatic
CPL</t>
        </is>
      </c>
    </row>
    <row r="5">
      <c r="A5" s="96" t="n">
        <v>46235</v>
      </c>
      <c r="B5" s="29" t="inlineStr">
        <is>
          <t>Sat</t>
        </is>
      </c>
      <c r="C5" s="8" t="inlineStr">
        <is>
          <t>Wk 31</t>
        </is>
      </c>
      <c r="D5" s="86">
        <f>SUMIFS(Raw_Data!$R$2:$R$2552,Raw_Data!$A$2:$A$2552,$A5)</f>
        <v/>
      </c>
      <c r="E5" s="87">
        <f>SUMIFS(Raw_Data!$S$2:$S$2552,Raw_Data!$A$2:$A$2552,$A5)</f>
        <v/>
      </c>
      <c r="F5" s="87">
        <f>SUMIFS(Raw_Data!$T$2:$T$2552,Raw_Data!$A$2:$A$2552,$A5)</f>
        <v/>
      </c>
      <c r="G5" s="88">
        <f>IFERROR(E5/F5,"")</f>
        <v/>
      </c>
      <c r="H5" s="87">
        <f>SUMIFS(Raw_Data!$W$2:$W$2552,Raw_Data!$A$2:$A$2552,$A5)</f>
        <v/>
      </c>
      <c r="I5" s="89">
        <f>IFERROR(H5/E5,"")</f>
        <v/>
      </c>
      <c r="J5" s="90">
        <f>IFERROR(D5/H5,"")</f>
        <v/>
      </c>
      <c r="K5" s="90">
        <f>IFERROR(D5/E5*1000,"")</f>
        <v/>
      </c>
      <c r="L5" s="87">
        <f>SUMIFS(Raw_Data!$AA$2:$AA$2552,Raw_Data!$A$2:$A$2552,$A5)</f>
        <v/>
      </c>
      <c r="M5" s="18">
        <f>IFERROR(L5/H5,"")</f>
        <v/>
      </c>
      <c r="N5" s="87">
        <f>SUMIFS(Raw_Data!$AL$2:$AL$2552,Raw_Data!$A$2:$A$2552,$A5)</f>
        <v/>
      </c>
      <c r="O5" s="89">
        <f>IFERROR(N5/L5,"")</f>
        <v/>
      </c>
      <c r="P5" s="86">
        <f>IFERROR(D5/N5,"")</f>
        <v/>
      </c>
      <c r="Q5" s="87">
        <f>SUMIFS(Raw_Data!$AO$2:$AO$2552,Raw_Data!$A$2:$A$2552,$A5)</f>
        <v/>
      </c>
      <c r="R5" s="18">
        <f>IFERROR(Q5/N5,"")</f>
        <v/>
      </c>
      <c r="S5" s="86">
        <f>IFERROR(D5/Q5,"")</f>
        <v/>
      </c>
      <c r="T5" s="87">
        <f>SUMIFS(Raw_Data!$AR$2:$AR$2552,Raw_Data!$A$2:$A$2552,$A5)</f>
        <v/>
      </c>
      <c r="U5" s="87">
        <f>SUMIFS(Raw_Data!$AS$2:$AS$2552,Raw_Data!$A$2:$A$2552,$A5)</f>
        <v/>
      </c>
      <c r="V5" s="87">
        <f>N5+T5</f>
        <v/>
      </c>
      <c r="W5" s="86">
        <f>SUMIFS(Raw_Data!$AU$2:$AU$2552,Raw_Data!$A$2:$A$2552,$A5)</f>
        <v/>
      </c>
      <c r="X5" s="18">
        <f>IFERROR(D5/$D$36,"")</f>
        <v/>
      </c>
      <c r="Y5" s="18">
        <f>IFERROR(N5/$N$36,"")</f>
        <v/>
      </c>
      <c r="Z5" s="97">
        <f>SUM($D$5:D5)</f>
        <v/>
      </c>
      <c r="AA5" s="98">
        <f>SUM($N$5:N5)</f>
        <v/>
      </c>
      <c r="AB5" s="86">
        <f>IFERROR(Z5/AA5,"")</f>
        <v/>
      </c>
      <c r="AC5" s="18">
        <f>IFERROR(Z5/Assumptions!$C$10,"")</f>
        <v/>
      </c>
      <c r="AD5" s="18">
        <f>1/31</f>
        <v/>
      </c>
      <c r="AE5" s="88">
        <f>IFERROR(AC5/AD5,"")</f>
        <v/>
      </c>
      <c r="AF5" s="86">
        <f>SUMIFS(Raw_Data!$R$2:$R$2552,Raw_Data!$A$2:$A$2552,$A5,Raw_Data!$D$2:$D$2552,"Meta (FB/IG)")</f>
        <v/>
      </c>
      <c r="AG5" s="87">
        <f>SUMIFS(Raw_Data!$AL$2:$AL$2552,Raw_Data!$A$2:$A$2552,$A5,Raw_Data!$D$2:$D$2552,"Meta (FB/IG)")</f>
        <v/>
      </c>
      <c r="AH5" s="86">
        <f>IFERROR(AF5/AG5,"")</f>
        <v/>
      </c>
      <c r="AI5" s="86">
        <f>SUMIFS(Raw_Data!$R$2:$R$2552,Raw_Data!$A$2:$A$2552,$A5,Raw_Data!$D$2:$D$2552,"TikTok")</f>
        <v/>
      </c>
      <c r="AJ5" s="87">
        <f>SUMIFS(Raw_Data!$AL$2:$AL$2552,Raw_Data!$A$2:$A$2552,$A5,Raw_Data!$D$2:$D$2552,"TikTok")</f>
        <v/>
      </c>
      <c r="AK5" s="86">
        <f>IFERROR(AI5/AJ5,"")</f>
        <v/>
      </c>
      <c r="AL5" s="86">
        <f>SUMIFS(Raw_Data!$R$2:$R$2552,Raw_Data!$A$2:$A$2552,$A5,Raw_Data!$D$2:$D$2552,"X")</f>
        <v/>
      </c>
      <c r="AM5" s="87">
        <f>SUMIFS(Raw_Data!$AL$2:$AL$2552,Raw_Data!$A$2:$A$2552,$A5,Raw_Data!$D$2:$D$2552,"X")</f>
        <v/>
      </c>
      <c r="AN5" s="86">
        <f>IFERROR(AL5/AM5,"")</f>
        <v/>
      </c>
      <c r="AO5" s="86">
        <f>SUMIFS(Raw_Data!$R$2:$R$2552,Raw_Data!$A$2:$A$2552,$A5,Raw_Data!$D$2:$D$2552,"Programmatic")</f>
        <v/>
      </c>
      <c r="AP5" s="87">
        <f>SUMIFS(Raw_Data!$AL$2:$AL$2552,Raw_Data!$A$2:$A$2552,$A5,Raw_Data!$D$2:$D$2552,"Programmatic")</f>
        <v/>
      </c>
      <c r="AQ5" s="86">
        <f>IFERROR(AO5/AP5,"")</f>
        <v/>
      </c>
    </row>
    <row r="6">
      <c r="A6" s="96" t="n">
        <v>46236</v>
      </c>
      <c r="B6" s="29" t="inlineStr">
        <is>
          <t>Sun</t>
        </is>
      </c>
      <c r="C6" s="8" t="inlineStr">
        <is>
          <t>Wk 31</t>
        </is>
      </c>
      <c r="D6" s="86">
        <f>SUMIFS(Raw_Data!$R$2:$R$2552,Raw_Data!$A$2:$A$2552,$A6)</f>
        <v/>
      </c>
      <c r="E6" s="87">
        <f>SUMIFS(Raw_Data!$S$2:$S$2552,Raw_Data!$A$2:$A$2552,$A6)</f>
        <v/>
      </c>
      <c r="F6" s="87">
        <f>SUMIFS(Raw_Data!$T$2:$T$2552,Raw_Data!$A$2:$A$2552,$A6)</f>
        <v/>
      </c>
      <c r="G6" s="88">
        <f>IFERROR(E6/F6,"")</f>
        <v/>
      </c>
      <c r="H6" s="87">
        <f>SUMIFS(Raw_Data!$W$2:$W$2552,Raw_Data!$A$2:$A$2552,$A6)</f>
        <v/>
      </c>
      <c r="I6" s="89">
        <f>IFERROR(H6/E6,"")</f>
        <v/>
      </c>
      <c r="J6" s="90">
        <f>IFERROR(D6/H6,"")</f>
        <v/>
      </c>
      <c r="K6" s="90">
        <f>IFERROR(D6/E6*1000,"")</f>
        <v/>
      </c>
      <c r="L6" s="87">
        <f>SUMIFS(Raw_Data!$AA$2:$AA$2552,Raw_Data!$A$2:$A$2552,$A6)</f>
        <v/>
      </c>
      <c r="M6" s="18">
        <f>IFERROR(L6/H6,"")</f>
        <v/>
      </c>
      <c r="N6" s="87">
        <f>SUMIFS(Raw_Data!$AL$2:$AL$2552,Raw_Data!$A$2:$A$2552,$A6)</f>
        <v/>
      </c>
      <c r="O6" s="89">
        <f>IFERROR(N6/L6,"")</f>
        <v/>
      </c>
      <c r="P6" s="86">
        <f>IFERROR(D6/N6,"")</f>
        <v/>
      </c>
      <c r="Q6" s="87">
        <f>SUMIFS(Raw_Data!$AO$2:$AO$2552,Raw_Data!$A$2:$A$2552,$A6)</f>
        <v/>
      </c>
      <c r="R6" s="18">
        <f>IFERROR(Q6/N6,"")</f>
        <v/>
      </c>
      <c r="S6" s="86">
        <f>IFERROR(D6/Q6,"")</f>
        <v/>
      </c>
      <c r="T6" s="87">
        <f>SUMIFS(Raw_Data!$AR$2:$AR$2552,Raw_Data!$A$2:$A$2552,$A6)</f>
        <v/>
      </c>
      <c r="U6" s="87">
        <f>SUMIFS(Raw_Data!$AS$2:$AS$2552,Raw_Data!$A$2:$A$2552,$A6)</f>
        <v/>
      </c>
      <c r="V6" s="87">
        <f>N6+T6</f>
        <v/>
      </c>
      <c r="W6" s="86">
        <f>SUMIFS(Raw_Data!$AU$2:$AU$2552,Raw_Data!$A$2:$A$2552,$A6)</f>
        <v/>
      </c>
      <c r="X6" s="18">
        <f>IFERROR(D6/$D$36,"")</f>
        <v/>
      </c>
      <c r="Y6" s="18">
        <f>IFERROR(N6/$N$36,"")</f>
        <v/>
      </c>
      <c r="Z6" s="97">
        <f>SUM($D$5:D6)</f>
        <v/>
      </c>
      <c r="AA6" s="98">
        <f>SUM($N$5:N6)</f>
        <v/>
      </c>
      <c r="AB6" s="86">
        <f>IFERROR(Z6/AA6,"")</f>
        <v/>
      </c>
      <c r="AC6" s="18">
        <f>IFERROR(Z6/Assumptions!$C$10,"")</f>
        <v/>
      </c>
      <c r="AD6" s="18">
        <f>2/31</f>
        <v/>
      </c>
      <c r="AE6" s="88">
        <f>IFERROR(AC6/AD6,"")</f>
        <v/>
      </c>
      <c r="AF6" s="86">
        <f>SUMIFS(Raw_Data!$R$2:$R$2552,Raw_Data!$A$2:$A$2552,$A6,Raw_Data!$D$2:$D$2552,"Meta (FB/IG)")</f>
        <v/>
      </c>
      <c r="AG6" s="87">
        <f>SUMIFS(Raw_Data!$AL$2:$AL$2552,Raw_Data!$A$2:$A$2552,$A6,Raw_Data!$D$2:$D$2552,"Meta (FB/IG)")</f>
        <v/>
      </c>
      <c r="AH6" s="86">
        <f>IFERROR(AF6/AG6,"")</f>
        <v/>
      </c>
      <c r="AI6" s="86">
        <f>SUMIFS(Raw_Data!$R$2:$R$2552,Raw_Data!$A$2:$A$2552,$A6,Raw_Data!$D$2:$D$2552,"TikTok")</f>
        <v/>
      </c>
      <c r="AJ6" s="87">
        <f>SUMIFS(Raw_Data!$AL$2:$AL$2552,Raw_Data!$A$2:$A$2552,$A6,Raw_Data!$D$2:$D$2552,"TikTok")</f>
        <v/>
      </c>
      <c r="AK6" s="86">
        <f>IFERROR(AI6/AJ6,"")</f>
        <v/>
      </c>
      <c r="AL6" s="86">
        <f>SUMIFS(Raw_Data!$R$2:$R$2552,Raw_Data!$A$2:$A$2552,$A6,Raw_Data!$D$2:$D$2552,"X")</f>
        <v/>
      </c>
      <c r="AM6" s="87">
        <f>SUMIFS(Raw_Data!$AL$2:$AL$2552,Raw_Data!$A$2:$A$2552,$A6,Raw_Data!$D$2:$D$2552,"X")</f>
        <v/>
      </c>
      <c r="AN6" s="86">
        <f>IFERROR(AL6/AM6,"")</f>
        <v/>
      </c>
      <c r="AO6" s="86">
        <f>SUMIFS(Raw_Data!$R$2:$R$2552,Raw_Data!$A$2:$A$2552,$A6,Raw_Data!$D$2:$D$2552,"Programmatic")</f>
        <v/>
      </c>
      <c r="AP6" s="87">
        <f>SUMIFS(Raw_Data!$AL$2:$AL$2552,Raw_Data!$A$2:$A$2552,$A6,Raw_Data!$D$2:$D$2552,"Programmatic")</f>
        <v/>
      </c>
      <c r="AQ6" s="86">
        <f>IFERROR(AO6/AP6,"")</f>
        <v/>
      </c>
    </row>
    <row r="7">
      <c r="A7" s="96" t="n">
        <v>46237</v>
      </c>
      <c r="B7" s="8" t="inlineStr">
        <is>
          <t>Mon</t>
        </is>
      </c>
      <c r="C7" s="8" t="inlineStr">
        <is>
          <t>Wk 32</t>
        </is>
      </c>
      <c r="D7" s="86">
        <f>SUMIFS(Raw_Data!$R$2:$R$2552,Raw_Data!$A$2:$A$2552,$A7)</f>
        <v/>
      </c>
      <c r="E7" s="87">
        <f>SUMIFS(Raw_Data!$S$2:$S$2552,Raw_Data!$A$2:$A$2552,$A7)</f>
        <v/>
      </c>
      <c r="F7" s="87">
        <f>SUMIFS(Raw_Data!$T$2:$T$2552,Raw_Data!$A$2:$A$2552,$A7)</f>
        <v/>
      </c>
      <c r="G7" s="88">
        <f>IFERROR(E7/F7,"")</f>
        <v/>
      </c>
      <c r="H7" s="87">
        <f>SUMIFS(Raw_Data!$W$2:$W$2552,Raw_Data!$A$2:$A$2552,$A7)</f>
        <v/>
      </c>
      <c r="I7" s="89">
        <f>IFERROR(H7/E7,"")</f>
        <v/>
      </c>
      <c r="J7" s="90">
        <f>IFERROR(D7/H7,"")</f>
        <v/>
      </c>
      <c r="K7" s="90">
        <f>IFERROR(D7/E7*1000,"")</f>
        <v/>
      </c>
      <c r="L7" s="87">
        <f>SUMIFS(Raw_Data!$AA$2:$AA$2552,Raw_Data!$A$2:$A$2552,$A7)</f>
        <v/>
      </c>
      <c r="M7" s="18">
        <f>IFERROR(L7/H7,"")</f>
        <v/>
      </c>
      <c r="N7" s="87">
        <f>SUMIFS(Raw_Data!$AL$2:$AL$2552,Raw_Data!$A$2:$A$2552,$A7)</f>
        <v/>
      </c>
      <c r="O7" s="89">
        <f>IFERROR(N7/L7,"")</f>
        <v/>
      </c>
      <c r="P7" s="86">
        <f>IFERROR(D7/N7,"")</f>
        <v/>
      </c>
      <c r="Q7" s="87">
        <f>SUMIFS(Raw_Data!$AO$2:$AO$2552,Raw_Data!$A$2:$A$2552,$A7)</f>
        <v/>
      </c>
      <c r="R7" s="18">
        <f>IFERROR(Q7/N7,"")</f>
        <v/>
      </c>
      <c r="S7" s="86">
        <f>IFERROR(D7/Q7,"")</f>
        <v/>
      </c>
      <c r="T7" s="87">
        <f>SUMIFS(Raw_Data!$AR$2:$AR$2552,Raw_Data!$A$2:$A$2552,$A7)</f>
        <v/>
      </c>
      <c r="U7" s="87">
        <f>SUMIFS(Raw_Data!$AS$2:$AS$2552,Raw_Data!$A$2:$A$2552,$A7)</f>
        <v/>
      </c>
      <c r="V7" s="87">
        <f>N7+T7</f>
        <v/>
      </c>
      <c r="W7" s="86">
        <f>SUMIFS(Raw_Data!$AU$2:$AU$2552,Raw_Data!$A$2:$A$2552,$A7)</f>
        <v/>
      </c>
      <c r="X7" s="18">
        <f>IFERROR(D7/$D$36,"")</f>
        <v/>
      </c>
      <c r="Y7" s="18">
        <f>IFERROR(N7/$N$36,"")</f>
        <v/>
      </c>
      <c r="Z7" s="97">
        <f>SUM($D$5:D7)</f>
        <v/>
      </c>
      <c r="AA7" s="98">
        <f>SUM($N$5:N7)</f>
        <v/>
      </c>
      <c r="AB7" s="86">
        <f>IFERROR(Z7/AA7,"")</f>
        <v/>
      </c>
      <c r="AC7" s="18">
        <f>IFERROR(Z7/Assumptions!$C$10,"")</f>
        <v/>
      </c>
      <c r="AD7" s="18">
        <f>3/31</f>
        <v/>
      </c>
      <c r="AE7" s="88">
        <f>IFERROR(AC7/AD7,"")</f>
        <v/>
      </c>
      <c r="AF7" s="86">
        <f>SUMIFS(Raw_Data!$R$2:$R$2552,Raw_Data!$A$2:$A$2552,$A7,Raw_Data!$D$2:$D$2552,"Meta (FB/IG)")</f>
        <v/>
      </c>
      <c r="AG7" s="87">
        <f>SUMIFS(Raw_Data!$AL$2:$AL$2552,Raw_Data!$A$2:$A$2552,$A7,Raw_Data!$D$2:$D$2552,"Meta (FB/IG)")</f>
        <v/>
      </c>
      <c r="AH7" s="86">
        <f>IFERROR(AF7/AG7,"")</f>
        <v/>
      </c>
      <c r="AI7" s="86">
        <f>SUMIFS(Raw_Data!$R$2:$R$2552,Raw_Data!$A$2:$A$2552,$A7,Raw_Data!$D$2:$D$2552,"TikTok")</f>
        <v/>
      </c>
      <c r="AJ7" s="87">
        <f>SUMIFS(Raw_Data!$AL$2:$AL$2552,Raw_Data!$A$2:$A$2552,$A7,Raw_Data!$D$2:$D$2552,"TikTok")</f>
        <v/>
      </c>
      <c r="AK7" s="86">
        <f>IFERROR(AI7/AJ7,"")</f>
        <v/>
      </c>
      <c r="AL7" s="86">
        <f>SUMIFS(Raw_Data!$R$2:$R$2552,Raw_Data!$A$2:$A$2552,$A7,Raw_Data!$D$2:$D$2552,"X")</f>
        <v/>
      </c>
      <c r="AM7" s="87">
        <f>SUMIFS(Raw_Data!$AL$2:$AL$2552,Raw_Data!$A$2:$A$2552,$A7,Raw_Data!$D$2:$D$2552,"X")</f>
        <v/>
      </c>
      <c r="AN7" s="86">
        <f>IFERROR(AL7/AM7,"")</f>
        <v/>
      </c>
      <c r="AO7" s="86">
        <f>SUMIFS(Raw_Data!$R$2:$R$2552,Raw_Data!$A$2:$A$2552,$A7,Raw_Data!$D$2:$D$2552,"Programmatic")</f>
        <v/>
      </c>
      <c r="AP7" s="87">
        <f>SUMIFS(Raw_Data!$AL$2:$AL$2552,Raw_Data!$A$2:$A$2552,$A7,Raw_Data!$D$2:$D$2552,"Programmatic")</f>
        <v/>
      </c>
      <c r="AQ7" s="86">
        <f>IFERROR(AO7/AP7,"")</f>
        <v/>
      </c>
    </row>
    <row r="8">
      <c r="A8" s="96" t="n">
        <v>46238</v>
      </c>
      <c r="B8" s="8" t="inlineStr">
        <is>
          <t>Tue</t>
        </is>
      </c>
      <c r="C8" s="8" t="inlineStr">
        <is>
          <t>Wk 32</t>
        </is>
      </c>
      <c r="D8" s="86">
        <f>SUMIFS(Raw_Data!$R$2:$R$2552,Raw_Data!$A$2:$A$2552,$A8)</f>
        <v/>
      </c>
      <c r="E8" s="87">
        <f>SUMIFS(Raw_Data!$S$2:$S$2552,Raw_Data!$A$2:$A$2552,$A8)</f>
        <v/>
      </c>
      <c r="F8" s="87">
        <f>SUMIFS(Raw_Data!$T$2:$T$2552,Raw_Data!$A$2:$A$2552,$A8)</f>
        <v/>
      </c>
      <c r="G8" s="88">
        <f>IFERROR(E8/F8,"")</f>
        <v/>
      </c>
      <c r="H8" s="87">
        <f>SUMIFS(Raw_Data!$W$2:$W$2552,Raw_Data!$A$2:$A$2552,$A8)</f>
        <v/>
      </c>
      <c r="I8" s="89">
        <f>IFERROR(H8/E8,"")</f>
        <v/>
      </c>
      <c r="J8" s="90">
        <f>IFERROR(D8/H8,"")</f>
        <v/>
      </c>
      <c r="K8" s="90">
        <f>IFERROR(D8/E8*1000,"")</f>
        <v/>
      </c>
      <c r="L8" s="87">
        <f>SUMIFS(Raw_Data!$AA$2:$AA$2552,Raw_Data!$A$2:$A$2552,$A8)</f>
        <v/>
      </c>
      <c r="M8" s="18">
        <f>IFERROR(L8/H8,"")</f>
        <v/>
      </c>
      <c r="N8" s="87">
        <f>SUMIFS(Raw_Data!$AL$2:$AL$2552,Raw_Data!$A$2:$A$2552,$A8)</f>
        <v/>
      </c>
      <c r="O8" s="89">
        <f>IFERROR(N8/L8,"")</f>
        <v/>
      </c>
      <c r="P8" s="86">
        <f>IFERROR(D8/N8,"")</f>
        <v/>
      </c>
      <c r="Q8" s="87">
        <f>SUMIFS(Raw_Data!$AO$2:$AO$2552,Raw_Data!$A$2:$A$2552,$A8)</f>
        <v/>
      </c>
      <c r="R8" s="18">
        <f>IFERROR(Q8/N8,"")</f>
        <v/>
      </c>
      <c r="S8" s="86">
        <f>IFERROR(D8/Q8,"")</f>
        <v/>
      </c>
      <c r="T8" s="87">
        <f>SUMIFS(Raw_Data!$AR$2:$AR$2552,Raw_Data!$A$2:$A$2552,$A8)</f>
        <v/>
      </c>
      <c r="U8" s="87">
        <f>SUMIFS(Raw_Data!$AS$2:$AS$2552,Raw_Data!$A$2:$A$2552,$A8)</f>
        <v/>
      </c>
      <c r="V8" s="87">
        <f>N8+T8</f>
        <v/>
      </c>
      <c r="W8" s="86">
        <f>SUMIFS(Raw_Data!$AU$2:$AU$2552,Raw_Data!$A$2:$A$2552,$A8)</f>
        <v/>
      </c>
      <c r="X8" s="18">
        <f>IFERROR(D8/$D$36,"")</f>
        <v/>
      </c>
      <c r="Y8" s="18">
        <f>IFERROR(N8/$N$36,"")</f>
        <v/>
      </c>
      <c r="Z8" s="97">
        <f>SUM($D$5:D8)</f>
        <v/>
      </c>
      <c r="AA8" s="98">
        <f>SUM($N$5:N8)</f>
        <v/>
      </c>
      <c r="AB8" s="86">
        <f>IFERROR(Z8/AA8,"")</f>
        <v/>
      </c>
      <c r="AC8" s="18">
        <f>IFERROR(Z8/Assumptions!$C$10,"")</f>
        <v/>
      </c>
      <c r="AD8" s="18">
        <f>4/31</f>
        <v/>
      </c>
      <c r="AE8" s="88">
        <f>IFERROR(AC8/AD8,"")</f>
        <v/>
      </c>
      <c r="AF8" s="86">
        <f>SUMIFS(Raw_Data!$R$2:$R$2552,Raw_Data!$A$2:$A$2552,$A8,Raw_Data!$D$2:$D$2552,"Meta (FB/IG)")</f>
        <v/>
      </c>
      <c r="AG8" s="87">
        <f>SUMIFS(Raw_Data!$AL$2:$AL$2552,Raw_Data!$A$2:$A$2552,$A8,Raw_Data!$D$2:$D$2552,"Meta (FB/IG)")</f>
        <v/>
      </c>
      <c r="AH8" s="86">
        <f>IFERROR(AF8/AG8,"")</f>
        <v/>
      </c>
      <c r="AI8" s="86">
        <f>SUMIFS(Raw_Data!$R$2:$R$2552,Raw_Data!$A$2:$A$2552,$A8,Raw_Data!$D$2:$D$2552,"TikTok")</f>
        <v/>
      </c>
      <c r="AJ8" s="87">
        <f>SUMIFS(Raw_Data!$AL$2:$AL$2552,Raw_Data!$A$2:$A$2552,$A8,Raw_Data!$D$2:$D$2552,"TikTok")</f>
        <v/>
      </c>
      <c r="AK8" s="86">
        <f>IFERROR(AI8/AJ8,"")</f>
        <v/>
      </c>
      <c r="AL8" s="86">
        <f>SUMIFS(Raw_Data!$R$2:$R$2552,Raw_Data!$A$2:$A$2552,$A8,Raw_Data!$D$2:$D$2552,"X")</f>
        <v/>
      </c>
      <c r="AM8" s="87">
        <f>SUMIFS(Raw_Data!$AL$2:$AL$2552,Raw_Data!$A$2:$A$2552,$A8,Raw_Data!$D$2:$D$2552,"X")</f>
        <v/>
      </c>
      <c r="AN8" s="86">
        <f>IFERROR(AL8/AM8,"")</f>
        <v/>
      </c>
      <c r="AO8" s="86">
        <f>SUMIFS(Raw_Data!$R$2:$R$2552,Raw_Data!$A$2:$A$2552,$A8,Raw_Data!$D$2:$D$2552,"Programmatic")</f>
        <v/>
      </c>
      <c r="AP8" s="87">
        <f>SUMIFS(Raw_Data!$AL$2:$AL$2552,Raw_Data!$A$2:$A$2552,$A8,Raw_Data!$D$2:$D$2552,"Programmatic")</f>
        <v/>
      </c>
      <c r="AQ8" s="86">
        <f>IFERROR(AO8/AP8,"")</f>
        <v/>
      </c>
    </row>
    <row r="9">
      <c r="A9" s="96" t="n">
        <v>46239</v>
      </c>
      <c r="B9" s="8" t="inlineStr">
        <is>
          <t>Wed</t>
        </is>
      </c>
      <c r="C9" s="8" t="inlineStr">
        <is>
          <t>Wk 32</t>
        </is>
      </c>
      <c r="D9" s="86">
        <f>SUMIFS(Raw_Data!$R$2:$R$2552,Raw_Data!$A$2:$A$2552,$A9)</f>
        <v/>
      </c>
      <c r="E9" s="87">
        <f>SUMIFS(Raw_Data!$S$2:$S$2552,Raw_Data!$A$2:$A$2552,$A9)</f>
        <v/>
      </c>
      <c r="F9" s="87">
        <f>SUMIFS(Raw_Data!$T$2:$T$2552,Raw_Data!$A$2:$A$2552,$A9)</f>
        <v/>
      </c>
      <c r="G9" s="88">
        <f>IFERROR(E9/F9,"")</f>
        <v/>
      </c>
      <c r="H9" s="87">
        <f>SUMIFS(Raw_Data!$W$2:$W$2552,Raw_Data!$A$2:$A$2552,$A9)</f>
        <v/>
      </c>
      <c r="I9" s="89">
        <f>IFERROR(H9/E9,"")</f>
        <v/>
      </c>
      <c r="J9" s="90">
        <f>IFERROR(D9/H9,"")</f>
        <v/>
      </c>
      <c r="K9" s="90">
        <f>IFERROR(D9/E9*1000,"")</f>
        <v/>
      </c>
      <c r="L9" s="87">
        <f>SUMIFS(Raw_Data!$AA$2:$AA$2552,Raw_Data!$A$2:$A$2552,$A9)</f>
        <v/>
      </c>
      <c r="M9" s="18">
        <f>IFERROR(L9/H9,"")</f>
        <v/>
      </c>
      <c r="N9" s="87">
        <f>SUMIFS(Raw_Data!$AL$2:$AL$2552,Raw_Data!$A$2:$A$2552,$A9)</f>
        <v/>
      </c>
      <c r="O9" s="89">
        <f>IFERROR(N9/L9,"")</f>
        <v/>
      </c>
      <c r="P9" s="86">
        <f>IFERROR(D9/N9,"")</f>
        <v/>
      </c>
      <c r="Q9" s="87">
        <f>SUMIFS(Raw_Data!$AO$2:$AO$2552,Raw_Data!$A$2:$A$2552,$A9)</f>
        <v/>
      </c>
      <c r="R9" s="18">
        <f>IFERROR(Q9/N9,"")</f>
        <v/>
      </c>
      <c r="S9" s="86">
        <f>IFERROR(D9/Q9,"")</f>
        <v/>
      </c>
      <c r="T9" s="87">
        <f>SUMIFS(Raw_Data!$AR$2:$AR$2552,Raw_Data!$A$2:$A$2552,$A9)</f>
        <v/>
      </c>
      <c r="U9" s="87">
        <f>SUMIFS(Raw_Data!$AS$2:$AS$2552,Raw_Data!$A$2:$A$2552,$A9)</f>
        <v/>
      </c>
      <c r="V9" s="87">
        <f>N9+T9</f>
        <v/>
      </c>
      <c r="W9" s="86">
        <f>SUMIFS(Raw_Data!$AU$2:$AU$2552,Raw_Data!$A$2:$A$2552,$A9)</f>
        <v/>
      </c>
      <c r="X9" s="18">
        <f>IFERROR(D9/$D$36,"")</f>
        <v/>
      </c>
      <c r="Y9" s="18">
        <f>IFERROR(N9/$N$36,"")</f>
        <v/>
      </c>
      <c r="Z9" s="97">
        <f>SUM($D$5:D9)</f>
        <v/>
      </c>
      <c r="AA9" s="98">
        <f>SUM($N$5:N9)</f>
        <v/>
      </c>
      <c r="AB9" s="86">
        <f>IFERROR(Z9/AA9,"")</f>
        <v/>
      </c>
      <c r="AC9" s="18">
        <f>IFERROR(Z9/Assumptions!$C$10,"")</f>
        <v/>
      </c>
      <c r="AD9" s="18">
        <f>5/31</f>
        <v/>
      </c>
      <c r="AE9" s="88">
        <f>IFERROR(AC9/AD9,"")</f>
        <v/>
      </c>
      <c r="AF9" s="86">
        <f>SUMIFS(Raw_Data!$R$2:$R$2552,Raw_Data!$A$2:$A$2552,$A9,Raw_Data!$D$2:$D$2552,"Meta (FB/IG)")</f>
        <v/>
      </c>
      <c r="AG9" s="87">
        <f>SUMIFS(Raw_Data!$AL$2:$AL$2552,Raw_Data!$A$2:$A$2552,$A9,Raw_Data!$D$2:$D$2552,"Meta (FB/IG)")</f>
        <v/>
      </c>
      <c r="AH9" s="86">
        <f>IFERROR(AF9/AG9,"")</f>
        <v/>
      </c>
      <c r="AI9" s="86">
        <f>SUMIFS(Raw_Data!$R$2:$R$2552,Raw_Data!$A$2:$A$2552,$A9,Raw_Data!$D$2:$D$2552,"TikTok")</f>
        <v/>
      </c>
      <c r="AJ9" s="87">
        <f>SUMIFS(Raw_Data!$AL$2:$AL$2552,Raw_Data!$A$2:$A$2552,$A9,Raw_Data!$D$2:$D$2552,"TikTok")</f>
        <v/>
      </c>
      <c r="AK9" s="86">
        <f>IFERROR(AI9/AJ9,"")</f>
        <v/>
      </c>
      <c r="AL9" s="86">
        <f>SUMIFS(Raw_Data!$R$2:$R$2552,Raw_Data!$A$2:$A$2552,$A9,Raw_Data!$D$2:$D$2552,"X")</f>
        <v/>
      </c>
      <c r="AM9" s="87">
        <f>SUMIFS(Raw_Data!$AL$2:$AL$2552,Raw_Data!$A$2:$A$2552,$A9,Raw_Data!$D$2:$D$2552,"X")</f>
        <v/>
      </c>
      <c r="AN9" s="86">
        <f>IFERROR(AL9/AM9,"")</f>
        <v/>
      </c>
      <c r="AO9" s="86">
        <f>SUMIFS(Raw_Data!$R$2:$R$2552,Raw_Data!$A$2:$A$2552,$A9,Raw_Data!$D$2:$D$2552,"Programmatic")</f>
        <v/>
      </c>
      <c r="AP9" s="87">
        <f>SUMIFS(Raw_Data!$AL$2:$AL$2552,Raw_Data!$A$2:$A$2552,$A9,Raw_Data!$D$2:$D$2552,"Programmatic")</f>
        <v/>
      </c>
      <c r="AQ9" s="86">
        <f>IFERROR(AO9/AP9,"")</f>
        <v/>
      </c>
    </row>
    <row r="10">
      <c r="A10" s="96" t="n">
        <v>46240</v>
      </c>
      <c r="B10" s="8" t="inlineStr">
        <is>
          <t>Thu</t>
        </is>
      </c>
      <c r="C10" s="8" t="inlineStr">
        <is>
          <t>Wk 32</t>
        </is>
      </c>
      <c r="D10" s="86">
        <f>SUMIFS(Raw_Data!$R$2:$R$2552,Raw_Data!$A$2:$A$2552,$A10)</f>
        <v/>
      </c>
      <c r="E10" s="87">
        <f>SUMIFS(Raw_Data!$S$2:$S$2552,Raw_Data!$A$2:$A$2552,$A10)</f>
        <v/>
      </c>
      <c r="F10" s="87">
        <f>SUMIFS(Raw_Data!$T$2:$T$2552,Raw_Data!$A$2:$A$2552,$A10)</f>
        <v/>
      </c>
      <c r="G10" s="88">
        <f>IFERROR(E10/F10,"")</f>
        <v/>
      </c>
      <c r="H10" s="87">
        <f>SUMIFS(Raw_Data!$W$2:$W$2552,Raw_Data!$A$2:$A$2552,$A10)</f>
        <v/>
      </c>
      <c r="I10" s="89">
        <f>IFERROR(H10/E10,"")</f>
        <v/>
      </c>
      <c r="J10" s="90">
        <f>IFERROR(D10/H10,"")</f>
        <v/>
      </c>
      <c r="K10" s="90">
        <f>IFERROR(D10/E10*1000,"")</f>
        <v/>
      </c>
      <c r="L10" s="87">
        <f>SUMIFS(Raw_Data!$AA$2:$AA$2552,Raw_Data!$A$2:$A$2552,$A10)</f>
        <v/>
      </c>
      <c r="M10" s="18">
        <f>IFERROR(L10/H10,"")</f>
        <v/>
      </c>
      <c r="N10" s="87">
        <f>SUMIFS(Raw_Data!$AL$2:$AL$2552,Raw_Data!$A$2:$A$2552,$A10)</f>
        <v/>
      </c>
      <c r="O10" s="89">
        <f>IFERROR(N10/L10,"")</f>
        <v/>
      </c>
      <c r="P10" s="86">
        <f>IFERROR(D10/N10,"")</f>
        <v/>
      </c>
      <c r="Q10" s="87">
        <f>SUMIFS(Raw_Data!$AO$2:$AO$2552,Raw_Data!$A$2:$A$2552,$A10)</f>
        <v/>
      </c>
      <c r="R10" s="18">
        <f>IFERROR(Q10/N10,"")</f>
        <v/>
      </c>
      <c r="S10" s="86">
        <f>IFERROR(D10/Q10,"")</f>
        <v/>
      </c>
      <c r="T10" s="87">
        <f>SUMIFS(Raw_Data!$AR$2:$AR$2552,Raw_Data!$A$2:$A$2552,$A10)</f>
        <v/>
      </c>
      <c r="U10" s="87">
        <f>SUMIFS(Raw_Data!$AS$2:$AS$2552,Raw_Data!$A$2:$A$2552,$A10)</f>
        <v/>
      </c>
      <c r="V10" s="87">
        <f>N10+T10</f>
        <v/>
      </c>
      <c r="W10" s="86">
        <f>SUMIFS(Raw_Data!$AU$2:$AU$2552,Raw_Data!$A$2:$A$2552,$A10)</f>
        <v/>
      </c>
      <c r="X10" s="18">
        <f>IFERROR(D10/$D$36,"")</f>
        <v/>
      </c>
      <c r="Y10" s="18">
        <f>IFERROR(N10/$N$36,"")</f>
        <v/>
      </c>
      <c r="Z10" s="97">
        <f>SUM($D$5:D10)</f>
        <v/>
      </c>
      <c r="AA10" s="98">
        <f>SUM($N$5:N10)</f>
        <v/>
      </c>
      <c r="AB10" s="86">
        <f>IFERROR(Z10/AA10,"")</f>
        <v/>
      </c>
      <c r="AC10" s="18">
        <f>IFERROR(Z10/Assumptions!$C$10,"")</f>
        <v/>
      </c>
      <c r="AD10" s="18">
        <f>6/31</f>
        <v/>
      </c>
      <c r="AE10" s="88">
        <f>IFERROR(AC10/AD10,"")</f>
        <v/>
      </c>
      <c r="AF10" s="86">
        <f>SUMIFS(Raw_Data!$R$2:$R$2552,Raw_Data!$A$2:$A$2552,$A10,Raw_Data!$D$2:$D$2552,"Meta (FB/IG)")</f>
        <v/>
      </c>
      <c r="AG10" s="87">
        <f>SUMIFS(Raw_Data!$AL$2:$AL$2552,Raw_Data!$A$2:$A$2552,$A10,Raw_Data!$D$2:$D$2552,"Meta (FB/IG)")</f>
        <v/>
      </c>
      <c r="AH10" s="86">
        <f>IFERROR(AF10/AG10,"")</f>
        <v/>
      </c>
      <c r="AI10" s="86">
        <f>SUMIFS(Raw_Data!$R$2:$R$2552,Raw_Data!$A$2:$A$2552,$A10,Raw_Data!$D$2:$D$2552,"TikTok")</f>
        <v/>
      </c>
      <c r="AJ10" s="87">
        <f>SUMIFS(Raw_Data!$AL$2:$AL$2552,Raw_Data!$A$2:$A$2552,$A10,Raw_Data!$D$2:$D$2552,"TikTok")</f>
        <v/>
      </c>
      <c r="AK10" s="86">
        <f>IFERROR(AI10/AJ10,"")</f>
        <v/>
      </c>
      <c r="AL10" s="86">
        <f>SUMIFS(Raw_Data!$R$2:$R$2552,Raw_Data!$A$2:$A$2552,$A10,Raw_Data!$D$2:$D$2552,"X")</f>
        <v/>
      </c>
      <c r="AM10" s="87">
        <f>SUMIFS(Raw_Data!$AL$2:$AL$2552,Raw_Data!$A$2:$A$2552,$A10,Raw_Data!$D$2:$D$2552,"X")</f>
        <v/>
      </c>
      <c r="AN10" s="86">
        <f>IFERROR(AL10/AM10,"")</f>
        <v/>
      </c>
      <c r="AO10" s="86">
        <f>SUMIFS(Raw_Data!$R$2:$R$2552,Raw_Data!$A$2:$A$2552,$A10,Raw_Data!$D$2:$D$2552,"Programmatic")</f>
        <v/>
      </c>
      <c r="AP10" s="87">
        <f>SUMIFS(Raw_Data!$AL$2:$AL$2552,Raw_Data!$A$2:$A$2552,$A10,Raw_Data!$D$2:$D$2552,"Programmatic")</f>
        <v/>
      </c>
      <c r="AQ10" s="86">
        <f>IFERROR(AO10/AP10,"")</f>
        <v/>
      </c>
    </row>
    <row r="11">
      <c r="A11" s="96" t="n">
        <v>46241</v>
      </c>
      <c r="B11" s="29" t="inlineStr">
        <is>
          <t>Fri</t>
        </is>
      </c>
      <c r="C11" s="8" t="inlineStr">
        <is>
          <t>Wk 32</t>
        </is>
      </c>
      <c r="D11" s="86">
        <f>SUMIFS(Raw_Data!$R$2:$R$2552,Raw_Data!$A$2:$A$2552,$A11)</f>
        <v/>
      </c>
      <c r="E11" s="87">
        <f>SUMIFS(Raw_Data!$S$2:$S$2552,Raw_Data!$A$2:$A$2552,$A11)</f>
        <v/>
      </c>
      <c r="F11" s="87">
        <f>SUMIFS(Raw_Data!$T$2:$T$2552,Raw_Data!$A$2:$A$2552,$A11)</f>
        <v/>
      </c>
      <c r="G11" s="88">
        <f>IFERROR(E11/F11,"")</f>
        <v/>
      </c>
      <c r="H11" s="87">
        <f>SUMIFS(Raw_Data!$W$2:$W$2552,Raw_Data!$A$2:$A$2552,$A11)</f>
        <v/>
      </c>
      <c r="I11" s="89">
        <f>IFERROR(H11/E11,"")</f>
        <v/>
      </c>
      <c r="J11" s="90">
        <f>IFERROR(D11/H11,"")</f>
        <v/>
      </c>
      <c r="K11" s="90">
        <f>IFERROR(D11/E11*1000,"")</f>
        <v/>
      </c>
      <c r="L11" s="87">
        <f>SUMIFS(Raw_Data!$AA$2:$AA$2552,Raw_Data!$A$2:$A$2552,$A11)</f>
        <v/>
      </c>
      <c r="M11" s="18">
        <f>IFERROR(L11/H11,"")</f>
        <v/>
      </c>
      <c r="N11" s="87">
        <f>SUMIFS(Raw_Data!$AL$2:$AL$2552,Raw_Data!$A$2:$A$2552,$A11)</f>
        <v/>
      </c>
      <c r="O11" s="89">
        <f>IFERROR(N11/L11,"")</f>
        <v/>
      </c>
      <c r="P11" s="86">
        <f>IFERROR(D11/N11,"")</f>
        <v/>
      </c>
      <c r="Q11" s="87">
        <f>SUMIFS(Raw_Data!$AO$2:$AO$2552,Raw_Data!$A$2:$A$2552,$A11)</f>
        <v/>
      </c>
      <c r="R11" s="18">
        <f>IFERROR(Q11/N11,"")</f>
        <v/>
      </c>
      <c r="S11" s="86">
        <f>IFERROR(D11/Q11,"")</f>
        <v/>
      </c>
      <c r="T11" s="87">
        <f>SUMIFS(Raw_Data!$AR$2:$AR$2552,Raw_Data!$A$2:$A$2552,$A11)</f>
        <v/>
      </c>
      <c r="U11" s="87">
        <f>SUMIFS(Raw_Data!$AS$2:$AS$2552,Raw_Data!$A$2:$A$2552,$A11)</f>
        <v/>
      </c>
      <c r="V11" s="87">
        <f>N11+T11</f>
        <v/>
      </c>
      <c r="W11" s="86">
        <f>SUMIFS(Raw_Data!$AU$2:$AU$2552,Raw_Data!$A$2:$A$2552,$A11)</f>
        <v/>
      </c>
      <c r="X11" s="18">
        <f>IFERROR(D11/$D$36,"")</f>
        <v/>
      </c>
      <c r="Y11" s="18">
        <f>IFERROR(N11/$N$36,"")</f>
        <v/>
      </c>
      <c r="Z11" s="97">
        <f>SUM($D$5:D11)</f>
        <v/>
      </c>
      <c r="AA11" s="98">
        <f>SUM($N$5:N11)</f>
        <v/>
      </c>
      <c r="AB11" s="86">
        <f>IFERROR(Z11/AA11,"")</f>
        <v/>
      </c>
      <c r="AC11" s="18">
        <f>IFERROR(Z11/Assumptions!$C$10,"")</f>
        <v/>
      </c>
      <c r="AD11" s="18">
        <f>7/31</f>
        <v/>
      </c>
      <c r="AE11" s="88">
        <f>IFERROR(AC11/AD11,"")</f>
        <v/>
      </c>
      <c r="AF11" s="86">
        <f>SUMIFS(Raw_Data!$R$2:$R$2552,Raw_Data!$A$2:$A$2552,$A11,Raw_Data!$D$2:$D$2552,"Meta (FB/IG)")</f>
        <v/>
      </c>
      <c r="AG11" s="87">
        <f>SUMIFS(Raw_Data!$AL$2:$AL$2552,Raw_Data!$A$2:$A$2552,$A11,Raw_Data!$D$2:$D$2552,"Meta (FB/IG)")</f>
        <v/>
      </c>
      <c r="AH11" s="86">
        <f>IFERROR(AF11/AG11,"")</f>
        <v/>
      </c>
      <c r="AI11" s="86">
        <f>SUMIFS(Raw_Data!$R$2:$R$2552,Raw_Data!$A$2:$A$2552,$A11,Raw_Data!$D$2:$D$2552,"TikTok")</f>
        <v/>
      </c>
      <c r="AJ11" s="87">
        <f>SUMIFS(Raw_Data!$AL$2:$AL$2552,Raw_Data!$A$2:$A$2552,$A11,Raw_Data!$D$2:$D$2552,"TikTok")</f>
        <v/>
      </c>
      <c r="AK11" s="86">
        <f>IFERROR(AI11/AJ11,"")</f>
        <v/>
      </c>
      <c r="AL11" s="86">
        <f>SUMIFS(Raw_Data!$R$2:$R$2552,Raw_Data!$A$2:$A$2552,$A11,Raw_Data!$D$2:$D$2552,"X")</f>
        <v/>
      </c>
      <c r="AM11" s="87">
        <f>SUMIFS(Raw_Data!$AL$2:$AL$2552,Raw_Data!$A$2:$A$2552,$A11,Raw_Data!$D$2:$D$2552,"X")</f>
        <v/>
      </c>
      <c r="AN11" s="86">
        <f>IFERROR(AL11/AM11,"")</f>
        <v/>
      </c>
      <c r="AO11" s="86">
        <f>SUMIFS(Raw_Data!$R$2:$R$2552,Raw_Data!$A$2:$A$2552,$A11,Raw_Data!$D$2:$D$2552,"Programmatic")</f>
        <v/>
      </c>
      <c r="AP11" s="87">
        <f>SUMIFS(Raw_Data!$AL$2:$AL$2552,Raw_Data!$A$2:$A$2552,$A11,Raw_Data!$D$2:$D$2552,"Programmatic")</f>
        <v/>
      </c>
      <c r="AQ11" s="86">
        <f>IFERROR(AO11/AP11,"")</f>
        <v/>
      </c>
    </row>
    <row r="12">
      <c r="A12" s="96" t="n">
        <v>46242</v>
      </c>
      <c r="B12" s="29" t="inlineStr">
        <is>
          <t>Sat</t>
        </is>
      </c>
      <c r="C12" s="8" t="inlineStr">
        <is>
          <t>Wk 32</t>
        </is>
      </c>
      <c r="D12" s="86">
        <f>SUMIFS(Raw_Data!$R$2:$R$2552,Raw_Data!$A$2:$A$2552,$A12)</f>
        <v/>
      </c>
      <c r="E12" s="87">
        <f>SUMIFS(Raw_Data!$S$2:$S$2552,Raw_Data!$A$2:$A$2552,$A12)</f>
        <v/>
      </c>
      <c r="F12" s="87">
        <f>SUMIFS(Raw_Data!$T$2:$T$2552,Raw_Data!$A$2:$A$2552,$A12)</f>
        <v/>
      </c>
      <c r="G12" s="88">
        <f>IFERROR(E12/F12,"")</f>
        <v/>
      </c>
      <c r="H12" s="87">
        <f>SUMIFS(Raw_Data!$W$2:$W$2552,Raw_Data!$A$2:$A$2552,$A12)</f>
        <v/>
      </c>
      <c r="I12" s="89">
        <f>IFERROR(H12/E12,"")</f>
        <v/>
      </c>
      <c r="J12" s="90">
        <f>IFERROR(D12/H12,"")</f>
        <v/>
      </c>
      <c r="K12" s="90">
        <f>IFERROR(D12/E12*1000,"")</f>
        <v/>
      </c>
      <c r="L12" s="87">
        <f>SUMIFS(Raw_Data!$AA$2:$AA$2552,Raw_Data!$A$2:$A$2552,$A12)</f>
        <v/>
      </c>
      <c r="M12" s="18">
        <f>IFERROR(L12/H12,"")</f>
        <v/>
      </c>
      <c r="N12" s="87">
        <f>SUMIFS(Raw_Data!$AL$2:$AL$2552,Raw_Data!$A$2:$A$2552,$A12)</f>
        <v/>
      </c>
      <c r="O12" s="89">
        <f>IFERROR(N12/L12,"")</f>
        <v/>
      </c>
      <c r="P12" s="86">
        <f>IFERROR(D12/N12,"")</f>
        <v/>
      </c>
      <c r="Q12" s="87">
        <f>SUMIFS(Raw_Data!$AO$2:$AO$2552,Raw_Data!$A$2:$A$2552,$A12)</f>
        <v/>
      </c>
      <c r="R12" s="18">
        <f>IFERROR(Q12/N12,"")</f>
        <v/>
      </c>
      <c r="S12" s="86">
        <f>IFERROR(D12/Q12,"")</f>
        <v/>
      </c>
      <c r="T12" s="87">
        <f>SUMIFS(Raw_Data!$AR$2:$AR$2552,Raw_Data!$A$2:$A$2552,$A12)</f>
        <v/>
      </c>
      <c r="U12" s="87">
        <f>SUMIFS(Raw_Data!$AS$2:$AS$2552,Raw_Data!$A$2:$A$2552,$A12)</f>
        <v/>
      </c>
      <c r="V12" s="87">
        <f>N12+T12</f>
        <v/>
      </c>
      <c r="W12" s="86">
        <f>SUMIFS(Raw_Data!$AU$2:$AU$2552,Raw_Data!$A$2:$A$2552,$A12)</f>
        <v/>
      </c>
      <c r="X12" s="18">
        <f>IFERROR(D12/$D$36,"")</f>
        <v/>
      </c>
      <c r="Y12" s="18">
        <f>IFERROR(N12/$N$36,"")</f>
        <v/>
      </c>
      <c r="Z12" s="97">
        <f>SUM($D$5:D12)</f>
        <v/>
      </c>
      <c r="AA12" s="98">
        <f>SUM($N$5:N12)</f>
        <v/>
      </c>
      <c r="AB12" s="86">
        <f>IFERROR(Z12/AA12,"")</f>
        <v/>
      </c>
      <c r="AC12" s="18">
        <f>IFERROR(Z12/Assumptions!$C$10,"")</f>
        <v/>
      </c>
      <c r="AD12" s="18">
        <f>8/31</f>
        <v/>
      </c>
      <c r="AE12" s="88">
        <f>IFERROR(AC12/AD12,"")</f>
        <v/>
      </c>
      <c r="AF12" s="86">
        <f>SUMIFS(Raw_Data!$R$2:$R$2552,Raw_Data!$A$2:$A$2552,$A12,Raw_Data!$D$2:$D$2552,"Meta (FB/IG)")</f>
        <v/>
      </c>
      <c r="AG12" s="87">
        <f>SUMIFS(Raw_Data!$AL$2:$AL$2552,Raw_Data!$A$2:$A$2552,$A12,Raw_Data!$D$2:$D$2552,"Meta (FB/IG)")</f>
        <v/>
      </c>
      <c r="AH12" s="86">
        <f>IFERROR(AF12/AG12,"")</f>
        <v/>
      </c>
      <c r="AI12" s="86">
        <f>SUMIFS(Raw_Data!$R$2:$R$2552,Raw_Data!$A$2:$A$2552,$A12,Raw_Data!$D$2:$D$2552,"TikTok")</f>
        <v/>
      </c>
      <c r="AJ12" s="87">
        <f>SUMIFS(Raw_Data!$AL$2:$AL$2552,Raw_Data!$A$2:$A$2552,$A12,Raw_Data!$D$2:$D$2552,"TikTok")</f>
        <v/>
      </c>
      <c r="AK12" s="86">
        <f>IFERROR(AI12/AJ12,"")</f>
        <v/>
      </c>
      <c r="AL12" s="86">
        <f>SUMIFS(Raw_Data!$R$2:$R$2552,Raw_Data!$A$2:$A$2552,$A12,Raw_Data!$D$2:$D$2552,"X")</f>
        <v/>
      </c>
      <c r="AM12" s="87">
        <f>SUMIFS(Raw_Data!$AL$2:$AL$2552,Raw_Data!$A$2:$A$2552,$A12,Raw_Data!$D$2:$D$2552,"X")</f>
        <v/>
      </c>
      <c r="AN12" s="86">
        <f>IFERROR(AL12/AM12,"")</f>
        <v/>
      </c>
      <c r="AO12" s="86">
        <f>SUMIFS(Raw_Data!$R$2:$R$2552,Raw_Data!$A$2:$A$2552,$A12,Raw_Data!$D$2:$D$2552,"Programmatic")</f>
        <v/>
      </c>
      <c r="AP12" s="87">
        <f>SUMIFS(Raw_Data!$AL$2:$AL$2552,Raw_Data!$A$2:$A$2552,$A12,Raw_Data!$D$2:$D$2552,"Programmatic")</f>
        <v/>
      </c>
      <c r="AQ12" s="86">
        <f>IFERROR(AO12/AP12,"")</f>
        <v/>
      </c>
    </row>
    <row r="13">
      <c r="A13" s="96" t="n">
        <v>46243</v>
      </c>
      <c r="B13" s="29" t="inlineStr">
        <is>
          <t>Sun</t>
        </is>
      </c>
      <c r="C13" s="8" t="inlineStr">
        <is>
          <t>Wk 32</t>
        </is>
      </c>
      <c r="D13" s="86">
        <f>SUMIFS(Raw_Data!$R$2:$R$2552,Raw_Data!$A$2:$A$2552,$A13)</f>
        <v/>
      </c>
      <c r="E13" s="87">
        <f>SUMIFS(Raw_Data!$S$2:$S$2552,Raw_Data!$A$2:$A$2552,$A13)</f>
        <v/>
      </c>
      <c r="F13" s="87">
        <f>SUMIFS(Raw_Data!$T$2:$T$2552,Raw_Data!$A$2:$A$2552,$A13)</f>
        <v/>
      </c>
      <c r="G13" s="88">
        <f>IFERROR(E13/F13,"")</f>
        <v/>
      </c>
      <c r="H13" s="87">
        <f>SUMIFS(Raw_Data!$W$2:$W$2552,Raw_Data!$A$2:$A$2552,$A13)</f>
        <v/>
      </c>
      <c r="I13" s="89">
        <f>IFERROR(H13/E13,"")</f>
        <v/>
      </c>
      <c r="J13" s="90">
        <f>IFERROR(D13/H13,"")</f>
        <v/>
      </c>
      <c r="K13" s="90">
        <f>IFERROR(D13/E13*1000,"")</f>
        <v/>
      </c>
      <c r="L13" s="87">
        <f>SUMIFS(Raw_Data!$AA$2:$AA$2552,Raw_Data!$A$2:$A$2552,$A13)</f>
        <v/>
      </c>
      <c r="M13" s="18">
        <f>IFERROR(L13/H13,"")</f>
        <v/>
      </c>
      <c r="N13" s="87">
        <f>SUMIFS(Raw_Data!$AL$2:$AL$2552,Raw_Data!$A$2:$A$2552,$A13)</f>
        <v/>
      </c>
      <c r="O13" s="89">
        <f>IFERROR(N13/L13,"")</f>
        <v/>
      </c>
      <c r="P13" s="86">
        <f>IFERROR(D13/N13,"")</f>
        <v/>
      </c>
      <c r="Q13" s="87">
        <f>SUMIFS(Raw_Data!$AO$2:$AO$2552,Raw_Data!$A$2:$A$2552,$A13)</f>
        <v/>
      </c>
      <c r="R13" s="18">
        <f>IFERROR(Q13/N13,"")</f>
        <v/>
      </c>
      <c r="S13" s="86">
        <f>IFERROR(D13/Q13,"")</f>
        <v/>
      </c>
      <c r="T13" s="87">
        <f>SUMIFS(Raw_Data!$AR$2:$AR$2552,Raw_Data!$A$2:$A$2552,$A13)</f>
        <v/>
      </c>
      <c r="U13" s="87">
        <f>SUMIFS(Raw_Data!$AS$2:$AS$2552,Raw_Data!$A$2:$A$2552,$A13)</f>
        <v/>
      </c>
      <c r="V13" s="87">
        <f>N13+T13</f>
        <v/>
      </c>
      <c r="W13" s="86">
        <f>SUMIFS(Raw_Data!$AU$2:$AU$2552,Raw_Data!$A$2:$A$2552,$A13)</f>
        <v/>
      </c>
      <c r="X13" s="18">
        <f>IFERROR(D13/$D$36,"")</f>
        <v/>
      </c>
      <c r="Y13" s="18">
        <f>IFERROR(N13/$N$36,"")</f>
        <v/>
      </c>
      <c r="Z13" s="97">
        <f>SUM($D$5:D13)</f>
        <v/>
      </c>
      <c r="AA13" s="98">
        <f>SUM($N$5:N13)</f>
        <v/>
      </c>
      <c r="AB13" s="86">
        <f>IFERROR(Z13/AA13,"")</f>
        <v/>
      </c>
      <c r="AC13" s="18">
        <f>IFERROR(Z13/Assumptions!$C$10,"")</f>
        <v/>
      </c>
      <c r="AD13" s="18">
        <f>9/31</f>
        <v/>
      </c>
      <c r="AE13" s="88">
        <f>IFERROR(AC13/AD13,"")</f>
        <v/>
      </c>
      <c r="AF13" s="86">
        <f>SUMIFS(Raw_Data!$R$2:$R$2552,Raw_Data!$A$2:$A$2552,$A13,Raw_Data!$D$2:$D$2552,"Meta (FB/IG)")</f>
        <v/>
      </c>
      <c r="AG13" s="87">
        <f>SUMIFS(Raw_Data!$AL$2:$AL$2552,Raw_Data!$A$2:$A$2552,$A13,Raw_Data!$D$2:$D$2552,"Meta (FB/IG)")</f>
        <v/>
      </c>
      <c r="AH13" s="86">
        <f>IFERROR(AF13/AG13,"")</f>
        <v/>
      </c>
      <c r="AI13" s="86">
        <f>SUMIFS(Raw_Data!$R$2:$R$2552,Raw_Data!$A$2:$A$2552,$A13,Raw_Data!$D$2:$D$2552,"TikTok")</f>
        <v/>
      </c>
      <c r="AJ13" s="87">
        <f>SUMIFS(Raw_Data!$AL$2:$AL$2552,Raw_Data!$A$2:$A$2552,$A13,Raw_Data!$D$2:$D$2552,"TikTok")</f>
        <v/>
      </c>
      <c r="AK13" s="86">
        <f>IFERROR(AI13/AJ13,"")</f>
        <v/>
      </c>
      <c r="AL13" s="86">
        <f>SUMIFS(Raw_Data!$R$2:$R$2552,Raw_Data!$A$2:$A$2552,$A13,Raw_Data!$D$2:$D$2552,"X")</f>
        <v/>
      </c>
      <c r="AM13" s="87">
        <f>SUMIFS(Raw_Data!$AL$2:$AL$2552,Raw_Data!$A$2:$A$2552,$A13,Raw_Data!$D$2:$D$2552,"X")</f>
        <v/>
      </c>
      <c r="AN13" s="86">
        <f>IFERROR(AL13/AM13,"")</f>
        <v/>
      </c>
      <c r="AO13" s="86">
        <f>SUMIFS(Raw_Data!$R$2:$R$2552,Raw_Data!$A$2:$A$2552,$A13,Raw_Data!$D$2:$D$2552,"Programmatic")</f>
        <v/>
      </c>
      <c r="AP13" s="87">
        <f>SUMIFS(Raw_Data!$AL$2:$AL$2552,Raw_Data!$A$2:$A$2552,$A13,Raw_Data!$D$2:$D$2552,"Programmatic")</f>
        <v/>
      </c>
      <c r="AQ13" s="86">
        <f>IFERROR(AO13/AP13,"")</f>
        <v/>
      </c>
    </row>
    <row r="14">
      <c r="A14" s="96" t="n">
        <v>46244</v>
      </c>
      <c r="B14" s="8" t="inlineStr">
        <is>
          <t>Mon</t>
        </is>
      </c>
      <c r="C14" s="8" t="inlineStr">
        <is>
          <t>Wk 33</t>
        </is>
      </c>
      <c r="D14" s="86">
        <f>SUMIFS(Raw_Data!$R$2:$R$2552,Raw_Data!$A$2:$A$2552,$A14)</f>
        <v/>
      </c>
      <c r="E14" s="87">
        <f>SUMIFS(Raw_Data!$S$2:$S$2552,Raw_Data!$A$2:$A$2552,$A14)</f>
        <v/>
      </c>
      <c r="F14" s="87">
        <f>SUMIFS(Raw_Data!$T$2:$T$2552,Raw_Data!$A$2:$A$2552,$A14)</f>
        <v/>
      </c>
      <c r="G14" s="88">
        <f>IFERROR(E14/F14,"")</f>
        <v/>
      </c>
      <c r="H14" s="87">
        <f>SUMIFS(Raw_Data!$W$2:$W$2552,Raw_Data!$A$2:$A$2552,$A14)</f>
        <v/>
      </c>
      <c r="I14" s="89">
        <f>IFERROR(H14/E14,"")</f>
        <v/>
      </c>
      <c r="J14" s="90">
        <f>IFERROR(D14/H14,"")</f>
        <v/>
      </c>
      <c r="K14" s="90">
        <f>IFERROR(D14/E14*1000,"")</f>
        <v/>
      </c>
      <c r="L14" s="87">
        <f>SUMIFS(Raw_Data!$AA$2:$AA$2552,Raw_Data!$A$2:$A$2552,$A14)</f>
        <v/>
      </c>
      <c r="M14" s="18">
        <f>IFERROR(L14/H14,"")</f>
        <v/>
      </c>
      <c r="N14" s="87">
        <f>SUMIFS(Raw_Data!$AL$2:$AL$2552,Raw_Data!$A$2:$A$2552,$A14)</f>
        <v/>
      </c>
      <c r="O14" s="89">
        <f>IFERROR(N14/L14,"")</f>
        <v/>
      </c>
      <c r="P14" s="86">
        <f>IFERROR(D14/N14,"")</f>
        <v/>
      </c>
      <c r="Q14" s="87">
        <f>SUMIFS(Raw_Data!$AO$2:$AO$2552,Raw_Data!$A$2:$A$2552,$A14)</f>
        <v/>
      </c>
      <c r="R14" s="18">
        <f>IFERROR(Q14/N14,"")</f>
        <v/>
      </c>
      <c r="S14" s="86">
        <f>IFERROR(D14/Q14,"")</f>
        <v/>
      </c>
      <c r="T14" s="87">
        <f>SUMIFS(Raw_Data!$AR$2:$AR$2552,Raw_Data!$A$2:$A$2552,$A14)</f>
        <v/>
      </c>
      <c r="U14" s="87">
        <f>SUMIFS(Raw_Data!$AS$2:$AS$2552,Raw_Data!$A$2:$A$2552,$A14)</f>
        <v/>
      </c>
      <c r="V14" s="87">
        <f>N14+T14</f>
        <v/>
      </c>
      <c r="W14" s="86">
        <f>SUMIFS(Raw_Data!$AU$2:$AU$2552,Raw_Data!$A$2:$A$2552,$A14)</f>
        <v/>
      </c>
      <c r="X14" s="18">
        <f>IFERROR(D14/$D$36,"")</f>
        <v/>
      </c>
      <c r="Y14" s="18">
        <f>IFERROR(N14/$N$36,"")</f>
        <v/>
      </c>
      <c r="Z14" s="97">
        <f>SUM($D$5:D14)</f>
        <v/>
      </c>
      <c r="AA14" s="98">
        <f>SUM($N$5:N14)</f>
        <v/>
      </c>
      <c r="AB14" s="86">
        <f>IFERROR(Z14/AA14,"")</f>
        <v/>
      </c>
      <c r="AC14" s="18">
        <f>IFERROR(Z14/Assumptions!$C$10,"")</f>
        <v/>
      </c>
      <c r="AD14" s="18">
        <f>10/31</f>
        <v/>
      </c>
      <c r="AE14" s="88">
        <f>IFERROR(AC14/AD14,"")</f>
        <v/>
      </c>
      <c r="AF14" s="86">
        <f>SUMIFS(Raw_Data!$R$2:$R$2552,Raw_Data!$A$2:$A$2552,$A14,Raw_Data!$D$2:$D$2552,"Meta (FB/IG)")</f>
        <v/>
      </c>
      <c r="AG14" s="87">
        <f>SUMIFS(Raw_Data!$AL$2:$AL$2552,Raw_Data!$A$2:$A$2552,$A14,Raw_Data!$D$2:$D$2552,"Meta (FB/IG)")</f>
        <v/>
      </c>
      <c r="AH14" s="86">
        <f>IFERROR(AF14/AG14,"")</f>
        <v/>
      </c>
      <c r="AI14" s="86">
        <f>SUMIFS(Raw_Data!$R$2:$R$2552,Raw_Data!$A$2:$A$2552,$A14,Raw_Data!$D$2:$D$2552,"TikTok")</f>
        <v/>
      </c>
      <c r="AJ14" s="87">
        <f>SUMIFS(Raw_Data!$AL$2:$AL$2552,Raw_Data!$A$2:$A$2552,$A14,Raw_Data!$D$2:$D$2552,"TikTok")</f>
        <v/>
      </c>
      <c r="AK14" s="86">
        <f>IFERROR(AI14/AJ14,"")</f>
        <v/>
      </c>
      <c r="AL14" s="86">
        <f>SUMIFS(Raw_Data!$R$2:$R$2552,Raw_Data!$A$2:$A$2552,$A14,Raw_Data!$D$2:$D$2552,"X")</f>
        <v/>
      </c>
      <c r="AM14" s="87">
        <f>SUMIFS(Raw_Data!$AL$2:$AL$2552,Raw_Data!$A$2:$A$2552,$A14,Raw_Data!$D$2:$D$2552,"X")</f>
        <v/>
      </c>
      <c r="AN14" s="86">
        <f>IFERROR(AL14/AM14,"")</f>
        <v/>
      </c>
      <c r="AO14" s="86">
        <f>SUMIFS(Raw_Data!$R$2:$R$2552,Raw_Data!$A$2:$A$2552,$A14,Raw_Data!$D$2:$D$2552,"Programmatic")</f>
        <v/>
      </c>
      <c r="AP14" s="87">
        <f>SUMIFS(Raw_Data!$AL$2:$AL$2552,Raw_Data!$A$2:$A$2552,$A14,Raw_Data!$D$2:$D$2552,"Programmatic")</f>
        <v/>
      </c>
      <c r="AQ14" s="86">
        <f>IFERROR(AO14/AP14,"")</f>
        <v/>
      </c>
    </row>
    <row r="15">
      <c r="A15" s="96" t="n">
        <v>46245</v>
      </c>
      <c r="B15" s="8" t="inlineStr">
        <is>
          <t>Tue</t>
        </is>
      </c>
      <c r="C15" s="8" t="inlineStr">
        <is>
          <t>Wk 33</t>
        </is>
      </c>
      <c r="D15" s="86">
        <f>SUMIFS(Raw_Data!$R$2:$R$2552,Raw_Data!$A$2:$A$2552,$A15)</f>
        <v/>
      </c>
      <c r="E15" s="87">
        <f>SUMIFS(Raw_Data!$S$2:$S$2552,Raw_Data!$A$2:$A$2552,$A15)</f>
        <v/>
      </c>
      <c r="F15" s="87">
        <f>SUMIFS(Raw_Data!$T$2:$T$2552,Raw_Data!$A$2:$A$2552,$A15)</f>
        <v/>
      </c>
      <c r="G15" s="88">
        <f>IFERROR(E15/F15,"")</f>
        <v/>
      </c>
      <c r="H15" s="87">
        <f>SUMIFS(Raw_Data!$W$2:$W$2552,Raw_Data!$A$2:$A$2552,$A15)</f>
        <v/>
      </c>
      <c r="I15" s="89">
        <f>IFERROR(H15/E15,"")</f>
        <v/>
      </c>
      <c r="J15" s="90">
        <f>IFERROR(D15/H15,"")</f>
        <v/>
      </c>
      <c r="K15" s="90">
        <f>IFERROR(D15/E15*1000,"")</f>
        <v/>
      </c>
      <c r="L15" s="87">
        <f>SUMIFS(Raw_Data!$AA$2:$AA$2552,Raw_Data!$A$2:$A$2552,$A15)</f>
        <v/>
      </c>
      <c r="M15" s="18">
        <f>IFERROR(L15/H15,"")</f>
        <v/>
      </c>
      <c r="N15" s="87">
        <f>SUMIFS(Raw_Data!$AL$2:$AL$2552,Raw_Data!$A$2:$A$2552,$A15)</f>
        <v/>
      </c>
      <c r="O15" s="89">
        <f>IFERROR(N15/L15,"")</f>
        <v/>
      </c>
      <c r="P15" s="86">
        <f>IFERROR(D15/N15,"")</f>
        <v/>
      </c>
      <c r="Q15" s="87">
        <f>SUMIFS(Raw_Data!$AO$2:$AO$2552,Raw_Data!$A$2:$A$2552,$A15)</f>
        <v/>
      </c>
      <c r="R15" s="18">
        <f>IFERROR(Q15/N15,"")</f>
        <v/>
      </c>
      <c r="S15" s="86">
        <f>IFERROR(D15/Q15,"")</f>
        <v/>
      </c>
      <c r="T15" s="87">
        <f>SUMIFS(Raw_Data!$AR$2:$AR$2552,Raw_Data!$A$2:$A$2552,$A15)</f>
        <v/>
      </c>
      <c r="U15" s="87">
        <f>SUMIFS(Raw_Data!$AS$2:$AS$2552,Raw_Data!$A$2:$A$2552,$A15)</f>
        <v/>
      </c>
      <c r="V15" s="87">
        <f>N15+T15</f>
        <v/>
      </c>
      <c r="W15" s="86">
        <f>SUMIFS(Raw_Data!$AU$2:$AU$2552,Raw_Data!$A$2:$A$2552,$A15)</f>
        <v/>
      </c>
      <c r="X15" s="18">
        <f>IFERROR(D15/$D$36,"")</f>
        <v/>
      </c>
      <c r="Y15" s="18">
        <f>IFERROR(N15/$N$36,"")</f>
        <v/>
      </c>
      <c r="Z15" s="97">
        <f>SUM($D$5:D15)</f>
        <v/>
      </c>
      <c r="AA15" s="98">
        <f>SUM($N$5:N15)</f>
        <v/>
      </c>
      <c r="AB15" s="86">
        <f>IFERROR(Z15/AA15,"")</f>
        <v/>
      </c>
      <c r="AC15" s="18">
        <f>IFERROR(Z15/Assumptions!$C$10,"")</f>
        <v/>
      </c>
      <c r="AD15" s="18">
        <f>11/31</f>
        <v/>
      </c>
      <c r="AE15" s="88">
        <f>IFERROR(AC15/AD15,"")</f>
        <v/>
      </c>
      <c r="AF15" s="86">
        <f>SUMIFS(Raw_Data!$R$2:$R$2552,Raw_Data!$A$2:$A$2552,$A15,Raw_Data!$D$2:$D$2552,"Meta (FB/IG)")</f>
        <v/>
      </c>
      <c r="AG15" s="87">
        <f>SUMIFS(Raw_Data!$AL$2:$AL$2552,Raw_Data!$A$2:$A$2552,$A15,Raw_Data!$D$2:$D$2552,"Meta (FB/IG)")</f>
        <v/>
      </c>
      <c r="AH15" s="86">
        <f>IFERROR(AF15/AG15,"")</f>
        <v/>
      </c>
      <c r="AI15" s="86">
        <f>SUMIFS(Raw_Data!$R$2:$R$2552,Raw_Data!$A$2:$A$2552,$A15,Raw_Data!$D$2:$D$2552,"TikTok")</f>
        <v/>
      </c>
      <c r="AJ15" s="87">
        <f>SUMIFS(Raw_Data!$AL$2:$AL$2552,Raw_Data!$A$2:$A$2552,$A15,Raw_Data!$D$2:$D$2552,"TikTok")</f>
        <v/>
      </c>
      <c r="AK15" s="86">
        <f>IFERROR(AI15/AJ15,"")</f>
        <v/>
      </c>
      <c r="AL15" s="86">
        <f>SUMIFS(Raw_Data!$R$2:$R$2552,Raw_Data!$A$2:$A$2552,$A15,Raw_Data!$D$2:$D$2552,"X")</f>
        <v/>
      </c>
      <c r="AM15" s="87">
        <f>SUMIFS(Raw_Data!$AL$2:$AL$2552,Raw_Data!$A$2:$A$2552,$A15,Raw_Data!$D$2:$D$2552,"X")</f>
        <v/>
      </c>
      <c r="AN15" s="86">
        <f>IFERROR(AL15/AM15,"")</f>
        <v/>
      </c>
      <c r="AO15" s="86">
        <f>SUMIFS(Raw_Data!$R$2:$R$2552,Raw_Data!$A$2:$A$2552,$A15,Raw_Data!$D$2:$D$2552,"Programmatic")</f>
        <v/>
      </c>
      <c r="AP15" s="87">
        <f>SUMIFS(Raw_Data!$AL$2:$AL$2552,Raw_Data!$A$2:$A$2552,$A15,Raw_Data!$D$2:$D$2552,"Programmatic")</f>
        <v/>
      </c>
      <c r="AQ15" s="86">
        <f>IFERROR(AO15/AP15,"")</f>
        <v/>
      </c>
    </row>
    <row r="16">
      <c r="A16" s="96" t="n">
        <v>46246</v>
      </c>
      <c r="B16" s="8" t="inlineStr">
        <is>
          <t>Wed</t>
        </is>
      </c>
      <c r="C16" s="8" t="inlineStr">
        <is>
          <t>Wk 33</t>
        </is>
      </c>
      <c r="D16" s="86">
        <f>SUMIFS(Raw_Data!$R$2:$R$2552,Raw_Data!$A$2:$A$2552,$A16)</f>
        <v/>
      </c>
      <c r="E16" s="87">
        <f>SUMIFS(Raw_Data!$S$2:$S$2552,Raw_Data!$A$2:$A$2552,$A16)</f>
        <v/>
      </c>
      <c r="F16" s="87">
        <f>SUMIFS(Raw_Data!$T$2:$T$2552,Raw_Data!$A$2:$A$2552,$A16)</f>
        <v/>
      </c>
      <c r="G16" s="88">
        <f>IFERROR(E16/F16,"")</f>
        <v/>
      </c>
      <c r="H16" s="87">
        <f>SUMIFS(Raw_Data!$W$2:$W$2552,Raw_Data!$A$2:$A$2552,$A16)</f>
        <v/>
      </c>
      <c r="I16" s="89">
        <f>IFERROR(H16/E16,"")</f>
        <v/>
      </c>
      <c r="J16" s="90">
        <f>IFERROR(D16/H16,"")</f>
        <v/>
      </c>
      <c r="K16" s="90">
        <f>IFERROR(D16/E16*1000,"")</f>
        <v/>
      </c>
      <c r="L16" s="87">
        <f>SUMIFS(Raw_Data!$AA$2:$AA$2552,Raw_Data!$A$2:$A$2552,$A16)</f>
        <v/>
      </c>
      <c r="M16" s="18">
        <f>IFERROR(L16/H16,"")</f>
        <v/>
      </c>
      <c r="N16" s="87">
        <f>SUMIFS(Raw_Data!$AL$2:$AL$2552,Raw_Data!$A$2:$A$2552,$A16)</f>
        <v/>
      </c>
      <c r="O16" s="89">
        <f>IFERROR(N16/L16,"")</f>
        <v/>
      </c>
      <c r="P16" s="86">
        <f>IFERROR(D16/N16,"")</f>
        <v/>
      </c>
      <c r="Q16" s="87">
        <f>SUMIFS(Raw_Data!$AO$2:$AO$2552,Raw_Data!$A$2:$A$2552,$A16)</f>
        <v/>
      </c>
      <c r="R16" s="18">
        <f>IFERROR(Q16/N16,"")</f>
        <v/>
      </c>
      <c r="S16" s="86">
        <f>IFERROR(D16/Q16,"")</f>
        <v/>
      </c>
      <c r="T16" s="87">
        <f>SUMIFS(Raw_Data!$AR$2:$AR$2552,Raw_Data!$A$2:$A$2552,$A16)</f>
        <v/>
      </c>
      <c r="U16" s="87">
        <f>SUMIFS(Raw_Data!$AS$2:$AS$2552,Raw_Data!$A$2:$A$2552,$A16)</f>
        <v/>
      </c>
      <c r="V16" s="87">
        <f>N16+T16</f>
        <v/>
      </c>
      <c r="W16" s="86">
        <f>SUMIFS(Raw_Data!$AU$2:$AU$2552,Raw_Data!$A$2:$A$2552,$A16)</f>
        <v/>
      </c>
      <c r="X16" s="18">
        <f>IFERROR(D16/$D$36,"")</f>
        <v/>
      </c>
      <c r="Y16" s="18">
        <f>IFERROR(N16/$N$36,"")</f>
        <v/>
      </c>
      <c r="Z16" s="97">
        <f>SUM($D$5:D16)</f>
        <v/>
      </c>
      <c r="AA16" s="98">
        <f>SUM($N$5:N16)</f>
        <v/>
      </c>
      <c r="AB16" s="86">
        <f>IFERROR(Z16/AA16,"")</f>
        <v/>
      </c>
      <c r="AC16" s="18">
        <f>IFERROR(Z16/Assumptions!$C$10,"")</f>
        <v/>
      </c>
      <c r="AD16" s="18">
        <f>12/31</f>
        <v/>
      </c>
      <c r="AE16" s="88">
        <f>IFERROR(AC16/AD16,"")</f>
        <v/>
      </c>
      <c r="AF16" s="86">
        <f>SUMIFS(Raw_Data!$R$2:$R$2552,Raw_Data!$A$2:$A$2552,$A16,Raw_Data!$D$2:$D$2552,"Meta (FB/IG)")</f>
        <v/>
      </c>
      <c r="AG16" s="87">
        <f>SUMIFS(Raw_Data!$AL$2:$AL$2552,Raw_Data!$A$2:$A$2552,$A16,Raw_Data!$D$2:$D$2552,"Meta (FB/IG)")</f>
        <v/>
      </c>
      <c r="AH16" s="86">
        <f>IFERROR(AF16/AG16,"")</f>
        <v/>
      </c>
      <c r="AI16" s="86">
        <f>SUMIFS(Raw_Data!$R$2:$R$2552,Raw_Data!$A$2:$A$2552,$A16,Raw_Data!$D$2:$D$2552,"TikTok")</f>
        <v/>
      </c>
      <c r="AJ16" s="87">
        <f>SUMIFS(Raw_Data!$AL$2:$AL$2552,Raw_Data!$A$2:$A$2552,$A16,Raw_Data!$D$2:$D$2552,"TikTok")</f>
        <v/>
      </c>
      <c r="AK16" s="86">
        <f>IFERROR(AI16/AJ16,"")</f>
        <v/>
      </c>
      <c r="AL16" s="86">
        <f>SUMIFS(Raw_Data!$R$2:$R$2552,Raw_Data!$A$2:$A$2552,$A16,Raw_Data!$D$2:$D$2552,"X")</f>
        <v/>
      </c>
      <c r="AM16" s="87">
        <f>SUMIFS(Raw_Data!$AL$2:$AL$2552,Raw_Data!$A$2:$A$2552,$A16,Raw_Data!$D$2:$D$2552,"X")</f>
        <v/>
      </c>
      <c r="AN16" s="86">
        <f>IFERROR(AL16/AM16,"")</f>
        <v/>
      </c>
      <c r="AO16" s="86">
        <f>SUMIFS(Raw_Data!$R$2:$R$2552,Raw_Data!$A$2:$A$2552,$A16,Raw_Data!$D$2:$D$2552,"Programmatic")</f>
        <v/>
      </c>
      <c r="AP16" s="87">
        <f>SUMIFS(Raw_Data!$AL$2:$AL$2552,Raw_Data!$A$2:$A$2552,$A16,Raw_Data!$D$2:$D$2552,"Programmatic")</f>
        <v/>
      </c>
      <c r="AQ16" s="86">
        <f>IFERROR(AO16/AP16,"")</f>
        <v/>
      </c>
    </row>
    <row r="17">
      <c r="A17" s="96" t="n">
        <v>46247</v>
      </c>
      <c r="B17" s="8" t="inlineStr">
        <is>
          <t>Thu</t>
        </is>
      </c>
      <c r="C17" s="8" t="inlineStr">
        <is>
          <t>Wk 33</t>
        </is>
      </c>
      <c r="D17" s="86">
        <f>SUMIFS(Raw_Data!$R$2:$R$2552,Raw_Data!$A$2:$A$2552,$A17)</f>
        <v/>
      </c>
      <c r="E17" s="87">
        <f>SUMIFS(Raw_Data!$S$2:$S$2552,Raw_Data!$A$2:$A$2552,$A17)</f>
        <v/>
      </c>
      <c r="F17" s="87">
        <f>SUMIFS(Raw_Data!$T$2:$T$2552,Raw_Data!$A$2:$A$2552,$A17)</f>
        <v/>
      </c>
      <c r="G17" s="88">
        <f>IFERROR(E17/F17,"")</f>
        <v/>
      </c>
      <c r="H17" s="87">
        <f>SUMIFS(Raw_Data!$W$2:$W$2552,Raw_Data!$A$2:$A$2552,$A17)</f>
        <v/>
      </c>
      <c r="I17" s="89">
        <f>IFERROR(H17/E17,"")</f>
        <v/>
      </c>
      <c r="J17" s="90">
        <f>IFERROR(D17/H17,"")</f>
        <v/>
      </c>
      <c r="K17" s="90">
        <f>IFERROR(D17/E17*1000,"")</f>
        <v/>
      </c>
      <c r="L17" s="87">
        <f>SUMIFS(Raw_Data!$AA$2:$AA$2552,Raw_Data!$A$2:$A$2552,$A17)</f>
        <v/>
      </c>
      <c r="M17" s="18">
        <f>IFERROR(L17/H17,"")</f>
        <v/>
      </c>
      <c r="N17" s="87">
        <f>SUMIFS(Raw_Data!$AL$2:$AL$2552,Raw_Data!$A$2:$A$2552,$A17)</f>
        <v/>
      </c>
      <c r="O17" s="89">
        <f>IFERROR(N17/L17,"")</f>
        <v/>
      </c>
      <c r="P17" s="86">
        <f>IFERROR(D17/N17,"")</f>
        <v/>
      </c>
      <c r="Q17" s="87">
        <f>SUMIFS(Raw_Data!$AO$2:$AO$2552,Raw_Data!$A$2:$A$2552,$A17)</f>
        <v/>
      </c>
      <c r="R17" s="18">
        <f>IFERROR(Q17/N17,"")</f>
        <v/>
      </c>
      <c r="S17" s="86">
        <f>IFERROR(D17/Q17,"")</f>
        <v/>
      </c>
      <c r="T17" s="87">
        <f>SUMIFS(Raw_Data!$AR$2:$AR$2552,Raw_Data!$A$2:$A$2552,$A17)</f>
        <v/>
      </c>
      <c r="U17" s="87">
        <f>SUMIFS(Raw_Data!$AS$2:$AS$2552,Raw_Data!$A$2:$A$2552,$A17)</f>
        <v/>
      </c>
      <c r="V17" s="87">
        <f>N17+T17</f>
        <v/>
      </c>
      <c r="W17" s="86">
        <f>SUMIFS(Raw_Data!$AU$2:$AU$2552,Raw_Data!$A$2:$A$2552,$A17)</f>
        <v/>
      </c>
      <c r="X17" s="18">
        <f>IFERROR(D17/$D$36,"")</f>
        <v/>
      </c>
      <c r="Y17" s="18">
        <f>IFERROR(N17/$N$36,"")</f>
        <v/>
      </c>
      <c r="Z17" s="97">
        <f>SUM($D$5:D17)</f>
        <v/>
      </c>
      <c r="AA17" s="98">
        <f>SUM($N$5:N17)</f>
        <v/>
      </c>
      <c r="AB17" s="86">
        <f>IFERROR(Z17/AA17,"")</f>
        <v/>
      </c>
      <c r="AC17" s="18">
        <f>IFERROR(Z17/Assumptions!$C$10,"")</f>
        <v/>
      </c>
      <c r="AD17" s="18">
        <f>13/31</f>
        <v/>
      </c>
      <c r="AE17" s="88">
        <f>IFERROR(AC17/AD17,"")</f>
        <v/>
      </c>
      <c r="AF17" s="86">
        <f>SUMIFS(Raw_Data!$R$2:$R$2552,Raw_Data!$A$2:$A$2552,$A17,Raw_Data!$D$2:$D$2552,"Meta (FB/IG)")</f>
        <v/>
      </c>
      <c r="AG17" s="87">
        <f>SUMIFS(Raw_Data!$AL$2:$AL$2552,Raw_Data!$A$2:$A$2552,$A17,Raw_Data!$D$2:$D$2552,"Meta (FB/IG)")</f>
        <v/>
      </c>
      <c r="AH17" s="86">
        <f>IFERROR(AF17/AG17,"")</f>
        <v/>
      </c>
      <c r="AI17" s="86">
        <f>SUMIFS(Raw_Data!$R$2:$R$2552,Raw_Data!$A$2:$A$2552,$A17,Raw_Data!$D$2:$D$2552,"TikTok")</f>
        <v/>
      </c>
      <c r="AJ17" s="87">
        <f>SUMIFS(Raw_Data!$AL$2:$AL$2552,Raw_Data!$A$2:$A$2552,$A17,Raw_Data!$D$2:$D$2552,"TikTok")</f>
        <v/>
      </c>
      <c r="AK17" s="86">
        <f>IFERROR(AI17/AJ17,"")</f>
        <v/>
      </c>
      <c r="AL17" s="86">
        <f>SUMIFS(Raw_Data!$R$2:$R$2552,Raw_Data!$A$2:$A$2552,$A17,Raw_Data!$D$2:$D$2552,"X")</f>
        <v/>
      </c>
      <c r="AM17" s="87">
        <f>SUMIFS(Raw_Data!$AL$2:$AL$2552,Raw_Data!$A$2:$A$2552,$A17,Raw_Data!$D$2:$D$2552,"X")</f>
        <v/>
      </c>
      <c r="AN17" s="86">
        <f>IFERROR(AL17/AM17,"")</f>
        <v/>
      </c>
      <c r="AO17" s="86">
        <f>SUMIFS(Raw_Data!$R$2:$R$2552,Raw_Data!$A$2:$A$2552,$A17,Raw_Data!$D$2:$D$2552,"Programmatic")</f>
        <v/>
      </c>
      <c r="AP17" s="87">
        <f>SUMIFS(Raw_Data!$AL$2:$AL$2552,Raw_Data!$A$2:$A$2552,$A17,Raw_Data!$D$2:$D$2552,"Programmatic")</f>
        <v/>
      </c>
      <c r="AQ17" s="86">
        <f>IFERROR(AO17/AP17,"")</f>
        <v/>
      </c>
    </row>
    <row r="18">
      <c r="A18" s="96" t="n">
        <v>46248</v>
      </c>
      <c r="B18" s="29" t="inlineStr">
        <is>
          <t>Fri</t>
        </is>
      </c>
      <c r="C18" s="8" t="inlineStr">
        <is>
          <t>Wk 33</t>
        </is>
      </c>
      <c r="D18" s="86">
        <f>SUMIFS(Raw_Data!$R$2:$R$2552,Raw_Data!$A$2:$A$2552,$A18)</f>
        <v/>
      </c>
      <c r="E18" s="87">
        <f>SUMIFS(Raw_Data!$S$2:$S$2552,Raw_Data!$A$2:$A$2552,$A18)</f>
        <v/>
      </c>
      <c r="F18" s="87">
        <f>SUMIFS(Raw_Data!$T$2:$T$2552,Raw_Data!$A$2:$A$2552,$A18)</f>
        <v/>
      </c>
      <c r="G18" s="88">
        <f>IFERROR(E18/F18,"")</f>
        <v/>
      </c>
      <c r="H18" s="87">
        <f>SUMIFS(Raw_Data!$W$2:$W$2552,Raw_Data!$A$2:$A$2552,$A18)</f>
        <v/>
      </c>
      <c r="I18" s="89">
        <f>IFERROR(H18/E18,"")</f>
        <v/>
      </c>
      <c r="J18" s="90">
        <f>IFERROR(D18/H18,"")</f>
        <v/>
      </c>
      <c r="K18" s="90">
        <f>IFERROR(D18/E18*1000,"")</f>
        <v/>
      </c>
      <c r="L18" s="87">
        <f>SUMIFS(Raw_Data!$AA$2:$AA$2552,Raw_Data!$A$2:$A$2552,$A18)</f>
        <v/>
      </c>
      <c r="M18" s="18">
        <f>IFERROR(L18/H18,"")</f>
        <v/>
      </c>
      <c r="N18" s="87">
        <f>SUMIFS(Raw_Data!$AL$2:$AL$2552,Raw_Data!$A$2:$A$2552,$A18)</f>
        <v/>
      </c>
      <c r="O18" s="89">
        <f>IFERROR(N18/L18,"")</f>
        <v/>
      </c>
      <c r="P18" s="86">
        <f>IFERROR(D18/N18,"")</f>
        <v/>
      </c>
      <c r="Q18" s="87">
        <f>SUMIFS(Raw_Data!$AO$2:$AO$2552,Raw_Data!$A$2:$A$2552,$A18)</f>
        <v/>
      </c>
      <c r="R18" s="18">
        <f>IFERROR(Q18/N18,"")</f>
        <v/>
      </c>
      <c r="S18" s="86">
        <f>IFERROR(D18/Q18,"")</f>
        <v/>
      </c>
      <c r="T18" s="87">
        <f>SUMIFS(Raw_Data!$AR$2:$AR$2552,Raw_Data!$A$2:$A$2552,$A18)</f>
        <v/>
      </c>
      <c r="U18" s="87">
        <f>SUMIFS(Raw_Data!$AS$2:$AS$2552,Raw_Data!$A$2:$A$2552,$A18)</f>
        <v/>
      </c>
      <c r="V18" s="87">
        <f>N18+T18</f>
        <v/>
      </c>
      <c r="W18" s="86">
        <f>SUMIFS(Raw_Data!$AU$2:$AU$2552,Raw_Data!$A$2:$A$2552,$A18)</f>
        <v/>
      </c>
      <c r="X18" s="18">
        <f>IFERROR(D18/$D$36,"")</f>
        <v/>
      </c>
      <c r="Y18" s="18">
        <f>IFERROR(N18/$N$36,"")</f>
        <v/>
      </c>
      <c r="Z18" s="97">
        <f>SUM($D$5:D18)</f>
        <v/>
      </c>
      <c r="AA18" s="98">
        <f>SUM($N$5:N18)</f>
        <v/>
      </c>
      <c r="AB18" s="86">
        <f>IFERROR(Z18/AA18,"")</f>
        <v/>
      </c>
      <c r="AC18" s="18">
        <f>IFERROR(Z18/Assumptions!$C$10,"")</f>
        <v/>
      </c>
      <c r="AD18" s="18">
        <f>14/31</f>
        <v/>
      </c>
      <c r="AE18" s="88">
        <f>IFERROR(AC18/AD18,"")</f>
        <v/>
      </c>
      <c r="AF18" s="86">
        <f>SUMIFS(Raw_Data!$R$2:$R$2552,Raw_Data!$A$2:$A$2552,$A18,Raw_Data!$D$2:$D$2552,"Meta (FB/IG)")</f>
        <v/>
      </c>
      <c r="AG18" s="87">
        <f>SUMIFS(Raw_Data!$AL$2:$AL$2552,Raw_Data!$A$2:$A$2552,$A18,Raw_Data!$D$2:$D$2552,"Meta (FB/IG)")</f>
        <v/>
      </c>
      <c r="AH18" s="86">
        <f>IFERROR(AF18/AG18,"")</f>
        <v/>
      </c>
      <c r="AI18" s="86">
        <f>SUMIFS(Raw_Data!$R$2:$R$2552,Raw_Data!$A$2:$A$2552,$A18,Raw_Data!$D$2:$D$2552,"TikTok")</f>
        <v/>
      </c>
      <c r="AJ18" s="87">
        <f>SUMIFS(Raw_Data!$AL$2:$AL$2552,Raw_Data!$A$2:$A$2552,$A18,Raw_Data!$D$2:$D$2552,"TikTok")</f>
        <v/>
      </c>
      <c r="AK18" s="86">
        <f>IFERROR(AI18/AJ18,"")</f>
        <v/>
      </c>
      <c r="AL18" s="86">
        <f>SUMIFS(Raw_Data!$R$2:$R$2552,Raw_Data!$A$2:$A$2552,$A18,Raw_Data!$D$2:$D$2552,"X")</f>
        <v/>
      </c>
      <c r="AM18" s="87">
        <f>SUMIFS(Raw_Data!$AL$2:$AL$2552,Raw_Data!$A$2:$A$2552,$A18,Raw_Data!$D$2:$D$2552,"X")</f>
        <v/>
      </c>
      <c r="AN18" s="86">
        <f>IFERROR(AL18/AM18,"")</f>
        <v/>
      </c>
      <c r="AO18" s="86">
        <f>SUMIFS(Raw_Data!$R$2:$R$2552,Raw_Data!$A$2:$A$2552,$A18,Raw_Data!$D$2:$D$2552,"Programmatic")</f>
        <v/>
      </c>
      <c r="AP18" s="87">
        <f>SUMIFS(Raw_Data!$AL$2:$AL$2552,Raw_Data!$A$2:$A$2552,$A18,Raw_Data!$D$2:$D$2552,"Programmatic")</f>
        <v/>
      </c>
      <c r="AQ18" s="86">
        <f>IFERROR(AO18/AP18,"")</f>
        <v/>
      </c>
    </row>
    <row r="19">
      <c r="A19" s="96" t="n">
        <v>46249</v>
      </c>
      <c r="B19" s="29" t="inlineStr">
        <is>
          <t>Sat</t>
        </is>
      </c>
      <c r="C19" s="8" t="inlineStr">
        <is>
          <t>Wk 33</t>
        </is>
      </c>
      <c r="D19" s="86">
        <f>SUMIFS(Raw_Data!$R$2:$R$2552,Raw_Data!$A$2:$A$2552,$A19)</f>
        <v/>
      </c>
      <c r="E19" s="87">
        <f>SUMIFS(Raw_Data!$S$2:$S$2552,Raw_Data!$A$2:$A$2552,$A19)</f>
        <v/>
      </c>
      <c r="F19" s="87">
        <f>SUMIFS(Raw_Data!$T$2:$T$2552,Raw_Data!$A$2:$A$2552,$A19)</f>
        <v/>
      </c>
      <c r="G19" s="88">
        <f>IFERROR(E19/F19,"")</f>
        <v/>
      </c>
      <c r="H19" s="87">
        <f>SUMIFS(Raw_Data!$W$2:$W$2552,Raw_Data!$A$2:$A$2552,$A19)</f>
        <v/>
      </c>
      <c r="I19" s="89">
        <f>IFERROR(H19/E19,"")</f>
        <v/>
      </c>
      <c r="J19" s="90">
        <f>IFERROR(D19/H19,"")</f>
        <v/>
      </c>
      <c r="K19" s="90">
        <f>IFERROR(D19/E19*1000,"")</f>
        <v/>
      </c>
      <c r="L19" s="87">
        <f>SUMIFS(Raw_Data!$AA$2:$AA$2552,Raw_Data!$A$2:$A$2552,$A19)</f>
        <v/>
      </c>
      <c r="M19" s="18">
        <f>IFERROR(L19/H19,"")</f>
        <v/>
      </c>
      <c r="N19" s="87">
        <f>SUMIFS(Raw_Data!$AL$2:$AL$2552,Raw_Data!$A$2:$A$2552,$A19)</f>
        <v/>
      </c>
      <c r="O19" s="89">
        <f>IFERROR(N19/L19,"")</f>
        <v/>
      </c>
      <c r="P19" s="86">
        <f>IFERROR(D19/N19,"")</f>
        <v/>
      </c>
      <c r="Q19" s="87">
        <f>SUMIFS(Raw_Data!$AO$2:$AO$2552,Raw_Data!$A$2:$A$2552,$A19)</f>
        <v/>
      </c>
      <c r="R19" s="18">
        <f>IFERROR(Q19/N19,"")</f>
        <v/>
      </c>
      <c r="S19" s="86">
        <f>IFERROR(D19/Q19,"")</f>
        <v/>
      </c>
      <c r="T19" s="87">
        <f>SUMIFS(Raw_Data!$AR$2:$AR$2552,Raw_Data!$A$2:$A$2552,$A19)</f>
        <v/>
      </c>
      <c r="U19" s="87">
        <f>SUMIFS(Raw_Data!$AS$2:$AS$2552,Raw_Data!$A$2:$A$2552,$A19)</f>
        <v/>
      </c>
      <c r="V19" s="87">
        <f>N19+T19</f>
        <v/>
      </c>
      <c r="W19" s="86">
        <f>SUMIFS(Raw_Data!$AU$2:$AU$2552,Raw_Data!$A$2:$A$2552,$A19)</f>
        <v/>
      </c>
      <c r="X19" s="18">
        <f>IFERROR(D19/$D$36,"")</f>
        <v/>
      </c>
      <c r="Y19" s="18">
        <f>IFERROR(N19/$N$36,"")</f>
        <v/>
      </c>
      <c r="Z19" s="97">
        <f>SUM($D$5:D19)</f>
        <v/>
      </c>
      <c r="AA19" s="98">
        <f>SUM($N$5:N19)</f>
        <v/>
      </c>
      <c r="AB19" s="86">
        <f>IFERROR(Z19/AA19,"")</f>
        <v/>
      </c>
      <c r="AC19" s="18">
        <f>IFERROR(Z19/Assumptions!$C$10,"")</f>
        <v/>
      </c>
      <c r="AD19" s="18">
        <f>15/31</f>
        <v/>
      </c>
      <c r="AE19" s="88">
        <f>IFERROR(AC19/AD19,"")</f>
        <v/>
      </c>
      <c r="AF19" s="86">
        <f>SUMIFS(Raw_Data!$R$2:$R$2552,Raw_Data!$A$2:$A$2552,$A19,Raw_Data!$D$2:$D$2552,"Meta (FB/IG)")</f>
        <v/>
      </c>
      <c r="AG19" s="87">
        <f>SUMIFS(Raw_Data!$AL$2:$AL$2552,Raw_Data!$A$2:$A$2552,$A19,Raw_Data!$D$2:$D$2552,"Meta (FB/IG)")</f>
        <v/>
      </c>
      <c r="AH19" s="86">
        <f>IFERROR(AF19/AG19,"")</f>
        <v/>
      </c>
      <c r="AI19" s="86">
        <f>SUMIFS(Raw_Data!$R$2:$R$2552,Raw_Data!$A$2:$A$2552,$A19,Raw_Data!$D$2:$D$2552,"TikTok")</f>
        <v/>
      </c>
      <c r="AJ19" s="87">
        <f>SUMIFS(Raw_Data!$AL$2:$AL$2552,Raw_Data!$A$2:$A$2552,$A19,Raw_Data!$D$2:$D$2552,"TikTok")</f>
        <v/>
      </c>
      <c r="AK19" s="86">
        <f>IFERROR(AI19/AJ19,"")</f>
        <v/>
      </c>
      <c r="AL19" s="86">
        <f>SUMIFS(Raw_Data!$R$2:$R$2552,Raw_Data!$A$2:$A$2552,$A19,Raw_Data!$D$2:$D$2552,"X")</f>
        <v/>
      </c>
      <c r="AM19" s="87">
        <f>SUMIFS(Raw_Data!$AL$2:$AL$2552,Raw_Data!$A$2:$A$2552,$A19,Raw_Data!$D$2:$D$2552,"X")</f>
        <v/>
      </c>
      <c r="AN19" s="86">
        <f>IFERROR(AL19/AM19,"")</f>
        <v/>
      </c>
      <c r="AO19" s="86">
        <f>SUMIFS(Raw_Data!$R$2:$R$2552,Raw_Data!$A$2:$A$2552,$A19,Raw_Data!$D$2:$D$2552,"Programmatic")</f>
        <v/>
      </c>
      <c r="AP19" s="87">
        <f>SUMIFS(Raw_Data!$AL$2:$AL$2552,Raw_Data!$A$2:$A$2552,$A19,Raw_Data!$D$2:$D$2552,"Programmatic")</f>
        <v/>
      </c>
      <c r="AQ19" s="86">
        <f>IFERROR(AO19/AP19,"")</f>
        <v/>
      </c>
    </row>
    <row r="20">
      <c r="A20" s="96" t="n">
        <v>46250</v>
      </c>
      <c r="B20" s="29" t="inlineStr">
        <is>
          <t>Sun</t>
        </is>
      </c>
      <c r="C20" s="8" t="inlineStr">
        <is>
          <t>Wk 33</t>
        </is>
      </c>
      <c r="D20" s="86">
        <f>SUMIFS(Raw_Data!$R$2:$R$2552,Raw_Data!$A$2:$A$2552,$A20)</f>
        <v/>
      </c>
      <c r="E20" s="87">
        <f>SUMIFS(Raw_Data!$S$2:$S$2552,Raw_Data!$A$2:$A$2552,$A20)</f>
        <v/>
      </c>
      <c r="F20" s="87">
        <f>SUMIFS(Raw_Data!$T$2:$T$2552,Raw_Data!$A$2:$A$2552,$A20)</f>
        <v/>
      </c>
      <c r="G20" s="88">
        <f>IFERROR(E20/F20,"")</f>
        <v/>
      </c>
      <c r="H20" s="87">
        <f>SUMIFS(Raw_Data!$W$2:$W$2552,Raw_Data!$A$2:$A$2552,$A20)</f>
        <v/>
      </c>
      <c r="I20" s="89">
        <f>IFERROR(H20/E20,"")</f>
        <v/>
      </c>
      <c r="J20" s="90">
        <f>IFERROR(D20/H20,"")</f>
        <v/>
      </c>
      <c r="K20" s="90">
        <f>IFERROR(D20/E20*1000,"")</f>
        <v/>
      </c>
      <c r="L20" s="87">
        <f>SUMIFS(Raw_Data!$AA$2:$AA$2552,Raw_Data!$A$2:$A$2552,$A20)</f>
        <v/>
      </c>
      <c r="M20" s="18">
        <f>IFERROR(L20/H20,"")</f>
        <v/>
      </c>
      <c r="N20" s="87">
        <f>SUMIFS(Raw_Data!$AL$2:$AL$2552,Raw_Data!$A$2:$A$2552,$A20)</f>
        <v/>
      </c>
      <c r="O20" s="89">
        <f>IFERROR(N20/L20,"")</f>
        <v/>
      </c>
      <c r="P20" s="86">
        <f>IFERROR(D20/N20,"")</f>
        <v/>
      </c>
      <c r="Q20" s="87">
        <f>SUMIFS(Raw_Data!$AO$2:$AO$2552,Raw_Data!$A$2:$A$2552,$A20)</f>
        <v/>
      </c>
      <c r="R20" s="18">
        <f>IFERROR(Q20/N20,"")</f>
        <v/>
      </c>
      <c r="S20" s="86">
        <f>IFERROR(D20/Q20,"")</f>
        <v/>
      </c>
      <c r="T20" s="87">
        <f>SUMIFS(Raw_Data!$AR$2:$AR$2552,Raw_Data!$A$2:$A$2552,$A20)</f>
        <v/>
      </c>
      <c r="U20" s="87">
        <f>SUMIFS(Raw_Data!$AS$2:$AS$2552,Raw_Data!$A$2:$A$2552,$A20)</f>
        <v/>
      </c>
      <c r="V20" s="87">
        <f>N20+T20</f>
        <v/>
      </c>
      <c r="W20" s="86">
        <f>SUMIFS(Raw_Data!$AU$2:$AU$2552,Raw_Data!$A$2:$A$2552,$A20)</f>
        <v/>
      </c>
      <c r="X20" s="18">
        <f>IFERROR(D20/$D$36,"")</f>
        <v/>
      </c>
      <c r="Y20" s="18">
        <f>IFERROR(N20/$N$36,"")</f>
        <v/>
      </c>
      <c r="Z20" s="97">
        <f>SUM($D$5:D20)</f>
        <v/>
      </c>
      <c r="AA20" s="98">
        <f>SUM($N$5:N20)</f>
        <v/>
      </c>
      <c r="AB20" s="86">
        <f>IFERROR(Z20/AA20,"")</f>
        <v/>
      </c>
      <c r="AC20" s="18">
        <f>IFERROR(Z20/Assumptions!$C$10,"")</f>
        <v/>
      </c>
      <c r="AD20" s="18">
        <f>16/31</f>
        <v/>
      </c>
      <c r="AE20" s="88">
        <f>IFERROR(AC20/AD20,"")</f>
        <v/>
      </c>
      <c r="AF20" s="86">
        <f>SUMIFS(Raw_Data!$R$2:$R$2552,Raw_Data!$A$2:$A$2552,$A20,Raw_Data!$D$2:$D$2552,"Meta (FB/IG)")</f>
        <v/>
      </c>
      <c r="AG20" s="87">
        <f>SUMIFS(Raw_Data!$AL$2:$AL$2552,Raw_Data!$A$2:$A$2552,$A20,Raw_Data!$D$2:$D$2552,"Meta (FB/IG)")</f>
        <v/>
      </c>
      <c r="AH20" s="86">
        <f>IFERROR(AF20/AG20,"")</f>
        <v/>
      </c>
      <c r="AI20" s="86">
        <f>SUMIFS(Raw_Data!$R$2:$R$2552,Raw_Data!$A$2:$A$2552,$A20,Raw_Data!$D$2:$D$2552,"TikTok")</f>
        <v/>
      </c>
      <c r="AJ20" s="87">
        <f>SUMIFS(Raw_Data!$AL$2:$AL$2552,Raw_Data!$A$2:$A$2552,$A20,Raw_Data!$D$2:$D$2552,"TikTok")</f>
        <v/>
      </c>
      <c r="AK20" s="86">
        <f>IFERROR(AI20/AJ20,"")</f>
        <v/>
      </c>
      <c r="AL20" s="86">
        <f>SUMIFS(Raw_Data!$R$2:$R$2552,Raw_Data!$A$2:$A$2552,$A20,Raw_Data!$D$2:$D$2552,"X")</f>
        <v/>
      </c>
      <c r="AM20" s="87">
        <f>SUMIFS(Raw_Data!$AL$2:$AL$2552,Raw_Data!$A$2:$A$2552,$A20,Raw_Data!$D$2:$D$2552,"X")</f>
        <v/>
      </c>
      <c r="AN20" s="86">
        <f>IFERROR(AL20/AM20,"")</f>
        <v/>
      </c>
      <c r="AO20" s="86">
        <f>SUMIFS(Raw_Data!$R$2:$R$2552,Raw_Data!$A$2:$A$2552,$A20,Raw_Data!$D$2:$D$2552,"Programmatic")</f>
        <v/>
      </c>
      <c r="AP20" s="87">
        <f>SUMIFS(Raw_Data!$AL$2:$AL$2552,Raw_Data!$A$2:$A$2552,$A20,Raw_Data!$D$2:$D$2552,"Programmatic")</f>
        <v/>
      </c>
      <c r="AQ20" s="86">
        <f>IFERROR(AO20/AP20,"")</f>
        <v/>
      </c>
    </row>
    <row r="21">
      <c r="A21" s="96" t="n">
        <v>46251</v>
      </c>
      <c r="B21" s="8" t="inlineStr">
        <is>
          <t>Mon</t>
        </is>
      </c>
      <c r="C21" s="8" t="inlineStr">
        <is>
          <t>Wk 34</t>
        </is>
      </c>
      <c r="D21" s="86">
        <f>SUMIFS(Raw_Data!$R$2:$R$2552,Raw_Data!$A$2:$A$2552,$A21)</f>
        <v/>
      </c>
      <c r="E21" s="87">
        <f>SUMIFS(Raw_Data!$S$2:$S$2552,Raw_Data!$A$2:$A$2552,$A21)</f>
        <v/>
      </c>
      <c r="F21" s="87">
        <f>SUMIFS(Raw_Data!$T$2:$T$2552,Raw_Data!$A$2:$A$2552,$A21)</f>
        <v/>
      </c>
      <c r="G21" s="88">
        <f>IFERROR(E21/F21,"")</f>
        <v/>
      </c>
      <c r="H21" s="87">
        <f>SUMIFS(Raw_Data!$W$2:$W$2552,Raw_Data!$A$2:$A$2552,$A21)</f>
        <v/>
      </c>
      <c r="I21" s="89">
        <f>IFERROR(H21/E21,"")</f>
        <v/>
      </c>
      <c r="J21" s="90">
        <f>IFERROR(D21/H21,"")</f>
        <v/>
      </c>
      <c r="K21" s="90">
        <f>IFERROR(D21/E21*1000,"")</f>
        <v/>
      </c>
      <c r="L21" s="87">
        <f>SUMIFS(Raw_Data!$AA$2:$AA$2552,Raw_Data!$A$2:$A$2552,$A21)</f>
        <v/>
      </c>
      <c r="M21" s="18">
        <f>IFERROR(L21/H21,"")</f>
        <v/>
      </c>
      <c r="N21" s="87">
        <f>SUMIFS(Raw_Data!$AL$2:$AL$2552,Raw_Data!$A$2:$A$2552,$A21)</f>
        <v/>
      </c>
      <c r="O21" s="89">
        <f>IFERROR(N21/L21,"")</f>
        <v/>
      </c>
      <c r="P21" s="86">
        <f>IFERROR(D21/N21,"")</f>
        <v/>
      </c>
      <c r="Q21" s="87">
        <f>SUMIFS(Raw_Data!$AO$2:$AO$2552,Raw_Data!$A$2:$A$2552,$A21)</f>
        <v/>
      </c>
      <c r="R21" s="18">
        <f>IFERROR(Q21/N21,"")</f>
        <v/>
      </c>
      <c r="S21" s="86">
        <f>IFERROR(D21/Q21,"")</f>
        <v/>
      </c>
      <c r="T21" s="87">
        <f>SUMIFS(Raw_Data!$AR$2:$AR$2552,Raw_Data!$A$2:$A$2552,$A21)</f>
        <v/>
      </c>
      <c r="U21" s="87">
        <f>SUMIFS(Raw_Data!$AS$2:$AS$2552,Raw_Data!$A$2:$A$2552,$A21)</f>
        <v/>
      </c>
      <c r="V21" s="87">
        <f>N21+T21</f>
        <v/>
      </c>
      <c r="W21" s="86">
        <f>SUMIFS(Raw_Data!$AU$2:$AU$2552,Raw_Data!$A$2:$A$2552,$A21)</f>
        <v/>
      </c>
      <c r="X21" s="18">
        <f>IFERROR(D21/$D$36,"")</f>
        <v/>
      </c>
      <c r="Y21" s="18">
        <f>IFERROR(N21/$N$36,"")</f>
        <v/>
      </c>
      <c r="Z21" s="97">
        <f>SUM($D$5:D21)</f>
        <v/>
      </c>
      <c r="AA21" s="98">
        <f>SUM($N$5:N21)</f>
        <v/>
      </c>
      <c r="AB21" s="86">
        <f>IFERROR(Z21/AA21,"")</f>
        <v/>
      </c>
      <c r="AC21" s="18">
        <f>IFERROR(Z21/Assumptions!$C$10,"")</f>
        <v/>
      </c>
      <c r="AD21" s="18">
        <f>17/31</f>
        <v/>
      </c>
      <c r="AE21" s="88">
        <f>IFERROR(AC21/AD21,"")</f>
        <v/>
      </c>
      <c r="AF21" s="86">
        <f>SUMIFS(Raw_Data!$R$2:$R$2552,Raw_Data!$A$2:$A$2552,$A21,Raw_Data!$D$2:$D$2552,"Meta (FB/IG)")</f>
        <v/>
      </c>
      <c r="AG21" s="87">
        <f>SUMIFS(Raw_Data!$AL$2:$AL$2552,Raw_Data!$A$2:$A$2552,$A21,Raw_Data!$D$2:$D$2552,"Meta (FB/IG)")</f>
        <v/>
      </c>
      <c r="AH21" s="86">
        <f>IFERROR(AF21/AG21,"")</f>
        <v/>
      </c>
      <c r="AI21" s="86">
        <f>SUMIFS(Raw_Data!$R$2:$R$2552,Raw_Data!$A$2:$A$2552,$A21,Raw_Data!$D$2:$D$2552,"TikTok")</f>
        <v/>
      </c>
      <c r="AJ21" s="87">
        <f>SUMIFS(Raw_Data!$AL$2:$AL$2552,Raw_Data!$A$2:$A$2552,$A21,Raw_Data!$D$2:$D$2552,"TikTok")</f>
        <v/>
      </c>
      <c r="AK21" s="86">
        <f>IFERROR(AI21/AJ21,"")</f>
        <v/>
      </c>
      <c r="AL21" s="86">
        <f>SUMIFS(Raw_Data!$R$2:$R$2552,Raw_Data!$A$2:$A$2552,$A21,Raw_Data!$D$2:$D$2552,"X")</f>
        <v/>
      </c>
      <c r="AM21" s="87">
        <f>SUMIFS(Raw_Data!$AL$2:$AL$2552,Raw_Data!$A$2:$A$2552,$A21,Raw_Data!$D$2:$D$2552,"X")</f>
        <v/>
      </c>
      <c r="AN21" s="86">
        <f>IFERROR(AL21/AM21,"")</f>
        <v/>
      </c>
      <c r="AO21" s="86">
        <f>SUMIFS(Raw_Data!$R$2:$R$2552,Raw_Data!$A$2:$A$2552,$A21,Raw_Data!$D$2:$D$2552,"Programmatic")</f>
        <v/>
      </c>
      <c r="AP21" s="87">
        <f>SUMIFS(Raw_Data!$AL$2:$AL$2552,Raw_Data!$A$2:$A$2552,$A21,Raw_Data!$D$2:$D$2552,"Programmatic")</f>
        <v/>
      </c>
      <c r="AQ21" s="86">
        <f>IFERROR(AO21/AP21,"")</f>
        <v/>
      </c>
    </row>
    <row r="22">
      <c r="A22" s="96" t="n">
        <v>46252</v>
      </c>
      <c r="B22" s="8" t="inlineStr">
        <is>
          <t>Tue</t>
        </is>
      </c>
      <c r="C22" s="8" t="inlineStr">
        <is>
          <t>Wk 34</t>
        </is>
      </c>
      <c r="D22" s="86">
        <f>SUMIFS(Raw_Data!$R$2:$R$2552,Raw_Data!$A$2:$A$2552,$A22)</f>
        <v/>
      </c>
      <c r="E22" s="87">
        <f>SUMIFS(Raw_Data!$S$2:$S$2552,Raw_Data!$A$2:$A$2552,$A22)</f>
        <v/>
      </c>
      <c r="F22" s="87">
        <f>SUMIFS(Raw_Data!$T$2:$T$2552,Raw_Data!$A$2:$A$2552,$A22)</f>
        <v/>
      </c>
      <c r="G22" s="88">
        <f>IFERROR(E22/F22,"")</f>
        <v/>
      </c>
      <c r="H22" s="87">
        <f>SUMIFS(Raw_Data!$W$2:$W$2552,Raw_Data!$A$2:$A$2552,$A22)</f>
        <v/>
      </c>
      <c r="I22" s="89">
        <f>IFERROR(H22/E22,"")</f>
        <v/>
      </c>
      <c r="J22" s="90">
        <f>IFERROR(D22/H22,"")</f>
        <v/>
      </c>
      <c r="K22" s="90">
        <f>IFERROR(D22/E22*1000,"")</f>
        <v/>
      </c>
      <c r="L22" s="87">
        <f>SUMIFS(Raw_Data!$AA$2:$AA$2552,Raw_Data!$A$2:$A$2552,$A22)</f>
        <v/>
      </c>
      <c r="M22" s="18">
        <f>IFERROR(L22/H22,"")</f>
        <v/>
      </c>
      <c r="N22" s="87">
        <f>SUMIFS(Raw_Data!$AL$2:$AL$2552,Raw_Data!$A$2:$A$2552,$A22)</f>
        <v/>
      </c>
      <c r="O22" s="89">
        <f>IFERROR(N22/L22,"")</f>
        <v/>
      </c>
      <c r="P22" s="86">
        <f>IFERROR(D22/N22,"")</f>
        <v/>
      </c>
      <c r="Q22" s="87">
        <f>SUMIFS(Raw_Data!$AO$2:$AO$2552,Raw_Data!$A$2:$A$2552,$A22)</f>
        <v/>
      </c>
      <c r="R22" s="18">
        <f>IFERROR(Q22/N22,"")</f>
        <v/>
      </c>
      <c r="S22" s="86">
        <f>IFERROR(D22/Q22,"")</f>
        <v/>
      </c>
      <c r="T22" s="87">
        <f>SUMIFS(Raw_Data!$AR$2:$AR$2552,Raw_Data!$A$2:$A$2552,$A22)</f>
        <v/>
      </c>
      <c r="U22" s="87">
        <f>SUMIFS(Raw_Data!$AS$2:$AS$2552,Raw_Data!$A$2:$A$2552,$A22)</f>
        <v/>
      </c>
      <c r="V22" s="87">
        <f>N22+T22</f>
        <v/>
      </c>
      <c r="W22" s="86">
        <f>SUMIFS(Raw_Data!$AU$2:$AU$2552,Raw_Data!$A$2:$A$2552,$A22)</f>
        <v/>
      </c>
      <c r="X22" s="18">
        <f>IFERROR(D22/$D$36,"")</f>
        <v/>
      </c>
      <c r="Y22" s="18">
        <f>IFERROR(N22/$N$36,"")</f>
        <v/>
      </c>
      <c r="Z22" s="97">
        <f>SUM($D$5:D22)</f>
        <v/>
      </c>
      <c r="AA22" s="98">
        <f>SUM($N$5:N22)</f>
        <v/>
      </c>
      <c r="AB22" s="86">
        <f>IFERROR(Z22/AA22,"")</f>
        <v/>
      </c>
      <c r="AC22" s="18">
        <f>IFERROR(Z22/Assumptions!$C$10,"")</f>
        <v/>
      </c>
      <c r="AD22" s="18">
        <f>18/31</f>
        <v/>
      </c>
      <c r="AE22" s="88">
        <f>IFERROR(AC22/AD22,"")</f>
        <v/>
      </c>
      <c r="AF22" s="86">
        <f>SUMIFS(Raw_Data!$R$2:$R$2552,Raw_Data!$A$2:$A$2552,$A22,Raw_Data!$D$2:$D$2552,"Meta (FB/IG)")</f>
        <v/>
      </c>
      <c r="AG22" s="87">
        <f>SUMIFS(Raw_Data!$AL$2:$AL$2552,Raw_Data!$A$2:$A$2552,$A22,Raw_Data!$D$2:$D$2552,"Meta (FB/IG)")</f>
        <v/>
      </c>
      <c r="AH22" s="86">
        <f>IFERROR(AF22/AG22,"")</f>
        <v/>
      </c>
      <c r="AI22" s="86">
        <f>SUMIFS(Raw_Data!$R$2:$R$2552,Raw_Data!$A$2:$A$2552,$A22,Raw_Data!$D$2:$D$2552,"TikTok")</f>
        <v/>
      </c>
      <c r="AJ22" s="87">
        <f>SUMIFS(Raw_Data!$AL$2:$AL$2552,Raw_Data!$A$2:$A$2552,$A22,Raw_Data!$D$2:$D$2552,"TikTok")</f>
        <v/>
      </c>
      <c r="AK22" s="86">
        <f>IFERROR(AI22/AJ22,"")</f>
        <v/>
      </c>
      <c r="AL22" s="86">
        <f>SUMIFS(Raw_Data!$R$2:$R$2552,Raw_Data!$A$2:$A$2552,$A22,Raw_Data!$D$2:$D$2552,"X")</f>
        <v/>
      </c>
      <c r="AM22" s="87">
        <f>SUMIFS(Raw_Data!$AL$2:$AL$2552,Raw_Data!$A$2:$A$2552,$A22,Raw_Data!$D$2:$D$2552,"X")</f>
        <v/>
      </c>
      <c r="AN22" s="86">
        <f>IFERROR(AL22/AM22,"")</f>
        <v/>
      </c>
      <c r="AO22" s="86">
        <f>SUMIFS(Raw_Data!$R$2:$R$2552,Raw_Data!$A$2:$A$2552,$A22,Raw_Data!$D$2:$D$2552,"Programmatic")</f>
        <v/>
      </c>
      <c r="AP22" s="87">
        <f>SUMIFS(Raw_Data!$AL$2:$AL$2552,Raw_Data!$A$2:$A$2552,$A22,Raw_Data!$D$2:$D$2552,"Programmatic")</f>
        <v/>
      </c>
      <c r="AQ22" s="86">
        <f>IFERROR(AO22/AP22,"")</f>
        <v/>
      </c>
    </row>
    <row r="23">
      <c r="A23" s="96" t="n">
        <v>46253</v>
      </c>
      <c r="B23" s="8" t="inlineStr">
        <is>
          <t>Wed</t>
        </is>
      </c>
      <c r="C23" s="8" t="inlineStr">
        <is>
          <t>Wk 34</t>
        </is>
      </c>
      <c r="D23" s="86">
        <f>SUMIFS(Raw_Data!$R$2:$R$2552,Raw_Data!$A$2:$A$2552,$A23)</f>
        <v/>
      </c>
      <c r="E23" s="87">
        <f>SUMIFS(Raw_Data!$S$2:$S$2552,Raw_Data!$A$2:$A$2552,$A23)</f>
        <v/>
      </c>
      <c r="F23" s="87">
        <f>SUMIFS(Raw_Data!$T$2:$T$2552,Raw_Data!$A$2:$A$2552,$A23)</f>
        <v/>
      </c>
      <c r="G23" s="88">
        <f>IFERROR(E23/F23,"")</f>
        <v/>
      </c>
      <c r="H23" s="87">
        <f>SUMIFS(Raw_Data!$W$2:$W$2552,Raw_Data!$A$2:$A$2552,$A23)</f>
        <v/>
      </c>
      <c r="I23" s="89">
        <f>IFERROR(H23/E23,"")</f>
        <v/>
      </c>
      <c r="J23" s="90">
        <f>IFERROR(D23/H23,"")</f>
        <v/>
      </c>
      <c r="K23" s="90">
        <f>IFERROR(D23/E23*1000,"")</f>
        <v/>
      </c>
      <c r="L23" s="87">
        <f>SUMIFS(Raw_Data!$AA$2:$AA$2552,Raw_Data!$A$2:$A$2552,$A23)</f>
        <v/>
      </c>
      <c r="M23" s="18">
        <f>IFERROR(L23/H23,"")</f>
        <v/>
      </c>
      <c r="N23" s="87">
        <f>SUMIFS(Raw_Data!$AL$2:$AL$2552,Raw_Data!$A$2:$A$2552,$A23)</f>
        <v/>
      </c>
      <c r="O23" s="89">
        <f>IFERROR(N23/L23,"")</f>
        <v/>
      </c>
      <c r="P23" s="86">
        <f>IFERROR(D23/N23,"")</f>
        <v/>
      </c>
      <c r="Q23" s="87">
        <f>SUMIFS(Raw_Data!$AO$2:$AO$2552,Raw_Data!$A$2:$A$2552,$A23)</f>
        <v/>
      </c>
      <c r="R23" s="18">
        <f>IFERROR(Q23/N23,"")</f>
        <v/>
      </c>
      <c r="S23" s="86">
        <f>IFERROR(D23/Q23,"")</f>
        <v/>
      </c>
      <c r="T23" s="87">
        <f>SUMIFS(Raw_Data!$AR$2:$AR$2552,Raw_Data!$A$2:$A$2552,$A23)</f>
        <v/>
      </c>
      <c r="U23" s="87">
        <f>SUMIFS(Raw_Data!$AS$2:$AS$2552,Raw_Data!$A$2:$A$2552,$A23)</f>
        <v/>
      </c>
      <c r="V23" s="87">
        <f>N23+T23</f>
        <v/>
      </c>
      <c r="W23" s="86">
        <f>SUMIFS(Raw_Data!$AU$2:$AU$2552,Raw_Data!$A$2:$A$2552,$A23)</f>
        <v/>
      </c>
      <c r="X23" s="18">
        <f>IFERROR(D23/$D$36,"")</f>
        <v/>
      </c>
      <c r="Y23" s="18">
        <f>IFERROR(N23/$N$36,"")</f>
        <v/>
      </c>
      <c r="Z23" s="97">
        <f>SUM($D$5:D23)</f>
        <v/>
      </c>
      <c r="AA23" s="98">
        <f>SUM($N$5:N23)</f>
        <v/>
      </c>
      <c r="AB23" s="86">
        <f>IFERROR(Z23/AA23,"")</f>
        <v/>
      </c>
      <c r="AC23" s="18">
        <f>IFERROR(Z23/Assumptions!$C$10,"")</f>
        <v/>
      </c>
      <c r="AD23" s="18">
        <f>19/31</f>
        <v/>
      </c>
      <c r="AE23" s="88">
        <f>IFERROR(AC23/AD23,"")</f>
        <v/>
      </c>
      <c r="AF23" s="86">
        <f>SUMIFS(Raw_Data!$R$2:$R$2552,Raw_Data!$A$2:$A$2552,$A23,Raw_Data!$D$2:$D$2552,"Meta (FB/IG)")</f>
        <v/>
      </c>
      <c r="AG23" s="87">
        <f>SUMIFS(Raw_Data!$AL$2:$AL$2552,Raw_Data!$A$2:$A$2552,$A23,Raw_Data!$D$2:$D$2552,"Meta (FB/IG)")</f>
        <v/>
      </c>
      <c r="AH23" s="86">
        <f>IFERROR(AF23/AG23,"")</f>
        <v/>
      </c>
      <c r="AI23" s="86">
        <f>SUMIFS(Raw_Data!$R$2:$R$2552,Raw_Data!$A$2:$A$2552,$A23,Raw_Data!$D$2:$D$2552,"TikTok")</f>
        <v/>
      </c>
      <c r="AJ23" s="87">
        <f>SUMIFS(Raw_Data!$AL$2:$AL$2552,Raw_Data!$A$2:$A$2552,$A23,Raw_Data!$D$2:$D$2552,"TikTok")</f>
        <v/>
      </c>
      <c r="AK23" s="86">
        <f>IFERROR(AI23/AJ23,"")</f>
        <v/>
      </c>
      <c r="AL23" s="86">
        <f>SUMIFS(Raw_Data!$R$2:$R$2552,Raw_Data!$A$2:$A$2552,$A23,Raw_Data!$D$2:$D$2552,"X")</f>
        <v/>
      </c>
      <c r="AM23" s="87">
        <f>SUMIFS(Raw_Data!$AL$2:$AL$2552,Raw_Data!$A$2:$A$2552,$A23,Raw_Data!$D$2:$D$2552,"X")</f>
        <v/>
      </c>
      <c r="AN23" s="86">
        <f>IFERROR(AL23/AM23,"")</f>
        <v/>
      </c>
      <c r="AO23" s="86">
        <f>SUMIFS(Raw_Data!$R$2:$R$2552,Raw_Data!$A$2:$A$2552,$A23,Raw_Data!$D$2:$D$2552,"Programmatic")</f>
        <v/>
      </c>
      <c r="AP23" s="87">
        <f>SUMIFS(Raw_Data!$AL$2:$AL$2552,Raw_Data!$A$2:$A$2552,$A23,Raw_Data!$D$2:$D$2552,"Programmatic")</f>
        <v/>
      </c>
      <c r="AQ23" s="86">
        <f>IFERROR(AO23/AP23,"")</f>
        <v/>
      </c>
    </row>
    <row r="24">
      <c r="A24" s="96" t="n">
        <v>46254</v>
      </c>
      <c r="B24" s="8" t="inlineStr">
        <is>
          <t>Thu</t>
        </is>
      </c>
      <c r="C24" s="8" t="inlineStr">
        <is>
          <t>Wk 34</t>
        </is>
      </c>
      <c r="D24" s="86">
        <f>SUMIFS(Raw_Data!$R$2:$R$2552,Raw_Data!$A$2:$A$2552,$A24)</f>
        <v/>
      </c>
      <c r="E24" s="87">
        <f>SUMIFS(Raw_Data!$S$2:$S$2552,Raw_Data!$A$2:$A$2552,$A24)</f>
        <v/>
      </c>
      <c r="F24" s="87">
        <f>SUMIFS(Raw_Data!$T$2:$T$2552,Raw_Data!$A$2:$A$2552,$A24)</f>
        <v/>
      </c>
      <c r="G24" s="88">
        <f>IFERROR(E24/F24,"")</f>
        <v/>
      </c>
      <c r="H24" s="87">
        <f>SUMIFS(Raw_Data!$W$2:$W$2552,Raw_Data!$A$2:$A$2552,$A24)</f>
        <v/>
      </c>
      <c r="I24" s="89">
        <f>IFERROR(H24/E24,"")</f>
        <v/>
      </c>
      <c r="J24" s="90">
        <f>IFERROR(D24/H24,"")</f>
        <v/>
      </c>
      <c r="K24" s="90">
        <f>IFERROR(D24/E24*1000,"")</f>
        <v/>
      </c>
      <c r="L24" s="87">
        <f>SUMIFS(Raw_Data!$AA$2:$AA$2552,Raw_Data!$A$2:$A$2552,$A24)</f>
        <v/>
      </c>
      <c r="M24" s="18">
        <f>IFERROR(L24/H24,"")</f>
        <v/>
      </c>
      <c r="N24" s="87">
        <f>SUMIFS(Raw_Data!$AL$2:$AL$2552,Raw_Data!$A$2:$A$2552,$A24)</f>
        <v/>
      </c>
      <c r="O24" s="89">
        <f>IFERROR(N24/L24,"")</f>
        <v/>
      </c>
      <c r="P24" s="86">
        <f>IFERROR(D24/N24,"")</f>
        <v/>
      </c>
      <c r="Q24" s="87">
        <f>SUMIFS(Raw_Data!$AO$2:$AO$2552,Raw_Data!$A$2:$A$2552,$A24)</f>
        <v/>
      </c>
      <c r="R24" s="18">
        <f>IFERROR(Q24/N24,"")</f>
        <v/>
      </c>
      <c r="S24" s="86">
        <f>IFERROR(D24/Q24,"")</f>
        <v/>
      </c>
      <c r="T24" s="87">
        <f>SUMIFS(Raw_Data!$AR$2:$AR$2552,Raw_Data!$A$2:$A$2552,$A24)</f>
        <v/>
      </c>
      <c r="U24" s="87">
        <f>SUMIFS(Raw_Data!$AS$2:$AS$2552,Raw_Data!$A$2:$A$2552,$A24)</f>
        <v/>
      </c>
      <c r="V24" s="87">
        <f>N24+T24</f>
        <v/>
      </c>
      <c r="W24" s="86">
        <f>SUMIFS(Raw_Data!$AU$2:$AU$2552,Raw_Data!$A$2:$A$2552,$A24)</f>
        <v/>
      </c>
      <c r="X24" s="18">
        <f>IFERROR(D24/$D$36,"")</f>
        <v/>
      </c>
      <c r="Y24" s="18">
        <f>IFERROR(N24/$N$36,"")</f>
        <v/>
      </c>
      <c r="Z24" s="97">
        <f>SUM($D$5:D24)</f>
        <v/>
      </c>
      <c r="AA24" s="98">
        <f>SUM($N$5:N24)</f>
        <v/>
      </c>
      <c r="AB24" s="86">
        <f>IFERROR(Z24/AA24,"")</f>
        <v/>
      </c>
      <c r="AC24" s="18">
        <f>IFERROR(Z24/Assumptions!$C$10,"")</f>
        <v/>
      </c>
      <c r="AD24" s="18">
        <f>20/31</f>
        <v/>
      </c>
      <c r="AE24" s="88">
        <f>IFERROR(AC24/AD24,"")</f>
        <v/>
      </c>
      <c r="AF24" s="86">
        <f>SUMIFS(Raw_Data!$R$2:$R$2552,Raw_Data!$A$2:$A$2552,$A24,Raw_Data!$D$2:$D$2552,"Meta (FB/IG)")</f>
        <v/>
      </c>
      <c r="AG24" s="87">
        <f>SUMIFS(Raw_Data!$AL$2:$AL$2552,Raw_Data!$A$2:$A$2552,$A24,Raw_Data!$D$2:$D$2552,"Meta (FB/IG)")</f>
        <v/>
      </c>
      <c r="AH24" s="86">
        <f>IFERROR(AF24/AG24,"")</f>
        <v/>
      </c>
      <c r="AI24" s="86">
        <f>SUMIFS(Raw_Data!$R$2:$R$2552,Raw_Data!$A$2:$A$2552,$A24,Raw_Data!$D$2:$D$2552,"TikTok")</f>
        <v/>
      </c>
      <c r="AJ24" s="87">
        <f>SUMIFS(Raw_Data!$AL$2:$AL$2552,Raw_Data!$A$2:$A$2552,$A24,Raw_Data!$D$2:$D$2552,"TikTok")</f>
        <v/>
      </c>
      <c r="AK24" s="86">
        <f>IFERROR(AI24/AJ24,"")</f>
        <v/>
      </c>
      <c r="AL24" s="86">
        <f>SUMIFS(Raw_Data!$R$2:$R$2552,Raw_Data!$A$2:$A$2552,$A24,Raw_Data!$D$2:$D$2552,"X")</f>
        <v/>
      </c>
      <c r="AM24" s="87">
        <f>SUMIFS(Raw_Data!$AL$2:$AL$2552,Raw_Data!$A$2:$A$2552,$A24,Raw_Data!$D$2:$D$2552,"X")</f>
        <v/>
      </c>
      <c r="AN24" s="86">
        <f>IFERROR(AL24/AM24,"")</f>
        <v/>
      </c>
      <c r="AO24" s="86">
        <f>SUMIFS(Raw_Data!$R$2:$R$2552,Raw_Data!$A$2:$A$2552,$A24,Raw_Data!$D$2:$D$2552,"Programmatic")</f>
        <v/>
      </c>
      <c r="AP24" s="87">
        <f>SUMIFS(Raw_Data!$AL$2:$AL$2552,Raw_Data!$A$2:$A$2552,$A24,Raw_Data!$D$2:$D$2552,"Programmatic")</f>
        <v/>
      </c>
      <c r="AQ24" s="86">
        <f>IFERROR(AO24/AP24,"")</f>
        <v/>
      </c>
    </row>
    <row r="25">
      <c r="A25" s="96" t="n">
        <v>46255</v>
      </c>
      <c r="B25" s="29" t="inlineStr">
        <is>
          <t>Fri</t>
        </is>
      </c>
      <c r="C25" s="8" t="inlineStr">
        <is>
          <t>Wk 34</t>
        </is>
      </c>
      <c r="D25" s="86">
        <f>SUMIFS(Raw_Data!$R$2:$R$2552,Raw_Data!$A$2:$A$2552,$A25)</f>
        <v/>
      </c>
      <c r="E25" s="87">
        <f>SUMIFS(Raw_Data!$S$2:$S$2552,Raw_Data!$A$2:$A$2552,$A25)</f>
        <v/>
      </c>
      <c r="F25" s="87">
        <f>SUMIFS(Raw_Data!$T$2:$T$2552,Raw_Data!$A$2:$A$2552,$A25)</f>
        <v/>
      </c>
      <c r="G25" s="88">
        <f>IFERROR(E25/F25,"")</f>
        <v/>
      </c>
      <c r="H25" s="87">
        <f>SUMIFS(Raw_Data!$W$2:$W$2552,Raw_Data!$A$2:$A$2552,$A25)</f>
        <v/>
      </c>
      <c r="I25" s="89">
        <f>IFERROR(H25/E25,"")</f>
        <v/>
      </c>
      <c r="J25" s="90">
        <f>IFERROR(D25/H25,"")</f>
        <v/>
      </c>
      <c r="K25" s="90">
        <f>IFERROR(D25/E25*1000,"")</f>
        <v/>
      </c>
      <c r="L25" s="87">
        <f>SUMIFS(Raw_Data!$AA$2:$AA$2552,Raw_Data!$A$2:$A$2552,$A25)</f>
        <v/>
      </c>
      <c r="M25" s="18">
        <f>IFERROR(L25/H25,"")</f>
        <v/>
      </c>
      <c r="N25" s="87">
        <f>SUMIFS(Raw_Data!$AL$2:$AL$2552,Raw_Data!$A$2:$A$2552,$A25)</f>
        <v/>
      </c>
      <c r="O25" s="89">
        <f>IFERROR(N25/L25,"")</f>
        <v/>
      </c>
      <c r="P25" s="86">
        <f>IFERROR(D25/N25,"")</f>
        <v/>
      </c>
      <c r="Q25" s="87">
        <f>SUMIFS(Raw_Data!$AO$2:$AO$2552,Raw_Data!$A$2:$A$2552,$A25)</f>
        <v/>
      </c>
      <c r="R25" s="18">
        <f>IFERROR(Q25/N25,"")</f>
        <v/>
      </c>
      <c r="S25" s="86">
        <f>IFERROR(D25/Q25,"")</f>
        <v/>
      </c>
      <c r="T25" s="87">
        <f>SUMIFS(Raw_Data!$AR$2:$AR$2552,Raw_Data!$A$2:$A$2552,$A25)</f>
        <v/>
      </c>
      <c r="U25" s="87">
        <f>SUMIFS(Raw_Data!$AS$2:$AS$2552,Raw_Data!$A$2:$A$2552,$A25)</f>
        <v/>
      </c>
      <c r="V25" s="87">
        <f>N25+T25</f>
        <v/>
      </c>
      <c r="W25" s="86">
        <f>SUMIFS(Raw_Data!$AU$2:$AU$2552,Raw_Data!$A$2:$A$2552,$A25)</f>
        <v/>
      </c>
      <c r="X25" s="18">
        <f>IFERROR(D25/$D$36,"")</f>
        <v/>
      </c>
      <c r="Y25" s="18">
        <f>IFERROR(N25/$N$36,"")</f>
        <v/>
      </c>
      <c r="Z25" s="97">
        <f>SUM($D$5:D25)</f>
        <v/>
      </c>
      <c r="AA25" s="98">
        <f>SUM($N$5:N25)</f>
        <v/>
      </c>
      <c r="AB25" s="86">
        <f>IFERROR(Z25/AA25,"")</f>
        <v/>
      </c>
      <c r="AC25" s="18">
        <f>IFERROR(Z25/Assumptions!$C$10,"")</f>
        <v/>
      </c>
      <c r="AD25" s="18">
        <f>21/31</f>
        <v/>
      </c>
      <c r="AE25" s="88">
        <f>IFERROR(AC25/AD25,"")</f>
        <v/>
      </c>
      <c r="AF25" s="86">
        <f>SUMIFS(Raw_Data!$R$2:$R$2552,Raw_Data!$A$2:$A$2552,$A25,Raw_Data!$D$2:$D$2552,"Meta (FB/IG)")</f>
        <v/>
      </c>
      <c r="AG25" s="87">
        <f>SUMIFS(Raw_Data!$AL$2:$AL$2552,Raw_Data!$A$2:$A$2552,$A25,Raw_Data!$D$2:$D$2552,"Meta (FB/IG)")</f>
        <v/>
      </c>
      <c r="AH25" s="86">
        <f>IFERROR(AF25/AG25,"")</f>
        <v/>
      </c>
      <c r="AI25" s="86">
        <f>SUMIFS(Raw_Data!$R$2:$R$2552,Raw_Data!$A$2:$A$2552,$A25,Raw_Data!$D$2:$D$2552,"TikTok")</f>
        <v/>
      </c>
      <c r="AJ25" s="87">
        <f>SUMIFS(Raw_Data!$AL$2:$AL$2552,Raw_Data!$A$2:$A$2552,$A25,Raw_Data!$D$2:$D$2552,"TikTok")</f>
        <v/>
      </c>
      <c r="AK25" s="86">
        <f>IFERROR(AI25/AJ25,"")</f>
        <v/>
      </c>
      <c r="AL25" s="86">
        <f>SUMIFS(Raw_Data!$R$2:$R$2552,Raw_Data!$A$2:$A$2552,$A25,Raw_Data!$D$2:$D$2552,"X")</f>
        <v/>
      </c>
      <c r="AM25" s="87">
        <f>SUMIFS(Raw_Data!$AL$2:$AL$2552,Raw_Data!$A$2:$A$2552,$A25,Raw_Data!$D$2:$D$2552,"X")</f>
        <v/>
      </c>
      <c r="AN25" s="86">
        <f>IFERROR(AL25/AM25,"")</f>
        <v/>
      </c>
      <c r="AO25" s="86">
        <f>SUMIFS(Raw_Data!$R$2:$R$2552,Raw_Data!$A$2:$A$2552,$A25,Raw_Data!$D$2:$D$2552,"Programmatic")</f>
        <v/>
      </c>
      <c r="AP25" s="87">
        <f>SUMIFS(Raw_Data!$AL$2:$AL$2552,Raw_Data!$A$2:$A$2552,$A25,Raw_Data!$D$2:$D$2552,"Programmatic")</f>
        <v/>
      </c>
      <c r="AQ25" s="86">
        <f>IFERROR(AO25/AP25,"")</f>
        <v/>
      </c>
    </row>
    <row r="26">
      <c r="A26" s="96" t="n">
        <v>46256</v>
      </c>
      <c r="B26" s="29" t="inlineStr">
        <is>
          <t>Sat</t>
        </is>
      </c>
      <c r="C26" s="8" t="inlineStr">
        <is>
          <t>Wk 34</t>
        </is>
      </c>
      <c r="D26" s="86">
        <f>SUMIFS(Raw_Data!$R$2:$R$2552,Raw_Data!$A$2:$A$2552,$A26)</f>
        <v/>
      </c>
      <c r="E26" s="87">
        <f>SUMIFS(Raw_Data!$S$2:$S$2552,Raw_Data!$A$2:$A$2552,$A26)</f>
        <v/>
      </c>
      <c r="F26" s="87">
        <f>SUMIFS(Raw_Data!$T$2:$T$2552,Raw_Data!$A$2:$A$2552,$A26)</f>
        <v/>
      </c>
      <c r="G26" s="88">
        <f>IFERROR(E26/F26,"")</f>
        <v/>
      </c>
      <c r="H26" s="87">
        <f>SUMIFS(Raw_Data!$W$2:$W$2552,Raw_Data!$A$2:$A$2552,$A26)</f>
        <v/>
      </c>
      <c r="I26" s="89">
        <f>IFERROR(H26/E26,"")</f>
        <v/>
      </c>
      <c r="J26" s="90">
        <f>IFERROR(D26/H26,"")</f>
        <v/>
      </c>
      <c r="K26" s="90">
        <f>IFERROR(D26/E26*1000,"")</f>
        <v/>
      </c>
      <c r="L26" s="87">
        <f>SUMIFS(Raw_Data!$AA$2:$AA$2552,Raw_Data!$A$2:$A$2552,$A26)</f>
        <v/>
      </c>
      <c r="M26" s="18">
        <f>IFERROR(L26/H26,"")</f>
        <v/>
      </c>
      <c r="N26" s="87">
        <f>SUMIFS(Raw_Data!$AL$2:$AL$2552,Raw_Data!$A$2:$A$2552,$A26)</f>
        <v/>
      </c>
      <c r="O26" s="89">
        <f>IFERROR(N26/L26,"")</f>
        <v/>
      </c>
      <c r="P26" s="86">
        <f>IFERROR(D26/N26,"")</f>
        <v/>
      </c>
      <c r="Q26" s="87">
        <f>SUMIFS(Raw_Data!$AO$2:$AO$2552,Raw_Data!$A$2:$A$2552,$A26)</f>
        <v/>
      </c>
      <c r="R26" s="18">
        <f>IFERROR(Q26/N26,"")</f>
        <v/>
      </c>
      <c r="S26" s="86">
        <f>IFERROR(D26/Q26,"")</f>
        <v/>
      </c>
      <c r="T26" s="87">
        <f>SUMIFS(Raw_Data!$AR$2:$AR$2552,Raw_Data!$A$2:$A$2552,$A26)</f>
        <v/>
      </c>
      <c r="U26" s="87">
        <f>SUMIFS(Raw_Data!$AS$2:$AS$2552,Raw_Data!$A$2:$A$2552,$A26)</f>
        <v/>
      </c>
      <c r="V26" s="87">
        <f>N26+T26</f>
        <v/>
      </c>
      <c r="W26" s="86">
        <f>SUMIFS(Raw_Data!$AU$2:$AU$2552,Raw_Data!$A$2:$A$2552,$A26)</f>
        <v/>
      </c>
      <c r="X26" s="18">
        <f>IFERROR(D26/$D$36,"")</f>
        <v/>
      </c>
      <c r="Y26" s="18">
        <f>IFERROR(N26/$N$36,"")</f>
        <v/>
      </c>
      <c r="Z26" s="97">
        <f>SUM($D$5:D26)</f>
        <v/>
      </c>
      <c r="AA26" s="98">
        <f>SUM($N$5:N26)</f>
        <v/>
      </c>
      <c r="AB26" s="86">
        <f>IFERROR(Z26/AA26,"")</f>
        <v/>
      </c>
      <c r="AC26" s="18">
        <f>IFERROR(Z26/Assumptions!$C$10,"")</f>
        <v/>
      </c>
      <c r="AD26" s="18">
        <f>22/31</f>
        <v/>
      </c>
      <c r="AE26" s="88">
        <f>IFERROR(AC26/AD26,"")</f>
        <v/>
      </c>
      <c r="AF26" s="86">
        <f>SUMIFS(Raw_Data!$R$2:$R$2552,Raw_Data!$A$2:$A$2552,$A26,Raw_Data!$D$2:$D$2552,"Meta (FB/IG)")</f>
        <v/>
      </c>
      <c r="AG26" s="87">
        <f>SUMIFS(Raw_Data!$AL$2:$AL$2552,Raw_Data!$A$2:$A$2552,$A26,Raw_Data!$D$2:$D$2552,"Meta (FB/IG)")</f>
        <v/>
      </c>
      <c r="AH26" s="86">
        <f>IFERROR(AF26/AG26,"")</f>
        <v/>
      </c>
      <c r="AI26" s="86">
        <f>SUMIFS(Raw_Data!$R$2:$R$2552,Raw_Data!$A$2:$A$2552,$A26,Raw_Data!$D$2:$D$2552,"TikTok")</f>
        <v/>
      </c>
      <c r="AJ26" s="87">
        <f>SUMIFS(Raw_Data!$AL$2:$AL$2552,Raw_Data!$A$2:$A$2552,$A26,Raw_Data!$D$2:$D$2552,"TikTok")</f>
        <v/>
      </c>
      <c r="AK26" s="86">
        <f>IFERROR(AI26/AJ26,"")</f>
        <v/>
      </c>
      <c r="AL26" s="86">
        <f>SUMIFS(Raw_Data!$R$2:$R$2552,Raw_Data!$A$2:$A$2552,$A26,Raw_Data!$D$2:$D$2552,"X")</f>
        <v/>
      </c>
      <c r="AM26" s="87">
        <f>SUMIFS(Raw_Data!$AL$2:$AL$2552,Raw_Data!$A$2:$A$2552,$A26,Raw_Data!$D$2:$D$2552,"X")</f>
        <v/>
      </c>
      <c r="AN26" s="86">
        <f>IFERROR(AL26/AM26,"")</f>
        <v/>
      </c>
      <c r="AO26" s="86">
        <f>SUMIFS(Raw_Data!$R$2:$R$2552,Raw_Data!$A$2:$A$2552,$A26,Raw_Data!$D$2:$D$2552,"Programmatic")</f>
        <v/>
      </c>
      <c r="AP26" s="87">
        <f>SUMIFS(Raw_Data!$AL$2:$AL$2552,Raw_Data!$A$2:$A$2552,$A26,Raw_Data!$D$2:$D$2552,"Programmatic")</f>
        <v/>
      </c>
      <c r="AQ26" s="86">
        <f>IFERROR(AO26/AP26,"")</f>
        <v/>
      </c>
    </row>
    <row r="27">
      <c r="A27" s="96" t="n">
        <v>46257</v>
      </c>
      <c r="B27" s="29" t="inlineStr">
        <is>
          <t>Sun</t>
        </is>
      </c>
      <c r="C27" s="8" t="inlineStr">
        <is>
          <t>Wk 34</t>
        </is>
      </c>
      <c r="D27" s="86">
        <f>SUMIFS(Raw_Data!$R$2:$R$2552,Raw_Data!$A$2:$A$2552,$A27)</f>
        <v/>
      </c>
      <c r="E27" s="87">
        <f>SUMIFS(Raw_Data!$S$2:$S$2552,Raw_Data!$A$2:$A$2552,$A27)</f>
        <v/>
      </c>
      <c r="F27" s="87">
        <f>SUMIFS(Raw_Data!$T$2:$T$2552,Raw_Data!$A$2:$A$2552,$A27)</f>
        <v/>
      </c>
      <c r="G27" s="88">
        <f>IFERROR(E27/F27,"")</f>
        <v/>
      </c>
      <c r="H27" s="87">
        <f>SUMIFS(Raw_Data!$W$2:$W$2552,Raw_Data!$A$2:$A$2552,$A27)</f>
        <v/>
      </c>
      <c r="I27" s="89">
        <f>IFERROR(H27/E27,"")</f>
        <v/>
      </c>
      <c r="J27" s="90">
        <f>IFERROR(D27/H27,"")</f>
        <v/>
      </c>
      <c r="K27" s="90">
        <f>IFERROR(D27/E27*1000,"")</f>
        <v/>
      </c>
      <c r="L27" s="87">
        <f>SUMIFS(Raw_Data!$AA$2:$AA$2552,Raw_Data!$A$2:$A$2552,$A27)</f>
        <v/>
      </c>
      <c r="M27" s="18">
        <f>IFERROR(L27/H27,"")</f>
        <v/>
      </c>
      <c r="N27" s="87">
        <f>SUMIFS(Raw_Data!$AL$2:$AL$2552,Raw_Data!$A$2:$A$2552,$A27)</f>
        <v/>
      </c>
      <c r="O27" s="89">
        <f>IFERROR(N27/L27,"")</f>
        <v/>
      </c>
      <c r="P27" s="86">
        <f>IFERROR(D27/N27,"")</f>
        <v/>
      </c>
      <c r="Q27" s="87">
        <f>SUMIFS(Raw_Data!$AO$2:$AO$2552,Raw_Data!$A$2:$A$2552,$A27)</f>
        <v/>
      </c>
      <c r="R27" s="18">
        <f>IFERROR(Q27/N27,"")</f>
        <v/>
      </c>
      <c r="S27" s="86">
        <f>IFERROR(D27/Q27,"")</f>
        <v/>
      </c>
      <c r="T27" s="87">
        <f>SUMIFS(Raw_Data!$AR$2:$AR$2552,Raw_Data!$A$2:$A$2552,$A27)</f>
        <v/>
      </c>
      <c r="U27" s="87">
        <f>SUMIFS(Raw_Data!$AS$2:$AS$2552,Raw_Data!$A$2:$A$2552,$A27)</f>
        <v/>
      </c>
      <c r="V27" s="87">
        <f>N27+T27</f>
        <v/>
      </c>
      <c r="W27" s="86">
        <f>SUMIFS(Raw_Data!$AU$2:$AU$2552,Raw_Data!$A$2:$A$2552,$A27)</f>
        <v/>
      </c>
      <c r="X27" s="18">
        <f>IFERROR(D27/$D$36,"")</f>
        <v/>
      </c>
      <c r="Y27" s="18">
        <f>IFERROR(N27/$N$36,"")</f>
        <v/>
      </c>
      <c r="Z27" s="97">
        <f>SUM($D$5:D27)</f>
        <v/>
      </c>
      <c r="AA27" s="98">
        <f>SUM($N$5:N27)</f>
        <v/>
      </c>
      <c r="AB27" s="86">
        <f>IFERROR(Z27/AA27,"")</f>
        <v/>
      </c>
      <c r="AC27" s="18">
        <f>IFERROR(Z27/Assumptions!$C$10,"")</f>
        <v/>
      </c>
      <c r="AD27" s="18">
        <f>23/31</f>
        <v/>
      </c>
      <c r="AE27" s="88">
        <f>IFERROR(AC27/AD27,"")</f>
        <v/>
      </c>
      <c r="AF27" s="86">
        <f>SUMIFS(Raw_Data!$R$2:$R$2552,Raw_Data!$A$2:$A$2552,$A27,Raw_Data!$D$2:$D$2552,"Meta (FB/IG)")</f>
        <v/>
      </c>
      <c r="AG27" s="87">
        <f>SUMIFS(Raw_Data!$AL$2:$AL$2552,Raw_Data!$A$2:$A$2552,$A27,Raw_Data!$D$2:$D$2552,"Meta (FB/IG)")</f>
        <v/>
      </c>
      <c r="AH27" s="86">
        <f>IFERROR(AF27/AG27,"")</f>
        <v/>
      </c>
      <c r="AI27" s="86">
        <f>SUMIFS(Raw_Data!$R$2:$R$2552,Raw_Data!$A$2:$A$2552,$A27,Raw_Data!$D$2:$D$2552,"TikTok")</f>
        <v/>
      </c>
      <c r="AJ27" s="87">
        <f>SUMIFS(Raw_Data!$AL$2:$AL$2552,Raw_Data!$A$2:$A$2552,$A27,Raw_Data!$D$2:$D$2552,"TikTok")</f>
        <v/>
      </c>
      <c r="AK27" s="86">
        <f>IFERROR(AI27/AJ27,"")</f>
        <v/>
      </c>
      <c r="AL27" s="86">
        <f>SUMIFS(Raw_Data!$R$2:$R$2552,Raw_Data!$A$2:$A$2552,$A27,Raw_Data!$D$2:$D$2552,"X")</f>
        <v/>
      </c>
      <c r="AM27" s="87">
        <f>SUMIFS(Raw_Data!$AL$2:$AL$2552,Raw_Data!$A$2:$A$2552,$A27,Raw_Data!$D$2:$D$2552,"X")</f>
        <v/>
      </c>
      <c r="AN27" s="86">
        <f>IFERROR(AL27/AM27,"")</f>
        <v/>
      </c>
      <c r="AO27" s="86">
        <f>SUMIFS(Raw_Data!$R$2:$R$2552,Raw_Data!$A$2:$A$2552,$A27,Raw_Data!$D$2:$D$2552,"Programmatic")</f>
        <v/>
      </c>
      <c r="AP27" s="87">
        <f>SUMIFS(Raw_Data!$AL$2:$AL$2552,Raw_Data!$A$2:$A$2552,$A27,Raw_Data!$D$2:$D$2552,"Programmatic")</f>
        <v/>
      </c>
      <c r="AQ27" s="86">
        <f>IFERROR(AO27/AP27,"")</f>
        <v/>
      </c>
    </row>
    <row r="28">
      <c r="A28" s="96" t="n">
        <v>46258</v>
      </c>
      <c r="B28" s="8" t="inlineStr">
        <is>
          <t>Mon</t>
        </is>
      </c>
      <c r="C28" s="8" t="inlineStr">
        <is>
          <t>Wk 35</t>
        </is>
      </c>
      <c r="D28" s="86">
        <f>SUMIFS(Raw_Data!$R$2:$R$2552,Raw_Data!$A$2:$A$2552,$A28)</f>
        <v/>
      </c>
      <c r="E28" s="87">
        <f>SUMIFS(Raw_Data!$S$2:$S$2552,Raw_Data!$A$2:$A$2552,$A28)</f>
        <v/>
      </c>
      <c r="F28" s="87">
        <f>SUMIFS(Raw_Data!$T$2:$T$2552,Raw_Data!$A$2:$A$2552,$A28)</f>
        <v/>
      </c>
      <c r="G28" s="88">
        <f>IFERROR(E28/F28,"")</f>
        <v/>
      </c>
      <c r="H28" s="87">
        <f>SUMIFS(Raw_Data!$W$2:$W$2552,Raw_Data!$A$2:$A$2552,$A28)</f>
        <v/>
      </c>
      <c r="I28" s="89">
        <f>IFERROR(H28/E28,"")</f>
        <v/>
      </c>
      <c r="J28" s="90">
        <f>IFERROR(D28/H28,"")</f>
        <v/>
      </c>
      <c r="K28" s="90">
        <f>IFERROR(D28/E28*1000,"")</f>
        <v/>
      </c>
      <c r="L28" s="87">
        <f>SUMIFS(Raw_Data!$AA$2:$AA$2552,Raw_Data!$A$2:$A$2552,$A28)</f>
        <v/>
      </c>
      <c r="M28" s="18">
        <f>IFERROR(L28/H28,"")</f>
        <v/>
      </c>
      <c r="N28" s="87">
        <f>SUMIFS(Raw_Data!$AL$2:$AL$2552,Raw_Data!$A$2:$A$2552,$A28)</f>
        <v/>
      </c>
      <c r="O28" s="89">
        <f>IFERROR(N28/L28,"")</f>
        <v/>
      </c>
      <c r="P28" s="86">
        <f>IFERROR(D28/N28,"")</f>
        <v/>
      </c>
      <c r="Q28" s="87">
        <f>SUMIFS(Raw_Data!$AO$2:$AO$2552,Raw_Data!$A$2:$A$2552,$A28)</f>
        <v/>
      </c>
      <c r="R28" s="18">
        <f>IFERROR(Q28/N28,"")</f>
        <v/>
      </c>
      <c r="S28" s="86">
        <f>IFERROR(D28/Q28,"")</f>
        <v/>
      </c>
      <c r="T28" s="87">
        <f>SUMIFS(Raw_Data!$AR$2:$AR$2552,Raw_Data!$A$2:$A$2552,$A28)</f>
        <v/>
      </c>
      <c r="U28" s="87">
        <f>SUMIFS(Raw_Data!$AS$2:$AS$2552,Raw_Data!$A$2:$A$2552,$A28)</f>
        <v/>
      </c>
      <c r="V28" s="87">
        <f>N28+T28</f>
        <v/>
      </c>
      <c r="W28" s="86">
        <f>SUMIFS(Raw_Data!$AU$2:$AU$2552,Raw_Data!$A$2:$A$2552,$A28)</f>
        <v/>
      </c>
      <c r="X28" s="18">
        <f>IFERROR(D28/$D$36,"")</f>
        <v/>
      </c>
      <c r="Y28" s="18">
        <f>IFERROR(N28/$N$36,"")</f>
        <v/>
      </c>
      <c r="Z28" s="97">
        <f>SUM($D$5:D28)</f>
        <v/>
      </c>
      <c r="AA28" s="98">
        <f>SUM($N$5:N28)</f>
        <v/>
      </c>
      <c r="AB28" s="86">
        <f>IFERROR(Z28/AA28,"")</f>
        <v/>
      </c>
      <c r="AC28" s="18">
        <f>IFERROR(Z28/Assumptions!$C$10,"")</f>
        <v/>
      </c>
      <c r="AD28" s="18">
        <f>24/31</f>
        <v/>
      </c>
      <c r="AE28" s="88">
        <f>IFERROR(AC28/AD28,"")</f>
        <v/>
      </c>
      <c r="AF28" s="86">
        <f>SUMIFS(Raw_Data!$R$2:$R$2552,Raw_Data!$A$2:$A$2552,$A28,Raw_Data!$D$2:$D$2552,"Meta (FB/IG)")</f>
        <v/>
      </c>
      <c r="AG28" s="87">
        <f>SUMIFS(Raw_Data!$AL$2:$AL$2552,Raw_Data!$A$2:$A$2552,$A28,Raw_Data!$D$2:$D$2552,"Meta (FB/IG)")</f>
        <v/>
      </c>
      <c r="AH28" s="86">
        <f>IFERROR(AF28/AG28,"")</f>
        <v/>
      </c>
      <c r="AI28" s="86">
        <f>SUMIFS(Raw_Data!$R$2:$R$2552,Raw_Data!$A$2:$A$2552,$A28,Raw_Data!$D$2:$D$2552,"TikTok")</f>
        <v/>
      </c>
      <c r="AJ28" s="87">
        <f>SUMIFS(Raw_Data!$AL$2:$AL$2552,Raw_Data!$A$2:$A$2552,$A28,Raw_Data!$D$2:$D$2552,"TikTok")</f>
        <v/>
      </c>
      <c r="AK28" s="86">
        <f>IFERROR(AI28/AJ28,"")</f>
        <v/>
      </c>
      <c r="AL28" s="86">
        <f>SUMIFS(Raw_Data!$R$2:$R$2552,Raw_Data!$A$2:$A$2552,$A28,Raw_Data!$D$2:$D$2552,"X")</f>
        <v/>
      </c>
      <c r="AM28" s="87">
        <f>SUMIFS(Raw_Data!$AL$2:$AL$2552,Raw_Data!$A$2:$A$2552,$A28,Raw_Data!$D$2:$D$2552,"X")</f>
        <v/>
      </c>
      <c r="AN28" s="86">
        <f>IFERROR(AL28/AM28,"")</f>
        <v/>
      </c>
      <c r="AO28" s="86">
        <f>SUMIFS(Raw_Data!$R$2:$R$2552,Raw_Data!$A$2:$A$2552,$A28,Raw_Data!$D$2:$D$2552,"Programmatic")</f>
        <v/>
      </c>
      <c r="AP28" s="87">
        <f>SUMIFS(Raw_Data!$AL$2:$AL$2552,Raw_Data!$A$2:$A$2552,$A28,Raw_Data!$D$2:$D$2552,"Programmatic")</f>
        <v/>
      </c>
      <c r="AQ28" s="86">
        <f>IFERROR(AO28/AP28,"")</f>
        <v/>
      </c>
    </row>
    <row r="29">
      <c r="A29" s="96" t="n">
        <v>46259</v>
      </c>
      <c r="B29" s="8" t="inlineStr">
        <is>
          <t>Tue</t>
        </is>
      </c>
      <c r="C29" s="8" t="inlineStr">
        <is>
          <t>Wk 35</t>
        </is>
      </c>
      <c r="D29" s="86">
        <f>SUMIFS(Raw_Data!$R$2:$R$2552,Raw_Data!$A$2:$A$2552,$A29)</f>
        <v/>
      </c>
      <c r="E29" s="87">
        <f>SUMIFS(Raw_Data!$S$2:$S$2552,Raw_Data!$A$2:$A$2552,$A29)</f>
        <v/>
      </c>
      <c r="F29" s="87">
        <f>SUMIFS(Raw_Data!$T$2:$T$2552,Raw_Data!$A$2:$A$2552,$A29)</f>
        <v/>
      </c>
      <c r="G29" s="88">
        <f>IFERROR(E29/F29,"")</f>
        <v/>
      </c>
      <c r="H29" s="87">
        <f>SUMIFS(Raw_Data!$W$2:$W$2552,Raw_Data!$A$2:$A$2552,$A29)</f>
        <v/>
      </c>
      <c r="I29" s="89">
        <f>IFERROR(H29/E29,"")</f>
        <v/>
      </c>
      <c r="J29" s="90">
        <f>IFERROR(D29/H29,"")</f>
        <v/>
      </c>
      <c r="K29" s="90">
        <f>IFERROR(D29/E29*1000,"")</f>
        <v/>
      </c>
      <c r="L29" s="87">
        <f>SUMIFS(Raw_Data!$AA$2:$AA$2552,Raw_Data!$A$2:$A$2552,$A29)</f>
        <v/>
      </c>
      <c r="M29" s="18">
        <f>IFERROR(L29/H29,"")</f>
        <v/>
      </c>
      <c r="N29" s="87">
        <f>SUMIFS(Raw_Data!$AL$2:$AL$2552,Raw_Data!$A$2:$A$2552,$A29)</f>
        <v/>
      </c>
      <c r="O29" s="89">
        <f>IFERROR(N29/L29,"")</f>
        <v/>
      </c>
      <c r="P29" s="86">
        <f>IFERROR(D29/N29,"")</f>
        <v/>
      </c>
      <c r="Q29" s="87">
        <f>SUMIFS(Raw_Data!$AO$2:$AO$2552,Raw_Data!$A$2:$A$2552,$A29)</f>
        <v/>
      </c>
      <c r="R29" s="18">
        <f>IFERROR(Q29/N29,"")</f>
        <v/>
      </c>
      <c r="S29" s="86">
        <f>IFERROR(D29/Q29,"")</f>
        <v/>
      </c>
      <c r="T29" s="87">
        <f>SUMIFS(Raw_Data!$AR$2:$AR$2552,Raw_Data!$A$2:$A$2552,$A29)</f>
        <v/>
      </c>
      <c r="U29" s="87">
        <f>SUMIFS(Raw_Data!$AS$2:$AS$2552,Raw_Data!$A$2:$A$2552,$A29)</f>
        <v/>
      </c>
      <c r="V29" s="87">
        <f>N29+T29</f>
        <v/>
      </c>
      <c r="W29" s="86">
        <f>SUMIFS(Raw_Data!$AU$2:$AU$2552,Raw_Data!$A$2:$A$2552,$A29)</f>
        <v/>
      </c>
      <c r="X29" s="18">
        <f>IFERROR(D29/$D$36,"")</f>
        <v/>
      </c>
      <c r="Y29" s="18">
        <f>IFERROR(N29/$N$36,"")</f>
        <v/>
      </c>
      <c r="Z29" s="97">
        <f>SUM($D$5:D29)</f>
        <v/>
      </c>
      <c r="AA29" s="98">
        <f>SUM($N$5:N29)</f>
        <v/>
      </c>
      <c r="AB29" s="86">
        <f>IFERROR(Z29/AA29,"")</f>
        <v/>
      </c>
      <c r="AC29" s="18">
        <f>IFERROR(Z29/Assumptions!$C$10,"")</f>
        <v/>
      </c>
      <c r="AD29" s="18">
        <f>25/31</f>
        <v/>
      </c>
      <c r="AE29" s="88">
        <f>IFERROR(AC29/AD29,"")</f>
        <v/>
      </c>
      <c r="AF29" s="86">
        <f>SUMIFS(Raw_Data!$R$2:$R$2552,Raw_Data!$A$2:$A$2552,$A29,Raw_Data!$D$2:$D$2552,"Meta (FB/IG)")</f>
        <v/>
      </c>
      <c r="AG29" s="87">
        <f>SUMIFS(Raw_Data!$AL$2:$AL$2552,Raw_Data!$A$2:$A$2552,$A29,Raw_Data!$D$2:$D$2552,"Meta (FB/IG)")</f>
        <v/>
      </c>
      <c r="AH29" s="86">
        <f>IFERROR(AF29/AG29,"")</f>
        <v/>
      </c>
      <c r="AI29" s="86">
        <f>SUMIFS(Raw_Data!$R$2:$R$2552,Raw_Data!$A$2:$A$2552,$A29,Raw_Data!$D$2:$D$2552,"TikTok")</f>
        <v/>
      </c>
      <c r="AJ29" s="87">
        <f>SUMIFS(Raw_Data!$AL$2:$AL$2552,Raw_Data!$A$2:$A$2552,$A29,Raw_Data!$D$2:$D$2552,"TikTok")</f>
        <v/>
      </c>
      <c r="AK29" s="86">
        <f>IFERROR(AI29/AJ29,"")</f>
        <v/>
      </c>
      <c r="AL29" s="86">
        <f>SUMIFS(Raw_Data!$R$2:$R$2552,Raw_Data!$A$2:$A$2552,$A29,Raw_Data!$D$2:$D$2552,"X")</f>
        <v/>
      </c>
      <c r="AM29" s="87">
        <f>SUMIFS(Raw_Data!$AL$2:$AL$2552,Raw_Data!$A$2:$A$2552,$A29,Raw_Data!$D$2:$D$2552,"X")</f>
        <v/>
      </c>
      <c r="AN29" s="86">
        <f>IFERROR(AL29/AM29,"")</f>
        <v/>
      </c>
      <c r="AO29" s="86">
        <f>SUMIFS(Raw_Data!$R$2:$R$2552,Raw_Data!$A$2:$A$2552,$A29,Raw_Data!$D$2:$D$2552,"Programmatic")</f>
        <v/>
      </c>
      <c r="AP29" s="87">
        <f>SUMIFS(Raw_Data!$AL$2:$AL$2552,Raw_Data!$A$2:$A$2552,$A29,Raw_Data!$D$2:$D$2552,"Programmatic")</f>
        <v/>
      </c>
      <c r="AQ29" s="86">
        <f>IFERROR(AO29/AP29,"")</f>
        <v/>
      </c>
    </row>
    <row r="30">
      <c r="A30" s="96" t="n">
        <v>46260</v>
      </c>
      <c r="B30" s="8" t="inlineStr">
        <is>
          <t>Wed</t>
        </is>
      </c>
      <c r="C30" s="8" t="inlineStr">
        <is>
          <t>Wk 35</t>
        </is>
      </c>
      <c r="D30" s="86">
        <f>SUMIFS(Raw_Data!$R$2:$R$2552,Raw_Data!$A$2:$A$2552,$A30)</f>
        <v/>
      </c>
      <c r="E30" s="87">
        <f>SUMIFS(Raw_Data!$S$2:$S$2552,Raw_Data!$A$2:$A$2552,$A30)</f>
        <v/>
      </c>
      <c r="F30" s="87">
        <f>SUMIFS(Raw_Data!$T$2:$T$2552,Raw_Data!$A$2:$A$2552,$A30)</f>
        <v/>
      </c>
      <c r="G30" s="88">
        <f>IFERROR(E30/F30,"")</f>
        <v/>
      </c>
      <c r="H30" s="87">
        <f>SUMIFS(Raw_Data!$W$2:$W$2552,Raw_Data!$A$2:$A$2552,$A30)</f>
        <v/>
      </c>
      <c r="I30" s="89">
        <f>IFERROR(H30/E30,"")</f>
        <v/>
      </c>
      <c r="J30" s="90">
        <f>IFERROR(D30/H30,"")</f>
        <v/>
      </c>
      <c r="K30" s="90">
        <f>IFERROR(D30/E30*1000,"")</f>
        <v/>
      </c>
      <c r="L30" s="87">
        <f>SUMIFS(Raw_Data!$AA$2:$AA$2552,Raw_Data!$A$2:$A$2552,$A30)</f>
        <v/>
      </c>
      <c r="M30" s="18">
        <f>IFERROR(L30/H30,"")</f>
        <v/>
      </c>
      <c r="N30" s="87">
        <f>SUMIFS(Raw_Data!$AL$2:$AL$2552,Raw_Data!$A$2:$A$2552,$A30)</f>
        <v/>
      </c>
      <c r="O30" s="89">
        <f>IFERROR(N30/L30,"")</f>
        <v/>
      </c>
      <c r="P30" s="86">
        <f>IFERROR(D30/N30,"")</f>
        <v/>
      </c>
      <c r="Q30" s="87">
        <f>SUMIFS(Raw_Data!$AO$2:$AO$2552,Raw_Data!$A$2:$A$2552,$A30)</f>
        <v/>
      </c>
      <c r="R30" s="18">
        <f>IFERROR(Q30/N30,"")</f>
        <v/>
      </c>
      <c r="S30" s="86">
        <f>IFERROR(D30/Q30,"")</f>
        <v/>
      </c>
      <c r="T30" s="87">
        <f>SUMIFS(Raw_Data!$AR$2:$AR$2552,Raw_Data!$A$2:$A$2552,$A30)</f>
        <v/>
      </c>
      <c r="U30" s="87">
        <f>SUMIFS(Raw_Data!$AS$2:$AS$2552,Raw_Data!$A$2:$A$2552,$A30)</f>
        <v/>
      </c>
      <c r="V30" s="87">
        <f>N30+T30</f>
        <v/>
      </c>
      <c r="W30" s="86">
        <f>SUMIFS(Raw_Data!$AU$2:$AU$2552,Raw_Data!$A$2:$A$2552,$A30)</f>
        <v/>
      </c>
      <c r="X30" s="18">
        <f>IFERROR(D30/$D$36,"")</f>
        <v/>
      </c>
      <c r="Y30" s="18">
        <f>IFERROR(N30/$N$36,"")</f>
        <v/>
      </c>
      <c r="Z30" s="97">
        <f>SUM($D$5:D30)</f>
        <v/>
      </c>
      <c r="AA30" s="98">
        <f>SUM($N$5:N30)</f>
        <v/>
      </c>
      <c r="AB30" s="86">
        <f>IFERROR(Z30/AA30,"")</f>
        <v/>
      </c>
      <c r="AC30" s="18">
        <f>IFERROR(Z30/Assumptions!$C$10,"")</f>
        <v/>
      </c>
      <c r="AD30" s="18">
        <f>26/31</f>
        <v/>
      </c>
      <c r="AE30" s="88">
        <f>IFERROR(AC30/AD30,"")</f>
        <v/>
      </c>
      <c r="AF30" s="86">
        <f>SUMIFS(Raw_Data!$R$2:$R$2552,Raw_Data!$A$2:$A$2552,$A30,Raw_Data!$D$2:$D$2552,"Meta (FB/IG)")</f>
        <v/>
      </c>
      <c r="AG30" s="87">
        <f>SUMIFS(Raw_Data!$AL$2:$AL$2552,Raw_Data!$A$2:$A$2552,$A30,Raw_Data!$D$2:$D$2552,"Meta (FB/IG)")</f>
        <v/>
      </c>
      <c r="AH30" s="86">
        <f>IFERROR(AF30/AG30,"")</f>
        <v/>
      </c>
      <c r="AI30" s="86">
        <f>SUMIFS(Raw_Data!$R$2:$R$2552,Raw_Data!$A$2:$A$2552,$A30,Raw_Data!$D$2:$D$2552,"TikTok")</f>
        <v/>
      </c>
      <c r="AJ30" s="87">
        <f>SUMIFS(Raw_Data!$AL$2:$AL$2552,Raw_Data!$A$2:$A$2552,$A30,Raw_Data!$D$2:$D$2552,"TikTok")</f>
        <v/>
      </c>
      <c r="AK30" s="86">
        <f>IFERROR(AI30/AJ30,"")</f>
        <v/>
      </c>
      <c r="AL30" s="86">
        <f>SUMIFS(Raw_Data!$R$2:$R$2552,Raw_Data!$A$2:$A$2552,$A30,Raw_Data!$D$2:$D$2552,"X")</f>
        <v/>
      </c>
      <c r="AM30" s="87">
        <f>SUMIFS(Raw_Data!$AL$2:$AL$2552,Raw_Data!$A$2:$A$2552,$A30,Raw_Data!$D$2:$D$2552,"X")</f>
        <v/>
      </c>
      <c r="AN30" s="86">
        <f>IFERROR(AL30/AM30,"")</f>
        <v/>
      </c>
      <c r="AO30" s="86">
        <f>SUMIFS(Raw_Data!$R$2:$R$2552,Raw_Data!$A$2:$A$2552,$A30,Raw_Data!$D$2:$D$2552,"Programmatic")</f>
        <v/>
      </c>
      <c r="AP30" s="87">
        <f>SUMIFS(Raw_Data!$AL$2:$AL$2552,Raw_Data!$A$2:$A$2552,$A30,Raw_Data!$D$2:$D$2552,"Programmatic")</f>
        <v/>
      </c>
      <c r="AQ30" s="86">
        <f>IFERROR(AO30/AP30,"")</f>
        <v/>
      </c>
    </row>
    <row r="31">
      <c r="A31" s="96" t="n">
        <v>46261</v>
      </c>
      <c r="B31" s="8" t="inlineStr">
        <is>
          <t>Thu</t>
        </is>
      </c>
      <c r="C31" s="8" t="inlineStr">
        <is>
          <t>Wk 35</t>
        </is>
      </c>
      <c r="D31" s="86">
        <f>SUMIFS(Raw_Data!$R$2:$R$2552,Raw_Data!$A$2:$A$2552,$A31)</f>
        <v/>
      </c>
      <c r="E31" s="87">
        <f>SUMIFS(Raw_Data!$S$2:$S$2552,Raw_Data!$A$2:$A$2552,$A31)</f>
        <v/>
      </c>
      <c r="F31" s="87">
        <f>SUMIFS(Raw_Data!$T$2:$T$2552,Raw_Data!$A$2:$A$2552,$A31)</f>
        <v/>
      </c>
      <c r="G31" s="88">
        <f>IFERROR(E31/F31,"")</f>
        <v/>
      </c>
      <c r="H31" s="87">
        <f>SUMIFS(Raw_Data!$W$2:$W$2552,Raw_Data!$A$2:$A$2552,$A31)</f>
        <v/>
      </c>
      <c r="I31" s="89">
        <f>IFERROR(H31/E31,"")</f>
        <v/>
      </c>
      <c r="J31" s="90">
        <f>IFERROR(D31/H31,"")</f>
        <v/>
      </c>
      <c r="K31" s="90">
        <f>IFERROR(D31/E31*1000,"")</f>
        <v/>
      </c>
      <c r="L31" s="87">
        <f>SUMIFS(Raw_Data!$AA$2:$AA$2552,Raw_Data!$A$2:$A$2552,$A31)</f>
        <v/>
      </c>
      <c r="M31" s="18">
        <f>IFERROR(L31/H31,"")</f>
        <v/>
      </c>
      <c r="N31" s="87">
        <f>SUMIFS(Raw_Data!$AL$2:$AL$2552,Raw_Data!$A$2:$A$2552,$A31)</f>
        <v/>
      </c>
      <c r="O31" s="89">
        <f>IFERROR(N31/L31,"")</f>
        <v/>
      </c>
      <c r="P31" s="86">
        <f>IFERROR(D31/N31,"")</f>
        <v/>
      </c>
      <c r="Q31" s="87">
        <f>SUMIFS(Raw_Data!$AO$2:$AO$2552,Raw_Data!$A$2:$A$2552,$A31)</f>
        <v/>
      </c>
      <c r="R31" s="18">
        <f>IFERROR(Q31/N31,"")</f>
        <v/>
      </c>
      <c r="S31" s="86">
        <f>IFERROR(D31/Q31,"")</f>
        <v/>
      </c>
      <c r="T31" s="87">
        <f>SUMIFS(Raw_Data!$AR$2:$AR$2552,Raw_Data!$A$2:$A$2552,$A31)</f>
        <v/>
      </c>
      <c r="U31" s="87">
        <f>SUMIFS(Raw_Data!$AS$2:$AS$2552,Raw_Data!$A$2:$A$2552,$A31)</f>
        <v/>
      </c>
      <c r="V31" s="87">
        <f>N31+T31</f>
        <v/>
      </c>
      <c r="W31" s="86">
        <f>SUMIFS(Raw_Data!$AU$2:$AU$2552,Raw_Data!$A$2:$A$2552,$A31)</f>
        <v/>
      </c>
      <c r="X31" s="18">
        <f>IFERROR(D31/$D$36,"")</f>
        <v/>
      </c>
      <c r="Y31" s="18">
        <f>IFERROR(N31/$N$36,"")</f>
        <v/>
      </c>
      <c r="Z31" s="97">
        <f>SUM($D$5:D31)</f>
        <v/>
      </c>
      <c r="AA31" s="98">
        <f>SUM($N$5:N31)</f>
        <v/>
      </c>
      <c r="AB31" s="86">
        <f>IFERROR(Z31/AA31,"")</f>
        <v/>
      </c>
      <c r="AC31" s="18">
        <f>IFERROR(Z31/Assumptions!$C$10,"")</f>
        <v/>
      </c>
      <c r="AD31" s="18">
        <f>27/31</f>
        <v/>
      </c>
      <c r="AE31" s="88">
        <f>IFERROR(AC31/AD31,"")</f>
        <v/>
      </c>
      <c r="AF31" s="86">
        <f>SUMIFS(Raw_Data!$R$2:$R$2552,Raw_Data!$A$2:$A$2552,$A31,Raw_Data!$D$2:$D$2552,"Meta (FB/IG)")</f>
        <v/>
      </c>
      <c r="AG31" s="87">
        <f>SUMIFS(Raw_Data!$AL$2:$AL$2552,Raw_Data!$A$2:$A$2552,$A31,Raw_Data!$D$2:$D$2552,"Meta (FB/IG)")</f>
        <v/>
      </c>
      <c r="AH31" s="86">
        <f>IFERROR(AF31/AG31,"")</f>
        <v/>
      </c>
      <c r="AI31" s="86">
        <f>SUMIFS(Raw_Data!$R$2:$R$2552,Raw_Data!$A$2:$A$2552,$A31,Raw_Data!$D$2:$D$2552,"TikTok")</f>
        <v/>
      </c>
      <c r="AJ31" s="87">
        <f>SUMIFS(Raw_Data!$AL$2:$AL$2552,Raw_Data!$A$2:$A$2552,$A31,Raw_Data!$D$2:$D$2552,"TikTok")</f>
        <v/>
      </c>
      <c r="AK31" s="86">
        <f>IFERROR(AI31/AJ31,"")</f>
        <v/>
      </c>
      <c r="AL31" s="86">
        <f>SUMIFS(Raw_Data!$R$2:$R$2552,Raw_Data!$A$2:$A$2552,$A31,Raw_Data!$D$2:$D$2552,"X")</f>
        <v/>
      </c>
      <c r="AM31" s="87">
        <f>SUMIFS(Raw_Data!$AL$2:$AL$2552,Raw_Data!$A$2:$A$2552,$A31,Raw_Data!$D$2:$D$2552,"X")</f>
        <v/>
      </c>
      <c r="AN31" s="86">
        <f>IFERROR(AL31/AM31,"")</f>
        <v/>
      </c>
      <c r="AO31" s="86">
        <f>SUMIFS(Raw_Data!$R$2:$R$2552,Raw_Data!$A$2:$A$2552,$A31,Raw_Data!$D$2:$D$2552,"Programmatic")</f>
        <v/>
      </c>
      <c r="AP31" s="87">
        <f>SUMIFS(Raw_Data!$AL$2:$AL$2552,Raw_Data!$A$2:$A$2552,$A31,Raw_Data!$D$2:$D$2552,"Programmatic")</f>
        <v/>
      </c>
      <c r="AQ31" s="86">
        <f>IFERROR(AO31/AP31,"")</f>
        <v/>
      </c>
    </row>
    <row r="32">
      <c r="A32" s="96" t="n">
        <v>46262</v>
      </c>
      <c r="B32" s="29" t="inlineStr">
        <is>
          <t>Fri</t>
        </is>
      </c>
      <c r="C32" s="8" t="inlineStr">
        <is>
          <t>Wk 35</t>
        </is>
      </c>
      <c r="D32" s="86">
        <f>SUMIFS(Raw_Data!$R$2:$R$2552,Raw_Data!$A$2:$A$2552,$A32)</f>
        <v/>
      </c>
      <c r="E32" s="87">
        <f>SUMIFS(Raw_Data!$S$2:$S$2552,Raw_Data!$A$2:$A$2552,$A32)</f>
        <v/>
      </c>
      <c r="F32" s="87">
        <f>SUMIFS(Raw_Data!$T$2:$T$2552,Raw_Data!$A$2:$A$2552,$A32)</f>
        <v/>
      </c>
      <c r="G32" s="88">
        <f>IFERROR(E32/F32,"")</f>
        <v/>
      </c>
      <c r="H32" s="87">
        <f>SUMIFS(Raw_Data!$W$2:$W$2552,Raw_Data!$A$2:$A$2552,$A32)</f>
        <v/>
      </c>
      <c r="I32" s="89">
        <f>IFERROR(H32/E32,"")</f>
        <v/>
      </c>
      <c r="J32" s="90">
        <f>IFERROR(D32/H32,"")</f>
        <v/>
      </c>
      <c r="K32" s="90">
        <f>IFERROR(D32/E32*1000,"")</f>
        <v/>
      </c>
      <c r="L32" s="87">
        <f>SUMIFS(Raw_Data!$AA$2:$AA$2552,Raw_Data!$A$2:$A$2552,$A32)</f>
        <v/>
      </c>
      <c r="M32" s="18">
        <f>IFERROR(L32/H32,"")</f>
        <v/>
      </c>
      <c r="N32" s="87">
        <f>SUMIFS(Raw_Data!$AL$2:$AL$2552,Raw_Data!$A$2:$A$2552,$A32)</f>
        <v/>
      </c>
      <c r="O32" s="89">
        <f>IFERROR(N32/L32,"")</f>
        <v/>
      </c>
      <c r="P32" s="86">
        <f>IFERROR(D32/N32,"")</f>
        <v/>
      </c>
      <c r="Q32" s="87">
        <f>SUMIFS(Raw_Data!$AO$2:$AO$2552,Raw_Data!$A$2:$A$2552,$A32)</f>
        <v/>
      </c>
      <c r="R32" s="18">
        <f>IFERROR(Q32/N32,"")</f>
        <v/>
      </c>
      <c r="S32" s="86">
        <f>IFERROR(D32/Q32,"")</f>
        <v/>
      </c>
      <c r="T32" s="87">
        <f>SUMIFS(Raw_Data!$AR$2:$AR$2552,Raw_Data!$A$2:$A$2552,$A32)</f>
        <v/>
      </c>
      <c r="U32" s="87">
        <f>SUMIFS(Raw_Data!$AS$2:$AS$2552,Raw_Data!$A$2:$A$2552,$A32)</f>
        <v/>
      </c>
      <c r="V32" s="87">
        <f>N32+T32</f>
        <v/>
      </c>
      <c r="W32" s="86">
        <f>SUMIFS(Raw_Data!$AU$2:$AU$2552,Raw_Data!$A$2:$A$2552,$A32)</f>
        <v/>
      </c>
      <c r="X32" s="18">
        <f>IFERROR(D32/$D$36,"")</f>
        <v/>
      </c>
      <c r="Y32" s="18">
        <f>IFERROR(N32/$N$36,"")</f>
        <v/>
      </c>
      <c r="Z32" s="97">
        <f>SUM($D$5:D32)</f>
        <v/>
      </c>
      <c r="AA32" s="98">
        <f>SUM($N$5:N32)</f>
        <v/>
      </c>
      <c r="AB32" s="86">
        <f>IFERROR(Z32/AA32,"")</f>
        <v/>
      </c>
      <c r="AC32" s="18">
        <f>IFERROR(Z32/Assumptions!$C$10,"")</f>
        <v/>
      </c>
      <c r="AD32" s="18">
        <f>28/31</f>
        <v/>
      </c>
      <c r="AE32" s="88">
        <f>IFERROR(AC32/AD32,"")</f>
        <v/>
      </c>
      <c r="AF32" s="86">
        <f>SUMIFS(Raw_Data!$R$2:$R$2552,Raw_Data!$A$2:$A$2552,$A32,Raw_Data!$D$2:$D$2552,"Meta (FB/IG)")</f>
        <v/>
      </c>
      <c r="AG32" s="87">
        <f>SUMIFS(Raw_Data!$AL$2:$AL$2552,Raw_Data!$A$2:$A$2552,$A32,Raw_Data!$D$2:$D$2552,"Meta (FB/IG)")</f>
        <v/>
      </c>
      <c r="AH32" s="86">
        <f>IFERROR(AF32/AG32,"")</f>
        <v/>
      </c>
      <c r="AI32" s="86">
        <f>SUMIFS(Raw_Data!$R$2:$R$2552,Raw_Data!$A$2:$A$2552,$A32,Raw_Data!$D$2:$D$2552,"TikTok")</f>
        <v/>
      </c>
      <c r="AJ32" s="87">
        <f>SUMIFS(Raw_Data!$AL$2:$AL$2552,Raw_Data!$A$2:$A$2552,$A32,Raw_Data!$D$2:$D$2552,"TikTok")</f>
        <v/>
      </c>
      <c r="AK32" s="86">
        <f>IFERROR(AI32/AJ32,"")</f>
        <v/>
      </c>
      <c r="AL32" s="86">
        <f>SUMIFS(Raw_Data!$R$2:$R$2552,Raw_Data!$A$2:$A$2552,$A32,Raw_Data!$D$2:$D$2552,"X")</f>
        <v/>
      </c>
      <c r="AM32" s="87">
        <f>SUMIFS(Raw_Data!$AL$2:$AL$2552,Raw_Data!$A$2:$A$2552,$A32,Raw_Data!$D$2:$D$2552,"X")</f>
        <v/>
      </c>
      <c r="AN32" s="86">
        <f>IFERROR(AL32/AM32,"")</f>
        <v/>
      </c>
      <c r="AO32" s="86">
        <f>SUMIFS(Raw_Data!$R$2:$R$2552,Raw_Data!$A$2:$A$2552,$A32,Raw_Data!$D$2:$D$2552,"Programmatic")</f>
        <v/>
      </c>
      <c r="AP32" s="87">
        <f>SUMIFS(Raw_Data!$AL$2:$AL$2552,Raw_Data!$A$2:$A$2552,$A32,Raw_Data!$D$2:$D$2552,"Programmatic")</f>
        <v/>
      </c>
      <c r="AQ32" s="86">
        <f>IFERROR(AO32/AP32,"")</f>
        <v/>
      </c>
    </row>
    <row r="33">
      <c r="A33" s="96" t="n">
        <v>46263</v>
      </c>
      <c r="B33" s="29" t="inlineStr">
        <is>
          <t>Sat</t>
        </is>
      </c>
      <c r="C33" s="8" t="inlineStr">
        <is>
          <t>Wk 35</t>
        </is>
      </c>
      <c r="D33" s="86">
        <f>SUMIFS(Raw_Data!$R$2:$R$2552,Raw_Data!$A$2:$A$2552,$A33)</f>
        <v/>
      </c>
      <c r="E33" s="87">
        <f>SUMIFS(Raw_Data!$S$2:$S$2552,Raw_Data!$A$2:$A$2552,$A33)</f>
        <v/>
      </c>
      <c r="F33" s="87">
        <f>SUMIFS(Raw_Data!$T$2:$T$2552,Raw_Data!$A$2:$A$2552,$A33)</f>
        <v/>
      </c>
      <c r="G33" s="88">
        <f>IFERROR(E33/F33,"")</f>
        <v/>
      </c>
      <c r="H33" s="87">
        <f>SUMIFS(Raw_Data!$W$2:$W$2552,Raw_Data!$A$2:$A$2552,$A33)</f>
        <v/>
      </c>
      <c r="I33" s="89">
        <f>IFERROR(H33/E33,"")</f>
        <v/>
      </c>
      <c r="J33" s="90">
        <f>IFERROR(D33/H33,"")</f>
        <v/>
      </c>
      <c r="K33" s="90">
        <f>IFERROR(D33/E33*1000,"")</f>
        <v/>
      </c>
      <c r="L33" s="87">
        <f>SUMIFS(Raw_Data!$AA$2:$AA$2552,Raw_Data!$A$2:$A$2552,$A33)</f>
        <v/>
      </c>
      <c r="M33" s="18">
        <f>IFERROR(L33/H33,"")</f>
        <v/>
      </c>
      <c r="N33" s="87">
        <f>SUMIFS(Raw_Data!$AL$2:$AL$2552,Raw_Data!$A$2:$A$2552,$A33)</f>
        <v/>
      </c>
      <c r="O33" s="89">
        <f>IFERROR(N33/L33,"")</f>
        <v/>
      </c>
      <c r="P33" s="86">
        <f>IFERROR(D33/N33,"")</f>
        <v/>
      </c>
      <c r="Q33" s="87">
        <f>SUMIFS(Raw_Data!$AO$2:$AO$2552,Raw_Data!$A$2:$A$2552,$A33)</f>
        <v/>
      </c>
      <c r="R33" s="18">
        <f>IFERROR(Q33/N33,"")</f>
        <v/>
      </c>
      <c r="S33" s="86">
        <f>IFERROR(D33/Q33,"")</f>
        <v/>
      </c>
      <c r="T33" s="87">
        <f>SUMIFS(Raw_Data!$AR$2:$AR$2552,Raw_Data!$A$2:$A$2552,$A33)</f>
        <v/>
      </c>
      <c r="U33" s="87">
        <f>SUMIFS(Raw_Data!$AS$2:$AS$2552,Raw_Data!$A$2:$A$2552,$A33)</f>
        <v/>
      </c>
      <c r="V33" s="87">
        <f>N33+T33</f>
        <v/>
      </c>
      <c r="W33" s="86">
        <f>SUMIFS(Raw_Data!$AU$2:$AU$2552,Raw_Data!$A$2:$A$2552,$A33)</f>
        <v/>
      </c>
      <c r="X33" s="18">
        <f>IFERROR(D33/$D$36,"")</f>
        <v/>
      </c>
      <c r="Y33" s="18">
        <f>IFERROR(N33/$N$36,"")</f>
        <v/>
      </c>
      <c r="Z33" s="97">
        <f>SUM($D$5:D33)</f>
        <v/>
      </c>
      <c r="AA33" s="98">
        <f>SUM($N$5:N33)</f>
        <v/>
      </c>
      <c r="AB33" s="86">
        <f>IFERROR(Z33/AA33,"")</f>
        <v/>
      </c>
      <c r="AC33" s="18">
        <f>IFERROR(Z33/Assumptions!$C$10,"")</f>
        <v/>
      </c>
      <c r="AD33" s="18">
        <f>29/31</f>
        <v/>
      </c>
      <c r="AE33" s="88">
        <f>IFERROR(AC33/AD33,"")</f>
        <v/>
      </c>
      <c r="AF33" s="86">
        <f>SUMIFS(Raw_Data!$R$2:$R$2552,Raw_Data!$A$2:$A$2552,$A33,Raw_Data!$D$2:$D$2552,"Meta (FB/IG)")</f>
        <v/>
      </c>
      <c r="AG33" s="87">
        <f>SUMIFS(Raw_Data!$AL$2:$AL$2552,Raw_Data!$A$2:$A$2552,$A33,Raw_Data!$D$2:$D$2552,"Meta (FB/IG)")</f>
        <v/>
      </c>
      <c r="AH33" s="86">
        <f>IFERROR(AF33/AG33,"")</f>
        <v/>
      </c>
      <c r="AI33" s="86">
        <f>SUMIFS(Raw_Data!$R$2:$R$2552,Raw_Data!$A$2:$A$2552,$A33,Raw_Data!$D$2:$D$2552,"TikTok")</f>
        <v/>
      </c>
      <c r="AJ33" s="87">
        <f>SUMIFS(Raw_Data!$AL$2:$AL$2552,Raw_Data!$A$2:$A$2552,$A33,Raw_Data!$D$2:$D$2552,"TikTok")</f>
        <v/>
      </c>
      <c r="AK33" s="86">
        <f>IFERROR(AI33/AJ33,"")</f>
        <v/>
      </c>
      <c r="AL33" s="86">
        <f>SUMIFS(Raw_Data!$R$2:$R$2552,Raw_Data!$A$2:$A$2552,$A33,Raw_Data!$D$2:$D$2552,"X")</f>
        <v/>
      </c>
      <c r="AM33" s="87">
        <f>SUMIFS(Raw_Data!$AL$2:$AL$2552,Raw_Data!$A$2:$A$2552,$A33,Raw_Data!$D$2:$D$2552,"X")</f>
        <v/>
      </c>
      <c r="AN33" s="86">
        <f>IFERROR(AL33/AM33,"")</f>
        <v/>
      </c>
      <c r="AO33" s="86">
        <f>SUMIFS(Raw_Data!$R$2:$R$2552,Raw_Data!$A$2:$A$2552,$A33,Raw_Data!$D$2:$D$2552,"Programmatic")</f>
        <v/>
      </c>
      <c r="AP33" s="87">
        <f>SUMIFS(Raw_Data!$AL$2:$AL$2552,Raw_Data!$A$2:$A$2552,$A33,Raw_Data!$D$2:$D$2552,"Programmatic")</f>
        <v/>
      </c>
      <c r="AQ33" s="86">
        <f>IFERROR(AO33/AP33,"")</f>
        <v/>
      </c>
    </row>
    <row r="34">
      <c r="A34" s="96" t="n">
        <v>46264</v>
      </c>
      <c r="B34" s="29" t="inlineStr">
        <is>
          <t>Sun</t>
        </is>
      </c>
      <c r="C34" s="8" t="inlineStr">
        <is>
          <t>Wk 35</t>
        </is>
      </c>
      <c r="D34" s="86">
        <f>SUMIFS(Raw_Data!$R$2:$R$2552,Raw_Data!$A$2:$A$2552,$A34)</f>
        <v/>
      </c>
      <c r="E34" s="87">
        <f>SUMIFS(Raw_Data!$S$2:$S$2552,Raw_Data!$A$2:$A$2552,$A34)</f>
        <v/>
      </c>
      <c r="F34" s="87">
        <f>SUMIFS(Raw_Data!$T$2:$T$2552,Raw_Data!$A$2:$A$2552,$A34)</f>
        <v/>
      </c>
      <c r="G34" s="88">
        <f>IFERROR(E34/F34,"")</f>
        <v/>
      </c>
      <c r="H34" s="87">
        <f>SUMIFS(Raw_Data!$W$2:$W$2552,Raw_Data!$A$2:$A$2552,$A34)</f>
        <v/>
      </c>
      <c r="I34" s="89">
        <f>IFERROR(H34/E34,"")</f>
        <v/>
      </c>
      <c r="J34" s="90">
        <f>IFERROR(D34/H34,"")</f>
        <v/>
      </c>
      <c r="K34" s="90">
        <f>IFERROR(D34/E34*1000,"")</f>
        <v/>
      </c>
      <c r="L34" s="87">
        <f>SUMIFS(Raw_Data!$AA$2:$AA$2552,Raw_Data!$A$2:$A$2552,$A34)</f>
        <v/>
      </c>
      <c r="M34" s="18">
        <f>IFERROR(L34/H34,"")</f>
        <v/>
      </c>
      <c r="N34" s="87">
        <f>SUMIFS(Raw_Data!$AL$2:$AL$2552,Raw_Data!$A$2:$A$2552,$A34)</f>
        <v/>
      </c>
      <c r="O34" s="89">
        <f>IFERROR(N34/L34,"")</f>
        <v/>
      </c>
      <c r="P34" s="86">
        <f>IFERROR(D34/N34,"")</f>
        <v/>
      </c>
      <c r="Q34" s="87">
        <f>SUMIFS(Raw_Data!$AO$2:$AO$2552,Raw_Data!$A$2:$A$2552,$A34)</f>
        <v/>
      </c>
      <c r="R34" s="18">
        <f>IFERROR(Q34/N34,"")</f>
        <v/>
      </c>
      <c r="S34" s="86">
        <f>IFERROR(D34/Q34,"")</f>
        <v/>
      </c>
      <c r="T34" s="87">
        <f>SUMIFS(Raw_Data!$AR$2:$AR$2552,Raw_Data!$A$2:$A$2552,$A34)</f>
        <v/>
      </c>
      <c r="U34" s="87">
        <f>SUMIFS(Raw_Data!$AS$2:$AS$2552,Raw_Data!$A$2:$A$2552,$A34)</f>
        <v/>
      </c>
      <c r="V34" s="87">
        <f>N34+T34</f>
        <v/>
      </c>
      <c r="W34" s="86">
        <f>SUMIFS(Raw_Data!$AU$2:$AU$2552,Raw_Data!$A$2:$A$2552,$A34)</f>
        <v/>
      </c>
      <c r="X34" s="18">
        <f>IFERROR(D34/$D$36,"")</f>
        <v/>
      </c>
      <c r="Y34" s="18">
        <f>IFERROR(N34/$N$36,"")</f>
        <v/>
      </c>
      <c r="Z34" s="97">
        <f>SUM($D$5:D34)</f>
        <v/>
      </c>
      <c r="AA34" s="98">
        <f>SUM($N$5:N34)</f>
        <v/>
      </c>
      <c r="AB34" s="86">
        <f>IFERROR(Z34/AA34,"")</f>
        <v/>
      </c>
      <c r="AC34" s="18">
        <f>IFERROR(Z34/Assumptions!$C$10,"")</f>
        <v/>
      </c>
      <c r="AD34" s="18">
        <f>30/31</f>
        <v/>
      </c>
      <c r="AE34" s="88">
        <f>IFERROR(AC34/AD34,"")</f>
        <v/>
      </c>
      <c r="AF34" s="86">
        <f>SUMIFS(Raw_Data!$R$2:$R$2552,Raw_Data!$A$2:$A$2552,$A34,Raw_Data!$D$2:$D$2552,"Meta (FB/IG)")</f>
        <v/>
      </c>
      <c r="AG34" s="87">
        <f>SUMIFS(Raw_Data!$AL$2:$AL$2552,Raw_Data!$A$2:$A$2552,$A34,Raw_Data!$D$2:$D$2552,"Meta (FB/IG)")</f>
        <v/>
      </c>
      <c r="AH34" s="86">
        <f>IFERROR(AF34/AG34,"")</f>
        <v/>
      </c>
      <c r="AI34" s="86">
        <f>SUMIFS(Raw_Data!$R$2:$R$2552,Raw_Data!$A$2:$A$2552,$A34,Raw_Data!$D$2:$D$2552,"TikTok")</f>
        <v/>
      </c>
      <c r="AJ34" s="87">
        <f>SUMIFS(Raw_Data!$AL$2:$AL$2552,Raw_Data!$A$2:$A$2552,$A34,Raw_Data!$D$2:$D$2552,"TikTok")</f>
        <v/>
      </c>
      <c r="AK34" s="86">
        <f>IFERROR(AI34/AJ34,"")</f>
        <v/>
      </c>
      <c r="AL34" s="86">
        <f>SUMIFS(Raw_Data!$R$2:$R$2552,Raw_Data!$A$2:$A$2552,$A34,Raw_Data!$D$2:$D$2552,"X")</f>
        <v/>
      </c>
      <c r="AM34" s="87">
        <f>SUMIFS(Raw_Data!$AL$2:$AL$2552,Raw_Data!$A$2:$A$2552,$A34,Raw_Data!$D$2:$D$2552,"X")</f>
        <v/>
      </c>
      <c r="AN34" s="86">
        <f>IFERROR(AL34/AM34,"")</f>
        <v/>
      </c>
      <c r="AO34" s="86">
        <f>SUMIFS(Raw_Data!$R$2:$R$2552,Raw_Data!$A$2:$A$2552,$A34,Raw_Data!$D$2:$D$2552,"Programmatic")</f>
        <v/>
      </c>
      <c r="AP34" s="87">
        <f>SUMIFS(Raw_Data!$AL$2:$AL$2552,Raw_Data!$A$2:$A$2552,$A34,Raw_Data!$D$2:$D$2552,"Programmatic")</f>
        <v/>
      </c>
      <c r="AQ34" s="86">
        <f>IFERROR(AO34/AP34,"")</f>
        <v/>
      </c>
    </row>
    <row r="35">
      <c r="A35" s="96" t="n">
        <v>46265</v>
      </c>
      <c r="B35" s="8" t="inlineStr">
        <is>
          <t>Mon</t>
        </is>
      </c>
      <c r="C35" s="8" t="inlineStr">
        <is>
          <t>Wk 36</t>
        </is>
      </c>
      <c r="D35" s="86">
        <f>SUMIFS(Raw_Data!$R$2:$R$2552,Raw_Data!$A$2:$A$2552,$A35)</f>
        <v/>
      </c>
      <c r="E35" s="87">
        <f>SUMIFS(Raw_Data!$S$2:$S$2552,Raw_Data!$A$2:$A$2552,$A35)</f>
        <v/>
      </c>
      <c r="F35" s="87">
        <f>SUMIFS(Raw_Data!$T$2:$T$2552,Raw_Data!$A$2:$A$2552,$A35)</f>
        <v/>
      </c>
      <c r="G35" s="88">
        <f>IFERROR(E35/F35,"")</f>
        <v/>
      </c>
      <c r="H35" s="87">
        <f>SUMIFS(Raw_Data!$W$2:$W$2552,Raw_Data!$A$2:$A$2552,$A35)</f>
        <v/>
      </c>
      <c r="I35" s="89">
        <f>IFERROR(H35/E35,"")</f>
        <v/>
      </c>
      <c r="J35" s="90">
        <f>IFERROR(D35/H35,"")</f>
        <v/>
      </c>
      <c r="K35" s="90">
        <f>IFERROR(D35/E35*1000,"")</f>
        <v/>
      </c>
      <c r="L35" s="87">
        <f>SUMIFS(Raw_Data!$AA$2:$AA$2552,Raw_Data!$A$2:$A$2552,$A35)</f>
        <v/>
      </c>
      <c r="M35" s="18">
        <f>IFERROR(L35/H35,"")</f>
        <v/>
      </c>
      <c r="N35" s="87">
        <f>SUMIFS(Raw_Data!$AL$2:$AL$2552,Raw_Data!$A$2:$A$2552,$A35)</f>
        <v/>
      </c>
      <c r="O35" s="89">
        <f>IFERROR(N35/L35,"")</f>
        <v/>
      </c>
      <c r="P35" s="86">
        <f>IFERROR(D35/N35,"")</f>
        <v/>
      </c>
      <c r="Q35" s="87">
        <f>SUMIFS(Raw_Data!$AO$2:$AO$2552,Raw_Data!$A$2:$A$2552,$A35)</f>
        <v/>
      </c>
      <c r="R35" s="18">
        <f>IFERROR(Q35/N35,"")</f>
        <v/>
      </c>
      <c r="S35" s="86">
        <f>IFERROR(D35/Q35,"")</f>
        <v/>
      </c>
      <c r="T35" s="87">
        <f>SUMIFS(Raw_Data!$AR$2:$AR$2552,Raw_Data!$A$2:$A$2552,$A35)</f>
        <v/>
      </c>
      <c r="U35" s="87">
        <f>SUMIFS(Raw_Data!$AS$2:$AS$2552,Raw_Data!$A$2:$A$2552,$A35)</f>
        <v/>
      </c>
      <c r="V35" s="87">
        <f>N35+T35</f>
        <v/>
      </c>
      <c r="W35" s="86">
        <f>SUMIFS(Raw_Data!$AU$2:$AU$2552,Raw_Data!$A$2:$A$2552,$A35)</f>
        <v/>
      </c>
      <c r="X35" s="18">
        <f>IFERROR(D35/$D$36,"")</f>
        <v/>
      </c>
      <c r="Y35" s="18">
        <f>IFERROR(N35/$N$36,"")</f>
        <v/>
      </c>
      <c r="Z35" s="97">
        <f>SUM($D$5:D35)</f>
        <v/>
      </c>
      <c r="AA35" s="98">
        <f>SUM($N$5:N35)</f>
        <v/>
      </c>
      <c r="AB35" s="86">
        <f>IFERROR(Z35/AA35,"")</f>
        <v/>
      </c>
      <c r="AC35" s="18">
        <f>IFERROR(Z35/Assumptions!$C$10,"")</f>
        <v/>
      </c>
      <c r="AD35" s="18">
        <f>31/31</f>
        <v/>
      </c>
      <c r="AE35" s="88">
        <f>IFERROR(AC35/AD35,"")</f>
        <v/>
      </c>
      <c r="AF35" s="86">
        <f>SUMIFS(Raw_Data!$R$2:$R$2552,Raw_Data!$A$2:$A$2552,$A35,Raw_Data!$D$2:$D$2552,"Meta (FB/IG)")</f>
        <v/>
      </c>
      <c r="AG35" s="87">
        <f>SUMIFS(Raw_Data!$AL$2:$AL$2552,Raw_Data!$A$2:$A$2552,$A35,Raw_Data!$D$2:$D$2552,"Meta (FB/IG)")</f>
        <v/>
      </c>
      <c r="AH35" s="86">
        <f>IFERROR(AF35/AG35,"")</f>
        <v/>
      </c>
      <c r="AI35" s="86">
        <f>SUMIFS(Raw_Data!$R$2:$R$2552,Raw_Data!$A$2:$A$2552,$A35,Raw_Data!$D$2:$D$2552,"TikTok")</f>
        <v/>
      </c>
      <c r="AJ35" s="87">
        <f>SUMIFS(Raw_Data!$AL$2:$AL$2552,Raw_Data!$A$2:$A$2552,$A35,Raw_Data!$D$2:$D$2552,"TikTok")</f>
        <v/>
      </c>
      <c r="AK35" s="86">
        <f>IFERROR(AI35/AJ35,"")</f>
        <v/>
      </c>
      <c r="AL35" s="86">
        <f>SUMIFS(Raw_Data!$R$2:$R$2552,Raw_Data!$A$2:$A$2552,$A35,Raw_Data!$D$2:$D$2552,"X")</f>
        <v/>
      </c>
      <c r="AM35" s="87">
        <f>SUMIFS(Raw_Data!$AL$2:$AL$2552,Raw_Data!$A$2:$A$2552,$A35,Raw_Data!$D$2:$D$2552,"X")</f>
        <v/>
      </c>
      <c r="AN35" s="86">
        <f>IFERROR(AL35/AM35,"")</f>
        <v/>
      </c>
      <c r="AO35" s="86">
        <f>SUMIFS(Raw_Data!$R$2:$R$2552,Raw_Data!$A$2:$A$2552,$A35,Raw_Data!$D$2:$D$2552,"Programmatic")</f>
        <v/>
      </c>
      <c r="AP35" s="87">
        <f>SUMIFS(Raw_Data!$AL$2:$AL$2552,Raw_Data!$A$2:$A$2552,$A35,Raw_Data!$D$2:$D$2552,"Programmatic")</f>
        <v/>
      </c>
      <c r="AQ35" s="86">
        <f>IFERROR(AO35/AP35,"")</f>
        <v/>
      </c>
    </row>
    <row r="36">
      <c r="A36" s="19" t="inlineStr">
        <is>
          <t>TOTAL</t>
        </is>
      </c>
      <c r="B36" s="32" t="n"/>
      <c r="C36" s="32" t="n"/>
      <c r="D36" s="91" t="n"/>
      <c r="E36" s="92" t="n"/>
      <c r="F36" s="92" t="n"/>
      <c r="G36" s="93">
        <f>IFERROR(E36/F36,"")</f>
        <v/>
      </c>
      <c r="H36" s="92" t="n"/>
      <c r="I36" s="94">
        <f>IFERROR(H36/E36,"")</f>
        <v/>
      </c>
      <c r="J36" s="95">
        <f>IFERROR(D36/H36,"")</f>
        <v/>
      </c>
      <c r="K36" s="95">
        <f>IFERROR(D36/E36*1000,"")</f>
        <v/>
      </c>
      <c r="L36" s="92" t="n"/>
      <c r="M36" s="25">
        <f>IFERROR(L36/H36,"")</f>
        <v/>
      </c>
      <c r="N36" s="92" t="n"/>
      <c r="O36" s="94">
        <f>IFERROR(N36/L36,"")</f>
        <v/>
      </c>
      <c r="P36" s="91">
        <f>IFERROR(D36/N36,"")</f>
        <v/>
      </c>
      <c r="Q36" s="92" t="n"/>
      <c r="R36" s="25">
        <f>IFERROR(Q36/N36,"")</f>
        <v/>
      </c>
      <c r="S36" s="91">
        <f>IFERROR(D36/Q36,"")</f>
        <v/>
      </c>
      <c r="T36" s="92" t="n"/>
      <c r="U36" s="92" t="n"/>
      <c r="V36" s="92">
        <f>N36+T36</f>
        <v/>
      </c>
      <c r="W36" s="91" t="n"/>
      <c r="X36" s="25">
        <f>IFERROR(D36/$D$36,"")</f>
        <v/>
      </c>
      <c r="Y36" s="25">
        <f>IFERROR(N36/$N$36,"")</f>
        <v/>
      </c>
      <c r="Z36" s="32" t="n"/>
      <c r="AA36" s="32" t="n"/>
      <c r="AB36" s="32" t="n"/>
      <c r="AC36" s="32" t="n"/>
      <c r="AD36" s="32" t="n"/>
      <c r="AE36" s="32" t="n"/>
      <c r="AF36" s="91">
        <f>SUM(AF5:AF35)</f>
        <v/>
      </c>
      <c r="AG36" s="92">
        <f>SUM(AG5:AG35)</f>
        <v/>
      </c>
      <c r="AH36" s="91">
        <f>IFERROR(AF36/AG36,"")</f>
        <v/>
      </c>
      <c r="AI36" s="91">
        <f>SUM(AI5:AI35)</f>
        <v/>
      </c>
      <c r="AJ36" s="92">
        <f>SUM(AJ5:AJ35)</f>
        <v/>
      </c>
      <c r="AK36" s="91">
        <f>IFERROR(AI36/AJ36,"")</f>
        <v/>
      </c>
      <c r="AL36" s="91">
        <f>SUM(AL5:AL35)</f>
        <v/>
      </c>
      <c r="AM36" s="92">
        <f>SUM(AM5:AM35)</f>
        <v/>
      </c>
      <c r="AN36" s="91">
        <f>IFERROR(AL36/AM36,"")</f>
        <v/>
      </c>
      <c r="AO36" s="91">
        <f>SUM(AO5:AO35)</f>
        <v/>
      </c>
      <c r="AP36" s="92">
        <f>SUM(AP5:AP35)</f>
        <v/>
      </c>
      <c r="AQ36" s="91">
        <f>IFERROR(AO36/AP36,"")</f>
        <v/>
      </c>
    </row>
  </sheetData>
  <mergeCells count="2">
    <mergeCell ref="A2:L2"/>
    <mergeCell ref="A1:L1"/>
  </mergeCells>
  <conditionalFormatting sqref="D5:D35">
    <cfRule type="dataBar" priority="1">
      <dataBar>
        <cfvo type="num" val="0"/>
        <cfvo type="max"/>
        <color rgb="FFB8873B"/>
      </dataBar>
    </cfRule>
  </conditionalFormatting>
  <conditionalFormatting sqref="P5:P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67" min="1" max="1"/>
    <col width="18" customWidth="1" style="67" min="2" max="2"/>
    <col width="15" customWidth="1" style="67" min="3" max="3"/>
    <col width="14" customWidth="1" style="67" min="4" max="4"/>
    <col width="15" customWidth="1" style="67" min="5" max="5"/>
    <col width="14" customWidth="1" style="67" min="6" max="6"/>
    <col width="18" customWidth="1" style="67" min="7" max="7"/>
    <col width="14" customWidth="1" style="67" min="8" max="8"/>
    <col width="12" customWidth="1" style="67" min="9" max="9"/>
    <col width="16" customWidth="1" style="67" min="10" max="10"/>
    <col width="13" customWidth="1" style="67" min="11" max="11"/>
    <col width="15" customWidth="1" style="67" min="12" max="12"/>
    <col width="12" customWidth="1" style="67" min="13" max="13"/>
    <col width="18" customWidth="1" style="67" min="14" max="14"/>
    <col width="34" customWidth="1" style="67" min="15" max="15"/>
    <col width="20" customWidth="1" style="67" min="16" max="16"/>
  </cols>
  <sheetData>
    <row r="1">
      <c r="A1" s="101" t="inlineStr">
        <is>
          <t>Scope</t>
        </is>
      </c>
      <c r="B1" s="101" t="inlineStr">
        <is>
          <t>Planned Monthly Budget (ZAR)</t>
        </is>
      </c>
      <c r="C1" s="101" t="inlineStr">
        <is>
          <t>Planned Daily Spend</t>
        </is>
      </c>
      <c r="D1" s="101" t="inlineStr">
        <is>
          <t>Actual Spend</t>
        </is>
      </c>
      <c r="E1" s="101" t="inlineStr">
        <is>
          <t>Actual Daily Spend</t>
        </is>
      </c>
      <c r="F1" s="101" t="inlineStr">
        <is>
          <t>Spend Variance</t>
        </is>
      </c>
      <c r="G1" s="101" t="inlineStr">
        <is>
          <t>Required Run-Rate to Target</t>
        </is>
      </c>
      <c r="H1" s="101" t="inlineStr">
        <is>
          <t>Actual Bookings</t>
        </is>
      </c>
      <c r="I1" s="101" t="inlineStr">
        <is>
          <t>Actual CPL</t>
        </is>
      </c>
      <c r="J1" s="101" t="inlineStr">
        <is>
          <t>Actual Qualified Leads</t>
        </is>
      </c>
      <c r="K1" s="101" t="inlineStr">
        <is>
          <t>Qualified Rate</t>
        </is>
      </c>
      <c r="L1" s="101" t="inlineStr">
        <is>
          <t>Forecast Bookings</t>
        </is>
      </c>
      <c r="M1" s="101" t="inlineStr">
        <is>
          <t>Forecast CPL</t>
        </is>
      </c>
      <c r="N1" s="101" t="inlineStr">
        <is>
          <t>Forecast Qualified Leads</t>
        </is>
      </c>
      <c r="O1" s="101" t="inlineStr">
        <is>
          <t>Reallocation Recommendation</t>
        </is>
      </c>
      <c r="P1" s="101" t="inlineStr">
        <is>
          <t>Recommended Next-Month Budget</t>
        </is>
      </c>
    </row>
    <row r="2">
      <c r="A2" s="102" t="inlineStr">
        <is>
          <t>Meta</t>
        </is>
      </c>
      <c r="B2" s="129" t="n">
        <v>168000</v>
      </c>
      <c r="C2" s="129" t="n">
        <v>5419.354838709677</v>
      </c>
      <c r="D2" s="129" t="n">
        <v>167999.9999999999</v>
      </c>
      <c r="E2" s="129" t="n">
        <v>5419.354838709675</v>
      </c>
      <c r="F2" s="129" t="n">
        <v>-5.820766091346741e-11</v>
      </c>
      <c r="G2" s="129" t="n">
        <v>0</v>
      </c>
      <c r="H2" s="130" t="n">
        <v>608</v>
      </c>
      <c r="I2" s="129" t="n">
        <v>276.3157894736841</v>
      </c>
      <c r="J2" s="130" t="n">
        <v>397</v>
      </c>
      <c r="K2" s="131" t="n">
        <v>0.6529605263157895</v>
      </c>
      <c r="L2" s="130" t="n">
        <v>832.3809523809527</v>
      </c>
      <c r="M2" s="129" t="n">
        <v>276.3157894736841</v>
      </c>
      <c r="N2" s="130" t="n">
        <v>543.511904761905</v>
      </c>
      <c r="O2" s="110" t="inlineStr">
        <is>
          <t>Increase: efficient conversion path</t>
        </is>
      </c>
      <c r="P2" s="132" t="n">
        <v>230000</v>
      </c>
    </row>
    <row r="3">
      <c r="A3" s="102" t="inlineStr">
        <is>
          <t>TikTok</t>
        </is>
      </c>
      <c r="B3" s="129" t="n">
        <v>84000</v>
      </c>
      <c r="C3" s="129" t="n">
        <v>2709.677419354839</v>
      </c>
      <c r="D3" s="129" t="n">
        <v>84000</v>
      </c>
      <c r="E3" s="129" t="n">
        <v>2709.677419354839</v>
      </c>
      <c r="F3" s="129" t="n">
        <v>0</v>
      </c>
      <c r="G3" s="129" t="n">
        <v>0</v>
      </c>
      <c r="H3" s="130" t="n">
        <v>174</v>
      </c>
      <c r="I3" s="129" t="n">
        <v>482.7586206896552</v>
      </c>
      <c r="J3" s="130" t="n">
        <v>95</v>
      </c>
      <c r="K3" s="131" t="n">
        <v>0.5459770114942529</v>
      </c>
      <c r="L3" s="130" t="n">
        <v>174</v>
      </c>
      <c r="M3" s="129" t="n">
        <v>482.7586206896552</v>
      </c>
      <c r="N3" s="130" t="n">
        <v>95.00000000000001</v>
      </c>
      <c r="O3" s="108" t="inlineStr">
        <is>
          <t>Hold: monitor quality before scaling</t>
        </is>
      </c>
      <c r="P3" s="133" t="n">
        <v>84000</v>
      </c>
    </row>
    <row r="4">
      <c r="A4" s="102" t="inlineStr">
        <is>
          <t>Programmatic</t>
        </is>
      </c>
      <c r="B4" s="129" t="n">
        <v>65305.32999999999</v>
      </c>
      <c r="C4" s="129" t="n">
        <v>2106.623548387096</v>
      </c>
      <c r="D4" s="129" t="n">
        <v>65305.33000000004</v>
      </c>
      <c r="E4" s="129" t="n">
        <v>2106.623548387098</v>
      </c>
      <c r="F4" s="129" t="n">
        <v>4.365574568510056e-11</v>
      </c>
      <c r="G4" s="129" t="n">
        <v>0</v>
      </c>
      <c r="H4" s="130" t="n">
        <v>93</v>
      </c>
      <c r="I4" s="129" t="n">
        <v>702.207849462366</v>
      </c>
      <c r="J4" s="130" t="n">
        <v>48</v>
      </c>
      <c r="K4" s="131" t="n">
        <v>0.5161290322580645</v>
      </c>
      <c r="L4" s="130" t="n">
        <v>69.77990923558609</v>
      </c>
      <c r="M4" s="129" t="n">
        <v>702.207849462366</v>
      </c>
      <c r="N4" s="130" t="n">
        <v>36.01543702481862</v>
      </c>
      <c r="O4" s="134" t="inlineStr">
        <is>
          <t>Reduce/reframe: weaker CPL or unmapped role</t>
        </is>
      </c>
      <c r="P4" s="135" t="n">
        <v>49000</v>
      </c>
    </row>
    <row r="5">
      <c r="A5" s="102" t="inlineStr">
        <is>
          <t>YouTube</t>
        </is>
      </c>
      <c r="B5" s="129" t="n">
        <v>34694.67000000001</v>
      </c>
      <c r="C5" s="129" t="n">
        <v>1119.182903225807</v>
      </c>
      <c r="D5" s="129" t="n">
        <v>34694.67000000003</v>
      </c>
      <c r="E5" s="129" t="n">
        <v>1119.182903225807</v>
      </c>
      <c r="F5" s="129" t="n">
        <v>2.182787284255028e-11</v>
      </c>
      <c r="G5" s="129" t="n">
        <v>0</v>
      </c>
      <c r="H5" s="130" t="n">
        <v>41</v>
      </c>
      <c r="I5" s="129" t="n">
        <v>846.2114634146349</v>
      </c>
      <c r="J5" s="130" t="n">
        <v>23</v>
      </c>
      <c r="K5" s="131" t="n">
        <v>0.5609756097560976</v>
      </c>
      <c r="L5" s="130" t="n">
        <v>27.17996741286195</v>
      </c>
      <c r="M5" s="129" t="n">
        <v>846.2114634146349</v>
      </c>
      <c r="N5" s="130" t="n">
        <v>15.2472987925811</v>
      </c>
      <c r="O5" s="134" t="inlineStr">
        <is>
          <t>Reduce/reframe: weaker CPL or unmapped role</t>
        </is>
      </c>
      <c r="P5" s="135" t="n">
        <v>23000</v>
      </c>
    </row>
    <row r="6">
      <c r="A6" s="102" t="inlineStr">
        <is>
          <t>X</t>
        </is>
      </c>
      <c r="B6" s="129" t="n">
        <v>48000</v>
      </c>
      <c r="C6" s="129" t="n">
        <v>1548.387096774194</v>
      </c>
      <c r="D6" s="129" t="n">
        <v>47999.99999999999</v>
      </c>
      <c r="E6" s="129" t="n">
        <v>1548.387096774193</v>
      </c>
      <c r="F6" s="129" t="n">
        <v>-7.275957614183426e-12</v>
      </c>
      <c r="G6" s="129" t="n">
        <v>0</v>
      </c>
      <c r="H6" s="130" t="n">
        <v>71</v>
      </c>
      <c r="I6" s="129" t="n">
        <v>676.056338028169</v>
      </c>
      <c r="J6" s="130" t="n">
        <v>47</v>
      </c>
      <c r="K6" s="131" t="n">
        <v>0.6619718309859155</v>
      </c>
      <c r="L6" s="130" t="n">
        <v>20.70833333333334</v>
      </c>
      <c r="M6" s="129" t="n">
        <v>676.056338028169</v>
      </c>
      <c r="N6" s="130" t="n">
        <v>13.70833333333334</v>
      </c>
      <c r="O6" s="134" t="inlineStr">
        <is>
          <t>Reduce/reframe: weaker CPL or unmapped role</t>
        </is>
      </c>
      <c r="P6" s="135" t="n">
        <v>14000</v>
      </c>
    </row>
    <row r="7">
      <c r="A7" s="136" t="inlineStr">
        <is>
          <t>Total</t>
        </is>
      </c>
      <c r="B7" s="137" t="n">
        <v>400000</v>
      </c>
      <c r="C7" s="137" t="n">
        <v>12903.22580645161</v>
      </c>
      <c r="D7" s="137" t="n">
        <v>400000</v>
      </c>
      <c r="E7" s="137" t="n">
        <v>12903.22580645161</v>
      </c>
      <c r="F7" s="137" t="n">
        <v>0</v>
      </c>
      <c r="G7" s="137" t="n">
        <v>0</v>
      </c>
      <c r="H7" s="138" t="n">
        <v>987</v>
      </c>
      <c r="I7" s="137" t="n">
        <v>405.2684903748734</v>
      </c>
      <c r="J7" s="138" t="n">
        <v>610</v>
      </c>
      <c r="K7" s="139" t="n">
        <v>0.6180344478216818</v>
      </c>
      <c r="L7" s="138" t="n">
        <v>1124.049162362734</v>
      </c>
      <c r="M7" s="137" t="n">
        <v>355.8563214078699</v>
      </c>
      <c r="N7" s="138" t="n">
        <v>703.4829739126382</v>
      </c>
      <c r="O7" s="140" t="inlineStr">
        <is>
          <t>Portfolio total</t>
        </is>
      </c>
      <c r="P7" s="141" t="n">
        <v>400000</v>
      </c>
    </row>
  </sheetData>
  <autoFilter ref="A1: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D5A8A"/>
    <outlinePr summaryBelow="1" summaryRight="1"/>
    <pageSetUpPr fitToPage="1"/>
  </sheetPr>
  <dimension ref="A1:X6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10" defaultColWidth="8.83203125" defaultRowHeight="15"/>
  <cols>
    <col width="18" customWidth="1" style="67" min="1" max="1"/>
    <col width="24" customWidth="1" style="67" min="2" max="2"/>
    <col width="14" customWidth="1" style="67" min="3" max="3"/>
    <col width="13" customWidth="1" style="67" min="4" max="4"/>
    <col width="15" customWidth="1" style="67" min="5" max="5"/>
    <col width="12" customWidth="1" style="67" min="6" max="7"/>
    <col width="10" customWidth="1" style="67" min="8" max="8"/>
    <col width="11" customWidth="1" style="67" min="9" max="10"/>
    <col width="13" customWidth="1" style="67" min="11" max="11"/>
    <col width="10" customWidth="1" style="67" min="12" max="12"/>
    <col width="13" customWidth="1" style="67" min="13" max="13"/>
    <col width="12" customWidth="1" style="67" min="14" max="14"/>
    <col width="13" customWidth="1" style="67" min="15" max="15"/>
    <col width="11" customWidth="1" style="67" min="16" max="16"/>
    <col width="10" customWidth="1" style="67" min="17" max="17"/>
    <col width="14" customWidth="1" style="67" min="18" max="18"/>
    <col width="12" customWidth="1" style="67" min="19" max="20"/>
    <col width="13" customWidth="1" style="67" min="21" max="21"/>
    <col width="18" customWidth="1" style="67" min="22" max="22"/>
    <col width="10" customWidth="1" style="67" min="23" max="23"/>
    <col width="11" customWidth="1" style="67" min="24" max="24"/>
  </cols>
  <sheetData>
    <row r="1" ht="24" customHeight="1" s="67">
      <c r="A1" s="71" t="inlineStr">
        <is>
          <t>Channel Detail</t>
        </is>
      </c>
    </row>
    <row r="2">
      <c r="A2" s="68" t="inlineStr">
        <is>
          <t>Each channel cut by week, model and audience strategy. Every row is a live SUMIFS over Raw_Data.</t>
        </is>
      </c>
    </row>
    <row r="4" ht="18" customHeight="1" s="67">
      <c r="A4" s="2" t="inlineStr">
        <is>
          <t xml:space="preserve">  CHANNEL  x  WEEK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0" customHeight="1" s="67">
      <c r="A5" s="12" t="inlineStr">
        <is>
          <t>Channel</t>
        </is>
      </c>
      <c r="B5" s="12" t="inlineStr">
        <is>
          <t>ISO Week</t>
        </is>
      </c>
      <c r="C5" s="12" t="inlineStr">
        <is>
          <t>Spend (ZAR)</t>
        </is>
      </c>
      <c r="D5" s="12" t="inlineStr">
        <is>
          <t>Impressions</t>
        </is>
      </c>
      <c r="E5" s="12" t="inlineStr">
        <is>
          <t>Reach (sum of daily)</t>
        </is>
      </c>
      <c r="F5" s="12" t="inlineStr">
        <is>
          <t>Avg Daily Frequency</t>
        </is>
      </c>
      <c r="G5" s="12" t="inlineStr">
        <is>
          <t>Link Clicks</t>
        </is>
      </c>
      <c r="H5" s="12" t="inlineStr">
        <is>
          <t>CTR (Link)</t>
        </is>
      </c>
      <c r="I5" s="12" t="inlineStr">
        <is>
          <t>CPC (Link)</t>
        </is>
      </c>
      <c r="J5" s="12" t="inlineStr">
        <is>
          <t>CPM</t>
        </is>
      </c>
      <c r="K5" s="12" t="inlineStr">
        <is>
          <t>Landing Page Views</t>
        </is>
      </c>
      <c r="L5" s="12" t="inlineStr">
        <is>
          <t>LPV Rate</t>
        </is>
      </c>
      <c r="M5" s="12" t="inlineStr">
        <is>
          <t>Test Drive Bookings</t>
        </is>
      </c>
      <c r="N5" s="12" t="inlineStr">
        <is>
          <t>CVR (Booking / LPV)</t>
        </is>
      </c>
      <c r="O5" s="12" t="inlineStr">
        <is>
          <t>CPL (Cost / Booking)</t>
        </is>
      </c>
      <c r="P5" s="12" t="inlineStr">
        <is>
          <t>Qualified Leads</t>
        </is>
      </c>
      <c r="Q5" s="12" t="inlineStr">
        <is>
          <t>Qualified Rate</t>
        </is>
      </c>
      <c r="R5" s="12" t="inlineStr">
        <is>
          <t>Cost per Qualified Lead</t>
        </is>
      </c>
      <c r="S5" s="12" t="inlineStr">
        <is>
          <t>View-Through Conv.</t>
        </is>
      </c>
      <c r="T5" s="12" t="inlineStr">
        <is>
          <t>Assisted Conv.</t>
        </is>
      </c>
      <c r="U5" s="12" t="inlineStr">
        <is>
          <t>Total Attributed Conv.</t>
        </is>
      </c>
      <c r="V5" s="12" t="inlineStr">
        <is>
          <t>Est. Revenue Pipeline (ZAR)</t>
        </is>
      </c>
      <c r="W5" s="12" t="inlineStr">
        <is>
          <t>% of Spend</t>
        </is>
      </c>
      <c r="X5" s="12" t="inlineStr">
        <is>
          <t>% of Bookings</t>
        </is>
      </c>
    </row>
    <row r="6">
      <c r="A6" s="6" t="inlineStr">
        <is>
          <t>Meta (FB/IG)</t>
        </is>
      </c>
      <c r="B6" s="78" t="inlineStr">
        <is>
          <t>Wk 31</t>
        </is>
      </c>
      <c r="C6" s="86">
        <f>SUMIFS(Raw_Data!$R$2:$R$2552,Raw_Data!$D$2:$D$2552,$A6,Raw_Data!$B$2:$B$2552,$B6)</f>
        <v/>
      </c>
      <c r="D6" s="87">
        <f>SUMIFS(Raw_Data!$S$2:$S$2552,Raw_Data!$D$2:$D$2552,$A6,Raw_Data!$B$2:$B$2552,$B6)</f>
        <v/>
      </c>
      <c r="E6" s="87">
        <f>SUMIFS(Raw_Data!$T$2:$T$2552,Raw_Data!$D$2:$D$2552,$A6,Raw_Data!$B$2:$B$2552,$B6)</f>
        <v/>
      </c>
      <c r="F6" s="88">
        <f>IFERROR(D6/E6,"")</f>
        <v/>
      </c>
      <c r="G6" s="87">
        <f>SUMIFS(Raw_Data!$W$2:$W$2552,Raw_Data!$D$2:$D$2552,$A6,Raw_Data!$B$2:$B$2552,$B6)</f>
        <v/>
      </c>
      <c r="H6" s="89">
        <f>IFERROR(G6/D6,"")</f>
        <v/>
      </c>
      <c r="I6" s="90">
        <f>IFERROR(C6/G6,"")</f>
        <v/>
      </c>
      <c r="J6" s="90">
        <f>IFERROR(C6/D6*1000,"")</f>
        <v/>
      </c>
      <c r="K6" s="87">
        <f>SUMIFS(Raw_Data!$AA$2:$AA$2552,Raw_Data!$D$2:$D$2552,$A6,Raw_Data!$B$2:$B$2552,$B6)</f>
        <v/>
      </c>
      <c r="L6" s="18">
        <f>IFERROR(K6/G6,"")</f>
        <v/>
      </c>
      <c r="M6" s="87">
        <f>SUMIFS(Raw_Data!$AL$2:$AL$2552,Raw_Data!$D$2:$D$2552,$A6,Raw_Data!$B$2:$B$2552,$B6)</f>
        <v/>
      </c>
      <c r="N6" s="89">
        <f>IFERROR(M6/K6,"")</f>
        <v/>
      </c>
      <c r="O6" s="86">
        <f>IFERROR(C6/M6,"")</f>
        <v/>
      </c>
      <c r="P6" s="87">
        <f>SUMIFS(Raw_Data!$AO$2:$AO$2552,Raw_Data!$D$2:$D$2552,$A6,Raw_Data!$B$2:$B$2552,$B6)</f>
        <v/>
      </c>
      <c r="Q6" s="18">
        <f>IFERROR(P6/M6,"")</f>
        <v/>
      </c>
      <c r="R6" s="86">
        <f>IFERROR(C6/P6,"")</f>
        <v/>
      </c>
      <c r="S6" s="87">
        <f>SUMIFS(Raw_Data!$AR$2:$AR$2552,Raw_Data!$D$2:$D$2552,$A6,Raw_Data!$B$2:$B$2552,$B6)</f>
        <v/>
      </c>
      <c r="T6" s="87">
        <f>SUMIFS(Raw_Data!$AS$2:$AS$2552,Raw_Data!$D$2:$D$2552,$A6,Raw_Data!$B$2:$B$2552,$B6)</f>
        <v/>
      </c>
      <c r="U6" s="87">
        <f>M6+S6</f>
        <v/>
      </c>
      <c r="V6" s="86">
        <f>SUMIFS(Raw_Data!$AU$2:$AU$2552,Raw_Data!$D$2:$D$2552,$A6,Raw_Data!$B$2:$B$2552,$B6)</f>
        <v/>
      </c>
      <c r="W6" s="18">
        <f>IFERROR(C6/Summary!$B$17,"")</f>
        <v/>
      </c>
      <c r="X6" s="18">
        <f>IFERROR(M6/Summary!$L$17,"")</f>
        <v/>
      </c>
    </row>
    <row r="7">
      <c r="A7" s="6" t="inlineStr">
        <is>
          <t>Meta (FB/IG)</t>
        </is>
      </c>
      <c r="B7" s="78" t="inlineStr">
        <is>
          <t>Wk 32</t>
        </is>
      </c>
      <c r="C7" s="86">
        <f>SUMIFS(Raw_Data!$R$2:$R$2552,Raw_Data!$D$2:$D$2552,$A7,Raw_Data!$B$2:$B$2552,$B7)</f>
        <v/>
      </c>
      <c r="D7" s="87">
        <f>SUMIFS(Raw_Data!$S$2:$S$2552,Raw_Data!$D$2:$D$2552,$A7,Raw_Data!$B$2:$B$2552,$B7)</f>
        <v/>
      </c>
      <c r="E7" s="87">
        <f>SUMIFS(Raw_Data!$T$2:$T$2552,Raw_Data!$D$2:$D$2552,$A7,Raw_Data!$B$2:$B$2552,$B7)</f>
        <v/>
      </c>
      <c r="F7" s="88">
        <f>IFERROR(D7/E7,"")</f>
        <v/>
      </c>
      <c r="G7" s="87">
        <f>SUMIFS(Raw_Data!$W$2:$W$2552,Raw_Data!$D$2:$D$2552,$A7,Raw_Data!$B$2:$B$2552,$B7)</f>
        <v/>
      </c>
      <c r="H7" s="89">
        <f>IFERROR(G7/D7,"")</f>
        <v/>
      </c>
      <c r="I7" s="90">
        <f>IFERROR(C7/G7,"")</f>
        <v/>
      </c>
      <c r="J7" s="90">
        <f>IFERROR(C7/D7*1000,"")</f>
        <v/>
      </c>
      <c r="K7" s="87">
        <f>SUMIFS(Raw_Data!$AA$2:$AA$2552,Raw_Data!$D$2:$D$2552,$A7,Raw_Data!$B$2:$B$2552,$B7)</f>
        <v/>
      </c>
      <c r="L7" s="18">
        <f>IFERROR(K7/G7,"")</f>
        <v/>
      </c>
      <c r="M7" s="87">
        <f>SUMIFS(Raw_Data!$AL$2:$AL$2552,Raw_Data!$D$2:$D$2552,$A7,Raw_Data!$B$2:$B$2552,$B7)</f>
        <v/>
      </c>
      <c r="N7" s="89">
        <f>IFERROR(M7/K7,"")</f>
        <v/>
      </c>
      <c r="O7" s="86">
        <f>IFERROR(C7/M7,"")</f>
        <v/>
      </c>
      <c r="P7" s="87">
        <f>SUMIFS(Raw_Data!$AO$2:$AO$2552,Raw_Data!$D$2:$D$2552,$A7,Raw_Data!$B$2:$B$2552,$B7)</f>
        <v/>
      </c>
      <c r="Q7" s="18">
        <f>IFERROR(P7/M7,"")</f>
        <v/>
      </c>
      <c r="R7" s="86">
        <f>IFERROR(C7/P7,"")</f>
        <v/>
      </c>
      <c r="S7" s="87">
        <f>SUMIFS(Raw_Data!$AR$2:$AR$2552,Raw_Data!$D$2:$D$2552,$A7,Raw_Data!$B$2:$B$2552,$B7)</f>
        <v/>
      </c>
      <c r="T7" s="87">
        <f>SUMIFS(Raw_Data!$AS$2:$AS$2552,Raw_Data!$D$2:$D$2552,$A7,Raw_Data!$B$2:$B$2552,$B7)</f>
        <v/>
      </c>
      <c r="U7" s="87">
        <f>M7+S7</f>
        <v/>
      </c>
      <c r="V7" s="86">
        <f>SUMIFS(Raw_Data!$AU$2:$AU$2552,Raw_Data!$D$2:$D$2552,$A7,Raw_Data!$B$2:$B$2552,$B7)</f>
        <v/>
      </c>
      <c r="W7" s="18">
        <f>IFERROR(C7/Summary!$B$17,"")</f>
        <v/>
      </c>
      <c r="X7" s="18">
        <f>IFERROR(M7/Summary!$L$17,"")</f>
        <v/>
      </c>
    </row>
    <row r="8">
      <c r="A8" s="6" t="inlineStr">
        <is>
          <t>Meta (FB/IG)</t>
        </is>
      </c>
      <c r="B8" s="78" t="inlineStr">
        <is>
          <t>Wk 33</t>
        </is>
      </c>
      <c r="C8" s="86">
        <f>SUMIFS(Raw_Data!$R$2:$R$2552,Raw_Data!$D$2:$D$2552,$A8,Raw_Data!$B$2:$B$2552,$B8)</f>
        <v/>
      </c>
      <c r="D8" s="87">
        <f>SUMIFS(Raw_Data!$S$2:$S$2552,Raw_Data!$D$2:$D$2552,$A8,Raw_Data!$B$2:$B$2552,$B8)</f>
        <v/>
      </c>
      <c r="E8" s="87">
        <f>SUMIFS(Raw_Data!$T$2:$T$2552,Raw_Data!$D$2:$D$2552,$A8,Raw_Data!$B$2:$B$2552,$B8)</f>
        <v/>
      </c>
      <c r="F8" s="88">
        <f>IFERROR(D8/E8,"")</f>
        <v/>
      </c>
      <c r="G8" s="87">
        <f>SUMIFS(Raw_Data!$W$2:$W$2552,Raw_Data!$D$2:$D$2552,$A8,Raw_Data!$B$2:$B$2552,$B8)</f>
        <v/>
      </c>
      <c r="H8" s="89">
        <f>IFERROR(G8/D8,"")</f>
        <v/>
      </c>
      <c r="I8" s="90">
        <f>IFERROR(C8/G8,"")</f>
        <v/>
      </c>
      <c r="J8" s="90">
        <f>IFERROR(C8/D8*1000,"")</f>
        <v/>
      </c>
      <c r="K8" s="87">
        <f>SUMIFS(Raw_Data!$AA$2:$AA$2552,Raw_Data!$D$2:$D$2552,$A8,Raw_Data!$B$2:$B$2552,$B8)</f>
        <v/>
      </c>
      <c r="L8" s="18">
        <f>IFERROR(K8/G8,"")</f>
        <v/>
      </c>
      <c r="M8" s="87">
        <f>SUMIFS(Raw_Data!$AL$2:$AL$2552,Raw_Data!$D$2:$D$2552,$A8,Raw_Data!$B$2:$B$2552,$B8)</f>
        <v/>
      </c>
      <c r="N8" s="89">
        <f>IFERROR(M8/K8,"")</f>
        <v/>
      </c>
      <c r="O8" s="86">
        <f>IFERROR(C8/M8,"")</f>
        <v/>
      </c>
      <c r="P8" s="87">
        <f>SUMIFS(Raw_Data!$AO$2:$AO$2552,Raw_Data!$D$2:$D$2552,$A8,Raw_Data!$B$2:$B$2552,$B8)</f>
        <v/>
      </c>
      <c r="Q8" s="18">
        <f>IFERROR(P8/M8,"")</f>
        <v/>
      </c>
      <c r="R8" s="86">
        <f>IFERROR(C8/P8,"")</f>
        <v/>
      </c>
      <c r="S8" s="87">
        <f>SUMIFS(Raw_Data!$AR$2:$AR$2552,Raw_Data!$D$2:$D$2552,$A8,Raw_Data!$B$2:$B$2552,$B8)</f>
        <v/>
      </c>
      <c r="T8" s="87">
        <f>SUMIFS(Raw_Data!$AS$2:$AS$2552,Raw_Data!$D$2:$D$2552,$A8,Raw_Data!$B$2:$B$2552,$B8)</f>
        <v/>
      </c>
      <c r="U8" s="87">
        <f>M8+S8</f>
        <v/>
      </c>
      <c r="V8" s="86">
        <f>SUMIFS(Raw_Data!$AU$2:$AU$2552,Raw_Data!$D$2:$D$2552,$A8,Raw_Data!$B$2:$B$2552,$B8)</f>
        <v/>
      </c>
      <c r="W8" s="18">
        <f>IFERROR(C8/Summary!$B$17,"")</f>
        <v/>
      </c>
      <c r="X8" s="18">
        <f>IFERROR(M8/Summary!$L$17,"")</f>
        <v/>
      </c>
    </row>
    <row r="9">
      <c r="A9" s="6" t="inlineStr">
        <is>
          <t>Meta (FB/IG)</t>
        </is>
      </c>
      <c r="B9" s="78" t="inlineStr">
        <is>
          <t>Wk 34</t>
        </is>
      </c>
      <c r="C9" s="86">
        <f>SUMIFS(Raw_Data!$R$2:$R$2552,Raw_Data!$D$2:$D$2552,$A9,Raw_Data!$B$2:$B$2552,$B9)</f>
        <v/>
      </c>
      <c r="D9" s="87">
        <f>SUMIFS(Raw_Data!$S$2:$S$2552,Raw_Data!$D$2:$D$2552,$A9,Raw_Data!$B$2:$B$2552,$B9)</f>
        <v/>
      </c>
      <c r="E9" s="87">
        <f>SUMIFS(Raw_Data!$T$2:$T$2552,Raw_Data!$D$2:$D$2552,$A9,Raw_Data!$B$2:$B$2552,$B9)</f>
        <v/>
      </c>
      <c r="F9" s="88">
        <f>IFERROR(D9/E9,"")</f>
        <v/>
      </c>
      <c r="G9" s="87">
        <f>SUMIFS(Raw_Data!$W$2:$W$2552,Raw_Data!$D$2:$D$2552,$A9,Raw_Data!$B$2:$B$2552,$B9)</f>
        <v/>
      </c>
      <c r="H9" s="89">
        <f>IFERROR(G9/D9,"")</f>
        <v/>
      </c>
      <c r="I9" s="90">
        <f>IFERROR(C9/G9,"")</f>
        <v/>
      </c>
      <c r="J9" s="90">
        <f>IFERROR(C9/D9*1000,"")</f>
        <v/>
      </c>
      <c r="K9" s="87">
        <f>SUMIFS(Raw_Data!$AA$2:$AA$2552,Raw_Data!$D$2:$D$2552,$A9,Raw_Data!$B$2:$B$2552,$B9)</f>
        <v/>
      </c>
      <c r="L9" s="18">
        <f>IFERROR(K9/G9,"")</f>
        <v/>
      </c>
      <c r="M9" s="87">
        <f>SUMIFS(Raw_Data!$AL$2:$AL$2552,Raw_Data!$D$2:$D$2552,$A9,Raw_Data!$B$2:$B$2552,$B9)</f>
        <v/>
      </c>
      <c r="N9" s="89">
        <f>IFERROR(M9/K9,"")</f>
        <v/>
      </c>
      <c r="O9" s="86">
        <f>IFERROR(C9/M9,"")</f>
        <v/>
      </c>
      <c r="P9" s="87">
        <f>SUMIFS(Raw_Data!$AO$2:$AO$2552,Raw_Data!$D$2:$D$2552,$A9,Raw_Data!$B$2:$B$2552,$B9)</f>
        <v/>
      </c>
      <c r="Q9" s="18">
        <f>IFERROR(P9/M9,"")</f>
        <v/>
      </c>
      <c r="R9" s="86">
        <f>IFERROR(C9/P9,"")</f>
        <v/>
      </c>
      <c r="S9" s="87">
        <f>SUMIFS(Raw_Data!$AR$2:$AR$2552,Raw_Data!$D$2:$D$2552,$A9,Raw_Data!$B$2:$B$2552,$B9)</f>
        <v/>
      </c>
      <c r="T9" s="87">
        <f>SUMIFS(Raw_Data!$AS$2:$AS$2552,Raw_Data!$D$2:$D$2552,$A9,Raw_Data!$B$2:$B$2552,$B9)</f>
        <v/>
      </c>
      <c r="U9" s="87">
        <f>M9+S9</f>
        <v/>
      </c>
      <c r="V9" s="86">
        <f>SUMIFS(Raw_Data!$AU$2:$AU$2552,Raw_Data!$D$2:$D$2552,$A9,Raw_Data!$B$2:$B$2552,$B9)</f>
        <v/>
      </c>
      <c r="W9" s="18">
        <f>IFERROR(C9/Summary!$B$17,"")</f>
        <v/>
      </c>
      <c r="X9" s="18">
        <f>IFERROR(M9/Summary!$L$17,"")</f>
        <v/>
      </c>
    </row>
    <row r="10">
      <c r="A10" s="6" t="inlineStr">
        <is>
          <t>Meta (FB/IG)</t>
        </is>
      </c>
      <c r="B10" s="78" t="inlineStr">
        <is>
          <t>Wk 35</t>
        </is>
      </c>
      <c r="C10" s="86">
        <f>SUMIFS(Raw_Data!$R$2:$R$2552,Raw_Data!$D$2:$D$2552,$A10,Raw_Data!$B$2:$B$2552,$B10)</f>
        <v/>
      </c>
      <c r="D10" s="87">
        <f>SUMIFS(Raw_Data!$S$2:$S$2552,Raw_Data!$D$2:$D$2552,$A10,Raw_Data!$B$2:$B$2552,$B10)</f>
        <v/>
      </c>
      <c r="E10" s="87">
        <f>SUMIFS(Raw_Data!$T$2:$T$2552,Raw_Data!$D$2:$D$2552,$A10,Raw_Data!$B$2:$B$2552,$B10)</f>
        <v/>
      </c>
      <c r="F10" s="88">
        <f>IFERROR(D10/E10,"")</f>
        <v/>
      </c>
      <c r="G10" s="87">
        <f>SUMIFS(Raw_Data!$W$2:$W$2552,Raw_Data!$D$2:$D$2552,$A10,Raw_Data!$B$2:$B$2552,$B10)</f>
        <v/>
      </c>
      <c r="H10" s="89">
        <f>IFERROR(G10/D10,"")</f>
        <v/>
      </c>
      <c r="I10" s="90">
        <f>IFERROR(C10/G10,"")</f>
        <v/>
      </c>
      <c r="J10" s="90">
        <f>IFERROR(C10/D10*1000,"")</f>
        <v/>
      </c>
      <c r="K10" s="87">
        <f>SUMIFS(Raw_Data!$AA$2:$AA$2552,Raw_Data!$D$2:$D$2552,$A10,Raw_Data!$B$2:$B$2552,$B10)</f>
        <v/>
      </c>
      <c r="L10" s="18">
        <f>IFERROR(K10/G10,"")</f>
        <v/>
      </c>
      <c r="M10" s="87">
        <f>SUMIFS(Raw_Data!$AL$2:$AL$2552,Raw_Data!$D$2:$D$2552,$A10,Raw_Data!$B$2:$B$2552,$B10)</f>
        <v/>
      </c>
      <c r="N10" s="89">
        <f>IFERROR(M10/K10,"")</f>
        <v/>
      </c>
      <c r="O10" s="86">
        <f>IFERROR(C10/M10,"")</f>
        <v/>
      </c>
      <c r="P10" s="87">
        <f>SUMIFS(Raw_Data!$AO$2:$AO$2552,Raw_Data!$D$2:$D$2552,$A10,Raw_Data!$B$2:$B$2552,$B10)</f>
        <v/>
      </c>
      <c r="Q10" s="18">
        <f>IFERROR(P10/M10,"")</f>
        <v/>
      </c>
      <c r="R10" s="86">
        <f>IFERROR(C10/P10,"")</f>
        <v/>
      </c>
      <c r="S10" s="87">
        <f>SUMIFS(Raw_Data!$AR$2:$AR$2552,Raw_Data!$D$2:$D$2552,$A10,Raw_Data!$B$2:$B$2552,$B10)</f>
        <v/>
      </c>
      <c r="T10" s="87">
        <f>SUMIFS(Raw_Data!$AS$2:$AS$2552,Raw_Data!$D$2:$D$2552,$A10,Raw_Data!$B$2:$B$2552,$B10)</f>
        <v/>
      </c>
      <c r="U10" s="87">
        <f>M10+S10</f>
        <v/>
      </c>
      <c r="V10" s="86">
        <f>SUMIFS(Raw_Data!$AU$2:$AU$2552,Raw_Data!$D$2:$D$2552,$A10,Raw_Data!$B$2:$B$2552,$B10)</f>
        <v/>
      </c>
      <c r="W10" s="18">
        <f>IFERROR(C10/Summary!$B$17,"")</f>
        <v/>
      </c>
      <c r="X10" s="18">
        <f>IFERROR(M10/Summary!$L$17,"")</f>
        <v/>
      </c>
    </row>
    <row r="11">
      <c r="A11" s="6" t="inlineStr">
        <is>
          <t>Meta (FB/IG)</t>
        </is>
      </c>
      <c r="B11" s="78" t="inlineStr">
        <is>
          <t>Wk 36</t>
        </is>
      </c>
      <c r="C11" s="86">
        <f>SUMIFS(Raw_Data!$R$2:$R$2552,Raw_Data!$D$2:$D$2552,$A11,Raw_Data!$B$2:$B$2552,$B11)</f>
        <v/>
      </c>
      <c r="D11" s="87">
        <f>SUMIFS(Raw_Data!$S$2:$S$2552,Raw_Data!$D$2:$D$2552,$A11,Raw_Data!$B$2:$B$2552,$B11)</f>
        <v/>
      </c>
      <c r="E11" s="87">
        <f>SUMIFS(Raw_Data!$T$2:$T$2552,Raw_Data!$D$2:$D$2552,$A11,Raw_Data!$B$2:$B$2552,$B11)</f>
        <v/>
      </c>
      <c r="F11" s="88">
        <f>IFERROR(D11/E11,"")</f>
        <v/>
      </c>
      <c r="G11" s="87">
        <f>SUMIFS(Raw_Data!$W$2:$W$2552,Raw_Data!$D$2:$D$2552,$A11,Raw_Data!$B$2:$B$2552,$B11)</f>
        <v/>
      </c>
      <c r="H11" s="89">
        <f>IFERROR(G11/D11,"")</f>
        <v/>
      </c>
      <c r="I11" s="90">
        <f>IFERROR(C11/G11,"")</f>
        <v/>
      </c>
      <c r="J11" s="90">
        <f>IFERROR(C11/D11*1000,"")</f>
        <v/>
      </c>
      <c r="K11" s="87">
        <f>SUMIFS(Raw_Data!$AA$2:$AA$2552,Raw_Data!$D$2:$D$2552,$A11,Raw_Data!$B$2:$B$2552,$B11)</f>
        <v/>
      </c>
      <c r="L11" s="18">
        <f>IFERROR(K11/G11,"")</f>
        <v/>
      </c>
      <c r="M11" s="87">
        <f>SUMIFS(Raw_Data!$AL$2:$AL$2552,Raw_Data!$D$2:$D$2552,$A11,Raw_Data!$B$2:$B$2552,$B11)</f>
        <v/>
      </c>
      <c r="N11" s="89">
        <f>IFERROR(M11/K11,"")</f>
        <v/>
      </c>
      <c r="O11" s="86">
        <f>IFERROR(C11/M11,"")</f>
        <v/>
      </c>
      <c r="P11" s="87">
        <f>SUMIFS(Raw_Data!$AO$2:$AO$2552,Raw_Data!$D$2:$D$2552,$A11,Raw_Data!$B$2:$B$2552,$B11)</f>
        <v/>
      </c>
      <c r="Q11" s="18">
        <f>IFERROR(P11/M11,"")</f>
        <v/>
      </c>
      <c r="R11" s="86">
        <f>IFERROR(C11/P11,"")</f>
        <v/>
      </c>
      <c r="S11" s="87">
        <f>SUMIFS(Raw_Data!$AR$2:$AR$2552,Raw_Data!$D$2:$D$2552,$A11,Raw_Data!$B$2:$B$2552,$B11)</f>
        <v/>
      </c>
      <c r="T11" s="87">
        <f>SUMIFS(Raw_Data!$AS$2:$AS$2552,Raw_Data!$D$2:$D$2552,$A11,Raw_Data!$B$2:$B$2552,$B11)</f>
        <v/>
      </c>
      <c r="U11" s="87">
        <f>M11+S11</f>
        <v/>
      </c>
      <c r="V11" s="86">
        <f>SUMIFS(Raw_Data!$AU$2:$AU$2552,Raw_Data!$D$2:$D$2552,$A11,Raw_Data!$B$2:$B$2552,$B11)</f>
        <v/>
      </c>
      <c r="W11" s="18">
        <f>IFERROR(C11/Summary!$B$17,"")</f>
        <v/>
      </c>
      <c r="X11" s="18">
        <f>IFERROR(M11/Summary!$L$17,"")</f>
        <v/>
      </c>
    </row>
    <row r="12">
      <c r="A12" s="6" t="inlineStr">
        <is>
          <t>TikTok</t>
        </is>
      </c>
      <c r="B12" s="78" t="inlineStr">
        <is>
          <t>Wk 31</t>
        </is>
      </c>
      <c r="C12" s="86">
        <f>SUMIFS(Raw_Data!$R$2:$R$2552,Raw_Data!$D$2:$D$2552,$A12,Raw_Data!$B$2:$B$2552,$B12)</f>
        <v/>
      </c>
      <c r="D12" s="87">
        <f>SUMIFS(Raw_Data!$S$2:$S$2552,Raw_Data!$D$2:$D$2552,$A12,Raw_Data!$B$2:$B$2552,$B12)</f>
        <v/>
      </c>
      <c r="E12" s="87">
        <f>SUMIFS(Raw_Data!$T$2:$T$2552,Raw_Data!$D$2:$D$2552,$A12,Raw_Data!$B$2:$B$2552,$B12)</f>
        <v/>
      </c>
      <c r="F12" s="88">
        <f>IFERROR(D12/E12,"")</f>
        <v/>
      </c>
      <c r="G12" s="87">
        <f>SUMIFS(Raw_Data!$W$2:$W$2552,Raw_Data!$D$2:$D$2552,$A12,Raw_Data!$B$2:$B$2552,$B12)</f>
        <v/>
      </c>
      <c r="H12" s="89">
        <f>IFERROR(G12/D12,"")</f>
        <v/>
      </c>
      <c r="I12" s="90">
        <f>IFERROR(C12/G12,"")</f>
        <v/>
      </c>
      <c r="J12" s="90">
        <f>IFERROR(C12/D12*1000,"")</f>
        <v/>
      </c>
      <c r="K12" s="87">
        <f>SUMIFS(Raw_Data!$AA$2:$AA$2552,Raw_Data!$D$2:$D$2552,$A12,Raw_Data!$B$2:$B$2552,$B12)</f>
        <v/>
      </c>
      <c r="L12" s="18">
        <f>IFERROR(K12/G12,"")</f>
        <v/>
      </c>
      <c r="M12" s="87">
        <f>SUMIFS(Raw_Data!$AL$2:$AL$2552,Raw_Data!$D$2:$D$2552,$A12,Raw_Data!$B$2:$B$2552,$B12)</f>
        <v/>
      </c>
      <c r="N12" s="89">
        <f>IFERROR(M12/K12,"")</f>
        <v/>
      </c>
      <c r="O12" s="86">
        <f>IFERROR(C12/M12,"")</f>
        <v/>
      </c>
      <c r="P12" s="87">
        <f>SUMIFS(Raw_Data!$AO$2:$AO$2552,Raw_Data!$D$2:$D$2552,$A12,Raw_Data!$B$2:$B$2552,$B12)</f>
        <v/>
      </c>
      <c r="Q12" s="18">
        <f>IFERROR(P12/M12,"")</f>
        <v/>
      </c>
      <c r="R12" s="86">
        <f>IFERROR(C12/P12,"")</f>
        <v/>
      </c>
      <c r="S12" s="87">
        <f>SUMIFS(Raw_Data!$AR$2:$AR$2552,Raw_Data!$D$2:$D$2552,$A12,Raw_Data!$B$2:$B$2552,$B12)</f>
        <v/>
      </c>
      <c r="T12" s="87">
        <f>SUMIFS(Raw_Data!$AS$2:$AS$2552,Raw_Data!$D$2:$D$2552,$A12,Raw_Data!$B$2:$B$2552,$B12)</f>
        <v/>
      </c>
      <c r="U12" s="87">
        <f>M12+S12</f>
        <v/>
      </c>
      <c r="V12" s="86">
        <f>SUMIFS(Raw_Data!$AU$2:$AU$2552,Raw_Data!$D$2:$D$2552,$A12,Raw_Data!$B$2:$B$2552,$B12)</f>
        <v/>
      </c>
      <c r="W12" s="18">
        <f>IFERROR(C12/Summary!$B$17,"")</f>
        <v/>
      </c>
      <c r="X12" s="18">
        <f>IFERROR(M12/Summary!$L$17,"")</f>
        <v/>
      </c>
    </row>
    <row r="13">
      <c r="A13" s="6" t="inlineStr">
        <is>
          <t>TikTok</t>
        </is>
      </c>
      <c r="B13" s="78" t="inlineStr">
        <is>
          <t>Wk 32</t>
        </is>
      </c>
      <c r="C13" s="86">
        <f>SUMIFS(Raw_Data!$R$2:$R$2552,Raw_Data!$D$2:$D$2552,$A13,Raw_Data!$B$2:$B$2552,$B13)</f>
        <v/>
      </c>
      <c r="D13" s="87">
        <f>SUMIFS(Raw_Data!$S$2:$S$2552,Raw_Data!$D$2:$D$2552,$A13,Raw_Data!$B$2:$B$2552,$B13)</f>
        <v/>
      </c>
      <c r="E13" s="87">
        <f>SUMIFS(Raw_Data!$T$2:$T$2552,Raw_Data!$D$2:$D$2552,$A13,Raw_Data!$B$2:$B$2552,$B13)</f>
        <v/>
      </c>
      <c r="F13" s="88">
        <f>IFERROR(D13/E13,"")</f>
        <v/>
      </c>
      <c r="G13" s="87">
        <f>SUMIFS(Raw_Data!$W$2:$W$2552,Raw_Data!$D$2:$D$2552,$A13,Raw_Data!$B$2:$B$2552,$B13)</f>
        <v/>
      </c>
      <c r="H13" s="89">
        <f>IFERROR(G13/D13,"")</f>
        <v/>
      </c>
      <c r="I13" s="90">
        <f>IFERROR(C13/G13,"")</f>
        <v/>
      </c>
      <c r="J13" s="90">
        <f>IFERROR(C13/D13*1000,"")</f>
        <v/>
      </c>
      <c r="K13" s="87">
        <f>SUMIFS(Raw_Data!$AA$2:$AA$2552,Raw_Data!$D$2:$D$2552,$A13,Raw_Data!$B$2:$B$2552,$B13)</f>
        <v/>
      </c>
      <c r="L13" s="18">
        <f>IFERROR(K13/G13,"")</f>
        <v/>
      </c>
      <c r="M13" s="87">
        <f>SUMIFS(Raw_Data!$AL$2:$AL$2552,Raw_Data!$D$2:$D$2552,$A13,Raw_Data!$B$2:$B$2552,$B13)</f>
        <v/>
      </c>
      <c r="N13" s="89">
        <f>IFERROR(M13/K13,"")</f>
        <v/>
      </c>
      <c r="O13" s="86">
        <f>IFERROR(C13/M13,"")</f>
        <v/>
      </c>
      <c r="P13" s="87">
        <f>SUMIFS(Raw_Data!$AO$2:$AO$2552,Raw_Data!$D$2:$D$2552,$A13,Raw_Data!$B$2:$B$2552,$B13)</f>
        <v/>
      </c>
      <c r="Q13" s="18">
        <f>IFERROR(P13/M13,"")</f>
        <v/>
      </c>
      <c r="R13" s="86">
        <f>IFERROR(C13/P13,"")</f>
        <v/>
      </c>
      <c r="S13" s="87">
        <f>SUMIFS(Raw_Data!$AR$2:$AR$2552,Raw_Data!$D$2:$D$2552,$A13,Raw_Data!$B$2:$B$2552,$B13)</f>
        <v/>
      </c>
      <c r="T13" s="87">
        <f>SUMIFS(Raw_Data!$AS$2:$AS$2552,Raw_Data!$D$2:$D$2552,$A13,Raw_Data!$B$2:$B$2552,$B13)</f>
        <v/>
      </c>
      <c r="U13" s="87">
        <f>M13+S13</f>
        <v/>
      </c>
      <c r="V13" s="86">
        <f>SUMIFS(Raw_Data!$AU$2:$AU$2552,Raw_Data!$D$2:$D$2552,$A13,Raw_Data!$B$2:$B$2552,$B13)</f>
        <v/>
      </c>
      <c r="W13" s="18">
        <f>IFERROR(C13/Summary!$B$17,"")</f>
        <v/>
      </c>
      <c r="X13" s="18">
        <f>IFERROR(M13/Summary!$L$17,"")</f>
        <v/>
      </c>
    </row>
    <row r="14">
      <c r="A14" s="6" t="inlineStr">
        <is>
          <t>TikTok</t>
        </is>
      </c>
      <c r="B14" s="78" t="inlineStr">
        <is>
          <t>Wk 33</t>
        </is>
      </c>
      <c r="C14" s="86">
        <f>SUMIFS(Raw_Data!$R$2:$R$2552,Raw_Data!$D$2:$D$2552,$A14,Raw_Data!$B$2:$B$2552,$B14)</f>
        <v/>
      </c>
      <c r="D14" s="87">
        <f>SUMIFS(Raw_Data!$S$2:$S$2552,Raw_Data!$D$2:$D$2552,$A14,Raw_Data!$B$2:$B$2552,$B14)</f>
        <v/>
      </c>
      <c r="E14" s="87">
        <f>SUMIFS(Raw_Data!$T$2:$T$2552,Raw_Data!$D$2:$D$2552,$A14,Raw_Data!$B$2:$B$2552,$B14)</f>
        <v/>
      </c>
      <c r="F14" s="88">
        <f>IFERROR(D14/E14,"")</f>
        <v/>
      </c>
      <c r="G14" s="87">
        <f>SUMIFS(Raw_Data!$W$2:$W$2552,Raw_Data!$D$2:$D$2552,$A14,Raw_Data!$B$2:$B$2552,$B14)</f>
        <v/>
      </c>
      <c r="H14" s="89">
        <f>IFERROR(G14/D14,"")</f>
        <v/>
      </c>
      <c r="I14" s="90">
        <f>IFERROR(C14/G14,"")</f>
        <v/>
      </c>
      <c r="J14" s="90">
        <f>IFERROR(C14/D14*1000,"")</f>
        <v/>
      </c>
      <c r="K14" s="87">
        <f>SUMIFS(Raw_Data!$AA$2:$AA$2552,Raw_Data!$D$2:$D$2552,$A14,Raw_Data!$B$2:$B$2552,$B14)</f>
        <v/>
      </c>
      <c r="L14" s="18">
        <f>IFERROR(K14/G14,"")</f>
        <v/>
      </c>
      <c r="M14" s="87">
        <f>SUMIFS(Raw_Data!$AL$2:$AL$2552,Raw_Data!$D$2:$D$2552,$A14,Raw_Data!$B$2:$B$2552,$B14)</f>
        <v/>
      </c>
      <c r="N14" s="89">
        <f>IFERROR(M14/K14,"")</f>
        <v/>
      </c>
      <c r="O14" s="86">
        <f>IFERROR(C14/M14,"")</f>
        <v/>
      </c>
      <c r="P14" s="87">
        <f>SUMIFS(Raw_Data!$AO$2:$AO$2552,Raw_Data!$D$2:$D$2552,$A14,Raw_Data!$B$2:$B$2552,$B14)</f>
        <v/>
      </c>
      <c r="Q14" s="18">
        <f>IFERROR(P14/M14,"")</f>
        <v/>
      </c>
      <c r="R14" s="86">
        <f>IFERROR(C14/P14,"")</f>
        <v/>
      </c>
      <c r="S14" s="87">
        <f>SUMIFS(Raw_Data!$AR$2:$AR$2552,Raw_Data!$D$2:$D$2552,$A14,Raw_Data!$B$2:$B$2552,$B14)</f>
        <v/>
      </c>
      <c r="T14" s="87">
        <f>SUMIFS(Raw_Data!$AS$2:$AS$2552,Raw_Data!$D$2:$D$2552,$A14,Raw_Data!$B$2:$B$2552,$B14)</f>
        <v/>
      </c>
      <c r="U14" s="87">
        <f>M14+S14</f>
        <v/>
      </c>
      <c r="V14" s="86">
        <f>SUMIFS(Raw_Data!$AU$2:$AU$2552,Raw_Data!$D$2:$D$2552,$A14,Raw_Data!$B$2:$B$2552,$B14)</f>
        <v/>
      </c>
      <c r="W14" s="18">
        <f>IFERROR(C14/Summary!$B$17,"")</f>
        <v/>
      </c>
      <c r="X14" s="18">
        <f>IFERROR(M14/Summary!$L$17,"")</f>
        <v/>
      </c>
    </row>
    <row r="15">
      <c r="A15" s="6" t="inlineStr">
        <is>
          <t>TikTok</t>
        </is>
      </c>
      <c r="B15" s="78" t="inlineStr">
        <is>
          <t>Wk 34</t>
        </is>
      </c>
      <c r="C15" s="86">
        <f>SUMIFS(Raw_Data!$R$2:$R$2552,Raw_Data!$D$2:$D$2552,$A15,Raw_Data!$B$2:$B$2552,$B15)</f>
        <v/>
      </c>
      <c r="D15" s="87">
        <f>SUMIFS(Raw_Data!$S$2:$S$2552,Raw_Data!$D$2:$D$2552,$A15,Raw_Data!$B$2:$B$2552,$B15)</f>
        <v/>
      </c>
      <c r="E15" s="87">
        <f>SUMIFS(Raw_Data!$T$2:$T$2552,Raw_Data!$D$2:$D$2552,$A15,Raw_Data!$B$2:$B$2552,$B15)</f>
        <v/>
      </c>
      <c r="F15" s="88">
        <f>IFERROR(D15/E15,"")</f>
        <v/>
      </c>
      <c r="G15" s="87">
        <f>SUMIFS(Raw_Data!$W$2:$W$2552,Raw_Data!$D$2:$D$2552,$A15,Raw_Data!$B$2:$B$2552,$B15)</f>
        <v/>
      </c>
      <c r="H15" s="89">
        <f>IFERROR(G15/D15,"")</f>
        <v/>
      </c>
      <c r="I15" s="90">
        <f>IFERROR(C15/G15,"")</f>
        <v/>
      </c>
      <c r="J15" s="90">
        <f>IFERROR(C15/D15*1000,"")</f>
        <v/>
      </c>
      <c r="K15" s="87">
        <f>SUMIFS(Raw_Data!$AA$2:$AA$2552,Raw_Data!$D$2:$D$2552,$A15,Raw_Data!$B$2:$B$2552,$B15)</f>
        <v/>
      </c>
      <c r="L15" s="18">
        <f>IFERROR(K15/G15,"")</f>
        <v/>
      </c>
      <c r="M15" s="87">
        <f>SUMIFS(Raw_Data!$AL$2:$AL$2552,Raw_Data!$D$2:$D$2552,$A15,Raw_Data!$B$2:$B$2552,$B15)</f>
        <v/>
      </c>
      <c r="N15" s="89">
        <f>IFERROR(M15/K15,"")</f>
        <v/>
      </c>
      <c r="O15" s="86">
        <f>IFERROR(C15/M15,"")</f>
        <v/>
      </c>
      <c r="P15" s="87">
        <f>SUMIFS(Raw_Data!$AO$2:$AO$2552,Raw_Data!$D$2:$D$2552,$A15,Raw_Data!$B$2:$B$2552,$B15)</f>
        <v/>
      </c>
      <c r="Q15" s="18">
        <f>IFERROR(P15/M15,"")</f>
        <v/>
      </c>
      <c r="R15" s="86">
        <f>IFERROR(C15/P15,"")</f>
        <v/>
      </c>
      <c r="S15" s="87">
        <f>SUMIFS(Raw_Data!$AR$2:$AR$2552,Raw_Data!$D$2:$D$2552,$A15,Raw_Data!$B$2:$B$2552,$B15)</f>
        <v/>
      </c>
      <c r="T15" s="87">
        <f>SUMIFS(Raw_Data!$AS$2:$AS$2552,Raw_Data!$D$2:$D$2552,$A15,Raw_Data!$B$2:$B$2552,$B15)</f>
        <v/>
      </c>
      <c r="U15" s="87">
        <f>M15+S15</f>
        <v/>
      </c>
      <c r="V15" s="86">
        <f>SUMIFS(Raw_Data!$AU$2:$AU$2552,Raw_Data!$D$2:$D$2552,$A15,Raw_Data!$B$2:$B$2552,$B15)</f>
        <v/>
      </c>
      <c r="W15" s="18">
        <f>IFERROR(C15/Summary!$B$17,"")</f>
        <v/>
      </c>
      <c r="X15" s="18">
        <f>IFERROR(M15/Summary!$L$17,"")</f>
        <v/>
      </c>
    </row>
    <row r="16">
      <c r="A16" s="6" t="inlineStr">
        <is>
          <t>TikTok</t>
        </is>
      </c>
      <c r="B16" s="78" t="inlineStr">
        <is>
          <t>Wk 35</t>
        </is>
      </c>
      <c r="C16" s="86">
        <f>SUMIFS(Raw_Data!$R$2:$R$2552,Raw_Data!$D$2:$D$2552,$A16,Raw_Data!$B$2:$B$2552,$B16)</f>
        <v/>
      </c>
      <c r="D16" s="87">
        <f>SUMIFS(Raw_Data!$S$2:$S$2552,Raw_Data!$D$2:$D$2552,$A16,Raw_Data!$B$2:$B$2552,$B16)</f>
        <v/>
      </c>
      <c r="E16" s="87">
        <f>SUMIFS(Raw_Data!$T$2:$T$2552,Raw_Data!$D$2:$D$2552,$A16,Raw_Data!$B$2:$B$2552,$B16)</f>
        <v/>
      </c>
      <c r="F16" s="88">
        <f>IFERROR(D16/E16,"")</f>
        <v/>
      </c>
      <c r="G16" s="87">
        <f>SUMIFS(Raw_Data!$W$2:$W$2552,Raw_Data!$D$2:$D$2552,$A16,Raw_Data!$B$2:$B$2552,$B16)</f>
        <v/>
      </c>
      <c r="H16" s="89">
        <f>IFERROR(G16/D16,"")</f>
        <v/>
      </c>
      <c r="I16" s="90">
        <f>IFERROR(C16/G16,"")</f>
        <v/>
      </c>
      <c r="J16" s="90">
        <f>IFERROR(C16/D16*1000,"")</f>
        <v/>
      </c>
      <c r="K16" s="87">
        <f>SUMIFS(Raw_Data!$AA$2:$AA$2552,Raw_Data!$D$2:$D$2552,$A16,Raw_Data!$B$2:$B$2552,$B16)</f>
        <v/>
      </c>
      <c r="L16" s="18">
        <f>IFERROR(K16/G16,"")</f>
        <v/>
      </c>
      <c r="M16" s="87">
        <f>SUMIFS(Raw_Data!$AL$2:$AL$2552,Raw_Data!$D$2:$D$2552,$A16,Raw_Data!$B$2:$B$2552,$B16)</f>
        <v/>
      </c>
      <c r="N16" s="89">
        <f>IFERROR(M16/K16,"")</f>
        <v/>
      </c>
      <c r="O16" s="86">
        <f>IFERROR(C16/M16,"")</f>
        <v/>
      </c>
      <c r="P16" s="87">
        <f>SUMIFS(Raw_Data!$AO$2:$AO$2552,Raw_Data!$D$2:$D$2552,$A16,Raw_Data!$B$2:$B$2552,$B16)</f>
        <v/>
      </c>
      <c r="Q16" s="18">
        <f>IFERROR(P16/M16,"")</f>
        <v/>
      </c>
      <c r="R16" s="86">
        <f>IFERROR(C16/P16,"")</f>
        <v/>
      </c>
      <c r="S16" s="87">
        <f>SUMIFS(Raw_Data!$AR$2:$AR$2552,Raw_Data!$D$2:$D$2552,$A16,Raw_Data!$B$2:$B$2552,$B16)</f>
        <v/>
      </c>
      <c r="T16" s="87">
        <f>SUMIFS(Raw_Data!$AS$2:$AS$2552,Raw_Data!$D$2:$D$2552,$A16,Raw_Data!$B$2:$B$2552,$B16)</f>
        <v/>
      </c>
      <c r="U16" s="87">
        <f>M16+S16</f>
        <v/>
      </c>
      <c r="V16" s="86">
        <f>SUMIFS(Raw_Data!$AU$2:$AU$2552,Raw_Data!$D$2:$D$2552,$A16,Raw_Data!$B$2:$B$2552,$B16)</f>
        <v/>
      </c>
      <c r="W16" s="18">
        <f>IFERROR(C16/Summary!$B$17,"")</f>
        <v/>
      </c>
      <c r="X16" s="18">
        <f>IFERROR(M16/Summary!$L$17,"")</f>
        <v/>
      </c>
    </row>
    <row r="17">
      <c r="A17" s="6" t="inlineStr">
        <is>
          <t>TikTok</t>
        </is>
      </c>
      <c r="B17" s="78" t="inlineStr">
        <is>
          <t>Wk 36</t>
        </is>
      </c>
      <c r="C17" s="86">
        <f>SUMIFS(Raw_Data!$R$2:$R$2552,Raw_Data!$D$2:$D$2552,$A17,Raw_Data!$B$2:$B$2552,$B17)</f>
        <v/>
      </c>
      <c r="D17" s="87">
        <f>SUMIFS(Raw_Data!$S$2:$S$2552,Raw_Data!$D$2:$D$2552,$A17,Raw_Data!$B$2:$B$2552,$B17)</f>
        <v/>
      </c>
      <c r="E17" s="87">
        <f>SUMIFS(Raw_Data!$T$2:$T$2552,Raw_Data!$D$2:$D$2552,$A17,Raw_Data!$B$2:$B$2552,$B17)</f>
        <v/>
      </c>
      <c r="F17" s="88">
        <f>IFERROR(D17/E17,"")</f>
        <v/>
      </c>
      <c r="G17" s="87">
        <f>SUMIFS(Raw_Data!$W$2:$W$2552,Raw_Data!$D$2:$D$2552,$A17,Raw_Data!$B$2:$B$2552,$B17)</f>
        <v/>
      </c>
      <c r="H17" s="89">
        <f>IFERROR(G17/D17,"")</f>
        <v/>
      </c>
      <c r="I17" s="90">
        <f>IFERROR(C17/G17,"")</f>
        <v/>
      </c>
      <c r="J17" s="90">
        <f>IFERROR(C17/D17*1000,"")</f>
        <v/>
      </c>
      <c r="K17" s="87">
        <f>SUMIFS(Raw_Data!$AA$2:$AA$2552,Raw_Data!$D$2:$D$2552,$A17,Raw_Data!$B$2:$B$2552,$B17)</f>
        <v/>
      </c>
      <c r="L17" s="18">
        <f>IFERROR(K17/G17,"")</f>
        <v/>
      </c>
      <c r="M17" s="87">
        <f>SUMIFS(Raw_Data!$AL$2:$AL$2552,Raw_Data!$D$2:$D$2552,$A17,Raw_Data!$B$2:$B$2552,$B17)</f>
        <v/>
      </c>
      <c r="N17" s="89">
        <f>IFERROR(M17/K17,"")</f>
        <v/>
      </c>
      <c r="O17" s="86">
        <f>IFERROR(C17/M17,"")</f>
        <v/>
      </c>
      <c r="P17" s="87">
        <f>SUMIFS(Raw_Data!$AO$2:$AO$2552,Raw_Data!$D$2:$D$2552,$A17,Raw_Data!$B$2:$B$2552,$B17)</f>
        <v/>
      </c>
      <c r="Q17" s="18">
        <f>IFERROR(P17/M17,"")</f>
        <v/>
      </c>
      <c r="R17" s="86">
        <f>IFERROR(C17/P17,"")</f>
        <v/>
      </c>
      <c r="S17" s="87">
        <f>SUMIFS(Raw_Data!$AR$2:$AR$2552,Raw_Data!$D$2:$D$2552,$A17,Raw_Data!$B$2:$B$2552,$B17)</f>
        <v/>
      </c>
      <c r="T17" s="87">
        <f>SUMIFS(Raw_Data!$AS$2:$AS$2552,Raw_Data!$D$2:$D$2552,$A17,Raw_Data!$B$2:$B$2552,$B17)</f>
        <v/>
      </c>
      <c r="U17" s="87">
        <f>M17+S17</f>
        <v/>
      </c>
      <c r="V17" s="86">
        <f>SUMIFS(Raw_Data!$AU$2:$AU$2552,Raw_Data!$D$2:$D$2552,$A17,Raw_Data!$B$2:$B$2552,$B17)</f>
        <v/>
      </c>
      <c r="W17" s="18">
        <f>IFERROR(C17/Summary!$B$17,"")</f>
        <v/>
      </c>
      <c r="X17" s="18">
        <f>IFERROR(M17/Summary!$L$17,"")</f>
        <v/>
      </c>
    </row>
    <row r="18">
      <c r="A18" s="6" t="inlineStr">
        <is>
          <t>X</t>
        </is>
      </c>
      <c r="B18" s="78" t="inlineStr">
        <is>
          <t>Wk 31</t>
        </is>
      </c>
      <c r="C18" s="86">
        <f>SUMIFS(Raw_Data!$R$2:$R$2552,Raw_Data!$D$2:$D$2552,$A18,Raw_Data!$B$2:$B$2552,$B18)</f>
        <v/>
      </c>
      <c r="D18" s="87">
        <f>SUMIFS(Raw_Data!$S$2:$S$2552,Raw_Data!$D$2:$D$2552,$A18,Raw_Data!$B$2:$B$2552,$B18)</f>
        <v/>
      </c>
      <c r="E18" s="87">
        <f>SUMIFS(Raw_Data!$T$2:$T$2552,Raw_Data!$D$2:$D$2552,$A18,Raw_Data!$B$2:$B$2552,$B18)</f>
        <v/>
      </c>
      <c r="F18" s="88">
        <f>IFERROR(D18/E18,"")</f>
        <v/>
      </c>
      <c r="G18" s="87">
        <f>SUMIFS(Raw_Data!$W$2:$W$2552,Raw_Data!$D$2:$D$2552,$A18,Raw_Data!$B$2:$B$2552,$B18)</f>
        <v/>
      </c>
      <c r="H18" s="89">
        <f>IFERROR(G18/D18,"")</f>
        <v/>
      </c>
      <c r="I18" s="90">
        <f>IFERROR(C18/G18,"")</f>
        <v/>
      </c>
      <c r="J18" s="90">
        <f>IFERROR(C18/D18*1000,"")</f>
        <v/>
      </c>
      <c r="K18" s="87">
        <f>SUMIFS(Raw_Data!$AA$2:$AA$2552,Raw_Data!$D$2:$D$2552,$A18,Raw_Data!$B$2:$B$2552,$B18)</f>
        <v/>
      </c>
      <c r="L18" s="18">
        <f>IFERROR(K18/G18,"")</f>
        <v/>
      </c>
      <c r="M18" s="87">
        <f>SUMIFS(Raw_Data!$AL$2:$AL$2552,Raw_Data!$D$2:$D$2552,$A18,Raw_Data!$B$2:$B$2552,$B18)</f>
        <v/>
      </c>
      <c r="N18" s="89">
        <f>IFERROR(M18/K18,"")</f>
        <v/>
      </c>
      <c r="O18" s="86">
        <f>IFERROR(C18/M18,"")</f>
        <v/>
      </c>
      <c r="P18" s="87">
        <f>SUMIFS(Raw_Data!$AO$2:$AO$2552,Raw_Data!$D$2:$D$2552,$A18,Raw_Data!$B$2:$B$2552,$B18)</f>
        <v/>
      </c>
      <c r="Q18" s="18">
        <f>IFERROR(P18/M18,"")</f>
        <v/>
      </c>
      <c r="R18" s="86">
        <f>IFERROR(C18/P18,"")</f>
        <v/>
      </c>
      <c r="S18" s="87">
        <f>SUMIFS(Raw_Data!$AR$2:$AR$2552,Raw_Data!$D$2:$D$2552,$A18,Raw_Data!$B$2:$B$2552,$B18)</f>
        <v/>
      </c>
      <c r="T18" s="87">
        <f>SUMIFS(Raw_Data!$AS$2:$AS$2552,Raw_Data!$D$2:$D$2552,$A18,Raw_Data!$B$2:$B$2552,$B18)</f>
        <v/>
      </c>
      <c r="U18" s="87">
        <f>M18+S18</f>
        <v/>
      </c>
      <c r="V18" s="86">
        <f>SUMIFS(Raw_Data!$AU$2:$AU$2552,Raw_Data!$D$2:$D$2552,$A18,Raw_Data!$B$2:$B$2552,$B18)</f>
        <v/>
      </c>
      <c r="W18" s="18">
        <f>IFERROR(C18/Summary!$B$17,"")</f>
        <v/>
      </c>
      <c r="X18" s="18">
        <f>IFERROR(M18/Summary!$L$17,"")</f>
        <v/>
      </c>
    </row>
    <row r="19">
      <c r="A19" s="6" t="inlineStr">
        <is>
          <t>X</t>
        </is>
      </c>
      <c r="B19" s="78" t="inlineStr">
        <is>
          <t>Wk 32</t>
        </is>
      </c>
      <c r="C19" s="86">
        <f>SUMIFS(Raw_Data!$R$2:$R$2552,Raw_Data!$D$2:$D$2552,$A19,Raw_Data!$B$2:$B$2552,$B19)</f>
        <v/>
      </c>
      <c r="D19" s="87">
        <f>SUMIFS(Raw_Data!$S$2:$S$2552,Raw_Data!$D$2:$D$2552,$A19,Raw_Data!$B$2:$B$2552,$B19)</f>
        <v/>
      </c>
      <c r="E19" s="87">
        <f>SUMIFS(Raw_Data!$T$2:$T$2552,Raw_Data!$D$2:$D$2552,$A19,Raw_Data!$B$2:$B$2552,$B19)</f>
        <v/>
      </c>
      <c r="F19" s="88">
        <f>IFERROR(D19/E19,"")</f>
        <v/>
      </c>
      <c r="G19" s="87">
        <f>SUMIFS(Raw_Data!$W$2:$W$2552,Raw_Data!$D$2:$D$2552,$A19,Raw_Data!$B$2:$B$2552,$B19)</f>
        <v/>
      </c>
      <c r="H19" s="89">
        <f>IFERROR(G19/D19,"")</f>
        <v/>
      </c>
      <c r="I19" s="90">
        <f>IFERROR(C19/G19,"")</f>
        <v/>
      </c>
      <c r="J19" s="90">
        <f>IFERROR(C19/D19*1000,"")</f>
        <v/>
      </c>
      <c r="K19" s="87">
        <f>SUMIFS(Raw_Data!$AA$2:$AA$2552,Raw_Data!$D$2:$D$2552,$A19,Raw_Data!$B$2:$B$2552,$B19)</f>
        <v/>
      </c>
      <c r="L19" s="18">
        <f>IFERROR(K19/G19,"")</f>
        <v/>
      </c>
      <c r="M19" s="87">
        <f>SUMIFS(Raw_Data!$AL$2:$AL$2552,Raw_Data!$D$2:$D$2552,$A19,Raw_Data!$B$2:$B$2552,$B19)</f>
        <v/>
      </c>
      <c r="N19" s="89">
        <f>IFERROR(M19/K19,"")</f>
        <v/>
      </c>
      <c r="O19" s="86">
        <f>IFERROR(C19/M19,"")</f>
        <v/>
      </c>
      <c r="P19" s="87">
        <f>SUMIFS(Raw_Data!$AO$2:$AO$2552,Raw_Data!$D$2:$D$2552,$A19,Raw_Data!$B$2:$B$2552,$B19)</f>
        <v/>
      </c>
      <c r="Q19" s="18">
        <f>IFERROR(P19/M19,"")</f>
        <v/>
      </c>
      <c r="R19" s="86">
        <f>IFERROR(C19/P19,"")</f>
        <v/>
      </c>
      <c r="S19" s="87">
        <f>SUMIFS(Raw_Data!$AR$2:$AR$2552,Raw_Data!$D$2:$D$2552,$A19,Raw_Data!$B$2:$B$2552,$B19)</f>
        <v/>
      </c>
      <c r="T19" s="87">
        <f>SUMIFS(Raw_Data!$AS$2:$AS$2552,Raw_Data!$D$2:$D$2552,$A19,Raw_Data!$B$2:$B$2552,$B19)</f>
        <v/>
      </c>
      <c r="U19" s="87">
        <f>M19+S19</f>
        <v/>
      </c>
      <c r="V19" s="86">
        <f>SUMIFS(Raw_Data!$AU$2:$AU$2552,Raw_Data!$D$2:$D$2552,$A19,Raw_Data!$B$2:$B$2552,$B19)</f>
        <v/>
      </c>
      <c r="W19" s="18">
        <f>IFERROR(C19/Summary!$B$17,"")</f>
        <v/>
      </c>
      <c r="X19" s="18">
        <f>IFERROR(M19/Summary!$L$17,"")</f>
        <v/>
      </c>
    </row>
    <row r="20">
      <c r="A20" s="6" t="inlineStr">
        <is>
          <t>X</t>
        </is>
      </c>
      <c r="B20" s="78" t="inlineStr">
        <is>
          <t>Wk 33</t>
        </is>
      </c>
      <c r="C20" s="86">
        <f>SUMIFS(Raw_Data!$R$2:$R$2552,Raw_Data!$D$2:$D$2552,$A20,Raw_Data!$B$2:$B$2552,$B20)</f>
        <v/>
      </c>
      <c r="D20" s="87">
        <f>SUMIFS(Raw_Data!$S$2:$S$2552,Raw_Data!$D$2:$D$2552,$A20,Raw_Data!$B$2:$B$2552,$B20)</f>
        <v/>
      </c>
      <c r="E20" s="87">
        <f>SUMIFS(Raw_Data!$T$2:$T$2552,Raw_Data!$D$2:$D$2552,$A20,Raw_Data!$B$2:$B$2552,$B20)</f>
        <v/>
      </c>
      <c r="F20" s="88">
        <f>IFERROR(D20/E20,"")</f>
        <v/>
      </c>
      <c r="G20" s="87">
        <f>SUMIFS(Raw_Data!$W$2:$W$2552,Raw_Data!$D$2:$D$2552,$A20,Raw_Data!$B$2:$B$2552,$B20)</f>
        <v/>
      </c>
      <c r="H20" s="89">
        <f>IFERROR(G20/D20,"")</f>
        <v/>
      </c>
      <c r="I20" s="90">
        <f>IFERROR(C20/G20,"")</f>
        <v/>
      </c>
      <c r="J20" s="90">
        <f>IFERROR(C20/D20*1000,"")</f>
        <v/>
      </c>
      <c r="K20" s="87">
        <f>SUMIFS(Raw_Data!$AA$2:$AA$2552,Raw_Data!$D$2:$D$2552,$A20,Raw_Data!$B$2:$B$2552,$B20)</f>
        <v/>
      </c>
      <c r="L20" s="18">
        <f>IFERROR(K20/G20,"")</f>
        <v/>
      </c>
      <c r="M20" s="87">
        <f>SUMIFS(Raw_Data!$AL$2:$AL$2552,Raw_Data!$D$2:$D$2552,$A20,Raw_Data!$B$2:$B$2552,$B20)</f>
        <v/>
      </c>
      <c r="N20" s="89">
        <f>IFERROR(M20/K20,"")</f>
        <v/>
      </c>
      <c r="O20" s="86">
        <f>IFERROR(C20/M20,"")</f>
        <v/>
      </c>
      <c r="P20" s="87">
        <f>SUMIFS(Raw_Data!$AO$2:$AO$2552,Raw_Data!$D$2:$D$2552,$A20,Raw_Data!$B$2:$B$2552,$B20)</f>
        <v/>
      </c>
      <c r="Q20" s="18">
        <f>IFERROR(P20/M20,"")</f>
        <v/>
      </c>
      <c r="R20" s="86">
        <f>IFERROR(C20/P20,"")</f>
        <v/>
      </c>
      <c r="S20" s="87">
        <f>SUMIFS(Raw_Data!$AR$2:$AR$2552,Raw_Data!$D$2:$D$2552,$A20,Raw_Data!$B$2:$B$2552,$B20)</f>
        <v/>
      </c>
      <c r="T20" s="87">
        <f>SUMIFS(Raw_Data!$AS$2:$AS$2552,Raw_Data!$D$2:$D$2552,$A20,Raw_Data!$B$2:$B$2552,$B20)</f>
        <v/>
      </c>
      <c r="U20" s="87">
        <f>M20+S20</f>
        <v/>
      </c>
      <c r="V20" s="86">
        <f>SUMIFS(Raw_Data!$AU$2:$AU$2552,Raw_Data!$D$2:$D$2552,$A20,Raw_Data!$B$2:$B$2552,$B20)</f>
        <v/>
      </c>
      <c r="W20" s="18">
        <f>IFERROR(C20/Summary!$B$17,"")</f>
        <v/>
      </c>
      <c r="X20" s="18">
        <f>IFERROR(M20/Summary!$L$17,"")</f>
        <v/>
      </c>
    </row>
    <row r="21">
      <c r="A21" s="6" t="inlineStr">
        <is>
          <t>X</t>
        </is>
      </c>
      <c r="B21" s="78" t="inlineStr">
        <is>
          <t>Wk 34</t>
        </is>
      </c>
      <c r="C21" s="86">
        <f>SUMIFS(Raw_Data!$R$2:$R$2552,Raw_Data!$D$2:$D$2552,$A21,Raw_Data!$B$2:$B$2552,$B21)</f>
        <v/>
      </c>
      <c r="D21" s="87">
        <f>SUMIFS(Raw_Data!$S$2:$S$2552,Raw_Data!$D$2:$D$2552,$A21,Raw_Data!$B$2:$B$2552,$B21)</f>
        <v/>
      </c>
      <c r="E21" s="87">
        <f>SUMIFS(Raw_Data!$T$2:$T$2552,Raw_Data!$D$2:$D$2552,$A21,Raw_Data!$B$2:$B$2552,$B21)</f>
        <v/>
      </c>
      <c r="F21" s="88">
        <f>IFERROR(D21/E21,"")</f>
        <v/>
      </c>
      <c r="G21" s="87">
        <f>SUMIFS(Raw_Data!$W$2:$W$2552,Raw_Data!$D$2:$D$2552,$A21,Raw_Data!$B$2:$B$2552,$B21)</f>
        <v/>
      </c>
      <c r="H21" s="89">
        <f>IFERROR(G21/D21,"")</f>
        <v/>
      </c>
      <c r="I21" s="90">
        <f>IFERROR(C21/G21,"")</f>
        <v/>
      </c>
      <c r="J21" s="90">
        <f>IFERROR(C21/D21*1000,"")</f>
        <v/>
      </c>
      <c r="K21" s="87">
        <f>SUMIFS(Raw_Data!$AA$2:$AA$2552,Raw_Data!$D$2:$D$2552,$A21,Raw_Data!$B$2:$B$2552,$B21)</f>
        <v/>
      </c>
      <c r="L21" s="18">
        <f>IFERROR(K21/G21,"")</f>
        <v/>
      </c>
      <c r="M21" s="87">
        <f>SUMIFS(Raw_Data!$AL$2:$AL$2552,Raw_Data!$D$2:$D$2552,$A21,Raw_Data!$B$2:$B$2552,$B21)</f>
        <v/>
      </c>
      <c r="N21" s="89">
        <f>IFERROR(M21/K21,"")</f>
        <v/>
      </c>
      <c r="O21" s="86">
        <f>IFERROR(C21/M21,"")</f>
        <v/>
      </c>
      <c r="P21" s="87">
        <f>SUMIFS(Raw_Data!$AO$2:$AO$2552,Raw_Data!$D$2:$D$2552,$A21,Raw_Data!$B$2:$B$2552,$B21)</f>
        <v/>
      </c>
      <c r="Q21" s="18">
        <f>IFERROR(P21/M21,"")</f>
        <v/>
      </c>
      <c r="R21" s="86">
        <f>IFERROR(C21/P21,"")</f>
        <v/>
      </c>
      <c r="S21" s="87">
        <f>SUMIFS(Raw_Data!$AR$2:$AR$2552,Raw_Data!$D$2:$D$2552,$A21,Raw_Data!$B$2:$B$2552,$B21)</f>
        <v/>
      </c>
      <c r="T21" s="87">
        <f>SUMIFS(Raw_Data!$AS$2:$AS$2552,Raw_Data!$D$2:$D$2552,$A21,Raw_Data!$B$2:$B$2552,$B21)</f>
        <v/>
      </c>
      <c r="U21" s="87">
        <f>M21+S21</f>
        <v/>
      </c>
      <c r="V21" s="86">
        <f>SUMIFS(Raw_Data!$AU$2:$AU$2552,Raw_Data!$D$2:$D$2552,$A21,Raw_Data!$B$2:$B$2552,$B21)</f>
        <v/>
      </c>
      <c r="W21" s="18">
        <f>IFERROR(C21/Summary!$B$17,"")</f>
        <v/>
      </c>
      <c r="X21" s="18">
        <f>IFERROR(M21/Summary!$L$17,"")</f>
        <v/>
      </c>
    </row>
    <row r="22">
      <c r="A22" s="6" t="inlineStr">
        <is>
          <t>X</t>
        </is>
      </c>
      <c r="B22" s="78" t="inlineStr">
        <is>
          <t>Wk 35</t>
        </is>
      </c>
      <c r="C22" s="86">
        <f>SUMIFS(Raw_Data!$R$2:$R$2552,Raw_Data!$D$2:$D$2552,$A22,Raw_Data!$B$2:$B$2552,$B22)</f>
        <v/>
      </c>
      <c r="D22" s="87">
        <f>SUMIFS(Raw_Data!$S$2:$S$2552,Raw_Data!$D$2:$D$2552,$A22,Raw_Data!$B$2:$B$2552,$B22)</f>
        <v/>
      </c>
      <c r="E22" s="87">
        <f>SUMIFS(Raw_Data!$T$2:$T$2552,Raw_Data!$D$2:$D$2552,$A22,Raw_Data!$B$2:$B$2552,$B22)</f>
        <v/>
      </c>
      <c r="F22" s="88">
        <f>IFERROR(D22/E22,"")</f>
        <v/>
      </c>
      <c r="G22" s="87">
        <f>SUMIFS(Raw_Data!$W$2:$W$2552,Raw_Data!$D$2:$D$2552,$A22,Raw_Data!$B$2:$B$2552,$B22)</f>
        <v/>
      </c>
      <c r="H22" s="89">
        <f>IFERROR(G22/D22,"")</f>
        <v/>
      </c>
      <c r="I22" s="90">
        <f>IFERROR(C22/G22,"")</f>
        <v/>
      </c>
      <c r="J22" s="90">
        <f>IFERROR(C22/D22*1000,"")</f>
        <v/>
      </c>
      <c r="K22" s="87">
        <f>SUMIFS(Raw_Data!$AA$2:$AA$2552,Raw_Data!$D$2:$D$2552,$A22,Raw_Data!$B$2:$B$2552,$B22)</f>
        <v/>
      </c>
      <c r="L22" s="18">
        <f>IFERROR(K22/G22,"")</f>
        <v/>
      </c>
      <c r="M22" s="87">
        <f>SUMIFS(Raw_Data!$AL$2:$AL$2552,Raw_Data!$D$2:$D$2552,$A22,Raw_Data!$B$2:$B$2552,$B22)</f>
        <v/>
      </c>
      <c r="N22" s="89">
        <f>IFERROR(M22/K22,"")</f>
        <v/>
      </c>
      <c r="O22" s="86">
        <f>IFERROR(C22/M22,"")</f>
        <v/>
      </c>
      <c r="P22" s="87">
        <f>SUMIFS(Raw_Data!$AO$2:$AO$2552,Raw_Data!$D$2:$D$2552,$A22,Raw_Data!$B$2:$B$2552,$B22)</f>
        <v/>
      </c>
      <c r="Q22" s="18">
        <f>IFERROR(P22/M22,"")</f>
        <v/>
      </c>
      <c r="R22" s="86">
        <f>IFERROR(C22/P22,"")</f>
        <v/>
      </c>
      <c r="S22" s="87">
        <f>SUMIFS(Raw_Data!$AR$2:$AR$2552,Raw_Data!$D$2:$D$2552,$A22,Raw_Data!$B$2:$B$2552,$B22)</f>
        <v/>
      </c>
      <c r="T22" s="87">
        <f>SUMIFS(Raw_Data!$AS$2:$AS$2552,Raw_Data!$D$2:$D$2552,$A22,Raw_Data!$B$2:$B$2552,$B22)</f>
        <v/>
      </c>
      <c r="U22" s="87">
        <f>M22+S22</f>
        <v/>
      </c>
      <c r="V22" s="86">
        <f>SUMIFS(Raw_Data!$AU$2:$AU$2552,Raw_Data!$D$2:$D$2552,$A22,Raw_Data!$B$2:$B$2552,$B22)</f>
        <v/>
      </c>
      <c r="W22" s="18">
        <f>IFERROR(C22/Summary!$B$17,"")</f>
        <v/>
      </c>
      <c r="X22" s="18">
        <f>IFERROR(M22/Summary!$L$17,"")</f>
        <v/>
      </c>
    </row>
    <row r="23">
      <c r="A23" s="6" t="inlineStr">
        <is>
          <t>X</t>
        </is>
      </c>
      <c r="B23" s="78" t="inlineStr">
        <is>
          <t>Wk 36</t>
        </is>
      </c>
      <c r="C23" s="86">
        <f>SUMIFS(Raw_Data!$R$2:$R$2552,Raw_Data!$D$2:$D$2552,$A23,Raw_Data!$B$2:$B$2552,$B23)</f>
        <v/>
      </c>
      <c r="D23" s="87">
        <f>SUMIFS(Raw_Data!$S$2:$S$2552,Raw_Data!$D$2:$D$2552,$A23,Raw_Data!$B$2:$B$2552,$B23)</f>
        <v/>
      </c>
      <c r="E23" s="87">
        <f>SUMIFS(Raw_Data!$T$2:$T$2552,Raw_Data!$D$2:$D$2552,$A23,Raw_Data!$B$2:$B$2552,$B23)</f>
        <v/>
      </c>
      <c r="F23" s="88">
        <f>IFERROR(D23/E23,"")</f>
        <v/>
      </c>
      <c r="G23" s="87">
        <f>SUMIFS(Raw_Data!$W$2:$W$2552,Raw_Data!$D$2:$D$2552,$A23,Raw_Data!$B$2:$B$2552,$B23)</f>
        <v/>
      </c>
      <c r="H23" s="89">
        <f>IFERROR(G23/D23,"")</f>
        <v/>
      </c>
      <c r="I23" s="90">
        <f>IFERROR(C23/G23,"")</f>
        <v/>
      </c>
      <c r="J23" s="90">
        <f>IFERROR(C23/D23*1000,"")</f>
        <v/>
      </c>
      <c r="K23" s="87">
        <f>SUMIFS(Raw_Data!$AA$2:$AA$2552,Raw_Data!$D$2:$D$2552,$A23,Raw_Data!$B$2:$B$2552,$B23)</f>
        <v/>
      </c>
      <c r="L23" s="18">
        <f>IFERROR(K23/G23,"")</f>
        <v/>
      </c>
      <c r="M23" s="87">
        <f>SUMIFS(Raw_Data!$AL$2:$AL$2552,Raw_Data!$D$2:$D$2552,$A23,Raw_Data!$B$2:$B$2552,$B23)</f>
        <v/>
      </c>
      <c r="N23" s="89">
        <f>IFERROR(M23/K23,"")</f>
        <v/>
      </c>
      <c r="O23" s="86">
        <f>IFERROR(C23/M23,"")</f>
        <v/>
      </c>
      <c r="P23" s="87">
        <f>SUMIFS(Raw_Data!$AO$2:$AO$2552,Raw_Data!$D$2:$D$2552,$A23,Raw_Data!$B$2:$B$2552,$B23)</f>
        <v/>
      </c>
      <c r="Q23" s="18">
        <f>IFERROR(P23/M23,"")</f>
        <v/>
      </c>
      <c r="R23" s="86">
        <f>IFERROR(C23/P23,"")</f>
        <v/>
      </c>
      <c r="S23" s="87">
        <f>SUMIFS(Raw_Data!$AR$2:$AR$2552,Raw_Data!$D$2:$D$2552,$A23,Raw_Data!$B$2:$B$2552,$B23)</f>
        <v/>
      </c>
      <c r="T23" s="87">
        <f>SUMIFS(Raw_Data!$AS$2:$AS$2552,Raw_Data!$D$2:$D$2552,$A23,Raw_Data!$B$2:$B$2552,$B23)</f>
        <v/>
      </c>
      <c r="U23" s="87">
        <f>M23+S23</f>
        <v/>
      </c>
      <c r="V23" s="86">
        <f>SUMIFS(Raw_Data!$AU$2:$AU$2552,Raw_Data!$D$2:$D$2552,$A23,Raw_Data!$B$2:$B$2552,$B23)</f>
        <v/>
      </c>
      <c r="W23" s="18">
        <f>IFERROR(C23/Summary!$B$17,"")</f>
        <v/>
      </c>
      <c r="X23" s="18">
        <f>IFERROR(M23/Summary!$L$17,"")</f>
        <v/>
      </c>
    </row>
    <row r="24">
      <c r="A24" s="6" t="inlineStr">
        <is>
          <t>Programmatic</t>
        </is>
      </c>
      <c r="B24" s="78" t="inlineStr">
        <is>
          <t>Wk 31</t>
        </is>
      </c>
      <c r="C24" s="86">
        <f>SUMIFS(Raw_Data!$R$2:$R$2552,Raw_Data!$D$2:$D$2552,$A24,Raw_Data!$B$2:$B$2552,$B24)</f>
        <v/>
      </c>
      <c r="D24" s="87">
        <f>SUMIFS(Raw_Data!$S$2:$S$2552,Raw_Data!$D$2:$D$2552,$A24,Raw_Data!$B$2:$B$2552,$B24)</f>
        <v/>
      </c>
      <c r="E24" s="87">
        <f>SUMIFS(Raw_Data!$T$2:$T$2552,Raw_Data!$D$2:$D$2552,$A24,Raw_Data!$B$2:$B$2552,$B24)</f>
        <v/>
      </c>
      <c r="F24" s="88">
        <f>IFERROR(D24/E24,"")</f>
        <v/>
      </c>
      <c r="G24" s="87">
        <f>SUMIFS(Raw_Data!$W$2:$W$2552,Raw_Data!$D$2:$D$2552,$A24,Raw_Data!$B$2:$B$2552,$B24)</f>
        <v/>
      </c>
      <c r="H24" s="89">
        <f>IFERROR(G24/D24,"")</f>
        <v/>
      </c>
      <c r="I24" s="90">
        <f>IFERROR(C24/G24,"")</f>
        <v/>
      </c>
      <c r="J24" s="90">
        <f>IFERROR(C24/D24*1000,"")</f>
        <v/>
      </c>
      <c r="K24" s="87">
        <f>SUMIFS(Raw_Data!$AA$2:$AA$2552,Raw_Data!$D$2:$D$2552,$A24,Raw_Data!$B$2:$B$2552,$B24)</f>
        <v/>
      </c>
      <c r="L24" s="18">
        <f>IFERROR(K24/G24,"")</f>
        <v/>
      </c>
      <c r="M24" s="87">
        <f>SUMIFS(Raw_Data!$AL$2:$AL$2552,Raw_Data!$D$2:$D$2552,$A24,Raw_Data!$B$2:$B$2552,$B24)</f>
        <v/>
      </c>
      <c r="N24" s="89">
        <f>IFERROR(M24/K24,"")</f>
        <v/>
      </c>
      <c r="O24" s="86">
        <f>IFERROR(C24/M24,"")</f>
        <v/>
      </c>
      <c r="P24" s="87">
        <f>SUMIFS(Raw_Data!$AO$2:$AO$2552,Raw_Data!$D$2:$D$2552,$A24,Raw_Data!$B$2:$B$2552,$B24)</f>
        <v/>
      </c>
      <c r="Q24" s="18">
        <f>IFERROR(P24/M24,"")</f>
        <v/>
      </c>
      <c r="R24" s="86">
        <f>IFERROR(C24/P24,"")</f>
        <v/>
      </c>
      <c r="S24" s="87">
        <f>SUMIFS(Raw_Data!$AR$2:$AR$2552,Raw_Data!$D$2:$D$2552,$A24,Raw_Data!$B$2:$B$2552,$B24)</f>
        <v/>
      </c>
      <c r="T24" s="87">
        <f>SUMIFS(Raw_Data!$AS$2:$AS$2552,Raw_Data!$D$2:$D$2552,$A24,Raw_Data!$B$2:$B$2552,$B24)</f>
        <v/>
      </c>
      <c r="U24" s="87">
        <f>M24+S24</f>
        <v/>
      </c>
      <c r="V24" s="86">
        <f>SUMIFS(Raw_Data!$AU$2:$AU$2552,Raw_Data!$D$2:$D$2552,$A24,Raw_Data!$B$2:$B$2552,$B24)</f>
        <v/>
      </c>
      <c r="W24" s="18">
        <f>IFERROR(C24/Summary!$B$17,"")</f>
        <v/>
      </c>
      <c r="X24" s="18">
        <f>IFERROR(M24/Summary!$L$17,"")</f>
        <v/>
      </c>
    </row>
    <row r="25">
      <c r="A25" s="6" t="inlineStr">
        <is>
          <t>Programmatic</t>
        </is>
      </c>
      <c r="B25" s="78" t="inlineStr">
        <is>
          <t>Wk 32</t>
        </is>
      </c>
      <c r="C25" s="86">
        <f>SUMIFS(Raw_Data!$R$2:$R$2552,Raw_Data!$D$2:$D$2552,$A25,Raw_Data!$B$2:$B$2552,$B25)</f>
        <v/>
      </c>
      <c r="D25" s="87">
        <f>SUMIFS(Raw_Data!$S$2:$S$2552,Raw_Data!$D$2:$D$2552,$A25,Raw_Data!$B$2:$B$2552,$B25)</f>
        <v/>
      </c>
      <c r="E25" s="87">
        <f>SUMIFS(Raw_Data!$T$2:$T$2552,Raw_Data!$D$2:$D$2552,$A25,Raw_Data!$B$2:$B$2552,$B25)</f>
        <v/>
      </c>
      <c r="F25" s="88">
        <f>IFERROR(D25/E25,"")</f>
        <v/>
      </c>
      <c r="G25" s="87">
        <f>SUMIFS(Raw_Data!$W$2:$W$2552,Raw_Data!$D$2:$D$2552,$A25,Raw_Data!$B$2:$B$2552,$B25)</f>
        <v/>
      </c>
      <c r="H25" s="89">
        <f>IFERROR(G25/D25,"")</f>
        <v/>
      </c>
      <c r="I25" s="90">
        <f>IFERROR(C25/G25,"")</f>
        <v/>
      </c>
      <c r="J25" s="90">
        <f>IFERROR(C25/D25*1000,"")</f>
        <v/>
      </c>
      <c r="K25" s="87">
        <f>SUMIFS(Raw_Data!$AA$2:$AA$2552,Raw_Data!$D$2:$D$2552,$A25,Raw_Data!$B$2:$B$2552,$B25)</f>
        <v/>
      </c>
      <c r="L25" s="18">
        <f>IFERROR(K25/G25,"")</f>
        <v/>
      </c>
      <c r="M25" s="87">
        <f>SUMIFS(Raw_Data!$AL$2:$AL$2552,Raw_Data!$D$2:$D$2552,$A25,Raw_Data!$B$2:$B$2552,$B25)</f>
        <v/>
      </c>
      <c r="N25" s="89">
        <f>IFERROR(M25/K25,"")</f>
        <v/>
      </c>
      <c r="O25" s="86">
        <f>IFERROR(C25/M25,"")</f>
        <v/>
      </c>
      <c r="P25" s="87">
        <f>SUMIFS(Raw_Data!$AO$2:$AO$2552,Raw_Data!$D$2:$D$2552,$A25,Raw_Data!$B$2:$B$2552,$B25)</f>
        <v/>
      </c>
      <c r="Q25" s="18">
        <f>IFERROR(P25/M25,"")</f>
        <v/>
      </c>
      <c r="R25" s="86">
        <f>IFERROR(C25/P25,"")</f>
        <v/>
      </c>
      <c r="S25" s="87">
        <f>SUMIFS(Raw_Data!$AR$2:$AR$2552,Raw_Data!$D$2:$D$2552,$A25,Raw_Data!$B$2:$B$2552,$B25)</f>
        <v/>
      </c>
      <c r="T25" s="87">
        <f>SUMIFS(Raw_Data!$AS$2:$AS$2552,Raw_Data!$D$2:$D$2552,$A25,Raw_Data!$B$2:$B$2552,$B25)</f>
        <v/>
      </c>
      <c r="U25" s="87">
        <f>M25+S25</f>
        <v/>
      </c>
      <c r="V25" s="86">
        <f>SUMIFS(Raw_Data!$AU$2:$AU$2552,Raw_Data!$D$2:$D$2552,$A25,Raw_Data!$B$2:$B$2552,$B25)</f>
        <v/>
      </c>
      <c r="W25" s="18">
        <f>IFERROR(C25/Summary!$B$17,"")</f>
        <v/>
      </c>
      <c r="X25" s="18">
        <f>IFERROR(M25/Summary!$L$17,"")</f>
        <v/>
      </c>
    </row>
    <row r="26">
      <c r="A26" s="6" t="inlineStr">
        <is>
          <t>Programmatic</t>
        </is>
      </c>
      <c r="B26" s="78" t="inlineStr">
        <is>
          <t>Wk 33</t>
        </is>
      </c>
      <c r="C26" s="86">
        <f>SUMIFS(Raw_Data!$R$2:$R$2552,Raw_Data!$D$2:$D$2552,$A26,Raw_Data!$B$2:$B$2552,$B26)</f>
        <v/>
      </c>
      <c r="D26" s="87">
        <f>SUMIFS(Raw_Data!$S$2:$S$2552,Raw_Data!$D$2:$D$2552,$A26,Raw_Data!$B$2:$B$2552,$B26)</f>
        <v/>
      </c>
      <c r="E26" s="87">
        <f>SUMIFS(Raw_Data!$T$2:$T$2552,Raw_Data!$D$2:$D$2552,$A26,Raw_Data!$B$2:$B$2552,$B26)</f>
        <v/>
      </c>
      <c r="F26" s="88">
        <f>IFERROR(D26/E26,"")</f>
        <v/>
      </c>
      <c r="G26" s="87">
        <f>SUMIFS(Raw_Data!$W$2:$W$2552,Raw_Data!$D$2:$D$2552,$A26,Raw_Data!$B$2:$B$2552,$B26)</f>
        <v/>
      </c>
      <c r="H26" s="89">
        <f>IFERROR(G26/D26,"")</f>
        <v/>
      </c>
      <c r="I26" s="90">
        <f>IFERROR(C26/G26,"")</f>
        <v/>
      </c>
      <c r="J26" s="90">
        <f>IFERROR(C26/D26*1000,"")</f>
        <v/>
      </c>
      <c r="K26" s="87">
        <f>SUMIFS(Raw_Data!$AA$2:$AA$2552,Raw_Data!$D$2:$D$2552,$A26,Raw_Data!$B$2:$B$2552,$B26)</f>
        <v/>
      </c>
      <c r="L26" s="18">
        <f>IFERROR(K26/G26,"")</f>
        <v/>
      </c>
      <c r="M26" s="87">
        <f>SUMIFS(Raw_Data!$AL$2:$AL$2552,Raw_Data!$D$2:$D$2552,$A26,Raw_Data!$B$2:$B$2552,$B26)</f>
        <v/>
      </c>
      <c r="N26" s="89">
        <f>IFERROR(M26/K26,"")</f>
        <v/>
      </c>
      <c r="O26" s="86">
        <f>IFERROR(C26/M26,"")</f>
        <v/>
      </c>
      <c r="P26" s="87">
        <f>SUMIFS(Raw_Data!$AO$2:$AO$2552,Raw_Data!$D$2:$D$2552,$A26,Raw_Data!$B$2:$B$2552,$B26)</f>
        <v/>
      </c>
      <c r="Q26" s="18">
        <f>IFERROR(P26/M26,"")</f>
        <v/>
      </c>
      <c r="R26" s="86">
        <f>IFERROR(C26/P26,"")</f>
        <v/>
      </c>
      <c r="S26" s="87">
        <f>SUMIFS(Raw_Data!$AR$2:$AR$2552,Raw_Data!$D$2:$D$2552,$A26,Raw_Data!$B$2:$B$2552,$B26)</f>
        <v/>
      </c>
      <c r="T26" s="87">
        <f>SUMIFS(Raw_Data!$AS$2:$AS$2552,Raw_Data!$D$2:$D$2552,$A26,Raw_Data!$B$2:$B$2552,$B26)</f>
        <v/>
      </c>
      <c r="U26" s="87">
        <f>M26+S26</f>
        <v/>
      </c>
      <c r="V26" s="86">
        <f>SUMIFS(Raw_Data!$AU$2:$AU$2552,Raw_Data!$D$2:$D$2552,$A26,Raw_Data!$B$2:$B$2552,$B26)</f>
        <v/>
      </c>
      <c r="W26" s="18">
        <f>IFERROR(C26/Summary!$B$17,"")</f>
        <v/>
      </c>
      <c r="X26" s="18">
        <f>IFERROR(M26/Summary!$L$17,"")</f>
        <v/>
      </c>
    </row>
    <row r="27">
      <c r="A27" s="6" t="inlineStr">
        <is>
          <t>Programmatic</t>
        </is>
      </c>
      <c r="B27" s="78" t="inlineStr">
        <is>
          <t>Wk 34</t>
        </is>
      </c>
      <c r="C27" s="86">
        <f>SUMIFS(Raw_Data!$R$2:$R$2552,Raw_Data!$D$2:$D$2552,$A27,Raw_Data!$B$2:$B$2552,$B27)</f>
        <v/>
      </c>
      <c r="D27" s="87">
        <f>SUMIFS(Raw_Data!$S$2:$S$2552,Raw_Data!$D$2:$D$2552,$A27,Raw_Data!$B$2:$B$2552,$B27)</f>
        <v/>
      </c>
      <c r="E27" s="87">
        <f>SUMIFS(Raw_Data!$T$2:$T$2552,Raw_Data!$D$2:$D$2552,$A27,Raw_Data!$B$2:$B$2552,$B27)</f>
        <v/>
      </c>
      <c r="F27" s="88">
        <f>IFERROR(D27/E27,"")</f>
        <v/>
      </c>
      <c r="G27" s="87">
        <f>SUMIFS(Raw_Data!$W$2:$W$2552,Raw_Data!$D$2:$D$2552,$A27,Raw_Data!$B$2:$B$2552,$B27)</f>
        <v/>
      </c>
      <c r="H27" s="89">
        <f>IFERROR(G27/D27,"")</f>
        <v/>
      </c>
      <c r="I27" s="90">
        <f>IFERROR(C27/G27,"")</f>
        <v/>
      </c>
      <c r="J27" s="90">
        <f>IFERROR(C27/D27*1000,"")</f>
        <v/>
      </c>
      <c r="K27" s="87">
        <f>SUMIFS(Raw_Data!$AA$2:$AA$2552,Raw_Data!$D$2:$D$2552,$A27,Raw_Data!$B$2:$B$2552,$B27)</f>
        <v/>
      </c>
      <c r="L27" s="18">
        <f>IFERROR(K27/G27,"")</f>
        <v/>
      </c>
      <c r="M27" s="87">
        <f>SUMIFS(Raw_Data!$AL$2:$AL$2552,Raw_Data!$D$2:$D$2552,$A27,Raw_Data!$B$2:$B$2552,$B27)</f>
        <v/>
      </c>
      <c r="N27" s="89">
        <f>IFERROR(M27/K27,"")</f>
        <v/>
      </c>
      <c r="O27" s="86">
        <f>IFERROR(C27/M27,"")</f>
        <v/>
      </c>
      <c r="P27" s="87">
        <f>SUMIFS(Raw_Data!$AO$2:$AO$2552,Raw_Data!$D$2:$D$2552,$A27,Raw_Data!$B$2:$B$2552,$B27)</f>
        <v/>
      </c>
      <c r="Q27" s="18">
        <f>IFERROR(P27/M27,"")</f>
        <v/>
      </c>
      <c r="R27" s="86">
        <f>IFERROR(C27/P27,"")</f>
        <v/>
      </c>
      <c r="S27" s="87">
        <f>SUMIFS(Raw_Data!$AR$2:$AR$2552,Raw_Data!$D$2:$D$2552,$A27,Raw_Data!$B$2:$B$2552,$B27)</f>
        <v/>
      </c>
      <c r="T27" s="87">
        <f>SUMIFS(Raw_Data!$AS$2:$AS$2552,Raw_Data!$D$2:$D$2552,$A27,Raw_Data!$B$2:$B$2552,$B27)</f>
        <v/>
      </c>
      <c r="U27" s="87">
        <f>M27+S27</f>
        <v/>
      </c>
      <c r="V27" s="86">
        <f>SUMIFS(Raw_Data!$AU$2:$AU$2552,Raw_Data!$D$2:$D$2552,$A27,Raw_Data!$B$2:$B$2552,$B27)</f>
        <v/>
      </c>
      <c r="W27" s="18">
        <f>IFERROR(C27/Summary!$B$17,"")</f>
        <v/>
      </c>
      <c r="X27" s="18">
        <f>IFERROR(M27/Summary!$L$17,"")</f>
        <v/>
      </c>
    </row>
    <row r="28">
      <c r="A28" s="6" t="inlineStr">
        <is>
          <t>Programmatic</t>
        </is>
      </c>
      <c r="B28" s="78" t="inlineStr">
        <is>
          <t>Wk 35</t>
        </is>
      </c>
      <c r="C28" s="86">
        <f>SUMIFS(Raw_Data!$R$2:$R$2552,Raw_Data!$D$2:$D$2552,$A28,Raw_Data!$B$2:$B$2552,$B28)</f>
        <v/>
      </c>
      <c r="D28" s="87">
        <f>SUMIFS(Raw_Data!$S$2:$S$2552,Raw_Data!$D$2:$D$2552,$A28,Raw_Data!$B$2:$B$2552,$B28)</f>
        <v/>
      </c>
      <c r="E28" s="87">
        <f>SUMIFS(Raw_Data!$T$2:$T$2552,Raw_Data!$D$2:$D$2552,$A28,Raw_Data!$B$2:$B$2552,$B28)</f>
        <v/>
      </c>
      <c r="F28" s="88">
        <f>IFERROR(D28/E28,"")</f>
        <v/>
      </c>
      <c r="G28" s="87">
        <f>SUMIFS(Raw_Data!$W$2:$W$2552,Raw_Data!$D$2:$D$2552,$A28,Raw_Data!$B$2:$B$2552,$B28)</f>
        <v/>
      </c>
      <c r="H28" s="89">
        <f>IFERROR(G28/D28,"")</f>
        <v/>
      </c>
      <c r="I28" s="90">
        <f>IFERROR(C28/G28,"")</f>
        <v/>
      </c>
      <c r="J28" s="90">
        <f>IFERROR(C28/D28*1000,"")</f>
        <v/>
      </c>
      <c r="K28" s="87">
        <f>SUMIFS(Raw_Data!$AA$2:$AA$2552,Raw_Data!$D$2:$D$2552,$A28,Raw_Data!$B$2:$B$2552,$B28)</f>
        <v/>
      </c>
      <c r="L28" s="18">
        <f>IFERROR(K28/G28,"")</f>
        <v/>
      </c>
      <c r="M28" s="87">
        <f>SUMIFS(Raw_Data!$AL$2:$AL$2552,Raw_Data!$D$2:$D$2552,$A28,Raw_Data!$B$2:$B$2552,$B28)</f>
        <v/>
      </c>
      <c r="N28" s="89">
        <f>IFERROR(M28/K28,"")</f>
        <v/>
      </c>
      <c r="O28" s="86">
        <f>IFERROR(C28/M28,"")</f>
        <v/>
      </c>
      <c r="P28" s="87">
        <f>SUMIFS(Raw_Data!$AO$2:$AO$2552,Raw_Data!$D$2:$D$2552,$A28,Raw_Data!$B$2:$B$2552,$B28)</f>
        <v/>
      </c>
      <c r="Q28" s="18">
        <f>IFERROR(P28/M28,"")</f>
        <v/>
      </c>
      <c r="R28" s="86">
        <f>IFERROR(C28/P28,"")</f>
        <v/>
      </c>
      <c r="S28" s="87">
        <f>SUMIFS(Raw_Data!$AR$2:$AR$2552,Raw_Data!$D$2:$D$2552,$A28,Raw_Data!$B$2:$B$2552,$B28)</f>
        <v/>
      </c>
      <c r="T28" s="87">
        <f>SUMIFS(Raw_Data!$AS$2:$AS$2552,Raw_Data!$D$2:$D$2552,$A28,Raw_Data!$B$2:$B$2552,$B28)</f>
        <v/>
      </c>
      <c r="U28" s="87">
        <f>M28+S28</f>
        <v/>
      </c>
      <c r="V28" s="86">
        <f>SUMIFS(Raw_Data!$AU$2:$AU$2552,Raw_Data!$D$2:$D$2552,$A28,Raw_Data!$B$2:$B$2552,$B28)</f>
        <v/>
      </c>
      <c r="W28" s="18">
        <f>IFERROR(C28/Summary!$B$17,"")</f>
        <v/>
      </c>
      <c r="X28" s="18">
        <f>IFERROR(M28/Summary!$L$17,"")</f>
        <v/>
      </c>
    </row>
    <row r="29">
      <c r="A29" s="6" t="inlineStr">
        <is>
          <t>Programmatic</t>
        </is>
      </c>
      <c r="B29" s="78" t="inlineStr">
        <is>
          <t>Wk 36</t>
        </is>
      </c>
      <c r="C29" s="86">
        <f>SUMIFS(Raw_Data!$R$2:$R$2552,Raw_Data!$D$2:$D$2552,$A29,Raw_Data!$B$2:$B$2552,$B29)</f>
        <v/>
      </c>
      <c r="D29" s="87">
        <f>SUMIFS(Raw_Data!$S$2:$S$2552,Raw_Data!$D$2:$D$2552,$A29,Raw_Data!$B$2:$B$2552,$B29)</f>
        <v/>
      </c>
      <c r="E29" s="87">
        <f>SUMIFS(Raw_Data!$T$2:$T$2552,Raw_Data!$D$2:$D$2552,$A29,Raw_Data!$B$2:$B$2552,$B29)</f>
        <v/>
      </c>
      <c r="F29" s="88">
        <f>IFERROR(D29/E29,"")</f>
        <v/>
      </c>
      <c r="G29" s="87">
        <f>SUMIFS(Raw_Data!$W$2:$W$2552,Raw_Data!$D$2:$D$2552,$A29,Raw_Data!$B$2:$B$2552,$B29)</f>
        <v/>
      </c>
      <c r="H29" s="89">
        <f>IFERROR(G29/D29,"")</f>
        <v/>
      </c>
      <c r="I29" s="90">
        <f>IFERROR(C29/G29,"")</f>
        <v/>
      </c>
      <c r="J29" s="90">
        <f>IFERROR(C29/D29*1000,"")</f>
        <v/>
      </c>
      <c r="K29" s="87">
        <f>SUMIFS(Raw_Data!$AA$2:$AA$2552,Raw_Data!$D$2:$D$2552,$A29,Raw_Data!$B$2:$B$2552,$B29)</f>
        <v/>
      </c>
      <c r="L29" s="18">
        <f>IFERROR(K29/G29,"")</f>
        <v/>
      </c>
      <c r="M29" s="87">
        <f>SUMIFS(Raw_Data!$AL$2:$AL$2552,Raw_Data!$D$2:$D$2552,$A29,Raw_Data!$B$2:$B$2552,$B29)</f>
        <v/>
      </c>
      <c r="N29" s="89">
        <f>IFERROR(M29/K29,"")</f>
        <v/>
      </c>
      <c r="O29" s="86">
        <f>IFERROR(C29/M29,"")</f>
        <v/>
      </c>
      <c r="P29" s="87">
        <f>SUMIFS(Raw_Data!$AO$2:$AO$2552,Raw_Data!$D$2:$D$2552,$A29,Raw_Data!$B$2:$B$2552,$B29)</f>
        <v/>
      </c>
      <c r="Q29" s="18">
        <f>IFERROR(P29/M29,"")</f>
        <v/>
      </c>
      <c r="R29" s="86">
        <f>IFERROR(C29/P29,"")</f>
        <v/>
      </c>
      <c r="S29" s="87">
        <f>SUMIFS(Raw_Data!$AR$2:$AR$2552,Raw_Data!$D$2:$D$2552,$A29,Raw_Data!$B$2:$B$2552,$B29)</f>
        <v/>
      </c>
      <c r="T29" s="87">
        <f>SUMIFS(Raw_Data!$AS$2:$AS$2552,Raw_Data!$D$2:$D$2552,$A29,Raw_Data!$B$2:$B$2552,$B29)</f>
        <v/>
      </c>
      <c r="U29" s="87">
        <f>M29+S29</f>
        <v/>
      </c>
      <c r="V29" s="86">
        <f>SUMIFS(Raw_Data!$AU$2:$AU$2552,Raw_Data!$D$2:$D$2552,$A29,Raw_Data!$B$2:$B$2552,$B29)</f>
        <v/>
      </c>
      <c r="W29" s="18">
        <f>IFERROR(C29/Summary!$B$17,"")</f>
        <v/>
      </c>
      <c r="X29" s="18">
        <f>IFERROR(M29/Summary!$L$17,"")</f>
        <v/>
      </c>
    </row>
    <row r="30">
      <c r="A30" s="19" t="inlineStr">
        <is>
          <t>TOTAL</t>
        </is>
      </c>
      <c r="B30" s="32" t="n"/>
      <c r="C30" s="91" t="n"/>
      <c r="D30" s="92" t="n"/>
      <c r="E30" s="92" t="n"/>
      <c r="F30" s="93">
        <f>IFERROR(D30/E30,"")</f>
        <v/>
      </c>
      <c r="G30" s="92" t="n"/>
      <c r="H30" s="94">
        <f>IFERROR(G30/D30,"")</f>
        <v/>
      </c>
      <c r="I30" s="95">
        <f>IFERROR(C30/G30,"")</f>
        <v/>
      </c>
      <c r="J30" s="95">
        <f>IFERROR(C30/D30*1000,"")</f>
        <v/>
      </c>
      <c r="K30" s="92" t="n"/>
      <c r="L30" s="25">
        <f>IFERROR(K30/G30,"")</f>
        <v/>
      </c>
      <c r="M30" s="92" t="n"/>
      <c r="N30" s="94">
        <f>IFERROR(M30/K30,"")</f>
        <v/>
      </c>
      <c r="O30" s="91">
        <f>IFERROR(C30/M30,"")</f>
        <v/>
      </c>
      <c r="P30" s="92" t="n"/>
      <c r="Q30" s="25">
        <f>IFERROR(P30/M30,"")</f>
        <v/>
      </c>
      <c r="R30" s="91">
        <f>IFERROR(C30/P30,"")</f>
        <v/>
      </c>
      <c r="S30" s="92" t="n"/>
      <c r="T30" s="92" t="n"/>
      <c r="U30" s="92">
        <f>M30+S30</f>
        <v/>
      </c>
      <c r="V30" s="91" t="n"/>
      <c r="W30" s="25">
        <f>IFERROR(C30/Summary!$B$17,"")</f>
        <v/>
      </c>
      <c r="X30" s="25">
        <f>IFERROR(M30/Summary!$L$17,"")</f>
        <v/>
      </c>
    </row>
    <row r="33" ht="18" customHeight="1" s="67">
      <c r="A33" s="2" t="inlineStr">
        <is>
          <t xml:space="preserve">  CHANNEL  x  MODEL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30" customHeight="1" s="67">
      <c r="A34" s="12" t="inlineStr">
        <is>
          <t>Channel</t>
        </is>
      </c>
      <c r="B34" s="12" t="inlineStr">
        <is>
          <t>Model</t>
        </is>
      </c>
      <c r="C34" s="12" t="inlineStr">
        <is>
          <t>Spend (ZAR)</t>
        </is>
      </c>
      <c r="D34" s="12" t="inlineStr">
        <is>
          <t>Impressions</t>
        </is>
      </c>
      <c r="E34" s="12" t="inlineStr">
        <is>
          <t>Reach (sum of daily)</t>
        </is>
      </c>
      <c r="F34" s="12" t="inlineStr">
        <is>
          <t>Avg Daily Frequency</t>
        </is>
      </c>
      <c r="G34" s="12" t="inlineStr">
        <is>
          <t>Link Clicks</t>
        </is>
      </c>
      <c r="H34" s="12" t="inlineStr">
        <is>
          <t>CTR (Link)</t>
        </is>
      </c>
      <c r="I34" s="12" t="inlineStr">
        <is>
          <t>CPC (Link)</t>
        </is>
      </c>
      <c r="J34" s="12" t="inlineStr">
        <is>
          <t>CPM</t>
        </is>
      </c>
      <c r="K34" s="12" t="inlineStr">
        <is>
          <t>Landing Page Views</t>
        </is>
      </c>
      <c r="L34" s="12" t="inlineStr">
        <is>
          <t>LPV Rate</t>
        </is>
      </c>
      <c r="M34" s="12" t="inlineStr">
        <is>
          <t>Test Drive Bookings</t>
        </is>
      </c>
      <c r="N34" s="12" t="inlineStr">
        <is>
          <t>CVR (Booking / LPV)</t>
        </is>
      </c>
      <c r="O34" s="12" t="inlineStr">
        <is>
          <t>CPL (Cost / Booking)</t>
        </is>
      </c>
      <c r="P34" s="12" t="inlineStr">
        <is>
          <t>Qualified Leads</t>
        </is>
      </c>
      <c r="Q34" s="12" t="inlineStr">
        <is>
          <t>Qualified Rate</t>
        </is>
      </c>
      <c r="R34" s="12" t="inlineStr">
        <is>
          <t>Cost per Qualified Lead</t>
        </is>
      </c>
      <c r="S34" s="12" t="inlineStr">
        <is>
          <t>View-Through Conv.</t>
        </is>
      </c>
      <c r="T34" s="12" t="inlineStr">
        <is>
          <t>Assisted Conv.</t>
        </is>
      </c>
      <c r="U34" s="12" t="inlineStr">
        <is>
          <t>Total Attributed Conv.</t>
        </is>
      </c>
      <c r="V34" s="12" t="inlineStr">
        <is>
          <t>Est. Revenue Pipeline (ZAR)</t>
        </is>
      </c>
      <c r="W34" s="12" t="inlineStr">
        <is>
          <t>% of Spend</t>
        </is>
      </c>
      <c r="X34" s="12" t="inlineStr">
        <is>
          <t>% of Bookings</t>
        </is>
      </c>
    </row>
    <row r="35">
      <c r="A35" s="6" t="inlineStr">
        <is>
          <t>Meta (FB/IG)</t>
        </is>
      </c>
      <c r="B35" s="78" t="inlineStr">
        <is>
          <t>AMUR</t>
        </is>
      </c>
      <c r="C35" s="86">
        <f>SUMIFS(Raw_Data!$R$2:$R$2552,Raw_Data!$D$2:$D$2552,$A35,Raw_Data!$H$2:$H$2552,$B35)</f>
        <v/>
      </c>
      <c r="D35" s="87">
        <f>SUMIFS(Raw_Data!$S$2:$S$2552,Raw_Data!$D$2:$D$2552,$A35,Raw_Data!$H$2:$H$2552,$B35)</f>
        <v/>
      </c>
      <c r="E35" s="87">
        <f>SUMIFS(Raw_Data!$T$2:$T$2552,Raw_Data!$D$2:$D$2552,$A35,Raw_Data!$H$2:$H$2552,$B35)</f>
        <v/>
      </c>
      <c r="F35" s="88">
        <f>IFERROR(D35/E35,"")</f>
        <v/>
      </c>
      <c r="G35" s="87">
        <f>SUMIFS(Raw_Data!$W$2:$W$2552,Raw_Data!$D$2:$D$2552,$A35,Raw_Data!$H$2:$H$2552,$B35)</f>
        <v/>
      </c>
      <c r="H35" s="89">
        <f>IFERROR(G35/D35,"")</f>
        <v/>
      </c>
      <c r="I35" s="90">
        <f>IFERROR(C35/G35,"")</f>
        <v/>
      </c>
      <c r="J35" s="90">
        <f>IFERROR(C35/D35*1000,"")</f>
        <v/>
      </c>
      <c r="K35" s="87">
        <f>SUMIFS(Raw_Data!$AA$2:$AA$2552,Raw_Data!$D$2:$D$2552,$A35,Raw_Data!$H$2:$H$2552,$B35)</f>
        <v/>
      </c>
      <c r="L35" s="18">
        <f>IFERROR(K35/G35,"")</f>
        <v/>
      </c>
      <c r="M35" s="87">
        <f>SUMIFS(Raw_Data!$AL$2:$AL$2552,Raw_Data!$D$2:$D$2552,$A35,Raw_Data!$H$2:$H$2552,$B35)</f>
        <v/>
      </c>
      <c r="N35" s="89">
        <f>IFERROR(M35/K35,"")</f>
        <v/>
      </c>
      <c r="O35" s="86">
        <f>IFERROR(C35/M35,"")</f>
        <v/>
      </c>
      <c r="P35" s="87">
        <f>SUMIFS(Raw_Data!$AO$2:$AO$2552,Raw_Data!$D$2:$D$2552,$A35,Raw_Data!$H$2:$H$2552,$B35)</f>
        <v/>
      </c>
      <c r="Q35" s="18">
        <f>IFERROR(P35/M35,"")</f>
        <v/>
      </c>
      <c r="R35" s="86">
        <f>IFERROR(C35/P35,"")</f>
        <v/>
      </c>
      <c r="S35" s="87">
        <f>SUMIFS(Raw_Data!$AR$2:$AR$2552,Raw_Data!$D$2:$D$2552,$A35,Raw_Data!$H$2:$H$2552,$B35)</f>
        <v/>
      </c>
      <c r="T35" s="87">
        <f>SUMIFS(Raw_Data!$AS$2:$AS$2552,Raw_Data!$D$2:$D$2552,$A35,Raw_Data!$H$2:$H$2552,$B35)</f>
        <v/>
      </c>
      <c r="U35" s="87">
        <f>M35+S35</f>
        <v/>
      </c>
      <c r="V35" s="86">
        <f>SUMIFS(Raw_Data!$AU$2:$AU$2552,Raw_Data!$D$2:$D$2552,$A35,Raw_Data!$H$2:$H$2552,$B35)</f>
        <v/>
      </c>
      <c r="W35" s="18">
        <f>IFERROR(C35/Summary!$B$17,"")</f>
        <v/>
      </c>
      <c r="X35" s="18">
        <f>IFERROR(M35/Summary!$L$17,"")</f>
        <v/>
      </c>
    </row>
    <row r="36">
      <c r="A36" s="6" t="inlineStr">
        <is>
          <t>Meta (FB/IG)</t>
        </is>
      </c>
      <c r="B36" s="78" t="inlineStr">
        <is>
          <t>JAVAN</t>
        </is>
      </c>
      <c r="C36" s="86">
        <f>SUMIFS(Raw_Data!$R$2:$R$2552,Raw_Data!$D$2:$D$2552,$A36,Raw_Data!$H$2:$H$2552,$B36)</f>
        <v/>
      </c>
      <c r="D36" s="87">
        <f>SUMIFS(Raw_Data!$S$2:$S$2552,Raw_Data!$D$2:$D$2552,$A36,Raw_Data!$H$2:$H$2552,$B36)</f>
        <v/>
      </c>
      <c r="E36" s="87">
        <f>SUMIFS(Raw_Data!$T$2:$T$2552,Raw_Data!$D$2:$D$2552,$A36,Raw_Data!$H$2:$H$2552,$B36)</f>
        <v/>
      </c>
      <c r="F36" s="88">
        <f>IFERROR(D36/E36,"")</f>
        <v/>
      </c>
      <c r="G36" s="87">
        <f>SUMIFS(Raw_Data!$W$2:$W$2552,Raw_Data!$D$2:$D$2552,$A36,Raw_Data!$H$2:$H$2552,$B36)</f>
        <v/>
      </c>
      <c r="H36" s="89">
        <f>IFERROR(G36/D36,"")</f>
        <v/>
      </c>
      <c r="I36" s="90">
        <f>IFERROR(C36/G36,"")</f>
        <v/>
      </c>
      <c r="J36" s="90">
        <f>IFERROR(C36/D36*1000,"")</f>
        <v/>
      </c>
      <c r="K36" s="87">
        <f>SUMIFS(Raw_Data!$AA$2:$AA$2552,Raw_Data!$D$2:$D$2552,$A36,Raw_Data!$H$2:$H$2552,$B36)</f>
        <v/>
      </c>
      <c r="L36" s="18">
        <f>IFERROR(K36/G36,"")</f>
        <v/>
      </c>
      <c r="M36" s="87">
        <f>SUMIFS(Raw_Data!$AL$2:$AL$2552,Raw_Data!$D$2:$D$2552,$A36,Raw_Data!$H$2:$H$2552,$B36)</f>
        <v/>
      </c>
      <c r="N36" s="89">
        <f>IFERROR(M36/K36,"")</f>
        <v/>
      </c>
      <c r="O36" s="86">
        <f>IFERROR(C36/M36,"")</f>
        <v/>
      </c>
      <c r="P36" s="87">
        <f>SUMIFS(Raw_Data!$AO$2:$AO$2552,Raw_Data!$D$2:$D$2552,$A36,Raw_Data!$H$2:$H$2552,$B36)</f>
        <v/>
      </c>
      <c r="Q36" s="18">
        <f>IFERROR(P36/M36,"")</f>
        <v/>
      </c>
      <c r="R36" s="86">
        <f>IFERROR(C36/P36,"")</f>
        <v/>
      </c>
      <c r="S36" s="87">
        <f>SUMIFS(Raw_Data!$AR$2:$AR$2552,Raw_Data!$D$2:$D$2552,$A36,Raw_Data!$H$2:$H$2552,$B36)</f>
        <v/>
      </c>
      <c r="T36" s="87">
        <f>SUMIFS(Raw_Data!$AS$2:$AS$2552,Raw_Data!$D$2:$D$2552,$A36,Raw_Data!$H$2:$H$2552,$B36)</f>
        <v/>
      </c>
      <c r="U36" s="87">
        <f>M36+S36</f>
        <v/>
      </c>
      <c r="V36" s="86">
        <f>SUMIFS(Raw_Data!$AU$2:$AU$2552,Raw_Data!$D$2:$D$2552,$A36,Raw_Data!$H$2:$H$2552,$B36)</f>
        <v/>
      </c>
      <c r="W36" s="18">
        <f>IFERROR(C36/Summary!$B$17,"")</f>
        <v/>
      </c>
      <c r="X36" s="18">
        <f>IFERROR(M36/Summary!$L$17,"")</f>
        <v/>
      </c>
    </row>
    <row r="37">
      <c r="A37" s="6" t="inlineStr">
        <is>
          <t>Meta (FB/IG)</t>
        </is>
      </c>
      <c r="B37" s="78" t="inlineStr">
        <is>
          <t>PANTERA</t>
        </is>
      </c>
      <c r="C37" s="86">
        <f>SUMIFS(Raw_Data!$R$2:$R$2552,Raw_Data!$D$2:$D$2552,$A37,Raw_Data!$H$2:$H$2552,$B37)</f>
        <v/>
      </c>
      <c r="D37" s="87">
        <f>SUMIFS(Raw_Data!$S$2:$S$2552,Raw_Data!$D$2:$D$2552,$A37,Raw_Data!$H$2:$H$2552,$B37)</f>
        <v/>
      </c>
      <c r="E37" s="87">
        <f>SUMIFS(Raw_Data!$T$2:$T$2552,Raw_Data!$D$2:$D$2552,$A37,Raw_Data!$H$2:$H$2552,$B37)</f>
        <v/>
      </c>
      <c r="F37" s="88">
        <f>IFERROR(D37/E37,"")</f>
        <v/>
      </c>
      <c r="G37" s="87">
        <f>SUMIFS(Raw_Data!$W$2:$W$2552,Raw_Data!$D$2:$D$2552,$A37,Raw_Data!$H$2:$H$2552,$B37)</f>
        <v/>
      </c>
      <c r="H37" s="89">
        <f>IFERROR(G37/D37,"")</f>
        <v/>
      </c>
      <c r="I37" s="90">
        <f>IFERROR(C37/G37,"")</f>
        <v/>
      </c>
      <c r="J37" s="90">
        <f>IFERROR(C37/D37*1000,"")</f>
        <v/>
      </c>
      <c r="K37" s="87">
        <f>SUMIFS(Raw_Data!$AA$2:$AA$2552,Raw_Data!$D$2:$D$2552,$A37,Raw_Data!$H$2:$H$2552,$B37)</f>
        <v/>
      </c>
      <c r="L37" s="18">
        <f>IFERROR(K37/G37,"")</f>
        <v/>
      </c>
      <c r="M37" s="87">
        <f>SUMIFS(Raw_Data!$AL$2:$AL$2552,Raw_Data!$D$2:$D$2552,$A37,Raw_Data!$H$2:$H$2552,$B37)</f>
        <v/>
      </c>
      <c r="N37" s="89">
        <f>IFERROR(M37/K37,"")</f>
        <v/>
      </c>
      <c r="O37" s="86">
        <f>IFERROR(C37/M37,"")</f>
        <v/>
      </c>
      <c r="P37" s="87">
        <f>SUMIFS(Raw_Data!$AO$2:$AO$2552,Raw_Data!$D$2:$D$2552,$A37,Raw_Data!$H$2:$H$2552,$B37)</f>
        <v/>
      </c>
      <c r="Q37" s="18">
        <f>IFERROR(P37/M37,"")</f>
        <v/>
      </c>
      <c r="R37" s="86">
        <f>IFERROR(C37/P37,"")</f>
        <v/>
      </c>
      <c r="S37" s="87">
        <f>SUMIFS(Raw_Data!$AR$2:$AR$2552,Raw_Data!$D$2:$D$2552,$A37,Raw_Data!$H$2:$H$2552,$B37)</f>
        <v/>
      </c>
      <c r="T37" s="87">
        <f>SUMIFS(Raw_Data!$AS$2:$AS$2552,Raw_Data!$D$2:$D$2552,$A37,Raw_Data!$H$2:$H$2552,$B37)</f>
        <v/>
      </c>
      <c r="U37" s="87">
        <f>M37+S37</f>
        <v/>
      </c>
      <c r="V37" s="86">
        <f>SUMIFS(Raw_Data!$AU$2:$AU$2552,Raw_Data!$D$2:$D$2552,$A37,Raw_Data!$H$2:$H$2552,$B37)</f>
        <v/>
      </c>
      <c r="W37" s="18">
        <f>IFERROR(C37/Summary!$B$17,"")</f>
        <v/>
      </c>
      <c r="X37" s="18">
        <f>IFERROR(M37/Summary!$L$17,"")</f>
        <v/>
      </c>
    </row>
    <row r="38">
      <c r="A38" s="6" t="inlineStr">
        <is>
          <t>Meta (FB/IG)</t>
        </is>
      </c>
      <c r="B38" s="78" t="inlineStr">
        <is>
          <t>Range</t>
        </is>
      </c>
      <c r="C38" s="86">
        <f>SUMIFS(Raw_Data!$R$2:$R$2552,Raw_Data!$D$2:$D$2552,$A38,Raw_Data!$H$2:$H$2552,$B38)</f>
        <v/>
      </c>
      <c r="D38" s="87">
        <f>SUMIFS(Raw_Data!$S$2:$S$2552,Raw_Data!$D$2:$D$2552,$A38,Raw_Data!$H$2:$H$2552,$B38)</f>
        <v/>
      </c>
      <c r="E38" s="87">
        <f>SUMIFS(Raw_Data!$T$2:$T$2552,Raw_Data!$D$2:$D$2552,$A38,Raw_Data!$H$2:$H$2552,$B38)</f>
        <v/>
      </c>
      <c r="F38" s="88">
        <f>IFERROR(D38/E38,"")</f>
        <v/>
      </c>
      <c r="G38" s="87">
        <f>SUMIFS(Raw_Data!$W$2:$W$2552,Raw_Data!$D$2:$D$2552,$A38,Raw_Data!$H$2:$H$2552,$B38)</f>
        <v/>
      </c>
      <c r="H38" s="89">
        <f>IFERROR(G38/D38,"")</f>
        <v/>
      </c>
      <c r="I38" s="90">
        <f>IFERROR(C38/G38,"")</f>
        <v/>
      </c>
      <c r="J38" s="90">
        <f>IFERROR(C38/D38*1000,"")</f>
        <v/>
      </c>
      <c r="K38" s="87">
        <f>SUMIFS(Raw_Data!$AA$2:$AA$2552,Raw_Data!$D$2:$D$2552,$A38,Raw_Data!$H$2:$H$2552,$B38)</f>
        <v/>
      </c>
      <c r="L38" s="18">
        <f>IFERROR(K38/G38,"")</f>
        <v/>
      </c>
      <c r="M38" s="87">
        <f>SUMIFS(Raw_Data!$AL$2:$AL$2552,Raw_Data!$D$2:$D$2552,$A38,Raw_Data!$H$2:$H$2552,$B38)</f>
        <v/>
      </c>
      <c r="N38" s="89">
        <f>IFERROR(M38/K38,"")</f>
        <v/>
      </c>
      <c r="O38" s="86">
        <f>IFERROR(C38/M38,"")</f>
        <v/>
      </c>
      <c r="P38" s="87">
        <f>SUMIFS(Raw_Data!$AO$2:$AO$2552,Raw_Data!$D$2:$D$2552,$A38,Raw_Data!$H$2:$H$2552,$B38)</f>
        <v/>
      </c>
      <c r="Q38" s="18">
        <f>IFERROR(P38/M38,"")</f>
        <v/>
      </c>
      <c r="R38" s="86">
        <f>IFERROR(C38/P38,"")</f>
        <v/>
      </c>
      <c r="S38" s="87">
        <f>SUMIFS(Raw_Data!$AR$2:$AR$2552,Raw_Data!$D$2:$D$2552,$A38,Raw_Data!$H$2:$H$2552,$B38)</f>
        <v/>
      </c>
      <c r="T38" s="87">
        <f>SUMIFS(Raw_Data!$AS$2:$AS$2552,Raw_Data!$D$2:$D$2552,$A38,Raw_Data!$H$2:$H$2552,$B38)</f>
        <v/>
      </c>
      <c r="U38" s="87">
        <f>M38+S38</f>
        <v/>
      </c>
      <c r="V38" s="86">
        <f>SUMIFS(Raw_Data!$AU$2:$AU$2552,Raw_Data!$D$2:$D$2552,$A38,Raw_Data!$H$2:$H$2552,$B38)</f>
        <v/>
      </c>
      <c r="W38" s="18">
        <f>IFERROR(C38/Summary!$B$17,"")</f>
        <v/>
      </c>
      <c r="X38" s="18">
        <f>IFERROR(M38/Summary!$L$17,"")</f>
        <v/>
      </c>
    </row>
    <row r="39">
      <c r="A39" s="6" t="inlineStr">
        <is>
          <t>TikTok</t>
        </is>
      </c>
      <c r="B39" s="78" t="inlineStr">
        <is>
          <t>AMUR</t>
        </is>
      </c>
      <c r="C39" s="86">
        <f>SUMIFS(Raw_Data!$R$2:$R$2552,Raw_Data!$D$2:$D$2552,$A39,Raw_Data!$H$2:$H$2552,$B39)</f>
        <v/>
      </c>
      <c r="D39" s="87">
        <f>SUMIFS(Raw_Data!$S$2:$S$2552,Raw_Data!$D$2:$D$2552,$A39,Raw_Data!$H$2:$H$2552,$B39)</f>
        <v/>
      </c>
      <c r="E39" s="87">
        <f>SUMIFS(Raw_Data!$T$2:$T$2552,Raw_Data!$D$2:$D$2552,$A39,Raw_Data!$H$2:$H$2552,$B39)</f>
        <v/>
      </c>
      <c r="F39" s="88">
        <f>IFERROR(D39/E39,"")</f>
        <v/>
      </c>
      <c r="G39" s="87">
        <f>SUMIFS(Raw_Data!$W$2:$W$2552,Raw_Data!$D$2:$D$2552,$A39,Raw_Data!$H$2:$H$2552,$B39)</f>
        <v/>
      </c>
      <c r="H39" s="89">
        <f>IFERROR(G39/D39,"")</f>
        <v/>
      </c>
      <c r="I39" s="90">
        <f>IFERROR(C39/G39,"")</f>
        <v/>
      </c>
      <c r="J39" s="90">
        <f>IFERROR(C39/D39*1000,"")</f>
        <v/>
      </c>
      <c r="K39" s="87">
        <f>SUMIFS(Raw_Data!$AA$2:$AA$2552,Raw_Data!$D$2:$D$2552,$A39,Raw_Data!$H$2:$H$2552,$B39)</f>
        <v/>
      </c>
      <c r="L39" s="18">
        <f>IFERROR(K39/G39,"")</f>
        <v/>
      </c>
      <c r="M39" s="87">
        <f>SUMIFS(Raw_Data!$AL$2:$AL$2552,Raw_Data!$D$2:$D$2552,$A39,Raw_Data!$H$2:$H$2552,$B39)</f>
        <v/>
      </c>
      <c r="N39" s="89">
        <f>IFERROR(M39/K39,"")</f>
        <v/>
      </c>
      <c r="O39" s="86">
        <f>IFERROR(C39/M39,"")</f>
        <v/>
      </c>
      <c r="P39" s="87">
        <f>SUMIFS(Raw_Data!$AO$2:$AO$2552,Raw_Data!$D$2:$D$2552,$A39,Raw_Data!$H$2:$H$2552,$B39)</f>
        <v/>
      </c>
      <c r="Q39" s="18">
        <f>IFERROR(P39/M39,"")</f>
        <v/>
      </c>
      <c r="R39" s="86">
        <f>IFERROR(C39/P39,"")</f>
        <v/>
      </c>
      <c r="S39" s="87">
        <f>SUMIFS(Raw_Data!$AR$2:$AR$2552,Raw_Data!$D$2:$D$2552,$A39,Raw_Data!$H$2:$H$2552,$B39)</f>
        <v/>
      </c>
      <c r="T39" s="87">
        <f>SUMIFS(Raw_Data!$AS$2:$AS$2552,Raw_Data!$D$2:$D$2552,$A39,Raw_Data!$H$2:$H$2552,$B39)</f>
        <v/>
      </c>
      <c r="U39" s="87">
        <f>M39+S39</f>
        <v/>
      </c>
      <c r="V39" s="86">
        <f>SUMIFS(Raw_Data!$AU$2:$AU$2552,Raw_Data!$D$2:$D$2552,$A39,Raw_Data!$H$2:$H$2552,$B39)</f>
        <v/>
      </c>
      <c r="W39" s="18">
        <f>IFERROR(C39/Summary!$B$17,"")</f>
        <v/>
      </c>
      <c r="X39" s="18">
        <f>IFERROR(M39/Summary!$L$17,"")</f>
        <v/>
      </c>
    </row>
    <row r="40">
      <c r="A40" s="6" t="inlineStr">
        <is>
          <t>TikTok</t>
        </is>
      </c>
      <c r="B40" s="78" t="inlineStr">
        <is>
          <t>PANTERA</t>
        </is>
      </c>
      <c r="C40" s="86">
        <f>SUMIFS(Raw_Data!$R$2:$R$2552,Raw_Data!$D$2:$D$2552,$A40,Raw_Data!$H$2:$H$2552,$B40)</f>
        <v/>
      </c>
      <c r="D40" s="87">
        <f>SUMIFS(Raw_Data!$S$2:$S$2552,Raw_Data!$D$2:$D$2552,$A40,Raw_Data!$H$2:$H$2552,$B40)</f>
        <v/>
      </c>
      <c r="E40" s="87">
        <f>SUMIFS(Raw_Data!$T$2:$T$2552,Raw_Data!$D$2:$D$2552,$A40,Raw_Data!$H$2:$H$2552,$B40)</f>
        <v/>
      </c>
      <c r="F40" s="88">
        <f>IFERROR(D40/E40,"")</f>
        <v/>
      </c>
      <c r="G40" s="87">
        <f>SUMIFS(Raw_Data!$W$2:$W$2552,Raw_Data!$D$2:$D$2552,$A40,Raw_Data!$H$2:$H$2552,$B40)</f>
        <v/>
      </c>
      <c r="H40" s="89">
        <f>IFERROR(G40/D40,"")</f>
        <v/>
      </c>
      <c r="I40" s="90">
        <f>IFERROR(C40/G40,"")</f>
        <v/>
      </c>
      <c r="J40" s="90">
        <f>IFERROR(C40/D40*1000,"")</f>
        <v/>
      </c>
      <c r="K40" s="87">
        <f>SUMIFS(Raw_Data!$AA$2:$AA$2552,Raw_Data!$D$2:$D$2552,$A40,Raw_Data!$H$2:$H$2552,$B40)</f>
        <v/>
      </c>
      <c r="L40" s="18">
        <f>IFERROR(K40/G40,"")</f>
        <v/>
      </c>
      <c r="M40" s="87">
        <f>SUMIFS(Raw_Data!$AL$2:$AL$2552,Raw_Data!$D$2:$D$2552,$A40,Raw_Data!$H$2:$H$2552,$B40)</f>
        <v/>
      </c>
      <c r="N40" s="89">
        <f>IFERROR(M40/K40,"")</f>
        <v/>
      </c>
      <c r="O40" s="86">
        <f>IFERROR(C40/M40,"")</f>
        <v/>
      </c>
      <c r="P40" s="87">
        <f>SUMIFS(Raw_Data!$AO$2:$AO$2552,Raw_Data!$D$2:$D$2552,$A40,Raw_Data!$H$2:$H$2552,$B40)</f>
        <v/>
      </c>
      <c r="Q40" s="18">
        <f>IFERROR(P40/M40,"")</f>
        <v/>
      </c>
      <c r="R40" s="86">
        <f>IFERROR(C40/P40,"")</f>
        <v/>
      </c>
      <c r="S40" s="87">
        <f>SUMIFS(Raw_Data!$AR$2:$AR$2552,Raw_Data!$D$2:$D$2552,$A40,Raw_Data!$H$2:$H$2552,$B40)</f>
        <v/>
      </c>
      <c r="T40" s="87">
        <f>SUMIFS(Raw_Data!$AS$2:$AS$2552,Raw_Data!$D$2:$D$2552,$A40,Raw_Data!$H$2:$H$2552,$B40)</f>
        <v/>
      </c>
      <c r="U40" s="87">
        <f>M40+S40</f>
        <v/>
      </c>
      <c r="V40" s="86">
        <f>SUMIFS(Raw_Data!$AU$2:$AU$2552,Raw_Data!$D$2:$D$2552,$A40,Raw_Data!$H$2:$H$2552,$B40)</f>
        <v/>
      </c>
      <c r="W40" s="18">
        <f>IFERROR(C40/Summary!$B$17,"")</f>
        <v/>
      </c>
      <c r="X40" s="18">
        <f>IFERROR(M40/Summary!$L$17,"")</f>
        <v/>
      </c>
    </row>
    <row r="41">
      <c r="A41" s="6" t="inlineStr">
        <is>
          <t>TikTok</t>
        </is>
      </c>
      <c r="B41" s="78" t="inlineStr">
        <is>
          <t>Range</t>
        </is>
      </c>
      <c r="C41" s="86">
        <f>SUMIFS(Raw_Data!$R$2:$R$2552,Raw_Data!$D$2:$D$2552,$A41,Raw_Data!$H$2:$H$2552,$B41)</f>
        <v/>
      </c>
      <c r="D41" s="87">
        <f>SUMIFS(Raw_Data!$S$2:$S$2552,Raw_Data!$D$2:$D$2552,$A41,Raw_Data!$H$2:$H$2552,$B41)</f>
        <v/>
      </c>
      <c r="E41" s="87">
        <f>SUMIFS(Raw_Data!$T$2:$T$2552,Raw_Data!$D$2:$D$2552,$A41,Raw_Data!$H$2:$H$2552,$B41)</f>
        <v/>
      </c>
      <c r="F41" s="88">
        <f>IFERROR(D41/E41,"")</f>
        <v/>
      </c>
      <c r="G41" s="87">
        <f>SUMIFS(Raw_Data!$W$2:$W$2552,Raw_Data!$D$2:$D$2552,$A41,Raw_Data!$H$2:$H$2552,$B41)</f>
        <v/>
      </c>
      <c r="H41" s="89">
        <f>IFERROR(G41/D41,"")</f>
        <v/>
      </c>
      <c r="I41" s="90">
        <f>IFERROR(C41/G41,"")</f>
        <v/>
      </c>
      <c r="J41" s="90">
        <f>IFERROR(C41/D41*1000,"")</f>
        <v/>
      </c>
      <c r="K41" s="87">
        <f>SUMIFS(Raw_Data!$AA$2:$AA$2552,Raw_Data!$D$2:$D$2552,$A41,Raw_Data!$H$2:$H$2552,$B41)</f>
        <v/>
      </c>
      <c r="L41" s="18">
        <f>IFERROR(K41/G41,"")</f>
        <v/>
      </c>
      <c r="M41" s="87">
        <f>SUMIFS(Raw_Data!$AL$2:$AL$2552,Raw_Data!$D$2:$D$2552,$A41,Raw_Data!$H$2:$H$2552,$B41)</f>
        <v/>
      </c>
      <c r="N41" s="89">
        <f>IFERROR(M41/K41,"")</f>
        <v/>
      </c>
      <c r="O41" s="86">
        <f>IFERROR(C41/M41,"")</f>
        <v/>
      </c>
      <c r="P41" s="87">
        <f>SUMIFS(Raw_Data!$AO$2:$AO$2552,Raw_Data!$D$2:$D$2552,$A41,Raw_Data!$H$2:$H$2552,$B41)</f>
        <v/>
      </c>
      <c r="Q41" s="18">
        <f>IFERROR(P41/M41,"")</f>
        <v/>
      </c>
      <c r="R41" s="86">
        <f>IFERROR(C41/P41,"")</f>
        <v/>
      </c>
      <c r="S41" s="87">
        <f>SUMIFS(Raw_Data!$AR$2:$AR$2552,Raw_Data!$D$2:$D$2552,$A41,Raw_Data!$H$2:$H$2552,$B41)</f>
        <v/>
      </c>
      <c r="T41" s="87">
        <f>SUMIFS(Raw_Data!$AS$2:$AS$2552,Raw_Data!$D$2:$D$2552,$A41,Raw_Data!$H$2:$H$2552,$B41)</f>
        <v/>
      </c>
      <c r="U41" s="87">
        <f>M41+S41</f>
        <v/>
      </c>
      <c r="V41" s="86">
        <f>SUMIFS(Raw_Data!$AU$2:$AU$2552,Raw_Data!$D$2:$D$2552,$A41,Raw_Data!$H$2:$H$2552,$B41)</f>
        <v/>
      </c>
      <c r="W41" s="18">
        <f>IFERROR(C41/Summary!$B$17,"")</f>
        <v/>
      </c>
      <c r="X41" s="18">
        <f>IFERROR(M41/Summary!$L$17,"")</f>
        <v/>
      </c>
    </row>
    <row r="42">
      <c r="A42" s="6" t="inlineStr">
        <is>
          <t>X</t>
        </is>
      </c>
      <c r="B42" s="78" t="inlineStr">
        <is>
          <t>Range</t>
        </is>
      </c>
      <c r="C42" s="86">
        <f>SUMIFS(Raw_Data!$R$2:$R$2552,Raw_Data!$D$2:$D$2552,$A42,Raw_Data!$H$2:$H$2552,$B42)</f>
        <v/>
      </c>
      <c r="D42" s="87">
        <f>SUMIFS(Raw_Data!$S$2:$S$2552,Raw_Data!$D$2:$D$2552,$A42,Raw_Data!$H$2:$H$2552,$B42)</f>
        <v/>
      </c>
      <c r="E42" s="87">
        <f>SUMIFS(Raw_Data!$T$2:$T$2552,Raw_Data!$D$2:$D$2552,$A42,Raw_Data!$H$2:$H$2552,$B42)</f>
        <v/>
      </c>
      <c r="F42" s="88">
        <f>IFERROR(D42/E42,"")</f>
        <v/>
      </c>
      <c r="G42" s="87">
        <f>SUMIFS(Raw_Data!$W$2:$W$2552,Raw_Data!$D$2:$D$2552,$A42,Raw_Data!$H$2:$H$2552,$B42)</f>
        <v/>
      </c>
      <c r="H42" s="89">
        <f>IFERROR(G42/D42,"")</f>
        <v/>
      </c>
      <c r="I42" s="90">
        <f>IFERROR(C42/G42,"")</f>
        <v/>
      </c>
      <c r="J42" s="90">
        <f>IFERROR(C42/D42*1000,"")</f>
        <v/>
      </c>
      <c r="K42" s="87">
        <f>SUMIFS(Raw_Data!$AA$2:$AA$2552,Raw_Data!$D$2:$D$2552,$A42,Raw_Data!$H$2:$H$2552,$B42)</f>
        <v/>
      </c>
      <c r="L42" s="18">
        <f>IFERROR(K42/G42,"")</f>
        <v/>
      </c>
      <c r="M42" s="87">
        <f>SUMIFS(Raw_Data!$AL$2:$AL$2552,Raw_Data!$D$2:$D$2552,$A42,Raw_Data!$H$2:$H$2552,$B42)</f>
        <v/>
      </c>
      <c r="N42" s="89">
        <f>IFERROR(M42/K42,"")</f>
        <v/>
      </c>
      <c r="O42" s="86">
        <f>IFERROR(C42/M42,"")</f>
        <v/>
      </c>
      <c r="P42" s="87">
        <f>SUMIFS(Raw_Data!$AO$2:$AO$2552,Raw_Data!$D$2:$D$2552,$A42,Raw_Data!$H$2:$H$2552,$B42)</f>
        <v/>
      </c>
      <c r="Q42" s="18">
        <f>IFERROR(P42/M42,"")</f>
        <v/>
      </c>
      <c r="R42" s="86">
        <f>IFERROR(C42/P42,"")</f>
        <v/>
      </c>
      <c r="S42" s="87">
        <f>SUMIFS(Raw_Data!$AR$2:$AR$2552,Raw_Data!$D$2:$D$2552,$A42,Raw_Data!$H$2:$H$2552,$B42)</f>
        <v/>
      </c>
      <c r="T42" s="87">
        <f>SUMIFS(Raw_Data!$AS$2:$AS$2552,Raw_Data!$D$2:$D$2552,$A42,Raw_Data!$H$2:$H$2552,$B42)</f>
        <v/>
      </c>
      <c r="U42" s="87">
        <f>M42+S42</f>
        <v/>
      </c>
      <c r="V42" s="86">
        <f>SUMIFS(Raw_Data!$AU$2:$AU$2552,Raw_Data!$D$2:$D$2552,$A42,Raw_Data!$H$2:$H$2552,$B42)</f>
        <v/>
      </c>
      <c r="W42" s="18">
        <f>IFERROR(C42/Summary!$B$17,"")</f>
        <v/>
      </c>
      <c r="X42" s="18">
        <f>IFERROR(M42/Summary!$L$17,"")</f>
        <v/>
      </c>
    </row>
    <row r="43">
      <c r="A43" s="6" t="inlineStr">
        <is>
          <t>Programmatic</t>
        </is>
      </c>
      <c r="B43" s="78" t="inlineStr">
        <is>
          <t>Range</t>
        </is>
      </c>
      <c r="C43" s="86">
        <f>SUMIFS(Raw_Data!$R$2:$R$2552,Raw_Data!$D$2:$D$2552,$A43,Raw_Data!$H$2:$H$2552,$B43)</f>
        <v/>
      </c>
      <c r="D43" s="87">
        <f>SUMIFS(Raw_Data!$S$2:$S$2552,Raw_Data!$D$2:$D$2552,$A43,Raw_Data!$H$2:$H$2552,$B43)</f>
        <v/>
      </c>
      <c r="E43" s="87">
        <f>SUMIFS(Raw_Data!$T$2:$T$2552,Raw_Data!$D$2:$D$2552,$A43,Raw_Data!$H$2:$H$2552,$B43)</f>
        <v/>
      </c>
      <c r="F43" s="88">
        <f>IFERROR(D43/E43,"")</f>
        <v/>
      </c>
      <c r="G43" s="87">
        <f>SUMIFS(Raw_Data!$W$2:$W$2552,Raw_Data!$D$2:$D$2552,$A43,Raw_Data!$H$2:$H$2552,$B43)</f>
        <v/>
      </c>
      <c r="H43" s="89">
        <f>IFERROR(G43/D43,"")</f>
        <v/>
      </c>
      <c r="I43" s="90">
        <f>IFERROR(C43/G43,"")</f>
        <v/>
      </c>
      <c r="J43" s="90">
        <f>IFERROR(C43/D43*1000,"")</f>
        <v/>
      </c>
      <c r="K43" s="87">
        <f>SUMIFS(Raw_Data!$AA$2:$AA$2552,Raw_Data!$D$2:$D$2552,$A43,Raw_Data!$H$2:$H$2552,$B43)</f>
        <v/>
      </c>
      <c r="L43" s="18">
        <f>IFERROR(K43/G43,"")</f>
        <v/>
      </c>
      <c r="M43" s="87">
        <f>SUMIFS(Raw_Data!$AL$2:$AL$2552,Raw_Data!$D$2:$D$2552,$A43,Raw_Data!$H$2:$H$2552,$B43)</f>
        <v/>
      </c>
      <c r="N43" s="89">
        <f>IFERROR(M43/K43,"")</f>
        <v/>
      </c>
      <c r="O43" s="86">
        <f>IFERROR(C43/M43,"")</f>
        <v/>
      </c>
      <c r="P43" s="87">
        <f>SUMIFS(Raw_Data!$AO$2:$AO$2552,Raw_Data!$D$2:$D$2552,$A43,Raw_Data!$H$2:$H$2552,$B43)</f>
        <v/>
      </c>
      <c r="Q43" s="18">
        <f>IFERROR(P43/M43,"")</f>
        <v/>
      </c>
      <c r="R43" s="86">
        <f>IFERROR(C43/P43,"")</f>
        <v/>
      </c>
      <c r="S43" s="87">
        <f>SUMIFS(Raw_Data!$AR$2:$AR$2552,Raw_Data!$D$2:$D$2552,$A43,Raw_Data!$H$2:$H$2552,$B43)</f>
        <v/>
      </c>
      <c r="T43" s="87">
        <f>SUMIFS(Raw_Data!$AS$2:$AS$2552,Raw_Data!$D$2:$D$2552,$A43,Raw_Data!$H$2:$H$2552,$B43)</f>
        <v/>
      </c>
      <c r="U43" s="87">
        <f>M43+S43</f>
        <v/>
      </c>
      <c r="V43" s="86">
        <f>SUMIFS(Raw_Data!$AU$2:$AU$2552,Raw_Data!$D$2:$D$2552,$A43,Raw_Data!$H$2:$H$2552,$B43)</f>
        <v/>
      </c>
      <c r="W43" s="18">
        <f>IFERROR(C43/Summary!$B$17,"")</f>
        <v/>
      </c>
      <c r="X43" s="18">
        <f>IFERROR(M43/Summary!$L$17,"")</f>
        <v/>
      </c>
    </row>
    <row r="44">
      <c r="A44" s="19" t="inlineStr">
        <is>
          <t>TOTAL</t>
        </is>
      </c>
      <c r="B44" s="32" t="n"/>
      <c r="C44" s="91" t="n"/>
      <c r="D44" s="92" t="n"/>
      <c r="E44" s="92" t="n"/>
      <c r="F44" s="93">
        <f>IFERROR(D44/E44,"")</f>
        <v/>
      </c>
      <c r="G44" s="92" t="n"/>
      <c r="H44" s="94">
        <f>IFERROR(G44/D44,"")</f>
        <v/>
      </c>
      <c r="I44" s="95">
        <f>IFERROR(C44/G44,"")</f>
        <v/>
      </c>
      <c r="J44" s="95">
        <f>IFERROR(C44/D44*1000,"")</f>
        <v/>
      </c>
      <c r="K44" s="92" t="n"/>
      <c r="L44" s="25">
        <f>IFERROR(K44/G44,"")</f>
        <v/>
      </c>
      <c r="M44" s="92" t="n"/>
      <c r="N44" s="94">
        <f>IFERROR(M44/K44,"")</f>
        <v/>
      </c>
      <c r="O44" s="91">
        <f>IFERROR(C44/M44,"")</f>
        <v/>
      </c>
      <c r="P44" s="92" t="n"/>
      <c r="Q44" s="25">
        <f>IFERROR(P44/M44,"")</f>
        <v/>
      </c>
      <c r="R44" s="91">
        <f>IFERROR(C44/P44,"")</f>
        <v/>
      </c>
      <c r="S44" s="92" t="n"/>
      <c r="T44" s="92" t="n"/>
      <c r="U44" s="92">
        <f>M44+S44</f>
        <v/>
      </c>
      <c r="V44" s="91" t="n"/>
      <c r="W44" s="25">
        <f>IFERROR(C44/Summary!$B$17,"")</f>
        <v/>
      </c>
      <c r="X44" s="25">
        <f>IFERROR(M44/Summary!$L$17,"")</f>
        <v/>
      </c>
    </row>
    <row r="47" ht="18" customHeight="1" s="67">
      <c r="A47" s="2" t="inlineStr">
        <is>
          <t xml:space="preserve">  CHANNEL  x  AUDIENCE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30" customHeight="1" s="67">
      <c r="A48" s="12" t="inlineStr">
        <is>
          <t>Channel</t>
        </is>
      </c>
      <c r="B48" s="12" t="inlineStr">
        <is>
          <t>Audience Type</t>
        </is>
      </c>
      <c r="C48" s="12" t="inlineStr">
        <is>
          <t>Spend (ZAR)</t>
        </is>
      </c>
      <c r="D48" s="12" t="inlineStr">
        <is>
          <t>Impressions</t>
        </is>
      </c>
      <c r="E48" s="12" t="inlineStr">
        <is>
          <t>Reach (sum of daily)</t>
        </is>
      </c>
      <c r="F48" s="12" t="inlineStr">
        <is>
          <t>Avg Daily Frequency</t>
        </is>
      </c>
      <c r="G48" s="12" t="inlineStr">
        <is>
          <t>Link Clicks</t>
        </is>
      </c>
      <c r="H48" s="12" t="inlineStr">
        <is>
          <t>CTR (Link)</t>
        </is>
      </c>
      <c r="I48" s="12" t="inlineStr">
        <is>
          <t>CPC (Link)</t>
        </is>
      </c>
      <c r="J48" s="12" t="inlineStr">
        <is>
          <t>CPM</t>
        </is>
      </c>
      <c r="K48" s="12" t="inlineStr">
        <is>
          <t>Landing Page Views</t>
        </is>
      </c>
      <c r="L48" s="12" t="inlineStr">
        <is>
          <t>LPV Rate</t>
        </is>
      </c>
      <c r="M48" s="12" t="inlineStr">
        <is>
          <t>Test Drive Bookings</t>
        </is>
      </c>
      <c r="N48" s="12" t="inlineStr">
        <is>
          <t>CVR (Booking / LPV)</t>
        </is>
      </c>
      <c r="O48" s="12" t="inlineStr">
        <is>
          <t>CPL (Cost / Booking)</t>
        </is>
      </c>
      <c r="P48" s="12" t="inlineStr">
        <is>
          <t>Qualified Leads</t>
        </is>
      </c>
      <c r="Q48" s="12" t="inlineStr">
        <is>
          <t>Qualified Rate</t>
        </is>
      </c>
      <c r="R48" s="12" t="inlineStr">
        <is>
          <t>Cost per Qualified Lead</t>
        </is>
      </c>
      <c r="S48" s="12" t="inlineStr">
        <is>
          <t>View-Through Conv.</t>
        </is>
      </c>
      <c r="T48" s="12" t="inlineStr">
        <is>
          <t>Assisted Conv.</t>
        </is>
      </c>
      <c r="U48" s="12" t="inlineStr">
        <is>
          <t>Total Attributed Conv.</t>
        </is>
      </c>
      <c r="V48" s="12" t="inlineStr">
        <is>
          <t>Est. Revenue Pipeline (ZAR)</t>
        </is>
      </c>
      <c r="W48" s="12" t="inlineStr">
        <is>
          <t>% of Spend</t>
        </is>
      </c>
      <c r="X48" s="12" t="inlineStr">
        <is>
          <t>% of Bookings</t>
        </is>
      </c>
    </row>
    <row r="49">
      <c r="A49" s="6" t="inlineStr">
        <is>
          <t>Meta (FB/IG)</t>
        </is>
      </c>
      <c r="B49" s="78" t="inlineStr">
        <is>
          <t>In-Market</t>
        </is>
      </c>
      <c r="C49" s="86">
        <f>SUMIFS(Raw_Data!$R$2:$R$2552,Raw_Data!$D$2:$D$2552,$A49,Raw_Data!$K$2:$K$2552,$B49)</f>
        <v/>
      </c>
      <c r="D49" s="87">
        <f>SUMIFS(Raw_Data!$S$2:$S$2552,Raw_Data!$D$2:$D$2552,$A49,Raw_Data!$K$2:$K$2552,$B49)</f>
        <v/>
      </c>
      <c r="E49" s="87">
        <f>SUMIFS(Raw_Data!$T$2:$T$2552,Raw_Data!$D$2:$D$2552,$A49,Raw_Data!$K$2:$K$2552,$B49)</f>
        <v/>
      </c>
      <c r="F49" s="88">
        <f>IFERROR(D49/E49,"")</f>
        <v/>
      </c>
      <c r="G49" s="87">
        <f>SUMIFS(Raw_Data!$W$2:$W$2552,Raw_Data!$D$2:$D$2552,$A49,Raw_Data!$K$2:$K$2552,$B49)</f>
        <v/>
      </c>
      <c r="H49" s="89">
        <f>IFERROR(G49/D49,"")</f>
        <v/>
      </c>
      <c r="I49" s="90">
        <f>IFERROR(C49/G49,"")</f>
        <v/>
      </c>
      <c r="J49" s="90">
        <f>IFERROR(C49/D49*1000,"")</f>
        <v/>
      </c>
      <c r="K49" s="87">
        <f>SUMIFS(Raw_Data!$AA$2:$AA$2552,Raw_Data!$D$2:$D$2552,$A49,Raw_Data!$K$2:$K$2552,$B49)</f>
        <v/>
      </c>
      <c r="L49" s="18">
        <f>IFERROR(K49/G49,"")</f>
        <v/>
      </c>
      <c r="M49" s="87">
        <f>SUMIFS(Raw_Data!$AL$2:$AL$2552,Raw_Data!$D$2:$D$2552,$A49,Raw_Data!$K$2:$K$2552,$B49)</f>
        <v/>
      </c>
      <c r="N49" s="89">
        <f>IFERROR(M49/K49,"")</f>
        <v/>
      </c>
      <c r="O49" s="86">
        <f>IFERROR(C49/M49,"")</f>
        <v/>
      </c>
      <c r="P49" s="87">
        <f>SUMIFS(Raw_Data!$AO$2:$AO$2552,Raw_Data!$D$2:$D$2552,$A49,Raw_Data!$K$2:$K$2552,$B49)</f>
        <v/>
      </c>
      <c r="Q49" s="18">
        <f>IFERROR(P49/M49,"")</f>
        <v/>
      </c>
      <c r="R49" s="86">
        <f>IFERROR(C49/P49,"")</f>
        <v/>
      </c>
      <c r="S49" s="87">
        <f>SUMIFS(Raw_Data!$AR$2:$AR$2552,Raw_Data!$D$2:$D$2552,$A49,Raw_Data!$K$2:$K$2552,$B49)</f>
        <v/>
      </c>
      <c r="T49" s="87">
        <f>SUMIFS(Raw_Data!$AS$2:$AS$2552,Raw_Data!$D$2:$D$2552,$A49,Raw_Data!$K$2:$K$2552,$B49)</f>
        <v/>
      </c>
      <c r="U49" s="87">
        <f>M49+S49</f>
        <v/>
      </c>
      <c r="V49" s="86">
        <f>SUMIFS(Raw_Data!$AU$2:$AU$2552,Raw_Data!$D$2:$D$2552,$A49,Raw_Data!$K$2:$K$2552,$B49)</f>
        <v/>
      </c>
      <c r="W49" s="18">
        <f>IFERROR(C49/Summary!$B$17,"")</f>
        <v/>
      </c>
      <c r="X49" s="18">
        <f>IFERROR(M49/Summary!$L$17,"")</f>
        <v/>
      </c>
    </row>
    <row r="50">
      <c r="A50" s="6" t="inlineStr">
        <is>
          <t>Meta (FB/IG)</t>
        </is>
      </c>
      <c r="B50" s="78" t="inlineStr">
        <is>
          <t>Interest</t>
        </is>
      </c>
      <c r="C50" s="86">
        <f>SUMIFS(Raw_Data!$R$2:$R$2552,Raw_Data!$D$2:$D$2552,$A50,Raw_Data!$K$2:$K$2552,$B50)</f>
        <v/>
      </c>
      <c r="D50" s="87">
        <f>SUMIFS(Raw_Data!$S$2:$S$2552,Raw_Data!$D$2:$D$2552,$A50,Raw_Data!$K$2:$K$2552,$B50)</f>
        <v/>
      </c>
      <c r="E50" s="87">
        <f>SUMIFS(Raw_Data!$T$2:$T$2552,Raw_Data!$D$2:$D$2552,$A50,Raw_Data!$K$2:$K$2552,$B50)</f>
        <v/>
      </c>
      <c r="F50" s="88">
        <f>IFERROR(D50/E50,"")</f>
        <v/>
      </c>
      <c r="G50" s="87">
        <f>SUMIFS(Raw_Data!$W$2:$W$2552,Raw_Data!$D$2:$D$2552,$A50,Raw_Data!$K$2:$K$2552,$B50)</f>
        <v/>
      </c>
      <c r="H50" s="89">
        <f>IFERROR(G50/D50,"")</f>
        <v/>
      </c>
      <c r="I50" s="90">
        <f>IFERROR(C50/G50,"")</f>
        <v/>
      </c>
      <c r="J50" s="90">
        <f>IFERROR(C50/D50*1000,"")</f>
        <v/>
      </c>
      <c r="K50" s="87">
        <f>SUMIFS(Raw_Data!$AA$2:$AA$2552,Raw_Data!$D$2:$D$2552,$A50,Raw_Data!$K$2:$K$2552,$B50)</f>
        <v/>
      </c>
      <c r="L50" s="18">
        <f>IFERROR(K50/G50,"")</f>
        <v/>
      </c>
      <c r="M50" s="87">
        <f>SUMIFS(Raw_Data!$AL$2:$AL$2552,Raw_Data!$D$2:$D$2552,$A50,Raw_Data!$K$2:$K$2552,$B50)</f>
        <v/>
      </c>
      <c r="N50" s="89">
        <f>IFERROR(M50/K50,"")</f>
        <v/>
      </c>
      <c r="O50" s="86">
        <f>IFERROR(C50/M50,"")</f>
        <v/>
      </c>
      <c r="P50" s="87">
        <f>SUMIFS(Raw_Data!$AO$2:$AO$2552,Raw_Data!$D$2:$D$2552,$A50,Raw_Data!$K$2:$K$2552,$B50)</f>
        <v/>
      </c>
      <c r="Q50" s="18">
        <f>IFERROR(P50/M50,"")</f>
        <v/>
      </c>
      <c r="R50" s="86">
        <f>IFERROR(C50/P50,"")</f>
        <v/>
      </c>
      <c r="S50" s="87">
        <f>SUMIFS(Raw_Data!$AR$2:$AR$2552,Raw_Data!$D$2:$D$2552,$A50,Raw_Data!$K$2:$K$2552,$B50)</f>
        <v/>
      </c>
      <c r="T50" s="87">
        <f>SUMIFS(Raw_Data!$AS$2:$AS$2552,Raw_Data!$D$2:$D$2552,$A50,Raw_Data!$K$2:$K$2552,$B50)</f>
        <v/>
      </c>
      <c r="U50" s="87">
        <f>M50+S50</f>
        <v/>
      </c>
      <c r="V50" s="86">
        <f>SUMIFS(Raw_Data!$AU$2:$AU$2552,Raw_Data!$D$2:$D$2552,$A50,Raw_Data!$K$2:$K$2552,$B50)</f>
        <v/>
      </c>
      <c r="W50" s="18">
        <f>IFERROR(C50/Summary!$B$17,"")</f>
        <v/>
      </c>
      <c r="X50" s="18">
        <f>IFERROR(M50/Summary!$L$17,"")</f>
        <v/>
      </c>
    </row>
    <row r="51">
      <c r="A51" s="6" t="inlineStr">
        <is>
          <t>Meta (FB/IG)</t>
        </is>
      </c>
      <c r="B51" s="78" t="inlineStr">
        <is>
          <t>Lookalike</t>
        </is>
      </c>
      <c r="C51" s="86">
        <f>SUMIFS(Raw_Data!$R$2:$R$2552,Raw_Data!$D$2:$D$2552,$A51,Raw_Data!$K$2:$K$2552,$B51)</f>
        <v/>
      </c>
      <c r="D51" s="87">
        <f>SUMIFS(Raw_Data!$S$2:$S$2552,Raw_Data!$D$2:$D$2552,$A51,Raw_Data!$K$2:$K$2552,$B51)</f>
        <v/>
      </c>
      <c r="E51" s="87">
        <f>SUMIFS(Raw_Data!$T$2:$T$2552,Raw_Data!$D$2:$D$2552,$A51,Raw_Data!$K$2:$K$2552,$B51)</f>
        <v/>
      </c>
      <c r="F51" s="88">
        <f>IFERROR(D51/E51,"")</f>
        <v/>
      </c>
      <c r="G51" s="87">
        <f>SUMIFS(Raw_Data!$W$2:$W$2552,Raw_Data!$D$2:$D$2552,$A51,Raw_Data!$K$2:$K$2552,$B51)</f>
        <v/>
      </c>
      <c r="H51" s="89">
        <f>IFERROR(G51/D51,"")</f>
        <v/>
      </c>
      <c r="I51" s="90">
        <f>IFERROR(C51/G51,"")</f>
        <v/>
      </c>
      <c r="J51" s="90">
        <f>IFERROR(C51/D51*1000,"")</f>
        <v/>
      </c>
      <c r="K51" s="87">
        <f>SUMIFS(Raw_Data!$AA$2:$AA$2552,Raw_Data!$D$2:$D$2552,$A51,Raw_Data!$K$2:$K$2552,$B51)</f>
        <v/>
      </c>
      <c r="L51" s="18">
        <f>IFERROR(K51/G51,"")</f>
        <v/>
      </c>
      <c r="M51" s="87">
        <f>SUMIFS(Raw_Data!$AL$2:$AL$2552,Raw_Data!$D$2:$D$2552,$A51,Raw_Data!$K$2:$K$2552,$B51)</f>
        <v/>
      </c>
      <c r="N51" s="89">
        <f>IFERROR(M51/K51,"")</f>
        <v/>
      </c>
      <c r="O51" s="86">
        <f>IFERROR(C51/M51,"")</f>
        <v/>
      </c>
      <c r="P51" s="87">
        <f>SUMIFS(Raw_Data!$AO$2:$AO$2552,Raw_Data!$D$2:$D$2552,$A51,Raw_Data!$K$2:$K$2552,$B51)</f>
        <v/>
      </c>
      <c r="Q51" s="18">
        <f>IFERROR(P51/M51,"")</f>
        <v/>
      </c>
      <c r="R51" s="86">
        <f>IFERROR(C51/P51,"")</f>
        <v/>
      </c>
      <c r="S51" s="87">
        <f>SUMIFS(Raw_Data!$AR$2:$AR$2552,Raw_Data!$D$2:$D$2552,$A51,Raw_Data!$K$2:$K$2552,$B51)</f>
        <v/>
      </c>
      <c r="T51" s="87">
        <f>SUMIFS(Raw_Data!$AS$2:$AS$2552,Raw_Data!$D$2:$D$2552,$A51,Raw_Data!$K$2:$K$2552,$B51)</f>
        <v/>
      </c>
      <c r="U51" s="87">
        <f>M51+S51</f>
        <v/>
      </c>
      <c r="V51" s="86">
        <f>SUMIFS(Raw_Data!$AU$2:$AU$2552,Raw_Data!$D$2:$D$2552,$A51,Raw_Data!$K$2:$K$2552,$B51)</f>
        <v/>
      </c>
      <c r="W51" s="18">
        <f>IFERROR(C51/Summary!$B$17,"")</f>
        <v/>
      </c>
      <c r="X51" s="18">
        <f>IFERROR(M51/Summary!$L$17,"")</f>
        <v/>
      </c>
    </row>
    <row r="52">
      <c r="A52" s="6" t="inlineStr">
        <is>
          <t>Meta (FB/IG)</t>
        </is>
      </c>
      <c r="B52" s="78" t="inlineStr">
        <is>
          <t>Prospecting</t>
        </is>
      </c>
      <c r="C52" s="86">
        <f>SUMIFS(Raw_Data!$R$2:$R$2552,Raw_Data!$D$2:$D$2552,$A52,Raw_Data!$K$2:$K$2552,$B52)</f>
        <v/>
      </c>
      <c r="D52" s="87">
        <f>SUMIFS(Raw_Data!$S$2:$S$2552,Raw_Data!$D$2:$D$2552,$A52,Raw_Data!$K$2:$K$2552,$B52)</f>
        <v/>
      </c>
      <c r="E52" s="87">
        <f>SUMIFS(Raw_Data!$T$2:$T$2552,Raw_Data!$D$2:$D$2552,$A52,Raw_Data!$K$2:$K$2552,$B52)</f>
        <v/>
      </c>
      <c r="F52" s="88">
        <f>IFERROR(D52/E52,"")</f>
        <v/>
      </c>
      <c r="G52" s="87">
        <f>SUMIFS(Raw_Data!$W$2:$W$2552,Raw_Data!$D$2:$D$2552,$A52,Raw_Data!$K$2:$K$2552,$B52)</f>
        <v/>
      </c>
      <c r="H52" s="89">
        <f>IFERROR(G52/D52,"")</f>
        <v/>
      </c>
      <c r="I52" s="90">
        <f>IFERROR(C52/G52,"")</f>
        <v/>
      </c>
      <c r="J52" s="90">
        <f>IFERROR(C52/D52*1000,"")</f>
        <v/>
      </c>
      <c r="K52" s="87">
        <f>SUMIFS(Raw_Data!$AA$2:$AA$2552,Raw_Data!$D$2:$D$2552,$A52,Raw_Data!$K$2:$K$2552,$B52)</f>
        <v/>
      </c>
      <c r="L52" s="18">
        <f>IFERROR(K52/G52,"")</f>
        <v/>
      </c>
      <c r="M52" s="87">
        <f>SUMIFS(Raw_Data!$AL$2:$AL$2552,Raw_Data!$D$2:$D$2552,$A52,Raw_Data!$K$2:$K$2552,$B52)</f>
        <v/>
      </c>
      <c r="N52" s="89">
        <f>IFERROR(M52/K52,"")</f>
        <v/>
      </c>
      <c r="O52" s="86">
        <f>IFERROR(C52/M52,"")</f>
        <v/>
      </c>
      <c r="P52" s="87">
        <f>SUMIFS(Raw_Data!$AO$2:$AO$2552,Raw_Data!$D$2:$D$2552,$A52,Raw_Data!$K$2:$K$2552,$B52)</f>
        <v/>
      </c>
      <c r="Q52" s="18">
        <f>IFERROR(P52/M52,"")</f>
        <v/>
      </c>
      <c r="R52" s="86">
        <f>IFERROR(C52/P52,"")</f>
        <v/>
      </c>
      <c r="S52" s="87">
        <f>SUMIFS(Raw_Data!$AR$2:$AR$2552,Raw_Data!$D$2:$D$2552,$A52,Raw_Data!$K$2:$K$2552,$B52)</f>
        <v/>
      </c>
      <c r="T52" s="87">
        <f>SUMIFS(Raw_Data!$AS$2:$AS$2552,Raw_Data!$D$2:$D$2552,$A52,Raw_Data!$K$2:$K$2552,$B52)</f>
        <v/>
      </c>
      <c r="U52" s="87">
        <f>M52+S52</f>
        <v/>
      </c>
      <c r="V52" s="86">
        <f>SUMIFS(Raw_Data!$AU$2:$AU$2552,Raw_Data!$D$2:$D$2552,$A52,Raw_Data!$K$2:$K$2552,$B52)</f>
        <v/>
      </c>
      <c r="W52" s="18">
        <f>IFERROR(C52/Summary!$B$17,"")</f>
        <v/>
      </c>
      <c r="X52" s="18">
        <f>IFERROR(M52/Summary!$L$17,"")</f>
        <v/>
      </c>
    </row>
    <row r="53">
      <c r="A53" s="6" t="inlineStr">
        <is>
          <t>Meta (FB/IG)</t>
        </is>
      </c>
      <c r="B53" s="78" t="inlineStr">
        <is>
          <t>Retargeting</t>
        </is>
      </c>
      <c r="C53" s="86">
        <f>SUMIFS(Raw_Data!$R$2:$R$2552,Raw_Data!$D$2:$D$2552,$A53,Raw_Data!$K$2:$K$2552,$B53)</f>
        <v/>
      </c>
      <c r="D53" s="87">
        <f>SUMIFS(Raw_Data!$S$2:$S$2552,Raw_Data!$D$2:$D$2552,$A53,Raw_Data!$K$2:$K$2552,$B53)</f>
        <v/>
      </c>
      <c r="E53" s="87">
        <f>SUMIFS(Raw_Data!$T$2:$T$2552,Raw_Data!$D$2:$D$2552,$A53,Raw_Data!$K$2:$K$2552,$B53)</f>
        <v/>
      </c>
      <c r="F53" s="88">
        <f>IFERROR(D53/E53,"")</f>
        <v/>
      </c>
      <c r="G53" s="87">
        <f>SUMIFS(Raw_Data!$W$2:$W$2552,Raw_Data!$D$2:$D$2552,$A53,Raw_Data!$K$2:$K$2552,$B53)</f>
        <v/>
      </c>
      <c r="H53" s="89">
        <f>IFERROR(G53/D53,"")</f>
        <v/>
      </c>
      <c r="I53" s="90">
        <f>IFERROR(C53/G53,"")</f>
        <v/>
      </c>
      <c r="J53" s="90">
        <f>IFERROR(C53/D53*1000,"")</f>
        <v/>
      </c>
      <c r="K53" s="87">
        <f>SUMIFS(Raw_Data!$AA$2:$AA$2552,Raw_Data!$D$2:$D$2552,$A53,Raw_Data!$K$2:$K$2552,$B53)</f>
        <v/>
      </c>
      <c r="L53" s="18">
        <f>IFERROR(K53/G53,"")</f>
        <v/>
      </c>
      <c r="M53" s="87">
        <f>SUMIFS(Raw_Data!$AL$2:$AL$2552,Raw_Data!$D$2:$D$2552,$A53,Raw_Data!$K$2:$K$2552,$B53)</f>
        <v/>
      </c>
      <c r="N53" s="89">
        <f>IFERROR(M53/K53,"")</f>
        <v/>
      </c>
      <c r="O53" s="86">
        <f>IFERROR(C53/M53,"")</f>
        <v/>
      </c>
      <c r="P53" s="87">
        <f>SUMIFS(Raw_Data!$AO$2:$AO$2552,Raw_Data!$D$2:$D$2552,$A53,Raw_Data!$K$2:$K$2552,$B53)</f>
        <v/>
      </c>
      <c r="Q53" s="18">
        <f>IFERROR(P53/M53,"")</f>
        <v/>
      </c>
      <c r="R53" s="86">
        <f>IFERROR(C53/P53,"")</f>
        <v/>
      </c>
      <c r="S53" s="87">
        <f>SUMIFS(Raw_Data!$AR$2:$AR$2552,Raw_Data!$D$2:$D$2552,$A53,Raw_Data!$K$2:$K$2552,$B53)</f>
        <v/>
      </c>
      <c r="T53" s="87">
        <f>SUMIFS(Raw_Data!$AS$2:$AS$2552,Raw_Data!$D$2:$D$2552,$A53,Raw_Data!$K$2:$K$2552,$B53)</f>
        <v/>
      </c>
      <c r="U53" s="87">
        <f>M53+S53</f>
        <v/>
      </c>
      <c r="V53" s="86">
        <f>SUMIFS(Raw_Data!$AU$2:$AU$2552,Raw_Data!$D$2:$D$2552,$A53,Raw_Data!$K$2:$K$2552,$B53)</f>
        <v/>
      </c>
      <c r="W53" s="18">
        <f>IFERROR(C53/Summary!$B$17,"")</f>
        <v/>
      </c>
      <c r="X53" s="18">
        <f>IFERROR(M53/Summary!$L$17,"")</f>
        <v/>
      </c>
    </row>
    <row r="54">
      <c r="A54" s="6" t="inlineStr">
        <is>
          <t>TikTok</t>
        </is>
      </c>
      <c r="B54" s="78" t="inlineStr">
        <is>
          <t>Interest</t>
        </is>
      </c>
      <c r="C54" s="86">
        <f>SUMIFS(Raw_Data!$R$2:$R$2552,Raw_Data!$D$2:$D$2552,$A54,Raw_Data!$K$2:$K$2552,$B54)</f>
        <v/>
      </c>
      <c r="D54" s="87">
        <f>SUMIFS(Raw_Data!$S$2:$S$2552,Raw_Data!$D$2:$D$2552,$A54,Raw_Data!$K$2:$K$2552,$B54)</f>
        <v/>
      </c>
      <c r="E54" s="87">
        <f>SUMIFS(Raw_Data!$T$2:$T$2552,Raw_Data!$D$2:$D$2552,$A54,Raw_Data!$K$2:$K$2552,$B54)</f>
        <v/>
      </c>
      <c r="F54" s="88">
        <f>IFERROR(D54/E54,"")</f>
        <v/>
      </c>
      <c r="G54" s="87">
        <f>SUMIFS(Raw_Data!$W$2:$W$2552,Raw_Data!$D$2:$D$2552,$A54,Raw_Data!$K$2:$K$2552,$B54)</f>
        <v/>
      </c>
      <c r="H54" s="89">
        <f>IFERROR(G54/D54,"")</f>
        <v/>
      </c>
      <c r="I54" s="90">
        <f>IFERROR(C54/G54,"")</f>
        <v/>
      </c>
      <c r="J54" s="90">
        <f>IFERROR(C54/D54*1000,"")</f>
        <v/>
      </c>
      <c r="K54" s="87">
        <f>SUMIFS(Raw_Data!$AA$2:$AA$2552,Raw_Data!$D$2:$D$2552,$A54,Raw_Data!$K$2:$K$2552,$B54)</f>
        <v/>
      </c>
      <c r="L54" s="18">
        <f>IFERROR(K54/G54,"")</f>
        <v/>
      </c>
      <c r="M54" s="87">
        <f>SUMIFS(Raw_Data!$AL$2:$AL$2552,Raw_Data!$D$2:$D$2552,$A54,Raw_Data!$K$2:$K$2552,$B54)</f>
        <v/>
      </c>
      <c r="N54" s="89">
        <f>IFERROR(M54/K54,"")</f>
        <v/>
      </c>
      <c r="O54" s="86">
        <f>IFERROR(C54/M54,"")</f>
        <v/>
      </c>
      <c r="P54" s="87">
        <f>SUMIFS(Raw_Data!$AO$2:$AO$2552,Raw_Data!$D$2:$D$2552,$A54,Raw_Data!$K$2:$K$2552,$B54)</f>
        <v/>
      </c>
      <c r="Q54" s="18">
        <f>IFERROR(P54/M54,"")</f>
        <v/>
      </c>
      <c r="R54" s="86">
        <f>IFERROR(C54/P54,"")</f>
        <v/>
      </c>
      <c r="S54" s="87">
        <f>SUMIFS(Raw_Data!$AR$2:$AR$2552,Raw_Data!$D$2:$D$2552,$A54,Raw_Data!$K$2:$K$2552,$B54)</f>
        <v/>
      </c>
      <c r="T54" s="87">
        <f>SUMIFS(Raw_Data!$AS$2:$AS$2552,Raw_Data!$D$2:$D$2552,$A54,Raw_Data!$K$2:$K$2552,$B54)</f>
        <v/>
      </c>
      <c r="U54" s="87">
        <f>M54+S54</f>
        <v/>
      </c>
      <c r="V54" s="86">
        <f>SUMIFS(Raw_Data!$AU$2:$AU$2552,Raw_Data!$D$2:$D$2552,$A54,Raw_Data!$K$2:$K$2552,$B54)</f>
        <v/>
      </c>
      <c r="W54" s="18">
        <f>IFERROR(C54/Summary!$B$17,"")</f>
        <v/>
      </c>
      <c r="X54" s="18">
        <f>IFERROR(M54/Summary!$L$17,"")</f>
        <v/>
      </c>
    </row>
    <row r="55">
      <c r="A55" s="6" t="inlineStr">
        <is>
          <t>TikTok</t>
        </is>
      </c>
      <c r="B55" s="78" t="inlineStr">
        <is>
          <t>Lookalike</t>
        </is>
      </c>
      <c r="C55" s="86">
        <f>SUMIFS(Raw_Data!$R$2:$R$2552,Raw_Data!$D$2:$D$2552,$A55,Raw_Data!$K$2:$K$2552,$B55)</f>
        <v/>
      </c>
      <c r="D55" s="87">
        <f>SUMIFS(Raw_Data!$S$2:$S$2552,Raw_Data!$D$2:$D$2552,$A55,Raw_Data!$K$2:$K$2552,$B55)</f>
        <v/>
      </c>
      <c r="E55" s="87">
        <f>SUMIFS(Raw_Data!$T$2:$T$2552,Raw_Data!$D$2:$D$2552,$A55,Raw_Data!$K$2:$K$2552,$B55)</f>
        <v/>
      </c>
      <c r="F55" s="88">
        <f>IFERROR(D55/E55,"")</f>
        <v/>
      </c>
      <c r="G55" s="87">
        <f>SUMIFS(Raw_Data!$W$2:$W$2552,Raw_Data!$D$2:$D$2552,$A55,Raw_Data!$K$2:$K$2552,$B55)</f>
        <v/>
      </c>
      <c r="H55" s="89">
        <f>IFERROR(G55/D55,"")</f>
        <v/>
      </c>
      <c r="I55" s="90">
        <f>IFERROR(C55/G55,"")</f>
        <v/>
      </c>
      <c r="J55" s="90">
        <f>IFERROR(C55/D55*1000,"")</f>
        <v/>
      </c>
      <c r="K55" s="87">
        <f>SUMIFS(Raw_Data!$AA$2:$AA$2552,Raw_Data!$D$2:$D$2552,$A55,Raw_Data!$K$2:$K$2552,$B55)</f>
        <v/>
      </c>
      <c r="L55" s="18">
        <f>IFERROR(K55/G55,"")</f>
        <v/>
      </c>
      <c r="M55" s="87">
        <f>SUMIFS(Raw_Data!$AL$2:$AL$2552,Raw_Data!$D$2:$D$2552,$A55,Raw_Data!$K$2:$K$2552,$B55)</f>
        <v/>
      </c>
      <c r="N55" s="89">
        <f>IFERROR(M55/K55,"")</f>
        <v/>
      </c>
      <c r="O55" s="86">
        <f>IFERROR(C55/M55,"")</f>
        <v/>
      </c>
      <c r="P55" s="87">
        <f>SUMIFS(Raw_Data!$AO$2:$AO$2552,Raw_Data!$D$2:$D$2552,$A55,Raw_Data!$K$2:$K$2552,$B55)</f>
        <v/>
      </c>
      <c r="Q55" s="18">
        <f>IFERROR(P55/M55,"")</f>
        <v/>
      </c>
      <c r="R55" s="86">
        <f>IFERROR(C55/P55,"")</f>
        <v/>
      </c>
      <c r="S55" s="87">
        <f>SUMIFS(Raw_Data!$AR$2:$AR$2552,Raw_Data!$D$2:$D$2552,$A55,Raw_Data!$K$2:$K$2552,$B55)</f>
        <v/>
      </c>
      <c r="T55" s="87">
        <f>SUMIFS(Raw_Data!$AS$2:$AS$2552,Raw_Data!$D$2:$D$2552,$A55,Raw_Data!$K$2:$K$2552,$B55)</f>
        <v/>
      </c>
      <c r="U55" s="87">
        <f>M55+S55</f>
        <v/>
      </c>
      <c r="V55" s="86">
        <f>SUMIFS(Raw_Data!$AU$2:$AU$2552,Raw_Data!$D$2:$D$2552,$A55,Raw_Data!$K$2:$K$2552,$B55)</f>
        <v/>
      </c>
      <c r="W55" s="18">
        <f>IFERROR(C55/Summary!$B$17,"")</f>
        <v/>
      </c>
      <c r="X55" s="18">
        <f>IFERROR(M55/Summary!$L$17,"")</f>
        <v/>
      </c>
    </row>
    <row r="56">
      <c r="A56" s="6" t="inlineStr">
        <is>
          <t>TikTok</t>
        </is>
      </c>
      <c r="B56" s="78" t="inlineStr">
        <is>
          <t>Prospecting</t>
        </is>
      </c>
      <c r="C56" s="86">
        <f>SUMIFS(Raw_Data!$R$2:$R$2552,Raw_Data!$D$2:$D$2552,$A56,Raw_Data!$K$2:$K$2552,$B56)</f>
        <v/>
      </c>
      <c r="D56" s="87">
        <f>SUMIFS(Raw_Data!$S$2:$S$2552,Raw_Data!$D$2:$D$2552,$A56,Raw_Data!$K$2:$K$2552,$B56)</f>
        <v/>
      </c>
      <c r="E56" s="87">
        <f>SUMIFS(Raw_Data!$T$2:$T$2552,Raw_Data!$D$2:$D$2552,$A56,Raw_Data!$K$2:$K$2552,$B56)</f>
        <v/>
      </c>
      <c r="F56" s="88">
        <f>IFERROR(D56/E56,"")</f>
        <v/>
      </c>
      <c r="G56" s="87">
        <f>SUMIFS(Raw_Data!$W$2:$W$2552,Raw_Data!$D$2:$D$2552,$A56,Raw_Data!$K$2:$K$2552,$B56)</f>
        <v/>
      </c>
      <c r="H56" s="89">
        <f>IFERROR(G56/D56,"")</f>
        <v/>
      </c>
      <c r="I56" s="90">
        <f>IFERROR(C56/G56,"")</f>
        <v/>
      </c>
      <c r="J56" s="90">
        <f>IFERROR(C56/D56*1000,"")</f>
        <v/>
      </c>
      <c r="K56" s="87">
        <f>SUMIFS(Raw_Data!$AA$2:$AA$2552,Raw_Data!$D$2:$D$2552,$A56,Raw_Data!$K$2:$K$2552,$B56)</f>
        <v/>
      </c>
      <c r="L56" s="18">
        <f>IFERROR(K56/G56,"")</f>
        <v/>
      </c>
      <c r="M56" s="87">
        <f>SUMIFS(Raw_Data!$AL$2:$AL$2552,Raw_Data!$D$2:$D$2552,$A56,Raw_Data!$K$2:$K$2552,$B56)</f>
        <v/>
      </c>
      <c r="N56" s="89">
        <f>IFERROR(M56/K56,"")</f>
        <v/>
      </c>
      <c r="O56" s="86">
        <f>IFERROR(C56/M56,"")</f>
        <v/>
      </c>
      <c r="P56" s="87">
        <f>SUMIFS(Raw_Data!$AO$2:$AO$2552,Raw_Data!$D$2:$D$2552,$A56,Raw_Data!$K$2:$K$2552,$B56)</f>
        <v/>
      </c>
      <c r="Q56" s="18">
        <f>IFERROR(P56/M56,"")</f>
        <v/>
      </c>
      <c r="R56" s="86">
        <f>IFERROR(C56/P56,"")</f>
        <v/>
      </c>
      <c r="S56" s="87">
        <f>SUMIFS(Raw_Data!$AR$2:$AR$2552,Raw_Data!$D$2:$D$2552,$A56,Raw_Data!$K$2:$K$2552,$B56)</f>
        <v/>
      </c>
      <c r="T56" s="87">
        <f>SUMIFS(Raw_Data!$AS$2:$AS$2552,Raw_Data!$D$2:$D$2552,$A56,Raw_Data!$K$2:$K$2552,$B56)</f>
        <v/>
      </c>
      <c r="U56" s="87">
        <f>M56+S56</f>
        <v/>
      </c>
      <c r="V56" s="86">
        <f>SUMIFS(Raw_Data!$AU$2:$AU$2552,Raw_Data!$D$2:$D$2552,$A56,Raw_Data!$K$2:$K$2552,$B56)</f>
        <v/>
      </c>
      <c r="W56" s="18">
        <f>IFERROR(C56/Summary!$B$17,"")</f>
        <v/>
      </c>
      <c r="X56" s="18">
        <f>IFERROR(M56/Summary!$L$17,"")</f>
        <v/>
      </c>
    </row>
    <row r="57">
      <c r="A57" s="6" t="inlineStr">
        <is>
          <t>TikTok</t>
        </is>
      </c>
      <c r="B57" s="78" t="inlineStr">
        <is>
          <t>Retargeting</t>
        </is>
      </c>
      <c r="C57" s="86">
        <f>SUMIFS(Raw_Data!$R$2:$R$2552,Raw_Data!$D$2:$D$2552,$A57,Raw_Data!$K$2:$K$2552,$B57)</f>
        <v/>
      </c>
      <c r="D57" s="87">
        <f>SUMIFS(Raw_Data!$S$2:$S$2552,Raw_Data!$D$2:$D$2552,$A57,Raw_Data!$K$2:$K$2552,$B57)</f>
        <v/>
      </c>
      <c r="E57" s="87">
        <f>SUMIFS(Raw_Data!$T$2:$T$2552,Raw_Data!$D$2:$D$2552,$A57,Raw_Data!$K$2:$K$2552,$B57)</f>
        <v/>
      </c>
      <c r="F57" s="88">
        <f>IFERROR(D57/E57,"")</f>
        <v/>
      </c>
      <c r="G57" s="87">
        <f>SUMIFS(Raw_Data!$W$2:$W$2552,Raw_Data!$D$2:$D$2552,$A57,Raw_Data!$K$2:$K$2552,$B57)</f>
        <v/>
      </c>
      <c r="H57" s="89">
        <f>IFERROR(G57/D57,"")</f>
        <v/>
      </c>
      <c r="I57" s="90">
        <f>IFERROR(C57/G57,"")</f>
        <v/>
      </c>
      <c r="J57" s="90">
        <f>IFERROR(C57/D57*1000,"")</f>
        <v/>
      </c>
      <c r="K57" s="87">
        <f>SUMIFS(Raw_Data!$AA$2:$AA$2552,Raw_Data!$D$2:$D$2552,$A57,Raw_Data!$K$2:$K$2552,$B57)</f>
        <v/>
      </c>
      <c r="L57" s="18">
        <f>IFERROR(K57/G57,"")</f>
        <v/>
      </c>
      <c r="M57" s="87">
        <f>SUMIFS(Raw_Data!$AL$2:$AL$2552,Raw_Data!$D$2:$D$2552,$A57,Raw_Data!$K$2:$K$2552,$B57)</f>
        <v/>
      </c>
      <c r="N57" s="89">
        <f>IFERROR(M57/K57,"")</f>
        <v/>
      </c>
      <c r="O57" s="86">
        <f>IFERROR(C57/M57,"")</f>
        <v/>
      </c>
      <c r="P57" s="87">
        <f>SUMIFS(Raw_Data!$AO$2:$AO$2552,Raw_Data!$D$2:$D$2552,$A57,Raw_Data!$K$2:$K$2552,$B57)</f>
        <v/>
      </c>
      <c r="Q57" s="18">
        <f>IFERROR(P57/M57,"")</f>
        <v/>
      </c>
      <c r="R57" s="86">
        <f>IFERROR(C57/P57,"")</f>
        <v/>
      </c>
      <c r="S57" s="87">
        <f>SUMIFS(Raw_Data!$AR$2:$AR$2552,Raw_Data!$D$2:$D$2552,$A57,Raw_Data!$K$2:$K$2552,$B57)</f>
        <v/>
      </c>
      <c r="T57" s="87">
        <f>SUMIFS(Raw_Data!$AS$2:$AS$2552,Raw_Data!$D$2:$D$2552,$A57,Raw_Data!$K$2:$K$2552,$B57)</f>
        <v/>
      </c>
      <c r="U57" s="87">
        <f>M57+S57</f>
        <v/>
      </c>
      <c r="V57" s="86">
        <f>SUMIFS(Raw_Data!$AU$2:$AU$2552,Raw_Data!$D$2:$D$2552,$A57,Raw_Data!$K$2:$K$2552,$B57)</f>
        <v/>
      </c>
      <c r="W57" s="18">
        <f>IFERROR(C57/Summary!$B$17,"")</f>
        <v/>
      </c>
      <c r="X57" s="18">
        <f>IFERROR(M57/Summary!$L$17,"")</f>
        <v/>
      </c>
    </row>
    <row r="58">
      <c r="A58" s="6" t="inlineStr">
        <is>
          <t>X</t>
        </is>
      </c>
      <c r="B58" s="78" t="inlineStr">
        <is>
          <t>In-Market</t>
        </is>
      </c>
      <c r="C58" s="86">
        <f>SUMIFS(Raw_Data!$R$2:$R$2552,Raw_Data!$D$2:$D$2552,$A58,Raw_Data!$K$2:$K$2552,$B58)</f>
        <v/>
      </c>
      <c r="D58" s="87">
        <f>SUMIFS(Raw_Data!$S$2:$S$2552,Raw_Data!$D$2:$D$2552,$A58,Raw_Data!$K$2:$K$2552,$B58)</f>
        <v/>
      </c>
      <c r="E58" s="87">
        <f>SUMIFS(Raw_Data!$T$2:$T$2552,Raw_Data!$D$2:$D$2552,$A58,Raw_Data!$K$2:$K$2552,$B58)</f>
        <v/>
      </c>
      <c r="F58" s="88">
        <f>IFERROR(D58/E58,"")</f>
        <v/>
      </c>
      <c r="G58" s="87">
        <f>SUMIFS(Raw_Data!$W$2:$W$2552,Raw_Data!$D$2:$D$2552,$A58,Raw_Data!$K$2:$K$2552,$B58)</f>
        <v/>
      </c>
      <c r="H58" s="89">
        <f>IFERROR(G58/D58,"")</f>
        <v/>
      </c>
      <c r="I58" s="90">
        <f>IFERROR(C58/G58,"")</f>
        <v/>
      </c>
      <c r="J58" s="90">
        <f>IFERROR(C58/D58*1000,"")</f>
        <v/>
      </c>
      <c r="K58" s="87">
        <f>SUMIFS(Raw_Data!$AA$2:$AA$2552,Raw_Data!$D$2:$D$2552,$A58,Raw_Data!$K$2:$K$2552,$B58)</f>
        <v/>
      </c>
      <c r="L58" s="18">
        <f>IFERROR(K58/G58,"")</f>
        <v/>
      </c>
      <c r="M58" s="87">
        <f>SUMIFS(Raw_Data!$AL$2:$AL$2552,Raw_Data!$D$2:$D$2552,$A58,Raw_Data!$K$2:$K$2552,$B58)</f>
        <v/>
      </c>
      <c r="N58" s="89">
        <f>IFERROR(M58/K58,"")</f>
        <v/>
      </c>
      <c r="O58" s="86">
        <f>IFERROR(C58/M58,"")</f>
        <v/>
      </c>
      <c r="P58" s="87">
        <f>SUMIFS(Raw_Data!$AO$2:$AO$2552,Raw_Data!$D$2:$D$2552,$A58,Raw_Data!$K$2:$K$2552,$B58)</f>
        <v/>
      </c>
      <c r="Q58" s="18">
        <f>IFERROR(P58/M58,"")</f>
        <v/>
      </c>
      <c r="R58" s="86">
        <f>IFERROR(C58/P58,"")</f>
        <v/>
      </c>
      <c r="S58" s="87">
        <f>SUMIFS(Raw_Data!$AR$2:$AR$2552,Raw_Data!$D$2:$D$2552,$A58,Raw_Data!$K$2:$K$2552,$B58)</f>
        <v/>
      </c>
      <c r="T58" s="87">
        <f>SUMIFS(Raw_Data!$AS$2:$AS$2552,Raw_Data!$D$2:$D$2552,$A58,Raw_Data!$K$2:$K$2552,$B58)</f>
        <v/>
      </c>
      <c r="U58" s="87">
        <f>M58+S58</f>
        <v/>
      </c>
      <c r="V58" s="86">
        <f>SUMIFS(Raw_Data!$AU$2:$AU$2552,Raw_Data!$D$2:$D$2552,$A58,Raw_Data!$K$2:$K$2552,$B58)</f>
        <v/>
      </c>
      <c r="W58" s="18">
        <f>IFERROR(C58/Summary!$B$17,"")</f>
        <v/>
      </c>
      <c r="X58" s="18">
        <f>IFERROR(M58/Summary!$L$17,"")</f>
        <v/>
      </c>
    </row>
    <row r="59">
      <c r="A59" s="6" t="inlineStr">
        <is>
          <t>X</t>
        </is>
      </c>
      <c r="B59" s="78" t="inlineStr">
        <is>
          <t>Interest</t>
        </is>
      </c>
      <c r="C59" s="86">
        <f>SUMIFS(Raw_Data!$R$2:$R$2552,Raw_Data!$D$2:$D$2552,$A59,Raw_Data!$K$2:$K$2552,$B59)</f>
        <v/>
      </c>
      <c r="D59" s="87">
        <f>SUMIFS(Raw_Data!$S$2:$S$2552,Raw_Data!$D$2:$D$2552,$A59,Raw_Data!$K$2:$K$2552,$B59)</f>
        <v/>
      </c>
      <c r="E59" s="87">
        <f>SUMIFS(Raw_Data!$T$2:$T$2552,Raw_Data!$D$2:$D$2552,$A59,Raw_Data!$K$2:$K$2552,$B59)</f>
        <v/>
      </c>
      <c r="F59" s="88">
        <f>IFERROR(D59/E59,"")</f>
        <v/>
      </c>
      <c r="G59" s="87">
        <f>SUMIFS(Raw_Data!$W$2:$W$2552,Raw_Data!$D$2:$D$2552,$A59,Raw_Data!$K$2:$K$2552,$B59)</f>
        <v/>
      </c>
      <c r="H59" s="89">
        <f>IFERROR(G59/D59,"")</f>
        <v/>
      </c>
      <c r="I59" s="90">
        <f>IFERROR(C59/G59,"")</f>
        <v/>
      </c>
      <c r="J59" s="90">
        <f>IFERROR(C59/D59*1000,"")</f>
        <v/>
      </c>
      <c r="K59" s="87">
        <f>SUMIFS(Raw_Data!$AA$2:$AA$2552,Raw_Data!$D$2:$D$2552,$A59,Raw_Data!$K$2:$K$2552,$B59)</f>
        <v/>
      </c>
      <c r="L59" s="18">
        <f>IFERROR(K59/G59,"")</f>
        <v/>
      </c>
      <c r="M59" s="87">
        <f>SUMIFS(Raw_Data!$AL$2:$AL$2552,Raw_Data!$D$2:$D$2552,$A59,Raw_Data!$K$2:$K$2552,$B59)</f>
        <v/>
      </c>
      <c r="N59" s="89">
        <f>IFERROR(M59/K59,"")</f>
        <v/>
      </c>
      <c r="O59" s="86">
        <f>IFERROR(C59/M59,"")</f>
        <v/>
      </c>
      <c r="P59" s="87">
        <f>SUMIFS(Raw_Data!$AO$2:$AO$2552,Raw_Data!$D$2:$D$2552,$A59,Raw_Data!$K$2:$K$2552,$B59)</f>
        <v/>
      </c>
      <c r="Q59" s="18">
        <f>IFERROR(P59/M59,"")</f>
        <v/>
      </c>
      <c r="R59" s="86">
        <f>IFERROR(C59/P59,"")</f>
        <v/>
      </c>
      <c r="S59" s="87">
        <f>SUMIFS(Raw_Data!$AR$2:$AR$2552,Raw_Data!$D$2:$D$2552,$A59,Raw_Data!$K$2:$K$2552,$B59)</f>
        <v/>
      </c>
      <c r="T59" s="87">
        <f>SUMIFS(Raw_Data!$AS$2:$AS$2552,Raw_Data!$D$2:$D$2552,$A59,Raw_Data!$K$2:$K$2552,$B59)</f>
        <v/>
      </c>
      <c r="U59" s="87">
        <f>M59+S59</f>
        <v/>
      </c>
      <c r="V59" s="86">
        <f>SUMIFS(Raw_Data!$AU$2:$AU$2552,Raw_Data!$D$2:$D$2552,$A59,Raw_Data!$K$2:$K$2552,$B59)</f>
        <v/>
      </c>
      <c r="W59" s="18">
        <f>IFERROR(C59/Summary!$B$17,"")</f>
        <v/>
      </c>
      <c r="X59" s="18">
        <f>IFERROR(M59/Summary!$L$17,"")</f>
        <v/>
      </c>
    </row>
    <row r="60">
      <c r="A60" s="6" t="inlineStr">
        <is>
          <t>X</t>
        </is>
      </c>
      <c r="B60" s="78" t="inlineStr">
        <is>
          <t>Lookalike</t>
        </is>
      </c>
      <c r="C60" s="86">
        <f>SUMIFS(Raw_Data!$R$2:$R$2552,Raw_Data!$D$2:$D$2552,$A60,Raw_Data!$K$2:$K$2552,$B60)</f>
        <v/>
      </c>
      <c r="D60" s="87">
        <f>SUMIFS(Raw_Data!$S$2:$S$2552,Raw_Data!$D$2:$D$2552,$A60,Raw_Data!$K$2:$K$2552,$B60)</f>
        <v/>
      </c>
      <c r="E60" s="87">
        <f>SUMIFS(Raw_Data!$T$2:$T$2552,Raw_Data!$D$2:$D$2552,$A60,Raw_Data!$K$2:$K$2552,$B60)</f>
        <v/>
      </c>
      <c r="F60" s="88">
        <f>IFERROR(D60/E60,"")</f>
        <v/>
      </c>
      <c r="G60" s="87">
        <f>SUMIFS(Raw_Data!$W$2:$W$2552,Raw_Data!$D$2:$D$2552,$A60,Raw_Data!$K$2:$K$2552,$B60)</f>
        <v/>
      </c>
      <c r="H60" s="89">
        <f>IFERROR(G60/D60,"")</f>
        <v/>
      </c>
      <c r="I60" s="90">
        <f>IFERROR(C60/G60,"")</f>
        <v/>
      </c>
      <c r="J60" s="90">
        <f>IFERROR(C60/D60*1000,"")</f>
        <v/>
      </c>
      <c r="K60" s="87">
        <f>SUMIFS(Raw_Data!$AA$2:$AA$2552,Raw_Data!$D$2:$D$2552,$A60,Raw_Data!$K$2:$K$2552,$B60)</f>
        <v/>
      </c>
      <c r="L60" s="18">
        <f>IFERROR(K60/G60,"")</f>
        <v/>
      </c>
      <c r="M60" s="87">
        <f>SUMIFS(Raw_Data!$AL$2:$AL$2552,Raw_Data!$D$2:$D$2552,$A60,Raw_Data!$K$2:$K$2552,$B60)</f>
        <v/>
      </c>
      <c r="N60" s="89">
        <f>IFERROR(M60/K60,"")</f>
        <v/>
      </c>
      <c r="O60" s="86">
        <f>IFERROR(C60/M60,"")</f>
        <v/>
      </c>
      <c r="P60" s="87">
        <f>SUMIFS(Raw_Data!$AO$2:$AO$2552,Raw_Data!$D$2:$D$2552,$A60,Raw_Data!$K$2:$K$2552,$B60)</f>
        <v/>
      </c>
      <c r="Q60" s="18">
        <f>IFERROR(P60/M60,"")</f>
        <v/>
      </c>
      <c r="R60" s="86">
        <f>IFERROR(C60/P60,"")</f>
        <v/>
      </c>
      <c r="S60" s="87">
        <f>SUMIFS(Raw_Data!$AR$2:$AR$2552,Raw_Data!$D$2:$D$2552,$A60,Raw_Data!$K$2:$K$2552,$B60)</f>
        <v/>
      </c>
      <c r="T60" s="87">
        <f>SUMIFS(Raw_Data!$AS$2:$AS$2552,Raw_Data!$D$2:$D$2552,$A60,Raw_Data!$K$2:$K$2552,$B60)</f>
        <v/>
      </c>
      <c r="U60" s="87">
        <f>M60+S60</f>
        <v/>
      </c>
      <c r="V60" s="86">
        <f>SUMIFS(Raw_Data!$AU$2:$AU$2552,Raw_Data!$D$2:$D$2552,$A60,Raw_Data!$K$2:$K$2552,$B60)</f>
        <v/>
      </c>
      <c r="W60" s="18">
        <f>IFERROR(C60/Summary!$B$17,"")</f>
        <v/>
      </c>
      <c r="X60" s="18">
        <f>IFERROR(M60/Summary!$L$17,"")</f>
        <v/>
      </c>
    </row>
    <row r="61">
      <c r="A61" s="6" t="inlineStr">
        <is>
          <t>X</t>
        </is>
      </c>
      <c r="B61" s="78" t="inlineStr">
        <is>
          <t>Retargeting</t>
        </is>
      </c>
      <c r="C61" s="86">
        <f>SUMIFS(Raw_Data!$R$2:$R$2552,Raw_Data!$D$2:$D$2552,$A61,Raw_Data!$K$2:$K$2552,$B61)</f>
        <v/>
      </c>
      <c r="D61" s="87">
        <f>SUMIFS(Raw_Data!$S$2:$S$2552,Raw_Data!$D$2:$D$2552,$A61,Raw_Data!$K$2:$K$2552,$B61)</f>
        <v/>
      </c>
      <c r="E61" s="87">
        <f>SUMIFS(Raw_Data!$T$2:$T$2552,Raw_Data!$D$2:$D$2552,$A61,Raw_Data!$K$2:$K$2552,$B61)</f>
        <v/>
      </c>
      <c r="F61" s="88">
        <f>IFERROR(D61/E61,"")</f>
        <v/>
      </c>
      <c r="G61" s="87">
        <f>SUMIFS(Raw_Data!$W$2:$W$2552,Raw_Data!$D$2:$D$2552,$A61,Raw_Data!$K$2:$K$2552,$B61)</f>
        <v/>
      </c>
      <c r="H61" s="89">
        <f>IFERROR(G61/D61,"")</f>
        <v/>
      </c>
      <c r="I61" s="90">
        <f>IFERROR(C61/G61,"")</f>
        <v/>
      </c>
      <c r="J61" s="90">
        <f>IFERROR(C61/D61*1000,"")</f>
        <v/>
      </c>
      <c r="K61" s="87">
        <f>SUMIFS(Raw_Data!$AA$2:$AA$2552,Raw_Data!$D$2:$D$2552,$A61,Raw_Data!$K$2:$K$2552,$B61)</f>
        <v/>
      </c>
      <c r="L61" s="18">
        <f>IFERROR(K61/G61,"")</f>
        <v/>
      </c>
      <c r="M61" s="87">
        <f>SUMIFS(Raw_Data!$AL$2:$AL$2552,Raw_Data!$D$2:$D$2552,$A61,Raw_Data!$K$2:$K$2552,$B61)</f>
        <v/>
      </c>
      <c r="N61" s="89">
        <f>IFERROR(M61/K61,"")</f>
        <v/>
      </c>
      <c r="O61" s="86">
        <f>IFERROR(C61/M61,"")</f>
        <v/>
      </c>
      <c r="P61" s="87">
        <f>SUMIFS(Raw_Data!$AO$2:$AO$2552,Raw_Data!$D$2:$D$2552,$A61,Raw_Data!$K$2:$K$2552,$B61)</f>
        <v/>
      </c>
      <c r="Q61" s="18">
        <f>IFERROR(P61/M61,"")</f>
        <v/>
      </c>
      <c r="R61" s="86">
        <f>IFERROR(C61/P61,"")</f>
        <v/>
      </c>
      <c r="S61" s="87">
        <f>SUMIFS(Raw_Data!$AR$2:$AR$2552,Raw_Data!$D$2:$D$2552,$A61,Raw_Data!$K$2:$K$2552,$B61)</f>
        <v/>
      </c>
      <c r="T61" s="87">
        <f>SUMIFS(Raw_Data!$AS$2:$AS$2552,Raw_Data!$D$2:$D$2552,$A61,Raw_Data!$K$2:$K$2552,$B61)</f>
        <v/>
      </c>
      <c r="U61" s="87">
        <f>M61+S61</f>
        <v/>
      </c>
      <c r="V61" s="86">
        <f>SUMIFS(Raw_Data!$AU$2:$AU$2552,Raw_Data!$D$2:$D$2552,$A61,Raw_Data!$K$2:$K$2552,$B61)</f>
        <v/>
      </c>
      <c r="W61" s="18">
        <f>IFERROR(C61/Summary!$B$17,"")</f>
        <v/>
      </c>
      <c r="X61" s="18">
        <f>IFERROR(M61/Summary!$L$17,"")</f>
        <v/>
      </c>
    </row>
    <row r="62">
      <c r="A62" s="6" t="inlineStr">
        <is>
          <t>Programmatic</t>
        </is>
      </c>
      <c r="B62" s="78" t="inlineStr">
        <is>
          <t>Contextual</t>
        </is>
      </c>
      <c r="C62" s="86">
        <f>SUMIFS(Raw_Data!$R$2:$R$2552,Raw_Data!$D$2:$D$2552,$A62,Raw_Data!$K$2:$K$2552,$B62)</f>
        <v/>
      </c>
      <c r="D62" s="87">
        <f>SUMIFS(Raw_Data!$S$2:$S$2552,Raw_Data!$D$2:$D$2552,$A62,Raw_Data!$K$2:$K$2552,$B62)</f>
        <v/>
      </c>
      <c r="E62" s="87">
        <f>SUMIFS(Raw_Data!$T$2:$T$2552,Raw_Data!$D$2:$D$2552,$A62,Raw_Data!$K$2:$K$2552,$B62)</f>
        <v/>
      </c>
      <c r="F62" s="88">
        <f>IFERROR(D62/E62,"")</f>
        <v/>
      </c>
      <c r="G62" s="87">
        <f>SUMIFS(Raw_Data!$W$2:$W$2552,Raw_Data!$D$2:$D$2552,$A62,Raw_Data!$K$2:$K$2552,$B62)</f>
        <v/>
      </c>
      <c r="H62" s="89">
        <f>IFERROR(G62/D62,"")</f>
        <v/>
      </c>
      <c r="I62" s="90">
        <f>IFERROR(C62/G62,"")</f>
        <v/>
      </c>
      <c r="J62" s="90">
        <f>IFERROR(C62/D62*1000,"")</f>
        <v/>
      </c>
      <c r="K62" s="87">
        <f>SUMIFS(Raw_Data!$AA$2:$AA$2552,Raw_Data!$D$2:$D$2552,$A62,Raw_Data!$K$2:$K$2552,$B62)</f>
        <v/>
      </c>
      <c r="L62" s="18">
        <f>IFERROR(K62/G62,"")</f>
        <v/>
      </c>
      <c r="M62" s="87">
        <f>SUMIFS(Raw_Data!$AL$2:$AL$2552,Raw_Data!$D$2:$D$2552,$A62,Raw_Data!$K$2:$K$2552,$B62)</f>
        <v/>
      </c>
      <c r="N62" s="89">
        <f>IFERROR(M62/K62,"")</f>
        <v/>
      </c>
      <c r="O62" s="86">
        <f>IFERROR(C62/M62,"")</f>
        <v/>
      </c>
      <c r="P62" s="87">
        <f>SUMIFS(Raw_Data!$AO$2:$AO$2552,Raw_Data!$D$2:$D$2552,$A62,Raw_Data!$K$2:$K$2552,$B62)</f>
        <v/>
      </c>
      <c r="Q62" s="18">
        <f>IFERROR(P62/M62,"")</f>
        <v/>
      </c>
      <c r="R62" s="86">
        <f>IFERROR(C62/P62,"")</f>
        <v/>
      </c>
      <c r="S62" s="87">
        <f>SUMIFS(Raw_Data!$AR$2:$AR$2552,Raw_Data!$D$2:$D$2552,$A62,Raw_Data!$K$2:$K$2552,$B62)</f>
        <v/>
      </c>
      <c r="T62" s="87">
        <f>SUMIFS(Raw_Data!$AS$2:$AS$2552,Raw_Data!$D$2:$D$2552,$A62,Raw_Data!$K$2:$K$2552,$B62)</f>
        <v/>
      </c>
      <c r="U62" s="87">
        <f>M62+S62</f>
        <v/>
      </c>
      <c r="V62" s="86">
        <f>SUMIFS(Raw_Data!$AU$2:$AU$2552,Raw_Data!$D$2:$D$2552,$A62,Raw_Data!$K$2:$K$2552,$B62)</f>
        <v/>
      </c>
      <c r="W62" s="18">
        <f>IFERROR(C62/Summary!$B$17,"")</f>
        <v/>
      </c>
      <c r="X62" s="18">
        <f>IFERROR(M62/Summary!$L$17,"")</f>
        <v/>
      </c>
    </row>
    <row r="63">
      <c r="A63" s="6" t="inlineStr">
        <is>
          <t>Programmatic</t>
        </is>
      </c>
      <c r="B63" s="78" t="inlineStr">
        <is>
          <t>In-Market</t>
        </is>
      </c>
      <c r="C63" s="86">
        <f>SUMIFS(Raw_Data!$R$2:$R$2552,Raw_Data!$D$2:$D$2552,$A63,Raw_Data!$K$2:$K$2552,$B63)</f>
        <v/>
      </c>
      <c r="D63" s="87">
        <f>SUMIFS(Raw_Data!$S$2:$S$2552,Raw_Data!$D$2:$D$2552,$A63,Raw_Data!$K$2:$K$2552,$B63)</f>
        <v/>
      </c>
      <c r="E63" s="87">
        <f>SUMIFS(Raw_Data!$T$2:$T$2552,Raw_Data!$D$2:$D$2552,$A63,Raw_Data!$K$2:$K$2552,$B63)</f>
        <v/>
      </c>
      <c r="F63" s="88">
        <f>IFERROR(D63/E63,"")</f>
        <v/>
      </c>
      <c r="G63" s="87">
        <f>SUMIFS(Raw_Data!$W$2:$W$2552,Raw_Data!$D$2:$D$2552,$A63,Raw_Data!$K$2:$K$2552,$B63)</f>
        <v/>
      </c>
      <c r="H63" s="89">
        <f>IFERROR(G63/D63,"")</f>
        <v/>
      </c>
      <c r="I63" s="90">
        <f>IFERROR(C63/G63,"")</f>
        <v/>
      </c>
      <c r="J63" s="90">
        <f>IFERROR(C63/D63*1000,"")</f>
        <v/>
      </c>
      <c r="K63" s="87">
        <f>SUMIFS(Raw_Data!$AA$2:$AA$2552,Raw_Data!$D$2:$D$2552,$A63,Raw_Data!$K$2:$K$2552,$B63)</f>
        <v/>
      </c>
      <c r="L63" s="18">
        <f>IFERROR(K63/G63,"")</f>
        <v/>
      </c>
      <c r="M63" s="87">
        <f>SUMIFS(Raw_Data!$AL$2:$AL$2552,Raw_Data!$D$2:$D$2552,$A63,Raw_Data!$K$2:$K$2552,$B63)</f>
        <v/>
      </c>
      <c r="N63" s="89">
        <f>IFERROR(M63/K63,"")</f>
        <v/>
      </c>
      <c r="O63" s="86">
        <f>IFERROR(C63/M63,"")</f>
        <v/>
      </c>
      <c r="P63" s="87">
        <f>SUMIFS(Raw_Data!$AO$2:$AO$2552,Raw_Data!$D$2:$D$2552,$A63,Raw_Data!$K$2:$K$2552,$B63)</f>
        <v/>
      </c>
      <c r="Q63" s="18">
        <f>IFERROR(P63/M63,"")</f>
        <v/>
      </c>
      <c r="R63" s="86">
        <f>IFERROR(C63/P63,"")</f>
        <v/>
      </c>
      <c r="S63" s="87">
        <f>SUMIFS(Raw_Data!$AR$2:$AR$2552,Raw_Data!$D$2:$D$2552,$A63,Raw_Data!$K$2:$K$2552,$B63)</f>
        <v/>
      </c>
      <c r="T63" s="87">
        <f>SUMIFS(Raw_Data!$AS$2:$AS$2552,Raw_Data!$D$2:$D$2552,$A63,Raw_Data!$K$2:$K$2552,$B63)</f>
        <v/>
      </c>
      <c r="U63" s="87">
        <f>M63+S63</f>
        <v/>
      </c>
      <c r="V63" s="86">
        <f>SUMIFS(Raw_Data!$AU$2:$AU$2552,Raw_Data!$D$2:$D$2552,$A63,Raw_Data!$K$2:$K$2552,$B63)</f>
        <v/>
      </c>
      <c r="W63" s="18">
        <f>IFERROR(C63/Summary!$B$17,"")</f>
        <v/>
      </c>
      <c r="X63" s="18">
        <f>IFERROR(M63/Summary!$L$17,"")</f>
        <v/>
      </c>
    </row>
    <row r="64">
      <c r="A64" s="6" t="inlineStr">
        <is>
          <t>Programmatic</t>
        </is>
      </c>
      <c r="B64" s="78" t="inlineStr">
        <is>
          <t>Lookalike</t>
        </is>
      </c>
      <c r="C64" s="86">
        <f>SUMIFS(Raw_Data!$R$2:$R$2552,Raw_Data!$D$2:$D$2552,$A64,Raw_Data!$K$2:$K$2552,$B64)</f>
        <v/>
      </c>
      <c r="D64" s="87">
        <f>SUMIFS(Raw_Data!$S$2:$S$2552,Raw_Data!$D$2:$D$2552,$A64,Raw_Data!$K$2:$K$2552,$B64)</f>
        <v/>
      </c>
      <c r="E64" s="87">
        <f>SUMIFS(Raw_Data!$T$2:$T$2552,Raw_Data!$D$2:$D$2552,$A64,Raw_Data!$K$2:$K$2552,$B64)</f>
        <v/>
      </c>
      <c r="F64" s="88">
        <f>IFERROR(D64/E64,"")</f>
        <v/>
      </c>
      <c r="G64" s="87">
        <f>SUMIFS(Raw_Data!$W$2:$W$2552,Raw_Data!$D$2:$D$2552,$A64,Raw_Data!$K$2:$K$2552,$B64)</f>
        <v/>
      </c>
      <c r="H64" s="89">
        <f>IFERROR(G64/D64,"")</f>
        <v/>
      </c>
      <c r="I64" s="90">
        <f>IFERROR(C64/G64,"")</f>
        <v/>
      </c>
      <c r="J64" s="90">
        <f>IFERROR(C64/D64*1000,"")</f>
        <v/>
      </c>
      <c r="K64" s="87">
        <f>SUMIFS(Raw_Data!$AA$2:$AA$2552,Raw_Data!$D$2:$D$2552,$A64,Raw_Data!$K$2:$K$2552,$B64)</f>
        <v/>
      </c>
      <c r="L64" s="18">
        <f>IFERROR(K64/G64,"")</f>
        <v/>
      </c>
      <c r="M64" s="87">
        <f>SUMIFS(Raw_Data!$AL$2:$AL$2552,Raw_Data!$D$2:$D$2552,$A64,Raw_Data!$K$2:$K$2552,$B64)</f>
        <v/>
      </c>
      <c r="N64" s="89">
        <f>IFERROR(M64/K64,"")</f>
        <v/>
      </c>
      <c r="O64" s="86">
        <f>IFERROR(C64/M64,"")</f>
        <v/>
      </c>
      <c r="P64" s="87">
        <f>SUMIFS(Raw_Data!$AO$2:$AO$2552,Raw_Data!$D$2:$D$2552,$A64,Raw_Data!$K$2:$K$2552,$B64)</f>
        <v/>
      </c>
      <c r="Q64" s="18">
        <f>IFERROR(P64/M64,"")</f>
        <v/>
      </c>
      <c r="R64" s="86">
        <f>IFERROR(C64/P64,"")</f>
        <v/>
      </c>
      <c r="S64" s="87">
        <f>SUMIFS(Raw_Data!$AR$2:$AR$2552,Raw_Data!$D$2:$D$2552,$A64,Raw_Data!$K$2:$K$2552,$B64)</f>
        <v/>
      </c>
      <c r="T64" s="87">
        <f>SUMIFS(Raw_Data!$AS$2:$AS$2552,Raw_Data!$D$2:$D$2552,$A64,Raw_Data!$K$2:$K$2552,$B64)</f>
        <v/>
      </c>
      <c r="U64" s="87">
        <f>M64+S64</f>
        <v/>
      </c>
      <c r="V64" s="86">
        <f>SUMIFS(Raw_Data!$AU$2:$AU$2552,Raw_Data!$D$2:$D$2552,$A64,Raw_Data!$K$2:$K$2552,$B64)</f>
        <v/>
      </c>
      <c r="W64" s="18">
        <f>IFERROR(C64/Summary!$B$17,"")</f>
        <v/>
      </c>
      <c r="X64" s="18">
        <f>IFERROR(M64/Summary!$L$17,"")</f>
        <v/>
      </c>
    </row>
    <row r="65">
      <c r="A65" s="6" t="inlineStr">
        <is>
          <t>Programmatic</t>
        </is>
      </c>
      <c r="B65" s="78" t="inlineStr">
        <is>
          <t>Prospecting</t>
        </is>
      </c>
      <c r="C65" s="86">
        <f>SUMIFS(Raw_Data!$R$2:$R$2552,Raw_Data!$D$2:$D$2552,$A65,Raw_Data!$K$2:$K$2552,$B65)</f>
        <v/>
      </c>
      <c r="D65" s="87">
        <f>SUMIFS(Raw_Data!$S$2:$S$2552,Raw_Data!$D$2:$D$2552,$A65,Raw_Data!$K$2:$K$2552,$B65)</f>
        <v/>
      </c>
      <c r="E65" s="87">
        <f>SUMIFS(Raw_Data!$T$2:$T$2552,Raw_Data!$D$2:$D$2552,$A65,Raw_Data!$K$2:$K$2552,$B65)</f>
        <v/>
      </c>
      <c r="F65" s="88">
        <f>IFERROR(D65/E65,"")</f>
        <v/>
      </c>
      <c r="G65" s="87">
        <f>SUMIFS(Raw_Data!$W$2:$W$2552,Raw_Data!$D$2:$D$2552,$A65,Raw_Data!$K$2:$K$2552,$B65)</f>
        <v/>
      </c>
      <c r="H65" s="89">
        <f>IFERROR(G65/D65,"")</f>
        <v/>
      </c>
      <c r="I65" s="90">
        <f>IFERROR(C65/G65,"")</f>
        <v/>
      </c>
      <c r="J65" s="90">
        <f>IFERROR(C65/D65*1000,"")</f>
        <v/>
      </c>
      <c r="K65" s="87">
        <f>SUMIFS(Raw_Data!$AA$2:$AA$2552,Raw_Data!$D$2:$D$2552,$A65,Raw_Data!$K$2:$K$2552,$B65)</f>
        <v/>
      </c>
      <c r="L65" s="18">
        <f>IFERROR(K65/G65,"")</f>
        <v/>
      </c>
      <c r="M65" s="87">
        <f>SUMIFS(Raw_Data!$AL$2:$AL$2552,Raw_Data!$D$2:$D$2552,$A65,Raw_Data!$K$2:$K$2552,$B65)</f>
        <v/>
      </c>
      <c r="N65" s="89">
        <f>IFERROR(M65/K65,"")</f>
        <v/>
      </c>
      <c r="O65" s="86">
        <f>IFERROR(C65/M65,"")</f>
        <v/>
      </c>
      <c r="P65" s="87">
        <f>SUMIFS(Raw_Data!$AO$2:$AO$2552,Raw_Data!$D$2:$D$2552,$A65,Raw_Data!$K$2:$K$2552,$B65)</f>
        <v/>
      </c>
      <c r="Q65" s="18">
        <f>IFERROR(P65/M65,"")</f>
        <v/>
      </c>
      <c r="R65" s="86">
        <f>IFERROR(C65/P65,"")</f>
        <v/>
      </c>
      <c r="S65" s="87">
        <f>SUMIFS(Raw_Data!$AR$2:$AR$2552,Raw_Data!$D$2:$D$2552,$A65,Raw_Data!$K$2:$K$2552,$B65)</f>
        <v/>
      </c>
      <c r="T65" s="87">
        <f>SUMIFS(Raw_Data!$AS$2:$AS$2552,Raw_Data!$D$2:$D$2552,$A65,Raw_Data!$K$2:$K$2552,$B65)</f>
        <v/>
      </c>
      <c r="U65" s="87">
        <f>M65+S65</f>
        <v/>
      </c>
      <c r="V65" s="86">
        <f>SUMIFS(Raw_Data!$AU$2:$AU$2552,Raw_Data!$D$2:$D$2552,$A65,Raw_Data!$K$2:$K$2552,$B65)</f>
        <v/>
      </c>
      <c r="W65" s="18">
        <f>IFERROR(C65/Summary!$B$17,"")</f>
        <v/>
      </c>
      <c r="X65" s="18">
        <f>IFERROR(M65/Summary!$L$17,"")</f>
        <v/>
      </c>
    </row>
    <row r="66">
      <c r="A66" s="6" t="inlineStr">
        <is>
          <t>Programmatic</t>
        </is>
      </c>
      <c r="B66" s="78" t="inlineStr">
        <is>
          <t>Retargeting</t>
        </is>
      </c>
      <c r="C66" s="86">
        <f>SUMIFS(Raw_Data!$R$2:$R$2552,Raw_Data!$D$2:$D$2552,$A66,Raw_Data!$K$2:$K$2552,$B66)</f>
        <v/>
      </c>
      <c r="D66" s="87">
        <f>SUMIFS(Raw_Data!$S$2:$S$2552,Raw_Data!$D$2:$D$2552,$A66,Raw_Data!$K$2:$K$2552,$B66)</f>
        <v/>
      </c>
      <c r="E66" s="87">
        <f>SUMIFS(Raw_Data!$T$2:$T$2552,Raw_Data!$D$2:$D$2552,$A66,Raw_Data!$K$2:$K$2552,$B66)</f>
        <v/>
      </c>
      <c r="F66" s="88">
        <f>IFERROR(D66/E66,"")</f>
        <v/>
      </c>
      <c r="G66" s="87">
        <f>SUMIFS(Raw_Data!$W$2:$W$2552,Raw_Data!$D$2:$D$2552,$A66,Raw_Data!$K$2:$K$2552,$B66)</f>
        <v/>
      </c>
      <c r="H66" s="89">
        <f>IFERROR(G66/D66,"")</f>
        <v/>
      </c>
      <c r="I66" s="90">
        <f>IFERROR(C66/G66,"")</f>
        <v/>
      </c>
      <c r="J66" s="90">
        <f>IFERROR(C66/D66*1000,"")</f>
        <v/>
      </c>
      <c r="K66" s="87">
        <f>SUMIFS(Raw_Data!$AA$2:$AA$2552,Raw_Data!$D$2:$D$2552,$A66,Raw_Data!$K$2:$K$2552,$B66)</f>
        <v/>
      </c>
      <c r="L66" s="18">
        <f>IFERROR(K66/G66,"")</f>
        <v/>
      </c>
      <c r="M66" s="87">
        <f>SUMIFS(Raw_Data!$AL$2:$AL$2552,Raw_Data!$D$2:$D$2552,$A66,Raw_Data!$K$2:$K$2552,$B66)</f>
        <v/>
      </c>
      <c r="N66" s="89">
        <f>IFERROR(M66/K66,"")</f>
        <v/>
      </c>
      <c r="O66" s="86">
        <f>IFERROR(C66/M66,"")</f>
        <v/>
      </c>
      <c r="P66" s="87">
        <f>SUMIFS(Raw_Data!$AO$2:$AO$2552,Raw_Data!$D$2:$D$2552,$A66,Raw_Data!$K$2:$K$2552,$B66)</f>
        <v/>
      </c>
      <c r="Q66" s="18">
        <f>IFERROR(P66/M66,"")</f>
        <v/>
      </c>
      <c r="R66" s="86">
        <f>IFERROR(C66/P66,"")</f>
        <v/>
      </c>
      <c r="S66" s="87">
        <f>SUMIFS(Raw_Data!$AR$2:$AR$2552,Raw_Data!$D$2:$D$2552,$A66,Raw_Data!$K$2:$K$2552,$B66)</f>
        <v/>
      </c>
      <c r="T66" s="87">
        <f>SUMIFS(Raw_Data!$AS$2:$AS$2552,Raw_Data!$D$2:$D$2552,$A66,Raw_Data!$K$2:$K$2552,$B66)</f>
        <v/>
      </c>
      <c r="U66" s="87">
        <f>M66+S66</f>
        <v/>
      </c>
      <c r="V66" s="86">
        <f>SUMIFS(Raw_Data!$AU$2:$AU$2552,Raw_Data!$D$2:$D$2552,$A66,Raw_Data!$K$2:$K$2552,$B66)</f>
        <v/>
      </c>
      <c r="W66" s="18">
        <f>IFERROR(C66/Summary!$B$17,"")</f>
        <v/>
      </c>
      <c r="X66" s="18">
        <f>IFERROR(M66/Summary!$L$17,"")</f>
        <v/>
      </c>
    </row>
    <row r="67">
      <c r="A67" s="19" t="inlineStr">
        <is>
          <t>TOTAL</t>
        </is>
      </c>
      <c r="B67" s="32" t="n"/>
      <c r="C67" s="91" t="n"/>
      <c r="D67" s="92" t="n"/>
      <c r="E67" s="92" t="n"/>
      <c r="F67" s="93">
        <f>IFERROR(D67/E67,"")</f>
        <v/>
      </c>
      <c r="G67" s="92" t="n"/>
      <c r="H67" s="94">
        <f>IFERROR(G67/D67,"")</f>
        <v/>
      </c>
      <c r="I67" s="95">
        <f>IFERROR(C67/G67,"")</f>
        <v/>
      </c>
      <c r="J67" s="95">
        <f>IFERROR(C67/D67*1000,"")</f>
        <v/>
      </c>
      <c r="K67" s="92" t="n"/>
      <c r="L67" s="25">
        <f>IFERROR(K67/G67,"")</f>
        <v/>
      </c>
      <c r="M67" s="92" t="n"/>
      <c r="N67" s="94">
        <f>IFERROR(M67/K67,"")</f>
        <v/>
      </c>
      <c r="O67" s="91">
        <f>IFERROR(C67/M67,"")</f>
        <v/>
      </c>
      <c r="P67" s="92" t="n"/>
      <c r="Q67" s="25">
        <f>IFERROR(P67/M67,"")</f>
        <v/>
      </c>
      <c r="R67" s="91">
        <f>IFERROR(C67/P67,"")</f>
        <v/>
      </c>
      <c r="S67" s="92" t="n"/>
      <c r="T67" s="92" t="n"/>
      <c r="U67" s="92">
        <f>M67+S67</f>
        <v/>
      </c>
      <c r="V67" s="91" t="n"/>
      <c r="W67" s="25">
        <f>IFERROR(C67/Summary!$B$17,"")</f>
        <v/>
      </c>
      <c r="X67" s="25">
        <f>IFERROR(M67/Summary!$L$17,"")</f>
        <v/>
      </c>
    </row>
  </sheetData>
  <mergeCells count="2">
    <mergeCell ref="A2:L2"/>
    <mergeCell ref="A1: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tabColor rgb="FF3D5A8A"/>
    <outlinePr summaryBelow="1" summaryRight="1"/>
    <pageSetUpPr fitToPage="1"/>
  </sheetPr>
  <dimension ref="A1:AA54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10" defaultColWidth="8.83203125" defaultRowHeight="15"/>
  <cols>
    <col width="16" customWidth="1" style="67" min="1" max="1"/>
    <col width="44" customWidth="1" style="67" min="2" max="2"/>
    <col width="32" customWidth="1" style="67" min="3" max="3"/>
    <col width="26" customWidth="1" style="67" min="4" max="4"/>
    <col width="14" customWidth="1" style="67" min="5" max="5"/>
    <col width="13" customWidth="1" style="67" min="6" max="6"/>
    <col width="15" customWidth="1" style="67" min="7" max="7"/>
    <col width="12" customWidth="1" style="67" min="8" max="9"/>
    <col width="10" customWidth="1" style="67" min="10" max="10"/>
    <col width="11" customWidth="1" style="67" min="11" max="12"/>
    <col width="13" customWidth="1" style="67" min="13" max="13"/>
    <col width="10" customWidth="1" style="67" min="14" max="14"/>
    <col width="13" customWidth="1" style="67" min="15" max="15"/>
    <col width="12" customWidth="1" style="67" min="16" max="16"/>
    <col width="13" customWidth="1" style="67" min="17" max="17"/>
    <col width="11" customWidth="1" style="67" min="18" max="18"/>
    <col width="10" customWidth="1" style="67" min="19" max="19"/>
    <col width="14" customWidth="1" style="67" min="20" max="20"/>
    <col width="12" customWidth="1" style="67" min="21" max="22"/>
    <col width="13" customWidth="1" style="67" min="23" max="23"/>
    <col width="18" customWidth="1" style="67" min="24" max="24"/>
    <col width="10" customWidth="1" style="67" min="25" max="25"/>
    <col width="11" customWidth="1" style="67" min="26" max="27"/>
  </cols>
  <sheetData>
    <row r="1" ht="24" customHeight="1" s="67">
      <c r="A1" s="71" t="inlineStr">
        <is>
          <t>Campaign &amp; Ad Set Performance</t>
        </is>
      </c>
    </row>
    <row r="2">
      <c r="A2" s="68" t="inlineStr">
        <is>
          <t>Campaign roll-up followed by every ad set / line item in the plan.</t>
        </is>
      </c>
    </row>
    <row r="4" ht="18" customHeight="1" s="67">
      <c r="A4" s="2" t="inlineStr">
        <is>
          <t xml:space="preserve">  CAMPAIGN LEVEL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30" customHeight="1" s="67">
      <c r="A5" s="12" t="inlineStr">
        <is>
          <t>Channel</t>
        </is>
      </c>
      <c r="B5" s="12" t="inlineStr">
        <is>
          <t>Campaign Name</t>
        </is>
      </c>
      <c r="C5" s="12" t="inlineStr">
        <is>
          <t>Campaign Objective</t>
        </is>
      </c>
      <c r="D5" s="12" t="inlineStr">
        <is>
          <t>Model</t>
        </is>
      </c>
      <c r="E5" s="12" t="inlineStr">
        <is>
          <t>Offer</t>
        </is>
      </c>
      <c r="F5" s="12" t="inlineStr">
        <is>
          <t>Spend (ZAR)</t>
        </is>
      </c>
      <c r="G5" s="12" t="inlineStr">
        <is>
          <t>Impressions</t>
        </is>
      </c>
      <c r="H5" s="12" t="inlineStr">
        <is>
          <t>Reach (sum of daily)</t>
        </is>
      </c>
      <c r="I5" s="12" t="inlineStr">
        <is>
          <t>Avg Daily Frequency</t>
        </is>
      </c>
      <c r="J5" s="12" t="inlineStr">
        <is>
          <t>Link Clicks</t>
        </is>
      </c>
      <c r="K5" s="12" t="inlineStr">
        <is>
          <t>CTR (Link)</t>
        </is>
      </c>
      <c r="L5" s="12" t="inlineStr">
        <is>
          <t>CPC (Link)</t>
        </is>
      </c>
      <c r="M5" s="12" t="inlineStr">
        <is>
          <t>CPM</t>
        </is>
      </c>
      <c r="N5" s="12" t="inlineStr">
        <is>
          <t>Landing Page Views</t>
        </is>
      </c>
      <c r="O5" s="12" t="inlineStr">
        <is>
          <t>LPV Rate</t>
        </is>
      </c>
      <c r="P5" s="12" t="inlineStr">
        <is>
          <t>Test Drive Bookings</t>
        </is>
      </c>
      <c r="Q5" s="12" t="inlineStr">
        <is>
          <t>CVR (Booking / LPV)</t>
        </is>
      </c>
      <c r="R5" s="12" t="inlineStr">
        <is>
          <t>CPL (Cost / Booking)</t>
        </is>
      </c>
      <c r="S5" s="12" t="inlineStr">
        <is>
          <t>Qualified Leads</t>
        </is>
      </c>
      <c r="T5" s="12" t="inlineStr">
        <is>
          <t>Qualified Rate</t>
        </is>
      </c>
      <c r="U5" s="12" t="inlineStr">
        <is>
          <t>Cost per Qualified Lead</t>
        </is>
      </c>
      <c r="V5" s="12" t="inlineStr">
        <is>
          <t>View-Through Conv.</t>
        </is>
      </c>
      <c r="W5" s="12" t="inlineStr">
        <is>
          <t>Assisted Conv.</t>
        </is>
      </c>
      <c r="X5" s="12" t="inlineStr">
        <is>
          <t>Total Attributed Conv.</t>
        </is>
      </c>
      <c r="Y5" s="12" t="inlineStr">
        <is>
          <t>Est. Revenue Pipeline (ZAR)</t>
        </is>
      </c>
      <c r="Z5" s="12" t="inlineStr">
        <is>
          <t>% of Spend</t>
        </is>
      </c>
      <c r="AA5" s="12" t="inlineStr">
        <is>
          <t>% of Bookings</t>
        </is>
      </c>
    </row>
    <row r="6">
      <c r="A6" s="6" t="inlineStr">
        <is>
          <t>Meta (FB/IG)</t>
        </is>
      </c>
      <c r="B6" s="78" t="inlineStr">
        <is>
          <t>LEP_ZA_AUG26_META_TD_AMUR_CONV</t>
        </is>
      </c>
      <c r="C6" s="78" t="inlineStr">
        <is>
          <t>Leads - Website Conversions</t>
        </is>
      </c>
      <c r="D6" s="8" t="inlineStr">
        <is>
          <t>AMUR</t>
        </is>
      </c>
      <c r="E6" s="78" t="inlineStr">
        <is>
          <t>0% Deposit</t>
        </is>
      </c>
      <c r="F6" s="86">
        <f>SUMIFS(Raw_Data!$R$2:$R$2552,Raw_Data!$F$2:$F$2552,$B6)</f>
        <v/>
      </c>
      <c r="G6" s="87">
        <f>SUMIFS(Raw_Data!$S$2:$S$2552,Raw_Data!$F$2:$F$2552,$B6)</f>
        <v/>
      </c>
      <c r="H6" s="87">
        <f>SUMIFS(Raw_Data!$T$2:$T$2552,Raw_Data!$F$2:$F$2552,$B6)</f>
        <v/>
      </c>
      <c r="I6" s="88">
        <f>IFERROR(G6/H6,"")</f>
        <v/>
      </c>
      <c r="J6" s="87">
        <f>SUMIFS(Raw_Data!$W$2:$W$2552,Raw_Data!$F$2:$F$2552,$B6)</f>
        <v/>
      </c>
      <c r="K6" s="89">
        <f>IFERROR(J6/G6,"")</f>
        <v/>
      </c>
      <c r="L6" s="90">
        <f>IFERROR(F6/J6,"")</f>
        <v/>
      </c>
      <c r="M6" s="90">
        <f>IFERROR(F6/G6*1000,"")</f>
        <v/>
      </c>
      <c r="N6" s="87">
        <f>SUMIFS(Raw_Data!$AA$2:$AA$2552,Raw_Data!$F$2:$F$2552,$B6)</f>
        <v/>
      </c>
      <c r="O6" s="18">
        <f>IFERROR(N6/J6,"")</f>
        <v/>
      </c>
      <c r="P6" s="87">
        <f>SUMIFS(Raw_Data!$AL$2:$AL$2552,Raw_Data!$F$2:$F$2552,$B6)</f>
        <v/>
      </c>
      <c r="Q6" s="89">
        <f>IFERROR(P6/N6,"")</f>
        <v/>
      </c>
      <c r="R6" s="86">
        <f>IFERROR(F6/P6,"")</f>
        <v/>
      </c>
      <c r="S6" s="87">
        <f>SUMIFS(Raw_Data!$AO$2:$AO$2552,Raw_Data!$F$2:$F$2552,$B6)</f>
        <v/>
      </c>
      <c r="T6" s="18">
        <f>IFERROR(S6/P6,"")</f>
        <v/>
      </c>
      <c r="U6" s="86">
        <f>IFERROR(F6/S6,"")</f>
        <v/>
      </c>
      <c r="V6" s="87">
        <f>SUMIFS(Raw_Data!$AR$2:$AR$2552,Raw_Data!$F$2:$F$2552,$B6)</f>
        <v/>
      </c>
      <c r="W6" s="87">
        <f>SUMIFS(Raw_Data!$AS$2:$AS$2552,Raw_Data!$F$2:$F$2552,$B6)</f>
        <v/>
      </c>
      <c r="X6" s="87">
        <f>P6+V6</f>
        <v/>
      </c>
      <c r="Y6" s="86">
        <f>SUMIFS(Raw_Data!$AU$2:$AU$2552,Raw_Data!$F$2:$F$2552,$B6)</f>
        <v/>
      </c>
      <c r="Z6" s="18">
        <f>IFERROR(F6/Summary!$B$17,"")</f>
        <v/>
      </c>
      <c r="AA6" s="18">
        <f>IFERROR(P6/Summary!$L$17,"")</f>
        <v/>
      </c>
    </row>
    <row r="7">
      <c r="A7" s="6" t="inlineStr">
        <is>
          <t>Meta (FB/IG)</t>
        </is>
      </c>
      <c r="B7" s="78" t="inlineStr">
        <is>
          <t>LEP_ZA_AUG26_META_TD_JAVAN_CONV</t>
        </is>
      </c>
      <c r="C7" s="78" t="inlineStr">
        <is>
          <t>Leads - Website Conversions</t>
        </is>
      </c>
      <c r="D7" s="8" t="inlineStr">
        <is>
          <t>JAVAN</t>
        </is>
      </c>
      <c r="E7" s="78" t="inlineStr">
        <is>
          <t>10% Deposit</t>
        </is>
      </c>
      <c r="F7" s="86">
        <f>SUMIFS(Raw_Data!$R$2:$R$2552,Raw_Data!$F$2:$F$2552,$B7)</f>
        <v/>
      </c>
      <c r="G7" s="87">
        <f>SUMIFS(Raw_Data!$S$2:$S$2552,Raw_Data!$F$2:$F$2552,$B7)</f>
        <v/>
      </c>
      <c r="H7" s="87">
        <f>SUMIFS(Raw_Data!$T$2:$T$2552,Raw_Data!$F$2:$F$2552,$B7)</f>
        <v/>
      </c>
      <c r="I7" s="88">
        <f>IFERROR(G7/H7,"")</f>
        <v/>
      </c>
      <c r="J7" s="87">
        <f>SUMIFS(Raw_Data!$W$2:$W$2552,Raw_Data!$F$2:$F$2552,$B7)</f>
        <v/>
      </c>
      <c r="K7" s="89">
        <f>IFERROR(J7/G7,"")</f>
        <v/>
      </c>
      <c r="L7" s="90">
        <f>IFERROR(F7/J7,"")</f>
        <v/>
      </c>
      <c r="M7" s="90">
        <f>IFERROR(F7/G7*1000,"")</f>
        <v/>
      </c>
      <c r="N7" s="87">
        <f>SUMIFS(Raw_Data!$AA$2:$AA$2552,Raw_Data!$F$2:$F$2552,$B7)</f>
        <v/>
      </c>
      <c r="O7" s="18">
        <f>IFERROR(N7/J7,"")</f>
        <v/>
      </c>
      <c r="P7" s="87">
        <f>SUMIFS(Raw_Data!$AL$2:$AL$2552,Raw_Data!$F$2:$F$2552,$B7)</f>
        <v/>
      </c>
      <c r="Q7" s="89">
        <f>IFERROR(P7/N7,"")</f>
        <v/>
      </c>
      <c r="R7" s="86">
        <f>IFERROR(F7/P7,"")</f>
        <v/>
      </c>
      <c r="S7" s="87">
        <f>SUMIFS(Raw_Data!$AO$2:$AO$2552,Raw_Data!$F$2:$F$2552,$B7)</f>
        <v/>
      </c>
      <c r="T7" s="18">
        <f>IFERROR(S7/P7,"")</f>
        <v/>
      </c>
      <c r="U7" s="86">
        <f>IFERROR(F7/S7,"")</f>
        <v/>
      </c>
      <c r="V7" s="87">
        <f>SUMIFS(Raw_Data!$AR$2:$AR$2552,Raw_Data!$F$2:$F$2552,$B7)</f>
        <v/>
      </c>
      <c r="W7" s="87">
        <f>SUMIFS(Raw_Data!$AS$2:$AS$2552,Raw_Data!$F$2:$F$2552,$B7)</f>
        <v/>
      </c>
      <c r="X7" s="87">
        <f>P7+V7</f>
        <v/>
      </c>
      <c r="Y7" s="86">
        <f>SUMIFS(Raw_Data!$AU$2:$AU$2552,Raw_Data!$F$2:$F$2552,$B7)</f>
        <v/>
      </c>
      <c r="Z7" s="18">
        <f>IFERROR(F7/Summary!$B$17,"")</f>
        <v/>
      </c>
      <c r="AA7" s="18">
        <f>IFERROR(P7/Summary!$L$17,"")</f>
        <v/>
      </c>
    </row>
    <row r="8">
      <c r="A8" s="6" t="inlineStr">
        <is>
          <t>Meta (FB/IG)</t>
        </is>
      </c>
      <c r="B8" s="78" t="inlineStr">
        <is>
          <t>LEP_ZA_AUG26_META_TD_PANTERA_CONV</t>
        </is>
      </c>
      <c r="C8" s="78" t="inlineStr">
        <is>
          <t>Leads - Website Conversions</t>
        </is>
      </c>
      <c r="D8" s="8" t="inlineStr">
        <is>
          <t>PANTERA</t>
        </is>
      </c>
      <c r="E8" s="78" t="inlineStr">
        <is>
          <t>0% Deposit</t>
        </is>
      </c>
      <c r="F8" s="86">
        <f>SUMIFS(Raw_Data!$R$2:$R$2552,Raw_Data!$F$2:$F$2552,$B8)</f>
        <v/>
      </c>
      <c r="G8" s="87">
        <f>SUMIFS(Raw_Data!$S$2:$S$2552,Raw_Data!$F$2:$F$2552,$B8)</f>
        <v/>
      </c>
      <c r="H8" s="87">
        <f>SUMIFS(Raw_Data!$T$2:$T$2552,Raw_Data!$F$2:$F$2552,$B8)</f>
        <v/>
      </c>
      <c r="I8" s="88">
        <f>IFERROR(G8/H8,"")</f>
        <v/>
      </c>
      <c r="J8" s="87">
        <f>SUMIFS(Raw_Data!$W$2:$W$2552,Raw_Data!$F$2:$F$2552,$B8)</f>
        <v/>
      </c>
      <c r="K8" s="89">
        <f>IFERROR(J8/G8,"")</f>
        <v/>
      </c>
      <c r="L8" s="90">
        <f>IFERROR(F8/J8,"")</f>
        <v/>
      </c>
      <c r="M8" s="90">
        <f>IFERROR(F8/G8*1000,"")</f>
        <v/>
      </c>
      <c r="N8" s="87">
        <f>SUMIFS(Raw_Data!$AA$2:$AA$2552,Raw_Data!$F$2:$F$2552,$B8)</f>
        <v/>
      </c>
      <c r="O8" s="18">
        <f>IFERROR(N8/J8,"")</f>
        <v/>
      </c>
      <c r="P8" s="87">
        <f>SUMIFS(Raw_Data!$AL$2:$AL$2552,Raw_Data!$F$2:$F$2552,$B8)</f>
        <v/>
      </c>
      <c r="Q8" s="89">
        <f>IFERROR(P8/N8,"")</f>
        <v/>
      </c>
      <c r="R8" s="86">
        <f>IFERROR(F8/P8,"")</f>
        <v/>
      </c>
      <c r="S8" s="87">
        <f>SUMIFS(Raw_Data!$AO$2:$AO$2552,Raw_Data!$F$2:$F$2552,$B8)</f>
        <v/>
      </c>
      <c r="T8" s="18">
        <f>IFERROR(S8/P8,"")</f>
        <v/>
      </c>
      <c r="U8" s="86">
        <f>IFERROR(F8/S8,"")</f>
        <v/>
      </c>
      <c r="V8" s="87">
        <f>SUMIFS(Raw_Data!$AR$2:$AR$2552,Raw_Data!$F$2:$F$2552,$B8)</f>
        <v/>
      </c>
      <c r="W8" s="87">
        <f>SUMIFS(Raw_Data!$AS$2:$AS$2552,Raw_Data!$F$2:$F$2552,$B8)</f>
        <v/>
      </c>
      <c r="X8" s="87">
        <f>P8+V8</f>
        <v/>
      </c>
      <c r="Y8" s="86">
        <f>SUMIFS(Raw_Data!$AU$2:$AU$2552,Raw_Data!$F$2:$F$2552,$B8)</f>
        <v/>
      </c>
      <c r="Z8" s="18">
        <f>IFERROR(F8/Summary!$B$17,"")</f>
        <v/>
      </c>
      <c r="AA8" s="18">
        <f>IFERROR(P8/Summary!$L$17,"")</f>
        <v/>
      </c>
    </row>
    <row r="9">
      <c r="A9" s="6" t="inlineStr">
        <is>
          <t>Meta (FB/IG)</t>
        </is>
      </c>
      <c r="B9" s="78" t="inlineStr">
        <is>
          <t>LEP_ZA_AUG26_META_RMKT_ALL_CONV</t>
        </is>
      </c>
      <c r="C9" s="78" t="inlineStr">
        <is>
          <t>Leads - Website Conversions</t>
        </is>
      </c>
      <c r="D9" s="8" t="inlineStr">
        <is>
          <t>Range</t>
        </is>
      </c>
      <c r="E9" s="78" t="inlineStr">
        <is>
          <t>Range Offer</t>
        </is>
      </c>
      <c r="F9" s="86">
        <f>SUMIFS(Raw_Data!$R$2:$R$2552,Raw_Data!$F$2:$F$2552,$B9)</f>
        <v/>
      </c>
      <c r="G9" s="87">
        <f>SUMIFS(Raw_Data!$S$2:$S$2552,Raw_Data!$F$2:$F$2552,$B9)</f>
        <v/>
      </c>
      <c r="H9" s="87">
        <f>SUMIFS(Raw_Data!$T$2:$T$2552,Raw_Data!$F$2:$F$2552,$B9)</f>
        <v/>
      </c>
      <c r="I9" s="88">
        <f>IFERROR(G9/H9,"")</f>
        <v/>
      </c>
      <c r="J9" s="87">
        <f>SUMIFS(Raw_Data!$W$2:$W$2552,Raw_Data!$F$2:$F$2552,$B9)</f>
        <v/>
      </c>
      <c r="K9" s="89">
        <f>IFERROR(J9/G9,"")</f>
        <v/>
      </c>
      <c r="L9" s="90">
        <f>IFERROR(F9/J9,"")</f>
        <v/>
      </c>
      <c r="M9" s="90">
        <f>IFERROR(F9/G9*1000,"")</f>
        <v/>
      </c>
      <c r="N9" s="87">
        <f>SUMIFS(Raw_Data!$AA$2:$AA$2552,Raw_Data!$F$2:$F$2552,$B9)</f>
        <v/>
      </c>
      <c r="O9" s="18">
        <f>IFERROR(N9/J9,"")</f>
        <v/>
      </c>
      <c r="P9" s="87">
        <f>SUMIFS(Raw_Data!$AL$2:$AL$2552,Raw_Data!$F$2:$F$2552,$B9)</f>
        <v/>
      </c>
      <c r="Q9" s="89">
        <f>IFERROR(P9/N9,"")</f>
        <v/>
      </c>
      <c r="R9" s="86">
        <f>IFERROR(F9/P9,"")</f>
        <v/>
      </c>
      <c r="S9" s="87">
        <f>SUMIFS(Raw_Data!$AO$2:$AO$2552,Raw_Data!$F$2:$F$2552,$B9)</f>
        <v/>
      </c>
      <c r="T9" s="18">
        <f>IFERROR(S9/P9,"")</f>
        <v/>
      </c>
      <c r="U9" s="86">
        <f>IFERROR(F9/S9,"")</f>
        <v/>
      </c>
      <c r="V9" s="87">
        <f>SUMIFS(Raw_Data!$AR$2:$AR$2552,Raw_Data!$F$2:$F$2552,$B9)</f>
        <v/>
      </c>
      <c r="W9" s="87">
        <f>SUMIFS(Raw_Data!$AS$2:$AS$2552,Raw_Data!$F$2:$F$2552,$B9)</f>
        <v/>
      </c>
      <c r="X9" s="87">
        <f>P9+V9</f>
        <v/>
      </c>
      <c r="Y9" s="86">
        <f>SUMIFS(Raw_Data!$AU$2:$AU$2552,Raw_Data!$F$2:$F$2552,$B9)</f>
        <v/>
      </c>
      <c r="Z9" s="18">
        <f>IFERROR(F9/Summary!$B$17,"")</f>
        <v/>
      </c>
      <c r="AA9" s="18">
        <f>IFERROR(P9/Summary!$L$17,"")</f>
        <v/>
      </c>
    </row>
    <row r="10">
      <c r="A10" s="6" t="inlineStr">
        <is>
          <t>TikTok</t>
        </is>
      </c>
      <c r="B10" s="78" t="inlineStr">
        <is>
          <t>LEP_ZA_AUG26_TT_TD_AMUR_CONV</t>
        </is>
      </c>
      <c r="C10" s="78" t="inlineStr">
        <is>
          <t>Website Conversions</t>
        </is>
      </c>
      <c r="D10" s="8" t="inlineStr">
        <is>
          <t>AMUR</t>
        </is>
      </c>
      <c r="E10" s="78" t="inlineStr">
        <is>
          <t>0% Deposit</t>
        </is>
      </c>
      <c r="F10" s="86">
        <f>SUMIFS(Raw_Data!$R$2:$R$2552,Raw_Data!$F$2:$F$2552,$B10)</f>
        <v/>
      </c>
      <c r="G10" s="87">
        <f>SUMIFS(Raw_Data!$S$2:$S$2552,Raw_Data!$F$2:$F$2552,$B10)</f>
        <v/>
      </c>
      <c r="H10" s="87">
        <f>SUMIFS(Raw_Data!$T$2:$T$2552,Raw_Data!$F$2:$F$2552,$B10)</f>
        <v/>
      </c>
      <c r="I10" s="88">
        <f>IFERROR(G10/H10,"")</f>
        <v/>
      </c>
      <c r="J10" s="87">
        <f>SUMIFS(Raw_Data!$W$2:$W$2552,Raw_Data!$F$2:$F$2552,$B10)</f>
        <v/>
      </c>
      <c r="K10" s="89">
        <f>IFERROR(J10/G10,"")</f>
        <v/>
      </c>
      <c r="L10" s="90">
        <f>IFERROR(F10/J10,"")</f>
        <v/>
      </c>
      <c r="M10" s="90">
        <f>IFERROR(F10/G10*1000,"")</f>
        <v/>
      </c>
      <c r="N10" s="87">
        <f>SUMIFS(Raw_Data!$AA$2:$AA$2552,Raw_Data!$F$2:$F$2552,$B10)</f>
        <v/>
      </c>
      <c r="O10" s="18">
        <f>IFERROR(N10/J10,"")</f>
        <v/>
      </c>
      <c r="P10" s="87">
        <f>SUMIFS(Raw_Data!$AL$2:$AL$2552,Raw_Data!$F$2:$F$2552,$B10)</f>
        <v/>
      </c>
      <c r="Q10" s="89">
        <f>IFERROR(P10/N10,"")</f>
        <v/>
      </c>
      <c r="R10" s="86">
        <f>IFERROR(F10/P10,"")</f>
        <v/>
      </c>
      <c r="S10" s="87">
        <f>SUMIFS(Raw_Data!$AO$2:$AO$2552,Raw_Data!$F$2:$F$2552,$B10)</f>
        <v/>
      </c>
      <c r="T10" s="18">
        <f>IFERROR(S10/P10,"")</f>
        <v/>
      </c>
      <c r="U10" s="86">
        <f>IFERROR(F10/S10,"")</f>
        <v/>
      </c>
      <c r="V10" s="87">
        <f>SUMIFS(Raw_Data!$AR$2:$AR$2552,Raw_Data!$F$2:$F$2552,$B10)</f>
        <v/>
      </c>
      <c r="W10" s="87">
        <f>SUMIFS(Raw_Data!$AS$2:$AS$2552,Raw_Data!$F$2:$F$2552,$B10)</f>
        <v/>
      </c>
      <c r="X10" s="87">
        <f>P10+V10</f>
        <v/>
      </c>
      <c r="Y10" s="86">
        <f>SUMIFS(Raw_Data!$AU$2:$AU$2552,Raw_Data!$F$2:$F$2552,$B10)</f>
        <v/>
      </c>
      <c r="Z10" s="18">
        <f>IFERROR(F10/Summary!$B$17,"")</f>
        <v/>
      </c>
      <c r="AA10" s="18">
        <f>IFERROR(P10/Summary!$L$17,"")</f>
        <v/>
      </c>
    </row>
    <row r="11">
      <c r="A11" s="6" t="inlineStr">
        <is>
          <t>TikTok</t>
        </is>
      </c>
      <c r="B11" s="78" t="inlineStr">
        <is>
          <t>LEP_ZA_AUG26_TT_TD_PANTERA_CONV</t>
        </is>
      </c>
      <c r="C11" s="78" t="inlineStr">
        <is>
          <t>Website Conversions</t>
        </is>
      </c>
      <c r="D11" s="8" t="inlineStr">
        <is>
          <t>PANTERA</t>
        </is>
      </c>
      <c r="E11" s="78" t="inlineStr">
        <is>
          <t>0% Deposit</t>
        </is>
      </c>
      <c r="F11" s="86">
        <f>SUMIFS(Raw_Data!$R$2:$R$2552,Raw_Data!$F$2:$F$2552,$B11)</f>
        <v/>
      </c>
      <c r="G11" s="87">
        <f>SUMIFS(Raw_Data!$S$2:$S$2552,Raw_Data!$F$2:$F$2552,$B11)</f>
        <v/>
      </c>
      <c r="H11" s="87">
        <f>SUMIFS(Raw_Data!$T$2:$T$2552,Raw_Data!$F$2:$F$2552,$B11)</f>
        <v/>
      </c>
      <c r="I11" s="88">
        <f>IFERROR(G11/H11,"")</f>
        <v/>
      </c>
      <c r="J11" s="87">
        <f>SUMIFS(Raw_Data!$W$2:$W$2552,Raw_Data!$F$2:$F$2552,$B11)</f>
        <v/>
      </c>
      <c r="K11" s="89">
        <f>IFERROR(J11/G11,"")</f>
        <v/>
      </c>
      <c r="L11" s="90">
        <f>IFERROR(F11/J11,"")</f>
        <v/>
      </c>
      <c r="M11" s="90">
        <f>IFERROR(F11/G11*1000,"")</f>
        <v/>
      </c>
      <c r="N11" s="87">
        <f>SUMIFS(Raw_Data!$AA$2:$AA$2552,Raw_Data!$F$2:$F$2552,$B11)</f>
        <v/>
      </c>
      <c r="O11" s="18">
        <f>IFERROR(N11/J11,"")</f>
        <v/>
      </c>
      <c r="P11" s="87">
        <f>SUMIFS(Raw_Data!$AL$2:$AL$2552,Raw_Data!$F$2:$F$2552,$B11)</f>
        <v/>
      </c>
      <c r="Q11" s="89">
        <f>IFERROR(P11/N11,"")</f>
        <v/>
      </c>
      <c r="R11" s="86">
        <f>IFERROR(F11/P11,"")</f>
        <v/>
      </c>
      <c r="S11" s="87">
        <f>SUMIFS(Raw_Data!$AO$2:$AO$2552,Raw_Data!$F$2:$F$2552,$B11)</f>
        <v/>
      </c>
      <c r="T11" s="18">
        <f>IFERROR(S11/P11,"")</f>
        <v/>
      </c>
      <c r="U11" s="86">
        <f>IFERROR(F11/S11,"")</f>
        <v/>
      </c>
      <c r="V11" s="87">
        <f>SUMIFS(Raw_Data!$AR$2:$AR$2552,Raw_Data!$F$2:$F$2552,$B11)</f>
        <v/>
      </c>
      <c r="W11" s="87">
        <f>SUMIFS(Raw_Data!$AS$2:$AS$2552,Raw_Data!$F$2:$F$2552,$B11)</f>
        <v/>
      </c>
      <c r="X11" s="87">
        <f>P11+V11</f>
        <v/>
      </c>
      <c r="Y11" s="86">
        <f>SUMIFS(Raw_Data!$AU$2:$AU$2552,Raw_Data!$F$2:$F$2552,$B11)</f>
        <v/>
      </c>
      <c r="Z11" s="18">
        <f>IFERROR(F11/Summary!$B$17,"")</f>
        <v/>
      </c>
      <c r="AA11" s="18">
        <f>IFERROR(P11/Summary!$L$17,"")</f>
        <v/>
      </c>
    </row>
    <row r="12">
      <c r="A12" s="6" t="inlineStr">
        <is>
          <t>TikTok</t>
        </is>
      </c>
      <c r="B12" s="78" t="inlineStr">
        <is>
          <t>LEP_ZA_AUG26_TT_SPARK_RANGE_TRAFFIC</t>
        </is>
      </c>
      <c r="C12" s="78" t="inlineStr">
        <is>
          <t>Traffic - Spark Ads</t>
        </is>
      </c>
      <c r="D12" s="8" t="inlineStr">
        <is>
          <t>Range</t>
        </is>
      </c>
      <c r="E12" s="78" t="inlineStr">
        <is>
          <t>Range Offer</t>
        </is>
      </c>
      <c r="F12" s="86">
        <f>SUMIFS(Raw_Data!$R$2:$R$2552,Raw_Data!$F$2:$F$2552,$B12)</f>
        <v/>
      </c>
      <c r="G12" s="87">
        <f>SUMIFS(Raw_Data!$S$2:$S$2552,Raw_Data!$F$2:$F$2552,$B12)</f>
        <v/>
      </c>
      <c r="H12" s="87">
        <f>SUMIFS(Raw_Data!$T$2:$T$2552,Raw_Data!$F$2:$F$2552,$B12)</f>
        <v/>
      </c>
      <c r="I12" s="88">
        <f>IFERROR(G12/H12,"")</f>
        <v/>
      </c>
      <c r="J12" s="87">
        <f>SUMIFS(Raw_Data!$W$2:$W$2552,Raw_Data!$F$2:$F$2552,$B12)</f>
        <v/>
      </c>
      <c r="K12" s="89">
        <f>IFERROR(J12/G12,"")</f>
        <v/>
      </c>
      <c r="L12" s="90">
        <f>IFERROR(F12/J12,"")</f>
        <v/>
      </c>
      <c r="M12" s="90">
        <f>IFERROR(F12/G12*1000,"")</f>
        <v/>
      </c>
      <c r="N12" s="87">
        <f>SUMIFS(Raw_Data!$AA$2:$AA$2552,Raw_Data!$F$2:$F$2552,$B12)</f>
        <v/>
      </c>
      <c r="O12" s="18">
        <f>IFERROR(N12/J12,"")</f>
        <v/>
      </c>
      <c r="P12" s="87">
        <f>SUMIFS(Raw_Data!$AL$2:$AL$2552,Raw_Data!$F$2:$F$2552,$B12)</f>
        <v/>
      </c>
      <c r="Q12" s="89">
        <f>IFERROR(P12/N12,"")</f>
        <v/>
      </c>
      <c r="R12" s="86">
        <f>IFERROR(F12/P12,"")</f>
        <v/>
      </c>
      <c r="S12" s="87">
        <f>SUMIFS(Raw_Data!$AO$2:$AO$2552,Raw_Data!$F$2:$F$2552,$B12)</f>
        <v/>
      </c>
      <c r="T12" s="18">
        <f>IFERROR(S12/P12,"")</f>
        <v/>
      </c>
      <c r="U12" s="86">
        <f>IFERROR(F12/S12,"")</f>
        <v/>
      </c>
      <c r="V12" s="87">
        <f>SUMIFS(Raw_Data!$AR$2:$AR$2552,Raw_Data!$F$2:$F$2552,$B12)</f>
        <v/>
      </c>
      <c r="W12" s="87">
        <f>SUMIFS(Raw_Data!$AS$2:$AS$2552,Raw_Data!$F$2:$F$2552,$B12)</f>
        <v/>
      </c>
      <c r="X12" s="87">
        <f>P12+V12</f>
        <v/>
      </c>
      <c r="Y12" s="86">
        <f>SUMIFS(Raw_Data!$AU$2:$AU$2552,Raw_Data!$F$2:$F$2552,$B12)</f>
        <v/>
      </c>
      <c r="Z12" s="18">
        <f>IFERROR(F12/Summary!$B$17,"")</f>
        <v/>
      </c>
      <c r="AA12" s="18">
        <f>IFERROR(P12/Summary!$L$17,"")</f>
        <v/>
      </c>
    </row>
    <row r="13">
      <c r="A13" s="6" t="inlineStr">
        <is>
          <t>X</t>
        </is>
      </c>
      <c r="B13" s="78" t="inlineStr">
        <is>
          <t>LEP_ZA_AUG26_X_TD_RANGE_CONV</t>
        </is>
      </c>
      <c r="C13" s="78" t="inlineStr">
        <is>
          <t>Website Conversions</t>
        </is>
      </c>
      <c r="D13" s="8" t="inlineStr">
        <is>
          <t>Range</t>
        </is>
      </c>
      <c r="E13" s="78" t="inlineStr">
        <is>
          <t>Range Offer</t>
        </is>
      </c>
      <c r="F13" s="86">
        <f>SUMIFS(Raw_Data!$R$2:$R$2552,Raw_Data!$F$2:$F$2552,$B13)</f>
        <v/>
      </c>
      <c r="G13" s="87">
        <f>SUMIFS(Raw_Data!$S$2:$S$2552,Raw_Data!$F$2:$F$2552,$B13)</f>
        <v/>
      </c>
      <c r="H13" s="87">
        <f>SUMIFS(Raw_Data!$T$2:$T$2552,Raw_Data!$F$2:$F$2552,$B13)</f>
        <v/>
      </c>
      <c r="I13" s="88">
        <f>IFERROR(G13/H13,"")</f>
        <v/>
      </c>
      <c r="J13" s="87">
        <f>SUMIFS(Raw_Data!$W$2:$W$2552,Raw_Data!$F$2:$F$2552,$B13)</f>
        <v/>
      </c>
      <c r="K13" s="89">
        <f>IFERROR(J13/G13,"")</f>
        <v/>
      </c>
      <c r="L13" s="90">
        <f>IFERROR(F13/J13,"")</f>
        <v/>
      </c>
      <c r="M13" s="90">
        <f>IFERROR(F13/G13*1000,"")</f>
        <v/>
      </c>
      <c r="N13" s="87">
        <f>SUMIFS(Raw_Data!$AA$2:$AA$2552,Raw_Data!$F$2:$F$2552,$B13)</f>
        <v/>
      </c>
      <c r="O13" s="18">
        <f>IFERROR(N13/J13,"")</f>
        <v/>
      </c>
      <c r="P13" s="87">
        <f>SUMIFS(Raw_Data!$AL$2:$AL$2552,Raw_Data!$F$2:$F$2552,$B13)</f>
        <v/>
      </c>
      <c r="Q13" s="89">
        <f>IFERROR(P13/N13,"")</f>
        <v/>
      </c>
      <c r="R13" s="86">
        <f>IFERROR(F13/P13,"")</f>
        <v/>
      </c>
      <c r="S13" s="87">
        <f>SUMIFS(Raw_Data!$AO$2:$AO$2552,Raw_Data!$F$2:$F$2552,$B13)</f>
        <v/>
      </c>
      <c r="T13" s="18">
        <f>IFERROR(S13/P13,"")</f>
        <v/>
      </c>
      <c r="U13" s="86">
        <f>IFERROR(F13/S13,"")</f>
        <v/>
      </c>
      <c r="V13" s="87">
        <f>SUMIFS(Raw_Data!$AR$2:$AR$2552,Raw_Data!$F$2:$F$2552,$B13)</f>
        <v/>
      </c>
      <c r="W13" s="87">
        <f>SUMIFS(Raw_Data!$AS$2:$AS$2552,Raw_Data!$F$2:$F$2552,$B13)</f>
        <v/>
      </c>
      <c r="X13" s="87">
        <f>P13+V13</f>
        <v/>
      </c>
      <c r="Y13" s="86">
        <f>SUMIFS(Raw_Data!$AU$2:$AU$2552,Raw_Data!$F$2:$F$2552,$B13)</f>
        <v/>
      </c>
      <c r="Z13" s="18">
        <f>IFERROR(F13/Summary!$B$17,"")</f>
        <v/>
      </c>
      <c r="AA13" s="18">
        <f>IFERROR(P13/Summary!$L$17,"")</f>
        <v/>
      </c>
    </row>
    <row r="14">
      <c r="A14" s="6" t="inlineStr">
        <is>
          <t>X</t>
        </is>
      </c>
      <c r="B14" s="78" t="inlineStr">
        <is>
          <t>LEP_ZA_AUG26_X_RMKT_TD_CONV</t>
        </is>
      </c>
      <c r="C14" s="78" t="inlineStr">
        <is>
          <t>Website Conversions</t>
        </is>
      </c>
      <c r="D14" s="8" t="inlineStr">
        <is>
          <t>Range</t>
        </is>
      </c>
      <c r="E14" s="78" t="inlineStr">
        <is>
          <t>Range Offer</t>
        </is>
      </c>
      <c r="F14" s="86">
        <f>SUMIFS(Raw_Data!$R$2:$R$2552,Raw_Data!$F$2:$F$2552,$B14)</f>
        <v/>
      </c>
      <c r="G14" s="87">
        <f>SUMIFS(Raw_Data!$S$2:$S$2552,Raw_Data!$F$2:$F$2552,$B14)</f>
        <v/>
      </c>
      <c r="H14" s="87">
        <f>SUMIFS(Raw_Data!$T$2:$T$2552,Raw_Data!$F$2:$F$2552,$B14)</f>
        <v/>
      </c>
      <c r="I14" s="88">
        <f>IFERROR(G14/H14,"")</f>
        <v/>
      </c>
      <c r="J14" s="87">
        <f>SUMIFS(Raw_Data!$W$2:$W$2552,Raw_Data!$F$2:$F$2552,$B14)</f>
        <v/>
      </c>
      <c r="K14" s="89">
        <f>IFERROR(J14/G14,"")</f>
        <v/>
      </c>
      <c r="L14" s="90">
        <f>IFERROR(F14/J14,"")</f>
        <v/>
      </c>
      <c r="M14" s="90">
        <f>IFERROR(F14/G14*1000,"")</f>
        <v/>
      </c>
      <c r="N14" s="87">
        <f>SUMIFS(Raw_Data!$AA$2:$AA$2552,Raw_Data!$F$2:$F$2552,$B14)</f>
        <v/>
      </c>
      <c r="O14" s="18">
        <f>IFERROR(N14/J14,"")</f>
        <v/>
      </c>
      <c r="P14" s="87">
        <f>SUMIFS(Raw_Data!$AL$2:$AL$2552,Raw_Data!$F$2:$F$2552,$B14)</f>
        <v/>
      </c>
      <c r="Q14" s="89">
        <f>IFERROR(P14/N14,"")</f>
        <v/>
      </c>
      <c r="R14" s="86">
        <f>IFERROR(F14/P14,"")</f>
        <v/>
      </c>
      <c r="S14" s="87">
        <f>SUMIFS(Raw_Data!$AO$2:$AO$2552,Raw_Data!$F$2:$F$2552,$B14)</f>
        <v/>
      </c>
      <c r="T14" s="18">
        <f>IFERROR(S14/P14,"")</f>
        <v/>
      </c>
      <c r="U14" s="86">
        <f>IFERROR(F14/S14,"")</f>
        <v/>
      </c>
      <c r="V14" s="87">
        <f>SUMIFS(Raw_Data!$AR$2:$AR$2552,Raw_Data!$F$2:$F$2552,$B14)</f>
        <v/>
      </c>
      <c r="W14" s="87">
        <f>SUMIFS(Raw_Data!$AS$2:$AS$2552,Raw_Data!$F$2:$F$2552,$B14)</f>
        <v/>
      </c>
      <c r="X14" s="87">
        <f>P14+V14</f>
        <v/>
      </c>
      <c r="Y14" s="86">
        <f>SUMIFS(Raw_Data!$AU$2:$AU$2552,Raw_Data!$F$2:$F$2552,$B14)</f>
        <v/>
      </c>
      <c r="Z14" s="18">
        <f>IFERROR(F14/Summary!$B$17,"")</f>
        <v/>
      </c>
      <c r="AA14" s="18">
        <f>IFERROR(P14/Summary!$L$17,"")</f>
        <v/>
      </c>
    </row>
    <row r="15">
      <c r="A15" s="6" t="inlineStr">
        <is>
          <t>Programmatic</t>
        </is>
      </c>
      <c r="B15" s="78" t="inlineStr">
        <is>
          <t>LEP_ZA_AUG26_PROG_TD_PROSPECT_DISPLAY</t>
        </is>
      </c>
      <c r="C15" s="78" t="inlineStr">
        <is>
          <t>Display Prospecting</t>
        </is>
      </c>
      <c r="D15" s="8" t="inlineStr">
        <is>
          <t>Range</t>
        </is>
      </c>
      <c r="E15" s="78" t="inlineStr">
        <is>
          <t>Range Offer</t>
        </is>
      </c>
      <c r="F15" s="86">
        <f>SUMIFS(Raw_Data!$R$2:$R$2552,Raw_Data!$F$2:$F$2552,$B15)</f>
        <v/>
      </c>
      <c r="G15" s="87">
        <f>SUMIFS(Raw_Data!$S$2:$S$2552,Raw_Data!$F$2:$F$2552,$B15)</f>
        <v/>
      </c>
      <c r="H15" s="87">
        <f>SUMIFS(Raw_Data!$T$2:$T$2552,Raw_Data!$F$2:$F$2552,$B15)</f>
        <v/>
      </c>
      <c r="I15" s="88">
        <f>IFERROR(G15/H15,"")</f>
        <v/>
      </c>
      <c r="J15" s="87">
        <f>SUMIFS(Raw_Data!$W$2:$W$2552,Raw_Data!$F$2:$F$2552,$B15)</f>
        <v/>
      </c>
      <c r="K15" s="89">
        <f>IFERROR(J15/G15,"")</f>
        <v/>
      </c>
      <c r="L15" s="90">
        <f>IFERROR(F15/J15,"")</f>
        <v/>
      </c>
      <c r="M15" s="90">
        <f>IFERROR(F15/G15*1000,"")</f>
        <v/>
      </c>
      <c r="N15" s="87">
        <f>SUMIFS(Raw_Data!$AA$2:$AA$2552,Raw_Data!$F$2:$F$2552,$B15)</f>
        <v/>
      </c>
      <c r="O15" s="18">
        <f>IFERROR(N15/J15,"")</f>
        <v/>
      </c>
      <c r="P15" s="87">
        <f>SUMIFS(Raw_Data!$AL$2:$AL$2552,Raw_Data!$F$2:$F$2552,$B15)</f>
        <v/>
      </c>
      <c r="Q15" s="89">
        <f>IFERROR(P15/N15,"")</f>
        <v/>
      </c>
      <c r="R15" s="86">
        <f>IFERROR(F15/P15,"")</f>
        <v/>
      </c>
      <c r="S15" s="87">
        <f>SUMIFS(Raw_Data!$AO$2:$AO$2552,Raw_Data!$F$2:$F$2552,$B15)</f>
        <v/>
      </c>
      <c r="T15" s="18">
        <f>IFERROR(S15/P15,"")</f>
        <v/>
      </c>
      <c r="U15" s="86">
        <f>IFERROR(F15/S15,"")</f>
        <v/>
      </c>
      <c r="V15" s="87">
        <f>SUMIFS(Raw_Data!$AR$2:$AR$2552,Raw_Data!$F$2:$F$2552,$B15)</f>
        <v/>
      </c>
      <c r="W15" s="87">
        <f>SUMIFS(Raw_Data!$AS$2:$AS$2552,Raw_Data!$F$2:$F$2552,$B15)</f>
        <v/>
      </c>
      <c r="X15" s="87">
        <f>P15+V15</f>
        <v/>
      </c>
      <c r="Y15" s="86">
        <f>SUMIFS(Raw_Data!$AU$2:$AU$2552,Raw_Data!$F$2:$F$2552,$B15)</f>
        <v/>
      </c>
      <c r="Z15" s="18">
        <f>IFERROR(F15/Summary!$B$17,"")</f>
        <v/>
      </c>
      <c r="AA15" s="18">
        <f>IFERROR(P15/Summary!$L$17,"")</f>
        <v/>
      </c>
    </row>
    <row r="16">
      <c r="A16" s="6" t="inlineStr">
        <is>
          <t>Programmatic</t>
        </is>
      </c>
      <c r="B16" s="78" t="inlineStr">
        <is>
          <t>LEP_ZA_AUG26_PROG_TD_VIDEO_OLV</t>
        </is>
      </c>
      <c r="C16" s="78" t="inlineStr">
        <is>
          <t>Online Video / CTV</t>
        </is>
      </c>
      <c r="D16" s="8" t="inlineStr">
        <is>
          <t>Range</t>
        </is>
      </c>
      <c r="E16" s="78" t="inlineStr">
        <is>
          <t>Range Offer</t>
        </is>
      </c>
      <c r="F16" s="86">
        <f>SUMIFS(Raw_Data!$R$2:$R$2552,Raw_Data!$F$2:$F$2552,$B16)</f>
        <v/>
      </c>
      <c r="G16" s="87">
        <f>SUMIFS(Raw_Data!$S$2:$S$2552,Raw_Data!$F$2:$F$2552,$B16)</f>
        <v/>
      </c>
      <c r="H16" s="87">
        <f>SUMIFS(Raw_Data!$T$2:$T$2552,Raw_Data!$F$2:$F$2552,$B16)</f>
        <v/>
      </c>
      <c r="I16" s="88">
        <f>IFERROR(G16/H16,"")</f>
        <v/>
      </c>
      <c r="J16" s="87">
        <f>SUMIFS(Raw_Data!$W$2:$W$2552,Raw_Data!$F$2:$F$2552,$B16)</f>
        <v/>
      </c>
      <c r="K16" s="89">
        <f>IFERROR(J16/G16,"")</f>
        <v/>
      </c>
      <c r="L16" s="90">
        <f>IFERROR(F16/J16,"")</f>
        <v/>
      </c>
      <c r="M16" s="90">
        <f>IFERROR(F16/G16*1000,"")</f>
        <v/>
      </c>
      <c r="N16" s="87">
        <f>SUMIFS(Raw_Data!$AA$2:$AA$2552,Raw_Data!$F$2:$F$2552,$B16)</f>
        <v/>
      </c>
      <c r="O16" s="18">
        <f>IFERROR(N16/J16,"")</f>
        <v/>
      </c>
      <c r="P16" s="87">
        <f>SUMIFS(Raw_Data!$AL$2:$AL$2552,Raw_Data!$F$2:$F$2552,$B16)</f>
        <v/>
      </c>
      <c r="Q16" s="89">
        <f>IFERROR(P16/N16,"")</f>
        <v/>
      </c>
      <c r="R16" s="86">
        <f>IFERROR(F16/P16,"")</f>
        <v/>
      </c>
      <c r="S16" s="87">
        <f>SUMIFS(Raw_Data!$AO$2:$AO$2552,Raw_Data!$F$2:$F$2552,$B16)</f>
        <v/>
      </c>
      <c r="T16" s="18">
        <f>IFERROR(S16/P16,"")</f>
        <v/>
      </c>
      <c r="U16" s="86">
        <f>IFERROR(F16/S16,"")</f>
        <v/>
      </c>
      <c r="V16" s="87">
        <f>SUMIFS(Raw_Data!$AR$2:$AR$2552,Raw_Data!$F$2:$F$2552,$B16)</f>
        <v/>
      </c>
      <c r="W16" s="87">
        <f>SUMIFS(Raw_Data!$AS$2:$AS$2552,Raw_Data!$F$2:$F$2552,$B16)</f>
        <v/>
      </c>
      <c r="X16" s="87">
        <f>P16+V16</f>
        <v/>
      </c>
      <c r="Y16" s="86">
        <f>SUMIFS(Raw_Data!$AU$2:$AU$2552,Raw_Data!$F$2:$F$2552,$B16)</f>
        <v/>
      </c>
      <c r="Z16" s="18">
        <f>IFERROR(F16/Summary!$B$17,"")</f>
        <v/>
      </c>
      <c r="AA16" s="18">
        <f>IFERROR(P16/Summary!$L$17,"")</f>
        <v/>
      </c>
    </row>
    <row r="17">
      <c r="A17" s="6" t="inlineStr">
        <is>
          <t>Programmatic</t>
        </is>
      </c>
      <c r="B17" s="78" t="inlineStr">
        <is>
          <t>LEP_ZA_AUG26_PROG_RMKT_DYNAMIC</t>
        </is>
      </c>
      <c r="C17" s="78" t="inlineStr">
        <is>
          <t>Dynamic Retargeting</t>
        </is>
      </c>
      <c r="D17" s="8" t="inlineStr">
        <is>
          <t>Range</t>
        </is>
      </c>
      <c r="E17" s="78" t="inlineStr">
        <is>
          <t>Range Offer</t>
        </is>
      </c>
      <c r="F17" s="86">
        <f>SUMIFS(Raw_Data!$R$2:$R$2552,Raw_Data!$F$2:$F$2552,$B17)</f>
        <v/>
      </c>
      <c r="G17" s="87">
        <f>SUMIFS(Raw_Data!$S$2:$S$2552,Raw_Data!$F$2:$F$2552,$B17)</f>
        <v/>
      </c>
      <c r="H17" s="87">
        <f>SUMIFS(Raw_Data!$T$2:$T$2552,Raw_Data!$F$2:$F$2552,$B17)</f>
        <v/>
      </c>
      <c r="I17" s="88">
        <f>IFERROR(G17/H17,"")</f>
        <v/>
      </c>
      <c r="J17" s="87">
        <f>SUMIFS(Raw_Data!$W$2:$W$2552,Raw_Data!$F$2:$F$2552,$B17)</f>
        <v/>
      </c>
      <c r="K17" s="89">
        <f>IFERROR(J17/G17,"")</f>
        <v/>
      </c>
      <c r="L17" s="90">
        <f>IFERROR(F17/J17,"")</f>
        <v/>
      </c>
      <c r="M17" s="90">
        <f>IFERROR(F17/G17*1000,"")</f>
        <v/>
      </c>
      <c r="N17" s="87">
        <f>SUMIFS(Raw_Data!$AA$2:$AA$2552,Raw_Data!$F$2:$F$2552,$B17)</f>
        <v/>
      </c>
      <c r="O17" s="18">
        <f>IFERROR(N17/J17,"")</f>
        <v/>
      </c>
      <c r="P17" s="87">
        <f>SUMIFS(Raw_Data!$AL$2:$AL$2552,Raw_Data!$F$2:$F$2552,$B17)</f>
        <v/>
      </c>
      <c r="Q17" s="89">
        <f>IFERROR(P17/N17,"")</f>
        <v/>
      </c>
      <c r="R17" s="86">
        <f>IFERROR(F17/P17,"")</f>
        <v/>
      </c>
      <c r="S17" s="87">
        <f>SUMIFS(Raw_Data!$AO$2:$AO$2552,Raw_Data!$F$2:$F$2552,$B17)</f>
        <v/>
      </c>
      <c r="T17" s="18">
        <f>IFERROR(S17/P17,"")</f>
        <v/>
      </c>
      <c r="U17" s="86">
        <f>IFERROR(F17/S17,"")</f>
        <v/>
      </c>
      <c r="V17" s="87">
        <f>SUMIFS(Raw_Data!$AR$2:$AR$2552,Raw_Data!$F$2:$F$2552,$B17)</f>
        <v/>
      </c>
      <c r="W17" s="87">
        <f>SUMIFS(Raw_Data!$AS$2:$AS$2552,Raw_Data!$F$2:$F$2552,$B17)</f>
        <v/>
      </c>
      <c r="X17" s="87">
        <f>P17+V17</f>
        <v/>
      </c>
      <c r="Y17" s="86">
        <f>SUMIFS(Raw_Data!$AU$2:$AU$2552,Raw_Data!$F$2:$F$2552,$B17)</f>
        <v/>
      </c>
      <c r="Z17" s="18">
        <f>IFERROR(F17/Summary!$B$17,"")</f>
        <v/>
      </c>
      <c r="AA17" s="18">
        <f>IFERROR(P17/Summary!$L$17,"")</f>
        <v/>
      </c>
    </row>
    <row r="18">
      <c r="A18" s="19" t="inlineStr">
        <is>
          <t>TOTAL</t>
        </is>
      </c>
      <c r="B18" s="32" t="n"/>
      <c r="C18" s="32" t="n"/>
      <c r="D18" s="32" t="n"/>
      <c r="E18" s="32" t="n"/>
      <c r="F18" s="91" t="n"/>
      <c r="G18" s="92" t="n"/>
      <c r="H18" s="92" t="n"/>
      <c r="I18" s="93">
        <f>IFERROR(G18/H18,"")</f>
        <v/>
      </c>
      <c r="J18" s="92" t="n"/>
      <c r="K18" s="94">
        <f>IFERROR(J18/G18,"")</f>
        <v/>
      </c>
      <c r="L18" s="95">
        <f>IFERROR(F18/J18,"")</f>
        <v/>
      </c>
      <c r="M18" s="95">
        <f>IFERROR(F18/G18*1000,"")</f>
        <v/>
      </c>
      <c r="N18" s="92" t="n"/>
      <c r="O18" s="25">
        <f>IFERROR(N18/J18,"")</f>
        <v/>
      </c>
      <c r="P18" s="92" t="n"/>
      <c r="Q18" s="94">
        <f>IFERROR(P18/N18,"")</f>
        <v/>
      </c>
      <c r="R18" s="91">
        <f>IFERROR(F18/P18,"")</f>
        <v/>
      </c>
      <c r="S18" s="92" t="n"/>
      <c r="T18" s="25">
        <f>IFERROR(S18/P18,"")</f>
        <v/>
      </c>
      <c r="U18" s="91">
        <f>IFERROR(F18/S18,"")</f>
        <v/>
      </c>
      <c r="V18" s="92" t="n"/>
      <c r="W18" s="92" t="n"/>
      <c r="X18" s="92">
        <f>P18+V18</f>
        <v/>
      </c>
      <c r="Y18" s="91" t="n"/>
      <c r="Z18" s="25">
        <f>IFERROR(F18/Summary!$B$17,"")</f>
        <v/>
      </c>
      <c r="AA18" s="25">
        <f>IFERROR(P18/Summary!$L$17,"")</f>
        <v/>
      </c>
    </row>
    <row r="21" ht="18" customHeight="1" s="67">
      <c r="A21" s="2" t="inlineStr">
        <is>
          <t xml:space="preserve">  AD SET / LINE ITEM LEVEL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0" customHeight="1" s="67">
      <c r="A22" s="12" t="inlineStr">
        <is>
          <t>Channel</t>
        </is>
      </c>
      <c r="B22" s="12" t="inlineStr">
        <is>
          <t>Campaign Name</t>
        </is>
      </c>
      <c r="C22" s="12" t="inlineStr">
        <is>
          <t>Ad Set / Line Item</t>
        </is>
      </c>
      <c r="D22" s="12" t="inlineStr">
        <is>
          <t>Audience Type</t>
        </is>
      </c>
      <c r="E22" s="12" t="inlineStr">
        <is>
          <t>Spend (ZAR)</t>
        </is>
      </c>
      <c r="F22" s="12" t="inlineStr">
        <is>
          <t>Impressions</t>
        </is>
      </c>
      <c r="G22" s="12" t="inlineStr">
        <is>
          <t>Reach (sum of daily)</t>
        </is>
      </c>
      <c r="H22" s="12" t="inlineStr">
        <is>
          <t>Avg Daily Frequency</t>
        </is>
      </c>
      <c r="I22" s="12" t="inlineStr">
        <is>
          <t>Link Clicks</t>
        </is>
      </c>
      <c r="J22" s="12" t="inlineStr">
        <is>
          <t>CTR (Link)</t>
        </is>
      </c>
      <c r="K22" s="12" t="inlineStr">
        <is>
          <t>CPC (Link)</t>
        </is>
      </c>
      <c r="L22" s="12" t="inlineStr">
        <is>
          <t>CPM</t>
        </is>
      </c>
      <c r="M22" s="12" t="inlineStr">
        <is>
          <t>Landing Page Views</t>
        </is>
      </c>
      <c r="N22" s="12" t="inlineStr">
        <is>
          <t>LPV Rate</t>
        </is>
      </c>
      <c r="O22" s="12" t="inlineStr">
        <is>
          <t>Test Drive Bookings</t>
        </is>
      </c>
      <c r="P22" s="12" t="inlineStr">
        <is>
          <t>CVR (Booking / LPV)</t>
        </is>
      </c>
      <c r="Q22" s="12" t="inlineStr">
        <is>
          <t>CPL (Cost / Booking)</t>
        </is>
      </c>
      <c r="R22" s="12" t="inlineStr">
        <is>
          <t>Qualified Leads</t>
        </is>
      </c>
      <c r="S22" s="12" t="inlineStr">
        <is>
          <t>Qualified Rate</t>
        </is>
      </c>
      <c r="T22" s="12" t="inlineStr">
        <is>
          <t>Cost per Qualified Lead</t>
        </is>
      </c>
      <c r="U22" s="12" t="inlineStr">
        <is>
          <t>View-Through Conv.</t>
        </is>
      </c>
      <c r="V22" s="12" t="inlineStr">
        <is>
          <t>Assisted Conv.</t>
        </is>
      </c>
      <c r="W22" s="12" t="inlineStr">
        <is>
          <t>Total Attributed Conv.</t>
        </is>
      </c>
      <c r="X22" s="12" t="inlineStr">
        <is>
          <t>Est. Revenue Pipeline (ZAR)</t>
        </is>
      </c>
      <c r="Y22" s="12" t="inlineStr">
        <is>
          <t>% of Spend</t>
        </is>
      </c>
      <c r="Z22" s="12" t="inlineStr">
        <is>
          <t>% of Bookings</t>
        </is>
      </c>
    </row>
    <row r="23">
      <c r="A23" s="6" t="inlineStr">
        <is>
          <t>Meta (FB/IG)</t>
        </is>
      </c>
      <c r="B23" s="78" t="inlineStr">
        <is>
          <t>LEP_ZA_AUG26_META_TD_AMUR_CONV</t>
        </is>
      </c>
      <c r="C23" s="78" t="inlineStr">
        <is>
          <t>MET_AMUR_BROAD_25-54_ZA</t>
        </is>
      </c>
      <c r="D23" s="8" t="inlineStr">
        <is>
          <t>Prospecting</t>
        </is>
      </c>
      <c r="E23" s="86">
        <f>SUMIFS(Raw_Data!$R$2:$R$2552,Raw_Data!$F$2:$F$2552,$B23,Raw_Data!$J$2:$J$2552,$C23)</f>
        <v/>
      </c>
      <c r="F23" s="87">
        <f>SUMIFS(Raw_Data!$S$2:$S$2552,Raw_Data!$F$2:$F$2552,$B23,Raw_Data!$J$2:$J$2552,$C23)</f>
        <v/>
      </c>
      <c r="G23" s="87">
        <f>SUMIFS(Raw_Data!$T$2:$T$2552,Raw_Data!$F$2:$F$2552,$B23,Raw_Data!$J$2:$J$2552,$C23)</f>
        <v/>
      </c>
      <c r="H23" s="88">
        <f>IFERROR(F23/G23,"")</f>
        <v/>
      </c>
      <c r="I23" s="87">
        <f>SUMIFS(Raw_Data!$W$2:$W$2552,Raw_Data!$F$2:$F$2552,$B23,Raw_Data!$J$2:$J$2552,$C23)</f>
        <v/>
      </c>
      <c r="J23" s="89">
        <f>IFERROR(I23/F23,"")</f>
        <v/>
      </c>
      <c r="K23" s="90">
        <f>IFERROR(E23/I23,"")</f>
        <v/>
      </c>
      <c r="L23" s="90">
        <f>IFERROR(E23/F23*1000,"")</f>
        <v/>
      </c>
      <c r="M23" s="87">
        <f>SUMIFS(Raw_Data!$AA$2:$AA$2552,Raw_Data!$F$2:$F$2552,$B23,Raw_Data!$J$2:$J$2552,$C23)</f>
        <v/>
      </c>
      <c r="N23" s="18">
        <f>IFERROR(M23/I23,"")</f>
        <v/>
      </c>
      <c r="O23" s="87">
        <f>SUMIFS(Raw_Data!$AL$2:$AL$2552,Raw_Data!$F$2:$F$2552,$B23,Raw_Data!$J$2:$J$2552,$C23)</f>
        <v/>
      </c>
      <c r="P23" s="89">
        <f>IFERROR(O23/M23,"")</f>
        <v/>
      </c>
      <c r="Q23" s="86">
        <f>IFERROR(E23/O23,"")</f>
        <v/>
      </c>
      <c r="R23" s="87">
        <f>SUMIFS(Raw_Data!$AO$2:$AO$2552,Raw_Data!$F$2:$F$2552,$B23,Raw_Data!$J$2:$J$2552,$C23)</f>
        <v/>
      </c>
      <c r="S23" s="18">
        <f>IFERROR(R23/O23,"")</f>
        <v/>
      </c>
      <c r="T23" s="86">
        <f>IFERROR(E23/R23,"")</f>
        <v/>
      </c>
      <c r="U23" s="87">
        <f>SUMIFS(Raw_Data!$AR$2:$AR$2552,Raw_Data!$F$2:$F$2552,$B23,Raw_Data!$J$2:$J$2552,$C23)</f>
        <v/>
      </c>
      <c r="V23" s="87">
        <f>SUMIFS(Raw_Data!$AS$2:$AS$2552,Raw_Data!$F$2:$F$2552,$B23,Raw_Data!$J$2:$J$2552,$C23)</f>
        <v/>
      </c>
      <c r="W23" s="87">
        <f>O23+U23</f>
        <v/>
      </c>
      <c r="X23" s="86">
        <f>SUMIFS(Raw_Data!$AU$2:$AU$2552,Raw_Data!$F$2:$F$2552,$B23,Raw_Data!$J$2:$J$2552,$C23)</f>
        <v/>
      </c>
      <c r="Y23" s="18">
        <f>IFERROR(E23/Summary!$B$17,"")</f>
        <v/>
      </c>
      <c r="Z23" s="18">
        <f>IFERROR(O23/Summary!$L$17,"")</f>
        <v/>
      </c>
    </row>
    <row r="24">
      <c r="A24" s="6" t="inlineStr">
        <is>
          <t>Meta (FB/IG)</t>
        </is>
      </c>
      <c r="B24" s="78" t="inlineStr">
        <is>
          <t>LEP_ZA_AUG26_META_TD_AMUR_CONV</t>
        </is>
      </c>
      <c r="C24" s="78" t="inlineStr">
        <is>
          <t>MET_AMUR_LAL3_LEADS_ZA</t>
        </is>
      </c>
      <c r="D24" s="8" t="inlineStr">
        <is>
          <t>Lookalike</t>
        </is>
      </c>
      <c r="E24" s="86">
        <f>SUMIFS(Raw_Data!$R$2:$R$2552,Raw_Data!$F$2:$F$2552,$B24,Raw_Data!$J$2:$J$2552,$C24)</f>
        <v/>
      </c>
      <c r="F24" s="87">
        <f>SUMIFS(Raw_Data!$S$2:$S$2552,Raw_Data!$F$2:$F$2552,$B24,Raw_Data!$J$2:$J$2552,$C24)</f>
        <v/>
      </c>
      <c r="G24" s="87">
        <f>SUMIFS(Raw_Data!$T$2:$T$2552,Raw_Data!$F$2:$F$2552,$B24,Raw_Data!$J$2:$J$2552,$C24)</f>
        <v/>
      </c>
      <c r="H24" s="88">
        <f>IFERROR(F24/G24,"")</f>
        <v/>
      </c>
      <c r="I24" s="87">
        <f>SUMIFS(Raw_Data!$W$2:$W$2552,Raw_Data!$F$2:$F$2552,$B24,Raw_Data!$J$2:$J$2552,$C24)</f>
        <v/>
      </c>
      <c r="J24" s="89">
        <f>IFERROR(I24/F24,"")</f>
        <v/>
      </c>
      <c r="K24" s="90">
        <f>IFERROR(E24/I24,"")</f>
        <v/>
      </c>
      <c r="L24" s="90">
        <f>IFERROR(E24/F24*1000,"")</f>
        <v/>
      </c>
      <c r="M24" s="87">
        <f>SUMIFS(Raw_Data!$AA$2:$AA$2552,Raw_Data!$F$2:$F$2552,$B24,Raw_Data!$J$2:$J$2552,$C24)</f>
        <v/>
      </c>
      <c r="N24" s="18">
        <f>IFERROR(M24/I24,"")</f>
        <v/>
      </c>
      <c r="O24" s="87">
        <f>SUMIFS(Raw_Data!$AL$2:$AL$2552,Raw_Data!$F$2:$F$2552,$B24,Raw_Data!$J$2:$J$2552,$C24)</f>
        <v/>
      </c>
      <c r="P24" s="89">
        <f>IFERROR(O24/M24,"")</f>
        <v/>
      </c>
      <c r="Q24" s="86">
        <f>IFERROR(E24/O24,"")</f>
        <v/>
      </c>
      <c r="R24" s="87">
        <f>SUMIFS(Raw_Data!$AO$2:$AO$2552,Raw_Data!$F$2:$F$2552,$B24,Raw_Data!$J$2:$J$2552,$C24)</f>
        <v/>
      </c>
      <c r="S24" s="18">
        <f>IFERROR(R24/O24,"")</f>
        <v/>
      </c>
      <c r="T24" s="86">
        <f>IFERROR(E24/R24,"")</f>
        <v/>
      </c>
      <c r="U24" s="87">
        <f>SUMIFS(Raw_Data!$AR$2:$AR$2552,Raw_Data!$F$2:$F$2552,$B24,Raw_Data!$J$2:$J$2552,$C24)</f>
        <v/>
      </c>
      <c r="V24" s="87">
        <f>SUMIFS(Raw_Data!$AS$2:$AS$2552,Raw_Data!$F$2:$F$2552,$B24,Raw_Data!$J$2:$J$2552,$C24)</f>
        <v/>
      </c>
      <c r="W24" s="87">
        <f>O24+U24</f>
        <v/>
      </c>
      <c r="X24" s="86">
        <f>SUMIFS(Raw_Data!$AU$2:$AU$2552,Raw_Data!$F$2:$F$2552,$B24,Raw_Data!$J$2:$J$2552,$C24)</f>
        <v/>
      </c>
      <c r="Y24" s="18">
        <f>IFERROR(E24/Summary!$B$17,"")</f>
        <v/>
      </c>
      <c r="Z24" s="18">
        <f>IFERROR(O24/Summary!$L$17,"")</f>
        <v/>
      </c>
    </row>
    <row r="25">
      <c r="A25" s="6" t="inlineStr">
        <is>
          <t>Meta (FB/IG)</t>
        </is>
      </c>
      <c r="B25" s="78" t="inlineStr">
        <is>
          <t>LEP_ZA_AUG26_META_TD_AMUR_CONV</t>
        </is>
      </c>
      <c r="C25" s="78" t="inlineStr">
        <is>
          <t>MET_AMUR_INMKT_HATCH_ZA</t>
        </is>
      </c>
      <c r="D25" s="8" t="inlineStr">
        <is>
          <t>In-Market</t>
        </is>
      </c>
      <c r="E25" s="86">
        <f>SUMIFS(Raw_Data!$R$2:$R$2552,Raw_Data!$F$2:$F$2552,$B25,Raw_Data!$J$2:$J$2552,$C25)</f>
        <v/>
      </c>
      <c r="F25" s="87">
        <f>SUMIFS(Raw_Data!$S$2:$S$2552,Raw_Data!$F$2:$F$2552,$B25,Raw_Data!$J$2:$J$2552,$C25)</f>
        <v/>
      </c>
      <c r="G25" s="87">
        <f>SUMIFS(Raw_Data!$T$2:$T$2552,Raw_Data!$F$2:$F$2552,$B25,Raw_Data!$J$2:$J$2552,$C25)</f>
        <v/>
      </c>
      <c r="H25" s="88">
        <f>IFERROR(F25/G25,"")</f>
        <v/>
      </c>
      <c r="I25" s="87">
        <f>SUMIFS(Raw_Data!$W$2:$W$2552,Raw_Data!$F$2:$F$2552,$B25,Raw_Data!$J$2:$J$2552,$C25)</f>
        <v/>
      </c>
      <c r="J25" s="89">
        <f>IFERROR(I25/F25,"")</f>
        <v/>
      </c>
      <c r="K25" s="90">
        <f>IFERROR(E25/I25,"")</f>
        <v/>
      </c>
      <c r="L25" s="90">
        <f>IFERROR(E25/F25*1000,"")</f>
        <v/>
      </c>
      <c r="M25" s="87">
        <f>SUMIFS(Raw_Data!$AA$2:$AA$2552,Raw_Data!$F$2:$F$2552,$B25,Raw_Data!$J$2:$J$2552,$C25)</f>
        <v/>
      </c>
      <c r="N25" s="18">
        <f>IFERROR(M25/I25,"")</f>
        <v/>
      </c>
      <c r="O25" s="87">
        <f>SUMIFS(Raw_Data!$AL$2:$AL$2552,Raw_Data!$F$2:$F$2552,$B25,Raw_Data!$J$2:$J$2552,$C25)</f>
        <v/>
      </c>
      <c r="P25" s="89">
        <f>IFERROR(O25/M25,"")</f>
        <v/>
      </c>
      <c r="Q25" s="86">
        <f>IFERROR(E25/O25,"")</f>
        <v/>
      </c>
      <c r="R25" s="87">
        <f>SUMIFS(Raw_Data!$AO$2:$AO$2552,Raw_Data!$F$2:$F$2552,$B25,Raw_Data!$J$2:$J$2552,$C25)</f>
        <v/>
      </c>
      <c r="S25" s="18">
        <f>IFERROR(R25/O25,"")</f>
        <v/>
      </c>
      <c r="T25" s="86">
        <f>IFERROR(E25/R25,"")</f>
        <v/>
      </c>
      <c r="U25" s="87">
        <f>SUMIFS(Raw_Data!$AR$2:$AR$2552,Raw_Data!$F$2:$F$2552,$B25,Raw_Data!$J$2:$J$2552,$C25)</f>
        <v/>
      </c>
      <c r="V25" s="87">
        <f>SUMIFS(Raw_Data!$AS$2:$AS$2552,Raw_Data!$F$2:$F$2552,$B25,Raw_Data!$J$2:$J$2552,$C25)</f>
        <v/>
      </c>
      <c r="W25" s="87">
        <f>O25+U25</f>
        <v/>
      </c>
      <c r="X25" s="86">
        <f>SUMIFS(Raw_Data!$AU$2:$AU$2552,Raw_Data!$F$2:$F$2552,$B25,Raw_Data!$J$2:$J$2552,$C25)</f>
        <v/>
      </c>
      <c r="Y25" s="18">
        <f>IFERROR(E25/Summary!$B$17,"")</f>
        <v/>
      </c>
      <c r="Z25" s="18">
        <f>IFERROR(O25/Summary!$L$17,"")</f>
        <v/>
      </c>
    </row>
    <row r="26">
      <c r="A26" s="6" t="inlineStr">
        <is>
          <t>Meta (FB/IG)</t>
        </is>
      </c>
      <c r="B26" s="78" t="inlineStr">
        <is>
          <t>LEP_ZA_AUG26_META_TD_JAVAN_CONV</t>
        </is>
      </c>
      <c r="C26" s="78" t="inlineStr">
        <is>
          <t>MET_JAVAN_BROAD_28-55_ZA</t>
        </is>
      </c>
      <c r="D26" s="8" t="inlineStr">
        <is>
          <t>Prospecting</t>
        </is>
      </c>
      <c r="E26" s="86">
        <f>SUMIFS(Raw_Data!$R$2:$R$2552,Raw_Data!$F$2:$F$2552,$B26,Raw_Data!$J$2:$J$2552,$C26)</f>
        <v/>
      </c>
      <c r="F26" s="87">
        <f>SUMIFS(Raw_Data!$S$2:$S$2552,Raw_Data!$F$2:$F$2552,$B26,Raw_Data!$J$2:$J$2552,$C26)</f>
        <v/>
      </c>
      <c r="G26" s="87">
        <f>SUMIFS(Raw_Data!$T$2:$T$2552,Raw_Data!$F$2:$F$2552,$B26,Raw_Data!$J$2:$J$2552,$C26)</f>
        <v/>
      </c>
      <c r="H26" s="88">
        <f>IFERROR(F26/G26,"")</f>
        <v/>
      </c>
      <c r="I26" s="87">
        <f>SUMIFS(Raw_Data!$W$2:$W$2552,Raw_Data!$F$2:$F$2552,$B26,Raw_Data!$J$2:$J$2552,$C26)</f>
        <v/>
      </c>
      <c r="J26" s="89">
        <f>IFERROR(I26/F26,"")</f>
        <v/>
      </c>
      <c r="K26" s="90">
        <f>IFERROR(E26/I26,"")</f>
        <v/>
      </c>
      <c r="L26" s="90">
        <f>IFERROR(E26/F26*1000,"")</f>
        <v/>
      </c>
      <c r="M26" s="87">
        <f>SUMIFS(Raw_Data!$AA$2:$AA$2552,Raw_Data!$F$2:$F$2552,$B26,Raw_Data!$J$2:$J$2552,$C26)</f>
        <v/>
      </c>
      <c r="N26" s="18">
        <f>IFERROR(M26/I26,"")</f>
        <v/>
      </c>
      <c r="O26" s="87">
        <f>SUMIFS(Raw_Data!$AL$2:$AL$2552,Raw_Data!$F$2:$F$2552,$B26,Raw_Data!$J$2:$J$2552,$C26)</f>
        <v/>
      </c>
      <c r="P26" s="89">
        <f>IFERROR(O26/M26,"")</f>
        <v/>
      </c>
      <c r="Q26" s="86">
        <f>IFERROR(E26/O26,"")</f>
        <v/>
      </c>
      <c r="R26" s="87">
        <f>SUMIFS(Raw_Data!$AO$2:$AO$2552,Raw_Data!$F$2:$F$2552,$B26,Raw_Data!$J$2:$J$2552,$C26)</f>
        <v/>
      </c>
      <c r="S26" s="18">
        <f>IFERROR(R26/O26,"")</f>
        <v/>
      </c>
      <c r="T26" s="86">
        <f>IFERROR(E26/R26,"")</f>
        <v/>
      </c>
      <c r="U26" s="87">
        <f>SUMIFS(Raw_Data!$AR$2:$AR$2552,Raw_Data!$F$2:$F$2552,$B26,Raw_Data!$J$2:$J$2552,$C26)</f>
        <v/>
      </c>
      <c r="V26" s="87">
        <f>SUMIFS(Raw_Data!$AS$2:$AS$2552,Raw_Data!$F$2:$F$2552,$B26,Raw_Data!$J$2:$J$2552,$C26)</f>
        <v/>
      </c>
      <c r="W26" s="87">
        <f>O26+U26</f>
        <v/>
      </c>
      <c r="X26" s="86">
        <f>SUMIFS(Raw_Data!$AU$2:$AU$2552,Raw_Data!$F$2:$F$2552,$B26,Raw_Data!$J$2:$J$2552,$C26)</f>
        <v/>
      </c>
      <c r="Y26" s="18">
        <f>IFERROR(E26/Summary!$B$17,"")</f>
        <v/>
      </c>
      <c r="Z26" s="18">
        <f>IFERROR(O26/Summary!$L$17,"")</f>
        <v/>
      </c>
    </row>
    <row r="27">
      <c r="A27" s="6" t="inlineStr">
        <is>
          <t>Meta (FB/IG)</t>
        </is>
      </c>
      <c r="B27" s="78" t="inlineStr">
        <is>
          <t>LEP_ZA_AUG26_META_TD_JAVAN_CONV</t>
        </is>
      </c>
      <c r="C27" s="78" t="inlineStr">
        <is>
          <t>MET_JAVAN_LAL2_SITE_ZA</t>
        </is>
      </c>
      <c r="D27" s="8" t="inlineStr">
        <is>
          <t>Lookalike</t>
        </is>
      </c>
      <c r="E27" s="86">
        <f>SUMIFS(Raw_Data!$R$2:$R$2552,Raw_Data!$F$2:$F$2552,$B27,Raw_Data!$J$2:$J$2552,$C27)</f>
        <v/>
      </c>
      <c r="F27" s="87">
        <f>SUMIFS(Raw_Data!$S$2:$S$2552,Raw_Data!$F$2:$F$2552,$B27,Raw_Data!$J$2:$J$2552,$C27)</f>
        <v/>
      </c>
      <c r="G27" s="87">
        <f>SUMIFS(Raw_Data!$T$2:$T$2552,Raw_Data!$F$2:$F$2552,$B27,Raw_Data!$J$2:$J$2552,$C27)</f>
        <v/>
      </c>
      <c r="H27" s="88">
        <f>IFERROR(F27/G27,"")</f>
        <v/>
      </c>
      <c r="I27" s="87">
        <f>SUMIFS(Raw_Data!$W$2:$W$2552,Raw_Data!$F$2:$F$2552,$B27,Raw_Data!$J$2:$J$2552,$C27)</f>
        <v/>
      </c>
      <c r="J27" s="89">
        <f>IFERROR(I27/F27,"")</f>
        <v/>
      </c>
      <c r="K27" s="90">
        <f>IFERROR(E27/I27,"")</f>
        <v/>
      </c>
      <c r="L27" s="90">
        <f>IFERROR(E27/F27*1000,"")</f>
        <v/>
      </c>
      <c r="M27" s="87">
        <f>SUMIFS(Raw_Data!$AA$2:$AA$2552,Raw_Data!$F$2:$F$2552,$B27,Raw_Data!$J$2:$J$2552,$C27)</f>
        <v/>
      </c>
      <c r="N27" s="18">
        <f>IFERROR(M27/I27,"")</f>
        <v/>
      </c>
      <c r="O27" s="87">
        <f>SUMIFS(Raw_Data!$AL$2:$AL$2552,Raw_Data!$F$2:$F$2552,$B27,Raw_Data!$J$2:$J$2552,$C27)</f>
        <v/>
      </c>
      <c r="P27" s="89">
        <f>IFERROR(O27/M27,"")</f>
        <v/>
      </c>
      <c r="Q27" s="86">
        <f>IFERROR(E27/O27,"")</f>
        <v/>
      </c>
      <c r="R27" s="87">
        <f>SUMIFS(Raw_Data!$AO$2:$AO$2552,Raw_Data!$F$2:$F$2552,$B27,Raw_Data!$J$2:$J$2552,$C27)</f>
        <v/>
      </c>
      <c r="S27" s="18">
        <f>IFERROR(R27/O27,"")</f>
        <v/>
      </c>
      <c r="T27" s="86">
        <f>IFERROR(E27/R27,"")</f>
        <v/>
      </c>
      <c r="U27" s="87">
        <f>SUMIFS(Raw_Data!$AR$2:$AR$2552,Raw_Data!$F$2:$F$2552,$B27,Raw_Data!$J$2:$J$2552,$C27)</f>
        <v/>
      </c>
      <c r="V27" s="87">
        <f>SUMIFS(Raw_Data!$AS$2:$AS$2552,Raw_Data!$F$2:$F$2552,$B27,Raw_Data!$J$2:$J$2552,$C27)</f>
        <v/>
      </c>
      <c r="W27" s="87">
        <f>O27+U27</f>
        <v/>
      </c>
      <c r="X27" s="86">
        <f>SUMIFS(Raw_Data!$AU$2:$AU$2552,Raw_Data!$F$2:$F$2552,$B27,Raw_Data!$J$2:$J$2552,$C27)</f>
        <v/>
      </c>
      <c r="Y27" s="18">
        <f>IFERROR(E27/Summary!$B$17,"")</f>
        <v/>
      </c>
      <c r="Z27" s="18">
        <f>IFERROR(O27/Summary!$L$17,"")</f>
        <v/>
      </c>
    </row>
    <row r="28">
      <c r="A28" s="6" t="inlineStr">
        <is>
          <t>Meta (FB/IG)</t>
        </is>
      </c>
      <c r="B28" s="78" t="inlineStr">
        <is>
          <t>LEP_ZA_AUG26_META_TD_JAVAN_CONV</t>
        </is>
      </c>
      <c r="C28" s="78" t="inlineStr">
        <is>
          <t>MET_JAVAN_INMKT_SUV_ZA</t>
        </is>
      </c>
      <c r="D28" s="8" t="inlineStr">
        <is>
          <t>In-Market</t>
        </is>
      </c>
      <c r="E28" s="86">
        <f>SUMIFS(Raw_Data!$R$2:$R$2552,Raw_Data!$F$2:$F$2552,$B28,Raw_Data!$J$2:$J$2552,$C28)</f>
        <v/>
      </c>
      <c r="F28" s="87">
        <f>SUMIFS(Raw_Data!$S$2:$S$2552,Raw_Data!$F$2:$F$2552,$B28,Raw_Data!$J$2:$J$2552,$C28)</f>
        <v/>
      </c>
      <c r="G28" s="87">
        <f>SUMIFS(Raw_Data!$T$2:$T$2552,Raw_Data!$F$2:$F$2552,$B28,Raw_Data!$J$2:$J$2552,$C28)</f>
        <v/>
      </c>
      <c r="H28" s="88">
        <f>IFERROR(F28/G28,"")</f>
        <v/>
      </c>
      <c r="I28" s="87">
        <f>SUMIFS(Raw_Data!$W$2:$W$2552,Raw_Data!$F$2:$F$2552,$B28,Raw_Data!$J$2:$J$2552,$C28)</f>
        <v/>
      </c>
      <c r="J28" s="89">
        <f>IFERROR(I28/F28,"")</f>
        <v/>
      </c>
      <c r="K28" s="90">
        <f>IFERROR(E28/I28,"")</f>
        <v/>
      </c>
      <c r="L28" s="90">
        <f>IFERROR(E28/F28*1000,"")</f>
        <v/>
      </c>
      <c r="M28" s="87">
        <f>SUMIFS(Raw_Data!$AA$2:$AA$2552,Raw_Data!$F$2:$F$2552,$B28,Raw_Data!$J$2:$J$2552,$C28)</f>
        <v/>
      </c>
      <c r="N28" s="18">
        <f>IFERROR(M28/I28,"")</f>
        <v/>
      </c>
      <c r="O28" s="87">
        <f>SUMIFS(Raw_Data!$AL$2:$AL$2552,Raw_Data!$F$2:$F$2552,$B28,Raw_Data!$J$2:$J$2552,$C28)</f>
        <v/>
      </c>
      <c r="P28" s="89">
        <f>IFERROR(O28/M28,"")</f>
        <v/>
      </c>
      <c r="Q28" s="86">
        <f>IFERROR(E28/O28,"")</f>
        <v/>
      </c>
      <c r="R28" s="87">
        <f>SUMIFS(Raw_Data!$AO$2:$AO$2552,Raw_Data!$F$2:$F$2552,$B28,Raw_Data!$J$2:$J$2552,$C28)</f>
        <v/>
      </c>
      <c r="S28" s="18">
        <f>IFERROR(R28/O28,"")</f>
        <v/>
      </c>
      <c r="T28" s="86">
        <f>IFERROR(E28/R28,"")</f>
        <v/>
      </c>
      <c r="U28" s="87">
        <f>SUMIFS(Raw_Data!$AR$2:$AR$2552,Raw_Data!$F$2:$F$2552,$B28,Raw_Data!$J$2:$J$2552,$C28)</f>
        <v/>
      </c>
      <c r="V28" s="87">
        <f>SUMIFS(Raw_Data!$AS$2:$AS$2552,Raw_Data!$F$2:$F$2552,$B28,Raw_Data!$J$2:$J$2552,$C28)</f>
        <v/>
      </c>
      <c r="W28" s="87">
        <f>O28+U28</f>
        <v/>
      </c>
      <c r="X28" s="86">
        <f>SUMIFS(Raw_Data!$AU$2:$AU$2552,Raw_Data!$F$2:$F$2552,$B28,Raw_Data!$J$2:$J$2552,$C28)</f>
        <v/>
      </c>
      <c r="Y28" s="18">
        <f>IFERROR(E28/Summary!$B$17,"")</f>
        <v/>
      </c>
      <c r="Z28" s="18">
        <f>IFERROR(O28/Summary!$L$17,"")</f>
        <v/>
      </c>
    </row>
    <row r="29">
      <c r="A29" s="6" t="inlineStr">
        <is>
          <t>Meta (FB/IG)</t>
        </is>
      </c>
      <c r="B29" s="78" t="inlineStr">
        <is>
          <t>LEP_ZA_AUG26_META_TD_PANTERA_CONV</t>
        </is>
      </c>
      <c r="C29" s="78" t="inlineStr">
        <is>
          <t>MET_PANTERA_BROAD_30-60_ZA</t>
        </is>
      </c>
      <c r="D29" s="8" t="inlineStr">
        <is>
          <t>Prospecting</t>
        </is>
      </c>
      <c r="E29" s="86">
        <f>SUMIFS(Raw_Data!$R$2:$R$2552,Raw_Data!$F$2:$F$2552,$B29,Raw_Data!$J$2:$J$2552,$C29)</f>
        <v/>
      </c>
      <c r="F29" s="87">
        <f>SUMIFS(Raw_Data!$S$2:$S$2552,Raw_Data!$F$2:$F$2552,$B29,Raw_Data!$J$2:$J$2552,$C29)</f>
        <v/>
      </c>
      <c r="G29" s="87">
        <f>SUMIFS(Raw_Data!$T$2:$T$2552,Raw_Data!$F$2:$F$2552,$B29,Raw_Data!$J$2:$J$2552,$C29)</f>
        <v/>
      </c>
      <c r="H29" s="88">
        <f>IFERROR(F29/G29,"")</f>
        <v/>
      </c>
      <c r="I29" s="87">
        <f>SUMIFS(Raw_Data!$W$2:$W$2552,Raw_Data!$F$2:$F$2552,$B29,Raw_Data!$J$2:$J$2552,$C29)</f>
        <v/>
      </c>
      <c r="J29" s="89">
        <f>IFERROR(I29/F29,"")</f>
        <v/>
      </c>
      <c r="K29" s="90">
        <f>IFERROR(E29/I29,"")</f>
        <v/>
      </c>
      <c r="L29" s="90">
        <f>IFERROR(E29/F29*1000,"")</f>
        <v/>
      </c>
      <c r="M29" s="87">
        <f>SUMIFS(Raw_Data!$AA$2:$AA$2552,Raw_Data!$F$2:$F$2552,$B29,Raw_Data!$J$2:$J$2552,$C29)</f>
        <v/>
      </c>
      <c r="N29" s="18">
        <f>IFERROR(M29/I29,"")</f>
        <v/>
      </c>
      <c r="O29" s="87">
        <f>SUMIFS(Raw_Data!$AL$2:$AL$2552,Raw_Data!$F$2:$F$2552,$B29,Raw_Data!$J$2:$J$2552,$C29)</f>
        <v/>
      </c>
      <c r="P29" s="89">
        <f>IFERROR(O29/M29,"")</f>
        <v/>
      </c>
      <c r="Q29" s="86">
        <f>IFERROR(E29/O29,"")</f>
        <v/>
      </c>
      <c r="R29" s="87">
        <f>SUMIFS(Raw_Data!$AO$2:$AO$2552,Raw_Data!$F$2:$F$2552,$B29,Raw_Data!$J$2:$J$2552,$C29)</f>
        <v/>
      </c>
      <c r="S29" s="18">
        <f>IFERROR(R29/O29,"")</f>
        <v/>
      </c>
      <c r="T29" s="86">
        <f>IFERROR(E29/R29,"")</f>
        <v/>
      </c>
      <c r="U29" s="87">
        <f>SUMIFS(Raw_Data!$AR$2:$AR$2552,Raw_Data!$F$2:$F$2552,$B29,Raw_Data!$J$2:$J$2552,$C29)</f>
        <v/>
      </c>
      <c r="V29" s="87">
        <f>SUMIFS(Raw_Data!$AS$2:$AS$2552,Raw_Data!$F$2:$F$2552,$B29,Raw_Data!$J$2:$J$2552,$C29)</f>
        <v/>
      </c>
      <c r="W29" s="87">
        <f>O29+U29</f>
        <v/>
      </c>
      <c r="X29" s="86">
        <f>SUMIFS(Raw_Data!$AU$2:$AU$2552,Raw_Data!$F$2:$F$2552,$B29,Raw_Data!$J$2:$J$2552,$C29)</f>
        <v/>
      </c>
      <c r="Y29" s="18">
        <f>IFERROR(E29/Summary!$B$17,"")</f>
        <v/>
      </c>
      <c r="Z29" s="18">
        <f>IFERROR(O29/Summary!$L$17,"")</f>
        <v/>
      </c>
    </row>
    <row r="30">
      <c r="A30" s="6" t="inlineStr">
        <is>
          <t>Meta (FB/IG)</t>
        </is>
      </c>
      <c r="B30" s="78" t="inlineStr">
        <is>
          <t>LEP_ZA_AUG26_META_TD_PANTERA_CONV</t>
        </is>
      </c>
      <c r="C30" s="78" t="inlineStr">
        <is>
          <t>MET_PANTERA_LAL1_HIVAL_ZA</t>
        </is>
      </c>
      <c r="D30" s="8" t="inlineStr">
        <is>
          <t>Lookalike</t>
        </is>
      </c>
      <c r="E30" s="86">
        <f>SUMIFS(Raw_Data!$R$2:$R$2552,Raw_Data!$F$2:$F$2552,$B30,Raw_Data!$J$2:$J$2552,$C30)</f>
        <v/>
      </c>
      <c r="F30" s="87">
        <f>SUMIFS(Raw_Data!$S$2:$S$2552,Raw_Data!$F$2:$F$2552,$B30,Raw_Data!$J$2:$J$2552,$C30)</f>
        <v/>
      </c>
      <c r="G30" s="87">
        <f>SUMIFS(Raw_Data!$T$2:$T$2552,Raw_Data!$F$2:$F$2552,$B30,Raw_Data!$J$2:$J$2552,$C30)</f>
        <v/>
      </c>
      <c r="H30" s="88">
        <f>IFERROR(F30/G30,"")</f>
        <v/>
      </c>
      <c r="I30" s="87">
        <f>SUMIFS(Raw_Data!$W$2:$W$2552,Raw_Data!$F$2:$F$2552,$B30,Raw_Data!$J$2:$J$2552,$C30)</f>
        <v/>
      </c>
      <c r="J30" s="89">
        <f>IFERROR(I30/F30,"")</f>
        <v/>
      </c>
      <c r="K30" s="90">
        <f>IFERROR(E30/I30,"")</f>
        <v/>
      </c>
      <c r="L30" s="90">
        <f>IFERROR(E30/F30*1000,"")</f>
        <v/>
      </c>
      <c r="M30" s="87">
        <f>SUMIFS(Raw_Data!$AA$2:$AA$2552,Raw_Data!$F$2:$F$2552,$B30,Raw_Data!$J$2:$J$2552,$C30)</f>
        <v/>
      </c>
      <c r="N30" s="18">
        <f>IFERROR(M30/I30,"")</f>
        <v/>
      </c>
      <c r="O30" s="87">
        <f>SUMIFS(Raw_Data!$AL$2:$AL$2552,Raw_Data!$F$2:$F$2552,$B30,Raw_Data!$J$2:$J$2552,$C30)</f>
        <v/>
      </c>
      <c r="P30" s="89">
        <f>IFERROR(O30/M30,"")</f>
        <v/>
      </c>
      <c r="Q30" s="86">
        <f>IFERROR(E30/O30,"")</f>
        <v/>
      </c>
      <c r="R30" s="87">
        <f>SUMIFS(Raw_Data!$AO$2:$AO$2552,Raw_Data!$F$2:$F$2552,$B30,Raw_Data!$J$2:$J$2552,$C30)</f>
        <v/>
      </c>
      <c r="S30" s="18">
        <f>IFERROR(R30/O30,"")</f>
        <v/>
      </c>
      <c r="T30" s="86">
        <f>IFERROR(E30/R30,"")</f>
        <v/>
      </c>
      <c r="U30" s="87">
        <f>SUMIFS(Raw_Data!$AR$2:$AR$2552,Raw_Data!$F$2:$F$2552,$B30,Raw_Data!$J$2:$J$2552,$C30)</f>
        <v/>
      </c>
      <c r="V30" s="87">
        <f>SUMIFS(Raw_Data!$AS$2:$AS$2552,Raw_Data!$F$2:$F$2552,$B30,Raw_Data!$J$2:$J$2552,$C30)</f>
        <v/>
      </c>
      <c r="W30" s="87">
        <f>O30+U30</f>
        <v/>
      </c>
      <c r="X30" s="86">
        <f>SUMIFS(Raw_Data!$AU$2:$AU$2552,Raw_Data!$F$2:$F$2552,$B30,Raw_Data!$J$2:$J$2552,$C30)</f>
        <v/>
      </c>
      <c r="Y30" s="18">
        <f>IFERROR(E30/Summary!$B$17,"")</f>
        <v/>
      </c>
      <c r="Z30" s="18">
        <f>IFERROR(O30/Summary!$L$17,"")</f>
        <v/>
      </c>
    </row>
    <row r="31">
      <c r="A31" s="6" t="inlineStr">
        <is>
          <t>Meta (FB/IG)</t>
        </is>
      </c>
      <c r="B31" s="78" t="inlineStr">
        <is>
          <t>LEP_ZA_AUG26_META_TD_PANTERA_CONV</t>
        </is>
      </c>
      <c r="C31" s="78" t="inlineStr">
        <is>
          <t>MET_PANTERA_INT_PREMIUM_ZA</t>
        </is>
      </c>
      <c r="D31" s="8" t="inlineStr">
        <is>
          <t>Interest</t>
        </is>
      </c>
      <c r="E31" s="86">
        <f>SUMIFS(Raw_Data!$R$2:$R$2552,Raw_Data!$F$2:$F$2552,$B31,Raw_Data!$J$2:$J$2552,$C31)</f>
        <v/>
      </c>
      <c r="F31" s="87">
        <f>SUMIFS(Raw_Data!$S$2:$S$2552,Raw_Data!$F$2:$F$2552,$B31,Raw_Data!$J$2:$J$2552,$C31)</f>
        <v/>
      </c>
      <c r="G31" s="87">
        <f>SUMIFS(Raw_Data!$T$2:$T$2552,Raw_Data!$F$2:$F$2552,$B31,Raw_Data!$J$2:$J$2552,$C31)</f>
        <v/>
      </c>
      <c r="H31" s="88">
        <f>IFERROR(F31/G31,"")</f>
        <v/>
      </c>
      <c r="I31" s="87">
        <f>SUMIFS(Raw_Data!$W$2:$W$2552,Raw_Data!$F$2:$F$2552,$B31,Raw_Data!$J$2:$J$2552,$C31)</f>
        <v/>
      </c>
      <c r="J31" s="89">
        <f>IFERROR(I31/F31,"")</f>
        <v/>
      </c>
      <c r="K31" s="90">
        <f>IFERROR(E31/I31,"")</f>
        <v/>
      </c>
      <c r="L31" s="90">
        <f>IFERROR(E31/F31*1000,"")</f>
        <v/>
      </c>
      <c r="M31" s="87">
        <f>SUMIFS(Raw_Data!$AA$2:$AA$2552,Raw_Data!$F$2:$F$2552,$B31,Raw_Data!$J$2:$J$2552,$C31)</f>
        <v/>
      </c>
      <c r="N31" s="18">
        <f>IFERROR(M31/I31,"")</f>
        <v/>
      </c>
      <c r="O31" s="87">
        <f>SUMIFS(Raw_Data!$AL$2:$AL$2552,Raw_Data!$F$2:$F$2552,$B31,Raw_Data!$J$2:$J$2552,$C31)</f>
        <v/>
      </c>
      <c r="P31" s="89">
        <f>IFERROR(O31/M31,"")</f>
        <v/>
      </c>
      <c r="Q31" s="86">
        <f>IFERROR(E31/O31,"")</f>
        <v/>
      </c>
      <c r="R31" s="87">
        <f>SUMIFS(Raw_Data!$AO$2:$AO$2552,Raw_Data!$F$2:$F$2552,$B31,Raw_Data!$J$2:$J$2552,$C31)</f>
        <v/>
      </c>
      <c r="S31" s="18">
        <f>IFERROR(R31/O31,"")</f>
        <v/>
      </c>
      <c r="T31" s="86">
        <f>IFERROR(E31/R31,"")</f>
        <v/>
      </c>
      <c r="U31" s="87">
        <f>SUMIFS(Raw_Data!$AR$2:$AR$2552,Raw_Data!$F$2:$F$2552,$B31,Raw_Data!$J$2:$J$2552,$C31)</f>
        <v/>
      </c>
      <c r="V31" s="87">
        <f>SUMIFS(Raw_Data!$AS$2:$AS$2552,Raw_Data!$F$2:$F$2552,$B31,Raw_Data!$J$2:$J$2552,$C31)</f>
        <v/>
      </c>
      <c r="W31" s="87">
        <f>O31+U31</f>
        <v/>
      </c>
      <c r="X31" s="86">
        <f>SUMIFS(Raw_Data!$AU$2:$AU$2552,Raw_Data!$F$2:$F$2552,$B31,Raw_Data!$J$2:$J$2552,$C31)</f>
        <v/>
      </c>
      <c r="Y31" s="18">
        <f>IFERROR(E31/Summary!$B$17,"")</f>
        <v/>
      </c>
      <c r="Z31" s="18">
        <f>IFERROR(O31/Summary!$L$17,"")</f>
        <v/>
      </c>
    </row>
    <row r="32">
      <c r="A32" s="6" t="inlineStr">
        <is>
          <t>Meta (FB/IG)</t>
        </is>
      </c>
      <c r="B32" s="78" t="inlineStr">
        <is>
          <t>LEP_ZA_AUG26_META_RMKT_ALL_CONV</t>
        </is>
      </c>
      <c r="C32" s="78" t="inlineStr">
        <is>
          <t>MET_RMKT_SITE30D_ZA</t>
        </is>
      </c>
      <c r="D32" s="8" t="inlineStr">
        <is>
          <t>Retargeting</t>
        </is>
      </c>
      <c r="E32" s="86">
        <f>SUMIFS(Raw_Data!$R$2:$R$2552,Raw_Data!$F$2:$F$2552,$B32,Raw_Data!$J$2:$J$2552,$C32)</f>
        <v/>
      </c>
      <c r="F32" s="87">
        <f>SUMIFS(Raw_Data!$S$2:$S$2552,Raw_Data!$F$2:$F$2552,$B32,Raw_Data!$J$2:$J$2552,$C32)</f>
        <v/>
      </c>
      <c r="G32" s="87">
        <f>SUMIFS(Raw_Data!$T$2:$T$2552,Raw_Data!$F$2:$F$2552,$B32,Raw_Data!$J$2:$J$2552,$C32)</f>
        <v/>
      </c>
      <c r="H32" s="88">
        <f>IFERROR(F32/G32,"")</f>
        <v/>
      </c>
      <c r="I32" s="87">
        <f>SUMIFS(Raw_Data!$W$2:$W$2552,Raw_Data!$F$2:$F$2552,$B32,Raw_Data!$J$2:$J$2552,$C32)</f>
        <v/>
      </c>
      <c r="J32" s="89">
        <f>IFERROR(I32/F32,"")</f>
        <v/>
      </c>
      <c r="K32" s="90">
        <f>IFERROR(E32/I32,"")</f>
        <v/>
      </c>
      <c r="L32" s="90">
        <f>IFERROR(E32/F32*1000,"")</f>
        <v/>
      </c>
      <c r="M32" s="87">
        <f>SUMIFS(Raw_Data!$AA$2:$AA$2552,Raw_Data!$F$2:$F$2552,$B32,Raw_Data!$J$2:$J$2552,$C32)</f>
        <v/>
      </c>
      <c r="N32" s="18">
        <f>IFERROR(M32/I32,"")</f>
        <v/>
      </c>
      <c r="O32" s="87">
        <f>SUMIFS(Raw_Data!$AL$2:$AL$2552,Raw_Data!$F$2:$F$2552,$B32,Raw_Data!$J$2:$J$2552,$C32)</f>
        <v/>
      </c>
      <c r="P32" s="89">
        <f>IFERROR(O32/M32,"")</f>
        <v/>
      </c>
      <c r="Q32" s="86">
        <f>IFERROR(E32/O32,"")</f>
        <v/>
      </c>
      <c r="R32" s="87">
        <f>SUMIFS(Raw_Data!$AO$2:$AO$2552,Raw_Data!$F$2:$F$2552,$B32,Raw_Data!$J$2:$J$2552,$C32)</f>
        <v/>
      </c>
      <c r="S32" s="18">
        <f>IFERROR(R32/O32,"")</f>
        <v/>
      </c>
      <c r="T32" s="86">
        <f>IFERROR(E32/R32,"")</f>
        <v/>
      </c>
      <c r="U32" s="87">
        <f>SUMIFS(Raw_Data!$AR$2:$AR$2552,Raw_Data!$F$2:$F$2552,$B32,Raw_Data!$J$2:$J$2552,$C32)</f>
        <v/>
      </c>
      <c r="V32" s="87">
        <f>SUMIFS(Raw_Data!$AS$2:$AS$2552,Raw_Data!$F$2:$F$2552,$B32,Raw_Data!$J$2:$J$2552,$C32)</f>
        <v/>
      </c>
      <c r="W32" s="87">
        <f>O32+U32</f>
        <v/>
      </c>
      <c r="X32" s="86">
        <f>SUMIFS(Raw_Data!$AU$2:$AU$2552,Raw_Data!$F$2:$F$2552,$B32,Raw_Data!$J$2:$J$2552,$C32)</f>
        <v/>
      </c>
      <c r="Y32" s="18">
        <f>IFERROR(E32/Summary!$B$17,"")</f>
        <v/>
      </c>
      <c r="Z32" s="18">
        <f>IFERROR(O32/Summary!$L$17,"")</f>
        <v/>
      </c>
    </row>
    <row r="33">
      <c r="A33" s="6" t="inlineStr">
        <is>
          <t>Meta (FB/IG)</t>
        </is>
      </c>
      <c r="B33" s="78" t="inlineStr">
        <is>
          <t>LEP_ZA_AUG26_META_RMKT_ALL_CONV</t>
        </is>
      </c>
      <c r="C33" s="78" t="inlineStr">
        <is>
          <t>MET_RMKT_VIDVIEW75_ZA</t>
        </is>
      </c>
      <c r="D33" s="8" t="inlineStr">
        <is>
          <t>Retargeting</t>
        </is>
      </c>
      <c r="E33" s="86">
        <f>SUMIFS(Raw_Data!$R$2:$R$2552,Raw_Data!$F$2:$F$2552,$B33,Raw_Data!$J$2:$J$2552,$C33)</f>
        <v/>
      </c>
      <c r="F33" s="87">
        <f>SUMIFS(Raw_Data!$S$2:$S$2552,Raw_Data!$F$2:$F$2552,$B33,Raw_Data!$J$2:$J$2552,$C33)</f>
        <v/>
      </c>
      <c r="G33" s="87">
        <f>SUMIFS(Raw_Data!$T$2:$T$2552,Raw_Data!$F$2:$F$2552,$B33,Raw_Data!$J$2:$J$2552,$C33)</f>
        <v/>
      </c>
      <c r="H33" s="88">
        <f>IFERROR(F33/G33,"")</f>
        <v/>
      </c>
      <c r="I33" s="87">
        <f>SUMIFS(Raw_Data!$W$2:$W$2552,Raw_Data!$F$2:$F$2552,$B33,Raw_Data!$J$2:$J$2552,$C33)</f>
        <v/>
      </c>
      <c r="J33" s="89">
        <f>IFERROR(I33/F33,"")</f>
        <v/>
      </c>
      <c r="K33" s="90">
        <f>IFERROR(E33/I33,"")</f>
        <v/>
      </c>
      <c r="L33" s="90">
        <f>IFERROR(E33/F33*1000,"")</f>
        <v/>
      </c>
      <c r="M33" s="87">
        <f>SUMIFS(Raw_Data!$AA$2:$AA$2552,Raw_Data!$F$2:$F$2552,$B33,Raw_Data!$J$2:$J$2552,$C33)</f>
        <v/>
      </c>
      <c r="N33" s="18">
        <f>IFERROR(M33/I33,"")</f>
        <v/>
      </c>
      <c r="O33" s="87">
        <f>SUMIFS(Raw_Data!$AL$2:$AL$2552,Raw_Data!$F$2:$F$2552,$B33,Raw_Data!$J$2:$J$2552,$C33)</f>
        <v/>
      </c>
      <c r="P33" s="89">
        <f>IFERROR(O33/M33,"")</f>
        <v/>
      </c>
      <c r="Q33" s="86">
        <f>IFERROR(E33/O33,"")</f>
        <v/>
      </c>
      <c r="R33" s="87">
        <f>SUMIFS(Raw_Data!$AO$2:$AO$2552,Raw_Data!$F$2:$F$2552,$B33,Raw_Data!$J$2:$J$2552,$C33)</f>
        <v/>
      </c>
      <c r="S33" s="18">
        <f>IFERROR(R33/O33,"")</f>
        <v/>
      </c>
      <c r="T33" s="86">
        <f>IFERROR(E33/R33,"")</f>
        <v/>
      </c>
      <c r="U33" s="87">
        <f>SUMIFS(Raw_Data!$AR$2:$AR$2552,Raw_Data!$F$2:$F$2552,$B33,Raw_Data!$J$2:$J$2552,$C33)</f>
        <v/>
      </c>
      <c r="V33" s="87">
        <f>SUMIFS(Raw_Data!$AS$2:$AS$2552,Raw_Data!$F$2:$F$2552,$B33,Raw_Data!$J$2:$J$2552,$C33)</f>
        <v/>
      </c>
      <c r="W33" s="87">
        <f>O33+U33</f>
        <v/>
      </c>
      <c r="X33" s="86">
        <f>SUMIFS(Raw_Data!$AU$2:$AU$2552,Raw_Data!$F$2:$F$2552,$B33,Raw_Data!$J$2:$J$2552,$C33)</f>
        <v/>
      </c>
      <c r="Y33" s="18">
        <f>IFERROR(E33/Summary!$B$17,"")</f>
        <v/>
      </c>
      <c r="Z33" s="18">
        <f>IFERROR(O33/Summary!$L$17,"")</f>
        <v/>
      </c>
    </row>
    <row r="34">
      <c r="A34" s="6" t="inlineStr">
        <is>
          <t>Meta (FB/IG)</t>
        </is>
      </c>
      <c r="B34" s="78" t="inlineStr">
        <is>
          <t>LEP_ZA_AUG26_META_RMKT_ALL_CONV</t>
        </is>
      </c>
      <c r="C34" s="78" t="inlineStr">
        <is>
          <t>MET_RMKT_FORMABANDON_ZA</t>
        </is>
      </c>
      <c r="D34" s="8" t="inlineStr">
        <is>
          <t>Retargeting</t>
        </is>
      </c>
      <c r="E34" s="86">
        <f>SUMIFS(Raw_Data!$R$2:$R$2552,Raw_Data!$F$2:$F$2552,$B34,Raw_Data!$J$2:$J$2552,$C34)</f>
        <v/>
      </c>
      <c r="F34" s="87">
        <f>SUMIFS(Raw_Data!$S$2:$S$2552,Raw_Data!$F$2:$F$2552,$B34,Raw_Data!$J$2:$J$2552,$C34)</f>
        <v/>
      </c>
      <c r="G34" s="87">
        <f>SUMIFS(Raw_Data!$T$2:$T$2552,Raw_Data!$F$2:$F$2552,$B34,Raw_Data!$J$2:$J$2552,$C34)</f>
        <v/>
      </c>
      <c r="H34" s="88">
        <f>IFERROR(F34/G34,"")</f>
        <v/>
      </c>
      <c r="I34" s="87">
        <f>SUMIFS(Raw_Data!$W$2:$W$2552,Raw_Data!$F$2:$F$2552,$B34,Raw_Data!$J$2:$J$2552,$C34)</f>
        <v/>
      </c>
      <c r="J34" s="89">
        <f>IFERROR(I34/F34,"")</f>
        <v/>
      </c>
      <c r="K34" s="90">
        <f>IFERROR(E34/I34,"")</f>
        <v/>
      </c>
      <c r="L34" s="90">
        <f>IFERROR(E34/F34*1000,"")</f>
        <v/>
      </c>
      <c r="M34" s="87">
        <f>SUMIFS(Raw_Data!$AA$2:$AA$2552,Raw_Data!$F$2:$F$2552,$B34,Raw_Data!$J$2:$J$2552,$C34)</f>
        <v/>
      </c>
      <c r="N34" s="18">
        <f>IFERROR(M34/I34,"")</f>
        <v/>
      </c>
      <c r="O34" s="87">
        <f>SUMIFS(Raw_Data!$AL$2:$AL$2552,Raw_Data!$F$2:$F$2552,$B34,Raw_Data!$J$2:$J$2552,$C34)</f>
        <v/>
      </c>
      <c r="P34" s="89">
        <f>IFERROR(O34/M34,"")</f>
        <v/>
      </c>
      <c r="Q34" s="86">
        <f>IFERROR(E34/O34,"")</f>
        <v/>
      </c>
      <c r="R34" s="87">
        <f>SUMIFS(Raw_Data!$AO$2:$AO$2552,Raw_Data!$F$2:$F$2552,$B34,Raw_Data!$J$2:$J$2552,$C34)</f>
        <v/>
      </c>
      <c r="S34" s="18">
        <f>IFERROR(R34/O34,"")</f>
        <v/>
      </c>
      <c r="T34" s="86">
        <f>IFERROR(E34/R34,"")</f>
        <v/>
      </c>
      <c r="U34" s="87">
        <f>SUMIFS(Raw_Data!$AR$2:$AR$2552,Raw_Data!$F$2:$F$2552,$B34,Raw_Data!$J$2:$J$2552,$C34)</f>
        <v/>
      </c>
      <c r="V34" s="87">
        <f>SUMIFS(Raw_Data!$AS$2:$AS$2552,Raw_Data!$F$2:$F$2552,$B34,Raw_Data!$J$2:$J$2552,$C34)</f>
        <v/>
      </c>
      <c r="W34" s="87">
        <f>O34+U34</f>
        <v/>
      </c>
      <c r="X34" s="86">
        <f>SUMIFS(Raw_Data!$AU$2:$AU$2552,Raw_Data!$F$2:$F$2552,$B34,Raw_Data!$J$2:$J$2552,$C34)</f>
        <v/>
      </c>
      <c r="Y34" s="18">
        <f>IFERROR(E34/Summary!$B$17,"")</f>
        <v/>
      </c>
      <c r="Z34" s="18">
        <f>IFERROR(O34/Summary!$L$17,"")</f>
        <v/>
      </c>
    </row>
    <row r="35">
      <c r="A35" s="6" t="inlineStr">
        <is>
          <t>TikTok</t>
        </is>
      </c>
      <c r="B35" s="78" t="inlineStr">
        <is>
          <t>LEP_ZA_AUG26_TT_TD_AMUR_CONV</t>
        </is>
      </c>
      <c r="C35" s="78" t="inlineStr">
        <is>
          <t>TT_AMUR_AUTOTGT_18-34_ZA</t>
        </is>
      </c>
      <c r="D35" s="8" t="inlineStr">
        <is>
          <t>Prospecting</t>
        </is>
      </c>
      <c r="E35" s="86">
        <f>SUMIFS(Raw_Data!$R$2:$R$2552,Raw_Data!$F$2:$F$2552,$B35,Raw_Data!$J$2:$J$2552,$C35)</f>
        <v/>
      </c>
      <c r="F35" s="87">
        <f>SUMIFS(Raw_Data!$S$2:$S$2552,Raw_Data!$F$2:$F$2552,$B35,Raw_Data!$J$2:$J$2552,$C35)</f>
        <v/>
      </c>
      <c r="G35" s="87">
        <f>SUMIFS(Raw_Data!$T$2:$T$2552,Raw_Data!$F$2:$F$2552,$B35,Raw_Data!$J$2:$J$2552,$C35)</f>
        <v/>
      </c>
      <c r="H35" s="88">
        <f>IFERROR(F35/G35,"")</f>
        <v/>
      </c>
      <c r="I35" s="87">
        <f>SUMIFS(Raw_Data!$W$2:$W$2552,Raw_Data!$F$2:$F$2552,$B35,Raw_Data!$J$2:$J$2552,$C35)</f>
        <v/>
      </c>
      <c r="J35" s="89">
        <f>IFERROR(I35/F35,"")</f>
        <v/>
      </c>
      <c r="K35" s="90">
        <f>IFERROR(E35/I35,"")</f>
        <v/>
      </c>
      <c r="L35" s="90">
        <f>IFERROR(E35/F35*1000,"")</f>
        <v/>
      </c>
      <c r="M35" s="87">
        <f>SUMIFS(Raw_Data!$AA$2:$AA$2552,Raw_Data!$F$2:$F$2552,$B35,Raw_Data!$J$2:$J$2552,$C35)</f>
        <v/>
      </c>
      <c r="N35" s="18">
        <f>IFERROR(M35/I35,"")</f>
        <v/>
      </c>
      <c r="O35" s="87">
        <f>SUMIFS(Raw_Data!$AL$2:$AL$2552,Raw_Data!$F$2:$F$2552,$B35,Raw_Data!$J$2:$J$2552,$C35)</f>
        <v/>
      </c>
      <c r="P35" s="89">
        <f>IFERROR(O35/M35,"")</f>
        <v/>
      </c>
      <c r="Q35" s="86">
        <f>IFERROR(E35/O35,"")</f>
        <v/>
      </c>
      <c r="R35" s="87">
        <f>SUMIFS(Raw_Data!$AO$2:$AO$2552,Raw_Data!$F$2:$F$2552,$B35,Raw_Data!$J$2:$J$2552,$C35)</f>
        <v/>
      </c>
      <c r="S35" s="18">
        <f>IFERROR(R35/O35,"")</f>
        <v/>
      </c>
      <c r="T35" s="86">
        <f>IFERROR(E35/R35,"")</f>
        <v/>
      </c>
      <c r="U35" s="87">
        <f>SUMIFS(Raw_Data!$AR$2:$AR$2552,Raw_Data!$F$2:$F$2552,$B35,Raw_Data!$J$2:$J$2552,$C35)</f>
        <v/>
      </c>
      <c r="V35" s="87">
        <f>SUMIFS(Raw_Data!$AS$2:$AS$2552,Raw_Data!$F$2:$F$2552,$B35,Raw_Data!$J$2:$J$2552,$C35)</f>
        <v/>
      </c>
      <c r="W35" s="87">
        <f>O35+U35</f>
        <v/>
      </c>
      <c r="X35" s="86">
        <f>SUMIFS(Raw_Data!$AU$2:$AU$2552,Raw_Data!$F$2:$F$2552,$B35,Raw_Data!$J$2:$J$2552,$C35)</f>
        <v/>
      </c>
      <c r="Y35" s="18">
        <f>IFERROR(E35/Summary!$B$17,"")</f>
        <v/>
      </c>
      <c r="Z35" s="18">
        <f>IFERROR(O35/Summary!$L$17,"")</f>
        <v/>
      </c>
    </row>
    <row r="36">
      <c r="A36" s="6" t="inlineStr">
        <is>
          <t>TikTok</t>
        </is>
      </c>
      <c r="B36" s="78" t="inlineStr">
        <is>
          <t>LEP_ZA_AUG26_TT_TD_AMUR_CONV</t>
        </is>
      </c>
      <c r="C36" s="78" t="inlineStr">
        <is>
          <t>TT_AMUR_INT_AUTO_ZA</t>
        </is>
      </c>
      <c r="D36" s="8" t="inlineStr">
        <is>
          <t>Interest</t>
        </is>
      </c>
      <c r="E36" s="86">
        <f>SUMIFS(Raw_Data!$R$2:$R$2552,Raw_Data!$F$2:$F$2552,$B36,Raw_Data!$J$2:$J$2552,$C36)</f>
        <v/>
      </c>
      <c r="F36" s="87">
        <f>SUMIFS(Raw_Data!$S$2:$S$2552,Raw_Data!$F$2:$F$2552,$B36,Raw_Data!$J$2:$J$2552,$C36)</f>
        <v/>
      </c>
      <c r="G36" s="87">
        <f>SUMIFS(Raw_Data!$T$2:$T$2552,Raw_Data!$F$2:$F$2552,$B36,Raw_Data!$J$2:$J$2552,$C36)</f>
        <v/>
      </c>
      <c r="H36" s="88">
        <f>IFERROR(F36/G36,"")</f>
        <v/>
      </c>
      <c r="I36" s="87">
        <f>SUMIFS(Raw_Data!$W$2:$W$2552,Raw_Data!$F$2:$F$2552,$B36,Raw_Data!$J$2:$J$2552,$C36)</f>
        <v/>
      </c>
      <c r="J36" s="89">
        <f>IFERROR(I36/F36,"")</f>
        <v/>
      </c>
      <c r="K36" s="90">
        <f>IFERROR(E36/I36,"")</f>
        <v/>
      </c>
      <c r="L36" s="90">
        <f>IFERROR(E36/F36*1000,"")</f>
        <v/>
      </c>
      <c r="M36" s="87">
        <f>SUMIFS(Raw_Data!$AA$2:$AA$2552,Raw_Data!$F$2:$F$2552,$B36,Raw_Data!$J$2:$J$2552,$C36)</f>
        <v/>
      </c>
      <c r="N36" s="18">
        <f>IFERROR(M36/I36,"")</f>
        <v/>
      </c>
      <c r="O36" s="87">
        <f>SUMIFS(Raw_Data!$AL$2:$AL$2552,Raw_Data!$F$2:$F$2552,$B36,Raw_Data!$J$2:$J$2552,$C36)</f>
        <v/>
      </c>
      <c r="P36" s="89">
        <f>IFERROR(O36/M36,"")</f>
        <v/>
      </c>
      <c r="Q36" s="86">
        <f>IFERROR(E36/O36,"")</f>
        <v/>
      </c>
      <c r="R36" s="87">
        <f>SUMIFS(Raw_Data!$AO$2:$AO$2552,Raw_Data!$F$2:$F$2552,$B36,Raw_Data!$J$2:$J$2552,$C36)</f>
        <v/>
      </c>
      <c r="S36" s="18">
        <f>IFERROR(R36/O36,"")</f>
        <v/>
      </c>
      <c r="T36" s="86">
        <f>IFERROR(E36/R36,"")</f>
        <v/>
      </c>
      <c r="U36" s="87">
        <f>SUMIFS(Raw_Data!$AR$2:$AR$2552,Raw_Data!$F$2:$F$2552,$B36,Raw_Data!$J$2:$J$2552,$C36)</f>
        <v/>
      </c>
      <c r="V36" s="87">
        <f>SUMIFS(Raw_Data!$AS$2:$AS$2552,Raw_Data!$F$2:$F$2552,$B36,Raw_Data!$J$2:$J$2552,$C36)</f>
        <v/>
      </c>
      <c r="W36" s="87">
        <f>O36+U36</f>
        <v/>
      </c>
      <c r="X36" s="86">
        <f>SUMIFS(Raw_Data!$AU$2:$AU$2552,Raw_Data!$F$2:$F$2552,$B36,Raw_Data!$J$2:$J$2552,$C36)</f>
        <v/>
      </c>
      <c r="Y36" s="18">
        <f>IFERROR(E36/Summary!$B$17,"")</f>
        <v/>
      </c>
      <c r="Z36" s="18">
        <f>IFERROR(O36/Summary!$L$17,"")</f>
        <v/>
      </c>
    </row>
    <row r="37">
      <c r="A37" s="6" t="inlineStr">
        <is>
          <t>TikTok</t>
        </is>
      </c>
      <c r="B37" s="78" t="inlineStr">
        <is>
          <t>LEP_ZA_AUG26_TT_TD_PANTERA_CONV</t>
        </is>
      </c>
      <c r="C37" s="78" t="inlineStr">
        <is>
          <t>TT_PANTERA_LAL_ENGAGERS_ZA</t>
        </is>
      </c>
      <c r="D37" s="8" t="inlineStr">
        <is>
          <t>Lookalike</t>
        </is>
      </c>
      <c r="E37" s="86">
        <f>SUMIFS(Raw_Data!$R$2:$R$2552,Raw_Data!$F$2:$F$2552,$B37,Raw_Data!$J$2:$J$2552,$C37)</f>
        <v/>
      </c>
      <c r="F37" s="87">
        <f>SUMIFS(Raw_Data!$S$2:$S$2552,Raw_Data!$F$2:$F$2552,$B37,Raw_Data!$J$2:$J$2552,$C37)</f>
        <v/>
      </c>
      <c r="G37" s="87">
        <f>SUMIFS(Raw_Data!$T$2:$T$2552,Raw_Data!$F$2:$F$2552,$B37,Raw_Data!$J$2:$J$2552,$C37)</f>
        <v/>
      </c>
      <c r="H37" s="88">
        <f>IFERROR(F37/G37,"")</f>
        <v/>
      </c>
      <c r="I37" s="87">
        <f>SUMIFS(Raw_Data!$W$2:$W$2552,Raw_Data!$F$2:$F$2552,$B37,Raw_Data!$J$2:$J$2552,$C37)</f>
        <v/>
      </c>
      <c r="J37" s="89">
        <f>IFERROR(I37/F37,"")</f>
        <v/>
      </c>
      <c r="K37" s="90">
        <f>IFERROR(E37/I37,"")</f>
        <v/>
      </c>
      <c r="L37" s="90">
        <f>IFERROR(E37/F37*1000,"")</f>
        <v/>
      </c>
      <c r="M37" s="87">
        <f>SUMIFS(Raw_Data!$AA$2:$AA$2552,Raw_Data!$F$2:$F$2552,$B37,Raw_Data!$J$2:$J$2552,$C37)</f>
        <v/>
      </c>
      <c r="N37" s="18">
        <f>IFERROR(M37/I37,"")</f>
        <v/>
      </c>
      <c r="O37" s="87">
        <f>SUMIFS(Raw_Data!$AL$2:$AL$2552,Raw_Data!$F$2:$F$2552,$B37,Raw_Data!$J$2:$J$2552,$C37)</f>
        <v/>
      </c>
      <c r="P37" s="89">
        <f>IFERROR(O37/M37,"")</f>
        <v/>
      </c>
      <c r="Q37" s="86">
        <f>IFERROR(E37/O37,"")</f>
        <v/>
      </c>
      <c r="R37" s="87">
        <f>SUMIFS(Raw_Data!$AO$2:$AO$2552,Raw_Data!$F$2:$F$2552,$B37,Raw_Data!$J$2:$J$2552,$C37)</f>
        <v/>
      </c>
      <c r="S37" s="18">
        <f>IFERROR(R37/O37,"")</f>
        <v/>
      </c>
      <c r="T37" s="86">
        <f>IFERROR(E37/R37,"")</f>
        <v/>
      </c>
      <c r="U37" s="87">
        <f>SUMIFS(Raw_Data!$AR$2:$AR$2552,Raw_Data!$F$2:$F$2552,$B37,Raw_Data!$J$2:$J$2552,$C37)</f>
        <v/>
      </c>
      <c r="V37" s="87">
        <f>SUMIFS(Raw_Data!$AS$2:$AS$2552,Raw_Data!$F$2:$F$2552,$B37,Raw_Data!$J$2:$J$2552,$C37)</f>
        <v/>
      </c>
      <c r="W37" s="87">
        <f>O37+U37</f>
        <v/>
      </c>
      <c r="X37" s="86">
        <f>SUMIFS(Raw_Data!$AU$2:$AU$2552,Raw_Data!$F$2:$F$2552,$B37,Raw_Data!$J$2:$J$2552,$C37)</f>
        <v/>
      </c>
      <c r="Y37" s="18">
        <f>IFERROR(E37/Summary!$B$17,"")</f>
        <v/>
      </c>
      <c r="Z37" s="18">
        <f>IFERROR(O37/Summary!$L$17,"")</f>
        <v/>
      </c>
    </row>
    <row r="38">
      <c r="A38" s="6" t="inlineStr">
        <is>
          <t>TikTok</t>
        </is>
      </c>
      <c r="B38" s="78" t="inlineStr">
        <is>
          <t>LEP_ZA_AUG26_TT_TD_PANTERA_CONV</t>
        </is>
      </c>
      <c r="C38" s="78" t="inlineStr">
        <is>
          <t>TT_PANTERA_INT_LUX_ZA</t>
        </is>
      </c>
      <c r="D38" s="8" t="inlineStr">
        <is>
          <t>Interest</t>
        </is>
      </c>
      <c r="E38" s="86">
        <f>SUMIFS(Raw_Data!$R$2:$R$2552,Raw_Data!$F$2:$F$2552,$B38,Raw_Data!$J$2:$J$2552,$C38)</f>
        <v/>
      </c>
      <c r="F38" s="87">
        <f>SUMIFS(Raw_Data!$S$2:$S$2552,Raw_Data!$F$2:$F$2552,$B38,Raw_Data!$J$2:$J$2552,$C38)</f>
        <v/>
      </c>
      <c r="G38" s="87">
        <f>SUMIFS(Raw_Data!$T$2:$T$2552,Raw_Data!$F$2:$F$2552,$B38,Raw_Data!$J$2:$J$2552,$C38)</f>
        <v/>
      </c>
      <c r="H38" s="88">
        <f>IFERROR(F38/G38,"")</f>
        <v/>
      </c>
      <c r="I38" s="87">
        <f>SUMIFS(Raw_Data!$W$2:$W$2552,Raw_Data!$F$2:$F$2552,$B38,Raw_Data!$J$2:$J$2552,$C38)</f>
        <v/>
      </c>
      <c r="J38" s="89">
        <f>IFERROR(I38/F38,"")</f>
        <v/>
      </c>
      <c r="K38" s="90">
        <f>IFERROR(E38/I38,"")</f>
        <v/>
      </c>
      <c r="L38" s="90">
        <f>IFERROR(E38/F38*1000,"")</f>
        <v/>
      </c>
      <c r="M38" s="87">
        <f>SUMIFS(Raw_Data!$AA$2:$AA$2552,Raw_Data!$F$2:$F$2552,$B38,Raw_Data!$J$2:$J$2552,$C38)</f>
        <v/>
      </c>
      <c r="N38" s="18">
        <f>IFERROR(M38/I38,"")</f>
        <v/>
      </c>
      <c r="O38" s="87">
        <f>SUMIFS(Raw_Data!$AL$2:$AL$2552,Raw_Data!$F$2:$F$2552,$B38,Raw_Data!$J$2:$J$2552,$C38)</f>
        <v/>
      </c>
      <c r="P38" s="89">
        <f>IFERROR(O38/M38,"")</f>
        <v/>
      </c>
      <c r="Q38" s="86">
        <f>IFERROR(E38/O38,"")</f>
        <v/>
      </c>
      <c r="R38" s="87">
        <f>SUMIFS(Raw_Data!$AO$2:$AO$2552,Raw_Data!$F$2:$F$2552,$B38,Raw_Data!$J$2:$J$2552,$C38)</f>
        <v/>
      </c>
      <c r="S38" s="18">
        <f>IFERROR(R38/O38,"")</f>
        <v/>
      </c>
      <c r="T38" s="86">
        <f>IFERROR(E38/R38,"")</f>
        <v/>
      </c>
      <c r="U38" s="87">
        <f>SUMIFS(Raw_Data!$AR$2:$AR$2552,Raw_Data!$F$2:$F$2552,$B38,Raw_Data!$J$2:$J$2552,$C38)</f>
        <v/>
      </c>
      <c r="V38" s="87">
        <f>SUMIFS(Raw_Data!$AS$2:$AS$2552,Raw_Data!$F$2:$F$2552,$B38,Raw_Data!$J$2:$J$2552,$C38)</f>
        <v/>
      </c>
      <c r="W38" s="87">
        <f>O38+U38</f>
        <v/>
      </c>
      <c r="X38" s="86">
        <f>SUMIFS(Raw_Data!$AU$2:$AU$2552,Raw_Data!$F$2:$F$2552,$B38,Raw_Data!$J$2:$J$2552,$C38)</f>
        <v/>
      </c>
      <c r="Y38" s="18">
        <f>IFERROR(E38/Summary!$B$17,"")</f>
        <v/>
      </c>
      <c r="Z38" s="18">
        <f>IFERROR(O38/Summary!$L$17,"")</f>
        <v/>
      </c>
    </row>
    <row r="39">
      <c r="A39" s="6" t="inlineStr">
        <is>
          <t>TikTok</t>
        </is>
      </c>
      <c r="B39" s="78" t="inlineStr">
        <is>
          <t>LEP_ZA_AUG26_TT_SPARK_RANGE_TRAFFIC</t>
        </is>
      </c>
      <c r="C39" s="78" t="inlineStr">
        <is>
          <t>TT_SPARK_CREATOR_UGC_ZA</t>
        </is>
      </c>
      <c r="D39" s="8" t="inlineStr">
        <is>
          <t>Prospecting</t>
        </is>
      </c>
      <c r="E39" s="86">
        <f>SUMIFS(Raw_Data!$R$2:$R$2552,Raw_Data!$F$2:$F$2552,$B39,Raw_Data!$J$2:$J$2552,$C39)</f>
        <v/>
      </c>
      <c r="F39" s="87">
        <f>SUMIFS(Raw_Data!$S$2:$S$2552,Raw_Data!$F$2:$F$2552,$B39,Raw_Data!$J$2:$J$2552,$C39)</f>
        <v/>
      </c>
      <c r="G39" s="87">
        <f>SUMIFS(Raw_Data!$T$2:$T$2552,Raw_Data!$F$2:$F$2552,$B39,Raw_Data!$J$2:$J$2552,$C39)</f>
        <v/>
      </c>
      <c r="H39" s="88">
        <f>IFERROR(F39/G39,"")</f>
        <v/>
      </c>
      <c r="I39" s="87">
        <f>SUMIFS(Raw_Data!$W$2:$W$2552,Raw_Data!$F$2:$F$2552,$B39,Raw_Data!$J$2:$J$2552,$C39)</f>
        <v/>
      </c>
      <c r="J39" s="89">
        <f>IFERROR(I39/F39,"")</f>
        <v/>
      </c>
      <c r="K39" s="90">
        <f>IFERROR(E39/I39,"")</f>
        <v/>
      </c>
      <c r="L39" s="90">
        <f>IFERROR(E39/F39*1000,"")</f>
        <v/>
      </c>
      <c r="M39" s="87">
        <f>SUMIFS(Raw_Data!$AA$2:$AA$2552,Raw_Data!$F$2:$F$2552,$B39,Raw_Data!$J$2:$J$2552,$C39)</f>
        <v/>
      </c>
      <c r="N39" s="18">
        <f>IFERROR(M39/I39,"")</f>
        <v/>
      </c>
      <c r="O39" s="87">
        <f>SUMIFS(Raw_Data!$AL$2:$AL$2552,Raw_Data!$F$2:$F$2552,$B39,Raw_Data!$J$2:$J$2552,$C39)</f>
        <v/>
      </c>
      <c r="P39" s="89">
        <f>IFERROR(O39/M39,"")</f>
        <v/>
      </c>
      <c r="Q39" s="86">
        <f>IFERROR(E39/O39,"")</f>
        <v/>
      </c>
      <c r="R39" s="87">
        <f>SUMIFS(Raw_Data!$AO$2:$AO$2552,Raw_Data!$F$2:$F$2552,$B39,Raw_Data!$J$2:$J$2552,$C39)</f>
        <v/>
      </c>
      <c r="S39" s="18">
        <f>IFERROR(R39/O39,"")</f>
        <v/>
      </c>
      <c r="T39" s="86">
        <f>IFERROR(E39/R39,"")</f>
        <v/>
      </c>
      <c r="U39" s="87">
        <f>SUMIFS(Raw_Data!$AR$2:$AR$2552,Raw_Data!$F$2:$F$2552,$B39,Raw_Data!$J$2:$J$2552,$C39)</f>
        <v/>
      </c>
      <c r="V39" s="87">
        <f>SUMIFS(Raw_Data!$AS$2:$AS$2552,Raw_Data!$F$2:$F$2552,$B39,Raw_Data!$J$2:$J$2552,$C39)</f>
        <v/>
      </c>
      <c r="W39" s="87">
        <f>O39+U39</f>
        <v/>
      </c>
      <c r="X39" s="86">
        <f>SUMIFS(Raw_Data!$AU$2:$AU$2552,Raw_Data!$F$2:$F$2552,$B39,Raw_Data!$J$2:$J$2552,$C39)</f>
        <v/>
      </c>
      <c r="Y39" s="18">
        <f>IFERROR(E39/Summary!$B$17,"")</f>
        <v/>
      </c>
      <c r="Z39" s="18">
        <f>IFERROR(O39/Summary!$L$17,"")</f>
        <v/>
      </c>
    </row>
    <row r="40">
      <c r="A40" s="6" t="inlineStr">
        <is>
          <t>TikTok</t>
        </is>
      </c>
      <c r="B40" s="78" t="inlineStr">
        <is>
          <t>LEP_ZA_AUG26_TT_SPARK_RANGE_TRAFFIC</t>
        </is>
      </c>
      <c r="C40" s="78" t="inlineStr">
        <is>
          <t>TT_SPARK_RMKT_VV_ZA</t>
        </is>
      </c>
      <c r="D40" s="8" t="inlineStr">
        <is>
          <t>Retargeting</t>
        </is>
      </c>
      <c r="E40" s="86">
        <f>SUMIFS(Raw_Data!$R$2:$R$2552,Raw_Data!$F$2:$F$2552,$B40,Raw_Data!$J$2:$J$2552,$C40)</f>
        <v/>
      </c>
      <c r="F40" s="87">
        <f>SUMIFS(Raw_Data!$S$2:$S$2552,Raw_Data!$F$2:$F$2552,$B40,Raw_Data!$J$2:$J$2552,$C40)</f>
        <v/>
      </c>
      <c r="G40" s="87">
        <f>SUMIFS(Raw_Data!$T$2:$T$2552,Raw_Data!$F$2:$F$2552,$B40,Raw_Data!$J$2:$J$2552,$C40)</f>
        <v/>
      </c>
      <c r="H40" s="88">
        <f>IFERROR(F40/G40,"")</f>
        <v/>
      </c>
      <c r="I40" s="87">
        <f>SUMIFS(Raw_Data!$W$2:$W$2552,Raw_Data!$F$2:$F$2552,$B40,Raw_Data!$J$2:$J$2552,$C40)</f>
        <v/>
      </c>
      <c r="J40" s="89">
        <f>IFERROR(I40/F40,"")</f>
        <v/>
      </c>
      <c r="K40" s="90">
        <f>IFERROR(E40/I40,"")</f>
        <v/>
      </c>
      <c r="L40" s="90">
        <f>IFERROR(E40/F40*1000,"")</f>
        <v/>
      </c>
      <c r="M40" s="87">
        <f>SUMIFS(Raw_Data!$AA$2:$AA$2552,Raw_Data!$F$2:$F$2552,$B40,Raw_Data!$J$2:$J$2552,$C40)</f>
        <v/>
      </c>
      <c r="N40" s="18">
        <f>IFERROR(M40/I40,"")</f>
        <v/>
      </c>
      <c r="O40" s="87">
        <f>SUMIFS(Raw_Data!$AL$2:$AL$2552,Raw_Data!$F$2:$F$2552,$B40,Raw_Data!$J$2:$J$2552,$C40)</f>
        <v/>
      </c>
      <c r="P40" s="89">
        <f>IFERROR(O40/M40,"")</f>
        <v/>
      </c>
      <c r="Q40" s="86">
        <f>IFERROR(E40/O40,"")</f>
        <v/>
      </c>
      <c r="R40" s="87">
        <f>SUMIFS(Raw_Data!$AO$2:$AO$2552,Raw_Data!$F$2:$F$2552,$B40,Raw_Data!$J$2:$J$2552,$C40)</f>
        <v/>
      </c>
      <c r="S40" s="18">
        <f>IFERROR(R40/O40,"")</f>
        <v/>
      </c>
      <c r="T40" s="86">
        <f>IFERROR(E40/R40,"")</f>
        <v/>
      </c>
      <c r="U40" s="87">
        <f>SUMIFS(Raw_Data!$AR$2:$AR$2552,Raw_Data!$F$2:$F$2552,$B40,Raw_Data!$J$2:$J$2552,$C40)</f>
        <v/>
      </c>
      <c r="V40" s="87">
        <f>SUMIFS(Raw_Data!$AS$2:$AS$2552,Raw_Data!$F$2:$F$2552,$B40,Raw_Data!$J$2:$J$2552,$C40)</f>
        <v/>
      </c>
      <c r="W40" s="87">
        <f>O40+U40</f>
        <v/>
      </c>
      <c r="X40" s="86">
        <f>SUMIFS(Raw_Data!$AU$2:$AU$2552,Raw_Data!$F$2:$F$2552,$B40,Raw_Data!$J$2:$J$2552,$C40)</f>
        <v/>
      </c>
      <c r="Y40" s="18">
        <f>IFERROR(E40/Summary!$B$17,"")</f>
        <v/>
      </c>
      <c r="Z40" s="18">
        <f>IFERROR(O40/Summary!$L$17,"")</f>
        <v/>
      </c>
    </row>
    <row r="41">
      <c r="A41" s="6" t="inlineStr">
        <is>
          <t>X</t>
        </is>
      </c>
      <c r="B41" s="78" t="inlineStr">
        <is>
          <t>LEP_ZA_AUG26_X_TD_RANGE_CONV</t>
        </is>
      </c>
      <c r="C41" s="78" t="inlineStr">
        <is>
          <t>X_INMKT_AUTO_ZA</t>
        </is>
      </c>
      <c r="D41" s="8" t="inlineStr">
        <is>
          <t>In-Market</t>
        </is>
      </c>
      <c r="E41" s="86">
        <f>SUMIFS(Raw_Data!$R$2:$R$2552,Raw_Data!$F$2:$F$2552,$B41,Raw_Data!$J$2:$J$2552,$C41)</f>
        <v/>
      </c>
      <c r="F41" s="87">
        <f>SUMIFS(Raw_Data!$S$2:$S$2552,Raw_Data!$F$2:$F$2552,$B41,Raw_Data!$J$2:$J$2552,$C41)</f>
        <v/>
      </c>
      <c r="G41" s="87">
        <f>SUMIFS(Raw_Data!$T$2:$T$2552,Raw_Data!$F$2:$F$2552,$B41,Raw_Data!$J$2:$J$2552,$C41)</f>
        <v/>
      </c>
      <c r="H41" s="88">
        <f>IFERROR(F41/G41,"")</f>
        <v/>
      </c>
      <c r="I41" s="87">
        <f>SUMIFS(Raw_Data!$W$2:$W$2552,Raw_Data!$F$2:$F$2552,$B41,Raw_Data!$J$2:$J$2552,$C41)</f>
        <v/>
      </c>
      <c r="J41" s="89">
        <f>IFERROR(I41/F41,"")</f>
        <v/>
      </c>
      <c r="K41" s="90">
        <f>IFERROR(E41/I41,"")</f>
        <v/>
      </c>
      <c r="L41" s="90">
        <f>IFERROR(E41/F41*1000,"")</f>
        <v/>
      </c>
      <c r="M41" s="87">
        <f>SUMIFS(Raw_Data!$AA$2:$AA$2552,Raw_Data!$F$2:$F$2552,$B41,Raw_Data!$J$2:$J$2552,$C41)</f>
        <v/>
      </c>
      <c r="N41" s="18">
        <f>IFERROR(M41/I41,"")</f>
        <v/>
      </c>
      <c r="O41" s="87">
        <f>SUMIFS(Raw_Data!$AL$2:$AL$2552,Raw_Data!$F$2:$F$2552,$B41,Raw_Data!$J$2:$J$2552,$C41)</f>
        <v/>
      </c>
      <c r="P41" s="89">
        <f>IFERROR(O41/M41,"")</f>
        <v/>
      </c>
      <c r="Q41" s="86">
        <f>IFERROR(E41/O41,"")</f>
        <v/>
      </c>
      <c r="R41" s="87">
        <f>SUMIFS(Raw_Data!$AO$2:$AO$2552,Raw_Data!$F$2:$F$2552,$B41,Raw_Data!$J$2:$J$2552,$C41)</f>
        <v/>
      </c>
      <c r="S41" s="18">
        <f>IFERROR(R41/O41,"")</f>
        <v/>
      </c>
      <c r="T41" s="86">
        <f>IFERROR(E41/R41,"")</f>
        <v/>
      </c>
      <c r="U41" s="87">
        <f>SUMIFS(Raw_Data!$AR$2:$AR$2552,Raw_Data!$F$2:$F$2552,$B41,Raw_Data!$J$2:$J$2552,$C41)</f>
        <v/>
      </c>
      <c r="V41" s="87">
        <f>SUMIFS(Raw_Data!$AS$2:$AS$2552,Raw_Data!$F$2:$F$2552,$B41,Raw_Data!$J$2:$J$2552,$C41)</f>
        <v/>
      </c>
      <c r="W41" s="87">
        <f>O41+U41</f>
        <v/>
      </c>
      <c r="X41" s="86">
        <f>SUMIFS(Raw_Data!$AU$2:$AU$2552,Raw_Data!$F$2:$F$2552,$B41,Raw_Data!$J$2:$J$2552,$C41)</f>
        <v/>
      </c>
      <c r="Y41" s="18">
        <f>IFERROR(E41/Summary!$B$17,"")</f>
        <v/>
      </c>
      <c r="Z41" s="18">
        <f>IFERROR(O41/Summary!$L$17,"")</f>
        <v/>
      </c>
    </row>
    <row r="42">
      <c r="A42" s="6" t="inlineStr">
        <is>
          <t>X</t>
        </is>
      </c>
      <c r="B42" s="78" t="inlineStr">
        <is>
          <t>LEP_ZA_AUG26_X_TD_RANGE_CONV</t>
        </is>
      </c>
      <c r="C42" s="78" t="inlineStr">
        <is>
          <t>X_KEYWORD_CARBUY_ZA</t>
        </is>
      </c>
      <c r="D42" s="8" t="inlineStr">
        <is>
          <t>Interest</t>
        </is>
      </c>
      <c r="E42" s="86">
        <f>SUMIFS(Raw_Data!$R$2:$R$2552,Raw_Data!$F$2:$F$2552,$B42,Raw_Data!$J$2:$J$2552,$C42)</f>
        <v/>
      </c>
      <c r="F42" s="87">
        <f>SUMIFS(Raw_Data!$S$2:$S$2552,Raw_Data!$F$2:$F$2552,$B42,Raw_Data!$J$2:$J$2552,$C42)</f>
        <v/>
      </c>
      <c r="G42" s="87">
        <f>SUMIFS(Raw_Data!$T$2:$T$2552,Raw_Data!$F$2:$F$2552,$B42,Raw_Data!$J$2:$J$2552,$C42)</f>
        <v/>
      </c>
      <c r="H42" s="88">
        <f>IFERROR(F42/G42,"")</f>
        <v/>
      </c>
      <c r="I42" s="87">
        <f>SUMIFS(Raw_Data!$W$2:$W$2552,Raw_Data!$F$2:$F$2552,$B42,Raw_Data!$J$2:$J$2552,$C42)</f>
        <v/>
      </c>
      <c r="J42" s="89">
        <f>IFERROR(I42/F42,"")</f>
        <v/>
      </c>
      <c r="K42" s="90">
        <f>IFERROR(E42/I42,"")</f>
        <v/>
      </c>
      <c r="L42" s="90">
        <f>IFERROR(E42/F42*1000,"")</f>
        <v/>
      </c>
      <c r="M42" s="87">
        <f>SUMIFS(Raw_Data!$AA$2:$AA$2552,Raw_Data!$F$2:$F$2552,$B42,Raw_Data!$J$2:$J$2552,$C42)</f>
        <v/>
      </c>
      <c r="N42" s="18">
        <f>IFERROR(M42/I42,"")</f>
        <v/>
      </c>
      <c r="O42" s="87">
        <f>SUMIFS(Raw_Data!$AL$2:$AL$2552,Raw_Data!$F$2:$F$2552,$B42,Raw_Data!$J$2:$J$2552,$C42)</f>
        <v/>
      </c>
      <c r="P42" s="89">
        <f>IFERROR(O42/M42,"")</f>
        <v/>
      </c>
      <c r="Q42" s="86">
        <f>IFERROR(E42/O42,"")</f>
        <v/>
      </c>
      <c r="R42" s="87">
        <f>SUMIFS(Raw_Data!$AO$2:$AO$2552,Raw_Data!$F$2:$F$2552,$B42,Raw_Data!$J$2:$J$2552,$C42)</f>
        <v/>
      </c>
      <c r="S42" s="18">
        <f>IFERROR(R42/O42,"")</f>
        <v/>
      </c>
      <c r="T42" s="86">
        <f>IFERROR(E42/R42,"")</f>
        <v/>
      </c>
      <c r="U42" s="87">
        <f>SUMIFS(Raw_Data!$AR$2:$AR$2552,Raw_Data!$F$2:$F$2552,$B42,Raw_Data!$J$2:$J$2552,$C42)</f>
        <v/>
      </c>
      <c r="V42" s="87">
        <f>SUMIFS(Raw_Data!$AS$2:$AS$2552,Raw_Data!$F$2:$F$2552,$B42,Raw_Data!$J$2:$J$2552,$C42)</f>
        <v/>
      </c>
      <c r="W42" s="87">
        <f>O42+U42</f>
        <v/>
      </c>
      <c r="X42" s="86">
        <f>SUMIFS(Raw_Data!$AU$2:$AU$2552,Raw_Data!$F$2:$F$2552,$B42,Raw_Data!$J$2:$J$2552,$C42)</f>
        <v/>
      </c>
      <c r="Y42" s="18">
        <f>IFERROR(E42/Summary!$B$17,"")</f>
        <v/>
      </c>
      <c r="Z42" s="18">
        <f>IFERROR(O42/Summary!$L$17,"")</f>
        <v/>
      </c>
    </row>
    <row r="43">
      <c r="A43" s="6" t="inlineStr">
        <is>
          <t>X</t>
        </is>
      </c>
      <c r="B43" s="78" t="inlineStr">
        <is>
          <t>LEP_ZA_AUG26_X_RMKT_TD_CONV</t>
        </is>
      </c>
      <c r="C43" s="78" t="inlineStr">
        <is>
          <t>X_RMKT_SITE14D_ZA</t>
        </is>
      </c>
      <c r="D43" s="8" t="inlineStr">
        <is>
          <t>Retargeting</t>
        </is>
      </c>
      <c r="E43" s="86">
        <f>SUMIFS(Raw_Data!$R$2:$R$2552,Raw_Data!$F$2:$F$2552,$B43,Raw_Data!$J$2:$J$2552,$C43)</f>
        <v/>
      </c>
      <c r="F43" s="87">
        <f>SUMIFS(Raw_Data!$S$2:$S$2552,Raw_Data!$F$2:$F$2552,$B43,Raw_Data!$J$2:$J$2552,$C43)</f>
        <v/>
      </c>
      <c r="G43" s="87">
        <f>SUMIFS(Raw_Data!$T$2:$T$2552,Raw_Data!$F$2:$F$2552,$B43,Raw_Data!$J$2:$J$2552,$C43)</f>
        <v/>
      </c>
      <c r="H43" s="88">
        <f>IFERROR(F43/G43,"")</f>
        <v/>
      </c>
      <c r="I43" s="87">
        <f>SUMIFS(Raw_Data!$W$2:$W$2552,Raw_Data!$F$2:$F$2552,$B43,Raw_Data!$J$2:$J$2552,$C43)</f>
        <v/>
      </c>
      <c r="J43" s="89">
        <f>IFERROR(I43/F43,"")</f>
        <v/>
      </c>
      <c r="K43" s="90">
        <f>IFERROR(E43/I43,"")</f>
        <v/>
      </c>
      <c r="L43" s="90">
        <f>IFERROR(E43/F43*1000,"")</f>
        <v/>
      </c>
      <c r="M43" s="87">
        <f>SUMIFS(Raw_Data!$AA$2:$AA$2552,Raw_Data!$F$2:$F$2552,$B43,Raw_Data!$J$2:$J$2552,$C43)</f>
        <v/>
      </c>
      <c r="N43" s="18">
        <f>IFERROR(M43/I43,"")</f>
        <v/>
      </c>
      <c r="O43" s="87">
        <f>SUMIFS(Raw_Data!$AL$2:$AL$2552,Raw_Data!$F$2:$F$2552,$B43,Raw_Data!$J$2:$J$2552,$C43)</f>
        <v/>
      </c>
      <c r="P43" s="89">
        <f>IFERROR(O43/M43,"")</f>
        <v/>
      </c>
      <c r="Q43" s="86">
        <f>IFERROR(E43/O43,"")</f>
        <v/>
      </c>
      <c r="R43" s="87">
        <f>SUMIFS(Raw_Data!$AO$2:$AO$2552,Raw_Data!$F$2:$F$2552,$B43,Raw_Data!$J$2:$J$2552,$C43)</f>
        <v/>
      </c>
      <c r="S43" s="18">
        <f>IFERROR(R43/O43,"")</f>
        <v/>
      </c>
      <c r="T43" s="86">
        <f>IFERROR(E43/R43,"")</f>
        <v/>
      </c>
      <c r="U43" s="87">
        <f>SUMIFS(Raw_Data!$AR$2:$AR$2552,Raw_Data!$F$2:$F$2552,$B43,Raw_Data!$J$2:$J$2552,$C43)</f>
        <v/>
      </c>
      <c r="V43" s="87">
        <f>SUMIFS(Raw_Data!$AS$2:$AS$2552,Raw_Data!$F$2:$F$2552,$B43,Raw_Data!$J$2:$J$2552,$C43)</f>
        <v/>
      </c>
      <c r="W43" s="87">
        <f>O43+U43</f>
        <v/>
      </c>
      <c r="X43" s="86">
        <f>SUMIFS(Raw_Data!$AU$2:$AU$2552,Raw_Data!$F$2:$F$2552,$B43,Raw_Data!$J$2:$J$2552,$C43)</f>
        <v/>
      </c>
      <c r="Y43" s="18">
        <f>IFERROR(E43/Summary!$B$17,"")</f>
        <v/>
      </c>
      <c r="Z43" s="18">
        <f>IFERROR(O43/Summary!$L$17,"")</f>
        <v/>
      </c>
    </row>
    <row r="44">
      <c r="A44" s="6" t="inlineStr">
        <is>
          <t>X</t>
        </is>
      </c>
      <c r="B44" s="78" t="inlineStr">
        <is>
          <t>LEP_ZA_AUG26_X_RMKT_TD_CONV</t>
        </is>
      </c>
      <c r="C44" s="78" t="inlineStr">
        <is>
          <t>X_LAL_FOLLOWER_ZA</t>
        </is>
      </c>
      <c r="D44" s="8" t="inlineStr">
        <is>
          <t>Lookalike</t>
        </is>
      </c>
      <c r="E44" s="86">
        <f>SUMIFS(Raw_Data!$R$2:$R$2552,Raw_Data!$F$2:$F$2552,$B44,Raw_Data!$J$2:$J$2552,$C44)</f>
        <v/>
      </c>
      <c r="F44" s="87">
        <f>SUMIFS(Raw_Data!$S$2:$S$2552,Raw_Data!$F$2:$F$2552,$B44,Raw_Data!$J$2:$J$2552,$C44)</f>
        <v/>
      </c>
      <c r="G44" s="87">
        <f>SUMIFS(Raw_Data!$T$2:$T$2552,Raw_Data!$F$2:$F$2552,$B44,Raw_Data!$J$2:$J$2552,$C44)</f>
        <v/>
      </c>
      <c r="H44" s="88">
        <f>IFERROR(F44/G44,"")</f>
        <v/>
      </c>
      <c r="I44" s="87">
        <f>SUMIFS(Raw_Data!$W$2:$W$2552,Raw_Data!$F$2:$F$2552,$B44,Raw_Data!$J$2:$J$2552,$C44)</f>
        <v/>
      </c>
      <c r="J44" s="89">
        <f>IFERROR(I44/F44,"")</f>
        <v/>
      </c>
      <c r="K44" s="90">
        <f>IFERROR(E44/I44,"")</f>
        <v/>
      </c>
      <c r="L44" s="90">
        <f>IFERROR(E44/F44*1000,"")</f>
        <v/>
      </c>
      <c r="M44" s="87">
        <f>SUMIFS(Raw_Data!$AA$2:$AA$2552,Raw_Data!$F$2:$F$2552,$B44,Raw_Data!$J$2:$J$2552,$C44)</f>
        <v/>
      </c>
      <c r="N44" s="18">
        <f>IFERROR(M44/I44,"")</f>
        <v/>
      </c>
      <c r="O44" s="87">
        <f>SUMIFS(Raw_Data!$AL$2:$AL$2552,Raw_Data!$F$2:$F$2552,$B44,Raw_Data!$J$2:$J$2552,$C44)</f>
        <v/>
      </c>
      <c r="P44" s="89">
        <f>IFERROR(O44/M44,"")</f>
        <v/>
      </c>
      <c r="Q44" s="86">
        <f>IFERROR(E44/O44,"")</f>
        <v/>
      </c>
      <c r="R44" s="87">
        <f>SUMIFS(Raw_Data!$AO$2:$AO$2552,Raw_Data!$F$2:$F$2552,$B44,Raw_Data!$J$2:$J$2552,$C44)</f>
        <v/>
      </c>
      <c r="S44" s="18">
        <f>IFERROR(R44/O44,"")</f>
        <v/>
      </c>
      <c r="T44" s="86">
        <f>IFERROR(E44/R44,"")</f>
        <v/>
      </c>
      <c r="U44" s="87">
        <f>SUMIFS(Raw_Data!$AR$2:$AR$2552,Raw_Data!$F$2:$F$2552,$B44,Raw_Data!$J$2:$J$2552,$C44)</f>
        <v/>
      </c>
      <c r="V44" s="87">
        <f>SUMIFS(Raw_Data!$AS$2:$AS$2552,Raw_Data!$F$2:$F$2552,$B44,Raw_Data!$J$2:$J$2552,$C44)</f>
        <v/>
      </c>
      <c r="W44" s="87">
        <f>O44+U44</f>
        <v/>
      </c>
      <c r="X44" s="86">
        <f>SUMIFS(Raw_Data!$AU$2:$AU$2552,Raw_Data!$F$2:$F$2552,$B44,Raw_Data!$J$2:$J$2552,$C44)</f>
        <v/>
      </c>
      <c r="Y44" s="18">
        <f>IFERROR(E44/Summary!$B$17,"")</f>
        <v/>
      </c>
      <c r="Z44" s="18">
        <f>IFERROR(O44/Summary!$L$17,"")</f>
        <v/>
      </c>
    </row>
    <row r="45">
      <c r="A45" s="6" t="inlineStr">
        <is>
          <t>Programmatic</t>
        </is>
      </c>
      <c r="B45" s="78" t="inlineStr">
        <is>
          <t>LEP_ZA_AUG26_PROG_TD_PROSPECT_DISPLAY</t>
        </is>
      </c>
      <c r="C45" s="78" t="inlineStr">
        <is>
          <t>PROG_CONTEXTUAL_AUTO_NEWS</t>
        </is>
      </c>
      <c r="D45" s="8" t="inlineStr">
        <is>
          <t>Contextual</t>
        </is>
      </c>
      <c r="E45" s="86">
        <f>SUMIFS(Raw_Data!$R$2:$R$2552,Raw_Data!$F$2:$F$2552,$B45,Raw_Data!$J$2:$J$2552,$C45)</f>
        <v/>
      </c>
      <c r="F45" s="87">
        <f>SUMIFS(Raw_Data!$S$2:$S$2552,Raw_Data!$F$2:$F$2552,$B45,Raw_Data!$J$2:$J$2552,$C45)</f>
        <v/>
      </c>
      <c r="G45" s="87">
        <f>SUMIFS(Raw_Data!$T$2:$T$2552,Raw_Data!$F$2:$F$2552,$B45,Raw_Data!$J$2:$J$2552,$C45)</f>
        <v/>
      </c>
      <c r="H45" s="88">
        <f>IFERROR(F45/G45,"")</f>
        <v/>
      </c>
      <c r="I45" s="87">
        <f>SUMIFS(Raw_Data!$W$2:$W$2552,Raw_Data!$F$2:$F$2552,$B45,Raw_Data!$J$2:$J$2552,$C45)</f>
        <v/>
      </c>
      <c r="J45" s="89">
        <f>IFERROR(I45/F45,"")</f>
        <v/>
      </c>
      <c r="K45" s="90">
        <f>IFERROR(E45/I45,"")</f>
        <v/>
      </c>
      <c r="L45" s="90">
        <f>IFERROR(E45/F45*1000,"")</f>
        <v/>
      </c>
      <c r="M45" s="87">
        <f>SUMIFS(Raw_Data!$AA$2:$AA$2552,Raw_Data!$F$2:$F$2552,$B45,Raw_Data!$J$2:$J$2552,$C45)</f>
        <v/>
      </c>
      <c r="N45" s="18">
        <f>IFERROR(M45/I45,"")</f>
        <v/>
      </c>
      <c r="O45" s="87">
        <f>SUMIFS(Raw_Data!$AL$2:$AL$2552,Raw_Data!$F$2:$F$2552,$B45,Raw_Data!$J$2:$J$2552,$C45)</f>
        <v/>
      </c>
      <c r="P45" s="89">
        <f>IFERROR(O45/M45,"")</f>
        <v/>
      </c>
      <c r="Q45" s="86">
        <f>IFERROR(E45/O45,"")</f>
        <v/>
      </c>
      <c r="R45" s="87">
        <f>SUMIFS(Raw_Data!$AO$2:$AO$2552,Raw_Data!$F$2:$F$2552,$B45,Raw_Data!$J$2:$J$2552,$C45)</f>
        <v/>
      </c>
      <c r="S45" s="18">
        <f>IFERROR(R45/O45,"")</f>
        <v/>
      </c>
      <c r="T45" s="86">
        <f>IFERROR(E45/R45,"")</f>
        <v/>
      </c>
      <c r="U45" s="87">
        <f>SUMIFS(Raw_Data!$AR$2:$AR$2552,Raw_Data!$F$2:$F$2552,$B45,Raw_Data!$J$2:$J$2552,$C45)</f>
        <v/>
      </c>
      <c r="V45" s="87">
        <f>SUMIFS(Raw_Data!$AS$2:$AS$2552,Raw_Data!$F$2:$F$2552,$B45,Raw_Data!$J$2:$J$2552,$C45)</f>
        <v/>
      </c>
      <c r="W45" s="87">
        <f>O45+U45</f>
        <v/>
      </c>
      <c r="X45" s="86">
        <f>SUMIFS(Raw_Data!$AU$2:$AU$2552,Raw_Data!$F$2:$F$2552,$B45,Raw_Data!$J$2:$J$2552,$C45)</f>
        <v/>
      </c>
      <c r="Y45" s="18">
        <f>IFERROR(E45/Summary!$B$17,"")</f>
        <v/>
      </c>
      <c r="Z45" s="18">
        <f>IFERROR(O45/Summary!$L$17,"")</f>
        <v/>
      </c>
    </row>
    <row r="46">
      <c r="A46" s="6" t="inlineStr">
        <is>
          <t>Programmatic</t>
        </is>
      </c>
      <c r="B46" s="78" t="inlineStr">
        <is>
          <t>LEP_ZA_AUG26_PROG_TD_PROSPECT_DISPLAY</t>
        </is>
      </c>
      <c r="C46" s="78" t="inlineStr">
        <is>
          <t>PROG_3PD_INMKT_AUTO</t>
        </is>
      </c>
      <c r="D46" s="8" t="inlineStr">
        <is>
          <t>In-Market</t>
        </is>
      </c>
      <c r="E46" s="86">
        <f>SUMIFS(Raw_Data!$R$2:$R$2552,Raw_Data!$F$2:$F$2552,$B46,Raw_Data!$J$2:$J$2552,$C46)</f>
        <v/>
      </c>
      <c r="F46" s="87">
        <f>SUMIFS(Raw_Data!$S$2:$S$2552,Raw_Data!$F$2:$F$2552,$B46,Raw_Data!$J$2:$J$2552,$C46)</f>
        <v/>
      </c>
      <c r="G46" s="87">
        <f>SUMIFS(Raw_Data!$T$2:$T$2552,Raw_Data!$F$2:$F$2552,$B46,Raw_Data!$J$2:$J$2552,$C46)</f>
        <v/>
      </c>
      <c r="H46" s="88">
        <f>IFERROR(F46/G46,"")</f>
        <v/>
      </c>
      <c r="I46" s="87">
        <f>SUMIFS(Raw_Data!$W$2:$W$2552,Raw_Data!$F$2:$F$2552,$B46,Raw_Data!$J$2:$J$2552,$C46)</f>
        <v/>
      </c>
      <c r="J46" s="89">
        <f>IFERROR(I46/F46,"")</f>
        <v/>
      </c>
      <c r="K46" s="90">
        <f>IFERROR(E46/I46,"")</f>
        <v/>
      </c>
      <c r="L46" s="90">
        <f>IFERROR(E46/F46*1000,"")</f>
        <v/>
      </c>
      <c r="M46" s="87">
        <f>SUMIFS(Raw_Data!$AA$2:$AA$2552,Raw_Data!$F$2:$F$2552,$B46,Raw_Data!$J$2:$J$2552,$C46)</f>
        <v/>
      </c>
      <c r="N46" s="18">
        <f>IFERROR(M46/I46,"")</f>
        <v/>
      </c>
      <c r="O46" s="87">
        <f>SUMIFS(Raw_Data!$AL$2:$AL$2552,Raw_Data!$F$2:$F$2552,$B46,Raw_Data!$J$2:$J$2552,$C46)</f>
        <v/>
      </c>
      <c r="P46" s="89">
        <f>IFERROR(O46/M46,"")</f>
        <v/>
      </c>
      <c r="Q46" s="86">
        <f>IFERROR(E46/O46,"")</f>
        <v/>
      </c>
      <c r="R46" s="87">
        <f>SUMIFS(Raw_Data!$AO$2:$AO$2552,Raw_Data!$F$2:$F$2552,$B46,Raw_Data!$J$2:$J$2552,$C46)</f>
        <v/>
      </c>
      <c r="S46" s="18">
        <f>IFERROR(R46/O46,"")</f>
        <v/>
      </c>
      <c r="T46" s="86">
        <f>IFERROR(E46/R46,"")</f>
        <v/>
      </c>
      <c r="U46" s="87">
        <f>SUMIFS(Raw_Data!$AR$2:$AR$2552,Raw_Data!$F$2:$F$2552,$B46,Raw_Data!$J$2:$J$2552,$C46)</f>
        <v/>
      </c>
      <c r="V46" s="87">
        <f>SUMIFS(Raw_Data!$AS$2:$AS$2552,Raw_Data!$F$2:$F$2552,$B46,Raw_Data!$J$2:$J$2552,$C46)</f>
        <v/>
      </c>
      <c r="W46" s="87">
        <f>O46+U46</f>
        <v/>
      </c>
      <c r="X46" s="86">
        <f>SUMIFS(Raw_Data!$AU$2:$AU$2552,Raw_Data!$F$2:$F$2552,$B46,Raw_Data!$J$2:$J$2552,$C46)</f>
        <v/>
      </c>
      <c r="Y46" s="18">
        <f>IFERROR(E46/Summary!$B$17,"")</f>
        <v/>
      </c>
      <c r="Z46" s="18">
        <f>IFERROR(O46/Summary!$L$17,"")</f>
        <v/>
      </c>
    </row>
    <row r="47">
      <c r="A47" s="6" t="inlineStr">
        <is>
          <t>Programmatic</t>
        </is>
      </c>
      <c r="B47" s="78" t="inlineStr">
        <is>
          <t>LEP_ZA_AUG26_PROG_TD_PROSPECT_DISPLAY</t>
        </is>
      </c>
      <c r="C47" s="78" t="inlineStr">
        <is>
          <t>PROG_GEO_DEALER_RADIUS</t>
        </is>
      </c>
      <c r="D47" s="8" t="inlineStr">
        <is>
          <t>Prospecting</t>
        </is>
      </c>
      <c r="E47" s="86">
        <f>SUMIFS(Raw_Data!$R$2:$R$2552,Raw_Data!$F$2:$F$2552,$B47,Raw_Data!$J$2:$J$2552,$C47)</f>
        <v/>
      </c>
      <c r="F47" s="87">
        <f>SUMIFS(Raw_Data!$S$2:$S$2552,Raw_Data!$F$2:$F$2552,$B47,Raw_Data!$J$2:$J$2552,$C47)</f>
        <v/>
      </c>
      <c r="G47" s="87">
        <f>SUMIFS(Raw_Data!$T$2:$T$2552,Raw_Data!$F$2:$F$2552,$B47,Raw_Data!$J$2:$J$2552,$C47)</f>
        <v/>
      </c>
      <c r="H47" s="88">
        <f>IFERROR(F47/G47,"")</f>
        <v/>
      </c>
      <c r="I47" s="87">
        <f>SUMIFS(Raw_Data!$W$2:$W$2552,Raw_Data!$F$2:$F$2552,$B47,Raw_Data!$J$2:$J$2552,$C47)</f>
        <v/>
      </c>
      <c r="J47" s="89">
        <f>IFERROR(I47/F47,"")</f>
        <v/>
      </c>
      <c r="K47" s="90">
        <f>IFERROR(E47/I47,"")</f>
        <v/>
      </c>
      <c r="L47" s="90">
        <f>IFERROR(E47/F47*1000,"")</f>
        <v/>
      </c>
      <c r="M47" s="87">
        <f>SUMIFS(Raw_Data!$AA$2:$AA$2552,Raw_Data!$F$2:$F$2552,$B47,Raw_Data!$J$2:$J$2552,$C47)</f>
        <v/>
      </c>
      <c r="N47" s="18">
        <f>IFERROR(M47/I47,"")</f>
        <v/>
      </c>
      <c r="O47" s="87">
        <f>SUMIFS(Raw_Data!$AL$2:$AL$2552,Raw_Data!$F$2:$F$2552,$B47,Raw_Data!$J$2:$J$2552,$C47)</f>
        <v/>
      </c>
      <c r="P47" s="89">
        <f>IFERROR(O47/M47,"")</f>
        <v/>
      </c>
      <c r="Q47" s="86">
        <f>IFERROR(E47/O47,"")</f>
        <v/>
      </c>
      <c r="R47" s="87">
        <f>SUMIFS(Raw_Data!$AO$2:$AO$2552,Raw_Data!$F$2:$F$2552,$B47,Raw_Data!$J$2:$J$2552,$C47)</f>
        <v/>
      </c>
      <c r="S47" s="18">
        <f>IFERROR(R47/O47,"")</f>
        <v/>
      </c>
      <c r="T47" s="86">
        <f>IFERROR(E47/R47,"")</f>
        <v/>
      </c>
      <c r="U47" s="87">
        <f>SUMIFS(Raw_Data!$AR$2:$AR$2552,Raw_Data!$F$2:$F$2552,$B47,Raw_Data!$J$2:$J$2552,$C47)</f>
        <v/>
      </c>
      <c r="V47" s="87">
        <f>SUMIFS(Raw_Data!$AS$2:$AS$2552,Raw_Data!$F$2:$F$2552,$B47,Raw_Data!$J$2:$J$2552,$C47)</f>
        <v/>
      </c>
      <c r="W47" s="87">
        <f>O47+U47</f>
        <v/>
      </c>
      <c r="X47" s="86">
        <f>SUMIFS(Raw_Data!$AU$2:$AU$2552,Raw_Data!$F$2:$F$2552,$B47,Raw_Data!$J$2:$J$2552,$C47)</f>
        <v/>
      </c>
      <c r="Y47" s="18">
        <f>IFERROR(E47/Summary!$B$17,"")</f>
        <v/>
      </c>
      <c r="Z47" s="18">
        <f>IFERROR(O47/Summary!$L$17,"")</f>
        <v/>
      </c>
    </row>
    <row r="48">
      <c r="A48" s="6" t="inlineStr">
        <is>
          <t>Programmatic</t>
        </is>
      </c>
      <c r="B48" s="78" t="inlineStr">
        <is>
          <t>LEP_ZA_AUG26_PROG_TD_VIDEO_OLV</t>
        </is>
      </c>
      <c r="C48" s="78" t="inlineStr">
        <is>
          <t>PROG_OLV_PREROLL_AUTO</t>
        </is>
      </c>
      <c r="D48" s="8" t="inlineStr">
        <is>
          <t>Contextual</t>
        </is>
      </c>
      <c r="E48" s="86">
        <f>SUMIFS(Raw_Data!$R$2:$R$2552,Raw_Data!$F$2:$F$2552,$B48,Raw_Data!$J$2:$J$2552,$C48)</f>
        <v/>
      </c>
      <c r="F48" s="87">
        <f>SUMIFS(Raw_Data!$S$2:$S$2552,Raw_Data!$F$2:$F$2552,$B48,Raw_Data!$J$2:$J$2552,$C48)</f>
        <v/>
      </c>
      <c r="G48" s="87">
        <f>SUMIFS(Raw_Data!$T$2:$T$2552,Raw_Data!$F$2:$F$2552,$B48,Raw_Data!$J$2:$J$2552,$C48)</f>
        <v/>
      </c>
      <c r="H48" s="88">
        <f>IFERROR(F48/G48,"")</f>
        <v/>
      </c>
      <c r="I48" s="87">
        <f>SUMIFS(Raw_Data!$W$2:$W$2552,Raw_Data!$F$2:$F$2552,$B48,Raw_Data!$J$2:$J$2552,$C48)</f>
        <v/>
      </c>
      <c r="J48" s="89">
        <f>IFERROR(I48/F48,"")</f>
        <v/>
      </c>
      <c r="K48" s="90">
        <f>IFERROR(E48/I48,"")</f>
        <v/>
      </c>
      <c r="L48" s="90">
        <f>IFERROR(E48/F48*1000,"")</f>
        <v/>
      </c>
      <c r="M48" s="87">
        <f>SUMIFS(Raw_Data!$AA$2:$AA$2552,Raw_Data!$F$2:$F$2552,$B48,Raw_Data!$J$2:$J$2552,$C48)</f>
        <v/>
      </c>
      <c r="N48" s="18">
        <f>IFERROR(M48/I48,"")</f>
        <v/>
      </c>
      <c r="O48" s="87">
        <f>SUMIFS(Raw_Data!$AL$2:$AL$2552,Raw_Data!$F$2:$F$2552,$B48,Raw_Data!$J$2:$J$2552,$C48)</f>
        <v/>
      </c>
      <c r="P48" s="89">
        <f>IFERROR(O48/M48,"")</f>
        <v/>
      </c>
      <c r="Q48" s="86">
        <f>IFERROR(E48/O48,"")</f>
        <v/>
      </c>
      <c r="R48" s="87">
        <f>SUMIFS(Raw_Data!$AO$2:$AO$2552,Raw_Data!$F$2:$F$2552,$B48,Raw_Data!$J$2:$J$2552,$C48)</f>
        <v/>
      </c>
      <c r="S48" s="18">
        <f>IFERROR(R48/O48,"")</f>
        <v/>
      </c>
      <c r="T48" s="86">
        <f>IFERROR(E48/R48,"")</f>
        <v/>
      </c>
      <c r="U48" s="87">
        <f>SUMIFS(Raw_Data!$AR$2:$AR$2552,Raw_Data!$F$2:$F$2552,$B48,Raw_Data!$J$2:$J$2552,$C48)</f>
        <v/>
      </c>
      <c r="V48" s="87">
        <f>SUMIFS(Raw_Data!$AS$2:$AS$2552,Raw_Data!$F$2:$F$2552,$B48,Raw_Data!$J$2:$J$2552,$C48)</f>
        <v/>
      </c>
      <c r="W48" s="87">
        <f>O48+U48</f>
        <v/>
      </c>
      <c r="X48" s="86">
        <f>SUMIFS(Raw_Data!$AU$2:$AU$2552,Raw_Data!$F$2:$F$2552,$B48,Raw_Data!$J$2:$J$2552,$C48)</f>
        <v/>
      </c>
      <c r="Y48" s="18">
        <f>IFERROR(E48/Summary!$B$17,"")</f>
        <v/>
      </c>
      <c r="Z48" s="18">
        <f>IFERROR(O48/Summary!$L$17,"")</f>
        <v/>
      </c>
    </row>
    <row r="49">
      <c r="A49" s="6" t="inlineStr">
        <is>
          <t>Programmatic</t>
        </is>
      </c>
      <c r="B49" s="78" t="inlineStr">
        <is>
          <t>LEP_ZA_AUG26_PROG_TD_VIDEO_OLV</t>
        </is>
      </c>
      <c r="C49" s="78" t="inlineStr">
        <is>
          <t>PROG_CTV_HOUSEHOLD</t>
        </is>
      </c>
      <c r="D49" s="8" t="inlineStr">
        <is>
          <t>Prospecting</t>
        </is>
      </c>
      <c r="E49" s="86">
        <f>SUMIFS(Raw_Data!$R$2:$R$2552,Raw_Data!$F$2:$F$2552,$B49,Raw_Data!$J$2:$J$2552,$C49)</f>
        <v/>
      </c>
      <c r="F49" s="87">
        <f>SUMIFS(Raw_Data!$S$2:$S$2552,Raw_Data!$F$2:$F$2552,$B49,Raw_Data!$J$2:$J$2552,$C49)</f>
        <v/>
      </c>
      <c r="G49" s="87">
        <f>SUMIFS(Raw_Data!$T$2:$T$2552,Raw_Data!$F$2:$F$2552,$B49,Raw_Data!$J$2:$J$2552,$C49)</f>
        <v/>
      </c>
      <c r="H49" s="88">
        <f>IFERROR(F49/G49,"")</f>
        <v/>
      </c>
      <c r="I49" s="87">
        <f>SUMIFS(Raw_Data!$W$2:$W$2552,Raw_Data!$F$2:$F$2552,$B49,Raw_Data!$J$2:$J$2552,$C49)</f>
        <v/>
      </c>
      <c r="J49" s="89">
        <f>IFERROR(I49/F49,"")</f>
        <v/>
      </c>
      <c r="K49" s="90">
        <f>IFERROR(E49/I49,"")</f>
        <v/>
      </c>
      <c r="L49" s="90">
        <f>IFERROR(E49/F49*1000,"")</f>
        <v/>
      </c>
      <c r="M49" s="87">
        <f>SUMIFS(Raw_Data!$AA$2:$AA$2552,Raw_Data!$F$2:$F$2552,$B49,Raw_Data!$J$2:$J$2552,$C49)</f>
        <v/>
      </c>
      <c r="N49" s="18">
        <f>IFERROR(M49/I49,"")</f>
        <v/>
      </c>
      <c r="O49" s="87">
        <f>SUMIFS(Raw_Data!$AL$2:$AL$2552,Raw_Data!$F$2:$F$2552,$B49,Raw_Data!$J$2:$J$2552,$C49)</f>
        <v/>
      </c>
      <c r="P49" s="89">
        <f>IFERROR(O49/M49,"")</f>
        <v/>
      </c>
      <c r="Q49" s="86">
        <f>IFERROR(E49/O49,"")</f>
        <v/>
      </c>
      <c r="R49" s="87">
        <f>SUMIFS(Raw_Data!$AO$2:$AO$2552,Raw_Data!$F$2:$F$2552,$B49,Raw_Data!$J$2:$J$2552,$C49)</f>
        <v/>
      </c>
      <c r="S49" s="18">
        <f>IFERROR(R49/O49,"")</f>
        <v/>
      </c>
      <c r="T49" s="86">
        <f>IFERROR(E49/R49,"")</f>
        <v/>
      </c>
      <c r="U49" s="87">
        <f>SUMIFS(Raw_Data!$AR$2:$AR$2552,Raw_Data!$F$2:$F$2552,$B49,Raw_Data!$J$2:$J$2552,$C49)</f>
        <v/>
      </c>
      <c r="V49" s="87">
        <f>SUMIFS(Raw_Data!$AS$2:$AS$2552,Raw_Data!$F$2:$F$2552,$B49,Raw_Data!$J$2:$J$2552,$C49)</f>
        <v/>
      </c>
      <c r="W49" s="87">
        <f>O49+U49</f>
        <v/>
      </c>
      <c r="X49" s="86">
        <f>SUMIFS(Raw_Data!$AU$2:$AU$2552,Raw_Data!$F$2:$F$2552,$B49,Raw_Data!$J$2:$J$2552,$C49)</f>
        <v/>
      </c>
      <c r="Y49" s="18">
        <f>IFERROR(E49/Summary!$B$17,"")</f>
        <v/>
      </c>
      <c r="Z49" s="18">
        <f>IFERROR(O49/Summary!$L$17,"")</f>
        <v/>
      </c>
    </row>
    <row r="50">
      <c r="A50" s="6" t="inlineStr">
        <is>
          <t>Programmatic</t>
        </is>
      </c>
      <c r="B50" s="78" t="inlineStr">
        <is>
          <t>LEP_ZA_AUG26_PROG_TD_VIDEO_OLV</t>
        </is>
      </c>
      <c r="C50" s="78" t="inlineStr">
        <is>
          <t>PROG_OLV_RMKT_VIEWERS</t>
        </is>
      </c>
      <c r="D50" s="8" t="inlineStr">
        <is>
          <t>Retargeting</t>
        </is>
      </c>
      <c r="E50" s="86">
        <f>SUMIFS(Raw_Data!$R$2:$R$2552,Raw_Data!$F$2:$F$2552,$B50,Raw_Data!$J$2:$J$2552,$C50)</f>
        <v/>
      </c>
      <c r="F50" s="87">
        <f>SUMIFS(Raw_Data!$S$2:$S$2552,Raw_Data!$F$2:$F$2552,$B50,Raw_Data!$J$2:$J$2552,$C50)</f>
        <v/>
      </c>
      <c r="G50" s="87">
        <f>SUMIFS(Raw_Data!$T$2:$T$2552,Raw_Data!$F$2:$F$2552,$B50,Raw_Data!$J$2:$J$2552,$C50)</f>
        <v/>
      </c>
      <c r="H50" s="88">
        <f>IFERROR(F50/G50,"")</f>
        <v/>
      </c>
      <c r="I50" s="87">
        <f>SUMIFS(Raw_Data!$W$2:$W$2552,Raw_Data!$F$2:$F$2552,$B50,Raw_Data!$J$2:$J$2552,$C50)</f>
        <v/>
      </c>
      <c r="J50" s="89">
        <f>IFERROR(I50/F50,"")</f>
        <v/>
      </c>
      <c r="K50" s="90">
        <f>IFERROR(E50/I50,"")</f>
        <v/>
      </c>
      <c r="L50" s="90">
        <f>IFERROR(E50/F50*1000,"")</f>
        <v/>
      </c>
      <c r="M50" s="87">
        <f>SUMIFS(Raw_Data!$AA$2:$AA$2552,Raw_Data!$F$2:$F$2552,$B50,Raw_Data!$J$2:$J$2552,$C50)</f>
        <v/>
      </c>
      <c r="N50" s="18">
        <f>IFERROR(M50/I50,"")</f>
        <v/>
      </c>
      <c r="O50" s="87">
        <f>SUMIFS(Raw_Data!$AL$2:$AL$2552,Raw_Data!$F$2:$F$2552,$B50,Raw_Data!$J$2:$J$2552,$C50)</f>
        <v/>
      </c>
      <c r="P50" s="89">
        <f>IFERROR(O50/M50,"")</f>
        <v/>
      </c>
      <c r="Q50" s="86">
        <f>IFERROR(E50/O50,"")</f>
        <v/>
      </c>
      <c r="R50" s="87">
        <f>SUMIFS(Raw_Data!$AO$2:$AO$2552,Raw_Data!$F$2:$F$2552,$B50,Raw_Data!$J$2:$J$2552,$C50)</f>
        <v/>
      </c>
      <c r="S50" s="18">
        <f>IFERROR(R50/O50,"")</f>
        <v/>
      </c>
      <c r="T50" s="86">
        <f>IFERROR(E50/R50,"")</f>
        <v/>
      </c>
      <c r="U50" s="87">
        <f>SUMIFS(Raw_Data!$AR$2:$AR$2552,Raw_Data!$F$2:$F$2552,$B50,Raw_Data!$J$2:$J$2552,$C50)</f>
        <v/>
      </c>
      <c r="V50" s="87">
        <f>SUMIFS(Raw_Data!$AS$2:$AS$2552,Raw_Data!$F$2:$F$2552,$B50,Raw_Data!$J$2:$J$2552,$C50)</f>
        <v/>
      </c>
      <c r="W50" s="87">
        <f>O50+U50</f>
        <v/>
      </c>
      <c r="X50" s="86">
        <f>SUMIFS(Raw_Data!$AU$2:$AU$2552,Raw_Data!$F$2:$F$2552,$B50,Raw_Data!$J$2:$J$2552,$C50)</f>
        <v/>
      </c>
      <c r="Y50" s="18">
        <f>IFERROR(E50/Summary!$B$17,"")</f>
        <v/>
      </c>
      <c r="Z50" s="18">
        <f>IFERROR(O50/Summary!$L$17,"")</f>
        <v/>
      </c>
    </row>
    <row r="51">
      <c r="A51" s="6" t="inlineStr">
        <is>
          <t>Programmatic</t>
        </is>
      </c>
      <c r="B51" s="78" t="inlineStr">
        <is>
          <t>LEP_ZA_AUG26_PROG_RMKT_DYNAMIC</t>
        </is>
      </c>
      <c r="C51" s="78" t="inlineStr">
        <is>
          <t>PROG_DYN_RMKT_7D</t>
        </is>
      </c>
      <c r="D51" s="8" t="inlineStr">
        <is>
          <t>Retargeting</t>
        </is>
      </c>
      <c r="E51" s="86">
        <f>SUMIFS(Raw_Data!$R$2:$R$2552,Raw_Data!$F$2:$F$2552,$B51,Raw_Data!$J$2:$J$2552,$C51)</f>
        <v/>
      </c>
      <c r="F51" s="87">
        <f>SUMIFS(Raw_Data!$S$2:$S$2552,Raw_Data!$F$2:$F$2552,$B51,Raw_Data!$J$2:$J$2552,$C51)</f>
        <v/>
      </c>
      <c r="G51" s="87">
        <f>SUMIFS(Raw_Data!$T$2:$T$2552,Raw_Data!$F$2:$F$2552,$B51,Raw_Data!$J$2:$J$2552,$C51)</f>
        <v/>
      </c>
      <c r="H51" s="88">
        <f>IFERROR(F51/G51,"")</f>
        <v/>
      </c>
      <c r="I51" s="87">
        <f>SUMIFS(Raw_Data!$W$2:$W$2552,Raw_Data!$F$2:$F$2552,$B51,Raw_Data!$J$2:$J$2552,$C51)</f>
        <v/>
      </c>
      <c r="J51" s="89">
        <f>IFERROR(I51/F51,"")</f>
        <v/>
      </c>
      <c r="K51" s="90">
        <f>IFERROR(E51/I51,"")</f>
        <v/>
      </c>
      <c r="L51" s="90">
        <f>IFERROR(E51/F51*1000,"")</f>
        <v/>
      </c>
      <c r="M51" s="87">
        <f>SUMIFS(Raw_Data!$AA$2:$AA$2552,Raw_Data!$F$2:$F$2552,$B51,Raw_Data!$J$2:$J$2552,$C51)</f>
        <v/>
      </c>
      <c r="N51" s="18">
        <f>IFERROR(M51/I51,"")</f>
        <v/>
      </c>
      <c r="O51" s="87">
        <f>SUMIFS(Raw_Data!$AL$2:$AL$2552,Raw_Data!$F$2:$F$2552,$B51,Raw_Data!$J$2:$J$2552,$C51)</f>
        <v/>
      </c>
      <c r="P51" s="89">
        <f>IFERROR(O51/M51,"")</f>
        <v/>
      </c>
      <c r="Q51" s="86">
        <f>IFERROR(E51/O51,"")</f>
        <v/>
      </c>
      <c r="R51" s="87">
        <f>SUMIFS(Raw_Data!$AO$2:$AO$2552,Raw_Data!$F$2:$F$2552,$B51,Raw_Data!$J$2:$J$2552,$C51)</f>
        <v/>
      </c>
      <c r="S51" s="18">
        <f>IFERROR(R51/O51,"")</f>
        <v/>
      </c>
      <c r="T51" s="86">
        <f>IFERROR(E51/R51,"")</f>
        <v/>
      </c>
      <c r="U51" s="87">
        <f>SUMIFS(Raw_Data!$AR$2:$AR$2552,Raw_Data!$F$2:$F$2552,$B51,Raw_Data!$J$2:$J$2552,$C51)</f>
        <v/>
      </c>
      <c r="V51" s="87">
        <f>SUMIFS(Raw_Data!$AS$2:$AS$2552,Raw_Data!$F$2:$F$2552,$B51,Raw_Data!$J$2:$J$2552,$C51)</f>
        <v/>
      </c>
      <c r="W51" s="87">
        <f>O51+U51</f>
        <v/>
      </c>
      <c r="X51" s="86">
        <f>SUMIFS(Raw_Data!$AU$2:$AU$2552,Raw_Data!$F$2:$F$2552,$B51,Raw_Data!$J$2:$J$2552,$C51)</f>
        <v/>
      </c>
      <c r="Y51" s="18">
        <f>IFERROR(E51/Summary!$B$17,"")</f>
        <v/>
      </c>
      <c r="Z51" s="18">
        <f>IFERROR(O51/Summary!$L$17,"")</f>
        <v/>
      </c>
    </row>
    <row r="52">
      <c r="A52" s="6" t="inlineStr">
        <is>
          <t>Programmatic</t>
        </is>
      </c>
      <c r="B52" s="78" t="inlineStr">
        <is>
          <t>LEP_ZA_AUG26_PROG_RMKT_DYNAMIC</t>
        </is>
      </c>
      <c r="C52" s="78" t="inlineStr">
        <is>
          <t>PROG_DYN_RMKT_30D</t>
        </is>
      </c>
      <c r="D52" s="8" t="inlineStr">
        <is>
          <t>Retargeting</t>
        </is>
      </c>
      <c r="E52" s="86">
        <f>SUMIFS(Raw_Data!$R$2:$R$2552,Raw_Data!$F$2:$F$2552,$B52,Raw_Data!$J$2:$J$2552,$C52)</f>
        <v/>
      </c>
      <c r="F52" s="87">
        <f>SUMIFS(Raw_Data!$S$2:$S$2552,Raw_Data!$F$2:$F$2552,$B52,Raw_Data!$J$2:$J$2552,$C52)</f>
        <v/>
      </c>
      <c r="G52" s="87">
        <f>SUMIFS(Raw_Data!$T$2:$T$2552,Raw_Data!$F$2:$F$2552,$B52,Raw_Data!$J$2:$J$2552,$C52)</f>
        <v/>
      </c>
      <c r="H52" s="88">
        <f>IFERROR(F52/G52,"")</f>
        <v/>
      </c>
      <c r="I52" s="87">
        <f>SUMIFS(Raw_Data!$W$2:$W$2552,Raw_Data!$F$2:$F$2552,$B52,Raw_Data!$J$2:$J$2552,$C52)</f>
        <v/>
      </c>
      <c r="J52" s="89">
        <f>IFERROR(I52/F52,"")</f>
        <v/>
      </c>
      <c r="K52" s="90">
        <f>IFERROR(E52/I52,"")</f>
        <v/>
      </c>
      <c r="L52" s="90">
        <f>IFERROR(E52/F52*1000,"")</f>
        <v/>
      </c>
      <c r="M52" s="87">
        <f>SUMIFS(Raw_Data!$AA$2:$AA$2552,Raw_Data!$F$2:$F$2552,$B52,Raw_Data!$J$2:$J$2552,$C52)</f>
        <v/>
      </c>
      <c r="N52" s="18">
        <f>IFERROR(M52/I52,"")</f>
        <v/>
      </c>
      <c r="O52" s="87">
        <f>SUMIFS(Raw_Data!$AL$2:$AL$2552,Raw_Data!$F$2:$F$2552,$B52,Raw_Data!$J$2:$J$2552,$C52)</f>
        <v/>
      </c>
      <c r="P52" s="89">
        <f>IFERROR(O52/M52,"")</f>
        <v/>
      </c>
      <c r="Q52" s="86">
        <f>IFERROR(E52/O52,"")</f>
        <v/>
      </c>
      <c r="R52" s="87">
        <f>SUMIFS(Raw_Data!$AO$2:$AO$2552,Raw_Data!$F$2:$F$2552,$B52,Raw_Data!$J$2:$J$2552,$C52)</f>
        <v/>
      </c>
      <c r="S52" s="18">
        <f>IFERROR(R52/O52,"")</f>
        <v/>
      </c>
      <c r="T52" s="86">
        <f>IFERROR(E52/R52,"")</f>
        <v/>
      </c>
      <c r="U52" s="87">
        <f>SUMIFS(Raw_Data!$AR$2:$AR$2552,Raw_Data!$F$2:$F$2552,$B52,Raw_Data!$J$2:$J$2552,$C52)</f>
        <v/>
      </c>
      <c r="V52" s="87">
        <f>SUMIFS(Raw_Data!$AS$2:$AS$2552,Raw_Data!$F$2:$F$2552,$B52,Raw_Data!$J$2:$J$2552,$C52)</f>
        <v/>
      </c>
      <c r="W52" s="87">
        <f>O52+U52</f>
        <v/>
      </c>
      <c r="X52" s="86">
        <f>SUMIFS(Raw_Data!$AU$2:$AU$2552,Raw_Data!$F$2:$F$2552,$B52,Raw_Data!$J$2:$J$2552,$C52)</f>
        <v/>
      </c>
      <c r="Y52" s="18">
        <f>IFERROR(E52/Summary!$B$17,"")</f>
        <v/>
      </c>
      <c r="Z52" s="18">
        <f>IFERROR(O52/Summary!$L$17,"")</f>
        <v/>
      </c>
    </row>
    <row r="53">
      <c r="A53" s="6" t="inlineStr">
        <is>
          <t>Programmatic</t>
        </is>
      </c>
      <c r="B53" s="78" t="inlineStr">
        <is>
          <t>LEP_ZA_AUG26_PROG_RMKT_DYNAMIC</t>
        </is>
      </c>
      <c r="C53" s="78" t="inlineStr">
        <is>
          <t>PROG_LAL_SEED_CONVERTERS</t>
        </is>
      </c>
      <c r="D53" s="8" t="inlineStr">
        <is>
          <t>Lookalike</t>
        </is>
      </c>
      <c r="E53" s="86">
        <f>SUMIFS(Raw_Data!$R$2:$R$2552,Raw_Data!$F$2:$F$2552,$B53,Raw_Data!$J$2:$J$2552,$C53)</f>
        <v/>
      </c>
      <c r="F53" s="87">
        <f>SUMIFS(Raw_Data!$S$2:$S$2552,Raw_Data!$F$2:$F$2552,$B53,Raw_Data!$J$2:$J$2552,$C53)</f>
        <v/>
      </c>
      <c r="G53" s="87">
        <f>SUMIFS(Raw_Data!$T$2:$T$2552,Raw_Data!$F$2:$F$2552,$B53,Raw_Data!$J$2:$J$2552,$C53)</f>
        <v/>
      </c>
      <c r="H53" s="88">
        <f>IFERROR(F53/G53,"")</f>
        <v/>
      </c>
      <c r="I53" s="87">
        <f>SUMIFS(Raw_Data!$W$2:$W$2552,Raw_Data!$F$2:$F$2552,$B53,Raw_Data!$J$2:$J$2552,$C53)</f>
        <v/>
      </c>
      <c r="J53" s="89">
        <f>IFERROR(I53/F53,"")</f>
        <v/>
      </c>
      <c r="K53" s="90">
        <f>IFERROR(E53/I53,"")</f>
        <v/>
      </c>
      <c r="L53" s="90">
        <f>IFERROR(E53/F53*1000,"")</f>
        <v/>
      </c>
      <c r="M53" s="87">
        <f>SUMIFS(Raw_Data!$AA$2:$AA$2552,Raw_Data!$F$2:$F$2552,$B53,Raw_Data!$J$2:$J$2552,$C53)</f>
        <v/>
      </c>
      <c r="N53" s="18">
        <f>IFERROR(M53/I53,"")</f>
        <v/>
      </c>
      <c r="O53" s="87">
        <f>SUMIFS(Raw_Data!$AL$2:$AL$2552,Raw_Data!$F$2:$F$2552,$B53,Raw_Data!$J$2:$J$2552,$C53)</f>
        <v/>
      </c>
      <c r="P53" s="89">
        <f>IFERROR(O53/M53,"")</f>
        <v/>
      </c>
      <c r="Q53" s="86">
        <f>IFERROR(E53/O53,"")</f>
        <v/>
      </c>
      <c r="R53" s="87">
        <f>SUMIFS(Raw_Data!$AO$2:$AO$2552,Raw_Data!$F$2:$F$2552,$B53,Raw_Data!$J$2:$J$2552,$C53)</f>
        <v/>
      </c>
      <c r="S53" s="18">
        <f>IFERROR(R53/O53,"")</f>
        <v/>
      </c>
      <c r="T53" s="86">
        <f>IFERROR(E53/R53,"")</f>
        <v/>
      </c>
      <c r="U53" s="87">
        <f>SUMIFS(Raw_Data!$AR$2:$AR$2552,Raw_Data!$F$2:$F$2552,$B53,Raw_Data!$J$2:$J$2552,$C53)</f>
        <v/>
      </c>
      <c r="V53" s="87">
        <f>SUMIFS(Raw_Data!$AS$2:$AS$2552,Raw_Data!$F$2:$F$2552,$B53,Raw_Data!$J$2:$J$2552,$C53)</f>
        <v/>
      </c>
      <c r="W53" s="87">
        <f>O53+U53</f>
        <v/>
      </c>
      <c r="X53" s="86">
        <f>SUMIFS(Raw_Data!$AU$2:$AU$2552,Raw_Data!$F$2:$F$2552,$B53,Raw_Data!$J$2:$J$2552,$C53)</f>
        <v/>
      </c>
      <c r="Y53" s="18">
        <f>IFERROR(E53/Summary!$B$17,"")</f>
        <v/>
      </c>
      <c r="Z53" s="18">
        <f>IFERROR(O53/Summary!$L$17,"")</f>
        <v/>
      </c>
    </row>
    <row r="54">
      <c r="A54" s="19" t="inlineStr">
        <is>
          <t>TOTAL</t>
        </is>
      </c>
      <c r="B54" s="32" t="n"/>
      <c r="C54" s="32" t="n"/>
      <c r="D54" s="32" t="n"/>
      <c r="E54" s="91" t="n"/>
      <c r="F54" s="92" t="n"/>
      <c r="G54" s="92" t="n"/>
      <c r="H54" s="93">
        <f>IFERROR(F54/G54,"")</f>
        <v/>
      </c>
      <c r="I54" s="92" t="n"/>
      <c r="J54" s="94">
        <f>IFERROR(I54/F54,"")</f>
        <v/>
      </c>
      <c r="K54" s="95">
        <f>IFERROR(E54/I54,"")</f>
        <v/>
      </c>
      <c r="L54" s="95">
        <f>IFERROR(E54/F54*1000,"")</f>
        <v/>
      </c>
      <c r="M54" s="92" t="n"/>
      <c r="N54" s="25">
        <f>IFERROR(M54/I54,"")</f>
        <v/>
      </c>
      <c r="O54" s="92" t="n"/>
      <c r="P54" s="94">
        <f>IFERROR(O54/M54,"")</f>
        <v/>
      </c>
      <c r="Q54" s="91">
        <f>IFERROR(E54/O54,"")</f>
        <v/>
      </c>
      <c r="R54" s="92" t="n"/>
      <c r="S54" s="25">
        <f>IFERROR(R54/O54,"")</f>
        <v/>
      </c>
      <c r="T54" s="91">
        <f>IFERROR(E54/R54,"")</f>
        <v/>
      </c>
      <c r="U54" s="92" t="n"/>
      <c r="V54" s="92" t="n"/>
      <c r="W54" s="92">
        <f>O54+U54</f>
        <v/>
      </c>
      <c r="X54" s="91" t="n"/>
      <c r="Y54" s="25">
        <f>IFERROR(E54/Summary!$B$17,"")</f>
        <v/>
      </c>
      <c r="Z54" s="25">
        <f>IFERROR(O54/Summary!$L$17,"")</f>
        <v/>
      </c>
    </row>
  </sheetData>
  <mergeCells count="2">
    <mergeCell ref="A2:L2"/>
    <mergeCell ref="A1: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tabColor rgb="FF3D5A8A"/>
    <outlinePr summaryBelow="1" summaryRight="1"/>
    <pageSetUpPr fitToPage="1"/>
  </sheetPr>
  <dimension ref="A1:AL5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10" defaultColWidth="8.83203125" defaultRowHeight="15"/>
  <cols>
    <col width="16" customWidth="1" style="67" min="1" max="1"/>
    <col width="36" customWidth="1" style="67" min="2" max="2"/>
    <col width="24" customWidth="1" style="67" min="3" max="3"/>
    <col width="40" customWidth="1" style="67" min="4" max="4"/>
    <col width="14" customWidth="1" style="67" min="5" max="5"/>
    <col width="13" customWidth="1" style="67" min="6" max="6"/>
    <col width="15" customWidth="1" style="67" min="7" max="7"/>
    <col width="12" customWidth="1" style="67" min="8" max="9"/>
    <col width="10" customWidth="1" style="67" min="10" max="10"/>
    <col width="11" customWidth="1" style="67" min="11" max="12"/>
    <col width="13" customWidth="1" style="67" min="13" max="13"/>
    <col width="10" customWidth="1" style="67" min="14" max="14"/>
    <col width="13" customWidth="1" style="67" min="15" max="15"/>
    <col width="12" customWidth="1" style="67" min="16" max="16"/>
    <col width="13" customWidth="1" style="67" min="17" max="17"/>
    <col width="11" customWidth="1" style="67" min="18" max="18"/>
    <col width="10" customWidth="1" style="67" min="19" max="19"/>
    <col width="14" customWidth="1" style="67" min="20" max="20"/>
    <col width="12" customWidth="1" style="67" min="21" max="22"/>
    <col width="13" customWidth="1" style="67" min="23" max="23"/>
    <col width="18" customWidth="1" style="67" min="24" max="24"/>
    <col width="10" customWidth="1" style="67" min="25" max="25"/>
    <col width="11" customWidth="1" style="67" min="26" max="26"/>
    <col width="13" customWidth="1" style="67" min="27" max="38"/>
  </cols>
  <sheetData>
    <row r="1" ht="24" customHeight="1" s="67">
      <c r="A1" s="71" t="inlineStr">
        <is>
          <t>Creative Performance</t>
        </is>
      </c>
    </row>
    <row r="2">
      <c r="A2" s="68" t="inlineStr">
        <is>
          <t>Every asset in market, its flight window, funnel efficiency and video engagement. Sorted by channel then creative name — filter on CPL to find the winners.</t>
        </is>
      </c>
    </row>
    <row r="4" ht="30" customHeight="1" s="67">
      <c r="A4" s="12" t="inlineStr">
        <is>
          <t>Channel</t>
        </is>
      </c>
      <c r="B4" s="12" t="inlineStr">
        <is>
          <t>Creative Name</t>
        </is>
      </c>
      <c r="C4" s="12" t="inlineStr">
        <is>
          <t>Creative Format</t>
        </is>
      </c>
      <c r="D4" s="12" t="inlineStr">
        <is>
          <t>Creative Hook / Message</t>
        </is>
      </c>
      <c r="E4" s="12" t="inlineStr">
        <is>
          <t>Spend (ZAR)</t>
        </is>
      </c>
      <c r="F4" s="12" t="inlineStr">
        <is>
          <t>Impressions</t>
        </is>
      </c>
      <c r="G4" s="12" t="inlineStr">
        <is>
          <t>Reach (sum of daily)</t>
        </is>
      </c>
      <c r="H4" s="12" t="inlineStr">
        <is>
          <t>Avg Daily Frequency</t>
        </is>
      </c>
      <c r="I4" s="12" t="inlineStr">
        <is>
          <t>Link Clicks</t>
        </is>
      </c>
      <c r="J4" s="12" t="inlineStr">
        <is>
          <t>CTR (Link)</t>
        </is>
      </c>
      <c r="K4" s="12" t="inlineStr">
        <is>
          <t>CPC (Link)</t>
        </is>
      </c>
      <c r="L4" s="12" t="inlineStr">
        <is>
          <t>CPM</t>
        </is>
      </c>
      <c r="M4" s="12" t="inlineStr">
        <is>
          <t>Landing Page Views</t>
        </is>
      </c>
      <c r="N4" s="12" t="inlineStr">
        <is>
          <t>LPV Rate</t>
        </is>
      </c>
      <c r="O4" s="12" t="inlineStr">
        <is>
          <t>Test Drive Bookings</t>
        </is>
      </c>
      <c r="P4" s="12" t="inlineStr">
        <is>
          <t>CVR (Booking / LPV)</t>
        </is>
      </c>
      <c r="Q4" s="12" t="inlineStr">
        <is>
          <t>CPL (Cost / Booking)</t>
        </is>
      </c>
      <c r="R4" s="12" t="inlineStr">
        <is>
          <t>Qualified Leads</t>
        </is>
      </c>
      <c r="S4" s="12" t="inlineStr">
        <is>
          <t>Qualified Rate</t>
        </is>
      </c>
      <c r="T4" s="12" t="inlineStr">
        <is>
          <t>Cost per Qualified Lead</t>
        </is>
      </c>
      <c r="U4" s="12" t="inlineStr">
        <is>
          <t>View-Through Conv.</t>
        </is>
      </c>
      <c r="V4" s="12" t="inlineStr">
        <is>
          <t>Assisted Conv.</t>
        </is>
      </c>
      <c r="W4" s="12" t="inlineStr">
        <is>
          <t>Total Attributed Conv.</t>
        </is>
      </c>
      <c r="X4" s="12" t="inlineStr">
        <is>
          <t>Est. Revenue Pipeline (ZAR)</t>
        </is>
      </c>
      <c r="Y4" s="12" t="inlineStr">
        <is>
          <t>% of Spend</t>
        </is>
      </c>
      <c r="Z4" s="12" t="inlineStr">
        <is>
          <t>% of Bookings</t>
        </is>
      </c>
      <c r="AA4" s="26" t="inlineStr">
        <is>
          <t>First Day Live</t>
        </is>
      </c>
      <c r="AB4" s="26" t="inlineStr">
        <is>
          <t>Last Day Live</t>
        </is>
      </c>
      <c r="AC4" s="26" t="inlineStr">
        <is>
          <t>Days Live</t>
        </is>
      </c>
      <c r="AD4" s="26" t="inlineStr">
        <is>
          <t>Video Views 3s</t>
        </is>
      </c>
      <c r="AE4" s="26" t="inlineStr">
        <is>
          <t>Video Views 6s</t>
        </is>
      </c>
      <c r="AF4" s="26" t="inlineStr">
        <is>
          <t>Video 25%</t>
        </is>
      </c>
      <c r="AG4" s="26" t="inlineStr">
        <is>
          <t>Video 50%</t>
        </is>
      </c>
      <c r="AH4" s="26" t="inlineStr">
        <is>
          <t>Video 75%</t>
        </is>
      </c>
      <c r="AI4" s="26" t="inlineStr">
        <is>
          <t>Video 100%</t>
        </is>
      </c>
      <c r="AJ4" s="26" t="inlineStr">
        <is>
          <t>Hook Rate (3s)</t>
        </is>
      </c>
      <c r="AK4" s="26" t="inlineStr">
        <is>
          <t>Video Completion Rate</t>
        </is>
      </c>
      <c r="AL4" s="26" t="inlineStr">
        <is>
          <t>Engagements</t>
        </is>
      </c>
    </row>
    <row r="5">
      <c r="A5" s="6" t="inlineStr">
        <is>
          <t>Meta (FB/IG)</t>
        </is>
      </c>
      <c r="B5" s="78" t="inlineStr">
        <is>
          <t>AMUR_VID_15s_CityDrive_v1</t>
        </is>
      </c>
      <c r="C5" s="78" t="inlineStr">
        <is>
          <t>Video 9:16</t>
        </is>
      </c>
      <c r="D5" s="78" t="inlineStr">
        <is>
          <t>Your first Lepas. R3 599pm.</t>
        </is>
      </c>
      <c r="E5" s="86">
        <f>SUMIFS(Raw_Data!$R$2:$R$2552,Raw_Data!$D$2:$D$2552,$A5,Raw_Data!$L$2:$L$2552,$B5)</f>
        <v/>
      </c>
      <c r="F5" s="87">
        <f>SUMIFS(Raw_Data!$S$2:$S$2552,Raw_Data!$D$2:$D$2552,$A5,Raw_Data!$L$2:$L$2552,$B5)</f>
        <v/>
      </c>
      <c r="G5" s="87">
        <f>SUMIFS(Raw_Data!$T$2:$T$2552,Raw_Data!$D$2:$D$2552,$A5,Raw_Data!$L$2:$L$2552,$B5)</f>
        <v/>
      </c>
      <c r="H5" s="88">
        <f>IFERROR(F5/G5,"")</f>
        <v/>
      </c>
      <c r="I5" s="87">
        <f>SUMIFS(Raw_Data!$W$2:$W$2552,Raw_Data!$D$2:$D$2552,$A5,Raw_Data!$L$2:$L$2552,$B5)</f>
        <v/>
      </c>
      <c r="J5" s="89">
        <f>IFERROR(I5/F5,"")</f>
        <v/>
      </c>
      <c r="K5" s="90">
        <f>IFERROR(E5/I5,"")</f>
        <v/>
      </c>
      <c r="L5" s="90">
        <f>IFERROR(E5/F5*1000,"")</f>
        <v/>
      </c>
      <c r="M5" s="87">
        <f>SUMIFS(Raw_Data!$AA$2:$AA$2552,Raw_Data!$D$2:$D$2552,$A5,Raw_Data!$L$2:$L$2552,$B5)</f>
        <v/>
      </c>
      <c r="N5" s="18">
        <f>IFERROR(M5/I5,"")</f>
        <v/>
      </c>
      <c r="O5" s="87">
        <f>SUMIFS(Raw_Data!$AL$2:$AL$2552,Raw_Data!$D$2:$D$2552,$A5,Raw_Data!$L$2:$L$2552,$B5)</f>
        <v/>
      </c>
      <c r="P5" s="89">
        <f>IFERROR(O5/M5,"")</f>
        <v/>
      </c>
      <c r="Q5" s="86">
        <f>IFERROR(E5/O5,"")</f>
        <v/>
      </c>
      <c r="R5" s="87">
        <f>SUMIFS(Raw_Data!$AO$2:$AO$2552,Raw_Data!$D$2:$D$2552,$A5,Raw_Data!$L$2:$L$2552,$B5)</f>
        <v/>
      </c>
      <c r="S5" s="18">
        <f>IFERROR(R5/O5,"")</f>
        <v/>
      </c>
      <c r="T5" s="86">
        <f>IFERROR(E5/R5,"")</f>
        <v/>
      </c>
      <c r="U5" s="87">
        <f>SUMIFS(Raw_Data!$AR$2:$AR$2552,Raw_Data!$D$2:$D$2552,$A5,Raw_Data!$L$2:$L$2552,$B5)</f>
        <v/>
      </c>
      <c r="V5" s="87">
        <f>SUMIFS(Raw_Data!$AS$2:$AS$2552,Raw_Data!$D$2:$D$2552,$A5,Raw_Data!$L$2:$L$2552,$B5)</f>
        <v/>
      </c>
      <c r="W5" s="87">
        <f>O5+U5</f>
        <v/>
      </c>
      <c r="X5" s="86">
        <f>SUMIFS(Raw_Data!$AU$2:$AU$2552,Raw_Data!$D$2:$D$2552,$A5,Raw_Data!$L$2:$L$2552,$B5)</f>
        <v/>
      </c>
      <c r="Y5" s="18">
        <f>IFERROR(E5/Summary!$B$17,"")</f>
        <v/>
      </c>
      <c r="Z5" s="18">
        <f>IFERROR(O5/Summary!$L$17,"")</f>
        <v/>
      </c>
      <c r="AA5" s="99" t="n">
        <v>46235</v>
      </c>
      <c r="AB5" s="99" t="n">
        <v>46252</v>
      </c>
      <c r="AC5" s="100">
        <f>AB5-AA5+1</f>
        <v/>
      </c>
      <c r="AD5" s="87">
        <f>SUMIFS(Raw_Data!$AC$2:$AC$2552,Raw_Data!$D$2:$D$2552,$A5,Raw_Data!$L$2:$L$2552,$B5)</f>
        <v/>
      </c>
      <c r="AE5" s="87">
        <f>SUMIFS(Raw_Data!$AD$2:$AD$2552,Raw_Data!$D$2:$D$2552,$A5,Raw_Data!$L$2:$L$2552,$B5)</f>
        <v/>
      </c>
      <c r="AF5" s="87">
        <f>SUMIFS(Raw_Data!$AE$2:$AE$2552,Raw_Data!$D$2:$D$2552,$A5,Raw_Data!$L$2:$L$2552,$B5)</f>
        <v/>
      </c>
      <c r="AG5" s="87">
        <f>SUMIFS(Raw_Data!$AF$2:$AF$2552,Raw_Data!$D$2:$D$2552,$A5,Raw_Data!$L$2:$L$2552,$B5)</f>
        <v/>
      </c>
      <c r="AH5" s="87">
        <f>SUMIFS(Raw_Data!$AG$2:$AG$2552,Raw_Data!$D$2:$D$2552,$A5,Raw_Data!$L$2:$L$2552,$B5)</f>
        <v/>
      </c>
      <c r="AI5" s="87">
        <f>SUMIFS(Raw_Data!$AH$2:$AH$2552,Raw_Data!$D$2:$D$2552,$A5,Raw_Data!$L$2:$L$2552,$B5)</f>
        <v/>
      </c>
      <c r="AJ5" s="18">
        <f>IFERROR(AD5/F5,"")</f>
        <v/>
      </c>
      <c r="AK5" s="18">
        <f>IFERROR(AI5/F5,"")</f>
        <v/>
      </c>
      <c r="AL5" s="87">
        <f>SUMIFS(Raw_Data!$AK$2:$AK$2552,Raw_Data!$D$2:$D$2552,$A5,Raw_Data!$L$2:$L$2552,$B5)</f>
        <v/>
      </c>
    </row>
    <row r="6">
      <c r="A6" s="6" t="inlineStr">
        <is>
          <t>Meta (FB/IG)</t>
        </is>
      </c>
      <c r="B6" s="78" t="inlineStr">
        <is>
          <t>AMUR_CAR_4card_SpecStack_v1</t>
        </is>
      </c>
      <c r="C6" s="78" t="inlineStr">
        <is>
          <t>Carousel</t>
        </is>
      </c>
      <c r="D6" s="78" t="inlineStr">
        <is>
          <t>4 reasons the AMUR outsells its class</t>
        </is>
      </c>
      <c r="E6" s="86">
        <f>SUMIFS(Raw_Data!$R$2:$R$2552,Raw_Data!$D$2:$D$2552,$A6,Raw_Data!$L$2:$L$2552,$B6)</f>
        <v/>
      </c>
      <c r="F6" s="87">
        <f>SUMIFS(Raw_Data!$S$2:$S$2552,Raw_Data!$D$2:$D$2552,$A6,Raw_Data!$L$2:$L$2552,$B6)</f>
        <v/>
      </c>
      <c r="G6" s="87">
        <f>SUMIFS(Raw_Data!$T$2:$T$2552,Raw_Data!$D$2:$D$2552,$A6,Raw_Data!$L$2:$L$2552,$B6)</f>
        <v/>
      </c>
      <c r="H6" s="88">
        <f>IFERROR(F6/G6,"")</f>
        <v/>
      </c>
      <c r="I6" s="87">
        <f>SUMIFS(Raw_Data!$W$2:$W$2552,Raw_Data!$D$2:$D$2552,$A6,Raw_Data!$L$2:$L$2552,$B6)</f>
        <v/>
      </c>
      <c r="J6" s="89">
        <f>IFERROR(I6/F6,"")</f>
        <v/>
      </c>
      <c r="K6" s="90">
        <f>IFERROR(E6/I6,"")</f>
        <v/>
      </c>
      <c r="L6" s="90">
        <f>IFERROR(E6/F6*1000,"")</f>
        <v/>
      </c>
      <c r="M6" s="87">
        <f>SUMIFS(Raw_Data!$AA$2:$AA$2552,Raw_Data!$D$2:$D$2552,$A6,Raw_Data!$L$2:$L$2552,$B6)</f>
        <v/>
      </c>
      <c r="N6" s="18">
        <f>IFERROR(M6/I6,"")</f>
        <v/>
      </c>
      <c r="O6" s="87">
        <f>SUMIFS(Raw_Data!$AL$2:$AL$2552,Raw_Data!$D$2:$D$2552,$A6,Raw_Data!$L$2:$L$2552,$B6)</f>
        <v/>
      </c>
      <c r="P6" s="89">
        <f>IFERROR(O6/M6,"")</f>
        <v/>
      </c>
      <c r="Q6" s="86">
        <f>IFERROR(E6/O6,"")</f>
        <v/>
      </c>
      <c r="R6" s="87">
        <f>SUMIFS(Raw_Data!$AO$2:$AO$2552,Raw_Data!$D$2:$D$2552,$A6,Raw_Data!$L$2:$L$2552,$B6)</f>
        <v/>
      </c>
      <c r="S6" s="18">
        <f>IFERROR(R6/O6,"")</f>
        <v/>
      </c>
      <c r="T6" s="86">
        <f>IFERROR(E6/R6,"")</f>
        <v/>
      </c>
      <c r="U6" s="87">
        <f>SUMIFS(Raw_Data!$AR$2:$AR$2552,Raw_Data!$D$2:$D$2552,$A6,Raw_Data!$L$2:$L$2552,$B6)</f>
        <v/>
      </c>
      <c r="V6" s="87">
        <f>SUMIFS(Raw_Data!$AS$2:$AS$2552,Raw_Data!$D$2:$D$2552,$A6,Raw_Data!$L$2:$L$2552,$B6)</f>
        <v/>
      </c>
      <c r="W6" s="87">
        <f>O6+U6</f>
        <v/>
      </c>
      <c r="X6" s="86">
        <f>SUMIFS(Raw_Data!$AU$2:$AU$2552,Raw_Data!$D$2:$D$2552,$A6,Raw_Data!$L$2:$L$2552,$B6)</f>
        <v/>
      </c>
      <c r="Y6" s="18">
        <f>IFERROR(E6/Summary!$B$17,"")</f>
        <v/>
      </c>
      <c r="Z6" s="18">
        <f>IFERROR(O6/Summary!$L$17,"")</f>
        <v/>
      </c>
      <c r="AA6" s="99" t="n">
        <v>46235</v>
      </c>
      <c r="AB6" s="99" t="n">
        <v>46265</v>
      </c>
      <c r="AC6" s="100">
        <f>AB6-AA6+1</f>
        <v/>
      </c>
      <c r="AD6" s="87">
        <f>SUMIFS(Raw_Data!$AC$2:$AC$2552,Raw_Data!$D$2:$D$2552,$A6,Raw_Data!$L$2:$L$2552,$B6)</f>
        <v/>
      </c>
      <c r="AE6" s="87">
        <f>SUMIFS(Raw_Data!$AD$2:$AD$2552,Raw_Data!$D$2:$D$2552,$A6,Raw_Data!$L$2:$L$2552,$B6)</f>
        <v/>
      </c>
      <c r="AF6" s="87">
        <f>SUMIFS(Raw_Data!$AE$2:$AE$2552,Raw_Data!$D$2:$D$2552,$A6,Raw_Data!$L$2:$L$2552,$B6)</f>
        <v/>
      </c>
      <c r="AG6" s="87">
        <f>SUMIFS(Raw_Data!$AF$2:$AF$2552,Raw_Data!$D$2:$D$2552,$A6,Raw_Data!$L$2:$L$2552,$B6)</f>
        <v/>
      </c>
      <c r="AH6" s="87">
        <f>SUMIFS(Raw_Data!$AG$2:$AG$2552,Raw_Data!$D$2:$D$2552,$A6,Raw_Data!$L$2:$L$2552,$B6)</f>
        <v/>
      </c>
      <c r="AI6" s="87">
        <f>SUMIFS(Raw_Data!$AH$2:$AH$2552,Raw_Data!$D$2:$D$2552,$A6,Raw_Data!$L$2:$L$2552,$B6)</f>
        <v/>
      </c>
      <c r="AJ6" s="18">
        <f>IFERROR(AD6/F6,"")</f>
        <v/>
      </c>
      <c r="AK6" s="18">
        <f>IFERROR(AI6/F6,"")</f>
        <v/>
      </c>
      <c r="AL6" s="87">
        <f>SUMIFS(Raw_Data!$AK$2:$AK$2552,Raw_Data!$D$2:$D$2552,$A6,Raw_Data!$L$2:$L$2552,$B6)</f>
        <v/>
      </c>
    </row>
    <row r="7">
      <c r="A7" s="6" t="inlineStr">
        <is>
          <t>Meta (FB/IG)</t>
        </is>
      </c>
      <c r="B7" s="78" t="inlineStr">
        <is>
          <t>AMUR_STA_Offer_0Dep_v1</t>
        </is>
      </c>
      <c r="C7" s="78" t="inlineStr">
        <is>
          <t>Static 1:1</t>
        </is>
      </c>
      <c r="D7" s="78" t="inlineStr">
        <is>
          <t>0% deposit. Book your test drive.</t>
        </is>
      </c>
      <c r="E7" s="86">
        <f>SUMIFS(Raw_Data!$R$2:$R$2552,Raw_Data!$D$2:$D$2552,$A7,Raw_Data!$L$2:$L$2552,$B7)</f>
        <v/>
      </c>
      <c r="F7" s="87">
        <f>SUMIFS(Raw_Data!$S$2:$S$2552,Raw_Data!$D$2:$D$2552,$A7,Raw_Data!$L$2:$L$2552,$B7)</f>
        <v/>
      </c>
      <c r="G7" s="87">
        <f>SUMIFS(Raw_Data!$T$2:$T$2552,Raw_Data!$D$2:$D$2552,$A7,Raw_Data!$L$2:$L$2552,$B7)</f>
        <v/>
      </c>
      <c r="H7" s="88">
        <f>IFERROR(F7/G7,"")</f>
        <v/>
      </c>
      <c r="I7" s="87">
        <f>SUMIFS(Raw_Data!$W$2:$W$2552,Raw_Data!$D$2:$D$2552,$A7,Raw_Data!$L$2:$L$2552,$B7)</f>
        <v/>
      </c>
      <c r="J7" s="89">
        <f>IFERROR(I7/F7,"")</f>
        <v/>
      </c>
      <c r="K7" s="90">
        <f>IFERROR(E7/I7,"")</f>
        <v/>
      </c>
      <c r="L7" s="90">
        <f>IFERROR(E7/F7*1000,"")</f>
        <v/>
      </c>
      <c r="M7" s="87">
        <f>SUMIFS(Raw_Data!$AA$2:$AA$2552,Raw_Data!$D$2:$D$2552,$A7,Raw_Data!$L$2:$L$2552,$B7)</f>
        <v/>
      </c>
      <c r="N7" s="18">
        <f>IFERROR(M7/I7,"")</f>
        <v/>
      </c>
      <c r="O7" s="87">
        <f>SUMIFS(Raw_Data!$AL$2:$AL$2552,Raw_Data!$D$2:$D$2552,$A7,Raw_Data!$L$2:$L$2552,$B7)</f>
        <v/>
      </c>
      <c r="P7" s="89">
        <f>IFERROR(O7/M7,"")</f>
        <v/>
      </c>
      <c r="Q7" s="86">
        <f>IFERROR(E7/O7,"")</f>
        <v/>
      </c>
      <c r="R7" s="87">
        <f>SUMIFS(Raw_Data!$AO$2:$AO$2552,Raw_Data!$D$2:$D$2552,$A7,Raw_Data!$L$2:$L$2552,$B7)</f>
        <v/>
      </c>
      <c r="S7" s="18">
        <f>IFERROR(R7/O7,"")</f>
        <v/>
      </c>
      <c r="T7" s="86">
        <f>IFERROR(E7/R7,"")</f>
        <v/>
      </c>
      <c r="U7" s="87">
        <f>SUMIFS(Raw_Data!$AR$2:$AR$2552,Raw_Data!$D$2:$D$2552,$A7,Raw_Data!$L$2:$L$2552,$B7)</f>
        <v/>
      </c>
      <c r="V7" s="87">
        <f>SUMIFS(Raw_Data!$AS$2:$AS$2552,Raw_Data!$D$2:$D$2552,$A7,Raw_Data!$L$2:$L$2552,$B7)</f>
        <v/>
      </c>
      <c r="W7" s="87">
        <f>O7+U7</f>
        <v/>
      </c>
      <c r="X7" s="86">
        <f>SUMIFS(Raw_Data!$AU$2:$AU$2552,Raw_Data!$D$2:$D$2552,$A7,Raw_Data!$L$2:$L$2552,$B7)</f>
        <v/>
      </c>
      <c r="Y7" s="18">
        <f>IFERROR(E7/Summary!$B$17,"")</f>
        <v/>
      </c>
      <c r="Z7" s="18">
        <f>IFERROR(O7/Summary!$L$17,"")</f>
        <v/>
      </c>
      <c r="AA7" s="99" t="n">
        <v>46235</v>
      </c>
      <c r="AB7" s="99" t="n">
        <v>46265</v>
      </c>
      <c r="AC7" s="100">
        <f>AB7-AA7+1</f>
        <v/>
      </c>
      <c r="AD7" s="87">
        <f>SUMIFS(Raw_Data!$AC$2:$AC$2552,Raw_Data!$D$2:$D$2552,$A7,Raw_Data!$L$2:$L$2552,$B7)</f>
        <v/>
      </c>
      <c r="AE7" s="87">
        <f>SUMIFS(Raw_Data!$AD$2:$AD$2552,Raw_Data!$D$2:$D$2552,$A7,Raw_Data!$L$2:$L$2552,$B7)</f>
        <v/>
      </c>
      <c r="AF7" s="87">
        <f>SUMIFS(Raw_Data!$AE$2:$AE$2552,Raw_Data!$D$2:$D$2552,$A7,Raw_Data!$L$2:$L$2552,$B7)</f>
        <v/>
      </c>
      <c r="AG7" s="87">
        <f>SUMIFS(Raw_Data!$AF$2:$AF$2552,Raw_Data!$D$2:$D$2552,$A7,Raw_Data!$L$2:$L$2552,$B7)</f>
        <v/>
      </c>
      <c r="AH7" s="87">
        <f>SUMIFS(Raw_Data!$AG$2:$AG$2552,Raw_Data!$D$2:$D$2552,$A7,Raw_Data!$L$2:$L$2552,$B7)</f>
        <v/>
      </c>
      <c r="AI7" s="87">
        <f>SUMIFS(Raw_Data!$AH$2:$AH$2552,Raw_Data!$D$2:$D$2552,$A7,Raw_Data!$L$2:$L$2552,$B7)</f>
        <v/>
      </c>
      <c r="AJ7" s="18">
        <f>IFERROR(AD7/F7,"")</f>
        <v/>
      </c>
      <c r="AK7" s="18">
        <f>IFERROR(AI7/F7,"")</f>
        <v/>
      </c>
      <c r="AL7" s="87">
        <f>SUMIFS(Raw_Data!$AK$2:$AK$2552,Raw_Data!$D$2:$D$2552,$A7,Raw_Data!$L$2:$L$2552,$B7)</f>
        <v/>
      </c>
    </row>
    <row r="8">
      <c r="A8" s="6" t="inlineStr">
        <is>
          <t>Meta (FB/IG)</t>
        </is>
      </c>
      <c r="B8" s="78" t="inlineStr">
        <is>
          <t>AMUR_VID_15s_CityDrive_v2</t>
        </is>
      </c>
      <c r="C8" s="78" t="inlineStr">
        <is>
          <t>Video 9:16</t>
        </is>
      </c>
      <c r="D8" s="78" t="inlineStr">
        <is>
          <t>Zero deposit. Real drive. Today.</t>
        </is>
      </c>
      <c r="E8" s="86">
        <f>SUMIFS(Raw_Data!$R$2:$R$2552,Raw_Data!$D$2:$D$2552,$A8,Raw_Data!$L$2:$L$2552,$B8)</f>
        <v/>
      </c>
      <c r="F8" s="87">
        <f>SUMIFS(Raw_Data!$S$2:$S$2552,Raw_Data!$D$2:$D$2552,$A8,Raw_Data!$L$2:$L$2552,$B8)</f>
        <v/>
      </c>
      <c r="G8" s="87">
        <f>SUMIFS(Raw_Data!$T$2:$T$2552,Raw_Data!$D$2:$D$2552,$A8,Raw_Data!$L$2:$L$2552,$B8)</f>
        <v/>
      </c>
      <c r="H8" s="88">
        <f>IFERROR(F8/G8,"")</f>
        <v/>
      </c>
      <c r="I8" s="87">
        <f>SUMIFS(Raw_Data!$W$2:$W$2552,Raw_Data!$D$2:$D$2552,$A8,Raw_Data!$L$2:$L$2552,$B8)</f>
        <v/>
      </c>
      <c r="J8" s="89">
        <f>IFERROR(I8/F8,"")</f>
        <v/>
      </c>
      <c r="K8" s="90">
        <f>IFERROR(E8/I8,"")</f>
        <v/>
      </c>
      <c r="L8" s="90">
        <f>IFERROR(E8/F8*1000,"")</f>
        <v/>
      </c>
      <c r="M8" s="87">
        <f>SUMIFS(Raw_Data!$AA$2:$AA$2552,Raw_Data!$D$2:$D$2552,$A8,Raw_Data!$L$2:$L$2552,$B8)</f>
        <v/>
      </c>
      <c r="N8" s="18">
        <f>IFERROR(M8/I8,"")</f>
        <v/>
      </c>
      <c r="O8" s="87">
        <f>SUMIFS(Raw_Data!$AL$2:$AL$2552,Raw_Data!$D$2:$D$2552,$A8,Raw_Data!$L$2:$L$2552,$B8)</f>
        <v/>
      </c>
      <c r="P8" s="89">
        <f>IFERROR(O8/M8,"")</f>
        <v/>
      </c>
      <c r="Q8" s="86">
        <f>IFERROR(E8/O8,"")</f>
        <v/>
      </c>
      <c r="R8" s="87">
        <f>SUMIFS(Raw_Data!$AO$2:$AO$2552,Raw_Data!$D$2:$D$2552,$A8,Raw_Data!$L$2:$L$2552,$B8)</f>
        <v/>
      </c>
      <c r="S8" s="18">
        <f>IFERROR(R8/O8,"")</f>
        <v/>
      </c>
      <c r="T8" s="86">
        <f>IFERROR(E8/R8,"")</f>
        <v/>
      </c>
      <c r="U8" s="87">
        <f>SUMIFS(Raw_Data!$AR$2:$AR$2552,Raw_Data!$D$2:$D$2552,$A8,Raw_Data!$L$2:$L$2552,$B8)</f>
        <v/>
      </c>
      <c r="V8" s="87">
        <f>SUMIFS(Raw_Data!$AS$2:$AS$2552,Raw_Data!$D$2:$D$2552,$A8,Raw_Data!$L$2:$L$2552,$B8)</f>
        <v/>
      </c>
      <c r="W8" s="87">
        <f>O8+U8</f>
        <v/>
      </c>
      <c r="X8" s="86">
        <f>SUMIFS(Raw_Data!$AU$2:$AU$2552,Raw_Data!$D$2:$D$2552,$A8,Raw_Data!$L$2:$L$2552,$B8)</f>
        <v/>
      </c>
      <c r="Y8" s="18">
        <f>IFERROR(E8/Summary!$B$17,"")</f>
        <v/>
      </c>
      <c r="Z8" s="18">
        <f>IFERROR(O8/Summary!$L$17,"")</f>
        <v/>
      </c>
      <c r="AA8" s="99" t="n">
        <v>46247</v>
      </c>
      <c r="AB8" s="99" t="n">
        <v>46265</v>
      </c>
      <c r="AC8" s="100">
        <f>AB8-AA8+1</f>
        <v/>
      </c>
      <c r="AD8" s="87">
        <f>SUMIFS(Raw_Data!$AC$2:$AC$2552,Raw_Data!$D$2:$D$2552,$A8,Raw_Data!$L$2:$L$2552,$B8)</f>
        <v/>
      </c>
      <c r="AE8" s="87">
        <f>SUMIFS(Raw_Data!$AD$2:$AD$2552,Raw_Data!$D$2:$D$2552,$A8,Raw_Data!$L$2:$L$2552,$B8)</f>
        <v/>
      </c>
      <c r="AF8" s="87">
        <f>SUMIFS(Raw_Data!$AE$2:$AE$2552,Raw_Data!$D$2:$D$2552,$A8,Raw_Data!$L$2:$L$2552,$B8)</f>
        <v/>
      </c>
      <c r="AG8" s="87">
        <f>SUMIFS(Raw_Data!$AF$2:$AF$2552,Raw_Data!$D$2:$D$2552,$A8,Raw_Data!$L$2:$L$2552,$B8)</f>
        <v/>
      </c>
      <c r="AH8" s="87">
        <f>SUMIFS(Raw_Data!$AG$2:$AG$2552,Raw_Data!$D$2:$D$2552,$A8,Raw_Data!$L$2:$L$2552,$B8)</f>
        <v/>
      </c>
      <c r="AI8" s="87">
        <f>SUMIFS(Raw_Data!$AH$2:$AH$2552,Raw_Data!$D$2:$D$2552,$A8,Raw_Data!$L$2:$L$2552,$B8)</f>
        <v/>
      </c>
      <c r="AJ8" s="18">
        <f>IFERROR(AD8/F8,"")</f>
        <v/>
      </c>
      <c r="AK8" s="18">
        <f>IFERROR(AI8/F8,"")</f>
        <v/>
      </c>
      <c r="AL8" s="87">
        <f>SUMIFS(Raw_Data!$AK$2:$AK$2552,Raw_Data!$D$2:$D$2552,$A8,Raw_Data!$L$2:$L$2552,$B8)</f>
        <v/>
      </c>
    </row>
    <row r="9">
      <c r="A9" s="6" t="inlineStr">
        <is>
          <t>Meta (FB/IG)</t>
        </is>
      </c>
      <c r="B9" s="78" t="inlineStr">
        <is>
          <t>AMUR_VID_20s_OwnerStory_v1</t>
        </is>
      </c>
      <c r="C9" s="78" t="inlineStr">
        <is>
          <t>Video 4:5</t>
        </is>
      </c>
      <c r="D9" s="78" t="inlineStr">
        <is>
          <t>She booked a test drive on a Tuesday</t>
        </is>
      </c>
      <c r="E9" s="86">
        <f>SUMIFS(Raw_Data!$R$2:$R$2552,Raw_Data!$D$2:$D$2552,$A9,Raw_Data!$L$2:$L$2552,$B9)</f>
        <v/>
      </c>
      <c r="F9" s="87">
        <f>SUMIFS(Raw_Data!$S$2:$S$2552,Raw_Data!$D$2:$D$2552,$A9,Raw_Data!$L$2:$L$2552,$B9)</f>
        <v/>
      </c>
      <c r="G9" s="87">
        <f>SUMIFS(Raw_Data!$T$2:$T$2552,Raw_Data!$D$2:$D$2552,$A9,Raw_Data!$L$2:$L$2552,$B9)</f>
        <v/>
      </c>
      <c r="H9" s="88">
        <f>IFERROR(F9/G9,"")</f>
        <v/>
      </c>
      <c r="I9" s="87">
        <f>SUMIFS(Raw_Data!$W$2:$W$2552,Raw_Data!$D$2:$D$2552,$A9,Raw_Data!$L$2:$L$2552,$B9)</f>
        <v/>
      </c>
      <c r="J9" s="89">
        <f>IFERROR(I9/F9,"")</f>
        <v/>
      </c>
      <c r="K9" s="90">
        <f>IFERROR(E9/I9,"")</f>
        <v/>
      </c>
      <c r="L9" s="90">
        <f>IFERROR(E9/F9*1000,"")</f>
        <v/>
      </c>
      <c r="M9" s="87">
        <f>SUMIFS(Raw_Data!$AA$2:$AA$2552,Raw_Data!$D$2:$D$2552,$A9,Raw_Data!$L$2:$L$2552,$B9)</f>
        <v/>
      </c>
      <c r="N9" s="18">
        <f>IFERROR(M9/I9,"")</f>
        <v/>
      </c>
      <c r="O9" s="87">
        <f>SUMIFS(Raw_Data!$AL$2:$AL$2552,Raw_Data!$D$2:$D$2552,$A9,Raw_Data!$L$2:$L$2552,$B9)</f>
        <v/>
      </c>
      <c r="P9" s="89">
        <f>IFERROR(O9/M9,"")</f>
        <v/>
      </c>
      <c r="Q9" s="86">
        <f>IFERROR(E9/O9,"")</f>
        <v/>
      </c>
      <c r="R9" s="87">
        <f>SUMIFS(Raw_Data!$AO$2:$AO$2552,Raw_Data!$D$2:$D$2552,$A9,Raw_Data!$L$2:$L$2552,$B9)</f>
        <v/>
      </c>
      <c r="S9" s="18">
        <f>IFERROR(R9/O9,"")</f>
        <v/>
      </c>
      <c r="T9" s="86">
        <f>IFERROR(E9/R9,"")</f>
        <v/>
      </c>
      <c r="U9" s="87">
        <f>SUMIFS(Raw_Data!$AR$2:$AR$2552,Raw_Data!$D$2:$D$2552,$A9,Raw_Data!$L$2:$L$2552,$B9)</f>
        <v/>
      </c>
      <c r="V9" s="87">
        <f>SUMIFS(Raw_Data!$AS$2:$AS$2552,Raw_Data!$D$2:$D$2552,$A9,Raw_Data!$L$2:$L$2552,$B9)</f>
        <v/>
      </c>
      <c r="W9" s="87">
        <f>O9+U9</f>
        <v/>
      </c>
      <c r="X9" s="86">
        <f>SUMIFS(Raw_Data!$AU$2:$AU$2552,Raw_Data!$D$2:$D$2552,$A9,Raw_Data!$L$2:$L$2552,$B9)</f>
        <v/>
      </c>
      <c r="Y9" s="18">
        <f>IFERROR(E9/Summary!$B$17,"")</f>
        <v/>
      </c>
      <c r="Z9" s="18">
        <f>IFERROR(O9/Summary!$L$17,"")</f>
        <v/>
      </c>
      <c r="AA9" s="99" t="n">
        <v>46235</v>
      </c>
      <c r="AB9" s="99" t="n">
        <v>46265</v>
      </c>
      <c r="AC9" s="100">
        <f>AB9-AA9+1</f>
        <v/>
      </c>
      <c r="AD9" s="87">
        <f>SUMIFS(Raw_Data!$AC$2:$AC$2552,Raw_Data!$D$2:$D$2552,$A9,Raw_Data!$L$2:$L$2552,$B9)</f>
        <v/>
      </c>
      <c r="AE9" s="87">
        <f>SUMIFS(Raw_Data!$AD$2:$AD$2552,Raw_Data!$D$2:$D$2552,$A9,Raw_Data!$L$2:$L$2552,$B9)</f>
        <v/>
      </c>
      <c r="AF9" s="87">
        <f>SUMIFS(Raw_Data!$AE$2:$AE$2552,Raw_Data!$D$2:$D$2552,$A9,Raw_Data!$L$2:$L$2552,$B9)</f>
        <v/>
      </c>
      <c r="AG9" s="87">
        <f>SUMIFS(Raw_Data!$AF$2:$AF$2552,Raw_Data!$D$2:$D$2552,$A9,Raw_Data!$L$2:$L$2552,$B9)</f>
        <v/>
      </c>
      <c r="AH9" s="87">
        <f>SUMIFS(Raw_Data!$AG$2:$AG$2552,Raw_Data!$D$2:$D$2552,$A9,Raw_Data!$L$2:$L$2552,$B9)</f>
        <v/>
      </c>
      <c r="AI9" s="87">
        <f>SUMIFS(Raw_Data!$AH$2:$AH$2552,Raw_Data!$D$2:$D$2552,$A9,Raw_Data!$L$2:$L$2552,$B9)</f>
        <v/>
      </c>
      <c r="AJ9" s="18">
        <f>IFERROR(AD9/F9,"")</f>
        <v/>
      </c>
      <c r="AK9" s="18">
        <f>IFERROR(AI9/F9,"")</f>
        <v/>
      </c>
      <c r="AL9" s="87">
        <f>SUMIFS(Raw_Data!$AK$2:$AK$2552,Raw_Data!$D$2:$D$2552,$A9,Raw_Data!$L$2:$L$2552,$B9)</f>
        <v/>
      </c>
    </row>
    <row r="10">
      <c r="A10" s="6" t="inlineStr">
        <is>
          <t>Meta (FB/IG)</t>
        </is>
      </c>
      <c r="B10" s="78" t="inlineStr">
        <is>
          <t>AMUR_STA_Compare_Hatch_v1</t>
        </is>
      </c>
      <c r="C10" s="78" t="inlineStr">
        <is>
          <t>Static 4:5</t>
        </is>
      </c>
      <c r="D10" s="78" t="inlineStr">
        <is>
          <t>Compare before you commit</t>
        </is>
      </c>
      <c r="E10" s="86">
        <f>SUMIFS(Raw_Data!$R$2:$R$2552,Raw_Data!$D$2:$D$2552,$A10,Raw_Data!$L$2:$L$2552,$B10)</f>
        <v/>
      </c>
      <c r="F10" s="87">
        <f>SUMIFS(Raw_Data!$S$2:$S$2552,Raw_Data!$D$2:$D$2552,$A10,Raw_Data!$L$2:$L$2552,$B10)</f>
        <v/>
      </c>
      <c r="G10" s="87">
        <f>SUMIFS(Raw_Data!$T$2:$T$2552,Raw_Data!$D$2:$D$2552,$A10,Raw_Data!$L$2:$L$2552,$B10)</f>
        <v/>
      </c>
      <c r="H10" s="88">
        <f>IFERROR(F10/G10,"")</f>
        <v/>
      </c>
      <c r="I10" s="87">
        <f>SUMIFS(Raw_Data!$W$2:$W$2552,Raw_Data!$D$2:$D$2552,$A10,Raw_Data!$L$2:$L$2552,$B10)</f>
        <v/>
      </c>
      <c r="J10" s="89">
        <f>IFERROR(I10/F10,"")</f>
        <v/>
      </c>
      <c r="K10" s="90">
        <f>IFERROR(E10/I10,"")</f>
        <v/>
      </c>
      <c r="L10" s="90">
        <f>IFERROR(E10/F10*1000,"")</f>
        <v/>
      </c>
      <c r="M10" s="87">
        <f>SUMIFS(Raw_Data!$AA$2:$AA$2552,Raw_Data!$D$2:$D$2552,$A10,Raw_Data!$L$2:$L$2552,$B10)</f>
        <v/>
      </c>
      <c r="N10" s="18">
        <f>IFERROR(M10/I10,"")</f>
        <v/>
      </c>
      <c r="O10" s="87">
        <f>SUMIFS(Raw_Data!$AL$2:$AL$2552,Raw_Data!$D$2:$D$2552,$A10,Raw_Data!$L$2:$L$2552,$B10)</f>
        <v/>
      </c>
      <c r="P10" s="89">
        <f>IFERROR(O10/M10,"")</f>
        <v/>
      </c>
      <c r="Q10" s="86">
        <f>IFERROR(E10/O10,"")</f>
        <v/>
      </c>
      <c r="R10" s="87">
        <f>SUMIFS(Raw_Data!$AO$2:$AO$2552,Raw_Data!$D$2:$D$2552,$A10,Raw_Data!$L$2:$L$2552,$B10)</f>
        <v/>
      </c>
      <c r="S10" s="18">
        <f>IFERROR(R10/O10,"")</f>
        <v/>
      </c>
      <c r="T10" s="86">
        <f>IFERROR(E10/R10,"")</f>
        <v/>
      </c>
      <c r="U10" s="87">
        <f>SUMIFS(Raw_Data!$AR$2:$AR$2552,Raw_Data!$D$2:$D$2552,$A10,Raw_Data!$L$2:$L$2552,$B10)</f>
        <v/>
      </c>
      <c r="V10" s="87">
        <f>SUMIFS(Raw_Data!$AS$2:$AS$2552,Raw_Data!$D$2:$D$2552,$A10,Raw_Data!$L$2:$L$2552,$B10)</f>
        <v/>
      </c>
      <c r="W10" s="87">
        <f>O10+U10</f>
        <v/>
      </c>
      <c r="X10" s="86">
        <f>SUMIFS(Raw_Data!$AU$2:$AU$2552,Raw_Data!$D$2:$D$2552,$A10,Raw_Data!$L$2:$L$2552,$B10)</f>
        <v/>
      </c>
      <c r="Y10" s="18">
        <f>IFERROR(E10/Summary!$B$17,"")</f>
        <v/>
      </c>
      <c r="Z10" s="18">
        <f>IFERROR(O10/Summary!$L$17,"")</f>
        <v/>
      </c>
      <c r="AA10" s="99" t="n">
        <v>46235</v>
      </c>
      <c r="AB10" s="99" t="n">
        <v>46265</v>
      </c>
      <c r="AC10" s="100">
        <f>AB10-AA10+1</f>
        <v/>
      </c>
      <c r="AD10" s="87">
        <f>SUMIFS(Raw_Data!$AC$2:$AC$2552,Raw_Data!$D$2:$D$2552,$A10,Raw_Data!$L$2:$L$2552,$B10)</f>
        <v/>
      </c>
      <c r="AE10" s="87">
        <f>SUMIFS(Raw_Data!$AD$2:$AD$2552,Raw_Data!$D$2:$D$2552,$A10,Raw_Data!$L$2:$L$2552,$B10)</f>
        <v/>
      </c>
      <c r="AF10" s="87">
        <f>SUMIFS(Raw_Data!$AE$2:$AE$2552,Raw_Data!$D$2:$D$2552,$A10,Raw_Data!$L$2:$L$2552,$B10)</f>
        <v/>
      </c>
      <c r="AG10" s="87">
        <f>SUMIFS(Raw_Data!$AF$2:$AF$2552,Raw_Data!$D$2:$D$2552,$A10,Raw_Data!$L$2:$L$2552,$B10)</f>
        <v/>
      </c>
      <c r="AH10" s="87">
        <f>SUMIFS(Raw_Data!$AG$2:$AG$2552,Raw_Data!$D$2:$D$2552,$A10,Raw_Data!$L$2:$L$2552,$B10)</f>
        <v/>
      </c>
      <c r="AI10" s="87">
        <f>SUMIFS(Raw_Data!$AH$2:$AH$2552,Raw_Data!$D$2:$D$2552,$A10,Raw_Data!$L$2:$L$2552,$B10)</f>
        <v/>
      </c>
      <c r="AJ10" s="18">
        <f>IFERROR(AD10/F10,"")</f>
        <v/>
      </c>
      <c r="AK10" s="18">
        <f>IFERROR(AI10/F10,"")</f>
        <v/>
      </c>
      <c r="AL10" s="87">
        <f>SUMIFS(Raw_Data!$AK$2:$AK$2552,Raw_Data!$D$2:$D$2552,$A10,Raw_Data!$L$2:$L$2552,$B10)</f>
        <v/>
      </c>
    </row>
    <row r="11">
      <c r="A11" s="6" t="inlineStr">
        <is>
          <t>Meta (FB/IG)</t>
        </is>
      </c>
      <c r="B11" s="78" t="inlineStr">
        <is>
          <t>JAVAN_VID_20s_FamilyWeekend_v1</t>
        </is>
      </c>
      <c r="C11" s="78" t="inlineStr">
        <is>
          <t>Video 9:16</t>
        </is>
      </c>
      <c r="D11" s="78" t="inlineStr">
        <is>
          <t>The weekend car that works on Monday</t>
        </is>
      </c>
      <c r="E11" s="86">
        <f>SUMIFS(Raw_Data!$R$2:$R$2552,Raw_Data!$D$2:$D$2552,$A11,Raw_Data!$L$2:$L$2552,$B11)</f>
        <v/>
      </c>
      <c r="F11" s="87">
        <f>SUMIFS(Raw_Data!$S$2:$S$2552,Raw_Data!$D$2:$D$2552,$A11,Raw_Data!$L$2:$L$2552,$B11)</f>
        <v/>
      </c>
      <c r="G11" s="87">
        <f>SUMIFS(Raw_Data!$T$2:$T$2552,Raw_Data!$D$2:$D$2552,$A11,Raw_Data!$L$2:$L$2552,$B11)</f>
        <v/>
      </c>
      <c r="H11" s="88">
        <f>IFERROR(F11/G11,"")</f>
        <v/>
      </c>
      <c r="I11" s="87">
        <f>SUMIFS(Raw_Data!$W$2:$W$2552,Raw_Data!$D$2:$D$2552,$A11,Raw_Data!$L$2:$L$2552,$B11)</f>
        <v/>
      </c>
      <c r="J11" s="89">
        <f>IFERROR(I11/F11,"")</f>
        <v/>
      </c>
      <c r="K11" s="90">
        <f>IFERROR(E11/I11,"")</f>
        <v/>
      </c>
      <c r="L11" s="90">
        <f>IFERROR(E11/F11*1000,"")</f>
        <v/>
      </c>
      <c r="M11" s="87">
        <f>SUMIFS(Raw_Data!$AA$2:$AA$2552,Raw_Data!$D$2:$D$2552,$A11,Raw_Data!$L$2:$L$2552,$B11)</f>
        <v/>
      </c>
      <c r="N11" s="18">
        <f>IFERROR(M11/I11,"")</f>
        <v/>
      </c>
      <c r="O11" s="87">
        <f>SUMIFS(Raw_Data!$AL$2:$AL$2552,Raw_Data!$D$2:$D$2552,$A11,Raw_Data!$L$2:$L$2552,$B11)</f>
        <v/>
      </c>
      <c r="P11" s="89">
        <f>IFERROR(O11/M11,"")</f>
        <v/>
      </c>
      <c r="Q11" s="86">
        <f>IFERROR(E11/O11,"")</f>
        <v/>
      </c>
      <c r="R11" s="87">
        <f>SUMIFS(Raw_Data!$AO$2:$AO$2552,Raw_Data!$D$2:$D$2552,$A11,Raw_Data!$L$2:$L$2552,$B11)</f>
        <v/>
      </c>
      <c r="S11" s="18">
        <f>IFERROR(R11/O11,"")</f>
        <v/>
      </c>
      <c r="T11" s="86">
        <f>IFERROR(E11/R11,"")</f>
        <v/>
      </c>
      <c r="U11" s="87">
        <f>SUMIFS(Raw_Data!$AR$2:$AR$2552,Raw_Data!$D$2:$D$2552,$A11,Raw_Data!$L$2:$L$2552,$B11)</f>
        <v/>
      </c>
      <c r="V11" s="87">
        <f>SUMIFS(Raw_Data!$AS$2:$AS$2552,Raw_Data!$D$2:$D$2552,$A11,Raw_Data!$L$2:$L$2552,$B11)</f>
        <v/>
      </c>
      <c r="W11" s="87">
        <f>O11+U11</f>
        <v/>
      </c>
      <c r="X11" s="86">
        <f>SUMIFS(Raw_Data!$AU$2:$AU$2552,Raw_Data!$D$2:$D$2552,$A11,Raw_Data!$L$2:$L$2552,$B11)</f>
        <v/>
      </c>
      <c r="Y11" s="18">
        <f>IFERROR(E11/Summary!$B$17,"")</f>
        <v/>
      </c>
      <c r="Z11" s="18">
        <f>IFERROR(O11/Summary!$L$17,"")</f>
        <v/>
      </c>
      <c r="AA11" s="99" t="n">
        <v>46235</v>
      </c>
      <c r="AB11" s="99" t="n">
        <v>46254</v>
      </c>
      <c r="AC11" s="100">
        <f>AB11-AA11+1</f>
        <v/>
      </c>
      <c r="AD11" s="87">
        <f>SUMIFS(Raw_Data!$AC$2:$AC$2552,Raw_Data!$D$2:$D$2552,$A11,Raw_Data!$L$2:$L$2552,$B11)</f>
        <v/>
      </c>
      <c r="AE11" s="87">
        <f>SUMIFS(Raw_Data!$AD$2:$AD$2552,Raw_Data!$D$2:$D$2552,$A11,Raw_Data!$L$2:$L$2552,$B11)</f>
        <v/>
      </c>
      <c r="AF11" s="87">
        <f>SUMIFS(Raw_Data!$AE$2:$AE$2552,Raw_Data!$D$2:$D$2552,$A11,Raw_Data!$L$2:$L$2552,$B11)</f>
        <v/>
      </c>
      <c r="AG11" s="87">
        <f>SUMIFS(Raw_Data!$AF$2:$AF$2552,Raw_Data!$D$2:$D$2552,$A11,Raw_Data!$L$2:$L$2552,$B11)</f>
        <v/>
      </c>
      <c r="AH11" s="87">
        <f>SUMIFS(Raw_Data!$AG$2:$AG$2552,Raw_Data!$D$2:$D$2552,$A11,Raw_Data!$L$2:$L$2552,$B11)</f>
        <v/>
      </c>
      <c r="AI11" s="87">
        <f>SUMIFS(Raw_Data!$AH$2:$AH$2552,Raw_Data!$D$2:$D$2552,$A11,Raw_Data!$L$2:$L$2552,$B11)</f>
        <v/>
      </c>
      <c r="AJ11" s="18">
        <f>IFERROR(AD11/F11,"")</f>
        <v/>
      </c>
      <c r="AK11" s="18">
        <f>IFERROR(AI11/F11,"")</f>
        <v/>
      </c>
      <c r="AL11" s="87">
        <f>SUMIFS(Raw_Data!$AK$2:$AK$2552,Raw_Data!$D$2:$D$2552,$A11,Raw_Data!$L$2:$L$2552,$B11)</f>
        <v/>
      </c>
    </row>
    <row r="12">
      <c r="A12" s="6" t="inlineStr">
        <is>
          <t>Meta (FB/IG)</t>
        </is>
      </c>
      <c r="B12" s="78" t="inlineStr">
        <is>
          <t>JAVAN_STA_Offer_10Dep_v1</t>
        </is>
      </c>
      <c r="C12" s="78" t="inlineStr">
        <is>
          <t>Static 1:1</t>
        </is>
      </c>
      <c r="D12" s="78" t="inlineStr">
        <is>
          <t>R4 299pm. 10% deposit.</t>
        </is>
      </c>
      <c r="E12" s="86">
        <f>SUMIFS(Raw_Data!$R$2:$R$2552,Raw_Data!$D$2:$D$2552,$A12,Raw_Data!$L$2:$L$2552,$B12)</f>
        <v/>
      </c>
      <c r="F12" s="87">
        <f>SUMIFS(Raw_Data!$S$2:$S$2552,Raw_Data!$D$2:$D$2552,$A12,Raw_Data!$L$2:$L$2552,$B12)</f>
        <v/>
      </c>
      <c r="G12" s="87">
        <f>SUMIFS(Raw_Data!$T$2:$T$2552,Raw_Data!$D$2:$D$2552,$A12,Raw_Data!$L$2:$L$2552,$B12)</f>
        <v/>
      </c>
      <c r="H12" s="88">
        <f>IFERROR(F12/G12,"")</f>
        <v/>
      </c>
      <c r="I12" s="87">
        <f>SUMIFS(Raw_Data!$W$2:$W$2552,Raw_Data!$D$2:$D$2552,$A12,Raw_Data!$L$2:$L$2552,$B12)</f>
        <v/>
      </c>
      <c r="J12" s="89">
        <f>IFERROR(I12/F12,"")</f>
        <v/>
      </c>
      <c r="K12" s="90">
        <f>IFERROR(E12/I12,"")</f>
        <v/>
      </c>
      <c r="L12" s="90">
        <f>IFERROR(E12/F12*1000,"")</f>
        <v/>
      </c>
      <c r="M12" s="87">
        <f>SUMIFS(Raw_Data!$AA$2:$AA$2552,Raw_Data!$D$2:$D$2552,$A12,Raw_Data!$L$2:$L$2552,$B12)</f>
        <v/>
      </c>
      <c r="N12" s="18">
        <f>IFERROR(M12/I12,"")</f>
        <v/>
      </c>
      <c r="O12" s="87">
        <f>SUMIFS(Raw_Data!$AL$2:$AL$2552,Raw_Data!$D$2:$D$2552,$A12,Raw_Data!$L$2:$L$2552,$B12)</f>
        <v/>
      </c>
      <c r="P12" s="89">
        <f>IFERROR(O12/M12,"")</f>
        <v/>
      </c>
      <c r="Q12" s="86">
        <f>IFERROR(E12/O12,"")</f>
        <v/>
      </c>
      <c r="R12" s="87">
        <f>SUMIFS(Raw_Data!$AO$2:$AO$2552,Raw_Data!$D$2:$D$2552,$A12,Raw_Data!$L$2:$L$2552,$B12)</f>
        <v/>
      </c>
      <c r="S12" s="18">
        <f>IFERROR(R12/O12,"")</f>
        <v/>
      </c>
      <c r="T12" s="86">
        <f>IFERROR(E12/R12,"")</f>
        <v/>
      </c>
      <c r="U12" s="87">
        <f>SUMIFS(Raw_Data!$AR$2:$AR$2552,Raw_Data!$D$2:$D$2552,$A12,Raw_Data!$L$2:$L$2552,$B12)</f>
        <v/>
      </c>
      <c r="V12" s="87">
        <f>SUMIFS(Raw_Data!$AS$2:$AS$2552,Raw_Data!$D$2:$D$2552,$A12,Raw_Data!$L$2:$L$2552,$B12)</f>
        <v/>
      </c>
      <c r="W12" s="87">
        <f>O12+U12</f>
        <v/>
      </c>
      <c r="X12" s="86">
        <f>SUMIFS(Raw_Data!$AU$2:$AU$2552,Raw_Data!$D$2:$D$2552,$A12,Raw_Data!$L$2:$L$2552,$B12)</f>
        <v/>
      </c>
      <c r="Y12" s="18">
        <f>IFERROR(E12/Summary!$B$17,"")</f>
        <v/>
      </c>
      <c r="Z12" s="18">
        <f>IFERROR(O12/Summary!$L$17,"")</f>
        <v/>
      </c>
      <c r="AA12" s="99" t="n">
        <v>46235</v>
      </c>
      <c r="AB12" s="99" t="n">
        <v>46265</v>
      </c>
      <c r="AC12" s="100">
        <f>AB12-AA12+1</f>
        <v/>
      </c>
      <c r="AD12" s="87">
        <f>SUMIFS(Raw_Data!$AC$2:$AC$2552,Raw_Data!$D$2:$D$2552,$A12,Raw_Data!$L$2:$L$2552,$B12)</f>
        <v/>
      </c>
      <c r="AE12" s="87">
        <f>SUMIFS(Raw_Data!$AD$2:$AD$2552,Raw_Data!$D$2:$D$2552,$A12,Raw_Data!$L$2:$L$2552,$B12)</f>
        <v/>
      </c>
      <c r="AF12" s="87">
        <f>SUMIFS(Raw_Data!$AE$2:$AE$2552,Raw_Data!$D$2:$D$2552,$A12,Raw_Data!$L$2:$L$2552,$B12)</f>
        <v/>
      </c>
      <c r="AG12" s="87">
        <f>SUMIFS(Raw_Data!$AF$2:$AF$2552,Raw_Data!$D$2:$D$2552,$A12,Raw_Data!$L$2:$L$2552,$B12)</f>
        <v/>
      </c>
      <c r="AH12" s="87">
        <f>SUMIFS(Raw_Data!$AG$2:$AG$2552,Raw_Data!$D$2:$D$2552,$A12,Raw_Data!$L$2:$L$2552,$B12)</f>
        <v/>
      </c>
      <c r="AI12" s="87">
        <f>SUMIFS(Raw_Data!$AH$2:$AH$2552,Raw_Data!$D$2:$D$2552,$A12,Raw_Data!$L$2:$L$2552,$B12)</f>
        <v/>
      </c>
      <c r="AJ12" s="18">
        <f>IFERROR(AD12/F12,"")</f>
        <v/>
      </c>
      <c r="AK12" s="18">
        <f>IFERROR(AI12/F12,"")</f>
        <v/>
      </c>
      <c r="AL12" s="87">
        <f>SUMIFS(Raw_Data!$AK$2:$AK$2552,Raw_Data!$D$2:$D$2552,$A12,Raw_Data!$L$2:$L$2552,$B12)</f>
        <v/>
      </c>
    </row>
    <row r="13">
      <c r="A13" s="6" t="inlineStr">
        <is>
          <t>Meta (FB/IG)</t>
        </is>
      </c>
      <c r="B13" s="78" t="inlineStr">
        <is>
          <t>JAVAN_VID_20s_FamilyWeekend_v2</t>
        </is>
      </c>
      <c r="C13" s="78" t="inlineStr">
        <is>
          <t>Video 9:16</t>
        </is>
      </c>
      <c r="D13" s="78" t="inlineStr">
        <is>
          <t>School run to sunset drive</t>
        </is>
      </c>
      <c r="E13" s="86">
        <f>SUMIFS(Raw_Data!$R$2:$R$2552,Raw_Data!$D$2:$D$2552,$A13,Raw_Data!$L$2:$L$2552,$B13)</f>
        <v/>
      </c>
      <c r="F13" s="87">
        <f>SUMIFS(Raw_Data!$S$2:$S$2552,Raw_Data!$D$2:$D$2552,$A13,Raw_Data!$L$2:$L$2552,$B13)</f>
        <v/>
      </c>
      <c r="G13" s="87">
        <f>SUMIFS(Raw_Data!$T$2:$T$2552,Raw_Data!$D$2:$D$2552,$A13,Raw_Data!$L$2:$L$2552,$B13)</f>
        <v/>
      </c>
      <c r="H13" s="88">
        <f>IFERROR(F13/G13,"")</f>
        <v/>
      </c>
      <c r="I13" s="87">
        <f>SUMIFS(Raw_Data!$W$2:$W$2552,Raw_Data!$D$2:$D$2552,$A13,Raw_Data!$L$2:$L$2552,$B13)</f>
        <v/>
      </c>
      <c r="J13" s="89">
        <f>IFERROR(I13/F13,"")</f>
        <v/>
      </c>
      <c r="K13" s="90">
        <f>IFERROR(E13/I13,"")</f>
        <v/>
      </c>
      <c r="L13" s="90">
        <f>IFERROR(E13/F13*1000,"")</f>
        <v/>
      </c>
      <c r="M13" s="87">
        <f>SUMIFS(Raw_Data!$AA$2:$AA$2552,Raw_Data!$D$2:$D$2552,$A13,Raw_Data!$L$2:$L$2552,$B13)</f>
        <v/>
      </c>
      <c r="N13" s="18">
        <f>IFERROR(M13/I13,"")</f>
        <v/>
      </c>
      <c r="O13" s="87">
        <f>SUMIFS(Raw_Data!$AL$2:$AL$2552,Raw_Data!$D$2:$D$2552,$A13,Raw_Data!$L$2:$L$2552,$B13)</f>
        <v/>
      </c>
      <c r="P13" s="89">
        <f>IFERROR(O13/M13,"")</f>
        <v/>
      </c>
      <c r="Q13" s="86">
        <f>IFERROR(E13/O13,"")</f>
        <v/>
      </c>
      <c r="R13" s="87">
        <f>SUMIFS(Raw_Data!$AO$2:$AO$2552,Raw_Data!$D$2:$D$2552,$A13,Raw_Data!$L$2:$L$2552,$B13)</f>
        <v/>
      </c>
      <c r="S13" s="18">
        <f>IFERROR(R13/O13,"")</f>
        <v/>
      </c>
      <c r="T13" s="86">
        <f>IFERROR(E13/R13,"")</f>
        <v/>
      </c>
      <c r="U13" s="87">
        <f>SUMIFS(Raw_Data!$AR$2:$AR$2552,Raw_Data!$D$2:$D$2552,$A13,Raw_Data!$L$2:$L$2552,$B13)</f>
        <v/>
      </c>
      <c r="V13" s="87">
        <f>SUMIFS(Raw_Data!$AS$2:$AS$2552,Raw_Data!$D$2:$D$2552,$A13,Raw_Data!$L$2:$L$2552,$B13)</f>
        <v/>
      </c>
      <c r="W13" s="87">
        <f>O13+U13</f>
        <v/>
      </c>
      <c r="X13" s="86">
        <f>SUMIFS(Raw_Data!$AU$2:$AU$2552,Raw_Data!$D$2:$D$2552,$A13,Raw_Data!$L$2:$L$2552,$B13)</f>
        <v/>
      </c>
      <c r="Y13" s="18">
        <f>IFERROR(E13/Summary!$B$17,"")</f>
        <v/>
      </c>
      <c r="Z13" s="18">
        <f>IFERROR(O13/Summary!$L$17,"")</f>
        <v/>
      </c>
      <c r="AA13" s="99" t="n">
        <v>46249</v>
      </c>
      <c r="AB13" s="99" t="n">
        <v>46265</v>
      </c>
      <c r="AC13" s="100">
        <f>AB13-AA13+1</f>
        <v/>
      </c>
      <c r="AD13" s="87">
        <f>SUMIFS(Raw_Data!$AC$2:$AC$2552,Raw_Data!$D$2:$D$2552,$A13,Raw_Data!$L$2:$L$2552,$B13)</f>
        <v/>
      </c>
      <c r="AE13" s="87">
        <f>SUMIFS(Raw_Data!$AD$2:$AD$2552,Raw_Data!$D$2:$D$2552,$A13,Raw_Data!$L$2:$L$2552,$B13)</f>
        <v/>
      </c>
      <c r="AF13" s="87">
        <f>SUMIFS(Raw_Data!$AE$2:$AE$2552,Raw_Data!$D$2:$D$2552,$A13,Raw_Data!$L$2:$L$2552,$B13)</f>
        <v/>
      </c>
      <c r="AG13" s="87">
        <f>SUMIFS(Raw_Data!$AF$2:$AF$2552,Raw_Data!$D$2:$D$2552,$A13,Raw_Data!$L$2:$L$2552,$B13)</f>
        <v/>
      </c>
      <c r="AH13" s="87">
        <f>SUMIFS(Raw_Data!$AG$2:$AG$2552,Raw_Data!$D$2:$D$2552,$A13,Raw_Data!$L$2:$L$2552,$B13)</f>
        <v/>
      </c>
      <c r="AI13" s="87">
        <f>SUMIFS(Raw_Data!$AH$2:$AH$2552,Raw_Data!$D$2:$D$2552,$A13,Raw_Data!$L$2:$L$2552,$B13)</f>
        <v/>
      </c>
      <c r="AJ13" s="18">
        <f>IFERROR(AD13/F13,"")</f>
        <v/>
      </c>
      <c r="AK13" s="18">
        <f>IFERROR(AI13/F13,"")</f>
        <v/>
      </c>
      <c r="AL13" s="87">
        <f>SUMIFS(Raw_Data!$AK$2:$AK$2552,Raw_Data!$D$2:$D$2552,$A13,Raw_Data!$L$2:$L$2552,$B13)</f>
        <v/>
      </c>
    </row>
    <row r="14">
      <c r="A14" s="6" t="inlineStr">
        <is>
          <t>Meta (FB/IG)</t>
        </is>
      </c>
      <c r="B14" s="78" t="inlineStr">
        <is>
          <t>JAVAN_CAR_5card_Interior_v1</t>
        </is>
      </c>
      <c r="C14" s="78" t="inlineStr">
        <is>
          <t>Carousel</t>
        </is>
      </c>
      <c r="D14" s="78" t="inlineStr">
        <is>
          <t>Step inside the JAVAN</t>
        </is>
      </c>
      <c r="E14" s="86">
        <f>SUMIFS(Raw_Data!$R$2:$R$2552,Raw_Data!$D$2:$D$2552,$A14,Raw_Data!$L$2:$L$2552,$B14)</f>
        <v/>
      </c>
      <c r="F14" s="87">
        <f>SUMIFS(Raw_Data!$S$2:$S$2552,Raw_Data!$D$2:$D$2552,$A14,Raw_Data!$L$2:$L$2552,$B14)</f>
        <v/>
      </c>
      <c r="G14" s="87">
        <f>SUMIFS(Raw_Data!$T$2:$T$2552,Raw_Data!$D$2:$D$2552,$A14,Raw_Data!$L$2:$L$2552,$B14)</f>
        <v/>
      </c>
      <c r="H14" s="88">
        <f>IFERROR(F14/G14,"")</f>
        <v/>
      </c>
      <c r="I14" s="87">
        <f>SUMIFS(Raw_Data!$W$2:$W$2552,Raw_Data!$D$2:$D$2552,$A14,Raw_Data!$L$2:$L$2552,$B14)</f>
        <v/>
      </c>
      <c r="J14" s="89">
        <f>IFERROR(I14/F14,"")</f>
        <v/>
      </c>
      <c r="K14" s="90">
        <f>IFERROR(E14/I14,"")</f>
        <v/>
      </c>
      <c r="L14" s="90">
        <f>IFERROR(E14/F14*1000,"")</f>
        <v/>
      </c>
      <c r="M14" s="87">
        <f>SUMIFS(Raw_Data!$AA$2:$AA$2552,Raw_Data!$D$2:$D$2552,$A14,Raw_Data!$L$2:$L$2552,$B14)</f>
        <v/>
      </c>
      <c r="N14" s="18">
        <f>IFERROR(M14/I14,"")</f>
        <v/>
      </c>
      <c r="O14" s="87">
        <f>SUMIFS(Raw_Data!$AL$2:$AL$2552,Raw_Data!$D$2:$D$2552,$A14,Raw_Data!$L$2:$L$2552,$B14)</f>
        <v/>
      </c>
      <c r="P14" s="89">
        <f>IFERROR(O14/M14,"")</f>
        <v/>
      </c>
      <c r="Q14" s="86">
        <f>IFERROR(E14/O14,"")</f>
        <v/>
      </c>
      <c r="R14" s="87">
        <f>SUMIFS(Raw_Data!$AO$2:$AO$2552,Raw_Data!$D$2:$D$2552,$A14,Raw_Data!$L$2:$L$2552,$B14)</f>
        <v/>
      </c>
      <c r="S14" s="18">
        <f>IFERROR(R14/O14,"")</f>
        <v/>
      </c>
      <c r="T14" s="86">
        <f>IFERROR(E14/R14,"")</f>
        <v/>
      </c>
      <c r="U14" s="87">
        <f>SUMIFS(Raw_Data!$AR$2:$AR$2552,Raw_Data!$D$2:$D$2552,$A14,Raw_Data!$L$2:$L$2552,$B14)</f>
        <v/>
      </c>
      <c r="V14" s="87">
        <f>SUMIFS(Raw_Data!$AS$2:$AS$2552,Raw_Data!$D$2:$D$2552,$A14,Raw_Data!$L$2:$L$2552,$B14)</f>
        <v/>
      </c>
      <c r="W14" s="87">
        <f>O14+U14</f>
        <v/>
      </c>
      <c r="X14" s="86">
        <f>SUMIFS(Raw_Data!$AU$2:$AU$2552,Raw_Data!$D$2:$D$2552,$A14,Raw_Data!$L$2:$L$2552,$B14)</f>
        <v/>
      </c>
      <c r="Y14" s="18">
        <f>IFERROR(E14/Summary!$B$17,"")</f>
        <v/>
      </c>
      <c r="Z14" s="18">
        <f>IFERROR(O14/Summary!$L$17,"")</f>
        <v/>
      </c>
      <c r="AA14" s="99" t="n">
        <v>46235</v>
      </c>
      <c r="AB14" s="99" t="n">
        <v>46265</v>
      </c>
      <c r="AC14" s="100">
        <f>AB14-AA14+1</f>
        <v/>
      </c>
      <c r="AD14" s="87">
        <f>SUMIFS(Raw_Data!$AC$2:$AC$2552,Raw_Data!$D$2:$D$2552,$A14,Raw_Data!$L$2:$L$2552,$B14)</f>
        <v/>
      </c>
      <c r="AE14" s="87">
        <f>SUMIFS(Raw_Data!$AD$2:$AD$2552,Raw_Data!$D$2:$D$2552,$A14,Raw_Data!$L$2:$L$2552,$B14)</f>
        <v/>
      </c>
      <c r="AF14" s="87">
        <f>SUMIFS(Raw_Data!$AE$2:$AE$2552,Raw_Data!$D$2:$D$2552,$A14,Raw_Data!$L$2:$L$2552,$B14)</f>
        <v/>
      </c>
      <c r="AG14" s="87">
        <f>SUMIFS(Raw_Data!$AF$2:$AF$2552,Raw_Data!$D$2:$D$2552,$A14,Raw_Data!$L$2:$L$2552,$B14)</f>
        <v/>
      </c>
      <c r="AH14" s="87">
        <f>SUMIFS(Raw_Data!$AG$2:$AG$2552,Raw_Data!$D$2:$D$2552,$A14,Raw_Data!$L$2:$L$2552,$B14)</f>
        <v/>
      </c>
      <c r="AI14" s="87">
        <f>SUMIFS(Raw_Data!$AH$2:$AH$2552,Raw_Data!$D$2:$D$2552,$A14,Raw_Data!$L$2:$L$2552,$B14)</f>
        <v/>
      </c>
      <c r="AJ14" s="18">
        <f>IFERROR(AD14/F14,"")</f>
        <v/>
      </c>
      <c r="AK14" s="18">
        <f>IFERROR(AI14/F14,"")</f>
        <v/>
      </c>
      <c r="AL14" s="87">
        <f>SUMIFS(Raw_Data!$AK$2:$AK$2552,Raw_Data!$D$2:$D$2552,$A14,Raw_Data!$L$2:$L$2552,$B14)</f>
        <v/>
      </c>
    </row>
    <row r="15">
      <c r="A15" s="6" t="inlineStr">
        <is>
          <t>Meta (FB/IG)</t>
        </is>
      </c>
      <c r="B15" s="78" t="inlineStr">
        <is>
          <t>JAVAN_VID_15s_DCT_Tech_v1</t>
        </is>
      </c>
      <c r="C15" s="78" t="inlineStr">
        <is>
          <t>Video 4:5</t>
        </is>
      </c>
      <c r="D15" s="78" t="inlineStr">
        <is>
          <t>1.5T DCT. Explained in 15 seconds.</t>
        </is>
      </c>
      <c r="E15" s="86">
        <f>SUMIFS(Raw_Data!$R$2:$R$2552,Raw_Data!$D$2:$D$2552,$A15,Raw_Data!$L$2:$L$2552,$B15)</f>
        <v/>
      </c>
      <c r="F15" s="87">
        <f>SUMIFS(Raw_Data!$S$2:$S$2552,Raw_Data!$D$2:$D$2552,$A15,Raw_Data!$L$2:$L$2552,$B15)</f>
        <v/>
      </c>
      <c r="G15" s="87">
        <f>SUMIFS(Raw_Data!$T$2:$T$2552,Raw_Data!$D$2:$D$2552,$A15,Raw_Data!$L$2:$L$2552,$B15)</f>
        <v/>
      </c>
      <c r="H15" s="88">
        <f>IFERROR(F15/G15,"")</f>
        <v/>
      </c>
      <c r="I15" s="87">
        <f>SUMIFS(Raw_Data!$W$2:$W$2552,Raw_Data!$D$2:$D$2552,$A15,Raw_Data!$L$2:$L$2552,$B15)</f>
        <v/>
      </c>
      <c r="J15" s="89">
        <f>IFERROR(I15/F15,"")</f>
        <v/>
      </c>
      <c r="K15" s="90">
        <f>IFERROR(E15/I15,"")</f>
        <v/>
      </c>
      <c r="L15" s="90">
        <f>IFERROR(E15/F15*1000,"")</f>
        <v/>
      </c>
      <c r="M15" s="87">
        <f>SUMIFS(Raw_Data!$AA$2:$AA$2552,Raw_Data!$D$2:$D$2552,$A15,Raw_Data!$L$2:$L$2552,$B15)</f>
        <v/>
      </c>
      <c r="N15" s="18">
        <f>IFERROR(M15/I15,"")</f>
        <v/>
      </c>
      <c r="O15" s="87">
        <f>SUMIFS(Raw_Data!$AL$2:$AL$2552,Raw_Data!$D$2:$D$2552,$A15,Raw_Data!$L$2:$L$2552,$B15)</f>
        <v/>
      </c>
      <c r="P15" s="89">
        <f>IFERROR(O15/M15,"")</f>
        <v/>
      </c>
      <c r="Q15" s="86">
        <f>IFERROR(E15/O15,"")</f>
        <v/>
      </c>
      <c r="R15" s="87">
        <f>SUMIFS(Raw_Data!$AO$2:$AO$2552,Raw_Data!$D$2:$D$2552,$A15,Raw_Data!$L$2:$L$2552,$B15)</f>
        <v/>
      </c>
      <c r="S15" s="18">
        <f>IFERROR(R15/O15,"")</f>
        <v/>
      </c>
      <c r="T15" s="86">
        <f>IFERROR(E15/R15,"")</f>
        <v/>
      </c>
      <c r="U15" s="87">
        <f>SUMIFS(Raw_Data!$AR$2:$AR$2552,Raw_Data!$D$2:$D$2552,$A15,Raw_Data!$L$2:$L$2552,$B15)</f>
        <v/>
      </c>
      <c r="V15" s="87">
        <f>SUMIFS(Raw_Data!$AS$2:$AS$2552,Raw_Data!$D$2:$D$2552,$A15,Raw_Data!$L$2:$L$2552,$B15)</f>
        <v/>
      </c>
      <c r="W15" s="87">
        <f>O15+U15</f>
        <v/>
      </c>
      <c r="X15" s="86">
        <f>SUMIFS(Raw_Data!$AU$2:$AU$2552,Raw_Data!$D$2:$D$2552,$A15,Raw_Data!$L$2:$L$2552,$B15)</f>
        <v/>
      </c>
      <c r="Y15" s="18">
        <f>IFERROR(E15/Summary!$B$17,"")</f>
        <v/>
      </c>
      <c r="Z15" s="18">
        <f>IFERROR(O15/Summary!$L$17,"")</f>
        <v/>
      </c>
      <c r="AA15" s="99" t="n">
        <v>46235</v>
      </c>
      <c r="AB15" s="99" t="n">
        <v>46265</v>
      </c>
      <c r="AC15" s="100">
        <f>AB15-AA15+1</f>
        <v/>
      </c>
      <c r="AD15" s="87">
        <f>SUMIFS(Raw_Data!$AC$2:$AC$2552,Raw_Data!$D$2:$D$2552,$A15,Raw_Data!$L$2:$L$2552,$B15)</f>
        <v/>
      </c>
      <c r="AE15" s="87">
        <f>SUMIFS(Raw_Data!$AD$2:$AD$2552,Raw_Data!$D$2:$D$2552,$A15,Raw_Data!$L$2:$L$2552,$B15)</f>
        <v/>
      </c>
      <c r="AF15" s="87">
        <f>SUMIFS(Raw_Data!$AE$2:$AE$2552,Raw_Data!$D$2:$D$2552,$A15,Raw_Data!$L$2:$L$2552,$B15)</f>
        <v/>
      </c>
      <c r="AG15" s="87">
        <f>SUMIFS(Raw_Data!$AF$2:$AF$2552,Raw_Data!$D$2:$D$2552,$A15,Raw_Data!$L$2:$L$2552,$B15)</f>
        <v/>
      </c>
      <c r="AH15" s="87">
        <f>SUMIFS(Raw_Data!$AG$2:$AG$2552,Raw_Data!$D$2:$D$2552,$A15,Raw_Data!$L$2:$L$2552,$B15)</f>
        <v/>
      </c>
      <c r="AI15" s="87">
        <f>SUMIFS(Raw_Data!$AH$2:$AH$2552,Raw_Data!$D$2:$D$2552,$A15,Raw_Data!$L$2:$L$2552,$B15)</f>
        <v/>
      </c>
      <c r="AJ15" s="18">
        <f>IFERROR(AD15/F15,"")</f>
        <v/>
      </c>
      <c r="AK15" s="18">
        <f>IFERROR(AI15/F15,"")</f>
        <v/>
      </c>
      <c r="AL15" s="87">
        <f>SUMIFS(Raw_Data!$AK$2:$AK$2552,Raw_Data!$D$2:$D$2552,$A15,Raw_Data!$L$2:$L$2552,$B15)</f>
        <v/>
      </c>
    </row>
    <row r="16">
      <c r="A16" s="6" t="inlineStr">
        <is>
          <t>Meta (FB/IG)</t>
        </is>
      </c>
      <c r="B16" s="78" t="inlineStr">
        <is>
          <t>JAVAN_STA_Compare_SUV_v1</t>
        </is>
      </c>
      <c r="C16" s="78" t="inlineStr">
        <is>
          <t>Static 4:5</t>
        </is>
      </c>
      <c r="D16" s="78" t="inlineStr">
        <is>
          <t>JAVAN vs the usual suspects</t>
        </is>
      </c>
      <c r="E16" s="86">
        <f>SUMIFS(Raw_Data!$R$2:$R$2552,Raw_Data!$D$2:$D$2552,$A16,Raw_Data!$L$2:$L$2552,$B16)</f>
        <v/>
      </c>
      <c r="F16" s="87">
        <f>SUMIFS(Raw_Data!$S$2:$S$2552,Raw_Data!$D$2:$D$2552,$A16,Raw_Data!$L$2:$L$2552,$B16)</f>
        <v/>
      </c>
      <c r="G16" s="87">
        <f>SUMIFS(Raw_Data!$T$2:$T$2552,Raw_Data!$D$2:$D$2552,$A16,Raw_Data!$L$2:$L$2552,$B16)</f>
        <v/>
      </c>
      <c r="H16" s="88">
        <f>IFERROR(F16/G16,"")</f>
        <v/>
      </c>
      <c r="I16" s="87">
        <f>SUMIFS(Raw_Data!$W$2:$W$2552,Raw_Data!$D$2:$D$2552,$A16,Raw_Data!$L$2:$L$2552,$B16)</f>
        <v/>
      </c>
      <c r="J16" s="89">
        <f>IFERROR(I16/F16,"")</f>
        <v/>
      </c>
      <c r="K16" s="90">
        <f>IFERROR(E16/I16,"")</f>
        <v/>
      </c>
      <c r="L16" s="90">
        <f>IFERROR(E16/F16*1000,"")</f>
        <v/>
      </c>
      <c r="M16" s="87">
        <f>SUMIFS(Raw_Data!$AA$2:$AA$2552,Raw_Data!$D$2:$D$2552,$A16,Raw_Data!$L$2:$L$2552,$B16)</f>
        <v/>
      </c>
      <c r="N16" s="18">
        <f>IFERROR(M16/I16,"")</f>
        <v/>
      </c>
      <c r="O16" s="87">
        <f>SUMIFS(Raw_Data!$AL$2:$AL$2552,Raw_Data!$D$2:$D$2552,$A16,Raw_Data!$L$2:$L$2552,$B16)</f>
        <v/>
      </c>
      <c r="P16" s="89">
        <f>IFERROR(O16/M16,"")</f>
        <v/>
      </c>
      <c r="Q16" s="86">
        <f>IFERROR(E16/O16,"")</f>
        <v/>
      </c>
      <c r="R16" s="87">
        <f>SUMIFS(Raw_Data!$AO$2:$AO$2552,Raw_Data!$D$2:$D$2552,$A16,Raw_Data!$L$2:$L$2552,$B16)</f>
        <v/>
      </c>
      <c r="S16" s="18">
        <f>IFERROR(R16/O16,"")</f>
        <v/>
      </c>
      <c r="T16" s="86">
        <f>IFERROR(E16/R16,"")</f>
        <v/>
      </c>
      <c r="U16" s="87">
        <f>SUMIFS(Raw_Data!$AR$2:$AR$2552,Raw_Data!$D$2:$D$2552,$A16,Raw_Data!$L$2:$L$2552,$B16)</f>
        <v/>
      </c>
      <c r="V16" s="87">
        <f>SUMIFS(Raw_Data!$AS$2:$AS$2552,Raw_Data!$D$2:$D$2552,$A16,Raw_Data!$L$2:$L$2552,$B16)</f>
        <v/>
      </c>
      <c r="W16" s="87">
        <f>O16+U16</f>
        <v/>
      </c>
      <c r="X16" s="86">
        <f>SUMIFS(Raw_Data!$AU$2:$AU$2552,Raw_Data!$D$2:$D$2552,$A16,Raw_Data!$L$2:$L$2552,$B16)</f>
        <v/>
      </c>
      <c r="Y16" s="18">
        <f>IFERROR(E16/Summary!$B$17,"")</f>
        <v/>
      </c>
      <c r="Z16" s="18">
        <f>IFERROR(O16/Summary!$L$17,"")</f>
        <v/>
      </c>
      <c r="AA16" s="99" t="n">
        <v>46235</v>
      </c>
      <c r="AB16" s="99" t="n">
        <v>46265</v>
      </c>
      <c r="AC16" s="100">
        <f>AB16-AA16+1</f>
        <v/>
      </c>
      <c r="AD16" s="87">
        <f>SUMIFS(Raw_Data!$AC$2:$AC$2552,Raw_Data!$D$2:$D$2552,$A16,Raw_Data!$L$2:$L$2552,$B16)</f>
        <v/>
      </c>
      <c r="AE16" s="87">
        <f>SUMIFS(Raw_Data!$AD$2:$AD$2552,Raw_Data!$D$2:$D$2552,$A16,Raw_Data!$L$2:$L$2552,$B16)</f>
        <v/>
      </c>
      <c r="AF16" s="87">
        <f>SUMIFS(Raw_Data!$AE$2:$AE$2552,Raw_Data!$D$2:$D$2552,$A16,Raw_Data!$L$2:$L$2552,$B16)</f>
        <v/>
      </c>
      <c r="AG16" s="87">
        <f>SUMIFS(Raw_Data!$AF$2:$AF$2552,Raw_Data!$D$2:$D$2552,$A16,Raw_Data!$L$2:$L$2552,$B16)</f>
        <v/>
      </c>
      <c r="AH16" s="87">
        <f>SUMIFS(Raw_Data!$AG$2:$AG$2552,Raw_Data!$D$2:$D$2552,$A16,Raw_Data!$L$2:$L$2552,$B16)</f>
        <v/>
      </c>
      <c r="AI16" s="87">
        <f>SUMIFS(Raw_Data!$AH$2:$AH$2552,Raw_Data!$D$2:$D$2552,$A16,Raw_Data!$L$2:$L$2552,$B16)</f>
        <v/>
      </c>
      <c r="AJ16" s="18">
        <f>IFERROR(AD16/F16,"")</f>
        <v/>
      </c>
      <c r="AK16" s="18">
        <f>IFERROR(AI16/F16,"")</f>
        <v/>
      </c>
      <c r="AL16" s="87">
        <f>SUMIFS(Raw_Data!$AK$2:$AK$2552,Raw_Data!$D$2:$D$2552,$A16,Raw_Data!$L$2:$L$2552,$B16)</f>
        <v/>
      </c>
    </row>
    <row r="17">
      <c r="A17" s="6" t="inlineStr">
        <is>
          <t>Meta (FB/IG)</t>
        </is>
      </c>
      <c r="B17" s="78" t="inlineStr">
        <is>
          <t>PANTERA_VID_25s_Flagship_v1</t>
        </is>
      </c>
      <c r="C17" s="78" t="inlineStr">
        <is>
          <t>Video 9:16</t>
        </is>
      </c>
      <c r="D17" s="78" t="inlineStr">
        <is>
          <t>The flagship, without the flagship price</t>
        </is>
      </c>
      <c r="E17" s="86">
        <f>SUMIFS(Raw_Data!$R$2:$R$2552,Raw_Data!$D$2:$D$2552,$A17,Raw_Data!$L$2:$L$2552,$B17)</f>
        <v/>
      </c>
      <c r="F17" s="87">
        <f>SUMIFS(Raw_Data!$S$2:$S$2552,Raw_Data!$D$2:$D$2552,$A17,Raw_Data!$L$2:$L$2552,$B17)</f>
        <v/>
      </c>
      <c r="G17" s="87">
        <f>SUMIFS(Raw_Data!$T$2:$T$2552,Raw_Data!$D$2:$D$2552,$A17,Raw_Data!$L$2:$L$2552,$B17)</f>
        <v/>
      </c>
      <c r="H17" s="88">
        <f>IFERROR(F17/G17,"")</f>
        <v/>
      </c>
      <c r="I17" s="87">
        <f>SUMIFS(Raw_Data!$W$2:$W$2552,Raw_Data!$D$2:$D$2552,$A17,Raw_Data!$L$2:$L$2552,$B17)</f>
        <v/>
      </c>
      <c r="J17" s="89">
        <f>IFERROR(I17/F17,"")</f>
        <v/>
      </c>
      <c r="K17" s="90">
        <f>IFERROR(E17/I17,"")</f>
        <v/>
      </c>
      <c r="L17" s="90">
        <f>IFERROR(E17/F17*1000,"")</f>
        <v/>
      </c>
      <c r="M17" s="87">
        <f>SUMIFS(Raw_Data!$AA$2:$AA$2552,Raw_Data!$D$2:$D$2552,$A17,Raw_Data!$L$2:$L$2552,$B17)</f>
        <v/>
      </c>
      <c r="N17" s="18">
        <f>IFERROR(M17/I17,"")</f>
        <v/>
      </c>
      <c r="O17" s="87">
        <f>SUMIFS(Raw_Data!$AL$2:$AL$2552,Raw_Data!$D$2:$D$2552,$A17,Raw_Data!$L$2:$L$2552,$B17)</f>
        <v/>
      </c>
      <c r="P17" s="89">
        <f>IFERROR(O17/M17,"")</f>
        <v/>
      </c>
      <c r="Q17" s="86">
        <f>IFERROR(E17/O17,"")</f>
        <v/>
      </c>
      <c r="R17" s="87">
        <f>SUMIFS(Raw_Data!$AO$2:$AO$2552,Raw_Data!$D$2:$D$2552,$A17,Raw_Data!$L$2:$L$2552,$B17)</f>
        <v/>
      </c>
      <c r="S17" s="18">
        <f>IFERROR(R17/O17,"")</f>
        <v/>
      </c>
      <c r="T17" s="86">
        <f>IFERROR(E17/R17,"")</f>
        <v/>
      </c>
      <c r="U17" s="87">
        <f>SUMIFS(Raw_Data!$AR$2:$AR$2552,Raw_Data!$D$2:$D$2552,$A17,Raw_Data!$L$2:$L$2552,$B17)</f>
        <v/>
      </c>
      <c r="V17" s="87">
        <f>SUMIFS(Raw_Data!$AS$2:$AS$2552,Raw_Data!$D$2:$D$2552,$A17,Raw_Data!$L$2:$L$2552,$B17)</f>
        <v/>
      </c>
      <c r="W17" s="87">
        <f>O17+U17</f>
        <v/>
      </c>
      <c r="X17" s="86">
        <f>SUMIFS(Raw_Data!$AU$2:$AU$2552,Raw_Data!$D$2:$D$2552,$A17,Raw_Data!$L$2:$L$2552,$B17)</f>
        <v/>
      </c>
      <c r="Y17" s="18">
        <f>IFERROR(E17/Summary!$B$17,"")</f>
        <v/>
      </c>
      <c r="Z17" s="18">
        <f>IFERROR(O17/Summary!$L$17,"")</f>
        <v/>
      </c>
      <c r="AA17" s="99" t="n">
        <v>46235</v>
      </c>
      <c r="AB17" s="99" t="n">
        <v>46265</v>
      </c>
      <c r="AC17" s="100">
        <f>AB17-AA17+1</f>
        <v/>
      </c>
      <c r="AD17" s="87">
        <f>SUMIFS(Raw_Data!$AC$2:$AC$2552,Raw_Data!$D$2:$D$2552,$A17,Raw_Data!$L$2:$L$2552,$B17)</f>
        <v/>
      </c>
      <c r="AE17" s="87">
        <f>SUMIFS(Raw_Data!$AD$2:$AD$2552,Raw_Data!$D$2:$D$2552,$A17,Raw_Data!$L$2:$L$2552,$B17)</f>
        <v/>
      </c>
      <c r="AF17" s="87">
        <f>SUMIFS(Raw_Data!$AE$2:$AE$2552,Raw_Data!$D$2:$D$2552,$A17,Raw_Data!$L$2:$L$2552,$B17)</f>
        <v/>
      </c>
      <c r="AG17" s="87">
        <f>SUMIFS(Raw_Data!$AF$2:$AF$2552,Raw_Data!$D$2:$D$2552,$A17,Raw_Data!$L$2:$L$2552,$B17)</f>
        <v/>
      </c>
      <c r="AH17" s="87">
        <f>SUMIFS(Raw_Data!$AG$2:$AG$2552,Raw_Data!$D$2:$D$2552,$A17,Raw_Data!$L$2:$L$2552,$B17)</f>
        <v/>
      </c>
      <c r="AI17" s="87">
        <f>SUMIFS(Raw_Data!$AH$2:$AH$2552,Raw_Data!$D$2:$D$2552,$A17,Raw_Data!$L$2:$L$2552,$B17)</f>
        <v/>
      </c>
      <c r="AJ17" s="18">
        <f>IFERROR(AD17/F17,"")</f>
        <v/>
      </c>
      <c r="AK17" s="18">
        <f>IFERROR(AI17/F17,"")</f>
        <v/>
      </c>
      <c r="AL17" s="87">
        <f>SUMIFS(Raw_Data!$AK$2:$AK$2552,Raw_Data!$D$2:$D$2552,$A17,Raw_Data!$L$2:$L$2552,$B17)</f>
        <v/>
      </c>
    </row>
    <row r="18">
      <c r="A18" s="6" t="inlineStr">
        <is>
          <t>Meta (FB/IG)</t>
        </is>
      </c>
      <c r="B18" s="78" t="inlineStr">
        <is>
          <t>PANTERA_STA_Offer_0Dep_v1</t>
        </is>
      </c>
      <c r="C18" s="78" t="inlineStr">
        <is>
          <t>Static 1:1</t>
        </is>
      </c>
      <c r="D18" s="78" t="inlineStr">
        <is>
          <t>PANTERA. Zero deposit.</t>
        </is>
      </c>
      <c r="E18" s="86">
        <f>SUMIFS(Raw_Data!$R$2:$R$2552,Raw_Data!$D$2:$D$2552,$A18,Raw_Data!$L$2:$L$2552,$B18)</f>
        <v/>
      </c>
      <c r="F18" s="87">
        <f>SUMIFS(Raw_Data!$S$2:$S$2552,Raw_Data!$D$2:$D$2552,$A18,Raw_Data!$L$2:$L$2552,$B18)</f>
        <v/>
      </c>
      <c r="G18" s="87">
        <f>SUMIFS(Raw_Data!$T$2:$T$2552,Raw_Data!$D$2:$D$2552,$A18,Raw_Data!$L$2:$L$2552,$B18)</f>
        <v/>
      </c>
      <c r="H18" s="88">
        <f>IFERROR(F18/G18,"")</f>
        <v/>
      </c>
      <c r="I18" s="87">
        <f>SUMIFS(Raw_Data!$W$2:$W$2552,Raw_Data!$D$2:$D$2552,$A18,Raw_Data!$L$2:$L$2552,$B18)</f>
        <v/>
      </c>
      <c r="J18" s="89">
        <f>IFERROR(I18/F18,"")</f>
        <v/>
      </c>
      <c r="K18" s="90">
        <f>IFERROR(E18/I18,"")</f>
        <v/>
      </c>
      <c r="L18" s="90">
        <f>IFERROR(E18/F18*1000,"")</f>
        <v/>
      </c>
      <c r="M18" s="87">
        <f>SUMIFS(Raw_Data!$AA$2:$AA$2552,Raw_Data!$D$2:$D$2552,$A18,Raw_Data!$L$2:$L$2552,$B18)</f>
        <v/>
      </c>
      <c r="N18" s="18">
        <f>IFERROR(M18/I18,"")</f>
        <v/>
      </c>
      <c r="O18" s="87">
        <f>SUMIFS(Raw_Data!$AL$2:$AL$2552,Raw_Data!$D$2:$D$2552,$A18,Raw_Data!$L$2:$L$2552,$B18)</f>
        <v/>
      </c>
      <c r="P18" s="89">
        <f>IFERROR(O18/M18,"")</f>
        <v/>
      </c>
      <c r="Q18" s="86">
        <f>IFERROR(E18/O18,"")</f>
        <v/>
      </c>
      <c r="R18" s="87">
        <f>SUMIFS(Raw_Data!$AO$2:$AO$2552,Raw_Data!$D$2:$D$2552,$A18,Raw_Data!$L$2:$L$2552,$B18)</f>
        <v/>
      </c>
      <c r="S18" s="18">
        <f>IFERROR(R18/O18,"")</f>
        <v/>
      </c>
      <c r="T18" s="86">
        <f>IFERROR(E18/R18,"")</f>
        <v/>
      </c>
      <c r="U18" s="87">
        <f>SUMIFS(Raw_Data!$AR$2:$AR$2552,Raw_Data!$D$2:$D$2552,$A18,Raw_Data!$L$2:$L$2552,$B18)</f>
        <v/>
      </c>
      <c r="V18" s="87">
        <f>SUMIFS(Raw_Data!$AS$2:$AS$2552,Raw_Data!$D$2:$D$2552,$A18,Raw_Data!$L$2:$L$2552,$B18)</f>
        <v/>
      </c>
      <c r="W18" s="87">
        <f>O18+U18</f>
        <v/>
      </c>
      <c r="X18" s="86">
        <f>SUMIFS(Raw_Data!$AU$2:$AU$2552,Raw_Data!$D$2:$D$2552,$A18,Raw_Data!$L$2:$L$2552,$B18)</f>
        <v/>
      </c>
      <c r="Y18" s="18">
        <f>IFERROR(E18/Summary!$B$17,"")</f>
        <v/>
      </c>
      <c r="Z18" s="18">
        <f>IFERROR(O18/Summary!$L$17,"")</f>
        <v/>
      </c>
      <c r="AA18" s="99" t="n">
        <v>46235</v>
      </c>
      <c r="AB18" s="99" t="n">
        <v>46250</v>
      </c>
      <c r="AC18" s="100">
        <f>AB18-AA18+1</f>
        <v/>
      </c>
      <c r="AD18" s="87">
        <f>SUMIFS(Raw_Data!$AC$2:$AC$2552,Raw_Data!$D$2:$D$2552,$A18,Raw_Data!$L$2:$L$2552,$B18)</f>
        <v/>
      </c>
      <c r="AE18" s="87">
        <f>SUMIFS(Raw_Data!$AD$2:$AD$2552,Raw_Data!$D$2:$D$2552,$A18,Raw_Data!$L$2:$L$2552,$B18)</f>
        <v/>
      </c>
      <c r="AF18" s="87">
        <f>SUMIFS(Raw_Data!$AE$2:$AE$2552,Raw_Data!$D$2:$D$2552,$A18,Raw_Data!$L$2:$L$2552,$B18)</f>
        <v/>
      </c>
      <c r="AG18" s="87">
        <f>SUMIFS(Raw_Data!$AF$2:$AF$2552,Raw_Data!$D$2:$D$2552,$A18,Raw_Data!$L$2:$L$2552,$B18)</f>
        <v/>
      </c>
      <c r="AH18" s="87">
        <f>SUMIFS(Raw_Data!$AG$2:$AG$2552,Raw_Data!$D$2:$D$2552,$A18,Raw_Data!$L$2:$L$2552,$B18)</f>
        <v/>
      </c>
      <c r="AI18" s="87">
        <f>SUMIFS(Raw_Data!$AH$2:$AH$2552,Raw_Data!$D$2:$D$2552,$A18,Raw_Data!$L$2:$L$2552,$B18)</f>
        <v/>
      </c>
      <c r="AJ18" s="18">
        <f>IFERROR(AD18/F18,"")</f>
        <v/>
      </c>
      <c r="AK18" s="18">
        <f>IFERROR(AI18/F18,"")</f>
        <v/>
      </c>
      <c r="AL18" s="87">
        <f>SUMIFS(Raw_Data!$AK$2:$AK$2552,Raw_Data!$D$2:$D$2552,$A18,Raw_Data!$L$2:$L$2552,$B18)</f>
        <v/>
      </c>
    </row>
    <row r="19">
      <c r="A19" s="6" t="inlineStr">
        <is>
          <t>Meta (FB/IG)</t>
        </is>
      </c>
      <c r="B19" s="78" t="inlineStr">
        <is>
          <t>PANTERA_STA_Offer_0Dep_v2</t>
        </is>
      </c>
      <c r="C19" s="78" t="inlineStr">
        <is>
          <t>Static 1:1</t>
        </is>
      </c>
      <c r="D19" s="78" t="inlineStr">
        <is>
          <t>R5 899pm. No deposit. Test drive it.</t>
        </is>
      </c>
      <c r="E19" s="86">
        <f>SUMIFS(Raw_Data!$R$2:$R$2552,Raw_Data!$D$2:$D$2552,$A19,Raw_Data!$L$2:$L$2552,$B19)</f>
        <v/>
      </c>
      <c r="F19" s="87">
        <f>SUMIFS(Raw_Data!$S$2:$S$2552,Raw_Data!$D$2:$D$2552,$A19,Raw_Data!$L$2:$L$2552,$B19)</f>
        <v/>
      </c>
      <c r="G19" s="87">
        <f>SUMIFS(Raw_Data!$T$2:$T$2552,Raw_Data!$D$2:$D$2552,$A19,Raw_Data!$L$2:$L$2552,$B19)</f>
        <v/>
      </c>
      <c r="H19" s="88">
        <f>IFERROR(F19/G19,"")</f>
        <v/>
      </c>
      <c r="I19" s="87">
        <f>SUMIFS(Raw_Data!$W$2:$W$2552,Raw_Data!$D$2:$D$2552,$A19,Raw_Data!$L$2:$L$2552,$B19)</f>
        <v/>
      </c>
      <c r="J19" s="89">
        <f>IFERROR(I19/F19,"")</f>
        <v/>
      </c>
      <c r="K19" s="90">
        <f>IFERROR(E19/I19,"")</f>
        <v/>
      </c>
      <c r="L19" s="90">
        <f>IFERROR(E19/F19*1000,"")</f>
        <v/>
      </c>
      <c r="M19" s="87">
        <f>SUMIFS(Raw_Data!$AA$2:$AA$2552,Raw_Data!$D$2:$D$2552,$A19,Raw_Data!$L$2:$L$2552,$B19)</f>
        <v/>
      </c>
      <c r="N19" s="18">
        <f>IFERROR(M19/I19,"")</f>
        <v/>
      </c>
      <c r="O19" s="87">
        <f>SUMIFS(Raw_Data!$AL$2:$AL$2552,Raw_Data!$D$2:$D$2552,$A19,Raw_Data!$L$2:$L$2552,$B19)</f>
        <v/>
      </c>
      <c r="P19" s="89">
        <f>IFERROR(O19/M19,"")</f>
        <v/>
      </c>
      <c r="Q19" s="86">
        <f>IFERROR(E19/O19,"")</f>
        <v/>
      </c>
      <c r="R19" s="87">
        <f>SUMIFS(Raw_Data!$AO$2:$AO$2552,Raw_Data!$D$2:$D$2552,$A19,Raw_Data!$L$2:$L$2552,$B19)</f>
        <v/>
      </c>
      <c r="S19" s="18">
        <f>IFERROR(R19/O19,"")</f>
        <v/>
      </c>
      <c r="T19" s="86">
        <f>IFERROR(E19/R19,"")</f>
        <v/>
      </c>
      <c r="U19" s="87">
        <f>SUMIFS(Raw_Data!$AR$2:$AR$2552,Raw_Data!$D$2:$D$2552,$A19,Raw_Data!$L$2:$L$2552,$B19)</f>
        <v/>
      </c>
      <c r="V19" s="87">
        <f>SUMIFS(Raw_Data!$AS$2:$AS$2552,Raw_Data!$D$2:$D$2552,$A19,Raw_Data!$L$2:$L$2552,$B19)</f>
        <v/>
      </c>
      <c r="W19" s="87">
        <f>O19+U19</f>
        <v/>
      </c>
      <c r="X19" s="86">
        <f>SUMIFS(Raw_Data!$AU$2:$AU$2552,Raw_Data!$D$2:$D$2552,$A19,Raw_Data!$L$2:$L$2552,$B19)</f>
        <v/>
      </c>
      <c r="Y19" s="18">
        <f>IFERROR(E19/Summary!$B$17,"")</f>
        <v/>
      </c>
      <c r="Z19" s="18">
        <f>IFERROR(O19/Summary!$L$17,"")</f>
        <v/>
      </c>
      <c r="AA19" s="99" t="n">
        <v>46248</v>
      </c>
      <c r="AB19" s="99" t="n">
        <v>46265</v>
      </c>
      <c r="AC19" s="100">
        <f>AB19-AA19+1</f>
        <v/>
      </c>
      <c r="AD19" s="87">
        <f>SUMIFS(Raw_Data!$AC$2:$AC$2552,Raw_Data!$D$2:$D$2552,$A19,Raw_Data!$L$2:$L$2552,$B19)</f>
        <v/>
      </c>
      <c r="AE19" s="87">
        <f>SUMIFS(Raw_Data!$AD$2:$AD$2552,Raw_Data!$D$2:$D$2552,$A19,Raw_Data!$L$2:$L$2552,$B19)</f>
        <v/>
      </c>
      <c r="AF19" s="87">
        <f>SUMIFS(Raw_Data!$AE$2:$AE$2552,Raw_Data!$D$2:$D$2552,$A19,Raw_Data!$L$2:$L$2552,$B19)</f>
        <v/>
      </c>
      <c r="AG19" s="87">
        <f>SUMIFS(Raw_Data!$AF$2:$AF$2552,Raw_Data!$D$2:$D$2552,$A19,Raw_Data!$L$2:$L$2552,$B19)</f>
        <v/>
      </c>
      <c r="AH19" s="87">
        <f>SUMIFS(Raw_Data!$AG$2:$AG$2552,Raw_Data!$D$2:$D$2552,$A19,Raw_Data!$L$2:$L$2552,$B19)</f>
        <v/>
      </c>
      <c r="AI19" s="87">
        <f>SUMIFS(Raw_Data!$AH$2:$AH$2552,Raw_Data!$D$2:$D$2552,$A19,Raw_Data!$L$2:$L$2552,$B19)</f>
        <v/>
      </c>
      <c r="AJ19" s="18">
        <f>IFERROR(AD19/F19,"")</f>
        <v/>
      </c>
      <c r="AK19" s="18">
        <f>IFERROR(AI19/F19,"")</f>
        <v/>
      </c>
      <c r="AL19" s="87">
        <f>SUMIFS(Raw_Data!$AK$2:$AK$2552,Raw_Data!$D$2:$D$2552,$A19,Raw_Data!$L$2:$L$2552,$B19)</f>
        <v/>
      </c>
    </row>
    <row r="20">
      <c r="A20" s="6" t="inlineStr">
        <is>
          <t>Meta (FB/IG)</t>
        </is>
      </c>
      <c r="B20" s="78" t="inlineStr">
        <is>
          <t>PANTERA_CAR_5card_Premium_v1</t>
        </is>
      </c>
      <c r="C20" s="78" t="inlineStr">
        <is>
          <t>Carousel</t>
        </is>
      </c>
      <c r="D20" s="78" t="inlineStr">
        <is>
          <t>Five things that surprise PANTERA drivers</t>
        </is>
      </c>
      <c r="E20" s="86">
        <f>SUMIFS(Raw_Data!$R$2:$R$2552,Raw_Data!$D$2:$D$2552,$A20,Raw_Data!$L$2:$L$2552,$B20)</f>
        <v/>
      </c>
      <c r="F20" s="87">
        <f>SUMIFS(Raw_Data!$S$2:$S$2552,Raw_Data!$D$2:$D$2552,$A20,Raw_Data!$L$2:$L$2552,$B20)</f>
        <v/>
      </c>
      <c r="G20" s="87">
        <f>SUMIFS(Raw_Data!$T$2:$T$2552,Raw_Data!$D$2:$D$2552,$A20,Raw_Data!$L$2:$L$2552,$B20)</f>
        <v/>
      </c>
      <c r="H20" s="88">
        <f>IFERROR(F20/G20,"")</f>
        <v/>
      </c>
      <c r="I20" s="87">
        <f>SUMIFS(Raw_Data!$W$2:$W$2552,Raw_Data!$D$2:$D$2552,$A20,Raw_Data!$L$2:$L$2552,$B20)</f>
        <v/>
      </c>
      <c r="J20" s="89">
        <f>IFERROR(I20/F20,"")</f>
        <v/>
      </c>
      <c r="K20" s="90">
        <f>IFERROR(E20/I20,"")</f>
        <v/>
      </c>
      <c r="L20" s="90">
        <f>IFERROR(E20/F20*1000,"")</f>
        <v/>
      </c>
      <c r="M20" s="87">
        <f>SUMIFS(Raw_Data!$AA$2:$AA$2552,Raw_Data!$D$2:$D$2552,$A20,Raw_Data!$L$2:$L$2552,$B20)</f>
        <v/>
      </c>
      <c r="N20" s="18">
        <f>IFERROR(M20/I20,"")</f>
        <v/>
      </c>
      <c r="O20" s="87">
        <f>SUMIFS(Raw_Data!$AL$2:$AL$2552,Raw_Data!$D$2:$D$2552,$A20,Raw_Data!$L$2:$L$2552,$B20)</f>
        <v/>
      </c>
      <c r="P20" s="89">
        <f>IFERROR(O20/M20,"")</f>
        <v/>
      </c>
      <c r="Q20" s="86">
        <f>IFERROR(E20/O20,"")</f>
        <v/>
      </c>
      <c r="R20" s="87">
        <f>SUMIFS(Raw_Data!$AO$2:$AO$2552,Raw_Data!$D$2:$D$2552,$A20,Raw_Data!$L$2:$L$2552,$B20)</f>
        <v/>
      </c>
      <c r="S20" s="18">
        <f>IFERROR(R20/O20,"")</f>
        <v/>
      </c>
      <c r="T20" s="86">
        <f>IFERROR(E20/R20,"")</f>
        <v/>
      </c>
      <c r="U20" s="87">
        <f>SUMIFS(Raw_Data!$AR$2:$AR$2552,Raw_Data!$D$2:$D$2552,$A20,Raw_Data!$L$2:$L$2552,$B20)</f>
        <v/>
      </c>
      <c r="V20" s="87">
        <f>SUMIFS(Raw_Data!$AS$2:$AS$2552,Raw_Data!$D$2:$D$2552,$A20,Raw_Data!$L$2:$L$2552,$B20)</f>
        <v/>
      </c>
      <c r="W20" s="87">
        <f>O20+U20</f>
        <v/>
      </c>
      <c r="X20" s="86">
        <f>SUMIFS(Raw_Data!$AU$2:$AU$2552,Raw_Data!$D$2:$D$2552,$A20,Raw_Data!$L$2:$L$2552,$B20)</f>
        <v/>
      </c>
      <c r="Y20" s="18">
        <f>IFERROR(E20/Summary!$B$17,"")</f>
        <v/>
      </c>
      <c r="Z20" s="18">
        <f>IFERROR(O20/Summary!$L$17,"")</f>
        <v/>
      </c>
      <c r="AA20" s="99" t="n">
        <v>46235</v>
      </c>
      <c r="AB20" s="99" t="n">
        <v>46265</v>
      </c>
      <c r="AC20" s="100">
        <f>AB20-AA20+1</f>
        <v/>
      </c>
      <c r="AD20" s="87">
        <f>SUMIFS(Raw_Data!$AC$2:$AC$2552,Raw_Data!$D$2:$D$2552,$A20,Raw_Data!$L$2:$L$2552,$B20)</f>
        <v/>
      </c>
      <c r="AE20" s="87">
        <f>SUMIFS(Raw_Data!$AD$2:$AD$2552,Raw_Data!$D$2:$D$2552,$A20,Raw_Data!$L$2:$L$2552,$B20)</f>
        <v/>
      </c>
      <c r="AF20" s="87">
        <f>SUMIFS(Raw_Data!$AE$2:$AE$2552,Raw_Data!$D$2:$D$2552,$A20,Raw_Data!$L$2:$L$2552,$B20)</f>
        <v/>
      </c>
      <c r="AG20" s="87">
        <f>SUMIFS(Raw_Data!$AF$2:$AF$2552,Raw_Data!$D$2:$D$2552,$A20,Raw_Data!$L$2:$L$2552,$B20)</f>
        <v/>
      </c>
      <c r="AH20" s="87">
        <f>SUMIFS(Raw_Data!$AG$2:$AG$2552,Raw_Data!$D$2:$D$2552,$A20,Raw_Data!$L$2:$L$2552,$B20)</f>
        <v/>
      </c>
      <c r="AI20" s="87">
        <f>SUMIFS(Raw_Data!$AH$2:$AH$2552,Raw_Data!$D$2:$D$2552,$A20,Raw_Data!$L$2:$L$2552,$B20)</f>
        <v/>
      </c>
      <c r="AJ20" s="18">
        <f>IFERROR(AD20/F20,"")</f>
        <v/>
      </c>
      <c r="AK20" s="18">
        <f>IFERROR(AI20/F20,"")</f>
        <v/>
      </c>
      <c r="AL20" s="87">
        <f>SUMIFS(Raw_Data!$AK$2:$AK$2552,Raw_Data!$D$2:$D$2552,$A20,Raw_Data!$L$2:$L$2552,$B20)</f>
        <v/>
      </c>
    </row>
    <row r="21">
      <c r="A21" s="6" t="inlineStr">
        <is>
          <t>Meta (FB/IG)</t>
        </is>
      </c>
      <c r="B21" s="78" t="inlineStr">
        <is>
          <t>PANTERA_VID_15s_NightDrive_v1</t>
        </is>
      </c>
      <c r="C21" s="78" t="inlineStr">
        <is>
          <t>Video 4:5</t>
        </is>
      </c>
      <c r="D21" s="78" t="inlineStr">
        <is>
          <t>Night drive. PANTERA.</t>
        </is>
      </c>
      <c r="E21" s="86">
        <f>SUMIFS(Raw_Data!$R$2:$R$2552,Raw_Data!$D$2:$D$2552,$A21,Raw_Data!$L$2:$L$2552,$B21)</f>
        <v/>
      </c>
      <c r="F21" s="87">
        <f>SUMIFS(Raw_Data!$S$2:$S$2552,Raw_Data!$D$2:$D$2552,$A21,Raw_Data!$L$2:$L$2552,$B21)</f>
        <v/>
      </c>
      <c r="G21" s="87">
        <f>SUMIFS(Raw_Data!$T$2:$T$2552,Raw_Data!$D$2:$D$2552,$A21,Raw_Data!$L$2:$L$2552,$B21)</f>
        <v/>
      </c>
      <c r="H21" s="88">
        <f>IFERROR(F21/G21,"")</f>
        <v/>
      </c>
      <c r="I21" s="87">
        <f>SUMIFS(Raw_Data!$W$2:$W$2552,Raw_Data!$D$2:$D$2552,$A21,Raw_Data!$L$2:$L$2552,$B21)</f>
        <v/>
      </c>
      <c r="J21" s="89">
        <f>IFERROR(I21/F21,"")</f>
        <v/>
      </c>
      <c r="K21" s="90">
        <f>IFERROR(E21/I21,"")</f>
        <v/>
      </c>
      <c r="L21" s="90">
        <f>IFERROR(E21/F21*1000,"")</f>
        <v/>
      </c>
      <c r="M21" s="87">
        <f>SUMIFS(Raw_Data!$AA$2:$AA$2552,Raw_Data!$D$2:$D$2552,$A21,Raw_Data!$L$2:$L$2552,$B21)</f>
        <v/>
      </c>
      <c r="N21" s="18">
        <f>IFERROR(M21/I21,"")</f>
        <v/>
      </c>
      <c r="O21" s="87">
        <f>SUMIFS(Raw_Data!$AL$2:$AL$2552,Raw_Data!$D$2:$D$2552,$A21,Raw_Data!$L$2:$L$2552,$B21)</f>
        <v/>
      </c>
      <c r="P21" s="89">
        <f>IFERROR(O21/M21,"")</f>
        <v/>
      </c>
      <c r="Q21" s="86">
        <f>IFERROR(E21/O21,"")</f>
        <v/>
      </c>
      <c r="R21" s="87">
        <f>SUMIFS(Raw_Data!$AO$2:$AO$2552,Raw_Data!$D$2:$D$2552,$A21,Raw_Data!$L$2:$L$2552,$B21)</f>
        <v/>
      </c>
      <c r="S21" s="18">
        <f>IFERROR(R21/O21,"")</f>
        <v/>
      </c>
      <c r="T21" s="86">
        <f>IFERROR(E21/R21,"")</f>
        <v/>
      </c>
      <c r="U21" s="87">
        <f>SUMIFS(Raw_Data!$AR$2:$AR$2552,Raw_Data!$D$2:$D$2552,$A21,Raw_Data!$L$2:$L$2552,$B21)</f>
        <v/>
      </c>
      <c r="V21" s="87">
        <f>SUMIFS(Raw_Data!$AS$2:$AS$2552,Raw_Data!$D$2:$D$2552,$A21,Raw_Data!$L$2:$L$2552,$B21)</f>
        <v/>
      </c>
      <c r="W21" s="87">
        <f>O21+U21</f>
        <v/>
      </c>
      <c r="X21" s="86">
        <f>SUMIFS(Raw_Data!$AU$2:$AU$2552,Raw_Data!$D$2:$D$2552,$A21,Raw_Data!$L$2:$L$2552,$B21)</f>
        <v/>
      </c>
      <c r="Y21" s="18">
        <f>IFERROR(E21/Summary!$B$17,"")</f>
        <v/>
      </c>
      <c r="Z21" s="18">
        <f>IFERROR(O21/Summary!$L$17,"")</f>
        <v/>
      </c>
      <c r="AA21" s="99" t="n">
        <v>46235</v>
      </c>
      <c r="AB21" s="99" t="n">
        <v>46265</v>
      </c>
      <c r="AC21" s="100">
        <f>AB21-AA21+1</f>
        <v/>
      </c>
      <c r="AD21" s="87">
        <f>SUMIFS(Raw_Data!$AC$2:$AC$2552,Raw_Data!$D$2:$D$2552,$A21,Raw_Data!$L$2:$L$2552,$B21)</f>
        <v/>
      </c>
      <c r="AE21" s="87">
        <f>SUMIFS(Raw_Data!$AD$2:$AD$2552,Raw_Data!$D$2:$D$2552,$A21,Raw_Data!$L$2:$L$2552,$B21)</f>
        <v/>
      </c>
      <c r="AF21" s="87">
        <f>SUMIFS(Raw_Data!$AE$2:$AE$2552,Raw_Data!$D$2:$D$2552,$A21,Raw_Data!$L$2:$L$2552,$B21)</f>
        <v/>
      </c>
      <c r="AG21" s="87">
        <f>SUMIFS(Raw_Data!$AF$2:$AF$2552,Raw_Data!$D$2:$D$2552,$A21,Raw_Data!$L$2:$L$2552,$B21)</f>
        <v/>
      </c>
      <c r="AH21" s="87">
        <f>SUMIFS(Raw_Data!$AG$2:$AG$2552,Raw_Data!$D$2:$D$2552,$A21,Raw_Data!$L$2:$L$2552,$B21)</f>
        <v/>
      </c>
      <c r="AI21" s="87">
        <f>SUMIFS(Raw_Data!$AH$2:$AH$2552,Raw_Data!$D$2:$D$2552,$A21,Raw_Data!$L$2:$L$2552,$B21)</f>
        <v/>
      </c>
      <c r="AJ21" s="18">
        <f>IFERROR(AD21/F21,"")</f>
        <v/>
      </c>
      <c r="AK21" s="18">
        <f>IFERROR(AI21/F21,"")</f>
        <v/>
      </c>
      <c r="AL21" s="87">
        <f>SUMIFS(Raw_Data!$AK$2:$AK$2552,Raw_Data!$D$2:$D$2552,$A21,Raw_Data!$L$2:$L$2552,$B21)</f>
        <v/>
      </c>
    </row>
    <row r="22">
      <c r="A22" s="6" t="inlineStr">
        <is>
          <t>Meta (FB/IG)</t>
        </is>
      </c>
      <c r="B22" s="78" t="inlineStr">
        <is>
          <t>PANTERA_STA_Compare_Premium_v1</t>
        </is>
      </c>
      <c r="C22" s="78" t="inlineStr">
        <is>
          <t>Static 4:5</t>
        </is>
      </c>
      <c r="D22" s="78" t="inlineStr">
        <is>
          <t>Premium spec. Mid-market money.</t>
        </is>
      </c>
      <c r="E22" s="86">
        <f>SUMIFS(Raw_Data!$R$2:$R$2552,Raw_Data!$D$2:$D$2552,$A22,Raw_Data!$L$2:$L$2552,$B22)</f>
        <v/>
      </c>
      <c r="F22" s="87">
        <f>SUMIFS(Raw_Data!$S$2:$S$2552,Raw_Data!$D$2:$D$2552,$A22,Raw_Data!$L$2:$L$2552,$B22)</f>
        <v/>
      </c>
      <c r="G22" s="87">
        <f>SUMIFS(Raw_Data!$T$2:$T$2552,Raw_Data!$D$2:$D$2552,$A22,Raw_Data!$L$2:$L$2552,$B22)</f>
        <v/>
      </c>
      <c r="H22" s="88">
        <f>IFERROR(F22/G22,"")</f>
        <v/>
      </c>
      <c r="I22" s="87">
        <f>SUMIFS(Raw_Data!$W$2:$W$2552,Raw_Data!$D$2:$D$2552,$A22,Raw_Data!$L$2:$L$2552,$B22)</f>
        <v/>
      </c>
      <c r="J22" s="89">
        <f>IFERROR(I22/F22,"")</f>
        <v/>
      </c>
      <c r="K22" s="90">
        <f>IFERROR(E22/I22,"")</f>
        <v/>
      </c>
      <c r="L22" s="90">
        <f>IFERROR(E22/F22*1000,"")</f>
        <v/>
      </c>
      <c r="M22" s="87">
        <f>SUMIFS(Raw_Data!$AA$2:$AA$2552,Raw_Data!$D$2:$D$2552,$A22,Raw_Data!$L$2:$L$2552,$B22)</f>
        <v/>
      </c>
      <c r="N22" s="18">
        <f>IFERROR(M22/I22,"")</f>
        <v/>
      </c>
      <c r="O22" s="87">
        <f>SUMIFS(Raw_Data!$AL$2:$AL$2552,Raw_Data!$D$2:$D$2552,$A22,Raw_Data!$L$2:$L$2552,$B22)</f>
        <v/>
      </c>
      <c r="P22" s="89">
        <f>IFERROR(O22/M22,"")</f>
        <v/>
      </c>
      <c r="Q22" s="86">
        <f>IFERROR(E22/O22,"")</f>
        <v/>
      </c>
      <c r="R22" s="87">
        <f>SUMIFS(Raw_Data!$AO$2:$AO$2552,Raw_Data!$D$2:$D$2552,$A22,Raw_Data!$L$2:$L$2552,$B22)</f>
        <v/>
      </c>
      <c r="S22" s="18">
        <f>IFERROR(R22/O22,"")</f>
        <v/>
      </c>
      <c r="T22" s="86">
        <f>IFERROR(E22/R22,"")</f>
        <v/>
      </c>
      <c r="U22" s="87">
        <f>SUMIFS(Raw_Data!$AR$2:$AR$2552,Raw_Data!$D$2:$D$2552,$A22,Raw_Data!$L$2:$L$2552,$B22)</f>
        <v/>
      </c>
      <c r="V22" s="87">
        <f>SUMIFS(Raw_Data!$AS$2:$AS$2552,Raw_Data!$D$2:$D$2552,$A22,Raw_Data!$L$2:$L$2552,$B22)</f>
        <v/>
      </c>
      <c r="W22" s="87">
        <f>O22+U22</f>
        <v/>
      </c>
      <c r="X22" s="86">
        <f>SUMIFS(Raw_Data!$AU$2:$AU$2552,Raw_Data!$D$2:$D$2552,$A22,Raw_Data!$L$2:$L$2552,$B22)</f>
        <v/>
      </c>
      <c r="Y22" s="18">
        <f>IFERROR(E22/Summary!$B$17,"")</f>
        <v/>
      </c>
      <c r="Z22" s="18">
        <f>IFERROR(O22/Summary!$L$17,"")</f>
        <v/>
      </c>
      <c r="AA22" s="99" t="n">
        <v>46239</v>
      </c>
      <c r="AB22" s="99" t="n">
        <v>46265</v>
      </c>
      <c r="AC22" s="100">
        <f>AB22-AA22+1</f>
        <v/>
      </c>
      <c r="AD22" s="87">
        <f>SUMIFS(Raw_Data!$AC$2:$AC$2552,Raw_Data!$D$2:$D$2552,$A22,Raw_Data!$L$2:$L$2552,$B22)</f>
        <v/>
      </c>
      <c r="AE22" s="87">
        <f>SUMIFS(Raw_Data!$AD$2:$AD$2552,Raw_Data!$D$2:$D$2552,$A22,Raw_Data!$L$2:$L$2552,$B22)</f>
        <v/>
      </c>
      <c r="AF22" s="87">
        <f>SUMIFS(Raw_Data!$AE$2:$AE$2552,Raw_Data!$D$2:$D$2552,$A22,Raw_Data!$L$2:$L$2552,$B22)</f>
        <v/>
      </c>
      <c r="AG22" s="87">
        <f>SUMIFS(Raw_Data!$AF$2:$AF$2552,Raw_Data!$D$2:$D$2552,$A22,Raw_Data!$L$2:$L$2552,$B22)</f>
        <v/>
      </c>
      <c r="AH22" s="87">
        <f>SUMIFS(Raw_Data!$AG$2:$AG$2552,Raw_Data!$D$2:$D$2552,$A22,Raw_Data!$L$2:$L$2552,$B22)</f>
        <v/>
      </c>
      <c r="AI22" s="87">
        <f>SUMIFS(Raw_Data!$AH$2:$AH$2552,Raw_Data!$D$2:$D$2552,$A22,Raw_Data!$L$2:$L$2552,$B22)</f>
        <v/>
      </c>
      <c r="AJ22" s="18">
        <f>IFERROR(AD22/F22,"")</f>
        <v/>
      </c>
      <c r="AK22" s="18">
        <f>IFERROR(AI22/F22,"")</f>
        <v/>
      </c>
      <c r="AL22" s="87">
        <f>SUMIFS(Raw_Data!$AK$2:$AK$2552,Raw_Data!$D$2:$D$2552,$A22,Raw_Data!$L$2:$L$2552,$B22)</f>
        <v/>
      </c>
    </row>
    <row r="23">
      <c r="A23" s="6" t="inlineStr">
        <is>
          <t>Meta (FB/IG)</t>
        </is>
      </c>
      <c r="B23" s="78" t="inlineStr">
        <is>
          <t>RMKT_DYN_ModelSeen_v1</t>
        </is>
      </c>
      <c r="C23" s="78" t="inlineStr">
        <is>
          <t>Dynamic Carousel</t>
        </is>
      </c>
      <c r="D23" s="78" t="inlineStr">
        <is>
          <t>Still thinking about it?</t>
        </is>
      </c>
      <c r="E23" s="86">
        <f>SUMIFS(Raw_Data!$R$2:$R$2552,Raw_Data!$D$2:$D$2552,$A23,Raw_Data!$L$2:$L$2552,$B23)</f>
        <v/>
      </c>
      <c r="F23" s="87">
        <f>SUMIFS(Raw_Data!$S$2:$S$2552,Raw_Data!$D$2:$D$2552,$A23,Raw_Data!$L$2:$L$2552,$B23)</f>
        <v/>
      </c>
      <c r="G23" s="87">
        <f>SUMIFS(Raw_Data!$T$2:$T$2552,Raw_Data!$D$2:$D$2552,$A23,Raw_Data!$L$2:$L$2552,$B23)</f>
        <v/>
      </c>
      <c r="H23" s="88">
        <f>IFERROR(F23/G23,"")</f>
        <v/>
      </c>
      <c r="I23" s="87">
        <f>SUMIFS(Raw_Data!$W$2:$W$2552,Raw_Data!$D$2:$D$2552,$A23,Raw_Data!$L$2:$L$2552,$B23)</f>
        <v/>
      </c>
      <c r="J23" s="89">
        <f>IFERROR(I23/F23,"")</f>
        <v/>
      </c>
      <c r="K23" s="90">
        <f>IFERROR(E23/I23,"")</f>
        <v/>
      </c>
      <c r="L23" s="90">
        <f>IFERROR(E23/F23*1000,"")</f>
        <v/>
      </c>
      <c r="M23" s="87">
        <f>SUMIFS(Raw_Data!$AA$2:$AA$2552,Raw_Data!$D$2:$D$2552,$A23,Raw_Data!$L$2:$L$2552,$B23)</f>
        <v/>
      </c>
      <c r="N23" s="18">
        <f>IFERROR(M23/I23,"")</f>
        <v/>
      </c>
      <c r="O23" s="87">
        <f>SUMIFS(Raw_Data!$AL$2:$AL$2552,Raw_Data!$D$2:$D$2552,$A23,Raw_Data!$L$2:$L$2552,$B23)</f>
        <v/>
      </c>
      <c r="P23" s="89">
        <f>IFERROR(O23/M23,"")</f>
        <v/>
      </c>
      <c r="Q23" s="86">
        <f>IFERROR(E23/O23,"")</f>
        <v/>
      </c>
      <c r="R23" s="87">
        <f>SUMIFS(Raw_Data!$AO$2:$AO$2552,Raw_Data!$D$2:$D$2552,$A23,Raw_Data!$L$2:$L$2552,$B23)</f>
        <v/>
      </c>
      <c r="S23" s="18">
        <f>IFERROR(R23/O23,"")</f>
        <v/>
      </c>
      <c r="T23" s="86">
        <f>IFERROR(E23/R23,"")</f>
        <v/>
      </c>
      <c r="U23" s="87">
        <f>SUMIFS(Raw_Data!$AR$2:$AR$2552,Raw_Data!$D$2:$D$2552,$A23,Raw_Data!$L$2:$L$2552,$B23)</f>
        <v/>
      </c>
      <c r="V23" s="87">
        <f>SUMIFS(Raw_Data!$AS$2:$AS$2552,Raw_Data!$D$2:$D$2552,$A23,Raw_Data!$L$2:$L$2552,$B23)</f>
        <v/>
      </c>
      <c r="W23" s="87">
        <f>O23+U23</f>
        <v/>
      </c>
      <c r="X23" s="86">
        <f>SUMIFS(Raw_Data!$AU$2:$AU$2552,Raw_Data!$D$2:$D$2552,$A23,Raw_Data!$L$2:$L$2552,$B23)</f>
        <v/>
      </c>
      <c r="Y23" s="18">
        <f>IFERROR(E23/Summary!$B$17,"")</f>
        <v/>
      </c>
      <c r="Z23" s="18">
        <f>IFERROR(O23/Summary!$L$17,"")</f>
        <v/>
      </c>
      <c r="AA23" s="99" t="n">
        <v>46235</v>
      </c>
      <c r="AB23" s="99" t="n">
        <v>46265</v>
      </c>
      <c r="AC23" s="100">
        <f>AB23-AA23+1</f>
        <v/>
      </c>
      <c r="AD23" s="87">
        <f>SUMIFS(Raw_Data!$AC$2:$AC$2552,Raw_Data!$D$2:$D$2552,$A23,Raw_Data!$L$2:$L$2552,$B23)</f>
        <v/>
      </c>
      <c r="AE23" s="87">
        <f>SUMIFS(Raw_Data!$AD$2:$AD$2552,Raw_Data!$D$2:$D$2552,$A23,Raw_Data!$L$2:$L$2552,$B23)</f>
        <v/>
      </c>
      <c r="AF23" s="87">
        <f>SUMIFS(Raw_Data!$AE$2:$AE$2552,Raw_Data!$D$2:$D$2552,$A23,Raw_Data!$L$2:$L$2552,$B23)</f>
        <v/>
      </c>
      <c r="AG23" s="87">
        <f>SUMIFS(Raw_Data!$AF$2:$AF$2552,Raw_Data!$D$2:$D$2552,$A23,Raw_Data!$L$2:$L$2552,$B23)</f>
        <v/>
      </c>
      <c r="AH23" s="87">
        <f>SUMIFS(Raw_Data!$AG$2:$AG$2552,Raw_Data!$D$2:$D$2552,$A23,Raw_Data!$L$2:$L$2552,$B23)</f>
        <v/>
      </c>
      <c r="AI23" s="87">
        <f>SUMIFS(Raw_Data!$AH$2:$AH$2552,Raw_Data!$D$2:$D$2552,$A23,Raw_Data!$L$2:$L$2552,$B23)</f>
        <v/>
      </c>
      <c r="AJ23" s="18">
        <f>IFERROR(AD23/F23,"")</f>
        <v/>
      </c>
      <c r="AK23" s="18">
        <f>IFERROR(AI23/F23,"")</f>
        <v/>
      </c>
      <c r="AL23" s="87">
        <f>SUMIFS(Raw_Data!$AK$2:$AK$2552,Raw_Data!$D$2:$D$2552,$A23,Raw_Data!$L$2:$L$2552,$B23)</f>
        <v/>
      </c>
    </row>
    <row r="24">
      <c r="A24" s="6" t="inlineStr">
        <is>
          <t>Meta (FB/IG)</t>
        </is>
      </c>
      <c r="B24" s="78" t="inlineStr">
        <is>
          <t>RMKT_STA_BookNow_v1</t>
        </is>
      </c>
      <c r="C24" s="78" t="inlineStr">
        <is>
          <t>Static 1:1</t>
        </is>
      </c>
      <c r="D24" s="78" t="inlineStr">
        <is>
          <t>Your test drive is 2 minutes away</t>
        </is>
      </c>
      <c r="E24" s="86">
        <f>SUMIFS(Raw_Data!$R$2:$R$2552,Raw_Data!$D$2:$D$2552,$A24,Raw_Data!$L$2:$L$2552,$B24)</f>
        <v/>
      </c>
      <c r="F24" s="87">
        <f>SUMIFS(Raw_Data!$S$2:$S$2552,Raw_Data!$D$2:$D$2552,$A24,Raw_Data!$L$2:$L$2552,$B24)</f>
        <v/>
      </c>
      <c r="G24" s="87">
        <f>SUMIFS(Raw_Data!$T$2:$T$2552,Raw_Data!$D$2:$D$2552,$A24,Raw_Data!$L$2:$L$2552,$B24)</f>
        <v/>
      </c>
      <c r="H24" s="88">
        <f>IFERROR(F24/G24,"")</f>
        <v/>
      </c>
      <c r="I24" s="87">
        <f>SUMIFS(Raw_Data!$W$2:$W$2552,Raw_Data!$D$2:$D$2552,$A24,Raw_Data!$L$2:$L$2552,$B24)</f>
        <v/>
      </c>
      <c r="J24" s="89">
        <f>IFERROR(I24/F24,"")</f>
        <v/>
      </c>
      <c r="K24" s="90">
        <f>IFERROR(E24/I24,"")</f>
        <v/>
      </c>
      <c r="L24" s="90">
        <f>IFERROR(E24/F24*1000,"")</f>
        <v/>
      </c>
      <c r="M24" s="87">
        <f>SUMIFS(Raw_Data!$AA$2:$AA$2552,Raw_Data!$D$2:$D$2552,$A24,Raw_Data!$L$2:$L$2552,$B24)</f>
        <v/>
      </c>
      <c r="N24" s="18">
        <f>IFERROR(M24/I24,"")</f>
        <v/>
      </c>
      <c r="O24" s="87">
        <f>SUMIFS(Raw_Data!$AL$2:$AL$2552,Raw_Data!$D$2:$D$2552,$A24,Raw_Data!$L$2:$L$2552,$B24)</f>
        <v/>
      </c>
      <c r="P24" s="89">
        <f>IFERROR(O24/M24,"")</f>
        <v/>
      </c>
      <c r="Q24" s="86">
        <f>IFERROR(E24/O24,"")</f>
        <v/>
      </c>
      <c r="R24" s="87">
        <f>SUMIFS(Raw_Data!$AO$2:$AO$2552,Raw_Data!$D$2:$D$2552,$A24,Raw_Data!$L$2:$L$2552,$B24)</f>
        <v/>
      </c>
      <c r="S24" s="18">
        <f>IFERROR(R24/O24,"")</f>
        <v/>
      </c>
      <c r="T24" s="86">
        <f>IFERROR(E24/R24,"")</f>
        <v/>
      </c>
      <c r="U24" s="87">
        <f>SUMIFS(Raw_Data!$AR$2:$AR$2552,Raw_Data!$D$2:$D$2552,$A24,Raw_Data!$L$2:$L$2552,$B24)</f>
        <v/>
      </c>
      <c r="V24" s="87">
        <f>SUMIFS(Raw_Data!$AS$2:$AS$2552,Raw_Data!$D$2:$D$2552,$A24,Raw_Data!$L$2:$L$2552,$B24)</f>
        <v/>
      </c>
      <c r="W24" s="87">
        <f>O24+U24</f>
        <v/>
      </c>
      <c r="X24" s="86">
        <f>SUMIFS(Raw_Data!$AU$2:$AU$2552,Raw_Data!$D$2:$D$2552,$A24,Raw_Data!$L$2:$L$2552,$B24)</f>
        <v/>
      </c>
      <c r="Y24" s="18">
        <f>IFERROR(E24/Summary!$B$17,"")</f>
        <v/>
      </c>
      <c r="Z24" s="18">
        <f>IFERROR(O24/Summary!$L$17,"")</f>
        <v/>
      </c>
      <c r="AA24" s="99" t="n">
        <v>46235</v>
      </c>
      <c r="AB24" s="99" t="n">
        <v>46265</v>
      </c>
      <c r="AC24" s="100">
        <f>AB24-AA24+1</f>
        <v/>
      </c>
      <c r="AD24" s="87">
        <f>SUMIFS(Raw_Data!$AC$2:$AC$2552,Raw_Data!$D$2:$D$2552,$A24,Raw_Data!$L$2:$L$2552,$B24)</f>
        <v/>
      </c>
      <c r="AE24" s="87">
        <f>SUMIFS(Raw_Data!$AD$2:$AD$2552,Raw_Data!$D$2:$D$2552,$A24,Raw_Data!$L$2:$L$2552,$B24)</f>
        <v/>
      </c>
      <c r="AF24" s="87">
        <f>SUMIFS(Raw_Data!$AE$2:$AE$2552,Raw_Data!$D$2:$D$2552,$A24,Raw_Data!$L$2:$L$2552,$B24)</f>
        <v/>
      </c>
      <c r="AG24" s="87">
        <f>SUMIFS(Raw_Data!$AF$2:$AF$2552,Raw_Data!$D$2:$D$2552,$A24,Raw_Data!$L$2:$L$2552,$B24)</f>
        <v/>
      </c>
      <c r="AH24" s="87">
        <f>SUMIFS(Raw_Data!$AG$2:$AG$2552,Raw_Data!$D$2:$D$2552,$A24,Raw_Data!$L$2:$L$2552,$B24)</f>
        <v/>
      </c>
      <c r="AI24" s="87">
        <f>SUMIFS(Raw_Data!$AH$2:$AH$2552,Raw_Data!$D$2:$D$2552,$A24,Raw_Data!$L$2:$L$2552,$B24)</f>
        <v/>
      </c>
      <c r="AJ24" s="18">
        <f>IFERROR(AD24/F24,"")</f>
        <v/>
      </c>
      <c r="AK24" s="18">
        <f>IFERROR(AI24/F24,"")</f>
        <v/>
      </c>
      <c r="AL24" s="87">
        <f>SUMIFS(Raw_Data!$AK$2:$AK$2552,Raw_Data!$D$2:$D$2552,$A24,Raw_Data!$L$2:$L$2552,$B24)</f>
        <v/>
      </c>
    </row>
    <row r="25">
      <c r="A25" s="6" t="inlineStr">
        <is>
          <t>Meta (FB/IG)</t>
        </is>
      </c>
      <c r="B25" s="78" t="inlineStr">
        <is>
          <t>RMKT_VID_10s_Recap_v1</t>
        </is>
      </c>
      <c r="C25" s="78" t="inlineStr">
        <is>
          <t>Video 9:16</t>
        </is>
      </c>
      <c r="D25" s="78" t="inlineStr">
        <is>
          <t>10 seconds. Then book.</t>
        </is>
      </c>
      <c r="E25" s="86">
        <f>SUMIFS(Raw_Data!$R$2:$R$2552,Raw_Data!$D$2:$D$2552,$A25,Raw_Data!$L$2:$L$2552,$B25)</f>
        <v/>
      </c>
      <c r="F25" s="87">
        <f>SUMIFS(Raw_Data!$S$2:$S$2552,Raw_Data!$D$2:$D$2552,$A25,Raw_Data!$L$2:$L$2552,$B25)</f>
        <v/>
      </c>
      <c r="G25" s="87">
        <f>SUMIFS(Raw_Data!$T$2:$T$2552,Raw_Data!$D$2:$D$2552,$A25,Raw_Data!$L$2:$L$2552,$B25)</f>
        <v/>
      </c>
      <c r="H25" s="88">
        <f>IFERROR(F25/G25,"")</f>
        <v/>
      </c>
      <c r="I25" s="87">
        <f>SUMIFS(Raw_Data!$W$2:$W$2552,Raw_Data!$D$2:$D$2552,$A25,Raw_Data!$L$2:$L$2552,$B25)</f>
        <v/>
      </c>
      <c r="J25" s="89">
        <f>IFERROR(I25/F25,"")</f>
        <v/>
      </c>
      <c r="K25" s="90">
        <f>IFERROR(E25/I25,"")</f>
        <v/>
      </c>
      <c r="L25" s="90">
        <f>IFERROR(E25/F25*1000,"")</f>
        <v/>
      </c>
      <c r="M25" s="87">
        <f>SUMIFS(Raw_Data!$AA$2:$AA$2552,Raw_Data!$D$2:$D$2552,$A25,Raw_Data!$L$2:$L$2552,$B25)</f>
        <v/>
      </c>
      <c r="N25" s="18">
        <f>IFERROR(M25/I25,"")</f>
        <v/>
      </c>
      <c r="O25" s="87">
        <f>SUMIFS(Raw_Data!$AL$2:$AL$2552,Raw_Data!$D$2:$D$2552,$A25,Raw_Data!$L$2:$L$2552,$B25)</f>
        <v/>
      </c>
      <c r="P25" s="89">
        <f>IFERROR(O25/M25,"")</f>
        <v/>
      </c>
      <c r="Q25" s="86">
        <f>IFERROR(E25/O25,"")</f>
        <v/>
      </c>
      <c r="R25" s="87">
        <f>SUMIFS(Raw_Data!$AO$2:$AO$2552,Raw_Data!$D$2:$D$2552,$A25,Raw_Data!$L$2:$L$2552,$B25)</f>
        <v/>
      </c>
      <c r="S25" s="18">
        <f>IFERROR(R25/O25,"")</f>
        <v/>
      </c>
      <c r="T25" s="86">
        <f>IFERROR(E25/R25,"")</f>
        <v/>
      </c>
      <c r="U25" s="87">
        <f>SUMIFS(Raw_Data!$AR$2:$AR$2552,Raw_Data!$D$2:$D$2552,$A25,Raw_Data!$L$2:$L$2552,$B25)</f>
        <v/>
      </c>
      <c r="V25" s="87">
        <f>SUMIFS(Raw_Data!$AS$2:$AS$2552,Raw_Data!$D$2:$D$2552,$A25,Raw_Data!$L$2:$L$2552,$B25)</f>
        <v/>
      </c>
      <c r="W25" s="87">
        <f>O25+U25</f>
        <v/>
      </c>
      <c r="X25" s="86">
        <f>SUMIFS(Raw_Data!$AU$2:$AU$2552,Raw_Data!$D$2:$D$2552,$A25,Raw_Data!$L$2:$L$2552,$B25)</f>
        <v/>
      </c>
      <c r="Y25" s="18">
        <f>IFERROR(E25/Summary!$B$17,"")</f>
        <v/>
      </c>
      <c r="Z25" s="18">
        <f>IFERROR(O25/Summary!$L$17,"")</f>
        <v/>
      </c>
      <c r="AA25" s="99" t="n">
        <v>46235</v>
      </c>
      <c r="AB25" s="99" t="n">
        <v>46265</v>
      </c>
      <c r="AC25" s="100">
        <f>AB25-AA25+1</f>
        <v/>
      </c>
      <c r="AD25" s="87">
        <f>SUMIFS(Raw_Data!$AC$2:$AC$2552,Raw_Data!$D$2:$D$2552,$A25,Raw_Data!$L$2:$L$2552,$B25)</f>
        <v/>
      </c>
      <c r="AE25" s="87">
        <f>SUMIFS(Raw_Data!$AD$2:$AD$2552,Raw_Data!$D$2:$D$2552,$A25,Raw_Data!$L$2:$L$2552,$B25)</f>
        <v/>
      </c>
      <c r="AF25" s="87">
        <f>SUMIFS(Raw_Data!$AE$2:$AE$2552,Raw_Data!$D$2:$D$2552,$A25,Raw_Data!$L$2:$L$2552,$B25)</f>
        <v/>
      </c>
      <c r="AG25" s="87">
        <f>SUMIFS(Raw_Data!$AF$2:$AF$2552,Raw_Data!$D$2:$D$2552,$A25,Raw_Data!$L$2:$L$2552,$B25)</f>
        <v/>
      </c>
      <c r="AH25" s="87">
        <f>SUMIFS(Raw_Data!$AG$2:$AG$2552,Raw_Data!$D$2:$D$2552,$A25,Raw_Data!$L$2:$L$2552,$B25)</f>
        <v/>
      </c>
      <c r="AI25" s="87">
        <f>SUMIFS(Raw_Data!$AH$2:$AH$2552,Raw_Data!$D$2:$D$2552,$A25,Raw_Data!$L$2:$L$2552,$B25)</f>
        <v/>
      </c>
      <c r="AJ25" s="18">
        <f>IFERROR(AD25/F25,"")</f>
        <v/>
      </c>
      <c r="AK25" s="18">
        <f>IFERROR(AI25/F25,"")</f>
        <v/>
      </c>
      <c r="AL25" s="87">
        <f>SUMIFS(Raw_Data!$AK$2:$AK$2552,Raw_Data!$D$2:$D$2552,$A25,Raw_Data!$L$2:$L$2552,$B25)</f>
        <v/>
      </c>
    </row>
    <row r="26">
      <c r="A26" s="6" t="inlineStr">
        <is>
          <t>Meta (FB/IG)</t>
        </is>
      </c>
      <c r="B26" s="78" t="inlineStr">
        <is>
          <t>RMKT_CAR_3card_Offers_v1</t>
        </is>
      </c>
      <c r="C26" s="78" t="inlineStr">
        <is>
          <t>Carousel</t>
        </is>
      </c>
      <c r="D26" s="78" t="inlineStr">
        <is>
          <t>All three. One test drive slot.</t>
        </is>
      </c>
      <c r="E26" s="86">
        <f>SUMIFS(Raw_Data!$R$2:$R$2552,Raw_Data!$D$2:$D$2552,$A26,Raw_Data!$L$2:$L$2552,$B26)</f>
        <v/>
      </c>
      <c r="F26" s="87">
        <f>SUMIFS(Raw_Data!$S$2:$S$2552,Raw_Data!$D$2:$D$2552,$A26,Raw_Data!$L$2:$L$2552,$B26)</f>
        <v/>
      </c>
      <c r="G26" s="87">
        <f>SUMIFS(Raw_Data!$T$2:$T$2552,Raw_Data!$D$2:$D$2552,$A26,Raw_Data!$L$2:$L$2552,$B26)</f>
        <v/>
      </c>
      <c r="H26" s="88">
        <f>IFERROR(F26/G26,"")</f>
        <v/>
      </c>
      <c r="I26" s="87">
        <f>SUMIFS(Raw_Data!$W$2:$W$2552,Raw_Data!$D$2:$D$2552,$A26,Raw_Data!$L$2:$L$2552,$B26)</f>
        <v/>
      </c>
      <c r="J26" s="89">
        <f>IFERROR(I26/F26,"")</f>
        <v/>
      </c>
      <c r="K26" s="90">
        <f>IFERROR(E26/I26,"")</f>
        <v/>
      </c>
      <c r="L26" s="90">
        <f>IFERROR(E26/F26*1000,"")</f>
        <v/>
      </c>
      <c r="M26" s="87">
        <f>SUMIFS(Raw_Data!$AA$2:$AA$2552,Raw_Data!$D$2:$D$2552,$A26,Raw_Data!$L$2:$L$2552,$B26)</f>
        <v/>
      </c>
      <c r="N26" s="18">
        <f>IFERROR(M26/I26,"")</f>
        <v/>
      </c>
      <c r="O26" s="87">
        <f>SUMIFS(Raw_Data!$AL$2:$AL$2552,Raw_Data!$D$2:$D$2552,$A26,Raw_Data!$L$2:$L$2552,$B26)</f>
        <v/>
      </c>
      <c r="P26" s="89">
        <f>IFERROR(O26/M26,"")</f>
        <v/>
      </c>
      <c r="Q26" s="86">
        <f>IFERROR(E26/O26,"")</f>
        <v/>
      </c>
      <c r="R26" s="87">
        <f>SUMIFS(Raw_Data!$AO$2:$AO$2552,Raw_Data!$D$2:$D$2552,$A26,Raw_Data!$L$2:$L$2552,$B26)</f>
        <v/>
      </c>
      <c r="S26" s="18">
        <f>IFERROR(R26/O26,"")</f>
        <v/>
      </c>
      <c r="T26" s="86">
        <f>IFERROR(E26/R26,"")</f>
        <v/>
      </c>
      <c r="U26" s="87">
        <f>SUMIFS(Raw_Data!$AR$2:$AR$2552,Raw_Data!$D$2:$D$2552,$A26,Raw_Data!$L$2:$L$2552,$B26)</f>
        <v/>
      </c>
      <c r="V26" s="87">
        <f>SUMIFS(Raw_Data!$AS$2:$AS$2552,Raw_Data!$D$2:$D$2552,$A26,Raw_Data!$L$2:$L$2552,$B26)</f>
        <v/>
      </c>
      <c r="W26" s="87">
        <f>O26+U26</f>
        <v/>
      </c>
      <c r="X26" s="86">
        <f>SUMIFS(Raw_Data!$AU$2:$AU$2552,Raw_Data!$D$2:$D$2552,$A26,Raw_Data!$L$2:$L$2552,$B26)</f>
        <v/>
      </c>
      <c r="Y26" s="18">
        <f>IFERROR(E26/Summary!$B$17,"")</f>
        <v/>
      </c>
      <c r="Z26" s="18">
        <f>IFERROR(O26/Summary!$L$17,"")</f>
        <v/>
      </c>
      <c r="AA26" s="99" t="n">
        <v>46241</v>
      </c>
      <c r="AB26" s="99" t="n">
        <v>46265</v>
      </c>
      <c r="AC26" s="100">
        <f>AB26-AA26+1</f>
        <v/>
      </c>
      <c r="AD26" s="87">
        <f>SUMIFS(Raw_Data!$AC$2:$AC$2552,Raw_Data!$D$2:$D$2552,$A26,Raw_Data!$L$2:$L$2552,$B26)</f>
        <v/>
      </c>
      <c r="AE26" s="87">
        <f>SUMIFS(Raw_Data!$AD$2:$AD$2552,Raw_Data!$D$2:$D$2552,$A26,Raw_Data!$L$2:$L$2552,$B26)</f>
        <v/>
      </c>
      <c r="AF26" s="87">
        <f>SUMIFS(Raw_Data!$AE$2:$AE$2552,Raw_Data!$D$2:$D$2552,$A26,Raw_Data!$L$2:$L$2552,$B26)</f>
        <v/>
      </c>
      <c r="AG26" s="87">
        <f>SUMIFS(Raw_Data!$AF$2:$AF$2552,Raw_Data!$D$2:$D$2552,$A26,Raw_Data!$L$2:$L$2552,$B26)</f>
        <v/>
      </c>
      <c r="AH26" s="87">
        <f>SUMIFS(Raw_Data!$AG$2:$AG$2552,Raw_Data!$D$2:$D$2552,$A26,Raw_Data!$L$2:$L$2552,$B26)</f>
        <v/>
      </c>
      <c r="AI26" s="87">
        <f>SUMIFS(Raw_Data!$AH$2:$AH$2552,Raw_Data!$D$2:$D$2552,$A26,Raw_Data!$L$2:$L$2552,$B26)</f>
        <v/>
      </c>
      <c r="AJ26" s="18">
        <f>IFERROR(AD26/F26,"")</f>
        <v/>
      </c>
      <c r="AK26" s="18">
        <f>IFERROR(AI26/F26,"")</f>
        <v/>
      </c>
      <c r="AL26" s="87">
        <f>SUMIFS(Raw_Data!$AK$2:$AK$2552,Raw_Data!$D$2:$D$2552,$A26,Raw_Data!$L$2:$L$2552,$B26)</f>
        <v/>
      </c>
    </row>
    <row r="27">
      <c r="A27" s="6" t="inlineStr">
        <is>
          <t>Meta (FB/IG)</t>
        </is>
      </c>
      <c r="B27" s="78" t="inlineStr">
        <is>
          <t>RMKT_STA_FinishBooking_v1</t>
        </is>
      </c>
      <c r="C27" s="78" t="inlineStr">
        <is>
          <t>Static 1:1</t>
        </is>
      </c>
      <c r="D27" s="78" t="inlineStr">
        <is>
          <t>You left one field empty</t>
        </is>
      </c>
      <c r="E27" s="86">
        <f>SUMIFS(Raw_Data!$R$2:$R$2552,Raw_Data!$D$2:$D$2552,$A27,Raw_Data!$L$2:$L$2552,$B27)</f>
        <v/>
      </c>
      <c r="F27" s="87">
        <f>SUMIFS(Raw_Data!$S$2:$S$2552,Raw_Data!$D$2:$D$2552,$A27,Raw_Data!$L$2:$L$2552,$B27)</f>
        <v/>
      </c>
      <c r="G27" s="87">
        <f>SUMIFS(Raw_Data!$T$2:$T$2552,Raw_Data!$D$2:$D$2552,$A27,Raw_Data!$L$2:$L$2552,$B27)</f>
        <v/>
      </c>
      <c r="H27" s="88">
        <f>IFERROR(F27/G27,"")</f>
        <v/>
      </c>
      <c r="I27" s="87">
        <f>SUMIFS(Raw_Data!$W$2:$W$2552,Raw_Data!$D$2:$D$2552,$A27,Raw_Data!$L$2:$L$2552,$B27)</f>
        <v/>
      </c>
      <c r="J27" s="89">
        <f>IFERROR(I27/F27,"")</f>
        <v/>
      </c>
      <c r="K27" s="90">
        <f>IFERROR(E27/I27,"")</f>
        <v/>
      </c>
      <c r="L27" s="90">
        <f>IFERROR(E27/F27*1000,"")</f>
        <v/>
      </c>
      <c r="M27" s="87">
        <f>SUMIFS(Raw_Data!$AA$2:$AA$2552,Raw_Data!$D$2:$D$2552,$A27,Raw_Data!$L$2:$L$2552,$B27)</f>
        <v/>
      </c>
      <c r="N27" s="18">
        <f>IFERROR(M27/I27,"")</f>
        <v/>
      </c>
      <c r="O27" s="87">
        <f>SUMIFS(Raw_Data!$AL$2:$AL$2552,Raw_Data!$D$2:$D$2552,$A27,Raw_Data!$L$2:$L$2552,$B27)</f>
        <v/>
      </c>
      <c r="P27" s="89">
        <f>IFERROR(O27/M27,"")</f>
        <v/>
      </c>
      <c r="Q27" s="86">
        <f>IFERROR(E27/O27,"")</f>
        <v/>
      </c>
      <c r="R27" s="87">
        <f>SUMIFS(Raw_Data!$AO$2:$AO$2552,Raw_Data!$D$2:$D$2552,$A27,Raw_Data!$L$2:$L$2552,$B27)</f>
        <v/>
      </c>
      <c r="S27" s="18">
        <f>IFERROR(R27/O27,"")</f>
        <v/>
      </c>
      <c r="T27" s="86">
        <f>IFERROR(E27/R27,"")</f>
        <v/>
      </c>
      <c r="U27" s="87">
        <f>SUMIFS(Raw_Data!$AR$2:$AR$2552,Raw_Data!$D$2:$D$2552,$A27,Raw_Data!$L$2:$L$2552,$B27)</f>
        <v/>
      </c>
      <c r="V27" s="87">
        <f>SUMIFS(Raw_Data!$AS$2:$AS$2552,Raw_Data!$D$2:$D$2552,$A27,Raw_Data!$L$2:$L$2552,$B27)</f>
        <v/>
      </c>
      <c r="W27" s="87">
        <f>O27+U27</f>
        <v/>
      </c>
      <c r="X27" s="86">
        <f>SUMIFS(Raw_Data!$AU$2:$AU$2552,Raw_Data!$D$2:$D$2552,$A27,Raw_Data!$L$2:$L$2552,$B27)</f>
        <v/>
      </c>
      <c r="Y27" s="18">
        <f>IFERROR(E27/Summary!$B$17,"")</f>
        <v/>
      </c>
      <c r="Z27" s="18">
        <f>IFERROR(O27/Summary!$L$17,"")</f>
        <v/>
      </c>
      <c r="AA27" s="99" t="n">
        <v>46235</v>
      </c>
      <c r="AB27" s="99" t="n">
        <v>46265</v>
      </c>
      <c r="AC27" s="100">
        <f>AB27-AA27+1</f>
        <v/>
      </c>
      <c r="AD27" s="87">
        <f>SUMIFS(Raw_Data!$AC$2:$AC$2552,Raw_Data!$D$2:$D$2552,$A27,Raw_Data!$L$2:$L$2552,$B27)</f>
        <v/>
      </c>
      <c r="AE27" s="87">
        <f>SUMIFS(Raw_Data!$AD$2:$AD$2552,Raw_Data!$D$2:$D$2552,$A27,Raw_Data!$L$2:$L$2552,$B27)</f>
        <v/>
      </c>
      <c r="AF27" s="87">
        <f>SUMIFS(Raw_Data!$AE$2:$AE$2552,Raw_Data!$D$2:$D$2552,$A27,Raw_Data!$L$2:$L$2552,$B27)</f>
        <v/>
      </c>
      <c r="AG27" s="87">
        <f>SUMIFS(Raw_Data!$AF$2:$AF$2552,Raw_Data!$D$2:$D$2552,$A27,Raw_Data!$L$2:$L$2552,$B27)</f>
        <v/>
      </c>
      <c r="AH27" s="87">
        <f>SUMIFS(Raw_Data!$AG$2:$AG$2552,Raw_Data!$D$2:$D$2552,$A27,Raw_Data!$L$2:$L$2552,$B27)</f>
        <v/>
      </c>
      <c r="AI27" s="87">
        <f>SUMIFS(Raw_Data!$AH$2:$AH$2552,Raw_Data!$D$2:$D$2552,$A27,Raw_Data!$L$2:$L$2552,$B27)</f>
        <v/>
      </c>
      <c r="AJ27" s="18">
        <f>IFERROR(AD27/F27,"")</f>
        <v/>
      </c>
      <c r="AK27" s="18">
        <f>IFERROR(AI27/F27,"")</f>
        <v/>
      </c>
      <c r="AL27" s="87">
        <f>SUMIFS(Raw_Data!$AK$2:$AK$2552,Raw_Data!$D$2:$D$2552,$A27,Raw_Data!$L$2:$L$2552,$B27)</f>
        <v/>
      </c>
    </row>
    <row r="28">
      <c r="A28" s="6" t="inlineStr">
        <is>
          <t>TikTok</t>
        </is>
      </c>
      <c r="B28" s="78" t="inlineStr">
        <is>
          <t>TT_AMUR_UGC_15s_FirstCar_v1</t>
        </is>
      </c>
      <c r="C28" s="78" t="inlineStr">
        <is>
          <t>Video 9:16</t>
        </is>
      </c>
      <c r="D28" s="78" t="inlineStr">
        <is>
          <t>POV: your first car isn't second-hand</t>
        </is>
      </c>
      <c r="E28" s="86">
        <f>SUMIFS(Raw_Data!$R$2:$R$2552,Raw_Data!$D$2:$D$2552,$A28,Raw_Data!$L$2:$L$2552,$B28)</f>
        <v/>
      </c>
      <c r="F28" s="87">
        <f>SUMIFS(Raw_Data!$S$2:$S$2552,Raw_Data!$D$2:$D$2552,$A28,Raw_Data!$L$2:$L$2552,$B28)</f>
        <v/>
      </c>
      <c r="G28" s="87">
        <f>SUMIFS(Raw_Data!$T$2:$T$2552,Raw_Data!$D$2:$D$2552,$A28,Raw_Data!$L$2:$L$2552,$B28)</f>
        <v/>
      </c>
      <c r="H28" s="88">
        <f>IFERROR(F28/G28,"")</f>
        <v/>
      </c>
      <c r="I28" s="87">
        <f>SUMIFS(Raw_Data!$W$2:$W$2552,Raw_Data!$D$2:$D$2552,$A28,Raw_Data!$L$2:$L$2552,$B28)</f>
        <v/>
      </c>
      <c r="J28" s="89">
        <f>IFERROR(I28/F28,"")</f>
        <v/>
      </c>
      <c r="K28" s="90">
        <f>IFERROR(E28/I28,"")</f>
        <v/>
      </c>
      <c r="L28" s="90">
        <f>IFERROR(E28/F28*1000,"")</f>
        <v/>
      </c>
      <c r="M28" s="87">
        <f>SUMIFS(Raw_Data!$AA$2:$AA$2552,Raw_Data!$D$2:$D$2552,$A28,Raw_Data!$L$2:$L$2552,$B28)</f>
        <v/>
      </c>
      <c r="N28" s="18">
        <f>IFERROR(M28/I28,"")</f>
        <v/>
      </c>
      <c r="O28" s="87">
        <f>SUMIFS(Raw_Data!$AL$2:$AL$2552,Raw_Data!$D$2:$D$2552,$A28,Raw_Data!$L$2:$L$2552,$B28)</f>
        <v/>
      </c>
      <c r="P28" s="89">
        <f>IFERROR(O28/M28,"")</f>
        <v/>
      </c>
      <c r="Q28" s="86">
        <f>IFERROR(E28/O28,"")</f>
        <v/>
      </c>
      <c r="R28" s="87">
        <f>SUMIFS(Raw_Data!$AO$2:$AO$2552,Raw_Data!$D$2:$D$2552,$A28,Raw_Data!$L$2:$L$2552,$B28)</f>
        <v/>
      </c>
      <c r="S28" s="18">
        <f>IFERROR(R28/O28,"")</f>
        <v/>
      </c>
      <c r="T28" s="86">
        <f>IFERROR(E28/R28,"")</f>
        <v/>
      </c>
      <c r="U28" s="87">
        <f>SUMIFS(Raw_Data!$AR$2:$AR$2552,Raw_Data!$D$2:$D$2552,$A28,Raw_Data!$L$2:$L$2552,$B28)</f>
        <v/>
      </c>
      <c r="V28" s="87">
        <f>SUMIFS(Raw_Data!$AS$2:$AS$2552,Raw_Data!$D$2:$D$2552,$A28,Raw_Data!$L$2:$L$2552,$B28)</f>
        <v/>
      </c>
      <c r="W28" s="87">
        <f>O28+U28</f>
        <v/>
      </c>
      <c r="X28" s="86">
        <f>SUMIFS(Raw_Data!$AU$2:$AU$2552,Raw_Data!$D$2:$D$2552,$A28,Raw_Data!$L$2:$L$2552,$B28)</f>
        <v/>
      </c>
      <c r="Y28" s="18">
        <f>IFERROR(E28/Summary!$B$17,"")</f>
        <v/>
      </c>
      <c r="Z28" s="18">
        <f>IFERROR(O28/Summary!$L$17,"")</f>
        <v/>
      </c>
      <c r="AA28" s="99" t="n">
        <v>46235</v>
      </c>
      <c r="AB28" s="99" t="n">
        <v>46265</v>
      </c>
      <c r="AC28" s="100">
        <f>AB28-AA28+1</f>
        <v/>
      </c>
      <c r="AD28" s="87">
        <f>SUMIFS(Raw_Data!$AC$2:$AC$2552,Raw_Data!$D$2:$D$2552,$A28,Raw_Data!$L$2:$L$2552,$B28)</f>
        <v/>
      </c>
      <c r="AE28" s="87">
        <f>SUMIFS(Raw_Data!$AD$2:$AD$2552,Raw_Data!$D$2:$D$2552,$A28,Raw_Data!$L$2:$L$2552,$B28)</f>
        <v/>
      </c>
      <c r="AF28" s="87">
        <f>SUMIFS(Raw_Data!$AE$2:$AE$2552,Raw_Data!$D$2:$D$2552,$A28,Raw_Data!$L$2:$L$2552,$B28)</f>
        <v/>
      </c>
      <c r="AG28" s="87">
        <f>SUMIFS(Raw_Data!$AF$2:$AF$2552,Raw_Data!$D$2:$D$2552,$A28,Raw_Data!$L$2:$L$2552,$B28)</f>
        <v/>
      </c>
      <c r="AH28" s="87">
        <f>SUMIFS(Raw_Data!$AG$2:$AG$2552,Raw_Data!$D$2:$D$2552,$A28,Raw_Data!$L$2:$L$2552,$B28)</f>
        <v/>
      </c>
      <c r="AI28" s="87">
        <f>SUMIFS(Raw_Data!$AH$2:$AH$2552,Raw_Data!$D$2:$D$2552,$A28,Raw_Data!$L$2:$L$2552,$B28)</f>
        <v/>
      </c>
      <c r="AJ28" s="18">
        <f>IFERROR(AD28/F28,"")</f>
        <v/>
      </c>
      <c r="AK28" s="18">
        <f>IFERROR(AI28/F28,"")</f>
        <v/>
      </c>
      <c r="AL28" s="87">
        <f>SUMIFS(Raw_Data!$AK$2:$AK$2552,Raw_Data!$D$2:$D$2552,$A28,Raw_Data!$L$2:$L$2552,$B28)</f>
        <v/>
      </c>
    </row>
    <row r="29">
      <c r="A29" s="6" t="inlineStr">
        <is>
          <t>TikTok</t>
        </is>
      </c>
      <c r="B29" s="78" t="inlineStr">
        <is>
          <t>TT_AMUR_TREND_12s_Reveal_v1</t>
        </is>
      </c>
      <c r="C29" s="78" t="inlineStr">
        <is>
          <t>Video 9:16</t>
        </is>
      </c>
      <c r="D29" s="78" t="inlineStr">
        <is>
          <t>Cover reveal trend - AMUR edition</t>
        </is>
      </c>
      <c r="E29" s="86">
        <f>SUMIFS(Raw_Data!$R$2:$R$2552,Raw_Data!$D$2:$D$2552,$A29,Raw_Data!$L$2:$L$2552,$B29)</f>
        <v/>
      </c>
      <c r="F29" s="87">
        <f>SUMIFS(Raw_Data!$S$2:$S$2552,Raw_Data!$D$2:$D$2552,$A29,Raw_Data!$L$2:$L$2552,$B29)</f>
        <v/>
      </c>
      <c r="G29" s="87">
        <f>SUMIFS(Raw_Data!$T$2:$T$2552,Raw_Data!$D$2:$D$2552,$A29,Raw_Data!$L$2:$L$2552,$B29)</f>
        <v/>
      </c>
      <c r="H29" s="88">
        <f>IFERROR(F29/G29,"")</f>
        <v/>
      </c>
      <c r="I29" s="87">
        <f>SUMIFS(Raw_Data!$W$2:$W$2552,Raw_Data!$D$2:$D$2552,$A29,Raw_Data!$L$2:$L$2552,$B29)</f>
        <v/>
      </c>
      <c r="J29" s="89">
        <f>IFERROR(I29/F29,"")</f>
        <v/>
      </c>
      <c r="K29" s="90">
        <f>IFERROR(E29/I29,"")</f>
        <v/>
      </c>
      <c r="L29" s="90">
        <f>IFERROR(E29/F29*1000,"")</f>
        <v/>
      </c>
      <c r="M29" s="87">
        <f>SUMIFS(Raw_Data!$AA$2:$AA$2552,Raw_Data!$D$2:$D$2552,$A29,Raw_Data!$L$2:$L$2552,$B29)</f>
        <v/>
      </c>
      <c r="N29" s="18">
        <f>IFERROR(M29/I29,"")</f>
        <v/>
      </c>
      <c r="O29" s="87">
        <f>SUMIFS(Raw_Data!$AL$2:$AL$2552,Raw_Data!$D$2:$D$2552,$A29,Raw_Data!$L$2:$L$2552,$B29)</f>
        <v/>
      </c>
      <c r="P29" s="89">
        <f>IFERROR(O29/M29,"")</f>
        <v/>
      </c>
      <c r="Q29" s="86">
        <f>IFERROR(E29/O29,"")</f>
        <v/>
      </c>
      <c r="R29" s="87">
        <f>SUMIFS(Raw_Data!$AO$2:$AO$2552,Raw_Data!$D$2:$D$2552,$A29,Raw_Data!$L$2:$L$2552,$B29)</f>
        <v/>
      </c>
      <c r="S29" s="18">
        <f>IFERROR(R29/O29,"")</f>
        <v/>
      </c>
      <c r="T29" s="86">
        <f>IFERROR(E29/R29,"")</f>
        <v/>
      </c>
      <c r="U29" s="87">
        <f>SUMIFS(Raw_Data!$AR$2:$AR$2552,Raw_Data!$D$2:$D$2552,$A29,Raw_Data!$L$2:$L$2552,$B29)</f>
        <v/>
      </c>
      <c r="V29" s="87">
        <f>SUMIFS(Raw_Data!$AS$2:$AS$2552,Raw_Data!$D$2:$D$2552,$A29,Raw_Data!$L$2:$L$2552,$B29)</f>
        <v/>
      </c>
      <c r="W29" s="87">
        <f>O29+U29</f>
        <v/>
      </c>
      <c r="X29" s="86">
        <f>SUMIFS(Raw_Data!$AU$2:$AU$2552,Raw_Data!$D$2:$D$2552,$A29,Raw_Data!$L$2:$L$2552,$B29)</f>
        <v/>
      </c>
      <c r="Y29" s="18">
        <f>IFERROR(E29/Summary!$B$17,"")</f>
        <v/>
      </c>
      <c r="Z29" s="18">
        <f>IFERROR(O29/Summary!$L$17,"")</f>
        <v/>
      </c>
      <c r="AA29" s="99" t="n">
        <v>46235</v>
      </c>
      <c r="AB29" s="99" t="n">
        <v>46251</v>
      </c>
      <c r="AC29" s="100">
        <f>AB29-AA29+1</f>
        <v/>
      </c>
      <c r="AD29" s="87">
        <f>SUMIFS(Raw_Data!$AC$2:$AC$2552,Raw_Data!$D$2:$D$2552,$A29,Raw_Data!$L$2:$L$2552,$B29)</f>
        <v/>
      </c>
      <c r="AE29" s="87">
        <f>SUMIFS(Raw_Data!$AD$2:$AD$2552,Raw_Data!$D$2:$D$2552,$A29,Raw_Data!$L$2:$L$2552,$B29)</f>
        <v/>
      </c>
      <c r="AF29" s="87">
        <f>SUMIFS(Raw_Data!$AE$2:$AE$2552,Raw_Data!$D$2:$D$2552,$A29,Raw_Data!$L$2:$L$2552,$B29)</f>
        <v/>
      </c>
      <c r="AG29" s="87">
        <f>SUMIFS(Raw_Data!$AF$2:$AF$2552,Raw_Data!$D$2:$D$2552,$A29,Raw_Data!$L$2:$L$2552,$B29)</f>
        <v/>
      </c>
      <c r="AH29" s="87">
        <f>SUMIFS(Raw_Data!$AG$2:$AG$2552,Raw_Data!$D$2:$D$2552,$A29,Raw_Data!$L$2:$L$2552,$B29)</f>
        <v/>
      </c>
      <c r="AI29" s="87">
        <f>SUMIFS(Raw_Data!$AH$2:$AH$2552,Raw_Data!$D$2:$D$2552,$A29,Raw_Data!$L$2:$L$2552,$B29)</f>
        <v/>
      </c>
      <c r="AJ29" s="18">
        <f>IFERROR(AD29/F29,"")</f>
        <v/>
      </c>
      <c r="AK29" s="18">
        <f>IFERROR(AI29/F29,"")</f>
        <v/>
      </c>
      <c r="AL29" s="87">
        <f>SUMIFS(Raw_Data!$AK$2:$AK$2552,Raw_Data!$D$2:$D$2552,$A29,Raw_Data!$L$2:$L$2552,$B29)</f>
        <v/>
      </c>
    </row>
    <row r="30">
      <c r="A30" s="6" t="inlineStr">
        <is>
          <t>TikTok</t>
        </is>
      </c>
      <c r="B30" s="78" t="inlineStr">
        <is>
          <t>TT_AMUR_TREND_12s_Reveal_v2</t>
        </is>
      </c>
      <c r="C30" s="78" t="inlineStr">
        <is>
          <t>Video 9:16</t>
        </is>
      </c>
      <c r="D30" s="78" t="inlineStr">
        <is>
          <t>Do it for the R3 599</t>
        </is>
      </c>
      <c r="E30" s="86">
        <f>SUMIFS(Raw_Data!$R$2:$R$2552,Raw_Data!$D$2:$D$2552,$A30,Raw_Data!$L$2:$L$2552,$B30)</f>
        <v/>
      </c>
      <c r="F30" s="87">
        <f>SUMIFS(Raw_Data!$S$2:$S$2552,Raw_Data!$D$2:$D$2552,$A30,Raw_Data!$L$2:$L$2552,$B30)</f>
        <v/>
      </c>
      <c r="G30" s="87">
        <f>SUMIFS(Raw_Data!$T$2:$T$2552,Raw_Data!$D$2:$D$2552,$A30,Raw_Data!$L$2:$L$2552,$B30)</f>
        <v/>
      </c>
      <c r="H30" s="88">
        <f>IFERROR(F30/G30,"")</f>
        <v/>
      </c>
      <c r="I30" s="87">
        <f>SUMIFS(Raw_Data!$W$2:$W$2552,Raw_Data!$D$2:$D$2552,$A30,Raw_Data!$L$2:$L$2552,$B30)</f>
        <v/>
      </c>
      <c r="J30" s="89">
        <f>IFERROR(I30/F30,"")</f>
        <v/>
      </c>
      <c r="K30" s="90">
        <f>IFERROR(E30/I30,"")</f>
        <v/>
      </c>
      <c r="L30" s="90">
        <f>IFERROR(E30/F30*1000,"")</f>
        <v/>
      </c>
      <c r="M30" s="87">
        <f>SUMIFS(Raw_Data!$AA$2:$AA$2552,Raw_Data!$D$2:$D$2552,$A30,Raw_Data!$L$2:$L$2552,$B30)</f>
        <v/>
      </c>
      <c r="N30" s="18">
        <f>IFERROR(M30/I30,"")</f>
        <v/>
      </c>
      <c r="O30" s="87">
        <f>SUMIFS(Raw_Data!$AL$2:$AL$2552,Raw_Data!$D$2:$D$2552,$A30,Raw_Data!$L$2:$L$2552,$B30)</f>
        <v/>
      </c>
      <c r="P30" s="89">
        <f>IFERROR(O30/M30,"")</f>
        <v/>
      </c>
      <c r="Q30" s="86">
        <f>IFERROR(E30/O30,"")</f>
        <v/>
      </c>
      <c r="R30" s="87">
        <f>SUMIFS(Raw_Data!$AO$2:$AO$2552,Raw_Data!$D$2:$D$2552,$A30,Raw_Data!$L$2:$L$2552,$B30)</f>
        <v/>
      </c>
      <c r="S30" s="18">
        <f>IFERROR(R30/O30,"")</f>
        <v/>
      </c>
      <c r="T30" s="86">
        <f>IFERROR(E30/R30,"")</f>
        <v/>
      </c>
      <c r="U30" s="87">
        <f>SUMIFS(Raw_Data!$AR$2:$AR$2552,Raw_Data!$D$2:$D$2552,$A30,Raw_Data!$L$2:$L$2552,$B30)</f>
        <v/>
      </c>
      <c r="V30" s="87">
        <f>SUMIFS(Raw_Data!$AS$2:$AS$2552,Raw_Data!$D$2:$D$2552,$A30,Raw_Data!$L$2:$L$2552,$B30)</f>
        <v/>
      </c>
      <c r="W30" s="87">
        <f>O30+U30</f>
        <v/>
      </c>
      <c r="X30" s="86">
        <f>SUMIFS(Raw_Data!$AU$2:$AU$2552,Raw_Data!$D$2:$D$2552,$A30,Raw_Data!$L$2:$L$2552,$B30)</f>
        <v/>
      </c>
      <c r="Y30" s="18">
        <f>IFERROR(E30/Summary!$B$17,"")</f>
        <v/>
      </c>
      <c r="Z30" s="18">
        <f>IFERROR(O30/Summary!$L$17,"")</f>
        <v/>
      </c>
      <c r="AA30" s="99" t="n">
        <v>46249</v>
      </c>
      <c r="AB30" s="99" t="n">
        <v>46265</v>
      </c>
      <c r="AC30" s="100">
        <f>AB30-AA30+1</f>
        <v/>
      </c>
      <c r="AD30" s="87">
        <f>SUMIFS(Raw_Data!$AC$2:$AC$2552,Raw_Data!$D$2:$D$2552,$A30,Raw_Data!$L$2:$L$2552,$B30)</f>
        <v/>
      </c>
      <c r="AE30" s="87">
        <f>SUMIFS(Raw_Data!$AD$2:$AD$2552,Raw_Data!$D$2:$D$2552,$A30,Raw_Data!$L$2:$L$2552,$B30)</f>
        <v/>
      </c>
      <c r="AF30" s="87">
        <f>SUMIFS(Raw_Data!$AE$2:$AE$2552,Raw_Data!$D$2:$D$2552,$A30,Raw_Data!$L$2:$L$2552,$B30)</f>
        <v/>
      </c>
      <c r="AG30" s="87">
        <f>SUMIFS(Raw_Data!$AF$2:$AF$2552,Raw_Data!$D$2:$D$2552,$A30,Raw_Data!$L$2:$L$2552,$B30)</f>
        <v/>
      </c>
      <c r="AH30" s="87">
        <f>SUMIFS(Raw_Data!$AG$2:$AG$2552,Raw_Data!$D$2:$D$2552,$A30,Raw_Data!$L$2:$L$2552,$B30)</f>
        <v/>
      </c>
      <c r="AI30" s="87">
        <f>SUMIFS(Raw_Data!$AH$2:$AH$2552,Raw_Data!$D$2:$D$2552,$A30,Raw_Data!$L$2:$L$2552,$B30)</f>
        <v/>
      </c>
      <c r="AJ30" s="18">
        <f>IFERROR(AD30/F30,"")</f>
        <v/>
      </c>
      <c r="AK30" s="18">
        <f>IFERROR(AI30/F30,"")</f>
        <v/>
      </c>
      <c r="AL30" s="87">
        <f>SUMIFS(Raw_Data!$AK$2:$AK$2552,Raw_Data!$D$2:$D$2552,$A30,Raw_Data!$L$2:$L$2552,$B30)</f>
        <v/>
      </c>
    </row>
    <row r="31">
      <c r="A31" s="6" t="inlineStr">
        <is>
          <t>TikTok</t>
        </is>
      </c>
      <c r="B31" s="78" t="inlineStr">
        <is>
          <t>TT_AMUR_UGC_20s_Walkthrough_v1</t>
        </is>
      </c>
      <c r="C31" s="78" t="inlineStr">
        <is>
          <t>Video 9:16</t>
        </is>
      </c>
      <c r="D31" s="78" t="inlineStr">
        <is>
          <t>Full walkaround, no filter</t>
        </is>
      </c>
      <c r="E31" s="86">
        <f>SUMIFS(Raw_Data!$R$2:$R$2552,Raw_Data!$D$2:$D$2552,$A31,Raw_Data!$L$2:$L$2552,$B31)</f>
        <v/>
      </c>
      <c r="F31" s="87">
        <f>SUMIFS(Raw_Data!$S$2:$S$2552,Raw_Data!$D$2:$D$2552,$A31,Raw_Data!$L$2:$L$2552,$B31)</f>
        <v/>
      </c>
      <c r="G31" s="87">
        <f>SUMIFS(Raw_Data!$T$2:$T$2552,Raw_Data!$D$2:$D$2552,$A31,Raw_Data!$L$2:$L$2552,$B31)</f>
        <v/>
      </c>
      <c r="H31" s="88">
        <f>IFERROR(F31/G31,"")</f>
        <v/>
      </c>
      <c r="I31" s="87">
        <f>SUMIFS(Raw_Data!$W$2:$W$2552,Raw_Data!$D$2:$D$2552,$A31,Raw_Data!$L$2:$L$2552,$B31)</f>
        <v/>
      </c>
      <c r="J31" s="89">
        <f>IFERROR(I31/F31,"")</f>
        <v/>
      </c>
      <c r="K31" s="90">
        <f>IFERROR(E31/I31,"")</f>
        <v/>
      </c>
      <c r="L31" s="90">
        <f>IFERROR(E31/F31*1000,"")</f>
        <v/>
      </c>
      <c r="M31" s="87">
        <f>SUMIFS(Raw_Data!$AA$2:$AA$2552,Raw_Data!$D$2:$D$2552,$A31,Raw_Data!$L$2:$L$2552,$B31)</f>
        <v/>
      </c>
      <c r="N31" s="18">
        <f>IFERROR(M31/I31,"")</f>
        <v/>
      </c>
      <c r="O31" s="87">
        <f>SUMIFS(Raw_Data!$AL$2:$AL$2552,Raw_Data!$D$2:$D$2552,$A31,Raw_Data!$L$2:$L$2552,$B31)</f>
        <v/>
      </c>
      <c r="P31" s="89">
        <f>IFERROR(O31/M31,"")</f>
        <v/>
      </c>
      <c r="Q31" s="86">
        <f>IFERROR(E31/O31,"")</f>
        <v/>
      </c>
      <c r="R31" s="87">
        <f>SUMIFS(Raw_Data!$AO$2:$AO$2552,Raw_Data!$D$2:$D$2552,$A31,Raw_Data!$L$2:$L$2552,$B31)</f>
        <v/>
      </c>
      <c r="S31" s="18">
        <f>IFERROR(R31/O31,"")</f>
        <v/>
      </c>
      <c r="T31" s="86">
        <f>IFERROR(E31/R31,"")</f>
        <v/>
      </c>
      <c r="U31" s="87">
        <f>SUMIFS(Raw_Data!$AR$2:$AR$2552,Raw_Data!$D$2:$D$2552,$A31,Raw_Data!$L$2:$L$2552,$B31)</f>
        <v/>
      </c>
      <c r="V31" s="87">
        <f>SUMIFS(Raw_Data!$AS$2:$AS$2552,Raw_Data!$D$2:$D$2552,$A31,Raw_Data!$L$2:$L$2552,$B31)</f>
        <v/>
      </c>
      <c r="W31" s="87">
        <f>O31+U31</f>
        <v/>
      </c>
      <c r="X31" s="86">
        <f>SUMIFS(Raw_Data!$AU$2:$AU$2552,Raw_Data!$D$2:$D$2552,$A31,Raw_Data!$L$2:$L$2552,$B31)</f>
        <v/>
      </c>
      <c r="Y31" s="18">
        <f>IFERROR(E31/Summary!$B$17,"")</f>
        <v/>
      </c>
      <c r="Z31" s="18">
        <f>IFERROR(O31/Summary!$L$17,"")</f>
        <v/>
      </c>
      <c r="AA31" s="99" t="n">
        <v>46235</v>
      </c>
      <c r="AB31" s="99" t="n">
        <v>46265</v>
      </c>
      <c r="AC31" s="100">
        <f>AB31-AA31+1</f>
        <v/>
      </c>
      <c r="AD31" s="87">
        <f>SUMIFS(Raw_Data!$AC$2:$AC$2552,Raw_Data!$D$2:$D$2552,$A31,Raw_Data!$L$2:$L$2552,$B31)</f>
        <v/>
      </c>
      <c r="AE31" s="87">
        <f>SUMIFS(Raw_Data!$AD$2:$AD$2552,Raw_Data!$D$2:$D$2552,$A31,Raw_Data!$L$2:$L$2552,$B31)</f>
        <v/>
      </c>
      <c r="AF31" s="87">
        <f>SUMIFS(Raw_Data!$AE$2:$AE$2552,Raw_Data!$D$2:$D$2552,$A31,Raw_Data!$L$2:$L$2552,$B31)</f>
        <v/>
      </c>
      <c r="AG31" s="87">
        <f>SUMIFS(Raw_Data!$AF$2:$AF$2552,Raw_Data!$D$2:$D$2552,$A31,Raw_Data!$L$2:$L$2552,$B31)</f>
        <v/>
      </c>
      <c r="AH31" s="87">
        <f>SUMIFS(Raw_Data!$AG$2:$AG$2552,Raw_Data!$D$2:$D$2552,$A31,Raw_Data!$L$2:$L$2552,$B31)</f>
        <v/>
      </c>
      <c r="AI31" s="87">
        <f>SUMIFS(Raw_Data!$AH$2:$AH$2552,Raw_Data!$D$2:$D$2552,$A31,Raw_Data!$L$2:$L$2552,$B31)</f>
        <v/>
      </c>
      <c r="AJ31" s="18">
        <f>IFERROR(AD31/F31,"")</f>
        <v/>
      </c>
      <c r="AK31" s="18">
        <f>IFERROR(AI31/F31,"")</f>
        <v/>
      </c>
      <c r="AL31" s="87">
        <f>SUMIFS(Raw_Data!$AK$2:$AK$2552,Raw_Data!$D$2:$D$2552,$A31,Raw_Data!$L$2:$L$2552,$B31)</f>
        <v/>
      </c>
    </row>
    <row r="32">
      <c r="A32" s="6" t="inlineStr">
        <is>
          <t>TikTok</t>
        </is>
      </c>
      <c r="B32" s="78" t="inlineStr">
        <is>
          <t>TT_PANTERA_UGC_18s_NightRun_v1</t>
        </is>
      </c>
      <c r="C32" s="78" t="inlineStr">
        <is>
          <t>Video 9:16</t>
        </is>
      </c>
      <c r="D32" s="78" t="inlineStr">
        <is>
          <t>Night run in the PANTERA</t>
        </is>
      </c>
      <c r="E32" s="86">
        <f>SUMIFS(Raw_Data!$R$2:$R$2552,Raw_Data!$D$2:$D$2552,$A32,Raw_Data!$L$2:$L$2552,$B32)</f>
        <v/>
      </c>
      <c r="F32" s="87">
        <f>SUMIFS(Raw_Data!$S$2:$S$2552,Raw_Data!$D$2:$D$2552,$A32,Raw_Data!$L$2:$L$2552,$B32)</f>
        <v/>
      </c>
      <c r="G32" s="87">
        <f>SUMIFS(Raw_Data!$T$2:$T$2552,Raw_Data!$D$2:$D$2552,$A32,Raw_Data!$L$2:$L$2552,$B32)</f>
        <v/>
      </c>
      <c r="H32" s="88">
        <f>IFERROR(F32/G32,"")</f>
        <v/>
      </c>
      <c r="I32" s="87">
        <f>SUMIFS(Raw_Data!$W$2:$W$2552,Raw_Data!$D$2:$D$2552,$A32,Raw_Data!$L$2:$L$2552,$B32)</f>
        <v/>
      </c>
      <c r="J32" s="89">
        <f>IFERROR(I32/F32,"")</f>
        <v/>
      </c>
      <c r="K32" s="90">
        <f>IFERROR(E32/I32,"")</f>
        <v/>
      </c>
      <c r="L32" s="90">
        <f>IFERROR(E32/F32*1000,"")</f>
        <v/>
      </c>
      <c r="M32" s="87">
        <f>SUMIFS(Raw_Data!$AA$2:$AA$2552,Raw_Data!$D$2:$D$2552,$A32,Raw_Data!$L$2:$L$2552,$B32)</f>
        <v/>
      </c>
      <c r="N32" s="18">
        <f>IFERROR(M32/I32,"")</f>
        <v/>
      </c>
      <c r="O32" s="87">
        <f>SUMIFS(Raw_Data!$AL$2:$AL$2552,Raw_Data!$D$2:$D$2552,$A32,Raw_Data!$L$2:$L$2552,$B32)</f>
        <v/>
      </c>
      <c r="P32" s="89">
        <f>IFERROR(O32/M32,"")</f>
        <v/>
      </c>
      <c r="Q32" s="86">
        <f>IFERROR(E32/O32,"")</f>
        <v/>
      </c>
      <c r="R32" s="87">
        <f>SUMIFS(Raw_Data!$AO$2:$AO$2552,Raw_Data!$D$2:$D$2552,$A32,Raw_Data!$L$2:$L$2552,$B32)</f>
        <v/>
      </c>
      <c r="S32" s="18">
        <f>IFERROR(R32/O32,"")</f>
        <v/>
      </c>
      <c r="T32" s="86">
        <f>IFERROR(E32/R32,"")</f>
        <v/>
      </c>
      <c r="U32" s="87">
        <f>SUMIFS(Raw_Data!$AR$2:$AR$2552,Raw_Data!$D$2:$D$2552,$A32,Raw_Data!$L$2:$L$2552,$B32)</f>
        <v/>
      </c>
      <c r="V32" s="87">
        <f>SUMIFS(Raw_Data!$AS$2:$AS$2552,Raw_Data!$D$2:$D$2552,$A32,Raw_Data!$L$2:$L$2552,$B32)</f>
        <v/>
      </c>
      <c r="W32" s="87">
        <f>O32+U32</f>
        <v/>
      </c>
      <c r="X32" s="86">
        <f>SUMIFS(Raw_Data!$AU$2:$AU$2552,Raw_Data!$D$2:$D$2552,$A32,Raw_Data!$L$2:$L$2552,$B32)</f>
        <v/>
      </c>
      <c r="Y32" s="18">
        <f>IFERROR(E32/Summary!$B$17,"")</f>
        <v/>
      </c>
      <c r="Z32" s="18">
        <f>IFERROR(O32/Summary!$L$17,"")</f>
        <v/>
      </c>
      <c r="AA32" s="99" t="n">
        <v>46235</v>
      </c>
      <c r="AB32" s="99" t="n">
        <v>46265</v>
      </c>
      <c r="AC32" s="100">
        <f>AB32-AA32+1</f>
        <v/>
      </c>
      <c r="AD32" s="87">
        <f>SUMIFS(Raw_Data!$AC$2:$AC$2552,Raw_Data!$D$2:$D$2552,$A32,Raw_Data!$L$2:$L$2552,$B32)</f>
        <v/>
      </c>
      <c r="AE32" s="87">
        <f>SUMIFS(Raw_Data!$AD$2:$AD$2552,Raw_Data!$D$2:$D$2552,$A32,Raw_Data!$L$2:$L$2552,$B32)</f>
        <v/>
      </c>
      <c r="AF32" s="87">
        <f>SUMIFS(Raw_Data!$AE$2:$AE$2552,Raw_Data!$D$2:$D$2552,$A32,Raw_Data!$L$2:$L$2552,$B32)</f>
        <v/>
      </c>
      <c r="AG32" s="87">
        <f>SUMIFS(Raw_Data!$AF$2:$AF$2552,Raw_Data!$D$2:$D$2552,$A32,Raw_Data!$L$2:$L$2552,$B32)</f>
        <v/>
      </c>
      <c r="AH32" s="87">
        <f>SUMIFS(Raw_Data!$AG$2:$AG$2552,Raw_Data!$D$2:$D$2552,$A32,Raw_Data!$L$2:$L$2552,$B32)</f>
        <v/>
      </c>
      <c r="AI32" s="87">
        <f>SUMIFS(Raw_Data!$AH$2:$AH$2552,Raw_Data!$D$2:$D$2552,$A32,Raw_Data!$L$2:$L$2552,$B32)</f>
        <v/>
      </c>
      <c r="AJ32" s="18">
        <f>IFERROR(AD32/F32,"")</f>
        <v/>
      </c>
      <c r="AK32" s="18">
        <f>IFERROR(AI32/F32,"")</f>
        <v/>
      </c>
      <c r="AL32" s="87">
        <f>SUMIFS(Raw_Data!$AK$2:$AK$2552,Raw_Data!$D$2:$D$2552,$A32,Raw_Data!$L$2:$L$2552,$B32)</f>
        <v/>
      </c>
    </row>
    <row r="33">
      <c r="A33" s="6" t="inlineStr">
        <is>
          <t>TikTok</t>
        </is>
      </c>
      <c r="B33" s="78" t="inlineStr">
        <is>
          <t>TT_PANTERA_CREATOR_25s_Review_v1</t>
        </is>
      </c>
      <c r="C33" s="78" t="inlineStr">
        <is>
          <t>Video 9:16</t>
        </is>
      </c>
      <c r="D33" s="78" t="inlineStr">
        <is>
          <t>Creator review: is it worth it?</t>
        </is>
      </c>
      <c r="E33" s="86">
        <f>SUMIFS(Raw_Data!$R$2:$R$2552,Raw_Data!$D$2:$D$2552,$A33,Raw_Data!$L$2:$L$2552,$B33)</f>
        <v/>
      </c>
      <c r="F33" s="87">
        <f>SUMIFS(Raw_Data!$S$2:$S$2552,Raw_Data!$D$2:$D$2552,$A33,Raw_Data!$L$2:$L$2552,$B33)</f>
        <v/>
      </c>
      <c r="G33" s="87">
        <f>SUMIFS(Raw_Data!$T$2:$T$2552,Raw_Data!$D$2:$D$2552,$A33,Raw_Data!$L$2:$L$2552,$B33)</f>
        <v/>
      </c>
      <c r="H33" s="88">
        <f>IFERROR(F33/G33,"")</f>
        <v/>
      </c>
      <c r="I33" s="87">
        <f>SUMIFS(Raw_Data!$W$2:$W$2552,Raw_Data!$D$2:$D$2552,$A33,Raw_Data!$L$2:$L$2552,$B33)</f>
        <v/>
      </c>
      <c r="J33" s="89">
        <f>IFERROR(I33/F33,"")</f>
        <v/>
      </c>
      <c r="K33" s="90">
        <f>IFERROR(E33/I33,"")</f>
        <v/>
      </c>
      <c r="L33" s="90">
        <f>IFERROR(E33/F33*1000,"")</f>
        <v/>
      </c>
      <c r="M33" s="87">
        <f>SUMIFS(Raw_Data!$AA$2:$AA$2552,Raw_Data!$D$2:$D$2552,$A33,Raw_Data!$L$2:$L$2552,$B33)</f>
        <v/>
      </c>
      <c r="N33" s="18">
        <f>IFERROR(M33/I33,"")</f>
        <v/>
      </c>
      <c r="O33" s="87">
        <f>SUMIFS(Raw_Data!$AL$2:$AL$2552,Raw_Data!$D$2:$D$2552,$A33,Raw_Data!$L$2:$L$2552,$B33)</f>
        <v/>
      </c>
      <c r="P33" s="89">
        <f>IFERROR(O33/M33,"")</f>
        <v/>
      </c>
      <c r="Q33" s="86">
        <f>IFERROR(E33/O33,"")</f>
        <v/>
      </c>
      <c r="R33" s="87">
        <f>SUMIFS(Raw_Data!$AO$2:$AO$2552,Raw_Data!$D$2:$D$2552,$A33,Raw_Data!$L$2:$L$2552,$B33)</f>
        <v/>
      </c>
      <c r="S33" s="18">
        <f>IFERROR(R33/O33,"")</f>
        <v/>
      </c>
      <c r="T33" s="86">
        <f>IFERROR(E33/R33,"")</f>
        <v/>
      </c>
      <c r="U33" s="87">
        <f>SUMIFS(Raw_Data!$AR$2:$AR$2552,Raw_Data!$D$2:$D$2552,$A33,Raw_Data!$L$2:$L$2552,$B33)</f>
        <v/>
      </c>
      <c r="V33" s="87">
        <f>SUMIFS(Raw_Data!$AS$2:$AS$2552,Raw_Data!$D$2:$D$2552,$A33,Raw_Data!$L$2:$L$2552,$B33)</f>
        <v/>
      </c>
      <c r="W33" s="87">
        <f>O33+U33</f>
        <v/>
      </c>
      <c r="X33" s="86">
        <f>SUMIFS(Raw_Data!$AU$2:$AU$2552,Raw_Data!$D$2:$D$2552,$A33,Raw_Data!$L$2:$L$2552,$B33)</f>
        <v/>
      </c>
      <c r="Y33" s="18">
        <f>IFERROR(E33/Summary!$B$17,"")</f>
        <v/>
      </c>
      <c r="Z33" s="18">
        <f>IFERROR(O33/Summary!$L$17,"")</f>
        <v/>
      </c>
      <c r="AA33" s="99" t="n">
        <v>46235</v>
      </c>
      <c r="AB33" s="99" t="n">
        <v>46265</v>
      </c>
      <c r="AC33" s="100">
        <f>AB33-AA33+1</f>
        <v/>
      </c>
      <c r="AD33" s="87">
        <f>SUMIFS(Raw_Data!$AC$2:$AC$2552,Raw_Data!$D$2:$D$2552,$A33,Raw_Data!$L$2:$L$2552,$B33)</f>
        <v/>
      </c>
      <c r="AE33" s="87">
        <f>SUMIFS(Raw_Data!$AD$2:$AD$2552,Raw_Data!$D$2:$D$2552,$A33,Raw_Data!$L$2:$L$2552,$B33)</f>
        <v/>
      </c>
      <c r="AF33" s="87">
        <f>SUMIFS(Raw_Data!$AE$2:$AE$2552,Raw_Data!$D$2:$D$2552,$A33,Raw_Data!$L$2:$L$2552,$B33)</f>
        <v/>
      </c>
      <c r="AG33" s="87">
        <f>SUMIFS(Raw_Data!$AF$2:$AF$2552,Raw_Data!$D$2:$D$2552,$A33,Raw_Data!$L$2:$L$2552,$B33)</f>
        <v/>
      </c>
      <c r="AH33" s="87">
        <f>SUMIFS(Raw_Data!$AG$2:$AG$2552,Raw_Data!$D$2:$D$2552,$A33,Raw_Data!$L$2:$L$2552,$B33)</f>
        <v/>
      </c>
      <c r="AI33" s="87">
        <f>SUMIFS(Raw_Data!$AH$2:$AH$2552,Raw_Data!$D$2:$D$2552,$A33,Raw_Data!$L$2:$L$2552,$B33)</f>
        <v/>
      </c>
      <c r="AJ33" s="18">
        <f>IFERROR(AD33/F33,"")</f>
        <v/>
      </c>
      <c r="AK33" s="18">
        <f>IFERROR(AI33/F33,"")</f>
        <v/>
      </c>
      <c r="AL33" s="87">
        <f>SUMIFS(Raw_Data!$AK$2:$AK$2552,Raw_Data!$D$2:$D$2552,$A33,Raw_Data!$L$2:$L$2552,$B33)</f>
        <v/>
      </c>
    </row>
    <row r="34">
      <c r="A34" s="6" t="inlineStr">
        <is>
          <t>TikTok</t>
        </is>
      </c>
      <c r="B34" s="78" t="inlineStr">
        <is>
          <t>TT_PANTERA_TREND_10s_Spec_v1</t>
        </is>
      </c>
      <c r="C34" s="78" t="inlineStr">
        <is>
          <t>Video 9:16</t>
        </is>
      </c>
      <c r="D34" s="78" t="inlineStr">
        <is>
          <t>Spec check. Guess the price.</t>
        </is>
      </c>
      <c r="E34" s="86">
        <f>SUMIFS(Raw_Data!$R$2:$R$2552,Raw_Data!$D$2:$D$2552,$A34,Raw_Data!$L$2:$L$2552,$B34)</f>
        <v/>
      </c>
      <c r="F34" s="87">
        <f>SUMIFS(Raw_Data!$S$2:$S$2552,Raw_Data!$D$2:$D$2552,$A34,Raw_Data!$L$2:$L$2552,$B34)</f>
        <v/>
      </c>
      <c r="G34" s="87">
        <f>SUMIFS(Raw_Data!$T$2:$T$2552,Raw_Data!$D$2:$D$2552,$A34,Raw_Data!$L$2:$L$2552,$B34)</f>
        <v/>
      </c>
      <c r="H34" s="88">
        <f>IFERROR(F34/G34,"")</f>
        <v/>
      </c>
      <c r="I34" s="87">
        <f>SUMIFS(Raw_Data!$W$2:$W$2552,Raw_Data!$D$2:$D$2552,$A34,Raw_Data!$L$2:$L$2552,$B34)</f>
        <v/>
      </c>
      <c r="J34" s="89">
        <f>IFERROR(I34/F34,"")</f>
        <v/>
      </c>
      <c r="K34" s="90">
        <f>IFERROR(E34/I34,"")</f>
        <v/>
      </c>
      <c r="L34" s="90">
        <f>IFERROR(E34/F34*1000,"")</f>
        <v/>
      </c>
      <c r="M34" s="87">
        <f>SUMIFS(Raw_Data!$AA$2:$AA$2552,Raw_Data!$D$2:$D$2552,$A34,Raw_Data!$L$2:$L$2552,$B34)</f>
        <v/>
      </c>
      <c r="N34" s="18">
        <f>IFERROR(M34/I34,"")</f>
        <v/>
      </c>
      <c r="O34" s="87">
        <f>SUMIFS(Raw_Data!$AL$2:$AL$2552,Raw_Data!$D$2:$D$2552,$A34,Raw_Data!$L$2:$L$2552,$B34)</f>
        <v/>
      </c>
      <c r="P34" s="89">
        <f>IFERROR(O34/M34,"")</f>
        <v/>
      </c>
      <c r="Q34" s="86">
        <f>IFERROR(E34/O34,"")</f>
        <v/>
      </c>
      <c r="R34" s="87">
        <f>SUMIFS(Raw_Data!$AO$2:$AO$2552,Raw_Data!$D$2:$D$2552,$A34,Raw_Data!$L$2:$L$2552,$B34)</f>
        <v/>
      </c>
      <c r="S34" s="18">
        <f>IFERROR(R34/O34,"")</f>
        <v/>
      </c>
      <c r="T34" s="86">
        <f>IFERROR(E34/R34,"")</f>
        <v/>
      </c>
      <c r="U34" s="87">
        <f>SUMIFS(Raw_Data!$AR$2:$AR$2552,Raw_Data!$D$2:$D$2552,$A34,Raw_Data!$L$2:$L$2552,$B34)</f>
        <v/>
      </c>
      <c r="V34" s="87">
        <f>SUMIFS(Raw_Data!$AS$2:$AS$2552,Raw_Data!$D$2:$D$2552,$A34,Raw_Data!$L$2:$L$2552,$B34)</f>
        <v/>
      </c>
      <c r="W34" s="87">
        <f>O34+U34</f>
        <v/>
      </c>
      <c r="X34" s="86">
        <f>SUMIFS(Raw_Data!$AU$2:$AU$2552,Raw_Data!$D$2:$D$2552,$A34,Raw_Data!$L$2:$L$2552,$B34)</f>
        <v/>
      </c>
      <c r="Y34" s="18">
        <f>IFERROR(E34/Summary!$B$17,"")</f>
        <v/>
      </c>
      <c r="Z34" s="18">
        <f>IFERROR(O34/Summary!$L$17,"")</f>
        <v/>
      </c>
      <c r="AA34" s="99" t="n">
        <v>46235</v>
      </c>
      <c r="AB34" s="99" t="n">
        <v>46265</v>
      </c>
      <c r="AC34" s="100">
        <f>AB34-AA34+1</f>
        <v/>
      </c>
      <c r="AD34" s="87">
        <f>SUMIFS(Raw_Data!$AC$2:$AC$2552,Raw_Data!$D$2:$D$2552,$A34,Raw_Data!$L$2:$L$2552,$B34)</f>
        <v/>
      </c>
      <c r="AE34" s="87">
        <f>SUMIFS(Raw_Data!$AD$2:$AD$2552,Raw_Data!$D$2:$D$2552,$A34,Raw_Data!$L$2:$L$2552,$B34)</f>
        <v/>
      </c>
      <c r="AF34" s="87">
        <f>SUMIFS(Raw_Data!$AE$2:$AE$2552,Raw_Data!$D$2:$D$2552,$A34,Raw_Data!$L$2:$L$2552,$B34)</f>
        <v/>
      </c>
      <c r="AG34" s="87">
        <f>SUMIFS(Raw_Data!$AF$2:$AF$2552,Raw_Data!$D$2:$D$2552,$A34,Raw_Data!$L$2:$L$2552,$B34)</f>
        <v/>
      </c>
      <c r="AH34" s="87">
        <f>SUMIFS(Raw_Data!$AG$2:$AG$2552,Raw_Data!$D$2:$D$2552,$A34,Raw_Data!$L$2:$L$2552,$B34)</f>
        <v/>
      </c>
      <c r="AI34" s="87">
        <f>SUMIFS(Raw_Data!$AH$2:$AH$2552,Raw_Data!$D$2:$D$2552,$A34,Raw_Data!$L$2:$L$2552,$B34)</f>
        <v/>
      </c>
      <c r="AJ34" s="18">
        <f>IFERROR(AD34/F34,"")</f>
        <v/>
      </c>
      <c r="AK34" s="18">
        <f>IFERROR(AI34/F34,"")</f>
        <v/>
      </c>
      <c r="AL34" s="87">
        <f>SUMIFS(Raw_Data!$AK$2:$AK$2552,Raw_Data!$D$2:$D$2552,$A34,Raw_Data!$L$2:$L$2552,$B34)</f>
        <v/>
      </c>
    </row>
    <row r="35">
      <c r="A35" s="6" t="inlineStr">
        <is>
          <t>TikTok</t>
        </is>
      </c>
      <c r="B35" s="78" t="inlineStr">
        <is>
          <t>TT_SPARK_@drivesa_Review_v1</t>
        </is>
      </c>
      <c r="C35" s="78" t="inlineStr">
        <is>
          <t>Spark Ad</t>
        </is>
      </c>
      <c r="D35" s="78" t="inlineStr">
        <is>
          <t>Creator handle: @drivesa</t>
        </is>
      </c>
      <c r="E35" s="86">
        <f>SUMIFS(Raw_Data!$R$2:$R$2552,Raw_Data!$D$2:$D$2552,$A35,Raw_Data!$L$2:$L$2552,$B35)</f>
        <v/>
      </c>
      <c r="F35" s="87">
        <f>SUMIFS(Raw_Data!$S$2:$S$2552,Raw_Data!$D$2:$D$2552,$A35,Raw_Data!$L$2:$L$2552,$B35)</f>
        <v/>
      </c>
      <c r="G35" s="87">
        <f>SUMIFS(Raw_Data!$T$2:$T$2552,Raw_Data!$D$2:$D$2552,$A35,Raw_Data!$L$2:$L$2552,$B35)</f>
        <v/>
      </c>
      <c r="H35" s="88">
        <f>IFERROR(F35/G35,"")</f>
        <v/>
      </c>
      <c r="I35" s="87">
        <f>SUMIFS(Raw_Data!$W$2:$W$2552,Raw_Data!$D$2:$D$2552,$A35,Raw_Data!$L$2:$L$2552,$B35)</f>
        <v/>
      </c>
      <c r="J35" s="89">
        <f>IFERROR(I35/F35,"")</f>
        <v/>
      </c>
      <c r="K35" s="90">
        <f>IFERROR(E35/I35,"")</f>
        <v/>
      </c>
      <c r="L35" s="90">
        <f>IFERROR(E35/F35*1000,"")</f>
        <v/>
      </c>
      <c r="M35" s="87">
        <f>SUMIFS(Raw_Data!$AA$2:$AA$2552,Raw_Data!$D$2:$D$2552,$A35,Raw_Data!$L$2:$L$2552,$B35)</f>
        <v/>
      </c>
      <c r="N35" s="18">
        <f>IFERROR(M35/I35,"")</f>
        <v/>
      </c>
      <c r="O35" s="87">
        <f>SUMIFS(Raw_Data!$AL$2:$AL$2552,Raw_Data!$D$2:$D$2552,$A35,Raw_Data!$L$2:$L$2552,$B35)</f>
        <v/>
      </c>
      <c r="P35" s="89">
        <f>IFERROR(O35/M35,"")</f>
        <v/>
      </c>
      <c r="Q35" s="86">
        <f>IFERROR(E35/O35,"")</f>
        <v/>
      </c>
      <c r="R35" s="87">
        <f>SUMIFS(Raw_Data!$AO$2:$AO$2552,Raw_Data!$D$2:$D$2552,$A35,Raw_Data!$L$2:$L$2552,$B35)</f>
        <v/>
      </c>
      <c r="S35" s="18">
        <f>IFERROR(R35/O35,"")</f>
        <v/>
      </c>
      <c r="T35" s="86">
        <f>IFERROR(E35/R35,"")</f>
        <v/>
      </c>
      <c r="U35" s="87">
        <f>SUMIFS(Raw_Data!$AR$2:$AR$2552,Raw_Data!$D$2:$D$2552,$A35,Raw_Data!$L$2:$L$2552,$B35)</f>
        <v/>
      </c>
      <c r="V35" s="87">
        <f>SUMIFS(Raw_Data!$AS$2:$AS$2552,Raw_Data!$D$2:$D$2552,$A35,Raw_Data!$L$2:$L$2552,$B35)</f>
        <v/>
      </c>
      <c r="W35" s="87">
        <f>O35+U35</f>
        <v/>
      </c>
      <c r="X35" s="86">
        <f>SUMIFS(Raw_Data!$AU$2:$AU$2552,Raw_Data!$D$2:$D$2552,$A35,Raw_Data!$L$2:$L$2552,$B35)</f>
        <v/>
      </c>
      <c r="Y35" s="18">
        <f>IFERROR(E35/Summary!$B$17,"")</f>
        <v/>
      </c>
      <c r="Z35" s="18">
        <f>IFERROR(O35/Summary!$L$17,"")</f>
        <v/>
      </c>
      <c r="AA35" s="99" t="n">
        <v>46235</v>
      </c>
      <c r="AB35" s="99" t="n">
        <v>46265</v>
      </c>
      <c r="AC35" s="100">
        <f>AB35-AA35+1</f>
        <v/>
      </c>
      <c r="AD35" s="87">
        <f>SUMIFS(Raw_Data!$AC$2:$AC$2552,Raw_Data!$D$2:$D$2552,$A35,Raw_Data!$L$2:$L$2552,$B35)</f>
        <v/>
      </c>
      <c r="AE35" s="87">
        <f>SUMIFS(Raw_Data!$AD$2:$AD$2552,Raw_Data!$D$2:$D$2552,$A35,Raw_Data!$L$2:$L$2552,$B35)</f>
        <v/>
      </c>
      <c r="AF35" s="87">
        <f>SUMIFS(Raw_Data!$AE$2:$AE$2552,Raw_Data!$D$2:$D$2552,$A35,Raw_Data!$L$2:$L$2552,$B35)</f>
        <v/>
      </c>
      <c r="AG35" s="87">
        <f>SUMIFS(Raw_Data!$AF$2:$AF$2552,Raw_Data!$D$2:$D$2552,$A35,Raw_Data!$L$2:$L$2552,$B35)</f>
        <v/>
      </c>
      <c r="AH35" s="87">
        <f>SUMIFS(Raw_Data!$AG$2:$AG$2552,Raw_Data!$D$2:$D$2552,$A35,Raw_Data!$L$2:$L$2552,$B35)</f>
        <v/>
      </c>
      <c r="AI35" s="87">
        <f>SUMIFS(Raw_Data!$AH$2:$AH$2552,Raw_Data!$D$2:$D$2552,$A35,Raw_Data!$L$2:$L$2552,$B35)</f>
        <v/>
      </c>
      <c r="AJ35" s="18">
        <f>IFERROR(AD35/F35,"")</f>
        <v/>
      </c>
      <c r="AK35" s="18">
        <f>IFERROR(AI35/F35,"")</f>
        <v/>
      </c>
      <c r="AL35" s="87">
        <f>SUMIFS(Raw_Data!$AK$2:$AK$2552,Raw_Data!$D$2:$D$2552,$A35,Raw_Data!$L$2:$L$2552,$B35)</f>
        <v/>
      </c>
    </row>
    <row r="36">
      <c r="A36" s="6" t="inlineStr">
        <is>
          <t>TikTok</t>
        </is>
      </c>
      <c r="B36" s="78" t="inlineStr">
        <is>
          <t>TT_SPARK_@motorgirlza_Tour_v1</t>
        </is>
      </c>
      <c r="C36" s="78" t="inlineStr">
        <is>
          <t>Spark Ad</t>
        </is>
      </c>
      <c r="D36" s="78" t="inlineStr">
        <is>
          <t>Creator handle: @motorgirlza</t>
        </is>
      </c>
      <c r="E36" s="86">
        <f>SUMIFS(Raw_Data!$R$2:$R$2552,Raw_Data!$D$2:$D$2552,$A36,Raw_Data!$L$2:$L$2552,$B36)</f>
        <v/>
      </c>
      <c r="F36" s="87">
        <f>SUMIFS(Raw_Data!$S$2:$S$2552,Raw_Data!$D$2:$D$2552,$A36,Raw_Data!$L$2:$L$2552,$B36)</f>
        <v/>
      </c>
      <c r="G36" s="87">
        <f>SUMIFS(Raw_Data!$T$2:$T$2552,Raw_Data!$D$2:$D$2552,$A36,Raw_Data!$L$2:$L$2552,$B36)</f>
        <v/>
      </c>
      <c r="H36" s="88">
        <f>IFERROR(F36/G36,"")</f>
        <v/>
      </c>
      <c r="I36" s="87">
        <f>SUMIFS(Raw_Data!$W$2:$W$2552,Raw_Data!$D$2:$D$2552,$A36,Raw_Data!$L$2:$L$2552,$B36)</f>
        <v/>
      </c>
      <c r="J36" s="89">
        <f>IFERROR(I36/F36,"")</f>
        <v/>
      </c>
      <c r="K36" s="90">
        <f>IFERROR(E36/I36,"")</f>
        <v/>
      </c>
      <c r="L36" s="90">
        <f>IFERROR(E36/F36*1000,"")</f>
        <v/>
      </c>
      <c r="M36" s="87">
        <f>SUMIFS(Raw_Data!$AA$2:$AA$2552,Raw_Data!$D$2:$D$2552,$A36,Raw_Data!$L$2:$L$2552,$B36)</f>
        <v/>
      </c>
      <c r="N36" s="18">
        <f>IFERROR(M36/I36,"")</f>
        <v/>
      </c>
      <c r="O36" s="87">
        <f>SUMIFS(Raw_Data!$AL$2:$AL$2552,Raw_Data!$D$2:$D$2552,$A36,Raw_Data!$L$2:$L$2552,$B36)</f>
        <v/>
      </c>
      <c r="P36" s="89">
        <f>IFERROR(O36/M36,"")</f>
        <v/>
      </c>
      <c r="Q36" s="86">
        <f>IFERROR(E36/O36,"")</f>
        <v/>
      </c>
      <c r="R36" s="87">
        <f>SUMIFS(Raw_Data!$AO$2:$AO$2552,Raw_Data!$D$2:$D$2552,$A36,Raw_Data!$L$2:$L$2552,$B36)</f>
        <v/>
      </c>
      <c r="S36" s="18">
        <f>IFERROR(R36/O36,"")</f>
        <v/>
      </c>
      <c r="T36" s="86">
        <f>IFERROR(E36/R36,"")</f>
        <v/>
      </c>
      <c r="U36" s="87">
        <f>SUMIFS(Raw_Data!$AR$2:$AR$2552,Raw_Data!$D$2:$D$2552,$A36,Raw_Data!$L$2:$L$2552,$B36)</f>
        <v/>
      </c>
      <c r="V36" s="87">
        <f>SUMIFS(Raw_Data!$AS$2:$AS$2552,Raw_Data!$D$2:$D$2552,$A36,Raw_Data!$L$2:$L$2552,$B36)</f>
        <v/>
      </c>
      <c r="W36" s="87">
        <f>O36+U36</f>
        <v/>
      </c>
      <c r="X36" s="86">
        <f>SUMIFS(Raw_Data!$AU$2:$AU$2552,Raw_Data!$D$2:$D$2552,$A36,Raw_Data!$L$2:$L$2552,$B36)</f>
        <v/>
      </c>
      <c r="Y36" s="18">
        <f>IFERROR(E36/Summary!$B$17,"")</f>
        <v/>
      </c>
      <c r="Z36" s="18">
        <f>IFERROR(O36/Summary!$L$17,"")</f>
        <v/>
      </c>
      <c r="AA36" s="99" t="n">
        <v>46235</v>
      </c>
      <c r="AB36" s="99" t="n">
        <v>46265</v>
      </c>
      <c r="AC36" s="100">
        <f>AB36-AA36+1</f>
        <v/>
      </c>
      <c r="AD36" s="87">
        <f>SUMIFS(Raw_Data!$AC$2:$AC$2552,Raw_Data!$D$2:$D$2552,$A36,Raw_Data!$L$2:$L$2552,$B36)</f>
        <v/>
      </c>
      <c r="AE36" s="87">
        <f>SUMIFS(Raw_Data!$AD$2:$AD$2552,Raw_Data!$D$2:$D$2552,$A36,Raw_Data!$L$2:$L$2552,$B36)</f>
        <v/>
      </c>
      <c r="AF36" s="87">
        <f>SUMIFS(Raw_Data!$AE$2:$AE$2552,Raw_Data!$D$2:$D$2552,$A36,Raw_Data!$L$2:$L$2552,$B36)</f>
        <v/>
      </c>
      <c r="AG36" s="87">
        <f>SUMIFS(Raw_Data!$AF$2:$AF$2552,Raw_Data!$D$2:$D$2552,$A36,Raw_Data!$L$2:$L$2552,$B36)</f>
        <v/>
      </c>
      <c r="AH36" s="87">
        <f>SUMIFS(Raw_Data!$AG$2:$AG$2552,Raw_Data!$D$2:$D$2552,$A36,Raw_Data!$L$2:$L$2552,$B36)</f>
        <v/>
      </c>
      <c r="AI36" s="87">
        <f>SUMIFS(Raw_Data!$AH$2:$AH$2552,Raw_Data!$D$2:$D$2552,$A36,Raw_Data!$L$2:$L$2552,$B36)</f>
        <v/>
      </c>
      <c r="AJ36" s="18">
        <f>IFERROR(AD36/F36,"")</f>
        <v/>
      </c>
      <c r="AK36" s="18">
        <f>IFERROR(AI36/F36,"")</f>
        <v/>
      </c>
      <c r="AL36" s="87">
        <f>SUMIFS(Raw_Data!$AK$2:$AK$2552,Raw_Data!$D$2:$D$2552,$A36,Raw_Data!$L$2:$L$2552,$B36)</f>
        <v/>
      </c>
    </row>
    <row r="37">
      <c r="A37" s="6" t="inlineStr">
        <is>
          <t>TikTok</t>
        </is>
      </c>
      <c r="B37" s="78" t="inlineStr">
        <is>
          <t>TT_SPARK_@thecarplug_Compare_v1</t>
        </is>
      </c>
      <c r="C37" s="78" t="inlineStr">
        <is>
          <t>Spark Ad</t>
        </is>
      </c>
      <c r="D37" s="78" t="inlineStr">
        <is>
          <t>Creator handle: @thecarplug</t>
        </is>
      </c>
      <c r="E37" s="86">
        <f>SUMIFS(Raw_Data!$R$2:$R$2552,Raw_Data!$D$2:$D$2552,$A37,Raw_Data!$L$2:$L$2552,$B37)</f>
        <v/>
      </c>
      <c r="F37" s="87">
        <f>SUMIFS(Raw_Data!$S$2:$S$2552,Raw_Data!$D$2:$D$2552,$A37,Raw_Data!$L$2:$L$2552,$B37)</f>
        <v/>
      </c>
      <c r="G37" s="87">
        <f>SUMIFS(Raw_Data!$T$2:$T$2552,Raw_Data!$D$2:$D$2552,$A37,Raw_Data!$L$2:$L$2552,$B37)</f>
        <v/>
      </c>
      <c r="H37" s="88">
        <f>IFERROR(F37/G37,"")</f>
        <v/>
      </c>
      <c r="I37" s="87">
        <f>SUMIFS(Raw_Data!$W$2:$W$2552,Raw_Data!$D$2:$D$2552,$A37,Raw_Data!$L$2:$L$2552,$B37)</f>
        <v/>
      </c>
      <c r="J37" s="89">
        <f>IFERROR(I37/F37,"")</f>
        <v/>
      </c>
      <c r="K37" s="90">
        <f>IFERROR(E37/I37,"")</f>
        <v/>
      </c>
      <c r="L37" s="90">
        <f>IFERROR(E37/F37*1000,"")</f>
        <v/>
      </c>
      <c r="M37" s="87">
        <f>SUMIFS(Raw_Data!$AA$2:$AA$2552,Raw_Data!$D$2:$D$2552,$A37,Raw_Data!$L$2:$L$2552,$B37)</f>
        <v/>
      </c>
      <c r="N37" s="18">
        <f>IFERROR(M37/I37,"")</f>
        <v/>
      </c>
      <c r="O37" s="87">
        <f>SUMIFS(Raw_Data!$AL$2:$AL$2552,Raw_Data!$D$2:$D$2552,$A37,Raw_Data!$L$2:$L$2552,$B37)</f>
        <v/>
      </c>
      <c r="P37" s="89">
        <f>IFERROR(O37/M37,"")</f>
        <v/>
      </c>
      <c r="Q37" s="86">
        <f>IFERROR(E37/O37,"")</f>
        <v/>
      </c>
      <c r="R37" s="87">
        <f>SUMIFS(Raw_Data!$AO$2:$AO$2552,Raw_Data!$D$2:$D$2552,$A37,Raw_Data!$L$2:$L$2552,$B37)</f>
        <v/>
      </c>
      <c r="S37" s="18">
        <f>IFERROR(R37/O37,"")</f>
        <v/>
      </c>
      <c r="T37" s="86">
        <f>IFERROR(E37/R37,"")</f>
        <v/>
      </c>
      <c r="U37" s="87">
        <f>SUMIFS(Raw_Data!$AR$2:$AR$2552,Raw_Data!$D$2:$D$2552,$A37,Raw_Data!$L$2:$L$2552,$B37)</f>
        <v/>
      </c>
      <c r="V37" s="87">
        <f>SUMIFS(Raw_Data!$AS$2:$AS$2552,Raw_Data!$D$2:$D$2552,$A37,Raw_Data!$L$2:$L$2552,$B37)</f>
        <v/>
      </c>
      <c r="W37" s="87">
        <f>O37+U37</f>
        <v/>
      </c>
      <c r="X37" s="86">
        <f>SUMIFS(Raw_Data!$AU$2:$AU$2552,Raw_Data!$D$2:$D$2552,$A37,Raw_Data!$L$2:$L$2552,$B37)</f>
        <v/>
      </c>
      <c r="Y37" s="18">
        <f>IFERROR(E37/Summary!$B$17,"")</f>
        <v/>
      </c>
      <c r="Z37" s="18">
        <f>IFERROR(O37/Summary!$L$17,"")</f>
        <v/>
      </c>
      <c r="AA37" s="99" t="n">
        <v>46245</v>
      </c>
      <c r="AB37" s="99" t="n">
        <v>46265</v>
      </c>
      <c r="AC37" s="100">
        <f>AB37-AA37+1</f>
        <v/>
      </c>
      <c r="AD37" s="87">
        <f>SUMIFS(Raw_Data!$AC$2:$AC$2552,Raw_Data!$D$2:$D$2552,$A37,Raw_Data!$L$2:$L$2552,$B37)</f>
        <v/>
      </c>
      <c r="AE37" s="87">
        <f>SUMIFS(Raw_Data!$AD$2:$AD$2552,Raw_Data!$D$2:$D$2552,$A37,Raw_Data!$L$2:$L$2552,$B37)</f>
        <v/>
      </c>
      <c r="AF37" s="87">
        <f>SUMIFS(Raw_Data!$AE$2:$AE$2552,Raw_Data!$D$2:$D$2552,$A37,Raw_Data!$L$2:$L$2552,$B37)</f>
        <v/>
      </c>
      <c r="AG37" s="87">
        <f>SUMIFS(Raw_Data!$AF$2:$AF$2552,Raw_Data!$D$2:$D$2552,$A37,Raw_Data!$L$2:$L$2552,$B37)</f>
        <v/>
      </c>
      <c r="AH37" s="87">
        <f>SUMIFS(Raw_Data!$AG$2:$AG$2552,Raw_Data!$D$2:$D$2552,$A37,Raw_Data!$L$2:$L$2552,$B37)</f>
        <v/>
      </c>
      <c r="AI37" s="87">
        <f>SUMIFS(Raw_Data!$AH$2:$AH$2552,Raw_Data!$D$2:$D$2552,$A37,Raw_Data!$L$2:$L$2552,$B37)</f>
        <v/>
      </c>
      <c r="AJ37" s="18">
        <f>IFERROR(AD37/F37,"")</f>
        <v/>
      </c>
      <c r="AK37" s="18">
        <f>IFERROR(AI37/F37,"")</f>
        <v/>
      </c>
      <c r="AL37" s="87">
        <f>SUMIFS(Raw_Data!$AK$2:$AK$2552,Raw_Data!$D$2:$D$2552,$A37,Raw_Data!$L$2:$L$2552,$B37)</f>
        <v/>
      </c>
    </row>
    <row r="38">
      <c r="A38" s="6" t="inlineStr">
        <is>
          <t>TikTok</t>
        </is>
      </c>
      <c r="B38" s="78" t="inlineStr">
        <is>
          <t>TT_RMKT_10s_BookNow_v1</t>
        </is>
      </c>
      <c r="C38" s="78" t="inlineStr">
        <is>
          <t>Video 9:16</t>
        </is>
      </c>
      <c r="D38" s="78" t="inlineStr">
        <is>
          <t>You watched. Now drive.</t>
        </is>
      </c>
      <c r="E38" s="86">
        <f>SUMIFS(Raw_Data!$R$2:$R$2552,Raw_Data!$D$2:$D$2552,$A38,Raw_Data!$L$2:$L$2552,$B38)</f>
        <v/>
      </c>
      <c r="F38" s="87">
        <f>SUMIFS(Raw_Data!$S$2:$S$2552,Raw_Data!$D$2:$D$2552,$A38,Raw_Data!$L$2:$L$2552,$B38)</f>
        <v/>
      </c>
      <c r="G38" s="87">
        <f>SUMIFS(Raw_Data!$T$2:$T$2552,Raw_Data!$D$2:$D$2552,$A38,Raw_Data!$L$2:$L$2552,$B38)</f>
        <v/>
      </c>
      <c r="H38" s="88">
        <f>IFERROR(F38/G38,"")</f>
        <v/>
      </c>
      <c r="I38" s="87">
        <f>SUMIFS(Raw_Data!$W$2:$W$2552,Raw_Data!$D$2:$D$2552,$A38,Raw_Data!$L$2:$L$2552,$B38)</f>
        <v/>
      </c>
      <c r="J38" s="89">
        <f>IFERROR(I38/F38,"")</f>
        <v/>
      </c>
      <c r="K38" s="90">
        <f>IFERROR(E38/I38,"")</f>
        <v/>
      </c>
      <c r="L38" s="90">
        <f>IFERROR(E38/F38*1000,"")</f>
        <v/>
      </c>
      <c r="M38" s="87">
        <f>SUMIFS(Raw_Data!$AA$2:$AA$2552,Raw_Data!$D$2:$D$2552,$A38,Raw_Data!$L$2:$L$2552,$B38)</f>
        <v/>
      </c>
      <c r="N38" s="18">
        <f>IFERROR(M38/I38,"")</f>
        <v/>
      </c>
      <c r="O38" s="87">
        <f>SUMIFS(Raw_Data!$AL$2:$AL$2552,Raw_Data!$D$2:$D$2552,$A38,Raw_Data!$L$2:$L$2552,$B38)</f>
        <v/>
      </c>
      <c r="P38" s="89">
        <f>IFERROR(O38/M38,"")</f>
        <v/>
      </c>
      <c r="Q38" s="86">
        <f>IFERROR(E38/O38,"")</f>
        <v/>
      </c>
      <c r="R38" s="87">
        <f>SUMIFS(Raw_Data!$AO$2:$AO$2552,Raw_Data!$D$2:$D$2552,$A38,Raw_Data!$L$2:$L$2552,$B38)</f>
        <v/>
      </c>
      <c r="S38" s="18">
        <f>IFERROR(R38/O38,"")</f>
        <v/>
      </c>
      <c r="T38" s="86">
        <f>IFERROR(E38/R38,"")</f>
        <v/>
      </c>
      <c r="U38" s="87">
        <f>SUMIFS(Raw_Data!$AR$2:$AR$2552,Raw_Data!$D$2:$D$2552,$A38,Raw_Data!$L$2:$L$2552,$B38)</f>
        <v/>
      </c>
      <c r="V38" s="87">
        <f>SUMIFS(Raw_Data!$AS$2:$AS$2552,Raw_Data!$D$2:$D$2552,$A38,Raw_Data!$L$2:$L$2552,$B38)</f>
        <v/>
      </c>
      <c r="W38" s="87">
        <f>O38+U38</f>
        <v/>
      </c>
      <c r="X38" s="86">
        <f>SUMIFS(Raw_Data!$AU$2:$AU$2552,Raw_Data!$D$2:$D$2552,$A38,Raw_Data!$L$2:$L$2552,$B38)</f>
        <v/>
      </c>
      <c r="Y38" s="18">
        <f>IFERROR(E38/Summary!$B$17,"")</f>
        <v/>
      </c>
      <c r="Z38" s="18">
        <f>IFERROR(O38/Summary!$L$17,"")</f>
        <v/>
      </c>
      <c r="AA38" s="99" t="n">
        <v>46235</v>
      </c>
      <c r="AB38" s="99" t="n">
        <v>46265</v>
      </c>
      <c r="AC38" s="100">
        <f>AB38-AA38+1</f>
        <v/>
      </c>
      <c r="AD38" s="87">
        <f>SUMIFS(Raw_Data!$AC$2:$AC$2552,Raw_Data!$D$2:$D$2552,$A38,Raw_Data!$L$2:$L$2552,$B38)</f>
        <v/>
      </c>
      <c r="AE38" s="87">
        <f>SUMIFS(Raw_Data!$AD$2:$AD$2552,Raw_Data!$D$2:$D$2552,$A38,Raw_Data!$L$2:$L$2552,$B38)</f>
        <v/>
      </c>
      <c r="AF38" s="87">
        <f>SUMIFS(Raw_Data!$AE$2:$AE$2552,Raw_Data!$D$2:$D$2552,$A38,Raw_Data!$L$2:$L$2552,$B38)</f>
        <v/>
      </c>
      <c r="AG38" s="87">
        <f>SUMIFS(Raw_Data!$AF$2:$AF$2552,Raw_Data!$D$2:$D$2552,$A38,Raw_Data!$L$2:$L$2552,$B38)</f>
        <v/>
      </c>
      <c r="AH38" s="87">
        <f>SUMIFS(Raw_Data!$AG$2:$AG$2552,Raw_Data!$D$2:$D$2552,$A38,Raw_Data!$L$2:$L$2552,$B38)</f>
        <v/>
      </c>
      <c r="AI38" s="87">
        <f>SUMIFS(Raw_Data!$AH$2:$AH$2552,Raw_Data!$D$2:$D$2552,$A38,Raw_Data!$L$2:$L$2552,$B38)</f>
        <v/>
      </c>
      <c r="AJ38" s="18">
        <f>IFERROR(AD38/F38,"")</f>
        <v/>
      </c>
      <c r="AK38" s="18">
        <f>IFERROR(AI38/F38,"")</f>
        <v/>
      </c>
      <c r="AL38" s="87">
        <f>SUMIFS(Raw_Data!$AK$2:$AK$2552,Raw_Data!$D$2:$D$2552,$A38,Raw_Data!$L$2:$L$2552,$B38)</f>
        <v/>
      </c>
    </row>
    <row r="39">
      <c r="A39" s="6" t="inlineStr">
        <is>
          <t>X</t>
        </is>
      </c>
      <c r="B39" s="78" t="inlineStr">
        <is>
          <t>X_STA_RangeOffer_v1</t>
        </is>
      </c>
      <c r="C39" s="78" t="inlineStr">
        <is>
          <t>Image Ad</t>
        </is>
      </c>
      <c r="D39" s="78" t="inlineStr">
        <is>
          <t>Three models. One test drive.</t>
        </is>
      </c>
      <c r="E39" s="86">
        <f>SUMIFS(Raw_Data!$R$2:$R$2552,Raw_Data!$D$2:$D$2552,$A39,Raw_Data!$L$2:$L$2552,$B39)</f>
        <v/>
      </c>
      <c r="F39" s="87">
        <f>SUMIFS(Raw_Data!$S$2:$S$2552,Raw_Data!$D$2:$D$2552,$A39,Raw_Data!$L$2:$L$2552,$B39)</f>
        <v/>
      </c>
      <c r="G39" s="87">
        <f>SUMIFS(Raw_Data!$T$2:$T$2552,Raw_Data!$D$2:$D$2552,$A39,Raw_Data!$L$2:$L$2552,$B39)</f>
        <v/>
      </c>
      <c r="H39" s="88">
        <f>IFERROR(F39/G39,"")</f>
        <v/>
      </c>
      <c r="I39" s="87">
        <f>SUMIFS(Raw_Data!$W$2:$W$2552,Raw_Data!$D$2:$D$2552,$A39,Raw_Data!$L$2:$L$2552,$B39)</f>
        <v/>
      </c>
      <c r="J39" s="89">
        <f>IFERROR(I39/F39,"")</f>
        <v/>
      </c>
      <c r="K39" s="90">
        <f>IFERROR(E39/I39,"")</f>
        <v/>
      </c>
      <c r="L39" s="90">
        <f>IFERROR(E39/F39*1000,"")</f>
        <v/>
      </c>
      <c r="M39" s="87">
        <f>SUMIFS(Raw_Data!$AA$2:$AA$2552,Raw_Data!$D$2:$D$2552,$A39,Raw_Data!$L$2:$L$2552,$B39)</f>
        <v/>
      </c>
      <c r="N39" s="18">
        <f>IFERROR(M39/I39,"")</f>
        <v/>
      </c>
      <c r="O39" s="87">
        <f>SUMIFS(Raw_Data!$AL$2:$AL$2552,Raw_Data!$D$2:$D$2552,$A39,Raw_Data!$L$2:$L$2552,$B39)</f>
        <v/>
      </c>
      <c r="P39" s="89">
        <f>IFERROR(O39/M39,"")</f>
        <v/>
      </c>
      <c r="Q39" s="86">
        <f>IFERROR(E39/O39,"")</f>
        <v/>
      </c>
      <c r="R39" s="87">
        <f>SUMIFS(Raw_Data!$AO$2:$AO$2552,Raw_Data!$D$2:$D$2552,$A39,Raw_Data!$L$2:$L$2552,$B39)</f>
        <v/>
      </c>
      <c r="S39" s="18">
        <f>IFERROR(R39/O39,"")</f>
        <v/>
      </c>
      <c r="T39" s="86">
        <f>IFERROR(E39/R39,"")</f>
        <v/>
      </c>
      <c r="U39" s="87">
        <f>SUMIFS(Raw_Data!$AR$2:$AR$2552,Raw_Data!$D$2:$D$2552,$A39,Raw_Data!$L$2:$L$2552,$B39)</f>
        <v/>
      </c>
      <c r="V39" s="87">
        <f>SUMIFS(Raw_Data!$AS$2:$AS$2552,Raw_Data!$D$2:$D$2552,$A39,Raw_Data!$L$2:$L$2552,$B39)</f>
        <v/>
      </c>
      <c r="W39" s="87">
        <f>O39+U39</f>
        <v/>
      </c>
      <c r="X39" s="86">
        <f>SUMIFS(Raw_Data!$AU$2:$AU$2552,Raw_Data!$D$2:$D$2552,$A39,Raw_Data!$L$2:$L$2552,$B39)</f>
        <v/>
      </c>
      <c r="Y39" s="18">
        <f>IFERROR(E39/Summary!$B$17,"")</f>
        <v/>
      </c>
      <c r="Z39" s="18">
        <f>IFERROR(O39/Summary!$L$17,"")</f>
        <v/>
      </c>
      <c r="AA39" s="99" t="n">
        <v>46235</v>
      </c>
      <c r="AB39" s="99" t="n">
        <v>46265</v>
      </c>
      <c r="AC39" s="100">
        <f>AB39-AA39+1</f>
        <v/>
      </c>
      <c r="AD39" s="87">
        <f>SUMIFS(Raw_Data!$AC$2:$AC$2552,Raw_Data!$D$2:$D$2552,$A39,Raw_Data!$L$2:$L$2552,$B39)</f>
        <v/>
      </c>
      <c r="AE39" s="87">
        <f>SUMIFS(Raw_Data!$AD$2:$AD$2552,Raw_Data!$D$2:$D$2552,$A39,Raw_Data!$L$2:$L$2552,$B39)</f>
        <v/>
      </c>
      <c r="AF39" s="87">
        <f>SUMIFS(Raw_Data!$AE$2:$AE$2552,Raw_Data!$D$2:$D$2552,$A39,Raw_Data!$L$2:$L$2552,$B39)</f>
        <v/>
      </c>
      <c r="AG39" s="87">
        <f>SUMIFS(Raw_Data!$AF$2:$AF$2552,Raw_Data!$D$2:$D$2552,$A39,Raw_Data!$L$2:$L$2552,$B39)</f>
        <v/>
      </c>
      <c r="AH39" s="87">
        <f>SUMIFS(Raw_Data!$AG$2:$AG$2552,Raw_Data!$D$2:$D$2552,$A39,Raw_Data!$L$2:$L$2552,$B39)</f>
        <v/>
      </c>
      <c r="AI39" s="87">
        <f>SUMIFS(Raw_Data!$AH$2:$AH$2552,Raw_Data!$D$2:$D$2552,$A39,Raw_Data!$L$2:$L$2552,$B39)</f>
        <v/>
      </c>
      <c r="AJ39" s="18">
        <f>IFERROR(AD39/F39,"")</f>
        <v/>
      </c>
      <c r="AK39" s="18">
        <f>IFERROR(AI39/F39,"")</f>
        <v/>
      </c>
      <c r="AL39" s="87">
        <f>SUMIFS(Raw_Data!$AK$2:$AK$2552,Raw_Data!$D$2:$D$2552,$A39,Raw_Data!$L$2:$L$2552,$B39)</f>
        <v/>
      </c>
    </row>
    <row r="40">
      <c r="A40" s="6" t="inlineStr">
        <is>
          <t>X</t>
        </is>
      </c>
      <c r="B40" s="78" t="inlineStr">
        <is>
          <t>X_VID_15s_RangeFilm_v1</t>
        </is>
      </c>
      <c r="C40" s="78" t="inlineStr">
        <is>
          <t>Video 16:9</t>
        </is>
      </c>
      <c r="D40" s="78" t="inlineStr">
        <is>
          <t>Meet the Lepas range</t>
        </is>
      </c>
      <c r="E40" s="86">
        <f>SUMIFS(Raw_Data!$R$2:$R$2552,Raw_Data!$D$2:$D$2552,$A40,Raw_Data!$L$2:$L$2552,$B40)</f>
        <v/>
      </c>
      <c r="F40" s="87">
        <f>SUMIFS(Raw_Data!$S$2:$S$2552,Raw_Data!$D$2:$D$2552,$A40,Raw_Data!$L$2:$L$2552,$B40)</f>
        <v/>
      </c>
      <c r="G40" s="87">
        <f>SUMIFS(Raw_Data!$T$2:$T$2552,Raw_Data!$D$2:$D$2552,$A40,Raw_Data!$L$2:$L$2552,$B40)</f>
        <v/>
      </c>
      <c r="H40" s="88">
        <f>IFERROR(F40/G40,"")</f>
        <v/>
      </c>
      <c r="I40" s="87">
        <f>SUMIFS(Raw_Data!$W$2:$W$2552,Raw_Data!$D$2:$D$2552,$A40,Raw_Data!$L$2:$L$2552,$B40)</f>
        <v/>
      </c>
      <c r="J40" s="89">
        <f>IFERROR(I40/F40,"")</f>
        <v/>
      </c>
      <c r="K40" s="90">
        <f>IFERROR(E40/I40,"")</f>
        <v/>
      </c>
      <c r="L40" s="90">
        <f>IFERROR(E40/F40*1000,"")</f>
        <v/>
      </c>
      <c r="M40" s="87">
        <f>SUMIFS(Raw_Data!$AA$2:$AA$2552,Raw_Data!$D$2:$D$2552,$A40,Raw_Data!$L$2:$L$2552,$B40)</f>
        <v/>
      </c>
      <c r="N40" s="18">
        <f>IFERROR(M40/I40,"")</f>
        <v/>
      </c>
      <c r="O40" s="87">
        <f>SUMIFS(Raw_Data!$AL$2:$AL$2552,Raw_Data!$D$2:$D$2552,$A40,Raw_Data!$L$2:$L$2552,$B40)</f>
        <v/>
      </c>
      <c r="P40" s="89">
        <f>IFERROR(O40/M40,"")</f>
        <v/>
      </c>
      <c r="Q40" s="86">
        <f>IFERROR(E40/O40,"")</f>
        <v/>
      </c>
      <c r="R40" s="87">
        <f>SUMIFS(Raw_Data!$AO$2:$AO$2552,Raw_Data!$D$2:$D$2552,$A40,Raw_Data!$L$2:$L$2552,$B40)</f>
        <v/>
      </c>
      <c r="S40" s="18">
        <f>IFERROR(R40/O40,"")</f>
        <v/>
      </c>
      <c r="T40" s="86">
        <f>IFERROR(E40/R40,"")</f>
        <v/>
      </c>
      <c r="U40" s="87">
        <f>SUMIFS(Raw_Data!$AR$2:$AR$2552,Raw_Data!$D$2:$D$2552,$A40,Raw_Data!$L$2:$L$2552,$B40)</f>
        <v/>
      </c>
      <c r="V40" s="87">
        <f>SUMIFS(Raw_Data!$AS$2:$AS$2552,Raw_Data!$D$2:$D$2552,$A40,Raw_Data!$L$2:$L$2552,$B40)</f>
        <v/>
      </c>
      <c r="W40" s="87">
        <f>O40+U40</f>
        <v/>
      </c>
      <c r="X40" s="86">
        <f>SUMIFS(Raw_Data!$AU$2:$AU$2552,Raw_Data!$D$2:$D$2552,$A40,Raw_Data!$L$2:$L$2552,$B40)</f>
        <v/>
      </c>
      <c r="Y40" s="18">
        <f>IFERROR(E40/Summary!$B$17,"")</f>
        <v/>
      </c>
      <c r="Z40" s="18">
        <f>IFERROR(O40/Summary!$L$17,"")</f>
        <v/>
      </c>
      <c r="AA40" s="99" t="n">
        <v>46235</v>
      </c>
      <c r="AB40" s="99" t="n">
        <v>46265</v>
      </c>
      <c r="AC40" s="100">
        <f>AB40-AA40+1</f>
        <v/>
      </c>
      <c r="AD40" s="87">
        <f>SUMIFS(Raw_Data!$AC$2:$AC$2552,Raw_Data!$D$2:$D$2552,$A40,Raw_Data!$L$2:$L$2552,$B40)</f>
        <v/>
      </c>
      <c r="AE40" s="87">
        <f>SUMIFS(Raw_Data!$AD$2:$AD$2552,Raw_Data!$D$2:$D$2552,$A40,Raw_Data!$L$2:$L$2552,$B40)</f>
        <v/>
      </c>
      <c r="AF40" s="87">
        <f>SUMIFS(Raw_Data!$AE$2:$AE$2552,Raw_Data!$D$2:$D$2552,$A40,Raw_Data!$L$2:$L$2552,$B40)</f>
        <v/>
      </c>
      <c r="AG40" s="87">
        <f>SUMIFS(Raw_Data!$AF$2:$AF$2552,Raw_Data!$D$2:$D$2552,$A40,Raw_Data!$L$2:$L$2552,$B40)</f>
        <v/>
      </c>
      <c r="AH40" s="87">
        <f>SUMIFS(Raw_Data!$AG$2:$AG$2552,Raw_Data!$D$2:$D$2552,$A40,Raw_Data!$L$2:$L$2552,$B40)</f>
        <v/>
      </c>
      <c r="AI40" s="87">
        <f>SUMIFS(Raw_Data!$AH$2:$AH$2552,Raw_Data!$D$2:$D$2552,$A40,Raw_Data!$L$2:$L$2552,$B40)</f>
        <v/>
      </c>
      <c r="AJ40" s="18">
        <f>IFERROR(AD40/F40,"")</f>
        <v/>
      </c>
      <c r="AK40" s="18">
        <f>IFERROR(AI40/F40,"")</f>
        <v/>
      </c>
      <c r="AL40" s="87">
        <f>SUMIFS(Raw_Data!$AK$2:$AK$2552,Raw_Data!$D$2:$D$2552,$A40,Raw_Data!$L$2:$L$2552,$B40)</f>
        <v/>
      </c>
    </row>
    <row r="41">
      <c r="A41" s="6" t="inlineStr">
        <is>
          <t>X</t>
        </is>
      </c>
      <c r="B41" s="78" t="inlineStr">
        <is>
          <t>X_STA_PricePoint_v1</t>
        </is>
      </c>
      <c r="C41" s="78" t="inlineStr">
        <is>
          <t>Image Ad</t>
        </is>
      </c>
      <c r="D41" s="78" t="inlineStr">
        <is>
          <t>From R3 599pm</t>
        </is>
      </c>
      <c r="E41" s="86">
        <f>SUMIFS(Raw_Data!$R$2:$R$2552,Raw_Data!$D$2:$D$2552,$A41,Raw_Data!$L$2:$L$2552,$B41)</f>
        <v/>
      </c>
      <c r="F41" s="87">
        <f>SUMIFS(Raw_Data!$S$2:$S$2552,Raw_Data!$D$2:$D$2552,$A41,Raw_Data!$L$2:$L$2552,$B41)</f>
        <v/>
      </c>
      <c r="G41" s="87">
        <f>SUMIFS(Raw_Data!$T$2:$T$2552,Raw_Data!$D$2:$D$2552,$A41,Raw_Data!$L$2:$L$2552,$B41)</f>
        <v/>
      </c>
      <c r="H41" s="88">
        <f>IFERROR(F41/G41,"")</f>
        <v/>
      </c>
      <c r="I41" s="87">
        <f>SUMIFS(Raw_Data!$W$2:$W$2552,Raw_Data!$D$2:$D$2552,$A41,Raw_Data!$L$2:$L$2552,$B41)</f>
        <v/>
      </c>
      <c r="J41" s="89">
        <f>IFERROR(I41/F41,"")</f>
        <v/>
      </c>
      <c r="K41" s="90">
        <f>IFERROR(E41/I41,"")</f>
        <v/>
      </c>
      <c r="L41" s="90">
        <f>IFERROR(E41/F41*1000,"")</f>
        <v/>
      </c>
      <c r="M41" s="87">
        <f>SUMIFS(Raw_Data!$AA$2:$AA$2552,Raw_Data!$D$2:$D$2552,$A41,Raw_Data!$L$2:$L$2552,$B41)</f>
        <v/>
      </c>
      <c r="N41" s="18">
        <f>IFERROR(M41/I41,"")</f>
        <v/>
      </c>
      <c r="O41" s="87">
        <f>SUMIFS(Raw_Data!$AL$2:$AL$2552,Raw_Data!$D$2:$D$2552,$A41,Raw_Data!$L$2:$L$2552,$B41)</f>
        <v/>
      </c>
      <c r="P41" s="89">
        <f>IFERROR(O41/M41,"")</f>
        <v/>
      </c>
      <c r="Q41" s="86">
        <f>IFERROR(E41/O41,"")</f>
        <v/>
      </c>
      <c r="R41" s="87">
        <f>SUMIFS(Raw_Data!$AO$2:$AO$2552,Raw_Data!$D$2:$D$2552,$A41,Raw_Data!$L$2:$L$2552,$B41)</f>
        <v/>
      </c>
      <c r="S41" s="18">
        <f>IFERROR(R41/O41,"")</f>
        <v/>
      </c>
      <c r="T41" s="86">
        <f>IFERROR(E41/R41,"")</f>
        <v/>
      </c>
      <c r="U41" s="87">
        <f>SUMIFS(Raw_Data!$AR$2:$AR$2552,Raw_Data!$D$2:$D$2552,$A41,Raw_Data!$L$2:$L$2552,$B41)</f>
        <v/>
      </c>
      <c r="V41" s="87">
        <f>SUMIFS(Raw_Data!$AS$2:$AS$2552,Raw_Data!$D$2:$D$2552,$A41,Raw_Data!$L$2:$L$2552,$B41)</f>
        <v/>
      </c>
      <c r="W41" s="87">
        <f>O41+U41</f>
        <v/>
      </c>
      <c r="X41" s="86">
        <f>SUMIFS(Raw_Data!$AU$2:$AU$2552,Raw_Data!$D$2:$D$2552,$A41,Raw_Data!$L$2:$L$2552,$B41)</f>
        <v/>
      </c>
      <c r="Y41" s="18">
        <f>IFERROR(E41/Summary!$B$17,"")</f>
        <v/>
      </c>
      <c r="Z41" s="18">
        <f>IFERROR(O41/Summary!$L$17,"")</f>
        <v/>
      </c>
      <c r="AA41" s="99" t="n">
        <v>46235</v>
      </c>
      <c r="AB41" s="99" t="n">
        <v>46265</v>
      </c>
      <c r="AC41" s="100">
        <f>AB41-AA41+1</f>
        <v/>
      </c>
      <c r="AD41" s="87">
        <f>SUMIFS(Raw_Data!$AC$2:$AC$2552,Raw_Data!$D$2:$D$2552,$A41,Raw_Data!$L$2:$L$2552,$B41)</f>
        <v/>
      </c>
      <c r="AE41" s="87">
        <f>SUMIFS(Raw_Data!$AD$2:$AD$2552,Raw_Data!$D$2:$D$2552,$A41,Raw_Data!$L$2:$L$2552,$B41)</f>
        <v/>
      </c>
      <c r="AF41" s="87">
        <f>SUMIFS(Raw_Data!$AE$2:$AE$2552,Raw_Data!$D$2:$D$2552,$A41,Raw_Data!$L$2:$L$2552,$B41)</f>
        <v/>
      </c>
      <c r="AG41" s="87">
        <f>SUMIFS(Raw_Data!$AF$2:$AF$2552,Raw_Data!$D$2:$D$2552,$A41,Raw_Data!$L$2:$L$2552,$B41)</f>
        <v/>
      </c>
      <c r="AH41" s="87">
        <f>SUMIFS(Raw_Data!$AG$2:$AG$2552,Raw_Data!$D$2:$D$2552,$A41,Raw_Data!$L$2:$L$2552,$B41)</f>
        <v/>
      </c>
      <c r="AI41" s="87">
        <f>SUMIFS(Raw_Data!$AH$2:$AH$2552,Raw_Data!$D$2:$D$2552,$A41,Raw_Data!$L$2:$L$2552,$B41)</f>
        <v/>
      </c>
      <c r="AJ41" s="18">
        <f>IFERROR(AD41/F41,"")</f>
        <v/>
      </c>
      <c r="AK41" s="18">
        <f>IFERROR(AI41/F41,"")</f>
        <v/>
      </c>
      <c r="AL41" s="87">
        <f>SUMIFS(Raw_Data!$AK$2:$AK$2552,Raw_Data!$D$2:$D$2552,$A41,Raw_Data!$L$2:$L$2552,$B41)</f>
        <v/>
      </c>
    </row>
    <row r="42">
      <c r="A42" s="6" t="inlineStr">
        <is>
          <t>X</t>
        </is>
      </c>
      <c r="B42" s="78" t="inlineStr">
        <is>
          <t>X_STA_BookReminder_v1</t>
        </is>
      </c>
      <c r="C42" s="78" t="inlineStr">
        <is>
          <t>Image Ad</t>
        </is>
      </c>
      <c r="D42" s="78" t="inlineStr">
        <is>
          <t>Slots open this weekend</t>
        </is>
      </c>
      <c r="E42" s="86">
        <f>SUMIFS(Raw_Data!$R$2:$R$2552,Raw_Data!$D$2:$D$2552,$A42,Raw_Data!$L$2:$L$2552,$B42)</f>
        <v/>
      </c>
      <c r="F42" s="87">
        <f>SUMIFS(Raw_Data!$S$2:$S$2552,Raw_Data!$D$2:$D$2552,$A42,Raw_Data!$L$2:$L$2552,$B42)</f>
        <v/>
      </c>
      <c r="G42" s="87">
        <f>SUMIFS(Raw_Data!$T$2:$T$2552,Raw_Data!$D$2:$D$2552,$A42,Raw_Data!$L$2:$L$2552,$B42)</f>
        <v/>
      </c>
      <c r="H42" s="88">
        <f>IFERROR(F42/G42,"")</f>
        <v/>
      </c>
      <c r="I42" s="87">
        <f>SUMIFS(Raw_Data!$W$2:$W$2552,Raw_Data!$D$2:$D$2552,$A42,Raw_Data!$L$2:$L$2552,$B42)</f>
        <v/>
      </c>
      <c r="J42" s="89">
        <f>IFERROR(I42/F42,"")</f>
        <v/>
      </c>
      <c r="K42" s="90">
        <f>IFERROR(E42/I42,"")</f>
        <v/>
      </c>
      <c r="L42" s="90">
        <f>IFERROR(E42/F42*1000,"")</f>
        <v/>
      </c>
      <c r="M42" s="87">
        <f>SUMIFS(Raw_Data!$AA$2:$AA$2552,Raw_Data!$D$2:$D$2552,$A42,Raw_Data!$L$2:$L$2552,$B42)</f>
        <v/>
      </c>
      <c r="N42" s="18">
        <f>IFERROR(M42/I42,"")</f>
        <v/>
      </c>
      <c r="O42" s="87">
        <f>SUMIFS(Raw_Data!$AL$2:$AL$2552,Raw_Data!$D$2:$D$2552,$A42,Raw_Data!$L$2:$L$2552,$B42)</f>
        <v/>
      </c>
      <c r="P42" s="89">
        <f>IFERROR(O42/M42,"")</f>
        <v/>
      </c>
      <c r="Q42" s="86">
        <f>IFERROR(E42/O42,"")</f>
        <v/>
      </c>
      <c r="R42" s="87">
        <f>SUMIFS(Raw_Data!$AO$2:$AO$2552,Raw_Data!$D$2:$D$2552,$A42,Raw_Data!$L$2:$L$2552,$B42)</f>
        <v/>
      </c>
      <c r="S42" s="18">
        <f>IFERROR(R42/O42,"")</f>
        <v/>
      </c>
      <c r="T42" s="86">
        <f>IFERROR(E42/R42,"")</f>
        <v/>
      </c>
      <c r="U42" s="87">
        <f>SUMIFS(Raw_Data!$AR$2:$AR$2552,Raw_Data!$D$2:$D$2552,$A42,Raw_Data!$L$2:$L$2552,$B42)</f>
        <v/>
      </c>
      <c r="V42" s="87">
        <f>SUMIFS(Raw_Data!$AS$2:$AS$2552,Raw_Data!$D$2:$D$2552,$A42,Raw_Data!$L$2:$L$2552,$B42)</f>
        <v/>
      </c>
      <c r="W42" s="87">
        <f>O42+U42</f>
        <v/>
      </c>
      <c r="X42" s="86">
        <f>SUMIFS(Raw_Data!$AU$2:$AU$2552,Raw_Data!$D$2:$D$2552,$A42,Raw_Data!$L$2:$L$2552,$B42)</f>
        <v/>
      </c>
      <c r="Y42" s="18">
        <f>IFERROR(E42/Summary!$B$17,"")</f>
        <v/>
      </c>
      <c r="Z42" s="18">
        <f>IFERROR(O42/Summary!$L$17,"")</f>
        <v/>
      </c>
      <c r="AA42" s="99" t="n">
        <v>46235</v>
      </c>
      <c r="AB42" s="99" t="n">
        <v>46265</v>
      </c>
      <c r="AC42" s="100">
        <f>AB42-AA42+1</f>
        <v/>
      </c>
      <c r="AD42" s="87">
        <f>SUMIFS(Raw_Data!$AC$2:$AC$2552,Raw_Data!$D$2:$D$2552,$A42,Raw_Data!$L$2:$L$2552,$B42)</f>
        <v/>
      </c>
      <c r="AE42" s="87">
        <f>SUMIFS(Raw_Data!$AD$2:$AD$2552,Raw_Data!$D$2:$D$2552,$A42,Raw_Data!$L$2:$L$2552,$B42)</f>
        <v/>
      </c>
      <c r="AF42" s="87">
        <f>SUMIFS(Raw_Data!$AE$2:$AE$2552,Raw_Data!$D$2:$D$2552,$A42,Raw_Data!$L$2:$L$2552,$B42)</f>
        <v/>
      </c>
      <c r="AG42" s="87">
        <f>SUMIFS(Raw_Data!$AF$2:$AF$2552,Raw_Data!$D$2:$D$2552,$A42,Raw_Data!$L$2:$L$2552,$B42)</f>
        <v/>
      </c>
      <c r="AH42" s="87">
        <f>SUMIFS(Raw_Data!$AG$2:$AG$2552,Raw_Data!$D$2:$D$2552,$A42,Raw_Data!$L$2:$L$2552,$B42)</f>
        <v/>
      </c>
      <c r="AI42" s="87">
        <f>SUMIFS(Raw_Data!$AH$2:$AH$2552,Raw_Data!$D$2:$D$2552,$A42,Raw_Data!$L$2:$L$2552,$B42)</f>
        <v/>
      </c>
      <c r="AJ42" s="18">
        <f>IFERROR(AD42/F42,"")</f>
        <v/>
      </c>
      <c r="AK42" s="18">
        <f>IFERROR(AI42/F42,"")</f>
        <v/>
      </c>
      <c r="AL42" s="87">
        <f>SUMIFS(Raw_Data!$AK$2:$AK$2552,Raw_Data!$D$2:$D$2552,$A42,Raw_Data!$L$2:$L$2552,$B42)</f>
        <v/>
      </c>
    </row>
    <row r="43">
      <c r="A43" s="6" t="inlineStr">
        <is>
          <t>Programmatic</t>
        </is>
      </c>
      <c r="B43" s="78" t="inlineStr">
        <is>
          <t>PROG_HTML5_300x250_Range_v1</t>
        </is>
      </c>
      <c r="C43" s="78" t="inlineStr">
        <is>
          <t>HTML5 Display 300x250</t>
        </is>
      </c>
      <c r="D43" s="78" t="inlineStr">
        <is>
          <t>Book a Lepas test drive</t>
        </is>
      </c>
      <c r="E43" s="86">
        <f>SUMIFS(Raw_Data!$R$2:$R$2552,Raw_Data!$D$2:$D$2552,$A43,Raw_Data!$L$2:$L$2552,$B43)</f>
        <v/>
      </c>
      <c r="F43" s="87">
        <f>SUMIFS(Raw_Data!$S$2:$S$2552,Raw_Data!$D$2:$D$2552,$A43,Raw_Data!$L$2:$L$2552,$B43)</f>
        <v/>
      </c>
      <c r="G43" s="87">
        <f>SUMIFS(Raw_Data!$T$2:$T$2552,Raw_Data!$D$2:$D$2552,$A43,Raw_Data!$L$2:$L$2552,$B43)</f>
        <v/>
      </c>
      <c r="H43" s="88">
        <f>IFERROR(F43/G43,"")</f>
        <v/>
      </c>
      <c r="I43" s="87">
        <f>SUMIFS(Raw_Data!$W$2:$W$2552,Raw_Data!$D$2:$D$2552,$A43,Raw_Data!$L$2:$L$2552,$B43)</f>
        <v/>
      </c>
      <c r="J43" s="89">
        <f>IFERROR(I43/F43,"")</f>
        <v/>
      </c>
      <c r="K43" s="90">
        <f>IFERROR(E43/I43,"")</f>
        <v/>
      </c>
      <c r="L43" s="90">
        <f>IFERROR(E43/F43*1000,"")</f>
        <v/>
      </c>
      <c r="M43" s="87">
        <f>SUMIFS(Raw_Data!$AA$2:$AA$2552,Raw_Data!$D$2:$D$2552,$A43,Raw_Data!$L$2:$L$2552,$B43)</f>
        <v/>
      </c>
      <c r="N43" s="18">
        <f>IFERROR(M43/I43,"")</f>
        <v/>
      </c>
      <c r="O43" s="87">
        <f>SUMIFS(Raw_Data!$AL$2:$AL$2552,Raw_Data!$D$2:$D$2552,$A43,Raw_Data!$L$2:$L$2552,$B43)</f>
        <v/>
      </c>
      <c r="P43" s="89">
        <f>IFERROR(O43/M43,"")</f>
        <v/>
      </c>
      <c r="Q43" s="86">
        <f>IFERROR(E43/O43,"")</f>
        <v/>
      </c>
      <c r="R43" s="87">
        <f>SUMIFS(Raw_Data!$AO$2:$AO$2552,Raw_Data!$D$2:$D$2552,$A43,Raw_Data!$L$2:$L$2552,$B43)</f>
        <v/>
      </c>
      <c r="S43" s="18">
        <f>IFERROR(R43/O43,"")</f>
        <v/>
      </c>
      <c r="T43" s="86">
        <f>IFERROR(E43/R43,"")</f>
        <v/>
      </c>
      <c r="U43" s="87">
        <f>SUMIFS(Raw_Data!$AR$2:$AR$2552,Raw_Data!$D$2:$D$2552,$A43,Raw_Data!$L$2:$L$2552,$B43)</f>
        <v/>
      </c>
      <c r="V43" s="87">
        <f>SUMIFS(Raw_Data!$AS$2:$AS$2552,Raw_Data!$D$2:$D$2552,$A43,Raw_Data!$L$2:$L$2552,$B43)</f>
        <v/>
      </c>
      <c r="W43" s="87">
        <f>O43+U43</f>
        <v/>
      </c>
      <c r="X43" s="86">
        <f>SUMIFS(Raw_Data!$AU$2:$AU$2552,Raw_Data!$D$2:$D$2552,$A43,Raw_Data!$L$2:$L$2552,$B43)</f>
        <v/>
      </c>
      <c r="Y43" s="18">
        <f>IFERROR(E43/Summary!$B$17,"")</f>
        <v/>
      </c>
      <c r="Z43" s="18">
        <f>IFERROR(O43/Summary!$L$17,"")</f>
        <v/>
      </c>
      <c r="AA43" s="99" t="n">
        <v>46235</v>
      </c>
      <c r="AB43" s="99" t="n">
        <v>46265</v>
      </c>
      <c r="AC43" s="100">
        <f>AB43-AA43+1</f>
        <v/>
      </c>
      <c r="AD43" s="87">
        <f>SUMIFS(Raw_Data!$AC$2:$AC$2552,Raw_Data!$D$2:$D$2552,$A43,Raw_Data!$L$2:$L$2552,$B43)</f>
        <v/>
      </c>
      <c r="AE43" s="87">
        <f>SUMIFS(Raw_Data!$AD$2:$AD$2552,Raw_Data!$D$2:$D$2552,$A43,Raw_Data!$L$2:$L$2552,$B43)</f>
        <v/>
      </c>
      <c r="AF43" s="87">
        <f>SUMIFS(Raw_Data!$AE$2:$AE$2552,Raw_Data!$D$2:$D$2552,$A43,Raw_Data!$L$2:$L$2552,$B43)</f>
        <v/>
      </c>
      <c r="AG43" s="87">
        <f>SUMIFS(Raw_Data!$AF$2:$AF$2552,Raw_Data!$D$2:$D$2552,$A43,Raw_Data!$L$2:$L$2552,$B43)</f>
        <v/>
      </c>
      <c r="AH43" s="87">
        <f>SUMIFS(Raw_Data!$AG$2:$AG$2552,Raw_Data!$D$2:$D$2552,$A43,Raw_Data!$L$2:$L$2552,$B43)</f>
        <v/>
      </c>
      <c r="AI43" s="87">
        <f>SUMIFS(Raw_Data!$AH$2:$AH$2552,Raw_Data!$D$2:$D$2552,$A43,Raw_Data!$L$2:$L$2552,$B43)</f>
        <v/>
      </c>
      <c r="AJ43" s="18">
        <f>IFERROR(AD43/F43,"")</f>
        <v/>
      </c>
      <c r="AK43" s="18">
        <f>IFERROR(AI43/F43,"")</f>
        <v/>
      </c>
      <c r="AL43" s="87">
        <f>SUMIFS(Raw_Data!$AK$2:$AK$2552,Raw_Data!$D$2:$D$2552,$A43,Raw_Data!$L$2:$L$2552,$B43)</f>
        <v/>
      </c>
    </row>
    <row r="44">
      <c r="A44" s="6" t="inlineStr">
        <is>
          <t>Programmatic</t>
        </is>
      </c>
      <c r="B44" s="78" t="inlineStr">
        <is>
          <t>PROG_HTML5_728x90_Range_v1</t>
        </is>
      </c>
      <c r="C44" s="78" t="inlineStr">
        <is>
          <t>HTML5 Display 728x90</t>
        </is>
      </c>
      <c r="D44" s="78" t="inlineStr">
        <is>
          <t>Book a Lepas test drive</t>
        </is>
      </c>
      <c r="E44" s="86">
        <f>SUMIFS(Raw_Data!$R$2:$R$2552,Raw_Data!$D$2:$D$2552,$A44,Raw_Data!$L$2:$L$2552,$B44)</f>
        <v/>
      </c>
      <c r="F44" s="87">
        <f>SUMIFS(Raw_Data!$S$2:$S$2552,Raw_Data!$D$2:$D$2552,$A44,Raw_Data!$L$2:$L$2552,$B44)</f>
        <v/>
      </c>
      <c r="G44" s="87">
        <f>SUMIFS(Raw_Data!$T$2:$T$2552,Raw_Data!$D$2:$D$2552,$A44,Raw_Data!$L$2:$L$2552,$B44)</f>
        <v/>
      </c>
      <c r="H44" s="88">
        <f>IFERROR(F44/G44,"")</f>
        <v/>
      </c>
      <c r="I44" s="87">
        <f>SUMIFS(Raw_Data!$W$2:$W$2552,Raw_Data!$D$2:$D$2552,$A44,Raw_Data!$L$2:$L$2552,$B44)</f>
        <v/>
      </c>
      <c r="J44" s="89">
        <f>IFERROR(I44/F44,"")</f>
        <v/>
      </c>
      <c r="K44" s="90">
        <f>IFERROR(E44/I44,"")</f>
        <v/>
      </c>
      <c r="L44" s="90">
        <f>IFERROR(E44/F44*1000,"")</f>
        <v/>
      </c>
      <c r="M44" s="87">
        <f>SUMIFS(Raw_Data!$AA$2:$AA$2552,Raw_Data!$D$2:$D$2552,$A44,Raw_Data!$L$2:$L$2552,$B44)</f>
        <v/>
      </c>
      <c r="N44" s="18">
        <f>IFERROR(M44/I44,"")</f>
        <v/>
      </c>
      <c r="O44" s="87">
        <f>SUMIFS(Raw_Data!$AL$2:$AL$2552,Raw_Data!$D$2:$D$2552,$A44,Raw_Data!$L$2:$L$2552,$B44)</f>
        <v/>
      </c>
      <c r="P44" s="89">
        <f>IFERROR(O44/M44,"")</f>
        <v/>
      </c>
      <c r="Q44" s="86">
        <f>IFERROR(E44/O44,"")</f>
        <v/>
      </c>
      <c r="R44" s="87">
        <f>SUMIFS(Raw_Data!$AO$2:$AO$2552,Raw_Data!$D$2:$D$2552,$A44,Raw_Data!$L$2:$L$2552,$B44)</f>
        <v/>
      </c>
      <c r="S44" s="18">
        <f>IFERROR(R44/O44,"")</f>
        <v/>
      </c>
      <c r="T44" s="86">
        <f>IFERROR(E44/R44,"")</f>
        <v/>
      </c>
      <c r="U44" s="87">
        <f>SUMIFS(Raw_Data!$AR$2:$AR$2552,Raw_Data!$D$2:$D$2552,$A44,Raw_Data!$L$2:$L$2552,$B44)</f>
        <v/>
      </c>
      <c r="V44" s="87">
        <f>SUMIFS(Raw_Data!$AS$2:$AS$2552,Raw_Data!$D$2:$D$2552,$A44,Raw_Data!$L$2:$L$2552,$B44)</f>
        <v/>
      </c>
      <c r="W44" s="87">
        <f>O44+U44</f>
        <v/>
      </c>
      <c r="X44" s="86">
        <f>SUMIFS(Raw_Data!$AU$2:$AU$2552,Raw_Data!$D$2:$D$2552,$A44,Raw_Data!$L$2:$L$2552,$B44)</f>
        <v/>
      </c>
      <c r="Y44" s="18">
        <f>IFERROR(E44/Summary!$B$17,"")</f>
        <v/>
      </c>
      <c r="Z44" s="18">
        <f>IFERROR(O44/Summary!$L$17,"")</f>
        <v/>
      </c>
      <c r="AA44" s="99" t="n">
        <v>46235</v>
      </c>
      <c r="AB44" s="99" t="n">
        <v>46265</v>
      </c>
      <c r="AC44" s="100">
        <f>AB44-AA44+1</f>
        <v/>
      </c>
      <c r="AD44" s="87">
        <f>SUMIFS(Raw_Data!$AC$2:$AC$2552,Raw_Data!$D$2:$D$2552,$A44,Raw_Data!$L$2:$L$2552,$B44)</f>
        <v/>
      </c>
      <c r="AE44" s="87">
        <f>SUMIFS(Raw_Data!$AD$2:$AD$2552,Raw_Data!$D$2:$D$2552,$A44,Raw_Data!$L$2:$L$2552,$B44)</f>
        <v/>
      </c>
      <c r="AF44" s="87">
        <f>SUMIFS(Raw_Data!$AE$2:$AE$2552,Raw_Data!$D$2:$D$2552,$A44,Raw_Data!$L$2:$L$2552,$B44)</f>
        <v/>
      </c>
      <c r="AG44" s="87">
        <f>SUMIFS(Raw_Data!$AF$2:$AF$2552,Raw_Data!$D$2:$D$2552,$A44,Raw_Data!$L$2:$L$2552,$B44)</f>
        <v/>
      </c>
      <c r="AH44" s="87">
        <f>SUMIFS(Raw_Data!$AG$2:$AG$2552,Raw_Data!$D$2:$D$2552,$A44,Raw_Data!$L$2:$L$2552,$B44)</f>
        <v/>
      </c>
      <c r="AI44" s="87">
        <f>SUMIFS(Raw_Data!$AH$2:$AH$2552,Raw_Data!$D$2:$D$2552,$A44,Raw_Data!$L$2:$L$2552,$B44)</f>
        <v/>
      </c>
      <c r="AJ44" s="18">
        <f>IFERROR(AD44/F44,"")</f>
        <v/>
      </c>
      <c r="AK44" s="18">
        <f>IFERROR(AI44/F44,"")</f>
        <v/>
      </c>
      <c r="AL44" s="87">
        <f>SUMIFS(Raw_Data!$AK$2:$AK$2552,Raw_Data!$D$2:$D$2552,$A44,Raw_Data!$L$2:$L$2552,$B44)</f>
        <v/>
      </c>
    </row>
    <row r="45">
      <c r="A45" s="6" t="inlineStr">
        <is>
          <t>Programmatic</t>
        </is>
      </c>
      <c r="B45" s="78" t="inlineStr">
        <is>
          <t>PROG_HTML5_320x50_Range_v1</t>
        </is>
      </c>
      <c r="C45" s="78" t="inlineStr">
        <is>
          <t>HTML5 Display 320x50</t>
        </is>
      </c>
      <c r="D45" s="78" t="inlineStr">
        <is>
          <t>From R3 599pm</t>
        </is>
      </c>
      <c r="E45" s="86">
        <f>SUMIFS(Raw_Data!$R$2:$R$2552,Raw_Data!$D$2:$D$2552,$A45,Raw_Data!$L$2:$L$2552,$B45)</f>
        <v/>
      </c>
      <c r="F45" s="87">
        <f>SUMIFS(Raw_Data!$S$2:$S$2552,Raw_Data!$D$2:$D$2552,$A45,Raw_Data!$L$2:$L$2552,$B45)</f>
        <v/>
      </c>
      <c r="G45" s="87">
        <f>SUMIFS(Raw_Data!$T$2:$T$2552,Raw_Data!$D$2:$D$2552,$A45,Raw_Data!$L$2:$L$2552,$B45)</f>
        <v/>
      </c>
      <c r="H45" s="88">
        <f>IFERROR(F45/G45,"")</f>
        <v/>
      </c>
      <c r="I45" s="87">
        <f>SUMIFS(Raw_Data!$W$2:$W$2552,Raw_Data!$D$2:$D$2552,$A45,Raw_Data!$L$2:$L$2552,$B45)</f>
        <v/>
      </c>
      <c r="J45" s="89">
        <f>IFERROR(I45/F45,"")</f>
        <v/>
      </c>
      <c r="K45" s="90">
        <f>IFERROR(E45/I45,"")</f>
        <v/>
      </c>
      <c r="L45" s="90">
        <f>IFERROR(E45/F45*1000,"")</f>
        <v/>
      </c>
      <c r="M45" s="87">
        <f>SUMIFS(Raw_Data!$AA$2:$AA$2552,Raw_Data!$D$2:$D$2552,$A45,Raw_Data!$L$2:$L$2552,$B45)</f>
        <v/>
      </c>
      <c r="N45" s="18">
        <f>IFERROR(M45/I45,"")</f>
        <v/>
      </c>
      <c r="O45" s="87">
        <f>SUMIFS(Raw_Data!$AL$2:$AL$2552,Raw_Data!$D$2:$D$2552,$A45,Raw_Data!$L$2:$L$2552,$B45)</f>
        <v/>
      </c>
      <c r="P45" s="89">
        <f>IFERROR(O45/M45,"")</f>
        <v/>
      </c>
      <c r="Q45" s="86">
        <f>IFERROR(E45/O45,"")</f>
        <v/>
      </c>
      <c r="R45" s="87">
        <f>SUMIFS(Raw_Data!$AO$2:$AO$2552,Raw_Data!$D$2:$D$2552,$A45,Raw_Data!$L$2:$L$2552,$B45)</f>
        <v/>
      </c>
      <c r="S45" s="18">
        <f>IFERROR(R45/O45,"")</f>
        <v/>
      </c>
      <c r="T45" s="86">
        <f>IFERROR(E45/R45,"")</f>
        <v/>
      </c>
      <c r="U45" s="87">
        <f>SUMIFS(Raw_Data!$AR$2:$AR$2552,Raw_Data!$D$2:$D$2552,$A45,Raw_Data!$L$2:$L$2552,$B45)</f>
        <v/>
      </c>
      <c r="V45" s="87">
        <f>SUMIFS(Raw_Data!$AS$2:$AS$2552,Raw_Data!$D$2:$D$2552,$A45,Raw_Data!$L$2:$L$2552,$B45)</f>
        <v/>
      </c>
      <c r="W45" s="87">
        <f>O45+U45</f>
        <v/>
      </c>
      <c r="X45" s="86">
        <f>SUMIFS(Raw_Data!$AU$2:$AU$2552,Raw_Data!$D$2:$D$2552,$A45,Raw_Data!$L$2:$L$2552,$B45)</f>
        <v/>
      </c>
      <c r="Y45" s="18">
        <f>IFERROR(E45/Summary!$B$17,"")</f>
        <v/>
      </c>
      <c r="Z45" s="18">
        <f>IFERROR(O45/Summary!$L$17,"")</f>
        <v/>
      </c>
      <c r="AA45" s="99" t="n">
        <v>46235</v>
      </c>
      <c r="AB45" s="99" t="n">
        <v>46265</v>
      </c>
      <c r="AC45" s="100">
        <f>AB45-AA45+1</f>
        <v/>
      </c>
      <c r="AD45" s="87">
        <f>SUMIFS(Raw_Data!$AC$2:$AC$2552,Raw_Data!$D$2:$D$2552,$A45,Raw_Data!$L$2:$L$2552,$B45)</f>
        <v/>
      </c>
      <c r="AE45" s="87">
        <f>SUMIFS(Raw_Data!$AD$2:$AD$2552,Raw_Data!$D$2:$D$2552,$A45,Raw_Data!$L$2:$L$2552,$B45)</f>
        <v/>
      </c>
      <c r="AF45" s="87">
        <f>SUMIFS(Raw_Data!$AE$2:$AE$2552,Raw_Data!$D$2:$D$2552,$A45,Raw_Data!$L$2:$L$2552,$B45)</f>
        <v/>
      </c>
      <c r="AG45" s="87">
        <f>SUMIFS(Raw_Data!$AF$2:$AF$2552,Raw_Data!$D$2:$D$2552,$A45,Raw_Data!$L$2:$L$2552,$B45)</f>
        <v/>
      </c>
      <c r="AH45" s="87">
        <f>SUMIFS(Raw_Data!$AG$2:$AG$2552,Raw_Data!$D$2:$D$2552,$A45,Raw_Data!$L$2:$L$2552,$B45)</f>
        <v/>
      </c>
      <c r="AI45" s="87">
        <f>SUMIFS(Raw_Data!$AH$2:$AH$2552,Raw_Data!$D$2:$D$2552,$A45,Raw_Data!$L$2:$L$2552,$B45)</f>
        <v/>
      </c>
      <c r="AJ45" s="18">
        <f>IFERROR(AD45/F45,"")</f>
        <v/>
      </c>
      <c r="AK45" s="18">
        <f>IFERROR(AI45/F45,"")</f>
        <v/>
      </c>
      <c r="AL45" s="87">
        <f>SUMIFS(Raw_Data!$AK$2:$AK$2552,Raw_Data!$D$2:$D$2552,$A45,Raw_Data!$L$2:$L$2552,$B45)</f>
        <v/>
      </c>
    </row>
    <row r="46">
      <c r="A46" s="6" t="inlineStr">
        <is>
          <t>Programmatic</t>
        </is>
      </c>
      <c r="B46" s="78" t="inlineStr">
        <is>
          <t>PROG_HTML5_300x600_Models_v1</t>
        </is>
      </c>
      <c r="C46" s="78" t="inlineStr">
        <is>
          <t>HTML5 Display 300x600</t>
        </is>
      </c>
      <c r="D46" s="78" t="inlineStr">
        <is>
          <t>Three models. One test drive.</t>
        </is>
      </c>
      <c r="E46" s="86">
        <f>SUMIFS(Raw_Data!$R$2:$R$2552,Raw_Data!$D$2:$D$2552,$A46,Raw_Data!$L$2:$L$2552,$B46)</f>
        <v/>
      </c>
      <c r="F46" s="87">
        <f>SUMIFS(Raw_Data!$S$2:$S$2552,Raw_Data!$D$2:$D$2552,$A46,Raw_Data!$L$2:$L$2552,$B46)</f>
        <v/>
      </c>
      <c r="G46" s="87">
        <f>SUMIFS(Raw_Data!$T$2:$T$2552,Raw_Data!$D$2:$D$2552,$A46,Raw_Data!$L$2:$L$2552,$B46)</f>
        <v/>
      </c>
      <c r="H46" s="88">
        <f>IFERROR(F46/G46,"")</f>
        <v/>
      </c>
      <c r="I46" s="87">
        <f>SUMIFS(Raw_Data!$W$2:$W$2552,Raw_Data!$D$2:$D$2552,$A46,Raw_Data!$L$2:$L$2552,$B46)</f>
        <v/>
      </c>
      <c r="J46" s="89">
        <f>IFERROR(I46/F46,"")</f>
        <v/>
      </c>
      <c r="K46" s="90">
        <f>IFERROR(E46/I46,"")</f>
        <v/>
      </c>
      <c r="L46" s="90">
        <f>IFERROR(E46/F46*1000,"")</f>
        <v/>
      </c>
      <c r="M46" s="87">
        <f>SUMIFS(Raw_Data!$AA$2:$AA$2552,Raw_Data!$D$2:$D$2552,$A46,Raw_Data!$L$2:$L$2552,$B46)</f>
        <v/>
      </c>
      <c r="N46" s="18">
        <f>IFERROR(M46/I46,"")</f>
        <v/>
      </c>
      <c r="O46" s="87">
        <f>SUMIFS(Raw_Data!$AL$2:$AL$2552,Raw_Data!$D$2:$D$2552,$A46,Raw_Data!$L$2:$L$2552,$B46)</f>
        <v/>
      </c>
      <c r="P46" s="89">
        <f>IFERROR(O46/M46,"")</f>
        <v/>
      </c>
      <c r="Q46" s="86">
        <f>IFERROR(E46/O46,"")</f>
        <v/>
      </c>
      <c r="R46" s="87">
        <f>SUMIFS(Raw_Data!$AO$2:$AO$2552,Raw_Data!$D$2:$D$2552,$A46,Raw_Data!$L$2:$L$2552,$B46)</f>
        <v/>
      </c>
      <c r="S46" s="18">
        <f>IFERROR(R46/O46,"")</f>
        <v/>
      </c>
      <c r="T46" s="86">
        <f>IFERROR(E46/R46,"")</f>
        <v/>
      </c>
      <c r="U46" s="87">
        <f>SUMIFS(Raw_Data!$AR$2:$AR$2552,Raw_Data!$D$2:$D$2552,$A46,Raw_Data!$L$2:$L$2552,$B46)</f>
        <v/>
      </c>
      <c r="V46" s="87">
        <f>SUMIFS(Raw_Data!$AS$2:$AS$2552,Raw_Data!$D$2:$D$2552,$A46,Raw_Data!$L$2:$L$2552,$B46)</f>
        <v/>
      </c>
      <c r="W46" s="87">
        <f>O46+U46</f>
        <v/>
      </c>
      <c r="X46" s="86">
        <f>SUMIFS(Raw_Data!$AU$2:$AU$2552,Raw_Data!$D$2:$D$2552,$A46,Raw_Data!$L$2:$L$2552,$B46)</f>
        <v/>
      </c>
      <c r="Y46" s="18">
        <f>IFERROR(E46/Summary!$B$17,"")</f>
        <v/>
      </c>
      <c r="Z46" s="18">
        <f>IFERROR(O46/Summary!$L$17,"")</f>
        <v/>
      </c>
      <c r="AA46" s="99" t="n">
        <v>46235</v>
      </c>
      <c r="AB46" s="99" t="n">
        <v>46265</v>
      </c>
      <c r="AC46" s="100">
        <f>AB46-AA46+1</f>
        <v/>
      </c>
      <c r="AD46" s="87">
        <f>SUMIFS(Raw_Data!$AC$2:$AC$2552,Raw_Data!$D$2:$D$2552,$A46,Raw_Data!$L$2:$L$2552,$B46)</f>
        <v/>
      </c>
      <c r="AE46" s="87">
        <f>SUMIFS(Raw_Data!$AD$2:$AD$2552,Raw_Data!$D$2:$D$2552,$A46,Raw_Data!$L$2:$L$2552,$B46)</f>
        <v/>
      </c>
      <c r="AF46" s="87">
        <f>SUMIFS(Raw_Data!$AE$2:$AE$2552,Raw_Data!$D$2:$D$2552,$A46,Raw_Data!$L$2:$L$2552,$B46)</f>
        <v/>
      </c>
      <c r="AG46" s="87">
        <f>SUMIFS(Raw_Data!$AF$2:$AF$2552,Raw_Data!$D$2:$D$2552,$A46,Raw_Data!$L$2:$L$2552,$B46)</f>
        <v/>
      </c>
      <c r="AH46" s="87">
        <f>SUMIFS(Raw_Data!$AG$2:$AG$2552,Raw_Data!$D$2:$D$2552,$A46,Raw_Data!$L$2:$L$2552,$B46)</f>
        <v/>
      </c>
      <c r="AI46" s="87">
        <f>SUMIFS(Raw_Data!$AH$2:$AH$2552,Raw_Data!$D$2:$D$2552,$A46,Raw_Data!$L$2:$L$2552,$B46)</f>
        <v/>
      </c>
      <c r="AJ46" s="18">
        <f>IFERROR(AD46/F46,"")</f>
        <v/>
      </c>
      <c r="AK46" s="18">
        <f>IFERROR(AI46/F46,"")</f>
        <v/>
      </c>
      <c r="AL46" s="87">
        <f>SUMIFS(Raw_Data!$AK$2:$AK$2552,Raw_Data!$D$2:$D$2552,$A46,Raw_Data!$L$2:$L$2552,$B46)</f>
        <v/>
      </c>
    </row>
    <row r="47">
      <c r="A47" s="6" t="inlineStr">
        <is>
          <t>Programmatic</t>
        </is>
      </c>
      <c r="B47" s="78" t="inlineStr">
        <is>
          <t>PROG_HTML5_970x250_Hero_v1</t>
        </is>
      </c>
      <c r="C47" s="78" t="inlineStr">
        <is>
          <t>HTML5 Display 970x250</t>
        </is>
      </c>
      <c r="D47" s="78" t="inlineStr">
        <is>
          <t>The Lepas range has landed</t>
        </is>
      </c>
      <c r="E47" s="86">
        <f>SUMIFS(Raw_Data!$R$2:$R$2552,Raw_Data!$D$2:$D$2552,$A47,Raw_Data!$L$2:$L$2552,$B47)</f>
        <v/>
      </c>
      <c r="F47" s="87">
        <f>SUMIFS(Raw_Data!$S$2:$S$2552,Raw_Data!$D$2:$D$2552,$A47,Raw_Data!$L$2:$L$2552,$B47)</f>
        <v/>
      </c>
      <c r="G47" s="87">
        <f>SUMIFS(Raw_Data!$T$2:$T$2552,Raw_Data!$D$2:$D$2552,$A47,Raw_Data!$L$2:$L$2552,$B47)</f>
        <v/>
      </c>
      <c r="H47" s="88">
        <f>IFERROR(F47/G47,"")</f>
        <v/>
      </c>
      <c r="I47" s="87">
        <f>SUMIFS(Raw_Data!$W$2:$W$2552,Raw_Data!$D$2:$D$2552,$A47,Raw_Data!$L$2:$L$2552,$B47)</f>
        <v/>
      </c>
      <c r="J47" s="89">
        <f>IFERROR(I47/F47,"")</f>
        <v/>
      </c>
      <c r="K47" s="90">
        <f>IFERROR(E47/I47,"")</f>
        <v/>
      </c>
      <c r="L47" s="90">
        <f>IFERROR(E47/F47*1000,"")</f>
        <v/>
      </c>
      <c r="M47" s="87">
        <f>SUMIFS(Raw_Data!$AA$2:$AA$2552,Raw_Data!$D$2:$D$2552,$A47,Raw_Data!$L$2:$L$2552,$B47)</f>
        <v/>
      </c>
      <c r="N47" s="18">
        <f>IFERROR(M47/I47,"")</f>
        <v/>
      </c>
      <c r="O47" s="87">
        <f>SUMIFS(Raw_Data!$AL$2:$AL$2552,Raw_Data!$D$2:$D$2552,$A47,Raw_Data!$L$2:$L$2552,$B47)</f>
        <v/>
      </c>
      <c r="P47" s="89">
        <f>IFERROR(O47/M47,"")</f>
        <v/>
      </c>
      <c r="Q47" s="86">
        <f>IFERROR(E47/O47,"")</f>
        <v/>
      </c>
      <c r="R47" s="87">
        <f>SUMIFS(Raw_Data!$AO$2:$AO$2552,Raw_Data!$D$2:$D$2552,$A47,Raw_Data!$L$2:$L$2552,$B47)</f>
        <v/>
      </c>
      <c r="S47" s="18">
        <f>IFERROR(R47/O47,"")</f>
        <v/>
      </c>
      <c r="T47" s="86">
        <f>IFERROR(E47/R47,"")</f>
        <v/>
      </c>
      <c r="U47" s="87">
        <f>SUMIFS(Raw_Data!$AR$2:$AR$2552,Raw_Data!$D$2:$D$2552,$A47,Raw_Data!$L$2:$L$2552,$B47)</f>
        <v/>
      </c>
      <c r="V47" s="87">
        <f>SUMIFS(Raw_Data!$AS$2:$AS$2552,Raw_Data!$D$2:$D$2552,$A47,Raw_Data!$L$2:$L$2552,$B47)</f>
        <v/>
      </c>
      <c r="W47" s="87">
        <f>O47+U47</f>
        <v/>
      </c>
      <c r="X47" s="86">
        <f>SUMIFS(Raw_Data!$AU$2:$AU$2552,Raw_Data!$D$2:$D$2552,$A47,Raw_Data!$L$2:$L$2552,$B47)</f>
        <v/>
      </c>
      <c r="Y47" s="18">
        <f>IFERROR(E47/Summary!$B$17,"")</f>
        <v/>
      </c>
      <c r="Z47" s="18">
        <f>IFERROR(O47/Summary!$L$17,"")</f>
        <v/>
      </c>
      <c r="AA47" s="99" t="n">
        <v>46240</v>
      </c>
      <c r="AB47" s="99" t="n">
        <v>46265</v>
      </c>
      <c r="AC47" s="100">
        <f>AB47-AA47+1</f>
        <v/>
      </c>
      <c r="AD47" s="87">
        <f>SUMIFS(Raw_Data!$AC$2:$AC$2552,Raw_Data!$D$2:$D$2552,$A47,Raw_Data!$L$2:$L$2552,$B47)</f>
        <v/>
      </c>
      <c r="AE47" s="87">
        <f>SUMIFS(Raw_Data!$AD$2:$AD$2552,Raw_Data!$D$2:$D$2552,$A47,Raw_Data!$L$2:$L$2552,$B47)</f>
        <v/>
      </c>
      <c r="AF47" s="87">
        <f>SUMIFS(Raw_Data!$AE$2:$AE$2552,Raw_Data!$D$2:$D$2552,$A47,Raw_Data!$L$2:$L$2552,$B47)</f>
        <v/>
      </c>
      <c r="AG47" s="87">
        <f>SUMIFS(Raw_Data!$AF$2:$AF$2552,Raw_Data!$D$2:$D$2552,$A47,Raw_Data!$L$2:$L$2552,$B47)</f>
        <v/>
      </c>
      <c r="AH47" s="87">
        <f>SUMIFS(Raw_Data!$AG$2:$AG$2552,Raw_Data!$D$2:$D$2552,$A47,Raw_Data!$L$2:$L$2552,$B47)</f>
        <v/>
      </c>
      <c r="AI47" s="87">
        <f>SUMIFS(Raw_Data!$AH$2:$AH$2552,Raw_Data!$D$2:$D$2552,$A47,Raw_Data!$L$2:$L$2552,$B47)</f>
        <v/>
      </c>
      <c r="AJ47" s="18">
        <f>IFERROR(AD47/F47,"")</f>
        <v/>
      </c>
      <c r="AK47" s="18">
        <f>IFERROR(AI47/F47,"")</f>
        <v/>
      </c>
      <c r="AL47" s="87">
        <f>SUMIFS(Raw_Data!$AK$2:$AK$2552,Raw_Data!$D$2:$D$2552,$A47,Raw_Data!$L$2:$L$2552,$B47)</f>
        <v/>
      </c>
    </row>
    <row r="48">
      <c r="A48" s="6" t="inlineStr">
        <is>
          <t>Programmatic</t>
        </is>
      </c>
      <c r="B48" s="78" t="inlineStr">
        <is>
          <t>PROG_HTML5_300x250_Dealer_v1</t>
        </is>
      </c>
      <c r="C48" s="78" t="inlineStr">
        <is>
          <t>HTML5 Display 300x250</t>
        </is>
      </c>
      <c r="D48" s="78" t="inlineStr">
        <is>
          <t>A dealer near you has slots</t>
        </is>
      </c>
      <c r="E48" s="86">
        <f>SUMIFS(Raw_Data!$R$2:$R$2552,Raw_Data!$D$2:$D$2552,$A48,Raw_Data!$L$2:$L$2552,$B48)</f>
        <v/>
      </c>
      <c r="F48" s="87">
        <f>SUMIFS(Raw_Data!$S$2:$S$2552,Raw_Data!$D$2:$D$2552,$A48,Raw_Data!$L$2:$L$2552,$B48)</f>
        <v/>
      </c>
      <c r="G48" s="87">
        <f>SUMIFS(Raw_Data!$T$2:$T$2552,Raw_Data!$D$2:$D$2552,$A48,Raw_Data!$L$2:$L$2552,$B48)</f>
        <v/>
      </c>
      <c r="H48" s="88">
        <f>IFERROR(F48/G48,"")</f>
        <v/>
      </c>
      <c r="I48" s="87">
        <f>SUMIFS(Raw_Data!$W$2:$W$2552,Raw_Data!$D$2:$D$2552,$A48,Raw_Data!$L$2:$L$2552,$B48)</f>
        <v/>
      </c>
      <c r="J48" s="89">
        <f>IFERROR(I48/F48,"")</f>
        <v/>
      </c>
      <c r="K48" s="90">
        <f>IFERROR(E48/I48,"")</f>
        <v/>
      </c>
      <c r="L48" s="90">
        <f>IFERROR(E48/F48*1000,"")</f>
        <v/>
      </c>
      <c r="M48" s="87">
        <f>SUMIFS(Raw_Data!$AA$2:$AA$2552,Raw_Data!$D$2:$D$2552,$A48,Raw_Data!$L$2:$L$2552,$B48)</f>
        <v/>
      </c>
      <c r="N48" s="18">
        <f>IFERROR(M48/I48,"")</f>
        <v/>
      </c>
      <c r="O48" s="87">
        <f>SUMIFS(Raw_Data!$AL$2:$AL$2552,Raw_Data!$D$2:$D$2552,$A48,Raw_Data!$L$2:$L$2552,$B48)</f>
        <v/>
      </c>
      <c r="P48" s="89">
        <f>IFERROR(O48/M48,"")</f>
        <v/>
      </c>
      <c r="Q48" s="86">
        <f>IFERROR(E48/O48,"")</f>
        <v/>
      </c>
      <c r="R48" s="87">
        <f>SUMIFS(Raw_Data!$AO$2:$AO$2552,Raw_Data!$D$2:$D$2552,$A48,Raw_Data!$L$2:$L$2552,$B48)</f>
        <v/>
      </c>
      <c r="S48" s="18">
        <f>IFERROR(R48/O48,"")</f>
        <v/>
      </c>
      <c r="T48" s="86">
        <f>IFERROR(E48/R48,"")</f>
        <v/>
      </c>
      <c r="U48" s="87">
        <f>SUMIFS(Raw_Data!$AR$2:$AR$2552,Raw_Data!$D$2:$D$2552,$A48,Raw_Data!$L$2:$L$2552,$B48)</f>
        <v/>
      </c>
      <c r="V48" s="87">
        <f>SUMIFS(Raw_Data!$AS$2:$AS$2552,Raw_Data!$D$2:$D$2552,$A48,Raw_Data!$L$2:$L$2552,$B48)</f>
        <v/>
      </c>
      <c r="W48" s="87">
        <f>O48+U48</f>
        <v/>
      </c>
      <c r="X48" s="86">
        <f>SUMIFS(Raw_Data!$AU$2:$AU$2552,Raw_Data!$D$2:$D$2552,$A48,Raw_Data!$L$2:$L$2552,$B48)</f>
        <v/>
      </c>
      <c r="Y48" s="18">
        <f>IFERROR(E48/Summary!$B$17,"")</f>
        <v/>
      </c>
      <c r="Z48" s="18">
        <f>IFERROR(O48/Summary!$L$17,"")</f>
        <v/>
      </c>
      <c r="AA48" s="99" t="n">
        <v>46235</v>
      </c>
      <c r="AB48" s="99" t="n">
        <v>46265</v>
      </c>
      <c r="AC48" s="100">
        <f>AB48-AA48+1</f>
        <v/>
      </c>
      <c r="AD48" s="87">
        <f>SUMIFS(Raw_Data!$AC$2:$AC$2552,Raw_Data!$D$2:$D$2552,$A48,Raw_Data!$L$2:$L$2552,$B48)</f>
        <v/>
      </c>
      <c r="AE48" s="87">
        <f>SUMIFS(Raw_Data!$AD$2:$AD$2552,Raw_Data!$D$2:$D$2552,$A48,Raw_Data!$L$2:$L$2552,$B48)</f>
        <v/>
      </c>
      <c r="AF48" s="87">
        <f>SUMIFS(Raw_Data!$AE$2:$AE$2552,Raw_Data!$D$2:$D$2552,$A48,Raw_Data!$L$2:$L$2552,$B48)</f>
        <v/>
      </c>
      <c r="AG48" s="87">
        <f>SUMIFS(Raw_Data!$AF$2:$AF$2552,Raw_Data!$D$2:$D$2552,$A48,Raw_Data!$L$2:$L$2552,$B48)</f>
        <v/>
      </c>
      <c r="AH48" s="87">
        <f>SUMIFS(Raw_Data!$AG$2:$AG$2552,Raw_Data!$D$2:$D$2552,$A48,Raw_Data!$L$2:$L$2552,$B48)</f>
        <v/>
      </c>
      <c r="AI48" s="87">
        <f>SUMIFS(Raw_Data!$AH$2:$AH$2552,Raw_Data!$D$2:$D$2552,$A48,Raw_Data!$L$2:$L$2552,$B48)</f>
        <v/>
      </c>
      <c r="AJ48" s="18">
        <f>IFERROR(AD48/F48,"")</f>
        <v/>
      </c>
      <c r="AK48" s="18">
        <f>IFERROR(AI48/F48,"")</f>
        <v/>
      </c>
      <c r="AL48" s="87">
        <f>SUMIFS(Raw_Data!$AK$2:$AK$2552,Raw_Data!$D$2:$D$2552,$A48,Raw_Data!$L$2:$L$2552,$B48)</f>
        <v/>
      </c>
    </row>
    <row r="49">
      <c r="A49" s="6" t="inlineStr">
        <is>
          <t>Programmatic</t>
        </is>
      </c>
      <c r="B49" s="78" t="inlineStr">
        <is>
          <t>PROG_OLV_20s_RangeFilm_v1</t>
        </is>
      </c>
      <c r="C49" s="78" t="inlineStr">
        <is>
          <t>Video 16:9 Pre-roll</t>
        </is>
      </c>
      <c r="D49" s="78" t="inlineStr">
        <is>
          <t>Meet the Lepas range</t>
        </is>
      </c>
      <c r="E49" s="86">
        <f>SUMIFS(Raw_Data!$R$2:$R$2552,Raw_Data!$D$2:$D$2552,$A49,Raw_Data!$L$2:$L$2552,$B49)</f>
        <v/>
      </c>
      <c r="F49" s="87">
        <f>SUMIFS(Raw_Data!$S$2:$S$2552,Raw_Data!$D$2:$D$2552,$A49,Raw_Data!$L$2:$L$2552,$B49)</f>
        <v/>
      </c>
      <c r="G49" s="87">
        <f>SUMIFS(Raw_Data!$T$2:$T$2552,Raw_Data!$D$2:$D$2552,$A49,Raw_Data!$L$2:$L$2552,$B49)</f>
        <v/>
      </c>
      <c r="H49" s="88">
        <f>IFERROR(F49/G49,"")</f>
        <v/>
      </c>
      <c r="I49" s="87">
        <f>SUMIFS(Raw_Data!$W$2:$W$2552,Raw_Data!$D$2:$D$2552,$A49,Raw_Data!$L$2:$L$2552,$B49)</f>
        <v/>
      </c>
      <c r="J49" s="89">
        <f>IFERROR(I49/F49,"")</f>
        <v/>
      </c>
      <c r="K49" s="90">
        <f>IFERROR(E49/I49,"")</f>
        <v/>
      </c>
      <c r="L49" s="90">
        <f>IFERROR(E49/F49*1000,"")</f>
        <v/>
      </c>
      <c r="M49" s="87">
        <f>SUMIFS(Raw_Data!$AA$2:$AA$2552,Raw_Data!$D$2:$D$2552,$A49,Raw_Data!$L$2:$L$2552,$B49)</f>
        <v/>
      </c>
      <c r="N49" s="18">
        <f>IFERROR(M49/I49,"")</f>
        <v/>
      </c>
      <c r="O49" s="87">
        <f>SUMIFS(Raw_Data!$AL$2:$AL$2552,Raw_Data!$D$2:$D$2552,$A49,Raw_Data!$L$2:$L$2552,$B49)</f>
        <v/>
      </c>
      <c r="P49" s="89">
        <f>IFERROR(O49/M49,"")</f>
        <v/>
      </c>
      <c r="Q49" s="86">
        <f>IFERROR(E49/O49,"")</f>
        <v/>
      </c>
      <c r="R49" s="87">
        <f>SUMIFS(Raw_Data!$AO$2:$AO$2552,Raw_Data!$D$2:$D$2552,$A49,Raw_Data!$L$2:$L$2552,$B49)</f>
        <v/>
      </c>
      <c r="S49" s="18">
        <f>IFERROR(R49/O49,"")</f>
        <v/>
      </c>
      <c r="T49" s="86">
        <f>IFERROR(E49/R49,"")</f>
        <v/>
      </c>
      <c r="U49" s="87">
        <f>SUMIFS(Raw_Data!$AR$2:$AR$2552,Raw_Data!$D$2:$D$2552,$A49,Raw_Data!$L$2:$L$2552,$B49)</f>
        <v/>
      </c>
      <c r="V49" s="87">
        <f>SUMIFS(Raw_Data!$AS$2:$AS$2552,Raw_Data!$D$2:$D$2552,$A49,Raw_Data!$L$2:$L$2552,$B49)</f>
        <v/>
      </c>
      <c r="W49" s="87">
        <f>O49+U49</f>
        <v/>
      </c>
      <c r="X49" s="86">
        <f>SUMIFS(Raw_Data!$AU$2:$AU$2552,Raw_Data!$D$2:$D$2552,$A49,Raw_Data!$L$2:$L$2552,$B49)</f>
        <v/>
      </c>
      <c r="Y49" s="18">
        <f>IFERROR(E49/Summary!$B$17,"")</f>
        <v/>
      </c>
      <c r="Z49" s="18">
        <f>IFERROR(O49/Summary!$L$17,"")</f>
        <v/>
      </c>
      <c r="AA49" s="99" t="n">
        <v>46235</v>
      </c>
      <c r="AB49" s="99" t="n">
        <v>46265</v>
      </c>
      <c r="AC49" s="100">
        <f>AB49-AA49+1</f>
        <v/>
      </c>
      <c r="AD49" s="87">
        <f>SUMIFS(Raw_Data!$AC$2:$AC$2552,Raw_Data!$D$2:$D$2552,$A49,Raw_Data!$L$2:$L$2552,$B49)</f>
        <v/>
      </c>
      <c r="AE49" s="87">
        <f>SUMIFS(Raw_Data!$AD$2:$AD$2552,Raw_Data!$D$2:$D$2552,$A49,Raw_Data!$L$2:$L$2552,$B49)</f>
        <v/>
      </c>
      <c r="AF49" s="87">
        <f>SUMIFS(Raw_Data!$AE$2:$AE$2552,Raw_Data!$D$2:$D$2552,$A49,Raw_Data!$L$2:$L$2552,$B49)</f>
        <v/>
      </c>
      <c r="AG49" s="87">
        <f>SUMIFS(Raw_Data!$AF$2:$AF$2552,Raw_Data!$D$2:$D$2552,$A49,Raw_Data!$L$2:$L$2552,$B49)</f>
        <v/>
      </c>
      <c r="AH49" s="87">
        <f>SUMIFS(Raw_Data!$AG$2:$AG$2552,Raw_Data!$D$2:$D$2552,$A49,Raw_Data!$L$2:$L$2552,$B49)</f>
        <v/>
      </c>
      <c r="AI49" s="87">
        <f>SUMIFS(Raw_Data!$AH$2:$AH$2552,Raw_Data!$D$2:$D$2552,$A49,Raw_Data!$L$2:$L$2552,$B49)</f>
        <v/>
      </c>
      <c r="AJ49" s="18">
        <f>IFERROR(AD49/F49,"")</f>
        <v/>
      </c>
      <c r="AK49" s="18">
        <f>IFERROR(AI49/F49,"")</f>
        <v/>
      </c>
      <c r="AL49" s="87">
        <f>SUMIFS(Raw_Data!$AK$2:$AK$2552,Raw_Data!$D$2:$D$2552,$A49,Raw_Data!$L$2:$L$2552,$B49)</f>
        <v/>
      </c>
    </row>
    <row r="50">
      <c r="A50" s="6" t="inlineStr">
        <is>
          <t>Programmatic</t>
        </is>
      </c>
      <c r="B50" s="78" t="inlineStr">
        <is>
          <t>PROG_OLV_15s_AMUR_v1</t>
        </is>
      </c>
      <c r="C50" s="78" t="inlineStr">
        <is>
          <t>Video 16:9 Pre-roll</t>
        </is>
      </c>
      <c r="D50" s="78" t="inlineStr">
        <is>
          <t>AMUR from R3 599pm</t>
        </is>
      </c>
      <c r="E50" s="86">
        <f>SUMIFS(Raw_Data!$R$2:$R$2552,Raw_Data!$D$2:$D$2552,$A50,Raw_Data!$L$2:$L$2552,$B50)</f>
        <v/>
      </c>
      <c r="F50" s="87">
        <f>SUMIFS(Raw_Data!$S$2:$S$2552,Raw_Data!$D$2:$D$2552,$A50,Raw_Data!$L$2:$L$2552,$B50)</f>
        <v/>
      </c>
      <c r="G50" s="87">
        <f>SUMIFS(Raw_Data!$T$2:$T$2552,Raw_Data!$D$2:$D$2552,$A50,Raw_Data!$L$2:$L$2552,$B50)</f>
        <v/>
      </c>
      <c r="H50" s="88">
        <f>IFERROR(F50/G50,"")</f>
        <v/>
      </c>
      <c r="I50" s="87">
        <f>SUMIFS(Raw_Data!$W$2:$W$2552,Raw_Data!$D$2:$D$2552,$A50,Raw_Data!$L$2:$L$2552,$B50)</f>
        <v/>
      </c>
      <c r="J50" s="89">
        <f>IFERROR(I50/F50,"")</f>
        <v/>
      </c>
      <c r="K50" s="90">
        <f>IFERROR(E50/I50,"")</f>
        <v/>
      </c>
      <c r="L50" s="90">
        <f>IFERROR(E50/F50*1000,"")</f>
        <v/>
      </c>
      <c r="M50" s="87">
        <f>SUMIFS(Raw_Data!$AA$2:$AA$2552,Raw_Data!$D$2:$D$2552,$A50,Raw_Data!$L$2:$L$2552,$B50)</f>
        <v/>
      </c>
      <c r="N50" s="18">
        <f>IFERROR(M50/I50,"")</f>
        <v/>
      </c>
      <c r="O50" s="87">
        <f>SUMIFS(Raw_Data!$AL$2:$AL$2552,Raw_Data!$D$2:$D$2552,$A50,Raw_Data!$L$2:$L$2552,$B50)</f>
        <v/>
      </c>
      <c r="P50" s="89">
        <f>IFERROR(O50/M50,"")</f>
        <v/>
      </c>
      <c r="Q50" s="86">
        <f>IFERROR(E50/O50,"")</f>
        <v/>
      </c>
      <c r="R50" s="87">
        <f>SUMIFS(Raw_Data!$AO$2:$AO$2552,Raw_Data!$D$2:$D$2552,$A50,Raw_Data!$L$2:$L$2552,$B50)</f>
        <v/>
      </c>
      <c r="S50" s="18">
        <f>IFERROR(R50/O50,"")</f>
        <v/>
      </c>
      <c r="T50" s="86">
        <f>IFERROR(E50/R50,"")</f>
        <v/>
      </c>
      <c r="U50" s="87">
        <f>SUMIFS(Raw_Data!$AR$2:$AR$2552,Raw_Data!$D$2:$D$2552,$A50,Raw_Data!$L$2:$L$2552,$B50)</f>
        <v/>
      </c>
      <c r="V50" s="87">
        <f>SUMIFS(Raw_Data!$AS$2:$AS$2552,Raw_Data!$D$2:$D$2552,$A50,Raw_Data!$L$2:$L$2552,$B50)</f>
        <v/>
      </c>
      <c r="W50" s="87">
        <f>O50+U50</f>
        <v/>
      </c>
      <c r="X50" s="86">
        <f>SUMIFS(Raw_Data!$AU$2:$AU$2552,Raw_Data!$D$2:$D$2552,$A50,Raw_Data!$L$2:$L$2552,$B50)</f>
        <v/>
      </c>
      <c r="Y50" s="18">
        <f>IFERROR(E50/Summary!$B$17,"")</f>
        <v/>
      </c>
      <c r="Z50" s="18">
        <f>IFERROR(O50/Summary!$L$17,"")</f>
        <v/>
      </c>
      <c r="AA50" s="99" t="n">
        <v>46235</v>
      </c>
      <c r="AB50" s="99" t="n">
        <v>46265</v>
      </c>
      <c r="AC50" s="100">
        <f>AB50-AA50+1</f>
        <v/>
      </c>
      <c r="AD50" s="87">
        <f>SUMIFS(Raw_Data!$AC$2:$AC$2552,Raw_Data!$D$2:$D$2552,$A50,Raw_Data!$L$2:$L$2552,$B50)</f>
        <v/>
      </c>
      <c r="AE50" s="87">
        <f>SUMIFS(Raw_Data!$AD$2:$AD$2552,Raw_Data!$D$2:$D$2552,$A50,Raw_Data!$L$2:$L$2552,$B50)</f>
        <v/>
      </c>
      <c r="AF50" s="87">
        <f>SUMIFS(Raw_Data!$AE$2:$AE$2552,Raw_Data!$D$2:$D$2552,$A50,Raw_Data!$L$2:$L$2552,$B50)</f>
        <v/>
      </c>
      <c r="AG50" s="87">
        <f>SUMIFS(Raw_Data!$AF$2:$AF$2552,Raw_Data!$D$2:$D$2552,$A50,Raw_Data!$L$2:$L$2552,$B50)</f>
        <v/>
      </c>
      <c r="AH50" s="87">
        <f>SUMIFS(Raw_Data!$AG$2:$AG$2552,Raw_Data!$D$2:$D$2552,$A50,Raw_Data!$L$2:$L$2552,$B50)</f>
        <v/>
      </c>
      <c r="AI50" s="87">
        <f>SUMIFS(Raw_Data!$AH$2:$AH$2552,Raw_Data!$D$2:$D$2552,$A50,Raw_Data!$L$2:$L$2552,$B50)</f>
        <v/>
      </c>
      <c r="AJ50" s="18">
        <f>IFERROR(AD50/F50,"")</f>
        <v/>
      </c>
      <c r="AK50" s="18">
        <f>IFERROR(AI50/F50,"")</f>
        <v/>
      </c>
      <c r="AL50" s="87">
        <f>SUMIFS(Raw_Data!$AK$2:$AK$2552,Raw_Data!$D$2:$D$2552,$A50,Raw_Data!$L$2:$L$2552,$B50)</f>
        <v/>
      </c>
    </row>
    <row r="51">
      <c r="A51" s="6" t="inlineStr">
        <is>
          <t>Programmatic</t>
        </is>
      </c>
      <c r="B51" s="78" t="inlineStr">
        <is>
          <t>PROG_OLV_15s_PANTERA_v1</t>
        </is>
      </c>
      <c r="C51" s="78" t="inlineStr">
        <is>
          <t>Video 16:9 Pre-roll</t>
        </is>
      </c>
      <c r="D51" s="78" t="inlineStr">
        <is>
          <t>PANTERA. Zero deposit.</t>
        </is>
      </c>
      <c r="E51" s="86">
        <f>SUMIFS(Raw_Data!$R$2:$R$2552,Raw_Data!$D$2:$D$2552,$A51,Raw_Data!$L$2:$L$2552,$B51)</f>
        <v/>
      </c>
      <c r="F51" s="87">
        <f>SUMIFS(Raw_Data!$S$2:$S$2552,Raw_Data!$D$2:$D$2552,$A51,Raw_Data!$L$2:$L$2552,$B51)</f>
        <v/>
      </c>
      <c r="G51" s="87">
        <f>SUMIFS(Raw_Data!$T$2:$T$2552,Raw_Data!$D$2:$D$2552,$A51,Raw_Data!$L$2:$L$2552,$B51)</f>
        <v/>
      </c>
      <c r="H51" s="88">
        <f>IFERROR(F51/G51,"")</f>
        <v/>
      </c>
      <c r="I51" s="87">
        <f>SUMIFS(Raw_Data!$W$2:$W$2552,Raw_Data!$D$2:$D$2552,$A51,Raw_Data!$L$2:$L$2552,$B51)</f>
        <v/>
      </c>
      <c r="J51" s="89">
        <f>IFERROR(I51/F51,"")</f>
        <v/>
      </c>
      <c r="K51" s="90">
        <f>IFERROR(E51/I51,"")</f>
        <v/>
      </c>
      <c r="L51" s="90">
        <f>IFERROR(E51/F51*1000,"")</f>
        <v/>
      </c>
      <c r="M51" s="87">
        <f>SUMIFS(Raw_Data!$AA$2:$AA$2552,Raw_Data!$D$2:$D$2552,$A51,Raw_Data!$L$2:$L$2552,$B51)</f>
        <v/>
      </c>
      <c r="N51" s="18">
        <f>IFERROR(M51/I51,"")</f>
        <v/>
      </c>
      <c r="O51" s="87">
        <f>SUMIFS(Raw_Data!$AL$2:$AL$2552,Raw_Data!$D$2:$D$2552,$A51,Raw_Data!$L$2:$L$2552,$B51)</f>
        <v/>
      </c>
      <c r="P51" s="89">
        <f>IFERROR(O51/M51,"")</f>
        <v/>
      </c>
      <c r="Q51" s="86">
        <f>IFERROR(E51/O51,"")</f>
        <v/>
      </c>
      <c r="R51" s="87">
        <f>SUMIFS(Raw_Data!$AO$2:$AO$2552,Raw_Data!$D$2:$D$2552,$A51,Raw_Data!$L$2:$L$2552,$B51)</f>
        <v/>
      </c>
      <c r="S51" s="18">
        <f>IFERROR(R51/O51,"")</f>
        <v/>
      </c>
      <c r="T51" s="86">
        <f>IFERROR(E51/R51,"")</f>
        <v/>
      </c>
      <c r="U51" s="87">
        <f>SUMIFS(Raw_Data!$AR$2:$AR$2552,Raw_Data!$D$2:$D$2552,$A51,Raw_Data!$L$2:$L$2552,$B51)</f>
        <v/>
      </c>
      <c r="V51" s="87">
        <f>SUMIFS(Raw_Data!$AS$2:$AS$2552,Raw_Data!$D$2:$D$2552,$A51,Raw_Data!$L$2:$L$2552,$B51)</f>
        <v/>
      </c>
      <c r="W51" s="87">
        <f>O51+U51</f>
        <v/>
      </c>
      <c r="X51" s="86">
        <f>SUMIFS(Raw_Data!$AU$2:$AU$2552,Raw_Data!$D$2:$D$2552,$A51,Raw_Data!$L$2:$L$2552,$B51)</f>
        <v/>
      </c>
      <c r="Y51" s="18">
        <f>IFERROR(E51/Summary!$B$17,"")</f>
        <v/>
      </c>
      <c r="Z51" s="18">
        <f>IFERROR(O51/Summary!$L$17,"")</f>
        <v/>
      </c>
      <c r="AA51" s="99" t="n">
        <v>46235</v>
      </c>
      <c r="AB51" s="99" t="n">
        <v>46265</v>
      </c>
      <c r="AC51" s="100">
        <f>AB51-AA51+1</f>
        <v/>
      </c>
      <c r="AD51" s="87">
        <f>SUMIFS(Raw_Data!$AC$2:$AC$2552,Raw_Data!$D$2:$D$2552,$A51,Raw_Data!$L$2:$L$2552,$B51)</f>
        <v/>
      </c>
      <c r="AE51" s="87">
        <f>SUMIFS(Raw_Data!$AD$2:$AD$2552,Raw_Data!$D$2:$D$2552,$A51,Raw_Data!$L$2:$L$2552,$B51)</f>
        <v/>
      </c>
      <c r="AF51" s="87">
        <f>SUMIFS(Raw_Data!$AE$2:$AE$2552,Raw_Data!$D$2:$D$2552,$A51,Raw_Data!$L$2:$L$2552,$B51)</f>
        <v/>
      </c>
      <c r="AG51" s="87">
        <f>SUMIFS(Raw_Data!$AF$2:$AF$2552,Raw_Data!$D$2:$D$2552,$A51,Raw_Data!$L$2:$L$2552,$B51)</f>
        <v/>
      </c>
      <c r="AH51" s="87">
        <f>SUMIFS(Raw_Data!$AG$2:$AG$2552,Raw_Data!$D$2:$D$2552,$A51,Raw_Data!$L$2:$L$2552,$B51)</f>
        <v/>
      </c>
      <c r="AI51" s="87">
        <f>SUMIFS(Raw_Data!$AH$2:$AH$2552,Raw_Data!$D$2:$D$2552,$A51,Raw_Data!$L$2:$L$2552,$B51)</f>
        <v/>
      </c>
      <c r="AJ51" s="18">
        <f>IFERROR(AD51/F51,"")</f>
        <v/>
      </c>
      <c r="AK51" s="18">
        <f>IFERROR(AI51/F51,"")</f>
        <v/>
      </c>
      <c r="AL51" s="87">
        <f>SUMIFS(Raw_Data!$AK$2:$AK$2552,Raw_Data!$D$2:$D$2552,$A51,Raw_Data!$L$2:$L$2552,$B51)</f>
        <v/>
      </c>
    </row>
    <row r="52">
      <c r="A52" s="6" t="inlineStr">
        <is>
          <t>Programmatic</t>
        </is>
      </c>
      <c r="B52" s="78" t="inlineStr">
        <is>
          <t>PROG_CTV_30s_BrandFilm_v1</t>
        </is>
      </c>
      <c r="C52" s="78" t="inlineStr">
        <is>
          <t>CTV 30s</t>
        </is>
      </c>
      <c r="D52" s="78" t="inlineStr">
        <is>
          <t>The Lepas range has landed in SA</t>
        </is>
      </c>
      <c r="E52" s="86">
        <f>SUMIFS(Raw_Data!$R$2:$R$2552,Raw_Data!$D$2:$D$2552,$A52,Raw_Data!$L$2:$L$2552,$B52)</f>
        <v/>
      </c>
      <c r="F52" s="87">
        <f>SUMIFS(Raw_Data!$S$2:$S$2552,Raw_Data!$D$2:$D$2552,$A52,Raw_Data!$L$2:$L$2552,$B52)</f>
        <v/>
      </c>
      <c r="G52" s="87">
        <f>SUMIFS(Raw_Data!$T$2:$T$2552,Raw_Data!$D$2:$D$2552,$A52,Raw_Data!$L$2:$L$2552,$B52)</f>
        <v/>
      </c>
      <c r="H52" s="88">
        <f>IFERROR(F52/G52,"")</f>
        <v/>
      </c>
      <c r="I52" s="87">
        <f>SUMIFS(Raw_Data!$W$2:$W$2552,Raw_Data!$D$2:$D$2552,$A52,Raw_Data!$L$2:$L$2552,$B52)</f>
        <v/>
      </c>
      <c r="J52" s="89">
        <f>IFERROR(I52/F52,"")</f>
        <v/>
      </c>
      <c r="K52" s="90">
        <f>IFERROR(E52/I52,"")</f>
        <v/>
      </c>
      <c r="L52" s="90">
        <f>IFERROR(E52/F52*1000,"")</f>
        <v/>
      </c>
      <c r="M52" s="87">
        <f>SUMIFS(Raw_Data!$AA$2:$AA$2552,Raw_Data!$D$2:$D$2552,$A52,Raw_Data!$L$2:$L$2552,$B52)</f>
        <v/>
      </c>
      <c r="N52" s="18">
        <f>IFERROR(M52/I52,"")</f>
        <v/>
      </c>
      <c r="O52" s="87">
        <f>SUMIFS(Raw_Data!$AL$2:$AL$2552,Raw_Data!$D$2:$D$2552,$A52,Raw_Data!$L$2:$L$2552,$B52)</f>
        <v/>
      </c>
      <c r="P52" s="89">
        <f>IFERROR(O52/M52,"")</f>
        <v/>
      </c>
      <c r="Q52" s="86">
        <f>IFERROR(E52/O52,"")</f>
        <v/>
      </c>
      <c r="R52" s="87">
        <f>SUMIFS(Raw_Data!$AO$2:$AO$2552,Raw_Data!$D$2:$D$2552,$A52,Raw_Data!$L$2:$L$2552,$B52)</f>
        <v/>
      </c>
      <c r="S52" s="18">
        <f>IFERROR(R52/O52,"")</f>
        <v/>
      </c>
      <c r="T52" s="86">
        <f>IFERROR(E52/R52,"")</f>
        <v/>
      </c>
      <c r="U52" s="87">
        <f>SUMIFS(Raw_Data!$AR$2:$AR$2552,Raw_Data!$D$2:$D$2552,$A52,Raw_Data!$L$2:$L$2552,$B52)</f>
        <v/>
      </c>
      <c r="V52" s="87">
        <f>SUMIFS(Raw_Data!$AS$2:$AS$2552,Raw_Data!$D$2:$D$2552,$A52,Raw_Data!$L$2:$L$2552,$B52)</f>
        <v/>
      </c>
      <c r="W52" s="87">
        <f>O52+U52</f>
        <v/>
      </c>
      <c r="X52" s="86">
        <f>SUMIFS(Raw_Data!$AU$2:$AU$2552,Raw_Data!$D$2:$D$2552,$A52,Raw_Data!$L$2:$L$2552,$B52)</f>
        <v/>
      </c>
      <c r="Y52" s="18">
        <f>IFERROR(E52/Summary!$B$17,"")</f>
        <v/>
      </c>
      <c r="Z52" s="18">
        <f>IFERROR(O52/Summary!$L$17,"")</f>
        <v/>
      </c>
      <c r="AA52" s="99" t="n">
        <v>46235</v>
      </c>
      <c r="AB52" s="99" t="n">
        <v>46265</v>
      </c>
      <c r="AC52" s="100">
        <f>AB52-AA52+1</f>
        <v/>
      </c>
      <c r="AD52" s="87">
        <f>SUMIFS(Raw_Data!$AC$2:$AC$2552,Raw_Data!$D$2:$D$2552,$A52,Raw_Data!$L$2:$L$2552,$B52)</f>
        <v/>
      </c>
      <c r="AE52" s="87">
        <f>SUMIFS(Raw_Data!$AD$2:$AD$2552,Raw_Data!$D$2:$D$2552,$A52,Raw_Data!$L$2:$L$2552,$B52)</f>
        <v/>
      </c>
      <c r="AF52" s="87">
        <f>SUMIFS(Raw_Data!$AE$2:$AE$2552,Raw_Data!$D$2:$D$2552,$A52,Raw_Data!$L$2:$L$2552,$B52)</f>
        <v/>
      </c>
      <c r="AG52" s="87">
        <f>SUMIFS(Raw_Data!$AF$2:$AF$2552,Raw_Data!$D$2:$D$2552,$A52,Raw_Data!$L$2:$L$2552,$B52)</f>
        <v/>
      </c>
      <c r="AH52" s="87">
        <f>SUMIFS(Raw_Data!$AG$2:$AG$2552,Raw_Data!$D$2:$D$2552,$A52,Raw_Data!$L$2:$L$2552,$B52)</f>
        <v/>
      </c>
      <c r="AI52" s="87">
        <f>SUMIFS(Raw_Data!$AH$2:$AH$2552,Raw_Data!$D$2:$D$2552,$A52,Raw_Data!$L$2:$L$2552,$B52)</f>
        <v/>
      </c>
      <c r="AJ52" s="18">
        <f>IFERROR(AD52/F52,"")</f>
        <v/>
      </c>
      <c r="AK52" s="18">
        <f>IFERROR(AI52/F52,"")</f>
        <v/>
      </c>
      <c r="AL52" s="87">
        <f>SUMIFS(Raw_Data!$AK$2:$AK$2552,Raw_Data!$D$2:$D$2552,$A52,Raw_Data!$L$2:$L$2552,$B52)</f>
        <v/>
      </c>
    </row>
    <row r="53">
      <c r="A53" s="6" t="inlineStr">
        <is>
          <t>Programmatic</t>
        </is>
      </c>
      <c r="B53" s="78" t="inlineStr">
        <is>
          <t>PROG_CTV_15s_OfferCut_v1</t>
        </is>
      </c>
      <c r="C53" s="78" t="inlineStr">
        <is>
          <t>CTV 15s</t>
        </is>
      </c>
      <c r="D53" s="78" t="inlineStr">
        <is>
          <t>Zero deposit offers end 31 August</t>
        </is>
      </c>
      <c r="E53" s="86">
        <f>SUMIFS(Raw_Data!$R$2:$R$2552,Raw_Data!$D$2:$D$2552,$A53,Raw_Data!$L$2:$L$2552,$B53)</f>
        <v/>
      </c>
      <c r="F53" s="87">
        <f>SUMIFS(Raw_Data!$S$2:$S$2552,Raw_Data!$D$2:$D$2552,$A53,Raw_Data!$L$2:$L$2552,$B53)</f>
        <v/>
      </c>
      <c r="G53" s="87">
        <f>SUMIFS(Raw_Data!$T$2:$T$2552,Raw_Data!$D$2:$D$2552,$A53,Raw_Data!$L$2:$L$2552,$B53)</f>
        <v/>
      </c>
      <c r="H53" s="88">
        <f>IFERROR(F53/G53,"")</f>
        <v/>
      </c>
      <c r="I53" s="87">
        <f>SUMIFS(Raw_Data!$W$2:$W$2552,Raw_Data!$D$2:$D$2552,$A53,Raw_Data!$L$2:$L$2552,$B53)</f>
        <v/>
      </c>
      <c r="J53" s="89">
        <f>IFERROR(I53/F53,"")</f>
        <v/>
      </c>
      <c r="K53" s="90">
        <f>IFERROR(E53/I53,"")</f>
        <v/>
      </c>
      <c r="L53" s="90">
        <f>IFERROR(E53/F53*1000,"")</f>
        <v/>
      </c>
      <c r="M53" s="87">
        <f>SUMIFS(Raw_Data!$AA$2:$AA$2552,Raw_Data!$D$2:$D$2552,$A53,Raw_Data!$L$2:$L$2552,$B53)</f>
        <v/>
      </c>
      <c r="N53" s="18">
        <f>IFERROR(M53/I53,"")</f>
        <v/>
      </c>
      <c r="O53" s="87">
        <f>SUMIFS(Raw_Data!$AL$2:$AL$2552,Raw_Data!$D$2:$D$2552,$A53,Raw_Data!$L$2:$L$2552,$B53)</f>
        <v/>
      </c>
      <c r="P53" s="89">
        <f>IFERROR(O53/M53,"")</f>
        <v/>
      </c>
      <c r="Q53" s="86">
        <f>IFERROR(E53/O53,"")</f>
        <v/>
      </c>
      <c r="R53" s="87">
        <f>SUMIFS(Raw_Data!$AO$2:$AO$2552,Raw_Data!$D$2:$D$2552,$A53,Raw_Data!$L$2:$L$2552,$B53)</f>
        <v/>
      </c>
      <c r="S53" s="18">
        <f>IFERROR(R53/O53,"")</f>
        <v/>
      </c>
      <c r="T53" s="86">
        <f>IFERROR(E53/R53,"")</f>
        <v/>
      </c>
      <c r="U53" s="87">
        <f>SUMIFS(Raw_Data!$AR$2:$AR$2552,Raw_Data!$D$2:$D$2552,$A53,Raw_Data!$L$2:$L$2552,$B53)</f>
        <v/>
      </c>
      <c r="V53" s="87">
        <f>SUMIFS(Raw_Data!$AS$2:$AS$2552,Raw_Data!$D$2:$D$2552,$A53,Raw_Data!$L$2:$L$2552,$B53)</f>
        <v/>
      </c>
      <c r="W53" s="87">
        <f>O53+U53</f>
        <v/>
      </c>
      <c r="X53" s="86">
        <f>SUMIFS(Raw_Data!$AU$2:$AU$2552,Raw_Data!$D$2:$D$2552,$A53,Raw_Data!$L$2:$L$2552,$B53)</f>
        <v/>
      </c>
      <c r="Y53" s="18">
        <f>IFERROR(E53/Summary!$B$17,"")</f>
        <v/>
      </c>
      <c r="Z53" s="18">
        <f>IFERROR(O53/Summary!$L$17,"")</f>
        <v/>
      </c>
      <c r="AA53" s="99" t="n">
        <v>46244</v>
      </c>
      <c r="AB53" s="99" t="n">
        <v>46265</v>
      </c>
      <c r="AC53" s="100">
        <f>AB53-AA53+1</f>
        <v/>
      </c>
      <c r="AD53" s="87">
        <f>SUMIFS(Raw_Data!$AC$2:$AC$2552,Raw_Data!$D$2:$D$2552,$A53,Raw_Data!$L$2:$L$2552,$B53)</f>
        <v/>
      </c>
      <c r="AE53" s="87">
        <f>SUMIFS(Raw_Data!$AD$2:$AD$2552,Raw_Data!$D$2:$D$2552,$A53,Raw_Data!$L$2:$L$2552,$B53)</f>
        <v/>
      </c>
      <c r="AF53" s="87">
        <f>SUMIFS(Raw_Data!$AE$2:$AE$2552,Raw_Data!$D$2:$D$2552,$A53,Raw_Data!$L$2:$L$2552,$B53)</f>
        <v/>
      </c>
      <c r="AG53" s="87">
        <f>SUMIFS(Raw_Data!$AF$2:$AF$2552,Raw_Data!$D$2:$D$2552,$A53,Raw_Data!$L$2:$L$2552,$B53)</f>
        <v/>
      </c>
      <c r="AH53" s="87">
        <f>SUMIFS(Raw_Data!$AG$2:$AG$2552,Raw_Data!$D$2:$D$2552,$A53,Raw_Data!$L$2:$L$2552,$B53)</f>
        <v/>
      </c>
      <c r="AI53" s="87">
        <f>SUMIFS(Raw_Data!$AH$2:$AH$2552,Raw_Data!$D$2:$D$2552,$A53,Raw_Data!$L$2:$L$2552,$B53)</f>
        <v/>
      </c>
      <c r="AJ53" s="18">
        <f>IFERROR(AD53/F53,"")</f>
        <v/>
      </c>
      <c r="AK53" s="18">
        <f>IFERROR(AI53/F53,"")</f>
        <v/>
      </c>
      <c r="AL53" s="87">
        <f>SUMIFS(Raw_Data!$AK$2:$AK$2552,Raw_Data!$D$2:$D$2552,$A53,Raw_Data!$L$2:$L$2552,$B53)</f>
        <v/>
      </c>
    </row>
    <row r="54">
      <c r="A54" s="6" t="inlineStr">
        <is>
          <t>Programmatic</t>
        </is>
      </c>
      <c r="B54" s="78" t="inlineStr">
        <is>
          <t>PROG_OLV_10s_BookNow_v1</t>
        </is>
      </c>
      <c r="C54" s="78" t="inlineStr">
        <is>
          <t>Video 16:9 Bumper</t>
        </is>
      </c>
      <c r="D54" s="78" t="inlineStr">
        <is>
          <t>Book your test drive</t>
        </is>
      </c>
      <c r="E54" s="86">
        <f>SUMIFS(Raw_Data!$R$2:$R$2552,Raw_Data!$D$2:$D$2552,$A54,Raw_Data!$L$2:$L$2552,$B54)</f>
        <v/>
      </c>
      <c r="F54" s="87">
        <f>SUMIFS(Raw_Data!$S$2:$S$2552,Raw_Data!$D$2:$D$2552,$A54,Raw_Data!$L$2:$L$2552,$B54)</f>
        <v/>
      </c>
      <c r="G54" s="87">
        <f>SUMIFS(Raw_Data!$T$2:$T$2552,Raw_Data!$D$2:$D$2552,$A54,Raw_Data!$L$2:$L$2552,$B54)</f>
        <v/>
      </c>
      <c r="H54" s="88">
        <f>IFERROR(F54/G54,"")</f>
        <v/>
      </c>
      <c r="I54" s="87">
        <f>SUMIFS(Raw_Data!$W$2:$W$2552,Raw_Data!$D$2:$D$2552,$A54,Raw_Data!$L$2:$L$2552,$B54)</f>
        <v/>
      </c>
      <c r="J54" s="89">
        <f>IFERROR(I54/F54,"")</f>
        <v/>
      </c>
      <c r="K54" s="90">
        <f>IFERROR(E54/I54,"")</f>
        <v/>
      </c>
      <c r="L54" s="90">
        <f>IFERROR(E54/F54*1000,"")</f>
        <v/>
      </c>
      <c r="M54" s="87">
        <f>SUMIFS(Raw_Data!$AA$2:$AA$2552,Raw_Data!$D$2:$D$2552,$A54,Raw_Data!$L$2:$L$2552,$B54)</f>
        <v/>
      </c>
      <c r="N54" s="18">
        <f>IFERROR(M54/I54,"")</f>
        <v/>
      </c>
      <c r="O54" s="87">
        <f>SUMIFS(Raw_Data!$AL$2:$AL$2552,Raw_Data!$D$2:$D$2552,$A54,Raw_Data!$L$2:$L$2552,$B54)</f>
        <v/>
      </c>
      <c r="P54" s="89">
        <f>IFERROR(O54/M54,"")</f>
        <v/>
      </c>
      <c r="Q54" s="86">
        <f>IFERROR(E54/O54,"")</f>
        <v/>
      </c>
      <c r="R54" s="87">
        <f>SUMIFS(Raw_Data!$AO$2:$AO$2552,Raw_Data!$D$2:$D$2552,$A54,Raw_Data!$L$2:$L$2552,$B54)</f>
        <v/>
      </c>
      <c r="S54" s="18">
        <f>IFERROR(R54/O54,"")</f>
        <v/>
      </c>
      <c r="T54" s="86">
        <f>IFERROR(E54/R54,"")</f>
        <v/>
      </c>
      <c r="U54" s="87">
        <f>SUMIFS(Raw_Data!$AR$2:$AR$2552,Raw_Data!$D$2:$D$2552,$A54,Raw_Data!$L$2:$L$2552,$B54)</f>
        <v/>
      </c>
      <c r="V54" s="87">
        <f>SUMIFS(Raw_Data!$AS$2:$AS$2552,Raw_Data!$D$2:$D$2552,$A54,Raw_Data!$L$2:$L$2552,$B54)</f>
        <v/>
      </c>
      <c r="W54" s="87">
        <f>O54+U54</f>
        <v/>
      </c>
      <c r="X54" s="86">
        <f>SUMIFS(Raw_Data!$AU$2:$AU$2552,Raw_Data!$D$2:$D$2552,$A54,Raw_Data!$L$2:$L$2552,$B54)</f>
        <v/>
      </c>
      <c r="Y54" s="18">
        <f>IFERROR(E54/Summary!$B$17,"")</f>
        <v/>
      </c>
      <c r="Z54" s="18">
        <f>IFERROR(O54/Summary!$L$17,"")</f>
        <v/>
      </c>
      <c r="AA54" s="99" t="n">
        <v>46235</v>
      </c>
      <c r="AB54" s="99" t="n">
        <v>46265</v>
      </c>
      <c r="AC54" s="100">
        <f>AB54-AA54+1</f>
        <v/>
      </c>
      <c r="AD54" s="87">
        <f>SUMIFS(Raw_Data!$AC$2:$AC$2552,Raw_Data!$D$2:$D$2552,$A54,Raw_Data!$L$2:$L$2552,$B54)</f>
        <v/>
      </c>
      <c r="AE54" s="87">
        <f>SUMIFS(Raw_Data!$AD$2:$AD$2552,Raw_Data!$D$2:$D$2552,$A54,Raw_Data!$L$2:$L$2552,$B54)</f>
        <v/>
      </c>
      <c r="AF54" s="87">
        <f>SUMIFS(Raw_Data!$AE$2:$AE$2552,Raw_Data!$D$2:$D$2552,$A54,Raw_Data!$L$2:$L$2552,$B54)</f>
        <v/>
      </c>
      <c r="AG54" s="87">
        <f>SUMIFS(Raw_Data!$AF$2:$AF$2552,Raw_Data!$D$2:$D$2552,$A54,Raw_Data!$L$2:$L$2552,$B54)</f>
        <v/>
      </c>
      <c r="AH54" s="87">
        <f>SUMIFS(Raw_Data!$AG$2:$AG$2552,Raw_Data!$D$2:$D$2552,$A54,Raw_Data!$L$2:$L$2552,$B54)</f>
        <v/>
      </c>
      <c r="AI54" s="87">
        <f>SUMIFS(Raw_Data!$AH$2:$AH$2552,Raw_Data!$D$2:$D$2552,$A54,Raw_Data!$L$2:$L$2552,$B54)</f>
        <v/>
      </c>
      <c r="AJ54" s="18">
        <f>IFERROR(AD54/F54,"")</f>
        <v/>
      </c>
      <c r="AK54" s="18">
        <f>IFERROR(AI54/F54,"")</f>
        <v/>
      </c>
      <c r="AL54" s="87">
        <f>SUMIFS(Raw_Data!$AK$2:$AK$2552,Raw_Data!$D$2:$D$2552,$A54,Raw_Data!$L$2:$L$2552,$B54)</f>
        <v/>
      </c>
    </row>
    <row r="55">
      <c r="A55" s="6" t="inlineStr">
        <is>
          <t>Programmatic</t>
        </is>
      </c>
      <c r="B55" s="78" t="inlineStr">
        <is>
          <t>PROG_DYN_300x250_ModelSeen_v1</t>
        </is>
      </c>
      <c r="C55" s="78" t="inlineStr">
        <is>
          <t>Dynamic Display 300x250</t>
        </is>
      </c>
      <c r="D55" s="78" t="inlineStr">
        <is>
          <t>Still thinking about it?</t>
        </is>
      </c>
      <c r="E55" s="86">
        <f>SUMIFS(Raw_Data!$R$2:$R$2552,Raw_Data!$D$2:$D$2552,$A55,Raw_Data!$L$2:$L$2552,$B55)</f>
        <v/>
      </c>
      <c r="F55" s="87">
        <f>SUMIFS(Raw_Data!$S$2:$S$2552,Raw_Data!$D$2:$D$2552,$A55,Raw_Data!$L$2:$L$2552,$B55)</f>
        <v/>
      </c>
      <c r="G55" s="87">
        <f>SUMIFS(Raw_Data!$T$2:$T$2552,Raw_Data!$D$2:$D$2552,$A55,Raw_Data!$L$2:$L$2552,$B55)</f>
        <v/>
      </c>
      <c r="H55" s="88">
        <f>IFERROR(F55/G55,"")</f>
        <v/>
      </c>
      <c r="I55" s="87">
        <f>SUMIFS(Raw_Data!$W$2:$W$2552,Raw_Data!$D$2:$D$2552,$A55,Raw_Data!$L$2:$L$2552,$B55)</f>
        <v/>
      </c>
      <c r="J55" s="89">
        <f>IFERROR(I55/F55,"")</f>
        <v/>
      </c>
      <c r="K55" s="90">
        <f>IFERROR(E55/I55,"")</f>
        <v/>
      </c>
      <c r="L55" s="90">
        <f>IFERROR(E55/F55*1000,"")</f>
        <v/>
      </c>
      <c r="M55" s="87">
        <f>SUMIFS(Raw_Data!$AA$2:$AA$2552,Raw_Data!$D$2:$D$2552,$A55,Raw_Data!$L$2:$L$2552,$B55)</f>
        <v/>
      </c>
      <c r="N55" s="18">
        <f>IFERROR(M55/I55,"")</f>
        <v/>
      </c>
      <c r="O55" s="87">
        <f>SUMIFS(Raw_Data!$AL$2:$AL$2552,Raw_Data!$D$2:$D$2552,$A55,Raw_Data!$L$2:$L$2552,$B55)</f>
        <v/>
      </c>
      <c r="P55" s="89">
        <f>IFERROR(O55/M55,"")</f>
        <v/>
      </c>
      <c r="Q55" s="86">
        <f>IFERROR(E55/O55,"")</f>
        <v/>
      </c>
      <c r="R55" s="87">
        <f>SUMIFS(Raw_Data!$AO$2:$AO$2552,Raw_Data!$D$2:$D$2552,$A55,Raw_Data!$L$2:$L$2552,$B55)</f>
        <v/>
      </c>
      <c r="S55" s="18">
        <f>IFERROR(R55/O55,"")</f>
        <v/>
      </c>
      <c r="T55" s="86">
        <f>IFERROR(E55/R55,"")</f>
        <v/>
      </c>
      <c r="U55" s="87">
        <f>SUMIFS(Raw_Data!$AR$2:$AR$2552,Raw_Data!$D$2:$D$2552,$A55,Raw_Data!$L$2:$L$2552,$B55)</f>
        <v/>
      </c>
      <c r="V55" s="87">
        <f>SUMIFS(Raw_Data!$AS$2:$AS$2552,Raw_Data!$D$2:$D$2552,$A55,Raw_Data!$L$2:$L$2552,$B55)</f>
        <v/>
      </c>
      <c r="W55" s="87">
        <f>O55+U55</f>
        <v/>
      </c>
      <c r="X55" s="86">
        <f>SUMIFS(Raw_Data!$AU$2:$AU$2552,Raw_Data!$D$2:$D$2552,$A55,Raw_Data!$L$2:$L$2552,$B55)</f>
        <v/>
      </c>
      <c r="Y55" s="18">
        <f>IFERROR(E55/Summary!$B$17,"")</f>
        <v/>
      </c>
      <c r="Z55" s="18">
        <f>IFERROR(O55/Summary!$L$17,"")</f>
        <v/>
      </c>
      <c r="AA55" s="99" t="n">
        <v>46235</v>
      </c>
      <c r="AB55" s="99" t="n">
        <v>46265</v>
      </c>
      <c r="AC55" s="100">
        <f>AB55-AA55+1</f>
        <v/>
      </c>
      <c r="AD55" s="87">
        <f>SUMIFS(Raw_Data!$AC$2:$AC$2552,Raw_Data!$D$2:$D$2552,$A55,Raw_Data!$L$2:$L$2552,$B55)</f>
        <v/>
      </c>
      <c r="AE55" s="87">
        <f>SUMIFS(Raw_Data!$AD$2:$AD$2552,Raw_Data!$D$2:$D$2552,$A55,Raw_Data!$L$2:$L$2552,$B55)</f>
        <v/>
      </c>
      <c r="AF55" s="87">
        <f>SUMIFS(Raw_Data!$AE$2:$AE$2552,Raw_Data!$D$2:$D$2552,$A55,Raw_Data!$L$2:$L$2552,$B55)</f>
        <v/>
      </c>
      <c r="AG55" s="87">
        <f>SUMIFS(Raw_Data!$AF$2:$AF$2552,Raw_Data!$D$2:$D$2552,$A55,Raw_Data!$L$2:$L$2552,$B55)</f>
        <v/>
      </c>
      <c r="AH55" s="87">
        <f>SUMIFS(Raw_Data!$AG$2:$AG$2552,Raw_Data!$D$2:$D$2552,$A55,Raw_Data!$L$2:$L$2552,$B55)</f>
        <v/>
      </c>
      <c r="AI55" s="87">
        <f>SUMIFS(Raw_Data!$AH$2:$AH$2552,Raw_Data!$D$2:$D$2552,$A55,Raw_Data!$L$2:$L$2552,$B55)</f>
        <v/>
      </c>
      <c r="AJ55" s="18">
        <f>IFERROR(AD55/F55,"")</f>
        <v/>
      </c>
      <c r="AK55" s="18">
        <f>IFERROR(AI55/F55,"")</f>
        <v/>
      </c>
      <c r="AL55" s="87">
        <f>SUMIFS(Raw_Data!$AK$2:$AK$2552,Raw_Data!$D$2:$D$2552,$A55,Raw_Data!$L$2:$L$2552,$B55)</f>
        <v/>
      </c>
    </row>
    <row r="56">
      <c r="A56" s="6" t="inlineStr">
        <is>
          <t>Programmatic</t>
        </is>
      </c>
      <c r="B56" s="78" t="inlineStr">
        <is>
          <t>PROG_DYN_160x600_ModelSeen_v1</t>
        </is>
      </c>
      <c r="C56" s="78" t="inlineStr">
        <is>
          <t>Dynamic Display 160x600</t>
        </is>
      </c>
      <c r="D56" s="78" t="inlineStr">
        <is>
          <t>Still thinking about it?</t>
        </is>
      </c>
      <c r="E56" s="86">
        <f>SUMIFS(Raw_Data!$R$2:$R$2552,Raw_Data!$D$2:$D$2552,$A56,Raw_Data!$L$2:$L$2552,$B56)</f>
        <v/>
      </c>
      <c r="F56" s="87">
        <f>SUMIFS(Raw_Data!$S$2:$S$2552,Raw_Data!$D$2:$D$2552,$A56,Raw_Data!$L$2:$L$2552,$B56)</f>
        <v/>
      </c>
      <c r="G56" s="87">
        <f>SUMIFS(Raw_Data!$T$2:$T$2552,Raw_Data!$D$2:$D$2552,$A56,Raw_Data!$L$2:$L$2552,$B56)</f>
        <v/>
      </c>
      <c r="H56" s="88">
        <f>IFERROR(F56/G56,"")</f>
        <v/>
      </c>
      <c r="I56" s="87">
        <f>SUMIFS(Raw_Data!$W$2:$W$2552,Raw_Data!$D$2:$D$2552,$A56,Raw_Data!$L$2:$L$2552,$B56)</f>
        <v/>
      </c>
      <c r="J56" s="89">
        <f>IFERROR(I56/F56,"")</f>
        <v/>
      </c>
      <c r="K56" s="90">
        <f>IFERROR(E56/I56,"")</f>
        <v/>
      </c>
      <c r="L56" s="90">
        <f>IFERROR(E56/F56*1000,"")</f>
        <v/>
      </c>
      <c r="M56" s="87">
        <f>SUMIFS(Raw_Data!$AA$2:$AA$2552,Raw_Data!$D$2:$D$2552,$A56,Raw_Data!$L$2:$L$2552,$B56)</f>
        <v/>
      </c>
      <c r="N56" s="18">
        <f>IFERROR(M56/I56,"")</f>
        <v/>
      </c>
      <c r="O56" s="87">
        <f>SUMIFS(Raw_Data!$AL$2:$AL$2552,Raw_Data!$D$2:$D$2552,$A56,Raw_Data!$L$2:$L$2552,$B56)</f>
        <v/>
      </c>
      <c r="P56" s="89">
        <f>IFERROR(O56/M56,"")</f>
        <v/>
      </c>
      <c r="Q56" s="86">
        <f>IFERROR(E56/O56,"")</f>
        <v/>
      </c>
      <c r="R56" s="87">
        <f>SUMIFS(Raw_Data!$AO$2:$AO$2552,Raw_Data!$D$2:$D$2552,$A56,Raw_Data!$L$2:$L$2552,$B56)</f>
        <v/>
      </c>
      <c r="S56" s="18">
        <f>IFERROR(R56/O56,"")</f>
        <v/>
      </c>
      <c r="T56" s="86">
        <f>IFERROR(E56/R56,"")</f>
        <v/>
      </c>
      <c r="U56" s="87">
        <f>SUMIFS(Raw_Data!$AR$2:$AR$2552,Raw_Data!$D$2:$D$2552,$A56,Raw_Data!$L$2:$L$2552,$B56)</f>
        <v/>
      </c>
      <c r="V56" s="87">
        <f>SUMIFS(Raw_Data!$AS$2:$AS$2552,Raw_Data!$D$2:$D$2552,$A56,Raw_Data!$L$2:$L$2552,$B56)</f>
        <v/>
      </c>
      <c r="W56" s="87">
        <f>O56+U56</f>
        <v/>
      </c>
      <c r="X56" s="86">
        <f>SUMIFS(Raw_Data!$AU$2:$AU$2552,Raw_Data!$D$2:$D$2552,$A56,Raw_Data!$L$2:$L$2552,$B56)</f>
        <v/>
      </c>
      <c r="Y56" s="18">
        <f>IFERROR(E56/Summary!$B$17,"")</f>
        <v/>
      </c>
      <c r="Z56" s="18">
        <f>IFERROR(O56/Summary!$L$17,"")</f>
        <v/>
      </c>
      <c r="AA56" s="99" t="n">
        <v>46235</v>
      </c>
      <c r="AB56" s="99" t="n">
        <v>46265</v>
      </c>
      <c r="AC56" s="100">
        <f>AB56-AA56+1</f>
        <v/>
      </c>
      <c r="AD56" s="87">
        <f>SUMIFS(Raw_Data!$AC$2:$AC$2552,Raw_Data!$D$2:$D$2552,$A56,Raw_Data!$L$2:$L$2552,$B56)</f>
        <v/>
      </c>
      <c r="AE56" s="87">
        <f>SUMIFS(Raw_Data!$AD$2:$AD$2552,Raw_Data!$D$2:$D$2552,$A56,Raw_Data!$L$2:$L$2552,$B56)</f>
        <v/>
      </c>
      <c r="AF56" s="87">
        <f>SUMIFS(Raw_Data!$AE$2:$AE$2552,Raw_Data!$D$2:$D$2552,$A56,Raw_Data!$L$2:$L$2552,$B56)</f>
        <v/>
      </c>
      <c r="AG56" s="87">
        <f>SUMIFS(Raw_Data!$AF$2:$AF$2552,Raw_Data!$D$2:$D$2552,$A56,Raw_Data!$L$2:$L$2552,$B56)</f>
        <v/>
      </c>
      <c r="AH56" s="87">
        <f>SUMIFS(Raw_Data!$AG$2:$AG$2552,Raw_Data!$D$2:$D$2552,$A56,Raw_Data!$L$2:$L$2552,$B56)</f>
        <v/>
      </c>
      <c r="AI56" s="87">
        <f>SUMIFS(Raw_Data!$AH$2:$AH$2552,Raw_Data!$D$2:$D$2552,$A56,Raw_Data!$L$2:$L$2552,$B56)</f>
        <v/>
      </c>
      <c r="AJ56" s="18">
        <f>IFERROR(AD56/F56,"")</f>
        <v/>
      </c>
      <c r="AK56" s="18">
        <f>IFERROR(AI56/F56,"")</f>
        <v/>
      </c>
      <c r="AL56" s="87">
        <f>SUMIFS(Raw_Data!$AK$2:$AK$2552,Raw_Data!$D$2:$D$2552,$A56,Raw_Data!$L$2:$L$2552,$B56)</f>
        <v/>
      </c>
    </row>
    <row r="57">
      <c r="A57" s="6" t="inlineStr">
        <is>
          <t>Programmatic</t>
        </is>
      </c>
      <c r="B57" s="78" t="inlineStr">
        <is>
          <t>PROG_DYN_320x50_BookNow_v1</t>
        </is>
      </c>
      <c r="C57" s="78" t="inlineStr">
        <is>
          <t>Dynamic Display 320x50</t>
        </is>
      </c>
      <c r="D57" s="78" t="inlineStr">
        <is>
          <t>Book your test drive</t>
        </is>
      </c>
      <c r="E57" s="86">
        <f>SUMIFS(Raw_Data!$R$2:$R$2552,Raw_Data!$D$2:$D$2552,$A57,Raw_Data!$L$2:$L$2552,$B57)</f>
        <v/>
      </c>
      <c r="F57" s="87">
        <f>SUMIFS(Raw_Data!$S$2:$S$2552,Raw_Data!$D$2:$D$2552,$A57,Raw_Data!$L$2:$L$2552,$B57)</f>
        <v/>
      </c>
      <c r="G57" s="87">
        <f>SUMIFS(Raw_Data!$T$2:$T$2552,Raw_Data!$D$2:$D$2552,$A57,Raw_Data!$L$2:$L$2552,$B57)</f>
        <v/>
      </c>
      <c r="H57" s="88">
        <f>IFERROR(F57/G57,"")</f>
        <v/>
      </c>
      <c r="I57" s="87">
        <f>SUMIFS(Raw_Data!$W$2:$W$2552,Raw_Data!$D$2:$D$2552,$A57,Raw_Data!$L$2:$L$2552,$B57)</f>
        <v/>
      </c>
      <c r="J57" s="89">
        <f>IFERROR(I57/F57,"")</f>
        <v/>
      </c>
      <c r="K57" s="90">
        <f>IFERROR(E57/I57,"")</f>
        <v/>
      </c>
      <c r="L57" s="90">
        <f>IFERROR(E57/F57*1000,"")</f>
        <v/>
      </c>
      <c r="M57" s="87">
        <f>SUMIFS(Raw_Data!$AA$2:$AA$2552,Raw_Data!$D$2:$D$2552,$A57,Raw_Data!$L$2:$L$2552,$B57)</f>
        <v/>
      </c>
      <c r="N57" s="18">
        <f>IFERROR(M57/I57,"")</f>
        <v/>
      </c>
      <c r="O57" s="87">
        <f>SUMIFS(Raw_Data!$AL$2:$AL$2552,Raw_Data!$D$2:$D$2552,$A57,Raw_Data!$L$2:$L$2552,$B57)</f>
        <v/>
      </c>
      <c r="P57" s="89">
        <f>IFERROR(O57/M57,"")</f>
        <v/>
      </c>
      <c r="Q57" s="86">
        <f>IFERROR(E57/O57,"")</f>
        <v/>
      </c>
      <c r="R57" s="87">
        <f>SUMIFS(Raw_Data!$AO$2:$AO$2552,Raw_Data!$D$2:$D$2552,$A57,Raw_Data!$L$2:$L$2552,$B57)</f>
        <v/>
      </c>
      <c r="S57" s="18">
        <f>IFERROR(R57/O57,"")</f>
        <v/>
      </c>
      <c r="T57" s="86">
        <f>IFERROR(E57/R57,"")</f>
        <v/>
      </c>
      <c r="U57" s="87">
        <f>SUMIFS(Raw_Data!$AR$2:$AR$2552,Raw_Data!$D$2:$D$2552,$A57,Raw_Data!$L$2:$L$2552,$B57)</f>
        <v/>
      </c>
      <c r="V57" s="87">
        <f>SUMIFS(Raw_Data!$AS$2:$AS$2552,Raw_Data!$D$2:$D$2552,$A57,Raw_Data!$L$2:$L$2552,$B57)</f>
        <v/>
      </c>
      <c r="W57" s="87">
        <f>O57+U57</f>
        <v/>
      </c>
      <c r="X57" s="86">
        <f>SUMIFS(Raw_Data!$AU$2:$AU$2552,Raw_Data!$D$2:$D$2552,$A57,Raw_Data!$L$2:$L$2552,$B57)</f>
        <v/>
      </c>
      <c r="Y57" s="18">
        <f>IFERROR(E57/Summary!$B$17,"")</f>
        <v/>
      </c>
      <c r="Z57" s="18">
        <f>IFERROR(O57/Summary!$L$17,"")</f>
        <v/>
      </c>
      <c r="AA57" s="99" t="n">
        <v>46235</v>
      </c>
      <c r="AB57" s="99" t="n">
        <v>46265</v>
      </c>
      <c r="AC57" s="100">
        <f>AB57-AA57+1</f>
        <v/>
      </c>
      <c r="AD57" s="87">
        <f>SUMIFS(Raw_Data!$AC$2:$AC$2552,Raw_Data!$D$2:$D$2552,$A57,Raw_Data!$L$2:$L$2552,$B57)</f>
        <v/>
      </c>
      <c r="AE57" s="87">
        <f>SUMIFS(Raw_Data!$AD$2:$AD$2552,Raw_Data!$D$2:$D$2552,$A57,Raw_Data!$L$2:$L$2552,$B57)</f>
        <v/>
      </c>
      <c r="AF57" s="87">
        <f>SUMIFS(Raw_Data!$AE$2:$AE$2552,Raw_Data!$D$2:$D$2552,$A57,Raw_Data!$L$2:$L$2552,$B57)</f>
        <v/>
      </c>
      <c r="AG57" s="87">
        <f>SUMIFS(Raw_Data!$AF$2:$AF$2552,Raw_Data!$D$2:$D$2552,$A57,Raw_Data!$L$2:$L$2552,$B57)</f>
        <v/>
      </c>
      <c r="AH57" s="87">
        <f>SUMIFS(Raw_Data!$AG$2:$AG$2552,Raw_Data!$D$2:$D$2552,$A57,Raw_Data!$L$2:$L$2552,$B57)</f>
        <v/>
      </c>
      <c r="AI57" s="87">
        <f>SUMIFS(Raw_Data!$AH$2:$AH$2552,Raw_Data!$D$2:$D$2552,$A57,Raw_Data!$L$2:$L$2552,$B57)</f>
        <v/>
      </c>
      <c r="AJ57" s="18">
        <f>IFERROR(AD57/F57,"")</f>
        <v/>
      </c>
      <c r="AK57" s="18">
        <f>IFERROR(AI57/F57,"")</f>
        <v/>
      </c>
      <c r="AL57" s="87">
        <f>SUMIFS(Raw_Data!$AK$2:$AK$2552,Raw_Data!$D$2:$D$2552,$A57,Raw_Data!$L$2:$L$2552,$B57)</f>
        <v/>
      </c>
    </row>
    <row r="58">
      <c r="A58" s="6" t="inlineStr">
        <is>
          <t>Programmatic</t>
        </is>
      </c>
      <c r="B58" s="78" t="inlineStr">
        <is>
          <t>PROG_DYN_300x600_Offers_v1</t>
        </is>
      </c>
      <c r="C58" s="78" t="inlineStr">
        <is>
          <t>Dynamic Display 300x600</t>
        </is>
      </c>
      <c r="D58" s="78" t="inlineStr">
        <is>
          <t>Offers end 31 August</t>
        </is>
      </c>
      <c r="E58" s="86">
        <f>SUMIFS(Raw_Data!$R$2:$R$2552,Raw_Data!$D$2:$D$2552,$A58,Raw_Data!$L$2:$L$2552,$B58)</f>
        <v/>
      </c>
      <c r="F58" s="87">
        <f>SUMIFS(Raw_Data!$S$2:$S$2552,Raw_Data!$D$2:$D$2552,$A58,Raw_Data!$L$2:$L$2552,$B58)</f>
        <v/>
      </c>
      <c r="G58" s="87">
        <f>SUMIFS(Raw_Data!$T$2:$T$2552,Raw_Data!$D$2:$D$2552,$A58,Raw_Data!$L$2:$L$2552,$B58)</f>
        <v/>
      </c>
      <c r="H58" s="88">
        <f>IFERROR(F58/G58,"")</f>
        <v/>
      </c>
      <c r="I58" s="87">
        <f>SUMIFS(Raw_Data!$W$2:$W$2552,Raw_Data!$D$2:$D$2552,$A58,Raw_Data!$L$2:$L$2552,$B58)</f>
        <v/>
      </c>
      <c r="J58" s="89">
        <f>IFERROR(I58/F58,"")</f>
        <v/>
      </c>
      <c r="K58" s="90">
        <f>IFERROR(E58/I58,"")</f>
        <v/>
      </c>
      <c r="L58" s="90">
        <f>IFERROR(E58/F58*1000,"")</f>
        <v/>
      </c>
      <c r="M58" s="87">
        <f>SUMIFS(Raw_Data!$AA$2:$AA$2552,Raw_Data!$D$2:$D$2552,$A58,Raw_Data!$L$2:$L$2552,$B58)</f>
        <v/>
      </c>
      <c r="N58" s="18">
        <f>IFERROR(M58/I58,"")</f>
        <v/>
      </c>
      <c r="O58" s="87">
        <f>SUMIFS(Raw_Data!$AL$2:$AL$2552,Raw_Data!$D$2:$D$2552,$A58,Raw_Data!$L$2:$L$2552,$B58)</f>
        <v/>
      </c>
      <c r="P58" s="89">
        <f>IFERROR(O58/M58,"")</f>
        <v/>
      </c>
      <c r="Q58" s="86">
        <f>IFERROR(E58/O58,"")</f>
        <v/>
      </c>
      <c r="R58" s="87">
        <f>SUMIFS(Raw_Data!$AO$2:$AO$2552,Raw_Data!$D$2:$D$2552,$A58,Raw_Data!$L$2:$L$2552,$B58)</f>
        <v/>
      </c>
      <c r="S58" s="18">
        <f>IFERROR(R58/O58,"")</f>
        <v/>
      </c>
      <c r="T58" s="86">
        <f>IFERROR(E58/R58,"")</f>
        <v/>
      </c>
      <c r="U58" s="87">
        <f>SUMIFS(Raw_Data!$AR$2:$AR$2552,Raw_Data!$D$2:$D$2552,$A58,Raw_Data!$L$2:$L$2552,$B58)</f>
        <v/>
      </c>
      <c r="V58" s="87">
        <f>SUMIFS(Raw_Data!$AS$2:$AS$2552,Raw_Data!$D$2:$D$2552,$A58,Raw_Data!$L$2:$L$2552,$B58)</f>
        <v/>
      </c>
      <c r="W58" s="87">
        <f>O58+U58</f>
        <v/>
      </c>
      <c r="X58" s="86">
        <f>SUMIFS(Raw_Data!$AU$2:$AU$2552,Raw_Data!$D$2:$D$2552,$A58,Raw_Data!$L$2:$L$2552,$B58)</f>
        <v/>
      </c>
      <c r="Y58" s="18">
        <f>IFERROR(E58/Summary!$B$17,"")</f>
        <v/>
      </c>
      <c r="Z58" s="18">
        <f>IFERROR(O58/Summary!$L$17,"")</f>
        <v/>
      </c>
      <c r="AA58" s="99" t="n">
        <v>46235</v>
      </c>
      <c r="AB58" s="99" t="n">
        <v>46265</v>
      </c>
      <c r="AC58" s="100">
        <f>AB58-AA58+1</f>
        <v/>
      </c>
      <c r="AD58" s="87">
        <f>SUMIFS(Raw_Data!$AC$2:$AC$2552,Raw_Data!$D$2:$D$2552,$A58,Raw_Data!$L$2:$L$2552,$B58)</f>
        <v/>
      </c>
      <c r="AE58" s="87">
        <f>SUMIFS(Raw_Data!$AD$2:$AD$2552,Raw_Data!$D$2:$D$2552,$A58,Raw_Data!$L$2:$L$2552,$B58)</f>
        <v/>
      </c>
      <c r="AF58" s="87">
        <f>SUMIFS(Raw_Data!$AE$2:$AE$2552,Raw_Data!$D$2:$D$2552,$A58,Raw_Data!$L$2:$L$2552,$B58)</f>
        <v/>
      </c>
      <c r="AG58" s="87">
        <f>SUMIFS(Raw_Data!$AF$2:$AF$2552,Raw_Data!$D$2:$D$2552,$A58,Raw_Data!$L$2:$L$2552,$B58)</f>
        <v/>
      </c>
      <c r="AH58" s="87">
        <f>SUMIFS(Raw_Data!$AG$2:$AG$2552,Raw_Data!$D$2:$D$2552,$A58,Raw_Data!$L$2:$L$2552,$B58)</f>
        <v/>
      </c>
      <c r="AI58" s="87">
        <f>SUMIFS(Raw_Data!$AH$2:$AH$2552,Raw_Data!$D$2:$D$2552,$A58,Raw_Data!$L$2:$L$2552,$B58)</f>
        <v/>
      </c>
      <c r="AJ58" s="18">
        <f>IFERROR(AD58/F58,"")</f>
        <v/>
      </c>
      <c r="AK58" s="18">
        <f>IFERROR(AI58/F58,"")</f>
        <v/>
      </c>
      <c r="AL58" s="87">
        <f>SUMIFS(Raw_Data!$AK$2:$AK$2552,Raw_Data!$D$2:$D$2552,$A58,Raw_Data!$L$2:$L$2552,$B58)</f>
        <v/>
      </c>
    </row>
    <row r="59">
      <c r="A59" s="19" t="inlineStr">
        <is>
          <t>TOTAL</t>
        </is>
      </c>
      <c r="B59" s="32" t="n"/>
      <c r="C59" s="32" t="n"/>
      <c r="D59" s="32" t="n"/>
      <c r="E59" s="91" t="n"/>
      <c r="F59" s="92" t="n"/>
      <c r="G59" s="92" t="n"/>
      <c r="H59" s="93">
        <f>IFERROR(F59/G59,"")</f>
        <v/>
      </c>
      <c r="I59" s="92" t="n"/>
      <c r="J59" s="94">
        <f>IFERROR(I59/F59,"")</f>
        <v/>
      </c>
      <c r="K59" s="95">
        <f>IFERROR(E59/I59,"")</f>
        <v/>
      </c>
      <c r="L59" s="95">
        <f>IFERROR(E59/F59*1000,"")</f>
        <v/>
      </c>
      <c r="M59" s="92" t="n"/>
      <c r="N59" s="25">
        <f>IFERROR(M59/I59,"")</f>
        <v/>
      </c>
      <c r="O59" s="92" t="n"/>
      <c r="P59" s="94">
        <f>IFERROR(O59/M59,"")</f>
        <v/>
      </c>
      <c r="Q59" s="91">
        <f>IFERROR(E59/O59,"")</f>
        <v/>
      </c>
      <c r="R59" s="92" t="n"/>
      <c r="S59" s="25">
        <f>IFERROR(R59/O59,"")</f>
        <v/>
      </c>
      <c r="T59" s="91">
        <f>IFERROR(E59/R59,"")</f>
        <v/>
      </c>
      <c r="U59" s="92" t="n"/>
      <c r="V59" s="92" t="n"/>
      <c r="W59" s="92">
        <f>O59+U59</f>
        <v/>
      </c>
      <c r="X59" s="91" t="n"/>
      <c r="Y59" s="25">
        <f>IFERROR(E59/Summary!$B$17,"")</f>
        <v/>
      </c>
      <c r="Z59" s="25">
        <f>IFERROR(O59/Summary!$L$17,"")</f>
        <v/>
      </c>
    </row>
  </sheetData>
  <autoFilter ref="A4:AL58"/>
  <mergeCells count="2">
    <mergeCell ref="A2:L2"/>
    <mergeCell ref="A1:L1"/>
  </mergeCells>
  <conditionalFormatting sqref="Q5:Q58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7" min="1" max="1"/>
    <col width="14" customWidth="1" style="67" min="2" max="2"/>
    <col width="34" customWidth="1" style="67" min="3" max="3"/>
    <col width="18" customWidth="1" style="67" min="4" max="4"/>
    <col width="20" customWidth="1" style="67" min="5" max="5"/>
    <col width="34" customWidth="1" style="67" min="6" max="6"/>
    <col width="14" customWidth="1" style="67" min="7" max="7"/>
    <col width="14" customWidth="1" style="67" min="8" max="8"/>
    <col width="10" customWidth="1" style="67" min="9" max="9"/>
    <col width="14" customWidth="1" style="67" min="10" max="10"/>
    <col width="14" customWidth="1" style="67" min="11" max="11"/>
    <col width="14" customWidth="1" style="67" min="12" max="12"/>
    <col width="14" customWidth="1" style="67" min="13" max="13"/>
    <col width="14" customWidth="1" style="67" min="14" max="14"/>
    <col width="14" customWidth="1" style="67" min="15" max="15"/>
    <col width="13" customWidth="1" style="67" min="16" max="16"/>
    <col width="14" customWidth="1" style="67" min="17" max="17"/>
    <col width="14" customWidth="1" style="67" min="18" max="18"/>
    <col width="13" customWidth="1" style="67" min="19" max="19"/>
    <col width="14" customWidth="1" style="67" min="20" max="20"/>
    <col width="12" customWidth="1" style="67" min="21" max="21"/>
    <col width="18" customWidth="1" style="67" min="22" max="22"/>
    <col width="18" customWidth="1" style="67" min="23" max="23"/>
    <col width="14" customWidth="1" style="67" min="24" max="24"/>
    <col width="15" customWidth="1" style="67" min="25" max="25"/>
    <col width="14" customWidth="1" style="67" min="26" max="26"/>
    <col width="15" customWidth="1" style="67" min="27" max="27"/>
    <col width="16" customWidth="1" style="67" min="28" max="28"/>
  </cols>
  <sheetData>
    <row r="1">
      <c r="A1" s="101" t="inlineStr">
        <is>
          <t>Channel</t>
        </is>
      </c>
      <c r="B1" s="101" t="inlineStr">
        <is>
          <t>Scope</t>
        </is>
      </c>
      <c r="C1" s="101" t="inlineStr">
        <is>
          <t>Creative Name</t>
        </is>
      </c>
      <c r="D1" s="101" t="inlineStr">
        <is>
          <t>Creative Format</t>
        </is>
      </c>
      <c r="E1" s="101" t="inlineStr">
        <is>
          <t>Message Territory</t>
        </is>
      </c>
      <c r="F1" s="101" t="inlineStr">
        <is>
          <t>Creative Hook / Message</t>
        </is>
      </c>
      <c r="G1" s="101" t="inlineStr">
        <is>
          <t>First Day Live</t>
        </is>
      </c>
      <c r="H1" s="101" t="inlineStr">
        <is>
          <t>Last Day Live</t>
        </is>
      </c>
      <c r="I1" s="101" t="inlineStr">
        <is>
          <t>Days Live</t>
        </is>
      </c>
      <c r="J1" s="101" t="inlineStr">
        <is>
          <t>Spend (ZAR)</t>
        </is>
      </c>
      <c r="K1" s="101" t="inlineStr">
        <is>
          <t>Impressions</t>
        </is>
      </c>
      <c r="L1" s="101" t="inlineStr">
        <is>
          <t>Reach</t>
        </is>
      </c>
      <c r="M1" s="101" t="inlineStr">
        <is>
          <t>Frequency by Creative</t>
        </is>
      </c>
      <c r="N1" s="101" t="inlineStr">
        <is>
          <t>First 3 Days CTR</t>
        </is>
      </c>
      <c r="O1" s="101" t="inlineStr">
        <is>
          <t>Latest 3 Days CTR</t>
        </is>
      </c>
      <c r="P1" s="101" t="inlineStr">
        <is>
          <t>CTR Decay %</t>
        </is>
      </c>
      <c r="Q1" s="101" t="inlineStr">
        <is>
          <t>First 3 Days CPL</t>
        </is>
      </c>
      <c r="R1" s="101" t="inlineStr">
        <is>
          <t>Latest 3 Days CPL</t>
        </is>
      </c>
      <c r="S1" s="101" t="inlineStr">
        <is>
          <t>CPL Decay %</t>
        </is>
      </c>
      <c r="T1" s="101" t="inlineStr">
        <is>
          <t>Thumb-stop Rate</t>
        </is>
      </c>
      <c r="U1" s="101" t="inlineStr">
        <is>
          <t>Hold Rate</t>
        </is>
      </c>
      <c r="V1" s="101" t="inlineStr">
        <is>
          <t>Watch Time / Depth Proxy</t>
        </is>
      </c>
      <c r="W1" s="101" t="inlineStr">
        <is>
          <t>Save/Share/Comment Rate</t>
        </is>
      </c>
      <c r="X1" s="101" t="inlineStr">
        <is>
          <t>Engagements Proxy</t>
        </is>
      </c>
      <c r="Y1" s="101" t="inlineStr">
        <is>
          <t>Test Drive Bookings</t>
        </is>
      </c>
      <c r="Z1" s="101" t="inlineStr">
        <is>
          <t>Qualified Leads</t>
        </is>
      </c>
      <c r="AA1" s="101" t="inlineStr">
        <is>
          <t>Creative Fatigue Score</t>
        </is>
      </c>
      <c r="AB1" s="101" t="inlineStr">
        <is>
          <t>CMO Decision</t>
        </is>
      </c>
    </row>
    <row r="2">
      <c r="A2" s="102" t="inlineStr">
        <is>
          <t>Programmatic</t>
        </is>
      </c>
      <c r="B2" s="102" t="inlineStr">
        <is>
          <t>YouTube</t>
        </is>
      </c>
      <c r="C2" s="102" t="inlineStr">
        <is>
          <t>PROG_OLV_20s_RangeFilm_v1</t>
        </is>
      </c>
      <c r="D2" s="102" t="inlineStr">
        <is>
          <t>Video 16:9 Pre-roll</t>
        </is>
      </c>
      <c r="E2" s="102" t="inlineStr">
        <is>
          <t>Price / offer</t>
        </is>
      </c>
      <c r="F2" s="102" t="inlineStr">
        <is>
          <t>Meet the Lepas range</t>
        </is>
      </c>
      <c r="G2" s="103" t="n">
        <v>46235</v>
      </c>
      <c r="H2" s="103" t="n">
        <v>46265</v>
      </c>
      <c r="I2" s="102" t="n">
        <v>31</v>
      </c>
      <c r="J2" s="129" t="n">
        <v>10608.85</v>
      </c>
      <c r="K2" s="102" t="n">
        <v>451246</v>
      </c>
      <c r="L2" s="102" t="n">
        <v>227657</v>
      </c>
      <c r="M2" s="142" t="n">
        <v>1.982131012883417</v>
      </c>
      <c r="N2" s="131" t="n">
        <v>0.002117008293691315</v>
      </c>
      <c r="O2" s="131" t="n">
        <v>0.001172363484785327</v>
      </c>
      <c r="P2" s="131" t="n">
        <v>-0.4462168673221686</v>
      </c>
      <c r="Q2" s="129" t="n">
        <v>441.98</v>
      </c>
      <c r="R2" s="129" t="n">
        <v>1123.96</v>
      </c>
      <c r="S2" s="131" t="n">
        <v>1.543010995972668</v>
      </c>
      <c r="T2" s="131" t="n">
        <v>0.3163906162049082</v>
      </c>
      <c r="U2" s="131" t="n">
        <v>0.2789311480002802</v>
      </c>
      <c r="V2" s="131" t="n">
        <v>0.5295072494221476</v>
      </c>
      <c r="W2" s="131" t="n">
        <v>0.003432717409129388</v>
      </c>
      <c r="X2" s="102" t="n">
        <v>1549</v>
      </c>
      <c r="Y2" s="102" t="n">
        <v>9</v>
      </c>
      <c r="Z2" s="102" t="n">
        <v>7</v>
      </c>
      <c r="AA2" s="143" t="n">
        <v>63.7</v>
      </c>
      <c r="AB2" s="108" t="inlineStr">
        <is>
          <t>Watch closely</t>
        </is>
      </c>
    </row>
    <row r="3">
      <c r="A3" s="102" t="inlineStr">
        <is>
          <t>Programmatic</t>
        </is>
      </c>
      <c r="B3" s="102" t="inlineStr">
        <is>
          <t>Programmatic</t>
        </is>
      </c>
      <c r="C3" s="102" t="inlineStr">
        <is>
          <t>PROG_DYN_300x600_Offers_v1</t>
        </is>
      </c>
      <c r="D3" s="102" t="inlineStr">
        <is>
          <t>Dynamic Display 300x600</t>
        </is>
      </c>
      <c r="E3" s="102" t="inlineStr">
        <is>
          <t>Price / offer</t>
        </is>
      </c>
      <c r="F3" s="102" t="inlineStr">
        <is>
          <t>Offers end 31 August</t>
        </is>
      </c>
      <c r="G3" s="103" t="n">
        <v>46235</v>
      </c>
      <c r="H3" s="103" t="n">
        <v>46265</v>
      </c>
      <c r="I3" s="102" t="n">
        <v>31</v>
      </c>
      <c r="J3" s="129" t="n">
        <v>3690.830000000001</v>
      </c>
      <c r="K3" s="102" t="n">
        <v>114208</v>
      </c>
      <c r="L3" s="102" t="n">
        <v>59628</v>
      </c>
      <c r="M3" s="142" t="n">
        <v>1.915341785738244</v>
      </c>
      <c r="N3" s="131" t="n">
        <v>0.004774610307541075</v>
      </c>
      <c r="O3" s="131" t="n">
        <v>0.002272899462080461</v>
      </c>
      <c r="P3" s="131" t="n">
        <v>-0.5239612626625011</v>
      </c>
      <c r="Q3" s="129" t="n">
        <v>97.72999999999999</v>
      </c>
      <c r="R3" s="129" t="n">
        <v>431.43</v>
      </c>
      <c r="S3" s="131" t="n">
        <v>3.414509362529419</v>
      </c>
      <c r="T3" s="131" t="n">
        <v>0</v>
      </c>
      <c r="U3" s="131" t="n">
        <v>0</v>
      </c>
      <c r="V3" s="131" t="n">
        <v>0</v>
      </c>
      <c r="W3" s="131" t="n">
        <v>0.003651232838330065</v>
      </c>
      <c r="X3" s="102" t="n">
        <v>417</v>
      </c>
      <c r="Y3" s="102" t="n">
        <v>12</v>
      </c>
      <c r="Z3" s="102" t="n">
        <v>5</v>
      </c>
      <c r="AA3" s="143" t="n">
        <v>63.1</v>
      </c>
      <c r="AB3" s="108" t="inlineStr">
        <is>
          <t>Watch closely</t>
        </is>
      </c>
    </row>
    <row r="4">
      <c r="A4" s="102" t="inlineStr">
        <is>
          <t>Meta (FB/IG)</t>
        </is>
      </c>
      <c r="B4" s="102" t="inlineStr">
        <is>
          <t>Meta</t>
        </is>
      </c>
      <c r="C4" s="102" t="inlineStr">
        <is>
          <t>PANTERA_VID_15s_NightDrive_v1</t>
        </is>
      </c>
      <c r="D4" s="102" t="inlineStr">
        <is>
          <t>Video 4:5</t>
        </is>
      </c>
      <c r="E4" s="102" t="inlineStr">
        <is>
          <t>Price / offer</t>
        </is>
      </c>
      <c r="F4" s="102" t="inlineStr">
        <is>
          <t>Night drive. PANTERA.</t>
        </is>
      </c>
      <c r="G4" s="103" t="n">
        <v>46235</v>
      </c>
      <c r="H4" s="103" t="n">
        <v>46265</v>
      </c>
      <c r="I4" s="102" t="n">
        <v>31</v>
      </c>
      <c r="J4" s="129" t="n">
        <v>5441.870000000002</v>
      </c>
      <c r="K4" s="102" t="n">
        <v>75950</v>
      </c>
      <c r="L4" s="102" t="n">
        <v>48392</v>
      </c>
      <c r="M4" s="142" t="n">
        <v>1.569474293271615</v>
      </c>
      <c r="N4" s="131" t="n">
        <v>0.01673967459324155</v>
      </c>
      <c r="O4" s="131" t="n">
        <v>0.007292845467119326</v>
      </c>
      <c r="P4" s="131" t="n">
        <v>-0.5643376801324606</v>
      </c>
      <c r="Q4" s="129" t="n">
        <v>222.02</v>
      </c>
      <c r="R4" s="129" t="n">
        <v>566.61</v>
      </c>
      <c r="S4" s="131" t="n">
        <v>1.552067381316999</v>
      </c>
      <c r="T4" s="131" t="n">
        <v>0.3198683344305464</v>
      </c>
      <c r="U4" s="131" t="n">
        <v>0.2850498065365934</v>
      </c>
      <c r="V4" s="131" t="n">
        <v>0.5398761010949206</v>
      </c>
      <c r="W4" s="131" t="n">
        <v>0.02255431204739961</v>
      </c>
      <c r="X4" s="102" t="n">
        <v>1713</v>
      </c>
      <c r="Y4" s="102" t="n">
        <v>16</v>
      </c>
      <c r="Z4" s="102" t="n">
        <v>9</v>
      </c>
      <c r="AA4" s="143" t="n">
        <v>62.4</v>
      </c>
      <c r="AB4" s="108" t="inlineStr">
        <is>
          <t>Watch closely</t>
        </is>
      </c>
    </row>
    <row r="5">
      <c r="A5" s="102" t="inlineStr">
        <is>
          <t>TikTok</t>
        </is>
      </c>
      <c r="B5" s="102" t="inlineStr">
        <is>
          <t>TikTok</t>
        </is>
      </c>
      <c r="C5" s="102" t="inlineStr">
        <is>
          <t>TT_AMUR_UGC_20s_Walkthrough_v1</t>
        </is>
      </c>
      <c r="D5" s="102" t="inlineStr">
        <is>
          <t>Video 9:16</t>
        </is>
      </c>
      <c r="E5" s="102" t="inlineStr">
        <is>
          <t>Price / offer</t>
        </is>
      </c>
      <c r="F5" s="102" t="inlineStr">
        <is>
          <t>Full walkaround, no filter</t>
        </is>
      </c>
      <c r="G5" s="103" t="n">
        <v>46235</v>
      </c>
      <c r="H5" s="103" t="n">
        <v>46265</v>
      </c>
      <c r="I5" s="102" t="n">
        <v>31</v>
      </c>
      <c r="J5" s="129" t="n">
        <v>7332.57</v>
      </c>
      <c r="K5" s="102" t="n">
        <v>196567</v>
      </c>
      <c r="L5" s="102" t="n">
        <v>118590</v>
      </c>
      <c r="M5" s="142" t="n">
        <v>1.657534362087866</v>
      </c>
      <c r="N5" s="131" t="n">
        <v>0.01081405827575849</v>
      </c>
      <c r="O5" s="131" t="n">
        <v>0.005641430666817105</v>
      </c>
      <c r="P5" s="131" t="n">
        <v>-0.4783243697268294</v>
      </c>
      <c r="Q5" s="129" t="n">
        <v>299.465</v>
      </c>
      <c r="R5" s="129" t="n">
        <v>757.9</v>
      </c>
      <c r="S5" s="131" t="n">
        <v>1.530846676573222</v>
      </c>
      <c r="T5" s="131" t="n">
        <v>0.3261381615428836</v>
      </c>
      <c r="U5" s="131" t="n">
        <v>0.2668465714107444</v>
      </c>
      <c r="V5" s="131" t="n">
        <v>0.5132042802770325</v>
      </c>
      <c r="W5" s="131" t="n">
        <v>0.04367976313419852</v>
      </c>
      <c r="X5" s="102" t="n">
        <v>8586</v>
      </c>
      <c r="Y5" s="102" t="n">
        <v>13</v>
      </c>
      <c r="Z5" s="102" t="n">
        <v>7</v>
      </c>
      <c r="AA5" s="143" t="n">
        <v>61.6</v>
      </c>
      <c r="AB5" s="108" t="inlineStr">
        <is>
          <t>Watch closely</t>
        </is>
      </c>
    </row>
    <row r="6">
      <c r="A6" s="102" t="inlineStr">
        <is>
          <t>TikTok</t>
        </is>
      </c>
      <c r="B6" s="102" t="inlineStr">
        <is>
          <t>TikTok</t>
        </is>
      </c>
      <c r="C6" s="102" t="inlineStr">
        <is>
          <t>TT_PANTERA_TREND_10s_Spec_v1</t>
        </is>
      </c>
      <c r="D6" s="102" t="inlineStr">
        <is>
          <t>Video 9:16</t>
        </is>
      </c>
      <c r="E6" s="102" t="inlineStr">
        <is>
          <t>Price / offer</t>
        </is>
      </c>
      <c r="F6" s="102" t="inlineStr">
        <is>
          <t>Spec check. Guess the price.</t>
        </is>
      </c>
      <c r="G6" s="103" t="n">
        <v>46235</v>
      </c>
      <c r="H6" s="103" t="n">
        <v>46265</v>
      </c>
      <c r="I6" s="102" t="n">
        <v>31</v>
      </c>
      <c r="J6" s="129" t="n">
        <v>8190.159999999999</v>
      </c>
      <c r="K6" s="102" t="n">
        <v>217741</v>
      </c>
      <c r="L6" s="102" t="n">
        <v>126002</v>
      </c>
      <c r="M6" s="142" t="n">
        <v>1.728075744829447</v>
      </c>
      <c r="N6" s="131" t="n">
        <v>0.01251848201084278</v>
      </c>
      <c r="O6" s="131" t="n">
        <v>0.007327068758537898</v>
      </c>
      <c r="P6" s="131" t="n">
        <v>-0.4146999011388426</v>
      </c>
      <c r="Q6" s="129" t="n">
        <v>405.36</v>
      </c>
      <c r="R6" s="129" t="n">
        <v>970.3599999999999</v>
      </c>
      <c r="S6" s="131" t="n">
        <v>1.393822774817446</v>
      </c>
      <c r="T6" s="131" t="n">
        <v>0.3133355684046643</v>
      </c>
      <c r="U6" s="131" t="n">
        <v>0.275334916307566</v>
      </c>
      <c r="V6" s="131" t="n">
        <v>0.5213298449271538</v>
      </c>
      <c r="W6" s="131" t="n">
        <v>0.03967557786544564</v>
      </c>
      <c r="X6" s="102" t="n">
        <v>8639</v>
      </c>
      <c r="Y6" s="102" t="n">
        <v>20</v>
      </c>
      <c r="Z6" s="102" t="n">
        <v>11</v>
      </c>
      <c r="AA6" s="143" t="n">
        <v>60.3</v>
      </c>
      <c r="AB6" s="108" t="inlineStr">
        <is>
          <t>Watch closely</t>
        </is>
      </c>
    </row>
    <row r="7">
      <c r="A7" s="102" t="inlineStr">
        <is>
          <t>TikTok</t>
        </is>
      </c>
      <c r="B7" s="102" t="inlineStr">
        <is>
          <t>TikTok</t>
        </is>
      </c>
      <c r="C7" s="102" t="inlineStr">
        <is>
          <t>TT_SPARK_@drivesa_Review_v1</t>
        </is>
      </c>
      <c r="D7" s="102" t="inlineStr">
        <is>
          <t>Spark Ad</t>
        </is>
      </c>
      <c r="E7" s="102" t="inlineStr">
        <is>
          <t>Price / offer</t>
        </is>
      </c>
      <c r="F7" s="102" t="inlineStr">
        <is>
          <t>Creator handle: @drivesa</t>
        </is>
      </c>
      <c r="G7" s="103" t="n">
        <v>46235</v>
      </c>
      <c r="H7" s="103" t="n">
        <v>46265</v>
      </c>
      <c r="I7" s="102" t="n">
        <v>31</v>
      </c>
      <c r="J7" s="129" t="n">
        <v>8840.759999999998</v>
      </c>
      <c r="K7" s="102" t="n">
        <v>224684</v>
      </c>
      <c r="L7" s="102" t="n">
        <v>130473</v>
      </c>
      <c r="M7" s="142" t="n">
        <v>1.722072766012892</v>
      </c>
      <c r="N7" s="131" t="n">
        <v>0.01385642737896494</v>
      </c>
      <c r="O7" s="131" t="n">
        <v>0.007820046920281522</v>
      </c>
      <c r="P7" s="131" t="n">
        <v>-0.4356375776808878</v>
      </c>
      <c r="Q7" s="129" t="n">
        <v>239.7966666666667</v>
      </c>
      <c r="R7" s="129" t="n">
        <v>471.48</v>
      </c>
      <c r="S7" s="131" t="n">
        <v>0.9661657793408304</v>
      </c>
      <c r="T7" s="131" t="n">
        <v>0.32660981645333</v>
      </c>
      <c r="U7" s="131" t="n">
        <v>0.2746784040117737</v>
      </c>
      <c r="V7" s="131" t="n">
        <v>0.5255641556742614</v>
      </c>
      <c r="W7" s="131" t="n">
        <v>0.03920617400437949</v>
      </c>
      <c r="X7" s="102" t="n">
        <v>8809</v>
      </c>
      <c r="Y7" s="102" t="n">
        <v>26</v>
      </c>
      <c r="Z7" s="102" t="n">
        <v>11</v>
      </c>
      <c r="AA7" s="143" t="n">
        <v>60</v>
      </c>
      <c r="AB7" s="108" t="inlineStr">
        <is>
          <t>Watch closely</t>
        </is>
      </c>
    </row>
    <row r="8">
      <c r="A8" s="102" t="inlineStr">
        <is>
          <t>X</t>
        </is>
      </c>
      <c r="B8" s="102" t="inlineStr">
        <is>
          <t>X</t>
        </is>
      </c>
      <c r="C8" s="102" t="inlineStr">
        <is>
          <t>X_STA_BookReminder_v1</t>
        </is>
      </c>
      <c r="D8" s="102" t="inlineStr">
        <is>
          <t>Image Ad</t>
        </is>
      </c>
      <c r="E8" s="102" t="inlineStr">
        <is>
          <t>Lifestyle / utility</t>
        </is>
      </c>
      <c r="F8" s="102" t="inlineStr">
        <is>
          <t>Slots open this weekend</t>
        </is>
      </c>
      <c r="G8" s="103" t="n">
        <v>46235</v>
      </c>
      <c r="H8" s="103" t="n">
        <v>46265</v>
      </c>
      <c r="I8" s="102" t="n">
        <v>31</v>
      </c>
      <c r="J8" s="129" t="n">
        <v>5583.540000000001</v>
      </c>
      <c r="K8" s="102" t="n">
        <v>77088</v>
      </c>
      <c r="L8" s="102" t="n">
        <v>50133</v>
      </c>
      <c r="M8" s="142" t="n">
        <v>1.537669798336425</v>
      </c>
      <c r="N8" s="131" t="n">
        <v>0.01675531914893617</v>
      </c>
      <c r="O8" s="131" t="n">
        <v>0.008139387002416381</v>
      </c>
      <c r="P8" s="131" t="n">
        <v>-0.5142207122367366</v>
      </c>
      <c r="Q8" s="129" t="n">
        <v>153.3933333333333</v>
      </c>
      <c r="R8" s="129" t="n">
        <v>574.99</v>
      </c>
      <c r="S8" s="131" t="n">
        <v>2.748467990786214</v>
      </c>
      <c r="T8" s="131" t="n">
        <v>0</v>
      </c>
      <c r="U8" s="131" t="n">
        <v>0</v>
      </c>
      <c r="V8" s="131" t="n">
        <v>0</v>
      </c>
      <c r="W8" s="131" t="n">
        <v>0.01765514736405147</v>
      </c>
      <c r="X8" s="102" t="n">
        <v>1361</v>
      </c>
      <c r="Y8" s="102" t="n">
        <v>12</v>
      </c>
      <c r="Z8" s="102" t="n">
        <v>7</v>
      </c>
      <c r="AA8" s="143" t="n">
        <v>58.8</v>
      </c>
      <c r="AB8" s="108" t="inlineStr">
        <is>
          <t>Watch closely</t>
        </is>
      </c>
    </row>
    <row r="9">
      <c r="A9" s="102" t="inlineStr">
        <is>
          <t>Meta (FB/IG)</t>
        </is>
      </c>
      <c r="B9" s="102" t="inlineStr">
        <is>
          <t>Meta</t>
        </is>
      </c>
      <c r="C9" s="102" t="inlineStr">
        <is>
          <t>RMKT_DYN_ModelSeen_v1</t>
        </is>
      </c>
      <c r="D9" s="102" t="inlineStr">
        <is>
          <t>Dynamic Carousel</t>
        </is>
      </c>
      <c r="E9" s="102" t="inlineStr">
        <is>
          <t>Lifestyle / utility</t>
        </is>
      </c>
      <c r="F9" s="102" t="inlineStr">
        <is>
          <t>Still thinking about it?</t>
        </is>
      </c>
      <c r="G9" s="103" t="n">
        <v>46235</v>
      </c>
      <c r="H9" s="103" t="n">
        <v>46265</v>
      </c>
      <c r="I9" s="102" t="n">
        <v>31</v>
      </c>
      <c r="J9" s="129" t="n">
        <v>8742.639999999999</v>
      </c>
      <c r="K9" s="102" t="n">
        <v>96172</v>
      </c>
      <c r="L9" s="102" t="n">
        <v>60885</v>
      </c>
      <c r="M9" s="142" t="n">
        <v>1.579568038104624</v>
      </c>
      <c r="N9" s="131" t="n">
        <v>0.02639008223886093</v>
      </c>
      <c r="O9" s="131" t="n">
        <v>0.01487831313429895</v>
      </c>
      <c r="P9" s="131" t="n">
        <v>-0.4362157343947278</v>
      </c>
      <c r="Q9" s="129" t="n">
        <v>110.895</v>
      </c>
      <c r="R9" s="129" t="n">
        <v>231.675</v>
      </c>
      <c r="S9" s="131" t="n">
        <v>1.089138374137698</v>
      </c>
      <c r="T9" s="131" t="n">
        <v>0</v>
      </c>
      <c r="U9" s="131" t="n">
        <v>0</v>
      </c>
      <c r="V9" s="131" t="n">
        <v>0</v>
      </c>
      <c r="W9" s="131" t="n">
        <v>0.02243896352368673</v>
      </c>
      <c r="X9" s="102" t="n">
        <v>2158</v>
      </c>
      <c r="Y9" s="102" t="n">
        <v>59</v>
      </c>
      <c r="Z9" s="102" t="n">
        <v>36</v>
      </c>
      <c r="AA9" s="143" t="n">
        <v>57.1</v>
      </c>
      <c r="AB9" s="108" t="inlineStr">
        <is>
          <t>Watch closely</t>
        </is>
      </c>
    </row>
    <row r="10">
      <c r="A10" s="102" t="inlineStr">
        <is>
          <t>TikTok</t>
        </is>
      </c>
      <c r="B10" s="102" t="inlineStr">
        <is>
          <t>TikTok</t>
        </is>
      </c>
      <c r="C10" s="102" t="inlineStr">
        <is>
          <t>TT_PANTERA_CREATOR_25s_Review_v1</t>
        </is>
      </c>
      <c r="D10" s="102" t="inlineStr">
        <is>
          <t>Video 9:16</t>
        </is>
      </c>
      <c r="E10" s="102" t="inlineStr">
        <is>
          <t>Price / offer</t>
        </is>
      </c>
      <c r="F10" s="102" t="inlineStr">
        <is>
          <t>Creator review: is it worth it?</t>
        </is>
      </c>
      <c r="G10" s="103" t="n">
        <v>46235</v>
      </c>
      <c r="H10" s="103" t="n">
        <v>46265</v>
      </c>
      <c r="I10" s="102" t="n">
        <v>31</v>
      </c>
      <c r="J10" s="129" t="n">
        <v>12012.71</v>
      </c>
      <c r="K10" s="102" t="n">
        <v>308739</v>
      </c>
      <c r="L10" s="102" t="n">
        <v>187340</v>
      </c>
      <c r="M10" s="142" t="n">
        <v>1.648014305540728</v>
      </c>
      <c r="N10" s="131" t="n">
        <v>0.01198345510069968</v>
      </c>
      <c r="O10" s="131" t="n">
        <v>0.007987720836987846</v>
      </c>
      <c r="P10" s="131" t="n">
        <v>-0.3334375795740692</v>
      </c>
      <c r="Q10" s="129" t="n">
        <v>248.025</v>
      </c>
      <c r="R10" s="129" t="n">
        <v>1287.3</v>
      </c>
      <c r="S10" s="131" t="n">
        <v>4.1902026005443</v>
      </c>
      <c r="T10" s="131" t="n">
        <v>0.3133067089029893</v>
      </c>
      <c r="U10" s="131" t="n">
        <v>0.277587098108136</v>
      </c>
      <c r="V10" s="131" t="n">
        <v>0.5261113408456528</v>
      </c>
      <c r="W10" s="131" t="n">
        <v>0.04010831155118077</v>
      </c>
      <c r="X10" s="102" t="n">
        <v>12383</v>
      </c>
      <c r="Y10" s="102" t="n">
        <v>22</v>
      </c>
      <c r="Z10" s="102" t="n">
        <v>13</v>
      </c>
      <c r="AA10" s="143" t="n">
        <v>57</v>
      </c>
      <c r="AB10" s="108" t="inlineStr">
        <is>
          <t>Watch closely</t>
        </is>
      </c>
    </row>
    <row r="11">
      <c r="A11" s="102" t="inlineStr">
        <is>
          <t>X</t>
        </is>
      </c>
      <c r="B11" s="102" t="inlineStr">
        <is>
          <t>X</t>
        </is>
      </c>
      <c r="C11" s="102" t="inlineStr">
        <is>
          <t>X_STA_PricePoint_v1</t>
        </is>
      </c>
      <c r="D11" s="102" t="inlineStr">
        <is>
          <t>Image Ad</t>
        </is>
      </c>
      <c r="E11" s="102" t="inlineStr">
        <is>
          <t>Price / offer</t>
        </is>
      </c>
      <c r="F11" s="102" t="inlineStr">
        <is>
          <t>From R3 599pm</t>
        </is>
      </c>
      <c r="G11" s="103" t="n">
        <v>46235</v>
      </c>
      <c r="H11" s="103" t="n">
        <v>46265</v>
      </c>
      <c r="I11" s="102" t="n">
        <v>31</v>
      </c>
      <c r="J11" s="129" t="n">
        <v>11141.79</v>
      </c>
      <c r="K11" s="102" t="n">
        <v>197993</v>
      </c>
      <c r="L11" s="102" t="n">
        <v>129435</v>
      </c>
      <c r="M11" s="142" t="n">
        <v>1.529671263568587</v>
      </c>
      <c r="N11" s="131" t="n">
        <v>0.01</v>
      </c>
      <c r="O11" s="131" t="n">
        <v>0.005692599620493359</v>
      </c>
      <c r="P11" s="131" t="n">
        <v>-0.4307400379506642</v>
      </c>
      <c r="Q11" s="129" t="n">
        <v>458.045</v>
      </c>
      <c r="R11" s="129" t="n">
        <v>1200.44</v>
      </c>
      <c r="S11" s="131" t="n">
        <v>1.620790533681189</v>
      </c>
      <c r="T11" s="131" t="n">
        <v>0</v>
      </c>
      <c r="U11" s="131" t="n">
        <v>0</v>
      </c>
      <c r="V11" s="131" t="n">
        <v>0</v>
      </c>
      <c r="W11" s="131" t="n">
        <v>0.01770264605314329</v>
      </c>
      <c r="X11" s="102" t="n">
        <v>3505</v>
      </c>
      <c r="Y11" s="102" t="n">
        <v>10</v>
      </c>
      <c r="Z11" s="102" t="n">
        <v>7</v>
      </c>
      <c r="AA11" s="143" t="n">
        <v>56.4</v>
      </c>
      <c r="AB11" s="108" t="inlineStr">
        <is>
          <t>Watch closely</t>
        </is>
      </c>
    </row>
    <row r="12">
      <c r="A12" s="102" t="inlineStr">
        <is>
          <t>TikTok</t>
        </is>
      </c>
      <c r="B12" s="102" t="inlineStr">
        <is>
          <t>TikTok</t>
        </is>
      </c>
      <c r="C12" s="102" t="inlineStr">
        <is>
          <t>TT_AMUR_TREND_12s_Reveal_v2</t>
        </is>
      </c>
      <c r="D12" s="102" t="inlineStr">
        <is>
          <t>Video 9:16</t>
        </is>
      </c>
      <c r="E12" s="102" t="inlineStr">
        <is>
          <t>Price / offer</t>
        </is>
      </c>
      <c r="F12" s="102" t="inlineStr">
        <is>
          <t>Do it for the R3 599</t>
        </is>
      </c>
      <c r="G12" s="103" t="n">
        <v>46249</v>
      </c>
      <c r="H12" s="103" t="n">
        <v>46265</v>
      </c>
      <c r="I12" s="102" t="n">
        <v>17</v>
      </c>
      <c r="J12" s="129" t="n">
        <v>5812.530000000002</v>
      </c>
      <c r="K12" s="102" t="n">
        <v>158531</v>
      </c>
      <c r="L12" s="102" t="n">
        <v>86689</v>
      </c>
      <c r="M12" s="142" t="n">
        <v>1.828732595831074</v>
      </c>
      <c r="N12" s="131" t="n">
        <v>0.01109407414088572</v>
      </c>
      <c r="O12" s="131" t="n">
        <v>0.008365418270913546</v>
      </c>
      <c r="P12" s="131" t="n">
        <v>-0.2459561595965977</v>
      </c>
      <c r="Q12" s="129" t="n">
        <v>231.505</v>
      </c>
      <c r="R12" s="129" t="n">
        <v>1099.19</v>
      </c>
      <c r="S12" s="131" t="n">
        <v>3.748018401330425</v>
      </c>
      <c r="T12" s="131" t="n">
        <v>0.3183478310235853</v>
      </c>
      <c r="U12" s="131" t="n">
        <v>0.2800190219545058</v>
      </c>
      <c r="V12" s="131" t="n">
        <v>0.5340810018229373</v>
      </c>
      <c r="W12" s="131" t="n">
        <v>0.04012464439131778</v>
      </c>
      <c r="X12" s="102" t="n">
        <v>6361</v>
      </c>
      <c r="Y12" s="102" t="n">
        <v>13</v>
      </c>
      <c r="Z12" s="102" t="n">
        <v>8</v>
      </c>
      <c r="AA12" s="143" t="n">
        <v>56.4</v>
      </c>
      <c r="AB12" s="108" t="inlineStr">
        <is>
          <t>Watch closely</t>
        </is>
      </c>
    </row>
    <row r="13">
      <c r="A13" s="102" t="inlineStr">
        <is>
          <t>Meta (FB/IG)</t>
        </is>
      </c>
      <c r="B13" s="102" t="inlineStr">
        <is>
          <t>Meta</t>
        </is>
      </c>
      <c r="C13" s="102" t="inlineStr">
        <is>
          <t>PANTERA_CAR_5card_Premium_v1</t>
        </is>
      </c>
      <c r="D13" s="102" t="inlineStr">
        <is>
          <t>Carousel</t>
        </is>
      </c>
      <c r="E13" s="102" t="inlineStr">
        <is>
          <t>Price / offer</t>
        </is>
      </c>
      <c r="F13" s="102" t="inlineStr">
        <is>
          <t>Five things that surprise PANTERA drivers</t>
        </is>
      </c>
      <c r="G13" s="103" t="n">
        <v>46235</v>
      </c>
      <c r="H13" s="103" t="n">
        <v>46265</v>
      </c>
      <c r="I13" s="102" t="n">
        <v>31</v>
      </c>
      <c r="J13" s="129" t="n">
        <v>10762.53</v>
      </c>
      <c r="K13" s="102" t="n">
        <v>142988</v>
      </c>
      <c r="L13" s="102" t="n">
        <v>88398</v>
      </c>
      <c r="M13" s="142" t="n">
        <v>1.617547908323718</v>
      </c>
      <c r="N13" s="131" t="n">
        <v>0.01602992252204114</v>
      </c>
      <c r="O13" s="131" t="n">
        <v>0.00969142502713599</v>
      </c>
      <c r="P13" s="131" t="n">
        <v>-0.3954166020571666</v>
      </c>
      <c r="Q13" s="129" t="n">
        <v>174.928</v>
      </c>
      <c r="R13" s="129" t="n">
        <v>566.6</v>
      </c>
      <c r="S13" s="131" t="n">
        <v>2.239046922162261</v>
      </c>
      <c r="T13" s="131" t="n">
        <v>0</v>
      </c>
      <c r="U13" s="131" t="n">
        <v>0</v>
      </c>
      <c r="V13" s="131" t="n">
        <v>0</v>
      </c>
      <c r="W13" s="131" t="n">
        <v>0.02299493663803956</v>
      </c>
      <c r="X13" s="102" t="n">
        <v>3288</v>
      </c>
      <c r="Y13" s="102" t="n">
        <v>33</v>
      </c>
      <c r="Z13" s="102" t="n">
        <v>18</v>
      </c>
      <c r="AA13" s="143" t="n">
        <v>56.3</v>
      </c>
      <c r="AB13" s="108" t="inlineStr">
        <is>
          <t>Watch closely</t>
        </is>
      </c>
    </row>
    <row r="14">
      <c r="A14" s="102" t="inlineStr">
        <is>
          <t>Meta (FB/IG)</t>
        </is>
      </c>
      <c r="B14" s="102" t="inlineStr">
        <is>
          <t>Meta</t>
        </is>
      </c>
      <c r="C14" s="102" t="inlineStr">
        <is>
          <t>JAVAN_STA_Offer_10Dep_v1</t>
        </is>
      </c>
      <c r="D14" s="102" t="inlineStr">
        <is>
          <t>Static 1:1</t>
        </is>
      </c>
      <c r="E14" s="102" t="inlineStr">
        <is>
          <t>Price / offer</t>
        </is>
      </c>
      <c r="F14" s="102" t="inlineStr">
        <is>
          <t>R4 299pm. 10% deposit.</t>
        </is>
      </c>
      <c r="G14" s="103" t="n">
        <v>46235</v>
      </c>
      <c r="H14" s="103" t="n">
        <v>46265</v>
      </c>
      <c r="I14" s="102" t="n">
        <v>31</v>
      </c>
      <c r="J14" s="129" t="n">
        <v>12804.51</v>
      </c>
      <c r="K14" s="102" t="n">
        <v>179036</v>
      </c>
      <c r="L14" s="102" t="n">
        <v>114379</v>
      </c>
      <c r="M14" s="142" t="n">
        <v>1.565287334213448</v>
      </c>
      <c r="N14" s="131" t="n">
        <v>0.01899839860241665</v>
      </c>
      <c r="O14" s="131" t="n">
        <v>0.01128489408038012</v>
      </c>
      <c r="P14" s="131" t="n">
        <v>-0.4060081422365436</v>
      </c>
      <c r="Q14" s="129" t="n">
        <v>201.822</v>
      </c>
      <c r="R14" s="129" t="n">
        <v>468.1266666666666</v>
      </c>
      <c r="S14" s="131" t="n">
        <v>1.319502664063713</v>
      </c>
      <c r="T14" s="131" t="n">
        <v>0</v>
      </c>
      <c r="U14" s="131" t="n">
        <v>0</v>
      </c>
      <c r="V14" s="131" t="n">
        <v>0</v>
      </c>
      <c r="W14" s="131" t="n">
        <v>0.02477713979311423</v>
      </c>
      <c r="X14" s="102" t="n">
        <v>4436</v>
      </c>
      <c r="Y14" s="102" t="n">
        <v>43</v>
      </c>
      <c r="Z14" s="102" t="n">
        <v>27</v>
      </c>
      <c r="AA14" s="143" t="n">
        <v>56.1</v>
      </c>
      <c r="AB14" s="108" t="inlineStr">
        <is>
          <t>Watch closely</t>
        </is>
      </c>
    </row>
    <row r="15">
      <c r="A15" s="102" t="inlineStr">
        <is>
          <t>Meta (FB/IG)</t>
        </is>
      </c>
      <c r="B15" s="102" t="inlineStr">
        <is>
          <t>Meta</t>
        </is>
      </c>
      <c r="C15" s="102" t="inlineStr">
        <is>
          <t>JAVAN_CAR_5card_Interior_v1</t>
        </is>
      </c>
      <c r="D15" s="102" t="inlineStr">
        <is>
          <t>Carousel</t>
        </is>
      </c>
      <c r="E15" s="102" t="inlineStr">
        <is>
          <t>Lifestyle / utility</t>
        </is>
      </c>
      <c r="F15" s="102" t="inlineStr">
        <is>
          <t>Step inside the JAVAN</t>
        </is>
      </c>
      <c r="G15" s="103" t="n">
        <v>46235</v>
      </c>
      <c r="H15" s="103" t="n">
        <v>46265</v>
      </c>
      <c r="I15" s="102" t="n">
        <v>31</v>
      </c>
      <c r="J15" s="129" t="n">
        <v>10671.1</v>
      </c>
      <c r="K15" s="102" t="n">
        <v>136399</v>
      </c>
      <c r="L15" s="102" t="n">
        <v>86737</v>
      </c>
      <c r="M15" s="142" t="n">
        <v>1.572558423740734</v>
      </c>
      <c r="N15" s="131" t="n">
        <v>0.02077175041942958</v>
      </c>
      <c r="O15" s="131" t="n">
        <v>0.01292192027566763</v>
      </c>
      <c r="P15" s="131" t="n">
        <v>-0.3779089381133394</v>
      </c>
      <c r="Q15" s="129" t="n">
        <v>114.57875</v>
      </c>
      <c r="R15" s="129" t="n">
        <v>365.68</v>
      </c>
      <c r="S15" s="131" t="n">
        <v>2.191516751579154</v>
      </c>
      <c r="T15" s="131" t="n">
        <v>0</v>
      </c>
      <c r="U15" s="131" t="n">
        <v>0</v>
      </c>
      <c r="V15" s="131" t="n">
        <v>0</v>
      </c>
      <c r="W15" s="131" t="n">
        <v>0.02408375427972346</v>
      </c>
      <c r="X15" s="102" t="n">
        <v>3285</v>
      </c>
      <c r="Y15" s="102" t="n">
        <v>39</v>
      </c>
      <c r="Z15" s="102" t="n">
        <v>26</v>
      </c>
      <c r="AA15" s="143" t="n">
        <v>55.4</v>
      </c>
      <c r="AB15" s="108" t="inlineStr">
        <is>
          <t>Watch closely</t>
        </is>
      </c>
    </row>
    <row r="16">
      <c r="A16" s="102" t="inlineStr">
        <is>
          <t>TikTok</t>
        </is>
      </c>
      <c r="B16" s="102" t="inlineStr">
        <is>
          <t>TikTok</t>
        </is>
      </c>
      <c r="C16" s="102" t="inlineStr">
        <is>
          <t>TT_SPARK_@thecarplug_Compare_v1</t>
        </is>
      </c>
      <c r="D16" s="102" t="inlineStr">
        <is>
          <t>Spark Ad</t>
        </is>
      </c>
      <c r="E16" s="102" t="inlineStr">
        <is>
          <t>Price / offer</t>
        </is>
      </c>
      <c r="F16" s="102" t="inlineStr">
        <is>
          <t>Creator handle: @thecarplug</t>
        </is>
      </c>
      <c r="G16" s="103" t="n">
        <v>46245</v>
      </c>
      <c r="H16" s="103" t="n">
        <v>46265</v>
      </c>
      <c r="I16" s="102" t="n">
        <v>21</v>
      </c>
      <c r="J16" s="129" t="n">
        <v>3714.370000000001</v>
      </c>
      <c r="K16" s="102" t="n">
        <v>96303</v>
      </c>
      <c r="L16" s="102" t="n">
        <v>52430</v>
      </c>
      <c r="M16" s="142" t="n">
        <v>1.836791913026893</v>
      </c>
      <c r="N16" s="131" t="n">
        <v>0.01296423396629299</v>
      </c>
      <c r="O16" s="131" t="n">
        <v>0.01046401921262544</v>
      </c>
      <c r="P16" s="131" t="n">
        <v>-0.1928548003814272</v>
      </c>
      <c r="Q16" s="129" t="n">
        <v>263.15</v>
      </c>
      <c r="R16" s="129" t="n">
        <v>572.1799999999999</v>
      </c>
      <c r="S16" s="131" t="n">
        <v>1.174349230476914</v>
      </c>
      <c r="T16" s="131" t="n">
        <v>0.3219941227168416</v>
      </c>
      <c r="U16" s="131" t="n">
        <v>0.2726305266213035</v>
      </c>
      <c r="V16" s="131" t="n">
        <v>0.5218323712470573</v>
      </c>
      <c r="W16" s="131" t="n">
        <v>0.04144211499122561</v>
      </c>
      <c r="X16" s="102" t="n">
        <v>3991</v>
      </c>
      <c r="Y16" s="102" t="n">
        <v>8</v>
      </c>
      <c r="Z16" s="102" t="n">
        <v>4</v>
      </c>
      <c r="AA16" s="143" t="n">
        <v>55.3</v>
      </c>
      <c r="AB16" s="108" t="inlineStr">
        <is>
          <t>Watch closely</t>
        </is>
      </c>
    </row>
    <row r="17">
      <c r="A17" s="102" t="inlineStr">
        <is>
          <t>X</t>
        </is>
      </c>
      <c r="B17" s="102" t="inlineStr">
        <is>
          <t>X</t>
        </is>
      </c>
      <c r="C17" s="102" t="inlineStr">
        <is>
          <t>X_VID_15s_RangeFilm_v1</t>
        </is>
      </c>
      <c r="D17" s="102" t="inlineStr">
        <is>
          <t>Video 16:9</t>
        </is>
      </c>
      <c r="E17" s="102" t="inlineStr">
        <is>
          <t>Price / offer</t>
        </is>
      </c>
      <c r="F17" s="102" t="inlineStr">
        <is>
          <t>Meet the Lepas range</t>
        </is>
      </c>
      <c r="G17" s="103" t="n">
        <v>46235</v>
      </c>
      <c r="H17" s="103" t="n">
        <v>46265</v>
      </c>
      <c r="I17" s="102" t="n">
        <v>31</v>
      </c>
      <c r="J17" s="129" t="n">
        <v>16718.74</v>
      </c>
      <c r="K17" s="102" t="n">
        <v>288082</v>
      </c>
      <c r="L17" s="102" t="n">
        <v>187564</v>
      </c>
      <c r="M17" s="142" t="n">
        <v>1.535913075003732</v>
      </c>
      <c r="N17" s="131" t="n">
        <v>0.007599544937428896</v>
      </c>
      <c r="O17" s="131" t="n">
        <v>0.005210377930837586</v>
      </c>
      <c r="P17" s="131" t="n">
        <v>-0.3143829040110422</v>
      </c>
      <c r="Q17" s="129" t="n">
        <v>361.9225</v>
      </c>
      <c r="R17" s="129" t="n">
        <v>1802.89</v>
      </c>
      <c r="S17" s="131" t="n">
        <v>3.98142558144354</v>
      </c>
      <c r="T17" s="131" t="n">
        <v>0.3101373914371602</v>
      </c>
      <c r="U17" s="131" t="n">
        <v>0.2854776428451508</v>
      </c>
      <c r="V17" s="131" t="n">
        <v>0.5452963232413678</v>
      </c>
      <c r="W17" s="131" t="n">
        <v>0.01790115314389653</v>
      </c>
      <c r="X17" s="102" t="n">
        <v>5157</v>
      </c>
      <c r="Y17" s="102" t="n">
        <v>21</v>
      </c>
      <c r="Z17" s="102" t="n">
        <v>14</v>
      </c>
      <c r="AA17" s="143" t="n">
        <v>55</v>
      </c>
      <c r="AB17" s="108" t="inlineStr">
        <is>
          <t>Watch closely</t>
        </is>
      </c>
    </row>
    <row r="18">
      <c r="A18" s="102" t="inlineStr">
        <is>
          <t>TikTok</t>
        </is>
      </c>
      <c r="B18" s="102" t="inlineStr">
        <is>
          <t>TikTok</t>
        </is>
      </c>
      <c r="C18" s="102" t="inlineStr">
        <is>
          <t>TT_PANTERA_UGC_18s_NightRun_v1</t>
        </is>
      </c>
      <c r="D18" s="102" t="inlineStr">
        <is>
          <t>Video 9:16</t>
        </is>
      </c>
      <c r="E18" s="102" t="inlineStr">
        <is>
          <t>Price / offer</t>
        </is>
      </c>
      <c r="F18" s="102" t="inlineStr">
        <is>
          <t>Night run in the PANTERA</t>
        </is>
      </c>
      <c r="G18" s="103" t="n">
        <v>46235</v>
      </c>
      <c r="H18" s="103" t="n">
        <v>46265</v>
      </c>
      <c r="I18" s="102" t="n">
        <v>31</v>
      </c>
      <c r="J18" s="129" t="n">
        <v>11212.24</v>
      </c>
      <c r="K18" s="102" t="n">
        <v>289534</v>
      </c>
      <c r="L18" s="102" t="n">
        <v>167244</v>
      </c>
      <c r="M18" s="142" t="n">
        <v>1.731207098610414</v>
      </c>
      <c r="N18" s="131" t="n">
        <v>0.01007834486955199</v>
      </c>
      <c r="O18" s="131" t="n">
        <v>0.00822185061315496</v>
      </c>
      <c r="P18" s="131" t="n">
        <v>-0.1842062640668056</v>
      </c>
      <c r="Q18" s="129" t="n">
        <v>241.2825</v>
      </c>
      <c r="R18" s="129" t="n">
        <v>535.75</v>
      </c>
      <c r="S18" s="131" t="n">
        <v>1.220426263819382</v>
      </c>
      <c r="T18" s="131" t="n">
        <v>0.2930847499775501</v>
      </c>
      <c r="U18" s="131" t="n">
        <v>0.2827665040420467</v>
      </c>
      <c r="V18" s="131" t="n">
        <v>0.5407857833085861</v>
      </c>
      <c r="W18" s="131" t="n">
        <v>0.03888317088839308</v>
      </c>
      <c r="X18" s="102" t="n">
        <v>11258</v>
      </c>
      <c r="Y18" s="102" t="n">
        <v>26</v>
      </c>
      <c r="Z18" s="102" t="n">
        <v>18</v>
      </c>
      <c r="AA18" s="143" t="n">
        <v>53.6</v>
      </c>
      <c r="AB18" s="108" t="inlineStr">
        <is>
          <t>Watch closely</t>
        </is>
      </c>
    </row>
    <row r="19">
      <c r="A19" s="102" t="inlineStr">
        <is>
          <t>Meta (FB/IG)</t>
        </is>
      </c>
      <c r="B19" s="102" t="inlineStr">
        <is>
          <t>Meta</t>
        </is>
      </c>
      <c r="C19" s="102" t="inlineStr">
        <is>
          <t>RMKT_STA_BookNow_v1</t>
        </is>
      </c>
      <c r="D19" s="102" t="inlineStr">
        <is>
          <t>Static 1:1</t>
        </is>
      </c>
      <c r="E19" s="102" t="inlineStr">
        <is>
          <t>Price / offer</t>
        </is>
      </c>
      <c r="F19" s="102" t="inlineStr">
        <is>
          <t>Your test drive is 2 minutes away</t>
        </is>
      </c>
      <c r="G19" s="103" t="n">
        <v>46235</v>
      </c>
      <c r="H19" s="103" t="n">
        <v>46265</v>
      </c>
      <c r="I19" s="102" t="n">
        <v>31</v>
      </c>
      <c r="J19" s="129" t="n">
        <v>8378.52</v>
      </c>
      <c r="K19" s="102" t="n">
        <v>96194</v>
      </c>
      <c r="L19" s="102" t="n">
        <v>60896</v>
      </c>
      <c r="M19" s="142" t="n">
        <v>1.579643983184446</v>
      </c>
      <c r="N19" s="131" t="n">
        <v>0.02287196415939637</v>
      </c>
      <c r="O19" s="131" t="n">
        <v>0.01601191584434928</v>
      </c>
      <c r="P19" s="131" t="n">
        <v>-0.299932627877471</v>
      </c>
      <c r="Q19" s="129" t="n">
        <v>114.7116666666667</v>
      </c>
      <c r="R19" s="129" t="n">
        <v>233.055</v>
      </c>
      <c r="S19" s="131" t="n">
        <v>1.031659087276795</v>
      </c>
      <c r="T19" s="131" t="n">
        <v>0</v>
      </c>
      <c r="U19" s="131" t="n">
        <v>0</v>
      </c>
      <c r="V19" s="131" t="n">
        <v>0</v>
      </c>
      <c r="W19" s="131" t="n">
        <v>0.02198681830467597</v>
      </c>
      <c r="X19" s="102" t="n">
        <v>2115</v>
      </c>
      <c r="Y19" s="102" t="n">
        <v>50</v>
      </c>
      <c r="Z19" s="102" t="n">
        <v>31</v>
      </c>
      <c r="AA19" s="143" t="n">
        <v>53.2</v>
      </c>
      <c r="AB19" s="108" t="inlineStr">
        <is>
          <t>Watch closely</t>
        </is>
      </c>
    </row>
    <row r="20">
      <c r="A20" s="102" t="inlineStr">
        <is>
          <t>Meta (FB/IG)</t>
        </is>
      </c>
      <c r="B20" s="102" t="inlineStr">
        <is>
          <t>Meta</t>
        </is>
      </c>
      <c r="C20" s="102" t="inlineStr">
        <is>
          <t>AMUR_VID_20s_OwnerStory_v1</t>
        </is>
      </c>
      <c r="D20" s="102" t="inlineStr">
        <is>
          <t>Video 4:5</t>
        </is>
      </c>
      <c r="E20" s="102" t="inlineStr">
        <is>
          <t>Price / offer</t>
        </is>
      </c>
      <c r="F20" s="102" t="inlineStr">
        <is>
          <t>She booked a test drive on a Tuesday</t>
        </is>
      </c>
      <c r="G20" s="103" t="n">
        <v>46235</v>
      </c>
      <c r="H20" s="103" t="n">
        <v>46265</v>
      </c>
      <c r="I20" s="102" t="n">
        <v>31</v>
      </c>
      <c r="J20" s="129" t="n">
        <v>7099.95</v>
      </c>
      <c r="K20" s="102" t="n">
        <v>85151</v>
      </c>
      <c r="L20" s="102" t="n">
        <v>53376</v>
      </c>
      <c r="M20" s="142" t="n">
        <v>1.595305005995204</v>
      </c>
      <c r="N20" s="131" t="n">
        <v>0.01752779594506213</v>
      </c>
      <c r="O20" s="131" t="n">
        <v>0.0133350429542249</v>
      </c>
      <c r="P20" s="131" t="n">
        <v>-0.2392059448876913</v>
      </c>
      <c r="Q20" s="129" t="n">
        <v>306.755</v>
      </c>
      <c r="R20" s="129" t="n">
        <v>727.6</v>
      </c>
      <c r="S20" s="131" t="n">
        <v>1.371925477987319</v>
      </c>
      <c r="T20" s="131" t="n">
        <v>0.3023687331916243</v>
      </c>
      <c r="U20" s="131" t="n">
        <v>0.2969666368897347</v>
      </c>
      <c r="V20" s="131" t="n">
        <v>0.5611333359226318</v>
      </c>
      <c r="W20" s="131" t="n">
        <v>0.02388697725217555</v>
      </c>
      <c r="X20" s="102" t="n">
        <v>2034</v>
      </c>
      <c r="Y20" s="102" t="n">
        <v>20</v>
      </c>
      <c r="Z20" s="102" t="n">
        <v>12</v>
      </c>
      <c r="AA20" s="143" t="n">
        <v>53.2</v>
      </c>
      <c r="AB20" s="108" t="inlineStr">
        <is>
          <t>Watch closely</t>
        </is>
      </c>
    </row>
    <row r="21">
      <c r="A21" s="102" t="inlineStr">
        <is>
          <t>Meta (FB/IG)</t>
        </is>
      </c>
      <c r="B21" s="102" t="inlineStr">
        <is>
          <t>Meta</t>
        </is>
      </c>
      <c r="C21" s="102" t="inlineStr">
        <is>
          <t>RMKT_VID_10s_Recap_v1</t>
        </is>
      </c>
      <c r="D21" s="102" t="inlineStr">
        <is>
          <t>Video 9:16</t>
        </is>
      </c>
      <c r="E21" s="102" t="inlineStr">
        <is>
          <t>Lifestyle / utility</t>
        </is>
      </c>
      <c r="F21" s="102" t="inlineStr">
        <is>
          <t>10 seconds. Then book.</t>
        </is>
      </c>
      <c r="G21" s="103" t="n">
        <v>46235</v>
      </c>
      <c r="H21" s="103" t="n">
        <v>46265</v>
      </c>
      <c r="I21" s="102" t="n">
        <v>31</v>
      </c>
      <c r="J21" s="129" t="n">
        <v>8146.94</v>
      </c>
      <c r="K21" s="102" t="n">
        <v>89171</v>
      </c>
      <c r="L21" s="102" t="n">
        <v>57318</v>
      </c>
      <c r="M21" s="142" t="n">
        <v>1.555724205310723</v>
      </c>
      <c r="N21" s="131" t="n">
        <v>0.02524190155658393</v>
      </c>
      <c r="O21" s="131" t="n">
        <v>0.02221018418201517</v>
      </c>
      <c r="P21" s="131" t="n">
        <v>-0.1201065366558324</v>
      </c>
      <c r="Q21" s="129" t="n">
        <v>106.9666666666667</v>
      </c>
      <c r="R21" s="129" t="n">
        <v>291.1833333333333</v>
      </c>
      <c r="S21" s="131" t="n">
        <v>1.722187597382361</v>
      </c>
      <c r="T21" s="131" t="n">
        <v>0.3105045362281459</v>
      </c>
      <c r="U21" s="131" t="n">
        <v>0.2806992198786478</v>
      </c>
      <c r="V21" s="131" t="n">
        <v>0.5305818405085235</v>
      </c>
      <c r="W21" s="131" t="n">
        <v>0.02232788686904935</v>
      </c>
      <c r="X21" s="102" t="n">
        <v>1991</v>
      </c>
      <c r="Y21" s="102" t="n">
        <v>53</v>
      </c>
      <c r="Z21" s="102" t="n">
        <v>41</v>
      </c>
      <c r="AA21" s="143" t="n">
        <v>50</v>
      </c>
      <c r="AB21" s="108" t="inlineStr">
        <is>
          <t>Watch closely</t>
        </is>
      </c>
    </row>
    <row r="22">
      <c r="A22" s="102" t="inlineStr">
        <is>
          <t>Programmatic</t>
        </is>
      </c>
      <c r="B22" s="102" t="inlineStr">
        <is>
          <t>YouTube</t>
        </is>
      </c>
      <c r="C22" s="102" t="inlineStr">
        <is>
          <t>PROG_OLV_10s_BookNow_v1</t>
        </is>
      </c>
      <c r="D22" s="102" t="inlineStr">
        <is>
          <t>Video 16:9 Bumper</t>
        </is>
      </c>
      <c r="E22" s="102" t="inlineStr">
        <is>
          <t>Price / offer</t>
        </is>
      </c>
      <c r="F22" s="102" t="inlineStr">
        <is>
          <t>Book your test drive</t>
        </is>
      </c>
      <c r="G22" s="103" t="n">
        <v>46235</v>
      </c>
      <c r="H22" s="103" t="n">
        <v>46265</v>
      </c>
      <c r="I22" s="102" t="n">
        <v>31</v>
      </c>
      <c r="J22" s="129" t="n">
        <v>2001.41</v>
      </c>
      <c r="K22" s="102" t="n">
        <v>57430</v>
      </c>
      <c r="L22" s="102" t="n">
        <v>29732</v>
      </c>
      <c r="M22" s="142" t="n">
        <v>1.931588860487017</v>
      </c>
      <c r="N22" s="131" t="n">
        <v>0.005656329237370782</v>
      </c>
      <c r="O22" s="131" t="n">
        <v>0.002476950598596395</v>
      </c>
      <c r="P22" s="131" t="n">
        <v>-0.5620922165860788</v>
      </c>
      <c r="Q22" s="129" t="n">
        <v>181.71</v>
      </c>
      <c r="R22" s="129" t="n">
        <v>224.91</v>
      </c>
      <c r="S22" s="131" t="n">
        <v>0.2377414561664191</v>
      </c>
      <c r="T22" s="131" t="n">
        <v>0.3294445411805677</v>
      </c>
      <c r="U22" s="131" t="n">
        <v>0.2791754756871036</v>
      </c>
      <c r="V22" s="131" t="n">
        <v>0.5275898520084567</v>
      </c>
      <c r="W22" s="131" t="n">
        <v>0.00351732543966568</v>
      </c>
      <c r="X22" s="102" t="n">
        <v>202</v>
      </c>
      <c r="Y22" s="102" t="n">
        <v>8</v>
      </c>
      <c r="Z22" s="102" t="n">
        <v>4</v>
      </c>
      <c r="AA22" s="143" t="n">
        <v>48.1</v>
      </c>
      <c r="AB22" s="108" t="inlineStr">
        <is>
          <t>Watch closely</t>
        </is>
      </c>
    </row>
    <row r="23">
      <c r="A23" s="102" t="inlineStr">
        <is>
          <t>Meta (FB/IG)</t>
        </is>
      </c>
      <c r="B23" s="102" t="inlineStr">
        <is>
          <t>Meta</t>
        </is>
      </c>
      <c r="C23" s="102" t="inlineStr">
        <is>
          <t>AMUR_VID_15s_CityDrive_v2</t>
        </is>
      </c>
      <c r="D23" s="102" t="inlineStr">
        <is>
          <t>Video 9:16</t>
        </is>
      </c>
      <c r="E23" s="102" t="inlineStr">
        <is>
          <t>Price / offer</t>
        </is>
      </c>
      <c r="F23" s="102" t="inlineStr">
        <is>
          <t>Zero deposit. Real drive. Today.</t>
        </is>
      </c>
      <c r="G23" s="103" t="n">
        <v>46247</v>
      </c>
      <c r="H23" s="103" t="n">
        <v>46265</v>
      </c>
      <c r="I23" s="102" t="n">
        <v>19</v>
      </c>
      <c r="J23" s="129" t="n">
        <v>5707.76</v>
      </c>
      <c r="K23" s="102" t="n">
        <v>74420</v>
      </c>
      <c r="L23" s="102" t="n">
        <v>44917</v>
      </c>
      <c r="M23" s="142" t="n">
        <v>1.656833715519736</v>
      </c>
      <c r="N23" s="131" t="n">
        <v>0.01593716638706726</v>
      </c>
      <c r="O23" s="131" t="n">
        <v>0.01051887903289112</v>
      </c>
      <c r="P23" s="131" t="n">
        <v>-0.3399780878596451</v>
      </c>
      <c r="Q23" s="129" t="n">
        <v>323.2566666666667</v>
      </c>
      <c r="R23" s="129" t="n">
        <v>500.455</v>
      </c>
      <c r="S23" s="131" t="n">
        <v>0.5481660599936067</v>
      </c>
      <c r="T23" s="131" t="n">
        <v>0.3011287288363343</v>
      </c>
      <c r="U23" s="131" t="n">
        <v>0.2741186970102633</v>
      </c>
      <c r="V23" s="131" t="n">
        <v>0.5265729585006693</v>
      </c>
      <c r="W23" s="131" t="n">
        <v>0.02401236226820747</v>
      </c>
      <c r="X23" s="102" t="n">
        <v>1787</v>
      </c>
      <c r="Y23" s="102" t="n">
        <v>17</v>
      </c>
      <c r="Z23" s="102" t="n">
        <v>13</v>
      </c>
      <c r="AA23" s="143" t="n">
        <v>46.6</v>
      </c>
      <c r="AB23" s="108" t="inlineStr">
        <is>
          <t>Watch closely</t>
        </is>
      </c>
    </row>
    <row r="24">
      <c r="A24" s="102" t="inlineStr">
        <is>
          <t>TikTok</t>
        </is>
      </c>
      <c r="B24" s="102" t="inlineStr">
        <is>
          <t>TikTok</t>
        </is>
      </c>
      <c r="C24" s="102" t="inlineStr">
        <is>
          <t>TT_RMKT_10s_BookNow_v1</t>
        </is>
      </c>
      <c r="D24" s="102" t="inlineStr">
        <is>
          <t>Video 9:16</t>
        </is>
      </c>
      <c r="E24" s="102" t="inlineStr">
        <is>
          <t>Price / offer</t>
        </is>
      </c>
      <c r="F24" s="102" t="inlineStr">
        <is>
          <t>You watched. Now drive.</t>
        </is>
      </c>
      <c r="G24" s="103" t="n">
        <v>46235</v>
      </c>
      <c r="H24" s="103" t="n">
        <v>46265</v>
      </c>
      <c r="I24" s="102" t="n">
        <v>31</v>
      </c>
      <c r="J24" s="129" t="n">
        <v>2936.61</v>
      </c>
      <c r="K24" s="102" t="n">
        <v>62731</v>
      </c>
      <c r="L24" s="102" t="n">
        <v>35642</v>
      </c>
      <c r="M24" s="142" t="n">
        <v>1.760030301329892</v>
      </c>
      <c r="N24" s="131" t="n">
        <v>0.02144066202745909</v>
      </c>
      <c r="O24" s="131" t="n">
        <v>0.01200947225981056</v>
      </c>
      <c r="P24" s="131" t="n">
        <v>-0.43987399995252</v>
      </c>
      <c r="Q24" s="129" t="n">
        <v>236.53</v>
      </c>
      <c r="R24" s="129" t="n">
        <v>324.24</v>
      </c>
      <c r="S24" s="131" t="n">
        <v>0.3708197691624741</v>
      </c>
      <c r="T24" s="131" t="n">
        <v>0.2923275573480416</v>
      </c>
      <c r="U24" s="131" t="n">
        <v>0.291907514450867</v>
      </c>
      <c r="V24" s="131" t="n">
        <v>0.5502917439197296</v>
      </c>
      <c r="W24" s="131" t="n">
        <v>0.03682389886977731</v>
      </c>
      <c r="X24" s="102" t="n">
        <v>2310</v>
      </c>
      <c r="Y24" s="102" t="n">
        <v>13</v>
      </c>
      <c r="Z24" s="102" t="n">
        <v>3</v>
      </c>
      <c r="AA24" s="143" t="n">
        <v>45.6</v>
      </c>
      <c r="AB24" s="108" t="inlineStr">
        <is>
          <t>Watch closely</t>
        </is>
      </c>
    </row>
    <row r="25">
      <c r="A25" s="102" t="inlineStr">
        <is>
          <t>Meta (FB/IG)</t>
        </is>
      </c>
      <c r="B25" s="102" t="inlineStr">
        <is>
          <t>Meta</t>
        </is>
      </c>
      <c r="C25" s="102" t="inlineStr">
        <is>
          <t>RMKT_CAR_3card_Offers_v1</t>
        </is>
      </c>
      <c r="D25" s="102" t="inlineStr">
        <is>
          <t>Carousel</t>
        </is>
      </c>
      <c r="E25" s="102" t="inlineStr">
        <is>
          <t>Price / offer</t>
        </is>
      </c>
      <c r="F25" s="102" t="inlineStr">
        <is>
          <t>All three. One test drive slot.</t>
        </is>
      </c>
      <c r="G25" s="103" t="n">
        <v>46241</v>
      </c>
      <c r="H25" s="103" t="n">
        <v>46265</v>
      </c>
      <c r="I25" s="102" t="n">
        <v>25</v>
      </c>
      <c r="J25" s="129" t="n">
        <v>3884.87</v>
      </c>
      <c r="K25" s="102" t="n">
        <v>42819</v>
      </c>
      <c r="L25" s="102" t="n">
        <v>25851</v>
      </c>
      <c r="M25" s="142" t="n">
        <v>1.656376929325751</v>
      </c>
      <c r="N25" s="131" t="n">
        <v>0.02739467220857737</v>
      </c>
      <c r="O25" s="131" t="n">
        <v>0.01722995361166335</v>
      </c>
      <c r="P25" s="131" t="n">
        <v>-0.3710472795411439</v>
      </c>
      <c r="Q25" s="129" t="n">
        <v>110.63</v>
      </c>
      <c r="R25" s="129" t="n">
        <v>170.5033333333333</v>
      </c>
      <c r="S25" s="131" t="n">
        <v>0.5412034107686282</v>
      </c>
      <c r="T25" s="131" t="n">
        <v>0</v>
      </c>
      <c r="U25" s="131" t="n">
        <v>0</v>
      </c>
      <c r="V25" s="131" t="n">
        <v>0</v>
      </c>
      <c r="W25" s="131" t="n">
        <v>0.02234989140334898</v>
      </c>
      <c r="X25" s="102" t="n">
        <v>957</v>
      </c>
      <c r="Y25" s="102" t="n">
        <v>24</v>
      </c>
      <c r="Z25" s="102" t="n">
        <v>18</v>
      </c>
      <c r="AA25" s="143" t="n">
        <v>45</v>
      </c>
      <c r="AB25" s="108" t="inlineStr">
        <is>
          <t>Watch closely</t>
        </is>
      </c>
    </row>
    <row r="26">
      <c r="A26" s="102" t="inlineStr">
        <is>
          <t>Meta (FB/IG)</t>
        </is>
      </c>
      <c r="B26" s="102" t="inlineStr">
        <is>
          <t>Meta</t>
        </is>
      </c>
      <c r="C26" s="102" t="inlineStr">
        <is>
          <t>JAVAN_STA_Compare_SUV_v1</t>
        </is>
      </c>
      <c r="D26" s="102" t="inlineStr">
        <is>
          <t>Static 4:5</t>
        </is>
      </c>
      <c r="E26" s="102" t="inlineStr">
        <is>
          <t>Lifestyle / utility</t>
        </is>
      </c>
      <c r="F26" s="102" t="inlineStr">
        <is>
          <t>JAVAN vs the usual suspects</t>
        </is>
      </c>
      <c r="G26" s="103" t="n">
        <v>46235</v>
      </c>
      <c r="H26" s="103" t="n">
        <v>46265</v>
      </c>
      <c r="I26" s="102" t="n">
        <v>31</v>
      </c>
      <c r="J26" s="129" t="n">
        <v>4804.78</v>
      </c>
      <c r="K26" s="102" t="n">
        <v>60605</v>
      </c>
      <c r="L26" s="102" t="n">
        <v>38483</v>
      </c>
      <c r="M26" s="142" t="n">
        <v>1.574851233011979</v>
      </c>
      <c r="N26" s="131" t="n">
        <v>0.01989829759009507</v>
      </c>
      <c r="O26" s="131" t="n">
        <v>0.009950248756218905</v>
      </c>
      <c r="P26" s="131" t="n">
        <v>-0.4999447208402432</v>
      </c>
      <c r="Q26" s="129" t="n">
        <v>186.99</v>
      </c>
      <c r="R26" s="129" t="n">
        <v>252.665</v>
      </c>
      <c r="S26" s="131" t="n">
        <v>0.3512219904807744</v>
      </c>
      <c r="T26" s="131" t="n">
        <v>0</v>
      </c>
      <c r="U26" s="131" t="n">
        <v>0</v>
      </c>
      <c r="V26" s="131" t="n">
        <v>0</v>
      </c>
      <c r="W26" s="131" t="n">
        <v>0.02484943486511014</v>
      </c>
      <c r="X26" s="102" t="n">
        <v>1506</v>
      </c>
      <c r="Y26" s="102" t="n">
        <v>17</v>
      </c>
      <c r="Z26" s="102" t="n">
        <v>13</v>
      </c>
      <c r="AA26" s="144" t="n">
        <v>43.2</v>
      </c>
      <c r="AB26" s="110" t="inlineStr">
        <is>
          <t>Keep live</t>
        </is>
      </c>
    </row>
    <row r="27">
      <c r="A27" s="102" t="inlineStr">
        <is>
          <t>Programmatic</t>
        </is>
      </c>
      <c r="B27" s="102" t="inlineStr">
        <is>
          <t>Programmatic</t>
        </is>
      </c>
      <c r="C27" s="102" t="inlineStr">
        <is>
          <t>PROG_HTML5_300x250_Dealer_v1</t>
        </is>
      </c>
      <c r="D27" s="102" t="inlineStr">
        <is>
          <t>HTML5 Display 300x250</t>
        </is>
      </c>
      <c r="E27" s="102" t="inlineStr">
        <is>
          <t>Price / offer</t>
        </is>
      </c>
      <c r="F27" s="102" t="inlineStr">
        <is>
          <t>A dealer near you has slots</t>
        </is>
      </c>
      <c r="G27" s="103" t="n">
        <v>46235</v>
      </c>
      <c r="H27" s="103" t="n">
        <v>46265</v>
      </c>
      <c r="I27" s="102" t="n">
        <v>31</v>
      </c>
      <c r="J27" s="129" t="n">
        <v>3701.54</v>
      </c>
      <c r="K27" s="102" t="n">
        <v>149118</v>
      </c>
      <c r="L27" s="102" t="n">
        <v>75945</v>
      </c>
      <c r="M27" s="142" t="n">
        <v>1.963499901244321</v>
      </c>
      <c r="N27" s="131" t="n">
        <v>0.002208346024977155</v>
      </c>
      <c r="O27" s="131" t="n">
        <v>0.0008181297553792031</v>
      </c>
      <c r="P27" s="131" t="n">
        <v>-0.6295282776675968</v>
      </c>
      <c r="Q27" s="129" t="n">
        <v>0</v>
      </c>
      <c r="R27" s="129" t="n">
        <v>0</v>
      </c>
      <c r="S27" s="131" t="n">
        <v>0</v>
      </c>
      <c r="T27" s="131" t="n">
        <v>0</v>
      </c>
      <c r="U27" s="131" t="n">
        <v>0</v>
      </c>
      <c r="V27" s="131" t="n">
        <v>0</v>
      </c>
      <c r="W27" s="131" t="n">
        <v>0.003413404149733768</v>
      </c>
      <c r="X27" s="102" t="n">
        <v>509</v>
      </c>
      <c r="Y27" s="102" t="n">
        <v>3</v>
      </c>
      <c r="Z27" s="102" t="n">
        <v>1</v>
      </c>
      <c r="AA27" s="144" t="n">
        <v>42.6</v>
      </c>
      <c r="AB27" s="110" t="inlineStr">
        <is>
          <t>Keep live</t>
        </is>
      </c>
    </row>
    <row r="28">
      <c r="A28" s="102" t="inlineStr">
        <is>
          <t>Programmatic</t>
        </is>
      </c>
      <c r="B28" s="102" t="inlineStr">
        <is>
          <t>Programmatic</t>
        </is>
      </c>
      <c r="C28" s="102" t="inlineStr">
        <is>
          <t>PROG_DYN_300x250_ModelSeen_v1</t>
        </is>
      </c>
      <c r="D28" s="102" t="inlineStr">
        <is>
          <t>Dynamic Display 300x250</t>
        </is>
      </c>
      <c r="E28" s="102" t="inlineStr">
        <is>
          <t>Lifestyle / utility</t>
        </is>
      </c>
      <c r="F28" s="102" t="inlineStr">
        <is>
          <t>Still thinking about it?</t>
        </is>
      </c>
      <c r="G28" s="103" t="n">
        <v>46235</v>
      </c>
      <c r="H28" s="103" t="n">
        <v>46265</v>
      </c>
      <c r="I28" s="102" t="n">
        <v>31</v>
      </c>
      <c r="J28" s="129" t="n">
        <v>7278.429999999999</v>
      </c>
      <c r="K28" s="102" t="n">
        <v>217188</v>
      </c>
      <c r="L28" s="102" t="n">
        <v>114963</v>
      </c>
      <c r="M28" s="142" t="n">
        <v>1.8891991336343</v>
      </c>
      <c r="N28" s="131" t="n">
        <v>0.005292633392824174</v>
      </c>
      <c r="O28" s="131" t="n">
        <v>0.003339350180505415</v>
      </c>
      <c r="P28" s="131" t="n">
        <v>-0.369056964150785</v>
      </c>
      <c r="Q28" s="129" t="n">
        <v>197.6</v>
      </c>
      <c r="R28" s="129" t="n">
        <v>261.9833333333333</v>
      </c>
      <c r="S28" s="131" t="n">
        <v>0.3258265856950066</v>
      </c>
      <c r="T28" s="131" t="n">
        <v>0</v>
      </c>
      <c r="U28" s="131" t="n">
        <v>0</v>
      </c>
      <c r="V28" s="131" t="n">
        <v>0</v>
      </c>
      <c r="W28" s="131" t="n">
        <v>0.003766322264581837</v>
      </c>
      <c r="X28" s="102" t="n">
        <v>818</v>
      </c>
      <c r="Y28" s="102" t="n">
        <v>23</v>
      </c>
      <c r="Z28" s="102" t="n">
        <v>13</v>
      </c>
      <c r="AA28" s="144" t="n">
        <v>42.3</v>
      </c>
      <c r="AB28" s="110" t="inlineStr">
        <is>
          <t>Keep live</t>
        </is>
      </c>
    </row>
    <row r="29">
      <c r="A29" s="102" t="inlineStr">
        <is>
          <t>Programmatic</t>
        </is>
      </c>
      <c r="B29" s="102" t="inlineStr">
        <is>
          <t>Programmatic</t>
        </is>
      </c>
      <c r="C29" s="102" t="inlineStr">
        <is>
          <t>PROG_DYN_160x600_ModelSeen_v1</t>
        </is>
      </c>
      <c r="D29" s="102" t="inlineStr">
        <is>
          <t>Dynamic Display 160x600</t>
        </is>
      </c>
      <c r="E29" s="102" t="inlineStr">
        <is>
          <t>Lifestyle / utility</t>
        </is>
      </c>
      <c r="F29" s="102" t="inlineStr">
        <is>
          <t>Still thinking about it?</t>
        </is>
      </c>
      <c r="G29" s="103" t="n">
        <v>46235</v>
      </c>
      <c r="H29" s="103" t="n">
        <v>46265</v>
      </c>
      <c r="I29" s="102" t="n">
        <v>31</v>
      </c>
      <c r="J29" s="129" t="n">
        <v>3216.77</v>
      </c>
      <c r="K29" s="102" t="n">
        <v>99548</v>
      </c>
      <c r="L29" s="102" t="n">
        <v>52533</v>
      </c>
      <c r="M29" s="142" t="n">
        <v>1.894961262444559</v>
      </c>
      <c r="N29" s="131" t="n">
        <v>0.004354136429608127</v>
      </c>
      <c r="O29" s="131" t="n">
        <v>0.002117699509585377</v>
      </c>
      <c r="P29" s="131" t="n">
        <v>-0.5136350126318918</v>
      </c>
      <c r="Q29" s="129" t="n">
        <v>284.36</v>
      </c>
      <c r="R29" s="129" t="n">
        <v>322.51</v>
      </c>
      <c r="S29" s="131" t="n">
        <v>0.1341609227739484</v>
      </c>
      <c r="T29" s="131" t="n">
        <v>0</v>
      </c>
      <c r="U29" s="131" t="n">
        <v>0</v>
      </c>
      <c r="V29" s="131" t="n">
        <v>0</v>
      </c>
      <c r="W29" s="131" t="n">
        <v>0.003556073452003054</v>
      </c>
      <c r="X29" s="102" t="n">
        <v>354</v>
      </c>
      <c r="Y29" s="102" t="n">
        <v>12</v>
      </c>
      <c r="Z29" s="102" t="n">
        <v>6</v>
      </c>
      <c r="AA29" s="144" t="n">
        <v>41.8</v>
      </c>
      <c r="AB29" s="110" t="inlineStr">
        <is>
          <t>Keep live</t>
        </is>
      </c>
    </row>
    <row r="30">
      <c r="A30" s="102" t="inlineStr">
        <is>
          <t>Programmatic</t>
        </is>
      </c>
      <c r="B30" s="102" t="inlineStr">
        <is>
          <t>YouTube</t>
        </is>
      </c>
      <c r="C30" s="102" t="inlineStr">
        <is>
          <t>PROG_CTV_15s_OfferCut_v1</t>
        </is>
      </c>
      <c r="D30" s="102" t="inlineStr">
        <is>
          <t>CTV 15s</t>
        </is>
      </c>
      <c r="E30" s="102" t="inlineStr">
        <is>
          <t>Price / offer</t>
        </is>
      </c>
      <c r="F30" s="102" t="inlineStr">
        <is>
          <t>Zero deposit offers end 31 August</t>
        </is>
      </c>
      <c r="G30" s="103" t="n">
        <v>46244</v>
      </c>
      <c r="H30" s="103" t="n">
        <v>46265</v>
      </c>
      <c r="I30" s="102" t="n">
        <v>22</v>
      </c>
      <c r="J30" s="129" t="n">
        <v>2285.07</v>
      </c>
      <c r="K30" s="102" t="n">
        <v>88879</v>
      </c>
      <c r="L30" s="102" t="n">
        <v>41552</v>
      </c>
      <c r="M30" s="142" t="n">
        <v>2.138982479784366</v>
      </c>
      <c r="N30" s="131" t="n">
        <v>0.001911349777009193</v>
      </c>
      <c r="O30" s="131" t="n">
        <v>0.00101075071211982</v>
      </c>
      <c r="P30" s="131" t="n">
        <v>-0.4711848536161686</v>
      </c>
      <c r="Q30" s="129" t="n">
        <v>0</v>
      </c>
      <c r="R30" s="129" t="n">
        <v>0</v>
      </c>
      <c r="S30" s="131" t="n">
        <v>0</v>
      </c>
      <c r="T30" s="131" t="n">
        <v>0.3263538068610133</v>
      </c>
      <c r="U30" s="131" t="n">
        <v>0.3063504102599462</v>
      </c>
      <c r="V30" s="131" t="n">
        <v>0.6486502792525685</v>
      </c>
      <c r="W30" s="131" t="n">
        <v>0.003409129265630802</v>
      </c>
      <c r="X30" s="102" t="n">
        <v>303</v>
      </c>
      <c r="Y30" s="102" t="n">
        <v>1</v>
      </c>
      <c r="Z30" s="102" t="n">
        <v>0</v>
      </c>
      <c r="AA30" s="144" t="n">
        <v>41.1</v>
      </c>
      <c r="AB30" s="110" t="inlineStr">
        <is>
          <t>Keep live</t>
        </is>
      </c>
    </row>
    <row r="31">
      <c r="A31" s="102" t="inlineStr">
        <is>
          <t>Programmatic</t>
        </is>
      </c>
      <c r="B31" s="102" t="inlineStr">
        <is>
          <t>Programmatic</t>
        </is>
      </c>
      <c r="C31" s="102" t="inlineStr">
        <is>
          <t>PROG_HTML5_728x90_Range_v1</t>
        </is>
      </c>
      <c r="D31" s="102" t="inlineStr">
        <is>
          <t>HTML5 Display 728x90</t>
        </is>
      </c>
      <c r="E31" s="102" t="inlineStr">
        <is>
          <t>Price / offer</t>
        </is>
      </c>
      <c r="F31" s="102" t="inlineStr">
        <is>
          <t>Book a Lepas test drive</t>
        </is>
      </c>
      <c r="G31" s="103" t="n">
        <v>46235</v>
      </c>
      <c r="H31" s="103" t="n">
        <v>46265</v>
      </c>
      <c r="I31" s="102" t="n">
        <v>31</v>
      </c>
      <c r="J31" s="129" t="n">
        <v>8369.620000000003</v>
      </c>
      <c r="K31" s="102" t="n">
        <v>369412</v>
      </c>
      <c r="L31" s="102" t="n">
        <v>189742</v>
      </c>
      <c r="M31" s="142" t="n">
        <v>1.946917393091672</v>
      </c>
      <c r="N31" s="131" t="n">
        <v>0.002281734117929627</v>
      </c>
      <c r="O31" s="131" t="n">
        <v>0.001146256925302257</v>
      </c>
      <c r="P31" s="131" t="n">
        <v>-0.4976378201583214</v>
      </c>
      <c r="Q31" s="129" t="n">
        <v>674.52</v>
      </c>
      <c r="R31" s="129" t="n">
        <v>0</v>
      </c>
      <c r="S31" s="131" t="n">
        <v>-1</v>
      </c>
      <c r="T31" s="131" t="n">
        <v>0</v>
      </c>
      <c r="U31" s="131" t="n">
        <v>0</v>
      </c>
      <c r="V31" s="131" t="n">
        <v>0</v>
      </c>
      <c r="W31" s="131" t="n">
        <v>0.003849360605502799</v>
      </c>
      <c r="X31" s="102" t="n">
        <v>1422</v>
      </c>
      <c r="Y31" s="102" t="n">
        <v>6</v>
      </c>
      <c r="Z31" s="102" t="n">
        <v>4</v>
      </c>
      <c r="AA31" s="144" t="n">
        <v>38.7</v>
      </c>
      <c r="AB31" s="110" t="inlineStr">
        <is>
          <t>Keep live</t>
        </is>
      </c>
    </row>
    <row r="32">
      <c r="A32" s="102" t="inlineStr">
        <is>
          <t>Programmatic</t>
        </is>
      </c>
      <c r="B32" s="102" t="inlineStr">
        <is>
          <t>Programmatic</t>
        </is>
      </c>
      <c r="C32" s="102" t="inlineStr">
        <is>
          <t>PROG_HTML5_300x600_Models_v1</t>
        </is>
      </c>
      <c r="D32" s="102" t="inlineStr">
        <is>
          <t>HTML5 Display 300x600</t>
        </is>
      </c>
      <c r="E32" s="102" t="inlineStr">
        <is>
          <t>Price / offer</t>
        </is>
      </c>
      <c r="F32" s="102" t="inlineStr">
        <is>
          <t>Three models. One test drive.</t>
        </is>
      </c>
      <c r="G32" s="103" t="n">
        <v>46235</v>
      </c>
      <c r="H32" s="103" t="n">
        <v>46265</v>
      </c>
      <c r="I32" s="102" t="n">
        <v>31</v>
      </c>
      <c r="J32" s="129" t="n">
        <v>8138.150000000001</v>
      </c>
      <c r="K32" s="102" t="n">
        <v>273139</v>
      </c>
      <c r="L32" s="102" t="n">
        <v>132770</v>
      </c>
      <c r="M32" s="142" t="n">
        <v>2.057234314980794</v>
      </c>
      <c r="N32" s="131" t="n">
        <v>0.002953646801009957</v>
      </c>
      <c r="O32" s="131" t="n">
        <v>0.001656139269758127</v>
      </c>
      <c r="P32" s="131" t="n">
        <v>-0.439290009492051</v>
      </c>
      <c r="Q32" s="129" t="n">
        <v>653.2299999999999</v>
      </c>
      <c r="R32" s="129" t="n">
        <v>0</v>
      </c>
      <c r="S32" s="131" t="n">
        <v>-1</v>
      </c>
      <c r="T32" s="131" t="n">
        <v>0</v>
      </c>
      <c r="U32" s="131" t="n">
        <v>0</v>
      </c>
      <c r="V32" s="131" t="n">
        <v>0</v>
      </c>
      <c r="W32" s="131" t="n">
        <v>0.003254753074441951</v>
      </c>
      <c r="X32" s="102" t="n">
        <v>889</v>
      </c>
      <c r="Y32" s="102" t="n">
        <v>8</v>
      </c>
      <c r="Z32" s="102" t="n">
        <v>5</v>
      </c>
      <c r="AA32" s="144" t="n">
        <v>38.2</v>
      </c>
      <c r="AB32" s="110" t="inlineStr">
        <is>
          <t>Keep live</t>
        </is>
      </c>
    </row>
    <row r="33">
      <c r="A33" s="102" t="inlineStr">
        <is>
          <t>Meta (FB/IG)</t>
        </is>
      </c>
      <c r="B33" s="102" t="inlineStr">
        <is>
          <t>Meta</t>
        </is>
      </c>
      <c r="C33" s="102" t="inlineStr">
        <is>
          <t>PANTERA_VID_25s_Flagship_v1</t>
        </is>
      </c>
      <c r="D33" s="102" t="inlineStr">
        <is>
          <t>Video 9:16</t>
        </is>
      </c>
      <c r="E33" s="102" t="inlineStr">
        <is>
          <t>Price / offer</t>
        </is>
      </c>
      <c r="F33" s="102" t="inlineStr">
        <is>
          <t>The flagship, without the flagship price</t>
        </is>
      </c>
      <c r="G33" s="103" t="n">
        <v>46235</v>
      </c>
      <c r="H33" s="103" t="n">
        <v>46265</v>
      </c>
      <c r="I33" s="102" t="n">
        <v>31</v>
      </c>
      <c r="J33" s="129" t="n">
        <v>13752.87</v>
      </c>
      <c r="K33" s="102" t="n">
        <v>191976</v>
      </c>
      <c r="L33" s="102" t="n">
        <v>124873</v>
      </c>
      <c r="M33" s="142" t="n">
        <v>1.537369967887374</v>
      </c>
      <c r="N33" s="131" t="n">
        <v>0.01469427409071589</v>
      </c>
      <c r="O33" s="131" t="n">
        <v>0.01116728707150397</v>
      </c>
      <c r="P33" s="131" t="n">
        <v>-0.2400245835512441</v>
      </c>
      <c r="Q33" s="129" t="n">
        <v>219.874</v>
      </c>
      <c r="R33" s="129" t="n">
        <v>302.234</v>
      </c>
      <c r="S33" s="131" t="n">
        <v>0.3745781674959299</v>
      </c>
      <c r="T33" s="131" t="n">
        <v>0.3305517356336209</v>
      </c>
      <c r="U33" s="131" t="n">
        <v>0.2831794257619213</v>
      </c>
      <c r="V33" s="131" t="n">
        <v>0.5364926408017902</v>
      </c>
      <c r="W33" s="131" t="n">
        <v>0.02021085969079468</v>
      </c>
      <c r="X33" s="102" t="n">
        <v>3880</v>
      </c>
      <c r="Y33" s="102" t="n">
        <v>37</v>
      </c>
      <c r="Z33" s="102" t="n">
        <v>24</v>
      </c>
      <c r="AA33" s="144" t="n">
        <v>38</v>
      </c>
      <c r="AB33" s="110" t="inlineStr">
        <is>
          <t>Keep live</t>
        </is>
      </c>
    </row>
    <row r="34">
      <c r="A34" s="102" t="inlineStr">
        <is>
          <t>Programmatic</t>
        </is>
      </c>
      <c r="B34" s="102" t="inlineStr">
        <is>
          <t>YouTube</t>
        </is>
      </c>
      <c r="C34" s="102" t="inlineStr">
        <is>
          <t>PROG_OLV_15s_AMUR_v1</t>
        </is>
      </c>
      <c r="D34" s="102" t="inlineStr">
        <is>
          <t>Video 16:9 Pre-roll</t>
        </is>
      </c>
      <c r="E34" s="102" t="inlineStr">
        <is>
          <t>Price / offer</t>
        </is>
      </c>
      <c r="F34" s="102" t="inlineStr">
        <is>
          <t>AMUR from R3 599pm</t>
        </is>
      </c>
      <c r="G34" s="103" t="n">
        <v>46235</v>
      </c>
      <c r="H34" s="103" t="n">
        <v>46265</v>
      </c>
      <c r="I34" s="102" t="n">
        <v>31</v>
      </c>
      <c r="J34" s="129" t="n">
        <v>8538.929999999998</v>
      </c>
      <c r="K34" s="102" t="n">
        <v>333248</v>
      </c>
      <c r="L34" s="102" t="n">
        <v>171045</v>
      </c>
      <c r="M34" s="142" t="n">
        <v>1.948306001344675</v>
      </c>
      <c r="N34" s="131" t="n">
        <v>0.002402225219150371</v>
      </c>
      <c r="O34" s="131" t="n">
        <v>0.001922659472198964</v>
      </c>
      <c r="P34" s="131" t="n">
        <v>-0.1996339656782979</v>
      </c>
      <c r="Q34" s="129" t="n">
        <v>707.33</v>
      </c>
      <c r="R34" s="129" t="n">
        <v>874.8399999999999</v>
      </c>
      <c r="S34" s="131" t="n">
        <v>0.2368201546661387</v>
      </c>
      <c r="T34" s="131" t="n">
        <v>0.3271977626272325</v>
      </c>
      <c r="U34" s="131" t="n">
        <v>0.2888442561308902</v>
      </c>
      <c r="V34" s="131" t="n">
        <v>0.5461398778407528</v>
      </c>
      <c r="W34" s="131" t="n">
        <v>0.003585917995006722</v>
      </c>
      <c r="X34" s="102" t="n">
        <v>1195</v>
      </c>
      <c r="Y34" s="102" t="n">
        <v>10</v>
      </c>
      <c r="Z34" s="102" t="n">
        <v>6</v>
      </c>
      <c r="AA34" s="144" t="n">
        <v>37.8</v>
      </c>
      <c r="AB34" s="110" t="inlineStr">
        <is>
          <t>Keep live</t>
        </is>
      </c>
    </row>
    <row r="35">
      <c r="A35" s="102" t="inlineStr">
        <is>
          <t>Programmatic</t>
        </is>
      </c>
      <c r="B35" s="102" t="inlineStr">
        <is>
          <t>YouTube</t>
        </is>
      </c>
      <c r="C35" s="102" t="inlineStr">
        <is>
          <t>PROG_CTV_30s_BrandFilm_v1</t>
        </is>
      </c>
      <c r="D35" s="102" t="inlineStr">
        <is>
          <t>CTV 30s</t>
        </is>
      </c>
      <c r="E35" s="102" t="inlineStr">
        <is>
          <t>Price / offer</t>
        </is>
      </c>
      <c r="F35" s="102" t="inlineStr">
        <is>
          <t>The Lepas range has landed in SA</t>
        </is>
      </c>
      <c r="G35" s="103" t="n">
        <v>46235</v>
      </c>
      <c r="H35" s="103" t="n">
        <v>46265</v>
      </c>
      <c r="I35" s="102" t="n">
        <v>31</v>
      </c>
      <c r="J35" s="129" t="n">
        <v>4898.199999999999</v>
      </c>
      <c r="K35" s="102" t="n">
        <v>202309</v>
      </c>
      <c r="L35" s="102" t="n">
        <v>105552</v>
      </c>
      <c r="M35" s="142" t="n">
        <v>1.916676140670001</v>
      </c>
      <c r="N35" s="131" t="n">
        <v>0.002464234376069546</v>
      </c>
      <c r="O35" s="131" t="n">
        <v>0.001541359821887309</v>
      </c>
      <c r="P35" s="131" t="n">
        <v>-0.3745076211680082</v>
      </c>
      <c r="Q35" s="129" t="n">
        <v>0</v>
      </c>
      <c r="R35" s="129" t="n">
        <v>515.9399999999999</v>
      </c>
      <c r="S35" s="131" t="n">
        <v>0</v>
      </c>
      <c r="T35" s="131" t="n">
        <v>0.3349381391831308</v>
      </c>
      <c r="U35" s="131" t="n">
        <v>0.27579286019982</v>
      </c>
      <c r="V35" s="131" t="n">
        <v>0.5893397381974882</v>
      </c>
      <c r="W35" s="131" t="n">
        <v>0.003657771033419176</v>
      </c>
      <c r="X35" s="102" t="n">
        <v>740</v>
      </c>
      <c r="Y35" s="102" t="n">
        <v>4</v>
      </c>
      <c r="Z35" s="102" t="n">
        <v>2</v>
      </c>
      <c r="AA35" s="144" t="n">
        <v>37.1</v>
      </c>
      <c r="AB35" s="110" t="inlineStr">
        <is>
          <t>Keep live</t>
        </is>
      </c>
    </row>
    <row r="36">
      <c r="A36" s="102" t="inlineStr">
        <is>
          <t>Programmatic</t>
        </is>
      </c>
      <c r="B36" s="102" t="inlineStr">
        <is>
          <t>YouTube</t>
        </is>
      </c>
      <c r="C36" s="102" t="inlineStr">
        <is>
          <t>PROG_OLV_15s_PANTERA_v1</t>
        </is>
      </c>
      <c r="D36" s="102" t="inlineStr">
        <is>
          <t>Video 16:9 Pre-roll</t>
        </is>
      </c>
      <c r="E36" s="102" t="inlineStr">
        <is>
          <t>Price / offer</t>
        </is>
      </c>
      <c r="F36" s="102" t="inlineStr">
        <is>
          <t>PANTERA. Zero deposit.</t>
        </is>
      </c>
      <c r="G36" s="103" t="n">
        <v>46235</v>
      </c>
      <c r="H36" s="103" t="n">
        <v>46265</v>
      </c>
      <c r="I36" s="102" t="n">
        <v>31</v>
      </c>
      <c r="J36" s="129" t="n">
        <v>6362.21</v>
      </c>
      <c r="K36" s="102" t="n">
        <v>256165</v>
      </c>
      <c r="L36" s="102" t="n">
        <v>130126</v>
      </c>
      <c r="M36" s="142" t="n">
        <v>1.968591980080845</v>
      </c>
      <c r="N36" s="131" t="n">
        <v>0.001860013747927702</v>
      </c>
      <c r="O36" s="131" t="n">
        <v>0.001194824702147271</v>
      </c>
      <c r="P36" s="131" t="n">
        <v>-0.357625875895562</v>
      </c>
      <c r="Q36" s="129" t="n">
        <v>546.1800000000001</v>
      </c>
      <c r="R36" s="129" t="n">
        <v>0</v>
      </c>
      <c r="S36" s="131" t="n">
        <v>-1</v>
      </c>
      <c r="T36" s="131" t="n">
        <v>0.317424316358597</v>
      </c>
      <c r="U36" s="131" t="n">
        <v>0.2826239346721927</v>
      </c>
      <c r="V36" s="131" t="n">
        <v>0.5363902451022592</v>
      </c>
      <c r="W36" s="131" t="n">
        <v>0.003954482462475358</v>
      </c>
      <c r="X36" s="102" t="n">
        <v>1013</v>
      </c>
      <c r="Y36" s="102" t="n">
        <v>9</v>
      </c>
      <c r="Z36" s="102" t="n">
        <v>4</v>
      </c>
      <c r="AA36" s="144" t="n">
        <v>37</v>
      </c>
      <c r="AB36" s="110" t="inlineStr">
        <is>
          <t>Keep live</t>
        </is>
      </c>
    </row>
    <row r="37">
      <c r="A37" s="102" t="inlineStr">
        <is>
          <t>Meta (FB/IG)</t>
        </is>
      </c>
      <c r="B37" s="102" t="inlineStr">
        <is>
          <t>Meta</t>
        </is>
      </c>
      <c r="C37" s="102" t="inlineStr">
        <is>
          <t>AMUR_STA_Compare_Hatch_v1</t>
        </is>
      </c>
      <c r="D37" s="102" t="inlineStr">
        <is>
          <t>Static 4:5</t>
        </is>
      </c>
      <c r="E37" s="102" t="inlineStr">
        <is>
          <t>Price / offer</t>
        </is>
      </c>
      <c r="F37" s="102" t="inlineStr">
        <is>
          <t>Compare before you commit</t>
        </is>
      </c>
      <c r="G37" s="103" t="n">
        <v>46235</v>
      </c>
      <c r="H37" s="103" t="n">
        <v>46265</v>
      </c>
      <c r="I37" s="102" t="n">
        <v>31</v>
      </c>
      <c r="J37" s="129" t="n">
        <v>5739.090000000001</v>
      </c>
      <c r="K37" s="102" t="n">
        <v>72622</v>
      </c>
      <c r="L37" s="102" t="n">
        <v>45852</v>
      </c>
      <c r="M37" s="142" t="n">
        <v>1.583834947221495</v>
      </c>
      <c r="N37" s="131" t="n">
        <v>0.01536334306345061</v>
      </c>
      <c r="O37" s="131" t="n">
        <v>0.009066930431915594</v>
      </c>
      <c r="P37" s="131" t="n">
        <v>-0.409833498186614</v>
      </c>
      <c r="Q37" s="129" t="n">
        <v>237.21</v>
      </c>
      <c r="R37" s="129" t="n">
        <v>282.44</v>
      </c>
      <c r="S37" s="131" t="n">
        <v>0.1906749293874625</v>
      </c>
      <c r="T37" s="131" t="n">
        <v>0</v>
      </c>
      <c r="U37" s="131" t="n">
        <v>0</v>
      </c>
      <c r="V37" s="131" t="n">
        <v>0</v>
      </c>
      <c r="W37" s="131" t="n">
        <v>0.01981493211423535</v>
      </c>
      <c r="X37" s="102" t="n">
        <v>1439</v>
      </c>
      <c r="Y37" s="102" t="n">
        <v>12</v>
      </c>
      <c r="Z37" s="102" t="n">
        <v>8</v>
      </c>
      <c r="AA37" s="144" t="n">
        <v>36.9</v>
      </c>
      <c r="AB37" s="110" t="inlineStr">
        <is>
          <t>Keep live</t>
        </is>
      </c>
    </row>
    <row r="38">
      <c r="A38" s="102" t="inlineStr">
        <is>
          <t>TikTok</t>
        </is>
      </c>
      <c r="B38" s="102" t="inlineStr">
        <is>
          <t>TikTok</t>
        </is>
      </c>
      <c r="C38" s="102" t="inlineStr">
        <is>
          <t>TT_AMUR_UGC_15s_FirstCar_v1</t>
        </is>
      </c>
      <c r="D38" s="102" t="inlineStr">
        <is>
          <t>Video 9:16</t>
        </is>
      </c>
      <c r="E38" s="102" t="inlineStr">
        <is>
          <t>Price / offer</t>
        </is>
      </c>
      <c r="F38" s="102" t="inlineStr">
        <is>
          <t>POV: your first car isn't second-hand</t>
        </is>
      </c>
      <c r="G38" s="103" t="n">
        <v>46235</v>
      </c>
      <c r="H38" s="103" t="n">
        <v>46265</v>
      </c>
      <c r="I38" s="102" t="n">
        <v>31</v>
      </c>
      <c r="J38" s="129" t="n">
        <v>15813.94</v>
      </c>
      <c r="K38" s="102" t="n">
        <v>448284</v>
      </c>
      <c r="L38" s="102" t="n">
        <v>265339</v>
      </c>
      <c r="M38" s="142" t="n">
        <v>1.689476481029928</v>
      </c>
      <c r="N38" s="131" t="n">
        <v>0.01159329020438541</v>
      </c>
      <c r="O38" s="131" t="n">
        <v>0.006303042334607176</v>
      </c>
      <c r="P38" s="131" t="n">
        <v>-0.4563198002045257</v>
      </c>
      <c r="Q38" s="129" t="n">
        <v>638.95</v>
      </c>
      <c r="R38" s="129" t="n">
        <v>0</v>
      </c>
      <c r="S38" s="131" t="n">
        <v>-1</v>
      </c>
      <c r="T38" s="131" t="n">
        <v>0.3088064708979129</v>
      </c>
      <c r="U38" s="131" t="n">
        <v>0.2803305570203636</v>
      </c>
      <c r="V38" s="131" t="n">
        <v>0.5379606018796096</v>
      </c>
      <c r="W38" s="131" t="n">
        <v>0.0376190093779836</v>
      </c>
      <c r="X38" s="102" t="n">
        <v>16864</v>
      </c>
      <c r="Y38" s="102" t="n">
        <v>19</v>
      </c>
      <c r="Z38" s="102" t="n">
        <v>11</v>
      </c>
      <c r="AA38" s="144" t="n">
        <v>36.8</v>
      </c>
      <c r="AB38" s="110" t="inlineStr">
        <is>
          <t>Keep live</t>
        </is>
      </c>
    </row>
    <row r="39">
      <c r="A39" s="102" t="inlineStr">
        <is>
          <t>Programmatic</t>
        </is>
      </c>
      <c r="B39" s="102" t="inlineStr">
        <is>
          <t>Programmatic</t>
        </is>
      </c>
      <c r="C39" s="102" t="inlineStr">
        <is>
          <t>PROG_DYN_320x50_BookNow_v1</t>
        </is>
      </c>
      <c r="D39" s="102" t="inlineStr">
        <is>
          <t>Dynamic Display 320x50</t>
        </is>
      </c>
      <c r="E39" s="102" t="inlineStr">
        <is>
          <t>Price / offer</t>
        </is>
      </c>
      <c r="F39" s="102" t="inlineStr">
        <is>
          <t>Book your test drive</t>
        </is>
      </c>
      <c r="G39" s="103" t="n">
        <v>46235</v>
      </c>
      <c r="H39" s="103" t="n">
        <v>46265</v>
      </c>
      <c r="I39" s="102" t="n">
        <v>31</v>
      </c>
      <c r="J39" s="129" t="n">
        <v>4341.339999999999</v>
      </c>
      <c r="K39" s="102" t="n">
        <v>131136</v>
      </c>
      <c r="L39" s="102" t="n">
        <v>67230</v>
      </c>
      <c r="M39" s="142" t="n">
        <v>1.950557786702365</v>
      </c>
      <c r="N39" s="131" t="n">
        <v>0.005149898841272761</v>
      </c>
      <c r="O39" s="131" t="n">
        <v>0.002951510892480675</v>
      </c>
      <c r="P39" s="131" t="n">
        <v>-0.4268798313422347</v>
      </c>
      <c r="Q39" s="129" t="n">
        <v>164.355</v>
      </c>
      <c r="R39" s="129" t="n">
        <v>0</v>
      </c>
      <c r="S39" s="131" t="n">
        <v>-1</v>
      </c>
      <c r="T39" s="131" t="n">
        <v>0</v>
      </c>
      <c r="U39" s="131" t="n">
        <v>0</v>
      </c>
      <c r="V39" s="131" t="n">
        <v>0</v>
      </c>
      <c r="W39" s="131" t="n">
        <v>0.003462054660810151</v>
      </c>
      <c r="X39" s="102" t="n">
        <v>454</v>
      </c>
      <c r="Y39" s="102" t="n">
        <v>9</v>
      </c>
      <c r="Z39" s="102" t="n">
        <v>5</v>
      </c>
      <c r="AA39" s="144" t="n">
        <v>36.8</v>
      </c>
      <c r="AB39" s="110" t="inlineStr">
        <is>
          <t>Keep live</t>
        </is>
      </c>
    </row>
    <row r="40">
      <c r="A40" s="102" t="inlineStr">
        <is>
          <t>TikTok</t>
        </is>
      </c>
      <c r="B40" s="102" t="inlineStr">
        <is>
          <t>TikTok</t>
        </is>
      </c>
      <c r="C40" s="102" t="inlineStr">
        <is>
          <t>TT_SPARK_@motorgirlza_Tour_v1</t>
        </is>
      </c>
      <c r="D40" s="102" t="inlineStr">
        <is>
          <t>Spark Ad</t>
        </is>
      </c>
      <c r="E40" s="102" t="inlineStr">
        <is>
          <t>Price / offer</t>
        </is>
      </c>
      <c r="F40" s="102" t="inlineStr">
        <is>
          <t>Creator handle: @motorgirlza</t>
        </is>
      </c>
      <c r="G40" s="103" t="n">
        <v>46235</v>
      </c>
      <c r="H40" s="103" t="n">
        <v>46265</v>
      </c>
      <c r="I40" s="102" t="n">
        <v>31</v>
      </c>
      <c r="J40" s="129" t="n">
        <v>3981.54</v>
      </c>
      <c r="K40" s="102" t="n">
        <v>111901</v>
      </c>
      <c r="L40" s="102" t="n">
        <v>65575</v>
      </c>
      <c r="M40" s="142" t="n">
        <v>1.706458253907739</v>
      </c>
      <c r="N40" s="131" t="n">
        <v>0.009133437291156159</v>
      </c>
      <c r="O40" s="131" t="n">
        <v>0.005498281786941581</v>
      </c>
      <c r="P40" s="131" t="n">
        <v>-0.3980051965468108</v>
      </c>
      <c r="Q40" s="129" t="n">
        <v>310.59</v>
      </c>
      <c r="R40" s="129" t="n">
        <v>0</v>
      </c>
      <c r="S40" s="131" t="n">
        <v>-1</v>
      </c>
      <c r="T40" s="131" t="n">
        <v>0.296789126102537</v>
      </c>
      <c r="U40" s="131" t="n">
        <v>0.277468308692903</v>
      </c>
      <c r="V40" s="131" t="n">
        <v>0.5342507000692541</v>
      </c>
      <c r="W40" s="131" t="n">
        <v>0.03988346842298103</v>
      </c>
      <c r="X40" s="102" t="n">
        <v>4463</v>
      </c>
      <c r="Y40" s="102" t="n">
        <v>6</v>
      </c>
      <c r="Z40" s="102" t="n">
        <v>3</v>
      </c>
      <c r="AA40" s="144" t="n">
        <v>35.5</v>
      </c>
      <c r="AB40" s="110" t="inlineStr">
        <is>
          <t>Keep live</t>
        </is>
      </c>
    </row>
    <row r="41">
      <c r="A41" s="102" t="inlineStr">
        <is>
          <t>Programmatic</t>
        </is>
      </c>
      <c r="B41" s="102" t="inlineStr">
        <is>
          <t>Programmatic</t>
        </is>
      </c>
      <c r="C41" s="102" t="inlineStr">
        <is>
          <t>PROG_HTML5_970x250_Hero_v1</t>
        </is>
      </c>
      <c r="D41" s="102" t="inlineStr">
        <is>
          <t>HTML5 Display 970x250</t>
        </is>
      </c>
      <c r="E41" s="102" t="inlineStr">
        <is>
          <t>Price / offer</t>
        </is>
      </c>
      <c r="F41" s="102" t="inlineStr">
        <is>
          <t>The Lepas range has landed</t>
        </is>
      </c>
      <c r="G41" s="103" t="n">
        <v>46240</v>
      </c>
      <c r="H41" s="103" t="n">
        <v>46265</v>
      </c>
      <c r="I41" s="102" t="n">
        <v>26</v>
      </c>
      <c r="J41" s="129" t="n">
        <v>3120.65</v>
      </c>
      <c r="K41" s="102" t="n">
        <v>102572</v>
      </c>
      <c r="L41" s="102" t="n">
        <v>48804</v>
      </c>
      <c r="M41" s="142" t="n">
        <v>2.101712974346365</v>
      </c>
      <c r="N41" s="131" t="n">
        <v>0.002651485611791312</v>
      </c>
      <c r="O41" s="131" t="n">
        <v>0.00181967063961423</v>
      </c>
      <c r="P41" s="131" t="n">
        <v>-0.3137165702419626</v>
      </c>
      <c r="Q41" s="129" t="n">
        <v>0</v>
      </c>
      <c r="R41" s="129" t="n">
        <v>0</v>
      </c>
      <c r="S41" s="131" t="n">
        <v>0</v>
      </c>
      <c r="T41" s="131" t="n">
        <v>0</v>
      </c>
      <c r="U41" s="131" t="n">
        <v>0</v>
      </c>
      <c r="V41" s="131" t="n">
        <v>0</v>
      </c>
      <c r="W41" s="131" t="n">
        <v>0.003821705728658893</v>
      </c>
      <c r="X41" s="102" t="n">
        <v>392</v>
      </c>
      <c r="Y41" s="102" t="n">
        <v>4</v>
      </c>
      <c r="Z41" s="102" t="n">
        <v>2</v>
      </c>
      <c r="AA41" s="144" t="n">
        <v>35.2</v>
      </c>
      <c r="AB41" s="110" t="inlineStr">
        <is>
          <t>Keep live</t>
        </is>
      </c>
    </row>
    <row r="42">
      <c r="A42" s="102" t="inlineStr">
        <is>
          <t>Meta (FB/IG)</t>
        </is>
      </c>
      <c r="B42" s="102" t="inlineStr">
        <is>
          <t>Meta</t>
        </is>
      </c>
      <c r="C42" s="102" t="inlineStr">
        <is>
          <t>JAVAN_VID_20s_FamilyWeekend_v1</t>
        </is>
      </c>
      <c r="D42" s="102" t="inlineStr">
        <is>
          <t>Video 9:16</t>
        </is>
      </c>
      <c r="E42" s="102" t="inlineStr">
        <is>
          <t>Price / offer</t>
        </is>
      </c>
      <c r="F42" s="102" t="inlineStr">
        <is>
          <t>The weekend car that works on Monday</t>
        </is>
      </c>
      <c r="G42" s="103" t="n">
        <v>46235</v>
      </c>
      <c r="H42" s="103" t="n">
        <v>46254</v>
      </c>
      <c r="I42" s="102" t="n">
        <v>20</v>
      </c>
      <c r="J42" s="129" t="n">
        <v>5884.499999999999</v>
      </c>
      <c r="K42" s="102" t="n">
        <v>86007</v>
      </c>
      <c r="L42" s="102" t="n">
        <v>59504</v>
      </c>
      <c r="M42" s="142" t="n">
        <v>1.445398628663619</v>
      </c>
      <c r="N42" s="131" t="n">
        <v>0.01615363905590954</v>
      </c>
      <c r="O42" s="131" t="n">
        <v>0.009423294383716547</v>
      </c>
      <c r="P42" s="131" t="n">
        <v>-0.4166457260124806</v>
      </c>
      <c r="Q42" s="129" t="n">
        <v>402.47</v>
      </c>
      <c r="R42" s="129" t="n">
        <v>423.97</v>
      </c>
      <c r="S42" s="131" t="n">
        <v>0.05342013069297105</v>
      </c>
      <c r="T42" s="131" t="n">
        <v>0.3205204227562873</v>
      </c>
      <c r="U42" s="131" t="n">
        <v>0.2652084013494396</v>
      </c>
      <c r="V42" s="131" t="n">
        <v>0.5038361083904669</v>
      </c>
      <c r="W42" s="131" t="n">
        <v>0.02381201530108015</v>
      </c>
      <c r="X42" s="102" t="n">
        <v>2048</v>
      </c>
      <c r="Y42" s="102" t="n">
        <v>14</v>
      </c>
      <c r="Z42" s="102" t="n">
        <v>8</v>
      </c>
      <c r="AA42" s="144" t="n">
        <v>34.9</v>
      </c>
      <c r="AB42" s="110" t="inlineStr">
        <is>
          <t>Keep live</t>
        </is>
      </c>
    </row>
    <row r="43">
      <c r="A43" s="102" t="inlineStr">
        <is>
          <t>Meta (FB/IG)</t>
        </is>
      </c>
      <c r="B43" s="102" t="inlineStr">
        <is>
          <t>Meta</t>
        </is>
      </c>
      <c r="C43" s="102" t="inlineStr">
        <is>
          <t>JAVAN_VID_20s_FamilyWeekend_v2</t>
        </is>
      </c>
      <c r="D43" s="102" t="inlineStr">
        <is>
          <t>Video 9:16</t>
        </is>
      </c>
      <c r="E43" s="102" t="inlineStr">
        <is>
          <t>Price / offer</t>
        </is>
      </c>
      <c r="F43" s="102" t="inlineStr">
        <is>
          <t>School run to sunset drive</t>
        </is>
      </c>
      <c r="G43" s="103" t="n">
        <v>46249</v>
      </c>
      <c r="H43" s="103" t="n">
        <v>46265</v>
      </c>
      <c r="I43" s="102" t="n">
        <v>17</v>
      </c>
      <c r="J43" s="129" t="n">
        <v>3069.830000000001</v>
      </c>
      <c r="K43" s="102" t="n">
        <v>46173</v>
      </c>
      <c r="L43" s="102" t="n">
        <v>28497</v>
      </c>
      <c r="M43" s="142" t="n">
        <v>1.620275818507211</v>
      </c>
      <c r="N43" s="131" t="n">
        <v>0.01314741035856574</v>
      </c>
      <c r="O43" s="131" t="n">
        <v>0.007635163021048288</v>
      </c>
      <c r="P43" s="131" t="n">
        <v>-0.4192648732475394</v>
      </c>
      <c r="Q43" s="129" t="n">
        <v>235.85</v>
      </c>
      <c r="R43" s="129" t="n">
        <v>0</v>
      </c>
      <c r="S43" s="131" t="n">
        <v>-1</v>
      </c>
      <c r="T43" s="131" t="n">
        <v>0.3258397764927555</v>
      </c>
      <c r="U43" s="131" t="n">
        <v>0.2961781322698571</v>
      </c>
      <c r="V43" s="131" t="n">
        <v>0.5473413094051179</v>
      </c>
      <c r="W43" s="131" t="n">
        <v>0.02211248998332359</v>
      </c>
      <c r="X43" s="102" t="n">
        <v>1021</v>
      </c>
      <c r="Y43" s="102" t="n">
        <v>7</v>
      </c>
      <c r="Z43" s="102" t="n">
        <v>2</v>
      </c>
      <c r="AA43" s="144" t="n">
        <v>34.5</v>
      </c>
      <c r="AB43" s="110" t="inlineStr">
        <is>
          <t>Keep live</t>
        </is>
      </c>
    </row>
    <row r="44">
      <c r="A44" s="102" t="inlineStr">
        <is>
          <t>Programmatic</t>
        </is>
      </c>
      <c r="B44" s="102" t="inlineStr">
        <is>
          <t>Programmatic</t>
        </is>
      </c>
      <c r="C44" s="102" t="inlineStr">
        <is>
          <t>PROG_HTML5_300x250_Range_v1</t>
        </is>
      </c>
      <c r="D44" s="102" t="inlineStr">
        <is>
          <t>HTML5 Display 300x250</t>
        </is>
      </c>
      <c r="E44" s="102" t="inlineStr">
        <is>
          <t>Price / offer</t>
        </is>
      </c>
      <c r="F44" s="102" t="inlineStr">
        <is>
          <t>Book a Lepas test drive</t>
        </is>
      </c>
      <c r="G44" s="103" t="n">
        <v>46235</v>
      </c>
      <c r="H44" s="103" t="n">
        <v>46265</v>
      </c>
      <c r="I44" s="102" t="n">
        <v>31</v>
      </c>
      <c r="J44" s="129" t="n">
        <v>14571.47</v>
      </c>
      <c r="K44" s="102" t="n">
        <v>554469</v>
      </c>
      <c r="L44" s="102" t="n">
        <v>288133</v>
      </c>
      <c r="M44" s="142" t="n">
        <v>1.924350907393461</v>
      </c>
      <c r="N44" s="131" t="n">
        <v>0.002088338984573238</v>
      </c>
      <c r="O44" s="131" t="n">
        <v>0.001361432301380082</v>
      </c>
      <c r="P44" s="131" t="n">
        <v>-0.348078874436998</v>
      </c>
      <c r="Q44" s="129" t="n">
        <v>1212.85</v>
      </c>
      <c r="R44" s="129" t="n">
        <v>0</v>
      </c>
      <c r="S44" s="131" t="n">
        <v>-1</v>
      </c>
      <c r="T44" s="131" t="n">
        <v>0</v>
      </c>
      <c r="U44" s="131" t="n">
        <v>0</v>
      </c>
      <c r="V44" s="131" t="n">
        <v>0</v>
      </c>
      <c r="W44" s="131" t="n">
        <v>0.00349703950987341</v>
      </c>
      <c r="X44" s="102" t="n">
        <v>1939</v>
      </c>
      <c r="Y44" s="102" t="n">
        <v>12</v>
      </c>
      <c r="Z44" s="102" t="n">
        <v>7</v>
      </c>
      <c r="AA44" s="144" t="n">
        <v>34.3</v>
      </c>
      <c r="AB44" s="110" t="inlineStr">
        <is>
          <t>Keep live</t>
        </is>
      </c>
    </row>
    <row r="45">
      <c r="A45" s="102" t="inlineStr">
        <is>
          <t>Meta (FB/IG)</t>
        </is>
      </c>
      <c r="B45" s="102" t="inlineStr">
        <is>
          <t>Meta</t>
        </is>
      </c>
      <c r="C45" s="102" t="inlineStr">
        <is>
          <t>RMKT_STA_FinishBooking_v1</t>
        </is>
      </c>
      <c r="D45" s="102" t="inlineStr">
        <is>
          <t>Static 1:1</t>
        </is>
      </c>
      <c r="E45" s="102" t="inlineStr">
        <is>
          <t>Lifestyle / utility</t>
        </is>
      </c>
      <c r="F45" s="102" t="inlineStr">
        <is>
          <t>You left one field empty</t>
        </is>
      </c>
      <c r="G45" s="103" t="n">
        <v>46235</v>
      </c>
      <c r="H45" s="103" t="n">
        <v>46265</v>
      </c>
      <c r="I45" s="102" t="n">
        <v>31</v>
      </c>
      <c r="J45" s="129" t="n">
        <v>3426.37</v>
      </c>
      <c r="K45" s="102" t="n">
        <v>38348</v>
      </c>
      <c r="L45" s="102" t="n">
        <v>25296</v>
      </c>
      <c r="M45" s="142" t="n">
        <v>1.515970904490828</v>
      </c>
      <c r="N45" s="131" t="n">
        <v>0.03126994256541162</v>
      </c>
      <c r="O45" s="131" t="n">
        <v>0.02258292166549047</v>
      </c>
      <c r="P45" s="131" t="n">
        <v>-0.2778073826566618</v>
      </c>
      <c r="Q45" s="129" t="n">
        <v>94.62333333333333</v>
      </c>
      <c r="R45" s="129" t="n">
        <v>119.4733333333333</v>
      </c>
      <c r="S45" s="131" t="n">
        <v>0.2626202134780006</v>
      </c>
      <c r="T45" s="131" t="n">
        <v>0</v>
      </c>
      <c r="U45" s="131" t="n">
        <v>0</v>
      </c>
      <c r="V45" s="131" t="n">
        <v>0</v>
      </c>
      <c r="W45" s="131" t="n">
        <v>0.02281735683738396</v>
      </c>
      <c r="X45" s="102" t="n">
        <v>875</v>
      </c>
      <c r="Y45" s="102" t="n">
        <v>27</v>
      </c>
      <c r="Z45" s="102" t="n">
        <v>18</v>
      </c>
      <c r="AA45" s="144" t="n">
        <v>34.3</v>
      </c>
      <c r="AB45" s="110" t="inlineStr">
        <is>
          <t>Keep live</t>
        </is>
      </c>
    </row>
    <row r="46">
      <c r="A46" s="102" t="inlineStr">
        <is>
          <t>Meta (FB/IG)</t>
        </is>
      </c>
      <c r="B46" s="102" t="inlineStr">
        <is>
          <t>Meta</t>
        </is>
      </c>
      <c r="C46" s="102" t="inlineStr">
        <is>
          <t>JAVAN_VID_15s_DCT_Tech_v1</t>
        </is>
      </c>
      <c r="D46" s="102" t="inlineStr">
        <is>
          <t>Video 4:5</t>
        </is>
      </c>
      <c r="E46" s="102" t="inlineStr">
        <is>
          <t>Lifestyle / utility</t>
        </is>
      </c>
      <c r="F46" s="102" t="inlineStr">
        <is>
          <t>1.5T DCT. Explained in 15 seconds.</t>
        </is>
      </c>
      <c r="G46" s="103" t="n">
        <v>46235</v>
      </c>
      <c r="H46" s="103" t="n">
        <v>46265</v>
      </c>
      <c r="I46" s="102" t="n">
        <v>31</v>
      </c>
      <c r="J46" s="129" t="n">
        <v>9371.309999999999</v>
      </c>
      <c r="K46" s="102" t="n">
        <v>114260</v>
      </c>
      <c r="L46" s="102" t="n">
        <v>70938</v>
      </c>
      <c r="M46" s="142" t="n">
        <v>1.610702303419888</v>
      </c>
      <c r="N46" s="131" t="n">
        <v>0.01916757940854326</v>
      </c>
      <c r="O46" s="131" t="n">
        <v>0.01187015503875969</v>
      </c>
      <c r="P46" s="131" t="n">
        <v>-0.3807170542635658</v>
      </c>
      <c r="Q46" s="129" t="n">
        <v>509.85</v>
      </c>
      <c r="R46" s="129" t="n">
        <v>218.854</v>
      </c>
      <c r="S46" s="131" t="n">
        <v>-0.5707482592919486</v>
      </c>
      <c r="T46" s="131" t="n">
        <v>0.3167862769123053</v>
      </c>
      <c r="U46" s="131" t="n">
        <v>0.2832357166537739</v>
      </c>
      <c r="V46" s="131" t="n">
        <v>0.5432368217482595</v>
      </c>
      <c r="W46" s="131" t="n">
        <v>0.02349028531419569</v>
      </c>
      <c r="X46" s="102" t="n">
        <v>2684</v>
      </c>
      <c r="Y46" s="102" t="n">
        <v>27</v>
      </c>
      <c r="Z46" s="102" t="n">
        <v>16</v>
      </c>
      <c r="AA46" s="144" t="n">
        <v>33.8</v>
      </c>
      <c r="AB46" s="110" t="inlineStr">
        <is>
          <t>Keep live</t>
        </is>
      </c>
    </row>
    <row r="47">
      <c r="A47" s="102" t="inlineStr">
        <is>
          <t>TikTok</t>
        </is>
      </c>
      <c r="B47" s="102" t="inlineStr">
        <is>
          <t>TikTok</t>
        </is>
      </c>
      <c r="C47" s="102" t="inlineStr">
        <is>
          <t>TT_AMUR_TREND_12s_Reveal_v1</t>
        </is>
      </c>
      <c r="D47" s="102" t="inlineStr">
        <is>
          <t>Video 9:16</t>
        </is>
      </c>
      <c r="E47" s="102" t="inlineStr">
        <is>
          <t>Price / offer</t>
        </is>
      </c>
      <c r="F47" s="102" t="inlineStr">
        <is>
          <t>Cover reveal trend - AMUR edition</t>
        </is>
      </c>
      <c r="G47" s="103" t="n">
        <v>46235</v>
      </c>
      <c r="H47" s="103" t="n">
        <v>46251</v>
      </c>
      <c r="I47" s="102" t="n">
        <v>17</v>
      </c>
      <c r="J47" s="129" t="n">
        <v>4152.57</v>
      </c>
      <c r="K47" s="102" t="n">
        <v>114046</v>
      </c>
      <c r="L47" s="102" t="n">
        <v>72058</v>
      </c>
      <c r="M47" s="142" t="n">
        <v>1.582697271642288</v>
      </c>
      <c r="N47" s="131" t="n">
        <v>0.01185071634927186</v>
      </c>
      <c r="O47" s="131" t="n">
        <v>0.007355750859763087</v>
      </c>
      <c r="P47" s="131" t="n">
        <v>-0.3792990530724292</v>
      </c>
      <c r="Q47" s="129" t="n">
        <v>336.33</v>
      </c>
      <c r="R47" s="129" t="n">
        <v>0</v>
      </c>
      <c r="S47" s="131" t="n">
        <v>-1</v>
      </c>
      <c r="T47" s="131" t="n">
        <v>0.3268505690686214</v>
      </c>
      <c r="U47" s="131" t="n">
        <v>0.3041367099474193</v>
      </c>
      <c r="V47" s="131" t="n">
        <v>0.573203938190793</v>
      </c>
      <c r="W47" s="131" t="n">
        <v>0.03951037300738298</v>
      </c>
      <c r="X47" s="102" t="n">
        <v>4506</v>
      </c>
      <c r="Y47" s="102" t="n">
        <v>8</v>
      </c>
      <c r="Z47" s="102" t="n">
        <v>6</v>
      </c>
      <c r="AA47" s="144" t="n">
        <v>32.7</v>
      </c>
      <c r="AB47" s="110" t="inlineStr">
        <is>
          <t>Keep live</t>
        </is>
      </c>
    </row>
    <row r="48">
      <c r="A48" s="102" t="inlineStr">
        <is>
          <t>Meta (FB/IG)</t>
        </is>
      </c>
      <c r="B48" s="102" t="inlineStr">
        <is>
          <t>Meta</t>
        </is>
      </c>
      <c r="C48" s="102" t="inlineStr">
        <is>
          <t>PANTERA_STA_Compare_Premium_v1</t>
        </is>
      </c>
      <c r="D48" s="102" t="inlineStr">
        <is>
          <t>Static 4:5</t>
        </is>
      </c>
      <c r="E48" s="102" t="inlineStr">
        <is>
          <t>Price / offer</t>
        </is>
      </c>
      <c r="F48" s="102" t="inlineStr">
        <is>
          <t>Premium spec. Mid-market money.</t>
        </is>
      </c>
      <c r="G48" s="103" t="n">
        <v>46239</v>
      </c>
      <c r="H48" s="103" t="n">
        <v>46265</v>
      </c>
      <c r="I48" s="102" t="n">
        <v>27</v>
      </c>
      <c r="J48" s="129" t="n">
        <v>2863.93</v>
      </c>
      <c r="K48" s="102" t="n">
        <v>38761</v>
      </c>
      <c r="L48" s="102" t="n">
        <v>24315</v>
      </c>
      <c r="M48" s="142" t="n">
        <v>1.594118856672836</v>
      </c>
      <c r="N48" s="131" t="n">
        <v>0.01685621445978879</v>
      </c>
      <c r="O48" s="131" t="n">
        <v>0.01003709360680777</v>
      </c>
      <c r="P48" s="131" t="n">
        <v>-0.4045463985551632</v>
      </c>
      <c r="Q48" s="129" t="n">
        <v>180.56</v>
      </c>
      <c r="R48" s="129" t="n">
        <v>0</v>
      </c>
      <c r="S48" s="131" t="n">
        <v>-1</v>
      </c>
      <c r="T48" s="131" t="n">
        <v>0</v>
      </c>
      <c r="U48" s="131" t="n">
        <v>0</v>
      </c>
      <c r="V48" s="131" t="n">
        <v>0</v>
      </c>
      <c r="W48" s="131" t="n">
        <v>0.02401898815820025</v>
      </c>
      <c r="X48" s="102" t="n">
        <v>931</v>
      </c>
      <c r="Y48" s="102" t="n">
        <v>9</v>
      </c>
      <c r="Z48" s="102" t="n">
        <v>8</v>
      </c>
      <c r="AA48" s="144" t="n">
        <v>32.3</v>
      </c>
      <c r="AB48" s="110" t="inlineStr">
        <is>
          <t>Keep live</t>
        </is>
      </c>
    </row>
    <row r="49">
      <c r="A49" s="102" t="inlineStr">
        <is>
          <t>Programmatic</t>
        </is>
      </c>
      <c r="B49" s="102" t="inlineStr">
        <is>
          <t>Programmatic</t>
        </is>
      </c>
      <c r="C49" s="102" t="inlineStr">
        <is>
          <t>PROG_HTML5_320x50_Range_v1</t>
        </is>
      </c>
      <c r="D49" s="102" t="inlineStr">
        <is>
          <t>HTML5 Display 320x50</t>
        </is>
      </c>
      <c r="E49" s="102" t="inlineStr">
        <is>
          <t>Price / offer</t>
        </is>
      </c>
      <c r="F49" s="102" t="inlineStr">
        <is>
          <t>From R3 599pm</t>
        </is>
      </c>
      <c r="G49" s="103" t="n">
        <v>46235</v>
      </c>
      <c r="H49" s="103" t="n">
        <v>46265</v>
      </c>
      <c r="I49" s="102" t="n">
        <v>31</v>
      </c>
      <c r="J49" s="129" t="n">
        <v>8876.529999999999</v>
      </c>
      <c r="K49" s="102" t="n">
        <v>388121</v>
      </c>
      <c r="L49" s="102" t="n">
        <v>193033</v>
      </c>
      <c r="M49" s="142" t="n">
        <v>2.010645848119233</v>
      </c>
      <c r="N49" s="131" t="n">
        <v>0.001782319391634981</v>
      </c>
      <c r="O49" s="131" t="n">
        <v>0.001443464314354451</v>
      </c>
      <c r="P49" s="131" t="n">
        <v>-0.1901202886928629</v>
      </c>
      <c r="Q49" s="129" t="n">
        <v>0</v>
      </c>
      <c r="R49" s="129" t="n">
        <v>915.73</v>
      </c>
      <c r="S49" s="131" t="n">
        <v>0</v>
      </c>
      <c r="T49" s="131" t="n">
        <v>0</v>
      </c>
      <c r="U49" s="131" t="n">
        <v>0</v>
      </c>
      <c r="V49" s="131" t="n">
        <v>0</v>
      </c>
      <c r="W49" s="131" t="n">
        <v>0.003555592199339896</v>
      </c>
      <c r="X49" s="102" t="n">
        <v>1380</v>
      </c>
      <c r="Y49" s="102" t="n">
        <v>4</v>
      </c>
      <c r="Z49" s="102" t="n">
        <v>0</v>
      </c>
      <c r="AA49" s="144" t="n">
        <v>30.8</v>
      </c>
      <c r="AB49" s="110" t="inlineStr">
        <is>
          <t>Keep live</t>
        </is>
      </c>
    </row>
    <row r="50">
      <c r="A50" s="102" t="inlineStr">
        <is>
          <t>Meta (FB/IG)</t>
        </is>
      </c>
      <c r="B50" s="102" t="inlineStr">
        <is>
          <t>Meta</t>
        </is>
      </c>
      <c r="C50" s="102" t="inlineStr">
        <is>
          <t>PANTERA_STA_Offer_0Dep_v2</t>
        </is>
      </c>
      <c r="D50" s="102" t="inlineStr">
        <is>
          <t>Static 1:1</t>
        </is>
      </c>
      <c r="E50" s="102" t="inlineStr">
        <is>
          <t>Price / offer</t>
        </is>
      </c>
      <c r="F50" s="102" t="inlineStr">
        <is>
          <t>R5 899pm. No deposit. Test drive it.</t>
        </is>
      </c>
      <c r="G50" s="103" t="n">
        <v>46248</v>
      </c>
      <c r="H50" s="103" t="n">
        <v>46265</v>
      </c>
      <c r="I50" s="102" t="n">
        <v>18</v>
      </c>
      <c r="J50" s="129" t="n">
        <v>5499.700000000001</v>
      </c>
      <c r="K50" s="102" t="n">
        <v>77689</v>
      </c>
      <c r="L50" s="102" t="n">
        <v>48140</v>
      </c>
      <c r="M50" s="142" t="n">
        <v>1.613813876194433</v>
      </c>
      <c r="N50" s="131" t="n">
        <v>0.0164603163243398</v>
      </c>
      <c r="O50" s="131" t="n">
        <v>0.01109928538847499</v>
      </c>
      <c r="P50" s="131" t="n">
        <v>-0.3256942837688651</v>
      </c>
      <c r="Q50" s="129" t="n">
        <v>305.33</v>
      </c>
      <c r="R50" s="129" t="n">
        <v>233.425</v>
      </c>
      <c r="S50" s="131" t="n">
        <v>-0.235499295843841</v>
      </c>
      <c r="T50" s="131" t="n">
        <v>0</v>
      </c>
      <c r="U50" s="131" t="n">
        <v>0</v>
      </c>
      <c r="V50" s="131" t="n">
        <v>0</v>
      </c>
      <c r="W50" s="131" t="n">
        <v>0.02074939824170732</v>
      </c>
      <c r="X50" s="102" t="n">
        <v>1612</v>
      </c>
      <c r="Y50" s="102" t="n">
        <v>11</v>
      </c>
      <c r="Z50" s="102" t="n">
        <v>7</v>
      </c>
      <c r="AA50" s="144" t="n">
        <v>30.3</v>
      </c>
      <c r="AB50" s="110" t="inlineStr">
        <is>
          <t>Keep live</t>
        </is>
      </c>
    </row>
    <row r="51">
      <c r="A51" s="102" t="inlineStr">
        <is>
          <t>Meta (FB/IG)</t>
        </is>
      </c>
      <c r="B51" s="102" t="inlineStr">
        <is>
          <t>Meta</t>
        </is>
      </c>
      <c r="C51" s="102" t="inlineStr">
        <is>
          <t>AMUR_VID_15s_CityDrive_v1</t>
        </is>
      </c>
      <c r="D51" s="102" t="inlineStr">
        <is>
          <t>Video 9:16</t>
        </is>
      </c>
      <c r="E51" s="102" t="inlineStr">
        <is>
          <t>Price / offer</t>
        </is>
      </c>
      <c r="F51" s="102" t="inlineStr">
        <is>
          <t>Your first Lepas. R3 599pm.</t>
        </is>
      </c>
      <c r="G51" s="103" t="n">
        <v>46235</v>
      </c>
      <c r="H51" s="103" t="n">
        <v>46252</v>
      </c>
      <c r="I51" s="102" t="n">
        <v>18</v>
      </c>
      <c r="J51" s="129" t="n">
        <v>5422.4</v>
      </c>
      <c r="K51" s="102" t="n">
        <v>82851</v>
      </c>
      <c r="L51" s="102" t="n">
        <v>55496</v>
      </c>
      <c r="M51" s="142" t="n">
        <v>1.492918408533948</v>
      </c>
      <c r="N51" s="131" t="n">
        <v>0.01445017864231838</v>
      </c>
      <c r="O51" s="131" t="n">
        <v>0.01055255504777732</v>
      </c>
      <c r="P51" s="131" t="n">
        <v>-0.269728402050795</v>
      </c>
      <c r="Q51" s="129" t="n">
        <v>409.0600000000001</v>
      </c>
      <c r="R51" s="129" t="n">
        <v>273.8</v>
      </c>
      <c r="S51" s="131" t="n">
        <v>-0.3306605387962647</v>
      </c>
      <c r="T51" s="131" t="n">
        <v>0.3218548961388517</v>
      </c>
      <c r="U51" s="131" t="n">
        <v>0.2661441536038401</v>
      </c>
      <c r="V51" s="131" t="n">
        <v>0.5142409810245256</v>
      </c>
      <c r="W51" s="131" t="n">
        <v>0.02155677058816429</v>
      </c>
      <c r="X51" s="102" t="n">
        <v>1786</v>
      </c>
      <c r="Y51" s="102" t="n">
        <v>14</v>
      </c>
      <c r="Z51" s="102" t="n">
        <v>10</v>
      </c>
      <c r="AA51" s="144" t="n">
        <v>30</v>
      </c>
      <c r="AB51" s="110" t="inlineStr">
        <is>
          <t>Keep live</t>
        </is>
      </c>
    </row>
    <row r="52">
      <c r="A52" s="102" t="inlineStr">
        <is>
          <t>Meta (FB/IG)</t>
        </is>
      </c>
      <c r="B52" s="102" t="inlineStr">
        <is>
          <t>Meta</t>
        </is>
      </c>
      <c r="C52" s="102" t="inlineStr">
        <is>
          <t>AMUR_CAR_4card_SpecStack_v1</t>
        </is>
      </c>
      <c r="D52" s="102" t="inlineStr">
        <is>
          <t>Carousel</t>
        </is>
      </c>
      <c r="E52" s="102" t="inlineStr">
        <is>
          <t>Price / offer</t>
        </is>
      </c>
      <c r="F52" s="102" t="inlineStr">
        <is>
          <t>4 reasons the AMUR outsells its class</t>
        </is>
      </c>
      <c r="G52" s="103" t="n">
        <v>46235</v>
      </c>
      <c r="H52" s="103" t="n">
        <v>46265</v>
      </c>
      <c r="I52" s="102" t="n">
        <v>31</v>
      </c>
      <c r="J52" s="129" t="n">
        <v>14862.39</v>
      </c>
      <c r="K52" s="102" t="n">
        <v>206385</v>
      </c>
      <c r="L52" s="102" t="n">
        <v>128242</v>
      </c>
      <c r="M52" s="142" t="n">
        <v>1.609340153771775</v>
      </c>
      <c r="N52" s="131" t="n">
        <v>0.01570431472081218</v>
      </c>
      <c r="O52" s="131" t="n">
        <v>0.01149246777449915</v>
      </c>
      <c r="P52" s="131" t="n">
        <v>-0.2681967994904785</v>
      </c>
      <c r="Q52" s="129" t="n">
        <v>885.9200000000001</v>
      </c>
      <c r="R52" s="129" t="n">
        <v>336.648</v>
      </c>
      <c r="S52" s="131" t="n">
        <v>-0.6200018060321475</v>
      </c>
      <c r="T52" s="131" t="n">
        <v>0</v>
      </c>
      <c r="U52" s="131" t="n">
        <v>0</v>
      </c>
      <c r="V52" s="131" t="n">
        <v>0</v>
      </c>
      <c r="W52" s="131" t="n">
        <v>0.02238534777236718</v>
      </c>
      <c r="X52" s="102" t="n">
        <v>4620</v>
      </c>
      <c r="Y52" s="102" t="n">
        <v>42</v>
      </c>
      <c r="Z52" s="102" t="n">
        <v>30</v>
      </c>
      <c r="AA52" s="144" t="n">
        <v>28.7</v>
      </c>
      <c r="AB52" s="110" t="inlineStr">
        <is>
          <t>Keep live</t>
        </is>
      </c>
    </row>
    <row r="53">
      <c r="A53" s="102" t="inlineStr">
        <is>
          <t>X</t>
        </is>
      </c>
      <c r="B53" s="102" t="inlineStr">
        <is>
          <t>X</t>
        </is>
      </c>
      <c r="C53" s="102" t="inlineStr">
        <is>
          <t>X_STA_RangeOffer_v1</t>
        </is>
      </c>
      <c r="D53" s="102" t="inlineStr">
        <is>
          <t>Image Ad</t>
        </is>
      </c>
      <c r="E53" s="102" t="inlineStr">
        <is>
          <t>Price / offer</t>
        </is>
      </c>
      <c r="F53" s="102" t="inlineStr">
        <is>
          <t>Three models. One test drive.</t>
        </is>
      </c>
      <c r="G53" s="103" t="n">
        <v>46235</v>
      </c>
      <c r="H53" s="103" t="n">
        <v>46265</v>
      </c>
      <c r="I53" s="102" t="n">
        <v>31</v>
      </c>
      <c r="J53" s="129" t="n">
        <v>14555.93</v>
      </c>
      <c r="K53" s="102" t="n">
        <v>226616</v>
      </c>
      <c r="L53" s="102" t="n">
        <v>149460</v>
      </c>
      <c r="M53" s="142" t="n">
        <v>1.516231767697043</v>
      </c>
      <c r="N53" s="131" t="n">
        <v>0.01027437244600117</v>
      </c>
      <c r="O53" s="131" t="n">
        <v>0.008369251370464912</v>
      </c>
      <c r="P53" s="131" t="n">
        <v>-0.1854245683178185</v>
      </c>
      <c r="Q53" s="129" t="n">
        <v>302.295</v>
      </c>
      <c r="R53" s="129" t="n">
        <v>296.698</v>
      </c>
      <c r="S53" s="131" t="n">
        <v>-0.01851502671231756</v>
      </c>
      <c r="T53" s="131" t="n">
        <v>0</v>
      </c>
      <c r="U53" s="131" t="n">
        <v>0</v>
      </c>
      <c r="V53" s="131" t="n">
        <v>0</v>
      </c>
      <c r="W53" s="131" t="n">
        <v>0.01856003106576764</v>
      </c>
      <c r="X53" s="102" t="n">
        <v>4206</v>
      </c>
      <c r="Y53" s="102" t="n">
        <v>28</v>
      </c>
      <c r="Z53" s="102" t="n">
        <v>19</v>
      </c>
      <c r="AA53" s="144" t="n">
        <v>25.4</v>
      </c>
      <c r="AB53" s="110" t="inlineStr">
        <is>
          <t>Keep live</t>
        </is>
      </c>
    </row>
    <row r="54">
      <c r="A54" s="102" t="inlineStr">
        <is>
          <t>Meta (FB/IG)</t>
        </is>
      </c>
      <c r="B54" s="102" t="inlineStr">
        <is>
          <t>Meta</t>
        </is>
      </c>
      <c r="C54" s="102" t="inlineStr">
        <is>
          <t>PANTERA_STA_Offer_0Dep_v1</t>
        </is>
      </c>
      <c r="D54" s="102" t="inlineStr">
        <is>
          <t>Static 1:1</t>
        </is>
      </c>
      <c r="E54" s="102" t="inlineStr">
        <is>
          <t>Price / offer</t>
        </is>
      </c>
      <c r="F54" s="102" t="inlineStr">
        <is>
          <t>PANTERA. Zero deposit.</t>
        </is>
      </c>
      <c r="G54" s="103" t="n">
        <v>46235</v>
      </c>
      <c r="H54" s="103" t="n">
        <v>46250</v>
      </c>
      <c r="I54" s="102" t="n">
        <v>16</v>
      </c>
      <c r="J54" s="129" t="n">
        <v>3395.22</v>
      </c>
      <c r="K54" s="102" t="n">
        <v>50268</v>
      </c>
      <c r="L54" s="102" t="n">
        <v>34420</v>
      </c>
      <c r="M54" s="142" t="n">
        <v>1.460429982568274</v>
      </c>
      <c r="N54" s="131" t="n">
        <v>0.01242068313757257</v>
      </c>
      <c r="O54" s="131" t="n">
        <v>0.01088542251150264</v>
      </c>
      <c r="P54" s="131" t="n">
        <v>-0.12360516801413</v>
      </c>
      <c r="Q54" s="129" t="n">
        <v>541.5599999999999</v>
      </c>
      <c r="R54" s="129" t="n">
        <v>337.24</v>
      </c>
      <c r="S54" s="131" t="n">
        <v>-0.3772804490730481</v>
      </c>
      <c r="T54" s="131" t="n">
        <v>0</v>
      </c>
      <c r="U54" s="131" t="n">
        <v>0</v>
      </c>
      <c r="V54" s="131" t="n">
        <v>0</v>
      </c>
      <c r="W54" s="131" t="n">
        <v>0.0235537518898703</v>
      </c>
      <c r="X54" s="102" t="n">
        <v>1184</v>
      </c>
      <c r="Y54" s="102" t="n">
        <v>7</v>
      </c>
      <c r="Z54" s="102" t="n">
        <v>5</v>
      </c>
      <c r="AA54" s="144" t="n">
        <v>23</v>
      </c>
      <c r="AB54" s="110" t="inlineStr">
        <is>
          <t>Keep live</t>
        </is>
      </c>
    </row>
    <row r="55">
      <c r="A55" s="102" t="inlineStr">
        <is>
          <t>Meta (FB/IG)</t>
        </is>
      </c>
      <c r="B55" s="102" t="inlineStr">
        <is>
          <t>Meta</t>
        </is>
      </c>
      <c r="C55" s="102" t="inlineStr">
        <is>
          <t>AMUR_STA_Offer_0Dep_v1</t>
        </is>
      </c>
      <c r="D55" s="102" t="inlineStr">
        <is>
          <t>Static 1:1</t>
        </is>
      </c>
      <c r="E55" s="102" t="inlineStr">
        <is>
          <t>Price / offer</t>
        </is>
      </c>
      <c r="F55" s="102" t="inlineStr">
        <is>
          <t>0% deposit. Book your test drive.</t>
        </is>
      </c>
      <c r="G55" s="103" t="n">
        <v>46235</v>
      </c>
      <c r="H55" s="103" t="n">
        <v>46265</v>
      </c>
      <c r="I55" s="102" t="n">
        <v>31</v>
      </c>
      <c r="J55" s="129" t="n">
        <v>8266.92</v>
      </c>
      <c r="K55" s="102" t="n">
        <v>109843</v>
      </c>
      <c r="L55" s="102" t="n">
        <v>74134</v>
      </c>
      <c r="M55" s="142" t="n">
        <v>1.481681819408099</v>
      </c>
      <c r="N55" s="131" t="n">
        <v>0.01312599280996572</v>
      </c>
      <c r="O55" s="131" t="n">
        <v>0.01168120656513382</v>
      </c>
      <c r="P55" s="131" t="n">
        <v>-0.1100706259518117</v>
      </c>
      <c r="Q55" s="129" t="n">
        <v>184.126</v>
      </c>
      <c r="R55" s="129" t="n">
        <v>0</v>
      </c>
      <c r="S55" s="131" t="n">
        <v>-1</v>
      </c>
      <c r="T55" s="131" t="n">
        <v>0</v>
      </c>
      <c r="U55" s="131" t="n">
        <v>0</v>
      </c>
      <c r="V55" s="131" t="n">
        <v>0</v>
      </c>
      <c r="W55" s="131" t="n">
        <v>0.02272334149649955</v>
      </c>
      <c r="X55" s="102" t="n">
        <v>2496</v>
      </c>
      <c r="Y55" s="102" t="n">
        <v>30</v>
      </c>
      <c r="Z55" s="102" t="n">
        <v>17</v>
      </c>
      <c r="AA55" s="144" t="n">
        <v>22.9</v>
      </c>
      <c r="AB55" s="110" t="inlineStr">
        <is>
          <t>Keep live</t>
        </is>
      </c>
    </row>
  </sheetData>
  <autoFilter ref="A1:AB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E8FBF"/>
    <outlinePr summaryBelow="1" summaryRight="1"/>
    <pageSetUpPr fitToPage="1"/>
  </sheetPr>
  <dimension ref="A1:S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:J1"/>
    </sheetView>
  </sheetViews>
  <sheetFormatPr baseColWidth="10" defaultColWidth="8.83203125" defaultRowHeight="15"/>
  <cols>
    <col width="18" customWidth="1" style="67" min="1" max="1"/>
    <col width="30" customWidth="1" style="67" min="2" max="2"/>
    <col width="14" customWidth="1" style="67" min="3" max="3"/>
    <col width="13" customWidth="1" style="67" min="4" max="4"/>
    <col width="12" customWidth="1" style="67" min="5" max="5"/>
    <col width="10" customWidth="1" style="67" min="6" max="6"/>
    <col width="11" customWidth="1" style="67" min="7" max="8"/>
    <col width="13" customWidth="1" style="67" min="9" max="9"/>
    <col width="10" customWidth="1" style="67" min="10" max="10"/>
    <col width="13" customWidth="1" style="67" min="11" max="11"/>
    <col width="11" customWidth="1" style="67" min="12" max="12"/>
    <col width="13" customWidth="1" style="67" min="13" max="13"/>
    <col width="11" customWidth="1" style="67" min="14" max="14"/>
    <col width="10" customWidth="1" style="67" min="15" max="15"/>
    <col width="14" customWidth="1" style="67" min="16" max="16"/>
    <col width="12" customWidth="1" style="67" min="17" max="17"/>
    <col width="13" customWidth="1" style="67" min="18" max="19"/>
  </cols>
  <sheetData>
    <row r="1" ht="24" customHeight="1" s="67">
      <c r="A1" s="71" t="inlineStr">
        <is>
          <t>Placement Breakdown</t>
        </is>
      </c>
    </row>
    <row r="2">
      <c r="A2" s="68" t="inlineStr">
        <is>
          <t>Where the impressions actually served. CPL Index compares each placement to its own channel average — above 1.00 is more expensive than the channel norm.</t>
        </is>
      </c>
    </row>
    <row r="4" ht="30" customHeight="1" s="67">
      <c r="A4" s="12" t="inlineStr">
        <is>
          <t>Channel</t>
        </is>
      </c>
      <c r="B4" s="12" t="inlineStr">
        <is>
          <t>Placement</t>
        </is>
      </c>
      <c r="C4" s="12" t="inlineStr">
        <is>
          <t>Spend (ZAR)</t>
        </is>
      </c>
      <c r="D4" s="12" t="inlineStr">
        <is>
          <t>Impressions</t>
        </is>
      </c>
      <c r="E4" s="12" t="inlineStr">
        <is>
          <t>Link Clicks</t>
        </is>
      </c>
      <c r="F4" s="12" t="inlineStr">
        <is>
          <t>CTR (Link)</t>
        </is>
      </c>
      <c r="G4" s="12" t="inlineStr">
        <is>
          <t>CPC (Link)</t>
        </is>
      </c>
      <c r="H4" s="12" t="inlineStr">
        <is>
          <t>CPM</t>
        </is>
      </c>
      <c r="I4" s="12" t="inlineStr">
        <is>
          <t>Landing Page Views</t>
        </is>
      </c>
      <c r="J4" s="12" t="inlineStr">
        <is>
          <t>LPV Rate</t>
        </is>
      </c>
      <c r="K4" s="12" t="inlineStr">
        <is>
          <t>Test Drive Bookings</t>
        </is>
      </c>
      <c r="L4" s="12" t="inlineStr">
        <is>
          <t>CVR (Booking / LPV)</t>
        </is>
      </c>
      <c r="M4" s="12" t="inlineStr">
        <is>
          <t>CPL (Cost / Booking)</t>
        </is>
      </c>
      <c r="N4" s="12" t="inlineStr">
        <is>
          <t>Qualified Leads</t>
        </is>
      </c>
      <c r="O4" s="12" t="inlineStr">
        <is>
          <t>Qualified Rate</t>
        </is>
      </c>
      <c r="P4" s="12" t="inlineStr">
        <is>
          <t>Cost per Qualified Lead</t>
        </is>
      </c>
      <c r="Q4" s="12" t="inlineStr">
        <is>
          <t>% of Channel Spend</t>
        </is>
      </c>
      <c r="R4" s="12" t="inlineStr">
        <is>
          <t>% of Channel Bookings</t>
        </is>
      </c>
      <c r="S4" s="12" t="inlineStr">
        <is>
          <t>CPL Index vs Channel Avg</t>
        </is>
      </c>
    </row>
    <row r="5">
      <c r="A5" s="6" t="inlineStr">
        <is>
          <t>Meta (FB/IG)</t>
        </is>
      </c>
      <c r="B5" s="78" t="inlineStr">
        <is>
          <t>Facebook Feed</t>
        </is>
      </c>
      <c r="C5" s="86" t="n">
        <v>42840</v>
      </c>
      <c r="D5" s="87" t="n">
        <v>559493</v>
      </c>
      <c r="E5" s="87" t="n">
        <v>8909</v>
      </c>
      <c r="F5" s="89">
        <f>IFERROR(E5/D5,"")</f>
        <v/>
      </c>
      <c r="G5" s="90">
        <f>IFERROR(C5/E5,"")</f>
        <v/>
      </c>
      <c r="H5" s="90">
        <f>IFERROR(C5/D5*1000,"")</f>
        <v/>
      </c>
      <c r="I5" s="87" t="n">
        <v>7584</v>
      </c>
      <c r="J5" s="18">
        <f>IFERROR(I5/E5,"")</f>
        <v/>
      </c>
      <c r="K5" s="87" t="n">
        <v>208</v>
      </c>
      <c r="L5" s="89">
        <f>IFERROR(K5/I5,"")</f>
        <v/>
      </c>
      <c r="M5" s="86">
        <f>IFERROR(C5/K5,"")</f>
        <v/>
      </c>
      <c r="N5" s="87" t="n">
        <v>136</v>
      </c>
      <c r="O5" s="18">
        <f>IFERROR(N5/K5,"")</f>
        <v/>
      </c>
      <c r="P5" s="86">
        <f>IFERROR(C5/N5,"")</f>
        <v/>
      </c>
      <c r="Q5" s="18">
        <f>IFERROR(C5/SUMIFS($C$5:$C$26,$A$5:$A$26,$A5),"")</f>
        <v/>
      </c>
      <c r="R5" s="18">
        <f>IFERROR(K5/SUMIFS($K$5:$K$26,$A$5:$A$26,$A5),"")</f>
        <v/>
      </c>
      <c r="S5" s="111">
        <f>IFERROR(M5/(SUMIFS($C$5:$C$26,$A$5:$A$26,$A5)/SUMIFS($K$5:$K$26,$A$5:$A$26,$A5)),"")</f>
        <v/>
      </c>
    </row>
    <row r="6">
      <c r="A6" s="6" t="inlineStr">
        <is>
          <t>Meta (FB/IG)</t>
        </is>
      </c>
      <c r="B6" s="78" t="inlineStr">
        <is>
          <t>Instagram Feed</t>
        </is>
      </c>
      <c r="C6" s="86" t="n">
        <v>29400</v>
      </c>
      <c r="D6" s="87" t="n">
        <v>383965</v>
      </c>
      <c r="E6" s="87" t="n">
        <v>5883</v>
      </c>
      <c r="F6" s="89">
        <f>IFERROR(E6/D6,"")</f>
        <v/>
      </c>
      <c r="G6" s="90">
        <f>IFERROR(C6/E6,"")</f>
        <v/>
      </c>
      <c r="H6" s="90">
        <f>IFERROR(C6/D6*1000,"")</f>
        <v/>
      </c>
      <c r="I6" s="87" t="n">
        <v>5008</v>
      </c>
      <c r="J6" s="18">
        <f>IFERROR(I6/E6,"")</f>
        <v/>
      </c>
      <c r="K6" s="87" t="n">
        <v>122</v>
      </c>
      <c r="L6" s="89">
        <f>IFERROR(K6/I6,"")</f>
        <v/>
      </c>
      <c r="M6" s="86">
        <f>IFERROR(C6/K6,"")</f>
        <v/>
      </c>
      <c r="N6" s="87" t="n">
        <v>80</v>
      </c>
      <c r="O6" s="18">
        <f>IFERROR(N6/K6,"")</f>
        <v/>
      </c>
      <c r="P6" s="86">
        <f>IFERROR(C6/N6,"")</f>
        <v/>
      </c>
      <c r="Q6" s="18">
        <f>IFERROR(C6/SUMIFS($C$5:$C$26,$A$5:$A$26,$A6),"")</f>
        <v/>
      </c>
      <c r="R6" s="18">
        <f>IFERROR(K6/SUMIFS($K$5:$K$26,$A$5:$A$26,$A6),"")</f>
        <v/>
      </c>
      <c r="S6" s="111">
        <f>IFERROR(M6/(SUMIFS($C$5:$C$26,$A$5:$A$26,$A6)/SUMIFS($K$5:$K$26,$A$5:$A$26,$A6)),"")</f>
        <v/>
      </c>
    </row>
    <row r="7">
      <c r="A7" s="6" t="inlineStr">
        <is>
          <t>Meta (FB/IG)</t>
        </is>
      </c>
      <c r="B7" s="78" t="inlineStr">
        <is>
          <t>Instagram Reels</t>
        </is>
      </c>
      <c r="C7" s="86" t="n">
        <v>34440</v>
      </c>
      <c r="D7" s="87" t="n">
        <v>449788</v>
      </c>
      <c r="E7" s="87" t="n">
        <v>5946</v>
      </c>
      <c r="F7" s="89">
        <f>IFERROR(E7/D7,"")</f>
        <v/>
      </c>
      <c r="G7" s="90">
        <f>IFERROR(C7/E7,"")</f>
        <v/>
      </c>
      <c r="H7" s="90">
        <f>IFERROR(C7/D7*1000,"")</f>
        <v/>
      </c>
      <c r="I7" s="87" t="n">
        <v>5062</v>
      </c>
      <c r="J7" s="18">
        <f>IFERROR(I7/E7,"")</f>
        <v/>
      </c>
      <c r="K7" s="87" t="n">
        <v>93</v>
      </c>
      <c r="L7" s="89">
        <f>IFERROR(K7/I7,"")</f>
        <v/>
      </c>
      <c r="M7" s="86">
        <f>IFERROR(C7/K7,"")</f>
        <v/>
      </c>
      <c r="N7" s="87" t="n">
        <v>61</v>
      </c>
      <c r="O7" s="18">
        <f>IFERROR(N7/K7,"")</f>
        <v/>
      </c>
      <c r="P7" s="86">
        <f>IFERROR(C7/N7,"")</f>
        <v/>
      </c>
      <c r="Q7" s="18">
        <f>IFERROR(C7/SUMIFS($C$5:$C$26,$A$5:$A$26,$A7),"")</f>
        <v/>
      </c>
      <c r="R7" s="18">
        <f>IFERROR(K7/SUMIFS($K$5:$K$26,$A$5:$A$26,$A7),"")</f>
        <v/>
      </c>
      <c r="S7" s="111">
        <f>IFERROR(M7/(SUMIFS($C$5:$C$26,$A$5:$A$26,$A7)/SUMIFS($K$5:$K$26,$A$5:$A$26,$A7)),"")</f>
        <v/>
      </c>
    </row>
    <row r="8">
      <c r="A8" s="6" t="inlineStr">
        <is>
          <t>Meta (FB/IG)</t>
        </is>
      </c>
      <c r="B8" s="78" t="inlineStr">
        <is>
          <t>Instagram Stories</t>
        </is>
      </c>
      <c r="C8" s="86" t="n">
        <v>19320</v>
      </c>
      <c r="D8" s="87" t="n">
        <v>252320</v>
      </c>
      <c r="E8" s="87" t="n">
        <v>3146</v>
      </c>
      <c r="F8" s="89">
        <f>IFERROR(E8/D8,"")</f>
        <v/>
      </c>
      <c r="G8" s="90">
        <f>IFERROR(C8/E8,"")</f>
        <v/>
      </c>
      <c r="H8" s="90">
        <f>IFERROR(C8/D8*1000,"")</f>
        <v/>
      </c>
      <c r="I8" s="87" t="n">
        <v>2678</v>
      </c>
      <c r="J8" s="18">
        <f>IFERROR(I8/E8,"")</f>
        <v/>
      </c>
      <c r="K8" s="87" t="n">
        <v>54</v>
      </c>
      <c r="L8" s="89">
        <f>IFERROR(K8/I8,"")</f>
        <v/>
      </c>
      <c r="M8" s="86">
        <f>IFERROR(C8/K8,"")</f>
        <v/>
      </c>
      <c r="N8" s="87" t="n">
        <v>35</v>
      </c>
      <c r="O8" s="18">
        <f>IFERROR(N8/K8,"")</f>
        <v/>
      </c>
      <c r="P8" s="86">
        <f>IFERROR(C8/N8,"")</f>
        <v/>
      </c>
      <c r="Q8" s="18">
        <f>IFERROR(C8/SUMIFS($C$5:$C$26,$A$5:$A$26,$A8),"")</f>
        <v/>
      </c>
      <c r="R8" s="18">
        <f>IFERROR(K8/SUMIFS($K$5:$K$26,$A$5:$A$26,$A8),"")</f>
        <v/>
      </c>
      <c r="S8" s="111">
        <f>IFERROR(M8/(SUMIFS($C$5:$C$26,$A$5:$A$26,$A8)/SUMIFS($K$5:$K$26,$A$5:$A$26,$A8)),"")</f>
        <v/>
      </c>
    </row>
    <row r="9">
      <c r="A9" s="6" t="inlineStr">
        <is>
          <t>Meta (FB/IG)</t>
        </is>
      </c>
      <c r="B9" s="78" t="inlineStr">
        <is>
          <t>Facebook Reels</t>
        </is>
      </c>
      <c r="C9" s="86" t="n">
        <v>15120</v>
      </c>
      <c r="D9" s="87" t="n">
        <v>197468</v>
      </c>
      <c r="E9" s="87" t="n">
        <v>2343</v>
      </c>
      <c r="F9" s="89">
        <f>IFERROR(E9/D9,"")</f>
        <v/>
      </c>
      <c r="G9" s="90">
        <f>IFERROR(C9/E9,"")</f>
        <v/>
      </c>
      <c r="H9" s="90">
        <f>IFERROR(C9/D9*1000,"")</f>
        <v/>
      </c>
      <c r="I9" s="87" t="n">
        <v>1995</v>
      </c>
      <c r="J9" s="18">
        <f>IFERROR(I9/E9,"")</f>
        <v/>
      </c>
      <c r="K9" s="87" t="n">
        <v>33</v>
      </c>
      <c r="L9" s="89">
        <f>IFERROR(K9/I9,"")</f>
        <v/>
      </c>
      <c r="M9" s="86">
        <f>IFERROR(C9/K9,"")</f>
        <v/>
      </c>
      <c r="N9" s="87" t="n">
        <v>21</v>
      </c>
      <c r="O9" s="18">
        <f>IFERROR(N9/K9,"")</f>
        <v/>
      </c>
      <c r="P9" s="86">
        <f>IFERROR(C9/N9,"")</f>
        <v/>
      </c>
      <c r="Q9" s="18">
        <f>IFERROR(C9/SUMIFS($C$5:$C$26,$A$5:$A$26,$A9),"")</f>
        <v/>
      </c>
      <c r="R9" s="18">
        <f>IFERROR(K9/SUMIFS($K$5:$K$26,$A$5:$A$26,$A9),"")</f>
        <v/>
      </c>
      <c r="S9" s="111">
        <f>IFERROR(M9/(SUMIFS($C$5:$C$26,$A$5:$A$26,$A9)/SUMIFS($K$5:$K$26,$A$5:$A$26,$A9)),"")</f>
        <v/>
      </c>
    </row>
    <row r="10">
      <c r="A10" s="6" t="inlineStr">
        <is>
          <t>Meta (FB/IG)</t>
        </is>
      </c>
      <c r="B10" s="78" t="inlineStr">
        <is>
          <t>Instagram Explore</t>
        </is>
      </c>
      <c r="C10" s="86" t="n">
        <v>9240</v>
      </c>
      <c r="D10" s="87" t="n">
        <v>120675</v>
      </c>
      <c r="E10" s="87" t="n">
        <v>1650</v>
      </c>
      <c r="F10" s="89">
        <f>IFERROR(E10/D10,"")</f>
        <v/>
      </c>
      <c r="G10" s="90">
        <f>IFERROR(C10/E10,"")</f>
        <v/>
      </c>
      <c r="H10" s="90">
        <f>IFERROR(C10/D10*1000,"")</f>
        <v/>
      </c>
      <c r="I10" s="87" t="n">
        <v>1404</v>
      </c>
      <c r="J10" s="18">
        <f>IFERROR(I10/E10,"")</f>
        <v/>
      </c>
      <c r="K10" s="87" t="n">
        <v>27</v>
      </c>
      <c r="L10" s="89">
        <f>IFERROR(K10/I10,"")</f>
        <v/>
      </c>
      <c r="M10" s="86">
        <f>IFERROR(C10/K10,"")</f>
        <v/>
      </c>
      <c r="N10" s="87" t="n">
        <v>18</v>
      </c>
      <c r="O10" s="18">
        <f>IFERROR(N10/K10,"")</f>
        <v/>
      </c>
      <c r="P10" s="86">
        <f>IFERROR(C10/N10,"")</f>
        <v/>
      </c>
      <c r="Q10" s="18">
        <f>IFERROR(C10/SUMIFS($C$5:$C$26,$A$5:$A$26,$A10),"")</f>
        <v/>
      </c>
      <c r="R10" s="18">
        <f>IFERROR(K10/SUMIFS($K$5:$K$26,$A$5:$A$26,$A10),"")</f>
        <v/>
      </c>
      <c r="S10" s="111">
        <f>IFERROR(M10/(SUMIFS($C$5:$C$26,$A$5:$A$26,$A10)/SUMIFS($K$5:$K$26,$A$5:$A$26,$A10)),"")</f>
        <v/>
      </c>
    </row>
    <row r="11">
      <c r="A11" s="6" t="inlineStr">
        <is>
          <t>Meta (FB/IG)</t>
        </is>
      </c>
      <c r="B11" s="78" t="inlineStr">
        <is>
          <t>Facebook Marketplace</t>
        </is>
      </c>
      <c r="C11" s="86" t="n">
        <v>10080</v>
      </c>
      <c r="D11" s="87" t="n">
        <v>131645</v>
      </c>
      <c r="E11" s="87" t="n">
        <v>2393</v>
      </c>
      <c r="F11" s="89">
        <f>IFERROR(E11/D11,"")</f>
        <v/>
      </c>
      <c r="G11" s="90">
        <f>IFERROR(C11/E11,"")</f>
        <v/>
      </c>
      <c r="H11" s="90">
        <f>IFERROR(C11/D11*1000,"")</f>
        <v/>
      </c>
      <c r="I11" s="87" t="n">
        <v>2037</v>
      </c>
      <c r="J11" s="18">
        <f>IFERROR(I11/E11,"")</f>
        <v/>
      </c>
      <c r="K11" s="87" t="n">
        <v>63</v>
      </c>
      <c r="L11" s="89">
        <f>IFERROR(K11/I11,"")</f>
        <v/>
      </c>
      <c r="M11" s="86">
        <f>IFERROR(C11/K11,"")</f>
        <v/>
      </c>
      <c r="N11" s="87" t="n">
        <v>41</v>
      </c>
      <c r="O11" s="18">
        <f>IFERROR(N11/K11,"")</f>
        <v/>
      </c>
      <c r="P11" s="86">
        <f>IFERROR(C11/N11,"")</f>
        <v/>
      </c>
      <c r="Q11" s="18">
        <f>IFERROR(C11/SUMIFS($C$5:$C$26,$A$5:$A$26,$A11),"")</f>
        <v/>
      </c>
      <c r="R11" s="18">
        <f>IFERROR(K11/SUMIFS($K$5:$K$26,$A$5:$A$26,$A11),"")</f>
        <v/>
      </c>
      <c r="S11" s="111">
        <f>IFERROR(M11/(SUMIFS($C$5:$C$26,$A$5:$A$26,$A11)/SUMIFS($K$5:$K$26,$A$5:$A$26,$A11)),"")</f>
        <v/>
      </c>
    </row>
    <row r="12">
      <c r="A12" s="6" t="inlineStr">
        <is>
          <t>Meta (FB/IG)</t>
        </is>
      </c>
      <c r="B12" s="78" t="inlineStr">
        <is>
          <t>Audience Network</t>
        </is>
      </c>
      <c r="C12" s="86" t="n">
        <v>7560</v>
      </c>
      <c r="D12" s="87" t="n">
        <v>98734</v>
      </c>
      <c r="E12" s="87" t="n">
        <v>919</v>
      </c>
      <c r="F12" s="89">
        <f>IFERROR(E12/D12,"")</f>
        <v/>
      </c>
      <c r="G12" s="90">
        <f>IFERROR(C12/E12,"")</f>
        <v/>
      </c>
      <c r="H12" s="90">
        <f>IFERROR(C12/D12*1000,"")</f>
        <v/>
      </c>
      <c r="I12" s="87" t="n">
        <v>783</v>
      </c>
      <c r="J12" s="18">
        <f>IFERROR(I12/E12,"")</f>
        <v/>
      </c>
      <c r="K12" s="87" t="n">
        <v>8</v>
      </c>
      <c r="L12" s="89">
        <f>IFERROR(K12/I12,"")</f>
        <v/>
      </c>
      <c r="M12" s="86">
        <f>IFERROR(C12/K12,"")</f>
        <v/>
      </c>
      <c r="N12" s="87" t="n">
        <v>5</v>
      </c>
      <c r="O12" s="18">
        <f>IFERROR(N12/K12,"")</f>
        <v/>
      </c>
      <c r="P12" s="86">
        <f>IFERROR(C12/N12,"")</f>
        <v/>
      </c>
      <c r="Q12" s="18">
        <f>IFERROR(C12/SUMIFS($C$5:$C$26,$A$5:$A$26,$A12),"")</f>
        <v/>
      </c>
      <c r="R12" s="18">
        <f>IFERROR(K12/SUMIFS($K$5:$K$26,$A$5:$A$26,$A12),"")</f>
        <v/>
      </c>
      <c r="S12" s="111">
        <f>IFERROR(M12/(SUMIFS($C$5:$C$26,$A$5:$A$26,$A12)/SUMIFS($K$5:$K$26,$A$5:$A$26,$A12)),"")</f>
        <v/>
      </c>
    </row>
    <row r="13">
      <c r="A13" s="6" t="inlineStr">
        <is>
          <t>TikTok</t>
        </is>
      </c>
      <c r="B13" s="78" t="inlineStr">
        <is>
          <t>For You Feed</t>
        </is>
      </c>
      <c r="C13" s="86" t="n">
        <v>63840</v>
      </c>
      <c r="D13" s="87" t="n">
        <v>1694086</v>
      </c>
      <c r="E13" s="87" t="n">
        <v>16249</v>
      </c>
      <c r="F13" s="89">
        <f>IFERROR(E13/D13,"")</f>
        <v/>
      </c>
      <c r="G13" s="90">
        <f>IFERROR(C13/E13,"")</f>
        <v/>
      </c>
      <c r="H13" s="90">
        <f>IFERROR(C13/D13*1000,"")</f>
        <v/>
      </c>
      <c r="I13" s="87" t="n">
        <v>11099</v>
      </c>
      <c r="J13" s="18">
        <f>IFERROR(I13/E13,"")</f>
        <v/>
      </c>
      <c r="K13" s="87" t="n">
        <v>135</v>
      </c>
      <c r="L13" s="89">
        <f>IFERROR(K13/I13,"")</f>
        <v/>
      </c>
      <c r="M13" s="86">
        <f>IFERROR(C13/K13,"")</f>
        <v/>
      </c>
      <c r="N13" s="87" t="n">
        <v>74</v>
      </c>
      <c r="O13" s="18">
        <f>IFERROR(N13/K13,"")</f>
        <v/>
      </c>
      <c r="P13" s="86">
        <f>IFERROR(C13/N13,"")</f>
        <v/>
      </c>
      <c r="Q13" s="18">
        <f>IFERROR(C13/SUMIFS($C$5:$C$26,$A$5:$A$26,$A13),"")</f>
        <v/>
      </c>
      <c r="R13" s="18">
        <f>IFERROR(K13/SUMIFS($K$5:$K$26,$A$5:$A$26,$A13),"")</f>
        <v/>
      </c>
      <c r="S13" s="111">
        <f>IFERROR(M13/(SUMIFS($C$5:$C$26,$A$5:$A$26,$A13)/SUMIFS($K$5:$K$26,$A$5:$A$26,$A13)),"")</f>
        <v/>
      </c>
    </row>
    <row r="14">
      <c r="A14" s="6" t="inlineStr">
        <is>
          <t>TikTok</t>
        </is>
      </c>
      <c r="B14" s="78" t="inlineStr">
        <is>
          <t>TikTok Search Feed</t>
        </is>
      </c>
      <c r="C14" s="86" t="n">
        <v>9660</v>
      </c>
      <c r="D14" s="87" t="n">
        <v>256342</v>
      </c>
      <c r="E14" s="87" t="n">
        <v>2997</v>
      </c>
      <c r="F14" s="89">
        <f>IFERROR(E14/D14,"")</f>
        <v/>
      </c>
      <c r="G14" s="90">
        <f>IFERROR(C14/E14,"")</f>
        <v/>
      </c>
      <c r="H14" s="90">
        <f>IFERROR(C14/D14*1000,"")</f>
        <v/>
      </c>
      <c r="I14" s="87" t="n">
        <v>2047</v>
      </c>
      <c r="J14" s="18">
        <f>IFERROR(I14/E14,"")</f>
        <v/>
      </c>
      <c r="K14" s="87" t="n">
        <v>33</v>
      </c>
      <c r="L14" s="89">
        <f>IFERROR(K14/I14,"")</f>
        <v/>
      </c>
      <c r="M14" s="86">
        <f>IFERROR(C14/K14,"")</f>
        <v/>
      </c>
      <c r="N14" s="87" t="n">
        <v>18</v>
      </c>
      <c r="O14" s="18">
        <f>IFERROR(N14/K14,"")</f>
        <v/>
      </c>
      <c r="P14" s="86">
        <f>IFERROR(C14/N14,"")</f>
        <v/>
      </c>
      <c r="Q14" s="18">
        <f>IFERROR(C14/SUMIFS($C$5:$C$26,$A$5:$A$26,$A14),"")</f>
        <v/>
      </c>
      <c r="R14" s="18">
        <f>IFERROR(K14/SUMIFS($K$5:$K$26,$A$5:$A$26,$A14),"")</f>
        <v/>
      </c>
      <c r="S14" s="111">
        <f>IFERROR(M14/(SUMIFS($C$5:$C$26,$A$5:$A$26,$A14)/SUMIFS($K$5:$K$26,$A$5:$A$26,$A14)),"")</f>
        <v/>
      </c>
    </row>
    <row r="15">
      <c r="A15" s="6" t="inlineStr">
        <is>
          <t>TikTok</t>
        </is>
      </c>
      <c r="B15" s="78" t="inlineStr">
        <is>
          <t>Pangle (Audience Net.)</t>
        </is>
      </c>
      <c r="C15" s="86" t="n">
        <v>7140</v>
      </c>
      <c r="D15" s="87" t="n">
        <v>189470</v>
      </c>
      <c r="E15" s="87" t="n">
        <v>883</v>
      </c>
      <c r="F15" s="89">
        <f>IFERROR(E15/D15,"")</f>
        <v/>
      </c>
      <c r="G15" s="90">
        <f>IFERROR(C15/E15,"")</f>
        <v/>
      </c>
      <c r="H15" s="90">
        <f>IFERROR(C15/D15*1000,"")</f>
        <v/>
      </c>
      <c r="I15" s="87" t="n">
        <v>603</v>
      </c>
      <c r="J15" s="18">
        <f>IFERROR(I15/E15,"")</f>
        <v/>
      </c>
      <c r="K15" s="87" t="n">
        <v>2</v>
      </c>
      <c r="L15" s="89">
        <f>IFERROR(K15/I15,"")</f>
        <v/>
      </c>
      <c r="M15" s="86">
        <f>IFERROR(C15/K15,"")</f>
        <v/>
      </c>
      <c r="N15" s="87" t="n">
        <v>1</v>
      </c>
      <c r="O15" s="18">
        <f>IFERROR(N15/K15,"")</f>
        <v/>
      </c>
      <c r="P15" s="86">
        <f>IFERROR(C15/N15,"")</f>
        <v/>
      </c>
      <c r="Q15" s="18">
        <f>IFERROR(C15/SUMIFS($C$5:$C$26,$A$5:$A$26,$A15),"")</f>
        <v/>
      </c>
      <c r="R15" s="18">
        <f>IFERROR(K15/SUMIFS($K$5:$K$26,$A$5:$A$26,$A15),"")</f>
        <v/>
      </c>
      <c r="S15" s="111">
        <f>IFERROR(M15/(SUMIFS($C$5:$C$26,$A$5:$A$26,$A15)/SUMIFS($K$5:$K$26,$A$5:$A$26,$A15)),"")</f>
        <v/>
      </c>
    </row>
    <row r="16">
      <c r="A16" s="6" t="inlineStr">
        <is>
          <t>TikTok</t>
        </is>
      </c>
      <c r="B16" s="78" t="inlineStr">
        <is>
          <t>TikTok Profile Feed</t>
        </is>
      </c>
      <c r="C16" s="86" t="n">
        <v>3360</v>
      </c>
      <c r="D16" s="87" t="n">
        <v>89163</v>
      </c>
      <c r="E16" s="87" t="n">
        <v>709</v>
      </c>
      <c r="F16" s="89">
        <f>IFERROR(E16/D16,"")</f>
        <v/>
      </c>
      <c r="G16" s="90">
        <f>IFERROR(C16/E16,"")</f>
        <v/>
      </c>
      <c r="H16" s="90">
        <f>IFERROR(C16/D16*1000,"")</f>
        <v/>
      </c>
      <c r="I16" s="87" t="n">
        <v>484</v>
      </c>
      <c r="J16" s="18">
        <f>IFERROR(I16/E16,"")</f>
        <v/>
      </c>
      <c r="K16" s="87" t="n">
        <v>4</v>
      </c>
      <c r="L16" s="89">
        <f>IFERROR(K16/I16,"")</f>
        <v/>
      </c>
      <c r="M16" s="86">
        <f>IFERROR(C16/K16,"")</f>
        <v/>
      </c>
      <c r="N16" s="87" t="n">
        <v>2</v>
      </c>
      <c r="O16" s="18">
        <f>IFERROR(N16/K16,"")</f>
        <v/>
      </c>
      <c r="P16" s="86">
        <f>IFERROR(C16/N16,"")</f>
        <v/>
      </c>
      <c r="Q16" s="18">
        <f>IFERROR(C16/SUMIFS($C$5:$C$26,$A$5:$A$26,$A16),"")</f>
        <v/>
      </c>
      <c r="R16" s="18">
        <f>IFERROR(K16/SUMIFS($K$5:$K$26,$A$5:$A$26,$A16),"")</f>
        <v/>
      </c>
      <c r="S16" s="111">
        <f>IFERROR(M16/(SUMIFS($C$5:$C$26,$A$5:$A$26,$A16)/SUMIFS($K$5:$K$26,$A$5:$A$26,$A16)),"")</f>
        <v/>
      </c>
    </row>
    <row r="17">
      <c r="A17" s="6" t="inlineStr">
        <is>
          <t>X</t>
        </is>
      </c>
      <c r="B17" s="78" t="inlineStr">
        <is>
          <t>Home Timeline</t>
        </is>
      </c>
      <c r="C17" s="86" t="n">
        <v>29040</v>
      </c>
      <c r="D17" s="87" t="n">
        <v>477816</v>
      </c>
      <c r="E17" s="87" t="n">
        <v>3441</v>
      </c>
      <c r="F17" s="89">
        <f>IFERROR(E17/D17,"")</f>
        <v/>
      </c>
      <c r="G17" s="90">
        <f>IFERROR(C17/E17,"")</f>
        <v/>
      </c>
      <c r="H17" s="90">
        <f>IFERROR(C17/D17*1000,"")</f>
        <v/>
      </c>
      <c r="I17" s="87" t="n">
        <v>2618</v>
      </c>
      <c r="J17" s="18">
        <f>IFERROR(I17/E17,"")</f>
        <v/>
      </c>
      <c r="K17" s="87" t="n">
        <v>44</v>
      </c>
      <c r="L17" s="89">
        <f>IFERROR(K17/I17,"")</f>
        <v/>
      </c>
      <c r="M17" s="86">
        <f>IFERROR(C17/K17,"")</f>
        <v/>
      </c>
      <c r="N17" s="87" t="n">
        <v>29</v>
      </c>
      <c r="O17" s="18">
        <f>IFERROR(N17/K17,"")</f>
        <v/>
      </c>
      <c r="P17" s="86">
        <f>IFERROR(C17/N17,"")</f>
        <v/>
      </c>
      <c r="Q17" s="18">
        <f>IFERROR(C17/SUMIFS($C$5:$C$26,$A$5:$A$26,$A17),"")</f>
        <v/>
      </c>
      <c r="R17" s="18">
        <f>IFERROR(K17/SUMIFS($K$5:$K$26,$A$5:$A$26,$A17),"")</f>
        <v/>
      </c>
      <c r="S17" s="111">
        <f>IFERROR(M17/(SUMIFS($C$5:$C$26,$A$5:$A$26,$A17)/SUMIFS($K$5:$K$26,$A$5:$A$26,$A17)),"")</f>
        <v/>
      </c>
    </row>
    <row r="18">
      <c r="A18" s="6" t="inlineStr">
        <is>
          <t>X</t>
        </is>
      </c>
      <c r="B18" s="78" t="inlineStr">
        <is>
          <t>Search Results</t>
        </is>
      </c>
      <c r="C18" s="86" t="n">
        <v>7440</v>
      </c>
      <c r="D18" s="87" t="n">
        <v>122416</v>
      </c>
      <c r="E18" s="87" t="n">
        <v>1068</v>
      </c>
      <c r="F18" s="89">
        <f>IFERROR(E18/D18,"")</f>
        <v/>
      </c>
      <c r="G18" s="90">
        <f>IFERROR(C18/E18,"")</f>
        <v/>
      </c>
      <c r="H18" s="90">
        <f>IFERROR(C18/D18*1000,"")</f>
        <v/>
      </c>
      <c r="I18" s="87" t="n">
        <v>813</v>
      </c>
      <c r="J18" s="18">
        <f>IFERROR(I18/E18,"")</f>
        <v/>
      </c>
      <c r="K18" s="87" t="n">
        <v>18</v>
      </c>
      <c r="L18" s="89">
        <f>IFERROR(K18/I18,"")</f>
        <v/>
      </c>
      <c r="M18" s="86">
        <f>IFERROR(C18/K18,"")</f>
        <v/>
      </c>
      <c r="N18" s="87" t="n">
        <v>12</v>
      </c>
      <c r="O18" s="18">
        <f>IFERROR(N18/K18,"")</f>
        <v/>
      </c>
      <c r="P18" s="86">
        <f>IFERROR(C18/N18,"")</f>
        <v/>
      </c>
      <c r="Q18" s="18">
        <f>IFERROR(C18/SUMIFS($C$5:$C$26,$A$5:$A$26,$A18),"")</f>
        <v/>
      </c>
      <c r="R18" s="18">
        <f>IFERROR(K18/SUMIFS($K$5:$K$26,$A$5:$A$26,$A18),"")</f>
        <v/>
      </c>
      <c r="S18" s="111">
        <f>IFERROR(M18/(SUMIFS($C$5:$C$26,$A$5:$A$26,$A18)/SUMIFS($K$5:$K$26,$A$5:$A$26,$A18)),"")</f>
        <v/>
      </c>
    </row>
    <row r="19">
      <c r="A19" s="6" t="inlineStr">
        <is>
          <t>X</t>
        </is>
      </c>
      <c r="B19" s="78" t="inlineStr">
        <is>
          <t>Profile Timeline</t>
        </is>
      </c>
      <c r="C19" s="86" t="n">
        <v>6480</v>
      </c>
      <c r="D19" s="87" t="n">
        <v>106620</v>
      </c>
      <c r="E19" s="87" t="n">
        <v>635</v>
      </c>
      <c r="F19" s="89">
        <f>IFERROR(E19/D19,"")</f>
        <v/>
      </c>
      <c r="G19" s="90">
        <f>IFERROR(C19/E19,"")</f>
        <v/>
      </c>
      <c r="H19" s="90">
        <f>IFERROR(C19/D19*1000,"")</f>
        <v/>
      </c>
      <c r="I19" s="87" t="n">
        <v>483</v>
      </c>
      <c r="J19" s="18">
        <f>IFERROR(I19/E19,"")</f>
        <v/>
      </c>
      <c r="K19" s="87" t="n">
        <v>6</v>
      </c>
      <c r="L19" s="89">
        <f>IFERROR(K19/I19,"")</f>
        <v/>
      </c>
      <c r="M19" s="86">
        <f>IFERROR(C19/K19,"")</f>
        <v/>
      </c>
      <c r="N19" s="87" t="n">
        <v>4</v>
      </c>
      <c r="O19" s="18">
        <f>IFERROR(N19/K19,"")</f>
        <v/>
      </c>
      <c r="P19" s="86">
        <f>IFERROR(C19/N19,"")</f>
        <v/>
      </c>
      <c r="Q19" s="18">
        <f>IFERROR(C19/SUMIFS($C$5:$C$26,$A$5:$A$26,$A19),"")</f>
        <v/>
      </c>
      <c r="R19" s="18">
        <f>IFERROR(K19/SUMIFS($K$5:$K$26,$A$5:$A$26,$A19),"")</f>
        <v/>
      </c>
      <c r="S19" s="111">
        <f>IFERROR(M19/(SUMIFS($C$5:$C$26,$A$5:$A$26,$A19)/SUMIFS($K$5:$K$26,$A$5:$A$26,$A19)),"")</f>
        <v/>
      </c>
    </row>
    <row r="20">
      <c r="A20" s="6" t="inlineStr">
        <is>
          <t>X</t>
        </is>
      </c>
      <c r="B20" s="78" t="inlineStr">
        <is>
          <t>Reply Threads</t>
        </is>
      </c>
      <c r="C20" s="86" t="n">
        <v>5040</v>
      </c>
      <c r="D20" s="87" t="n">
        <v>82927</v>
      </c>
      <c r="E20" s="87" t="n">
        <v>413</v>
      </c>
      <c r="F20" s="89">
        <f>IFERROR(E20/D20,"")</f>
        <v/>
      </c>
      <c r="G20" s="90">
        <f>IFERROR(C20/E20,"")</f>
        <v/>
      </c>
      <c r="H20" s="90">
        <f>IFERROR(C20/D20*1000,"")</f>
        <v/>
      </c>
      <c r="I20" s="87" t="n">
        <v>315</v>
      </c>
      <c r="J20" s="18">
        <f>IFERROR(I20/E20,"")</f>
        <v/>
      </c>
      <c r="K20" s="87" t="n">
        <v>3</v>
      </c>
      <c r="L20" s="89">
        <f>IFERROR(K20/I20,"")</f>
        <v/>
      </c>
      <c r="M20" s="86">
        <f>IFERROR(C20/K20,"")</f>
        <v/>
      </c>
      <c r="N20" s="87" t="n">
        <v>2</v>
      </c>
      <c r="O20" s="18">
        <f>IFERROR(N20/K20,"")</f>
        <v/>
      </c>
      <c r="P20" s="86">
        <f>IFERROR(C20/N20,"")</f>
        <v/>
      </c>
      <c r="Q20" s="18">
        <f>IFERROR(C20/SUMIFS($C$5:$C$26,$A$5:$A$26,$A20),"")</f>
        <v/>
      </c>
      <c r="R20" s="18">
        <f>IFERROR(K20/SUMIFS($K$5:$K$26,$A$5:$A$26,$A20),"")</f>
        <v/>
      </c>
      <c r="S20" s="111">
        <f>IFERROR(M20/(SUMIFS($C$5:$C$26,$A$5:$A$26,$A20)/SUMIFS($K$5:$K$26,$A$5:$A$26,$A20)),"")</f>
        <v/>
      </c>
    </row>
    <row r="21">
      <c r="A21" s="6" t="inlineStr">
        <is>
          <t>Programmatic</t>
        </is>
      </c>
      <c r="B21" s="78" t="inlineStr">
        <is>
          <t>Display - Standard Banner</t>
        </is>
      </c>
      <c r="C21" s="86" t="n">
        <v>23500</v>
      </c>
      <c r="D21" s="87" t="n">
        <v>890224</v>
      </c>
      <c r="E21" s="87" t="n">
        <v>1617</v>
      </c>
      <c r="F21" s="89">
        <f>IFERROR(E21/D21,"")</f>
        <v/>
      </c>
      <c r="G21" s="90">
        <f>IFERROR(C21/E21,"")</f>
        <v/>
      </c>
      <c r="H21" s="90">
        <f>IFERROR(C21/D21*1000,"")</f>
        <v/>
      </c>
      <c r="I21" s="87" t="n">
        <v>1029</v>
      </c>
      <c r="J21" s="18">
        <f>IFERROR(I21/E21,"")</f>
        <v/>
      </c>
      <c r="K21" s="87" t="n">
        <v>21</v>
      </c>
      <c r="L21" s="89">
        <f>IFERROR(K21/I21,"")</f>
        <v/>
      </c>
      <c r="M21" s="86">
        <f>IFERROR(C21/K21,"")</f>
        <v/>
      </c>
      <c r="N21" s="87" t="n">
        <v>11</v>
      </c>
      <c r="O21" s="18">
        <f>IFERROR(N21/K21,"")</f>
        <v/>
      </c>
      <c r="P21" s="86">
        <f>IFERROR(C21/N21,"")</f>
        <v/>
      </c>
      <c r="Q21" s="18">
        <f>IFERROR(C21/SUMIFS($C$5:$C$26,$A$5:$A$26,$A21),"")</f>
        <v/>
      </c>
      <c r="R21" s="18">
        <f>IFERROR(K21/SUMIFS($K$5:$K$26,$A$5:$A$26,$A21),"")</f>
        <v/>
      </c>
      <c r="S21" s="111">
        <f>IFERROR(M21/(SUMIFS($C$5:$C$26,$A$5:$A$26,$A21)/SUMIFS($K$5:$K$26,$A$5:$A$26,$A21)),"")</f>
        <v/>
      </c>
    </row>
    <row r="22">
      <c r="A22" s="6" t="inlineStr">
        <is>
          <t>Programmatic</t>
        </is>
      </c>
      <c r="B22" s="78" t="inlineStr">
        <is>
          <t>Display - In-Article</t>
        </is>
      </c>
      <c r="C22" s="86" t="n">
        <v>17500</v>
      </c>
      <c r="D22" s="87" t="n">
        <v>662933</v>
      </c>
      <c r="E22" s="87" t="n">
        <v>1644</v>
      </c>
      <c r="F22" s="89">
        <f>IFERROR(E22/D22,"")</f>
        <v/>
      </c>
      <c r="G22" s="90">
        <f>IFERROR(C22/E22,"")</f>
        <v/>
      </c>
      <c r="H22" s="90">
        <f>IFERROR(C22/D22*1000,"")</f>
        <v/>
      </c>
      <c r="I22" s="87" t="n">
        <v>1047</v>
      </c>
      <c r="J22" s="18">
        <f>IFERROR(I22/E22,"")</f>
        <v/>
      </c>
      <c r="K22" s="87" t="n">
        <v>34</v>
      </c>
      <c r="L22" s="89">
        <f>IFERROR(K22/I22,"")</f>
        <v/>
      </c>
      <c r="M22" s="86">
        <f>IFERROR(C22/K22,"")</f>
        <v/>
      </c>
      <c r="N22" s="87" t="n">
        <v>18</v>
      </c>
      <c r="O22" s="18">
        <f>IFERROR(N22/K22,"")</f>
        <v/>
      </c>
      <c r="P22" s="86">
        <f>IFERROR(C22/N22,"")</f>
        <v/>
      </c>
      <c r="Q22" s="18">
        <f>IFERROR(C22/SUMIFS($C$5:$C$26,$A$5:$A$26,$A22),"")</f>
        <v/>
      </c>
      <c r="R22" s="18">
        <f>IFERROR(K22/SUMIFS($K$5:$K$26,$A$5:$A$26,$A22),"")</f>
        <v/>
      </c>
      <c r="S22" s="111">
        <f>IFERROR(M22/(SUMIFS($C$5:$C$26,$A$5:$A$26,$A22)/SUMIFS($K$5:$K$26,$A$5:$A$26,$A22)),"")</f>
        <v/>
      </c>
    </row>
    <row r="23">
      <c r="A23" s="6" t="inlineStr">
        <is>
          <t>Programmatic</t>
        </is>
      </c>
      <c r="B23" s="78" t="inlineStr">
        <is>
          <t>OLV Pre-roll</t>
        </is>
      </c>
      <c r="C23" s="86" t="n">
        <v>21500</v>
      </c>
      <c r="D23" s="87" t="n">
        <v>814460</v>
      </c>
      <c r="E23" s="87" t="n">
        <v>1696</v>
      </c>
      <c r="F23" s="89">
        <f>IFERROR(E23/D23,"")</f>
        <v/>
      </c>
      <c r="G23" s="90">
        <f>IFERROR(C23/E23,"")</f>
        <v/>
      </c>
      <c r="H23" s="90">
        <f>IFERROR(C23/D23*1000,"")</f>
        <v/>
      </c>
      <c r="I23" s="87" t="n">
        <v>1080</v>
      </c>
      <c r="J23" s="18">
        <f>IFERROR(I23/E23,"")</f>
        <v/>
      </c>
      <c r="K23" s="87" t="n">
        <v>30</v>
      </c>
      <c r="L23" s="89">
        <f>IFERROR(K23/I23,"")</f>
        <v/>
      </c>
      <c r="M23" s="86">
        <f>IFERROR(C23/K23,"")</f>
        <v/>
      </c>
      <c r="N23" s="87" t="n">
        <v>16</v>
      </c>
      <c r="O23" s="18">
        <f>IFERROR(N23/K23,"")</f>
        <v/>
      </c>
      <c r="P23" s="86">
        <f>IFERROR(C23/N23,"")</f>
        <v/>
      </c>
      <c r="Q23" s="18">
        <f>IFERROR(C23/SUMIFS($C$5:$C$26,$A$5:$A$26,$A23),"")</f>
        <v/>
      </c>
      <c r="R23" s="18">
        <f>IFERROR(K23/SUMIFS($K$5:$K$26,$A$5:$A$26,$A23),"")</f>
        <v/>
      </c>
      <c r="S23" s="111">
        <f>IFERROR(M23/(SUMIFS($C$5:$C$26,$A$5:$A$26,$A23)/SUMIFS($K$5:$K$26,$A$5:$A$26,$A23)),"")</f>
        <v/>
      </c>
    </row>
    <row r="24">
      <c r="A24" s="6" t="inlineStr">
        <is>
          <t>Programmatic</t>
        </is>
      </c>
      <c r="B24" s="78" t="inlineStr">
        <is>
          <t>CTV / OTT</t>
        </is>
      </c>
      <c r="C24" s="86" t="n">
        <v>17000</v>
      </c>
      <c r="D24" s="87" t="n">
        <v>643992</v>
      </c>
      <c r="E24" s="87" t="n">
        <v>257</v>
      </c>
      <c r="F24" s="89">
        <f>IFERROR(E24/D24,"")</f>
        <v/>
      </c>
      <c r="G24" s="90">
        <f>IFERROR(C24/E24,"")</f>
        <v/>
      </c>
      <c r="H24" s="90">
        <f>IFERROR(C24/D24*1000,"")</f>
        <v/>
      </c>
      <c r="I24" s="87" t="n">
        <v>163</v>
      </c>
      <c r="J24" s="18">
        <f>IFERROR(I24/E24,"")</f>
        <v/>
      </c>
      <c r="K24" s="87" t="n">
        <v>7</v>
      </c>
      <c r="L24" s="89">
        <f>IFERROR(K24/I24,"")</f>
        <v/>
      </c>
      <c r="M24" s="86">
        <f>IFERROR(C24/K24,"")</f>
        <v/>
      </c>
      <c r="N24" s="87" t="n">
        <v>3</v>
      </c>
      <c r="O24" s="18">
        <f>IFERROR(N24/K24,"")</f>
        <v/>
      </c>
      <c r="P24" s="86">
        <f>IFERROR(C24/N24,"")</f>
        <v/>
      </c>
      <c r="Q24" s="18">
        <f>IFERROR(C24/SUMIFS($C$5:$C$26,$A$5:$A$26,$A24),"")</f>
        <v/>
      </c>
      <c r="R24" s="18">
        <f>IFERROR(K24/SUMIFS($K$5:$K$26,$A$5:$A$26,$A24),"")</f>
        <v/>
      </c>
      <c r="S24" s="111">
        <f>IFERROR(M24/(SUMIFS($C$5:$C$26,$A$5:$A$26,$A24)/SUMIFS($K$5:$K$26,$A$5:$A$26,$A24)),"")</f>
        <v/>
      </c>
    </row>
    <row r="25">
      <c r="A25" s="6" t="inlineStr">
        <is>
          <t>Programmatic</t>
        </is>
      </c>
      <c r="B25" s="78" t="inlineStr">
        <is>
          <t>Native In-Feed</t>
        </is>
      </c>
      <c r="C25" s="86" t="n">
        <v>13000</v>
      </c>
      <c r="D25" s="87" t="n">
        <v>492465</v>
      </c>
      <c r="E25" s="87" t="n">
        <v>1462</v>
      </c>
      <c r="F25" s="89">
        <f>IFERROR(E25/D25,"")</f>
        <v/>
      </c>
      <c r="G25" s="90">
        <f>IFERROR(C25/E25,"")</f>
        <v/>
      </c>
      <c r="H25" s="90">
        <f>IFERROR(C25/D25*1000,"")</f>
        <v/>
      </c>
      <c r="I25" s="87" t="n">
        <v>931</v>
      </c>
      <c r="J25" s="18">
        <f>IFERROR(I25/E25,"")</f>
        <v/>
      </c>
      <c r="K25" s="87" t="n">
        <v>33</v>
      </c>
      <c r="L25" s="89">
        <f>IFERROR(K25/I25,"")</f>
        <v/>
      </c>
      <c r="M25" s="86">
        <f>IFERROR(C25/K25,"")</f>
        <v/>
      </c>
      <c r="N25" s="87" t="n">
        <v>18</v>
      </c>
      <c r="O25" s="18">
        <f>IFERROR(N25/K25,"")</f>
        <v/>
      </c>
      <c r="P25" s="86">
        <f>IFERROR(C25/N25,"")</f>
        <v/>
      </c>
      <c r="Q25" s="18">
        <f>IFERROR(C25/SUMIFS($C$5:$C$26,$A$5:$A$26,$A25),"")</f>
        <v/>
      </c>
      <c r="R25" s="18">
        <f>IFERROR(K25/SUMIFS($K$5:$K$26,$A$5:$A$26,$A25),"")</f>
        <v/>
      </c>
      <c r="S25" s="111">
        <f>IFERROR(M25/(SUMIFS($C$5:$C$26,$A$5:$A$26,$A25)/SUMIFS($K$5:$K$26,$A$5:$A$26,$A25)),"")</f>
        <v/>
      </c>
    </row>
    <row r="26">
      <c r="A26" s="6" t="inlineStr">
        <is>
          <t>Programmatic</t>
        </is>
      </c>
      <c r="B26" s="78" t="inlineStr">
        <is>
          <t>Mobile App Interstitial</t>
        </is>
      </c>
      <c r="C26" s="86" t="n">
        <v>7500</v>
      </c>
      <c r="D26" s="87" t="n">
        <v>284114</v>
      </c>
      <c r="E26" s="87" t="n">
        <v>975</v>
      </c>
      <c r="F26" s="89">
        <f>IFERROR(E26/D26,"")</f>
        <v/>
      </c>
      <c r="G26" s="90">
        <f>IFERROR(C26/E26,"")</f>
        <v/>
      </c>
      <c r="H26" s="90">
        <f>IFERROR(C26/D26*1000,"")</f>
        <v/>
      </c>
      <c r="I26" s="87" t="n">
        <v>621</v>
      </c>
      <c r="J26" s="18">
        <f>IFERROR(I26/E26,"")</f>
        <v/>
      </c>
      <c r="K26" s="87" t="n">
        <v>9</v>
      </c>
      <c r="L26" s="89">
        <f>IFERROR(K26/I26,"")</f>
        <v/>
      </c>
      <c r="M26" s="86">
        <f>IFERROR(C26/K26,"")</f>
        <v/>
      </c>
      <c r="N26" s="87" t="n">
        <v>5</v>
      </c>
      <c r="O26" s="18">
        <f>IFERROR(N26/K26,"")</f>
        <v/>
      </c>
      <c r="P26" s="86">
        <f>IFERROR(C26/N26,"")</f>
        <v/>
      </c>
      <c r="Q26" s="18">
        <f>IFERROR(C26/SUMIFS($C$5:$C$26,$A$5:$A$26,$A26),"")</f>
        <v/>
      </c>
      <c r="R26" s="18">
        <f>IFERROR(K26/SUMIFS($K$5:$K$26,$A$5:$A$26,$A26),"")</f>
        <v/>
      </c>
      <c r="S26" s="111">
        <f>IFERROR(M26/(SUMIFS($C$5:$C$26,$A$5:$A$26,$A26)/SUMIFS($K$5:$K$26,$A$5:$A$26,$A26)),"")</f>
        <v/>
      </c>
    </row>
    <row r="27">
      <c r="A27" s="19" t="inlineStr">
        <is>
          <t>TOTAL</t>
        </is>
      </c>
      <c r="B27" s="32" t="n"/>
      <c r="C27" s="91">
        <f>SUM(C5:C26)</f>
        <v/>
      </c>
      <c r="D27" s="92">
        <f>SUM(D5:D26)</f>
        <v/>
      </c>
      <c r="E27" s="92">
        <f>SUM(E5:E26)</f>
        <v/>
      </c>
      <c r="F27" s="94">
        <f>IFERROR(E27/D27,"")</f>
        <v/>
      </c>
      <c r="G27" s="95">
        <f>IFERROR(C27/E27,"")</f>
        <v/>
      </c>
      <c r="H27" s="95">
        <f>IFERROR(C27/D27*1000,"")</f>
        <v/>
      </c>
      <c r="I27" s="92">
        <f>SUM(I5:I26)</f>
        <v/>
      </c>
      <c r="J27" s="25">
        <f>IFERROR(I27/E27,"")</f>
        <v/>
      </c>
      <c r="K27" s="92">
        <f>SUM(K5:K26)</f>
        <v/>
      </c>
      <c r="L27" s="94">
        <f>IFERROR(K27/I27,"")</f>
        <v/>
      </c>
      <c r="M27" s="91">
        <f>IFERROR(C27/K27,"")</f>
        <v/>
      </c>
      <c r="N27" s="92">
        <f>SUM(N5:N26)</f>
        <v/>
      </c>
      <c r="O27" s="25">
        <f>IFERROR(N27/K27,"")</f>
        <v/>
      </c>
      <c r="P27" s="91">
        <f>IFERROR(C27/N27,"")</f>
        <v/>
      </c>
      <c r="Q27" s="25">
        <f>SUM(Q5:Q26)</f>
        <v/>
      </c>
      <c r="R27" s="25">
        <f>SUM(R5:R26)</f>
        <v/>
      </c>
      <c r="S27" s="112">
        <f>1</f>
        <v/>
      </c>
    </row>
  </sheetData>
  <autoFilter ref="A4:S26"/>
  <mergeCells count="2">
    <mergeCell ref="A1:J1"/>
    <mergeCell ref="A2:J2"/>
  </mergeCells>
  <conditionalFormatting sqref="M5:M26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tabColor rgb="FF6E8FBF"/>
    <outlinePr summaryBelow="1" summaryRight="1"/>
    <pageSetUpPr fitToPage="1"/>
  </sheetPr>
  <dimension ref="A1:U221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67" min="1" max="1"/>
    <col width="44" customWidth="1" style="67" min="2" max="2"/>
    <col width="12" customWidth="1" style="67" min="3" max="4"/>
    <col width="14" customWidth="1" style="67" min="5" max="5"/>
    <col width="13" customWidth="1" style="67" min="6" max="6"/>
    <col width="12" customWidth="1" style="67" min="7" max="7"/>
    <col width="10" customWidth="1" style="67" min="8" max="8"/>
    <col width="11" customWidth="1" style="67" min="9" max="10"/>
    <col width="13" customWidth="1" style="67" min="11" max="11"/>
    <col width="10" customWidth="1" style="67" min="12" max="12"/>
    <col width="13" customWidth="1" style="67" min="13" max="13"/>
    <col width="11" customWidth="1" style="67" min="14" max="14"/>
    <col width="13" customWidth="1" style="67" min="15" max="15"/>
    <col width="11" customWidth="1" style="67" min="16" max="16"/>
    <col width="10" customWidth="1" style="67" min="17" max="17"/>
    <col width="14" customWidth="1" style="67" min="18" max="18"/>
    <col width="12" customWidth="1" style="67" min="19" max="19"/>
    <col width="13" customWidth="1" style="67" min="20" max="21"/>
  </cols>
  <sheetData>
    <row r="1" ht="24" customHeight="1" s="67">
      <c r="A1" s="71" t="inlineStr">
        <is>
          <t>Age &amp; Gender Breakdown</t>
        </is>
      </c>
    </row>
    <row r="2">
      <c r="A2" s="68" t="inlineStr">
        <is>
          <t>Reported age band x gender per campaign. Platform demographic reporting cannot be cross-tabbed with placement or creative, so this is its own aggregate — it reconciles to the same channel totals (see QA_Checks).</t>
        </is>
      </c>
    </row>
    <row r="4" ht="30" customHeight="1" s="67">
      <c r="A4" s="12" t="inlineStr">
        <is>
          <t>Channel</t>
        </is>
      </c>
      <c r="B4" s="12" t="inlineStr">
        <is>
          <t>Campaign Name</t>
        </is>
      </c>
      <c r="C4" s="12" t="inlineStr">
        <is>
          <t>Age Band</t>
        </is>
      </c>
      <c r="D4" s="12" t="inlineStr">
        <is>
          <t>Gender</t>
        </is>
      </c>
      <c r="E4" s="12" t="inlineStr">
        <is>
          <t>Spend (ZAR)</t>
        </is>
      </c>
      <c r="F4" s="12" t="inlineStr">
        <is>
          <t>Impressions</t>
        </is>
      </c>
      <c r="G4" s="12" t="inlineStr">
        <is>
          <t>Link Clicks</t>
        </is>
      </c>
      <c r="H4" s="12" t="inlineStr">
        <is>
          <t>CTR (Link)</t>
        </is>
      </c>
      <c r="I4" s="12" t="inlineStr">
        <is>
          <t>CPC (Link)</t>
        </is>
      </c>
      <c r="J4" s="12" t="inlineStr">
        <is>
          <t>CPM</t>
        </is>
      </c>
      <c r="K4" s="12" t="inlineStr">
        <is>
          <t>Landing Page Views</t>
        </is>
      </c>
      <c r="L4" s="12" t="inlineStr">
        <is>
          <t>LPV Rate</t>
        </is>
      </c>
      <c r="M4" s="12" t="inlineStr">
        <is>
          <t>Test Drive Bookings</t>
        </is>
      </c>
      <c r="N4" s="12" t="inlineStr">
        <is>
          <t>CVR (Booking / LPV)</t>
        </is>
      </c>
      <c r="O4" s="12" t="inlineStr">
        <is>
          <t>CPL (Cost / Booking)</t>
        </is>
      </c>
      <c r="P4" s="12" t="inlineStr">
        <is>
          <t>Qualified Leads</t>
        </is>
      </c>
      <c r="Q4" s="12" t="inlineStr">
        <is>
          <t>Qualified Rate</t>
        </is>
      </c>
      <c r="R4" s="12" t="inlineStr">
        <is>
          <t>Cost per Qualified Lead</t>
        </is>
      </c>
      <c r="S4" s="12" t="inlineStr">
        <is>
          <t>% of Channel Spend</t>
        </is>
      </c>
      <c r="T4" s="12" t="inlineStr">
        <is>
          <t>% of Channel Bookings</t>
        </is>
      </c>
      <c r="U4" s="12" t="inlineStr">
        <is>
          <t>CPL Index vs Channel Avg</t>
        </is>
      </c>
    </row>
    <row r="5">
      <c r="A5" s="6" t="inlineStr">
        <is>
          <t>Meta (FB/IG)</t>
        </is>
      </c>
      <c r="B5" s="78" t="inlineStr">
        <is>
          <t>LEP_ZA_AUG26_META_RMKT_ALL_CONV</t>
        </is>
      </c>
      <c r="C5" s="78" t="inlineStr">
        <is>
          <t>18-24</t>
        </is>
      </c>
      <c r="D5" s="78" t="inlineStr">
        <is>
          <t>Male</t>
        </is>
      </c>
      <c r="E5" s="86" t="n">
        <v>1630.4</v>
      </c>
      <c r="F5" s="87" t="n">
        <v>18151</v>
      </c>
      <c r="G5" s="87" t="n">
        <v>219</v>
      </c>
      <c r="H5" s="89">
        <f>IFERROR(G5/F5,"")</f>
        <v/>
      </c>
      <c r="I5" s="90">
        <f>IFERROR(E5/G5,"")</f>
        <v/>
      </c>
      <c r="J5" s="90">
        <f>IFERROR(E5/F5*1000,"")</f>
        <v/>
      </c>
      <c r="K5" s="87" t="n">
        <v>186</v>
      </c>
      <c r="L5" s="18">
        <f>IFERROR(K5/G5,"")</f>
        <v/>
      </c>
      <c r="M5" s="87" t="n">
        <v>6</v>
      </c>
      <c r="N5" s="89">
        <f>IFERROR(M5/K5,"")</f>
        <v/>
      </c>
      <c r="O5" s="86">
        <f>IFERROR(E5/M5,"")</f>
        <v/>
      </c>
      <c r="P5" s="87" t="n">
        <v>4</v>
      </c>
      <c r="Q5" s="18">
        <f>IFERROR(P5/M5,"")</f>
        <v/>
      </c>
      <c r="R5" s="86">
        <f>IFERROR(E5/P5,"")</f>
        <v/>
      </c>
      <c r="S5" s="18">
        <f>IFERROR(E5/SUMIFS($E$5:$E$220,$A$5:$A$220,$A5),"")</f>
        <v/>
      </c>
      <c r="T5" s="18">
        <f>IFERROR(M5/SUMIFS($M$5:$M$220,$A$5:$A$220,$A5),"")</f>
        <v/>
      </c>
      <c r="U5" s="111">
        <f>IFERROR(O5/(SUMIFS($E$5:$E$220,$A$5:$A$220,$A5)/SUMIFS($M$5:$M$220,$A$5:$A$220,$A5)),"")</f>
        <v/>
      </c>
    </row>
    <row r="6">
      <c r="A6" s="6" t="inlineStr">
        <is>
          <t>Meta (FB/IG)</t>
        </is>
      </c>
      <c r="B6" s="78" t="inlineStr">
        <is>
          <t>LEP_ZA_AUG26_META_RMKT_ALL_CONV</t>
        </is>
      </c>
      <c r="C6" s="78" t="inlineStr">
        <is>
          <t>18-24</t>
        </is>
      </c>
      <c r="D6" s="78" t="inlineStr">
        <is>
          <t>Female</t>
        </is>
      </c>
      <c r="E6" s="86" t="n">
        <v>1206.83</v>
      </c>
      <c r="F6" s="87" t="n">
        <v>13436</v>
      </c>
      <c r="G6" s="87" t="n">
        <v>148</v>
      </c>
      <c r="H6" s="89">
        <f>IFERROR(G6/F6,"")</f>
        <v/>
      </c>
      <c r="I6" s="90">
        <f>IFERROR(E6/G6,"")</f>
        <v/>
      </c>
      <c r="J6" s="90">
        <f>IFERROR(E6/F6*1000,"")</f>
        <v/>
      </c>
      <c r="K6" s="87" t="n">
        <v>126</v>
      </c>
      <c r="L6" s="18">
        <f>IFERROR(K6/G6,"")</f>
        <v/>
      </c>
      <c r="M6" s="87" t="n">
        <v>4</v>
      </c>
      <c r="N6" s="89">
        <f>IFERROR(M6/K6,"")</f>
        <v/>
      </c>
      <c r="O6" s="86">
        <f>IFERROR(E6/M6,"")</f>
        <v/>
      </c>
      <c r="P6" s="87" t="n">
        <v>3</v>
      </c>
      <c r="Q6" s="18">
        <f>IFERROR(P6/M6,"")</f>
        <v/>
      </c>
      <c r="R6" s="86">
        <f>IFERROR(E6/P6,"")</f>
        <v/>
      </c>
      <c r="S6" s="18">
        <f>IFERROR(E6/SUMIFS($E$5:$E$220,$A$5:$A$220,$A6),"")</f>
        <v/>
      </c>
      <c r="T6" s="18">
        <f>IFERROR(M6/SUMIFS($M$5:$M$220,$A$5:$A$220,$A6),"")</f>
        <v/>
      </c>
      <c r="U6" s="111">
        <f>IFERROR(O6/(SUMIFS($E$5:$E$220,$A$5:$A$220,$A6)/SUMIFS($M$5:$M$220,$A$5:$A$220,$A6)),"")</f>
        <v/>
      </c>
    </row>
    <row r="7">
      <c r="A7" s="6" t="inlineStr">
        <is>
          <t>Meta (FB/IG)</t>
        </is>
      </c>
      <c r="B7" s="78" t="inlineStr">
        <is>
          <t>LEP_ZA_AUG26_META_RMKT_ALL_CONV</t>
        </is>
      </c>
      <c r="C7" s="78" t="inlineStr">
        <is>
          <t>18-24</t>
        </is>
      </c>
      <c r="D7" s="78" t="inlineStr">
        <is>
          <t>Unknown</t>
        </is>
      </c>
      <c r="E7" s="86" t="n">
        <v>92.78</v>
      </c>
      <c r="F7" s="87" t="n">
        <v>1033</v>
      </c>
      <c r="G7" s="87" t="n">
        <v>7</v>
      </c>
      <c r="H7" s="89">
        <f>IFERROR(G7/F7,"")</f>
        <v/>
      </c>
      <c r="I7" s="90">
        <f>IFERROR(E7/G7,"")</f>
        <v/>
      </c>
      <c r="J7" s="90">
        <f>IFERROR(E7/F7*1000,"")</f>
        <v/>
      </c>
      <c r="K7" s="87" t="n">
        <v>6</v>
      </c>
      <c r="L7" s="18">
        <f>IFERROR(K7/G7,"")</f>
        <v/>
      </c>
      <c r="M7" s="87" t="n">
        <v>0</v>
      </c>
      <c r="N7" s="89">
        <f>IFERROR(M7/K7,"")</f>
        <v/>
      </c>
      <c r="O7" s="86">
        <f>IFERROR(E7/M7,"")</f>
        <v/>
      </c>
      <c r="P7" s="87" t="n">
        <v>0</v>
      </c>
      <c r="Q7" s="18">
        <f>IFERROR(P7/M7,"")</f>
        <v/>
      </c>
      <c r="R7" s="86">
        <f>IFERROR(E7/P7,"")</f>
        <v/>
      </c>
      <c r="S7" s="18">
        <f>IFERROR(E7/SUMIFS($E$5:$E$220,$A$5:$A$220,$A7),"")</f>
        <v/>
      </c>
      <c r="T7" s="18">
        <f>IFERROR(M7/SUMIFS($M$5:$M$220,$A$5:$A$220,$A7),"")</f>
        <v/>
      </c>
      <c r="U7" s="111">
        <f>IFERROR(O7/(SUMIFS($E$5:$E$220,$A$5:$A$220,$A7)/SUMIFS($M$5:$M$220,$A$5:$A$220,$A7)),"")</f>
        <v/>
      </c>
    </row>
    <row r="8">
      <c r="A8" s="6" t="inlineStr">
        <is>
          <t>Meta (FB/IG)</t>
        </is>
      </c>
      <c r="B8" s="78" t="inlineStr">
        <is>
          <t>LEP_ZA_AUG26_META_RMKT_ALL_CONV</t>
        </is>
      </c>
      <c r="C8" s="78" t="inlineStr">
        <is>
          <t>25-34</t>
        </is>
      </c>
      <c r="D8" s="78" t="inlineStr">
        <is>
          <t>Male</t>
        </is>
      </c>
      <c r="E8" s="86" t="n">
        <v>4840.17</v>
      </c>
      <c r="F8" s="87" t="n">
        <v>53885</v>
      </c>
      <c r="G8" s="87" t="n">
        <v>1030</v>
      </c>
      <c r="H8" s="89">
        <f>IFERROR(G8/F8,"")</f>
        <v/>
      </c>
      <c r="I8" s="90">
        <f>IFERROR(E8/G8,"")</f>
        <v/>
      </c>
      <c r="J8" s="90">
        <f>IFERROR(E8/F8*1000,"")</f>
        <v/>
      </c>
      <c r="K8" s="87" t="n">
        <v>878</v>
      </c>
      <c r="L8" s="18">
        <f>IFERROR(K8/G8,"")</f>
        <v/>
      </c>
      <c r="M8" s="87" t="n">
        <v>28</v>
      </c>
      <c r="N8" s="89">
        <f>IFERROR(M8/K8,"")</f>
        <v/>
      </c>
      <c r="O8" s="86">
        <f>IFERROR(E8/M8,"")</f>
        <v/>
      </c>
      <c r="P8" s="87" t="n">
        <v>19</v>
      </c>
      <c r="Q8" s="18">
        <f>IFERROR(P8/M8,"")</f>
        <v/>
      </c>
      <c r="R8" s="86">
        <f>IFERROR(E8/P8,"")</f>
        <v/>
      </c>
      <c r="S8" s="18">
        <f>IFERROR(E8/SUMIFS($E$5:$E$220,$A$5:$A$220,$A8),"")</f>
        <v/>
      </c>
      <c r="T8" s="18">
        <f>IFERROR(M8/SUMIFS($M$5:$M$220,$A$5:$A$220,$A8),"")</f>
        <v/>
      </c>
      <c r="U8" s="111">
        <f>IFERROR(O8/(SUMIFS($E$5:$E$220,$A$5:$A$220,$A8)/SUMIFS($M$5:$M$220,$A$5:$A$220,$A8)),"")</f>
        <v/>
      </c>
    </row>
    <row r="9">
      <c r="A9" s="6" t="inlineStr">
        <is>
          <t>Meta (FB/IG)</t>
        </is>
      </c>
      <c r="B9" s="78" t="inlineStr">
        <is>
          <t>LEP_ZA_AUG26_META_RMKT_ALL_CONV</t>
        </is>
      </c>
      <c r="C9" s="78" t="inlineStr">
        <is>
          <t>25-34</t>
        </is>
      </c>
      <c r="D9" s="78" t="inlineStr">
        <is>
          <t>Female</t>
        </is>
      </c>
      <c r="E9" s="86" t="n">
        <v>4177.6</v>
      </c>
      <c r="F9" s="87" t="n">
        <v>46509</v>
      </c>
      <c r="G9" s="87" t="n">
        <v>813</v>
      </c>
      <c r="H9" s="89">
        <f>IFERROR(G9/F9,"")</f>
        <v/>
      </c>
      <c r="I9" s="90">
        <f>IFERROR(E9/G9,"")</f>
        <v/>
      </c>
      <c r="J9" s="90">
        <f>IFERROR(E9/F9*1000,"")</f>
        <v/>
      </c>
      <c r="K9" s="87" t="n">
        <v>694</v>
      </c>
      <c r="L9" s="18">
        <f>IFERROR(K9/G9,"")</f>
        <v/>
      </c>
      <c r="M9" s="87" t="n">
        <v>23</v>
      </c>
      <c r="N9" s="89">
        <f>IFERROR(M9/K9,"")</f>
        <v/>
      </c>
      <c r="O9" s="86">
        <f>IFERROR(E9/M9,"")</f>
        <v/>
      </c>
      <c r="P9" s="87" t="n">
        <v>15</v>
      </c>
      <c r="Q9" s="18">
        <f>IFERROR(P9/M9,"")</f>
        <v/>
      </c>
      <c r="R9" s="86">
        <f>IFERROR(E9/P9,"")</f>
        <v/>
      </c>
      <c r="S9" s="18">
        <f>IFERROR(E9/SUMIFS($E$5:$E$220,$A$5:$A$220,$A9),"")</f>
        <v/>
      </c>
      <c r="T9" s="18">
        <f>IFERROR(M9/SUMIFS($M$5:$M$220,$A$5:$A$220,$A9),"")</f>
        <v/>
      </c>
      <c r="U9" s="111">
        <f>IFERROR(O9/(SUMIFS($E$5:$E$220,$A$5:$A$220,$A9)/SUMIFS($M$5:$M$220,$A$5:$A$220,$A9)),"")</f>
        <v/>
      </c>
    </row>
    <row r="10">
      <c r="A10" s="6" t="inlineStr">
        <is>
          <t>Meta (FB/IG)</t>
        </is>
      </c>
      <c r="B10" s="78" t="inlineStr">
        <is>
          <t>LEP_ZA_AUG26_META_RMKT_ALL_CONV</t>
        </is>
      </c>
      <c r="C10" s="78" t="inlineStr">
        <is>
          <t>25-34</t>
        </is>
      </c>
      <c r="D10" s="78" t="inlineStr">
        <is>
          <t>Unknown</t>
        </is>
      </c>
      <c r="E10" s="86" t="n">
        <v>273.82</v>
      </c>
      <c r="F10" s="87" t="n">
        <v>3048</v>
      </c>
      <c r="G10" s="87" t="n">
        <v>34</v>
      </c>
      <c r="H10" s="89">
        <f>IFERROR(G10/F10,"")</f>
        <v/>
      </c>
      <c r="I10" s="90">
        <f>IFERROR(E10/G10,"")</f>
        <v/>
      </c>
      <c r="J10" s="90">
        <f>IFERROR(E10/F10*1000,"")</f>
        <v/>
      </c>
      <c r="K10" s="87" t="n">
        <v>29</v>
      </c>
      <c r="L10" s="18">
        <f>IFERROR(K10/G10,"")</f>
        <v/>
      </c>
      <c r="M10" s="87" t="n">
        <v>1</v>
      </c>
      <c r="N10" s="89">
        <f>IFERROR(M10/K10,"")</f>
        <v/>
      </c>
      <c r="O10" s="86">
        <f>IFERROR(E10/M10,"")</f>
        <v/>
      </c>
      <c r="P10" s="87" t="n">
        <v>1</v>
      </c>
      <c r="Q10" s="18">
        <f>IFERROR(P10/M10,"")</f>
        <v/>
      </c>
      <c r="R10" s="86">
        <f>IFERROR(E10/P10,"")</f>
        <v/>
      </c>
      <c r="S10" s="18">
        <f>IFERROR(E10/SUMIFS($E$5:$E$220,$A$5:$A$220,$A10),"")</f>
        <v/>
      </c>
      <c r="T10" s="18">
        <f>IFERROR(M10/SUMIFS($M$5:$M$220,$A$5:$A$220,$A10),"")</f>
        <v/>
      </c>
      <c r="U10" s="111">
        <f>IFERROR(O10/(SUMIFS($E$5:$E$220,$A$5:$A$220,$A10)/SUMIFS($M$5:$M$220,$A$5:$A$220,$A10)),"")</f>
        <v/>
      </c>
    </row>
    <row r="11">
      <c r="A11" s="6" t="inlineStr">
        <is>
          <t>Meta (FB/IG)</t>
        </is>
      </c>
      <c r="B11" s="78" t="inlineStr">
        <is>
          <t>LEP_ZA_AUG26_META_RMKT_ALL_CONV</t>
        </is>
      </c>
      <c r="C11" s="78" t="inlineStr">
        <is>
          <t>35-44</t>
        </is>
      </c>
      <c r="D11" s="78" t="inlineStr">
        <is>
          <t>Male</t>
        </is>
      </c>
      <c r="E11" s="86" t="n">
        <v>5064.75</v>
      </c>
      <c r="F11" s="87" t="n">
        <v>56385</v>
      </c>
      <c r="G11" s="87" t="n">
        <v>1499</v>
      </c>
      <c r="H11" s="89">
        <f>IFERROR(G11/F11,"")</f>
        <v/>
      </c>
      <c r="I11" s="90">
        <f>IFERROR(E11/G11,"")</f>
        <v/>
      </c>
      <c r="J11" s="90">
        <f>IFERROR(E11/F11*1000,"")</f>
        <v/>
      </c>
      <c r="K11" s="87" t="n">
        <v>1278</v>
      </c>
      <c r="L11" s="18">
        <f>IFERROR(K11/G11,"")</f>
        <v/>
      </c>
      <c r="M11" s="87" t="n">
        <v>41</v>
      </c>
      <c r="N11" s="89">
        <f>IFERROR(M11/K11,"")</f>
        <v/>
      </c>
      <c r="O11" s="86">
        <f>IFERROR(E11/M11,"")</f>
        <v/>
      </c>
      <c r="P11" s="87" t="n">
        <v>28</v>
      </c>
      <c r="Q11" s="18">
        <f>IFERROR(P11/M11,"")</f>
        <v/>
      </c>
      <c r="R11" s="86">
        <f>IFERROR(E11/P11,"")</f>
        <v/>
      </c>
      <c r="S11" s="18">
        <f>IFERROR(E11/SUMIFS($E$5:$E$220,$A$5:$A$220,$A11),"")</f>
        <v/>
      </c>
      <c r="T11" s="18">
        <f>IFERROR(M11/SUMIFS($M$5:$M$220,$A$5:$A$220,$A11),"")</f>
        <v/>
      </c>
      <c r="U11" s="111">
        <f>IFERROR(O11/(SUMIFS($E$5:$E$220,$A$5:$A$220,$A11)/SUMIFS($M$5:$M$220,$A$5:$A$220,$A11)),"")</f>
        <v/>
      </c>
    </row>
    <row r="12">
      <c r="A12" s="6" t="inlineStr">
        <is>
          <t>Meta (FB/IG)</t>
        </is>
      </c>
      <c r="B12" s="78" t="inlineStr">
        <is>
          <t>LEP_ZA_AUG26_META_RMKT_ALL_CONV</t>
        </is>
      </c>
      <c r="C12" s="78" t="inlineStr">
        <is>
          <t>35-44</t>
        </is>
      </c>
      <c r="D12" s="78" t="inlineStr">
        <is>
          <t>Female</t>
        </is>
      </c>
      <c r="E12" s="86" t="n">
        <v>3959.65</v>
      </c>
      <c r="F12" s="87" t="n">
        <v>44083</v>
      </c>
      <c r="G12" s="87" t="n">
        <v>1073</v>
      </c>
      <c r="H12" s="89">
        <f>IFERROR(G12/F12,"")</f>
        <v/>
      </c>
      <c r="I12" s="90">
        <f>IFERROR(E12/G12,"")</f>
        <v/>
      </c>
      <c r="J12" s="90">
        <f>IFERROR(E12/F12*1000,"")</f>
        <v/>
      </c>
      <c r="K12" s="87" t="n">
        <v>915</v>
      </c>
      <c r="L12" s="18">
        <f>IFERROR(K12/G12,"")</f>
        <v/>
      </c>
      <c r="M12" s="87" t="n">
        <v>30</v>
      </c>
      <c r="N12" s="89">
        <f>IFERROR(M12/K12,"")</f>
        <v/>
      </c>
      <c r="O12" s="86">
        <f>IFERROR(E12/M12,"")</f>
        <v/>
      </c>
      <c r="P12" s="87" t="n">
        <v>20</v>
      </c>
      <c r="Q12" s="18">
        <f>IFERROR(P12/M12,"")</f>
        <v/>
      </c>
      <c r="R12" s="86">
        <f>IFERROR(E12/P12,"")</f>
        <v/>
      </c>
      <c r="S12" s="18">
        <f>IFERROR(E12/SUMIFS($E$5:$E$220,$A$5:$A$220,$A12),"")</f>
        <v/>
      </c>
      <c r="T12" s="18">
        <f>IFERROR(M12/SUMIFS($M$5:$M$220,$A$5:$A$220,$A12),"")</f>
        <v/>
      </c>
      <c r="U12" s="111">
        <f>IFERROR(O12/(SUMIFS($E$5:$E$220,$A$5:$A$220,$A12)/SUMIFS($M$5:$M$220,$A$5:$A$220,$A12)),"")</f>
        <v/>
      </c>
    </row>
    <row r="13">
      <c r="A13" s="6" t="inlineStr">
        <is>
          <t>Meta (FB/IG)</t>
        </is>
      </c>
      <c r="B13" s="78" t="inlineStr">
        <is>
          <t>LEP_ZA_AUG26_META_RMKT_ALL_CONV</t>
        </is>
      </c>
      <c r="C13" s="78" t="inlineStr">
        <is>
          <t>35-44</t>
        </is>
      </c>
      <c r="D13" s="78" t="inlineStr">
        <is>
          <t>Unknown</t>
        </is>
      </c>
      <c r="E13" s="86" t="n">
        <v>243.24</v>
      </c>
      <c r="F13" s="87" t="n">
        <v>2708</v>
      </c>
      <c r="G13" s="87" t="n">
        <v>42</v>
      </c>
      <c r="H13" s="89">
        <f>IFERROR(G13/F13,"")</f>
        <v/>
      </c>
      <c r="I13" s="90">
        <f>IFERROR(E13/G13,"")</f>
        <v/>
      </c>
      <c r="J13" s="90">
        <f>IFERROR(E13/F13*1000,"")</f>
        <v/>
      </c>
      <c r="K13" s="87" t="n">
        <v>36</v>
      </c>
      <c r="L13" s="18">
        <f>IFERROR(K13/G13,"")</f>
        <v/>
      </c>
      <c r="M13" s="87" t="n">
        <v>1</v>
      </c>
      <c r="N13" s="89">
        <f>IFERROR(M13/K13,"")</f>
        <v/>
      </c>
      <c r="O13" s="86">
        <f>IFERROR(E13/M13,"")</f>
        <v/>
      </c>
      <c r="P13" s="87" t="n">
        <v>1</v>
      </c>
      <c r="Q13" s="18">
        <f>IFERROR(P13/M13,"")</f>
        <v/>
      </c>
      <c r="R13" s="86">
        <f>IFERROR(E13/P13,"")</f>
        <v/>
      </c>
      <c r="S13" s="18">
        <f>IFERROR(E13/SUMIFS($E$5:$E$220,$A$5:$A$220,$A13),"")</f>
        <v/>
      </c>
      <c r="T13" s="18">
        <f>IFERROR(M13/SUMIFS($M$5:$M$220,$A$5:$A$220,$A13),"")</f>
        <v/>
      </c>
      <c r="U13" s="111">
        <f>IFERROR(O13/(SUMIFS($E$5:$E$220,$A$5:$A$220,$A13)/SUMIFS($M$5:$M$220,$A$5:$A$220,$A13)),"")</f>
        <v/>
      </c>
    </row>
    <row r="14">
      <c r="A14" s="6" t="inlineStr">
        <is>
          <t>Meta (FB/IG)</t>
        </is>
      </c>
      <c r="B14" s="78" t="inlineStr">
        <is>
          <t>LEP_ZA_AUG26_META_RMKT_ALL_CONV</t>
        </is>
      </c>
      <c r="C14" s="78" t="inlineStr">
        <is>
          <t>45-54</t>
        </is>
      </c>
      <c r="D14" s="78" t="inlineStr">
        <is>
          <t>Male</t>
        </is>
      </c>
      <c r="E14" s="86" t="n">
        <v>3491.65</v>
      </c>
      <c r="F14" s="87" t="n">
        <v>38872</v>
      </c>
      <c r="G14" s="87" t="n">
        <v>1082</v>
      </c>
      <c r="H14" s="89">
        <f>IFERROR(G14/F14,"")</f>
        <v/>
      </c>
      <c r="I14" s="90">
        <f>IFERROR(E14/G14,"")</f>
        <v/>
      </c>
      <c r="J14" s="90">
        <f>IFERROR(E14/F14*1000,"")</f>
        <v/>
      </c>
      <c r="K14" s="87" t="n">
        <v>923</v>
      </c>
      <c r="L14" s="18">
        <f>IFERROR(K14/G14,"")</f>
        <v/>
      </c>
      <c r="M14" s="87" t="n">
        <v>30</v>
      </c>
      <c r="N14" s="89">
        <f>IFERROR(M14/K14,"")</f>
        <v/>
      </c>
      <c r="O14" s="86">
        <f>IFERROR(E14/M14,"")</f>
        <v/>
      </c>
      <c r="P14" s="87" t="n">
        <v>20</v>
      </c>
      <c r="Q14" s="18">
        <f>IFERROR(P14/M14,"")</f>
        <v/>
      </c>
      <c r="R14" s="86">
        <f>IFERROR(E14/P14,"")</f>
        <v/>
      </c>
      <c r="S14" s="18">
        <f>IFERROR(E14/SUMIFS($E$5:$E$220,$A$5:$A$220,$A14),"")</f>
        <v/>
      </c>
      <c r="T14" s="18">
        <f>IFERROR(M14/SUMIFS($M$5:$M$220,$A$5:$A$220,$A14),"")</f>
        <v/>
      </c>
      <c r="U14" s="111">
        <f>IFERROR(O14/(SUMIFS($E$5:$E$220,$A$5:$A$220,$A14)/SUMIFS($M$5:$M$220,$A$5:$A$220,$A14)),"")</f>
        <v/>
      </c>
    </row>
    <row r="15">
      <c r="A15" s="6" t="inlineStr">
        <is>
          <t>Meta (FB/IG)</t>
        </is>
      </c>
      <c r="B15" s="78" t="inlineStr">
        <is>
          <t>LEP_ZA_AUG26_META_RMKT_ALL_CONV</t>
        </is>
      </c>
      <c r="C15" s="78" t="inlineStr">
        <is>
          <t>45-54</t>
        </is>
      </c>
      <c r="D15" s="78" t="inlineStr">
        <is>
          <t>Female</t>
        </is>
      </c>
      <c r="E15" s="86" t="n">
        <v>2505.01</v>
      </c>
      <c r="F15" s="87" t="n">
        <v>27888</v>
      </c>
      <c r="G15" s="87" t="n">
        <v>710</v>
      </c>
      <c r="H15" s="89">
        <f>IFERROR(G15/F15,"")</f>
        <v/>
      </c>
      <c r="I15" s="90">
        <f>IFERROR(E15/G15,"")</f>
        <v/>
      </c>
      <c r="J15" s="90">
        <f>IFERROR(E15/F15*1000,"")</f>
        <v/>
      </c>
      <c r="K15" s="87" t="n">
        <v>606</v>
      </c>
      <c r="L15" s="18">
        <f>IFERROR(K15/G15,"")</f>
        <v/>
      </c>
      <c r="M15" s="87" t="n">
        <v>20</v>
      </c>
      <c r="N15" s="89">
        <f>IFERROR(M15/K15,"")</f>
        <v/>
      </c>
      <c r="O15" s="86">
        <f>IFERROR(E15/M15,"")</f>
        <v/>
      </c>
      <c r="P15" s="87" t="n">
        <v>13</v>
      </c>
      <c r="Q15" s="18">
        <f>IFERROR(P15/M15,"")</f>
        <v/>
      </c>
      <c r="R15" s="86">
        <f>IFERROR(E15/P15,"")</f>
        <v/>
      </c>
      <c r="S15" s="18">
        <f>IFERROR(E15/SUMIFS($E$5:$E$220,$A$5:$A$220,$A15),"")</f>
        <v/>
      </c>
      <c r="T15" s="18">
        <f>IFERROR(M15/SUMIFS($M$5:$M$220,$A$5:$A$220,$A15),"")</f>
        <v/>
      </c>
      <c r="U15" s="111">
        <f>IFERROR(O15/(SUMIFS($E$5:$E$220,$A$5:$A$220,$A15)/SUMIFS($M$5:$M$220,$A$5:$A$220,$A15)),"")</f>
        <v/>
      </c>
    </row>
    <row r="16">
      <c r="A16" s="6" t="inlineStr">
        <is>
          <t>Meta (FB/IG)</t>
        </is>
      </c>
      <c r="B16" s="78" t="inlineStr">
        <is>
          <t>LEP_ZA_AUG26_META_RMKT_ALL_CONV</t>
        </is>
      </c>
      <c r="C16" s="78" t="inlineStr">
        <is>
          <t>45-54</t>
        </is>
      </c>
      <c r="D16" s="78" t="inlineStr">
        <is>
          <t>Unknown</t>
        </is>
      </c>
      <c r="E16" s="86" t="n">
        <v>189.13</v>
      </c>
      <c r="F16" s="87" t="n">
        <v>2106</v>
      </c>
      <c r="G16" s="87" t="n">
        <v>34</v>
      </c>
      <c r="H16" s="89">
        <f>IFERROR(G16/F16,"")</f>
        <v/>
      </c>
      <c r="I16" s="90">
        <f>IFERROR(E16/G16,"")</f>
        <v/>
      </c>
      <c r="J16" s="90">
        <f>IFERROR(E16/F16*1000,"")</f>
        <v/>
      </c>
      <c r="K16" s="87" t="n">
        <v>29</v>
      </c>
      <c r="L16" s="18">
        <f>IFERROR(K16/G16,"")</f>
        <v/>
      </c>
      <c r="M16" s="87" t="n">
        <v>1</v>
      </c>
      <c r="N16" s="89">
        <f>IFERROR(M16/K16,"")</f>
        <v/>
      </c>
      <c r="O16" s="86">
        <f>IFERROR(E16/M16,"")</f>
        <v/>
      </c>
      <c r="P16" s="87" t="n">
        <v>1</v>
      </c>
      <c r="Q16" s="18">
        <f>IFERROR(P16/M16,"")</f>
        <v/>
      </c>
      <c r="R16" s="86">
        <f>IFERROR(E16/P16,"")</f>
        <v/>
      </c>
      <c r="S16" s="18">
        <f>IFERROR(E16/SUMIFS($E$5:$E$220,$A$5:$A$220,$A16),"")</f>
        <v/>
      </c>
      <c r="T16" s="18">
        <f>IFERROR(M16/SUMIFS($M$5:$M$220,$A$5:$A$220,$A16),"")</f>
        <v/>
      </c>
      <c r="U16" s="111">
        <f>IFERROR(O16/(SUMIFS($E$5:$E$220,$A$5:$A$220,$A16)/SUMIFS($M$5:$M$220,$A$5:$A$220,$A16)),"")</f>
        <v/>
      </c>
    </row>
    <row r="17">
      <c r="A17" s="6" t="inlineStr">
        <is>
          <t>Meta (FB/IG)</t>
        </is>
      </c>
      <c r="B17" s="78" t="inlineStr">
        <is>
          <t>LEP_ZA_AUG26_META_RMKT_ALL_CONV</t>
        </is>
      </c>
      <c r="C17" s="78" t="inlineStr">
        <is>
          <t>55-64</t>
        </is>
      </c>
      <c r="D17" s="78" t="inlineStr">
        <is>
          <t>Male</t>
        </is>
      </c>
      <c r="E17" s="86" t="n">
        <v>1815.69</v>
      </c>
      <c r="F17" s="87" t="n">
        <v>20214</v>
      </c>
      <c r="G17" s="87" t="n">
        <v>441</v>
      </c>
      <c r="H17" s="89">
        <f>IFERROR(G17/F17,"")</f>
        <v/>
      </c>
      <c r="I17" s="90">
        <f>IFERROR(E17/G17,"")</f>
        <v/>
      </c>
      <c r="J17" s="90">
        <f>IFERROR(E17/F17*1000,"")</f>
        <v/>
      </c>
      <c r="K17" s="87" t="n">
        <v>376</v>
      </c>
      <c r="L17" s="18">
        <f>IFERROR(K17/G17,"")</f>
        <v/>
      </c>
      <c r="M17" s="87" t="n">
        <v>12</v>
      </c>
      <c r="N17" s="89">
        <f>IFERROR(M17/K17,"")</f>
        <v/>
      </c>
      <c r="O17" s="86">
        <f>IFERROR(E17/M17,"")</f>
        <v/>
      </c>
      <c r="P17" s="87" t="n">
        <v>8</v>
      </c>
      <c r="Q17" s="18">
        <f>IFERROR(P17/M17,"")</f>
        <v/>
      </c>
      <c r="R17" s="86">
        <f>IFERROR(E17/P17,"")</f>
        <v/>
      </c>
      <c r="S17" s="18">
        <f>IFERROR(E17/SUMIFS($E$5:$E$220,$A$5:$A$220,$A17),"")</f>
        <v/>
      </c>
      <c r="T17" s="18">
        <f>IFERROR(M17/SUMIFS($M$5:$M$220,$A$5:$A$220,$A17),"")</f>
        <v/>
      </c>
      <c r="U17" s="111">
        <f>IFERROR(O17/(SUMIFS($E$5:$E$220,$A$5:$A$220,$A17)/SUMIFS($M$5:$M$220,$A$5:$A$220,$A17)),"")</f>
        <v/>
      </c>
    </row>
    <row r="18">
      <c r="A18" s="6" t="inlineStr">
        <is>
          <t>Meta (FB/IG)</t>
        </is>
      </c>
      <c r="B18" s="78" t="inlineStr">
        <is>
          <t>LEP_ZA_AUG26_META_RMKT_ALL_CONV</t>
        </is>
      </c>
      <c r="C18" s="78" t="inlineStr">
        <is>
          <t>55-64</t>
        </is>
      </c>
      <c r="D18" s="78" t="inlineStr">
        <is>
          <t>Female</t>
        </is>
      </c>
      <c r="E18" s="86" t="n">
        <v>1452.6</v>
      </c>
      <c r="F18" s="87" t="n">
        <v>16172</v>
      </c>
      <c r="G18" s="87" t="n">
        <v>323</v>
      </c>
      <c r="H18" s="89">
        <f>IFERROR(G18/F18,"")</f>
        <v/>
      </c>
      <c r="I18" s="90">
        <f>IFERROR(E18/G18,"")</f>
        <v/>
      </c>
      <c r="J18" s="90">
        <f>IFERROR(E18/F18*1000,"")</f>
        <v/>
      </c>
      <c r="K18" s="87" t="n">
        <v>275</v>
      </c>
      <c r="L18" s="18">
        <f>IFERROR(K18/G18,"")</f>
        <v/>
      </c>
      <c r="M18" s="87" t="n">
        <v>9</v>
      </c>
      <c r="N18" s="89">
        <f>IFERROR(M18/K18,"")</f>
        <v/>
      </c>
      <c r="O18" s="86">
        <f>IFERROR(E18/M18,"")</f>
        <v/>
      </c>
      <c r="P18" s="87" t="n">
        <v>6</v>
      </c>
      <c r="Q18" s="18">
        <f>IFERROR(P18/M18,"")</f>
        <v/>
      </c>
      <c r="R18" s="86">
        <f>IFERROR(E18/P18,"")</f>
        <v/>
      </c>
      <c r="S18" s="18">
        <f>IFERROR(E18/SUMIFS($E$5:$E$220,$A$5:$A$220,$A18),"")</f>
        <v/>
      </c>
      <c r="T18" s="18">
        <f>IFERROR(M18/SUMIFS($M$5:$M$220,$A$5:$A$220,$A18),"")</f>
        <v/>
      </c>
      <c r="U18" s="111">
        <f>IFERROR(O18/(SUMIFS($E$5:$E$220,$A$5:$A$220,$A18)/SUMIFS($M$5:$M$220,$A$5:$A$220,$A18)),"")</f>
        <v/>
      </c>
    </row>
    <row r="19">
      <c r="A19" s="6" t="inlineStr">
        <is>
          <t>Meta (FB/IG)</t>
        </is>
      </c>
      <c r="B19" s="78" t="inlineStr">
        <is>
          <t>LEP_ZA_AUG26_META_RMKT_ALL_CONV</t>
        </is>
      </c>
      <c r="C19" s="78" t="inlineStr">
        <is>
          <t>55-64</t>
        </is>
      </c>
      <c r="D19" s="78" t="inlineStr">
        <is>
          <t>Unknown</t>
        </is>
      </c>
      <c r="E19" s="86" t="n">
        <v>113.82</v>
      </c>
      <c r="F19" s="87" t="n">
        <v>1267</v>
      </c>
      <c r="G19" s="87" t="n">
        <v>16</v>
      </c>
      <c r="H19" s="89">
        <f>IFERROR(G19/F19,"")</f>
        <v/>
      </c>
      <c r="I19" s="90">
        <f>IFERROR(E19/G19,"")</f>
        <v/>
      </c>
      <c r="J19" s="90">
        <f>IFERROR(E19/F19*1000,"")</f>
        <v/>
      </c>
      <c r="K19" s="87" t="n">
        <v>14</v>
      </c>
      <c r="L19" s="18">
        <f>IFERROR(K19/G19,"")</f>
        <v/>
      </c>
      <c r="M19" s="87" t="n">
        <v>0</v>
      </c>
      <c r="N19" s="89">
        <f>IFERROR(M19/K19,"")</f>
        <v/>
      </c>
      <c r="O19" s="86">
        <f>IFERROR(E19/M19,"")</f>
        <v/>
      </c>
      <c r="P19" s="87" t="n">
        <v>0</v>
      </c>
      <c r="Q19" s="18">
        <f>IFERROR(P19/M19,"")</f>
        <v/>
      </c>
      <c r="R19" s="86">
        <f>IFERROR(E19/P19,"")</f>
        <v/>
      </c>
      <c r="S19" s="18">
        <f>IFERROR(E19/SUMIFS($E$5:$E$220,$A$5:$A$220,$A19),"")</f>
        <v/>
      </c>
      <c r="T19" s="18">
        <f>IFERROR(M19/SUMIFS($M$5:$M$220,$A$5:$A$220,$A19),"")</f>
        <v/>
      </c>
      <c r="U19" s="111">
        <f>IFERROR(O19/(SUMIFS($E$5:$E$220,$A$5:$A$220,$A19)/SUMIFS($M$5:$M$220,$A$5:$A$220,$A19)),"")</f>
        <v/>
      </c>
    </row>
    <row r="20">
      <c r="A20" s="6" t="inlineStr">
        <is>
          <t>Meta (FB/IG)</t>
        </is>
      </c>
      <c r="B20" s="78" t="inlineStr">
        <is>
          <t>LEP_ZA_AUG26_META_RMKT_ALL_CONV</t>
        </is>
      </c>
      <c r="C20" s="78" t="inlineStr">
        <is>
          <t>65+</t>
        </is>
      </c>
      <c r="D20" s="78" t="inlineStr">
        <is>
          <t>Male</t>
        </is>
      </c>
      <c r="E20" s="86" t="n">
        <v>814</v>
      </c>
      <c r="F20" s="87" t="n">
        <v>9062</v>
      </c>
      <c r="G20" s="87" t="n">
        <v>134</v>
      </c>
      <c r="H20" s="89">
        <f>IFERROR(G20/F20,"")</f>
        <v/>
      </c>
      <c r="I20" s="90">
        <f>IFERROR(E20/G20,"")</f>
        <v/>
      </c>
      <c r="J20" s="90">
        <f>IFERROR(E20/F20*1000,"")</f>
        <v/>
      </c>
      <c r="K20" s="87" t="n">
        <v>114</v>
      </c>
      <c r="L20" s="18">
        <f>IFERROR(K20/G20,"")</f>
        <v/>
      </c>
      <c r="M20" s="87" t="n">
        <v>4</v>
      </c>
      <c r="N20" s="89">
        <f>IFERROR(M20/K20,"")</f>
        <v/>
      </c>
      <c r="O20" s="86">
        <f>IFERROR(E20/M20,"")</f>
        <v/>
      </c>
      <c r="P20" s="87" t="n">
        <v>3</v>
      </c>
      <c r="Q20" s="18">
        <f>IFERROR(P20/M20,"")</f>
        <v/>
      </c>
      <c r="R20" s="86">
        <f>IFERROR(E20/P20,"")</f>
        <v/>
      </c>
      <c r="S20" s="18">
        <f>IFERROR(E20/SUMIFS($E$5:$E$220,$A$5:$A$220,$A20),"")</f>
        <v/>
      </c>
      <c r="T20" s="18">
        <f>IFERROR(M20/SUMIFS($M$5:$M$220,$A$5:$A$220,$A20),"")</f>
        <v/>
      </c>
      <c r="U20" s="111">
        <f>IFERROR(O20/(SUMIFS($E$5:$E$220,$A$5:$A$220,$A20)/SUMIFS($M$5:$M$220,$A$5:$A$220,$A20)),"")</f>
        <v/>
      </c>
    </row>
    <row r="21">
      <c r="A21" s="6" t="inlineStr">
        <is>
          <t>Meta (FB/IG)</t>
        </is>
      </c>
      <c r="B21" s="78" t="inlineStr">
        <is>
          <t>LEP_ZA_AUG26_META_RMKT_ALL_CONV</t>
        </is>
      </c>
      <c r="C21" s="78" t="inlineStr">
        <is>
          <t>65+</t>
        </is>
      </c>
      <c r="D21" s="78" t="inlineStr">
        <is>
          <t>Female</t>
        </is>
      </c>
      <c r="E21" s="86" t="n">
        <v>664.9400000000001</v>
      </c>
      <c r="F21" s="87" t="n">
        <v>7403</v>
      </c>
      <c r="G21" s="87" t="n">
        <v>100</v>
      </c>
      <c r="H21" s="89">
        <f>IFERROR(G21/F21,"")</f>
        <v/>
      </c>
      <c r="I21" s="90">
        <f>IFERROR(E21/G21,"")</f>
        <v/>
      </c>
      <c r="J21" s="90">
        <f>IFERROR(E21/F21*1000,"")</f>
        <v/>
      </c>
      <c r="K21" s="87" t="n">
        <v>85</v>
      </c>
      <c r="L21" s="18">
        <f>IFERROR(K21/G21,"")</f>
        <v/>
      </c>
      <c r="M21" s="87" t="n">
        <v>3</v>
      </c>
      <c r="N21" s="89">
        <f>IFERROR(M21/K21,"")</f>
        <v/>
      </c>
      <c r="O21" s="86">
        <f>IFERROR(E21/M21,"")</f>
        <v/>
      </c>
      <c r="P21" s="87" t="n">
        <v>2</v>
      </c>
      <c r="Q21" s="18">
        <f>IFERROR(P21/M21,"")</f>
        <v/>
      </c>
      <c r="R21" s="86">
        <f>IFERROR(E21/P21,"")</f>
        <v/>
      </c>
      <c r="S21" s="18">
        <f>IFERROR(E21/SUMIFS($E$5:$E$220,$A$5:$A$220,$A21),"")</f>
        <v/>
      </c>
      <c r="T21" s="18">
        <f>IFERROR(M21/SUMIFS($M$5:$M$220,$A$5:$A$220,$A21),"")</f>
        <v/>
      </c>
      <c r="U21" s="111">
        <f>IFERROR(O21/(SUMIFS($E$5:$E$220,$A$5:$A$220,$A21)/SUMIFS($M$5:$M$220,$A$5:$A$220,$A21)),"")</f>
        <v/>
      </c>
    </row>
    <row r="22">
      <c r="A22" s="6" t="inlineStr">
        <is>
          <t>Meta (FB/IG)</t>
        </is>
      </c>
      <c r="B22" s="78" t="inlineStr">
        <is>
          <t>LEP_ZA_AUG26_META_RMKT_ALL_CONV</t>
        </is>
      </c>
      <c r="C22" s="78" t="inlineStr">
        <is>
          <t>65+</t>
        </is>
      </c>
      <c r="D22" s="78" t="inlineStr">
        <is>
          <t>Unknown</t>
        </is>
      </c>
      <c r="E22" s="86" t="n">
        <v>43.26</v>
      </c>
      <c r="F22" s="87" t="n">
        <v>482</v>
      </c>
      <c r="G22" s="87" t="n">
        <v>4</v>
      </c>
      <c r="H22" s="89">
        <f>IFERROR(G22/F22,"")</f>
        <v/>
      </c>
      <c r="I22" s="90">
        <f>IFERROR(E22/G22,"")</f>
        <v/>
      </c>
      <c r="J22" s="90">
        <f>IFERROR(E22/F22*1000,"")</f>
        <v/>
      </c>
      <c r="K22" s="87" t="n">
        <v>4</v>
      </c>
      <c r="L22" s="18">
        <f>IFERROR(K22/G22,"")</f>
        <v/>
      </c>
      <c r="M22" s="87" t="n">
        <v>0</v>
      </c>
      <c r="N22" s="89">
        <f>IFERROR(M22/K22,"")</f>
        <v/>
      </c>
      <c r="O22" s="86">
        <f>IFERROR(E22/M22,"")</f>
        <v/>
      </c>
      <c r="P22" s="87" t="n">
        <v>0</v>
      </c>
      <c r="Q22" s="18">
        <f>IFERROR(P22/M22,"")</f>
        <v/>
      </c>
      <c r="R22" s="86">
        <f>IFERROR(E22/P22,"")</f>
        <v/>
      </c>
      <c r="S22" s="18">
        <f>IFERROR(E22/SUMIFS($E$5:$E$220,$A$5:$A$220,$A22),"")</f>
        <v/>
      </c>
      <c r="T22" s="18">
        <f>IFERROR(M22/SUMIFS($M$5:$M$220,$A$5:$A$220,$A22),"")</f>
        <v/>
      </c>
      <c r="U22" s="111">
        <f>IFERROR(O22/(SUMIFS($E$5:$E$220,$A$5:$A$220,$A22)/SUMIFS($M$5:$M$220,$A$5:$A$220,$A22)),"")</f>
        <v/>
      </c>
    </row>
    <row r="23">
      <c r="A23" s="6" t="inlineStr">
        <is>
          <t>Meta (FB/IG)</t>
        </is>
      </c>
      <c r="B23" s="78" t="inlineStr">
        <is>
          <t>LEP_ZA_AUG26_META_TD_AMUR_CONV</t>
        </is>
      </c>
      <c r="C23" s="78" t="inlineStr">
        <is>
          <t>18-24</t>
        </is>
      </c>
      <c r="D23" s="78" t="inlineStr">
        <is>
          <t>Male</t>
        </is>
      </c>
      <c r="E23" s="86" t="n">
        <v>2118.67</v>
      </c>
      <c r="F23" s="87" t="n">
        <v>28397</v>
      </c>
      <c r="G23" s="87" t="n">
        <v>204</v>
      </c>
      <c r="H23" s="89">
        <f>IFERROR(G23/F23,"")</f>
        <v/>
      </c>
      <c r="I23" s="90">
        <f>IFERROR(E23/G23,"")</f>
        <v/>
      </c>
      <c r="J23" s="90">
        <f>IFERROR(E23/F23*1000,"")</f>
        <v/>
      </c>
      <c r="K23" s="87" t="n">
        <v>173</v>
      </c>
      <c r="L23" s="18">
        <f>IFERROR(K23/G23,"")</f>
        <v/>
      </c>
      <c r="M23" s="87" t="n">
        <v>3</v>
      </c>
      <c r="N23" s="89">
        <f>IFERROR(M23/K23,"")</f>
        <v/>
      </c>
      <c r="O23" s="86">
        <f>IFERROR(E23/M23,"")</f>
        <v/>
      </c>
      <c r="P23" s="87" t="n">
        <v>2</v>
      </c>
      <c r="Q23" s="18">
        <f>IFERROR(P23/M23,"")</f>
        <v/>
      </c>
      <c r="R23" s="86">
        <f>IFERROR(E23/P23,"")</f>
        <v/>
      </c>
      <c r="S23" s="18">
        <f>IFERROR(E23/SUMIFS($E$5:$E$220,$A$5:$A$220,$A23),"")</f>
        <v/>
      </c>
      <c r="T23" s="18">
        <f>IFERROR(M23/SUMIFS($M$5:$M$220,$A$5:$A$220,$A23),"")</f>
        <v/>
      </c>
      <c r="U23" s="111">
        <f>IFERROR(O23/(SUMIFS($E$5:$E$220,$A$5:$A$220,$A23)/SUMIFS($M$5:$M$220,$A$5:$A$220,$A23)),"")</f>
        <v/>
      </c>
    </row>
    <row r="24">
      <c r="A24" s="6" t="inlineStr">
        <is>
          <t>Meta (FB/IG)</t>
        </is>
      </c>
      <c r="B24" s="78" t="inlineStr">
        <is>
          <t>LEP_ZA_AUG26_META_TD_AMUR_CONV</t>
        </is>
      </c>
      <c r="C24" s="78" t="inlineStr">
        <is>
          <t>18-24</t>
        </is>
      </c>
      <c r="D24" s="78" t="inlineStr">
        <is>
          <t>Female</t>
        </is>
      </c>
      <c r="E24" s="86" t="n">
        <v>1741.29</v>
      </c>
      <c r="F24" s="87" t="n">
        <v>23339</v>
      </c>
      <c r="G24" s="87" t="n">
        <v>153</v>
      </c>
      <c r="H24" s="89">
        <f>IFERROR(G24/F24,"")</f>
        <v/>
      </c>
      <c r="I24" s="90">
        <f>IFERROR(E24/G24,"")</f>
        <v/>
      </c>
      <c r="J24" s="90">
        <f>IFERROR(E24/F24*1000,"")</f>
        <v/>
      </c>
      <c r="K24" s="87" t="n">
        <v>130</v>
      </c>
      <c r="L24" s="18">
        <f>IFERROR(K24/G24,"")</f>
        <v/>
      </c>
      <c r="M24" s="87" t="n">
        <v>2</v>
      </c>
      <c r="N24" s="89">
        <f>IFERROR(M24/K24,"")</f>
        <v/>
      </c>
      <c r="O24" s="86">
        <f>IFERROR(E24/M24,"")</f>
        <v/>
      </c>
      <c r="P24" s="87" t="n">
        <v>2</v>
      </c>
      <c r="Q24" s="18">
        <f>IFERROR(P24/M24,"")</f>
        <v/>
      </c>
      <c r="R24" s="86">
        <f>IFERROR(E24/P24,"")</f>
        <v/>
      </c>
      <c r="S24" s="18">
        <f>IFERROR(E24/SUMIFS($E$5:$E$220,$A$5:$A$220,$A24),"")</f>
        <v/>
      </c>
      <c r="T24" s="18">
        <f>IFERROR(M24/SUMIFS($M$5:$M$220,$A$5:$A$220,$A24),"")</f>
        <v/>
      </c>
      <c r="U24" s="111">
        <f>IFERROR(O24/(SUMIFS($E$5:$E$220,$A$5:$A$220,$A24)/SUMIFS($M$5:$M$220,$A$5:$A$220,$A24)),"")</f>
        <v/>
      </c>
    </row>
    <row r="25">
      <c r="A25" s="6" t="inlineStr">
        <is>
          <t>Meta (FB/IG)</t>
        </is>
      </c>
      <c r="B25" s="78" t="inlineStr">
        <is>
          <t>LEP_ZA_AUG26_META_TD_AMUR_CONV</t>
        </is>
      </c>
      <c r="C25" s="78" t="inlineStr">
        <is>
          <t>18-24</t>
        </is>
      </c>
      <c r="D25" s="78" t="inlineStr">
        <is>
          <t>Unknown</t>
        </is>
      </c>
      <c r="E25" s="86" t="n">
        <v>139.15</v>
      </c>
      <c r="F25" s="87" t="n">
        <v>1865</v>
      </c>
      <c r="G25" s="87" t="n">
        <v>8</v>
      </c>
      <c r="H25" s="89">
        <f>IFERROR(G25/F25,"")</f>
        <v/>
      </c>
      <c r="I25" s="90">
        <f>IFERROR(E25/G25,"")</f>
        <v/>
      </c>
      <c r="J25" s="90">
        <f>IFERROR(E25/F25*1000,"")</f>
        <v/>
      </c>
      <c r="K25" s="87" t="n">
        <v>7</v>
      </c>
      <c r="L25" s="18">
        <f>IFERROR(K25/G25,"")</f>
        <v/>
      </c>
      <c r="M25" s="87" t="n">
        <v>0</v>
      </c>
      <c r="N25" s="89">
        <f>IFERROR(M25/K25,"")</f>
        <v/>
      </c>
      <c r="O25" s="86">
        <f>IFERROR(E25/M25,"")</f>
        <v/>
      </c>
      <c r="P25" s="87" t="n">
        <v>0</v>
      </c>
      <c r="Q25" s="18">
        <f>IFERROR(P25/M25,"")</f>
        <v/>
      </c>
      <c r="R25" s="86">
        <f>IFERROR(E25/P25,"")</f>
        <v/>
      </c>
      <c r="S25" s="18">
        <f>IFERROR(E25/SUMIFS($E$5:$E$220,$A$5:$A$220,$A25),"")</f>
        <v/>
      </c>
      <c r="T25" s="18">
        <f>IFERROR(M25/SUMIFS($M$5:$M$220,$A$5:$A$220,$A25),"")</f>
        <v/>
      </c>
      <c r="U25" s="111">
        <f>IFERROR(O25/(SUMIFS($E$5:$E$220,$A$5:$A$220,$A25)/SUMIFS($M$5:$M$220,$A$5:$A$220,$A25)),"")</f>
        <v/>
      </c>
    </row>
    <row r="26">
      <c r="A26" s="6" t="inlineStr">
        <is>
          <t>Meta (FB/IG)</t>
        </is>
      </c>
      <c r="B26" s="78" t="inlineStr">
        <is>
          <t>LEP_ZA_AUG26_META_TD_AMUR_CONV</t>
        </is>
      </c>
      <c r="C26" s="78" t="inlineStr">
        <is>
          <t>25-34</t>
        </is>
      </c>
      <c r="D26" s="78" t="inlineStr">
        <is>
          <t>Male</t>
        </is>
      </c>
      <c r="E26" s="86" t="n">
        <v>7508.18</v>
      </c>
      <c r="F26" s="87" t="n">
        <v>100634</v>
      </c>
      <c r="G26" s="87" t="n">
        <v>1145</v>
      </c>
      <c r="H26" s="89">
        <f>IFERROR(G26/F26,"")</f>
        <v/>
      </c>
      <c r="I26" s="90">
        <f>IFERROR(E26/G26,"")</f>
        <v/>
      </c>
      <c r="J26" s="90">
        <f>IFERROR(E26/F26*1000,"")</f>
        <v/>
      </c>
      <c r="K26" s="87" t="n">
        <v>973</v>
      </c>
      <c r="L26" s="18">
        <f>IFERROR(K26/G26,"")</f>
        <v/>
      </c>
      <c r="M26" s="87" t="n">
        <v>19</v>
      </c>
      <c r="N26" s="89">
        <f>IFERROR(M26/K26,"")</f>
        <v/>
      </c>
      <c r="O26" s="86">
        <f>IFERROR(E26/M26,"")</f>
        <v/>
      </c>
      <c r="P26" s="87" t="n">
        <v>13</v>
      </c>
      <c r="Q26" s="18">
        <f>IFERROR(P26/M26,"")</f>
        <v/>
      </c>
      <c r="R26" s="86">
        <f>IFERROR(E26/P26,"")</f>
        <v/>
      </c>
      <c r="S26" s="18">
        <f>IFERROR(E26/SUMIFS($E$5:$E$220,$A$5:$A$220,$A26),"")</f>
        <v/>
      </c>
      <c r="T26" s="18">
        <f>IFERROR(M26/SUMIFS($M$5:$M$220,$A$5:$A$220,$A26),"")</f>
        <v/>
      </c>
      <c r="U26" s="111">
        <f>IFERROR(O26/(SUMIFS($E$5:$E$220,$A$5:$A$220,$A26)/SUMIFS($M$5:$M$220,$A$5:$A$220,$A26)),"")</f>
        <v/>
      </c>
    </row>
    <row r="27">
      <c r="A27" s="6" t="inlineStr">
        <is>
          <t>Meta (FB/IG)</t>
        </is>
      </c>
      <c r="B27" s="78" t="inlineStr">
        <is>
          <t>LEP_ZA_AUG26_META_TD_AMUR_CONV</t>
        </is>
      </c>
      <c r="C27" s="78" t="inlineStr">
        <is>
          <t>25-34</t>
        </is>
      </c>
      <c r="D27" s="78" t="inlineStr">
        <is>
          <t>Female</t>
        </is>
      </c>
      <c r="E27" s="86" t="n">
        <v>5535.91</v>
      </c>
      <c r="F27" s="87" t="n">
        <v>74199</v>
      </c>
      <c r="G27" s="87" t="n">
        <v>773</v>
      </c>
      <c r="H27" s="89">
        <f>IFERROR(G27/F27,"")</f>
        <v/>
      </c>
      <c r="I27" s="90">
        <f>IFERROR(E27/G27,"")</f>
        <v/>
      </c>
      <c r="J27" s="90">
        <f>IFERROR(E27/F27*1000,"")</f>
        <v/>
      </c>
      <c r="K27" s="87" t="n">
        <v>656</v>
      </c>
      <c r="L27" s="18">
        <f>IFERROR(K27/G27,"")</f>
        <v/>
      </c>
      <c r="M27" s="87" t="n">
        <v>13</v>
      </c>
      <c r="N27" s="89">
        <f>IFERROR(M27/K27,"")</f>
        <v/>
      </c>
      <c r="O27" s="86">
        <f>IFERROR(E27/M27,"")</f>
        <v/>
      </c>
      <c r="P27" s="87" t="n">
        <v>9</v>
      </c>
      <c r="Q27" s="18">
        <f>IFERROR(P27/M27,"")</f>
        <v/>
      </c>
      <c r="R27" s="86">
        <f>IFERROR(E27/P27,"")</f>
        <v/>
      </c>
      <c r="S27" s="18">
        <f>IFERROR(E27/SUMIFS($E$5:$E$220,$A$5:$A$220,$A27),"")</f>
        <v/>
      </c>
      <c r="T27" s="18">
        <f>IFERROR(M27/SUMIFS($M$5:$M$220,$A$5:$A$220,$A27),"")</f>
        <v/>
      </c>
      <c r="U27" s="111">
        <f>IFERROR(O27/(SUMIFS($E$5:$E$220,$A$5:$A$220,$A27)/SUMIFS($M$5:$M$220,$A$5:$A$220,$A27)),"")</f>
        <v/>
      </c>
    </row>
    <row r="28">
      <c r="A28" s="6" t="inlineStr">
        <is>
          <t>Meta (FB/IG)</t>
        </is>
      </c>
      <c r="B28" s="78" t="inlineStr">
        <is>
          <t>LEP_ZA_AUG26_META_TD_AMUR_CONV</t>
        </is>
      </c>
      <c r="C28" s="78" t="inlineStr">
        <is>
          <t>25-34</t>
        </is>
      </c>
      <c r="D28" s="78" t="inlineStr">
        <is>
          <t>Unknown</t>
        </is>
      </c>
      <c r="E28" s="86" t="n">
        <v>394.94</v>
      </c>
      <c r="F28" s="87" t="n">
        <v>5293</v>
      </c>
      <c r="G28" s="87" t="n">
        <v>35</v>
      </c>
      <c r="H28" s="89">
        <f>IFERROR(G28/F28,"")</f>
        <v/>
      </c>
      <c r="I28" s="90">
        <f>IFERROR(E28/G28,"")</f>
        <v/>
      </c>
      <c r="J28" s="90">
        <f>IFERROR(E28/F28*1000,"")</f>
        <v/>
      </c>
      <c r="K28" s="87" t="n">
        <v>30</v>
      </c>
      <c r="L28" s="18">
        <f>IFERROR(K28/G28,"")</f>
        <v/>
      </c>
      <c r="M28" s="87" t="n">
        <v>1</v>
      </c>
      <c r="N28" s="89">
        <f>IFERROR(M28/K28,"")</f>
        <v/>
      </c>
      <c r="O28" s="86">
        <f>IFERROR(E28/M28,"")</f>
        <v/>
      </c>
      <c r="P28" s="87" t="n">
        <v>0</v>
      </c>
      <c r="Q28" s="18">
        <f>IFERROR(P28/M28,"")</f>
        <v/>
      </c>
      <c r="R28" s="86">
        <f>IFERROR(E28/P28,"")</f>
        <v/>
      </c>
      <c r="S28" s="18">
        <f>IFERROR(E28/SUMIFS($E$5:$E$220,$A$5:$A$220,$A28),"")</f>
        <v/>
      </c>
      <c r="T28" s="18">
        <f>IFERROR(M28/SUMIFS($M$5:$M$220,$A$5:$A$220,$A28),"")</f>
        <v/>
      </c>
      <c r="U28" s="111">
        <f>IFERROR(O28/(SUMIFS($E$5:$E$220,$A$5:$A$220,$A28)/SUMIFS($M$5:$M$220,$A$5:$A$220,$A28)),"")</f>
        <v/>
      </c>
    </row>
    <row r="29">
      <c r="A29" s="6" t="inlineStr">
        <is>
          <t>Meta (FB/IG)</t>
        </is>
      </c>
      <c r="B29" s="78" t="inlineStr">
        <is>
          <t>LEP_ZA_AUG26_META_TD_AMUR_CONV</t>
        </is>
      </c>
      <c r="C29" s="78" t="inlineStr">
        <is>
          <t>35-44</t>
        </is>
      </c>
      <c r="D29" s="78" t="inlineStr">
        <is>
          <t>Male</t>
        </is>
      </c>
      <c r="E29" s="86" t="n">
        <v>6697.17</v>
      </c>
      <c r="F29" s="87" t="n">
        <v>89764</v>
      </c>
      <c r="G29" s="87" t="n">
        <v>1421</v>
      </c>
      <c r="H29" s="89">
        <f>IFERROR(G29/F29,"")</f>
        <v/>
      </c>
      <c r="I29" s="90">
        <f>IFERROR(E29/G29,"")</f>
        <v/>
      </c>
      <c r="J29" s="90">
        <f>IFERROR(E29/F29*1000,"")</f>
        <v/>
      </c>
      <c r="K29" s="87" t="n">
        <v>1207</v>
      </c>
      <c r="L29" s="18">
        <f>IFERROR(K29/G29,"")</f>
        <v/>
      </c>
      <c r="M29" s="87" t="n">
        <v>24</v>
      </c>
      <c r="N29" s="89">
        <f>IFERROR(M29/K29,"")</f>
        <v/>
      </c>
      <c r="O29" s="86">
        <f>IFERROR(E29/M29,"")</f>
        <v/>
      </c>
      <c r="P29" s="87" t="n">
        <v>16</v>
      </c>
      <c r="Q29" s="18">
        <f>IFERROR(P29/M29,"")</f>
        <v/>
      </c>
      <c r="R29" s="86">
        <f>IFERROR(E29/P29,"")</f>
        <v/>
      </c>
      <c r="S29" s="18">
        <f>IFERROR(E29/SUMIFS($E$5:$E$220,$A$5:$A$220,$A29),"")</f>
        <v/>
      </c>
      <c r="T29" s="18">
        <f>IFERROR(M29/SUMIFS($M$5:$M$220,$A$5:$A$220,$A29),"")</f>
        <v/>
      </c>
      <c r="U29" s="111">
        <f>IFERROR(O29/(SUMIFS($E$5:$E$220,$A$5:$A$220,$A29)/SUMIFS($M$5:$M$220,$A$5:$A$220,$A29)),"")</f>
        <v/>
      </c>
    </row>
    <row r="30">
      <c r="A30" s="6" t="inlineStr">
        <is>
          <t>Meta (FB/IG)</t>
        </is>
      </c>
      <c r="B30" s="78" t="inlineStr">
        <is>
          <t>LEP_ZA_AUG26_META_TD_AMUR_CONV</t>
        </is>
      </c>
      <c r="C30" s="78" t="inlineStr">
        <is>
          <t>35-44</t>
        </is>
      </c>
      <c r="D30" s="78" t="inlineStr">
        <is>
          <t>Female</t>
        </is>
      </c>
      <c r="E30" s="86" t="n">
        <v>5426.1</v>
      </c>
      <c r="F30" s="87" t="n">
        <v>72727</v>
      </c>
      <c r="G30" s="87" t="n">
        <v>1053</v>
      </c>
      <c r="H30" s="89">
        <f>IFERROR(G30/F30,"")</f>
        <v/>
      </c>
      <c r="I30" s="90">
        <f>IFERROR(E30/G30,"")</f>
        <v/>
      </c>
      <c r="J30" s="90">
        <f>IFERROR(E30/F30*1000,"")</f>
        <v/>
      </c>
      <c r="K30" s="87" t="n">
        <v>895</v>
      </c>
      <c r="L30" s="18">
        <f>IFERROR(K30/G30,"")</f>
        <v/>
      </c>
      <c r="M30" s="87" t="n">
        <v>18</v>
      </c>
      <c r="N30" s="89">
        <f>IFERROR(M30/K30,"")</f>
        <v/>
      </c>
      <c r="O30" s="86">
        <f>IFERROR(E30/M30,"")</f>
        <v/>
      </c>
      <c r="P30" s="87" t="n">
        <v>12</v>
      </c>
      <c r="Q30" s="18">
        <f>IFERROR(P30/M30,"")</f>
        <v/>
      </c>
      <c r="R30" s="86">
        <f>IFERROR(E30/P30,"")</f>
        <v/>
      </c>
      <c r="S30" s="18">
        <f>IFERROR(E30/SUMIFS($E$5:$E$220,$A$5:$A$220,$A30),"")</f>
        <v/>
      </c>
      <c r="T30" s="18">
        <f>IFERROR(M30/SUMIFS($M$5:$M$220,$A$5:$A$220,$A30),"")</f>
        <v/>
      </c>
      <c r="U30" s="111">
        <f>IFERROR(O30/(SUMIFS($E$5:$E$220,$A$5:$A$220,$A30)/SUMIFS($M$5:$M$220,$A$5:$A$220,$A30)),"")</f>
        <v/>
      </c>
    </row>
    <row r="31">
      <c r="A31" s="6" t="inlineStr">
        <is>
          <t>Meta (FB/IG)</t>
        </is>
      </c>
      <c r="B31" s="78" t="inlineStr">
        <is>
          <t>LEP_ZA_AUG26_META_TD_AMUR_CONV</t>
        </is>
      </c>
      <c r="C31" s="78" t="inlineStr">
        <is>
          <t>35-44</t>
        </is>
      </c>
      <c r="D31" s="78" t="inlineStr">
        <is>
          <t>Unknown</t>
        </is>
      </c>
      <c r="E31" s="86" t="n">
        <v>369.84</v>
      </c>
      <c r="F31" s="87" t="n">
        <v>4957</v>
      </c>
      <c r="G31" s="87" t="n">
        <v>46</v>
      </c>
      <c r="H31" s="89">
        <f>IFERROR(G31/F31,"")</f>
        <v/>
      </c>
      <c r="I31" s="90">
        <f>IFERROR(E31/G31,"")</f>
        <v/>
      </c>
      <c r="J31" s="90">
        <f>IFERROR(E31/F31*1000,"")</f>
        <v/>
      </c>
      <c r="K31" s="87" t="n">
        <v>39</v>
      </c>
      <c r="L31" s="18">
        <f>IFERROR(K31/G31,"")</f>
        <v/>
      </c>
      <c r="M31" s="87" t="n">
        <v>1</v>
      </c>
      <c r="N31" s="89">
        <f>IFERROR(M31/K31,"")</f>
        <v/>
      </c>
      <c r="O31" s="86">
        <f>IFERROR(E31/M31,"")</f>
        <v/>
      </c>
      <c r="P31" s="87" t="n">
        <v>1</v>
      </c>
      <c r="Q31" s="18">
        <f>IFERROR(P31/M31,"")</f>
        <v/>
      </c>
      <c r="R31" s="86">
        <f>IFERROR(E31/P31,"")</f>
        <v/>
      </c>
      <c r="S31" s="18">
        <f>IFERROR(E31/SUMIFS($E$5:$E$220,$A$5:$A$220,$A31),"")</f>
        <v/>
      </c>
      <c r="T31" s="18">
        <f>IFERROR(M31/SUMIFS($M$5:$M$220,$A$5:$A$220,$A31),"")</f>
        <v/>
      </c>
      <c r="U31" s="111">
        <f>IFERROR(O31/(SUMIFS($E$5:$E$220,$A$5:$A$220,$A31)/SUMIFS($M$5:$M$220,$A$5:$A$220,$A31)),"")</f>
        <v/>
      </c>
    </row>
    <row r="32">
      <c r="A32" s="6" t="inlineStr">
        <is>
          <t>Meta (FB/IG)</t>
        </is>
      </c>
      <c r="B32" s="78" t="inlineStr">
        <is>
          <t>LEP_ZA_AUG26_META_TD_AMUR_CONV</t>
        </is>
      </c>
      <c r="C32" s="78" t="inlineStr">
        <is>
          <t>45-54</t>
        </is>
      </c>
      <c r="D32" s="78" t="inlineStr">
        <is>
          <t>Male</t>
        </is>
      </c>
      <c r="E32" s="86" t="n">
        <v>5247.83</v>
      </c>
      <c r="F32" s="87" t="n">
        <v>70338</v>
      </c>
      <c r="G32" s="87" t="n">
        <v>1166</v>
      </c>
      <c r="H32" s="89">
        <f>IFERROR(G32/F32,"")</f>
        <v/>
      </c>
      <c r="I32" s="90">
        <f>IFERROR(E32/G32,"")</f>
        <v/>
      </c>
      <c r="J32" s="90">
        <f>IFERROR(E32/F32*1000,"")</f>
        <v/>
      </c>
      <c r="K32" s="87" t="n">
        <v>990</v>
      </c>
      <c r="L32" s="18">
        <f>IFERROR(K32/G32,"")</f>
        <v/>
      </c>
      <c r="M32" s="87" t="n">
        <v>20</v>
      </c>
      <c r="N32" s="89">
        <f>IFERROR(M32/K32,"")</f>
        <v/>
      </c>
      <c r="O32" s="86">
        <f>IFERROR(E32/M32,"")</f>
        <v/>
      </c>
      <c r="P32" s="87" t="n">
        <v>13</v>
      </c>
      <c r="Q32" s="18">
        <f>IFERROR(P32/M32,"")</f>
        <v/>
      </c>
      <c r="R32" s="86">
        <f>IFERROR(E32/P32,"")</f>
        <v/>
      </c>
      <c r="S32" s="18">
        <f>IFERROR(E32/SUMIFS($E$5:$E$220,$A$5:$A$220,$A32),"")</f>
        <v/>
      </c>
      <c r="T32" s="18">
        <f>IFERROR(M32/SUMIFS($M$5:$M$220,$A$5:$A$220,$A32),"")</f>
        <v/>
      </c>
      <c r="U32" s="111">
        <f>IFERROR(O32/(SUMIFS($E$5:$E$220,$A$5:$A$220,$A32)/SUMIFS($M$5:$M$220,$A$5:$A$220,$A32)),"")</f>
        <v/>
      </c>
    </row>
    <row r="33">
      <c r="A33" s="6" t="inlineStr">
        <is>
          <t>Meta (FB/IG)</t>
        </is>
      </c>
      <c r="B33" s="78" t="inlineStr">
        <is>
          <t>LEP_ZA_AUG26_META_TD_AMUR_CONV</t>
        </is>
      </c>
      <c r="C33" s="78" t="inlineStr">
        <is>
          <t>45-54</t>
        </is>
      </c>
      <c r="D33" s="78" t="inlineStr">
        <is>
          <t>Female</t>
        </is>
      </c>
      <c r="E33" s="86" t="n">
        <v>4058.62</v>
      </c>
      <c r="F33" s="87" t="n">
        <v>54399</v>
      </c>
      <c r="G33" s="87" t="n">
        <v>825</v>
      </c>
      <c r="H33" s="89">
        <f>IFERROR(G33/F33,"")</f>
        <v/>
      </c>
      <c r="I33" s="90">
        <f>IFERROR(E33/G33,"")</f>
        <v/>
      </c>
      <c r="J33" s="90">
        <f>IFERROR(E33/F33*1000,"")</f>
        <v/>
      </c>
      <c r="K33" s="87" t="n">
        <v>701</v>
      </c>
      <c r="L33" s="18">
        <f>IFERROR(K33/G33,"")</f>
        <v/>
      </c>
      <c r="M33" s="87" t="n">
        <v>14</v>
      </c>
      <c r="N33" s="89">
        <f>IFERROR(M33/K33,"")</f>
        <v/>
      </c>
      <c r="O33" s="86">
        <f>IFERROR(E33/M33,"")</f>
        <v/>
      </c>
      <c r="P33" s="87" t="n">
        <v>9</v>
      </c>
      <c r="Q33" s="18">
        <f>IFERROR(P33/M33,"")</f>
        <v/>
      </c>
      <c r="R33" s="86">
        <f>IFERROR(E33/P33,"")</f>
        <v/>
      </c>
      <c r="S33" s="18">
        <f>IFERROR(E33/SUMIFS($E$5:$E$220,$A$5:$A$220,$A33),"")</f>
        <v/>
      </c>
      <c r="T33" s="18">
        <f>IFERROR(M33/SUMIFS($M$5:$M$220,$A$5:$A$220,$A33),"")</f>
        <v/>
      </c>
      <c r="U33" s="111">
        <f>IFERROR(O33/(SUMIFS($E$5:$E$220,$A$5:$A$220,$A33)/SUMIFS($M$5:$M$220,$A$5:$A$220,$A33)),"")</f>
        <v/>
      </c>
    </row>
    <row r="34">
      <c r="A34" s="6" t="inlineStr">
        <is>
          <t>Meta (FB/IG)</t>
        </is>
      </c>
      <c r="B34" s="78" t="inlineStr">
        <is>
          <t>LEP_ZA_AUG26_META_TD_AMUR_CONV</t>
        </is>
      </c>
      <c r="C34" s="78" t="inlineStr">
        <is>
          <t>45-54</t>
        </is>
      </c>
      <c r="D34" s="78" t="inlineStr">
        <is>
          <t>Unknown</t>
        </is>
      </c>
      <c r="E34" s="86" t="n">
        <v>295.24</v>
      </c>
      <c r="F34" s="87" t="n">
        <v>3957</v>
      </c>
      <c r="G34" s="87" t="n">
        <v>38</v>
      </c>
      <c r="H34" s="89">
        <f>IFERROR(G34/F34,"")</f>
        <v/>
      </c>
      <c r="I34" s="90">
        <f>IFERROR(E34/G34,"")</f>
        <v/>
      </c>
      <c r="J34" s="90">
        <f>IFERROR(E34/F34*1000,"")</f>
        <v/>
      </c>
      <c r="K34" s="87" t="n">
        <v>32</v>
      </c>
      <c r="L34" s="18">
        <f>IFERROR(K34/G34,"")</f>
        <v/>
      </c>
      <c r="M34" s="87" t="n">
        <v>1</v>
      </c>
      <c r="N34" s="89">
        <f>IFERROR(M34/K34,"")</f>
        <v/>
      </c>
      <c r="O34" s="86">
        <f>IFERROR(E34/M34,"")</f>
        <v/>
      </c>
      <c r="P34" s="87" t="n">
        <v>0</v>
      </c>
      <c r="Q34" s="18">
        <f>IFERROR(P34/M34,"")</f>
        <v/>
      </c>
      <c r="R34" s="86">
        <f>IFERROR(E34/P34,"")</f>
        <v/>
      </c>
      <c r="S34" s="18">
        <f>IFERROR(E34/SUMIFS($E$5:$E$220,$A$5:$A$220,$A34),"")</f>
        <v/>
      </c>
      <c r="T34" s="18">
        <f>IFERROR(M34/SUMIFS($M$5:$M$220,$A$5:$A$220,$A34),"")</f>
        <v/>
      </c>
      <c r="U34" s="111">
        <f>IFERROR(O34/(SUMIFS($E$5:$E$220,$A$5:$A$220,$A34)/SUMIFS($M$5:$M$220,$A$5:$A$220,$A34)),"")</f>
        <v/>
      </c>
    </row>
    <row r="35">
      <c r="A35" s="6" t="inlineStr">
        <is>
          <t>Meta (FB/IG)</t>
        </is>
      </c>
      <c r="B35" s="78" t="inlineStr">
        <is>
          <t>LEP_ZA_AUG26_META_TD_AMUR_CONV</t>
        </is>
      </c>
      <c r="C35" s="78" t="inlineStr">
        <is>
          <t>55-64</t>
        </is>
      </c>
      <c r="D35" s="78" t="inlineStr">
        <is>
          <t>Male</t>
        </is>
      </c>
      <c r="E35" s="86" t="n">
        <v>2816.72</v>
      </c>
      <c r="F35" s="87" t="n">
        <v>37753</v>
      </c>
      <c r="G35" s="87" t="n">
        <v>490</v>
      </c>
      <c r="H35" s="89">
        <f>IFERROR(G35/F35,"")</f>
        <v/>
      </c>
      <c r="I35" s="90">
        <f>IFERROR(E35/G35,"")</f>
        <v/>
      </c>
      <c r="J35" s="90">
        <f>IFERROR(E35/F35*1000,"")</f>
        <v/>
      </c>
      <c r="K35" s="87" t="n">
        <v>416</v>
      </c>
      <c r="L35" s="18">
        <f>IFERROR(K35/G35,"")</f>
        <v/>
      </c>
      <c r="M35" s="87" t="n">
        <v>8</v>
      </c>
      <c r="N35" s="89">
        <f>IFERROR(M35/K35,"")</f>
        <v/>
      </c>
      <c r="O35" s="86">
        <f>IFERROR(E35/M35,"")</f>
        <v/>
      </c>
      <c r="P35" s="87" t="n">
        <v>6</v>
      </c>
      <c r="Q35" s="18">
        <f>IFERROR(P35/M35,"")</f>
        <v/>
      </c>
      <c r="R35" s="86">
        <f>IFERROR(E35/P35,"")</f>
        <v/>
      </c>
      <c r="S35" s="18">
        <f>IFERROR(E35/SUMIFS($E$5:$E$220,$A$5:$A$220,$A35),"")</f>
        <v/>
      </c>
      <c r="T35" s="18">
        <f>IFERROR(M35/SUMIFS($M$5:$M$220,$A$5:$A$220,$A35),"")</f>
        <v/>
      </c>
      <c r="U35" s="111">
        <f>IFERROR(O35/(SUMIFS($E$5:$E$220,$A$5:$A$220,$A35)/SUMIFS($M$5:$M$220,$A$5:$A$220,$A35)),"")</f>
        <v/>
      </c>
    </row>
    <row r="36">
      <c r="A36" s="6" t="inlineStr">
        <is>
          <t>Meta (FB/IG)</t>
        </is>
      </c>
      <c r="B36" s="78" t="inlineStr">
        <is>
          <t>LEP_ZA_AUG26_META_TD_AMUR_CONV</t>
        </is>
      </c>
      <c r="C36" s="78" t="inlineStr">
        <is>
          <t>55-64</t>
        </is>
      </c>
      <c r="D36" s="78" t="inlineStr">
        <is>
          <t>Female</t>
        </is>
      </c>
      <c r="E36" s="86" t="n">
        <v>2184.85</v>
      </c>
      <c r="F36" s="87" t="n">
        <v>29284</v>
      </c>
      <c r="G36" s="87" t="n">
        <v>348</v>
      </c>
      <c r="H36" s="89">
        <f>IFERROR(G36/F36,"")</f>
        <v/>
      </c>
      <c r="I36" s="90">
        <f>IFERROR(E36/G36,"")</f>
        <v/>
      </c>
      <c r="J36" s="90">
        <f>IFERROR(E36/F36*1000,"")</f>
        <v/>
      </c>
      <c r="K36" s="87" t="n">
        <v>296</v>
      </c>
      <c r="L36" s="18">
        <f>IFERROR(K36/G36,"")</f>
        <v/>
      </c>
      <c r="M36" s="87" t="n">
        <v>6</v>
      </c>
      <c r="N36" s="89">
        <f>IFERROR(M36/K36,"")</f>
        <v/>
      </c>
      <c r="O36" s="86">
        <f>IFERROR(E36/M36,"")</f>
        <v/>
      </c>
      <c r="P36" s="87" t="n">
        <v>4</v>
      </c>
      <c r="Q36" s="18">
        <f>IFERROR(P36/M36,"")</f>
        <v/>
      </c>
      <c r="R36" s="86">
        <f>IFERROR(E36/P36,"")</f>
        <v/>
      </c>
      <c r="S36" s="18">
        <f>IFERROR(E36/SUMIFS($E$5:$E$220,$A$5:$A$220,$A36),"")</f>
        <v/>
      </c>
      <c r="T36" s="18">
        <f>IFERROR(M36/SUMIFS($M$5:$M$220,$A$5:$A$220,$A36),"")</f>
        <v/>
      </c>
      <c r="U36" s="111">
        <f>IFERROR(O36/(SUMIFS($E$5:$E$220,$A$5:$A$220,$A36)/SUMIFS($M$5:$M$220,$A$5:$A$220,$A36)),"")</f>
        <v/>
      </c>
    </row>
    <row r="37">
      <c r="A37" s="6" t="inlineStr">
        <is>
          <t>Meta (FB/IG)</t>
        </is>
      </c>
      <c r="B37" s="78" t="inlineStr">
        <is>
          <t>LEP_ZA_AUG26_META_TD_AMUR_CONV</t>
        </is>
      </c>
      <c r="C37" s="78" t="inlineStr">
        <is>
          <t>55-64</t>
        </is>
      </c>
      <c r="D37" s="78" t="inlineStr">
        <is>
          <t>Unknown</t>
        </is>
      </c>
      <c r="E37" s="86" t="n">
        <v>149.56</v>
      </c>
      <c r="F37" s="87" t="n">
        <v>2005</v>
      </c>
      <c r="G37" s="87" t="n">
        <v>15</v>
      </c>
      <c r="H37" s="89">
        <f>IFERROR(G37/F37,"")</f>
        <v/>
      </c>
      <c r="I37" s="90">
        <f>IFERROR(E37/G37,"")</f>
        <v/>
      </c>
      <c r="J37" s="90">
        <f>IFERROR(E37/F37*1000,"")</f>
        <v/>
      </c>
      <c r="K37" s="87" t="n">
        <v>13</v>
      </c>
      <c r="L37" s="18">
        <f>IFERROR(K37/G37,"")</f>
        <v/>
      </c>
      <c r="M37" s="87" t="n">
        <v>0</v>
      </c>
      <c r="N37" s="89">
        <f>IFERROR(M37/K37,"")</f>
        <v/>
      </c>
      <c r="O37" s="86">
        <f>IFERROR(E37/M37,"")</f>
        <v/>
      </c>
      <c r="P37" s="87" t="n">
        <v>0</v>
      </c>
      <c r="Q37" s="18">
        <f>IFERROR(P37/M37,"")</f>
        <v/>
      </c>
      <c r="R37" s="86">
        <f>IFERROR(E37/P37,"")</f>
        <v/>
      </c>
      <c r="S37" s="18">
        <f>IFERROR(E37/SUMIFS($E$5:$E$220,$A$5:$A$220,$A37),"")</f>
        <v/>
      </c>
      <c r="T37" s="18">
        <f>IFERROR(M37/SUMIFS($M$5:$M$220,$A$5:$A$220,$A37),"")</f>
        <v/>
      </c>
      <c r="U37" s="111">
        <f>IFERROR(O37/(SUMIFS($E$5:$E$220,$A$5:$A$220,$A37)/SUMIFS($M$5:$M$220,$A$5:$A$220,$A37)),"")</f>
        <v/>
      </c>
    </row>
    <row r="38">
      <c r="A38" s="6" t="inlineStr">
        <is>
          <t>Meta (FB/IG)</t>
        </is>
      </c>
      <c r="B38" s="78" t="inlineStr">
        <is>
          <t>LEP_ZA_AUG26_META_TD_AMUR_CONV</t>
        </is>
      </c>
      <c r="C38" s="78" t="inlineStr">
        <is>
          <t>65+</t>
        </is>
      </c>
      <c r="D38" s="78" t="inlineStr">
        <is>
          <t>Male</t>
        </is>
      </c>
      <c r="E38" s="86" t="n">
        <v>1365.47</v>
      </c>
      <c r="F38" s="87" t="n">
        <v>18302</v>
      </c>
      <c r="G38" s="87" t="n">
        <v>161</v>
      </c>
      <c r="H38" s="89">
        <f>IFERROR(G38/F38,"")</f>
        <v/>
      </c>
      <c r="I38" s="90">
        <f>IFERROR(E38/G38,"")</f>
        <v/>
      </c>
      <c r="J38" s="90">
        <f>IFERROR(E38/F38*1000,"")</f>
        <v/>
      </c>
      <c r="K38" s="87" t="n">
        <v>136</v>
      </c>
      <c r="L38" s="18">
        <f>IFERROR(K38/G38,"")</f>
        <v/>
      </c>
      <c r="M38" s="87" t="n">
        <v>3</v>
      </c>
      <c r="N38" s="89">
        <f>IFERROR(M38/K38,"")</f>
        <v/>
      </c>
      <c r="O38" s="86">
        <f>IFERROR(E38/M38,"")</f>
        <v/>
      </c>
      <c r="P38" s="87" t="n">
        <v>2</v>
      </c>
      <c r="Q38" s="18">
        <f>IFERROR(P38/M38,"")</f>
        <v/>
      </c>
      <c r="R38" s="86">
        <f>IFERROR(E38/P38,"")</f>
        <v/>
      </c>
      <c r="S38" s="18">
        <f>IFERROR(E38/SUMIFS($E$5:$E$220,$A$5:$A$220,$A38),"")</f>
        <v/>
      </c>
      <c r="T38" s="18">
        <f>IFERROR(M38/SUMIFS($M$5:$M$220,$A$5:$A$220,$A38),"")</f>
        <v/>
      </c>
      <c r="U38" s="111">
        <f>IFERROR(O38/(SUMIFS($E$5:$E$220,$A$5:$A$220,$A38)/SUMIFS($M$5:$M$220,$A$5:$A$220,$A38)),"")</f>
        <v/>
      </c>
    </row>
    <row r="39">
      <c r="A39" s="6" t="inlineStr">
        <is>
          <t>Meta (FB/IG)</t>
        </is>
      </c>
      <c r="B39" s="78" t="inlineStr">
        <is>
          <t>LEP_ZA_AUG26_META_TD_AMUR_CONV</t>
        </is>
      </c>
      <c r="C39" s="78" t="inlineStr">
        <is>
          <t>65+</t>
        </is>
      </c>
      <c r="D39" s="78" t="inlineStr">
        <is>
          <t>Female</t>
        </is>
      </c>
      <c r="E39" s="86" t="n">
        <v>979.33</v>
      </c>
      <c r="F39" s="87" t="n">
        <v>13126</v>
      </c>
      <c r="G39" s="87" t="n">
        <v>105</v>
      </c>
      <c r="H39" s="89">
        <f>IFERROR(G39/F39,"")</f>
        <v/>
      </c>
      <c r="I39" s="90">
        <f>IFERROR(E39/G39,"")</f>
        <v/>
      </c>
      <c r="J39" s="90">
        <f>IFERROR(E39/F39*1000,"")</f>
        <v/>
      </c>
      <c r="K39" s="87" t="n">
        <v>90</v>
      </c>
      <c r="L39" s="18">
        <f>IFERROR(K39/G39,"")</f>
        <v/>
      </c>
      <c r="M39" s="87" t="n">
        <v>2</v>
      </c>
      <c r="N39" s="89">
        <f>IFERROR(M39/K39,"")</f>
        <v/>
      </c>
      <c r="O39" s="86">
        <f>IFERROR(E39/M39,"")</f>
        <v/>
      </c>
      <c r="P39" s="87" t="n">
        <v>1</v>
      </c>
      <c r="Q39" s="18">
        <f>IFERROR(P39/M39,"")</f>
        <v/>
      </c>
      <c r="R39" s="86">
        <f>IFERROR(E39/P39,"")</f>
        <v/>
      </c>
      <c r="S39" s="18">
        <f>IFERROR(E39/SUMIFS($E$5:$E$220,$A$5:$A$220,$A39),"")</f>
        <v/>
      </c>
      <c r="T39" s="18">
        <f>IFERROR(M39/SUMIFS($M$5:$M$220,$A$5:$A$220,$A39),"")</f>
        <v/>
      </c>
      <c r="U39" s="111">
        <f>IFERROR(O39/(SUMIFS($E$5:$E$220,$A$5:$A$220,$A39)/SUMIFS($M$5:$M$220,$A$5:$A$220,$A39)),"")</f>
        <v/>
      </c>
    </row>
    <row r="40">
      <c r="A40" s="6" t="inlineStr">
        <is>
          <t>Meta (FB/IG)</t>
        </is>
      </c>
      <c r="B40" s="78" t="inlineStr">
        <is>
          <t>LEP_ZA_AUG26_META_TD_AMUR_CONV</t>
        </is>
      </c>
      <c r="C40" s="78" t="inlineStr">
        <is>
          <t>65+</t>
        </is>
      </c>
      <c r="D40" s="78" t="inlineStr">
        <is>
          <t>Unknown</t>
        </is>
      </c>
      <c r="E40" s="86" t="n">
        <v>69.64</v>
      </c>
      <c r="F40" s="87" t="n">
        <v>933</v>
      </c>
      <c r="G40" s="87" t="n">
        <v>5</v>
      </c>
      <c r="H40" s="89">
        <f>IFERROR(G40/F40,"")</f>
        <v/>
      </c>
      <c r="I40" s="90">
        <f>IFERROR(E40/G40,"")</f>
        <v/>
      </c>
      <c r="J40" s="90">
        <f>IFERROR(E40/F40*1000,"")</f>
        <v/>
      </c>
      <c r="K40" s="87" t="n">
        <v>4</v>
      </c>
      <c r="L40" s="18">
        <f>IFERROR(K40/G40,"")</f>
        <v/>
      </c>
      <c r="M40" s="87" t="n">
        <v>0</v>
      </c>
      <c r="N40" s="89">
        <f>IFERROR(M40/K40,"")</f>
        <v/>
      </c>
      <c r="O40" s="86">
        <f>IFERROR(E40/M40,"")</f>
        <v/>
      </c>
      <c r="P40" s="87" t="n">
        <v>0</v>
      </c>
      <c r="Q40" s="18">
        <f>IFERROR(P40/M40,"")</f>
        <v/>
      </c>
      <c r="R40" s="86">
        <f>IFERROR(E40/P40,"")</f>
        <v/>
      </c>
      <c r="S40" s="18">
        <f>IFERROR(E40/SUMIFS($E$5:$E$220,$A$5:$A$220,$A40),"")</f>
        <v/>
      </c>
      <c r="T40" s="18">
        <f>IFERROR(M40/SUMIFS($M$5:$M$220,$A$5:$A$220,$A40),"")</f>
        <v/>
      </c>
      <c r="U40" s="111">
        <f>IFERROR(O40/(SUMIFS($E$5:$E$220,$A$5:$A$220,$A40)/SUMIFS($M$5:$M$220,$A$5:$A$220,$A40)),"")</f>
        <v/>
      </c>
    </row>
    <row r="41">
      <c r="A41" s="6" t="inlineStr">
        <is>
          <t>Meta (FB/IG)</t>
        </is>
      </c>
      <c r="B41" s="78" t="inlineStr">
        <is>
          <t>LEP_ZA_AUG26_META_TD_JAVAN_CONV</t>
        </is>
      </c>
      <c r="C41" s="78" t="inlineStr">
        <is>
          <t>18-24</t>
        </is>
      </c>
      <c r="D41" s="78" t="inlineStr">
        <is>
          <t>Male</t>
        </is>
      </c>
      <c r="E41" s="86" t="n">
        <v>2419.64</v>
      </c>
      <c r="F41" s="87" t="n">
        <v>32317</v>
      </c>
      <c r="G41" s="87" t="n">
        <v>242</v>
      </c>
      <c r="H41" s="89">
        <f>IFERROR(G41/F41,"")</f>
        <v/>
      </c>
      <c r="I41" s="90">
        <f>IFERROR(E41/G41,"")</f>
        <v/>
      </c>
      <c r="J41" s="90">
        <f>IFERROR(E41/F41*1000,"")</f>
        <v/>
      </c>
      <c r="K41" s="87" t="n">
        <v>206</v>
      </c>
      <c r="L41" s="18">
        <f>IFERROR(K41/G41,"")</f>
        <v/>
      </c>
      <c r="M41" s="87" t="n">
        <v>4</v>
      </c>
      <c r="N41" s="89">
        <f>IFERROR(M41/K41,"")</f>
        <v/>
      </c>
      <c r="O41" s="86">
        <f>IFERROR(E41/M41,"")</f>
        <v/>
      </c>
      <c r="P41" s="87" t="n">
        <v>3</v>
      </c>
      <c r="Q41" s="18">
        <f>IFERROR(P41/M41,"")</f>
        <v/>
      </c>
      <c r="R41" s="86">
        <f>IFERROR(E41/P41,"")</f>
        <v/>
      </c>
      <c r="S41" s="18">
        <f>IFERROR(E41/SUMIFS($E$5:$E$220,$A$5:$A$220,$A41),"")</f>
        <v/>
      </c>
      <c r="T41" s="18">
        <f>IFERROR(M41/SUMIFS($M$5:$M$220,$A$5:$A$220,$A41),"")</f>
        <v/>
      </c>
      <c r="U41" s="111">
        <f>IFERROR(O41/(SUMIFS($E$5:$E$220,$A$5:$A$220,$A41)/SUMIFS($M$5:$M$220,$A$5:$A$220,$A41)),"")</f>
        <v/>
      </c>
    </row>
    <row r="42">
      <c r="A42" s="6" t="inlineStr">
        <is>
          <t>Meta (FB/IG)</t>
        </is>
      </c>
      <c r="B42" s="78" t="inlineStr">
        <is>
          <t>LEP_ZA_AUG26_META_TD_JAVAN_CONV</t>
        </is>
      </c>
      <c r="C42" s="78" t="inlineStr">
        <is>
          <t>18-24</t>
        </is>
      </c>
      <c r="D42" s="78" t="inlineStr">
        <is>
          <t>Female</t>
        </is>
      </c>
      <c r="E42" s="86" t="n">
        <v>1752.49</v>
      </c>
      <c r="F42" s="87" t="n">
        <v>23406</v>
      </c>
      <c r="G42" s="87" t="n">
        <v>160</v>
      </c>
      <c r="H42" s="89">
        <f>IFERROR(G42/F42,"")</f>
        <v/>
      </c>
      <c r="I42" s="90">
        <f>IFERROR(E42/G42,"")</f>
        <v/>
      </c>
      <c r="J42" s="90">
        <f>IFERROR(E42/F42*1000,"")</f>
        <v/>
      </c>
      <c r="K42" s="87" t="n">
        <v>137</v>
      </c>
      <c r="L42" s="18">
        <f>IFERROR(K42/G42,"")</f>
        <v/>
      </c>
      <c r="M42" s="87" t="n">
        <v>3</v>
      </c>
      <c r="N42" s="89">
        <f>IFERROR(M42/K42,"")</f>
        <v/>
      </c>
      <c r="O42" s="86">
        <f>IFERROR(E42/M42,"")</f>
        <v/>
      </c>
      <c r="P42" s="87" t="n">
        <v>2</v>
      </c>
      <c r="Q42" s="18">
        <f>IFERROR(P42/M42,"")</f>
        <v/>
      </c>
      <c r="R42" s="86">
        <f>IFERROR(E42/P42,"")</f>
        <v/>
      </c>
      <c r="S42" s="18">
        <f>IFERROR(E42/SUMIFS($E$5:$E$220,$A$5:$A$220,$A42),"")</f>
        <v/>
      </c>
      <c r="T42" s="18">
        <f>IFERROR(M42/SUMIFS($M$5:$M$220,$A$5:$A$220,$A42),"")</f>
        <v/>
      </c>
      <c r="U42" s="111">
        <f>IFERROR(O42/(SUMIFS($E$5:$E$220,$A$5:$A$220,$A42)/SUMIFS($M$5:$M$220,$A$5:$A$220,$A42)),"")</f>
        <v/>
      </c>
    </row>
    <row r="43">
      <c r="A43" s="6" t="inlineStr">
        <is>
          <t>Meta (FB/IG)</t>
        </is>
      </c>
      <c r="B43" s="78" t="inlineStr">
        <is>
          <t>LEP_ZA_AUG26_META_TD_JAVAN_CONV</t>
        </is>
      </c>
      <c r="C43" s="78" t="inlineStr">
        <is>
          <t>18-24</t>
        </is>
      </c>
      <c r="D43" s="78" t="inlineStr">
        <is>
          <t>Unknown</t>
        </is>
      </c>
      <c r="E43" s="86" t="n">
        <v>129.62</v>
      </c>
      <c r="F43" s="87" t="n">
        <v>1731</v>
      </c>
      <c r="G43" s="87" t="n">
        <v>8</v>
      </c>
      <c r="H43" s="89">
        <f>IFERROR(G43/F43,"")</f>
        <v/>
      </c>
      <c r="I43" s="90">
        <f>IFERROR(E43/G43,"")</f>
        <v/>
      </c>
      <c r="J43" s="90">
        <f>IFERROR(E43/F43*1000,"")</f>
        <v/>
      </c>
      <c r="K43" s="87" t="n">
        <v>7</v>
      </c>
      <c r="L43" s="18">
        <f>IFERROR(K43/G43,"")</f>
        <v/>
      </c>
      <c r="M43" s="87" t="n">
        <v>0</v>
      </c>
      <c r="N43" s="89">
        <f>IFERROR(M43/K43,"")</f>
        <v/>
      </c>
      <c r="O43" s="86">
        <f>IFERROR(E43/M43,"")</f>
        <v/>
      </c>
      <c r="P43" s="87" t="n">
        <v>0</v>
      </c>
      <c r="Q43" s="18">
        <f>IFERROR(P43/M43,"")</f>
        <v/>
      </c>
      <c r="R43" s="86">
        <f>IFERROR(E43/P43,"")</f>
        <v/>
      </c>
      <c r="S43" s="18">
        <f>IFERROR(E43/SUMIFS($E$5:$E$220,$A$5:$A$220,$A43),"")</f>
        <v/>
      </c>
      <c r="T43" s="18">
        <f>IFERROR(M43/SUMIFS($M$5:$M$220,$A$5:$A$220,$A43),"")</f>
        <v/>
      </c>
      <c r="U43" s="111">
        <f>IFERROR(O43/(SUMIFS($E$5:$E$220,$A$5:$A$220,$A43)/SUMIFS($M$5:$M$220,$A$5:$A$220,$A43)),"")</f>
        <v/>
      </c>
    </row>
    <row r="44">
      <c r="A44" s="6" t="inlineStr">
        <is>
          <t>Meta (FB/IG)</t>
        </is>
      </c>
      <c r="B44" s="78" t="inlineStr">
        <is>
          <t>LEP_ZA_AUG26_META_TD_JAVAN_CONV</t>
        </is>
      </c>
      <c r="C44" s="78" t="inlineStr">
        <is>
          <t>25-34</t>
        </is>
      </c>
      <c r="D44" s="78" t="inlineStr">
        <is>
          <t>Male</t>
        </is>
      </c>
      <c r="E44" s="86" t="n">
        <v>7277.4</v>
      </c>
      <c r="F44" s="87" t="n">
        <v>97198</v>
      </c>
      <c r="G44" s="87" t="n">
        <v>1152</v>
      </c>
      <c r="H44" s="89">
        <f>IFERROR(G44/F44,"")</f>
        <v/>
      </c>
      <c r="I44" s="90">
        <f>IFERROR(E44/G44,"")</f>
        <v/>
      </c>
      <c r="J44" s="90">
        <f>IFERROR(E44/F44*1000,"")</f>
        <v/>
      </c>
      <c r="K44" s="87" t="n">
        <v>985</v>
      </c>
      <c r="L44" s="18">
        <f>IFERROR(K44/G44,"")</f>
        <v/>
      </c>
      <c r="M44" s="87" t="n">
        <v>21</v>
      </c>
      <c r="N44" s="89">
        <f>IFERROR(M44/K44,"")</f>
        <v/>
      </c>
      <c r="O44" s="86">
        <f>IFERROR(E44/M44,"")</f>
        <v/>
      </c>
      <c r="P44" s="87" t="n">
        <v>13</v>
      </c>
      <c r="Q44" s="18">
        <f>IFERROR(P44/M44,"")</f>
        <v/>
      </c>
      <c r="R44" s="86">
        <f>IFERROR(E44/P44,"")</f>
        <v/>
      </c>
      <c r="S44" s="18">
        <f>IFERROR(E44/SUMIFS($E$5:$E$220,$A$5:$A$220,$A44),"")</f>
        <v/>
      </c>
      <c r="T44" s="18">
        <f>IFERROR(M44/SUMIFS($M$5:$M$220,$A$5:$A$220,$A44),"")</f>
        <v/>
      </c>
      <c r="U44" s="111">
        <f>IFERROR(O44/(SUMIFS($E$5:$E$220,$A$5:$A$220,$A44)/SUMIFS($M$5:$M$220,$A$5:$A$220,$A44)),"")</f>
        <v/>
      </c>
    </row>
    <row r="45">
      <c r="A45" s="6" t="inlineStr">
        <is>
          <t>Meta (FB/IG)</t>
        </is>
      </c>
      <c r="B45" s="78" t="inlineStr">
        <is>
          <t>LEP_ZA_AUG26_META_TD_JAVAN_CONV</t>
        </is>
      </c>
      <c r="C45" s="78" t="inlineStr">
        <is>
          <t>25-34</t>
        </is>
      </c>
      <c r="D45" s="78" t="inlineStr">
        <is>
          <t>Female</t>
        </is>
      </c>
      <c r="E45" s="86" t="n">
        <v>5715.81</v>
      </c>
      <c r="F45" s="87" t="n">
        <v>76342</v>
      </c>
      <c r="G45" s="87" t="n">
        <v>828</v>
      </c>
      <c r="H45" s="89">
        <f>IFERROR(G45/F45,"")</f>
        <v/>
      </c>
      <c r="I45" s="90">
        <f>IFERROR(E45/G45,"")</f>
        <v/>
      </c>
      <c r="J45" s="90">
        <f>IFERROR(E45/F45*1000,"")</f>
        <v/>
      </c>
      <c r="K45" s="87" t="n">
        <v>708</v>
      </c>
      <c r="L45" s="18">
        <f>IFERROR(K45/G45,"")</f>
        <v/>
      </c>
      <c r="M45" s="87" t="n">
        <v>15</v>
      </c>
      <c r="N45" s="89">
        <f>IFERROR(M45/K45,"")</f>
        <v/>
      </c>
      <c r="O45" s="86">
        <f>IFERROR(E45/M45,"")</f>
        <v/>
      </c>
      <c r="P45" s="87" t="n">
        <v>9</v>
      </c>
      <c r="Q45" s="18">
        <f>IFERROR(P45/M45,"")</f>
        <v/>
      </c>
      <c r="R45" s="86">
        <f>IFERROR(E45/P45,"")</f>
        <v/>
      </c>
      <c r="S45" s="18">
        <f>IFERROR(E45/SUMIFS($E$5:$E$220,$A$5:$A$220,$A45),"")</f>
        <v/>
      </c>
      <c r="T45" s="18">
        <f>IFERROR(M45/SUMIFS($M$5:$M$220,$A$5:$A$220,$A45),"")</f>
        <v/>
      </c>
      <c r="U45" s="111">
        <f>IFERROR(O45/(SUMIFS($E$5:$E$220,$A$5:$A$220,$A45)/SUMIFS($M$5:$M$220,$A$5:$A$220,$A45)),"")</f>
        <v/>
      </c>
    </row>
    <row r="46">
      <c r="A46" s="6" t="inlineStr">
        <is>
          <t>Meta (FB/IG)</t>
        </is>
      </c>
      <c r="B46" s="78" t="inlineStr">
        <is>
          <t>LEP_ZA_AUG26_META_TD_JAVAN_CONV</t>
        </is>
      </c>
      <c r="C46" s="78" t="inlineStr">
        <is>
          <t>25-34</t>
        </is>
      </c>
      <c r="D46" s="78" t="inlineStr">
        <is>
          <t>Unknown</t>
        </is>
      </c>
      <c r="E46" s="86" t="n">
        <v>422.85</v>
      </c>
      <c r="F46" s="87" t="n">
        <v>5648</v>
      </c>
      <c r="G46" s="87" t="n">
        <v>39</v>
      </c>
      <c r="H46" s="89">
        <f>IFERROR(G46/F46,"")</f>
        <v/>
      </c>
      <c r="I46" s="90">
        <f>IFERROR(E46/G46,"")</f>
        <v/>
      </c>
      <c r="J46" s="90">
        <f>IFERROR(E46/F46*1000,"")</f>
        <v/>
      </c>
      <c r="K46" s="87" t="n">
        <v>33</v>
      </c>
      <c r="L46" s="18">
        <f>IFERROR(K46/G46,"")</f>
        <v/>
      </c>
      <c r="M46" s="87" t="n">
        <v>1</v>
      </c>
      <c r="N46" s="89">
        <f>IFERROR(M46/K46,"")</f>
        <v/>
      </c>
      <c r="O46" s="86">
        <f>IFERROR(E46/M46,"")</f>
        <v/>
      </c>
      <c r="P46" s="87" t="n">
        <v>0</v>
      </c>
      <c r="Q46" s="18">
        <f>IFERROR(P46/M46,"")</f>
        <v/>
      </c>
      <c r="R46" s="86">
        <f>IFERROR(E46/P46,"")</f>
        <v/>
      </c>
      <c r="S46" s="18">
        <f>IFERROR(E46/SUMIFS($E$5:$E$220,$A$5:$A$220,$A46),"")</f>
        <v/>
      </c>
      <c r="T46" s="18">
        <f>IFERROR(M46/SUMIFS($M$5:$M$220,$A$5:$A$220,$A46),"")</f>
        <v/>
      </c>
      <c r="U46" s="111">
        <f>IFERROR(O46/(SUMIFS($E$5:$E$220,$A$5:$A$220,$A46)/SUMIFS($M$5:$M$220,$A$5:$A$220,$A46)),"")</f>
        <v/>
      </c>
    </row>
    <row r="47">
      <c r="A47" s="6" t="inlineStr">
        <is>
          <t>Meta (FB/IG)</t>
        </is>
      </c>
      <c r="B47" s="78" t="inlineStr">
        <is>
          <t>LEP_ZA_AUG26_META_TD_JAVAN_CONV</t>
        </is>
      </c>
      <c r="C47" s="78" t="inlineStr">
        <is>
          <t>35-44</t>
        </is>
      </c>
      <c r="D47" s="78" t="inlineStr">
        <is>
          <t>Male</t>
        </is>
      </c>
      <c r="E47" s="86" t="n">
        <v>7105.07</v>
      </c>
      <c r="F47" s="87" t="n">
        <v>94897</v>
      </c>
      <c r="G47" s="87" t="n">
        <v>1565</v>
      </c>
      <c r="H47" s="89">
        <f>IFERROR(G47/F47,"")</f>
        <v/>
      </c>
      <c r="I47" s="90">
        <f>IFERROR(E47/G47,"")</f>
        <v/>
      </c>
      <c r="J47" s="90">
        <f>IFERROR(E47/F47*1000,"")</f>
        <v/>
      </c>
      <c r="K47" s="87" t="n">
        <v>1338</v>
      </c>
      <c r="L47" s="18">
        <f>IFERROR(K47/G47,"")</f>
        <v/>
      </c>
      <c r="M47" s="87" t="n">
        <v>28</v>
      </c>
      <c r="N47" s="89">
        <f>IFERROR(M47/K47,"")</f>
        <v/>
      </c>
      <c r="O47" s="86">
        <f>IFERROR(E47/M47,"")</f>
        <v/>
      </c>
      <c r="P47" s="87" t="n">
        <v>18</v>
      </c>
      <c r="Q47" s="18">
        <f>IFERROR(P47/M47,"")</f>
        <v/>
      </c>
      <c r="R47" s="86">
        <f>IFERROR(E47/P47,"")</f>
        <v/>
      </c>
      <c r="S47" s="18">
        <f>IFERROR(E47/SUMIFS($E$5:$E$220,$A$5:$A$220,$A47),"")</f>
        <v/>
      </c>
      <c r="T47" s="18">
        <f>IFERROR(M47/SUMIFS($M$5:$M$220,$A$5:$A$220,$A47),"")</f>
        <v/>
      </c>
      <c r="U47" s="111">
        <f>IFERROR(O47/(SUMIFS($E$5:$E$220,$A$5:$A$220,$A47)/SUMIFS($M$5:$M$220,$A$5:$A$220,$A47)),"")</f>
        <v/>
      </c>
    </row>
    <row r="48">
      <c r="A48" s="6" t="inlineStr">
        <is>
          <t>Meta (FB/IG)</t>
        </is>
      </c>
      <c r="B48" s="78" t="inlineStr">
        <is>
          <t>LEP_ZA_AUG26_META_TD_JAVAN_CONV</t>
        </is>
      </c>
      <c r="C48" s="78" t="inlineStr">
        <is>
          <t>35-44</t>
        </is>
      </c>
      <c r="D48" s="78" t="inlineStr">
        <is>
          <t>Female</t>
        </is>
      </c>
      <c r="E48" s="86" t="n">
        <v>4893.68</v>
      </c>
      <c r="F48" s="87" t="n">
        <v>65361</v>
      </c>
      <c r="G48" s="87" t="n">
        <v>987</v>
      </c>
      <c r="H48" s="89">
        <f>IFERROR(G48/F48,"")</f>
        <v/>
      </c>
      <c r="I48" s="90">
        <f>IFERROR(E48/G48,"")</f>
        <v/>
      </c>
      <c r="J48" s="90">
        <f>IFERROR(E48/F48*1000,"")</f>
        <v/>
      </c>
      <c r="K48" s="87" t="n">
        <v>843</v>
      </c>
      <c r="L48" s="18">
        <f>IFERROR(K48/G48,"")</f>
        <v/>
      </c>
      <c r="M48" s="87" t="n">
        <v>18</v>
      </c>
      <c r="N48" s="89">
        <f>IFERROR(M48/K48,"")</f>
        <v/>
      </c>
      <c r="O48" s="86">
        <f>IFERROR(E48/M48,"")</f>
        <v/>
      </c>
      <c r="P48" s="87" t="n">
        <v>11</v>
      </c>
      <c r="Q48" s="18">
        <f>IFERROR(P48/M48,"")</f>
        <v/>
      </c>
      <c r="R48" s="86">
        <f>IFERROR(E48/P48,"")</f>
        <v/>
      </c>
      <c r="S48" s="18">
        <f>IFERROR(E48/SUMIFS($E$5:$E$220,$A$5:$A$220,$A48),"")</f>
        <v/>
      </c>
      <c r="T48" s="18">
        <f>IFERROR(M48/SUMIFS($M$5:$M$220,$A$5:$A$220,$A48),"")</f>
        <v/>
      </c>
      <c r="U48" s="111">
        <f>IFERROR(O48/(SUMIFS($E$5:$E$220,$A$5:$A$220,$A48)/SUMIFS($M$5:$M$220,$A$5:$A$220,$A48)),"")</f>
        <v/>
      </c>
    </row>
    <row r="49">
      <c r="A49" s="6" t="inlineStr">
        <is>
          <t>Meta (FB/IG)</t>
        </is>
      </c>
      <c r="B49" s="78" t="inlineStr">
        <is>
          <t>LEP_ZA_AUG26_META_TD_JAVAN_CONV</t>
        </is>
      </c>
      <c r="C49" s="78" t="inlineStr">
        <is>
          <t>35-44</t>
        </is>
      </c>
      <c r="D49" s="78" t="inlineStr">
        <is>
          <t>Unknown</t>
        </is>
      </c>
      <c r="E49" s="86" t="n">
        <v>353.5</v>
      </c>
      <c r="F49" s="87" t="n">
        <v>4721</v>
      </c>
      <c r="G49" s="87" t="n">
        <v>45</v>
      </c>
      <c r="H49" s="89">
        <f>IFERROR(G49/F49,"")</f>
        <v/>
      </c>
      <c r="I49" s="90">
        <f>IFERROR(E49/G49,"")</f>
        <v/>
      </c>
      <c r="J49" s="90">
        <f>IFERROR(E49/F49*1000,"")</f>
        <v/>
      </c>
      <c r="K49" s="87" t="n">
        <v>39</v>
      </c>
      <c r="L49" s="18">
        <f>IFERROR(K49/G49,"")</f>
        <v/>
      </c>
      <c r="M49" s="87" t="n">
        <v>1</v>
      </c>
      <c r="N49" s="89">
        <f>IFERROR(M49/K49,"")</f>
        <v/>
      </c>
      <c r="O49" s="86">
        <f>IFERROR(E49/M49,"")</f>
        <v/>
      </c>
      <c r="P49" s="87" t="n">
        <v>1</v>
      </c>
      <c r="Q49" s="18">
        <f>IFERROR(P49/M49,"")</f>
        <v/>
      </c>
      <c r="R49" s="86">
        <f>IFERROR(E49/P49,"")</f>
        <v/>
      </c>
      <c r="S49" s="18">
        <f>IFERROR(E49/SUMIFS($E$5:$E$220,$A$5:$A$220,$A49),"")</f>
        <v/>
      </c>
      <c r="T49" s="18">
        <f>IFERROR(M49/SUMIFS($M$5:$M$220,$A$5:$A$220,$A49),"")</f>
        <v/>
      </c>
      <c r="U49" s="111">
        <f>IFERROR(O49/(SUMIFS($E$5:$E$220,$A$5:$A$220,$A49)/SUMIFS($M$5:$M$220,$A$5:$A$220,$A49)),"")</f>
        <v/>
      </c>
    </row>
    <row r="50">
      <c r="A50" s="6" t="inlineStr">
        <is>
          <t>Meta (FB/IG)</t>
        </is>
      </c>
      <c r="B50" s="78" t="inlineStr">
        <is>
          <t>LEP_ZA_AUG26_META_TD_JAVAN_CONV</t>
        </is>
      </c>
      <c r="C50" s="78" t="inlineStr">
        <is>
          <t>45-54</t>
        </is>
      </c>
      <c r="D50" s="78" t="inlineStr">
        <is>
          <t>Male</t>
        </is>
      </c>
      <c r="E50" s="86" t="n">
        <v>4821.81</v>
      </c>
      <c r="F50" s="87" t="n">
        <v>64401</v>
      </c>
      <c r="G50" s="87" t="n">
        <v>1112</v>
      </c>
      <c r="H50" s="89">
        <f>IFERROR(G50/F50,"")</f>
        <v/>
      </c>
      <c r="I50" s="90">
        <f>IFERROR(E50/G50,"")</f>
        <v/>
      </c>
      <c r="J50" s="90">
        <f>IFERROR(E50/F50*1000,"")</f>
        <v/>
      </c>
      <c r="K50" s="87" t="n">
        <v>950</v>
      </c>
      <c r="L50" s="18">
        <f>IFERROR(K50/G50,"")</f>
        <v/>
      </c>
      <c r="M50" s="87" t="n">
        <v>20</v>
      </c>
      <c r="N50" s="89">
        <f>IFERROR(M50/K50,"")</f>
        <v/>
      </c>
      <c r="O50" s="86">
        <f>IFERROR(E50/M50,"")</f>
        <v/>
      </c>
      <c r="P50" s="87" t="n">
        <v>13</v>
      </c>
      <c r="Q50" s="18">
        <f>IFERROR(P50/M50,"")</f>
        <v/>
      </c>
      <c r="R50" s="86">
        <f>IFERROR(E50/P50,"")</f>
        <v/>
      </c>
      <c r="S50" s="18">
        <f>IFERROR(E50/SUMIFS($E$5:$E$220,$A$5:$A$220,$A50),"")</f>
        <v/>
      </c>
      <c r="T50" s="18">
        <f>IFERROR(M50/SUMIFS($M$5:$M$220,$A$5:$A$220,$A50),"")</f>
        <v/>
      </c>
      <c r="U50" s="111">
        <f>IFERROR(O50/(SUMIFS($E$5:$E$220,$A$5:$A$220,$A50)/SUMIFS($M$5:$M$220,$A$5:$A$220,$A50)),"")</f>
        <v/>
      </c>
    </row>
    <row r="51">
      <c r="A51" s="6" t="inlineStr">
        <is>
          <t>Meta (FB/IG)</t>
        </is>
      </c>
      <c r="B51" s="78" t="inlineStr">
        <is>
          <t>LEP_ZA_AUG26_META_TD_JAVAN_CONV</t>
        </is>
      </c>
      <c r="C51" s="78" t="inlineStr">
        <is>
          <t>45-54</t>
        </is>
      </c>
      <c r="D51" s="78" t="inlineStr">
        <is>
          <t>Female</t>
        </is>
      </c>
      <c r="E51" s="86" t="n">
        <v>3849.87</v>
      </c>
      <c r="F51" s="87" t="n">
        <v>51420</v>
      </c>
      <c r="G51" s="87" t="n">
        <v>813</v>
      </c>
      <c r="H51" s="89">
        <f>IFERROR(G51/F51,"")</f>
        <v/>
      </c>
      <c r="I51" s="90">
        <f>IFERROR(E51/G51,"")</f>
        <v/>
      </c>
      <c r="J51" s="90">
        <f>IFERROR(E51/F51*1000,"")</f>
        <v/>
      </c>
      <c r="K51" s="87" t="n">
        <v>694</v>
      </c>
      <c r="L51" s="18">
        <f>IFERROR(K51/G51,"")</f>
        <v/>
      </c>
      <c r="M51" s="87" t="n">
        <v>15</v>
      </c>
      <c r="N51" s="89">
        <f>IFERROR(M51/K51,"")</f>
        <v/>
      </c>
      <c r="O51" s="86">
        <f>IFERROR(E51/M51,"")</f>
        <v/>
      </c>
      <c r="P51" s="87" t="n">
        <v>9</v>
      </c>
      <c r="Q51" s="18">
        <f>IFERROR(P51/M51,"")</f>
        <v/>
      </c>
      <c r="R51" s="86">
        <f>IFERROR(E51/P51,"")</f>
        <v/>
      </c>
      <c r="S51" s="18">
        <f>IFERROR(E51/SUMIFS($E$5:$E$220,$A$5:$A$220,$A51),"")</f>
        <v/>
      </c>
      <c r="T51" s="18">
        <f>IFERROR(M51/SUMIFS($M$5:$M$220,$A$5:$A$220,$A51),"")</f>
        <v/>
      </c>
      <c r="U51" s="111">
        <f>IFERROR(O51/(SUMIFS($E$5:$E$220,$A$5:$A$220,$A51)/SUMIFS($M$5:$M$220,$A$5:$A$220,$A51)),"")</f>
        <v/>
      </c>
    </row>
    <row r="52">
      <c r="A52" s="6" t="inlineStr">
        <is>
          <t>Meta (FB/IG)</t>
        </is>
      </c>
      <c r="B52" s="78" t="inlineStr">
        <is>
          <t>LEP_ZA_AUG26_META_TD_JAVAN_CONV</t>
        </is>
      </c>
      <c r="C52" s="78" t="inlineStr">
        <is>
          <t>45-54</t>
        </is>
      </c>
      <c r="D52" s="78" t="inlineStr">
        <is>
          <t>Unknown</t>
        </is>
      </c>
      <c r="E52" s="86" t="n">
        <v>237.27</v>
      </c>
      <c r="F52" s="87" t="n">
        <v>3169</v>
      </c>
      <c r="G52" s="87" t="n">
        <v>32</v>
      </c>
      <c r="H52" s="89">
        <f>IFERROR(G52/F52,"")</f>
        <v/>
      </c>
      <c r="I52" s="90">
        <f>IFERROR(E52/G52,"")</f>
        <v/>
      </c>
      <c r="J52" s="90">
        <f>IFERROR(E52/F52*1000,"")</f>
        <v/>
      </c>
      <c r="K52" s="87" t="n">
        <v>27</v>
      </c>
      <c r="L52" s="18">
        <f>IFERROR(K52/G52,"")</f>
        <v/>
      </c>
      <c r="M52" s="87" t="n">
        <v>0</v>
      </c>
      <c r="N52" s="89">
        <f>IFERROR(M52/K52,"")</f>
        <v/>
      </c>
      <c r="O52" s="86">
        <f>IFERROR(E52/M52,"")</f>
        <v/>
      </c>
      <c r="P52" s="87" t="n">
        <v>0</v>
      </c>
      <c r="Q52" s="18">
        <f>IFERROR(P52/M52,"")</f>
        <v/>
      </c>
      <c r="R52" s="86">
        <f>IFERROR(E52/P52,"")</f>
        <v/>
      </c>
      <c r="S52" s="18">
        <f>IFERROR(E52/SUMIFS($E$5:$E$220,$A$5:$A$220,$A52),"")</f>
        <v/>
      </c>
      <c r="T52" s="18">
        <f>IFERROR(M52/SUMIFS($M$5:$M$220,$A$5:$A$220,$A52),"")</f>
        <v/>
      </c>
      <c r="U52" s="111">
        <f>IFERROR(O52/(SUMIFS($E$5:$E$220,$A$5:$A$220,$A52)/SUMIFS($M$5:$M$220,$A$5:$A$220,$A52)),"")</f>
        <v/>
      </c>
    </row>
    <row r="53">
      <c r="A53" s="6" t="inlineStr">
        <is>
          <t>Meta (FB/IG)</t>
        </is>
      </c>
      <c r="B53" s="78" t="inlineStr">
        <is>
          <t>LEP_ZA_AUG26_META_TD_JAVAN_CONV</t>
        </is>
      </c>
      <c r="C53" s="78" t="inlineStr">
        <is>
          <t>55-64</t>
        </is>
      </c>
      <c r="D53" s="78" t="inlineStr">
        <is>
          <t>Male</t>
        </is>
      </c>
      <c r="E53" s="86" t="n">
        <v>2698.04</v>
      </c>
      <c r="F53" s="87" t="n">
        <v>36036</v>
      </c>
      <c r="G53" s="87" t="n">
        <v>488</v>
      </c>
      <c r="H53" s="89">
        <f>IFERROR(G53/F53,"")</f>
        <v/>
      </c>
      <c r="I53" s="90">
        <f>IFERROR(E53/G53,"")</f>
        <v/>
      </c>
      <c r="J53" s="90">
        <f>IFERROR(E53/F53*1000,"")</f>
        <v/>
      </c>
      <c r="K53" s="87" t="n">
        <v>417</v>
      </c>
      <c r="L53" s="18">
        <f>IFERROR(K53/G53,"")</f>
        <v/>
      </c>
      <c r="M53" s="87" t="n">
        <v>9</v>
      </c>
      <c r="N53" s="89">
        <f>IFERROR(M53/K53,"")</f>
        <v/>
      </c>
      <c r="O53" s="86">
        <f>IFERROR(E53/M53,"")</f>
        <v/>
      </c>
      <c r="P53" s="87" t="n">
        <v>6</v>
      </c>
      <c r="Q53" s="18">
        <f>IFERROR(P53/M53,"")</f>
        <v/>
      </c>
      <c r="R53" s="86">
        <f>IFERROR(E53/P53,"")</f>
        <v/>
      </c>
      <c r="S53" s="18">
        <f>IFERROR(E53/SUMIFS($E$5:$E$220,$A$5:$A$220,$A53),"")</f>
        <v/>
      </c>
      <c r="T53" s="18">
        <f>IFERROR(M53/SUMIFS($M$5:$M$220,$A$5:$A$220,$A53),"")</f>
        <v/>
      </c>
      <c r="U53" s="111">
        <f>IFERROR(O53/(SUMIFS($E$5:$E$220,$A$5:$A$220,$A53)/SUMIFS($M$5:$M$220,$A$5:$A$220,$A53)),"")</f>
        <v/>
      </c>
    </row>
    <row r="54">
      <c r="A54" s="6" t="inlineStr">
        <is>
          <t>Meta (FB/IG)</t>
        </is>
      </c>
      <c r="B54" s="78" t="inlineStr">
        <is>
          <t>LEP_ZA_AUG26_META_TD_JAVAN_CONV</t>
        </is>
      </c>
      <c r="C54" s="78" t="inlineStr">
        <is>
          <t>55-64</t>
        </is>
      </c>
      <c r="D54" s="78" t="inlineStr">
        <is>
          <t>Female</t>
        </is>
      </c>
      <c r="E54" s="86" t="n">
        <v>2363.58</v>
      </c>
      <c r="F54" s="87" t="n">
        <v>31568</v>
      </c>
      <c r="G54" s="87" t="n">
        <v>391</v>
      </c>
      <c r="H54" s="89">
        <f>IFERROR(G54/F54,"")</f>
        <v/>
      </c>
      <c r="I54" s="90">
        <f>IFERROR(E54/G54,"")</f>
        <v/>
      </c>
      <c r="J54" s="90">
        <f>IFERROR(E54/F54*1000,"")</f>
        <v/>
      </c>
      <c r="K54" s="87" t="n">
        <v>334</v>
      </c>
      <c r="L54" s="18">
        <f>IFERROR(K54/G54,"")</f>
        <v/>
      </c>
      <c r="M54" s="87" t="n">
        <v>7</v>
      </c>
      <c r="N54" s="89">
        <f>IFERROR(M54/K54,"")</f>
        <v/>
      </c>
      <c r="O54" s="86">
        <f>IFERROR(E54/M54,"")</f>
        <v/>
      </c>
      <c r="P54" s="87" t="n">
        <v>4</v>
      </c>
      <c r="Q54" s="18">
        <f>IFERROR(P54/M54,"")</f>
        <v/>
      </c>
      <c r="R54" s="86">
        <f>IFERROR(E54/P54,"")</f>
        <v/>
      </c>
      <c r="S54" s="18">
        <f>IFERROR(E54/SUMIFS($E$5:$E$220,$A$5:$A$220,$A54),"")</f>
        <v/>
      </c>
      <c r="T54" s="18">
        <f>IFERROR(M54/SUMIFS($M$5:$M$220,$A$5:$A$220,$A54),"")</f>
        <v/>
      </c>
      <c r="U54" s="111">
        <f>IFERROR(O54/(SUMIFS($E$5:$E$220,$A$5:$A$220,$A54)/SUMIFS($M$5:$M$220,$A$5:$A$220,$A54)),"")</f>
        <v/>
      </c>
    </row>
    <row r="55">
      <c r="A55" s="6" t="inlineStr">
        <is>
          <t>Meta (FB/IG)</t>
        </is>
      </c>
      <c r="B55" s="78" t="inlineStr">
        <is>
          <t>LEP_ZA_AUG26_META_TD_JAVAN_CONV</t>
        </is>
      </c>
      <c r="C55" s="78" t="inlineStr">
        <is>
          <t>55-64</t>
        </is>
      </c>
      <c r="D55" s="78" t="inlineStr">
        <is>
          <t>Unknown</t>
        </is>
      </c>
      <c r="E55" s="86" t="n">
        <v>161.78</v>
      </c>
      <c r="F55" s="87" t="n">
        <v>2161</v>
      </c>
      <c r="G55" s="87" t="n">
        <v>17</v>
      </c>
      <c r="H55" s="89">
        <f>IFERROR(G55/F55,"")</f>
        <v/>
      </c>
      <c r="I55" s="90">
        <f>IFERROR(E55/G55,"")</f>
        <v/>
      </c>
      <c r="J55" s="90">
        <f>IFERROR(E55/F55*1000,"")</f>
        <v/>
      </c>
      <c r="K55" s="87" t="n">
        <v>15</v>
      </c>
      <c r="L55" s="18">
        <f>IFERROR(K55/G55,"")</f>
        <v/>
      </c>
      <c r="M55" s="87" t="n">
        <v>0</v>
      </c>
      <c r="N55" s="89">
        <f>IFERROR(M55/K55,"")</f>
        <v/>
      </c>
      <c r="O55" s="86">
        <f>IFERROR(E55/M55,"")</f>
        <v/>
      </c>
      <c r="P55" s="87" t="n">
        <v>0</v>
      </c>
      <c r="Q55" s="18">
        <f>IFERROR(P55/M55,"")</f>
        <v/>
      </c>
      <c r="R55" s="86">
        <f>IFERROR(E55/P55,"")</f>
        <v/>
      </c>
      <c r="S55" s="18">
        <f>IFERROR(E55/SUMIFS($E$5:$E$220,$A$5:$A$220,$A55),"")</f>
        <v/>
      </c>
      <c r="T55" s="18">
        <f>IFERROR(M55/SUMIFS($M$5:$M$220,$A$5:$A$220,$A55),"")</f>
        <v/>
      </c>
      <c r="U55" s="111">
        <f>IFERROR(O55/(SUMIFS($E$5:$E$220,$A$5:$A$220,$A55)/SUMIFS($M$5:$M$220,$A$5:$A$220,$A55)),"")</f>
        <v/>
      </c>
    </row>
    <row r="56">
      <c r="A56" s="6" t="inlineStr">
        <is>
          <t>Meta (FB/IG)</t>
        </is>
      </c>
      <c r="B56" s="78" t="inlineStr">
        <is>
          <t>LEP_ZA_AUG26_META_TD_JAVAN_CONV</t>
        </is>
      </c>
      <c r="C56" s="78" t="inlineStr">
        <is>
          <t>65+</t>
        </is>
      </c>
      <c r="D56" s="78" t="inlineStr">
        <is>
          <t>Male</t>
        </is>
      </c>
      <c r="E56" s="86" t="n">
        <v>1258.35</v>
      </c>
      <c r="F56" s="87" t="n">
        <v>16807</v>
      </c>
      <c r="G56" s="87" t="n">
        <v>154</v>
      </c>
      <c r="H56" s="89">
        <f>IFERROR(G56/F56,"")</f>
        <v/>
      </c>
      <c r="I56" s="90">
        <f>IFERROR(E56/G56,"")</f>
        <v/>
      </c>
      <c r="J56" s="90">
        <f>IFERROR(E56/F56*1000,"")</f>
        <v/>
      </c>
      <c r="K56" s="87" t="n">
        <v>131</v>
      </c>
      <c r="L56" s="18">
        <f>IFERROR(K56/G56,"")</f>
        <v/>
      </c>
      <c r="M56" s="87" t="n">
        <v>3</v>
      </c>
      <c r="N56" s="89">
        <f>IFERROR(M56/K56,"")</f>
        <v/>
      </c>
      <c r="O56" s="86">
        <f>IFERROR(E56/M56,"")</f>
        <v/>
      </c>
      <c r="P56" s="87" t="n">
        <v>2</v>
      </c>
      <c r="Q56" s="18">
        <f>IFERROR(P56/M56,"")</f>
        <v/>
      </c>
      <c r="R56" s="86">
        <f>IFERROR(E56/P56,"")</f>
        <v/>
      </c>
      <c r="S56" s="18">
        <f>IFERROR(E56/SUMIFS($E$5:$E$220,$A$5:$A$220,$A56),"")</f>
        <v/>
      </c>
      <c r="T56" s="18">
        <f>IFERROR(M56/SUMIFS($M$5:$M$220,$A$5:$A$220,$A56),"")</f>
        <v/>
      </c>
      <c r="U56" s="111">
        <f>IFERROR(O56/(SUMIFS($E$5:$E$220,$A$5:$A$220,$A56)/SUMIFS($M$5:$M$220,$A$5:$A$220,$A56)),"")</f>
        <v/>
      </c>
    </row>
    <row r="57">
      <c r="A57" s="6" t="inlineStr">
        <is>
          <t>Meta (FB/IG)</t>
        </is>
      </c>
      <c r="B57" s="78" t="inlineStr">
        <is>
          <t>LEP_ZA_AUG26_META_TD_JAVAN_CONV</t>
        </is>
      </c>
      <c r="C57" s="78" t="inlineStr">
        <is>
          <t>65+</t>
        </is>
      </c>
      <c r="D57" s="78" t="inlineStr">
        <is>
          <t>Female</t>
        </is>
      </c>
      <c r="E57" s="86" t="n">
        <v>1076.78</v>
      </c>
      <c r="F57" s="87" t="n">
        <v>14382</v>
      </c>
      <c r="G57" s="87" t="n">
        <v>120</v>
      </c>
      <c r="H57" s="89">
        <f>IFERROR(G57/F57,"")</f>
        <v/>
      </c>
      <c r="I57" s="90">
        <f>IFERROR(E57/G57,"")</f>
        <v/>
      </c>
      <c r="J57" s="90">
        <f>IFERROR(E57/F57*1000,"")</f>
        <v/>
      </c>
      <c r="K57" s="87" t="n">
        <v>103</v>
      </c>
      <c r="L57" s="18">
        <f>IFERROR(K57/G57,"")</f>
        <v/>
      </c>
      <c r="M57" s="87" t="n">
        <v>2</v>
      </c>
      <c r="N57" s="89">
        <f>IFERROR(M57/K57,"")</f>
        <v/>
      </c>
      <c r="O57" s="86">
        <f>IFERROR(E57/M57,"")</f>
        <v/>
      </c>
      <c r="P57" s="87" t="n">
        <v>1</v>
      </c>
      <c r="Q57" s="18">
        <f>IFERROR(P57/M57,"")</f>
        <v/>
      </c>
      <c r="R57" s="86">
        <f>IFERROR(E57/P57,"")</f>
        <v/>
      </c>
      <c r="S57" s="18">
        <f>IFERROR(E57/SUMIFS($E$5:$E$220,$A$5:$A$220,$A57),"")</f>
        <v/>
      </c>
      <c r="T57" s="18">
        <f>IFERROR(M57/SUMIFS($M$5:$M$220,$A$5:$A$220,$A57),"")</f>
        <v/>
      </c>
      <c r="U57" s="111">
        <f>IFERROR(O57/(SUMIFS($E$5:$E$220,$A$5:$A$220,$A57)/SUMIFS($M$5:$M$220,$A$5:$A$220,$A57)),"")</f>
        <v/>
      </c>
    </row>
    <row r="58">
      <c r="A58" s="6" t="inlineStr">
        <is>
          <t>Meta (FB/IG)</t>
        </is>
      </c>
      <c r="B58" s="78" t="inlineStr">
        <is>
          <t>LEP_ZA_AUG26_META_TD_JAVAN_CONV</t>
        </is>
      </c>
      <c r="C58" s="78" t="inlineStr">
        <is>
          <t>65+</t>
        </is>
      </c>
      <c r="D58" s="78" t="inlineStr">
        <is>
          <t>Unknown</t>
        </is>
      </c>
      <c r="E58" s="86" t="n">
        <v>68.48999999999999</v>
      </c>
      <c r="F58" s="87" t="n">
        <v>915</v>
      </c>
      <c r="G58" s="87" t="n">
        <v>5</v>
      </c>
      <c r="H58" s="89">
        <f>IFERROR(G58/F58,"")</f>
        <v/>
      </c>
      <c r="I58" s="90">
        <f>IFERROR(E58/G58,"")</f>
        <v/>
      </c>
      <c r="J58" s="90">
        <f>IFERROR(E58/F58*1000,"")</f>
        <v/>
      </c>
      <c r="K58" s="87" t="n">
        <v>4</v>
      </c>
      <c r="L58" s="18">
        <f>IFERROR(K58/G58,"")</f>
        <v/>
      </c>
      <c r="M58" s="87" t="n">
        <v>0</v>
      </c>
      <c r="N58" s="89">
        <f>IFERROR(M58/K58,"")</f>
        <v/>
      </c>
      <c r="O58" s="86">
        <f>IFERROR(E58/M58,"")</f>
        <v/>
      </c>
      <c r="P58" s="87" t="n">
        <v>0</v>
      </c>
      <c r="Q58" s="18">
        <f>IFERROR(P58/M58,"")</f>
        <v/>
      </c>
      <c r="R58" s="86">
        <f>IFERROR(E58/P58,"")</f>
        <v/>
      </c>
      <c r="S58" s="18">
        <f>IFERROR(E58/SUMIFS($E$5:$E$220,$A$5:$A$220,$A58),"")</f>
        <v/>
      </c>
      <c r="T58" s="18">
        <f>IFERROR(M58/SUMIFS($M$5:$M$220,$A$5:$A$220,$A58),"")</f>
        <v/>
      </c>
      <c r="U58" s="111">
        <f>IFERROR(O58/(SUMIFS($E$5:$E$220,$A$5:$A$220,$A58)/SUMIFS($M$5:$M$220,$A$5:$A$220,$A58)),"")</f>
        <v/>
      </c>
    </row>
    <row r="59">
      <c r="A59" s="6" t="inlineStr">
        <is>
          <t>Meta (FB/IG)</t>
        </is>
      </c>
      <c r="B59" s="78" t="inlineStr">
        <is>
          <t>LEP_ZA_AUG26_META_TD_PANTERA_CONV</t>
        </is>
      </c>
      <c r="C59" s="78" t="inlineStr">
        <is>
          <t>18-24</t>
        </is>
      </c>
      <c r="D59" s="78" t="inlineStr">
        <is>
          <t>Male</t>
        </is>
      </c>
      <c r="E59" s="86" t="n">
        <v>2058.08</v>
      </c>
      <c r="F59" s="87" t="n">
        <v>28498</v>
      </c>
      <c r="G59" s="87" t="n">
        <v>206</v>
      </c>
      <c r="H59" s="89">
        <f>IFERROR(G59/F59,"")</f>
        <v/>
      </c>
      <c r="I59" s="90">
        <f>IFERROR(E59/G59,"")</f>
        <v/>
      </c>
      <c r="J59" s="90">
        <f>IFERROR(E59/F59*1000,"")</f>
        <v/>
      </c>
      <c r="K59" s="87" t="n">
        <v>174</v>
      </c>
      <c r="L59" s="18">
        <f>IFERROR(K59/G59,"")</f>
        <v/>
      </c>
      <c r="M59" s="87" t="n">
        <v>3</v>
      </c>
      <c r="N59" s="89">
        <f>IFERROR(M59/K59,"")</f>
        <v/>
      </c>
      <c r="O59" s="86">
        <f>IFERROR(E59/M59,"")</f>
        <v/>
      </c>
      <c r="P59" s="87" t="n">
        <v>2</v>
      </c>
      <c r="Q59" s="18">
        <f>IFERROR(P59/M59,"")</f>
        <v/>
      </c>
      <c r="R59" s="86">
        <f>IFERROR(E59/P59,"")</f>
        <v/>
      </c>
      <c r="S59" s="18">
        <f>IFERROR(E59/SUMIFS($E$5:$E$220,$A$5:$A$220,$A59),"")</f>
        <v/>
      </c>
      <c r="T59" s="18">
        <f>IFERROR(M59/SUMIFS($M$5:$M$220,$A$5:$A$220,$A59),"")</f>
        <v/>
      </c>
      <c r="U59" s="111">
        <f>IFERROR(O59/(SUMIFS($E$5:$E$220,$A$5:$A$220,$A59)/SUMIFS($M$5:$M$220,$A$5:$A$220,$A59)),"")</f>
        <v/>
      </c>
    </row>
    <row r="60">
      <c r="A60" s="6" t="inlineStr">
        <is>
          <t>Meta (FB/IG)</t>
        </is>
      </c>
      <c r="B60" s="78" t="inlineStr">
        <is>
          <t>LEP_ZA_AUG26_META_TD_PANTERA_CONV</t>
        </is>
      </c>
      <c r="C60" s="78" t="inlineStr">
        <is>
          <t>18-24</t>
        </is>
      </c>
      <c r="D60" s="78" t="inlineStr">
        <is>
          <t>Female</t>
        </is>
      </c>
      <c r="E60" s="86" t="n">
        <v>1716.57</v>
      </c>
      <c r="F60" s="87" t="n">
        <v>23769</v>
      </c>
      <c r="G60" s="87" t="n">
        <v>157</v>
      </c>
      <c r="H60" s="89">
        <f>IFERROR(G60/F60,"")</f>
        <v/>
      </c>
      <c r="I60" s="90">
        <f>IFERROR(E60/G60,"")</f>
        <v/>
      </c>
      <c r="J60" s="90">
        <f>IFERROR(E60/F60*1000,"")</f>
        <v/>
      </c>
      <c r="K60" s="87" t="n">
        <v>133</v>
      </c>
      <c r="L60" s="18">
        <f>IFERROR(K60/G60,"")</f>
        <v/>
      </c>
      <c r="M60" s="87" t="n">
        <v>2</v>
      </c>
      <c r="N60" s="89">
        <f>IFERROR(M60/K60,"")</f>
        <v/>
      </c>
      <c r="O60" s="86">
        <f>IFERROR(E60/M60,"")</f>
        <v/>
      </c>
      <c r="P60" s="87" t="n">
        <v>2</v>
      </c>
      <c r="Q60" s="18">
        <f>IFERROR(P60/M60,"")</f>
        <v/>
      </c>
      <c r="R60" s="86">
        <f>IFERROR(E60/P60,"")</f>
        <v/>
      </c>
      <c r="S60" s="18">
        <f>IFERROR(E60/SUMIFS($E$5:$E$220,$A$5:$A$220,$A60),"")</f>
        <v/>
      </c>
      <c r="T60" s="18">
        <f>IFERROR(M60/SUMIFS($M$5:$M$220,$A$5:$A$220,$A60),"")</f>
        <v/>
      </c>
      <c r="U60" s="111">
        <f>IFERROR(O60/(SUMIFS($E$5:$E$220,$A$5:$A$220,$A60)/SUMIFS($M$5:$M$220,$A$5:$A$220,$A60)),"")</f>
        <v/>
      </c>
    </row>
    <row r="61">
      <c r="A61" s="6" t="inlineStr">
        <is>
          <t>Meta (FB/IG)</t>
        </is>
      </c>
      <c r="B61" s="78" t="inlineStr">
        <is>
          <t>LEP_ZA_AUG26_META_TD_PANTERA_CONV</t>
        </is>
      </c>
      <c r="C61" s="78" t="inlineStr">
        <is>
          <t>18-24</t>
        </is>
      </c>
      <c r="D61" s="78" t="inlineStr">
        <is>
          <t>Unknown</t>
        </is>
      </c>
      <c r="E61" s="86" t="n">
        <v>108.9</v>
      </c>
      <c r="F61" s="87" t="n">
        <v>1508</v>
      </c>
      <c r="G61" s="87" t="n">
        <v>6</v>
      </c>
      <c r="H61" s="89">
        <f>IFERROR(G61/F61,"")</f>
        <v/>
      </c>
      <c r="I61" s="90">
        <f>IFERROR(E61/G61,"")</f>
        <v/>
      </c>
      <c r="J61" s="90">
        <f>IFERROR(E61/F61*1000,"")</f>
        <v/>
      </c>
      <c r="K61" s="87" t="n">
        <v>6</v>
      </c>
      <c r="L61" s="18">
        <f>IFERROR(K61/G61,"")</f>
        <v/>
      </c>
      <c r="M61" s="87" t="n">
        <v>0</v>
      </c>
      <c r="N61" s="89">
        <f>IFERROR(M61/K61,"")</f>
        <v/>
      </c>
      <c r="O61" s="86">
        <f>IFERROR(E61/M61,"")</f>
        <v/>
      </c>
      <c r="P61" s="87" t="n">
        <v>0</v>
      </c>
      <c r="Q61" s="18">
        <f>IFERROR(P61/M61,"")</f>
        <v/>
      </c>
      <c r="R61" s="86">
        <f>IFERROR(E61/P61,"")</f>
        <v/>
      </c>
      <c r="S61" s="18">
        <f>IFERROR(E61/SUMIFS($E$5:$E$220,$A$5:$A$220,$A61),"")</f>
        <v/>
      </c>
      <c r="T61" s="18">
        <f>IFERROR(M61/SUMIFS($M$5:$M$220,$A$5:$A$220,$A61),"")</f>
        <v/>
      </c>
      <c r="U61" s="111">
        <f>IFERROR(O61/(SUMIFS($E$5:$E$220,$A$5:$A$220,$A61)/SUMIFS($M$5:$M$220,$A$5:$A$220,$A61)),"")</f>
        <v/>
      </c>
    </row>
    <row r="62">
      <c r="A62" s="6" t="inlineStr">
        <is>
          <t>Meta (FB/IG)</t>
        </is>
      </c>
      <c r="B62" s="78" t="inlineStr">
        <is>
          <t>LEP_ZA_AUG26_META_TD_PANTERA_CONV</t>
        </is>
      </c>
      <c r="C62" s="78" t="inlineStr">
        <is>
          <t>25-34</t>
        </is>
      </c>
      <c r="D62" s="78" t="inlineStr">
        <is>
          <t>Male</t>
        </is>
      </c>
      <c r="E62" s="86" t="n">
        <v>5898.61</v>
      </c>
      <c r="F62" s="87" t="n">
        <v>81677</v>
      </c>
      <c r="G62" s="87" t="n">
        <v>935</v>
      </c>
      <c r="H62" s="89">
        <f>IFERROR(G62/F62,"")</f>
        <v/>
      </c>
      <c r="I62" s="90">
        <f>IFERROR(E62/G62,"")</f>
        <v/>
      </c>
      <c r="J62" s="90">
        <f>IFERROR(E62/F62*1000,"")</f>
        <v/>
      </c>
      <c r="K62" s="87" t="n">
        <v>793</v>
      </c>
      <c r="L62" s="18">
        <f>IFERROR(K62/G62,"")</f>
        <v/>
      </c>
      <c r="M62" s="87" t="n">
        <v>14</v>
      </c>
      <c r="N62" s="89">
        <f>IFERROR(M62/K62,"")</f>
        <v/>
      </c>
      <c r="O62" s="86">
        <f>IFERROR(E62/M62,"")</f>
        <v/>
      </c>
      <c r="P62" s="87" t="n">
        <v>9</v>
      </c>
      <c r="Q62" s="18">
        <f>IFERROR(P62/M62,"")</f>
        <v/>
      </c>
      <c r="R62" s="86">
        <f>IFERROR(E62/P62,"")</f>
        <v/>
      </c>
      <c r="S62" s="18">
        <f>IFERROR(E62/SUMIFS($E$5:$E$220,$A$5:$A$220,$A62),"")</f>
        <v/>
      </c>
      <c r="T62" s="18">
        <f>IFERROR(M62/SUMIFS($M$5:$M$220,$A$5:$A$220,$A62),"")</f>
        <v/>
      </c>
      <c r="U62" s="111">
        <f>IFERROR(O62/(SUMIFS($E$5:$E$220,$A$5:$A$220,$A62)/SUMIFS($M$5:$M$220,$A$5:$A$220,$A62)),"")</f>
        <v/>
      </c>
    </row>
    <row r="63">
      <c r="A63" s="6" t="inlineStr">
        <is>
          <t>Meta (FB/IG)</t>
        </is>
      </c>
      <c r="B63" s="78" t="inlineStr">
        <is>
          <t>LEP_ZA_AUG26_META_TD_PANTERA_CONV</t>
        </is>
      </c>
      <c r="C63" s="78" t="inlineStr">
        <is>
          <t>25-34</t>
        </is>
      </c>
      <c r="D63" s="78" t="inlineStr">
        <is>
          <t>Female</t>
        </is>
      </c>
      <c r="E63" s="86" t="n">
        <v>5109.28</v>
      </c>
      <c r="F63" s="87" t="n">
        <v>70747</v>
      </c>
      <c r="G63" s="87" t="n">
        <v>741</v>
      </c>
      <c r="H63" s="89">
        <f>IFERROR(G63/F63,"")</f>
        <v/>
      </c>
      <c r="I63" s="90">
        <f>IFERROR(E63/G63,"")</f>
        <v/>
      </c>
      <c r="J63" s="90">
        <f>IFERROR(E63/F63*1000,"")</f>
        <v/>
      </c>
      <c r="K63" s="87" t="n">
        <v>628</v>
      </c>
      <c r="L63" s="18">
        <f>IFERROR(K63/G63,"")</f>
        <v/>
      </c>
      <c r="M63" s="87" t="n">
        <v>11</v>
      </c>
      <c r="N63" s="89">
        <f>IFERROR(M63/K63,"")</f>
        <v/>
      </c>
      <c r="O63" s="86">
        <f>IFERROR(E63/M63,"")</f>
        <v/>
      </c>
      <c r="P63" s="87" t="n">
        <v>7</v>
      </c>
      <c r="Q63" s="18">
        <f>IFERROR(P63/M63,"")</f>
        <v/>
      </c>
      <c r="R63" s="86">
        <f>IFERROR(E63/P63,"")</f>
        <v/>
      </c>
      <c r="S63" s="18">
        <f>IFERROR(E63/SUMIFS($E$5:$E$220,$A$5:$A$220,$A63),"")</f>
        <v/>
      </c>
      <c r="T63" s="18">
        <f>IFERROR(M63/SUMIFS($M$5:$M$220,$A$5:$A$220,$A63),"")</f>
        <v/>
      </c>
      <c r="U63" s="111">
        <f>IFERROR(O63/(SUMIFS($E$5:$E$220,$A$5:$A$220,$A63)/SUMIFS($M$5:$M$220,$A$5:$A$220,$A63)),"")</f>
        <v/>
      </c>
    </row>
    <row r="64">
      <c r="A64" s="6" t="inlineStr">
        <is>
          <t>Meta (FB/IG)</t>
        </is>
      </c>
      <c r="B64" s="78" t="inlineStr">
        <is>
          <t>LEP_ZA_AUG26_META_TD_PANTERA_CONV</t>
        </is>
      </c>
      <c r="C64" s="78" t="inlineStr">
        <is>
          <t>25-34</t>
        </is>
      </c>
      <c r="D64" s="78" t="inlineStr">
        <is>
          <t>Unknown</t>
        </is>
      </c>
      <c r="E64" s="86" t="n">
        <v>383.06</v>
      </c>
      <c r="F64" s="87" t="n">
        <v>5304</v>
      </c>
      <c r="G64" s="87" t="n">
        <v>36</v>
      </c>
      <c r="H64" s="89">
        <f>IFERROR(G64/F64,"")</f>
        <v/>
      </c>
      <c r="I64" s="90">
        <f>IFERROR(E64/G64,"")</f>
        <v/>
      </c>
      <c r="J64" s="90">
        <f>IFERROR(E64/F64*1000,"")</f>
        <v/>
      </c>
      <c r="K64" s="87" t="n">
        <v>30</v>
      </c>
      <c r="L64" s="18">
        <f>IFERROR(K64/G64,"")</f>
        <v/>
      </c>
      <c r="M64" s="87" t="n">
        <v>1</v>
      </c>
      <c r="N64" s="89">
        <f>IFERROR(M64/K64,"")</f>
        <v/>
      </c>
      <c r="O64" s="86">
        <f>IFERROR(E64/M64,"")</f>
        <v/>
      </c>
      <c r="P64" s="87" t="n">
        <v>0</v>
      </c>
      <c r="Q64" s="18">
        <f>IFERROR(P64/M64,"")</f>
        <v/>
      </c>
      <c r="R64" s="86">
        <f>IFERROR(E64/P64,"")</f>
        <v/>
      </c>
      <c r="S64" s="18">
        <f>IFERROR(E64/SUMIFS($E$5:$E$220,$A$5:$A$220,$A64),"")</f>
        <v/>
      </c>
      <c r="T64" s="18">
        <f>IFERROR(M64/SUMIFS($M$5:$M$220,$A$5:$A$220,$A64),"")</f>
        <v/>
      </c>
      <c r="U64" s="111">
        <f>IFERROR(O64/(SUMIFS($E$5:$E$220,$A$5:$A$220,$A64)/SUMIFS($M$5:$M$220,$A$5:$A$220,$A64)),"")</f>
        <v/>
      </c>
    </row>
    <row r="65">
      <c r="A65" s="6" t="inlineStr">
        <is>
          <t>Meta (FB/IG)</t>
        </is>
      </c>
      <c r="B65" s="78" t="inlineStr">
        <is>
          <t>LEP_ZA_AUG26_META_TD_PANTERA_CONV</t>
        </is>
      </c>
      <c r="C65" s="78" t="inlineStr">
        <is>
          <t>35-44</t>
        </is>
      </c>
      <c r="D65" s="78" t="inlineStr">
        <is>
          <t>Male</t>
        </is>
      </c>
      <c r="E65" s="86" t="n">
        <v>5730.12</v>
      </c>
      <c r="F65" s="87" t="n">
        <v>79343</v>
      </c>
      <c r="G65" s="87" t="n">
        <v>1263</v>
      </c>
      <c r="H65" s="89">
        <f>IFERROR(G65/F65,"")</f>
        <v/>
      </c>
      <c r="I65" s="90">
        <f>IFERROR(E65/G65,"")</f>
        <v/>
      </c>
      <c r="J65" s="90">
        <f>IFERROR(E65/F65*1000,"")</f>
        <v/>
      </c>
      <c r="K65" s="87" t="n">
        <v>1072</v>
      </c>
      <c r="L65" s="18">
        <f>IFERROR(K65/G65,"")</f>
        <v/>
      </c>
      <c r="M65" s="87" t="n">
        <v>20</v>
      </c>
      <c r="N65" s="89">
        <f>IFERROR(M65/K65,"")</f>
        <v/>
      </c>
      <c r="O65" s="86">
        <f>IFERROR(E65/M65,"")</f>
        <v/>
      </c>
      <c r="P65" s="87" t="n">
        <v>12</v>
      </c>
      <c r="Q65" s="18">
        <f>IFERROR(P65/M65,"")</f>
        <v/>
      </c>
      <c r="R65" s="86">
        <f>IFERROR(E65/P65,"")</f>
        <v/>
      </c>
      <c r="S65" s="18">
        <f>IFERROR(E65/SUMIFS($E$5:$E$220,$A$5:$A$220,$A65),"")</f>
        <v/>
      </c>
      <c r="T65" s="18">
        <f>IFERROR(M65/SUMIFS($M$5:$M$220,$A$5:$A$220,$A65),"")</f>
        <v/>
      </c>
      <c r="U65" s="111">
        <f>IFERROR(O65/(SUMIFS($E$5:$E$220,$A$5:$A$220,$A65)/SUMIFS($M$5:$M$220,$A$5:$A$220,$A65)),"")</f>
        <v/>
      </c>
    </row>
    <row r="66">
      <c r="A66" s="6" t="inlineStr">
        <is>
          <t>Meta (FB/IG)</t>
        </is>
      </c>
      <c r="B66" s="78" t="inlineStr">
        <is>
          <t>LEP_ZA_AUG26_META_TD_PANTERA_CONV</t>
        </is>
      </c>
      <c r="C66" s="78" t="inlineStr">
        <is>
          <t>35-44</t>
        </is>
      </c>
      <c r="D66" s="78" t="inlineStr">
        <is>
          <t>Female</t>
        </is>
      </c>
      <c r="E66" s="86" t="n">
        <v>5284.3</v>
      </c>
      <c r="F66" s="87" t="n">
        <v>73170</v>
      </c>
      <c r="G66" s="87" t="n">
        <v>1066</v>
      </c>
      <c r="H66" s="89">
        <f>IFERROR(G66/F66,"")</f>
        <v/>
      </c>
      <c r="I66" s="90">
        <f>IFERROR(E66/G66,"")</f>
        <v/>
      </c>
      <c r="J66" s="90">
        <f>IFERROR(E66/F66*1000,"")</f>
        <v/>
      </c>
      <c r="K66" s="87" t="n">
        <v>904</v>
      </c>
      <c r="L66" s="18">
        <f>IFERROR(K66/G66,"")</f>
        <v/>
      </c>
      <c r="M66" s="87" t="n">
        <v>17</v>
      </c>
      <c r="N66" s="89">
        <f>IFERROR(M66/K66,"")</f>
        <v/>
      </c>
      <c r="O66" s="86">
        <f>IFERROR(E66/M66,"")</f>
        <v/>
      </c>
      <c r="P66" s="87" t="n">
        <v>10</v>
      </c>
      <c r="Q66" s="18">
        <f>IFERROR(P66/M66,"")</f>
        <v/>
      </c>
      <c r="R66" s="86">
        <f>IFERROR(E66/P66,"")</f>
        <v/>
      </c>
      <c r="S66" s="18">
        <f>IFERROR(E66/SUMIFS($E$5:$E$220,$A$5:$A$220,$A66),"")</f>
        <v/>
      </c>
      <c r="T66" s="18">
        <f>IFERROR(M66/SUMIFS($M$5:$M$220,$A$5:$A$220,$A66),"")</f>
        <v/>
      </c>
      <c r="U66" s="111">
        <f>IFERROR(O66/(SUMIFS($E$5:$E$220,$A$5:$A$220,$A66)/SUMIFS($M$5:$M$220,$A$5:$A$220,$A66)),"")</f>
        <v/>
      </c>
    </row>
    <row r="67">
      <c r="A67" s="6" t="inlineStr">
        <is>
          <t>Meta (FB/IG)</t>
        </is>
      </c>
      <c r="B67" s="78" t="inlineStr">
        <is>
          <t>LEP_ZA_AUG26_META_TD_PANTERA_CONV</t>
        </is>
      </c>
      <c r="C67" s="78" t="inlineStr">
        <is>
          <t>35-44</t>
        </is>
      </c>
      <c r="D67" s="78" t="inlineStr">
        <is>
          <t>Unknown</t>
        </is>
      </c>
      <c r="E67" s="86" t="n">
        <v>341.7</v>
      </c>
      <c r="F67" s="87" t="n">
        <v>4731</v>
      </c>
      <c r="G67" s="87" t="n">
        <v>44</v>
      </c>
      <c r="H67" s="89">
        <f>IFERROR(G67/F67,"")</f>
        <v/>
      </c>
      <c r="I67" s="90">
        <f>IFERROR(E67/G67,"")</f>
        <v/>
      </c>
      <c r="J67" s="90">
        <f>IFERROR(E67/F67*1000,"")</f>
        <v/>
      </c>
      <c r="K67" s="87" t="n">
        <v>37</v>
      </c>
      <c r="L67" s="18">
        <f>IFERROR(K67/G67,"")</f>
        <v/>
      </c>
      <c r="M67" s="87" t="n">
        <v>1</v>
      </c>
      <c r="N67" s="89">
        <f>IFERROR(M67/K67,"")</f>
        <v/>
      </c>
      <c r="O67" s="86">
        <f>IFERROR(E67/M67,"")</f>
        <v/>
      </c>
      <c r="P67" s="87" t="n">
        <v>1</v>
      </c>
      <c r="Q67" s="18">
        <f>IFERROR(P67/M67,"")</f>
        <v/>
      </c>
      <c r="R67" s="86">
        <f>IFERROR(E67/P67,"")</f>
        <v/>
      </c>
      <c r="S67" s="18">
        <f>IFERROR(E67/SUMIFS($E$5:$E$220,$A$5:$A$220,$A67),"")</f>
        <v/>
      </c>
      <c r="T67" s="18">
        <f>IFERROR(M67/SUMIFS($M$5:$M$220,$A$5:$A$220,$A67),"")</f>
        <v/>
      </c>
      <c r="U67" s="111">
        <f>IFERROR(O67/(SUMIFS($E$5:$E$220,$A$5:$A$220,$A67)/SUMIFS($M$5:$M$220,$A$5:$A$220,$A67)),"")</f>
        <v/>
      </c>
    </row>
    <row r="68">
      <c r="A68" s="6" t="inlineStr">
        <is>
          <t>Meta (FB/IG)</t>
        </is>
      </c>
      <c r="B68" s="78" t="inlineStr">
        <is>
          <t>LEP_ZA_AUG26_META_TD_PANTERA_CONV</t>
        </is>
      </c>
      <c r="C68" s="78" t="inlineStr">
        <is>
          <t>45-54</t>
        </is>
      </c>
      <c r="D68" s="78" t="inlineStr">
        <is>
          <t>Male</t>
        </is>
      </c>
      <c r="E68" s="86" t="n">
        <v>4551.4</v>
      </c>
      <c r="F68" s="87" t="n">
        <v>63022</v>
      </c>
      <c r="G68" s="87" t="n">
        <v>1050</v>
      </c>
      <c r="H68" s="89">
        <f>IFERROR(G68/F68,"")</f>
        <v/>
      </c>
      <c r="I68" s="90">
        <f>IFERROR(E68/G68,"")</f>
        <v/>
      </c>
      <c r="J68" s="90">
        <f>IFERROR(E68/F68*1000,"")</f>
        <v/>
      </c>
      <c r="K68" s="87" t="n">
        <v>891</v>
      </c>
      <c r="L68" s="18">
        <f>IFERROR(K68/G68,"")</f>
        <v/>
      </c>
      <c r="M68" s="87" t="n">
        <v>16</v>
      </c>
      <c r="N68" s="89">
        <f>IFERROR(M68/K68,"")</f>
        <v/>
      </c>
      <c r="O68" s="86">
        <f>IFERROR(E68/M68,"")</f>
        <v/>
      </c>
      <c r="P68" s="87" t="n">
        <v>10</v>
      </c>
      <c r="Q68" s="18">
        <f>IFERROR(P68/M68,"")</f>
        <v/>
      </c>
      <c r="R68" s="86">
        <f>IFERROR(E68/P68,"")</f>
        <v/>
      </c>
      <c r="S68" s="18">
        <f>IFERROR(E68/SUMIFS($E$5:$E$220,$A$5:$A$220,$A68),"")</f>
        <v/>
      </c>
      <c r="T68" s="18">
        <f>IFERROR(M68/SUMIFS($M$5:$M$220,$A$5:$A$220,$A68),"")</f>
        <v/>
      </c>
      <c r="U68" s="111">
        <f>IFERROR(O68/(SUMIFS($E$5:$E$220,$A$5:$A$220,$A68)/SUMIFS($M$5:$M$220,$A$5:$A$220,$A68)),"")</f>
        <v/>
      </c>
    </row>
    <row r="69">
      <c r="A69" s="6" t="inlineStr">
        <is>
          <t>Meta (FB/IG)</t>
        </is>
      </c>
      <c r="B69" s="78" t="inlineStr">
        <is>
          <t>LEP_ZA_AUG26_META_TD_PANTERA_CONV</t>
        </is>
      </c>
      <c r="C69" s="78" t="inlineStr">
        <is>
          <t>45-54</t>
        </is>
      </c>
      <c r="D69" s="78" t="inlineStr">
        <is>
          <t>Female</t>
        </is>
      </c>
      <c r="E69" s="86" t="n">
        <v>3484.69</v>
      </c>
      <c r="F69" s="87" t="n">
        <v>48252</v>
      </c>
      <c r="G69" s="87" t="n">
        <v>736</v>
      </c>
      <c r="H69" s="89">
        <f>IFERROR(G69/F69,"")</f>
        <v/>
      </c>
      <c r="I69" s="90">
        <f>IFERROR(E69/G69,"")</f>
        <v/>
      </c>
      <c r="J69" s="90">
        <f>IFERROR(E69/F69*1000,"")</f>
        <v/>
      </c>
      <c r="K69" s="87" t="n">
        <v>624</v>
      </c>
      <c r="L69" s="18">
        <f>IFERROR(K69/G69,"")</f>
        <v/>
      </c>
      <c r="M69" s="87" t="n">
        <v>11</v>
      </c>
      <c r="N69" s="89">
        <f>IFERROR(M69/K69,"")</f>
        <v/>
      </c>
      <c r="O69" s="86">
        <f>IFERROR(E69/M69,"")</f>
        <v/>
      </c>
      <c r="P69" s="87" t="n">
        <v>7</v>
      </c>
      <c r="Q69" s="18">
        <f>IFERROR(P69/M69,"")</f>
        <v/>
      </c>
      <c r="R69" s="86">
        <f>IFERROR(E69/P69,"")</f>
        <v/>
      </c>
      <c r="S69" s="18">
        <f>IFERROR(E69/SUMIFS($E$5:$E$220,$A$5:$A$220,$A69),"")</f>
        <v/>
      </c>
      <c r="T69" s="18">
        <f>IFERROR(M69/SUMIFS($M$5:$M$220,$A$5:$A$220,$A69),"")</f>
        <v/>
      </c>
      <c r="U69" s="111">
        <f>IFERROR(O69/(SUMIFS($E$5:$E$220,$A$5:$A$220,$A69)/SUMIFS($M$5:$M$220,$A$5:$A$220,$A69)),"")</f>
        <v/>
      </c>
    </row>
    <row r="70">
      <c r="A70" s="6" t="inlineStr">
        <is>
          <t>Meta (FB/IG)</t>
        </is>
      </c>
      <c r="B70" s="78" t="inlineStr">
        <is>
          <t>LEP_ZA_AUG26_META_TD_PANTERA_CONV</t>
        </is>
      </c>
      <c r="C70" s="78" t="inlineStr">
        <is>
          <t>45-54</t>
        </is>
      </c>
      <c r="D70" s="78" t="inlineStr">
        <is>
          <t>Unknown</t>
        </is>
      </c>
      <c r="E70" s="86" t="n">
        <v>237.12</v>
      </c>
      <c r="F70" s="87" t="n">
        <v>3283</v>
      </c>
      <c r="G70" s="87" t="n">
        <v>32</v>
      </c>
      <c r="H70" s="89">
        <f>IFERROR(G70/F70,"")</f>
        <v/>
      </c>
      <c r="I70" s="90">
        <f>IFERROR(E70/G70,"")</f>
        <v/>
      </c>
      <c r="J70" s="90">
        <f>IFERROR(E70/F70*1000,"")</f>
        <v/>
      </c>
      <c r="K70" s="87" t="n">
        <v>27</v>
      </c>
      <c r="L70" s="18">
        <f>IFERROR(K70/G70,"")</f>
        <v/>
      </c>
      <c r="M70" s="87" t="n">
        <v>1</v>
      </c>
      <c r="N70" s="89">
        <f>IFERROR(M70/K70,"")</f>
        <v/>
      </c>
      <c r="O70" s="86">
        <f>IFERROR(E70/M70,"")</f>
        <v/>
      </c>
      <c r="P70" s="87" t="n">
        <v>0</v>
      </c>
      <c r="Q70" s="18">
        <f>IFERROR(P70/M70,"")</f>
        <v/>
      </c>
      <c r="R70" s="86">
        <f>IFERROR(E70/P70,"")</f>
        <v/>
      </c>
      <c r="S70" s="18">
        <f>IFERROR(E70/SUMIFS($E$5:$E$220,$A$5:$A$220,$A70),"")</f>
        <v/>
      </c>
      <c r="T70" s="18">
        <f>IFERROR(M70/SUMIFS($M$5:$M$220,$A$5:$A$220,$A70),"")</f>
        <v/>
      </c>
      <c r="U70" s="111">
        <f>IFERROR(O70/(SUMIFS($E$5:$E$220,$A$5:$A$220,$A70)/SUMIFS($M$5:$M$220,$A$5:$A$220,$A70)),"")</f>
        <v/>
      </c>
    </row>
    <row r="71">
      <c r="A71" s="6" t="inlineStr">
        <is>
          <t>Meta (FB/IG)</t>
        </is>
      </c>
      <c r="B71" s="78" t="inlineStr">
        <is>
          <t>LEP_ZA_AUG26_META_TD_PANTERA_CONV</t>
        </is>
      </c>
      <c r="C71" s="78" t="inlineStr">
        <is>
          <t>55-64</t>
        </is>
      </c>
      <c r="D71" s="78" t="inlineStr">
        <is>
          <t>Male</t>
        </is>
      </c>
      <c r="E71" s="86" t="n">
        <v>2562.17</v>
      </c>
      <c r="F71" s="87" t="n">
        <v>35478</v>
      </c>
      <c r="G71" s="87" t="n">
        <v>463</v>
      </c>
      <c r="H71" s="89">
        <f>IFERROR(G71/F71,"")</f>
        <v/>
      </c>
      <c r="I71" s="90">
        <f>IFERROR(E71/G71,"")</f>
        <v/>
      </c>
      <c r="J71" s="90">
        <f>IFERROR(E71/F71*1000,"")</f>
        <v/>
      </c>
      <c r="K71" s="87" t="n">
        <v>393</v>
      </c>
      <c r="L71" s="18">
        <f>IFERROR(K71/G71,"")</f>
        <v/>
      </c>
      <c r="M71" s="87" t="n">
        <v>7</v>
      </c>
      <c r="N71" s="89">
        <f>IFERROR(M71/K71,"")</f>
        <v/>
      </c>
      <c r="O71" s="86">
        <f>IFERROR(E71/M71,"")</f>
        <v/>
      </c>
      <c r="P71" s="87" t="n">
        <v>5</v>
      </c>
      <c r="Q71" s="18">
        <f>IFERROR(P71/M71,"")</f>
        <v/>
      </c>
      <c r="R71" s="86">
        <f>IFERROR(E71/P71,"")</f>
        <v/>
      </c>
      <c r="S71" s="18">
        <f>IFERROR(E71/SUMIFS($E$5:$E$220,$A$5:$A$220,$A71),"")</f>
        <v/>
      </c>
      <c r="T71" s="18">
        <f>IFERROR(M71/SUMIFS($M$5:$M$220,$A$5:$A$220,$A71),"")</f>
        <v/>
      </c>
      <c r="U71" s="111">
        <f>IFERROR(O71/(SUMIFS($E$5:$E$220,$A$5:$A$220,$A71)/SUMIFS($M$5:$M$220,$A$5:$A$220,$A71)),"")</f>
        <v/>
      </c>
    </row>
    <row r="72">
      <c r="A72" s="6" t="inlineStr">
        <is>
          <t>Meta (FB/IG)</t>
        </is>
      </c>
      <c r="B72" s="78" t="inlineStr">
        <is>
          <t>LEP_ZA_AUG26_META_TD_PANTERA_CONV</t>
        </is>
      </c>
      <c r="C72" s="78" t="inlineStr">
        <is>
          <t>55-64</t>
        </is>
      </c>
      <c r="D72" s="78" t="inlineStr">
        <is>
          <t>Female</t>
        </is>
      </c>
      <c r="E72" s="86" t="n">
        <v>2102.61</v>
      </c>
      <c r="F72" s="87" t="n">
        <v>29114</v>
      </c>
      <c r="G72" s="87" t="n">
        <v>348</v>
      </c>
      <c r="H72" s="89">
        <f>IFERROR(G72/F72,"")</f>
        <v/>
      </c>
      <c r="I72" s="90">
        <f>IFERROR(E72/G72,"")</f>
        <v/>
      </c>
      <c r="J72" s="90">
        <f>IFERROR(E72/F72*1000,"")</f>
        <v/>
      </c>
      <c r="K72" s="87" t="n">
        <v>295</v>
      </c>
      <c r="L72" s="18">
        <f>IFERROR(K72/G72,"")</f>
        <v/>
      </c>
      <c r="M72" s="87" t="n">
        <v>5</v>
      </c>
      <c r="N72" s="89">
        <f>IFERROR(M72/K72,"")</f>
        <v/>
      </c>
      <c r="O72" s="86">
        <f>IFERROR(E72/M72,"")</f>
        <v/>
      </c>
      <c r="P72" s="87" t="n">
        <v>4</v>
      </c>
      <c r="Q72" s="18">
        <f>IFERROR(P72/M72,"")</f>
        <v/>
      </c>
      <c r="R72" s="86">
        <f>IFERROR(E72/P72,"")</f>
        <v/>
      </c>
      <c r="S72" s="18">
        <f>IFERROR(E72/SUMIFS($E$5:$E$220,$A$5:$A$220,$A72),"")</f>
        <v/>
      </c>
      <c r="T72" s="18">
        <f>IFERROR(M72/SUMIFS($M$5:$M$220,$A$5:$A$220,$A72),"")</f>
        <v/>
      </c>
      <c r="U72" s="111">
        <f>IFERROR(O72/(SUMIFS($E$5:$E$220,$A$5:$A$220,$A72)/SUMIFS($M$5:$M$220,$A$5:$A$220,$A72)),"")</f>
        <v/>
      </c>
    </row>
    <row r="73">
      <c r="A73" s="6" t="inlineStr">
        <is>
          <t>Meta (FB/IG)</t>
        </is>
      </c>
      <c r="B73" s="78" t="inlineStr">
        <is>
          <t>LEP_ZA_AUG26_META_TD_PANTERA_CONV</t>
        </is>
      </c>
      <c r="C73" s="78" t="inlineStr">
        <is>
          <t>55-64</t>
        </is>
      </c>
      <c r="D73" s="78" t="inlineStr">
        <is>
          <t>Unknown</t>
        </is>
      </c>
      <c r="E73" s="86" t="n">
        <v>145.31</v>
      </c>
      <c r="F73" s="87" t="n">
        <v>2012</v>
      </c>
      <c r="G73" s="87" t="n">
        <v>15</v>
      </c>
      <c r="H73" s="89">
        <f>IFERROR(G73/F73,"")</f>
        <v/>
      </c>
      <c r="I73" s="90">
        <f>IFERROR(E73/G73,"")</f>
        <v/>
      </c>
      <c r="J73" s="90">
        <f>IFERROR(E73/F73*1000,"")</f>
        <v/>
      </c>
      <c r="K73" s="87" t="n">
        <v>13</v>
      </c>
      <c r="L73" s="18">
        <f>IFERROR(K73/G73,"")</f>
        <v/>
      </c>
      <c r="M73" s="87" t="n">
        <v>0</v>
      </c>
      <c r="N73" s="89">
        <f>IFERROR(M73/K73,"")</f>
        <v/>
      </c>
      <c r="O73" s="86">
        <f>IFERROR(E73/M73,"")</f>
        <v/>
      </c>
      <c r="P73" s="87" t="n">
        <v>0</v>
      </c>
      <c r="Q73" s="18">
        <f>IFERROR(P73/M73,"")</f>
        <v/>
      </c>
      <c r="R73" s="86">
        <f>IFERROR(E73/P73,"")</f>
        <v/>
      </c>
      <c r="S73" s="18">
        <f>IFERROR(E73/SUMIFS($E$5:$E$220,$A$5:$A$220,$A73),"")</f>
        <v/>
      </c>
      <c r="T73" s="18">
        <f>IFERROR(M73/SUMIFS($M$5:$M$220,$A$5:$A$220,$A73),"")</f>
        <v/>
      </c>
      <c r="U73" s="111">
        <f>IFERROR(O73/(SUMIFS($E$5:$E$220,$A$5:$A$220,$A73)/SUMIFS($M$5:$M$220,$A$5:$A$220,$A73)),"")</f>
        <v/>
      </c>
    </row>
    <row r="74">
      <c r="A74" s="6" t="inlineStr">
        <is>
          <t>Meta (FB/IG)</t>
        </is>
      </c>
      <c r="B74" s="78" t="inlineStr">
        <is>
          <t>LEP_ZA_AUG26_META_TD_PANTERA_CONV</t>
        </is>
      </c>
      <c r="C74" s="78" t="inlineStr">
        <is>
          <t>65+</t>
        </is>
      </c>
      <c r="D74" s="78" t="inlineStr">
        <is>
          <t>Male</t>
        </is>
      </c>
      <c r="E74" s="86" t="n">
        <v>1089.64</v>
      </c>
      <c r="F74" s="87" t="n">
        <v>15088</v>
      </c>
      <c r="G74" s="87" t="n">
        <v>133</v>
      </c>
      <c r="H74" s="89">
        <f>IFERROR(G74/F74,"")</f>
        <v/>
      </c>
      <c r="I74" s="90">
        <f>IFERROR(E74/G74,"")</f>
        <v/>
      </c>
      <c r="J74" s="90">
        <f>IFERROR(E74/F74*1000,"")</f>
        <v/>
      </c>
      <c r="K74" s="87" t="n">
        <v>113</v>
      </c>
      <c r="L74" s="18">
        <f>IFERROR(K74/G74,"")</f>
        <v/>
      </c>
      <c r="M74" s="87" t="n">
        <v>2</v>
      </c>
      <c r="N74" s="89">
        <f>IFERROR(M74/K74,"")</f>
        <v/>
      </c>
      <c r="O74" s="86">
        <f>IFERROR(E74/M74,"")</f>
        <v/>
      </c>
      <c r="P74" s="87" t="n">
        <v>1</v>
      </c>
      <c r="Q74" s="18">
        <f>IFERROR(P74/M74,"")</f>
        <v/>
      </c>
      <c r="R74" s="86">
        <f>IFERROR(E74/P74,"")</f>
        <v/>
      </c>
      <c r="S74" s="18">
        <f>IFERROR(E74/SUMIFS($E$5:$E$220,$A$5:$A$220,$A74),"")</f>
        <v/>
      </c>
      <c r="T74" s="18">
        <f>IFERROR(M74/SUMIFS($M$5:$M$220,$A$5:$A$220,$A74),"")</f>
        <v/>
      </c>
      <c r="U74" s="111">
        <f>IFERROR(O74/(SUMIFS($E$5:$E$220,$A$5:$A$220,$A74)/SUMIFS($M$5:$M$220,$A$5:$A$220,$A74)),"")</f>
        <v/>
      </c>
    </row>
    <row r="75">
      <c r="A75" s="6" t="inlineStr">
        <is>
          <t>Meta (FB/IG)</t>
        </is>
      </c>
      <c r="B75" s="78" t="inlineStr">
        <is>
          <t>LEP_ZA_AUG26_META_TD_PANTERA_CONV</t>
        </is>
      </c>
      <c r="C75" s="78" t="inlineStr">
        <is>
          <t>65+</t>
        </is>
      </c>
      <c r="D75" s="78" t="inlineStr">
        <is>
          <t>Female</t>
        </is>
      </c>
      <c r="E75" s="86" t="n">
        <v>856.12</v>
      </c>
      <c r="F75" s="87" t="n">
        <v>11854</v>
      </c>
      <c r="G75" s="87" t="n">
        <v>96</v>
      </c>
      <c r="H75" s="89">
        <f>IFERROR(G75/F75,"")</f>
        <v/>
      </c>
      <c r="I75" s="90">
        <f>IFERROR(E75/G75,"")</f>
        <v/>
      </c>
      <c r="J75" s="90">
        <f>IFERROR(E75/F75*1000,"")</f>
        <v/>
      </c>
      <c r="K75" s="87" t="n">
        <v>81</v>
      </c>
      <c r="L75" s="18">
        <f>IFERROR(K75/G75,"")</f>
        <v/>
      </c>
      <c r="M75" s="87" t="n">
        <v>2</v>
      </c>
      <c r="N75" s="89">
        <f>IFERROR(M75/K75,"")</f>
        <v/>
      </c>
      <c r="O75" s="86">
        <f>IFERROR(E75/M75,"")</f>
        <v/>
      </c>
      <c r="P75" s="87" t="n">
        <v>1</v>
      </c>
      <c r="Q75" s="18">
        <f>IFERROR(P75/M75,"")</f>
        <v/>
      </c>
      <c r="R75" s="86">
        <f>IFERROR(E75/P75,"")</f>
        <v/>
      </c>
      <c r="S75" s="18">
        <f>IFERROR(E75/SUMIFS($E$5:$E$220,$A$5:$A$220,$A75),"")</f>
        <v/>
      </c>
      <c r="T75" s="18">
        <f>IFERROR(M75/SUMIFS($M$5:$M$220,$A$5:$A$220,$A75),"")</f>
        <v/>
      </c>
      <c r="U75" s="111">
        <f>IFERROR(O75/(SUMIFS($E$5:$E$220,$A$5:$A$220,$A75)/SUMIFS($M$5:$M$220,$A$5:$A$220,$A75)),"")</f>
        <v/>
      </c>
    </row>
    <row r="76">
      <c r="A76" s="6" t="inlineStr">
        <is>
          <t>Meta (FB/IG)</t>
        </is>
      </c>
      <c r="B76" s="78" t="inlineStr">
        <is>
          <t>LEP_ZA_AUG26_META_TD_PANTERA_CONV</t>
        </is>
      </c>
      <c r="C76" s="78" t="inlineStr">
        <is>
          <t>65+</t>
        </is>
      </c>
      <c r="D76" s="78" t="inlineStr">
        <is>
          <t>Unknown</t>
        </is>
      </c>
      <c r="E76" s="86" t="n">
        <v>56.44</v>
      </c>
      <c r="F76" s="87" t="n">
        <v>782</v>
      </c>
      <c r="G76" s="87" t="n">
        <v>4</v>
      </c>
      <c r="H76" s="89">
        <f>IFERROR(G76/F76,"")</f>
        <v/>
      </c>
      <c r="I76" s="90">
        <f>IFERROR(E76/G76,"")</f>
        <v/>
      </c>
      <c r="J76" s="90">
        <f>IFERROR(E76/F76*1000,"")</f>
        <v/>
      </c>
      <c r="K76" s="87" t="n">
        <v>4</v>
      </c>
      <c r="L76" s="18">
        <f>IFERROR(K76/G76,"")</f>
        <v/>
      </c>
      <c r="M76" s="87" t="n">
        <v>0</v>
      </c>
      <c r="N76" s="89">
        <f>IFERROR(M76/K76,"")</f>
        <v/>
      </c>
      <c r="O76" s="86">
        <f>IFERROR(E76/M76,"")</f>
        <v/>
      </c>
      <c r="P76" s="87" t="n">
        <v>0</v>
      </c>
      <c r="Q76" s="18">
        <f>IFERROR(P76/M76,"")</f>
        <v/>
      </c>
      <c r="R76" s="86">
        <f>IFERROR(E76/P76,"")</f>
        <v/>
      </c>
      <c r="S76" s="18">
        <f>IFERROR(E76/SUMIFS($E$5:$E$220,$A$5:$A$220,$A76),"")</f>
        <v/>
      </c>
      <c r="T76" s="18">
        <f>IFERROR(M76/SUMIFS($M$5:$M$220,$A$5:$A$220,$A76),"")</f>
        <v/>
      </c>
      <c r="U76" s="111">
        <f>IFERROR(O76/(SUMIFS($E$5:$E$220,$A$5:$A$220,$A76)/SUMIFS($M$5:$M$220,$A$5:$A$220,$A76)),"")</f>
        <v/>
      </c>
    </row>
    <row r="77">
      <c r="A77" s="6" t="inlineStr">
        <is>
          <t>Programmatic</t>
        </is>
      </c>
      <c r="B77" s="78" t="inlineStr">
        <is>
          <t>LEP_ZA_AUG26_PROG_RMKT_DYNAMIC</t>
        </is>
      </c>
      <c r="C77" s="78" t="inlineStr">
        <is>
          <t>18-24</t>
        </is>
      </c>
      <c r="D77" s="78" t="inlineStr">
        <is>
          <t>Male</t>
        </is>
      </c>
      <c r="E77" s="86" t="n">
        <v>1419.83</v>
      </c>
      <c r="F77" s="87" t="n">
        <v>44144</v>
      </c>
      <c r="G77" s="87" t="n">
        <v>80</v>
      </c>
      <c r="H77" s="89">
        <f>IFERROR(G77/F77,"")</f>
        <v/>
      </c>
      <c r="I77" s="90">
        <f>IFERROR(E77/G77,"")</f>
        <v/>
      </c>
      <c r="J77" s="90">
        <f>IFERROR(E77/F77*1000,"")</f>
        <v/>
      </c>
      <c r="K77" s="87" t="n">
        <v>51</v>
      </c>
      <c r="L77" s="18">
        <f>IFERROR(K77/G77,"")</f>
        <v/>
      </c>
      <c r="M77" s="87" t="n">
        <v>2</v>
      </c>
      <c r="N77" s="89">
        <f>IFERROR(M77/K77,"")</f>
        <v/>
      </c>
      <c r="O77" s="86">
        <f>IFERROR(E77/M77,"")</f>
        <v/>
      </c>
      <c r="P77" s="87" t="n">
        <v>1</v>
      </c>
      <c r="Q77" s="18">
        <f>IFERROR(P77/M77,"")</f>
        <v/>
      </c>
      <c r="R77" s="86">
        <f>IFERROR(E77/P77,"")</f>
        <v/>
      </c>
      <c r="S77" s="18">
        <f>IFERROR(E77/SUMIFS($E$5:$E$220,$A$5:$A$220,$A77),"")</f>
        <v/>
      </c>
      <c r="T77" s="18">
        <f>IFERROR(M77/SUMIFS($M$5:$M$220,$A$5:$A$220,$A77),"")</f>
        <v/>
      </c>
      <c r="U77" s="111">
        <f>IFERROR(O77/(SUMIFS($E$5:$E$220,$A$5:$A$220,$A77)/SUMIFS($M$5:$M$220,$A$5:$A$220,$A77)),"")</f>
        <v/>
      </c>
    </row>
    <row r="78">
      <c r="A78" s="6" t="inlineStr">
        <is>
          <t>Programmatic</t>
        </is>
      </c>
      <c r="B78" s="78" t="inlineStr">
        <is>
          <t>LEP_ZA_AUG26_PROG_RMKT_DYNAMIC</t>
        </is>
      </c>
      <c r="C78" s="78" t="inlineStr">
        <is>
          <t>18-24</t>
        </is>
      </c>
      <c r="D78" s="78" t="inlineStr">
        <is>
          <t>Female</t>
        </is>
      </c>
      <c r="E78" s="86" t="n">
        <v>1045.4</v>
      </c>
      <c r="F78" s="87" t="n">
        <v>32502</v>
      </c>
      <c r="G78" s="87" t="n">
        <v>54</v>
      </c>
      <c r="H78" s="89">
        <f>IFERROR(G78/F78,"")</f>
        <v/>
      </c>
      <c r="I78" s="90">
        <f>IFERROR(E78/G78,"")</f>
        <v/>
      </c>
      <c r="J78" s="90">
        <f>IFERROR(E78/F78*1000,"")</f>
        <v/>
      </c>
      <c r="K78" s="87" t="n">
        <v>34</v>
      </c>
      <c r="L78" s="18">
        <f>IFERROR(K78/G78,"")</f>
        <v/>
      </c>
      <c r="M78" s="87" t="n">
        <v>2</v>
      </c>
      <c r="N78" s="89">
        <f>IFERROR(M78/K78,"")</f>
        <v/>
      </c>
      <c r="O78" s="86">
        <f>IFERROR(E78/M78,"")</f>
        <v/>
      </c>
      <c r="P78" s="87" t="n">
        <v>1</v>
      </c>
      <c r="Q78" s="18">
        <f>IFERROR(P78/M78,"")</f>
        <v/>
      </c>
      <c r="R78" s="86">
        <f>IFERROR(E78/P78,"")</f>
        <v/>
      </c>
      <c r="S78" s="18">
        <f>IFERROR(E78/SUMIFS($E$5:$E$220,$A$5:$A$220,$A78),"")</f>
        <v/>
      </c>
      <c r="T78" s="18">
        <f>IFERROR(M78/SUMIFS($M$5:$M$220,$A$5:$A$220,$A78),"")</f>
        <v/>
      </c>
      <c r="U78" s="111">
        <f>IFERROR(O78/(SUMIFS($E$5:$E$220,$A$5:$A$220,$A78)/SUMIFS($M$5:$M$220,$A$5:$A$220,$A78)),"")</f>
        <v/>
      </c>
    </row>
    <row r="79">
      <c r="A79" s="6" t="inlineStr">
        <is>
          <t>Programmatic</t>
        </is>
      </c>
      <c r="B79" s="78" t="inlineStr">
        <is>
          <t>LEP_ZA_AUG26_PROG_RMKT_DYNAMIC</t>
        </is>
      </c>
      <c r="C79" s="78" t="inlineStr">
        <is>
          <t>18-24</t>
        </is>
      </c>
      <c r="D79" s="78" t="inlineStr">
        <is>
          <t>Unknown</t>
        </is>
      </c>
      <c r="E79" s="86" t="n">
        <v>190.61</v>
      </c>
      <c r="F79" s="87" t="n">
        <v>5926</v>
      </c>
      <c r="G79" s="87" t="n">
        <v>6</v>
      </c>
      <c r="H79" s="89">
        <f>IFERROR(G79/F79,"")</f>
        <v/>
      </c>
      <c r="I79" s="90">
        <f>IFERROR(E79/G79,"")</f>
        <v/>
      </c>
      <c r="J79" s="90">
        <f>IFERROR(E79/F79*1000,"")</f>
        <v/>
      </c>
      <c r="K79" s="87" t="n">
        <v>4</v>
      </c>
      <c r="L79" s="18">
        <f>IFERROR(K79/G79,"")</f>
        <v/>
      </c>
      <c r="M79" s="87" t="n">
        <v>0</v>
      </c>
      <c r="N79" s="89">
        <f>IFERROR(M79/K79,"")</f>
        <v/>
      </c>
      <c r="O79" s="86">
        <f>IFERROR(E79/M79,"")</f>
        <v/>
      </c>
      <c r="P79" s="87" t="n">
        <v>0</v>
      </c>
      <c r="Q79" s="18">
        <f>IFERROR(P79/M79,"")</f>
        <v/>
      </c>
      <c r="R79" s="86">
        <f>IFERROR(E79/P79,"")</f>
        <v/>
      </c>
      <c r="S79" s="18">
        <f>IFERROR(E79/SUMIFS($E$5:$E$220,$A$5:$A$220,$A79),"")</f>
        <v/>
      </c>
      <c r="T79" s="18">
        <f>IFERROR(M79/SUMIFS($M$5:$M$220,$A$5:$A$220,$A79),"")</f>
        <v/>
      </c>
      <c r="U79" s="111">
        <f>IFERROR(O79/(SUMIFS($E$5:$E$220,$A$5:$A$220,$A79)/SUMIFS($M$5:$M$220,$A$5:$A$220,$A79)),"")</f>
        <v/>
      </c>
    </row>
    <row r="80">
      <c r="A80" s="6" t="inlineStr">
        <is>
          <t>Programmatic</t>
        </is>
      </c>
      <c r="B80" s="78" t="inlineStr">
        <is>
          <t>LEP_ZA_AUG26_PROG_RMKT_DYNAMIC</t>
        </is>
      </c>
      <c r="C80" s="78" t="inlineStr">
        <is>
          <t>25-34</t>
        </is>
      </c>
      <c r="D80" s="78" t="inlineStr">
        <is>
          <t>Male</t>
        </is>
      </c>
      <c r="E80" s="86" t="n">
        <v>3235.51</v>
      </c>
      <c r="F80" s="87" t="n">
        <v>100595</v>
      </c>
      <c r="G80" s="87" t="n">
        <v>288</v>
      </c>
      <c r="H80" s="89">
        <f>IFERROR(G80/F80,"")</f>
        <v/>
      </c>
      <c r="I80" s="90">
        <f>IFERROR(E80/G80,"")</f>
        <v/>
      </c>
      <c r="J80" s="90">
        <f>IFERROR(E80/F80*1000,"")</f>
        <v/>
      </c>
      <c r="K80" s="87" t="n">
        <v>184</v>
      </c>
      <c r="L80" s="18">
        <f>IFERROR(K80/G80,"")</f>
        <v/>
      </c>
      <c r="M80" s="87" t="n">
        <v>8</v>
      </c>
      <c r="N80" s="89">
        <f>IFERROR(M80/K80,"")</f>
        <v/>
      </c>
      <c r="O80" s="86">
        <f>IFERROR(E80/M80,"")</f>
        <v/>
      </c>
      <c r="P80" s="87" t="n">
        <v>4</v>
      </c>
      <c r="Q80" s="18">
        <f>IFERROR(P80/M80,"")</f>
        <v/>
      </c>
      <c r="R80" s="86">
        <f>IFERROR(E80/P80,"")</f>
        <v/>
      </c>
      <c r="S80" s="18">
        <f>IFERROR(E80/SUMIFS($E$5:$E$220,$A$5:$A$220,$A80),"")</f>
        <v/>
      </c>
      <c r="T80" s="18">
        <f>IFERROR(M80/SUMIFS($M$5:$M$220,$A$5:$A$220,$A80),"")</f>
        <v/>
      </c>
      <c r="U80" s="111">
        <f>IFERROR(O80/(SUMIFS($E$5:$E$220,$A$5:$A$220,$A80)/SUMIFS($M$5:$M$220,$A$5:$A$220,$A80)),"")</f>
        <v/>
      </c>
    </row>
    <row r="81">
      <c r="A81" s="6" t="inlineStr">
        <is>
          <t>Programmatic</t>
        </is>
      </c>
      <c r="B81" s="78" t="inlineStr">
        <is>
          <t>LEP_ZA_AUG26_PROG_RMKT_DYNAMIC</t>
        </is>
      </c>
      <c r="C81" s="78" t="inlineStr">
        <is>
          <t>25-34</t>
        </is>
      </c>
      <c r="D81" s="78" t="inlineStr">
        <is>
          <t>Female</t>
        </is>
      </c>
      <c r="E81" s="86" t="n">
        <v>2360.02</v>
      </c>
      <c r="F81" s="87" t="n">
        <v>73375</v>
      </c>
      <c r="G81" s="87" t="n">
        <v>192</v>
      </c>
      <c r="H81" s="89">
        <f>IFERROR(G81/F81,"")</f>
        <v/>
      </c>
      <c r="I81" s="90">
        <f>IFERROR(E81/G81,"")</f>
        <v/>
      </c>
      <c r="J81" s="90">
        <f>IFERROR(E81/F81*1000,"")</f>
        <v/>
      </c>
      <c r="K81" s="87" t="n">
        <v>123</v>
      </c>
      <c r="L81" s="18">
        <f>IFERROR(K81/G81,"")</f>
        <v/>
      </c>
      <c r="M81" s="87" t="n">
        <v>5</v>
      </c>
      <c r="N81" s="89">
        <f>IFERROR(M81/K81,"")</f>
        <v/>
      </c>
      <c r="O81" s="86">
        <f>IFERROR(E81/M81,"")</f>
        <v/>
      </c>
      <c r="P81" s="87" t="n">
        <v>3</v>
      </c>
      <c r="Q81" s="18">
        <f>IFERROR(P81/M81,"")</f>
        <v/>
      </c>
      <c r="R81" s="86">
        <f>IFERROR(E81/P81,"")</f>
        <v/>
      </c>
      <c r="S81" s="18">
        <f>IFERROR(E81/SUMIFS($E$5:$E$220,$A$5:$A$220,$A81),"")</f>
        <v/>
      </c>
      <c r="T81" s="18">
        <f>IFERROR(M81/SUMIFS($M$5:$M$220,$A$5:$A$220,$A81),"")</f>
        <v/>
      </c>
      <c r="U81" s="111">
        <f>IFERROR(O81/(SUMIFS($E$5:$E$220,$A$5:$A$220,$A81)/SUMIFS($M$5:$M$220,$A$5:$A$220,$A81)),"")</f>
        <v/>
      </c>
    </row>
    <row r="82">
      <c r="A82" s="6" t="inlineStr">
        <is>
          <t>Programmatic</t>
        </is>
      </c>
      <c r="B82" s="78" t="inlineStr">
        <is>
          <t>LEP_ZA_AUG26_PROG_RMKT_DYNAMIC</t>
        </is>
      </c>
      <c r="C82" s="78" t="inlineStr">
        <is>
          <t>25-34</t>
        </is>
      </c>
      <c r="D82" s="78" t="inlineStr">
        <is>
          <t>Unknown</t>
        </is>
      </c>
      <c r="E82" s="86" t="n">
        <v>466.88</v>
      </c>
      <c r="F82" s="87" t="n">
        <v>14516</v>
      </c>
      <c r="G82" s="87" t="n">
        <v>24</v>
      </c>
      <c r="H82" s="89">
        <f>IFERROR(G82/F82,"")</f>
        <v/>
      </c>
      <c r="I82" s="90">
        <f>IFERROR(E82/G82,"")</f>
        <v/>
      </c>
      <c r="J82" s="90">
        <f>IFERROR(E82/F82*1000,"")</f>
        <v/>
      </c>
      <c r="K82" s="87" t="n">
        <v>15</v>
      </c>
      <c r="L82" s="18">
        <f>IFERROR(K82/G82,"")</f>
        <v/>
      </c>
      <c r="M82" s="87" t="n">
        <v>1</v>
      </c>
      <c r="N82" s="89">
        <f>IFERROR(M82/K82,"")</f>
        <v/>
      </c>
      <c r="O82" s="86">
        <f>IFERROR(E82/M82,"")</f>
        <v/>
      </c>
      <c r="P82" s="87" t="n">
        <v>0</v>
      </c>
      <c r="Q82" s="18">
        <f>IFERROR(P82/M82,"")</f>
        <v/>
      </c>
      <c r="R82" s="86">
        <f>IFERROR(E82/P82,"")</f>
        <v/>
      </c>
      <c r="S82" s="18">
        <f>IFERROR(E82/SUMIFS($E$5:$E$220,$A$5:$A$220,$A82),"")</f>
        <v/>
      </c>
      <c r="T82" s="18">
        <f>IFERROR(M82/SUMIFS($M$5:$M$220,$A$5:$A$220,$A82),"")</f>
        <v/>
      </c>
      <c r="U82" s="111">
        <f>IFERROR(O82/(SUMIFS($E$5:$E$220,$A$5:$A$220,$A82)/SUMIFS($M$5:$M$220,$A$5:$A$220,$A82)),"")</f>
        <v/>
      </c>
    </row>
    <row r="83">
      <c r="A83" s="6" t="inlineStr">
        <is>
          <t>Programmatic</t>
        </is>
      </c>
      <c r="B83" s="78" t="inlineStr">
        <is>
          <t>LEP_ZA_AUG26_PROG_RMKT_DYNAMIC</t>
        </is>
      </c>
      <c r="C83" s="78" t="inlineStr">
        <is>
          <t>35-44</t>
        </is>
      </c>
      <c r="D83" s="78" t="inlineStr">
        <is>
          <t>Male</t>
        </is>
      </c>
      <c r="E83" s="86" t="n">
        <v>3253.48</v>
      </c>
      <c r="F83" s="87" t="n">
        <v>101154</v>
      </c>
      <c r="G83" s="87" t="n">
        <v>403</v>
      </c>
      <c r="H83" s="89">
        <f>IFERROR(G83/F83,"")</f>
        <v/>
      </c>
      <c r="I83" s="90">
        <f>IFERROR(E83/G83,"")</f>
        <v/>
      </c>
      <c r="J83" s="90">
        <f>IFERROR(E83/F83*1000,"")</f>
        <v/>
      </c>
      <c r="K83" s="87" t="n">
        <v>257</v>
      </c>
      <c r="L83" s="18">
        <f>IFERROR(K83/G83,"")</f>
        <v/>
      </c>
      <c r="M83" s="87" t="n">
        <v>11</v>
      </c>
      <c r="N83" s="89">
        <f>IFERROR(M83/K83,"")</f>
        <v/>
      </c>
      <c r="O83" s="86">
        <f>IFERROR(E83/M83,"")</f>
        <v/>
      </c>
      <c r="P83" s="87" t="n">
        <v>6</v>
      </c>
      <c r="Q83" s="18">
        <f>IFERROR(P83/M83,"")</f>
        <v/>
      </c>
      <c r="R83" s="86">
        <f>IFERROR(E83/P83,"")</f>
        <v/>
      </c>
      <c r="S83" s="18">
        <f>IFERROR(E83/SUMIFS($E$5:$E$220,$A$5:$A$220,$A83),"")</f>
        <v/>
      </c>
      <c r="T83" s="18">
        <f>IFERROR(M83/SUMIFS($M$5:$M$220,$A$5:$A$220,$A83),"")</f>
        <v/>
      </c>
      <c r="U83" s="111">
        <f>IFERROR(O83/(SUMIFS($E$5:$E$220,$A$5:$A$220,$A83)/SUMIFS($M$5:$M$220,$A$5:$A$220,$A83)),"")</f>
        <v/>
      </c>
    </row>
    <row r="84">
      <c r="A84" s="6" t="inlineStr">
        <is>
          <t>Programmatic</t>
        </is>
      </c>
      <c r="B84" s="78" t="inlineStr">
        <is>
          <t>LEP_ZA_AUG26_PROG_RMKT_DYNAMIC</t>
        </is>
      </c>
      <c r="C84" s="78" t="inlineStr">
        <is>
          <t>35-44</t>
        </is>
      </c>
      <c r="D84" s="78" t="inlineStr">
        <is>
          <t>Female</t>
        </is>
      </c>
      <c r="E84" s="86" t="n">
        <v>2414.94</v>
      </c>
      <c r="F84" s="87" t="n">
        <v>75083</v>
      </c>
      <c r="G84" s="87" t="n">
        <v>274</v>
      </c>
      <c r="H84" s="89">
        <f>IFERROR(G84/F84,"")</f>
        <v/>
      </c>
      <c r="I84" s="90">
        <f>IFERROR(E84/G84,"")</f>
        <v/>
      </c>
      <c r="J84" s="90">
        <f>IFERROR(E84/F84*1000,"")</f>
        <v/>
      </c>
      <c r="K84" s="87" t="n">
        <v>175</v>
      </c>
      <c r="L84" s="18">
        <f>IFERROR(K84/G84,"")</f>
        <v/>
      </c>
      <c r="M84" s="87" t="n">
        <v>7</v>
      </c>
      <c r="N84" s="89">
        <f>IFERROR(M84/K84,"")</f>
        <v/>
      </c>
      <c r="O84" s="86">
        <f>IFERROR(E84/M84,"")</f>
        <v/>
      </c>
      <c r="P84" s="87" t="n">
        <v>4</v>
      </c>
      <c r="Q84" s="18">
        <f>IFERROR(P84/M84,"")</f>
        <v/>
      </c>
      <c r="R84" s="86">
        <f>IFERROR(E84/P84,"")</f>
        <v/>
      </c>
      <c r="S84" s="18">
        <f>IFERROR(E84/SUMIFS($E$5:$E$220,$A$5:$A$220,$A84),"")</f>
        <v/>
      </c>
      <c r="T84" s="18">
        <f>IFERROR(M84/SUMIFS($M$5:$M$220,$A$5:$A$220,$A84),"")</f>
        <v/>
      </c>
      <c r="U84" s="111">
        <f>IFERROR(O84/(SUMIFS($E$5:$E$220,$A$5:$A$220,$A84)/SUMIFS($M$5:$M$220,$A$5:$A$220,$A84)),"")</f>
        <v/>
      </c>
    </row>
    <row r="85">
      <c r="A85" s="6" t="inlineStr">
        <is>
          <t>Programmatic</t>
        </is>
      </c>
      <c r="B85" s="78" t="inlineStr">
        <is>
          <t>LEP_ZA_AUG26_PROG_RMKT_DYNAMIC</t>
        </is>
      </c>
      <c r="C85" s="78" t="inlineStr">
        <is>
          <t>35-44</t>
        </is>
      </c>
      <c r="D85" s="78" t="inlineStr">
        <is>
          <t>Unknown</t>
        </is>
      </c>
      <c r="E85" s="86" t="n">
        <v>435.84</v>
      </c>
      <c r="F85" s="87" t="n">
        <v>13550</v>
      </c>
      <c r="G85" s="87" t="n">
        <v>32</v>
      </c>
      <c r="H85" s="89">
        <f>IFERROR(G85/F85,"")</f>
        <v/>
      </c>
      <c r="I85" s="90">
        <f>IFERROR(E85/G85,"")</f>
        <v/>
      </c>
      <c r="J85" s="90">
        <f>IFERROR(E85/F85*1000,"")</f>
        <v/>
      </c>
      <c r="K85" s="87" t="n">
        <v>20</v>
      </c>
      <c r="L85" s="18">
        <f>IFERROR(K85/G85,"")</f>
        <v/>
      </c>
      <c r="M85" s="87" t="n">
        <v>1</v>
      </c>
      <c r="N85" s="89">
        <f>IFERROR(M85/K85,"")</f>
        <v/>
      </c>
      <c r="O85" s="86">
        <f>IFERROR(E85/M85,"")</f>
        <v/>
      </c>
      <c r="P85" s="87" t="n">
        <v>0</v>
      </c>
      <c r="Q85" s="18">
        <f>IFERROR(P85/M85,"")</f>
        <v/>
      </c>
      <c r="R85" s="86">
        <f>IFERROR(E85/P85,"")</f>
        <v/>
      </c>
      <c r="S85" s="18">
        <f>IFERROR(E85/SUMIFS($E$5:$E$220,$A$5:$A$220,$A85),"")</f>
        <v/>
      </c>
      <c r="T85" s="18">
        <f>IFERROR(M85/SUMIFS($M$5:$M$220,$A$5:$A$220,$A85),"")</f>
        <v/>
      </c>
      <c r="U85" s="111">
        <f>IFERROR(O85/(SUMIFS($E$5:$E$220,$A$5:$A$220,$A85)/SUMIFS($M$5:$M$220,$A$5:$A$220,$A85)),"")</f>
        <v/>
      </c>
    </row>
    <row r="86">
      <c r="A86" s="6" t="inlineStr">
        <is>
          <t>Programmatic</t>
        </is>
      </c>
      <c r="B86" s="78" t="inlineStr">
        <is>
          <t>LEP_ZA_AUG26_PROG_RMKT_DYNAMIC</t>
        </is>
      </c>
      <c r="C86" s="78" t="inlineStr">
        <is>
          <t>45-54</t>
        </is>
      </c>
      <c r="D86" s="78" t="inlineStr">
        <is>
          <t>Male</t>
        </is>
      </c>
      <c r="E86" s="86" t="n">
        <v>2509.49</v>
      </c>
      <c r="F86" s="87" t="n">
        <v>78022</v>
      </c>
      <c r="G86" s="87" t="n">
        <v>326</v>
      </c>
      <c r="H86" s="89">
        <f>IFERROR(G86/F86,"")</f>
        <v/>
      </c>
      <c r="I86" s="90">
        <f>IFERROR(E86/G86,"")</f>
        <v/>
      </c>
      <c r="J86" s="90">
        <f>IFERROR(E86/F86*1000,"")</f>
        <v/>
      </c>
      <c r="K86" s="87" t="n">
        <v>208</v>
      </c>
      <c r="L86" s="18">
        <f>IFERROR(K86/G86,"")</f>
        <v/>
      </c>
      <c r="M86" s="87" t="n">
        <v>9</v>
      </c>
      <c r="N86" s="89">
        <f>IFERROR(M86/K86,"")</f>
        <v/>
      </c>
      <c r="O86" s="86">
        <f>IFERROR(E86/M86,"")</f>
        <v/>
      </c>
      <c r="P86" s="87" t="n">
        <v>5</v>
      </c>
      <c r="Q86" s="18">
        <f>IFERROR(P86/M86,"")</f>
        <v/>
      </c>
      <c r="R86" s="86">
        <f>IFERROR(E86/P86,"")</f>
        <v/>
      </c>
      <c r="S86" s="18">
        <f>IFERROR(E86/SUMIFS($E$5:$E$220,$A$5:$A$220,$A86),"")</f>
        <v/>
      </c>
      <c r="T86" s="18">
        <f>IFERROR(M86/SUMIFS($M$5:$M$220,$A$5:$A$220,$A86),"")</f>
        <v/>
      </c>
      <c r="U86" s="111">
        <f>IFERROR(O86/(SUMIFS($E$5:$E$220,$A$5:$A$220,$A86)/SUMIFS($M$5:$M$220,$A$5:$A$220,$A86)),"")</f>
        <v/>
      </c>
    </row>
    <row r="87">
      <c r="A87" s="6" t="inlineStr">
        <is>
          <t>Programmatic</t>
        </is>
      </c>
      <c r="B87" s="78" t="inlineStr">
        <is>
          <t>LEP_ZA_AUG26_PROG_RMKT_DYNAMIC</t>
        </is>
      </c>
      <c r="C87" s="78" t="inlineStr">
        <is>
          <t>45-54</t>
        </is>
      </c>
      <c r="D87" s="78" t="inlineStr">
        <is>
          <t>Female</t>
        </is>
      </c>
      <c r="E87" s="86" t="n">
        <v>1621.53</v>
      </c>
      <c r="F87" s="87" t="n">
        <v>50415</v>
      </c>
      <c r="G87" s="87" t="n">
        <v>193</v>
      </c>
      <c r="H87" s="89">
        <f>IFERROR(G87/F87,"")</f>
        <v/>
      </c>
      <c r="I87" s="90">
        <f>IFERROR(E87/G87,"")</f>
        <v/>
      </c>
      <c r="J87" s="90">
        <f>IFERROR(E87/F87*1000,"")</f>
        <v/>
      </c>
      <c r="K87" s="87" t="n">
        <v>123</v>
      </c>
      <c r="L87" s="18">
        <f>IFERROR(K87/G87,"")</f>
        <v/>
      </c>
      <c r="M87" s="87" t="n">
        <v>5</v>
      </c>
      <c r="N87" s="89">
        <f>IFERROR(M87/K87,"")</f>
        <v/>
      </c>
      <c r="O87" s="86">
        <f>IFERROR(E87/M87,"")</f>
        <v/>
      </c>
      <c r="P87" s="87" t="n">
        <v>3</v>
      </c>
      <c r="Q87" s="18">
        <f>IFERROR(P87/M87,"")</f>
        <v/>
      </c>
      <c r="R87" s="86">
        <f>IFERROR(E87/P87,"")</f>
        <v/>
      </c>
      <c r="S87" s="18">
        <f>IFERROR(E87/SUMIFS($E$5:$E$220,$A$5:$A$220,$A87),"")</f>
        <v/>
      </c>
      <c r="T87" s="18">
        <f>IFERROR(M87/SUMIFS($M$5:$M$220,$A$5:$A$220,$A87),"")</f>
        <v/>
      </c>
      <c r="U87" s="111">
        <f>IFERROR(O87/(SUMIFS($E$5:$E$220,$A$5:$A$220,$A87)/SUMIFS($M$5:$M$220,$A$5:$A$220,$A87)),"")</f>
        <v/>
      </c>
    </row>
    <row r="88">
      <c r="A88" s="6" t="inlineStr">
        <is>
          <t>Programmatic</t>
        </is>
      </c>
      <c r="B88" s="78" t="inlineStr">
        <is>
          <t>LEP_ZA_AUG26_PROG_RMKT_DYNAMIC</t>
        </is>
      </c>
      <c r="C88" s="78" t="inlineStr">
        <is>
          <t>45-54</t>
        </is>
      </c>
      <c r="D88" s="78" t="inlineStr">
        <is>
          <t>Unknown</t>
        </is>
      </c>
      <c r="E88" s="86" t="n">
        <v>346.47</v>
      </c>
      <c r="F88" s="87" t="n">
        <v>10772</v>
      </c>
      <c r="G88" s="87" t="n">
        <v>26</v>
      </c>
      <c r="H88" s="89">
        <f>IFERROR(G88/F88,"")</f>
        <v/>
      </c>
      <c r="I88" s="90">
        <f>IFERROR(E88/G88,"")</f>
        <v/>
      </c>
      <c r="J88" s="90">
        <f>IFERROR(E88/F88*1000,"")</f>
        <v/>
      </c>
      <c r="K88" s="87" t="n">
        <v>17</v>
      </c>
      <c r="L88" s="18">
        <f>IFERROR(K88/G88,"")</f>
        <v/>
      </c>
      <c r="M88" s="87" t="n">
        <v>1</v>
      </c>
      <c r="N88" s="89">
        <f>IFERROR(M88/K88,"")</f>
        <v/>
      </c>
      <c r="O88" s="86">
        <f>IFERROR(E88/M88,"")</f>
        <v/>
      </c>
      <c r="P88" s="87" t="n">
        <v>0</v>
      </c>
      <c r="Q88" s="18">
        <f>IFERROR(P88/M88,"")</f>
        <v/>
      </c>
      <c r="R88" s="86">
        <f>IFERROR(E88/P88,"")</f>
        <v/>
      </c>
      <c r="S88" s="18">
        <f>IFERROR(E88/SUMIFS($E$5:$E$220,$A$5:$A$220,$A88),"")</f>
        <v/>
      </c>
      <c r="T88" s="18">
        <f>IFERROR(M88/SUMIFS($M$5:$M$220,$A$5:$A$220,$A88),"")</f>
        <v/>
      </c>
      <c r="U88" s="111">
        <f>IFERROR(O88/(SUMIFS($E$5:$E$220,$A$5:$A$220,$A88)/SUMIFS($M$5:$M$220,$A$5:$A$220,$A88)),"")</f>
        <v/>
      </c>
    </row>
    <row r="89">
      <c r="A89" s="6" t="inlineStr">
        <is>
          <t>Programmatic</t>
        </is>
      </c>
      <c r="B89" s="78" t="inlineStr">
        <is>
          <t>LEP_ZA_AUG26_PROG_RMKT_DYNAMIC</t>
        </is>
      </c>
      <c r="C89" s="78" t="inlineStr">
        <is>
          <t>55-64</t>
        </is>
      </c>
      <c r="D89" s="78" t="inlineStr">
        <is>
          <t>Male</t>
        </is>
      </c>
      <c r="E89" s="86" t="n">
        <v>1432.08</v>
      </c>
      <c r="F89" s="87" t="n">
        <v>44525</v>
      </c>
      <c r="G89" s="87" t="n">
        <v>146</v>
      </c>
      <c r="H89" s="89">
        <f>IFERROR(G89/F89,"")</f>
        <v/>
      </c>
      <c r="I89" s="90">
        <f>IFERROR(E89/G89,"")</f>
        <v/>
      </c>
      <c r="J89" s="90">
        <f>IFERROR(E89/F89*1000,"")</f>
        <v/>
      </c>
      <c r="K89" s="87" t="n">
        <v>93</v>
      </c>
      <c r="L89" s="18">
        <f>IFERROR(K89/G89,"")</f>
        <v/>
      </c>
      <c r="M89" s="87" t="n">
        <v>4</v>
      </c>
      <c r="N89" s="89">
        <f>IFERROR(M89/K89,"")</f>
        <v/>
      </c>
      <c r="O89" s="86">
        <f>IFERROR(E89/M89,"")</f>
        <v/>
      </c>
      <c r="P89" s="87" t="n">
        <v>2</v>
      </c>
      <c r="Q89" s="18">
        <f>IFERROR(P89/M89,"")</f>
        <v/>
      </c>
      <c r="R89" s="86">
        <f>IFERROR(E89/P89,"")</f>
        <v/>
      </c>
      <c r="S89" s="18">
        <f>IFERROR(E89/SUMIFS($E$5:$E$220,$A$5:$A$220,$A89),"")</f>
        <v/>
      </c>
      <c r="T89" s="18">
        <f>IFERROR(M89/SUMIFS($M$5:$M$220,$A$5:$A$220,$A89),"")</f>
        <v/>
      </c>
      <c r="U89" s="111">
        <f>IFERROR(O89/(SUMIFS($E$5:$E$220,$A$5:$A$220,$A89)/SUMIFS($M$5:$M$220,$A$5:$A$220,$A89)),"")</f>
        <v/>
      </c>
    </row>
    <row r="90">
      <c r="A90" s="6" t="inlineStr">
        <is>
          <t>Programmatic</t>
        </is>
      </c>
      <c r="B90" s="78" t="inlineStr">
        <is>
          <t>LEP_ZA_AUG26_PROG_RMKT_DYNAMIC</t>
        </is>
      </c>
      <c r="C90" s="78" t="inlineStr">
        <is>
          <t>55-64</t>
        </is>
      </c>
      <c r="D90" s="78" t="inlineStr">
        <is>
          <t>Female</t>
        </is>
      </c>
      <c r="E90" s="86" t="n">
        <v>1106.33</v>
      </c>
      <c r="F90" s="87" t="n">
        <v>34397</v>
      </c>
      <c r="G90" s="87" t="n">
        <v>103</v>
      </c>
      <c r="H90" s="89">
        <f>IFERROR(G90/F90,"")</f>
        <v/>
      </c>
      <c r="I90" s="90">
        <f>IFERROR(E90/G90,"")</f>
        <v/>
      </c>
      <c r="J90" s="90">
        <f>IFERROR(E90/F90*1000,"")</f>
        <v/>
      </c>
      <c r="K90" s="87" t="n">
        <v>66</v>
      </c>
      <c r="L90" s="18">
        <f>IFERROR(K90/G90,"")</f>
        <v/>
      </c>
      <c r="M90" s="87" t="n">
        <v>3</v>
      </c>
      <c r="N90" s="89">
        <f>IFERROR(M90/K90,"")</f>
        <v/>
      </c>
      <c r="O90" s="86">
        <f>IFERROR(E90/M90,"")</f>
        <v/>
      </c>
      <c r="P90" s="87" t="n">
        <v>2</v>
      </c>
      <c r="Q90" s="18">
        <f>IFERROR(P90/M90,"")</f>
        <v/>
      </c>
      <c r="R90" s="86">
        <f>IFERROR(E90/P90,"")</f>
        <v/>
      </c>
      <c r="S90" s="18">
        <f>IFERROR(E90/SUMIFS($E$5:$E$220,$A$5:$A$220,$A90),"")</f>
        <v/>
      </c>
      <c r="T90" s="18">
        <f>IFERROR(M90/SUMIFS($M$5:$M$220,$A$5:$A$220,$A90),"")</f>
        <v/>
      </c>
      <c r="U90" s="111">
        <f>IFERROR(O90/(SUMIFS($E$5:$E$220,$A$5:$A$220,$A90)/SUMIFS($M$5:$M$220,$A$5:$A$220,$A90)),"")</f>
        <v/>
      </c>
    </row>
    <row r="91">
      <c r="A91" s="6" t="inlineStr">
        <is>
          <t>Programmatic</t>
        </is>
      </c>
      <c r="B91" s="78" t="inlineStr">
        <is>
          <t>LEP_ZA_AUG26_PROG_RMKT_DYNAMIC</t>
        </is>
      </c>
      <c r="C91" s="78" t="inlineStr">
        <is>
          <t>55-64</t>
        </is>
      </c>
      <c r="D91" s="78" t="inlineStr">
        <is>
          <t>Unknown</t>
        </is>
      </c>
      <c r="E91" s="86" t="n">
        <v>199.74</v>
      </c>
      <c r="F91" s="87" t="n">
        <v>6210</v>
      </c>
      <c r="G91" s="87" t="n">
        <v>12</v>
      </c>
      <c r="H91" s="89">
        <f>IFERROR(G91/F91,"")</f>
        <v/>
      </c>
      <c r="I91" s="90">
        <f>IFERROR(E91/G91,"")</f>
        <v/>
      </c>
      <c r="J91" s="90">
        <f>IFERROR(E91/F91*1000,"")</f>
        <v/>
      </c>
      <c r="K91" s="87" t="n">
        <v>7</v>
      </c>
      <c r="L91" s="18">
        <f>IFERROR(K91/G91,"")</f>
        <v/>
      </c>
      <c r="M91" s="87" t="n">
        <v>0</v>
      </c>
      <c r="N91" s="89">
        <f>IFERROR(M91/K91,"")</f>
        <v/>
      </c>
      <c r="O91" s="86">
        <f>IFERROR(E91/M91,"")</f>
        <v/>
      </c>
      <c r="P91" s="87" t="n">
        <v>0</v>
      </c>
      <c r="Q91" s="18">
        <f>IFERROR(P91/M91,"")</f>
        <v/>
      </c>
      <c r="R91" s="86">
        <f>IFERROR(E91/P91,"")</f>
        <v/>
      </c>
      <c r="S91" s="18">
        <f>IFERROR(E91/SUMIFS($E$5:$E$220,$A$5:$A$220,$A91),"")</f>
        <v/>
      </c>
      <c r="T91" s="18">
        <f>IFERROR(M91/SUMIFS($M$5:$M$220,$A$5:$A$220,$A91),"")</f>
        <v/>
      </c>
      <c r="U91" s="111">
        <f>IFERROR(O91/(SUMIFS($E$5:$E$220,$A$5:$A$220,$A91)/SUMIFS($M$5:$M$220,$A$5:$A$220,$A91)),"")</f>
        <v/>
      </c>
    </row>
    <row r="92">
      <c r="A92" s="6" t="inlineStr">
        <is>
          <t>Programmatic</t>
        </is>
      </c>
      <c r="B92" s="78" t="inlineStr">
        <is>
          <t>LEP_ZA_AUG26_PROG_RMKT_DYNAMIC</t>
        </is>
      </c>
      <c r="C92" s="78" t="inlineStr">
        <is>
          <t>65+</t>
        </is>
      </c>
      <c r="D92" s="78" t="inlineStr">
        <is>
          <t>Male</t>
        </is>
      </c>
      <c r="E92" s="86" t="n">
        <v>700.9400000000001</v>
      </c>
      <c r="F92" s="87" t="n">
        <v>21793</v>
      </c>
      <c r="G92" s="87" t="n">
        <v>48</v>
      </c>
      <c r="H92" s="89">
        <f>IFERROR(G92/F92,"")</f>
        <v/>
      </c>
      <c r="I92" s="90">
        <f>IFERROR(E92/G92,"")</f>
        <v/>
      </c>
      <c r="J92" s="90">
        <f>IFERROR(E92/F92*1000,"")</f>
        <v/>
      </c>
      <c r="K92" s="87" t="n">
        <v>31</v>
      </c>
      <c r="L92" s="18">
        <f>IFERROR(K92/G92,"")</f>
        <v/>
      </c>
      <c r="M92" s="87" t="n">
        <v>1</v>
      </c>
      <c r="N92" s="89">
        <f>IFERROR(M92/K92,"")</f>
        <v/>
      </c>
      <c r="O92" s="86">
        <f>IFERROR(E92/M92,"")</f>
        <v/>
      </c>
      <c r="P92" s="87" t="n">
        <v>1</v>
      </c>
      <c r="Q92" s="18">
        <f>IFERROR(P92/M92,"")</f>
        <v/>
      </c>
      <c r="R92" s="86">
        <f>IFERROR(E92/P92,"")</f>
        <v/>
      </c>
      <c r="S92" s="18">
        <f>IFERROR(E92/SUMIFS($E$5:$E$220,$A$5:$A$220,$A92),"")</f>
        <v/>
      </c>
      <c r="T92" s="18">
        <f>IFERROR(M92/SUMIFS($M$5:$M$220,$A$5:$A$220,$A92),"")</f>
        <v/>
      </c>
      <c r="U92" s="111">
        <f>IFERROR(O92/(SUMIFS($E$5:$E$220,$A$5:$A$220,$A92)/SUMIFS($M$5:$M$220,$A$5:$A$220,$A92)),"")</f>
        <v/>
      </c>
    </row>
    <row r="93">
      <c r="A93" s="6" t="inlineStr">
        <is>
          <t>Programmatic</t>
        </is>
      </c>
      <c r="B93" s="78" t="inlineStr">
        <is>
          <t>LEP_ZA_AUG26_PROG_RMKT_DYNAMIC</t>
        </is>
      </c>
      <c r="C93" s="78" t="inlineStr">
        <is>
          <t>65+</t>
        </is>
      </c>
      <c r="D93" s="78" t="inlineStr">
        <is>
          <t>Female</t>
        </is>
      </c>
      <c r="E93" s="86" t="n">
        <v>485.16</v>
      </c>
      <c r="F93" s="87" t="n">
        <v>15084</v>
      </c>
      <c r="G93" s="87" t="n">
        <v>31</v>
      </c>
      <c r="H93" s="89">
        <f>IFERROR(G93/F93,"")</f>
        <v/>
      </c>
      <c r="I93" s="90">
        <f>IFERROR(E93/G93,"")</f>
        <v/>
      </c>
      <c r="J93" s="90">
        <f>IFERROR(E93/F93*1000,"")</f>
        <v/>
      </c>
      <c r="K93" s="87" t="n">
        <v>19</v>
      </c>
      <c r="L93" s="18">
        <f>IFERROR(K93/G93,"")</f>
        <v/>
      </c>
      <c r="M93" s="87" t="n">
        <v>1</v>
      </c>
      <c r="N93" s="89">
        <f>IFERROR(M93/K93,"")</f>
        <v/>
      </c>
      <c r="O93" s="86">
        <f>IFERROR(E93/M93,"")</f>
        <v/>
      </c>
      <c r="P93" s="87" t="n">
        <v>0</v>
      </c>
      <c r="Q93" s="18">
        <f>IFERROR(P93/M93,"")</f>
        <v/>
      </c>
      <c r="R93" s="86">
        <f>IFERROR(E93/P93,"")</f>
        <v/>
      </c>
      <c r="S93" s="18">
        <f>IFERROR(E93/SUMIFS($E$5:$E$220,$A$5:$A$220,$A93),"")</f>
        <v/>
      </c>
      <c r="T93" s="18">
        <f>IFERROR(M93/SUMIFS($M$5:$M$220,$A$5:$A$220,$A93),"")</f>
        <v/>
      </c>
      <c r="U93" s="111">
        <f>IFERROR(O93/(SUMIFS($E$5:$E$220,$A$5:$A$220,$A93)/SUMIFS($M$5:$M$220,$A$5:$A$220,$A93)),"")</f>
        <v/>
      </c>
    </row>
    <row r="94">
      <c r="A94" s="6" t="inlineStr">
        <is>
          <t>Programmatic</t>
        </is>
      </c>
      <c r="B94" s="78" t="inlineStr">
        <is>
          <t>LEP_ZA_AUG26_PROG_RMKT_DYNAMIC</t>
        </is>
      </c>
      <c r="C94" s="78" t="inlineStr">
        <is>
          <t>65+</t>
        </is>
      </c>
      <c r="D94" s="78" t="inlineStr">
        <is>
          <t>Unknown</t>
        </is>
      </c>
      <c r="E94" s="86" t="n">
        <v>84.33</v>
      </c>
      <c r="F94" s="87" t="n">
        <v>2622</v>
      </c>
      <c r="G94" s="87" t="n">
        <v>3</v>
      </c>
      <c r="H94" s="89">
        <f>IFERROR(G94/F94,"")</f>
        <v/>
      </c>
      <c r="I94" s="90">
        <f>IFERROR(E94/G94,"")</f>
        <v/>
      </c>
      <c r="J94" s="90">
        <f>IFERROR(E94/F94*1000,"")</f>
        <v/>
      </c>
      <c r="K94" s="87" t="n">
        <v>2</v>
      </c>
      <c r="L94" s="18">
        <f>IFERROR(K94/G94,"")</f>
        <v/>
      </c>
      <c r="M94" s="87" t="n">
        <v>0</v>
      </c>
      <c r="N94" s="89">
        <f>IFERROR(M94/K94,"")</f>
        <v/>
      </c>
      <c r="O94" s="86">
        <f>IFERROR(E94/M94,"")</f>
        <v/>
      </c>
      <c r="P94" s="87" t="n">
        <v>0</v>
      </c>
      <c r="Q94" s="18">
        <f>IFERROR(P94/M94,"")</f>
        <v/>
      </c>
      <c r="R94" s="86">
        <f>IFERROR(E94/P94,"")</f>
        <v/>
      </c>
      <c r="S94" s="18">
        <f>IFERROR(E94/SUMIFS($E$5:$E$220,$A$5:$A$220,$A94),"")</f>
        <v/>
      </c>
      <c r="T94" s="18">
        <f>IFERROR(M94/SUMIFS($M$5:$M$220,$A$5:$A$220,$A94),"")</f>
        <v/>
      </c>
      <c r="U94" s="111">
        <f>IFERROR(O94/(SUMIFS($E$5:$E$220,$A$5:$A$220,$A94)/SUMIFS($M$5:$M$220,$A$5:$A$220,$A94)),"")</f>
        <v/>
      </c>
    </row>
    <row r="95">
      <c r="A95" s="6" t="inlineStr">
        <is>
          <t>Programmatic</t>
        </is>
      </c>
      <c r="B95" s="78" t="inlineStr">
        <is>
          <t>LEP_ZA_AUG26_PROG_TD_PROSPECT_DISPLAY</t>
        </is>
      </c>
      <c r="C95" s="78" t="inlineStr">
        <is>
          <t>18-24</t>
        </is>
      </c>
      <c r="D95" s="78" t="inlineStr">
        <is>
          <t>Male</t>
        </is>
      </c>
      <c r="E95" s="86" t="n">
        <v>2371.99</v>
      </c>
      <c r="F95" s="87" t="n">
        <v>94561</v>
      </c>
      <c r="G95" s="87" t="n">
        <v>92</v>
      </c>
      <c r="H95" s="89">
        <f>IFERROR(G95/F95,"")</f>
        <v/>
      </c>
      <c r="I95" s="90">
        <f>IFERROR(E95/G95,"")</f>
        <v/>
      </c>
      <c r="J95" s="90">
        <f>IFERROR(E95/F95*1000,"")</f>
        <v/>
      </c>
      <c r="K95" s="87" t="n">
        <v>58</v>
      </c>
      <c r="L95" s="18">
        <f>IFERROR(K95/G95,"")</f>
        <v/>
      </c>
      <c r="M95" s="87" t="n">
        <v>1</v>
      </c>
      <c r="N95" s="89">
        <f>IFERROR(M95/K95,"")</f>
        <v/>
      </c>
      <c r="O95" s="86">
        <f>IFERROR(E95/M95,"")</f>
        <v/>
      </c>
      <c r="P95" s="87" t="n">
        <v>1</v>
      </c>
      <c r="Q95" s="18">
        <f>IFERROR(P95/M95,"")</f>
        <v/>
      </c>
      <c r="R95" s="86">
        <f>IFERROR(E95/P95,"")</f>
        <v/>
      </c>
      <c r="S95" s="18">
        <f>IFERROR(E95/SUMIFS($E$5:$E$220,$A$5:$A$220,$A95),"")</f>
        <v/>
      </c>
      <c r="T95" s="18">
        <f>IFERROR(M95/SUMIFS($M$5:$M$220,$A$5:$A$220,$A95),"")</f>
        <v/>
      </c>
      <c r="U95" s="111">
        <f>IFERROR(O95/(SUMIFS($E$5:$E$220,$A$5:$A$220,$A95)/SUMIFS($M$5:$M$220,$A$5:$A$220,$A95)),"")</f>
        <v/>
      </c>
    </row>
    <row r="96">
      <c r="A96" s="6" t="inlineStr">
        <is>
          <t>Programmatic</t>
        </is>
      </c>
      <c r="B96" s="78" t="inlineStr">
        <is>
          <t>LEP_ZA_AUG26_PROG_TD_PROSPECT_DISPLAY</t>
        </is>
      </c>
      <c r="C96" s="78" t="inlineStr">
        <is>
          <t>18-24</t>
        </is>
      </c>
      <c r="D96" s="78" t="inlineStr">
        <is>
          <t>Female</t>
        </is>
      </c>
      <c r="E96" s="86" t="n">
        <v>1925.17</v>
      </c>
      <c r="F96" s="87" t="n">
        <v>76748</v>
      </c>
      <c r="G96" s="87" t="n">
        <v>68</v>
      </c>
      <c r="H96" s="89">
        <f>IFERROR(G96/F96,"")</f>
        <v/>
      </c>
      <c r="I96" s="90">
        <f>IFERROR(E96/G96,"")</f>
        <v/>
      </c>
      <c r="J96" s="90">
        <f>IFERROR(E96/F96*1000,"")</f>
        <v/>
      </c>
      <c r="K96" s="87" t="n">
        <v>43</v>
      </c>
      <c r="L96" s="18">
        <f>IFERROR(K96/G96,"")</f>
        <v/>
      </c>
      <c r="M96" s="87" t="n">
        <v>1</v>
      </c>
      <c r="N96" s="89">
        <f>IFERROR(M96/K96,"")</f>
        <v/>
      </c>
      <c r="O96" s="86">
        <f>IFERROR(E96/M96,"")</f>
        <v/>
      </c>
      <c r="P96" s="87" t="n">
        <v>0</v>
      </c>
      <c r="Q96" s="18">
        <f>IFERROR(P96/M96,"")</f>
        <v/>
      </c>
      <c r="R96" s="86">
        <f>IFERROR(E96/P96,"")</f>
        <v/>
      </c>
      <c r="S96" s="18">
        <f>IFERROR(E96/SUMIFS($E$5:$E$220,$A$5:$A$220,$A96),"")</f>
        <v/>
      </c>
      <c r="T96" s="18">
        <f>IFERROR(M96/SUMIFS($M$5:$M$220,$A$5:$A$220,$A96),"")</f>
        <v/>
      </c>
      <c r="U96" s="111">
        <f>IFERROR(O96/(SUMIFS($E$5:$E$220,$A$5:$A$220,$A96)/SUMIFS($M$5:$M$220,$A$5:$A$220,$A96)),"")</f>
        <v/>
      </c>
    </row>
    <row r="97">
      <c r="A97" s="6" t="inlineStr">
        <is>
          <t>Programmatic</t>
        </is>
      </c>
      <c r="B97" s="78" t="inlineStr">
        <is>
          <t>LEP_ZA_AUG26_PROG_TD_PROSPECT_DISPLAY</t>
        </is>
      </c>
      <c r="C97" s="78" t="inlineStr">
        <is>
          <t>18-24</t>
        </is>
      </c>
      <c r="D97" s="78" t="inlineStr">
        <is>
          <t>Unknown</t>
        </is>
      </c>
      <c r="E97" s="86" t="n">
        <v>292.02</v>
      </c>
      <c r="F97" s="87" t="n">
        <v>11642</v>
      </c>
      <c r="G97" s="87" t="n">
        <v>7</v>
      </c>
      <c r="H97" s="89">
        <f>IFERROR(G97/F97,"")</f>
        <v/>
      </c>
      <c r="I97" s="90">
        <f>IFERROR(E97/G97,"")</f>
        <v/>
      </c>
      <c r="J97" s="90">
        <f>IFERROR(E97/F97*1000,"")</f>
        <v/>
      </c>
      <c r="K97" s="87" t="n">
        <v>4</v>
      </c>
      <c r="L97" s="18">
        <f>IFERROR(K97/G97,"")</f>
        <v/>
      </c>
      <c r="M97" s="87" t="n">
        <v>0</v>
      </c>
      <c r="N97" s="89">
        <f>IFERROR(M97/K97,"")</f>
        <v/>
      </c>
      <c r="O97" s="86">
        <f>IFERROR(E97/M97,"")</f>
        <v/>
      </c>
      <c r="P97" s="87" t="n">
        <v>0</v>
      </c>
      <c r="Q97" s="18">
        <f>IFERROR(P97/M97,"")</f>
        <v/>
      </c>
      <c r="R97" s="86">
        <f>IFERROR(E97/P97,"")</f>
        <v/>
      </c>
      <c r="S97" s="18">
        <f>IFERROR(E97/SUMIFS($E$5:$E$220,$A$5:$A$220,$A97),"")</f>
        <v/>
      </c>
      <c r="T97" s="18">
        <f>IFERROR(M97/SUMIFS($M$5:$M$220,$A$5:$A$220,$A97),"")</f>
        <v/>
      </c>
      <c r="U97" s="111">
        <f>IFERROR(O97/(SUMIFS($E$5:$E$220,$A$5:$A$220,$A97)/SUMIFS($M$5:$M$220,$A$5:$A$220,$A97)),"")</f>
        <v/>
      </c>
    </row>
    <row r="98">
      <c r="A98" s="6" t="inlineStr">
        <is>
          <t>Programmatic</t>
        </is>
      </c>
      <c r="B98" s="78" t="inlineStr">
        <is>
          <t>LEP_ZA_AUG26_PROG_TD_PROSPECT_DISPLAY</t>
        </is>
      </c>
      <c r="C98" s="78" t="inlineStr">
        <is>
          <t>25-34</t>
        </is>
      </c>
      <c r="D98" s="78" t="inlineStr">
        <is>
          <t>Male</t>
        </is>
      </c>
      <c r="E98" s="86" t="n">
        <v>6435.35</v>
      </c>
      <c r="F98" s="87" t="n">
        <v>256549</v>
      </c>
      <c r="G98" s="87" t="n">
        <v>394</v>
      </c>
      <c r="H98" s="89">
        <f>IFERROR(G98/F98,"")</f>
        <v/>
      </c>
      <c r="I98" s="90">
        <f>IFERROR(E98/G98,"")</f>
        <v/>
      </c>
      <c r="J98" s="90">
        <f>IFERROR(E98/F98*1000,"")</f>
        <v/>
      </c>
      <c r="K98" s="87" t="n">
        <v>250</v>
      </c>
      <c r="L98" s="18">
        <f>IFERROR(K98/G98,"")</f>
        <v/>
      </c>
      <c r="M98" s="87" t="n">
        <v>5</v>
      </c>
      <c r="N98" s="89">
        <f>IFERROR(M98/K98,"")</f>
        <v/>
      </c>
      <c r="O98" s="86">
        <f>IFERROR(E98/M98,"")</f>
        <v/>
      </c>
      <c r="P98" s="87" t="n">
        <v>2</v>
      </c>
      <c r="Q98" s="18">
        <f>IFERROR(P98/M98,"")</f>
        <v/>
      </c>
      <c r="R98" s="86">
        <f>IFERROR(E98/P98,"")</f>
        <v/>
      </c>
      <c r="S98" s="18">
        <f>IFERROR(E98/SUMIFS($E$5:$E$220,$A$5:$A$220,$A98),"")</f>
        <v/>
      </c>
      <c r="T98" s="18">
        <f>IFERROR(M98/SUMIFS($M$5:$M$220,$A$5:$A$220,$A98),"")</f>
        <v/>
      </c>
      <c r="U98" s="111">
        <f>IFERROR(O98/(SUMIFS($E$5:$E$220,$A$5:$A$220,$A98)/SUMIFS($M$5:$M$220,$A$5:$A$220,$A98)),"")</f>
        <v/>
      </c>
    </row>
    <row r="99">
      <c r="A99" s="6" t="inlineStr">
        <is>
          <t>Programmatic</t>
        </is>
      </c>
      <c r="B99" s="78" t="inlineStr">
        <is>
          <t>LEP_ZA_AUG26_PROG_TD_PROSPECT_DISPLAY</t>
        </is>
      </c>
      <c r="C99" s="78" t="inlineStr">
        <is>
          <t>25-34</t>
        </is>
      </c>
      <c r="D99" s="78" t="inlineStr">
        <is>
          <t>Female</t>
        </is>
      </c>
      <c r="E99" s="86" t="n">
        <v>3862.06</v>
      </c>
      <c r="F99" s="87" t="n">
        <v>153963</v>
      </c>
      <c r="G99" s="87" t="n">
        <v>217</v>
      </c>
      <c r="H99" s="89">
        <f>IFERROR(G99/F99,"")</f>
        <v/>
      </c>
      <c r="I99" s="90">
        <f>IFERROR(E99/G99,"")</f>
        <v/>
      </c>
      <c r="J99" s="90">
        <f>IFERROR(E99/F99*1000,"")</f>
        <v/>
      </c>
      <c r="K99" s="87" t="n">
        <v>137</v>
      </c>
      <c r="L99" s="18">
        <f>IFERROR(K99/G99,"")</f>
        <v/>
      </c>
      <c r="M99" s="87" t="n">
        <v>3</v>
      </c>
      <c r="N99" s="89">
        <f>IFERROR(M99/K99,"")</f>
        <v/>
      </c>
      <c r="O99" s="86">
        <f>IFERROR(E99/M99,"")</f>
        <v/>
      </c>
      <c r="P99" s="87" t="n">
        <v>1</v>
      </c>
      <c r="Q99" s="18">
        <f>IFERROR(P99/M99,"")</f>
        <v/>
      </c>
      <c r="R99" s="86">
        <f>IFERROR(E99/P99,"")</f>
        <v/>
      </c>
      <c r="S99" s="18">
        <f>IFERROR(E99/SUMIFS($E$5:$E$220,$A$5:$A$220,$A99),"")</f>
        <v/>
      </c>
      <c r="T99" s="18">
        <f>IFERROR(M99/SUMIFS($M$5:$M$220,$A$5:$A$220,$A99),"")</f>
        <v/>
      </c>
      <c r="U99" s="111">
        <f>IFERROR(O99/(SUMIFS($E$5:$E$220,$A$5:$A$220,$A99)/SUMIFS($M$5:$M$220,$A$5:$A$220,$A99)),"")</f>
        <v/>
      </c>
    </row>
    <row r="100">
      <c r="A100" s="6" t="inlineStr">
        <is>
          <t>Programmatic</t>
        </is>
      </c>
      <c r="B100" s="78" t="inlineStr">
        <is>
          <t>LEP_ZA_AUG26_PROG_TD_PROSPECT_DISPLAY</t>
        </is>
      </c>
      <c r="C100" s="78" t="inlineStr">
        <is>
          <t>25-34</t>
        </is>
      </c>
      <c r="D100" s="78" t="inlineStr">
        <is>
          <t>Unknown</t>
        </is>
      </c>
      <c r="E100" s="86" t="n">
        <v>793.24</v>
      </c>
      <c r="F100" s="87" t="n">
        <v>31623</v>
      </c>
      <c r="G100" s="87" t="n">
        <v>28</v>
      </c>
      <c r="H100" s="89">
        <f>IFERROR(G100/F100,"")</f>
        <v/>
      </c>
      <c r="I100" s="90">
        <f>IFERROR(E100/G100,"")</f>
        <v/>
      </c>
      <c r="J100" s="90">
        <f>IFERROR(E100/F100*1000,"")</f>
        <v/>
      </c>
      <c r="K100" s="87" t="n">
        <v>18</v>
      </c>
      <c r="L100" s="18">
        <f>IFERROR(K100/G100,"")</f>
        <v/>
      </c>
      <c r="M100" s="87" t="n">
        <v>0</v>
      </c>
      <c r="N100" s="89">
        <f>IFERROR(M100/K100,"")</f>
        <v/>
      </c>
      <c r="O100" s="86">
        <f>IFERROR(E100/M100,"")</f>
        <v/>
      </c>
      <c r="P100" s="87" t="n">
        <v>0</v>
      </c>
      <c r="Q100" s="18">
        <f>IFERROR(P100/M100,"")</f>
        <v/>
      </c>
      <c r="R100" s="86">
        <f>IFERROR(E100/P100,"")</f>
        <v/>
      </c>
      <c r="S100" s="18">
        <f>IFERROR(E100/SUMIFS($E$5:$E$220,$A$5:$A$220,$A100),"")</f>
        <v/>
      </c>
      <c r="T100" s="18">
        <f>IFERROR(M100/SUMIFS($M$5:$M$220,$A$5:$A$220,$A100),"")</f>
        <v/>
      </c>
      <c r="U100" s="111">
        <f>IFERROR(O100/(SUMIFS($E$5:$E$220,$A$5:$A$220,$A100)/SUMIFS($M$5:$M$220,$A$5:$A$220,$A100)),"")</f>
        <v/>
      </c>
    </row>
    <row r="101">
      <c r="A101" s="6" t="inlineStr">
        <is>
          <t>Programmatic</t>
        </is>
      </c>
      <c r="B101" s="78" t="inlineStr">
        <is>
          <t>LEP_ZA_AUG26_PROG_TD_PROSPECT_DISPLAY</t>
        </is>
      </c>
      <c r="C101" s="78" t="inlineStr">
        <is>
          <t>35-44</t>
        </is>
      </c>
      <c r="D101" s="78" t="inlineStr">
        <is>
          <t>Male</t>
        </is>
      </c>
      <c r="E101" s="86" t="n">
        <v>6122.38</v>
      </c>
      <c r="F101" s="87" t="n">
        <v>244072</v>
      </c>
      <c r="G101" s="87" t="n">
        <v>522</v>
      </c>
      <c r="H101" s="89">
        <f>IFERROR(G101/F101,"")</f>
        <v/>
      </c>
      <c r="I101" s="90">
        <f>IFERROR(E101/G101,"")</f>
        <v/>
      </c>
      <c r="J101" s="90">
        <f>IFERROR(E101/F101*1000,"")</f>
        <v/>
      </c>
      <c r="K101" s="87" t="n">
        <v>331</v>
      </c>
      <c r="L101" s="18">
        <f>IFERROR(K101/G101,"")</f>
        <v/>
      </c>
      <c r="M101" s="87" t="n">
        <v>6</v>
      </c>
      <c r="N101" s="89">
        <f>IFERROR(M101/K101,"")</f>
        <v/>
      </c>
      <c r="O101" s="86">
        <f>IFERROR(E101/M101,"")</f>
        <v/>
      </c>
      <c r="P101" s="87" t="n">
        <v>3</v>
      </c>
      <c r="Q101" s="18">
        <f>IFERROR(P101/M101,"")</f>
        <v/>
      </c>
      <c r="R101" s="86">
        <f>IFERROR(E101/P101,"")</f>
        <v/>
      </c>
      <c r="S101" s="18">
        <f>IFERROR(E101/SUMIFS($E$5:$E$220,$A$5:$A$220,$A101),"")</f>
        <v/>
      </c>
      <c r="T101" s="18">
        <f>IFERROR(M101/SUMIFS($M$5:$M$220,$A$5:$A$220,$A101),"")</f>
        <v/>
      </c>
      <c r="U101" s="111">
        <f>IFERROR(O101/(SUMIFS($E$5:$E$220,$A$5:$A$220,$A101)/SUMIFS($M$5:$M$220,$A$5:$A$220,$A101)),"")</f>
        <v/>
      </c>
    </row>
    <row r="102">
      <c r="A102" s="6" t="inlineStr">
        <is>
          <t>Programmatic</t>
        </is>
      </c>
      <c r="B102" s="78" t="inlineStr">
        <is>
          <t>LEP_ZA_AUG26_PROG_TD_PROSPECT_DISPLAY</t>
        </is>
      </c>
      <c r="C102" s="78" t="inlineStr">
        <is>
          <t>35-44</t>
        </is>
      </c>
      <c r="D102" s="78" t="inlineStr">
        <is>
          <t>Female</t>
        </is>
      </c>
      <c r="E102" s="86" t="n">
        <v>4079.1</v>
      </c>
      <c r="F102" s="87" t="n">
        <v>162616</v>
      </c>
      <c r="G102" s="87" t="n">
        <v>318</v>
      </c>
      <c r="H102" s="89">
        <f>IFERROR(G102/F102,"")</f>
        <v/>
      </c>
      <c r="I102" s="90">
        <f>IFERROR(E102/G102,"")</f>
        <v/>
      </c>
      <c r="J102" s="90">
        <f>IFERROR(E102/F102*1000,"")</f>
        <v/>
      </c>
      <c r="K102" s="87" t="n">
        <v>202</v>
      </c>
      <c r="L102" s="18">
        <f>IFERROR(K102/G102,"")</f>
        <v/>
      </c>
      <c r="M102" s="87" t="n">
        <v>4</v>
      </c>
      <c r="N102" s="89">
        <f>IFERROR(M102/K102,"")</f>
        <v/>
      </c>
      <c r="O102" s="86">
        <f>IFERROR(E102/M102,"")</f>
        <v/>
      </c>
      <c r="P102" s="87" t="n">
        <v>2</v>
      </c>
      <c r="Q102" s="18">
        <f>IFERROR(P102/M102,"")</f>
        <v/>
      </c>
      <c r="R102" s="86">
        <f>IFERROR(E102/P102,"")</f>
        <v/>
      </c>
      <c r="S102" s="18">
        <f>IFERROR(E102/SUMIFS($E$5:$E$220,$A$5:$A$220,$A102),"")</f>
        <v/>
      </c>
      <c r="T102" s="18">
        <f>IFERROR(M102/SUMIFS($M$5:$M$220,$A$5:$A$220,$A102),"")</f>
        <v/>
      </c>
      <c r="U102" s="111">
        <f>IFERROR(O102/(SUMIFS($E$5:$E$220,$A$5:$A$220,$A102)/SUMIFS($M$5:$M$220,$A$5:$A$220,$A102)),"")</f>
        <v/>
      </c>
    </row>
    <row r="103">
      <c r="A103" s="6" t="inlineStr">
        <is>
          <t>Programmatic</t>
        </is>
      </c>
      <c r="B103" s="78" t="inlineStr">
        <is>
          <t>LEP_ZA_AUG26_PROG_TD_PROSPECT_DISPLAY</t>
        </is>
      </c>
      <c r="C103" s="78" t="inlineStr">
        <is>
          <t>35-44</t>
        </is>
      </c>
      <c r="D103" s="78" t="inlineStr">
        <is>
          <t>Unknown</t>
        </is>
      </c>
      <c r="E103" s="86" t="n">
        <v>749.87</v>
      </c>
      <c r="F103" s="87" t="n">
        <v>29894</v>
      </c>
      <c r="G103" s="87" t="n">
        <v>37</v>
      </c>
      <c r="H103" s="89">
        <f>IFERROR(G103/F103,"")</f>
        <v/>
      </c>
      <c r="I103" s="90">
        <f>IFERROR(E103/G103,"")</f>
        <v/>
      </c>
      <c r="J103" s="90">
        <f>IFERROR(E103/F103*1000,"")</f>
        <v/>
      </c>
      <c r="K103" s="87" t="n">
        <v>24</v>
      </c>
      <c r="L103" s="18">
        <f>IFERROR(K103/G103,"")</f>
        <v/>
      </c>
      <c r="M103" s="87" t="n">
        <v>0</v>
      </c>
      <c r="N103" s="89">
        <f>IFERROR(M103/K103,"")</f>
        <v/>
      </c>
      <c r="O103" s="86">
        <f>IFERROR(E103/M103,"")</f>
        <v/>
      </c>
      <c r="P103" s="87" t="n">
        <v>0</v>
      </c>
      <c r="Q103" s="18">
        <f>IFERROR(P103/M103,"")</f>
        <v/>
      </c>
      <c r="R103" s="86">
        <f>IFERROR(E103/P103,"")</f>
        <v/>
      </c>
      <c r="S103" s="18">
        <f>IFERROR(E103/SUMIFS($E$5:$E$220,$A$5:$A$220,$A103),"")</f>
        <v/>
      </c>
      <c r="T103" s="18">
        <f>IFERROR(M103/SUMIFS($M$5:$M$220,$A$5:$A$220,$A103),"")</f>
        <v/>
      </c>
      <c r="U103" s="111">
        <f>IFERROR(O103/(SUMIFS($E$5:$E$220,$A$5:$A$220,$A103)/SUMIFS($M$5:$M$220,$A$5:$A$220,$A103)),"")</f>
        <v/>
      </c>
    </row>
    <row r="104">
      <c r="A104" s="6" t="inlineStr">
        <is>
          <t>Programmatic</t>
        </is>
      </c>
      <c r="B104" s="78" t="inlineStr">
        <is>
          <t>LEP_ZA_AUG26_PROG_TD_PROSPECT_DISPLAY</t>
        </is>
      </c>
      <c r="C104" s="78" t="inlineStr">
        <is>
          <t>45-54</t>
        </is>
      </c>
      <c r="D104" s="78" t="inlineStr">
        <is>
          <t>Male</t>
        </is>
      </c>
      <c r="E104" s="86" t="n">
        <v>4871.45</v>
      </c>
      <c r="F104" s="87" t="n">
        <v>194203</v>
      </c>
      <c r="G104" s="87" t="n">
        <v>435</v>
      </c>
      <c r="H104" s="89">
        <f>IFERROR(G104/F104,"")</f>
        <v/>
      </c>
      <c r="I104" s="90">
        <f>IFERROR(E104/G104,"")</f>
        <v/>
      </c>
      <c r="J104" s="90">
        <f>IFERROR(E104/F104*1000,"")</f>
        <v/>
      </c>
      <c r="K104" s="87" t="n">
        <v>275</v>
      </c>
      <c r="L104" s="18">
        <f>IFERROR(K104/G104,"")</f>
        <v/>
      </c>
      <c r="M104" s="87" t="n">
        <v>5</v>
      </c>
      <c r="N104" s="89">
        <f>IFERROR(M104/K104,"")</f>
        <v/>
      </c>
      <c r="O104" s="86">
        <f>IFERROR(E104/M104,"")</f>
        <v/>
      </c>
      <c r="P104" s="87" t="n">
        <v>3</v>
      </c>
      <c r="Q104" s="18">
        <f>IFERROR(P104/M104,"")</f>
        <v/>
      </c>
      <c r="R104" s="86">
        <f>IFERROR(E104/P104,"")</f>
        <v/>
      </c>
      <c r="S104" s="18">
        <f>IFERROR(E104/SUMIFS($E$5:$E$220,$A$5:$A$220,$A104),"")</f>
        <v/>
      </c>
      <c r="T104" s="18">
        <f>IFERROR(M104/SUMIFS($M$5:$M$220,$A$5:$A$220,$A104),"")</f>
        <v/>
      </c>
      <c r="U104" s="111">
        <f>IFERROR(O104/(SUMIFS($E$5:$E$220,$A$5:$A$220,$A104)/SUMIFS($M$5:$M$220,$A$5:$A$220,$A104)),"")</f>
        <v/>
      </c>
    </row>
    <row r="105">
      <c r="A105" s="6" t="inlineStr">
        <is>
          <t>Programmatic</t>
        </is>
      </c>
      <c r="B105" s="78" t="inlineStr">
        <is>
          <t>LEP_ZA_AUG26_PROG_TD_PROSPECT_DISPLAY</t>
        </is>
      </c>
      <c r="C105" s="78" t="inlineStr">
        <is>
          <t>45-54</t>
        </is>
      </c>
      <c r="D105" s="78" t="inlineStr">
        <is>
          <t>Female</t>
        </is>
      </c>
      <c r="E105" s="86" t="n">
        <v>3118.2</v>
      </c>
      <c r="F105" s="87" t="n">
        <v>124309</v>
      </c>
      <c r="G105" s="87" t="n">
        <v>255</v>
      </c>
      <c r="H105" s="89">
        <f>IFERROR(G105/F105,"")</f>
        <v/>
      </c>
      <c r="I105" s="90">
        <f>IFERROR(E105/G105,"")</f>
        <v/>
      </c>
      <c r="J105" s="90">
        <f>IFERROR(E105/F105*1000,"")</f>
        <v/>
      </c>
      <c r="K105" s="87" t="n">
        <v>161</v>
      </c>
      <c r="L105" s="18">
        <f>IFERROR(K105/G105,"")</f>
        <v/>
      </c>
      <c r="M105" s="87" t="n">
        <v>3</v>
      </c>
      <c r="N105" s="89">
        <f>IFERROR(M105/K105,"")</f>
        <v/>
      </c>
      <c r="O105" s="86">
        <f>IFERROR(E105/M105,"")</f>
        <v/>
      </c>
      <c r="P105" s="87" t="n">
        <v>2</v>
      </c>
      <c r="Q105" s="18">
        <f>IFERROR(P105/M105,"")</f>
        <v/>
      </c>
      <c r="R105" s="86">
        <f>IFERROR(E105/P105,"")</f>
        <v/>
      </c>
      <c r="S105" s="18">
        <f>IFERROR(E105/SUMIFS($E$5:$E$220,$A$5:$A$220,$A105),"")</f>
        <v/>
      </c>
      <c r="T105" s="18">
        <f>IFERROR(M105/SUMIFS($M$5:$M$220,$A$5:$A$220,$A105),"")</f>
        <v/>
      </c>
      <c r="U105" s="111">
        <f>IFERROR(O105/(SUMIFS($E$5:$E$220,$A$5:$A$220,$A105)/SUMIFS($M$5:$M$220,$A$5:$A$220,$A105)),"")</f>
        <v/>
      </c>
    </row>
    <row r="106">
      <c r="A106" s="6" t="inlineStr">
        <is>
          <t>Programmatic</t>
        </is>
      </c>
      <c r="B106" s="78" t="inlineStr">
        <is>
          <t>LEP_ZA_AUG26_PROG_TD_PROSPECT_DISPLAY</t>
        </is>
      </c>
      <c r="C106" s="78" t="inlineStr">
        <is>
          <t>45-54</t>
        </is>
      </c>
      <c r="D106" s="78" t="inlineStr">
        <is>
          <t>Unknown</t>
        </is>
      </c>
      <c r="E106" s="86" t="n">
        <v>543.66</v>
      </c>
      <c r="F106" s="87" t="n">
        <v>21673</v>
      </c>
      <c r="G106" s="87" t="n">
        <v>28</v>
      </c>
      <c r="H106" s="89">
        <f>IFERROR(G106/F106,"")</f>
        <v/>
      </c>
      <c r="I106" s="90">
        <f>IFERROR(E106/G106,"")</f>
        <v/>
      </c>
      <c r="J106" s="90">
        <f>IFERROR(E106/F106*1000,"")</f>
        <v/>
      </c>
      <c r="K106" s="87" t="n">
        <v>18</v>
      </c>
      <c r="L106" s="18">
        <f>IFERROR(K106/G106,"")</f>
        <v/>
      </c>
      <c r="M106" s="87" t="n">
        <v>0</v>
      </c>
      <c r="N106" s="89">
        <f>IFERROR(M106/K106,"")</f>
        <v/>
      </c>
      <c r="O106" s="86">
        <f>IFERROR(E106/M106,"")</f>
        <v/>
      </c>
      <c r="P106" s="87" t="n">
        <v>0</v>
      </c>
      <c r="Q106" s="18">
        <f>IFERROR(P106/M106,"")</f>
        <v/>
      </c>
      <c r="R106" s="86">
        <f>IFERROR(E106/P106,"")</f>
        <v/>
      </c>
      <c r="S106" s="18">
        <f>IFERROR(E106/SUMIFS($E$5:$E$220,$A$5:$A$220,$A106),"")</f>
        <v/>
      </c>
      <c r="T106" s="18">
        <f>IFERROR(M106/SUMIFS($M$5:$M$220,$A$5:$A$220,$A106),"")</f>
        <v/>
      </c>
      <c r="U106" s="111">
        <f>IFERROR(O106/(SUMIFS($E$5:$E$220,$A$5:$A$220,$A106)/SUMIFS($M$5:$M$220,$A$5:$A$220,$A106)),"")</f>
        <v/>
      </c>
    </row>
    <row r="107">
      <c r="A107" s="6" t="inlineStr">
        <is>
          <t>Programmatic</t>
        </is>
      </c>
      <c r="B107" s="78" t="inlineStr">
        <is>
          <t>LEP_ZA_AUG26_PROG_TD_PROSPECT_DISPLAY</t>
        </is>
      </c>
      <c r="C107" s="78" t="inlineStr">
        <is>
          <t>55-64</t>
        </is>
      </c>
      <c r="D107" s="78" t="inlineStr">
        <is>
          <t>Male</t>
        </is>
      </c>
      <c r="E107" s="86" t="n">
        <v>2595.99</v>
      </c>
      <c r="F107" s="87" t="n">
        <v>103491</v>
      </c>
      <c r="G107" s="87" t="n">
        <v>182</v>
      </c>
      <c r="H107" s="89">
        <f>IFERROR(G107/F107,"")</f>
        <v/>
      </c>
      <c r="I107" s="90">
        <f>IFERROR(E107/G107,"")</f>
        <v/>
      </c>
      <c r="J107" s="90">
        <f>IFERROR(E107/F107*1000,"")</f>
        <v/>
      </c>
      <c r="K107" s="87" t="n">
        <v>115</v>
      </c>
      <c r="L107" s="18">
        <f>IFERROR(K107/G107,"")</f>
        <v/>
      </c>
      <c r="M107" s="87" t="n">
        <v>2</v>
      </c>
      <c r="N107" s="89">
        <f>IFERROR(M107/K107,"")</f>
        <v/>
      </c>
      <c r="O107" s="86">
        <f>IFERROR(E107/M107,"")</f>
        <v/>
      </c>
      <c r="P107" s="87" t="n">
        <v>1</v>
      </c>
      <c r="Q107" s="18">
        <f>IFERROR(P107/M107,"")</f>
        <v/>
      </c>
      <c r="R107" s="86">
        <f>IFERROR(E107/P107,"")</f>
        <v/>
      </c>
      <c r="S107" s="18">
        <f>IFERROR(E107/SUMIFS($E$5:$E$220,$A$5:$A$220,$A107),"")</f>
        <v/>
      </c>
      <c r="T107" s="18">
        <f>IFERROR(M107/SUMIFS($M$5:$M$220,$A$5:$A$220,$A107),"")</f>
        <v/>
      </c>
      <c r="U107" s="111">
        <f>IFERROR(O107/(SUMIFS($E$5:$E$220,$A$5:$A$220,$A107)/SUMIFS($M$5:$M$220,$A$5:$A$220,$A107)),"")</f>
        <v/>
      </c>
    </row>
    <row r="108">
      <c r="A108" s="6" t="inlineStr">
        <is>
          <t>Programmatic</t>
        </is>
      </c>
      <c r="B108" s="78" t="inlineStr">
        <is>
          <t>LEP_ZA_AUG26_PROG_TD_PROSPECT_DISPLAY</t>
        </is>
      </c>
      <c r="C108" s="78" t="inlineStr">
        <is>
          <t>55-64</t>
        </is>
      </c>
      <c r="D108" s="78" t="inlineStr">
        <is>
          <t>Female</t>
        </is>
      </c>
      <c r="E108" s="86" t="n">
        <v>1860.85</v>
      </c>
      <c r="F108" s="87" t="n">
        <v>74184</v>
      </c>
      <c r="G108" s="87" t="n">
        <v>119</v>
      </c>
      <c r="H108" s="89">
        <f>IFERROR(G108/F108,"")</f>
        <v/>
      </c>
      <c r="I108" s="90">
        <f>IFERROR(E108/G108,"")</f>
        <v/>
      </c>
      <c r="J108" s="90">
        <f>IFERROR(E108/F108*1000,"")</f>
        <v/>
      </c>
      <c r="K108" s="87" t="n">
        <v>75</v>
      </c>
      <c r="L108" s="18">
        <f>IFERROR(K108/G108,"")</f>
        <v/>
      </c>
      <c r="M108" s="87" t="n">
        <v>1</v>
      </c>
      <c r="N108" s="89">
        <f>IFERROR(M108/K108,"")</f>
        <v/>
      </c>
      <c r="O108" s="86">
        <f>IFERROR(E108/M108,"")</f>
        <v/>
      </c>
      <c r="P108" s="87" t="n">
        <v>1</v>
      </c>
      <c r="Q108" s="18">
        <f>IFERROR(P108/M108,"")</f>
        <v/>
      </c>
      <c r="R108" s="86">
        <f>IFERROR(E108/P108,"")</f>
        <v/>
      </c>
      <c r="S108" s="18">
        <f>IFERROR(E108/SUMIFS($E$5:$E$220,$A$5:$A$220,$A108),"")</f>
        <v/>
      </c>
      <c r="T108" s="18">
        <f>IFERROR(M108/SUMIFS($M$5:$M$220,$A$5:$A$220,$A108),"")</f>
        <v/>
      </c>
      <c r="U108" s="111">
        <f>IFERROR(O108/(SUMIFS($E$5:$E$220,$A$5:$A$220,$A108)/SUMIFS($M$5:$M$220,$A$5:$A$220,$A108)),"")</f>
        <v/>
      </c>
    </row>
    <row r="109">
      <c r="A109" s="6" t="inlineStr">
        <is>
          <t>Programmatic</t>
        </is>
      </c>
      <c r="B109" s="78" t="inlineStr">
        <is>
          <t>LEP_ZA_AUG26_PROG_TD_PROSPECT_DISPLAY</t>
        </is>
      </c>
      <c r="C109" s="78" t="inlineStr">
        <is>
          <t>55-64</t>
        </is>
      </c>
      <c r="D109" s="78" t="inlineStr">
        <is>
          <t>Unknown</t>
        </is>
      </c>
      <c r="E109" s="86" t="n">
        <v>350.02</v>
      </c>
      <c r="F109" s="87" t="n">
        <v>13954</v>
      </c>
      <c r="G109" s="87" t="n">
        <v>14</v>
      </c>
      <c r="H109" s="89">
        <f>IFERROR(G109/F109,"")</f>
        <v/>
      </c>
      <c r="I109" s="90">
        <f>IFERROR(E109/G109,"")</f>
        <v/>
      </c>
      <c r="J109" s="90">
        <f>IFERROR(E109/F109*1000,"")</f>
        <v/>
      </c>
      <c r="K109" s="87" t="n">
        <v>9</v>
      </c>
      <c r="L109" s="18">
        <f>IFERROR(K109/G109,"")</f>
        <v/>
      </c>
      <c r="M109" s="87" t="n">
        <v>0</v>
      </c>
      <c r="N109" s="89">
        <f>IFERROR(M109/K109,"")</f>
        <v/>
      </c>
      <c r="O109" s="86">
        <f>IFERROR(E109/M109,"")</f>
        <v/>
      </c>
      <c r="P109" s="87" t="n">
        <v>0</v>
      </c>
      <c r="Q109" s="18">
        <f>IFERROR(P109/M109,"")</f>
        <v/>
      </c>
      <c r="R109" s="86">
        <f>IFERROR(E109/P109,"")</f>
        <v/>
      </c>
      <c r="S109" s="18">
        <f>IFERROR(E109/SUMIFS($E$5:$E$220,$A$5:$A$220,$A109),"")</f>
        <v/>
      </c>
      <c r="T109" s="18">
        <f>IFERROR(M109/SUMIFS($M$5:$M$220,$A$5:$A$220,$A109),"")</f>
        <v/>
      </c>
      <c r="U109" s="111">
        <f>IFERROR(O109/(SUMIFS($E$5:$E$220,$A$5:$A$220,$A109)/SUMIFS($M$5:$M$220,$A$5:$A$220,$A109)),"")</f>
        <v/>
      </c>
    </row>
    <row r="110">
      <c r="A110" s="6" t="inlineStr">
        <is>
          <t>Programmatic</t>
        </is>
      </c>
      <c r="B110" s="78" t="inlineStr">
        <is>
          <t>LEP_ZA_AUG26_PROG_TD_PROSPECT_DISPLAY</t>
        </is>
      </c>
      <c r="C110" s="78" t="inlineStr">
        <is>
          <t>65+</t>
        </is>
      </c>
      <c r="D110" s="78" t="inlineStr">
        <is>
          <t>Male</t>
        </is>
      </c>
      <c r="E110" s="86" t="n">
        <v>1092.84</v>
      </c>
      <c r="F110" s="87" t="n">
        <v>43567</v>
      </c>
      <c r="G110" s="87" t="n">
        <v>52</v>
      </c>
      <c r="H110" s="89">
        <f>IFERROR(G110/F110,"")</f>
        <v/>
      </c>
      <c r="I110" s="90">
        <f>IFERROR(E110/G110,"")</f>
        <v/>
      </c>
      <c r="J110" s="90">
        <f>IFERROR(E110/F110*1000,"")</f>
        <v/>
      </c>
      <c r="K110" s="87" t="n">
        <v>33</v>
      </c>
      <c r="L110" s="18">
        <f>IFERROR(K110/G110,"")</f>
        <v/>
      </c>
      <c r="M110" s="87" t="n">
        <v>1</v>
      </c>
      <c r="N110" s="89">
        <f>IFERROR(M110/K110,"")</f>
        <v/>
      </c>
      <c r="O110" s="86">
        <f>IFERROR(E110/M110,"")</f>
        <v/>
      </c>
      <c r="P110" s="87" t="n">
        <v>0</v>
      </c>
      <c r="Q110" s="18">
        <f>IFERROR(P110/M110,"")</f>
        <v/>
      </c>
      <c r="R110" s="86">
        <f>IFERROR(E110/P110,"")</f>
        <v/>
      </c>
      <c r="S110" s="18">
        <f>IFERROR(E110/SUMIFS($E$5:$E$220,$A$5:$A$220,$A110),"")</f>
        <v/>
      </c>
      <c r="T110" s="18">
        <f>IFERROR(M110/SUMIFS($M$5:$M$220,$A$5:$A$220,$A110),"")</f>
        <v/>
      </c>
      <c r="U110" s="111">
        <f>IFERROR(O110/(SUMIFS($E$5:$E$220,$A$5:$A$220,$A110)/SUMIFS($M$5:$M$220,$A$5:$A$220,$A110)),"")</f>
        <v/>
      </c>
    </row>
    <row r="111">
      <c r="A111" s="6" t="inlineStr">
        <is>
          <t>Programmatic</t>
        </is>
      </c>
      <c r="B111" s="78" t="inlineStr">
        <is>
          <t>LEP_ZA_AUG26_PROG_TD_PROSPECT_DISPLAY</t>
        </is>
      </c>
      <c r="C111" s="78" t="inlineStr">
        <is>
          <t>65+</t>
        </is>
      </c>
      <c r="D111" s="78" t="inlineStr">
        <is>
          <t>Female</t>
        </is>
      </c>
      <c r="E111" s="86" t="n">
        <v>798.99</v>
      </c>
      <c r="F111" s="87" t="n">
        <v>31852</v>
      </c>
      <c r="G111" s="87" t="n">
        <v>35</v>
      </c>
      <c r="H111" s="89">
        <f>IFERROR(G111/F111,"")</f>
        <v/>
      </c>
      <c r="I111" s="90">
        <f>IFERROR(E111/G111,"")</f>
        <v/>
      </c>
      <c r="J111" s="90">
        <f>IFERROR(E111/F111*1000,"")</f>
        <v/>
      </c>
      <c r="K111" s="87" t="n">
        <v>22</v>
      </c>
      <c r="L111" s="18">
        <f>IFERROR(K111/G111,"")</f>
        <v/>
      </c>
      <c r="M111" s="87" t="n">
        <v>0</v>
      </c>
      <c r="N111" s="89">
        <f>IFERROR(M111/K111,"")</f>
        <v/>
      </c>
      <c r="O111" s="86">
        <f>IFERROR(E111/M111,"")</f>
        <v/>
      </c>
      <c r="P111" s="87" t="n">
        <v>0</v>
      </c>
      <c r="Q111" s="18">
        <f>IFERROR(P111/M111,"")</f>
        <v/>
      </c>
      <c r="R111" s="86">
        <f>IFERROR(E111/P111,"")</f>
        <v/>
      </c>
      <c r="S111" s="18">
        <f>IFERROR(E111/SUMIFS($E$5:$E$220,$A$5:$A$220,$A111),"")</f>
        <v/>
      </c>
      <c r="T111" s="18">
        <f>IFERROR(M111/SUMIFS($M$5:$M$220,$A$5:$A$220,$A111),"")</f>
        <v/>
      </c>
      <c r="U111" s="111">
        <f>IFERROR(O111/(SUMIFS($E$5:$E$220,$A$5:$A$220,$A111)/SUMIFS($M$5:$M$220,$A$5:$A$220,$A111)),"")</f>
        <v/>
      </c>
    </row>
    <row r="112">
      <c r="A112" s="6" t="inlineStr">
        <is>
          <t>Programmatic</t>
        </is>
      </c>
      <c r="B112" s="78" t="inlineStr">
        <is>
          <t>LEP_ZA_AUG26_PROG_TD_PROSPECT_DISPLAY</t>
        </is>
      </c>
      <c r="C112" s="78" t="inlineStr">
        <is>
          <t>65+</t>
        </is>
      </c>
      <c r="D112" s="78" t="inlineStr">
        <is>
          <t>Unknown</t>
        </is>
      </c>
      <c r="E112" s="86" t="n">
        <v>133.57</v>
      </c>
      <c r="F112" s="87" t="n">
        <v>5325</v>
      </c>
      <c r="G112" s="87" t="n">
        <v>4</v>
      </c>
      <c r="H112" s="89">
        <f>IFERROR(G112/F112,"")</f>
        <v/>
      </c>
      <c r="I112" s="90">
        <f>IFERROR(E112/G112,"")</f>
        <v/>
      </c>
      <c r="J112" s="90">
        <f>IFERROR(E112/F112*1000,"")</f>
        <v/>
      </c>
      <c r="K112" s="87" t="n">
        <v>2</v>
      </c>
      <c r="L112" s="18">
        <f>IFERROR(K112/G112,"")</f>
        <v/>
      </c>
      <c r="M112" s="87" t="n">
        <v>0</v>
      </c>
      <c r="N112" s="89">
        <f>IFERROR(M112/K112,"")</f>
        <v/>
      </c>
      <c r="O112" s="86">
        <f>IFERROR(E112/M112,"")</f>
        <v/>
      </c>
      <c r="P112" s="87" t="n">
        <v>0</v>
      </c>
      <c r="Q112" s="18">
        <f>IFERROR(P112/M112,"")</f>
        <v/>
      </c>
      <c r="R112" s="86">
        <f>IFERROR(E112/P112,"")</f>
        <v/>
      </c>
      <c r="S112" s="18">
        <f>IFERROR(E112/SUMIFS($E$5:$E$220,$A$5:$A$220,$A112),"")</f>
        <v/>
      </c>
      <c r="T112" s="18">
        <f>IFERROR(M112/SUMIFS($M$5:$M$220,$A$5:$A$220,$A112),"")</f>
        <v/>
      </c>
      <c r="U112" s="111">
        <f>IFERROR(O112/(SUMIFS($E$5:$E$220,$A$5:$A$220,$A112)/SUMIFS($M$5:$M$220,$A$5:$A$220,$A112)),"")</f>
        <v/>
      </c>
    </row>
    <row r="113">
      <c r="A113" s="6" t="inlineStr">
        <is>
          <t>Programmatic</t>
        </is>
      </c>
      <c r="B113" s="78" t="inlineStr">
        <is>
          <t>LEP_ZA_AUG26_PROG_TD_VIDEO_OLV</t>
        </is>
      </c>
      <c r="C113" s="78" t="inlineStr">
        <is>
          <t>18-24</t>
        </is>
      </c>
      <c r="D113" s="78" t="inlineStr">
        <is>
          <t>Male</t>
        </is>
      </c>
      <c r="E113" s="86" t="n">
        <v>1946.98</v>
      </c>
      <c r="F113" s="87" t="n">
        <v>77964</v>
      </c>
      <c r="G113" s="87" t="n">
        <v>84</v>
      </c>
      <c r="H113" s="89">
        <f>IFERROR(G113/F113,"")</f>
        <v/>
      </c>
      <c r="I113" s="90">
        <f>IFERROR(E113/G113,"")</f>
        <v/>
      </c>
      <c r="J113" s="90">
        <f>IFERROR(E113/F113*1000,"")</f>
        <v/>
      </c>
      <c r="K113" s="87" t="n">
        <v>54</v>
      </c>
      <c r="L113" s="18">
        <f>IFERROR(K113/G113,"")</f>
        <v/>
      </c>
      <c r="M113" s="87" t="n">
        <v>1</v>
      </c>
      <c r="N113" s="89">
        <f>IFERROR(M113/K113,"")</f>
        <v/>
      </c>
      <c r="O113" s="86">
        <f>IFERROR(E113/M113,"")</f>
        <v/>
      </c>
      <c r="P113" s="87" t="n">
        <v>1</v>
      </c>
      <c r="Q113" s="18">
        <f>IFERROR(P113/M113,"")</f>
        <v/>
      </c>
      <c r="R113" s="86">
        <f>IFERROR(E113/P113,"")</f>
        <v/>
      </c>
      <c r="S113" s="18">
        <f>IFERROR(E113/SUMIFS($E$5:$E$220,$A$5:$A$220,$A113),"")</f>
        <v/>
      </c>
      <c r="T113" s="18">
        <f>IFERROR(M113/SUMIFS($M$5:$M$220,$A$5:$A$220,$A113),"")</f>
        <v/>
      </c>
      <c r="U113" s="111">
        <f>IFERROR(O113/(SUMIFS($E$5:$E$220,$A$5:$A$220,$A113)/SUMIFS($M$5:$M$220,$A$5:$A$220,$A113)),"")</f>
        <v/>
      </c>
    </row>
    <row r="114">
      <c r="A114" s="6" t="inlineStr">
        <is>
          <t>Programmatic</t>
        </is>
      </c>
      <c r="B114" s="78" t="inlineStr">
        <is>
          <t>LEP_ZA_AUG26_PROG_TD_VIDEO_OLV</t>
        </is>
      </c>
      <c r="C114" s="78" t="inlineStr">
        <is>
          <t>18-24</t>
        </is>
      </c>
      <c r="D114" s="78" t="inlineStr">
        <is>
          <t>Female</t>
        </is>
      </c>
      <c r="E114" s="86" t="n">
        <v>1323.71</v>
      </c>
      <c r="F114" s="87" t="n">
        <v>53005</v>
      </c>
      <c r="G114" s="87" t="n">
        <v>52</v>
      </c>
      <c r="H114" s="89">
        <f>IFERROR(G114/F114,"")</f>
        <v/>
      </c>
      <c r="I114" s="90">
        <f>IFERROR(E114/G114,"")</f>
        <v/>
      </c>
      <c r="J114" s="90">
        <f>IFERROR(E114/F114*1000,"")</f>
        <v/>
      </c>
      <c r="K114" s="87" t="n">
        <v>34</v>
      </c>
      <c r="L114" s="18">
        <f>IFERROR(K114/G114,"")</f>
        <v/>
      </c>
      <c r="M114" s="87" t="n">
        <v>1</v>
      </c>
      <c r="N114" s="89">
        <f>IFERROR(M114/K114,"")</f>
        <v/>
      </c>
      <c r="O114" s="86">
        <f>IFERROR(E114/M114,"")</f>
        <v/>
      </c>
      <c r="P114" s="87" t="n">
        <v>1</v>
      </c>
      <c r="Q114" s="18">
        <f>IFERROR(P114/M114,"")</f>
        <v/>
      </c>
      <c r="R114" s="86">
        <f>IFERROR(E114/P114,"")</f>
        <v/>
      </c>
      <c r="S114" s="18">
        <f>IFERROR(E114/SUMIFS($E$5:$E$220,$A$5:$A$220,$A114),"")</f>
        <v/>
      </c>
      <c r="T114" s="18">
        <f>IFERROR(M114/SUMIFS($M$5:$M$220,$A$5:$A$220,$A114),"")</f>
        <v/>
      </c>
      <c r="U114" s="111">
        <f>IFERROR(O114/(SUMIFS($E$5:$E$220,$A$5:$A$220,$A114)/SUMIFS($M$5:$M$220,$A$5:$A$220,$A114)),"")</f>
        <v/>
      </c>
    </row>
    <row r="115">
      <c r="A115" s="6" t="inlineStr">
        <is>
          <t>Programmatic</t>
        </is>
      </c>
      <c r="B115" s="78" t="inlineStr">
        <is>
          <t>LEP_ZA_AUG26_PROG_TD_VIDEO_OLV</t>
        </is>
      </c>
      <c r="C115" s="78" t="inlineStr">
        <is>
          <t>18-24</t>
        </is>
      </c>
      <c r="D115" s="78" t="inlineStr">
        <is>
          <t>Unknown</t>
        </is>
      </c>
      <c r="E115" s="86" t="n">
        <v>275.09</v>
      </c>
      <c r="F115" s="87" t="n">
        <v>11015</v>
      </c>
      <c r="G115" s="87" t="n">
        <v>7</v>
      </c>
      <c r="H115" s="89">
        <f>IFERROR(G115/F115,"")</f>
        <v/>
      </c>
      <c r="I115" s="90">
        <f>IFERROR(E115/G115,"")</f>
        <v/>
      </c>
      <c r="J115" s="90">
        <f>IFERROR(E115/F115*1000,"")</f>
        <v/>
      </c>
      <c r="K115" s="87" t="n">
        <v>5</v>
      </c>
      <c r="L115" s="18">
        <f>IFERROR(K115/G115,"")</f>
        <v/>
      </c>
      <c r="M115" s="87" t="n">
        <v>0</v>
      </c>
      <c r="N115" s="89">
        <f>IFERROR(M115/K115,"")</f>
        <v/>
      </c>
      <c r="O115" s="86">
        <f>IFERROR(E115/M115,"")</f>
        <v/>
      </c>
      <c r="P115" s="87" t="n">
        <v>0</v>
      </c>
      <c r="Q115" s="18">
        <f>IFERROR(P115/M115,"")</f>
        <v/>
      </c>
      <c r="R115" s="86">
        <f>IFERROR(E115/P115,"")</f>
        <v/>
      </c>
      <c r="S115" s="18">
        <f>IFERROR(E115/SUMIFS($E$5:$E$220,$A$5:$A$220,$A115),"")</f>
        <v/>
      </c>
      <c r="T115" s="18">
        <f>IFERROR(M115/SUMIFS($M$5:$M$220,$A$5:$A$220,$A115),"")</f>
        <v/>
      </c>
      <c r="U115" s="111">
        <f>IFERROR(O115/(SUMIFS($E$5:$E$220,$A$5:$A$220,$A115)/SUMIFS($M$5:$M$220,$A$5:$A$220,$A115)),"")</f>
        <v/>
      </c>
    </row>
    <row r="116">
      <c r="A116" s="6" t="inlineStr">
        <is>
          <t>Programmatic</t>
        </is>
      </c>
      <c r="B116" s="78" t="inlineStr">
        <is>
          <t>LEP_ZA_AUG26_PROG_TD_VIDEO_OLV</t>
        </is>
      </c>
      <c r="C116" s="78" t="inlineStr">
        <is>
          <t>25-34</t>
        </is>
      </c>
      <c r="D116" s="78" t="inlineStr">
        <is>
          <t>Male</t>
        </is>
      </c>
      <c r="E116" s="86" t="n">
        <v>4868.97</v>
      </c>
      <c r="F116" s="87" t="n">
        <v>194968</v>
      </c>
      <c r="G116" s="87" t="n">
        <v>335</v>
      </c>
      <c r="H116" s="89">
        <f>IFERROR(G116/F116,"")</f>
        <v/>
      </c>
      <c r="I116" s="90">
        <f>IFERROR(E116/G116,"")</f>
        <v/>
      </c>
      <c r="J116" s="90">
        <f>IFERROR(E116/F116*1000,"")</f>
        <v/>
      </c>
      <c r="K116" s="87" t="n">
        <v>214</v>
      </c>
      <c r="L116" s="18">
        <f>IFERROR(K116/G116,"")</f>
        <v/>
      </c>
      <c r="M116" s="87" t="n">
        <v>5</v>
      </c>
      <c r="N116" s="89">
        <f>IFERROR(M116/K116,"")</f>
        <v/>
      </c>
      <c r="O116" s="86">
        <f>IFERROR(E116/M116,"")</f>
        <v/>
      </c>
      <c r="P116" s="87" t="n">
        <v>3</v>
      </c>
      <c r="Q116" s="18">
        <f>IFERROR(P116/M116,"")</f>
        <v/>
      </c>
      <c r="R116" s="86">
        <f>IFERROR(E116/P116,"")</f>
        <v/>
      </c>
      <c r="S116" s="18">
        <f>IFERROR(E116/SUMIFS($E$5:$E$220,$A$5:$A$220,$A116),"")</f>
        <v/>
      </c>
      <c r="T116" s="18">
        <f>IFERROR(M116/SUMIFS($M$5:$M$220,$A$5:$A$220,$A116),"")</f>
        <v/>
      </c>
      <c r="U116" s="111">
        <f>IFERROR(O116/(SUMIFS($E$5:$E$220,$A$5:$A$220,$A116)/SUMIFS($M$5:$M$220,$A$5:$A$220,$A116)),"")</f>
        <v/>
      </c>
    </row>
    <row r="117">
      <c r="A117" s="6" t="inlineStr">
        <is>
          <t>Programmatic</t>
        </is>
      </c>
      <c r="B117" s="78" t="inlineStr">
        <is>
          <t>LEP_ZA_AUG26_PROG_TD_VIDEO_OLV</t>
        </is>
      </c>
      <c r="C117" s="78" t="inlineStr">
        <is>
          <t>25-34</t>
        </is>
      </c>
      <c r="D117" s="78" t="inlineStr">
        <is>
          <t>Female</t>
        </is>
      </c>
      <c r="E117" s="86" t="n">
        <v>3637.08</v>
      </c>
      <c r="F117" s="87" t="n">
        <v>145640</v>
      </c>
      <c r="G117" s="87" t="n">
        <v>229</v>
      </c>
      <c r="H117" s="89">
        <f>IFERROR(G117/F117,"")</f>
        <v/>
      </c>
      <c r="I117" s="90">
        <f>IFERROR(E117/G117,"")</f>
        <v/>
      </c>
      <c r="J117" s="90">
        <f>IFERROR(E117/F117*1000,"")</f>
        <v/>
      </c>
      <c r="K117" s="87" t="n">
        <v>146</v>
      </c>
      <c r="L117" s="18">
        <f>IFERROR(K117/G117,"")</f>
        <v/>
      </c>
      <c r="M117" s="87" t="n">
        <v>4</v>
      </c>
      <c r="N117" s="89">
        <f>IFERROR(M117/K117,"")</f>
        <v/>
      </c>
      <c r="O117" s="86">
        <f>IFERROR(E117/M117,"")</f>
        <v/>
      </c>
      <c r="P117" s="87" t="n">
        <v>2</v>
      </c>
      <c r="Q117" s="18">
        <f>IFERROR(P117/M117,"")</f>
        <v/>
      </c>
      <c r="R117" s="86">
        <f>IFERROR(E117/P117,"")</f>
        <v/>
      </c>
      <c r="S117" s="18">
        <f>IFERROR(E117/SUMIFS($E$5:$E$220,$A$5:$A$220,$A117),"")</f>
        <v/>
      </c>
      <c r="T117" s="18">
        <f>IFERROR(M117/SUMIFS($M$5:$M$220,$A$5:$A$220,$A117),"")</f>
        <v/>
      </c>
      <c r="U117" s="111">
        <f>IFERROR(O117/(SUMIFS($E$5:$E$220,$A$5:$A$220,$A117)/SUMIFS($M$5:$M$220,$A$5:$A$220,$A117)),"")</f>
        <v/>
      </c>
    </row>
    <row r="118">
      <c r="A118" s="6" t="inlineStr">
        <is>
          <t>Programmatic</t>
        </is>
      </c>
      <c r="B118" s="78" t="inlineStr">
        <is>
          <t>LEP_ZA_AUG26_PROG_TD_VIDEO_OLV</t>
        </is>
      </c>
      <c r="C118" s="78" t="inlineStr">
        <is>
          <t>25-34</t>
        </is>
      </c>
      <c r="D118" s="78" t="inlineStr">
        <is>
          <t>Unknown</t>
        </is>
      </c>
      <c r="E118" s="86" t="n">
        <v>590.62</v>
      </c>
      <c r="F118" s="87" t="n">
        <v>23650</v>
      </c>
      <c r="G118" s="87" t="n">
        <v>24</v>
      </c>
      <c r="H118" s="89">
        <f>IFERROR(G118/F118,"")</f>
        <v/>
      </c>
      <c r="I118" s="90">
        <f>IFERROR(E118/G118,"")</f>
        <v/>
      </c>
      <c r="J118" s="90">
        <f>IFERROR(E118/F118*1000,"")</f>
        <v/>
      </c>
      <c r="K118" s="87" t="n">
        <v>15</v>
      </c>
      <c r="L118" s="18">
        <f>IFERROR(K118/G118,"")</f>
        <v/>
      </c>
      <c r="M118" s="87" t="n">
        <v>0</v>
      </c>
      <c r="N118" s="89">
        <f>IFERROR(M118/K118,"")</f>
        <v/>
      </c>
      <c r="O118" s="86">
        <f>IFERROR(E118/M118,"")</f>
        <v/>
      </c>
      <c r="P118" s="87" t="n">
        <v>0</v>
      </c>
      <c r="Q118" s="18">
        <f>IFERROR(P118/M118,"")</f>
        <v/>
      </c>
      <c r="R118" s="86">
        <f>IFERROR(E118/P118,"")</f>
        <v/>
      </c>
      <c r="S118" s="18">
        <f>IFERROR(E118/SUMIFS($E$5:$E$220,$A$5:$A$220,$A118),"")</f>
        <v/>
      </c>
      <c r="T118" s="18">
        <f>IFERROR(M118/SUMIFS($M$5:$M$220,$A$5:$A$220,$A118),"")</f>
        <v/>
      </c>
      <c r="U118" s="111">
        <f>IFERROR(O118/(SUMIFS($E$5:$E$220,$A$5:$A$220,$A118)/SUMIFS($M$5:$M$220,$A$5:$A$220,$A118)),"")</f>
        <v/>
      </c>
    </row>
    <row r="119">
      <c r="A119" s="6" t="inlineStr">
        <is>
          <t>Programmatic</t>
        </is>
      </c>
      <c r="B119" s="78" t="inlineStr">
        <is>
          <t>LEP_ZA_AUG26_PROG_TD_VIDEO_OLV</t>
        </is>
      </c>
      <c r="C119" s="78" t="inlineStr">
        <is>
          <t>35-44</t>
        </is>
      </c>
      <c r="D119" s="78" t="inlineStr">
        <is>
          <t>Male</t>
        </is>
      </c>
      <c r="E119" s="86" t="n">
        <v>4955.79</v>
      </c>
      <c r="F119" s="87" t="n">
        <v>198444</v>
      </c>
      <c r="G119" s="87" t="n">
        <v>474</v>
      </c>
      <c r="H119" s="89">
        <f>IFERROR(G119/F119,"")</f>
        <v/>
      </c>
      <c r="I119" s="90">
        <f>IFERROR(E119/G119,"")</f>
        <v/>
      </c>
      <c r="J119" s="90">
        <f>IFERROR(E119/F119*1000,"")</f>
        <v/>
      </c>
      <c r="K119" s="87" t="n">
        <v>303</v>
      </c>
      <c r="L119" s="18">
        <f>IFERROR(K119/G119,"")</f>
        <v/>
      </c>
      <c r="M119" s="87" t="n">
        <v>7</v>
      </c>
      <c r="N119" s="89">
        <f>IFERROR(M119/K119,"")</f>
        <v/>
      </c>
      <c r="O119" s="86">
        <f>IFERROR(E119/M119,"")</f>
        <v/>
      </c>
      <c r="P119" s="87" t="n">
        <v>4</v>
      </c>
      <c r="Q119" s="18">
        <f>IFERROR(P119/M119,"")</f>
        <v/>
      </c>
      <c r="R119" s="86">
        <f>IFERROR(E119/P119,"")</f>
        <v/>
      </c>
      <c r="S119" s="18">
        <f>IFERROR(E119/SUMIFS($E$5:$E$220,$A$5:$A$220,$A119),"")</f>
        <v/>
      </c>
      <c r="T119" s="18">
        <f>IFERROR(M119/SUMIFS($M$5:$M$220,$A$5:$A$220,$A119),"")</f>
        <v/>
      </c>
      <c r="U119" s="111">
        <f>IFERROR(O119/(SUMIFS($E$5:$E$220,$A$5:$A$220,$A119)/SUMIFS($M$5:$M$220,$A$5:$A$220,$A119)),"")</f>
        <v/>
      </c>
    </row>
    <row r="120">
      <c r="A120" s="6" t="inlineStr">
        <is>
          <t>Programmatic</t>
        </is>
      </c>
      <c r="B120" s="78" t="inlineStr">
        <is>
          <t>LEP_ZA_AUG26_PROG_TD_VIDEO_OLV</t>
        </is>
      </c>
      <c r="C120" s="78" t="inlineStr">
        <is>
          <t>35-44</t>
        </is>
      </c>
      <c r="D120" s="78" t="inlineStr">
        <is>
          <t>Female</t>
        </is>
      </c>
      <c r="E120" s="86" t="n">
        <v>3633.43</v>
      </c>
      <c r="F120" s="87" t="n">
        <v>145493</v>
      </c>
      <c r="G120" s="87" t="n">
        <v>318</v>
      </c>
      <c r="H120" s="89">
        <f>IFERROR(G120/F120,"")</f>
        <v/>
      </c>
      <c r="I120" s="90">
        <f>IFERROR(E120/G120,"")</f>
        <v/>
      </c>
      <c r="J120" s="90">
        <f>IFERROR(E120/F120*1000,"")</f>
        <v/>
      </c>
      <c r="K120" s="87" t="n">
        <v>204</v>
      </c>
      <c r="L120" s="18">
        <f>IFERROR(K120/G120,"")</f>
        <v/>
      </c>
      <c r="M120" s="87" t="n">
        <v>5</v>
      </c>
      <c r="N120" s="89">
        <f>IFERROR(M120/K120,"")</f>
        <v/>
      </c>
      <c r="O120" s="86">
        <f>IFERROR(E120/M120,"")</f>
        <v/>
      </c>
      <c r="P120" s="87" t="n">
        <v>3</v>
      </c>
      <c r="Q120" s="18">
        <f>IFERROR(P120/M120,"")</f>
        <v/>
      </c>
      <c r="R120" s="86">
        <f>IFERROR(E120/P120,"")</f>
        <v/>
      </c>
      <c r="S120" s="18">
        <f>IFERROR(E120/SUMIFS($E$5:$E$220,$A$5:$A$220,$A120),"")</f>
        <v/>
      </c>
      <c r="T120" s="18">
        <f>IFERROR(M120/SUMIFS($M$5:$M$220,$A$5:$A$220,$A120),"")</f>
        <v/>
      </c>
      <c r="U120" s="111">
        <f>IFERROR(O120/(SUMIFS($E$5:$E$220,$A$5:$A$220,$A120)/SUMIFS($M$5:$M$220,$A$5:$A$220,$A120)),"")</f>
        <v/>
      </c>
    </row>
    <row r="121">
      <c r="A121" s="6" t="inlineStr">
        <is>
          <t>Programmatic</t>
        </is>
      </c>
      <c r="B121" s="78" t="inlineStr">
        <is>
          <t>LEP_ZA_AUG26_PROG_TD_VIDEO_OLV</t>
        </is>
      </c>
      <c r="C121" s="78" t="inlineStr">
        <is>
          <t>35-44</t>
        </is>
      </c>
      <c r="D121" s="78" t="inlineStr">
        <is>
          <t>Unknown</t>
        </is>
      </c>
      <c r="E121" s="86" t="n">
        <v>590.77</v>
      </c>
      <c r="F121" s="87" t="n">
        <v>23656</v>
      </c>
      <c r="G121" s="87" t="n">
        <v>33</v>
      </c>
      <c r="H121" s="89">
        <f>IFERROR(G121/F121,"")</f>
        <v/>
      </c>
      <c r="I121" s="90">
        <f>IFERROR(E121/G121,"")</f>
        <v/>
      </c>
      <c r="J121" s="90">
        <f>IFERROR(E121/F121*1000,"")</f>
        <v/>
      </c>
      <c r="K121" s="87" t="n">
        <v>21</v>
      </c>
      <c r="L121" s="18">
        <f>IFERROR(K121/G121,"")</f>
        <v/>
      </c>
      <c r="M121" s="87" t="n">
        <v>1</v>
      </c>
      <c r="N121" s="89">
        <f>IFERROR(M121/K121,"")</f>
        <v/>
      </c>
      <c r="O121" s="86">
        <f>IFERROR(E121/M121,"")</f>
        <v/>
      </c>
      <c r="P121" s="87" t="n">
        <v>0</v>
      </c>
      <c r="Q121" s="18">
        <f>IFERROR(P121/M121,"")</f>
        <v/>
      </c>
      <c r="R121" s="86">
        <f>IFERROR(E121/P121,"")</f>
        <v/>
      </c>
      <c r="S121" s="18">
        <f>IFERROR(E121/SUMIFS($E$5:$E$220,$A$5:$A$220,$A121),"")</f>
        <v/>
      </c>
      <c r="T121" s="18">
        <f>IFERROR(M121/SUMIFS($M$5:$M$220,$A$5:$A$220,$A121),"")</f>
        <v/>
      </c>
      <c r="U121" s="111">
        <f>IFERROR(O121/(SUMIFS($E$5:$E$220,$A$5:$A$220,$A121)/SUMIFS($M$5:$M$220,$A$5:$A$220,$A121)),"")</f>
        <v/>
      </c>
    </row>
    <row r="122">
      <c r="A122" s="6" t="inlineStr">
        <is>
          <t>Programmatic</t>
        </is>
      </c>
      <c r="B122" s="78" t="inlineStr">
        <is>
          <t>LEP_ZA_AUG26_PROG_TD_VIDEO_OLV</t>
        </is>
      </c>
      <c r="C122" s="78" t="inlineStr">
        <is>
          <t>45-54</t>
        </is>
      </c>
      <c r="D122" s="78" t="inlineStr">
        <is>
          <t>Male</t>
        </is>
      </c>
      <c r="E122" s="86" t="n">
        <v>3588.59</v>
      </c>
      <c r="F122" s="87" t="n">
        <v>143698</v>
      </c>
      <c r="G122" s="87" t="n">
        <v>359</v>
      </c>
      <c r="H122" s="89">
        <f>IFERROR(G122/F122,"")</f>
        <v/>
      </c>
      <c r="I122" s="90">
        <f>IFERROR(E122/G122,"")</f>
        <v/>
      </c>
      <c r="J122" s="90">
        <f>IFERROR(E122/F122*1000,"")</f>
        <v/>
      </c>
      <c r="K122" s="87" t="n">
        <v>230</v>
      </c>
      <c r="L122" s="18">
        <f>IFERROR(K122/G122,"")</f>
        <v/>
      </c>
      <c r="M122" s="87" t="n">
        <v>6</v>
      </c>
      <c r="N122" s="89">
        <f>IFERROR(M122/K122,"")</f>
        <v/>
      </c>
      <c r="O122" s="86">
        <f>IFERROR(E122/M122,"")</f>
        <v/>
      </c>
      <c r="P122" s="87" t="n">
        <v>3</v>
      </c>
      <c r="Q122" s="18">
        <f>IFERROR(P122/M122,"")</f>
        <v/>
      </c>
      <c r="R122" s="86">
        <f>IFERROR(E122/P122,"")</f>
        <v/>
      </c>
      <c r="S122" s="18">
        <f>IFERROR(E122/SUMIFS($E$5:$E$220,$A$5:$A$220,$A122),"")</f>
        <v/>
      </c>
      <c r="T122" s="18">
        <f>IFERROR(M122/SUMIFS($M$5:$M$220,$A$5:$A$220,$A122),"")</f>
        <v/>
      </c>
      <c r="U122" s="111">
        <f>IFERROR(O122/(SUMIFS($E$5:$E$220,$A$5:$A$220,$A122)/SUMIFS($M$5:$M$220,$A$5:$A$220,$A122)),"")</f>
        <v/>
      </c>
    </row>
    <row r="123">
      <c r="A123" s="6" t="inlineStr">
        <is>
          <t>Programmatic</t>
        </is>
      </c>
      <c r="B123" s="78" t="inlineStr">
        <is>
          <t>LEP_ZA_AUG26_PROG_TD_VIDEO_OLV</t>
        </is>
      </c>
      <c r="C123" s="78" t="inlineStr">
        <is>
          <t>45-54</t>
        </is>
      </c>
      <c r="D123" s="78" t="inlineStr">
        <is>
          <t>Female</t>
        </is>
      </c>
      <c r="E123" s="86" t="n">
        <v>2788.48</v>
      </c>
      <c r="F123" s="87" t="n">
        <v>111659</v>
      </c>
      <c r="G123" s="87" t="n">
        <v>256</v>
      </c>
      <c r="H123" s="89">
        <f>IFERROR(G123/F123,"")</f>
        <v/>
      </c>
      <c r="I123" s="90">
        <f>IFERROR(E123/G123,"")</f>
        <v/>
      </c>
      <c r="J123" s="90">
        <f>IFERROR(E123/F123*1000,"")</f>
        <v/>
      </c>
      <c r="K123" s="87" t="n">
        <v>164</v>
      </c>
      <c r="L123" s="18">
        <f>IFERROR(K123/G123,"")</f>
        <v/>
      </c>
      <c r="M123" s="87" t="n">
        <v>4</v>
      </c>
      <c r="N123" s="89">
        <f>IFERROR(M123/K123,"")</f>
        <v/>
      </c>
      <c r="O123" s="86">
        <f>IFERROR(E123/M123,"")</f>
        <v/>
      </c>
      <c r="P123" s="87" t="n">
        <v>2</v>
      </c>
      <c r="Q123" s="18">
        <f>IFERROR(P123/M123,"")</f>
        <v/>
      </c>
      <c r="R123" s="86">
        <f>IFERROR(E123/P123,"")</f>
        <v/>
      </c>
      <c r="S123" s="18">
        <f>IFERROR(E123/SUMIFS($E$5:$E$220,$A$5:$A$220,$A123),"")</f>
        <v/>
      </c>
      <c r="T123" s="18">
        <f>IFERROR(M123/SUMIFS($M$5:$M$220,$A$5:$A$220,$A123),"")</f>
        <v/>
      </c>
      <c r="U123" s="111">
        <f>IFERROR(O123/(SUMIFS($E$5:$E$220,$A$5:$A$220,$A123)/SUMIFS($M$5:$M$220,$A$5:$A$220,$A123)),"")</f>
        <v/>
      </c>
    </row>
    <row r="124">
      <c r="A124" s="6" t="inlineStr">
        <is>
          <t>Programmatic</t>
        </is>
      </c>
      <c r="B124" s="78" t="inlineStr">
        <is>
          <t>LEP_ZA_AUG26_PROG_TD_VIDEO_OLV</t>
        </is>
      </c>
      <c r="C124" s="78" t="inlineStr">
        <is>
          <t>45-54</t>
        </is>
      </c>
      <c r="D124" s="78" t="inlineStr">
        <is>
          <t>Unknown</t>
        </is>
      </c>
      <c r="E124" s="86" t="n">
        <v>533.97</v>
      </c>
      <c r="F124" s="87" t="n">
        <v>21382</v>
      </c>
      <c r="G124" s="87" t="n">
        <v>31</v>
      </c>
      <c r="H124" s="89">
        <f>IFERROR(G124/F124,"")</f>
        <v/>
      </c>
      <c r="I124" s="90">
        <f>IFERROR(E124/G124,"")</f>
        <v/>
      </c>
      <c r="J124" s="90">
        <f>IFERROR(E124/F124*1000,"")</f>
        <v/>
      </c>
      <c r="K124" s="87" t="n">
        <v>20</v>
      </c>
      <c r="L124" s="18">
        <f>IFERROR(K124/G124,"")</f>
        <v/>
      </c>
      <c r="M124" s="87" t="n">
        <v>0</v>
      </c>
      <c r="N124" s="89">
        <f>IFERROR(M124/K124,"")</f>
        <v/>
      </c>
      <c r="O124" s="86">
        <f>IFERROR(E124/M124,"")</f>
        <v/>
      </c>
      <c r="P124" s="87" t="n">
        <v>0</v>
      </c>
      <c r="Q124" s="18">
        <f>IFERROR(P124/M124,"")</f>
        <v/>
      </c>
      <c r="R124" s="86">
        <f>IFERROR(E124/P124,"")</f>
        <v/>
      </c>
      <c r="S124" s="18">
        <f>IFERROR(E124/SUMIFS($E$5:$E$220,$A$5:$A$220,$A124),"")</f>
        <v/>
      </c>
      <c r="T124" s="18">
        <f>IFERROR(M124/SUMIFS($M$5:$M$220,$A$5:$A$220,$A124),"")</f>
        <v/>
      </c>
      <c r="U124" s="111">
        <f>IFERROR(O124/(SUMIFS($E$5:$E$220,$A$5:$A$220,$A124)/SUMIFS($M$5:$M$220,$A$5:$A$220,$A124)),"")</f>
        <v/>
      </c>
    </row>
    <row r="125">
      <c r="A125" s="6" t="inlineStr">
        <is>
          <t>Programmatic</t>
        </is>
      </c>
      <c r="B125" s="78" t="inlineStr">
        <is>
          <t>LEP_ZA_AUG26_PROG_TD_VIDEO_OLV</t>
        </is>
      </c>
      <c r="C125" s="78" t="inlineStr">
        <is>
          <t>55-64</t>
        </is>
      </c>
      <c r="D125" s="78" t="inlineStr">
        <is>
          <t>Male</t>
        </is>
      </c>
      <c r="E125" s="86" t="n">
        <v>2438.37</v>
      </c>
      <c r="F125" s="87" t="n">
        <v>97639</v>
      </c>
      <c r="G125" s="87" t="n">
        <v>191</v>
      </c>
      <c r="H125" s="89">
        <f>IFERROR(G125/F125,"")</f>
        <v/>
      </c>
      <c r="I125" s="90">
        <f>IFERROR(E125/G125,"")</f>
        <v/>
      </c>
      <c r="J125" s="90">
        <f>IFERROR(E125/F125*1000,"")</f>
        <v/>
      </c>
      <c r="K125" s="87" t="n">
        <v>122</v>
      </c>
      <c r="L125" s="18">
        <f>IFERROR(K125/G125,"")</f>
        <v/>
      </c>
      <c r="M125" s="87" t="n">
        <v>3</v>
      </c>
      <c r="N125" s="89">
        <f>IFERROR(M125/K125,"")</f>
        <v/>
      </c>
      <c r="O125" s="86">
        <f>IFERROR(E125/M125,"")</f>
        <v/>
      </c>
      <c r="P125" s="87" t="n">
        <v>2</v>
      </c>
      <c r="Q125" s="18">
        <f>IFERROR(P125/M125,"")</f>
        <v/>
      </c>
      <c r="R125" s="86">
        <f>IFERROR(E125/P125,"")</f>
        <v/>
      </c>
      <c r="S125" s="18">
        <f>IFERROR(E125/SUMIFS($E$5:$E$220,$A$5:$A$220,$A125),"")</f>
        <v/>
      </c>
      <c r="T125" s="18">
        <f>IFERROR(M125/SUMIFS($M$5:$M$220,$A$5:$A$220,$A125),"")</f>
        <v/>
      </c>
      <c r="U125" s="111">
        <f>IFERROR(O125/(SUMIFS($E$5:$E$220,$A$5:$A$220,$A125)/SUMIFS($M$5:$M$220,$A$5:$A$220,$A125)),"")</f>
        <v/>
      </c>
    </row>
    <row r="126">
      <c r="A126" s="6" t="inlineStr">
        <is>
          <t>Programmatic</t>
        </is>
      </c>
      <c r="B126" s="78" t="inlineStr">
        <is>
          <t>LEP_ZA_AUG26_PROG_TD_VIDEO_OLV</t>
        </is>
      </c>
      <c r="C126" s="78" t="inlineStr">
        <is>
          <t>55-64</t>
        </is>
      </c>
      <c r="D126" s="78" t="inlineStr">
        <is>
          <t>Female</t>
        </is>
      </c>
      <c r="E126" s="86" t="n">
        <v>1598.37</v>
      </c>
      <c r="F126" s="87" t="n">
        <v>64003</v>
      </c>
      <c r="G126" s="87" t="n">
        <v>115</v>
      </c>
      <c r="H126" s="89">
        <f>IFERROR(G126/F126,"")</f>
        <v/>
      </c>
      <c r="I126" s="90">
        <f>IFERROR(E126/G126,"")</f>
        <v/>
      </c>
      <c r="J126" s="90">
        <f>IFERROR(E126/F126*1000,"")</f>
        <v/>
      </c>
      <c r="K126" s="87" t="n">
        <v>73</v>
      </c>
      <c r="L126" s="18">
        <f>IFERROR(K126/G126,"")</f>
        <v/>
      </c>
      <c r="M126" s="87" t="n">
        <v>2</v>
      </c>
      <c r="N126" s="89">
        <f>IFERROR(M126/K126,"")</f>
        <v/>
      </c>
      <c r="O126" s="86">
        <f>IFERROR(E126/M126,"")</f>
        <v/>
      </c>
      <c r="P126" s="87" t="n">
        <v>1</v>
      </c>
      <c r="Q126" s="18">
        <f>IFERROR(P126/M126,"")</f>
        <v/>
      </c>
      <c r="R126" s="86">
        <f>IFERROR(E126/P126,"")</f>
        <v/>
      </c>
      <c r="S126" s="18">
        <f>IFERROR(E126/SUMIFS($E$5:$E$220,$A$5:$A$220,$A126),"")</f>
        <v/>
      </c>
      <c r="T126" s="18">
        <f>IFERROR(M126/SUMIFS($M$5:$M$220,$A$5:$A$220,$A126),"")</f>
        <v/>
      </c>
      <c r="U126" s="111">
        <f>IFERROR(O126/(SUMIFS($E$5:$E$220,$A$5:$A$220,$A126)/SUMIFS($M$5:$M$220,$A$5:$A$220,$A126)),"")</f>
        <v/>
      </c>
    </row>
    <row r="127">
      <c r="A127" s="6" t="inlineStr">
        <is>
          <t>Programmatic</t>
        </is>
      </c>
      <c r="B127" s="78" t="inlineStr">
        <is>
          <t>LEP_ZA_AUG26_PROG_TD_VIDEO_OLV</t>
        </is>
      </c>
      <c r="C127" s="78" t="inlineStr">
        <is>
          <t>55-64</t>
        </is>
      </c>
      <c r="D127" s="78" t="inlineStr">
        <is>
          <t>Unknown</t>
        </is>
      </c>
      <c r="E127" s="86" t="n">
        <v>275.78</v>
      </c>
      <c r="F127" s="87" t="n">
        <v>11043</v>
      </c>
      <c r="G127" s="87" t="n">
        <v>13</v>
      </c>
      <c r="H127" s="89">
        <f>IFERROR(G127/F127,"")</f>
        <v/>
      </c>
      <c r="I127" s="90">
        <f>IFERROR(E127/G127,"")</f>
        <v/>
      </c>
      <c r="J127" s="90">
        <f>IFERROR(E127/F127*1000,"")</f>
        <v/>
      </c>
      <c r="K127" s="87" t="n">
        <v>8</v>
      </c>
      <c r="L127" s="18">
        <f>IFERROR(K127/G127,"")</f>
        <v/>
      </c>
      <c r="M127" s="87" t="n">
        <v>0</v>
      </c>
      <c r="N127" s="89">
        <f>IFERROR(M127/K127,"")</f>
        <v/>
      </c>
      <c r="O127" s="86">
        <f>IFERROR(E127/M127,"")</f>
        <v/>
      </c>
      <c r="P127" s="87" t="n">
        <v>0</v>
      </c>
      <c r="Q127" s="18">
        <f>IFERROR(P127/M127,"")</f>
        <v/>
      </c>
      <c r="R127" s="86">
        <f>IFERROR(E127/P127,"")</f>
        <v/>
      </c>
      <c r="S127" s="18">
        <f>IFERROR(E127/SUMIFS($E$5:$E$220,$A$5:$A$220,$A127),"")</f>
        <v/>
      </c>
      <c r="T127" s="18">
        <f>IFERROR(M127/SUMIFS($M$5:$M$220,$A$5:$A$220,$A127),"")</f>
        <v/>
      </c>
      <c r="U127" s="111">
        <f>IFERROR(O127/(SUMIFS($E$5:$E$220,$A$5:$A$220,$A127)/SUMIFS($M$5:$M$220,$A$5:$A$220,$A127)),"")</f>
        <v/>
      </c>
    </row>
    <row r="128">
      <c r="A128" s="6" t="inlineStr">
        <is>
          <t>Programmatic</t>
        </is>
      </c>
      <c r="B128" s="78" t="inlineStr">
        <is>
          <t>LEP_ZA_AUG26_PROG_TD_VIDEO_OLV</t>
        </is>
      </c>
      <c r="C128" s="78" t="inlineStr">
        <is>
          <t>65+</t>
        </is>
      </c>
      <c r="D128" s="78" t="inlineStr">
        <is>
          <t>Male</t>
        </is>
      </c>
      <c r="E128" s="86" t="n">
        <v>864.75</v>
      </c>
      <c r="F128" s="87" t="n">
        <v>34627</v>
      </c>
      <c r="G128" s="87" t="n">
        <v>46</v>
      </c>
      <c r="H128" s="89">
        <f>IFERROR(G128/F128,"")</f>
        <v/>
      </c>
      <c r="I128" s="90">
        <f>IFERROR(E128/G128,"")</f>
        <v/>
      </c>
      <c r="J128" s="90">
        <f>IFERROR(E128/F128*1000,"")</f>
        <v/>
      </c>
      <c r="K128" s="87" t="n">
        <v>29</v>
      </c>
      <c r="L128" s="18">
        <f>IFERROR(K128/G128,"")</f>
        <v/>
      </c>
      <c r="M128" s="87" t="n">
        <v>1</v>
      </c>
      <c r="N128" s="89">
        <f>IFERROR(M128/K128,"")</f>
        <v/>
      </c>
      <c r="O128" s="86">
        <f>IFERROR(E128/M128,"")</f>
        <v/>
      </c>
      <c r="P128" s="87" t="n">
        <v>1</v>
      </c>
      <c r="Q128" s="18">
        <f>IFERROR(P128/M128,"")</f>
        <v/>
      </c>
      <c r="R128" s="86">
        <f>IFERROR(E128/P128,"")</f>
        <v/>
      </c>
      <c r="S128" s="18">
        <f>IFERROR(E128/SUMIFS($E$5:$E$220,$A$5:$A$220,$A128),"")</f>
        <v/>
      </c>
      <c r="T128" s="18">
        <f>IFERROR(M128/SUMIFS($M$5:$M$220,$A$5:$A$220,$A128),"")</f>
        <v/>
      </c>
      <c r="U128" s="111">
        <f>IFERROR(O128/(SUMIFS($E$5:$E$220,$A$5:$A$220,$A128)/SUMIFS($M$5:$M$220,$A$5:$A$220,$A128)),"")</f>
        <v/>
      </c>
    </row>
    <row r="129">
      <c r="A129" s="6" t="inlineStr">
        <is>
          <t>Programmatic</t>
        </is>
      </c>
      <c r="B129" s="78" t="inlineStr">
        <is>
          <t>LEP_ZA_AUG26_PROG_TD_VIDEO_OLV</t>
        </is>
      </c>
      <c r="C129" s="78" t="inlineStr">
        <is>
          <t>65+</t>
        </is>
      </c>
      <c r="D129" s="78" t="inlineStr">
        <is>
          <t>Female</t>
        </is>
      </c>
      <c r="E129" s="86" t="n">
        <v>651.1900000000001</v>
      </c>
      <c r="F129" s="87" t="n">
        <v>26076</v>
      </c>
      <c r="G129" s="87" t="n">
        <v>32</v>
      </c>
      <c r="H129" s="89">
        <f>IFERROR(G129/F129,"")</f>
        <v/>
      </c>
      <c r="I129" s="90">
        <f>IFERROR(E129/G129,"")</f>
        <v/>
      </c>
      <c r="J129" s="90">
        <f>IFERROR(E129/F129*1000,"")</f>
        <v/>
      </c>
      <c r="K129" s="87" t="n">
        <v>20</v>
      </c>
      <c r="L129" s="18">
        <f>IFERROR(K129/G129,"")</f>
        <v/>
      </c>
      <c r="M129" s="87" t="n">
        <v>1</v>
      </c>
      <c r="N129" s="89">
        <f>IFERROR(M129/K129,"")</f>
        <v/>
      </c>
      <c r="O129" s="86">
        <f>IFERROR(E129/M129,"")</f>
        <v/>
      </c>
      <c r="P129" s="87" t="n">
        <v>0</v>
      </c>
      <c r="Q129" s="18">
        <f>IFERROR(P129/M129,"")</f>
        <v/>
      </c>
      <c r="R129" s="86">
        <f>IFERROR(E129/P129,"")</f>
        <v/>
      </c>
      <c r="S129" s="18">
        <f>IFERROR(E129/SUMIFS($E$5:$E$220,$A$5:$A$220,$A129),"")</f>
        <v/>
      </c>
      <c r="T129" s="18">
        <f>IFERROR(M129/SUMIFS($M$5:$M$220,$A$5:$A$220,$A129),"")</f>
        <v/>
      </c>
      <c r="U129" s="111">
        <f>IFERROR(O129/(SUMIFS($E$5:$E$220,$A$5:$A$220,$A129)/SUMIFS($M$5:$M$220,$A$5:$A$220,$A129)),"")</f>
        <v/>
      </c>
    </row>
    <row r="130">
      <c r="A130" s="6" t="inlineStr">
        <is>
          <t>Programmatic</t>
        </is>
      </c>
      <c r="B130" s="78" t="inlineStr">
        <is>
          <t>LEP_ZA_AUG26_PROG_TD_VIDEO_OLV</t>
        </is>
      </c>
      <c r="C130" s="78" t="inlineStr">
        <is>
          <t>65+</t>
        </is>
      </c>
      <c r="D130" s="78" t="inlineStr">
        <is>
          <t>Unknown</t>
        </is>
      </c>
      <c r="E130" s="86" t="n">
        <v>132.73</v>
      </c>
      <c r="F130" s="87" t="n">
        <v>5315</v>
      </c>
      <c r="G130" s="87" t="n">
        <v>4</v>
      </c>
      <c r="H130" s="89">
        <f>IFERROR(G130/F130,"")</f>
        <v/>
      </c>
      <c r="I130" s="90">
        <f>IFERROR(E130/G130,"")</f>
        <v/>
      </c>
      <c r="J130" s="90">
        <f>IFERROR(E130/F130*1000,"")</f>
        <v/>
      </c>
      <c r="K130" s="87" t="n">
        <v>3</v>
      </c>
      <c r="L130" s="18">
        <f>IFERROR(K130/G130,"")</f>
        <v/>
      </c>
      <c r="M130" s="87" t="n">
        <v>0</v>
      </c>
      <c r="N130" s="89">
        <f>IFERROR(M130/K130,"")</f>
        <v/>
      </c>
      <c r="O130" s="86">
        <f>IFERROR(E130/M130,"")</f>
        <v/>
      </c>
      <c r="P130" s="87" t="n">
        <v>0</v>
      </c>
      <c r="Q130" s="18">
        <f>IFERROR(P130/M130,"")</f>
        <v/>
      </c>
      <c r="R130" s="86">
        <f>IFERROR(E130/P130,"")</f>
        <v/>
      </c>
      <c r="S130" s="18">
        <f>IFERROR(E130/SUMIFS($E$5:$E$220,$A$5:$A$220,$A130),"")</f>
        <v/>
      </c>
      <c r="T130" s="18">
        <f>IFERROR(M130/SUMIFS($M$5:$M$220,$A$5:$A$220,$A130),"")</f>
        <v/>
      </c>
      <c r="U130" s="111">
        <f>IFERROR(O130/(SUMIFS($E$5:$E$220,$A$5:$A$220,$A130)/SUMIFS($M$5:$M$220,$A$5:$A$220,$A130)),"")</f>
        <v/>
      </c>
    </row>
    <row r="131">
      <c r="A131" s="6" t="inlineStr">
        <is>
          <t>TikTok</t>
        </is>
      </c>
      <c r="B131" s="78" t="inlineStr">
        <is>
          <t>LEP_ZA_AUG26_TT_SPARK_RANGE_TRAFFIC</t>
        </is>
      </c>
      <c r="C131" s="78" t="inlineStr">
        <is>
          <t>18-24</t>
        </is>
      </c>
      <c r="D131" s="78" t="inlineStr">
        <is>
          <t>Male</t>
        </is>
      </c>
      <c r="E131" s="86" t="n">
        <v>3246.7</v>
      </c>
      <c r="F131" s="87" t="n">
        <v>82632</v>
      </c>
      <c r="G131" s="87" t="n">
        <v>588</v>
      </c>
      <c r="H131" s="89">
        <f>IFERROR(G131/F131,"")</f>
        <v/>
      </c>
      <c r="I131" s="90">
        <f>IFERROR(E131/G131,"")</f>
        <v/>
      </c>
      <c r="J131" s="90">
        <f>IFERROR(E131/F131*1000,"")</f>
        <v/>
      </c>
      <c r="K131" s="87" t="n">
        <v>403</v>
      </c>
      <c r="L131" s="18">
        <f>IFERROR(K131/G131,"")</f>
        <v/>
      </c>
      <c r="M131" s="87" t="n">
        <v>6</v>
      </c>
      <c r="N131" s="89">
        <f>IFERROR(M131/K131,"")</f>
        <v/>
      </c>
      <c r="O131" s="86">
        <f>IFERROR(E131/M131,"")</f>
        <v/>
      </c>
      <c r="P131" s="87" t="n">
        <v>3</v>
      </c>
      <c r="Q131" s="18">
        <f>IFERROR(P131/M131,"")</f>
        <v/>
      </c>
      <c r="R131" s="86">
        <f>IFERROR(E131/P131,"")</f>
        <v/>
      </c>
      <c r="S131" s="18">
        <f>IFERROR(E131/SUMIFS($E$5:$E$220,$A$5:$A$220,$A131),"")</f>
        <v/>
      </c>
      <c r="T131" s="18">
        <f>IFERROR(M131/SUMIFS($M$5:$M$220,$A$5:$A$220,$A131),"")</f>
        <v/>
      </c>
      <c r="U131" s="111">
        <f>IFERROR(O131/(SUMIFS($E$5:$E$220,$A$5:$A$220,$A131)/SUMIFS($M$5:$M$220,$A$5:$A$220,$A131)),"")</f>
        <v/>
      </c>
    </row>
    <row r="132">
      <c r="A132" s="6" t="inlineStr">
        <is>
          <t>TikTok</t>
        </is>
      </c>
      <c r="B132" s="78" t="inlineStr">
        <is>
          <t>LEP_ZA_AUG26_TT_SPARK_RANGE_TRAFFIC</t>
        </is>
      </c>
      <c r="C132" s="78" t="inlineStr">
        <is>
          <t>18-24</t>
        </is>
      </c>
      <c r="D132" s="78" t="inlineStr">
        <is>
          <t>Female</t>
        </is>
      </c>
      <c r="E132" s="86" t="n">
        <v>3029.74</v>
      </c>
      <c r="F132" s="87" t="n">
        <v>77111</v>
      </c>
      <c r="G132" s="87" t="n">
        <v>502</v>
      </c>
      <c r="H132" s="89">
        <f>IFERROR(G132/F132,"")</f>
        <v/>
      </c>
      <c r="I132" s="90">
        <f>IFERROR(E132/G132,"")</f>
        <v/>
      </c>
      <c r="J132" s="90">
        <f>IFERROR(E132/F132*1000,"")</f>
        <v/>
      </c>
      <c r="K132" s="87" t="n">
        <v>344</v>
      </c>
      <c r="L132" s="18">
        <f>IFERROR(K132/G132,"")</f>
        <v/>
      </c>
      <c r="M132" s="87" t="n">
        <v>5</v>
      </c>
      <c r="N132" s="89">
        <f>IFERROR(M132/K132,"")</f>
        <v/>
      </c>
      <c r="O132" s="86">
        <f>IFERROR(E132/M132,"")</f>
        <v/>
      </c>
      <c r="P132" s="87" t="n">
        <v>2</v>
      </c>
      <c r="Q132" s="18">
        <f>IFERROR(P132/M132,"")</f>
        <v/>
      </c>
      <c r="R132" s="86">
        <f>IFERROR(E132/P132,"")</f>
        <v/>
      </c>
      <c r="S132" s="18">
        <f>IFERROR(E132/SUMIFS($E$5:$E$220,$A$5:$A$220,$A132),"")</f>
        <v/>
      </c>
      <c r="T132" s="18">
        <f>IFERROR(M132/SUMIFS($M$5:$M$220,$A$5:$A$220,$A132),"")</f>
        <v/>
      </c>
      <c r="U132" s="111">
        <f>IFERROR(O132/(SUMIFS($E$5:$E$220,$A$5:$A$220,$A132)/SUMIFS($M$5:$M$220,$A$5:$A$220,$A132)),"")</f>
        <v/>
      </c>
    </row>
    <row r="133">
      <c r="A133" s="6" t="inlineStr">
        <is>
          <t>TikTok</t>
        </is>
      </c>
      <c r="B133" s="78" t="inlineStr">
        <is>
          <t>LEP_ZA_AUG26_TT_SPARK_RANGE_TRAFFIC</t>
        </is>
      </c>
      <c r="C133" s="78" t="inlineStr">
        <is>
          <t>18-24</t>
        </is>
      </c>
      <c r="D133" s="78" t="inlineStr">
        <is>
          <t>Unknown</t>
        </is>
      </c>
      <c r="E133" s="86" t="n">
        <v>200.27</v>
      </c>
      <c r="F133" s="87" t="n">
        <v>5097</v>
      </c>
      <c r="G133" s="87" t="n">
        <v>21</v>
      </c>
      <c r="H133" s="89">
        <f>IFERROR(G133/F133,"")</f>
        <v/>
      </c>
      <c r="I133" s="90">
        <f>IFERROR(E133/G133,"")</f>
        <v/>
      </c>
      <c r="J133" s="90">
        <f>IFERROR(E133/F133*1000,"")</f>
        <v/>
      </c>
      <c r="K133" s="87" t="n">
        <v>15</v>
      </c>
      <c r="L133" s="18">
        <f>IFERROR(K133/G133,"")</f>
        <v/>
      </c>
      <c r="M133" s="87" t="n">
        <v>0</v>
      </c>
      <c r="N133" s="89">
        <f>IFERROR(M133/K133,"")</f>
        <v/>
      </c>
      <c r="O133" s="86">
        <f>IFERROR(E133/M133,"")</f>
        <v/>
      </c>
      <c r="P133" s="87" t="n">
        <v>0</v>
      </c>
      <c r="Q133" s="18">
        <f>IFERROR(P133/M133,"")</f>
        <v/>
      </c>
      <c r="R133" s="86">
        <f>IFERROR(E133/P133,"")</f>
        <v/>
      </c>
      <c r="S133" s="18">
        <f>IFERROR(E133/SUMIFS($E$5:$E$220,$A$5:$A$220,$A133),"")</f>
        <v/>
      </c>
      <c r="T133" s="18">
        <f>IFERROR(M133/SUMIFS($M$5:$M$220,$A$5:$A$220,$A133),"")</f>
        <v/>
      </c>
      <c r="U133" s="111">
        <f>IFERROR(O133/(SUMIFS($E$5:$E$220,$A$5:$A$220,$A133)/SUMIFS($M$5:$M$220,$A$5:$A$220,$A133)),"")</f>
        <v/>
      </c>
    </row>
    <row r="134">
      <c r="A134" s="6" t="inlineStr">
        <is>
          <t>TikTok</t>
        </is>
      </c>
      <c r="B134" s="78" t="inlineStr">
        <is>
          <t>LEP_ZA_AUG26_TT_SPARK_RANGE_TRAFFIC</t>
        </is>
      </c>
      <c r="C134" s="78" t="inlineStr">
        <is>
          <t>25-34</t>
        </is>
      </c>
      <c r="D134" s="78" t="inlineStr">
        <is>
          <t>Male</t>
        </is>
      </c>
      <c r="E134" s="86" t="n">
        <v>3403.78</v>
      </c>
      <c r="F134" s="87" t="n">
        <v>86630</v>
      </c>
      <c r="G134" s="87" t="n">
        <v>977</v>
      </c>
      <c r="H134" s="89">
        <f>IFERROR(G134/F134,"")</f>
        <v/>
      </c>
      <c r="I134" s="90">
        <f>IFERROR(E134/G134,"")</f>
        <v/>
      </c>
      <c r="J134" s="90">
        <f>IFERROR(E134/F134*1000,"")</f>
        <v/>
      </c>
      <c r="K134" s="87" t="n">
        <v>669</v>
      </c>
      <c r="L134" s="18">
        <f>IFERROR(K134/G134,"")</f>
        <v/>
      </c>
      <c r="M134" s="87" t="n">
        <v>10</v>
      </c>
      <c r="N134" s="89">
        <f>IFERROR(M134/K134,"")</f>
        <v/>
      </c>
      <c r="O134" s="86">
        <f>IFERROR(E134/M134,"")</f>
        <v/>
      </c>
      <c r="P134" s="87" t="n">
        <v>4</v>
      </c>
      <c r="Q134" s="18">
        <f>IFERROR(P134/M134,"")</f>
        <v/>
      </c>
      <c r="R134" s="86">
        <f>IFERROR(E134/P134,"")</f>
        <v/>
      </c>
      <c r="S134" s="18">
        <f>IFERROR(E134/SUMIFS($E$5:$E$220,$A$5:$A$220,$A134),"")</f>
        <v/>
      </c>
      <c r="T134" s="18">
        <f>IFERROR(M134/SUMIFS($M$5:$M$220,$A$5:$A$220,$A134),"")</f>
        <v/>
      </c>
      <c r="U134" s="111">
        <f>IFERROR(O134/(SUMIFS($E$5:$E$220,$A$5:$A$220,$A134)/SUMIFS($M$5:$M$220,$A$5:$A$220,$A134)),"")</f>
        <v/>
      </c>
    </row>
    <row r="135">
      <c r="A135" s="6" t="inlineStr">
        <is>
          <t>TikTok</t>
        </is>
      </c>
      <c r="B135" s="78" t="inlineStr">
        <is>
          <t>LEP_ZA_AUG26_TT_SPARK_RANGE_TRAFFIC</t>
        </is>
      </c>
      <c r="C135" s="78" t="inlineStr">
        <is>
          <t>25-34</t>
        </is>
      </c>
      <c r="D135" s="78" t="inlineStr">
        <is>
          <t>Female</t>
        </is>
      </c>
      <c r="E135" s="86" t="n">
        <v>3682.42</v>
      </c>
      <c r="F135" s="87" t="n">
        <v>93722</v>
      </c>
      <c r="G135" s="87" t="n">
        <v>968</v>
      </c>
      <c r="H135" s="89">
        <f>IFERROR(G135/F135,"")</f>
        <v/>
      </c>
      <c r="I135" s="90">
        <f>IFERROR(E135/G135,"")</f>
        <v/>
      </c>
      <c r="J135" s="90">
        <f>IFERROR(E135/F135*1000,"")</f>
        <v/>
      </c>
      <c r="K135" s="87" t="n">
        <v>663</v>
      </c>
      <c r="L135" s="18">
        <f>IFERROR(K135/G135,"")</f>
        <v/>
      </c>
      <c r="M135" s="87" t="n">
        <v>10</v>
      </c>
      <c r="N135" s="89">
        <f>IFERROR(M135/K135,"")</f>
        <v/>
      </c>
      <c r="O135" s="86">
        <f>IFERROR(E135/M135,"")</f>
        <v/>
      </c>
      <c r="P135" s="87" t="n">
        <v>4</v>
      </c>
      <c r="Q135" s="18">
        <f>IFERROR(P135/M135,"")</f>
        <v/>
      </c>
      <c r="R135" s="86">
        <f>IFERROR(E135/P135,"")</f>
        <v/>
      </c>
      <c r="S135" s="18">
        <f>IFERROR(E135/SUMIFS($E$5:$E$220,$A$5:$A$220,$A135),"")</f>
        <v/>
      </c>
      <c r="T135" s="18">
        <f>IFERROR(M135/SUMIFS($M$5:$M$220,$A$5:$A$220,$A135),"")</f>
        <v/>
      </c>
      <c r="U135" s="111">
        <f>IFERROR(O135/(SUMIFS($E$5:$E$220,$A$5:$A$220,$A135)/SUMIFS($M$5:$M$220,$A$5:$A$220,$A135)),"")</f>
        <v/>
      </c>
    </row>
    <row r="136">
      <c r="A136" s="6" t="inlineStr">
        <is>
          <t>TikTok</t>
        </is>
      </c>
      <c r="B136" s="78" t="inlineStr">
        <is>
          <t>LEP_ZA_AUG26_TT_SPARK_RANGE_TRAFFIC</t>
        </is>
      </c>
      <c r="C136" s="78" t="inlineStr">
        <is>
          <t>25-34</t>
        </is>
      </c>
      <c r="D136" s="78" t="inlineStr">
        <is>
          <t>Unknown</t>
        </is>
      </c>
      <c r="E136" s="86" t="n">
        <v>201.87</v>
      </c>
      <c r="F136" s="87" t="n">
        <v>5138</v>
      </c>
      <c r="G136" s="87" t="n">
        <v>34</v>
      </c>
      <c r="H136" s="89">
        <f>IFERROR(G136/F136,"")</f>
        <v/>
      </c>
      <c r="I136" s="90">
        <f>IFERROR(E136/G136,"")</f>
        <v/>
      </c>
      <c r="J136" s="90">
        <f>IFERROR(E136/F136*1000,"")</f>
        <v/>
      </c>
      <c r="K136" s="87" t="n">
        <v>23</v>
      </c>
      <c r="L136" s="18">
        <f>IFERROR(K136/G136,"")</f>
        <v/>
      </c>
      <c r="M136" s="87" t="n">
        <v>0</v>
      </c>
      <c r="N136" s="89">
        <f>IFERROR(M136/K136,"")</f>
        <v/>
      </c>
      <c r="O136" s="86">
        <f>IFERROR(E136/M136,"")</f>
        <v/>
      </c>
      <c r="P136" s="87" t="n">
        <v>0</v>
      </c>
      <c r="Q136" s="18">
        <f>IFERROR(P136/M136,"")</f>
        <v/>
      </c>
      <c r="R136" s="86">
        <f>IFERROR(E136/P136,"")</f>
        <v/>
      </c>
      <c r="S136" s="18">
        <f>IFERROR(E136/SUMIFS($E$5:$E$220,$A$5:$A$220,$A136),"")</f>
        <v/>
      </c>
      <c r="T136" s="18">
        <f>IFERROR(M136/SUMIFS($M$5:$M$220,$A$5:$A$220,$A136),"")</f>
        <v/>
      </c>
      <c r="U136" s="111">
        <f>IFERROR(O136/(SUMIFS($E$5:$E$220,$A$5:$A$220,$A136)/SUMIFS($M$5:$M$220,$A$5:$A$220,$A136)),"")</f>
        <v/>
      </c>
    </row>
    <row r="137">
      <c r="A137" s="6" t="inlineStr">
        <is>
          <t>TikTok</t>
        </is>
      </c>
      <c r="B137" s="78" t="inlineStr">
        <is>
          <t>LEP_ZA_AUG26_TT_SPARK_RANGE_TRAFFIC</t>
        </is>
      </c>
      <c r="C137" s="78" t="inlineStr">
        <is>
          <t>35-44</t>
        </is>
      </c>
      <c r="D137" s="78" t="inlineStr">
        <is>
          <t>Male</t>
        </is>
      </c>
      <c r="E137" s="86" t="n">
        <v>1642.02</v>
      </c>
      <c r="F137" s="87" t="n">
        <v>41791</v>
      </c>
      <c r="G137" s="87" t="n">
        <v>656</v>
      </c>
      <c r="H137" s="89">
        <f>IFERROR(G137/F137,"")</f>
        <v/>
      </c>
      <c r="I137" s="90">
        <f>IFERROR(E137/G137,"")</f>
        <v/>
      </c>
      <c r="J137" s="90">
        <f>IFERROR(E137/F137*1000,"")</f>
        <v/>
      </c>
      <c r="K137" s="87" t="n">
        <v>449</v>
      </c>
      <c r="L137" s="18">
        <f>IFERROR(K137/G137,"")</f>
        <v/>
      </c>
      <c r="M137" s="87" t="n">
        <v>7</v>
      </c>
      <c r="N137" s="89">
        <f>IFERROR(M137/K137,"")</f>
        <v/>
      </c>
      <c r="O137" s="86">
        <f>IFERROR(E137/M137,"")</f>
        <v/>
      </c>
      <c r="P137" s="87" t="n">
        <v>3</v>
      </c>
      <c r="Q137" s="18">
        <f>IFERROR(P137/M137,"")</f>
        <v/>
      </c>
      <c r="R137" s="86">
        <f>IFERROR(E137/P137,"")</f>
        <v/>
      </c>
      <c r="S137" s="18">
        <f>IFERROR(E137/SUMIFS($E$5:$E$220,$A$5:$A$220,$A137),"")</f>
        <v/>
      </c>
      <c r="T137" s="18">
        <f>IFERROR(M137/SUMIFS($M$5:$M$220,$A$5:$A$220,$A137),"")</f>
        <v/>
      </c>
      <c r="U137" s="111">
        <f>IFERROR(O137/(SUMIFS($E$5:$E$220,$A$5:$A$220,$A137)/SUMIFS($M$5:$M$220,$A$5:$A$220,$A137)),"")</f>
        <v/>
      </c>
    </row>
    <row r="138">
      <c r="A138" s="6" t="inlineStr">
        <is>
          <t>TikTok</t>
        </is>
      </c>
      <c r="B138" s="78" t="inlineStr">
        <is>
          <t>LEP_ZA_AUG26_TT_SPARK_RANGE_TRAFFIC</t>
        </is>
      </c>
      <c r="C138" s="78" t="inlineStr">
        <is>
          <t>35-44</t>
        </is>
      </c>
      <c r="D138" s="78" t="inlineStr">
        <is>
          <t>Female</t>
        </is>
      </c>
      <c r="E138" s="86" t="n">
        <v>1766.7</v>
      </c>
      <c r="F138" s="87" t="n">
        <v>44965</v>
      </c>
      <c r="G138" s="87" t="n">
        <v>646</v>
      </c>
      <c r="H138" s="89">
        <f>IFERROR(G138/F138,"")</f>
        <v/>
      </c>
      <c r="I138" s="90">
        <f>IFERROR(E138/G138,"")</f>
        <v/>
      </c>
      <c r="J138" s="90">
        <f>IFERROR(E138/F138*1000,"")</f>
        <v/>
      </c>
      <c r="K138" s="87" t="n">
        <v>442</v>
      </c>
      <c r="L138" s="18">
        <f>IFERROR(K138/G138,"")</f>
        <v/>
      </c>
      <c r="M138" s="87" t="n">
        <v>7</v>
      </c>
      <c r="N138" s="89">
        <f>IFERROR(M138/K138,"")</f>
        <v/>
      </c>
      <c r="O138" s="86">
        <f>IFERROR(E138/M138,"")</f>
        <v/>
      </c>
      <c r="P138" s="87" t="n">
        <v>3</v>
      </c>
      <c r="Q138" s="18">
        <f>IFERROR(P138/M138,"")</f>
        <v/>
      </c>
      <c r="R138" s="86">
        <f>IFERROR(E138/P138,"")</f>
        <v/>
      </c>
      <c r="S138" s="18">
        <f>IFERROR(E138/SUMIFS($E$5:$E$220,$A$5:$A$220,$A138),"")</f>
        <v/>
      </c>
      <c r="T138" s="18">
        <f>IFERROR(M138/SUMIFS($M$5:$M$220,$A$5:$A$220,$A138),"")</f>
        <v/>
      </c>
      <c r="U138" s="111">
        <f>IFERROR(O138/(SUMIFS($E$5:$E$220,$A$5:$A$220,$A138)/SUMIFS($M$5:$M$220,$A$5:$A$220,$A138)),"")</f>
        <v/>
      </c>
    </row>
    <row r="139">
      <c r="A139" s="6" t="inlineStr">
        <is>
          <t>TikTok</t>
        </is>
      </c>
      <c r="B139" s="78" t="inlineStr">
        <is>
          <t>LEP_ZA_AUG26_TT_SPARK_RANGE_TRAFFIC</t>
        </is>
      </c>
      <c r="C139" s="78" t="inlineStr">
        <is>
          <t>35-44</t>
        </is>
      </c>
      <c r="D139" s="78" t="inlineStr">
        <is>
          <t>Unknown</t>
        </is>
      </c>
      <c r="E139" s="86" t="n">
        <v>106.23</v>
      </c>
      <c r="F139" s="87" t="n">
        <v>2704</v>
      </c>
      <c r="G139" s="87" t="n">
        <v>25</v>
      </c>
      <c r="H139" s="89">
        <f>IFERROR(G139/F139,"")</f>
        <v/>
      </c>
      <c r="I139" s="90">
        <f>IFERROR(E139/G139,"")</f>
        <v/>
      </c>
      <c r="J139" s="90">
        <f>IFERROR(E139/F139*1000,"")</f>
        <v/>
      </c>
      <c r="K139" s="87" t="n">
        <v>17</v>
      </c>
      <c r="L139" s="18">
        <f>IFERROR(K139/G139,"")</f>
        <v/>
      </c>
      <c r="M139" s="87" t="n">
        <v>0</v>
      </c>
      <c r="N139" s="89">
        <f>IFERROR(M139/K139,"")</f>
        <v/>
      </c>
      <c r="O139" s="86">
        <f>IFERROR(E139/M139,"")</f>
        <v/>
      </c>
      <c r="P139" s="87" t="n">
        <v>0</v>
      </c>
      <c r="Q139" s="18">
        <f>IFERROR(P139/M139,"")</f>
        <v/>
      </c>
      <c r="R139" s="86">
        <f>IFERROR(E139/P139,"")</f>
        <v/>
      </c>
      <c r="S139" s="18">
        <f>IFERROR(E139/SUMIFS($E$5:$E$220,$A$5:$A$220,$A139),"")</f>
        <v/>
      </c>
      <c r="T139" s="18">
        <f>IFERROR(M139/SUMIFS($M$5:$M$220,$A$5:$A$220,$A139),"")</f>
        <v/>
      </c>
      <c r="U139" s="111">
        <f>IFERROR(O139/(SUMIFS($E$5:$E$220,$A$5:$A$220,$A139)/SUMIFS($M$5:$M$220,$A$5:$A$220,$A139)),"")</f>
        <v/>
      </c>
    </row>
    <row r="140">
      <c r="A140" s="6" t="inlineStr">
        <is>
          <t>TikTok</t>
        </is>
      </c>
      <c r="B140" s="78" t="inlineStr">
        <is>
          <t>LEP_ZA_AUG26_TT_SPARK_RANGE_TRAFFIC</t>
        </is>
      </c>
      <c r="C140" s="78" t="inlineStr">
        <is>
          <t>45-54</t>
        </is>
      </c>
      <c r="D140" s="78" t="inlineStr">
        <is>
          <t>Male</t>
        </is>
      </c>
      <c r="E140" s="86" t="n">
        <v>731.95</v>
      </c>
      <c r="F140" s="87" t="n">
        <v>18629</v>
      </c>
      <c r="G140" s="87" t="n">
        <v>306</v>
      </c>
      <c r="H140" s="89">
        <f>IFERROR(G140/F140,"")</f>
        <v/>
      </c>
      <c r="I140" s="90">
        <f>IFERROR(E140/G140,"")</f>
        <v/>
      </c>
      <c r="J140" s="90">
        <f>IFERROR(E140/F140*1000,"")</f>
        <v/>
      </c>
      <c r="K140" s="87" t="n">
        <v>210</v>
      </c>
      <c r="L140" s="18">
        <f>IFERROR(K140/G140,"")</f>
        <v/>
      </c>
      <c r="M140" s="87" t="n">
        <v>3</v>
      </c>
      <c r="N140" s="89">
        <f>IFERROR(M140/K140,"")</f>
        <v/>
      </c>
      <c r="O140" s="86">
        <f>IFERROR(E140/M140,"")</f>
        <v/>
      </c>
      <c r="P140" s="87" t="n">
        <v>1</v>
      </c>
      <c r="Q140" s="18">
        <f>IFERROR(P140/M140,"")</f>
        <v/>
      </c>
      <c r="R140" s="86">
        <f>IFERROR(E140/P140,"")</f>
        <v/>
      </c>
      <c r="S140" s="18">
        <f>IFERROR(E140/SUMIFS($E$5:$E$220,$A$5:$A$220,$A140),"")</f>
        <v/>
      </c>
      <c r="T140" s="18">
        <f>IFERROR(M140/SUMIFS($M$5:$M$220,$A$5:$A$220,$A140),"")</f>
        <v/>
      </c>
      <c r="U140" s="111">
        <f>IFERROR(O140/(SUMIFS($E$5:$E$220,$A$5:$A$220,$A140)/SUMIFS($M$5:$M$220,$A$5:$A$220,$A140)),"")</f>
        <v/>
      </c>
    </row>
    <row r="141">
      <c r="A141" s="6" t="inlineStr">
        <is>
          <t>TikTok</t>
        </is>
      </c>
      <c r="B141" s="78" t="inlineStr">
        <is>
          <t>LEP_ZA_AUG26_TT_SPARK_RANGE_TRAFFIC</t>
        </is>
      </c>
      <c r="C141" s="78" t="inlineStr">
        <is>
          <t>45-54</t>
        </is>
      </c>
      <c r="D141" s="78" t="inlineStr">
        <is>
          <t>Female</t>
        </is>
      </c>
      <c r="E141" s="86" t="n">
        <v>702.0700000000001</v>
      </c>
      <c r="F141" s="87" t="n">
        <v>17869</v>
      </c>
      <c r="G141" s="87" t="n">
        <v>269</v>
      </c>
      <c r="H141" s="89">
        <f>IFERROR(G141/F141,"")</f>
        <v/>
      </c>
      <c r="I141" s="90">
        <f>IFERROR(E141/G141,"")</f>
        <v/>
      </c>
      <c r="J141" s="90">
        <f>IFERROR(E141/F141*1000,"")</f>
        <v/>
      </c>
      <c r="K141" s="87" t="n">
        <v>184</v>
      </c>
      <c r="L141" s="18">
        <f>IFERROR(K141/G141,"")</f>
        <v/>
      </c>
      <c r="M141" s="87" t="n">
        <v>3</v>
      </c>
      <c r="N141" s="89">
        <f>IFERROR(M141/K141,"")</f>
        <v/>
      </c>
      <c r="O141" s="86">
        <f>IFERROR(E141/M141,"")</f>
        <v/>
      </c>
      <c r="P141" s="87" t="n">
        <v>1</v>
      </c>
      <c r="Q141" s="18">
        <f>IFERROR(P141/M141,"")</f>
        <v/>
      </c>
      <c r="R141" s="86">
        <f>IFERROR(E141/P141,"")</f>
        <v/>
      </c>
      <c r="S141" s="18">
        <f>IFERROR(E141/SUMIFS($E$5:$E$220,$A$5:$A$220,$A141),"")</f>
        <v/>
      </c>
      <c r="T141" s="18">
        <f>IFERROR(M141/SUMIFS($M$5:$M$220,$A$5:$A$220,$A141),"")</f>
        <v/>
      </c>
      <c r="U141" s="111">
        <f>IFERROR(O141/(SUMIFS($E$5:$E$220,$A$5:$A$220,$A141)/SUMIFS($M$5:$M$220,$A$5:$A$220,$A141)),"")</f>
        <v/>
      </c>
    </row>
    <row r="142">
      <c r="A142" s="6" t="inlineStr">
        <is>
          <t>TikTok</t>
        </is>
      </c>
      <c r="B142" s="78" t="inlineStr">
        <is>
          <t>LEP_ZA_AUG26_TT_SPARK_RANGE_TRAFFIC</t>
        </is>
      </c>
      <c r="C142" s="78" t="inlineStr">
        <is>
          <t>45-54</t>
        </is>
      </c>
      <c r="D142" s="78" t="inlineStr">
        <is>
          <t>Unknown</t>
        </is>
      </c>
      <c r="E142" s="86" t="n">
        <v>45.79</v>
      </c>
      <c r="F142" s="87" t="n">
        <v>1165</v>
      </c>
      <c r="G142" s="87" t="n">
        <v>11</v>
      </c>
      <c r="H142" s="89">
        <f>IFERROR(G142/F142,"")</f>
        <v/>
      </c>
      <c r="I142" s="90">
        <f>IFERROR(E142/G142,"")</f>
        <v/>
      </c>
      <c r="J142" s="90">
        <f>IFERROR(E142/F142*1000,"")</f>
        <v/>
      </c>
      <c r="K142" s="87" t="n">
        <v>8</v>
      </c>
      <c r="L142" s="18">
        <f>IFERROR(K142/G142,"")</f>
        <v/>
      </c>
      <c r="M142" s="87" t="n">
        <v>0</v>
      </c>
      <c r="N142" s="89">
        <f>IFERROR(M142/K142,"")</f>
        <v/>
      </c>
      <c r="O142" s="86">
        <f>IFERROR(E142/M142,"")</f>
        <v/>
      </c>
      <c r="P142" s="87" t="n">
        <v>0</v>
      </c>
      <c r="Q142" s="18">
        <f>IFERROR(P142/M142,"")</f>
        <v/>
      </c>
      <c r="R142" s="86">
        <f>IFERROR(E142/P142,"")</f>
        <v/>
      </c>
      <c r="S142" s="18">
        <f>IFERROR(E142/SUMIFS($E$5:$E$220,$A$5:$A$220,$A142),"")</f>
        <v/>
      </c>
      <c r="T142" s="18">
        <f>IFERROR(M142/SUMIFS($M$5:$M$220,$A$5:$A$220,$A142),"")</f>
        <v/>
      </c>
      <c r="U142" s="111">
        <f>IFERROR(O142/(SUMIFS($E$5:$E$220,$A$5:$A$220,$A142)/SUMIFS($M$5:$M$220,$A$5:$A$220,$A142)),"")</f>
        <v/>
      </c>
    </row>
    <row r="143">
      <c r="A143" s="6" t="inlineStr">
        <is>
          <t>TikTok</t>
        </is>
      </c>
      <c r="B143" s="78" t="inlineStr">
        <is>
          <t>LEP_ZA_AUG26_TT_SPARK_RANGE_TRAFFIC</t>
        </is>
      </c>
      <c r="C143" s="78" t="inlineStr">
        <is>
          <t>55-64</t>
        </is>
      </c>
      <c r="D143" s="78" t="inlineStr">
        <is>
          <t>Male</t>
        </is>
      </c>
      <c r="E143" s="86" t="n">
        <v>255.85</v>
      </c>
      <c r="F143" s="87" t="n">
        <v>6512</v>
      </c>
      <c r="G143" s="87" t="n">
        <v>84</v>
      </c>
      <c r="H143" s="89">
        <f>IFERROR(G143/F143,"")</f>
        <v/>
      </c>
      <c r="I143" s="90">
        <f>IFERROR(E143/G143,"")</f>
        <v/>
      </c>
      <c r="J143" s="90">
        <f>IFERROR(E143/F143*1000,"")</f>
        <v/>
      </c>
      <c r="K143" s="87" t="n">
        <v>57</v>
      </c>
      <c r="L143" s="18">
        <f>IFERROR(K143/G143,"")</f>
        <v/>
      </c>
      <c r="M143" s="87" t="n">
        <v>1</v>
      </c>
      <c r="N143" s="89">
        <f>IFERROR(M143/K143,"")</f>
        <v/>
      </c>
      <c r="O143" s="86">
        <f>IFERROR(E143/M143,"")</f>
        <v/>
      </c>
      <c r="P143" s="87" t="n">
        <v>0</v>
      </c>
      <c r="Q143" s="18">
        <f>IFERROR(P143/M143,"")</f>
        <v/>
      </c>
      <c r="R143" s="86">
        <f>IFERROR(E143/P143,"")</f>
        <v/>
      </c>
      <c r="S143" s="18">
        <f>IFERROR(E143/SUMIFS($E$5:$E$220,$A$5:$A$220,$A143),"")</f>
        <v/>
      </c>
      <c r="T143" s="18">
        <f>IFERROR(M143/SUMIFS($M$5:$M$220,$A$5:$A$220,$A143),"")</f>
        <v/>
      </c>
      <c r="U143" s="111">
        <f>IFERROR(O143/(SUMIFS($E$5:$E$220,$A$5:$A$220,$A143)/SUMIFS($M$5:$M$220,$A$5:$A$220,$A143)),"")</f>
        <v/>
      </c>
    </row>
    <row r="144">
      <c r="A144" s="6" t="inlineStr">
        <is>
          <t>TikTok</t>
        </is>
      </c>
      <c r="B144" s="78" t="inlineStr">
        <is>
          <t>LEP_ZA_AUG26_TT_SPARK_RANGE_TRAFFIC</t>
        </is>
      </c>
      <c r="C144" s="78" t="inlineStr">
        <is>
          <t>55-64</t>
        </is>
      </c>
      <c r="D144" s="78" t="inlineStr">
        <is>
          <t>Female</t>
        </is>
      </c>
      <c r="E144" s="86" t="n">
        <v>259.13</v>
      </c>
      <c r="F144" s="87" t="n">
        <v>6595</v>
      </c>
      <c r="G144" s="87" t="n">
        <v>78</v>
      </c>
      <c r="H144" s="89">
        <f>IFERROR(G144/F144,"")</f>
        <v/>
      </c>
      <c r="I144" s="90">
        <f>IFERROR(E144/G144,"")</f>
        <v/>
      </c>
      <c r="J144" s="90">
        <f>IFERROR(E144/F144*1000,"")</f>
        <v/>
      </c>
      <c r="K144" s="87" t="n">
        <v>53</v>
      </c>
      <c r="L144" s="18">
        <f>IFERROR(K144/G144,"")</f>
        <v/>
      </c>
      <c r="M144" s="87" t="n">
        <v>1</v>
      </c>
      <c r="N144" s="89">
        <f>IFERROR(M144/K144,"")</f>
        <v/>
      </c>
      <c r="O144" s="86">
        <f>IFERROR(E144/M144,"")</f>
        <v/>
      </c>
      <c r="P144" s="87" t="n">
        <v>0</v>
      </c>
      <c r="Q144" s="18">
        <f>IFERROR(P144/M144,"")</f>
        <v/>
      </c>
      <c r="R144" s="86">
        <f>IFERROR(E144/P144,"")</f>
        <v/>
      </c>
      <c r="S144" s="18">
        <f>IFERROR(E144/SUMIFS($E$5:$E$220,$A$5:$A$220,$A144),"")</f>
        <v/>
      </c>
      <c r="T144" s="18">
        <f>IFERROR(M144/SUMIFS($M$5:$M$220,$A$5:$A$220,$A144),"")</f>
        <v/>
      </c>
      <c r="U144" s="111">
        <f>IFERROR(O144/(SUMIFS($E$5:$E$220,$A$5:$A$220,$A144)/SUMIFS($M$5:$M$220,$A$5:$A$220,$A144)),"")</f>
        <v/>
      </c>
    </row>
    <row r="145">
      <c r="A145" s="6" t="inlineStr">
        <is>
          <t>TikTok</t>
        </is>
      </c>
      <c r="B145" s="78" t="inlineStr">
        <is>
          <t>LEP_ZA_AUG26_TT_SPARK_RANGE_TRAFFIC</t>
        </is>
      </c>
      <c r="C145" s="78" t="inlineStr">
        <is>
          <t>55-64</t>
        </is>
      </c>
      <c r="D145" s="78" t="inlineStr">
        <is>
          <t>Unknown</t>
        </is>
      </c>
      <c r="E145" s="86" t="n">
        <v>15.89</v>
      </c>
      <c r="F145" s="87" t="n">
        <v>404</v>
      </c>
      <c r="G145" s="87" t="n">
        <v>3</v>
      </c>
      <c r="H145" s="89">
        <f>IFERROR(G145/F145,"")</f>
        <v/>
      </c>
      <c r="I145" s="90">
        <f>IFERROR(E145/G145,"")</f>
        <v/>
      </c>
      <c r="J145" s="90">
        <f>IFERROR(E145/F145*1000,"")</f>
        <v/>
      </c>
      <c r="K145" s="87" t="n">
        <v>2</v>
      </c>
      <c r="L145" s="18">
        <f>IFERROR(K145/G145,"")</f>
        <v/>
      </c>
      <c r="M145" s="87" t="n">
        <v>0</v>
      </c>
      <c r="N145" s="89">
        <f>IFERROR(M145/K145,"")</f>
        <v/>
      </c>
      <c r="O145" s="86">
        <f>IFERROR(E145/M145,"")</f>
        <v/>
      </c>
      <c r="P145" s="87" t="n">
        <v>0</v>
      </c>
      <c r="Q145" s="18">
        <f>IFERROR(P145/M145,"")</f>
        <v/>
      </c>
      <c r="R145" s="86">
        <f>IFERROR(E145/P145,"")</f>
        <v/>
      </c>
      <c r="S145" s="18">
        <f>IFERROR(E145/SUMIFS($E$5:$E$220,$A$5:$A$220,$A145),"")</f>
        <v/>
      </c>
      <c r="T145" s="18">
        <f>IFERROR(M145/SUMIFS($M$5:$M$220,$A$5:$A$220,$A145),"")</f>
        <v/>
      </c>
      <c r="U145" s="111">
        <f>IFERROR(O145/(SUMIFS($E$5:$E$220,$A$5:$A$220,$A145)/SUMIFS($M$5:$M$220,$A$5:$A$220,$A145)),"")</f>
        <v/>
      </c>
    </row>
    <row r="146">
      <c r="A146" s="6" t="inlineStr">
        <is>
          <t>TikTok</t>
        </is>
      </c>
      <c r="B146" s="78" t="inlineStr">
        <is>
          <t>LEP_ZA_AUG26_TT_SPARK_RANGE_TRAFFIC</t>
        </is>
      </c>
      <c r="C146" s="78" t="inlineStr">
        <is>
          <t>65+</t>
        </is>
      </c>
      <c r="D146" s="78" t="inlineStr">
        <is>
          <t>Male</t>
        </is>
      </c>
      <c r="E146" s="86" t="n">
        <v>83.8</v>
      </c>
      <c r="F146" s="87" t="n">
        <v>2133</v>
      </c>
      <c r="G146" s="87" t="n">
        <v>18</v>
      </c>
      <c r="H146" s="89">
        <f>IFERROR(G146/F146,"")</f>
        <v/>
      </c>
      <c r="I146" s="90">
        <f>IFERROR(E146/G146,"")</f>
        <v/>
      </c>
      <c r="J146" s="90">
        <f>IFERROR(E146/F146*1000,"")</f>
        <v/>
      </c>
      <c r="K146" s="87" t="n">
        <v>13</v>
      </c>
      <c r="L146" s="18">
        <f>IFERROR(K146/G146,"")</f>
        <v/>
      </c>
      <c r="M146" s="87" t="n">
        <v>0</v>
      </c>
      <c r="N146" s="89">
        <f>IFERROR(M146/K146,"")</f>
        <v/>
      </c>
      <c r="O146" s="86">
        <f>IFERROR(E146/M146,"")</f>
        <v/>
      </c>
      <c r="P146" s="87" t="n">
        <v>0</v>
      </c>
      <c r="Q146" s="18">
        <f>IFERROR(P146/M146,"")</f>
        <v/>
      </c>
      <c r="R146" s="86">
        <f>IFERROR(E146/P146,"")</f>
        <v/>
      </c>
      <c r="S146" s="18">
        <f>IFERROR(E146/SUMIFS($E$5:$E$220,$A$5:$A$220,$A146),"")</f>
        <v/>
      </c>
      <c r="T146" s="18">
        <f>IFERROR(M146/SUMIFS($M$5:$M$220,$A$5:$A$220,$A146),"")</f>
        <v/>
      </c>
      <c r="U146" s="111">
        <f>IFERROR(O146/(SUMIFS($E$5:$E$220,$A$5:$A$220,$A146)/SUMIFS($M$5:$M$220,$A$5:$A$220,$A146)),"")</f>
        <v/>
      </c>
    </row>
    <row r="147">
      <c r="A147" s="6" t="inlineStr">
        <is>
          <t>TikTok</t>
        </is>
      </c>
      <c r="B147" s="78" t="inlineStr">
        <is>
          <t>LEP_ZA_AUG26_TT_SPARK_RANGE_TRAFFIC</t>
        </is>
      </c>
      <c r="C147" s="78" t="inlineStr">
        <is>
          <t>65+</t>
        </is>
      </c>
      <c r="D147" s="78" t="inlineStr">
        <is>
          <t>Female</t>
        </is>
      </c>
      <c r="E147" s="86" t="n">
        <v>93.73999999999999</v>
      </c>
      <c r="F147" s="87" t="n">
        <v>2386</v>
      </c>
      <c r="G147" s="87" t="n">
        <v>19</v>
      </c>
      <c r="H147" s="89">
        <f>IFERROR(G147/F147,"")</f>
        <v/>
      </c>
      <c r="I147" s="90">
        <f>IFERROR(E147/G147,"")</f>
        <v/>
      </c>
      <c r="J147" s="90">
        <f>IFERROR(E147/F147*1000,"")</f>
        <v/>
      </c>
      <c r="K147" s="87" t="n">
        <v>13</v>
      </c>
      <c r="L147" s="18">
        <f>IFERROR(K147/G147,"")</f>
        <v/>
      </c>
      <c r="M147" s="87" t="n">
        <v>0</v>
      </c>
      <c r="N147" s="89">
        <f>IFERROR(M147/K147,"")</f>
        <v/>
      </c>
      <c r="O147" s="86">
        <f>IFERROR(E147/M147,"")</f>
        <v/>
      </c>
      <c r="P147" s="87" t="n">
        <v>0</v>
      </c>
      <c r="Q147" s="18">
        <f>IFERROR(P147/M147,"")</f>
        <v/>
      </c>
      <c r="R147" s="86">
        <f>IFERROR(E147/P147,"")</f>
        <v/>
      </c>
      <c r="S147" s="18">
        <f>IFERROR(E147/SUMIFS($E$5:$E$220,$A$5:$A$220,$A147),"")</f>
        <v/>
      </c>
      <c r="T147" s="18">
        <f>IFERROR(M147/SUMIFS($M$5:$M$220,$A$5:$A$220,$A147),"")</f>
        <v/>
      </c>
      <c r="U147" s="111">
        <f>IFERROR(O147/(SUMIFS($E$5:$E$220,$A$5:$A$220,$A147)/SUMIFS($M$5:$M$220,$A$5:$A$220,$A147)),"")</f>
        <v/>
      </c>
    </row>
    <row r="148">
      <c r="A148" s="6" t="inlineStr">
        <is>
          <t>TikTok</t>
        </is>
      </c>
      <c r="B148" s="78" t="inlineStr">
        <is>
          <t>LEP_ZA_AUG26_TT_SPARK_RANGE_TRAFFIC</t>
        </is>
      </c>
      <c r="C148" s="78" t="inlineStr">
        <is>
          <t>65+</t>
        </is>
      </c>
      <c r="D148" s="78" t="inlineStr">
        <is>
          <t>Unknown</t>
        </is>
      </c>
      <c r="E148" s="86" t="n">
        <v>5.33</v>
      </c>
      <c r="F148" s="87" t="n">
        <v>136</v>
      </c>
      <c r="G148" s="87" t="n">
        <v>1</v>
      </c>
      <c r="H148" s="89">
        <f>IFERROR(G148/F148,"")</f>
        <v/>
      </c>
      <c r="I148" s="90">
        <f>IFERROR(E148/G148,"")</f>
        <v/>
      </c>
      <c r="J148" s="90">
        <f>IFERROR(E148/F148*1000,"")</f>
        <v/>
      </c>
      <c r="K148" s="87" t="n">
        <v>0</v>
      </c>
      <c r="L148" s="18">
        <f>IFERROR(K148/G148,"")</f>
        <v/>
      </c>
      <c r="M148" s="87" t="n">
        <v>0</v>
      </c>
      <c r="N148" s="89">
        <f>IFERROR(M148/K148,"")</f>
        <v/>
      </c>
      <c r="O148" s="86">
        <f>IFERROR(E148/M148,"")</f>
        <v/>
      </c>
      <c r="P148" s="87" t="n">
        <v>0</v>
      </c>
      <c r="Q148" s="18">
        <f>IFERROR(P148/M148,"")</f>
        <v/>
      </c>
      <c r="R148" s="86">
        <f>IFERROR(E148/P148,"")</f>
        <v/>
      </c>
      <c r="S148" s="18">
        <f>IFERROR(E148/SUMIFS($E$5:$E$220,$A$5:$A$220,$A148),"")</f>
        <v/>
      </c>
      <c r="T148" s="18">
        <f>IFERROR(M148/SUMIFS($M$5:$M$220,$A$5:$A$220,$A148),"")</f>
        <v/>
      </c>
      <c r="U148" s="111">
        <f>IFERROR(O148/(SUMIFS($E$5:$E$220,$A$5:$A$220,$A148)/SUMIFS($M$5:$M$220,$A$5:$A$220,$A148)),"")</f>
        <v/>
      </c>
    </row>
    <row r="149">
      <c r="A149" s="6" t="inlineStr">
        <is>
          <t>TikTok</t>
        </is>
      </c>
      <c r="B149" s="78" t="inlineStr">
        <is>
          <t>LEP_ZA_AUG26_TT_TD_AMUR_CONV</t>
        </is>
      </c>
      <c r="C149" s="78" t="inlineStr">
        <is>
          <t>18-24</t>
        </is>
      </c>
      <c r="D149" s="78" t="inlineStr">
        <is>
          <t>Male</t>
        </is>
      </c>
      <c r="E149" s="86" t="n">
        <v>5445.58</v>
      </c>
      <c r="F149" s="87" t="n">
        <v>150881</v>
      </c>
      <c r="G149" s="87" t="n">
        <v>894</v>
      </c>
      <c r="H149" s="89">
        <f>IFERROR(G149/F149,"")</f>
        <v/>
      </c>
      <c r="I149" s="90">
        <f>IFERROR(E149/G149,"")</f>
        <v/>
      </c>
      <c r="J149" s="90">
        <f>IFERROR(E149/F149*1000,"")</f>
        <v/>
      </c>
      <c r="K149" s="87" t="n">
        <v>607</v>
      </c>
      <c r="L149" s="18">
        <f>IFERROR(K149/G149,"")</f>
        <v/>
      </c>
      <c r="M149" s="87" t="n">
        <v>6</v>
      </c>
      <c r="N149" s="89">
        <f>IFERROR(M149/K149,"")</f>
        <v/>
      </c>
      <c r="O149" s="86">
        <f>IFERROR(E149/M149,"")</f>
        <v/>
      </c>
      <c r="P149" s="87" t="n">
        <v>4</v>
      </c>
      <c r="Q149" s="18">
        <f>IFERROR(P149/M149,"")</f>
        <v/>
      </c>
      <c r="R149" s="86">
        <f>IFERROR(E149/P149,"")</f>
        <v/>
      </c>
      <c r="S149" s="18">
        <f>IFERROR(E149/SUMIFS($E$5:$E$220,$A$5:$A$220,$A149),"")</f>
        <v/>
      </c>
      <c r="T149" s="18">
        <f>IFERROR(M149/SUMIFS($M$5:$M$220,$A$5:$A$220,$A149),"")</f>
        <v/>
      </c>
      <c r="U149" s="111">
        <f>IFERROR(O149/(SUMIFS($E$5:$E$220,$A$5:$A$220,$A149)/SUMIFS($M$5:$M$220,$A$5:$A$220,$A149)),"")</f>
        <v/>
      </c>
    </row>
    <row r="150">
      <c r="A150" s="6" t="inlineStr">
        <is>
          <t>TikTok</t>
        </is>
      </c>
      <c r="B150" s="78" t="inlineStr">
        <is>
          <t>LEP_ZA_AUG26_TT_TD_AMUR_CONV</t>
        </is>
      </c>
      <c r="C150" s="78" t="inlineStr">
        <is>
          <t>18-24</t>
        </is>
      </c>
      <c r="D150" s="78" t="inlineStr">
        <is>
          <t>Female</t>
        </is>
      </c>
      <c r="E150" s="86" t="n">
        <v>6130.33</v>
      </c>
      <c r="F150" s="87" t="n">
        <v>169854</v>
      </c>
      <c r="G150" s="87" t="n">
        <v>921</v>
      </c>
      <c r="H150" s="89">
        <f>IFERROR(G150/F150,"")</f>
        <v/>
      </c>
      <c r="I150" s="90">
        <f>IFERROR(E150/G150,"")</f>
        <v/>
      </c>
      <c r="J150" s="90">
        <f>IFERROR(E150/F150*1000,"")</f>
        <v/>
      </c>
      <c r="K150" s="87" t="n">
        <v>625</v>
      </c>
      <c r="L150" s="18">
        <f>IFERROR(K150/G150,"")</f>
        <v/>
      </c>
      <c r="M150" s="87" t="n">
        <v>6</v>
      </c>
      <c r="N150" s="89">
        <f>IFERROR(M150/K150,"")</f>
        <v/>
      </c>
      <c r="O150" s="86">
        <f>IFERROR(E150/M150,"")</f>
        <v/>
      </c>
      <c r="P150" s="87" t="n">
        <v>4</v>
      </c>
      <c r="Q150" s="18">
        <f>IFERROR(P150/M150,"")</f>
        <v/>
      </c>
      <c r="R150" s="86">
        <f>IFERROR(E150/P150,"")</f>
        <v/>
      </c>
      <c r="S150" s="18">
        <f>IFERROR(E150/SUMIFS($E$5:$E$220,$A$5:$A$220,$A150),"")</f>
        <v/>
      </c>
      <c r="T150" s="18">
        <f>IFERROR(M150/SUMIFS($M$5:$M$220,$A$5:$A$220,$A150),"")</f>
        <v/>
      </c>
      <c r="U150" s="111">
        <f>IFERROR(O150/(SUMIFS($E$5:$E$220,$A$5:$A$220,$A150)/SUMIFS($M$5:$M$220,$A$5:$A$220,$A150)),"")</f>
        <v/>
      </c>
    </row>
    <row r="151">
      <c r="A151" s="6" t="inlineStr">
        <is>
          <t>TikTok</t>
        </is>
      </c>
      <c r="B151" s="78" t="inlineStr">
        <is>
          <t>LEP_ZA_AUG26_TT_TD_AMUR_CONV</t>
        </is>
      </c>
      <c r="C151" s="78" t="inlineStr">
        <is>
          <t>18-24</t>
        </is>
      </c>
      <c r="D151" s="78" t="inlineStr">
        <is>
          <t>Unknown</t>
        </is>
      </c>
      <c r="E151" s="86" t="n">
        <v>316.05</v>
      </c>
      <c r="F151" s="87" t="n">
        <v>8757</v>
      </c>
      <c r="G151" s="87" t="n">
        <v>30</v>
      </c>
      <c r="H151" s="89">
        <f>IFERROR(G151/F151,"")</f>
        <v/>
      </c>
      <c r="I151" s="90">
        <f>IFERROR(E151/G151,"")</f>
        <v/>
      </c>
      <c r="J151" s="90">
        <f>IFERROR(E151/F151*1000,"")</f>
        <v/>
      </c>
      <c r="K151" s="87" t="n">
        <v>20</v>
      </c>
      <c r="L151" s="18">
        <f>IFERROR(K151/G151,"")</f>
        <v/>
      </c>
      <c r="M151" s="87" t="n">
        <v>0</v>
      </c>
      <c r="N151" s="89">
        <f>IFERROR(M151/K151,"")</f>
        <v/>
      </c>
      <c r="O151" s="86">
        <f>IFERROR(E151/M151,"")</f>
        <v/>
      </c>
      <c r="P151" s="87" t="n">
        <v>0</v>
      </c>
      <c r="Q151" s="18">
        <f>IFERROR(P151/M151,"")</f>
        <v/>
      </c>
      <c r="R151" s="86">
        <f>IFERROR(E151/P151,"")</f>
        <v/>
      </c>
      <c r="S151" s="18">
        <f>IFERROR(E151/SUMIFS($E$5:$E$220,$A$5:$A$220,$A151),"")</f>
        <v/>
      </c>
      <c r="T151" s="18">
        <f>IFERROR(M151/SUMIFS($M$5:$M$220,$A$5:$A$220,$A151),"")</f>
        <v/>
      </c>
      <c r="U151" s="111">
        <f>IFERROR(O151/(SUMIFS($E$5:$E$220,$A$5:$A$220,$A151)/SUMIFS($M$5:$M$220,$A$5:$A$220,$A151)),"")</f>
        <v/>
      </c>
    </row>
    <row r="152">
      <c r="A152" s="6" t="inlineStr">
        <is>
          <t>TikTok</t>
        </is>
      </c>
      <c r="B152" s="78" t="inlineStr">
        <is>
          <t>LEP_ZA_AUG26_TT_TD_AMUR_CONV</t>
        </is>
      </c>
      <c r="C152" s="78" t="inlineStr">
        <is>
          <t>25-34</t>
        </is>
      </c>
      <c r="D152" s="78" t="inlineStr">
        <is>
          <t>Male</t>
        </is>
      </c>
      <c r="E152" s="86" t="n">
        <v>5886.98</v>
      </c>
      <c r="F152" s="87" t="n">
        <v>163111</v>
      </c>
      <c r="G152" s="87" t="n">
        <v>1533</v>
      </c>
      <c r="H152" s="89">
        <f>IFERROR(G152/F152,"")</f>
        <v/>
      </c>
      <c r="I152" s="90">
        <f>IFERROR(E152/G152,"")</f>
        <v/>
      </c>
      <c r="J152" s="90">
        <f>IFERROR(E152/F152*1000,"")</f>
        <v/>
      </c>
      <c r="K152" s="87" t="n">
        <v>1041</v>
      </c>
      <c r="L152" s="18">
        <f>IFERROR(K152/G152,"")</f>
        <v/>
      </c>
      <c r="M152" s="87" t="n">
        <v>10</v>
      </c>
      <c r="N152" s="89">
        <f>IFERROR(M152/K152,"")</f>
        <v/>
      </c>
      <c r="O152" s="86">
        <f>IFERROR(E152/M152,"")</f>
        <v/>
      </c>
      <c r="P152" s="87" t="n">
        <v>6</v>
      </c>
      <c r="Q152" s="18">
        <f>IFERROR(P152/M152,"")</f>
        <v/>
      </c>
      <c r="R152" s="86">
        <f>IFERROR(E152/P152,"")</f>
        <v/>
      </c>
      <c r="S152" s="18">
        <f>IFERROR(E152/SUMIFS($E$5:$E$220,$A$5:$A$220,$A152),"")</f>
        <v/>
      </c>
      <c r="T152" s="18">
        <f>IFERROR(M152/SUMIFS($M$5:$M$220,$A$5:$A$220,$A152),"")</f>
        <v/>
      </c>
      <c r="U152" s="111">
        <f>IFERROR(O152/(SUMIFS($E$5:$E$220,$A$5:$A$220,$A152)/SUMIFS($M$5:$M$220,$A$5:$A$220,$A152)),"")</f>
        <v/>
      </c>
    </row>
    <row r="153">
      <c r="A153" s="6" t="inlineStr">
        <is>
          <t>TikTok</t>
        </is>
      </c>
      <c r="B153" s="78" t="inlineStr">
        <is>
          <t>LEP_ZA_AUG26_TT_TD_AMUR_CONV</t>
        </is>
      </c>
      <c r="C153" s="78" t="inlineStr">
        <is>
          <t>25-34</t>
        </is>
      </c>
      <c r="D153" s="78" t="inlineStr">
        <is>
          <t>Female</t>
        </is>
      </c>
      <c r="E153" s="86" t="n">
        <v>5345.26</v>
      </c>
      <c r="F153" s="87" t="n">
        <v>148102</v>
      </c>
      <c r="G153" s="87" t="n">
        <v>1274</v>
      </c>
      <c r="H153" s="89">
        <f>IFERROR(G153/F153,"")</f>
        <v/>
      </c>
      <c r="I153" s="90">
        <f>IFERROR(E153/G153,"")</f>
        <v/>
      </c>
      <c r="J153" s="90">
        <f>IFERROR(E153/F153*1000,"")</f>
        <v/>
      </c>
      <c r="K153" s="87" t="n">
        <v>865</v>
      </c>
      <c r="L153" s="18">
        <f>IFERROR(K153/G153,"")</f>
        <v/>
      </c>
      <c r="M153" s="87" t="n">
        <v>9</v>
      </c>
      <c r="N153" s="89">
        <f>IFERROR(M153/K153,"")</f>
        <v/>
      </c>
      <c r="O153" s="86">
        <f>IFERROR(E153/M153,"")</f>
        <v/>
      </c>
      <c r="P153" s="87" t="n">
        <v>5</v>
      </c>
      <c r="Q153" s="18">
        <f>IFERROR(P153/M153,"")</f>
        <v/>
      </c>
      <c r="R153" s="86">
        <f>IFERROR(E153/P153,"")</f>
        <v/>
      </c>
      <c r="S153" s="18">
        <f>IFERROR(E153/SUMIFS($E$5:$E$220,$A$5:$A$220,$A153),"")</f>
        <v/>
      </c>
      <c r="T153" s="18">
        <f>IFERROR(M153/SUMIFS($M$5:$M$220,$A$5:$A$220,$A153),"")</f>
        <v/>
      </c>
      <c r="U153" s="111">
        <f>IFERROR(O153/(SUMIFS($E$5:$E$220,$A$5:$A$220,$A153)/SUMIFS($M$5:$M$220,$A$5:$A$220,$A153)),"")</f>
        <v/>
      </c>
    </row>
    <row r="154">
      <c r="A154" s="6" t="inlineStr">
        <is>
          <t>TikTok</t>
        </is>
      </c>
      <c r="B154" s="78" t="inlineStr">
        <is>
          <t>LEP_ZA_AUG26_TT_TD_AMUR_CONV</t>
        </is>
      </c>
      <c r="C154" s="78" t="inlineStr">
        <is>
          <t>25-34</t>
        </is>
      </c>
      <c r="D154" s="78" t="inlineStr">
        <is>
          <t>Unknown</t>
        </is>
      </c>
      <c r="E154" s="86" t="n">
        <v>336.26</v>
      </c>
      <c r="F154" s="87" t="n">
        <v>9317</v>
      </c>
      <c r="G154" s="87" t="n">
        <v>51</v>
      </c>
      <c r="H154" s="89">
        <f>IFERROR(G154/F154,"")</f>
        <v/>
      </c>
      <c r="I154" s="90">
        <f>IFERROR(E154/G154,"")</f>
        <v/>
      </c>
      <c r="J154" s="90">
        <f>IFERROR(E154/F154*1000,"")</f>
        <v/>
      </c>
      <c r="K154" s="87" t="n">
        <v>35</v>
      </c>
      <c r="L154" s="18">
        <f>IFERROR(K154/G154,"")</f>
        <v/>
      </c>
      <c r="M154" s="87" t="n">
        <v>0</v>
      </c>
      <c r="N154" s="89">
        <f>IFERROR(M154/K154,"")</f>
        <v/>
      </c>
      <c r="O154" s="86">
        <f>IFERROR(E154/M154,"")</f>
        <v/>
      </c>
      <c r="P154" s="87" t="n">
        <v>0</v>
      </c>
      <c r="Q154" s="18">
        <f>IFERROR(P154/M154,"")</f>
        <v/>
      </c>
      <c r="R154" s="86">
        <f>IFERROR(E154/P154,"")</f>
        <v/>
      </c>
      <c r="S154" s="18">
        <f>IFERROR(E154/SUMIFS($E$5:$E$220,$A$5:$A$220,$A154),"")</f>
        <v/>
      </c>
      <c r="T154" s="18">
        <f>IFERROR(M154/SUMIFS($M$5:$M$220,$A$5:$A$220,$A154),"")</f>
        <v/>
      </c>
      <c r="U154" s="111">
        <f>IFERROR(O154/(SUMIFS($E$5:$E$220,$A$5:$A$220,$A154)/SUMIFS($M$5:$M$220,$A$5:$A$220,$A154)),"")</f>
        <v/>
      </c>
    </row>
    <row r="155">
      <c r="A155" s="6" t="inlineStr">
        <is>
          <t>TikTok</t>
        </is>
      </c>
      <c r="B155" s="78" t="inlineStr">
        <is>
          <t>LEP_ZA_AUG26_TT_TD_AMUR_CONV</t>
        </is>
      </c>
      <c r="C155" s="78" t="inlineStr">
        <is>
          <t>35-44</t>
        </is>
      </c>
      <c r="D155" s="78" t="inlineStr">
        <is>
          <t>Male</t>
        </is>
      </c>
      <c r="E155" s="86" t="n">
        <v>2670.02</v>
      </c>
      <c r="F155" s="87" t="n">
        <v>73979</v>
      </c>
      <c r="G155" s="87" t="n">
        <v>968</v>
      </c>
      <c r="H155" s="89">
        <f>IFERROR(G155/F155,"")</f>
        <v/>
      </c>
      <c r="I155" s="90">
        <f>IFERROR(E155/G155,"")</f>
        <v/>
      </c>
      <c r="J155" s="90">
        <f>IFERROR(E155/F155*1000,"")</f>
        <v/>
      </c>
      <c r="K155" s="87" t="n">
        <v>657</v>
      </c>
      <c r="L155" s="18">
        <f>IFERROR(K155/G155,"")</f>
        <v/>
      </c>
      <c r="M155" s="87" t="n">
        <v>7</v>
      </c>
      <c r="N155" s="89">
        <f>IFERROR(M155/K155,"")</f>
        <v/>
      </c>
      <c r="O155" s="86">
        <f>IFERROR(E155/M155,"")</f>
        <v/>
      </c>
      <c r="P155" s="87" t="n">
        <v>4</v>
      </c>
      <c r="Q155" s="18">
        <f>IFERROR(P155/M155,"")</f>
        <v/>
      </c>
      <c r="R155" s="86">
        <f>IFERROR(E155/P155,"")</f>
        <v/>
      </c>
      <c r="S155" s="18">
        <f>IFERROR(E155/SUMIFS($E$5:$E$220,$A$5:$A$220,$A155),"")</f>
        <v/>
      </c>
      <c r="T155" s="18">
        <f>IFERROR(M155/SUMIFS($M$5:$M$220,$A$5:$A$220,$A155),"")</f>
        <v/>
      </c>
      <c r="U155" s="111">
        <f>IFERROR(O155/(SUMIFS($E$5:$E$220,$A$5:$A$220,$A155)/SUMIFS($M$5:$M$220,$A$5:$A$220,$A155)),"")</f>
        <v/>
      </c>
    </row>
    <row r="156">
      <c r="A156" s="6" t="inlineStr">
        <is>
          <t>TikTok</t>
        </is>
      </c>
      <c r="B156" s="78" t="inlineStr">
        <is>
          <t>LEP_ZA_AUG26_TT_TD_AMUR_CONV</t>
        </is>
      </c>
      <c r="C156" s="78" t="inlineStr">
        <is>
          <t>35-44</t>
        </is>
      </c>
      <c r="D156" s="78" t="inlineStr">
        <is>
          <t>Female</t>
        </is>
      </c>
      <c r="E156" s="86" t="n">
        <v>2923.52</v>
      </c>
      <c r="F156" s="87" t="n">
        <v>81003</v>
      </c>
      <c r="G156" s="87" t="n">
        <v>970</v>
      </c>
      <c r="H156" s="89">
        <f>IFERROR(G156/F156,"")</f>
        <v/>
      </c>
      <c r="I156" s="90">
        <f>IFERROR(E156/G156,"")</f>
        <v/>
      </c>
      <c r="J156" s="90">
        <f>IFERROR(E156/F156*1000,"")</f>
        <v/>
      </c>
      <c r="K156" s="87" t="n">
        <v>658</v>
      </c>
      <c r="L156" s="18">
        <f>IFERROR(K156/G156,"")</f>
        <v/>
      </c>
      <c r="M156" s="87" t="n">
        <v>7</v>
      </c>
      <c r="N156" s="89">
        <f>IFERROR(M156/K156,"")</f>
        <v/>
      </c>
      <c r="O156" s="86">
        <f>IFERROR(E156/M156,"")</f>
        <v/>
      </c>
      <c r="P156" s="87" t="n">
        <v>4</v>
      </c>
      <c r="Q156" s="18">
        <f>IFERROR(P156/M156,"")</f>
        <v/>
      </c>
      <c r="R156" s="86">
        <f>IFERROR(E156/P156,"")</f>
        <v/>
      </c>
      <c r="S156" s="18">
        <f>IFERROR(E156/SUMIFS($E$5:$E$220,$A$5:$A$220,$A156),"")</f>
        <v/>
      </c>
      <c r="T156" s="18">
        <f>IFERROR(M156/SUMIFS($M$5:$M$220,$A$5:$A$220,$A156),"")</f>
        <v/>
      </c>
      <c r="U156" s="111">
        <f>IFERROR(O156/(SUMIFS($E$5:$E$220,$A$5:$A$220,$A156)/SUMIFS($M$5:$M$220,$A$5:$A$220,$A156)),"")</f>
        <v/>
      </c>
    </row>
    <row r="157">
      <c r="A157" s="6" t="inlineStr">
        <is>
          <t>TikTok</t>
        </is>
      </c>
      <c r="B157" s="78" t="inlineStr">
        <is>
          <t>LEP_ZA_AUG26_TT_TD_AMUR_CONV</t>
        </is>
      </c>
      <c r="C157" s="78" t="inlineStr">
        <is>
          <t>35-44</t>
        </is>
      </c>
      <c r="D157" s="78" t="inlineStr">
        <is>
          <t>Unknown</t>
        </is>
      </c>
      <c r="E157" s="86" t="n">
        <v>183.24</v>
      </c>
      <c r="F157" s="87" t="n">
        <v>5077</v>
      </c>
      <c r="G157" s="87" t="n">
        <v>39</v>
      </c>
      <c r="H157" s="89">
        <f>IFERROR(G157/F157,"")</f>
        <v/>
      </c>
      <c r="I157" s="90">
        <f>IFERROR(E157/G157,"")</f>
        <v/>
      </c>
      <c r="J157" s="90">
        <f>IFERROR(E157/F157*1000,"")</f>
        <v/>
      </c>
      <c r="K157" s="87" t="n">
        <v>26</v>
      </c>
      <c r="L157" s="18">
        <f>IFERROR(K157/G157,"")</f>
        <v/>
      </c>
      <c r="M157" s="87" t="n">
        <v>0</v>
      </c>
      <c r="N157" s="89">
        <f>IFERROR(M157/K157,"")</f>
        <v/>
      </c>
      <c r="O157" s="86">
        <f>IFERROR(E157/M157,"")</f>
        <v/>
      </c>
      <c r="P157" s="87" t="n">
        <v>0</v>
      </c>
      <c r="Q157" s="18">
        <f>IFERROR(P157/M157,"")</f>
        <v/>
      </c>
      <c r="R157" s="86">
        <f>IFERROR(E157/P157,"")</f>
        <v/>
      </c>
      <c r="S157" s="18">
        <f>IFERROR(E157/SUMIFS($E$5:$E$220,$A$5:$A$220,$A157),"")</f>
        <v/>
      </c>
      <c r="T157" s="18">
        <f>IFERROR(M157/SUMIFS($M$5:$M$220,$A$5:$A$220,$A157),"")</f>
        <v/>
      </c>
      <c r="U157" s="111">
        <f>IFERROR(O157/(SUMIFS($E$5:$E$220,$A$5:$A$220,$A157)/SUMIFS($M$5:$M$220,$A$5:$A$220,$A157)),"")</f>
        <v/>
      </c>
    </row>
    <row r="158">
      <c r="A158" s="6" t="inlineStr">
        <is>
          <t>TikTok</t>
        </is>
      </c>
      <c r="B158" s="78" t="inlineStr">
        <is>
          <t>LEP_ZA_AUG26_TT_TD_AMUR_CONV</t>
        </is>
      </c>
      <c r="C158" s="78" t="inlineStr">
        <is>
          <t>45-54</t>
        </is>
      </c>
      <c r="D158" s="78" t="inlineStr">
        <is>
          <t>Male</t>
        </is>
      </c>
      <c r="E158" s="86" t="n">
        <v>1142.03</v>
      </c>
      <c r="F158" s="87" t="n">
        <v>31642</v>
      </c>
      <c r="G158" s="87" t="n">
        <v>433</v>
      </c>
      <c r="H158" s="89">
        <f>IFERROR(G158/F158,"")</f>
        <v/>
      </c>
      <c r="I158" s="90">
        <f>IFERROR(E158/G158,"")</f>
        <v/>
      </c>
      <c r="J158" s="90">
        <f>IFERROR(E158/F158*1000,"")</f>
        <v/>
      </c>
      <c r="K158" s="87" t="n">
        <v>294</v>
      </c>
      <c r="L158" s="18">
        <f>IFERROR(K158/G158,"")</f>
        <v/>
      </c>
      <c r="M158" s="87" t="n">
        <v>3</v>
      </c>
      <c r="N158" s="89">
        <f>IFERROR(M158/K158,"")</f>
        <v/>
      </c>
      <c r="O158" s="86">
        <f>IFERROR(E158/M158,"")</f>
        <v/>
      </c>
      <c r="P158" s="87" t="n">
        <v>2</v>
      </c>
      <c r="Q158" s="18">
        <f>IFERROR(P158/M158,"")</f>
        <v/>
      </c>
      <c r="R158" s="86">
        <f>IFERROR(E158/P158,"")</f>
        <v/>
      </c>
      <c r="S158" s="18">
        <f>IFERROR(E158/SUMIFS($E$5:$E$220,$A$5:$A$220,$A158),"")</f>
        <v/>
      </c>
      <c r="T158" s="18">
        <f>IFERROR(M158/SUMIFS($M$5:$M$220,$A$5:$A$220,$A158),"")</f>
        <v/>
      </c>
      <c r="U158" s="111">
        <f>IFERROR(O158/(SUMIFS($E$5:$E$220,$A$5:$A$220,$A158)/SUMIFS($M$5:$M$220,$A$5:$A$220,$A158)),"")</f>
        <v/>
      </c>
    </row>
    <row r="159">
      <c r="A159" s="6" t="inlineStr">
        <is>
          <t>TikTok</t>
        </is>
      </c>
      <c r="B159" s="78" t="inlineStr">
        <is>
          <t>LEP_ZA_AUG26_TT_TD_AMUR_CONV</t>
        </is>
      </c>
      <c r="C159" s="78" t="inlineStr">
        <is>
          <t>45-54</t>
        </is>
      </c>
      <c r="D159" s="78" t="inlineStr">
        <is>
          <t>Female</t>
        </is>
      </c>
      <c r="E159" s="86" t="n">
        <v>1306.45</v>
      </c>
      <c r="F159" s="87" t="n">
        <v>36198</v>
      </c>
      <c r="G159" s="87" t="n">
        <v>454</v>
      </c>
      <c r="H159" s="89">
        <f>IFERROR(G159/F159,"")</f>
        <v/>
      </c>
      <c r="I159" s="90">
        <f>IFERROR(E159/G159,"")</f>
        <v/>
      </c>
      <c r="J159" s="90">
        <f>IFERROR(E159/F159*1000,"")</f>
        <v/>
      </c>
      <c r="K159" s="87" t="n">
        <v>308</v>
      </c>
      <c r="L159" s="18">
        <f>IFERROR(K159/G159,"")</f>
        <v/>
      </c>
      <c r="M159" s="87" t="n">
        <v>3</v>
      </c>
      <c r="N159" s="89">
        <f>IFERROR(M159/K159,"")</f>
        <v/>
      </c>
      <c r="O159" s="86">
        <f>IFERROR(E159/M159,"")</f>
        <v/>
      </c>
      <c r="P159" s="87" t="n">
        <v>2</v>
      </c>
      <c r="Q159" s="18">
        <f>IFERROR(P159/M159,"")</f>
        <v/>
      </c>
      <c r="R159" s="86">
        <f>IFERROR(E159/P159,"")</f>
        <v/>
      </c>
      <c r="S159" s="18">
        <f>IFERROR(E159/SUMIFS($E$5:$E$220,$A$5:$A$220,$A159),"")</f>
        <v/>
      </c>
      <c r="T159" s="18">
        <f>IFERROR(M159/SUMIFS($M$5:$M$220,$A$5:$A$220,$A159),"")</f>
        <v/>
      </c>
      <c r="U159" s="111">
        <f>IFERROR(O159/(SUMIFS($E$5:$E$220,$A$5:$A$220,$A159)/SUMIFS($M$5:$M$220,$A$5:$A$220,$A159)),"")</f>
        <v/>
      </c>
    </row>
    <row r="160">
      <c r="A160" s="6" t="inlineStr">
        <is>
          <t>TikTok</t>
        </is>
      </c>
      <c r="B160" s="78" t="inlineStr">
        <is>
          <t>LEP_ZA_AUG26_TT_TD_AMUR_CONV</t>
        </is>
      </c>
      <c r="C160" s="78" t="inlineStr">
        <is>
          <t>45-54</t>
        </is>
      </c>
      <c r="D160" s="78" t="inlineStr">
        <is>
          <t>Unknown</t>
        </is>
      </c>
      <c r="E160" s="86" t="n">
        <v>76.84999999999999</v>
      </c>
      <c r="F160" s="87" t="n">
        <v>2129</v>
      </c>
      <c r="G160" s="87" t="n">
        <v>17</v>
      </c>
      <c r="H160" s="89">
        <f>IFERROR(G160/F160,"")</f>
        <v/>
      </c>
      <c r="I160" s="90">
        <f>IFERROR(E160/G160,"")</f>
        <v/>
      </c>
      <c r="J160" s="90">
        <f>IFERROR(E160/F160*1000,"")</f>
        <v/>
      </c>
      <c r="K160" s="87" t="n">
        <v>11</v>
      </c>
      <c r="L160" s="18">
        <f>IFERROR(K160/G160,"")</f>
        <v/>
      </c>
      <c r="M160" s="87" t="n">
        <v>0</v>
      </c>
      <c r="N160" s="89">
        <f>IFERROR(M160/K160,"")</f>
        <v/>
      </c>
      <c r="O160" s="86">
        <f>IFERROR(E160/M160,"")</f>
        <v/>
      </c>
      <c r="P160" s="87" t="n">
        <v>0</v>
      </c>
      <c r="Q160" s="18">
        <f>IFERROR(P160/M160,"")</f>
        <v/>
      </c>
      <c r="R160" s="86">
        <f>IFERROR(E160/P160,"")</f>
        <v/>
      </c>
      <c r="S160" s="18">
        <f>IFERROR(E160/SUMIFS($E$5:$E$220,$A$5:$A$220,$A160),"")</f>
        <v/>
      </c>
      <c r="T160" s="18">
        <f>IFERROR(M160/SUMIFS($M$5:$M$220,$A$5:$A$220,$A160),"")</f>
        <v/>
      </c>
      <c r="U160" s="111">
        <f>IFERROR(O160/(SUMIFS($E$5:$E$220,$A$5:$A$220,$A160)/SUMIFS($M$5:$M$220,$A$5:$A$220,$A160)),"")</f>
        <v/>
      </c>
    </row>
    <row r="161">
      <c r="A161" s="6" t="inlineStr">
        <is>
          <t>TikTok</t>
        </is>
      </c>
      <c r="B161" s="78" t="inlineStr">
        <is>
          <t>LEP_ZA_AUG26_TT_TD_AMUR_CONV</t>
        </is>
      </c>
      <c r="C161" s="78" t="inlineStr">
        <is>
          <t>55-64</t>
        </is>
      </c>
      <c r="D161" s="78" t="inlineStr">
        <is>
          <t>Male</t>
        </is>
      </c>
      <c r="E161" s="86" t="n">
        <v>473.36</v>
      </c>
      <c r="F161" s="87" t="n">
        <v>13116</v>
      </c>
      <c r="G161" s="87" t="n">
        <v>141</v>
      </c>
      <c r="H161" s="89">
        <f>IFERROR(G161/F161,"")</f>
        <v/>
      </c>
      <c r="I161" s="90">
        <f>IFERROR(E161/G161,"")</f>
        <v/>
      </c>
      <c r="J161" s="90">
        <f>IFERROR(E161/F161*1000,"")</f>
        <v/>
      </c>
      <c r="K161" s="87" t="n">
        <v>95</v>
      </c>
      <c r="L161" s="18">
        <f>IFERROR(K161/G161,"")</f>
        <v/>
      </c>
      <c r="M161" s="87" t="n">
        <v>1</v>
      </c>
      <c r="N161" s="89">
        <f>IFERROR(M161/K161,"")</f>
        <v/>
      </c>
      <c r="O161" s="86">
        <f>IFERROR(E161/M161,"")</f>
        <v/>
      </c>
      <c r="P161" s="87" t="n">
        <v>0</v>
      </c>
      <c r="Q161" s="18">
        <f>IFERROR(P161/M161,"")</f>
        <v/>
      </c>
      <c r="R161" s="86">
        <f>IFERROR(E161/P161,"")</f>
        <v/>
      </c>
      <c r="S161" s="18">
        <f>IFERROR(E161/SUMIFS($E$5:$E$220,$A$5:$A$220,$A161),"")</f>
        <v/>
      </c>
      <c r="T161" s="18">
        <f>IFERROR(M161/SUMIFS($M$5:$M$220,$A$5:$A$220,$A161),"")</f>
        <v/>
      </c>
      <c r="U161" s="111">
        <f>IFERROR(O161/(SUMIFS($E$5:$E$220,$A$5:$A$220,$A161)/SUMIFS($M$5:$M$220,$A$5:$A$220,$A161)),"")</f>
        <v/>
      </c>
    </row>
    <row r="162">
      <c r="A162" s="6" t="inlineStr">
        <is>
          <t>TikTok</t>
        </is>
      </c>
      <c r="B162" s="78" t="inlineStr">
        <is>
          <t>LEP_ZA_AUG26_TT_TD_AMUR_CONV</t>
        </is>
      </c>
      <c r="C162" s="78" t="inlineStr">
        <is>
          <t>55-64</t>
        </is>
      </c>
      <c r="D162" s="78" t="inlineStr">
        <is>
          <t>Female</t>
        </is>
      </c>
      <c r="E162" s="86" t="n">
        <v>518.04</v>
      </c>
      <c r="F162" s="87" t="n">
        <v>14353</v>
      </c>
      <c r="G162" s="87" t="n">
        <v>141</v>
      </c>
      <c r="H162" s="89">
        <f>IFERROR(G162/F162,"")</f>
        <v/>
      </c>
      <c r="I162" s="90">
        <f>IFERROR(E162/G162,"")</f>
        <v/>
      </c>
      <c r="J162" s="90">
        <f>IFERROR(E162/F162*1000,"")</f>
        <v/>
      </c>
      <c r="K162" s="87" t="n">
        <v>96</v>
      </c>
      <c r="L162" s="18">
        <f>IFERROR(K162/G162,"")</f>
        <v/>
      </c>
      <c r="M162" s="87" t="n">
        <v>1</v>
      </c>
      <c r="N162" s="89">
        <f>IFERROR(M162/K162,"")</f>
        <v/>
      </c>
      <c r="O162" s="86">
        <f>IFERROR(E162/M162,"")</f>
        <v/>
      </c>
      <c r="P162" s="87" t="n">
        <v>1</v>
      </c>
      <c r="Q162" s="18">
        <f>IFERROR(P162/M162,"")</f>
        <v/>
      </c>
      <c r="R162" s="86">
        <f>IFERROR(E162/P162,"")</f>
        <v/>
      </c>
      <c r="S162" s="18">
        <f>IFERROR(E162/SUMIFS($E$5:$E$220,$A$5:$A$220,$A162),"")</f>
        <v/>
      </c>
      <c r="T162" s="18">
        <f>IFERROR(M162/SUMIFS($M$5:$M$220,$A$5:$A$220,$A162),"")</f>
        <v/>
      </c>
      <c r="U162" s="111">
        <f>IFERROR(O162/(SUMIFS($E$5:$E$220,$A$5:$A$220,$A162)/SUMIFS($M$5:$M$220,$A$5:$A$220,$A162)),"")</f>
        <v/>
      </c>
    </row>
    <row r="163">
      <c r="A163" s="6" t="inlineStr">
        <is>
          <t>TikTok</t>
        </is>
      </c>
      <c r="B163" s="78" t="inlineStr">
        <is>
          <t>LEP_ZA_AUG26_TT_TD_AMUR_CONV</t>
        </is>
      </c>
      <c r="C163" s="78" t="inlineStr">
        <is>
          <t>55-64</t>
        </is>
      </c>
      <c r="D163" s="78" t="inlineStr">
        <is>
          <t>Unknown</t>
        </is>
      </c>
      <c r="E163" s="86" t="n">
        <v>32.12</v>
      </c>
      <c r="F163" s="87" t="n">
        <v>890</v>
      </c>
      <c r="G163" s="87" t="n">
        <v>6</v>
      </c>
      <c r="H163" s="89">
        <f>IFERROR(G163/F163,"")</f>
        <v/>
      </c>
      <c r="I163" s="90">
        <f>IFERROR(E163/G163,"")</f>
        <v/>
      </c>
      <c r="J163" s="90">
        <f>IFERROR(E163/F163*1000,"")</f>
        <v/>
      </c>
      <c r="K163" s="87" t="n">
        <v>4</v>
      </c>
      <c r="L163" s="18">
        <f>IFERROR(K163/G163,"")</f>
        <v/>
      </c>
      <c r="M163" s="87" t="n">
        <v>0</v>
      </c>
      <c r="N163" s="89">
        <f>IFERROR(M163/K163,"")</f>
        <v/>
      </c>
      <c r="O163" s="86">
        <f>IFERROR(E163/M163,"")</f>
        <v/>
      </c>
      <c r="P163" s="87" t="n">
        <v>0</v>
      </c>
      <c r="Q163" s="18">
        <f>IFERROR(P163/M163,"")</f>
        <v/>
      </c>
      <c r="R163" s="86">
        <f>IFERROR(E163/P163,"")</f>
        <v/>
      </c>
      <c r="S163" s="18">
        <f>IFERROR(E163/SUMIFS($E$5:$E$220,$A$5:$A$220,$A163),"")</f>
        <v/>
      </c>
      <c r="T163" s="18">
        <f>IFERROR(M163/SUMIFS($M$5:$M$220,$A$5:$A$220,$A163),"")</f>
        <v/>
      </c>
      <c r="U163" s="111">
        <f>IFERROR(O163/(SUMIFS($E$5:$E$220,$A$5:$A$220,$A163)/SUMIFS($M$5:$M$220,$A$5:$A$220,$A163)),"")</f>
        <v/>
      </c>
    </row>
    <row r="164">
      <c r="A164" s="6" t="inlineStr">
        <is>
          <t>TikTok</t>
        </is>
      </c>
      <c r="B164" s="78" t="inlineStr">
        <is>
          <t>LEP_ZA_AUG26_TT_TD_AMUR_CONV</t>
        </is>
      </c>
      <c r="C164" s="78" t="inlineStr">
        <is>
          <t>65+</t>
        </is>
      </c>
      <c r="D164" s="78" t="inlineStr">
        <is>
          <t>Male</t>
        </is>
      </c>
      <c r="E164" s="86" t="n">
        <v>147.73</v>
      </c>
      <c r="F164" s="87" t="n">
        <v>4093</v>
      </c>
      <c r="G164" s="87" t="n">
        <v>30</v>
      </c>
      <c r="H164" s="89">
        <f>IFERROR(G164/F164,"")</f>
        <v/>
      </c>
      <c r="I164" s="90">
        <f>IFERROR(E164/G164,"")</f>
        <v/>
      </c>
      <c r="J164" s="90">
        <f>IFERROR(E164/F164*1000,"")</f>
        <v/>
      </c>
      <c r="K164" s="87" t="n">
        <v>20</v>
      </c>
      <c r="L164" s="18">
        <f>IFERROR(K164/G164,"")</f>
        <v/>
      </c>
      <c r="M164" s="87" t="n">
        <v>0</v>
      </c>
      <c r="N164" s="89">
        <f>IFERROR(M164/K164,"")</f>
        <v/>
      </c>
      <c r="O164" s="86">
        <f>IFERROR(E164/M164,"")</f>
        <v/>
      </c>
      <c r="P164" s="87" t="n">
        <v>0</v>
      </c>
      <c r="Q164" s="18">
        <f>IFERROR(P164/M164,"")</f>
        <v/>
      </c>
      <c r="R164" s="86">
        <f>IFERROR(E164/P164,"")</f>
        <v/>
      </c>
      <c r="S164" s="18">
        <f>IFERROR(E164/SUMIFS($E$5:$E$220,$A$5:$A$220,$A164),"")</f>
        <v/>
      </c>
      <c r="T164" s="18">
        <f>IFERROR(M164/SUMIFS($M$5:$M$220,$A$5:$A$220,$A164),"")</f>
        <v/>
      </c>
      <c r="U164" s="111">
        <f>IFERROR(O164/(SUMIFS($E$5:$E$220,$A$5:$A$220,$A164)/SUMIFS($M$5:$M$220,$A$5:$A$220,$A164)),"")</f>
        <v/>
      </c>
    </row>
    <row r="165">
      <c r="A165" s="6" t="inlineStr">
        <is>
          <t>TikTok</t>
        </is>
      </c>
      <c r="B165" s="78" t="inlineStr">
        <is>
          <t>LEP_ZA_AUG26_TT_TD_AMUR_CONV</t>
        </is>
      </c>
      <c r="C165" s="78" t="inlineStr">
        <is>
          <t>65+</t>
        </is>
      </c>
      <c r="D165" s="78" t="inlineStr">
        <is>
          <t>Female</t>
        </is>
      </c>
      <c r="E165" s="86" t="n">
        <v>167.55</v>
      </c>
      <c r="F165" s="87" t="n">
        <v>4642</v>
      </c>
      <c r="G165" s="87" t="n">
        <v>31</v>
      </c>
      <c r="H165" s="89">
        <f>IFERROR(G165/F165,"")</f>
        <v/>
      </c>
      <c r="I165" s="90">
        <f>IFERROR(E165/G165,"")</f>
        <v/>
      </c>
      <c r="J165" s="90">
        <f>IFERROR(E165/F165*1000,"")</f>
        <v/>
      </c>
      <c r="K165" s="87" t="n">
        <v>21</v>
      </c>
      <c r="L165" s="18">
        <f>IFERROR(K165/G165,"")</f>
        <v/>
      </c>
      <c r="M165" s="87" t="n">
        <v>0</v>
      </c>
      <c r="N165" s="89">
        <f>IFERROR(M165/K165,"")</f>
        <v/>
      </c>
      <c r="O165" s="86">
        <f>IFERROR(E165/M165,"")</f>
        <v/>
      </c>
      <c r="P165" s="87" t="n">
        <v>0</v>
      </c>
      <c r="Q165" s="18">
        <f>IFERROR(P165/M165,"")</f>
        <v/>
      </c>
      <c r="R165" s="86">
        <f>IFERROR(E165/P165,"")</f>
        <v/>
      </c>
      <c r="S165" s="18">
        <f>IFERROR(E165/SUMIFS($E$5:$E$220,$A$5:$A$220,$A165),"")</f>
        <v/>
      </c>
      <c r="T165" s="18">
        <f>IFERROR(M165/SUMIFS($M$5:$M$220,$A$5:$A$220,$A165),"")</f>
        <v/>
      </c>
      <c r="U165" s="111">
        <f>IFERROR(O165/(SUMIFS($E$5:$E$220,$A$5:$A$220,$A165)/SUMIFS($M$5:$M$220,$A$5:$A$220,$A165)),"")</f>
        <v/>
      </c>
    </row>
    <row r="166">
      <c r="A166" s="6" t="inlineStr">
        <is>
          <t>TikTok</t>
        </is>
      </c>
      <c r="B166" s="78" t="inlineStr">
        <is>
          <t>LEP_ZA_AUG26_TT_TD_AMUR_CONV</t>
        </is>
      </c>
      <c r="C166" s="78" t="inlineStr">
        <is>
          <t>65+</t>
        </is>
      </c>
      <c r="D166" s="78" t="inlineStr">
        <is>
          <t>Unknown</t>
        </is>
      </c>
      <c r="E166" s="86" t="n">
        <v>10.24</v>
      </c>
      <c r="F166" s="87" t="n">
        <v>284</v>
      </c>
      <c r="G166" s="87" t="n">
        <v>1</v>
      </c>
      <c r="H166" s="89">
        <f>IFERROR(G166/F166,"")</f>
        <v/>
      </c>
      <c r="I166" s="90">
        <f>IFERROR(E166/G166,"")</f>
        <v/>
      </c>
      <c r="J166" s="90">
        <f>IFERROR(E166/F166*1000,"")</f>
        <v/>
      </c>
      <c r="K166" s="87" t="n">
        <v>1</v>
      </c>
      <c r="L166" s="18">
        <f>IFERROR(K166/G166,"")</f>
        <v/>
      </c>
      <c r="M166" s="87" t="n">
        <v>0</v>
      </c>
      <c r="N166" s="89">
        <f>IFERROR(M166/K166,"")</f>
        <v/>
      </c>
      <c r="O166" s="86">
        <f>IFERROR(E166/M166,"")</f>
        <v/>
      </c>
      <c r="P166" s="87" t="n">
        <v>0</v>
      </c>
      <c r="Q166" s="18">
        <f>IFERROR(P166/M166,"")</f>
        <v/>
      </c>
      <c r="R166" s="86">
        <f>IFERROR(E166/P166,"")</f>
        <v/>
      </c>
      <c r="S166" s="18">
        <f>IFERROR(E166/SUMIFS($E$5:$E$220,$A$5:$A$220,$A166),"")</f>
        <v/>
      </c>
      <c r="T166" s="18">
        <f>IFERROR(M166/SUMIFS($M$5:$M$220,$A$5:$A$220,$A166),"")</f>
        <v/>
      </c>
      <c r="U166" s="111">
        <f>IFERROR(O166/(SUMIFS($E$5:$E$220,$A$5:$A$220,$A166)/SUMIFS($M$5:$M$220,$A$5:$A$220,$A166)),"")</f>
        <v/>
      </c>
    </row>
    <row r="167">
      <c r="A167" s="6" t="inlineStr">
        <is>
          <t>TikTok</t>
        </is>
      </c>
      <c r="B167" s="78" t="inlineStr">
        <is>
          <t>LEP_ZA_AUG26_TT_TD_PANTERA_CONV</t>
        </is>
      </c>
      <c r="C167" s="78" t="inlineStr">
        <is>
          <t>18-24</t>
        </is>
      </c>
      <c r="D167" s="78" t="inlineStr">
        <is>
          <t>Male</t>
        </is>
      </c>
      <c r="E167" s="86" t="n">
        <v>4924.14</v>
      </c>
      <c r="F167" s="87" t="n">
        <v>127905</v>
      </c>
      <c r="G167" s="87" t="n">
        <v>816</v>
      </c>
      <c r="H167" s="89">
        <f>IFERROR(G167/F167,"")</f>
        <v/>
      </c>
      <c r="I167" s="90">
        <f>IFERROR(E167/G167,"")</f>
        <v/>
      </c>
      <c r="J167" s="90">
        <f>IFERROR(E167/F167*1000,"")</f>
        <v/>
      </c>
      <c r="K167" s="87" t="n">
        <v>560</v>
      </c>
      <c r="L167" s="18">
        <f>IFERROR(K167/G167,"")</f>
        <v/>
      </c>
      <c r="M167" s="87" t="n">
        <v>7</v>
      </c>
      <c r="N167" s="89">
        <f>IFERROR(M167/K167,"")</f>
        <v/>
      </c>
      <c r="O167" s="86">
        <f>IFERROR(E167/M167,"")</f>
        <v/>
      </c>
      <c r="P167" s="87" t="n">
        <v>4</v>
      </c>
      <c r="Q167" s="18">
        <f>IFERROR(P167/M167,"")</f>
        <v/>
      </c>
      <c r="R167" s="86">
        <f>IFERROR(E167/P167,"")</f>
        <v/>
      </c>
      <c r="S167" s="18">
        <f>IFERROR(E167/SUMIFS($E$5:$E$220,$A$5:$A$220,$A167),"")</f>
        <v/>
      </c>
      <c r="T167" s="18">
        <f>IFERROR(M167/SUMIFS($M$5:$M$220,$A$5:$A$220,$A167),"")</f>
        <v/>
      </c>
      <c r="U167" s="111">
        <f>IFERROR(O167/(SUMIFS($E$5:$E$220,$A$5:$A$220,$A167)/SUMIFS($M$5:$M$220,$A$5:$A$220,$A167)),"")</f>
        <v/>
      </c>
    </row>
    <row r="168">
      <c r="A168" s="6" t="inlineStr">
        <is>
          <t>TikTok</t>
        </is>
      </c>
      <c r="B168" s="78" t="inlineStr">
        <is>
          <t>LEP_ZA_AUG26_TT_TD_PANTERA_CONV</t>
        </is>
      </c>
      <c r="C168" s="78" t="inlineStr">
        <is>
          <t>18-24</t>
        </is>
      </c>
      <c r="D168" s="78" t="inlineStr">
        <is>
          <t>Female</t>
        </is>
      </c>
      <c r="E168" s="86" t="n">
        <v>5543.75</v>
      </c>
      <c r="F168" s="87" t="n">
        <v>144000</v>
      </c>
      <c r="G168" s="87" t="n">
        <v>840</v>
      </c>
      <c r="H168" s="89">
        <f>IFERROR(G168/F168,"")</f>
        <v/>
      </c>
      <c r="I168" s="90">
        <f>IFERROR(E168/G168,"")</f>
        <v/>
      </c>
      <c r="J168" s="90">
        <f>IFERROR(E168/F168*1000,"")</f>
        <v/>
      </c>
      <c r="K168" s="87" t="n">
        <v>577</v>
      </c>
      <c r="L168" s="18">
        <f>IFERROR(K168/G168,"")</f>
        <v/>
      </c>
      <c r="M168" s="87" t="n">
        <v>8</v>
      </c>
      <c r="N168" s="89">
        <f>IFERROR(M168/K168,"")</f>
        <v/>
      </c>
      <c r="O168" s="86">
        <f>IFERROR(E168/M168,"")</f>
        <v/>
      </c>
      <c r="P168" s="87" t="n">
        <v>5</v>
      </c>
      <c r="Q168" s="18">
        <f>IFERROR(P168/M168,"")</f>
        <v/>
      </c>
      <c r="R168" s="86">
        <f>IFERROR(E168/P168,"")</f>
        <v/>
      </c>
      <c r="S168" s="18">
        <f>IFERROR(E168/SUMIFS($E$5:$E$220,$A$5:$A$220,$A168),"")</f>
        <v/>
      </c>
      <c r="T168" s="18">
        <f>IFERROR(M168/SUMIFS($M$5:$M$220,$A$5:$A$220,$A168),"")</f>
        <v/>
      </c>
      <c r="U168" s="111">
        <f>IFERROR(O168/(SUMIFS($E$5:$E$220,$A$5:$A$220,$A168)/SUMIFS($M$5:$M$220,$A$5:$A$220,$A168)),"")</f>
        <v/>
      </c>
    </row>
    <row r="169">
      <c r="A169" s="6" t="inlineStr">
        <is>
          <t>TikTok</t>
        </is>
      </c>
      <c r="B169" s="78" t="inlineStr">
        <is>
          <t>LEP_ZA_AUG26_TT_TD_PANTERA_CONV</t>
        </is>
      </c>
      <c r="C169" s="78" t="inlineStr">
        <is>
          <t>18-24</t>
        </is>
      </c>
      <c r="D169" s="78" t="inlineStr">
        <is>
          <t>Unknown</t>
        </is>
      </c>
      <c r="E169" s="86" t="n">
        <v>299.03</v>
      </c>
      <c r="F169" s="87" t="n">
        <v>7767</v>
      </c>
      <c r="G169" s="87" t="n">
        <v>29</v>
      </c>
      <c r="H169" s="89">
        <f>IFERROR(G169/F169,"")</f>
        <v/>
      </c>
      <c r="I169" s="90">
        <f>IFERROR(E169/G169,"")</f>
        <v/>
      </c>
      <c r="J169" s="90">
        <f>IFERROR(E169/F169*1000,"")</f>
        <v/>
      </c>
      <c r="K169" s="87" t="n">
        <v>20</v>
      </c>
      <c r="L169" s="18">
        <f>IFERROR(K169/G169,"")</f>
        <v/>
      </c>
      <c r="M169" s="87" t="n">
        <v>0</v>
      </c>
      <c r="N169" s="89">
        <f>IFERROR(M169/K169,"")</f>
        <v/>
      </c>
      <c r="O169" s="86">
        <f>IFERROR(E169/M169,"")</f>
        <v/>
      </c>
      <c r="P169" s="87" t="n">
        <v>0</v>
      </c>
      <c r="Q169" s="18">
        <f>IFERROR(P169/M169,"")</f>
        <v/>
      </c>
      <c r="R169" s="86">
        <f>IFERROR(E169/P169,"")</f>
        <v/>
      </c>
      <c r="S169" s="18">
        <f>IFERROR(E169/SUMIFS($E$5:$E$220,$A$5:$A$220,$A169),"")</f>
        <v/>
      </c>
      <c r="T169" s="18">
        <f>IFERROR(M169/SUMIFS($M$5:$M$220,$A$5:$A$220,$A169),"")</f>
        <v/>
      </c>
      <c r="U169" s="111">
        <f>IFERROR(O169/(SUMIFS($E$5:$E$220,$A$5:$A$220,$A169)/SUMIFS($M$5:$M$220,$A$5:$A$220,$A169)),"")</f>
        <v/>
      </c>
    </row>
    <row r="170">
      <c r="A170" s="6" t="inlineStr">
        <is>
          <t>TikTok</t>
        </is>
      </c>
      <c r="B170" s="78" t="inlineStr">
        <is>
          <t>LEP_ZA_AUG26_TT_TD_PANTERA_CONV</t>
        </is>
      </c>
      <c r="C170" s="78" t="inlineStr">
        <is>
          <t>25-34</t>
        </is>
      </c>
      <c r="D170" s="78" t="inlineStr">
        <is>
          <t>Male</t>
        </is>
      </c>
      <c r="E170" s="86" t="n">
        <v>5232.37</v>
      </c>
      <c r="F170" s="87" t="n">
        <v>135912</v>
      </c>
      <c r="G170" s="87" t="n">
        <v>1375</v>
      </c>
      <c r="H170" s="89">
        <f>IFERROR(G170/F170,"")</f>
        <v/>
      </c>
      <c r="I170" s="90">
        <f>IFERROR(E170/G170,"")</f>
        <v/>
      </c>
      <c r="J170" s="90">
        <f>IFERROR(E170/F170*1000,"")</f>
        <v/>
      </c>
      <c r="K170" s="87" t="n">
        <v>944</v>
      </c>
      <c r="L170" s="18">
        <f>IFERROR(K170/G170,"")</f>
        <v/>
      </c>
      <c r="M170" s="87" t="n">
        <v>12</v>
      </c>
      <c r="N170" s="89">
        <f>IFERROR(M170/K170,"")</f>
        <v/>
      </c>
      <c r="O170" s="86">
        <f>IFERROR(E170/M170,"")</f>
        <v/>
      </c>
      <c r="P170" s="87" t="n">
        <v>8</v>
      </c>
      <c r="Q170" s="18">
        <f>IFERROR(P170/M170,"")</f>
        <v/>
      </c>
      <c r="R170" s="86">
        <f>IFERROR(E170/P170,"")</f>
        <v/>
      </c>
      <c r="S170" s="18">
        <f>IFERROR(E170/SUMIFS($E$5:$E$220,$A$5:$A$220,$A170),"")</f>
        <v/>
      </c>
      <c r="T170" s="18">
        <f>IFERROR(M170/SUMIFS($M$5:$M$220,$A$5:$A$220,$A170),"")</f>
        <v/>
      </c>
      <c r="U170" s="111">
        <f>IFERROR(O170/(SUMIFS($E$5:$E$220,$A$5:$A$220,$A170)/SUMIFS($M$5:$M$220,$A$5:$A$220,$A170)),"")</f>
        <v/>
      </c>
    </row>
    <row r="171">
      <c r="A171" s="6" t="inlineStr">
        <is>
          <t>TikTok</t>
        </is>
      </c>
      <c r="B171" s="78" t="inlineStr">
        <is>
          <t>LEP_ZA_AUG26_TT_TD_PANTERA_CONV</t>
        </is>
      </c>
      <c r="C171" s="78" t="inlineStr">
        <is>
          <t>25-34</t>
        </is>
      </c>
      <c r="D171" s="78" t="inlineStr">
        <is>
          <t>Female</t>
        </is>
      </c>
      <c r="E171" s="86" t="n">
        <v>5311.51</v>
      </c>
      <c r="F171" s="87" t="n">
        <v>137968</v>
      </c>
      <c r="G171" s="87" t="n">
        <v>1277</v>
      </c>
      <c r="H171" s="89">
        <f>IFERROR(G171/F171,"")</f>
        <v/>
      </c>
      <c r="I171" s="90">
        <f>IFERROR(E171/G171,"")</f>
        <v/>
      </c>
      <c r="J171" s="90">
        <f>IFERROR(E171/F171*1000,"")</f>
        <v/>
      </c>
      <c r="K171" s="87" t="n">
        <v>877</v>
      </c>
      <c r="L171" s="18">
        <f>IFERROR(K171/G171,"")</f>
        <v/>
      </c>
      <c r="M171" s="87" t="n">
        <v>11</v>
      </c>
      <c r="N171" s="89">
        <f>IFERROR(M171/K171,"")</f>
        <v/>
      </c>
      <c r="O171" s="86">
        <f>IFERROR(E171/M171,"")</f>
        <v/>
      </c>
      <c r="P171" s="87" t="n">
        <v>7</v>
      </c>
      <c r="Q171" s="18">
        <f>IFERROR(P171/M171,"")</f>
        <v/>
      </c>
      <c r="R171" s="86">
        <f>IFERROR(E171/P171,"")</f>
        <v/>
      </c>
      <c r="S171" s="18">
        <f>IFERROR(E171/SUMIFS($E$5:$E$220,$A$5:$A$220,$A171),"")</f>
        <v/>
      </c>
      <c r="T171" s="18">
        <f>IFERROR(M171/SUMIFS($M$5:$M$220,$A$5:$A$220,$A171),"")</f>
        <v/>
      </c>
      <c r="U171" s="111">
        <f>IFERROR(O171/(SUMIFS($E$5:$E$220,$A$5:$A$220,$A171)/SUMIFS($M$5:$M$220,$A$5:$A$220,$A171)),"")</f>
        <v/>
      </c>
    </row>
    <row r="172">
      <c r="A172" s="6" t="inlineStr">
        <is>
          <t>TikTok</t>
        </is>
      </c>
      <c r="B172" s="78" t="inlineStr">
        <is>
          <t>LEP_ZA_AUG26_TT_TD_PANTERA_CONV</t>
        </is>
      </c>
      <c r="C172" s="78" t="inlineStr">
        <is>
          <t>25-34</t>
        </is>
      </c>
      <c r="D172" s="78" t="inlineStr">
        <is>
          <t>Unknown</t>
        </is>
      </c>
      <c r="E172" s="86" t="n">
        <v>358.69</v>
      </c>
      <c r="F172" s="87" t="n">
        <v>9317</v>
      </c>
      <c r="G172" s="87" t="n">
        <v>55</v>
      </c>
      <c r="H172" s="89">
        <f>IFERROR(G172/F172,"")</f>
        <v/>
      </c>
      <c r="I172" s="90">
        <f>IFERROR(E172/G172,"")</f>
        <v/>
      </c>
      <c r="J172" s="90">
        <f>IFERROR(E172/F172*1000,"")</f>
        <v/>
      </c>
      <c r="K172" s="87" t="n">
        <v>38</v>
      </c>
      <c r="L172" s="18">
        <f>IFERROR(K172/G172,"")</f>
        <v/>
      </c>
      <c r="M172" s="87" t="n">
        <v>1</v>
      </c>
      <c r="N172" s="89">
        <f>IFERROR(M172/K172,"")</f>
        <v/>
      </c>
      <c r="O172" s="86">
        <f>IFERROR(E172/M172,"")</f>
        <v/>
      </c>
      <c r="P172" s="87" t="n">
        <v>0</v>
      </c>
      <c r="Q172" s="18">
        <f>IFERROR(P172/M172,"")</f>
        <v/>
      </c>
      <c r="R172" s="86">
        <f>IFERROR(E172/P172,"")</f>
        <v/>
      </c>
      <c r="S172" s="18">
        <f>IFERROR(E172/SUMIFS($E$5:$E$220,$A$5:$A$220,$A172),"")</f>
        <v/>
      </c>
      <c r="T172" s="18">
        <f>IFERROR(M172/SUMIFS($M$5:$M$220,$A$5:$A$220,$A172),"")</f>
        <v/>
      </c>
      <c r="U172" s="111">
        <f>IFERROR(O172/(SUMIFS($E$5:$E$220,$A$5:$A$220,$A172)/SUMIFS($M$5:$M$220,$A$5:$A$220,$A172)),"")</f>
        <v/>
      </c>
    </row>
    <row r="173">
      <c r="A173" s="6" t="inlineStr">
        <is>
          <t>TikTok</t>
        </is>
      </c>
      <c r="B173" s="78" t="inlineStr">
        <is>
          <t>LEP_ZA_AUG26_TT_TD_PANTERA_CONV</t>
        </is>
      </c>
      <c r="C173" s="78" t="inlineStr">
        <is>
          <t>35-44</t>
        </is>
      </c>
      <c r="D173" s="78" t="inlineStr">
        <is>
          <t>Male</t>
        </is>
      </c>
      <c r="E173" s="86" t="n">
        <v>2896.14</v>
      </c>
      <c r="F173" s="87" t="n">
        <v>75228</v>
      </c>
      <c r="G173" s="87" t="n">
        <v>1059</v>
      </c>
      <c r="H173" s="89">
        <f>IFERROR(G173/F173,"")</f>
        <v/>
      </c>
      <c r="I173" s="90">
        <f>IFERROR(E173/G173,"")</f>
        <v/>
      </c>
      <c r="J173" s="90">
        <f>IFERROR(E173/F173*1000,"")</f>
        <v/>
      </c>
      <c r="K173" s="87" t="n">
        <v>727</v>
      </c>
      <c r="L173" s="18">
        <f>IFERROR(K173/G173,"")</f>
        <v/>
      </c>
      <c r="M173" s="87" t="n">
        <v>10</v>
      </c>
      <c r="N173" s="89">
        <f>IFERROR(M173/K173,"")</f>
        <v/>
      </c>
      <c r="O173" s="86">
        <f>IFERROR(E173/M173,"")</f>
        <v/>
      </c>
      <c r="P173" s="87" t="n">
        <v>6</v>
      </c>
      <c r="Q173" s="18">
        <f>IFERROR(P173/M173,"")</f>
        <v/>
      </c>
      <c r="R173" s="86">
        <f>IFERROR(E173/P173,"")</f>
        <v/>
      </c>
      <c r="S173" s="18">
        <f>IFERROR(E173/SUMIFS($E$5:$E$220,$A$5:$A$220,$A173),"")</f>
        <v/>
      </c>
      <c r="T173" s="18">
        <f>IFERROR(M173/SUMIFS($M$5:$M$220,$A$5:$A$220,$A173),"")</f>
        <v/>
      </c>
      <c r="U173" s="111">
        <f>IFERROR(O173/(SUMIFS($E$5:$E$220,$A$5:$A$220,$A173)/SUMIFS($M$5:$M$220,$A$5:$A$220,$A173)),"")</f>
        <v/>
      </c>
    </row>
    <row r="174">
      <c r="A174" s="6" t="inlineStr">
        <is>
          <t>TikTok</t>
        </is>
      </c>
      <c r="B174" s="78" t="inlineStr">
        <is>
          <t>LEP_ZA_AUG26_TT_TD_PANTERA_CONV</t>
        </is>
      </c>
      <c r="C174" s="78" t="inlineStr">
        <is>
          <t>35-44</t>
        </is>
      </c>
      <c r="D174" s="78" t="inlineStr">
        <is>
          <t>Female</t>
        </is>
      </c>
      <c r="E174" s="86" t="n">
        <v>2857.83</v>
      </c>
      <c r="F174" s="87" t="n">
        <v>74233</v>
      </c>
      <c r="G174" s="87" t="n">
        <v>956</v>
      </c>
      <c r="H174" s="89">
        <f>IFERROR(G174/F174,"")</f>
        <v/>
      </c>
      <c r="I174" s="90">
        <f>IFERROR(E174/G174,"")</f>
        <v/>
      </c>
      <c r="J174" s="90">
        <f>IFERROR(E174/F174*1000,"")</f>
        <v/>
      </c>
      <c r="K174" s="87" t="n">
        <v>656</v>
      </c>
      <c r="L174" s="18">
        <f>IFERROR(K174/G174,"")</f>
        <v/>
      </c>
      <c r="M174" s="87" t="n">
        <v>9</v>
      </c>
      <c r="N174" s="89">
        <f>IFERROR(M174/K174,"")</f>
        <v/>
      </c>
      <c r="O174" s="86">
        <f>IFERROR(E174/M174,"")</f>
        <v/>
      </c>
      <c r="P174" s="87" t="n">
        <v>5</v>
      </c>
      <c r="Q174" s="18">
        <f>IFERROR(P174/M174,"")</f>
        <v/>
      </c>
      <c r="R174" s="86">
        <f>IFERROR(E174/P174,"")</f>
        <v/>
      </c>
      <c r="S174" s="18">
        <f>IFERROR(E174/SUMIFS($E$5:$E$220,$A$5:$A$220,$A174),"")</f>
        <v/>
      </c>
      <c r="T174" s="18">
        <f>IFERROR(M174/SUMIFS($M$5:$M$220,$A$5:$A$220,$A174),"")</f>
        <v/>
      </c>
      <c r="U174" s="111">
        <f>IFERROR(O174/(SUMIFS($E$5:$E$220,$A$5:$A$220,$A174)/SUMIFS($M$5:$M$220,$A$5:$A$220,$A174)),"")</f>
        <v/>
      </c>
    </row>
    <row r="175">
      <c r="A175" s="6" t="inlineStr">
        <is>
          <t>TikTok</t>
        </is>
      </c>
      <c r="B175" s="78" t="inlineStr">
        <is>
          <t>LEP_ZA_AUG26_TT_TD_PANTERA_CONV</t>
        </is>
      </c>
      <c r="C175" s="78" t="inlineStr">
        <is>
          <t>35-44</t>
        </is>
      </c>
      <c r="D175" s="78" t="inlineStr">
        <is>
          <t>Unknown</t>
        </is>
      </c>
      <c r="E175" s="86" t="n">
        <v>173.24</v>
      </c>
      <c r="F175" s="87" t="n">
        <v>4500</v>
      </c>
      <c r="G175" s="87" t="n">
        <v>37</v>
      </c>
      <c r="H175" s="89">
        <f>IFERROR(G175/F175,"")</f>
        <v/>
      </c>
      <c r="I175" s="90">
        <f>IFERROR(E175/G175,"")</f>
        <v/>
      </c>
      <c r="J175" s="90">
        <f>IFERROR(E175/F175*1000,"")</f>
        <v/>
      </c>
      <c r="K175" s="87" t="n">
        <v>25</v>
      </c>
      <c r="L175" s="18">
        <f>IFERROR(K175/G175,"")</f>
        <v/>
      </c>
      <c r="M175" s="87" t="n">
        <v>0</v>
      </c>
      <c r="N175" s="89">
        <f>IFERROR(M175/K175,"")</f>
        <v/>
      </c>
      <c r="O175" s="86">
        <f>IFERROR(E175/M175,"")</f>
        <v/>
      </c>
      <c r="P175" s="87" t="n">
        <v>0</v>
      </c>
      <c r="Q175" s="18">
        <f>IFERROR(P175/M175,"")</f>
        <v/>
      </c>
      <c r="R175" s="86">
        <f>IFERROR(E175/P175,"")</f>
        <v/>
      </c>
      <c r="S175" s="18">
        <f>IFERROR(E175/SUMIFS($E$5:$E$220,$A$5:$A$220,$A175),"")</f>
        <v/>
      </c>
      <c r="T175" s="18">
        <f>IFERROR(M175/SUMIFS($M$5:$M$220,$A$5:$A$220,$A175),"")</f>
        <v/>
      </c>
      <c r="U175" s="111">
        <f>IFERROR(O175/(SUMIFS($E$5:$E$220,$A$5:$A$220,$A175)/SUMIFS($M$5:$M$220,$A$5:$A$220,$A175)),"")</f>
        <v/>
      </c>
    </row>
    <row r="176">
      <c r="A176" s="6" t="inlineStr">
        <is>
          <t>TikTok</t>
        </is>
      </c>
      <c r="B176" s="78" t="inlineStr">
        <is>
          <t>LEP_ZA_AUG26_TT_TD_PANTERA_CONV</t>
        </is>
      </c>
      <c r="C176" s="78" t="inlineStr">
        <is>
          <t>45-54</t>
        </is>
      </c>
      <c r="D176" s="78" t="inlineStr">
        <is>
          <t>Male</t>
        </is>
      </c>
      <c r="E176" s="86" t="n">
        <v>1208.17</v>
      </c>
      <c r="F176" s="87" t="n">
        <v>31382</v>
      </c>
      <c r="G176" s="87" t="n">
        <v>462</v>
      </c>
      <c r="H176" s="89">
        <f>IFERROR(G176/F176,"")</f>
        <v/>
      </c>
      <c r="I176" s="90">
        <f>IFERROR(E176/G176,"")</f>
        <v/>
      </c>
      <c r="J176" s="90">
        <f>IFERROR(E176/F176*1000,"")</f>
        <v/>
      </c>
      <c r="K176" s="87" t="n">
        <v>317</v>
      </c>
      <c r="L176" s="18">
        <f>IFERROR(K176/G176,"")</f>
        <v/>
      </c>
      <c r="M176" s="87" t="n">
        <v>4</v>
      </c>
      <c r="N176" s="89">
        <f>IFERROR(M176/K176,"")</f>
        <v/>
      </c>
      <c r="O176" s="86">
        <f>IFERROR(E176/M176,"")</f>
        <v/>
      </c>
      <c r="P176" s="87" t="n">
        <v>3</v>
      </c>
      <c r="Q176" s="18">
        <f>IFERROR(P176/M176,"")</f>
        <v/>
      </c>
      <c r="R176" s="86">
        <f>IFERROR(E176/P176,"")</f>
        <v/>
      </c>
      <c r="S176" s="18">
        <f>IFERROR(E176/SUMIFS($E$5:$E$220,$A$5:$A$220,$A176),"")</f>
        <v/>
      </c>
      <c r="T176" s="18">
        <f>IFERROR(M176/SUMIFS($M$5:$M$220,$A$5:$A$220,$A176),"")</f>
        <v/>
      </c>
      <c r="U176" s="111">
        <f>IFERROR(O176/(SUMIFS($E$5:$E$220,$A$5:$A$220,$A176)/SUMIFS($M$5:$M$220,$A$5:$A$220,$A176)),"")</f>
        <v/>
      </c>
    </row>
    <row r="177">
      <c r="A177" s="6" t="inlineStr">
        <is>
          <t>TikTok</t>
        </is>
      </c>
      <c r="B177" s="78" t="inlineStr">
        <is>
          <t>LEP_ZA_AUG26_TT_TD_PANTERA_CONV</t>
        </is>
      </c>
      <c r="C177" s="78" t="inlineStr">
        <is>
          <t>45-54</t>
        </is>
      </c>
      <c r="D177" s="78" t="inlineStr">
        <is>
          <t>Female</t>
        </is>
      </c>
      <c r="E177" s="86" t="n">
        <v>1302.95</v>
      </c>
      <c r="F177" s="87" t="n">
        <v>33844</v>
      </c>
      <c r="G177" s="87" t="n">
        <v>456</v>
      </c>
      <c r="H177" s="89">
        <f>IFERROR(G177/F177,"")</f>
        <v/>
      </c>
      <c r="I177" s="90">
        <f>IFERROR(E177/G177,"")</f>
        <v/>
      </c>
      <c r="J177" s="90">
        <f>IFERROR(E177/F177*1000,"")</f>
        <v/>
      </c>
      <c r="K177" s="87" t="n">
        <v>313</v>
      </c>
      <c r="L177" s="18">
        <f>IFERROR(K177/G177,"")</f>
        <v/>
      </c>
      <c r="M177" s="87" t="n">
        <v>4</v>
      </c>
      <c r="N177" s="89">
        <f>IFERROR(M177/K177,"")</f>
        <v/>
      </c>
      <c r="O177" s="86">
        <f>IFERROR(E177/M177,"")</f>
        <v/>
      </c>
      <c r="P177" s="87" t="n">
        <v>2</v>
      </c>
      <c r="Q177" s="18">
        <f>IFERROR(P177/M177,"")</f>
        <v/>
      </c>
      <c r="R177" s="86">
        <f>IFERROR(E177/P177,"")</f>
        <v/>
      </c>
      <c r="S177" s="18">
        <f>IFERROR(E177/SUMIFS($E$5:$E$220,$A$5:$A$220,$A177),"")</f>
        <v/>
      </c>
      <c r="T177" s="18">
        <f>IFERROR(M177/SUMIFS($M$5:$M$220,$A$5:$A$220,$A177),"")</f>
        <v/>
      </c>
      <c r="U177" s="111">
        <f>IFERROR(O177/(SUMIFS($E$5:$E$220,$A$5:$A$220,$A177)/SUMIFS($M$5:$M$220,$A$5:$A$220,$A177)),"")</f>
        <v/>
      </c>
    </row>
    <row r="178">
      <c r="A178" s="6" t="inlineStr">
        <is>
          <t>TikTok</t>
        </is>
      </c>
      <c r="B178" s="78" t="inlineStr">
        <is>
          <t>LEP_ZA_AUG26_TT_TD_PANTERA_CONV</t>
        </is>
      </c>
      <c r="C178" s="78" t="inlineStr">
        <is>
          <t>45-54</t>
        </is>
      </c>
      <c r="D178" s="78" t="inlineStr">
        <is>
          <t>Unknown</t>
        </is>
      </c>
      <c r="E178" s="86" t="n">
        <v>71.13</v>
      </c>
      <c r="F178" s="87" t="n">
        <v>1848</v>
      </c>
      <c r="G178" s="87" t="n">
        <v>16</v>
      </c>
      <c r="H178" s="89">
        <f>IFERROR(G178/F178,"")</f>
        <v/>
      </c>
      <c r="I178" s="90">
        <f>IFERROR(E178/G178,"")</f>
        <v/>
      </c>
      <c r="J178" s="90">
        <f>IFERROR(E178/F178*1000,"")</f>
        <v/>
      </c>
      <c r="K178" s="87" t="n">
        <v>11</v>
      </c>
      <c r="L178" s="18">
        <f>IFERROR(K178/G178,"")</f>
        <v/>
      </c>
      <c r="M178" s="87" t="n">
        <v>0</v>
      </c>
      <c r="N178" s="89">
        <f>IFERROR(M178/K178,"")</f>
        <v/>
      </c>
      <c r="O178" s="86">
        <f>IFERROR(E178/M178,"")</f>
        <v/>
      </c>
      <c r="P178" s="87" t="n">
        <v>0</v>
      </c>
      <c r="Q178" s="18">
        <f>IFERROR(P178/M178,"")</f>
        <v/>
      </c>
      <c r="R178" s="86">
        <f>IFERROR(E178/P178,"")</f>
        <v/>
      </c>
      <c r="S178" s="18">
        <f>IFERROR(E178/SUMIFS($E$5:$E$220,$A$5:$A$220,$A178),"")</f>
        <v/>
      </c>
      <c r="T178" s="18">
        <f>IFERROR(M178/SUMIFS($M$5:$M$220,$A$5:$A$220,$A178),"")</f>
        <v/>
      </c>
      <c r="U178" s="111">
        <f>IFERROR(O178/(SUMIFS($E$5:$E$220,$A$5:$A$220,$A178)/SUMIFS($M$5:$M$220,$A$5:$A$220,$A178)),"")</f>
        <v/>
      </c>
    </row>
    <row r="179">
      <c r="A179" s="6" t="inlineStr">
        <is>
          <t>TikTok</t>
        </is>
      </c>
      <c r="B179" s="78" t="inlineStr">
        <is>
          <t>LEP_ZA_AUG26_TT_TD_PANTERA_CONV</t>
        </is>
      </c>
      <c r="C179" s="78" t="inlineStr">
        <is>
          <t>55-64</t>
        </is>
      </c>
      <c r="D179" s="78" t="inlineStr">
        <is>
          <t>Male</t>
        </is>
      </c>
      <c r="E179" s="86" t="n">
        <v>440.23</v>
      </c>
      <c r="F179" s="87" t="n">
        <v>11435</v>
      </c>
      <c r="G179" s="87" t="n">
        <v>132</v>
      </c>
      <c r="H179" s="89">
        <f>IFERROR(G179/F179,"")</f>
        <v/>
      </c>
      <c r="I179" s="90">
        <f>IFERROR(E179/G179,"")</f>
        <v/>
      </c>
      <c r="J179" s="90">
        <f>IFERROR(E179/F179*1000,"")</f>
        <v/>
      </c>
      <c r="K179" s="87" t="n">
        <v>90</v>
      </c>
      <c r="L179" s="18">
        <f>IFERROR(K179/G179,"")</f>
        <v/>
      </c>
      <c r="M179" s="87" t="n">
        <v>1</v>
      </c>
      <c r="N179" s="89">
        <f>IFERROR(M179/K179,"")</f>
        <v/>
      </c>
      <c r="O179" s="86">
        <f>IFERROR(E179/M179,"")</f>
        <v/>
      </c>
      <c r="P179" s="87" t="n">
        <v>1</v>
      </c>
      <c r="Q179" s="18">
        <f>IFERROR(P179/M179,"")</f>
        <v/>
      </c>
      <c r="R179" s="86">
        <f>IFERROR(E179/P179,"")</f>
        <v/>
      </c>
      <c r="S179" s="18">
        <f>IFERROR(E179/SUMIFS($E$5:$E$220,$A$5:$A$220,$A179),"")</f>
        <v/>
      </c>
      <c r="T179" s="18">
        <f>IFERROR(M179/SUMIFS($M$5:$M$220,$A$5:$A$220,$A179),"")</f>
        <v/>
      </c>
      <c r="U179" s="111">
        <f>IFERROR(O179/(SUMIFS($E$5:$E$220,$A$5:$A$220,$A179)/SUMIFS($M$5:$M$220,$A$5:$A$220,$A179)),"")</f>
        <v/>
      </c>
    </row>
    <row r="180">
      <c r="A180" s="6" t="inlineStr">
        <is>
          <t>TikTok</t>
        </is>
      </c>
      <c r="B180" s="78" t="inlineStr">
        <is>
          <t>LEP_ZA_AUG26_TT_TD_PANTERA_CONV</t>
        </is>
      </c>
      <c r="C180" s="78" t="inlineStr">
        <is>
          <t>55-64</t>
        </is>
      </c>
      <c r="D180" s="78" t="inlineStr">
        <is>
          <t>Female</t>
        </is>
      </c>
      <c r="E180" s="86" t="n">
        <v>428.3</v>
      </c>
      <c r="F180" s="87" t="n">
        <v>11125</v>
      </c>
      <c r="G180" s="87" t="n">
        <v>118</v>
      </c>
      <c r="H180" s="89">
        <f>IFERROR(G180/F180,"")</f>
        <v/>
      </c>
      <c r="I180" s="90">
        <f>IFERROR(E180/G180,"")</f>
        <v/>
      </c>
      <c r="J180" s="90">
        <f>IFERROR(E180/F180*1000,"")</f>
        <v/>
      </c>
      <c r="K180" s="87" t="n">
        <v>81</v>
      </c>
      <c r="L180" s="18">
        <f>IFERROR(K180/G180,"")</f>
        <v/>
      </c>
      <c r="M180" s="87" t="n">
        <v>1</v>
      </c>
      <c r="N180" s="89">
        <f>IFERROR(M180/K180,"")</f>
        <v/>
      </c>
      <c r="O180" s="86">
        <f>IFERROR(E180/M180,"")</f>
        <v/>
      </c>
      <c r="P180" s="87" t="n">
        <v>1</v>
      </c>
      <c r="Q180" s="18">
        <f>IFERROR(P180/M180,"")</f>
        <v/>
      </c>
      <c r="R180" s="86">
        <f>IFERROR(E180/P180,"")</f>
        <v/>
      </c>
      <c r="S180" s="18">
        <f>IFERROR(E180/SUMIFS($E$5:$E$220,$A$5:$A$220,$A180),"")</f>
        <v/>
      </c>
      <c r="T180" s="18">
        <f>IFERROR(M180/SUMIFS($M$5:$M$220,$A$5:$A$220,$A180),"")</f>
        <v/>
      </c>
      <c r="U180" s="111">
        <f>IFERROR(O180/(SUMIFS($E$5:$E$220,$A$5:$A$220,$A180)/SUMIFS($M$5:$M$220,$A$5:$A$220,$A180)),"")</f>
        <v/>
      </c>
    </row>
    <row r="181">
      <c r="A181" s="6" t="inlineStr">
        <is>
          <t>TikTok</t>
        </is>
      </c>
      <c r="B181" s="78" t="inlineStr">
        <is>
          <t>LEP_ZA_AUG26_TT_TD_PANTERA_CONV</t>
        </is>
      </c>
      <c r="C181" s="78" t="inlineStr">
        <is>
          <t>55-64</t>
        </is>
      </c>
      <c r="D181" s="78" t="inlineStr">
        <is>
          <t>Unknown</t>
        </is>
      </c>
      <c r="E181" s="86" t="n">
        <v>26.13</v>
      </c>
      <c r="F181" s="87" t="n">
        <v>679</v>
      </c>
      <c r="G181" s="87" t="n">
        <v>5</v>
      </c>
      <c r="H181" s="89">
        <f>IFERROR(G181/F181,"")</f>
        <v/>
      </c>
      <c r="I181" s="90">
        <f>IFERROR(E181/G181,"")</f>
        <v/>
      </c>
      <c r="J181" s="90">
        <f>IFERROR(E181/F181*1000,"")</f>
        <v/>
      </c>
      <c r="K181" s="87" t="n">
        <v>3</v>
      </c>
      <c r="L181" s="18">
        <f>IFERROR(K181/G181,"")</f>
        <v/>
      </c>
      <c r="M181" s="87" t="n">
        <v>0</v>
      </c>
      <c r="N181" s="89">
        <f>IFERROR(M181/K181,"")</f>
        <v/>
      </c>
      <c r="O181" s="86">
        <f>IFERROR(E181/M181,"")</f>
        <v/>
      </c>
      <c r="P181" s="87" t="n">
        <v>0</v>
      </c>
      <c r="Q181" s="18">
        <f>IFERROR(P181/M181,"")</f>
        <v/>
      </c>
      <c r="R181" s="86">
        <f>IFERROR(E181/P181,"")</f>
        <v/>
      </c>
      <c r="S181" s="18">
        <f>IFERROR(E181/SUMIFS($E$5:$E$220,$A$5:$A$220,$A181),"")</f>
        <v/>
      </c>
      <c r="T181" s="18">
        <f>IFERROR(M181/SUMIFS($M$5:$M$220,$A$5:$A$220,$A181),"")</f>
        <v/>
      </c>
      <c r="U181" s="111">
        <f>IFERROR(O181/(SUMIFS($E$5:$E$220,$A$5:$A$220,$A181)/SUMIFS($M$5:$M$220,$A$5:$A$220,$A181)),"")</f>
        <v/>
      </c>
    </row>
    <row r="182">
      <c r="A182" s="6" t="inlineStr">
        <is>
          <t>TikTok</t>
        </is>
      </c>
      <c r="B182" s="78" t="inlineStr">
        <is>
          <t>LEP_ZA_AUG26_TT_TD_PANTERA_CONV</t>
        </is>
      </c>
      <c r="C182" s="78" t="inlineStr">
        <is>
          <t>65+</t>
        </is>
      </c>
      <c r="D182" s="78" t="inlineStr">
        <is>
          <t>Male</t>
        </is>
      </c>
      <c r="E182" s="86" t="n">
        <v>160.2</v>
      </c>
      <c r="F182" s="87" t="n">
        <v>4161</v>
      </c>
      <c r="G182" s="87" t="n">
        <v>32</v>
      </c>
      <c r="H182" s="89">
        <f>IFERROR(G182/F182,"")</f>
        <v/>
      </c>
      <c r="I182" s="90">
        <f>IFERROR(E182/G182,"")</f>
        <v/>
      </c>
      <c r="J182" s="90">
        <f>IFERROR(E182/F182*1000,"")</f>
        <v/>
      </c>
      <c r="K182" s="87" t="n">
        <v>22</v>
      </c>
      <c r="L182" s="18">
        <f>IFERROR(K182/G182,"")</f>
        <v/>
      </c>
      <c r="M182" s="87" t="n">
        <v>0</v>
      </c>
      <c r="N182" s="89">
        <f>IFERROR(M182/K182,"")</f>
        <v/>
      </c>
      <c r="O182" s="86">
        <f>IFERROR(E182/M182,"")</f>
        <v/>
      </c>
      <c r="P182" s="87" t="n">
        <v>0</v>
      </c>
      <c r="Q182" s="18">
        <f>IFERROR(P182/M182,"")</f>
        <v/>
      </c>
      <c r="R182" s="86">
        <f>IFERROR(E182/P182,"")</f>
        <v/>
      </c>
      <c r="S182" s="18">
        <f>IFERROR(E182/SUMIFS($E$5:$E$220,$A$5:$A$220,$A182),"")</f>
        <v/>
      </c>
      <c r="T182" s="18">
        <f>IFERROR(M182/SUMIFS($M$5:$M$220,$A$5:$A$220,$A182),"")</f>
        <v/>
      </c>
      <c r="U182" s="111">
        <f>IFERROR(O182/(SUMIFS($E$5:$E$220,$A$5:$A$220,$A182)/SUMIFS($M$5:$M$220,$A$5:$A$220,$A182)),"")</f>
        <v/>
      </c>
    </row>
    <row r="183">
      <c r="A183" s="6" t="inlineStr">
        <is>
          <t>TikTok</t>
        </is>
      </c>
      <c r="B183" s="78" t="inlineStr">
        <is>
          <t>LEP_ZA_AUG26_TT_TD_PANTERA_CONV</t>
        </is>
      </c>
      <c r="C183" s="78" t="inlineStr">
        <is>
          <t>65+</t>
        </is>
      </c>
      <c r="D183" s="78" t="inlineStr">
        <is>
          <t>Female</t>
        </is>
      </c>
      <c r="E183" s="86" t="n">
        <v>171.46</v>
      </c>
      <c r="F183" s="87" t="n">
        <v>4454</v>
      </c>
      <c r="G183" s="87" t="n">
        <v>32</v>
      </c>
      <c r="H183" s="89">
        <f>IFERROR(G183/F183,"")</f>
        <v/>
      </c>
      <c r="I183" s="90">
        <f>IFERROR(E183/G183,"")</f>
        <v/>
      </c>
      <c r="J183" s="90">
        <f>IFERROR(E183/F183*1000,"")</f>
        <v/>
      </c>
      <c r="K183" s="87" t="n">
        <v>22</v>
      </c>
      <c r="L183" s="18">
        <f>IFERROR(K183/G183,"")</f>
        <v/>
      </c>
      <c r="M183" s="87" t="n">
        <v>0</v>
      </c>
      <c r="N183" s="89">
        <f>IFERROR(M183/K183,"")</f>
        <v/>
      </c>
      <c r="O183" s="86">
        <f>IFERROR(E183/M183,"")</f>
        <v/>
      </c>
      <c r="P183" s="87" t="n">
        <v>0</v>
      </c>
      <c r="Q183" s="18">
        <f>IFERROR(P183/M183,"")</f>
        <v/>
      </c>
      <c r="R183" s="86">
        <f>IFERROR(E183/P183,"")</f>
        <v/>
      </c>
      <c r="S183" s="18">
        <f>IFERROR(E183/SUMIFS($E$5:$E$220,$A$5:$A$220,$A183),"")</f>
        <v/>
      </c>
      <c r="T183" s="18">
        <f>IFERROR(M183/SUMIFS($M$5:$M$220,$A$5:$A$220,$A183),"")</f>
        <v/>
      </c>
      <c r="U183" s="111">
        <f>IFERROR(O183/(SUMIFS($E$5:$E$220,$A$5:$A$220,$A183)/SUMIFS($M$5:$M$220,$A$5:$A$220,$A183)),"")</f>
        <v/>
      </c>
    </row>
    <row r="184">
      <c r="A184" s="6" t="inlineStr">
        <is>
          <t>TikTok</t>
        </is>
      </c>
      <c r="B184" s="78" t="inlineStr">
        <is>
          <t>LEP_ZA_AUG26_TT_TD_PANTERA_CONV</t>
        </is>
      </c>
      <c r="C184" s="78" t="inlineStr">
        <is>
          <t>65+</t>
        </is>
      </c>
      <c r="D184" s="78" t="inlineStr">
        <is>
          <t>Unknown</t>
        </is>
      </c>
      <c r="E184" s="86" t="n">
        <v>9.84</v>
      </c>
      <c r="F184" s="87" t="n">
        <v>256</v>
      </c>
      <c r="G184" s="87" t="n">
        <v>1</v>
      </c>
      <c r="H184" s="89">
        <f>IFERROR(G184/F184,"")</f>
        <v/>
      </c>
      <c r="I184" s="90">
        <f>IFERROR(E184/G184,"")</f>
        <v/>
      </c>
      <c r="J184" s="90">
        <f>IFERROR(E184/F184*1000,"")</f>
        <v/>
      </c>
      <c r="K184" s="87" t="n">
        <v>1</v>
      </c>
      <c r="L184" s="18">
        <f>IFERROR(K184/G184,"")</f>
        <v/>
      </c>
      <c r="M184" s="87" t="n">
        <v>0</v>
      </c>
      <c r="N184" s="89">
        <f>IFERROR(M184/K184,"")</f>
        <v/>
      </c>
      <c r="O184" s="86">
        <f>IFERROR(E184/M184,"")</f>
        <v/>
      </c>
      <c r="P184" s="87" t="n">
        <v>0</v>
      </c>
      <c r="Q184" s="18">
        <f>IFERROR(P184/M184,"")</f>
        <v/>
      </c>
      <c r="R184" s="86">
        <f>IFERROR(E184/P184,"")</f>
        <v/>
      </c>
      <c r="S184" s="18">
        <f>IFERROR(E184/SUMIFS($E$5:$E$220,$A$5:$A$220,$A184),"")</f>
        <v/>
      </c>
      <c r="T184" s="18">
        <f>IFERROR(M184/SUMIFS($M$5:$M$220,$A$5:$A$220,$A184),"")</f>
        <v/>
      </c>
      <c r="U184" s="111">
        <f>IFERROR(O184/(SUMIFS($E$5:$E$220,$A$5:$A$220,$A184)/SUMIFS($M$5:$M$220,$A$5:$A$220,$A184)),"")</f>
        <v/>
      </c>
    </row>
    <row r="185">
      <c r="A185" s="6" t="inlineStr">
        <is>
          <t>X</t>
        </is>
      </c>
      <c r="B185" s="78" t="inlineStr">
        <is>
          <t>LEP_ZA_AUG26_X_RMKT_TD_CONV</t>
        </is>
      </c>
      <c r="C185" s="78" t="inlineStr">
        <is>
          <t>18-24</t>
        </is>
      </c>
      <c r="D185" s="78" t="inlineStr">
        <is>
          <t>Male</t>
        </is>
      </c>
      <c r="E185" s="86" t="n">
        <v>1526.12</v>
      </c>
      <c r="F185" s="87" t="n">
        <v>23028</v>
      </c>
      <c r="G185" s="87" t="n">
        <v>116</v>
      </c>
      <c r="H185" s="89">
        <f>IFERROR(G185/F185,"")</f>
        <v/>
      </c>
      <c r="I185" s="90">
        <f>IFERROR(E185/G185,"")</f>
        <v/>
      </c>
      <c r="J185" s="90">
        <f>IFERROR(E185/F185*1000,"")</f>
        <v/>
      </c>
      <c r="K185" s="87" t="n">
        <v>89</v>
      </c>
      <c r="L185" s="18">
        <f>IFERROR(K185/G185,"")</f>
        <v/>
      </c>
      <c r="M185" s="87" t="n">
        <v>2</v>
      </c>
      <c r="N185" s="89">
        <f>IFERROR(M185/K185,"")</f>
        <v/>
      </c>
      <c r="O185" s="86">
        <f>IFERROR(E185/M185,"")</f>
        <v/>
      </c>
      <c r="P185" s="87" t="n">
        <v>1</v>
      </c>
      <c r="Q185" s="18">
        <f>IFERROR(P185/M185,"")</f>
        <v/>
      </c>
      <c r="R185" s="86">
        <f>IFERROR(E185/P185,"")</f>
        <v/>
      </c>
      <c r="S185" s="18">
        <f>IFERROR(E185/SUMIFS($E$5:$E$220,$A$5:$A$220,$A185),"")</f>
        <v/>
      </c>
      <c r="T185" s="18">
        <f>IFERROR(M185/SUMIFS($M$5:$M$220,$A$5:$A$220,$A185),"")</f>
        <v/>
      </c>
      <c r="U185" s="111">
        <f>IFERROR(O185/(SUMIFS($E$5:$E$220,$A$5:$A$220,$A185)/SUMIFS($M$5:$M$220,$A$5:$A$220,$A185)),"")</f>
        <v/>
      </c>
    </row>
    <row r="186">
      <c r="A186" s="6" t="inlineStr">
        <is>
          <t>X</t>
        </is>
      </c>
      <c r="B186" s="78" t="inlineStr">
        <is>
          <t>LEP_ZA_AUG26_X_RMKT_TD_CONV</t>
        </is>
      </c>
      <c r="C186" s="78" t="inlineStr">
        <is>
          <t>18-24</t>
        </is>
      </c>
      <c r="D186" s="78" t="inlineStr">
        <is>
          <t>Female</t>
        </is>
      </c>
      <c r="E186" s="86" t="n">
        <v>699.35</v>
      </c>
      <c r="F186" s="87" t="n">
        <v>10553</v>
      </c>
      <c r="G186" s="87" t="n">
        <v>49</v>
      </c>
      <c r="H186" s="89">
        <f>IFERROR(G186/F186,"")</f>
        <v/>
      </c>
      <c r="I186" s="90">
        <f>IFERROR(E186/G186,"")</f>
        <v/>
      </c>
      <c r="J186" s="90">
        <f>IFERROR(E186/F186*1000,"")</f>
        <v/>
      </c>
      <c r="K186" s="87" t="n">
        <v>37</v>
      </c>
      <c r="L186" s="18">
        <f>IFERROR(K186/G186,"")</f>
        <v/>
      </c>
      <c r="M186" s="87" t="n">
        <v>1</v>
      </c>
      <c r="N186" s="89">
        <f>IFERROR(M186/K186,"")</f>
        <v/>
      </c>
      <c r="O186" s="86">
        <f>IFERROR(E186/M186,"")</f>
        <v/>
      </c>
      <c r="P186" s="87" t="n">
        <v>1</v>
      </c>
      <c r="Q186" s="18">
        <f>IFERROR(P186/M186,"")</f>
        <v/>
      </c>
      <c r="R186" s="86">
        <f>IFERROR(E186/P186,"")</f>
        <v/>
      </c>
      <c r="S186" s="18">
        <f>IFERROR(E186/SUMIFS($E$5:$E$220,$A$5:$A$220,$A186),"")</f>
        <v/>
      </c>
      <c r="T186" s="18">
        <f>IFERROR(M186/SUMIFS($M$5:$M$220,$A$5:$A$220,$A186),"")</f>
        <v/>
      </c>
      <c r="U186" s="111">
        <f>IFERROR(O186/(SUMIFS($E$5:$E$220,$A$5:$A$220,$A186)/SUMIFS($M$5:$M$220,$A$5:$A$220,$A186)),"")</f>
        <v/>
      </c>
    </row>
    <row r="187">
      <c r="A187" s="6" t="inlineStr">
        <is>
          <t>X</t>
        </is>
      </c>
      <c r="B187" s="78" t="inlineStr">
        <is>
          <t>LEP_ZA_AUG26_X_RMKT_TD_CONV</t>
        </is>
      </c>
      <c r="C187" s="78" t="inlineStr">
        <is>
          <t>18-24</t>
        </is>
      </c>
      <c r="D187" s="78" t="inlineStr">
        <is>
          <t>Unknown</t>
        </is>
      </c>
      <c r="E187" s="86" t="n">
        <v>64.03</v>
      </c>
      <c r="F187" s="87" t="n">
        <v>966</v>
      </c>
      <c r="G187" s="87" t="n">
        <v>3</v>
      </c>
      <c r="H187" s="89">
        <f>IFERROR(G187/F187,"")</f>
        <v/>
      </c>
      <c r="I187" s="90">
        <f>IFERROR(E187/G187,"")</f>
        <v/>
      </c>
      <c r="J187" s="90">
        <f>IFERROR(E187/F187*1000,"")</f>
        <v/>
      </c>
      <c r="K187" s="87" t="n">
        <v>2</v>
      </c>
      <c r="L187" s="18">
        <f>IFERROR(K187/G187,"")</f>
        <v/>
      </c>
      <c r="M187" s="87" t="n">
        <v>0</v>
      </c>
      <c r="N187" s="89">
        <f>IFERROR(M187/K187,"")</f>
        <v/>
      </c>
      <c r="O187" s="86">
        <f>IFERROR(E187/M187,"")</f>
        <v/>
      </c>
      <c r="P187" s="87" t="n">
        <v>0</v>
      </c>
      <c r="Q187" s="18">
        <f>IFERROR(P187/M187,"")</f>
        <v/>
      </c>
      <c r="R187" s="86">
        <f>IFERROR(E187/P187,"")</f>
        <v/>
      </c>
      <c r="S187" s="18">
        <f>IFERROR(E187/SUMIFS($E$5:$E$220,$A$5:$A$220,$A187),"")</f>
        <v/>
      </c>
      <c r="T187" s="18">
        <f>IFERROR(M187/SUMIFS($M$5:$M$220,$A$5:$A$220,$A187),"")</f>
        <v/>
      </c>
      <c r="U187" s="111">
        <f>IFERROR(O187/(SUMIFS($E$5:$E$220,$A$5:$A$220,$A187)/SUMIFS($M$5:$M$220,$A$5:$A$220,$A187)),"")</f>
        <v/>
      </c>
    </row>
    <row r="188">
      <c r="A188" s="6" t="inlineStr">
        <is>
          <t>X</t>
        </is>
      </c>
      <c r="B188" s="78" t="inlineStr">
        <is>
          <t>LEP_ZA_AUG26_X_RMKT_TD_CONV</t>
        </is>
      </c>
      <c r="C188" s="78" t="inlineStr">
        <is>
          <t>25-34</t>
        </is>
      </c>
      <c r="D188" s="78" t="inlineStr">
        <is>
          <t>Male</t>
        </is>
      </c>
      <c r="E188" s="86" t="n">
        <v>3836.19</v>
      </c>
      <c r="F188" s="87" t="n">
        <v>57886</v>
      </c>
      <c r="G188" s="87" t="n">
        <v>464</v>
      </c>
      <c r="H188" s="89">
        <f>IFERROR(G188/F188,"")</f>
        <v/>
      </c>
      <c r="I188" s="90">
        <f>IFERROR(E188/G188,"")</f>
        <v/>
      </c>
      <c r="J188" s="90">
        <f>IFERROR(E188/F188*1000,"")</f>
        <v/>
      </c>
      <c r="K188" s="87" t="n">
        <v>355</v>
      </c>
      <c r="L188" s="18">
        <f>IFERROR(K188/G188,"")</f>
        <v/>
      </c>
      <c r="M188" s="87" t="n">
        <v>7</v>
      </c>
      <c r="N188" s="89">
        <f>IFERROR(M188/K188,"")</f>
        <v/>
      </c>
      <c r="O188" s="86">
        <f>IFERROR(E188/M188,"")</f>
        <v/>
      </c>
      <c r="P188" s="87" t="n">
        <v>4</v>
      </c>
      <c r="Q188" s="18">
        <f>IFERROR(P188/M188,"")</f>
        <v/>
      </c>
      <c r="R188" s="86">
        <f>IFERROR(E188/P188,"")</f>
        <v/>
      </c>
      <c r="S188" s="18">
        <f>IFERROR(E188/SUMIFS($E$5:$E$220,$A$5:$A$220,$A188),"")</f>
        <v/>
      </c>
      <c r="T188" s="18">
        <f>IFERROR(M188/SUMIFS($M$5:$M$220,$A$5:$A$220,$A188),"")</f>
        <v/>
      </c>
      <c r="U188" s="111">
        <f>IFERROR(O188/(SUMIFS($E$5:$E$220,$A$5:$A$220,$A188)/SUMIFS($M$5:$M$220,$A$5:$A$220,$A188)),"")</f>
        <v/>
      </c>
    </row>
    <row r="189">
      <c r="A189" s="6" t="inlineStr">
        <is>
          <t>X</t>
        </is>
      </c>
      <c r="B189" s="78" t="inlineStr">
        <is>
          <t>LEP_ZA_AUG26_X_RMKT_TD_CONV</t>
        </is>
      </c>
      <c r="C189" s="78" t="inlineStr">
        <is>
          <t>25-34</t>
        </is>
      </c>
      <c r="D189" s="78" t="inlineStr">
        <is>
          <t>Female</t>
        </is>
      </c>
      <c r="E189" s="86" t="n">
        <v>1848.76</v>
      </c>
      <c r="F189" s="87" t="n">
        <v>27897</v>
      </c>
      <c r="G189" s="87" t="n">
        <v>204</v>
      </c>
      <c r="H189" s="89">
        <f>IFERROR(G189/F189,"")</f>
        <v/>
      </c>
      <c r="I189" s="90">
        <f>IFERROR(E189/G189,"")</f>
        <v/>
      </c>
      <c r="J189" s="90">
        <f>IFERROR(E189/F189*1000,"")</f>
        <v/>
      </c>
      <c r="K189" s="87" t="n">
        <v>157</v>
      </c>
      <c r="L189" s="18">
        <f>IFERROR(K189/G189,"")</f>
        <v/>
      </c>
      <c r="M189" s="87" t="n">
        <v>3</v>
      </c>
      <c r="N189" s="89">
        <f>IFERROR(M189/K189,"")</f>
        <v/>
      </c>
      <c r="O189" s="86">
        <f>IFERROR(E189/M189,"")</f>
        <v/>
      </c>
      <c r="P189" s="87" t="n">
        <v>2</v>
      </c>
      <c r="Q189" s="18">
        <f>IFERROR(P189/M189,"")</f>
        <v/>
      </c>
      <c r="R189" s="86">
        <f>IFERROR(E189/P189,"")</f>
        <v/>
      </c>
      <c r="S189" s="18">
        <f>IFERROR(E189/SUMIFS($E$5:$E$220,$A$5:$A$220,$A189),"")</f>
        <v/>
      </c>
      <c r="T189" s="18">
        <f>IFERROR(M189/SUMIFS($M$5:$M$220,$A$5:$A$220,$A189),"")</f>
        <v/>
      </c>
      <c r="U189" s="111">
        <f>IFERROR(O189/(SUMIFS($E$5:$E$220,$A$5:$A$220,$A189)/SUMIFS($M$5:$M$220,$A$5:$A$220,$A189)),"")</f>
        <v/>
      </c>
    </row>
    <row r="190">
      <c r="A190" s="6" t="inlineStr">
        <is>
          <t>X</t>
        </is>
      </c>
      <c r="B190" s="78" t="inlineStr">
        <is>
          <t>LEP_ZA_AUG26_X_RMKT_TD_CONV</t>
        </is>
      </c>
      <c r="C190" s="78" t="inlineStr">
        <is>
          <t>25-34</t>
        </is>
      </c>
      <c r="D190" s="78" t="inlineStr">
        <is>
          <t>Unknown</t>
        </is>
      </c>
      <c r="E190" s="86" t="n">
        <v>179.52</v>
      </c>
      <c r="F190" s="87" t="n">
        <v>2709</v>
      </c>
      <c r="G190" s="87" t="n">
        <v>13</v>
      </c>
      <c r="H190" s="89">
        <f>IFERROR(G190/F190,"")</f>
        <v/>
      </c>
      <c r="I190" s="90">
        <f>IFERROR(E190/G190,"")</f>
        <v/>
      </c>
      <c r="J190" s="90">
        <f>IFERROR(E190/F190*1000,"")</f>
        <v/>
      </c>
      <c r="K190" s="87" t="n">
        <v>10</v>
      </c>
      <c r="L190" s="18">
        <f>IFERROR(K190/G190,"")</f>
        <v/>
      </c>
      <c r="M190" s="87" t="n">
        <v>0</v>
      </c>
      <c r="N190" s="89">
        <f>IFERROR(M190/K190,"")</f>
        <v/>
      </c>
      <c r="O190" s="86">
        <f>IFERROR(E190/M190,"")</f>
        <v/>
      </c>
      <c r="P190" s="87" t="n">
        <v>0</v>
      </c>
      <c r="Q190" s="18">
        <f>IFERROR(P190/M190,"")</f>
        <v/>
      </c>
      <c r="R190" s="86">
        <f>IFERROR(E190/P190,"")</f>
        <v/>
      </c>
      <c r="S190" s="18">
        <f>IFERROR(E190/SUMIFS($E$5:$E$220,$A$5:$A$220,$A190),"")</f>
        <v/>
      </c>
      <c r="T190" s="18">
        <f>IFERROR(M190/SUMIFS($M$5:$M$220,$A$5:$A$220,$A190),"")</f>
        <v/>
      </c>
      <c r="U190" s="111">
        <f>IFERROR(O190/(SUMIFS($E$5:$E$220,$A$5:$A$220,$A190)/SUMIFS($M$5:$M$220,$A$5:$A$220,$A190)),"")</f>
        <v/>
      </c>
    </row>
    <row r="191">
      <c r="A191" s="6" t="inlineStr">
        <is>
          <t>X</t>
        </is>
      </c>
      <c r="B191" s="78" t="inlineStr">
        <is>
          <t>LEP_ZA_AUG26_X_RMKT_TD_CONV</t>
        </is>
      </c>
      <c r="C191" s="78" t="inlineStr">
        <is>
          <t>35-44</t>
        </is>
      </c>
      <c r="D191" s="78" t="inlineStr">
        <is>
          <t>Male</t>
        </is>
      </c>
      <c r="E191" s="86" t="n">
        <v>2951.22</v>
      </c>
      <c r="F191" s="87" t="n">
        <v>44533</v>
      </c>
      <c r="G191" s="87" t="n">
        <v>496</v>
      </c>
      <c r="H191" s="89">
        <f>IFERROR(G191/F191,"")</f>
        <v/>
      </c>
      <c r="I191" s="90">
        <f>IFERROR(E191/G191,"")</f>
        <v/>
      </c>
      <c r="J191" s="90">
        <f>IFERROR(E191/F191*1000,"")</f>
        <v/>
      </c>
      <c r="K191" s="87" t="n">
        <v>380</v>
      </c>
      <c r="L191" s="18">
        <f>IFERROR(K191/G191,"")</f>
        <v/>
      </c>
      <c r="M191" s="87" t="n">
        <v>8</v>
      </c>
      <c r="N191" s="89">
        <f>IFERROR(M191/K191,"")</f>
        <v/>
      </c>
      <c r="O191" s="86">
        <f>IFERROR(E191/M191,"")</f>
        <v/>
      </c>
      <c r="P191" s="87" t="n">
        <v>4</v>
      </c>
      <c r="Q191" s="18">
        <f>IFERROR(P191/M191,"")</f>
        <v/>
      </c>
      <c r="R191" s="86">
        <f>IFERROR(E191/P191,"")</f>
        <v/>
      </c>
      <c r="S191" s="18">
        <f>IFERROR(E191/SUMIFS($E$5:$E$220,$A$5:$A$220,$A191),"")</f>
        <v/>
      </c>
      <c r="T191" s="18">
        <f>IFERROR(M191/SUMIFS($M$5:$M$220,$A$5:$A$220,$A191),"")</f>
        <v/>
      </c>
      <c r="U191" s="111">
        <f>IFERROR(O191/(SUMIFS($E$5:$E$220,$A$5:$A$220,$A191)/SUMIFS($M$5:$M$220,$A$5:$A$220,$A191)),"")</f>
        <v/>
      </c>
    </row>
    <row r="192">
      <c r="A192" s="6" t="inlineStr">
        <is>
          <t>X</t>
        </is>
      </c>
      <c r="B192" s="78" t="inlineStr">
        <is>
          <t>LEP_ZA_AUG26_X_RMKT_TD_CONV</t>
        </is>
      </c>
      <c r="C192" s="78" t="inlineStr">
        <is>
          <t>35-44</t>
        </is>
      </c>
      <c r="D192" s="78" t="inlineStr">
        <is>
          <t>Female</t>
        </is>
      </c>
      <c r="E192" s="86" t="n">
        <v>1540.14</v>
      </c>
      <c r="F192" s="87" t="n">
        <v>23240</v>
      </c>
      <c r="G192" s="87" t="n">
        <v>237</v>
      </c>
      <c r="H192" s="89">
        <f>IFERROR(G192/F192,"")</f>
        <v/>
      </c>
      <c r="I192" s="90">
        <f>IFERROR(E192/G192,"")</f>
        <v/>
      </c>
      <c r="J192" s="90">
        <f>IFERROR(E192/F192*1000,"")</f>
        <v/>
      </c>
      <c r="K192" s="87" t="n">
        <v>182</v>
      </c>
      <c r="L192" s="18">
        <f>IFERROR(K192/G192,"")</f>
        <v/>
      </c>
      <c r="M192" s="87" t="n">
        <v>4</v>
      </c>
      <c r="N192" s="89">
        <f>IFERROR(M192/K192,"")</f>
        <v/>
      </c>
      <c r="O192" s="86">
        <f>IFERROR(E192/M192,"")</f>
        <v/>
      </c>
      <c r="P192" s="87" t="n">
        <v>2</v>
      </c>
      <c r="Q192" s="18">
        <f>IFERROR(P192/M192,"")</f>
        <v/>
      </c>
      <c r="R192" s="86">
        <f>IFERROR(E192/P192,"")</f>
        <v/>
      </c>
      <c r="S192" s="18">
        <f>IFERROR(E192/SUMIFS($E$5:$E$220,$A$5:$A$220,$A192),"")</f>
        <v/>
      </c>
      <c r="T192" s="18">
        <f>IFERROR(M192/SUMIFS($M$5:$M$220,$A$5:$A$220,$A192),"")</f>
        <v/>
      </c>
      <c r="U192" s="111">
        <f>IFERROR(O192/(SUMIFS($E$5:$E$220,$A$5:$A$220,$A192)/SUMIFS($M$5:$M$220,$A$5:$A$220,$A192)),"")</f>
        <v/>
      </c>
    </row>
    <row r="193">
      <c r="A193" s="6" t="inlineStr">
        <is>
          <t>X</t>
        </is>
      </c>
      <c r="B193" s="78" t="inlineStr">
        <is>
          <t>LEP_ZA_AUG26_X_RMKT_TD_CONV</t>
        </is>
      </c>
      <c r="C193" s="78" t="inlineStr">
        <is>
          <t>35-44</t>
        </is>
      </c>
      <c r="D193" s="78" t="inlineStr">
        <is>
          <t>Unknown</t>
        </is>
      </c>
      <c r="E193" s="86" t="n">
        <v>135.3</v>
      </c>
      <c r="F193" s="87" t="n">
        <v>2042</v>
      </c>
      <c r="G193" s="87" t="n">
        <v>13</v>
      </c>
      <c r="H193" s="89">
        <f>IFERROR(G193/F193,"")</f>
        <v/>
      </c>
      <c r="I193" s="90">
        <f>IFERROR(E193/G193,"")</f>
        <v/>
      </c>
      <c r="J193" s="90">
        <f>IFERROR(E193/F193*1000,"")</f>
        <v/>
      </c>
      <c r="K193" s="87" t="n">
        <v>10</v>
      </c>
      <c r="L193" s="18">
        <f>IFERROR(K193/G193,"")</f>
        <v/>
      </c>
      <c r="M193" s="87" t="n">
        <v>0</v>
      </c>
      <c r="N193" s="89">
        <f>IFERROR(M193/K193,"")</f>
        <v/>
      </c>
      <c r="O193" s="86">
        <f>IFERROR(E193/M193,"")</f>
        <v/>
      </c>
      <c r="P193" s="87" t="n">
        <v>0</v>
      </c>
      <c r="Q193" s="18">
        <f>IFERROR(P193/M193,"")</f>
        <v/>
      </c>
      <c r="R193" s="86">
        <f>IFERROR(E193/P193,"")</f>
        <v/>
      </c>
      <c r="S193" s="18">
        <f>IFERROR(E193/SUMIFS($E$5:$E$220,$A$5:$A$220,$A193),"")</f>
        <v/>
      </c>
      <c r="T193" s="18">
        <f>IFERROR(M193/SUMIFS($M$5:$M$220,$A$5:$A$220,$A193),"")</f>
        <v/>
      </c>
      <c r="U193" s="111">
        <f>IFERROR(O193/(SUMIFS($E$5:$E$220,$A$5:$A$220,$A193)/SUMIFS($M$5:$M$220,$A$5:$A$220,$A193)),"")</f>
        <v/>
      </c>
    </row>
    <row r="194">
      <c r="A194" s="6" t="inlineStr">
        <is>
          <t>X</t>
        </is>
      </c>
      <c r="B194" s="78" t="inlineStr">
        <is>
          <t>LEP_ZA_AUG26_X_RMKT_TD_CONV</t>
        </is>
      </c>
      <c r="C194" s="78" t="inlineStr">
        <is>
          <t>45-54</t>
        </is>
      </c>
      <c r="D194" s="78" t="inlineStr">
        <is>
          <t>Male</t>
        </is>
      </c>
      <c r="E194" s="86" t="n">
        <v>1819.77</v>
      </c>
      <c r="F194" s="87" t="n">
        <v>27459</v>
      </c>
      <c r="G194" s="87" t="n">
        <v>320</v>
      </c>
      <c r="H194" s="89">
        <f>IFERROR(G194/F194,"")</f>
        <v/>
      </c>
      <c r="I194" s="90">
        <f>IFERROR(E194/G194,"")</f>
        <v/>
      </c>
      <c r="J194" s="90">
        <f>IFERROR(E194/F194*1000,"")</f>
        <v/>
      </c>
      <c r="K194" s="87" t="n">
        <v>246</v>
      </c>
      <c r="L194" s="18">
        <f>IFERROR(K194/G194,"")</f>
        <v/>
      </c>
      <c r="M194" s="87" t="n">
        <v>5</v>
      </c>
      <c r="N194" s="89">
        <f>IFERROR(M194/K194,"")</f>
        <v/>
      </c>
      <c r="O194" s="86">
        <f>IFERROR(E194/M194,"")</f>
        <v/>
      </c>
      <c r="P194" s="87" t="n">
        <v>3</v>
      </c>
      <c r="Q194" s="18">
        <f>IFERROR(P194/M194,"")</f>
        <v/>
      </c>
      <c r="R194" s="86">
        <f>IFERROR(E194/P194,"")</f>
        <v/>
      </c>
      <c r="S194" s="18">
        <f>IFERROR(E194/SUMIFS($E$5:$E$220,$A$5:$A$220,$A194),"")</f>
        <v/>
      </c>
      <c r="T194" s="18">
        <f>IFERROR(M194/SUMIFS($M$5:$M$220,$A$5:$A$220,$A194),"")</f>
        <v/>
      </c>
      <c r="U194" s="111">
        <f>IFERROR(O194/(SUMIFS($E$5:$E$220,$A$5:$A$220,$A194)/SUMIFS($M$5:$M$220,$A$5:$A$220,$A194)),"")</f>
        <v/>
      </c>
    </row>
    <row r="195">
      <c r="A195" s="6" t="inlineStr">
        <is>
          <t>X</t>
        </is>
      </c>
      <c r="B195" s="78" t="inlineStr">
        <is>
          <t>LEP_ZA_AUG26_X_RMKT_TD_CONV</t>
        </is>
      </c>
      <c r="C195" s="78" t="inlineStr">
        <is>
          <t>45-54</t>
        </is>
      </c>
      <c r="D195" s="78" t="inlineStr">
        <is>
          <t>Female</t>
        </is>
      </c>
      <c r="E195" s="86" t="n">
        <v>894.01</v>
      </c>
      <c r="F195" s="87" t="n">
        <v>13490</v>
      </c>
      <c r="G195" s="87" t="n">
        <v>144</v>
      </c>
      <c r="H195" s="89">
        <f>IFERROR(G195/F195,"")</f>
        <v/>
      </c>
      <c r="I195" s="90">
        <f>IFERROR(E195/G195,"")</f>
        <v/>
      </c>
      <c r="J195" s="90">
        <f>IFERROR(E195/F195*1000,"")</f>
        <v/>
      </c>
      <c r="K195" s="87" t="n">
        <v>111</v>
      </c>
      <c r="L195" s="18">
        <f>IFERROR(K195/G195,"")</f>
        <v/>
      </c>
      <c r="M195" s="87" t="n">
        <v>2</v>
      </c>
      <c r="N195" s="89">
        <f>IFERROR(M195/K195,"")</f>
        <v/>
      </c>
      <c r="O195" s="86">
        <f>IFERROR(E195/M195,"")</f>
        <v/>
      </c>
      <c r="P195" s="87" t="n">
        <v>1</v>
      </c>
      <c r="Q195" s="18">
        <f>IFERROR(P195/M195,"")</f>
        <v/>
      </c>
      <c r="R195" s="86">
        <f>IFERROR(E195/P195,"")</f>
        <v/>
      </c>
      <c r="S195" s="18">
        <f>IFERROR(E195/SUMIFS($E$5:$E$220,$A$5:$A$220,$A195),"")</f>
        <v/>
      </c>
      <c r="T195" s="18">
        <f>IFERROR(M195/SUMIFS($M$5:$M$220,$A$5:$A$220,$A195),"")</f>
        <v/>
      </c>
      <c r="U195" s="111">
        <f>IFERROR(O195/(SUMIFS($E$5:$E$220,$A$5:$A$220,$A195)/SUMIFS($M$5:$M$220,$A$5:$A$220,$A195)),"")</f>
        <v/>
      </c>
    </row>
    <row r="196">
      <c r="A196" s="6" t="inlineStr">
        <is>
          <t>X</t>
        </is>
      </c>
      <c r="B196" s="78" t="inlineStr">
        <is>
          <t>LEP_ZA_AUG26_X_RMKT_TD_CONV</t>
        </is>
      </c>
      <c r="C196" s="78" t="inlineStr">
        <is>
          <t>45-54</t>
        </is>
      </c>
      <c r="D196" s="78" t="inlineStr">
        <is>
          <t>Unknown</t>
        </is>
      </c>
      <c r="E196" s="86" t="n">
        <v>80.22</v>
      </c>
      <c r="F196" s="87" t="n">
        <v>1210</v>
      </c>
      <c r="G196" s="87" t="n">
        <v>8</v>
      </c>
      <c r="H196" s="89">
        <f>IFERROR(G196/F196,"")</f>
        <v/>
      </c>
      <c r="I196" s="90">
        <f>IFERROR(E196/G196,"")</f>
        <v/>
      </c>
      <c r="J196" s="90">
        <f>IFERROR(E196/F196*1000,"")</f>
        <v/>
      </c>
      <c r="K196" s="87" t="n">
        <v>6</v>
      </c>
      <c r="L196" s="18">
        <f>IFERROR(K196/G196,"")</f>
        <v/>
      </c>
      <c r="M196" s="87" t="n">
        <v>0</v>
      </c>
      <c r="N196" s="89">
        <f>IFERROR(M196/K196,"")</f>
        <v/>
      </c>
      <c r="O196" s="86">
        <f>IFERROR(E196/M196,"")</f>
        <v/>
      </c>
      <c r="P196" s="87" t="n">
        <v>0</v>
      </c>
      <c r="Q196" s="18">
        <f>IFERROR(P196/M196,"")</f>
        <v/>
      </c>
      <c r="R196" s="86">
        <f>IFERROR(E196/P196,"")</f>
        <v/>
      </c>
      <c r="S196" s="18">
        <f>IFERROR(E196/SUMIFS($E$5:$E$220,$A$5:$A$220,$A196),"")</f>
        <v/>
      </c>
      <c r="T196" s="18">
        <f>IFERROR(M196/SUMIFS($M$5:$M$220,$A$5:$A$220,$A196),"")</f>
        <v/>
      </c>
      <c r="U196" s="111">
        <f>IFERROR(O196/(SUMIFS($E$5:$E$220,$A$5:$A$220,$A196)/SUMIFS($M$5:$M$220,$A$5:$A$220,$A196)),"")</f>
        <v/>
      </c>
    </row>
    <row r="197">
      <c r="A197" s="6" t="inlineStr">
        <is>
          <t>X</t>
        </is>
      </c>
      <c r="B197" s="78" t="inlineStr">
        <is>
          <t>LEP_ZA_AUG26_X_RMKT_TD_CONV</t>
        </is>
      </c>
      <c r="C197" s="78" t="inlineStr">
        <is>
          <t>55-64</t>
        </is>
      </c>
      <c r="D197" s="78" t="inlineStr">
        <is>
          <t>Male</t>
        </is>
      </c>
      <c r="E197" s="86" t="n">
        <v>757.72</v>
      </c>
      <c r="F197" s="87" t="n">
        <v>11434</v>
      </c>
      <c r="G197" s="87" t="n">
        <v>104</v>
      </c>
      <c r="H197" s="89">
        <f>IFERROR(G197/F197,"")</f>
        <v/>
      </c>
      <c r="I197" s="90">
        <f>IFERROR(E197/G197,"")</f>
        <v/>
      </c>
      <c r="J197" s="90">
        <f>IFERROR(E197/F197*1000,"")</f>
        <v/>
      </c>
      <c r="K197" s="87" t="n">
        <v>80</v>
      </c>
      <c r="L197" s="18">
        <f>IFERROR(K197/G197,"")</f>
        <v/>
      </c>
      <c r="M197" s="87" t="n">
        <v>2</v>
      </c>
      <c r="N197" s="89">
        <f>IFERROR(M197/K197,"")</f>
        <v/>
      </c>
      <c r="O197" s="86">
        <f>IFERROR(E197/M197,"")</f>
        <v/>
      </c>
      <c r="P197" s="87" t="n">
        <v>1</v>
      </c>
      <c r="Q197" s="18">
        <f>IFERROR(P197/M197,"")</f>
        <v/>
      </c>
      <c r="R197" s="86">
        <f>IFERROR(E197/P197,"")</f>
        <v/>
      </c>
      <c r="S197" s="18">
        <f>IFERROR(E197/SUMIFS($E$5:$E$220,$A$5:$A$220,$A197),"")</f>
        <v/>
      </c>
      <c r="T197" s="18">
        <f>IFERROR(M197/SUMIFS($M$5:$M$220,$A$5:$A$220,$A197),"")</f>
        <v/>
      </c>
      <c r="U197" s="111">
        <f>IFERROR(O197/(SUMIFS($E$5:$E$220,$A$5:$A$220,$A197)/SUMIFS($M$5:$M$220,$A$5:$A$220,$A197)),"")</f>
        <v/>
      </c>
    </row>
    <row r="198">
      <c r="A198" s="6" t="inlineStr">
        <is>
          <t>X</t>
        </is>
      </c>
      <c r="B198" s="78" t="inlineStr">
        <is>
          <t>LEP_ZA_AUG26_X_RMKT_TD_CONV</t>
        </is>
      </c>
      <c r="C198" s="78" t="inlineStr">
        <is>
          <t>55-64</t>
        </is>
      </c>
      <c r="D198" s="78" t="inlineStr">
        <is>
          <t>Female</t>
        </is>
      </c>
      <c r="E198" s="86" t="n">
        <v>385.25</v>
      </c>
      <c r="F198" s="87" t="n">
        <v>5813</v>
      </c>
      <c r="G198" s="87" t="n">
        <v>49</v>
      </c>
      <c r="H198" s="89">
        <f>IFERROR(G198/F198,"")</f>
        <v/>
      </c>
      <c r="I198" s="90">
        <f>IFERROR(E198/G198,"")</f>
        <v/>
      </c>
      <c r="J198" s="90">
        <f>IFERROR(E198/F198*1000,"")</f>
        <v/>
      </c>
      <c r="K198" s="87" t="n">
        <v>37</v>
      </c>
      <c r="L198" s="18">
        <f>IFERROR(K198/G198,"")</f>
        <v/>
      </c>
      <c r="M198" s="87" t="n">
        <v>1</v>
      </c>
      <c r="N198" s="89">
        <f>IFERROR(M198/K198,"")</f>
        <v/>
      </c>
      <c r="O198" s="86">
        <f>IFERROR(E198/M198,"")</f>
        <v/>
      </c>
      <c r="P198" s="87" t="n">
        <v>1</v>
      </c>
      <c r="Q198" s="18">
        <f>IFERROR(P198/M198,"")</f>
        <v/>
      </c>
      <c r="R198" s="86">
        <f>IFERROR(E198/P198,"")</f>
        <v/>
      </c>
      <c r="S198" s="18">
        <f>IFERROR(E198/SUMIFS($E$5:$E$220,$A$5:$A$220,$A198),"")</f>
        <v/>
      </c>
      <c r="T198" s="18">
        <f>IFERROR(M198/SUMIFS($M$5:$M$220,$A$5:$A$220,$A198),"")</f>
        <v/>
      </c>
      <c r="U198" s="111">
        <f>IFERROR(O198/(SUMIFS($E$5:$E$220,$A$5:$A$220,$A198)/SUMIFS($M$5:$M$220,$A$5:$A$220,$A198)),"")</f>
        <v/>
      </c>
    </row>
    <row r="199">
      <c r="A199" s="6" t="inlineStr">
        <is>
          <t>X</t>
        </is>
      </c>
      <c r="B199" s="78" t="inlineStr">
        <is>
          <t>LEP_ZA_AUG26_X_RMKT_TD_CONV</t>
        </is>
      </c>
      <c r="C199" s="78" t="inlineStr">
        <is>
          <t>55-64</t>
        </is>
      </c>
      <c r="D199" s="78" t="inlineStr">
        <is>
          <t>Unknown</t>
        </is>
      </c>
      <c r="E199" s="86" t="n">
        <v>37.12</v>
      </c>
      <c r="F199" s="87" t="n">
        <v>560</v>
      </c>
      <c r="G199" s="87" t="n">
        <v>3</v>
      </c>
      <c r="H199" s="89">
        <f>IFERROR(G199/F199,"")</f>
        <v/>
      </c>
      <c r="I199" s="90">
        <f>IFERROR(E199/G199,"")</f>
        <v/>
      </c>
      <c r="J199" s="90">
        <f>IFERROR(E199/F199*1000,"")</f>
        <v/>
      </c>
      <c r="K199" s="87" t="n">
        <v>2</v>
      </c>
      <c r="L199" s="18">
        <f>IFERROR(K199/G199,"")</f>
        <v/>
      </c>
      <c r="M199" s="87" t="n">
        <v>0</v>
      </c>
      <c r="N199" s="89">
        <f>IFERROR(M199/K199,"")</f>
        <v/>
      </c>
      <c r="O199" s="86">
        <f>IFERROR(E199/M199,"")</f>
        <v/>
      </c>
      <c r="P199" s="87" t="n">
        <v>0</v>
      </c>
      <c r="Q199" s="18">
        <f>IFERROR(P199/M199,"")</f>
        <v/>
      </c>
      <c r="R199" s="86">
        <f>IFERROR(E199/P199,"")</f>
        <v/>
      </c>
      <c r="S199" s="18">
        <f>IFERROR(E199/SUMIFS($E$5:$E$220,$A$5:$A$220,$A199),"")</f>
        <v/>
      </c>
      <c r="T199" s="18">
        <f>IFERROR(M199/SUMIFS($M$5:$M$220,$A$5:$A$220,$A199),"")</f>
        <v/>
      </c>
      <c r="U199" s="111">
        <f>IFERROR(O199/(SUMIFS($E$5:$E$220,$A$5:$A$220,$A199)/SUMIFS($M$5:$M$220,$A$5:$A$220,$A199)),"")</f>
        <v/>
      </c>
    </row>
    <row r="200">
      <c r="A200" s="6" t="inlineStr">
        <is>
          <t>X</t>
        </is>
      </c>
      <c r="B200" s="78" t="inlineStr">
        <is>
          <t>LEP_ZA_AUG26_X_RMKT_TD_CONV</t>
        </is>
      </c>
      <c r="C200" s="78" t="inlineStr">
        <is>
          <t>65+</t>
        </is>
      </c>
      <c r="D200" s="78" t="inlineStr">
        <is>
          <t>Male</t>
        </is>
      </c>
      <c r="E200" s="86" t="n">
        <v>318.93</v>
      </c>
      <c r="F200" s="87" t="n">
        <v>4813</v>
      </c>
      <c r="G200" s="87" t="n">
        <v>30</v>
      </c>
      <c r="H200" s="89">
        <f>IFERROR(G200/F200,"")</f>
        <v/>
      </c>
      <c r="I200" s="90">
        <f>IFERROR(E200/G200,"")</f>
        <v/>
      </c>
      <c r="J200" s="90">
        <f>IFERROR(E200/F200*1000,"")</f>
        <v/>
      </c>
      <c r="K200" s="87" t="n">
        <v>23</v>
      </c>
      <c r="L200" s="18">
        <f>IFERROR(K200/G200,"")</f>
        <v/>
      </c>
      <c r="M200" s="87" t="n">
        <v>0</v>
      </c>
      <c r="N200" s="89">
        <f>IFERROR(M200/K200,"")</f>
        <v/>
      </c>
      <c r="O200" s="86">
        <f>IFERROR(E200/M200,"")</f>
        <v/>
      </c>
      <c r="P200" s="87" t="n">
        <v>0</v>
      </c>
      <c r="Q200" s="18">
        <f>IFERROR(P200/M200,"")</f>
        <v/>
      </c>
      <c r="R200" s="86">
        <f>IFERROR(E200/P200,"")</f>
        <v/>
      </c>
      <c r="S200" s="18">
        <f>IFERROR(E200/SUMIFS($E$5:$E$220,$A$5:$A$220,$A200),"")</f>
        <v/>
      </c>
      <c r="T200" s="18">
        <f>IFERROR(M200/SUMIFS($M$5:$M$220,$A$5:$A$220,$A200),"")</f>
        <v/>
      </c>
      <c r="U200" s="111">
        <f>IFERROR(O200/(SUMIFS($E$5:$E$220,$A$5:$A$220,$A200)/SUMIFS($M$5:$M$220,$A$5:$A$220,$A200)),"")</f>
        <v/>
      </c>
    </row>
    <row r="201">
      <c r="A201" s="6" t="inlineStr">
        <is>
          <t>X</t>
        </is>
      </c>
      <c r="B201" s="78" t="inlineStr">
        <is>
          <t>LEP_ZA_AUG26_X_RMKT_TD_CONV</t>
        </is>
      </c>
      <c r="C201" s="78" t="inlineStr">
        <is>
          <t>65+</t>
        </is>
      </c>
      <c r="D201" s="78" t="inlineStr">
        <is>
          <t>Female</t>
        </is>
      </c>
      <c r="E201" s="86" t="n">
        <v>150.74</v>
      </c>
      <c r="F201" s="87" t="n">
        <v>2275</v>
      </c>
      <c r="G201" s="87" t="n">
        <v>13</v>
      </c>
      <c r="H201" s="89">
        <f>IFERROR(G201/F201,"")</f>
        <v/>
      </c>
      <c r="I201" s="90">
        <f>IFERROR(E201/G201,"")</f>
        <v/>
      </c>
      <c r="J201" s="90">
        <f>IFERROR(E201/F201*1000,"")</f>
        <v/>
      </c>
      <c r="K201" s="87" t="n">
        <v>10</v>
      </c>
      <c r="L201" s="18">
        <f>IFERROR(K201/G201,"")</f>
        <v/>
      </c>
      <c r="M201" s="87" t="n">
        <v>0</v>
      </c>
      <c r="N201" s="89">
        <f>IFERROR(M201/K201,"")</f>
        <v/>
      </c>
      <c r="O201" s="86">
        <f>IFERROR(E201/M201,"")</f>
        <v/>
      </c>
      <c r="P201" s="87" t="n">
        <v>0</v>
      </c>
      <c r="Q201" s="18">
        <f>IFERROR(P201/M201,"")</f>
        <v/>
      </c>
      <c r="R201" s="86">
        <f>IFERROR(E201/P201,"")</f>
        <v/>
      </c>
      <c r="S201" s="18">
        <f>IFERROR(E201/SUMIFS($E$5:$E$220,$A$5:$A$220,$A201),"")</f>
        <v/>
      </c>
      <c r="T201" s="18">
        <f>IFERROR(M201/SUMIFS($M$5:$M$220,$A$5:$A$220,$A201),"")</f>
        <v/>
      </c>
      <c r="U201" s="111">
        <f>IFERROR(O201/(SUMIFS($E$5:$E$220,$A$5:$A$220,$A201)/SUMIFS($M$5:$M$220,$A$5:$A$220,$A201)),"")</f>
        <v/>
      </c>
    </row>
    <row r="202">
      <c r="A202" s="6" t="inlineStr">
        <is>
          <t>X</t>
        </is>
      </c>
      <c r="B202" s="78" t="inlineStr">
        <is>
          <t>LEP_ZA_AUG26_X_RMKT_TD_CONV</t>
        </is>
      </c>
      <c r="C202" s="78" t="inlineStr">
        <is>
          <t>65+</t>
        </is>
      </c>
      <c r="D202" s="78" t="inlineStr">
        <is>
          <t>Unknown</t>
        </is>
      </c>
      <c r="E202" s="86" t="n">
        <v>16.77</v>
      </c>
      <c r="F202" s="87" t="n">
        <v>253</v>
      </c>
      <c r="G202" s="87" t="n">
        <v>1</v>
      </c>
      <c r="H202" s="89">
        <f>IFERROR(G202/F202,"")</f>
        <v/>
      </c>
      <c r="I202" s="90">
        <f>IFERROR(E202/G202,"")</f>
        <v/>
      </c>
      <c r="J202" s="90">
        <f>IFERROR(E202/F202*1000,"")</f>
        <v/>
      </c>
      <c r="K202" s="87" t="n">
        <v>1</v>
      </c>
      <c r="L202" s="18">
        <f>IFERROR(K202/G202,"")</f>
        <v/>
      </c>
      <c r="M202" s="87" t="n">
        <v>0</v>
      </c>
      <c r="N202" s="89">
        <f>IFERROR(M202/K202,"")</f>
        <v/>
      </c>
      <c r="O202" s="86">
        <f>IFERROR(E202/M202,"")</f>
        <v/>
      </c>
      <c r="P202" s="87" t="n">
        <v>0</v>
      </c>
      <c r="Q202" s="18">
        <f>IFERROR(P202/M202,"")</f>
        <v/>
      </c>
      <c r="R202" s="86">
        <f>IFERROR(E202/P202,"")</f>
        <v/>
      </c>
      <c r="S202" s="18">
        <f>IFERROR(E202/SUMIFS($E$5:$E$220,$A$5:$A$220,$A202),"")</f>
        <v/>
      </c>
      <c r="T202" s="18">
        <f>IFERROR(M202/SUMIFS($M$5:$M$220,$A$5:$A$220,$A202),"")</f>
        <v/>
      </c>
      <c r="U202" s="111">
        <f>IFERROR(O202/(SUMIFS($E$5:$E$220,$A$5:$A$220,$A202)/SUMIFS($M$5:$M$220,$A$5:$A$220,$A202)),"")</f>
        <v/>
      </c>
    </row>
    <row r="203">
      <c r="A203" s="6" t="inlineStr">
        <is>
          <t>X</t>
        </is>
      </c>
      <c r="B203" s="78" t="inlineStr">
        <is>
          <t>LEP_ZA_AUG26_X_TD_RANGE_CONV</t>
        </is>
      </c>
      <c r="C203" s="78" t="inlineStr">
        <is>
          <t>18-24</t>
        </is>
      </c>
      <c r="D203" s="78" t="inlineStr">
        <is>
          <t>Male</t>
        </is>
      </c>
      <c r="E203" s="86" t="n">
        <v>2565.04</v>
      </c>
      <c r="F203" s="87" t="n">
        <v>44166</v>
      </c>
      <c r="G203" s="87" t="n">
        <v>158</v>
      </c>
      <c r="H203" s="89">
        <f>IFERROR(G203/F203,"")</f>
        <v/>
      </c>
      <c r="I203" s="90">
        <f>IFERROR(E203/G203,"")</f>
        <v/>
      </c>
      <c r="J203" s="90">
        <f>IFERROR(E203/F203*1000,"")</f>
        <v/>
      </c>
      <c r="K203" s="87" t="n">
        <v>119</v>
      </c>
      <c r="L203" s="18">
        <f>IFERROR(K203/G203,"")</f>
        <v/>
      </c>
      <c r="M203" s="87" t="n">
        <v>2</v>
      </c>
      <c r="N203" s="89">
        <f>IFERROR(M203/K203,"")</f>
        <v/>
      </c>
      <c r="O203" s="86">
        <f>IFERROR(E203/M203,"")</f>
        <v/>
      </c>
      <c r="P203" s="87" t="n">
        <v>1</v>
      </c>
      <c r="Q203" s="18">
        <f>IFERROR(P203/M203,"")</f>
        <v/>
      </c>
      <c r="R203" s="86">
        <f>IFERROR(E203/P203,"")</f>
        <v/>
      </c>
      <c r="S203" s="18">
        <f>IFERROR(E203/SUMIFS($E$5:$E$220,$A$5:$A$220,$A203),"")</f>
        <v/>
      </c>
      <c r="T203" s="18">
        <f>IFERROR(M203/SUMIFS($M$5:$M$220,$A$5:$A$220,$A203),"")</f>
        <v/>
      </c>
      <c r="U203" s="111">
        <f>IFERROR(O203/(SUMIFS($E$5:$E$220,$A$5:$A$220,$A203)/SUMIFS($M$5:$M$220,$A$5:$A$220,$A203)),"")</f>
        <v/>
      </c>
    </row>
    <row r="204">
      <c r="A204" s="6" t="inlineStr">
        <is>
          <t>X</t>
        </is>
      </c>
      <c r="B204" s="78" t="inlineStr">
        <is>
          <t>LEP_ZA_AUG26_X_TD_RANGE_CONV</t>
        </is>
      </c>
      <c r="C204" s="78" t="inlineStr">
        <is>
          <t>18-24</t>
        </is>
      </c>
      <c r="D204" s="78" t="inlineStr">
        <is>
          <t>Female</t>
        </is>
      </c>
      <c r="E204" s="86" t="n">
        <v>1338.08</v>
      </c>
      <c r="F204" s="87" t="n">
        <v>23040</v>
      </c>
      <c r="G204" s="87" t="n">
        <v>75</v>
      </c>
      <c r="H204" s="89">
        <f>IFERROR(G204/F204,"")</f>
        <v/>
      </c>
      <c r="I204" s="90">
        <f>IFERROR(E204/G204,"")</f>
        <v/>
      </c>
      <c r="J204" s="90">
        <f>IFERROR(E204/F204*1000,"")</f>
        <v/>
      </c>
      <c r="K204" s="87" t="n">
        <v>57</v>
      </c>
      <c r="L204" s="18">
        <f>IFERROR(K204/G204,"")</f>
        <v/>
      </c>
      <c r="M204" s="87" t="n">
        <v>1</v>
      </c>
      <c r="N204" s="89">
        <f>IFERROR(M204/K204,"")</f>
        <v/>
      </c>
      <c r="O204" s="86">
        <f>IFERROR(E204/M204,"")</f>
        <v/>
      </c>
      <c r="P204" s="87" t="n">
        <v>1</v>
      </c>
      <c r="Q204" s="18">
        <f>IFERROR(P204/M204,"")</f>
        <v/>
      </c>
      <c r="R204" s="86">
        <f>IFERROR(E204/P204,"")</f>
        <v/>
      </c>
      <c r="S204" s="18">
        <f>IFERROR(E204/SUMIFS($E$5:$E$220,$A$5:$A$220,$A204),"")</f>
        <v/>
      </c>
      <c r="T204" s="18">
        <f>IFERROR(M204/SUMIFS($M$5:$M$220,$A$5:$A$220,$A204),"")</f>
        <v/>
      </c>
      <c r="U204" s="111">
        <f>IFERROR(O204/(SUMIFS($E$5:$E$220,$A$5:$A$220,$A204)/SUMIFS($M$5:$M$220,$A$5:$A$220,$A204)),"")</f>
        <v/>
      </c>
    </row>
    <row r="205">
      <c r="A205" s="6" t="inlineStr">
        <is>
          <t>X</t>
        </is>
      </c>
      <c r="B205" s="78" t="inlineStr">
        <is>
          <t>LEP_ZA_AUG26_X_TD_RANGE_CONV</t>
        </is>
      </c>
      <c r="C205" s="78" t="inlineStr">
        <is>
          <t>18-24</t>
        </is>
      </c>
      <c r="D205" s="78" t="inlineStr">
        <is>
          <t>Unknown</t>
        </is>
      </c>
      <c r="E205" s="86" t="n">
        <v>128.19</v>
      </c>
      <c r="F205" s="87" t="n">
        <v>2207</v>
      </c>
      <c r="G205" s="87" t="n">
        <v>5</v>
      </c>
      <c r="H205" s="89">
        <f>IFERROR(G205/F205,"")</f>
        <v/>
      </c>
      <c r="I205" s="90">
        <f>IFERROR(E205/G205,"")</f>
        <v/>
      </c>
      <c r="J205" s="90">
        <f>IFERROR(E205/F205*1000,"")</f>
        <v/>
      </c>
      <c r="K205" s="87" t="n">
        <v>3</v>
      </c>
      <c r="L205" s="18">
        <f>IFERROR(K205/G205,"")</f>
        <v/>
      </c>
      <c r="M205" s="87" t="n">
        <v>0</v>
      </c>
      <c r="N205" s="89">
        <f>IFERROR(M205/K205,"")</f>
        <v/>
      </c>
      <c r="O205" s="86">
        <f>IFERROR(E205/M205,"")</f>
        <v/>
      </c>
      <c r="P205" s="87" t="n">
        <v>0</v>
      </c>
      <c r="Q205" s="18">
        <f>IFERROR(P205/M205,"")</f>
        <v/>
      </c>
      <c r="R205" s="86">
        <f>IFERROR(E205/P205,"")</f>
        <v/>
      </c>
      <c r="S205" s="18">
        <f>IFERROR(E205/SUMIFS($E$5:$E$220,$A$5:$A$220,$A205),"")</f>
        <v/>
      </c>
      <c r="T205" s="18">
        <f>IFERROR(M205/SUMIFS($M$5:$M$220,$A$5:$A$220,$A205),"")</f>
        <v/>
      </c>
      <c r="U205" s="111">
        <f>IFERROR(O205/(SUMIFS($E$5:$E$220,$A$5:$A$220,$A205)/SUMIFS($M$5:$M$220,$A$5:$A$220,$A205)),"")</f>
        <v/>
      </c>
    </row>
    <row r="206">
      <c r="A206" s="6" t="inlineStr">
        <is>
          <t>X</t>
        </is>
      </c>
      <c r="B206" s="78" t="inlineStr">
        <is>
          <t>LEP_ZA_AUG26_X_TD_RANGE_CONV</t>
        </is>
      </c>
      <c r="C206" s="78" t="inlineStr">
        <is>
          <t>25-34</t>
        </is>
      </c>
      <c r="D206" s="78" t="inlineStr">
        <is>
          <t>Male</t>
        </is>
      </c>
      <c r="E206" s="86" t="n">
        <v>6902.66</v>
      </c>
      <c r="F206" s="87" t="n">
        <v>118853</v>
      </c>
      <c r="G206" s="87" t="n">
        <v>673</v>
      </c>
      <c r="H206" s="89">
        <f>IFERROR(G206/F206,"")</f>
        <v/>
      </c>
      <c r="I206" s="90">
        <f>IFERROR(E206/G206,"")</f>
        <v/>
      </c>
      <c r="J206" s="90">
        <f>IFERROR(E206/F206*1000,"")</f>
        <v/>
      </c>
      <c r="K206" s="87" t="n">
        <v>510</v>
      </c>
      <c r="L206" s="18">
        <f>IFERROR(K206/G206,"")</f>
        <v/>
      </c>
      <c r="M206" s="87" t="n">
        <v>7</v>
      </c>
      <c r="N206" s="89">
        <f>IFERROR(M206/K206,"")</f>
        <v/>
      </c>
      <c r="O206" s="86">
        <f>IFERROR(E206/M206,"")</f>
        <v/>
      </c>
      <c r="P206" s="87" t="n">
        <v>5</v>
      </c>
      <c r="Q206" s="18">
        <f>IFERROR(P206/M206,"")</f>
        <v/>
      </c>
      <c r="R206" s="86">
        <f>IFERROR(E206/P206,"")</f>
        <v/>
      </c>
      <c r="S206" s="18">
        <f>IFERROR(E206/SUMIFS($E$5:$E$220,$A$5:$A$220,$A206),"")</f>
        <v/>
      </c>
      <c r="T206" s="18">
        <f>IFERROR(M206/SUMIFS($M$5:$M$220,$A$5:$A$220,$A206),"")</f>
        <v/>
      </c>
      <c r="U206" s="111">
        <f>IFERROR(O206/(SUMIFS($E$5:$E$220,$A$5:$A$220,$A206)/SUMIFS($M$5:$M$220,$A$5:$A$220,$A206)),"")</f>
        <v/>
      </c>
    </row>
    <row r="207">
      <c r="A207" s="6" t="inlineStr">
        <is>
          <t>X</t>
        </is>
      </c>
      <c r="B207" s="78" t="inlineStr">
        <is>
          <t>LEP_ZA_AUG26_X_TD_RANGE_CONV</t>
        </is>
      </c>
      <c r="C207" s="78" t="inlineStr">
        <is>
          <t>25-34</t>
        </is>
      </c>
      <c r="D207" s="78" t="inlineStr">
        <is>
          <t>Female</t>
        </is>
      </c>
      <c r="E207" s="86" t="n">
        <v>2876.26</v>
      </c>
      <c r="F207" s="87" t="n">
        <v>49525</v>
      </c>
      <c r="G207" s="87" t="n">
        <v>257</v>
      </c>
      <c r="H207" s="89">
        <f>IFERROR(G207/F207,"")</f>
        <v/>
      </c>
      <c r="I207" s="90">
        <f>IFERROR(E207/G207,"")</f>
        <v/>
      </c>
      <c r="J207" s="90">
        <f>IFERROR(E207/F207*1000,"")</f>
        <v/>
      </c>
      <c r="K207" s="87" t="n">
        <v>194</v>
      </c>
      <c r="L207" s="18">
        <f>IFERROR(K207/G207,"")</f>
        <v/>
      </c>
      <c r="M207" s="87" t="n">
        <v>3</v>
      </c>
      <c r="N207" s="89">
        <f>IFERROR(M207/K207,"")</f>
        <v/>
      </c>
      <c r="O207" s="86">
        <f>IFERROR(E207/M207,"")</f>
        <v/>
      </c>
      <c r="P207" s="87" t="n">
        <v>2</v>
      </c>
      <c r="Q207" s="18">
        <f>IFERROR(P207/M207,"")</f>
        <v/>
      </c>
      <c r="R207" s="86">
        <f>IFERROR(E207/P207,"")</f>
        <v/>
      </c>
      <c r="S207" s="18">
        <f>IFERROR(E207/SUMIFS($E$5:$E$220,$A$5:$A$220,$A207),"")</f>
        <v/>
      </c>
      <c r="T207" s="18">
        <f>IFERROR(M207/SUMIFS($M$5:$M$220,$A$5:$A$220,$A207),"")</f>
        <v/>
      </c>
      <c r="U207" s="111">
        <f>IFERROR(O207/(SUMIFS($E$5:$E$220,$A$5:$A$220,$A207)/SUMIFS($M$5:$M$220,$A$5:$A$220,$A207)),"")</f>
        <v/>
      </c>
    </row>
    <row r="208">
      <c r="A208" s="6" t="inlineStr">
        <is>
          <t>X</t>
        </is>
      </c>
      <c r="B208" s="78" t="inlineStr">
        <is>
          <t>LEP_ZA_AUG26_X_TD_RANGE_CONV</t>
        </is>
      </c>
      <c r="C208" s="78" t="inlineStr">
        <is>
          <t>25-34</t>
        </is>
      </c>
      <c r="D208" s="78" t="inlineStr">
        <is>
          <t>Unknown</t>
        </is>
      </c>
      <c r="E208" s="86" t="n">
        <v>295.52</v>
      </c>
      <c r="F208" s="87" t="n">
        <v>5088</v>
      </c>
      <c r="G208" s="87" t="n">
        <v>17</v>
      </c>
      <c r="H208" s="89">
        <f>IFERROR(G208/F208,"")</f>
        <v/>
      </c>
      <c r="I208" s="90">
        <f>IFERROR(E208/G208,"")</f>
        <v/>
      </c>
      <c r="J208" s="90">
        <f>IFERROR(E208/F208*1000,"")</f>
        <v/>
      </c>
      <c r="K208" s="87" t="n">
        <v>13</v>
      </c>
      <c r="L208" s="18">
        <f>IFERROR(K208/G208,"")</f>
        <v/>
      </c>
      <c r="M208" s="87" t="n">
        <v>0</v>
      </c>
      <c r="N208" s="89">
        <f>IFERROR(M208/K208,"")</f>
        <v/>
      </c>
      <c r="O208" s="86">
        <f>IFERROR(E208/M208,"")</f>
        <v/>
      </c>
      <c r="P208" s="87" t="n">
        <v>0</v>
      </c>
      <c r="Q208" s="18">
        <f>IFERROR(P208/M208,"")</f>
        <v/>
      </c>
      <c r="R208" s="86">
        <f>IFERROR(E208/P208,"")</f>
        <v/>
      </c>
      <c r="S208" s="18">
        <f>IFERROR(E208/SUMIFS($E$5:$E$220,$A$5:$A$220,$A208),"")</f>
        <v/>
      </c>
      <c r="T208" s="18">
        <f>IFERROR(M208/SUMIFS($M$5:$M$220,$A$5:$A$220,$A208),"")</f>
        <v/>
      </c>
      <c r="U208" s="111">
        <f>IFERROR(O208/(SUMIFS($E$5:$E$220,$A$5:$A$220,$A208)/SUMIFS($M$5:$M$220,$A$5:$A$220,$A208)),"")</f>
        <v/>
      </c>
    </row>
    <row r="209">
      <c r="A209" s="6" t="inlineStr">
        <is>
          <t>X</t>
        </is>
      </c>
      <c r="B209" s="78" t="inlineStr">
        <is>
          <t>LEP_ZA_AUG26_X_TD_RANGE_CONV</t>
        </is>
      </c>
      <c r="C209" s="78" t="inlineStr">
        <is>
          <t>35-44</t>
        </is>
      </c>
      <c r="D209" s="78" t="inlineStr">
        <is>
          <t>Male</t>
        </is>
      </c>
      <c r="E209" s="86" t="n">
        <v>6059.8</v>
      </c>
      <c r="F209" s="87" t="n">
        <v>104340</v>
      </c>
      <c r="G209" s="87" t="n">
        <v>822</v>
      </c>
      <c r="H209" s="89">
        <f>IFERROR(G209/F209,"")</f>
        <v/>
      </c>
      <c r="I209" s="90">
        <f>IFERROR(E209/G209,"")</f>
        <v/>
      </c>
      <c r="J209" s="90">
        <f>IFERROR(E209/F209*1000,"")</f>
        <v/>
      </c>
      <c r="K209" s="87" t="n">
        <v>623</v>
      </c>
      <c r="L209" s="18">
        <f>IFERROR(K209/G209,"")</f>
        <v/>
      </c>
      <c r="M209" s="87" t="n">
        <v>9</v>
      </c>
      <c r="N209" s="89">
        <f>IFERROR(M209/K209,"")</f>
        <v/>
      </c>
      <c r="O209" s="86">
        <f>IFERROR(E209/M209,"")</f>
        <v/>
      </c>
      <c r="P209" s="87" t="n">
        <v>7</v>
      </c>
      <c r="Q209" s="18">
        <f>IFERROR(P209/M209,"")</f>
        <v/>
      </c>
      <c r="R209" s="86">
        <f>IFERROR(E209/P209,"")</f>
        <v/>
      </c>
      <c r="S209" s="18">
        <f>IFERROR(E209/SUMIFS($E$5:$E$220,$A$5:$A$220,$A209),"")</f>
        <v/>
      </c>
      <c r="T209" s="18">
        <f>IFERROR(M209/SUMIFS($M$5:$M$220,$A$5:$A$220,$A209),"")</f>
        <v/>
      </c>
      <c r="U209" s="111">
        <f>IFERROR(O209/(SUMIFS($E$5:$E$220,$A$5:$A$220,$A209)/SUMIFS($M$5:$M$220,$A$5:$A$220,$A209)),"")</f>
        <v/>
      </c>
    </row>
    <row r="210">
      <c r="A210" s="6" t="inlineStr">
        <is>
          <t>X</t>
        </is>
      </c>
      <c r="B210" s="78" t="inlineStr">
        <is>
          <t>LEP_ZA_AUG26_X_TD_RANGE_CONV</t>
        </is>
      </c>
      <c r="C210" s="78" t="inlineStr">
        <is>
          <t>35-44</t>
        </is>
      </c>
      <c r="D210" s="78" t="inlineStr">
        <is>
          <t>Female</t>
        </is>
      </c>
      <c r="E210" s="86" t="n">
        <v>2615.91</v>
      </c>
      <c r="F210" s="87" t="n">
        <v>45042</v>
      </c>
      <c r="G210" s="87" t="n">
        <v>325</v>
      </c>
      <c r="H210" s="89">
        <f>IFERROR(G210/F210,"")</f>
        <v/>
      </c>
      <c r="I210" s="90">
        <f>IFERROR(E210/G210,"")</f>
        <v/>
      </c>
      <c r="J210" s="90">
        <f>IFERROR(E210/F210*1000,"")</f>
        <v/>
      </c>
      <c r="K210" s="87" t="n">
        <v>246</v>
      </c>
      <c r="L210" s="18">
        <f>IFERROR(K210/G210,"")</f>
        <v/>
      </c>
      <c r="M210" s="87" t="n">
        <v>4</v>
      </c>
      <c r="N210" s="89">
        <f>IFERROR(M210/K210,"")</f>
        <v/>
      </c>
      <c r="O210" s="86">
        <f>IFERROR(E210/M210,"")</f>
        <v/>
      </c>
      <c r="P210" s="87" t="n">
        <v>3</v>
      </c>
      <c r="Q210" s="18">
        <f>IFERROR(P210/M210,"")</f>
        <v/>
      </c>
      <c r="R210" s="86">
        <f>IFERROR(E210/P210,"")</f>
        <v/>
      </c>
      <c r="S210" s="18">
        <f>IFERROR(E210/SUMIFS($E$5:$E$220,$A$5:$A$220,$A210),"")</f>
        <v/>
      </c>
      <c r="T210" s="18">
        <f>IFERROR(M210/SUMIFS($M$5:$M$220,$A$5:$A$220,$A210),"")</f>
        <v/>
      </c>
      <c r="U210" s="111">
        <f>IFERROR(O210/(SUMIFS($E$5:$E$220,$A$5:$A$220,$A210)/SUMIFS($M$5:$M$220,$A$5:$A$220,$A210)),"")</f>
        <v/>
      </c>
    </row>
    <row r="211">
      <c r="A211" s="6" t="inlineStr">
        <is>
          <t>X</t>
        </is>
      </c>
      <c r="B211" s="78" t="inlineStr">
        <is>
          <t>LEP_ZA_AUG26_X_TD_RANGE_CONV</t>
        </is>
      </c>
      <c r="C211" s="78" t="inlineStr">
        <is>
          <t>35-44</t>
        </is>
      </c>
      <c r="D211" s="78" t="inlineStr">
        <is>
          <t>Unknown</t>
        </is>
      </c>
      <c r="E211" s="86" t="n">
        <v>247.58</v>
      </c>
      <c r="F211" s="87" t="n">
        <v>4263</v>
      </c>
      <c r="G211" s="87" t="n">
        <v>20</v>
      </c>
      <c r="H211" s="89">
        <f>IFERROR(G211/F211,"")</f>
        <v/>
      </c>
      <c r="I211" s="90">
        <f>IFERROR(E211/G211,"")</f>
        <v/>
      </c>
      <c r="J211" s="90">
        <f>IFERROR(E211/F211*1000,"")</f>
        <v/>
      </c>
      <c r="K211" s="87" t="n">
        <v>15</v>
      </c>
      <c r="L211" s="18">
        <f>IFERROR(K211/G211,"")</f>
        <v/>
      </c>
      <c r="M211" s="87" t="n">
        <v>0</v>
      </c>
      <c r="N211" s="89">
        <f>IFERROR(M211/K211,"")</f>
        <v/>
      </c>
      <c r="O211" s="86">
        <f>IFERROR(E211/M211,"")</f>
        <v/>
      </c>
      <c r="P211" s="87" t="n">
        <v>0</v>
      </c>
      <c r="Q211" s="18">
        <f>IFERROR(P211/M211,"")</f>
        <v/>
      </c>
      <c r="R211" s="86">
        <f>IFERROR(E211/P211,"")</f>
        <v/>
      </c>
      <c r="S211" s="18">
        <f>IFERROR(E211/SUMIFS($E$5:$E$220,$A$5:$A$220,$A211),"")</f>
        <v/>
      </c>
      <c r="T211" s="18">
        <f>IFERROR(M211/SUMIFS($M$5:$M$220,$A$5:$A$220,$A211),"")</f>
        <v/>
      </c>
      <c r="U211" s="111">
        <f>IFERROR(O211/(SUMIFS($E$5:$E$220,$A$5:$A$220,$A211)/SUMIFS($M$5:$M$220,$A$5:$A$220,$A211)),"")</f>
        <v/>
      </c>
    </row>
    <row r="212">
      <c r="A212" s="6" t="inlineStr">
        <is>
          <t>X</t>
        </is>
      </c>
      <c r="B212" s="78" t="inlineStr">
        <is>
          <t>LEP_ZA_AUG26_X_TD_RANGE_CONV</t>
        </is>
      </c>
      <c r="C212" s="78" t="inlineStr">
        <is>
          <t>45-54</t>
        </is>
      </c>
      <c r="D212" s="78" t="inlineStr">
        <is>
          <t>Male</t>
        </is>
      </c>
      <c r="E212" s="86" t="n">
        <v>3115.06</v>
      </c>
      <c r="F212" s="87" t="n">
        <v>53636</v>
      </c>
      <c r="G212" s="87" t="n">
        <v>443</v>
      </c>
      <c r="H212" s="89">
        <f>IFERROR(G212/F212,"")</f>
        <v/>
      </c>
      <c r="I212" s="90">
        <f>IFERROR(E212/G212,"")</f>
        <v/>
      </c>
      <c r="J212" s="90">
        <f>IFERROR(E212/F212*1000,"")</f>
        <v/>
      </c>
      <c r="K212" s="87" t="n">
        <v>335</v>
      </c>
      <c r="L212" s="18">
        <f>IFERROR(K212/G212,"")</f>
        <v/>
      </c>
      <c r="M212" s="87" t="n">
        <v>5</v>
      </c>
      <c r="N212" s="89">
        <f>IFERROR(M212/K212,"")</f>
        <v/>
      </c>
      <c r="O212" s="86">
        <f>IFERROR(E212/M212,"")</f>
        <v/>
      </c>
      <c r="P212" s="87" t="n">
        <v>4</v>
      </c>
      <c r="Q212" s="18">
        <f>IFERROR(P212/M212,"")</f>
        <v/>
      </c>
      <c r="R212" s="86">
        <f>IFERROR(E212/P212,"")</f>
        <v/>
      </c>
      <c r="S212" s="18">
        <f>IFERROR(E212/SUMIFS($E$5:$E$220,$A$5:$A$220,$A212),"")</f>
        <v/>
      </c>
      <c r="T212" s="18">
        <f>IFERROR(M212/SUMIFS($M$5:$M$220,$A$5:$A$220,$A212),"")</f>
        <v/>
      </c>
      <c r="U212" s="111">
        <f>IFERROR(O212/(SUMIFS($E$5:$E$220,$A$5:$A$220,$A212)/SUMIFS($M$5:$M$220,$A$5:$A$220,$A212)),"")</f>
        <v/>
      </c>
    </row>
    <row r="213">
      <c r="A213" s="6" t="inlineStr">
        <is>
          <t>X</t>
        </is>
      </c>
      <c r="B213" s="78" t="inlineStr">
        <is>
          <t>LEP_ZA_AUG26_X_TD_RANGE_CONV</t>
        </is>
      </c>
      <c r="C213" s="78" t="inlineStr">
        <is>
          <t>45-54</t>
        </is>
      </c>
      <c r="D213" s="78" t="inlineStr">
        <is>
          <t>Female</t>
        </is>
      </c>
      <c r="E213" s="86" t="n">
        <v>1543.5</v>
      </c>
      <c r="F213" s="87" t="n">
        <v>26576</v>
      </c>
      <c r="G213" s="87" t="n">
        <v>201</v>
      </c>
      <c r="H213" s="89">
        <f>IFERROR(G213/F213,"")</f>
        <v/>
      </c>
      <c r="I213" s="90">
        <f>IFERROR(E213/G213,"")</f>
        <v/>
      </c>
      <c r="J213" s="90">
        <f>IFERROR(E213/F213*1000,"")</f>
        <v/>
      </c>
      <c r="K213" s="87" t="n">
        <v>152</v>
      </c>
      <c r="L213" s="18">
        <f>IFERROR(K213/G213,"")</f>
        <v/>
      </c>
      <c r="M213" s="87" t="n">
        <v>2</v>
      </c>
      <c r="N213" s="89">
        <f>IFERROR(M213/K213,"")</f>
        <v/>
      </c>
      <c r="O213" s="86">
        <f>IFERROR(E213/M213,"")</f>
        <v/>
      </c>
      <c r="P213" s="87" t="n">
        <v>2</v>
      </c>
      <c r="Q213" s="18">
        <f>IFERROR(P213/M213,"")</f>
        <v/>
      </c>
      <c r="R213" s="86">
        <f>IFERROR(E213/P213,"")</f>
        <v/>
      </c>
      <c r="S213" s="18">
        <f>IFERROR(E213/SUMIFS($E$5:$E$220,$A$5:$A$220,$A213),"")</f>
        <v/>
      </c>
      <c r="T213" s="18">
        <f>IFERROR(M213/SUMIFS($M$5:$M$220,$A$5:$A$220,$A213),"")</f>
        <v/>
      </c>
      <c r="U213" s="111">
        <f>IFERROR(O213/(SUMIFS($E$5:$E$220,$A$5:$A$220,$A213)/SUMIFS($M$5:$M$220,$A$5:$A$220,$A213)),"")</f>
        <v/>
      </c>
    </row>
    <row r="214">
      <c r="A214" s="6" t="inlineStr">
        <is>
          <t>X</t>
        </is>
      </c>
      <c r="B214" s="78" t="inlineStr">
        <is>
          <t>LEP_ZA_AUG26_X_TD_RANGE_CONV</t>
        </is>
      </c>
      <c r="C214" s="78" t="inlineStr">
        <is>
          <t>45-54</t>
        </is>
      </c>
      <c r="D214" s="78" t="inlineStr">
        <is>
          <t>Unknown</t>
        </is>
      </c>
      <c r="E214" s="86" t="n">
        <v>152.16</v>
      </c>
      <c r="F214" s="87" t="n">
        <v>2620</v>
      </c>
      <c r="G214" s="87" t="n">
        <v>13</v>
      </c>
      <c r="H214" s="89">
        <f>IFERROR(G214/F214,"")</f>
        <v/>
      </c>
      <c r="I214" s="90">
        <f>IFERROR(E214/G214,"")</f>
        <v/>
      </c>
      <c r="J214" s="90">
        <f>IFERROR(E214/F214*1000,"")</f>
        <v/>
      </c>
      <c r="K214" s="87" t="n">
        <v>10</v>
      </c>
      <c r="L214" s="18">
        <f>IFERROR(K214/G214,"")</f>
        <v/>
      </c>
      <c r="M214" s="87" t="n">
        <v>0</v>
      </c>
      <c r="N214" s="89">
        <f>IFERROR(M214/K214,"")</f>
        <v/>
      </c>
      <c r="O214" s="86">
        <f>IFERROR(E214/M214,"")</f>
        <v/>
      </c>
      <c r="P214" s="87" t="n">
        <v>0</v>
      </c>
      <c r="Q214" s="18">
        <f>IFERROR(P214/M214,"")</f>
        <v/>
      </c>
      <c r="R214" s="86">
        <f>IFERROR(E214/P214,"")</f>
        <v/>
      </c>
      <c r="S214" s="18">
        <f>IFERROR(E214/SUMIFS($E$5:$E$220,$A$5:$A$220,$A214),"")</f>
        <v/>
      </c>
      <c r="T214" s="18">
        <f>IFERROR(M214/SUMIFS($M$5:$M$220,$A$5:$A$220,$A214),"")</f>
        <v/>
      </c>
      <c r="U214" s="111">
        <f>IFERROR(O214/(SUMIFS($E$5:$E$220,$A$5:$A$220,$A214)/SUMIFS($M$5:$M$220,$A$5:$A$220,$A214)),"")</f>
        <v/>
      </c>
    </row>
    <row r="215">
      <c r="A215" s="6" t="inlineStr">
        <is>
          <t>X</t>
        </is>
      </c>
      <c r="B215" s="78" t="inlineStr">
        <is>
          <t>LEP_ZA_AUG26_X_TD_RANGE_CONV</t>
        </is>
      </c>
      <c r="C215" s="78" t="inlineStr">
        <is>
          <t>55-64</t>
        </is>
      </c>
      <c r="D215" s="78" t="inlineStr">
        <is>
          <t>Male</t>
        </is>
      </c>
      <c r="E215" s="86" t="n">
        <v>1313.39</v>
      </c>
      <c r="F215" s="87" t="n">
        <v>22615</v>
      </c>
      <c r="G215" s="87" t="n">
        <v>146</v>
      </c>
      <c r="H215" s="89">
        <f>IFERROR(G215/F215,"")</f>
        <v/>
      </c>
      <c r="I215" s="90">
        <f>IFERROR(E215/G215,"")</f>
        <v/>
      </c>
      <c r="J215" s="90">
        <f>IFERROR(E215/F215*1000,"")</f>
        <v/>
      </c>
      <c r="K215" s="87" t="n">
        <v>111</v>
      </c>
      <c r="L215" s="18">
        <f>IFERROR(K215/G215,"")</f>
        <v/>
      </c>
      <c r="M215" s="87" t="n">
        <v>2</v>
      </c>
      <c r="N215" s="89">
        <f>IFERROR(M215/K215,"")</f>
        <v/>
      </c>
      <c r="O215" s="86">
        <f>IFERROR(E215/M215,"")</f>
        <v/>
      </c>
      <c r="P215" s="87" t="n">
        <v>1</v>
      </c>
      <c r="Q215" s="18">
        <f>IFERROR(P215/M215,"")</f>
        <v/>
      </c>
      <c r="R215" s="86">
        <f>IFERROR(E215/P215,"")</f>
        <v/>
      </c>
      <c r="S215" s="18">
        <f>IFERROR(E215/SUMIFS($E$5:$E$220,$A$5:$A$220,$A215),"")</f>
        <v/>
      </c>
      <c r="T215" s="18">
        <f>IFERROR(M215/SUMIFS($M$5:$M$220,$A$5:$A$220,$A215),"")</f>
        <v/>
      </c>
      <c r="U215" s="111">
        <f>IFERROR(O215/(SUMIFS($E$5:$E$220,$A$5:$A$220,$A215)/SUMIFS($M$5:$M$220,$A$5:$A$220,$A215)),"")</f>
        <v/>
      </c>
    </row>
    <row r="216">
      <c r="A216" s="6" t="inlineStr">
        <is>
          <t>X</t>
        </is>
      </c>
      <c r="B216" s="78" t="inlineStr">
        <is>
          <t>LEP_ZA_AUG26_X_TD_RANGE_CONV</t>
        </is>
      </c>
      <c r="C216" s="78" t="inlineStr">
        <is>
          <t>55-64</t>
        </is>
      </c>
      <c r="D216" s="78" t="inlineStr">
        <is>
          <t>Female</t>
        </is>
      </c>
      <c r="E216" s="86" t="n">
        <v>698.26</v>
      </c>
      <c r="F216" s="87" t="n">
        <v>12023</v>
      </c>
      <c r="G216" s="87" t="n">
        <v>71</v>
      </c>
      <c r="H216" s="89">
        <f>IFERROR(G216/F216,"")</f>
        <v/>
      </c>
      <c r="I216" s="90">
        <f>IFERROR(E216/G216,"")</f>
        <v/>
      </c>
      <c r="J216" s="90">
        <f>IFERROR(E216/F216*1000,"")</f>
        <v/>
      </c>
      <c r="K216" s="87" t="n">
        <v>54</v>
      </c>
      <c r="L216" s="18">
        <f>IFERROR(K216/G216,"")</f>
        <v/>
      </c>
      <c r="M216" s="87" t="n">
        <v>1</v>
      </c>
      <c r="N216" s="89">
        <f>IFERROR(M216/K216,"")</f>
        <v/>
      </c>
      <c r="O216" s="86">
        <f>IFERROR(E216/M216,"")</f>
        <v/>
      </c>
      <c r="P216" s="87" t="n">
        <v>1</v>
      </c>
      <c r="Q216" s="18">
        <f>IFERROR(P216/M216,"")</f>
        <v/>
      </c>
      <c r="R216" s="86">
        <f>IFERROR(E216/P216,"")</f>
        <v/>
      </c>
      <c r="S216" s="18">
        <f>IFERROR(E216/SUMIFS($E$5:$E$220,$A$5:$A$220,$A216),"")</f>
        <v/>
      </c>
      <c r="T216" s="18">
        <f>IFERROR(M216/SUMIFS($M$5:$M$220,$A$5:$A$220,$A216),"")</f>
        <v/>
      </c>
      <c r="U216" s="111">
        <f>IFERROR(O216/(SUMIFS($E$5:$E$220,$A$5:$A$220,$A216)/SUMIFS($M$5:$M$220,$A$5:$A$220,$A216)),"")</f>
        <v/>
      </c>
    </row>
    <row r="217">
      <c r="A217" s="6" t="inlineStr">
        <is>
          <t>X</t>
        </is>
      </c>
      <c r="B217" s="78" t="inlineStr">
        <is>
          <t>LEP_ZA_AUG26_X_TD_RANGE_CONV</t>
        </is>
      </c>
      <c r="C217" s="78" t="inlineStr">
        <is>
          <t>55-64</t>
        </is>
      </c>
      <c r="D217" s="78" t="inlineStr">
        <is>
          <t>Unknown</t>
        </is>
      </c>
      <c r="E217" s="86" t="n">
        <v>65.98</v>
      </c>
      <c r="F217" s="87" t="n">
        <v>1136</v>
      </c>
      <c r="G217" s="87" t="n">
        <v>4</v>
      </c>
      <c r="H217" s="89">
        <f>IFERROR(G217/F217,"")</f>
        <v/>
      </c>
      <c r="I217" s="90">
        <f>IFERROR(E217/G217,"")</f>
        <v/>
      </c>
      <c r="J217" s="90">
        <f>IFERROR(E217/F217*1000,"")</f>
        <v/>
      </c>
      <c r="K217" s="87" t="n">
        <v>3</v>
      </c>
      <c r="L217" s="18">
        <f>IFERROR(K217/G217,"")</f>
        <v/>
      </c>
      <c r="M217" s="87" t="n">
        <v>0</v>
      </c>
      <c r="N217" s="89">
        <f>IFERROR(M217/K217,"")</f>
        <v/>
      </c>
      <c r="O217" s="86">
        <f>IFERROR(E217/M217,"")</f>
        <v/>
      </c>
      <c r="P217" s="87" t="n">
        <v>0</v>
      </c>
      <c r="Q217" s="18">
        <f>IFERROR(P217/M217,"")</f>
        <v/>
      </c>
      <c r="R217" s="86">
        <f>IFERROR(E217/P217,"")</f>
        <v/>
      </c>
      <c r="S217" s="18">
        <f>IFERROR(E217/SUMIFS($E$5:$E$220,$A$5:$A$220,$A217),"")</f>
        <v/>
      </c>
      <c r="T217" s="18">
        <f>IFERROR(M217/SUMIFS($M$5:$M$220,$A$5:$A$220,$A217),"")</f>
        <v/>
      </c>
      <c r="U217" s="111">
        <f>IFERROR(O217/(SUMIFS($E$5:$E$220,$A$5:$A$220,$A217)/SUMIFS($M$5:$M$220,$A$5:$A$220,$A217)),"")</f>
        <v/>
      </c>
    </row>
    <row r="218">
      <c r="A218" s="6" t="inlineStr">
        <is>
          <t>X</t>
        </is>
      </c>
      <c r="B218" s="78" t="inlineStr">
        <is>
          <t>LEP_ZA_AUG26_X_TD_RANGE_CONV</t>
        </is>
      </c>
      <c r="C218" s="78" t="inlineStr">
        <is>
          <t>65+</t>
        </is>
      </c>
      <c r="D218" s="78" t="inlineStr">
        <is>
          <t>Male</t>
        </is>
      </c>
      <c r="E218" s="86" t="n">
        <v>550.27</v>
      </c>
      <c r="F218" s="87" t="n">
        <v>9475</v>
      </c>
      <c r="G218" s="87" t="n">
        <v>41</v>
      </c>
      <c r="H218" s="89">
        <f>IFERROR(G218/F218,"")</f>
        <v/>
      </c>
      <c r="I218" s="90">
        <f>IFERROR(E218/G218,"")</f>
        <v/>
      </c>
      <c r="J218" s="90">
        <f>IFERROR(E218/F218*1000,"")</f>
        <v/>
      </c>
      <c r="K218" s="87" t="n">
        <v>31</v>
      </c>
      <c r="L218" s="18">
        <f>IFERROR(K218/G218,"")</f>
        <v/>
      </c>
      <c r="M218" s="87" t="n">
        <v>0</v>
      </c>
      <c r="N218" s="89">
        <f>IFERROR(M218/K218,"")</f>
        <v/>
      </c>
      <c r="O218" s="86">
        <f>IFERROR(E218/M218,"")</f>
        <v/>
      </c>
      <c r="P218" s="87" t="n">
        <v>0</v>
      </c>
      <c r="Q218" s="18">
        <f>IFERROR(P218/M218,"")</f>
        <v/>
      </c>
      <c r="R218" s="86">
        <f>IFERROR(E218/P218,"")</f>
        <v/>
      </c>
      <c r="S218" s="18">
        <f>IFERROR(E218/SUMIFS($E$5:$E$220,$A$5:$A$220,$A218),"")</f>
        <v/>
      </c>
      <c r="T218" s="18">
        <f>IFERROR(M218/SUMIFS($M$5:$M$220,$A$5:$A$220,$A218),"")</f>
        <v/>
      </c>
      <c r="U218" s="111">
        <f>IFERROR(O218/(SUMIFS($E$5:$E$220,$A$5:$A$220,$A218)/SUMIFS($M$5:$M$220,$A$5:$A$220,$A218)),"")</f>
        <v/>
      </c>
    </row>
    <row r="219">
      <c r="A219" s="6" t="inlineStr">
        <is>
          <t>X</t>
        </is>
      </c>
      <c r="B219" s="78" t="inlineStr">
        <is>
          <t>LEP_ZA_AUG26_X_TD_RANGE_CONV</t>
        </is>
      </c>
      <c r="C219" s="78" t="inlineStr">
        <is>
          <t>65+</t>
        </is>
      </c>
      <c r="D219" s="78" t="inlineStr">
        <is>
          <t>Female</t>
        </is>
      </c>
      <c r="E219" s="86" t="n">
        <v>261.3</v>
      </c>
      <c r="F219" s="87" t="n">
        <v>4499</v>
      </c>
      <c r="G219" s="87" t="n">
        <v>18</v>
      </c>
      <c r="H219" s="89">
        <f>IFERROR(G219/F219,"")</f>
        <v/>
      </c>
      <c r="I219" s="90">
        <f>IFERROR(E219/G219,"")</f>
        <v/>
      </c>
      <c r="J219" s="90">
        <f>IFERROR(E219/F219*1000,"")</f>
        <v/>
      </c>
      <c r="K219" s="87" t="n">
        <v>14</v>
      </c>
      <c r="L219" s="18">
        <f>IFERROR(K219/G219,"")</f>
        <v/>
      </c>
      <c r="M219" s="87" t="n">
        <v>0</v>
      </c>
      <c r="N219" s="89">
        <f>IFERROR(M219/K219,"")</f>
        <v/>
      </c>
      <c r="O219" s="86">
        <f>IFERROR(E219/M219,"")</f>
        <v/>
      </c>
      <c r="P219" s="87" t="n">
        <v>0</v>
      </c>
      <c r="Q219" s="18">
        <f>IFERROR(P219/M219,"")</f>
        <v/>
      </c>
      <c r="R219" s="86">
        <f>IFERROR(E219/P219,"")</f>
        <v/>
      </c>
      <c r="S219" s="18">
        <f>IFERROR(E219/SUMIFS($E$5:$E$220,$A$5:$A$220,$A219),"")</f>
        <v/>
      </c>
      <c r="T219" s="18">
        <f>IFERROR(M219/SUMIFS($M$5:$M$220,$A$5:$A$220,$A219),"")</f>
        <v/>
      </c>
      <c r="U219" s="111">
        <f>IFERROR(O219/(SUMIFS($E$5:$E$220,$A$5:$A$220,$A219)/SUMIFS($M$5:$M$220,$A$5:$A$220,$A219)),"")</f>
        <v/>
      </c>
    </row>
    <row r="220">
      <c r="A220" s="6" t="inlineStr">
        <is>
          <t>X</t>
        </is>
      </c>
      <c r="B220" s="78" t="inlineStr">
        <is>
          <t>LEP_ZA_AUG26_X_TD_RANGE_CONV</t>
        </is>
      </c>
      <c r="C220" s="78" t="inlineStr">
        <is>
          <t>65+</t>
        </is>
      </c>
      <c r="D220" s="78" t="inlineStr">
        <is>
          <t>Unknown</t>
        </is>
      </c>
      <c r="E220" s="86" t="n">
        <v>29.88</v>
      </c>
      <c r="F220" s="87" t="n">
        <v>514</v>
      </c>
      <c r="G220" s="87" t="n">
        <v>1</v>
      </c>
      <c r="H220" s="89">
        <f>IFERROR(G220/F220,"")</f>
        <v/>
      </c>
      <c r="I220" s="90">
        <f>IFERROR(E220/G220,"")</f>
        <v/>
      </c>
      <c r="J220" s="90">
        <f>IFERROR(E220/F220*1000,"")</f>
        <v/>
      </c>
      <c r="K220" s="87" t="n">
        <v>1</v>
      </c>
      <c r="L220" s="18">
        <f>IFERROR(K220/G220,"")</f>
        <v/>
      </c>
      <c r="M220" s="87" t="n">
        <v>0</v>
      </c>
      <c r="N220" s="89">
        <f>IFERROR(M220/K220,"")</f>
        <v/>
      </c>
      <c r="O220" s="86">
        <f>IFERROR(E220/M220,"")</f>
        <v/>
      </c>
      <c r="P220" s="87" t="n">
        <v>0</v>
      </c>
      <c r="Q220" s="18">
        <f>IFERROR(P220/M220,"")</f>
        <v/>
      </c>
      <c r="R220" s="86">
        <f>IFERROR(E220/P220,"")</f>
        <v/>
      </c>
      <c r="S220" s="18">
        <f>IFERROR(E220/SUMIFS($E$5:$E$220,$A$5:$A$220,$A220),"")</f>
        <v/>
      </c>
      <c r="T220" s="18">
        <f>IFERROR(M220/SUMIFS($M$5:$M$220,$A$5:$A$220,$A220),"")</f>
        <v/>
      </c>
      <c r="U220" s="111">
        <f>IFERROR(O220/(SUMIFS($E$5:$E$220,$A$5:$A$220,$A220)/SUMIFS($M$5:$M$220,$A$5:$A$220,$A220)),"")</f>
        <v/>
      </c>
    </row>
    <row r="221">
      <c r="A221" s="19" t="inlineStr">
        <is>
          <t>TOTAL</t>
        </is>
      </c>
      <c r="B221" s="32" t="n"/>
      <c r="C221" s="32" t="n"/>
      <c r="D221" s="32" t="n"/>
      <c r="E221" s="91">
        <f>SUM(E5:E220)</f>
        <v/>
      </c>
      <c r="F221" s="92">
        <f>SUM(F5:F220)</f>
        <v/>
      </c>
      <c r="G221" s="92">
        <f>SUM(G5:G220)</f>
        <v/>
      </c>
      <c r="H221" s="94">
        <f>IFERROR(G221/F221,"")</f>
        <v/>
      </c>
      <c r="I221" s="95">
        <f>IFERROR(E221/G221,"")</f>
        <v/>
      </c>
      <c r="J221" s="95">
        <f>IFERROR(E221/F221*1000,"")</f>
        <v/>
      </c>
      <c r="K221" s="92">
        <f>SUM(K5:K220)</f>
        <v/>
      </c>
      <c r="L221" s="25">
        <f>IFERROR(K221/G221,"")</f>
        <v/>
      </c>
      <c r="M221" s="92">
        <f>SUM(M5:M220)</f>
        <v/>
      </c>
      <c r="N221" s="94">
        <f>IFERROR(M221/K221,"")</f>
        <v/>
      </c>
      <c r="O221" s="91">
        <f>IFERROR(E221/M221,"")</f>
        <v/>
      </c>
      <c r="P221" s="92">
        <f>SUM(P5:P220)</f>
        <v/>
      </c>
      <c r="Q221" s="25">
        <f>IFERROR(P221/M221,"")</f>
        <v/>
      </c>
      <c r="R221" s="91">
        <f>IFERROR(E221/P221,"")</f>
        <v/>
      </c>
      <c r="S221" s="25">
        <f>SUM(S5:S220)</f>
        <v/>
      </c>
      <c r="T221" s="25">
        <f>SUM(T5:T220)</f>
        <v/>
      </c>
      <c r="U221" s="112">
        <f>1</f>
        <v/>
      </c>
    </row>
  </sheetData>
  <autoFilter ref="A4:U220"/>
  <mergeCells count="2">
    <mergeCell ref="A1:J1"/>
    <mergeCell ref="A2:J2"/>
  </mergeCells>
  <conditionalFormatting sqref="O5:O220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tabColor rgb="FF6E8FBF"/>
    <outlinePr summaryBelow="1" summaryRight="1"/>
    <pageSetUpPr fitToPage="1"/>
  </sheetPr>
  <dimension ref="A1:U77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:J1"/>
    </sheetView>
  </sheetViews>
  <sheetFormatPr baseColWidth="10" defaultColWidth="8.83203125" defaultRowHeight="15"/>
  <cols>
    <col width="18" customWidth="1" style="67" min="1" max="2"/>
    <col width="13" customWidth="1" style="67" min="3" max="3"/>
    <col width="26" customWidth="1" style="67" min="4" max="4"/>
    <col width="14" customWidth="1" style="67" min="5" max="5"/>
    <col width="13" customWidth="1" style="67" min="6" max="6"/>
    <col width="12" customWidth="1" style="67" min="7" max="7"/>
    <col width="10" customWidth="1" style="67" min="8" max="8"/>
    <col width="11" customWidth="1" style="67" min="9" max="10"/>
    <col width="13" customWidth="1" style="67" min="11" max="11"/>
    <col width="10" customWidth="1" style="67" min="12" max="12"/>
    <col width="13" customWidth="1" style="67" min="13" max="13"/>
    <col width="11" customWidth="1" style="67" min="14" max="14"/>
    <col width="13" customWidth="1" style="67" min="15" max="15"/>
    <col width="11" customWidth="1" style="67" min="16" max="16"/>
    <col width="10" customWidth="1" style="67" min="17" max="17"/>
    <col width="14" customWidth="1" style="67" min="18" max="18"/>
    <col width="12" customWidth="1" style="67" min="19" max="19"/>
    <col width="13" customWidth="1" style="67" min="20" max="21"/>
  </cols>
  <sheetData>
    <row r="1" ht="24" customHeight="1" s="67">
      <c r="A1" s="71" t="inlineStr">
        <is>
          <t>Geographic Breakdown — South Africa</t>
        </is>
      </c>
    </row>
    <row r="2">
      <c r="A2" s="68" t="inlineStr">
        <is>
          <t>Province and metro / non-metro split. Conversion rates are indexed to dealer density, so metro areas carry a higher booking rate than their impression share.</t>
        </is>
      </c>
    </row>
    <row r="4" ht="30" customHeight="1" s="67">
      <c r="A4" s="12" t="inlineStr">
        <is>
          <t>Channel</t>
        </is>
      </c>
      <c r="B4" s="12" t="inlineStr">
        <is>
          <t>Province</t>
        </is>
      </c>
      <c r="C4" s="12" t="inlineStr">
        <is>
          <t>Area Type</t>
        </is>
      </c>
      <c r="D4" s="12" t="inlineStr">
        <is>
          <t>Key Metro</t>
        </is>
      </c>
      <c r="E4" s="12" t="inlineStr">
        <is>
          <t>Spend (ZAR)</t>
        </is>
      </c>
      <c r="F4" s="12" t="inlineStr">
        <is>
          <t>Impressions</t>
        </is>
      </c>
      <c r="G4" s="12" t="inlineStr">
        <is>
          <t>Link Clicks</t>
        </is>
      </c>
      <c r="H4" s="12" t="inlineStr">
        <is>
          <t>CTR (Link)</t>
        </is>
      </c>
      <c r="I4" s="12" t="inlineStr">
        <is>
          <t>CPC (Link)</t>
        </is>
      </c>
      <c r="J4" s="12" t="inlineStr">
        <is>
          <t>CPM</t>
        </is>
      </c>
      <c r="K4" s="12" t="inlineStr">
        <is>
          <t>Landing Page Views</t>
        </is>
      </c>
      <c r="L4" s="12" t="inlineStr">
        <is>
          <t>LPV Rate</t>
        </is>
      </c>
      <c r="M4" s="12" t="inlineStr">
        <is>
          <t>Test Drive Bookings</t>
        </is>
      </c>
      <c r="N4" s="12" t="inlineStr">
        <is>
          <t>CVR (Booking / LPV)</t>
        </is>
      </c>
      <c r="O4" s="12" t="inlineStr">
        <is>
          <t>CPL (Cost / Booking)</t>
        </is>
      </c>
      <c r="P4" s="12" t="inlineStr">
        <is>
          <t>Qualified Leads</t>
        </is>
      </c>
      <c r="Q4" s="12" t="inlineStr">
        <is>
          <t>Qualified Rate</t>
        </is>
      </c>
      <c r="R4" s="12" t="inlineStr">
        <is>
          <t>Cost per Qualified Lead</t>
        </is>
      </c>
      <c r="S4" s="12" t="inlineStr">
        <is>
          <t>% of Channel Spend</t>
        </is>
      </c>
      <c r="T4" s="12" t="inlineStr">
        <is>
          <t>% of Channel Bookings</t>
        </is>
      </c>
      <c r="U4" s="12" t="inlineStr">
        <is>
          <t>CPL Index vs Channel Avg</t>
        </is>
      </c>
    </row>
    <row r="5">
      <c r="A5" s="6" t="inlineStr">
        <is>
          <t>Meta (FB/IG)</t>
        </is>
      </c>
      <c r="B5" s="78" t="inlineStr">
        <is>
          <t>Gauteng</t>
        </is>
      </c>
      <c r="C5" s="78" t="inlineStr">
        <is>
          <t>Metro</t>
        </is>
      </c>
      <c r="D5" s="78" t="inlineStr">
        <is>
          <t>Johannesburg / Pretoria</t>
        </is>
      </c>
      <c r="E5" s="86" t="n">
        <v>53322.33</v>
      </c>
      <c r="F5" s="87" t="n">
        <v>696392</v>
      </c>
      <c r="G5" s="87" t="n">
        <v>11841</v>
      </c>
      <c r="H5" s="89">
        <f>IFERROR(G5/F5,"")</f>
        <v/>
      </c>
      <c r="I5" s="90">
        <f>IFERROR(E5/G5,"")</f>
        <v/>
      </c>
      <c r="J5" s="90">
        <f>IFERROR(E5/F5*1000,"")</f>
        <v/>
      </c>
      <c r="K5" s="87" t="n">
        <v>10080</v>
      </c>
      <c r="L5" s="18">
        <f>IFERROR(K5/G5,"")</f>
        <v/>
      </c>
      <c r="M5" s="87" t="n">
        <v>231</v>
      </c>
      <c r="N5" s="89">
        <f>IFERROR(M5/K5,"")</f>
        <v/>
      </c>
      <c r="O5" s="86">
        <f>IFERROR(E5/M5,"")</f>
        <v/>
      </c>
      <c r="P5" s="87" t="n">
        <v>151</v>
      </c>
      <c r="Q5" s="18">
        <f>IFERROR(P5/M5,"")</f>
        <v/>
      </c>
      <c r="R5" s="86">
        <f>IFERROR(E5/P5,"")</f>
        <v/>
      </c>
      <c r="S5" s="18">
        <f>IFERROR(E5/SUMIFS($E$5:$E$76,$A$5:$A$76,$A5),"")</f>
        <v/>
      </c>
      <c r="T5" s="18">
        <f>IFERROR(M5/SUMIFS($M$5:$M$76,$A$5:$A$76,$A5),"")</f>
        <v/>
      </c>
      <c r="U5" s="111">
        <f>IFERROR(O5/(SUMIFS($E$5:$E$76,$A$5:$A$76,$A5)/SUMIFS($M$5:$M$76,$A$5:$A$76,$A5)),"")</f>
        <v/>
      </c>
    </row>
    <row r="6">
      <c r="A6" s="6" t="inlineStr">
        <is>
          <t>Meta (FB/IG)</t>
        </is>
      </c>
      <c r="B6" s="78" t="inlineStr">
        <is>
          <t>Gauteng</t>
        </is>
      </c>
      <c r="C6" s="78" t="inlineStr">
        <is>
          <t>Non-Metro</t>
        </is>
      </c>
      <c r="D6" s="78" t="inlineStr">
        <is>
          <t>Johannesburg / Pretoria</t>
        </is>
      </c>
      <c r="E6" s="86" t="n">
        <v>8722.91</v>
      </c>
      <c r="F6" s="87" t="n">
        <v>113922</v>
      </c>
      <c r="G6" s="87" t="n">
        <v>1418</v>
      </c>
      <c r="H6" s="89">
        <f>IFERROR(G6/F6,"")</f>
        <v/>
      </c>
      <c r="I6" s="90">
        <f>IFERROR(E6/G6,"")</f>
        <v/>
      </c>
      <c r="J6" s="90">
        <f>IFERROR(E6/F6*1000,"")</f>
        <v/>
      </c>
      <c r="K6" s="87" t="n">
        <v>1207</v>
      </c>
      <c r="L6" s="18">
        <f>IFERROR(K6/G6,"")</f>
        <v/>
      </c>
      <c r="M6" s="87" t="n">
        <v>28</v>
      </c>
      <c r="N6" s="89">
        <f>IFERROR(M6/K6,"")</f>
        <v/>
      </c>
      <c r="O6" s="86">
        <f>IFERROR(E6/M6,"")</f>
        <v/>
      </c>
      <c r="P6" s="87" t="n">
        <v>18</v>
      </c>
      <c r="Q6" s="18">
        <f>IFERROR(P6/M6,"")</f>
        <v/>
      </c>
      <c r="R6" s="86">
        <f>IFERROR(E6/P6,"")</f>
        <v/>
      </c>
      <c r="S6" s="18">
        <f>IFERROR(E6/SUMIFS($E$5:$E$76,$A$5:$A$76,$A6),"")</f>
        <v/>
      </c>
      <c r="T6" s="18">
        <f>IFERROR(M6/SUMIFS($M$5:$M$76,$A$5:$A$76,$A6),"")</f>
        <v/>
      </c>
      <c r="U6" s="111">
        <f>IFERROR(O6/(SUMIFS($E$5:$E$76,$A$5:$A$76,$A6)/SUMIFS($M$5:$M$76,$A$5:$A$76,$A6)),"")</f>
        <v/>
      </c>
    </row>
    <row r="7">
      <c r="A7" s="6" t="inlineStr">
        <is>
          <t>Meta (FB/IG)</t>
        </is>
      </c>
      <c r="B7" s="78" t="inlineStr">
        <is>
          <t>Western Cape</t>
        </is>
      </c>
      <c r="C7" s="78" t="inlineStr">
        <is>
          <t>Metro</t>
        </is>
      </c>
      <c r="D7" s="78" t="inlineStr">
        <is>
          <t>Cape Town</t>
        </is>
      </c>
      <c r="E7" s="86" t="n">
        <v>25329.87</v>
      </c>
      <c r="F7" s="87" t="n">
        <v>330809</v>
      </c>
      <c r="G7" s="87" t="n">
        <v>5329</v>
      </c>
      <c r="H7" s="89">
        <f>IFERROR(G7/F7,"")</f>
        <v/>
      </c>
      <c r="I7" s="90">
        <f>IFERROR(E7/G7,"")</f>
        <v/>
      </c>
      <c r="J7" s="90">
        <f>IFERROR(E7/F7*1000,"")</f>
        <v/>
      </c>
      <c r="K7" s="87" t="n">
        <v>4537</v>
      </c>
      <c r="L7" s="18">
        <f>IFERROR(K7/G7,"")</f>
        <v/>
      </c>
      <c r="M7" s="87" t="n">
        <v>104</v>
      </c>
      <c r="N7" s="89">
        <f>IFERROR(M7/K7,"")</f>
        <v/>
      </c>
      <c r="O7" s="86">
        <f>IFERROR(E7/M7,"")</f>
        <v/>
      </c>
      <c r="P7" s="87" t="n">
        <v>68</v>
      </c>
      <c r="Q7" s="18">
        <f>IFERROR(P7/M7,"")</f>
        <v/>
      </c>
      <c r="R7" s="86">
        <f>IFERROR(E7/P7,"")</f>
        <v/>
      </c>
      <c r="S7" s="18">
        <f>IFERROR(E7/SUMIFS($E$5:$E$76,$A$5:$A$76,$A7),"")</f>
        <v/>
      </c>
      <c r="T7" s="18">
        <f>IFERROR(M7/SUMIFS($M$5:$M$76,$A$5:$A$76,$A7),"")</f>
        <v/>
      </c>
      <c r="U7" s="111">
        <f>IFERROR(O7/(SUMIFS($E$5:$E$76,$A$5:$A$76,$A7)/SUMIFS($M$5:$M$76,$A$5:$A$76,$A7)),"")</f>
        <v/>
      </c>
    </row>
    <row r="8">
      <c r="A8" s="6" t="inlineStr">
        <is>
          <t>Meta (FB/IG)</t>
        </is>
      </c>
      <c r="B8" s="78" t="inlineStr">
        <is>
          <t>Western Cape</t>
        </is>
      </c>
      <c r="C8" s="78" t="inlineStr">
        <is>
          <t>Non-Metro</t>
        </is>
      </c>
      <c r="D8" s="78" t="inlineStr">
        <is>
          <t>Cape Town</t>
        </is>
      </c>
      <c r="E8" s="86" t="n">
        <v>5784.06</v>
      </c>
      <c r="F8" s="87" t="n">
        <v>75540</v>
      </c>
      <c r="G8" s="87" t="n">
        <v>891</v>
      </c>
      <c r="H8" s="89">
        <f>IFERROR(G8/F8,"")</f>
        <v/>
      </c>
      <c r="I8" s="90">
        <f>IFERROR(E8/G8,"")</f>
        <v/>
      </c>
      <c r="J8" s="90">
        <f>IFERROR(E8/F8*1000,"")</f>
        <v/>
      </c>
      <c r="K8" s="87" t="n">
        <v>758</v>
      </c>
      <c r="L8" s="18">
        <f>IFERROR(K8/G8,"")</f>
        <v/>
      </c>
      <c r="M8" s="87" t="n">
        <v>17</v>
      </c>
      <c r="N8" s="89">
        <f>IFERROR(M8/K8,"")</f>
        <v/>
      </c>
      <c r="O8" s="86">
        <f>IFERROR(E8/M8,"")</f>
        <v/>
      </c>
      <c r="P8" s="87" t="n">
        <v>11</v>
      </c>
      <c r="Q8" s="18">
        <f>IFERROR(P8/M8,"")</f>
        <v/>
      </c>
      <c r="R8" s="86">
        <f>IFERROR(E8/P8,"")</f>
        <v/>
      </c>
      <c r="S8" s="18">
        <f>IFERROR(E8/SUMIFS($E$5:$E$76,$A$5:$A$76,$A8),"")</f>
        <v/>
      </c>
      <c r="T8" s="18">
        <f>IFERROR(M8/SUMIFS($M$5:$M$76,$A$5:$A$76,$A8),"")</f>
        <v/>
      </c>
      <c r="U8" s="111">
        <f>IFERROR(O8/(SUMIFS($E$5:$E$76,$A$5:$A$76,$A8)/SUMIFS($M$5:$M$76,$A$5:$A$76,$A8)),"")</f>
        <v/>
      </c>
    </row>
    <row r="9">
      <c r="A9" s="6" t="inlineStr">
        <is>
          <t>Meta (FB/IG)</t>
        </is>
      </c>
      <c r="B9" s="78" t="inlineStr">
        <is>
          <t>KwaZulu-Natal</t>
        </is>
      </c>
      <c r="C9" s="78" t="inlineStr">
        <is>
          <t>Metro</t>
        </is>
      </c>
      <c r="D9" s="78" t="inlineStr">
        <is>
          <t>Durban / eThekwini</t>
        </is>
      </c>
      <c r="E9" s="86" t="n">
        <v>20149.32</v>
      </c>
      <c r="F9" s="87" t="n">
        <v>263151</v>
      </c>
      <c r="G9" s="87" t="n">
        <v>4003</v>
      </c>
      <c r="H9" s="89">
        <f>IFERROR(G9/F9,"")</f>
        <v/>
      </c>
      <c r="I9" s="90">
        <f>IFERROR(E9/G9,"")</f>
        <v/>
      </c>
      <c r="J9" s="90">
        <f>IFERROR(E9/F9*1000,"")</f>
        <v/>
      </c>
      <c r="K9" s="87" t="n">
        <v>3408</v>
      </c>
      <c r="L9" s="18">
        <f>IFERROR(K9/G9,"")</f>
        <v/>
      </c>
      <c r="M9" s="87" t="n">
        <v>78</v>
      </c>
      <c r="N9" s="89">
        <f>IFERROR(M9/K9,"")</f>
        <v/>
      </c>
      <c r="O9" s="86">
        <f>IFERROR(E9/M9,"")</f>
        <v/>
      </c>
      <c r="P9" s="87" t="n">
        <v>51</v>
      </c>
      <c r="Q9" s="18">
        <f>IFERROR(P9/M9,"")</f>
        <v/>
      </c>
      <c r="R9" s="86">
        <f>IFERROR(E9/P9,"")</f>
        <v/>
      </c>
      <c r="S9" s="18">
        <f>IFERROR(E9/SUMIFS($E$5:$E$76,$A$5:$A$76,$A9),"")</f>
        <v/>
      </c>
      <c r="T9" s="18">
        <f>IFERROR(M9/SUMIFS($M$5:$M$76,$A$5:$A$76,$A9),"")</f>
        <v/>
      </c>
      <c r="U9" s="111">
        <f>IFERROR(O9/(SUMIFS($E$5:$E$76,$A$5:$A$76,$A9)/SUMIFS($M$5:$M$76,$A$5:$A$76,$A9)),"")</f>
        <v/>
      </c>
    </row>
    <row r="10">
      <c r="A10" s="6" t="inlineStr">
        <is>
          <t>Meta (FB/IG)</t>
        </is>
      </c>
      <c r="B10" s="78" t="inlineStr">
        <is>
          <t>KwaZulu-Natal</t>
        </is>
      </c>
      <c r="C10" s="78" t="inlineStr">
        <is>
          <t>Non-Metro</t>
        </is>
      </c>
      <c r="D10" s="78" t="inlineStr">
        <is>
          <t>Durban / eThekwini</t>
        </is>
      </c>
      <c r="E10" s="86" t="n">
        <v>7622.84</v>
      </c>
      <c r="F10" s="87" t="n">
        <v>99555</v>
      </c>
      <c r="G10" s="87" t="n">
        <v>1109</v>
      </c>
      <c r="H10" s="89">
        <f>IFERROR(G10/F10,"")</f>
        <v/>
      </c>
      <c r="I10" s="90">
        <f>IFERROR(E10/G10,"")</f>
        <v/>
      </c>
      <c r="J10" s="90">
        <f>IFERROR(E10/F10*1000,"")</f>
        <v/>
      </c>
      <c r="K10" s="87" t="n">
        <v>944</v>
      </c>
      <c r="L10" s="18">
        <f>IFERROR(K10/G10,"")</f>
        <v/>
      </c>
      <c r="M10" s="87" t="n">
        <v>22</v>
      </c>
      <c r="N10" s="89">
        <f>IFERROR(M10/K10,"")</f>
        <v/>
      </c>
      <c r="O10" s="86">
        <f>IFERROR(E10/M10,"")</f>
        <v/>
      </c>
      <c r="P10" s="87" t="n">
        <v>14</v>
      </c>
      <c r="Q10" s="18">
        <f>IFERROR(P10/M10,"")</f>
        <v/>
      </c>
      <c r="R10" s="86">
        <f>IFERROR(E10/P10,"")</f>
        <v/>
      </c>
      <c r="S10" s="18">
        <f>IFERROR(E10/SUMIFS($E$5:$E$76,$A$5:$A$76,$A10),"")</f>
        <v/>
      </c>
      <c r="T10" s="18">
        <f>IFERROR(M10/SUMIFS($M$5:$M$76,$A$5:$A$76,$A10),"")</f>
        <v/>
      </c>
      <c r="U10" s="111">
        <f>IFERROR(O10/(SUMIFS($E$5:$E$76,$A$5:$A$76,$A10)/SUMIFS($M$5:$M$76,$A$5:$A$76,$A10)),"")</f>
        <v/>
      </c>
    </row>
    <row r="11">
      <c r="A11" s="6" t="inlineStr">
        <is>
          <t>Meta (FB/IG)</t>
        </is>
      </c>
      <c r="B11" s="78" t="inlineStr">
        <is>
          <t>Eastern Cape</t>
        </is>
      </c>
      <c r="C11" s="78" t="inlineStr">
        <is>
          <t>Metro</t>
        </is>
      </c>
      <c r="D11" s="78" t="inlineStr">
        <is>
          <t>Gqeberha / East London</t>
        </is>
      </c>
      <c r="E11" s="86" t="n">
        <v>8719.879999999999</v>
      </c>
      <c r="F11" s="87" t="n">
        <v>113882</v>
      </c>
      <c r="G11" s="87" t="n">
        <v>1495</v>
      </c>
      <c r="H11" s="89">
        <f>IFERROR(G11/F11,"")</f>
        <v/>
      </c>
      <c r="I11" s="90">
        <f>IFERROR(E11/G11,"")</f>
        <v/>
      </c>
      <c r="J11" s="90">
        <f>IFERROR(E11/F11*1000,"")</f>
        <v/>
      </c>
      <c r="K11" s="87" t="n">
        <v>1273</v>
      </c>
      <c r="L11" s="18">
        <f>IFERROR(K11/G11,"")</f>
        <v/>
      </c>
      <c r="M11" s="87" t="n">
        <v>29</v>
      </c>
      <c r="N11" s="89">
        <f>IFERROR(M11/K11,"")</f>
        <v/>
      </c>
      <c r="O11" s="86">
        <f>IFERROR(E11/M11,"")</f>
        <v/>
      </c>
      <c r="P11" s="87" t="n">
        <v>19</v>
      </c>
      <c r="Q11" s="18">
        <f>IFERROR(P11/M11,"")</f>
        <v/>
      </c>
      <c r="R11" s="86">
        <f>IFERROR(E11/P11,"")</f>
        <v/>
      </c>
      <c r="S11" s="18">
        <f>IFERROR(E11/SUMIFS($E$5:$E$76,$A$5:$A$76,$A11),"")</f>
        <v/>
      </c>
      <c r="T11" s="18">
        <f>IFERROR(M11/SUMIFS($M$5:$M$76,$A$5:$A$76,$A11),"")</f>
        <v/>
      </c>
      <c r="U11" s="111">
        <f>IFERROR(O11/(SUMIFS($E$5:$E$76,$A$5:$A$76,$A11)/SUMIFS($M$5:$M$76,$A$5:$A$76,$A11)),"")</f>
        <v/>
      </c>
    </row>
    <row r="12">
      <c r="A12" s="6" t="inlineStr">
        <is>
          <t>Meta (FB/IG)</t>
        </is>
      </c>
      <c r="B12" s="78" t="inlineStr">
        <is>
          <t>Eastern Cape</t>
        </is>
      </c>
      <c r="C12" s="78" t="inlineStr">
        <is>
          <t>Non-Metro</t>
        </is>
      </c>
      <c r="D12" s="78" t="inlineStr">
        <is>
          <t>Gqeberha / East London</t>
        </is>
      </c>
      <c r="E12" s="86" t="n">
        <v>5531.71</v>
      </c>
      <c r="F12" s="87" t="n">
        <v>72244</v>
      </c>
      <c r="G12" s="87" t="n">
        <v>694</v>
      </c>
      <c r="H12" s="89">
        <f>IFERROR(G12/F12,"")</f>
        <v/>
      </c>
      <c r="I12" s="90">
        <f>IFERROR(E12/G12,"")</f>
        <v/>
      </c>
      <c r="J12" s="90">
        <f>IFERROR(E12/F12*1000,"")</f>
        <v/>
      </c>
      <c r="K12" s="87" t="n">
        <v>591</v>
      </c>
      <c r="L12" s="18">
        <f>IFERROR(K12/G12,"")</f>
        <v/>
      </c>
      <c r="M12" s="87" t="n">
        <v>13</v>
      </c>
      <c r="N12" s="89">
        <f>IFERROR(M12/K12,"")</f>
        <v/>
      </c>
      <c r="O12" s="86">
        <f>IFERROR(E12/M12,"")</f>
        <v/>
      </c>
      <c r="P12" s="87" t="n">
        <v>9</v>
      </c>
      <c r="Q12" s="18">
        <f>IFERROR(P12/M12,"")</f>
        <v/>
      </c>
      <c r="R12" s="86">
        <f>IFERROR(E12/P12,"")</f>
        <v/>
      </c>
      <c r="S12" s="18">
        <f>IFERROR(E12/SUMIFS($E$5:$E$76,$A$5:$A$76,$A12),"")</f>
        <v/>
      </c>
      <c r="T12" s="18">
        <f>IFERROR(M12/SUMIFS($M$5:$M$76,$A$5:$A$76,$A12),"")</f>
        <v/>
      </c>
      <c r="U12" s="111">
        <f>IFERROR(O12/(SUMIFS($E$5:$E$76,$A$5:$A$76,$A12)/SUMIFS($M$5:$M$76,$A$5:$A$76,$A12)),"")</f>
        <v/>
      </c>
    </row>
    <row r="13">
      <c r="A13" s="6" t="inlineStr">
        <is>
          <t>Meta (FB/IG)</t>
        </is>
      </c>
      <c r="B13" s="78" t="inlineStr">
        <is>
          <t>Mpumalanga</t>
        </is>
      </c>
      <c r="C13" s="78" t="inlineStr">
        <is>
          <t>Metro</t>
        </is>
      </c>
      <c r="D13" s="78" t="inlineStr">
        <is>
          <t>Mbombela</t>
        </is>
      </c>
      <c r="E13" s="86" t="n">
        <v>4317.94</v>
      </c>
      <c r="F13" s="87" t="n">
        <v>56393</v>
      </c>
      <c r="G13" s="87" t="n">
        <v>707</v>
      </c>
      <c r="H13" s="89">
        <f>IFERROR(G13/F13,"")</f>
        <v/>
      </c>
      <c r="I13" s="90">
        <f>IFERROR(E13/G13,"")</f>
        <v/>
      </c>
      <c r="J13" s="90">
        <f>IFERROR(E13/F13*1000,"")</f>
        <v/>
      </c>
      <c r="K13" s="87" t="n">
        <v>602</v>
      </c>
      <c r="L13" s="18">
        <f>IFERROR(K13/G13,"")</f>
        <v/>
      </c>
      <c r="M13" s="87" t="n">
        <v>14</v>
      </c>
      <c r="N13" s="89">
        <f>IFERROR(M13/K13,"")</f>
        <v/>
      </c>
      <c r="O13" s="86">
        <f>IFERROR(E13/M13,"")</f>
        <v/>
      </c>
      <c r="P13" s="87" t="n">
        <v>9</v>
      </c>
      <c r="Q13" s="18">
        <f>IFERROR(P13/M13,"")</f>
        <v/>
      </c>
      <c r="R13" s="86">
        <f>IFERROR(E13/P13,"")</f>
        <v/>
      </c>
      <c r="S13" s="18">
        <f>IFERROR(E13/SUMIFS($E$5:$E$76,$A$5:$A$76,$A13),"")</f>
        <v/>
      </c>
      <c r="T13" s="18">
        <f>IFERROR(M13/SUMIFS($M$5:$M$76,$A$5:$A$76,$A13),"")</f>
        <v/>
      </c>
      <c r="U13" s="111">
        <f>IFERROR(O13/(SUMIFS($E$5:$E$76,$A$5:$A$76,$A13)/SUMIFS($M$5:$M$76,$A$5:$A$76,$A13)),"")</f>
        <v/>
      </c>
    </row>
    <row r="14">
      <c r="A14" s="6" t="inlineStr">
        <is>
          <t>Meta (FB/IG)</t>
        </is>
      </c>
      <c r="B14" s="78" t="inlineStr">
        <is>
          <t>Mpumalanga</t>
        </is>
      </c>
      <c r="C14" s="78" t="inlineStr">
        <is>
          <t>Non-Metro</t>
        </is>
      </c>
      <c r="D14" s="78" t="inlineStr">
        <is>
          <t>Mbombela</t>
        </is>
      </c>
      <c r="E14" s="86" t="n">
        <v>4483.89</v>
      </c>
      <c r="F14" s="87" t="n">
        <v>58560</v>
      </c>
      <c r="G14" s="87" t="n">
        <v>537</v>
      </c>
      <c r="H14" s="89">
        <f>IFERROR(G14/F14,"")</f>
        <v/>
      </c>
      <c r="I14" s="90">
        <f>IFERROR(E14/G14,"")</f>
        <v/>
      </c>
      <c r="J14" s="90">
        <f>IFERROR(E14/F14*1000,"")</f>
        <v/>
      </c>
      <c r="K14" s="87" t="n">
        <v>457</v>
      </c>
      <c r="L14" s="18">
        <f>IFERROR(K14/G14,"")</f>
        <v/>
      </c>
      <c r="M14" s="87" t="n">
        <v>10</v>
      </c>
      <c r="N14" s="89">
        <f>IFERROR(M14/K14,"")</f>
        <v/>
      </c>
      <c r="O14" s="86">
        <f>IFERROR(E14/M14,"")</f>
        <v/>
      </c>
      <c r="P14" s="87" t="n">
        <v>7</v>
      </c>
      <c r="Q14" s="18">
        <f>IFERROR(P14/M14,"")</f>
        <v/>
      </c>
      <c r="R14" s="86">
        <f>IFERROR(E14/P14,"")</f>
        <v/>
      </c>
      <c r="S14" s="18">
        <f>IFERROR(E14/SUMIFS($E$5:$E$76,$A$5:$A$76,$A14),"")</f>
        <v/>
      </c>
      <c r="T14" s="18">
        <f>IFERROR(M14/SUMIFS($M$5:$M$76,$A$5:$A$76,$A14),"")</f>
        <v/>
      </c>
      <c r="U14" s="111">
        <f>IFERROR(O14/(SUMIFS($E$5:$E$76,$A$5:$A$76,$A14)/SUMIFS($M$5:$M$76,$A$5:$A$76,$A14)),"")</f>
        <v/>
      </c>
    </row>
    <row r="15">
      <c r="A15" s="6" t="inlineStr">
        <is>
          <t>Meta (FB/IG)</t>
        </is>
      </c>
      <c r="B15" s="78" t="inlineStr">
        <is>
          <t>North West</t>
        </is>
      </c>
      <c r="C15" s="78" t="inlineStr">
        <is>
          <t>Metro</t>
        </is>
      </c>
      <c r="D15" s="78" t="inlineStr">
        <is>
          <t>Rustenburg</t>
        </is>
      </c>
      <c r="E15" s="86" t="n">
        <v>3157.46</v>
      </c>
      <c r="F15" s="87" t="n">
        <v>41236</v>
      </c>
      <c r="G15" s="87" t="n">
        <v>492</v>
      </c>
      <c r="H15" s="89">
        <f>IFERROR(G15/F15,"")</f>
        <v/>
      </c>
      <c r="I15" s="90">
        <f>IFERROR(E15/G15,"")</f>
        <v/>
      </c>
      <c r="J15" s="90">
        <f>IFERROR(E15/F15*1000,"")</f>
        <v/>
      </c>
      <c r="K15" s="87" t="n">
        <v>419</v>
      </c>
      <c r="L15" s="18">
        <f>IFERROR(K15/G15,"")</f>
        <v/>
      </c>
      <c r="M15" s="87" t="n">
        <v>10</v>
      </c>
      <c r="N15" s="89">
        <f>IFERROR(M15/K15,"")</f>
        <v/>
      </c>
      <c r="O15" s="86">
        <f>IFERROR(E15/M15,"")</f>
        <v/>
      </c>
      <c r="P15" s="87" t="n">
        <v>6</v>
      </c>
      <c r="Q15" s="18">
        <f>IFERROR(P15/M15,"")</f>
        <v/>
      </c>
      <c r="R15" s="86">
        <f>IFERROR(E15/P15,"")</f>
        <v/>
      </c>
      <c r="S15" s="18">
        <f>IFERROR(E15/SUMIFS($E$5:$E$76,$A$5:$A$76,$A15),"")</f>
        <v/>
      </c>
      <c r="T15" s="18">
        <f>IFERROR(M15/SUMIFS($M$5:$M$76,$A$5:$A$76,$A15),"")</f>
        <v/>
      </c>
      <c r="U15" s="111">
        <f>IFERROR(O15/(SUMIFS($E$5:$E$76,$A$5:$A$76,$A15)/SUMIFS($M$5:$M$76,$A$5:$A$76,$A15)),"")</f>
        <v/>
      </c>
    </row>
    <row r="16">
      <c r="A16" s="6" t="inlineStr">
        <is>
          <t>Meta (FB/IG)</t>
        </is>
      </c>
      <c r="B16" s="78" t="inlineStr">
        <is>
          <t>North West</t>
        </is>
      </c>
      <c r="C16" s="78" t="inlineStr">
        <is>
          <t>Non-Metro</t>
        </is>
      </c>
      <c r="D16" s="78" t="inlineStr">
        <is>
          <t>Rustenburg</t>
        </is>
      </c>
      <c r="E16" s="86" t="n">
        <v>3993.36</v>
      </c>
      <c r="F16" s="87" t="n">
        <v>52153</v>
      </c>
      <c r="G16" s="87" t="n">
        <v>456</v>
      </c>
      <c r="H16" s="89">
        <f>IFERROR(G16/F16,"")</f>
        <v/>
      </c>
      <c r="I16" s="90">
        <f>IFERROR(E16/G16,"")</f>
        <v/>
      </c>
      <c r="J16" s="90">
        <f>IFERROR(E16/F16*1000,"")</f>
        <v/>
      </c>
      <c r="K16" s="87" t="n">
        <v>388</v>
      </c>
      <c r="L16" s="18">
        <f>IFERROR(K16/G16,"")</f>
        <v/>
      </c>
      <c r="M16" s="87" t="n">
        <v>9</v>
      </c>
      <c r="N16" s="89">
        <f>IFERROR(M16/K16,"")</f>
        <v/>
      </c>
      <c r="O16" s="86">
        <f>IFERROR(E16/M16,"")</f>
        <v/>
      </c>
      <c r="P16" s="87" t="n">
        <v>6</v>
      </c>
      <c r="Q16" s="18">
        <f>IFERROR(P16/M16,"")</f>
        <v/>
      </c>
      <c r="R16" s="86">
        <f>IFERROR(E16/P16,"")</f>
        <v/>
      </c>
      <c r="S16" s="18">
        <f>IFERROR(E16/SUMIFS($E$5:$E$76,$A$5:$A$76,$A16),"")</f>
        <v/>
      </c>
      <c r="T16" s="18">
        <f>IFERROR(M16/SUMIFS($M$5:$M$76,$A$5:$A$76,$A16),"")</f>
        <v/>
      </c>
      <c r="U16" s="111">
        <f>IFERROR(O16/(SUMIFS($E$5:$E$76,$A$5:$A$76,$A16)/SUMIFS($M$5:$M$76,$A$5:$A$76,$A16)),"")</f>
        <v/>
      </c>
    </row>
    <row r="17">
      <c r="A17" s="6" t="inlineStr">
        <is>
          <t>Meta (FB/IG)</t>
        </is>
      </c>
      <c r="B17" s="78" t="inlineStr">
        <is>
          <t>Free State</t>
        </is>
      </c>
      <c r="C17" s="78" t="inlineStr">
        <is>
          <t>Metro</t>
        </is>
      </c>
      <c r="D17" s="78" t="inlineStr">
        <is>
          <t>Bloemfontein</t>
        </is>
      </c>
      <c r="E17" s="86" t="n">
        <v>3997.68</v>
      </c>
      <c r="F17" s="87" t="n">
        <v>52210</v>
      </c>
      <c r="G17" s="87" t="n">
        <v>670</v>
      </c>
      <c r="H17" s="89">
        <f>IFERROR(G17/F17,"")</f>
        <v/>
      </c>
      <c r="I17" s="90">
        <f>IFERROR(E17/G17,"")</f>
        <v/>
      </c>
      <c r="J17" s="90">
        <f>IFERROR(E17/F17*1000,"")</f>
        <v/>
      </c>
      <c r="K17" s="87" t="n">
        <v>570</v>
      </c>
      <c r="L17" s="18">
        <f>IFERROR(K17/G17,"")</f>
        <v/>
      </c>
      <c r="M17" s="87" t="n">
        <v>13</v>
      </c>
      <c r="N17" s="89">
        <f>IFERROR(M17/K17,"")</f>
        <v/>
      </c>
      <c r="O17" s="86">
        <f>IFERROR(E17/M17,"")</f>
        <v/>
      </c>
      <c r="P17" s="87" t="n">
        <v>8</v>
      </c>
      <c r="Q17" s="18">
        <f>IFERROR(P17/M17,"")</f>
        <v/>
      </c>
      <c r="R17" s="86">
        <f>IFERROR(E17/P17,"")</f>
        <v/>
      </c>
      <c r="S17" s="18">
        <f>IFERROR(E17/SUMIFS($E$5:$E$76,$A$5:$A$76,$A17),"")</f>
        <v/>
      </c>
      <c r="T17" s="18">
        <f>IFERROR(M17/SUMIFS($M$5:$M$76,$A$5:$A$76,$A17),"")</f>
        <v/>
      </c>
      <c r="U17" s="111">
        <f>IFERROR(O17/(SUMIFS($E$5:$E$76,$A$5:$A$76,$A17)/SUMIFS($M$5:$M$76,$A$5:$A$76,$A17)),"")</f>
        <v/>
      </c>
    </row>
    <row r="18">
      <c r="A18" s="6" t="inlineStr">
        <is>
          <t>Meta (FB/IG)</t>
        </is>
      </c>
      <c r="B18" s="78" t="inlineStr">
        <is>
          <t>Free State</t>
        </is>
      </c>
      <c r="C18" s="78" t="inlineStr">
        <is>
          <t>Non-Metro</t>
        </is>
      </c>
      <c r="D18" s="78" t="inlineStr">
        <is>
          <t>Bloemfontein</t>
        </is>
      </c>
      <c r="E18" s="86" t="n">
        <v>2930.21</v>
      </c>
      <c r="F18" s="87" t="n">
        <v>38269</v>
      </c>
      <c r="G18" s="87" t="n">
        <v>359</v>
      </c>
      <c r="H18" s="89">
        <f>IFERROR(G18/F18,"")</f>
        <v/>
      </c>
      <c r="I18" s="90">
        <f>IFERROR(E18/G18,"")</f>
        <v/>
      </c>
      <c r="J18" s="90">
        <f>IFERROR(E18/F18*1000,"")</f>
        <v/>
      </c>
      <c r="K18" s="87" t="n">
        <v>306</v>
      </c>
      <c r="L18" s="18">
        <f>IFERROR(K18/G18,"")</f>
        <v/>
      </c>
      <c r="M18" s="87" t="n">
        <v>7</v>
      </c>
      <c r="N18" s="89">
        <f>IFERROR(M18/K18,"")</f>
        <v/>
      </c>
      <c r="O18" s="86">
        <f>IFERROR(E18/M18,"")</f>
        <v/>
      </c>
      <c r="P18" s="87" t="n">
        <v>5</v>
      </c>
      <c r="Q18" s="18">
        <f>IFERROR(P18/M18,"")</f>
        <v/>
      </c>
      <c r="R18" s="86">
        <f>IFERROR(E18/P18,"")</f>
        <v/>
      </c>
      <c r="S18" s="18">
        <f>IFERROR(E18/SUMIFS($E$5:$E$76,$A$5:$A$76,$A18),"")</f>
        <v/>
      </c>
      <c r="T18" s="18">
        <f>IFERROR(M18/SUMIFS($M$5:$M$76,$A$5:$A$76,$A18),"")</f>
        <v/>
      </c>
      <c r="U18" s="111">
        <f>IFERROR(O18/(SUMIFS($E$5:$E$76,$A$5:$A$76,$A18)/SUMIFS($M$5:$M$76,$A$5:$A$76,$A18)),"")</f>
        <v/>
      </c>
    </row>
    <row r="19">
      <c r="A19" s="6" t="inlineStr">
        <is>
          <t>Meta (FB/IG)</t>
        </is>
      </c>
      <c r="B19" s="78" t="inlineStr">
        <is>
          <t>Limpopo</t>
        </is>
      </c>
      <c r="C19" s="78" t="inlineStr">
        <is>
          <t>Metro</t>
        </is>
      </c>
      <c r="D19" s="78" t="inlineStr">
        <is>
          <t>Polokwane</t>
        </is>
      </c>
      <c r="E19" s="86" t="n">
        <v>2634.4</v>
      </c>
      <c r="F19" s="87" t="n">
        <v>34405</v>
      </c>
      <c r="G19" s="87" t="n">
        <v>385</v>
      </c>
      <c r="H19" s="89">
        <f>IFERROR(G19/F19,"")</f>
        <v/>
      </c>
      <c r="I19" s="90">
        <f>IFERROR(E19/G19,"")</f>
        <v/>
      </c>
      <c r="J19" s="90">
        <f>IFERROR(E19/F19*1000,"")</f>
        <v/>
      </c>
      <c r="K19" s="87" t="n">
        <v>328</v>
      </c>
      <c r="L19" s="18">
        <f>IFERROR(K19/G19,"")</f>
        <v/>
      </c>
      <c r="M19" s="87" t="n">
        <v>7</v>
      </c>
      <c r="N19" s="89">
        <f>IFERROR(M19/K19,"")</f>
        <v/>
      </c>
      <c r="O19" s="86">
        <f>IFERROR(E19/M19,"")</f>
        <v/>
      </c>
      <c r="P19" s="87" t="n">
        <v>5</v>
      </c>
      <c r="Q19" s="18">
        <f>IFERROR(P19/M19,"")</f>
        <v/>
      </c>
      <c r="R19" s="86">
        <f>IFERROR(E19/P19,"")</f>
        <v/>
      </c>
      <c r="S19" s="18">
        <f>IFERROR(E19/SUMIFS($E$5:$E$76,$A$5:$A$76,$A19),"")</f>
        <v/>
      </c>
      <c r="T19" s="18">
        <f>IFERROR(M19/SUMIFS($M$5:$M$76,$A$5:$A$76,$A19),"")</f>
        <v/>
      </c>
      <c r="U19" s="111">
        <f>IFERROR(O19/(SUMIFS($E$5:$E$76,$A$5:$A$76,$A19)/SUMIFS($M$5:$M$76,$A$5:$A$76,$A19)),"")</f>
        <v/>
      </c>
    </row>
    <row r="20">
      <c r="A20" s="6" t="inlineStr">
        <is>
          <t>Meta (FB/IG)</t>
        </is>
      </c>
      <c r="B20" s="78" t="inlineStr">
        <is>
          <t>Limpopo</t>
        </is>
      </c>
      <c r="C20" s="78" t="inlineStr">
        <is>
          <t>Non-Metro</t>
        </is>
      </c>
      <c r="D20" s="78" t="inlineStr">
        <is>
          <t>Polokwane</t>
        </is>
      </c>
      <c r="E20" s="86" t="n">
        <v>3794</v>
      </c>
      <c r="F20" s="87" t="n">
        <v>49550</v>
      </c>
      <c r="G20" s="87" t="n">
        <v>406</v>
      </c>
      <c r="H20" s="89">
        <f>IFERROR(G20/F20,"")</f>
        <v/>
      </c>
      <c r="I20" s="90">
        <f>IFERROR(E20/G20,"")</f>
        <v/>
      </c>
      <c r="J20" s="90">
        <f>IFERROR(E20/F20*1000,"")</f>
        <v/>
      </c>
      <c r="K20" s="87" t="n">
        <v>345</v>
      </c>
      <c r="L20" s="18">
        <f>IFERROR(K20/G20,"")</f>
        <v/>
      </c>
      <c r="M20" s="87" t="n">
        <v>8</v>
      </c>
      <c r="N20" s="89">
        <f>IFERROR(M20/K20,"")</f>
        <v/>
      </c>
      <c r="O20" s="86">
        <f>IFERROR(E20/M20,"")</f>
        <v/>
      </c>
      <c r="P20" s="87" t="n">
        <v>5</v>
      </c>
      <c r="Q20" s="18">
        <f>IFERROR(P20/M20,"")</f>
        <v/>
      </c>
      <c r="R20" s="86">
        <f>IFERROR(E20/P20,"")</f>
        <v/>
      </c>
      <c r="S20" s="18">
        <f>IFERROR(E20/SUMIFS($E$5:$E$76,$A$5:$A$76,$A20),"")</f>
        <v/>
      </c>
      <c r="T20" s="18">
        <f>IFERROR(M20/SUMIFS($M$5:$M$76,$A$5:$A$76,$A20),"")</f>
        <v/>
      </c>
      <c r="U20" s="111">
        <f>IFERROR(O20/(SUMIFS($E$5:$E$76,$A$5:$A$76,$A20)/SUMIFS($M$5:$M$76,$A$5:$A$76,$A20)),"")</f>
        <v/>
      </c>
    </row>
    <row r="21">
      <c r="A21" s="6" t="inlineStr">
        <is>
          <t>Meta (FB/IG)</t>
        </is>
      </c>
      <c r="B21" s="78" t="inlineStr">
        <is>
          <t>Northern Cape</t>
        </is>
      </c>
      <c r="C21" s="78" t="inlineStr">
        <is>
          <t>Metro</t>
        </is>
      </c>
      <c r="D21" s="78" t="inlineStr">
        <is>
          <t>Kimberley</t>
        </is>
      </c>
      <c r="E21" s="86" t="n">
        <v>1438.78</v>
      </c>
      <c r="F21" s="87" t="n">
        <v>18791</v>
      </c>
      <c r="G21" s="87" t="n">
        <v>193</v>
      </c>
      <c r="H21" s="89">
        <f>IFERROR(G21/F21,"")</f>
        <v/>
      </c>
      <c r="I21" s="90">
        <f>IFERROR(E21/G21,"")</f>
        <v/>
      </c>
      <c r="J21" s="90">
        <f>IFERROR(E21/F21*1000,"")</f>
        <v/>
      </c>
      <c r="K21" s="87" t="n">
        <v>165</v>
      </c>
      <c r="L21" s="18">
        <f>IFERROR(K21/G21,"")</f>
        <v/>
      </c>
      <c r="M21" s="87" t="n">
        <v>4</v>
      </c>
      <c r="N21" s="89">
        <f>IFERROR(M21/K21,"")</f>
        <v/>
      </c>
      <c r="O21" s="86">
        <f>IFERROR(E21/M21,"")</f>
        <v/>
      </c>
      <c r="P21" s="87" t="n">
        <v>2</v>
      </c>
      <c r="Q21" s="18">
        <f>IFERROR(P21/M21,"")</f>
        <v/>
      </c>
      <c r="R21" s="86">
        <f>IFERROR(E21/P21,"")</f>
        <v/>
      </c>
      <c r="S21" s="18">
        <f>IFERROR(E21/SUMIFS($E$5:$E$76,$A$5:$A$76,$A21),"")</f>
        <v/>
      </c>
      <c r="T21" s="18">
        <f>IFERROR(M21/SUMIFS($M$5:$M$76,$A$5:$A$76,$A21),"")</f>
        <v/>
      </c>
      <c r="U21" s="111">
        <f>IFERROR(O21/(SUMIFS($E$5:$E$76,$A$5:$A$76,$A21)/SUMIFS($M$5:$M$76,$A$5:$A$76,$A21)),"")</f>
        <v/>
      </c>
    </row>
    <row r="22">
      <c r="A22" s="6" t="inlineStr">
        <is>
          <t>Meta (FB/IG)</t>
        </is>
      </c>
      <c r="B22" s="78" t="inlineStr">
        <is>
          <t>Northern Cape</t>
        </is>
      </c>
      <c r="C22" s="78" t="inlineStr">
        <is>
          <t>Non-Metro</t>
        </is>
      </c>
      <c r="D22" s="78" t="inlineStr">
        <is>
          <t>Kimberley</t>
        </is>
      </c>
      <c r="E22" s="86" t="n">
        <v>2069.36</v>
      </c>
      <c r="F22" s="87" t="n">
        <v>27026</v>
      </c>
      <c r="G22" s="87" t="n">
        <v>204</v>
      </c>
      <c r="H22" s="89">
        <f>IFERROR(G22/F22,"")</f>
        <v/>
      </c>
      <c r="I22" s="90">
        <f>IFERROR(E22/G22,"")</f>
        <v/>
      </c>
      <c r="J22" s="90">
        <f>IFERROR(E22/F22*1000,"")</f>
        <v/>
      </c>
      <c r="K22" s="87" t="n">
        <v>173</v>
      </c>
      <c r="L22" s="18">
        <f>IFERROR(K22/G22,"")</f>
        <v/>
      </c>
      <c r="M22" s="87" t="n">
        <v>4</v>
      </c>
      <c r="N22" s="89">
        <f>IFERROR(M22/K22,"")</f>
        <v/>
      </c>
      <c r="O22" s="86">
        <f>IFERROR(E22/M22,"")</f>
        <v/>
      </c>
      <c r="P22" s="87" t="n">
        <v>3</v>
      </c>
      <c r="Q22" s="18">
        <f>IFERROR(P22/M22,"")</f>
        <v/>
      </c>
      <c r="R22" s="86">
        <f>IFERROR(E22/P22,"")</f>
        <v/>
      </c>
      <c r="S22" s="18">
        <f>IFERROR(E22/SUMIFS($E$5:$E$76,$A$5:$A$76,$A22),"")</f>
        <v/>
      </c>
      <c r="T22" s="18">
        <f>IFERROR(M22/SUMIFS($M$5:$M$76,$A$5:$A$76,$A22),"")</f>
        <v/>
      </c>
      <c r="U22" s="111">
        <f>IFERROR(O22/(SUMIFS($E$5:$E$76,$A$5:$A$76,$A22)/SUMIFS($M$5:$M$76,$A$5:$A$76,$A22)),"")</f>
        <v/>
      </c>
    </row>
    <row r="23">
      <c r="A23" s="6" t="inlineStr">
        <is>
          <t>TikTok</t>
        </is>
      </c>
      <c r="B23" s="78" t="inlineStr">
        <is>
          <t>Gauteng</t>
        </is>
      </c>
      <c r="C23" s="78" t="inlineStr">
        <is>
          <t>Metro</t>
        </is>
      </c>
      <c r="D23" s="78" t="inlineStr">
        <is>
          <t>Johannesburg / Pretoria</t>
        </is>
      </c>
      <c r="E23" s="86" t="n">
        <v>25319.54</v>
      </c>
      <c r="F23" s="87" t="n">
        <v>671890</v>
      </c>
      <c r="G23" s="87" t="n">
        <v>7530</v>
      </c>
      <c r="H23" s="89">
        <f>IFERROR(G23/F23,"")</f>
        <v/>
      </c>
      <c r="I23" s="90">
        <f>IFERROR(E23/G23,"")</f>
        <v/>
      </c>
      <c r="J23" s="90">
        <f>IFERROR(E23/F23*1000,"")</f>
        <v/>
      </c>
      <c r="K23" s="87" t="n">
        <v>5143</v>
      </c>
      <c r="L23" s="18">
        <f>IFERROR(K23/G23,"")</f>
        <v/>
      </c>
      <c r="M23" s="87" t="n">
        <v>63</v>
      </c>
      <c r="N23" s="89">
        <f>IFERROR(M23/K23,"")</f>
        <v/>
      </c>
      <c r="O23" s="86">
        <f>IFERROR(E23/M23,"")</f>
        <v/>
      </c>
      <c r="P23" s="87" t="n">
        <v>34</v>
      </c>
      <c r="Q23" s="18">
        <f>IFERROR(P23/M23,"")</f>
        <v/>
      </c>
      <c r="R23" s="86">
        <f>IFERROR(E23/P23,"")</f>
        <v/>
      </c>
      <c r="S23" s="18">
        <f>IFERROR(E23/SUMIFS($E$5:$E$76,$A$5:$A$76,$A23),"")</f>
        <v/>
      </c>
      <c r="T23" s="18">
        <f>IFERROR(M23/SUMIFS($M$5:$M$76,$A$5:$A$76,$A23),"")</f>
        <v/>
      </c>
      <c r="U23" s="111">
        <f>IFERROR(O23/(SUMIFS($E$5:$E$76,$A$5:$A$76,$A23)/SUMIFS($M$5:$M$76,$A$5:$A$76,$A23)),"")</f>
        <v/>
      </c>
    </row>
    <row r="24">
      <c r="A24" s="6" t="inlineStr">
        <is>
          <t>TikTok</t>
        </is>
      </c>
      <c r="B24" s="78" t="inlineStr">
        <is>
          <t>Gauteng</t>
        </is>
      </c>
      <c r="C24" s="78" t="inlineStr">
        <is>
          <t>Non-Metro</t>
        </is>
      </c>
      <c r="D24" s="78" t="inlineStr">
        <is>
          <t>Johannesburg / Pretoria</t>
        </is>
      </c>
      <c r="E24" s="86" t="n">
        <v>4456.06</v>
      </c>
      <c r="F24" s="87" t="n">
        <v>118248</v>
      </c>
      <c r="G24" s="87" t="n">
        <v>970</v>
      </c>
      <c r="H24" s="89">
        <f>IFERROR(G24/F24,"")</f>
        <v/>
      </c>
      <c r="I24" s="90">
        <f>IFERROR(E24/G24,"")</f>
        <v/>
      </c>
      <c r="J24" s="90">
        <f>IFERROR(E24/F24*1000,"")</f>
        <v/>
      </c>
      <c r="K24" s="87" t="n">
        <v>663</v>
      </c>
      <c r="L24" s="18">
        <f>IFERROR(K24/G24,"")</f>
        <v/>
      </c>
      <c r="M24" s="87" t="n">
        <v>8</v>
      </c>
      <c r="N24" s="89">
        <f>IFERROR(M24/K24,"")</f>
        <v/>
      </c>
      <c r="O24" s="86">
        <f>IFERROR(E24/M24,"")</f>
        <v/>
      </c>
      <c r="P24" s="87" t="n">
        <v>4</v>
      </c>
      <c r="Q24" s="18">
        <f>IFERROR(P24/M24,"")</f>
        <v/>
      </c>
      <c r="R24" s="86">
        <f>IFERROR(E24/P24,"")</f>
        <v/>
      </c>
      <c r="S24" s="18">
        <f>IFERROR(E24/SUMIFS($E$5:$E$76,$A$5:$A$76,$A24),"")</f>
        <v/>
      </c>
      <c r="T24" s="18">
        <f>IFERROR(M24/SUMIFS($M$5:$M$76,$A$5:$A$76,$A24),"")</f>
        <v/>
      </c>
      <c r="U24" s="111">
        <f>IFERROR(O24/(SUMIFS($E$5:$E$76,$A$5:$A$76,$A24)/SUMIFS($M$5:$M$76,$A$5:$A$76,$A24)),"")</f>
        <v/>
      </c>
    </row>
    <row r="25">
      <c r="A25" s="6" t="inlineStr">
        <is>
          <t>TikTok</t>
        </is>
      </c>
      <c r="B25" s="78" t="inlineStr">
        <is>
          <t>Western Cape</t>
        </is>
      </c>
      <c r="C25" s="78" t="inlineStr">
        <is>
          <t>Metro</t>
        </is>
      </c>
      <c r="D25" s="78" t="inlineStr">
        <is>
          <t>Cape Town</t>
        </is>
      </c>
      <c r="E25" s="86" t="n">
        <v>12803.34</v>
      </c>
      <c r="F25" s="87" t="n">
        <v>339755</v>
      </c>
      <c r="G25" s="87" t="n">
        <v>3607</v>
      </c>
      <c r="H25" s="89">
        <f>IFERROR(G25/F25,"")</f>
        <v/>
      </c>
      <c r="I25" s="90">
        <f>IFERROR(E25/G25,"")</f>
        <v/>
      </c>
      <c r="J25" s="90">
        <f>IFERROR(E25/F25*1000,"")</f>
        <v/>
      </c>
      <c r="K25" s="87" t="n">
        <v>2464</v>
      </c>
      <c r="L25" s="18">
        <f>IFERROR(K25/G25,"")</f>
        <v/>
      </c>
      <c r="M25" s="87" t="n">
        <v>30</v>
      </c>
      <c r="N25" s="89">
        <f>IFERROR(M25/K25,"")</f>
        <v/>
      </c>
      <c r="O25" s="86">
        <f>IFERROR(E25/M25,"")</f>
        <v/>
      </c>
      <c r="P25" s="87" t="n">
        <v>16</v>
      </c>
      <c r="Q25" s="18">
        <f>IFERROR(P25/M25,"")</f>
        <v/>
      </c>
      <c r="R25" s="86">
        <f>IFERROR(E25/P25,"")</f>
        <v/>
      </c>
      <c r="S25" s="18">
        <f>IFERROR(E25/SUMIFS($E$5:$E$76,$A$5:$A$76,$A25),"")</f>
        <v/>
      </c>
      <c r="T25" s="18">
        <f>IFERROR(M25/SUMIFS($M$5:$M$76,$A$5:$A$76,$A25),"")</f>
        <v/>
      </c>
      <c r="U25" s="111">
        <f>IFERROR(O25/(SUMIFS($E$5:$E$76,$A$5:$A$76,$A25)/SUMIFS($M$5:$M$76,$A$5:$A$76,$A25)),"")</f>
        <v/>
      </c>
    </row>
    <row r="26">
      <c r="A26" s="6" t="inlineStr">
        <is>
          <t>TikTok</t>
        </is>
      </c>
      <c r="B26" s="78" t="inlineStr">
        <is>
          <t>Western Cape</t>
        </is>
      </c>
      <c r="C26" s="78" t="inlineStr">
        <is>
          <t>Non-Metro</t>
        </is>
      </c>
      <c r="D26" s="78" t="inlineStr">
        <is>
          <t>Cape Town</t>
        </is>
      </c>
      <c r="E26" s="86" t="n">
        <v>2929.73</v>
      </c>
      <c r="F26" s="87" t="n">
        <v>77745</v>
      </c>
      <c r="G26" s="87" t="n">
        <v>604</v>
      </c>
      <c r="H26" s="89">
        <f>IFERROR(G26/F26,"")</f>
        <v/>
      </c>
      <c r="I26" s="90">
        <f>IFERROR(E26/G26,"")</f>
        <v/>
      </c>
      <c r="J26" s="90">
        <f>IFERROR(E26/F26*1000,"")</f>
        <v/>
      </c>
      <c r="K26" s="87" t="n">
        <v>413</v>
      </c>
      <c r="L26" s="18">
        <f>IFERROR(K26/G26,"")</f>
        <v/>
      </c>
      <c r="M26" s="87" t="n">
        <v>5</v>
      </c>
      <c r="N26" s="89">
        <f>IFERROR(M26/K26,"")</f>
        <v/>
      </c>
      <c r="O26" s="86">
        <f>IFERROR(E26/M26,"")</f>
        <v/>
      </c>
      <c r="P26" s="87" t="n">
        <v>3</v>
      </c>
      <c r="Q26" s="18">
        <f>IFERROR(P26/M26,"")</f>
        <v/>
      </c>
      <c r="R26" s="86">
        <f>IFERROR(E26/P26,"")</f>
        <v/>
      </c>
      <c r="S26" s="18">
        <f>IFERROR(E26/SUMIFS($E$5:$E$76,$A$5:$A$76,$A26),"")</f>
        <v/>
      </c>
      <c r="T26" s="18">
        <f>IFERROR(M26/SUMIFS($M$5:$M$76,$A$5:$A$76,$A26),"")</f>
        <v/>
      </c>
      <c r="U26" s="111">
        <f>IFERROR(O26/(SUMIFS($E$5:$E$76,$A$5:$A$76,$A26)/SUMIFS($M$5:$M$76,$A$5:$A$76,$A26)),"")</f>
        <v/>
      </c>
    </row>
    <row r="27">
      <c r="A27" s="6" t="inlineStr">
        <is>
          <t>TikTok</t>
        </is>
      </c>
      <c r="B27" s="78" t="inlineStr">
        <is>
          <t>KwaZulu-Natal</t>
        </is>
      </c>
      <c r="C27" s="78" t="inlineStr">
        <is>
          <t>Metro</t>
        </is>
      </c>
      <c r="D27" s="78" t="inlineStr">
        <is>
          <t>Durban / eThekwini</t>
        </is>
      </c>
      <c r="E27" s="86" t="n">
        <v>11132.72</v>
      </c>
      <c r="F27" s="87" t="n">
        <v>295423</v>
      </c>
      <c r="G27" s="87" t="n">
        <v>2962</v>
      </c>
      <c r="H27" s="89">
        <f>IFERROR(G27/F27,"")</f>
        <v/>
      </c>
      <c r="I27" s="90">
        <f>IFERROR(E27/G27,"")</f>
        <v/>
      </c>
      <c r="J27" s="90">
        <f>IFERROR(E27/F27*1000,"")</f>
        <v/>
      </c>
      <c r="K27" s="87" t="n">
        <v>2023</v>
      </c>
      <c r="L27" s="18">
        <f>IFERROR(K27/G27,"")</f>
        <v/>
      </c>
      <c r="M27" s="87" t="n">
        <v>25</v>
      </c>
      <c r="N27" s="89">
        <f>IFERROR(M27/K27,"")</f>
        <v/>
      </c>
      <c r="O27" s="86">
        <f>IFERROR(E27/M27,"")</f>
        <v/>
      </c>
      <c r="P27" s="87" t="n">
        <v>14</v>
      </c>
      <c r="Q27" s="18">
        <f>IFERROR(P27/M27,"")</f>
        <v/>
      </c>
      <c r="R27" s="86">
        <f>IFERROR(E27/P27,"")</f>
        <v/>
      </c>
      <c r="S27" s="18">
        <f>IFERROR(E27/SUMIFS($E$5:$E$76,$A$5:$A$76,$A27),"")</f>
        <v/>
      </c>
      <c r="T27" s="18">
        <f>IFERROR(M27/SUMIFS($M$5:$M$76,$A$5:$A$76,$A27),"")</f>
        <v/>
      </c>
      <c r="U27" s="111">
        <f>IFERROR(O27/(SUMIFS($E$5:$E$76,$A$5:$A$76,$A27)/SUMIFS($M$5:$M$76,$A$5:$A$76,$A27)),"")</f>
        <v/>
      </c>
    </row>
    <row r="28">
      <c r="A28" s="6" t="inlineStr">
        <is>
          <t>TikTok</t>
        </is>
      </c>
      <c r="B28" s="78" t="inlineStr">
        <is>
          <t>KwaZulu-Natal</t>
        </is>
      </c>
      <c r="C28" s="78" t="inlineStr">
        <is>
          <t>Non-Metro</t>
        </is>
      </c>
      <c r="D28" s="78" t="inlineStr">
        <is>
          <t>Durban / eThekwini</t>
        </is>
      </c>
      <c r="E28" s="86" t="n">
        <v>3411.46</v>
      </c>
      <c r="F28" s="87" t="n">
        <v>90528</v>
      </c>
      <c r="G28" s="87" t="n">
        <v>665</v>
      </c>
      <c r="H28" s="89">
        <f>IFERROR(G28/F28,"")</f>
        <v/>
      </c>
      <c r="I28" s="90">
        <f>IFERROR(E28/G28,"")</f>
        <v/>
      </c>
      <c r="J28" s="90">
        <f>IFERROR(E28/F28*1000,"")</f>
        <v/>
      </c>
      <c r="K28" s="87" t="n">
        <v>454</v>
      </c>
      <c r="L28" s="18">
        <f>IFERROR(K28/G28,"")</f>
        <v/>
      </c>
      <c r="M28" s="87" t="n">
        <v>6</v>
      </c>
      <c r="N28" s="89">
        <f>IFERROR(M28/K28,"")</f>
        <v/>
      </c>
      <c r="O28" s="86">
        <f>IFERROR(E28/M28,"")</f>
        <v/>
      </c>
      <c r="P28" s="87" t="n">
        <v>3</v>
      </c>
      <c r="Q28" s="18">
        <f>IFERROR(P28/M28,"")</f>
        <v/>
      </c>
      <c r="R28" s="86">
        <f>IFERROR(E28/P28,"")</f>
        <v/>
      </c>
      <c r="S28" s="18">
        <f>IFERROR(E28/SUMIFS($E$5:$E$76,$A$5:$A$76,$A28),"")</f>
        <v/>
      </c>
      <c r="T28" s="18">
        <f>IFERROR(M28/SUMIFS($M$5:$M$76,$A$5:$A$76,$A28),"")</f>
        <v/>
      </c>
      <c r="U28" s="111">
        <f>IFERROR(O28/(SUMIFS($E$5:$E$76,$A$5:$A$76,$A28)/SUMIFS($M$5:$M$76,$A$5:$A$76,$A28)),"")</f>
        <v/>
      </c>
    </row>
    <row r="29">
      <c r="A29" s="6" t="inlineStr">
        <is>
          <t>TikTok</t>
        </is>
      </c>
      <c r="B29" s="78" t="inlineStr">
        <is>
          <t>Eastern Cape</t>
        </is>
      </c>
      <c r="C29" s="78" t="inlineStr">
        <is>
          <t>Metro</t>
        </is>
      </c>
      <c r="D29" s="78" t="inlineStr">
        <is>
          <t>Gqeberha / East London</t>
        </is>
      </c>
      <c r="E29" s="86" t="n">
        <v>4561.74</v>
      </c>
      <c r="F29" s="87" t="n">
        <v>121052</v>
      </c>
      <c r="G29" s="87" t="n">
        <v>1047</v>
      </c>
      <c r="H29" s="89">
        <f>IFERROR(G29/F29,"")</f>
        <v/>
      </c>
      <c r="I29" s="90">
        <f>IFERROR(E29/G29,"")</f>
        <v/>
      </c>
      <c r="J29" s="90">
        <f>IFERROR(E29/F29*1000,"")</f>
        <v/>
      </c>
      <c r="K29" s="87" t="n">
        <v>715</v>
      </c>
      <c r="L29" s="18">
        <f>IFERROR(K29/G29,"")</f>
        <v/>
      </c>
      <c r="M29" s="87" t="n">
        <v>9</v>
      </c>
      <c r="N29" s="89">
        <f>IFERROR(M29/K29,"")</f>
        <v/>
      </c>
      <c r="O29" s="86">
        <f>IFERROR(E29/M29,"")</f>
        <v/>
      </c>
      <c r="P29" s="87" t="n">
        <v>5</v>
      </c>
      <c r="Q29" s="18">
        <f>IFERROR(P29/M29,"")</f>
        <v/>
      </c>
      <c r="R29" s="86">
        <f>IFERROR(E29/P29,"")</f>
        <v/>
      </c>
      <c r="S29" s="18">
        <f>IFERROR(E29/SUMIFS($E$5:$E$76,$A$5:$A$76,$A29),"")</f>
        <v/>
      </c>
      <c r="T29" s="18">
        <f>IFERROR(M29/SUMIFS($M$5:$M$76,$A$5:$A$76,$A29),"")</f>
        <v/>
      </c>
      <c r="U29" s="111">
        <f>IFERROR(O29/(SUMIFS($E$5:$E$76,$A$5:$A$76,$A29)/SUMIFS($M$5:$M$76,$A$5:$A$76,$A29)),"")</f>
        <v/>
      </c>
    </row>
    <row r="30">
      <c r="A30" s="6" t="inlineStr">
        <is>
          <t>TikTok</t>
        </is>
      </c>
      <c r="B30" s="78" t="inlineStr">
        <is>
          <t>Eastern Cape</t>
        </is>
      </c>
      <c r="C30" s="78" t="inlineStr">
        <is>
          <t>Non-Metro</t>
        </is>
      </c>
      <c r="D30" s="78" t="inlineStr">
        <is>
          <t>Gqeberha / East London</t>
        </is>
      </c>
      <c r="E30" s="86" t="n">
        <v>2660.99</v>
      </c>
      <c r="F30" s="87" t="n">
        <v>70613</v>
      </c>
      <c r="G30" s="87" t="n">
        <v>447</v>
      </c>
      <c r="H30" s="89">
        <f>IFERROR(G30/F30,"")</f>
        <v/>
      </c>
      <c r="I30" s="90">
        <f>IFERROR(E30/G30,"")</f>
        <v/>
      </c>
      <c r="J30" s="90">
        <f>IFERROR(E30/F30*1000,"")</f>
        <v/>
      </c>
      <c r="K30" s="87" t="n">
        <v>305</v>
      </c>
      <c r="L30" s="18">
        <f>IFERROR(K30/G30,"")</f>
        <v/>
      </c>
      <c r="M30" s="87" t="n">
        <v>4</v>
      </c>
      <c r="N30" s="89">
        <f>IFERROR(M30/K30,"")</f>
        <v/>
      </c>
      <c r="O30" s="86">
        <f>IFERROR(E30/M30,"")</f>
        <v/>
      </c>
      <c r="P30" s="87" t="n">
        <v>2</v>
      </c>
      <c r="Q30" s="18">
        <f>IFERROR(P30/M30,"")</f>
        <v/>
      </c>
      <c r="R30" s="86">
        <f>IFERROR(E30/P30,"")</f>
        <v/>
      </c>
      <c r="S30" s="18">
        <f>IFERROR(E30/SUMIFS($E$5:$E$76,$A$5:$A$76,$A30),"")</f>
        <v/>
      </c>
      <c r="T30" s="18">
        <f>IFERROR(M30/SUMIFS($M$5:$M$76,$A$5:$A$76,$A30),"")</f>
        <v/>
      </c>
      <c r="U30" s="111">
        <f>IFERROR(O30/(SUMIFS($E$5:$E$76,$A$5:$A$76,$A30)/SUMIFS($M$5:$M$76,$A$5:$A$76,$A30)),"")</f>
        <v/>
      </c>
    </row>
    <row r="31">
      <c r="A31" s="6" t="inlineStr">
        <is>
          <t>TikTok</t>
        </is>
      </c>
      <c r="B31" s="78" t="inlineStr">
        <is>
          <t>Mpumalanga</t>
        </is>
      </c>
      <c r="C31" s="78" t="inlineStr">
        <is>
          <t>Metro</t>
        </is>
      </c>
      <c r="D31" s="78" t="inlineStr">
        <is>
          <t>Mbombela</t>
        </is>
      </c>
      <c r="E31" s="86" t="n">
        <v>2170.3</v>
      </c>
      <c r="F31" s="87" t="n">
        <v>57592</v>
      </c>
      <c r="G31" s="87" t="n">
        <v>476</v>
      </c>
      <c r="H31" s="89">
        <f>IFERROR(G31/F31,"")</f>
        <v/>
      </c>
      <c r="I31" s="90">
        <f>IFERROR(E31/G31,"")</f>
        <v/>
      </c>
      <c r="J31" s="90">
        <f>IFERROR(E31/F31*1000,"")</f>
        <v/>
      </c>
      <c r="K31" s="87" t="n">
        <v>325</v>
      </c>
      <c r="L31" s="18">
        <f>IFERROR(K31/G31,"")</f>
        <v/>
      </c>
      <c r="M31" s="87" t="n">
        <v>4</v>
      </c>
      <c r="N31" s="89">
        <f>IFERROR(M31/K31,"")</f>
        <v/>
      </c>
      <c r="O31" s="86">
        <f>IFERROR(E31/M31,"")</f>
        <v/>
      </c>
      <c r="P31" s="87" t="n">
        <v>2</v>
      </c>
      <c r="Q31" s="18">
        <f>IFERROR(P31/M31,"")</f>
        <v/>
      </c>
      <c r="R31" s="86">
        <f>IFERROR(E31/P31,"")</f>
        <v/>
      </c>
      <c r="S31" s="18">
        <f>IFERROR(E31/SUMIFS($E$5:$E$76,$A$5:$A$76,$A31),"")</f>
        <v/>
      </c>
      <c r="T31" s="18">
        <f>IFERROR(M31/SUMIFS($M$5:$M$76,$A$5:$A$76,$A31),"")</f>
        <v/>
      </c>
      <c r="U31" s="111">
        <f>IFERROR(O31/(SUMIFS($E$5:$E$76,$A$5:$A$76,$A31)/SUMIFS($M$5:$M$76,$A$5:$A$76,$A31)),"")</f>
        <v/>
      </c>
    </row>
    <row r="32">
      <c r="A32" s="6" t="inlineStr">
        <is>
          <t>TikTok</t>
        </is>
      </c>
      <c r="B32" s="78" t="inlineStr">
        <is>
          <t>Mpumalanga</t>
        </is>
      </c>
      <c r="C32" s="78" t="inlineStr">
        <is>
          <t>Non-Metro</t>
        </is>
      </c>
      <c r="D32" s="78" t="inlineStr">
        <is>
          <t>Mbombela</t>
        </is>
      </c>
      <c r="E32" s="86" t="n">
        <v>2439.67</v>
      </c>
      <c r="F32" s="87" t="n">
        <v>64740</v>
      </c>
      <c r="G32" s="87" t="n">
        <v>391</v>
      </c>
      <c r="H32" s="89">
        <f>IFERROR(G32/F32,"")</f>
        <v/>
      </c>
      <c r="I32" s="90">
        <f>IFERROR(E32/G32,"")</f>
        <v/>
      </c>
      <c r="J32" s="90">
        <f>IFERROR(E32/F32*1000,"")</f>
        <v/>
      </c>
      <c r="K32" s="87" t="n">
        <v>267</v>
      </c>
      <c r="L32" s="18">
        <f>IFERROR(K32/G32,"")</f>
        <v/>
      </c>
      <c r="M32" s="87" t="n">
        <v>3</v>
      </c>
      <c r="N32" s="89">
        <f>IFERROR(M32/K32,"")</f>
        <v/>
      </c>
      <c r="O32" s="86">
        <f>IFERROR(E32/M32,"")</f>
        <v/>
      </c>
      <c r="P32" s="87" t="n">
        <v>2</v>
      </c>
      <c r="Q32" s="18">
        <f>IFERROR(P32/M32,"")</f>
        <v/>
      </c>
      <c r="R32" s="86">
        <f>IFERROR(E32/P32,"")</f>
        <v/>
      </c>
      <c r="S32" s="18">
        <f>IFERROR(E32/SUMIFS($E$5:$E$76,$A$5:$A$76,$A32),"")</f>
        <v/>
      </c>
      <c r="T32" s="18">
        <f>IFERROR(M32/SUMIFS($M$5:$M$76,$A$5:$A$76,$A32),"")</f>
        <v/>
      </c>
      <c r="U32" s="111">
        <f>IFERROR(O32/(SUMIFS($E$5:$E$76,$A$5:$A$76,$A32)/SUMIFS($M$5:$M$76,$A$5:$A$76,$A32)),"")</f>
        <v/>
      </c>
    </row>
    <row r="33">
      <c r="A33" s="6" t="inlineStr">
        <is>
          <t>TikTok</t>
        </is>
      </c>
      <c r="B33" s="78" t="inlineStr">
        <is>
          <t>North West</t>
        </is>
      </c>
      <c r="C33" s="78" t="inlineStr">
        <is>
          <t>Metro</t>
        </is>
      </c>
      <c r="D33" s="78" t="inlineStr">
        <is>
          <t>Rustenburg</t>
        </is>
      </c>
      <c r="E33" s="86" t="n">
        <v>1646.46</v>
      </c>
      <c r="F33" s="87" t="n">
        <v>43691</v>
      </c>
      <c r="G33" s="87" t="n">
        <v>344</v>
      </c>
      <c r="H33" s="89">
        <f>IFERROR(G33/F33,"")</f>
        <v/>
      </c>
      <c r="I33" s="90">
        <f>IFERROR(E33/G33,"")</f>
        <v/>
      </c>
      <c r="J33" s="90">
        <f>IFERROR(E33/F33*1000,"")</f>
        <v/>
      </c>
      <c r="K33" s="87" t="n">
        <v>235</v>
      </c>
      <c r="L33" s="18">
        <f>IFERROR(K33/G33,"")</f>
        <v/>
      </c>
      <c r="M33" s="87" t="n">
        <v>3</v>
      </c>
      <c r="N33" s="89">
        <f>IFERROR(M33/K33,"")</f>
        <v/>
      </c>
      <c r="O33" s="86">
        <f>IFERROR(E33/M33,"")</f>
        <v/>
      </c>
      <c r="P33" s="87" t="n">
        <v>2</v>
      </c>
      <c r="Q33" s="18">
        <f>IFERROR(P33/M33,"")</f>
        <v/>
      </c>
      <c r="R33" s="86">
        <f>IFERROR(E33/P33,"")</f>
        <v/>
      </c>
      <c r="S33" s="18">
        <f>IFERROR(E33/SUMIFS($E$5:$E$76,$A$5:$A$76,$A33),"")</f>
        <v/>
      </c>
      <c r="T33" s="18">
        <f>IFERROR(M33/SUMIFS($M$5:$M$76,$A$5:$A$76,$A33),"")</f>
        <v/>
      </c>
      <c r="U33" s="111">
        <f>IFERROR(O33/(SUMIFS($E$5:$E$76,$A$5:$A$76,$A33)/SUMIFS($M$5:$M$76,$A$5:$A$76,$A33)),"")</f>
        <v/>
      </c>
    </row>
    <row r="34">
      <c r="A34" s="6" t="inlineStr">
        <is>
          <t>TikTok</t>
        </is>
      </c>
      <c r="B34" s="78" t="inlineStr">
        <is>
          <t>North West</t>
        </is>
      </c>
      <c r="C34" s="78" t="inlineStr">
        <is>
          <t>Non-Metro</t>
        </is>
      </c>
      <c r="D34" s="78" t="inlineStr">
        <is>
          <t>Rustenburg</t>
        </is>
      </c>
      <c r="E34" s="86" t="n">
        <v>1809.21</v>
      </c>
      <c r="F34" s="87" t="n">
        <v>48010</v>
      </c>
      <c r="G34" s="87" t="n">
        <v>276</v>
      </c>
      <c r="H34" s="89">
        <f>IFERROR(G34/F34,"")</f>
        <v/>
      </c>
      <c r="I34" s="90">
        <f>IFERROR(E34/G34,"")</f>
        <v/>
      </c>
      <c r="J34" s="90">
        <f>IFERROR(E34/F34*1000,"")</f>
        <v/>
      </c>
      <c r="K34" s="87" t="n">
        <v>189</v>
      </c>
      <c r="L34" s="18">
        <f>IFERROR(K34/G34,"")</f>
        <v/>
      </c>
      <c r="M34" s="87" t="n">
        <v>2</v>
      </c>
      <c r="N34" s="89">
        <f>IFERROR(M34/K34,"")</f>
        <v/>
      </c>
      <c r="O34" s="86">
        <f>IFERROR(E34/M34,"")</f>
        <v/>
      </c>
      <c r="P34" s="87" t="n">
        <v>1</v>
      </c>
      <c r="Q34" s="18">
        <f>IFERROR(P34/M34,"")</f>
        <v/>
      </c>
      <c r="R34" s="86">
        <f>IFERROR(E34/P34,"")</f>
        <v/>
      </c>
      <c r="S34" s="18">
        <f>IFERROR(E34/SUMIFS($E$5:$E$76,$A$5:$A$76,$A34),"")</f>
        <v/>
      </c>
      <c r="T34" s="18">
        <f>IFERROR(M34/SUMIFS($M$5:$M$76,$A$5:$A$76,$A34),"")</f>
        <v/>
      </c>
      <c r="U34" s="111">
        <f>IFERROR(O34/(SUMIFS($E$5:$E$76,$A$5:$A$76,$A34)/SUMIFS($M$5:$M$76,$A$5:$A$76,$A34)),"")</f>
        <v/>
      </c>
    </row>
    <row r="35">
      <c r="A35" s="6" t="inlineStr">
        <is>
          <t>TikTok</t>
        </is>
      </c>
      <c r="B35" s="78" t="inlineStr">
        <is>
          <t>Free State</t>
        </is>
      </c>
      <c r="C35" s="78" t="inlineStr">
        <is>
          <t>Metro</t>
        </is>
      </c>
      <c r="D35" s="78" t="inlineStr">
        <is>
          <t>Bloemfontein</t>
        </is>
      </c>
      <c r="E35" s="86" t="n">
        <v>1941.39</v>
      </c>
      <c r="F35" s="87" t="n">
        <v>51518</v>
      </c>
      <c r="G35" s="87" t="n">
        <v>436</v>
      </c>
      <c r="H35" s="89">
        <f>IFERROR(G35/F35,"")</f>
        <v/>
      </c>
      <c r="I35" s="90">
        <f>IFERROR(E35/G35,"")</f>
        <v/>
      </c>
      <c r="J35" s="90">
        <f>IFERROR(E35/F35*1000,"")</f>
        <v/>
      </c>
      <c r="K35" s="87" t="n">
        <v>297</v>
      </c>
      <c r="L35" s="18">
        <f>IFERROR(K35/G35,"")</f>
        <v/>
      </c>
      <c r="M35" s="87" t="n">
        <v>4</v>
      </c>
      <c r="N35" s="89">
        <f>IFERROR(M35/K35,"")</f>
        <v/>
      </c>
      <c r="O35" s="86">
        <f>IFERROR(E35/M35,"")</f>
        <v/>
      </c>
      <c r="P35" s="87" t="n">
        <v>2</v>
      </c>
      <c r="Q35" s="18">
        <f>IFERROR(P35/M35,"")</f>
        <v/>
      </c>
      <c r="R35" s="86">
        <f>IFERROR(E35/P35,"")</f>
        <v/>
      </c>
      <c r="S35" s="18">
        <f>IFERROR(E35/SUMIFS($E$5:$E$76,$A$5:$A$76,$A35),"")</f>
        <v/>
      </c>
      <c r="T35" s="18">
        <f>IFERROR(M35/SUMIFS($M$5:$M$76,$A$5:$A$76,$A35),"")</f>
        <v/>
      </c>
      <c r="U35" s="111">
        <f>IFERROR(O35/(SUMIFS($E$5:$E$76,$A$5:$A$76,$A35)/SUMIFS($M$5:$M$76,$A$5:$A$76,$A35)),"")</f>
        <v/>
      </c>
    </row>
    <row r="36">
      <c r="A36" s="6" t="inlineStr">
        <is>
          <t>TikTok</t>
        </is>
      </c>
      <c r="B36" s="78" t="inlineStr">
        <is>
          <t>Free State</t>
        </is>
      </c>
      <c r="C36" s="78" t="inlineStr">
        <is>
          <t>Non-Metro</t>
        </is>
      </c>
      <c r="D36" s="78" t="inlineStr">
        <is>
          <t>Bloemfontein</t>
        </is>
      </c>
      <c r="E36" s="86" t="n">
        <v>1500.93</v>
      </c>
      <c r="F36" s="87" t="n">
        <v>39829</v>
      </c>
      <c r="G36" s="87" t="n">
        <v>247</v>
      </c>
      <c r="H36" s="89">
        <f>IFERROR(G36/F36,"")</f>
        <v/>
      </c>
      <c r="I36" s="90">
        <f>IFERROR(E36/G36,"")</f>
        <v/>
      </c>
      <c r="J36" s="90">
        <f>IFERROR(E36/F36*1000,"")</f>
        <v/>
      </c>
      <c r="K36" s="87" t="n">
        <v>168</v>
      </c>
      <c r="L36" s="18">
        <f>IFERROR(K36/G36,"")</f>
        <v/>
      </c>
      <c r="M36" s="87" t="n">
        <v>2</v>
      </c>
      <c r="N36" s="89">
        <f>IFERROR(M36/K36,"")</f>
        <v/>
      </c>
      <c r="O36" s="86">
        <f>IFERROR(E36/M36,"")</f>
        <v/>
      </c>
      <c r="P36" s="87" t="n">
        <v>1</v>
      </c>
      <c r="Q36" s="18">
        <f>IFERROR(P36/M36,"")</f>
        <v/>
      </c>
      <c r="R36" s="86">
        <f>IFERROR(E36/P36,"")</f>
        <v/>
      </c>
      <c r="S36" s="18">
        <f>IFERROR(E36/SUMIFS($E$5:$E$76,$A$5:$A$76,$A36),"")</f>
        <v/>
      </c>
      <c r="T36" s="18">
        <f>IFERROR(M36/SUMIFS($M$5:$M$76,$A$5:$A$76,$A36),"")</f>
        <v/>
      </c>
      <c r="U36" s="111">
        <f>IFERROR(O36/(SUMIFS($E$5:$E$76,$A$5:$A$76,$A36)/SUMIFS($M$5:$M$76,$A$5:$A$76,$A36)),"")</f>
        <v/>
      </c>
    </row>
    <row r="37">
      <c r="A37" s="6" t="inlineStr">
        <is>
          <t>TikTok</t>
        </is>
      </c>
      <c r="B37" s="78" t="inlineStr">
        <is>
          <t>Limpopo</t>
        </is>
      </c>
      <c r="C37" s="78" t="inlineStr">
        <is>
          <t>Metro</t>
        </is>
      </c>
      <c r="D37" s="78" t="inlineStr">
        <is>
          <t>Polokwane</t>
        </is>
      </c>
      <c r="E37" s="86" t="n">
        <v>1435.68</v>
      </c>
      <c r="F37" s="87" t="n">
        <v>38098</v>
      </c>
      <c r="G37" s="87" t="n">
        <v>281</v>
      </c>
      <c r="H37" s="89">
        <f>IFERROR(G37/F37,"")</f>
        <v/>
      </c>
      <c r="I37" s="90">
        <f>IFERROR(E37/G37,"")</f>
        <v/>
      </c>
      <c r="J37" s="90">
        <f>IFERROR(E37/F37*1000,"")</f>
        <v/>
      </c>
      <c r="K37" s="87" t="n">
        <v>192</v>
      </c>
      <c r="L37" s="18">
        <f>IFERROR(K37/G37,"")</f>
        <v/>
      </c>
      <c r="M37" s="87" t="n">
        <v>2</v>
      </c>
      <c r="N37" s="89">
        <f>IFERROR(M37/K37,"")</f>
        <v/>
      </c>
      <c r="O37" s="86">
        <f>IFERROR(E37/M37,"")</f>
        <v/>
      </c>
      <c r="P37" s="87" t="n">
        <v>1</v>
      </c>
      <c r="Q37" s="18">
        <f>IFERROR(P37/M37,"")</f>
        <v/>
      </c>
      <c r="R37" s="86">
        <f>IFERROR(E37/P37,"")</f>
        <v/>
      </c>
      <c r="S37" s="18">
        <f>IFERROR(E37/SUMIFS($E$5:$E$76,$A$5:$A$76,$A37),"")</f>
        <v/>
      </c>
      <c r="T37" s="18">
        <f>IFERROR(M37/SUMIFS($M$5:$M$76,$A$5:$A$76,$A37),"")</f>
        <v/>
      </c>
      <c r="U37" s="111">
        <f>IFERROR(O37/(SUMIFS($E$5:$E$76,$A$5:$A$76,$A37)/SUMIFS($M$5:$M$76,$A$5:$A$76,$A37)),"")</f>
        <v/>
      </c>
    </row>
    <row r="38">
      <c r="A38" s="6" t="inlineStr">
        <is>
          <t>TikTok</t>
        </is>
      </c>
      <c r="B38" s="78" t="inlineStr">
        <is>
          <t>Limpopo</t>
        </is>
      </c>
      <c r="C38" s="78" t="inlineStr">
        <is>
          <t>Non-Metro</t>
        </is>
      </c>
      <c r="D38" s="78" t="inlineStr">
        <is>
          <t>Polokwane</t>
        </is>
      </c>
      <c r="E38" s="86" t="n">
        <v>1947.36</v>
      </c>
      <c r="F38" s="87" t="n">
        <v>51676</v>
      </c>
      <c r="G38" s="87" t="n">
        <v>279</v>
      </c>
      <c r="H38" s="89">
        <f>IFERROR(G38/F38,"")</f>
        <v/>
      </c>
      <c r="I38" s="90">
        <f>IFERROR(E38/G38,"")</f>
        <v/>
      </c>
      <c r="J38" s="90">
        <f>IFERROR(E38/F38*1000,"")</f>
        <v/>
      </c>
      <c r="K38" s="87" t="n">
        <v>191</v>
      </c>
      <c r="L38" s="18">
        <f>IFERROR(K38/G38,"")</f>
        <v/>
      </c>
      <c r="M38" s="87" t="n">
        <v>2</v>
      </c>
      <c r="N38" s="89">
        <f>IFERROR(M38/K38,"")</f>
        <v/>
      </c>
      <c r="O38" s="86">
        <f>IFERROR(E38/M38,"")</f>
        <v/>
      </c>
      <c r="P38" s="87" t="n">
        <v>1</v>
      </c>
      <c r="Q38" s="18">
        <f>IFERROR(P38/M38,"")</f>
        <v/>
      </c>
      <c r="R38" s="86">
        <f>IFERROR(E38/P38,"")</f>
        <v/>
      </c>
      <c r="S38" s="18">
        <f>IFERROR(E38/SUMIFS($E$5:$E$76,$A$5:$A$76,$A38),"")</f>
        <v/>
      </c>
      <c r="T38" s="18">
        <f>IFERROR(M38/SUMIFS($M$5:$M$76,$A$5:$A$76,$A38),"")</f>
        <v/>
      </c>
      <c r="U38" s="111">
        <f>IFERROR(O38/(SUMIFS($E$5:$E$76,$A$5:$A$76,$A38)/SUMIFS($M$5:$M$76,$A$5:$A$76,$A38)),"")</f>
        <v/>
      </c>
    </row>
    <row r="39">
      <c r="A39" s="6" t="inlineStr">
        <is>
          <t>TikTok</t>
        </is>
      </c>
      <c r="B39" s="78" t="inlineStr">
        <is>
          <t>Northern Cape</t>
        </is>
      </c>
      <c r="C39" s="78" t="inlineStr">
        <is>
          <t>Metro</t>
        </is>
      </c>
      <c r="D39" s="78" t="inlineStr">
        <is>
          <t>Kimberley</t>
        </is>
      </c>
      <c r="E39" s="86" t="n">
        <v>704.1900000000001</v>
      </c>
      <c r="F39" s="87" t="n">
        <v>18687</v>
      </c>
      <c r="G39" s="87" t="n">
        <v>127</v>
      </c>
      <c r="H39" s="89">
        <f>IFERROR(G39/F39,"")</f>
        <v/>
      </c>
      <c r="I39" s="90">
        <f>IFERROR(E39/G39,"")</f>
        <v/>
      </c>
      <c r="J39" s="90">
        <f>IFERROR(E39/F39*1000,"")</f>
        <v/>
      </c>
      <c r="K39" s="87" t="n">
        <v>87</v>
      </c>
      <c r="L39" s="18">
        <f>IFERROR(K39/G39,"")</f>
        <v/>
      </c>
      <c r="M39" s="87" t="n">
        <v>1</v>
      </c>
      <c r="N39" s="89">
        <f>IFERROR(M39/K39,"")</f>
        <v/>
      </c>
      <c r="O39" s="86">
        <f>IFERROR(E39/M39,"")</f>
        <v/>
      </c>
      <c r="P39" s="87" t="n">
        <v>1</v>
      </c>
      <c r="Q39" s="18">
        <f>IFERROR(P39/M39,"")</f>
        <v/>
      </c>
      <c r="R39" s="86">
        <f>IFERROR(E39/P39,"")</f>
        <v/>
      </c>
      <c r="S39" s="18">
        <f>IFERROR(E39/SUMIFS($E$5:$E$76,$A$5:$A$76,$A39),"")</f>
        <v/>
      </c>
      <c r="T39" s="18">
        <f>IFERROR(M39/SUMIFS($M$5:$M$76,$A$5:$A$76,$A39),"")</f>
        <v/>
      </c>
      <c r="U39" s="111">
        <f>IFERROR(O39/(SUMIFS($E$5:$E$76,$A$5:$A$76,$A39)/SUMIFS($M$5:$M$76,$A$5:$A$76,$A39)),"")</f>
        <v/>
      </c>
    </row>
    <row r="40">
      <c r="A40" s="6" t="inlineStr">
        <is>
          <t>TikTok</t>
        </is>
      </c>
      <c r="B40" s="78" t="inlineStr">
        <is>
          <t>Northern Cape</t>
        </is>
      </c>
      <c r="C40" s="78" t="inlineStr">
        <is>
          <t>Non-Metro</t>
        </is>
      </c>
      <c r="D40" s="78" t="inlineStr">
        <is>
          <t>Kimberley</t>
        </is>
      </c>
      <c r="E40" s="86" t="n">
        <v>1129.23</v>
      </c>
      <c r="F40" s="87" t="n">
        <v>29966</v>
      </c>
      <c r="G40" s="87" t="n">
        <v>149</v>
      </c>
      <c r="H40" s="89">
        <f>IFERROR(G40/F40,"")</f>
        <v/>
      </c>
      <c r="I40" s="90">
        <f>IFERROR(E40/G40,"")</f>
        <v/>
      </c>
      <c r="J40" s="90">
        <f>IFERROR(E40/F40*1000,"")</f>
        <v/>
      </c>
      <c r="K40" s="87" t="n">
        <v>102</v>
      </c>
      <c r="L40" s="18">
        <f>IFERROR(K40/G40,"")</f>
        <v/>
      </c>
      <c r="M40" s="87" t="n">
        <v>1</v>
      </c>
      <c r="N40" s="89">
        <f>IFERROR(M40/K40,"")</f>
        <v/>
      </c>
      <c r="O40" s="86">
        <f>IFERROR(E40/M40,"")</f>
        <v/>
      </c>
      <c r="P40" s="87" t="n">
        <v>1</v>
      </c>
      <c r="Q40" s="18">
        <f>IFERROR(P40/M40,"")</f>
        <v/>
      </c>
      <c r="R40" s="86">
        <f>IFERROR(E40/P40,"")</f>
        <v/>
      </c>
      <c r="S40" s="18">
        <f>IFERROR(E40/SUMIFS($E$5:$E$76,$A$5:$A$76,$A40),"")</f>
        <v/>
      </c>
      <c r="T40" s="18">
        <f>IFERROR(M40/SUMIFS($M$5:$M$76,$A$5:$A$76,$A40),"")</f>
        <v/>
      </c>
      <c r="U40" s="111">
        <f>IFERROR(O40/(SUMIFS($E$5:$E$76,$A$5:$A$76,$A40)/SUMIFS($M$5:$M$76,$A$5:$A$76,$A40)),"")</f>
        <v/>
      </c>
    </row>
    <row r="41">
      <c r="A41" s="6" t="inlineStr">
        <is>
          <t>Programmatic</t>
        </is>
      </c>
      <c r="B41" s="78" t="inlineStr">
        <is>
          <t>Gauteng</t>
        </is>
      </c>
      <c r="C41" s="78" t="inlineStr">
        <is>
          <t>Metro</t>
        </is>
      </c>
      <c r="D41" s="78" t="inlineStr">
        <is>
          <t>Johannesburg / Pretoria</t>
        </is>
      </c>
      <c r="E41" s="86" t="n">
        <v>31143.41</v>
      </c>
      <c r="F41" s="87" t="n">
        <v>1179771</v>
      </c>
      <c r="G41" s="87" t="n">
        <v>2847</v>
      </c>
      <c r="H41" s="89">
        <f>IFERROR(G41/F41,"")</f>
        <v/>
      </c>
      <c r="I41" s="90">
        <f>IFERROR(E41/G41,"")</f>
        <v/>
      </c>
      <c r="J41" s="90">
        <f>IFERROR(E41/F41*1000,"")</f>
        <v/>
      </c>
      <c r="K41" s="87" t="n">
        <v>1813</v>
      </c>
      <c r="L41" s="18">
        <f>IFERROR(K41/G41,"")</f>
        <v/>
      </c>
      <c r="M41" s="87" t="n">
        <v>50</v>
      </c>
      <c r="N41" s="89">
        <f>IFERROR(M41/K41,"")</f>
        <v/>
      </c>
      <c r="O41" s="86">
        <f>IFERROR(E41/M41,"")</f>
        <v/>
      </c>
      <c r="P41" s="87" t="n">
        <v>26</v>
      </c>
      <c r="Q41" s="18">
        <f>IFERROR(P41/M41,"")</f>
        <v/>
      </c>
      <c r="R41" s="86">
        <f>IFERROR(E41/P41,"")</f>
        <v/>
      </c>
      <c r="S41" s="18">
        <f>IFERROR(E41/SUMIFS($E$5:$E$76,$A$5:$A$76,$A41),"")</f>
        <v/>
      </c>
      <c r="T41" s="18">
        <f>IFERROR(M41/SUMIFS($M$5:$M$76,$A$5:$A$76,$A41),"")</f>
        <v/>
      </c>
      <c r="U41" s="111">
        <f>IFERROR(O41/(SUMIFS($E$5:$E$76,$A$5:$A$76,$A41)/SUMIFS($M$5:$M$76,$A$5:$A$76,$A41)),"")</f>
        <v/>
      </c>
    </row>
    <row r="42">
      <c r="A42" s="6" t="inlineStr">
        <is>
          <t>Programmatic</t>
        </is>
      </c>
      <c r="B42" s="78" t="inlineStr">
        <is>
          <t>Gauteng</t>
        </is>
      </c>
      <c r="C42" s="78" t="inlineStr">
        <is>
          <t>Non-Metro</t>
        </is>
      </c>
      <c r="D42" s="78" t="inlineStr">
        <is>
          <t>Johannesburg / Pretoria</t>
        </is>
      </c>
      <c r="E42" s="86" t="n">
        <v>5294.6</v>
      </c>
      <c r="F42" s="87" t="n">
        <v>200569</v>
      </c>
      <c r="G42" s="87" t="n">
        <v>354</v>
      </c>
      <c r="H42" s="89">
        <f>IFERROR(G42/F42,"")</f>
        <v/>
      </c>
      <c r="I42" s="90">
        <f>IFERROR(E42/G42,"")</f>
        <v/>
      </c>
      <c r="J42" s="90">
        <f>IFERROR(E42/F42*1000,"")</f>
        <v/>
      </c>
      <c r="K42" s="87" t="n">
        <v>226</v>
      </c>
      <c r="L42" s="18">
        <f>IFERROR(K42/G42,"")</f>
        <v/>
      </c>
      <c r="M42" s="87" t="n">
        <v>6</v>
      </c>
      <c r="N42" s="89">
        <f>IFERROR(M42/K42,"")</f>
        <v/>
      </c>
      <c r="O42" s="86">
        <f>IFERROR(E42/M42,"")</f>
        <v/>
      </c>
      <c r="P42" s="87" t="n">
        <v>3</v>
      </c>
      <c r="Q42" s="18">
        <f>IFERROR(P42/M42,"")</f>
        <v/>
      </c>
      <c r="R42" s="86">
        <f>IFERROR(E42/P42,"")</f>
        <v/>
      </c>
      <c r="S42" s="18">
        <f>IFERROR(E42/SUMIFS($E$5:$E$76,$A$5:$A$76,$A42),"")</f>
        <v/>
      </c>
      <c r="T42" s="18">
        <f>IFERROR(M42/SUMIFS($M$5:$M$76,$A$5:$A$76,$A42),"")</f>
        <v/>
      </c>
      <c r="U42" s="111">
        <f>IFERROR(O42/(SUMIFS($E$5:$E$76,$A$5:$A$76,$A42)/SUMIFS($M$5:$M$76,$A$5:$A$76,$A42)),"")</f>
        <v/>
      </c>
    </row>
    <row r="43">
      <c r="A43" s="6" t="inlineStr">
        <is>
          <t>Programmatic</t>
        </is>
      </c>
      <c r="B43" s="78" t="inlineStr">
        <is>
          <t>Western Cape</t>
        </is>
      </c>
      <c r="C43" s="78" t="inlineStr">
        <is>
          <t>Metro</t>
        </is>
      </c>
      <c r="D43" s="78" t="inlineStr">
        <is>
          <t>Cape Town</t>
        </is>
      </c>
      <c r="E43" s="86" t="n">
        <v>15611.78</v>
      </c>
      <c r="F43" s="87" t="n">
        <v>591404</v>
      </c>
      <c r="G43" s="87" t="n">
        <v>1352</v>
      </c>
      <c r="H43" s="89">
        <f>IFERROR(G43/F43,"")</f>
        <v/>
      </c>
      <c r="I43" s="90">
        <f>IFERROR(E43/G43,"")</f>
        <v/>
      </c>
      <c r="J43" s="90">
        <f>IFERROR(E43/F43*1000,"")</f>
        <v/>
      </c>
      <c r="K43" s="87" t="n">
        <v>861</v>
      </c>
      <c r="L43" s="18">
        <f>IFERROR(K43/G43,"")</f>
        <v/>
      </c>
      <c r="M43" s="87" t="n">
        <v>24</v>
      </c>
      <c r="N43" s="89">
        <f>IFERROR(M43/K43,"")</f>
        <v/>
      </c>
      <c r="O43" s="86">
        <f>IFERROR(E43/M43,"")</f>
        <v/>
      </c>
      <c r="P43" s="87" t="n">
        <v>13</v>
      </c>
      <c r="Q43" s="18">
        <f>IFERROR(P43/M43,"")</f>
        <v/>
      </c>
      <c r="R43" s="86">
        <f>IFERROR(E43/P43,"")</f>
        <v/>
      </c>
      <c r="S43" s="18">
        <f>IFERROR(E43/SUMIFS($E$5:$E$76,$A$5:$A$76,$A43),"")</f>
        <v/>
      </c>
      <c r="T43" s="18">
        <f>IFERROR(M43/SUMIFS($M$5:$M$76,$A$5:$A$76,$A43),"")</f>
        <v/>
      </c>
      <c r="U43" s="111">
        <f>IFERROR(O43/(SUMIFS($E$5:$E$76,$A$5:$A$76,$A43)/SUMIFS($M$5:$M$76,$A$5:$A$76,$A43)),"")</f>
        <v/>
      </c>
    </row>
    <row r="44">
      <c r="A44" s="6" t="inlineStr">
        <is>
          <t>Programmatic</t>
        </is>
      </c>
      <c r="B44" s="78" t="inlineStr">
        <is>
          <t>Western Cape</t>
        </is>
      </c>
      <c r="C44" s="78" t="inlineStr">
        <is>
          <t>Non-Metro</t>
        </is>
      </c>
      <c r="D44" s="78" t="inlineStr">
        <is>
          <t>Cape Town</t>
        </is>
      </c>
      <c r="E44" s="86" t="n">
        <v>3257.51</v>
      </c>
      <c r="F44" s="87" t="n">
        <v>123401</v>
      </c>
      <c r="G44" s="87" t="n">
        <v>207</v>
      </c>
      <c r="H44" s="89">
        <f>IFERROR(G44/F44,"")</f>
        <v/>
      </c>
      <c r="I44" s="90">
        <f>IFERROR(E44/G44,"")</f>
        <v/>
      </c>
      <c r="J44" s="90">
        <f>IFERROR(E44/F44*1000,"")</f>
        <v/>
      </c>
      <c r="K44" s="87" t="n">
        <v>131</v>
      </c>
      <c r="L44" s="18">
        <f>IFERROR(K44/G44,"")</f>
        <v/>
      </c>
      <c r="M44" s="87" t="n">
        <v>4</v>
      </c>
      <c r="N44" s="89">
        <f>IFERROR(M44/K44,"")</f>
        <v/>
      </c>
      <c r="O44" s="86">
        <f>IFERROR(E44/M44,"")</f>
        <v/>
      </c>
      <c r="P44" s="87" t="n">
        <v>2</v>
      </c>
      <c r="Q44" s="18">
        <f>IFERROR(P44/M44,"")</f>
        <v/>
      </c>
      <c r="R44" s="86">
        <f>IFERROR(E44/P44,"")</f>
        <v/>
      </c>
      <c r="S44" s="18">
        <f>IFERROR(E44/SUMIFS($E$5:$E$76,$A$5:$A$76,$A44),"")</f>
        <v/>
      </c>
      <c r="T44" s="18">
        <f>IFERROR(M44/SUMIFS($M$5:$M$76,$A$5:$A$76,$A44),"")</f>
        <v/>
      </c>
      <c r="U44" s="111">
        <f>IFERROR(O44/(SUMIFS($E$5:$E$76,$A$5:$A$76,$A44)/SUMIFS($M$5:$M$76,$A$5:$A$76,$A44)),"")</f>
        <v/>
      </c>
    </row>
    <row r="45">
      <c r="A45" s="6" t="inlineStr">
        <is>
          <t>Programmatic</t>
        </is>
      </c>
      <c r="B45" s="78" t="inlineStr">
        <is>
          <t>KwaZulu-Natal</t>
        </is>
      </c>
      <c r="C45" s="78" t="inlineStr">
        <is>
          <t>Metro</t>
        </is>
      </c>
      <c r="D45" s="78" t="inlineStr">
        <is>
          <t>Durban / eThekwini</t>
        </is>
      </c>
      <c r="E45" s="86" t="n">
        <v>12867.46</v>
      </c>
      <c r="F45" s="87" t="n">
        <v>487444</v>
      </c>
      <c r="G45" s="87" t="n">
        <v>1053</v>
      </c>
      <c r="H45" s="89">
        <f>IFERROR(G45/F45,"")</f>
        <v/>
      </c>
      <c r="I45" s="90">
        <f>IFERROR(E45/G45,"")</f>
        <v/>
      </c>
      <c r="J45" s="90">
        <f>IFERROR(E45/F45*1000,"")</f>
        <v/>
      </c>
      <c r="K45" s="87" t="n">
        <v>670</v>
      </c>
      <c r="L45" s="18">
        <f>IFERROR(K45/G45,"")</f>
        <v/>
      </c>
      <c r="M45" s="87" t="n">
        <v>18</v>
      </c>
      <c r="N45" s="89">
        <f>IFERROR(M45/K45,"")</f>
        <v/>
      </c>
      <c r="O45" s="86">
        <f>IFERROR(E45/M45,"")</f>
        <v/>
      </c>
      <c r="P45" s="87" t="n">
        <v>10</v>
      </c>
      <c r="Q45" s="18">
        <f>IFERROR(P45/M45,"")</f>
        <v/>
      </c>
      <c r="R45" s="86">
        <f>IFERROR(E45/P45,"")</f>
        <v/>
      </c>
      <c r="S45" s="18">
        <f>IFERROR(E45/SUMIFS($E$5:$E$76,$A$5:$A$76,$A45),"")</f>
        <v/>
      </c>
      <c r="T45" s="18">
        <f>IFERROR(M45/SUMIFS($M$5:$M$76,$A$5:$A$76,$A45),"")</f>
        <v/>
      </c>
      <c r="U45" s="111">
        <f>IFERROR(O45/(SUMIFS($E$5:$E$76,$A$5:$A$76,$A45)/SUMIFS($M$5:$M$76,$A$5:$A$76,$A45)),"")</f>
        <v/>
      </c>
    </row>
    <row r="46">
      <c r="A46" s="6" t="inlineStr">
        <is>
          <t>Programmatic</t>
        </is>
      </c>
      <c r="B46" s="78" t="inlineStr">
        <is>
          <t>KwaZulu-Natal</t>
        </is>
      </c>
      <c r="C46" s="78" t="inlineStr">
        <is>
          <t>Non-Metro</t>
        </is>
      </c>
      <c r="D46" s="78" t="inlineStr">
        <is>
          <t>Durban / eThekwini</t>
        </is>
      </c>
      <c r="E46" s="86" t="n">
        <v>4278.47</v>
      </c>
      <c r="F46" s="87" t="n">
        <v>162076</v>
      </c>
      <c r="G46" s="87" t="n">
        <v>256</v>
      </c>
      <c r="H46" s="89">
        <f>IFERROR(G46/F46,"")</f>
        <v/>
      </c>
      <c r="I46" s="90">
        <f>IFERROR(E46/G46,"")</f>
        <v/>
      </c>
      <c r="J46" s="90">
        <f>IFERROR(E46/F46*1000,"")</f>
        <v/>
      </c>
      <c r="K46" s="87" t="n">
        <v>163</v>
      </c>
      <c r="L46" s="18">
        <f>IFERROR(K46/G46,"")</f>
        <v/>
      </c>
      <c r="M46" s="87" t="n">
        <v>4</v>
      </c>
      <c r="N46" s="89">
        <f>IFERROR(M46/K46,"")</f>
        <v/>
      </c>
      <c r="O46" s="86">
        <f>IFERROR(E46/M46,"")</f>
        <v/>
      </c>
      <c r="P46" s="87" t="n">
        <v>2</v>
      </c>
      <c r="Q46" s="18">
        <f>IFERROR(P46/M46,"")</f>
        <v/>
      </c>
      <c r="R46" s="86">
        <f>IFERROR(E46/P46,"")</f>
        <v/>
      </c>
      <c r="S46" s="18">
        <f>IFERROR(E46/SUMIFS($E$5:$E$76,$A$5:$A$76,$A46),"")</f>
        <v/>
      </c>
      <c r="T46" s="18">
        <f>IFERROR(M46/SUMIFS($M$5:$M$76,$A$5:$A$76,$A46),"")</f>
        <v/>
      </c>
      <c r="U46" s="111">
        <f>IFERROR(O46/(SUMIFS($E$5:$E$76,$A$5:$A$76,$A46)/SUMIFS($M$5:$M$76,$A$5:$A$76,$A46)),"")</f>
        <v/>
      </c>
    </row>
    <row r="47">
      <c r="A47" s="6" t="inlineStr">
        <is>
          <t>Programmatic</t>
        </is>
      </c>
      <c r="B47" s="78" t="inlineStr">
        <is>
          <t>Eastern Cape</t>
        </is>
      </c>
      <c r="C47" s="78" t="inlineStr">
        <is>
          <t>Metro</t>
        </is>
      </c>
      <c r="D47" s="78" t="inlineStr">
        <is>
          <t>Gqeberha / East London</t>
        </is>
      </c>
      <c r="E47" s="86" t="n">
        <v>4789.28</v>
      </c>
      <c r="F47" s="87" t="n">
        <v>181427</v>
      </c>
      <c r="G47" s="87" t="n">
        <v>338</v>
      </c>
      <c r="H47" s="89">
        <f>IFERROR(G47/F47,"")</f>
        <v/>
      </c>
      <c r="I47" s="90">
        <f>IFERROR(E47/G47,"")</f>
        <v/>
      </c>
      <c r="J47" s="90">
        <f>IFERROR(E47/F47*1000,"")</f>
        <v/>
      </c>
      <c r="K47" s="87" t="n">
        <v>215</v>
      </c>
      <c r="L47" s="18">
        <f>IFERROR(K47/G47,"")</f>
        <v/>
      </c>
      <c r="M47" s="87" t="n">
        <v>6</v>
      </c>
      <c r="N47" s="89">
        <f>IFERROR(M47/K47,"")</f>
        <v/>
      </c>
      <c r="O47" s="86">
        <f>IFERROR(E47/M47,"")</f>
        <v/>
      </c>
      <c r="P47" s="87" t="n">
        <v>3</v>
      </c>
      <c r="Q47" s="18">
        <f>IFERROR(P47/M47,"")</f>
        <v/>
      </c>
      <c r="R47" s="86">
        <f>IFERROR(E47/P47,"")</f>
        <v/>
      </c>
      <c r="S47" s="18">
        <f>IFERROR(E47/SUMIFS($E$5:$E$76,$A$5:$A$76,$A47),"")</f>
        <v/>
      </c>
      <c r="T47" s="18">
        <f>IFERROR(M47/SUMIFS($M$5:$M$76,$A$5:$A$76,$A47),"")</f>
        <v/>
      </c>
      <c r="U47" s="111">
        <f>IFERROR(O47/(SUMIFS($E$5:$E$76,$A$5:$A$76,$A47)/SUMIFS($M$5:$M$76,$A$5:$A$76,$A47)),"")</f>
        <v/>
      </c>
    </row>
    <row r="48">
      <c r="A48" s="6" t="inlineStr">
        <is>
          <t>Programmatic</t>
        </is>
      </c>
      <c r="B48" s="78" t="inlineStr">
        <is>
          <t>Eastern Cape</t>
        </is>
      </c>
      <c r="C48" s="78" t="inlineStr">
        <is>
          <t>Non-Metro</t>
        </is>
      </c>
      <c r="D48" s="78" t="inlineStr">
        <is>
          <t>Gqeberha / East London</t>
        </is>
      </c>
      <c r="E48" s="86" t="n">
        <v>3111.87</v>
      </c>
      <c r="F48" s="87" t="n">
        <v>117883</v>
      </c>
      <c r="G48" s="87" t="n">
        <v>161</v>
      </c>
      <c r="H48" s="89">
        <f>IFERROR(G48/F48,"")</f>
        <v/>
      </c>
      <c r="I48" s="90">
        <f>IFERROR(E48/G48,"")</f>
        <v/>
      </c>
      <c r="J48" s="90">
        <f>IFERROR(E48/F48*1000,"")</f>
        <v/>
      </c>
      <c r="K48" s="87" t="n">
        <v>102</v>
      </c>
      <c r="L48" s="18">
        <f>IFERROR(K48/G48,"")</f>
        <v/>
      </c>
      <c r="M48" s="87" t="n">
        <v>3</v>
      </c>
      <c r="N48" s="89">
        <f>IFERROR(M48/K48,"")</f>
        <v/>
      </c>
      <c r="O48" s="86">
        <f>IFERROR(E48/M48,"")</f>
        <v/>
      </c>
      <c r="P48" s="87" t="n">
        <v>2</v>
      </c>
      <c r="Q48" s="18">
        <f>IFERROR(P48/M48,"")</f>
        <v/>
      </c>
      <c r="R48" s="86">
        <f>IFERROR(E48/P48,"")</f>
        <v/>
      </c>
      <c r="S48" s="18">
        <f>IFERROR(E48/SUMIFS($E$5:$E$76,$A$5:$A$76,$A48),"")</f>
        <v/>
      </c>
      <c r="T48" s="18">
        <f>IFERROR(M48/SUMIFS($M$5:$M$76,$A$5:$A$76,$A48),"")</f>
        <v/>
      </c>
      <c r="U48" s="111">
        <f>IFERROR(O48/(SUMIFS($E$5:$E$76,$A$5:$A$76,$A48)/SUMIFS($M$5:$M$76,$A$5:$A$76,$A48)),"")</f>
        <v/>
      </c>
    </row>
    <row r="49">
      <c r="A49" s="6" t="inlineStr">
        <is>
          <t>Programmatic</t>
        </is>
      </c>
      <c r="B49" s="78" t="inlineStr">
        <is>
          <t>Mpumalanga</t>
        </is>
      </c>
      <c r="C49" s="78" t="inlineStr">
        <is>
          <t>Metro</t>
        </is>
      </c>
      <c r="D49" s="78" t="inlineStr">
        <is>
          <t>Mbombela</t>
        </is>
      </c>
      <c r="E49" s="86" t="n">
        <v>2529.29</v>
      </c>
      <c r="F49" s="87" t="n">
        <v>95815</v>
      </c>
      <c r="G49" s="87" t="n">
        <v>170</v>
      </c>
      <c r="H49" s="89">
        <f>IFERROR(G49/F49,"")</f>
        <v/>
      </c>
      <c r="I49" s="90">
        <f>IFERROR(E49/G49,"")</f>
        <v/>
      </c>
      <c r="J49" s="90">
        <f>IFERROR(E49/F49*1000,"")</f>
        <v/>
      </c>
      <c r="K49" s="87" t="n">
        <v>108</v>
      </c>
      <c r="L49" s="18">
        <f>IFERROR(K49/G49,"")</f>
        <v/>
      </c>
      <c r="M49" s="87" t="n">
        <v>3</v>
      </c>
      <c r="N49" s="89">
        <f>IFERROR(M49/K49,"")</f>
        <v/>
      </c>
      <c r="O49" s="86">
        <f>IFERROR(E49/M49,"")</f>
        <v/>
      </c>
      <c r="P49" s="87" t="n">
        <v>2</v>
      </c>
      <c r="Q49" s="18">
        <f>IFERROR(P49/M49,"")</f>
        <v/>
      </c>
      <c r="R49" s="86">
        <f>IFERROR(E49/P49,"")</f>
        <v/>
      </c>
      <c r="S49" s="18">
        <f>IFERROR(E49/SUMIFS($E$5:$E$76,$A$5:$A$76,$A49),"")</f>
        <v/>
      </c>
      <c r="T49" s="18">
        <f>IFERROR(M49/SUMIFS($M$5:$M$76,$A$5:$A$76,$A49),"")</f>
        <v/>
      </c>
      <c r="U49" s="111">
        <f>IFERROR(O49/(SUMIFS($E$5:$E$76,$A$5:$A$76,$A49)/SUMIFS($M$5:$M$76,$A$5:$A$76,$A49)),"")</f>
        <v/>
      </c>
    </row>
    <row r="50">
      <c r="A50" s="6" t="inlineStr">
        <is>
          <t>Programmatic</t>
        </is>
      </c>
      <c r="B50" s="78" t="inlineStr">
        <is>
          <t>Mpumalanga</t>
        </is>
      </c>
      <c r="C50" s="78" t="inlineStr">
        <is>
          <t>Non-Metro</t>
        </is>
      </c>
      <c r="D50" s="78" t="inlineStr">
        <is>
          <t>Mbombela</t>
        </is>
      </c>
      <c r="E50" s="86" t="n">
        <v>2674.64</v>
      </c>
      <c r="F50" s="87" t="n">
        <v>101320</v>
      </c>
      <c r="G50" s="87" t="n">
        <v>132</v>
      </c>
      <c r="H50" s="89">
        <f>IFERROR(G50/F50,"")</f>
        <v/>
      </c>
      <c r="I50" s="90">
        <f>IFERROR(E50/G50,"")</f>
        <v/>
      </c>
      <c r="J50" s="90">
        <f>IFERROR(E50/F50*1000,"")</f>
        <v/>
      </c>
      <c r="K50" s="87" t="n">
        <v>84</v>
      </c>
      <c r="L50" s="18">
        <f>IFERROR(K50/G50,"")</f>
        <v/>
      </c>
      <c r="M50" s="87" t="n">
        <v>2</v>
      </c>
      <c r="N50" s="89">
        <f>IFERROR(M50/K50,"")</f>
        <v/>
      </c>
      <c r="O50" s="86">
        <f>IFERROR(E50/M50,"")</f>
        <v/>
      </c>
      <c r="P50" s="87" t="n">
        <v>1</v>
      </c>
      <c r="Q50" s="18">
        <f>IFERROR(P50/M50,"")</f>
        <v/>
      </c>
      <c r="R50" s="86">
        <f>IFERROR(E50/P50,"")</f>
        <v/>
      </c>
      <c r="S50" s="18">
        <f>IFERROR(E50/SUMIFS($E$5:$E$76,$A$5:$A$76,$A50),"")</f>
        <v/>
      </c>
      <c r="T50" s="18">
        <f>IFERROR(M50/SUMIFS($M$5:$M$76,$A$5:$A$76,$A50),"")</f>
        <v/>
      </c>
      <c r="U50" s="111">
        <f>IFERROR(O50/(SUMIFS($E$5:$E$76,$A$5:$A$76,$A50)/SUMIFS($M$5:$M$76,$A$5:$A$76,$A50)),"")</f>
        <v/>
      </c>
    </row>
    <row r="51">
      <c r="A51" s="6" t="inlineStr">
        <is>
          <t>Programmatic</t>
        </is>
      </c>
      <c r="B51" s="78" t="inlineStr">
        <is>
          <t>North West</t>
        </is>
      </c>
      <c r="C51" s="78" t="inlineStr">
        <is>
          <t>Metro</t>
        </is>
      </c>
      <c r="D51" s="78" t="inlineStr">
        <is>
          <t>Rustenburg</t>
        </is>
      </c>
      <c r="E51" s="86" t="n">
        <v>1910.02</v>
      </c>
      <c r="F51" s="87" t="n">
        <v>72355</v>
      </c>
      <c r="G51" s="87" t="n">
        <v>123</v>
      </c>
      <c r="H51" s="89">
        <f>IFERROR(G51/F51,"")</f>
        <v/>
      </c>
      <c r="I51" s="90">
        <f>IFERROR(E51/G51,"")</f>
        <v/>
      </c>
      <c r="J51" s="90">
        <f>IFERROR(E51/F51*1000,"")</f>
        <v/>
      </c>
      <c r="K51" s="87" t="n">
        <v>78</v>
      </c>
      <c r="L51" s="18">
        <f>IFERROR(K51/G51,"")</f>
        <v/>
      </c>
      <c r="M51" s="87" t="n">
        <v>2</v>
      </c>
      <c r="N51" s="89">
        <f>IFERROR(M51/K51,"")</f>
        <v/>
      </c>
      <c r="O51" s="86">
        <f>IFERROR(E51/M51,"")</f>
        <v/>
      </c>
      <c r="P51" s="87" t="n">
        <v>1</v>
      </c>
      <c r="Q51" s="18">
        <f>IFERROR(P51/M51,"")</f>
        <v/>
      </c>
      <c r="R51" s="86">
        <f>IFERROR(E51/P51,"")</f>
        <v/>
      </c>
      <c r="S51" s="18">
        <f>IFERROR(E51/SUMIFS($E$5:$E$76,$A$5:$A$76,$A51),"")</f>
        <v/>
      </c>
      <c r="T51" s="18">
        <f>IFERROR(M51/SUMIFS($M$5:$M$76,$A$5:$A$76,$A51),"")</f>
        <v/>
      </c>
      <c r="U51" s="111">
        <f>IFERROR(O51/(SUMIFS($E$5:$E$76,$A$5:$A$76,$A51)/SUMIFS($M$5:$M$76,$A$5:$A$76,$A51)),"")</f>
        <v/>
      </c>
    </row>
    <row r="52">
      <c r="A52" s="6" t="inlineStr">
        <is>
          <t>Programmatic</t>
        </is>
      </c>
      <c r="B52" s="78" t="inlineStr">
        <is>
          <t>North West</t>
        </is>
      </c>
      <c r="C52" s="78" t="inlineStr">
        <is>
          <t>Non-Metro</t>
        </is>
      </c>
      <c r="D52" s="78" t="inlineStr">
        <is>
          <t>Rustenburg</t>
        </is>
      </c>
      <c r="E52" s="86" t="n">
        <v>2374.61</v>
      </c>
      <c r="F52" s="87" t="n">
        <v>89955</v>
      </c>
      <c r="G52" s="87" t="n">
        <v>111</v>
      </c>
      <c r="H52" s="89">
        <f>IFERROR(G52/F52,"")</f>
        <v/>
      </c>
      <c r="I52" s="90">
        <f>IFERROR(E52/G52,"")</f>
        <v/>
      </c>
      <c r="J52" s="90">
        <f>IFERROR(E52/F52*1000,"")</f>
        <v/>
      </c>
      <c r="K52" s="87" t="n">
        <v>71</v>
      </c>
      <c r="L52" s="18">
        <f>IFERROR(K52/G52,"")</f>
        <v/>
      </c>
      <c r="M52" s="87" t="n">
        <v>2</v>
      </c>
      <c r="N52" s="89">
        <f>IFERROR(M52/K52,"")</f>
        <v/>
      </c>
      <c r="O52" s="86">
        <f>IFERROR(E52/M52,"")</f>
        <v/>
      </c>
      <c r="P52" s="87" t="n">
        <v>1</v>
      </c>
      <c r="Q52" s="18">
        <f>IFERROR(P52/M52,"")</f>
        <v/>
      </c>
      <c r="R52" s="86">
        <f>IFERROR(E52/P52,"")</f>
        <v/>
      </c>
      <c r="S52" s="18">
        <f>IFERROR(E52/SUMIFS($E$5:$E$76,$A$5:$A$76,$A52),"")</f>
        <v/>
      </c>
      <c r="T52" s="18">
        <f>IFERROR(M52/SUMIFS($M$5:$M$76,$A$5:$A$76,$A52),"")</f>
        <v/>
      </c>
      <c r="U52" s="111">
        <f>IFERROR(O52/(SUMIFS($E$5:$E$76,$A$5:$A$76,$A52)/SUMIFS($M$5:$M$76,$A$5:$A$76,$A52)),"")</f>
        <v/>
      </c>
    </row>
    <row r="53">
      <c r="A53" s="6" t="inlineStr">
        <is>
          <t>Programmatic</t>
        </is>
      </c>
      <c r="B53" s="78" t="inlineStr">
        <is>
          <t>Free State</t>
        </is>
      </c>
      <c r="C53" s="78" t="inlineStr">
        <is>
          <t>Metro</t>
        </is>
      </c>
      <c r="D53" s="78" t="inlineStr">
        <is>
          <t>Bloemfontein</t>
        </is>
      </c>
      <c r="E53" s="86" t="n">
        <v>2232.77</v>
      </c>
      <c r="F53" s="87" t="n">
        <v>84581</v>
      </c>
      <c r="G53" s="87" t="n">
        <v>154</v>
      </c>
      <c r="H53" s="89">
        <f>IFERROR(G53/F53,"")</f>
        <v/>
      </c>
      <c r="I53" s="90">
        <f>IFERROR(E53/G53,"")</f>
        <v/>
      </c>
      <c r="J53" s="90">
        <f>IFERROR(E53/F53*1000,"")</f>
        <v/>
      </c>
      <c r="K53" s="87" t="n">
        <v>98</v>
      </c>
      <c r="L53" s="18">
        <f>IFERROR(K53/G53,"")</f>
        <v/>
      </c>
      <c r="M53" s="87" t="n">
        <v>3</v>
      </c>
      <c r="N53" s="89">
        <f>IFERROR(M53/K53,"")</f>
        <v/>
      </c>
      <c r="O53" s="86">
        <f>IFERROR(E53/M53,"")</f>
        <v/>
      </c>
      <c r="P53" s="87" t="n">
        <v>1</v>
      </c>
      <c r="Q53" s="18">
        <f>IFERROR(P53/M53,"")</f>
        <v/>
      </c>
      <c r="R53" s="86">
        <f>IFERROR(E53/P53,"")</f>
        <v/>
      </c>
      <c r="S53" s="18">
        <f>IFERROR(E53/SUMIFS($E$5:$E$76,$A$5:$A$76,$A53),"")</f>
        <v/>
      </c>
      <c r="T53" s="18">
        <f>IFERROR(M53/SUMIFS($M$5:$M$76,$A$5:$A$76,$A53),"")</f>
        <v/>
      </c>
      <c r="U53" s="111">
        <f>IFERROR(O53/(SUMIFS($E$5:$E$76,$A$5:$A$76,$A53)/SUMIFS($M$5:$M$76,$A$5:$A$76,$A53)),"")</f>
        <v/>
      </c>
    </row>
    <row r="54">
      <c r="A54" s="6" t="inlineStr">
        <is>
          <t>Programmatic</t>
        </is>
      </c>
      <c r="B54" s="78" t="inlineStr">
        <is>
          <t>Free State</t>
        </is>
      </c>
      <c r="C54" s="78" t="inlineStr">
        <is>
          <t>Non-Metro</t>
        </is>
      </c>
      <c r="D54" s="78" t="inlineStr">
        <is>
          <t>Bloemfontein</t>
        </is>
      </c>
      <c r="E54" s="86" t="n">
        <v>1822.49</v>
      </c>
      <c r="F54" s="87" t="n">
        <v>69039</v>
      </c>
      <c r="G54" s="87" t="n">
        <v>92</v>
      </c>
      <c r="H54" s="89">
        <f>IFERROR(G54/F54,"")</f>
        <v/>
      </c>
      <c r="I54" s="90">
        <f>IFERROR(E54/G54,"")</f>
        <v/>
      </c>
      <c r="J54" s="90">
        <f>IFERROR(E54/F54*1000,"")</f>
        <v/>
      </c>
      <c r="K54" s="87" t="n">
        <v>59</v>
      </c>
      <c r="L54" s="18">
        <f>IFERROR(K54/G54,"")</f>
        <v/>
      </c>
      <c r="M54" s="87" t="n">
        <v>1</v>
      </c>
      <c r="N54" s="89">
        <f>IFERROR(M54/K54,"")</f>
        <v/>
      </c>
      <c r="O54" s="86">
        <f>IFERROR(E54/M54,"")</f>
        <v/>
      </c>
      <c r="P54" s="87" t="n">
        <v>1</v>
      </c>
      <c r="Q54" s="18">
        <f>IFERROR(P54/M54,"")</f>
        <v/>
      </c>
      <c r="R54" s="86">
        <f>IFERROR(E54/P54,"")</f>
        <v/>
      </c>
      <c r="S54" s="18">
        <f>IFERROR(E54/SUMIFS($E$5:$E$76,$A$5:$A$76,$A54),"")</f>
        <v/>
      </c>
      <c r="T54" s="18">
        <f>IFERROR(M54/SUMIFS($M$5:$M$76,$A$5:$A$76,$A54),"")</f>
        <v/>
      </c>
      <c r="U54" s="111">
        <f>IFERROR(O54/(SUMIFS($E$5:$E$76,$A$5:$A$76,$A54)/SUMIFS($M$5:$M$76,$A$5:$A$76,$A54)),"")</f>
        <v/>
      </c>
    </row>
    <row r="55">
      <c r="A55" s="6" t="inlineStr">
        <is>
          <t>Programmatic</t>
        </is>
      </c>
      <c r="B55" s="78" t="inlineStr">
        <is>
          <t>Limpopo</t>
        </is>
      </c>
      <c r="C55" s="78" t="inlineStr">
        <is>
          <t>Metro</t>
        </is>
      </c>
      <c r="D55" s="78" t="inlineStr">
        <is>
          <t>Polokwane</t>
        </is>
      </c>
      <c r="E55" s="86" t="n">
        <v>1650.04</v>
      </c>
      <c r="F55" s="87" t="n">
        <v>62507</v>
      </c>
      <c r="G55" s="87" t="n">
        <v>99</v>
      </c>
      <c r="H55" s="89">
        <f>IFERROR(G55/F55,"")</f>
        <v/>
      </c>
      <c r="I55" s="90">
        <f>IFERROR(E55/G55,"")</f>
        <v/>
      </c>
      <c r="J55" s="90">
        <f>IFERROR(E55/F55*1000,"")</f>
        <v/>
      </c>
      <c r="K55" s="87" t="n">
        <v>63</v>
      </c>
      <c r="L55" s="18">
        <f>IFERROR(K55/G55,"")</f>
        <v/>
      </c>
      <c r="M55" s="87" t="n">
        <v>2</v>
      </c>
      <c r="N55" s="89">
        <f>IFERROR(M55/K55,"")</f>
        <v/>
      </c>
      <c r="O55" s="86">
        <f>IFERROR(E55/M55,"")</f>
        <v/>
      </c>
      <c r="P55" s="87" t="n">
        <v>1</v>
      </c>
      <c r="Q55" s="18">
        <f>IFERROR(P55/M55,"")</f>
        <v/>
      </c>
      <c r="R55" s="86">
        <f>IFERROR(E55/P55,"")</f>
        <v/>
      </c>
      <c r="S55" s="18">
        <f>IFERROR(E55/SUMIFS($E$5:$E$76,$A$5:$A$76,$A55),"")</f>
        <v/>
      </c>
      <c r="T55" s="18">
        <f>IFERROR(M55/SUMIFS($M$5:$M$76,$A$5:$A$76,$A55),"")</f>
        <v/>
      </c>
      <c r="U55" s="111">
        <f>IFERROR(O55/(SUMIFS($E$5:$E$76,$A$5:$A$76,$A55)/SUMIFS($M$5:$M$76,$A$5:$A$76,$A55)),"")</f>
        <v/>
      </c>
    </row>
    <row r="56">
      <c r="A56" s="6" t="inlineStr">
        <is>
          <t>Programmatic</t>
        </is>
      </c>
      <c r="B56" s="78" t="inlineStr">
        <is>
          <t>Limpopo</t>
        </is>
      </c>
      <c r="C56" s="78" t="inlineStr">
        <is>
          <t>Non-Metro</t>
        </is>
      </c>
      <c r="D56" s="78" t="inlineStr">
        <is>
          <t>Polokwane</t>
        </is>
      </c>
      <c r="E56" s="86" t="n">
        <v>2306.26</v>
      </c>
      <c r="F56" s="87" t="n">
        <v>87365</v>
      </c>
      <c r="G56" s="87" t="n">
        <v>102</v>
      </c>
      <c r="H56" s="89">
        <f>IFERROR(G56/F56,"")</f>
        <v/>
      </c>
      <c r="I56" s="90">
        <f>IFERROR(E56/G56,"")</f>
        <v/>
      </c>
      <c r="J56" s="90">
        <f>IFERROR(E56/F56*1000,"")</f>
        <v/>
      </c>
      <c r="K56" s="87" t="n">
        <v>65</v>
      </c>
      <c r="L56" s="18">
        <f>IFERROR(K56/G56,"")</f>
        <v/>
      </c>
      <c r="M56" s="87" t="n">
        <v>2</v>
      </c>
      <c r="N56" s="89">
        <f>IFERROR(M56/K56,"")</f>
        <v/>
      </c>
      <c r="O56" s="86">
        <f>IFERROR(E56/M56,"")</f>
        <v/>
      </c>
      <c r="P56" s="87" t="n">
        <v>1</v>
      </c>
      <c r="Q56" s="18">
        <f>IFERROR(P56/M56,"")</f>
        <v/>
      </c>
      <c r="R56" s="86">
        <f>IFERROR(E56/P56,"")</f>
        <v/>
      </c>
      <c r="S56" s="18">
        <f>IFERROR(E56/SUMIFS($E$5:$E$76,$A$5:$A$76,$A56),"")</f>
        <v/>
      </c>
      <c r="T56" s="18">
        <f>IFERROR(M56/SUMIFS($M$5:$M$76,$A$5:$A$76,$A56),"")</f>
        <v/>
      </c>
      <c r="U56" s="111">
        <f>IFERROR(O56/(SUMIFS($E$5:$E$76,$A$5:$A$76,$A56)/SUMIFS($M$5:$M$76,$A$5:$A$76,$A56)),"")</f>
        <v/>
      </c>
    </row>
    <row r="57">
      <c r="A57" s="6" t="inlineStr">
        <is>
          <t>Programmatic</t>
        </is>
      </c>
      <c r="B57" s="78" t="inlineStr">
        <is>
          <t>Northern Cape</t>
        </is>
      </c>
      <c r="C57" s="78" t="inlineStr">
        <is>
          <t>Metro</t>
        </is>
      </c>
      <c r="D57" s="78" t="inlineStr">
        <is>
          <t>Kimberley</t>
        </is>
      </c>
      <c r="E57" s="86" t="n">
        <v>845.3099999999999</v>
      </c>
      <c r="F57" s="87" t="n">
        <v>32022</v>
      </c>
      <c r="G57" s="87" t="n">
        <v>47</v>
      </c>
      <c r="H57" s="89">
        <f>IFERROR(G57/F57,"")</f>
        <v/>
      </c>
      <c r="I57" s="90">
        <f>IFERROR(E57/G57,"")</f>
        <v/>
      </c>
      <c r="J57" s="90">
        <f>IFERROR(E57/F57*1000,"")</f>
        <v/>
      </c>
      <c r="K57" s="87" t="n">
        <v>30</v>
      </c>
      <c r="L57" s="18">
        <f>IFERROR(K57/G57,"")</f>
        <v/>
      </c>
      <c r="M57" s="87" t="n">
        <v>1</v>
      </c>
      <c r="N57" s="89">
        <f>IFERROR(M57/K57,"")</f>
        <v/>
      </c>
      <c r="O57" s="86">
        <f>IFERROR(E57/M57,"")</f>
        <v/>
      </c>
      <c r="P57" s="87" t="n">
        <v>0</v>
      </c>
      <c r="Q57" s="18">
        <f>IFERROR(P57/M57,"")</f>
        <v/>
      </c>
      <c r="R57" s="86">
        <f>IFERROR(E57/P57,"")</f>
        <v/>
      </c>
      <c r="S57" s="18">
        <f>IFERROR(E57/SUMIFS($E$5:$E$76,$A$5:$A$76,$A57),"")</f>
        <v/>
      </c>
      <c r="T57" s="18">
        <f>IFERROR(M57/SUMIFS($M$5:$M$76,$A$5:$A$76,$A57),"")</f>
        <v/>
      </c>
      <c r="U57" s="111">
        <f>IFERROR(O57/(SUMIFS($E$5:$E$76,$A$5:$A$76,$A57)/SUMIFS($M$5:$M$76,$A$5:$A$76,$A57)),"")</f>
        <v/>
      </c>
    </row>
    <row r="58">
      <c r="A58" s="6" t="inlineStr">
        <is>
          <t>Programmatic</t>
        </is>
      </c>
      <c r="B58" s="78" t="inlineStr">
        <is>
          <t>Northern Cape</t>
        </is>
      </c>
      <c r="C58" s="78" t="inlineStr">
        <is>
          <t>Non-Metro</t>
        </is>
      </c>
      <c r="D58" s="78" t="inlineStr">
        <is>
          <t>Kimberley</t>
        </is>
      </c>
      <c r="E58" s="86" t="n">
        <v>1300.19</v>
      </c>
      <c r="F58" s="87" t="n">
        <v>49254</v>
      </c>
      <c r="G58" s="87" t="n">
        <v>53</v>
      </c>
      <c r="H58" s="89">
        <f>IFERROR(G58/F58,"")</f>
        <v/>
      </c>
      <c r="I58" s="90">
        <f>IFERROR(E58/G58,"")</f>
        <v/>
      </c>
      <c r="J58" s="90">
        <f>IFERROR(E58/F58*1000,"")</f>
        <v/>
      </c>
      <c r="K58" s="87" t="n">
        <v>34</v>
      </c>
      <c r="L58" s="18">
        <f>IFERROR(K58/G58,"")</f>
        <v/>
      </c>
      <c r="M58" s="87" t="n">
        <v>1</v>
      </c>
      <c r="N58" s="89">
        <f>IFERROR(M58/K58,"")</f>
        <v/>
      </c>
      <c r="O58" s="86">
        <f>IFERROR(E58/M58,"")</f>
        <v/>
      </c>
      <c r="P58" s="87" t="n">
        <v>1</v>
      </c>
      <c r="Q58" s="18">
        <f>IFERROR(P58/M58,"")</f>
        <v/>
      </c>
      <c r="R58" s="86">
        <f>IFERROR(E58/P58,"")</f>
        <v/>
      </c>
      <c r="S58" s="18">
        <f>IFERROR(E58/SUMIFS($E$5:$E$76,$A$5:$A$76,$A58),"")</f>
        <v/>
      </c>
      <c r="T58" s="18">
        <f>IFERROR(M58/SUMIFS($M$5:$M$76,$A$5:$A$76,$A58),"")</f>
        <v/>
      </c>
      <c r="U58" s="111">
        <f>IFERROR(O58/(SUMIFS($E$5:$E$76,$A$5:$A$76,$A58)/SUMIFS($M$5:$M$76,$A$5:$A$76,$A58)),"")</f>
        <v/>
      </c>
    </row>
    <row r="59">
      <c r="A59" s="6" t="inlineStr">
        <is>
          <t>X</t>
        </is>
      </c>
      <c r="B59" s="78" t="inlineStr">
        <is>
          <t>Gauteng</t>
        </is>
      </c>
      <c r="C59" s="78" t="inlineStr">
        <is>
          <t>Metro</t>
        </is>
      </c>
      <c r="D59" s="78" t="inlineStr">
        <is>
          <t>Johannesburg / Pretoria</t>
        </is>
      </c>
      <c r="E59" s="86" t="n">
        <v>14886.5</v>
      </c>
      <c r="F59" s="87" t="n">
        <v>244938</v>
      </c>
      <c r="G59" s="87" t="n">
        <v>2066</v>
      </c>
      <c r="H59" s="89">
        <f>IFERROR(G59/F59,"")</f>
        <v/>
      </c>
      <c r="I59" s="90">
        <f>IFERROR(E59/G59,"")</f>
        <v/>
      </c>
      <c r="J59" s="90">
        <f>IFERROR(E59/F59*1000,"")</f>
        <v/>
      </c>
      <c r="K59" s="87" t="n">
        <v>1572</v>
      </c>
      <c r="L59" s="18">
        <f>IFERROR(K59/G59,"")</f>
        <v/>
      </c>
      <c r="M59" s="87" t="n">
        <v>26</v>
      </c>
      <c r="N59" s="89">
        <f>IFERROR(M59/K59,"")</f>
        <v/>
      </c>
      <c r="O59" s="86">
        <f>IFERROR(E59/M59,"")</f>
        <v/>
      </c>
      <c r="P59" s="87" t="n">
        <v>17</v>
      </c>
      <c r="Q59" s="18">
        <f>IFERROR(P59/M59,"")</f>
        <v/>
      </c>
      <c r="R59" s="86">
        <f>IFERROR(E59/P59,"")</f>
        <v/>
      </c>
      <c r="S59" s="18">
        <f>IFERROR(E59/SUMIFS($E$5:$E$76,$A$5:$A$76,$A59),"")</f>
        <v/>
      </c>
      <c r="T59" s="18">
        <f>IFERROR(M59/SUMIFS($M$5:$M$76,$A$5:$A$76,$A59),"")</f>
        <v/>
      </c>
      <c r="U59" s="111">
        <f>IFERROR(O59/(SUMIFS($E$5:$E$76,$A$5:$A$76,$A59)/SUMIFS($M$5:$M$76,$A$5:$A$76,$A59)),"")</f>
        <v/>
      </c>
    </row>
    <row r="60">
      <c r="A60" s="6" t="inlineStr">
        <is>
          <t>X</t>
        </is>
      </c>
      <c r="B60" s="78" t="inlineStr">
        <is>
          <t>Gauteng</t>
        </is>
      </c>
      <c r="C60" s="78" t="inlineStr">
        <is>
          <t>Non-Metro</t>
        </is>
      </c>
      <c r="D60" s="78" t="inlineStr">
        <is>
          <t>Johannesburg / Pretoria</t>
        </is>
      </c>
      <c r="E60" s="86" t="n">
        <v>2509.24</v>
      </c>
      <c r="F60" s="87" t="n">
        <v>41286</v>
      </c>
      <c r="G60" s="87" t="n">
        <v>255</v>
      </c>
      <c r="H60" s="89">
        <f>IFERROR(G60/F60,"")</f>
        <v/>
      </c>
      <c r="I60" s="90">
        <f>IFERROR(E60/G60,"")</f>
        <v/>
      </c>
      <c r="J60" s="90">
        <f>IFERROR(E60/F60*1000,"")</f>
        <v/>
      </c>
      <c r="K60" s="87" t="n">
        <v>194</v>
      </c>
      <c r="L60" s="18">
        <f>IFERROR(K60/G60,"")</f>
        <v/>
      </c>
      <c r="M60" s="87" t="n">
        <v>3</v>
      </c>
      <c r="N60" s="89">
        <f>IFERROR(M60/K60,"")</f>
        <v/>
      </c>
      <c r="O60" s="86">
        <f>IFERROR(E60/M60,"")</f>
        <v/>
      </c>
      <c r="P60" s="87" t="n">
        <v>2</v>
      </c>
      <c r="Q60" s="18">
        <f>IFERROR(P60/M60,"")</f>
        <v/>
      </c>
      <c r="R60" s="86">
        <f>IFERROR(E60/P60,"")</f>
        <v/>
      </c>
      <c r="S60" s="18">
        <f>IFERROR(E60/SUMIFS($E$5:$E$76,$A$5:$A$76,$A60),"")</f>
        <v/>
      </c>
      <c r="T60" s="18">
        <f>IFERROR(M60/SUMIFS($M$5:$M$76,$A$5:$A$76,$A60),"")</f>
        <v/>
      </c>
      <c r="U60" s="111">
        <f>IFERROR(O60/(SUMIFS($E$5:$E$76,$A$5:$A$76,$A60)/SUMIFS($M$5:$M$76,$A$5:$A$76,$A60)),"")</f>
        <v/>
      </c>
    </row>
    <row r="61">
      <c r="A61" s="6" t="inlineStr">
        <is>
          <t>X</t>
        </is>
      </c>
      <c r="B61" s="78" t="inlineStr">
        <is>
          <t>Western Cape</t>
        </is>
      </c>
      <c r="C61" s="78" t="inlineStr">
        <is>
          <t>Metro</t>
        </is>
      </c>
      <c r="D61" s="78" t="inlineStr">
        <is>
          <t>Cape Town</t>
        </is>
      </c>
      <c r="E61" s="86" t="n">
        <v>7338.41</v>
      </c>
      <c r="F61" s="87" t="n">
        <v>120744</v>
      </c>
      <c r="G61" s="87" t="n">
        <v>965</v>
      </c>
      <c r="H61" s="89">
        <f>IFERROR(G61/F61,"")</f>
        <v/>
      </c>
      <c r="I61" s="90">
        <f>IFERROR(E61/G61,"")</f>
        <v/>
      </c>
      <c r="J61" s="90">
        <f>IFERROR(E61/F61*1000,"")</f>
        <v/>
      </c>
      <c r="K61" s="87" t="n">
        <v>734</v>
      </c>
      <c r="L61" s="18">
        <f>IFERROR(K61/G61,"")</f>
        <v/>
      </c>
      <c r="M61" s="87" t="n">
        <v>12</v>
      </c>
      <c r="N61" s="89">
        <f>IFERROR(M61/K61,"")</f>
        <v/>
      </c>
      <c r="O61" s="86">
        <f>IFERROR(E61/M61,"")</f>
        <v/>
      </c>
      <c r="P61" s="87" t="n">
        <v>8</v>
      </c>
      <c r="Q61" s="18">
        <f>IFERROR(P61/M61,"")</f>
        <v/>
      </c>
      <c r="R61" s="86">
        <f>IFERROR(E61/P61,"")</f>
        <v/>
      </c>
      <c r="S61" s="18">
        <f>IFERROR(E61/SUMIFS($E$5:$E$76,$A$5:$A$76,$A61),"")</f>
        <v/>
      </c>
      <c r="T61" s="18">
        <f>IFERROR(M61/SUMIFS($M$5:$M$76,$A$5:$A$76,$A61),"")</f>
        <v/>
      </c>
      <c r="U61" s="111">
        <f>IFERROR(O61/(SUMIFS($E$5:$E$76,$A$5:$A$76,$A61)/SUMIFS($M$5:$M$76,$A$5:$A$76,$A61)),"")</f>
        <v/>
      </c>
    </row>
    <row r="62">
      <c r="A62" s="6" t="inlineStr">
        <is>
          <t>X</t>
        </is>
      </c>
      <c r="B62" s="78" t="inlineStr">
        <is>
          <t>Western Cape</t>
        </is>
      </c>
      <c r="C62" s="78" t="inlineStr">
        <is>
          <t>Non-Metro</t>
        </is>
      </c>
      <c r="D62" s="78" t="inlineStr">
        <is>
          <t>Cape Town</t>
        </is>
      </c>
      <c r="E62" s="86" t="n">
        <v>1553.47</v>
      </c>
      <c r="F62" s="87" t="n">
        <v>25560</v>
      </c>
      <c r="G62" s="87" t="n">
        <v>150</v>
      </c>
      <c r="H62" s="89">
        <f>IFERROR(G62/F62,"")</f>
        <v/>
      </c>
      <c r="I62" s="90">
        <f>IFERROR(E62/G62,"")</f>
        <v/>
      </c>
      <c r="J62" s="90">
        <f>IFERROR(E62/F62*1000,"")</f>
        <v/>
      </c>
      <c r="K62" s="87" t="n">
        <v>114</v>
      </c>
      <c r="L62" s="18">
        <f>IFERROR(K62/G62,"")</f>
        <v/>
      </c>
      <c r="M62" s="87" t="n">
        <v>2</v>
      </c>
      <c r="N62" s="89">
        <f>IFERROR(M62/K62,"")</f>
        <v/>
      </c>
      <c r="O62" s="86">
        <f>IFERROR(E62/M62,"")</f>
        <v/>
      </c>
      <c r="P62" s="87" t="n">
        <v>1</v>
      </c>
      <c r="Q62" s="18">
        <f>IFERROR(P62/M62,"")</f>
        <v/>
      </c>
      <c r="R62" s="86">
        <f>IFERROR(E62/P62,"")</f>
        <v/>
      </c>
      <c r="S62" s="18">
        <f>IFERROR(E62/SUMIFS($E$5:$E$76,$A$5:$A$76,$A62),"")</f>
        <v/>
      </c>
      <c r="T62" s="18">
        <f>IFERROR(M62/SUMIFS($M$5:$M$76,$A$5:$A$76,$A62),"")</f>
        <v/>
      </c>
      <c r="U62" s="111">
        <f>IFERROR(O62/(SUMIFS($E$5:$E$76,$A$5:$A$76,$A62)/SUMIFS($M$5:$M$76,$A$5:$A$76,$A62)),"")</f>
        <v/>
      </c>
    </row>
    <row r="63">
      <c r="A63" s="6" t="inlineStr">
        <is>
          <t>X</t>
        </is>
      </c>
      <c r="B63" s="78" t="inlineStr">
        <is>
          <t>KwaZulu-Natal</t>
        </is>
      </c>
      <c r="C63" s="78" t="inlineStr">
        <is>
          <t>Metro</t>
        </is>
      </c>
      <c r="D63" s="78" t="inlineStr">
        <is>
          <t>Durban / eThekwini</t>
        </is>
      </c>
      <c r="E63" s="86" t="n">
        <v>5837.37</v>
      </c>
      <c r="F63" s="87" t="n">
        <v>96047</v>
      </c>
      <c r="G63" s="87" t="n">
        <v>725</v>
      </c>
      <c r="H63" s="89">
        <f>IFERROR(G63/F63,"")</f>
        <v/>
      </c>
      <c r="I63" s="90">
        <f>IFERROR(E63/G63,"")</f>
        <v/>
      </c>
      <c r="J63" s="90">
        <f>IFERROR(E63/F63*1000,"")</f>
        <v/>
      </c>
      <c r="K63" s="87" t="n">
        <v>552</v>
      </c>
      <c r="L63" s="18">
        <f>IFERROR(K63/G63,"")</f>
        <v/>
      </c>
      <c r="M63" s="87" t="n">
        <v>9</v>
      </c>
      <c r="N63" s="89">
        <f>IFERROR(M63/K63,"")</f>
        <v/>
      </c>
      <c r="O63" s="86">
        <f>IFERROR(E63/M63,"")</f>
        <v/>
      </c>
      <c r="P63" s="87" t="n">
        <v>6</v>
      </c>
      <c r="Q63" s="18">
        <f>IFERROR(P63/M63,"")</f>
        <v/>
      </c>
      <c r="R63" s="86">
        <f>IFERROR(E63/P63,"")</f>
        <v/>
      </c>
      <c r="S63" s="18">
        <f>IFERROR(E63/SUMIFS($E$5:$E$76,$A$5:$A$76,$A63),"")</f>
        <v/>
      </c>
      <c r="T63" s="18">
        <f>IFERROR(M63/SUMIFS($M$5:$M$76,$A$5:$A$76,$A63),"")</f>
        <v/>
      </c>
      <c r="U63" s="111">
        <f>IFERROR(O63/(SUMIFS($E$5:$E$76,$A$5:$A$76,$A63)/SUMIFS($M$5:$M$76,$A$5:$A$76,$A63)),"")</f>
        <v/>
      </c>
    </row>
    <row r="64">
      <c r="A64" s="6" t="inlineStr">
        <is>
          <t>X</t>
        </is>
      </c>
      <c r="B64" s="78" t="inlineStr">
        <is>
          <t>KwaZulu-Natal</t>
        </is>
      </c>
      <c r="C64" s="78" t="inlineStr">
        <is>
          <t>Non-Metro</t>
        </is>
      </c>
      <c r="D64" s="78" t="inlineStr">
        <is>
          <t>Durban / eThekwini</t>
        </is>
      </c>
      <c r="E64" s="86" t="n">
        <v>2010.66</v>
      </c>
      <c r="F64" s="87" t="n">
        <v>33083</v>
      </c>
      <c r="G64" s="87" t="n">
        <v>183</v>
      </c>
      <c r="H64" s="89">
        <f>IFERROR(G64/F64,"")</f>
        <v/>
      </c>
      <c r="I64" s="90">
        <f>IFERROR(E64/G64,"")</f>
        <v/>
      </c>
      <c r="J64" s="90">
        <f>IFERROR(E64/F64*1000,"")</f>
        <v/>
      </c>
      <c r="K64" s="87" t="n">
        <v>139</v>
      </c>
      <c r="L64" s="18">
        <f>IFERROR(K64/G64,"")</f>
        <v/>
      </c>
      <c r="M64" s="87" t="n">
        <v>2</v>
      </c>
      <c r="N64" s="89">
        <f>IFERROR(M64/K64,"")</f>
        <v/>
      </c>
      <c r="O64" s="86">
        <f>IFERROR(E64/M64,"")</f>
        <v/>
      </c>
      <c r="P64" s="87" t="n">
        <v>2</v>
      </c>
      <c r="Q64" s="18">
        <f>IFERROR(P64/M64,"")</f>
        <v/>
      </c>
      <c r="R64" s="86">
        <f>IFERROR(E64/P64,"")</f>
        <v/>
      </c>
      <c r="S64" s="18">
        <f>IFERROR(E64/SUMIFS($E$5:$E$76,$A$5:$A$76,$A64),"")</f>
        <v/>
      </c>
      <c r="T64" s="18">
        <f>IFERROR(M64/SUMIFS($M$5:$M$76,$A$5:$A$76,$A64),"")</f>
        <v/>
      </c>
      <c r="U64" s="111">
        <f>IFERROR(O64/(SUMIFS($E$5:$E$76,$A$5:$A$76,$A64)/SUMIFS($M$5:$M$76,$A$5:$A$76,$A64)),"")</f>
        <v/>
      </c>
    </row>
    <row r="65">
      <c r="A65" s="6" t="inlineStr">
        <is>
          <t>X</t>
        </is>
      </c>
      <c r="B65" s="78" t="inlineStr">
        <is>
          <t>Eastern Cape</t>
        </is>
      </c>
      <c r="C65" s="78" t="inlineStr">
        <is>
          <t>Metro</t>
        </is>
      </c>
      <c r="D65" s="78" t="inlineStr">
        <is>
          <t>Gqeberha / East London</t>
        </is>
      </c>
      <c r="E65" s="86" t="n">
        <v>2645.35</v>
      </c>
      <c r="F65" s="87" t="n">
        <v>43526</v>
      </c>
      <c r="G65" s="87" t="n">
        <v>283</v>
      </c>
      <c r="H65" s="89">
        <f>IFERROR(G65/F65,"")</f>
        <v/>
      </c>
      <c r="I65" s="90">
        <f>IFERROR(E65/G65,"")</f>
        <v/>
      </c>
      <c r="J65" s="90">
        <f>IFERROR(E65/F65*1000,"")</f>
        <v/>
      </c>
      <c r="K65" s="87" t="n">
        <v>216</v>
      </c>
      <c r="L65" s="18">
        <f>IFERROR(K65/G65,"")</f>
        <v/>
      </c>
      <c r="M65" s="87" t="n">
        <v>4</v>
      </c>
      <c r="N65" s="89">
        <f>IFERROR(M65/K65,"")</f>
        <v/>
      </c>
      <c r="O65" s="86">
        <f>IFERROR(E65/M65,"")</f>
        <v/>
      </c>
      <c r="P65" s="87" t="n">
        <v>2</v>
      </c>
      <c r="Q65" s="18">
        <f>IFERROR(P65/M65,"")</f>
        <v/>
      </c>
      <c r="R65" s="86">
        <f>IFERROR(E65/P65,"")</f>
        <v/>
      </c>
      <c r="S65" s="18">
        <f>IFERROR(E65/SUMIFS($E$5:$E$76,$A$5:$A$76,$A65),"")</f>
        <v/>
      </c>
      <c r="T65" s="18">
        <f>IFERROR(M65/SUMIFS($M$5:$M$76,$A$5:$A$76,$A65),"")</f>
        <v/>
      </c>
      <c r="U65" s="111">
        <f>IFERROR(O65/(SUMIFS($E$5:$E$76,$A$5:$A$76,$A65)/SUMIFS($M$5:$M$76,$A$5:$A$76,$A65)),"")</f>
        <v/>
      </c>
    </row>
    <row r="66">
      <c r="A66" s="6" t="inlineStr">
        <is>
          <t>X</t>
        </is>
      </c>
      <c r="B66" s="78" t="inlineStr">
        <is>
          <t>Eastern Cape</t>
        </is>
      </c>
      <c r="C66" s="78" t="inlineStr">
        <is>
          <t>Non-Metro</t>
        </is>
      </c>
      <c r="D66" s="78" t="inlineStr">
        <is>
          <t>Gqeberha / East London</t>
        </is>
      </c>
      <c r="E66" s="86" t="n">
        <v>1502.03</v>
      </c>
      <c r="F66" s="87" t="n">
        <v>24714</v>
      </c>
      <c r="G66" s="87" t="n">
        <v>118</v>
      </c>
      <c r="H66" s="89">
        <f>IFERROR(G66/F66,"")</f>
        <v/>
      </c>
      <c r="I66" s="90">
        <f>IFERROR(E66/G66,"")</f>
        <v/>
      </c>
      <c r="J66" s="90">
        <f>IFERROR(E66/F66*1000,"")</f>
        <v/>
      </c>
      <c r="K66" s="87" t="n">
        <v>90</v>
      </c>
      <c r="L66" s="18">
        <f>IFERROR(K66/G66,"")</f>
        <v/>
      </c>
      <c r="M66" s="87" t="n">
        <v>2</v>
      </c>
      <c r="N66" s="89">
        <f>IFERROR(M66/K66,"")</f>
        <v/>
      </c>
      <c r="O66" s="86">
        <f>IFERROR(E66/M66,"")</f>
        <v/>
      </c>
      <c r="P66" s="87" t="n">
        <v>1</v>
      </c>
      <c r="Q66" s="18">
        <f>IFERROR(P66/M66,"")</f>
        <v/>
      </c>
      <c r="R66" s="86">
        <f>IFERROR(E66/P66,"")</f>
        <v/>
      </c>
      <c r="S66" s="18">
        <f>IFERROR(E66/SUMIFS($E$5:$E$76,$A$5:$A$76,$A66),"")</f>
        <v/>
      </c>
      <c r="T66" s="18">
        <f>IFERROR(M66/SUMIFS($M$5:$M$76,$A$5:$A$76,$A66),"")</f>
        <v/>
      </c>
      <c r="U66" s="111">
        <f>IFERROR(O66/(SUMIFS($E$5:$E$76,$A$5:$A$76,$A66)/SUMIFS($M$5:$M$76,$A$5:$A$76,$A66)),"")</f>
        <v/>
      </c>
    </row>
    <row r="67">
      <c r="A67" s="6" t="inlineStr">
        <is>
          <t>X</t>
        </is>
      </c>
      <c r="B67" s="78" t="inlineStr">
        <is>
          <t>Mpumalanga</t>
        </is>
      </c>
      <c r="C67" s="78" t="inlineStr">
        <is>
          <t>Metro</t>
        </is>
      </c>
      <c r="D67" s="78" t="inlineStr">
        <is>
          <t>Mbombela</t>
        </is>
      </c>
      <c r="E67" s="86" t="n">
        <v>1351.67</v>
      </c>
      <c r="F67" s="87" t="n">
        <v>22240</v>
      </c>
      <c r="G67" s="87" t="n">
        <v>138</v>
      </c>
      <c r="H67" s="89">
        <f>IFERROR(G67/F67,"")</f>
        <v/>
      </c>
      <c r="I67" s="90">
        <f>IFERROR(E67/G67,"")</f>
        <v/>
      </c>
      <c r="J67" s="90">
        <f>IFERROR(E67/F67*1000,"")</f>
        <v/>
      </c>
      <c r="K67" s="87" t="n">
        <v>105</v>
      </c>
      <c r="L67" s="18">
        <f>IFERROR(K67/G67,"")</f>
        <v/>
      </c>
      <c r="M67" s="87" t="n">
        <v>2</v>
      </c>
      <c r="N67" s="89">
        <f>IFERROR(M67/K67,"")</f>
        <v/>
      </c>
      <c r="O67" s="86">
        <f>IFERROR(E67/M67,"")</f>
        <v/>
      </c>
      <c r="P67" s="87" t="n">
        <v>1</v>
      </c>
      <c r="Q67" s="18">
        <f>IFERROR(P67/M67,"")</f>
        <v/>
      </c>
      <c r="R67" s="86">
        <f>IFERROR(E67/P67,"")</f>
        <v/>
      </c>
      <c r="S67" s="18">
        <f>IFERROR(E67/SUMIFS($E$5:$E$76,$A$5:$A$76,$A67),"")</f>
        <v/>
      </c>
      <c r="T67" s="18">
        <f>IFERROR(M67/SUMIFS($M$5:$M$76,$A$5:$A$76,$A67),"")</f>
        <v/>
      </c>
      <c r="U67" s="111">
        <f>IFERROR(O67/(SUMIFS($E$5:$E$76,$A$5:$A$76,$A67)/SUMIFS($M$5:$M$76,$A$5:$A$76,$A67)),"")</f>
        <v/>
      </c>
    </row>
    <row r="68">
      <c r="A68" s="6" t="inlineStr">
        <is>
          <t>X</t>
        </is>
      </c>
      <c r="B68" s="78" t="inlineStr">
        <is>
          <t>Mpumalanga</t>
        </is>
      </c>
      <c r="C68" s="78" t="inlineStr">
        <is>
          <t>Non-Metro</t>
        </is>
      </c>
      <c r="D68" s="78" t="inlineStr">
        <is>
          <t>Mbombela</t>
        </is>
      </c>
      <c r="E68" s="86" t="n">
        <v>1369.4</v>
      </c>
      <c r="F68" s="87" t="n">
        <v>22532</v>
      </c>
      <c r="G68" s="87" t="n">
        <v>103</v>
      </c>
      <c r="H68" s="89">
        <f>IFERROR(G68/F68,"")</f>
        <v/>
      </c>
      <c r="I68" s="90">
        <f>IFERROR(E68/G68,"")</f>
        <v/>
      </c>
      <c r="J68" s="90">
        <f>IFERROR(E68/F68*1000,"")</f>
        <v/>
      </c>
      <c r="K68" s="87" t="n">
        <v>78</v>
      </c>
      <c r="L68" s="18">
        <f>IFERROR(K68/G68,"")</f>
        <v/>
      </c>
      <c r="M68" s="87" t="n">
        <v>1</v>
      </c>
      <c r="N68" s="89">
        <f>IFERROR(M68/K68,"")</f>
        <v/>
      </c>
      <c r="O68" s="86">
        <f>IFERROR(E68/M68,"")</f>
        <v/>
      </c>
      <c r="P68" s="87" t="n">
        <v>1</v>
      </c>
      <c r="Q68" s="18">
        <f>IFERROR(P68/M68,"")</f>
        <v/>
      </c>
      <c r="R68" s="86">
        <f>IFERROR(E68/P68,"")</f>
        <v/>
      </c>
      <c r="S68" s="18">
        <f>IFERROR(E68/SUMIFS($E$5:$E$76,$A$5:$A$76,$A68),"")</f>
        <v/>
      </c>
      <c r="T68" s="18">
        <f>IFERROR(M68/SUMIFS($M$5:$M$76,$A$5:$A$76,$A68),"")</f>
        <v/>
      </c>
      <c r="U68" s="111">
        <f>IFERROR(O68/(SUMIFS($E$5:$E$76,$A$5:$A$76,$A68)/SUMIFS($M$5:$M$76,$A$5:$A$76,$A68)),"")</f>
        <v/>
      </c>
    </row>
    <row r="69">
      <c r="A69" s="6" t="inlineStr">
        <is>
          <t>X</t>
        </is>
      </c>
      <c r="B69" s="78" t="inlineStr">
        <is>
          <t>North West</t>
        </is>
      </c>
      <c r="C69" s="78" t="inlineStr">
        <is>
          <t>Metro</t>
        </is>
      </c>
      <c r="D69" s="78" t="inlineStr">
        <is>
          <t>Rustenburg</t>
        </is>
      </c>
      <c r="E69" s="86" t="n">
        <v>844.95</v>
      </c>
      <c r="F69" s="87" t="n">
        <v>13903</v>
      </c>
      <c r="G69" s="87" t="n">
        <v>82</v>
      </c>
      <c r="H69" s="89">
        <f>IFERROR(G69/F69,"")</f>
        <v/>
      </c>
      <c r="I69" s="90">
        <f>IFERROR(E69/G69,"")</f>
        <v/>
      </c>
      <c r="J69" s="90">
        <f>IFERROR(E69/F69*1000,"")</f>
        <v/>
      </c>
      <c r="K69" s="87" t="n">
        <v>62</v>
      </c>
      <c r="L69" s="18">
        <f>IFERROR(K69/G69,"")</f>
        <v/>
      </c>
      <c r="M69" s="87" t="n">
        <v>1</v>
      </c>
      <c r="N69" s="89">
        <f>IFERROR(M69/K69,"")</f>
        <v/>
      </c>
      <c r="O69" s="86">
        <f>IFERROR(E69/M69,"")</f>
        <v/>
      </c>
      <c r="P69" s="87" t="n">
        <v>1</v>
      </c>
      <c r="Q69" s="18">
        <f>IFERROR(P69/M69,"")</f>
        <v/>
      </c>
      <c r="R69" s="86">
        <f>IFERROR(E69/P69,"")</f>
        <v/>
      </c>
      <c r="S69" s="18">
        <f>IFERROR(E69/SUMIFS($E$5:$E$76,$A$5:$A$76,$A69),"")</f>
        <v/>
      </c>
      <c r="T69" s="18">
        <f>IFERROR(M69/SUMIFS($M$5:$M$76,$A$5:$A$76,$A69),"")</f>
        <v/>
      </c>
      <c r="U69" s="111">
        <f>IFERROR(O69/(SUMIFS($E$5:$E$76,$A$5:$A$76,$A69)/SUMIFS($M$5:$M$76,$A$5:$A$76,$A69)),"")</f>
        <v/>
      </c>
    </row>
    <row r="70">
      <c r="A70" s="6" t="inlineStr">
        <is>
          <t>X</t>
        </is>
      </c>
      <c r="B70" s="78" t="inlineStr">
        <is>
          <t>North West</t>
        </is>
      </c>
      <c r="C70" s="78" t="inlineStr">
        <is>
          <t>Non-Metro</t>
        </is>
      </c>
      <c r="D70" s="78" t="inlineStr">
        <is>
          <t>Rustenburg</t>
        </is>
      </c>
      <c r="E70" s="86" t="n">
        <v>1176.05</v>
      </c>
      <c r="F70" s="87" t="n">
        <v>19351</v>
      </c>
      <c r="G70" s="87" t="n">
        <v>84</v>
      </c>
      <c r="H70" s="89">
        <f>IFERROR(G70/F70,"")</f>
        <v/>
      </c>
      <c r="I70" s="90">
        <f>IFERROR(E70/G70,"")</f>
        <v/>
      </c>
      <c r="J70" s="90">
        <f>IFERROR(E70/F70*1000,"")</f>
        <v/>
      </c>
      <c r="K70" s="87" t="n">
        <v>64</v>
      </c>
      <c r="L70" s="18">
        <f>IFERROR(K70/G70,"")</f>
        <v/>
      </c>
      <c r="M70" s="87" t="n">
        <v>1</v>
      </c>
      <c r="N70" s="89">
        <f>IFERROR(M70/K70,"")</f>
        <v/>
      </c>
      <c r="O70" s="86">
        <f>IFERROR(E70/M70,"")</f>
        <v/>
      </c>
      <c r="P70" s="87" t="n">
        <v>1</v>
      </c>
      <c r="Q70" s="18">
        <f>IFERROR(P70/M70,"")</f>
        <v/>
      </c>
      <c r="R70" s="86">
        <f>IFERROR(E70/P70,"")</f>
        <v/>
      </c>
      <c r="S70" s="18">
        <f>IFERROR(E70/SUMIFS($E$5:$E$76,$A$5:$A$76,$A70),"")</f>
        <v/>
      </c>
      <c r="T70" s="18">
        <f>IFERROR(M70/SUMIFS($M$5:$M$76,$A$5:$A$76,$A70),"")</f>
        <v/>
      </c>
      <c r="U70" s="111">
        <f>IFERROR(O70/(SUMIFS($E$5:$E$76,$A$5:$A$76,$A70)/SUMIFS($M$5:$M$76,$A$5:$A$76,$A70)),"")</f>
        <v/>
      </c>
    </row>
    <row r="71">
      <c r="A71" s="6" t="inlineStr">
        <is>
          <t>X</t>
        </is>
      </c>
      <c r="B71" s="78" t="inlineStr">
        <is>
          <t>Free State</t>
        </is>
      </c>
      <c r="C71" s="78" t="inlineStr">
        <is>
          <t>Metro</t>
        </is>
      </c>
      <c r="D71" s="78" t="inlineStr">
        <is>
          <t>Bloemfontein</t>
        </is>
      </c>
      <c r="E71" s="86" t="n">
        <v>1114.54</v>
      </c>
      <c r="F71" s="87" t="n">
        <v>18338</v>
      </c>
      <c r="G71" s="87" t="n">
        <v>117</v>
      </c>
      <c r="H71" s="89">
        <f>IFERROR(G71/F71,"")</f>
        <v/>
      </c>
      <c r="I71" s="90">
        <f>IFERROR(E71/G71,"")</f>
        <v/>
      </c>
      <c r="J71" s="90">
        <f>IFERROR(E71/F71*1000,"")</f>
        <v/>
      </c>
      <c r="K71" s="87" t="n">
        <v>89</v>
      </c>
      <c r="L71" s="18">
        <f>IFERROR(K71/G71,"")</f>
        <v/>
      </c>
      <c r="M71" s="87" t="n">
        <v>2</v>
      </c>
      <c r="N71" s="89">
        <f>IFERROR(M71/K71,"")</f>
        <v/>
      </c>
      <c r="O71" s="86">
        <f>IFERROR(E71/M71,"")</f>
        <v/>
      </c>
      <c r="P71" s="87" t="n">
        <v>1</v>
      </c>
      <c r="Q71" s="18">
        <f>IFERROR(P71/M71,"")</f>
        <v/>
      </c>
      <c r="R71" s="86">
        <f>IFERROR(E71/P71,"")</f>
        <v/>
      </c>
      <c r="S71" s="18">
        <f>IFERROR(E71/SUMIFS($E$5:$E$76,$A$5:$A$76,$A71),"")</f>
        <v/>
      </c>
      <c r="T71" s="18">
        <f>IFERROR(M71/SUMIFS($M$5:$M$76,$A$5:$A$76,$A71),"")</f>
        <v/>
      </c>
      <c r="U71" s="111">
        <f>IFERROR(O71/(SUMIFS($E$5:$E$76,$A$5:$A$76,$A71)/SUMIFS($M$5:$M$76,$A$5:$A$76,$A71)),"")</f>
        <v/>
      </c>
    </row>
    <row r="72">
      <c r="A72" s="6" t="inlineStr">
        <is>
          <t>X</t>
        </is>
      </c>
      <c r="B72" s="78" t="inlineStr">
        <is>
          <t>Free State</t>
        </is>
      </c>
      <c r="C72" s="78" t="inlineStr">
        <is>
          <t>Non-Metro</t>
        </is>
      </c>
      <c r="D72" s="78" t="inlineStr">
        <is>
          <t>Bloemfontein</t>
        </is>
      </c>
      <c r="E72" s="86" t="n">
        <v>838.66</v>
      </c>
      <c r="F72" s="87" t="n">
        <v>13799</v>
      </c>
      <c r="G72" s="87" t="n">
        <v>64</v>
      </c>
      <c r="H72" s="89">
        <f>IFERROR(G72/F72,"")</f>
        <v/>
      </c>
      <c r="I72" s="90">
        <f>IFERROR(E72/G72,"")</f>
        <v/>
      </c>
      <c r="J72" s="90">
        <f>IFERROR(E72/F72*1000,"")</f>
        <v/>
      </c>
      <c r="K72" s="87" t="n">
        <v>49</v>
      </c>
      <c r="L72" s="18">
        <f>IFERROR(K72/G72,"")</f>
        <v/>
      </c>
      <c r="M72" s="87" t="n">
        <v>1</v>
      </c>
      <c r="N72" s="89">
        <f>IFERROR(M72/K72,"")</f>
        <v/>
      </c>
      <c r="O72" s="86">
        <f>IFERROR(E72/M72,"")</f>
        <v/>
      </c>
      <c r="P72" s="87" t="n">
        <v>1</v>
      </c>
      <c r="Q72" s="18">
        <f>IFERROR(P72/M72,"")</f>
        <v/>
      </c>
      <c r="R72" s="86">
        <f>IFERROR(E72/P72,"")</f>
        <v/>
      </c>
      <c r="S72" s="18">
        <f>IFERROR(E72/SUMIFS($E$5:$E$76,$A$5:$A$76,$A72),"")</f>
        <v/>
      </c>
      <c r="T72" s="18">
        <f>IFERROR(M72/SUMIFS($M$5:$M$76,$A$5:$A$76,$A72),"")</f>
        <v/>
      </c>
      <c r="U72" s="111">
        <f>IFERROR(O72/(SUMIFS($E$5:$E$76,$A$5:$A$76,$A72)/SUMIFS($M$5:$M$76,$A$5:$A$76,$A72)),"")</f>
        <v/>
      </c>
    </row>
    <row r="73">
      <c r="A73" s="6" t="inlineStr">
        <is>
          <t>X</t>
        </is>
      </c>
      <c r="B73" s="78" t="inlineStr">
        <is>
          <t>Limpopo</t>
        </is>
      </c>
      <c r="C73" s="78" t="inlineStr">
        <is>
          <t>Metro</t>
        </is>
      </c>
      <c r="D73" s="78" t="inlineStr">
        <is>
          <t>Polokwane</t>
        </is>
      </c>
      <c r="E73" s="86" t="n">
        <v>792.9400000000001</v>
      </c>
      <c r="F73" s="87" t="n">
        <v>13047</v>
      </c>
      <c r="G73" s="87" t="n">
        <v>72</v>
      </c>
      <c r="H73" s="89">
        <f>IFERROR(G73/F73,"")</f>
        <v/>
      </c>
      <c r="I73" s="90">
        <f>IFERROR(E73/G73,"")</f>
        <v/>
      </c>
      <c r="J73" s="90">
        <f>IFERROR(E73/F73*1000,"")</f>
        <v/>
      </c>
      <c r="K73" s="87" t="n">
        <v>55</v>
      </c>
      <c r="L73" s="18">
        <f>IFERROR(K73/G73,"")</f>
        <v/>
      </c>
      <c r="M73" s="87" t="n">
        <v>1</v>
      </c>
      <c r="N73" s="89">
        <f>IFERROR(M73/K73,"")</f>
        <v/>
      </c>
      <c r="O73" s="86">
        <f>IFERROR(E73/M73,"")</f>
        <v/>
      </c>
      <c r="P73" s="87" t="n">
        <v>1</v>
      </c>
      <c r="Q73" s="18">
        <f>IFERROR(P73/M73,"")</f>
        <v/>
      </c>
      <c r="R73" s="86">
        <f>IFERROR(E73/P73,"")</f>
        <v/>
      </c>
      <c r="S73" s="18">
        <f>IFERROR(E73/SUMIFS($E$5:$E$76,$A$5:$A$76,$A73),"")</f>
        <v/>
      </c>
      <c r="T73" s="18">
        <f>IFERROR(M73/SUMIFS($M$5:$M$76,$A$5:$A$76,$A73),"")</f>
        <v/>
      </c>
      <c r="U73" s="111">
        <f>IFERROR(O73/(SUMIFS($E$5:$E$76,$A$5:$A$76,$A73)/SUMIFS($M$5:$M$76,$A$5:$A$76,$A73)),"")</f>
        <v/>
      </c>
    </row>
    <row r="74">
      <c r="A74" s="6" t="inlineStr">
        <is>
          <t>X</t>
        </is>
      </c>
      <c r="B74" s="78" t="inlineStr">
        <is>
          <t>Limpopo</t>
        </is>
      </c>
      <c r="C74" s="78" t="inlineStr">
        <is>
          <t>Non-Metro</t>
        </is>
      </c>
      <c r="D74" s="78" t="inlineStr">
        <is>
          <t>Polokwane</t>
        </is>
      </c>
      <c r="E74" s="86" t="n">
        <v>1141.46</v>
      </c>
      <c r="F74" s="87" t="n">
        <v>18781</v>
      </c>
      <c r="G74" s="87" t="n">
        <v>76</v>
      </c>
      <c r="H74" s="89">
        <f>IFERROR(G74/F74,"")</f>
        <v/>
      </c>
      <c r="I74" s="90">
        <f>IFERROR(E74/G74,"")</f>
        <v/>
      </c>
      <c r="J74" s="90">
        <f>IFERROR(E74/F74*1000,"")</f>
        <v/>
      </c>
      <c r="K74" s="87" t="n">
        <v>58</v>
      </c>
      <c r="L74" s="18">
        <f>IFERROR(K74/G74,"")</f>
        <v/>
      </c>
      <c r="M74" s="87" t="n">
        <v>1</v>
      </c>
      <c r="N74" s="89">
        <f>IFERROR(M74/K74,"")</f>
        <v/>
      </c>
      <c r="O74" s="86">
        <f>IFERROR(E74/M74,"")</f>
        <v/>
      </c>
      <c r="P74" s="87" t="n">
        <v>1</v>
      </c>
      <c r="Q74" s="18">
        <f>IFERROR(P74/M74,"")</f>
        <v/>
      </c>
      <c r="R74" s="86">
        <f>IFERROR(E74/P74,"")</f>
        <v/>
      </c>
      <c r="S74" s="18">
        <f>IFERROR(E74/SUMIFS($E$5:$E$76,$A$5:$A$76,$A74),"")</f>
        <v/>
      </c>
      <c r="T74" s="18">
        <f>IFERROR(M74/SUMIFS($M$5:$M$76,$A$5:$A$76,$A74),"")</f>
        <v/>
      </c>
      <c r="U74" s="111">
        <f>IFERROR(O74/(SUMIFS($E$5:$E$76,$A$5:$A$76,$A74)/SUMIFS($M$5:$M$76,$A$5:$A$76,$A74)),"")</f>
        <v/>
      </c>
    </row>
    <row r="75">
      <c r="A75" s="6" t="inlineStr">
        <is>
          <t>X</t>
        </is>
      </c>
      <c r="B75" s="78" t="inlineStr">
        <is>
          <t>Northern Cape</t>
        </is>
      </c>
      <c r="C75" s="78" t="inlineStr">
        <is>
          <t>Metro</t>
        </is>
      </c>
      <c r="D75" s="78" t="inlineStr">
        <is>
          <t>Kimberley</t>
        </is>
      </c>
      <c r="E75" s="86" t="n">
        <v>406.61</v>
      </c>
      <c r="F75" s="87" t="n">
        <v>6690</v>
      </c>
      <c r="G75" s="87" t="n">
        <v>34</v>
      </c>
      <c r="H75" s="89">
        <f>IFERROR(G75/F75,"")</f>
        <v/>
      </c>
      <c r="I75" s="90">
        <f>IFERROR(E75/G75,"")</f>
        <v/>
      </c>
      <c r="J75" s="90">
        <f>IFERROR(E75/F75*1000,"")</f>
        <v/>
      </c>
      <c r="K75" s="87" t="n">
        <v>26</v>
      </c>
      <c r="L75" s="18">
        <f>IFERROR(K75/G75,"")</f>
        <v/>
      </c>
      <c r="M75" s="87" t="n">
        <v>0</v>
      </c>
      <c r="N75" s="89">
        <f>IFERROR(M75/K75,"")</f>
        <v/>
      </c>
      <c r="O75" s="86">
        <f>IFERROR(E75/M75,"")</f>
        <v/>
      </c>
      <c r="P75" s="87" t="n">
        <v>0</v>
      </c>
      <c r="Q75" s="18">
        <f>IFERROR(P75/M75,"")</f>
        <v/>
      </c>
      <c r="R75" s="86">
        <f>IFERROR(E75/P75,"")</f>
        <v/>
      </c>
      <c r="S75" s="18">
        <f>IFERROR(E75/SUMIFS($E$5:$E$76,$A$5:$A$76,$A75),"")</f>
        <v/>
      </c>
      <c r="T75" s="18">
        <f>IFERROR(M75/SUMIFS($M$5:$M$76,$A$5:$A$76,$A75),"")</f>
        <v/>
      </c>
      <c r="U75" s="111">
        <f>IFERROR(O75/(SUMIFS($E$5:$E$76,$A$5:$A$76,$A75)/SUMIFS($M$5:$M$76,$A$5:$A$76,$A75)),"")</f>
        <v/>
      </c>
    </row>
    <row r="76">
      <c r="A76" s="6" t="inlineStr">
        <is>
          <t>X</t>
        </is>
      </c>
      <c r="B76" s="78" t="inlineStr">
        <is>
          <t>Northern Cape</t>
        </is>
      </c>
      <c r="C76" s="78" t="inlineStr">
        <is>
          <t>Non-Metro</t>
        </is>
      </c>
      <c r="D76" s="78" t="inlineStr">
        <is>
          <t>Kimberley</t>
        </is>
      </c>
      <c r="E76" s="86" t="n">
        <v>680.6900000000001</v>
      </c>
      <c r="F76" s="87" t="n">
        <v>11200</v>
      </c>
      <c r="G76" s="87" t="n">
        <v>42</v>
      </c>
      <c r="H76" s="89">
        <f>IFERROR(G76/F76,"")</f>
        <v/>
      </c>
      <c r="I76" s="90">
        <f>IFERROR(E76/G76,"")</f>
        <v/>
      </c>
      <c r="J76" s="90">
        <f>IFERROR(E76/F76*1000,"")</f>
        <v/>
      </c>
      <c r="K76" s="87" t="n">
        <v>32</v>
      </c>
      <c r="L76" s="18">
        <f>IFERROR(K76/G76,"")</f>
        <v/>
      </c>
      <c r="M76" s="87" t="n">
        <v>1</v>
      </c>
      <c r="N76" s="89">
        <f>IFERROR(M76/K76,"")</f>
        <v/>
      </c>
      <c r="O76" s="86">
        <f>IFERROR(E76/M76,"")</f>
        <v/>
      </c>
      <c r="P76" s="87" t="n">
        <v>0</v>
      </c>
      <c r="Q76" s="18">
        <f>IFERROR(P76/M76,"")</f>
        <v/>
      </c>
      <c r="R76" s="86">
        <f>IFERROR(E76/P76,"")</f>
        <v/>
      </c>
      <c r="S76" s="18">
        <f>IFERROR(E76/SUMIFS($E$5:$E$76,$A$5:$A$76,$A76),"")</f>
        <v/>
      </c>
      <c r="T76" s="18">
        <f>IFERROR(M76/SUMIFS($M$5:$M$76,$A$5:$A$76,$A76),"")</f>
        <v/>
      </c>
      <c r="U76" s="111">
        <f>IFERROR(O76/(SUMIFS($E$5:$E$76,$A$5:$A$76,$A76)/SUMIFS($M$5:$M$76,$A$5:$A$76,$A76)),"")</f>
        <v/>
      </c>
    </row>
    <row r="77">
      <c r="A77" s="19" t="inlineStr">
        <is>
          <t>TOTAL</t>
        </is>
      </c>
      <c r="B77" s="32" t="n"/>
      <c r="C77" s="32" t="n"/>
      <c r="D77" s="32" t="n"/>
      <c r="E77" s="91">
        <f>SUM(E5:E76)</f>
        <v/>
      </c>
      <c r="F77" s="92">
        <f>SUM(F5:F76)</f>
        <v/>
      </c>
      <c r="G77" s="92">
        <f>SUM(G5:G76)</f>
        <v/>
      </c>
      <c r="H77" s="94">
        <f>IFERROR(G77/F77,"")</f>
        <v/>
      </c>
      <c r="I77" s="95">
        <f>IFERROR(E77/G77,"")</f>
        <v/>
      </c>
      <c r="J77" s="95">
        <f>IFERROR(E77/F77*1000,"")</f>
        <v/>
      </c>
      <c r="K77" s="92">
        <f>SUM(K5:K76)</f>
        <v/>
      </c>
      <c r="L77" s="25">
        <f>IFERROR(K77/G77,"")</f>
        <v/>
      </c>
      <c r="M77" s="92">
        <f>SUM(M5:M76)</f>
        <v/>
      </c>
      <c r="N77" s="94">
        <f>IFERROR(M77/K77,"")</f>
        <v/>
      </c>
      <c r="O77" s="91">
        <f>IFERROR(E77/M77,"")</f>
        <v/>
      </c>
      <c r="P77" s="92">
        <f>SUM(P5:P76)</f>
        <v/>
      </c>
      <c r="Q77" s="25">
        <f>IFERROR(P77/M77,"")</f>
        <v/>
      </c>
      <c r="R77" s="91">
        <f>IFERROR(E77/P77,"")</f>
        <v/>
      </c>
      <c r="S77" s="25">
        <f>SUM(S5:S76)</f>
        <v/>
      </c>
      <c r="T77" s="25">
        <f>SUM(T5:T76)</f>
        <v/>
      </c>
      <c r="U77" s="112">
        <f>1</f>
        <v/>
      </c>
    </row>
  </sheetData>
  <autoFilter ref="A4:U76"/>
  <mergeCells count="2">
    <mergeCell ref="A1:J1"/>
    <mergeCell ref="A2:J2"/>
  </mergeCells>
  <conditionalFormatting sqref="O5:O76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tabColor rgb="FF6E8FBF"/>
    <outlinePr summaryBelow="1" summaryRight="1"/>
    <pageSetUpPr fitToPage="1"/>
  </sheetPr>
  <dimension ref="A1:T5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J1"/>
    </sheetView>
  </sheetViews>
  <sheetFormatPr baseColWidth="10" defaultColWidth="8.83203125" defaultRowHeight="15"/>
  <cols>
    <col width="18" customWidth="1" style="67" min="1" max="1"/>
    <col width="30" customWidth="1" style="67" min="2" max="2"/>
    <col width="20" customWidth="1" style="67" min="3" max="3"/>
    <col width="18" customWidth="1" style="67" min="4" max="4"/>
    <col width="14" customWidth="1" style="67" min="5" max="5"/>
    <col width="13" customWidth="1" style="67" min="6" max="6"/>
    <col width="12" customWidth="1" style="67" min="7" max="7"/>
    <col width="11" customWidth="1" style="67" min="8" max="9"/>
    <col width="14" customWidth="1" style="67" min="10" max="10"/>
    <col width="13" customWidth="1" style="67" min="11" max="12"/>
    <col width="12" customWidth="1" style="67" min="13" max="13"/>
    <col width="14" customWidth="1" style="67" min="14" max="17"/>
    <col width="12" customWidth="1" style="67" min="18" max="18"/>
    <col width="13" customWidth="1" style="67" min="19" max="20"/>
  </cols>
  <sheetData>
    <row r="1" ht="24" customHeight="1" s="67">
      <c r="A1" s="71" t="inlineStr">
        <is>
          <t>Device, OS &amp; App / Domain Breakdown</t>
        </is>
      </c>
    </row>
    <row r="2">
      <c r="A2" s="68" t="inlineStr">
        <is>
          <t>Device and OS split, followed by the app and domain inventory the ads ran on.</t>
        </is>
      </c>
    </row>
    <row r="4" ht="30" customHeight="1" s="67">
      <c r="A4" s="12" t="inlineStr">
        <is>
          <t>Channel</t>
        </is>
      </c>
      <c r="B4" s="12" t="inlineStr">
        <is>
          <t>Device</t>
        </is>
      </c>
      <c r="C4" s="12" t="inlineStr">
        <is>
          <t>Operating System</t>
        </is>
      </c>
      <c r="D4" s="12" t="inlineStr">
        <is>
          <t>Spend (ZAR)</t>
        </is>
      </c>
      <c r="E4" s="12" t="inlineStr">
        <is>
          <t>Impressions</t>
        </is>
      </c>
      <c r="F4" s="12" t="inlineStr">
        <is>
          <t>Link Clicks</t>
        </is>
      </c>
      <c r="G4" s="12" t="inlineStr">
        <is>
          <t>CTR (Link)</t>
        </is>
      </c>
      <c r="H4" s="12" t="inlineStr">
        <is>
          <t>CPC (Link)</t>
        </is>
      </c>
      <c r="I4" s="12" t="inlineStr">
        <is>
          <t>CPM</t>
        </is>
      </c>
      <c r="J4" s="12" t="inlineStr">
        <is>
          <t>Landing Page Views</t>
        </is>
      </c>
      <c r="K4" s="12" t="inlineStr">
        <is>
          <t>LPV Rate</t>
        </is>
      </c>
      <c r="L4" s="12" t="inlineStr">
        <is>
          <t>Test Drive Bookings</t>
        </is>
      </c>
      <c r="M4" s="12" t="inlineStr">
        <is>
          <t>CVR (Booking / LPV)</t>
        </is>
      </c>
      <c r="N4" s="12" t="inlineStr">
        <is>
          <t>CPL (Cost / Booking)</t>
        </is>
      </c>
      <c r="O4" s="12" t="inlineStr">
        <is>
          <t>Qualified Leads</t>
        </is>
      </c>
      <c r="P4" s="12" t="inlineStr">
        <is>
          <t>Qualified Rate</t>
        </is>
      </c>
      <c r="Q4" s="12" t="inlineStr">
        <is>
          <t>Cost per Qualified Lead</t>
        </is>
      </c>
      <c r="R4" s="12" t="inlineStr">
        <is>
          <t>% of Channel Spend</t>
        </is>
      </c>
      <c r="S4" s="12" t="inlineStr">
        <is>
          <t>% of Channel Bookings</t>
        </is>
      </c>
      <c r="T4" s="12" t="inlineStr">
        <is>
          <t>CPL Index vs Channel Avg</t>
        </is>
      </c>
    </row>
    <row r="5">
      <c r="A5" s="6" t="inlineStr">
        <is>
          <t>Meta (FB/IG)</t>
        </is>
      </c>
      <c r="B5" s="78" t="inlineStr">
        <is>
          <t>Mobile</t>
        </is>
      </c>
      <c r="C5" s="78" t="inlineStr">
        <is>
          <t>Android</t>
        </is>
      </c>
      <c r="D5" s="86" t="n">
        <v>89568.81</v>
      </c>
      <c r="E5" s="87" t="n">
        <v>1169773</v>
      </c>
      <c r="F5" s="87" t="n">
        <v>15684</v>
      </c>
      <c r="G5" s="89">
        <f>IFERROR(F5/E5,"")</f>
        <v/>
      </c>
      <c r="H5" s="90">
        <f>IFERROR(D5/F5,"")</f>
        <v/>
      </c>
      <c r="I5" s="90">
        <f>IFERROR(D5/E5*1000,"")</f>
        <v/>
      </c>
      <c r="J5" s="87" t="n">
        <v>13352</v>
      </c>
      <c r="K5" s="18">
        <f>IFERROR(J5/F5,"")</f>
        <v/>
      </c>
      <c r="L5" s="87" t="n">
        <v>306</v>
      </c>
      <c r="M5" s="89">
        <f>IFERROR(L5/J5,"")</f>
        <v/>
      </c>
      <c r="N5" s="86">
        <f>IFERROR(D5/L5,"")</f>
        <v/>
      </c>
      <c r="O5" s="87" t="n">
        <v>200</v>
      </c>
      <c r="P5" s="18">
        <f>IFERROR(O5/L5,"")</f>
        <v/>
      </c>
      <c r="Q5" s="86">
        <f>IFERROR(D5/O5,"")</f>
        <v/>
      </c>
      <c r="R5" s="18">
        <f>IFERROR(D5/SUMIFS($D$5:$D$26,$A$5:$A$26,$A5),"")</f>
        <v/>
      </c>
      <c r="S5" s="18">
        <f>IFERROR(L5/SUMIFS($L$5:$L$26,$A$5:$A$26,$A5),"")</f>
        <v/>
      </c>
      <c r="T5" s="111">
        <f>IFERROR(N5/(SUMIFS($D$5:$D$26,$A$5:$A$26,$A5)/SUMIFS($L$5:$L$26,$A$5:$A$26,$A5)),"")</f>
        <v/>
      </c>
    </row>
    <row r="6">
      <c r="A6" s="6" t="inlineStr">
        <is>
          <t>Meta (FB/IG)</t>
        </is>
      </c>
      <c r="B6" s="78" t="inlineStr">
        <is>
          <t>Mobile</t>
        </is>
      </c>
      <c r="C6" s="78" t="inlineStr">
        <is>
          <t>iOS</t>
        </is>
      </c>
      <c r="D6" s="86" t="n">
        <v>46081.46</v>
      </c>
      <c r="E6" s="87" t="n">
        <v>601826</v>
      </c>
      <c r="F6" s="87" t="n">
        <v>8069</v>
      </c>
      <c r="G6" s="89">
        <f>IFERROR(F6/E6,"")</f>
        <v/>
      </c>
      <c r="H6" s="90">
        <f>IFERROR(D6/F6,"")</f>
        <v/>
      </c>
      <c r="I6" s="90">
        <f>IFERROR(D6/E6*1000,"")</f>
        <v/>
      </c>
      <c r="J6" s="87" t="n">
        <v>6869</v>
      </c>
      <c r="K6" s="18">
        <f>IFERROR(J6/F6,"")</f>
        <v/>
      </c>
      <c r="L6" s="87" t="n">
        <v>157</v>
      </c>
      <c r="M6" s="89">
        <f>IFERROR(L6/J6,"")</f>
        <v/>
      </c>
      <c r="N6" s="86">
        <f>IFERROR(D6/L6,"")</f>
        <v/>
      </c>
      <c r="O6" s="87" t="n">
        <v>103</v>
      </c>
      <c r="P6" s="18">
        <f>IFERROR(O6/L6,"")</f>
        <v/>
      </c>
      <c r="Q6" s="86">
        <f>IFERROR(D6/O6,"")</f>
        <v/>
      </c>
      <c r="R6" s="18">
        <f>IFERROR(D6/SUMIFS($D$5:$D$26,$A$5:$A$26,$A6),"")</f>
        <v/>
      </c>
      <c r="S6" s="18">
        <f>IFERROR(L6/SUMIFS($L$5:$L$26,$A$5:$A$26,$A6),"")</f>
        <v/>
      </c>
      <c r="T6" s="111">
        <f>IFERROR(N6/(SUMIFS($D$5:$D$26,$A$5:$A$26,$A6)/SUMIFS($L$5:$L$26,$A$5:$A$26,$A6)),"")</f>
        <v/>
      </c>
    </row>
    <row r="7">
      <c r="A7" s="6" t="inlineStr">
        <is>
          <t>Meta (FB/IG)</t>
        </is>
      </c>
      <c r="B7" s="78" t="inlineStr">
        <is>
          <t>Desktop</t>
        </is>
      </c>
      <c r="C7" s="78" t="inlineStr">
        <is>
          <t>Windows</t>
        </is>
      </c>
      <c r="D7" s="86" t="n">
        <v>14911.27</v>
      </c>
      <c r="E7" s="87" t="n">
        <v>194742</v>
      </c>
      <c r="F7" s="87" t="n">
        <v>3812</v>
      </c>
      <c r="G7" s="89">
        <f>IFERROR(F7/E7,"")</f>
        <v/>
      </c>
      <c r="H7" s="90">
        <f>IFERROR(D7/F7,"")</f>
        <v/>
      </c>
      <c r="I7" s="90">
        <f>IFERROR(D7/E7*1000,"")</f>
        <v/>
      </c>
      <c r="J7" s="87" t="n">
        <v>3245</v>
      </c>
      <c r="K7" s="18">
        <f>IFERROR(J7/F7,"")</f>
        <v/>
      </c>
      <c r="L7" s="87" t="n">
        <v>74</v>
      </c>
      <c r="M7" s="89">
        <f>IFERROR(L7/J7,"")</f>
        <v/>
      </c>
      <c r="N7" s="86">
        <f>IFERROR(D7/L7,"")</f>
        <v/>
      </c>
      <c r="O7" s="87" t="n">
        <v>48</v>
      </c>
      <c r="P7" s="18">
        <f>IFERROR(O7/L7,"")</f>
        <v/>
      </c>
      <c r="Q7" s="86">
        <f>IFERROR(D7/O7,"")</f>
        <v/>
      </c>
      <c r="R7" s="18">
        <f>IFERROR(D7/SUMIFS($D$5:$D$26,$A$5:$A$26,$A7),"")</f>
        <v/>
      </c>
      <c r="S7" s="18">
        <f>IFERROR(L7/SUMIFS($L$5:$L$26,$A$5:$A$26,$A7),"")</f>
        <v/>
      </c>
      <c r="T7" s="111">
        <f>IFERROR(N7/(SUMIFS($D$5:$D$26,$A$5:$A$26,$A7)/SUMIFS($L$5:$L$26,$A$5:$A$26,$A7)),"")</f>
        <v/>
      </c>
    </row>
    <row r="8">
      <c r="A8" s="6" t="inlineStr">
        <is>
          <t>Meta (FB/IG)</t>
        </is>
      </c>
      <c r="B8" s="78" t="inlineStr">
        <is>
          <t>Tablet</t>
        </is>
      </c>
      <c r="C8" s="78" t="inlineStr">
        <is>
          <t>Android</t>
        </is>
      </c>
      <c r="D8" s="86" t="n">
        <v>7517.52</v>
      </c>
      <c r="E8" s="87" t="n">
        <v>98179</v>
      </c>
      <c r="F8" s="87" t="n">
        <v>1461</v>
      </c>
      <c r="G8" s="89">
        <f>IFERROR(F8/E8,"")</f>
        <v/>
      </c>
      <c r="H8" s="90">
        <f>IFERROR(D8/F8,"")</f>
        <v/>
      </c>
      <c r="I8" s="90">
        <f>IFERROR(D8/E8*1000,"")</f>
        <v/>
      </c>
      <c r="J8" s="87" t="n">
        <v>1244</v>
      </c>
      <c r="K8" s="18">
        <f>IFERROR(J8/F8,"")</f>
        <v/>
      </c>
      <c r="L8" s="87" t="n">
        <v>29</v>
      </c>
      <c r="M8" s="89">
        <f>IFERROR(L8/J8,"")</f>
        <v/>
      </c>
      <c r="N8" s="86">
        <f>IFERROR(D8/L8,"")</f>
        <v/>
      </c>
      <c r="O8" s="87" t="n">
        <v>19</v>
      </c>
      <c r="P8" s="18">
        <f>IFERROR(O8/L8,"")</f>
        <v/>
      </c>
      <c r="Q8" s="86">
        <f>IFERROR(D8/O8,"")</f>
        <v/>
      </c>
      <c r="R8" s="18">
        <f>IFERROR(D8/SUMIFS($D$5:$D$26,$A$5:$A$26,$A8),"")</f>
        <v/>
      </c>
      <c r="S8" s="18">
        <f>IFERROR(L8/SUMIFS($L$5:$L$26,$A$5:$A$26,$A8),"")</f>
        <v/>
      </c>
      <c r="T8" s="111">
        <f>IFERROR(N8/(SUMIFS($D$5:$D$26,$A$5:$A$26,$A8)/SUMIFS($L$5:$L$26,$A$5:$A$26,$A8)),"")</f>
        <v/>
      </c>
    </row>
    <row r="9">
      <c r="A9" s="6" t="inlineStr">
        <is>
          <t>Meta (FB/IG)</t>
        </is>
      </c>
      <c r="B9" s="78" t="inlineStr">
        <is>
          <t>Tablet</t>
        </is>
      </c>
      <c r="C9" s="78" t="inlineStr">
        <is>
          <t>iPadOS</t>
        </is>
      </c>
      <c r="D9" s="86" t="n">
        <v>6092.8</v>
      </c>
      <c r="E9" s="87" t="n">
        <v>79572</v>
      </c>
      <c r="F9" s="87" t="n">
        <v>1184</v>
      </c>
      <c r="G9" s="89">
        <f>IFERROR(F9/E9,"")</f>
        <v/>
      </c>
      <c r="H9" s="90">
        <f>IFERROR(D9/F9,"")</f>
        <v/>
      </c>
      <c r="I9" s="90">
        <f>IFERROR(D9/E9*1000,"")</f>
        <v/>
      </c>
      <c r="J9" s="87" t="n">
        <v>1008</v>
      </c>
      <c r="K9" s="18">
        <f>IFERROR(J9/F9,"")</f>
        <v/>
      </c>
      <c r="L9" s="87" t="n">
        <v>23</v>
      </c>
      <c r="M9" s="89">
        <f>IFERROR(L9/J9,"")</f>
        <v/>
      </c>
      <c r="N9" s="86">
        <f>IFERROR(D9/L9,"")</f>
        <v/>
      </c>
      <c r="O9" s="87" t="n">
        <v>15</v>
      </c>
      <c r="P9" s="18">
        <f>IFERROR(O9/L9,"")</f>
        <v/>
      </c>
      <c r="Q9" s="86">
        <f>IFERROR(D9/O9,"")</f>
        <v/>
      </c>
      <c r="R9" s="18">
        <f>IFERROR(D9/SUMIFS($D$5:$D$26,$A$5:$A$26,$A9),"")</f>
        <v/>
      </c>
      <c r="S9" s="18">
        <f>IFERROR(L9/SUMIFS($L$5:$L$26,$A$5:$A$26,$A9),"")</f>
        <v/>
      </c>
      <c r="T9" s="111">
        <f>IFERROR(N9/(SUMIFS($D$5:$D$26,$A$5:$A$26,$A9)/SUMIFS($L$5:$L$26,$A$5:$A$26,$A9)),"")</f>
        <v/>
      </c>
    </row>
    <row r="10">
      <c r="A10" s="6" t="inlineStr">
        <is>
          <t>Meta (FB/IG)</t>
        </is>
      </c>
      <c r="B10" s="78" t="inlineStr">
        <is>
          <t>Desktop</t>
        </is>
      </c>
      <c r="C10" s="78" t="inlineStr">
        <is>
          <t>macOS</t>
        </is>
      </c>
      <c r="D10" s="86" t="n">
        <v>3828.14</v>
      </c>
      <c r="E10" s="87" t="n">
        <v>49996</v>
      </c>
      <c r="F10" s="87" t="n">
        <v>979</v>
      </c>
      <c r="G10" s="89">
        <f>IFERROR(F10/E10,"")</f>
        <v/>
      </c>
      <c r="H10" s="90">
        <f>IFERROR(D10/F10,"")</f>
        <v/>
      </c>
      <c r="I10" s="90">
        <f>IFERROR(D10/E10*1000,"")</f>
        <v/>
      </c>
      <c r="J10" s="87" t="n">
        <v>833</v>
      </c>
      <c r="K10" s="18">
        <f>IFERROR(J10/F10,"")</f>
        <v/>
      </c>
      <c r="L10" s="87" t="n">
        <v>19</v>
      </c>
      <c r="M10" s="89">
        <f>IFERROR(L10/J10,"")</f>
        <v/>
      </c>
      <c r="N10" s="86">
        <f>IFERROR(D10/L10,"")</f>
        <v/>
      </c>
      <c r="O10" s="87" t="n">
        <v>12</v>
      </c>
      <c r="P10" s="18">
        <f>IFERROR(O10/L10,"")</f>
        <v/>
      </c>
      <c r="Q10" s="86">
        <f>IFERROR(D10/O10,"")</f>
        <v/>
      </c>
      <c r="R10" s="18">
        <f>IFERROR(D10/SUMIFS($D$5:$D$26,$A$5:$A$26,$A10),"")</f>
        <v/>
      </c>
      <c r="S10" s="18">
        <f>IFERROR(L10/SUMIFS($L$5:$L$26,$A$5:$A$26,$A10),"")</f>
        <v/>
      </c>
      <c r="T10" s="111">
        <f>IFERROR(N10/(SUMIFS($D$5:$D$26,$A$5:$A$26,$A10)/SUMIFS($L$5:$L$26,$A$5:$A$26,$A10)),"")</f>
        <v/>
      </c>
    </row>
    <row r="11">
      <c r="A11" s="6" t="inlineStr">
        <is>
          <t>TikTok</t>
        </is>
      </c>
      <c r="B11" s="78" t="inlineStr">
        <is>
          <t>Mobile</t>
        </is>
      </c>
      <c r="C11" s="78" t="inlineStr">
        <is>
          <t>Android</t>
        </is>
      </c>
      <c r="D11" s="86" t="n">
        <v>53451.14</v>
      </c>
      <c r="E11" s="87" t="n">
        <v>1418403</v>
      </c>
      <c r="F11" s="87" t="n">
        <v>13205</v>
      </c>
      <c r="G11" s="89">
        <f>IFERROR(F11/E11,"")</f>
        <v/>
      </c>
      <c r="H11" s="90">
        <f>IFERROR(D11/F11,"")</f>
        <v/>
      </c>
      <c r="I11" s="90">
        <f>IFERROR(D11/E11*1000,"")</f>
        <v/>
      </c>
      <c r="J11" s="87" t="n">
        <v>9020</v>
      </c>
      <c r="K11" s="18">
        <f>IFERROR(J11/F11,"")</f>
        <v/>
      </c>
      <c r="L11" s="87" t="n">
        <v>110</v>
      </c>
      <c r="M11" s="89">
        <f>IFERROR(L11/J11,"")</f>
        <v/>
      </c>
      <c r="N11" s="86">
        <f>IFERROR(D11/L11,"")</f>
        <v/>
      </c>
      <c r="O11" s="87" t="n">
        <v>60</v>
      </c>
      <c r="P11" s="18">
        <f>IFERROR(O11/L11,"")</f>
        <v/>
      </c>
      <c r="Q11" s="86">
        <f>IFERROR(D11/O11,"")</f>
        <v/>
      </c>
      <c r="R11" s="18">
        <f>IFERROR(D11/SUMIFS($D$5:$D$26,$A$5:$A$26,$A11),"")</f>
        <v/>
      </c>
      <c r="S11" s="18">
        <f>IFERROR(L11/SUMIFS($L$5:$L$26,$A$5:$A$26,$A11),"")</f>
        <v/>
      </c>
      <c r="T11" s="111">
        <f>IFERROR(N11/(SUMIFS($D$5:$D$26,$A$5:$A$26,$A11)/SUMIFS($L$5:$L$26,$A$5:$A$26,$A11)),"")</f>
        <v/>
      </c>
    </row>
    <row r="12">
      <c r="A12" s="6" t="inlineStr">
        <is>
          <t>TikTok</t>
        </is>
      </c>
      <c r="B12" s="78" t="inlineStr">
        <is>
          <t>Mobile</t>
        </is>
      </c>
      <c r="C12" s="78" t="inlineStr">
        <is>
          <t>iOS</t>
        </is>
      </c>
      <c r="D12" s="86" t="n">
        <v>27413.07</v>
      </c>
      <c r="E12" s="87" t="n">
        <v>727445</v>
      </c>
      <c r="F12" s="87" t="n">
        <v>6773</v>
      </c>
      <c r="G12" s="89">
        <f>IFERROR(F12/E12,"")</f>
        <v/>
      </c>
      <c r="H12" s="90">
        <f>IFERROR(D12/F12,"")</f>
        <v/>
      </c>
      <c r="I12" s="90">
        <f>IFERROR(D12/E12*1000,"")</f>
        <v/>
      </c>
      <c r="J12" s="87" t="n">
        <v>4626</v>
      </c>
      <c r="K12" s="18">
        <f>IFERROR(J12/F12,"")</f>
        <v/>
      </c>
      <c r="L12" s="87" t="n">
        <v>57</v>
      </c>
      <c r="M12" s="89">
        <f>IFERROR(L12/J12,"")</f>
        <v/>
      </c>
      <c r="N12" s="86">
        <f>IFERROR(D12/L12,"")</f>
        <v/>
      </c>
      <c r="O12" s="87" t="n">
        <v>31</v>
      </c>
      <c r="P12" s="18">
        <f>IFERROR(O12/L12,"")</f>
        <v/>
      </c>
      <c r="Q12" s="86">
        <f>IFERROR(D12/O12,"")</f>
        <v/>
      </c>
      <c r="R12" s="18">
        <f>IFERROR(D12/SUMIFS($D$5:$D$26,$A$5:$A$26,$A12),"")</f>
        <v/>
      </c>
      <c r="S12" s="18">
        <f>IFERROR(L12/SUMIFS($L$5:$L$26,$A$5:$A$26,$A12),"")</f>
        <v/>
      </c>
      <c r="T12" s="111">
        <f>IFERROR(N12/(SUMIFS($D$5:$D$26,$A$5:$A$26,$A12)/SUMIFS($L$5:$L$26,$A$5:$A$26,$A12)),"")</f>
        <v/>
      </c>
    </row>
    <row r="13">
      <c r="A13" s="6" t="inlineStr">
        <is>
          <t>TikTok</t>
        </is>
      </c>
      <c r="B13" s="78" t="inlineStr">
        <is>
          <t>Tablet</t>
        </is>
      </c>
      <c r="C13" s="78" t="inlineStr">
        <is>
          <t>Android</t>
        </is>
      </c>
      <c r="D13" s="86" t="n">
        <v>1882.02</v>
      </c>
      <c r="E13" s="87" t="n">
        <v>49942</v>
      </c>
      <c r="F13" s="87" t="n">
        <v>516</v>
      </c>
      <c r="G13" s="89">
        <f>IFERROR(F13/E13,"")</f>
        <v/>
      </c>
      <c r="H13" s="90">
        <f>IFERROR(D13/F13,"")</f>
        <v/>
      </c>
      <c r="I13" s="90">
        <f>IFERROR(D13/E13*1000,"")</f>
        <v/>
      </c>
      <c r="J13" s="87" t="n">
        <v>352</v>
      </c>
      <c r="K13" s="18">
        <f>IFERROR(J13/F13,"")</f>
        <v/>
      </c>
      <c r="L13" s="87" t="n">
        <v>4</v>
      </c>
      <c r="M13" s="89">
        <f>IFERROR(L13/J13,"")</f>
        <v/>
      </c>
      <c r="N13" s="86">
        <f>IFERROR(D13/L13,"")</f>
        <v/>
      </c>
      <c r="O13" s="87" t="n">
        <v>2</v>
      </c>
      <c r="P13" s="18">
        <f>IFERROR(O13/L13,"")</f>
        <v/>
      </c>
      <c r="Q13" s="86">
        <f>IFERROR(D13/O13,"")</f>
        <v/>
      </c>
      <c r="R13" s="18">
        <f>IFERROR(D13/SUMIFS($D$5:$D$26,$A$5:$A$26,$A13),"")</f>
        <v/>
      </c>
      <c r="S13" s="18">
        <f>IFERROR(L13/SUMIFS($L$5:$L$26,$A$5:$A$26,$A13),"")</f>
        <v/>
      </c>
      <c r="T13" s="111">
        <f>IFERROR(N13/(SUMIFS($D$5:$D$26,$A$5:$A$26,$A13)/SUMIFS($L$5:$L$26,$A$5:$A$26,$A13)),"")</f>
        <v/>
      </c>
    </row>
    <row r="14">
      <c r="A14" s="6" t="inlineStr">
        <is>
          <t>TikTok</t>
        </is>
      </c>
      <c r="B14" s="78" t="inlineStr">
        <is>
          <t>Tablet</t>
        </is>
      </c>
      <c r="C14" s="78" t="inlineStr">
        <is>
          <t>iPadOS</t>
        </is>
      </c>
      <c r="D14" s="86" t="n">
        <v>1253.77</v>
      </c>
      <c r="E14" s="87" t="n">
        <v>33271</v>
      </c>
      <c r="F14" s="87" t="n">
        <v>344</v>
      </c>
      <c r="G14" s="89">
        <f>IFERROR(F14/E14,"")</f>
        <v/>
      </c>
      <c r="H14" s="90">
        <f>IFERROR(D14/F14,"")</f>
        <v/>
      </c>
      <c r="I14" s="90">
        <f>IFERROR(D14/E14*1000,"")</f>
        <v/>
      </c>
      <c r="J14" s="87" t="n">
        <v>235</v>
      </c>
      <c r="K14" s="18">
        <f>IFERROR(J14/F14,"")</f>
        <v/>
      </c>
      <c r="L14" s="87" t="n">
        <v>3</v>
      </c>
      <c r="M14" s="89">
        <f>IFERROR(L14/J14,"")</f>
        <v/>
      </c>
      <c r="N14" s="86">
        <f>IFERROR(D14/L14,"")</f>
        <v/>
      </c>
      <c r="O14" s="87" t="n">
        <v>2</v>
      </c>
      <c r="P14" s="18">
        <f>IFERROR(O14/L14,"")</f>
        <v/>
      </c>
      <c r="Q14" s="86">
        <f>IFERROR(D14/O14,"")</f>
        <v/>
      </c>
      <c r="R14" s="18">
        <f>IFERROR(D14/SUMIFS($D$5:$D$26,$A$5:$A$26,$A14),"")</f>
        <v/>
      </c>
      <c r="S14" s="18">
        <f>IFERROR(L14/SUMIFS($L$5:$L$26,$A$5:$A$26,$A14),"")</f>
        <v/>
      </c>
      <c r="T14" s="111">
        <f>IFERROR(N14/(SUMIFS($D$5:$D$26,$A$5:$A$26,$A14)/SUMIFS($L$5:$L$26,$A$5:$A$26,$A14)),"")</f>
        <v/>
      </c>
    </row>
    <row r="15">
      <c r="A15" s="6" t="inlineStr">
        <is>
          <t>X</t>
        </is>
      </c>
      <c r="B15" s="78" t="inlineStr">
        <is>
          <t>Mobile</t>
        </is>
      </c>
      <c r="C15" s="78" t="inlineStr">
        <is>
          <t>Android</t>
        </is>
      </c>
      <c r="D15" s="86" t="n">
        <v>19047.37</v>
      </c>
      <c r="E15" s="87" t="n">
        <v>313400</v>
      </c>
      <c r="F15" s="87" t="n">
        <v>1944</v>
      </c>
      <c r="G15" s="89">
        <f>IFERROR(F15/E15,"")</f>
        <v/>
      </c>
      <c r="H15" s="90">
        <f>IFERROR(D15/F15,"")</f>
        <v/>
      </c>
      <c r="I15" s="90">
        <f>IFERROR(D15/E15*1000,"")</f>
        <v/>
      </c>
      <c r="J15" s="87" t="n">
        <v>1480</v>
      </c>
      <c r="K15" s="18">
        <f>IFERROR(J15/F15,"")</f>
        <v/>
      </c>
      <c r="L15" s="87" t="n">
        <v>25</v>
      </c>
      <c r="M15" s="89">
        <f>IFERROR(L15/J15,"")</f>
        <v/>
      </c>
      <c r="N15" s="86">
        <f>IFERROR(D15/L15,"")</f>
        <v/>
      </c>
      <c r="O15" s="87" t="n">
        <v>16</v>
      </c>
      <c r="P15" s="18">
        <f>IFERROR(O15/L15,"")</f>
        <v/>
      </c>
      <c r="Q15" s="86">
        <f>IFERROR(D15/O15,"")</f>
        <v/>
      </c>
      <c r="R15" s="18">
        <f>IFERROR(D15/SUMIFS($D$5:$D$26,$A$5:$A$26,$A15),"")</f>
        <v/>
      </c>
      <c r="S15" s="18">
        <f>IFERROR(L15/SUMIFS($L$5:$L$26,$A$5:$A$26,$A15),"")</f>
        <v/>
      </c>
      <c r="T15" s="111">
        <f>IFERROR(N15/(SUMIFS($D$5:$D$26,$A$5:$A$26,$A15)/SUMIFS($L$5:$L$26,$A$5:$A$26,$A15)),"")</f>
        <v/>
      </c>
    </row>
    <row r="16">
      <c r="A16" s="6" t="inlineStr">
        <is>
          <t>X</t>
        </is>
      </c>
      <c r="B16" s="78" t="inlineStr">
        <is>
          <t>Mobile</t>
        </is>
      </c>
      <c r="C16" s="78" t="inlineStr">
        <is>
          <t>iOS</t>
        </is>
      </c>
      <c r="D16" s="86" t="n">
        <v>13644.92</v>
      </c>
      <c r="E16" s="87" t="n">
        <v>224510</v>
      </c>
      <c r="F16" s="87" t="n">
        <v>1393</v>
      </c>
      <c r="G16" s="89">
        <f>IFERROR(F16/E16,"")</f>
        <v/>
      </c>
      <c r="H16" s="90">
        <f>IFERROR(D16/F16,"")</f>
        <v/>
      </c>
      <c r="I16" s="90">
        <f>IFERROR(D16/E16*1000,"")</f>
        <v/>
      </c>
      <c r="J16" s="87" t="n">
        <v>1060</v>
      </c>
      <c r="K16" s="18">
        <f>IFERROR(J16/F16,"")</f>
        <v/>
      </c>
      <c r="L16" s="87" t="n">
        <v>18</v>
      </c>
      <c r="M16" s="89">
        <f>IFERROR(L16/J16,"")</f>
        <v/>
      </c>
      <c r="N16" s="86">
        <f>IFERROR(D16/L16,"")</f>
        <v/>
      </c>
      <c r="O16" s="87" t="n">
        <v>12</v>
      </c>
      <c r="P16" s="18">
        <f>IFERROR(O16/L16,"")</f>
        <v/>
      </c>
      <c r="Q16" s="86">
        <f>IFERROR(D16/O16,"")</f>
        <v/>
      </c>
      <c r="R16" s="18">
        <f>IFERROR(D16/SUMIFS($D$5:$D$26,$A$5:$A$26,$A16),"")</f>
        <v/>
      </c>
      <c r="S16" s="18">
        <f>IFERROR(L16/SUMIFS($L$5:$L$26,$A$5:$A$26,$A16),"")</f>
        <v/>
      </c>
      <c r="T16" s="111">
        <f>IFERROR(N16/(SUMIFS($D$5:$D$26,$A$5:$A$26,$A16)/SUMIFS($L$5:$L$26,$A$5:$A$26,$A16)),"")</f>
        <v/>
      </c>
    </row>
    <row r="17">
      <c r="A17" s="6" t="inlineStr">
        <is>
          <t>X</t>
        </is>
      </c>
      <c r="B17" s="78" t="inlineStr">
        <is>
          <t>Desktop</t>
        </is>
      </c>
      <c r="C17" s="78" t="inlineStr">
        <is>
          <t>Windows</t>
        </is>
      </c>
      <c r="D17" s="86" t="n">
        <v>10722.08</v>
      </c>
      <c r="E17" s="87" t="n">
        <v>176418</v>
      </c>
      <c r="F17" s="87" t="n">
        <v>1598</v>
      </c>
      <c r="G17" s="89">
        <f>IFERROR(F17/E17,"")</f>
        <v/>
      </c>
      <c r="H17" s="90">
        <f>IFERROR(D17/F17,"")</f>
        <v/>
      </c>
      <c r="I17" s="90">
        <f>IFERROR(D17/E17*1000,"")</f>
        <v/>
      </c>
      <c r="J17" s="87" t="n">
        <v>1216</v>
      </c>
      <c r="K17" s="18">
        <f>IFERROR(J17/F17,"")</f>
        <v/>
      </c>
      <c r="L17" s="87" t="n">
        <v>20</v>
      </c>
      <c r="M17" s="89">
        <f>IFERROR(L17/J17,"")</f>
        <v/>
      </c>
      <c r="N17" s="86">
        <f>IFERROR(D17/L17,"")</f>
        <v/>
      </c>
      <c r="O17" s="87" t="n">
        <v>13</v>
      </c>
      <c r="P17" s="18">
        <f>IFERROR(O17/L17,"")</f>
        <v/>
      </c>
      <c r="Q17" s="86">
        <f>IFERROR(D17/O17,"")</f>
        <v/>
      </c>
      <c r="R17" s="18">
        <f>IFERROR(D17/SUMIFS($D$5:$D$26,$A$5:$A$26,$A17),"")</f>
        <v/>
      </c>
      <c r="S17" s="18">
        <f>IFERROR(L17/SUMIFS($L$5:$L$26,$A$5:$A$26,$A17),"")</f>
        <v/>
      </c>
      <c r="T17" s="111">
        <f>IFERROR(N17/(SUMIFS($D$5:$D$26,$A$5:$A$26,$A17)/SUMIFS($L$5:$L$26,$A$5:$A$26,$A17)),"")</f>
        <v/>
      </c>
    </row>
    <row r="18">
      <c r="A18" s="6" t="inlineStr">
        <is>
          <t>X</t>
        </is>
      </c>
      <c r="B18" s="78" t="inlineStr">
        <is>
          <t>Desktop</t>
        </is>
      </c>
      <c r="C18" s="78" t="inlineStr">
        <is>
          <t>macOS</t>
        </is>
      </c>
      <c r="D18" s="86" t="n">
        <v>2848.93</v>
      </c>
      <c r="E18" s="87" t="n">
        <v>46876</v>
      </c>
      <c r="F18" s="87" t="n">
        <v>425</v>
      </c>
      <c r="G18" s="89">
        <f>IFERROR(F18/E18,"")</f>
        <v/>
      </c>
      <c r="H18" s="90">
        <f>IFERROR(D18/F18,"")</f>
        <v/>
      </c>
      <c r="I18" s="90">
        <f>IFERROR(D18/E18*1000,"")</f>
        <v/>
      </c>
      <c r="J18" s="87" t="n">
        <v>323</v>
      </c>
      <c r="K18" s="18">
        <f>IFERROR(J18/F18,"")</f>
        <v/>
      </c>
      <c r="L18" s="87" t="n">
        <v>5</v>
      </c>
      <c r="M18" s="89">
        <f>IFERROR(L18/J18,"")</f>
        <v/>
      </c>
      <c r="N18" s="86">
        <f>IFERROR(D18/L18,"")</f>
        <v/>
      </c>
      <c r="O18" s="87" t="n">
        <v>4</v>
      </c>
      <c r="P18" s="18">
        <f>IFERROR(O18/L18,"")</f>
        <v/>
      </c>
      <c r="Q18" s="86">
        <f>IFERROR(D18/O18,"")</f>
        <v/>
      </c>
      <c r="R18" s="18">
        <f>IFERROR(D18/SUMIFS($D$5:$D$26,$A$5:$A$26,$A18),"")</f>
        <v/>
      </c>
      <c r="S18" s="18">
        <f>IFERROR(L18/SUMIFS($L$5:$L$26,$A$5:$A$26,$A18),"")</f>
        <v/>
      </c>
      <c r="T18" s="111">
        <f>IFERROR(N18/(SUMIFS($D$5:$D$26,$A$5:$A$26,$A18)/SUMIFS($L$5:$L$26,$A$5:$A$26,$A18)),"")</f>
        <v/>
      </c>
    </row>
    <row r="19">
      <c r="A19" s="6" t="inlineStr">
        <is>
          <t>X</t>
        </is>
      </c>
      <c r="B19" s="78" t="inlineStr">
        <is>
          <t>Tablet</t>
        </is>
      </c>
      <c r="C19" s="78" t="inlineStr">
        <is>
          <t>iPadOS</t>
        </is>
      </c>
      <c r="D19" s="86" t="n">
        <v>1736.7</v>
      </c>
      <c r="E19" s="87" t="n">
        <v>28575</v>
      </c>
      <c r="F19" s="87" t="n">
        <v>197</v>
      </c>
      <c r="G19" s="89">
        <f>IFERROR(F19/E19,"")</f>
        <v/>
      </c>
      <c r="H19" s="90">
        <f>IFERROR(D19/F19,"")</f>
        <v/>
      </c>
      <c r="I19" s="90">
        <f>IFERROR(D19/E19*1000,"")</f>
        <v/>
      </c>
      <c r="J19" s="87" t="n">
        <v>150</v>
      </c>
      <c r="K19" s="18">
        <f>IFERROR(J19/F19,"")</f>
        <v/>
      </c>
      <c r="L19" s="87" t="n">
        <v>3</v>
      </c>
      <c r="M19" s="89">
        <f>IFERROR(L19/J19,"")</f>
        <v/>
      </c>
      <c r="N19" s="86">
        <f>IFERROR(D19/L19,"")</f>
        <v/>
      </c>
      <c r="O19" s="87" t="n">
        <v>2</v>
      </c>
      <c r="P19" s="18">
        <f>IFERROR(O19/L19,"")</f>
        <v/>
      </c>
      <c r="Q19" s="86">
        <f>IFERROR(D19/O19,"")</f>
        <v/>
      </c>
      <c r="R19" s="18">
        <f>IFERROR(D19/SUMIFS($D$5:$D$26,$A$5:$A$26,$A19),"")</f>
        <v/>
      </c>
      <c r="S19" s="18">
        <f>IFERROR(L19/SUMIFS($L$5:$L$26,$A$5:$A$26,$A19),"")</f>
        <v/>
      </c>
      <c r="T19" s="111">
        <f>IFERROR(N19/(SUMIFS($D$5:$D$26,$A$5:$A$26,$A19)/SUMIFS($L$5:$L$26,$A$5:$A$26,$A19)),"")</f>
        <v/>
      </c>
    </row>
    <row r="20">
      <c r="A20" s="6" t="inlineStr">
        <is>
          <t>Programmatic</t>
        </is>
      </c>
      <c r="B20" s="78" t="inlineStr">
        <is>
          <t>Mobile</t>
        </is>
      </c>
      <c r="C20" s="78" t="inlineStr">
        <is>
          <t>Android</t>
        </is>
      </c>
      <c r="D20" s="86" t="n">
        <v>36840.88</v>
      </c>
      <c r="E20" s="87" t="n">
        <v>1395602</v>
      </c>
      <c r="F20" s="87" t="n">
        <v>2957</v>
      </c>
      <c r="G20" s="89">
        <f>IFERROR(F20/E20,"")</f>
        <v/>
      </c>
      <c r="H20" s="90">
        <f>IFERROR(D20/F20,"")</f>
        <v/>
      </c>
      <c r="I20" s="90">
        <f>IFERROR(D20/E20*1000,"")</f>
        <v/>
      </c>
      <c r="J20" s="87" t="n">
        <v>1882</v>
      </c>
      <c r="K20" s="18">
        <f>IFERROR(J20/F20,"")</f>
        <v/>
      </c>
      <c r="L20" s="87" t="n">
        <v>52</v>
      </c>
      <c r="M20" s="89">
        <f>IFERROR(L20/J20,"")</f>
        <v/>
      </c>
      <c r="N20" s="86">
        <f>IFERROR(D20/L20,"")</f>
        <v/>
      </c>
      <c r="O20" s="87" t="n">
        <v>28</v>
      </c>
      <c r="P20" s="18">
        <f>IFERROR(O20/L20,"")</f>
        <v/>
      </c>
      <c r="Q20" s="86">
        <f>IFERROR(D20/O20,"")</f>
        <v/>
      </c>
      <c r="R20" s="18">
        <f>IFERROR(D20/SUMIFS($D$5:$D$26,$A$5:$A$26,$A20),"")</f>
        <v/>
      </c>
      <c r="S20" s="18">
        <f>IFERROR(L20/SUMIFS($L$5:$L$26,$A$5:$A$26,$A20),"")</f>
        <v/>
      </c>
      <c r="T20" s="111">
        <f>IFERROR(N20/(SUMIFS($D$5:$D$26,$A$5:$A$26,$A20)/SUMIFS($L$5:$L$26,$A$5:$A$26,$A20)),"")</f>
        <v/>
      </c>
    </row>
    <row r="21">
      <c r="A21" s="6" t="inlineStr">
        <is>
          <t>Programmatic</t>
        </is>
      </c>
      <c r="B21" s="78" t="inlineStr">
        <is>
          <t>Mobile</t>
        </is>
      </c>
      <c r="C21" s="78" t="inlineStr">
        <is>
          <t>iOS</t>
        </is>
      </c>
      <c r="D21" s="86" t="n">
        <v>20171.89</v>
      </c>
      <c r="E21" s="87" t="n">
        <v>764149</v>
      </c>
      <c r="F21" s="87" t="n">
        <v>1619</v>
      </c>
      <c r="G21" s="89">
        <f>IFERROR(F21/E21,"")</f>
        <v/>
      </c>
      <c r="H21" s="90">
        <f>IFERROR(D21/F21,"")</f>
        <v/>
      </c>
      <c r="I21" s="90">
        <f>IFERROR(D21/E21*1000,"")</f>
        <v/>
      </c>
      <c r="J21" s="87" t="n">
        <v>1031</v>
      </c>
      <c r="K21" s="18">
        <f>IFERROR(J21/F21,"")</f>
        <v/>
      </c>
      <c r="L21" s="87" t="n">
        <v>28</v>
      </c>
      <c r="M21" s="89">
        <f>IFERROR(L21/J21,"")</f>
        <v/>
      </c>
      <c r="N21" s="86">
        <f>IFERROR(D21/L21,"")</f>
        <v/>
      </c>
      <c r="O21" s="87" t="n">
        <v>15</v>
      </c>
      <c r="P21" s="18">
        <f>IFERROR(O21/L21,"")</f>
        <v/>
      </c>
      <c r="Q21" s="86">
        <f>IFERROR(D21/O21,"")</f>
        <v/>
      </c>
      <c r="R21" s="18">
        <f>IFERROR(D21/SUMIFS($D$5:$D$26,$A$5:$A$26,$A21),"")</f>
        <v/>
      </c>
      <c r="S21" s="18">
        <f>IFERROR(L21/SUMIFS($L$5:$L$26,$A$5:$A$26,$A21),"")</f>
        <v/>
      </c>
      <c r="T21" s="111">
        <f>IFERROR(N21/(SUMIFS($D$5:$D$26,$A$5:$A$26,$A21)/SUMIFS($L$5:$L$26,$A$5:$A$26,$A21)),"")</f>
        <v/>
      </c>
    </row>
    <row r="22">
      <c r="A22" s="6" t="inlineStr">
        <is>
          <t>Programmatic</t>
        </is>
      </c>
      <c r="B22" s="78" t="inlineStr">
        <is>
          <t>Desktop</t>
        </is>
      </c>
      <c r="C22" s="78" t="inlineStr">
        <is>
          <t>Windows</t>
        </is>
      </c>
      <c r="D22" s="86" t="n">
        <v>18071.34</v>
      </c>
      <c r="E22" s="87" t="n">
        <v>684576</v>
      </c>
      <c r="F22" s="87" t="n">
        <v>2118</v>
      </c>
      <c r="G22" s="89">
        <f>IFERROR(F22/E22,"")</f>
        <v/>
      </c>
      <c r="H22" s="90">
        <f>IFERROR(D22/F22,"")</f>
        <v/>
      </c>
      <c r="I22" s="90">
        <f>IFERROR(D22/E22*1000,"")</f>
        <v/>
      </c>
      <c r="J22" s="87" t="n">
        <v>1348</v>
      </c>
      <c r="K22" s="18">
        <f>IFERROR(J22/F22,"")</f>
        <v/>
      </c>
      <c r="L22" s="87" t="n">
        <v>37</v>
      </c>
      <c r="M22" s="89">
        <f>IFERROR(L22/J22,"")</f>
        <v/>
      </c>
      <c r="N22" s="86">
        <f>IFERROR(D22/L22,"")</f>
        <v/>
      </c>
      <c r="O22" s="87" t="n">
        <v>20</v>
      </c>
      <c r="P22" s="18">
        <f>IFERROR(O22/L22,"")</f>
        <v/>
      </c>
      <c r="Q22" s="86">
        <f>IFERROR(D22/O22,"")</f>
        <v/>
      </c>
      <c r="R22" s="18">
        <f>IFERROR(D22/SUMIFS($D$5:$D$26,$A$5:$A$26,$A22),"")</f>
        <v/>
      </c>
      <c r="S22" s="18">
        <f>IFERROR(L22/SUMIFS($L$5:$L$26,$A$5:$A$26,$A22),"")</f>
        <v/>
      </c>
      <c r="T22" s="111">
        <f>IFERROR(N22/(SUMIFS($D$5:$D$26,$A$5:$A$26,$A22)/SUMIFS($L$5:$L$26,$A$5:$A$26,$A22)),"")</f>
        <v/>
      </c>
    </row>
    <row r="23">
      <c r="A23" s="6" t="inlineStr">
        <is>
          <t>Programmatic</t>
        </is>
      </c>
      <c r="B23" s="78" t="inlineStr">
        <is>
          <t>Connected TV</t>
        </is>
      </c>
      <c r="C23" s="78" t="inlineStr">
        <is>
          <t>Android TV / Roku</t>
        </is>
      </c>
      <c r="D23" s="86" t="n">
        <v>16389.67</v>
      </c>
      <c r="E23" s="87" t="n">
        <v>620872</v>
      </c>
      <c r="F23" s="87" t="n">
        <v>118</v>
      </c>
      <c r="G23" s="89">
        <f>IFERROR(F23/E23,"")</f>
        <v/>
      </c>
      <c r="H23" s="90">
        <f>IFERROR(D23/F23,"")</f>
        <v/>
      </c>
      <c r="I23" s="90">
        <f>IFERROR(D23/E23*1000,"")</f>
        <v/>
      </c>
      <c r="J23" s="87" t="n">
        <v>75</v>
      </c>
      <c r="K23" s="18">
        <f>IFERROR(J23/F23,"")</f>
        <v/>
      </c>
      <c r="L23" s="87" t="n">
        <v>2</v>
      </c>
      <c r="M23" s="89">
        <f>IFERROR(L23/J23,"")</f>
        <v/>
      </c>
      <c r="N23" s="86">
        <f>IFERROR(D23/L23,"")</f>
        <v/>
      </c>
      <c r="O23" s="87" t="n">
        <v>1</v>
      </c>
      <c r="P23" s="18">
        <f>IFERROR(O23/L23,"")</f>
        <v/>
      </c>
      <c r="Q23" s="86">
        <f>IFERROR(D23/O23,"")</f>
        <v/>
      </c>
      <c r="R23" s="18">
        <f>IFERROR(D23/SUMIFS($D$5:$D$26,$A$5:$A$26,$A23),"")</f>
        <v/>
      </c>
      <c r="S23" s="18">
        <f>IFERROR(L23/SUMIFS($L$5:$L$26,$A$5:$A$26,$A23),"")</f>
        <v/>
      </c>
      <c r="T23" s="111">
        <f>IFERROR(N23/(SUMIFS($D$5:$D$26,$A$5:$A$26,$A23)/SUMIFS($L$5:$L$26,$A$5:$A$26,$A23)),"")</f>
        <v/>
      </c>
    </row>
    <row r="24">
      <c r="A24" s="6" t="inlineStr">
        <is>
          <t>Programmatic</t>
        </is>
      </c>
      <c r="B24" s="78" t="inlineStr">
        <is>
          <t>Tablet</t>
        </is>
      </c>
      <c r="C24" s="78" t="inlineStr">
        <is>
          <t>Android</t>
        </is>
      </c>
      <c r="D24" s="86" t="n">
        <v>4076.96</v>
      </c>
      <c r="E24" s="87" t="n">
        <v>154443</v>
      </c>
      <c r="F24" s="87" t="n">
        <v>363</v>
      </c>
      <c r="G24" s="89">
        <f>IFERROR(F24/E24,"")</f>
        <v/>
      </c>
      <c r="H24" s="90">
        <f>IFERROR(D24/F24,"")</f>
        <v/>
      </c>
      <c r="I24" s="90">
        <f>IFERROR(D24/E24*1000,"")</f>
        <v/>
      </c>
      <c r="J24" s="87" t="n">
        <v>231</v>
      </c>
      <c r="K24" s="18">
        <f>IFERROR(J24/F24,"")</f>
        <v/>
      </c>
      <c r="L24" s="87" t="n">
        <v>6</v>
      </c>
      <c r="M24" s="89">
        <f>IFERROR(L24/J24,"")</f>
        <v/>
      </c>
      <c r="N24" s="86">
        <f>IFERROR(D24/L24,"")</f>
        <v/>
      </c>
      <c r="O24" s="87" t="n">
        <v>3</v>
      </c>
      <c r="P24" s="18">
        <f>IFERROR(O24/L24,"")</f>
        <v/>
      </c>
      <c r="Q24" s="86">
        <f>IFERROR(D24/O24,"")</f>
        <v/>
      </c>
      <c r="R24" s="18">
        <f>IFERROR(D24/SUMIFS($D$5:$D$26,$A$5:$A$26,$A24),"")</f>
        <v/>
      </c>
      <c r="S24" s="18">
        <f>IFERROR(L24/SUMIFS($L$5:$L$26,$A$5:$A$26,$A24),"")</f>
        <v/>
      </c>
      <c r="T24" s="111">
        <f>IFERROR(N24/(SUMIFS($D$5:$D$26,$A$5:$A$26,$A24)/SUMIFS($L$5:$L$26,$A$5:$A$26,$A24)),"")</f>
        <v/>
      </c>
    </row>
    <row r="25">
      <c r="A25" s="6" t="inlineStr">
        <is>
          <t>Programmatic</t>
        </is>
      </c>
      <c r="B25" s="78" t="inlineStr">
        <is>
          <t>Desktop</t>
        </is>
      </c>
      <c r="C25" s="78" t="inlineStr">
        <is>
          <t>macOS</t>
        </is>
      </c>
      <c r="D25" s="86" t="n">
        <v>2836.12</v>
      </c>
      <c r="E25" s="87" t="n">
        <v>107438</v>
      </c>
      <c r="F25" s="87" t="n">
        <v>332</v>
      </c>
      <c r="G25" s="89">
        <f>IFERROR(F25/E25,"")</f>
        <v/>
      </c>
      <c r="H25" s="90">
        <f>IFERROR(D25/F25,"")</f>
        <v/>
      </c>
      <c r="I25" s="90">
        <f>IFERROR(D25/E25*1000,"")</f>
        <v/>
      </c>
      <c r="J25" s="87" t="n">
        <v>212</v>
      </c>
      <c r="K25" s="18">
        <f>IFERROR(J25/F25,"")</f>
        <v/>
      </c>
      <c r="L25" s="87" t="n">
        <v>6</v>
      </c>
      <c r="M25" s="89">
        <f>IFERROR(L25/J25,"")</f>
        <v/>
      </c>
      <c r="N25" s="86">
        <f>IFERROR(D25/L25,"")</f>
        <v/>
      </c>
      <c r="O25" s="87" t="n">
        <v>3</v>
      </c>
      <c r="P25" s="18">
        <f>IFERROR(O25/L25,"")</f>
        <v/>
      </c>
      <c r="Q25" s="86">
        <f>IFERROR(D25/O25,"")</f>
        <v/>
      </c>
      <c r="R25" s="18">
        <f>IFERROR(D25/SUMIFS($D$5:$D$26,$A$5:$A$26,$A25),"")</f>
        <v/>
      </c>
      <c r="S25" s="18">
        <f>IFERROR(L25/SUMIFS($L$5:$L$26,$A$5:$A$26,$A25),"")</f>
        <v/>
      </c>
      <c r="T25" s="111">
        <f>IFERROR(N25/(SUMIFS($D$5:$D$26,$A$5:$A$26,$A25)/SUMIFS($L$5:$L$26,$A$5:$A$26,$A25)),"")</f>
        <v/>
      </c>
    </row>
    <row r="26">
      <c r="A26" s="6" t="inlineStr">
        <is>
          <t>Programmatic</t>
        </is>
      </c>
      <c r="B26" s="78" t="inlineStr">
        <is>
          <t>Tablet</t>
        </is>
      </c>
      <c r="C26" s="78" t="inlineStr">
        <is>
          <t>iPadOS</t>
        </is>
      </c>
      <c r="D26" s="86" t="n">
        <v>1613.14</v>
      </c>
      <c r="E26" s="87" t="n">
        <v>61108</v>
      </c>
      <c r="F26" s="87" t="n">
        <v>144</v>
      </c>
      <c r="G26" s="89">
        <f>IFERROR(F26/E26,"")</f>
        <v/>
      </c>
      <c r="H26" s="90">
        <f>IFERROR(D26/F26,"")</f>
        <v/>
      </c>
      <c r="I26" s="90">
        <f>IFERROR(D26/E26*1000,"")</f>
        <v/>
      </c>
      <c r="J26" s="87" t="n">
        <v>92</v>
      </c>
      <c r="K26" s="18">
        <f>IFERROR(J26/F26,"")</f>
        <v/>
      </c>
      <c r="L26" s="87" t="n">
        <v>3</v>
      </c>
      <c r="M26" s="89">
        <f>IFERROR(L26/J26,"")</f>
        <v/>
      </c>
      <c r="N26" s="86">
        <f>IFERROR(D26/L26,"")</f>
        <v/>
      </c>
      <c r="O26" s="87" t="n">
        <v>1</v>
      </c>
      <c r="P26" s="18">
        <f>IFERROR(O26/L26,"")</f>
        <v/>
      </c>
      <c r="Q26" s="86">
        <f>IFERROR(D26/O26,"")</f>
        <v/>
      </c>
      <c r="R26" s="18">
        <f>IFERROR(D26/SUMIFS($D$5:$D$26,$A$5:$A$26,$A26),"")</f>
        <v/>
      </c>
      <c r="S26" s="18">
        <f>IFERROR(L26/SUMIFS($L$5:$L$26,$A$5:$A$26,$A26),"")</f>
        <v/>
      </c>
      <c r="T26" s="111">
        <f>IFERROR(N26/(SUMIFS($D$5:$D$26,$A$5:$A$26,$A26)/SUMIFS($L$5:$L$26,$A$5:$A$26,$A26)),"")</f>
        <v/>
      </c>
    </row>
    <row r="27">
      <c r="A27" s="19" t="inlineStr">
        <is>
          <t>TOTAL</t>
        </is>
      </c>
      <c r="B27" s="32" t="n"/>
      <c r="C27" s="32" t="n"/>
      <c r="D27" s="91">
        <f>SUM(D5:D26)</f>
        <v/>
      </c>
      <c r="E27" s="92">
        <f>SUM(E5:E26)</f>
        <v/>
      </c>
      <c r="F27" s="92">
        <f>SUM(F5:F26)</f>
        <v/>
      </c>
      <c r="G27" s="94">
        <f>IFERROR(F27/E27,"")</f>
        <v/>
      </c>
      <c r="H27" s="95">
        <f>IFERROR(D27/F27,"")</f>
        <v/>
      </c>
      <c r="I27" s="95">
        <f>IFERROR(D27/E27*1000,"")</f>
        <v/>
      </c>
      <c r="J27" s="92">
        <f>SUM(J5:J26)</f>
        <v/>
      </c>
      <c r="K27" s="25">
        <f>IFERROR(J27/F27,"")</f>
        <v/>
      </c>
      <c r="L27" s="92">
        <f>SUM(L5:L26)</f>
        <v/>
      </c>
      <c r="M27" s="94">
        <f>IFERROR(L27/J27,"")</f>
        <v/>
      </c>
      <c r="N27" s="91">
        <f>IFERROR(D27/L27,"")</f>
        <v/>
      </c>
      <c r="O27" s="92">
        <f>SUM(O5:O26)</f>
        <v/>
      </c>
      <c r="P27" s="25">
        <f>IFERROR(O27/L27,"")</f>
        <v/>
      </c>
      <c r="Q27" s="91">
        <f>IFERROR(D27/O27,"")</f>
        <v/>
      </c>
      <c r="R27" s="25">
        <f>SUM(R5:R26)</f>
        <v/>
      </c>
      <c r="S27" s="25">
        <f>SUM(S5:S26)</f>
        <v/>
      </c>
      <c r="T27" s="112">
        <f>1</f>
        <v/>
      </c>
    </row>
    <row r="30" ht="18" customHeight="1" s="67">
      <c r="A30" s="2" t="inlineStr">
        <is>
          <t xml:space="preserve">  APP &amp; DOMAIN INVENTORY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30" customHeight="1" s="67">
      <c r="A31" s="12" t="inlineStr">
        <is>
          <t>Channel</t>
        </is>
      </c>
      <c r="B31" s="12" t="inlineStr">
        <is>
          <t>App / Domain</t>
        </is>
      </c>
      <c r="C31" s="12" t="inlineStr">
        <is>
          <t>Type</t>
        </is>
      </c>
      <c r="D31" s="12" t="inlineStr">
        <is>
          <t>Category</t>
        </is>
      </c>
      <c r="E31" s="12" t="inlineStr">
        <is>
          <t>Spend (ZAR)</t>
        </is>
      </c>
      <c r="F31" s="12" t="inlineStr">
        <is>
          <t>Impressions</t>
        </is>
      </c>
      <c r="G31" s="12" t="inlineStr">
        <is>
          <t>Link Clicks</t>
        </is>
      </c>
      <c r="H31" s="12" t="inlineStr">
        <is>
          <t>CTR (Link)</t>
        </is>
      </c>
      <c r="I31" s="12" t="inlineStr">
        <is>
          <t>CPM</t>
        </is>
      </c>
      <c r="J31" s="12" t="inlineStr">
        <is>
          <t>Landing Page Views</t>
        </is>
      </c>
      <c r="K31" s="12" t="inlineStr">
        <is>
          <t>Test Drive Bookings</t>
        </is>
      </c>
      <c r="L31" s="12" t="inlineStr">
        <is>
          <t>CPL (Cost / Booking)</t>
        </is>
      </c>
      <c r="M31" s="12" t="inlineStr">
        <is>
          <t>Viewability</t>
        </is>
      </c>
      <c r="N31" s="12" t="inlineStr">
        <is>
          <t>IVT / Invalid Traffic</t>
        </is>
      </c>
      <c r="O31" s="12" t="inlineStr">
        <is>
          <t>Brand Safety Score</t>
        </is>
      </c>
      <c r="P31" s="12" t="inlineStr">
        <is>
          <t>% of Channel Spend</t>
        </is>
      </c>
    </row>
    <row r="32">
      <c r="A32" s="6" t="inlineStr">
        <is>
          <t>Programmatic</t>
        </is>
      </c>
      <c r="B32" s="78" t="inlineStr">
        <is>
          <t>news24.com</t>
        </is>
      </c>
      <c r="C32" s="8" t="inlineStr">
        <is>
          <t>Domain</t>
        </is>
      </c>
      <c r="D32" s="78" t="inlineStr">
        <is>
          <t>News</t>
        </is>
      </c>
      <c r="E32" s="86" t="n">
        <v>11391.39</v>
      </c>
      <c r="F32" s="87" t="n">
        <v>431528</v>
      </c>
      <c r="G32" s="87" t="n">
        <v>979</v>
      </c>
      <c r="H32" s="89">
        <f>IFERROR(G32/F32,"")</f>
        <v/>
      </c>
      <c r="I32" s="90">
        <f>IFERROR(E32/F32*1000,"")</f>
        <v/>
      </c>
      <c r="J32" s="87" t="n">
        <v>623</v>
      </c>
      <c r="K32" s="87" t="n">
        <v>16</v>
      </c>
      <c r="L32" s="86">
        <f>IFERROR(E32/K32,"")</f>
        <v/>
      </c>
      <c r="M32" s="18" t="n">
        <v>0.7922</v>
      </c>
      <c r="N32" s="113" t="n">
        <v>0.0107</v>
      </c>
      <c r="O32" s="38" t="n">
        <v>98</v>
      </c>
      <c r="P32" s="18">
        <f>IFERROR(E32/SUMIFS($E$32:$E$56,$A$32:$A$56,$A32),"")</f>
        <v/>
      </c>
    </row>
    <row r="33">
      <c r="A33" s="6" t="inlineStr">
        <is>
          <t>Programmatic</t>
        </is>
      </c>
      <c r="B33" s="78" t="inlineStr">
        <is>
          <t>iol.co.za</t>
        </is>
      </c>
      <c r="C33" s="8" t="inlineStr">
        <is>
          <t>Domain</t>
        </is>
      </c>
      <c r="D33" s="78" t="inlineStr">
        <is>
          <t>News</t>
        </is>
      </c>
      <c r="E33" s="86" t="n">
        <v>8171.08</v>
      </c>
      <c r="F33" s="87" t="n">
        <v>309536</v>
      </c>
      <c r="G33" s="87" t="n">
        <v>664</v>
      </c>
      <c r="H33" s="89">
        <f>IFERROR(G33/F33,"")</f>
        <v/>
      </c>
      <c r="I33" s="90">
        <f>IFERROR(E33/F33*1000,"")</f>
        <v/>
      </c>
      <c r="J33" s="87" t="n">
        <v>423</v>
      </c>
      <c r="K33" s="87" t="n">
        <v>9</v>
      </c>
      <c r="L33" s="86">
        <f>IFERROR(E33/K33,"")</f>
        <v/>
      </c>
      <c r="M33" s="18" t="n">
        <v>0.6711</v>
      </c>
      <c r="N33" s="113" t="n">
        <v>0.0239</v>
      </c>
      <c r="O33" s="38" t="n">
        <v>96</v>
      </c>
      <c r="P33" s="18">
        <f>IFERROR(E33/SUMIFS($E$32:$E$56,$A$32:$A$56,$A33),"")</f>
        <v/>
      </c>
    </row>
    <row r="34">
      <c r="A34" s="6" t="inlineStr">
        <is>
          <t>Programmatic</t>
        </is>
      </c>
      <c r="B34" s="78" t="inlineStr">
        <is>
          <t>cars.co.za</t>
        </is>
      </c>
      <c r="C34" s="8" t="inlineStr">
        <is>
          <t>Domain</t>
        </is>
      </c>
      <c r="D34" s="78" t="inlineStr">
        <is>
          <t>Automotive</t>
        </is>
      </c>
      <c r="E34" s="86" t="n">
        <v>7499.56</v>
      </c>
      <c r="F34" s="87" t="n">
        <v>284097</v>
      </c>
      <c r="G34" s="87" t="n">
        <v>949</v>
      </c>
      <c r="H34" s="89">
        <f>IFERROR(G34/F34,"")</f>
        <v/>
      </c>
      <c r="I34" s="90">
        <f>IFERROR(E34/F34*1000,"")</f>
        <v/>
      </c>
      <c r="J34" s="87" t="n">
        <v>605</v>
      </c>
      <c r="K34" s="87" t="n">
        <v>26</v>
      </c>
      <c r="L34" s="86">
        <f>IFERROR(E34/K34,"")</f>
        <v/>
      </c>
      <c r="M34" s="18" t="n">
        <v>0.6457000000000001</v>
      </c>
      <c r="N34" s="113" t="n">
        <v>0.0078</v>
      </c>
      <c r="O34" s="38" t="n">
        <v>99</v>
      </c>
      <c r="P34" s="18">
        <f>IFERROR(E34/SUMIFS($E$32:$E$56,$A$32:$A$56,$A34),"")</f>
        <v/>
      </c>
    </row>
    <row r="35">
      <c r="A35" s="6" t="inlineStr">
        <is>
          <t>Programmatic</t>
        </is>
      </c>
      <c r="B35" s="78" t="inlineStr">
        <is>
          <t>autotrader.co.za</t>
        </is>
      </c>
      <c r="C35" s="8" t="inlineStr">
        <is>
          <t>Domain</t>
        </is>
      </c>
      <c r="D35" s="78" t="inlineStr">
        <is>
          <t>Automotive</t>
        </is>
      </c>
      <c r="E35" s="86" t="n">
        <v>6610.25</v>
      </c>
      <c r="F35" s="87" t="n">
        <v>250409</v>
      </c>
      <c r="G35" s="87" t="n">
        <v>816</v>
      </c>
      <c r="H35" s="89">
        <f>IFERROR(G35/F35,"")</f>
        <v/>
      </c>
      <c r="I35" s="90">
        <f>IFERROR(E35/F35*1000,"")</f>
        <v/>
      </c>
      <c r="J35" s="87" t="n">
        <v>520</v>
      </c>
      <c r="K35" s="87" t="n">
        <v>21</v>
      </c>
      <c r="L35" s="86">
        <f>IFERROR(E35/K35,"")</f>
        <v/>
      </c>
      <c r="M35" s="18" t="n">
        <v>0.6899</v>
      </c>
      <c r="N35" s="113" t="n">
        <v>0.0299</v>
      </c>
      <c r="O35" s="38" t="n">
        <v>99</v>
      </c>
      <c r="P35" s="18">
        <f>IFERROR(E35/SUMIFS($E$32:$E$56,$A$32:$A$56,$A35),"")</f>
        <v/>
      </c>
    </row>
    <row r="36">
      <c r="A36" s="6" t="inlineStr">
        <is>
          <t>Programmatic</t>
        </is>
      </c>
      <c r="B36" s="78" t="inlineStr">
        <is>
          <t>wheels24.co.za</t>
        </is>
      </c>
      <c r="C36" s="8" t="inlineStr">
        <is>
          <t>Domain</t>
        </is>
      </c>
      <c r="D36" s="78" t="inlineStr">
        <is>
          <t>Automotive</t>
        </is>
      </c>
      <c r="E36" s="86" t="n">
        <v>5397.74</v>
      </c>
      <c r="F36" s="87" t="n">
        <v>204477</v>
      </c>
      <c r="G36" s="87" t="n">
        <v>629</v>
      </c>
      <c r="H36" s="89">
        <f>IFERROR(G36/F36,"")</f>
        <v/>
      </c>
      <c r="I36" s="90">
        <f>IFERROR(E36/F36*1000,"")</f>
        <v/>
      </c>
      <c r="J36" s="87" t="n">
        <v>400</v>
      </c>
      <c r="K36" s="87" t="n">
        <v>15</v>
      </c>
      <c r="L36" s="86">
        <f>IFERROR(E36/K36,"")</f>
        <v/>
      </c>
      <c r="M36" s="18" t="n">
        <v>0.6931</v>
      </c>
      <c r="N36" s="113" t="n">
        <v>0.0255</v>
      </c>
      <c r="O36" s="38" t="n">
        <v>98</v>
      </c>
      <c r="P36" s="18">
        <f>IFERROR(E36/SUMIFS($E$32:$E$56,$A$32:$A$56,$A36),"")</f>
        <v/>
      </c>
    </row>
    <row r="37">
      <c r="A37" s="6" t="inlineStr">
        <is>
          <t>Programmatic</t>
        </is>
      </c>
      <c r="B37" s="78" t="inlineStr">
        <is>
          <t>supersport.com</t>
        </is>
      </c>
      <c r="C37" s="8" t="inlineStr">
        <is>
          <t>Domain</t>
        </is>
      </c>
      <c r="D37" s="78" t="inlineStr">
        <is>
          <t>Sport</t>
        </is>
      </c>
      <c r="E37" s="86" t="n">
        <v>7370.99</v>
      </c>
      <c r="F37" s="87" t="n">
        <v>279227</v>
      </c>
      <c r="G37" s="87" t="n">
        <v>611</v>
      </c>
      <c r="H37" s="89">
        <f>IFERROR(G37/F37,"")</f>
        <v/>
      </c>
      <c r="I37" s="90">
        <f>IFERROR(E37/F37*1000,"")</f>
        <v/>
      </c>
      <c r="J37" s="87" t="n">
        <v>389</v>
      </c>
      <c r="K37" s="87" t="n">
        <v>7</v>
      </c>
      <c r="L37" s="86">
        <f>IFERROR(E37/K37,"")</f>
        <v/>
      </c>
      <c r="M37" s="18" t="n">
        <v>0.7907999999999999</v>
      </c>
      <c r="N37" s="113" t="n">
        <v>0.0257</v>
      </c>
      <c r="O37" s="38" t="n">
        <v>97</v>
      </c>
      <c r="P37" s="18">
        <f>IFERROR(E37/SUMIFS($E$32:$E$56,$A$32:$A$56,$A37),"")</f>
        <v/>
      </c>
    </row>
    <row r="38">
      <c r="A38" s="6" t="inlineStr">
        <is>
          <t>Programmatic</t>
        </is>
      </c>
      <c r="B38" s="78" t="inlineStr">
        <is>
          <t>timeslive.co.za</t>
        </is>
      </c>
      <c r="C38" s="8" t="inlineStr">
        <is>
          <t>Domain</t>
        </is>
      </c>
      <c r="D38" s="78" t="inlineStr">
        <is>
          <t>News</t>
        </is>
      </c>
      <c r="E38" s="86" t="n">
        <v>5064.47</v>
      </c>
      <c r="F38" s="87" t="n">
        <v>191852</v>
      </c>
      <c r="G38" s="87" t="n">
        <v>388</v>
      </c>
      <c r="H38" s="89">
        <f>IFERROR(G38/F38,"")</f>
        <v/>
      </c>
      <c r="I38" s="90">
        <f>IFERROR(E38/F38*1000,"")</f>
        <v/>
      </c>
      <c r="J38" s="87" t="n">
        <v>247</v>
      </c>
      <c r="K38" s="87" t="n">
        <v>5</v>
      </c>
      <c r="L38" s="86">
        <f>IFERROR(E38/K38,"")</f>
        <v/>
      </c>
      <c r="M38" s="18" t="n">
        <v>0.7813</v>
      </c>
      <c r="N38" s="113" t="n">
        <v>0.0065</v>
      </c>
      <c r="O38" s="38" t="n">
        <v>95</v>
      </c>
      <c r="P38" s="18">
        <f>IFERROR(E38/SUMIFS($E$32:$E$56,$A$32:$A$56,$A38),"")</f>
        <v/>
      </c>
    </row>
    <row r="39">
      <c r="A39" s="6" t="inlineStr">
        <is>
          <t>Programmatic</t>
        </is>
      </c>
      <c r="B39" s="78" t="inlineStr">
        <is>
          <t>businesslive.co.za</t>
        </is>
      </c>
      <c r="C39" s="8" t="inlineStr">
        <is>
          <t>Domain</t>
        </is>
      </c>
      <c r="D39" s="78" t="inlineStr">
        <is>
          <t>Business</t>
        </is>
      </c>
      <c r="E39" s="86" t="n">
        <v>4094.01</v>
      </c>
      <c r="F39" s="87" t="n">
        <v>155089</v>
      </c>
      <c r="G39" s="87" t="n">
        <v>294</v>
      </c>
      <c r="H39" s="89">
        <f>IFERROR(G39/F39,"")</f>
        <v/>
      </c>
      <c r="I39" s="90">
        <f>IFERROR(E39/F39*1000,"")</f>
        <v/>
      </c>
      <c r="J39" s="87" t="n">
        <v>187</v>
      </c>
      <c r="K39" s="87" t="n">
        <v>5</v>
      </c>
      <c r="L39" s="86">
        <f>IFERROR(E39/K39,"")</f>
        <v/>
      </c>
      <c r="M39" s="18" t="n">
        <v>0.6095</v>
      </c>
      <c r="N39" s="113" t="n">
        <v>0.0133</v>
      </c>
      <c r="O39" s="38" t="n">
        <v>98</v>
      </c>
      <c r="P39" s="18">
        <f>IFERROR(E39/SUMIFS($E$32:$E$56,$A$32:$A$56,$A39),"")</f>
        <v/>
      </c>
    </row>
    <row r="40">
      <c r="A40" s="6" t="inlineStr">
        <is>
          <t>Programmatic</t>
        </is>
      </c>
      <c r="B40" s="78" t="inlineStr">
        <is>
          <t>dailymaverick.co.za</t>
        </is>
      </c>
      <c r="C40" s="8" t="inlineStr">
        <is>
          <t>Domain</t>
        </is>
      </c>
      <c r="D40" s="78" t="inlineStr">
        <is>
          <t>News</t>
        </is>
      </c>
      <c r="E40" s="86" t="n">
        <v>3780.4</v>
      </c>
      <c r="F40" s="87" t="n">
        <v>143208</v>
      </c>
      <c r="G40" s="87" t="n">
        <v>263</v>
      </c>
      <c r="H40" s="89">
        <f>IFERROR(G40/F40,"")</f>
        <v/>
      </c>
      <c r="I40" s="90">
        <f>IFERROR(E40/F40*1000,"")</f>
        <v/>
      </c>
      <c r="J40" s="87" t="n">
        <v>167</v>
      </c>
      <c r="K40" s="87" t="n">
        <v>4</v>
      </c>
      <c r="L40" s="86">
        <f>IFERROR(E40/K40,"")</f>
        <v/>
      </c>
      <c r="M40" s="18" t="n">
        <v>0.6196</v>
      </c>
      <c r="N40" s="113" t="n">
        <v>0.0216</v>
      </c>
      <c r="O40" s="38" t="n">
        <v>97</v>
      </c>
      <c r="P40" s="18">
        <f>IFERROR(E40/SUMIFS($E$32:$E$56,$A$32:$A$56,$A40),"")</f>
        <v/>
      </c>
    </row>
    <row r="41">
      <c r="A41" s="6" t="inlineStr">
        <is>
          <t>Programmatic</t>
        </is>
      </c>
      <c r="B41" s="78" t="inlineStr">
        <is>
          <t>citizen.co.za</t>
        </is>
      </c>
      <c r="C41" s="8" t="inlineStr">
        <is>
          <t>Domain</t>
        </is>
      </c>
      <c r="D41" s="78" t="inlineStr">
        <is>
          <t>News</t>
        </is>
      </c>
      <c r="E41" s="86" t="n">
        <v>3082.15</v>
      </c>
      <c r="F41" s="87" t="n">
        <v>116758</v>
      </c>
      <c r="G41" s="87" t="n">
        <v>229</v>
      </c>
      <c r="H41" s="89">
        <f>IFERROR(G41/F41,"")</f>
        <v/>
      </c>
      <c r="I41" s="90">
        <f>IFERROR(E41/F41*1000,"")</f>
        <v/>
      </c>
      <c r="J41" s="87" t="n">
        <v>146</v>
      </c>
      <c r="K41" s="87" t="n">
        <v>3</v>
      </c>
      <c r="L41" s="86">
        <f>IFERROR(E41/K41,"")</f>
        <v/>
      </c>
      <c r="M41" s="18" t="n">
        <v>0.6774</v>
      </c>
      <c r="N41" s="113" t="n">
        <v>0.0186</v>
      </c>
      <c r="O41" s="38" t="n">
        <v>94</v>
      </c>
      <c r="P41" s="18">
        <f>IFERROR(E41/SUMIFS($E$32:$E$56,$A$32:$A$56,$A41),"")</f>
        <v/>
      </c>
    </row>
    <row r="42">
      <c r="A42" s="6" t="inlineStr">
        <is>
          <t>Programmatic</t>
        </is>
      </c>
      <c r="B42" s="78" t="inlineStr">
        <is>
          <t>thesouthafrican.com</t>
        </is>
      </c>
      <c r="C42" s="8" t="inlineStr">
        <is>
          <t>Domain</t>
        </is>
      </c>
      <c r="D42" s="78" t="inlineStr">
        <is>
          <t>News</t>
        </is>
      </c>
      <c r="E42" s="86" t="n">
        <v>2576.48</v>
      </c>
      <c r="F42" s="87" t="n">
        <v>97602</v>
      </c>
      <c r="G42" s="87" t="n">
        <v>175</v>
      </c>
      <c r="H42" s="89">
        <f>IFERROR(G42/F42,"")</f>
        <v/>
      </c>
      <c r="I42" s="90">
        <f>IFERROR(E42/F42*1000,"")</f>
        <v/>
      </c>
      <c r="J42" s="87" t="n">
        <v>112</v>
      </c>
      <c r="K42" s="87" t="n">
        <v>2</v>
      </c>
      <c r="L42" s="86">
        <f>IFERROR(E42/K42,"")</f>
        <v/>
      </c>
      <c r="M42" s="18" t="n">
        <v>0.5923</v>
      </c>
      <c r="N42" s="113" t="n">
        <v>0.012</v>
      </c>
      <c r="O42" s="38" t="n">
        <v>89</v>
      </c>
      <c r="P42" s="18">
        <f>IFERROR(E42/SUMIFS($E$32:$E$56,$A$32:$A$56,$A42),"")</f>
        <v/>
      </c>
    </row>
    <row r="43">
      <c r="A43" s="6" t="inlineStr">
        <is>
          <t>Programmatic</t>
        </is>
      </c>
      <c r="B43" s="78" t="inlineStr">
        <is>
          <t>ewn.co.za</t>
        </is>
      </c>
      <c r="C43" s="8" t="inlineStr">
        <is>
          <t>Domain</t>
        </is>
      </c>
      <c r="D43" s="78" t="inlineStr">
        <is>
          <t>News</t>
        </is>
      </c>
      <c r="E43" s="86" t="n">
        <v>2358.49</v>
      </c>
      <c r="F43" s="87" t="n">
        <v>89344</v>
      </c>
      <c r="G43" s="87" t="n">
        <v>168</v>
      </c>
      <c r="H43" s="89">
        <f>IFERROR(G43/F43,"")</f>
        <v/>
      </c>
      <c r="I43" s="90">
        <f>IFERROR(E43/F43*1000,"")</f>
        <v/>
      </c>
      <c r="J43" s="87" t="n">
        <v>107</v>
      </c>
      <c r="K43" s="87" t="n">
        <v>2</v>
      </c>
      <c r="L43" s="86">
        <f>IFERROR(E43/K43,"")</f>
        <v/>
      </c>
      <c r="M43" s="18" t="n">
        <v>0.7613</v>
      </c>
      <c r="N43" s="113" t="n">
        <v>0.0281</v>
      </c>
      <c r="O43" s="38" t="n">
        <v>95</v>
      </c>
      <c r="P43" s="18">
        <f>IFERROR(E43/SUMIFS($E$32:$E$56,$A$32:$A$56,$A43),"")</f>
        <v/>
      </c>
    </row>
    <row r="44">
      <c r="A44" s="6" t="inlineStr">
        <is>
          <t>Programmatic</t>
        </is>
      </c>
      <c r="B44" s="78" t="inlineStr">
        <is>
          <t>YouTube (OLV)</t>
        </is>
      </c>
      <c r="C44" s="8" t="inlineStr">
        <is>
          <t>App</t>
        </is>
      </c>
      <c r="D44" s="78" t="inlineStr">
        <is>
          <t>Video</t>
        </is>
      </c>
      <c r="E44" s="86" t="n">
        <v>8663.059999999999</v>
      </c>
      <c r="F44" s="87" t="n">
        <v>328173</v>
      </c>
      <c r="G44" s="87" t="n">
        <v>501</v>
      </c>
      <c r="H44" s="89">
        <f>IFERROR(G44/F44,"")</f>
        <v/>
      </c>
      <c r="I44" s="90">
        <f>IFERROR(E44/F44*1000,"")</f>
        <v/>
      </c>
      <c r="J44" s="87" t="n">
        <v>319</v>
      </c>
      <c r="K44" s="87" t="n">
        <v>6</v>
      </c>
      <c r="L44" s="86">
        <f>IFERROR(E44/K44,"")</f>
        <v/>
      </c>
      <c r="M44" s="18" t="n">
        <v>0.8233</v>
      </c>
      <c r="N44" s="113" t="n">
        <v>0.016</v>
      </c>
      <c r="O44" s="38" t="n">
        <v>99</v>
      </c>
      <c r="P44" s="18">
        <f>IFERROR(E44/SUMIFS($E$32:$E$56,$A$32:$A$56,$A44),"")</f>
        <v/>
      </c>
    </row>
    <row r="45">
      <c r="A45" s="6" t="inlineStr">
        <is>
          <t>Programmatic</t>
        </is>
      </c>
      <c r="B45" s="78" t="inlineStr">
        <is>
          <t>DStv Stream (CTV)</t>
        </is>
      </c>
      <c r="C45" s="8" t="inlineStr">
        <is>
          <t>App</t>
        </is>
      </c>
      <c r="D45" s="78" t="inlineStr">
        <is>
          <t>CTV / Streaming</t>
        </is>
      </c>
      <c r="E45" s="86" t="n">
        <v>8092.71</v>
      </c>
      <c r="F45" s="87" t="n">
        <v>306567</v>
      </c>
      <c r="G45" s="87" t="n">
        <v>89</v>
      </c>
      <c r="H45" s="89">
        <f>IFERROR(G45/F45,"")</f>
        <v/>
      </c>
      <c r="I45" s="90">
        <f>IFERROR(E45/F45*1000,"")</f>
        <v/>
      </c>
      <c r="J45" s="87" t="n">
        <v>56</v>
      </c>
      <c r="K45" s="87" t="n">
        <v>2</v>
      </c>
      <c r="L45" s="86">
        <f>IFERROR(E45/K45,"")</f>
        <v/>
      </c>
      <c r="M45" s="18" t="n">
        <v>0.7000999999999999</v>
      </c>
      <c r="N45" s="113" t="n">
        <v>0.008999999999999999</v>
      </c>
      <c r="O45" s="38" t="n">
        <v>99</v>
      </c>
      <c r="P45" s="18">
        <f>IFERROR(E45/SUMIFS($E$32:$E$56,$A$32:$A$56,$A45),"")</f>
        <v/>
      </c>
    </row>
    <row r="46">
      <c r="A46" s="6" t="inlineStr">
        <is>
          <t>Programmatic</t>
        </is>
      </c>
      <c r="B46" s="78" t="inlineStr">
        <is>
          <t>Showmax (CTV)</t>
        </is>
      </c>
      <c r="C46" s="8" t="inlineStr">
        <is>
          <t>App</t>
        </is>
      </c>
      <c r="D46" s="78" t="inlineStr">
        <is>
          <t>CTV / Streaming</t>
        </is>
      </c>
      <c r="E46" s="86" t="n">
        <v>6407.36</v>
      </c>
      <c r="F46" s="87" t="n">
        <v>242723</v>
      </c>
      <c r="G46" s="87" t="n">
        <v>65</v>
      </c>
      <c r="H46" s="89">
        <f>IFERROR(G46/F46,"")</f>
        <v/>
      </c>
      <c r="I46" s="90">
        <f>IFERROR(E46/F46*1000,"")</f>
        <v/>
      </c>
      <c r="J46" s="87" t="n">
        <v>41</v>
      </c>
      <c r="K46" s="87" t="n">
        <v>1</v>
      </c>
      <c r="L46" s="86">
        <f>IFERROR(E46/K46,"")</f>
        <v/>
      </c>
      <c r="M46" s="18" t="n">
        <v>0.886</v>
      </c>
      <c r="N46" s="113" t="n">
        <v>0.0053</v>
      </c>
      <c r="O46" s="38" t="n">
        <v>99</v>
      </c>
      <c r="P46" s="18">
        <f>IFERROR(E46/SUMIFS($E$32:$E$56,$A$32:$A$56,$A46),"")</f>
        <v/>
      </c>
    </row>
    <row r="47">
      <c r="A47" s="6" t="inlineStr">
        <is>
          <t>Programmatic</t>
        </is>
      </c>
      <c r="B47" s="78" t="inlineStr">
        <is>
          <t>SuperSport App</t>
        </is>
      </c>
      <c r="C47" s="8" t="inlineStr">
        <is>
          <t>App</t>
        </is>
      </c>
      <c r="D47" s="78" t="inlineStr">
        <is>
          <t>Sport</t>
        </is>
      </c>
      <c r="E47" s="86" t="n">
        <v>3832.58</v>
      </c>
      <c r="F47" s="87" t="n">
        <v>145185</v>
      </c>
      <c r="G47" s="87" t="n">
        <v>305</v>
      </c>
      <c r="H47" s="89">
        <f>IFERROR(G47/F47,"")</f>
        <v/>
      </c>
      <c r="I47" s="90">
        <f>IFERROR(E47/F47*1000,"")</f>
        <v/>
      </c>
      <c r="J47" s="87" t="n">
        <v>195</v>
      </c>
      <c r="K47" s="87" t="n">
        <v>4</v>
      </c>
      <c r="L47" s="86">
        <f>IFERROR(E47/K47,"")</f>
        <v/>
      </c>
      <c r="M47" s="18" t="n">
        <v>0.8962</v>
      </c>
      <c r="N47" s="113" t="n">
        <v>0.013</v>
      </c>
      <c r="O47" s="38" t="n">
        <v>97</v>
      </c>
      <c r="P47" s="18">
        <f>IFERROR(E47/SUMIFS($E$32:$E$56,$A$32:$A$56,$A47),"")</f>
        <v/>
      </c>
    </row>
    <row r="48">
      <c r="A48" s="6" t="inlineStr">
        <is>
          <t>Programmatic</t>
        </is>
      </c>
      <c r="B48" s="78" t="inlineStr">
        <is>
          <t>News24 App</t>
        </is>
      </c>
      <c r="C48" s="8" t="inlineStr">
        <is>
          <t>App</t>
        </is>
      </c>
      <c r="D48" s="78" t="inlineStr">
        <is>
          <t>News</t>
        </is>
      </c>
      <c r="E48" s="86" t="n">
        <v>3077.9</v>
      </c>
      <c r="F48" s="87" t="n">
        <v>116596</v>
      </c>
      <c r="G48" s="87" t="n">
        <v>260</v>
      </c>
      <c r="H48" s="89">
        <f>IFERROR(G48/F48,"")</f>
        <v/>
      </c>
      <c r="I48" s="90">
        <f>IFERROR(E48/F48*1000,"")</f>
        <v/>
      </c>
      <c r="J48" s="87" t="n">
        <v>165</v>
      </c>
      <c r="K48" s="87" t="n">
        <v>4</v>
      </c>
      <c r="L48" s="86">
        <f>IFERROR(E48/K48,"")</f>
        <v/>
      </c>
      <c r="M48" s="18" t="n">
        <v>0.6631</v>
      </c>
      <c r="N48" s="113" t="n">
        <v>0.0237</v>
      </c>
      <c r="O48" s="38" t="n">
        <v>98</v>
      </c>
      <c r="P48" s="18">
        <f>IFERROR(E48/SUMIFS($E$32:$E$56,$A$32:$A$56,$A48),"")</f>
        <v/>
      </c>
    </row>
    <row r="49">
      <c r="A49" s="6" t="inlineStr">
        <is>
          <t>Programmatic</t>
        </is>
      </c>
      <c r="B49" s="78" t="inlineStr">
        <is>
          <t>Weather Live</t>
        </is>
      </c>
      <c r="C49" s="8" t="inlineStr">
        <is>
          <t>App</t>
        </is>
      </c>
      <c r="D49" s="78" t="inlineStr">
        <is>
          <t>Utility</t>
        </is>
      </c>
      <c r="E49" s="86" t="n">
        <v>1466.19</v>
      </c>
      <c r="F49" s="87" t="n">
        <v>55542</v>
      </c>
      <c r="G49" s="87" t="n">
        <v>165</v>
      </c>
      <c r="H49" s="89">
        <f>IFERROR(G49/F49,"")</f>
        <v/>
      </c>
      <c r="I49" s="90">
        <f>IFERROR(E49/F49*1000,"")</f>
        <v/>
      </c>
      <c r="J49" s="87" t="n">
        <v>105</v>
      </c>
      <c r="K49" s="87" t="n">
        <v>1</v>
      </c>
      <c r="L49" s="86">
        <f>IFERROR(E49/K49,"")</f>
        <v/>
      </c>
      <c r="M49" s="18" t="n">
        <v>0.7326</v>
      </c>
      <c r="N49" s="113" t="n">
        <v>0.0282</v>
      </c>
      <c r="O49" s="38" t="n">
        <v>82</v>
      </c>
      <c r="P49" s="18">
        <f>IFERROR(E49/SUMIFS($E$32:$E$56,$A$32:$A$56,$A49),"")</f>
        <v/>
      </c>
    </row>
    <row r="50">
      <c r="A50" s="6" t="inlineStr">
        <is>
          <t>Programmatic</t>
        </is>
      </c>
      <c r="B50" s="78" t="inlineStr">
        <is>
          <t>Waze</t>
        </is>
      </c>
      <c r="C50" s="8" t="inlineStr">
        <is>
          <t>App</t>
        </is>
      </c>
      <c r="D50" s="78" t="inlineStr">
        <is>
          <t>Navigation</t>
        </is>
      </c>
      <c r="E50" s="86" t="n">
        <v>1063.19</v>
      </c>
      <c r="F50" s="87" t="n">
        <v>40275</v>
      </c>
      <c r="G50" s="87" t="n">
        <v>101</v>
      </c>
      <c r="H50" s="89">
        <f>IFERROR(G50/F50,"")</f>
        <v/>
      </c>
      <c r="I50" s="90">
        <f>IFERROR(E50/F50*1000,"")</f>
        <v/>
      </c>
      <c r="J50" s="87" t="n">
        <v>64</v>
      </c>
      <c r="K50" s="87" t="n">
        <v>1</v>
      </c>
      <c r="L50" s="86">
        <f>IFERROR(E50/K50,"")</f>
        <v/>
      </c>
      <c r="M50" s="18" t="n">
        <v>0.7766999999999999</v>
      </c>
      <c r="N50" s="113" t="n">
        <v>0.0258</v>
      </c>
      <c r="O50" s="38" t="n">
        <v>93</v>
      </c>
      <c r="P50" s="18">
        <f>IFERROR(E50/SUMIFS($E$32:$E$56,$A$32:$A$56,$A50),"")</f>
        <v/>
      </c>
    </row>
    <row r="51">
      <c r="A51" s="6" t="inlineStr">
        <is>
          <t>Meta (FB/IG)</t>
        </is>
      </c>
      <c r="B51" s="78" t="inlineStr">
        <is>
          <t>Audience Network - News apps</t>
        </is>
      </c>
      <c r="C51" s="8" t="inlineStr">
        <is>
          <t>App</t>
        </is>
      </c>
      <c r="D51" s="78" t="inlineStr">
        <is>
          <t>News</t>
        </is>
      </c>
      <c r="E51" s="86" t="n">
        <v>3121.21</v>
      </c>
      <c r="F51" s="87" t="n">
        <v>40763</v>
      </c>
      <c r="G51" s="87" t="n">
        <v>568</v>
      </c>
      <c r="H51" s="89">
        <f>IFERROR(G51/F51,"")</f>
        <v/>
      </c>
      <c r="I51" s="90">
        <f>IFERROR(E51/F51*1000,"")</f>
        <v/>
      </c>
      <c r="J51" s="87" t="n">
        <v>483</v>
      </c>
      <c r="K51" s="87" t="n">
        <v>13</v>
      </c>
      <c r="L51" s="86">
        <f>IFERROR(E51/K51,"")</f>
        <v/>
      </c>
      <c r="M51" s="18" t="n">
        <v>0.719</v>
      </c>
      <c r="N51" s="113" t="n">
        <v>0.009599999999999999</v>
      </c>
      <c r="O51" s="38" t="n">
        <v>88</v>
      </c>
      <c r="P51" s="18">
        <f>IFERROR(E51/SUMIFS($E$32:$E$56,$A$32:$A$56,$A51),"")</f>
        <v/>
      </c>
    </row>
    <row r="52">
      <c r="A52" s="6" t="inlineStr">
        <is>
          <t>Meta (FB/IG)</t>
        </is>
      </c>
      <c r="B52" s="78" t="inlineStr">
        <is>
          <t>Audience Network - Games</t>
        </is>
      </c>
      <c r="C52" s="8" t="inlineStr">
        <is>
          <t>App</t>
        </is>
      </c>
      <c r="D52" s="78" t="inlineStr">
        <is>
          <t>Gaming</t>
        </is>
      </c>
      <c r="E52" s="86" t="n">
        <v>2816.04</v>
      </c>
      <c r="F52" s="87" t="n">
        <v>36777</v>
      </c>
      <c r="G52" s="87" t="n">
        <v>568</v>
      </c>
      <c r="H52" s="89">
        <f>IFERROR(G52/F52,"")</f>
        <v/>
      </c>
      <c r="I52" s="90">
        <f>IFERROR(E52/F52*1000,"")</f>
        <v/>
      </c>
      <c r="J52" s="87" t="n">
        <v>483</v>
      </c>
      <c r="K52" s="87" t="n">
        <v>9</v>
      </c>
      <c r="L52" s="86">
        <f>IFERROR(E52/K52,"")</f>
        <v/>
      </c>
      <c r="M52" s="18" t="n">
        <v>0.8149999999999999</v>
      </c>
      <c r="N52" s="113" t="n">
        <v>0.0094</v>
      </c>
      <c r="O52" s="38" t="n">
        <v>74</v>
      </c>
      <c r="P52" s="18">
        <f>IFERROR(E52/SUMIFS($E$32:$E$56,$A$32:$A$56,$A52),"")</f>
        <v/>
      </c>
    </row>
    <row r="53">
      <c r="A53" s="6" t="inlineStr">
        <is>
          <t>Meta (FB/IG)</t>
        </is>
      </c>
      <c r="B53" s="78" t="inlineStr">
        <is>
          <t>Audience Network - Utility apps</t>
        </is>
      </c>
      <c r="C53" s="8" t="inlineStr">
        <is>
          <t>App</t>
        </is>
      </c>
      <c r="D53" s="78" t="inlineStr">
        <is>
          <t>Utility</t>
        </is>
      </c>
      <c r="E53" s="86" t="n">
        <v>1622.75</v>
      </c>
      <c r="F53" s="87" t="n">
        <v>21193</v>
      </c>
      <c r="G53" s="87" t="n">
        <v>267</v>
      </c>
      <c r="H53" s="89">
        <f>IFERROR(G53/F53,"")</f>
        <v/>
      </c>
      <c r="I53" s="90">
        <f>IFERROR(E53/F53*1000,"")</f>
        <v/>
      </c>
      <c r="J53" s="87" t="n">
        <v>228</v>
      </c>
      <c r="K53" s="87" t="n">
        <v>5</v>
      </c>
      <c r="L53" s="86">
        <f>IFERROR(E53/K53,"")</f>
        <v/>
      </c>
      <c r="M53" s="18" t="n">
        <v>0.8484</v>
      </c>
      <c r="N53" s="113" t="n">
        <v>0.0105</v>
      </c>
      <c r="O53" s="38" t="n">
        <v>80</v>
      </c>
      <c r="P53" s="18">
        <f>IFERROR(E53/SUMIFS($E$32:$E$56,$A$32:$A$56,$A53),"")</f>
        <v/>
      </c>
    </row>
    <row r="54">
      <c r="A54" s="6" t="inlineStr">
        <is>
          <t>TikTok</t>
        </is>
      </c>
      <c r="B54" s="78" t="inlineStr">
        <is>
          <t>Pangle - Casual Games</t>
        </is>
      </c>
      <c r="C54" s="8" t="inlineStr">
        <is>
          <t>App</t>
        </is>
      </c>
      <c r="D54" s="78" t="inlineStr">
        <is>
          <t>Gaming</t>
        </is>
      </c>
      <c r="E54" s="86" t="n">
        <v>3384.09</v>
      </c>
      <c r="F54" s="87" t="n">
        <v>89801</v>
      </c>
      <c r="G54" s="87" t="n">
        <v>913</v>
      </c>
      <c r="H54" s="89">
        <f>IFERROR(G54/F54,"")</f>
        <v/>
      </c>
      <c r="I54" s="90">
        <f>IFERROR(E54/F54*1000,"")</f>
        <v/>
      </c>
      <c r="J54" s="87" t="n">
        <v>624</v>
      </c>
      <c r="K54" s="87" t="n">
        <v>7</v>
      </c>
      <c r="L54" s="86">
        <f>IFERROR(E54/K54,"")</f>
        <v/>
      </c>
      <c r="M54" s="18" t="n">
        <v>0.8951</v>
      </c>
      <c r="N54" s="113" t="n">
        <v>0.022</v>
      </c>
      <c r="O54" s="38" t="n">
        <v>71</v>
      </c>
      <c r="P54" s="18">
        <f>IFERROR(E54/SUMIFS($E$32:$E$56,$A$32:$A$56,$A54),"")</f>
        <v/>
      </c>
    </row>
    <row r="55">
      <c r="A55" s="6" t="inlineStr">
        <is>
          <t>TikTok</t>
        </is>
      </c>
      <c r="B55" s="78" t="inlineStr">
        <is>
          <t>Pangle - Utility apps</t>
        </is>
      </c>
      <c r="C55" s="8" t="inlineStr">
        <is>
          <t>App</t>
        </is>
      </c>
      <c r="D55" s="78" t="inlineStr">
        <is>
          <t>Utility</t>
        </is>
      </c>
      <c r="E55" s="86" t="n">
        <v>2166.63</v>
      </c>
      <c r="F55" s="87" t="n">
        <v>57495</v>
      </c>
      <c r="G55" s="87" t="n">
        <v>519</v>
      </c>
      <c r="H55" s="89">
        <f>IFERROR(G55/F55,"")</f>
        <v/>
      </c>
      <c r="I55" s="90">
        <f>IFERROR(E55/F55*1000,"")</f>
        <v/>
      </c>
      <c r="J55" s="87" t="n">
        <v>354</v>
      </c>
      <c r="K55" s="87" t="n">
        <v>4</v>
      </c>
      <c r="L55" s="86">
        <f>IFERROR(E55/K55,"")</f>
        <v/>
      </c>
      <c r="M55" s="18" t="n">
        <v>0.7276</v>
      </c>
      <c r="N55" s="113" t="n">
        <v>0.0182</v>
      </c>
      <c r="O55" s="38" t="n">
        <v>79</v>
      </c>
      <c r="P55" s="18">
        <f>IFERROR(E55/SUMIFS($E$32:$E$56,$A$32:$A$56,$A55),"")</f>
        <v/>
      </c>
    </row>
    <row r="56">
      <c r="A56" s="6" t="inlineStr">
        <is>
          <t>TikTok</t>
        </is>
      </c>
      <c r="B56" s="78" t="inlineStr">
        <is>
          <t>Pangle - Reading apps</t>
        </is>
      </c>
      <c r="C56" s="8" t="inlineStr">
        <is>
          <t>App</t>
        </is>
      </c>
      <c r="D56" s="78" t="inlineStr">
        <is>
          <t>Content</t>
        </is>
      </c>
      <c r="E56" s="86" t="n">
        <v>1589.28</v>
      </c>
      <c r="F56" s="87" t="n">
        <v>42174</v>
      </c>
      <c r="G56" s="87" t="n">
        <v>339</v>
      </c>
      <c r="H56" s="89">
        <f>IFERROR(G56/F56,"")</f>
        <v/>
      </c>
      <c r="I56" s="90">
        <f>IFERROR(E56/F56*1000,"")</f>
        <v/>
      </c>
      <c r="J56" s="87" t="n">
        <v>231</v>
      </c>
      <c r="K56" s="87" t="n">
        <v>3</v>
      </c>
      <c r="L56" s="86">
        <f>IFERROR(E56/K56,"")</f>
        <v/>
      </c>
      <c r="M56" s="18" t="n">
        <v>0.8527</v>
      </c>
      <c r="N56" s="113" t="n">
        <v>0.0173</v>
      </c>
      <c r="O56" s="38" t="n">
        <v>84</v>
      </c>
      <c r="P56" s="18">
        <f>IFERROR(E56/SUMIFS($E$32:$E$56,$A$32:$A$56,$A56),"")</f>
        <v/>
      </c>
    </row>
    <row r="57">
      <c r="A57" s="19" t="inlineStr">
        <is>
          <t>TOTAL</t>
        </is>
      </c>
      <c r="B57" s="32" t="n"/>
      <c r="C57" s="32" t="n"/>
      <c r="D57" s="32" t="n"/>
      <c r="E57" s="91">
        <f>SUM(E32:E56)</f>
        <v/>
      </c>
      <c r="F57" s="92">
        <f>SUM(F32:F56)</f>
        <v/>
      </c>
      <c r="G57" s="92">
        <f>SUM(G32:G56)</f>
        <v/>
      </c>
      <c r="H57" s="94">
        <f>IFERROR(G57/F57,"")</f>
        <v/>
      </c>
      <c r="I57" s="95">
        <f>IFERROR(E57/F57*1000,"")</f>
        <v/>
      </c>
      <c r="J57" s="92">
        <f>SUM(J32:J56)</f>
        <v/>
      </c>
      <c r="K57" s="92">
        <f>SUM(K32:K56)</f>
        <v/>
      </c>
      <c r="L57" s="91">
        <f>IFERROR(E57/K57,"")</f>
        <v/>
      </c>
      <c r="M57" s="32" t="n"/>
      <c r="N57" s="32" t="n"/>
      <c r="O57" s="32" t="n"/>
      <c r="P57" s="32" t="n"/>
    </row>
    <row r="59">
      <c r="A59" s="77" t="inlineStr">
        <is>
          <t>Meta and TikTok rows cover off-platform inventory only (Audience Network / Pangle) — 4.5% and 8.5% of channel spend respectively. Programmatic covers 100% of channel spend. IVT above 2.00% is flagged red and should be added to the exclusion list.</t>
        </is>
      </c>
    </row>
  </sheetData>
  <autoFilter ref="A4:T26"/>
  <mergeCells count="3">
    <mergeCell ref="A1:J1"/>
    <mergeCell ref="A59:P59"/>
    <mergeCell ref="A2:J2"/>
  </mergeCells>
  <conditionalFormatting sqref="N5:N26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conditionalFormatting sqref="N32:N56">
    <cfRule type="cellIs" priority="2" operator="greaterThan" dxfId="0">
      <formula>0.02</formula>
    </cfRule>
  </conditionalFormatting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tabColor rgb="FF6E8FBF"/>
    <outlinePr summaryBelow="1" summaryRight="1"/>
    <pageSetUpPr fitToPage="1"/>
  </sheetPr>
  <dimension ref="A1:S1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J1"/>
    </sheetView>
  </sheetViews>
  <sheetFormatPr baseColWidth="10" defaultColWidth="8.83203125" defaultRowHeight="15"/>
  <cols>
    <col width="18" customWidth="1" style="67" min="1" max="1"/>
    <col width="46" customWidth="1" style="67" min="2" max="2"/>
    <col width="32" customWidth="1" style="67" min="3" max="3"/>
    <col width="14" customWidth="1" style="67" min="4" max="4"/>
    <col width="12" customWidth="1" style="67" min="5" max="5"/>
    <col width="13" customWidth="1" style="67" min="6" max="6"/>
    <col width="14" customWidth="1" style="67" min="7" max="7"/>
    <col width="11" customWidth="1" style="67" min="8" max="8"/>
    <col width="14" customWidth="1" style="67" min="9" max="9"/>
    <col width="12" customWidth="1" style="67" min="10" max="11"/>
    <col width="13" customWidth="1" style="67" min="12" max="12"/>
    <col width="14" customWidth="1" style="67" min="13" max="14"/>
    <col width="13" customWidth="1" style="67" min="15" max="15"/>
    <col width="11" customWidth="1" style="67" min="16" max="16"/>
    <col width="10" customWidth="1" style="67" min="17" max="17"/>
    <col width="14" customWidth="1" style="67" min="18" max="19"/>
  </cols>
  <sheetData>
    <row r="1" ht="24" customHeight="1" s="67">
      <c r="A1" s="71" t="inlineStr">
        <is>
          <t>Landing Page &amp; Destination URL Performance</t>
        </is>
      </c>
    </row>
    <row r="2">
      <c r="A2" s="68" t="inlineStr">
        <is>
          <t>On-site behaviour for every destination URL in the media plan. The conversion point is the test drive booking form on lepas-sa.co.za.</t>
        </is>
      </c>
    </row>
    <row r="4" ht="30" customHeight="1" s="67">
      <c r="A4" s="12" t="inlineStr">
        <is>
          <t>Channel</t>
        </is>
      </c>
      <c r="B4" s="12" t="inlineStr">
        <is>
          <t>Destination URL</t>
        </is>
      </c>
      <c r="C4" s="12" t="inlineStr">
        <is>
          <t>Page Title</t>
        </is>
      </c>
      <c r="D4" s="12" t="inlineStr">
        <is>
          <t>Spend (ZAR)</t>
        </is>
      </c>
      <c r="E4" s="12" t="inlineStr">
        <is>
          <t>Link Clicks</t>
        </is>
      </c>
      <c r="F4" s="12" t="inlineStr">
        <is>
          <t>Sessions (LPV)</t>
        </is>
      </c>
      <c r="G4" s="12" t="inlineStr">
        <is>
          <t>Click-to-Session Rate</t>
        </is>
      </c>
      <c r="H4" s="12" t="inlineStr">
        <is>
          <t>Bounce Rate</t>
        </is>
      </c>
      <c r="I4" s="12" t="inlineStr">
        <is>
          <t>Avg Time on Page</t>
        </is>
      </c>
      <c r="J4" s="12" t="inlineStr">
        <is>
          <t>Form Starts</t>
        </is>
      </c>
      <c r="K4" s="12" t="inlineStr">
        <is>
          <t>Form Start Rate</t>
        </is>
      </c>
      <c r="L4" s="12" t="inlineStr">
        <is>
          <t>Test Drive Bookings</t>
        </is>
      </c>
      <c r="M4" s="12" t="inlineStr">
        <is>
          <t>Form Completion Rate</t>
        </is>
      </c>
      <c r="N4" s="12" t="inlineStr">
        <is>
          <t>Session-to-Booking CVR</t>
        </is>
      </c>
      <c r="O4" s="12" t="inlineStr">
        <is>
          <t>CPL (Cost / Booking)</t>
        </is>
      </c>
      <c r="P4" s="12" t="inlineStr">
        <is>
          <t>Qualified Leads</t>
        </is>
      </c>
      <c r="Q4" s="12" t="inlineStr">
        <is>
          <t>Qualified Rate</t>
        </is>
      </c>
      <c r="R4" s="12" t="inlineStr">
        <is>
          <t>Cost per Qualified Lead</t>
        </is>
      </c>
      <c r="S4" s="12" t="inlineStr">
        <is>
          <t>% of Channel Bookings</t>
        </is>
      </c>
    </row>
    <row r="5">
      <c r="A5" s="6" t="inlineStr">
        <is>
          <t>Meta (FB/IG)</t>
        </is>
      </c>
      <c r="B5" s="39" t="inlineStr">
        <is>
          <t>https://www.lepas-sa.co.za/book-a-test-drive</t>
        </is>
      </c>
      <c r="C5" s="78" t="inlineStr">
        <is>
          <t>Book a Test Drive</t>
        </is>
      </c>
      <c r="D5" s="86" t="n">
        <v>32579.34</v>
      </c>
      <c r="E5" s="87" t="n">
        <v>7709</v>
      </c>
      <c r="F5" s="87" t="n">
        <v>6574</v>
      </c>
      <c r="G5" s="18">
        <f>IFERROR(F5/E5,"")</f>
        <v/>
      </c>
      <c r="H5" s="18" t="n">
        <v>0.4054</v>
      </c>
      <c r="I5" s="40" t="n">
        <v>91.3</v>
      </c>
      <c r="J5" s="87" t="n">
        <v>1547</v>
      </c>
      <c r="K5" s="18">
        <f>IFERROR(J5/F5,"")</f>
        <v/>
      </c>
      <c r="L5" s="87" t="n">
        <v>213</v>
      </c>
      <c r="M5" s="18">
        <f>IFERROR(L5/J5,"")</f>
        <v/>
      </c>
      <c r="N5" s="89">
        <f>IFERROR(L5/F5,"")</f>
        <v/>
      </c>
      <c r="O5" s="86">
        <f>IFERROR(D5/L5,"")</f>
        <v/>
      </c>
      <c r="P5" s="87" t="n">
        <v>144</v>
      </c>
      <c r="Q5" s="18">
        <f>IFERROR(P5/L5,"")</f>
        <v/>
      </c>
      <c r="R5" s="86">
        <f>IFERROR(D5/P5,"")</f>
        <v/>
      </c>
      <c r="S5" s="18">
        <f>IFERROR(L5/SUMIFS($L$5:$L$16,$A$5:$A$16,$A5),"")</f>
        <v/>
      </c>
    </row>
    <row r="6">
      <c r="A6" s="6" t="inlineStr">
        <is>
          <t>Meta (FB/IG)</t>
        </is>
      </c>
      <c r="B6" s="39" t="inlineStr">
        <is>
          <t>https://www.lepas-sa.co.za/offers/amur</t>
        </is>
      </c>
      <c r="C6" s="78" t="inlineStr">
        <is>
          <t>Lepas 1.5 M/T AMUR - Offer</t>
        </is>
      </c>
      <c r="D6" s="86" t="n">
        <v>47098.51</v>
      </c>
      <c r="E6" s="87" t="n">
        <v>7991</v>
      </c>
      <c r="F6" s="87" t="n">
        <v>6788</v>
      </c>
      <c r="G6" s="18">
        <f>IFERROR(F6/E6,"")</f>
        <v/>
      </c>
      <c r="H6" s="18" t="n">
        <v>0.512</v>
      </c>
      <c r="I6" s="40" t="n">
        <v>66.09999999999999</v>
      </c>
      <c r="J6" s="87" t="n">
        <v>1808</v>
      </c>
      <c r="K6" s="18">
        <f>IFERROR(J6/F6,"")</f>
        <v/>
      </c>
      <c r="L6" s="87" t="n">
        <v>135</v>
      </c>
      <c r="M6" s="18">
        <f>IFERROR(L6/J6,"")</f>
        <v/>
      </c>
      <c r="N6" s="89">
        <f>IFERROR(L6/F6,"")</f>
        <v/>
      </c>
      <c r="O6" s="86">
        <f>IFERROR(D6/L6,"")</f>
        <v/>
      </c>
      <c r="P6" s="87" t="n">
        <v>90</v>
      </c>
      <c r="Q6" s="18">
        <f>IFERROR(P6/L6,"")</f>
        <v/>
      </c>
      <c r="R6" s="86">
        <f>IFERROR(D6/P6,"")</f>
        <v/>
      </c>
      <c r="S6" s="18">
        <f>IFERROR(L6/SUMIFS($L$5:$L$16,$A$5:$A$16,$A6),"")</f>
        <v/>
      </c>
    </row>
    <row r="7">
      <c r="A7" s="6" t="inlineStr">
        <is>
          <t>Meta (FB/IG)</t>
        </is>
      </c>
      <c r="B7" s="39" t="inlineStr">
        <is>
          <t>https://www.lepas-sa.co.za/offers/javan</t>
        </is>
      </c>
      <c r="C7" s="78" t="inlineStr">
        <is>
          <t>Lepas 1.5T DCT JAVAN - Offer</t>
        </is>
      </c>
      <c r="D7" s="86" t="n">
        <v>46606.03</v>
      </c>
      <c r="E7" s="87" t="n">
        <v>8158</v>
      </c>
      <c r="F7" s="87" t="n">
        <v>6971</v>
      </c>
      <c r="G7" s="18">
        <f>IFERROR(F7/E7,"")</f>
        <v/>
      </c>
      <c r="H7" s="18" t="n">
        <v>0.5032</v>
      </c>
      <c r="I7" s="40" t="n">
        <v>51</v>
      </c>
      <c r="J7" s="87" t="n">
        <v>1914</v>
      </c>
      <c r="K7" s="18">
        <f>IFERROR(J7/F7,"")</f>
        <v/>
      </c>
      <c r="L7" s="87" t="n">
        <v>147</v>
      </c>
      <c r="M7" s="18">
        <f>IFERROR(L7/J7,"")</f>
        <v/>
      </c>
      <c r="N7" s="89">
        <f>IFERROR(L7/F7,"")</f>
        <v/>
      </c>
      <c r="O7" s="86">
        <f>IFERROR(D7/L7,"")</f>
        <v/>
      </c>
      <c r="P7" s="87" t="n">
        <v>92</v>
      </c>
      <c r="Q7" s="18">
        <f>IFERROR(P7/L7,"")</f>
        <v/>
      </c>
      <c r="R7" s="86">
        <f>IFERROR(D7/P7,"")</f>
        <v/>
      </c>
      <c r="S7" s="18">
        <f>IFERROR(L7/SUMIFS($L$5:$L$16,$A$5:$A$16,$A7),"")</f>
        <v/>
      </c>
    </row>
    <row r="8">
      <c r="A8" s="6" t="inlineStr">
        <is>
          <t>Meta (FB/IG)</t>
        </is>
      </c>
      <c r="B8" s="39" t="inlineStr">
        <is>
          <t>https://www.lepas-sa.co.za/offers/pantera</t>
        </is>
      </c>
      <c r="C8" s="78" t="inlineStr">
        <is>
          <t>Lepas 1.5T DCT PANTERA - Offer</t>
        </is>
      </c>
      <c r="D8" s="86" t="n">
        <v>41716.12</v>
      </c>
      <c r="E8" s="87" t="n">
        <v>7331</v>
      </c>
      <c r="F8" s="87" t="n">
        <v>6218</v>
      </c>
      <c r="G8" s="18">
        <f>IFERROR(F8/E8,"")</f>
        <v/>
      </c>
      <c r="H8" s="18" t="n">
        <v>0.5557</v>
      </c>
      <c r="I8" s="40" t="n">
        <v>85.90000000000001</v>
      </c>
      <c r="J8" s="87" t="n">
        <v>1037</v>
      </c>
      <c r="K8" s="18">
        <f>IFERROR(J8/F8,"")</f>
        <v/>
      </c>
      <c r="L8" s="87" t="n">
        <v>113</v>
      </c>
      <c r="M8" s="18">
        <f>IFERROR(L8/J8,"")</f>
        <v/>
      </c>
      <c r="N8" s="89">
        <f>IFERROR(L8/F8,"")</f>
        <v/>
      </c>
      <c r="O8" s="86">
        <f>IFERROR(D8/L8,"")</f>
        <v/>
      </c>
      <c r="P8" s="87" t="n">
        <v>71</v>
      </c>
      <c r="Q8" s="18">
        <f>IFERROR(P8/L8,"")</f>
        <v/>
      </c>
      <c r="R8" s="86">
        <f>IFERROR(D8/P8,"")</f>
        <v/>
      </c>
      <c r="S8" s="18">
        <f>IFERROR(L8/SUMIFS($L$5:$L$16,$A$5:$A$16,$A8),"")</f>
        <v/>
      </c>
    </row>
    <row r="9">
      <c r="A9" s="6" t="inlineStr">
        <is>
          <t>TikTok</t>
        </is>
      </c>
      <c r="B9" s="39" t="inlineStr">
        <is>
          <t>https://www.lepas-sa.co.za/book-a-test-drive</t>
        </is>
      </c>
      <c r="C9" s="78" t="inlineStr">
        <is>
          <t>Book a Test Drive</t>
        </is>
      </c>
      <c r="D9" s="86" t="n">
        <v>8269.440000000001</v>
      </c>
      <c r="E9" s="87" t="n">
        <v>2792</v>
      </c>
      <c r="F9" s="87" t="n">
        <v>1918</v>
      </c>
      <c r="G9" s="18">
        <f>IFERROR(F9/E9,"")</f>
        <v/>
      </c>
      <c r="H9" s="18" t="n">
        <v>0.3548</v>
      </c>
      <c r="I9" s="40" t="n">
        <v>113.2</v>
      </c>
      <c r="J9" s="87" t="n">
        <v>476</v>
      </c>
      <c r="K9" s="18">
        <f>IFERROR(J9/F9,"")</f>
        <v/>
      </c>
      <c r="L9" s="87" t="n">
        <v>36</v>
      </c>
      <c r="M9" s="18">
        <f>IFERROR(L9/J9,"")</f>
        <v/>
      </c>
      <c r="N9" s="89">
        <f>IFERROR(L9/F9,"")</f>
        <v/>
      </c>
      <c r="O9" s="86">
        <f>IFERROR(D9/L9,"")</f>
        <v/>
      </c>
      <c r="P9" s="87" t="n">
        <v>11</v>
      </c>
      <c r="Q9" s="18">
        <f>IFERROR(P9/L9,"")</f>
        <v/>
      </c>
      <c r="R9" s="86">
        <f>IFERROR(D9/P9,"")</f>
        <v/>
      </c>
      <c r="S9" s="18">
        <f>IFERROR(L9/SUMIFS($L$5:$L$16,$A$5:$A$16,$A9),"")</f>
        <v/>
      </c>
    </row>
    <row r="10">
      <c r="A10" s="6" t="inlineStr">
        <is>
          <t>TikTok</t>
        </is>
      </c>
      <c r="B10" s="39" t="inlineStr">
        <is>
          <t>https://www.lepas-sa.co.za/offers</t>
        </is>
      </c>
      <c r="C10" s="78" t="inlineStr">
        <is>
          <t>Lepas Offers - All Models</t>
        </is>
      </c>
      <c r="D10" s="86" t="n">
        <v>11203.84</v>
      </c>
      <c r="E10" s="87" t="n">
        <v>2414</v>
      </c>
      <c r="F10" s="87" t="n">
        <v>1647</v>
      </c>
      <c r="G10" s="18">
        <f>IFERROR(F10/E10,"")</f>
        <v/>
      </c>
      <c r="H10" s="18" t="n">
        <v>0.4791</v>
      </c>
      <c r="I10" s="40" t="n">
        <v>68.90000000000001</v>
      </c>
      <c r="J10" s="87" t="n">
        <v>282</v>
      </c>
      <c r="K10" s="18">
        <f>IFERROR(J10/F10,"")</f>
        <v/>
      </c>
      <c r="L10" s="87" t="n">
        <v>17</v>
      </c>
      <c r="M10" s="18">
        <f>IFERROR(L10/J10,"")</f>
        <v/>
      </c>
      <c r="N10" s="89">
        <f>IFERROR(L10/F10,"")</f>
        <v/>
      </c>
      <c r="O10" s="86">
        <f>IFERROR(D10/L10,"")</f>
        <v/>
      </c>
      <c r="P10" s="87" t="n">
        <v>10</v>
      </c>
      <c r="Q10" s="18">
        <f>IFERROR(P10/L10,"")</f>
        <v/>
      </c>
      <c r="R10" s="86">
        <f>IFERROR(D10/P10,"")</f>
        <v/>
      </c>
      <c r="S10" s="18">
        <f>IFERROR(L10/SUMIFS($L$5:$L$16,$A$5:$A$16,$A10),"")</f>
        <v/>
      </c>
    </row>
    <row r="11">
      <c r="A11" s="6" t="inlineStr">
        <is>
          <t>TikTok</t>
        </is>
      </c>
      <c r="B11" s="39" t="inlineStr">
        <is>
          <t>https://www.lepas-sa.co.za/offers/amur</t>
        </is>
      </c>
      <c r="C11" s="78" t="inlineStr">
        <is>
          <t>Lepas 1.5 M/T AMUR - Offer</t>
        </is>
      </c>
      <c r="D11" s="86" t="n">
        <v>33111.61</v>
      </c>
      <c r="E11" s="87" t="n">
        <v>7934</v>
      </c>
      <c r="F11" s="87" t="n">
        <v>5384</v>
      </c>
      <c r="G11" s="18">
        <f>IFERROR(F11/E11,"")</f>
        <v/>
      </c>
      <c r="H11" s="18" t="n">
        <v>0.5511</v>
      </c>
      <c r="I11" s="40" t="n">
        <v>90.8</v>
      </c>
      <c r="J11" s="87" t="n">
        <v>1227</v>
      </c>
      <c r="K11" s="18">
        <f>IFERROR(J11/F11,"")</f>
        <v/>
      </c>
      <c r="L11" s="87" t="n">
        <v>53</v>
      </c>
      <c r="M11" s="18">
        <f>IFERROR(L11/J11,"")</f>
        <v/>
      </c>
      <c r="N11" s="89">
        <f>IFERROR(L11/F11,"")</f>
        <v/>
      </c>
      <c r="O11" s="86">
        <f>IFERROR(D11/L11,"")</f>
        <v/>
      </c>
      <c r="P11" s="87" t="n">
        <v>32</v>
      </c>
      <c r="Q11" s="18">
        <f>IFERROR(P11/L11,"")</f>
        <v/>
      </c>
      <c r="R11" s="86">
        <f>IFERROR(D11/P11,"")</f>
        <v/>
      </c>
      <c r="S11" s="18">
        <f>IFERROR(L11/SUMIFS($L$5:$L$16,$A$5:$A$16,$A11),"")</f>
        <v/>
      </c>
    </row>
    <row r="12">
      <c r="A12" s="6" t="inlineStr">
        <is>
          <t>TikTok</t>
        </is>
      </c>
      <c r="B12" s="39" t="inlineStr">
        <is>
          <t>https://www.lepas-sa.co.za/offers/pantera</t>
        </is>
      </c>
      <c r="C12" s="78" t="inlineStr">
        <is>
          <t>Lepas 1.5T DCT PANTERA - Offer</t>
        </is>
      </c>
      <c r="D12" s="86" t="n">
        <v>31415.11</v>
      </c>
      <c r="E12" s="87" t="n">
        <v>7698</v>
      </c>
      <c r="F12" s="87" t="n">
        <v>5284</v>
      </c>
      <c r="G12" s="18">
        <f>IFERROR(F12/E12,"")</f>
        <v/>
      </c>
      <c r="H12" s="18" t="n">
        <v>0.6192</v>
      </c>
      <c r="I12" s="40" t="n">
        <v>107.9</v>
      </c>
      <c r="J12" s="87" t="n">
        <v>862</v>
      </c>
      <c r="K12" s="18">
        <f>IFERROR(J12/F12,"")</f>
        <v/>
      </c>
      <c r="L12" s="87" t="n">
        <v>68</v>
      </c>
      <c r="M12" s="18">
        <f>IFERROR(L12/J12,"")</f>
        <v/>
      </c>
      <c r="N12" s="89">
        <f>IFERROR(L12/F12,"")</f>
        <v/>
      </c>
      <c r="O12" s="86">
        <f>IFERROR(D12/L12,"")</f>
        <v/>
      </c>
      <c r="P12" s="87" t="n">
        <v>42</v>
      </c>
      <c r="Q12" s="18">
        <f>IFERROR(P12/L12,"")</f>
        <v/>
      </c>
      <c r="R12" s="86">
        <f>IFERROR(D12/P12,"")</f>
        <v/>
      </c>
      <c r="S12" s="18">
        <f>IFERROR(L12/SUMIFS($L$5:$L$16,$A$5:$A$16,$A12),"")</f>
        <v/>
      </c>
    </row>
    <row r="13">
      <c r="A13" s="6" t="inlineStr">
        <is>
          <t>Programmatic</t>
        </is>
      </c>
      <c r="B13" s="39" t="inlineStr">
        <is>
          <t>https://www.lepas-sa.co.za/book-a-test-drive</t>
        </is>
      </c>
      <c r="C13" s="78" t="inlineStr">
        <is>
          <t>Book a Test Drive</t>
        </is>
      </c>
      <c r="D13" s="86" t="n">
        <v>25148.58</v>
      </c>
      <c r="E13" s="87" t="n">
        <v>2616</v>
      </c>
      <c r="F13" s="87" t="n">
        <v>1673</v>
      </c>
      <c r="G13" s="18">
        <f>IFERROR(F13/E13,"")</f>
        <v/>
      </c>
      <c r="H13" s="18" t="n">
        <v>0.3169</v>
      </c>
      <c r="I13" s="40" t="n">
        <v>72.59999999999999</v>
      </c>
      <c r="J13" s="87" t="n">
        <v>367</v>
      </c>
      <c r="K13" s="18">
        <f>IFERROR(J13/F13,"")</f>
        <v/>
      </c>
      <c r="L13" s="87" t="n">
        <v>76</v>
      </c>
      <c r="M13" s="18">
        <f>IFERROR(L13/J13,"")</f>
        <v/>
      </c>
      <c r="N13" s="89">
        <f>IFERROR(L13/F13,"")</f>
        <v/>
      </c>
      <c r="O13" s="86">
        <f>IFERROR(D13/L13,"")</f>
        <v/>
      </c>
      <c r="P13" s="87" t="n">
        <v>40</v>
      </c>
      <c r="Q13" s="18">
        <f>IFERROR(P13/L13,"")</f>
        <v/>
      </c>
      <c r="R13" s="86">
        <f>IFERROR(D13/P13,"")</f>
        <v/>
      </c>
      <c r="S13" s="18">
        <f>IFERROR(L13/SUMIFS($L$5:$L$16,$A$5:$A$16,$A13),"")</f>
        <v/>
      </c>
    </row>
    <row r="14">
      <c r="A14" s="6" t="inlineStr">
        <is>
          <t>Programmatic</t>
        </is>
      </c>
      <c r="B14" s="39" t="inlineStr">
        <is>
          <t>https://www.lepas-sa.co.za/offers</t>
        </is>
      </c>
      <c r="C14" s="78" t="inlineStr">
        <is>
          <t>Lepas Offers - All Models</t>
        </is>
      </c>
      <c r="D14" s="86" t="n">
        <v>74851.42</v>
      </c>
      <c r="E14" s="87" t="n">
        <v>5035</v>
      </c>
      <c r="F14" s="87" t="n">
        <v>3198</v>
      </c>
      <c r="G14" s="18">
        <f>IFERROR(F14/E14,"")</f>
        <v/>
      </c>
      <c r="H14" s="18" t="n">
        <v>0.5615</v>
      </c>
      <c r="I14" s="40" t="n">
        <v>127.5</v>
      </c>
      <c r="J14" s="87" t="n">
        <v>548</v>
      </c>
      <c r="K14" s="18">
        <f>IFERROR(J14/F14,"")</f>
        <v/>
      </c>
      <c r="L14" s="87" t="n">
        <v>58</v>
      </c>
      <c r="M14" s="18">
        <f>IFERROR(L14/J14,"")</f>
        <v/>
      </c>
      <c r="N14" s="89">
        <f>IFERROR(L14/F14,"")</f>
        <v/>
      </c>
      <c r="O14" s="86">
        <f>IFERROR(D14/L14,"")</f>
        <v/>
      </c>
      <c r="P14" s="87" t="n">
        <v>31</v>
      </c>
      <c r="Q14" s="18">
        <f>IFERROR(P14/L14,"")</f>
        <v/>
      </c>
      <c r="R14" s="86">
        <f>IFERROR(D14/P14,"")</f>
        <v/>
      </c>
      <c r="S14" s="18">
        <f>IFERROR(L14/SUMIFS($L$5:$L$16,$A$5:$A$16,$A14),"")</f>
        <v/>
      </c>
    </row>
    <row r="15">
      <c r="A15" s="6" t="inlineStr">
        <is>
          <t>X</t>
        </is>
      </c>
      <c r="B15" s="39" t="inlineStr">
        <is>
          <t>https://www.lepas-sa.co.za/book-a-test-drive</t>
        </is>
      </c>
      <c r="C15" s="78" t="inlineStr">
        <is>
          <t>Book a Test Drive</t>
        </is>
      </c>
      <c r="D15" s="86" t="n">
        <v>9944.280000000001</v>
      </c>
      <c r="E15" s="87" t="n">
        <v>1481</v>
      </c>
      <c r="F15" s="87" t="n">
        <v>1136</v>
      </c>
      <c r="G15" s="18">
        <f>IFERROR(F15/E15,"")</f>
        <v/>
      </c>
      <c r="H15" s="18" t="n">
        <v>0.3484</v>
      </c>
      <c r="I15" s="40" t="n">
        <v>79.2</v>
      </c>
      <c r="J15" s="87" t="n">
        <v>291</v>
      </c>
      <c r="K15" s="18">
        <f>IFERROR(J15/F15,"")</f>
        <v/>
      </c>
      <c r="L15" s="87" t="n">
        <v>27</v>
      </c>
      <c r="M15" s="18">
        <f>IFERROR(L15/J15,"")</f>
        <v/>
      </c>
      <c r="N15" s="89">
        <f>IFERROR(L15/F15,"")</f>
        <v/>
      </c>
      <c r="O15" s="86">
        <f>IFERROR(D15/L15,"")</f>
        <v/>
      </c>
      <c r="P15" s="87" t="n">
        <v>16</v>
      </c>
      <c r="Q15" s="18">
        <f>IFERROR(P15/L15,"")</f>
        <v/>
      </c>
      <c r="R15" s="86">
        <f>IFERROR(D15/P15,"")</f>
        <v/>
      </c>
      <c r="S15" s="18">
        <f>IFERROR(L15/SUMIFS($L$5:$L$16,$A$5:$A$16,$A15),"")</f>
        <v/>
      </c>
    </row>
    <row r="16">
      <c r="A16" s="6" t="inlineStr">
        <is>
          <t>X</t>
        </is>
      </c>
      <c r="B16" s="39" t="inlineStr">
        <is>
          <t>https://www.lepas-sa.co.za/offers</t>
        </is>
      </c>
      <c r="C16" s="78" t="inlineStr">
        <is>
          <t>Lepas Offers - All Models</t>
        </is>
      </c>
      <c r="D16" s="86" t="n">
        <v>38055.72</v>
      </c>
      <c r="E16" s="87" t="n">
        <v>4076</v>
      </c>
      <c r="F16" s="87" t="n">
        <v>3093</v>
      </c>
      <c r="G16" s="18">
        <f>IFERROR(F16/E16,"")</f>
        <v/>
      </c>
      <c r="H16" s="18" t="n">
        <v>0.6217</v>
      </c>
      <c r="I16" s="40" t="n">
        <v>131.7</v>
      </c>
      <c r="J16" s="87" t="n">
        <v>730</v>
      </c>
      <c r="K16" s="18">
        <f>IFERROR(J16/F16,"")</f>
        <v/>
      </c>
      <c r="L16" s="87" t="n">
        <v>44</v>
      </c>
      <c r="M16" s="18">
        <f>IFERROR(L16/J16,"")</f>
        <v/>
      </c>
      <c r="N16" s="89">
        <f>IFERROR(L16/F16,"")</f>
        <v/>
      </c>
      <c r="O16" s="86">
        <f>IFERROR(D16/L16,"")</f>
        <v/>
      </c>
      <c r="P16" s="87" t="n">
        <v>31</v>
      </c>
      <c r="Q16" s="18">
        <f>IFERROR(P16/L16,"")</f>
        <v/>
      </c>
      <c r="R16" s="86">
        <f>IFERROR(D16/P16,"")</f>
        <v/>
      </c>
      <c r="S16" s="18">
        <f>IFERROR(L16/SUMIFS($L$5:$L$16,$A$5:$A$16,$A16),"")</f>
        <v/>
      </c>
    </row>
    <row r="17">
      <c r="A17" s="19" t="inlineStr">
        <is>
          <t>TOTAL</t>
        </is>
      </c>
      <c r="B17" s="32" t="n"/>
      <c r="C17" s="32" t="n"/>
      <c r="D17" s="91">
        <f>SUM(D5:D16)</f>
        <v/>
      </c>
      <c r="E17" s="92">
        <f>SUM(E5:E16)</f>
        <v/>
      </c>
      <c r="F17" s="92">
        <f>SUM(F5:F16)</f>
        <v/>
      </c>
      <c r="G17" s="25">
        <f>IFERROR(F17/E17,"")</f>
        <v/>
      </c>
      <c r="H17" s="32" t="n"/>
      <c r="I17" s="32" t="n"/>
      <c r="J17" s="92">
        <f>SUM(J5:J16)</f>
        <v/>
      </c>
      <c r="K17" s="25">
        <f>IFERROR(J17/F17,"")</f>
        <v/>
      </c>
      <c r="L17" s="92">
        <f>SUM(L5:L16)</f>
        <v/>
      </c>
      <c r="M17" s="25">
        <f>IFERROR(L17/J17,"")</f>
        <v/>
      </c>
      <c r="N17" s="94">
        <f>IFERROR(L17/F17,"")</f>
        <v/>
      </c>
      <c r="O17" s="91">
        <f>IFERROR(D17/L17,"")</f>
        <v/>
      </c>
      <c r="P17" s="92">
        <f>SUM(P5:P16)</f>
        <v/>
      </c>
      <c r="Q17" s="25">
        <f>IFERROR(P17/L17,"")</f>
        <v/>
      </c>
      <c r="R17" s="91">
        <f>IFERROR(D17/P17,"")</f>
        <v/>
      </c>
      <c r="S17" s="32" t="n"/>
    </row>
  </sheetData>
  <autoFilter ref="A4:S16"/>
  <mergeCells count="2">
    <mergeCell ref="A1:J1"/>
    <mergeCell ref="A2:J2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tabColor rgb="FFB8873B"/>
    <outlinePr summaryBelow="1" summaryRight="1"/>
    <pageSetUpPr fitToPage="1"/>
  </sheetPr>
  <dimension ref="A1:AU2552"/>
  <sheetViews>
    <sheetView showGridLines="0" tabSelected="1" workbookViewId="0">
      <pane xSplit="5" ySplit="1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1" customWidth="1" style="67" min="1" max="1"/>
    <col width="7" customWidth="1" style="67" min="2" max="2"/>
    <col width="6" customWidth="1" style="67" min="3" max="3"/>
    <col width="15" customWidth="1" style="67" min="4" max="4"/>
    <col width="20" customWidth="1" style="67" min="5" max="5"/>
    <col width="38" customWidth="1" style="67" min="6" max="6"/>
    <col width="26" customWidth="1" style="67" min="7" max="7"/>
    <col width="10" customWidth="1" style="67" min="8" max="8"/>
    <col width="14" customWidth="1" style="67" min="9" max="9"/>
    <col width="28" customWidth="1" style="67" min="10" max="10"/>
    <col width="14" customWidth="1" style="67" min="11" max="11"/>
    <col width="32" customWidth="1" style="67" min="12" max="12"/>
    <col width="22" customWidth="1" style="67" min="13" max="13"/>
    <col width="38" customWidth="1" style="67" min="14" max="14"/>
    <col width="26" customWidth="1" style="67" min="15" max="15"/>
    <col width="24" customWidth="1" style="67" min="16" max="16"/>
    <col width="44" customWidth="1" style="67" min="17" max="17"/>
    <col width="13" customWidth="1" style="67" min="18" max="18"/>
    <col width="12" customWidth="1" style="67" min="19" max="19"/>
    <col width="11" customWidth="1" style="67" min="20" max="20"/>
    <col width="10" customWidth="1" style="67" min="21" max="21"/>
    <col width="11" customWidth="1" style="67" min="22" max="23"/>
    <col width="10" customWidth="1" style="67" min="24" max="26"/>
    <col width="12" customWidth="1" style="67" min="27" max="27"/>
    <col width="9" customWidth="1" style="67" min="28" max="28"/>
    <col width="11" customWidth="1" style="67" min="29" max="33"/>
    <col width="12" customWidth="1" style="67" min="34" max="34"/>
    <col width="10" customWidth="1" style="67" min="35" max="35"/>
    <col width="11" customWidth="1" style="67" min="36" max="36"/>
    <col width="12" customWidth="1" style="67" min="37" max="38"/>
    <col width="11" customWidth="1" style="67" min="39" max="41"/>
    <col width="10" customWidth="1" style="67" min="42" max="42"/>
    <col width="12" customWidth="1" style="67" min="43" max="45"/>
    <col width="13" customWidth="1" style="67" min="46" max="46"/>
    <col width="16" customWidth="1" style="67" min="47" max="47"/>
  </cols>
  <sheetData>
    <row r="1" ht="30" customHeight="1" s="67">
      <c r="A1" s="12" t="inlineStr">
        <is>
          <t>Date</t>
        </is>
      </c>
      <c r="B1" s="12" t="inlineStr">
        <is>
          <t>Week</t>
        </is>
      </c>
      <c r="C1" s="12" t="inlineStr">
        <is>
          <t>Day of Week</t>
        </is>
      </c>
      <c r="D1" s="12" t="inlineStr">
        <is>
          <t>Channel</t>
        </is>
      </c>
      <c r="E1" s="12" t="inlineStr">
        <is>
          <t>Sub-Platform</t>
        </is>
      </c>
      <c r="F1" s="12" t="inlineStr">
        <is>
          <t>Campaign Name</t>
        </is>
      </c>
      <c r="G1" s="12" t="inlineStr">
        <is>
          <t>Campaign Objective</t>
        </is>
      </c>
      <c r="H1" s="12" t="inlineStr">
        <is>
          <t>Model</t>
        </is>
      </c>
      <c r="I1" s="12" t="inlineStr">
        <is>
          <t>Offer</t>
        </is>
      </c>
      <c r="J1" s="12" t="inlineStr">
        <is>
          <t>Ad Set / Line Item</t>
        </is>
      </c>
      <c r="K1" s="12" t="inlineStr">
        <is>
          <t>Audience Type</t>
        </is>
      </c>
      <c r="L1" s="12" t="inlineStr">
        <is>
          <t>Creative Name</t>
        </is>
      </c>
      <c r="M1" s="12" t="inlineStr">
        <is>
          <t>Creative Format</t>
        </is>
      </c>
      <c r="N1" s="12" t="inlineStr">
        <is>
          <t>Creative Hook / Message</t>
        </is>
      </c>
      <c r="O1" s="12" t="inlineStr">
        <is>
          <t>Buying Type</t>
        </is>
      </c>
      <c r="P1" s="12" t="inlineStr">
        <is>
          <t>Optimisation Goal</t>
        </is>
      </c>
      <c r="Q1" s="12" t="inlineStr">
        <is>
          <t>Destination URL</t>
        </is>
      </c>
      <c r="R1" s="12" t="inlineStr">
        <is>
          <t>Spend (ZAR)</t>
        </is>
      </c>
      <c r="S1" s="12" t="inlineStr">
        <is>
          <t>Impressions</t>
        </is>
      </c>
      <c r="T1" s="12" t="inlineStr">
        <is>
          <t>Reach</t>
        </is>
      </c>
      <c r="U1" s="12" t="inlineStr">
        <is>
          <t>Frequency</t>
        </is>
      </c>
      <c r="V1" s="12" t="inlineStr">
        <is>
          <t>Clicks (All)</t>
        </is>
      </c>
      <c r="W1" s="12" t="inlineStr">
        <is>
          <t>Link Clicks</t>
        </is>
      </c>
      <c r="X1" s="12" t="inlineStr">
        <is>
          <t>CTR (Link)</t>
        </is>
      </c>
      <c r="Y1" s="12" t="inlineStr">
        <is>
          <t>CPC (Link)</t>
        </is>
      </c>
      <c r="Z1" s="12" t="inlineStr">
        <is>
          <t>CPM</t>
        </is>
      </c>
      <c r="AA1" s="12" t="inlineStr">
        <is>
          <t>Landing Page Views</t>
        </is>
      </c>
      <c r="AB1" s="12" t="inlineStr">
        <is>
          <t>LPV Rate</t>
        </is>
      </c>
      <c r="AC1" s="12" t="inlineStr">
        <is>
          <t>Video Views 3s</t>
        </is>
      </c>
      <c r="AD1" s="12" t="inlineStr">
        <is>
          <t>Video Views 6s</t>
        </is>
      </c>
      <c r="AE1" s="12" t="inlineStr">
        <is>
          <t>Video Views 25%</t>
        </is>
      </c>
      <c r="AF1" s="12" t="inlineStr">
        <is>
          <t>Video Views 50%</t>
        </is>
      </c>
      <c r="AG1" s="12" t="inlineStr">
        <is>
          <t>Video Views 75%</t>
        </is>
      </c>
      <c r="AH1" s="12" t="inlineStr">
        <is>
          <t>Video Views 100%</t>
        </is>
      </c>
      <c r="AI1" s="12" t="inlineStr">
        <is>
          <t>Hook Rate (3s)</t>
        </is>
      </c>
      <c r="AJ1" s="12" t="inlineStr">
        <is>
          <t>Video Completion Rate</t>
        </is>
      </c>
      <c r="AK1" s="12" t="inlineStr">
        <is>
          <t>Engagements</t>
        </is>
      </c>
      <c r="AL1" s="12" t="inlineStr">
        <is>
          <t>Test Drive Bookings</t>
        </is>
      </c>
      <c r="AM1" s="12" t="inlineStr">
        <is>
          <t>CVR (Booking / LPV)</t>
        </is>
      </c>
      <c r="AN1" s="12" t="inlineStr">
        <is>
          <t>CPL (Cost / Booking)</t>
        </is>
      </c>
      <c r="AO1" s="12" t="inlineStr">
        <is>
          <t>Qualified Leads</t>
        </is>
      </c>
      <c r="AP1" s="12" t="inlineStr">
        <is>
          <t>Qualified Rate</t>
        </is>
      </c>
      <c r="AQ1" s="12" t="inlineStr">
        <is>
          <t>Cost per Qualified Lead</t>
        </is>
      </c>
      <c r="AR1" s="12" t="inlineStr">
        <is>
          <t>View-Through Conversions</t>
        </is>
      </c>
      <c r="AS1" s="12" t="inlineStr">
        <is>
          <t>Assisted Conversions</t>
        </is>
      </c>
      <c r="AT1" s="12" t="inlineStr">
        <is>
          <t>Total Attributed Conversions</t>
        </is>
      </c>
      <c r="AU1" s="12" t="inlineStr">
        <is>
          <t>Est. Revenue Pipeline (ZAR)</t>
        </is>
      </c>
    </row>
    <row r="2">
      <c r="A2" s="114" t="n">
        <v>46235</v>
      </c>
      <c r="B2" s="42" t="inlineStr">
        <is>
          <t>Wk 31</t>
        </is>
      </c>
      <c r="C2" s="42" t="inlineStr">
        <is>
          <t>Sat</t>
        </is>
      </c>
      <c r="D2" s="42" t="inlineStr">
        <is>
          <t>Meta (FB/IG)</t>
        </is>
      </c>
      <c r="E2" s="42" t="inlineStr">
        <is>
          <t>Facebook + Instagram</t>
        </is>
      </c>
      <c r="F2" s="42" t="inlineStr">
        <is>
          <t>LEP_ZA_AUG26_META_TD_AMUR_CONV</t>
        </is>
      </c>
      <c r="G2" s="42" t="inlineStr">
        <is>
          <t>Leads - Website Conversions</t>
        </is>
      </c>
      <c r="H2" s="42" t="inlineStr">
        <is>
          <t>AMUR</t>
        </is>
      </c>
      <c r="I2" s="42" t="inlineStr">
        <is>
          <t>0% Deposit</t>
        </is>
      </c>
      <c r="J2" s="42" t="inlineStr">
        <is>
          <t>MET_AMUR_BROAD_25-54_ZA</t>
        </is>
      </c>
      <c r="K2" s="42" t="inlineStr">
        <is>
          <t>Prospecting</t>
        </is>
      </c>
      <c r="L2" s="42" t="inlineStr">
        <is>
          <t>AMUR_VID_15s_CityDrive_v1</t>
        </is>
      </c>
      <c r="M2" s="42" t="inlineStr">
        <is>
          <t>Video 9:16</t>
        </is>
      </c>
      <c r="N2" s="42" t="inlineStr">
        <is>
          <t>Your first Lepas. R3 599pm.</t>
        </is>
      </c>
      <c r="O2" s="42" t="inlineStr">
        <is>
          <t>Auction - Lowest Cost</t>
        </is>
      </c>
      <c r="P2" s="42" t="inlineStr">
        <is>
          <t>Offsite Conversions</t>
        </is>
      </c>
      <c r="Q2" s="42" t="inlineStr">
        <is>
          <t>https://www.lepas-sa.co.za/offers/amur</t>
        </is>
      </c>
      <c r="R2" s="115" t="n">
        <v>318.3</v>
      </c>
      <c r="S2" s="116" t="n">
        <v>3827</v>
      </c>
      <c r="T2" s="116" t="n">
        <v>3441</v>
      </c>
      <c r="U2" s="117">
        <f>IFERROR(S2/T2,"")</f>
        <v/>
      </c>
      <c r="V2" s="116" t="n">
        <v>68</v>
      </c>
      <c r="W2" s="116" t="n">
        <v>56</v>
      </c>
      <c r="X2" s="118">
        <f>IFERROR(W2/S2,"")</f>
        <v/>
      </c>
      <c r="Y2" s="115">
        <f>IFERROR(R2/W2,"")</f>
        <v/>
      </c>
      <c r="Z2" s="115">
        <f>IFERROR(R2/S2*1000,"")</f>
        <v/>
      </c>
      <c r="AA2" s="116" t="n">
        <v>45</v>
      </c>
      <c r="AB2" s="47">
        <f>IFERROR(AA2/W2,"")</f>
        <v/>
      </c>
      <c r="AC2" s="116" t="n">
        <v>1533</v>
      </c>
      <c r="AD2" s="116" t="n">
        <v>691</v>
      </c>
      <c r="AE2" s="116" t="n">
        <v>814</v>
      </c>
      <c r="AF2" s="116" t="n">
        <v>454</v>
      </c>
      <c r="AG2" s="116" t="n">
        <v>352</v>
      </c>
      <c r="AH2" s="116" t="n">
        <v>253</v>
      </c>
      <c r="AI2" s="47">
        <f>IFERROR(AC2/S2,"")</f>
        <v/>
      </c>
      <c r="AJ2" s="47">
        <f>IFERROR(AH2/S2,"")</f>
        <v/>
      </c>
      <c r="AK2" s="116" t="n">
        <v>96</v>
      </c>
      <c r="AL2" s="116" t="n">
        <v>1</v>
      </c>
      <c r="AM2" s="118">
        <f>IFERROR(AL2/AA2,"")</f>
        <v/>
      </c>
      <c r="AN2" s="119">
        <f>IFERROR(R2/AL2,"")</f>
        <v/>
      </c>
      <c r="AO2" s="116" t="n">
        <v>1</v>
      </c>
      <c r="AP2" s="47">
        <f>IFERROR(AO2/AL2,"")</f>
        <v/>
      </c>
      <c r="AQ2" s="119">
        <f>IFERROR(R2/AO2,"")</f>
        <v/>
      </c>
      <c r="AR2" s="116" t="n">
        <v>0</v>
      </c>
      <c r="AS2" s="116" t="n">
        <v>1</v>
      </c>
      <c r="AT2" s="116">
        <f>AL2+AR2</f>
        <v/>
      </c>
      <c r="AU2" s="119">
        <f>IFERROR(AO2*Assumptions!$C$26*Assumptions!$C$27*INDEX(Assumptions!$C$18:$C$21,MATCH(H2,Assumptions!$B$18:$B$21,0)),0)</f>
        <v/>
      </c>
    </row>
    <row r="3">
      <c r="A3" s="114" t="n">
        <v>46236</v>
      </c>
      <c r="B3" s="42" t="inlineStr">
        <is>
          <t>Wk 31</t>
        </is>
      </c>
      <c r="C3" s="42" t="inlineStr">
        <is>
          <t>Sun</t>
        </is>
      </c>
      <c r="D3" s="42" t="inlineStr">
        <is>
          <t>Meta (FB/IG)</t>
        </is>
      </c>
      <c r="E3" s="42" t="inlineStr">
        <is>
          <t>Facebook + Instagram</t>
        </is>
      </c>
      <c r="F3" s="42" t="inlineStr">
        <is>
          <t>LEP_ZA_AUG26_META_TD_AMUR_CONV</t>
        </is>
      </c>
      <c r="G3" s="42" t="inlineStr">
        <is>
          <t>Leads - Website Conversions</t>
        </is>
      </c>
      <c r="H3" s="42" t="inlineStr">
        <is>
          <t>AMUR</t>
        </is>
      </c>
      <c r="I3" s="42" t="inlineStr">
        <is>
          <t>0% Deposit</t>
        </is>
      </c>
      <c r="J3" s="42" t="inlineStr">
        <is>
          <t>MET_AMUR_BROAD_25-54_ZA</t>
        </is>
      </c>
      <c r="K3" s="42" t="inlineStr">
        <is>
          <t>Prospecting</t>
        </is>
      </c>
      <c r="L3" s="42" t="inlineStr">
        <is>
          <t>AMUR_VID_15s_CityDrive_v1</t>
        </is>
      </c>
      <c r="M3" s="42" t="inlineStr">
        <is>
          <t>Video 9:16</t>
        </is>
      </c>
      <c r="N3" s="42" t="inlineStr">
        <is>
          <t>Your first Lepas. R3 599pm.</t>
        </is>
      </c>
      <c r="O3" s="42" t="inlineStr">
        <is>
          <t>Auction - Lowest Cost</t>
        </is>
      </c>
      <c r="P3" s="42" t="inlineStr">
        <is>
          <t>Offsite Conversions</t>
        </is>
      </c>
      <c r="Q3" s="42" t="inlineStr">
        <is>
          <t>https://www.lepas-sa.co.za/offers/amur</t>
        </is>
      </c>
      <c r="R3" s="115" t="n">
        <v>243.4</v>
      </c>
      <c r="S3" s="116" t="n">
        <v>4047</v>
      </c>
      <c r="T3" s="116" t="n">
        <v>3642</v>
      </c>
      <c r="U3" s="117">
        <f>IFERROR(S3/T3,"")</f>
        <v/>
      </c>
      <c r="V3" s="116" t="n">
        <v>79</v>
      </c>
      <c r="W3" s="116" t="n">
        <v>63</v>
      </c>
      <c r="X3" s="118">
        <f>IFERROR(W3/S3,"")</f>
        <v/>
      </c>
      <c r="Y3" s="115">
        <f>IFERROR(R3/W3,"")</f>
        <v/>
      </c>
      <c r="Z3" s="115">
        <f>IFERROR(R3/S3*1000,"")</f>
        <v/>
      </c>
      <c r="AA3" s="116" t="n">
        <v>53</v>
      </c>
      <c r="AB3" s="47">
        <f>IFERROR(AA3/W3,"")</f>
        <v/>
      </c>
      <c r="AC3" s="116" t="n">
        <v>1114</v>
      </c>
      <c r="AD3" s="116" t="n">
        <v>510</v>
      </c>
      <c r="AE3" s="116" t="n">
        <v>546</v>
      </c>
      <c r="AF3" s="116" t="n">
        <v>376</v>
      </c>
      <c r="AG3" s="116" t="n">
        <v>246</v>
      </c>
      <c r="AH3" s="116" t="n">
        <v>157</v>
      </c>
      <c r="AI3" s="47">
        <f>IFERROR(AC3/S3,"")</f>
        <v/>
      </c>
      <c r="AJ3" s="47">
        <f>IFERROR(AH3/S3,"")</f>
        <v/>
      </c>
      <c r="AK3" s="116" t="n">
        <v>57</v>
      </c>
      <c r="AL3" s="116" t="n">
        <v>1</v>
      </c>
      <c r="AM3" s="118">
        <f>IFERROR(AL3/AA3,"")</f>
        <v/>
      </c>
      <c r="AN3" s="119">
        <f>IFERROR(R3/AL3,"")</f>
        <v/>
      </c>
      <c r="AO3" s="116" t="n">
        <v>1</v>
      </c>
      <c r="AP3" s="47">
        <f>IFERROR(AO3/AL3,"")</f>
        <v/>
      </c>
      <c r="AQ3" s="119">
        <f>IFERROR(R3/AO3,"")</f>
        <v/>
      </c>
      <c r="AR3" s="116" t="n">
        <v>0</v>
      </c>
      <c r="AS3" s="116" t="n">
        <v>0</v>
      </c>
      <c r="AT3" s="116">
        <f>AL3+AR3</f>
        <v/>
      </c>
      <c r="AU3" s="119">
        <f>IFERROR(AO3*Assumptions!$C$26*Assumptions!$C$27*INDEX(Assumptions!$C$18:$C$21,MATCH(H3,Assumptions!$B$18:$B$21,0)),0)</f>
        <v/>
      </c>
    </row>
    <row r="4">
      <c r="A4" s="114" t="n">
        <v>46237</v>
      </c>
      <c r="B4" s="42" t="inlineStr">
        <is>
          <t>Wk 32</t>
        </is>
      </c>
      <c r="C4" s="42" t="inlineStr">
        <is>
          <t>Mon</t>
        </is>
      </c>
      <c r="D4" s="42" t="inlineStr">
        <is>
          <t>Meta (FB/IG)</t>
        </is>
      </c>
      <c r="E4" s="42" t="inlineStr">
        <is>
          <t>Facebook + Instagram</t>
        </is>
      </c>
      <c r="F4" s="42" t="inlineStr">
        <is>
          <t>LEP_ZA_AUG26_META_TD_AMUR_CONV</t>
        </is>
      </c>
      <c r="G4" s="42" t="inlineStr">
        <is>
          <t>Leads - Website Conversions</t>
        </is>
      </c>
      <c r="H4" s="42" t="inlineStr">
        <is>
          <t>AMUR</t>
        </is>
      </c>
      <c r="I4" s="42" t="inlineStr">
        <is>
          <t>0% Deposit</t>
        </is>
      </c>
      <c r="J4" s="42" t="inlineStr">
        <is>
          <t>MET_AMUR_BROAD_25-54_ZA</t>
        </is>
      </c>
      <c r="K4" s="42" t="inlineStr">
        <is>
          <t>Prospecting</t>
        </is>
      </c>
      <c r="L4" s="42" t="inlineStr">
        <is>
          <t>AMUR_VID_15s_CityDrive_v1</t>
        </is>
      </c>
      <c r="M4" s="42" t="inlineStr">
        <is>
          <t>Video 9:16</t>
        </is>
      </c>
      <c r="N4" s="42" t="inlineStr">
        <is>
          <t>Your first Lepas. R3 599pm.</t>
        </is>
      </c>
      <c r="O4" s="42" t="inlineStr">
        <is>
          <t>Auction - Lowest Cost</t>
        </is>
      </c>
      <c r="P4" s="42" t="inlineStr">
        <is>
          <t>Offsite Conversions</t>
        </is>
      </c>
      <c r="Q4" s="42" t="inlineStr">
        <is>
          <t>https://www.lepas-sa.co.za/offers/amur</t>
        </is>
      </c>
      <c r="R4" s="115" t="n">
        <v>256.42</v>
      </c>
      <c r="S4" s="116" t="n">
        <v>4721</v>
      </c>
      <c r="T4" s="116" t="n">
        <v>3106</v>
      </c>
      <c r="U4" s="117">
        <f>IFERROR(S4/T4,"")</f>
        <v/>
      </c>
      <c r="V4" s="116" t="n">
        <v>75</v>
      </c>
      <c r="W4" s="116" t="n">
        <v>63</v>
      </c>
      <c r="X4" s="118">
        <f>IFERROR(W4/S4,"")</f>
        <v/>
      </c>
      <c r="Y4" s="115">
        <f>IFERROR(R4/W4,"")</f>
        <v/>
      </c>
      <c r="Z4" s="115">
        <f>IFERROR(R4/S4*1000,"")</f>
        <v/>
      </c>
      <c r="AA4" s="116" t="n">
        <v>51</v>
      </c>
      <c r="AB4" s="47">
        <f>IFERROR(AA4/W4,"")</f>
        <v/>
      </c>
      <c r="AC4" s="116" t="n">
        <v>1378</v>
      </c>
      <c r="AD4" s="116" t="n">
        <v>722</v>
      </c>
      <c r="AE4" s="116" t="n">
        <v>668</v>
      </c>
      <c r="AF4" s="116" t="n">
        <v>473</v>
      </c>
      <c r="AG4" s="116" t="n">
        <v>320</v>
      </c>
      <c r="AH4" s="116" t="n">
        <v>215</v>
      </c>
      <c r="AI4" s="47">
        <f>IFERROR(AC4/S4,"")</f>
        <v/>
      </c>
      <c r="AJ4" s="47">
        <f>IFERROR(AH4/S4,"")</f>
        <v/>
      </c>
      <c r="AK4" s="116" t="n">
        <v>120</v>
      </c>
      <c r="AL4" s="116" t="n">
        <v>0</v>
      </c>
      <c r="AM4" s="118">
        <f>IFERROR(AL4/AA4,"")</f>
        <v/>
      </c>
      <c r="AN4" s="119">
        <f>IFERROR(R4/AL4,"")</f>
        <v/>
      </c>
      <c r="AO4" s="116" t="n">
        <v>0</v>
      </c>
      <c r="AP4" s="47">
        <f>IFERROR(AO4/AL4,"")</f>
        <v/>
      </c>
      <c r="AQ4" s="119">
        <f>IFERROR(R4/AO4,"")</f>
        <v/>
      </c>
      <c r="AR4" s="116" t="n">
        <v>0</v>
      </c>
      <c r="AS4" s="116" t="n">
        <v>0</v>
      </c>
      <c r="AT4" s="116">
        <f>AL4+AR4</f>
        <v/>
      </c>
      <c r="AU4" s="119">
        <f>IFERROR(AO4*Assumptions!$C$26*Assumptions!$C$27*INDEX(Assumptions!$C$18:$C$21,MATCH(H4,Assumptions!$B$18:$B$21,0)),0)</f>
        <v/>
      </c>
    </row>
    <row r="5">
      <c r="A5" s="114" t="n">
        <v>46238</v>
      </c>
      <c r="B5" s="42" t="inlineStr">
        <is>
          <t>Wk 32</t>
        </is>
      </c>
      <c r="C5" s="42" t="inlineStr">
        <is>
          <t>Tue</t>
        </is>
      </c>
      <c r="D5" s="42" t="inlineStr">
        <is>
          <t>Meta (FB/IG)</t>
        </is>
      </c>
      <c r="E5" s="42" t="inlineStr">
        <is>
          <t>Facebook + Instagram</t>
        </is>
      </c>
      <c r="F5" s="42" t="inlineStr">
        <is>
          <t>LEP_ZA_AUG26_META_TD_AMUR_CONV</t>
        </is>
      </c>
      <c r="G5" s="42" t="inlineStr">
        <is>
          <t>Leads - Website Conversions</t>
        </is>
      </c>
      <c r="H5" s="42" t="inlineStr">
        <is>
          <t>AMUR</t>
        </is>
      </c>
      <c r="I5" s="42" t="inlineStr">
        <is>
          <t>0% Deposit</t>
        </is>
      </c>
      <c r="J5" s="42" t="inlineStr">
        <is>
          <t>MET_AMUR_BROAD_25-54_ZA</t>
        </is>
      </c>
      <c r="K5" s="42" t="inlineStr">
        <is>
          <t>Prospecting</t>
        </is>
      </c>
      <c r="L5" s="42" t="inlineStr">
        <is>
          <t>AMUR_VID_15s_CityDrive_v1</t>
        </is>
      </c>
      <c r="M5" s="42" t="inlineStr">
        <is>
          <t>Video 9:16</t>
        </is>
      </c>
      <c r="N5" s="42" t="inlineStr">
        <is>
          <t>Your first Lepas. R3 599pm.</t>
        </is>
      </c>
      <c r="O5" s="42" t="inlineStr">
        <is>
          <t>Auction - Lowest Cost</t>
        </is>
      </c>
      <c r="P5" s="42" t="inlineStr">
        <is>
          <t>Offsite Conversions</t>
        </is>
      </c>
      <c r="Q5" s="42" t="inlineStr">
        <is>
          <t>https://www.lepas-sa.co.za/offers/amur</t>
        </is>
      </c>
      <c r="R5" s="115" t="n">
        <v>262.52</v>
      </c>
      <c r="S5" s="116" t="n">
        <v>4113</v>
      </c>
      <c r="T5" s="116" t="n">
        <v>2994</v>
      </c>
      <c r="U5" s="117">
        <f>IFERROR(S5/T5,"")</f>
        <v/>
      </c>
      <c r="V5" s="116" t="n">
        <v>90</v>
      </c>
      <c r="W5" s="116" t="n">
        <v>70</v>
      </c>
      <c r="X5" s="118">
        <f>IFERROR(W5/S5,"")</f>
        <v/>
      </c>
      <c r="Y5" s="115">
        <f>IFERROR(R5/W5,"")</f>
        <v/>
      </c>
      <c r="Z5" s="115">
        <f>IFERROR(R5/S5*1000,"")</f>
        <v/>
      </c>
      <c r="AA5" s="116" t="n">
        <v>56</v>
      </c>
      <c r="AB5" s="47">
        <f>IFERROR(AA5/W5,"")</f>
        <v/>
      </c>
      <c r="AC5" s="116" t="n">
        <v>1469</v>
      </c>
      <c r="AD5" s="116" t="n">
        <v>815</v>
      </c>
      <c r="AE5" s="116" t="n">
        <v>544</v>
      </c>
      <c r="AF5" s="116" t="n">
        <v>373</v>
      </c>
      <c r="AG5" s="116" t="n">
        <v>275</v>
      </c>
      <c r="AH5" s="116" t="n">
        <v>196</v>
      </c>
      <c r="AI5" s="47">
        <f>IFERROR(AC5/S5,"")</f>
        <v/>
      </c>
      <c r="AJ5" s="47">
        <f>IFERROR(AH5/S5,"")</f>
        <v/>
      </c>
      <c r="AK5" s="116" t="n">
        <v>141</v>
      </c>
      <c r="AL5" s="116" t="n">
        <v>1</v>
      </c>
      <c r="AM5" s="118">
        <f>IFERROR(AL5/AA5,"")</f>
        <v/>
      </c>
      <c r="AN5" s="119">
        <f>IFERROR(R5/AL5,"")</f>
        <v/>
      </c>
      <c r="AO5" s="116" t="n">
        <v>1</v>
      </c>
      <c r="AP5" s="47">
        <f>IFERROR(AO5/AL5,"")</f>
        <v/>
      </c>
      <c r="AQ5" s="119">
        <f>IFERROR(R5/AO5,"")</f>
        <v/>
      </c>
      <c r="AR5" s="116" t="n">
        <v>1</v>
      </c>
      <c r="AS5" s="116" t="n">
        <v>0</v>
      </c>
      <c r="AT5" s="116">
        <f>AL5+AR5</f>
        <v/>
      </c>
      <c r="AU5" s="119">
        <f>IFERROR(AO5*Assumptions!$C$26*Assumptions!$C$27*INDEX(Assumptions!$C$18:$C$21,MATCH(H5,Assumptions!$B$18:$B$21,0)),0)</f>
        <v/>
      </c>
    </row>
    <row r="6">
      <c r="A6" s="114" t="n">
        <v>46239</v>
      </c>
      <c r="B6" s="42" t="inlineStr">
        <is>
          <t>Wk 32</t>
        </is>
      </c>
      <c r="C6" s="42" t="inlineStr">
        <is>
          <t>Wed</t>
        </is>
      </c>
      <c r="D6" s="42" t="inlineStr">
        <is>
          <t>Meta (FB/IG)</t>
        </is>
      </c>
      <c r="E6" s="42" t="inlineStr">
        <is>
          <t>Facebook + Instagram</t>
        </is>
      </c>
      <c r="F6" s="42" t="inlineStr">
        <is>
          <t>LEP_ZA_AUG26_META_TD_AMUR_CONV</t>
        </is>
      </c>
      <c r="G6" s="42" t="inlineStr">
        <is>
          <t>Leads - Website Conversions</t>
        </is>
      </c>
      <c r="H6" s="42" t="inlineStr">
        <is>
          <t>AMUR</t>
        </is>
      </c>
      <c r="I6" s="42" t="inlineStr">
        <is>
          <t>0% Deposit</t>
        </is>
      </c>
      <c r="J6" s="42" t="inlineStr">
        <is>
          <t>MET_AMUR_BROAD_25-54_ZA</t>
        </is>
      </c>
      <c r="K6" s="42" t="inlineStr">
        <is>
          <t>Prospecting</t>
        </is>
      </c>
      <c r="L6" s="42" t="inlineStr">
        <is>
          <t>AMUR_VID_15s_CityDrive_v1</t>
        </is>
      </c>
      <c r="M6" s="42" t="inlineStr">
        <is>
          <t>Video 9:16</t>
        </is>
      </c>
      <c r="N6" s="42" t="inlineStr">
        <is>
          <t>Your first Lepas. R3 599pm.</t>
        </is>
      </c>
      <c r="O6" s="42" t="inlineStr">
        <is>
          <t>Auction - Lowest Cost</t>
        </is>
      </c>
      <c r="P6" s="42" t="inlineStr">
        <is>
          <t>Offsite Conversions</t>
        </is>
      </c>
      <c r="Q6" s="42" t="inlineStr">
        <is>
          <t>https://www.lepas-sa.co.za/offers/amur</t>
        </is>
      </c>
      <c r="R6" s="115" t="n">
        <v>308.23</v>
      </c>
      <c r="S6" s="116" t="n">
        <v>4335</v>
      </c>
      <c r="T6" s="116" t="n">
        <v>3445</v>
      </c>
      <c r="U6" s="117">
        <f>IFERROR(S6/T6,"")</f>
        <v/>
      </c>
      <c r="V6" s="116" t="n">
        <v>72</v>
      </c>
      <c r="W6" s="116" t="n">
        <v>54</v>
      </c>
      <c r="X6" s="118">
        <f>IFERROR(W6/S6,"")</f>
        <v/>
      </c>
      <c r="Y6" s="115">
        <f>IFERROR(R6/W6,"")</f>
        <v/>
      </c>
      <c r="Z6" s="115">
        <f>IFERROR(R6/S6*1000,"")</f>
        <v/>
      </c>
      <c r="AA6" s="116" t="n">
        <v>44</v>
      </c>
      <c r="AB6" s="47">
        <f>IFERROR(AA6/W6,"")</f>
        <v/>
      </c>
      <c r="AC6" s="116" t="n">
        <v>1633</v>
      </c>
      <c r="AD6" s="116" t="n">
        <v>719</v>
      </c>
      <c r="AE6" s="116" t="n">
        <v>857</v>
      </c>
      <c r="AF6" s="116" t="n">
        <v>452</v>
      </c>
      <c r="AG6" s="116" t="n">
        <v>326</v>
      </c>
      <c r="AH6" s="116" t="n">
        <v>218</v>
      </c>
      <c r="AI6" s="47">
        <f>IFERROR(AC6/S6,"")</f>
        <v/>
      </c>
      <c r="AJ6" s="47">
        <f>IFERROR(AH6/S6,"")</f>
        <v/>
      </c>
      <c r="AK6" s="116" t="n">
        <v>73</v>
      </c>
      <c r="AL6" s="116" t="n">
        <v>0</v>
      </c>
      <c r="AM6" s="118">
        <f>IFERROR(AL6/AA6,"")</f>
        <v/>
      </c>
      <c r="AN6" s="119">
        <f>IFERROR(R6/AL6,"")</f>
        <v/>
      </c>
      <c r="AO6" s="116" t="n">
        <v>0</v>
      </c>
      <c r="AP6" s="47">
        <f>IFERROR(AO6/AL6,"")</f>
        <v/>
      </c>
      <c r="AQ6" s="119">
        <f>IFERROR(R6/AO6,"")</f>
        <v/>
      </c>
      <c r="AR6" s="116" t="n">
        <v>0</v>
      </c>
      <c r="AS6" s="116" t="n">
        <v>0</v>
      </c>
      <c r="AT6" s="116">
        <f>AL6+AR6</f>
        <v/>
      </c>
      <c r="AU6" s="119">
        <f>IFERROR(AO6*Assumptions!$C$26*Assumptions!$C$27*INDEX(Assumptions!$C$18:$C$21,MATCH(H6,Assumptions!$B$18:$B$21,0)),0)</f>
        <v/>
      </c>
    </row>
    <row r="7">
      <c r="A7" s="114" t="n">
        <v>46240</v>
      </c>
      <c r="B7" s="42" t="inlineStr">
        <is>
          <t>Wk 32</t>
        </is>
      </c>
      <c r="C7" s="42" t="inlineStr">
        <is>
          <t>Thu</t>
        </is>
      </c>
      <c r="D7" s="42" t="inlineStr">
        <is>
          <t>Meta (FB/IG)</t>
        </is>
      </c>
      <c r="E7" s="42" t="inlineStr">
        <is>
          <t>Facebook + Instagram</t>
        </is>
      </c>
      <c r="F7" s="42" t="inlineStr">
        <is>
          <t>LEP_ZA_AUG26_META_TD_AMUR_CONV</t>
        </is>
      </c>
      <c r="G7" s="42" t="inlineStr">
        <is>
          <t>Leads - Website Conversions</t>
        </is>
      </c>
      <c r="H7" s="42" t="inlineStr">
        <is>
          <t>AMUR</t>
        </is>
      </c>
      <c r="I7" s="42" t="inlineStr">
        <is>
          <t>0% Deposit</t>
        </is>
      </c>
      <c r="J7" s="42" t="inlineStr">
        <is>
          <t>MET_AMUR_BROAD_25-54_ZA</t>
        </is>
      </c>
      <c r="K7" s="42" t="inlineStr">
        <is>
          <t>Prospecting</t>
        </is>
      </c>
      <c r="L7" s="42" t="inlineStr">
        <is>
          <t>AMUR_VID_15s_CityDrive_v1</t>
        </is>
      </c>
      <c r="M7" s="42" t="inlineStr">
        <is>
          <t>Video 9:16</t>
        </is>
      </c>
      <c r="N7" s="42" t="inlineStr">
        <is>
          <t>Your first Lepas. R3 599pm.</t>
        </is>
      </c>
      <c r="O7" s="42" t="inlineStr">
        <is>
          <t>Auction - Lowest Cost</t>
        </is>
      </c>
      <c r="P7" s="42" t="inlineStr">
        <is>
          <t>Offsite Conversions</t>
        </is>
      </c>
      <c r="Q7" s="42" t="inlineStr">
        <is>
          <t>https://www.lepas-sa.co.za/offers/amur</t>
        </is>
      </c>
      <c r="R7" s="115" t="n">
        <v>340.94</v>
      </c>
      <c r="S7" s="116" t="n">
        <v>4963</v>
      </c>
      <c r="T7" s="116" t="n">
        <v>4017</v>
      </c>
      <c r="U7" s="117">
        <f>IFERROR(S7/T7,"")</f>
        <v/>
      </c>
      <c r="V7" s="116" t="n">
        <v>87</v>
      </c>
      <c r="W7" s="116" t="n">
        <v>63</v>
      </c>
      <c r="X7" s="118">
        <f>IFERROR(W7/S7,"")</f>
        <v/>
      </c>
      <c r="Y7" s="115">
        <f>IFERROR(R7/W7,"")</f>
        <v/>
      </c>
      <c r="Z7" s="115">
        <f>IFERROR(R7/S7*1000,"")</f>
        <v/>
      </c>
      <c r="AA7" s="116" t="n">
        <v>53</v>
      </c>
      <c r="AB7" s="47">
        <f>IFERROR(AA7/W7,"")</f>
        <v/>
      </c>
      <c r="AC7" s="116" t="n">
        <v>1665</v>
      </c>
      <c r="AD7" s="116" t="n">
        <v>812</v>
      </c>
      <c r="AE7" s="116" t="n">
        <v>695</v>
      </c>
      <c r="AF7" s="116" t="n">
        <v>370</v>
      </c>
      <c r="AG7" s="116" t="n">
        <v>289</v>
      </c>
      <c r="AH7" s="116" t="n">
        <v>212</v>
      </c>
      <c r="AI7" s="47">
        <f>IFERROR(AC7/S7,"")</f>
        <v/>
      </c>
      <c r="AJ7" s="47">
        <f>IFERROR(AH7/S7,"")</f>
        <v/>
      </c>
      <c r="AK7" s="116" t="n">
        <v>62</v>
      </c>
      <c r="AL7" s="116" t="n">
        <v>1</v>
      </c>
      <c r="AM7" s="118">
        <f>IFERROR(AL7/AA7,"")</f>
        <v/>
      </c>
      <c r="AN7" s="119">
        <f>IFERROR(R7/AL7,"")</f>
        <v/>
      </c>
      <c r="AO7" s="116" t="n">
        <v>1</v>
      </c>
      <c r="AP7" s="47">
        <f>IFERROR(AO7/AL7,"")</f>
        <v/>
      </c>
      <c r="AQ7" s="119">
        <f>IFERROR(R7/AO7,"")</f>
        <v/>
      </c>
      <c r="AR7" s="116" t="n">
        <v>0</v>
      </c>
      <c r="AS7" s="116" t="n">
        <v>1</v>
      </c>
      <c r="AT7" s="116">
        <f>AL7+AR7</f>
        <v/>
      </c>
      <c r="AU7" s="119">
        <f>IFERROR(AO7*Assumptions!$C$26*Assumptions!$C$27*INDEX(Assumptions!$C$18:$C$21,MATCH(H7,Assumptions!$B$18:$B$21,0)),0)</f>
        <v/>
      </c>
    </row>
    <row r="8">
      <c r="A8" s="114" t="n">
        <v>46241</v>
      </c>
      <c r="B8" s="42" t="inlineStr">
        <is>
          <t>Wk 32</t>
        </is>
      </c>
      <c r="C8" s="42" t="inlineStr">
        <is>
          <t>Fri</t>
        </is>
      </c>
      <c r="D8" s="42" t="inlineStr">
        <is>
          <t>Meta (FB/IG)</t>
        </is>
      </c>
      <c r="E8" s="42" t="inlineStr">
        <is>
          <t>Facebook + Instagram</t>
        </is>
      </c>
      <c r="F8" s="42" t="inlineStr">
        <is>
          <t>LEP_ZA_AUG26_META_TD_AMUR_CONV</t>
        </is>
      </c>
      <c r="G8" s="42" t="inlineStr">
        <is>
          <t>Leads - Website Conversions</t>
        </is>
      </c>
      <c r="H8" s="42" t="inlineStr">
        <is>
          <t>AMUR</t>
        </is>
      </c>
      <c r="I8" s="42" t="inlineStr">
        <is>
          <t>0% Deposit</t>
        </is>
      </c>
      <c r="J8" s="42" t="inlineStr">
        <is>
          <t>MET_AMUR_BROAD_25-54_ZA</t>
        </is>
      </c>
      <c r="K8" s="42" t="inlineStr">
        <is>
          <t>Prospecting</t>
        </is>
      </c>
      <c r="L8" s="42" t="inlineStr">
        <is>
          <t>AMUR_VID_15s_CityDrive_v1</t>
        </is>
      </c>
      <c r="M8" s="42" t="inlineStr">
        <is>
          <t>Video 9:16</t>
        </is>
      </c>
      <c r="N8" s="42" t="inlineStr">
        <is>
          <t>Your first Lepas. R3 599pm.</t>
        </is>
      </c>
      <c r="O8" s="42" t="inlineStr">
        <is>
          <t>Auction - Lowest Cost</t>
        </is>
      </c>
      <c r="P8" s="42" t="inlineStr">
        <is>
          <t>Offsite Conversions</t>
        </is>
      </c>
      <c r="Q8" s="42" t="inlineStr">
        <is>
          <t>https://www.lepas-sa.co.za/offers/amur</t>
        </is>
      </c>
      <c r="R8" s="115" t="n">
        <v>341.57</v>
      </c>
      <c r="S8" s="116" t="n">
        <v>3914</v>
      </c>
      <c r="T8" s="116" t="n">
        <v>2443</v>
      </c>
      <c r="U8" s="117">
        <f>IFERROR(S8/T8,"")</f>
        <v/>
      </c>
      <c r="V8" s="116" t="n">
        <v>92</v>
      </c>
      <c r="W8" s="116" t="n">
        <v>69</v>
      </c>
      <c r="X8" s="118">
        <f>IFERROR(W8/S8,"")</f>
        <v/>
      </c>
      <c r="Y8" s="115">
        <f>IFERROR(R8/W8,"")</f>
        <v/>
      </c>
      <c r="Z8" s="115">
        <f>IFERROR(R8/S8*1000,"")</f>
        <v/>
      </c>
      <c r="AA8" s="116" t="n">
        <v>58</v>
      </c>
      <c r="AB8" s="47">
        <f>IFERROR(AA8/W8,"")</f>
        <v/>
      </c>
      <c r="AC8" s="116" t="n">
        <v>914</v>
      </c>
      <c r="AD8" s="116" t="n">
        <v>417</v>
      </c>
      <c r="AE8" s="116" t="n">
        <v>332</v>
      </c>
      <c r="AF8" s="116" t="n">
        <v>209</v>
      </c>
      <c r="AG8" s="116" t="n">
        <v>142</v>
      </c>
      <c r="AH8" s="116" t="n">
        <v>95</v>
      </c>
      <c r="AI8" s="47">
        <f>IFERROR(AC8/S8,"")</f>
        <v/>
      </c>
      <c r="AJ8" s="47">
        <f>IFERROR(AH8/S8,"")</f>
        <v/>
      </c>
      <c r="AK8" s="116" t="n">
        <v>47</v>
      </c>
      <c r="AL8" s="116" t="n">
        <v>1</v>
      </c>
      <c r="AM8" s="118">
        <f>IFERROR(AL8/AA8,"")</f>
        <v/>
      </c>
      <c r="AN8" s="119">
        <f>IFERROR(R8/AL8,"")</f>
        <v/>
      </c>
      <c r="AO8" s="116" t="n">
        <v>1</v>
      </c>
      <c r="AP8" s="47">
        <f>IFERROR(AO8/AL8,"")</f>
        <v/>
      </c>
      <c r="AQ8" s="119">
        <f>IFERROR(R8/AO8,"")</f>
        <v/>
      </c>
      <c r="AR8" s="116" t="n">
        <v>0</v>
      </c>
      <c r="AS8" s="116" t="n">
        <v>0</v>
      </c>
      <c r="AT8" s="116">
        <f>AL8+AR8</f>
        <v/>
      </c>
      <c r="AU8" s="119">
        <f>IFERROR(AO8*Assumptions!$C$26*Assumptions!$C$27*INDEX(Assumptions!$C$18:$C$21,MATCH(H8,Assumptions!$B$18:$B$21,0)),0)</f>
        <v/>
      </c>
    </row>
    <row r="9">
      <c r="A9" s="114" t="n">
        <v>46242</v>
      </c>
      <c r="B9" s="42" t="inlineStr">
        <is>
          <t>Wk 32</t>
        </is>
      </c>
      <c r="C9" s="42" t="inlineStr">
        <is>
          <t>Sat</t>
        </is>
      </c>
      <c r="D9" s="42" t="inlineStr">
        <is>
          <t>Meta (FB/IG)</t>
        </is>
      </c>
      <c r="E9" s="42" t="inlineStr">
        <is>
          <t>Facebook + Instagram</t>
        </is>
      </c>
      <c r="F9" s="42" t="inlineStr">
        <is>
          <t>LEP_ZA_AUG26_META_TD_AMUR_CONV</t>
        </is>
      </c>
      <c r="G9" s="42" t="inlineStr">
        <is>
          <t>Leads - Website Conversions</t>
        </is>
      </c>
      <c r="H9" s="42" t="inlineStr">
        <is>
          <t>AMUR</t>
        </is>
      </c>
      <c r="I9" s="42" t="inlineStr">
        <is>
          <t>0% Deposit</t>
        </is>
      </c>
      <c r="J9" s="42" t="inlineStr">
        <is>
          <t>MET_AMUR_BROAD_25-54_ZA</t>
        </is>
      </c>
      <c r="K9" s="42" t="inlineStr">
        <is>
          <t>Prospecting</t>
        </is>
      </c>
      <c r="L9" s="42" t="inlineStr">
        <is>
          <t>AMUR_VID_15s_CityDrive_v1</t>
        </is>
      </c>
      <c r="M9" s="42" t="inlineStr">
        <is>
          <t>Video 9:16</t>
        </is>
      </c>
      <c r="N9" s="42" t="inlineStr">
        <is>
          <t>Your first Lepas. R3 599pm.</t>
        </is>
      </c>
      <c r="O9" s="42" t="inlineStr">
        <is>
          <t>Auction - Lowest Cost</t>
        </is>
      </c>
      <c r="P9" s="42" t="inlineStr">
        <is>
          <t>Offsite Conversions</t>
        </is>
      </c>
      <c r="Q9" s="42" t="inlineStr">
        <is>
          <t>https://www.lepas-sa.co.za/offers/amur</t>
        </is>
      </c>
      <c r="R9" s="115" t="n">
        <v>327.51</v>
      </c>
      <c r="S9" s="116" t="n">
        <v>5159</v>
      </c>
      <c r="T9" s="116" t="n">
        <v>3214</v>
      </c>
      <c r="U9" s="117">
        <f>IFERROR(S9/T9,"")</f>
        <v/>
      </c>
      <c r="V9" s="116" t="n">
        <v>96</v>
      </c>
      <c r="W9" s="116" t="n">
        <v>80</v>
      </c>
      <c r="X9" s="118">
        <f>IFERROR(W9/S9,"")</f>
        <v/>
      </c>
      <c r="Y9" s="115">
        <f>IFERROR(R9/W9,"")</f>
        <v/>
      </c>
      <c r="Z9" s="115">
        <f>IFERROR(R9/S9*1000,"")</f>
        <v/>
      </c>
      <c r="AA9" s="116" t="n">
        <v>71</v>
      </c>
      <c r="AB9" s="47">
        <f>IFERROR(AA9/W9,"")</f>
        <v/>
      </c>
      <c r="AC9" s="116" t="n">
        <v>1180</v>
      </c>
      <c r="AD9" s="116" t="n">
        <v>600</v>
      </c>
      <c r="AE9" s="116" t="n">
        <v>494</v>
      </c>
      <c r="AF9" s="116" t="n">
        <v>318</v>
      </c>
      <c r="AG9" s="116" t="n">
        <v>237</v>
      </c>
      <c r="AH9" s="116" t="n">
        <v>163</v>
      </c>
      <c r="AI9" s="47">
        <f>IFERROR(AC9/S9,"")</f>
        <v/>
      </c>
      <c r="AJ9" s="47">
        <f>IFERROR(AH9/S9,"")</f>
        <v/>
      </c>
      <c r="AK9" s="116" t="n">
        <v>112</v>
      </c>
      <c r="AL9" s="116" t="n">
        <v>2</v>
      </c>
      <c r="AM9" s="118">
        <f>IFERROR(AL9/AA9,"")</f>
        <v/>
      </c>
      <c r="AN9" s="119">
        <f>IFERROR(R9/AL9,"")</f>
        <v/>
      </c>
      <c r="AO9" s="116" t="n">
        <v>1</v>
      </c>
      <c r="AP9" s="47">
        <f>IFERROR(AO9/AL9,"")</f>
        <v/>
      </c>
      <c r="AQ9" s="119">
        <f>IFERROR(R9/AO9,"")</f>
        <v/>
      </c>
      <c r="AR9" s="116" t="n">
        <v>1</v>
      </c>
      <c r="AS9" s="116" t="n">
        <v>0</v>
      </c>
      <c r="AT9" s="116">
        <f>AL9+AR9</f>
        <v/>
      </c>
      <c r="AU9" s="119">
        <f>IFERROR(AO9*Assumptions!$C$26*Assumptions!$C$27*INDEX(Assumptions!$C$18:$C$21,MATCH(H9,Assumptions!$B$18:$B$21,0)),0)</f>
        <v/>
      </c>
    </row>
    <row r="10">
      <c r="A10" s="114" t="n">
        <v>46243</v>
      </c>
      <c r="B10" s="42" t="inlineStr">
        <is>
          <t>Wk 32</t>
        </is>
      </c>
      <c r="C10" s="42" t="inlineStr">
        <is>
          <t>Sun</t>
        </is>
      </c>
      <c r="D10" s="42" t="inlineStr">
        <is>
          <t>Meta (FB/IG)</t>
        </is>
      </c>
      <c r="E10" s="42" t="inlineStr">
        <is>
          <t>Facebook + Instagram</t>
        </is>
      </c>
      <c r="F10" s="42" t="inlineStr">
        <is>
          <t>LEP_ZA_AUG26_META_TD_AMUR_CONV</t>
        </is>
      </c>
      <c r="G10" s="42" t="inlineStr">
        <is>
          <t>Leads - Website Conversions</t>
        </is>
      </c>
      <c r="H10" s="42" t="inlineStr">
        <is>
          <t>AMUR</t>
        </is>
      </c>
      <c r="I10" s="42" t="inlineStr">
        <is>
          <t>0% Deposit</t>
        </is>
      </c>
      <c r="J10" s="42" t="inlineStr">
        <is>
          <t>MET_AMUR_BROAD_25-54_ZA</t>
        </is>
      </c>
      <c r="K10" s="42" t="inlineStr">
        <is>
          <t>Prospecting</t>
        </is>
      </c>
      <c r="L10" s="42" t="inlineStr">
        <is>
          <t>AMUR_VID_15s_CityDrive_v1</t>
        </is>
      </c>
      <c r="M10" s="42" t="inlineStr">
        <is>
          <t>Video 9:16</t>
        </is>
      </c>
      <c r="N10" s="42" t="inlineStr">
        <is>
          <t>Your first Lepas. R3 599pm.</t>
        </is>
      </c>
      <c r="O10" s="42" t="inlineStr">
        <is>
          <t>Auction - Lowest Cost</t>
        </is>
      </c>
      <c r="P10" s="42" t="inlineStr">
        <is>
          <t>Offsite Conversions</t>
        </is>
      </c>
      <c r="Q10" s="42" t="inlineStr">
        <is>
          <t>https://www.lepas-sa.co.za/offers/amur</t>
        </is>
      </c>
      <c r="R10" s="115" t="n">
        <v>300.95</v>
      </c>
      <c r="S10" s="116" t="n">
        <v>4255</v>
      </c>
      <c r="T10" s="116" t="n">
        <v>2645</v>
      </c>
      <c r="U10" s="117">
        <f>IFERROR(S10/T10,"")</f>
        <v/>
      </c>
      <c r="V10" s="116" t="n">
        <v>57</v>
      </c>
      <c r="W10" s="116" t="n">
        <v>41</v>
      </c>
      <c r="X10" s="118">
        <f>IFERROR(W10/S10,"")</f>
        <v/>
      </c>
      <c r="Y10" s="115">
        <f>IFERROR(R10/W10,"")</f>
        <v/>
      </c>
      <c r="Z10" s="115">
        <f>IFERROR(R10/S10*1000,"")</f>
        <v/>
      </c>
      <c r="AA10" s="116" t="n">
        <v>36</v>
      </c>
      <c r="AB10" s="47">
        <f>IFERROR(AA10/W10,"")</f>
        <v/>
      </c>
      <c r="AC10" s="116" t="n">
        <v>1652</v>
      </c>
      <c r="AD10" s="116" t="n">
        <v>990</v>
      </c>
      <c r="AE10" s="116" t="n">
        <v>660</v>
      </c>
      <c r="AF10" s="116" t="n">
        <v>421</v>
      </c>
      <c r="AG10" s="116" t="n">
        <v>313</v>
      </c>
      <c r="AH10" s="116" t="n">
        <v>196</v>
      </c>
      <c r="AI10" s="47">
        <f>IFERROR(AC10/S10,"")</f>
        <v/>
      </c>
      <c r="AJ10" s="47">
        <f>IFERROR(AH10/S10,"")</f>
        <v/>
      </c>
      <c r="AK10" s="116" t="n">
        <v>105</v>
      </c>
      <c r="AL10" s="116" t="n">
        <v>1</v>
      </c>
      <c r="AM10" s="118">
        <f>IFERROR(AL10/AA10,"")</f>
        <v/>
      </c>
      <c r="AN10" s="119">
        <f>IFERROR(R10/AL10,"")</f>
        <v/>
      </c>
      <c r="AO10" s="116" t="n">
        <v>0</v>
      </c>
      <c r="AP10" s="47">
        <f>IFERROR(AO10/AL10,"")</f>
        <v/>
      </c>
      <c r="AQ10" s="119">
        <f>IFERROR(R10/AO10,"")</f>
        <v/>
      </c>
      <c r="AR10" s="116" t="n">
        <v>0</v>
      </c>
      <c r="AS10" s="116" t="n">
        <v>0</v>
      </c>
      <c r="AT10" s="116">
        <f>AL10+AR10</f>
        <v/>
      </c>
      <c r="AU10" s="119">
        <f>IFERROR(AO10*Assumptions!$C$26*Assumptions!$C$27*INDEX(Assumptions!$C$18:$C$21,MATCH(H10,Assumptions!$B$18:$B$21,0)),0)</f>
        <v/>
      </c>
    </row>
    <row r="11">
      <c r="A11" s="114" t="n">
        <v>46244</v>
      </c>
      <c r="B11" s="42" t="inlineStr">
        <is>
          <t>Wk 33</t>
        </is>
      </c>
      <c r="C11" s="42" t="inlineStr">
        <is>
          <t>Mon</t>
        </is>
      </c>
      <c r="D11" s="42" t="inlineStr">
        <is>
          <t>Meta (FB/IG)</t>
        </is>
      </c>
      <c r="E11" s="42" t="inlineStr">
        <is>
          <t>Facebook + Instagram</t>
        </is>
      </c>
      <c r="F11" s="42" t="inlineStr">
        <is>
          <t>LEP_ZA_AUG26_META_TD_AMUR_CONV</t>
        </is>
      </c>
      <c r="G11" s="42" t="inlineStr">
        <is>
          <t>Leads - Website Conversions</t>
        </is>
      </c>
      <c r="H11" s="42" t="inlineStr">
        <is>
          <t>AMUR</t>
        </is>
      </c>
      <c r="I11" s="42" t="inlineStr">
        <is>
          <t>0% Deposit</t>
        </is>
      </c>
      <c r="J11" s="42" t="inlineStr">
        <is>
          <t>MET_AMUR_BROAD_25-54_ZA</t>
        </is>
      </c>
      <c r="K11" s="42" t="inlineStr">
        <is>
          <t>Prospecting</t>
        </is>
      </c>
      <c r="L11" s="42" t="inlineStr">
        <is>
          <t>AMUR_VID_15s_CityDrive_v1</t>
        </is>
      </c>
      <c r="M11" s="42" t="inlineStr">
        <is>
          <t>Video 9:16</t>
        </is>
      </c>
      <c r="N11" s="42" t="inlineStr">
        <is>
          <t>Your first Lepas. R3 599pm.</t>
        </is>
      </c>
      <c r="O11" s="42" t="inlineStr">
        <is>
          <t>Auction - Lowest Cost</t>
        </is>
      </c>
      <c r="P11" s="42" t="inlineStr">
        <is>
          <t>Offsite Conversions</t>
        </is>
      </c>
      <c r="Q11" s="42" t="inlineStr">
        <is>
          <t>https://www.lepas-sa.co.za/offers/amur</t>
        </is>
      </c>
      <c r="R11" s="115" t="n">
        <v>301.23</v>
      </c>
      <c r="S11" s="116" t="n">
        <v>5549</v>
      </c>
      <c r="T11" s="116" t="n">
        <v>3606</v>
      </c>
      <c r="U11" s="117">
        <f>IFERROR(S11/T11,"")</f>
        <v/>
      </c>
      <c r="V11" s="116" t="n">
        <v>97</v>
      </c>
      <c r="W11" s="116" t="n">
        <v>69</v>
      </c>
      <c r="X11" s="118">
        <f>IFERROR(W11/S11,"")</f>
        <v/>
      </c>
      <c r="Y11" s="115">
        <f>IFERROR(R11/W11,"")</f>
        <v/>
      </c>
      <c r="Z11" s="115">
        <f>IFERROR(R11/S11*1000,"")</f>
        <v/>
      </c>
      <c r="AA11" s="116" t="n">
        <v>59</v>
      </c>
      <c r="AB11" s="47">
        <f>IFERROR(AA11/W11,"")</f>
        <v/>
      </c>
      <c r="AC11" s="116" t="n">
        <v>1719</v>
      </c>
      <c r="AD11" s="116" t="n">
        <v>1049</v>
      </c>
      <c r="AE11" s="116" t="n">
        <v>660</v>
      </c>
      <c r="AF11" s="116" t="n">
        <v>415</v>
      </c>
      <c r="AG11" s="116" t="n">
        <v>286</v>
      </c>
      <c r="AH11" s="116" t="n">
        <v>188</v>
      </c>
      <c r="AI11" s="47">
        <f>IFERROR(AC11/S11,"")</f>
        <v/>
      </c>
      <c r="AJ11" s="47">
        <f>IFERROR(AH11/S11,"")</f>
        <v/>
      </c>
      <c r="AK11" s="116" t="n">
        <v>137</v>
      </c>
      <c r="AL11" s="116" t="n">
        <v>0</v>
      </c>
      <c r="AM11" s="118">
        <f>IFERROR(AL11/AA11,"")</f>
        <v/>
      </c>
      <c r="AN11" s="119">
        <f>IFERROR(R11/AL11,"")</f>
        <v/>
      </c>
      <c r="AO11" s="116" t="n">
        <v>0</v>
      </c>
      <c r="AP11" s="47">
        <f>IFERROR(AO11/AL11,"")</f>
        <v/>
      </c>
      <c r="AQ11" s="119">
        <f>IFERROR(R11/AO11,"")</f>
        <v/>
      </c>
      <c r="AR11" s="116" t="n">
        <v>0</v>
      </c>
      <c r="AS11" s="116" t="n">
        <v>0</v>
      </c>
      <c r="AT11" s="116">
        <f>AL11+AR11</f>
        <v/>
      </c>
      <c r="AU11" s="119">
        <f>IFERROR(AO11*Assumptions!$C$26*Assumptions!$C$27*INDEX(Assumptions!$C$18:$C$21,MATCH(H11,Assumptions!$B$18:$B$21,0)),0)</f>
        <v/>
      </c>
    </row>
    <row r="12">
      <c r="A12" s="114" t="n">
        <v>46245</v>
      </c>
      <c r="B12" s="42" t="inlineStr">
        <is>
          <t>Wk 33</t>
        </is>
      </c>
      <c r="C12" s="42" t="inlineStr">
        <is>
          <t>Tue</t>
        </is>
      </c>
      <c r="D12" s="42" t="inlineStr">
        <is>
          <t>Meta (FB/IG)</t>
        </is>
      </c>
      <c r="E12" s="42" t="inlineStr">
        <is>
          <t>Facebook + Instagram</t>
        </is>
      </c>
      <c r="F12" s="42" t="inlineStr">
        <is>
          <t>LEP_ZA_AUG26_META_TD_AMUR_CONV</t>
        </is>
      </c>
      <c r="G12" s="42" t="inlineStr">
        <is>
          <t>Leads - Website Conversions</t>
        </is>
      </c>
      <c r="H12" s="42" t="inlineStr">
        <is>
          <t>AMUR</t>
        </is>
      </c>
      <c r="I12" s="42" t="inlineStr">
        <is>
          <t>0% Deposit</t>
        </is>
      </c>
      <c r="J12" s="42" t="inlineStr">
        <is>
          <t>MET_AMUR_BROAD_25-54_ZA</t>
        </is>
      </c>
      <c r="K12" s="42" t="inlineStr">
        <is>
          <t>Prospecting</t>
        </is>
      </c>
      <c r="L12" s="42" t="inlineStr">
        <is>
          <t>AMUR_VID_15s_CityDrive_v1</t>
        </is>
      </c>
      <c r="M12" s="42" t="inlineStr">
        <is>
          <t>Video 9:16</t>
        </is>
      </c>
      <c r="N12" s="42" t="inlineStr">
        <is>
          <t>Your first Lepas. R3 599pm.</t>
        </is>
      </c>
      <c r="O12" s="42" t="inlineStr">
        <is>
          <t>Auction - Lowest Cost</t>
        </is>
      </c>
      <c r="P12" s="42" t="inlineStr">
        <is>
          <t>Offsite Conversions</t>
        </is>
      </c>
      <c r="Q12" s="42" t="inlineStr">
        <is>
          <t>https://www.lepas-sa.co.za/offers/amur</t>
        </is>
      </c>
      <c r="R12" s="115" t="n">
        <v>269.85</v>
      </c>
      <c r="S12" s="116" t="n">
        <v>5197</v>
      </c>
      <c r="T12" s="116" t="n">
        <v>3075</v>
      </c>
      <c r="U12" s="117">
        <f>IFERROR(S12/T12,"")</f>
        <v/>
      </c>
      <c r="V12" s="116" t="n">
        <v>62</v>
      </c>
      <c r="W12" s="116" t="n">
        <v>49</v>
      </c>
      <c r="X12" s="118">
        <f>IFERROR(W12/S12,"")</f>
        <v/>
      </c>
      <c r="Y12" s="115">
        <f>IFERROR(R12/W12,"")</f>
        <v/>
      </c>
      <c r="Z12" s="115">
        <f>IFERROR(R12/S12*1000,"")</f>
        <v/>
      </c>
      <c r="AA12" s="116" t="n">
        <v>41</v>
      </c>
      <c r="AB12" s="47">
        <f>IFERROR(AA12/W12,"")</f>
        <v/>
      </c>
      <c r="AC12" s="116" t="n">
        <v>1573</v>
      </c>
      <c r="AD12" s="116" t="n">
        <v>699</v>
      </c>
      <c r="AE12" s="116" t="n">
        <v>676</v>
      </c>
      <c r="AF12" s="116" t="n">
        <v>359</v>
      </c>
      <c r="AG12" s="116" t="n">
        <v>251</v>
      </c>
      <c r="AH12" s="116" t="n">
        <v>153</v>
      </c>
      <c r="AI12" s="47">
        <f>IFERROR(AC12/S12,"")</f>
        <v/>
      </c>
      <c r="AJ12" s="47">
        <f>IFERROR(AH12/S12,"")</f>
        <v/>
      </c>
      <c r="AK12" s="116" t="n">
        <v>98</v>
      </c>
      <c r="AL12" s="116" t="n">
        <v>1</v>
      </c>
      <c r="AM12" s="118">
        <f>IFERROR(AL12/AA12,"")</f>
        <v/>
      </c>
      <c r="AN12" s="119">
        <f>IFERROR(R12/AL12,"")</f>
        <v/>
      </c>
      <c r="AO12" s="116" t="n">
        <v>1</v>
      </c>
      <c r="AP12" s="47">
        <f>IFERROR(AO12/AL12,"")</f>
        <v/>
      </c>
      <c r="AQ12" s="119">
        <f>IFERROR(R12/AO12,"")</f>
        <v/>
      </c>
      <c r="AR12" s="116" t="n">
        <v>0</v>
      </c>
      <c r="AS12" s="116" t="n">
        <v>1</v>
      </c>
      <c r="AT12" s="116">
        <f>AL12+AR12</f>
        <v/>
      </c>
      <c r="AU12" s="119">
        <f>IFERROR(AO12*Assumptions!$C$26*Assumptions!$C$27*INDEX(Assumptions!$C$18:$C$21,MATCH(H12,Assumptions!$B$18:$B$21,0)),0)</f>
        <v/>
      </c>
    </row>
    <row r="13">
      <c r="A13" s="114" t="n">
        <v>46246</v>
      </c>
      <c r="B13" s="42" t="inlineStr">
        <is>
          <t>Wk 33</t>
        </is>
      </c>
      <c r="C13" s="42" t="inlineStr">
        <is>
          <t>Wed</t>
        </is>
      </c>
      <c r="D13" s="42" t="inlineStr">
        <is>
          <t>Meta (FB/IG)</t>
        </is>
      </c>
      <c r="E13" s="42" t="inlineStr">
        <is>
          <t>Facebook + Instagram</t>
        </is>
      </c>
      <c r="F13" s="42" t="inlineStr">
        <is>
          <t>LEP_ZA_AUG26_META_TD_AMUR_CONV</t>
        </is>
      </c>
      <c r="G13" s="42" t="inlineStr">
        <is>
          <t>Leads - Website Conversions</t>
        </is>
      </c>
      <c r="H13" s="42" t="inlineStr">
        <is>
          <t>AMUR</t>
        </is>
      </c>
      <c r="I13" s="42" t="inlineStr">
        <is>
          <t>0% Deposit</t>
        </is>
      </c>
      <c r="J13" s="42" t="inlineStr">
        <is>
          <t>MET_AMUR_BROAD_25-54_ZA</t>
        </is>
      </c>
      <c r="K13" s="42" t="inlineStr">
        <is>
          <t>Prospecting</t>
        </is>
      </c>
      <c r="L13" s="42" t="inlineStr">
        <is>
          <t>AMUR_VID_15s_CityDrive_v1</t>
        </is>
      </c>
      <c r="M13" s="42" t="inlineStr">
        <is>
          <t>Video 9:16</t>
        </is>
      </c>
      <c r="N13" s="42" t="inlineStr">
        <is>
          <t>Your first Lepas. R3 599pm.</t>
        </is>
      </c>
      <c r="O13" s="42" t="inlineStr">
        <is>
          <t>Auction - Lowest Cost</t>
        </is>
      </c>
      <c r="P13" s="42" t="inlineStr">
        <is>
          <t>Offsite Conversions</t>
        </is>
      </c>
      <c r="Q13" s="42" t="inlineStr">
        <is>
          <t>https://www.lepas-sa.co.za/offers/amur</t>
        </is>
      </c>
      <c r="R13" s="115" t="n">
        <v>287.73</v>
      </c>
      <c r="S13" s="116" t="n">
        <v>4176</v>
      </c>
      <c r="T13" s="116" t="n">
        <v>2471</v>
      </c>
      <c r="U13" s="117">
        <f>IFERROR(S13/T13,"")</f>
        <v/>
      </c>
      <c r="V13" s="116" t="n">
        <v>79</v>
      </c>
      <c r="W13" s="116" t="n">
        <v>59</v>
      </c>
      <c r="X13" s="118">
        <f>IFERROR(W13/S13,"")</f>
        <v/>
      </c>
      <c r="Y13" s="115">
        <f>IFERROR(R13/W13,"")</f>
        <v/>
      </c>
      <c r="Z13" s="115">
        <f>IFERROR(R13/S13*1000,"")</f>
        <v/>
      </c>
      <c r="AA13" s="116" t="n">
        <v>52</v>
      </c>
      <c r="AB13" s="47">
        <f>IFERROR(AA13/W13,"")</f>
        <v/>
      </c>
      <c r="AC13" s="116" t="n">
        <v>1141</v>
      </c>
      <c r="AD13" s="116" t="n">
        <v>628</v>
      </c>
      <c r="AE13" s="116" t="n">
        <v>472</v>
      </c>
      <c r="AF13" s="116" t="n">
        <v>304</v>
      </c>
      <c r="AG13" s="116" t="n">
        <v>202</v>
      </c>
      <c r="AH13" s="116" t="n">
        <v>133</v>
      </c>
      <c r="AI13" s="47">
        <f>IFERROR(AC13/S13,"")</f>
        <v/>
      </c>
      <c r="AJ13" s="47">
        <f>IFERROR(AH13/S13,"")</f>
        <v/>
      </c>
      <c r="AK13" s="116" t="n">
        <v>86</v>
      </c>
      <c r="AL13" s="116" t="n">
        <v>1</v>
      </c>
      <c r="AM13" s="118">
        <f>IFERROR(AL13/AA13,"")</f>
        <v/>
      </c>
      <c r="AN13" s="119">
        <f>IFERROR(R13/AL13,"")</f>
        <v/>
      </c>
      <c r="AO13" s="116" t="n">
        <v>0</v>
      </c>
      <c r="AP13" s="47">
        <f>IFERROR(AO13/AL13,"")</f>
        <v/>
      </c>
      <c r="AQ13" s="119">
        <f>IFERROR(R13/AO13,"")</f>
        <v/>
      </c>
      <c r="AR13" s="116" t="n">
        <v>0</v>
      </c>
      <c r="AS13" s="116" t="n">
        <v>0</v>
      </c>
      <c r="AT13" s="116">
        <f>AL13+AR13</f>
        <v/>
      </c>
      <c r="AU13" s="119">
        <f>IFERROR(AO13*Assumptions!$C$26*Assumptions!$C$27*INDEX(Assumptions!$C$18:$C$21,MATCH(H13,Assumptions!$B$18:$B$21,0)),0)</f>
        <v/>
      </c>
    </row>
    <row r="14">
      <c r="A14" s="114" t="n">
        <v>46247</v>
      </c>
      <c r="B14" s="42" t="inlineStr">
        <is>
          <t>Wk 33</t>
        </is>
      </c>
      <c r="C14" s="42" t="inlineStr">
        <is>
          <t>Thu</t>
        </is>
      </c>
      <c r="D14" s="42" t="inlineStr">
        <is>
          <t>Meta (FB/IG)</t>
        </is>
      </c>
      <c r="E14" s="42" t="inlineStr">
        <is>
          <t>Facebook + Instagram</t>
        </is>
      </c>
      <c r="F14" s="42" t="inlineStr">
        <is>
          <t>LEP_ZA_AUG26_META_TD_AMUR_CONV</t>
        </is>
      </c>
      <c r="G14" s="42" t="inlineStr">
        <is>
          <t>Leads - Website Conversions</t>
        </is>
      </c>
      <c r="H14" s="42" t="inlineStr">
        <is>
          <t>AMUR</t>
        </is>
      </c>
      <c r="I14" s="42" t="inlineStr">
        <is>
          <t>0% Deposit</t>
        </is>
      </c>
      <c r="J14" s="42" t="inlineStr">
        <is>
          <t>MET_AMUR_BROAD_25-54_ZA</t>
        </is>
      </c>
      <c r="K14" s="42" t="inlineStr">
        <is>
          <t>Prospecting</t>
        </is>
      </c>
      <c r="L14" s="42" t="inlineStr">
        <is>
          <t>AMUR_VID_15s_CityDrive_v1</t>
        </is>
      </c>
      <c r="M14" s="42" t="inlineStr">
        <is>
          <t>Video 9:16</t>
        </is>
      </c>
      <c r="N14" s="42" t="inlineStr">
        <is>
          <t>Your first Lepas. R3 599pm.</t>
        </is>
      </c>
      <c r="O14" s="42" t="inlineStr">
        <is>
          <t>Auction - Lowest Cost</t>
        </is>
      </c>
      <c r="P14" s="42" t="inlineStr">
        <is>
          <t>Offsite Conversions</t>
        </is>
      </c>
      <c r="Q14" s="42" t="inlineStr">
        <is>
          <t>https://www.lepas-sa.co.za/offers/amur</t>
        </is>
      </c>
      <c r="R14" s="115" t="n">
        <v>353.33</v>
      </c>
      <c r="S14" s="116" t="n">
        <v>4042</v>
      </c>
      <c r="T14" s="116" t="n">
        <v>2778</v>
      </c>
      <c r="U14" s="117">
        <f>IFERROR(S14/T14,"")</f>
        <v/>
      </c>
      <c r="V14" s="116" t="n">
        <v>64</v>
      </c>
      <c r="W14" s="116" t="n">
        <v>48</v>
      </c>
      <c r="X14" s="118">
        <f>IFERROR(W14/S14,"")</f>
        <v/>
      </c>
      <c r="Y14" s="115">
        <f>IFERROR(R14/W14,"")</f>
        <v/>
      </c>
      <c r="Z14" s="115">
        <f>IFERROR(R14/S14*1000,"")</f>
        <v/>
      </c>
      <c r="AA14" s="116" t="n">
        <v>38</v>
      </c>
      <c r="AB14" s="47">
        <f>IFERROR(AA14/W14,"")</f>
        <v/>
      </c>
      <c r="AC14" s="116" t="n">
        <v>988</v>
      </c>
      <c r="AD14" s="116" t="n">
        <v>477</v>
      </c>
      <c r="AE14" s="116" t="n">
        <v>455</v>
      </c>
      <c r="AF14" s="116" t="n">
        <v>261</v>
      </c>
      <c r="AG14" s="116" t="n">
        <v>184</v>
      </c>
      <c r="AH14" s="116" t="n">
        <v>130</v>
      </c>
      <c r="AI14" s="47">
        <f>IFERROR(AC14/S14,"")</f>
        <v/>
      </c>
      <c r="AJ14" s="47">
        <f>IFERROR(AH14/S14,"")</f>
        <v/>
      </c>
      <c r="AK14" s="116" t="n">
        <v>49</v>
      </c>
      <c r="AL14" s="116" t="n">
        <v>0</v>
      </c>
      <c r="AM14" s="118">
        <f>IFERROR(AL14/AA14,"")</f>
        <v/>
      </c>
      <c r="AN14" s="119">
        <f>IFERROR(R14/AL14,"")</f>
        <v/>
      </c>
      <c r="AO14" s="116" t="n">
        <v>0</v>
      </c>
      <c r="AP14" s="47">
        <f>IFERROR(AO14/AL14,"")</f>
        <v/>
      </c>
      <c r="AQ14" s="119">
        <f>IFERROR(R14/AO14,"")</f>
        <v/>
      </c>
      <c r="AR14" s="116" t="n">
        <v>0</v>
      </c>
      <c r="AS14" s="116" t="n">
        <v>0</v>
      </c>
      <c r="AT14" s="116">
        <f>AL14+AR14</f>
        <v/>
      </c>
      <c r="AU14" s="119">
        <f>IFERROR(AO14*Assumptions!$C$26*Assumptions!$C$27*INDEX(Assumptions!$C$18:$C$21,MATCH(H14,Assumptions!$B$18:$B$21,0)),0)</f>
        <v/>
      </c>
    </row>
    <row r="15">
      <c r="A15" s="114" t="n">
        <v>46248</v>
      </c>
      <c r="B15" s="42" t="inlineStr">
        <is>
          <t>Wk 33</t>
        </is>
      </c>
      <c r="C15" s="42" t="inlineStr">
        <is>
          <t>Fri</t>
        </is>
      </c>
      <c r="D15" s="42" t="inlineStr">
        <is>
          <t>Meta (FB/IG)</t>
        </is>
      </c>
      <c r="E15" s="42" t="inlineStr">
        <is>
          <t>Facebook + Instagram</t>
        </is>
      </c>
      <c r="F15" s="42" t="inlineStr">
        <is>
          <t>LEP_ZA_AUG26_META_TD_AMUR_CONV</t>
        </is>
      </c>
      <c r="G15" s="42" t="inlineStr">
        <is>
          <t>Leads - Website Conversions</t>
        </is>
      </c>
      <c r="H15" s="42" t="inlineStr">
        <is>
          <t>AMUR</t>
        </is>
      </c>
      <c r="I15" s="42" t="inlineStr">
        <is>
          <t>0% Deposit</t>
        </is>
      </c>
      <c r="J15" s="42" t="inlineStr">
        <is>
          <t>MET_AMUR_BROAD_25-54_ZA</t>
        </is>
      </c>
      <c r="K15" s="42" t="inlineStr">
        <is>
          <t>Prospecting</t>
        </is>
      </c>
      <c r="L15" s="42" t="inlineStr">
        <is>
          <t>AMUR_VID_15s_CityDrive_v1</t>
        </is>
      </c>
      <c r="M15" s="42" t="inlineStr">
        <is>
          <t>Video 9:16</t>
        </is>
      </c>
      <c r="N15" s="42" t="inlineStr">
        <is>
          <t>Your first Lepas. R3 599pm.</t>
        </is>
      </c>
      <c r="O15" s="42" t="inlineStr">
        <is>
          <t>Auction - Lowest Cost</t>
        </is>
      </c>
      <c r="P15" s="42" t="inlineStr">
        <is>
          <t>Offsite Conversions</t>
        </is>
      </c>
      <c r="Q15" s="42" t="inlineStr">
        <is>
          <t>https://www.lepas-sa.co.za/offers/amur</t>
        </is>
      </c>
      <c r="R15" s="115" t="n">
        <v>346.41</v>
      </c>
      <c r="S15" s="116" t="n">
        <v>6775</v>
      </c>
      <c r="T15" s="116" t="n">
        <v>4186</v>
      </c>
      <c r="U15" s="117">
        <f>IFERROR(S15/T15,"")</f>
        <v/>
      </c>
      <c r="V15" s="116" t="n">
        <v>82</v>
      </c>
      <c r="W15" s="116" t="n">
        <v>65</v>
      </c>
      <c r="X15" s="118">
        <f>IFERROR(W15/S15,"")</f>
        <v/>
      </c>
      <c r="Y15" s="115">
        <f>IFERROR(R15/W15,"")</f>
        <v/>
      </c>
      <c r="Z15" s="115">
        <f>IFERROR(R15/S15*1000,"")</f>
        <v/>
      </c>
      <c r="AA15" s="116" t="n">
        <v>55</v>
      </c>
      <c r="AB15" s="47">
        <f>IFERROR(AA15/W15,"")</f>
        <v/>
      </c>
      <c r="AC15" s="116" t="n">
        <v>2392</v>
      </c>
      <c r="AD15" s="116" t="n">
        <v>1274</v>
      </c>
      <c r="AE15" s="116" t="n">
        <v>1025</v>
      </c>
      <c r="AF15" s="116" t="n">
        <v>570</v>
      </c>
      <c r="AG15" s="116" t="n">
        <v>409</v>
      </c>
      <c r="AH15" s="116" t="n">
        <v>266</v>
      </c>
      <c r="AI15" s="47">
        <f>IFERROR(AC15/S15,"")</f>
        <v/>
      </c>
      <c r="AJ15" s="47">
        <f>IFERROR(AH15/S15,"")</f>
        <v/>
      </c>
      <c r="AK15" s="116" t="n">
        <v>164</v>
      </c>
      <c r="AL15" s="116" t="n">
        <v>1</v>
      </c>
      <c r="AM15" s="118">
        <f>IFERROR(AL15/AA15,"")</f>
        <v/>
      </c>
      <c r="AN15" s="119">
        <f>IFERROR(R15/AL15,"")</f>
        <v/>
      </c>
      <c r="AO15" s="116" t="n">
        <v>1</v>
      </c>
      <c r="AP15" s="47">
        <f>IFERROR(AO15/AL15,"")</f>
        <v/>
      </c>
      <c r="AQ15" s="119">
        <f>IFERROR(R15/AO15,"")</f>
        <v/>
      </c>
      <c r="AR15" s="116" t="n">
        <v>0</v>
      </c>
      <c r="AS15" s="116" t="n">
        <v>1</v>
      </c>
      <c r="AT15" s="116">
        <f>AL15+AR15</f>
        <v/>
      </c>
      <c r="AU15" s="119">
        <f>IFERROR(AO15*Assumptions!$C$26*Assumptions!$C$27*INDEX(Assumptions!$C$18:$C$21,MATCH(H15,Assumptions!$B$18:$B$21,0)),0)</f>
        <v/>
      </c>
    </row>
    <row r="16">
      <c r="A16" s="114" t="n">
        <v>46249</v>
      </c>
      <c r="B16" s="42" t="inlineStr">
        <is>
          <t>Wk 33</t>
        </is>
      </c>
      <c r="C16" s="42" t="inlineStr">
        <is>
          <t>Sat</t>
        </is>
      </c>
      <c r="D16" s="42" t="inlineStr">
        <is>
          <t>Meta (FB/IG)</t>
        </is>
      </c>
      <c r="E16" s="42" t="inlineStr">
        <is>
          <t>Facebook + Instagram</t>
        </is>
      </c>
      <c r="F16" s="42" t="inlineStr">
        <is>
          <t>LEP_ZA_AUG26_META_TD_AMUR_CONV</t>
        </is>
      </c>
      <c r="G16" s="42" t="inlineStr">
        <is>
          <t>Leads - Website Conversions</t>
        </is>
      </c>
      <c r="H16" s="42" t="inlineStr">
        <is>
          <t>AMUR</t>
        </is>
      </c>
      <c r="I16" s="42" t="inlineStr">
        <is>
          <t>0% Deposit</t>
        </is>
      </c>
      <c r="J16" s="42" t="inlineStr">
        <is>
          <t>MET_AMUR_BROAD_25-54_ZA</t>
        </is>
      </c>
      <c r="K16" s="42" t="inlineStr">
        <is>
          <t>Prospecting</t>
        </is>
      </c>
      <c r="L16" s="42" t="inlineStr">
        <is>
          <t>AMUR_VID_15s_CityDrive_v1</t>
        </is>
      </c>
      <c r="M16" s="42" t="inlineStr">
        <is>
          <t>Video 9:16</t>
        </is>
      </c>
      <c r="N16" s="42" t="inlineStr">
        <is>
          <t>Your first Lepas. R3 599pm.</t>
        </is>
      </c>
      <c r="O16" s="42" t="inlineStr">
        <is>
          <t>Auction - Lowest Cost</t>
        </is>
      </c>
      <c r="P16" s="42" t="inlineStr">
        <is>
          <t>Offsite Conversions</t>
        </is>
      </c>
      <c r="Q16" s="42" t="inlineStr">
        <is>
          <t>https://www.lepas-sa.co.za/offers/amur</t>
        </is>
      </c>
      <c r="R16" s="115" t="n">
        <v>342.61</v>
      </c>
      <c r="S16" s="116" t="n">
        <v>5743</v>
      </c>
      <c r="T16" s="116" t="n">
        <v>3406</v>
      </c>
      <c r="U16" s="117">
        <f>IFERROR(S16/T16,"")</f>
        <v/>
      </c>
      <c r="V16" s="116" t="n">
        <v>71</v>
      </c>
      <c r="W16" s="116" t="n">
        <v>56</v>
      </c>
      <c r="X16" s="118">
        <f>IFERROR(W16/S16,"")</f>
        <v/>
      </c>
      <c r="Y16" s="115">
        <f>IFERROR(R16/W16,"")</f>
        <v/>
      </c>
      <c r="Z16" s="115">
        <f>IFERROR(R16/S16*1000,"")</f>
        <v/>
      </c>
      <c r="AA16" s="116" t="n">
        <v>44</v>
      </c>
      <c r="AB16" s="47">
        <f>IFERROR(AA16/W16,"")</f>
        <v/>
      </c>
      <c r="AC16" s="116" t="n">
        <v>2326</v>
      </c>
      <c r="AD16" s="116" t="n">
        <v>1078</v>
      </c>
      <c r="AE16" s="116" t="n">
        <v>1081</v>
      </c>
      <c r="AF16" s="116" t="n">
        <v>703</v>
      </c>
      <c r="AG16" s="116" t="n">
        <v>511</v>
      </c>
      <c r="AH16" s="116" t="n">
        <v>344</v>
      </c>
      <c r="AI16" s="47">
        <f>IFERROR(AC16/S16,"")</f>
        <v/>
      </c>
      <c r="AJ16" s="47">
        <f>IFERROR(AH16/S16,"")</f>
        <v/>
      </c>
      <c r="AK16" s="116" t="n">
        <v>168</v>
      </c>
      <c r="AL16" s="116" t="n">
        <v>0</v>
      </c>
      <c r="AM16" s="118">
        <f>IFERROR(AL16/AA16,"")</f>
        <v/>
      </c>
      <c r="AN16" s="119">
        <f>IFERROR(R16/AL16,"")</f>
        <v/>
      </c>
      <c r="AO16" s="116" t="n">
        <v>0</v>
      </c>
      <c r="AP16" s="47">
        <f>IFERROR(AO16/AL16,"")</f>
        <v/>
      </c>
      <c r="AQ16" s="119">
        <f>IFERROR(R16/AO16,"")</f>
        <v/>
      </c>
      <c r="AR16" s="116" t="n">
        <v>0</v>
      </c>
      <c r="AS16" s="116" t="n">
        <v>0</v>
      </c>
      <c r="AT16" s="116">
        <f>AL16+AR16</f>
        <v/>
      </c>
      <c r="AU16" s="119">
        <f>IFERROR(AO16*Assumptions!$C$26*Assumptions!$C$27*INDEX(Assumptions!$C$18:$C$21,MATCH(H16,Assumptions!$B$18:$B$21,0)),0)</f>
        <v/>
      </c>
    </row>
    <row r="17">
      <c r="A17" s="114" t="n">
        <v>46250</v>
      </c>
      <c r="B17" s="42" t="inlineStr">
        <is>
          <t>Wk 33</t>
        </is>
      </c>
      <c r="C17" s="42" t="inlineStr">
        <is>
          <t>Sun</t>
        </is>
      </c>
      <c r="D17" s="42" t="inlineStr">
        <is>
          <t>Meta (FB/IG)</t>
        </is>
      </c>
      <c r="E17" s="42" t="inlineStr">
        <is>
          <t>Facebook + Instagram</t>
        </is>
      </c>
      <c r="F17" s="42" t="inlineStr">
        <is>
          <t>LEP_ZA_AUG26_META_TD_AMUR_CONV</t>
        </is>
      </c>
      <c r="G17" s="42" t="inlineStr">
        <is>
          <t>Leads - Website Conversions</t>
        </is>
      </c>
      <c r="H17" s="42" t="inlineStr">
        <is>
          <t>AMUR</t>
        </is>
      </c>
      <c r="I17" s="42" t="inlineStr">
        <is>
          <t>0% Deposit</t>
        </is>
      </c>
      <c r="J17" s="42" t="inlineStr">
        <is>
          <t>MET_AMUR_BROAD_25-54_ZA</t>
        </is>
      </c>
      <c r="K17" s="42" t="inlineStr">
        <is>
          <t>Prospecting</t>
        </is>
      </c>
      <c r="L17" s="42" t="inlineStr">
        <is>
          <t>AMUR_VID_15s_CityDrive_v1</t>
        </is>
      </c>
      <c r="M17" s="42" t="inlineStr">
        <is>
          <t>Video 9:16</t>
        </is>
      </c>
      <c r="N17" s="42" t="inlineStr">
        <is>
          <t>Your first Lepas. R3 599pm.</t>
        </is>
      </c>
      <c r="O17" s="42" t="inlineStr">
        <is>
          <t>Auction - Lowest Cost</t>
        </is>
      </c>
      <c r="P17" s="42" t="inlineStr">
        <is>
          <t>Offsite Conversions</t>
        </is>
      </c>
      <c r="Q17" s="42" t="inlineStr">
        <is>
          <t>https://www.lepas-sa.co.za/offers/amur</t>
        </is>
      </c>
      <c r="R17" s="115" t="n">
        <v>236.04</v>
      </c>
      <c r="S17" s="116" t="n">
        <v>3356</v>
      </c>
      <c r="T17" s="116" t="n">
        <v>1989</v>
      </c>
      <c r="U17" s="117">
        <f>IFERROR(S17/T17,"")</f>
        <v/>
      </c>
      <c r="V17" s="116" t="n">
        <v>40</v>
      </c>
      <c r="W17" s="116" t="n">
        <v>31</v>
      </c>
      <c r="X17" s="118">
        <f>IFERROR(W17/S17,"")</f>
        <v/>
      </c>
      <c r="Y17" s="115">
        <f>IFERROR(R17/W17,"")</f>
        <v/>
      </c>
      <c r="Z17" s="115">
        <f>IFERROR(R17/S17*1000,"")</f>
        <v/>
      </c>
      <c r="AA17" s="116" t="n">
        <v>25</v>
      </c>
      <c r="AB17" s="47">
        <f>IFERROR(AA17/W17,"")</f>
        <v/>
      </c>
      <c r="AC17" s="116" t="n">
        <v>1131</v>
      </c>
      <c r="AD17" s="116" t="n">
        <v>515</v>
      </c>
      <c r="AE17" s="116" t="n">
        <v>435</v>
      </c>
      <c r="AF17" s="116" t="n">
        <v>277</v>
      </c>
      <c r="AG17" s="116" t="n">
        <v>199</v>
      </c>
      <c r="AH17" s="116" t="n">
        <v>129</v>
      </c>
      <c r="AI17" s="47">
        <f>IFERROR(AC17/S17,"")</f>
        <v/>
      </c>
      <c r="AJ17" s="47">
        <f>IFERROR(AH17/S17,"")</f>
        <v/>
      </c>
      <c r="AK17" s="116" t="n">
        <v>97</v>
      </c>
      <c r="AL17" s="116" t="n">
        <v>1</v>
      </c>
      <c r="AM17" s="118">
        <f>IFERROR(AL17/AA17,"")</f>
        <v/>
      </c>
      <c r="AN17" s="119">
        <f>IFERROR(R17/AL17,"")</f>
        <v/>
      </c>
      <c r="AO17" s="116" t="n">
        <v>1</v>
      </c>
      <c r="AP17" s="47">
        <f>IFERROR(AO17/AL17,"")</f>
        <v/>
      </c>
      <c r="AQ17" s="119">
        <f>IFERROR(R17/AO17,"")</f>
        <v/>
      </c>
      <c r="AR17" s="116" t="n">
        <v>0</v>
      </c>
      <c r="AS17" s="116" t="n">
        <v>0</v>
      </c>
      <c r="AT17" s="116">
        <f>AL17+AR17</f>
        <v/>
      </c>
      <c r="AU17" s="119">
        <f>IFERROR(AO17*Assumptions!$C$26*Assumptions!$C$27*INDEX(Assumptions!$C$18:$C$21,MATCH(H17,Assumptions!$B$18:$B$21,0)),0)</f>
        <v/>
      </c>
    </row>
    <row r="18">
      <c r="A18" s="114" t="n">
        <v>46251</v>
      </c>
      <c r="B18" s="42" t="inlineStr">
        <is>
          <t>Wk 34</t>
        </is>
      </c>
      <c r="C18" s="42" t="inlineStr">
        <is>
          <t>Mon</t>
        </is>
      </c>
      <c r="D18" s="42" t="inlineStr">
        <is>
          <t>Meta (FB/IG)</t>
        </is>
      </c>
      <c r="E18" s="42" t="inlineStr">
        <is>
          <t>Facebook + Instagram</t>
        </is>
      </c>
      <c r="F18" s="42" t="inlineStr">
        <is>
          <t>LEP_ZA_AUG26_META_TD_AMUR_CONV</t>
        </is>
      </c>
      <c r="G18" s="42" t="inlineStr">
        <is>
          <t>Leads - Website Conversions</t>
        </is>
      </c>
      <c r="H18" s="42" t="inlineStr">
        <is>
          <t>AMUR</t>
        </is>
      </c>
      <c r="I18" s="42" t="inlineStr">
        <is>
          <t>0% Deposit</t>
        </is>
      </c>
      <c r="J18" s="42" t="inlineStr">
        <is>
          <t>MET_AMUR_BROAD_25-54_ZA</t>
        </is>
      </c>
      <c r="K18" s="42" t="inlineStr">
        <is>
          <t>Prospecting</t>
        </is>
      </c>
      <c r="L18" s="42" t="inlineStr">
        <is>
          <t>AMUR_VID_15s_CityDrive_v1</t>
        </is>
      </c>
      <c r="M18" s="42" t="inlineStr">
        <is>
          <t>Video 9:16</t>
        </is>
      </c>
      <c r="N18" s="42" t="inlineStr">
        <is>
          <t>Your first Lepas. R3 599pm.</t>
        </is>
      </c>
      <c r="O18" s="42" t="inlineStr">
        <is>
          <t>Auction - Lowest Cost</t>
        </is>
      </c>
      <c r="P18" s="42" t="inlineStr">
        <is>
          <t>Offsite Conversions</t>
        </is>
      </c>
      <c r="Q18" s="42" t="inlineStr">
        <is>
          <t>https://www.lepas-sa.co.za/offers/amur</t>
        </is>
      </c>
      <c r="R18" s="115" t="n">
        <v>325.04</v>
      </c>
      <c r="S18" s="116" t="n">
        <v>4944</v>
      </c>
      <c r="T18" s="116" t="n">
        <v>2869</v>
      </c>
      <c r="U18" s="117">
        <f>IFERROR(S18/T18,"")</f>
        <v/>
      </c>
      <c r="V18" s="116" t="n">
        <v>70</v>
      </c>
      <c r="W18" s="116" t="n">
        <v>51</v>
      </c>
      <c r="X18" s="118">
        <f>IFERROR(W18/S18,"")</f>
        <v/>
      </c>
      <c r="Y18" s="115">
        <f>IFERROR(R18/W18,"")</f>
        <v/>
      </c>
      <c r="Z18" s="115">
        <f>IFERROR(R18/S18*1000,"")</f>
        <v/>
      </c>
      <c r="AA18" s="116" t="n">
        <v>41</v>
      </c>
      <c r="AB18" s="47">
        <f>IFERROR(AA18/W18,"")</f>
        <v/>
      </c>
      <c r="AC18" s="116" t="n">
        <v>1870</v>
      </c>
      <c r="AD18" s="116" t="n">
        <v>1113</v>
      </c>
      <c r="AE18" s="116" t="n">
        <v>779</v>
      </c>
      <c r="AF18" s="116" t="n">
        <v>429</v>
      </c>
      <c r="AG18" s="116" t="n">
        <v>315</v>
      </c>
      <c r="AH18" s="116" t="n">
        <v>201</v>
      </c>
      <c r="AI18" s="47">
        <f>IFERROR(AC18/S18,"")</f>
        <v/>
      </c>
      <c r="AJ18" s="47">
        <f>IFERROR(AH18/S18,"")</f>
        <v/>
      </c>
      <c r="AK18" s="116" t="n">
        <v>100</v>
      </c>
      <c r="AL18" s="116" t="n">
        <v>1</v>
      </c>
      <c r="AM18" s="118">
        <f>IFERROR(AL18/AA18,"")</f>
        <v/>
      </c>
      <c r="AN18" s="119">
        <f>IFERROR(R18/AL18,"")</f>
        <v/>
      </c>
      <c r="AO18" s="116" t="n">
        <v>0</v>
      </c>
      <c r="AP18" s="47">
        <f>IFERROR(AO18/AL18,"")</f>
        <v/>
      </c>
      <c r="AQ18" s="119">
        <f>IFERROR(R18/AO18,"")</f>
        <v/>
      </c>
      <c r="AR18" s="116" t="n">
        <v>0</v>
      </c>
      <c r="AS18" s="116" t="n">
        <v>0</v>
      </c>
      <c r="AT18" s="116">
        <f>AL18+AR18</f>
        <v/>
      </c>
      <c r="AU18" s="119">
        <f>IFERROR(AO18*Assumptions!$C$26*Assumptions!$C$27*INDEX(Assumptions!$C$18:$C$21,MATCH(H18,Assumptions!$B$18:$B$21,0)),0)</f>
        <v/>
      </c>
    </row>
    <row r="19">
      <c r="A19" s="114" t="n">
        <v>46252</v>
      </c>
      <c r="B19" s="42" t="inlineStr">
        <is>
          <t>Wk 34</t>
        </is>
      </c>
      <c r="C19" s="42" t="inlineStr">
        <is>
          <t>Tue</t>
        </is>
      </c>
      <c r="D19" s="42" t="inlineStr">
        <is>
          <t>Meta (FB/IG)</t>
        </is>
      </c>
      <c r="E19" s="42" t="inlineStr">
        <is>
          <t>Facebook + Instagram</t>
        </is>
      </c>
      <c r="F19" s="42" t="inlineStr">
        <is>
          <t>LEP_ZA_AUG26_META_TD_AMUR_CONV</t>
        </is>
      </c>
      <c r="G19" s="42" t="inlineStr">
        <is>
          <t>Leads - Website Conversions</t>
        </is>
      </c>
      <c r="H19" s="42" t="inlineStr">
        <is>
          <t>AMUR</t>
        </is>
      </c>
      <c r="I19" s="42" t="inlineStr">
        <is>
          <t>0% Deposit</t>
        </is>
      </c>
      <c r="J19" s="42" t="inlineStr">
        <is>
          <t>MET_AMUR_BROAD_25-54_ZA</t>
        </is>
      </c>
      <c r="K19" s="42" t="inlineStr">
        <is>
          <t>Prospecting</t>
        </is>
      </c>
      <c r="L19" s="42" t="inlineStr">
        <is>
          <t>AMUR_VID_15s_CityDrive_v1</t>
        </is>
      </c>
      <c r="M19" s="42" t="inlineStr">
        <is>
          <t>Video 9:16</t>
        </is>
      </c>
      <c r="N19" s="42" t="inlineStr">
        <is>
          <t>Your first Lepas. R3 599pm.</t>
        </is>
      </c>
      <c r="O19" s="42" t="inlineStr">
        <is>
          <t>Auction - Lowest Cost</t>
        </is>
      </c>
      <c r="P19" s="42" t="inlineStr">
        <is>
          <t>Offsite Conversions</t>
        </is>
      </c>
      <c r="Q19" s="42" t="inlineStr">
        <is>
          <t>https://www.lepas-sa.co.za/offers/amur</t>
        </is>
      </c>
      <c r="R19" s="115" t="n">
        <v>260.32</v>
      </c>
      <c r="S19" s="116" t="n">
        <v>3735</v>
      </c>
      <c r="T19" s="116" t="n">
        <v>2169</v>
      </c>
      <c r="U19" s="117">
        <f>IFERROR(S19/T19,"")</f>
        <v/>
      </c>
      <c r="V19" s="116" t="n">
        <v>53</v>
      </c>
      <c r="W19" s="116" t="n">
        <v>45</v>
      </c>
      <c r="X19" s="118">
        <f>IFERROR(W19/S19,"")</f>
        <v/>
      </c>
      <c r="Y19" s="115">
        <f>IFERROR(R19/W19,"")</f>
        <v/>
      </c>
      <c r="Z19" s="115">
        <f>IFERROR(R19/S19*1000,"")</f>
        <v/>
      </c>
      <c r="AA19" s="116" t="n">
        <v>39</v>
      </c>
      <c r="AB19" s="47">
        <f>IFERROR(AA19/W19,"")</f>
        <v/>
      </c>
      <c r="AC19" s="116" t="n">
        <v>988</v>
      </c>
      <c r="AD19" s="116" t="n">
        <v>463</v>
      </c>
      <c r="AE19" s="116" t="n">
        <v>521</v>
      </c>
      <c r="AF19" s="116" t="n">
        <v>333</v>
      </c>
      <c r="AG19" s="116" t="n">
        <v>236</v>
      </c>
      <c r="AH19" s="116" t="n">
        <v>167</v>
      </c>
      <c r="AI19" s="47">
        <f>IFERROR(AC19/S19,"")</f>
        <v/>
      </c>
      <c r="AJ19" s="47">
        <f>IFERROR(AH19/S19,"")</f>
        <v/>
      </c>
      <c r="AK19" s="116" t="n">
        <v>74</v>
      </c>
      <c r="AL19" s="116" t="n">
        <v>1</v>
      </c>
      <c r="AM19" s="118">
        <f>IFERROR(AL19/AA19,"")</f>
        <v/>
      </c>
      <c r="AN19" s="119">
        <f>IFERROR(R19/AL19,"")</f>
        <v/>
      </c>
      <c r="AO19" s="116" t="n">
        <v>1</v>
      </c>
      <c r="AP19" s="47">
        <f>IFERROR(AO19/AL19,"")</f>
        <v/>
      </c>
      <c r="AQ19" s="119">
        <f>IFERROR(R19/AO19,"")</f>
        <v/>
      </c>
      <c r="AR19" s="116" t="n">
        <v>1</v>
      </c>
      <c r="AS19" s="116" t="n">
        <v>0</v>
      </c>
      <c r="AT19" s="116">
        <f>AL19+AR19</f>
        <v/>
      </c>
      <c r="AU19" s="119">
        <f>IFERROR(AO19*Assumptions!$C$26*Assumptions!$C$27*INDEX(Assumptions!$C$18:$C$21,MATCH(H19,Assumptions!$B$18:$B$21,0)),0)</f>
        <v/>
      </c>
    </row>
    <row r="20">
      <c r="A20" s="114" t="n">
        <v>46235</v>
      </c>
      <c r="B20" s="42" t="inlineStr">
        <is>
          <t>Wk 31</t>
        </is>
      </c>
      <c r="C20" s="42" t="inlineStr">
        <is>
          <t>Sat</t>
        </is>
      </c>
      <c r="D20" s="42" t="inlineStr">
        <is>
          <t>Meta (FB/IG)</t>
        </is>
      </c>
      <c r="E20" s="42" t="inlineStr">
        <is>
          <t>Facebook + Instagram</t>
        </is>
      </c>
      <c r="F20" s="42" t="inlineStr">
        <is>
          <t>LEP_ZA_AUG26_META_TD_AMUR_CONV</t>
        </is>
      </c>
      <c r="G20" s="42" t="inlineStr">
        <is>
          <t>Leads - Website Conversions</t>
        </is>
      </c>
      <c r="H20" s="42" t="inlineStr">
        <is>
          <t>AMUR</t>
        </is>
      </c>
      <c r="I20" s="42" t="inlineStr">
        <is>
          <t>0% Deposit</t>
        </is>
      </c>
      <c r="J20" s="42" t="inlineStr">
        <is>
          <t>MET_AMUR_BROAD_25-54_ZA</t>
        </is>
      </c>
      <c r="K20" s="42" t="inlineStr">
        <is>
          <t>Prospecting</t>
        </is>
      </c>
      <c r="L20" s="42" t="inlineStr">
        <is>
          <t>AMUR_CAR_4card_SpecStack_v1</t>
        </is>
      </c>
      <c r="M20" s="42" t="inlineStr">
        <is>
          <t>Carousel</t>
        </is>
      </c>
      <c r="N20" s="42" t="inlineStr">
        <is>
          <t>4 reasons the AMUR outsells its class</t>
        </is>
      </c>
      <c r="O20" s="42" t="inlineStr">
        <is>
          <t>Auction - Lowest Cost</t>
        </is>
      </c>
      <c r="P20" s="42" t="inlineStr">
        <is>
          <t>Offsite Conversions</t>
        </is>
      </c>
      <c r="Q20" s="42" t="inlineStr">
        <is>
          <t>https://www.lepas-sa.co.za/offers/amur</t>
        </is>
      </c>
      <c r="R20" s="115" t="n">
        <v>228.39</v>
      </c>
      <c r="S20" s="116" t="n">
        <v>3183</v>
      </c>
      <c r="T20" s="116" t="n">
        <v>2344</v>
      </c>
      <c r="U20" s="117">
        <f>IFERROR(S20/T20,"")</f>
        <v/>
      </c>
      <c r="V20" s="116" t="n">
        <v>56</v>
      </c>
      <c r="W20" s="116" t="n">
        <v>45</v>
      </c>
      <c r="X20" s="118">
        <f>IFERROR(W20/S20,"")</f>
        <v/>
      </c>
      <c r="Y20" s="115">
        <f>IFERROR(R20/W20,"")</f>
        <v/>
      </c>
      <c r="Z20" s="115">
        <f>IFERROR(R20/S20*1000,"")</f>
        <v/>
      </c>
      <c r="AA20" s="116" t="n">
        <v>37</v>
      </c>
      <c r="AB20" s="47">
        <f>IFERROR(AA20/W20,"")</f>
        <v/>
      </c>
      <c r="AC20" s="116" t="n">
        <v>0</v>
      </c>
      <c r="AD20" s="116" t="n">
        <v>0</v>
      </c>
      <c r="AE20" s="116" t="n">
        <v>0</v>
      </c>
      <c r="AF20" s="116" t="n">
        <v>0</v>
      </c>
      <c r="AG20" s="116" t="n">
        <v>0</v>
      </c>
      <c r="AH20" s="116" t="n">
        <v>0</v>
      </c>
      <c r="AI20" s="47">
        <f>IFERROR(AC20/S20,"")</f>
        <v/>
      </c>
      <c r="AJ20" s="47">
        <f>IFERROR(AH20/S20,"")</f>
        <v/>
      </c>
      <c r="AK20" s="116" t="n">
        <v>55</v>
      </c>
      <c r="AL20" s="116" t="n">
        <v>0</v>
      </c>
      <c r="AM20" s="118">
        <f>IFERROR(AL20/AA20,"")</f>
        <v/>
      </c>
      <c r="AN20" s="119">
        <f>IFERROR(R20/AL20,"")</f>
        <v/>
      </c>
      <c r="AO20" s="116" t="n">
        <v>0</v>
      </c>
      <c r="AP20" s="47">
        <f>IFERROR(AO20/AL20,"")</f>
        <v/>
      </c>
      <c r="AQ20" s="119">
        <f>IFERROR(R20/AO20,"")</f>
        <v/>
      </c>
      <c r="AR20" s="116" t="n">
        <v>0</v>
      </c>
      <c r="AS20" s="116" t="n">
        <v>0</v>
      </c>
      <c r="AT20" s="116">
        <f>AL20+AR20</f>
        <v/>
      </c>
      <c r="AU20" s="119">
        <f>IFERROR(AO20*Assumptions!$C$26*Assumptions!$C$27*INDEX(Assumptions!$C$18:$C$21,MATCH(H20,Assumptions!$B$18:$B$21,0)),0)</f>
        <v/>
      </c>
    </row>
    <row r="21">
      <c r="A21" s="114" t="n">
        <v>46236</v>
      </c>
      <c r="B21" s="42" t="inlineStr">
        <is>
          <t>Wk 31</t>
        </is>
      </c>
      <c r="C21" s="42" t="inlineStr">
        <is>
          <t>Sun</t>
        </is>
      </c>
      <c r="D21" s="42" t="inlineStr">
        <is>
          <t>Meta (FB/IG)</t>
        </is>
      </c>
      <c r="E21" s="42" t="inlineStr">
        <is>
          <t>Facebook + Instagram</t>
        </is>
      </c>
      <c r="F21" s="42" t="inlineStr">
        <is>
          <t>LEP_ZA_AUG26_META_TD_AMUR_CONV</t>
        </is>
      </c>
      <c r="G21" s="42" t="inlineStr">
        <is>
          <t>Leads - Website Conversions</t>
        </is>
      </c>
      <c r="H21" s="42" t="inlineStr">
        <is>
          <t>AMUR</t>
        </is>
      </c>
      <c r="I21" s="42" t="inlineStr">
        <is>
          <t>0% Deposit</t>
        </is>
      </c>
      <c r="J21" s="42" t="inlineStr">
        <is>
          <t>MET_AMUR_BROAD_25-54_ZA</t>
        </is>
      </c>
      <c r="K21" s="42" t="inlineStr">
        <is>
          <t>Prospecting</t>
        </is>
      </c>
      <c r="L21" s="42" t="inlineStr">
        <is>
          <t>AMUR_CAR_4card_SpecStack_v1</t>
        </is>
      </c>
      <c r="M21" s="42" t="inlineStr">
        <is>
          <t>Carousel</t>
        </is>
      </c>
      <c r="N21" s="42" t="inlineStr">
        <is>
          <t>4 reasons the AMUR outsells its class</t>
        </is>
      </c>
      <c r="O21" s="42" t="inlineStr">
        <is>
          <t>Auction - Lowest Cost</t>
        </is>
      </c>
      <c r="P21" s="42" t="inlineStr">
        <is>
          <t>Offsite Conversions</t>
        </is>
      </c>
      <c r="Q21" s="42" t="inlineStr">
        <is>
          <t>https://www.lepas-sa.co.za/offers/amur</t>
        </is>
      </c>
      <c r="R21" s="115" t="n">
        <v>163.22</v>
      </c>
      <c r="S21" s="116" t="n">
        <v>2779</v>
      </c>
      <c r="T21" s="116" t="n">
        <v>1899</v>
      </c>
      <c r="U21" s="117">
        <f>IFERROR(S21/T21,"")</f>
        <v/>
      </c>
      <c r="V21" s="116" t="n">
        <v>63</v>
      </c>
      <c r="W21" s="116" t="n">
        <v>48</v>
      </c>
      <c r="X21" s="118">
        <f>IFERROR(W21/S21,"")</f>
        <v/>
      </c>
      <c r="Y21" s="115">
        <f>IFERROR(R21/W21,"")</f>
        <v/>
      </c>
      <c r="Z21" s="115">
        <f>IFERROR(R21/S21*1000,"")</f>
        <v/>
      </c>
      <c r="AA21" s="116" t="n">
        <v>42</v>
      </c>
      <c r="AB21" s="47">
        <f>IFERROR(AA21/W21,"")</f>
        <v/>
      </c>
      <c r="AC21" s="116" t="n">
        <v>0</v>
      </c>
      <c r="AD21" s="116" t="n">
        <v>0</v>
      </c>
      <c r="AE21" s="116" t="n">
        <v>0</v>
      </c>
      <c r="AF21" s="116" t="n">
        <v>0</v>
      </c>
      <c r="AG21" s="116" t="n">
        <v>0</v>
      </c>
      <c r="AH21" s="116" t="n">
        <v>0</v>
      </c>
      <c r="AI21" s="47">
        <f>IFERROR(AC21/S21,"")</f>
        <v/>
      </c>
      <c r="AJ21" s="47">
        <f>IFERROR(AH21/S21,"")</f>
        <v/>
      </c>
      <c r="AK21" s="116" t="n">
        <v>71</v>
      </c>
      <c r="AL21" s="116" t="n">
        <v>0</v>
      </c>
      <c r="AM21" s="118">
        <f>IFERROR(AL21/AA21,"")</f>
        <v/>
      </c>
      <c r="AN21" s="119">
        <f>IFERROR(R21/AL21,"")</f>
        <v/>
      </c>
      <c r="AO21" s="116" t="n">
        <v>0</v>
      </c>
      <c r="AP21" s="47">
        <f>IFERROR(AO21/AL21,"")</f>
        <v/>
      </c>
      <c r="AQ21" s="119">
        <f>IFERROR(R21/AO21,"")</f>
        <v/>
      </c>
      <c r="AR21" s="116" t="n">
        <v>0</v>
      </c>
      <c r="AS21" s="116" t="n">
        <v>0</v>
      </c>
      <c r="AT21" s="116">
        <f>AL21+AR21</f>
        <v/>
      </c>
      <c r="AU21" s="119">
        <f>IFERROR(AO21*Assumptions!$C$26*Assumptions!$C$27*INDEX(Assumptions!$C$18:$C$21,MATCH(H21,Assumptions!$B$18:$B$21,0)),0)</f>
        <v/>
      </c>
    </row>
    <row r="22">
      <c r="A22" s="114" t="n">
        <v>46237</v>
      </c>
      <c r="B22" s="42" t="inlineStr">
        <is>
          <t>Wk 32</t>
        </is>
      </c>
      <c r="C22" s="42" t="inlineStr">
        <is>
          <t>Mon</t>
        </is>
      </c>
      <c r="D22" s="42" t="inlineStr">
        <is>
          <t>Meta (FB/IG)</t>
        </is>
      </c>
      <c r="E22" s="42" t="inlineStr">
        <is>
          <t>Facebook + Instagram</t>
        </is>
      </c>
      <c r="F22" s="42" t="inlineStr">
        <is>
          <t>LEP_ZA_AUG26_META_TD_AMUR_CONV</t>
        </is>
      </c>
      <c r="G22" s="42" t="inlineStr">
        <is>
          <t>Leads - Website Conversions</t>
        </is>
      </c>
      <c r="H22" s="42" t="inlineStr">
        <is>
          <t>AMUR</t>
        </is>
      </c>
      <c r="I22" s="42" t="inlineStr">
        <is>
          <t>0% Deposit</t>
        </is>
      </c>
      <c r="J22" s="42" t="inlineStr">
        <is>
          <t>MET_AMUR_BROAD_25-54_ZA</t>
        </is>
      </c>
      <c r="K22" s="42" t="inlineStr">
        <is>
          <t>Prospecting</t>
        </is>
      </c>
      <c r="L22" s="42" t="inlineStr">
        <is>
          <t>AMUR_CAR_4card_SpecStack_v1</t>
        </is>
      </c>
      <c r="M22" s="42" t="inlineStr">
        <is>
          <t>Carousel</t>
        </is>
      </c>
      <c r="N22" s="42" t="inlineStr">
        <is>
          <t>4 reasons the AMUR outsells its class</t>
        </is>
      </c>
      <c r="O22" s="42" t="inlineStr">
        <is>
          <t>Auction - Lowest Cost</t>
        </is>
      </c>
      <c r="P22" s="42" t="inlineStr">
        <is>
          <t>Offsite Conversions</t>
        </is>
      </c>
      <c r="Q22" s="42" t="inlineStr">
        <is>
          <t>https://www.lepas-sa.co.za/offers/amur</t>
        </is>
      </c>
      <c r="R22" s="115" t="n">
        <v>216.99</v>
      </c>
      <c r="S22" s="116" t="n">
        <v>3546</v>
      </c>
      <c r="T22" s="116" t="n">
        <v>2584</v>
      </c>
      <c r="U22" s="117">
        <f>IFERROR(S22/T22,"")</f>
        <v/>
      </c>
      <c r="V22" s="116" t="n">
        <v>68</v>
      </c>
      <c r="W22" s="116" t="n">
        <v>52</v>
      </c>
      <c r="X22" s="118">
        <f>IFERROR(W22/S22,"")</f>
        <v/>
      </c>
      <c r="Y22" s="115">
        <f>IFERROR(R22/W22,"")</f>
        <v/>
      </c>
      <c r="Z22" s="115">
        <f>IFERROR(R22/S22*1000,"")</f>
        <v/>
      </c>
      <c r="AA22" s="116" t="n">
        <v>42</v>
      </c>
      <c r="AB22" s="47">
        <f>IFERROR(AA22/W22,"")</f>
        <v/>
      </c>
      <c r="AC22" s="116" t="n">
        <v>0</v>
      </c>
      <c r="AD22" s="116" t="n">
        <v>0</v>
      </c>
      <c r="AE22" s="116" t="n">
        <v>0</v>
      </c>
      <c r="AF22" s="116" t="n">
        <v>0</v>
      </c>
      <c r="AG22" s="116" t="n">
        <v>0</v>
      </c>
      <c r="AH22" s="116" t="n">
        <v>0</v>
      </c>
      <c r="AI22" s="47">
        <f>IFERROR(AC22/S22,"")</f>
        <v/>
      </c>
      <c r="AJ22" s="47">
        <f>IFERROR(AH22/S22,"")</f>
        <v/>
      </c>
      <c r="AK22" s="116" t="n">
        <v>100</v>
      </c>
      <c r="AL22" s="116" t="n">
        <v>1</v>
      </c>
      <c r="AM22" s="118">
        <f>IFERROR(AL22/AA22,"")</f>
        <v/>
      </c>
      <c r="AN22" s="119">
        <f>IFERROR(R22/AL22,"")</f>
        <v/>
      </c>
      <c r="AO22" s="116" t="n">
        <v>1</v>
      </c>
      <c r="AP22" s="47">
        <f>IFERROR(AO22/AL22,"")</f>
        <v/>
      </c>
      <c r="AQ22" s="119">
        <f>IFERROR(R22/AO22,"")</f>
        <v/>
      </c>
      <c r="AR22" s="116" t="n">
        <v>0</v>
      </c>
      <c r="AS22" s="116" t="n">
        <v>0</v>
      </c>
      <c r="AT22" s="116">
        <f>AL22+AR22</f>
        <v/>
      </c>
      <c r="AU22" s="119">
        <f>IFERROR(AO22*Assumptions!$C$26*Assumptions!$C$27*INDEX(Assumptions!$C$18:$C$21,MATCH(H22,Assumptions!$B$18:$B$21,0)),0)</f>
        <v/>
      </c>
    </row>
    <row r="23">
      <c r="A23" s="114" t="n">
        <v>46238</v>
      </c>
      <c r="B23" s="42" t="inlineStr">
        <is>
          <t>Wk 32</t>
        </is>
      </c>
      <c r="C23" s="42" t="inlineStr">
        <is>
          <t>Tue</t>
        </is>
      </c>
      <c r="D23" s="42" t="inlineStr">
        <is>
          <t>Meta (FB/IG)</t>
        </is>
      </c>
      <c r="E23" s="42" t="inlineStr">
        <is>
          <t>Facebook + Instagram</t>
        </is>
      </c>
      <c r="F23" s="42" t="inlineStr">
        <is>
          <t>LEP_ZA_AUG26_META_TD_AMUR_CONV</t>
        </is>
      </c>
      <c r="G23" s="42" t="inlineStr">
        <is>
          <t>Leads - Website Conversions</t>
        </is>
      </c>
      <c r="H23" s="42" t="inlineStr">
        <is>
          <t>AMUR</t>
        </is>
      </c>
      <c r="I23" s="42" t="inlineStr">
        <is>
          <t>0% Deposit</t>
        </is>
      </c>
      <c r="J23" s="42" t="inlineStr">
        <is>
          <t>MET_AMUR_BROAD_25-54_ZA</t>
        </is>
      </c>
      <c r="K23" s="42" t="inlineStr">
        <is>
          <t>Prospecting</t>
        </is>
      </c>
      <c r="L23" s="42" t="inlineStr">
        <is>
          <t>AMUR_CAR_4card_SpecStack_v1</t>
        </is>
      </c>
      <c r="M23" s="42" t="inlineStr">
        <is>
          <t>Carousel</t>
        </is>
      </c>
      <c r="N23" s="42" t="inlineStr">
        <is>
          <t>4 reasons the AMUR outsells its class</t>
        </is>
      </c>
      <c r="O23" s="42" t="inlineStr">
        <is>
          <t>Auction - Lowest Cost</t>
        </is>
      </c>
      <c r="P23" s="42" t="inlineStr">
        <is>
          <t>Offsite Conversions</t>
        </is>
      </c>
      <c r="Q23" s="42" t="inlineStr">
        <is>
          <t>https://www.lepas-sa.co.za/offers/amur</t>
        </is>
      </c>
      <c r="R23" s="115" t="n">
        <v>197.85</v>
      </c>
      <c r="S23" s="116" t="n">
        <v>3099</v>
      </c>
      <c r="T23" s="116" t="n">
        <v>2150</v>
      </c>
      <c r="U23" s="117">
        <f>IFERROR(S23/T23,"")</f>
        <v/>
      </c>
      <c r="V23" s="116" t="n">
        <v>67</v>
      </c>
      <c r="W23" s="116" t="n">
        <v>48</v>
      </c>
      <c r="X23" s="118">
        <f>IFERROR(W23/S23,"")</f>
        <v/>
      </c>
      <c r="Y23" s="115">
        <f>IFERROR(R23/W23,"")</f>
        <v/>
      </c>
      <c r="Z23" s="115">
        <f>IFERROR(R23/S23*1000,"")</f>
        <v/>
      </c>
      <c r="AA23" s="116" t="n">
        <v>39</v>
      </c>
      <c r="AB23" s="47">
        <f>IFERROR(AA23/W23,"")</f>
        <v/>
      </c>
      <c r="AC23" s="116" t="n">
        <v>0</v>
      </c>
      <c r="AD23" s="116" t="n">
        <v>0</v>
      </c>
      <c r="AE23" s="116" t="n">
        <v>0</v>
      </c>
      <c r="AF23" s="116" t="n">
        <v>0</v>
      </c>
      <c r="AG23" s="116" t="n">
        <v>0</v>
      </c>
      <c r="AH23" s="116" t="n">
        <v>0</v>
      </c>
      <c r="AI23" s="47">
        <f>IFERROR(AC23/S23,"")</f>
        <v/>
      </c>
      <c r="AJ23" s="47">
        <f>IFERROR(AH23/S23,"")</f>
        <v/>
      </c>
      <c r="AK23" s="116" t="n">
        <v>45</v>
      </c>
      <c r="AL23" s="116" t="n">
        <v>0</v>
      </c>
      <c r="AM23" s="118">
        <f>IFERROR(AL23/AA23,"")</f>
        <v/>
      </c>
      <c r="AN23" s="119">
        <f>IFERROR(R23/AL23,"")</f>
        <v/>
      </c>
      <c r="AO23" s="116" t="n">
        <v>0</v>
      </c>
      <c r="AP23" s="47">
        <f>IFERROR(AO23/AL23,"")</f>
        <v/>
      </c>
      <c r="AQ23" s="119">
        <f>IFERROR(R23/AO23,"")</f>
        <v/>
      </c>
      <c r="AR23" s="116" t="n">
        <v>0</v>
      </c>
      <c r="AS23" s="116" t="n">
        <v>0</v>
      </c>
      <c r="AT23" s="116">
        <f>AL23+AR23</f>
        <v/>
      </c>
      <c r="AU23" s="119">
        <f>IFERROR(AO23*Assumptions!$C$26*Assumptions!$C$27*INDEX(Assumptions!$C$18:$C$21,MATCH(H23,Assumptions!$B$18:$B$21,0)),0)</f>
        <v/>
      </c>
    </row>
    <row r="24">
      <c r="A24" s="114" t="n">
        <v>46239</v>
      </c>
      <c r="B24" s="42" t="inlineStr">
        <is>
          <t>Wk 32</t>
        </is>
      </c>
      <c r="C24" s="42" t="inlineStr">
        <is>
          <t>Wed</t>
        </is>
      </c>
      <c r="D24" s="42" t="inlineStr">
        <is>
          <t>Meta (FB/IG)</t>
        </is>
      </c>
      <c r="E24" s="42" t="inlineStr">
        <is>
          <t>Facebook + Instagram</t>
        </is>
      </c>
      <c r="F24" s="42" t="inlineStr">
        <is>
          <t>LEP_ZA_AUG26_META_TD_AMUR_CONV</t>
        </is>
      </c>
      <c r="G24" s="42" t="inlineStr">
        <is>
          <t>Leads - Website Conversions</t>
        </is>
      </c>
      <c r="H24" s="42" t="inlineStr">
        <is>
          <t>AMUR</t>
        </is>
      </c>
      <c r="I24" s="42" t="inlineStr">
        <is>
          <t>0% Deposit</t>
        </is>
      </c>
      <c r="J24" s="42" t="inlineStr">
        <is>
          <t>MET_AMUR_BROAD_25-54_ZA</t>
        </is>
      </c>
      <c r="K24" s="42" t="inlineStr">
        <is>
          <t>Prospecting</t>
        </is>
      </c>
      <c r="L24" s="42" t="inlineStr">
        <is>
          <t>AMUR_CAR_4card_SpecStack_v1</t>
        </is>
      </c>
      <c r="M24" s="42" t="inlineStr">
        <is>
          <t>Carousel</t>
        </is>
      </c>
      <c r="N24" s="42" t="inlineStr">
        <is>
          <t>4 reasons the AMUR outsells its class</t>
        </is>
      </c>
      <c r="O24" s="42" t="inlineStr">
        <is>
          <t>Auction - Lowest Cost</t>
        </is>
      </c>
      <c r="P24" s="42" t="inlineStr">
        <is>
          <t>Offsite Conversions</t>
        </is>
      </c>
      <c r="Q24" s="42" t="inlineStr">
        <is>
          <t>https://www.lepas-sa.co.za/offers/amur</t>
        </is>
      </c>
      <c r="R24" s="115" t="n">
        <v>218.17</v>
      </c>
      <c r="S24" s="116" t="n">
        <v>4082</v>
      </c>
      <c r="T24" s="116" t="n">
        <v>3341</v>
      </c>
      <c r="U24" s="117">
        <f>IFERROR(S24/T24,"")</f>
        <v/>
      </c>
      <c r="V24" s="116" t="n">
        <v>58</v>
      </c>
      <c r="W24" s="116" t="n">
        <v>49</v>
      </c>
      <c r="X24" s="118">
        <f>IFERROR(W24/S24,"")</f>
        <v/>
      </c>
      <c r="Y24" s="115">
        <f>IFERROR(R24/W24,"")</f>
        <v/>
      </c>
      <c r="Z24" s="115">
        <f>IFERROR(R24/S24*1000,"")</f>
        <v/>
      </c>
      <c r="AA24" s="116" t="n">
        <v>43</v>
      </c>
      <c r="AB24" s="47">
        <f>IFERROR(AA24/W24,"")</f>
        <v/>
      </c>
      <c r="AC24" s="116" t="n">
        <v>0</v>
      </c>
      <c r="AD24" s="116" t="n">
        <v>0</v>
      </c>
      <c r="AE24" s="116" t="n">
        <v>0</v>
      </c>
      <c r="AF24" s="116" t="n">
        <v>0</v>
      </c>
      <c r="AG24" s="116" t="n">
        <v>0</v>
      </c>
      <c r="AH24" s="116" t="n">
        <v>0</v>
      </c>
      <c r="AI24" s="47">
        <f>IFERROR(AC24/S24,"")</f>
        <v/>
      </c>
      <c r="AJ24" s="47">
        <f>IFERROR(AH24/S24,"")</f>
        <v/>
      </c>
      <c r="AK24" s="116" t="n">
        <v>135</v>
      </c>
      <c r="AL24" s="116" t="n">
        <v>1</v>
      </c>
      <c r="AM24" s="118">
        <f>IFERROR(AL24/AA24,"")</f>
        <v/>
      </c>
      <c r="AN24" s="119">
        <f>IFERROR(R24/AL24,"")</f>
        <v/>
      </c>
      <c r="AO24" s="116" t="n">
        <v>0</v>
      </c>
      <c r="AP24" s="47">
        <f>IFERROR(AO24/AL24,"")</f>
        <v/>
      </c>
      <c r="AQ24" s="119">
        <f>IFERROR(R24/AO24,"")</f>
        <v/>
      </c>
      <c r="AR24" s="116" t="n">
        <v>0</v>
      </c>
      <c r="AS24" s="116" t="n">
        <v>1</v>
      </c>
      <c r="AT24" s="116">
        <f>AL24+AR24</f>
        <v/>
      </c>
      <c r="AU24" s="119">
        <f>IFERROR(AO24*Assumptions!$C$26*Assumptions!$C$27*INDEX(Assumptions!$C$18:$C$21,MATCH(H24,Assumptions!$B$18:$B$21,0)),0)</f>
        <v/>
      </c>
    </row>
    <row r="25">
      <c r="A25" s="114" t="n">
        <v>46240</v>
      </c>
      <c r="B25" s="42" t="inlineStr">
        <is>
          <t>Wk 32</t>
        </is>
      </c>
      <c r="C25" s="42" t="inlineStr">
        <is>
          <t>Thu</t>
        </is>
      </c>
      <c r="D25" s="42" t="inlineStr">
        <is>
          <t>Meta (FB/IG)</t>
        </is>
      </c>
      <c r="E25" s="42" t="inlineStr">
        <is>
          <t>Facebook + Instagram</t>
        </is>
      </c>
      <c r="F25" s="42" t="inlineStr">
        <is>
          <t>LEP_ZA_AUG26_META_TD_AMUR_CONV</t>
        </is>
      </c>
      <c r="G25" s="42" t="inlineStr">
        <is>
          <t>Leads - Website Conversions</t>
        </is>
      </c>
      <c r="H25" s="42" t="inlineStr">
        <is>
          <t>AMUR</t>
        </is>
      </c>
      <c r="I25" s="42" t="inlineStr">
        <is>
          <t>0% Deposit</t>
        </is>
      </c>
      <c r="J25" s="42" t="inlineStr">
        <is>
          <t>MET_AMUR_BROAD_25-54_ZA</t>
        </is>
      </c>
      <c r="K25" s="42" t="inlineStr">
        <is>
          <t>Prospecting</t>
        </is>
      </c>
      <c r="L25" s="42" t="inlineStr">
        <is>
          <t>AMUR_CAR_4card_SpecStack_v1</t>
        </is>
      </c>
      <c r="M25" s="42" t="inlineStr">
        <is>
          <t>Carousel</t>
        </is>
      </c>
      <c r="N25" s="42" t="inlineStr">
        <is>
          <t>4 reasons the AMUR outsells its class</t>
        </is>
      </c>
      <c r="O25" s="42" t="inlineStr">
        <is>
          <t>Auction - Lowest Cost</t>
        </is>
      </c>
      <c r="P25" s="42" t="inlineStr">
        <is>
          <t>Offsite Conversions</t>
        </is>
      </c>
      <c r="Q25" s="42" t="inlineStr">
        <is>
          <t>https://www.lepas-sa.co.za/offers/amur</t>
        </is>
      </c>
      <c r="R25" s="115" t="n">
        <v>271.26</v>
      </c>
      <c r="S25" s="116" t="n">
        <v>5199</v>
      </c>
      <c r="T25" s="116" t="n">
        <v>3747</v>
      </c>
      <c r="U25" s="117">
        <f>IFERROR(S25/T25,"")</f>
        <v/>
      </c>
      <c r="V25" s="116" t="n">
        <v>60</v>
      </c>
      <c r="W25" s="116" t="n">
        <v>45</v>
      </c>
      <c r="X25" s="118">
        <f>IFERROR(W25/S25,"")</f>
        <v/>
      </c>
      <c r="Y25" s="115">
        <f>IFERROR(R25/W25,"")</f>
        <v/>
      </c>
      <c r="Z25" s="115">
        <f>IFERROR(R25/S25*1000,"")</f>
        <v/>
      </c>
      <c r="AA25" s="116" t="n">
        <v>39</v>
      </c>
      <c r="AB25" s="47">
        <f>IFERROR(AA25/W25,"")</f>
        <v/>
      </c>
      <c r="AC25" s="116" t="n">
        <v>0</v>
      </c>
      <c r="AD25" s="116" t="n">
        <v>0</v>
      </c>
      <c r="AE25" s="116" t="n">
        <v>0</v>
      </c>
      <c r="AF25" s="116" t="n">
        <v>0</v>
      </c>
      <c r="AG25" s="116" t="n">
        <v>0</v>
      </c>
      <c r="AH25" s="116" t="n">
        <v>0</v>
      </c>
      <c r="AI25" s="47">
        <f>IFERROR(AC25/S25,"")</f>
        <v/>
      </c>
      <c r="AJ25" s="47">
        <f>IFERROR(AH25/S25,"")</f>
        <v/>
      </c>
      <c r="AK25" s="116" t="n">
        <v>108</v>
      </c>
      <c r="AL25" s="116" t="n">
        <v>0</v>
      </c>
      <c r="AM25" s="118">
        <f>IFERROR(AL25/AA25,"")</f>
        <v/>
      </c>
      <c r="AN25" s="119">
        <f>IFERROR(R25/AL25,"")</f>
        <v/>
      </c>
      <c r="AO25" s="116" t="n">
        <v>0</v>
      </c>
      <c r="AP25" s="47">
        <f>IFERROR(AO25/AL25,"")</f>
        <v/>
      </c>
      <c r="AQ25" s="119">
        <f>IFERROR(R25/AO25,"")</f>
        <v/>
      </c>
      <c r="AR25" s="116" t="n">
        <v>0</v>
      </c>
      <c r="AS25" s="116" t="n">
        <v>0</v>
      </c>
      <c r="AT25" s="116">
        <f>AL25+AR25</f>
        <v/>
      </c>
      <c r="AU25" s="119">
        <f>IFERROR(AO25*Assumptions!$C$26*Assumptions!$C$27*INDEX(Assumptions!$C$18:$C$21,MATCH(H25,Assumptions!$B$18:$B$21,0)),0)</f>
        <v/>
      </c>
    </row>
    <row r="26">
      <c r="A26" s="114" t="n">
        <v>46241</v>
      </c>
      <c r="B26" s="42" t="inlineStr">
        <is>
          <t>Wk 32</t>
        </is>
      </c>
      <c r="C26" s="42" t="inlineStr">
        <is>
          <t>Fri</t>
        </is>
      </c>
      <c r="D26" s="42" t="inlineStr">
        <is>
          <t>Meta (FB/IG)</t>
        </is>
      </c>
      <c r="E26" s="42" t="inlineStr">
        <is>
          <t>Facebook + Instagram</t>
        </is>
      </c>
      <c r="F26" s="42" t="inlineStr">
        <is>
          <t>LEP_ZA_AUG26_META_TD_AMUR_CONV</t>
        </is>
      </c>
      <c r="G26" s="42" t="inlineStr">
        <is>
          <t>Leads - Website Conversions</t>
        </is>
      </c>
      <c r="H26" s="42" t="inlineStr">
        <is>
          <t>AMUR</t>
        </is>
      </c>
      <c r="I26" s="42" t="inlineStr">
        <is>
          <t>0% Deposit</t>
        </is>
      </c>
      <c r="J26" s="42" t="inlineStr">
        <is>
          <t>MET_AMUR_BROAD_25-54_ZA</t>
        </is>
      </c>
      <c r="K26" s="42" t="inlineStr">
        <is>
          <t>Prospecting</t>
        </is>
      </c>
      <c r="L26" s="42" t="inlineStr">
        <is>
          <t>AMUR_CAR_4card_SpecStack_v1</t>
        </is>
      </c>
      <c r="M26" s="42" t="inlineStr">
        <is>
          <t>Carousel</t>
        </is>
      </c>
      <c r="N26" s="42" t="inlineStr">
        <is>
          <t>4 reasons the AMUR outsells its class</t>
        </is>
      </c>
      <c r="O26" s="42" t="inlineStr">
        <is>
          <t>Auction - Lowest Cost</t>
        </is>
      </c>
      <c r="P26" s="42" t="inlineStr">
        <is>
          <t>Offsite Conversions</t>
        </is>
      </c>
      <c r="Q26" s="42" t="inlineStr">
        <is>
          <t>https://www.lepas-sa.co.za/offers/amur</t>
        </is>
      </c>
      <c r="R26" s="115" t="n">
        <v>292.61</v>
      </c>
      <c r="S26" s="116" t="n">
        <v>5550</v>
      </c>
      <c r="T26" s="116" t="n">
        <v>3656</v>
      </c>
      <c r="U26" s="117">
        <f>IFERROR(S26/T26,"")</f>
        <v/>
      </c>
      <c r="V26" s="116" t="n">
        <v>142</v>
      </c>
      <c r="W26" s="116" t="n">
        <v>111</v>
      </c>
      <c r="X26" s="118">
        <f>IFERROR(W26/S26,"")</f>
        <v/>
      </c>
      <c r="Y26" s="115">
        <f>IFERROR(R26/W26,"")</f>
        <v/>
      </c>
      <c r="Z26" s="115">
        <f>IFERROR(R26/S26*1000,"")</f>
        <v/>
      </c>
      <c r="AA26" s="116" t="n">
        <v>99</v>
      </c>
      <c r="AB26" s="47">
        <f>IFERROR(AA26/W26,"")</f>
        <v/>
      </c>
      <c r="AC26" s="116" t="n">
        <v>0</v>
      </c>
      <c r="AD26" s="116" t="n">
        <v>0</v>
      </c>
      <c r="AE26" s="116" t="n">
        <v>0</v>
      </c>
      <c r="AF26" s="116" t="n">
        <v>0</v>
      </c>
      <c r="AG26" s="116" t="n">
        <v>0</v>
      </c>
      <c r="AH26" s="116" t="n">
        <v>0</v>
      </c>
      <c r="AI26" s="47">
        <f>IFERROR(AC26/S26,"")</f>
        <v/>
      </c>
      <c r="AJ26" s="47">
        <f>IFERROR(AH26/S26,"")</f>
        <v/>
      </c>
      <c r="AK26" s="116" t="n">
        <v>127</v>
      </c>
      <c r="AL26" s="116" t="n">
        <v>2</v>
      </c>
      <c r="AM26" s="118">
        <f>IFERROR(AL26/AA26,"")</f>
        <v/>
      </c>
      <c r="AN26" s="119">
        <f>IFERROR(R26/AL26,"")</f>
        <v/>
      </c>
      <c r="AO26" s="116" t="n">
        <v>1</v>
      </c>
      <c r="AP26" s="47">
        <f>IFERROR(AO26/AL26,"")</f>
        <v/>
      </c>
      <c r="AQ26" s="119">
        <f>IFERROR(R26/AO26,"")</f>
        <v/>
      </c>
      <c r="AR26" s="116" t="n">
        <v>0</v>
      </c>
      <c r="AS26" s="116" t="n">
        <v>1</v>
      </c>
      <c r="AT26" s="116">
        <f>AL26+AR26</f>
        <v/>
      </c>
      <c r="AU26" s="119">
        <f>IFERROR(AO26*Assumptions!$C$26*Assumptions!$C$27*INDEX(Assumptions!$C$18:$C$21,MATCH(H26,Assumptions!$B$18:$B$21,0)),0)</f>
        <v/>
      </c>
    </row>
    <row r="27">
      <c r="A27" s="114" t="n">
        <v>46242</v>
      </c>
      <c r="B27" s="42" t="inlineStr">
        <is>
          <t>Wk 32</t>
        </is>
      </c>
      <c r="C27" s="42" t="inlineStr">
        <is>
          <t>Sat</t>
        </is>
      </c>
      <c r="D27" s="42" t="inlineStr">
        <is>
          <t>Meta (FB/IG)</t>
        </is>
      </c>
      <c r="E27" s="42" t="inlineStr">
        <is>
          <t>Facebook + Instagram</t>
        </is>
      </c>
      <c r="F27" s="42" t="inlineStr">
        <is>
          <t>LEP_ZA_AUG26_META_TD_AMUR_CONV</t>
        </is>
      </c>
      <c r="G27" s="42" t="inlineStr">
        <is>
          <t>Leads - Website Conversions</t>
        </is>
      </c>
      <c r="H27" s="42" t="inlineStr">
        <is>
          <t>AMUR</t>
        </is>
      </c>
      <c r="I27" s="42" t="inlineStr">
        <is>
          <t>0% Deposit</t>
        </is>
      </c>
      <c r="J27" s="42" t="inlineStr">
        <is>
          <t>MET_AMUR_BROAD_25-54_ZA</t>
        </is>
      </c>
      <c r="K27" s="42" t="inlineStr">
        <is>
          <t>Prospecting</t>
        </is>
      </c>
      <c r="L27" s="42" t="inlineStr">
        <is>
          <t>AMUR_CAR_4card_SpecStack_v1</t>
        </is>
      </c>
      <c r="M27" s="42" t="inlineStr">
        <is>
          <t>Carousel</t>
        </is>
      </c>
      <c r="N27" s="42" t="inlineStr">
        <is>
          <t>4 reasons the AMUR outsells its class</t>
        </is>
      </c>
      <c r="O27" s="42" t="inlineStr">
        <is>
          <t>Auction - Lowest Cost</t>
        </is>
      </c>
      <c r="P27" s="42" t="inlineStr">
        <is>
          <t>Offsite Conversions</t>
        </is>
      </c>
      <c r="Q27" s="42" t="inlineStr">
        <is>
          <t>https://www.lepas-sa.co.za/offers/amur</t>
        </is>
      </c>
      <c r="R27" s="115" t="n">
        <v>301.54</v>
      </c>
      <c r="S27" s="116" t="n">
        <v>4346</v>
      </c>
      <c r="T27" s="116" t="n">
        <v>2889</v>
      </c>
      <c r="U27" s="117">
        <f>IFERROR(S27/T27,"")</f>
        <v/>
      </c>
      <c r="V27" s="116" t="n">
        <v>102</v>
      </c>
      <c r="W27" s="116" t="n">
        <v>73</v>
      </c>
      <c r="X27" s="118">
        <f>IFERROR(W27/S27,"")</f>
        <v/>
      </c>
      <c r="Y27" s="115">
        <f>IFERROR(R27/W27,"")</f>
        <v/>
      </c>
      <c r="Z27" s="115">
        <f>IFERROR(R27/S27*1000,"")</f>
        <v/>
      </c>
      <c r="AA27" s="116" t="n">
        <v>63</v>
      </c>
      <c r="AB27" s="47">
        <f>IFERROR(AA27/W27,"")</f>
        <v/>
      </c>
      <c r="AC27" s="116" t="n">
        <v>0</v>
      </c>
      <c r="AD27" s="116" t="n">
        <v>0</v>
      </c>
      <c r="AE27" s="116" t="n">
        <v>0</v>
      </c>
      <c r="AF27" s="116" t="n">
        <v>0</v>
      </c>
      <c r="AG27" s="116" t="n">
        <v>0</v>
      </c>
      <c r="AH27" s="116" t="n">
        <v>0</v>
      </c>
      <c r="AI27" s="47">
        <f>IFERROR(AC27/S27,"")</f>
        <v/>
      </c>
      <c r="AJ27" s="47">
        <f>IFERROR(AH27/S27,"")</f>
        <v/>
      </c>
      <c r="AK27" s="116" t="n">
        <v>129</v>
      </c>
      <c r="AL27" s="116" t="n">
        <v>1</v>
      </c>
      <c r="AM27" s="118">
        <f>IFERROR(AL27/AA27,"")</f>
        <v/>
      </c>
      <c r="AN27" s="119">
        <f>IFERROR(R27/AL27,"")</f>
        <v/>
      </c>
      <c r="AO27" s="116" t="n">
        <v>1</v>
      </c>
      <c r="AP27" s="47">
        <f>IFERROR(AO27/AL27,"")</f>
        <v/>
      </c>
      <c r="AQ27" s="119">
        <f>IFERROR(R27/AO27,"")</f>
        <v/>
      </c>
      <c r="AR27" s="116" t="n">
        <v>0</v>
      </c>
      <c r="AS27" s="116" t="n">
        <v>1</v>
      </c>
      <c r="AT27" s="116">
        <f>AL27+AR27</f>
        <v/>
      </c>
      <c r="AU27" s="119">
        <f>IFERROR(AO27*Assumptions!$C$26*Assumptions!$C$27*INDEX(Assumptions!$C$18:$C$21,MATCH(H27,Assumptions!$B$18:$B$21,0)),0)</f>
        <v/>
      </c>
    </row>
    <row r="28">
      <c r="A28" s="114" t="n">
        <v>46243</v>
      </c>
      <c r="B28" s="42" t="inlineStr">
        <is>
          <t>Wk 32</t>
        </is>
      </c>
      <c r="C28" s="42" t="inlineStr">
        <is>
          <t>Sun</t>
        </is>
      </c>
      <c r="D28" s="42" t="inlineStr">
        <is>
          <t>Meta (FB/IG)</t>
        </is>
      </c>
      <c r="E28" s="42" t="inlineStr">
        <is>
          <t>Facebook + Instagram</t>
        </is>
      </c>
      <c r="F28" s="42" t="inlineStr">
        <is>
          <t>LEP_ZA_AUG26_META_TD_AMUR_CONV</t>
        </is>
      </c>
      <c r="G28" s="42" t="inlineStr">
        <is>
          <t>Leads - Website Conversions</t>
        </is>
      </c>
      <c r="H28" s="42" t="inlineStr">
        <is>
          <t>AMUR</t>
        </is>
      </c>
      <c r="I28" s="42" t="inlineStr">
        <is>
          <t>0% Deposit</t>
        </is>
      </c>
      <c r="J28" s="42" t="inlineStr">
        <is>
          <t>MET_AMUR_BROAD_25-54_ZA</t>
        </is>
      </c>
      <c r="K28" s="42" t="inlineStr">
        <is>
          <t>Prospecting</t>
        </is>
      </c>
      <c r="L28" s="42" t="inlineStr">
        <is>
          <t>AMUR_CAR_4card_SpecStack_v1</t>
        </is>
      </c>
      <c r="M28" s="42" t="inlineStr">
        <is>
          <t>Carousel</t>
        </is>
      </c>
      <c r="N28" s="42" t="inlineStr">
        <is>
          <t>4 reasons the AMUR outsells its class</t>
        </is>
      </c>
      <c r="O28" s="42" t="inlineStr">
        <is>
          <t>Auction - Lowest Cost</t>
        </is>
      </c>
      <c r="P28" s="42" t="inlineStr">
        <is>
          <t>Offsite Conversions</t>
        </is>
      </c>
      <c r="Q28" s="42" t="inlineStr">
        <is>
          <t>https://www.lepas-sa.co.za/offers/amur</t>
        </is>
      </c>
      <c r="R28" s="115" t="n">
        <v>210.72</v>
      </c>
      <c r="S28" s="116" t="n">
        <v>3330</v>
      </c>
      <c r="T28" s="116" t="n">
        <v>2369</v>
      </c>
      <c r="U28" s="117">
        <f>IFERROR(S28/T28,"")</f>
        <v/>
      </c>
      <c r="V28" s="116" t="n">
        <v>36</v>
      </c>
      <c r="W28" s="116" t="n">
        <v>30</v>
      </c>
      <c r="X28" s="118">
        <f>IFERROR(W28/S28,"")</f>
        <v/>
      </c>
      <c r="Y28" s="115">
        <f>IFERROR(R28/W28,"")</f>
        <v/>
      </c>
      <c r="Z28" s="115">
        <f>IFERROR(R28/S28*1000,"")</f>
        <v/>
      </c>
      <c r="AA28" s="116" t="n">
        <v>25</v>
      </c>
      <c r="AB28" s="47">
        <f>IFERROR(AA28/W28,"")</f>
        <v/>
      </c>
      <c r="AC28" s="116" t="n">
        <v>0</v>
      </c>
      <c r="AD28" s="116" t="n">
        <v>0</v>
      </c>
      <c r="AE28" s="116" t="n">
        <v>0</v>
      </c>
      <c r="AF28" s="116" t="n">
        <v>0</v>
      </c>
      <c r="AG28" s="116" t="n">
        <v>0</v>
      </c>
      <c r="AH28" s="116" t="n">
        <v>0</v>
      </c>
      <c r="AI28" s="47">
        <f>IFERROR(AC28/S28,"")</f>
        <v/>
      </c>
      <c r="AJ28" s="47">
        <f>IFERROR(AH28/S28,"")</f>
        <v/>
      </c>
      <c r="AK28" s="116" t="n">
        <v>63</v>
      </c>
      <c r="AL28" s="116" t="n">
        <v>0</v>
      </c>
      <c r="AM28" s="118">
        <f>IFERROR(AL28/AA28,"")</f>
        <v/>
      </c>
      <c r="AN28" s="119">
        <f>IFERROR(R28/AL28,"")</f>
        <v/>
      </c>
      <c r="AO28" s="116" t="n">
        <v>0</v>
      </c>
      <c r="AP28" s="47">
        <f>IFERROR(AO28/AL28,"")</f>
        <v/>
      </c>
      <c r="AQ28" s="119">
        <f>IFERROR(R28/AO28,"")</f>
        <v/>
      </c>
      <c r="AR28" s="116" t="n">
        <v>0</v>
      </c>
      <c r="AS28" s="116" t="n">
        <v>0</v>
      </c>
      <c r="AT28" s="116">
        <f>AL28+AR28</f>
        <v/>
      </c>
      <c r="AU28" s="119">
        <f>IFERROR(AO28*Assumptions!$C$26*Assumptions!$C$27*INDEX(Assumptions!$C$18:$C$21,MATCH(H28,Assumptions!$B$18:$B$21,0)),0)</f>
        <v/>
      </c>
    </row>
    <row r="29">
      <c r="A29" s="114" t="n">
        <v>46244</v>
      </c>
      <c r="B29" s="42" t="inlineStr">
        <is>
          <t>Wk 33</t>
        </is>
      </c>
      <c r="C29" s="42" t="inlineStr">
        <is>
          <t>Mon</t>
        </is>
      </c>
      <c r="D29" s="42" t="inlineStr">
        <is>
          <t>Meta (FB/IG)</t>
        </is>
      </c>
      <c r="E29" s="42" t="inlineStr">
        <is>
          <t>Facebook + Instagram</t>
        </is>
      </c>
      <c r="F29" s="42" t="inlineStr">
        <is>
          <t>LEP_ZA_AUG26_META_TD_AMUR_CONV</t>
        </is>
      </c>
      <c r="G29" s="42" t="inlineStr">
        <is>
          <t>Leads - Website Conversions</t>
        </is>
      </c>
      <c r="H29" s="42" t="inlineStr">
        <is>
          <t>AMUR</t>
        </is>
      </c>
      <c r="I29" s="42" t="inlineStr">
        <is>
          <t>0% Deposit</t>
        </is>
      </c>
      <c r="J29" s="42" t="inlineStr">
        <is>
          <t>MET_AMUR_BROAD_25-54_ZA</t>
        </is>
      </c>
      <c r="K29" s="42" t="inlineStr">
        <is>
          <t>Prospecting</t>
        </is>
      </c>
      <c r="L29" s="42" t="inlineStr">
        <is>
          <t>AMUR_CAR_4card_SpecStack_v1</t>
        </is>
      </c>
      <c r="M29" s="42" t="inlineStr">
        <is>
          <t>Carousel</t>
        </is>
      </c>
      <c r="N29" s="42" t="inlineStr">
        <is>
          <t>4 reasons the AMUR outsells its class</t>
        </is>
      </c>
      <c r="O29" s="42" t="inlineStr">
        <is>
          <t>Auction - Lowest Cost</t>
        </is>
      </c>
      <c r="P29" s="42" t="inlineStr">
        <is>
          <t>Offsite Conversions</t>
        </is>
      </c>
      <c r="Q29" s="42" t="inlineStr">
        <is>
          <t>https://www.lepas-sa.co.za/offers/amur</t>
        </is>
      </c>
      <c r="R29" s="115" t="n">
        <v>224.91</v>
      </c>
      <c r="S29" s="116" t="n">
        <v>3026</v>
      </c>
      <c r="T29" s="116" t="n">
        <v>2175</v>
      </c>
      <c r="U29" s="117">
        <f>IFERROR(S29/T29,"")</f>
        <v/>
      </c>
      <c r="V29" s="116" t="n">
        <v>54</v>
      </c>
      <c r="W29" s="116" t="n">
        <v>39</v>
      </c>
      <c r="X29" s="118">
        <f>IFERROR(W29/S29,"")</f>
        <v/>
      </c>
      <c r="Y29" s="115">
        <f>IFERROR(R29/W29,"")</f>
        <v/>
      </c>
      <c r="Z29" s="115">
        <f>IFERROR(R29/S29*1000,"")</f>
        <v/>
      </c>
      <c r="AA29" s="116" t="n">
        <v>35</v>
      </c>
      <c r="AB29" s="47">
        <f>IFERROR(AA29/W29,"")</f>
        <v/>
      </c>
      <c r="AC29" s="116" t="n">
        <v>0</v>
      </c>
      <c r="AD29" s="116" t="n">
        <v>0</v>
      </c>
      <c r="AE29" s="116" t="n">
        <v>0</v>
      </c>
      <c r="AF29" s="116" t="n">
        <v>0</v>
      </c>
      <c r="AG29" s="116" t="n">
        <v>0</v>
      </c>
      <c r="AH29" s="116" t="n">
        <v>0</v>
      </c>
      <c r="AI29" s="47">
        <f>IFERROR(AC29/S29,"")</f>
        <v/>
      </c>
      <c r="AJ29" s="47">
        <f>IFERROR(AH29/S29,"")</f>
        <v/>
      </c>
      <c r="AK29" s="116" t="n">
        <v>50</v>
      </c>
      <c r="AL29" s="116" t="n">
        <v>0</v>
      </c>
      <c r="AM29" s="118">
        <f>IFERROR(AL29/AA29,"")</f>
        <v/>
      </c>
      <c r="AN29" s="119">
        <f>IFERROR(R29/AL29,"")</f>
        <v/>
      </c>
      <c r="AO29" s="116" t="n">
        <v>0</v>
      </c>
      <c r="AP29" s="47">
        <f>IFERROR(AO29/AL29,"")</f>
        <v/>
      </c>
      <c r="AQ29" s="119">
        <f>IFERROR(R29/AO29,"")</f>
        <v/>
      </c>
      <c r="AR29" s="116" t="n">
        <v>0</v>
      </c>
      <c r="AS29" s="116" t="n">
        <v>0</v>
      </c>
      <c r="AT29" s="116">
        <f>AL29+AR29</f>
        <v/>
      </c>
      <c r="AU29" s="119">
        <f>IFERROR(AO29*Assumptions!$C$26*Assumptions!$C$27*INDEX(Assumptions!$C$18:$C$21,MATCH(H29,Assumptions!$B$18:$B$21,0)),0)</f>
        <v/>
      </c>
    </row>
    <row r="30">
      <c r="A30" s="114" t="n">
        <v>46245</v>
      </c>
      <c r="B30" s="42" t="inlineStr">
        <is>
          <t>Wk 33</t>
        </is>
      </c>
      <c r="C30" s="42" t="inlineStr">
        <is>
          <t>Tue</t>
        </is>
      </c>
      <c r="D30" s="42" t="inlineStr">
        <is>
          <t>Meta (FB/IG)</t>
        </is>
      </c>
      <c r="E30" s="42" t="inlineStr">
        <is>
          <t>Facebook + Instagram</t>
        </is>
      </c>
      <c r="F30" s="42" t="inlineStr">
        <is>
          <t>LEP_ZA_AUG26_META_TD_AMUR_CONV</t>
        </is>
      </c>
      <c r="G30" s="42" t="inlineStr">
        <is>
          <t>Leads - Website Conversions</t>
        </is>
      </c>
      <c r="H30" s="42" t="inlineStr">
        <is>
          <t>AMUR</t>
        </is>
      </c>
      <c r="I30" s="42" t="inlineStr">
        <is>
          <t>0% Deposit</t>
        </is>
      </c>
      <c r="J30" s="42" t="inlineStr">
        <is>
          <t>MET_AMUR_BROAD_25-54_ZA</t>
        </is>
      </c>
      <c r="K30" s="42" t="inlineStr">
        <is>
          <t>Prospecting</t>
        </is>
      </c>
      <c r="L30" s="42" t="inlineStr">
        <is>
          <t>AMUR_CAR_4card_SpecStack_v1</t>
        </is>
      </c>
      <c r="M30" s="42" t="inlineStr">
        <is>
          <t>Carousel</t>
        </is>
      </c>
      <c r="N30" s="42" t="inlineStr">
        <is>
          <t>4 reasons the AMUR outsells its class</t>
        </is>
      </c>
      <c r="O30" s="42" t="inlineStr">
        <is>
          <t>Auction - Lowest Cost</t>
        </is>
      </c>
      <c r="P30" s="42" t="inlineStr">
        <is>
          <t>Offsite Conversions</t>
        </is>
      </c>
      <c r="Q30" s="42" t="inlineStr">
        <is>
          <t>https://www.lepas-sa.co.za/offers/amur</t>
        </is>
      </c>
      <c r="R30" s="115" t="n">
        <v>252.73</v>
      </c>
      <c r="S30" s="116" t="n">
        <v>2984</v>
      </c>
      <c r="T30" s="116" t="n">
        <v>1813</v>
      </c>
      <c r="U30" s="117">
        <f>IFERROR(S30/T30,"")</f>
        <v/>
      </c>
      <c r="V30" s="116" t="n">
        <v>47</v>
      </c>
      <c r="W30" s="116" t="n">
        <v>36</v>
      </c>
      <c r="X30" s="118">
        <f>IFERROR(W30/S30,"")</f>
        <v/>
      </c>
      <c r="Y30" s="115">
        <f>IFERROR(R30/W30,"")</f>
        <v/>
      </c>
      <c r="Z30" s="115">
        <f>IFERROR(R30/S30*1000,"")</f>
        <v/>
      </c>
      <c r="AA30" s="116" t="n">
        <v>31</v>
      </c>
      <c r="AB30" s="47">
        <f>IFERROR(AA30/W30,"")</f>
        <v/>
      </c>
      <c r="AC30" s="116" t="n">
        <v>0</v>
      </c>
      <c r="AD30" s="116" t="n">
        <v>0</v>
      </c>
      <c r="AE30" s="116" t="n">
        <v>0</v>
      </c>
      <c r="AF30" s="116" t="n">
        <v>0</v>
      </c>
      <c r="AG30" s="116" t="n">
        <v>0</v>
      </c>
      <c r="AH30" s="116" t="n">
        <v>0</v>
      </c>
      <c r="AI30" s="47">
        <f>IFERROR(AC30/S30,"")</f>
        <v/>
      </c>
      <c r="AJ30" s="47">
        <f>IFERROR(AH30/S30,"")</f>
        <v/>
      </c>
      <c r="AK30" s="116" t="n">
        <v>85</v>
      </c>
      <c r="AL30" s="116" t="n">
        <v>1</v>
      </c>
      <c r="AM30" s="118">
        <f>IFERROR(AL30/AA30,"")</f>
        <v/>
      </c>
      <c r="AN30" s="119">
        <f>IFERROR(R30/AL30,"")</f>
        <v/>
      </c>
      <c r="AO30" s="116" t="n">
        <v>1</v>
      </c>
      <c r="AP30" s="47">
        <f>IFERROR(AO30/AL30,"")</f>
        <v/>
      </c>
      <c r="AQ30" s="119">
        <f>IFERROR(R30/AO30,"")</f>
        <v/>
      </c>
      <c r="AR30" s="116" t="n">
        <v>0</v>
      </c>
      <c r="AS30" s="116" t="n">
        <v>0</v>
      </c>
      <c r="AT30" s="116">
        <f>AL30+AR30</f>
        <v/>
      </c>
      <c r="AU30" s="119">
        <f>IFERROR(AO30*Assumptions!$C$26*Assumptions!$C$27*INDEX(Assumptions!$C$18:$C$21,MATCH(H30,Assumptions!$B$18:$B$21,0)),0)</f>
        <v/>
      </c>
    </row>
    <row r="31">
      <c r="A31" s="114" t="n">
        <v>46246</v>
      </c>
      <c r="B31" s="42" t="inlineStr">
        <is>
          <t>Wk 33</t>
        </is>
      </c>
      <c r="C31" s="42" t="inlineStr">
        <is>
          <t>Wed</t>
        </is>
      </c>
      <c r="D31" s="42" t="inlineStr">
        <is>
          <t>Meta (FB/IG)</t>
        </is>
      </c>
      <c r="E31" s="42" t="inlineStr">
        <is>
          <t>Facebook + Instagram</t>
        </is>
      </c>
      <c r="F31" s="42" t="inlineStr">
        <is>
          <t>LEP_ZA_AUG26_META_TD_AMUR_CONV</t>
        </is>
      </c>
      <c r="G31" s="42" t="inlineStr">
        <is>
          <t>Leads - Website Conversions</t>
        </is>
      </c>
      <c r="H31" s="42" t="inlineStr">
        <is>
          <t>AMUR</t>
        </is>
      </c>
      <c r="I31" s="42" t="inlineStr">
        <is>
          <t>0% Deposit</t>
        </is>
      </c>
      <c r="J31" s="42" t="inlineStr">
        <is>
          <t>MET_AMUR_BROAD_25-54_ZA</t>
        </is>
      </c>
      <c r="K31" s="42" t="inlineStr">
        <is>
          <t>Prospecting</t>
        </is>
      </c>
      <c r="L31" s="42" t="inlineStr">
        <is>
          <t>AMUR_CAR_4card_SpecStack_v1</t>
        </is>
      </c>
      <c r="M31" s="42" t="inlineStr">
        <is>
          <t>Carousel</t>
        </is>
      </c>
      <c r="N31" s="42" t="inlineStr">
        <is>
          <t>4 reasons the AMUR outsells its class</t>
        </is>
      </c>
      <c r="O31" s="42" t="inlineStr">
        <is>
          <t>Auction - Lowest Cost</t>
        </is>
      </c>
      <c r="P31" s="42" t="inlineStr">
        <is>
          <t>Offsite Conversions</t>
        </is>
      </c>
      <c r="Q31" s="42" t="inlineStr">
        <is>
          <t>https://www.lepas-sa.co.za/offers/amur</t>
        </is>
      </c>
      <c r="R31" s="115" t="n">
        <v>226.54</v>
      </c>
      <c r="S31" s="116" t="n">
        <v>3514</v>
      </c>
      <c r="T31" s="116" t="n">
        <v>2058</v>
      </c>
      <c r="U31" s="117">
        <f>IFERROR(S31/T31,"")</f>
        <v/>
      </c>
      <c r="V31" s="116" t="n">
        <v>65</v>
      </c>
      <c r="W31" s="116" t="n">
        <v>55</v>
      </c>
      <c r="X31" s="118">
        <f>IFERROR(W31/S31,"")</f>
        <v/>
      </c>
      <c r="Y31" s="115">
        <f>IFERROR(R31/W31,"")</f>
        <v/>
      </c>
      <c r="Z31" s="115">
        <f>IFERROR(R31/S31*1000,"")</f>
        <v/>
      </c>
      <c r="AA31" s="116" t="n">
        <v>44</v>
      </c>
      <c r="AB31" s="47">
        <f>IFERROR(AA31/W31,"")</f>
        <v/>
      </c>
      <c r="AC31" s="116" t="n">
        <v>0</v>
      </c>
      <c r="AD31" s="116" t="n">
        <v>0</v>
      </c>
      <c r="AE31" s="116" t="n">
        <v>0</v>
      </c>
      <c r="AF31" s="116" t="n">
        <v>0</v>
      </c>
      <c r="AG31" s="116" t="n">
        <v>0</v>
      </c>
      <c r="AH31" s="116" t="n">
        <v>0</v>
      </c>
      <c r="AI31" s="47">
        <f>IFERROR(AC31/S31,"")</f>
        <v/>
      </c>
      <c r="AJ31" s="47">
        <f>IFERROR(AH31/S31,"")</f>
        <v/>
      </c>
      <c r="AK31" s="116" t="n">
        <v>109</v>
      </c>
      <c r="AL31" s="116" t="n">
        <v>1</v>
      </c>
      <c r="AM31" s="118">
        <f>IFERROR(AL31/AA31,"")</f>
        <v/>
      </c>
      <c r="AN31" s="119">
        <f>IFERROR(R31/AL31,"")</f>
        <v/>
      </c>
      <c r="AO31" s="116" t="n">
        <v>1</v>
      </c>
      <c r="AP31" s="47">
        <f>IFERROR(AO31/AL31,"")</f>
        <v/>
      </c>
      <c r="AQ31" s="119">
        <f>IFERROR(R31/AO31,"")</f>
        <v/>
      </c>
      <c r="AR31" s="116" t="n">
        <v>0</v>
      </c>
      <c r="AS31" s="116" t="n">
        <v>0</v>
      </c>
      <c r="AT31" s="116">
        <f>AL31+AR31</f>
        <v/>
      </c>
      <c r="AU31" s="119">
        <f>IFERROR(AO31*Assumptions!$C$26*Assumptions!$C$27*INDEX(Assumptions!$C$18:$C$21,MATCH(H31,Assumptions!$B$18:$B$21,0)),0)</f>
        <v/>
      </c>
    </row>
    <row r="32">
      <c r="A32" s="114" t="n">
        <v>46247</v>
      </c>
      <c r="B32" s="42" t="inlineStr">
        <is>
          <t>Wk 33</t>
        </is>
      </c>
      <c r="C32" s="42" t="inlineStr">
        <is>
          <t>Thu</t>
        </is>
      </c>
      <c r="D32" s="42" t="inlineStr">
        <is>
          <t>Meta (FB/IG)</t>
        </is>
      </c>
      <c r="E32" s="42" t="inlineStr">
        <is>
          <t>Facebook + Instagram</t>
        </is>
      </c>
      <c r="F32" s="42" t="inlineStr">
        <is>
          <t>LEP_ZA_AUG26_META_TD_AMUR_CONV</t>
        </is>
      </c>
      <c r="G32" s="42" t="inlineStr">
        <is>
          <t>Leads - Website Conversions</t>
        </is>
      </c>
      <c r="H32" s="42" t="inlineStr">
        <is>
          <t>AMUR</t>
        </is>
      </c>
      <c r="I32" s="42" t="inlineStr">
        <is>
          <t>0% Deposit</t>
        </is>
      </c>
      <c r="J32" s="42" t="inlineStr">
        <is>
          <t>MET_AMUR_BROAD_25-54_ZA</t>
        </is>
      </c>
      <c r="K32" s="42" t="inlineStr">
        <is>
          <t>Prospecting</t>
        </is>
      </c>
      <c r="L32" s="42" t="inlineStr">
        <is>
          <t>AMUR_CAR_4card_SpecStack_v1</t>
        </is>
      </c>
      <c r="M32" s="42" t="inlineStr">
        <is>
          <t>Carousel</t>
        </is>
      </c>
      <c r="N32" s="42" t="inlineStr">
        <is>
          <t>4 reasons the AMUR outsells its class</t>
        </is>
      </c>
      <c r="O32" s="42" t="inlineStr">
        <is>
          <t>Auction - Lowest Cost</t>
        </is>
      </c>
      <c r="P32" s="42" t="inlineStr">
        <is>
          <t>Offsite Conversions</t>
        </is>
      </c>
      <c r="Q32" s="42" t="inlineStr">
        <is>
          <t>https://www.lepas-sa.co.za/offers/amur</t>
        </is>
      </c>
      <c r="R32" s="115" t="n">
        <v>290.33</v>
      </c>
      <c r="S32" s="116" t="n">
        <v>3986</v>
      </c>
      <c r="T32" s="116" t="n">
        <v>2290</v>
      </c>
      <c r="U32" s="117">
        <f>IFERROR(S32/T32,"")</f>
        <v/>
      </c>
      <c r="V32" s="116" t="n">
        <v>92</v>
      </c>
      <c r="W32" s="116" t="n">
        <v>67</v>
      </c>
      <c r="X32" s="118">
        <f>IFERROR(W32/S32,"")</f>
        <v/>
      </c>
      <c r="Y32" s="115">
        <f>IFERROR(R32/W32,"")</f>
        <v/>
      </c>
      <c r="Z32" s="115">
        <f>IFERROR(R32/S32*1000,"")</f>
        <v/>
      </c>
      <c r="AA32" s="116" t="n">
        <v>53</v>
      </c>
      <c r="AB32" s="47">
        <f>IFERROR(AA32/W32,"")</f>
        <v/>
      </c>
      <c r="AC32" s="116" t="n">
        <v>0</v>
      </c>
      <c r="AD32" s="116" t="n">
        <v>0</v>
      </c>
      <c r="AE32" s="116" t="n">
        <v>0</v>
      </c>
      <c r="AF32" s="116" t="n">
        <v>0</v>
      </c>
      <c r="AG32" s="116" t="n">
        <v>0</v>
      </c>
      <c r="AH32" s="116" t="n">
        <v>0</v>
      </c>
      <c r="AI32" s="47">
        <f>IFERROR(AC32/S32,"")</f>
        <v/>
      </c>
      <c r="AJ32" s="47">
        <f>IFERROR(AH32/S32,"")</f>
        <v/>
      </c>
      <c r="AK32" s="116" t="n">
        <v>64</v>
      </c>
      <c r="AL32" s="116" t="n">
        <v>0</v>
      </c>
      <c r="AM32" s="118">
        <f>IFERROR(AL32/AA32,"")</f>
        <v/>
      </c>
      <c r="AN32" s="119">
        <f>IFERROR(R32/AL32,"")</f>
        <v/>
      </c>
      <c r="AO32" s="116" t="n">
        <v>0</v>
      </c>
      <c r="AP32" s="47">
        <f>IFERROR(AO32/AL32,"")</f>
        <v/>
      </c>
      <c r="AQ32" s="119">
        <f>IFERROR(R32/AO32,"")</f>
        <v/>
      </c>
      <c r="AR32" s="116" t="n">
        <v>0</v>
      </c>
      <c r="AS32" s="116" t="n">
        <v>0</v>
      </c>
      <c r="AT32" s="116">
        <f>AL32+AR32</f>
        <v/>
      </c>
      <c r="AU32" s="119">
        <f>IFERROR(AO32*Assumptions!$C$26*Assumptions!$C$27*INDEX(Assumptions!$C$18:$C$21,MATCH(H32,Assumptions!$B$18:$B$21,0)),0)</f>
        <v/>
      </c>
    </row>
    <row r="33">
      <c r="A33" s="114" t="n">
        <v>46248</v>
      </c>
      <c r="B33" s="42" t="inlineStr">
        <is>
          <t>Wk 33</t>
        </is>
      </c>
      <c r="C33" s="42" t="inlineStr">
        <is>
          <t>Fri</t>
        </is>
      </c>
      <c r="D33" s="42" t="inlineStr">
        <is>
          <t>Meta (FB/IG)</t>
        </is>
      </c>
      <c r="E33" s="42" t="inlineStr">
        <is>
          <t>Facebook + Instagram</t>
        </is>
      </c>
      <c r="F33" s="42" t="inlineStr">
        <is>
          <t>LEP_ZA_AUG26_META_TD_AMUR_CONV</t>
        </is>
      </c>
      <c r="G33" s="42" t="inlineStr">
        <is>
          <t>Leads - Website Conversions</t>
        </is>
      </c>
      <c r="H33" s="42" t="inlineStr">
        <is>
          <t>AMUR</t>
        </is>
      </c>
      <c r="I33" s="42" t="inlineStr">
        <is>
          <t>0% Deposit</t>
        </is>
      </c>
      <c r="J33" s="42" t="inlineStr">
        <is>
          <t>MET_AMUR_BROAD_25-54_ZA</t>
        </is>
      </c>
      <c r="K33" s="42" t="inlineStr">
        <is>
          <t>Prospecting</t>
        </is>
      </c>
      <c r="L33" s="42" t="inlineStr">
        <is>
          <t>AMUR_CAR_4card_SpecStack_v1</t>
        </is>
      </c>
      <c r="M33" s="42" t="inlineStr">
        <is>
          <t>Carousel</t>
        </is>
      </c>
      <c r="N33" s="42" t="inlineStr">
        <is>
          <t>4 reasons the AMUR outsells its class</t>
        </is>
      </c>
      <c r="O33" s="42" t="inlineStr">
        <is>
          <t>Auction - Lowest Cost</t>
        </is>
      </c>
      <c r="P33" s="42" t="inlineStr">
        <is>
          <t>Offsite Conversions</t>
        </is>
      </c>
      <c r="Q33" s="42" t="inlineStr">
        <is>
          <t>https://www.lepas-sa.co.za/offers/amur</t>
        </is>
      </c>
      <c r="R33" s="115" t="n">
        <v>308.66</v>
      </c>
      <c r="S33" s="116" t="n">
        <v>3901</v>
      </c>
      <c r="T33" s="116" t="n">
        <v>2423</v>
      </c>
      <c r="U33" s="117">
        <f>IFERROR(S33/T33,"")</f>
        <v/>
      </c>
      <c r="V33" s="116" t="n">
        <v>73</v>
      </c>
      <c r="W33" s="116" t="n">
        <v>57</v>
      </c>
      <c r="X33" s="118">
        <f>IFERROR(W33/S33,"")</f>
        <v/>
      </c>
      <c r="Y33" s="115">
        <f>IFERROR(R33/W33,"")</f>
        <v/>
      </c>
      <c r="Z33" s="115">
        <f>IFERROR(R33/S33*1000,"")</f>
        <v/>
      </c>
      <c r="AA33" s="116" t="n">
        <v>49</v>
      </c>
      <c r="AB33" s="47">
        <f>IFERROR(AA33/W33,"")</f>
        <v/>
      </c>
      <c r="AC33" s="116" t="n">
        <v>0</v>
      </c>
      <c r="AD33" s="116" t="n">
        <v>0</v>
      </c>
      <c r="AE33" s="116" t="n">
        <v>0</v>
      </c>
      <c r="AF33" s="116" t="n">
        <v>0</v>
      </c>
      <c r="AG33" s="116" t="n">
        <v>0</v>
      </c>
      <c r="AH33" s="116" t="n">
        <v>0</v>
      </c>
      <c r="AI33" s="47">
        <f>IFERROR(AC33/S33,"")</f>
        <v/>
      </c>
      <c r="AJ33" s="47">
        <f>IFERROR(AH33/S33,"")</f>
        <v/>
      </c>
      <c r="AK33" s="116" t="n">
        <v>110</v>
      </c>
      <c r="AL33" s="116" t="n">
        <v>1</v>
      </c>
      <c r="AM33" s="118">
        <f>IFERROR(AL33/AA33,"")</f>
        <v/>
      </c>
      <c r="AN33" s="119">
        <f>IFERROR(R33/AL33,"")</f>
        <v/>
      </c>
      <c r="AO33" s="116" t="n">
        <v>0</v>
      </c>
      <c r="AP33" s="47">
        <f>IFERROR(AO33/AL33,"")</f>
        <v/>
      </c>
      <c r="AQ33" s="119">
        <f>IFERROR(R33/AO33,"")</f>
        <v/>
      </c>
      <c r="AR33" s="116" t="n">
        <v>1</v>
      </c>
      <c r="AS33" s="116" t="n">
        <v>0</v>
      </c>
      <c r="AT33" s="116">
        <f>AL33+AR33</f>
        <v/>
      </c>
      <c r="AU33" s="119">
        <f>IFERROR(AO33*Assumptions!$C$26*Assumptions!$C$27*INDEX(Assumptions!$C$18:$C$21,MATCH(H33,Assumptions!$B$18:$B$21,0)),0)</f>
        <v/>
      </c>
    </row>
    <row r="34">
      <c r="A34" s="114" t="n">
        <v>46249</v>
      </c>
      <c r="B34" s="42" t="inlineStr">
        <is>
          <t>Wk 33</t>
        </is>
      </c>
      <c r="C34" s="42" t="inlineStr">
        <is>
          <t>Sat</t>
        </is>
      </c>
      <c r="D34" s="42" t="inlineStr">
        <is>
          <t>Meta (FB/IG)</t>
        </is>
      </c>
      <c r="E34" s="42" t="inlineStr">
        <is>
          <t>Facebook + Instagram</t>
        </is>
      </c>
      <c r="F34" s="42" t="inlineStr">
        <is>
          <t>LEP_ZA_AUG26_META_TD_AMUR_CONV</t>
        </is>
      </c>
      <c r="G34" s="42" t="inlineStr">
        <is>
          <t>Leads - Website Conversions</t>
        </is>
      </c>
      <c r="H34" s="42" t="inlineStr">
        <is>
          <t>AMUR</t>
        </is>
      </c>
      <c r="I34" s="42" t="inlineStr">
        <is>
          <t>0% Deposit</t>
        </is>
      </c>
      <c r="J34" s="42" t="inlineStr">
        <is>
          <t>MET_AMUR_BROAD_25-54_ZA</t>
        </is>
      </c>
      <c r="K34" s="42" t="inlineStr">
        <is>
          <t>Prospecting</t>
        </is>
      </c>
      <c r="L34" s="42" t="inlineStr">
        <is>
          <t>AMUR_CAR_4card_SpecStack_v1</t>
        </is>
      </c>
      <c r="M34" s="42" t="inlineStr">
        <is>
          <t>Carousel</t>
        </is>
      </c>
      <c r="N34" s="42" t="inlineStr">
        <is>
          <t>4 reasons the AMUR outsells its class</t>
        </is>
      </c>
      <c r="O34" s="42" t="inlineStr">
        <is>
          <t>Auction - Lowest Cost</t>
        </is>
      </c>
      <c r="P34" s="42" t="inlineStr">
        <is>
          <t>Offsite Conversions</t>
        </is>
      </c>
      <c r="Q34" s="42" t="inlineStr">
        <is>
          <t>https://www.lepas-sa.co.za/offers/amur</t>
        </is>
      </c>
      <c r="R34" s="115" t="n">
        <v>237.34</v>
      </c>
      <c r="S34" s="116" t="n">
        <v>3682</v>
      </c>
      <c r="T34" s="116" t="n">
        <v>2030</v>
      </c>
      <c r="U34" s="117">
        <f>IFERROR(S34/T34,"")</f>
        <v/>
      </c>
      <c r="V34" s="116" t="n">
        <v>44</v>
      </c>
      <c r="W34" s="116" t="n">
        <v>31</v>
      </c>
      <c r="X34" s="118">
        <f>IFERROR(W34/S34,"")</f>
        <v/>
      </c>
      <c r="Y34" s="115">
        <f>IFERROR(R34/W34,"")</f>
        <v/>
      </c>
      <c r="Z34" s="115">
        <f>IFERROR(R34/S34*1000,"")</f>
        <v/>
      </c>
      <c r="AA34" s="116" t="n">
        <v>27</v>
      </c>
      <c r="AB34" s="47">
        <f>IFERROR(AA34/W34,"")</f>
        <v/>
      </c>
      <c r="AC34" s="116" t="n">
        <v>0</v>
      </c>
      <c r="AD34" s="116" t="n">
        <v>0</v>
      </c>
      <c r="AE34" s="116" t="n">
        <v>0</v>
      </c>
      <c r="AF34" s="116" t="n">
        <v>0</v>
      </c>
      <c r="AG34" s="116" t="n">
        <v>0</v>
      </c>
      <c r="AH34" s="116" t="n">
        <v>0</v>
      </c>
      <c r="AI34" s="47">
        <f>IFERROR(AC34/S34,"")</f>
        <v/>
      </c>
      <c r="AJ34" s="47">
        <f>IFERROR(AH34/S34,"")</f>
        <v/>
      </c>
      <c r="AK34" s="116" t="n">
        <v>59</v>
      </c>
      <c r="AL34" s="116" t="n">
        <v>0</v>
      </c>
      <c r="AM34" s="118">
        <f>IFERROR(AL34/AA34,"")</f>
        <v/>
      </c>
      <c r="AN34" s="119">
        <f>IFERROR(R34/AL34,"")</f>
        <v/>
      </c>
      <c r="AO34" s="116" t="n">
        <v>0</v>
      </c>
      <c r="AP34" s="47">
        <f>IFERROR(AO34/AL34,"")</f>
        <v/>
      </c>
      <c r="AQ34" s="119">
        <f>IFERROR(R34/AO34,"")</f>
        <v/>
      </c>
      <c r="AR34" s="116" t="n">
        <v>0</v>
      </c>
      <c r="AS34" s="116" t="n">
        <v>0</v>
      </c>
      <c r="AT34" s="116">
        <f>AL34+AR34</f>
        <v/>
      </c>
      <c r="AU34" s="119">
        <f>IFERROR(AO34*Assumptions!$C$26*Assumptions!$C$27*INDEX(Assumptions!$C$18:$C$21,MATCH(H34,Assumptions!$B$18:$B$21,0)),0)</f>
        <v/>
      </c>
    </row>
    <row r="35">
      <c r="A35" s="114" t="n">
        <v>46250</v>
      </c>
      <c r="B35" s="42" t="inlineStr">
        <is>
          <t>Wk 33</t>
        </is>
      </c>
      <c r="C35" s="42" t="inlineStr">
        <is>
          <t>Sun</t>
        </is>
      </c>
      <c r="D35" s="42" t="inlineStr">
        <is>
          <t>Meta (FB/IG)</t>
        </is>
      </c>
      <c r="E35" s="42" t="inlineStr">
        <is>
          <t>Facebook + Instagram</t>
        </is>
      </c>
      <c r="F35" s="42" t="inlineStr">
        <is>
          <t>LEP_ZA_AUG26_META_TD_AMUR_CONV</t>
        </is>
      </c>
      <c r="G35" s="42" t="inlineStr">
        <is>
          <t>Leads - Website Conversions</t>
        </is>
      </c>
      <c r="H35" s="42" t="inlineStr">
        <is>
          <t>AMUR</t>
        </is>
      </c>
      <c r="I35" s="42" t="inlineStr">
        <is>
          <t>0% Deposit</t>
        </is>
      </c>
      <c r="J35" s="42" t="inlineStr">
        <is>
          <t>MET_AMUR_BROAD_25-54_ZA</t>
        </is>
      </c>
      <c r="K35" s="42" t="inlineStr">
        <is>
          <t>Prospecting</t>
        </is>
      </c>
      <c r="L35" s="42" t="inlineStr">
        <is>
          <t>AMUR_CAR_4card_SpecStack_v1</t>
        </is>
      </c>
      <c r="M35" s="42" t="inlineStr">
        <is>
          <t>Carousel</t>
        </is>
      </c>
      <c r="N35" s="42" t="inlineStr">
        <is>
          <t>4 reasons the AMUR outsells its class</t>
        </is>
      </c>
      <c r="O35" s="42" t="inlineStr">
        <is>
          <t>Auction - Lowest Cost</t>
        </is>
      </c>
      <c r="P35" s="42" t="inlineStr">
        <is>
          <t>Offsite Conversions</t>
        </is>
      </c>
      <c r="Q35" s="42" t="inlineStr">
        <is>
          <t>https://www.lepas-sa.co.za/offers/amur</t>
        </is>
      </c>
      <c r="R35" s="115" t="n">
        <v>213.05</v>
      </c>
      <c r="S35" s="116" t="n">
        <v>4000</v>
      </c>
      <c r="T35" s="116" t="n">
        <v>2173</v>
      </c>
      <c r="U35" s="117">
        <f>IFERROR(S35/T35,"")</f>
        <v/>
      </c>
      <c r="V35" s="116" t="n">
        <v>43</v>
      </c>
      <c r="W35" s="116" t="n">
        <v>35</v>
      </c>
      <c r="X35" s="118">
        <f>IFERROR(W35/S35,"")</f>
        <v/>
      </c>
      <c r="Y35" s="115">
        <f>IFERROR(R35/W35,"")</f>
        <v/>
      </c>
      <c r="Z35" s="115">
        <f>IFERROR(R35/S35*1000,"")</f>
        <v/>
      </c>
      <c r="AA35" s="116" t="n">
        <v>33</v>
      </c>
      <c r="AB35" s="47">
        <f>IFERROR(AA35/W35,"")</f>
        <v/>
      </c>
      <c r="AC35" s="116" t="n">
        <v>0</v>
      </c>
      <c r="AD35" s="116" t="n">
        <v>0</v>
      </c>
      <c r="AE35" s="116" t="n">
        <v>0</v>
      </c>
      <c r="AF35" s="116" t="n">
        <v>0</v>
      </c>
      <c r="AG35" s="116" t="n">
        <v>0</v>
      </c>
      <c r="AH35" s="116" t="n">
        <v>0</v>
      </c>
      <c r="AI35" s="47">
        <f>IFERROR(AC35/S35,"")</f>
        <v/>
      </c>
      <c r="AJ35" s="47">
        <f>IFERROR(AH35/S35,"")</f>
        <v/>
      </c>
      <c r="AK35" s="116" t="n">
        <v>46</v>
      </c>
      <c r="AL35" s="116" t="n">
        <v>0</v>
      </c>
      <c r="AM35" s="118">
        <f>IFERROR(AL35/AA35,"")</f>
        <v/>
      </c>
      <c r="AN35" s="119">
        <f>IFERROR(R35/AL35,"")</f>
        <v/>
      </c>
      <c r="AO35" s="116" t="n">
        <v>0</v>
      </c>
      <c r="AP35" s="47">
        <f>IFERROR(AO35/AL35,"")</f>
        <v/>
      </c>
      <c r="AQ35" s="119">
        <f>IFERROR(R35/AO35,"")</f>
        <v/>
      </c>
      <c r="AR35" s="116" t="n">
        <v>0</v>
      </c>
      <c r="AS35" s="116" t="n">
        <v>0</v>
      </c>
      <c r="AT35" s="116">
        <f>AL35+AR35</f>
        <v/>
      </c>
      <c r="AU35" s="119">
        <f>IFERROR(AO35*Assumptions!$C$26*Assumptions!$C$27*INDEX(Assumptions!$C$18:$C$21,MATCH(H35,Assumptions!$B$18:$B$21,0)),0)</f>
        <v/>
      </c>
    </row>
    <row r="36">
      <c r="A36" s="114" t="n">
        <v>46251</v>
      </c>
      <c r="B36" s="42" t="inlineStr">
        <is>
          <t>Wk 34</t>
        </is>
      </c>
      <c r="C36" s="42" t="inlineStr">
        <is>
          <t>Mon</t>
        </is>
      </c>
      <c r="D36" s="42" t="inlineStr">
        <is>
          <t>Meta (FB/IG)</t>
        </is>
      </c>
      <c r="E36" s="42" t="inlineStr">
        <is>
          <t>Facebook + Instagram</t>
        </is>
      </c>
      <c r="F36" s="42" t="inlineStr">
        <is>
          <t>LEP_ZA_AUG26_META_TD_AMUR_CONV</t>
        </is>
      </c>
      <c r="G36" s="42" t="inlineStr">
        <is>
          <t>Leads - Website Conversions</t>
        </is>
      </c>
      <c r="H36" s="42" t="inlineStr">
        <is>
          <t>AMUR</t>
        </is>
      </c>
      <c r="I36" s="42" t="inlineStr">
        <is>
          <t>0% Deposit</t>
        </is>
      </c>
      <c r="J36" s="42" t="inlineStr">
        <is>
          <t>MET_AMUR_BROAD_25-54_ZA</t>
        </is>
      </c>
      <c r="K36" s="42" t="inlineStr">
        <is>
          <t>Prospecting</t>
        </is>
      </c>
      <c r="L36" s="42" t="inlineStr">
        <is>
          <t>AMUR_CAR_4card_SpecStack_v1</t>
        </is>
      </c>
      <c r="M36" s="42" t="inlineStr">
        <is>
          <t>Carousel</t>
        </is>
      </c>
      <c r="N36" s="42" t="inlineStr">
        <is>
          <t>4 reasons the AMUR outsells its class</t>
        </is>
      </c>
      <c r="O36" s="42" t="inlineStr">
        <is>
          <t>Auction - Lowest Cost</t>
        </is>
      </c>
      <c r="P36" s="42" t="inlineStr">
        <is>
          <t>Offsite Conversions</t>
        </is>
      </c>
      <c r="Q36" s="42" t="inlineStr">
        <is>
          <t>https://www.lepas-sa.co.za/offers/amur</t>
        </is>
      </c>
      <c r="R36" s="115" t="n">
        <v>209.44</v>
      </c>
      <c r="S36" s="116" t="n">
        <v>2769</v>
      </c>
      <c r="T36" s="116" t="n">
        <v>1942</v>
      </c>
      <c r="U36" s="117">
        <f>IFERROR(S36/T36,"")</f>
        <v/>
      </c>
      <c r="V36" s="116" t="n">
        <v>48</v>
      </c>
      <c r="W36" s="116" t="n">
        <v>37</v>
      </c>
      <c r="X36" s="118">
        <f>IFERROR(W36/S36,"")</f>
        <v/>
      </c>
      <c r="Y36" s="115">
        <f>IFERROR(R36/W36,"")</f>
        <v/>
      </c>
      <c r="Z36" s="115">
        <f>IFERROR(R36/S36*1000,"")</f>
        <v/>
      </c>
      <c r="AA36" s="116" t="n">
        <v>30</v>
      </c>
      <c r="AB36" s="47">
        <f>IFERROR(AA36/W36,"")</f>
        <v/>
      </c>
      <c r="AC36" s="116" t="n">
        <v>0</v>
      </c>
      <c r="AD36" s="116" t="n">
        <v>0</v>
      </c>
      <c r="AE36" s="116" t="n">
        <v>0</v>
      </c>
      <c r="AF36" s="116" t="n">
        <v>0</v>
      </c>
      <c r="AG36" s="116" t="n">
        <v>0</v>
      </c>
      <c r="AH36" s="116" t="n">
        <v>0</v>
      </c>
      <c r="AI36" s="47">
        <f>IFERROR(AC36/S36,"")</f>
        <v/>
      </c>
      <c r="AJ36" s="47">
        <f>IFERROR(AH36/S36,"")</f>
        <v/>
      </c>
      <c r="AK36" s="116" t="n">
        <v>76</v>
      </c>
      <c r="AL36" s="116" t="n">
        <v>1</v>
      </c>
      <c r="AM36" s="118">
        <f>IFERROR(AL36/AA36,"")</f>
        <v/>
      </c>
      <c r="AN36" s="119">
        <f>IFERROR(R36/AL36,"")</f>
        <v/>
      </c>
      <c r="AO36" s="116" t="n">
        <v>1</v>
      </c>
      <c r="AP36" s="47">
        <f>IFERROR(AO36/AL36,"")</f>
        <v/>
      </c>
      <c r="AQ36" s="119">
        <f>IFERROR(R36/AO36,"")</f>
        <v/>
      </c>
      <c r="AR36" s="116" t="n">
        <v>0</v>
      </c>
      <c r="AS36" s="116" t="n">
        <v>0</v>
      </c>
      <c r="AT36" s="116">
        <f>AL36+AR36</f>
        <v/>
      </c>
      <c r="AU36" s="119">
        <f>IFERROR(AO36*Assumptions!$C$26*Assumptions!$C$27*INDEX(Assumptions!$C$18:$C$21,MATCH(H36,Assumptions!$B$18:$B$21,0)),0)</f>
        <v/>
      </c>
    </row>
    <row r="37">
      <c r="A37" s="114" t="n">
        <v>46252</v>
      </c>
      <c r="B37" s="42" t="inlineStr">
        <is>
          <t>Wk 34</t>
        </is>
      </c>
      <c r="C37" s="42" t="inlineStr">
        <is>
          <t>Tue</t>
        </is>
      </c>
      <c r="D37" s="42" t="inlineStr">
        <is>
          <t>Meta (FB/IG)</t>
        </is>
      </c>
      <c r="E37" s="42" t="inlineStr">
        <is>
          <t>Facebook + Instagram</t>
        </is>
      </c>
      <c r="F37" s="42" t="inlineStr">
        <is>
          <t>LEP_ZA_AUG26_META_TD_AMUR_CONV</t>
        </is>
      </c>
      <c r="G37" s="42" t="inlineStr">
        <is>
          <t>Leads - Website Conversions</t>
        </is>
      </c>
      <c r="H37" s="42" t="inlineStr">
        <is>
          <t>AMUR</t>
        </is>
      </c>
      <c r="I37" s="42" t="inlineStr">
        <is>
          <t>0% Deposit</t>
        </is>
      </c>
      <c r="J37" s="42" t="inlineStr">
        <is>
          <t>MET_AMUR_BROAD_25-54_ZA</t>
        </is>
      </c>
      <c r="K37" s="42" t="inlineStr">
        <is>
          <t>Prospecting</t>
        </is>
      </c>
      <c r="L37" s="42" t="inlineStr">
        <is>
          <t>AMUR_CAR_4card_SpecStack_v1</t>
        </is>
      </c>
      <c r="M37" s="42" t="inlineStr">
        <is>
          <t>Carousel</t>
        </is>
      </c>
      <c r="N37" s="42" t="inlineStr">
        <is>
          <t>4 reasons the AMUR outsells its class</t>
        </is>
      </c>
      <c r="O37" s="42" t="inlineStr">
        <is>
          <t>Auction - Lowest Cost</t>
        </is>
      </c>
      <c r="P37" s="42" t="inlineStr">
        <is>
          <t>Offsite Conversions</t>
        </is>
      </c>
      <c r="Q37" s="42" t="inlineStr">
        <is>
          <t>https://www.lepas-sa.co.za/offers/amur</t>
        </is>
      </c>
      <c r="R37" s="115" t="n">
        <v>241.12</v>
      </c>
      <c r="S37" s="116" t="n">
        <v>4061</v>
      </c>
      <c r="T37" s="116" t="n">
        <v>2626</v>
      </c>
      <c r="U37" s="117">
        <f>IFERROR(S37/T37,"")</f>
        <v/>
      </c>
      <c r="V37" s="116" t="n">
        <v>30</v>
      </c>
      <c r="W37" s="116" t="n">
        <v>22</v>
      </c>
      <c r="X37" s="118">
        <f>IFERROR(W37/S37,"")</f>
        <v/>
      </c>
      <c r="Y37" s="115">
        <f>IFERROR(R37/W37,"")</f>
        <v/>
      </c>
      <c r="Z37" s="115">
        <f>IFERROR(R37/S37*1000,"")</f>
        <v/>
      </c>
      <c r="AA37" s="116" t="n">
        <v>19</v>
      </c>
      <c r="AB37" s="47">
        <f>IFERROR(AA37/W37,"")</f>
        <v/>
      </c>
      <c r="AC37" s="116" t="n">
        <v>0</v>
      </c>
      <c r="AD37" s="116" t="n">
        <v>0</v>
      </c>
      <c r="AE37" s="116" t="n">
        <v>0</v>
      </c>
      <c r="AF37" s="116" t="n">
        <v>0</v>
      </c>
      <c r="AG37" s="116" t="n">
        <v>0</v>
      </c>
      <c r="AH37" s="116" t="n">
        <v>0</v>
      </c>
      <c r="AI37" s="47">
        <f>IFERROR(AC37/S37,"")</f>
        <v/>
      </c>
      <c r="AJ37" s="47">
        <f>IFERROR(AH37/S37,"")</f>
        <v/>
      </c>
      <c r="AK37" s="116" t="n">
        <v>141</v>
      </c>
      <c r="AL37" s="116" t="n">
        <v>0</v>
      </c>
      <c r="AM37" s="118">
        <f>IFERROR(AL37/AA37,"")</f>
        <v/>
      </c>
      <c r="AN37" s="119">
        <f>IFERROR(R37/AL37,"")</f>
        <v/>
      </c>
      <c r="AO37" s="116" t="n">
        <v>0</v>
      </c>
      <c r="AP37" s="47">
        <f>IFERROR(AO37/AL37,"")</f>
        <v/>
      </c>
      <c r="AQ37" s="119">
        <f>IFERROR(R37/AO37,"")</f>
        <v/>
      </c>
      <c r="AR37" s="116" t="n">
        <v>0</v>
      </c>
      <c r="AS37" s="116" t="n">
        <v>0</v>
      </c>
      <c r="AT37" s="116">
        <f>AL37+AR37</f>
        <v/>
      </c>
      <c r="AU37" s="119">
        <f>IFERROR(AO37*Assumptions!$C$26*Assumptions!$C$27*INDEX(Assumptions!$C$18:$C$21,MATCH(H37,Assumptions!$B$18:$B$21,0)),0)</f>
        <v/>
      </c>
    </row>
    <row r="38">
      <c r="A38" s="114" t="n">
        <v>46253</v>
      </c>
      <c r="B38" s="42" t="inlineStr">
        <is>
          <t>Wk 34</t>
        </is>
      </c>
      <c r="C38" s="42" t="inlineStr">
        <is>
          <t>Wed</t>
        </is>
      </c>
      <c r="D38" s="42" t="inlineStr">
        <is>
          <t>Meta (FB/IG)</t>
        </is>
      </c>
      <c r="E38" s="42" t="inlineStr">
        <is>
          <t>Facebook + Instagram</t>
        </is>
      </c>
      <c r="F38" s="42" t="inlineStr">
        <is>
          <t>LEP_ZA_AUG26_META_TD_AMUR_CONV</t>
        </is>
      </c>
      <c r="G38" s="42" t="inlineStr">
        <is>
          <t>Leads - Website Conversions</t>
        </is>
      </c>
      <c r="H38" s="42" t="inlineStr">
        <is>
          <t>AMUR</t>
        </is>
      </c>
      <c r="I38" s="42" t="inlineStr">
        <is>
          <t>0% Deposit</t>
        </is>
      </c>
      <c r="J38" s="42" t="inlineStr">
        <is>
          <t>MET_AMUR_BROAD_25-54_ZA</t>
        </is>
      </c>
      <c r="K38" s="42" t="inlineStr">
        <is>
          <t>Prospecting</t>
        </is>
      </c>
      <c r="L38" s="42" t="inlineStr">
        <is>
          <t>AMUR_CAR_4card_SpecStack_v1</t>
        </is>
      </c>
      <c r="M38" s="42" t="inlineStr">
        <is>
          <t>Carousel</t>
        </is>
      </c>
      <c r="N38" s="42" t="inlineStr">
        <is>
          <t>4 reasons the AMUR outsells its class</t>
        </is>
      </c>
      <c r="O38" s="42" t="inlineStr">
        <is>
          <t>Auction - Lowest Cost</t>
        </is>
      </c>
      <c r="P38" s="42" t="inlineStr">
        <is>
          <t>Offsite Conversions</t>
        </is>
      </c>
      <c r="Q38" s="42" t="inlineStr">
        <is>
          <t>https://www.lepas-sa.co.za/offers/amur</t>
        </is>
      </c>
      <c r="R38" s="115" t="n">
        <v>259.07</v>
      </c>
      <c r="S38" s="116" t="n">
        <v>2900</v>
      </c>
      <c r="T38" s="116" t="n">
        <v>1684</v>
      </c>
      <c r="U38" s="117">
        <f>IFERROR(S38/T38,"")</f>
        <v/>
      </c>
      <c r="V38" s="116" t="n">
        <v>34</v>
      </c>
      <c r="W38" s="116" t="n">
        <v>25</v>
      </c>
      <c r="X38" s="118">
        <f>IFERROR(W38/S38,"")</f>
        <v/>
      </c>
      <c r="Y38" s="115">
        <f>IFERROR(R38/W38,"")</f>
        <v/>
      </c>
      <c r="Z38" s="115">
        <f>IFERROR(R38/S38*1000,"")</f>
        <v/>
      </c>
      <c r="AA38" s="116" t="n">
        <v>22</v>
      </c>
      <c r="AB38" s="47">
        <f>IFERROR(AA38/W38,"")</f>
        <v/>
      </c>
      <c r="AC38" s="116" t="n">
        <v>0</v>
      </c>
      <c r="AD38" s="116" t="n">
        <v>0</v>
      </c>
      <c r="AE38" s="116" t="n">
        <v>0</v>
      </c>
      <c r="AF38" s="116" t="n">
        <v>0</v>
      </c>
      <c r="AG38" s="116" t="n">
        <v>0</v>
      </c>
      <c r="AH38" s="116" t="n">
        <v>0</v>
      </c>
      <c r="AI38" s="47">
        <f>IFERROR(AC38/S38,"")</f>
        <v/>
      </c>
      <c r="AJ38" s="47">
        <f>IFERROR(AH38/S38,"")</f>
        <v/>
      </c>
      <c r="AK38" s="116" t="n">
        <v>64</v>
      </c>
      <c r="AL38" s="116" t="n">
        <v>0</v>
      </c>
      <c r="AM38" s="118">
        <f>IFERROR(AL38/AA38,"")</f>
        <v/>
      </c>
      <c r="AN38" s="119">
        <f>IFERROR(R38/AL38,"")</f>
        <v/>
      </c>
      <c r="AO38" s="116" t="n">
        <v>0</v>
      </c>
      <c r="AP38" s="47">
        <f>IFERROR(AO38/AL38,"")</f>
        <v/>
      </c>
      <c r="AQ38" s="119">
        <f>IFERROR(R38/AO38,"")</f>
        <v/>
      </c>
      <c r="AR38" s="116" t="n">
        <v>0</v>
      </c>
      <c r="AS38" s="116" t="n">
        <v>0</v>
      </c>
      <c r="AT38" s="116">
        <f>AL38+AR38</f>
        <v/>
      </c>
      <c r="AU38" s="119">
        <f>IFERROR(AO38*Assumptions!$C$26*Assumptions!$C$27*INDEX(Assumptions!$C$18:$C$21,MATCH(H38,Assumptions!$B$18:$B$21,0)),0)</f>
        <v/>
      </c>
    </row>
    <row r="39">
      <c r="A39" s="114" t="n">
        <v>46254</v>
      </c>
      <c r="B39" s="42" t="inlineStr">
        <is>
          <t>Wk 34</t>
        </is>
      </c>
      <c r="C39" s="42" t="inlineStr">
        <is>
          <t>Thu</t>
        </is>
      </c>
      <c r="D39" s="42" t="inlineStr">
        <is>
          <t>Meta (FB/IG)</t>
        </is>
      </c>
      <c r="E39" s="42" t="inlineStr">
        <is>
          <t>Facebook + Instagram</t>
        </is>
      </c>
      <c r="F39" s="42" t="inlineStr">
        <is>
          <t>LEP_ZA_AUG26_META_TD_AMUR_CONV</t>
        </is>
      </c>
      <c r="G39" s="42" t="inlineStr">
        <is>
          <t>Leads - Website Conversions</t>
        </is>
      </c>
      <c r="H39" s="42" t="inlineStr">
        <is>
          <t>AMUR</t>
        </is>
      </c>
      <c r="I39" s="42" t="inlineStr">
        <is>
          <t>0% Deposit</t>
        </is>
      </c>
      <c r="J39" s="42" t="inlineStr">
        <is>
          <t>MET_AMUR_BROAD_25-54_ZA</t>
        </is>
      </c>
      <c r="K39" s="42" t="inlineStr">
        <is>
          <t>Prospecting</t>
        </is>
      </c>
      <c r="L39" s="42" t="inlineStr">
        <is>
          <t>AMUR_CAR_4card_SpecStack_v1</t>
        </is>
      </c>
      <c r="M39" s="42" t="inlineStr">
        <is>
          <t>Carousel</t>
        </is>
      </c>
      <c r="N39" s="42" t="inlineStr">
        <is>
          <t>4 reasons the AMUR outsells its class</t>
        </is>
      </c>
      <c r="O39" s="42" t="inlineStr">
        <is>
          <t>Auction - Lowest Cost</t>
        </is>
      </c>
      <c r="P39" s="42" t="inlineStr">
        <is>
          <t>Offsite Conversions</t>
        </is>
      </c>
      <c r="Q39" s="42" t="inlineStr">
        <is>
          <t>https://www.lepas-sa.co.za/offers/amur</t>
        </is>
      </c>
      <c r="R39" s="115" t="n">
        <v>303.22</v>
      </c>
      <c r="S39" s="116" t="n">
        <v>5424</v>
      </c>
      <c r="T39" s="116" t="n">
        <v>3738</v>
      </c>
      <c r="U39" s="117">
        <f>IFERROR(S39/T39,"")</f>
        <v/>
      </c>
      <c r="V39" s="116" t="n">
        <v>92</v>
      </c>
      <c r="W39" s="116" t="n">
        <v>75</v>
      </c>
      <c r="X39" s="118">
        <f>IFERROR(W39/S39,"")</f>
        <v/>
      </c>
      <c r="Y39" s="115">
        <f>IFERROR(R39/W39,"")</f>
        <v/>
      </c>
      <c r="Z39" s="115">
        <f>IFERROR(R39/S39*1000,"")</f>
        <v/>
      </c>
      <c r="AA39" s="116" t="n">
        <v>63</v>
      </c>
      <c r="AB39" s="47">
        <f>IFERROR(AA39/W39,"")</f>
        <v/>
      </c>
      <c r="AC39" s="116" t="n">
        <v>0</v>
      </c>
      <c r="AD39" s="116" t="n">
        <v>0</v>
      </c>
      <c r="AE39" s="116" t="n">
        <v>0</v>
      </c>
      <c r="AF39" s="116" t="n">
        <v>0</v>
      </c>
      <c r="AG39" s="116" t="n">
        <v>0</v>
      </c>
      <c r="AH39" s="116" t="n">
        <v>0</v>
      </c>
      <c r="AI39" s="47">
        <f>IFERROR(AC39/S39,"")</f>
        <v/>
      </c>
      <c r="AJ39" s="47">
        <f>IFERROR(AH39/S39,"")</f>
        <v/>
      </c>
      <c r="AK39" s="116" t="n">
        <v>104</v>
      </c>
      <c r="AL39" s="116" t="n">
        <v>1</v>
      </c>
      <c r="AM39" s="118">
        <f>IFERROR(AL39/AA39,"")</f>
        <v/>
      </c>
      <c r="AN39" s="119">
        <f>IFERROR(R39/AL39,"")</f>
        <v/>
      </c>
      <c r="AO39" s="116" t="n">
        <v>1</v>
      </c>
      <c r="AP39" s="47">
        <f>IFERROR(AO39/AL39,"")</f>
        <v/>
      </c>
      <c r="AQ39" s="119">
        <f>IFERROR(R39/AO39,"")</f>
        <v/>
      </c>
      <c r="AR39" s="116" t="n">
        <v>0</v>
      </c>
      <c r="AS39" s="116" t="n">
        <v>0</v>
      </c>
      <c r="AT39" s="116">
        <f>AL39+AR39</f>
        <v/>
      </c>
      <c r="AU39" s="119">
        <f>IFERROR(AO39*Assumptions!$C$26*Assumptions!$C$27*INDEX(Assumptions!$C$18:$C$21,MATCH(H39,Assumptions!$B$18:$B$21,0)),0)</f>
        <v/>
      </c>
    </row>
    <row r="40">
      <c r="A40" s="114" t="n">
        <v>46255</v>
      </c>
      <c r="B40" s="42" t="inlineStr">
        <is>
          <t>Wk 34</t>
        </is>
      </c>
      <c r="C40" s="42" t="inlineStr">
        <is>
          <t>Fri</t>
        </is>
      </c>
      <c r="D40" s="42" t="inlineStr">
        <is>
          <t>Meta (FB/IG)</t>
        </is>
      </c>
      <c r="E40" s="42" t="inlineStr">
        <is>
          <t>Facebook + Instagram</t>
        </is>
      </c>
      <c r="F40" s="42" t="inlineStr">
        <is>
          <t>LEP_ZA_AUG26_META_TD_AMUR_CONV</t>
        </is>
      </c>
      <c r="G40" s="42" t="inlineStr">
        <is>
          <t>Leads - Website Conversions</t>
        </is>
      </c>
      <c r="H40" s="42" t="inlineStr">
        <is>
          <t>AMUR</t>
        </is>
      </c>
      <c r="I40" s="42" t="inlineStr">
        <is>
          <t>0% Deposit</t>
        </is>
      </c>
      <c r="J40" s="42" t="inlineStr">
        <is>
          <t>MET_AMUR_BROAD_25-54_ZA</t>
        </is>
      </c>
      <c r="K40" s="42" t="inlineStr">
        <is>
          <t>Prospecting</t>
        </is>
      </c>
      <c r="L40" s="42" t="inlineStr">
        <is>
          <t>AMUR_CAR_4card_SpecStack_v1</t>
        </is>
      </c>
      <c r="M40" s="42" t="inlineStr">
        <is>
          <t>Carousel</t>
        </is>
      </c>
      <c r="N40" s="42" t="inlineStr">
        <is>
          <t>4 reasons the AMUR outsells its class</t>
        </is>
      </c>
      <c r="O40" s="42" t="inlineStr">
        <is>
          <t>Auction - Lowest Cost</t>
        </is>
      </c>
      <c r="P40" s="42" t="inlineStr">
        <is>
          <t>Offsite Conversions</t>
        </is>
      </c>
      <c r="Q40" s="42" t="inlineStr">
        <is>
          <t>https://www.lepas-sa.co.za/offers/amur</t>
        </is>
      </c>
      <c r="R40" s="115" t="n">
        <v>246.95</v>
      </c>
      <c r="S40" s="116" t="n">
        <v>4892</v>
      </c>
      <c r="T40" s="116" t="n">
        <v>3368</v>
      </c>
      <c r="U40" s="117">
        <f>IFERROR(S40/T40,"")</f>
        <v/>
      </c>
      <c r="V40" s="116" t="n">
        <v>39</v>
      </c>
      <c r="W40" s="116" t="n">
        <v>29</v>
      </c>
      <c r="X40" s="118">
        <f>IFERROR(W40/S40,"")</f>
        <v/>
      </c>
      <c r="Y40" s="115">
        <f>IFERROR(R40/W40,"")</f>
        <v/>
      </c>
      <c r="Z40" s="115">
        <f>IFERROR(R40/S40*1000,"")</f>
        <v/>
      </c>
      <c r="AA40" s="116" t="n">
        <v>24</v>
      </c>
      <c r="AB40" s="47">
        <f>IFERROR(AA40/W40,"")</f>
        <v/>
      </c>
      <c r="AC40" s="116" t="n">
        <v>0</v>
      </c>
      <c r="AD40" s="116" t="n">
        <v>0</v>
      </c>
      <c r="AE40" s="116" t="n">
        <v>0</v>
      </c>
      <c r="AF40" s="116" t="n">
        <v>0</v>
      </c>
      <c r="AG40" s="116" t="n">
        <v>0</v>
      </c>
      <c r="AH40" s="116" t="n">
        <v>0</v>
      </c>
      <c r="AI40" s="47">
        <f>IFERROR(AC40/S40,"")</f>
        <v/>
      </c>
      <c r="AJ40" s="47">
        <f>IFERROR(AH40/S40,"")</f>
        <v/>
      </c>
      <c r="AK40" s="116" t="n">
        <v>158</v>
      </c>
      <c r="AL40" s="116" t="n">
        <v>1</v>
      </c>
      <c r="AM40" s="118">
        <f>IFERROR(AL40/AA40,"")</f>
        <v/>
      </c>
      <c r="AN40" s="119">
        <f>IFERROR(R40/AL40,"")</f>
        <v/>
      </c>
      <c r="AO40" s="116" t="n">
        <v>1</v>
      </c>
      <c r="AP40" s="47">
        <f>IFERROR(AO40/AL40,"")</f>
        <v/>
      </c>
      <c r="AQ40" s="119">
        <f>IFERROR(R40/AO40,"")</f>
        <v/>
      </c>
      <c r="AR40" s="116" t="n">
        <v>0</v>
      </c>
      <c r="AS40" s="116" t="n">
        <v>0</v>
      </c>
      <c r="AT40" s="116">
        <f>AL40+AR40</f>
        <v/>
      </c>
      <c r="AU40" s="119">
        <f>IFERROR(AO40*Assumptions!$C$26*Assumptions!$C$27*INDEX(Assumptions!$C$18:$C$21,MATCH(H40,Assumptions!$B$18:$B$21,0)),0)</f>
        <v/>
      </c>
    </row>
    <row r="41">
      <c r="A41" s="114" t="n">
        <v>46256</v>
      </c>
      <c r="B41" s="42" t="inlineStr">
        <is>
          <t>Wk 34</t>
        </is>
      </c>
      <c r="C41" s="42" t="inlineStr">
        <is>
          <t>Sat</t>
        </is>
      </c>
      <c r="D41" s="42" t="inlineStr">
        <is>
          <t>Meta (FB/IG)</t>
        </is>
      </c>
      <c r="E41" s="42" t="inlineStr">
        <is>
          <t>Facebook + Instagram</t>
        </is>
      </c>
      <c r="F41" s="42" t="inlineStr">
        <is>
          <t>LEP_ZA_AUG26_META_TD_AMUR_CONV</t>
        </is>
      </c>
      <c r="G41" s="42" t="inlineStr">
        <is>
          <t>Leads - Website Conversions</t>
        </is>
      </c>
      <c r="H41" s="42" t="inlineStr">
        <is>
          <t>AMUR</t>
        </is>
      </c>
      <c r="I41" s="42" t="inlineStr">
        <is>
          <t>0% Deposit</t>
        </is>
      </c>
      <c r="J41" s="42" t="inlineStr">
        <is>
          <t>MET_AMUR_BROAD_25-54_ZA</t>
        </is>
      </c>
      <c r="K41" s="42" t="inlineStr">
        <is>
          <t>Prospecting</t>
        </is>
      </c>
      <c r="L41" s="42" t="inlineStr">
        <is>
          <t>AMUR_CAR_4card_SpecStack_v1</t>
        </is>
      </c>
      <c r="M41" s="42" t="inlineStr">
        <is>
          <t>Carousel</t>
        </is>
      </c>
      <c r="N41" s="42" t="inlineStr">
        <is>
          <t>4 reasons the AMUR outsells its class</t>
        </is>
      </c>
      <c r="O41" s="42" t="inlineStr">
        <is>
          <t>Auction - Lowest Cost</t>
        </is>
      </c>
      <c r="P41" s="42" t="inlineStr">
        <is>
          <t>Offsite Conversions</t>
        </is>
      </c>
      <c r="Q41" s="42" t="inlineStr">
        <is>
          <t>https://www.lepas-sa.co.za/offers/amur</t>
        </is>
      </c>
      <c r="R41" s="115" t="n">
        <v>269.51</v>
      </c>
      <c r="S41" s="116" t="n">
        <v>4918</v>
      </c>
      <c r="T41" s="116" t="n">
        <v>3110</v>
      </c>
      <c r="U41" s="117">
        <f>IFERROR(S41/T41,"")</f>
        <v/>
      </c>
      <c r="V41" s="116" t="n">
        <v>45</v>
      </c>
      <c r="W41" s="116" t="n">
        <v>35</v>
      </c>
      <c r="X41" s="118">
        <f>IFERROR(W41/S41,"")</f>
        <v/>
      </c>
      <c r="Y41" s="115">
        <f>IFERROR(R41/W41,"")</f>
        <v/>
      </c>
      <c r="Z41" s="115">
        <f>IFERROR(R41/S41*1000,"")</f>
        <v/>
      </c>
      <c r="AA41" s="116" t="n">
        <v>30</v>
      </c>
      <c r="AB41" s="47">
        <f>IFERROR(AA41/W41,"")</f>
        <v/>
      </c>
      <c r="AC41" s="116" t="n">
        <v>0</v>
      </c>
      <c r="AD41" s="116" t="n">
        <v>0</v>
      </c>
      <c r="AE41" s="116" t="n">
        <v>0</v>
      </c>
      <c r="AF41" s="116" t="n">
        <v>0</v>
      </c>
      <c r="AG41" s="116" t="n">
        <v>0</v>
      </c>
      <c r="AH41" s="116" t="n">
        <v>0</v>
      </c>
      <c r="AI41" s="47">
        <f>IFERROR(AC41/S41,"")</f>
        <v/>
      </c>
      <c r="AJ41" s="47">
        <f>IFERROR(AH41/S41,"")</f>
        <v/>
      </c>
      <c r="AK41" s="116" t="n">
        <v>131</v>
      </c>
      <c r="AL41" s="116" t="n">
        <v>1</v>
      </c>
      <c r="AM41" s="118">
        <f>IFERROR(AL41/AA41,"")</f>
        <v/>
      </c>
      <c r="AN41" s="119">
        <f>IFERROR(R41/AL41,"")</f>
        <v/>
      </c>
      <c r="AO41" s="116" t="n">
        <v>1</v>
      </c>
      <c r="AP41" s="47">
        <f>IFERROR(AO41/AL41,"")</f>
        <v/>
      </c>
      <c r="AQ41" s="119">
        <f>IFERROR(R41/AO41,"")</f>
        <v/>
      </c>
      <c r="AR41" s="116" t="n">
        <v>0</v>
      </c>
      <c r="AS41" s="116" t="n">
        <v>0</v>
      </c>
      <c r="AT41" s="116">
        <f>AL41+AR41</f>
        <v/>
      </c>
      <c r="AU41" s="119">
        <f>IFERROR(AO41*Assumptions!$C$26*Assumptions!$C$27*INDEX(Assumptions!$C$18:$C$21,MATCH(H41,Assumptions!$B$18:$B$21,0)),0)</f>
        <v/>
      </c>
    </row>
    <row r="42">
      <c r="A42" s="114" t="n">
        <v>46257</v>
      </c>
      <c r="B42" s="42" t="inlineStr">
        <is>
          <t>Wk 34</t>
        </is>
      </c>
      <c r="C42" s="42" t="inlineStr">
        <is>
          <t>Sun</t>
        </is>
      </c>
      <c r="D42" s="42" t="inlineStr">
        <is>
          <t>Meta (FB/IG)</t>
        </is>
      </c>
      <c r="E42" s="42" t="inlineStr">
        <is>
          <t>Facebook + Instagram</t>
        </is>
      </c>
      <c r="F42" s="42" t="inlineStr">
        <is>
          <t>LEP_ZA_AUG26_META_TD_AMUR_CONV</t>
        </is>
      </c>
      <c r="G42" s="42" t="inlineStr">
        <is>
          <t>Leads - Website Conversions</t>
        </is>
      </c>
      <c r="H42" s="42" t="inlineStr">
        <is>
          <t>AMUR</t>
        </is>
      </c>
      <c r="I42" s="42" t="inlineStr">
        <is>
          <t>0% Deposit</t>
        </is>
      </c>
      <c r="J42" s="42" t="inlineStr">
        <is>
          <t>MET_AMUR_BROAD_25-54_ZA</t>
        </is>
      </c>
      <c r="K42" s="42" t="inlineStr">
        <is>
          <t>Prospecting</t>
        </is>
      </c>
      <c r="L42" s="42" t="inlineStr">
        <is>
          <t>AMUR_CAR_4card_SpecStack_v1</t>
        </is>
      </c>
      <c r="M42" s="42" t="inlineStr">
        <is>
          <t>Carousel</t>
        </is>
      </c>
      <c r="N42" s="42" t="inlineStr">
        <is>
          <t>4 reasons the AMUR outsells its class</t>
        </is>
      </c>
      <c r="O42" s="42" t="inlineStr">
        <is>
          <t>Auction - Lowest Cost</t>
        </is>
      </c>
      <c r="P42" s="42" t="inlineStr">
        <is>
          <t>Offsite Conversions</t>
        </is>
      </c>
      <c r="Q42" s="42" t="inlineStr">
        <is>
          <t>https://www.lepas-sa.co.za/offers/amur</t>
        </is>
      </c>
      <c r="R42" s="115" t="n">
        <v>190.38</v>
      </c>
      <c r="S42" s="116" t="n">
        <v>2540</v>
      </c>
      <c r="T42" s="116" t="n">
        <v>1265</v>
      </c>
      <c r="U42" s="117">
        <f>IFERROR(S42/T42,"")</f>
        <v/>
      </c>
      <c r="V42" s="116" t="n">
        <v>49</v>
      </c>
      <c r="W42" s="116" t="n">
        <v>36</v>
      </c>
      <c r="X42" s="118">
        <f>IFERROR(W42/S42,"")</f>
        <v/>
      </c>
      <c r="Y42" s="115">
        <f>IFERROR(R42/W42,"")</f>
        <v/>
      </c>
      <c r="Z42" s="115">
        <f>IFERROR(R42/S42*1000,"")</f>
        <v/>
      </c>
      <c r="AA42" s="116" t="n">
        <v>29</v>
      </c>
      <c r="AB42" s="47">
        <f>IFERROR(AA42/W42,"")</f>
        <v/>
      </c>
      <c r="AC42" s="116" t="n">
        <v>0</v>
      </c>
      <c r="AD42" s="116" t="n">
        <v>0</v>
      </c>
      <c r="AE42" s="116" t="n">
        <v>0</v>
      </c>
      <c r="AF42" s="116" t="n">
        <v>0</v>
      </c>
      <c r="AG42" s="116" t="n">
        <v>0</v>
      </c>
      <c r="AH42" s="116" t="n">
        <v>0</v>
      </c>
      <c r="AI42" s="47">
        <f>IFERROR(AC42/S42,"")</f>
        <v/>
      </c>
      <c r="AJ42" s="47">
        <f>IFERROR(AH42/S42,"")</f>
        <v/>
      </c>
      <c r="AK42" s="116" t="n">
        <v>57</v>
      </c>
      <c r="AL42" s="116" t="n">
        <v>0</v>
      </c>
      <c r="AM42" s="118">
        <f>IFERROR(AL42/AA42,"")</f>
        <v/>
      </c>
      <c r="AN42" s="119">
        <f>IFERROR(R42/AL42,"")</f>
        <v/>
      </c>
      <c r="AO42" s="116" t="n">
        <v>0</v>
      </c>
      <c r="AP42" s="47">
        <f>IFERROR(AO42/AL42,"")</f>
        <v/>
      </c>
      <c r="AQ42" s="119">
        <f>IFERROR(R42/AO42,"")</f>
        <v/>
      </c>
      <c r="AR42" s="116" t="n">
        <v>0</v>
      </c>
      <c r="AS42" s="116" t="n">
        <v>0</v>
      </c>
      <c r="AT42" s="116">
        <f>AL42+AR42</f>
        <v/>
      </c>
      <c r="AU42" s="119">
        <f>IFERROR(AO42*Assumptions!$C$26*Assumptions!$C$27*INDEX(Assumptions!$C$18:$C$21,MATCH(H42,Assumptions!$B$18:$B$21,0)),0)</f>
        <v/>
      </c>
    </row>
    <row r="43">
      <c r="A43" s="114" t="n">
        <v>46258</v>
      </c>
      <c r="B43" s="42" t="inlineStr">
        <is>
          <t>Wk 35</t>
        </is>
      </c>
      <c r="C43" s="42" t="inlineStr">
        <is>
          <t>Mon</t>
        </is>
      </c>
      <c r="D43" s="42" t="inlineStr">
        <is>
          <t>Meta (FB/IG)</t>
        </is>
      </c>
      <c r="E43" s="42" t="inlineStr">
        <is>
          <t>Facebook + Instagram</t>
        </is>
      </c>
      <c r="F43" s="42" t="inlineStr">
        <is>
          <t>LEP_ZA_AUG26_META_TD_AMUR_CONV</t>
        </is>
      </c>
      <c r="G43" s="42" t="inlineStr">
        <is>
          <t>Leads - Website Conversions</t>
        </is>
      </c>
      <c r="H43" s="42" t="inlineStr">
        <is>
          <t>AMUR</t>
        </is>
      </c>
      <c r="I43" s="42" t="inlineStr">
        <is>
          <t>0% Deposit</t>
        </is>
      </c>
      <c r="J43" s="42" t="inlineStr">
        <is>
          <t>MET_AMUR_BROAD_25-54_ZA</t>
        </is>
      </c>
      <c r="K43" s="42" t="inlineStr">
        <is>
          <t>Prospecting</t>
        </is>
      </c>
      <c r="L43" s="42" t="inlineStr">
        <is>
          <t>AMUR_CAR_4card_SpecStack_v1</t>
        </is>
      </c>
      <c r="M43" s="42" t="inlineStr">
        <is>
          <t>Carousel</t>
        </is>
      </c>
      <c r="N43" s="42" t="inlineStr">
        <is>
          <t>4 reasons the AMUR outsells its class</t>
        </is>
      </c>
      <c r="O43" s="42" t="inlineStr">
        <is>
          <t>Auction - Lowest Cost</t>
        </is>
      </c>
      <c r="P43" s="42" t="inlineStr">
        <is>
          <t>Offsite Conversions</t>
        </is>
      </c>
      <c r="Q43" s="42" t="inlineStr">
        <is>
          <t>https://www.lepas-sa.co.za/offers/amur</t>
        </is>
      </c>
      <c r="R43" s="115" t="n">
        <v>253.44</v>
      </c>
      <c r="S43" s="116" t="n">
        <v>3711</v>
      </c>
      <c r="T43" s="116" t="n">
        <v>1851</v>
      </c>
      <c r="U43" s="117">
        <f>IFERROR(S43/T43,"")</f>
        <v/>
      </c>
      <c r="V43" s="116" t="n">
        <v>61</v>
      </c>
      <c r="W43" s="116" t="n">
        <v>47</v>
      </c>
      <c r="X43" s="118">
        <f>IFERROR(W43/S43,"")</f>
        <v/>
      </c>
      <c r="Y43" s="115">
        <f>IFERROR(R43/W43,"")</f>
        <v/>
      </c>
      <c r="Z43" s="115">
        <f>IFERROR(R43/S43*1000,"")</f>
        <v/>
      </c>
      <c r="AA43" s="116" t="n">
        <v>40</v>
      </c>
      <c r="AB43" s="47">
        <f>IFERROR(AA43/W43,"")</f>
        <v/>
      </c>
      <c r="AC43" s="116" t="n">
        <v>0</v>
      </c>
      <c r="AD43" s="116" t="n">
        <v>0</v>
      </c>
      <c r="AE43" s="116" t="n">
        <v>0</v>
      </c>
      <c r="AF43" s="116" t="n">
        <v>0</v>
      </c>
      <c r="AG43" s="116" t="n">
        <v>0</v>
      </c>
      <c r="AH43" s="116" t="n">
        <v>0</v>
      </c>
      <c r="AI43" s="47">
        <f>IFERROR(AC43/S43,"")</f>
        <v/>
      </c>
      <c r="AJ43" s="47">
        <f>IFERROR(AH43/S43,"")</f>
        <v/>
      </c>
      <c r="AK43" s="116" t="n">
        <v>115</v>
      </c>
      <c r="AL43" s="116" t="n">
        <v>0</v>
      </c>
      <c r="AM43" s="118">
        <f>IFERROR(AL43/AA43,"")</f>
        <v/>
      </c>
      <c r="AN43" s="119">
        <f>IFERROR(R43/AL43,"")</f>
        <v/>
      </c>
      <c r="AO43" s="116" t="n">
        <v>0</v>
      </c>
      <c r="AP43" s="47">
        <f>IFERROR(AO43/AL43,"")</f>
        <v/>
      </c>
      <c r="AQ43" s="119">
        <f>IFERROR(R43/AO43,"")</f>
        <v/>
      </c>
      <c r="AR43" s="116" t="n">
        <v>0</v>
      </c>
      <c r="AS43" s="116" t="n">
        <v>0</v>
      </c>
      <c r="AT43" s="116">
        <f>AL43+AR43</f>
        <v/>
      </c>
      <c r="AU43" s="119">
        <f>IFERROR(AO43*Assumptions!$C$26*Assumptions!$C$27*INDEX(Assumptions!$C$18:$C$21,MATCH(H43,Assumptions!$B$18:$B$21,0)),0)</f>
        <v/>
      </c>
    </row>
    <row r="44">
      <c r="A44" s="114" t="n">
        <v>46259</v>
      </c>
      <c r="B44" s="42" t="inlineStr">
        <is>
          <t>Wk 35</t>
        </is>
      </c>
      <c r="C44" s="42" t="inlineStr">
        <is>
          <t>Tue</t>
        </is>
      </c>
      <c r="D44" s="42" t="inlineStr">
        <is>
          <t>Meta (FB/IG)</t>
        </is>
      </c>
      <c r="E44" s="42" t="inlineStr">
        <is>
          <t>Facebook + Instagram</t>
        </is>
      </c>
      <c r="F44" s="42" t="inlineStr">
        <is>
          <t>LEP_ZA_AUG26_META_TD_AMUR_CONV</t>
        </is>
      </c>
      <c r="G44" s="42" t="inlineStr">
        <is>
          <t>Leads - Website Conversions</t>
        </is>
      </c>
      <c r="H44" s="42" t="inlineStr">
        <is>
          <t>AMUR</t>
        </is>
      </c>
      <c r="I44" s="42" t="inlineStr">
        <is>
          <t>0% Deposit</t>
        </is>
      </c>
      <c r="J44" s="42" t="inlineStr">
        <is>
          <t>MET_AMUR_BROAD_25-54_ZA</t>
        </is>
      </c>
      <c r="K44" s="42" t="inlineStr">
        <is>
          <t>Prospecting</t>
        </is>
      </c>
      <c r="L44" s="42" t="inlineStr">
        <is>
          <t>AMUR_CAR_4card_SpecStack_v1</t>
        </is>
      </c>
      <c r="M44" s="42" t="inlineStr">
        <is>
          <t>Carousel</t>
        </is>
      </c>
      <c r="N44" s="42" t="inlineStr">
        <is>
          <t>4 reasons the AMUR outsells its class</t>
        </is>
      </c>
      <c r="O44" s="42" t="inlineStr">
        <is>
          <t>Auction - Lowest Cost</t>
        </is>
      </c>
      <c r="P44" s="42" t="inlineStr">
        <is>
          <t>Offsite Conversions</t>
        </is>
      </c>
      <c r="Q44" s="42" t="inlineStr">
        <is>
          <t>https://www.lepas-sa.co.za/offers/amur</t>
        </is>
      </c>
      <c r="R44" s="115" t="n">
        <v>202.65</v>
      </c>
      <c r="S44" s="116" t="n">
        <v>2512</v>
      </c>
      <c r="T44" s="116" t="n">
        <v>1269</v>
      </c>
      <c r="U44" s="117">
        <f>IFERROR(S44/T44,"")</f>
        <v/>
      </c>
      <c r="V44" s="116" t="n">
        <v>42</v>
      </c>
      <c r="W44" s="116" t="n">
        <v>31</v>
      </c>
      <c r="X44" s="118">
        <f>IFERROR(W44/S44,"")</f>
        <v/>
      </c>
      <c r="Y44" s="115">
        <f>IFERROR(R44/W44,"")</f>
        <v/>
      </c>
      <c r="Z44" s="115">
        <f>IFERROR(R44/S44*1000,"")</f>
        <v/>
      </c>
      <c r="AA44" s="116" t="n">
        <v>26</v>
      </c>
      <c r="AB44" s="47">
        <f>IFERROR(AA44/W44,"")</f>
        <v/>
      </c>
      <c r="AC44" s="116" t="n">
        <v>0</v>
      </c>
      <c r="AD44" s="116" t="n">
        <v>0</v>
      </c>
      <c r="AE44" s="116" t="n">
        <v>0</v>
      </c>
      <c r="AF44" s="116" t="n">
        <v>0</v>
      </c>
      <c r="AG44" s="116" t="n">
        <v>0</v>
      </c>
      <c r="AH44" s="116" t="n">
        <v>0</v>
      </c>
      <c r="AI44" s="47">
        <f>IFERROR(AC44/S44,"")</f>
        <v/>
      </c>
      <c r="AJ44" s="47">
        <f>IFERROR(AH44/S44,"")</f>
        <v/>
      </c>
      <c r="AK44" s="116" t="n">
        <v>73</v>
      </c>
      <c r="AL44" s="116" t="n">
        <v>0</v>
      </c>
      <c r="AM44" s="118">
        <f>IFERROR(AL44/AA44,"")</f>
        <v/>
      </c>
      <c r="AN44" s="119">
        <f>IFERROR(R44/AL44,"")</f>
        <v/>
      </c>
      <c r="AO44" s="116" t="n">
        <v>0</v>
      </c>
      <c r="AP44" s="47">
        <f>IFERROR(AO44/AL44,"")</f>
        <v/>
      </c>
      <c r="AQ44" s="119">
        <f>IFERROR(R44/AO44,"")</f>
        <v/>
      </c>
      <c r="AR44" s="116" t="n">
        <v>0</v>
      </c>
      <c r="AS44" s="116" t="n">
        <v>0</v>
      </c>
      <c r="AT44" s="116">
        <f>AL44+AR44</f>
        <v/>
      </c>
      <c r="AU44" s="119">
        <f>IFERROR(AO44*Assumptions!$C$26*Assumptions!$C$27*INDEX(Assumptions!$C$18:$C$21,MATCH(H44,Assumptions!$B$18:$B$21,0)),0)</f>
        <v/>
      </c>
    </row>
    <row r="45">
      <c r="A45" s="114" t="n">
        <v>46260</v>
      </c>
      <c r="B45" s="42" t="inlineStr">
        <is>
          <t>Wk 35</t>
        </is>
      </c>
      <c r="C45" s="42" t="inlineStr">
        <is>
          <t>Wed</t>
        </is>
      </c>
      <c r="D45" s="42" t="inlineStr">
        <is>
          <t>Meta (FB/IG)</t>
        </is>
      </c>
      <c r="E45" s="42" t="inlineStr">
        <is>
          <t>Facebook + Instagram</t>
        </is>
      </c>
      <c r="F45" s="42" t="inlineStr">
        <is>
          <t>LEP_ZA_AUG26_META_TD_AMUR_CONV</t>
        </is>
      </c>
      <c r="G45" s="42" t="inlineStr">
        <is>
          <t>Leads - Website Conversions</t>
        </is>
      </c>
      <c r="H45" s="42" t="inlineStr">
        <is>
          <t>AMUR</t>
        </is>
      </c>
      <c r="I45" s="42" t="inlineStr">
        <is>
          <t>0% Deposit</t>
        </is>
      </c>
      <c r="J45" s="42" t="inlineStr">
        <is>
          <t>MET_AMUR_BROAD_25-54_ZA</t>
        </is>
      </c>
      <c r="K45" s="42" t="inlineStr">
        <is>
          <t>Prospecting</t>
        </is>
      </c>
      <c r="L45" s="42" t="inlineStr">
        <is>
          <t>AMUR_CAR_4card_SpecStack_v1</t>
        </is>
      </c>
      <c r="M45" s="42" t="inlineStr">
        <is>
          <t>Carousel</t>
        </is>
      </c>
      <c r="N45" s="42" t="inlineStr">
        <is>
          <t>4 reasons the AMUR outsells its class</t>
        </is>
      </c>
      <c r="O45" s="42" t="inlineStr">
        <is>
          <t>Auction - Lowest Cost</t>
        </is>
      </c>
      <c r="P45" s="42" t="inlineStr">
        <is>
          <t>Offsite Conversions</t>
        </is>
      </c>
      <c r="Q45" s="42" t="inlineStr">
        <is>
          <t>https://www.lepas-sa.co.za/offers/amur</t>
        </is>
      </c>
      <c r="R45" s="115" t="n">
        <v>228.57</v>
      </c>
      <c r="S45" s="116" t="n">
        <v>3775</v>
      </c>
      <c r="T45" s="116" t="n">
        <v>2169</v>
      </c>
      <c r="U45" s="117">
        <f>IFERROR(S45/T45,"")</f>
        <v/>
      </c>
      <c r="V45" s="116" t="n">
        <v>52</v>
      </c>
      <c r="W45" s="116" t="n">
        <v>40</v>
      </c>
      <c r="X45" s="118">
        <f>IFERROR(W45/S45,"")</f>
        <v/>
      </c>
      <c r="Y45" s="115">
        <f>IFERROR(R45/W45,"")</f>
        <v/>
      </c>
      <c r="Z45" s="115">
        <f>IFERROR(R45/S45*1000,"")</f>
        <v/>
      </c>
      <c r="AA45" s="116" t="n">
        <v>36</v>
      </c>
      <c r="AB45" s="47">
        <f>IFERROR(AA45/W45,"")</f>
        <v/>
      </c>
      <c r="AC45" s="116" t="n">
        <v>0</v>
      </c>
      <c r="AD45" s="116" t="n">
        <v>0</v>
      </c>
      <c r="AE45" s="116" t="n">
        <v>0</v>
      </c>
      <c r="AF45" s="116" t="n">
        <v>0</v>
      </c>
      <c r="AG45" s="116" t="n">
        <v>0</v>
      </c>
      <c r="AH45" s="116" t="n">
        <v>0</v>
      </c>
      <c r="AI45" s="47">
        <f>IFERROR(AC45/S45,"")</f>
        <v/>
      </c>
      <c r="AJ45" s="47">
        <f>IFERROR(AH45/S45,"")</f>
        <v/>
      </c>
      <c r="AK45" s="116" t="n">
        <v>114</v>
      </c>
      <c r="AL45" s="116" t="n">
        <v>1</v>
      </c>
      <c r="AM45" s="118">
        <f>IFERROR(AL45/AA45,"")</f>
        <v/>
      </c>
      <c r="AN45" s="119">
        <f>IFERROR(R45/AL45,"")</f>
        <v/>
      </c>
      <c r="AO45" s="116" t="n">
        <v>1</v>
      </c>
      <c r="AP45" s="47">
        <f>IFERROR(AO45/AL45,"")</f>
        <v/>
      </c>
      <c r="AQ45" s="119">
        <f>IFERROR(R45/AO45,"")</f>
        <v/>
      </c>
      <c r="AR45" s="116" t="n">
        <v>0</v>
      </c>
      <c r="AS45" s="116" t="n">
        <v>0</v>
      </c>
      <c r="AT45" s="116">
        <f>AL45+AR45</f>
        <v/>
      </c>
      <c r="AU45" s="119">
        <f>IFERROR(AO45*Assumptions!$C$26*Assumptions!$C$27*INDEX(Assumptions!$C$18:$C$21,MATCH(H45,Assumptions!$B$18:$B$21,0)),0)</f>
        <v/>
      </c>
    </row>
    <row r="46">
      <c r="A46" s="114" t="n">
        <v>46261</v>
      </c>
      <c r="B46" s="42" t="inlineStr">
        <is>
          <t>Wk 35</t>
        </is>
      </c>
      <c r="C46" s="42" t="inlineStr">
        <is>
          <t>Thu</t>
        </is>
      </c>
      <c r="D46" s="42" t="inlineStr">
        <is>
          <t>Meta (FB/IG)</t>
        </is>
      </c>
      <c r="E46" s="42" t="inlineStr">
        <is>
          <t>Facebook + Instagram</t>
        </is>
      </c>
      <c r="F46" s="42" t="inlineStr">
        <is>
          <t>LEP_ZA_AUG26_META_TD_AMUR_CONV</t>
        </is>
      </c>
      <c r="G46" s="42" t="inlineStr">
        <is>
          <t>Leads - Website Conversions</t>
        </is>
      </c>
      <c r="H46" s="42" t="inlineStr">
        <is>
          <t>AMUR</t>
        </is>
      </c>
      <c r="I46" s="42" t="inlineStr">
        <is>
          <t>0% Deposit</t>
        </is>
      </c>
      <c r="J46" s="42" t="inlineStr">
        <is>
          <t>MET_AMUR_BROAD_25-54_ZA</t>
        </is>
      </c>
      <c r="K46" s="42" t="inlineStr">
        <is>
          <t>Prospecting</t>
        </is>
      </c>
      <c r="L46" s="42" t="inlineStr">
        <is>
          <t>AMUR_CAR_4card_SpecStack_v1</t>
        </is>
      </c>
      <c r="M46" s="42" t="inlineStr">
        <is>
          <t>Carousel</t>
        </is>
      </c>
      <c r="N46" s="42" t="inlineStr">
        <is>
          <t>4 reasons the AMUR outsells its class</t>
        </is>
      </c>
      <c r="O46" s="42" t="inlineStr">
        <is>
          <t>Auction - Lowest Cost</t>
        </is>
      </c>
      <c r="P46" s="42" t="inlineStr">
        <is>
          <t>Offsite Conversions</t>
        </is>
      </c>
      <c r="Q46" s="42" t="inlineStr">
        <is>
          <t>https://www.lepas-sa.co.za/offers/amur</t>
        </is>
      </c>
      <c r="R46" s="115" t="n">
        <v>265.75</v>
      </c>
      <c r="S46" s="116" t="n">
        <v>4710</v>
      </c>
      <c r="T46" s="116" t="n">
        <v>2656</v>
      </c>
      <c r="U46" s="117">
        <f>IFERROR(S46/T46,"")</f>
        <v/>
      </c>
      <c r="V46" s="116" t="n">
        <v>71</v>
      </c>
      <c r="W46" s="116" t="n">
        <v>51</v>
      </c>
      <c r="X46" s="118">
        <f>IFERROR(W46/S46,"")</f>
        <v/>
      </c>
      <c r="Y46" s="115">
        <f>IFERROR(R46/W46,"")</f>
        <v/>
      </c>
      <c r="Z46" s="115">
        <f>IFERROR(R46/S46*1000,"")</f>
        <v/>
      </c>
      <c r="AA46" s="116" t="n">
        <v>45</v>
      </c>
      <c r="AB46" s="47">
        <f>IFERROR(AA46/W46,"")</f>
        <v/>
      </c>
      <c r="AC46" s="116" t="n">
        <v>0</v>
      </c>
      <c r="AD46" s="116" t="n">
        <v>0</v>
      </c>
      <c r="AE46" s="116" t="n">
        <v>0</v>
      </c>
      <c r="AF46" s="116" t="n">
        <v>0</v>
      </c>
      <c r="AG46" s="116" t="n">
        <v>0</v>
      </c>
      <c r="AH46" s="116" t="n">
        <v>0</v>
      </c>
      <c r="AI46" s="47">
        <f>IFERROR(AC46/S46,"")</f>
        <v/>
      </c>
      <c r="AJ46" s="47">
        <f>IFERROR(AH46/S46,"")</f>
        <v/>
      </c>
      <c r="AK46" s="116" t="n">
        <v>51</v>
      </c>
      <c r="AL46" s="116" t="n">
        <v>0</v>
      </c>
      <c r="AM46" s="118">
        <f>IFERROR(AL46/AA46,"")</f>
        <v/>
      </c>
      <c r="AN46" s="119">
        <f>IFERROR(R46/AL46,"")</f>
        <v/>
      </c>
      <c r="AO46" s="116" t="n">
        <v>0</v>
      </c>
      <c r="AP46" s="47">
        <f>IFERROR(AO46/AL46,"")</f>
        <v/>
      </c>
      <c r="AQ46" s="119">
        <f>IFERROR(R46/AO46,"")</f>
        <v/>
      </c>
      <c r="AR46" s="116" t="n">
        <v>0</v>
      </c>
      <c r="AS46" s="116" t="n">
        <v>0</v>
      </c>
      <c r="AT46" s="116">
        <f>AL46+AR46</f>
        <v/>
      </c>
      <c r="AU46" s="119">
        <f>IFERROR(AO46*Assumptions!$C$26*Assumptions!$C$27*INDEX(Assumptions!$C$18:$C$21,MATCH(H46,Assumptions!$B$18:$B$21,0)),0)</f>
        <v/>
      </c>
    </row>
    <row r="47">
      <c r="A47" s="114" t="n">
        <v>46262</v>
      </c>
      <c r="B47" s="42" t="inlineStr">
        <is>
          <t>Wk 35</t>
        </is>
      </c>
      <c r="C47" s="42" t="inlineStr">
        <is>
          <t>Fri</t>
        </is>
      </c>
      <c r="D47" s="42" t="inlineStr">
        <is>
          <t>Meta (FB/IG)</t>
        </is>
      </c>
      <c r="E47" s="42" t="inlineStr">
        <is>
          <t>Facebook + Instagram</t>
        </is>
      </c>
      <c r="F47" s="42" t="inlineStr">
        <is>
          <t>LEP_ZA_AUG26_META_TD_AMUR_CONV</t>
        </is>
      </c>
      <c r="G47" s="42" t="inlineStr">
        <is>
          <t>Leads - Website Conversions</t>
        </is>
      </c>
      <c r="H47" s="42" t="inlineStr">
        <is>
          <t>AMUR</t>
        </is>
      </c>
      <c r="I47" s="42" t="inlineStr">
        <is>
          <t>0% Deposit</t>
        </is>
      </c>
      <c r="J47" s="42" t="inlineStr">
        <is>
          <t>MET_AMUR_BROAD_25-54_ZA</t>
        </is>
      </c>
      <c r="K47" s="42" t="inlineStr">
        <is>
          <t>Prospecting</t>
        </is>
      </c>
      <c r="L47" s="42" t="inlineStr">
        <is>
          <t>AMUR_CAR_4card_SpecStack_v1</t>
        </is>
      </c>
      <c r="M47" s="42" t="inlineStr">
        <is>
          <t>Carousel</t>
        </is>
      </c>
      <c r="N47" s="42" t="inlineStr">
        <is>
          <t>4 reasons the AMUR outsells its class</t>
        </is>
      </c>
      <c r="O47" s="42" t="inlineStr">
        <is>
          <t>Auction - Lowest Cost</t>
        </is>
      </c>
      <c r="P47" s="42" t="inlineStr">
        <is>
          <t>Offsite Conversions</t>
        </is>
      </c>
      <c r="Q47" s="42" t="inlineStr">
        <is>
          <t>https://www.lepas-sa.co.za/offers/amur</t>
        </is>
      </c>
      <c r="R47" s="115" t="n">
        <v>351.24</v>
      </c>
      <c r="S47" s="116" t="n">
        <v>5197</v>
      </c>
      <c r="T47" s="116" t="n">
        <v>2825</v>
      </c>
      <c r="U47" s="117">
        <f>IFERROR(S47/T47,"")</f>
        <v/>
      </c>
      <c r="V47" s="116" t="n">
        <v>34</v>
      </c>
      <c r="W47" s="116" t="n">
        <v>28</v>
      </c>
      <c r="X47" s="118">
        <f>IFERROR(W47/S47,"")</f>
        <v/>
      </c>
      <c r="Y47" s="115">
        <f>IFERROR(R47/W47,"")</f>
        <v/>
      </c>
      <c r="Z47" s="115">
        <f>IFERROR(R47/S47*1000,"")</f>
        <v/>
      </c>
      <c r="AA47" s="116" t="n">
        <v>23</v>
      </c>
      <c r="AB47" s="47">
        <f>IFERROR(AA47/W47,"")</f>
        <v/>
      </c>
      <c r="AC47" s="116" t="n">
        <v>0</v>
      </c>
      <c r="AD47" s="116" t="n">
        <v>0</v>
      </c>
      <c r="AE47" s="116" t="n">
        <v>0</v>
      </c>
      <c r="AF47" s="116" t="n">
        <v>0</v>
      </c>
      <c r="AG47" s="116" t="n">
        <v>0</v>
      </c>
      <c r="AH47" s="116" t="n">
        <v>0</v>
      </c>
      <c r="AI47" s="47">
        <f>IFERROR(AC47/S47,"")</f>
        <v/>
      </c>
      <c r="AJ47" s="47">
        <f>IFERROR(AH47/S47,"")</f>
        <v/>
      </c>
      <c r="AK47" s="116" t="n">
        <v>53</v>
      </c>
      <c r="AL47" s="116" t="n">
        <v>1</v>
      </c>
      <c r="AM47" s="118">
        <f>IFERROR(AL47/AA47,"")</f>
        <v/>
      </c>
      <c r="AN47" s="119">
        <f>IFERROR(R47/AL47,"")</f>
        <v/>
      </c>
      <c r="AO47" s="116" t="n">
        <v>1</v>
      </c>
      <c r="AP47" s="47">
        <f>IFERROR(AO47/AL47,"")</f>
        <v/>
      </c>
      <c r="AQ47" s="119">
        <f>IFERROR(R47/AO47,"")</f>
        <v/>
      </c>
      <c r="AR47" s="116" t="n">
        <v>1</v>
      </c>
      <c r="AS47" s="116" t="n">
        <v>0</v>
      </c>
      <c r="AT47" s="116">
        <f>AL47+AR47</f>
        <v/>
      </c>
      <c r="AU47" s="119">
        <f>IFERROR(AO47*Assumptions!$C$26*Assumptions!$C$27*INDEX(Assumptions!$C$18:$C$21,MATCH(H47,Assumptions!$B$18:$B$21,0)),0)</f>
        <v/>
      </c>
    </row>
    <row r="48">
      <c r="A48" s="114" t="n">
        <v>46263</v>
      </c>
      <c r="B48" s="42" t="inlineStr">
        <is>
          <t>Wk 35</t>
        </is>
      </c>
      <c r="C48" s="42" t="inlineStr">
        <is>
          <t>Sat</t>
        </is>
      </c>
      <c r="D48" s="42" t="inlineStr">
        <is>
          <t>Meta (FB/IG)</t>
        </is>
      </c>
      <c r="E48" s="42" t="inlineStr">
        <is>
          <t>Facebook + Instagram</t>
        </is>
      </c>
      <c r="F48" s="42" t="inlineStr">
        <is>
          <t>LEP_ZA_AUG26_META_TD_AMUR_CONV</t>
        </is>
      </c>
      <c r="G48" s="42" t="inlineStr">
        <is>
          <t>Leads - Website Conversions</t>
        </is>
      </c>
      <c r="H48" s="42" t="inlineStr">
        <is>
          <t>AMUR</t>
        </is>
      </c>
      <c r="I48" s="42" t="inlineStr">
        <is>
          <t>0% Deposit</t>
        </is>
      </c>
      <c r="J48" s="42" t="inlineStr">
        <is>
          <t>MET_AMUR_BROAD_25-54_ZA</t>
        </is>
      </c>
      <c r="K48" s="42" t="inlineStr">
        <is>
          <t>Prospecting</t>
        </is>
      </c>
      <c r="L48" s="42" t="inlineStr">
        <is>
          <t>AMUR_CAR_4card_SpecStack_v1</t>
        </is>
      </c>
      <c r="M48" s="42" t="inlineStr">
        <is>
          <t>Carousel</t>
        </is>
      </c>
      <c r="N48" s="42" t="inlineStr">
        <is>
          <t>4 reasons the AMUR outsells its class</t>
        </is>
      </c>
      <c r="O48" s="42" t="inlineStr">
        <is>
          <t>Auction - Lowest Cost</t>
        </is>
      </c>
      <c r="P48" s="42" t="inlineStr">
        <is>
          <t>Offsite Conversions</t>
        </is>
      </c>
      <c r="Q48" s="42" t="inlineStr">
        <is>
          <t>https://www.lepas-sa.co.za/offers/amur</t>
        </is>
      </c>
      <c r="R48" s="115" t="n">
        <v>278.97</v>
      </c>
      <c r="S48" s="116" t="n">
        <v>3109</v>
      </c>
      <c r="T48" s="116" t="n">
        <v>1624</v>
      </c>
      <c r="U48" s="117">
        <f>IFERROR(S48/T48,"")</f>
        <v/>
      </c>
      <c r="V48" s="116" t="n">
        <v>37</v>
      </c>
      <c r="W48" s="116" t="n">
        <v>27</v>
      </c>
      <c r="X48" s="118">
        <f>IFERROR(W48/S48,"")</f>
        <v/>
      </c>
      <c r="Y48" s="115">
        <f>IFERROR(R48/W48,"")</f>
        <v/>
      </c>
      <c r="Z48" s="115">
        <f>IFERROR(R48/S48*1000,"")</f>
        <v/>
      </c>
      <c r="AA48" s="116" t="n">
        <v>24</v>
      </c>
      <c r="AB48" s="47">
        <f>IFERROR(AA48/W48,"")</f>
        <v/>
      </c>
      <c r="AC48" s="116" t="n">
        <v>0</v>
      </c>
      <c r="AD48" s="116" t="n">
        <v>0</v>
      </c>
      <c r="AE48" s="116" t="n">
        <v>0</v>
      </c>
      <c r="AF48" s="116" t="n">
        <v>0</v>
      </c>
      <c r="AG48" s="116" t="n">
        <v>0</v>
      </c>
      <c r="AH48" s="116" t="n">
        <v>0</v>
      </c>
      <c r="AI48" s="47">
        <f>IFERROR(AC48/S48,"")</f>
        <v/>
      </c>
      <c r="AJ48" s="47">
        <f>IFERROR(AH48/S48,"")</f>
        <v/>
      </c>
      <c r="AK48" s="116" t="n">
        <v>41</v>
      </c>
      <c r="AL48" s="116" t="n">
        <v>0</v>
      </c>
      <c r="AM48" s="118">
        <f>IFERROR(AL48/AA48,"")</f>
        <v/>
      </c>
      <c r="AN48" s="119">
        <f>IFERROR(R48/AL48,"")</f>
        <v/>
      </c>
      <c r="AO48" s="116" t="n">
        <v>0</v>
      </c>
      <c r="AP48" s="47">
        <f>IFERROR(AO48/AL48,"")</f>
        <v/>
      </c>
      <c r="AQ48" s="119">
        <f>IFERROR(R48/AO48,"")</f>
        <v/>
      </c>
      <c r="AR48" s="116" t="n">
        <v>0</v>
      </c>
      <c r="AS48" s="116" t="n">
        <v>0</v>
      </c>
      <c r="AT48" s="116">
        <f>AL48+AR48</f>
        <v/>
      </c>
      <c r="AU48" s="119">
        <f>IFERROR(AO48*Assumptions!$C$26*Assumptions!$C$27*INDEX(Assumptions!$C$18:$C$21,MATCH(H48,Assumptions!$B$18:$B$21,0)),0)</f>
        <v/>
      </c>
    </row>
    <row r="49">
      <c r="A49" s="114" t="n">
        <v>46264</v>
      </c>
      <c r="B49" s="42" t="inlineStr">
        <is>
          <t>Wk 35</t>
        </is>
      </c>
      <c r="C49" s="42" t="inlineStr">
        <is>
          <t>Sun</t>
        </is>
      </c>
      <c r="D49" s="42" t="inlineStr">
        <is>
          <t>Meta (FB/IG)</t>
        </is>
      </c>
      <c r="E49" s="42" t="inlineStr">
        <is>
          <t>Facebook + Instagram</t>
        </is>
      </c>
      <c r="F49" s="42" t="inlineStr">
        <is>
          <t>LEP_ZA_AUG26_META_TD_AMUR_CONV</t>
        </is>
      </c>
      <c r="G49" s="42" t="inlineStr">
        <is>
          <t>Leads - Website Conversions</t>
        </is>
      </c>
      <c r="H49" s="42" t="inlineStr">
        <is>
          <t>AMUR</t>
        </is>
      </c>
      <c r="I49" s="42" t="inlineStr">
        <is>
          <t>0% Deposit</t>
        </is>
      </c>
      <c r="J49" s="42" t="inlineStr">
        <is>
          <t>MET_AMUR_BROAD_25-54_ZA</t>
        </is>
      </c>
      <c r="K49" s="42" t="inlineStr">
        <is>
          <t>Prospecting</t>
        </is>
      </c>
      <c r="L49" s="42" t="inlineStr">
        <is>
          <t>AMUR_CAR_4card_SpecStack_v1</t>
        </is>
      </c>
      <c r="M49" s="42" t="inlineStr">
        <is>
          <t>Carousel</t>
        </is>
      </c>
      <c r="N49" s="42" t="inlineStr">
        <is>
          <t>4 reasons the AMUR outsells its class</t>
        </is>
      </c>
      <c r="O49" s="42" t="inlineStr">
        <is>
          <t>Auction - Lowest Cost</t>
        </is>
      </c>
      <c r="P49" s="42" t="inlineStr">
        <is>
          <t>Offsite Conversions</t>
        </is>
      </c>
      <c r="Q49" s="42" t="inlineStr">
        <is>
          <t>https://www.lepas-sa.co.za/offers/amur</t>
        </is>
      </c>
      <c r="R49" s="115" t="n">
        <v>260.87</v>
      </c>
      <c r="S49" s="116" t="n">
        <v>3146</v>
      </c>
      <c r="T49" s="116" t="n">
        <v>1495</v>
      </c>
      <c r="U49" s="117">
        <f>IFERROR(S49/T49,"")</f>
        <v/>
      </c>
      <c r="V49" s="116" t="n">
        <v>53</v>
      </c>
      <c r="W49" s="116" t="n">
        <v>38</v>
      </c>
      <c r="X49" s="118">
        <f>IFERROR(W49/S49,"")</f>
        <v/>
      </c>
      <c r="Y49" s="115">
        <f>IFERROR(R49/W49,"")</f>
        <v/>
      </c>
      <c r="Z49" s="115">
        <f>IFERROR(R49/S49*1000,"")</f>
        <v/>
      </c>
      <c r="AA49" s="116" t="n">
        <v>34</v>
      </c>
      <c r="AB49" s="47">
        <f>IFERROR(AA49/W49,"")</f>
        <v/>
      </c>
      <c r="AC49" s="116" t="n">
        <v>0</v>
      </c>
      <c r="AD49" s="116" t="n">
        <v>0</v>
      </c>
      <c r="AE49" s="116" t="n">
        <v>0</v>
      </c>
      <c r="AF49" s="116" t="n">
        <v>0</v>
      </c>
      <c r="AG49" s="116" t="n">
        <v>0</v>
      </c>
      <c r="AH49" s="116" t="n">
        <v>0</v>
      </c>
      <c r="AI49" s="47">
        <f>IFERROR(AC49/S49,"")</f>
        <v/>
      </c>
      <c r="AJ49" s="47">
        <f>IFERROR(AH49/S49,"")</f>
        <v/>
      </c>
      <c r="AK49" s="116" t="n">
        <v>44</v>
      </c>
      <c r="AL49" s="116" t="n">
        <v>1</v>
      </c>
      <c r="AM49" s="118">
        <f>IFERROR(AL49/AA49,"")</f>
        <v/>
      </c>
      <c r="AN49" s="119">
        <f>IFERROR(R49/AL49,"")</f>
        <v/>
      </c>
      <c r="AO49" s="116" t="n">
        <v>0</v>
      </c>
      <c r="AP49" s="47">
        <f>IFERROR(AO49/AL49,"")</f>
        <v/>
      </c>
      <c r="AQ49" s="119">
        <f>IFERROR(R49/AO49,"")</f>
        <v/>
      </c>
      <c r="AR49" s="116" t="n">
        <v>0</v>
      </c>
      <c r="AS49" s="116" t="n">
        <v>0</v>
      </c>
      <c r="AT49" s="116">
        <f>AL49+AR49</f>
        <v/>
      </c>
      <c r="AU49" s="119">
        <f>IFERROR(AO49*Assumptions!$C$26*Assumptions!$C$27*INDEX(Assumptions!$C$18:$C$21,MATCH(H49,Assumptions!$B$18:$B$21,0)),0)</f>
        <v/>
      </c>
    </row>
    <row r="50">
      <c r="A50" s="114" t="n">
        <v>46265</v>
      </c>
      <c r="B50" s="42" t="inlineStr">
        <is>
          <t>Wk 36</t>
        </is>
      </c>
      <c r="C50" s="42" t="inlineStr">
        <is>
          <t>Mon</t>
        </is>
      </c>
      <c r="D50" s="42" t="inlineStr">
        <is>
          <t>Meta (FB/IG)</t>
        </is>
      </c>
      <c r="E50" s="42" t="inlineStr">
        <is>
          <t>Facebook + Instagram</t>
        </is>
      </c>
      <c r="F50" s="42" t="inlineStr">
        <is>
          <t>LEP_ZA_AUG26_META_TD_AMUR_CONV</t>
        </is>
      </c>
      <c r="G50" s="42" t="inlineStr">
        <is>
          <t>Leads - Website Conversions</t>
        </is>
      </c>
      <c r="H50" s="42" t="inlineStr">
        <is>
          <t>AMUR</t>
        </is>
      </c>
      <c r="I50" s="42" t="inlineStr">
        <is>
          <t>0% Deposit</t>
        </is>
      </c>
      <c r="J50" s="42" t="inlineStr">
        <is>
          <t>MET_AMUR_BROAD_25-54_ZA</t>
        </is>
      </c>
      <c r="K50" s="42" t="inlineStr">
        <is>
          <t>Prospecting</t>
        </is>
      </c>
      <c r="L50" s="42" t="inlineStr">
        <is>
          <t>AMUR_CAR_4card_SpecStack_v1</t>
        </is>
      </c>
      <c r="M50" s="42" t="inlineStr">
        <is>
          <t>Carousel</t>
        </is>
      </c>
      <c r="N50" s="42" t="inlineStr">
        <is>
          <t>4 reasons the AMUR outsells its class</t>
        </is>
      </c>
      <c r="O50" s="42" t="inlineStr">
        <is>
          <t>Auction - Lowest Cost</t>
        </is>
      </c>
      <c r="P50" s="42" t="inlineStr">
        <is>
          <t>Offsite Conversions</t>
        </is>
      </c>
      <c r="Q50" s="42" t="inlineStr">
        <is>
          <t>https://www.lepas-sa.co.za/offers/amur</t>
        </is>
      </c>
      <c r="R50" s="115" t="n">
        <v>287.49</v>
      </c>
      <c r="S50" s="116" t="n">
        <v>3331</v>
      </c>
      <c r="T50" s="116" t="n">
        <v>1586</v>
      </c>
      <c r="U50" s="117">
        <f>IFERROR(S50/T50,"")</f>
        <v/>
      </c>
      <c r="V50" s="116" t="n">
        <v>55</v>
      </c>
      <c r="W50" s="116" t="n">
        <v>43</v>
      </c>
      <c r="X50" s="118">
        <f>IFERROR(W50/S50,"")</f>
        <v/>
      </c>
      <c r="Y50" s="115">
        <f>IFERROR(R50/W50,"")</f>
        <v/>
      </c>
      <c r="Z50" s="115">
        <f>IFERROR(R50/S50*1000,"")</f>
        <v/>
      </c>
      <c r="AA50" s="116" t="n">
        <v>38</v>
      </c>
      <c r="AB50" s="47">
        <f>IFERROR(AA50/W50,"")</f>
        <v/>
      </c>
      <c r="AC50" s="116" t="n">
        <v>0</v>
      </c>
      <c r="AD50" s="116" t="n">
        <v>0</v>
      </c>
      <c r="AE50" s="116" t="n">
        <v>0</v>
      </c>
      <c r="AF50" s="116" t="n">
        <v>0</v>
      </c>
      <c r="AG50" s="116" t="n">
        <v>0</v>
      </c>
      <c r="AH50" s="116" t="n">
        <v>0</v>
      </c>
      <c r="AI50" s="47">
        <f>IFERROR(AC50/S50,"")</f>
        <v/>
      </c>
      <c r="AJ50" s="47">
        <f>IFERROR(AH50/S50,"")</f>
        <v/>
      </c>
      <c r="AK50" s="116" t="n">
        <v>75</v>
      </c>
      <c r="AL50" s="116" t="n">
        <v>1</v>
      </c>
      <c r="AM50" s="118">
        <f>IFERROR(AL50/AA50,"")</f>
        <v/>
      </c>
      <c r="AN50" s="119">
        <f>IFERROR(R50/AL50,"")</f>
        <v/>
      </c>
      <c r="AO50" s="116" t="n">
        <v>0</v>
      </c>
      <c r="AP50" s="47">
        <f>IFERROR(AO50/AL50,"")</f>
        <v/>
      </c>
      <c r="AQ50" s="119">
        <f>IFERROR(R50/AO50,"")</f>
        <v/>
      </c>
      <c r="AR50" s="116" t="n">
        <v>0</v>
      </c>
      <c r="AS50" s="116" t="n">
        <v>0</v>
      </c>
      <c r="AT50" s="116">
        <f>AL50+AR50</f>
        <v/>
      </c>
      <c r="AU50" s="119">
        <f>IFERROR(AO50*Assumptions!$C$26*Assumptions!$C$27*INDEX(Assumptions!$C$18:$C$21,MATCH(H50,Assumptions!$B$18:$B$21,0)),0)</f>
        <v/>
      </c>
    </row>
    <row r="51">
      <c r="A51" s="114" t="n">
        <v>46235</v>
      </c>
      <c r="B51" s="42" t="inlineStr">
        <is>
          <t>Wk 31</t>
        </is>
      </c>
      <c r="C51" s="42" t="inlineStr">
        <is>
          <t>Sat</t>
        </is>
      </c>
      <c r="D51" s="42" t="inlineStr">
        <is>
          <t>Meta (FB/IG)</t>
        </is>
      </c>
      <c r="E51" s="42" t="inlineStr">
        <is>
          <t>Facebook + Instagram</t>
        </is>
      </c>
      <c r="F51" s="42" t="inlineStr">
        <is>
          <t>LEP_ZA_AUG26_META_TD_AMUR_CONV</t>
        </is>
      </c>
      <c r="G51" s="42" t="inlineStr">
        <is>
          <t>Leads - Website Conversions</t>
        </is>
      </c>
      <c r="H51" s="42" t="inlineStr">
        <is>
          <t>AMUR</t>
        </is>
      </c>
      <c r="I51" s="42" t="inlineStr">
        <is>
          <t>0% Deposit</t>
        </is>
      </c>
      <c r="J51" s="42" t="inlineStr">
        <is>
          <t>MET_AMUR_BROAD_25-54_ZA</t>
        </is>
      </c>
      <c r="K51" s="42" t="inlineStr">
        <is>
          <t>Prospecting</t>
        </is>
      </c>
      <c r="L51" s="42" t="inlineStr">
        <is>
          <t>AMUR_STA_Offer_0Dep_v1</t>
        </is>
      </c>
      <c r="M51" s="42" t="inlineStr">
        <is>
          <t>Static 1:1</t>
        </is>
      </c>
      <c r="N51" s="42" t="inlineStr">
        <is>
          <t>0% deposit. Book your test drive.</t>
        </is>
      </c>
      <c r="O51" s="42" t="inlineStr">
        <is>
          <t>Auction - Lowest Cost</t>
        </is>
      </c>
      <c r="P51" s="42" t="inlineStr">
        <is>
          <t>Offsite Conversions</t>
        </is>
      </c>
      <c r="Q51" s="42" t="inlineStr">
        <is>
          <t>https://www.lepas-sa.co.za/offers/amur</t>
        </is>
      </c>
      <c r="R51" s="115" t="n">
        <v>195.57</v>
      </c>
      <c r="S51" s="116" t="n">
        <v>3542</v>
      </c>
      <c r="T51" s="116" t="n">
        <v>3168</v>
      </c>
      <c r="U51" s="117">
        <f>IFERROR(S51/T51,"")</f>
        <v/>
      </c>
      <c r="V51" s="116" t="n">
        <v>52</v>
      </c>
      <c r="W51" s="116" t="n">
        <v>41</v>
      </c>
      <c r="X51" s="118">
        <f>IFERROR(W51/S51,"")</f>
        <v/>
      </c>
      <c r="Y51" s="115">
        <f>IFERROR(R51/W51,"")</f>
        <v/>
      </c>
      <c r="Z51" s="115">
        <f>IFERROR(R51/S51*1000,"")</f>
        <v/>
      </c>
      <c r="AA51" s="116" t="n">
        <v>35</v>
      </c>
      <c r="AB51" s="47">
        <f>IFERROR(AA51/W51,"")</f>
        <v/>
      </c>
      <c r="AC51" s="116" t="n">
        <v>0</v>
      </c>
      <c r="AD51" s="116" t="n">
        <v>0</v>
      </c>
      <c r="AE51" s="116" t="n">
        <v>0</v>
      </c>
      <c r="AF51" s="116" t="n">
        <v>0</v>
      </c>
      <c r="AG51" s="116" t="n">
        <v>0</v>
      </c>
      <c r="AH51" s="116" t="n">
        <v>0</v>
      </c>
      <c r="AI51" s="47">
        <f>IFERROR(AC51/S51,"")</f>
        <v/>
      </c>
      <c r="AJ51" s="47">
        <f>IFERROR(AH51/S51,"")</f>
        <v/>
      </c>
      <c r="AK51" s="116" t="n">
        <v>61</v>
      </c>
      <c r="AL51" s="116" t="n">
        <v>1</v>
      </c>
      <c r="AM51" s="118">
        <f>IFERROR(AL51/AA51,"")</f>
        <v/>
      </c>
      <c r="AN51" s="119">
        <f>IFERROR(R51/AL51,"")</f>
        <v/>
      </c>
      <c r="AO51" s="116" t="n">
        <v>0</v>
      </c>
      <c r="AP51" s="47">
        <f>IFERROR(AO51/AL51,"")</f>
        <v/>
      </c>
      <c r="AQ51" s="119">
        <f>IFERROR(R51/AO51,"")</f>
        <v/>
      </c>
      <c r="AR51" s="116" t="n">
        <v>0</v>
      </c>
      <c r="AS51" s="116" t="n">
        <v>1</v>
      </c>
      <c r="AT51" s="116">
        <f>AL51+AR51</f>
        <v/>
      </c>
      <c r="AU51" s="119">
        <f>IFERROR(AO51*Assumptions!$C$26*Assumptions!$C$27*INDEX(Assumptions!$C$18:$C$21,MATCH(H51,Assumptions!$B$18:$B$21,0)),0)</f>
        <v/>
      </c>
    </row>
    <row r="52">
      <c r="A52" s="114" t="n">
        <v>46236</v>
      </c>
      <c r="B52" s="42" t="inlineStr">
        <is>
          <t>Wk 31</t>
        </is>
      </c>
      <c r="C52" s="42" t="inlineStr">
        <is>
          <t>Sun</t>
        </is>
      </c>
      <c r="D52" s="42" t="inlineStr">
        <is>
          <t>Meta (FB/IG)</t>
        </is>
      </c>
      <c r="E52" s="42" t="inlineStr">
        <is>
          <t>Facebook + Instagram</t>
        </is>
      </c>
      <c r="F52" s="42" t="inlineStr">
        <is>
          <t>LEP_ZA_AUG26_META_TD_AMUR_CONV</t>
        </is>
      </c>
      <c r="G52" s="42" t="inlineStr">
        <is>
          <t>Leads - Website Conversions</t>
        </is>
      </c>
      <c r="H52" s="42" t="inlineStr">
        <is>
          <t>AMUR</t>
        </is>
      </c>
      <c r="I52" s="42" t="inlineStr">
        <is>
          <t>0% Deposit</t>
        </is>
      </c>
      <c r="J52" s="42" t="inlineStr">
        <is>
          <t>MET_AMUR_BROAD_25-54_ZA</t>
        </is>
      </c>
      <c r="K52" s="42" t="inlineStr">
        <is>
          <t>Prospecting</t>
        </is>
      </c>
      <c r="L52" s="42" t="inlineStr">
        <is>
          <t>AMUR_STA_Offer_0Dep_v1</t>
        </is>
      </c>
      <c r="M52" s="42" t="inlineStr">
        <is>
          <t>Static 1:1</t>
        </is>
      </c>
      <c r="N52" s="42" t="inlineStr">
        <is>
          <t>0% deposit. Book your test drive.</t>
        </is>
      </c>
      <c r="O52" s="42" t="inlineStr">
        <is>
          <t>Auction - Lowest Cost</t>
        </is>
      </c>
      <c r="P52" s="42" t="inlineStr">
        <is>
          <t>Offsite Conversions</t>
        </is>
      </c>
      <c r="Q52" s="42" t="inlineStr">
        <is>
          <t>https://www.lepas-sa.co.za/offers/amur</t>
        </is>
      </c>
      <c r="R52" s="115" t="n">
        <v>139.01</v>
      </c>
      <c r="S52" s="116" t="n">
        <v>1683</v>
      </c>
      <c r="T52" s="116" t="n">
        <v>1191</v>
      </c>
      <c r="U52" s="117">
        <f>IFERROR(S52/T52,"")</f>
        <v/>
      </c>
      <c r="V52" s="116" t="n">
        <v>43</v>
      </c>
      <c r="W52" s="116" t="n">
        <v>33</v>
      </c>
      <c r="X52" s="118">
        <f>IFERROR(W52/S52,"")</f>
        <v/>
      </c>
      <c r="Y52" s="115">
        <f>IFERROR(R52/W52,"")</f>
        <v/>
      </c>
      <c r="Z52" s="115">
        <f>IFERROR(R52/S52*1000,"")</f>
        <v/>
      </c>
      <c r="AA52" s="116" t="n">
        <v>27</v>
      </c>
      <c r="AB52" s="47">
        <f>IFERROR(AA52/W52,"")</f>
        <v/>
      </c>
      <c r="AC52" s="116" t="n">
        <v>0</v>
      </c>
      <c r="AD52" s="116" t="n">
        <v>0</v>
      </c>
      <c r="AE52" s="116" t="n">
        <v>0</v>
      </c>
      <c r="AF52" s="116" t="n">
        <v>0</v>
      </c>
      <c r="AG52" s="116" t="n">
        <v>0</v>
      </c>
      <c r="AH52" s="116" t="n">
        <v>0</v>
      </c>
      <c r="AI52" s="47">
        <f>IFERROR(AC52/S52,"")</f>
        <v/>
      </c>
      <c r="AJ52" s="47">
        <f>IFERROR(AH52/S52,"")</f>
        <v/>
      </c>
      <c r="AK52" s="116" t="n">
        <v>46</v>
      </c>
      <c r="AL52" s="116" t="n">
        <v>0</v>
      </c>
      <c r="AM52" s="118">
        <f>IFERROR(AL52/AA52,"")</f>
        <v/>
      </c>
      <c r="AN52" s="119">
        <f>IFERROR(R52/AL52,"")</f>
        <v/>
      </c>
      <c r="AO52" s="116" t="n">
        <v>0</v>
      </c>
      <c r="AP52" s="47">
        <f>IFERROR(AO52/AL52,"")</f>
        <v/>
      </c>
      <c r="AQ52" s="119">
        <f>IFERROR(R52/AO52,"")</f>
        <v/>
      </c>
      <c r="AR52" s="116" t="n">
        <v>0</v>
      </c>
      <c r="AS52" s="116" t="n">
        <v>0</v>
      </c>
      <c r="AT52" s="116">
        <f>AL52+AR52</f>
        <v/>
      </c>
      <c r="AU52" s="119">
        <f>IFERROR(AO52*Assumptions!$C$26*Assumptions!$C$27*INDEX(Assumptions!$C$18:$C$21,MATCH(H52,Assumptions!$B$18:$B$21,0)),0)</f>
        <v/>
      </c>
    </row>
    <row r="53">
      <c r="A53" s="114" t="n">
        <v>46237</v>
      </c>
      <c r="B53" s="42" t="inlineStr">
        <is>
          <t>Wk 32</t>
        </is>
      </c>
      <c r="C53" s="42" t="inlineStr">
        <is>
          <t>Mon</t>
        </is>
      </c>
      <c r="D53" s="42" t="inlineStr">
        <is>
          <t>Meta (FB/IG)</t>
        </is>
      </c>
      <c r="E53" s="42" t="inlineStr">
        <is>
          <t>Facebook + Instagram</t>
        </is>
      </c>
      <c r="F53" s="42" t="inlineStr">
        <is>
          <t>LEP_ZA_AUG26_META_TD_AMUR_CONV</t>
        </is>
      </c>
      <c r="G53" s="42" t="inlineStr">
        <is>
          <t>Leads - Website Conversions</t>
        </is>
      </c>
      <c r="H53" s="42" t="inlineStr">
        <is>
          <t>AMUR</t>
        </is>
      </c>
      <c r="I53" s="42" t="inlineStr">
        <is>
          <t>0% Deposit</t>
        </is>
      </c>
      <c r="J53" s="42" t="inlineStr">
        <is>
          <t>MET_AMUR_BROAD_25-54_ZA</t>
        </is>
      </c>
      <c r="K53" s="42" t="inlineStr">
        <is>
          <t>Prospecting</t>
        </is>
      </c>
      <c r="L53" s="42" t="inlineStr">
        <is>
          <t>AMUR_STA_Offer_0Dep_v1</t>
        </is>
      </c>
      <c r="M53" s="42" t="inlineStr">
        <is>
          <t>Static 1:1</t>
        </is>
      </c>
      <c r="N53" s="42" t="inlineStr">
        <is>
          <t>0% deposit. Book your test drive.</t>
        </is>
      </c>
      <c r="O53" s="42" t="inlineStr">
        <is>
          <t>Auction - Lowest Cost</t>
        </is>
      </c>
      <c r="P53" s="42" t="inlineStr">
        <is>
          <t>Offsite Conversions</t>
        </is>
      </c>
      <c r="Q53" s="42" t="inlineStr">
        <is>
          <t>https://www.lepas-sa.co.za/offers/amur</t>
        </is>
      </c>
      <c r="R53" s="115" t="n">
        <v>141.67</v>
      </c>
      <c r="S53" s="116" t="n">
        <v>1615</v>
      </c>
      <c r="T53" s="116" t="n">
        <v>1409</v>
      </c>
      <c r="U53" s="117">
        <f>IFERROR(S53/T53,"")</f>
        <v/>
      </c>
      <c r="V53" s="116" t="n">
        <v>26</v>
      </c>
      <c r="W53" s="116" t="n">
        <v>21</v>
      </c>
      <c r="X53" s="118">
        <f>IFERROR(W53/S53,"")</f>
        <v/>
      </c>
      <c r="Y53" s="115">
        <f>IFERROR(R53/W53,"")</f>
        <v/>
      </c>
      <c r="Z53" s="115">
        <f>IFERROR(R53/S53*1000,"")</f>
        <v/>
      </c>
      <c r="AA53" s="116" t="n">
        <v>18</v>
      </c>
      <c r="AB53" s="47">
        <f>IFERROR(AA53/W53,"")</f>
        <v/>
      </c>
      <c r="AC53" s="116" t="n">
        <v>0</v>
      </c>
      <c r="AD53" s="116" t="n">
        <v>0</v>
      </c>
      <c r="AE53" s="116" t="n">
        <v>0</v>
      </c>
      <c r="AF53" s="116" t="n">
        <v>0</v>
      </c>
      <c r="AG53" s="116" t="n">
        <v>0</v>
      </c>
      <c r="AH53" s="116" t="n">
        <v>0</v>
      </c>
      <c r="AI53" s="47">
        <f>IFERROR(AC53/S53,"")</f>
        <v/>
      </c>
      <c r="AJ53" s="47">
        <f>IFERROR(AH53/S53,"")</f>
        <v/>
      </c>
      <c r="AK53" s="116" t="n">
        <v>32</v>
      </c>
      <c r="AL53" s="116" t="n">
        <v>1</v>
      </c>
      <c r="AM53" s="118">
        <f>IFERROR(AL53/AA53,"")</f>
        <v/>
      </c>
      <c r="AN53" s="119">
        <f>IFERROR(R53/AL53,"")</f>
        <v/>
      </c>
      <c r="AO53" s="116" t="n">
        <v>1</v>
      </c>
      <c r="AP53" s="47">
        <f>IFERROR(AO53/AL53,"")</f>
        <v/>
      </c>
      <c r="AQ53" s="119">
        <f>IFERROR(R53/AO53,"")</f>
        <v/>
      </c>
      <c r="AR53" s="116" t="n">
        <v>0</v>
      </c>
      <c r="AS53" s="116" t="n">
        <v>1</v>
      </c>
      <c r="AT53" s="116">
        <f>AL53+AR53</f>
        <v/>
      </c>
      <c r="AU53" s="119">
        <f>IFERROR(AO53*Assumptions!$C$26*Assumptions!$C$27*INDEX(Assumptions!$C$18:$C$21,MATCH(H53,Assumptions!$B$18:$B$21,0)),0)</f>
        <v/>
      </c>
    </row>
    <row r="54">
      <c r="A54" s="114" t="n">
        <v>46238</v>
      </c>
      <c r="B54" s="42" t="inlineStr">
        <is>
          <t>Wk 32</t>
        </is>
      </c>
      <c r="C54" s="42" t="inlineStr">
        <is>
          <t>Tue</t>
        </is>
      </c>
      <c r="D54" s="42" t="inlineStr">
        <is>
          <t>Meta (FB/IG)</t>
        </is>
      </c>
      <c r="E54" s="42" t="inlineStr">
        <is>
          <t>Facebook + Instagram</t>
        </is>
      </c>
      <c r="F54" s="42" t="inlineStr">
        <is>
          <t>LEP_ZA_AUG26_META_TD_AMUR_CONV</t>
        </is>
      </c>
      <c r="G54" s="42" t="inlineStr">
        <is>
          <t>Leads - Website Conversions</t>
        </is>
      </c>
      <c r="H54" s="42" t="inlineStr">
        <is>
          <t>AMUR</t>
        </is>
      </c>
      <c r="I54" s="42" t="inlineStr">
        <is>
          <t>0% Deposit</t>
        </is>
      </c>
      <c r="J54" s="42" t="inlineStr">
        <is>
          <t>MET_AMUR_BROAD_25-54_ZA</t>
        </is>
      </c>
      <c r="K54" s="42" t="inlineStr">
        <is>
          <t>Prospecting</t>
        </is>
      </c>
      <c r="L54" s="42" t="inlineStr">
        <is>
          <t>AMUR_STA_Offer_0Dep_v1</t>
        </is>
      </c>
      <c r="M54" s="42" t="inlineStr">
        <is>
          <t>Static 1:1</t>
        </is>
      </c>
      <c r="N54" s="42" t="inlineStr">
        <is>
          <t>0% deposit. Book your test drive.</t>
        </is>
      </c>
      <c r="O54" s="42" t="inlineStr">
        <is>
          <t>Auction - Lowest Cost</t>
        </is>
      </c>
      <c r="P54" s="42" t="inlineStr">
        <is>
          <t>Offsite Conversions</t>
        </is>
      </c>
      <c r="Q54" s="42" t="inlineStr">
        <is>
          <t>https://www.lepas-sa.co.za/offers/amur</t>
        </is>
      </c>
      <c r="R54" s="115" t="n">
        <v>171.15</v>
      </c>
      <c r="S54" s="116" t="n">
        <v>2273</v>
      </c>
      <c r="T54" s="116" t="n">
        <v>1625</v>
      </c>
      <c r="U54" s="117">
        <f>IFERROR(S54/T54,"")</f>
        <v/>
      </c>
      <c r="V54" s="116" t="n">
        <v>36</v>
      </c>
      <c r="W54" s="116" t="n">
        <v>28</v>
      </c>
      <c r="X54" s="118">
        <f>IFERROR(W54/S54,"")</f>
        <v/>
      </c>
      <c r="Y54" s="115">
        <f>IFERROR(R54/W54,"")</f>
        <v/>
      </c>
      <c r="Z54" s="115">
        <f>IFERROR(R54/S54*1000,"")</f>
        <v/>
      </c>
      <c r="AA54" s="116" t="n">
        <v>23</v>
      </c>
      <c r="AB54" s="47">
        <f>IFERROR(AA54/W54,"")</f>
        <v/>
      </c>
      <c r="AC54" s="116" t="n">
        <v>0</v>
      </c>
      <c r="AD54" s="116" t="n">
        <v>0</v>
      </c>
      <c r="AE54" s="116" t="n">
        <v>0</v>
      </c>
      <c r="AF54" s="116" t="n">
        <v>0</v>
      </c>
      <c r="AG54" s="116" t="n">
        <v>0</v>
      </c>
      <c r="AH54" s="116" t="n">
        <v>0</v>
      </c>
      <c r="AI54" s="47">
        <f>IFERROR(AC54/S54,"")</f>
        <v/>
      </c>
      <c r="AJ54" s="47">
        <f>IFERROR(AH54/S54,"")</f>
        <v/>
      </c>
      <c r="AK54" s="116" t="n">
        <v>79</v>
      </c>
      <c r="AL54" s="116" t="n">
        <v>0</v>
      </c>
      <c r="AM54" s="118">
        <f>IFERROR(AL54/AA54,"")</f>
        <v/>
      </c>
      <c r="AN54" s="119">
        <f>IFERROR(R54/AL54,"")</f>
        <v/>
      </c>
      <c r="AO54" s="116" t="n">
        <v>0</v>
      </c>
      <c r="AP54" s="47">
        <f>IFERROR(AO54/AL54,"")</f>
        <v/>
      </c>
      <c r="AQ54" s="119">
        <f>IFERROR(R54/AO54,"")</f>
        <v/>
      </c>
      <c r="AR54" s="116" t="n">
        <v>0</v>
      </c>
      <c r="AS54" s="116" t="n">
        <v>0</v>
      </c>
      <c r="AT54" s="116">
        <f>AL54+AR54</f>
        <v/>
      </c>
      <c r="AU54" s="119">
        <f>IFERROR(AO54*Assumptions!$C$26*Assumptions!$C$27*INDEX(Assumptions!$C$18:$C$21,MATCH(H54,Assumptions!$B$18:$B$21,0)),0)</f>
        <v/>
      </c>
    </row>
    <row r="55">
      <c r="A55" s="114" t="n">
        <v>46239</v>
      </c>
      <c r="B55" s="42" t="inlineStr">
        <is>
          <t>Wk 32</t>
        </is>
      </c>
      <c r="C55" s="42" t="inlineStr">
        <is>
          <t>Wed</t>
        </is>
      </c>
      <c r="D55" s="42" t="inlineStr">
        <is>
          <t>Meta (FB/IG)</t>
        </is>
      </c>
      <c r="E55" s="42" t="inlineStr">
        <is>
          <t>Facebook + Instagram</t>
        </is>
      </c>
      <c r="F55" s="42" t="inlineStr">
        <is>
          <t>LEP_ZA_AUG26_META_TD_AMUR_CONV</t>
        </is>
      </c>
      <c r="G55" s="42" t="inlineStr">
        <is>
          <t>Leads - Website Conversions</t>
        </is>
      </c>
      <c r="H55" s="42" t="inlineStr">
        <is>
          <t>AMUR</t>
        </is>
      </c>
      <c r="I55" s="42" t="inlineStr">
        <is>
          <t>0% Deposit</t>
        </is>
      </c>
      <c r="J55" s="42" t="inlineStr">
        <is>
          <t>MET_AMUR_BROAD_25-54_ZA</t>
        </is>
      </c>
      <c r="K55" s="42" t="inlineStr">
        <is>
          <t>Prospecting</t>
        </is>
      </c>
      <c r="L55" s="42" t="inlineStr">
        <is>
          <t>AMUR_STA_Offer_0Dep_v1</t>
        </is>
      </c>
      <c r="M55" s="42" t="inlineStr">
        <is>
          <t>Static 1:1</t>
        </is>
      </c>
      <c r="N55" s="42" t="inlineStr">
        <is>
          <t>0% deposit. Book your test drive.</t>
        </is>
      </c>
      <c r="O55" s="42" t="inlineStr">
        <is>
          <t>Auction - Lowest Cost</t>
        </is>
      </c>
      <c r="P55" s="42" t="inlineStr">
        <is>
          <t>Offsite Conversions</t>
        </is>
      </c>
      <c r="Q55" s="42" t="inlineStr">
        <is>
          <t>https://www.lepas-sa.co.za/offers/amur</t>
        </is>
      </c>
      <c r="R55" s="115" t="n">
        <v>185.11</v>
      </c>
      <c r="S55" s="116" t="n">
        <v>2190</v>
      </c>
      <c r="T55" s="116" t="n">
        <v>1469</v>
      </c>
      <c r="U55" s="117">
        <f>IFERROR(S55/T55,"")</f>
        <v/>
      </c>
      <c r="V55" s="116" t="n">
        <v>48</v>
      </c>
      <c r="W55" s="116" t="n">
        <v>35</v>
      </c>
      <c r="X55" s="118">
        <f>IFERROR(W55/S55,"")</f>
        <v/>
      </c>
      <c r="Y55" s="115">
        <f>IFERROR(R55/W55,"")</f>
        <v/>
      </c>
      <c r="Z55" s="115">
        <f>IFERROR(R55/S55*1000,"")</f>
        <v/>
      </c>
      <c r="AA55" s="116" t="n">
        <v>31</v>
      </c>
      <c r="AB55" s="47">
        <f>IFERROR(AA55/W55,"")</f>
        <v/>
      </c>
      <c r="AC55" s="116" t="n">
        <v>0</v>
      </c>
      <c r="AD55" s="116" t="n">
        <v>0</v>
      </c>
      <c r="AE55" s="116" t="n">
        <v>0</v>
      </c>
      <c r="AF55" s="116" t="n">
        <v>0</v>
      </c>
      <c r="AG55" s="116" t="n">
        <v>0</v>
      </c>
      <c r="AH55" s="116" t="n">
        <v>0</v>
      </c>
      <c r="AI55" s="47">
        <f>IFERROR(AC55/S55,"")</f>
        <v/>
      </c>
      <c r="AJ55" s="47">
        <f>IFERROR(AH55/S55,"")</f>
        <v/>
      </c>
      <c r="AK55" s="116" t="n">
        <v>42</v>
      </c>
      <c r="AL55" s="116" t="n">
        <v>0</v>
      </c>
      <c r="AM55" s="118">
        <f>IFERROR(AL55/AA55,"")</f>
        <v/>
      </c>
      <c r="AN55" s="119">
        <f>IFERROR(R55/AL55,"")</f>
        <v/>
      </c>
      <c r="AO55" s="116" t="n">
        <v>0</v>
      </c>
      <c r="AP55" s="47">
        <f>IFERROR(AO55/AL55,"")</f>
        <v/>
      </c>
      <c r="AQ55" s="119">
        <f>IFERROR(R55/AO55,"")</f>
        <v/>
      </c>
      <c r="AR55" s="116" t="n">
        <v>0</v>
      </c>
      <c r="AS55" s="116" t="n">
        <v>0</v>
      </c>
      <c r="AT55" s="116">
        <f>AL55+AR55</f>
        <v/>
      </c>
      <c r="AU55" s="119">
        <f>IFERROR(AO55*Assumptions!$C$26*Assumptions!$C$27*INDEX(Assumptions!$C$18:$C$21,MATCH(H55,Assumptions!$B$18:$B$21,0)),0)</f>
        <v/>
      </c>
    </row>
    <row r="56">
      <c r="A56" s="114" t="n">
        <v>46240</v>
      </c>
      <c r="B56" s="42" t="inlineStr">
        <is>
          <t>Wk 32</t>
        </is>
      </c>
      <c r="C56" s="42" t="inlineStr">
        <is>
          <t>Thu</t>
        </is>
      </c>
      <c r="D56" s="42" t="inlineStr">
        <is>
          <t>Meta (FB/IG)</t>
        </is>
      </c>
      <c r="E56" s="42" t="inlineStr">
        <is>
          <t>Facebook + Instagram</t>
        </is>
      </c>
      <c r="F56" s="42" t="inlineStr">
        <is>
          <t>LEP_ZA_AUG26_META_TD_AMUR_CONV</t>
        </is>
      </c>
      <c r="G56" s="42" t="inlineStr">
        <is>
          <t>Leads - Website Conversions</t>
        </is>
      </c>
      <c r="H56" s="42" t="inlineStr">
        <is>
          <t>AMUR</t>
        </is>
      </c>
      <c r="I56" s="42" t="inlineStr">
        <is>
          <t>0% Deposit</t>
        </is>
      </c>
      <c r="J56" s="42" t="inlineStr">
        <is>
          <t>MET_AMUR_BROAD_25-54_ZA</t>
        </is>
      </c>
      <c r="K56" s="42" t="inlineStr">
        <is>
          <t>Prospecting</t>
        </is>
      </c>
      <c r="L56" s="42" t="inlineStr">
        <is>
          <t>AMUR_STA_Offer_0Dep_v1</t>
        </is>
      </c>
      <c r="M56" s="42" t="inlineStr">
        <is>
          <t>Static 1:1</t>
        </is>
      </c>
      <c r="N56" s="42" t="inlineStr">
        <is>
          <t>0% deposit. Book your test drive.</t>
        </is>
      </c>
      <c r="O56" s="42" t="inlineStr">
        <is>
          <t>Auction - Lowest Cost</t>
        </is>
      </c>
      <c r="P56" s="42" t="inlineStr">
        <is>
          <t>Offsite Conversions</t>
        </is>
      </c>
      <c r="Q56" s="42" t="inlineStr">
        <is>
          <t>https://www.lepas-sa.co.za/offers/amur</t>
        </is>
      </c>
      <c r="R56" s="115" t="n">
        <v>210.68</v>
      </c>
      <c r="S56" s="116" t="n">
        <v>2798</v>
      </c>
      <c r="T56" s="116" t="n">
        <v>2091</v>
      </c>
      <c r="U56" s="117">
        <f>IFERROR(S56/T56,"")</f>
        <v/>
      </c>
      <c r="V56" s="116" t="n">
        <v>60</v>
      </c>
      <c r="W56" s="116" t="n">
        <v>44</v>
      </c>
      <c r="X56" s="118">
        <f>IFERROR(W56/S56,"")</f>
        <v/>
      </c>
      <c r="Y56" s="115">
        <f>IFERROR(R56/W56,"")</f>
        <v/>
      </c>
      <c r="Z56" s="115">
        <f>IFERROR(R56/S56*1000,"")</f>
        <v/>
      </c>
      <c r="AA56" s="116" t="n">
        <v>38</v>
      </c>
      <c r="AB56" s="47">
        <f>IFERROR(AA56/W56,"")</f>
        <v/>
      </c>
      <c r="AC56" s="116" t="n">
        <v>0</v>
      </c>
      <c r="AD56" s="116" t="n">
        <v>0</v>
      </c>
      <c r="AE56" s="116" t="n">
        <v>0</v>
      </c>
      <c r="AF56" s="116" t="n">
        <v>0</v>
      </c>
      <c r="AG56" s="116" t="n">
        <v>0</v>
      </c>
      <c r="AH56" s="116" t="n">
        <v>0</v>
      </c>
      <c r="AI56" s="47">
        <f>IFERROR(AC56/S56,"")</f>
        <v/>
      </c>
      <c r="AJ56" s="47">
        <f>IFERROR(AH56/S56,"")</f>
        <v/>
      </c>
      <c r="AK56" s="116" t="n">
        <v>78</v>
      </c>
      <c r="AL56" s="116" t="n">
        <v>1</v>
      </c>
      <c r="AM56" s="118">
        <f>IFERROR(AL56/AA56,"")</f>
        <v/>
      </c>
      <c r="AN56" s="119">
        <f>IFERROR(R56/AL56,"")</f>
        <v/>
      </c>
      <c r="AO56" s="116" t="n">
        <v>1</v>
      </c>
      <c r="AP56" s="47">
        <f>IFERROR(AO56/AL56,"")</f>
        <v/>
      </c>
      <c r="AQ56" s="119">
        <f>IFERROR(R56/AO56,"")</f>
        <v/>
      </c>
      <c r="AR56" s="116" t="n">
        <v>0</v>
      </c>
      <c r="AS56" s="116" t="n">
        <v>0</v>
      </c>
      <c r="AT56" s="116">
        <f>AL56+AR56</f>
        <v/>
      </c>
      <c r="AU56" s="119">
        <f>IFERROR(AO56*Assumptions!$C$26*Assumptions!$C$27*INDEX(Assumptions!$C$18:$C$21,MATCH(H56,Assumptions!$B$18:$B$21,0)),0)</f>
        <v/>
      </c>
    </row>
    <row r="57">
      <c r="A57" s="114" t="n">
        <v>46241</v>
      </c>
      <c r="B57" s="42" t="inlineStr">
        <is>
          <t>Wk 32</t>
        </is>
      </c>
      <c r="C57" s="42" t="inlineStr">
        <is>
          <t>Fri</t>
        </is>
      </c>
      <c r="D57" s="42" t="inlineStr">
        <is>
          <t>Meta (FB/IG)</t>
        </is>
      </c>
      <c r="E57" s="42" t="inlineStr">
        <is>
          <t>Facebook + Instagram</t>
        </is>
      </c>
      <c r="F57" s="42" t="inlineStr">
        <is>
          <t>LEP_ZA_AUG26_META_TD_AMUR_CONV</t>
        </is>
      </c>
      <c r="G57" s="42" t="inlineStr">
        <is>
          <t>Leads - Website Conversions</t>
        </is>
      </c>
      <c r="H57" s="42" t="inlineStr">
        <is>
          <t>AMUR</t>
        </is>
      </c>
      <c r="I57" s="42" t="inlineStr">
        <is>
          <t>0% Deposit</t>
        </is>
      </c>
      <c r="J57" s="42" t="inlineStr">
        <is>
          <t>MET_AMUR_BROAD_25-54_ZA</t>
        </is>
      </c>
      <c r="K57" s="42" t="inlineStr">
        <is>
          <t>Prospecting</t>
        </is>
      </c>
      <c r="L57" s="42" t="inlineStr">
        <is>
          <t>AMUR_STA_Offer_0Dep_v1</t>
        </is>
      </c>
      <c r="M57" s="42" t="inlineStr">
        <is>
          <t>Static 1:1</t>
        </is>
      </c>
      <c r="N57" s="42" t="inlineStr">
        <is>
          <t>0% deposit. Book your test drive.</t>
        </is>
      </c>
      <c r="O57" s="42" t="inlineStr">
        <is>
          <t>Auction - Lowest Cost</t>
        </is>
      </c>
      <c r="P57" s="42" t="inlineStr">
        <is>
          <t>Offsite Conversions</t>
        </is>
      </c>
      <c r="Q57" s="42" t="inlineStr">
        <is>
          <t>https://www.lepas-sa.co.za/offers/amur</t>
        </is>
      </c>
      <c r="R57" s="115" t="n">
        <v>230.73</v>
      </c>
      <c r="S57" s="116" t="n">
        <v>2833</v>
      </c>
      <c r="T57" s="116" t="n">
        <v>2101</v>
      </c>
      <c r="U57" s="117">
        <f>IFERROR(S57/T57,"")</f>
        <v/>
      </c>
      <c r="V57" s="116" t="n">
        <v>30</v>
      </c>
      <c r="W57" s="116" t="n">
        <v>24</v>
      </c>
      <c r="X57" s="118">
        <f>IFERROR(W57/S57,"")</f>
        <v/>
      </c>
      <c r="Y57" s="115">
        <f>IFERROR(R57/W57,"")</f>
        <v/>
      </c>
      <c r="Z57" s="115">
        <f>IFERROR(R57/S57*1000,"")</f>
        <v/>
      </c>
      <c r="AA57" s="116" t="n">
        <v>22</v>
      </c>
      <c r="AB57" s="47">
        <f>IFERROR(AA57/W57,"")</f>
        <v/>
      </c>
      <c r="AC57" s="116" t="n">
        <v>0</v>
      </c>
      <c r="AD57" s="116" t="n">
        <v>0</v>
      </c>
      <c r="AE57" s="116" t="n">
        <v>0</v>
      </c>
      <c r="AF57" s="116" t="n">
        <v>0</v>
      </c>
      <c r="AG57" s="116" t="n">
        <v>0</v>
      </c>
      <c r="AH57" s="116" t="n">
        <v>0</v>
      </c>
      <c r="AI57" s="47">
        <f>IFERROR(AC57/S57,"")</f>
        <v/>
      </c>
      <c r="AJ57" s="47">
        <f>IFERROR(AH57/S57,"")</f>
        <v/>
      </c>
      <c r="AK57" s="116" t="n">
        <v>53</v>
      </c>
      <c r="AL57" s="116" t="n">
        <v>1</v>
      </c>
      <c r="AM57" s="118">
        <f>IFERROR(AL57/AA57,"")</f>
        <v/>
      </c>
      <c r="AN57" s="119">
        <f>IFERROR(R57/AL57,"")</f>
        <v/>
      </c>
      <c r="AO57" s="116" t="n">
        <v>1</v>
      </c>
      <c r="AP57" s="47">
        <f>IFERROR(AO57/AL57,"")</f>
        <v/>
      </c>
      <c r="AQ57" s="119">
        <f>IFERROR(R57/AO57,"")</f>
        <v/>
      </c>
      <c r="AR57" s="116" t="n">
        <v>0</v>
      </c>
      <c r="AS57" s="116" t="n">
        <v>0</v>
      </c>
      <c r="AT57" s="116">
        <f>AL57+AR57</f>
        <v/>
      </c>
      <c r="AU57" s="119">
        <f>IFERROR(AO57*Assumptions!$C$26*Assumptions!$C$27*INDEX(Assumptions!$C$18:$C$21,MATCH(H57,Assumptions!$B$18:$B$21,0)),0)</f>
        <v/>
      </c>
    </row>
    <row r="58">
      <c r="A58" s="114" t="n">
        <v>46242</v>
      </c>
      <c r="B58" s="42" t="inlineStr">
        <is>
          <t>Wk 32</t>
        </is>
      </c>
      <c r="C58" s="42" t="inlineStr">
        <is>
          <t>Sat</t>
        </is>
      </c>
      <c r="D58" s="42" t="inlineStr">
        <is>
          <t>Meta (FB/IG)</t>
        </is>
      </c>
      <c r="E58" s="42" t="inlineStr">
        <is>
          <t>Facebook + Instagram</t>
        </is>
      </c>
      <c r="F58" s="42" t="inlineStr">
        <is>
          <t>LEP_ZA_AUG26_META_TD_AMUR_CONV</t>
        </is>
      </c>
      <c r="G58" s="42" t="inlineStr">
        <is>
          <t>Leads - Website Conversions</t>
        </is>
      </c>
      <c r="H58" s="42" t="inlineStr">
        <is>
          <t>AMUR</t>
        </is>
      </c>
      <c r="I58" s="42" t="inlineStr">
        <is>
          <t>0% Deposit</t>
        </is>
      </c>
      <c r="J58" s="42" t="inlineStr">
        <is>
          <t>MET_AMUR_BROAD_25-54_ZA</t>
        </is>
      </c>
      <c r="K58" s="42" t="inlineStr">
        <is>
          <t>Prospecting</t>
        </is>
      </c>
      <c r="L58" s="42" t="inlineStr">
        <is>
          <t>AMUR_STA_Offer_0Dep_v1</t>
        </is>
      </c>
      <c r="M58" s="42" t="inlineStr">
        <is>
          <t>Static 1:1</t>
        </is>
      </c>
      <c r="N58" s="42" t="inlineStr">
        <is>
          <t>0% deposit. Book your test drive.</t>
        </is>
      </c>
      <c r="O58" s="42" t="inlineStr">
        <is>
          <t>Auction - Lowest Cost</t>
        </is>
      </c>
      <c r="P58" s="42" t="inlineStr">
        <is>
          <t>Offsite Conversions</t>
        </is>
      </c>
      <c r="Q58" s="42" t="inlineStr">
        <is>
          <t>https://www.lepas-sa.co.za/offers/amur</t>
        </is>
      </c>
      <c r="R58" s="115" t="n">
        <v>223.46</v>
      </c>
      <c r="S58" s="116" t="n">
        <v>3108</v>
      </c>
      <c r="T58" s="116" t="n">
        <v>2279</v>
      </c>
      <c r="U58" s="117">
        <f>IFERROR(S58/T58,"")</f>
        <v/>
      </c>
      <c r="V58" s="116" t="n">
        <v>42</v>
      </c>
      <c r="W58" s="116" t="n">
        <v>33</v>
      </c>
      <c r="X58" s="118">
        <f>IFERROR(W58/S58,"")</f>
        <v/>
      </c>
      <c r="Y58" s="115">
        <f>IFERROR(R58/W58,"")</f>
        <v/>
      </c>
      <c r="Z58" s="115">
        <f>IFERROR(R58/S58*1000,"")</f>
        <v/>
      </c>
      <c r="AA58" s="116" t="n">
        <v>27</v>
      </c>
      <c r="AB58" s="47">
        <f>IFERROR(AA58/W58,"")</f>
        <v/>
      </c>
      <c r="AC58" s="116" t="n">
        <v>0</v>
      </c>
      <c r="AD58" s="116" t="n">
        <v>0</v>
      </c>
      <c r="AE58" s="116" t="n">
        <v>0</v>
      </c>
      <c r="AF58" s="116" t="n">
        <v>0</v>
      </c>
      <c r="AG58" s="116" t="n">
        <v>0</v>
      </c>
      <c r="AH58" s="116" t="n">
        <v>0</v>
      </c>
      <c r="AI58" s="47">
        <f>IFERROR(AC58/S58,"")</f>
        <v/>
      </c>
      <c r="AJ58" s="47">
        <f>IFERROR(AH58/S58,"")</f>
        <v/>
      </c>
      <c r="AK58" s="116" t="n">
        <v>58</v>
      </c>
      <c r="AL58" s="116" t="n">
        <v>0</v>
      </c>
      <c r="AM58" s="118">
        <f>IFERROR(AL58/AA58,"")</f>
        <v/>
      </c>
      <c r="AN58" s="119">
        <f>IFERROR(R58/AL58,"")</f>
        <v/>
      </c>
      <c r="AO58" s="116" t="n">
        <v>0</v>
      </c>
      <c r="AP58" s="47">
        <f>IFERROR(AO58/AL58,"")</f>
        <v/>
      </c>
      <c r="AQ58" s="119">
        <f>IFERROR(R58/AO58,"")</f>
        <v/>
      </c>
      <c r="AR58" s="116" t="n">
        <v>0</v>
      </c>
      <c r="AS58" s="116" t="n">
        <v>0</v>
      </c>
      <c r="AT58" s="116">
        <f>AL58+AR58</f>
        <v/>
      </c>
      <c r="AU58" s="119">
        <f>IFERROR(AO58*Assumptions!$C$26*Assumptions!$C$27*INDEX(Assumptions!$C$18:$C$21,MATCH(H58,Assumptions!$B$18:$B$21,0)),0)</f>
        <v/>
      </c>
    </row>
    <row r="59">
      <c r="A59" s="114" t="n">
        <v>46243</v>
      </c>
      <c r="B59" s="42" t="inlineStr">
        <is>
          <t>Wk 32</t>
        </is>
      </c>
      <c r="C59" s="42" t="inlineStr">
        <is>
          <t>Sun</t>
        </is>
      </c>
      <c r="D59" s="42" t="inlineStr">
        <is>
          <t>Meta (FB/IG)</t>
        </is>
      </c>
      <c r="E59" s="42" t="inlineStr">
        <is>
          <t>Facebook + Instagram</t>
        </is>
      </c>
      <c r="F59" s="42" t="inlineStr">
        <is>
          <t>LEP_ZA_AUG26_META_TD_AMUR_CONV</t>
        </is>
      </c>
      <c r="G59" s="42" t="inlineStr">
        <is>
          <t>Leads - Website Conversions</t>
        </is>
      </c>
      <c r="H59" s="42" t="inlineStr">
        <is>
          <t>AMUR</t>
        </is>
      </c>
      <c r="I59" s="42" t="inlineStr">
        <is>
          <t>0% Deposit</t>
        </is>
      </c>
      <c r="J59" s="42" t="inlineStr">
        <is>
          <t>MET_AMUR_BROAD_25-54_ZA</t>
        </is>
      </c>
      <c r="K59" s="42" t="inlineStr">
        <is>
          <t>Prospecting</t>
        </is>
      </c>
      <c r="L59" s="42" t="inlineStr">
        <is>
          <t>AMUR_STA_Offer_0Dep_v1</t>
        </is>
      </c>
      <c r="M59" s="42" t="inlineStr">
        <is>
          <t>Static 1:1</t>
        </is>
      </c>
      <c r="N59" s="42" t="inlineStr">
        <is>
          <t>0% deposit. Book your test drive.</t>
        </is>
      </c>
      <c r="O59" s="42" t="inlineStr">
        <is>
          <t>Auction - Lowest Cost</t>
        </is>
      </c>
      <c r="P59" s="42" t="inlineStr">
        <is>
          <t>Offsite Conversions</t>
        </is>
      </c>
      <c r="Q59" s="42" t="inlineStr">
        <is>
          <t>https://www.lepas-sa.co.za/offers/amur</t>
        </is>
      </c>
      <c r="R59" s="115" t="n">
        <v>168.4</v>
      </c>
      <c r="S59" s="116" t="n">
        <v>2202</v>
      </c>
      <c r="T59" s="116" t="n">
        <v>1460</v>
      </c>
      <c r="U59" s="117">
        <f>IFERROR(S59/T59,"")</f>
        <v/>
      </c>
      <c r="V59" s="116" t="n">
        <v>28</v>
      </c>
      <c r="W59" s="116" t="n">
        <v>23</v>
      </c>
      <c r="X59" s="118">
        <f>IFERROR(W59/S59,"")</f>
        <v/>
      </c>
      <c r="Y59" s="115">
        <f>IFERROR(R59/W59,"")</f>
        <v/>
      </c>
      <c r="Z59" s="115">
        <f>IFERROR(R59/S59*1000,"")</f>
        <v/>
      </c>
      <c r="AA59" s="116" t="n">
        <v>18</v>
      </c>
      <c r="AB59" s="47">
        <f>IFERROR(AA59/W59,"")</f>
        <v/>
      </c>
      <c r="AC59" s="116" t="n">
        <v>0</v>
      </c>
      <c r="AD59" s="116" t="n">
        <v>0</v>
      </c>
      <c r="AE59" s="116" t="n">
        <v>0</v>
      </c>
      <c r="AF59" s="116" t="n">
        <v>0</v>
      </c>
      <c r="AG59" s="116" t="n">
        <v>0</v>
      </c>
      <c r="AH59" s="116" t="n">
        <v>0</v>
      </c>
      <c r="AI59" s="47">
        <f>IFERROR(AC59/S59,"")</f>
        <v/>
      </c>
      <c r="AJ59" s="47">
        <f>IFERROR(AH59/S59,"")</f>
        <v/>
      </c>
      <c r="AK59" s="116" t="n">
        <v>43</v>
      </c>
      <c r="AL59" s="116" t="n">
        <v>0</v>
      </c>
      <c r="AM59" s="118">
        <f>IFERROR(AL59/AA59,"")</f>
        <v/>
      </c>
      <c r="AN59" s="119">
        <f>IFERROR(R59/AL59,"")</f>
        <v/>
      </c>
      <c r="AO59" s="116" t="n">
        <v>0</v>
      </c>
      <c r="AP59" s="47">
        <f>IFERROR(AO59/AL59,"")</f>
        <v/>
      </c>
      <c r="AQ59" s="119">
        <f>IFERROR(R59/AO59,"")</f>
        <v/>
      </c>
      <c r="AR59" s="116" t="n">
        <v>0</v>
      </c>
      <c r="AS59" s="116" t="n">
        <v>0</v>
      </c>
      <c r="AT59" s="116">
        <f>AL59+AR59</f>
        <v/>
      </c>
      <c r="AU59" s="119">
        <f>IFERROR(AO59*Assumptions!$C$26*Assumptions!$C$27*INDEX(Assumptions!$C$18:$C$21,MATCH(H59,Assumptions!$B$18:$B$21,0)),0)</f>
        <v/>
      </c>
    </row>
    <row r="60">
      <c r="A60" s="114" t="n">
        <v>46244</v>
      </c>
      <c r="B60" s="42" t="inlineStr">
        <is>
          <t>Wk 33</t>
        </is>
      </c>
      <c r="C60" s="42" t="inlineStr">
        <is>
          <t>Mon</t>
        </is>
      </c>
      <c r="D60" s="42" t="inlineStr">
        <is>
          <t>Meta (FB/IG)</t>
        </is>
      </c>
      <c r="E60" s="42" t="inlineStr">
        <is>
          <t>Facebook + Instagram</t>
        </is>
      </c>
      <c r="F60" s="42" t="inlineStr">
        <is>
          <t>LEP_ZA_AUG26_META_TD_AMUR_CONV</t>
        </is>
      </c>
      <c r="G60" s="42" t="inlineStr">
        <is>
          <t>Leads - Website Conversions</t>
        </is>
      </c>
      <c r="H60" s="42" t="inlineStr">
        <is>
          <t>AMUR</t>
        </is>
      </c>
      <c r="I60" s="42" t="inlineStr">
        <is>
          <t>0% Deposit</t>
        </is>
      </c>
      <c r="J60" s="42" t="inlineStr">
        <is>
          <t>MET_AMUR_BROAD_25-54_ZA</t>
        </is>
      </c>
      <c r="K60" s="42" t="inlineStr">
        <is>
          <t>Prospecting</t>
        </is>
      </c>
      <c r="L60" s="42" t="inlineStr">
        <is>
          <t>AMUR_STA_Offer_0Dep_v1</t>
        </is>
      </c>
      <c r="M60" s="42" t="inlineStr">
        <is>
          <t>Static 1:1</t>
        </is>
      </c>
      <c r="N60" s="42" t="inlineStr">
        <is>
          <t>0% deposit. Book your test drive.</t>
        </is>
      </c>
      <c r="O60" s="42" t="inlineStr">
        <is>
          <t>Auction - Lowest Cost</t>
        </is>
      </c>
      <c r="P60" s="42" t="inlineStr">
        <is>
          <t>Offsite Conversions</t>
        </is>
      </c>
      <c r="Q60" s="42" t="inlineStr">
        <is>
          <t>https://www.lepas-sa.co.za/offers/amur</t>
        </is>
      </c>
      <c r="R60" s="115" t="n">
        <v>225.06</v>
      </c>
      <c r="S60" s="116" t="n">
        <v>2769</v>
      </c>
      <c r="T60" s="116" t="n">
        <v>1898</v>
      </c>
      <c r="U60" s="117">
        <f>IFERROR(S60/T60,"")</f>
        <v/>
      </c>
      <c r="V60" s="116" t="n">
        <v>34</v>
      </c>
      <c r="W60" s="116" t="n">
        <v>27</v>
      </c>
      <c r="X60" s="118">
        <f>IFERROR(W60/S60,"")</f>
        <v/>
      </c>
      <c r="Y60" s="115">
        <f>IFERROR(R60/W60,"")</f>
        <v/>
      </c>
      <c r="Z60" s="115">
        <f>IFERROR(R60/S60*1000,"")</f>
        <v/>
      </c>
      <c r="AA60" s="116" t="n">
        <v>21</v>
      </c>
      <c r="AB60" s="47">
        <f>IFERROR(AA60/W60,"")</f>
        <v/>
      </c>
      <c r="AC60" s="116" t="n">
        <v>0</v>
      </c>
      <c r="AD60" s="116" t="n">
        <v>0</v>
      </c>
      <c r="AE60" s="116" t="n">
        <v>0</v>
      </c>
      <c r="AF60" s="116" t="n">
        <v>0</v>
      </c>
      <c r="AG60" s="116" t="n">
        <v>0</v>
      </c>
      <c r="AH60" s="116" t="n">
        <v>0</v>
      </c>
      <c r="AI60" s="47">
        <f>IFERROR(AC60/S60,"")</f>
        <v/>
      </c>
      <c r="AJ60" s="47">
        <f>IFERROR(AH60/S60,"")</f>
        <v/>
      </c>
      <c r="AK60" s="116" t="n">
        <v>80</v>
      </c>
      <c r="AL60" s="116" t="n">
        <v>1</v>
      </c>
      <c r="AM60" s="118">
        <f>IFERROR(AL60/AA60,"")</f>
        <v/>
      </c>
      <c r="AN60" s="119">
        <f>IFERROR(R60/AL60,"")</f>
        <v/>
      </c>
      <c r="AO60" s="116" t="n">
        <v>1</v>
      </c>
      <c r="AP60" s="47">
        <f>IFERROR(AO60/AL60,"")</f>
        <v/>
      </c>
      <c r="AQ60" s="119">
        <f>IFERROR(R60/AO60,"")</f>
        <v/>
      </c>
      <c r="AR60" s="116" t="n">
        <v>0</v>
      </c>
      <c r="AS60" s="116" t="n">
        <v>0</v>
      </c>
      <c r="AT60" s="116">
        <f>AL60+AR60</f>
        <v/>
      </c>
      <c r="AU60" s="119">
        <f>IFERROR(AO60*Assumptions!$C$26*Assumptions!$C$27*INDEX(Assumptions!$C$18:$C$21,MATCH(H60,Assumptions!$B$18:$B$21,0)),0)</f>
        <v/>
      </c>
    </row>
    <row r="61">
      <c r="A61" s="114" t="n">
        <v>46245</v>
      </c>
      <c r="B61" s="42" t="inlineStr">
        <is>
          <t>Wk 33</t>
        </is>
      </c>
      <c r="C61" s="42" t="inlineStr">
        <is>
          <t>Tue</t>
        </is>
      </c>
      <c r="D61" s="42" t="inlineStr">
        <is>
          <t>Meta (FB/IG)</t>
        </is>
      </c>
      <c r="E61" s="42" t="inlineStr">
        <is>
          <t>Facebook + Instagram</t>
        </is>
      </c>
      <c r="F61" s="42" t="inlineStr">
        <is>
          <t>LEP_ZA_AUG26_META_TD_AMUR_CONV</t>
        </is>
      </c>
      <c r="G61" s="42" t="inlineStr">
        <is>
          <t>Leads - Website Conversions</t>
        </is>
      </c>
      <c r="H61" s="42" t="inlineStr">
        <is>
          <t>AMUR</t>
        </is>
      </c>
      <c r="I61" s="42" t="inlineStr">
        <is>
          <t>0% Deposit</t>
        </is>
      </c>
      <c r="J61" s="42" t="inlineStr">
        <is>
          <t>MET_AMUR_BROAD_25-54_ZA</t>
        </is>
      </c>
      <c r="K61" s="42" t="inlineStr">
        <is>
          <t>Prospecting</t>
        </is>
      </c>
      <c r="L61" s="42" t="inlineStr">
        <is>
          <t>AMUR_STA_Offer_0Dep_v1</t>
        </is>
      </c>
      <c r="M61" s="42" t="inlineStr">
        <is>
          <t>Static 1:1</t>
        </is>
      </c>
      <c r="N61" s="42" t="inlineStr">
        <is>
          <t>0% deposit. Book your test drive.</t>
        </is>
      </c>
      <c r="O61" s="42" t="inlineStr">
        <is>
          <t>Auction - Lowest Cost</t>
        </is>
      </c>
      <c r="P61" s="42" t="inlineStr">
        <is>
          <t>Offsite Conversions</t>
        </is>
      </c>
      <c r="Q61" s="42" t="inlineStr">
        <is>
          <t>https://www.lepas-sa.co.za/offers/amur</t>
        </is>
      </c>
      <c r="R61" s="115" t="n">
        <v>171.06</v>
      </c>
      <c r="S61" s="116" t="n">
        <v>3246</v>
      </c>
      <c r="T61" s="116" t="n">
        <v>2253</v>
      </c>
      <c r="U61" s="117">
        <f>IFERROR(S61/T61,"")</f>
        <v/>
      </c>
      <c r="V61" s="116" t="n">
        <v>40</v>
      </c>
      <c r="W61" s="116" t="n">
        <v>33</v>
      </c>
      <c r="X61" s="118">
        <f>IFERROR(W61/S61,"")</f>
        <v/>
      </c>
      <c r="Y61" s="115">
        <f>IFERROR(R61/W61,"")</f>
        <v/>
      </c>
      <c r="Z61" s="115">
        <f>IFERROR(R61/S61*1000,"")</f>
        <v/>
      </c>
      <c r="AA61" s="116" t="n">
        <v>29</v>
      </c>
      <c r="AB61" s="47">
        <f>IFERROR(AA61/W61,"")</f>
        <v/>
      </c>
      <c r="AC61" s="116" t="n">
        <v>0</v>
      </c>
      <c r="AD61" s="116" t="n">
        <v>0</v>
      </c>
      <c r="AE61" s="116" t="n">
        <v>0</v>
      </c>
      <c r="AF61" s="116" t="n">
        <v>0</v>
      </c>
      <c r="AG61" s="116" t="n">
        <v>0</v>
      </c>
      <c r="AH61" s="116" t="n">
        <v>0</v>
      </c>
      <c r="AI61" s="47">
        <f>IFERROR(AC61/S61,"")</f>
        <v/>
      </c>
      <c r="AJ61" s="47">
        <f>IFERROR(AH61/S61,"")</f>
        <v/>
      </c>
      <c r="AK61" s="116" t="n">
        <v>55</v>
      </c>
      <c r="AL61" s="116" t="n">
        <v>0</v>
      </c>
      <c r="AM61" s="118">
        <f>IFERROR(AL61/AA61,"")</f>
        <v/>
      </c>
      <c r="AN61" s="119">
        <f>IFERROR(R61/AL61,"")</f>
        <v/>
      </c>
      <c r="AO61" s="116" t="n">
        <v>0</v>
      </c>
      <c r="AP61" s="47">
        <f>IFERROR(AO61/AL61,"")</f>
        <v/>
      </c>
      <c r="AQ61" s="119">
        <f>IFERROR(R61/AO61,"")</f>
        <v/>
      </c>
      <c r="AR61" s="116" t="n">
        <v>0</v>
      </c>
      <c r="AS61" s="116" t="n">
        <v>0</v>
      </c>
      <c r="AT61" s="116">
        <f>AL61+AR61</f>
        <v/>
      </c>
      <c r="AU61" s="119">
        <f>IFERROR(AO61*Assumptions!$C$26*Assumptions!$C$27*INDEX(Assumptions!$C$18:$C$21,MATCH(H61,Assumptions!$B$18:$B$21,0)),0)</f>
        <v/>
      </c>
    </row>
    <row r="62">
      <c r="A62" s="114" t="n">
        <v>46246</v>
      </c>
      <c r="B62" s="42" t="inlineStr">
        <is>
          <t>Wk 33</t>
        </is>
      </c>
      <c r="C62" s="42" t="inlineStr">
        <is>
          <t>Wed</t>
        </is>
      </c>
      <c r="D62" s="42" t="inlineStr">
        <is>
          <t>Meta (FB/IG)</t>
        </is>
      </c>
      <c r="E62" s="42" t="inlineStr">
        <is>
          <t>Facebook + Instagram</t>
        </is>
      </c>
      <c r="F62" s="42" t="inlineStr">
        <is>
          <t>LEP_ZA_AUG26_META_TD_AMUR_CONV</t>
        </is>
      </c>
      <c r="G62" s="42" t="inlineStr">
        <is>
          <t>Leads - Website Conversions</t>
        </is>
      </c>
      <c r="H62" s="42" t="inlineStr">
        <is>
          <t>AMUR</t>
        </is>
      </c>
      <c r="I62" s="42" t="inlineStr">
        <is>
          <t>0% Deposit</t>
        </is>
      </c>
      <c r="J62" s="42" t="inlineStr">
        <is>
          <t>MET_AMUR_BROAD_25-54_ZA</t>
        </is>
      </c>
      <c r="K62" s="42" t="inlineStr">
        <is>
          <t>Prospecting</t>
        </is>
      </c>
      <c r="L62" s="42" t="inlineStr">
        <is>
          <t>AMUR_STA_Offer_0Dep_v1</t>
        </is>
      </c>
      <c r="M62" s="42" t="inlineStr">
        <is>
          <t>Static 1:1</t>
        </is>
      </c>
      <c r="N62" s="42" t="inlineStr">
        <is>
          <t>0% deposit. Book your test drive.</t>
        </is>
      </c>
      <c r="O62" s="42" t="inlineStr">
        <is>
          <t>Auction - Lowest Cost</t>
        </is>
      </c>
      <c r="P62" s="42" t="inlineStr">
        <is>
          <t>Offsite Conversions</t>
        </is>
      </c>
      <c r="Q62" s="42" t="inlineStr">
        <is>
          <t>https://www.lepas-sa.co.za/offers/amur</t>
        </is>
      </c>
      <c r="R62" s="115" t="n">
        <v>182.81</v>
      </c>
      <c r="S62" s="116" t="n">
        <v>2478</v>
      </c>
      <c r="T62" s="116" t="n">
        <v>1762</v>
      </c>
      <c r="U62" s="117">
        <f>IFERROR(S62/T62,"")</f>
        <v/>
      </c>
      <c r="V62" s="116" t="n">
        <v>40</v>
      </c>
      <c r="W62" s="116" t="n">
        <v>29</v>
      </c>
      <c r="X62" s="118">
        <f>IFERROR(W62/S62,"")</f>
        <v/>
      </c>
      <c r="Y62" s="115">
        <f>IFERROR(R62/W62,"")</f>
        <v/>
      </c>
      <c r="Z62" s="115">
        <f>IFERROR(R62/S62*1000,"")</f>
        <v/>
      </c>
      <c r="AA62" s="116" t="n">
        <v>23</v>
      </c>
      <c r="AB62" s="47">
        <f>IFERROR(AA62/W62,"")</f>
        <v/>
      </c>
      <c r="AC62" s="116" t="n">
        <v>0</v>
      </c>
      <c r="AD62" s="116" t="n">
        <v>0</v>
      </c>
      <c r="AE62" s="116" t="n">
        <v>0</v>
      </c>
      <c r="AF62" s="116" t="n">
        <v>0</v>
      </c>
      <c r="AG62" s="116" t="n">
        <v>0</v>
      </c>
      <c r="AH62" s="116" t="n">
        <v>0</v>
      </c>
      <c r="AI62" s="47">
        <f>IFERROR(AC62/S62,"")</f>
        <v/>
      </c>
      <c r="AJ62" s="47">
        <f>IFERROR(AH62/S62,"")</f>
        <v/>
      </c>
      <c r="AK62" s="116" t="n">
        <v>35</v>
      </c>
      <c r="AL62" s="116" t="n">
        <v>0</v>
      </c>
      <c r="AM62" s="118">
        <f>IFERROR(AL62/AA62,"")</f>
        <v/>
      </c>
      <c r="AN62" s="119">
        <f>IFERROR(R62/AL62,"")</f>
        <v/>
      </c>
      <c r="AO62" s="116" t="n">
        <v>0</v>
      </c>
      <c r="AP62" s="47">
        <f>IFERROR(AO62/AL62,"")</f>
        <v/>
      </c>
      <c r="AQ62" s="119">
        <f>IFERROR(R62/AO62,"")</f>
        <v/>
      </c>
      <c r="AR62" s="116" t="n">
        <v>0</v>
      </c>
      <c r="AS62" s="116" t="n">
        <v>0</v>
      </c>
      <c r="AT62" s="116">
        <f>AL62+AR62</f>
        <v/>
      </c>
      <c r="AU62" s="119">
        <f>IFERROR(AO62*Assumptions!$C$26*Assumptions!$C$27*INDEX(Assumptions!$C$18:$C$21,MATCH(H62,Assumptions!$B$18:$B$21,0)),0)</f>
        <v/>
      </c>
    </row>
    <row r="63">
      <c r="A63" s="114" t="n">
        <v>46247</v>
      </c>
      <c r="B63" s="42" t="inlineStr">
        <is>
          <t>Wk 33</t>
        </is>
      </c>
      <c r="C63" s="42" t="inlineStr">
        <is>
          <t>Thu</t>
        </is>
      </c>
      <c r="D63" s="42" t="inlineStr">
        <is>
          <t>Meta (FB/IG)</t>
        </is>
      </c>
      <c r="E63" s="42" t="inlineStr">
        <is>
          <t>Facebook + Instagram</t>
        </is>
      </c>
      <c r="F63" s="42" t="inlineStr">
        <is>
          <t>LEP_ZA_AUG26_META_TD_AMUR_CONV</t>
        </is>
      </c>
      <c r="G63" s="42" t="inlineStr">
        <is>
          <t>Leads - Website Conversions</t>
        </is>
      </c>
      <c r="H63" s="42" t="inlineStr">
        <is>
          <t>AMUR</t>
        </is>
      </c>
      <c r="I63" s="42" t="inlineStr">
        <is>
          <t>0% Deposit</t>
        </is>
      </c>
      <c r="J63" s="42" t="inlineStr">
        <is>
          <t>MET_AMUR_BROAD_25-54_ZA</t>
        </is>
      </c>
      <c r="K63" s="42" t="inlineStr">
        <is>
          <t>Prospecting</t>
        </is>
      </c>
      <c r="L63" s="42" t="inlineStr">
        <is>
          <t>AMUR_STA_Offer_0Dep_v1</t>
        </is>
      </c>
      <c r="M63" s="42" t="inlineStr">
        <is>
          <t>Static 1:1</t>
        </is>
      </c>
      <c r="N63" s="42" t="inlineStr">
        <is>
          <t>0% deposit. Book your test drive.</t>
        </is>
      </c>
      <c r="O63" s="42" t="inlineStr">
        <is>
          <t>Auction - Lowest Cost</t>
        </is>
      </c>
      <c r="P63" s="42" t="inlineStr">
        <is>
          <t>Offsite Conversions</t>
        </is>
      </c>
      <c r="Q63" s="42" t="inlineStr">
        <is>
          <t>https://www.lepas-sa.co.za/offers/amur</t>
        </is>
      </c>
      <c r="R63" s="115" t="n">
        <v>177.03</v>
      </c>
      <c r="S63" s="116" t="n">
        <v>2007</v>
      </c>
      <c r="T63" s="116" t="n">
        <v>1491</v>
      </c>
      <c r="U63" s="117">
        <f>IFERROR(S63/T63,"")</f>
        <v/>
      </c>
      <c r="V63" s="116" t="n">
        <v>25</v>
      </c>
      <c r="W63" s="116" t="n">
        <v>21</v>
      </c>
      <c r="X63" s="118">
        <f>IFERROR(W63/S63,"")</f>
        <v/>
      </c>
      <c r="Y63" s="115">
        <f>IFERROR(R63/W63,"")</f>
        <v/>
      </c>
      <c r="Z63" s="115">
        <f>IFERROR(R63/S63*1000,"")</f>
        <v/>
      </c>
      <c r="AA63" s="116" t="n">
        <v>16</v>
      </c>
      <c r="AB63" s="47">
        <f>IFERROR(AA63/W63,"")</f>
        <v/>
      </c>
      <c r="AC63" s="116" t="n">
        <v>0</v>
      </c>
      <c r="AD63" s="116" t="n">
        <v>0</v>
      </c>
      <c r="AE63" s="116" t="n">
        <v>0</v>
      </c>
      <c r="AF63" s="116" t="n">
        <v>0</v>
      </c>
      <c r="AG63" s="116" t="n">
        <v>0</v>
      </c>
      <c r="AH63" s="116" t="n">
        <v>0</v>
      </c>
      <c r="AI63" s="47">
        <f>IFERROR(AC63/S63,"")</f>
        <v/>
      </c>
      <c r="AJ63" s="47">
        <f>IFERROR(AH63/S63,"")</f>
        <v/>
      </c>
      <c r="AK63" s="116" t="n">
        <v>41</v>
      </c>
      <c r="AL63" s="116" t="n">
        <v>0</v>
      </c>
      <c r="AM63" s="118">
        <f>IFERROR(AL63/AA63,"")</f>
        <v/>
      </c>
      <c r="AN63" s="119">
        <f>IFERROR(R63/AL63,"")</f>
        <v/>
      </c>
      <c r="AO63" s="116" t="n">
        <v>0</v>
      </c>
      <c r="AP63" s="47">
        <f>IFERROR(AO63/AL63,"")</f>
        <v/>
      </c>
      <c r="AQ63" s="119">
        <f>IFERROR(R63/AO63,"")</f>
        <v/>
      </c>
      <c r="AR63" s="116" t="n">
        <v>0</v>
      </c>
      <c r="AS63" s="116" t="n">
        <v>0</v>
      </c>
      <c r="AT63" s="116">
        <f>AL63+AR63</f>
        <v/>
      </c>
      <c r="AU63" s="119">
        <f>IFERROR(AO63*Assumptions!$C$26*Assumptions!$C$27*INDEX(Assumptions!$C$18:$C$21,MATCH(H63,Assumptions!$B$18:$B$21,0)),0)</f>
        <v/>
      </c>
    </row>
    <row r="64">
      <c r="A64" s="114" t="n">
        <v>46248</v>
      </c>
      <c r="B64" s="42" t="inlineStr">
        <is>
          <t>Wk 33</t>
        </is>
      </c>
      <c r="C64" s="42" t="inlineStr">
        <is>
          <t>Fri</t>
        </is>
      </c>
      <c r="D64" s="42" t="inlineStr">
        <is>
          <t>Meta (FB/IG)</t>
        </is>
      </c>
      <c r="E64" s="42" t="inlineStr">
        <is>
          <t>Facebook + Instagram</t>
        </is>
      </c>
      <c r="F64" s="42" t="inlineStr">
        <is>
          <t>LEP_ZA_AUG26_META_TD_AMUR_CONV</t>
        </is>
      </c>
      <c r="G64" s="42" t="inlineStr">
        <is>
          <t>Leads - Website Conversions</t>
        </is>
      </c>
      <c r="H64" s="42" t="inlineStr">
        <is>
          <t>AMUR</t>
        </is>
      </c>
      <c r="I64" s="42" t="inlineStr">
        <is>
          <t>0% Deposit</t>
        </is>
      </c>
      <c r="J64" s="42" t="inlineStr">
        <is>
          <t>MET_AMUR_BROAD_25-54_ZA</t>
        </is>
      </c>
      <c r="K64" s="42" t="inlineStr">
        <is>
          <t>Prospecting</t>
        </is>
      </c>
      <c r="L64" s="42" t="inlineStr">
        <is>
          <t>AMUR_STA_Offer_0Dep_v1</t>
        </is>
      </c>
      <c r="M64" s="42" t="inlineStr">
        <is>
          <t>Static 1:1</t>
        </is>
      </c>
      <c r="N64" s="42" t="inlineStr">
        <is>
          <t>0% deposit. Book your test drive.</t>
        </is>
      </c>
      <c r="O64" s="42" t="inlineStr">
        <is>
          <t>Auction - Lowest Cost</t>
        </is>
      </c>
      <c r="P64" s="42" t="inlineStr">
        <is>
          <t>Offsite Conversions</t>
        </is>
      </c>
      <c r="Q64" s="42" t="inlineStr">
        <is>
          <t>https://www.lepas-sa.co.za/offers/amur</t>
        </is>
      </c>
      <c r="R64" s="115" t="n">
        <v>225.58</v>
      </c>
      <c r="S64" s="116" t="n">
        <v>4618</v>
      </c>
      <c r="T64" s="116" t="n">
        <v>3343</v>
      </c>
      <c r="U64" s="117">
        <f>IFERROR(S64/T64,"")</f>
        <v/>
      </c>
      <c r="V64" s="116" t="n">
        <v>77</v>
      </c>
      <c r="W64" s="116" t="n">
        <v>56</v>
      </c>
      <c r="X64" s="118">
        <f>IFERROR(W64/S64,"")</f>
        <v/>
      </c>
      <c r="Y64" s="115">
        <f>IFERROR(R64/W64,"")</f>
        <v/>
      </c>
      <c r="Z64" s="115">
        <f>IFERROR(R64/S64*1000,"")</f>
        <v/>
      </c>
      <c r="AA64" s="116" t="n">
        <v>47</v>
      </c>
      <c r="AB64" s="47">
        <f>IFERROR(AA64/W64,"")</f>
        <v/>
      </c>
      <c r="AC64" s="116" t="n">
        <v>0</v>
      </c>
      <c r="AD64" s="116" t="n">
        <v>0</v>
      </c>
      <c r="AE64" s="116" t="n">
        <v>0</v>
      </c>
      <c r="AF64" s="116" t="n">
        <v>0</v>
      </c>
      <c r="AG64" s="116" t="n">
        <v>0</v>
      </c>
      <c r="AH64" s="116" t="n">
        <v>0</v>
      </c>
      <c r="AI64" s="47">
        <f>IFERROR(AC64/S64,"")</f>
        <v/>
      </c>
      <c r="AJ64" s="47">
        <f>IFERROR(AH64/S64,"")</f>
        <v/>
      </c>
      <c r="AK64" s="116" t="n">
        <v>102</v>
      </c>
      <c r="AL64" s="116" t="n">
        <v>0</v>
      </c>
      <c r="AM64" s="118">
        <f>IFERROR(AL64/AA64,"")</f>
        <v/>
      </c>
      <c r="AN64" s="119">
        <f>IFERROR(R64/AL64,"")</f>
        <v/>
      </c>
      <c r="AO64" s="116" t="n">
        <v>0</v>
      </c>
      <c r="AP64" s="47">
        <f>IFERROR(AO64/AL64,"")</f>
        <v/>
      </c>
      <c r="AQ64" s="119">
        <f>IFERROR(R64/AO64,"")</f>
        <v/>
      </c>
      <c r="AR64" s="116" t="n">
        <v>0</v>
      </c>
      <c r="AS64" s="116" t="n">
        <v>0</v>
      </c>
      <c r="AT64" s="116">
        <f>AL64+AR64</f>
        <v/>
      </c>
      <c r="AU64" s="119">
        <f>IFERROR(AO64*Assumptions!$C$26*Assumptions!$C$27*INDEX(Assumptions!$C$18:$C$21,MATCH(H64,Assumptions!$B$18:$B$21,0)),0)</f>
        <v/>
      </c>
    </row>
    <row r="65">
      <c r="A65" s="114" t="n">
        <v>46247</v>
      </c>
      <c r="B65" s="42" t="inlineStr">
        <is>
          <t>Wk 33</t>
        </is>
      </c>
      <c r="C65" s="42" t="inlineStr">
        <is>
          <t>Thu</t>
        </is>
      </c>
      <c r="D65" s="42" t="inlineStr">
        <is>
          <t>Meta (FB/IG)</t>
        </is>
      </c>
      <c r="E65" s="42" t="inlineStr">
        <is>
          <t>Facebook + Instagram</t>
        </is>
      </c>
      <c r="F65" s="42" t="inlineStr">
        <is>
          <t>LEP_ZA_AUG26_META_TD_AMUR_CONV</t>
        </is>
      </c>
      <c r="G65" s="42" t="inlineStr">
        <is>
          <t>Leads - Website Conversions</t>
        </is>
      </c>
      <c r="H65" s="42" t="inlineStr">
        <is>
          <t>AMUR</t>
        </is>
      </c>
      <c r="I65" s="42" t="inlineStr">
        <is>
          <t>0% Deposit</t>
        </is>
      </c>
      <c r="J65" s="42" t="inlineStr">
        <is>
          <t>MET_AMUR_BROAD_25-54_ZA</t>
        </is>
      </c>
      <c r="K65" s="42" t="inlineStr">
        <is>
          <t>Prospecting</t>
        </is>
      </c>
      <c r="L65" s="42" t="inlineStr">
        <is>
          <t>AMUR_VID_15s_CityDrive_v2</t>
        </is>
      </c>
      <c r="M65" s="42" t="inlineStr">
        <is>
          <t>Video 9:16</t>
        </is>
      </c>
      <c r="N65" s="42" t="inlineStr">
        <is>
          <t>Zero deposit. Real drive. Today.</t>
        </is>
      </c>
      <c r="O65" s="42" t="inlineStr">
        <is>
          <t>Auction - Lowest Cost</t>
        </is>
      </c>
      <c r="P65" s="42" t="inlineStr">
        <is>
          <t>Offsite Conversions</t>
        </is>
      </c>
      <c r="Q65" s="42" t="inlineStr">
        <is>
          <t>https://www.lepas-sa.co.za/offers/amur</t>
        </is>
      </c>
      <c r="R65" s="115" t="n">
        <v>166.23</v>
      </c>
      <c r="S65" s="116" t="n">
        <v>2230</v>
      </c>
      <c r="T65" s="116" t="n">
        <v>1556</v>
      </c>
      <c r="U65" s="117">
        <f>IFERROR(S65/T65,"")</f>
        <v/>
      </c>
      <c r="V65" s="116" t="n">
        <v>27</v>
      </c>
      <c r="W65" s="116" t="n">
        <v>21</v>
      </c>
      <c r="X65" s="118">
        <f>IFERROR(W65/S65,"")</f>
        <v/>
      </c>
      <c r="Y65" s="115">
        <f>IFERROR(R65/W65,"")</f>
        <v/>
      </c>
      <c r="Z65" s="115">
        <f>IFERROR(R65/S65*1000,"")</f>
        <v/>
      </c>
      <c r="AA65" s="116" t="n">
        <v>17</v>
      </c>
      <c r="AB65" s="47">
        <f>IFERROR(AA65/W65,"")</f>
        <v/>
      </c>
      <c r="AC65" s="116" t="n">
        <v>813</v>
      </c>
      <c r="AD65" s="116" t="n">
        <v>451</v>
      </c>
      <c r="AE65" s="116" t="n">
        <v>389</v>
      </c>
      <c r="AF65" s="116" t="n">
        <v>207</v>
      </c>
      <c r="AG65" s="116" t="n">
        <v>146</v>
      </c>
      <c r="AH65" s="116" t="n">
        <v>83</v>
      </c>
      <c r="AI65" s="47">
        <f>IFERROR(AC65/S65,"")</f>
        <v/>
      </c>
      <c r="AJ65" s="47">
        <f>IFERROR(AH65/S65,"")</f>
        <v/>
      </c>
      <c r="AK65" s="116" t="n">
        <v>45</v>
      </c>
      <c r="AL65" s="116" t="n">
        <v>0</v>
      </c>
      <c r="AM65" s="118">
        <f>IFERROR(AL65/AA65,"")</f>
        <v/>
      </c>
      <c r="AN65" s="119">
        <f>IFERROR(R65/AL65,"")</f>
        <v/>
      </c>
      <c r="AO65" s="116" t="n">
        <v>0</v>
      </c>
      <c r="AP65" s="47">
        <f>IFERROR(AO65/AL65,"")</f>
        <v/>
      </c>
      <c r="AQ65" s="119">
        <f>IFERROR(R65/AO65,"")</f>
        <v/>
      </c>
      <c r="AR65" s="116" t="n">
        <v>0</v>
      </c>
      <c r="AS65" s="116" t="n">
        <v>0</v>
      </c>
      <c r="AT65" s="116">
        <f>AL65+AR65</f>
        <v/>
      </c>
      <c r="AU65" s="119">
        <f>IFERROR(AO65*Assumptions!$C$26*Assumptions!$C$27*INDEX(Assumptions!$C$18:$C$21,MATCH(H65,Assumptions!$B$18:$B$21,0)),0)</f>
        <v/>
      </c>
    </row>
    <row r="66">
      <c r="A66" s="114" t="n">
        <v>46248</v>
      </c>
      <c r="B66" s="42" t="inlineStr">
        <is>
          <t>Wk 33</t>
        </is>
      </c>
      <c r="C66" s="42" t="inlineStr">
        <is>
          <t>Fri</t>
        </is>
      </c>
      <c r="D66" s="42" t="inlineStr">
        <is>
          <t>Meta (FB/IG)</t>
        </is>
      </c>
      <c r="E66" s="42" t="inlineStr">
        <is>
          <t>Facebook + Instagram</t>
        </is>
      </c>
      <c r="F66" s="42" t="inlineStr">
        <is>
          <t>LEP_ZA_AUG26_META_TD_AMUR_CONV</t>
        </is>
      </c>
      <c r="G66" s="42" t="inlineStr">
        <is>
          <t>Leads - Website Conversions</t>
        </is>
      </c>
      <c r="H66" s="42" t="inlineStr">
        <is>
          <t>AMUR</t>
        </is>
      </c>
      <c r="I66" s="42" t="inlineStr">
        <is>
          <t>0% Deposit</t>
        </is>
      </c>
      <c r="J66" s="42" t="inlineStr">
        <is>
          <t>MET_AMUR_BROAD_25-54_ZA</t>
        </is>
      </c>
      <c r="K66" s="42" t="inlineStr">
        <is>
          <t>Prospecting</t>
        </is>
      </c>
      <c r="L66" s="42" t="inlineStr">
        <is>
          <t>AMUR_VID_15s_CityDrive_v2</t>
        </is>
      </c>
      <c r="M66" s="42" t="inlineStr">
        <is>
          <t>Video 9:16</t>
        </is>
      </c>
      <c r="N66" s="42" t="inlineStr">
        <is>
          <t>Zero deposit. Real drive. Today.</t>
        </is>
      </c>
      <c r="O66" s="42" t="inlineStr">
        <is>
          <t>Auction - Lowest Cost</t>
        </is>
      </c>
      <c r="P66" s="42" t="inlineStr">
        <is>
          <t>Offsite Conversions</t>
        </is>
      </c>
      <c r="Q66" s="42" t="inlineStr">
        <is>
          <t>https://www.lepas-sa.co.za/offers/amur</t>
        </is>
      </c>
      <c r="R66" s="115" t="n">
        <v>149.75</v>
      </c>
      <c r="S66" s="116" t="n">
        <v>2054</v>
      </c>
      <c r="T66" s="116" t="n">
        <v>1326</v>
      </c>
      <c r="U66" s="117">
        <f>IFERROR(S66/T66,"")</f>
        <v/>
      </c>
      <c r="V66" s="116" t="n">
        <v>36</v>
      </c>
      <c r="W66" s="116" t="n">
        <v>28</v>
      </c>
      <c r="X66" s="118">
        <f>IFERROR(W66/S66,"")</f>
        <v/>
      </c>
      <c r="Y66" s="115">
        <f>IFERROR(R66/W66,"")</f>
        <v/>
      </c>
      <c r="Z66" s="115">
        <f>IFERROR(R66/S66*1000,"")</f>
        <v/>
      </c>
      <c r="AA66" s="116" t="n">
        <v>25</v>
      </c>
      <c r="AB66" s="47">
        <f>IFERROR(AA66/W66,"")</f>
        <v/>
      </c>
      <c r="AC66" s="116" t="n">
        <v>594</v>
      </c>
      <c r="AD66" s="116" t="n">
        <v>314</v>
      </c>
      <c r="AE66" s="116" t="n">
        <v>226</v>
      </c>
      <c r="AF66" s="116" t="n">
        <v>130</v>
      </c>
      <c r="AG66" s="116" t="n">
        <v>86</v>
      </c>
      <c r="AH66" s="116" t="n">
        <v>63</v>
      </c>
      <c r="AI66" s="47">
        <f>IFERROR(AC66/S66,"")</f>
        <v/>
      </c>
      <c r="AJ66" s="47">
        <f>IFERROR(AH66/S66,"")</f>
        <v/>
      </c>
      <c r="AK66" s="116" t="n">
        <v>60</v>
      </c>
      <c r="AL66" s="116" t="n">
        <v>1</v>
      </c>
      <c r="AM66" s="118">
        <f>IFERROR(AL66/AA66,"")</f>
        <v/>
      </c>
      <c r="AN66" s="119">
        <f>IFERROR(R66/AL66,"")</f>
        <v/>
      </c>
      <c r="AO66" s="116" t="n">
        <v>1</v>
      </c>
      <c r="AP66" s="47">
        <f>IFERROR(AO66/AL66,"")</f>
        <v/>
      </c>
      <c r="AQ66" s="119">
        <f>IFERROR(R66/AO66,"")</f>
        <v/>
      </c>
      <c r="AR66" s="116" t="n">
        <v>0</v>
      </c>
      <c r="AS66" s="116" t="n">
        <v>0</v>
      </c>
      <c r="AT66" s="116">
        <f>AL66+AR66</f>
        <v/>
      </c>
      <c r="AU66" s="119">
        <f>IFERROR(AO66*Assumptions!$C$26*Assumptions!$C$27*INDEX(Assumptions!$C$18:$C$21,MATCH(H66,Assumptions!$B$18:$B$21,0)),0)</f>
        <v/>
      </c>
    </row>
    <row r="67">
      <c r="A67" s="114" t="n">
        <v>46249</v>
      </c>
      <c r="B67" s="42" t="inlineStr">
        <is>
          <t>Wk 33</t>
        </is>
      </c>
      <c r="C67" s="42" t="inlineStr">
        <is>
          <t>Sat</t>
        </is>
      </c>
      <c r="D67" s="42" t="inlineStr">
        <is>
          <t>Meta (FB/IG)</t>
        </is>
      </c>
      <c r="E67" s="42" t="inlineStr">
        <is>
          <t>Facebook + Instagram</t>
        </is>
      </c>
      <c r="F67" s="42" t="inlineStr">
        <is>
          <t>LEP_ZA_AUG26_META_TD_AMUR_CONV</t>
        </is>
      </c>
      <c r="G67" s="42" t="inlineStr">
        <is>
          <t>Leads - Website Conversions</t>
        </is>
      </c>
      <c r="H67" s="42" t="inlineStr">
        <is>
          <t>AMUR</t>
        </is>
      </c>
      <c r="I67" s="42" t="inlineStr">
        <is>
          <t>0% Deposit</t>
        </is>
      </c>
      <c r="J67" s="42" t="inlineStr">
        <is>
          <t>MET_AMUR_BROAD_25-54_ZA</t>
        </is>
      </c>
      <c r="K67" s="42" t="inlineStr">
        <is>
          <t>Prospecting</t>
        </is>
      </c>
      <c r="L67" s="42" t="inlineStr">
        <is>
          <t>AMUR_VID_15s_CityDrive_v2</t>
        </is>
      </c>
      <c r="M67" s="42" t="inlineStr">
        <is>
          <t>Video 9:16</t>
        </is>
      </c>
      <c r="N67" s="42" t="inlineStr">
        <is>
          <t>Zero deposit. Real drive. Today.</t>
        </is>
      </c>
      <c r="O67" s="42" t="inlineStr">
        <is>
          <t>Auction - Lowest Cost</t>
        </is>
      </c>
      <c r="P67" s="42" t="inlineStr">
        <is>
          <t>Offsite Conversions</t>
        </is>
      </c>
      <c r="Q67" s="42" t="inlineStr">
        <is>
          <t>https://www.lepas-sa.co.za/offers/amur</t>
        </is>
      </c>
      <c r="R67" s="115" t="n">
        <v>147.74</v>
      </c>
      <c r="S67" s="116" t="n">
        <v>1682</v>
      </c>
      <c r="T67" s="116" t="n">
        <v>1115</v>
      </c>
      <c r="U67" s="117">
        <f>IFERROR(S67/T67,"")</f>
        <v/>
      </c>
      <c r="V67" s="116" t="n">
        <v>29</v>
      </c>
      <c r="W67" s="116" t="n">
        <v>24</v>
      </c>
      <c r="X67" s="118">
        <f>IFERROR(W67/S67,"")</f>
        <v/>
      </c>
      <c r="Y67" s="115">
        <f>IFERROR(R67/W67,"")</f>
        <v/>
      </c>
      <c r="Z67" s="115">
        <f>IFERROR(R67/S67*1000,"")</f>
        <v/>
      </c>
      <c r="AA67" s="116" t="n">
        <v>21</v>
      </c>
      <c r="AB67" s="47">
        <f>IFERROR(AA67/W67,"")</f>
        <v/>
      </c>
      <c r="AC67" s="116" t="n">
        <v>442</v>
      </c>
      <c r="AD67" s="116" t="n">
        <v>258</v>
      </c>
      <c r="AE67" s="116" t="n">
        <v>164</v>
      </c>
      <c r="AF67" s="116" t="n">
        <v>115</v>
      </c>
      <c r="AG67" s="116" t="n">
        <v>89</v>
      </c>
      <c r="AH67" s="116" t="n">
        <v>53</v>
      </c>
      <c r="AI67" s="47">
        <f>IFERROR(AC67/S67,"")</f>
        <v/>
      </c>
      <c r="AJ67" s="47">
        <f>IFERROR(AH67/S67,"")</f>
        <v/>
      </c>
      <c r="AK67" s="116" t="n">
        <v>30</v>
      </c>
      <c r="AL67" s="116" t="n">
        <v>0</v>
      </c>
      <c r="AM67" s="118">
        <f>IFERROR(AL67/AA67,"")</f>
        <v/>
      </c>
      <c r="AN67" s="119">
        <f>IFERROR(R67/AL67,"")</f>
        <v/>
      </c>
      <c r="AO67" s="116" t="n">
        <v>0</v>
      </c>
      <c r="AP67" s="47">
        <f>IFERROR(AO67/AL67,"")</f>
        <v/>
      </c>
      <c r="AQ67" s="119">
        <f>IFERROR(R67/AO67,"")</f>
        <v/>
      </c>
      <c r="AR67" s="116" t="n">
        <v>0</v>
      </c>
      <c r="AS67" s="116" t="n">
        <v>0</v>
      </c>
      <c r="AT67" s="116">
        <f>AL67+AR67</f>
        <v/>
      </c>
      <c r="AU67" s="119">
        <f>IFERROR(AO67*Assumptions!$C$26*Assumptions!$C$27*INDEX(Assumptions!$C$18:$C$21,MATCH(H67,Assumptions!$B$18:$B$21,0)),0)</f>
        <v/>
      </c>
    </row>
    <row r="68">
      <c r="A68" s="114" t="n">
        <v>46250</v>
      </c>
      <c r="B68" s="42" t="inlineStr">
        <is>
          <t>Wk 33</t>
        </is>
      </c>
      <c r="C68" s="42" t="inlineStr">
        <is>
          <t>Sun</t>
        </is>
      </c>
      <c r="D68" s="42" t="inlineStr">
        <is>
          <t>Meta (FB/IG)</t>
        </is>
      </c>
      <c r="E68" s="42" t="inlineStr">
        <is>
          <t>Facebook + Instagram</t>
        </is>
      </c>
      <c r="F68" s="42" t="inlineStr">
        <is>
          <t>LEP_ZA_AUG26_META_TD_AMUR_CONV</t>
        </is>
      </c>
      <c r="G68" s="42" t="inlineStr">
        <is>
          <t>Leads - Website Conversions</t>
        </is>
      </c>
      <c r="H68" s="42" t="inlineStr">
        <is>
          <t>AMUR</t>
        </is>
      </c>
      <c r="I68" s="42" t="inlineStr">
        <is>
          <t>0% Deposit</t>
        </is>
      </c>
      <c r="J68" s="42" t="inlineStr">
        <is>
          <t>MET_AMUR_BROAD_25-54_ZA</t>
        </is>
      </c>
      <c r="K68" s="42" t="inlineStr">
        <is>
          <t>Prospecting</t>
        </is>
      </c>
      <c r="L68" s="42" t="inlineStr">
        <is>
          <t>AMUR_VID_15s_CityDrive_v2</t>
        </is>
      </c>
      <c r="M68" s="42" t="inlineStr">
        <is>
          <t>Video 9:16</t>
        </is>
      </c>
      <c r="N68" s="42" t="inlineStr">
        <is>
          <t>Zero deposit. Real drive. Today.</t>
        </is>
      </c>
      <c r="O68" s="42" t="inlineStr">
        <is>
          <t>Auction - Lowest Cost</t>
        </is>
      </c>
      <c r="P68" s="42" t="inlineStr">
        <is>
          <t>Offsite Conversions</t>
        </is>
      </c>
      <c r="Q68" s="42" t="inlineStr">
        <is>
          <t>https://www.lepas-sa.co.za/offers/amur</t>
        </is>
      </c>
      <c r="R68" s="115" t="n">
        <v>125.94</v>
      </c>
      <c r="S68" s="116" t="n">
        <v>1635</v>
      </c>
      <c r="T68" s="116" t="n">
        <v>1155</v>
      </c>
      <c r="U68" s="117">
        <f>IFERROR(S68/T68,"")</f>
        <v/>
      </c>
      <c r="V68" s="116" t="n">
        <v>29</v>
      </c>
      <c r="W68" s="116" t="n">
        <v>21</v>
      </c>
      <c r="X68" s="118">
        <f>IFERROR(W68/S68,"")</f>
        <v/>
      </c>
      <c r="Y68" s="115">
        <f>IFERROR(R68/W68,"")</f>
        <v/>
      </c>
      <c r="Z68" s="115">
        <f>IFERROR(R68/S68*1000,"")</f>
        <v/>
      </c>
      <c r="AA68" s="116" t="n">
        <v>18</v>
      </c>
      <c r="AB68" s="47">
        <f>IFERROR(AA68/W68,"")</f>
        <v/>
      </c>
      <c r="AC68" s="116" t="n">
        <v>448</v>
      </c>
      <c r="AD68" s="116" t="n">
        <v>200</v>
      </c>
      <c r="AE68" s="116" t="n">
        <v>190</v>
      </c>
      <c r="AF68" s="116" t="n">
        <v>124</v>
      </c>
      <c r="AG68" s="116" t="n">
        <v>80</v>
      </c>
      <c r="AH68" s="116" t="n">
        <v>52</v>
      </c>
      <c r="AI68" s="47">
        <f>IFERROR(AC68/S68,"")</f>
        <v/>
      </c>
      <c r="AJ68" s="47">
        <f>IFERROR(AH68/S68,"")</f>
        <v/>
      </c>
      <c r="AK68" s="116" t="n">
        <v>41</v>
      </c>
      <c r="AL68" s="116" t="n">
        <v>1</v>
      </c>
      <c r="AM68" s="118">
        <f>IFERROR(AL68/AA68,"")</f>
        <v/>
      </c>
      <c r="AN68" s="119">
        <f>IFERROR(R68/AL68,"")</f>
        <v/>
      </c>
      <c r="AO68" s="116" t="n">
        <v>1</v>
      </c>
      <c r="AP68" s="47">
        <f>IFERROR(AO68/AL68,"")</f>
        <v/>
      </c>
      <c r="AQ68" s="119">
        <f>IFERROR(R68/AO68,"")</f>
        <v/>
      </c>
      <c r="AR68" s="116" t="n">
        <v>0</v>
      </c>
      <c r="AS68" s="116" t="n">
        <v>0</v>
      </c>
      <c r="AT68" s="116">
        <f>AL68+AR68</f>
        <v/>
      </c>
      <c r="AU68" s="119">
        <f>IFERROR(AO68*Assumptions!$C$26*Assumptions!$C$27*INDEX(Assumptions!$C$18:$C$21,MATCH(H68,Assumptions!$B$18:$B$21,0)),0)</f>
        <v/>
      </c>
    </row>
    <row r="69">
      <c r="A69" s="114" t="n">
        <v>46251</v>
      </c>
      <c r="B69" s="42" t="inlineStr">
        <is>
          <t>Wk 34</t>
        </is>
      </c>
      <c r="C69" s="42" t="inlineStr">
        <is>
          <t>Mon</t>
        </is>
      </c>
      <c r="D69" s="42" t="inlineStr">
        <is>
          <t>Meta (FB/IG)</t>
        </is>
      </c>
      <c r="E69" s="42" t="inlineStr">
        <is>
          <t>Facebook + Instagram</t>
        </is>
      </c>
      <c r="F69" s="42" t="inlineStr">
        <is>
          <t>LEP_ZA_AUG26_META_TD_AMUR_CONV</t>
        </is>
      </c>
      <c r="G69" s="42" t="inlineStr">
        <is>
          <t>Leads - Website Conversions</t>
        </is>
      </c>
      <c r="H69" s="42" t="inlineStr">
        <is>
          <t>AMUR</t>
        </is>
      </c>
      <c r="I69" s="42" t="inlineStr">
        <is>
          <t>0% Deposit</t>
        </is>
      </c>
      <c r="J69" s="42" t="inlineStr">
        <is>
          <t>MET_AMUR_BROAD_25-54_ZA</t>
        </is>
      </c>
      <c r="K69" s="42" t="inlineStr">
        <is>
          <t>Prospecting</t>
        </is>
      </c>
      <c r="L69" s="42" t="inlineStr">
        <is>
          <t>AMUR_VID_15s_CityDrive_v2</t>
        </is>
      </c>
      <c r="M69" s="42" t="inlineStr">
        <is>
          <t>Video 9:16</t>
        </is>
      </c>
      <c r="N69" s="42" t="inlineStr">
        <is>
          <t>Zero deposit. Real drive. Today.</t>
        </is>
      </c>
      <c r="O69" s="42" t="inlineStr">
        <is>
          <t>Auction - Lowest Cost</t>
        </is>
      </c>
      <c r="P69" s="42" t="inlineStr">
        <is>
          <t>Offsite Conversions</t>
        </is>
      </c>
      <c r="Q69" s="42" t="inlineStr">
        <is>
          <t>https://www.lepas-sa.co.za/offers/amur</t>
        </is>
      </c>
      <c r="R69" s="115" t="n">
        <v>125.04</v>
      </c>
      <c r="S69" s="116" t="n">
        <v>2132</v>
      </c>
      <c r="T69" s="116" t="n">
        <v>1225</v>
      </c>
      <c r="U69" s="117">
        <f>IFERROR(S69/T69,"")</f>
        <v/>
      </c>
      <c r="V69" s="116" t="n">
        <v>60</v>
      </c>
      <c r="W69" s="116" t="n">
        <v>42</v>
      </c>
      <c r="X69" s="118">
        <f>IFERROR(W69/S69,"")</f>
        <v/>
      </c>
      <c r="Y69" s="115">
        <f>IFERROR(R69/W69,"")</f>
        <v/>
      </c>
      <c r="Z69" s="115">
        <f>IFERROR(R69/S69*1000,"")</f>
        <v/>
      </c>
      <c r="AA69" s="116" t="n">
        <v>38</v>
      </c>
      <c r="AB69" s="47">
        <f>IFERROR(AA69/W69,"")</f>
        <v/>
      </c>
      <c r="AC69" s="116" t="n">
        <v>571</v>
      </c>
      <c r="AD69" s="116" t="n">
        <v>271</v>
      </c>
      <c r="AE69" s="116" t="n">
        <v>228</v>
      </c>
      <c r="AF69" s="116" t="n">
        <v>158</v>
      </c>
      <c r="AG69" s="116" t="n">
        <v>112</v>
      </c>
      <c r="AH69" s="116" t="n">
        <v>71</v>
      </c>
      <c r="AI69" s="47">
        <f>IFERROR(AC69/S69,"")</f>
        <v/>
      </c>
      <c r="AJ69" s="47">
        <f>IFERROR(AH69/S69,"")</f>
        <v/>
      </c>
      <c r="AK69" s="116" t="n">
        <v>30</v>
      </c>
      <c r="AL69" s="116" t="n">
        <v>0</v>
      </c>
      <c r="AM69" s="118">
        <f>IFERROR(AL69/AA69,"")</f>
        <v/>
      </c>
      <c r="AN69" s="119">
        <f>IFERROR(R69/AL69,"")</f>
        <v/>
      </c>
      <c r="AO69" s="116" t="n">
        <v>0</v>
      </c>
      <c r="AP69" s="47">
        <f>IFERROR(AO69/AL69,"")</f>
        <v/>
      </c>
      <c r="AQ69" s="119">
        <f>IFERROR(R69/AO69,"")</f>
        <v/>
      </c>
      <c r="AR69" s="116" t="n">
        <v>0</v>
      </c>
      <c r="AS69" s="116" t="n">
        <v>0</v>
      </c>
      <c r="AT69" s="116">
        <f>AL69+AR69</f>
        <v/>
      </c>
      <c r="AU69" s="119">
        <f>IFERROR(AO69*Assumptions!$C$26*Assumptions!$C$27*INDEX(Assumptions!$C$18:$C$21,MATCH(H69,Assumptions!$B$18:$B$21,0)),0)</f>
        <v/>
      </c>
    </row>
    <row r="70">
      <c r="A70" s="114" t="n">
        <v>46252</v>
      </c>
      <c r="B70" s="42" t="inlineStr">
        <is>
          <t>Wk 34</t>
        </is>
      </c>
      <c r="C70" s="42" t="inlineStr">
        <is>
          <t>Tue</t>
        </is>
      </c>
      <c r="D70" s="42" t="inlineStr">
        <is>
          <t>Meta (FB/IG)</t>
        </is>
      </c>
      <c r="E70" s="42" t="inlineStr">
        <is>
          <t>Facebook + Instagram</t>
        </is>
      </c>
      <c r="F70" s="42" t="inlineStr">
        <is>
          <t>LEP_ZA_AUG26_META_TD_AMUR_CONV</t>
        </is>
      </c>
      <c r="G70" s="42" t="inlineStr">
        <is>
          <t>Leads - Website Conversions</t>
        </is>
      </c>
      <c r="H70" s="42" t="inlineStr">
        <is>
          <t>AMUR</t>
        </is>
      </c>
      <c r="I70" s="42" t="inlineStr">
        <is>
          <t>0% Deposit</t>
        </is>
      </c>
      <c r="J70" s="42" t="inlineStr">
        <is>
          <t>MET_AMUR_BROAD_25-54_ZA</t>
        </is>
      </c>
      <c r="K70" s="42" t="inlineStr">
        <is>
          <t>Prospecting</t>
        </is>
      </c>
      <c r="L70" s="42" t="inlineStr">
        <is>
          <t>AMUR_VID_15s_CityDrive_v2</t>
        </is>
      </c>
      <c r="M70" s="42" t="inlineStr">
        <is>
          <t>Video 9:16</t>
        </is>
      </c>
      <c r="N70" s="42" t="inlineStr">
        <is>
          <t>Zero deposit. Real drive. Today.</t>
        </is>
      </c>
      <c r="O70" s="42" t="inlineStr">
        <is>
          <t>Auction - Lowest Cost</t>
        </is>
      </c>
      <c r="P70" s="42" t="inlineStr">
        <is>
          <t>Offsite Conversions</t>
        </is>
      </c>
      <c r="Q70" s="42" t="inlineStr">
        <is>
          <t>https://www.lepas-sa.co.za/offers/amur</t>
        </is>
      </c>
      <c r="R70" s="115" t="n">
        <v>147.15</v>
      </c>
      <c r="S70" s="116" t="n">
        <v>2779</v>
      </c>
      <c r="T70" s="116" t="n">
        <v>1558</v>
      </c>
      <c r="U70" s="117">
        <f>IFERROR(S70/T70,"")</f>
        <v/>
      </c>
      <c r="V70" s="116" t="n">
        <v>31</v>
      </c>
      <c r="W70" s="116" t="n">
        <v>22</v>
      </c>
      <c r="X70" s="118">
        <f>IFERROR(W70/S70,"")</f>
        <v/>
      </c>
      <c r="Y70" s="115">
        <f>IFERROR(R70/W70,"")</f>
        <v/>
      </c>
      <c r="Z70" s="115">
        <f>IFERROR(R70/S70*1000,"")</f>
        <v/>
      </c>
      <c r="AA70" s="116" t="n">
        <v>19</v>
      </c>
      <c r="AB70" s="47">
        <f>IFERROR(AA70/W70,"")</f>
        <v/>
      </c>
      <c r="AC70" s="116" t="n">
        <v>880</v>
      </c>
      <c r="AD70" s="116" t="n">
        <v>472</v>
      </c>
      <c r="AE70" s="116" t="n">
        <v>408</v>
      </c>
      <c r="AF70" s="116" t="n">
        <v>266</v>
      </c>
      <c r="AG70" s="116" t="n">
        <v>210</v>
      </c>
      <c r="AH70" s="116" t="n">
        <v>121</v>
      </c>
      <c r="AI70" s="47">
        <f>IFERROR(AC70/S70,"")</f>
        <v/>
      </c>
      <c r="AJ70" s="47">
        <f>IFERROR(AH70/S70,"")</f>
        <v/>
      </c>
      <c r="AK70" s="116" t="n">
        <v>93</v>
      </c>
      <c r="AL70" s="116" t="n">
        <v>1</v>
      </c>
      <c r="AM70" s="118">
        <f>IFERROR(AL70/AA70,"")</f>
        <v/>
      </c>
      <c r="AN70" s="119">
        <f>IFERROR(R70/AL70,"")</f>
        <v/>
      </c>
      <c r="AO70" s="116" t="n">
        <v>1</v>
      </c>
      <c r="AP70" s="47">
        <f>IFERROR(AO70/AL70,"")</f>
        <v/>
      </c>
      <c r="AQ70" s="119">
        <f>IFERROR(R70/AO70,"")</f>
        <v/>
      </c>
      <c r="AR70" s="116" t="n">
        <v>1</v>
      </c>
      <c r="AS70" s="116" t="n">
        <v>0</v>
      </c>
      <c r="AT70" s="116">
        <f>AL70+AR70</f>
        <v/>
      </c>
      <c r="AU70" s="119">
        <f>IFERROR(AO70*Assumptions!$C$26*Assumptions!$C$27*INDEX(Assumptions!$C$18:$C$21,MATCH(H70,Assumptions!$B$18:$B$21,0)),0)</f>
        <v/>
      </c>
    </row>
    <row r="71">
      <c r="A71" s="114" t="n">
        <v>46253</v>
      </c>
      <c r="B71" s="42" t="inlineStr">
        <is>
          <t>Wk 34</t>
        </is>
      </c>
      <c r="C71" s="42" t="inlineStr">
        <is>
          <t>Wed</t>
        </is>
      </c>
      <c r="D71" s="42" t="inlineStr">
        <is>
          <t>Meta (FB/IG)</t>
        </is>
      </c>
      <c r="E71" s="42" t="inlineStr">
        <is>
          <t>Facebook + Instagram</t>
        </is>
      </c>
      <c r="F71" s="42" t="inlineStr">
        <is>
          <t>LEP_ZA_AUG26_META_TD_AMUR_CONV</t>
        </is>
      </c>
      <c r="G71" s="42" t="inlineStr">
        <is>
          <t>Leads - Website Conversions</t>
        </is>
      </c>
      <c r="H71" s="42" t="inlineStr">
        <is>
          <t>AMUR</t>
        </is>
      </c>
      <c r="I71" s="42" t="inlineStr">
        <is>
          <t>0% Deposit</t>
        </is>
      </c>
      <c r="J71" s="42" t="inlineStr">
        <is>
          <t>MET_AMUR_BROAD_25-54_ZA</t>
        </is>
      </c>
      <c r="K71" s="42" t="inlineStr">
        <is>
          <t>Prospecting</t>
        </is>
      </c>
      <c r="L71" s="42" t="inlineStr">
        <is>
          <t>AMUR_VID_15s_CityDrive_v2</t>
        </is>
      </c>
      <c r="M71" s="42" t="inlineStr">
        <is>
          <t>Video 9:16</t>
        </is>
      </c>
      <c r="N71" s="42" t="inlineStr">
        <is>
          <t>Zero deposit. Real drive. Today.</t>
        </is>
      </c>
      <c r="O71" s="42" t="inlineStr">
        <is>
          <t>Auction - Lowest Cost</t>
        </is>
      </c>
      <c r="P71" s="42" t="inlineStr">
        <is>
          <t>Offsite Conversions</t>
        </is>
      </c>
      <c r="Q71" s="42" t="inlineStr">
        <is>
          <t>https://www.lepas-sa.co.za/offers/amur</t>
        </is>
      </c>
      <c r="R71" s="115" t="n">
        <v>150.53</v>
      </c>
      <c r="S71" s="116" t="n">
        <v>2401</v>
      </c>
      <c r="T71" s="116" t="n">
        <v>1361</v>
      </c>
      <c r="U71" s="117">
        <f>IFERROR(S71/T71,"")</f>
        <v/>
      </c>
      <c r="V71" s="116" t="n">
        <v>30</v>
      </c>
      <c r="W71" s="116" t="n">
        <v>24</v>
      </c>
      <c r="X71" s="118">
        <f>IFERROR(W71/S71,"")</f>
        <v/>
      </c>
      <c r="Y71" s="115">
        <f>IFERROR(R71/W71,"")</f>
        <v/>
      </c>
      <c r="Z71" s="115">
        <f>IFERROR(R71/S71*1000,"")</f>
        <v/>
      </c>
      <c r="AA71" s="116" t="n">
        <v>19</v>
      </c>
      <c r="AB71" s="47">
        <f>IFERROR(AA71/W71,"")</f>
        <v/>
      </c>
      <c r="AC71" s="116" t="n">
        <v>770</v>
      </c>
      <c r="AD71" s="116" t="n">
        <v>425</v>
      </c>
      <c r="AE71" s="116" t="n">
        <v>285</v>
      </c>
      <c r="AF71" s="116" t="n">
        <v>191</v>
      </c>
      <c r="AG71" s="116" t="n">
        <v>139</v>
      </c>
      <c r="AH71" s="116" t="n">
        <v>82</v>
      </c>
      <c r="AI71" s="47">
        <f>IFERROR(AC71/S71,"")</f>
        <v/>
      </c>
      <c r="AJ71" s="47">
        <f>IFERROR(AH71/S71,"")</f>
        <v/>
      </c>
      <c r="AK71" s="116" t="n">
        <v>81</v>
      </c>
      <c r="AL71" s="116" t="n">
        <v>1</v>
      </c>
      <c r="AM71" s="118">
        <f>IFERROR(AL71/AA71,"")</f>
        <v/>
      </c>
      <c r="AN71" s="119">
        <f>IFERROR(R71/AL71,"")</f>
        <v/>
      </c>
      <c r="AO71" s="116" t="n">
        <v>0</v>
      </c>
      <c r="AP71" s="47">
        <f>IFERROR(AO71/AL71,"")</f>
        <v/>
      </c>
      <c r="AQ71" s="119">
        <f>IFERROR(R71/AO71,"")</f>
        <v/>
      </c>
      <c r="AR71" s="116" t="n">
        <v>0</v>
      </c>
      <c r="AS71" s="116" t="n">
        <v>1</v>
      </c>
      <c r="AT71" s="116">
        <f>AL71+AR71</f>
        <v/>
      </c>
      <c r="AU71" s="119">
        <f>IFERROR(AO71*Assumptions!$C$26*Assumptions!$C$27*INDEX(Assumptions!$C$18:$C$21,MATCH(H71,Assumptions!$B$18:$B$21,0)),0)</f>
        <v/>
      </c>
    </row>
    <row r="72">
      <c r="A72" s="114" t="n">
        <v>46254</v>
      </c>
      <c r="B72" s="42" t="inlineStr">
        <is>
          <t>Wk 34</t>
        </is>
      </c>
      <c r="C72" s="42" t="inlineStr">
        <is>
          <t>Thu</t>
        </is>
      </c>
      <c r="D72" s="42" t="inlineStr">
        <is>
          <t>Meta (FB/IG)</t>
        </is>
      </c>
      <c r="E72" s="42" t="inlineStr">
        <is>
          <t>Facebook + Instagram</t>
        </is>
      </c>
      <c r="F72" s="42" t="inlineStr">
        <is>
          <t>LEP_ZA_AUG26_META_TD_AMUR_CONV</t>
        </is>
      </c>
      <c r="G72" s="42" t="inlineStr">
        <is>
          <t>Leads - Website Conversions</t>
        </is>
      </c>
      <c r="H72" s="42" t="inlineStr">
        <is>
          <t>AMUR</t>
        </is>
      </c>
      <c r="I72" s="42" t="inlineStr">
        <is>
          <t>0% Deposit</t>
        </is>
      </c>
      <c r="J72" s="42" t="inlineStr">
        <is>
          <t>MET_AMUR_BROAD_25-54_ZA</t>
        </is>
      </c>
      <c r="K72" s="42" t="inlineStr">
        <is>
          <t>Prospecting</t>
        </is>
      </c>
      <c r="L72" s="42" t="inlineStr">
        <is>
          <t>AMUR_VID_15s_CityDrive_v2</t>
        </is>
      </c>
      <c r="M72" s="42" t="inlineStr">
        <is>
          <t>Video 9:16</t>
        </is>
      </c>
      <c r="N72" s="42" t="inlineStr">
        <is>
          <t>Zero deposit. Real drive. Today.</t>
        </is>
      </c>
      <c r="O72" s="42" t="inlineStr">
        <is>
          <t>Auction - Lowest Cost</t>
        </is>
      </c>
      <c r="P72" s="42" t="inlineStr">
        <is>
          <t>Offsite Conversions</t>
        </is>
      </c>
      <c r="Q72" s="42" t="inlineStr">
        <is>
          <t>https://www.lepas-sa.co.za/offers/amur</t>
        </is>
      </c>
      <c r="R72" s="115" t="n">
        <v>164.74</v>
      </c>
      <c r="S72" s="116" t="n">
        <v>2910</v>
      </c>
      <c r="T72" s="116" t="n">
        <v>1930</v>
      </c>
      <c r="U72" s="117">
        <f>IFERROR(S72/T72,"")</f>
        <v/>
      </c>
      <c r="V72" s="116" t="n">
        <v>56</v>
      </c>
      <c r="W72" s="116" t="n">
        <v>41</v>
      </c>
      <c r="X72" s="118">
        <f>IFERROR(W72/S72,"")</f>
        <v/>
      </c>
      <c r="Y72" s="115">
        <f>IFERROR(R72/W72,"")</f>
        <v/>
      </c>
      <c r="Z72" s="115">
        <f>IFERROR(R72/S72*1000,"")</f>
        <v/>
      </c>
      <c r="AA72" s="116" t="n">
        <v>35</v>
      </c>
      <c r="AB72" s="47">
        <f>IFERROR(AA72/W72,"")</f>
        <v/>
      </c>
      <c r="AC72" s="116" t="n">
        <v>780</v>
      </c>
      <c r="AD72" s="116" t="n">
        <v>446</v>
      </c>
      <c r="AE72" s="116" t="n">
        <v>427</v>
      </c>
      <c r="AF72" s="116" t="n">
        <v>255</v>
      </c>
      <c r="AG72" s="116" t="n">
        <v>178</v>
      </c>
      <c r="AH72" s="116" t="n">
        <v>113</v>
      </c>
      <c r="AI72" s="47">
        <f>IFERROR(AC72/S72,"")</f>
        <v/>
      </c>
      <c r="AJ72" s="47">
        <f>IFERROR(AH72/S72,"")</f>
        <v/>
      </c>
      <c r="AK72" s="116" t="n">
        <v>100</v>
      </c>
      <c r="AL72" s="116" t="n">
        <v>1</v>
      </c>
      <c r="AM72" s="118">
        <f>IFERROR(AL72/AA72,"")</f>
        <v/>
      </c>
      <c r="AN72" s="119">
        <f>IFERROR(R72/AL72,"")</f>
        <v/>
      </c>
      <c r="AO72" s="116" t="n">
        <v>0</v>
      </c>
      <c r="AP72" s="47">
        <f>IFERROR(AO72/AL72,"")</f>
        <v/>
      </c>
      <c r="AQ72" s="119">
        <f>IFERROR(R72/AO72,"")</f>
        <v/>
      </c>
      <c r="AR72" s="116" t="n">
        <v>0</v>
      </c>
      <c r="AS72" s="116" t="n">
        <v>0</v>
      </c>
      <c r="AT72" s="116">
        <f>AL72+AR72</f>
        <v/>
      </c>
      <c r="AU72" s="119">
        <f>IFERROR(AO72*Assumptions!$C$26*Assumptions!$C$27*INDEX(Assumptions!$C$18:$C$21,MATCH(H72,Assumptions!$B$18:$B$21,0)),0)</f>
        <v/>
      </c>
    </row>
    <row r="73">
      <c r="A73" s="114" t="n">
        <v>46255</v>
      </c>
      <c r="B73" s="42" t="inlineStr">
        <is>
          <t>Wk 34</t>
        </is>
      </c>
      <c r="C73" s="42" t="inlineStr">
        <is>
          <t>Fri</t>
        </is>
      </c>
      <c r="D73" s="42" t="inlineStr">
        <is>
          <t>Meta (FB/IG)</t>
        </is>
      </c>
      <c r="E73" s="42" t="inlineStr">
        <is>
          <t>Facebook + Instagram</t>
        </is>
      </c>
      <c r="F73" s="42" t="inlineStr">
        <is>
          <t>LEP_ZA_AUG26_META_TD_AMUR_CONV</t>
        </is>
      </c>
      <c r="G73" s="42" t="inlineStr">
        <is>
          <t>Leads - Website Conversions</t>
        </is>
      </c>
      <c r="H73" s="42" t="inlineStr">
        <is>
          <t>AMUR</t>
        </is>
      </c>
      <c r="I73" s="42" t="inlineStr">
        <is>
          <t>0% Deposit</t>
        </is>
      </c>
      <c r="J73" s="42" t="inlineStr">
        <is>
          <t>MET_AMUR_BROAD_25-54_ZA</t>
        </is>
      </c>
      <c r="K73" s="42" t="inlineStr">
        <is>
          <t>Prospecting</t>
        </is>
      </c>
      <c r="L73" s="42" t="inlineStr">
        <is>
          <t>AMUR_VID_15s_CityDrive_v2</t>
        </is>
      </c>
      <c r="M73" s="42" t="inlineStr">
        <is>
          <t>Video 9:16</t>
        </is>
      </c>
      <c r="N73" s="42" t="inlineStr">
        <is>
          <t>Zero deposit. Real drive. Today.</t>
        </is>
      </c>
      <c r="O73" s="42" t="inlineStr">
        <is>
          <t>Auction - Lowest Cost</t>
        </is>
      </c>
      <c r="P73" s="42" t="inlineStr">
        <is>
          <t>Offsite Conversions</t>
        </is>
      </c>
      <c r="Q73" s="42" t="inlineStr">
        <is>
          <t>https://www.lepas-sa.co.za/offers/amur</t>
        </is>
      </c>
      <c r="R73" s="115" t="n">
        <v>138.69</v>
      </c>
      <c r="S73" s="116" t="n">
        <v>1593</v>
      </c>
      <c r="T73" s="116" t="n">
        <v>1120</v>
      </c>
      <c r="U73" s="117">
        <f>IFERROR(S73/T73,"")</f>
        <v/>
      </c>
      <c r="V73" s="116" t="n">
        <v>17</v>
      </c>
      <c r="W73" s="116" t="n">
        <v>13</v>
      </c>
      <c r="X73" s="118">
        <f>IFERROR(W73/S73,"")</f>
        <v/>
      </c>
      <c r="Y73" s="115">
        <f>IFERROR(R73/W73,"")</f>
        <v/>
      </c>
      <c r="Z73" s="115">
        <f>IFERROR(R73/S73*1000,"")</f>
        <v/>
      </c>
      <c r="AA73" s="116" t="n">
        <v>11</v>
      </c>
      <c r="AB73" s="47">
        <f>IFERROR(AA73/W73,"")</f>
        <v/>
      </c>
      <c r="AC73" s="116" t="n">
        <v>356</v>
      </c>
      <c r="AD73" s="116" t="n">
        <v>178</v>
      </c>
      <c r="AE73" s="116" t="n">
        <v>149</v>
      </c>
      <c r="AF73" s="116" t="n">
        <v>89</v>
      </c>
      <c r="AG73" s="116" t="n">
        <v>70</v>
      </c>
      <c r="AH73" s="116" t="n">
        <v>45</v>
      </c>
      <c r="AI73" s="47">
        <f>IFERROR(AC73/S73,"")</f>
        <v/>
      </c>
      <c r="AJ73" s="47">
        <f>IFERROR(AH73/S73,"")</f>
        <v/>
      </c>
      <c r="AK73" s="116" t="n">
        <v>33</v>
      </c>
      <c r="AL73" s="116" t="n">
        <v>0</v>
      </c>
      <c r="AM73" s="118">
        <f>IFERROR(AL73/AA73,"")</f>
        <v/>
      </c>
      <c r="AN73" s="119">
        <f>IFERROR(R73/AL73,"")</f>
        <v/>
      </c>
      <c r="AO73" s="116" t="n">
        <v>0</v>
      </c>
      <c r="AP73" s="47">
        <f>IFERROR(AO73/AL73,"")</f>
        <v/>
      </c>
      <c r="AQ73" s="119">
        <f>IFERROR(R73/AO73,"")</f>
        <v/>
      </c>
      <c r="AR73" s="116" t="n">
        <v>0</v>
      </c>
      <c r="AS73" s="116" t="n">
        <v>0</v>
      </c>
      <c r="AT73" s="116">
        <f>AL73+AR73</f>
        <v/>
      </c>
      <c r="AU73" s="119">
        <f>IFERROR(AO73*Assumptions!$C$26*Assumptions!$C$27*INDEX(Assumptions!$C$18:$C$21,MATCH(H73,Assumptions!$B$18:$B$21,0)),0)</f>
        <v/>
      </c>
    </row>
    <row r="74">
      <c r="A74" s="114" t="n">
        <v>46256</v>
      </c>
      <c r="B74" s="42" t="inlineStr">
        <is>
          <t>Wk 34</t>
        </is>
      </c>
      <c r="C74" s="42" t="inlineStr">
        <is>
          <t>Sat</t>
        </is>
      </c>
      <c r="D74" s="42" t="inlineStr">
        <is>
          <t>Meta (FB/IG)</t>
        </is>
      </c>
      <c r="E74" s="42" t="inlineStr">
        <is>
          <t>Facebook + Instagram</t>
        </is>
      </c>
      <c r="F74" s="42" t="inlineStr">
        <is>
          <t>LEP_ZA_AUG26_META_TD_AMUR_CONV</t>
        </is>
      </c>
      <c r="G74" s="42" t="inlineStr">
        <is>
          <t>Leads - Website Conversions</t>
        </is>
      </c>
      <c r="H74" s="42" t="inlineStr">
        <is>
          <t>AMUR</t>
        </is>
      </c>
      <c r="I74" s="42" t="inlineStr">
        <is>
          <t>0% Deposit</t>
        </is>
      </c>
      <c r="J74" s="42" t="inlineStr">
        <is>
          <t>MET_AMUR_BROAD_25-54_ZA</t>
        </is>
      </c>
      <c r="K74" s="42" t="inlineStr">
        <is>
          <t>Prospecting</t>
        </is>
      </c>
      <c r="L74" s="42" t="inlineStr">
        <is>
          <t>AMUR_VID_15s_CityDrive_v2</t>
        </is>
      </c>
      <c r="M74" s="42" t="inlineStr">
        <is>
          <t>Video 9:16</t>
        </is>
      </c>
      <c r="N74" s="42" t="inlineStr">
        <is>
          <t>Zero deposit. Real drive. Today.</t>
        </is>
      </c>
      <c r="O74" s="42" t="inlineStr">
        <is>
          <t>Auction - Lowest Cost</t>
        </is>
      </c>
      <c r="P74" s="42" t="inlineStr">
        <is>
          <t>Offsite Conversions</t>
        </is>
      </c>
      <c r="Q74" s="42" t="inlineStr">
        <is>
          <t>https://www.lepas-sa.co.za/offers/amur</t>
        </is>
      </c>
      <c r="R74" s="115" t="n">
        <v>178.45</v>
      </c>
      <c r="S74" s="116" t="n">
        <v>2392</v>
      </c>
      <c r="T74" s="116" t="n">
        <v>1347</v>
      </c>
      <c r="U74" s="117">
        <f>IFERROR(S74/T74,"")</f>
        <v/>
      </c>
      <c r="V74" s="116" t="n">
        <v>46</v>
      </c>
      <c r="W74" s="116" t="n">
        <v>35</v>
      </c>
      <c r="X74" s="118">
        <f>IFERROR(W74/S74,"")</f>
        <v/>
      </c>
      <c r="Y74" s="115">
        <f>IFERROR(R74/W74,"")</f>
        <v/>
      </c>
      <c r="Z74" s="115">
        <f>IFERROR(R74/S74*1000,"")</f>
        <v/>
      </c>
      <c r="AA74" s="116" t="n">
        <v>30</v>
      </c>
      <c r="AB74" s="47">
        <f>IFERROR(AA74/W74,"")</f>
        <v/>
      </c>
      <c r="AC74" s="116" t="n">
        <v>918</v>
      </c>
      <c r="AD74" s="116" t="n">
        <v>439</v>
      </c>
      <c r="AE74" s="116" t="n">
        <v>493</v>
      </c>
      <c r="AF74" s="116" t="n">
        <v>326</v>
      </c>
      <c r="AG74" s="116" t="n">
        <v>249</v>
      </c>
      <c r="AH74" s="116" t="n">
        <v>153</v>
      </c>
      <c r="AI74" s="47">
        <f>IFERROR(AC74/S74,"")</f>
        <v/>
      </c>
      <c r="AJ74" s="47">
        <f>IFERROR(AH74/S74,"")</f>
        <v/>
      </c>
      <c r="AK74" s="116" t="n">
        <v>80</v>
      </c>
      <c r="AL74" s="116" t="n">
        <v>1</v>
      </c>
      <c r="AM74" s="118">
        <f>IFERROR(AL74/AA74,"")</f>
        <v/>
      </c>
      <c r="AN74" s="119">
        <f>IFERROR(R74/AL74,"")</f>
        <v/>
      </c>
      <c r="AO74" s="116" t="n">
        <v>1</v>
      </c>
      <c r="AP74" s="47">
        <f>IFERROR(AO74/AL74,"")</f>
        <v/>
      </c>
      <c r="AQ74" s="119">
        <f>IFERROR(R74/AO74,"")</f>
        <v/>
      </c>
      <c r="AR74" s="116" t="n">
        <v>0</v>
      </c>
      <c r="AS74" s="116" t="n">
        <v>0</v>
      </c>
      <c r="AT74" s="116">
        <f>AL74+AR74</f>
        <v/>
      </c>
      <c r="AU74" s="119">
        <f>IFERROR(AO74*Assumptions!$C$26*Assumptions!$C$27*INDEX(Assumptions!$C$18:$C$21,MATCH(H74,Assumptions!$B$18:$B$21,0)),0)</f>
        <v/>
      </c>
    </row>
    <row r="75">
      <c r="A75" s="114" t="n">
        <v>46257</v>
      </c>
      <c r="B75" s="42" t="inlineStr">
        <is>
          <t>Wk 34</t>
        </is>
      </c>
      <c r="C75" s="42" t="inlineStr">
        <is>
          <t>Sun</t>
        </is>
      </c>
      <c r="D75" s="42" t="inlineStr">
        <is>
          <t>Meta (FB/IG)</t>
        </is>
      </c>
      <c r="E75" s="42" t="inlineStr">
        <is>
          <t>Facebook + Instagram</t>
        </is>
      </c>
      <c r="F75" s="42" t="inlineStr">
        <is>
          <t>LEP_ZA_AUG26_META_TD_AMUR_CONV</t>
        </is>
      </c>
      <c r="G75" s="42" t="inlineStr">
        <is>
          <t>Leads - Website Conversions</t>
        </is>
      </c>
      <c r="H75" s="42" t="inlineStr">
        <is>
          <t>AMUR</t>
        </is>
      </c>
      <c r="I75" s="42" t="inlineStr">
        <is>
          <t>0% Deposit</t>
        </is>
      </c>
      <c r="J75" s="42" t="inlineStr">
        <is>
          <t>MET_AMUR_BROAD_25-54_ZA</t>
        </is>
      </c>
      <c r="K75" s="42" t="inlineStr">
        <is>
          <t>Prospecting</t>
        </is>
      </c>
      <c r="L75" s="42" t="inlineStr">
        <is>
          <t>AMUR_VID_15s_CityDrive_v2</t>
        </is>
      </c>
      <c r="M75" s="42" t="inlineStr">
        <is>
          <t>Video 9:16</t>
        </is>
      </c>
      <c r="N75" s="42" t="inlineStr">
        <is>
          <t>Zero deposit. Real drive. Today.</t>
        </is>
      </c>
      <c r="O75" s="42" t="inlineStr">
        <is>
          <t>Auction - Lowest Cost</t>
        </is>
      </c>
      <c r="P75" s="42" t="inlineStr">
        <is>
          <t>Offsite Conversions</t>
        </is>
      </c>
      <c r="Q75" s="42" t="inlineStr">
        <is>
          <t>https://www.lepas-sa.co.za/offers/amur</t>
        </is>
      </c>
      <c r="R75" s="115" t="n">
        <v>136.03</v>
      </c>
      <c r="S75" s="116" t="n">
        <v>1674</v>
      </c>
      <c r="T75" s="116" t="n">
        <v>1024</v>
      </c>
      <c r="U75" s="117">
        <f>IFERROR(S75/T75,"")</f>
        <v/>
      </c>
      <c r="V75" s="116" t="n">
        <v>34</v>
      </c>
      <c r="W75" s="116" t="n">
        <v>24</v>
      </c>
      <c r="X75" s="118">
        <f>IFERROR(W75/S75,"")</f>
        <v/>
      </c>
      <c r="Y75" s="115">
        <f>IFERROR(R75/W75,"")</f>
        <v/>
      </c>
      <c r="Z75" s="115">
        <f>IFERROR(R75/S75*1000,"")</f>
        <v/>
      </c>
      <c r="AA75" s="116" t="n">
        <v>19</v>
      </c>
      <c r="AB75" s="47">
        <f>IFERROR(AA75/W75,"")</f>
        <v/>
      </c>
      <c r="AC75" s="116" t="n">
        <v>462</v>
      </c>
      <c r="AD75" s="116" t="n">
        <v>211</v>
      </c>
      <c r="AE75" s="116" t="n">
        <v>217</v>
      </c>
      <c r="AF75" s="116" t="n">
        <v>139</v>
      </c>
      <c r="AG75" s="116" t="n">
        <v>93</v>
      </c>
      <c r="AH75" s="116" t="n">
        <v>60</v>
      </c>
      <c r="AI75" s="47">
        <f>IFERROR(AC75/S75,"")</f>
        <v/>
      </c>
      <c r="AJ75" s="47">
        <f>IFERROR(AH75/S75,"")</f>
        <v/>
      </c>
      <c r="AK75" s="116" t="n">
        <v>42</v>
      </c>
      <c r="AL75" s="116" t="n">
        <v>0</v>
      </c>
      <c r="AM75" s="118">
        <f>IFERROR(AL75/AA75,"")</f>
        <v/>
      </c>
      <c r="AN75" s="119">
        <f>IFERROR(R75/AL75,"")</f>
        <v/>
      </c>
      <c r="AO75" s="116" t="n">
        <v>0</v>
      </c>
      <c r="AP75" s="47">
        <f>IFERROR(AO75/AL75,"")</f>
        <v/>
      </c>
      <c r="AQ75" s="119">
        <f>IFERROR(R75/AO75,"")</f>
        <v/>
      </c>
      <c r="AR75" s="116" t="n">
        <v>0</v>
      </c>
      <c r="AS75" s="116" t="n">
        <v>0</v>
      </c>
      <c r="AT75" s="116">
        <f>AL75+AR75</f>
        <v/>
      </c>
      <c r="AU75" s="119">
        <f>IFERROR(AO75*Assumptions!$C$26*Assumptions!$C$27*INDEX(Assumptions!$C$18:$C$21,MATCH(H75,Assumptions!$B$18:$B$21,0)),0)</f>
        <v/>
      </c>
    </row>
    <row r="76">
      <c r="A76" s="114" t="n">
        <v>46258</v>
      </c>
      <c r="B76" s="42" t="inlineStr">
        <is>
          <t>Wk 35</t>
        </is>
      </c>
      <c r="C76" s="42" t="inlineStr">
        <is>
          <t>Mon</t>
        </is>
      </c>
      <c r="D76" s="42" t="inlineStr">
        <is>
          <t>Meta (FB/IG)</t>
        </is>
      </c>
      <c r="E76" s="42" t="inlineStr">
        <is>
          <t>Facebook + Instagram</t>
        </is>
      </c>
      <c r="F76" s="42" t="inlineStr">
        <is>
          <t>LEP_ZA_AUG26_META_TD_AMUR_CONV</t>
        </is>
      </c>
      <c r="G76" s="42" t="inlineStr">
        <is>
          <t>Leads - Website Conversions</t>
        </is>
      </c>
      <c r="H76" s="42" t="inlineStr">
        <is>
          <t>AMUR</t>
        </is>
      </c>
      <c r="I76" s="42" t="inlineStr">
        <is>
          <t>0% Deposit</t>
        </is>
      </c>
      <c r="J76" s="42" t="inlineStr">
        <is>
          <t>MET_AMUR_BROAD_25-54_ZA</t>
        </is>
      </c>
      <c r="K76" s="42" t="inlineStr">
        <is>
          <t>Prospecting</t>
        </is>
      </c>
      <c r="L76" s="42" t="inlineStr">
        <is>
          <t>AMUR_VID_15s_CityDrive_v2</t>
        </is>
      </c>
      <c r="M76" s="42" t="inlineStr">
        <is>
          <t>Video 9:16</t>
        </is>
      </c>
      <c r="N76" s="42" t="inlineStr">
        <is>
          <t>Zero deposit. Real drive. Today.</t>
        </is>
      </c>
      <c r="O76" s="42" t="inlineStr">
        <is>
          <t>Auction - Lowest Cost</t>
        </is>
      </c>
      <c r="P76" s="42" t="inlineStr">
        <is>
          <t>Offsite Conversions</t>
        </is>
      </c>
      <c r="Q76" s="42" t="inlineStr">
        <is>
          <t>https://www.lepas-sa.co.za/offers/amur</t>
        </is>
      </c>
      <c r="R76" s="115" t="n">
        <v>127.57</v>
      </c>
      <c r="S76" s="116" t="n">
        <v>2116</v>
      </c>
      <c r="T76" s="116" t="n">
        <v>1160</v>
      </c>
      <c r="U76" s="117">
        <f>IFERROR(S76/T76,"")</f>
        <v/>
      </c>
      <c r="V76" s="116" t="n">
        <v>20</v>
      </c>
      <c r="W76" s="116" t="n">
        <v>16</v>
      </c>
      <c r="X76" s="118">
        <f>IFERROR(W76/S76,"")</f>
        <v/>
      </c>
      <c r="Y76" s="115">
        <f>IFERROR(R76/W76,"")</f>
        <v/>
      </c>
      <c r="Z76" s="115">
        <f>IFERROR(R76/S76*1000,"")</f>
        <v/>
      </c>
      <c r="AA76" s="116" t="n">
        <v>13</v>
      </c>
      <c r="AB76" s="47">
        <f>IFERROR(AA76/W76,"")</f>
        <v/>
      </c>
      <c r="AC76" s="116" t="n">
        <v>490</v>
      </c>
      <c r="AD76" s="116" t="n">
        <v>220</v>
      </c>
      <c r="AE76" s="116" t="n">
        <v>188</v>
      </c>
      <c r="AF76" s="116" t="n">
        <v>100</v>
      </c>
      <c r="AG76" s="116" t="n">
        <v>66</v>
      </c>
      <c r="AH76" s="116" t="n">
        <v>40</v>
      </c>
      <c r="AI76" s="47">
        <f>IFERROR(AC76/S76,"")</f>
        <v/>
      </c>
      <c r="AJ76" s="47">
        <f>IFERROR(AH76/S76,"")</f>
        <v/>
      </c>
      <c r="AK76" s="116" t="n">
        <v>39</v>
      </c>
      <c r="AL76" s="116" t="n">
        <v>0</v>
      </c>
      <c r="AM76" s="118">
        <f>IFERROR(AL76/AA76,"")</f>
        <v/>
      </c>
      <c r="AN76" s="119">
        <f>IFERROR(R76/AL76,"")</f>
        <v/>
      </c>
      <c r="AO76" s="116" t="n">
        <v>0</v>
      </c>
      <c r="AP76" s="47">
        <f>IFERROR(AO76/AL76,"")</f>
        <v/>
      </c>
      <c r="AQ76" s="119">
        <f>IFERROR(R76/AO76,"")</f>
        <v/>
      </c>
      <c r="AR76" s="116" t="n">
        <v>0</v>
      </c>
      <c r="AS76" s="116" t="n">
        <v>0</v>
      </c>
      <c r="AT76" s="116">
        <f>AL76+AR76</f>
        <v/>
      </c>
      <c r="AU76" s="119">
        <f>IFERROR(AO76*Assumptions!$C$26*Assumptions!$C$27*INDEX(Assumptions!$C$18:$C$21,MATCH(H76,Assumptions!$B$18:$B$21,0)),0)</f>
        <v/>
      </c>
    </row>
    <row r="77">
      <c r="A77" s="114" t="n">
        <v>46259</v>
      </c>
      <c r="B77" s="42" t="inlineStr">
        <is>
          <t>Wk 35</t>
        </is>
      </c>
      <c r="C77" s="42" t="inlineStr">
        <is>
          <t>Tue</t>
        </is>
      </c>
      <c r="D77" s="42" t="inlineStr">
        <is>
          <t>Meta (FB/IG)</t>
        </is>
      </c>
      <c r="E77" s="42" t="inlineStr">
        <is>
          <t>Facebook + Instagram</t>
        </is>
      </c>
      <c r="F77" s="42" t="inlineStr">
        <is>
          <t>LEP_ZA_AUG26_META_TD_AMUR_CONV</t>
        </is>
      </c>
      <c r="G77" s="42" t="inlineStr">
        <is>
          <t>Leads - Website Conversions</t>
        </is>
      </c>
      <c r="H77" s="42" t="inlineStr">
        <is>
          <t>AMUR</t>
        </is>
      </c>
      <c r="I77" s="42" t="inlineStr">
        <is>
          <t>0% Deposit</t>
        </is>
      </c>
      <c r="J77" s="42" t="inlineStr">
        <is>
          <t>MET_AMUR_BROAD_25-54_ZA</t>
        </is>
      </c>
      <c r="K77" s="42" t="inlineStr">
        <is>
          <t>Prospecting</t>
        </is>
      </c>
      <c r="L77" s="42" t="inlineStr">
        <is>
          <t>AMUR_VID_15s_CityDrive_v2</t>
        </is>
      </c>
      <c r="M77" s="42" t="inlineStr">
        <is>
          <t>Video 9:16</t>
        </is>
      </c>
      <c r="N77" s="42" t="inlineStr">
        <is>
          <t>Zero deposit. Real drive. Today.</t>
        </is>
      </c>
      <c r="O77" s="42" t="inlineStr">
        <is>
          <t>Auction - Lowest Cost</t>
        </is>
      </c>
      <c r="P77" s="42" t="inlineStr">
        <is>
          <t>Offsite Conversions</t>
        </is>
      </c>
      <c r="Q77" s="42" t="inlineStr">
        <is>
          <t>https://www.lepas-sa.co.za/offers/amur</t>
        </is>
      </c>
      <c r="R77" s="115" t="n">
        <v>151.11</v>
      </c>
      <c r="S77" s="116" t="n">
        <v>1666</v>
      </c>
      <c r="T77" s="116" t="n">
        <v>1065</v>
      </c>
      <c r="U77" s="117">
        <f>IFERROR(S77/T77,"")</f>
        <v/>
      </c>
      <c r="V77" s="116" t="n">
        <v>20</v>
      </c>
      <c r="W77" s="116" t="n">
        <v>17</v>
      </c>
      <c r="X77" s="118">
        <f>IFERROR(W77/S77,"")</f>
        <v/>
      </c>
      <c r="Y77" s="115">
        <f>IFERROR(R77/W77,"")</f>
        <v/>
      </c>
      <c r="Z77" s="115">
        <f>IFERROR(R77/S77*1000,"")</f>
        <v/>
      </c>
      <c r="AA77" s="116" t="n">
        <v>15</v>
      </c>
      <c r="AB77" s="47">
        <f>IFERROR(AA77/W77,"")</f>
        <v/>
      </c>
      <c r="AC77" s="116" t="n">
        <v>483</v>
      </c>
      <c r="AD77" s="116" t="n">
        <v>247</v>
      </c>
      <c r="AE77" s="116" t="n">
        <v>214</v>
      </c>
      <c r="AF77" s="116" t="n">
        <v>142</v>
      </c>
      <c r="AG77" s="116" t="n">
        <v>106</v>
      </c>
      <c r="AH77" s="116" t="n">
        <v>67</v>
      </c>
      <c r="AI77" s="47">
        <f>IFERROR(AC77/S77,"")</f>
        <v/>
      </c>
      <c r="AJ77" s="47">
        <f>IFERROR(AH77/S77,"")</f>
        <v/>
      </c>
      <c r="AK77" s="116" t="n">
        <v>33</v>
      </c>
      <c r="AL77" s="116" t="n">
        <v>0</v>
      </c>
      <c r="AM77" s="118">
        <f>IFERROR(AL77/AA77,"")</f>
        <v/>
      </c>
      <c r="AN77" s="119">
        <f>IFERROR(R77/AL77,"")</f>
        <v/>
      </c>
      <c r="AO77" s="116" t="n">
        <v>0</v>
      </c>
      <c r="AP77" s="47">
        <f>IFERROR(AO77/AL77,"")</f>
        <v/>
      </c>
      <c r="AQ77" s="119">
        <f>IFERROR(R77/AO77,"")</f>
        <v/>
      </c>
      <c r="AR77" s="116" t="n">
        <v>0</v>
      </c>
      <c r="AS77" s="116" t="n">
        <v>0</v>
      </c>
      <c r="AT77" s="116">
        <f>AL77+AR77</f>
        <v/>
      </c>
      <c r="AU77" s="119">
        <f>IFERROR(AO77*Assumptions!$C$26*Assumptions!$C$27*INDEX(Assumptions!$C$18:$C$21,MATCH(H77,Assumptions!$B$18:$B$21,0)),0)</f>
        <v/>
      </c>
    </row>
    <row r="78">
      <c r="A78" s="114" t="n">
        <v>46260</v>
      </c>
      <c r="B78" s="42" t="inlineStr">
        <is>
          <t>Wk 35</t>
        </is>
      </c>
      <c r="C78" s="42" t="inlineStr">
        <is>
          <t>Wed</t>
        </is>
      </c>
      <c r="D78" s="42" t="inlineStr">
        <is>
          <t>Meta (FB/IG)</t>
        </is>
      </c>
      <c r="E78" s="42" t="inlineStr">
        <is>
          <t>Facebook + Instagram</t>
        </is>
      </c>
      <c r="F78" s="42" t="inlineStr">
        <is>
          <t>LEP_ZA_AUG26_META_TD_AMUR_CONV</t>
        </is>
      </c>
      <c r="G78" s="42" t="inlineStr">
        <is>
          <t>Leads - Website Conversions</t>
        </is>
      </c>
      <c r="H78" s="42" t="inlineStr">
        <is>
          <t>AMUR</t>
        </is>
      </c>
      <c r="I78" s="42" t="inlineStr">
        <is>
          <t>0% Deposit</t>
        </is>
      </c>
      <c r="J78" s="42" t="inlineStr">
        <is>
          <t>MET_AMUR_BROAD_25-54_ZA</t>
        </is>
      </c>
      <c r="K78" s="42" t="inlineStr">
        <is>
          <t>Prospecting</t>
        </is>
      </c>
      <c r="L78" s="42" t="inlineStr">
        <is>
          <t>AMUR_VID_15s_CityDrive_v2</t>
        </is>
      </c>
      <c r="M78" s="42" t="inlineStr">
        <is>
          <t>Video 9:16</t>
        </is>
      </c>
      <c r="N78" s="42" t="inlineStr">
        <is>
          <t>Zero deposit. Real drive. Today.</t>
        </is>
      </c>
      <c r="O78" s="42" t="inlineStr">
        <is>
          <t>Auction - Lowest Cost</t>
        </is>
      </c>
      <c r="P78" s="42" t="inlineStr">
        <is>
          <t>Offsite Conversions</t>
        </is>
      </c>
      <c r="Q78" s="42" t="inlineStr">
        <is>
          <t>https://www.lepas-sa.co.za/offers/amur</t>
        </is>
      </c>
      <c r="R78" s="115" t="n">
        <v>123.96</v>
      </c>
      <c r="S78" s="116" t="n">
        <v>1760</v>
      </c>
      <c r="T78" s="116" t="n">
        <v>1000</v>
      </c>
      <c r="U78" s="117">
        <f>IFERROR(S78/T78,"")</f>
        <v/>
      </c>
      <c r="V78" s="116" t="n">
        <v>31</v>
      </c>
      <c r="W78" s="116" t="n">
        <v>22</v>
      </c>
      <c r="X78" s="118">
        <f>IFERROR(W78/S78,"")</f>
        <v/>
      </c>
      <c r="Y78" s="115">
        <f>IFERROR(R78/W78,"")</f>
        <v/>
      </c>
      <c r="Z78" s="115">
        <f>IFERROR(R78/S78*1000,"")</f>
        <v/>
      </c>
      <c r="AA78" s="116" t="n">
        <v>20</v>
      </c>
      <c r="AB78" s="47">
        <f>IFERROR(AA78/W78,"")</f>
        <v/>
      </c>
      <c r="AC78" s="116" t="n">
        <v>530</v>
      </c>
      <c r="AD78" s="116" t="n">
        <v>330</v>
      </c>
      <c r="AE78" s="116" t="n">
        <v>246</v>
      </c>
      <c r="AF78" s="116" t="n">
        <v>146</v>
      </c>
      <c r="AG78" s="116" t="n">
        <v>111</v>
      </c>
      <c r="AH78" s="116" t="n">
        <v>67</v>
      </c>
      <c r="AI78" s="47">
        <f>IFERROR(AC78/S78,"")</f>
        <v/>
      </c>
      <c r="AJ78" s="47">
        <f>IFERROR(AH78/S78,"")</f>
        <v/>
      </c>
      <c r="AK78" s="116" t="n">
        <v>26</v>
      </c>
      <c r="AL78" s="116" t="n">
        <v>0</v>
      </c>
      <c r="AM78" s="118">
        <f>IFERROR(AL78/AA78,"")</f>
        <v/>
      </c>
      <c r="AN78" s="119">
        <f>IFERROR(R78/AL78,"")</f>
        <v/>
      </c>
      <c r="AO78" s="116" t="n">
        <v>0</v>
      </c>
      <c r="AP78" s="47">
        <f>IFERROR(AO78/AL78,"")</f>
        <v/>
      </c>
      <c r="AQ78" s="119">
        <f>IFERROR(R78/AO78,"")</f>
        <v/>
      </c>
      <c r="AR78" s="116" t="n">
        <v>0</v>
      </c>
      <c r="AS78" s="116" t="n">
        <v>0</v>
      </c>
      <c r="AT78" s="116">
        <f>AL78+AR78</f>
        <v/>
      </c>
      <c r="AU78" s="119">
        <f>IFERROR(AO78*Assumptions!$C$26*Assumptions!$C$27*INDEX(Assumptions!$C$18:$C$21,MATCH(H78,Assumptions!$B$18:$B$21,0)),0)</f>
        <v/>
      </c>
    </row>
    <row r="79">
      <c r="A79" s="114" t="n">
        <v>46261</v>
      </c>
      <c r="B79" s="42" t="inlineStr">
        <is>
          <t>Wk 35</t>
        </is>
      </c>
      <c r="C79" s="42" t="inlineStr">
        <is>
          <t>Thu</t>
        </is>
      </c>
      <c r="D79" s="42" t="inlineStr">
        <is>
          <t>Meta (FB/IG)</t>
        </is>
      </c>
      <c r="E79" s="42" t="inlineStr">
        <is>
          <t>Facebook + Instagram</t>
        </is>
      </c>
      <c r="F79" s="42" t="inlineStr">
        <is>
          <t>LEP_ZA_AUG26_META_TD_AMUR_CONV</t>
        </is>
      </c>
      <c r="G79" s="42" t="inlineStr">
        <is>
          <t>Leads - Website Conversions</t>
        </is>
      </c>
      <c r="H79" s="42" t="inlineStr">
        <is>
          <t>AMUR</t>
        </is>
      </c>
      <c r="I79" s="42" t="inlineStr">
        <is>
          <t>0% Deposit</t>
        </is>
      </c>
      <c r="J79" s="42" t="inlineStr">
        <is>
          <t>MET_AMUR_BROAD_25-54_ZA</t>
        </is>
      </c>
      <c r="K79" s="42" t="inlineStr">
        <is>
          <t>Prospecting</t>
        </is>
      </c>
      <c r="L79" s="42" t="inlineStr">
        <is>
          <t>AMUR_VID_15s_CityDrive_v2</t>
        </is>
      </c>
      <c r="M79" s="42" t="inlineStr">
        <is>
          <t>Video 9:16</t>
        </is>
      </c>
      <c r="N79" s="42" t="inlineStr">
        <is>
          <t>Zero deposit. Real drive. Today.</t>
        </is>
      </c>
      <c r="O79" s="42" t="inlineStr">
        <is>
          <t>Auction - Lowest Cost</t>
        </is>
      </c>
      <c r="P79" s="42" t="inlineStr">
        <is>
          <t>Offsite Conversions</t>
        </is>
      </c>
      <c r="Q79" s="42" t="inlineStr">
        <is>
          <t>https://www.lepas-sa.co.za/offers/amur</t>
        </is>
      </c>
      <c r="R79" s="115" t="n">
        <v>152.79</v>
      </c>
      <c r="S79" s="116" t="n">
        <v>2178</v>
      </c>
      <c r="T79" s="116" t="n">
        <v>1100</v>
      </c>
      <c r="U79" s="117">
        <f>IFERROR(S79/T79,"")</f>
        <v/>
      </c>
      <c r="V79" s="116" t="n">
        <v>31</v>
      </c>
      <c r="W79" s="116" t="n">
        <v>23</v>
      </c>
      <c r="X79" s="118">
        <f>IFERROR(W79/S79,"")</f>
        <v/>
      </c>
      <c r="Y79" s="115">
        <f>IFERROR(R79/W79,"")</f>
        <v/>
      </c>
      <c r="Z79" s="115">
        <f>IFERROR(R79/S79*1000,"")</f>
        <v/>
      </c>
      <c r="AA79" s="116" t="n">
        <v>20</v>
      </c>
      <c r="AB79" s="47">
        <f>IFERROR(AA79/W79,"")</f>
        <v/>
      </c>
      <c r="AC79" s="116" t="n">
        <v>555</v>
      </c>
      <c r="AD79" s="116" t="n">
        <v>280</v>
      </c>
      <c r="AE79" s="116" t="n">
        <v>203</v>
      </c>
      <c r="AF79" s="116" t="n">
        <v>113</v>
      </c>
      <c r="AG79" s="116" t="n">
        <v>76</v>
      </c>
      <c r="AH79" s="116" t="n">
        <v>53</v>
      </c>
      <c r="AI79" s="47">
        <f>IFERROR(AC79/S79,"")</f>
        <v/>
      </c>
      <c r="AJ79" s="47">
        <f>IFERROR(AH79/S79,"")</f>
        <v/>
      </c>
      <c r="AK79" s="116" t="n">
        <v>70</v>
      </c>
      <c r="AL79" s="116" t="n">
        <v>0</v>
      </c>
      <c r="AM79" s="118">
        <f>IFERROR(AL79/AA79,"")</f>
        <v/>
      </c>
      <c r="AN79" s="119">
        <f>IFERROR(R79/AL79,"")</f>
        <v/>
      </c>
      <c r="AO79" s="116" t="n">
        <v>0</v>
      </c>
      <c r="AP79" s="47">
        <f>IFERROR(AO79/AL79,"")</f>
        <v/>
      </c>
      <c r="AQ79" s="119">
        <f>IFERROR(R79/AO79,"")</f>
        <v/>
      </c>
      <c r="AR79" s="116" t="n">
        <v>0</v>
      </c>
      <c r="AS79" s="116" t="n">
        <v>0</v>
      </c>
      <c r="AT79" s="116">
        <f>AL79+AR79</f>
        <v/>
      </c>
      <c r="AU79" s="119">
        <f>IFERROR(AO79*Assumptions!$C$26*Assumptions!$C$27*INDEX(Assumptions!$C$18:$C$21,MATCH(H79,Assumptions!$B$18:$B$21,0)),0)</f>
        <v/>
      </c>
    </row>
    <row r="80">
      <c r="A80" s="114" t="n">
        <v>46262</v>
      </c>
      <c r="B80" s="42" t="inlineStr">
        <is>
          <t>Wk 35</t>
        </is>
      </c>
      <c r="C80" s="42" t="inlineStr">
        <is>
          <t>Fri</t>
        </is>
      </c>
      <c r="D80" s="42" t="inlineStr">
        <is>
          <t>Meta (FB/IG)</t>
        </is>
      </c>
      <c r="E80" s="42" t="inlineStr">
        <is>
          <t>Facebook + Instagram</t>
        </is>
      </c>
      <c r="F80" s="42" t="inlineStr">
        <is>
          <t>LEP_ZA_AUG26_META_TD_AMUR_CONV</t>
        </is>
      </c>
      <c r="G80" s="42" t="inlineStr">
        <is>
          <t>Leads - Website Conversions</t>
        </is>
      </c>
      <c r="H80" s="42" t="inlineStr">
        <is>
          <t>AMUR</t>
        </is>
      </c>
      <c r="I80" s="42" t="inlineStr">
        <is>
          <t>0% Deposit</t>
        </is>
      </c>
      <c r="J80" s="42" t="inlineStr">
        <is>
          <t>MET_AMUR_BROAD_25-54_ZA</t>
        </is>
      </c>
      <c r="K80" s="42" t="inlineStr">
        <is>
          <t>Prospecting</t>
        </is>
      </c>
      <c r="L80" s="42" t="inlineStr">
        <is>
          <t>AMUR_VID_15s_CityDrive_v2</t>
        </is>
      </c>
      <c r="M80" s="42" t="inlineStr">
        <is>
          <t>Video 9:16</t>
        </is>
      </c>
      <c r="N80" s="42" t="inlineStr">
        <is>
          <t>Zero deposit. Real drive. Today.</t>
        </is>
      </c>
      <c r="O80" s="42" t="inlineStr">
        <is>
          <t>Auction - Lowest Cost</t>
        </is>
      </c>
      <c r="P80" s="42" t="inlineStr">
        <is>
          <t>Offsite Conversions</t>
        </is>
      </c>
      <c r="Q80" s="42" t="inlineStr">
        <is>
          <t>https://www.lepas-sa.co.za/offers/amur</t>
        </is>
      </c>
      <c r="R80" s="115" t="n">
        <v>201.24</v>
      </c>
      <c r="S80" s="116" t="n">
        <v>2321</v>
      </c>
      <c r="T80" s="116" t="n">
        <v>1302</v>
      </c>
      <c r="U80" s="117">
        <f>IFERROR(S80/T80,"")</f>
        <v/>
      </c>
      <c r="V80" s="116" t="n">
        <v>23</v>
      </c>
      <c r="W80" s="116" t="n">
        <v>16</v>
      </c>
      <c r="X80" s="118">
        <f>IFERROR(W80/S80,"")</f>
        <v/>
      </c>
      <c r="Y80" s="115">
        <f>IFERROR(R80/W80,"")</f>
        <v/>
      </c>
      <c r="Z80" s="115">
        <f>IFERROR(R80/S80*1000,"")</f>
        <v/>
      </c>
      <c r="AA80" s="116" t="n">
        <v>14</v>
      </c>
      <c r="AB80" s="47">
        <f>IFERROR(AA80/W80,"")</f>
        <v/>
      </c>
      <c r="AC80" s="116" t="n">
        <v>879</v>
      </c>
      <c r="AD80" s="116" t="n">
        <v>434</v>
      </c>
      <c r="AE80" s="116" t="n">
        <v>406</v>
      </c>
      <c r="AF80" s="116" t="n">
        <v>243</v>
      </c>
      <c r="AG80" s="116" t="n">
        <v>189</v>
      </c>
      <c r="AH80" s="116" t="n">
        <v>138</v>
      </c>
      <c r="AI80" s="47">
        <f>IFERROR(AC80/S80,"")</f>
        <v/>
      </c>
      <c r="AJ80" s="47">
        <f>IFERROR(AH80/S80,"")</f>
        <v/>
      </c>
      <c r="AK80" s="116" t="n">
        <v>78</v>
      </c>
      <c r="AL80" s="116" t="n">
        <v>1</v>
      </c>
      <c r="AM80" s="118">
        <f>IFERROR(AL80/AA80,"")</f>
        <v/>
      </c>
      <c r="AN80" s="119">
        <f>IFERROR(R80/AL80,"")</f>
        <v/>
      </c>
      <c r="AO80" s="116" t="n">
        <v>1</v>
      </c>
      <c r="AP80" s="47">
        <f>IFERROR(AO80/AL80,"")</f>
        <v/>
      </c>
      <c r="AQ80" s="119">
        <f>IFERROR(R80/AO80,"")</f>
        <v/>
      </c>
      <c r="AR80" s="116" t="n">
        <v>0</v>
      </c>
      <c r="AS80" s="116" t="n">
        <v>1</v>
      </c>
      <c r="AT80" s="116">
        <f>AL80+AR80</f>
        <v/>
      </c>
      <c r="AU80" s="119">
        <f>IFERROR(AO80*Assumptions!$C$26*Assumptions!$C$27*INDEX(Assumptions!$C$18:$C$21,MATCH(H80,Assumptions!$B$18:$B$21,0)),0)</f>
        <v/>
      </c>
    </row>
    <row r="81">
      <c r="A81" s="114" t="n">
        <v>46263</v>
      </c>
      <c r="B81" s="42" t="inlineStr">
        <is>
          <t>Wk 35</t>
        </is>
      </c>
      <c r="C81" s="42" t="inlineStr">
        <is>
          <t>Sat</t>
        </is>
      </c>
      <c r="D81" s="42" t="inlineStr">
        <is>
          <t>Meta (FB/IG)</t>
        </is>
      </c>
      <c r="E81" s="42" t="inlineStr">
        <is>
          <t>Facebook + Instagram</t>
        </is>
      </c>
      <c r="F81" s="42" t="inlineStr">
        <is>
          <t>LEP_ZA_AUG26_META_TD_AMUR_CONV</t>
        </is>
      </c>
      <c r="G81" s="42" t="inlineStr">
        <is>
          <t>Leads - Website Conversions</t>
        </is>
      </c>
      <c r="H81" s="42" t="inlineStr">
        <is>
          <t>AMUR</t>
        </is>
      </c>
      <c r="I81" s="42" t="inlineStr">
        <is>
          <t>0% Deposit</t>
        </is>
      </c>
      <c r="J81" s="42" t="inlineStr">
        <is>
          <t>MET_AMUR_BROAD_25-54_ZA</t>
        </is>
      </c>
      <c r="K81" s="42" t="inlineStr">
        <is>
          <t>Prospecting</t>
        </is>
      </c>
      <c r="L81" s="42" t="inlineStr">
        <is>
          <t>AMUR_VID_15s_CityDrive_v2</t>
        </is>
      </c>
      <c r="M81" s="42" t="inlineStr">
        <is>
          <t>Video 9:16</t>
        </is>
      </c>
      <c r="N81" s="42" t="inlineStr">
        <is>
          <t>Zero deposit. Real drive. Today.</t>
        </is>
      </c>
      <c r="O81" s="42" t="inlineStr">
        <is>
          <t>Auction - Lowest Cost</t>
        </is>
      </c>
      <c r="P81" s="42" t="inlineStr">
        <is>
          <t>Offsite Conversions</t>
        </is>
      </c>
      <c r="Q81" s="42" t="inlineStr">
        <is>
          <t>https://www.lepas-sa.co.za/offers/amur</t>
        </is>
      </c>
      <c r="R81" s="115" t="n">
        <v>189.69</v>
      </c>
      <c r="S81" s="116" t="n">
        <v>2503</v>
      </c>
      <c r="T81" s="116" t="n">
        <v>1365</v>
      </c>
      <c r="U81" s="117">
        <f>IFERROR(S81/T81,"")</f>
        <v/>
      </c>
      <c r="V81" s="116" t="n">
        <v>36</v>
      </c>
      <c r="W81" s="116" t="n">
        <v>27</v>
      </c>
      <c r="X81" s="118">
        <f>IFERROR(W81/S81,"")</f>
        <v/>
      </c>
      <c r="Y81" s="115">
        <f>IFERROR(R81/W81,"")</f>
        <v/>
      </c>
      <c r="Z81" s="115">
        <f>IFERROR(R81/S81*1000,"")</f>
        <v/>
      </c>
      <c r="AA81" s="116" t="n">
        <v>22</v>
      </c>
      <c r="AB81" s="47">
        <f>IFERROR(AA81/W81,"")</f>
        <v/>
      </c>
      <c r="AC81" s="116" t="n">
        <v>559</v>
      </c>
      <c r="AD81" s="116" t="n">
        <v>264</v>
      </c>
      <c r="AE81" s="116" t="n">
        <v>305</v>
      </c>
      <c r="AF81" s="116" t="n">
        <v>181</v>
      </c>
      <c r="AG81" s="116" t="n">
        <v>115</v>
      </c>
      <c r="AH81" s="116" t="n">
        <v>77</v>
      </c>
      <c r="AI81" s="47">
        <f>IFERROR(AC81/S81,"")</f>
        <v/>
      </c>
      <c r="AJ81" s="47">
        <f>IFERROR(AH81/S81,"")</f>
        <v/>
      </c>
      <c r="AK81" s="116" t="n">
        <v>66</v>
      </c>
      <c r="AL81" s="116" t="n">
        <v>0</v>
      </c>
      <c r="AM81" s="118">
        <f>IFERROR(AL81/AA81,"")</f>
        <v/>
      </c>
      <c r="AN81" s="119">
        <f>IFERROR(R81/AL81,"")</f>
        <v/>
      </c>
      <c r="AO81" s="116" t="n">
        <v>0</v>
      </c>
      <c r="AP81" s="47">
        <f>IFERROR(AO81/AL81,"")</f>
        <v/>
      </c>
      <c r="AQ81" s="119">
        <f>IFERROR(R81/AO81,"")</f>
        <v/>
      </c>
      <c r="AR81" s="116" t="n">
        <v>0</v>
      </c>
      <c r="AS81" s="116" t="n">
        <v>0</v>
      </c>
      <c r="AT81" s="116">
        <f>AL81+AR81</f>
        <v/>
      </c>
      <c r="AU81" s="119">
        <f>IFERROR(AO81*Assumptions!$C$26*Assumptions!$C$27*INDEX(Assumptions!$C$18:$C$21,MATCH(H81,Assumptions!$B$18:$B$21,0)),0)</f>
        <v/>
      </c>
    </row>
    <row r="82">
      <c r="A82" s="114" t="n">
        <v>46264</v>
      </c>
      <c r="B82" s="42" t="inlineStr">
        <is>
          <t>Wk 35</t>
        </is>
      </c>
      <c r="C82" s="42" t="inlineStr">
        <is>
          <t>Sun</t>
        </is>
      </c>
      <c r="D82" s="42" t="inlineStr">
        <is>
          <t>Meta (FB/IG)</t>
        </is>
      </c>
      <c r="E82" s="42" t="inlineStr">
        <is>
          <t>Facebook + Instagram</t>
        </is>
      </c>
      <c r="F82" s="42" t="inlineStr">
        <is>
          <t>LEP_ZA_AUG26_META_TD_AMUR_CONV</t>
        </is>
      </c>
      <c r="G82" s="42" t="inlineStr">
        <is>
          <t>Leads - Website Conversions</t>
        </is>
      </c>
      <c r="H82" s="42" t="inlineStr">
        <is>
          <t>AMUR</t>
        </is>
      </c>
      <c r="I82" s="42" t="inlineStr">
        <is>
          <t>0% Deposit</t>
        </is>
      </c>
      <c r="J82" s="42" t="inlineStr">
        <is>
          <t>MET_AMUR_BROAD_25-54_ZA</t>
        </is>
      </c>
      <c r="K82" s="42" t="inlineStr">
        <is>
          <t>Prospecting</t>
        </is>
      </c>
      <c r="L82" s="42" t="inlineStr">
        <is>
          <t>AMUR_VID_15s_CityDrive_v2</t>
        </is>
      </c>
      <c r="M82" s="42" t="inlineStr">
        <is>
          <t>Video 9:16</t>
        </is>
      </c>
      <c r="N82" s="42" t="inlineStr">
        <is>
          <t>Zero deposit. Real drive. Today.</t>
        </is>
      </c>
      <c r="O82" s="42" t="inlineStr">
        <is>
          <t>Auction - Lowest Cost</t>
        </is>
      </c>
      <c r="P82" s="42" t="inlineStr">
        <is>
          <t>Offsite Conversions</t>
        </is>
      </c>
      <c r="Q82" s="42" t="inlineStr">
        <is>
          <t>https://www.lepas-sa.co.za/offers/amur</t>
        </is>
      </c>
      <c r="R82" s="115" t="n">
        <v>154</v>
      </c>
      <c r="S82" s="116" t="n">
        <v>1952</v>
      </c>
      <c r="T82" s="116" t="n">
        <v>966</v>
      </c>
      <c r="U82" s="117">
        <f>IFERROR(S82/T82,"")</f>
        <v/>
      </c>
      <c r="V82" s="116" t="n">
        <v>19</v>
      </c>
      <c r="W82" s="116" t="n">
        <v>14</v>
      </c>
      <c r="X82" s="118">
        <f>IFERROR(W82/S82,"")</f>
        <v/>
      </c>
      <c r="Y82" s="115">
        <f>IFERROR(R82/W82,"")</f>
        <v/>
      </c>
      <c r="Z82" s="115">
        <f>IFERROR(R82/S82*1000,"")</f>
        <v/>
      </c>
      <c r="AA82" s="116" t="n">
        <v>11</v>
      </c>
      <c r="AB82" s="47">
        <f>IFERROR(AA82/W82,"")</f>
        <v/>
      </c>
      <c r="AC82" s="116" t="n">
        <v>671</v>
      </c>
      <c r="AD82" s="116" t="n">
        <v>339</v>
      </c>
      <c r="AE82" s="116" t="n">
        <v>311</v>
      </c>
      <c r="AF82" s="116" t="n">
        <v>211</v>
      </c>
      <c r="AG82" s="116" t="n">
        <v>148</v>
      </c>
      <c r="AH82" s="116" t="n">
        <v>105</v>
      </c>
      <c r="AI82" s="47">
        <f>IFERROR(AC82/S82,"")</f>
        <v/>
      </c>
      <c r="AJ82" s="47">
        <f>IFERROR(AH82/S82,"")</f>
        <v/>
      </c>
      <c r="AK82" s="116" t="n">
        <v>58</v>
      </c>
      <c r="AL82" s="116" t="n">
        <v>0</v>
      </c>
      <c r="AM82" s="118">
        <f>IFERROR(AL82/AA82,"")</f>
        <v/>
      </c>
      <c r="AN82" s="119">
        <f>IFERROR(R82/AL82,"")</f>
        <v/>
      </c>
      <c r="AO82" s="116" t="n">
        <v>0</v>
      </c>
      <c r="AP82" s="47">
        <f>IFERROR(AO82/AL82,"")</f>
        <v/>
      </c>
      <c r="AQ82" s="119">
        <f>IFERROR(R82/AO82,"")</f>
        <v/>
      </c>
      <c r="AR82" s="116" t="n">
        <v>0</v>
      </c>
      <c r="AS82" s="116" t="n">
        <v>0</v>
      </c>
      <c r="AT82" s="116">
        <f>AL82+AR82</f>
        <v/>
      </c>
      <c r="AU82" s="119">
        <f>IFERROR(AO82*Assumptions!$C$26*Assumptions!$C$27*INDEX(Assumptions!$C$18:$C$21,MATCH(H82,Assumptions!$B$18:$B$21,0)),0)</f>
        <v/>
      </c>
    </row>
    <row r="83">
      <c r="A83" s="114" t="n">
        <v>46265</v>
      </c>
      <c r="B83" s="42" t="inlineStr">
        <is>
          <t>Wk 36</t>
        </is>
      </c>
      <c r="C83" s="42" t="inlineStr">
        <is>
          <t>Mon</t>
        </is>
      </c>
      <c r="D83" s="42" t="inlineStr">
        <is>
          <t>Meta (FB/IG)</t>
        </is>
      </c>
      <c r="E83" s="42" t="inlineStr">
        <is>
          <t>Facebook + Instagram</t>
        </is>
      </c>
      <c r="F83" s="42" t="inlineStr">
        <is>
          <t>LEP_ZA_AUG26_META_TD_AMUR_CONV</t>
        </is>
      </c>
      <c r="G83" s="42" t="inlineStr">
        <is>
          <t>Leads - Website Conversions</t>
        </is>
      </c>
      <c r="H83" s="42" t="inlineStr">
        <is>
          <t>AMUR</t>
        </is>
      </c>
      <c r="I83" s="42" t="inlineStr">
        <is>
          <t>0% Deposit</t>
        </is>
      </c>
      <c r="J83" s="42" t="inlineStr">
        <is>
          <t>MET_AMUR_BROAD_25-54_ZA</t>
        </is>
      </c>
      <c r="K83" s="42" t="inlineStr">
        <is>
          <t>Prospecting</t>
        </is>
      </c>
      <c r="L83" s="42" t="inlineStr">
        <is>
          <t>AMUR_VID_15s_CityDrive_v2</t>
        </is>
      </c>
      <c r="M83" s="42" t="inlineStr">
        <is>
          <t>Video 9:16</t>
        </is>
      </c>
      <c r="N83" s="42" t="inlineStr">
        <is>
          <t>Zero deposit. Real drive. Today.</t>
        </is>
      </c>
      <c r="O83" s="42" t="inlineStr">
        <is>
          <t>Auction - Lowest Cost</t>
        </is>
      </c>
      <c r="P83" s="42" t="inlineStr">
        <is>
          <t>Offsite Conversions</t>
        </is>
      </c>
      <c r="Q83" s="42" t="inlineStr">
        <is>
          <t>https://www.lepas-sa.co.za/offers/amur</t>
        </is>
      </c>
      <c r="R83" s="115" t="n">
        <v>162.58</v>
      </c>
      <c r="S83" s="116" t="n">
        <v>2186</v>
      </c>
      <c r="T83" s="116" t="n">
        <v>1266</v>
      </c>
      <c r="U83" s="117">
        <f>IFERROR(S83/T83,"")</f>
        <v/>
      </c>
      <c r="V83" s="116" t="n">
        <v>34</v>
      </c>
      <c r="W83" s="116" t="n">
        <v>25</v>
      </c>
      <c r="X83" s="118">
        <f>IFERROR(W83/S83,"")</f>
        <v/>
      </c>
      <c r="Y83" s="115">
        <f>IFERROR(R83/W83,"")</f>
        <v/>
      </c>
      <c r="Z83" s="115">
        <f>IFERROR(R83/S83*1000,"")</f>
        <v/>
      </c>
      <c r="AA83" s="116" t="n">
        <v>22</v>
      </c>
      <c r="AB83" s="47">
        <f>IFERROR(AA83/W83,"")</f>
        <v/>
      </c>
      <c r="AC83" s="116" t="n">
        <v>856</v>
      </c>
      <c r="AD83" s="116" t="n">
        <v>416</v>
      </c>
      <c r="AE83" s="116" t="n">
        <v>370</v>
      </c>
      <c r="AF83" s="116" t="n">
        <v>233</v>
      </c>
      <c r="AG83" s="116" t="n">
        <v>182</v>
      </c>
      <c r="AH83" s="116" t="n">
        <v>108</v>
      </c>
      <c r="AI83" s="47">
        <f>IFERROR(AC83/S83,"")</f>
        <v/>
      </c>
      <c r="AJ83" s="47">
        <f>IFERROR(AH83/S83,"")</f>
        <v/>
      </c>
      <c r="AK83" s="116" t="n">
        <v>51</v>
      </c>
      <c r="AL83" s="116" t="n">
        <v>1</v>
      </c>
      <c r="AM83" s="118">
        <f>IFERROR(AL83/AA83,"")</f>
        <v/>
      </c>
      <c r="AN83" s="119">
        <f>IFERROR(R83/AL83,"")</f>
        <v/>
      </c>
      <c r="AO83" s="116" t="n">
        <v>1</v>
      </c>
      <c r="AP83" s="47">
        <f>IFERROR(AO83/AL83,"")</f>
        <v/>
      </c>
      <c r="AQ83" s="119">
        <f>IFERROR(R83/AO83,"")</f>
        <v/>
      </c>
      <c r="AR83" s="116" t="n">
        <v>0</v>
      </c>
      <c r="AS83" s="116" t="n">
        <v>1</v>
      </c>
      <c r="AT83" s="116">
        <f>AL83+AR83</f>
        <v/>
      </c>
      <c r="AU83" s="119">
        <f>IFERROR(AO83*Assumptions!$C$26*Assumptions!$C$27*INDEX(Assumptions!$C$18:$C$21,MATCH(H83,Assumptions!$B$18:$B$21,0)),0)</f>
        <v/>
      </c>
    </row>
    <row r="84">
      <c r="A84" s="114" t="n">
        <v>46235</v>
      </c>
      <c r="B84" s="42" t="inlineStr">
        <is>
          <t>Wk 31</t>
        </is>
      </c>
      <c r="C84" s="42" t="inlineStr">
        <is>
          <t>Sat</t>
        </is>
      </c>
      <c r="D84" s="42" t="inlineStr">
        <is>
          <t>Meta (FB/IG)</t>
        </is>
      </c>
      <c r="E84" s="42" t="inlineStr">
        <is>
          <t>Facebook + Instagram</t>
        </is>
      </c>
      <c r="F84" s="42" t="inlineStr">
        <is>
          <t>LEP_ZA_AUG26_META_TD_AMUR_CONV</t>
        </is>
      </c>
      <c r="G84" s="42" t="inlineStr">
        <is>
          <t>Leads - Website Conversions</t>
        </is>
      </c>
      <c r="H84" s="42" t="inlineStr">
        <is>
          <t>AMUR</t>
        </is>
      </c>
      <c r="I84" s="42" t="inlineStr">
        <is>
          <t>0% Deposit</t>
        </is>
      </c>
      <c r="J84" s="42" t="inlineStr">
        <is>
          <t>MET_AMUR_LAL3_LEADS_ZA</t>
        </is>
      </c>
      <c r="K84" s="42" t="inlineStr">
        <is>
          <t>Lookalike</t>
        </is>
      </c>
      <c r="L84" s="42" t="inlineStr">
        <is>
          <t>AMUR_VID_20s_OwnerStory_v1</t>
        </is>
      </c>
      <c r="M84" s="42" t="inlineStr">
        <is>
          <t>Video 4:5</t>
        </is>
      </c>
      <c r="N84" s="42" t="inlineStr">
        <is>
          <t>She booked a test drive on a Tuesday</t>
        </is>
      </c>
      <c r="O84" s="42" t="inlineStr">
        <is>
          <t>Auction - Lowest Cost</t>
        </is>
      </c>
      <c r="P84" s="42" t="inlineStr">
        <is>
          <t>Offsite Conversions</t>
        </is>
      </c>
      <c r="Q84" s="42" t="inlineStr">
        <is>
          <t>https://www.lepas-sa.co.za/offers/amur</t>
        </is>
      </c>
      <c r="R84" s="115" t="n">
        <v>245.2</v>
      </c>
      <c r="S84" s="116" t="n">
        <v>2678</v>
      </c>
      <c r="T84" s="116" t="n">
        <v>2037</v>
      </c>
      <c r="U84" s="117">
        <f>IFERROR(S84/T84,"")</f>
        <v/>
      </c>
      <c r="V84" s="116" t="n">
        <v>38</v>
      </c>
      <c r="W84" s="116" t="n">
        <v>29</v>
      </c>
      <c r="X84" s="118">
        <f>IFERROR(W84/S84,"")</f>
        <v/>
      </c>
      <c r="Y84" s="115">
        <f>IFERROR(R84/W84,"")</f>
        <v/>
      </c>
      <c r="Z84" s="115">
        <f>IFERROR(R84/S84*1000,"")</f>
        <v/>
      </c>
      <c r="AA84" s="116" t="n">
        <v>26</v>
      </c>
      <c r="AB84" s="47">
        <f>IFERROR(AA84/W84,"")</f>
        <v/>
      </c>
      <c r="AC84" s="116" t="n">
        <v>926</v>
      </c>
      <c r="AD84" s="116" t="n">
        <v>439</v>
      </c>
      <c r="AE84" s="116" t="n">
        <v>346</v>
      </c>
      <c r="AF84" s="116" t="n">
        <v>244</v>
      </c>
      <c r="AG84" s="116" t="n">
        <v>170</v>
      </c>
      <c r="AH84" s="116" t="n">
        <v>114</v>
      </c>
      <c r="AI84" s="47">
        <f>IFERROR(AC84/S84,"")</f>
        <v/>
      </c>
      <c r="AJ84" s="47">
        <f>IFERROR(AH84/S84,"")</f>
        <v/>
      </c>
      <c r="AK84" s="116" t="n">
        <v>58</v>
      </c>
      <c r="AL84" s="116" t="n">
        <v>0</v>
      </c>
      <c r="AM84" s="118">
        <f>IFERROR(AL84/AA84,"")</f>
        <v/>
      </c>
      <c r="AN84" s="119">
        <f>IFERROR(R84/AL84,"")</f>
        <v/>
      </c>
      <c r="AO84" s="116" t="n">
        <v>0</v>
      </c>
      <c r="AP84" s="47">
        <f>IFERROR(AO84/AL84,"")</f>
        <v/>
      </c>
      <c r="AQ84" s="119">
        <f>IFERROR(R84/AO84,"")</f>
        <v/>
      </c>
      <c r="AR84" s="116" t="n">
        <v>0</v>
      </c>
      <c r="AS84" s="116" t="n">
        <v>0</v>
      </c>
      <c r="AT84" s="116">
        <f>AL84+AR84</f>
        <v/>
      </c>
      <c r="AU84" s="119">
        <f>IFERROR(AO84*Assumptions!$C$26*Assumptions!$C$27*INDEX(Assumptions!$C$18:$C$21,MATCH(H84,Assumptions!$B$18:$B$21,0)),0)</f>
        <v/>
      </c>
    </row>
    <row r="85">
      <c r="A85" s="114" t="n">
        <v>46236</v>
      </c>
      <c r="B85" s="42" t="inlineStr">
        <is>
          <t>Wk 31</t>
        </is>
      </c>
      <c r="C85" s="42" t="inlineStr">
        <is>
          <t>Sun</t>
        </is>
      </c>
      <c r="D85" s="42" t="inlineStr">
        <is>
          <t>Meta (FB/IG)</t>
        </is>
      </c>
      <c r="E85" s="42" t="inlineStr">
        <is>
          <t>Facebook + Instagram</t>
        </is>
      </c>
      <c r="F85" s="42" t="inlineStr">
        <is>
          <t>LEP_ZA_AUG26_META_TD_AMUR_CONV</t>
        </is>
      </c>
      <c r="G85" s="42" t="inlineStr">
        <is>
          <t>Leads - Website Conversions</t>
        </is>
      </c>
      <c r="H85" s="42" t="inlineStr">
        <is>
          <t>AMUR</t>
        </is>
      </c>
      <c r="I85" s="42" t="inlineStr">
        <is>
          <t>0% Deposit</t>
        </is>
      </c>
      <c r="J85" s="42" t="inlineStr">
        <is>
          <t>MET_AMUR_LAL3_LEADS_ZA</t>
        </is>
      </c>
      <c r="K85" s="42" t="inlineStr">
        <is>
          <t>Lookalike</t>
        </is>
      </c>
      <c r="L85" s="42" t="inlineStr">
        <is>
          <t>AMUR_VID_20s_OwnerStory_v1</t>
        </is>
      </c>
      <c r="M85" s="42" t="inlineStr">
        <is>
          <t>Video 4:5</t>
        </is>
      </c>
      <c r="N85" s="42" t="inlineStr">
        <is>
          <t>She booked a test drive on a Tuesday</t>
        </is>
      </c>
      <c r="O85" s="42" t="inlineStr">
        <is>
          <t>Auction - Lowest Cost</t>
        </is>
      </c>
      <c r="P85" s="42" t="inlineStr">
        <is>
          <t>Offsite Conversions</t>
        </is>
      </c>
      <c r="Q85" s="42" t="inlineStr">
        <is>
          <t>https://www.lepas-sa.co.za/offers/amur</t>
        </is>
      </c>
      <c r="R85" s="115" t="n">
        <v>157.65</v>
      </c>
      <c r="S85" s="116" t="n">
        <v>1844</v>
      </c>
      <c r="T85" s="116" t="n">
        <v>1300</v>
      </c>
      <c r="U85" s="117">
        <f>IFERROR(S85/T85,"")</f>
        <v/>
      </c>
      <c r="V85" s="116" t="n">
        <v>60</v>
      </c>
      <c r="W85" s="116" t="n">
        <v>44</v>
      </c>
      <c r="X85" s="118">
        <f>IFERROR(W85/S85,"")</f>
        <v/>
      </c>
      <c r="Y85" s="115">
        <f>IFERROR(R85/W85,"")</f>
        <v/>
      </c>
      <c r="Z85" s="115">
        <f>IFERROR(R85/S85*1000,"")</f>
        <v/>
      </c>
      <c r="AA85" s="116" t="n">
        <v>38</v>
      </c>
      <c r="AB85" s="47">
        <f>IFERROR(AA85/W85,"")</f>
        <v/>
      </c>
      <c r="AC85" s="116" t="n">
        <v>609</v>
      </c>
      <c r="AD85" s="116" t="n">
        <v>356</v>
      </c>
      <c r="AE85" s="116" t="n">
        <v>245</v>
      </c>
      <c r="AF85" s="116" t="n">
        <v>136</v>
      </c>
      <c r="AG85" s="116" t="n">
        <v>90</v>
      </c>
      <c r="AH85" s="116" t="n">
        <v>53</v>
      </c>
      <c r="AI85" s="47">
        <f>IFERROR(AC85/S85,"")</f>
        <v/>
      </c>
      <c r="AJ85" s="47">
        <f>IFERROR(AH85/S85,"")</f>
        <v/>
      </c>
      <c r="AK85" s="116" t="n">
        <v>59</v>
      </c>
      <c r="AL85" s="116" t="n">
        <v>0</v>
      </c>
      <c r="AM85" s="118">
        <f>IFERROR(AL85/AA85,"")</f>
        <v/>
      </c>
      <c r="AN85" s="119">
        <f>IFERROR(R85/AL85,"")</f>
        <v/>
      </c>
      <c r="AO85" s="116" t="n">
        <v>0</v>
      </c>
      <c r="AP85" s="47">
        <f>IFERROR(AO85/AL85,"")</f>
        <v/>
      </c>
      <c r="AQ85" s="119">
        <f>IFERROR(R85/AO85,"")</f>
        <v/>
      </c>
      <c r="AR85" s="116" t="n">
        <v>0</v>
      </c>
      <c r="AS85" s="116" t="n">
        <v>0</v>
      </c>
      <c r="AT85" s="116">
        <f>AL85+AR85</f>
        <v/>
      </c>
      <c r="AU85" s="119">
        <f>IFERROR(AO85*Assumptions!$C$26*Assumptions!$C$27*INDEX(Assumptions!$C$18:$C$21,MATCH(H85,Assumptions!$B$18:$B$21,0)),0)</f>
        <v/>
      </c>
    </row>
    <row r="86">
      <c r="A86" s="114" t="n">
        <v>46237</v>
      </c>
      <c r="B86" s="42" t="inlineStr">
        <is>
          <t>Wk 32</t>
        </is>
      </c>
      <c r="C86" s="42" t="inlineStr">
        <is>
          <t>Mon</t>
        </is>
      </c>
      <c r="D86" s="42" t="inlineStr">
        <is>
          <t>Meta (FB/IG)</t>
        </is>
      </c>
      <c r="E86" s="42" t="inlineStr">
        <is>
          <t>Facebook + Instagram</t>
        </is>
      </c>
      <c r="F86" s="42" t="inlineStr">
        <is>
          <t>LEP_ZA_AUG26_META_TD_AMUR_CONV</t>
        </is>
      </c>
      <c r="G86" s="42" t="inlineStr">
        <is>
          <t>Leads - Website Conversions</t>
        </is>
      </c>
      <c r="H86" s="42" t="inlineStr">
        <is>
          <t>AMUR</t>
        </is>
      </c>
      <c r="I86" s="42" t="inlineStr">
        <is>
          <t>0% Deposit</t>
        </is>
      </c>
      <c r="J86" s="42" t="inlineStr">
        <is>
          <t>MET_AMUR_LAL3_LEADS_ZA</t>
        </is>
      </c>
      <c r="K86" s="42" t="inlineStr">
        <is>
          <t>Lookalike</t>
        </is>
      </c>
      <c r="L86" s="42" t="inlineStr">
        <is>
          <t>AMUR_VID_20s_OwnerStory_v1</t>
        </is>
      </c>
      <c r="M86" s="42" t="inlineStr">
        <is>
          <t>Video 4:5</t>
        </is>
      </c>
      <c r="N86" s="42" t="inlineStr">
        <is>
          <t>She booked a test drive on a Tuesday</t>
        </is>
      </c>
      <c r="O86" s="42" t="inlineStr">
        <is>
          <t>Auction - Lowest Cost</t>
        </is>
      </c>
      <c r="P86" s="42" t="inlineStr">
        <is>
          <t>Offsite Conversions</t>
        </is>
      </c>
      <c r="Q86" s="42" t="inlineStr">
        <is>
          <t>https://www.lepas-sa.co.za/offers/amur</t>
        </is>
      </c>
      <c r="R86" s="115" t="n">
        <v>210.66</v>
      </c>
      <c r="S86" s="116" t="n">
        <v>3123</v>
      </c>
      <c r="T86" s="116" t="n">
        <v>2513</v>
      </c>
      <c r="U86" s="117">
        <f>IFERROR(S86/T86,"")</f>
        <v/>
      </c>
      <c r="V86" s="116" t="n">
        <v>85</v>
      </c>
      <c r="W86" s="116" t="n">
        <v>61</v>
      </c>
      <c r="X86" s="118">
        <f>IFERROR(W86/S86,"")</f>
        <v/>
      </c>
      <c r="Y86" s="115">
        <f>IFERROR(R86/W86,"")</f>
        <v/>
      </c>
      <c r="Z86" s="115">
        <f>IFERROR(R86/S86*1000,"")</f>
        <v/>
      </c>
      <c r="AA86" s="116" t="n">
        <v>54</v>
      </c>
      <c r="AB86" s="47">
        <f>IFERROR(AA86/W86,"")</f>
        <v/>
      </c>
      <c r="AC86" s="116" t="n">
        <v>892</v>
      </c>
      <c r="AD86" s="116" t="n">
        <v>554</v>
      </c>
      <c r="AE86" s="116" t="n">
        <v>476</v>
      </c>
      <c r="AF86" s="116" t="n">
        <v>275</v>
      </c>
      <c r="AG86" s="116" t="n">
        <v>199</v>
      </c>
      <c r="AH86" s="116" t="n">
        <v>118</v>
      </c>
      <c r="AI86" s="47">
        <f>IFERROR(AC86/S86,"")</f>
        <v/>
      </c>
      <c r="AJ86" s="47">
        <f>IFERROR(AH86/S86,"")</f>
        <v/>
      </c>
      <c r="AK86" s="116" t="n">
        <v>105</v>
      </c>
      <c r="AL86" s="116" t="n">
        <v>2</v>
      </c>
      <c r="AM86" s="118">
        <f>IFERROR(AL86/AA86,"")</f>
        <v/>
      </c>
      <c r="AN86" s="119">
        <f>IFERROR(R86/AL86,"")</f>
        <v/>
      </c>
      <c r="AO86" s="116" t="n">
        <v>1</v>
      </c>
      <c r="AP86" s="47">
        <f>IFERROR(AO86/AL86,"")</f>
        <v/>
      </c>
      <c r="AQ86" s="119">
        <f>IFERROR(R86/AO86,"")</f>
        <v/>
      </c>
      <c r="AR86" s="116" t="n">
        <v>1</v>
      </c>
      <c r="AS86" s="116" t="n">
        <v>1</v>
      </c>
      <c r="AT86" s="116">
        <f>AL86+AR86</f>
        <v/>
      </c>
      <c r="AU86" s="119">
        <f>IFERROR(AO86*Assumptions!$C$26*Assumptions!$C$27*INDEX(Assumptions!$C$18:$C$21,MATCH(H86,Assumptions!$B$18:$B$21,0)),0)</f>
        <v/>
      </c>
    </row>
    <row r="87">
      <c r="A87" s="114" t="n">
        <v>46238</v>
      </c>
      <c r="B87" s="42" t="inlineStr">
        <is>
          <t>Wk 32</t>
        </is>
      </c>
      <c r="C87" s="42" t="inlineStr">
        <is>
          <t>Tue</t>
        </is>
      </c>
      <c r="D87" s="42" t="inlineStr">
        <is>
          <t>Meta (FB/IG)</t>
        </is>
      </c>
      <c r="E87" s="42" t="inlineStr">
        <is>
          <t>Facebook + Instagram</t>
        </is>
      </c>
      <c r="F87" s="42" t="inlineStr">
        <is>
          <t>LEP_ZA_AUG26_META_TD_AMUR_CONV</t>
        </is>
      </c>
      <c r="G87" s="42" t="inlineStr">
        <is>
          <t>Leads - Website Conversions</t>
        </is>
      </c>
      <c r="H87" s="42" t="inlineStr">
        <is>
          <t>AMUR</t>
        </is>
      </c>
      <c r="I87" s="42" t="inlineStr">
        <is>
          <t>0% Deposit</t>
        </is>
      </c>
      <c r="J87" s="42" t="inlineStr">
        <is>
          <t>MET_AMUR_LAL3_LEADS_ZA</t>
        </is>
      </c>
      <c r="K87" s="42" t="inlineStr">
        <is>
          <t>Lookalike</t>
        </is>
      </c>
      <c r="L87" s="42" t="inlineStr">
        <is>
          <t>AMUR_VID_20s_OwnerStory_v1</t>
        </is>
      </c>
      <c r="M87" s="42" t="inlineStr">
        <is>
          <t>Video 4:5</t>
        </is>
      </c>
      <c r="N87" s="42" t="inlineStr">
        <is>
          <t>She booked a test drive on a Tuesday</t>
        </is>
      </c>
      <c r="O87" s="42" t="inlineStr">
        <is>
          <t>Auction - Lowest Cost</t>
        </is>
      </c>
      <c r="P87" s="42" t="inlineStr">
        <is>
          <t>Offsite Conversions</t>
        </is>
      </c>
      <c r="Q87" s="42" t="inlineStr">
        <is>
          <t>https://www.lepas-sa.co.za/offers/amur</t>
        </is>
      </c>
      <c r="R87" s="115" t="n">
        <v>197.27</v>
      </c>
      <c r="S87" s="116" t="n">
        <v>2689</v>
      </c>
      <c r="T87" s="116" t="n">
        <v>2286</v>
      </c>
      <c r="U87" s="117">
        <f>IFERROR(S87/T87,"")</f>
        <v/>
      </c>
      <c r="V87" s="116" t="n">
        <v>56</v>
      </c>
      <c r="W87" s="116" t="n">
        <v>44</v>
      </c>
      <c r="X87" s="118">
        <f>IFERROR(W87/S87,"")</f>
        <v/>
      </c>
      <c r="Y87" s="115">
        <f>IFERROR(R87/W87,"")</f>
        <v/>
      </c>
      <c r="Z87" s="115">
        <f>IFERROR(R87/S87*1000,"")</f>
        <v/>
      </c>
      <c r="AA87" s="116" t="n">
        <v>36</v>
      </c>
      <c r="AB87" s="47">
        <f>IFERROR(AA87/W87,"")</f>
        <v/>
      </c>
      <c r="AC87" s="116" t="n">
        <v>887</v>
      </c>
      <c r="AD87" s="116" t="n">
        <v>435</v>
      </c>
      <c r="AE87" s="116" t="n">
        <v>368</v>
      </c>
      <c r="AF87" s="116" t="n">
        <v>252</v>
      </c>
      <c r="AG87" s="116" t="n">
        <v>168</v>
      </c>
      <c r="AH87" s="116" t="n">
        <v>105</v>
      </c>
      <c r="AI87" s="47">
        <f>IFERROR(AC87/S87,"")</f>
        <v/>
      </c>
      <c r="AJ87" s="47">
        <f>IFERROR(AH87/S87,"")</f>
        <v/>
      </c>
      <c r="AK87" s="116" t="n">
        <v>76</v>
      </c>
      <c r="AL87" s="116" t="n">
        <v>1</v>
      </c>
      <c r="AM87" s="118">
        <f>IFERROR(AL87/AA87,"")</f>
        <v/>
      </c>
      <c r="AN87" s="119">
        <f>IFERROR(R87/AL87,"")</f>
        <v/>
      </c>
      <c r="AO87" s="116" t="n">
        <v>1</v>
      </c>
      <c r="AP87" s="47">
        <f>IFERROR(AO87/AL87,"")</f>
        <v/>
      </c>
      <c r="AQ87" s="119">
        <f>IFERROR(R87/AO87,"")</f>
        <v/>
      </c>
      <c r="AR87" s="116" t="n">
        <v>0</v>
      </c>
      <c r="AS87" s="116" t="n">
        <v>1</v>
      </c>
      <c r="AT87" s="116">
        <f>AL87+AR87</f>
        <v/>
      </c>
      <c r="AU87" s="119">
        <f>IFERROR(AO87*Assumptions!$C$26*Assumptions!$C$27*INDEX(Assumptions!$C$18:$C$21,MATCH(H87,Assumptions!$B$18:$B$21,0)),0)</f>
        <v/>
      </c>
    </row>
    <row r="88">
      <c r="A88" s="114" t="n">
        <v>46239</v>
      </c>
      <c r="B88" s="42" t="inlineStr">
        <is>
          <t>Wk 32</t>
        </is>
      </c>
      <c r="C88" s="42" t="inlineStr">
        <is>
          <t>Wed</t>
        </is>
      </c>
      <c r="D88" s="42" t="inlineStr">
        <is>
          <t>Meta (FB/IG)</t>
        </is>
      </c>
      <c r="E88" s="42" t="inlineStr">
        <is>
          <t>Facebook + Instagram</t>
        </is>
      </c>
      <c r="F88" s="42" t="inlineStr">
        <is>
          <t>LEP_ZA_AUG26_META_TD_AMUR_CONV</t>
        </is>
      </c>
      <c r="G88" s="42" t="inlineStr">
        <is>
          <t>Leads - Website Conversions</t>
        </is>
      </c>
      <c r="H88" s="42" t="inlineStr">
        <is>
          <t>AMUR</t>
        </is>
      </c>
      <c r="I88" s="42" t="inlineStr">
        <is>
          <t>0% Deposit</t>
        </is>
      </c>
      <c r="J88" s="42" t="inlineStr">
        <is>
          <t>MET_AMUR_LAL3_LEADS_ZA</t>
        </is>
      </c>
      <c r="K88" s="42" t="inlineStr">
        <is>
          <t>Lookalike</t>
        </is>
      </c>
      <c r="L88" s="42" t="inlineStr">
        <is>
          <t>AMUR_VID_20s_OwnerStory_v1</t>
        </is>
      </c>
      <c r="M88" s="42" t="inlineStr">
        <is>
          <t>Video 4:5</t>
        </is>
      </c>
      <c r="N88" s="42" t="inlineStr">
        <is>
          <t>She booked a test drive on a Tuesday</t>
        </is>
      </c>
      <c r="O88" s="42" t="inlineStr">
        <is>
          <t>Auction - Lowest Cost</t>
        </is>
      </c>
      <c r="P88" s="42" t="inlineStr">
        <is>
          <t>Offsite Conversions</t>
        </is>
      </c>
      <c r="Q88" s="42" t="inlineStr">
        <is>
          <t>https://www.lepas-sa.co.za/offers/amur</t>
        </is>
      </c>
      <c r="R88" s="115" t="n">
        <v>252.82</v>
      </c>
      <c r="S88" s="116" t="n">
        <v>2797</v>
      </c>
      <c r="T88" s="116" t="n">
        <v>1756</v>
      </c>
      <c r="U88" s="117">
        <f>IFERROR(S88/T88,"")</f>
        <v/>
      </c>
      <c r="V88" s="116" t="n">
        <v>72</v>
      </c>
      <c r="W88" s="116" t="n">
        <v>60</v>
      </c>
      <c r="X88" s="118">
        <f>IFERROR(W88/S88,"")</f>
        <v/>
      </c>
      <c r="Y88" s="115">
        <f>IFERROR(R88/W88,"")</f>
        <v/>
      </c>
      <c r="Z88" s="115">
        <f>IFERROR(R88/S88*1000,"")</f>
        <v/>
      </c>
      <c r="AA88" s="116" t="n">
        <v>50</v>
      </c>
      <c r="AB88" s="47">
        <f>IFERROR(AA88/W88,"")</f>
        <v/>
      </c>
      <c r="AC88" s="116" t="n">
        <v>620</v>
      </c>
      <c r="AD88" s="116" t="n">
        <v>277</v>
      </c>
      <c r="AE88" s="116" t="n">
        <v>303</v>
      </c>
      <c r="AF88" s="116" t="n">
        <v>176</v>
      </c>
      <c r="AG88" s="116" t="n">
        <v>118</v>
      </c>
      <c r="AH88" s="116" t="n">
        <v>80</v>
      </c>
      <c r="AI88" s="47">
        <f>IFERROR(AC88/S88,"")</f>
        <v/>
      </c>
      <c r="AJ88" s="47">
        <f>IFERROR(AH88/S88,"")</f>
        <v/>
      </c>
      <c r="AK88" s="116" t="n">
        <v>95</v>
      </c>
      <c r="AL88" s="116" t="n">
        <v>1</v>
      </c>
      <c r="AM88" s="118">
        <f>IFERROR(AL88/AA88,"")</f>
        <v/>
      </c>
      <c r="AN88" s="119">
        <f>IFERROR(R88/AL88,"")</f>
        <v/>
      </c>
      <c r="AO88" s="116" t="n">
        <v>0</v>
      </c>
      <c r="AP88" s="47">
        <f>IFERROR(AO88/AL88,"")</f>
        <v/>
      </c>
      <c r="AQ88" s="119">
        <f>IFERROR(R88/AO88,"")</f>
        <v/>
      </c>
      <c r="AR88" s="116" t="n">
        <v>1</v>
      </c>
      <c r="AS88" s="116" t="n">
        <v>1</v>
      </c>
      <c r="AT88" s="116">
        <f>AL88+AR88</f>
        <v/>
      </c>
      <c r="AU88" s="119">
        <f>IFERROR(AO88*Assumptions!$C$26*Assumptions!$C$27*INDEX(Assumptions!$C$18:$C$21,MATCH(H88,Assumptions!$B$18:$B$21,0)),0)</f>
        <v/>
      </c>
    </row>
    <row r="89">
      <c r="A89" s="114" t="n">
        <v>46240</v>
      </c>
      <c r="B89" s="42" t="inlineStr">
        <is>
          <t>Wk 32</t>
        </is>
      </c>
      <c r="C89" s="42" t="inlineStr">
        <is>
          <t>Thu</t>
        </is>
      </c>
      <c r="D89" s="42" t="inlineStr">
        <is>
          <t>Meta (FB/IG)</t>
        </is>
      </c>
      <c r="E89" s="42" t="inlineStr">
        <is>
          <t>Facebook + Instagram</t>
        </is>
      </c>
      <c r="F89" s="42" t="inlineStr">
        <is>
          <t>LEP_ZA_AUG26_META_TD_AMUR_CONV</t>
        </is>
      </c>
      <c r="G89" s="42" t="inlineStr">
        <is>
          <t>Leads - Website Conversions</t>
        </is>
      </c>
      <c r="H89" s="42" t="inlineStr">
        <is>
          <t>AMUR</t>
        </is>
      </c>
      <c r="I89" s="42" t="inlineStr">
        <is>
          <t>0% Deposit</t>
        </is>
      </c>
      <c r="J89" s="42" t="inlineStr">
        <is>
          <t>MET_AMUR_LAL3_LEADS_ZA</t>
        </is>
      </c>
      <c r="K89" s="42" t="inlineStr">
        <is>
          <t>Lookalike</t>
        </is>
      </c>
      <c r="L89" s="42" t="inlineStr">
        <is>
          <t>AMUR_VID_20s_OwnerStory_v1</t>
        </is>
      </c>
      <c r="M89" s="42" t="inlineStr">
        <is>
          <t>Video 4:5</t>
        </is>
      </c>
      <c r="N89" s="42" t="inlineStr">
        <is>
          <t>She booked a test drive on a Tuesday</t>
        </is>
      </c>
      <c r="O89" s="42" t="inlineStr">
        <is>
          <t>Auction - Lowest Cost</t>
        </is>
      </c>
      <c r="P89" s="42" t="inlineStr">
        <is>
          <t>Offsite Conversions</t>
        </is>
      </c>
      <c r="Q89" s="42" t="inlineStr">
        <is>
          <t>https://www.lepas-sa.co.za/offers/amur</t>
        </is>
      </c>
      <c r="R89" s="115" t="n">
        <v>246.77</v>
      </c>
      <c r="S89" s="116" t="n">
        <v>3086</v>
      </c>
      <c r="T89" s="116" t="n">
        <v>2453</v>
      </c>
      <c r="U89" s="117">
        <f>IFERROR(S89/T89,"")</f>
        <v/>
      </c>
      <c r="V89" s="116" t="n">
        <v>64</v>
      </c>
      <c r="W89" s="116" t="n">
        <v>46</v>
      </c>
      <c r="X89" s="118">
        <f>IFERROR(W89/S89,"")</f>
        <v/>
      </c>
      <c r="Y89" s="115">
        <f>IFERROR(R89/W89,"")</f>
        <v/>
      </c>
      <c r="Z89" s="115">
        <f>IFERROR(R89/S89*1000,"")</f>
        <v/>
      </c>
      <c r="AA89" s="116" t="n">
        <v>42</v>
      </c>
      <c r="AB89" s="47">
        <f>IFERROR(AA89/W89,"")</f>
        <v/>
      </c>
      <c r="AC89" s="116" t="n">
        <v>696</v>
      </c>
      <c r="AD89" s="116" t="n">
        <v>356</v>
      </c>
      <c r="AE89" s="116" t="n">
        <v>360</v>
      </c>
      <c r="AF89" s="116" t="n">
        <v>240</v>
      </c>
      <c r="AG89" s="116" t="n">
        <v>166</v>
      </c>
      <c r="AH89" s="116" t="n">
        <v>109</v>
      </c>
      <c r="AI89" s="47">
        <f>IFERROR(AC89/S89,"")</f>
        <v/>
      </c>
      <c r="AJ89" s="47">
        <f>IFERROR(AH89/S89,"")</f>
        <v/>
      </c>
      <c r="AK89" s="116" t="n">
        <v>54</v>
      </c>
      <c r="AL89" s="116" t="n">
        <v>1</v>
      </c>
      <c r="AM89" s="118">
        <f>IFERROR(AL89/AA89,"")</f>
        <v/>
      </c>
      <c r="AN89" s="119">
        <f>IFERROR(R89/AL89,"")</f>
        <v/>
      </c>
      <c r="AO89" s="116" t="n">
        <v>1</v>
      </c>
      <c r="AP89" s="47">
        <f>IFERROR(AO89/AL89,"")</f>
        <v/>
      </c>
      <c r="AQ89" s="119">
        <f>IFERROR(R89/AO89,"")</f>
        <v/>
      </c>
      <c r="AR89" s="116" t="n">
        <v>0</v>
      </c>
      <c r="AS89" s="116" t="n">
        <v>0</v>
      </c>
      <c r="AT89" s="116">
        <f>AL89+AR89</f>
        <v/>
      </c>
      <c r="AU89" s="119">
        <f>IFERROR(AO89*Assumptions!$C$26*Assumptions!$C$27*INDEX(Assumptions!$C$18:$C$21,MATCH(H89,Assumptions!$B$18:$B$21,0)),0)</f>
        <v/>
      </c>
    </row>
    <row r="90">
      <c r="A90" s="114" t="n">
        <v>46241</v>
      </c>
      <c r="B90" s="42" t="inlineStr">
        <is>
          <t>Wk 32</t>
        </is>
      </c>
      <c r="C90" s="42" t="inlineStr">
        <is>
          <t>Fri</t>
        </is>
      </c>
      <c r="D90" s="42" t="inlineStr">
        <is>
          <t>Meta (FB/IG)</t>
        </is>
      </c>
      <c r="E90" s="42" t="inlineStr">
        <is>
          <t>Facebook + Instagram</t>
        </is>
      </c>
      <c r="F90" s="42" t="inlineStr">
        <is>
          <t>LEP_ZA_AUG26_META_TD_AMUR_CONV</t>
        </is>
      </c>
      <c r="G90" s="42" t="inlineStr">
        <is>
          <t>Leads - Website Conversions</t>
        </is>
      </c>
      <c r="H90" s="42" t="inlineStr">
        <is>
          <t>AMUR</t>
        </is>
      </c>
      <c r="I90" s="42" t="inlineStr">
        <is>
          <t>0% Deposit</t>
        </is>
      </c>
      <c r="J90" s="42" t="inlineStr">
        <is>
          <t>MET_AMUR_LAL3_LEADS_ZA</t>
        </is>
      </c>
      <c r="K90" s="42" t="inlineStr">
        <is>
          <t>Lookalike</t>
        </is>
      </c>
      <c r="L90" s="42" t="inlineStr">
        <is>
          <t>AMUR_VID_20s_OwnerStory_v1</t>
        </is>
      </c>
      <c r="M90" s="42" t="inlineStr">
        <is>
          <t>Video 4:5</t>
        </is>
      </c>
      <c r="N90" s="42" t="inlineStr">
        <is>
          <t>She booked a test drive on a Tuesday</t>
        </is>
      </c>
      <c r="O90" s="42" t="inlineStr">
        <is>
          <t>Auction - Lowest Cost</t>
        </is>
      </c>
      <c r="P90" s="42" t="inlineStr">
        <is>
          <t>Offsite Conversions</t>
        </is>
      </c>
      <c r="Q90" s="42" t="inlineStr">
        <is>
          <t>https://www.lepas-sa.co.za/offers/amur</t>
        </is>
      </c>
      <c r="R90" s="115" t="n">
        <v>219.08</v>
      </c>
      <c r="S90" s="116" t="n">
        <v>2381</v>
      </c>
      <c r="T90" s="116" t="n">
        <v>1432</v>
      </c>
      <c r="U90" s="117">
        <f>IFERROR(S90/T90,"")</f>
        <v/>
      </c>
      <c r="V90" s="116" t="n">
        <v>30</v>
      </c>
      <c r="W90" s="116" t="n">
        <v>23</v>
      </c>
      <c r="X90" s="118">
        <f>IFERROR(W90/S90,"")</f>
        <v/>
      </c>
      <c r="Y90" s="115">
        <f>IFERROR(R90/W90,"")</f>
        <v/>
      </c>
      <c r="Z90" s="115">
        <f>IFERROR(R90/S90*1000,"")</f>
        <v/>
      </c>
      <c r="AA90" s="116" t="n">
        <v>19</v>
      </c>
      <c r="AB90" s="47">
        <f>IFERROR(AA90/W90,"")</f>
        <v/>
      </c>
      <c r="AC90" s="116" t="n">
        <v>525</v>
      </c>
      <c r="AD90" s="116" t="n">
        <v>322</v>
      </c>
      <c r="AE90" s="116" t="n">
        <v>234</v>
      </c>
      <c r="AF90" s="116" t="n">
        <v>160</v>
      </c>
      <c r="AG90" s="116" t="n">
        <v>102</v>
      </c>
      <c r="AH90" s="116" t="n">
        <v>75</v>
      </c>
      <c r="AI90" s="47">
        <f>IFERROR(AC90/S90,"")</f>
        <v/>
      </c>
      <c r="AJ90" s="47">
        <f>IFERROR(AH90/S90,"")</f>
        <v/>
      </c>
      <c r="AK90" s="116" t="n">
        <v>24</v>
      </c>
      <c r="AL90" s="116" t="n">
        <v>0</v>
      </c>
      <c r="AM90" s="118">
        <f>IFERROR(AL90/AA90,"")</f>
        <v/>
      </c>
      <c r="AN90" s="119">
        <f>IFERROR(R90/AL90,"")</f>
        <v/>
      </c>
      <c r="AO90" s="116" t="n">
        <v>0</v>
      </c>
      <c r="AP90" s="47">
        <f>IFERROR(AO90/AL90,"")</f>
        <v/>
      </c>
      <c r="AQ90" s="119">
        <f>IFERROR(R90/AO90,"")</f>
        <v/>
      </c>
      <c r="AR90" s="116" t="n">
        <v>0</v>
      </c>
      <c r="AS90" s="116" t="n">
        <v>0</v>
      </c>
      <c r="AT90" s="116">
        <f>AL90+AR90</f>
        <v/>
      </c>
      <c r="AU90" s="119">
        <f>IFERROR(AO90*Assumptions!$C$26*Assumptions!$C$27*INDEX(Assumptions!$C$18:$C$21,MATCH(H90,Assumptions!$B$18:$B$21,0)),0)</f>
        <v/>
      </c>
    </row>
    <row r="91">
      <c r="A91" s="114" t="n">
        <v>46242</v>
      </c>
      <c r="B91" s="42" t="inlineStr">
        <is>
          <t>Wk 32</t>
        </is>
      </c>
      <c r="C91" s="42" t="inlineStr">
        <is>
          <t>Sat</t>
        </is>
      </c>
      <c r="D91" s="42" t="inlineStr">
        <is>
          <t>Meta (FB/IG)</t>
        </is>
      </c>
      <c r="E91" s="42" t="inlineStr">
        <is>
          <t>Facebook + Instagram</t>
        </is>
      </c>
      <c r="F91" s="42" t="inlineStr">
        <is>
          <t>LEP_ZA_AUG26_META_TD_AMUR_CONV</t>
        </is>
      </c>
      <c r="G91" s="42" t="inlineStr">
        <is>
          <t>Leads - Website Conversions</t>
        </is>
      </c>
      <c r="H91" s="42" t="inlineStr">
        <is>
          <t>AMUR</t>
        </is>
      </c>
      <c r="I91" s="42" t="inlineStr">
        <is>
          <t>0% Deposit</t>
        </is>
      </c>
      <c r="J91" s="42" t="inlineStr">
        <is>
          <t>MET_AMUR_LAL3_LEADS_ZA</t>
        </is>
      </c>
      <c r="K91" s="42" t="inlineStr">
        <is>
          <t>Lookalike</t>
        </is>
      </c>
      <c r="L91" s="42" t="inlineStr">
        <is>
          <t>AMUR_VID_20s_OwnerStory_v1</t>
        </is>
      </c>
      <c r="M91" s="42" t="inlineStr">
        <is>
          <t>Video 4:5</t>
        </is>
      </c>
      <c r="N91" s="42" t="inlineStr">
        <is>
          <t>She booked a test drive on a Tuesday</t>
        </is>
      </c>
      <c r="O91" s="42" t="inlineStr">
        <is>
          <t>Auction - Lowest Cost</t>
        </is>
      </c>
      <c r="P91" s="42" t="inlineStr">
        <is>
          <t>Offsite Conversions</t>
        </is>
      </c>
      <c r="Q91" s="42" t="inlineStr">
        <is>
          <t>https://www.lepas-sa.co.za/offers/amur</t>
        </is>
      </c>
      <c r="R91" s="115" t="n">
        <v>228.87</v>
      </c>
      <c r="S91" s="116" t="n">
        <v>2305</v>
      </c>
      <c r="T91" s="116" t="n">
        <v>1710</v>
      </c>
      <c r="U91" s="117">
        <f>IFERROR(S91/T91,"")</f>
        <v/>
      </c>
      <c r="V91" s="116" t="n">
        <v>33</v>
      </c>
      <c r="W91" s="116" t="n">
        <v>26</v>
      </c>
      <c r="X91" s="118">
        <f>IFERROR(W91/S91,"")</f>
        <v/>
      </c>
      <c r="Y91" s="115">
        <f>IFERROR(R91/W91,"")</f>
        <v/>
      </c>
      <c r="Z91" s="115">
        <f>IFERROR(R91/S91*1000,"")</f>
        <v/>
      </c>
      <c r="AA91" s="116" t="n">
        <v>23</v>
      </c>
      <c r="AB91" s="47">
        <f>IFERROR(AA91/W91,"")</f>
        <v/>
      </c>
      <c r="AC91" s="116" t="n">
        <v>638</v>
      </c>
      <c r="AD91" s="116" t="n">
        <v>343</v>
      </c>
      <c r="AE91" s="116" t="n">
        <v>320</v>
      </c>
      <c r="AF91" s="116" t="n">
        <v>168</v>
      </c>
      <c r="AG91" s="116" t="n">
        <v>121</v>
      </c>
      <c r="AH91" s="116" t="n">
        <v>68</v>
      </c>
      <c r="AI91" s="47">
        <f>IFERROR(AC91/S91,"")</f>
        <v/>
      </c>
      <c r="AJ91" s="47">
        <f>IFERROR(AH91/S91,"")</f>
        <v/>
      </c>
      <c r="AK91" s="116" t="n">
        <v>25</v>
      </c>
      <c r="AL91" s="116" t="n">
        <v>1</v>
      </c>
      <c r="AM91" s="118">
        <f>IFERROR(AL91/AA91,"")</f>
        <v/>
      </c>
      <c r="AN91" s="119">
        <f>IFERROR(R91/AL91,"")</f>
        <v/>
      </c>
      <c r="AO91" s="116" t="n">
        <v>0</v>
      </c>
      <c r="AP91" s="47">
        <f>IFERROR(AO91/AL91,"")</f>
        <v/>
      </c>
      <c r="AQ91" s="119">
        <f>IFERROR(R91/AO91,"")</f>
        <v/>
      </c>
      <c r="AR91" s="116" t="n">
        <v>0</v>
      </c>
      <c r="AS91" s="116" t="n">
        <v>1</v>
      </c>
      <c r="AT91" s="116">
        <f>AL91+AR91</f>
        <v/>
      </c>
      <c r="AU91" s="119">
        <f>IFERROR(AO91*Assumptions!$C$26*Assumptions!$C$27*INDEX(Assumptions!$C$18:$C$21,MATCH(H91,Assumptions!$B$18:$B$21,0)),0)</f>
        <v/>
      </c>
    </row>
    <row r="92">
      <c r="A92" s="114" t="n">
        <v>46243</v>
      </c>
      <c r="B92" s="42" t="inlineStr">
        <is>
          <t>Wk 32</t>
        </is>
      </c>
      <c r="C92" s="42" t="inlineStr">
        <is>
          <t>Sun</t>
        </is>
      </c>
      <c r="D92" s="42" t="inlineStr">
        <is>
          <t>Meta (FB/IG)</t>
        </is>
      </c>
      <c r="E92" s="42" t="inlineStr">
        <is>
          <t>Facebook + Instagram</t>
        </is>
      </c>
      <c r="F92" s="42" t="inlineStr">
        <is>
          <t>LEP_ZA_AUG26_META_TD_AMUR_CONV</t>
        </is>
      </c>
      <c r="G92" s="42" t="inlineStr">
        <is>
          <t>Leads - Website Conversions</t>
        </is>
      </c>
      <c r="H92" s="42" t="inlineStr">
        <is>
          <t>AMUR</t>
        </is>
      </c>
      <c r="I92" s="42" t="inlineStr">
        <is>
          <t>0% Deposit</t>
        </is>
      </c>
      <c r="J92" s="42" t="inlineStr">
        <is>
          <t>MET_AMUR_LAL3_LEADS_ZA</t>
        </is>
      </c>
      <c r="K92" s="42" t="inlineStr">
        <is>
          <t>Lookalike</t>
        </is>
      </c>
      <c r="L92" s="42" t="inlineStr">
        <is>
          <t>AMUR_VID_20s_OwnerStory_v1</t>
        </is>
      </c>
      <c r="M92" s="42" t="inlineStr">
        <is>
          <t>Video 4:5</t>
        </is>
      </c>
      <c r="N92" s="42" t="inlineStr">
        <is>
          <t>She booked a test drive on a Tuesday</t>
        </is>
      </c>
      <c r="O92" s="42" t="inlineStr">
        <is>
          <t>Auction - Lowest Cost</t>
        </is>
      </c>
      <c r="P92" s="42" t="inlineStr">
        <is>
          <t>Offsite Conversions</t>
        </is>
      </c>
      <c r="Q92" s="42" t="inlineStr">
        <is>
          <t>https://www.lepas-sa.co.za/offers/amur</t>
        </is>
      </c>
      <c r="R92" s="115" t="n">
        <v>218.17</v>
      </c>
      <c r="S92" s="116" t="n">
        <v>3274</v>
      </c>
      <c r="T92" s="116" t="n">
        <v>1980</v>
      </c>
      <c r="U92" s="117">
        <f>IFERROR(S92/T92,"")</f>
        <v/>
      </c>
      <c r="V92" s="116" t="n">
        <v>47</v>
      </c>
      <c r="W92" s="116" t="n">
        <v>36</v>
      </c>
      <c r="X92" s="118">
        <f>IFERROR(W92/S92,"")</f>
        <v/>
      </c>
      <c r="Y92" s="115">
        <f>IFERROR(R92/W92,"")</f>
        <v/>
      </c>
      <c r="Z92" s="115">
        <f>IFERROR(R92/S92*1000,"")</f>
        <v/>
      </c>
      <c r="AA92" s="116" t="n">
        <v>30</v>
      </c>
      <c r="AB92" s="47">
        <f>IFERROR(AA92/W92,"")</f>
        <v/>
      </c>
      <c r="AC92" s="116" t="n">
        <v>918</v>
      </c>
      <c r="AD92" s="116" t="n">
        <v>572</v>
      </c>
      <c r="AE92" s="116" t="n">
        <v>423</v>
      </c>
      <c r="AF92" s="116" t="n">
        <v>254</v>
      </c>
      <c r="AG92" s="116" t="n">
        <v>192</v>
      </c>
      <c r="AH92" s="116" t="n">
        <v>120</v>
      </c>
      <c r="AI92" s="47">
        <f>IFERROR(AC92/S92,"")</f>
        <v/>
      </c>
      <c r="AJ92" s="47">
        <f>IFERROR(AH92/S92,"")</f>
        <v/>
      </c>
      <c r="AK92" s="116" t="n">
        <v>62</v>
      </c>
      <c r="AL92" s="116" t="n">
        <v>0</v>
      </c>
      <c r="AM92" s="118">
        <f>IFERROR(AL92/AA92,"")</f>
        <v/>
      </c>
      <c r="AN92" s="119">
        <f>IFERROR(R92/AL92,"")</f>
        <v/>
      </c>
      <c r="AO92" s="116" t="n">
        <v>0</v>
      </c>
      <c r="AP92" s="47">
        <f>IFERROR(AO92/AL92,"")</f>
        <v/>
      </c>
      <c r="AQ92" s="119">
        <f>IFERROR(R92/AO92,"")</f>
        <v/>
      </c>
      <c r="AR92" s="116" t="n">
        <v>0</v>
      </c>
      <c r="AS92" s="116" t="n">
        <v>0</v>
      </c>
      <c r="AT92" s="116">
        <f>AL92+AR92</f>
        <v/>
      </c>
      <c r="AU92" s="119">
        <f>IFERROR(AO92*Assumptions!$C$26*Assumptions!$C$27*INDEX(Assumptions!$C$18:$C$21,MATCH(H92,Assumptions!$B$18:$B$21,0)),0)</f>
        <v/>
      </c>
    </row>
    <row r="93">
      <c r="A93" s="114" t="n">
        <v>46244</v>
      </c>
      <c r="B93" s="42" t="inlineStr">
        <is>
          <t>Wk 33</t>
        </is>
      </c>
      <c r="C93" s="42" t="inlineStr">
        <is>
          <t>Mon</t>
        </is>
      </c>
      <c r="D93" s="42" t="inlineStr">
        <is>
          <t>Meta (FB/IG)</t>
        </is>
      </c>
      <c r="E93" s="42" t="inlineStr">
        <is>
          <t>Facebook + Instagram</t>
        </is>
      </c>
      <c r="F93" s="42" t="inlineStr">
        <is>
          <t>LEP_ZA_AUG26_META_TD_AMUR_CONV</t>
        </is>
      </c>
      <c r="G93" s="42" t="inlineStr">
        <is>
          <t>Leads - Website Conversions</t>
        </is>
      </c>
      <c r="H93" s="42" t="inlineStr">
        <is>
          <t>AMUR</t>
        </is>
      </c>
      <c r="I93" s="42" t="inlineStr">
        <is>
          <t>0% Deposit</t>
        </is>
      </c>
      <c r="J93" s="42" t="inlineStr">
        <is>
          <t>MET_AMUR_LAL3_LEADS_ZA</t>
        </is>
      </c>
      <c r="K93" s="42" t="inlineStr">
        <is>
          <t>Lookalike</t>
        </is>
      </c>
      <c r="L93" s="42" t="inlineStr">
        <is>
          <t>AMUR_VID_20s_OwnerStory_v1</t>
        </is>
      </c>
      <c r="M93" s="42" t="inlineStr">
        <is>
          <t>Video 4:5</t>
        </is>
      </c>
      <c r="N93" s="42" t="inlineStr">
        <is>
          <t>She booked a test drive on a Tuesday</t>
        </is>
      </c>
      <c r="O93" s="42" t="inlineStr">
        <is>
          <t>Auction - Lowest Cost</t>
        </is>
      </c>
      <c r="P93" s="42" t="inlineStr">
        <is>
          <t>Offsite Conversions</t>
        </is>
      </c>
      <c r="Q93" s="42" t="inlineStr">
        <is>
          <t>https://www.lepas-sa.co.za/offers/amur</t>
        </is>
      </c>
      <c r="R93" s="115" t="n">
        <v>239.55</v>
      </c>
      <c r="S93" s="116" t="n">
        <v>2766</v>
      </c>
      <c r="T93" s="116" t="n">
        <v>1652</v>
      </c>
      <c r="U93" s="117">
        <f>IFERROR(S93/T93,"")</f>
        <v/>
      </c>
      <c r="V93" s="116" t="n">
        <v>30</v>
      </c>
      <c r="W93" s="116" t="n">
        <v>24</v>
      </c>
      <c r="X93" s="118">
        <f>IFERROR(W93/S93,"")</f>
        <v/>
      </c>
      <c r="Y93" s="115">
        <f>IFERROR(R93/W93,"")</f>
        <v/>
      </c>
      <c r="Z93" s="115">
        <f>IFERROR(R93/S93*1000,"")</f>
        <v/>
      </c>
      <c r="AA93" s="116" t="n">
        <v>21</v>
      </c>
      <c r="AB93" s="47">
        <f>IFERROR(AA93/W93,"")</f>
        <v/>
      </c>
      <c r="AC93" s="116" t="n">
        <v>887</v>
      </c>
      <c r="AD93" s="116" t="n">
        <v>453</v>
      </c>
      <c r="AE93" s="116" t="n">
        <v>485</v>
      </c>
      <c r="AF93" s="116" t="n">
        <v>307</v>
      </c>
      <c r="AG93" s="116" t="n">
        <v>218</v>
      </c>
      <c r="AH93" s="116" t="n">
        <v>137</v>
      </c>
      <c r="AI93" s="47">
        <f>IFERROR(AC93/S93,"")</f>
        <v/>
      </c>
      <c r="AJ93" s="47">
        <f>IFERROR(AH93/S93,"")</f>
        <v/>
      </c>
      <c r="AK93" s="116" t="n">
        <v>69</v>
      </c>
      <c r="AL93" s="116" t="n">
        <v>1</v>
      </c>
      <c r="AM93" s="118">
        <f>IFERROR(AL93/AA93,"")</f>
        <v/>
      </c>
      <c r="AN93" s="119">
        <f>IFERROR(R93/AL93,"")</f>
        <v/>
      </c>
      <c r="AO93" s="116" t="n">
        <v>0</v>
      </c>
      <c r="AP93" s="47">
        <f>IFERROR(AO93/AL93,"")</f>
        <v/>
      </c>
      <c r="AQ93" s="119">
        <f>IFERROR(R93/AO93,"")</f>
        <v/>
      </c>
      <c r="AR93" s="116" t="n">
        <v>0</v>
      </c>
      <c r="AS93" s="116" t="n">
        <v>0</v>
      </c>
      <c r="AT93" s="116">
        <f>AL93+AR93</f>
        <v/>
      </c>
      <c r="AU93" s="119">
        <f>IFERROR(AO93*Assumptions!$C$26*Assumptions!$C$27*INDEX(Assumptions!$C$18:$C$21,MATCH(H93,Assumptions!$B$18:$B$21,0)),0)</f>
        <v/>
      </c>
    </row>
    <row r="94">
      <c r="A94" s="114" t="n">
        <v>46245</v>
      </c>
      <c r="B94" s="42" t="inlineStr">
        <is>
          <t>Wk 33</t>
        </is>
      </c>
      <c r="C94" s="42" t="inlineStr">
        <is>
          <t>Tue</t>
        </is>
      </c>
      <c r="D94" s="42" t="inlineStr">
        <is>
          <t>Meta (FB/IG)</t>
        </is>
      </c>
      <c r="E94" s="42" t="inlineStr">
        <is>
          <t>Facebook + Instagram</t>
        </is>
      </c>
      <c r="F94" s="42" t="inlineStr">
        <is>
          <t>LEP_ZA_AUG26_META_TD_AMUR_CONV</t>
        </is>
      </c>
      <c r="G94" s="42" t="inlineStr">
        <is>
          <t>Leads - Website Conversions</t>
        </is>
      </c>
      <c r="H94" s="42" t="inlineStr">
        <is>
          <t>AMUR</t>
        </is>
      </c>
      <c r="I94" s="42" t="inlineStr">
        <is>
          <t>0% Deposit</t>
        </is>
      </c>
      <c r="J94" s="42" t="inlineStr">
        <is>
          <t>MET_AMUR_LAL3_LEADS_ZA</t>
        </is>
      </c>
      <c r="K94" s="42" t="inlineStr">
        <is>
          <t>Lookalike</t>
        </is>
      </c>
      <c r="L94" s="42" t="inlineStr">
        <is>
          <t>AMUR_VID_20s_OwnerStory_v1</t>
        </is>
      </c>
      <c r="M94" s="42" t="inlineStr">
        <is>
          <t>Video 4:5</t>
        </is>
      </c>
      <c r="N94" s="42" t="inlineStr">
        <is>
          <t>She booked a test drive on a Tuesday</t>
        </is>
      </c>
      <c r="O94" s="42" t="inlineStr">
        <is>
          <t>Auction - Lowest Cost</t>
        </is>
      </c>
      <c r="P94" s="42" t="inlineStr">
        <is>
          <t>Offsite Conversions</t>
        </is>
      </c>
      <c r="Q94" s="42" t="inlineStr">
        <is>
          <t>https://www.lepas-sa.co.za/offers/amur</t>
        </is>
      </c>
      <c r="R94" s="115" t="n">
        <v>212.94</v>
      </c>
      <c r="S94" s="116" t="n">
        <v>2370</v>
      </c>
      <c r="T94" s="116" t="n">
        <v>1391</v>
      </c>
      <c r="U94" s="117">
        <f>IFERROR(S94/T94,"")</f>
        <v/>
      </c>
      <c r="V94" s="116" t="n">
        <v>55</v>
      </c>
      <c r="W94" s="116" t="n">
        <v>45</v>
      </c>
      <c r="X94" s="118">
        <f>IFERROR(W94/S94,"")</f>
        <v/>
      </c>
      <c r="Y94" s="115">
        <f>IFERROR(R94/W94,"")</f>
        <v/>
      </c>
      <c r="Z94" s="115">
        <f>IFERROR(R94/S94*1000,"")</f>
        <v/>
      </c>
      <c r="AA94" s="116" t="n">
        <v>39</v>
      </c>
      <c r="AB94" s="47">
        <f>IFERROR(AA94/W94,"")</f>
        <v/>
      </c>
      <c r="AC94" s="116" t="n">
        <v>874</v>
      </c>
      <c r="AD94" s="116" t="n">
        <v>508</v>
      </c>
      <c r="AE94" s="116" t="n">
        <v>365</v>
      </c>
      <c r="AF94" s="116" t="n">
        <v>250</v>
      </c>
      <c r="AG94" s="116" t="n">
        <v>186</v>
      </c>
      <c r="AH94" s="116" t="n">
        <v>122</v>
      </c>
      <c r="AI94" s="47">
        <f>IFERROR(AC94/S94,"")</f>
        <v/>
      </c>
      <c r="AJ94" s="47">
        <f>IFERROR(AH94/S94,"")</f>
        <v/>
      </c>
      <c r="AK94" s="116" t="n">
        <v>43</v>
      </c>
      <c r="AL94" s="116" t="n">
        <v>1</v>
      </c>
      <c r="AM94" s="118">
        <f>IFERROR(AL94/AA94,"")</f>
        <v/>
      </c>
      <c r="AN94" s="119">
        <f>IFERROR(R94/AL94,"")</f>
        <v/>
      </c>
      <c r="AO94" s="116" t="n">
        <v>1</v>
      </c>
      <c r="AP94" s="47">
        <f>IFERROR(AO94/AL94,"")</f>
        <v/>
      </c>
      <c r="AQ94" s="119">
        <f>IFERROR(R94/AO94,"")</f>
        <v/>
      </c>
      <c r="AR94" s="116" t="n">
        <v>0</v>
      </c>
      <c r="AS94" s="116" t="n">
        <v>0</v>
      </c>
      <c r="AT94" s="116">
        <f>AL94+AR94</f>
        <v/>
      </c>
      <c r="AU94" s="119">
        <f>IFERROR(AO94*Assumptions!$C$26*Assumptions!$C$27*INDEX(Assumptions!$C$18:$C$21,MATCH(H94,Assumptions!$B$18:$B$21,0)),0)</f>
        <v/>
      </c>
    </row>
    <row r="95">
      <c r="A95" s="114" t="n">
        <v>46246</v>
      </c>
      <c r="B95" s="42" t="inlineStr">
        <is>
          <t>Wk 33</t>
        </is>
      </c>
      <c r="C95" s="42" t="inlineStr">
        <is>
          <t>Wed</t>
        </is>
      </c>
      <c r="D95" s="42" t="inlineStr">
        <is>
          <t>Meta (FB/IG)</t>
        </is>
      </c>
      <c r="E95" s="42" t="inlineStr">
        <is>
          <t>Facebook + Instagram</t>
        </is>
      </c>
      <c r="F95" s="42" t="inlineStr">
        <is>
          <t>LEP_ZA_AUG26_META_TD_AMUR_CONV</t>
        </is>
      </c>
      <c r="G95" s="42" t="inlineStr">
        <is>
          <t>Leads - Website Conversions</t>
        </is>
      </c>
      <c r="H95" s="42" t="inlineStr">
        <is>
          <t>AMUR</t>
        </is>
      </c>
      <c r="I95" s="42" t="inlineStr">
        <is>
          <t>0% Deposit</t>
        </is>
      </c>
      <c r="J95" s="42" t="inlineStr">
        <is>
          <t>MET_AMUR_LAL3_LEADS_ZA</t>
        </is>
      </c>
      <c r="K95" s="42" t="inlineStr">
        <is>
          <t>Lookalike</t>
        </is>
      </c>
      <c r="L95" s="42" t="inlineStr">
        <is>
          <t>AMUR_VID_20s_OwnerStory_v1</t>
        </is>
      </c>
      <c r="M95" s="42" t="inlineStr">
        <is>
          <t>Video 4:5</t>
        </is>
      </c>
      <c r="N95" s="42" t="inlineStr">
        <is>
          <t>She booked a test drive on a Tuesday</t>
        </is>
      </c>
      <c r="O95" s="42" t="inlineStr">
        <is>
          <t>Auction - Lowest Cost</t>
        </is>
      </c>
      <c r="P95" s="42" t="inlineStr">
        <is>
          <t>Offsite Conversions</t>
        </is>
      </c>
      <c r="Q95" s="42" t="inlineStr">
        <is>
          <t>https://www.lepas-sa.co.za/offers/amur</t>
        </is>
      </c>
      <c r="R95" s="115" t="n">
        <v>197.58</v>
      </c>
      <c r="S95" s="116" t="n">
        <v>3231</v>
      </c>
      <c r="T95" s="116" t="n">
        <v>2356</v>
      </c>
      <c r="U95" s="117">
        <f>IFERROR(S95/T95,"")</f>
        <v/>
      </c>
      <c r="V95" s="116" t="n">
        <v>36</v>
      </c>
      <c r="W95" s="116" t="n">
        <v>30</v>
      </c>
      <c r="X95" s="118">
        <f>IFERROR(W95/S95,"")</f>
        <v/>
      </c>
      <c r="Y95" s="115">
        <f>IFERROR(R95/W95,"")</f>
        <v/>
      </c>
      <c r="Z95" s="115">
        <f>IFERROR(R95/S95*1000,"")</f>
        <v/>
      </c>
      <c r="AA95" s="116" t="n">
        <v>26</v>
      </c>
      <c r="AB95" s="47">
        <f>IFERROR(AA95/W95,"")</f>
        <v/>
      </c>
      <c r="AC95" s="116" t="n">
        <v>883</v>
      </c>
      <c r="AD95" s="116" t="n">
        <v>483</v>
      </c>
      <c r="AE95" s="116" t="n">
        <v>384</v>
      </c>
      <c r="AF95" s="116" t="n">
        <v>234</v>
      </c>
      <c r="AG95" s="116" t="n">
        <v>184</v>
      </c>
      <c r="AH95" s="116" t="n">
        <v>116</v>
      </c>
      <c r="AI95" s="47">
        <f>IFERROR(AC95/S95,"")</f>
        <v/>
      </c>
      <c r="AJ95" s="47">
        <f>IFERROR(AH95/S95,"")</f>
        <v/>
      </c>
      <c r="AK95" s="116" t="n">
        <v>46</v>
      </c>
      <c r="AL95" s="116" t="n">
        <v>0</v>
      </c>
      <c r="AM95" s="118">
        <f>IFERROR(AL95/AA95,"")</f>
        <v/>
      </c>
      <c r="AN95" s="119">
        <f>IFERROR(R95/AL95,"")</f>
        <v/>
      </c>
      <c r="AO95" s="116" t="n">
        <v>0</v>
      </c>
      <c r="AP95" s="47">
        <f>IFERROR(AO95/AL95,"")</f>
        <v/>
      </c>
      <c r="AQ95" s="119">
        <f>IFERROR(R95/AO95,"")</f>
        <v/>
      </c>
      <c r="AR95" s="116" t="n">
        <v>0</v>
      </c>
      <c r="AS95" s="116" t="n">
        <v>0</v>
      </c>
      <c r="AT95" s="116">
        <f>AL95+AR95</f>
        <v/>
      </c>
      <c r="AU95" s="119">
        <f>IFERROR(AO95*Assumptions!$C$26*Assumptions!$C$27*INDEX(Assumptions!$C$18:$C$21,MATCH(H95,Assumptions!$B$18:$B$21,0)),0)</f>
        <v/>
      </c>
    </row>
    <row r="96">
      <c r="A96" s="114" t="n">
        <v>46247</v>
      </c>
      <c r="B96" s="42" t="inlineStr">
        <is>
          <t>Wk 33</t>
        </is>
      </c>
      <c r="C96" s="42" t="inlineStr">
        <is>
          <t>Thu</t>
        </is>
      </c>
      <c r="D96" s="42" t="inlineStr">
        <is>
          <t>Meta (FB/IG)</t>
        </is>
      </c>
      <c r="E96" s="42" t="inlineStr">
        <is>
          <t>Facebook + Instagram</t>
        </is>
      </c>
      <c r="F96" s="42" t="inlineStr">
        <is>
          <t>LEP_ZA_AUG26_META_TD_AMUR_CONV</t>
        </is>
      </c>
      <c r="G96" s="42" t="inlineStr">
        <is>
          <t>Leads - Website Conversions</t>
        </is>
      </c>
      <c r="H96" s="42" t="inlineStr">
        <is>
          <t>AMUR</t>
        </is>
      </c>
      <c r="I96" s="42" t="inlineStr">
        <is>
          <t>0% Deposit</t>
        </is>
      </c>
      <c r="J96" s="42" t="inlineStr">
        <is>
          <t>MET_AMUR_LAL3_LEADS_ZA</t>
        </is>
      </c>
      <c r="K96" s="42" t="inlineStr">
        <is>
          <t>Lookalike</t>
        </is>
      </c>
      <c r="L96" s="42" t="inlineStr">
        <is>
          <t>AMUR_VID_20s_OwnerStory_v1</t>
        </is>
      </c>
      <c r="M96" s="42" t="inlineStr">
        <is>
          <t>Video 4:5</t>
        </is>
      </c>
      <c r="N96" s="42" t="inlineStr">
        <is>
          <t>She booked a test drive on a Tuesday</t>
        </is>
      </c>
      <c r="O96" s="42" t="inlineStr">
        <is>
          <t>Auction - Lowest Cost</t>
        </is>
      </c>
      <c r="P96" s="42" t="inlineStr">
        <is>
          <t>Offsite Conversions</t>
        </is>
      </c>
      <c r="Q96" s="42" t="inlineStr">
        <is>
          <t>https://www.lepas-sa.co.za/offers/amur</t>
        </is>
      </c>
      <c r="R96" s="115" t="n">
        <v>277.96</v>
      </c>
      <c r="S96" s="116" t="n">
        <v>2926</v>
      </c>
      <c r="T96" s="116" t="n">
        <v>1668</v>
      </c>
      <c r="U96" s="117">
        <f>IFERROR(S96/T96,"")</f>
        <v/>
      </c>
      <c r="V96" s="116" t="n">
        <v>70</v>
      </c>
      <c r="W96" s="116" t="n">
        <v>51</v>
      </c>
      <c r="X96" s="118">
        <f>IFERROR(W96/S96,"")</f>
        <v/>
      </c>
      <c r="Y96" s="115">
        <f>IFERROR(R96/W96,"")</f>
        <v/>
      </c>
      <c r="Z96" s="115">
        <f>IFERROR(R96/S96*1000,"")</f>
        <v/>
      </c>
      <c r="AA96" s="116" t="n">
        <v>43</v>
      </c>
      <c r="AB96" s="47">
        <f>IFERROR(AA96/W96,"")</f>
        <v/>
      </c>
      <c r="AC96" s="116" t="n">
        <v>677</v>
      </c>
      <c r="AD96" s="116" t="n">
        <v>398</v>
      </c>
      <c r="AE96" s="116" t="n">
        <v>296</v>
      </c>
      <c r="AF96" s="116" t="n">
        <v>188</v>
      </c>
      <c r="AG96" s="116" t="n">
        <v>148</v>
      </c>
      <c r="AH96" s="116" t="n">
        <v>98</v>
      </c>
      <c r="AI96" s="47">
        <f>IFERROR(AC96/S96,"")</f>
        <v/>
      </c>
      <c r="AJ96" s="47">
        <f>IFERROR(AH96/S96,"")</f>
        <v/>
      </c>
      <c r="AK96" s="116" t="n">
        <v>79</v>
      </c>
      <c r="AL96" s="116" t="n">
        <v>2</v>
      </c>
      <c r="AM96" s="118">
        <f>IFERROR(AL96/AA96,"")</f>
        <v/>
      </c>
      <c r="AN96" s="119">
        <f>IFERROR(R96/AL96,"")</f>
        <v/>
      </c>
      <c r="AO96" s="116" t="n">
        <v>1</v>
      </c>
      <c r="AP96" s="47">
        <f>IFERROR(AO96/AL96,"")</f>
        <v/>
      </c>
      <c r="AQ96" s="119">
        <f>IFERROR(R96/AO96,"")</f>
        <v/>
      </c>
      <c r="AR96" s="116" t="n">
        <v>1</v>
      </c>
      <c r="AS96" s="116" t="n">
        <v>0</v>
      </c>
      <c r="AT96" s="116">
        <f>AL96+AR96</f>
        <v/>
      </c>
      <c r="AU96" s="119">
        <f>IFERROR(AO96*Assumptions!$C$26*Assumptions!$C$27*INDEX(Assumptions!$C$18:$C$21,MATCH(H96,Assumptions!$B$18:$B$21,0)),0)</f>
        <v/>
      </c>
    </row>
    <row r="97">
      <c r="A97" s="114" t="n">
        <v>46248</v>
      </c>
      <c r="B97" s="42" t="inlineStr">
        <is>
          <t>Wk 33</t>
        </is>
      </c>
      <c r="C97" s="42" t="inlineStr">
        <is>
          <t>Fri</t>
        </is>
      </c>
      <c r="D97" s="42" t="inlineStr">
        <is>
          <t>Meta (FB/IG)</t>
        </is>
      </c>
      <c r="E97" s="42" t="inlineStr">
        <is>
          <t>Facebook + Instagram</t>
        </is>
      </c>
      <c r="F97" s="42" t="inlineStr">
        <is>
          <t>LEP_ZA_AUG26_META_TD_AMUR_CONV</t>
        </is>
      </c>
      <c r="G97" s="42" t="inlineStr">
        <is>
          <t>Leads - Website Conversions</t>
        </is>
      </c>
      <c r="H97" s="42" t="inlineStr">
        <is>
          <t>AMUR</t>
        </is>
      </c>
      <c r="I97" s="42" t="inlineStr">
        <is>
          <t>0% Deposit</t>
        </is>
      </c>
      <c r="J97" s="42" t="inlineStr">
        <is>
          <t>MET_AMUR_LAL3_LEADS_ZA</t>
        </is>
      </c>
      <c r="K97" s="42" t="inlineStr">
        <is>
          <t>Lookalike</t>
        </is>
      </c>
      <c r="L97" s="42" t="inlineStr">
        <is>
          <t>AMUR_VID_20s_OwnerStory_v1</t>
        </is>
      </c>
      <c r="M97" s="42" t="inlineStr">
        <is>
          <t>Video 4:5</t>
        </is>
      </c>
      <c r="N97" s="42" t="inlineStr">
        <is>
          <t>She booked a test drive on a Tuesday</t>
        </is>
      </c>
      <c r="O97" s="42" t="inlineStr">
        <is>
          <t>Auction - Lowest Cost</t>
        </is>
      </c>
      <c r="P97" s="42" t="inlineStr">
        <is>
          <t>Offsite Conversions</t>
        </is>
      </c>
      <c r="Q97" s="42" t="inlineStr">
        <is>
          <t>https://www.lepas-sa.co.za/offers/amur</t>
        </is>
      </c>
      <c r="R97" s="115" t="n">
        <v>282.87</v>
      </c>
      <c r="S97" s="116" t="n">
        <v>3448</v>
      </c>
      <c r="T97" s="116" t="n">
        <v>1912</v>
      </c>
      <c r="U97" s="117">
        <f>IFERROR(S97/T97,"")</f>
        <v/>
      </c>
      <c r="V97" s="116" t="n">
        <v>55</v>
      </c>
      <c r="W97" s="116" t="n">
        <v>41</v>
      </c>
      <c r="X97" s="118">
        <f>IFERROR(W97/S97,"")</f>
        <v/>
      </c>
      <c r="Y97" s="115">
        <f>IFERROR(R97/W97,"")</f>
        <v/>
      </c>
      <c r="Z97" s="115">
        <f>IFERROR(R97/S97*1000,"")</f>
        <v/>
      </c>
      <c r="AA97" s="116" t="n">
        <v>34</v>
      </c>
      <c r="AB97" s="47">
        <f>IFERROR(AA97/W97,"")</f>
        <v/>
      </c>
      <c r="AC97" s="116" t="n">
        <v>982</v>
      </c>
      <c r="AD97" s="116" t="n">
        <v>508</v>
      </c>
      <c r="AE97" s="116" t="n">
        <v>375</v>
      </c>
      <c r="AF97" s="116" t="n">
        <v>213</v>
      </c>
      <c r="AG97" s="116" t="n">
        <v>156</v>
      </c>
      <c r="AH97" s="116" t="n">
        <v>111</v>
      </c>
      <c r="AI97" s="47">
        <f>IFERROR(AC97/S97,"")</f>
        <v/>
      </c>
      <c r="AJ97" s="47">
        <f>IFERROR(AH97/S97,"")</f>
        <v/>
      </c>
      <c r="AK97" s="116" t="n">
        <v>115</v>
      </c>
      <c r="AL97" s="116" t="n">
        <v>1</v>
      </c>
      <c r="AM97" s="118">
        <f>IFERROR(AL97/AA97,"")</f>
        <v/>
      </c>
      <c r="AN97" s="119">
        <f>IFERROR(R97/AL97,"")</f>
        <v/>
      </c>
      <c r="AO97" s="116" t="n">
        <v>1</v>
      </c>
      <c r="AP97" s="47">
        <f>IFERROR(AO97/AL97,"")</f>
        <v/>
      </c>
      <c r="AQ97" s="119">
        <f>IFERROR(R97/AO97,"")</f>
        <v/>
      </c>
      <c r="AR97" s="116" t="n">
        <v>1</v>
      </c>
      <c r="AS97" s="116" t="n">
        <v>0</v>
      </c>
      <c r="AT97" s="116">
        <f>AL97+AR97</f>
        <v/>
      </c>
      <c r="AU97" s="119">
        <f>IFERROR(AO97*Assumptions!$C$26*Assumptions!$C$27*INDEX(Assumptions!$C$18:$C$21,MATCH(H97,Assumptions!$B$18:$B$21,0)),0)</f>
        <v/>
      </c>
    </row>
    <row r="98">
      <c r="A98" s="114" t="n">
        <v>46249</v>
      </c>
      <c r="B98" s="42" t="inlineStr">
        <is>
          <t>Wk 33</t>
        </is>
      </c>
      <c r="C98" s="42" t="inlineStr">
        <is>
          <t>Sat</t>
        </is>
      </c>
      <c r="D98" s="42" t="inlineStr">
        <is>
          <t>Meta (FB/IG)</t>
        </is>
      </c>
      <c r="E98" s="42" t="inlineStr">
        <is>
          <t>Facebook + Instagram</t>
        </is>
      </c>
      <c r="F98" s="42" t="inlineStr">
        <is>
          <t>LEP_ZA_AUG26_META_TD_AMUR_CONV</t>
        </is>
      </c>
      <c r="G98" s="42" t="inlineStr">
        <is>
          <t>Leads - Website Conversions</t>
        </is>
      </c>
      <c r="H98" s="42" t="inlineStr">
        <is>
          <t>AMUR</t>
        </is>
      </c>
      <c r="I98" s="42" t="inlineStr">
        <is>
          <t>0% Deposit</t>
        </is>
      </c>
      <c r="J98" s="42" t="inlineStr">
        <is>
          <t>MET_AMUR_LAL3_LEADS_ZA</t>
        </is>
      </c>
      <c r="K98" s="42" t="inlineStr">
        <is>
          <t>Lookalike</t>
        </is>
      </c>
      <c r="L98" s="42" t="inlineStr">
        <is>
          <t>AMUR_VID_20s_OwnerStory_v1</t>
        </is>
      </c>
      <c r="M98" s="42" t="inlineStr">
        <is>
          <t>Video 4:5</t>
        </is>
      </c>
      <c r="N98" s="42" t="inlineStr">
        <is>
          <t>She booked a test drive on a Tuesday</t>
        </is>
      </c>
      <c r="O98" s="42" t="inlineStr">
        <is>
          <t>Auction - Lowest Cost</t>
        </is>
      </c>
      <c r="P98" s="42" t="inlineStr">
        <is>
          <t>Offsite Conversions</t>
        </is>
      </c>
      <c r="Q98" s="42" t="inlineStr">
        <is>
          <t>https://www.lepas-sa.co.za/offers/amur</t>
        </is>
      </c>
      <c r="R98" s="115" t="n">
        <v>244.11</v>
      </c>
      <c r="S98" s="116" t="n">
        <v>2837</v>
      </c>
      <c r="T98" s="116" t="n">
        <v>2141</v>
      </c>
      <c r="U98" s="117">
        <f>IFERROR(S98/T98,"")</f>
        <v/>
      </c>
      <c r="V98" s="116" t="n">
        <v>50</v>
      </c>
      <c r="W98" s="116" t="n">
        <v>37</v>
      </c>
      <c r="X98" s="118">
        <f>IFERROR(W98/S98,"")</f>
        <v/>
      </c>
      <c r="Y98" s="115">
        <f>IFERROR(R98/W98,"")</f>
        <v/>
      </c>
      <c r="Z98" s="115">
        <f>IFERROR(R98/S98*1000,"")</f>
        <v/>
      </c>
      <c r="AA98" s="116" t="n">
        <v>33</v>
      </c>
      <c r="AB98" s="47">
        <f>IFERROR(AA98/W98,"")</f>
        <v/>
      </c>
      <c r="AC98" s="116" t="n">
        <v>1039</v>
      </c>
      <c r="AD98" s="116" t="n">
        <v>460</v>
      </c>
      <c r="AE98" s="116" t="n">
        <v>442</v>
      </c>
      <c r="AF98" s="116" t="n">
        <v>255</v>
      </c>
      <c r="AG98" s="116" t="n">
        <v>161</v>
      </c>
      <c r="AH98" s="116" t="n">
        <v>107</v>
      </c>
      <c r="AI98" s="47">
        <f>IFERROR(AC98/S98,"")</f>
        <v/>
      </c>
      <c r="AJ98" s="47">
        <f>IFERROR(AH98/S98,"")</f>
        <v/>
      </c>
      <c r="AK98" s="116" t="n">
        <v>52</v>
      </c>
      <c r="AL98" s="116" t="n">
        <v>1</v>
      </c>
      <c r="AM98" s="118">
        <f>IFERROR(AL98/AA98,"")</f>
        <v/>
      </c>
      <c r="AN98" s="119">
        <f>IFERROR(R98/AL98,"")</f>
        <v/>
      </c>
      <c r="AO98" s="116" t="n">
        <v>1</v>
      </c>
      <c r="AP98" s="47">
        <f>IFERROR(AO98/AL98,"")</f>
        <v/>
      </c>
      <c r="AQ98" s="119">
        <f>IFERROR(R98/AO98,"")</f>
        <v/>
      </c>
      <c r="AR98" s="116" t="n">
        <v>0</v>
      </c>
      <c r="AS98" s="116" t="n">
        <v>0</v>
      </c>
      <c r="AT98" s="116">
        <f>AL98+AR98</f>
        <v/>
      </c>
      <c r="AU98" s="119">
        <f>IFERROR(AO98*Assumptions!$C$26*Assumptions!$C$27*INDEX(Assumptions!$C$18:$C$21,MATCH(H98,Assumptions!$B$18:$B$21,0)),0)</f>
        <v/>
      </c>
    </row>
    <row r="99">
      <c r="A99" s="114" t="n">
        <v>46250</v>
      </c>
      <c r="B99" s="42" t="inlineStr">
        <is>
          <t>Wk 33</t>
        </is>
      </c>
      <c r="C99" s="42" t="inlineStr">
        <is>
          <t>Sun</t>
        </is>
      </c>
      <c r="D99" s="42" t="inlineStr">
        <is>
          <t>Meta (FB/IG)</t>
        </is>
      </c>
      <c r="E99" s="42" t="inlineStr">
        <is>
          <t>Facebook + Instagram</t>
        </is>
      </c>
      <c r="F99" s="42" t="inlineStr">
        <is>
          <t>LEP_ZA_AUG26_META_TD_AMUR_CONV</t>
        </is>
      </c>
      <c r="G99" s="42" t="inlineStr">
        <is>
          <t>Leads - Website Conversions</t>
        </is>
      </c>
      <c r="H99" s="42" t="inlineStr">
        <is>
          <t>AMUR</t>
        </is>
      </c>
      <c r="I99" s="42" t="inlineStr">
        <is>
          <t>0% Deposit</t>
        </is>
      </c>
      <c r="J99" s="42" t="inlineStr">
        <is>
          <t>MET_AMUR_LAL3_LEADS_ZA</t>
        </is>
      </c>
      <c r="K99" s="42" t="inlineStr">
        <is>
          <t>Lookalike</t>
        </is>
      </c>
      <c r="L99" s="42" t="inlineStr">
        <is>
          <t>AMUR_VID_20s_OwnerStory_v1</t>
        </is>
      </c>
      <c r="M99" s="42" t="inlineStr">
        <is>
          <t>Video 4:5</t>
        </is>
      </c>
      <c r="N99" s="42" t="inlineStr">
        <is>
          <t>She booked a test drive on a Tuesday</t>
        </is>
      </c>
      <c r="O99" s="42" t="inlineStr">
        <is>
          <t>Auction - Lowest Cost</t>
        </is>
      </c>
      <c r="P99" s="42" t="inlineStr">
        <is>
          <t>Offsite Conversions</t>
        </is>
      </c>
      <c r="Q99" s="42" t="inlineStr">
        <is>
          <t>https://www.lepas-sa.co.za/offers/amur</t>
        </is>
      </c>
      <c r="R99" s="115" t="n">
        <v>214.56</v>
      </c>
      <c r="S99" s="116" t="n">
        <v>2314</v>
      </c>
      <c r="T99" s="116" t="n">
        <v>1333</v>
      </c>
      <c r="U99" s="117">
        <f>IFERROR(S99/T99,"")</f>
        <v/>
      </c>
      <c r="V99" s="116" t="n">
        <v>31</v>
      </c>
      <c r="W99" s="116" t="n">
        <v>23</v>
      </c>
      <c r="X99" s="118">
        <f>IFERROR(W99/S99,"")</f>
        <v/>
      </c>
      <c r="Y99" s="115">
        <f>IFERROR(R99/W99,"")</f>
        <v/>
      </c>
      <c r="Z99" s="115">
        <f>IFERROR(R99/S99*1000,"")</f>
        <v/>
      </c>
      <c r="AA99" s="116" t="n">
        <v>20</v>
      </c>
      <c r="AB99" s="47">
        <f>IFERROR(AA99/W99,"")</f>
        <v/>
      </c>
      <c r="AC99" s="116" t="n">
        <v>539</v>
      </c>
      <c r="AD99" s="116" t="n">
        <v>255</v>
      </c>
      <c r="AE99" s="116" t="n">
        <v>286</v>
      </c>
      <c r="AF99" s="116" t="n">
        <v>161</v>
      </c>
      <c r="AG99" s="116" t="n">
        <v>116</v>
      </c>
      <c r="AH99" s="116" t="n">
        <v>69</v>
      </c>
      <c r="AI99" s="47">
        <f>IFERROR(AC99/S99,"")</f>
        <v/>
      </c>
      <c r="AJ99" s="47">
        <f>IFERROR(AH99/S99,"")</f>
        <v/>
      </c>
      <c r="AK99" s="116" t="n">
        <v>76</v>
      </c>
      <c r="AL99" s="116" t="n">
        <v>1</v>
      </c>
      <c r="AM99" s="118">
        <f>IFERROR(AL99/AA99,"")</f>
        <v/>
      </c>
      <c r="AN99" s="119">
        <f>IFERROR(R99/AL99,"")</f>
        <v/>
      </c>
      <c r="AO99" s="116" t="n">
        <v>0</v>
      </c>
      <c r="AP99" s="47">
        <f>IFERROR(AO99/AL99,"")</f>
        <v/>
      </c>
      <c r="AQ99" s="119">
        <f>IFERROR(R99/AO99,"")</f>
        <v/>
      </c>
      <c r="AR99" s="116" t="n">
        <v>1</v>
      </c>
      <c r="AS99" s="116" t="n">
        <v>0</v>
      </c>
      <c r="AT99" s="116">
        <f>AL99+AR99</f>
        <v/>
      </c>
      <c r="AU99" s="119">
        <f>IFERROR(AO99*Assumptions!$C$26*Assumptions!$C$27*INDEX(Assumptions!$C$18:$C$21,MATCH(H99,Assumptions!$B$18:$B$21,0)),0)</f>
        <v/>
      </c>
    </row>
    <row r="100">
      <c r="A100" s="114" t="n">
        <v>46251</v>
      </c>
      <c r="B100" s="42" t="inlineStr">
        <is>
          <t>Wk 34</t>
        </is>
      </c>
      <c r="C100" s="42" t="inlineStr">
        <is>
          <t>Mon</t>
        </is>
      </c>
      <c r="D100" s="42" t="inlineStr">
        <is>
          <t>Meta (FB/IG)</t>
        </is>
      </c>
      <c r="E100" s="42" t="inlineStr">
        <is>
          <t>Facebook + Instagram</t>
        </is>
      </c>
      <c r="F100" s="42" t="inlineStr">
        <is>
          <t>LEP_ZA_AUG26_META_TD_AMUR_CONV</t>
        </is>
      </c>
      <c r="G100" s="42" t="inlineStr">
        <is>
          <t>Leads - Website Conversions</t>
        </is>
      </c>
      <c r="H100" s="42" t="inlineStr">
        <is>
          <t>AMUR</t>
        </is>
      </c>
      <c r="I100" s="42" t="inlineStr">
        <is>
          <t>0% Deposit</t>
        </is>
      </c>
      <c r="J100" s="42" t="inlineStr">
        <is>
          <t>MET_AMUR_LAL3_LEADS_ZA</t>
        </is>
      </c>
      <c r="K100" s="42" t="inlineStr">
        <is>
          <t>Lookalike</t>
        </is>
      </c>
      <c r="L100" s="42" t="inlineStr">
        <is>
          <t>AMUR_VID_20s_OwnerStory_v1</t>
        </is>
      </c>
      <c r="M100" s="42" t="inlineStr">
        <is>
          <t>Video 4:5</t>
        </is>
      </c>
      <c r="N100" s="42" t="inlineStr">
        <is>
          <t>She booked a test drive on a Tuesday</t>
        </is>
      </c>
      <c r="O100" s="42" t="inlineStr">
        <is>
          <t>Auction - Lowest Cost</t>
        </is>
      </c>
      <c r="P100" s="42" t="inlineStr">
        <is>
          <t>Offsite Conversions</t>
        </is>
      </c>
      <c r="Q100" s="42" t="inlineStr">
        <is>
          <t>https://www.lepas-sa.co.za/offers/amur</t>
        </is>
      </c>
      <c r="R100" s="115" t="n">
        <v>177.85</v>
      </c>
      <c r="S100" s="116" t="n">
        <v>2025</v>
      </c>
      <c r="T100" s="116" t="n">
        <v>1235</v>
      </c>
      <c r="U100" s="117">
        <f>IFERROR(S100/T100,"")</f>
        <v/>
      </c>
      <c r="V100" s="116" t="n">
        <v>33</v>
      </c>
      <c r="W100" s="116" t="n">
        <v>24</v>
      </c>
      <c r="X100" s="118">
        <f>IFERROR(W100/S100,"")</f>
        <v/>
      </c>
      <c r="Y100" s="115">
        <f>IFERROR(R100/W100,"")</f>
        <v/>
      </c>
      <c r="Z100" s="115">
        <f>IFERROR(R100/S100*1000,"")</f>
        <v/>
      </c>
      <c r="AA100" s="116" t="n">
        <v>21</v>
      </c>
      <c r="AB100" s="47">
        <f>IFERROR(AA100/W100,"")</f>
        <v/>
      </c>
      <c r="AC100" s="116" t="n">
        <v>801</v>
      </c>
      <c r="AD100" s="116" t="n">
        <v>472</v>
      </c>
      <c r="AE100" s="116" t="n">
        <v>373</v>
      </c>
      <c r="AF100" s="116" t="n">
        <v>229</v>
      </c>
      <c r="AG100" s="116" t="n">
        <v>177</v>
      </c>
      <c r="AH100" s="116" t="n">
        <v>119</v>
      </c>
      <c r="AI100" s="47">
        <f>IFERROR(AC100/S100,"")</f>
        <v/>
      </c>
      <c r="AJ100" s="47">
        <f>IFERROR(AH100/S100,"")</f>
        <v/>
      </c>
      <c r="AK100" s="116" t="n">
        <v>38</v>
      </c>
      <c r="AL100" s="116" t="n">
        <v>1</v>
      </c>
      <c r="AM100" s="118">
        <f>IFERROR(AL100/AA100,"")</f>
        <v/>
      </c>
      <c r="AN100" s="119">
        <f>IFERROR(R100/AL100,"")</f>
        <v/>
      </c>
      <c r="AO100" s="116" t="n">
        <v>1</v>
      </c>
      <c r="AP100" s="47">
        <f>IFERROR(AO100/AL100,"")</f>
        <v/>
      </c>
      <c r="AQ100" s="119">
        <f>IFERROR(R100/AO100,"")</f>
        <v/>
      </c>
      <c r="AR100" s="116" t="n">
        <v>0</v>
      </c>
      <c r="AS100" s="116" t="n">
        <v>0</v>
      </c>
      <c r="AT100" s="116">
        <f>AL100+AR100</f>
        <v/>
      </c>
      <c r="AU100" s="119">
        <f>IFERROR(AO100*Assumptions!$C$26*Assumptions!$C$27*INDEX(Assumptions!$C$18:$C$21,MATCH(H100,Assumptions!$B$18:$B$21,0)),0)</f>
        <v/>
      </c>
    </row>
    <row r="101">
      <c r="A101" s="114" t="n">
        <v>46252</v>
      </c>
      <c r="B101" s="42" t="inlineStr">
        <is>
          <t>Wk 34</t>
        </is>
      </c>
      <c r="C101" s="42" t="inlineStr">
        <is>
          <t>Tue</t>
        </is>
      </c>
      <c r="D101" s="42" t="inlineStr">
        <is>
          <t>Meta (FB/IG)</t>
        </is>
      </c>
      <c r="E101" s="42" t="inlineStr">
        <is>
          <t>Facebook + Instagram</t>
        </is>
      </c>
      <c r="F101" s="42" t="inlineStr">
        <is>
          <t>LEP_ZA_AUG26_META_TD_AMUR_CONV</t>
        </is>
      </c>
      <c r="G101" s="42" t="inlineStr">
        <is>
          <t>Leads - Website Conversions</t>
        </is>
      </c>
      <c r="H101" s="42" t="inlineStr">
        <is>
          <t>AMUR</t>
        </is>
      </c>
      <c r="I101" s="42" t="inlineStr">
        <is>
          <t>0% Deposit</t>
        </is>
      </c>
      <c r="J101" s="42" t="inlineStr">
        <is>
          <t>MET_AMUR_LAL3_LEADS_ZA</t>
        </is>
      </c>
      <c r="K101" s="42" t="inlineStr">
        <is>
          <t>Lookalike</t>
        </is>
      </c>
      <c r="L101" s="42" t="inlineStr">
        <is>
          <t>AMUR_VID_20s_OwnerStory_v1</t>
        </is>
      </c>
      <c r="M101" s="42" t="inlineStr">
        <is>
          <t>Video 4:5</t>
        </is>
      </c>
      <c r="N101" s="42" t="inlineStr">
        <is>
          <t>She booked a test drive on a Tuesday</t>
        </is>
      </c>
      <c r="O101" s="42" t="inlineStr">
        <is>
          <t>Auction - Lowest Cost</t>
        </is>
      </c>
      <c r="P101" s="42" t="inlineStr">
        <is>
          <t>Offsite Conversions</t>
        </is>
      </c>
      <c r="Q101" s="42" t="inlineStr">
        <is>
          <t>https://www.lepas-sa.co.za/offers/amur</t>
        </is>
      </c>
      <c r="R101" s="115" t="n">
        <v>212.29</v>
      </c>
      <c r="S101" s="116" t="n">
        <v>2371</v>
      </c>
      <c r="T101" s="116" t="n">
        <v>1651</v>
      </c>
      <c r="U101" s="117">
        <f>IFERROR(S101/T101,"")</f>
        <v/>
      </c>
      <c r="V101" s="116" t="n">
        <v>43</v>
      </c>
      <c r="W101" s="116" t="n">
        <v>31</v>
      </c>
      <c r="X101" s="118">
        <f>IFERROR(W101/S101,"")</f>
        <v/>
      </c>
      <c r="Y101" s="115">
        <f>IFERROR(R101/W101,"")</f>
        <v/>
      </c>
      <c r="Z101" s="115">
        <f>IFERROR(R101/S101*1000,"")</f>
        <v/>
      </c>
      <c r="AA101" s="116" t="n">
        <v>25</v>
      </c>
      <c r="AB101" s="47">
        <f>IFERROR(AA101/W101,"")</f>
        <v/>
      </c>
      <c r="AC101" s="116" t="n">
        <v>593</v>
      </c>
      <c r="AD101" s="116" t="n">
        <v>275</v>
      </c>
      <c r="AE101" s="116" t="n">
        <v>270</v>
      </c>
      <c r="AF101" s="116" t="n">
        <v>190</v>
      </c>
      <c r="AG101" s="116" t="n">
        <v>139</v>
      </c>
      <c r="AH101" s="116" t="n">
        <v>88</v>
      </c>
      <c r="AI101" s="47">
        <f>IFERROR(AC101/S101,"")</f>
        <v/>
      </c>
      <c r="AJ101" s="47">
        <f>IFERROR(AH101/S101,"")</f>
        <v/>
      </c>
      <c r="AK101" s="116" t="n">
        <v>56</v>
      </c>
      <c r="AL101" s="116" t="n">
        <v>1</v>
      </c>
      <c r="AM101" s="118">
        <f>IFERROR(AL101/AA101,"")</f>
        <v/>
      </c>
      <c r="AN101" s="119">
        <f>IFERROR(R101/AL101,"")</f>
        <v/>
      </c>
      <c r="AO101" s="116" t="n">
        <v>0</v>
      </c>
      <c r="AP101" s="47">
        <f>IFERROR(AO101/AL101,"")</f>
        <v/>
      </c>
      <c r="AQ101" s="119">
        <f>IFERROR(R101/AO101,"")</f>
        <v/>
      </c>
      <c r="AR101" s="116" t="n">
        <v>0</v>
      </c>
      <c r="AS101" s="116" t="n">
        <v>0</v>
      </c>
      <c r="AT101" s="116">
        <f>AL101+AR101</f>
        <v/>
      </c>
      <c r="AU101" s="119">
        <f>IFERROR(AO101*Assumptions!$C$26*Assumptions!$C$27*INDEX(Assumptions!$C$18:$C$21,MATCH(H101,Assumptions!$B$18:$B$21,0)),0)</f>
        <v/>
      </c>
    </row>
    <row r="102">
      <c r="A102" s="114" t="n">
        <v>46253</v>
      </c>
      <c r="B102" s="42" t="inlineStr">
        <is>
          <t>Wk 34</t>
        </is>
      </c>
      <c r="C102" s="42" t="inlineStr">
        <is>
          <t>Wed</t>
        </is>
      </c>
      <c r="D102" s="42" t="inlineStr">
        <is>
          <t>Meta (FB/IG)</t>
        </is>
      </c>
      <c r="E102" s="42" t="inlineStr">
        <is>
          <t>Facebook + Instagram</t>
        </is>
      </c>
      <c r="F102" s="42" t="inlineStr">
        <is>
          <t>LEP_ZA_AUG26_META_TD_AMUR_CONV</t>
        </is>
      </c>
      <c r="G102" s="42" t="inlineStr">
        <is>
          <t>Leads - Website Conversions</t>
        </is>
      </c>
      <c r="H102" s="42" t="inlineStr">
        <is>
          <t>AMUR</t>
        </is>
      </c>
      <c r="I102" s="42" t="inlineStr">
        <is>
          <t>0% Deposit</t>
        </is>
      </c>
      <c r="J102" s="42" t="inlineStr">
        <is>
          <t>MET_AMUR_LAL3_LEADS_ZA</t>
        </is>
      </c>
      <c r="K102" s="42" t="inlineStr">
        <is>
          <t>Lookalike</t>
        </is>
      </c>
      <c r="L102" s="42" t="inlineStr">
        <is>
          <t>AMUR_VID_20s_OwnerStory_v1</t>
        </is>
      </c>
      <c r="M102" s="42" t="inlineStr">
        <is>
          <t>Video 4:5</t>
        </is>
      </c>
      <c r="N102" s="42" t="inlineStr">
        <is>
          <t>She booked a test drive on a Tuesday</t>
        </is>
      </c>
      <c r="O102" s="42" t="inlineStr">
        <is>
          <t>Auction - Lowest Cost</t>
        </is>
      </c>
      <c r="P102" s="42" t="inlineStr">
        <is>
          <t>Offsite Conversions</t>
        </is>
      </c>
      <c r="Q102" s="42" t="inlineStr">
        <is>
          <t>https://www.lepas-sa.co.za/offers/amur</t>
        </is>
      </c>
      <c r="R102" s="115" t="n">
        <v>239.47</v>
      </c>
      <c r="S102" s="116" t="n">
        <v>3055</v>
      </c>
      <c r="T102" s="116" t="n">
        <v>1583</v>
      </c>
      <c r="U102" s="117">
        <f>IFERROR(S102/T102,"")</f>
        <v/>
      </c>
      <c r="V102" s="116" t="n">
        <v>44</v>
      </c>
      <c r="W102" s="116" t="n">
        <v>36</v>
      </c>
      <c r="X102" s="118">
        <f>IFERROR(W102/S102,"")</f>
        <v/>
      </c>
      <c r="Y102" s="115">
        <f>IFERROR(R102/W102,"")</f>
        <v/>
      </c>
      <c r="Z102" s="115">
        <f>IFERROR(R102/S102*1000,"")</f>
        <v/>
      </c>
      <c r="AA102" s="116" t="n">
        <v>33</v>
      </c>
      <c r="AB102" s="47">
        <f>IFERROR(AA102/W102,"")</f>
        <v/>
      </c>
      <c r="AC102" s="116" t="n">
        <v>902</v>
      </c>
      <c r="AD102" s="116" t="n">
        <v>554</v>
      </c>
      <c r="AE102" s="116" t="n">
        <v>438</v>
      </c>
      <c r="AF102" s="116" t="n">
        <v>292</v>
      </c>
      <c r="AG102" s="116" t="n">
        <v>224</v>
      </c>
      <c r="AH102" s="116" t="n">
        <v>144</v>
      </c>
      <c r="AI102" s="47">
        <f>IFERROR(AC102/S102,"")</f>
        <v/>
      </c>
      <c r="AJ102" s="47">
        <f>IFERROR(AH102/S102,"")</f>
        <v/>
      </c>
      <c r="AK102" s="116" t="n">
        <v>104</v>
      </c>
      <c r="AL102" s="116" t="n">
        <v>0</v>
      </c>
      <c r="AM102" s="118">
        <f>IFERROR(AL102/AA102,"")</f>
        <v/>
      </c>
      <c r="AN102" s="119">
        <f>IFERROR(R102/AL102,"")</f>
        <v/>
      </c>
      <c r="AO102" s="116" t="n">
        <v>0</v>
      </c>
      <c r="AP102" s="47">
        <f>IFERROR(AO102/AL102,"")</f>
        <v/>
      </c>
      <c r="AQ102" s="119">
        <f>IFERROR(R102/AO102,"")</f>
        <v/>
      </c>
      <c r="AR102" s="116" t="n">
        <v>0</v>
      </c>
      <c r="AS102" s="116" t="n">
        <v>0</v>
      </c>
      <c r="AT102" s="116">
        <f>AL102+AR102</f>
        <v/>
      </c>
      <c r="AU102" s="119">
        <f>IFERROR(AO102*Assumptions!$C$26*Assumptions!$C$27*INDEX(Assumptions!$C$18:$C$21,MATCH(H102,Assumptions!$B$18:$B$21,0)),0)</f>
        <v/>
      </c>
    </row>
    <row r="103">
      <c r="A103" s="114" t="n">
        <v>46254</v>
      </c>
      <c r="B103" s="42" t="inlineStr">
        <is>
          <t>Wk 34</t>
        </is>
      </c>
      <c r="C103" s="42" t="inlineStr">
        <is>
          <t>Thu</t>
        </is>
      </c>
      <c r="D103" s="42" t="inlineStr">
        <is>
          <t>Meta (FB/IG)</t>
        </is>
      </c>
      <c r="E103" s="42" t="inlineStr">
        <is>
          <t>Facebook + Instagram</t>
        </is>
      </c>
      <c r="F103" s="42" t="inlineStr">
        <is>
          <t>LEP_ZA_AUG26_META_TD_AMUR_CONV</t>
        </is>
      </c>
      <c r="G103" s="42" t="inlineStr">
        <is>
          <t>Leads - Website Conversions</t>
        </is>
      </c>
      <c r="H103" s="42" t="inlineStr">
        <is>
          <t>AMUR</t>
        </is>
      </c>
      <c r="I103" s="42" t="inlineStr">
        <is>
          <t>0% Deposit</t>
        </is>
      </c>
      <c r="J103" s="42" t="inlineStr">
        <is>
          <t>MET_AMUR_LAL3_LEADS_ZA</t>
        </is>
      </c>
      <c r="K103" s="42" t="inlineStr">
        <is>
          <t>Lookalike</t>
        </is>
      </c>
      <c r="L103" s="42" t="inlineStr">
        <is>
          <t>AMUR_VID_20s_OwnerStory_v1</t>
        </is>
      </c>
      <c r="M103" s="42" t="inlineStr">
        <is>
          <t>Video 4:5</t>
        </is>
      </c>
      <c r="N103" s="42" t="inlineStr">
        <is>
          <t>She booked a test drive on a Tuesday</t>
        </is>
      </c>
      <c r="O103" s="42" t="inlineStr">
        <is>
          <t>Auction - Lowest Cost</t>
        </is>
      </c>
      <c r="P103" s="42" t="inlineStr">
        <is>
          <t>Offsite Conversions</t>
        </is>
      </c>
      <c r="Q103" s="42" t="inlineStr">
        <is>
          <t>https://www.lepas-sa.co.za/offers/amur</t>
        </is>
      </c>
      <c r="R103" s="115" t="n">
        <v>255.46</v>
      </c>
      <c r="S103" s="116" t="n">
        <v>2621</v>
      </c>
      <c r="T103" s="116" t="n">
        <v>1639</v>
      </c>
      <c r="U103" s="117">
        <f>IFERROR(S103/T103,"")</f>
        <v/>
      </c>
      <c r="V103" s="116" t="n">
        <v>39</v>
      </c>
      <c r="W103" s="116" t="n">
        <v>31</v>
      </c>
      <c r="X103" s="118">
        <f>IFERROR(W103/S103,"")</f>
        <v/>
      </c>
      <c r="Y103" s="115">
        <f>IFERROR(R103/W103,"")</f>
        <v/>
      </c>
      <c r="Z103" s="115">
        <f>IFERROR(R103/S103*1000,"")</f>
        <v/>
      </c>
      <c r="AA103" s="116" t="n">
        <v>25</v>
      </c>
      <c r="AB103" s="47">
        <f>IFERROR(AA103/W103,"")</f>
        <v/>
      </c>
      <c r="AC103" s="116" t="n">
        <v>640</v>
      </c>
      <c r="AD103" s="116" t="n">
        <v>291</v>
      </c>
      <c r="AE103" s="116" t="n">
        <v>351</v>
      </c>
      <c r="AF103" s="116" t="n">
        <v>236</v>
      </c>
      <c r="AG103" s="116" t="n">
        <v>165</v>
      </c>
      <c r="AH103" s="116" t="n">
        <v>93</v>
      </c>
      <c r="AI103" s="47">
        <f>IFERROR(AC103/S103,"")</f>
        <v/>
      </c>
      <c r="AJ103" s="47">
        <f>IFERROR(AH103/S103,"")</f>
        <v/>
      </c>
      <c r="AK103" s="116" t="n">
        <v>84</v>
      </c>
      <c r="AL103" s="116" t="n">
        <v>0</v>
      </c>
      <c r="AM103" s="118">
        <f>IFERROR(AL103/AA103,"")</f>
        <v/>
      </c>
      <c r="AN103" s="119">
        <f>IFERROR(R103/AL103,"")</f>
        <v/>
      </c>
      <c r="AO103" s="116" t="n">
        <v>0</v>
      </c>
      <c r="AP103" s="47">
        <f>IFERROR(AO103/AL103,"")</f>
        <v/>
      </c>
      <c r="AQ103" s="119">
        <f>IFERROR(R103/AO103,"")</f>
        <v/>
      </c>
      <c r="AR103" s="116" t="n">
        <v>0</v>
      </c>
      <c r="AS103" s="116" t="n">
        <v>0</v>
      </c>
      <c r="AT103" s="116">
        <f>AL103+AR103</f>
        <v/>
      </c>
      <c r="AU103" s="119">
        <f>IFERROR(AO103*Assumptions!$C$26*Assumptions!$C$27*INDEX(Assumptions!$C$18:$C$21,MATCH(H103,Assumptions!$B$18:$B$21,0)),0)</f>
        <v/>
      </c>
    </row>
    <row r="104">
      <c r="A104" s="114" t="n">
        <v>46255</v>
      </c>
      <c r="B104" s="42" t="inlineStr">
        <is>
          <t>Wk 34</t>
        </is>
      </c>
      <c r="C104" s="42" t="inlineStr">
        <is>
          <t>Fri</t>
        </is>
      </c>
      <c r="D104" s="42" t="inlineStr">
        <is>
          <t>Meta (FB/IG)</t>
        </is>
      </c>
      <c r="E104" s="42" t="inlineStr">
        <is>
          <t>Facebook + Instagram</t>
        </is>
      </c>
      <c r="F104" s="42" t="inlineStr">
        <is>
          <t>LEP_ZA_AUG26_META_TD_AMUR_CONV</t>
        </is>
      </c>
      <c r="G104" s="42" t="inlineStr">
        <is>
          <t>Leads - Website Conversions</t>
        </is>
      </c>
      <c r="H104" s="42" t="inlineStr">
        <is>
          <t>AMUR</t>
        </is>
      </c>
      <c r="I104" s="42" t="inlineStr">
        <is>
          <t>0% Deposit</t>
        </is>
      </c>
      <c r="J104" s="42" t="inlineStr">
        <is>
          <t>MET_AMUR_LAL3_LEADS_ZA</t>
        </is>
      </c>
      <c r="K104" s="42" t="inlineStr">
        <is>
          <t>Lookalike</t>
        </is>
      </c>
      <c r="L104" s="42" t="inlineStr">
        <is>
          <t>AMUR_VID_20s_OwnerStory_v1</t>
        </is>
      </c>
      <c r="M104" s="42" t="inlineStr">
        <is>
          <t>Video 4:5</t>
        </is>
      </c>
      <c r="N104" s="42" t="inlineStr">
        <is>
          <t>She booked a test drive on a Tuesday</t>
        </is>
      </c>
      <c r="O104" s="42" t="inlineStr">
        <is>
          <t>Auction - Lowest Cost</t>
        </is>
      </c>
      <c r="P104" s="42" t="inlineStr">
        <is>
          <t>Offsite Conversions</t>
        </is>
      </c>
      <c r="Q104" s="42" t="inlineStr">
        <is>
          <t>https://www.lepas-sa.co.za/offers/amur</t>
        </is>
      </c>
      <c r="R104" s="115" t="n">
        <v>245.72</v>
      </c>
      <c r="S104" s="116" t="n">
        <v>2723</v>
      </c>
      <c r="T104" s="116" t="n">
        <v>1507</v>
      </c>
      <c r="U104" s="117">
        <f>IFERROR(S104/T104,"")</f>
        <v/>
      </c>
      <c r="V104" s="116" t="n">
        <v>24</v>
      </c>
      <c r="W104" s="116" t="n">
        <v>19</v>
      </c>
      <c r="X104" s="118">
        <f>IFERROR(W104/S104,"")</f>
        <v/>
      </c>
      <c r="Y104" s="115">
        <f>IFERROR(R104/W104,"")</f>
        <v/>
      </c>
      <c r="Z104" s="115">
        <f>IFERROR(R104/S104*1000,"")</f>
        <v/>
      </c>
      <c r="AA104" s="116" t="n">
        <v>16</v>
      </c>
      <c r="AB104" s="47">
        <f>IFERROR(AA104/W104,"")</f>
        <v/>
      </c>
      <c r="AC104" s="116" t="n">
        <v>1048</v>
      </c>
      <c r="AD104" s="116" t="n">
        <v>505</v>
      </c>
      <c r="AE104" s="116" t="n">
        <v>489</v>
      </c>
      <c r="AF104" s="116" t="n">
        <v>303</v>
      </c>
      <c r="AG104" s="116" t="n">
        <v>225</v>
      </c>
      <c r="AH104" s="116" t="n">
        <v>156</v>
      </c>
      <c r="AI104" s="47">
        <f>IFERROR(AC104/S104,"")</f>
        <v/>
      </c>
      <c r="AJ104" s="47">
        <f>IFERROR(AH104/S104,"")</f>
        <v/>
      </c>
      <c r="AK104" s="116" t="n">
        <v>48</v>
      </c>
      <c r="AL104" s="116" t="n">
        <v>1</v>
      </c>
      <c r="AM104" s="118">
        <f>IFERROR(AL104/AA104,"")</f>
        <v/>
      </c>
      <c r="AN104" s="119">
        <f>IFERROR(R104/AL104,"")</f>
        <v/>
      </c>
      <c r="AO104" s="116" t="n">
        <v>0</v>
      </c>
      <c r="AP104" s="47">
        <f>IFERROR(AO104/AL104,"")</f>
        <v/>
      </c>
      <c r="AQ104" s="119">
        <f>IFERROR(R104/AO104,"")</f>
        <v/>
      </c>
      <c r="AR104" s="116" t="n">
        <v>0</v>
      </c>
      <c r="AS104" s="116" t="n">
        <v>0</v>
      </c>
      <c r="AT104" s="116">
        <f>AL104+AR104</f>
        <v/>
      </c>
      <c r="AU104" s="119">
        <f>IFERROR(AO104*Assumptions!$C$26*Assumptions!$C$27*INDEX(Assumptions!$C$18:$C$21,MATCH(H104,Assumptions!$B$18:$B$21,0)),0)</f>
        <v/>
      </c>
    </row>
    <row r="105">
      <c r="A105" s="114" t="n">
        <v>46256</v>
      </c>
      <c r="B105" s="42" t="inlineStr">
        <is>
          <t>Wk 34</t>
        </is>
      </c>
      <c r="C105" s="42" t="inlineStr">
        <is>
          <t>Sat</t>
        </is>
      </c>
      <c r="D105" s="42" t="inlineStr">
        <is>
          <t>Meta (FB/IG)</t>
        </is>
      </c>
      <c r="E105" s="42" t="inlineStr">
        <is>
          <t>Facebook + Instagram</t>
        </is>
      </c>
      <c r="F105" s="42" t="inlineStr">
        <is>
          <t>LEP_ZA_AUG26_META_TD_AMUR_CONV</t>
        </is>
      </c>
      <c r="G105" s="42" t="inlineStr">
        <is>
          <t>Leads - Website Conversions</t>
        </is>
      </c>
      <c r="H105" s="42" t="inlineStr">
        <is>
          <t>AMUR</t>
        </is>
      </c>
      <c r="I105" s="42" t="inlineStr">
        <is>
          <t>0% Deposit</t>
        </is>
      </c>
      <c r="J105" s="42" t="inlineStr">
        <is>
          <t>MET_AMUR_LAL3_LEADS_ZA</t>
        </is>
      </c>
      <c r="K105" s="42" t="inlineStr">
        <is>
          <t>Lookalike</t>
        </is>
      </c>
      <c r="L105" s="42" t="inlineStr">
        <is>
          <t>AMUR_VID_20s_OwnerStory_v1</t>
        </is>
      </c>
      <c r="M105" s="42" t="inlineStr">
        <is>
          <t>Video 4:5</t>
        </is>
      </c>
      <c r="N105" s="42" t="inlineStr">
        <is>
          <t>She booked a test drive on a Tuesday</t>
        </is>
      </c>
      <c r="O105" s="42" t="inlineStr">
        <is>
          <t>Auction - Lowest Cost</t>
        </is>
      </c>
      <c r="P105" s="42" t="inlineStr">
        <is>
          <t>Offsite Conversions</t>
        </is>
      </c>
      <c r="Q105" s="42" t="inlineStr">
        <is>
          <t>https://www.lepas-sa.co.za/offers/amur</t>
        </is>
      </c>
      <c r="R105" s="115" t="n">
        <v>217.51</v>
      </c>
      <c r="S105" s="116" t="n">
        <v>2572</v>
      </c>
      <c r="T105" s="116" t="n">
        <v>1524</v>
      </c>
      <c r="U105" s="117">
        <f>IFERROR(S105/T105,"")</f>
        <v/>
      </c>
      <c r="V105" s="116" t="n">
        <v>55</v>
      </c>
      <c r="W105" s="116" t="n">
        <v>43</v>
      </c>
      <c r="X105" s="118">
        <f>IFERROR(W105/S105,"")</f>
        <v/>
      </c>
      <c r="Y105" s="115">
        <f>IFERROR(R105/W105,"")</f>
        <v/>
      </c>
      <c r="Z105" s="115">
        <f>IFERROR(R105/S105*1000,"")</f>
        <v/>
      </c>
      <c r="AA105" s="116" t="n">
        <v>40</v>
      </c>
      <c r="AB105" s="47">
        <f>IFERROR(AA105/W105,"")</f>
        <v/>
      </c>
      <c r="AC105" s="116" t="n">
        <v>872</v>
      </c>
      <c r="AD105" s="116" t="n">
        <v>546</v>
      </c>
      <c r="AE105" s="116" t="n">
        <v>448</v>
      </c>
      <c r="AF105" s="116" t="n">
        <v>282</v>
      </c>
      <c r="AG105" s="116" t="n">
        <v>193</v>
      </c>
      <c r="AH105" s="116" t="n">
        <v>119</v>
      </c>
      <c r="AI105" s="47">
        <f>IFERROR(AC105/S105,"")</f>
        <v/>
      </c>
      <c r="AJ105" s="47">
        <f>IFERROR(AH105/S105,"")</f>
        <v/>
      </c>
      <c r="AK105" s="116" t="n">
        <v>60</v>
      </c>
      <c r="AL105" s="116" t="n">
        <v>0</v>
      </c>
      <c r="AM105" s="118">
        <f>IFERROR(AL105/AA105,"")</f>
        <v/>
      </c>
      <c r="AN105" s="119">
        <f>IFERROR(R105/AL105,"")</f>
        <v/>
      </c>
      <c r="AO105" s="116" t="n">
        <v>0</v>
      </c>
      <c r="AP105" s="47">
        <f>IFERROR(AO105/AL105,"")</f>
        <v/>
      </c>
      <c r="AQ105" s="119">
        <f>IFERROR(R105/AO105,"")</f>
        <v/>
      </c>
      <c r="AR105" s="116" t="n">
        <v>0</v>
      </c>
      <c r="AS105" s="116" t="n">
        <v>0</v>
      </c>
      <c r="AT105" s="116">
        <f>AL105+AR105</f>
        <v/>
      </c>
      <c r="AU105" s="119">
        <f>IFERROR(AO105*Assumptions!$C$26*Assumptions!$C$27*INDEX(Assumptions!$C$18:$C$21,MATCH(H105,Assumptions!$B$18:$B$21,0)),0)</f>
        <v/>
      </c>
    </row>
    <row r="106">
      <c r="A106" s="114" t="n">
        <v>46257</v>
      </c>
      <c r="B106" s="42" t="inlineStr">
        <is>
          <t>Wk 34</t>
        </is>
      </c>
      <c r="C106" s="42" t="inlineStr">
        <is>
          <t>Sun</t>
        </is>
      </c>
      <c r="D106" s="42" t="inlineStr">
        <is>
          <t>Meta (FB/IG)</t>
        </is>
      </c>
      <c r="E106" s="42" t="inlineStr">
        <is>
          <t>Facebook + Instagram</t>
        </is>
      </c>
      <c r="F106" s="42" t="inlineStr">
        <is>
          <t>LEP_ZA_AUG26_META_TD_AMUR_CONV</t>
        </is>
      </c>
      <c r="G106" s="42" t="inlineStr">
        <is>
          <t>Leads - Website Conversions</t>
        </is>
      </c>
      <c r="H106" s="42" t="inlineStr">
        <is>
          <t>AMUR</t>
        </is>
      </c>
      <c r="I106" s="42" t="inlineStr">
        <is>
          <t>0% Deposit</t>
        </is>
      </c>
      <c r="J106" s="42" t="inlineStr">
        <is>
          <t>MET_AMUR_LAL3_LEADS_ZA</t>
        </is>
      </c>
      <c r="K106" s="42" t="inlineStr">
        <is>
          <t>Lookalike</t>
        </is>
      </c>
      <c r="L106" s="42" t="inlineStr">
        <is>
          <t>AMUR_VID_20s_OwnerStory_v1</t>
        </is>
      </c>
      <c r="M106" s="42" t="inlineStr">
        <is>
          <t>Video 4:5</t>
        </is>
      </c>
      <c r="N106" s="42" t="inlineStr">
        <is>
          <t>She booked a test drive on a Tuesday</t>
        </is>
      </c>
      <c r="O106" s="42" t="inlineStr">
        <is>
          <t>Auction - Lowest Cost</t>
        </is>
      </c>
      <c r="P106" s="42" t="inlineStr">
        <is>
          <t>Offsite Conversions</t>
        </is>
      </c>
      <c r="Q106" s="42" t="inlineStr">
        <is>
          <t>https://www.lepas-sa.co.za/offers/amur</t>
        </is>
      </c>
      <c r="R106" s="115" t="n">
        <v>165.45</v>
      </c>
      <c r="S106" s="116" t="n">
        <v>1691</v>
      </c>
      <c r="T106" s="116" t="n">
        <v>1023</v>
      </c>
      <c r="U106" s="117">
        <f>IFERROR(S106/T106,"")</f>
        <v/>
      </c>
      <c r="V106" s="116" t="n">
        <v>17</v>
      </c>
      <c r="W106" s="116" t="n">
        <v>14</v>
      </c>
      <c r="X106" s="118">
        <f>IFERROR(W106/S106,"")</f>
        <v/>
      </c>
      <c r="Y106" s="115">
        <f>IFERROR(R106/W106,"")</f>
        <v/>
      </c>
      <c r="Z106" s="115">
        <f>IFERROR(R106/S106*1000,"")</f>
        <v/>
      </c>
      <c r="AA106" s="116" t="n">
        <v>12</v>
      </c>
      <c r="AB106" s="47">
        <f>IFERROR(AA106/W106,"")</f>
        <v/>
      </c>
      <c r="AC106" s="116" t="n">
        <v>638</v>
      </c>
      <c r="AD106" s="116" t="n">
        <v>332</v>
      </c>
      <c r="AE106" s="116" t="n">
        <v>259</v>
      </c>
      <c r="AF106" s="116" t="n">
        <v>179</v>
      </c>
      <c r="AG106" s="116" t="n">
        <v>137</v>
      </c>
      <c r="AH106" s="116" t="n">
        <v>101</v>
      </c>
      <c r="AI106" s="47">
        <f>IFERROR(AC106/S106,"")</f>
        <v/>
      </c>
      <c r="AJ106" s="47">
        <f>IFERROR(AH106/S106,"")</f>
        <v/>
      </c>
      <c r="AK106" s="116" t="n">
        <v>46</v>
      </c>
      <c r="AL106" s="116" t="n">
        <v>0</v>
      </c>
      <c r="AM106" s="118">
        <f>IFERROR(AL106/AA106,"")</f>
        <v/>
      </c>
      <c r="AN106" s="119">
        <f>IFERROR(R106/AL106,"")</f>
        <v/>
      </c>
      <c r="AO106" s="116" t="n">
        <v>0</v>
      </c>
      <c r="AP106" s="47">
        <f>IFERROR(AO106/AL106,"")</f>
        <v/>
      </c>
      <c r="AQ106" s="119">
        <f>IFERROR(R106/AO106,"")</f>
        <v/>
      </c>
      <c r="AR106" s="116" t="n">
        <v>0</v>
      </c>
      <c r="AS106" s="116" t="n">
        <v>0</v>
      </c>
      <c r="AT106" s="116">
        <f>AL106+AR106</f>
        <v/>
      </c>
      <c r="AU106" s="119">
        <f>IFERROR(AO106*Assumptions!$C$26*Assumptions!$C$27*INDEX(Assumptions!$C$18:$C$21,MATCH(H106,Assumptions!$B$18:$B$21,0)),0)</f>
        <v/>
      </c>
    </row>
    <row r="107">
      <c r="A107" s="114" t="n">
        <v>46258</v>
      </c>
      <c r="B107" s="42" t="inlineStr">
        <is>
          <t>Wk 35</t>
        </is>
      </c>
      <c r="C107" s="42" t="inlineStr">
        <is>
          <t>Mon</t>
        </is>
      </c>
      <c r="D107" s="42" t="inlineStr">
        <is>
          <t>Meta (FB/IG)</t>
        </is>
      </c>
      <c r="E107" s="42" t="inlineStr">
        <is>
          <t>Facebook + Instagram</t>
        </is>
      </c>
      <c r="F107" s="42" t="inlineStr">
        <is>
          <t>LEP_ZA_AUG26_META_TD_AMUR_CONV</t>
        </is>
      </c>
      <c r="G107" s="42" t="inlineStr">
        <is>
          <t>Leads - Website Conversions</t>
        </is>
      </c>
      <c r="H107" s="42" t="inlineStr">
        <is>
          <t>AMUR</t>
        </is>
      </c>
      <c r="I107" s="42" t="inlineStr">
        <is>
          <t>0% Deposit</t>
        </is>
      </c>
      <c r="J107" s="42" t="inlineStr">
        <is>
          <t>MET_AMUR_LAL3_LEADS_ZA</t>
        </is>
      </c>
      <c r="K107" s="42" t="inlineStr">
        <is>
          <t>Lookalike</t>
        </is>
      </c>
      <c r="L107" s="42" t="inlineStr">
        <is>
          <t>AMUR_VID_20s_OwnerStory_v1</t>
        </is>
      </c>
      <c r="M107" s="42" t="inlineStr">
        <is>
          <t>Video 4:5</t>
        </is>
      </c>
      <c r="N107" s="42" t="inlineStr">
        <is>
          <t>She booked a test drive on a Tuesday</t>
        </is>
      </c>
      <c r="O107" s="42" t="inlineStr">
        <is>
          <t>Auction - Lowest Cost</t>
        </is>
      </c>
      <c r="P107" s="42" t="inlineStr">
        <is>
          <t>Offsite Conversions</t>
        </is>
      </c>
      <c r="Q107" s="42" t="inlineStr">
        <is>
          <t>https://www.lepas-sa.co.za/offers/amur</t>
        </is>
      </c>
      <c r="R107" s="115" t="n">
        <v>194.39</v>
      </c>
      <c r="S107" s="116" t="n">
        <v>2968</v>
      </c>
      <c r="T107" s="116" t="n">
        <v>1486</v>
      </c>
      <c r="U107" s="117">
        <f>IFERROR(S107/T107,"")</f>
        <v/>
      </c>
      <c r="V107" s="116" t="n">
        <v>46</v>
      </c>
      <c r="W107" s="116" t="n">
        <v>38</v>
      </c>
      <c r="X107" s="118">
        <f>IFERROR(W107/S107,"")</f>
        <v/>
      </c>
      <c r="Y107" s="115">
        <f>IFERROR(R107/W107,"")</f>
        <v/>
      </c>
      <c r="Z107" s="115">
        <f>IFERROR(R107/S107*1000,"")</f>
        <v/>
      </c>
      <c r="AA107" s="116" t="n">
        <v>31</v>
      </c>
      <c r="AB107" s="47">
        <f>IFERROR(AA107/W107,"")</f>
        <v/>
      </c>
      <c r="AC107" s="116" t="n">
        <v>947</v>
      </c>
      <c r="AD107" s="116" t="n">
        <v>504</v>
      </c>
      <c r="AE107" s="116" t="n">
        <v>487</v>
      </c>
      <c r="AF107" s="116" t="n">
        <v>338</v>
      </c>
      <c r="AG107" s="116" t="n">
        <v>266</v>
      </c>
      <c r="AH107" s="116" t="n">
        <v>183</v>
      </c>
      <c r="AI107" s="47">
        <f>IFERROR(AC107/S107,"")</f>
        <v/>
      </c>
      <c r="AJ107" s="47">
        <f>IFERROR(AH107/S107,"")</f>
        <v/>
      </c>
      <c r="AK107" s="116" t="n">
        <v>49</v>
      </c>
      <c r="AL107" s="116" t="n">
        <v>0</v>
      </c>
      <c r="AM107" s="118">
        <f>IFERROR(AL107/AA107,"")</f>
        <v/>
      </c>
      <c r="AN107" s="119">
        <f>IFERROR(R107/AL107,"")</f>
        <v/>
      </c>
      <c r="AO107" s="116" t="n">
        <v>0</v>
      </c>
      <c r="AP107" s="47">
        <f>IFERROR(AO107/AL107,"")</f>
        <v/>
      </c>
      <c r="AQ107" s="119">
        <f>IFERROR(R107/AO107,"")</f>
        <v/>
      </c>
      <c r="AR107" s="116" t="n">
        <v>0</v>
      </c>
      <c r="AS107" s="116" t="n">
        <v>0</v>
      </c>
      <c r="AT107" s="116">
        <f>AL107+AR107</f>
        <v/>
      </c>
      <c r="AU107" s="119">
        <f>IFERROR(AO107*Assumptions!$C$26*Assumptions!$C$27*INDEX(Assumptions!$C$18:$C$21,MATCH(H107,Assumptions!$B$18:$B$21,0)),0)</f>
        <v/>
      </c>
    </row>
    <row r="108">
      <c r="A108" s="114" t="n">
        <v>46259</v>
      </c>
      <c r="B108" s="42" t="inlineStr">
        <is>
          <t>Wk 35</t>
        </is>
      </c>
      <c r="C108" s="42" t="inlineStr">
        <is>
          <t>Tue</t>
        </is>
      </c>
      <c r="D108" s="42" t="inlineStr">
        <is>
          <t>Meta (FB/IG)</t>
        </is>
      </c>
      <c r="E108" s="42" t="inlineStr">
        <is>
          <t>Facebook + Instagram</t>
        </is>
      </c>
      <c r="F108" s="42" t="inlineStr">
        <is>
          <t>LEP_ZA_AUG26_META_TD_AMUR_CONV</t>
        </is>
      </c>
      <c r="G108" s="42" t="inlineStr">
        <is>
          <t>Leads - Website Conversions</t>
        </is>
      </c>
      <c r="H108" s="42" t="inlineStr">
        <is>
          <t>AMUR</t>
        </is>
      </c>
      <c r="I108" s="42" t="inlineStr">
        <is>
          <t>0% Deposit</t>
        </is>
      </c>
      <c r="J108" s="42" t="inlineStr">
        <is>
          <t>MET_AMUR_LAL3_LEADS_ZA</t>
        </is>
      </c>
      <c r="K108" s="42" t="inlineStr">
        <is>
          <t>Lookalike</t>
        </is>
      </c>
      <c r="L108" s="42" t="inlineStr">
        <is>
          <t>AMUR_VID_20s_OwnerStory_v1</t>
        </is>
      </c>
      <c r="M108" s="42" t="inlineStr">
        <is>
          <t>Video 4:5</t>
        </is>
      </c>
      <c r="N108" s="42" t="inlineStr">
        <is>
          <t>She booked a test drive on a Tuesday</t>
        </is>
      </c>
      <c r="O108" s="42" t="inlineStr">
        <is>
          <t>Auction - Lowest Cost</t>
        </is>
      </c>
      <c r="P108" s="42" t="inlineStr">
        <is>
          <t>Offsite Conversions</t>
        </is>
      </c>
      <c r="Q108" s="42" t="inlineStr">
        <is>
          <t>https://www.lepas-sa.co.za/offers/amur</t>
        </is>
      </c>
      <c r="R108" s="115" t="n">
        <v>233.78</v>
      </c>
      <c r="S108" s="116" t="n">
        <v>3469</v>
      </c>
      <c r="T108" s="116" t="n">
        <v>1721</v>
      </c>
      <c r="U108" s="117">
        <f>IFERROR(S108/T108,"")</f>
        <v/>
      </c>
      <c r="V108" s="116" t="n">
        <v>44</v>
      </c>
      <c r="W108" s="116" t="n">
        <v>31</v>
      </c>
      <c r="X108" s="118">
        <f>IFERROR(W108/S108,"")</f>
        <v/>
      </c>
      <c r="Y108" s="115">
        <f>IFERROR(R108/W108,"")</f>
        <v/>
      </c>
      <c r="Z108" s="115">
        <f>IFERROR(R108/S108*1000,"")</f>
        <v/>
      </c>
      <c r="AA108" s="116" t="n">
        <v>26</v>
      </c>
      <c r="AB108" s="47">
        <f>IFERROR(AA108/W108,"")</f>
        <v/>
      </c>
      <c r="AC108" s="116" t="n">
        <v>824</v>
      </c>
      <c r="AD108" s="116" t="n">
        <v>430</v>
      </c>
      <c r="AE108" s="116" t="n">
        <v>390</v>
      </c>
      <c r="AF108" s="116" t="n">
        <v>260</v>
      </c>
      <c r="AG108" s="116" t="n">
        <v>164</v>
      </c>
      <c r="AH108" s="116" t="n">
        <v>98</v>
      </c>
      <c r="AI108" s="47">
        <f>IFERROR(AC108/S108,"")</f>
        <v/>
      </c>
      <c r="AJ108" s="47">
        <f>IFERROR(AH108/S108,"")</f>
        <v/>
      </c>
      <c r="AK108" s="116" t="n">
        <v>51</v>
      </c>
      <c r="AL108" s="116" t="n">
        <v>1</v>
      </c>
      <c r="AM108" s="118">
        <f>IFERROR(AL108/AA108,"")</f>
        <v/>
      </c>
      <c r="AN108" s="119">
        <f>IFERROR(R108/AL108,"")</f>
        <v/>
      </c>
      <c r="AO108" s="116" t="n">
        <v>1</v>
      </c>
      <c r="AP108" s="47">
        <f>IFERROR(AO108/AL108,"")</f>
        <v/>
      </c>
      <c r="AQ108" s="119">
        <f>IFERROR(R108/AO108,"")</f>
        <v/>
      </c>
      <c r="AR108" s="116" t="n">
        <v>0</v>
      </c>
      <c r="AS108" s="116" t="n">
        <v>1</v>
      </c>
      <c r="AT108" s="116">
        <f>AL108+AR108</f>
        <v/>
      </c>
      <c r="AU108" s="119">
        <f>IFERROR(AO108*Assumptions!$C$26*Assumptions!$C$27*INDEX(Assumptions!$C$18:$C$21,MATCH(H108,Assumptions!$B$18:$B$21,0)),0)</f>
        <v/>
      </c>
    </row>
    <row r="109">
      <c r="A109" s="114" t="n">
        <v>46260</v>
      </c>
      <c r="B109" s="42" t="inlineStr">
        <is>
          <t>Wk 35</t>
        </is>
      </c>
      <c r="C109" s="42" t="inlineStr">
        <is>
          <t>Wed</t>
        </is>
      </c>
      <c r="D109" s="42" t="inlineStr">
        <is>
          <t>Meta (FB/IG)</t>
        </is>
      </c>
      <c r="E109" s="42" t="inlineStr">
        <is>
          <t>Facebook + Instagram</t>
        </is>
      </c>
      <c r="F109" s="42" t="inlineStr">
        <is>
          <t>LEP_ZA_AUG26_META_TD_AMUR_CONV</t>
        </is>
      </c>
      <c r="G109" s="42" t="inlineStr">
        <is>
          <t>Leads - Website Conversions</t>
        </is>
      </c>
      <c r="H109" s="42" t="inlineStr">
        <is>
          <t>AMUR</t>
        </is>
      </c>
      <c r="I109" s="42" t="inlineStr">
        <is>
          <t>0% Deposit</t>
        </is>
      </c>
      <c r="J109" s="42" t="inlineStr">
        <is>
          <t>MET_AMUR_LAL3_LEADS_ZA</t>
        </is>
      </c>
      <c r="K109" s="42" t="inlineStr">
        <is>
          <t>Lookalike</t>
        </is>
      </c>
      <c r="L109" s="42" t="inlineStr">
        <is>
          <t>AMUR_VID_20s_OwnerStory_v1</t>
        </is>
      </c>
      <c r="M109" s="42" t="inlineStr">
        <is>
          <t>Video 4:5</t>
        </is>
      </c>
      <c r="N109" s="42" t="inlineStr">
        <is>
          <t>She booked a test drive on a Tuesday</t>
        </is>
      </c>
      <c r="O109" s="42" t="inlineStr">
        <is>
          <t>Auction - Lowest Cost</t>
        </is>
      </c>
      <c r="P109" s="42" t="inlineStr">
        <is>
          <t>Offsite Conversions</t>
        </is>
      </c>
      <c r="Q109" s="42" t="inlineStr">
        <is>
          <t>https://www.lepas-sa.co.za/offers/amur</t>
        </is>
      </c>
      <c r="R109" s="115" t="n">
        <v>202.02</v>
      </c>
      <c r="S109" s="116" t="n">
        <v>2026</v>
      </c>
      <c r="T109" s="116" t="n">
        <v>984</v>
      </c>
      <c r="U109" s="117">
        <f>IFERROR(S109/T109,"")</f>
        <v/>
      </c>
      <c r="V109" s="116" t="n">
        <v>38</v>
      </c>
      <c r="W109" s="116" t="n">
        <v>30</v>
      </c>
      <c r="X109" s="118">
        <f>IFERROR(W109/S109,"")</f>
        <v/>
      </c>
      <c r="Y109" s="115">
        <f>IFERROR(R109/W109,"")</f>
        <v/>
      </c>
      <c r="Z109" s="115">
        <f>IFERROR(R109/S109*1000,"")</f>
        <v/>
      </c>
      <c r="AA109" s="116" t="n">
        <v>27</v>
      </c>
      <c r="AB109" s="47">
        <f>IFERROR(AA109/W109,"")</f>
        <v/>
      </c>
      <c r="AC109" s="116" t="n">
        <v>693</v>
      </c>
      <c r="AD109" s="116" t="n">
        <v>369</v>
      </c>
      <c r="AE109" s="116" t="n">
        <v>358</v>
      </c>
      <c r="AF109" s="116" t="n">
        <v>253</v>
      </c>
      <c r="AG109" s="116" t="n">
        <v>175</v>
      </c>
      <c r="AH109" s="116" t="n">
        <v>104</v>
      </c>
      <c r="AI109" s="47">
        <f>IFERROR(AC109/S109,"")</f>
        <v/>
      </c>
      <c r="AJ109" s="47">
        <f>IFERROR(AH109/S109,"")</f>
        <v/>
      </c>
      <c r="AK109" s="116" t="n">
        <v>29</v>
      </c>
      <c r="AL109" s="116" t="n">
        <v>0</v>
      </c>
      <c r="AM109" s="118">
        <f>IFERROR(AL109/AA109,"")</f>
        <v/>
      </c>
      <c r="AN109" s="119">
        <f>IFERROR(R109/AL109,"")</f>
        <v/>
      </c>
      <c r="AO109" s="116" t="n">
        <v>0</v>
      </c>
      <c r="AP109" s="47">
        <f>IFERROR(AO109/AL109,"")</f>
        <v/>
      </c>
      <c r="AQ109" s="119">
        <f>IFERROR(R109/AO109,"")</f>
        <v/>
      </c>
      <c r="AR109" s="116" t="n">
        <v>0</v>
      </c>
      <c r="AS109" s="116" t="n">
        <v>0</v>
      </c>
      <c r="AT109" s="116">
        <f>AL109+AR109</f>
        <v/>
      </c>
      <c r="AU109" s="119">
        <f>IFERROR(AO109*Assumptions!$C$26*Assumptions!$C$27*INDEX(Assumptions!$C$18:$C$21,MATCH(H109,Assumptions!$B$18:$B$21,0)),0)</f>
        <v/>
      </c>
    </row>
    <row r="110">
      <c r="A110" s="114" t="n">
        <v>46261</v>
      </c>
      <c r="B110" s="42" t="inlineStr">
        <is>
          <t>Wk 35</t>
        </is>
      </c>
      <c r="C110" s="42" t="inlineStr">
        <is>
          <t>Thu</t>
        </is>
      </c>
      <c r="D110" s="42" t="inlineStr">
        <is>
          <t>Meta (FB/IG)</t>
        </is>
      </c>
      <c r="E110" s="42" t="inlineStr">
        <is>
          <t>Facebook + Instagram</t>
        </is>
      </c>
      <c r="F110" s="42" t="inlineStr">
        <is>
          <t>LEP_ZA_AUG26_META_TD_AMUR_CONV</t>
        </is>
      </c>
      <c r="G110" s="42" t="inlineStr">
        <is>
          <t>Leads - Website Conversions</t>
        </is>
      </c>
      <c r="H110" s="42" t="inlineStr">
        <is>
          <t>AMUR</t>
        </is>
      </c>
      <c r="I110" s="42" t="inlineStr">
        <is>
          <t>0% Deposit</t>
        </is>
      </c>
      <c r="J110" s="42" t="inlineStr">
        <is>
          <t>MET_AMUR_LAL3_LEADS_ZA</t>
        </is>
      </c>
      <c r="K110" s="42" t="inlineStr">
        <is>
          <t>Lookalike</t>
        </is>
      </c>
      <c r="L110" s="42" t="inlineStr">
        <is>
          <t>AMUR_VID_20s_OwnerStory_v1</t>
        </is>
      </c>
      <c r="M110" s="42" t="inlineStr">
        <is>
          <t>Video 4:5</t>
        </is>
      </c>
      <c r="N110" s="42" t="inlineStr">
        <is>
          <t>She booked a test drive on a Tuesday</t>
        </is>
      </c>
      <c r="O110" s="42" t="inlineStr">
        <is>
          <t>Auction - Lowest Cost</t>
        </is>
      </c>
      <c r="P110" s="42" t="inlineStr">
        <is>
          <t>Offsite Conversions</t>
        </is>
      </c>
      <c r="Q110" s="42" t="inlineStr">
        <is>
          <t>https://www.lepas-sa.co.za/offers/amur</t>
        </is>
      </c>
      <c r="R110" s="115" t="n">
        <v>309.12</v>
      </c>
      <c r="S110" s="116" t="n">
        <v>4140</v>
      </c>
      <c r="T110" s="116" t="n">
        <v>2809</v>
      </c>
      <c r="U110" s="117">
        <f>IFERROR(S110/T110,"")</f>
        <v/>
      </c>
      <c r="V110" s="116" t="n">
        <v>92</v>
      </c>
      <c r="W110" s="116" t="n">
        <v>68</v>
      </c>
      <c r="X110" s="118">
        <f>IFERROR(W110/S110,"")</f>
        <v/>
      </c>
      <c r="Y110" s="115">
        <f>IFERROR(R110/W110,"")</f>
        <v/>
      </c>
      <c r="Z110" s="115">
        <f>IFERROR(R110/S110*1000,"")</f>
        <v/>
      </c>
      <c r="AA110" s="116" t="n">
        <v>56</v>
      </c>
      <c r="AB110" s="47">
        <f>IFERROR(AA110/W110,"")</f>
        <v/>
      </c>
      <c r="AC110" s="116" t="n">
        <v>1089</v>
      </c>
      <c r="AD110" s="116" t="n">
        <v>509</v>
      </c>
      <c r="AE110" s="116" t="n">
        <v>496</v>
      </c>
      <c r="AF110" s="116" t="n">
        <v>315</v>
      </c>
      <c r="AG110" s="116" t="n">
        <v>228</v>
      </c>
      <c r="AH110" s="116" t="n">
        <v>153</v>
      </c>
      <c r="AI110" s="47">
        <f>IFERROR(AC110/S110,"")</f>
        <v/>
      </c>
      <c r="AJ110" s="47">
        <f>IFERROR(AH110/S110,"")</f>
        <v/>
      </c>
      <c r="AK110" s="116" t="n">
        <v>132</v>
      </c>
      <c r="AL110" s="116" t="n">
        <v>1</v>
      </c>
      <c r="AM110" s="118">
        <f>IFERROR(AL110/AA110,"")</f>
        <v/>
      </c>
      <c r="AN110" s="119">
        <f>IFERROR(R110/AL110,"")</f>
        <v/>
      </c>
      <c r="AO110" s="116" t="n">
        <v>1</v>
      </c>
      <c r="AP110" s="47">
        <f>IFERROR(AO110/AL110,"")</f>
        <v/>
      </c>
      <c r="AQ110" s="119">
        <f>IFERROR(R110/AO110,"")</f>
        <v/>
      </c>
      <c r="AR110" s="116" t="n">
        <v>1</v>
      </c>
      <c r="AS110" s="116" t="n">
        <v>0</v>
      </c>
      <c r="AT110" s="116">
        <f>AL110+AR110</f>
        <v/>
      </c>
      <c r="AU110" s="119">
        <f>IFERROR(AO110*Assumptions!$C$26*Assumptions!$C$27*INDEX(Assumptions!$C$18:$C$21,MATCH(H110,Assumptions!$B$18:$B$21,0)),0)</f>
        <v/>
      </c>
    </row>
    <row r="111">
      <c r="A111" s="114" t="n">
        <v>46262</v>
      </c>
      <c r="B111" s="42" t="inlineStr">
        <is>
          <t>Wk 35</t>
        </is>
      </c>
      <c r="C111" s="42" t="inlineStr">
        <is>
          <t>Fri</t>
        </is>
      </c>
      <c r="D111" s="42" t="inlineStr">
        <is>
          <t>Meta (FB/IG)</t>
        </is>
      </c>
      <c r="E111" s="42" t="inlineStr">
        <is>
          <t>Facebook + Instagram</t>
        </is>
      </c>
      <c r="F111" s="42" t="inlineStr">
        <is>
          <t>LEP_ZA_AUG26_META_TD_AMUR_CONV</t>
        </is>
      </c>
      <c r="G111" s="42" t="inlineStr">
        <is>
          <t>Leads - Website Conversions</t>
        </is>
      </c>
      <c r="H111" s="42" t="inlineStr">
        <is>
          <t>AMUR</t>
        </is>
      </c>
      <c r="I111" s="42" t="inlineStr">
        <is>
          <t>0% Deposit</t>
        </is>
      </c>
      <c r="J111" s="42" t="inlineStr">
        <is>
          <t>MET_AMUR_LAL3_LEADS_ZA</t>
        </is>
      </c>
      <c r="K111" s="42" t="inlineStr">
        <is>
          <t>Lookalike</t>
        </is>
      </c>
      <c r="L111" s="42" t="inlineStr">
        <is>
          <t>AMUR_VID_20s_OwnerStory_v1</t>
        </is>
      </c>
      <c r="M111" s="42" t="inlineStr">
        <is>
          <t>Video 4:5</t>
        </is>
      </c>
      <c r="N111" s="42" t="inlineStr">
        <is>
          <t>She booked a test drive on a Tuesday</t>
        </is>
      </c>
      <c r="O111" s="42" t="inlineStr">
        <is>
          <t>Auction - Lowest Cost</t>
        </is>
      </c>
      <c r="P111" s="42" t="inlineStr">
        <is>
          <t>Offsite Conversions</t>
        </is>
      </c>
      <c r="Q111" s="42" t="inlineStr">
        <is>
          <t>https://www.lepas-sa.co.za/offers/amur</t>
        </is>
      </c>
      <c r="R111" s="115" t="n">
        <v>273.23</v>
      </c>
      <c r="S111" s="116" t="n">
        <v>3622</v>
      </c>
      <c r="T111" s="116" t="n">
        <v>2076</v>
      </c>
      <c r="U111" s="117">
        <f>IFERROR(S111/T111,"")</f>
        <v/>
      </c>
      <c r="V111" s="116" t="n">
        <v>48</v>
      </c>
      <c r="W111" s="116" t="n">
        <v>37</v>
      </c>
      <c r="X111" s="118">
        <f>IFERROR(W111/S111,"")</f>
        <v/>
      </c>
      <c r="Y111" s="115">
        <f>IFERROR(R111/W111,"")</f>
        <v/>
      </c>
      <c r="Z111" s="115">
        <f>IFERROR(R111/S111*1000,"")</f>
        <v/>
      </c>
      <c r="AA111" s="116" t="n">
        <v>33</v>
      </c>
      <c r="AB111" s="47">
        <f>IFERROR(AA111/W111,"")</f>
        <v/>
      </c>
      <c r="AC111" s="116" t="n">
        <v>1438</v>
      </c>
      <c r="AD111" s="116" t="n">
        <v>862</v>
      </c>
      <c r="AE111" s="116" t="n">
        <v>752</v>
      </c>
      <c r="AF111" s="116" t="n">
        <v>474</v>
      </c>
      <c r="AG111" s="116" t="n">
        <v>308</v>
      </c>
      <c r="AH111" s="116" t="n">
        <v>180</v>
      </c>
      <c r="AI111" s="47">
        <f>IFERROR(AC111/S111,"")</f>
        <v/>
      </c>
      <c r="AJ111" s="47">
        <f>IFERROR(AH111/S111,"")</f>
        <v/>
      </c>
      <c r="AK111" s="116" t="n">
        <v>121</v>
      </c>
      <c r="AL111" s="116" t="n">
        <v>1</v>
      </c>
      <c r="AM111" s="118">
        <f>IFERROR(AL111/AA111,"")</f>
        <v/>
      </c>
      <c r="AN111" s="119">
        <f>IFERROR(R111/AL111,"")</f>
        <v/>
      </c>
      <c r="AO111" s="116" t="n">
        <v>1</v>
      </c>
      <c r="AP111" s="47">
        <f>IFERROR(AO111/AL111,"")</f>
        <v/>
      </c>
      <c r="AQ111" s="119">
        <f>IFERROR(R111/AO111,"")</f>
        <v/>
      </c>
      <c r="AR111" s="116" t="n">
        <v>0</v>
      </c>
      <c r="AS111" s="116" t="n">
        <v>0</v>
      </c>
      <c r="AT111" s="116">
        <f>AL111+AR111</f>
        <v/>
      </c>
      <c r="AU111" s="119">
        <f>IFERROR(AO111*Assumptions!$C$26*Assumptions!$C$27*INDEX(Assumptions!$C$18:$C$21,MATCH(H111,Assumptions!$B$18:$B$21,0)),0)</f>
        <v/>
      </c>
    </row>
    <row r="112">
      <c r="A112" s="114" t="n">
        <v>46263</v>
      </c>
      <c r="B112" s="42" t="inlineStr">
        <is>
          <t>Wk 35</t>
        </is>
      </c>
      <c r="C112" s="42" t="inlineStr">
        <is>
          <t>Sat</t>
        </is>
      </c>
      <c r="D112" s="42" t="inlineStr">
        <is>
          <t>Meta (FB/IG)</t>
        </is>
      </c>
      <c r="E112" s="42" t="inlineStr">
        <is>
          <t>Facebook + Instagram</t>
        </is>
      </c>
      <c r="F112" s="42" t="inlineStr">
        <is>
          <t>LEP_ZA_AUG26_META_TD_AMUR_CONV</t>
        </is>
      </c>
      <c r="G112" s="42" t="inlineStr">
        <is>
          <t>Leads - Website Conversions</t>
        </is>
      </c>
      <c r="H112" s="42" t="inlineStr">
        <is>
          <t>AMUR</t>
        </is>
      </c>
      <c r="I112" s="42" t="inlineStr">
        <is>
          <t>0% Deposit</t>
        </is>
      </c>
      <c r="J112" s="42" t="inlineStr">
        <is>
          <t>MET_AMUR_LAL3_LEADS_ZA</t>
        </is>
      </c>
      <c r="K112" s="42" t="inlineStr">
        <is>
          <t>Lookalike</t>
        </is>
      </c>
      <c r="L112" s="42" t="inlineStr">
        <is>
          <t>AMUR_VID_20s_OwnerStory_v1</t>
        </is>
      </c>
      <c r="M112" s="42" t="inlineStr">
        <is>
          <t>Video 4:5</t>
        </is>
      </c>
      <c r="N112" s="42" t="inlineStr">
        <is>
          <t>She booked a test drive on a Tuesday</t>
        </is>
      </c>
      <c r="O112" s="42" t="inlineStr">
        <is>
          <t>Auction - Lowest Cost</t>
        </is>
      </c>
      <c r="P112" s="42" t="inlineStr">
        <is>
          <t>Offsite Conversions</t>
        </is>
      </c>
      <c r="Q112" s="42" t="inlineStr">
        <is>
          <t>https://www.lepas-sa.co.za/offers/amur</t>
        </is>
      </c>
      <c r="R112" s="115" t="n">
        <v>283.62</v>
      </c>
      <c r="S112" s="116" t="n">
        <v>2706</v>
      </c>
      <c r="T112" s="116" t="n">
        <v>1413</v>
      </c>
      <c r="U112" s="117">
        <f>IFERROR(S112/T112,"")</f>
        <v/>
      </c>
      <c r="V112" s="116" t="n">
        <v>55</v>
      </c>
      <c r="W112" s="116" t="n">
        <v>40</v>
      </c>
      <c r="X112" s="118">
        <f>IFERROR(W112/S112,"")</f>
        <v/>
      </c>
      <c r="Y112" s="115">
        <f>IFERROR(R112/W112,"")</f>
        <v/>
      </c>
      <c r="Z112" s="115">
        <f>IFERROR(R112/S112*1000,"")</f>
        <v/>
      </c>
      <c r="AA112" s="116" t="n">
        <v>32</v>
      </c>
      <c r="AB112" s="47">
        <f>IFERROR(AA112/W112,"")</f>
        <v/>
      </c>
      <c r="AC112" s="116" t="n">
        <v>1098</v>
      </c>
      <c r="AD112" s="116" t="n">
        <v>642</v>
      </c>
      <c r="AE112" s="116" t="n">
        <v>552</v>
      </c>
      <c r="AF112" s="116" t="n">
        <v>381</v>
      </c>
      <c r="AG112" s="116" t="n">
        <v>293</v>
      </c>
      <c r="AH112" s="116" t="n">
        <v>164</v>
      </c>
      <c r="AI112" s="47">
        <f>IFERROR(AC112/S112,"")</f>
        <v/>
      </c>
      <c r="AJ112" s="47">
        <f>IFERROR(AH112/S112,"")</f>
        <v/>
      </c>
      <c r="AK112" s="116" t="n">
        <v>54</v>
      </c>
      <c r="AL112" s="116" t="n">
        <v>1</v>
      </c>
      <c r="AM112" s="118">
        <f>IFERROR(AL112/AA112,"")</f>
        <v/>
      </c>
      <c r="AN112" s="119">
        <f>IFERROR(R112/AL112,"")</f>
        <v/>
      </c>
      <c r="AO112" s="116" t="n">
        <v>1</v>
      </c>
      <c r="AP112" s="47">
        <f>IFERROR(AO112/AL112,"")</f>
        <v/>
      </c>
      <c r="AQ112" s="119">
        <f>IFERROR(R112/AO112,"")</f>
        <v/>
      </c>
      <c r="AR112" s="116" t="n">
        <v>0</v>
      </c>
      <c r="AS112" s="116" t="n">
        <v>0</v>
      </c>
      <c r="AT112" s="116">
        <f>AL112+AR112</f>
        <v/>
      </c>
      <c r="AU112" s="119">
        <f>IFERROR(AO112*Assumptions!$C$26*Assumptions!$C$27*INDEX(Assumptions!$C$18:$C$21,MATCH(H112,Assumptions!$B$18:$B$21,0)),0)</f>
        <v/>
      </c>
    </row>
    <row r="113">
      <c r="A113" s="114" t="n">
        <v>46264</v>
      </c>
      <c r="B113" s="42" t="inlineStr">
        <is>
          <t>Wk 35</t>
        </is>
      </c>
      <c r="C113" s="42" t="inlineStr">
        <is>
          <t>Sun</t>
        </is>
      </c>
      <c r="D113" s="42" t="inlineStr">
        <is>
          <t>Meta (FB/IG)</t>
        </is>
      </c>
      <c r="E113" s="42" t="inlineStr">
        <is>
          <t>Facebook + Instagram</t>
        </is>
      </c>
      <c r="F113" s="42" t="inlineStr">
        <is>
          <t>LEP_ZA_AUG26_META_TD_AMUR_CONV</t>
        </is>
      </c>
      <c r="G113" s="42" t="inlineStr">
        <is>
          <t>Leads - Website Conversions</t>
        </is>
      </c>
      <c r="H113" s="42" t="inlineStr">
        <is>
          <t>AMUR</t>
        </is>
      </c>
      <c r="I113" s="42" t="inlineStr">
        <is>
          <t>0% Deposit</t>
        </is>
      </c>
      <c r="J113" s="42" t="inlineStr">
        <is>
          <t>MET_AMUR_LAL3_LEADS_ZA</t>
        </is>
      </c>
      <c r="K113" s="42" t="inlineStr">
        <is>
          <t>Lookalike</t>
        </is>
      </c>
      <c r="L113" s="42" t="inlineStr">
        <is>
          <t>AMUR_VID_20s_OwnerStory_v1</t>
        </is>
      </c>
      <c r="M113" s="42" t="inlineStr">
        <is>
          <t>Video 4:5</t>
        </is>
      </c>
      <c r="N113" s="42" t="inlineStr">
        <is>
          <t>She booked a test drive on a Tuesday</t>
        </is>
      </c>
      <c r="O113" s="42" t="inlineStr">
        <is>
          <t>Auction - Lowest Cost</t>
        </is>
      </c>
      <c r="P113" s="42" t="inlineStr">
        <is>
          <t>Offsite Conversions</t>
        </is>
      </c>
      <c r="Q113" s="42" t="inlineStr">
        <is>
          <t>https://www.lepas-sa.co.za/offers/amur</t>
        </is>
      </c>
      <c r="R113" s="115" t="n">
        <v>231.25</v>
      </c>
      <c r="S113" s="116" t="n">
        <v>2250</v>
      </c>
      <c r="T113" s="116" t="n">
        <v>1341</v>
      </c>
      <c r="U113" s="117">
        <f>IFERROR(S113/T113,"")</f>
        <v/>
      </c>
      <c r="V113" s="116" t="n">
        <v>31</v>
      </c>
      <c r="W113" s="116" t="n">
        <v>26</v>
      </c>
      <c r="X113" s="118">
        <f>IFERROR(W113/S113,"")</f>
        <v/>
      </c>
      <c r="Y113" s="115">
        <f>IFERROR(R113/W113,"")</f>
        <v/>
      </c>
      <c r="Z113" s="115">
        <f>IFERROR(R113/S113*1000,"")</f>
        <v/>
      </c>
      <c r="AA113" s="116" t="n">
        <v>22</v>
      </c>
      <c r="AB113" s="47">
        <f>IFERROR(AA113/W113,"")</f>
        <v/>
      </c>
      <c r="AC113" s="116" t="n">
        <v>532</v>
      </c>
      <c r="AD113" s="116" t="n">
        <v>234</v>
      </c>
      <c r="AE113" s="116" t="n">
        <v>274</v>
      </c>
      <c r="AF113" s="116" t="n">
        <v>160</v>
      </c>
      <c r="AG113" s="116" t="n">
        <v>105</v>
      </c>
      <c r="AH113" s="116" t="n">
        <v>75</v>
      </c>
      <c r="AI113" s="47">
        <f>IFERROR(AC113/S113,"")</f>
        <v/>
      </c>
      <c r="AJ113" s="47">
        <f>IFERROR(AH113/S113,"")</f>
        <v/>
      </c>
      <c r="AK113" s="116" t="n">
        <v>29</v>
      </c>
      <c r="AL113" s="116" t="n">
        <v>0</v>
      </c>
      <c r="AM113" s="118">
        <f>IFERROR(AL113/AA113,"")</f>
        <v/>
      </c>
      <c r="AN113" s="119">
        <f>IFERROR(R113/AL113,"")</f>
        <v/>
      </c>
      <c r="AO113" s="116" t="n">
        <v>0</v>
      </c>
      <c r="AP113" s="47">
        <f>IFERROR(AO113/AL113,"")</f>
        <v/>
      </c>
      <c r="AQ113" s="119">
        <f>IFERROR(R113/AO113,"")</f>
        <v/>
      </c>
      <c r="AR113" s="116" t="n">
        <v>0</v>
      </c>
      <c r="AS113" s="116" t="n">
        <v>0</v>
      </c>
      <c r="AT113" s="116">
        <f>AL113+AR113</f>
        <v/>
      </c>
      <c r="AU113" s="119">
        <f>IFERROR(AO113*Assumptions!$C$26*Assumptions!$C$27*INDEX(Assumptions!$C$18:$C$21,MATCH(H113,Assumptions!$B$18:$B$21,0)),0)</f>
        <v/>
      </c>
    </row>
    <row r="114">
      <c r="A114" s="114" t="n">
        <v>46265</v>
      </c>
      <c r="B114" s="42" t="inlineStr">
        <is>
          <t>Wk 36</t>
        </is>
      </c>
      <c r="C114" s="42" t="inlineStr">
        <is>
          <t>Mon</t>
        </is>
      </c>
      <c r="D114" s="42" t="inlineStr">
        <is>
          <t>Meta (FB/IG)</t>
        </is>
      </c>
      <c r="E114" s="42" t="inlineStr">
        <is>
          <t>Facebook + Instagram</t>
        </is>
      </c>
      <c r="F114" s="42" t="inlineStr">
        <is>
          <t>LEP_ZA_AUG26_META_TD_AMUR_CONV</t>
        </is>
      </c>
      <c r="G114" s="42" t="inlineStr">
        <is>
          <t>Leads - Website Conversions</t>
        </is>
      </c>
      <c r="H114" s="42" t="inlineStr">
        <is>
          <t>AMUR</t>
        </is>
      </c>
      <c r="I114" s="42" t="inlineStr">
        <is>
          <t>0% Deposit</t>
        </is>
      </c>
      <c r="J114" s="42" t="inlineStr">
        <is>
          <t>MET_AMUR_LAL3_LEADS_ZA</t>
        </is>
      </c>
      <c r="K114" s="42" t="inlineStr">
        <is>
          <t>Lookalike</t>
        </is>
      </c>
      <c r="L114" s="42" t="inlineStr">
        <is>
          <t>AMUR_VID_20s_OwnerStory_v1</t>
        </is>
      </c>
      <c r="M114" s="42" t="inlineStr">
        <is>
          <t>Video 4:5</t>
        </is>
      </c>
      <c r="N114" s="42" t="inlineStr">
        <is>
          <t>She booked a test drive on a Tuesday</t>
        </is>
      </c>
      <c r="O114" s="42" t="inlineStr">
        <is>
          <t>Auction - Lowest Cost</t>
        </is>
      </c>
      <c r="P114" s="42" t="inlineStr">
        <is>
          <t>Offsite Conversions</t>
        </is>
      </c>
      <c r="Q114" s="42" t="inlineStr">
        <is>
          <t>https://www.lepas-sa.co.za/offers/amur</t>
        </is>
      </c>
      <c r="R114" s="115" t="n">
        <v>212.73</v>
      </c>
      <c r="S114" s="116" t="n">
        <v>2843</v>
      </c>
      <c r="T114" s="116" t="n">
        <v>1464</v>
      </c>
      <c r="U114" s="117">
        <f>IFERROR(S114/T114,"")</f>
        <v/>
      </c>
      <c r="V114" s="116" t="n">
        <v>49</v>
      </c>
      <c r="W114" s="116" t="n">
        <v>38</v>
      </c>
      <c r="X114" s="118">
        <f>IFERROR(W114/S114,"")</f>
        <v/>
      </c>
      <c r="Y114" s="115">
        <f>IFERROR(R114/W114,"")</f>
        <v/>
      </c>
      <c r="Z114" s="115">
        <f>IFERROR(R114/S114*1000,"")</f>
        <v/>
      </c>
      <c r="AA114" s="116" t="n">
        <v>32</v>
      </c>
      <c r="AB114" s="47">
        <f>IFERROR(AA114/W114,"")</f>
        <v/>
      </c>
      <c r="AC114" s="116" t="n">
        <v>1040</v>
      </c>
      <c r="AD114" s="116" t="n">
        <v>574</v>
      </c>
      <c r="AE114" s="116" t="n">
        <v>378</v>
      </c>
      <c r="AF114" s="116" t="n">
        <v>241</v>
      </c>
      <c r="AG114" s="116" t="n">
        <v>187</v>
      </c>
      <c r="AH114" s="116" t="n">
        <v>129</v>
      </c>
      <c r="AI114" s="47">
        <f>IFERROR(AC114/S114,"")</f>
        <v/>
      </c>
      <c r="AJ114" s="47">
        <f>IFERROR(AH114/S114,"")</f>
        <v/>
      </c>
      <c r="AK114" s="116" t="n">
        <v>95</v>
      </c>
      <c r="AL114" s="116" t="n">
        <v>0</v>
      </c>
      <c r="AM114" s="118">
        <f>IFERROR(AL114/AA114,"")</f>
        <v/>
      </c>
      <c r="AN114" s="119">
        <f>IFERROR(R114/AL114,"")</f>
        <v/>
      </c>
      <c r="AO114" s="116" t="n">
        <v>0</v>
      </c>
      <c r="AP114" s="47">
        <f>IFERROR(AO114/AL114,"")</f>
        <v/>
      </c>
      <c r="AQ114" s="119">
        <f>IFERROR(R114/AO114,"")</f>
        <v/>
      </c>
      <c r="AR114" s="116" t="n">
        <v>0</v>
      </c>
      <c r="AS114" s="116" t="n">
        <v>0</v>
      </c>
      <c r="AT114" s="116">
        <f>AL114+AR114</f>
        <v/>
      </c>
      <c r="AU114" s="119">
        <f>IFERROR(AO114*Assumptions!$C$26*Assumptions!$C$27*INDEX(Assumptions!$C$18:$C$21,MATCH(H114,Assumptions!$B$18:$B$21,0)),0)</f>
        <v/>
      </c>
    </row>
    <row r="115">
      <c r="A115" s="114" t="n">
        <v>46235</v>
      </c>
      <c r="B115" s="42" t="inlineStr">
        <is>
          <t>Wk 31</t>
        </is>
      </c>
      <c r="C115" s="42" t="inlineStr">
        <is>
          <t>Sat</t>
        </is>
      </c>
      <c r="D115" s="42" t="inlineStr">
        <is>
          <t>Meta (FB/IG)</t>
        </is>
      </c>
      <c r="E115" s="42" t="inlineStr">
        <is>
          <t>Facebook + Instagram</t>
        </is>
      </c>
      <c r="F115" s="42" t="inlineStr">
        <is>
          <t>LEP_ZA_AUG26_META_TD_AMUR_CONV</t>
        </is>
      </c>
      <c r="G115" s="42" t="inlineStr">
        <is>
          <t>Leads - Website Conversions</t>
        </is>
      </c>
      <c r="H115" s="42" t="inlineStr">
        <is>
          <t>AMUR</t>
        </is>
      </c>
      <c r="I115" s="42" t="inlineStr">
        <is>
          <t>0% Deposit</t>
        </is>
      </c>
      <c r="J115" s="42" t="inlineStr">
        <is>
          <t>MET_AMUR_LAL3_LEADS_ZA</t>
        </is>
      </c>
      <c r="K115" s="42" t="inlineStr">
        <is>
          <t>Lookalike</t>
        </is>
      </c>
      <c r="L115" s="42" t="inlineStr">
        <is>
          <t>AMUR_STA_Offer_0Dep_v1</t>
        </is>
      </c>
      <c r="M115" s="42" t="inlineStr">
        <is>
          <t>Static 1:1</t>
        </is>
      </c>
      <c r="N115" s="42" t="inlineStr">
        <is>
          <t>0% deposit. Book your test drive.</t>
        </is>
      </c>
      <c r="O115" s="42" t="inlineStr">
        <is>
          <t>Auction - Lowest Cost</t>
        </is>
      </c>
      <c r="P115" s="42" t="inlineStr">
        <is>
          <t>Offsite Conversions</t>
        </is>
      </c>
      <c r="Q115" s="42" t="inlineStr">
        <is>
          <t>https://www.lepas-sa.co.za/offers/amur</t>
        </is>
      </c>
      <c r="R115" s="115" t="n">
        <v>155.4</v>
      </c>
      <c r="S115" s="116" t="n">
        <v>1856</v>
      </c>
      <c r="T115" s="116" t="n">
        <v>1309</v>
      </c>
      <c r="U115" s="117">
        <f>IFERROR(S115/T115,"")</f>
        <v/>
      </c>
      <c r="V115" s="116" t="n">
        <v>28</v>
      </c>
      <c r="W115" s="116" t="n">
        <v>21</v>
      </c>
      <c r="X115" s="118">
        <f>IFERROR(W115/S115,"")</f>
        <v/>
      </c>
      <c r="Y115" s="115">
        <f>IFERROR(R115/W115,"")</f>
        <v/>
      </c>
      <c r="Z115" s="115">
        <f>IFERROR(R115/S115*1000,"")</f>
        <v/>
      </c>
      <c r="AA115" s="116" t="n">
        <v>18</v>
      </c>
      <c r="AB115" s="47">
        <f>IFERROR(AA115/W115,"")</f>
        <v/>
      </c>
      <c r="AC115" s="116" t="n">
        <v>0</v>
      </c>
      <c r="AD115" s="116" t="n">
        <v>0</v>
      </c>
      <c r="AE115" s="116" t="n">
        <v>0</v>
      </c>
      <c r="AF115" s="116" t="n">
        <v>0</v>
      </c>
      <c r="AG115" s="116" t="n">
        <v>0</v>
      </c>
      <c r="AH115" s="116" t="n">
        <v>0</v>
      </c>
      <c r="AI115" s="47">
        <f>IFERROR(AC115/S115,"")</f>
        <v/>
      </c>
      <c r="AJ115" s="47">
        <f>IFERROR(AH115/S115,"")</f>
        <v/>
      </c>
      <c r="AK115" s="116" t="n">
        <v>35</v>
      </c>
      <c r="AL115" s="116" t="n">
        <v>1</v>
      </c>
      <c r="AM115" s="118">
        <f>IFERROR(AL115/AA115,"")</f>
        <v/>
      </c>
      <c r="AN115" s="119">
        <f>IFERROR(R115/AL115,"")</f>
        <v/>
      </c>
      <c r="AO115" s="116" t="n">
        <v>1</v>
      </c>
      <c r="AP115" s="47">
        <f>IFERROR(AO115/AL115,"")</f>
        <v/>
      </c>
      <c r="AQ115" s="119">
        <f>IFERROR(R115/AO115,"")</f>
        <v/>
      </c>
      <c r="AR115" s="116" t="n">
        <v>0</v>
      </c>
      <c r="AS115" s="116" t="n">
        <v>0</v>
      </c>
      <c r="AT115" s="116">
        <f>AL115+AR115</f>
        <v/>
      </c>
      <c r="AU115" s="119">
        <f>IFERROR(AO115*Assumptions!$C$26*Assumptions!$C$27*INDEX(Assumptions!$C$18:$C$21,MATCH(H115,Assumptions!$B$18:$B$21,0)),0)</f>
        <v/>
      </c>
    </row>
    <row r="116">
      <c r="A116" s="114" t="n">
        <v>46236</v>
      </c>
      <c r="B116" s="42" t="inlineStr">
        <is>
          <t>Wk 31</t>
        </is>
      </c>
      <c r="C116" s="42" t="inlineStr">
        <is>
          <t>Sun</t>
        </is>
      </c>
      <c r="D116" s="42" t="inlineStr">
        <is>
          <t>Meta (FB/IG)</t>
        </is>
      </c>
      <c r="E116" s="42" t="inlineStr">
        <is>
          <t>Facebook + Instagram</t>
        </is>
      </c>
      <c r="F116" s="42" t="inlineStr">
        <is>
          <t>LEP_ZA_AUG26_META_TD_AMUR_CONV</t>
        </is>
      </c>
      <c r="G116" s="42" t="inlineStr">
        <is>
          <t>Leads - Website Conversions</t>
        </is>
      </c>
      <c r="H116" s="42" t="inlineStr">
        <is>
          <t>AMUR</t>
        </is>
      </c>
      <c r="I116" s="42" t="inlineStr">
        <is>
          <t>0% Deposit</t>
        </is>
      </c>
      <c r="J116" s="42" t="inlineStr">
        <is>
          <t>MET_AMUR_LAL3_LEADS_ZA</t>
        </is>
      </c>
      <c r="K116" s="42" t="inlineStr">
        <is>
          <t>Lookalike</t>
        </is>
      </c>
      <c r="L116" s="42" t="inlineStr">
        <is>
          <t>AMUR_STA_Offer_0Dep_v1</t>
        </is>
      </c>
      <c r="M116" s="42" t="inlineStr">
        <is>
          <t>Static 1:1</t>
        </is>
      </c>
      <c r="N116" s="42" t="inlineStr">
        <is>
          <t>0% deposit. Book your test drive.</t>
        </is>
      </c>
      <c r="O116" s="42" t="inlineStr">
        <is>
          <t>Auction - Lowest Cost</t>
        </is>
      </c>
      <c r="P116" s="42" t="inlineStr">
        <is>
          <t>Offsite Conversions</t>
        </is>
      </c>
      <c r="Q116" s="42" t="inlineStr">
        <is>
          <t>https://www.lepas-sa.co.za/offers/amur</t>
        </is>
      </c>
      <c r="R116" s="115" t="n">
        <v>124.12</v>
      </c>
      <c r="S116" s="116" t="n">
        <v>1528</v>
      </c>
      <c r="T116" s="116" t="n">
        <v>1232</v>
      </c>
      <c r="U116" s="117">
        <f>IFERROR(S116/T116,"")</f>
        <v/>
      </c>
      <c r="V116" s="116" t="n">
        <v>26</v>
      </c>
      <c r="W116" s="116" t="n">
        <v>19</v>
      </c>
      <c r="X116" s="118">
        <f>IFERROR(W116/S116,"")</f>
        <v/>
      </c>
      <c r="Y116" s="115">
        <f>IFERROR(R116/W116,"")</f>
        <v/>
      </c>
      <c r="Z116" s="115">
        <f>IFERROR(R116/S116*1000,"")</f>
        <v/>
      </c>
      <c r="AA116" s="116" t="n">
        <v>17</v>
      </c>
      <c r="AB116" s="47">
        <f>IFERROR(AA116/W116,"")</f>
        <v/>
      </c>
      <c r="AC116" s="116" t="n">
        <v>0</v>
      </c>
      <c r="AD116" s="116" t="n">
        <v>0</v>
      </c>
      <c r="AE116" s="116" t="n">
        <v>0</v>
      </c>
      <c r="AF116" s="116" t="n">
        <v>0</v>
      </c>
      <c r="AG116" s="116" t="n">
        <v>0</v>
      </c>
      <c r="AH116" s="116" t="n">
        <v>0</v>
      </c>
      <c r="AI116" s="47">
        <f>IFERROR(AC116/S116,"")</f>
        <v/>
      </c>
      <c r="AJ116" s="47">
        <f>IFERROR(AH116/S116,"")</f>
        <v/>
      </c>
      <c r="AK116" s="116" t="n">
        <v>29</v>
      </c>
      <c r="AL116" s="116" t="n">
        <v>1</v>
      </c>
      <c r="AM116" s="118">
        <f>IFERROR(AL116/AA116,"")</f>
        <v/>
      </c>
      <c r="AN116" s="119">
        <f>IFERROR(R116/AL116,"")</f>
        <v/>
      </c>
      <c r="AO116" s="116" t="n">
        <v>1</v>
      </c>
      <c r="AP116" s="47">
        <f>IFERROR(AO116/AL116,"")</f>
        <v/>
      </c>
      <c r="AQ116" s="119">
        <f>IFERROR(R116/AO116,"")</f>
        <v/>
      </c>
      <c r="AR116" s="116" t="n">
        <v>0</v>
      </c>
      <c r="AS116" s="116" t="n">
        <v>1</v>
      </c>
      <c r="AT116" s="116">
        <f>AL116+AR116</f>
        <v/>
      </c>
      <c r="AU116" s="119">
        <f>IFERROR(AO116*Assumptions!$C$26*Assumptions!$C$27*INDEX(Assumptions!$C$18:$C$21,MATCH(H116,Assumptions!$B$18:$B$21,0)),0)</f>
        <v/>
      </c>
    </row>
    <row r="117">
      <c r="A117" s="114" t="n">
        <v>46237</v>
      </c>
      <c r="B117" s="42" t="inlineStr">
        <is>
          <t>Wk 32</t>
        </is>
      </c>
      <c r="C117" s="42" t="inlineStr">
        <is>
          <t>Mon</t>
        </is>
      </c>
      <c r="D117" s="42" t="inlineStr">
        <is>
          <t>Meta (FB/IG)</t>
        </is>
      </c>
      <c r="E117" s="42" t="inlineStr">
        <is>
          <t>Facebook + Instagram</t>
        </is>
      </c>
      <c r="F117" s="42" t="inlineStr">
        <is>
          <t>LEP_ZA_AUG26_META_TD_AMUR_CONV</t>
        </is>
      </c>
      <c r="G117" s="42" t="inlineStr">
        <is>
          <t>Leads - Website Conversions</t>
        </is>
      </c>
      <c r="H117" s="42" t="inlineStr">
        <is>
          <t>AMUR</t>
        </is>
      </c>
      <c r="I117" s="42" t="inlineStr">
        <is>
          <t>0% Deposit</t>
        </is>
      </c>
      <c r="J117" s="42" t="inlineStr">
        <is>
          <t>MET_AMUR_LAL3_LEADS_ZA</t>
        </is>
      </c>
      <c r="K117" s="42" t="inlineStr">
        <is>
          <t>Lookalike</t>
        </is>
      </c>
      <c r="L117" s="42" t="inlineStr">
        <is>
          <t>AMUR_STA_Offer_0Dep_v1</t>
        </is>
      </c>
      <c r="M117" s="42" t="inlineStr">
        <is>
          <t>Static 1:1</t>
        </is>
      </c>
      <c r="N117" s="42" t="inlineStr">
        <is>
          <t>0% deposit. Book your test drive.</t>
        </is>
      </c>
      <c r="O117" s="42" t="inlineStr">
        <is>
          <t>Auction - Lowest Cost</t>
        </is>
      </c>
      <c r="P117" s="42" t="inlineStr">
        <is>
          <t>Offsite Conversions</t>
        </is>
      </c>
      <c r="Q117" s="42" t="inlineStr">
        <is>
          <t>https://www.lepas-sa.co.za/offers/amur</t>
        </is>
      </c>
      <c r="R117" s="115" t="n">
        <v>164.86</v>
      </c>
      <c r="S117" s="116" t="n">
        <v>1737</v>
      </c>
      <c r="T117" s="116" t="n">
        <v>1330</v>
      </c>
      <c r="U117" s="117">
        <f>IFERROR(S117/T117,"")</f>
        <v/>
      </c>
      <c r="V117" s="116" t="n">
        <v>26</v>
      </c>
      <c r="W117" s="116" t="n">
        <v>22</v>
      </c>
      <c r="X117" s="118">
        <f>IFERROR(W117/S117,"")</f>
        <v/>
      </c>
      <c r="Y117" s="115">
        <f>IFERROR(R117/W117,"")</f>
        <v/>
      </c>
      <c r="Z117" s="115">
        <f>IFERROR(R117/S117*1000,"")</f>
        <v/>
      </c>
      <c r="AA117" s="116" t="n">
        <v>20</v>
      </c>
      <c r="AB117" s="47">
        <f>IFERROR(AA117/W117,"")</f>
        <v/>
      </c>
      <c r="AC117" s="116" t="n">
        <v>0</v>
      </c>
      <c r="AD117" s="116" t="n">
        <v>0</v>
      </c>
      <c r="AE117" s="116" t="n">
        <v>0</v>
      </c>
      <c r="AF117" s="116" t="n">
        <v>0</v>
      </c>
      <c r="AG117" s="116" t="n">
        <v>0</v>
      </c>
      <c r="AH117" s="116" t="n">
        <v>0</v>
      </c>
      <c r="AI117" s="47">
        <f>IFERROR(AC117/S117,"")</f>
        <v/>
      </c>
      <c r="AJ117" s="47">
        <f>IFERROR(AH117/S117,"")</f>
        <v/>
      </c>
      <c r="AK117" s="116" t="n">
        <v>52</v>
      </c>
      <c r="AL117" s="116" t="n">
        <v>1</v>
      </c>
      <c r="AM117" s="118">
        <f>IFERROR(AL117/AA117,"")</f>
        <v/>
      </c>
      <c r="AN117" s="119">
        <f>IFERROR(R117/AL117,"")</f>
        <v/>
      </c>
      <c r="AO117" s="116" t="n">
        <v>1</v>
      </c>
      <c r="AP117" s="47">
        <f>IFERROR(AO117/AL117,"")</f>
        <v/>
      </c>
      <c r="AQ117" s="119">
        <f>IFERROR(R117/AO117,"")</f>
        <v/>
      </c>
      <c r="AR117" s="116" t="n">
        <v>1</v>
      </c>
      <c r="AS117" s="116" t="n">
        <v>0</v>
      </c>
      <c r="AT117" s="116">
        <f>AL117+AR117</f>
        <v/>
      </c>
      <c r="AU117" s="119">
        <f>IFERROR(AO117*Assumptions!$C$26*Assumptions!$C$27*INDEX(Assumptions!$C$18:$C$21,MATCH(H117,Assumptions!$B$18:$B$21,0)),0)</f>
        <v/>
      </c>
    </row>
    <row r="118">
      <c r="A118" s="114" t="n">
        <v>46238</v>
      </c>
      <c r="B118" s="42" t="inlineStr">
        <is>
          <t>Wk 32</t>
        </is>
      </c>
      <c r="C118" s="42" t="inlineStr">
        <is>
          <t>Tue</t>
        </is>
      </c>
      <c r="D118" s="42" t="inlineStr">
        <is>
          <t>Meta (FB/IG)</t>
        </is>
      </c>
      <c r="E118" s="42" t="inlineStr">
        <is>
          <t>Facebook + Instagram</t>
        </is>
      </c>
      <c r="F118" s="42" t="inlineStr">
        <is>
          <t>LEP_ZA_AUG26_META_TD_AMUR_CONV</t>
        </is>
      </c>
      <c r="G118" s="42" t="inlineStr">
        <is>
          <t>Leads - Website Conversions</t>
        </is>
      </c>
      <c r="H118" s="42" t="inlineStr">
        <is>
          <t>AMUR</t>
        </is>
      </c>
      <c r="I118" s="42" t="inlineStr">
        <is>
          <t>0% Deposit</t>
        </is>
      </c>
      <c r="J118" s="42" t="inlineStr">
        <is>
          <t>MET_AMUR_LAL3_LEADS_ZA</t>
        </is>
      </c>
      <c r="K118" s="42" t="inlineStr">
        <is>
          <t>Lookalike</t>
        </is>
      </c>
      <c r="L118" s="42" t="inlineStr">
        <is>
          <t>AMUR_STA_Offer_0Dep_v1</t>
        </is>
      </c>
      <c r="M118" s="42" t="inlineStr">
        <is>
          <t>Static 1:1</t>
        </is>
      </c>
      <c r="N118" s="42" t="inlineStr">
        <is>
          <t>0% deposit. Book your test drive.</t>
        </is>
      </c>
      <c r="O118" s="42" t="inlineStr">
        <is>
          <t>Auction - Lowest Cost</t>
        </is>
      </c>
      <c r="P118" s="42" t="inlineStr">
        <is>
          <t>Offsite Conversions</t>
        </is>
      </c>
      <c r="Q118" s="42" t="inlineStr">
        <is>
          <t>https://www.lepas-sa.co.za/offers/amur</t>
        </is>
      </c>
      <c r="R118" s="115" t="n">
        <v>173.62</v>
      </c>
      <c r="S118" s="116" t="n">
        <v>2351</v>
      </c>
      <c r="T118" s="116" t="n">
        <v>1931</v>
      </c>
      <c r="U118" s="117">
        <f>IFERROR(S118/T118,"")</f>
        <v/>
      </c>
      <c r="V118" s="116" t="n">
        <v>53</v>
      </c>
      <c r="W118" s="116" t="n">
        <v>42</v>
      </c>
      <c r="X118" s="118">
        <f>IFERROR(W118/S118,"")</f>
        <v/>
      </c>
      <c r="Y118" s="115">
        <f>IFERROR(R118/W118,"")</f>
        <v/>
      </c>
      <c r="Z118" s="115">
        <f>IFERROR(R118/S118*1000,"")</f>
        <v/>
      </c>
      <c r="AA118" s="116" t="n">
        <v>36</v>
      </c>
      <c r="AB118" s="47">
        <f>IFERROR(AA118/W118,"")</f>
        <v/>
      </c>
      <c r="AC118" s="116" t="n">
        <v>0</v>
      </c>
      <c r="AD118" s="116" t="n">
        <v>0</v>
      </c>
      <c r="AE118" s="116" t="n">
        <v>0</v>
      </c>
      <c r="AF118" s="116" t="n">
        <v>0</v>
      </c>
      <c r="AG118" s="116" t="n">
        <v>0</v>
      </c>
      <c r="AH118" s="116" t="n">
        <v>0</v>
      </c>
      <c r="AI118" s="47">
        <f>IFERROR(AC118/S118,"")</f>
        <v/>
      </c>
      <c r="AJ118" s="47">
        <f>IFERROR(AH118/S118,"")</f>
        <v/>
      </c>
      <c r="AK118" s="116" t="n">
        <v>71</v>
      </c>
      <c r="AL118" s="116" t="n">
        <v>1</v>
      </c>
      <c r="AM118" s="118">
        <f>IFERROR(AL118/AA118,"")</f>
        <v/>
      </c>
      <c r="AN118" s="119">
        <f>IFERROR(R118/AL118,"")</f>
        <v/>
      </c>
      <c r="AO118" s="116" t="n">
        <v>1</v>
      </c>
      <c r="AP118" s="47">
        <f>IFERROR(AO118/AL118,"")</f>
        <v/>
      </c>
      <c r="AQ118" s="119">
        <f>IFERROR(R118/AO118,"")</f>
        <v/>
      </c>
      <c r="AR118" s="116" t="n">
        <v>0</v>
      </c>
      <c r="AS118" s="116" t="n">
        <v>1</v>
      </c>
      <c r="AT118" s="116">
        <f>AL118+AR118</f>
        <v/>
      </c>
      <c r="AU118" s="119">
        <f>IFERROR(AO118*Assumptions!$C$26*Assumptions!$C$27*INDEX(Assumptions!$C$18:$C$21,MATCH(H118,Assumptions!$B$18:$B$21,0)),0)</f>
        <v/>
      </c>
    </row>
    <row r="119">
      <c r="A119" s="114" t="n">
        <v>46239</v>
      </c>
      <c r="B119" s="42" t="inlineStr">
        <is>
          <t>Wk 32</t>
        </is>
      </c>
      <c r="C119" s="42" t="inlineStr">
        <is>
          <t>Wed</t>
        </is>
      </c>
      <c r="D119" s="42" t="inlineStr">
        <is>
          <t>Meta (FB/IG)</t>
        </is>
      </c>
      <c r="E119" s="42" t="inlineStr">
        <is>
          <t>Facebook + Instagram</t>
        </is>
      </c>
      <c r="F119" s="42" t="inlineStr">
        <is>
          <t>LEP_ZA_AUG26_META_TD_AMUR_CONV</t>
        </is>
      </c>
      <c r="G119" s="42" t="inlineStr">
        <is>
          <t>Leads - Website Conversions</t>
        </is>
      </c>
      <c r="H119" s="42" t="inlineStr">
        <is>
          <t>AMUR</t>
        </is>
      </c>
      <c r="I119" s="42" t="inlineStr">
        <is>
          <t>0% Deposit</t>
        </is>
      </c>
      <c r="J119" s="42" t="inlineStr">
        <is>
          <t>MET_AMUR_LAL3_LEADS_ZA</t>
        </is>
      </c>
      <c r="K119" s="42" t="inlineStr">
        <is>
          <t>Lookalike</t>
        </is>
      </c>
      <c r="L119" s="42" t="inlineStr">
        <is>
          <t>AMUR_STA_Offer_0Dep_v1</t>
        </is>
      </c>
      <c r="M119" s="42" t="inlineStr">
        <is>
          <t>Static 1:1</t>
        </is>
      </c>
      <c r="N119" s="42" t="inlineStr">
        <is>
          <t>0% deposit. Book your test drive.</t>
        </is>
      </c>
      <c r="O119" s="42" t="inlineStr">
        <is>
          <t>Auction - Lowest Cost</t>
        </is>
      </c>
      <c r="P119" s="42" t="inlineStr">
        <is>
          <t>Offsite Conversions</t>
        </is>
      </c>
      <c r="Q119" s="42" t="inlineStr">
        <is>
          <t>https://www.lepas-sa.co.za/offers/amur</t>
        </is>
      </c>
      <c r="R119" s="115" t="n">
        <v>170.9</v>
      </c>
      <c r="S119" s="116" t="n">
        <v>2465</v>
      </c>
      <c r="T119" s="116" t="n">
        <v>2133</v>
      </c>
      <c r="U119" s="117">
        <f>IFERROR(S119/T119,"")</f>
        <v/>
      </c>
      <c r="V119" s="116" t="n">
        <v>43</v>
      </c>
      <c r="W119" s="116" t="n">
        <v>33</v>
      </c>
      <c r="X119" s="118">
        <f>IFERROR(W119/S119,"")</f>
        <v/>
      </c>
      <c r="Y119" s="115">
        <f>IFERROR(R119/W119,"")</f>
        <v/>
      </c>
      <c r="Z119" s="115">
        <f>IFERROR(R119/S119*1000,"")</f>
        <v/>
      </c>
      <c r="AA119" s="116" t="n">
        <v>26</v>
      </c>
      <c r="AB119" s="47">
        <f>IFERROR(AA119/W119,"")</f>
        <v/>
      </c>
      <c r="AC119" s="116" t="n">
        <v>0</v>
      </c>
      <c r="AD119" s="116" t="n">
        <v>0</v>
      </c>
      <c r="AE119" s="116" t="n">
        <v>0</v>
      </c>
      <c r="AF119" s="116" t="n">
        <v>0</v>
      </c>
      <c r="AG119" s="116" t="n">
        <v>0</v>
      </c>
      <c r="AH119" s="116" t="n">
        <v>0</v>
      </c>
      <c r="AI119" s="47">
        <f>IFERROR(AC119/S119,"")</f>
        <v/>
      </c>
      <c r="AJ119" s="47">
        <f>IFERROR(AH119/S119,"")</f>
        <v/>
      </c>
      <c r="AK119" s="116" t="n">
        <v>47</v>
      </c>
      <c r="AL119" s="116" t="n">
        <v>1</v>
      </c>
      <c r="AM119" s="118">
        <f>IFERROR(AL119/AA119,"")</f>
        <v/>
      </c>
      <c r="AN119" s="119">
        <f>IFERROR(R119/AL119,"")</f>
        <v/>
      </c>
      <c r="AO119" s="116" t="n">
        <v>1</v>
      </c>
      <c r="AP119" s="47">
        <f>IFERROR(AO119/AL119,"")</f>
        <v/>
      </c>
      <c r="AQ119" s="119">
        <f>IFERROR(R119/AO119,"")</f>
        <v/>
      </c>
      <c r="AR119" s="116" t="n">
        <v>0</v>
      </c>
      <c r="AS119" s="116" t="n">
        <v>0</v>
      </c>
      <c r="AT119" s="116">
        <f>AL119+AR119</f>
        <v/>
      </c>
      <c r="AU119" s="119">
        <f>IFERROR(AO119*Assumptions!$C$26*Assumptions!$C$27*INDEX(Assumptions!$C$18:$C$21,MATCH(H119,Assumptions!$B$18:$B$21,0)),0)</f>
        <v/>
      </c>
    </row>
    <row r="120">
      <c r="A120" s="114" t="n">
        <v>46240</v>
      </c>
      <c r="B120" s="42" t="inlineStr">
        <is>
          <t>Wk 32</t>
        </is>
      </c>
      <c r="C120" s="42" t="inlineStr">
        <is>
          <t>Thu</t>
        </is>
      </c>
      <c r="D120" s="42" t="inlineStr">
        <is>
          <t>Meta (FB/IG)</t>
        </is>
      </c>
      <c r="E120" s="42" t="inlineStr">
        <is>
          <t>Facebook + Instagram</t>
        </is>
      </c>
      <c r="F120" s="42" t="inlineStr">
        <is>
          <t>LEP_ZA_AUG26_META_TD_AMUR_CONV</t>
        </is>
      </c>
      <c r="G120" s="42" t="inlineStr">
        <is>
          <t>Leads - Website Conversions</t>
        </is>
      </c>
      <c r="H120" s="42" t="inlineStr">
        <is>
          <t>AMUR</t>
        </is>
      </c>
      <c r="I120" s="42" t="inlineStr">
        <is>
          <t>0% Deposit</t>
        </is>
      </c>
      <c r="J120" s="42" t="inlineStr">
        <is>
          <t>MET_AMUR_LAL3_LEADS_ZA</t>
        </is>
      </c>
      <c r="K120" s="42" t="inlineStr">
        <is>
          <t>Lookalike</t>
        </is>
      </c>
      <c r="L120" s="42" t="inlineStr">
        <is>
          <t>AMUR_STA_Offer_0Dep_v1</t>
        </is>
      </c>
      <c r="M120" s="42" t="inlineStr">
        <is>
          <t>Static 1:1</t>
        </is>
      </c>
      <c r="N120" s="42" t="inlineStr">
        <is>
          <t>0% deposit. Book your test drive.</t>
        </is>
      </c>
      <c r="O120" s="42" t="inlineStr">
        <is>
          <t>Auction - Lowest Cost</t>
        </is>
      </c>
      <c r="P120" s="42" t="inlineStr">
        <is>
          <t>Offsite Conversions</t>
        </is>
      </c>
      <c r="Q120" s="42" t="inlineStr">
        <is>
          <t>https://www.lepas-sa.co.za/offers/amur</t>
        </is>
      </c>
      <c r="R120" s="115" t="n">
        <v>201.11</v>
      </c>
      <c r="S120" s="116" t="n">
        <v>2990</v>
      </c>
      <c r="T120" s="116" t="n">
        <v>2526</v>
      </c>
      <c r="U120" s="117">
        <f>IFERROR(S120/T120,"")</f>
        <v/>
      </c>
      <c r="V120" s="116" t="n">
        <v>76</v>
      </c>
      <c r="W120" s="116" t="n">
        <v>57</v>
      </c>
      <c r="X120" s="118">
        <f>IFERROR(W120/S120,"")</f>
        <v/>
      </c>
      <c r="Y120" s="115">
        <f>IFERROR(R120/W120,"")</f>
        <v/>
      </c>
      <c r="Z120" s="115">
        <f>IFERROR(R120/S120*1000,"")</f>
        <v/>
      </c>
      <c r="AA120" s="116" t="n">
        <v>50</v>
      </c>
      <c r="AB120" s="47">
        <f>IFERROR(AA120/W120,"")</f>
        <v/>
      </c>
      <c r="AC120" s="116" t="n">
        <v>0</v>
      </c>
      <c r="AD120" s="116" t="n">
        <v>0</v>
      </c>
      <c r="AE120" s="116" t="n">
        <v>0</v>
      </c>
      <c r="AF120" s="116" t="n">
        <v>0</v>
      </c>
      <c r="AG120" s="116" t="n">
        <v>0</v>
      </c>
      <c r="AH120" s="116" t="n">
        <v>0</v>
      </c>
      <c r="AI120" s="47">
        <f>IFERROR(AC120/S120,"")</f>
        <v/>
      </c>
      <c r="AJ120" s="47">
        <f>IFERROR(AH120/S120,"")</f>
        <v/>
      </c>
      <c r="AK120" s="116" t="n">
        <v>61</v>
      </c>
      <c r="AL120" s="116" t="n">
        <v>2</v>
      </c>
      <c r="AM120" s="118">
        <f>IFERROR(AL120/AA120,"")</f>
        <v/>
      </c>
      <c r="AN120" s="119">
        <f>IFERROR(R120/AL120,"")</f>
        <v/>
      </c>
      <c r="AO120" s="116" t="n">
        <v>1</v>
      </c>
      <c r="AP120" s="47">
        <f>IFERROR(AO120/AL120,"")</f>
        <v/>
      </c>
      <c r="AQ120" s="119">
        <f>IFERROR(R120/AO120,"")</f>
        <v/>
      </c>
      <c r="AR120" s="116" t="n">
        <v>1</v>
      </c>
      <c r="AS120" s="116" t="n">
        <v>0</v>
      </c>
      <c r="AT120" s="116">
        <f>AL120+AR120</f>
        <v/>
      </c>
      <c r="AU120" s="119">
        <f>IFERROR(AO120*Assumptions!$C$26*Assumptions!$C$27*INDEX(Assumptions!$C$18:$C$21,MATCH(H120,Assumptions!$B$18:$B$21,0)),0)</f>
        <v/>
      </c>
    </row>
    <row r="121">
      <c r="A121" s="114" t="n">
        <v>46241</v>
      </c>
      <c r="B121" s="42" t="inlineStr">
        <is>
          <t>Wk 32</t>
        </is>
      </c>
      <c r="C121" s="42" t="inlineStr">
        <is>
          <t>Fri</t>
        </is>
      </c>
      <c r="D121" s="42" t="inlineStr">
        <is>
          <t>Meta (FB/IG)</t>
        </is>
      </c>
      <c r="E121" s="42" t="inlineStr">
        <is>
          <t>Facebook + Instagram</t>
        </is>
      </c>
      <c r="F121" s="42" t="inlineStr">
        <is>
          <t>LEP_ZA_AUG26_META_TD_AMUR_CONV</t>
        </is>
      </c>
      <c r="G121" s="42" t="inlineStr">
        <is>
          <t>Leads - Website Conversions</t>
        </is>
      </c>
      <c r="H121" s="42" t="inlineStr">
        <is>
          <t>AMUR</t>
        </is>
      </c>
      <c r="I121" s="42" t="inlineStr">
        <is>
          <t>0% Deposit</t>
        </is>
      </c>
      <c r="J121" s="42" t="inlineStr">
        <is>
          <t>MET_AMUR_LAL3_LEADS_ZA</t>
        </is>
      </c>
      <c r="K121" s="42" t="inlineStr">
        <is>
          <t>Lookalike</t>
        </is>
      </c>
      <c r="L121" s="42" t="inlineStr">
        <is>
          <t>AMUR_STA_Offer_0Dep_v1</t>
        </is>
      </c>
      <c r="M121" s="42" t="inlineStr">
        <is>
          <t>Static 1:1</t>
        </is>
      </c>
      <c r="N121" s="42" t="inlineStr">
        <is>
          <t>0% deposit. Book your test drive.</t>
        </is>
      </c>
      <c r="O121" s="42" t="inlineStr">
        <is>
          <t>Auction - Lowest Cost</t>
        </is>
      </c>
      <c r="P121" s="42" t="inlineStr">
        <is>
          <t>Offsite Conversions</t>
        </is>
      </c>
      <c r="Q121" s="42" t="inlineStr">
        <is>
          <t>https://www.lepas-sa.co.za/offers/amur</t>
        </is>
      </c>
      <c r="R121" s="115" t="n">
        <v>181.53</v>
      </c>
      <c r="S121" s="116" t="n">
        <v>3021</v>
      </c>
      <c r="T121" s="116" t="n">
        <v>1972</v>
      </c>
      <c r="U121" s="117">
        <f>IFERROR(S121/T121,"")</f>
        <v/>
      </c>
      <c r="V121" s="116" t="n">
        <v>42</v>
      </c>
      <c r="W121" s="116" t="n">
        <v>30</v>
      </c>
      <c r="X121" s="118">
        <f>IFERROR(W121/S121,"")</f>
        <v/>
      </c>
      <c r="Y121" s="115">
        <f>IFERROR(R121/W121,"")</f>
        <v/>
      </c>
      <c r="Z121" s="115">
        <f>IFERROR(R121/S121*1000,"")</f>
        <v/>
      </c>
      <c r="AA121" s="116" t="n">
        <v>26</v>
      </c>
      <c r="AB121" s="47">
        <f>IFERROR(AA121/W121,"")</f>
        <v/>
      </c>
      <c r="AC121" s="116" t="n">
        <v>0</v>
      </c>
      <c r="AD121" s="116" t="n">
        <v>0</v>
      </c>
      <c r="AE121" s="116" t="n">
        <v>0</v>
      </c>
      <c r="AF121" s="116" t="n">
        <v>0</v>
      </c>
      <c r="AG121" s="116" t="n">
        <v>0</v>
      </c>
      <c r="AH121" s="116" t="n">
        <v>0</v>
      </c>
      <c r="AI121" s="47">
        <f>IFERROR(AC121/S121,"")</f>
        <v/>
      </c>
      <c r="AJ121" s="47">
        <f>IFERROR(AH121/S121,"")</f>
        <v/>
      </c>
      <c r="AK121" s="116" t="n">
        <v>96</v>
      </c>
      <c r="AL121" s="116" t="n">
        <v>1</v>
      </c>
      <c r="AM121" s="118">
        <f>IFERROR(AL121/AA121,"")</f>
        <v/>
      </c>
      <c r="AN121" s="119">
        <f>IFERROR(R121/AL121,"")</f>
        <v/>
      </c>
      <c r="AO121" s="116" t="n">
        <v>0</v>
      </c>
      <c r="AP121" s="47">
        <f>IFERROR(AO121/AL121,"")</f>
        <v/>
      </c>
      <c r="AQ121" s="119">
        <f>IFERROR(R121/AO121,"")</f>
        <v/>
      </c>
      <c r="AR121" s="116" t="n">
        <v>1</v>
      </c>
      <c r="AS121" s="116" t="n">
        <v>0</v>
      </c>
      <c r="AT121" s="116">
        <f>AL121+AR121</f>
        <v/>
      </c>
      <c r="AU121" s="119">
        <f>IFERROR(AO121*Assumptions!$C$26*Assumptions!$C$27*INDEX(Assumptions!$C$18:$C$21,MATCH(H121,Assumptions!$B$18:$B$21,0)),0)</f>
        <v/>
      </c>
    </row>
    <row r="122">
      <c r="A122" s="114" t="n">
        <v>46242</v>
      </c>
      <c r="B122" s="42" t="inlineStr">
        <is>
          <t>Wk 32</t>
        </is>
      </c>
      <c r="C122" s="42" t="inlineStr">
        <is>
          <t>Sat</t>
        </is>
      </c>
      <c r="D122" s="42" t="inlineStr">
        <is>
          <t>Meta (FB/IG)</t>
        </is>
      </c>
      <c r="E122" s="42" t="inlineStr">
        <is>
          <t>Facebook + Instagram</t>
        </is>
      </c>
      <c r="F122" s="42" t="inlineStr">
        <is>
          <t>LEP_ZA_AUG26_META_TD_AMUR_CONV</t>
        </is>
      </c>
      <c r="G122" s="42" t="inlineStr">
        <is>
          <t>Leads - Website Conversions</t>
        </is>
      </c>
      <c r="H122" s="42" t="inlineStr">
        <is>
          <t>AMUR</t>
        </is>
      </c>
      <c r="I122" s="42" t="inlineStr">
        <is>
          <t>0% Deposit</t>
        </is>
      </c>
      <c r="J122" s="42" t="inlineStr">
        <is>
          <t>MET_AMUR_LAL3_LEADS_ZA</t>
        </is>
      </c>
      <c r="K122" s="42" t="inlineStr">
        <is>
          <t>Lookalike</t>
        </is>
      </c>
      <c r="L122" s="42" t="inlineStr">
        <is>
          <t>AMUR_STA_Offer_0Dep_v1</t>
        </is>
      </c>
      <c r="M122" s="42" t="inlineStr">
        <is>
          <t>Static 1:1</t>
        </is>
      </c>
      <c r="N122" s="42" t="inlineStr">
        <is>
          <t>0% deposit. Book your test drive.</t>
        </is>
      </c>
      <c r="O122" s="42" t="inlineStr">
        <is>
          <t>Auction - Lowest Cost</t>
        </is>
      </c>
      <c r="P122" s="42" t="inlineStr">
        <is>
          <t>Offsite Conversions</t>
        </is>
      </c>
      <c r="Q122" s="42" t="inlineStr">
        <is>
          <t>https://www.lepas-sa.co.za/offers/amur</t>
        </is>
      </c>
      <c r="R122" s="115" t="n">
        <v>202.2</v>
      </c>
      <c r="S122" s="116" t="n">
        <v>2966</v>
      </c>
      <c r="T122" s="116" t="n">
        <v>2441</v>
      </c>
      <c r="U122" s="117">
        <f>IFERROR(S122/T122,"")</f>
        <v/>
      </c>
      <c r="V122" s="116" t="n">
        <v>40</v>
      </c>
      <c r="W122" s="116" t="n">
        <v>31</v>
      </c>
      <c r="X122" s="118">
        <f>IFERROR(W122/S122,"")</f>
        <v/>
      </c>
      <c r="Y122" s="115">
        <f>IFERROR(R122/W122,"")</f>
        <v/>
      </c>
      <c r="Z122" s="115">
        <f>IFERROR(R122/S122*1000,"")</f>
        <v/>
      </c>
      <c r="AA122" s="116" t="n">
        <v>25</v>
      </c>
      <c r="AB122" s="47">
        <f>IFERROR(AA122/W122,"")</f>
        <v/>
      </c>
      <c r="AC122" s="116" t="n">
        <v>0</v>
      </c>
      <c r="AD122" s="116" t="n">
        <v>0</v>
      </c>
      <c r="AE122" s="116" t="n">
        <v>0</v>
      </c>
      <c r="AF122" s="116" t="n">
        <v>0</v>
      </c>
      <c r="AG122" s="116" t="n">
        <v>0</v>
      </c>
      <c r="AH122" s="116" t="n">
        <v>0</v>
      </c>
      <c r="AI122" s="47">
        <f>IFERROR(AC122/S122,"")</f>
        <v/>
      </c>
      <c r="AJ122" s="47">
        <f>IFERROR(AH122/S122,"")</f>
        <v/>
      </c>
      <c r="AK122" s="116" t="n">
        <v>66</v>
      </c>
      <c r="AL122" s="116" t="n">
        <v>1</v>
      </c>
      <c r="AM122" s="118">
        <f>IFERROR(AL122/AA122,"")</f>
        <v/>
      </c>
      <c r="AN122" s="119">
        <f>IFERROR(R122/AL122,"")</f>
        <v/>
      </c>
      <c r="AO122" s="116" t="n">
        <v>1</v>
      </c>
      <c r="AP122" s="47">
        <f>IFERROR(AO122/AL122,"")</f>
        <v/>
      </c>
      <c r="AQ122" s="119">
        <f>IFERROR(R122/AO122,"")</f>
        <v/>
      </c>
      <c r="AR122" s="116" t="n">
        <v>0</v>
      </c>
      <c r="AS122" s="116" t="n">
        <v>0</v>
      </c>
      <c r="AT122" s="116">
        <f>AL122+AR122</f>
        <v/>
      </c>
      <c r="AU122" s="119">
        <f>IFERROR(AO122*Assumptions!$C$26*Assumptions!$C$27*INDEX(Assumptions!$C$18:$C$21,MATCH(H122,Assumptions!$B$18:$B$21,0)),0)</f>
        <v/>
      </c>
    </row>
    <row r="123">
      <c r="A123" s="114" t="n">
        <v>46243</v>
      </c>
      <c r="B123" s="42" t="inlineStr">
        <is>
          <t>Wk 32</t>
        </is>
      </c>
      <c r="C123" s="42" t="inlineStr">
        <is>
          <t>Sun</t>
        </is>
      </c>
      <c r="D123" s="42" t="inlineStr">
        <is>
          <t>Meta (FB/IG)</t>
        </is>
      </c>
      <c r="E123" s="42" t="inlineStr">
        <is>
          <t>Facebook + Instagram</t>
        </is>
      </c>
      <c r="F123" s="42" t="inlineStr">
        <is>
          <t>LEP_ZA_AUG26_META_TD_AMUR_CONV</t>
        </is>
      </c>
      <c r="G123" s="42" t="inlineStr">
        <is>
          <t>Leads - Website Conversions</t>
        </is>
      </c>
      <c r="H123" s="42" t="inlineStr">
        <is>
          <t>AMUR</t>
        </is>
      </c>
      <c r="I123" s="42" t="inlineStr">
        <is>
          <t>0% Deposit</t>
        </is>
      </c>
      <c r="J123" s="42" t="inlineStr">
        <is>
          <t>MET_AMUR_LAL3_LEADS_ZA</t>
        </is>
      </c>
      <c r="K123" s="42" t="inlineStr">
        <is>
          <t>Lookalike</t>
        </is>
      </c>
      <c r="L123" s="42" t="inlineStr">
        <is>
          <t>AMUR_STA_Offer_0Dep_v1</t>
        </is>
      </c>
      <c r="M123" s="42" t="inlineStr">
        <is>
          <t>Static 1:1</t>
        </is>
      </c>
      <c r="N123" s="42" t="inlineStr">
        <is>
          <t>0% deposit. Book your test drive.</t>
        </is>
      </c>
      <c r="O123" s="42" t="inlineStr">
        <is>
          <t>Auction - Lowest Cost</t>
        </is>
      </c>
      <c r="P123" s="42" t="inlineStr">
        <is>
          <t>Offsite Conversions</t>
        </is>
      </c>
      <c r="Q123" s="42" t="inlineStr">
        <is>
          <t>https://www.lepas-sa.co.za/offers/amur</t>
        </is>
      </c>
      <c r="R123" s="115" t="n">
        <v>138.46</v>
      </c>
      <c r="S123" s="116" t="n">
        <v>1538</v>
      </c>
      <c r="T123" s="116" t="n">
        <v>892</v>
      </c>
      <c r="U123" s="117">
        <f>IFERROR(S123/T123,"")</f>
        <v/>
      </c>
      <c r="V123" s="116" t="n">
        <v>34</v>
      </c>
      <c r="W123" s="116" t="n">
        <v>28</v>
      </c>
      <c r="X123" s="118">
        <f>IFERROR(W123/S123,"")</f>
        <v/>
      </c>
      <c r="Y123" s="115">
        <f>IFERROR(R123/W123,"")</f>
        <v/>
      </c>
      <c r="Z123" s="115">
        <f>IFERROR(R123/S123*1000,"")</f>
        <v/>
      </c>
      <c r="AA123" s="116" t="n">
        <v>26</v>
      </c>
      <c r="AB123" s="47">
        <f>IFERROR(AA123/W123,"")</f>
        <v/>
      </c>
      <c r="AC123" s="116" t="n">
        <v>0</v>
      </c>
      <c r="AD123" s="116" t="n">
        <v>0</v>
      </c>
      <c r="AE123" s="116" t="n">
        <v>0</v>
      </c>
      <c r="AF123" s="116" t="n">
        <v>0</v>
      </c>
      <c r="AG123" s="116" t="n">
        <v>0</v>
      </c>
      <c r="AH123" s="116" t="n">
        <v>0</v>
      </c>
      <c r="AI123" s="47">
        <f>IFERROR(AC123/S123,"")</f>
        <v/>
      </c>
      <c r="AJ123" s="47">
        <f>IFERROR(AH123/S123,"")</f>
        <v/>
      </c>
      <c r="AK123" s="116" t="n">
        <v>36</v>
      </c>
      <c r="AL123" s="116" t="n">
        <v>1</v>
      </c>
      <c r="AM123" s="118">
        <f>IFERROR(AL123/AA123,"")</f>
        <v/>
      </c>
      <c r="AN123" s="119">
        <f>IFERROR(R123/AL123,"")</f>
        <v/>
      </c>
      <c r="AO123" s="116" t="n">
        <v>1</v>
      </c>
      <c r="AP123" s="47">
        <f>IFERROR(AO123/AL123,"")</f>
        <v/>
      </c>
      <c r="AQ123" s="119">
        <f>IFERROR(R123/AO123,"")</f>
        <v/>
      </c>
      <c r="AR123" s="116" t="n">
        <v>0</v>
      </c>
      <c r="AS123" s="116" t="n">
        <v>0</v>
      </c>
      <c r="AT123" s="116">
        <f>AL123+AR123</f>
        <v/>
      </c>
      <c r="AU123" s="119">
        <f>IFERROR(AO123*Assumptions!$C$26*Assumptions!$C$27*INDEX(Assumptions!$C$18:$C$21,MATCH(H123,Assumptions!$B$18:$B$21,0)),0)</f>
        <v/>
      </c>
    </row>
    <row r="124">
      <c r="A124" s="114" t="n">
        <v>46244</v>
      </c>
      <c r="B124" s="42" t="inlineStr">
        <is>
          <t>Wk 33</t>
        </is>
      </c>
      <c r="C124" s="42" t="inlineStr">
        <is>
          <t>Mon</t>
        </is>
      </c>
      <c r="D124" s="42" t="inlineStr">
        <is>
          <t>Meta (FB/IG)</t>
        </is>
      </c>
      <c r="E124" s="42" t="inlineStr">
        <is>
          <t>Facebook + Instagram</t>
        </is>
      </c>
      <c r="F124" s="42" t="inlineStr">
        <is>
          <t>LEP_ZA_AUG26_META_TD_AMUR_CONV</t>
        </is>
      </c>
      <c r="G124" s="42" t="inlineStr">
        <is>
          <t>Leads - Website Conversions</t>
        </is>
      </c>
      <c r="H124" s="42" t="inlineStr">
        <is>
          <t>AMUR</t>
        </is>
      </c>
      <c r="I124" s="42" t="inlineStr">
        <is>
          <t>0% Deposit</t>
        </is>
      </c>
      <c r="J124" s="42" t="inlineStr">
        <is>
          <t>MET_AMUR_LAL3_LEADS_ZA</t>
        </is>
      </c>
      <c r="K124" s="42" t="inlineStr">
        <is>
          <t>Lookalike</t>
        </is>
      </c>
      <c r="L124" s="42" t="inlineStr">
        <is>
          <t>AMUR_STA_Offer_0Dep_v1</t>
        </is>
      </c>
      <c r="M124" s="42" t="inlineStr">
        <is>
          <t>Static 1:1</t>
        </is>
      </c>
      <c r="N124" s="42" t="inlineStr">
        <is>
          <t>0% deposit. Book your test drive.</t>
        </is>
      </c>
      <c r="O124" s="42" t="inlineStr">
        <is>
          <t>Auction - Lowest Cost</t>
        </is>
      </c>
      <c r="P124" s="42" t="inlineStr">
        <is>
          <t>Offsite Conversions</t>
        </is>
      </c>
      <c r="Q124" s="42" t="inlineStr">
        <is>
          <t>https://www.lepas-sa.co.za/offers/amur</t>
        </is>
      </c>
      <c r="R124" s="115" t="n">
        <v>166.11</v>
      </c>
      <c r="S124" s="116" t="n">
        <v>2463</v>
      </c>
      <c r="T124" s="116" t="n">
        <v>1828</v>
      </c>
      <c r="U124" s="117">
        <f>IFERROR(S124/T124,"")</f>
        <v/>
      </c>
      <c r="V124" s="116" t="n">
        <v>68</v>
      </c>
      <c r="W124" s="116" t="n">
        <v>50</v>
      </c>
      <c r="X124" s="118">
        <f>IFERROR(W124/S124,"")</f>
        <v/>
      </c>
      <c r="Y124" s="115">
        <f>IFERROR(R124/W124,"")</f>
        <v/>
      </c>
      <c r="Z124" s="115">
        <f>IFERROR(R124/S124*1000,"")</f>
        <v/>
      </c>
      <c r="AA124" s="116" t="n">
        <v>40</v>
      </c>
      <c r="AB124" s="47">
        <f>IFERROR(AA124/W124,"")</f>
        <v/>
      </c>
      <c r="AC124" s="116" t="n">
        <v>0</v>
      </c>
      <c r="AD124" s="116" t="n">
        <v>0</v>
      </c>
      <c r="AE124" s="116" t="n">
        <v>0</v>
      </c>
      <c r="AF124" s="116" t="n">
        <v>0</v>
      </c>
      <c r="AG124" s="116" t="n">
        <v>0</v>
      </c>
      <c r="AH124" s="116" t="n">
        <v>0</v>
      </c>
      <c r="AI124" s="47">
        <f>IFERROR(AC124/S124,"")</f>
        <v/>
      </c>
      <c r="AJ124" s="47">
        <f>IFERROR(AH124/S124,"")</f>
        <v/>
      </c>
      <c r="AK124" s="116" t="n">
        <v>31</v>
      </c>
      <c r="AL124" s="116" t="n">
        <v>2</v>
      </c>
      <c r="AM124" s="118">
        <f>IFERROR(AL124/AA124,"")</f>
        <v/>
      </c>
      <c r="AN124" s="119">
        <f>IFERROR(R124/AL124,"")</f>
        <v/>
      </c>
      <c r="AO124" s="116" t="n">
        <v>1</v>
      </c>
      <c r="AP124" s="47">
        <f>IFERROR(AO124/AL124,"")</f>
        <v/>
      </c>
      <c r="AQ124" s="119">
        <f>IFERROR(R124/AO124,"")</f>
        <v/>
      </c>
      <c r="AR124" s="116" t="n">
        <v>0</v>
      </c>
      <c r="AS124" s="116" t="n">
        <v>0</v>
      </c>
      <c r="AT124" s="116">
        <f>AL124+AR124</f>
        <v/>
      </c>
      <c r="AU124" s="119">
        <f>IFERROR(AO124*Assumptions!$C$26*Assumptions!$C$27*INDEX(Assumptions!$C$18:$C$21,MATCH(H124,Assumptions!$B$18:$B$21,0)),0)</f>
        <v/>
      </c>
    </row>
    <row r="125">
      <c r="A125" s="114" t="n">
        <v>46245</v>
      </c>
      <c r="B125" s="42" t="inlineStr">
        <is>
          <t>Wk 33</t>
        </is>
      </c>
      <c r="C125" s="42" t="inlineStr">
        <is>
          <t>Tue</t>
        </is>
      </c>
      <c r="D125" s="42" t="inlineStr">
        <is>
          <t>Meta (FB/IG)</t>
        </is>
      </c>
      <c r="E125" s="42" t="inlineStr">
        <is>
          <t>Facebook + Instagram</t>
        </is>
      </c>
      <c r="F125" s="42" t="inlineStr">
        <is>
          <t>LEP_ZA_AUG26_META_TD_AMUR_CONV</t>
        </is>
      </c>
      <c r="G125" s="42" t="inlineStr">
        <is>
          <t>Leads - Website Conversions</t>
        </is>
      </c>
      <c r="H125" s="42" t="inlineStr">
        <is>
          <t>AMUR</t>
        </is>
      </c>
      <c r="I125" s="42" t="inlineStr">
        <is>
          <t>0% Deposit</t>
        </is>
      </c>
      <c r="J125" s="42" t="inlineStr">
        <is>
          <t>MET_AMUR_LAL3_LEADS_ZA</t>
        </is>
      </c>
      <c r="K125" s="42" t="inlineStr">
        <is>
          <t>Lookalike</t>
        </is>
      </c>
      <c r="L125" s="42" t="inlineStr">
        <is>
          <t>AMUR_STA_Offer_0Dep_v1</t>
        </is>
      </c>
      <c r="M125" s="42" t="inlineStr">
        <is>
          <t>Static 1:1</t>
        </is>
      </c>
      <c r="N125" s="42" t="inlineStr">
        <is>
          <t>0% deposit. Book your test drive.</t>
        </is>
      </c>
      <c r="O125" s="42" t="inlineStr">
        <is>
          <t>Auction - Lowest Cost</t>
        </is>
      </c>
      <c r="P125" s="42" t="inlineStr">
        <is>
          <t>Offsite Conversions</t>
        </is>
      </c>
      <c r="Q125" s="42" t="inlineStr">
        <is>
          <t>https://www.lepas-sa.co.za/offers/amur</t>
        </is>
      </c>
      <c r="R125" s="115" t="n">
        <v>168.09</v>
      </c>
      <c r="S125" s="116" t="n">
        <v>1755</v>
      </c>
      <c r="T125" s="116" t="n">
        <v>1130</v>
      </c>
      <c r="U125" s="117">
        <f>IFERROR(S125/T125,"")</f>
        <v/>
      </c>
      <c r="V125" s="116" t="n">
        <v>27</v>
      </c>
      <c r="W125" s="116" t="n">
        <v>20</v>
      </c>
      <c r="X125" s="118">
        <f>IFERROR(W125/S125,"")</f>
        <v/>
      </c>
      <c r="Y125" s="115">
        <f>IFERROR(R125/W125,"")</f>
        <v/>
      </c>
      <c r="Z125" s="115">
        <f>IFERROR(R125/S125*1000,"")</f>
        <v/>
      </c>
      <c r="AA125" s="116" t="n">
        <v>17</v>
      </c>
      <c r="AB125" s="47">
        <f>IFERROR(AA125/W125,"")</f>
        <v/>
      </c>
      <c r="AC125" s="116" t="n">
        <v>0</v>
      </c>
      <c r="AD125" s="116" t="n">
        <v>0</v>
      </c>
      <c r="AE125" s="116" t="n">
        <v>0</v>
      </c>
      <c r="AF125" s="116" t="n">
        <v>0</v>
      </c>
      <c r="AG125" s="116" t="n">
        <v>0</v>
      </c>
      <c r="AH125" s="116" t="n">
        <v>0</v>
      </c>
      <c r="AI125" s="47">
        <f>IFERROR(AC125/S125,"")</f>
        <v/>
      </c>
      <c r="AJ125" s="47">
        <f>IFERROR(AH125/S125,"")</f>
        <v/>
      </c>
      <c r="AK125" s="116" t="n">
        <v>53</v>
      </c>
      <c r="AL125" s="116" t="n">
        <v>0</v>
      </c>
      <c r="AM125" s="118">
        <f>IFERROR(AL125/AA125,"")</f>
        <v/>
      </c>
      <c r="AN125" s="119">
        <f>IFERROR(R125/AL125,"")</f>
        <v/>
      </c>
      <c r="AO125" s="116" t="n">
        <v>0</v>
      </c>
      <c r="AP125" s="47">
        <f>IFERROR(AO125/AL125,"")</f>
        <v/>
      </c>
      <c r="AQ125" s="119">
        <f>IFERROR(R125/AO125,"")</f>
        <v/>
      </c>
      <c r="AR125" s="116" t="n">
        <v>0</v>
      </c>
      <c r="AS125" s="116" t="n">
        <v>0</v>
      </c>
      <c r="AT125" s="116">
        <f>AL125+AR125</f>
        <v/>
      </c>
      <c r="AU125" s="119">
        <f>IFERROR(AO125*Assumptions!$C$26*Assumptions!$C$27*INDEX(Assumptions!$C$18:$C$21,MATCH(H125,Assumptions!$B$18:$B$21,0)),0)</f>
        <v/>
      </c>
    </row>
    <row r="126">
      <c r="A126" s="114" t="n">
        <v>46246</v>
      </c>
      <c r="B126" s="42" t="inlineStr">
        <is>
          <t>Wk 33</t>
        </is>
      </c>
      <c r="C126" s="42" t="inlineStr">
        <is>
          <t>Wed</t>
        </is>
      </c>
      <c r="D126" s="42" t="inlineStr">
        <is>
          <t>Meta (FB/IG)</t>
        </is>
      </c>
      <c r="E126" s="42" t="inlineStr">
        <is>
          <t>Facebook + Instagram</t>
        </is>
      </c>
      <c r="F126" s="42" t="inlineStr">
        <is>
          <t>LEP_ZA_AUG26_META_TD_AMUR_CONV</t>
        </is>
      </c>
      <c r="G126" s="42" t="inlineStr">
        <is>
          <t>Leads - Website Conversions</t>
        </is>
      </c>
      <c r="H126" s="42" t="inlineStr">
        <is>
          <t>AMUR</t>
        </is>
      </c>
      <c r="I126" s="42" t="inlineStr">
        <is>
          <t>0% Deposit</t>
        </is>
      </c>
      <c r="J126" s="42" t="inlineStr">
        <is>
          <t>MET_AMUR_LAL3_LEADS_ZA</t>
        </is>
      </c>
      <c r="K126" s="42" t="inlineStr">
        <is>
          <t>Lookalike</t>
        </is>
      </c>
      <c r="L126" s="42" t="inlineStr">
        <is>
          <t>AMUR_STA_Offer_0Dep_v1</t>
        </is>
      </c>
      <c r="M126" s="42" t="inlineStr">
        <is>
          <t>Static 1:1</t>
        </is>
      </c>
      <c r="N126" s="42" t="inlineStr">
        <is>
          <t>0% deposit. Book your test drive.</t>
        </is>
      </c>
      <c r="O126" s="42" t="inlineStr">
        <is>
          <t>Auction - Lowest Cost</t>
        </is>
      </c>
      <c r="P126" s="42" t="inlineStr">
        <is>
          <t>Offsite Conversions</t>
        </is>
      </c>
      <c r="Q126" s="42" t="inlineStr">
        <is>
          <t>https://www.lepas-sa.co.za/offers/amur</t>
        </is>
      </c>
      <c r="R126" s="115" t="n">
        <v>199.64</v>
      </c>
      <c r="S126" s="116" t="n">
        <v>2796</v>
      </c>
      <c r="T126" s="116" t="n">
        <v>1659</v>
      </c>
      <c r="U126" s="117">
        <f>IFERROR(S126/T126,"")</f>
        <v/>
      </c>
      <c r="V126" s="116" t="n">
        <v>68</v>
      </c>
      <c r="W126" s="116" t="n">
        <v>52</v>
      </c>
      <c r="X126" s="118">
        <f>IFERROR(W126/S126,"")</f>
        <v/>
      </c>
      <c r="Y126" s="115">
        <f>IFERROR(R126/W126,"")</f>
        <v/>
      </c>
      <c r="Z126" s="115">
        <f>IFERROR(R126/S126*1000,"")</f>
        <v/>
      </c>
      <c r="AA126" s="116" t="n">
        <v>43</v>
      </c>
      <c r="AB126" s="47">
        <f>IFERROR(AA126/W126,"")</f>
        <v/>
      </c>
      <c r="AC126" s="116" t="n">
        <v>0</v>
      </c>
      <c r="AD126" s="116" t="n">
        <v>0</v>
      </c>
      <c r="AE126" s="116" t="n">
        <v>0</v>
      </c>
      <c r="AF126" s="116" t="n">
        <v>0</v>
      </c>
      <c r="AG126" s="116" t="n">
        <v>0</v>
      </c>
      <c r="AH126" s="116" t="n">
        <v>0</v>
      </c>
      <c r="AI126" s="47">
        <f>IFERROR(AC126/S126,"")</f>
        <v/>
      </c>
      <c r="AJ126" s="47">
        <f>IFERROR(AH126/S126,"")</f>
        <v/>
      </c>
      <c r="AK126" s="116" t="n">
        <v>46</v>
      </c>
      <c r="AL126" s="116" t="n">
        <v>1</v>
      </c>
      <c r="AM126" s="118">
        <f>IFERROR(AL126/AA126,"")</f>
        <v/>
      </c>
      <c r="AN126" s="119">
        <f>IFERROR(R126/AL126,"")</f>
        <v/>
      </c>
      <c r="AO126" s="116" t="n">
        <v>0</v>
      </c>
      <c r="AP126" s="47">
        <f>IFERROR(AO126/AL126,"")</f>
        <v/>
      </c>
      <c r="AQ126" s="119">
        <f>IFERROR(R126/AO126,"")</f>
        <v/>
      </c>
      <c r="AR126" s="116" t="n">
        <v>1</v>
      </c>
      <c r="AS126" s="116" t="n">
        <v>0</v>
      </c>
      <c r="AT126" s="116">
        <f>AL126+AR126</f>
        <v/>
      </c>
      <c r="AU126" s="119">
        <f>IFERROR(AO126*Assumptions!$C$26*Assumptions!$C$27*INDEX(Assumptions!$C$18:$C$21,MATCH(H126,Assumptions!$B$18:$B$21,0)),0)</f>
        <v/>
      </c>
    </row>
    <row r="127">
      <c r="A127" s="114" t="n">
        <v>46247</v>
      </c>
      <c r="B127" s="42" t="inlineStr">
        <is>
          <t>Wk 33</t>
        </is>
      </c>
      <c r="C127" s="42" t="inlineStr">
        <is>
          <t>Thu</t>
        </is>
      </c>
      <c r="D127" s="42" t="inlineStr">
        <is>
          <t>Meta (FB/IG)</t>
        </is>
      </c>
      <c r="E127" s="42" t="inlineStr">
        <is>
          <t>Facebook + Instagram</t>
        </is>
      </c>
      <c r="F127" s="42" t="inlineStr">
        <is>
          <t>LEP_ZA_AUG26_META_TD_AMUR_CONV</t>
        </is>
      </c>
      <c r="G127" s="42" t="inlineStr">
        <is>
          <t>Leads - Website Conversions</t>
        </is>
      </c>
      <c r="H127" s="42" t="inlineStr">
        <is>
          <t>AMUR</t>
        </is>
      </c>
      <c r="I127" s="42" t="inlineStr">
        <is>
          <t>0% Deposit</t>
        </is>
      </c>
      <c r="J127" s="42" t="inlineStr">
        <is>
          <t>MET_AMUR_LAL3_LEADS_ZA</t>
        </is>
      </c>
      <c r="K127" s="42" t="inlineStr">
        <is>
          <t>Lookalike</t>
        </is>
      </c>
      <c r="L127" s="42" t="inlineStr">
        <is>
          <t>AMUR_STA_Offer_0Dep_v1</t>
        </is>
      </c>
      <c r="M127" s="42" t="inlineStr">
        <is>
          <t>Static 1:1</t>
        </is>
      </c>
      <c r="N127" s="42" t="inlineStr">
        <is>
          <t>0% deposit. Book your test drive.</t>
        </is>
      </c>
      <c r="O127" s="42" t="inlineStr">
        <is>
          <t>Auction - Lowest Cost</t>
        </is>
      </c>
      <c r="P127" s="42" t="inlineStr">
        <is>
          <t>Offsite Conversions</t>
        </is>
      </c>
      <c r="Q127" s="42" t="inlineStr">
        <is>
          <t>https://www.lepas-sa.co.za/offers/amur</t>
        </is>
      </c>
      <c r="R127" s="115" t="n">
        <v>205.16</v>
      </c>
      <c r="S127" s="116" t="n">
        <v>2929</v>
      </c>
      <c r="T127" s="116" t="n">
        <v>2077</v>
      </c>
      <c r="U127" s="117">
        <f>IFERROR(S127/T127,"")</f>
        <v/>
      </c>
      <c r="V127" s="116" t="n">
        <v>69</v>
      </c>
      <c r="W127" s="116" t="n">
        <v>54</v>
      </c>
      <c r="X127" s="118">
        <f>IFERROR(W127/S127,"")</f>
        <v/>
      </c>
      <c r="Y127" s="115">
        <f>IFERROR(R127/W127,"")</f>
        <v/>
      </c>
      <c r="Z127" s="115">
        <f>IFERROR(R127/S127*1000,"")</f>
        <v/>
      </c>
      <c r="AA127" s="116" t="n">
        <v>49</v>
      </c>
      <c r="AB127" s="47">
        <f>IFERROR(AA127/W127,"")</f>
        <v/>
      </c>
      <c r="AC127" s="116" t="n">
        <v>0</v>
      </c>
      <c r="AD127" s="116" t="n">
        <v>0</v>
      </c>
      <c r="AE127" s="116" t="n">
        <v>0</v>
      </c>
      <c r="AF127" s="116" t="n">
        <v>0</v>
      </c>
      <c r="AG127" s="116" t="n">
        <v>0</v>
      </c>
      <c r="AH127" s="116" t="n">
        <v>0</v>
      </c>
      <c r="AI127" s="47">
        <f>IFERROR(AC127/S127,"")</f>
        <v/>
      </c>
      <c r="AJ127" s="47">
        <f>IFERROR(AH127/S127,"")</f>
        <v/>
      </c>
      <c r="AK127" s="116" t="n">
        <v>101</v>
      </c>
      <c r="AL127" s="116" t="n">
        <v>1</v>
      </c>
      <c r="AM127" s="118">
        <f>IFERROR(AL127/AA127,"")</f>
        <v/>
      </c>
      <c r="AN127" s="119">
        <f>IFERROR(R127/AL127,"")</f>
        <v/>
      </c>
      <c r="AO127" s="116" t="n">
        <v>0</v>
      </c>
      <c r="AP127" s="47">
        <f>IFERROR(AO127/AL127,"")</f>
        <v/>
      </c>
      <c r="AQ127" s="119">
        <f>IFERROR(R127/AO127,"")</f>
        <v/>
      </c>
      <c r="AR127" s="116" t="n">
        <v>0</v>
      </c>
      <c r="AS127" s="116" t="n">
        <v>0</v>
      </c>
      <c r="AT127" s="116">
        <f>AL127+AR127</f>
        <v/>
      </c>
      <c r="AU127" s="119">
        <f>IFERROR(AO127*Assumptions!$C$26*Assumptions!$C$27*INDEX(Assumptions!$C$18:$C$21,MATCH(H127,Assumptions!$B$18:$B$21,0)),0)</f>
        <v/>
      </c>
    </row>
    <row r="128">
      <c r="A128" s="114" t="n">
        <v>46248</v>
      </c>
      <c r="B128" s="42" t="inlineStr">
        <is>
          <t>Wk 33</t>
        </is>
      </c>
      <c r="C128" s="42" t="inlineStr">
        <is>
          <t>Fri</t>
        </is>
      </c>
      <c r="D128" s="42" t="inlineStr">
        <is>
          <t>Meta (FB/IG)</t>
        </is>
      </c>
      <c r="E128" s="42" t="inlineStr">
        <is>
          <t>Facebook + Instagram</t>
        </is>
      </c>
      <c r="F128" s="42" t="inlineStr">
        <is>
          <t>LEP_ZA_AUG26_META_TD_AMUR_CONV</t>
        </is>
      </c>
      <c r="G128" s="42" t="inlineStr">
        <is>
          <t>Leads - Website Conversions</t>
        </is>
      </c>
      <c r="H128" s="42" t="inlineStr">
        <is>
          <t>AMUR</t>
        </is>
      </c>
      <c r="I128" s="42" t="inlineStr">
        <is>
          <t>0% Deposit</t>
        </is>
      </c>
      <c r="J128" s="42" t="inlineStr">
        <is>
          <t>MET_AMUR_LAL3_LEADS_ZA</t>
        </is>
      </c>
      <c r="K128" s="42" t="inlineStr">
        <is>
          <t>Lookalike</t>
        </is>
      </c>
      <c r="L128" s="42" t="inlineStr">
        <is>
          <t>AMUR_STA_Offer_0Dep_v1</t>
        </is>
      </c>
      <c r="M128" s="42" t="inlineStr">
        <is>
          <t>Static 1:1</t>
        </is>
      </c>
      <c r="N128" s="42" t="inlineStr">
        <is>
          <t>0% deposit. Book your test drive.</t>
        </is>
      </c>
      <c r="O128" s="42" t="inlineStr">
        <is>
          <t>Auction - Lowest Cost</t>
        </is>
      </c>
      <c r="P128" s="42" t="inlineStr">
        <is>
          <t>Offsite Conversions</t>
        </is>
      </c>
      <c r="Q128" s="42" t="inlineStr">
        <is>
          <t>https://www.lepas-sa.co.za/offers/amur</t>
        </is>
      </c>
      <c r="R128" s="115" t="n">
        <v>217.96</v>
      </c>
      <c r="S128" s="116" t="n">
        <v>2940</v>
      </c>
      <c r="T128" s="116" t="n">
        <v>2233</v>
      </c>
      <c r="U128" s="117">
        <f>IFERROR(S128/T128,"")</f>
        <v/>
      </c>
      <c r="V128" s="116" t="n">
        <v>65</v>
      </c>
      <c r="W128" s="116" t="n">
        <v>48</v>
      </c>
      <c r="X128" s="118">
        <f>IFERROR(W128/S128,"")</f>
        <v/>
      </c>
      <c r="Y128" s="115">
        <f>IFERROR(R128/W128,"")</f>
        <v/>
      </c>
      <c r="Z128" s="115">
        <f>IFERROR(R128/S128*1000,"")</f>
        <v/>
      </c>
      <c r="AA128" s="116" t="n">
        <v>40</v>
      </c>
      <c r="AB128" s="47">
        <f>IFERROR(AA128/W128,"")</f>
        <v/>
      </c>
      <c r="AC128" s="116" t="n">
        <v>0</v>
      </c>
      <c r="AD128" s="116" t="n">
        <v>0</v>
      </c>
      <c r="AE128" s="116" t="n">
        <v>0</v>
      </c>
      <c r="AF128" s="116" t="n">
        <v>0</v>
      </c>
      <c r="AG128" s="116" t="n">
        <v>0</v>
      </c>
      <c r="AH128" s="116" t="n">
        <v>0</v>
      </c>
      <c r="AI128" s="47">
        <f>IFERROR(AC128/S128,"")</f>
        <v/>
      </c>
      <c r="AJ128" s="47">
        <f>IFERROR(AH128/S128,"")</f>
        <v/>
      </c>
      <c r="AK128" s="116" t="n">
        <v>52</v>
      </c>
      <c r="AL128" s="116" t="n">
        <v>2</v>
      </c>
      <c r="AM128" s="118">
        <f>IFERROR(AL128/AA128,"")</f>
        <v/>
      </c>
      <c r="AN128" s="119">
        <f>IFERROR(R128/AL128,"")</f>
        <v/>
      </c>
      <c r="AO128" s="116" t="n">
        <v>1</v>
      </c>
      <c r="AP128" s="47">
        <f>IFERROR(AO128/AL128,"")</f>
        <v/>
      </c>
      <c r="AQ128" s="119">
        <f>IFERROR(R128/AO128,"")</f>
        <v/>
      </c>
      <c r="AR128" s="116" t="n">
        <v>1</v>
      </c>
      <c r="AS128" s="116" t="n">
        <v>0</v>
      </c>
      <c r="AT128" s="116">
        <f>AL128+AR128</f>
        <v/>
      </c>
      <c r="AU128" s="119">
        <f>IFERROR(AO128*Assumptions!$C$26*Assumptions!$C$27*INDEX(Assumptions!$C$18:$C$21,MATCH(H128,Assumptions!$B$18:$B$21,0)),0)</f>
        <v/>
      </c>
    </row>
    <row r="129">
      <c r="A129" s="114" t="n">
        <v>46249</v>
      </c>
      <c r="B129" s="42" t="inlineStr">
        <is>
          <t>Wk 33</t>
        </is>
      </c>
      <c r="C129" s="42" t="inlineStr">
        <is>
          <t>Sat</t>
        </is>
      </c>
      <c r="D129" s="42" t="inlineStr">
        <is>
          <t>Meta (FB/IG)</t>
        </is>
      </c>
      <c r="E129" s="42" t="inlineStr">
        <is>
          <t>Facebook + Instagram</t>
        </is>
      </c>
      <c r="F129" s="42" t="inlineStr">
        <is>
          <t>LEP_ZA_AUG26_META_TD_AMUR_CONV</t>
        </is>
      </c>
      <c r="G129" s="42" t="inlineStr">
        <is>
          <t>Leads - Website Conversions</t>
        </is>
      </c>
      <c r="H129" s="42" t="inlineStr">
        <is>
          <t>AMUR</t>
        </is>
      </c>
      <c r="I129" s="42" t="inlineStr">
        <is>
          <t>0% Deposit</t>
        </is>
      </c>
      <c r="J129" s="42" t="inlineStr">
        <is>
          <t>MET_AMUR_LAL3_LEADS_ZA</t>
        </is>
      </c>
      <c r="K129" s="42" t="inlineStr">
        <is>
          <t>Lookalike</t>
        </is>
      </c>
      <c r="L129" s="42" t="inlineStr">
        <is>
          <t>AMUR_STA_Offer_0Dep_v1</t>
        </is>
      </c>
      <c r="M129" s="42" t="inlineStr">
        <is>
          <t>Static 1:1</t>
        </is>
      </c>
      <c r="N129" s="42" t="inlineStr">
        <is>
          <t>0% deposit. Book your test drive.</t>
        </is>
      </c>
      <c r="O129" s="42" t="inlineStr">
        <is>
          <t>Auction - Lowest Cost</t>
        </is>
      </c>
      <c r="P129" s="42" t="inlineStr">
        <is>
          <t>Offsite Conversions</t>
        </is>
      </c>
      <c r="Q129" s="42" t="inlineStr">
        <is>
          <t>https://www.lepas-sa.co.za/offers/amur</t>
        </is>
      </c>
      <c r="R129" s="115" t="n">
        <v>195.29</v>
      </c>
      <c r="S129" s="116" t="n">
        <v>3188</v>
      </c>
      <c r="T129" s="116" t="n">
        <v>1788</v>
      </c>
      <c r="U129" s="117">
        <f>IFERROR(S129/T129,"")</f>
        <v/>
      </c>
      <c r="V129" s="116" t="n">
        <v>41</v>
      </c>
      <c r="W129" s="116" t="n">
        <v>31</v>
      </c>
      <c r="X129" s="118">
        <f>IFERROR(W129/S129,"")</f>
        <v/>
      </c>
      <c r="Y129" s="115">
        <f>IFERROR(R129/W129,"")</f>
        <v/>
      </c>
      <c r="Z129" s="115">
        <f>IFERROR(R129/S129*1000,"")</f>
        <v/>
      </c>
      <c r="AA129" s="116" t="n">
        <v>28</v>
      </c>
      <c r="AB129" s="47">
        <f>IFERROR(AA129/W129,"")</f>
        <v/>
      </c>
      <c r="AC129" s="116" t="n">
        <v>0</v>
      </c>
      <c r="AD129" s="116" t="n">
        <v>0</v>
      </c>
      <c r="AE129" s="116" t="n">
        <v>0</v>
      </c>
      <c r="AF129" s="116" t="n">
        <v>0</v>
      </c>
      <c r="AG129" s="116" t="n">
        <v>0</v>
      </c>
      <c r="AH129" s="116" t="n">
        <v>0</v>
      </c>
      <c r="AI129" s="47">
        <f>IFERROR(AC129/S129,"")</f>
        <v/>
      </c>
      <c r="AJ129" s="47">
        <f>IFERROR(AH129/S129,"")</f>
        <v/>
      </c>
      <c r="AK129" s="116" t="n">
        <v>57</v>
      </c>
      <c r="AL129" s="116" t="n">
        <v>1</v>
      </c>
      <c r="AM129" s="118">
        <f>IFERROR(AL129/AA129,"")</f>
        <v/>
      </c>
      <c r="AN129" s="119">
        <f>IFERROR(R129/AL129,"")</f>
        <v/>
      </c>
      <c r="AO129" s="116" t="n">
        <v>1</v>
      </c>
      <c r="AP129" s="47">
        <f>IFERROR(AO129/AL129,"")</f>
        <v/>
      </c>
      <c r="AQ129" s="119">
        <f>IFERROR(R129/AO129,"")</f>
        <v/>
      </c>
      <c r="AR129" s="116" t="n">
        <v>0</v>
      </c>
      <c r="AS129" s="116" t="n">
        <v>0</v>
      </c>
      <c r="AT129" s="116">
        <f>AL129+AR129</f>
        <v/>
      </c>
      <c r="AU129" s="119">
        <f>IFERROR(AO129*Assumptions!$C$26*Assumptions!$C$27*INDEX(Assumptions!$C$18:$C$21,MATCH(H129,Assumptions!$B$18:$B$21,0)),0)</f>
        <v/>
      </c>
    </row>
    <row r="130">
      <c r="A130" s="114" t="n">
        <v>46250</v>
      </c>
      <c r="B130" s="42" t="inlineStr">
        <is>
          <t>Wk 33</t>
        </is>
      </c>
      <c r="C130" s="42" t="inlineStr">
        <is>
          <t>Sun</t>
        </is>
      </c>
      <c r="D130" s="42" t="inlineStr">
        <is>
          <t>Meta (FB/IG)</t>
        </is>
      </c>
      <c r="E130" s="42" t="inlineStr">
        <is>
          <t>Facebook + Instagram</t>
        </is>
      </c>
      <c r="F130" s="42" t="inlineStr">
        <is>
          <t>LEP_ZA_AUG26_META_TD_AMUR_CONV</t>
        </is>
      </c>
      <c r="G130" s="42" t="inlineStr">
        <is>
          <t>Leads - Website Conversions</t>
        </is>
      </c>
      <c r="H130" s="42" t="inlineStr">
        <is>
          <t>AMUR</t>
        </is>
      </c>
      <c r="I130" s="42" t="inlineStr">
        <is>
          <t>0% Deposit</t>
        </is>
      </c>
      <c r="J130" s="42" t="inlineStr">
        <is>
          <t>MET_AMUR_LAL3_LEADS_ZA</t>
        </is>
      </c>
      <c r="K130" s="42" t="inlineStr">
        <is>
          <t>Lookalike</t>
        </is>
      </c>
      <c r="L130" s="42" t="inlineStr">
        <is>
          <t>AMUR_STA_Offer_0Dep_v1</t>
        </is>
      </c>
      <c r="M130" s="42" t="inlineStr">
        <is>
          <t>Static 1:1</t>
        </is>
      </c>
      <c r="N130" s="42" t="inlineStr">
        <is>
          <t>0% deposit. Book your test drive.</t>
        </is>
      </c>
      <c r="O130" s="42" t="inlineStr">
        <is>
          <t>Auction - Lowest Cost</t>
        </is>
      </c>
      <c r="P130" s="42" t="inlineStr">
        <is>
          <t>Offsite Conversions</t>
        </is>
      </c>
      <c r="Q130" s="42" t="inlineStr">
        <is>
          <t>https://www.lepas-sa.co.za/offers/amur</t>
        </is>
      </c>
      <c r="R130" s="115" t="n">
        <v>133.54</v>
      </c>
      <c r="S130" s="116" t="n">
        <v>2097</v>
      </c>
      <c r="T130" s="116" t="n">
        <v>1376</v>
      </c>
      <c r="U130" s="117">
        <f>IFERROR(S130/T130,"")</f>
        <v/>
      </c>
      <c r="V130" s="116" t="n">
        <v>26</v>
      </c>
      <c r="W130" s="116" t="n">
        <v>20</v>
      </c>
      <c r="X130" s="118">
        <f>IFERROR(W130/S130,"")</f>
        <v/>
      </c>
      <c r="Y130" s="115">
        <f>IFERROR(R130/W130,"")</f>
        <v/>
      </c>
      <c r="Z130" s="115">
        <f>IFERROR(R130/S130*1000,"")</f>
        <v/>
      </c>
      <c r="AA130" s="116" t="n">
        <v>17</v>
      </c>
      <c r="AB130" s="47">
        <f>IFERROR(AA130/W130,"")</f>
        <v/>
      </c>
      <c r="AC130" s="116" t="n">
        <v>0</v>
      </c>
      <c r="AD130" s="116" t="n">
        <v>0</v>
      </c>
      <c r="AE130" s="116" t="n">
        <v>0</v>
      </c>
      <c r="AF130" s="116" t="n">
        <v>0</v>
      </c>
      <c r="AG130" s="116" t="n">
        <v>0</v>
      </c>
      <c r="AH130" s="116" t="n">
        <v>0</v>
      </c>
      <c r="AI130" s="47">
        <f>IFERROR(AC130/S130,"")</f>
        <v/>
      </c>
      <c r="AJ130" s="47">
        <f>IFERROR(AH130/S130,"")</f>
        <v/>
      </c>
      <c r="AK130" s="116" t="n">
        <v>72</v>
      </c>
      <c r="AL130" s="116" t="n">
        <v>0</v>
      </c>
      <c r="AM130" s="118">
        <f>IFERROR(AL130/AA130,"")</f>
        <v/>
      </c>
      <c r="AN130" s="119">
        <f>IFERROR(R130/AL130,"")</f>
        <v/>
      </c>
      <c r="AO130" s="116" t="n">
        <v>0</v>
      </c>
      <c r="AP130" s="47">
        <f>IFERROR(AO130/AL130,"")</f>
        <v/>
      </c>
      <c r="AQ130" s="119">
        <f>IFERROR(R130/AO130,"")</f>
        <v/>
      </c>
      <c r="AR130" s="116" t="n">
        <v>0</v>
      </c>
      <c r="AS130" s="116" t="n">
        <v>0</v>
      </c>
      <c r="AT130" s="116">
        <f>AL130+AR130</f>
        <v/>
      </c>
      <c r="AU130" s="119">
        <f>IFERROR(AO130*Assumptions!$C$26*Assumptions!$C$27*INDEX(Assumptions!$C$18:$C$21,MATCH(H130,Assumptions!$B$18:$B$21,0)),0)</f>
        <v/>
      </c>
    </row>
    <row r="131">
      <c r="A131" s="114" t="n">
        <v>46251</v>
      </c>
      <c r="B131" s="42" t="inlineStr">
        <is>
          <t>Wk 34</t>
        </is>
      </c>
      <c r="C131" s="42" t="inlineStr">
        <is>
          <t>Mon</t>
        </is>
      </c>
      <c r="D131" s="42" t="inlineStr">
        <is>
          <t>Meta (FB/IG)</t>
        </is>
      </c>
      <c r="E131" s="42" t="inlineStr">
        <is>
          <t>Facebook + Instagram</t>
        </is>
      </c>
      <c r="F131" s="42" t="inlineStr">
        <is>
          <t>LEP_ZA_AUG26_META_TD_AMUR_CONV</t>
        </is>
      </c>
      <c r="G131" s="42" t="inlineStr">
        <is>
          <t>Leads - Website Conversions</t>
        </is>
      </c>
      <c r="H131" s="42" t="inlineStr">
        <is>
          <t>AMUR</t>
        </is>
      </c>
      <c r="I131" s="42" t="inlineStr">
        <is>
          <t>0% Deposit</t>
        </is>
      </c>
      <c r="J131" s="42" t="inlineStr">
        <is>
          <t>MET_AMUR_LAL3_LEADS_ZA</t>
        </is>
      </c>
      <c r="K131" s="42" t="inlineStr">
        <is>
          <t>Lookalike</t>
        </is>
      </c>
      <c r="L131" s="42" t="inlineStr">
        <is>
          <t>AMUR_STA_Offer_0Dep_v1</t>
        </is>
      </c>
      <c r="M131" s="42" t="inlineStr">
        <is>
          <t>Static 1:1</t>
        </is>
      </c>
      <c r="N131" s="42" t="inlineStr">
        <is>
          <t>0% deposit. Book your test drive.</t>
        </is>
      </c>
      <c r="O131" s="42" t="inlineStr">
        <is>
          <t>Auction - Lowest Cost</t>
        </is>
      </c>
      <c r="P131" s="42" t="inlineStr">
        <is>
          <t>Offsite Conversions</t>
        </is>
      </c>
      <c r="Q131" s="42" t="inlineStr">
        <is>
          <t>https://www.lepas-sa.co.za/offers/amur</t>
        </is>
      </c>
      <c r="R131" s="115" t="n">
        <v>142.62</v>
      </c>
      <c r="S131" s="116" t="n">
        <v>2075</v>
      </c>
      <c r="T131" s="116" t="n">
        <v>1207</v>
      </c>
      <c r="U131" s="117">
        <f>IFERROR(S131/T131,"")</f>
        <v/>
      </c>
      <c r="V131" s="116" t="n">
        <v>30</v>
      </c>
      <c r="W131" s="116" t="n">
        <v>23</v>
      </c>
      <c r="X131" s="118">
        <f>IFERROR(W131/S131,"")</f>
        <v/>
      </c>
      <c r="Y131" s="115">
        <f>IFERROR(R131/W131,"")</f>
        <v/>
      </c>
      <c r="Z131" s="115">
        <f>IFERROR(R131/S131*1000,"")</f>
        <v/>
      </c>
      <c r="AA131" s="116" t="n">
        <v>20</v>
      </c>
      <c r="AB131" s="47">
        <f>IFERROR(AA131/W131,"")</f>
        <v/>
      </c>
      <c r="AC131" s="116" t="n">
        <v>0</v>
      </c>
      <c r="AD131" s="116" t="n">
        <v>0</v>
      </c>
      <c r="AE131" s="116" t="n">
        <v>0</v>
      </c>
      <c r="AF131" s="116" t="n">
        <v>0</v>
      </c>
      <c r="AG131" s="116" t="n">
        <v>0</v>
      </c>
      <c r="AH131" s="116" t="n">
        <v>0</v>
      </c>
      <c r="AI131" s="47">
        <f>IFERROR(AC131/S131,"")</f>
        <v/>
      </c>
      <c r="AJ131" s="47">
        <f>IFERROR(AH131/S131,"")</f>
        <v/>
      </c>
      <c r="AK131" s="116" t="n">
        <v>71</v>
      </c>
      <c r="AL131" s="116" t="n">
        <v>0</v>
      </c>
      <c r="AM131" s="118">
        <f>IFERROR(AL131/AA131,"")</f>
        <v/>
      </c>
      <c r="AN131" s="119">
        <f>IFERROR(R131/AL131,"")</f>
        <v/>
      </c>
      <c r="AO131" s="116" t="n">
        <v>0</v>
      </c>
      <c r="AP131" s="47">
        <f>IFERROR(AO131/AL131,"")</f>
        <v/>
      </c>
      <c r="AQ131" s="119">
        <f>IFERROR(R131/AO131,"")</f>
        <v/>
      </c>
      <c r="AR131" s="116" t="n">
        <v>0</v>
      </c>
      <c r="AS131" s="116" t="n">
        <v>0</v>
      </c>
      <c r="AT131" s="116">
        <f>AL131+AR131</f>
        <v/>
      </c>
      <c r="AU131" s="119">
        <f>IFERROR(AO131*Assumptions!$C$26*Assumptions!$C$27*INDEX(Assumptions!$C$18:$C$21,MATCH(H131,Assumptions!$B$18:$B$21,0)),0)</f>
        <v/>
      </c>
    </row>
    <row r="132">
      <c r="A132" s="114" t="n">
        <v>46252</v>
      </c>
      <c r="B132" s="42" t="inlineStr">
        <is>
          <t>Wk 34</t>
        </is>
      </c>
      <c r="C132" s="42" t="inlineStr">
        <is>
          <t>Tue</t>
        </is>
      </c>
      <c r="D132" s="42" t="inlineStr">
        <is>
          <t>Meta (FB/IG)</t>
        </is>
      </c>
      <c r="E132" s="42" t="inlineStr">
        <is>
          <t>Facebook + Instagram</t>
        </is>
      </c>
      <c r="F132" s="42" t="inlineStr">
        <is>
          <t>LEP_ZA_AUG26_META_TD_AMUR_CONV</t>
        </is>
      </c>
      <c r="G132" s="42" t="inlineStr">
        <is>
          <t>Leads - Website Conversions</t>
        </is>
      </c>
      <c r="H132" s="42" t="inlineStr">
        <is>
          <t>AMUR</t>
        </is>
      </c>
      <c r="I132" s="42" t="inlineStr">
        <is>
          <t>0% Deposit</t>
        </is>
      </c>
      <c r="J132" s="42" t="inlineStr">
        <is>
          <t>MET_AMUR_LAL3_LEADS_ZA</t>
        </is>
      </c>
      <c r="K132" s="42" t="inlineStr">
        <is>
          <t>Lookalike</t>
        </is>
      </c>
      <c r="L132" s="42" t="inlineStr">
        <is>
          <t>AMUR_STA_Offer_0Dep_v1</t>
        </is>
      </c>
      <c r="M132" s="42" t="inlineStr">
        <is>
          <t>Static 1:1</t>
        </is>
      </c>
      <c r="N132" s="42" t="inlineStr">
        <is>
          <t>0% deposit. Book your test drive.</t>
        </is>
      </c>
      <c r="O132" s="42" t="inlineStr">
        <is>
          <t>Auction - Lowest Cost</t>
        </is>
      </c>
      <c r="P132" s="42" t="inlineStr">
        <is>
          <t>Offsite Conversions</t>
        </is>
      </c>
      <c r="Q132" s="42" t="inlineStr">
        <is>
          <t>https://www.lepas-sa.co.za/offers/amur</t>
        </is>
      </c>
      <c r="R132" s="115" t="n">
        <v>155.68</v>
      </c>
      <c r="S132" s="116" t="n">
        <v>2679</v>
      </c>
      <c r="T132" s="116" t="n">
        <v>1490</v>
      </c>
      <c r="U132" s="117">
        <f>IFERROR(S132/T132,"")</f>
        <v/>
      </c>
      <c r="V132" s="116" t="n">
        <v>44</v>
      </c>
      <c r="W132" s="116" t="n">
        <v>35</v>
      </c>
      <c r="X132" s="118">
        <f>IFERROR(W132/S132,"")</f>
        <v/>
      </c>
      <c r="Y132" s="115">
        <f>IFERROR(R132/W132,"")</f>
        <v/>
      </c>
      <c r="Z132" s="115">
        <f>IFERROR(R132/S132*1000,"")</f>
        <v/>
      </c>
      <c r="AA132" s="116" t="n">
        <v>30</v>
      </c>
      <c r="AB132" s="47">
        <f>IFERROR(AA132/W132,"")</f>
        <v/>
      </c>
      <c r="AC132" s="116" t="n">
        <v>0</v>
      </c>
      <c r="AD132" s="116" t="n">
        <v>0</v>
      </c>
      <c r="AE132" s="116" t="n">
        <v>0</v>
      </c>
      <c r="AF132" s="116" t="n">
        <v>0</v>
      </c>
      <c r="AG132" s="116" t="n">
        <v>0</v>
      </c>
      <c r="AH132" s="116" t="n">
        <v>0</v>
      </c>
      <c r="AI132" s="47">
        <f>IFERROR(AC132/S132,"")</f>
        <v/>
      </c>
      <c r="AJ132" s="47">
        <f>IFERROR(AH132/S132,"")</f>
        <v/>
      </c>
      <c r="AK132" s="116" t="n">
        <v>39</v>
      </c>
      <c r="AL132" s="116" t="n">
        <v>1</v>
      </c>
      <c r="AM132" s="118">
        <f>IFERROR(AL132/AA132,"")</f>
        <v/>
      </c>
      <c r="AN132" s="119">
        <f>IFERROR(R132/AL132,"")</f>
        <v/>
      </c>
      <c r="AO132" s="116" t="n">
        <v>0</v>
      </c>
      <c r="AP132" s="47">
        <f>IFERROR(AO132/AL132,"")</f>
        <v/>
      </c>
      <c r="AQ132" s="119">
        <f>IFERROR(R132/AO132,"")</f>
        <v/>
      </c>
      <c r="AR132" s="116" t="n">
        <v>0</v>
      </c>
      <c r="AS132" s="116" t="n">
        <v>0</v>
      </c>
      <c r="AT132" s="116">
        <f>AL132+AR132</f>
        <v/>
      </c>
      <c r="AU132" s="119">
        <f>IFERROR(AO132*Assumptions!$C$26*Assumptions!$C$27*INDEX(Assumptions!$C$18:$C$21,MATCH(H132,Assumptions!$B$18:$B$21,0)),0)</f>
        <v/>
      </c>
    </row>
    <row r="133">
      <c r="A133" s="114" t="n">
        <v>46253</v>
      </c>
      <c r="B133" s="42" t="inlineStr">
        <is>
          <t>Wk 34</t>
        </is>
      </c>
      <c r="C133" s="42" t="inlineStr">
        <is>
          <t>Wed</t>
        </is>
      </c>
      <c r="D133" s="42" t="inlineStr">
        <is>
          <t>Meta (FB/IG)</t>
        </is>
      </c>
      <c r="E133" s="42" t="inlineStr">
        <is>
          <t>Facebook + Instagram</t>
        </is>
      </c>
      <c r="F133" s="42" t="inlineStr">
        <is>
          <t>LEP_ZA_AUG26_META_TD_AMUR_CONV</t>
        </is>
      </c>
      <c r="G133" s="42" t="inlineStr">
        <is>
          <t>Leads - Website Conversions</t>
        </is>
      </c>
      <c r="H133" s="42" t="inlineStr">
        <is>
          <t>AMUR</t>
        </is>
      </c>
      <c r="I133" s="42" t="inlineStr">
        <is>
          <t>0% Deposit</t>
        </is>
      </c>
      <c r="J133" s="42" t="inlineStr">
        <is>
          <t>MET_AMUR_LAL3_LEADS_ZA</t>
        </is>
      </c>
      <c r="K133" s="42" t="inlineStr">
        <is>
          <t>Lookalike</t>
        </is>
      </c>
      <c r="L133" s="42" t="inlineStr">
        <is>
          <t>AMUR_STA_Offer_0Dep_v1</t>
        </is>
      </c>
      <c r="M133" s="42" t="inlineStr">
        <is>
          <t>Static 1:1</t>
        </is>
      </c>
      <c r="N133" s="42" t="inlineStr">
        <is>
          <t>0% deposit. Book your test drive.</t>
        </is>
      </c>
      <c r="O133" s="42" t="inlineStr">
        <is>
          <t>Auction - Lowest Cost</t>
        </is>
      </c>
      <c r="P133" s="42" t="inlineStr">
        <is>
          <t>Offsite Conversions</t>
        </is>
      </c>
      <c r="Q133" s="42" t="inlineStr">
        <is>
          <t>https://www.lepas-sa.co.za/offers/amur</t>
        </is>
      </c>
      <c r="R133" s="115" t="n">
        <v>160.46</v>
      </c>
      <c r="S133" s="116" t="n">
        <v>1636</v>
      </c>
      <c r="T133" s="116" t="n">
        <v>901</v>
      </c>
      <c r="U133" s="117">
        <f>IFERROR(S133/T133,"")</f>
        <v/>
      </c>
      <c r="V133" s="116" t="n">
        <v>25</v>
      </c>
      <c r="W133" s="116" t="n">
        <v>20</v>
      </c>
      <c r="X133" s="118">
        <f>IFERROR(W133/S133,"")</f>
        <v/>
      </c>
      <c r="Y133" s="115">
        <f>IFERROR(R133/W133,"")</f>
        <v/>
      </c>
      <c r="Z133" s="115">
        <f>IFERROR(R133/S133*1000,"")</f>
        <v/>
      </c>
      <c r="AA133" s="116" t="n">
        <v>16</v>
      </c>
      <c r="AB133" s="47">
        <f>IFERROR(AA133/W133,"")</f>
        <v/>
      </c>
      <c r="AC133" s="116" t="n">
        <v>0</v>
      </c>
      <c r="AD133" s="116" t="n">
        <v>0</v>
      </c>
      <c r="AE133" s="116" t="n">
        <v>0</v>
      </c>
      <c r="AF133" s="116" t="n">
        <v>0</v>
      </c>
      <c r="AG133" s="116" t="n">
        <v>0</v>
      </c>
      <c r="AH133" s="116" t="n">
        <v>0</v>
      </c>
      <c r="AI133" s="47">
        <f>IFERROR(AC133/S133,"")</f>
        <v/>
      </c>
      <c r="AJ133" s="47">
        <f>IFERROR(AH133/S133,"")</f>
        <v/>
      </c>
      <c r="AK133" s="116" t="n">
        <v>44</v>
      </c>
      <c r="AL133" s="116" t="n">
        <v>0</v>
      </c>
      <c r="AM133" s="118">
        <f>IFERROR(AL133/AA133,"")</f>
        <v/>
      </c>
      <c r="AN133" s="119">
        <f>IFERROR(R133/AL133,"")</f>
        <v/>
      </c>
      <c r="AO133" s="116" t="n">
        <v>0</v>
      </c>
      <c r="AP133" s="47">
        <f>IFERROR(AO133/AL133,"")</f>
        <v/>
      </c>
      <c r="AQ133" s="119">
        <f>IFERROR(R133/AO133,"")</f>
        <v/>
      </c>
      <c r="AR133" s="116" t="n">
        <v>0</v>
      </c>
      <c r="AS133" s="116" t="n">
        <v>0</v>
      </c>
      <c r="AT133" s="116">
        <f>AL133+AR133</f>
        <v/>
      </c>
      <c r="AU133" s="119">
        <f>IFERROR(AO133*Assumptions!$C$26*Assumptions!$C$27*INDEX(Assumptions!$C$18:$C$21,MATCH(H133,Assumptions!$B$18:$B$21,0)),0)</f>
        <v/>
      </c>
    </row>
    <row r="134">
      <c r="A134" s="114" t="n">
        <v>46254</v>
      </c>
      <c r="B134" s="42" t="inlineStr">
        <is>
          <t>Wk 34</t>
        </is>
      </c>
      <c r="C134" s="42" t="inlineStr">
        <is>
          <t>Thu</t>
        </is>
      </c>
      <c r="D134" s="42" t="inlineStr">
        <is>
          <t>Meta (FB/IG)</t>
        </is>
      </c>
      <c r="E134" s="42" t="inlineStr">
        <is>
          <t>Facebook + Instagram</t>
        </is>
      </c>
      <c r="F134" s="42" t="inlineStr">
        <is>
          <t>LEP_ZA_AUG26_META_TD_AMUR_CONV</t>
        </is>
      </c>
      <c r="G134" s="42" t="inlineStr">
        <is>
          <t>Leads - Website Conversions</t>
        </is>
      </c>
      <c r="H134" s="42" t="inlineStr">
        <is>
          <t>AMUR</t>
        </is>
      </c>
      <c r="I134" s="42" t="inlineStr">
        <is>
          <t>0% Deposit</t>
        </is>
      </c>
      <c r="J134" s="42" t="inlineStr">
        <is>
          <t>MET_AMUR_LAL3_LEADS_ZA</t>
        </is>
      </c>
      <c r="K134" s="42" t="inlineStr">
        <is>
          <t>Lookalike</t>
        </is>
      </c>
      <c r="L134" s="42" t="inlineStr">
        <is>
          <t>AMUR_STA_Offer_0Dep_v1</t>
        </is>
      </c>
      <c r="M134" s="42" t="inlineStr">
        <is>
          <t>Static 1:1</t>
        </is>
      </c>
      <c r="N134" s="42" t="inlineStr">
        <is>
          <t>0% deposit. Book your test drive.</t>
        </is>
      </c>
      <c r="O134" s="42" t="inlineStr">
        <is>
          <t>Auction - Lowest Cost</t>
        </is>
      </c>
      <c r="P134" s="42" t="inlineStr">
        <is>
          <t>Offsite Conversions</t>
        </is>
      </c>
      <c r="Q134" s="42" t="inlineStr">
        <is>
          <t>https://www.lepas-sa.co.za/offers/amur</t>
        </is>
      </c>
      <c r="R134" s="115" t="n">
        <v>203.08</v>
      </c>
      <c r="S134" s="116" t="n">
        <v>2370</v>
      </c>
      <c r="T134" s="116" t="n">
        <v>1260</v>
      </c>
      <c r="U134" s="117">
        <f>IFERROR(S134/T134,"")</f>
        <v/>
      </c>
      <c r="V134" s="116" t="n">
        <v>38</v>
      </c>
      <c r="W134" s="116" t="n">
        <v>32</v>
      </c>
      <c r="X134" s="118">
        <f>IFERROR(W134/S134,"")</f>
        <v/>
      </c>
      <c r="Y134" s="115">
        <f>IFERROR(R134/W134,"")</f>
        <v/>
      </c>
      <c r="Z134" s="115">
        <f>IFERROR(R134/S134*1000,"")</f>
        <v/>
      </c>
      <c r="AA134" s="116" t="n">
        <v>28</v>
      </c>
      <c r="AB134" s="47">
        <f>IFERROR(AA134/W134,"")</f>
        <v/>
      </c>
      <c r="AC134" s="116" t="n">
        <v>0</v>
      </c>
      <c r="AD134" s="116" t="n">
        <v>0</v>
      </c>
      <c r="AE134" s="116" t="n">
        <v>0</v>
      </c>
      <c r="AF134" s="116" t="n">
        <v>0</v>
      </c>
      <c r="AG134" s="116" t="n">
        <v>0</v>
      </c>
      <c r="AH134" s="116" t="n">
        <v>0</v>
      </c>
      <c r="AI134" s="47">
        <f>IFERROR(AC134/S134,"")</f>
        <v/>
      </c>
      <c r="AJ134" s="47">
        <f>IFERROR(AH134/S134,"")</f>
        <v/>
      </c>
      <c r="AK134" s="116" t="n">
        <v>81</v>
      </c>
      <c r="AL134" s="116" t="n">
        <v>1</v>
      </c>
      <c r="AM134" s="118">
        <f>IFERROR(AL134/AA134,"")</f>
        <v/>
      </c>
      <c r="AN134" s="119">
        <f>IFERROR(R134/AL134,"")</f>
        <v/>
      </c>
      <c r="AO134" s="116" t="n">
        <v>0</v>
      </c>
      <c r="AP134" s="47">
        <f>IFERROR(AO134/AL134,"")</f>
        <v/>
      </c>
      <c r="AQ134" s="119">
        <f>IFERROR(R134/AO134,"")</f>
        <v/>
      </c>
      <c r="AR134" s="116" t="n">
        <v>0</v>
      </c>
      <c r="AS134" s="116" t="n">
        <v>0</v>
      </c>
      <c r="AT134" s="116">
        <f>AL134+AR134</f>
        <v/>
      </c>
      <c r="AU134" s="119">
        <f>IFERROR(AO134*Assumptions!$C$26*Assumptions!$C$27*INDEX(Assumptions!$C$18:$C$21,MATCH(H134,Assumptions!$B$18:$B$21,0)),0)</f>
        <v/>
      </c>
    </row>
    <row r="135">
      <c r="A135" s="114" t="n">
        <v>46255</v>
      </c>
      <c r="B135" s="42" t="inlineStr">
        <is>
          <t>Wk 34</t>
        </is>
      </c>
      <c r="C135" s="42" t="inlineStr">
        <is>
          <t>Fri</t>
        </is>
      </c>
      <c r="D135" s="42" t="inlineStr">
        <is>
          <t>Meta (FB/IG)</t>
        </is>
      </c>
      <c r="E135" s="42" t="inlineStr">
        <is>
          <t>Facebook + Instagram</t>
        </is>
      </c>
      <c r="F135" s="42" t="inlineStr">
        <is>
          <t>LEP_ZA_AUG26_META_TD_AMUR_CONV</t>
        </is>
      </c>
      <c r="G135" s="42" t="inlineStr">
        <is>
          <t>Leads - Website Conversions</t>
        </is>
      </c>
      <c r="H135" s="42" t="inlineStr">
        <is>
          <t>AMUR</t>
        </is>
      </c>
      <c r="I135" s="42" t="inlineStr">
        <is>
          <t>0% Deposit</t>
        </is>
      </c>
      <c r="J135" s="42" t="inlineStr">
        <is>
          <t>MET_AMUR_LAL3_LEADS_ZA</t>
        </is>
      </c>
      <c r="K135" s="42" t="inlineStr">
        <is>
          <t>Lookalike</t>
        </is>
      </c>
      <c r="L135" s="42" t="inlineStr">
        <is>
          <t>AMUR_STA_Offer_0Dep_v1</t>
        </is>
      </c>
      <c r="M135" s="42" t="inlineStr">
        <is>
          <t>Static 1:1</t>
        </is>
      </c>
      <c r="N135" s="42" t="inlineStr">
        <is>
          <t>0% deposit. Book your test drive.</t>
        </is>
      </c>
      <c r="O135" s="42" t="inlineStr">
        <is>
          <t>Auction - Lowest Cost</t>
        </is>
      </c>
      <c r="P135" s="42" t="inlineStr">
        <is>
          <t>Offsite Conversions</t>
        </is>
      </c>
      <c r="Q135" s="42" t="inlineStr">
        <is>
          <t>https://www.lepas-sa.co.za/offers/amur</t>
        </is>
      </c>
      <c r="R135" s="115" t="n">
        <v>186.46</v>
      </c>
      <c r="S135" s="116" t="n">
        <v>2063</v>
      </c>
      <c r="T135" s="116" t="n">
        <v>1139</v>
      </c>
      <c r="U135" s="117">
        <f>IFERROR(S135/T135,"")</f>
        <v/>
      </c>
      <c r="V135" s="116" t="n">
        <v>35</v>
      </c>
      <c r="W135" s="116" t="n">
        <v>27</v>
      </c>
      <c r="X135" s="118">
        <f>IFERROR(W135/S135,"")</f>
        <v/>
      </c>
      <c r="Y135" s="115">
        <f>IFERROR(R135/W135,"")</f>
        <v/>
      </c>
      <c r="Z135" s="115">
        <f>IFERROR(R135/S135*1000,"")</f>
        <v/>
      </c>
      <c r="AA135" s="116" t="n">
        <v>23</v>
      </c>
      <c r="AB135" s="47">
        <f>IFERROR(AA135/W135,"")</f>
        <v/>
      </c>
      <c r="AC135" s="116" t="n">
        <v>0</v>
      </c>
      <c r="AD135" s="116" t="n">
        <v>0</v>
      </c>
      <c r="AE135" s="116" t="n">
        <v>0</v>
      </c>
      <c r="AF135" s="116" t="n">
        <v>0</v>
      </c>
      <c r="AG135" s="116" t="n">
        <v>0</v>
      </c>
      <c r="AH135" s="116" t="n">
        <v>0</v>
      </c>
      <c r="AI135" s="47">
        <f>IFERROR(AC135/S135,"")</f>
        <v/>
      </c>
      <c r="AJ135" s="47">
        <f>IFERROR(AH135/S135,"")</f>
        <v/>
      </c>
      <c r="AK135" s="116" t="n">
        <v>34</v>
      </c>
      <c r="AL135" s="116" t="n">
        <v>0</v>
      </c>
      <c r="AM135" s="118">
        <f>IFERROR(AL135/AA135,"")</f>
        <v/>
      </c>
      <c r="AN135" s="119">
        <f>IFERROR(R135/AL135,"")</f>
        <v/>
      </c>
      <c r="AO135" s="116" t="n">
        <v>0</v>
      </c>
      <c r="AP135" s="47">
        <f>IFERROR(AO135/AL135,"")</f>
        <v/>
      </c>
      <c r="AQ135" s="119">
        <f>IFERROR(R135/AO135,"")</f>
        <v/>
      </c>
      <c r="AR135" s="116" t="n">
        <v>0</v>
      </c>
      <c r="AS135" s="116" t="n">
        <v>0</v>
      </c>
      <c r="AT135" s="116">
        <f>AL135+AR135</f>
        <v/>
      </c>
      <c r="AU135" s="119">
        <f>IFERROR(AO135*Assumptions!$C$26*Assumptions!$C$27*INDEX(Assumptions!$C$18:$C$21,MATCH(H135,Assumptions!$B$18:$B$21,0)),0)</f>
        <v/>
      </c>
    </row>
    <row r="136">
      <c r="A136" s="114" t="n">
        <v>46256</v>
      </c>
      <c r="B136" s="42" t="inlineStr">
        <is>
          <t>Wk 34</t>
        </is>
      </c>
      <c r="C136" s="42" t="inlineStr">
        <is>
          <t>Sat</t>
        </is>
      </c>
      <c r="D136" s="42" t="inlineStr">
        <is>
          <t>Meta (FB/IG)</t>
        </is>
      </c>
      <c r="E136" s="42" t="inlineStr">
        <is>
          <t>Facebook + Instagram</t>
        </is>
      </c>
      <c r="F136" s="42" t="inlineStr">
        <is>
          <t>LEP_ZA_AUG26_META_TD_AMUR_CONV</t>
        </is>
      </c>
      <c r="G136" s="42" t="inlineStr">
        <is>
          <t>Leads - Website Conversions</t>
        </is>
      </c>
      <c r="H136" s="42" t="inlineStr">
        <is>
          <t>AMUR</t>
        </is>
      </c>
      <c r="I136" s="42" t="inlineStr">
        <is>
          <t>0% Deposit</t>
        </is>
      </c>
      <c r="J136" s="42" t="inlineStr">
        <is>
          <t>MET_AMUR_LAL3_LEADS_ZA</t>
        </is>
      </c>
      <c r="K136" s="42" t="inlineStr">
        <is>
          <t>Lookalike</t>
        </is>
      </c>
      <c r="L136" s="42" t="inlineStr">
        <is>
          <t>AMUR_STA_Offer_0Dep_v1</t>
        </is>
      </c>
      <c r="M136" s="42" t="inlineStr">
        <is>
          <t>Static 1:1</t>
        </is>
      </c>
      <c r="N136" s="42" t="inlineStr">
        <is>
          <t>0% deposit. Book your test drive.</t>
        </is>
      </c>
      <c r="O136" s="42" t="inlineStr">
        <is>
          <t>Auction - Lowest Cost</t>
        </is>
      </c>
      <c r="P136" s="42" t="inlineStr">
        <is>
          <t>Offsite Conversions</t>
        </is>
      </c>
      <c r="Q136" s="42" t="inlineStr">
        <is>
          <t>https://www.lepas-sa.co.za/offers/amur</t>
        </is>
      </c>
      <c r="R136" s="115" t="n">
        <v>210.37</v>
      </c>
      <c r="S136" s="116" t="n">
        <v>2236</v>
      </c>
      <c r="T136" s="116" t="n">
        <v>1148</v>
      </c>
      <c r="U136" s="117">
        <f>IFERROR(S136/T136,"")</f>
        <v/>
      </c>
      <c r="V136" s="116" t="n">
        <v>30</v>
      </c>
      <c r="W136" s="116" t="n">
        <v>24</v>
      </c>
      <c r="X136" s="118">
        <f>IFERROR(W136/S136,"")</f>
        <v/>
      </c>
      <c r="Y136" s="115">
        <f>IFERROR(R136/W136,"")</f>
        <v/>
      </c>
      <c r="Z136" s="115">
        <f>IFERROR(R136/S136*1000,"")</f>
        <v/>
      </c>
      <c r="AA136" s="116" t="n">
        <v>21</v>
      </c>
      <c r="AB136" s="47">
        <f>IFERROR(AA136/W136,"")</f>
        <v/>
      </c>
      <c r="AC136" s="116" t="n">
        <v>0</v>
      </c>
      <c r="AD136" s="116" t="n">
        <v>0</v>
      </c>
      <c r="AE136" s="116" t="n">
        <v>0</v>
      </c>
      <c r="AF136" s="116" t="n">
        <v>0</v>
      </c>
      <c r="AG136" s="116" t="n">
        <v>0</v>
      </c>
      <c r="AH136" s="116" t="n">
        <v>0</v>
      </c>
      <c r="AI136" s="47">
        <f>IFERROR(AC136/S136,"")</f>
        <v/>
      </c>
      <c r="AJ136" s="47">
        <f>IFERROR(AH136/S136,"")</f>
        <v/>
      </c>
      <c r="AK136" s="116" t="n">
        <v>48</v>
      </c>
      <c r="AL136" s="116" t="n">
        <v>1</v>
      </c>
      <c r="AM136" s="118">
        <f>IFERROR(AL136/AA136,"")</f>
        <v/>
      </c>
      <c r="AN136" s="119">
        <f>IFERROR(R136/AL136,"")</f>
        <v/>
      </c>
      <c r="AO136" s="116" t="n">
        <v>0</v>
      </c>
      <c r="AP136" s="47">
        <f>IFERROR(AO136/AL136,"")</f>
        <v/>
      </c>
      <c r="AQ136" s="119">
        <f>IFERROR(R136/AO136,"")</f>
        <v/>
      </c>
      <c r="AR136" s="116" t="n">
        <v>0</v>
      </c>
      <c r="AS136" s="116" t="n">
        <v>1</v>
      </c>
      <c r="AT136" s="116">
        <f>AL136+AR136</f>
        <v/>
      </c>
      <c r="AU136" s="119">
        <f>IFERROR(AO136*Assumptions!$C$26*Assumptions!$C$27*INDEX(Assumptions!$C$18:$C$21,MATCH(H136,Assumptions!$B$18:$B$21,0)),0)</f>
        <v/>
      </c>
    </row>
    <row r="137">
      <c r="A137" s="114" t="n">
        <v>46257</v>
      </c>
      <c r="B137" s="42" t="inlineStr">
        <is>
          <t>Wk 34</t>
        </is>
      </c>
      <c r="C137" s="42" t="inlineStr">
        <is>
          <t>Sun</t>
        </is>
      </c>
      <c r="D137" s="42" t="inlineStr">
        <is>
          <t>Meta (FB/IG)</t>
        </is>
      </c>
      <c r="E137" s="42" t="inlineStr">
        <is>
          <t>Facebook + Instagram</t>
        </is>
      </c>
      <c r="F137" s="42" t="inlineStr">
        <is>
          <t>LEP_ZA_AUG26_META_TD_AMUR_CONV</t>
        </is>
      </c>
      <c r="G137" s="42" t="inlineStr">
        <is>
          <t>Leads - Website Conversions</t>
        </is>
      </c>
      <c r="H137" s="42" t="inlineStr">
        <is>
          <t>AMUR</t>
        </is>
      </c>
      <c r="I137" s="42" t="inlineStr">
        <is>
          <t>0% Deposit</t>
        </is>
      </c>
      <c r="J137" s="42" t="inlineStr">
        <is>
          <t>MET_AMUR_LAL3_LEADS_ZA</t>
        </is>
      </c>
      <c r="K137" s="42" t="inlineStr">
        <is>
          <t>Lookalike</t>
        </is>
      </c>
      <c r="L137" s="42" t="inlineStr">
        <is>
          <t>AMUR_STA_Offer_0Dep_v1</t>
        </is>
      </c>
      <c r="M137" s="42" t="inlineStr">
        <is>
          <t>Static 1:1</t>
        </is>
      </c>
      <c r="N137" s="42" t="inlineStr">
        <is>
          <t>0% deposit. Book your test drive.</t>
        </is>
      </c>
      <c r="O137" s="42" t="inlineStr">
        <is>
          <t>Auction - Lowest Cost</t>
        </is>
      </c>
      <c r="P137" s="42" t="inlineStr">
        <is>
          <t>Offsite Conversions</t>
        </is>
      </c>
      <c r="Q137" s="42" t="inlineStr">
        <is>
          <t>https://www.lepas-sa.co.za/offers/amur</t>
        </is>
      </c>
      <c r="R137" s="115" t="n">
        <v>165.19</v>
      </c>
      <c r="S137" s="116" t="n">
        <v>1970</v>
      </c>
      <c r="T137" s="116" t="n">
        <v>1326</v>
      </c>
      <c r="U137" s="117">
        <f>IFERROR(S137/T137,"")</f>
        <v/>
      </c>
      <c r="V137" s="116" t="n">
        <v>28</v>
      </c>
      <c r="W137" s="116" t="n">
        <v>22</v>
      </c>
      <c r="X137" s="118">
        <f>IFERROR(W137/S137,"")</f>
        <v/>
      </c>
      <c r="Y137" s="115">
        <f>IFERROR(R137/W137,"")</f>
        <v/>
      </c>
      <c r="Z137" s="115">
        <f>IFERROR(R137/S137*1000,"")</f>
        <v/>
      </c>
      <c r="AA137" s="116" t="n">
        <v>19</v>
      </c>
      <c r="AB137" s="47">
        <f>IFERROR(AA137/W137,"")</f>
        <v/>
      </c>
      <c r="AC137" s="116" t="n">
        <v>0</v>
      </c>
      <c r="AD137" s="116" t="n">
        <v>0</v>
      </c>
      <c r="AE137" s="116" t="n">
        <v>0</v>
      </c>
      <c r="AF137" s="116" t="n">
        <v>0</v>
      </c>
      <c r="AG137" s="116" t="n">
        <v>0</v>
      </c>
      <c r="AH137" s="116" t="n">
        <v>0</v>
      </c>
      <c r="AI137" s="47">
        <f>IFERROR(AC137/S137,"")</f>
        <v/>
      </c>
      <c r="AJ137" s="47">
        <f>IFERROR(AH137/S137,"")</f>
        <v/>
      </c>
      <c r="AK137" s="116" t="n">
        <v>36</v>
      </c>
      <c r="AL137" s="116" t="n">
        <v>1</v>
      </c>
      <c r="AM137" s="118">
        <f>IFERROR(AL137/AA137,"")</f>
        <v/>
      </c>
      <c r="AN137" s="119">
        <f>IFERROR(R137/AL137,"")</f>
        <v/>
      </c>
      <c r="AO137" s="116" t="n">
        <v>0</v>
      </c>
      <c r="AP137" s="47">
        <f>IFERROR(AO137/AL137,"")</f>
        <v/>
      </c>
      <c r="AQ137" s="119">
        <f>IFERROR(R137/AO137,"")</f>
        <v/>
      </c>
      <c r="AR137" s="116" t="n">
        <v>0</v>
      </c>
      <c r="AS137" s="116" t="n">
        <v>0</v>
      </c>
      <c r="AT137" s="116">
        <f>AL137+AR137</f>
        <v/>
      </c>
      <c r="AU137" s="119">
        <f>IFERROR(AO137*Assumptions!$C$26*Assumptions!$C$27*INDEX(Assumptions!$C$18:$C$21,MATCH(H137,Assumptions!$B$18:$B$21,0)),0)</f>
        <v/>
      </c>
    </row>
    <row r="138">
      <c r="A138" s="114" t="n">
        <v>46258</v>
      </c>
      <c r="B138" s="42" t="inlineStr">
        <is>
          <t>Wk 35</t>
        </is>
      </c>
      <c r="C138" s="42" t="inlineStr">
        <is>
          <t>Mon</t>
        </is>
      </c>
      <c r="D138" s="42" t="inlineStr">
        <is>
          <t>Meta (FB/IG)</t>
        </is>
      </c>
      <c r="E138" s="42" t="inlineStr">
        <is>
          <t>Facebook + Instagram</t>
        </is>
      </c>
      <c r="F138" s="42" t="inlineStr">
        <is>
          <t>LEP_ZA_AUG26_META_TD_AMUR_CONV</t>
        </is>
      </c>
      <c r="G138" s="42" t="inlineStr">
        <is>
          <t>Leads - Website Conversions</t>
        </is>
      </c>
      <c r="H138" s="42" t="inlineStr">
        <is>
          <t>AMUR</t>
        </is>
      </c>
      <c r="I138" s="42" t="inlineStr">
        <is>
          <t>0% Deposit</t>
        </is>
      </c>
      <c r="J138" s="42" t="inlineStr">
        <is>
          <t>MET_AMUR_LAL3_LEADS_ZA</t>
        </is>
      </c>
      <c r="K138" s="42" t="inlineStr">
        <is>
          <t>Lookalike</t>
        </is>
      </c>
      <c r="L138" s="42" t="inlineStr">
        <is>
          <t>AMUR_STA_Offer_0Dep_v1</t>
        </is>
      </c>
      <c r="M138" s="42" t="inlineStr">
        <is>
          <t>Static 1:1</t>
        </is>
      </c>
      <c r="N138" s="42" t="inlineStr">
        <is>
          <t>0% deposit. Book your test drive.</t>
        </is>
      </c>
      <c r="O138" s="42" t="inlineStr">
        <is>
          <t>Auction - Lowest Cost</t>
        </is>
      </c>
      <c r="P138" s="42" t="inlineStr">
        <is>
          <t>Offsite Conversions</t>
        </is>
      </c>
      <c r="Q138" s="42" t="inlineStr">
        <is>
          <t>https://www.lepas-sa.co.za/offers/amur</t>
        </is>
      </c>
      <c r="R138" s="115" t="n">
        <v>156.93</v>
      </c>
      <c r="S138" s="116" t="n">
        <v>2016</v>
      </c>
      <c r="T138" s="116" t="n">
        <v>1140</v>
      </c>
      <c r="U138" s="117">
        <f>IFERROR(S138/T138,"")</f>
        <v/>
      </c>
      <c r="V138" s="116" t="n">
        <v>27</v>
      </c>
      <c r="W138" s="116" t="n">
        <v>19</v>
      </c>
      <c r="X138" s="118">
        <f>IFERROR(W138/S138,"")</f>
        <v/>
      </c>
      <c r="Y138" s="115">
        <f>IFERROR(R138/W138,"")</f>
        <v/>
      </c>
      <c r="Z138" s="115">
        <f>IFERROR(R138/S138*1000,"")</f>
        <v/>
      </c>
      <c r="AA138" s="116" t="n">
        <v>16</v>
      </c>
      <c r="AB138" s="47">
        <f>IFERROR(AA138/W138,"")</f>
        <v/>
      </c>
      <c r="AC138" s="116" t="n">
        <v>0</v>
      </c>
      <c r="AD138" s="116" t="n">
        <v>0</v>
      </c>
      <c r="AE138" s="116" t="n">
        <v>0</v>
      </c>
      <c r="AF138" s="116" t="n">
        <v>0</v>
      </c>
      <c r="AG138" s="116" t="n">
        <v>0</v>
      </c>
      <c r="AH138" s="116" t="n">
        <v>0</v>
      </c>
      <c r="AI138" s="47">
        <f>IFERROR(AC138/S138,"")</f>
        <v/>
      </c>
      <c r="AJ138" s="47">
        <f>IFERROR(AH138/S138,"")</f>
        <v/>
      </c>
      <c r="AK138" s="116" t="n">
        <v>34</v>
      </c>
      <c r="AL138" s="116" t="n">
        <v>1</v>
      </c>
      <c r="AM138" s="118">
        <f>IFERROR(AL138/AA138,"")</f>
        <v/>
      </c>
      <c r="AN138" s="119">
        <f>IFERROR(R138/AL138,"")</f>
        <v/>
      </c>
      <c r="AO138" s="116" t="n">
        <v>1</v>
      </c>
      <c r="AP138" s="47">
        <f>IFERROR(AO138/AL138,"")</f>
        <v/>
      </c>
      <c r="AQ138" s="119">
        <f>IFERROR(R138/AO138,"")</f>
        <v/>
      </c>
      <c r="AR138" s="116" t="n">
        <v>0</v>
      </c>
      <c r="AS138" s="116" t="n">
        <v>0</v>
      </c>
      <c r="AT138" s="116">
        <f>AL138+AR138</f>
        <v/>
      </c>
      <c r="AU138" s="119">
        <f>IFERROR(AO138*Assumptions!$C$26*Assumptions!$C$27*INDEX(Assumptions!$C$18:$C$21,MATCH(H138,Assumptions!$B$18:$B$21,0)),0)</f>
        <v/>
      </c>
    </row>
    <row r="139">
      <c r="A139" s="114" t="n">
        <v>46259</v>
      </c>
      <c r="B139" s="42" t="inlineStr">
        <is>
          <t>Wk 35</t>
        </is>
      </c>
      <c r="C139" s="42" t="inlineStr">
        <is>
          <t>Tue</t>
        </is>
      </c>
      <c r="D139" s="42" t="inlineStr">
        <is>
          <t>Meta (FB/IG)</t>
        </is>
      </c>
      <c r="E139" s="42" t="inlineStr">
        <is>
          <t>Facebook + Instagram</t>
        </is>
      </c>
      <c r="F139" s="42" t="inlineStr">
        <is>
          <t>LEP_ZA_AUG26_META_TD_AMUR_CONV</t>
        </is>
      </c>
      <c r="G139" s="42" t="inlineStr">
        <is>
          <t>Leads - Website Conversions</t>
        </is>
      </c>
      <c r="H139" s="42" t="inlineStr">
        <is>
          <t>AMUR</t>
        </is>
      </c>
      <c r="I139" s="42" t="inlineStr">
        <is>
          <t>0% Deposit</t>
        </is>
      </c>
      <c r="J139" s="42" t="inlineStr">
        <is>
          <t>MET_AMUR_LAL3_LEADS_ZA</t>
        </is>
      </c>
      <c r="K139" s="42" t="inlineStr">
        <is>
          <t>Lookalike</t>
        </is>
      </c>
      <c r="L139" s="42" t="inlineStr">
        <is>
          <t>AMUR_STA_Offer_0Dep_v1</t>
        </is>
      </c>
      <c r="M139" s="42" t="inlineStr">
        <is>
          <t>Static 1:1</t>
        </is>
      </c>
      <c r="N139" s="42" t="inlineStr">
        <is>
          <t>0% deposit. Book your test drive.</t>
        </is>
      </c>
      <c r="O139" s="42" t="inlineStr">
        <is>
          <t>Auction - Lowest Cost</t>
        </is>
      </c>
      <c r="P139" s="42" t="inlineStr">
        <is>
          <t>Offsite Conversions</t>
        </is>
      </c>
      <c r="Q139" s="42" t="inlineStr">
        <is>
          <t>https://www.lepas-sa.co.za/offers/amur</t>
        </is>
      </c>
      <c r="R139" s="115" t="n">
        <v>164.47</v>
      </c>
      <c r="S139" s="116" t="n">
        <v>2665</v>
      </c>
      <c r="T139" s="116" t="n">
        <v>1457</v>
      </c>
      <c r="U139" s="117">
        <f>IFERROR(S139/T139,"")</f>
        <v/>
      </c>
      <c r="V139" s="116" t="n">
        <v>57</v>
      </c>
      <c r="W139" s="116" t="n">
        <v>40</v>
      </c>
      <c r="X139" s="118">
        <f>IFERROR(W139/S139,"")</f>
        <v/>
      </c>
      <c r="Y139" s="115">
        <f>IFERROR(R139/W139,"")</f>
        <v/>
      </c>
      <c r="Z139" s="115">
        <f>IFERROR(R139/S139*1000,"")</f>
        <v/>
      </c>
      <c r="AA139" s="116" t="n">
        <v>36</v>
      </c>
      <c r="AB139" s="47">
        <f>IFERROR(AA139/W139,"")</f>
        <v/>
      </c>
      <c r="AC139" s="116" t="n">
        <v>0</v>
      </c>
      <c r="AD139" s="116" t="n">
        <v>0</v>
      </c>
      <c r="AE139" s="116" t="n">
        <v>0</v>
      </c>
      <c r="AF139" s="116" t="n">
        <v>0</v>
      </c>
      <c r="AG139" s="116" t="n">
        <v>0</v>
      </c>
      <c r="AH139" s="116" t="n">
        <v>0</v>
      </c>
      <c r="AI139" s="47">
        <f>IFERROR(AC139/S139,"")</f>
        <v/>
      </c>
      <c r="AJ139" s="47">
        <f>IFERROR(AH139/S139,"")</f>
        <v/>
      </c>
      <c r="AK139" s="116" t="n">
        <v>58</v>
      </c>
      <c r="AL139" s="116" t="n">
        <v>1</v>
      </c>
      <c r="AM139" s="118">
        <f>IFERROR(AL139/AA139,"")</f>
        <v/>
      </c>
      <c r="AN139" s="119">
        <f>IFERROR(R139/AL139,"")</f>
        <v/>
      </c>
      <c r="AO139" s="116" t="n">
        <v>1</v>
      </c>
      <c r="AP139" s="47">
        <f>IFERROR(AO139/AL139,"")</f>
        <v/>
      </c>
      <c r="AQ139" s="119">
        <f>IFERROR(R139/AO139,"")</f>
        <v/>
      </c>
      <c r="AR139" s="116" t="n">
        <v>0</v>
      </c>
      <c r="AS139" s="116" t="n">
        <v>0</v>
      </c>
      <c r="AT139" s="116">
        <f>AL139+AR139</f>
        <v/>
      </c>
      <c r="AU139" s="119">
        <f>IFERROR(AO139*Assumptions!$C$26*Assumptions!$C$27*INDEX(Assumptions!$C$18:$C$21,MATCH(H139,Assumptions!$B$18:$B$21,0)),0)</f>
        <v/>
      </c>
    </row>
    <row r="140">
      <c r="A140" s="114" t="n">
        <v>46260</v>
      </c>
      <c r="B140" s="42" t="inlineStr">
        <is>
          <t>Wk 35</t>
        </is>
      </c>
      <c r="C140" s="42" t="inlineStr">
        <is>
          <t>Wed</t>
        </is>
      </c>
      <c r="D140" s="42" t="inlineStr">
        <is>
          <t>Meta (FB/IG)</t>
        </is>
      </c>
      <c r="E140" s="42" t="inlineStr">
        <is>
          <t>Facebook + Instagram</t>
        </is>
      </c>
      <c r="F140" s="42" t="inlineStr">
        <is>
          <t>LEP_ZA_AUG26_META_TD_AMUR_CONV</t>
        </is>
      </c>
      <c r="G140" s="42" t="inlineStr">
        <is>
          <t>Leads - Website Conversions</t>
        </is>
      </c>
      <c r="H140" s="42" t="inlineStr">
        <is>
          <t>AMUR</t>
        </is>
      </c>
      <c r="I140" s="42" t="inlineStr">
        <is>
          <t>0% Deposit</t>
        </is>
      </c>
      <c r="J140" s="42" t="inlineStr">
        <is>
          <t>MET_AMUR_LAL3_LEADS_ZA</t>
        </is>
      </c>
      <c r="K140" s="42" t="inlineStr">
        <is>
          <t>Lookalike</t>
        </is>
      </c>
      <c r="L140" s="42" t="inlineStr">
        <is>
          <t>AMUR_STA_Offer_0Dep_v1</t>
        </is>
      </c>
      <c r="M140" s="42" t="inlineStr">
        <is>
          <t>Static 1:1</t>
        </is>
      </c>
      <c r="N140" s="42" t="inlineStr">
        <is>
          <t>0% deposit. Book your test drive.</t>
        </is>
      </c>
      <c r="O140" s="42" t="inlineStr">
        <is>
          <t>Auction - Lowest Cost</t>
        </is>
      </c>
      <c r="P140" s="42" t="inlineStr">
        <is>
          <t>Offsite Conversions</t>
        </is>
      </c>
      <c r="Q140" s="42" t="inlineStr">
        <is>
          <t>https://www.lepas-sa.co.za/offers/amur</t>
        </is>
      </c>
      <c r="R140" s="115" t="n">
        <v>181.46</v>
      </c>
      <c r="S140" s="116" t="n">
        <v>1883</v>
      </c>
      <c r="T140" s="116" t="n">
        <v>1136</v>
      </c>
      <c r="U140" s="117">
        <f>IFERROR(S140/T140,"")</f>
        <v/>
      </c>
      <c r="V140" s="116" t="n">
        <v>24</v>
      </c>
      <c r="W140" s="116" t="n">
        <v>18</v>
      </c>
      <c r="X140" s="118">
        <f>IFERROR(W140/S140,"")</f>
        <v/>
      </c>
      <c r="Y140" s="115">
        <f>IFERROR(R140/W140,"")</f>
        <v/>
      </c>
      <c r="Z140" s="115">
        <f>IFERROR(R140/S140*1000,"")</f>
        <v/>
      </c>
      <c r="AA140" s="116" t="n">
        <v>15</v>
      </c>
      <c r="AB140" s="47">
        <f>IFERROR(AA140/W140,"")</f>
        <v/>
      </c>
      <c r="AC140" s="116" t="n">
        <v>0</v>
      </c>
      <c r="AD140" s="116" t="n">
        <v>0</v>
      </c>
      <c r="AE140" s="116" t="n">
        <v>0</v>
      </c>
      <c r="AF140" s="116" t="n">
        <v>0</v>
      </c>
      <c r="AG140" s="116" t="n">
        <v>0</v>
      </c>
      <c r="AH140" s="116" t="n">
        <v>0</v>
      </c>
      <c r="AI140" s="47">
        <f>IFERROR(AC140/S140,"")</f>
        <v/>
      </c>
      <c r="AJ140" s="47">
        <f>IFERROR(AH140/S140,"")</f>
        <v/>
      </c>
      <c r="AK140" s="116" t="n">
        <v>57</v>
      </c>
      <c r="AL140" s="116" t="n">
        <v>1</v>
      </c>
      <c r="AM140" s="118">
        <f>IFERROR(AL140/AA140,"")</f>
        <v/>
      </c>
      <c r="AN140" s="119">
        <f>IFERROR(R140/AL140,"")</f>
        <v/>
      </c>
      <c r="AO140" s="116" t="n">
        <v>0</v>
      </c>
      <c r="AP140" s="47">
        <f>IFERROR(AO140/AL140,"")</f>
        <v/>
      </c>
      <c r="AQ140" s="119">
        <f>IFERROR(R140/AO140,"")</f>
        <v/>
      </c>
      <c r="AR140" s="116" t="n">
        <v>0</v>
      </c>
      <c r="AS140" s="116" t="n">
        <v>0</v>
      </c>
      <c r="AT140" s="116">
        <f>AL140+AR140</f>
        <v/>
      </c>
      <c r="AU140" s="119">
        <f>IFERROR(AO140*Assumptions!$C$26*Assumptions!$C$27*INDEX(Assumptions!$C$18:$C$21,MATCH(H140,Assumptions!$B$18:$B$21,0)),0)</f>
        <v/>
      </c>
    </row>
    <row r="141">
      <c r="A141" s="114" t="n">
        <v>46261</v>
      </c>
      <c r="B141" s="42" t="inlineStr">
        <is>
          <t>Wk 35</t>
        </is>
      </c>
      <c r="C141" s="42" t="inlineStr">
        <is>
          <t>Thu</t>
        </is>
      </c>
      <c r="D141" s="42" t="inlineStr">
        <is>
          <t>Meta (FB/IG)</t>
        </is>
      </c>
      <c r="E141" s="42" t="inlineStr">
        <is>
          <t>Facebook + Instagram</t>
        </is>
      </c>
      <c r="F141" s="42" t="inlineStr">
        <is>
          <t>LEP_ZA_AUG26_META_TD_AMUR_CONV</t>
        </is>
      </c>
      <c r="G141" s="42" t="inlineStr">
        <is>
          <t>Leads - Website Conversions</t>
        </is>
      </c>
      <c r="H141" s="42" t="inlineStr">
        <is>
          <t>AMUR</t>
        </is>
      </c>
      <c r="I141" s="42" t="inlineStr">
        <is>
          <t>0% Deposit</t>
        </is>
      </c>
      <c r="J141" s="42" t="inlineStr">
        <is>
          <t>MET_AMUR_LAL3_LEADS_ZA</t>
        </is>
      </c>
      <c r="K141" s="42" t="inlineStr">
        <is>
          <t>Lookalike</t>
        </is>
      </c>
      <c r="L141" s="42" t="inlineStr">
        <is>
          <t>AMUR_STA_Offer_0Dep_v1</t>
        </is>
      </c>
      <c r="M141" s="42" t="inlineStr">
        <is>
          <t>Static 1:1</t>
        </is>
      </c>
      <c r="N141" s="42" t="inlineStr">
        <is>
          <t>0% deposit. Book your test drive.</t>
        </is>
      </c>
      <c r="O141" s="42" t="inlineStr">
        <is>
          <t>Auction - Lowest Cost</t>
        </is>
      </c>
      <c r="P141" s="42" t="inlineStr">
        <is>
          <t>Offsite Conversions</t>
        </is>
      </c>
      <c r="Q141" s="42" t="inlineStr">
        <is>
          <t>https://www.lepas-sa.co.za/offers/amur</t>
        </is>
      </c>
      <c r="R141" s="115" t="n">
        <v>250.28</v>
      </c>
      <c r="S141" s="116" t="n">
        <v>2920</v>
      </c>
      <c r="T141" s="116" t="n">
        <v>1731</v>
      </c>
      <c r="U141" s="117">
        <f>IFERROR(S141/T141,"")</f>
        <v/>
      </c>
      <c r="V141" s="116" t="n">
        <v>35</v>
      </c>
      <c r="W141" s="116" t="n">
        <v>30</v>
      </c>
      <c r="X141" s="118">
        <f>IFERROR(W141/S141,"")</f>
        <v/>
      </c>
      <c r="Y141" s="115">
        <f>IFERROR(R141/W141,"")</f>
        <v/>
      </c>
      <c r="Z141" s="115">
        <f>IFERROR(R141/S141*1000,"")</f>
        <v/>
      </c>
      <c r="AA141" s="116" t="n">
        <v>25</v>
      </c>
      <c r="AB141" s="47">
        <f>IFERROR(AA141/W141,"")</f>
        <v/>
      </c>
      <c r="AC141" s="116" t="n">
        <v>0</v>
      </c>
      <c r="AD141" s="116" t="n">
        <v>0</v>
      </c>
      <c r="AE141" s="116" t="n">
        <v>0</v>
      </c>
      <c r="AF141" s="116" t="n">
        <v>0</v>
      </c>
      <c r="AG141" s="116" t="n">
        <v>0</v>
      </c>
      <c r="AH141" s="116" t="n">
        <v>0</v>
      </c>
      <c r="AI141" s="47">
        <f>IFERROR(AC141/S141,"")</f>
        <v/>
      </c>
      <c r="AJ141" s="47">
        <f>IFERROR(AH141/S141,"")</f>
        <v/>
      </c>
      <c r="AK141" s="116" t="n">
        <v>44</v>
      </c>
      <c r="AL141" s="116" t="n">
        <v>1</v>
      </c>
      <c r="AM141" s="118">
        <f>IFERROR(AL141/AA141,"")</f>
        <v/>
      </c>
      <c r="AN141" s="119">
        <f>IFERROR(R141/AL141,"")</f>
        <v/>
      </c>
      <c r="AO141" s="116" t="n">
        <v>0</v>
      </c>
      <c r="AP141" s="47">
        <f>IFERROR(AO141/AL141,"")</f>
        <v/>
      </c>
      <c r="AQ141" s="119">
        <f>IFERROR(R141/AO141,"")</f>
        <v/>
      </c>
      <c r="AR141" s="116" t="n">
        <v>0</v>
      </c>
      <c r="AS141" s="116" t="n">
        <v>1</v>
      </c>
      <c r="AT141" s="116">
        <f>AL141+AR141</f>
        <v/>
      </c>
      <c r="AU141" s="119">
        <f>IFERROR(AO141*Assumptions!$C$26*Assumptions!$C$27*INDEX(Assumptions!$C$18:$C$21,MATCH(H141,Assumptions!$B$18:$B$21,0)),0)</f>
        <v/>
      </c>
    </row>
    <row r="142">
      <c r="A142" s="114" t="n">
        <v>46262</v>
      </c>
      <c r="B142" s="42" t="inlineStr">
        <is>
          <t>Wk 35</t>
        </is>
      </c>
      <c r="C142" s="42" t="inlineStr">
        <is>
          <t>Fri</t>
        </is>
      </c>
      <c r="D142" s="42" t="inlineStr">
        <is>
          <t>Meta (FB/IG)</t>
        </is>
      </c>
      <c r="E142" s="42" t="inlineStr">
        <is>
          <t>Facebook + Instagram</t>
        </is>
      </c>
      <c r="F142" s="42" t="inlineStr">
        <is>
          <t>LEP_ZA_AUG26_META_TD_AMUR_CONV</t>
        </is>
      </c>
      <c r="G142" s="42" t="inlineStr">
        <is>
          <t>Leads - Website Conversions</t>
        </is>
      </c>
      <c r="H142" s="42" t="inlineStr">
        <is>
          <t>AMUR</t>
        </is>
      </c>
      <c r="I142" s="42" t="inlineStr">
        <is>
          <t>0% Deposit</t>
        </is>
      </c>
      <c r="J142" s="42" t="inlineStr">
        <is>
          <t>MET_AMUR_LAL3_LEADS_ZA</t>
        </is>
      </c>
      <c r="K142" s="42" t="inlineStr">
        <is>
          <t>Lookalike</t>
        </is>
      </c>
      <c r="L142" s="42" t="inlineStr">
        <is>
          <t>AMUR_STA_Offer_0Dep_v1</t>
        </is>
      </c>
      <c r="M142" s="42" t="inlineStr">
        <is>
          <t>Static 1:1</t>
        </is>
      </c>
      <c r="N142" s="42" t="inlineStr">
        <is>
          <t>0% deposit. Book your test drive.</t>
        </is>
      </c>
      <c r="O142" s="42" t="inlineStr">
        <is>
          <t>Auction - Lowest Cost</t>
        </is>
      </c>
      <c r="P142" s="42" t="inlineStr">
        <is>
          <t>Offsite Conversions</t>
        </is>
      </c>
      <c r="Q142" s="42" t="inlineStr">
        <is>
          <t>https://www.lepas-sa.co.za/offers/amur</t>
        </is>
      </c>
      <c r="R142" s="115" t="n">
        <v>234.73</v>
      </c>
      <c r="S142" s="116" t="n">
        <v>2585</v>
      </c>
      <c r="T142" s="116" t="n">
        <v>1455</v>
      </c>
      <c r="U142" s="117">
        <f>IFERROR(S142/T142,"")</f>
        <v/>
      </c>
      <c r="V142" s="116" t="n">
        <v>32</v>
      </c>
      <c r="W142" s="116" t="n">
        <v>25</v>
      </c>
      <c r="X142" s="118">
        <f>IFERROR(W142/S142,"")</f>
        <v/>
      </c>
      <c r="Y142" s="115">
        <f>IFERROR(R142/W142,"")</f>
        <v/>
      </c>
      <c r="Z142" s="115">
        <f>IFERROR(R142/S142*1000,"")</f>
        <v/>
      </c>
      <c r="AA142" s="116" t="n">
        <v>21</v>
      </c>
      <c r="AB142" s="47">
        <f>IFERROR(AA142/W142,"")</f>
        <v/>
      </c>
      <c r="AC142" s="116" t="n">
        <v>0</v>
      </c>
      <c r="AD142" s="116" t="n">
        <v>0</v>
      </c>
      <c r="AE142" s="116" t="n">
        <v>0</v>
      </c>
      <c r="AF142" s="116" t="n">
        <v>0</v>
      </c>
      <c r="AG142" s="116" t="n">
        <v>0</v>
      </c>
      <c r="AH142" s="116" t="n">
        <v>0</v>
      </c>
      <c r="AI142" s="47">
        <f>IFERROR(AC142/S142,"")</f>
        <v/>
      </c>
      <c r="AJ142" s="47">
        <f>IFERROR(AH142/S142,"")</f>
        <v/>
      </c>
      <c r="AK142" s="116" t="n">
        <v>69</v>
      </c>
      <c r="AL142" s="116" t="n">
        <v>0</v>
      </c>
      <c r="AM142" s="118">
        <f>IFERROR(AL142/AA142,"")</f>
        <v/>
      </c>
      <c r="AN142" s="119">
        <f>IFERROR(R142/AL142,"")</f>
        <v/>
      </c>
      <c r="AO142" s="116" t="n">
        <v>0</v>
      </c>
      <c r="AP142" s="47">
        <f>IFERROR(AO142/AL142,"")</f>
        <v/>
      </c>
      <c r="AQ142" s="119">
        <f>IFERROR(R142/AO142,"")</f>
        <v/>
      </c>
      <c r="AR142" s="116" t="n">
        <v>0</v>
      </c>
      <c r="AS142" s="116" t="n">
        <v>0</v>
      </c>
      <c r="AT142" s="116">
        <f>AL142+AR142</f>
        <v/>
      </c>
      <c r="AU142" s="119">
        <f>IFERROR(AO142*Assumptions!$C$26*Assumptions!$C$27*INDEX(Assumptions!$C$18:$C$21,MATCH(H142,Assumptions!$B$18:$B$21,0)),0)</f>
        <v/>
      </c>
    </row>
    <row r="143">
      <c r="A143" s="114" t="n">
        <v>46263</v>
      </c>
      <c r="B143" s="42" t="inlineStr">
        <is>
          <t>Wk 35</t>
        </is>
      </c>
      <c r="C143" s="42" t="inlineStr">
        <is>
          <t>Sat</t>
        </is>
      </c>
      <c r="D143" s="42" t="inlineStr">
        <is>
          <t>Meta (FB/IG)</t>
        </is>
      </c>
      <c r="E143" s="42" t="inlineStr">
        <is>
          <t>Facebook + Instagram</t>
        </is>
      </c>
      <c r="F143" s="42" t="inlineStr">
        <is>
          <t>LEP_ZA_AUG26_META_TD_AMUR_CONV</t>
        </is>
      </c>
      <c r="G143" s="42" t="inlineStr">
        <is>
          <t>Leads - Website Conversions</t>
        </is>
      </c>
      <c r="H143" s="42" t="inlineStr">
        <is>
          <t>AMUR</t>
        </is>
      </c>
      <c r="I143" s="42" t="inlineStr">
        <is>
          <t>0% Deposit</t>
        </is>
      </c>
      <c r="J143" s="42" t="inlineStr">
        <is>
          <t>MET_AMUR_LAL3_LEADS_ZA</t>
        </is>
      </c>
      <c r="K143" s="42" t="inlineStr">
        <is>
          <t>Lookalike</t>
        </is>
      </c>
      <c r="L143" s="42" t="inlineStr">
        <is>
          <t>AMUR_STA_Offer_0Dep_v1</t>
        </is>
      </c>
      <c r="M143" s="42" t="inlineStr">
        <is>
          <t>Static 1:1</t>
        </is>
      </c>
      <c r="N143" s="42" t="inlineStr">
        <is>
          <t>0% deposit. Book your test drive.</t>
        </is>
      </c>
      <c r="O143" s="42" t="inlineStr">
        <is>
          <t>Auction - Lowest Cost</t>
        </is>
      </c>
      <c r="P143" s="42" t="inlineStr">
        <is>
          <t>Offsite Conversions</t>
        </is>
      </c>
      <c r="Q143" s="42" t="inlineStr">
        <is>
          <t>https://www.lepas-sa.co.za/offers/amur</t>
        </is>
      </c>
      <c r="R143" s="115" t="n">
        <v>252.86</v>
      </c>
      <c r="S143" s="116" t="n">
        <v>3036</v>
      </c>
      <c r="T143" s="116" t="n">
        <v>1501</v>
      </c>
      <c r="U143" s="117">
        <f>IFERROR(S143/T143,"")</f>
        <v/>
      </c>
      <c r="V143" s="116" t="n">
        <v>34</v>
      </c>
      <c r="W143" s="116" t="n">
        <v>25</v>
      </c>
      <c r="X143" s="118">
        <f>IFERROR(W143/S143,"")</f>
        <v/>
      </c>
      <c r="Y143" s="115">
        <f>IFERROR(R143/W143,"")</f>
        <v/>
      </c>
      <c r="Z143" s="115">
        <f>IFERROR(R143/S143*1000,"")</f>
        <v/>
      </c>
      <c r="AA143" s="116" t="n">
        <v>22</v>
      </c>
      <c r="AB143" s="47">
        <f>IFERROR(AA143/W143,"")</f>
        <v/>
      </c>
      <c r="AC143" s="116" t="n">
        <v>0</v>
      </c>
      <c r="AD143" s="116" t="n">
        <v>0</v>
      </c>
      <c r="AE143" s="116" t="n">
        <v>0</v>
      </c>
      <c r="AF143" s="116" t="n">
        <v>0</v>
      </c>
      <c r="AG143" s="116" t="n">
        <v>0</v>
      </c>
      <c r="AH143" s="116" t="n">
        <v>0</v>
      </c>
      <c r="AI143" s="47">
        <f>IFERROR(AC143/S143,"")</f>
        <v/>
      </c>
      <c r="AJ143" s="47">
        <f>IFERROR(AH143/S143,"")</f>
        <v/>
      </c>
      <c r="AK143" s="116" t="n">
        <v>56</v>
      </c>
      <c r="AL143" s="116" t="n">
        <v>0</v>
      </c>
      <c r="AM143" s="118">
        <f>IFERROR(AL143/AA143,"")</f>
        <v/>
      </c>
      <c r="AN143" s="119">
        <f>IFERROR(R143/AL143,"")</f>
        <v/>
      </c>
      <c r="AO143" s="116" t="n">
        <v>0</v>
      </c>
      <c r="AP143" s="47">
        <f>IFERROR(AO143/AL143,"")</f>
        <v/>
      </c>
      <c r="AQ143" s="119">
        <f>IFERROR(R143/AO143,"")</f>
        <v/>
      </c>
      <c r="AR143" s="116" t="n">
        <v>0</v>
      </c>
      <c r="AS143" s="116" t="n">
        <v>0</v>
      </c>
      <c r="AT143" s="116">
        <f>AL143+AR143</f>
        <v/>
      </c>
      <c r="AU143" s="119">
        <f>IFERROR(AO143*Assumptions!$C$26*Assumptions!$C$27*INDEX(Assumptions!$C$18:$C$21,MATCH(H143,Assumptions!$B$18:$B$21,0)),0)</f>
        <v/>
      </c>
    </row>
    <row r="144">
      <c r="A144" s="114" t="n">
        <v>46264</v>
      </c>
      <c r="B144" s="42" t="inlineStr">
        <is>
          <t>Wk 35</t>
        </is>
      </c>
      <c r="C144" s="42" t="inlineStr">
        <is>
          <t>Sun</t>
        </is>
      </c>
      <c r="D144" s="42" t="inlineStr">
        <is>
          <t>Meta (FB/IG)</t>
        </is>
      </c>
      <c r="E144" s="42" t="inlineStr">
        <is>
          <t>Facebook + Instagram</t>
        </is>
      </c>
      <c r="F144" s="42" t="inlineStr">
        <is>
          <t>LEP_ZA_AUG26_META_TD_AMUR_CONV</t>
        </is>
      </c>
      <c r="G144" s="42" t="inlineStr">
        <is>
          <t>Leads - Website Conversions</t>
        </is>
      </c>
      <c r="H144" s="42" t="inlineStr">
        <is>
          <t>AMUR</t>
        </is>
      </c>
      <c r="I144" s="42" t="inlineStr">
        <is>
          <t>0% Deposit</t>
        </is>
      </c>
      <c r="J144" s="42" t="inlineStr">
        <is>
          <t>MET_AMUR_LAL3_LEADS_ZA</t>
        </is>
      </c>
      <c r="K144" s="42" t="inlineStr">
        <is>
          <t>Lookalike</t>
        </is>
      </c>
      <c r="L144" s="42" t="inlineStr">
        <is>
          <t>AMUR_STA_Offer_0Dep_v1</t>
        </is>
      </c>
      <c r="M144" s="42" t="inlineStr">
        <is>
          <t>Static 1:1</t>
        </is>
      </c>
      <c r="N144" s="42" t="inlineStr">
        <is>
          <t>0% deposit. Book your test drive.</t>
        </is>
      </c>
      <c r="O144" s="42" t="inlineStr">
        <is>
          <t>Auction - Lowest Cost</t>
        </is>
      </c>
      <c r="P144" s="42" t="inlineStr">
        <is>
          <t>Offsite Conversions</t>
        </is>
      </c>
      <c r="Q144" s="42" t="inlineStr">
        <is>
          <t>https://www.lepas-sa.co.za/offers/amur</t>
        </is>
      </c>
      <c r="R144" s="115" t="n">
        <v>194.16</v>
      </c>
      <c r="S144" s="116" t="n">
        <v>1969</v>
      </c>
      <c r="T144" s="116" t="n">
        <v>996</v>
      </c>
      <c r="U144" s="117">
        <f>IFERROR(S144/T144,"")</f>
        <v/>
      </c>
      <c r="V144" s="116" t="n">
        <v>35</v>
      </c>
      <c r="W144" s="116" t="n">
        <v>26</v>
      </c>
      <c r="X144" s="118">
        <f>IFERROR(W144/S144,"")</f>
        <v/>
      </c>
      <c r="Y144" s="115">
        <f>IFERROR(R144/W144,"")</f>
        <v/>
      </c>
      <c r="Z144" s="115">
        <f>IFERROR(R144/S144*1000,"")</f>
        <v/>
      </c>
      <c r="AA144" s="116" t="n">
        <v>22</v>
      </c>
      <c r="AB144" s="47">
        <f>IFERROR(AA144/W144,"")</f>
        <v/>
      </c>
      <c r="AC144" s="116" t="n">
        <v>0</v>
      </c>
      <c r="AD144" s="116" t="n">
        <v>0</v>
      </c>
      <c r="AE144" s="116" t="n">
        <v>0</v>
      </c>
      <c r="AF144" s="116" t="n">
        <v>0</v>
      </c>
      <c r="AG144" s="116" t="n">
        <v>0</v>
      </c>
      <c r="AH144" s="116" t="n">
        <v>0</v>
      </c>
      <c r="AI144" s="47">
        <f>IFERROR(AC144/S144,"")</f>
        <v/>
      </c>
      <c r="AJ144" s="47">
        <f>IFERROR(AH144/S144,"")</f>
        <v/>
      </c>
      <c r="AK144" s="116" t="n">
        <v>55</v>
      </c>
      <c r="AL144" s="116" t="n">
        <v>0</v>
      </c>
      <c r="AM144" s="118">
        <f>IFERROR(AL144/AA144,"")</f>
        <v/>
      </c>
      <c r="AN144" s="119">
        <f>IFERROR(R144/AL144,"")</f>
        <v/>
      </c>
      <c r="AO144" s="116" t="n">
        <v>0</v>
      </c>
      <c r="AP144" s="47">
        <f>IFERROR(AO144/AL144,"")</f>
        <v/>
      </c>
      <c r="AQ144" s="119">
        <f>IFERROR(R144/AO144,"")</f>
        <v/>
      </c>
      <c r="AR144" s="116" t="n">
        <v>0</v>
      </c>
      <c r="AS144" s="116" t="n">
        <v>0</v>
      </c>
      <c r="AT144" s="116">
        <f>AL144+AR144</f>
        <v/>
      </c>
      <c r="AU144" s="119">
        <f>IFERROR(AO144*Assumptions!$C$26*Assumptions!$C$27*INDEX(Assumptions!$C$18:$C$21,MATCH(H144,Assumptions!$B$18:$B$21,0)),0)</f>
        <v/>
      </c>
    </row>
    <row r="145">
      <c r="A145" s="114" t="n">
        <v>46265</v>
      </c>
      <c r="B145" s="42" t="inlineStr">
        <is>
          <t>Wk 36</t>
        </is>
      </c>
      <c r="C145" s="42" t="inlineStr">
        <is>
          <t>Mon</t>
        </is>
      </c>
      <c r="D145" s="42" t="inlineStr">
        <is>
          <t>Meta (FB/IG)</t>
        </is>
      </c>
      <c r="E145" s="42" t="inlineStr">
        <is>
          <t>Facebook + Instagram</t>
        </is>
      </c>
      <c r="F145" s="42" t="inlineStr">
        <is>
          <t>LEP_ZA_AUG26_META_TD_AMUR_CONV</t>
        </is>
      </c>
      <c r="G145" s="42" t="inlineStr">
        <is>
          <t>Leads - Website Conversions</t>
        </is>
      </c>
      <c r="H145" s="42" t="inlineStr">
        <is>
          <t>AMUR</t>
        </is>
      </c>
      <c r="I145" s="42" t="inlineStr">
        <is>
          <t>0% Deposit</t>
        </is>
      </c>
      <c r="J145" s="42" t="inlineStr">
        <is>
          <t>MET_AMUR_LAL3_LEADS_ZA</t>
        </is>
      </c>
      <c r="K145" s="42" t="inlineStr">
        <is>
          <t>Lookalike</t>
        </is>
      </c>
      <c r="L145" s="42" t="inlineStr">
        <is>
          <t>AMUR_STA_Offer_0Dep_v1</t>
        </is>
      </c>
      <c r="M145" s="42" t="inlineStr">
        <is>
          <t>Static 1:1</t>
        </is>
      </c>
      <c r="N145" s="42" t="inlineStr">
        <is>
          <t>0% deposit. Book your test drive.</t>
        </is>
      </c>
      <c r="O145" s="42" t="inlineStr">
        <is>
          <t>Auction - Lowest Cost</t>
        </is>
      </c>
      <c r="P145" s="42" t="inlineStr">
        <is>
          <t>Offsite Conversions</t>
        </is>
      </c>
      <c r="Q145" s="42" t="inlineStr">
        <is>
          <t>https://www.lepas-sa.co.za/offers/amur</t>
        </is>
      </c>
      <c r="R145" s="115" t="n">
        <v>162.86</v>
      </c>
      <c r="S145" s="116" t="n">
        <v>1758</v>
      </c>
      <c r="T145" s="116" t="n">
        <v>850</v>
      </c>
      <c r="U145" s="117">
        <f>IFERROR(S145/T145,"")</f>
        <v/>
      </c>
      <c r="V145" s="116" t="n">
        <v>38</v>
      </c>
      <c r="W145" s="116" t="n">
        <v>28</v>
      </c>
      <c r="X145" s="118">
        <f>IFERROR(W145/S145,"")</f>
        <v/>
      </c>
      <c r="Y145" s="115">
        <f>IFERROR(R145/W145,"")</f>
        <v/>
      </c>
      <c r="Z145" s="115">
        <f>IFERROR(R145/S145*1000,"")</f>
        <v/>
      </c>
      <c r="AA145" s="116" t="n">
        <v>24</v>
      </c>
      <c r="AB145" s="47">
        <f>IFERROR(AA145/W145,"")</f>
        <v/>
      </c>
      <c r="AC145" s="116" t="n">
        <v>0</v>
      </c>
      <c r="AD145" s="116" t="n">
        <v>0</v>
      </c>
      <c r="AE145" s="116" t="n">
        <v>0</v>
      </c>
      <c r="AF145" s="116" t="n">
        <v>0</v>
      </c>
      <c r="AG145" s="116" t="n">
        <v>0</v>
      </c>
      <c r="AH145" s="116" t="n">
        <v>0</v>
      </c>
      <c r="AI145" s="47">
        <f>IFERROR(AC145/S145,"")</f>
        <v/>
      </c>
      <c r="AJ145" s="47">
        <f>IFERROR(AH145/S145,"")</f>
        <v/>
      </c>
      <c r="AK145" s="116" t="n">
        <v>60</v>
      </c>
      <c r="AL145" s="116" t="n">
        <v>0</v>
      </c>
      <c r="AM145" s="118">
        <f>IFERROR(AL145/AA145,"")</f>
        <v/>
      </c>
      <c r="AN145" s="119">
        <f>IFERROR(R145/AL145,"")</f>
        <v/>
      </c>
      <c r="AO145" s="116" t="n">
        <v>0</v>
      </c>
      <c r="AP145" s="47">
        <f>IFERROR(AO145/AL145,"")</f>
        <v/>
      </c>
      <c r="AQ145" s="119">
        <f>IFERROR(R145/AO145,"")</f>
        <v/>
      </c>
      <c r="AR145" s="116" t="n">
        <v>0</v>
      </c>
      <c r="AS145" s="116" t="n">
        <v>0</v>
      </c>
      <c r="AT145" s="116">
        <f>AL145+AR145</f>
        <v/>
      </c>
      <c r="AU145" s="119">
        <f>IFERROR(AO145*Assumptions!$C$26*Assumptions!$C$27*INDEX(Assumptions!$C$18:$C$21,MATCH(H145,Assumptions!$B$18:$B$21,0)),0)</f>
        <v/>
      </c>
    </row>
    <row r="146">
      <c r="A146" s="114" t="n">
        <v>46240</v>
      </c>
      <c r="B146" s="42" t="inlineStr">
        <is>
          <t>Wk 32</t>
        </is>
      </c>
      <c r="C146" s="42" t="inlineStr">
        <is>
          <t>Thu</t>
        </is>
      </c>
      <c r="D146" s="42" t="inlineStr">
        <is>
          <t>Meta (FB/IG)</t>
        </is>
      </c>
      <c r="E146" s="42" t="inlineStr">
        <is>
          <t>Facebook + Instagram</t>
        </is>
      </c>
      <c r="F146" s="42" t="inlineStr">
        <is>
          <t>LEP_ZA_AUG26_META_TD_AMUR_CONV</t>
        </is>
      </c>
      <c r="G146" s="42" t="inlineStr">
        <is>
          <t>Leads - Website Conversions</t>
        </is>
      </c>
      <c r="H146" s="42" t="inlineStr">
        <is>
          <t>AMUR</t>
        </is>
      </c>
      <c r="I146" s="42" t="inlineStr">
        <is>
          <t>0% Deposit</t>
        </is>
      </c>
      <c r="J146" s="42" t="inlineStr">
        <is>
          <t>MET_AMUR_LAL3_LEADS_ZA</t>
        </is>
      </c>
      <c r="K146" s="42" t="inlineStr">
        <is>
          <t>Lookalike</t>
        </is>
      </c>
      <c r="L146" s="42" t="inlineStr">
        <is>
          <t>AMUR_CAR_4card_SpecStack_v1</t>
        </is>
      </c>
      <c r="M146" s="42" t="inlineStr">
        <is>
          <t>Carousel</t>
        </is>
      </c>
      <c r="N146" s="42" t="inlineStr">
        <is>
          <t>4 reasons the AMUR outsells its class</t>
        </is>
      </c>
      <c r="O146" s="42" t="inlineStr">
        <is>
          <t>Auction - Lowest Cost</t>
        </is>
      </c>
      <c r="P146" s="42" t="inlineStr">
        <is>
          <t>Offsite Conversions</t>
        </is>
      </c>
      <c r="Q146" s="42" t="inlineStr">
        <is>
          <t>https://www.lepas-sa.co.za/offers/amur</t>
        </is>
      </c>
      <c r="R146" s="115" t="n">
        <v>164.08</v>
      </c>
      <c r="S146" s="116" t="n">
        <v>2561</v>
      </c>
      <c r="T146" s="116" t="n">
        <v>2135</v>
      </c>
      <c r="U146" s="117">
        <f>IFERROR(S146/T146,"")</f>
        <v/>
      </c>
      <c r="V146" s="116" t="n">
        <v>89</v>
      </c>
      <c r="W146" s="116" t="n">
        <v>70</v>
      </c>
      <c r="X146" s="118">
        <f>IFERROR(W146/S146,"")</f>
        <v/>
      </c>
      <c r="Y146" s="115">
        <f>IFERROR(R146/W146,"")</f>
        <v/>
      </c>
      <c r="Z146" s="115">
        <f>IFERROR(R146/S146*1000,"")</f>
        <v/>
      </c>
      <c r="AA146" s="116" t="n">
        <v>60</v>
      </c>
      <c r="AB146" s="47">
        <f>IFERROR(AA146/W146,"")</f>
        <v/>
      </c>
      <c r="AC146" s="116" t="n">
        <v>0</v>
      </c>
      <c r="AD146" s="116" t="n">
        <v>0</v>
      </c>
      <c r="AE146" s="116" t="n">
        <v>0</v>
      </c>
      <c r="AF146" s="116" t="n">
        <v>0</v>
      </c>
      <c r="AG146" s="116" t="n">
        <v>0</v>
      </c>
      <c r="AH146" s="116" t="n">
        <v>0</v>
      </c>
      <c r="AI146" s="47">
        <f>IFERROR(AC146/S146,"")</f>
        <v/>
      </c>
      <c r="AJ146" s="47">
        <f>IFERROR(AH146/S146,"")</f>
        <v/>
      </c>
      <c r="AK146" s="116" t="n">
        <v>54</v>
      </c>
      <c r="AL146" s="116" t="n">
        <v>1</v>
      </c>
      <c r="AM146" s="118">
        <f>IFERROR(AL146/AA146,"")</f>
        <v/>
      </c>
      <c r="AN146" s="119">
        <f>IFERROR(R146/AL146,"")</f>
        <v/>
      </c>
      <c r="AO146" s="116" t="n">
        <v>1</v>
      </c>
      <c r="AP146" s="47">
        <f>IFERROR(AO146/AL146,"")</f>
        <v/>
      </c>
      <c r="AQ146" s="119">
        <f>IFERROR(R146/AO146,"")</f>
        <v/>
      </c>
      <c r="AR146" s="116" t="n">
        <v>0</v>
      </c>
      <c r="AS146" s="116" t="n">
        <v>0</v>
      </c>
      <c r="AT146" s="116">
        <f>AL146+AR146</f>
        <v/>
      </c>
      <c r="AU146" s="119">
        <f>IFERROR(AO146*Assumptions!$C$26*Assumptions!$C$27*INDEX(Assumptions!$C$18:$C$21,MATCH(H146,Assumptions!$B$18:$B$21,0)),0)</f>
        <v/>
      </c>
    </row>
    <row r="147">
      <c r="A147" s="114" t="n">
        <v>46241</v>
      </c>
      <c r="B147" s="42" t="inlineStr">
        <is>
          <t>Wk 32</t>
        </is>
      </c>
      <c r="C147" s="42" t="inlineStr">
        <is>
          <t>Fri</t>
        </is>
      </c>
      <c r="D147" s="42" t="inlineStr">
        <is>
          <t>Meta (FB/IG)</t>
        </is>
      </c>
      <c r="E147" s="42" t="inlineStr">
        <is>
          <t>Facebook + Instagram</t>
        </is>
      </c>
      <c r="F147" s="42" t="inlineStr">
        <is>
          <t>LEP_ZA_AUG26_META_TD_AMUR_CONV</t>
        </is>
      </c>
      <c r="G147" s="42" t="inlineStr">
        <is>
          <t>Leads - Website Conversions</t>
        </is>
      </c>
      <c r="H147" s="42" t="inlineStr">
        <is>
          <t>AMUR</t>
        </is>
      </c>
      <c r="I147" s="42" t="inlineStr">
        <is>
          <t>0% Deposit</t>
        </is>
      </c>
      <c r="J147" s="42" t="inlineStr">
        <is>
          <t>MET_AMUR_LAL3_LEADS_ZA</t>
        </is>
      </c>
      <c r="K147" s="42" t="inlineStr">
        <is>
          <t>Lookalike</t>
        </is>
      </c>
      <c r="L147" s="42" t="inlineStr">
        <is>
          <t>AMUR_CAR_4card_SpecStack_v1</t>
        </is>
      </c>
      <c r="M147" s="42" t="inlineStr">
        <is>
          <t>Carousel</t>
        </is>
      </c>
      <c r="N147" s="42" t="inlineStr">
        <is>
          <t>4 reasons the AMUR outsells its class</t>
        </is>
      </c>
      <c r="O147" s="42" t="inlineStr">
        <is>
          <t>Auction - Lowest Cost</t>
        </is>
      </c>
      <c r="P147" s="42" t="inlineStr">
        <is>
          <t>Offsite Conversions</t>
        </is>
      </c>
      <c r="Q147" s="42" t="inlineStr">
        <is>
          <t>https://www.lepas-sa.co.za/offers/amur</t>
        </is>
      </c>
      <c r="R147" s="115" t="n">
        <v>145.21</v>
      </c>
      <c r="S147" s="116" t="n">
        <v>1693</v>
      </c>
      <c r="T147" s="116" t="n">
        <v>1028</v>
      </c>
      <c r="U147" s="117">
        <f>IFERROR(S147/T147,"")</f>
        <v/>
      </c>
      <c r="V147" s="116" t="n">
        <v>37</v>
      </c>
      <c r="W147" s="116" t="n">
        <v>27</v>
      </c>
      <c r="X147" s="118">
        <f>IFERROR(W147/S147,"")</f>
        <v/>
      </c>
      <c r="Y147" s="115">
        <f>IFERROR(R147/W147,"")</f>
        <v/>
      </c>
      <c r="Z147" s="115">
        <f>IFERROR(R147/S147*1000,"")</f>
        <v/>
      </c>
      <c r="AA147" s="116" t="n">
        <v>24</v>
      </c>
      <c r="AB147" s="47">
        <f>IFERROR(AA147/W147,"")</f>
        <v/>
      </c>
      <c r="AC147" s="116" t="n">
        <v>0</v>
      </c>
      <c r="AD147" s="116" t="n">
        <v>0</v>
      </c>
      <c r="AE147" s="116" t="n">
        <v>0</v>
      </c>
      <c r="AF147" s="116" t="n">
        <v>0</v>
      </c>
      <c r="AG147" s="116" t="n">
        <v>0</v>
      </c>
      <c r="AH147" s="116" t="n">
        <v>0</v>
      </c>
      <c r="AI147" s="47">
        <f>IFERROR(AC147/S147,"")</f>
        <v/>
      </c>
      <c r="AJ147" s="47">
        <f>IFERROR(AH147/S147,"")</f>
        <v/>
      </c>
      <c r="AK147" s="116" t="n">
        <v>44</v>
      </c>
      <c r="AL147" s="116" t="n">
        <v>1</v>
      </c>
      <c r="AM147" s="118">
        <f>IFERROR(AL147/AA147,"")</f>
        <v/>
      </c>
      <c r="AN147" s="119">
        <f>IFERROR(R147/AL147,"")</f>
        <v/>
      </c>
      <c r="AO147" s="116" t="n">
        <v>1</v>
      </c>
      <c r="AP147" s="47">
        <f>IFERROR(AO147/AL147,"")</f>
        <v/>
      </c>
      <c r="AQ147" s="119">
        <f>IFERROR(R147/AO147,"")</f>
        <v/>
      </c>
      <c r="AR147" s="116" t="n">
        <v>0</v>
      </c>
      <c r="AS147" s="116" t="n">
        <v>0</v>
      </c>
      <c r="AT147" s="116">
        <f>AL147+AR147</f>
        <v/>
      </c>
      <c r="AU147" s="119">
        <f>IFERROR(AO147*Assumptions!$C$26*Assumptions!$C$27*INDEX(Assumptions!$C$18:$C$21,MATCH(H147,Assumptions!$B$18:$B$21,0)),0)</f>
        <v/>
      </c>
    </row>
    <row r="148">
      <c r="A148" s="114" t="n">
        <v>46242</v>
      </c>
      <c r="B148" s="42" t="inlineStr">
        <is>
          <t>Wk 32</t>
        </is>
      </c>
      <c r="C148" s="42" t="inlineStr">
        <is>
          <t>Sat</t>
        </is>
      </c>
      <c r="D148" s="42" t="inlineStr">
        <is>
          <t>Meta (FB/IG)</t>
        </is>
      </c>
      <c r="E148" s="42" t="inlineStr">
        <is>
          <t>Facebook + Instagram</t>
        </is>
      </c>
      <c r="F148" s="42" t="inlineStr">
        <is>
          <t>LEP_ZA_AUG26_META_TD_AMUR_CONV</t>
        </is>
      </c>
      <c r="G148" s="42" t="inlineStr">
        <is>
          <t>Leads - Website Conversions</t>
        </is>
      </c>
      <c r="H148" s="42" t="inlineStr">
        <is>
          <t>AMUR</t>
        </is>
      </c>
      <c r="I148" s="42" t="inlineStr">
        <is>
          <t>0% Deposit</t>
        </is>
      </c>
      <c r="J148" s="42" t="inlineStr">
        <is>
          <t>MET_AMUR_LAL3_LEADS_ZA</t>
        </is>
      </c>
      <c r="K148" s="42" t="inlineStr">
        <is>
          <t>Lookalike</t>
        </is>
      </c>
      <c r="L148" s="42" t="inlineStr">
        <is>
          <t>AMUR_CAR_4card_SpecStack_v1</t>
        </is>
      </c>
      <c r="M148" s="42" t="inlineStr">
        <is>
          <t>Carousel</t>
        </is>
      </c>
      <c r="N148" s="42" t="inlineStr">
        <is>
          <t>4 reasons the AMUR outsells its class</t>
        </is>
      </c>
      <c r="O148" s="42" t="inlineStr">
        <is>
          <t>Auction - Lowest Cost</t>
        </is>
      </c>
      <c r="P148" s="42" t="inlineStr">
        <is>
          <t>Offsite Conversions</t>
        </is>
      </c>
      <c r="Q148" s="42" t="inlineStr">
        <is>
          <t>https://www.lepas-sa.co.za/offers/amur</t>
        </is>
      </c>
      <c r="R148" s="115" t="n">
        <v>155.14</v>
      </c>
      <c r="S148" s="116" t="n">
        <v>2275</v>
      </c>
      <c r="T148" s="116" t="n">
        <v>1915</v>
      </c>
      <c r="U148" s="117">
        <f>IFERROR(S148/T148,"")</f>
        <v/>
      </c>
      <c r="V148" s="116" t="n">
        <v>37</v>
      </c>
      <c r="W148" s="116" t="n">
        <v>26</v>
      </c>
      <c r="X148" s="118">
        <f>IFERROR(W148/S148,"")</f>
        <v/>
      </c>
      <c r="Y148" s="115">
        <f>IFERROR(R148/W148,"")</f>
        <v/>
      </c>
      <c r="Z148" s="115">
        <f>IFERROR(R148/S148*1000,"")</f>
        <v/>
      </c>
      <c r="AA148" s="116" t="n">
        <v>23</v>
      </c>
      <c r="AB148" s="47">
        <f>IFERROR(AA148/W148,"")</f>
        <v/>
      </c>
      <c r="AC148" s="116" t="n">
        <v>0</v>
      </c>
      <c r="AD148" s="116" t="n">
        <v>0</v>
      </c>
      <c r="AE148" s="116" t="n">
        <v>0</v>
      </c>
      <c r="AF148" s="116" t="n">
        <v>0</v>
      </c>
      <c r="AG148" s="116" t="n">
        <v>0</v>
      </c>
      <c r="AH148" s="116" t="n">
        <v>0</v>
      </c>
      <c r="AI148" s="47">
        <f>IFERROR(AC148/S148,"")</f>
        <v/>
      </c>
      <c r="AJ148" s="47">
        <f>IFERROR(AH148/S148,"")</f>
        <v/>
      </c>
      <c r="AK148" s="116" t="n">
        <v>43</v>
      </c>
      <c r="AL148" s="116" t="n">
        <v>1</v>
      </c>
      <c r="AM148" s="118">
        <f>IFERROR(AL148/AA148,"")</f>
        <v/>
      </c>
      <c r="AN148" s="119">
        <f>IFERROR(R148/AL148,"")</f>
        <v/>
      </c>
      <c r="AO148" s="116" t="n">
        <v>1</v>
      </c>
      <c r="AP148" s="47">
        <f>IFERROR(AO148/AL148,"")</f>
        <v/>
      </c>
      <c r="AQ148" s="119">
        <f>IFERROR(R148/AO148,"")</f>
        <v/>
      </c>
      <c r="AR148" s="116" t="n">
        <v>0</v>
      </c>
      <c r="AS148" s="116" t="n">
        <v>0</v>
      </c>
      <c r="AT148" s="116">
        <f>AL148+AR148</f>
        <v/>
      </c>
      <c r="AU148" s="119">
        <f>IFERROR(AO148*Assumptions!$C$26*Assumptions!$C$27*INDEX(Assumptions!$C$18:$C$21,MATCH(H148,Assumptions!$B$18:$B$21,0)),0)</f>
        <v/>
      </c>
    </row>
    <row r="149">
      <c r="A149" s="114" t="n">
        <v>46243</v>
      </c>
      <c r="B149" s="42" t="inlineStr">
        <is>
          <t>Wk 32</t>
        </is>
      </c>
      <c r="C149" s="42" t="inlineStr">
        <is>
          <t>Sun</t>
        </is>
      </c>
      <c r="D149" s="42" t="inlineStr">
        <is>
          <t>Meta (FB/IG)</t>
        </is>
      </c>
      <c r="E149" s="42" t="inlineStr">
        <is>
          <t>Facebook + Instagram</t>
        </is>
      </c>
      <c r="F149" s="42" t="inlineStr">
        <is>
          <t>LEP_ZA_AUG26_META_TD_AMUR_CONV</t>
        </is>
      </c>
      <c r="G149" s="42" t="inlineStr">
        <is>
          <t>Leads - Website Conversions</t>
        </is>
      </c>
      <c r="H149" s="42" t="inlineStr">
        <is>
          <t>AMUR</t>
        </is>
      </c>
      <c r="I149" s="42" t="inlineStr">
        <is>
          <t>0% Deposit</t>
        </is>
      </c>
      <c r="J149" s="42" t="inlineStr">
        <is>
          <t>MET_AMUR_LAL3_LEADS_ZA</t>
        </is>
      </c>
      <c r="K149" s="42" t="inlineStr">
        <is>
          <t>Lookalike</t>
        </is>
      </c>
      <c r="L149" s="42" t="inlineStr">
        <is>
          <t>AMUR_CAR_4card_SpecStack_v1</t>
        </is>
      </c>
      <c r="M149" s="42" t="inlineStr">
        <is>
          <t>Carousel</t>
        </is>
      </c>
      <c r="N149" s="42" t="inlineStr">
        <is>
          <t>4 reasons the AMUR outsells its class</t>
        </is>
      </c>
      <c r="O149" s="42" t="inlineStr">
        <is>
          <t>Auction - Lowest Cost</t>
        </is>
      </c>
      <c r="P149" s="42" t="inlineStr">
        <is>
          <t>Offsite Conversions</t>
        </is>
      </c>
      <c r="Q149" s="42" t="inlineStr">
        <is>
          <t>https://www.lepas-sa.co.za/offers/amur</t>
        </is>
      </c>
      <c r="R149" s="115" t="n">
        <v>105.73</v>
      </c>
      <c r="S149" s="116" t="n">
        <v>1161</v>
      </c>
      <c r="T149" s="116" t="n">
        <v>716</v>
      </c>
      <c r="U149" s="117">
        <f>IFERROR(S149/T149,"")</f>
        <v/>
      </c>
      <c r="V149" s="116" t="n">
        <v>31</v>
      </c>
      <c r="W149" s="116" t="n">
        <v>23</v>
      </c>
      <c r="X149" s="118">
        <f>IFERROR(W149/S149,"")</f>
        <v/>
      </c>
      <c r="Y149" s="115">
        <f>IFERROR(R149/W149,"")</f>
        <v/>
      </c>
      <c r="Z149" s="115">
        <f>IFERROR(R149/S149*1000,"")</f>
        <v/>
      </c>
      <c r="AA149" s="116" t="n">
        <v>19</v>
      </c>
      <c r="AB149" s="47">
        <f>IFERROR(AA149/W149,"")</f>
        <v/>
      </c>
      <c r="AC149" s="116" t="n">
        <v>0</v>
      </c>
      <c r="AD149" s="116" t="n">
        <v>0</v>
      </c>
      <c r="AE149" s="116" t="n">
        <v>0</v>
      </c>
      <c r="AF149" s="116" t="n">
        <v>0</v>
      </c>
      <c r="AG149" s="116" t="n">
        <v>0</v>
      </c>
      <c r="AH149" s="116" t="n">
        <v>0</v>
      </c>
      <c r="AI149" s="47">
        <f>IFERROR(AC149/S149,"")</f>
        <v/>
      </c>
      <c r="AJ149" s="47">
        <f>IFERROR(AH149/S149,"")</f>
        <v/>
      </c>
      <c r="AK149" s="116" t="n">
        <v>27</v>
      </c>
      <c r="AL149" s="116" t="n">
        <v>1</v>
      </c>
      <c r="AM149" s="118">
        <f>IFERROR(AL149/AA149,"")</f>
        <v/>
      </c>
      <c r="AN149" s="119">
        <f>IFERROR(R149/AL149,"")</f>
        <v/>
      </c>
      <c r="AO149" s="116" t="n">
        <v>1</v>
      </c>
      <c r="AP149" s="47">
        <f>IFERROR(AO149/AL149,"")</f>
        <v/>
      </c>
      <c r="AQ149" s="119">
        <f>IFERROR(R149/AO149,"")</f>
        <v/>
      </c>
      <c r="AR149" s="116" t="n">
        <v>1</v>
      </c>
      <c r="AS149" s="116" t="n">
        <v>0</v>
      </c>
      <c r="AT149" s="116">
        <f>AL149+AR149</f>
        <v/>
      </c>
      <c r="AU149" s="119">
        <f>IFERROR(AO149*Assumptions!$C$26*Assumptions!$C$27*INDEX(Assumptions!$C$18:$C$21,MATCH(H149,Assumptions!$B$18:$B$21,0)),0)</f>
        <v/>
      </c>
    </row>
    <row r="150">
      <c r="A150" s="114" t="n">
        <v>46244</v>
      </c>
      <c r="B150" s="42" t="inlineStr">
        <is>
          <t>Wk 33</t>
        </is>
      </c>
      <c r="C150" s="42" t="inlineStr">
        <is>
          <t>Mon</t>
        </is>
      </c>
      <c r="D150" s="42" t="inlineStr">
        <is>
          <t>Meta (FB/IG)</t>
        </is>
      </c>
      <c r="E150" s="42" t="inlineStr">
        <is>
          <t>Facebook + Instagram</t>
        </is>
      </c>
      <c r="F150" s="42" t="inlineStr">
        <is>
          <t>LEP_ZA_AUG26_META_TD_AMUR_CONV</t>
        </is>
      </c>
      <c r="G150" s="42" t="inlineStr">
        <is>
          <t>Leads - Website Conversions</t>
        </is>
      </c>
      <c r="H150" s="42" t="inlineStr">
        <is>
          <t>AMUR</t>
        </is>
      </c>
      <c r="I150" s="42" t="inlineStr">
        <is>
          <t>0% Deposit</t>
        </is>
      </c>
      <c r="J150" s="42" t="inlineStr">
        <is>
          <t>MET_AMUR_LAL3_LEADS_ZA</t>
        </is>
      </c>
      <c r="K150" s="42" t="inlineStr">
        <is>
          <t>Lookalike</t>
        </is>
      </c>
      <c r="L150" s="42" t="inlineStr">
        <is>
          <t>AMUR_CAR_4card_SpecStack_v1</t>
        </is>
      </c>
      <c r="M150" s="42" t="inlineStr">
        <is>
          <t>Carousel</t>
        </is>
      </c>
      <c r="N150" s="42" t="inlineStr">
        <is>
          <t>4 reasons the AMUR outsells its class</t>
        </is>
      </c>
      <c r="O150" s="42" t="inlineStr">
        <is>
          <t>Auction - Lowest Cost</t>
        </is>
      </c>
      <c r="P150" s="42" t="inlineStr">
        <is>
          <t>Offsite Conversions</t>
        </is>
      </c>
      <c r="Q150" s="42" t="inlineStr">
        <is>
          <t>https://www.lepas-sa.co.za/offers/amur</t>
        </is>
      </c>
      <c r="R150" s="115" t="n">
        <v>137.15</v>
      </c>
      <c r="S150" s="116" t="n">
        <v>1850</v>
      </c>
      <c r="T150" s="116" t="n">
        <v>1457</v>
      </c>
      <c r="U150" s="117">
        <f>IFERROR(S150/T150,"")</f>
        <v/>
      </c>
      <c r="V150" s="116" t="n">
        <v>59</v>
      </c>
      <c r="W150" s="116" t="n">
        <v>43</v>
      </c>
      <c r="X150" s="118">
        <f>IFERROR(W150/S150,"")</f>
        <v/>
      </c>
      <c r="Y150" s="115">
        <f>IFERROR(R150/W150,"")</f>
        <v/>
      </c>
      <c r="Z150" s="115">
        <f>IFERROR(R150/S150*1000,"")</f>
        <v/>
      </c>
      <c r="AA150" s="116" t="n">
        <v>37</v>
      </c>
      <c r="AB150" s="47">
        <f>IFERROR(AA150/W150,"")</f>
        <v/>
      </c>
      <c r="AC150" s="116" t="n">
        <v>0</v>
      </c>
      <c r="AD150" s="116" t="n">
        <v>0</v>
      </c>
      <c r="AE150" s="116" t="n">
        <v>0</v>
      </c>
      <c r="AF150" s="116" t="n">
        <v>0</v>
      </c>
      <c r="AG150" s="116" t="n">
        <v>0</v>
      </c>
      <c r="AH150" s="116" t="n">
        <v>0</v>
      </c>
      <c r="AI150" s="47">
        <f>IFERROR(AC150/S150,"")</f>
        <v/>
      </c>
      <c r="AJ150" s="47">
        <f>IFERROR(AH150/S150,"")</f>
        <v/>
      </c>
      <c r="AK150" s="116" t="n">
        <v>62</v>
      </c>
      <c r="AL150" s="116" t="n">
        <v>1</v>
      </c>
      <c r="AM150" s="118">
        <f>IFERROR(AL150/AA150,"")</f>
        <v/>
      </c>
      <c r="AN150" s="119">
        <f>IFERROR(R150/AL150,"")</f>
        <v/>
      </c>
      <c r="AO150" s="116" t="n">
        <v>0</v>
      </c>
      <c r="AP150" s="47">
        <f>IFERROR(AO150/AL150,"")</f>
        <v/>
      </c>
      <c r="AQ150" s="119">
        <f>IFERROR(R150/AO150,"")</f>
        <v/>
      </c>
      <c r="AR150" s="116" t="n">
        <v>0</v>
      </c>
      <c r="AS150" s="116" t="n">
        <v>0</v>
      </c>
      <c r="AT150" s="116">
        <f>AL150+AR150</f>
        <v/>
      </c>
      <c r="AU150" s="119">
        <f>IFERROR(AO150*Assumptions!$C$26*Assumptions!$C$27*INDEX(Assumptions!$C$18:$C$21,MATCH(H150,Assumptions!$B$18:$B$21,0)),0)</f>
        <v/>
      </c>
    </row>
    <row r="151">
      <c r="A151" s="114" t="n">
        <v>46245</v>
      </c>
      <c r="B151" s="42" t="inlineStr">
        <is>
          <t>Wk 33</t>
        </is>
      </c>
      <c r="C151" s="42" t="inlineStr">
        <is>
          <t>Tue</t>
        </is>
      </c>
      <c r="D151" s="42" t="inlineStr">
        <is>
          <t>Meta (FB/IG)</t>
        </is>
      </c>
      <c r="E151" s="42" t="inlineStr">
        <is>
          <t>Facebook + Instagram</t>
        </is>
      </c>
      <c r="F151" s="42" t="inlineStr">
        <is>
          <t>LEP_ZA_AUG26_META_TD_AMUR_CONV</t>
        </is>
      </c>
      <c r="G151" s="42" t="inlineStr">
        <is>
          <t>Leads - Website Conversions</t>
        </is>
      </c>
      <c r="H151" s="42" t="inlineStr">
        <is>
          <t>AMUR</t>
        </is>
      </c>
      <c r="I151" s="42" t="inlineStr">
        <is>
          <t>0% Deposit</t>
        </is>
      </c>
      <c r="J151" s="42" t="inlineStr">
        <is>
          <t>MET_AMUR_LAL3_LEADS_ZA</t>
        </is>
      </c>
      <c r="K151" s="42" t="inlineStr">
        <is>
          <t>Lookalike</t>
        </is>
      </c>
      <c r="L151" s="42" t="inlineStr">
        <is>
          <t>AMUR_CAR_4card_SpecStack_v1</t>
        </is>
      </c>
      <c r="M151" s="42" t="inlineStr">
        <is>
          <t>Carousel</t>
        </is>
      </c>
      <c r="N151" s="42" t="inlineStr">
        <is>
          <t>4 reasons the AMUR outsells its class</t>
        </is>
      </c>
      <c r="O151" s="42" t="inlineStr">
        <is>
          <t>Auction - Lowest Cost</t>
        </is>
      </c>
      <c r="P151" s="42" t="inlineStr">
        <is>
          <t>Offsite Conversions</t>
        </is>
      </c>
      <c r="Q151" s="42" t="inlineStr">
        <is>
          <t>https://www.lepas-sa.co.za/offers/amur</t>
        </is>
      </c>
      <c r="R151" s="115" t="n">
        <v>139.83</v>
      </c>
      <c r="S151" s="116" t="n">
        <v>1970</v>
      </c>
      <c r="T151" s="116" t="n">
        <v>1438</v>
      </c>
      <c r="U151" s="117">
        <f>IFERROR(S151/T151,"")</f>
        <v/>
      </c>
      <c r="V151" s="116" t="n">
        <v>45</v>
      </c>
      <c r="W151" s="116" t="n">
        <v>36</v>
      </c>
      <c r="X151" s="118">
        <f>IFERROR(W151/S151,"")</f>
        <v/>
      </c>
      <c r="Y151" s="115">
        <f>IFERROR(R151/W151,"")</f>
        <v/>
      </c>
      <c r="Z151" s="115">
        <f>IFERROR(R151/S151*1000,"")</f>
        <v/>
      </c>
      <c r="AA151" s="116" t="n">
        <v>29</v>
      </c>
      <c r="AB151" s="47">
        <f>IFERROR(AA151/W151,"")</f>
        <v/>
      </c>
      <c r="AC151" s="116" t="n">
        <v>0</v>
      </c>
      <c r="AD151" s="116" t="n">
        <v>0</v>
      </c>
      <c r="AE151" s="116" t="n">
        <v>0</v>
      </c>
      <c r="AF151" s="116" t="n">
        <v>0</v>
      </c>
      <c r="AG151" s="116" t="n">
        <v>0</v>
      </c>
      <c r="AH151" s="116" t="n">
        <v>0</v>
      </c>
      <c r="AI151" s="47">
        <f>IFERROR(AC151/S151,"")</f>
        <v/>
      </c>
      <c r="AJ151" s="47">
        <f>IFERROR(AH151/S151,"")</f>
        <v/>
      </c>
      <c r="AK151" s="116" t="n">
        <v>65</v>
      </c>
      <c r="AL151" s="116" t="n">
        <v>1</v>
      </c>
      <c r="AM151" s="118">
        <f>IFERROR(AL151/AA151,"")</f>
        <v/>
      </c>
      <c r="AN151" s="119">
        <f>IFERROR(R151/AL151,"")</f>
        <v/>
      </c>
      <c r="AO151" s="116" t="n">
        <v>1</v>
      </c>
      <c r="AP151" s="47">
        <f>IFERROR(AO151/AL151,"")</f>
        <v/>
      </c>
      <c r="AQ151" s="119">
        <f>IFERROR(R151/AO151,"")</f>
        <v/>
      </c>
      <c r="AR151" s="116" t="n">
        <v>1</v>
      </c>
      <c r="AS151" s="116" t="n">
        <v>1</v>
      </c>
      <c r="AT151" s="116">
        <f>AL151+AR151</f>
        <v/>
      </c>
      <c r="AU151" s="119">
        <f>IFERROR(AO151*Assumptions!$C$26*Assumptions!$C$27*INDEX(Assumptions!$C$18:$C$21,MATCH(H151,Assumptions!$B$18:$B$21,0)),0)</f>
        <v/>
      </c>
    </row>
    <row r="152">
      <c r="A152" s="114" t="n">
        <v>46246</v>
      </c>
      <c r="B152" s="42" t="inlineStr">
        <is>
          <t>Wk 33</t>
        </is>
      </c>
      <c r="C152" s="42" t="inlineStr">
        <is>
          <t>Wed</t>
        </is>
      </c>
      <c r="D152" s="42" t="inlineStr">
        <is>
          <t>Meta (FB/IG)</t>
        </is>
      </c>
      <c r="E152" s="42" t="inlineStr">
        <is>
          <t>Facebook + Instagram</t>
        </is>
      </c>
      <c r="F152" s="42" t="inlineStr">
        <is>
          <t>LEP_ZA_AUG26_META_TD_AMUR_CONV</t>
        </is>
      </c>
      <c r="G152" s="42" t="inlineStr">
        <is>
          <t>Leads - Website Conversions</t>
        </is>
      </c>
      <c r="H152" s="42" t="inlineStr">
        <is>
          <t>AMUR</t>
        </is>
      </c>
      <c r="I152" s="42" t="inlineStr">
        <is>
          <t>0% Deposit</t>
        </is>
      </c>
      <c r="J152" s="42" t="inlineStr">
        <is>
          <t>MET_AMUR_LAL3_LEADS_ZA</t>
        </is>
      </c>
      <c r="K152" s="42" t="inlineStr">
        <is>
          <t>Lookalike</t>
        </is>
      </c>
      <c r="L152" s="42" t="inlineStr">
        <is>
          <t>AMUR_CAR_4card_SpecStack_v1</t>
        </is>
      </c>
      <c r="M152" s="42" t="inlineStr">
        <is>
          <t>Carousel</t>
        </is>
      </c>
      <c r="N152" s="42" t="inlineStr">
        <is>
          <t>4 reasons the AMUR outsells its class</t>
        </is>
      </c>
      <c r="O152" s="42" t="inlineStr">
        <is>
          <t>Auction - Lowest Cost</t>
        </is>
      </c>
      <c r="P152" s="42" t="inlineStr">
        <is>
          <t>Offsite Conversions</t>
        </is>
      </c>
      <c r="Q152" s="42" t="inlineStr">
        <is>
          <t>https://www.lepas-sa.co.za/offers/amur</t>
        </is>
      </c>
      <c r="R152" s="115" t="n">
        <v>131.28</v>
      </c>
      <c r="S152" s="116" t="n">
        <v>2247</v>
      </c>
      <c r="T152" s="116" t="n">
        <v>1612</v>
      </c>
      <c r="U152" s="117">
        <f>IFERROR(S152/T152,"")</f>
        <v/>
      </c>
      <c r="V152" s="116" t="n">
        <v>46</v>
      </c>
      <c r="W152" s="116" t="n">
        <v>33</v>
      </c>
      <c r="X152" s="118">
        <f>IFERROR(W152/S152,"")</f>
        <v/>
      </c>
      <c r="Y152" s="115">
        <f>IFERROR(R152/W152,"")</f>
        <v/>
      </c>
      <c r="Z152" s="115">
        <f>IFERROR(R152/S152*1000,"")</f>
        <v/>
      </c>
      <c r="AA152" s="116" t="n">
        <v>28</v>
      </c>
      <c r="AB152" s="47">
        <f>IFERROR(AA152/W152,"")</f>
        <v/>
      </c>
      <c r="AC152" s="116" t="n">
        <v>0</v>
      </c>
      <c r="AD152" s="116" t="n">
        <v>0</v>
      </c>
      <c r="AE152" s="116" t="n">
        <v>0</v>
      </c>
      <c r="AF152" s="116" t="n">
        <v>0</v>
      </c>
      <c r="AG152" s="116" t="n">
        <v>0</v>
      </c>
      <c r="AH152" s="116" t="n">
        <v>0</v>
      </c>
      <c r="AI152" s="47">
        <f>IFERROR(AC152/S152,"")</f>
        <v/>
      </c>
      <c r="AJ152" s="47">
        <f>IFERROR(AH152/S152,"")</f>
        <v/>
      </c>
      <c r="AK152" s="116" t="n">
        <v>27</v>
      </c>
      <c r="AL152" s="116" t="n">
        <v>1</v>
      </c>
      <c r="AM152" s="118">
        <f>IFERROR(AL152/AA152,"")</f>
        <v/>
      </c>
      <c r="AN152" s="119">
        <f>IFERROR(R152/AL152,"")</f>
        <v/>
      </c>
      <c r="AO152" s="116" t="n">
        <v>1</v>
      </c>
      <c r="AP152" s="47">
        <f>IFERROR(AO152/AL152,"")</f>
        <v/>
      </c>
      <c r="AQ152" s="119">
        <f>IFERROR(R152/AO152,"")</f>
        <v/>
      </c>
      <c r="AR152" s="116" t="n">
        <v>0</v>
      </c>
      <c r="AS152" s="116" t="n">
        <v>0</v>
      </c>
      <c r="AT152" s="116">
        <f>AL152+AR152</f>
        <v/>
      </c>
      <c r="AU152" s="119">
        <f>IFERROR(AO152*Assumptions!$C$26*Assumptions!$C$27*INDEX(Assumptions!$C$18:$C$21,MATCH(H152,Assumptions!$B$18:$B$21,0)),0)</f>
        <v/>
      </c>
    </row>
    <row r="153">
      <c r="A153" s="114" t="n">
        <v>46247</v>
      </c>
      <c r="B153" s="42" t="inlineStr">
        <is>
          <t>Wk 33</t>
        </is>
      </c>
      <c r="C153" s="42" t="inlineStr">
        <is>
          <t>Thu</t>
        </is>
      </c>
      <c r="D153" s="42" t="inlineStr">
        <is>
          <t>Meta (FB/IG)</t>
        </is>
      </c>
      <c r="E153" s="42" t="inlineStr">
        <is>
          <t>Facebook + Instagram</t>
        </is>
      </c>
      <c r="F153" s="42" t="inlineStr">
        <is>
          <t>LEP_ZA_AUG26_META_TD_AMUR_CONV</t>
        </is>
      </c>
      <c r="G153" s="42" t="inlineStr">
        <is>
          <t>Leads - Website Conversions</t>
        </is>
      </c>
      <c r="H153" s="42" t="inlineStr">
        <is>
          <t>AMUR</t>
        </is>
      </c>
      <c r="I153" s="42" t="inlineStr">
        <is>
          <t>0% Deposit</t>
        </is>
      </c>
      <c r="J153" s="42" t="inlineStr">
        <is>
          <t>MET_AMUR_LAL3_LEADS_ZA</t>
        </is>
      </c>
      <c r="K153" s="42" t="inlineStr">
        <is>
          <t>Lookalike</t>
        </is>
      </c>
      <c r="L153" s="42" t="inlineStr">
        <is>
          <t>AMUR_CAR_4card_SpecStack_v1</t>
        </is>
      </c>
      <c r="M153" s="42" t="inlineStr">
        <is>
          <t>Carousel</t>
        </is>
      </c>
      <c r="N153" s="42" t="inlineStr">
        <is>
          <t>4 reasons the AMUR outsells its class</t>
        </is>
      </c>
      <c r="O153" s="42" t="inlineStr">
        <is>
          <t>Auction - Lowest Cost</t>
        </is>
      </c>
      <c r="P153" s="42" t="inlineStr">
        <is>
          <t>Offsite Conversions</t>
        </is>
      </c>
      <c r="Q153" s="42" t="inlineStr">
        <is>
          <t>https://www.lepas-sa.co.za/offers/amur</t>
        </is>
      </c>
      <c r="R153" s="115" t="n">
        <v>136.58</v>
      </c>
      <c r="S153" s="116" t="n">
        <v>2369</v>
      </c>
      <c r="T153" s="116" t="n">
        <v>1403</v>
      </c>
      <c r="U153" s="117">
        <f>IFERROR(S153/T153,"")</f>
        <v/>
      </c>
      <c r="V153" s="116" t="n">
        <v>60</v>
      </c>
      <c r="W153" s="116" t="n">
        <v>45</v>
      </c>
      <c r="X153" s="118">
        <f>IFERROR(W153/S153,"")</f>
        <v/>
      </c>
      <c r="Y153" s="115">
        <f>IFERROR(R153/W153,"")</f>
        <v/>
      </c>
      <c r="Z153" s="115">
        <f>IFERROR(R153/S153*1000,"")</f>
        <v/>
      </c>
      <c r="AA153" s="116" t="n">
        <v>38</v>
      </c>
      <c r="AB153" s="47">
        <f>IFERROR(AA153/W153,"")</f>
        <v/>
      </c>
      <c r="AC153" s="116" t="n">
        <v>0</v>
      </c>
      <c r="AD153" s="116" t="n">
        <v>0</v>
      </c>
      <c r="AE153" s="116" t="n">
        <v>0</v>
      </c>
      <c r="AF153" s="116" t="n">
        <v>0</v>
      </c>
      <c r="AG153" s="116" t="n">
        <v>0</v>
      </c>
      <c r="AH153" s="116" t="n">
        <v>0</v>
      </c>
      <c r="AI153" s="47">
        <f>IFERROR(AC153/S153,"")</f>
        <v/>
      </c>
      <c r="AJ153" s="47">
        <f>IFERROR(AH153/S153,"")</f>
        <v/>
      </c>
      <c r="AK153" s="116" t="n">
        <v>64</v>
      </c>
      <c r="AL153" s="116" t="n">
        <v>1</v>
      </c>
      <c r="AM153" s="118">
        <f>IFERROR(AL153/AA153,"")</f>
        <v/>
      </c>
      <c r="AN153" s="119">
        <f>IFERROR(R153/AL153,"")</f>
        <v/>
      </c>
      <c r="AO153" s="116" t="n">
        <v>1</v>
      </c>
      <c r="AP153" s="47">
        <f>IFERROR(AO153/AL153,"")</f>
        <v/>
      </c>
      <c r="AQ153" s="119">
        <f>IFERROR(R153/AO153,"")</f>
        <v/>
      </c>
      <c r="AR153" s="116" t="n">
        <v>0</v>
      </c>
      <c r="AS153" s="116" t="n">
        <v>0</v>
      </c>
      <c r="AT153" s="116">
        <f>AL153+AR153</f>
        <v/>
      </c>
      <c r="AU153" s="119">
        <f>IFERROR(AO153*Assumptions!$C$26*Assumptions!$C$27*INDEX(Assumptions!$C$18:$C$21,MATCH(H153,Assumptions!$B$18:$B$21,0)),0)</f>
        <v/>
      </c>
    </row>
    <row r="154">
      <c r="A154" s="114" t="n">
        <v>46248</v>
      </c>
      <c r="B154" s="42" t="inlineStr">
        <is>
          <t>Wk 33</t>
        </is>
      </c>
      <c r="C154" s="42" t="inlineStr">
        <is>
          <t>Fri</t>
        </is>
      </c>
      <c r="D154" s="42" t="inlineStr">
        <is>
          <t>Meta (FB/IG)</t>
        </is>
      </c>
      <c r="E154" s="42" t="inlineStr">
        <is>
          <t>Facebook + Instagram</t>
        </is>
      </c>
      <c r="F154" s="42" t="inlineStr">
        <is>
          <t>LEP_ZA_AUG26_META_TD_AMUR_CONV</t>
        </is>
      </c>
      <c r="G154" s="42" t="inlineStr">
        <is>
          <t>Leads - Website Conversions</t>
        </is>
      </c>
      <c r="H154" s="42" t="inlineStr">
        <is>
          <t>AMUR</t>
        </is>
      </c>
      <c r="I154" s="42" t="inlineStr">
        <is>
          <t>0% Deposit</t>
        </is>
      </c>
      <c r="J154" s="42" t="inlineStr">
        <is>
          <t>MET_AMUR_LAL3_LEADS_ZA</t>
        </is>
      </c>
      <c r="K154" s="42" t="inlineStr">
        <is>
          <t>Lookalike</t>
        </is>
      </c>
      <c r="L154" s="42" t="inlineStr">
        <is>
          <t>AMUR_CAR_4card_SpecStack_v1</t>
        </is>
      </c>
      <c r="M154" s="42" t="inlineStr">
        <is>
          <t>Carousel</t>
        </is>
      </c>
      <c r="N154" s="42" t="inlineStr">
        <is>
          <t>4 reasons the AMUR outsells its class</t>
        </is>
      </c>
      <c r="O154" s="42" t="inlineStr">
        <is>
          <t>Auction - Lowest Cost</t>
        </is>
      </c>
      <c r="P154" s="42" t="inlineStr">
        <is>
          <t>Offsite Conversions</t>
        </is>
      </c>
      <c r="Q154" s="42" t="inlineStr">
        <is>
          <t>https://www.lepas-sa.co.za/offers/amur</t>
        </is>
      </c>
      <c r="R154" s="115" t="n">
        <v>141.12</v>
      </c>
      <c r="S154" s="116" t="n">
        <v>1779</v>
      </c>
      <c r="T154" s="116" t="n">
        <v>1368</v>
      </c>
      <c r="U154" s="117">
        <f>IFERROR(S154/T154,"")</f>
        <v/>
      </c>
      <c r="V154" s="116" t="n">
        <v>43</v>
      </c>
      <c r="W154" s="116" t="n">
        <v>31</v>
      </c>
      <c r="X154" s="118">
        <f>IFERROR(W154/S154,"")</f>
        <v/>
      </c>
      <c r="Y154" s="115">
        <f>IFERROR(R154/W154,"")</f>
        <v/>
      </c>
      <c r="Z154" s="115">
        <f>IFERROR(R154/S154*1000,"")</f>
        <v/>
      </c>
      <c r="AA154" s="116" t="n">
        <v>25</v>
      </c>
      <c r="AB154" s="47">
        <f>IFERROR(AA154/W154,"")</f>
        <v/>
      </c>
      <c r="AC154" s="116" t="n">
        <v>0</v>
      </c>
      <c r="AD154" s="116" t="n">
        <v>0</v>
      </c>
      <c r="AE154" s="116" t="n">
        <v>0</v>
      </c>
      <c r="AF154" s="116" t="n">
        <v>0</v>
      </c>
      <c r="AG154" s="116" t="n">
        <v>0</v>
      </c>
      <c r="AH154" s="116" t="n">
        <v>0</v>
      </c>
      <c r="AI154" s="47">
        <f>IFERROR(AC154/S154,"")</f>
        <v/>
      </c>
      <c r="AJ154" s="47">
        <f>IFERROR(AH154/S154,"")</f>
        <v/>
      </c>
      <c r="AK154" s="116" t="n">
        <v>20</v>
      </c>
      <c r="AL154" s="116" t="n">
        <v>0</v>
      </c>
      <c r="AM154" s="118">
        <f>IFERROR(AL154/AA154,"")</f>
        <v/>
      </c>
      <c r="AN154" s="119">
        <f>IFERROR(R154/AL154,"")</f>
        <v/>
      </c>
      <c r="AO154" s="116" t="n">
        <v>0</v>
      </c>
      <c r="AP154" s="47">
        <f>IFERROR(AO154/AL154,"")</f>
        <v/>
      </c>
      <c r="AQ154" s="119">
        <f>IFERROR(R154/AO154,"")</f>
        <v/>
      </c>
      <c r="AR154" s="116" t="n">
        <v>0</v>
      </c>
      <c r="AS154" s="116" t="n">
        <v>0</v>
      </c>
      <c r="AT154" s="116">
        <f>AL154+AR154</f>
        <v/>
      </c>
      <c r="AU154" s="119">
        <f>IFERROR(AO154*Assumptions!$C$26*Assumptions!$C$27*INDEX(Assumptions!$C$18:$C$21,MATCH(H154,Assumptions!$B$18:$B$21,0)),0)</f>
        <v/>
      </c>
    </row>
    <row r="155">
      <c r="A155" s="114" t="n">
        <v>46249</v>
      </c>
      <c r="B155" s="42" t="inlineStr">
        <is>
          <t>Wk 33</t>
        </is>
      </c>
      <c r="C155" s="42" t="inlineStr">
        <is>
          <t>Sat</t>
        </is>
      </c>
      <c r="D155" s="42" t="inlineStr">
        <is>
          <t>Meta (FB/IG)</t>
        </is>
      </c>
      <c r="E155" s="42" t="inlineStr">
        <is>
          <t>Facebook + Instagram</t>
        </is>
      </c>
      <c r="F155" s="42" t="inlineStr">
        <is>
          <t>LEP_ZA_AUG26_META_TD_AMUR_CONV</t>
        </is>
      </c>
      <c r="G155" s="42" t="inlineStr">
        <is>
          <t>Leads - Website Conversions</t>
        </is>
      </c>
      <c r="H155" s="42" t="inlineStr">
        <is>
          <t>AMUR</t>
        </is>
      </c>
      <c r="I155" s="42" t="inlineStr">
        <is>
          <t>0% Deposit</t>
        </is>
      </c>
      <c r="J155" s="42" t="inlineStr">
        <is>
          <t>MET_AMUR_LAL3_LEADS_ZA</t>
        </is>
      </c>
      <c r="K155" s="42" t="inlineStr">
        <is>
          <t>Lookalike</t>
        </is>
      </c>
      <c r="L155" s="42" t="inlineStr">
        <is>
          <t>AMUR_CAR_4card_SpecStack_v1</t>
        </is>
      </c>
      <c r="M155" s="42" t="inlineStr">
        <is>
          <t>Carousel</t>
        </is>
      </c>
      <c r="N155" s="42" t="inlineStr">
        <is>
          <t>4 reasons the AMUR outsells its class</t>
        </is>
      </c>
      <c r="O155" s="42" t="inlineStr">
        <is>
          <t>Auction - Lowest Cost</t>
        </is>
      </c>
      <c r="P155" s="42" t="inlineStr">
        <is>
          <t>Offsite Conversions</t>
        </is>
      </c>
      <c r="Q155" s="42" t="inlineStr">
        <is>
          <t>https://www.lepas-sa.co.za/offers/amur</t>
        </is>
      </c>
      <c r="R155" s="115" t="n">
        <v>167.55</v>
      </c>
      <c r="S155" s="116" t="n">
        <v>1809</v>
      </c>
      <c r="T155" s="116" t="n">
        <v>1030</v>
      </c>
      <c r="U155" s="117">
        <f>IFERROR(S155/T155,"")</f>
        <v/>
      </c>
      <c r="V155" s="116" t="n">
        <v>23</v>
      </c>
      <c r="W155" s="116" t="n">
        <v>19</v>
      </c>
      <c r="X155" s="118">
        <f>IFERROR(W155/S155,"")</f>
        <v/>
      </c>
      <c r="Y155" s="115">
        <f>IFERROR(R155/W155,"")</f>
        <v/>
      </c>
      <c r="Z155" s="115">
        <f>IFERROR(R155/S155*1000,"")</f>
        <v/>
      </c>
      <c r="AA155" s="116" t="n">
        <v>17</v>
      </c>
      <c r="AB155" s="47">
        <f>IFERROR(AA155/W155,"")</f>
        <v/>
      </c>
      <c r="AC155" s="116" t="n">
        <v>0</v>
      </c>
      <c r="AD155" s="116" t="n">
        <v>0</v>
      </c>
      <c r="AE155" s="116" t="n">
        <v>0</v>
      </c>
      <c r="AF155" s="116" t="n">
        <v>0</v>
      </c>
      <c r="AG155" s="116" t="n">
        <v>0</v>
      </c>
      <c r="AH155" s="116" t="n">
        <v>0</v>
      </c>
      <c r="AI155" s="47">
        <f>IFERROR(AC155/S155,"")</f>
        <v/>
      </c>
      <c r="AJ155" s="47">
        <f>IFERROR(AH155/S155,"")</f>
        <v/>
      </c>
      <c r="AK155" s="116" t="n">
        <v>47</v>
      </c>
      <c r="AL155" s="116" t="n">
        <v>1</v>
      </c>
      <c r="AM155" s="118">
        <f>IFERROR(AL155/AA155,"")</f>
        <v/>
      </c>
      <c r="AN155" s="119">
        <f>IFERROR(R155/AL155,"")</f>
        <v/>
      </c>
      <c r="AO155" s="116" t="n">
        <v>1</v>
      </c>
      <c r="AP155" s="47">
        <f>IFERROR(AO155/AL155,"")</f>
        <v/>
      </c>
      <c r="AQ155" s="119">
        <f>IFERROR(R155/AO155,"")</f>
        <v/>
      </c>
      <c r="AR155" s="116" t="n">
        <v>0</v>
      </c>
      <c r="AS155" s="116" t="n">
        <v>0</v>
      </c>
      <c r="AT155" s="116">
        <f>AL155+AR155</f>
        <v/>
      </c>
      <c r="AU155" s="119">
        <f>IFERROR(AO155*Assumptions!$C$26*Assumptions!$C$27*INDEX(Assumptions!$C$18:$C$21,MATCH(H155,Assumptions!$B$18:$B$21,0)),0)</f>
        <v/>
      </c>
    </row>
    <row r="156">
      <c r="A156" s="114" t="n">
        <v>46250</v>
      </c>
      <c r="B156" s="42" t="inlineStr">
        <is>
          <t>Wk 33</t>
        </is>
      </c>
      <c r="C156" s="42" t="inlineStr">
        <is>
          <t>Sun</t>
        </is>
      </c>
      <c r="D156" s="42" t="inlineStr">
        <is>
          <t>Meta (FB/IG)</t>
        </is>
      </c>
      <c r="E156" s="42" t="inlineStr">
        <is>
          <t>Facebook + Instagram</t>
        </is>
      </c>
      <c r="F156" s="42" t="inlineStr">
        <is>
          <t>LEP_ZA_AUG26_META_TD_AMUR_CONV</t>
        </is>
      </c>
      <c r="G156" s="42" t="inlineStr">
        <is>
          <t>Leads - Website Conversions</t>
        </is>
      </c>
      <c r="H156" s="42" t="inlineStr">
        <is>
          <t>AMUR</t>
        </is>
      </c>
      <c r="I156" s="42" t="inlineStr">
        <is>
          <t>0% Deposit</t>
        </is>
      </c>
      <c r="J156" s="42" t="inlineStr">
        <is>
          <t>MET_AMUR_LAL3_LEADS_ZA</t>
        </is>
      </c>
      <c r="K156" s="42" t="inlineStr">
        <is>
          <t>Lookalike</t>
        </is>
      </c>
      <c r="L156" s="42" t="inlineStr">
        <is>
          <t>AMUR_CAR_4card_SpecStack_v1</t>
        </is>
      </c>
      <c r="M156" s="42" t="inlineStr">
        <is>
          <t>Carousel</t>
        </is>
      </c>
      <c r="N156" s="42" t="inlineStr">
        <is>
          <t>4 reasons the AMUR outsells its class</t>
        </is>
      </c>
      <c r="O156" s="42" t="inlineStr">
        <is>
          <t>Auction - Lowest Cost</t>
        </is>
      </c>
      <c r="P156" s="42" t="inlineStr">
        <is>
          <t>Offsite Conversions</t>
        </is>
      </c>
      <c r="Q156" s="42" t="inlineStr">
        <is>
          <t>https://www.lepas-sa.co.za/offers/amur</t>
        </is>
      </c>
      <c r="R156" s="115" t="n">
        <v>107.08</v>
      </c>
      <c r="S156" s="116" t="n">
        <v>1613</v>
      </c>
      <c r="T156" s="116" t="n">
        <v>886</v>
      </c>
      <c r="U156" s="117">
        <f>IFERROR(S156/T156,"")</f>
        <v/>
      </c>
      <c r="V156" s="116" t="n">
        <v>32</v>
      </c>
      <c r="W156" s="116" t="n">
        <v>24</v>
      </c>
      <c r="X156" s="118">
        <f>IFERROR(W156/S156,"")</f>
        <v/>
      </c>
      <c r="Y156" s="115">
        <f>IFERROR(R156/W156,"")</f>
        <v/>
      </c>
      <c r="Z156" s="115">
        <f>IFERROR(R156/S156*1000,"")</f>
        <v/>
      </c>
      <c r="AA156" s="116" t="n">
        <v>21</v>
      </c>
      <c r="AB156" s="47">
        <f>IFERROR(AA156/W156,"")</f>
        <v/>
      </c>
      <c r="AC156" s="116" t="n">
        <v>0</v>
      </c>
      <c r="AD156" s="116" t="n">
        <v>0</v>
      </c>
      <c r="AE156" s="116" t="n">
        <v>0</v>
      </c>
      <c r="AF156" s="116" t="n">
        <v>0</v>
      </c>
      <c r="AG156" s="116" t="n">
        <v>0</v>
      </c>
      <c r="AH156" s="116" t="n">
        <v>0</v>
      </c>
      <c r="AI156" s="47">
        <f>IFERROR(AC156/S156,"")</f>
        <v/>
      </c>
      <c r="AJ156" s="47">
        <f>IFERROR(AH156/S156,"")</f>
        <v/>
      </c>
      <c r="AK156" s="116" t="n">
        <v>48</v>
      </c>
      <c r="AL156" s="116" t="n">
        <v>1</v>
      </c>
      <c r="AM156" s="118">
        <f>IFERROR(AL156/AA156,"")</f>
        <v/>
      </c>
      <c r="AN156" s="119">
        <f>IFERROR(R156/AL156,"")</f>
        <v/>
      </c>
      <c r="AO156" s="116" t="n">
        <v>1</v>
      </c>
      <c r="AP156" s="47">
        <f>IFERROR(AO156/AL156,"")</f>
        <v/>
      </c>
      <c r="AQ156" s="119">
        <f>IFERROR(R156/AO156,"")</f>
        <v/>
      </c>
      <c r="AR156" s="116" t="n">
        <v>0</v>
      </c>
      <c r="AS156" s="116" t="n">
        <v>0</v>
      </c>
      <c r="AT156" s="116">
        <f>AL156+AR156</f>
        <v/>
      </c>
      <c r="AU156" s="119">
        <f>IFERROR(AO156*Assumptions!$C$26*Assumptions!$C$27*INDEX(Assumptions!$C$18:$C$21,MATCH(H156,Assumptions!$B$18:$B$21,0)),0)</f>
        <v/>
      </c>
    </row>
    <row r="157">
      <c r="A157" s="114" t="n">
        <v>46251</v>
      </c>
      <c r="B157" s="42" t="inlineStr">
        <is>
          <t>Wk 34</t>
        </is>
      </c>
      <c r="C157" s="42" t="inlineStr">
        <is>
          <t>Mon</t>
        </is>
      </c>
      <c r="D157" s="42" t="inlineStr">
        <is>
          <t>Meta (FB/IG)</t>
        </is>
      </c>
      <c r="E157" s="42" t="inlineStr">
        <is>
          <t>Facebook + Instagram</t>
        </is>
      </c>
      <c r="F157" s="42" t="inlineStr">
        <is>
          <t>LEP_ZA_AUG26_META_TD_AMUR_CONV</t>
        </is>
      </c>
      <c r="G157" s="42" t="inlineStr">
        <is>
          <t>Leads - Website Conversions</t>
        </is>
      </c>
      <c r="H157" s="42" t="inlineStr">
        <is>
          <t>AMUR</t>
        </is>
      </c>
      <c r="I157" s="42" t="inlineStr">
        <is>
          <t>0% Deposit</t>
        </is>
      </c>
      <c r="J157" s="42" t="inlineStr">
        <is>
          <t>MET_AMUR_LAL3_LEADS_ZA</t>
        </is>
      </c>
      <c r="K157" s="42" t="inlineStr">
        <is>
          <t>Lookalike</t>
        </is>
      </c>
      <c r="L157" s="42" t="inlineStr">
        <is>
          <t>AMUR_CAR_4card_SpecStack_v1</t>
        </is>
      </c>
      <c r="M157" s="42" t="inlineStr">
        <is>
          <t>Carousel</t>
        </is>
      </c>
      <c r="N157" s="42" t="inlineStr">
        <is>
          <t>4 reasons the AMUR outsells its class</t>
        </is>
      </c>
      <c r="O157" s="42" t="inlineStr">
        <is>
          <t>Auction - Lowest Cost</t>
        </is>
      </c>
      <c r="P157" s="42" t="inlineStr">
        <is>
          <t>Offsite Conversions</t>
        </is>
      </c>
      <c r="Q157" s="42" t="inlineStr">
        <is>
          <t>https://www.lepas-sa.co.za/offers/amur</t>
        </is>
      </c>
      <c r="R157" s="115" t="n">
        <v>116.04</v>
      </c>
      <c r="S157" s="116" t="n">
        <v>1180</v>
      </c>
      <c r="T157" s="116" t="n">
        <v>710</v>
      </c>
      <c r="U157" s="117">
        <f>IFERROR(S157/T157,"")</f>
        <v/>
      </c>
      <c r="V157" s="116" t="n">
        <v>14</v>
      </c>
      <c r="W157" s="116" t="n">
        <v>11</v>
      </c>
      <c r="X157" s="118">
        <f>IFERROR(W157/S157,"")</f>
        <v/>
      </c>
      <c r="Y157" s="115">
        <f>IFERROR(R157/W157,"")</f>
        <v/>
      </c>
      <c r="Z157" s="115">
        <f>IFERROR(R157/S157*1000,"")</f>
        <v/>
      </c>
      <c r="AA157" s="116" t="n">
        <v>10</v>
      </c>
      <c r="AB157" s="47">
        <f>IFERROR(AA157/W157,"")</f>
        <v/>
      </c>
      <c r="AC157" s="116" t="n">
        <v>0</v>
      </c>
      <c r="AD157" s="116" t="n">
        <v>0</v>
      </c>
      <c r="AE157" s="116" t="n">
        <v>0</v>
      </c>
      <c r="AF157" s="116" t="n">
        <v>0</v>
      </c>
      <c r="AG157" s="116" t="n">
        <v>0</v>
      </c>
      <c r="AH157" s="116" t="n">
        <v>0</v>
      </c>
      <c r="AI157" s="47">
        <f>IFERROR(AC157/S157,"")</f>
        <v/>
      </c>
      <c r="AJ157" s="47">
        <f>IFERROR(AH157/S157,"")</f>
        <v/>
      </c>
      <c r="AK157" s="116" t="n">
        <v>25</v>
      </c>
      <c r="AL157" s="116" t="n">
        <v>0</v>
      </c>
      <c r="AM157" s="118">
        <f>IFERROR(AL157/AA157,"")</f>
        <v/>
      </c>
      <c r="AN157" s="119">
        <f>IFERROR(R157/AL157,"")</f>
        <v/>
      </c>
      <c r="AO157" s="116" t="n">
        <v>0</v>
      </c>
      <c r="AP157" s="47">
        <f>IFERROR(AO157/AL157,"")</f>
        <v/>
      </c>
      <c r="AQ157" s="119">
        <f>IFERROR(R157/AO157,"")</f>
        <v/>
      </c>
      <c r="AR157" s="116" t="n">
        <v>0</v>
      </c>
      <c r="AS157" s="116" t="n">
        <v>0</v>
      </c>
      <c r="AT157" s="116">
        <f>AL157+AR157</f>
        <v/>
      </c>
      <c r="AU157" s="119">
        <f>IFERROR(AO157*Assumptions!$C$26*Assumptions!$C$27*INDEX(Assumptions!$C$18:$C$21,MATCH(H157,Assumptions!$B$18:$B$21,0)),0)</f>
        <v/>
      </c>
    </row>
    <row r="158">
      <c r="A158" s="114" t="n">
        <v>46252</v>
      </c>
      <c r="B158" s="42" t="inlineStr">
        <is>
          <t>Wk 34</t>
        </is>
      </c>
      <c r="C158" s="42" t="inlineStr">
        <is>
          <t>Tue</t>
        </is>
      </c>
      <c r="D158" s="42" t="inlineStr">
        <is>
          <t>Meta (FB/IG)</t>
        </is>
      </c>
      <c r="E158" s="42" t="inlineStr">
        <is>
          <t>Facebook + Instagram</t>
        </is>
      </c>
      <c r="F158" s="42" t="inlineStr">
        <is>
          <t>LEP_ZA_AUG26_META_TD_AMUR_CONV</t>
        </is>
      </c>
      <c r="G158" s="42" t="inlineStr">
        <is>
          <t>Leads - Website Conversions</t>
        </is>
      </c>
      <c r="H158" s="42" t="inlineStr">
        <is>
          <t>AMUR</t>
        </is>
      </c>
      <c r="I158" s="42" t="inlineStr">
        <is>
          <t>0% Deposit</t>
        </is>
      </c>
      <c r="J158" s="42" t="inlineStr">
        <is>
          <t>MET_AMUR_LAL3_LEADS_ZA</t>
        </is>
      </c>
      <c r="K158" s="42" t="inlineStr">
        <is>
          <t>Lookalike</t>
        </is>
      </c>
      <c r="L158" s="42" t="inlineStr">
        <is>
          <t>AMUR_CAR_4card_SpecStack_v1</t>
        </is>
      </c>
      <c r="M158" s="42" t="inlineStr">
        <is>
          <t>Carousel</t>
        </is>
      </c>
      <c r="N158" s="42" t="inlineStr">
        <is>
          <t>4 reasons the AMUR outsells its class</t>
        </is>
      </c>
      <c r="O158" s="42" t="inlineStr">
        <is>
          <t>Auction - Lowest Cost</t>
        </is>
      </c>
      <c r="P158" s="42" t="inlineStr">
        <is>
          <t>Offsite Conversions</t>
        </is>
      </c>
      <c r="Q158" s="42" t="inlineStr">
        <is>
          <t>https://www.lepas-sa.co.za/offers/amur</t>
        </is>
      </c>
      <c r="R158" s="115" t="n">
        <v>109.36</v>
      </c>
      <c r="S158" s="116" t="n">
        <v>1410</v>
      </c>
      <c r="T158" s="116" t="n">
        <v>849</v>
      </c>
      <c r="U158" s="117">
        <f>IFERROR(S158/T158,"")</f>
        <v/>
      </c>
      <c r="V158" s="116" t="n">
        <v>16</v>
      </c>
      <c r="W158" s="116" t="n">
        <v>12</v>
      </c>
      <c r="X158" s="118">
        <f>IFERROR(W158/S158,"")</f>
        <v/>
      </c>
      <c r="Y158" s="115">
        <f>IFERROR(R158/W158,"")</f>
        <v/>
      </c>
      <c r="Z158" s="115">
        <f>IFERROR(R158/S158*1000,"")</f>
        <v/>
      </c>
      <c r="AA158" s="116" t="n">
        <v>10</v>
      </c>
      <c r="AB158" s="47">
        <f>IFERROR(AA158/W158,"")</f>
        <v/>
      </c>
      <c r="AC158" s="116" t="n">
        <v>0</v>
      </c>
      <c r="AD158" s="116" t="n">
        <v>0</v>
      </c>
      <c r="AE158" s="116" t="n">
        <v>0</v>
      </c>
      <c r="AF158" s="116" t="n">
        <v>0</v>
      </c>
      <c r="AG158" s="116" t="n">
        <v>0</v>
      </c>
      <c r="AH158" s="116" t="n">
        <v>0</v>
      </c>
      <c r="AI158" s="47">
        <f>IFERROR(AC158/S158,"")</f>
        <v/>
      </c>
      <c r="AJ158" s="47">
        <f>IFERROR(AH158/S158,"")</f>
        <v/>
      </c>
      <c r="AK158" s="116" t="n">
        <v>32</v>
      </c>
      <c r="AL158" s="116" t="n">
        <v>0</v>
      </c>
      <c r="AM158" s="118">
        <f>IFERROR(AL158/AA158,"")</f>
        <v/>
      </c>
      <c r="AN158" s="119">
        <f>IFERROR(R158/AL158,"")</f>
        <v/>
      </c>
      <c r="AO158" s="116" t="n">
        <v>0</v>
      </c>
      <c r="AP158" s="47">
        <f>IFERROR(AO158/AL158,"")</f>
        <v/>
      </c>
      <c r="AQ158" s="119">
        <f>IFERROR(R158/AO158,"")</f>
        <v/>
      </c>
      <c r="AR158" s="116" t="n">
        <v>0</v>
      </c>
      <c r="AS158" s="116" t="n">
        <v>0</v>
      </c>
      <c r="AT158" s="116">
        <f>AL158+AR158</f>
        <v/>
      </c>
      <c r="AU158" s="119">
        <f>IFERROR(AO158*Assumptions!$C$26*Assumptions!$C$27*INDEX(Assumptions!$C$18:$C$21,MATCH(H158,Assumptions!$B$18:$B$21,0)),0)</f>
        <v/>
      </c>
    </row>
    <row r="159">
      <c r="A159" s="114" t="n">
        <v>46253</v>
      </c>
      <c r="B159" s="42" t="inlineStr">
        <is>
          <t>Wk 34</t>
        </is>
      </c>
      <c r="C159" s="42" t="inlineStr">
        <is>
          <t>Wed</t>
        </is>
      </c>
      <c r="D159" s="42" t="inlineStr">
        <is>
          <t>Meta (FB/IG)</t>
        </is>
      </c>
      <c r="E159" s="42" t="inlineStr">
        <is>
          <t>Facebook + Instagram</t>
        </is>
      </c>
      <c r="F159" s="42" t="inlineStr">
        <is>
          <t>LEP_ZA_AUG26_META_TD_AMUR_CONV</t>
        </is>
      </c>
      <c r="G159" s="42" t="inlineStr">
        <is>
          <t>Leads - Website Conversions</t>
        </is>
      </c>
      <c r="H159" s="42" t="inlineStr">
        <is>
          <t>AMUR</t>
        </is>
      </c>
      <c r="I159" s="42" t="inlineStr">
        <is>
          <t>0% Deposit</t>
        </is>
      </c>
      <c r="J159" s="42" t="inlineStr">
        <is>
          <t>MET_AMUR_LAL3_LEADS_ZA</t>
        </is>
      </c>
      <c r="K159" s="42" t="inlineStr">
        <is>
          <t>Lookalike</t>
        </is>
      </c>
      <c r="L159" s="42" t="inlineStr">
        <is>
          <t>AMUR_CAR_4card_SpecStack_v1</t>
        </is>
      </c>
      <c r="M159" s="42" t="inlineStr">
        <is>
          <t>Carousel</t>
        </is>
      </c>
      <c r="N159" s="42" t="inlineStr">
        <is>
          <t>4 reasons the AMUR outsells its class</t>
        </is>
      </c>
      <c r="O159" s="42" t="inlineStr">
        <is>
          <t>Auction - Lowest Cost</t>
        </is>
      </c>
      <c r="P159" s="42" t="inlineStr">
        <is>
          <t>Offsite Conversions</t>
        </is>
      </c>
      <c r="Q159" s="42" t="inlineStr">
        <is>
          <t>https://www.lepas-sa.co.za/offers/amur</t>
        </is>
      </c>
      <c r="R159" s="115" t="n">
        <v>139.9</v>
      </c>
      <c r="S159" s="116" t="n">
        <v>1611</v>
      </c>
      <c r="T159" s="116" t="n">
        <v>860</v>
      </c>
      <c r="U159" s="117">
        <f>IFERROR(S159/T159,"")</f>
        <v/>
      </c>
      <c r="V159" s="116" t="n">
        <v>16</v>
      </c>
      <c r="W159" s="116" t="n">
        <v>13</v>
      </c>
      <c r="X159" s="118">
        <f>IFERROR(W159/S159,"")</f>
        <v/>
      </c>
      <c r="Y159" s="115">
        <f>IFERROR(R159/W159,"")</f>
        <v/>
      </c>
      <c r="Z159" s="115">
        <f>IFERROR(R159/S159*1000,"")</f>
        <v/>
      </c>
      <c r="AA159" s="116" t="n">
        <v>11</v>
      </c>
      <c r="AB159" s="47">
        <f>IFERROR(AA159/W159,"")</f>
        <v/>
      </c>
      <c r="AC159" s="116" t="n">
        <v>0</v>
      </c>
      <c r="AD159" s="116" t="n">
        <v>0</v>
      </c>
      <c r="AE159" s="116" t="n">
        <v>0</v>
      </c>
      <c r="AF159" s="116" t="n">
        <v>0</v>
      </c>
      <c r="AG159" s="116" t="n">
        <v>0</v>
      </c>
      <c r="AH159" s="116" t="n">
        <v>0</v>
      </c>
      <c r="AI159" s="47">
        <f>IFERROR(AC159/S159,"")</f>
        <v/>
      </c>
      <c r="AJ159" s="47">
        <f>IFERROR(AH159/S159,"")</f>
        <v/>
      </c>
      <c r="AK159" s="116" t="n">
        <v>32</v>
      </c>
      <c r="AL159" s="116" t="n">
        <v>0</v>
      </c>
      <c r="AM159" s="118">
        <f>IFERROR(AL159/AA159,"")</f>
        <v/>
      </c>
      <c r="AN159" s="119">
        <f>IFERROR(R159/AL159,"")</f>
        <v/>
      </c>
      <c r="AO159" s="116" t="n">
        <v>0</v>
      </c>
      <c r="AP159" s="47">
        <f>IFERROR(AO159/AL159,"")</f>
        <v/>
      </c>
      <c r="AQ159" s="119">
        <f>IFERROR(R159/AO159,"")</f>
        <v/>
      </c>
      <c r="AR159" s="116" t="n">
        <v>0</v>
      </c>
      <c r="AS159" s="116" t="n">
        <v>0</v>
      </c>
      <c r="AT159" s="116">
        <f>AL159+AR159</f>
        <v/>
      </c>
      <c r="AU159" s="119">
        <f>IFERROR(AO159*Assumptions!$C$26*Assumptions!$C$27*INDEX(Assumptions!$C$18:$C$21,MATCH(H159,Assumptions!$B$18:$B$21,0)),0)</f>
        <v/>
      </c>
    </row>
    <row r="160">
      <c r="A160" s="114" t="n">
        <v>46254</v>
      </c>
      <c r="B160" s="42" t="inlineStr">
        <is>
          <t>Wk 34</t>
        </is>
      </c>
      <c r="C160" s="42" t="inlineStr">
        <is>
          <t>Thu</t>
        </is>
      </c>
      <c r="D160" s="42" t="inlineStr">
        <is>
          <t>Meta (FB/IG)</t>
        </is>
      </c>
      <c r="E160" s="42" t="inlineStr">
        <is>
          <t>Facebook + Instagram</t>
        </is>
      </c>
      <c r="F160" s="42" t="inlineStr">
        <is>
          <t>LEP_ZA_AUG26_META_TD_AMUR_CONV</t>
        </is>
      </c>
      <c r="G160" s="42" t="inlineStr">
        <is>
          <t>Leads - Website Conversions</t>
        </is>
      </c>
      <c r="H160" s="42" t="inlineStr">
        <is>
          <t>AMUR</t>
        </is>
      </c>
      <c r="I160" s="42" t="inlineStr">
        <is>
          <t>0% Deposit</t>
        </is>
      </c>
      <c r="J160" s="42" t="inlineStr">
        <is>
          <t>MET_AMUR_LAL3_LEADS_ZA</t>
        </is>
      </c>
      <c r="K160" s="42" t="inlineStr">
        <is>
          <t>Lookalike</t>
        </is>
      </c>
      <c r="L160" s="42" t="inlineStr">
        <is>
          <t>AMUR_CAR_4card_SpecStack_v1</t>
        </is>
      </c>
      <c r="M160" s="42" t="inlineStr">
        <is>
          <t>Carousel</t>
        </is>
      </c>
      <c r="N160" s="42" t="inlineStr">
        <is>
          <t>4 reasons the AMUR outsells its class</t>
        </is>
      </c>
      <c r="O160" s="42" t="inlineStr">
        <is>
          <t>Auction - Lowest Cost</t>
        </is>
      </c>
      <c r="P160" s="42" t="inlineStr">
        <is>
          <t>Offsite Conversions</t>
        </is>
      </c>
      <c r="Q160" s="42" t="inlineStr">
        <is>
          <t>https://www.lepas-sa.co.za/offers/amur</t>
        </is>
      </c>
      <c r="R160" s="115" t="n">
        <v>159.27</v>
      </c>
      <c r="S160" s="116" t="n">
        <v>2042</v>
      </c>
      <c r="T160" s="116" t="n">
        <v>1074</v>
      </c>
      <c r="U160" s="117">
        <f>IFERROR(S160/T160,"")</f>
        <v/>
      </c>
      <c r="V160" s="116" t="n">
        <v>21</v>
      </c>
      <c r="W160" s="116" t="n">
        <v>16</v>
      </c>
      <c r="X160" s="118">
        <f>IFERROR(W160/S160,"")</f>
        <v/>
      </c>
      <c r="Y160" s="115">
        <f>IFERROR(R160/W160,"")</f>
        <v/>
      </c>
      <c r="Z160" s="115">
        <f>IFERROR(R160/S160*1000,"")</f>
        <v/>
      </c>
      <c r="AA160" s="116" t="n">
        <v>14</v>
      </c>
      <c r="AB160" s="47">
        <f>IFERROR(AA160/W160,"")</f>
        <v/>
      </c>
      <c r="AC160" s="116" t="n">
        <v>0</v>
      </c>
      <c r="AD160" s="116" t="n">
        <v>0</v>
      </c>
      <c r="AE160" s="116" t="n">
        <v>0</v>
      </c>
      <c r="AF160" s="116" t="n">
        <v>0</v>
      </c>
      <c r="AG160" s="116" t="n">
        <v>0</v>
      </c>
      <c r="AH160" s="116" t="n">
        <v>0</v>
      </c>
      <c r="AI160" s="47">
        <f>IFERROR(AC160/S160,"")</f>
        <v/>
      </c>
      <c r="AJ160" s="47">
        <f>IFERROR(AH160/S160,"")</f>
        <v/>
      </c>
      <c r="AK160" s="116" t="n">
        <v>42</v>
      </c>
      <c r="AL160" s="116" t="n">
        <v>0</v>
      </c>
      <c r="AM160" s="118">
        <f>IFERROR(AL160/AA160,"")</f>
        <v/>
      </c>
      <c r="AN160" s="119">
        <f>IFERROR(R160/AL160,"")</f>
        <v/>
      </c>
      <c r="AO160" s="116" t="n">
        <v>0</v>
      </c>
      <c r="AP160" s="47">
        <f>IFERROR(AO160/AL160,"")</f>
        <v/>
      </c>
      <c r="AQ160" s="119">
        <f>IFERROR(R160/AO160,"")</f>
        <v/>
      </c>
      <c r="AR160" s="116" t="n">
        <v>0</v>
      </c>
      <c r="AS160" s="116" t="n">
        <v>0</v>
      </c>
      <c r="AT160" s="116">
        <f>AL160+AR160</f>
        <v/>
      </c>
      <c r="AU160" s="119">
        <f>IFERROR(AO160*Assumptions!$C$26*Assumptions!$C$27*INDEX(Assumptions!$C$18:$C$21,MATCH(H160,Assumptions!$B$18:$B$21,0)),0)</f>
        <v/>
      </c>
    </row>
    <row r="161">
      <c r="A161" s="114" t="n">
        <v>46255</v>
      </c>
      <c r="B161" s="42" t="inlineStr">
        <is>
          <t>Wk 34</t>
        </is>
      </c>
      <c r="C161" s="42" t="inlineStr">
        <is>
          <t>Fri</t>
        </is>
      </c>
      <c r="D161" s="42" t="inlineStr">
        <is>
          <t>Meta (FB/IG)</t>
        </is>
      </c>
      <c r="E161" s="42" t="inlineStr">
        <is>
          <t>Facebook + Instagram</t>
        </is>
      </c>
      <c r="F161" s="42" t="inlineStr">
        <is>
          <t>LEP_ZA_AUG26_META_TD_AMUR_CONV</t>
        </is>
      </c>
      <c r="G161" s="42" t="inlineStr">
        <is>
          <t>Leads - Website Conversions</t>
        </is>
      </c>
      <c r="H161" s="42" t="inlineStr">
        <is>
          <t>AMUR</t>
        </is>
      </c>
      <c r="I161" s="42" t="inlineStr">
        <is>
          <t>0% Deposit</t>
        </is>
      </c>
      <c r="J161" s="42" t="inlineStr">
        <is>
          <t>MET_AMUR_LAL3_LEADS_ZA</t>
        </is>
      </c>
      <c r="K161" s="42" t="inlineStr">
        <is>
          <t>Lookalike</t>
        </is>
      </c>
      <c r="L161" s="42" t="inlineStr">
        <is>
          <t>AMUR_CAR_4card_SpecStack_v1</t>
        </is>
      </c>
      <c r="M161" s="42" t="inlineStr">
        <is>
          <t>Carousel</t>
        </is>
      </c>
      <c r="N161" s="42" t="inlineStr">
        <is>
          <t>4 reasons the AMUR outsells its class</t>
        </is>
      </c>
      <c r="O161" s="42" t="inlineStr">
        <is>
          <t>Auction - Lowest Cost</t>
        </is>
      </c>
      <c r="P161" s="42" t="inlineStr">
        <is>
          <t>Offsite Conversions</t>
        </is>
      </c>
      <c r="Q161" s="42" t="inlineStr">
        <is>
          <t>https://www.lepas-sa.co.za/offers/amur</t>
        </is>
      </c>
      <c r="R161" s="115" t="n">
        <v>133.34</v>
      </c>
      <c r="S161" s="116" t="n">
        <v>1589</v>
      </c>
      <c r="T161" s="116" t="n">
        <v>931</v>
      </c>
      <c r="U161" s="117">
        <f>IFERROR(S161/T161,"")</f>
        <v/>
      </c>
      <c r="V161" s="116" t="n">
        <v>20</v>
      </c>
      <c r="W161" s="116" t="n">
        <v>16</v>
      </c>
      <c r="X161" s="118">
        <f>IFERROR(W161/S161,"")</f>
        <v/>
      </c>
      <c r="Y161" s="115">
        <f>IFERROR(R161/W161,"")</f>
        <v/>
      </c>
      <c r="Z161" s="115">
        <f>IFERROR(R161/S161*1000,"")</f>
        <v/>
      </c>
      <c r="AA161" s="116" t="n">
        <v>12</v>
      </c>
      <c r="AB161" s="47">
        <f>IFERROR(AA161/W161,"")</f>
        <v/>
      </c>
      <c r="AC161" s="116" t="n">
        <v>0</v>
      </c>
      <c r="AD161" s="116" t="n">
        <v>0</v>
      </c>
      <c r="AE161" s="116" t="n">
        <v>0</v>
      </c>
      <c r="AF161" s="116" t="n">
        <v>0</v>
      </c>
      <c r="AG161" s="116" t="n">
        <v>0</v>
      </c>
      <c r="AH161" s="116" t="n">
        <v>0</v>
      </c>
      <c r="AI161" s="47">
        <f>IFERROR(AC161/S161,"")</f>
        <v/>
      </c>
      <c r="AJ161" s="47">
        <f>IFERROR(AH161/S161,"")</f>
        <v/>
      </c>
      <c r="AK161" s="116" t="n">
        <v>20</v>
      </c>
      <c r="AL161" s="116" t="n">
        <v>0</v>
      </c>
      <c r="AM161" s="118">
        <f>IFERROR(AL161/AA161,"")</f>
        <v/>
      </c>
      <c r="AN161" s="119">
        <f>IFERROR(R161/AL161,"")</f>
        <v/>
      </c>
      <c r="AO161" s="116" t="n">
        <v>0</v>
      </c>
      <c r="AP161" s="47">
        <f>IFERROR(AO161/AL161,"")</f>
        <v/>
      </c>
      <c r="AQ161" s="119">
        <f>IFERROR(R161/AO161,"")</f>
        <v/>
      </c>
      <c r="AR161" s="116" t="n">
        <v>0</v>
      </c>
      <c r="AS161" s="116" t="n">
        <v>0</v>
      </c>
      <c r="AT161" s="116">
        <f>AL161+AR161</f>
        <v/>
      </c>
      <c r="AU161" s="119">
        <f>IFERROR(AO161*Assumptions!$C$26*Assumptions!$C$27*INDEX(Assumptions!$C$18:$C$21,MATCH(H161,Assumptions!$B$18:$B$21,0)),0)</f>
        <v/>
      </c>
    </row>
    <row r="162">
      <c r="A162" s="114" t="n">
        <v>46256</v>
      </c>
      <c r="B162" s="42" t="inlineStr">
        <is>
          <t>Wk 34</t>
        </is>
      </c>
      <c r="C162" s="42" t="inlineStr">
        <is>
          <t>Sat</t>
        </is>
      </c>
      <c r="D162" s="42" t="inlineStr">
        <is>
          <t>Meta (FB/IG)</t>
        </is>
      </c>
      <c r="E162" s="42" t="inlineStr">
        <is>
          <t>Facebook + Instagram</t>
        </is>
      </c>
      <c r="F162" s="42" t="inlineStr">
        <is>
          <t>LEP_ZA_AUG26_META_TD_AMUR_CONV</t>
        </is>
      </c>
      <c r="G162" s="42" t="inlineStr">
        <is>
          <t>Leads - Website Conversions</t>
        </is>
      </c>
      <c r="H162" s="42" t="inlineStr">
        <is>
          <t>AMUR</t>
        </is>
      </c>
      <c r="I162" s="42" t="inlineStr">
        <is>
          <t>0% Deposit</t>
        </is>
      </c>
      <c r="J162" s="42" t="inlineStr">
        <is>
          <t>MET_AMUR_LAL3_LEADS_ZA</t>
        </is>
      </c>
      <c r="K162" s="42" t="inlineStr">
        <is>
          <t>Lookalike</t>
        </is>
      </c>
      <c r="L162" s="42" t="inlineStr">
        <is>
          <t>AMUR_CAR_4card_SpecStack_v1</t>
        </is>
      </c>
      <c r="M162" s="42" t="inlineStr">
        <is>
          <t>Carousel</t>
        </is>
      </c>
      <c r="N162" s="42" t="inlineStr">
        <is>
          <t>4 reasons the AMUR outsells its class</t>
        </is>
      </c>
      <c r="O162" s="42" t="inlineStr">
        <is>
          <t>Auction - Lowest Cost</t>
        </is>
      </c>
      <c r="P162" s="42" t="inlineStr">
        <is>
          <t>Offsite Conversions</t>
        </is>
      </c>
      <c r="Q162" s="42" t="inlineStr">
        <is>
          <t>https://www.lepas-sa.co.za/offers/amur</t>
        </is>
      </c>
      <c r="R162" s="115" t="n">
        <v>163.1</v>
      </c>
      <c r="S162" s="116" t="n">
        <v>1644</v>
      </c>
      <c r="T162" s="116" t="n">
        <v>830</v>
      </c>
      <c r="U162" s="117">
        <f>IFERROR(S162/T162,"")</f>
        <v/>
      </c>
      <c r="V162" s="116" t="n">
        <v>30</v>
      </c>
      <c r="W162" s="116" t="n">
        <v>22</v>
      </c>
      <c r="X162" s="118">
        <f>IFERROR(W162/S162,"")</f>
        <v/>
      </c>
      <c r="Y162" s="115">
        <f>IFERROR(R162/W162,"")</f>
        <v/>
      </c>
      <c r="Z162" s="115">
        <f>IFERROR(R162/S162*1000,"")</f>
        <v/>
      </c>
      <c r="AA162" s="116" t="n">
        <v>18</v>
      </c>
      <c r="AB162" s="47">
        <f>IFERROR(AA162/W162,"")</f>
        <v/>
      </c>
      <c r="AC162" s="116" t="n">
        <v>0</v>
      </c>
      <c r="AD162" s="116" t="n">
        <v>0</v>
      </c>
      <c r="AE162" s="116" t="n">
        <v>0</v>
      </c>
      <c r="AF162" s="116" t="n">
        <v>0</v>
      </c>
      <c r="AG162" s="116" t="n">
        <v>0</v>
      </c>
      <c r="AH162" s="116" t="n">
        <v>0</v>
      </c>
      <c r="AI162" s="47">
        <f>IFERROR(AC162/S162,"")</f>
        <v/>
      </c>
      <c r="AJ162" s="47">
        <f>IFERROR(AH162/S162,"")</f>
        <v/>
      </c>
      <c r="AK162" s="116" t="n">
        <v>32</v>
      </c>
      <c r="AL162" s="116" t="n">
        <v>1</v>
      </c>
      <c r="AM162" s="118">
        <f>IFERROR(AL162/AA162,"")</f>
        <v/>
      </c>
      <c r="AN162" s="119">
        <f>IFERROR(R162/AL162,"")</f>
        <v/>
      </c>
      <c r="AO162" s="116" t="n">
        <v>1</v>
      </c>
      <c r="AP162" s="47">
        <f>IFERROR(AO162/AL162,"")</f>
        <v/>
      </c>
      <c r="AQ162" s="119">
        <f>IFERROR(R162/AO162,"")</f>
        <v/>
      </c>
      <c r="AR162" s="116" t="n">
        <v>0</v>
      </c>
      <c r="AS162" s="116" t="n">
        <v>0</v>
      </c>
      <c r="AT162" s="116">
        <f>AL162+AR162</f>
        <v/>
      </c>
      <c r="AU162" s="119">
        <f>IFERROR(AO162*Assumptions!$C$26*Assumptions!$C$27*INDEX(Assumptions!$C$18:$C$21,MATCH(H162,Assumptions!$B$18:$B$21,0)),0)</f>
        <v/>
      </c>
    </row>
    <row r="163">
      <c r="A163" s="114" t="n">
        <v>46257</v>
      </c>
      <c r="B163" s="42" t="inlineStr">
        <is>
          <t>Wk 34</t>
        </is>
      </c>
      <c r="C163" s="42" t="inlineStr">
        <is>
          <t>Sun</t>
        </is>
      </c>
      <c r="D163" s="42" t="inlineStr">
        <is>
          <t>Meta (FB/IG)</t>
        </is>
      </c>
      <c r="E163" s="42" t="inlineStr">
        <is>
          <t>Facebook + Instagram</t>
        </is>
      </c>
      <c r="F163" s="42" t="inlineStr">
        <is>
          <t>LEP_ZA_AUG26_META_TD_AMUR_CONV</t>
        </is>
      </c>
      <c r="G163" s="42" t="inlineStr">
        <is>
          <t>Leads - Website Conversions</t>
        </is>
      </c>
      <c r="H163" s="42" t="inlineStr">
        <is>
          <t>AMUR</t>
        </is>
      </c>
      <c r="I163" s="42" t="inlineStr">
        <is>
          <t>0% Deposit</t>
        </is>
      </c>
      <c r="J163" s="42" t="inlineStr">
        <is>
          <t>MET_AMUR_LAL3_LEADS_ZA</t>
        </is>
      </c>
      <c r="K163" s="42" t="inlineStr">
        <is>
          <t>Lookalike</t>
        </is>
      </c>
      <c r="L163" s="42" t="inlineStr">
        <is>
          <t>AMUR_CAR_4card_SpecStack_v1</t>
        </is>
      </c>
      <c r="M163" s="42" t="inlineStr">
        <is>
          <t>Carousel</t>
        </is>
      </c>
      <c r="N163" s="42" t="inlineStr">
        <is>
          <t>4 reasons the AMUR outsells its class</t>
        </is>
      </c>
      <c r="O163" s="42" t="inlineStr">
        <is>
          <t>Auction - Lowest Cost</t>
        </is>
      </c>
      <c r="P163" s="42" t="inlineStr">
        <is>
          <t>Offsite Conversions</t>
        </is>
      </c>
      <c r="Q163" s="42" t="inlineStr">
        <is>
          <t>https://www.lepas-sa.co.za/offers/amur</t>
        </is>
      </c>
      <c r="R163" s="115" t="n">
        <v>126.4</v>
      </c>
      <c r="S163" s="116" t="n">
        <v>1353</v>
      </c>
      <c r="T163" s="116" t="n">
        <v>771</v>
      </c>
      <c r="U163" s="117">
        <f>IFERROR(S163/T163,"")</f>
        <v/>
      </c>
      <c r="V163" s="116" t="n">
        <v>29</v>
      </c>
      <c r="W163" s="116" t="n">
        <v>22</v>
      </c>
      <c r="X163" s="118">
        <f>IFERROR(W163/S163,"")</f>
        <v/>
      </c>
      <c r="Y163" s="115">
        <f>IFERROR(R163/W163,"")</f>
        <v/>
      </c>
      <c r="Z163" s="115">
        <f>IFERROR(R163/S163*1000,"")</f>
        <v/>
      </c>
      <c r="AA163" s="116" t="n">
        <v>19</v>
      </c>
      <c r="AB163" s="47">
        <f>IFERROR(AA163/W163,"")</f>
        <v/>
      </c>
      <c r="AC163" s="116" t="n">
        <v>0</v>
      </c>
      <c r="AD163" s="116" t="n">
        <v>0</v>
      </c>
      <c r="AE163" s="116" t="n">
        <v>0</v>
      </c>
      <c r="AF163" s="116" t="n">
        <v>0</v>
      </c>
      <c r="AG163" s="116" t="n">
        <v>0</v>
      </c>
      <c r="AH163" s="116" t="n">
        <v>0</v>
      </c>
      <c r="AI163" s="47">
        <f>IFERROR(AC163/S163,"")</f>
        <v/>
      </c>
      <c r="AJ163" s="47">
        <f>IFERROR(AH163/S163,"")</f>
        <v/>
      </c>
      <c r="AK163" s="116" t="n">
        <v>37</v>
      </c>
      <c r="AL163" s="116" t="n">
        <v>1</v>
      </c>
      <c r="AM163" s="118">
        <f>IFERROR(AL163/AA163,"")</f>
        <v/>
      </c>
      <c r="AN163" s="119">
        <f>IFERROR(R163/AL163,"")</f>
        <v/>
      </c>
      <c r="AO163" s="116" t="n">
        <v>0</v>
      </c>
      <c r="AP163" s="47">
        <f>IFERROR(AO163/AL163,"")</f>
        <v/>
      </c>
      <c r="AQ163" s="119">
        <f>IFERROR(R163/AO163,"")</f>
        <v/>
      </c>
      <c r="AR163" s="116" t="n">
        <v>0</v>
      </c>
      <c r="AS163" s="116" t="n">
        <v>0</v>
      </c>
      <c r="AT163" s="116">
        <f>AL163+AR163</f>
        <v/>
      </c>
      <c r="AU163" s="119">
        <f>IFERROR(AO163*Assumptions!$C$26*Assumptions!$C$27*INDEX(Assumptions!$C$18:$C$21,MATCH(H163,Assumptions!$B$18:$B$21,0)),0)</f>
        <v/>
      </c>
    </row>
    <row r="164">
      <c r="A164" s="114" t="n">
        <v>46258</v>
      </c>
      <c r="B164" s="42" t="inlineStr">
        <is>
          <t>Wk 35</t>
        </is>
      </c>
      <c r="C164" s="42" t="inlineStr">
        <is>
          <t>Mon</t>
        </is>
      </c>
      <c r="D164" s="42" t="inlineStr">
        <is>
          <t>Meta (FB/IG)</t>
        </is>
      </c>
      <c r="E164" s="42" t="inlineStr">
        <is>
          <t>Facebook + Instagram</t>
        </is>
      </c>
      <c r="F164" s="42" t="inlineStr">
        <is>
          <t>LEP_ZA_AUG26_META_TD_AMUR_CONV</t>
        </is>
      </c>
      <c r="G164" s="42" t="inlineStr">
        <is>
          <t>Leads - Website Conversions</t>
        </is>
      </c>
      <c r="H164" s="42" t="inlineStr">
        <is>
          <t>AMUR</t>
        </is>
      </c>
      <c r="I164" s="42" t="inlineStr">
        <is>
          <t>0% Deposit</t>
        </is>
      </c>
      <c r="J164" s="42" t="inlineStr">
        <is>
          <t>MET_AMUR_LAL3_LEADS_ZA</t>
        </is>
      </c>
      <c r="K164" s="42" t="inlineStr">
        <is>
          <t>Lookalike</t>
        </is>
      </c>
      <c r="L164" s="42" t="inlineStr">
        <is>
          <t>AMUR_CAR_4card_SpecStack_v1</t>
        </is>
      </c>
      <c r="M164" s="42" t="inlineStr">
        <is>
          <t>Carousel</t>
        </is>
      </c>
      <c r="N164" s="42" t="inlineStr">
        <is>
          <t>4 reasons the AMUR outsells its class</t>
        </is>
      </c>
      <c r="O164" s="42" t="inlineStr">
        <is>
          <t>Auction - Lowest Cost</t>
        </is>
      </c>
      <c r="P164" s="42" t="inlineStr">
        <is>
          <t>Offsite Conversions</t>
        </is>
      </c>
      <c r="Q164" s="42" t="inlineStr">
        <is>
          <t>https://www.lepas-sa.co.za/offers/amur</t>
        </is>
      </c>
      <c r="R164" s="115" t="n">
        <v>110.08</v>
      </c>
      <c r="S164" s="116" t="n">
        <v>1242</v>
      </c>
      <c r="T164" s="116" t="n">
        <v>727</v>
      </c>
      <c r="U164" s="117">
        <f>IFERROR(S164/T164,"")</f>
        <v/>
      </c>
      <c r="V164" s="116" t="n">
        <v>27</v>
      </c>
      <c r="W164" s="116" t="n">
        <v>21</v>
      </c>
      <c r="X164" s="118">
        <f>IFERROR(W164/S164,"")</f>
        <v/>
      </c>
      <c r="Y164" s="115">
        <f>IFERROR(R164/W164,"")</f>
        <v/>
      </c>
      <c r="Z164" s="115">
        <f>IFERROR(R164/S164*1000,"")</f>
        <v/>
      </c>
      <c r="AA164" s="116" t="n">
        <v>17</v>
      </c>
      <c r="AB164" s="47">
        <f>IFERROR(AA164/W164,"")</f>
        <v/>
      </c>
      <c r="AC164" s="116" t="n">
        <v>0</v>
      </c>
      <c r="AD164" s="116" t="n">
        <v>0</v>
      </c>
      <c r="AE164" s="116" t="n">
        <v>0</v>
      </c>
      <c r="AF164" s="116" t="n">
        <v>0</v>
      </c>
      <c r="AG164" s="116" t="n">
        <v>0</v>
      </c>
      <c r="AH164" s="116" t="n">
        <v>0</v>
      </c>
      <c r="AI164" s="47">
        <f>IFERROR(AC164/S164,"")</f>
        <v/>
      </c>
      <c r="AJ164" s="47">
        <f>IFERROR(AH164/S164,"")</f>
        <v/>
      </c>
      <c r="AK164" s="116" t="n">
        <v>29</v>
      </c>
      <c r="AL164" s="116" t="n">
        <v>1</v>
      </c>
      <c r="AM164" s="118">
        <f>IFERROR(AL164/AA164,"")</f>
        <v/>
      </c>
      <c r="AN164" s="119">
        <f>IFERROR(R164/AL164,"")</f>
        <v/>
      </c>
      <c r="AO164" s="116" t="n">
        <v>0</v>
      </c>
      <c r="AP164" s="47">
        <f>IFERROR(AO164/AL164,"")</f>
        <v/>
      </c>
      <c r="AQ164" s="119">
        <f>IFERROR(R164/AO164,"")</f>
        <v/>
      </c>
      <c r="AR164" s="116" t="n">
        <v>0</v>
      </c>
      <c r="AS164" s="116" t="n">
        <v>1</v>
      </c>
      <c r="AT164" s="116">
        <f>AL164+AR164</f>
        <v/>
      </c>
      <c r="AU164" s="119">
        <f>IFERROR(AO164*Assumptions!$C$26*Assumptions!$C$27*INDEX(Assumptions!$C$18:$C$21,MATCH(H164,Assumptions!$B$18:$B$21,0)),0)</f>
        <v/>
      </c>
    </row>
    <row r="165">
      <c r="A165" s="114" t="n">
        <v>46259</v>
      </c>
      <c r="B165" s="42" t="inlineStr">
        <is>
          <t>Wk 35</t>
        </is>
      </c>
      <c r="C165" s="42" t="inlineStr">
        <is>
          <t>Tue</t>
        </is>
      </c>
      <c r="D165" s="42" t="inlineStr">
        <is>
          <t>Meta (FB/IG)</t>
        </is>
      </c>
      <c r="E165" s="42" t="inlineStr">
        <is>
          <t>Facebook + Instagram</t>
        </is>
      </c>
      <c r="F165" s="42" t="inlineStr">
        <is>
          <t>LEP_ZA_AUG26_META_TD_AMUR_CONV</t>
        </is>
      </c>
      <c r="G165" s="42" t="inlineStr">
        <is>
          <t>Leads - Website Conversions</t>
        </is>
      </c>
      <c r="H165" s="42" t="inlineStr">
        <is>
          <t>AMUR</t>
        </is>
      </c>
      <c r="I165" s="42" t="inlineStr">
        <is>
          <t>0% Deposit</t>
        </is>
      </c>
      <c r="J165" s="42" t="inlineStr">
        <is>
          <t>MET_AMUR_LAL3_LEADS_ZA</t>
        </is>
      </c>
      <c r="K165" s="42" t="inlineStr">
        <is>
          <t>Lookalike</t>
        </is>
      </c>
      <c r="L165" s="42" t="inlineStr">
        <is>
          <t>AMUR_CAR_4card_SpecStack_v1</t>
        </is>
      </c>
      <c r="M165" s="42" t="inlineStr">
        <is>
          <t>Carousel</t>
        </is>
      </c>
      <c r="N165" s="42" t="inlineStr">
        <is>
          <t>4 reasons the AMUR outsells its class</t>
        </is>
      </c>
      <c r="O165" s="42" t="inlineStr">
        <is>
          <t>Auction - Lowest Cost</t>
        </is>
      </c>
      <c r="P165" s="42" t="inlineStr">
        <is>
          <t>Offsite Conversions</t>
        </is>
      </c>
      <c r="Q165" s="42" t="inlineStr">
        <is>
          <t>https://www.lepas-sa.co.za/offers/amur</t>
        </is>
      </c>
      <c r="R165" s="115" t="n">
        <v>145.4</v>
      </c>
      <c r="S165" s="116" t="n">
        <v>1631</v>
      </c>
      <c r="T165" s="116" t="n">
        <v>1120</v>
      </c>
      <c r="U165" s="117">
        <f>IFERROR(S165/T165,"")</f>
        <v/>
      </c>
      <c r="V165" s="116" t="n">
        <v>25</v>
      </c>
      <c r="W165" s="116" t="n">
        <v>20</v>
      </c>
      <c r="X165" s="118">
        <f>IFERROR(W165/S165,"")</f>
        <v/>
      </c>
      <c r="Y165" s="115">
        <f>IFERROR(R165/W165,"")</f>
        <v/>
      </c>
      <c r="Z165" s="115">
        <f>IFERROR(R165/S165*1000,"")</f>
        <v/>
      </c>
      <c r="AA165" s="116" t="n">
        <v>16</v>
      </c>
      <c r="AB165" s="47">
        <f>IFERROR(AA165/W165,"")</f>
        <v/>
      </c>
      <c r="AC165" s="116" t="n">
        <v>0</v>
      </c>
      <c r="AD165" s="116" t="n">
        <v>0</v>
      </c>
      <c r="AE165" s="116" t="n">
        <v>0</v>
      </c>
      <c r="AF165" s="116" t="n">
        <v>0</v>
      </c>
      <c r="AG165" s="116" t="n">
        <v>0</v>
      </c>
      <c r="AH165" s="116" t="n">
        <v>0</v>
      </c>
      <c r="AI165" s="47">
        <f>IFERROR(AC165/S165,"")</f>
        <v/>
      </c>
      <c r="AJ165" s="47">
        <f>IFERROR(AH165/S165,"")</f>
        <v/>
      </c>
      <c r="AK165" s="116" t="n">
        <v>18</v>
      </c>
      <c r="AL165" s="116" t="n">
        <v>0</v>
      </c>
      <c r="AM165" s="118">
        <f>IFERROR(AL165/AA165,"")</f>
        <v/>
      </c>
      <c r="AN165" s="119">
        <f>IFERROR(R165/AL165,"")</f>
        <v/>
      </c>
      <c r="AO165" s="116" t="n">
        <v>0</v>
      </c>
      <c r="AP165" s="47">
        <f>IFERROR(AO165/AL165,"")</f>
        <v/>
      </c>
      <c r="AQ165" s="119">
        <f>IFERROR(R165/AO165,"")</f>
        <v/>
      </c>
      <c r="AR165" s="116" t="n">
        <v>0</v>
      </c>
      <c r="AS165" s="116" t="n">
        <v>0</v>
      </c>
      <c r="AT165" s="116">
        <f>AL165+AR165</f>
        <v/>
      </c>
      <c r="AU165" s="119">
        <f>IFERROR(AO165*Assumptions!$C$26*Assumptions!$C$27*INDEX(Assumptions!$C$18:$C$21,MATCH(H165,Assumptions!$B$18:$B$21,0)),0)</f>
        <v/>
      </c>
    </row>
    <row r="166">
      <c r="A166" s="114" t="n">
        <v>46260</v>
      </c>
      <c r="B166" s="42" t="inlineStr">
        <is>
          <t>Wk 35</t>
        </is>
      </c>
      <c r="C166" s="42" t="inlineStr">
        <is>
          <t>Wed</t>
        </is>
      </c>
      <c r="D166" s="42" t="inlineStr">
        <is>
          <t>Meta (FB/IG)</t>
        </is>
      </c>
      <c r="E166" s="42" t="inlineStr">
        <is>
          <t>Facebook + Instagram</t>
        </is>
      </c>
      <c r="F166" s="42" t="inlineStr">
        <is>
          <t>LEP_ZA_AUG26_META_TD_AMUR_CONV</t>
        </is>
      </c>
      <c r="G166" s="42" t="inlineStr">
        <is>
          <t>Leads - Website Conversions</t>
        </is>
      </c>
      <c r="H166" s="42" t="inlineStr">
        <is>
          <t>AMUR</t>
        </is>
      </c>
      <c r="I166" s="42" t="inlineStr">
        <is>
          <t>0% Deposit</t>
        </is>
      </c>
      <c r="J166" s="42" t="inlineStr">
        <is>
          <t>MET_AMUR_LAL3_LEADS_ZA</t>
        </is>
      </c>
      <c r="K166" s="42" t="inlineStr">
        <is>
          <t>Lookalike</t>
        </is>
      </c>
      <c r="L166" s="42" t="inlineStr">
        <is>
          <t>AMUR_CAR_4card_SpecStack_v1</t>
        </is>
      </c>
      <c r="M166" s="42" t="inlineStr">
        <is>
          <t>Carousel</t>
        </is>
      </c>
      <c r="N166" s="42" t="inlineStr">
        <is>
          <t>4 reasons the AMUR outsells its class</t>
        </is>
      </c>
      <c r="O166" s="42" t="inlineStr">
        <is>
          <t>Auction - Lowest Cost</t>
        </is>
      </c>
      <c r="P166" s="42" t="inlineStr">
        <is>
          <t>Offsite Conversions</t>
        </is>
      </c>
      <c r="Q166" s="42" t="inlineStr">
        <is>
          <t>https://www.lepas-sa.co.za/offers/amur</t>
        </is>
      </c>
      <c r="R166" s="115" t="n">
        <v>151.53</v>
      </c>
      <c r="S166" s="116" t="n">
        <v>2567</v>
      </c>
      <c r="T166" s="116" t="n">
        <v>1436</v>
      </c>
      <c r="U166" s="117">
        <f>IFERROR(S166/T166,"")</f>
        <v/>
      </c>
      <c r="V166" s="116" t="n">
        <v>43</v>
      </c>
      <c r="W166" s="116" t="n">
        <v>32</v>
      </c>
      <c r="X166" s="118">
        <f>IFERROR(W166/S166,"")</f>
        <v/>
      </c>
      <c r="Y166" s="115">
        <f>IFERROR(R166/W166,"")</f>
        <v/>
      </c>
      <c r="Z166" s="115">
        <f>IFERROR(R166/S166*1000,"")</f>
        <v/>
      </c>
      <c r="AA166" s="116" t="n">
        <v>27</v>
      </c>
      <c r="AB166" s="47">
        <f>IFERROR(AA166/W166,"")</f>
        <v/>
      </c>
      <c r="AC166" s="116" t="n">
        <v>0</v>
      </c>
      <c r="AD166" s="116" t="n">
        <v>0</v>
      </c>
      <c r="AE166" s="116" t="n">
        <v>0</v>
      </c>
      <c r="AF166" s="116" t="n">
        <v>0</v>
      </c>
      <c r="AG166" s="116" t="n">
        <v>0</v>
      </c>
      <c r="AH166" s="116" t="n">
        <v>0</v>
      </c>
      <c r="AI166" s="47">
        <f>IFERROR(AC166/S166,"")</f>
        <v/>
      </c>
      <c r="AJ166" s="47">
        <f>IFERROR(AH166/S166,"")</f>
        <v/>
      </c>
      <c r="AK166" s="116" t="n">
        <v>41</v>
      </c>
      <c r="AL166" s="116" t="n">
        <v>1</v>
      </c>
      <c r="AM166" s="118">
        <f>IFERROR(AL166/AA166,"")</f>
        <v/>
      </c>
      <c r="AN166" s="119">
        <f>IFERROR(R166/AL166,"")</f>
        <v/>
      </c>
      <c r="AO166" s="116" t="n">
        <v>0</v>
      </c>
      <c r="AP166" s="47">
        <f>IFERROR(AO166/AL166,"")</f>
        <v/>
      </c>
      <c r="AQ166" s="119">
        <f>IFERROR(R166/AO166,"")</f>
        <v/>
      </c>
      <c r="AR166" s="116" t="n">
        <v>0</v>
      </c>
      <c r="AS166" s="116" t="n">
        <v>0</v>
      </c>
      <c r="AT166" s="116">
        <f>AL166+AR166</f>
        <v/>
      </c>
      <c r="AU166" s="119">
        <f>IFERROR(AO166*Assumptions!$C$26*Assumptions!$C$27*INDEX(Assumptions!$C$18:$C$21,MATCH(H166,Assumptions!$B$18:$B$21,0)),0)</f>
        <v/>
      </c>
    </row>
    <row r="167">
      <c r="A167" s="114" t="n">
        <v>46261</v>
      </c>
      <c r="B167" s="42" t="inlineStr">
        <is>
          <t>Wk 35</t>
        </is>
      </c>
      <c r="C167" s="42" t="inlineStr">
        <is>
          <t>Thu</t>
        </is>
      </c>
      <c r="D167" s="42" t="inlineStr">
        <is>
          <t>Meta (FB/IG)</t>
        </is>
      </c>
      <c r="E167" s="42" t="inlineStr">
        <is>
          <t>Facebook + Instagram</t>
        </is>
      </c>
      <c r="F167" s="42" t="inlineStr">
        <is>
          <t>LEP_ZA_AUG26_META_TD_AMUR_CONV</t>
        </is>
      </c>
      <c r="G167" s="42" t="inlineStr">
        <is>
          <t>Leads - Website Conversions</t>
        </is>
      </c>
      <c r="H167" s="42" t="inlineStr">
        <is>
          <t>AMUR</t>
        </is>
      </c>
      <c r="I167" s="42" t="inlineStr">
        <is>
          <t>0% Deposit</t>
        </is>
      </c>
      <c r="J167" s="42" t="inlineStr">
        <is>
          <t>MET_AMUR_LAL3_LEADS_ZA</t>
        </is>
      </c>
      <c r="K167" s="42" t="inlineStr">
        <is>
          <t>Lookalike</t>
        </is>
      </c>
      <c r="L167" s="42" t="inlineStr">
        <is>
          <t>AMUR_CAR_4card_SpecStack_v1</t>
        </is>
      </c>
      <c r="M167" s="42" t="inlineStr">
        <is>
          <t>Carousel</t>
        </is>
      </c>
      <c r="N167" s="42" t="inlineStr">
        <is>
          <t>4 reasons the AMUR outsells its class</t>
        </is>
      </c>
      <c r="O167" s="42" t="inlineStr">
        <is>
          <t>Auction - Lowest Cost</t>
        </is>
      </c>
      <c r="P167" s="42" t="inlineStr">
        <is>
          <t>Offsite Conversions</t>
        </is>
      </c>
      <c r="Q167" s="42" t="inlineStr">
        <is>
          <t>https://www.lepas-sa.co.za/offers/amur</t>
        </is>
      </c>
      <c r="R167" s="115" t="n">
        <v>177.03</v>
      </c>
      <c r="S167" s="116" t="n">
        <v>2578</v>
      </c>
      <c r="T167" s="116" t="n">
        <v>1227</v>
      </c>
      <c r="U167" s="117">
        <f>IFERROR(S167/T167,"")</f>
        <v/>
      </c>
      <c r="V167" s="116" t="n">
        <v>36</v>
      </c>
      <c r="W167" s="116" t="n">
        <v>26</v>
      </c>
      <c r="X167" s="118">
        <f>IFERROR(W167/S167,"")</f>
        <v/>
      </c>
      <c r="Y167" s="115">
        <f>IFERROR(R167/W167,"")</f>
        <v/>
      </c>
      <c r="Z167" s="115">
        <f>IFERROR(R167/S167*1000,"")</f>
        <v/>
      </c>
      <c r="AA167" s="116" t="n">
        <v>21</v>
      </c>
      <c r="AB167" s="47">
        <f>IFERROR(AA167/W167,"")</f>
        <v/>
      </c>
      <c r="AC167" s="116" t="n">
        <v>0</v>
      </c>
      <c r="AD167" s="116" t="n">
        <v>0</v>
      </c>
      <c r="AE167" s="116" t="n">
        <v>0</v>
      </c>
      <c r="AF167" s="116" t="n">
        <v>0</v>
      </c>
      <c r="AG167" s="116" t="n">
        <v>0</v>
      </c>
      <c r="AH167" s="116" t="n">
        <v>0</v>
      </c>
      <c r="AI167" s="47">
        <f>IFERROR(AC167/S167,"")</f>
        <v/>
      </c>
      <c r="AJ167" s="47">
        <f>IFERROR(AH167/S167,"")</f>
        <v/>
      </c>
      <c r="AK167" s="116" t="n">
        <v>70</v>
      </c>
      <c r="AL167" s="116" t="n">
        <v>1</v>
      </c>
      <c r="AM167" s="118">
        <f>IFERROR(AL167/AA167,"")</f>
        <v/>
      </c>
      <c r="AN167" s="119">
        <f>IFERROR(R167/AL167,"")</f>
        <v/>
      </c>
      <c r="AO167" s="116" t="n">
        <v>0</v>
      </c>
      <c r="AP167" s="47">
        <f>IFERROR(AO167/AL167,"")</f>
        <v/>
      </c>
      <c r="AQ167" s="119">
        <f>IFERROR(R167/AO167,"")</f>
        <v/>
      </c>
      <c r="AR167" s="116" t="n">
        <v>1</v>
      </c>
      <c r="AS167" s="116" t="n">
        <v>0</v>
      </c>
      <c r="AT167" s="116">
        <f>AL167+AR167</f>
        <v/>
      </c>
      <c r="AU167" s="119">
        <f>IFERROR(AO167*Assumptions!$C$26*Assumptions!$C$27*INDEX(Assumptions!$C$18:$C$21,MATCH(H167,Assumptions!$B$18:$B$21,0)),0)</f>
        <v/>
      </c>
    </row>
    <row r="168">
      <c r="A168" s="114" t="n">
        <v>46262</v>
      </c>
      <c r="B168" s="42" t="inlineStr">
        <is>
          <t>Wk 35</t>
        </is>
      </c>
      <c r="C168" s="42" t="inlineStr">
        <is>
          <t>Fri</t>
        </is>
      </c>
      <c r="D168" s="42" t="inlineStr">
        <is>
          <t>Meta (FB/IG)</t>
        </is>
      </c>
      <c r="E168" s="42" t="inlineStr">
        <is>
          <t>Facebook + Instagram</t>
        </is>
      </c>
      <c r="F168" s="42" t="inlineStr">
        <is>
          <t>LEP_ZA_AUG26_META_TD_AMUR_CONV</t>
        </is>
      </c>
      <c r="G168" s="42" t="inlineStr">
        <is>
          <t>Leads - Website Conversions</t>
        </is>
      </c>
      <c r="H168" s="42" t="inlineStr">
        <is>
          <t>AMUR</t>
        </is>
      </c>
      <c r="I168" s="42" t="inlineStr">
        <is>
          <t>0% Deposit</t>
        </is>
      </c>
      <c r="J168" s="42" t="inlineStr">
        <is>
          <t>MET_AMUR_LAL3_LEADS_ZA</t>
        </is>
      </c>
      <c r="K168" s="42" t="inlineStr">
        <is>
          <t>Lookalike</t>
        </is>
      </c>
      <c r="L168" s="42" t="inlineStr">
        <is>
          <t>AMUR_CAR_4card_SpecStack_v1</t>
        </is>
      </c>
      <c r="M168" s="42" t="inlineStr">
        <is>
          <t>Carousel</t>
        </is>
      </c>
      <c r="N168" s="42" t="inlineStr">
        <is>
          <t>4 reasons the AMUR outsells its class</t>
        </is>
      </c>
      <c r="O168" s="42" t="inlineStr">
        <is>
          <t>Auction - Lowest Cost</t>
        </is>
      </c>
      <c r="P168" s="42" t="inlineStr">
        <is>
          <t>Offsite Conversions</t>
        </is>
      </c>
      <c r="Q168" s="42" t="inlineStr">
        <is>
          <t>https://www.lepas-sa.co.za/offers/amur</t>
        </is>
      </c>
      <c r="R168" s="115" t="n">
        <v>171.06</v>
      </c>
      <c r="S168" s="116" t="n">
        <v>2114</v>
      </c>
      <c r="T168" s="116" t="n">
        <v>995</v>
      </c>
      <c r="U168" s="117">
        <f>IFERROR(S168/T168,"")</f>
        <v/>
      </c>
      <c r="V168" s="116" t="n">
        <v>43</v>
      </c>
      <c r="W168" s="116" t="n">
        <v>34</v>
      </c>
      <c r="X168" s="118">
        <f>IFERROR(W168/S168,"")</f>
        <v/>
      </c>
      <c r="Y168" s="115">
        <f>IFERROR(R168/W168,"")</f>
        <v/>
      </c>
      <c r="Z168" s="115">
        <f>IFERROR(R168/S168*1000,"")</f>
        <v/>
      </c>
      <c r="AA168" s="116" t="n">
        <v>28</v>
      </c>
      <c r="AB168" s="47">
        <f>IFERROR(AA168/W168,"")</f>
        <v/>
      </c>
      <c r="AC168" s="116" t="n">
        <v>0</v>
      </c>
      <c r="AD168" s="116" t="n">
        <v>0</v>
      </c>
      <c r="AE168" s="116" t="n">
        <v>0</v>
      </c>
      <c r="AF168" s="116" t="n">
        <v>0</v>
      </c>
      <c r="AG168" s="116" t="n">
        <v>0</v>
      </c>
      <c r="AH168" s="116" t="n">
        <v>0</v>
      </c>
      <c r="AI168" s="47">
        <f>IFERROR(AC168/S168,"")</f>
        <v/>
      </c>
      <c r="AJ168" s="47">
        <f>IFERROR(AH168/S168,"")</f>
        <v/>
      </c>
      <c r="AK168" s="116" t="n">
        <v>25</v>
      </c>
      <c r="AL168" s="116" t="n">
        <v>0</v>
      </c>
      <c r="AM168" s="118">
        <f>IFERROR(AL168/AA168,"")</f>
        <v/>
      </c>
      <c r="AN168" s="119">
        <f>IFERROR(R168/AL168,"")</f>
        <v/>
      </c>
      <c r="AO168" s="116" t="n">
        <v>0</v>
      </c>
      <c r="AP168" s="47">
        <f>IFERROR(AO168/AL168,"")</f>
        <v/>
      </c>
      <c r="AQ168" s="119">
        <f>IFERROR(R168/AO168,"")</f>
        <v/>
      </c>
      <c r="AR168" s="116" t="n">
        <v>0</v>
      </c>
      <c r="AS168" s="116" t="n">
        <v>0</v>
      </c>
      <c r="AT168" s="116">
        <f>AL168+AR168</f>
        <v/>
      </c>
      <c r="AU168" s="119">
        <f>IFERROR(AO168*Assumptions!$C$26*Assumptions!$C$27*INDEX(Assumptions!$C$18:$C$21,MATCH(H168,Assumptions!$B$18:$B$21,0)),0)</f>
        <v/>
      </c>
    </row>
    <row r="169">
      <c r="A169" s="114" t="n">
        <v>46263</v>
      </c>
      <c r="B169" s="42" t="inlineStr">
        <is>
          <t>Wk 35</t>
        </is>
      </c>
      <c r="C169" s="42" t="inlineStr">
        <is>
          <t>Sat</t>
        </is>
      </c>
      <c r="D169" s="42" t="inlineStr">
        <is>
          <t>Meta (FB/IG)</t>
        </is>
      </c>
      <c r="E169" s="42" t="inlineStr">
        <is>
          <t>Facebook + Instagram</t>
        </is>
      </c>
      <c r="F169" s="42" t="inlineStr">
        <is>
          <t>LEP_ZA_AUG26_META_TD_AMUR_CONV</t>
        </is>
      </c>
      <c r="G169" s="42" t="inlineStr">
        <is>
          <t>Leads - Website Conversions</t>
        </is>
      </c>
      <c r="H169" s="42" t="inlineStr">
        <is>
          <t>AMUR</t>
        </is>
      </c>
      <c r="I169" s="42" t="inlineStr">
        <is>
          <t>0% Deposit</t>
        </is>
      </c>
      <c r="J169" s="42" t="inlineStr">
        <is>
          <t>MET_AMUR_LAL3_LEADS_ZA</t>
        </is>
      </c>
      <c r="K169" s="42" t="inlineStr">
        <is>
          <t>Lookalike</t>
        </is>
      </c>
      <c r="L169" s="42" t="inlineStr">
        <is>
          <t>AMUR_CAR_4card_SpecStack_v1</t>
        </is>
      </c>
      <c r="M169" s="42" t="inlineStr">
        <is>
          <t>Carousel</t>
        </is>
      </c>
      <c r="N169" s="42" t="inlineStr">
        <is>
          <t>4 reasons the AMUR outsells its class</t>
        </is>
      </c>
      <c r="O169" s="42" t="inlineStr">
        <is>
          <t>Auction - Lowest Cost</t>
        </is>
      </c>
      <c r="P169" s="42" t="inlineStr">
        <is>
          <t>Offsite Conversions</t>
        </is>
      </c>
      <c r="Q169" s="42" t="inlineStr">
        <is>
          <t>https://www.lepas-sa.co.za/offers/amur</t>
        </is>
      </c>
      <c r="R169" s="115" t="n">
        <v>198.82</v>
      </c>
      <c r="S169" s="116" t="n">
        <v>1920</v>
      </c>
      <c r="T169" s="116" t="n">
        <v>1237</v>
      </c>
      <c r="U169" s="117">
        <f>IFERROR(S169/T169,"")</f>
        <v/>
      </c>
      <c r="V169" s="116" t="n">
        <v>21</v>
      </c>
      <c r="W169" s="116" t="n">
        <v>16</v>
      </c>
      <c r="X169" s="118">
        <f>IFERROR(W169/S169,"")</f>
        <v/>
      </c>
      <c r="Y169" s="115">
        <f>IFERROR(R169/W169,"")</f>
        <v/>
      </c>
      <c r="Z169" s="115">
        <f>IFERROR(R169/S169*1000,"")</f>
        <v/>
      </c>
      <c r="AA169" s="116" t="n">
        <v>13</v>
      </c>
      <c r="AB169" s="47">
        <f>IFERROR(AA169/W169,"")</f>
        <v/>
      </c>
      <c r="AC169" s="116" t="n">
        <v>0</v>
      </c>
      <c r="AD169" s="116" t="n">
        <v>0</v>
      </c>
      <c r="AE169" s="116" t="n">
        <v>0</v>
      </c>
      <c r="AF169" s="116" t="n">
        <v>0</v>
      </c>
      <c r="AG169" s="116" t="n">
        <v>0</v>
      </c>
      <c r="AH169" s="116" t="n">
        <v>0</v>
      </c>
      <c r="AI169" s="47">
        <f>IFERROR(AC169/S169,"")</f>
        <v/>
      </c>
      <c r="AJ169" s="47">
        <f>IFERROR(AH169/S169,"")</f>
        <v/>
      </c>
      <c r="AK169" s="116" t="n">
        <v>32</v>
      </c>
      <c r="AL169" s="116" t="n">
        <v>0</v>
      </c>
      <c r="AM169" s="118">
        <f>IFERROR(AL169/AA169,"")</f>
        <v/>
      </c>
      <c r="AN169" s="119">
        <f>IFERROR(R169/AL169,"")</f>
        <v/>
      </c>
      <c r="AO169" s="116" t="n">
        <v>0</v>
      </c>
      <c r="AP169" s="47">
        <f>IFERROR(AO169/AL169,"")</f>
        <v/>
      </c>
      <c r="AQ169" s="119">
        <f>IFERROR(R169/AO169,"")</f>
        <v/>
      </c>
      <c r="AR169" s="116" t="n">
        <v>0</v>
      </c>
      <c r="AS169" s="116" t="n">
        <v>0</v>
      </c>
      <c r="AT169" s="116">
        <f>AL169+AR169</f>
        <v/>
      </c>
      <c r="AU169" s="119">
        <f>IFERROR(AO169*Assumptions!$C$26*Assumptions!$C$27*INDEX(Assumptions!$C$18:$C$21,MATCH(H169,Assumptions!$B$18:$B$21,0)),0)</f>
        <v/>
      </c>
    </row>
    <row r="170">
      <c r="A170" s="114" t="n">
        <v>46264</v>
      </c>
      <c r="B170" s="42" t="inlineStr">
        <is>
          <t>Wk 35</t>
        </is>
      </c>
      <c r="C170" s="42" t="inlineStr">
        <is>
          <t>Sun</t>
        </is>
      </c>
      <c r="D170" s="42" t="inlineStr">
        <is>
          <t>Meta (FB/IG)</t>
        </is>
      </c>
      <c r="E170" s="42" t="inlineStr">
        <is>
          <t>Facebook + Instagram</t>
        </is>
      </c>
      <c r="F170" s="42" t="inlineStr">
        <is>
          <t>LEP_ZA_AUG26_META_TD_AMUR_CONV</t>
        </is>
      </c>
      <c r="G170" s="42" t="inlineStr">
        <is>
          <t>Leads - Website Conversions</t>
        </is>
      </c>
      <c r="H170" s="42" t="inlineStr">
        <is>
          <t>AMUR</t>
        </is>
      </c>
      <c r="I170" s="42" t="inlineStr">
        <is>
          <t>0% Deposit</t>
        </is>
      </c>
      <c r="J170" s="42" t="inlineStr">
        <is>
          <t>MET_AMUR_LAL3_LEADS_ZA</t>
        </is>
      </c>
      <c r="K170" s="42" t="inlineStr">
        <is>
          <t>Lookalike</t>
        </is>
      </c>
      <c r="L170" s="42" t="inlineStr">
        <is>
          <t>AMUR_CAR_4card_SpecStack_v1</t>
        </is>
      </c>
      <c r="M170" s="42" t="inlineStr">
        <is>
          <t>Carousel</t>
        </is>
      </c>
      <c r="N170" s="42" t="inlineStr">
        <is>
          <t>4 reasons the AMUR outsells its class</t>
        </is>
      </c>
      <c r="O170" s="42" t="inlineStr">
        <is>
          <t>Auction - Lowest Cost</t>
        </is>
      </c>
      <c r="P170" s="42" t="inlineStr">
        <is>
          <t>Offsite Conversions</t>
        </is>
      </c>
      <c r="Q170" s="42" t="inlineStr">
        <is>
          <t>https://www.lepas-sa.co.za/offers/amur</t>
        </is>
      </c>
      <c r="R170" s="115" t="n">
        <v>152.85</v>
      </c>
      <c r="S170" s="116" t="n">
        <v>1825</v>
      </c>
      <c r="T170" s="116" t="n">
        <v>844</v>
      </c>
      <c r="U170" s="117">
        <f>IFERROR(S170/T170,"")</f>
        <v/>
      </c>
      <c r="V170" s="116" t="n">
        <v>26</v>
      </c>
      <c r="W170" s="116" t="n">
        <v>22</v>
      </c>
      <c r="X170" s="118">
        <f>IFERROR(W170/S170,"")</f>
        <v/>
      </c>
      <c r="Y170" s="115">
        <f>IFERROR(R170/W170,"")</f>
        <v/>
      </c>
      <c r="Z170" s="115">
        <f>IFERROR(R170/S170*1000,"")</f>
        <v/>
      </c>
      <c r="AA170" s="116" t="n">
        <v>19</v>
      </c>
      <c r="AB170" s="47">
        <f>IFERROR(AA170/W170,"")</f>
        <v/>
      </c>
      <c r="AC170" s="116" t="n">
        <v>0</v>
      </c>
      <c r="AD170" s="116" t="n">
        <v>0</v>
      </c>
      <c r="AE170" s="116" t="n">
        <v>0</v>
      </c>
      <c r="AF170" s="116" t="n">
        <v>0</v>
      </c>
      <c r="AG170" s="116" t="n">
        <v>0</v>
      </c>
      <c r="AH170" s="116" t="n">
        <v>0</v>
      </c>
      <c r="AI170" s="47">
        <f>IFERROR(AC170/S170,"")</f>
        <v/>
      </c>
      <c r="AJ170" s="47">
        <f>IFERROR(AH170/S170,"")</f>
        <v/>
      </c>
      <c r="AK170" s="116" t="n">
        <v>38</v>
      </c>
      <c r="AL170" s="116" t="n">
        <v>1</v>
      </c>
      <c r="AM170" s="118">
        <f>IFERROR(AL170/AA170,"")</f>
        <v/>
      </c>
      <c r="AN170" s="119">
        <f>IFERROR(R170/AL170,"")</f>
        <v/>
      </c>
      <c r="AO170" s="116" t="n">
        <v>1</v>
      </c>
      <c r="AP170" s="47">
        <f>IFERROR(AO170/AL170,"")</f>
        <v/>
      </c>
      <c r="AQ170" s="119">
        <f>IFERROR(R170/AO170,"")</f>
        <v/>
      </c>
      <c r="AR170" s="116" t="n">
        <v>0</v>
      </c>
      <c r="AS170" s="116" t="n">
        <v>0</v>
      </c>
      <c r="AT170" s="116">
        <f>AL170+AR170</f>
        <v/>
      </c>
      <c r="AU170" s="119">
        <f>IFERROR(AO170*Assumptions!$C$26*Assumptions!$C$27*INDEX(Assumptions!$C$18:$C$21,MATCH(H170,Assumptions!$B$18:$B$21,0)),0)</f>
        <v/>
      </c>
    </row>
    <row r="171">
      <c r="A171" s="114" t="n">
        <v>46265</v>
      </c>
      <c r="B171" s="42" t="inlineStr">
        <is>
          <t>Wk 36</t>
        </is>
      </c>
      <c r="C171" s="42" t="inlineStr">
        <is>
          <t>Mon</t>
        </is>
      </c>
      <c r="D171" s="42" t="inlineStr">
        <is>
          <t>Meta (FB/IG)</t>
        </is>
      </c>
      <c r="E171" s="42" t="inlineStr">
        <is>
          <t>Facebook + Instagram</t>
        </is>
      </c>
      <c r="F171" s="42" t="inlineStr">
        <is>
          <t>LEP_ZA_AUG26_META_TD_AMUR_CONV</t>
        </is>
      </c>
      <c r="G171" s="42" t="inlineStr">
        <is>
          <t>Leads - Website Conversions</t>
        </is>
      </c>
      <c r="H171" s="42" t="inlineStr">
        <is>
          <t>AMUR</t>
        </is>
      </c>
      <c r="I171" s="42" t="inlineStr">
        <is>
          <t>0% Deposit</t>
        </is>
      </c>
      <c r="J171" s="42" t="inlineStr">
        <is>
          <t>MET_AMUR_LAL3_LEADS_ZA</t>
        </is>
      </c>
      <c r="K171" s="42" t="inlineStr">
        <is>
          <t>Lookalike</t>
        </is>
      </c>
      <c r="L171" s="42" t="inlineStr">
        <is>
          <t>AMUR_CAR_4card_SpecStack_v1</t>
        </is>
      </c>
      <c r="M171" s="42" t="inlineStr">
        <is>
          <t>Carousel</t>
        </is>
      </c>
      <c r="N171" s="42" t="inlineStr">
        <is>
          <t>4 reasons the AMUR outsells its class</t>
        </is>
      </c>
      <c r="O171" s="42" t="inlineStr">
        <is>
          <t>Auction - Lowest Cost</t>
        </is>
      </c>
      <c r="P171" s="42" t="inlineStr">
        <is>
          <t>Offsite Conversions</t>
        </is>
      </c>
      <c r="Q171" s="42" t="inlineStr">
        <is>
          <t>https://www.lepas-sa.co.za/offers/amur</t>
        </is>
      </c>
      <c r="R171" s="115" t="n">
        <v>159.09</v>
      </c>
      <c r="S171" s="116" t="n">
        <v>1711</v>
      </c>
      <c r="T171" s="116" t="n">
        <v>783</v>
      </c>
      <c r="U171" s="117">
        <f>IFERROR(S171/T171,"")</f>
        <v/>
      </c>
      <c r="V171" s="116" t="n">
        <v>32</v>
      </c>
      <c r="W171" s="116" t="n">
        <v>26</v>
      </c>
      <c r="X171" s="118">
        <f>IFERROR(W171/S171,"")</f>
        <v/>
      </c>
      <c r="Y171" s="115">
        <f>IFERROR(R171/W171,"")</f>
        <v/>
      </c>
      <c r="Z171" s="115">
        <f>IFERROR(R171/S171*1000,"")</f>
        <v/>
      </c>
      <c r="AA171" s="116" t="n">
        <v>23</v>
      </c>
      <c r="AB171" s="47">
        <f>IFERROR(AA171/W171,"")</f>
        <v/>
      </c>
      <c r="AC171" s="116" t="n">
        <v>0</v>
      </c>
      <c r="AD171" s="116" t="n">
        <v>0</v>
      </c>
      <c r="AE171" s="116" t="n">
        <v>0</v>
      </c>
      <c r="AF171" s="116" t="n">
        <v>0</v>
      </c>
      <c r="AG171" s="116" t="n">
        <v>0</v>
      </c>
      <c r="AH171" s="116" t="n">
        <v>0</v>
      </c>
      <c r="AI171" s="47">
        <f>IFERROR(AC171/S171,"")</f>
        <v/>
      </c>
      <c r="AJ171" s="47">
        <f>IFERROR(AH171/S171,"")</f>
        <v/>
      </c>
      <c r="AK171" s="116" t="n">
        <v>51</v>
      </c>
      <c r="AL171" s="116" t="n">
        <v>1</v>
      </c>
      <c r="AM171" s="118">
        <f>IFERROR(AL171/AA171,"")</f>
        <v/>
      </c>
      <c r="AN171" s="119">
        <f>IFERROR(R171/AL171,"")</f>
        <v/>
      </c>
      <c r="AO171" s="116" t="n">
        <v>0</v>
      </c>
      <c r="AP171" s="47">
        <f>IFERROR(AO171/AL171,"")</f>
        <v/>
      </c>
      <c r="AQ171" s="119">
        <f>IFERROR(R171/AO171,"")</f>
        <v/>
      </c>
      <c r="AR171" s="116" t="n">
        <v>1</v>
      </c>
      <c r="AS171" s="116" t="n">
        <v>0</v>
      </c>
      <c r="AT171" s="116">
        <f>AL171+AR171</f>
        <v/>
      </c>
      <c r="AU171" s="119">
        <f>IFERROR(AO171*Assumptions!$C$26*Assumptions!$C$27*INDEX(Assumptions!$C$18:$C$21,MATCH(H171,Assumptions!$B$18:$B$21,0)),0)</f>
        <v/>
      </c>
    </row>
    <row r="172">
      <c r="A172" s="114" t="n">
        <v>46235</v>
      </c>
      <c r="B172" s="42" t="inlineStr">
        <is>
          <t>Wk 31</t>
        </is>
      </c>
      <c r="C172" s="42" t="inlineStr">
        <is>
          <t>Sat</t>
        </is>
      </c>
      <c r="D172" s="42" t="inlineStr">
        <is>
          <t>Meta (FB/IG)</t>
        </is>
      </c>
      <c r="E172" s="42" t="inlineStr">
        <is>
          <t>Facebook + Instagram</t>
        </is>
      </c>
      <c r="F172" s="42" t="inlineStr">
        <is>
          <t>LEP_ZA_AUG26_META_TD_AMUR_CONV</t>
        </is>
      </c>
      <c r="G172" s="42" t="inlineStr">
        <is>
          <t>Leads - Website Conversions</t>
        </is>
      </c>
      <c r="H172" s="42" t="inlineStr">
        <is>
          <t>AMUR</t>
        </is>
      </c>
      <c r="I172" s="42" t="inlineStr">
        <is>
          <t>0% Deposit</t>
        </is>
      </c>
      <c r="J172" s="42" t="inlineStr">
        <is>
          <t>MET_AMUR_INMKT_HATCH_ZA</t>
        </is>
      </c>
      <c r="K172" s="42" t="inlineStr">
        <is>
          <t>In-Market</t>
        </is>
      </c>
      <c r="L172" s="42" t="inlineStr">
        <is>
          <t>AMUR_STA_Compare_Hatch_v1</t>
        </is>
      </c>
      <c r="M172" s="42" t="inlineStr">
        <is>
          <t>Static 4:5</t>
        </is>
      </c>
      <c r="N172" s="42" t="inlineStr">
        <is>
          <t>Compare before you commit</t>
        </is>
      </c>
      <c r="O172" s="42" t="inlineStr">
        <is>
          <t>Auction - Lowest Cost</t>
        </is>
      </c>
      <c r="P172" s="42" t="inlineStr">
        <is>
          <t>Offsite Conversions</t>
        </is>
      </c>
      <c r="Q172" s="42" t="inlineStr">
        <is>
          <t>https://www.lepas-sa.co.za/offers/amur</t>
        </is>
      </c>
      <c r="R172" s="115" t="n">
        <v>161.4</v>
      </c>
      <c r="S172" s="116" t="n">
        <v>2021</v>
      </c>
      <c r="T172" s="116" t="n">
        <v>1363</v>
      </c>
      <c r="U172" s="117">
        <f>IFERROR(S172/T172,"")</f>
        <v/>
      </c>
      <c r="V172" s="116" t="n">
        <v>29</v>
      </c>
      <c r="W172" s="116" t="n">
        <v>24</v>
      </c>
      <c r="X172" s="118">
        <f>IFERROR(W172/S172,"")</f>
        <v/>
      </c>
      <c r="Y172" s="115">
        <f>IFERROR(R172/W172,"")</f>
        <v/>
      </c>
      <c r="Z172" s="115">
        <f>IFERROR(R172/S172*1000,"")</f>
        <v/>
      </c>
      <c r="AA172" s="116" t="n">
        <v>21</v>
      </c>
      <c r="AB172" s="47">
        <f>IFERROR(AA172/W172,"")</f>
        <v/>
      </c>
      <c r="AC172" s="116" t="n">
        <v>0</v>
      </c>
      <c r="AD172" s="116" t="n">
        <v>0</v>
      </c>
      <c r="AE172" s="116" t="n">
        <v>0</v>
      </c>
      <c r="AF172" s="116" t="n">
        <v>0</v>
      </c>
      <c r="AG172" s="116" t="n">
        <v>0</v>
      </c>
      <c r="AH172" s="116" t="n">
        <v>0</v>
      </c>
      <c r="AI172" s="47">
        <f>IFERROR(AC172/S172,"")</f>
        <v/>
      </c>
      <c r="AJ172" s="47">
        <f>IFERROR(AH172/S172,"")</f>
        <v/>
      </c>
      <c r="AK172" s="116" t="n">
        <v>41</v>
      </c>
      <c r="AL172" s="116" t="n">
        <v>1</v>
      </c>
      <c r="AM172" s="118">
        <f>IFERROR(AL172/AA172,"")</f>
        <v/>
      </c>
      <c r="AN172" s="119">
        <f>IFERROR(R172/AL172,"")</f>
        <v/>
      </c>
      <c r="AO172" s="116" t="n">
        <v>1</v>
      </c>
      <c r="AP172" s="47">
        <f>IFERROR(AO172/AL172,"")</f>
        <v/>
      </c>
      <c r="AQ172" s="119">
        <f>IFERROR(R172/AO172,"")</f>
        <v/>
      </c>
      <c r="AR172" s="116" t="n">
        <v>0</v>
      </c>
      <c r="AS172" s="116" t="n">
        <v>0</v>
      </c>
      <c r="AT172" s="116">
        <f>AL172+AR172</f>
        <v/>
      </c>
      <c r="AU172" s="119">
        <f>IFERROR(AO172*Assumptions!$C$26*Assumptions!$C$27*INDEX(Assumptions!$C$18:$C$21,MATCH(H172,Assumptions!$B$18:$B$21,0)),0)</f>
        <v/>
      </c>
    </row>
    <row r="173">
      <c r="A173" s="114" t="n">
        <v>46236</v>
      </c>
      <c r="B173" s="42" t="inlineStr">
        <is>
          <t>Wk 31</t>
        </is>
      </c>
      <c r="C173" s="42" t="inlineStr">
        <is>
          <t>Sun</t>
        </is>
      </c>
      <c r="D173" s="42" t="inlineStr">
        <is>
          <t>Meta (FB/IG)</t>
        </is>
      </c>
      <c r="E173" s="42" t="inlineStr">
        <is>
          <t>Facebook + Instagram</t>
        </is>
      </c>
      <c r="F173" s="42" t="inlineStr">
        <is>
          <t>LEP_ZA_AUG26_META_TD_AMUR_CONV</t>
        </is>
      </c>
      <c r="G173" s="42" t="inlineStr">
        <is>
          <t>Leads - Website Conversions</t>
        </is>
      </c>
      <c r="H173" s="42" t="inlineStr">
        <is>
          <t>AMUR</t>
        </is>
      </c>
      <c r="I173" s="42" t="inlineStr">
        <is>
          <t>0% Deposit</t>
        </is>
      </c>
      <c r="J173" s="42" t="inlineStr">
        <is>
          <t>MET_AMUR_INMKT_HATCH_ZA</t>
        </is>
      </c>
      <c r="K173" s="42" t="inlineStr">
        <is>
          <t>In-Market</t>
        </is>
      </c>
      <c r="L173" s="42" t="inlineStr">
        <is>
          <t>AMUR_STA_Compare_Hatch_v1</t>
        </is>
      </c>
      <c r="M173" s="42" t="inlineStr">
        <is>
          <t>Static 4:5</t>
        </is>
      </c>
      <c r="N173" s="42" t="inlineStr">
        <is>
          <t>Compare before you commit</t>
        </is>
      </c>
      <c r="O173" s="42" t="inlineStr">
        <is>
          <t>Auction - Lowest Cost</t>
        </is>
      </c>
      <c r="P173" s="42" t="inlineStr">
        <is>
          <t>Offsite Conversions</t>
        </is>
      </c>
      <c r="Q173" s="42" t="inlineStr">
        <is>
          <t>https://www.lepas-sa.co.za/offers/amur</t>
        </is>
      </c>
      <c r="R173" s="115" t="n">
        <v>144.28</v>
      </c>
      <c r="S173" s="116" t="n">
        <v>1906</v>
      </c>
      <c r="T173" s="116" t="n">
        <v>1223</v>
      </c>
      <c r="U173" s="117">
        <f>IFERROR(S173/T173,"")</f>
        <v/>
      </c>
      <c r="V173" s="116" t="n">
        <v>46</v>
      </c>
      <c r="W173" s="116" t="n">
        <v>34</v>
      </c>
      <c r="X173" s="118">
        <f>IFERROR(W173/S173,"")</f>
        <v/>
      </c>
      <c r="Y173" s="115">
        <f>IFERROR(R173/W173,"")</f>
        <v/>
      </c>
      <c r="Z173" s="115">
        <f>IFERROR(R173/S173*1000,"")</f>
        <v/>
      </c>
      <c r="AA173" s="116" t="n">
        <v>29</v>
      </c>
      <c r="AB173" s="47">
        <f>IFERROR(AA173/W173,"")</f>
        <v/>
      </c>
      <c r="AC173" s="116" t="n">
        <v>0</v>
      </c>
      <c r="AD173" s="116" t="n">
        <v>0</v>
      </c>
      <c r="AE173" s="116" t="n">
        <v>0</v>
      </c>
      <c r="AF173" s="116" t="n">
        <v>0</v>
      </c>
      <c r="AG173" s="116" t="n">
        <v>0</v>
      </c>
      <c r="AH173" s="116" t="n">
        <v>0</v>
      </c>
      <c r="AI173" s="47">
        <f>IFERROR(AC173/S173,"")</f>
        <v/>
      </c>
      <c r="AJ173" s="47">
        <f>IFERROR(AH173/S173,"")</f>
        <v/>
      </c>
      <c r="AK173" s="116" t="n">
        <v>42</v>
      </c>
      <c r="AL173" s="116" t="n">
        <v>0</v>
      </c>
      <c r="AM173" s="118">
        <f>IFERROR(AL173/AA173,"")</f>
        <v/>
      </c>
      <c r="AN173" s="119">
        <f>IFERROR(R173/AL173,"")</f>
        <v/>
      </c>
      <c r="AO173" s="116" t="n">
        <v>0</v>
      </c>
      <c r="AP173" s="47">
        <f>IFERROR(AO173/AL173,"")</f>
        <v/>
      </c>
      <c r="AQ173" s="119">
        <f>IFERROR(R173/AO173,"")</f>
        <v/>
      </c>
      <c r="AR173" s="116" t="n">
        <v>0</v>
      </c>
      <c r="AS173" s="116" t="n">
        <v>0</v>
      </c>
      <c r="AT173" s="116">
        <f>AL173+AR173</f>
        <v/>
      </c>
      <c r="AU173" s="119">
        <f>IFERROR(AO173*Assumptions!$C$26*Assumptions!$C$27*INDEX(Assumptions!$C$18:$C$21,MATCH(H173,Assumptions!$B$18:$B$21,0)),0)</f>
        <v/>
      </c>
    </row>
    <row r="174">
      <c r="A174" s="114" t="n">
        <v>46237</v>
      </c>
      <c r="B174" s="42" t="inlineStr">
        <is>
          <t>Wk 32</t>
        </is>
      </c>
      <c r="C174" s="42" t="inlineStr">
        <is>
          <t>Mon</t>
        </is>
      </c>
      <c r="D174" s="42" t="inlineStr">
        <is>
          <t>Meta (FB/IG)</t>
        </is>
      </c>
      <c r="E174" s="42" t="inlineStr">
        <is>
          <t>Facebook + Instagram</t>
        </is>
      </c>
      <c r="F174" s="42" t="inlineStr">
        <is>
          <t>LEP_ZA_AUG26_META_TD_AMUR_CONV</t>
        </is>
      </c>
      <c r="G174" s="42" t="inlineStr">
        <is>
          <t>Leads - Website Conversions</t>
        </is>
      </c>
      <c r="H174" s="42" t="inlineStr">
        <is>
          <t>AMUR</t>
        </is>
      </c>
      <c r="I174" s="42" t="inlineStr">
        <is>
          <t>0% Deposit</t>
        </is>
      </c>
      <c r="J174" s="42" t="inlineStr">
        <is>
          <t>MET_AMUR_INMKT_HATCH_ZA</t>
        </is>
      </c>
      <c r="K174" s="42" t="inlineStr">
        <is>
          <t>In-Market</t>
        </is>
      </c>
      <c r="L174" s="42" t="inlineStr">
        <is>
          <t>AMUR_STA_Compare_Hatch_v1</t>
        </is>
      </c>
      <c r="M174" s="42" t="inlineStr">
        <is>
          <t>Static 4:5</t>
        </is>
      </c>
      <c r="N174" s="42" t="inlineStr">
        <is>
          <t>Compare before you commit</t>
        </is>
      </c>
      <c r="O174" s="42" t="inlineStr">
        <is>
          <t>Auction - Lowest Cost</t>
        </is>
      </c>
      <c r="P174" s="42" t="inlineStr">
        <is>
          <t>Offsite Conversions</t>
        </is>
      </c>
      <c r="Q174" s="42" t="inlineStr">
        <is>
          <t>https://www.lepas-sa.co.za/offers/amur</t>
        </is>
      </c>
      <c r="R174" s="115" t="n">
        <v>168.74</v>
      </c>
      <c r="S174" s="116" t="n">
        <v>2582</v>
      </c>
      <c r="T174" s="116" t="n">
        <v>1927</v>
      </c>
      <c r="U174" s="117">
        <f>IFERROR(S174/T174,"")</f>
        <v/>
      </c>
      <c r="V174" s="116" t="n">
        <v>50</v>
      </c>
      <c r="W174" s="116" t="n">
        <v>42</v>
      </c>
      <c r="X174" s="118">
        <f>IFERROR(W174/S174,"")</f>
        <v/>
      </c>
      <c r="Y174" s="115">
        <f>IFERROR(R174/W174,"")</f>
        <v/>
      </c>
      <c r="Z174" s="115">
        <f>IFERROR(R174/S174*1000,"")</f>
        <v/>
      </c>
      <c r="AA174" s="116" t="n">
        <v>35</v>
      </c>
      <c r="AB174" s="47">
        <f>IFERROR(AA174/W174,"")</f>
        <v/>
      </c>
      <c r="AC174" s="116" t="n">
        <v>0</v>
      </c>
      <c r="AD174" s="116" t="n">
        <v>0</v>
      </c>
      <c r="AE174" s="116" t="n">
        <v>0</v>
      </c>
      <c r="AF174" s="116" t="n">
        <v>0</v>
      </c>
      <c r="AG174" s="116" t="n">
        <v>0</v>
      </c>
      <c r="AH174" s="116" t="n">
        <v>0</v>
      </c>
      <c r="AI174" s="47">
        <f>IFERROR(AC174/S174,"")</f>
        <v/>
      </c>
      <c r="AJ174" s="47">
        <f>IFERROR(AH174/S174,"")</f>
        <v/>
      </c>
      <c r="AK174" s="116" t="n">
        <v>26</v>
      </c>
      <c r="AL174" s="116" t="n">
        <v>1</v>
      </c>
      <c r="AM174" s="118">
        <f>IFERROR(AL174/AA174,"")</f>
        <v/>
      </c>
      <c r="AN174" s="119">
        <f>IFERROR(R174/AL174,"")</f>
        <v/>
      </c>
      <c r="AO174" s="116" t="n">
        <v>0</v>
      </c>
      <c r="AP174" s="47">
        <f>IFERROR(AO174/AL174,"")</f>
        <v/>
      </c>
      <c r="AQ174" s="119">
        <f>IFERROR(R174/AO174,"")</f>
        <v/>
      </c>
      <c r="AR174" s="116" t="n">
        <v>0</v>
      </c>
      <c r="AS174" s="116" t="n">
        <v>1</v>
      </c>
      <c r="AT174" s="116">
        <f>AL174+AR174</f>
        <v/>
      </c>
      <c r="AU174" s="119">
        <f>IFERROR(AO174*Assumptions!$C$26*Assumptions!$C$27*INDEX(Assumptions!$C$18:$C$21,MATCH(H174,Assumptions!$B$18:$B$21,0)),0)</f>
        <v/>
      </c>
    </row>
    <row r="175">
      <c r="A175" s="114" t="n">
        <v>46238</v>
      </c>
      <c r="B175" s="42" t="inlineStr">
        <is>
          <t>Wk 32</t>
        </is>
      </c>
      <c r="C175" s="42" t="inlineStr">
        <is>
          <t>Tue</t>
        </is>
      </c>
      <c r="D175" s="42" t="inlineStr">
        <is>
          <t>Meta (FB/IG)</t>
        </is>
      </c>
      <c r="E175" s="42" t="inlineStr">
        <is>
          <t>Facebook + Instagram</t>
        </is>
      </c>
      <c r="F175" s="42" t="inlineStr">
        <is>
          <t>LEP_ZA_AUG26_META_TD_AMUR_CONV</t>
        </is>
      </c>
      <c r="G175" s="42" t="inlineStr">
        <is>
          <t>Leads - Website Conversions</t>
        </is>
      </c>
      <c r="H175" s="42" t="inlineStr">
        <is>
          <t>AMUR</t>
        </is>
      </c>
      <c r="I175" s="42" t="inlineStr">
        <is>
          <t>0% Deposit</t>
        </is>
      </c>
      <c r="J175" s="42" t="inlineStr">
        <is>
          <t>MET_AMUR_INMKT_HATCH_ZA</t>
        </is>
      </c>
      <c r="K175" s="42" t="inlineStr">
        <is>
          <t>In-Market</t>
        </is>
      </c>
      <c r="L175" s="42" t="inlineStr">
        <is>
          <t>AMUR_STA_Compare_Hatch_v1</t>
        </is>
      </c>
      <c r="M175" s="42" t="inlineStr">
        <is>
          <t>Static 4:5</t>
        </is>
      </c>
      <c r="N175" s="42" t="inlineStr">
        <is>
          <t>Compare before you commit</t>
        </is>
      </c>
      <c r="O175" s="42" t="inlineStr">
        <is>
          <t>Auction - Lowest Cost</t>
        </is>
      </c>
      <c r="P175" s="42" t="inlineStr">
        <is>
          <t>Offsite Conversions</t>
        </is>
      </c>
      <c r="Q175" s="42" t="inlineStr">
        <is>
          <t>https://www.lepas-sa.co.za/offers/amur</t>
        </is>
      </c>
      <c r="R175" s="115" t="n">
        <v>188.05</v>
      </c>
      <c r="S175" s="116" t="n">
        <v>2440</v>
      </c>
      <c r="T175" s="116" t="n">
        <v>1703</v>
      </c>
      <c r="U175" s="117">
        <f>IFERROR(S175/T175,"")</f>
        <v/>
      </c>
      <c r="V175" s="116" t="n">
        <v>55</v>
      </c>
      <c r="W175" s="116" t="n">
        <v>43</v>
      </c>
      <c r="X175" s="118">
        <f>IFERROR(W175/S175,"")</f>
        <v/>
      </c>
      <c r="Y175" s="115">
        <f>IFERROR(R175/W175,"")</f>
        <v/>
      </c>
      <c r="Z175" s="115">
        <f>IFERROR(R175/S175*1000,"")</f>
        <v/>
      </c>
      <c r="AA175" s="116" t="n">
        <v>36</v>
      </c>
      <c r="AB175" s="47">
        <f>IFERROR(AA175/W175,"")</f>
        <v/>
      </c>
      <c r="AC175" s="116" t="n">
        <v>0</v>
      </c>
      <c r="AD175" s="116" t="n">
        <v>0</v>
      </c>
      <c r="AE175" s="116" t="n">
        <v>0</v>
      </c>
      <c r="AF175" s="116" t="n">
        <v>0</v>
      </c>
      <c r="AG175" s="116" t="n">
        <v>0</v>
      </c>
      <c r="AH175" s="116" t="n">
        <v>0</v>
      </c>
      <c r="AI175" s="47">
        <f>IFERROR(AC175/S175,"")</f>
        <v/>
      </c>
      <c r="AJ175" s="47">
        <f>IFERROR(AH175/S175,"")</f>
        <v/>
      </c>
      <c r="AK175" s="116" t="n">
        <v>57</v>
      </c>
      <c r="AL175" s="116" t="n">
        <v>1</v>
      </c>
      <c r="AM175" s="118">
        <f>IFERROR(AL175/AA175,"")</f>
        <v/>
      </c>
      <c r="AN175" s="119">
        <f>IFERROR(R175/AL175,"")</f>
        <v/>
      </c>
      <c r="AO175" s="116" t="n">
        <v>1</v>
      </c>
      <c r="AP175" s="47">
        <f>IFERROR(AO175/AL175,"")</f>
        <v/>
      </c>
      <c r="AQ175" s="119">
        <f>IFERROR(R175/AO175,"")</f>
        <v/>
      </c>
      <c r="AR175" s="116" t="n">
        <v>0</v>
      </c>
      <c r="AS175" s="116" t="n">
        <v>0</v>
      </c>
      <c r="AT175" s="116">
        <f>AL175+AR175</f>
        <v/>
      </c>
      <c r="AU175" s="119">
        <f>IFERROR(AO175*Assumptions!$C$26*Assumptions!$C$27*INDEX(Assumptions!$C$18:$C$21,MATCH(H175,Assumptions!$B$18:$B$21,0)),0)</f>
        <v/>
      </c>
    </row>
    <row r="176">
      <c r="A176" s="114" t="n">
        <v>46239</v>
      </c>
      <c r="B176" s="42" t="inlineStr">
        <is>
          <t>Wk 32</t>
        </is>
      </c>
      <c r="C176" s="42" t="inlineStr">
        <is>
          <t>Wed</t>
        </is>
      </c>
      <c r="D176" s="42" t="inlineStr">
        <is>
          <t>Meta (FB/IG)</t>
        </is>
      </c>
      <c r="E176" s="42" t="inlineStr">
        <is>
          <t>Facebook + Instagram</t>
        </is>
      </c>
      <c r="F176" s="42" t="inlineStr">
        <is>
          <t>LEP_ZA_AUG26_META_TD_AMUR_CONV</t>
        </is>
      </c>
      <c r="G176" s="42" t="inlineStr">
        <is>
          <t>Leads - Website Conversions</t>
        </is>
      </c>
      <c r="H176" s="42" t="inlineStr">
        <is>
          <t>AMUR</t>
        </is>
      </c>
      <c r="I176" s="42" t="inlineStr">
        <is>
          <t>0% Deposit</t>
        </is>
      </c>
      <c r="J176" s="42" t="inlineStr">
        <is>
          <t>MET_AMUR_INMKT_HATCH_ZA</t>
        </is>
      </c>
      <c r="K176" s="42" t="inlineStr">
        <is>
          <t>In-Market</t>
        </is>
      </c>
      <c r="L176" s="42" t="inlineStr">
        <is>
          <t>AMUR_STA_Compare_Hatch_v1</t>
        </is>
      </c>
      <c r="M176" s="42" t="inlineStr">
        <is>
          <t>Static 4:5</t>
        </is>
      </c>
      <c r="N176" s="42" t="inlineStr">
        <is>
          <t>Compare before you commit</t>
        </is>
      </c>
      <c r="O176" s="42" t="inlineStr">
        <is>
          <t>Auction - Lowest Cost</t>
        </is>
      </c>
      <c r="P176" s="42" t="inlineStr">
        <is>
          <t>Offsite Conversions</t>
        </is>
      </c>
      <c r="Q176" s="42" t="inlineStr">
        <is>
          <t>https://www.lepas-sa.co.za/offers/amur</t>
        </is>
      </c>
      <c r="R176" s="115" t="n">
        <v>195.74</v>
      </c>
      <c r="S176" s="116" t="n">
        <v>2835</v>
      </c>
      <c r="T176" s="116" t="n">
        <v>2221</v>
      </c>
      <c r="U176" s="117">
        <f>IFERROR(S176/T176,"")</f>
        <v/>
      </c>
      <c r="V176" s="116" t="n">
        <v>58</v>
      </c>
      <c r="W176" s="116" t="n">
        <v>44</v>
      </c>
      <c r="X176" s="118">
        <f>IFERROR(W176/S176,"")</f>
        <v/>
      </c>
      <c r="Y176" s="115">
        <f>IFERROR(R176/W176,"")</f>
        <v/>
      </c>
      <c r="Z176" s="115">
        <f>IFERROR(R176/S176*1000,"")</f>
        <v/>
      </c>
      <c r="AA176" s="116" t="n">
        <v>38</v>
      </c>
      <c r="AB176" s="47">
        <f>IFERROR(AA176/W176,"")</f>
        <v/>
      </c>
      <c r="AC176" s="116" t="n">
        <v>0</v>
      </c>
      <c r="AD176" s="116" t="n">
        <v>0</v>
      </c>
      <c r="AE176" s="116" t="n">
        <v>0</v>
      </c>
      <c r="AF176" s="116" t="n">
        <v>0</v>
      </c>
      <c r="AG176" s="116" t="n">
        <v>0</v>
      </c>
      <c r="AH176" s="116" t="n">
        <v>0</v>
      </c>
      <c r="AI176" s="47">
        <f>IFERROR(AC176/S176,"")</f>
        <v/>
      </c>
      <c r="AJ176" s="47">
        <f>IFERROR(AH176/S176,"")</f>
        <v/>
      </c>
      <c r="AK176" s="116" t="n">
        <v>63</v>
      </c>
      <c r="AL176" s="116" t="n">
        <v>1</v>
      </c>
      <c r="AM176" s="118">
        <f>IFERROR(AL176/AA176,"")</f>
        <v/>
      </c>
      <c r="AN176" s="119">
        <f>IFERROR(R176/AL176,"")</f>
        <v/>
      </c>
      <c r="AO176" s="116" t="n">
        <v>0</v>
      </c>
      <c r="AP176" s="47">
        <f>IFERROR(AO176/AL176,"")</f>
        <v/>
      </c>
      <c r="AQ176" s="119">
        <f>IFERROR(R176/AO176,"")</f>
        <v/>
      </c>
      <c r="AR176" s="116" t="n">
        <v>0</v>
      </c>
      <c r="AS176" s="116" t="n">
        <v>0</v>
      </c>
      <c r="AT176" s="116">
        <f>AL176+AR176</f>
        <v/>
      </c>
      <c r="AU176" s="119">
        <f>IFERROR(AO176*Assumptions!$C$26*Assumptions!$C$27*INDEX(Assumptions!$C$18:$C$21,MATCH(H176,Assumptions!$B$18:$B$21,0)),0)</f>
        <v/>
      </c>
    </row>
    <row r="177">
      <c r="A177" s="114" t="n">
        <v>46240</v>
      </c>
      <c r="B177" s="42" t="inlineStr">
        <is>
          <t>Wk 32</t>
        </is>
      </c>
      <c r="C177" s="42" t="inlineStr">
        <is>
          <t>Thu</t>
        </is>
      </c>
      <c r="D177" s="42" t="inlineStr">
        <is>
          <t>Meta (FB/IG)</t>
        </is>
      </c>
      <c r="E177" s="42" t="inlineStr">
        <is>
          <t>Facebook + Instagram</t>
        </is>
      </c>
      <c r="F177" s="42" t="inlineStr">
        <is>
          <t>LEP_ZA_AUG26_META_TD_AMUR_CONV</t>
        </is>
      </c>
      <c r="G177" s="42" t="inlineStr">
        <is>
          <t>Leads - Website Conversions</t>
        </is>
      </c>
      <c r="H177" s="42" t="inlineStr">
        <is>
          <t>AMUR</t>
        </is>
      </c>
      <c r="I177" s="42" t="inlineStr">
        <is>
          <t>0% Deposit</t>
        </is>
      </c>
      <c r="J177" s="42" t="inlineStr">
        <is>
          <t>MET_AMUR_INMKT_HATCH_ZA</t>
        </is>
      </c>
      <c r="K177" s="42" t="inlineStr">
        <is>
          <t>In-Market</t>
        </is>
      </c>
      <c r="L177" s="42" t="inlineStr">
        <is>
          <t>AMUR_STA_Compare_Hatch_v1</t>
        </is>
      </c>
      <c r="M177" s="42" t="inlineStr">
        <is>
          <t>Static 4:5</t>
        </is>
      </c>
      <c r="N177" s="42" t="inlineStr">
        <is>
          <t>Compare before you commit</t>
        </is>
      </c>
      <c r="O177" s="42" t="inlineStr">
        <is>
          <t>Auction - Lowest Cost</t>
        </is>
      </c>
      <c r="P177" s="42" t="inlineStr">
        <is>
          <t>Offsite Conversions</t>
        </is>
      </c>
      <c r="Q177" s="42" t="inlineStr">
        <is>
          <t>https://www.lepas-sa.co.za/offers/amur</t>
        </is>
      </c>
      <c r="R177" s="115" t="n">
        <v>182.03</v>
      </c>
      <c r="S177" s="116" t="n">
        <v>2124</v>
      </c>
      <c r="T177" s="116" t="n">
        <v>1813</v>
      </c>
      <c r="U177" s="117">
        <f>IFERROR(S177/T177,"")</f>
        <v/>
      </c>
      <c r="V177" s="116" t="n">
        <v>56</v>
      </c>
      <c r="W177" s="116" t="n">
        <v>42</v>
      </c>
      <c r="X177" s="118">
        <f>IFERROR(W177/S177,"")</f>
        <v/>
      </c>
      <c r="Y177" s="115">
        <f>IFERROR(R177/W177,"")</f>
        <v/>
      </c>
      <c r="Z177" s="115">
        <f>IFERROR(R177/S177*1000,"")</f>
        <v/>
      </c>
      <c r="AA177" s="116" t="n">
        <v>35</v>
      </c>
      <c r="AB177" s="47">
        <f>IFERROR(AA177/W177,"")</f>
        <v/>
      </c>
      <c r="AC177" s="116" t="n">
        <v>0</v>
      </c>
      <c r="AD177" s="116" t="n">
        <v>0</v>
      </c>
      <c r="AE177" s="116" t="n">
        <v>0</v>
      </c>
      <c r="AF177" s="116" t="n">
        <v>0</v>
      </c>
      <c r="AG177" s="116" t="n">
        <v>0</v>
      </c>
      <c r="AH177" s="116" t="n">
        <v>0</v>
      </c>
      <c r="AI177" s="47">
        <f>IFERROR(AC177/S177,"")</f>
        <v/>
      </c>
      <c r="AJ177" s="47">
        <f>IFERROR(AH177/S177,"")</f>
        <v/>
      </c>
      <c r="AK177" s="116" t="n">
        <v>73</v>
      </c>
      <c r="AL177" s="116" t="n">
        <v>1</v>
      </c>
      <c r="AM177" s="118">
        <f>IFERROR(AL177/AA177,"")</f>
        <v/>
      </c>
      <c r="AN177" s="119">
        <f>IFERROR(R177/AL177,"")</f>
        <v/>
      </c>
      <c r="AO177" s="116" t="n">
        <v>0</v>
      </c>
      <c r="AP177" s="47">
        <f>IFERROR(AO177/AL177,"")</f>
        <v/>
      </c>
      <c r="AQ177" s="119">
        <f>IFERROR(R177/AO177,"")</f>
        <v/>
      </c>
      <c r="AR177" s="116" t="n">
        <v>0</v>
      </c>
      <c r="AS177" s="116" t="n">
        <v>1</v>
      </c>
      <c r="AT177" s="116">
        <f>AL177+AR177</f>
        <v/>
      </c>
      <c r="AU177" s="119">
        <f>IFERROR(AO177*Assumptions!$C$26*Assumptions!$C$27*INDEX(Assumptions!$C$18:$C$21,MATCH(H177,Assumptions!$B$18:$B$21,0)),0)</f>
        <v/>
      </c>
    </row>
    <row r="178">
      <c r="A178" s="114" t="n">
        <v>46241</v>
      </c>
      <c r="B178" s="42" t="inlineStr">
        <is>
          <t>Wk 32</t>
        </is>
      </c>
      <c r="C178" s="42" t="inlineStr">
        <is>
          <t>Fri</t>
        </is>
      </c>
      <c r="D178" s="42" t="inlineStr">
        <is>
          <t>Meta (FB/IG)</t>
        </is>
      </c>
      <c r="E178" s="42" t="inlineStr">
        <is>
          <t>Facebook + Instagram</t>
        </is>
      </c>
      <c r="F178" s="42" t="inlineStr">
        <is>
          <t>LEP_ZA_AUG26_META_TD_AMUR_CONV</t>
        </is>
      </c>
      <c r="G178" s="42" t="inlineStr">
        <is>
          <t>Leads - Website Conversions</t>
        </is>
      </c>
      <c r="H178" s="42" t="inlineStr">
        <is>
          <t>AMUR</t>
        </is>
      </c>
      <c r="I178" s="42" t="inlineStr">
        <is>
          <t>0% Deposit</t>
        </is>
      </c>
      <c r="J178" s="42" t="inlineStr">
        <is>
          <t>MET_AMUR_INMKT_HATCH_ZA</t>
        </is>
      </c>
      <c r="K178" s="42" t="inlineStr">
        <is>
          <t>In-Market</t>
        </is>
      </c>
      <c r="L178" s="42" t="inlineStr">
        <is>
          <t>AMUR_STA_Compare_Hatch_v1</t>
        </is>
      </c>
      <c r="M178" s="42" t="inlineStr">
        <is>
          <t>Static 4:5</t>
        </is>
      </c>
      <c r="N178" s="42" t="inlineStr">
        <is>
          <t>Compare before you commit</t>
        </is>
      </c>
      <c r="O178" s="42" t="inlineStr">
        <is>
          <t>Auction - Lowest Cost</t>
        </is>
      </c>
      <c r="P178" s="42" t="inlineStr">
        <is>
          <t>Offsite Conversions</t>
        </is>
      </c>
      <c r="Q178" s="42" t="inlineStr">
        <is>
          <t>https://www.lepas-sa.co.za/offers/amur</t>
        </is>
      </c>
      <c r="R178" s="115" t="n">
        <v>208.16</v>
      </c>
      <c r="S178" s="116" t="n">
        <v>2566</v>
      </c>
      <c r="T178" s="116" t="n">
        <v>1681</v>
      </c>
      <c r="U178" s="117">
        <f>IFERROR(S178/T178,"")</f>
        <v/>
      </c>
      <c r="V178" s="116" t="n">
        <v>45</v>
      </c>
      <c r="W178" s="116" t="n">
        <v>38</v>
      </c>
      <c r="X178" s="118">
        <f>IFERROR(W178/S178,"")</f>
        <v/>
      </c>
      <c r="Y178" s="115">
        <f>IFERROR(R178/W178,"")</f>
        <v/>
      </c>
      <c r="Z178" s="115">
        <f>IFERROR(R178/S178*1000,"")</f>
        <v/>
      </c>
      <c r="AA178" s="116" t="n">
        <v>32</v>
      </c>
      <c r="AB178" s="47">
        <f>IFERROR(AA178/W178,"")</f>
        <v/>
      </c>
      <c r="AC178" s="116" t="n">
        <v>0</v>
      </c>
      <c r="AD178" s="116" t="n">
        <v>0</v>
      </c>
      <c r="AE178" s="116" t="n">
        <v>0</v>
      </c>
      <c r="AF178" s="116" t="n">
        <v>0</v>
      </c>
      <c r="AG178" s="116" t="n">
        <v>0</v>
      </c>
      <c r="AH178" s="116" t="n">
        <v>0</v>
      </c>
      <c r="AI178" s="47">
        <f>IFERROR(AC178/S178,"")</f>
        <v/>
      </c>
      <c r="AJ178" s="47">
        <f>IFERROR(AH178/S178,"")</f>
        <v/>
      </c>
      <c r="AK178" s="116" t="n">
        <v>55</v>
      </c>
      <c r="AL178" s="116" t="n">
        <v>1</v>
      </c>
      <c r="AM178" s="118">
        <f>IFERROR(AL178/AA178,"")</f>
        <v/>
      </c>
      <c r="AN178" s="119">
        <f>IFERROR(R178/AL178,"")</f>
        <v/>
      </c>
      <c r="AO178" s="116" t="n">
        <v>1</v>
      </c>
      <c r="AP178" s="47">
        <f>IFERROR(AO178/AL178,"")</f>
        <v/>
      </c>
      <c r="AQ178" s="119">
        <f>IFERROR(R178/AO178,"")</f>
        <v/>
      </c>
      <c r="AR178" s="116" t="n">
        <v>1</v>
      </c>
      <c r="AS178" s="116" t="n">
        <v>1</v>
      </c>
      <c r="AT178" s="116">
        <f>AL178+AR178</f>
        <v/>
      </c>
      <c r="AU178" s="119">
        <f>IFERROR(AO178*Assumptions!$C$26*Assumptions!$C$27*INDEX(Assumptions!$C$18:$C$21,MATCH(H178,Assumptions!$B$18:$B$21,0)),0)</f>
        <v/>
      </c>
    </row>
    <row r="179">
      <c r="A179" s="114" t="n">
        <v>46242</v>
      </c>
      <c r="B179" s="42" t="inlineStr">
        <is>
          <t>Wk 32</t>
        </is>
      </c>
      <c r="C179" s="42" t="inlineStr">
        <is>
          <t>Sat</t>
        </is>
      </c>
      <c r="D179" s="42" t="inlineStr">
        <is>
          <t>Meta (FB/IG)</t>
        </is>
      </c>
      <c r="E179" s="42" t="inlineStr">
        <is>
          <t>Facebook + Instagram</t>
        </is>
      </c>
      <c r="F179" s="42" t="inlineStr">
        <is>
          <t>LEP_ZA_AUG26_META_TD_AMUR_CONV</t>
        </is>
      </c>
      <c r="G179" s="42" t="inlineStr">
        <is>
          <t>Leads - Website Conversions</t>
        </is>
      </c>
      <c r="H179" s="42" t="inlineStr">
        <is>
          <t>AMUR</t>
        </is>
      </c>
      <c r="I179" s="42" t="inlineStr">
        <is>
          <t>0% Deposit</t>
        </is>
      </c>
      <c r="J179" s="42" t="inlineStr">
        <is>
          <t>MET_AMUR_INMKT_HATCH_ZA</t>
        </is>
      </c>
      <c r="K179" s="42" t="inlineStr">
        <is>
          <t>In-Market</t>
        </is>
      </c>
      <c r="L179" s="42" t="inlineStr">
        <is>
          <t>AMUR_STA_Compare_Hatch_v1</t>
        </is>
      </c>
      <c r="M179" s="42" t="inlineStr">
        <is>
          <t>Static 4:5</t>
        </is>
      </c>
      <c r="N179" s="42" t="inlineStr">
        <is>
          <t>Compare before you commit</t>
        </is>
      </c>
      <c r="O179" s="42" t="inlineStr">
        <is>
          <t>Auction - Lowest Cost</t>
        </is>
      </c>
      <c r="P179" s="42" t="inlineStr">
        <is>
          <t>Offsite Conversions</t>
        </is>
      </c>
      <c r="Q179" s="42" t="inlineStr">
        <is>
          <t>https://www.lepas-sa.co.za/offers/amur</t>
        </is>
      </c>
      <c r="R179" s="115" t="n">
        <v>192.16</v>
      </c>
      <c r="S179" s="116" t="n">
        <v>1961</v>
      </c>
      <c r="T179" s="116" t="n">
        <v>1253</v>
      </c>
      <c r="U179" s="117">
        <f>IFERROR(S179/T179,"")</f>
        <v/>
      </c>
      <c r="V179" s="116" t="n">
        <v>42</v>
      </c>
      <c r="W179" s="116" t="n">
        <v>31</v>
      </c>
      <c r="X179" s="118">
        <f>IFERROR(W179/S179,"")</f>
        <v/>
      </c>
      <c r="Y179" s="115">
        <f>IFERROR(R179/W179,"")</f>
        <v/>
      </c>
      <c r="Z179" s="115">
        <f>IFERROR(R179/S179*1000,"")</f>
        <v/>
      </c>
      <c r="AA179" s="116" t="n">
        <v>27</v>
      </c>
      <c r="AB179" s="47">
        <f>IFERROR(AA179/W179,"")</f>
        <v/>
      </c>
      <c r="AC179" s="116" t="n">
        <v>0</v>
      </c>
      <c r="AD179" s="116" t="n">
        <v>0</v>
      </c>
      <c r="AE179" s="116" t="n">
        <v>0</v>
      </c>
      <c r="AF179" s="116" t="n">
        <v>0</v>
      </c>
      <c r="AG179" s="116" t="n">
        <v>0</v>
      </c>
      <c r="AH179" s="116" t="n">
        <v>0</v>
      </c>
      <c r="AI179" s="47">
        <f>IFERROR(AC179/S179,"")</f>
        <v/>
      </c>
      <c r="AJ179" s="47">
        <f>IFERROR(AH179/S179,"")</f>
        <v/>
      </c>
      <c r="AK179" s="116" t="n">
        <v>44</v>
      </c>
      <c r="AL179" s="116" t="n">
        <v>1</v>
      </c>
      <c r="AM179" s="118">
        <f>IFERROR(AL179/AA179,"")</f>
        <v/>
      </c>
      <c r="AN179" s="119">
        <f>IFERROR(R179/AL179,"")</f>
        <v/>
      </c>
      <c r="AO179" s="116" t="n">
        <v>1</v>
      </c>
      <c r="AP179" s="47">
        <f>IFERROR(AO179/AL179,"")</f>
        <v/>
      </c>
      <c r="AQ179" s="119">
        <f>IFERROR(R179/AO179,"")</f>
        <v/>
      </c>
      <c r="AR179" s="116" t="n">
        <v>0</v>
      </c>
      <c r="AS179" s="116" t="n">
        <v>0</v>
      </c>
      <c r="AT179" s="116">
        <f>AL179+AR179</f>
        <v/>
      </c>
      <c r="AU179" s="119">
        <f>IFERROR(AO179*Assumptions!$C$26*Assumptions!$C$27*INDEX(Assumptions!$C$18:$C$21,MATCH(H179,Assumptions!$B$18:$B$21,0)),0)</f>
        <v/>
      </c>
    </row>
    <row r="180">
      <c r="A180" s="114" t="n">
        <v>46243</v>
      </c>
      <c r="B180" s="42" t="inlineStr">
        <is>
          <t>Wk 32</t>
        </is>
      </c>
      <c r="C180" s="42" t="inlineStr">
        <is>
          <t>Sun</t>
        </is>
      </c>
      <c r="D180" s="42" t="inlineStr">
        <is>
          <t>Meta (FB/IG)</t>
        </is>
      </c>
      <c r="E180" s="42" t="inlineStr">
        <is>
          <t>Facebook + Instagram</t>
        </is>
      </c>
      <c r="F180" s="42" t="inlineStr">
        <is>
          <t>LEP_ZA_AUG26_META_TD_AMUR_CONV</t>
        </is>
      </c>
      <c r="G180" s="42" t="inlineStr">
        <is>
          <t>Leads - Website Conversions</t>
        </is>
      </c>
      <c r="H180" s="42" t="inlineStr">
        <is>
          <t>AMUR</t>
        </is>
      </c>
      <c r="I180" s="42" t="inlineStr">
        <is>
          <t>0% Deposit</t>
        </is>
      </c>
      <c r="J180" s="42" t="inlineStr">
        <is>
          <t>MET_AMUR_INMKT_HATCH_ZA</t>
        </is>
      </c>
      <c r="K180" s="42" t="inlineStr">
        <is>
          <t>In-Market</t>
        </is>
      </c>
      <c r="L180" s="42" t="inlineStr">
        <is>
          <t>AMUR_STA_Compare_Hatch_v1</t>
        </is>
      </c>
      <c r="M180" s="42" t="inlineStr">
        <is>
          <t>Static 4:5</t>
        </is>
      </c>
      <c r="N180" s="42" t="inlineStr">
        <is>
          <t>Compare before you commit</t>
        </is>
      </c>
      <c r="O180" s="42" t="inlineStr">
        <is>
          <t>Auction - Lowest Cost</t>
        </is>
      </c>
      <c r="P180" s="42" t="inlineStr">
        <is>
          <t>Offsite Conversions</t>
        </is>
      </c>
      <c r="Q180" s="42" t="inlineStr">
        <is>
          <t>https://www.lepas-sa.co.za/offers/amur</t>
        </is>
      </c>
      <c r="R180" s="115" t="n">
        <v>165.59</v>
      </c>
      <c r="S180" s="116" t="n">
        <v>1976</v>
      </c>
      <c r="T180" s="116" t="n">
        <v>1187</v>
      </c>
      <c r="U180" s="117">
        <f>IFERROR(S180/T180,"")</f>
        <v/>
      </c>
      <c r="V180" s="116" t="n">
        <v>23</v>
      </c>
      <c r="W180" s="116" t="n">
        <v>17</v>
      </c>
      <c r="X180" s="118">
        <f>IFERROR(W180/S180,"")</f>
        <v/>
      </c>
      <c r="Y180" s="115">
        <f>IFERROR(R180/W180,"")</f>
        <v/>
      </c>
      <c r="Z180" s="115">
        <f>IFERROR(R180/S180*1000,"")</f>
        <v/>
      </c>
      <c r="AA180" s="116" t="n">
        <v>16</v>
      </c>
      <c r="AB180" s="47">
        <f>IFERROR(AA180/W180,"")</f>
        <v/>
      </c>
      <c r="AC180" s="116" t="n">
        <v>0</v>
      </c>
      <c r="AD180" s="116" t="n">
        <v>0</v>
      </c>
      <c r="AE180" s="116" t="n">
        <v>0</v>
      </c>
      <c r="AF180" s="116" t="n">
        <v>0</v>
      </c>
      <c r="AG180" s="116" t="n">
        <v>0</v>
      </c>
      <c r="AH180" s="116" t="n">
        <v>0</v>
      </c>
      <c r="AI180" s="47">
        <f>IFERROR(AC180/S180,"")</f>
        <v/>
      </c>
      <c r="AJ180" s="47">
        <f>IFERROR(AH180/S180,"")</f>
        <v/>
      </c>
      <c r="AK180" s="116" t="n">
        <v>36</v>
      </c>
      <c r="AL180" s="116" t="n">
        <v>0</v>
      </c>
      <c r="AM180" s="118">
        <f>IFERROR(AL180/AA180,"")</f>
        <v/>
      </c>
      <c r="AN180" s="119">
        <f>IFERROR(R180/AL180,"")</f>
        <v/>
      </c>
      <c r="AO180" s="116" t="n">
        <v>0</v>
      </c>
      <c r="AP180" s="47">
        <f>IFERROR(AO180/AL180,"")</f>
        <v/>
      </c>
      <c r="AQ180" s="119">
        <f>IFERROR(R180/AO180,"")</f>
        <v/>
      </c>
      <c r="AR180" s="116" t="n">
        <v>0</v>
      </c>
      <c r="AS180" s="116" t="n">
        <v>0</v>
      </c>
      <c r="AT180" s="116">
        <f>AL180+AR180</f>
        <v/>
      </c>
      <c r="AU180" s="119">
        <f>IFERROR(AO180*Assumptions!$C$26*Assumptions!$C$27*INDEX(Assumptions!$C$18:$C$21,MATCH(H180,Assumptions!$B$18:$B$21,0)),0)</f>
        <v/>
      </c>
    </row>
    <row r="181">
      <c r="A181" s="114" t="n">
        <v>46244</v>
      </c>
      <c r="B181" s="42" t="inlineStr">
        <is>
          <t>Wk 33</t>
        </is>
      </c>
      <c r="C181" s="42" t="inlineStr">
        <is>
          <t>Mon</t>
        </is>
      </c>
      <c r="D181" s="42" t="inlineStr">
        <is>
          <t>Meta (FB/IG)</t>
        </is>
      </c>
      <c r="E181" s="42" t="inlineStr">
        <is>
          <t>Facebook + Instagram</t>
        </is>
      </c>
      <c r="F181" s="42" t="inlineStr">
        <is>
          <t>LEP_ZA_AUG26_META_TD_AMUR_CONV</t>
        </is>
      </c>
      <c r="G181" s="42" t="inlineStr">
        <is>
          <t>Leads - Website Conversions</t>
        </is>
      </c>
      <c r="H181" s="42" t="inlineStr">
        <is>
          <t>AMUR</t>
        </is>
      </c>
      <c r="I181" s="42" t="inlineStr">
        <is>
          <t>0% Deposit</t>
        </is>
      </c>
      <c r="J181" s="42" t="inlineStr">
        <is>
          <t>MET_AMUR_INMKT_HATCH_ZA</t>
        </is>
      </c>
      <c r="K181" s="42" t="inlineStr">
        <is>
          <t>In-Market</t>
        </is>
      </c>
      <c r="L181" s="42" t="inlineStr">
        <is>
          <t>AMUR_STA_Compare_Hatch_v1</t>
        </is>
      </c>
      <c r="M181" s="42" t="inlineStr">
        <is>
          <t>Static 4:5</t>
        </is>
      </c>
      <c r="N181" s="42" t="inlineStr">
        <is>
          <t>Compare before you commit</t>
        </is>
      </c>
      <c r="O181" s="42" t="inlineStr">
        <is>
          <t>Auction - Lowest Cost</t>
        </is>
      </c>
      <c r="P181" s="42" t="inlineStr">
        <is>
          <t>Offsite Conversions</t>
        </is>
      </c>
      <c r="Q181" s="42" t="inlineStr">
        <is>
          <t>https://www.lepas-sa.co.za/offers/amur</t>
        </is>
      </c>
      <c r="R181" s="115" t="n">
        <v>188.46</v>
      </c>
      <c r="S181" s="116" t="n">
        <v>2298</v>
      </c>
      <c r="T181" s="116" t="n">
        <v>1617</v>
      </c>
      <c r="U181" s="117">
        <f>IFERROR(S181/T181,"")</f>
        <v/>
      </c>
      <c r="V181" s="116" t="n">
        <v>40</v>
      </c>
      <c r="W181" s="116" t="n">
        <v>28</v>
      </c>
      <c r="X181" s="118">
        <f>IFERROR(W181/S181,"")</f>
        <v/>
      </c>
      <c r="Y181" s="115">
        <f>IFERROR(R181/W181,"")</f>
        <v/>
      </c>
      <c r="Z181" s="115">
        <f>IFERROR(R181/S181*1000,"")</f>
        <v/>
      </c>
      <c r="AA181" s="116" t="n">
        <v>23</v>
      </c>
      <c r="AB181" s="47">
        <f>IFERROR(AA181/W181,"")</f>
        <v/>
      </c>
      <c r="AC181" s="116" t="n">
        <v>0</v>
      </c>
      <c r="AD181" s="116" t="n">
        <v>0</v>
      </c>
      <c r="AE181" s="116" t="n">
        <v>0</v>
      </c>
      <c r="AF181" s="116" t="n">
        <v>0</v>
      </c>
      <c r="AG181" s="116" t="n">
        <v>0</v>
      </c>
      <c r="AH181" s="116" t="n">
        <v>0</v>
      </c>
      <c r="AI181" s="47">
        <f>IFERROR(AC181/S181,"")</f>
        <v/>
      </c>
      <c r="AJ181" s="47">
        <f>IFERROR(AH181/S181,"")</f>
        <v/>
      </c>
      <c r="AK181" s="116" t="n">
        <v>41</v>
      </c>
      <c r="AL181" s="116" t="n">
        <v>0</v>
      </c>
      <c r="AM181" s="118">
        <f>IFERROR(AL181/AA181,"")</f>
        <v/>
      </c>
      <c r="AN181" s="119">
        <f>IFERROR(R181/AL181,"")</f>
        <v/>
      </c>
      <c r="AO181" s="116" t="n">
        <v>0</v>
      </c>
      <c r="AP181" s="47">
        <f>IFERROR(AO181/AL181,"")</f>
        <v/>
      </c>
      <c r="AQ181" s="119">
        <f>IFERROR(R181/AO181,"")</f>
        <v/>
      </c>
      <c r="AR181" s="116" t="n">
        <v>0</v>
      </c>
      <c r="AS181" s="116" t="n">
        <v>0</v>
      </c>
      <c r="AT181" s="116">
        <f>AL181+AR181</f>
        <v/>
      </c>
      <c r="AU181" s="119">
        <f>IFERROR(AO181*Assumptions!$C$26*Assumptions!$C$27*INDEX(Assumptions!$C$18:$C$21,MATCH(H181,Assumptions!$B$18:$B$21,0)),0)</f>
        <v/>
      </c>
    </row>
    <row r="182">
      <c r="A182" s="114" t="n">
        <v>46245</v>
      </c>
      <c r="B182" s="42" t="inlineStr">
        <is>
          <t>Wk 33</t>
        </is>
      </c>
      <c r="C182" s="42" t="inlineStr">
        <is>
          <t>Tue</t>
        </is>
      </c>
      <c r="D182" s="42" t="inlineStr">
        <is>
          <t>Meta (FB/IG)</t>
        </is>
      </c>
      <c r="E182" s="42" t="inlineStr">
        <is>
          <t>Facebook + Instagram</t>
        </is>
      </c>
      <c r="F182" s="42" t="inlineStr">
        <is>
          <t>LEP_ZA_AUG26_META_TD_AMUR_CONV</t>
        </is>
      </c>
      <c r="G182" s="42" t="inlineStr">
        <is>
          <t>Leads - Website Conversions</t>
        </is>
      </c>
      <c r="H182" s="42" t="inlineStr">
        <is>
          <t>AMUR</t>
        </is>
      </c>
      <c r="I182" s="42" t="inlineStr">
        <is>
          <t>0% Deposit</t>
        </is>
      </c>
      <c r="J182" s="42" t="inlineStr">
        <is>
          <t>MET_AMUR_INMKT_HATCH_ZA</t>
        </is>
      </c>
      <c r="K182" s="42" t="inlineStr">
        <is>
          <t>In-Market</t>
        </is>
      </c>
      <c r="L182" s="42" t="inlineStr">
        <is>
          <t>AMUR_STA_Compare_Hatch_v1</t>
        </is>
      </c>
      <c r="M182" s="42" t="inlineStr">
        <is>
          <t>Static 4:5</t>
        </is>
      </c>
      <c r="N182" s="42" t="inlineStr">
        <is>
          <t>Compare before you commit</t>
        </is>
      </c>
      <c r="O182" s="42" t="inlineStr">
        <is>
          <t>Auction - Lowest Cost</t>
        </is>
      </c>
      <c r="P182" s="42" t="inlineStr">
        <is>
          <t>Offsite Conversions</t>
        </is>
      </c>
      <c r="Q182" s="42" t="inlineStr">
        <is>
          <t>https://www.lepas-sa.co.za/offers/amur</t>
        </is>
      </c>
      <c r="R182" s="115" t="n">
        <v>167.83</v>
      </c>
      <c r="S182" s="116" t="n">
        <v>1786</v>
      </c>
      <c r="T182" s="116" t="n">
        <v>1234</v>
      </c>
      <c r="U182" s="117">
        <f>IFERROR(S182/T182,"")</f>
        <v/>
      </c>
      <c r="V182" s="116" t="n">
        <v>31</v>
      </c>
      <c r="W182" s="116" t="n">
        <v>22</v>
      </c>
      <c r="X182" s="118">
        <f>IFERROR(W182/S182,"")</f>
        <v/>
      </c>
      <c r="Y182" s="115">
        <f>IFERROR(R182/W182,"")</f>
        <v/>
      </c>
      <c r="Z182" s="115">
        <f>IFERROR(R182/S182*1000,"")</f>
        <v/>
      </c>
      <c r="AA182" s="116" t="n">
        <v>20</v>
      </c>
      <c r="AB182" s="47">
        <f>IFERROR(AA182/W182,"")</f>
        <v/>
      </c>
      <c r="AC182" s="116" t="n">
        <v>0</v>
      </c>
      <c r="AD182" s="116" t="n">
        <v>0</v>
      </c>
      <c r="AE182" s="116" t="n">
        <v>0</v>
      </c>
      <c r="AF182" s="116" t="n">
        <v>0</v>
      </c>
      <c r="AG182" s="116" t="n">
        <v>0</v>
      </c>
      <c r="AH182" s="116" t="n">
        <v>0</v>
      </c>
      <c r="AI182" s="47">
        <f>IFERROR(AC182/S182,"")</f>
        <v/>
      </c>
      <c r="AJ182" s="47">
        <f>IFERROR(AH182/S182,"")</f>
        <v/>
      </c>
      <c r="AK182" s="116" t="n">
        <v>26</v>
      </c>
      <c r="AL182" s="116" t="n">
        <v>0</v>
      </c>
      <c r="AM182" s="118">
        <f>IFERROR(AL182/AA182,"")</f>
        <v/>
      </c>
      <c r="AN182" s="119">
        <f>IFERROR(R182/AL182,"")</f>
        <v/>
      </c>
      <c r="AO182" s="116" t="n">
        <v>0</v>
      </c>
      <c r="AP182" s="47">
        <f>IFERROR(AO182/AL182,"")</f>
        <v/>
      </c>
      <c r="AQ182" s="119">
        <f>IFERROR(R182/AO182,"")</f>
        <v/>
      </c>
      <c r="AR182" s="116" t="n">
        <v>0</v>
      </c>
      <c r="AS182" s="116" t="n">
        <v>0</v>
      </c>
      <c r="AT182" s="116">
        <f>AL182+AR182</f>
        <v/>
      </c>
      <c r="AU182" s="119">
        <f>IFERROR(AO182*Assumptions!$C$26*Assumptions!$C$27*INDEX(Assumptions!$C$18:$C$21,MATCH(H182,Assumptions!$B$18:$B$21,0)),0)</f>
        <v/>
      </c>
    </row>
    <row r="183">
      <c r="A183" s="114" t="n">
        <v>46246</v>
      </c>
      <c r="B183" s="42" t="inlineStr">
        <is>
          <t>Wk 33</t>
        </is>
      </c>
      <c r="C183" s="42" t="inlineStr">
        <is>
          <t>Wed</t>
        </is>
      </c>
      <c r="D183" s="42" t="inlineStr">
        <is>
          <t>Meta (FB/IG)</t>
        </is>
      </c>
      <c r="E183" s="42" t="inlineStr">
        <is>
          <t>Facebook + Instagram</t>
        </is>
      </c>
      <c r="F183" s="42" t="inlineStr">
        <is>
          <t>LEP_ZA_AUG26_META_TD_AMUR_CONV</t>
        </is>
      </c>
      <c r="G183" s="42" t="inlineStr">
        <is>
          <t>Leads - Website Conversions</t>
        </is>
      </c>
      <c r="H183" s="42" t="inlineStr">
        <is>
          <t>AMUR</t>
        </is>
      </c>
      <c r="I183" s="42" t="inlineStr">
        <is>
          <t>0% Deposit</t>
        </is>
      </c>
      <c r="J183" s="42" t="inlineStr">
        <is>
          <t>MET_AMUR_INMKT_HATCH_ZA</t>
        </is>
      </c>
      <c r="K183" s="42" t="inlineStr">
        <is>
          <t>In-Market</t>
        </is>
      </c>
      <c r="L183" s="42" t="inlineStr">
        <is>
          <t>AMUR_STA_Compare_Hatch_v1</t>
        </is>
      </c>
      <c r="M183" s="42" t="inlineStr">
        <is>
          <t>Static 4:5</t>
        </is>
      </c>
      <c r="N183" s="42" t="inlineStr">
        <is>
          <t>Compare before you commit</t>
        </is>
      </c>
      <c r="O183" s="42" t="inlineStr">
        <is>
          <t>Auction - Lowest Cost</t>
        </is>
      </c>
      <c r="P183" s="42" t="inlineStr">
        <is>
          <t>Offsite Conversions</t>
        </is>
      </c>
      <c r="Q183" s="42" t="inlineStr">
        <is>
          <t>https://www.lepas-sa.co.za/offers/amur</t>
        </is>
      </c>
      <c r="R183" s="115" t="n">
        <v>180.88</v>
      </c>
      <c r="S183" s="116" t="n">
        <v>1928</v>
      </c>
      <c r="T183" s="116" t="n">
        <v>1082</v>
      </c>
      <c r="U183" s="117">
        <f>IFERROR(S183/T183,"")</f>
        <v/>
      </c>
      <c r="V183" s="116" t="n">
        <v>22</v>
      </c>
      <c r="W183" s="116" t="n">
        <v>16</v>
      </c>
      <c r="X183" s="118">
        <f>IFERROR(W183/S183,"")</f>
        <v/>
      </c>
      <c r="Y183" s="115">
        <f>IFERROR(R183/W183,"")</f>
        <v/>
      </c>
      <c r="Z183" s="115">
        <f>IFERROR(R183/S183*1000,"")</f>
        <v/>
      </c>
      <c r="AA183" s="116" t="n">
        <v>13</v>
      </c>
      <c r="AB183" s="47">
        <f>IFERROR(AA183/W183,"")</f>
        <v/>
      </c>
      <c r="AC183" s="116" t="n">
        <v>0</v>
      </c>
      <c r="AD183" s="116" t="n">
        <v>0</v>
      </c>
      <c r="AE183" s="116" t="n">
        <v>0</v>
      </c>
      <c r="AF183" s="116" t="n">
        <v>0</v>
      </c>
      <c r="AG183" s="116" t="n">
        <v>0</v>
      </c>
      <c r="AH183" s="116" t="n">
        <v>0</v>
      </c>
      <c r="AI183" s="47">
        <f>IFERROR(AC183/S183,"")</f>
        <v/>
      </c>
      <c r="AJ183" s="47">
        <f>IFERROR(AH183/S183,"")</f>
        <v/>
      </c>
      <c r="AK183" s="116" t="n">
        <v>30</v>
      </c>
      <c r="AL183" s="116" t="n">
        <v>0</v>
      </c>
      <c r="AM183" s="118">
        <f>IFERROR(AL183/AA183,"")</f>
        <v/>
      </c>
      <c r="AN183" s="119">
        <f>IFERROR(R183/AL183,"")</f>
        <v/>
      </c>
      <c r="AO183" s="116" t="n">
        <v>0</v>
      </c>
      <c r="AP183" s="47">
        <f>IFERROR(AO183/AL183,"")</f>
        <v/>
      </c>
      <c r="AQ183" s="119">
        <f>IFERROR(R183/AO183,"")</f>
        <v/>
      </c>
      <c r="AR183" s="116" t="n">
        <v>0</v>
      </c>
      <c r="AS183" s="116" t="n">
        <v>0</v>
      </c>
      <c r="AT183" s="116">
        <f>AL183+AR183</f>
        <v/>
      </c>
      <c r="AU183" s="119">
        <f>IFERROR(AO183*Assumptions!$C$26*Assumptions!$C$27*INDEX(Assumptions!$C$18:$C$21,MATCH(H183,Assumptions!$B$18:$B$21,0)),0)</f>
        <v/>
      </c>
    </row>
    <row r="184">
      <c r="A184" s="114" t="n">
        <v>46247</v>
      </c>
      <c r="B184" s="42" t="inlineStr">
        <is>
          <t>Wk 33</t>
        </is>
      </c>
      <c r="C184" s="42" t="inlineStr">
        <is>
          <t>Thu</t>
        </is>
      </c>
      <c r="D184" s="42" t="inlineStr">
        <is>
          <t>Meta (FB/IG)</t>
        </is>
      </c>
      <c r="E184" s="42" t="inlineStr">
        <is>
          <t>Facebook + Instagram</t>
        </is>
      </c>
      <c r="F184" s="42" t="inlineStr">
        <is>
          <t>LEP_ZA_AUG26_META_TD_AMUR_CONV</t>
        </is>
      </c>
      <c r="G184" s="42" t="inlineStr">
        <is>
          <t>Leads - Website Conversions</t>
        </is>
      </c>
      <c r="H184" s="42" t="inlineStr">
        <is>
          <t>AMUR</t>
        </is>
      </c>
      <c r="I184" s="42" t="inlineStr">
        <is>
          <t>0% Deposit</t>
        </is>
      </c>
      <c r="J184" s="42" t="inlineStr">
        <is>
          <t>MET_AMUR_INMKT_HATCH_ZA</t>
        </is>
      </c>
      <c r="K184" s="42" t="inlineStr">
        <is>
          <t>In-Market</t>
        </is>
      </c>
      <c r="L184" s="42" t="inlineStr">
        <is>
          <t>AMUR_STA_Compare_Hatch_v1</t>
        </is>
      </c>
      <c r="M184" s="42" t="inlineStr">
        <is>
          <t>Static 4:5</t>
        </is>
      </c>
      <c r="N184" s="42" t="inlineStr">
        <is>
          <t>Compare before you commit</t>
        </is>
      </c>
      <c r="O184" s="42" t="inlineStr">
        <is>
          <t>Auction - Lowest Cost</t>
        </is>
      </c>
      <c r="P184" s="42" t="inlineStr">
        <is>
          <t>Offsite Conversions</t>
        </is>
      </c>
      <c r="Q184" s="42" t="inlineStr">
        <is>
          <t>https://www.lepas-sa.co.za/offers/amur</t>
        </is>
      </c>
      <c r="R184" s="115" t="n">
        <v>195.19</v>
      </c>
      <c r="S184" s="116" t="n">
        <v>2912</v>
      </c>
      <c r="T184" s="116" t="n">
        <v>1786</v>
      </c>
      <c r="U184" s="117">
        <f>IFERROR(S184/T184,"")</f>
        <v/>
      </c>
      <c r="V184" s="116" t="n">
        <v>54</v>
      </c>
      <c r="W184" s="116" t="n">
        <v>42</v>
      </c>
      <c r="X184" s="118">
        <f>IFERROR(W184/S184,"")</f>
        <v/>
      </c>
      <c r="Y184" s="115">
        <f>IFERROR(R184/W184,"")</f>
        <v/>
      </c>
      <c r="Z184" s="115">
        <f>IFERROR(R184/S184*1000,"")</f>
        <v/>
      </c>
      <c r="AA184" s="116" t="n">
        <v>33</v>
      </c>
      <c r="AB184" s="47">
        <f>IFERROR(AA184/W184,"")</f>
        <v/>
      </c>
      <c r="AC184" s="116" t="n">
        <v>0</v>
      </c>
      <c r="AD184" s="116" t="n">
        <v>0</v>
      </c>
      <c r="AE184" s="116" t="n">
        <v>0</v>
      </c>
      <c r="AF184" s="116" t="n">
        <v>0</v>
      </c>
      <c r="AG184" s="116" t="n">
        <v>0</v>
      </c>
      <c r="AH184" s="116" t="n">
        <v>0</v>
      </c>
      <c r="AI184" s="47">
        <f>IFERROR(AC184/S184,"")</f>
        <v/>
      </c>
      <c r="AJ184" s="47">
        <f>IFERROR(AH184/S184,"")</f>
        <v/>
      </c>
      <c r="AK184" s="116" t="n">
        <v>41</v>
      </c>
      <c r="AL184" s="116" t="n">
        <v>0</v>
      </c>
      <c r="AM184" s="118">
        <f>IFERROR(AL184/AA184,"")</f>
        <v/>
      </c>
      <c r="AN184" s="119">
        <f>IFERROR(R184/AL184,"")</f>
        <v/>
      </c>
      <c r="AO184" s="116" t="n">
        <v>0</v>
      </c>
      <c r="AP184" s="47">
        <f>IFERROR(AO184/AL184,"")</f>
        <v/>
      </c>
      <c r="AQ184" s="119">
        <f>IFERROR(R184/AO184,"")</f>
        <v/>
      </c>
      <c r="AR184" s="116" t="n">
        <v>0</v>
      </c>
      <c r="AS184" s="116" t="n">
        <v>0</v>
      </c>
      <c r="AT184" s="116">
        <f>AL184+AR184</f>
        <v/>
      </c>
      <c r="AU184" s="119">
        <f>IFERROR(AO184*Assumptions!$C$26*Assumptions!$C$27*INDEX(Assumptions!$C$18:$C$21,MATCH(H184,Assumptions!$B$18:$B$21,0)),0)</f>
        <v/>
      </c>
    </row>
    <row r="185">
      <c r="A185" s="114" t="n">
        <v>46248</v>
      </c>
      <c r="B185" s="42" t="inlineStr">
        <is>
          <t>Wk 33</t>
        </is>
      </c>
      <c r="C185" s="42" t="inlineStr">
        <is>
          <t>Fri</t>
        </is>
      </c>
      <c r="D185" s="42" t="inlineStr">
        <is>
          <t>Meta (FB/IG)</t>
        </is>
      </c>
      <c r="E185" s="42" t="inlineStr">
        <is>
          <t>Facebook + Instagram</t>
        </is>
      </c>
      <c r="F185" s="42" t="inlineStr">
        <is>
          <t>LEP_ZA_AUG26_META_TD_AMUR_CONV</t>
        </is>
      </c>
      <c r="G185" s="42" t="inlineStr">
        <is>
          <t>Leads - Website Conversions</t>
        </is>
      </c>
      <c r="H185" s="42" t="inlineStr">
        <is>
          <t>AMUR</t>
        </is>
      </c>
      <c r="I185" s="42" t="inlineStr">
        <is>
          <t>0% Deposit</t>
        </is>
      </c>
      <c r="J185" s="42" t="inlineStr">
        <is>
          <t>MET_AMUR_INMKT_HATCH_ZA</t>
        </is>
      </c>
      <c r="K185" s="42" t="inlineStr">
        <is>
          <t>In-Market</t>
        </is>
      </c>
      <c r="L185" s="42" t="inlineStr">
        <is>
          <t>AMUR_STA_Compare_Hatch_v1</t>
        </is>
      </c>
      <c r="M185" s="42" t="inlineStr">
        <is>
          <t>Static 4:5</t>
        </is>
      </c>
      <c r="N185" s="42" t="inlineStr">
        <is>
          <t>Compare before you commit</t>
        </is>
      </c>
      <c r="O185" s="42" t="inlineStr">
        <is>
          <t>Auction - Lowest Cost</t>
        </is>
      </c>
      <c r="P185" s="42" t="inlineStr">
        <is>
          <t>Offsite Conversions</t>
        </is>
      </c>
      <c r="Q185" s="42" t="inlineStr">
        <is>
          <t>https://www.lepas-sa.co.za/offers/amur</t>
        </is>
      </c>
      <c r="R185" s="115" t="n">
        <v>181.31</v>
      </c>
      <c r="S185" s="116" t="n">
        <v>2575</v>
      </c>
      <c r="T185" s="116" t="n">
        <v>1852</v>
      </c>
      <c r="U185" s="117">
        <f>IFERROR(S185/T185,"")</f>
        <v/>
      </c>
      <c r="V185" s="116" t="n">
        <v>48</v>
      </c>
      <c r="W185" s="116" t="n">
        <v>37</v>
      </c>
      <c r="X185" s="118">
        <f>IFERROR(W185/S185,"")</f>
        <v/>
      </c>
      <c r="Y185" s="115">
        <f>IFERROR(R185/W185,"")</f>
        <v/>
      </c>
      <c r="Z185" s="115">
        <f>IFERROR(R185/S185*1000,"")</f>
        <v/>
      </c>
      <c r="AA185" s="116" t="n">
        <v>31</v>
      </c>
      <c r="AB185" s="47">
        <f>IFERROR(AA185/W185,"")</f>
        <v/>
      </c>
      <c r="AC185" s="116" t="n">
        <v>0</v>
      </c>
      <c r="AD185" s="116" t="n">
        <v>0</v>
      </c>
      <c r="AE185" s="116" t="n">
        <v>0</v>
      </c>
      <c r="AF185" s="116" t="n">
        <v>0</v>
      </c>
      <c r="AG185" s="116" t="n">
        <v>0</v>
      </c>
      <c r="AH185" s="116" t="n">
        <v>0</v>
      </c>
      <c r="AI185" s="47">
        <f>IFERROR(AC185/S185,"")</f>
        <v/>
      </c>
      <c r="AJ185" s="47">
        <f>IFERROR(AH185/S185,"")</f>
        <v/>
      </c>
      <c r="AK185" s="116" t="n">
        <v>50</v>
      </c>
      <c r="AL185" s="116" t="n">
        <v>1</v>
      </c>
      <c r="AM185" s="118">
        <f>IFERROR(AL185/AA185,"")</f>
        <v/>
      </c>
      <c r="AN185" s="119">
        <f>IFERROR(R185/AL185,"")</f>
        <v/>
      </c>
      <c r="AO185" s="116" t="n">
        <v>1</v>
      </c>
      <c r="AP185" s="47">
        <f>IFERROR(AO185/AL185,"")</f>
        <v/>
      </c>
      <c r="AQ185" s="119">
        <f>IFERROR(R185/AO185,"")</f>
        <v/>
      </c>
      <c r="AR185" s="116" t="n">
        <v>0</v>
      </c>
      <c r="AS185" s="116" t="n">
        <v>0</v>
      </c>
      <c r="AT185" s="116">
        <f>AL185+AR185</f>
        <v/>
      </c>
      <c r="AU185" s="119">
        <f>IFERROR(AO185*Assumptions!$C$26*Assumptions!$C$27*INDEX(Assumptions!$C$18:$C$21,MATCH(H185,Assumptions!$B$18:$B$21,0)),0)</f>
        <v/>
      </c>
    </row>
    <row r="186">
      <c r="A186" s="114" t="n">
        <v>46249</v>
      </c>
      <c r="B186" s="42" t="inlineStr">
        <is>
          <t>Wk 33</t>
        </is>
      </c>
      <c r="C186" s="42" t="inlineStr">
        <is>
          <t>Sat</t>
        </is>
      </c>
      <c r="D186" s="42" t="inlineStr">
        <is>
          <t>Meta (FB/IG)</t>
        </is>
      </c>
      <c r="E186" s="42" t="inlineStr">
        <is>
          <t>Facebook + Instagram</t>
        </is>
      </c>
      <c r="F186" s="42" t="inlineStr">
        <is>
          <t>LEP_ZA_AUG26_META_TD_AMUR_CONV</t>
        </is>
      </c>
      <c r="G186" s="42" t="inlineStr">
        <is>
          <t>Leads - Website Conversions</t>
        </is>
      </c>
      <c r="H186" s="42" t="inlineStr">
        <is>
          <t>AMUR</t>
        </is>
      </c>
      <c r="I186" s="42" t="inlineStr">
        <is>
          <t>0% Deposit</t>
        </is>
      </c>
      <c r="J186" s="42" t="inlineStr">
        <is>
          <t>MET_AMUR_INMKT_HATCH_ZA</t>
        </is>
      </c>
      <c r="K186" s="42" t="inlineStr">
        <is>
          <t>In-Market</t>
        </is>
      </c>
      <c r="L186" s="42" t="inlineStr">
        <is>
          <t>AMUR_STA_Compare_Hatch_v1</t>
        </is>
      </c>
      <c r="M186" s="42" t="inlineStr">
        <is>
          <t>Static 4:5</t>
        </is>
      </c>
      <c r="N186" s="42" t="inlineStr">
        <is>
          <t>Compare before you commit</t>
        </is>
      </c>
      <c r="O186" s="42" t="inlineStr">
        <is>
          <t>Auction - Lowest Cost</t>
        </is>
      </c>
      <c r="P186" s="42" t="inlineStr">
        <is>
          <t>Offsite Conversions</t>
        </is>
      </c>
      <c r="Q186" s="42" t="inlineStr">
        <is>
          <t>https://www.lepas-sa.co.za/offers/amur</t>
        </is>
      </c>
      <c r="R186" s="115" t="n">
        <v>218.36</v>
      </c>
      <c r="S186" s="116" t="n">
        <v>2758</v>
      </c>
      <c r="T186" s="116" t="n">
        <v>1899</v>
      </c>
      <c r="U186" s="117">
        <f>IFERROR(S186/T186,"")</f>
        <v/>
      </c>
      <c r="V186" s="116" t="n">
        <v>35</v>
      </c>
      <c r="W186" s="116" t="n">
        <v>28</v>
      </c>
      <c r="X186" s="118">
        <f>IFERROR(W186/S186,"")</f>
        <v/>
      </c>
      <c r="Y186" s="115">
        <f>IFERROR(R186/W186,"")</f>
        <v/>
      </c>
      <c r="Z186" s="115">
        <f>IFERROR(R186/S186*1000,"")</f>
        <v/>
      </c>
      <c r="AA186" s="116" t="n">
        <v>23</v>
      </c>
      <c r="AB186" s="47">
        <f>IFERROR(AA186/W186,"")</f>
        <v/>
      </c>
      <c r="AC186" s="116" t="n">
        <v>0</v>
      </c>
      <c r="AD186" s="116" t="n">
        <v>0</v>
      </c>
      <c r="AE186" s="116" t="n">
        <v>0</v>
      </c>
      <c r="AF186" s="116" t="n">
        <v>0</v>
      </c>
      <c r="AG186" s="116" t="n">
        <v>0</v>
      </c>
      <c r="AH186" s="116" t="n">
        <v>0</v>
      </c>
      <c r="AI186" s="47">
        <f>IFERROR(AC186/S186,"")</f>
        <v/>
      </c>
      <c r="AJ186" s="47">
        <f>IFERROR(AH186/S186,"")</f>
        <v/>
      </c>
      <c r="AK186" s="116" t="n">
        <v>35</v>
      </c>
      <c r="AL186" s="116" t="n">
        <v>0</v>
      </c>
      <c r="AM186" s="118">
        <f>IFERROR(AL186/AA186,"")</f>
        <v/>
      </c>
      <c r="AN186" s="119">
        <f>IFERROR(R186/AL186,"")</f>
        <v/>
      </c>
      <c r="AO186" s="116" t="n">
        <v>0</v>
      </c>
      <c r="AP186" s="47">
        <f>IFERROR(AO186/AL186,"")</f>
        <v/>
      </c>
      <c r="AQ186" s="119">
        <f>IFERROR(R186/AO186,"")</f>
        <v/>
      </c>
      <c r="AR186" s="116" t="n">
        <v>0</v>
      </c>
      <c r="AS186" s="116" t="n">
        <v>0</v>
      </c>
      <c r="AT186" s="116">
        <f>AL186+AR186</f>
        <v/>
      </c>
      <c r="AU186" s="119">
        <f>IFERROR(AO186*Assumptions!$C$26*Assumptions!$C$27*INDEX(Assumptions!$C$18:$C$21,MATCH(H186,Assumptions!$B$18:$B$21,0)),0)</f>
        <v/>
      </c>
    </row>
    <row r="187">
      <c r="A187" s="114" t="n">
        <v>46250</v>
      </c>
      <c r="B187" s="42" t="inlineStr">
        <is>
          <t>Wk 33</t>
        </is>
      </c>
      <c r="C187" s="42" t="inlineStr">
        <is>
          <t>Sun</t>
        </is>
      </c>
      <c r="D187" s="42" t="inlineStr">
        <is>
          <t>Meta (FB/IG)</t>
        </is>
      </c>
      <c r="E187" s="42" t="inlineStr">
        <is>
          <t>Facebook + Instagram</t>
        </is>
      </c>
      <c r="F187" s="42" t="inlineStr">
        <is>
          <t>LEP_ZA_AUG26_META_TD_AMUR_CONV</t>
        </is>
      </c>
      <c r="G187" s="42" t="inlineStr">
        <is>
          <t>Leads - Website Conversions</t>
        </is>
      </c>
      <c r="H187" s="42" t="inlineStr">
        <is>
          <t>AMUR</t>
        </is>
      </c>
      <c r="I187" s="42" t="inlineStr">
        <is>
          <t>0% Deposit</t>
        </is>
      </c>
      <c r="J187" s="42" t="inlineStr">
        <is>
          <t>MET_AMUR_INMKT_HATCH_ZA</t>
        </is>
      </c>
      <c r="K187" s="42" t="inlineStr">
        <is>
          <t>In-Market</t>
        </is>
      </c>
      <c r="L187" s="42" t="inlineStr">
        <is>
          <t>AMUR_STA_Compare_Hatch_v1</t>
        </is>
      </c>
      <c r="M187" s="42" t="inlineStr">
        <is>
          <t>Static 4:5</t>
        </is>
      </c>
      <c r="N187" s="42" t="inlineStr">
        <is>
          <t>Compare before you commit</t>
        </is>
      </c>
      <c r="O187" s="42" t="inlineStr">
        <is>
          <t>Auction - Lowest Cost</t>
        </is>
      </c>
      <c r="P187" s="42" t="inlineStr">
        <is>
          <t>Offsite Conversions</t>
        </is>
      </c>
      <c r="Q187" s="42" t="inlineStr">
        <is>
          <t>https://www.lepas-sa.co.za/offers/amur</t>
        </is>
      </c>
      <c r="R187" s="115" t="n">
        <v>156.69</v>
      </c>
      <c r="S187" s="116" t="n">
        <v>2612</v>
      </c>
      <c r="T187" s="116" t="n">
        <v>1962</v>
      </c>
      <c r="U187" s="117">
        <f>IFERROR(S187/T187,"")</f>
        <v/>
      </c>
      <c r="V187" s="116" t="n">
        <v>35</v>
      </c>
      <c r="W187" s="116" t="n">
        <v>29</v>
      </c>
      <c r="X187" s="118">
        <f>IFERROR(W187/S187,"")</f>
        <v/>
      </c>
      <c r="Y187" s="115">
        <f>IFERROR(R187/W187,"")</f>
        <v/>
      </c>
      <c r="Z187" s="115">
        <f>IFERROR(R187/S187*1000,"")</f>
        <v/>
      </c>
      <c r="AA187" s="116" t="n">
        <v>24</v>
      </c>
      <c r="AB187" s="47">
        <f>IFERROR(AA187/W187,"")</f>
        <v/>
      </c>
      <c r="AC187" s="116" t="n">
        <v>0</v>
      </c>
      <c r="AD187" s="116" t="n">
        <v>0</v>
      </c>
      <c r="AE187" s="116" t="n">
        <v>0</v>
      </c>
      <c r="AF187" s="116" t="n">
        <v>0</v>
      </c>
      <c r="AG187" s="116" t="n">
        <v>0</v>
      </c>
      <c r="AH187" s="116" t="n">
        <v>0</v>
      </c>
      <c r="AI187" s="47">
        <f>IFERROR(AC187/S187,"")</f>
        <v/>
      </c>
      <c r="AJ187" s="47">
        <f>IFERROR(AH187/S187,"")</f>
        <v/>
      </c>
      <c r="AK187" s="116" t="n">
        <v>64</v>
      </c>
      <c r="AL187" s="116" t="n">
        <v>0</v>
      </c>
      <c r="AM187" s="118">
        <f>IFERROR(AL187/AA187,"")</f>
        <v/>
      </c>
      <c r="AN187" s="119">
        <f>IFERROR(R187/AL187,"")</f>
        <v/>
      </c>
      <c r="AO187" s="116" t="n">
        <v>0</v>
      </c>
      <c r="AP187" s="47">
        <f>IFERROR(AO187/AL187,"")</f>
        <v/>
      </c>
      <c r="AQ187" s="119">
        <f>IFERROR(R187/AO187,"")</f>
        <v/>
      </c>
      <c r="AR187" s="116" t="n">
        <v>0</v>
      </c>
      <c r="AS187" s="116" t="n">
        <v>0</v>
      </c>
      <c r="AT187" s="116">
        <f>AL187+AR187</f>
        <v/>
      </c>
      <c r="AU187" s="119">
        <f>IFERROR(AO187*Assumptions!$C$26*Assumptions!$C$27*INDEX(Assumptions!$C$18:$C$21,MATCH(H187,Assumptions!$B$18:$B$21,0)),0)</f>
        <v/>
      </c>
    </row>
    <row r="188">
      <c r="A188" s="114" t="n">
        <v>46251</v>
      </c>
      <c r="B188" s="42" t="inlineStr">
        <is>
          <t>Wk 34</t>
        </is>
      </c>
      <c r="C188" s="42" t="inlineStr">
        <is>
          <t>Mon</t>
        </is>
      </c>
      <c r="D188" s="42" t="inlineStr">
        <is>
          <t>Meta (FB/IG)</t>
        </is>
      </c>
      <c r="E188" s="42" t="inlineStr">
        <is>
          <t>Facebook + Instagram</t>
        </is>
      </c>
      <c r="F188" s="42" t="inlineStr">
        <is>
          <t>LEP_ZA_AUG26_META_TD_AMUR_CONV</t>
        </is>
      </c>
      <c r="G188" s="42" t="inlineStr">
        <is>
          <t>Leads - Website Conversions</t>
        </is>
      </c>
      <c r="H188" s="42" t="inlineStr">
        <is>
          <t>AMUR</t>
        </is>
      </c>
      <c r="I188" s="42" t="inlineStr">
        <is>
          <t>0% Deposit</t>
        </is>
      </c>
      <c r="J188" s="42" t="inlineStr">
        <is>
          <t>MET_AMUR_INMKT_HATCH_ZA</t>
        </is>
      </c>
      <c r="K188" s="42" t="inlineStr">
        <is>
          <t>In-Market</t>
        </is>
      </c>
      <c r="L188" s="42" t="inlineStr">
        <is>
          <t>AMUR_STA_Compare_Hatch_v1</t>
        </is>
      </c>
      <c r="M188" s="42" t="inlineStr">
        <is>
          <t>Static 4:5</t>
        </is>
      </c>
      <c r="N188" s="42" t="inlineStr">
        <is>
          <t>Compare before you commit</t>
        </is>
      </c>
      <c r="O188" s="42" t="inlineStr">
        <is>
          <t>Auction - Lowest Cost</t>
        </is>
      </c>
      <c r="P188" s="42" t="inlineStr">
        <is>
          <t>Offsite Conversions</t>
        </is>
      </c>
      <c r="Q188" s="42" t="inlineStr">
        <is>
          <t>https://www.lepas-sa.co.za/offers/amur</t>
        </is>
      </c>
      <c r="R188" s="115" t="n">
        <v>153.86</v>
      </c>
      <c r="S188" s="116" t="n">
        <v>1810</v>
      </c>
      <c r="T188" s="116" t="n">
        <v>1128</v>
      </c>
      <c r="U188" s="117">
        <f>IFERROR(S188/T188,"")</f>
        <v/>
      </c>
      <c r="V188" s="116" t="n">
        <v>34</v>
      </c>
      <c r="W188" s="116" t="n">
        <v>27</v>
      </c>
      <c r="X188" s="118">
        <f>IFERROR(W188/S188,"")</f>
        <v/>
      </c>
      <c r="Y188" s="115">
        <f>IFERROR(R188/W188,"")</f>
        <v/>
      </c>
      <c r="Z188" s="115">
        <f>IFERROR(R188/S188*1000,"")</f>
        <v/>
      </c>
      <c r="AA188" s="116" t="n">
        <v>23</v>
      </c>
      <c r="AB188" s="47">
        <f>IFERROR(AA188/W188,"")</f>
        <v/>
      </c>
      <c r="AC188" s="116" t="n">
        <v>0</v>
      </c>
      <c r="AD188" s="116" t="n">
        <v>0</v>
      </c>
      <c r="AE188" s="116" t="n">
        <v>0</v>
      </c>
      <c r="AF188" s="116" t="n">
        <v>0</v>
      </c>
      <c r="AG188" s="116" t="n">
        <v>0</v>
      </c>
      <c r="AH188" s="116" t="n">
        <v>0</v>
      </c>
      <c r="AI188" s="47">
        <f>IFERROR(AC188/S188,"")</f>
        <v/>
      </c>
      <c r="AJ188" s="47">
        <f>IFERROR(AH188/S188,"")</f>
        <v/>
      </c>
      <c r="AK188" s="116" t="n">
        <v>36</v>
      </c>
      <c r="AL188" s="116" t="n">
        <v>1</v>
      </c>
      <c r="AM188" s="118">
        <f>IFERROR(AL188/AA188,"")</f>
        <v/>
      </c>
      <c r="AN188" s="119">
        <f>IFERROR(R188/AL188,"")</f>
        <v/>
      </c>
      <c r="AO188" s="116" t="n">
        <v>0</v>
      </c>
      <c r="AP188" s="47">
        <f>IFERROR(AO188/AL188,"")</f>
        <v/>
      </c>
      <c r="AQ188" s="119">
        <f>IFERROR(R188/AO188,"")</f>
        <v/>
      </c>
      <c r="AR188" s="116" t="n">
        <v>0</v>
      </c>
      <c r="AS188" s="116" t="n">
        <v>0</v>
      </c>
      <c r="AT188" s="116">
        <f>AL188+AR188</f>
        <v/>
      </c>
      <c r="AU188" s="119">
        <f>IFERROR(AO188*Assumptions!$C$26*Assumptions!$C$27*INDEX(Assumptions!$C$18:$C$21,MATCH(H188,Assumptions!$B$18:$B$21,0)),0)</f>
        <v/>
      </c>
    </row>
    <row r="189">
      <c r="A189" s="114" t="n">
        <v>46252</v>
      </c>
      <c r="B189" s="42" t="inlineStr">
        <is>
          <t>Wk 34</t>
        </is>
      </c>
      <c r="C189" s="42" t="inlineStr">
        <is>
          <t>Tue</t>
        </is>
      </c>
      <c r="D189" s="42" t="inlineStr">
        <is>
          <t>Meta (FB/IG)</t>
        </is>
      </c>
      <c r="E189" s="42" t="inlineStr">
        <is>
          <t>Facebook + Instagram</t>
        </is>
      </c>
      <c r="F189" s="42" t="inlineStr">
        <is>
          <t>LEP_ZA_AUG26_META_TD_AMUR_CONV</t>
        </is>
      </c>
      <c r="G189" s="42" t="inlineStr">
        <is>
          <t>Leads - Website Conversions</t>
        </is>
      </c>
      <c r="H189" s="42" t="inlineStr">
        <is>
          <t>AMUR</t>
        </is>
      </c>
      <c r="I189" s="42" t="inlineStr">
        <is>
          <t>0% Deposit</t>
        </is>
      </c>
      <c r="J189" s="42" t="inlineStr">
        <is>
          <t>MET_AMUR_INMKT_HATCH_ZA</t>
        </is>
      </c>
      <c r="K189" s="42" t="inlineStr">
        <is>
          <t>In-Market</t>
        </is>
      </c>
      <c r="L189" s="42" t="inlineStr">
        <is>
          <t>AMUR_STA_Compare_Hatch_v1</t>
        </is>
      </c>
      <c r="M189" s="42" t="inlineStr">
        <is>
          <t>Static 4:5</t>
        </is>
      </c>
      <c r="N189" s="42" t="inlineStr">
        <is>
          <t>Compare before you commit</t>
        </is>
      </c>
      <c r="O189" s="42" t="inlineStr">
        <is>
          <t>Auction - Lowest Cost</t>
        </is>
      </c>
      <c r="P189" s="42" t="inlineStr">
        <is>
          <t>Offsite Conversions</t>
        </is>
      </c>
      <c r="Q189" s="42" t="inlineStr">
        <is>
          <t>https://www.lepas-sa.co.za/offers/amur</t>
        </is>
      </c>
      <c r="R189" s="115" t="n">
        <v>189.88</v>
      </c>
      <c r="S189" s="116" t="n">
        <v>2203</v>
      </c>
      <c r="T189" s="116" t="n">
        <v>1424</v>
      </c>
      <c r="U189" s="117">
        <f>IFERROR(S189/T189,"")</f>
        <v/>
      </c>
      <c r="V189" s="116" t="n">
        <v>21</v>
      </c>
      <c r="W189" s="116" t="n">
        <v>17</v>
      </c>
      <c r="X189" s="118">
        <f>IFERROR(W189/S189,"")</f>
        <v/>
      </c>
      <c r="Y189" s="115">
        <f>IFERROR(R189/W189,"")</f>
        <v/>
      </c>
      <c r="Z189" s="115">
        <f>IFERROR(R189/S189*1000,"")</f>
        <v/>
      </c>
      <c r="AA189" s="116" t="n">
        <v>16</v>
      </c>
      <c r="AB189" s="47">
        <f>IFERROR(AA189/W189,"")</f>
        <v/>
      </c>
      <c r="AC189" s="116" t="n">
        <v>0</v>
      </c>
      <c r="AD189" s="116" t="n">
        <v>0</v>
      </c>
      <c r="AE189" s="116" t="n">
        <v>0</v>
      </c>
      <c r="AF189" s="116" t="n">
        <v>0</v>
      </c>
      <c r="AG189" s="116" t="n">
        <v>0</v>
      </c>
      <c r="AH189" s="116" t="n">
        <v>0</v>
      </c>
      <c r="AI189" s="47">
        <f>IFERROR(AC189/S189,"")</f>
        <v/>
      </c>
      <c r="AJ189" s="47">
        <f>IFERROR(AH189/S189,"")</f>
        <v/>
      </c>
      <c r="AK189" s="116" t="n">
        <v>52</v>
      </c>
      <c r="AL189" s="116" t="n">
        <v>0</v>
      </c>
      <c r="AM189" s="118">
        <f>IFERROR(AL189/AA189,"")</f>
        <v/>
      </c>
      <c r="AN189" s="119">
        <f>IFERROR(R189/AL189,"")</f>
        <v/>
      </c>
      <c r="AO189" s="116" t="n">
        <v>0</v>
      </c>
      <c r="AP189" s="47">
        <f>IFERROR(AO189/AL189,"")</f>
        <v/>
      </c>
      <c r="AQ189" s="119">
        <f>IFERROR(R189/AO189,"")</f>
        <v/>
      </c>
      <c r="AR189" s="116" t="n">
        <v>0</v>
      </c>
      <c r="AS189" s="116" t="n">
        <v>0</v>
      </c>
      <c r="AT189" s="116">
        <f>AL189+AR189</f>
        <v/>
      </c>
      <c r="AU189" s="119">
        <f>IFERROR(AO189*Assumptions!$C$26*Assumptions!$C$27*INDEX(Assumptions!$C$18:$C$21,MATCH(H189,Assumptions!$B$18:$B$21,0)),0)</f>
        <v/>
      </c>
    </row>
    <row r="190">
      <c r="A190" s="114" t="n">
        <v>46253</v>
      </c>
      <c r="B190" s="42" t="inlineStr">
        <is>
          <t>Wk 34</t>
        </is>
      </c>
      <c r="C190" s="42" t="inlineStr">
        <is>
          <t>Wed</t>
        </is>
      </c>
      <c r="D190" s="42" t="inlineStr">
        <is>
          <t>Meta (FB/IG)</t>
        </is>
      </c>
      <c r="E190" s="42" t="inlineStr">
        <is>
          <t>Facebook + Instagram</t>
        </is>
      </c>
      <c r="F190" s="42" t="inlineStr">
        <is>
          <t>LEP_ZA_AUG26_META_TD_AMUR_CONV</t>
        </is>
      </c>
      <c r="G190" s="42" t="inlineStr">
        <is>
          <t>Leads - Website Conversions</t>
        </is>
      </c>
      <c r="H190" s="42" t="inlineStr">
        <is>
          <t>AMUR</t>
        </is>
      </c>
      <c r="I190" s="42" t="inlineStr">
        <is>
          <t>0% Deposit</t>
        </is>
      </c>
      <c r="J190" s="42" t="inlineStr">
        <is>
          <t>MET_AMUR_INMKT_HATCH_ZA</t>
        </is>
      </c>
      <c r="K190" s="42" t="inlineStr">
        <is>
          <t>In-Market</t>
        </is>
      </c>
      <c r="L190" s="42" t="inlineStr">
        <is>
          <t>AMUR_STA_Compare_Hatch_v1</t>
        </is>
      </c>
      <c r="M190" s="42" t="inlineStr">
        <is>
          <t>Static 4:5</t>
        </is>
      </c>
      <c r="N190" s="42" t="inlineStr">
        <is>
          <t>Compare before you commit</t>
        </is>
      </c>
      <c r="O190" s="42" t="inlineStr">
        <is>
          <t>Auction - Lowest Cost</t>
        </is>
      </c>
      <c r="P190" s="42" t="inlineStr">
        <is>
          <t>Offsite Conversions</t>
        </is>
      </c>
      <c r="Q190" s="42" t="inlineStr">
        <is>
          <t>https://www.lepas-sa.co.za/offers/amur</t>
        </is>
      </c>
      <c r="R190" s="115" t="n">
        <v>171.99</v>
      </c>
      <c r="S190" s="116" t="n">
        <v>2377</v>
      </c>
      <c r="T190" s="116" t="n">
        <v>1237</v>
      </c>
      <c r="U190" s="117">
        <f>IFERROR(S190/T190,"")</f>
        <v/>
      </c>
      <c r="V190" s="116" t="n">
        <v>43</v>
      </c>
      <c r="W190" s="116" t="n">
        <v>30</v>
      </c>
      <c r="X190" s="118">
        <f>IFERROR(W190/S190,"")</f>
        <v/>
      </c>
      <c r="Y190" s="115">
        <f>IFERROR(R190/W190,"")</f>
        <v/>
      </c>
      <c r="Z190" s="115">
        <f>IFERROR(R190/S190*1000,"")</f>
        <v/>
      </c>
      <c r="AA190" s="116" t="n">
        <v>26</v>
      </c>
      <c r="AB190" s="47">
        <f>IFERROR(AA190/W190,"")</f>
        <v/>
      </c>
      <c r="AC190" s="116" t="n">
        <v>0</v>
      </c>
      <c r="AD190" s="116" t="n">
        <v>0</v>
      </c>
      <c r="AE190" s="116" t="n">
        <v>0</v>
      </c>
      <c r="AF190" s="116" t="n">
        <v>0</v>
      </c>
      <c r="AG190" s="116" t="n">
        <v>0</v>
      </c>
      <c r="AH190" s="116" t="n">
        <v>0</v>
      </c>
      <c r="AI190" s="47">
        <f>IFERROR(AC190/S190,"")</f>
        <v/>
      </c>
      <c r="AJ190" s="47">
        <f>IFERROR(AH190/S190,"")</f>
        <v/>
      </c>
      <c r="AK190" s="116" t="n">
        <v>51</v>
      </c>
      <c r="AL190" s="116" t="n">
        <v>0</v>
      </c>
      <c r="AM190" s="118">
        <f>IFERROR(AL190/AA190,"")</f>
        <v/>
      </c>
      <c r="AN190" s="119">
        <f>IFERROR(R190/AL190,"")</f>
        <v/>
      </c>
      <c r="AO190" s="116" t="n">
        <v>0</v>
      </c>
      <c r="AP190" s="47">
        <f>IFERROR(AO190/AL190,"")</f>
        <v/>
      </c>
      <c r="AQ190" s="119">
        <f>IFERROR(R190/AO190,"")</f>
        <v/>
      </c>
      <c r="AR190" s="116" t="n">
        <v>0</v>
      </c>
      <c r="AS190" s="116" t="n">
        <v>0</v>
      </c>
      <c r="AT190" s="116">
        <f>AL190+AR190</f>
        <v/>
      </c>
      <c r="AU190" s="119">
        <f>IFERROR(AO190*Assumptions!$C$26*Assumptions!$C$27*INDEX(Assumptions!$C$18:$C$21,MATCH(H190,Assumptions!$B$18:$B$21,0)),0)</f>
        <v/>
      </c>
    </row>
    <row r="191">
      <c r="A191" s="114" t="n">
        <v>46254</v>
      </c>
      <c r="B191" s="42" t="inlineStr">
        <is>
          <t>Wk 34</t>
        </is>
      </c>
      <c r="C191" s="42" t="inlineStr">
        <is>
          <t>Thu</t>
        </is>
      </c>
      <c r="D191" s="42" t="inlineStr">
        <is>
          <t>Meta (FB/IG)</t>
        </is>
      </c>
      <c r="E191" s="42" t="inlineStr">
        <is>
          <t>Facebook + Instagram</t>
        </is>
      </c>
      <c r="F191" s="42" t="inlineStr">
        <is>
          <t>LEP_ZA_AUG26_META_TD_AMUR_CONV</t>
        </is>
      </c>
      <c r="G191" s="42" t="inlineStr">
        <is>
          <t>Leads - Website Conversions</t>
        </is>
      </c>
      <c r="H191" s="42" t="inlineStr">
        <is>
          <t>AMUR</t>
        </is>
      </c>
      <c r="I191" s="42" t="inlineStr">
        <is>
          <t>0% Deposit</t>
        </is>
      </c>
      <c r="J191" s="42" t="inlineStr">
        <is>
          <t>MET_AMUR_INMKT_HATCH_ZA</t>
        </is>
      </c>
      <c r="K191" s="42" t="inlineStr">
        <is>
          <t>In-Market</t>
        </is>
      </c>
      <c r="L191" s="42" t="inlineStr">
        <is>
          <t>AMUR_STA_Compare_Hatch_v1</t>
        </is>
      </c>
      <c r="M191" s="42" t="inlineStr">
        <is>
          <t>Static 4:5</t>
        </is>
      </c>
      <c r="N191" s="42" t="inlineStr">
        <is>
          <t>Compare before you commit</t>
        </is>
      </c>
      <c r="O191" s="42" t="inlineStr">
        <is>
          <t>Auction - Lowest Cost</t>
        </is>
      </c>
      <c r="P191" s="42" t="inlineStr">
        <is>
          <t>Offsite Conversions</t>
        </is>
      </c>
      <c r="Q191" s="42" t="inlineStr">
        <is>
          <t>https://www.lepas-sa.co.za/offers/amur</t>
        </is>
      </c>
      <c r="R191" s="115" t="n">
        <v>218.41</v>
      </c>
      <c r="S191" s="116" t="n">
        <v>2754</v>
      </c>
      <c r="T191" s="116" t="n">
        <v>1768</v>
      </c>
      <c r="U191" s="117">
        <f>IFERROR(S191/T191,"")</f>
        <v/>
      </c>
      <c r="V191" s="116" t="n">
        <v>44</v>
      </c>
      <c r="W191" s="116" t="n">
        <v>33</v>
      </c>
      <c r="X191" s="118">
        <f>IFERROR(W191/S191,"")</f>
        <v/>
      </c>
      <c r="Y191" s="115">
        <f>IFERROR(R191/W191,"")</f>
        <v/>
      </c>
      <c r="Z191" s="115">
        <f>IFERROR(R191/S191*1000,"")</f>
        <v/>
      </c>
      <c r="AA191" s="116" t="n">
        <v>28</v>
      </c>
      <c r="AB191" s="47">
        <f>IFERROR(AA191/W191,"")</f>
        <v/>
      </c>
      <c r="AC191" s="116" t="n">
        <v>0</v>
      </c>
      <c r="AD191" s="116" t="n">
        <v>0</v>
      </c>
      <c r="AE191" s="116" t="n">
        <v>0</v>
      </c>
      <c r="AF191" s="116" t="n">
        <v>0</v>
      </c>
      <c r="AG191" s="116" t="n">
        <v>0</v>
      </c>
      <c r="AH191" s="116" t="n">
        <v>0</v>
      </c>
      <c r="AI191" s="47">
        <f>IFERROR(AC191/S191,"")</f>
        <v/>
      </c>
      <c r="AJ191" s="47">
        <f>IFERROR(AH191/S191,"")</f>
        <v/>
      </c>
      <c r="AK191" s="116" t="n">
        <v>54</v>
      </c>
      <c r="AL191" s="116" t="n">
        <v>0</v>
      </c>
      <c r="AM191" s="118">
        <f>IFERROR(AL191/AA191,"")</f>
        <v/>
      </c>
      <c r="AN191" s="119">
        <f>IFERROR(R191/AL191,"")</f>
        <v/>
      </c>
      <c r="AO191" s="116" t="n">
        <v>0</v>
      </c>
      <c r="AP191" s="47">
        <f>IFERROR(AO191/AL191,"")</f>
        <v/>
      </c>
      <c r="AQ191" s="119">
        <f>IFERROR(R191/AO191,"")</f>
        <v/>
      </c>
      <c r="AR191" s="116" t="n">
        <v>0</v>
      </c>
      <c r="AS191" s="116" t="n">
        <v>0</v>
      </c>
      <c r="AT191" s="116">
        <f>AL191+AR191</f>
        <v/>
      </c>
      <c r="AU191" s="119">
        <f>IFERROR(AO191*Assumptions!$C$26*Assumptions!$C$27*INDEX(Assumptions!$C$18:$C$21,MATCH(H191,Assumptions!$B$18:$B$21,0)),0)</f>
        <v/>
      </c>
    </row>
    <row r="192">
      <c r="A192" s="114" t="n">
        <v>46255</v>
      </c>
      <c r="B192" s="42" t="inlineStr">
        <is>
          <t>Wk 34</t>
        </is>
      </c>
      <c r="C192" s="42" t="inlineStr">
        <is>
          <t>Fri</t>
        </is>
      </c>
      <c r="D192" s="42" t="inlineStr">
        <is>
          <t>Meta (FB/IG)</t>
        </is>
      </c>
      <c r="E192" s="42" t="inlineStr">
        <is>
          <t>Facebook + Instagram</t>
        </is>
      </c>
      <c r="F192" s="42" t="inlineStr">
        <is>
          <t>LEP_ZA_AUG26_META_TD_AMUR_CONV</t>
        </is>
      </c>
      <c r="G192" s="42" t="inlineStr">
        <is>
          <t>Leads - Website Conversions</t>
        </is>
      </c>
      <c r="H192" s="42" t="inlineStr">
        <is>
          <t>AMUR</t>
        </is>
      </c>
      <c r="I192" s="42" t="inlineStr">
        <is>
          <t>0% Deposit</t>
        </is>
      </c>
      <c r="J192" s="42" t="inlineStr">
        <is>
          <t>MET_AMUR_INMKT_HATCH_ZA</t>
        </is>
      </c>
      <c r="K192" s="42" t="inlineStr">
        <is>
          <t>In-Market</t>
        </is>
      </c>
      <c r="L192" s="42" t="inlineStr">
        <is>
          <t>AMUR_STA_Compare_Hatch_v1</t>
        </is>
      </c>
      <c r="M192" s="42" t="inlineStr">
        <is>
          <t>Static 4:5</t>
        </is>
      </c>
      <c r="N192" s="42" t="inlineStr">
        <is>
          <t>Compare before you commit</t>
        </is>
      </c>
      <c r="O192" s="42" t="inlineStr">
        <is>
          <t>Auction - Lowest Cost</t>
        </is>
      </c>
      <c r="P192" s="42" t="inlineStr">
        <is>
          <t>Offsite Conversions</t>
        </is>
      </c>
      <c r="Q192" s="42" t="inlineStr">
        <is>
          <t>https://www.lepas-sa.co.za/offers/amur</t>
        </is>
      </c>
      <c r="R192" s="115" t="n">
        <v>175.18</v>
      </c>
      <c r="S192" s="116" t="n">
        <v>2715</v>
      </c>
      <c r="T192" s="116" t="n">
        <v>1496</v>
      </c>
      <c r="U192" s="117">
        <f>IFERROR(S192/T192,"")</f>
        <v/>
      </c>
      <c r="V192" s="116" t="n">
        <v>27</v>
      </c>
      <c r="W192" s="116" t="n">
        <v>22</v>
      </c>
      <c r="X192" s="118">
        <f>IFERROR(W192/S192,"")</f>
        <v/>
      </c>
      <c r="Y192" s="115">
        <f>IFERROR(R192/W192,"")</f>
        <v/>
      </c>
      <c r="Z192" s="115">
        <f>IFERROR(R192/S192*1000,"")</f>
        <v/>
      </c>
      <c r="AA192" s="116" t="n">
        <v>18</v>
      </c>
      <c r="AB192" s="47">
        <f>IFERROR(AA192/W192,"")</f>
        <v/>
      </c>
      <c r="AC192" s="116" t="n">
        <v>0</v>
      </c>
      <c r="AD192" s="116" t="n">
        <v>0</v>
      </c>
      <c r="AE192" s="116" t="n">
        <v>0</v>
      </c>
      <c r="AF192" s="116" t="n">
        <v>0</v>
      </c>
      <c r="AG192" s="116" t="n">
        <v>0</v>
      </c>
      <c r="AH192" s="116" t="n">
        <v>0</v>
      </c>
      <c r="AI192" s="47">
        <f>IFERROR(AC192/S192,"")</f>
        <v/>
      </c>
      <c r="AJ192" s="47">
        <f>IFERROR(AH192/S192,"")</f>
        <v/>
      </c>
      <c r="AK192" s="116" t="n">
        <v>43</v>
      </c>
      <c r="AL192" s="116" t="n">
        <v>0</v>
      </c>
      <c r="AM192" s="118">
        <f>IFERROR(AL192/AA192,"")</f>
        <v/>
      </c>
      <c r="AN192" s="119">
        <f>IFERROR(R192/AL192,"")</f>
        <v/>
      </c>
      <c r="AO192" s="116" t="n">
        <v>0</v>
      </c>
      <c r="AP192" s="47">
        <f>IFERROR(AO192/AL192,"")</f>
        <v/>
      </c>
      <c r="AQ192" s="119">
        <f>IFERROR(R192/AO192,"")</f>
        <v/>
      </c>
      <c r="AR192" s="116" t="n">
        <v>0</v>
      </c>
      <c r="AS192" s="116" t="n">
        <v>0</v>
      </c>
      <c r="AT192" s="116">
        <f>AL192+AR192</f>
        <v/>
      </c>
      <c r="AU192" s="119">
        <f>IFERROR(AO192*Assumptions!$C$26*Assumptions!$C$27*INDEX(Assumptions!$C$18:$C$21,MATCH(H192,Assumptions!$B$18:$B$21,0)),0)</f>
        <v/>
      </c>
    </row>
    <row r="193">
      <c r="A193" s="114" t="n">
        <v>46256</v>
      </c>
      <c r="B193" s="42" t="inlineStr">
        <is>
          <t>Wk 34</t>
        </is>
      </c>
      <c r="C193" s="42" t="inlineStr">
        <is>
          <t>Sat</t>
        </is>
      </c>
      <c r="D193" s="42" t="inlineStr">
        <is>
          <t>Meta (FB/IG)</t>
        </is>
      </c>
      <c r="E193" s="42" t="inlineStr">
        <is>
          <t>Facebook + Instagram</t>
        </is>
      </c>
      <c r="F193" s="42" t="inlineStr">
        <is>
          <t>LEP_ZA_AUG26_META_TD_AMUR_CONV</t>
        </is>
      </c>
      <c r="G193" s="42" t="inlineStr">
        <is>
          <t>Leads - Website Conversions</t>
        </is>
      </c>
      <c r="H193" s="42" t="inlineStr">
        <is>
          <t>AMUR</t>
        </is>
      </c>
      <c r="I193" s="42" t="inlineStr">
        <is>
          <t>0% Deposit</t>
        </is>
      </c>
      <c r="J193" s="42" t="inlineStr">
        <is>
          <t>MET_AMUR_INMKT_HATCH_ZA</t>
        </is>
      </c>
      <c r="K193" s="42" t="inlineStr">
        <is>
          <t>In-Market</t>
        </is>
      </c>
      <c r="L193" s="42" t="inlineStr">
        <is>
          <t>AMUR_STA_Compare_Hatch_v1</t>
        </is>
      </c>
      <c r="M193" s="42" t="inlineStr">
        <is>
          <t>Static 4:5</t>
        </is>
      </c>
      <c r="N193" s="42" t="inlineStr">
        <is>
          <t>Compare before you commit</t>
        </is>
      </c>
      <c r="O193" s="42" t="inlineStr">
        <is>
          <t>Auction - Lowest Cost</t>
        </is>
      </c>
      <c r="P193" s="42" t="inlineStr">
        <is>
          <t>Offsite Conversions</t>
        </is>
      </c>
      <c r="Q193" s="42" t="inlineStr">
        <is>
          <t>https://www.lepas-sa.co.za/offers/amur</t>
        </is>
      </c>
      <c r="R193" s="115" t="n">
        <v>180.82</v>
      </c>
      <c r="S193" s="116" t="n">
        <v>2301</v>
      </c>
      <c r="T193" s="116" t="n">
        <v>1500</v>
      </c>
      <c r="U193" s="117">
        <f>IFERROR(S193/T193,"")</f>
        <v/>
      </c>
      <c r="V193" s="116" t="n">
        <v>22</v>
      </c>
      <c r="W193" s="116" t="n">
        <v>18</v>
      </c>
      <c r="X193" s="118">
        <f>IFERROR(W193/S193,"")</f>
        <v/>
      </c>
      <c r="Y193" s="115">
        <f>IFERROR(R193/W193,"")</f>
        <v/>
      </c>
      <c r="Z193" s="115">
        <f>IFERROR(R193/S193*1000,"")</f>
        <v/>
      </c>
      <c r="AA193" s="116" t="n">
        <v>15</v>
      </c>
      <c r="AB193" s="47">
        <f>IFERROR(AA193/W193,"")</f>
        <v/>
      </c>
      <c r="AC193" s="116" t="n">
        <v>0</v>
      </c>
      <c r="AD193" s="116" t="n">
        <v>0</v>
      </c>
      <c r="AE193" s="116" t="n">
        <v>0</v>
      </c>
      <c r="AF193" s="116" t="n">
        <v>0</v>
      </c>
      <c r="AG193" s="116" t="n">
        <v>0</v>
      </c>
      <c r="AH193" s="116" t="n">
        <v>0</v>
      </c>
      <c r="AI193" s="47">
        <f>IFERROR(AC193/S193,"")</f>
        <v/>
      </c>
      <c r="AJ193" s="47">
        <f>IFERROR(AH193/S193,"")</f>
        <v/>
      </c>
      <c r="AK193" s="116" t="n">
        <v>33</v>
      </c>
      <c r="AL193" s="116" t="n">
        <v>0</v>
      </c>
      <c r="AM193" s="118">
        <f>IFERROR(AL193/AA193,"")</f>
        <v/>
      </c>
      <c r="AN193" s="119">
        <f>IFERROR(R193/AL193,"")</f>
        <v/>
      </c>
      <c r="AO193" s="116" t="n">
        <v>0</v>
      </c>
      <c r="AP193" s="47">
        <f>IFERROR(AO193/AL193,"")</f>
        <v/>
      </c>
      <c r="AQ193" s="119">
        <f>IFERROR(R193/AO193,"")</f>
        <v/>
      </c>
      <c r="AR193" s="116" t="n">
        <v>0</v>
      </c>
      <c r="AS193" s="116" t="n">
        <v>0</v>
      </c>
      <c r="AT193" s="116">
        <f>AL193+AR193</f>
        <v/>
      </c>
      <c r="AU193" s="119">
        <f>IFERROR(AO193*Assumptions!$C$26*Assumptions!$C$27*INDEX(Assumptions!$C$18:$C$21,MATCH(H193,Assumptions!$B$18:$B$21,0)),0)</f>
        <v/>
      </c>
    </row>
    <row r="194">
      <c r="A194" s="114" t="n">
        <v>46257</v>
      </c>
      <c r="B194" s="42" t="inlineStr">
        <is>
          <t>Wk 34</t>
        </is>
      </c>
      <c r="C194" s="42" t="inlineStr">
        <is>
          <t>Sun</t>
        </is>
      </c>
      <c r="D194" s="42" t="inlineStr">
        <is>
          <t>Meta (FB/IG)</t>
        </is>
      </c>
      <c r="E194" s="42" t="inlineStr">
        <is>
          <t>Facebook + Instagram</t>
        </is>
      </c>
      <c r="F194" s="42" t="inlineStr">
        <is>
          <t>LEP_ZA_AUG26_META_TD_AMUR_CONV</t>
        </is>
      </c>
      <c r="G194" s="42" t="inlineStr">
        <is>
          <t>Leads - Website Conversions</t>
        </is>
      </c>
      <c r="H194" s="42" t="inlineStr">
        <is>
          <t>AMUR</t>
        </is>
      </c>
      <c r="I194" s="42" t="inlineStr">
        <is>
          <t>0% Deposit</t>
        </is>
      </c>
      <c r="J194" s="42" t="inlineStr">
        <is>
          <t>MET_AMUR_INMKT_HATCH_ZA</t>
        </is>
      </c>
      <c r="K194" s="42" t="inlineStr">
        <is>
          <t>In-Market</t>
        </is>
      </c>
      <c r="L194" s="42" t="inlineStr">
        <is>
          <t>AMUR_STA_Compare_Hatch_v1</t>
        </is>
      </c>
      <c r="M194" s="42" t="inlineStr">
        <is>
          <t>Static 4:5</t>
        </is>
      </c>
      <c r="N194" s="42" t="inlineStr">
        <is>
          <t>Compare before you commit</t>
        </is>
      </c>
      <c r="O194" s="42" t="inlineStr">
        <is>
          <t>Auction - Lowest Cost</t>
        </is>
      </c>
      <c r="P194" s="42" t="inlineStr">
        <is>
          <t>Offsite Conversions</t>
        </is>
      </c>
      <c r="Q194" s="42" t="inlineStr">
        <is>
          <t>https://www.lepas-sa.co.za/offers/amur</t>
        </is>
      </c>
      <c r="R194" s="115" t="n">
        <v>149.83</v>
      </c>
      <c r="S194" s="116" t="n">
        <v>1688</v>
      </c>
      <c r="T194" s="116" t="n">
        <v>886</v>
      </c>
      <c r="U194" s="117">
        <f>IFERROR(S194/T194,"")</f>
        <v/>
      </c>
      <c r="V194" s="116" t="n">
        <v>15</v>
      </c>
      <c r="W194" s="116" t="n">
        <v>12</v>
      </c>
      <c r="X194" s="118">
        <f>IFERROR(W194/S194,"")</f>
        <v/>
      </c>
      <c r="Y194" s="115">
        <f>IFERROR(R194/W194,"")</f>
        <v/>
      </c>
      <c r="Z194" s="115">
        <f>IFERROR(R194/S194*1000,"")</f>
        <v/>
      </c>
      <c r="AA194" s="116" t="n">
        <v>10</v>
      </c>
      <c r="AB194" s="47">
        <f>IFERROR(AA194/W194,"")</f>
        <v/>
      </c>
      <c r="AC194" s="116" t="n">
        <v>0</v>
      </c>
      <c r="AD194" s="116" t="n">
        <v>0</v>
      </c>
      <c r="AE194" s="116" t="n">
        <v>0</v>
      </c>
      <c r="AF194" s="116" t="n">
        <v>0</v>
      </c>
      <c r="AG194" s="116" t="n">
        <v>0</v>
      </c>
      <c r="AH194" s="116" t="n">
        <v>0</v>
      </c>
      <c r="AI194" s="47">
        <f>IFERROR(AC194/S194,"")</f>
        <v/>
      </c>
      <c r="AJ194" s="47">
        <f>IFERROR(AH194/S194,"")</f>
        <v/>
      </c>
      <c r="AK194" s="116" t="n">
        <v>53</v>
      </c>
      <c r="AL194" s="116" t="n">
        <v>0</v>
      </c>
      <c r="AM194" s="118">
        <f>IFERROR(AL194/AA194,"")</f>
        <v/>
      </c>
      <c r="AN194" s="119">
        <f>IFERROR(R194/AL194,"")</f>
        <v/>
      </c>
      <c r="AO194" s="116" t="n">
        <v>0</v>
      </c>
      <c r="AP194" s="47">
        <f>IFERROR(AO194/AL194,"")</f>
        <v/>
      </c>
      <c r="AQ194" s="119">
        <f>IFERROR(R194/AO194,"")</f>
        <v/>
      </c>
      <c r="AR194" s="116" t="n">
        <v>0</v>
      </c>
      <c r="AS194" s="116" t="n">
        <v>0</v>
      </c>
      <c r="AT194" s="116">
        <f>AL194+AR194</f>
        <v/>
      </c>
      <c r="AU194" s="119">
        <f>IFERROR(AO194*Assumptions!$C$26*Assumptions!$C$27*INDEX(Assumptions!$C$18:$C$21,MATCH(H194,Assumptions!$B$18:$B$21,0)),0)</f>
        <v/>
      </c>
    </row>
    <row r="195">
      <c r="A195" s="114" t="n">
        <v>46258</v>
      </c>
      <c r="B195" s="42" t="inlineStr">
        <is>
          <t>Wk 35</t>
        </is>
      </c>
      <c r="C195" s="42" t="inlineStr">
        <is>
          <t>Mon</t>
        </is>
      </c>
      <c r="D195" s="42" t="inlineStr">
        <is>
          <t>Meta (FB/IG)</t>
        </is>
      </c>
      <c r="E195" s="42" t="inlineStr">
        <is>
          <t>Facebook + Instagram</t>
        </is>
      </c>
      <c r="F195" s="42" t="inlineStr">
        <is>
          <t>LEP_ZA_AUG26_META_TD_AMUR_CONV</t>
        </is>
      </c>
      <c r="G195" s="42" t="inlineStr">
        <is>
          <t>Leads - Website Conversions</t>
        </is>
      </c>
      <c r="H195" s="42" t="inlineStr">
        <is>
          <t>AMUR</t>
        </is>
      </c>
      <c r="I195" s="42" t="inlineStr">
        <is>
          <t>0% Deposit</t>
        </is>
      </c>
      <c r="J195" s="42" t="inlineStr">
        <is>
          <t>MET_AMUR_INMKT_HATCH_ZA</t>
        </is>
      </c>
      <c r="K195" s="42" t="inlineStr">
        <is>
          <t>In-Market</t>
        </is>
      </c>
      <c r="L195" s="42" t="inlineStr">
        <is>
          <t>AMUR_STA_Compare_Hatch_v1</t>
        </is>
      </c>
      <c r="M195" s="42" t="inlineStr">
        <is>
          <t>Static 4:5</t>
        </is>
      </c>
      <c r="N195" s="42" t="inlineStr">
        <is>
          <t>Compare before you commit</t>
        </is>
      </c>
      <c r="O195" s="42" t="inlineStr">
        <is>
          <t>Auction - Lowest Cost</t>
        </is>
      </c>
      <c r="P195" s="42" t="inlineStr">
        <is>
          <t>Offsite Conversions</t>
        </is>
      </c>
      <c r="Q195" s="42" t="inlineStr">
        <is>
          <t>https://www.lepas-sa.co.za/offers/amur</t>
        </is>
      </c>
      <c r="R195" s="115" t="n">
        <v>187.77</v>
      </c>
      <c r="S195" s="116" t="n">
        <v>1959</v>
      </c>
      <c r="T195" s="116" t="n">
        <v>1185</v>
      </c>
      <c r="U195" s="117">
        <f>IFERROR(S195/T195,"")</f>
        <v/>
      </c>
      <c r="V195" s="116" t="n">
        <v>30</v>
      </c>
      <c r="W195" s="116" t="n">
        <v>24</v>
      </c>
      <c r="X195" s="118">
        <f>IFERROR(W195/S195,"")</f>
        <v/>
      </c>
      <c r="Y195" s="115">
        <f>IFERROR(R195/W195,"")</f>
        <v/>
      </c>
      <c r="Z195" s="115">
        <f>IFERROR(R195/S195*1000,"")</f>
        <v/>
      </c>
      <c r="AA195" s="116" t="n">
        <v>21</v>
      </c>
      <c r="AB195" s="47">
        <f>IFERROR(AA195/W195,"")</f>
        <v/>
      </c>
      <c r="AC195" s="116" t="n">
        <v>0</v>
      </c>
      <c r="AD195" s="116" t="n">
        <v>0</v>
      </c>
      <c r="AE195" s="116" t="n">
        <v>0</v>
      </c>
      <c r="AF195" s="116" t="n">
        <v>0</v>
      </c>
      <c r="AG195" s="116" t="n">
        <v>0</v>
      </c>
      <c r="AH195" s="116" t="n">
        <v>0</v>
      </c>
      <c r="AI195" s="47">
        <f>IFERROR(AC195/S195,"")</f>
        <v/>
      </c>
      <c r="AJ195" s="47">
        <f>IFERROR(AH195/S195,"")</f>
        <v/>
      </c>
      <c r="AK195" s="116" t="n">
        <v>38</v>
      </c>
      <c r="AL195" s="116" t="n">
        <v>0</v>
      </c>
      <c r="AM195" s="118">
        <f>IFERROR(AL195/AA195,"")</f>
        <v/>
      </c>
      <c r="AN195" s="119">
        <f>IFERROR(R195/AL195,"")</f>
        <v/>
      </c>
      <c r="AO195" s="116" t="n">
        <v>0</v>
      </c>
      <c r="AP195" s="47">
        <f>IFERROR(AO195/AL195,"")</f>
        <v/>
      </c>
      <c r="AQ195" s="119">
        <f>IFERROR(R195/AO195,"")</f>
        <v/>
      </c>
      <c r="AR195" s="116" t="n">
        <v>0</v>
      </c>
      <c r="AS195" s="116" t="n">
        <v>0</v>
      </c>
      <c r="AT195" s="116">
        <f>AL195+AR195</f>
        <v/>
      </c>
      <c r="AU195" s="119">
        <f>IFERROR(AO195*Assumptions!$C$26*Assumptions!$C$27*INDEX(Assumptions!$C$18:$C$21,MATCH(H195,Assumptions!$B$18:$B$21,0)),0)</f>
        <v/>
      </c>
    </row>
    <row r="196">
      <c r="A196" s="114" t="n">
        <v>46259</v>
      </c>
      <c r="B196" s="42" t="inlineStr">
        <is>
          <t>Wk 35</t>
        </is>
      </c>
      <c r="C196" s="42" t="inlineStr">
        <is>
          <t>Tue</t>
        </is>
      </c>
      <c r="D196" s="42" t="inlineStr">
        <is>
          <t>Meta (FB/IG)</t>
        </is>
      </c>
      <c r="E196" s="42" t="inlineStr">
        <is>
          <t>Facebook + Instagram</t>
        </is>
      </c>
      <c r="F196" s="42" t="inlineStr">
        <is>
          <t>LEP_ZA_AUG26_META_TD_AMUR_CONV</t>
        </is>
      </c>
      <c r="G196" s="42" t="inlineStr">
        <is>
          <t>Leads - Website Conversions</t>
        </is>
      </c>
      <c r="H196" s="42" t="inlineStr">
        <is>
          <t>AMUR</t>
        </is>
      </c>
      <c r="I196" s="42" t="inlineStr">
        <is>
          <t>0% Deposit</t>
        </is>
      </c>
      <c r="J196" s="42" t="inlineStr">
        <is>
          <t>MET_AMUR_INMKT_HATCH_ZA</t>
        </is>
      </c>
      <c r="K196" s="42" t="inlineStr">
        <is>
          <t>In-Market</t>
        </is>
      </c>
      <c r="L196" s="42" t="inlineStr">
        <is>
          <t>AMUR_STA_Compare_Hatch_v1</t>
        </is>
      </c>
      <c r="M196" s="42" t="inlineStr">
        <is>
          <t>Static 4:5</t>
        </is>
      </c>
      <c r="N196" s="42" t="inlineStr">
        <is>
          <t>Compare before you commit</t>
        </is>
      </c>
      <c r="O196" s="42" t="inlineStr">
        <is>
          <t>Auction - Lowest Cost</t>
        </is>
      </c>
      <c r="P196" s="42" t="inlineStr">
        <is>
          <t>Offsite Conversions</t>
        </is>
      </c>
      <c r="Q196" s="42" t="inlineStr">
        <is>
          <t>https://www.lepas-sa.co.za/offers/amur</t>
        </is>
      </c>
      <c r="R196" s="115" t="n">
        <v>172.7</v>
      </c>
      <c r="S196" s="116" t="n">
        <v>2422</v>
      </c>
      <c r="T196" s="116" t="n">
        <v>1431</v>
      </c>
      <c r="U196" s="117">
        <f>IFERROR(S196/T196,"")</f>
        <v/>
      </c>
      <c r="V196" s="116" t="n">
        <v>26</v>
      </c>
      <c r="W196" s="116" t="n">
        <v>21</v>
      </c>
      <c r="X196" s="118">
        <f>IFERROR(W196/S196,"")</f>
        <v/>
      </c>
      <c r="Y196" s="115">
        <f>IFERROR(R196/W196,"")</f>
        <v/>
      </c>
      <c r="Z196" s="115">
        <f>IFERROR(R196/S196*1000,"")</f>
        <v/>
      </c>
      <c r="AA196" s="116" t="n">
        <v>18</v>
      </c>
      <c r="AB196" s="47">
        <f>IFERROR(AA196/W196,"")</f>
        <v/>
      </c>
      <c r="AC196" s="116" t="n">
        <v>0</v>
      </c>
      <c r="AD196" s="116" t="n">
        <v>0</v>
      </c>
      <c r="AE196" s="116" t="n">
        <v>0</v>
      </c>
      <c r="AF196" s="116" t="n">
        <v>0</v>
      </c>
      <c r="AG196" s="116" t="n">
        <v>0</v>
      </c>
      <c r="AH196" s="116" t="n">
        <v>0</v>
      </c>
      <c r="AI196" s="47">
        <f>IFERROR(AC196/S196,"")</f>
        <v/>
      </c>
      <c r="AJ196" s="47">
        <f>IFERROR(AH196/S196,"")</f>
        <v/>
      </c>
      <c r="AK196" s="116" t="n">
        <v>24</v>
      </c>
      <c r="AL196" s="116" t="n">
        <v>0</v>
      </c>
      <c r="AM196" s="118">
        <f>IFERROR(AL196/AA196,"")</f>
        <v/>
      </c>
      <c r="AN196" s="119">
        <f>IFERROR(R196/AL196,"")</f>
        <v/>
      </c>
      <c r="AO196" s="116" t="n">
        <v>0</v>
      </c>
      <c r="AP196" s="47">
        <f>IFERROR(AO196/AL196,"")</f>
        <v/>
      </c>
      <c r="AQ196" s="119">
        <f>IFERROR(R196/AO196,"")</f>
        <v/>
      </c>
      <c r="AR196" s="116" t="n">
        <v>0</v>
      </c>
      <c r="AS196" s="116" t="n">
        <v>0</v>
      </c>
      <c r="AT196" s="116">
        <f>AL196+AR196</f>
        <v/>
      </c>
      <c r="AU196" s="119">
        <f>IFERROR(AO196*Assumptions!$C$26*Assumptions!$C$27*INDEX(Assumptions!$C$18:$C$21,MATCH(H196,Assumptions!$B$18:$B$21,0)),0)</f>
        <v/>
      </c>
    </row>
    <row r="197">
      <c r="A197" s="114" t="n">
        <v>46260</v>
      </c>
      <c r="B197" s="42" t="inlineStr">
        <is>
          <t>Wk 35</t>
        </is>
      </c>
      <c r="C197" s="42" t="inlineStr">
        <is>
          <t>Wed</t>
        </is>
      </c>
      <c r="D197" s="42" t="inlineStr">
        <is>
          <t>Meta (FB/IG)</t>
        </is>
      </c>
      <c r="E197" s="42" t="inlineStr">
        <is>
          <t>Facebook + Instagram</t>
        </is>
      </c>
      <c r="F197" s="42" t="inlineStr">
        <is>
          <t>LEP_ZA_AUG26_META_TD_AMUR_CONV</t>
        </is>
      </c>
      <c r="G197" s="42" t="inlineStr">
        <is>
          <t>Leads - Website Conversions</t>
        </is>
      </c>
      <c r="H197" s="42" t="inlineStr">
        <is>
          <t>AMUR</t>
        </is>
      </c>
      <c r="I197" s="42" t="inlineStr">
        <is>
          <t>0% Deposit</t>
        </is>
      </c>
      <c r="J197" s="42" t="inlineStr">
        <is>
          <t>MET_AMUR_INMKT_HATCH_ZA</t>
        </is>
      </c>
      <c r="K197" s="42" t="inlineStr">
        <is>
          <t>In-Market</t>
        </is>
      </c>
      <c r="L197" s="42" t="inlineStr">
        <is>
          <t>AMUR_STA_Compare_Hatch_v1</t>
        </is>
      </c>
      <c r="M197" s="42" t="inlineStr">
        <is>
          <t>Static 4:5</t>
        </is>
      </c>
      <c r="N197" s="42" t="inlineStr">
        <is>
          <t>Compare before you commit</t>
        </is>
      </c>
      <c r="O197" s="42" t="inlineStr">
        <is>
          <t>Auction - Lowest Cost</t>
        </is>
      </c>
      <c r="P197" s="42" t="inlineStr">
        <is>
          <t>Offsite Conversions</t>
        </is>
      </c>
      <c r="Q197" s="42" t="inlineStr">
        <is>
          <t>https://www.lepas-sa.co.za/offers/amur</t>
        </is>
      </c>
      <c r="R197" s="115" t="n">
        <v>187.04</v>
      </c>
      <c r="S197" s="116" t="n">
        <v>3009</v>
      </c>
      <c r="T197" s="116" t="n">
        <v>1471</v>
      </c>
      <c r="U197" s="117">
        <f>IFERROR(S197/T197,"")</f>
        <v/>
      </c>
      <c r="V197" s="116" t="n">
        <v>36</v>
      </c>
      <c r="W197" s="116" t="n">
        <v>28</v>
      </c>
      <c r="X197" s="118">
        <f>IFERROR(W197/S197,"")</f>
        <v/>
      </c>
      <c r="Y197" s="115">
        <f>IFERROR(R197/W197,"")</f>
        <v/>
      </c>
      <c r="Z197" s="115">
        <f>IFERROR(R197/S197*1000,"")</f>
        <v/>
      </c>
      <c r="AA197" s="116" t="n">
        <v>25</v>
      </c>
      <c r="AB197" s="47">
        <f>IFERROR(AA197/W197,"")</f>
        <v/>
      </c>
      <c r="AC197" s="116" t="n">
        <v>0</v>
      </c>
      <c r="AD197" s="116" t="n">
        <v>0</v>
      </c>
      <c r="AE197" s="116" t="n">
        <v>0</v>
      </c>
      <c r="AF197" s="116" t="n">
        <v>0</v>
      </c>
      <c r="AG197" s="116" t="n">
        <v>0</v>
      </c>
      <c r="AH197" s="116" t="n">
        <v>0</v>
      </c>
      <c r="AI197" s="47">
        <f>IFERROR(AC197/S197,"")</f>
        <v/>
      </c>
      <c r="AJ197" s="47">
        <f>IFERROR(AH197/S197,"")</f>
        <v/>
      </c>
      <c r="AK197" s="116" t="n">
        <v>81</v>
      </c>
      <c r="AL197" s="116" t="n">
        <v>0</v>
      </c>
      <c r="AM197" s="118">
        <f>IFERROR(AL197/AA197,"")</f>
        <v/>
      </c>
      <c r="AN197" s="119">
        <f>IFERROR(R197/AL197,"")</f>
        <v/>
      </c>
      <c r="AO197" s="116" t="n">
        <v>0</v>
      </c>
      <c r="AP197" s="47">
        <f>IFERROR(AO197/AL197,"")</f>
        <v/>
      </c>
      <c r="AQ197" s="119">
        <f>IFERROR(R197/AO197,"")</f>
        <v/>
      </c>
      <c r="AR197" s="116" t="n">
        <v>0</v>
      </c>
      <c r="AS197" s="116" t="n">
        <v>0</v>
      </c>
      <c r="AT197" s="116">
        <f>AL197+AR197</f>
        <v/>
      </c>
      <c r="AU197" s="119">
        <f>IFERROR(AO197*Assumptions!$C$26*Assumptions!$C$27*INDEX(Assumptions!$C$18:$C$21,MATCH(H197,Assumptions!$B$18:$B$21,0)),0)</f>
        <v/>
      </c>
    </row>
    <row r="198">
      <c r="A198" s="114" t="n">
        <v>46261</v>
      </c>
      <c r="B198" s="42" t="inlineStr">
        <is>
          <t>Wk 35</t>
        </is>
      </c>
      <c r="C198" s="42" t="inlineStr">
        <is>
          <t>Thu</t>
        </is>
      </c>
      <c r="D198" s="42" t="inlineStr">
        <is>
          <t>Meta (FB/IG)</t>
        </is>
      </c>
      <c r="E198" s="42" t="inlineStr">
        <is>
          <t>Facebook + Instagram</t>
        </is>
      </c>
      <c r="F198" s="42" t="inlineStr">
        <is>
          <t>LEP_ZA_AUG26_META_TD_AMUR_CONV</t>
        </is>
      </c>
      <c r="G198" s="42" t="inlineStr">
        <is>
          <t>Leads - Website Conversions</t>
        </is>
      </c>
      <c r="H198" s="42" t="inlineStr">
        <is>
          <t>AMUR</t>
        </is>
      </c>
      <c r="I198" s="42" t="inlineStr">
        <is>
          <t>0% Deposit</t>
        </is>
      </c>
      <c r="J198" s="42" t="inlineStr">
        <is>
          <t>MET_AMUR_INMKT_HATCH_ZA</t>
        </is>
      </c>
      <c r="K198" s="42" t="inlineStr">
        <is>
          <t>In-Market</t>
        </is>
      </c>
      <c r="L198" s="42" t="inlineStr">
        <is>
          <t>AMUR_STA_Compare_Hatch_v1</t>
        </is>
      </c>
      <c r="M198" s="42" t="inlineStr">
        <is>
          <t>Static 4:5</t>
        </is>
      </c>
      <c r="N198" s="42" t="inlineStr">
        <is>
          <t>Compare before you commit</t>
        </is>
      </c>
      <c r="O198" s="42" t="inlineStr">
        <is>
          <t>Auction - Lowest Cost</t>
        </is>
      </c>
      <c r="P198" s="42" t="inlineStr">
        <is>
          <t>Offsite Conversions</t>
        </is>
      </c>
      <c r="Q198" s="42" t="inlineStr">
        <is>
          <t>https://www.lepas-sa.co.za/offers/amur</t>
        </is>
      </c>
      <c r="R198" s="115" t="n">
        <v>256.39</v>
      </c>
      <c r="S198" s="116" t="n">
        <v>3096</v>
      </c>
      <c r="T198" s="116" t="n">
        <v>1585</v>
      </c>
      <c r="U198" s="117">
        <f>IFERROR(S198/T198,"")</f>
        <v/>
      </c>
      <c r="V198" s="116" t="n">
        <v>25</v>
      </c>
      <c r="W198" s="116" t="n">
        <v>20</v>
      </c>
      <c r="X198" s="118">
        <f>IFERROR(W198/S198,"")</f>
        <v/>
      </c>
      <c r="Y198" s="115">
        <f>IFERROR(R198/W198,"")</f>
        <v/>
      </c>
      <c r="Z198" s="115">
        <f>IFERROR(R198/S198*1000,"")</f>
        <v/>
      </c>
      <c r="AA198" s="116" t="n">
        <v>17</v>
      </c>
      <c r="AB198" s="47">
        <f>IFERROR(AA198/W198,"")</f>
        <v/>
      </c>
      <c r="AC198" s="116" t="n">
        <v>0</v>
      </c>
      <c r="AD198" s="116" t="n">
        <v>0</v>
      </c>
      <c r="AE198" s="116" t="n">
        <v>0</v>
      </c>
      <c r="AF198" s="116" t="n">
        <v>0</v>
      </c>
      <c r="AG198" s="116" t="n">
        <v>0</v>
      </c>
      <c r="AH198" s="116" t="n">
        <v>0</v>
      </c>
      <c r="AI198" s="47">
        <f>IFERROR(AC198/S198,"")</f>
        <v/>
      </c>
      <c r="AJ198" s="47">
        <f>IFERROR(AH198/S198,"")</f>
        <v/>
      </c>
      <c r="AK198" s="116" t="n">
        <v>61</v>
      </c>
      <c r="AL198" s="116" t="n">
        <v>0</v>
      </c>
      <c r="AM198" s="118">
        <f>IFERROR(AL198/AA198,"")</f>
        <v/>
      </c>
      <c r="AN198" s="119">
        <f>IFERROR(R198/AL198,"")</f>
        <v/>
      </c>
      <c r="AO198" s="116" t="n">
        <v>0</v>
      </c>
      <c r="AP198" s="47">
        <f>IFERROR(AO198/AL198,"")</f>
        <v/>
      </c>
      <c r="AQ198" s="119">
        <f>IFERROR(R198/AO198,"")</f>
        <v/>
      </c>
      <c r="AR198" s="116" t="n">
        <v>0</v>
      </c>
      <c r="AS198" s="116" t="n">
        <v>0</v>
      </c>
      <c r="AT198" s="116">
        <f>AL198+AR198</f>
        <v/>
      </c>
      <c r="AU198" s="119">
        <f>IFERROR(AO198*Assumptions!$C$26*Assumptions!$C$27*INDEX(Assumptions!$C$18:$C$21,MATCH(H198,Assumptions!$B$18:$B$21,0)),0)</f>
        <v/>
      </c>
    </row>
    <row r="199">
      <c r="A199" s="114" t="n">
        <v>46262</v>
      </c>
      <c r="B199" s="42" t="inlineStr">
        <is>
          <t>Wk 35</t>
        </is>
      </c>
      <c r="C199" s="42" t="inlineStr">
        <is>
          <t>Fri</t>
        </is>
      </c>
      <c r="D199" s="42" t="inlineStr">
        <is>
          <t>Meta (FB/IG)</t>
        </is>
      </c>
      <c r="E199" s="42" t="inlineStr">
        <is>
          <t>Facebook + Instagram</t>
        </is>
      </c>
      <c r="F199" s="42" t="inlineStr">
        <is>
          <t>LEP_ZA_AUG26_META_TD_AMUR_CONV</t>
        </is>
      </c>
      <c r="G199" s="42" t="inlineStr">
        <is>
          <t>Leads - Website Conversions</t>
        </is>
      </c>
      <c r="H199" s="42" t="inlineStr">
        <is>
          <t>AMUR</t>
        </is>
      </c>
      <c r="I199" s="42" t="inlineStr">
        <is>
          <t>0% Deposit</t>
        </is>
      </c>
      <c r="J199" s="42" t="inlineStr">
        <is>
          <t>MET_AMUR_INMKT_HATCH_ZA</t>
        </is>
      </c>
      <c r="K199" s="42" t="inlineStr">
        <is>
          <t>In-Market</t>
        </is>
      </c>
      <c r="L199" s="42" t="inlineStr">
        <is>
          <t>AMUR_STA_Compare_Hatch_v1</t>
        </is>
      </c>
      <c r="M199" s="42" t="inlineStr">
        <is>
          <t>Static 4:5</t>
        </is>
      </c>
      <c r="N199" s="42" t="inlineStr">
        <is>
          <t>Compare before you commit</t>
        </is>
      </c>
      <c r="O199" s="42" t="inlineStr">
        <is>
          <t>Auction - Lowest Cost</t>
        </is>
      </c>
      <c r="P199" s="42" t="inlineStr">
        <is>
          <t>Offsite Conversions</t>
        </is>
      </c>
      <c r="Q199" s="42" t="inlineStr">
        <is>
          <t>https://www.lepas-sa.co.za/offers/amur</t>
        </is>
      </c>
      <c r="R199" s="115" t="n">
        <v>235.47</v>
      </c>
      <c r="S199" s="116" t="n">
        <v>2942</v>
      </c>
      <c r="T199" s="116" t="n">
        <v>1701</v>
      </c>
      <c r="U199" s="117">
        <f>IFERROR(S199/T199,"")</f>
        <v/>
      </c>
      <c r="V199" s="116" t="n">
        <v>50</v>
      </c>
      <c r="W199" s="116" t="n">
        <v>35</v>
      </c>
      <c r="X199" s="118">
        <f>IFERROR(W199/S199,"")</f>
        <v/>
      </c>
      <c r="Y199" s="115">
        <f>IFERROR(R199/W199,"")</f>
        <v/>
      </c>
      <c r="Z199" s="115">
        <f>IFERROR(R199/S199*1000,"")</f>
        <v/>
      </c>
      <c r="AA199" s="116" t="n">
        <v>30</v>
      </c>
      <c r="AB199" s="47">
        <f>IFERROR(AA199/W199,"")</f>
        <v/>
      </c>
      <c r="AC199" s="116" t="n">
        <v>0</v>
      </c>
      <c r="AD199" s="116" t="n">
        <v>0</v>
      </c>
      <c r="AE199" s="116" t="n">
        <v>0</v>
      </c>
      <c r="AF199" s="116" t="n">
        <v>0</v>
      </c>
      <c r="AG199" s="116" t="n">
        <v>0</v>
      </c>
      <c r="AH199" s="116" t="n">
        <v>0</v>
      </c>
      <c r="AI199" s="47">
        <f>IFERROR(AC199/S199,"")</f>
        <v/>
      </c>
      <c r="AJ199" s="47">
        <f>IFERROR(AH199/S199,"")</f>
        <v/>
      </c>
      <c r="AK199" s="116" t="n">
        <v>53</v>
      </c>
      <c r="AL199" s="116" t="n">
        <v>1</v>
      </c>
      <c r="AM199" s="118">
        <f>IFERROR(AL199/AA199,"")</f>
        <v/>
      </c>
      <c r="AN199" s="119">
        <f>IFERROR(R199/AL199,"")</f>
        <v/>
      </c>
      <c r="AO199" s="116" t="n">
        <v>1</v>
      </c>
      <c r="AP199" s="47">
        <f>IFERROR(AO199/AL199,"")</f>
        <v/>
      </c>
      <c r="AQ199" s="119">
        <f>IFERROR(R199/AO199,"")</f>
        <v/>
      </c>
      <c r="AR199" s="116" t="n">
        <v>0</v>
      </c>
      <c r="AS199" s="116" t="n">
        <v>1</v>
      </c>
      <c r="AT199" s="116">
        <f>AL199+AR199</f>
        <v/>
      </c>
      <c r="AU199" s="119">
        <f>IFERROR(AO199*Assumptions!$C$26*Assumptions!$C$27*INDEX(Assumptions!$C$18:$C$21,MATCH(H199,Assumptions!$B$18:$B$21,0)),0)</f>
        <v/>
      </c>
    </row>
    <row r="200">
      <c r="A200" s="114" t="n">
        <v>46263</v>
      </c>
      <c r="B200" s="42" t="inlineStr">
        <is>
          <t>Wk 35</t>
        </is>
      </c>
      <c r="C200" s="42" t="inlineStr">
        <is>
          <t>Sat</t>
        </is>
      </c>
      <c r="D200" s="42" t="inlineStr">
        <is>
          <t>Meta (FB/IG)</t>
        </is>
      </c>
      <c r="E200" s="42" t="inlineStr">
        <is>
          <t>Facebook + Instagram</t>
        </is>
      </c>
      <c r="F200" s="42" t="inlineStr">
        <is>
          <t>LEP_ZA_AUG26_META_TD_AMUR_CONV</t>
        </is>
      </c>
      <c r="G200" s="42" t="inlineStr">
        <is>
          <t>Leads - Website Conversions</t>
        </is>
      </c>
      <c r="H200" s="42" t="inlineStr">
        <is>
          <t>AMUR</t>
        </is>
      </c>
      <c r="I200" s="42" t="inlineStr">
        <is>
          <t>0% Deposit</t>
        </is>
      </c>
      <c r="J200" s="42" t="inlineStr">
        <is>
          <t>MET_AMUR_INMKT_HATCH_ZA</t>
        </is>
      </c>
      <c r="K200" s="42" t="inlineStr">
        <is>
          <t>In-Market</t>
        </is>
      </c>
      <c r="L200" s="42" t="inlineStr">
        <is>
          <t>AMUR_STA_Compare_Hatch_v1</t>
        </is>
      </c>
      <c r="M200" s="42" t="inlineStr">
        <is>
          <t>Static 4:5</t>
        </is>
      </c>
      <c r="N200" s="42" t="inlineStr">
        <is>
          <t>Compare before you commit</t>
        </is>
      </c>
      <c r="O200" s="42" t="inlineStr">
        <is>
          <t>Auction - Lowest Cost</t>
        </is>
      </c>
      <c r="P200" s="42" t="inlineStr">
        <is>
          <t>Offsite Conversions</t>
        </is>
      </c>
      <c r="Q200" s="42" t="inlineStr">
        <is>
          <t>https://www.lepas-sa.co.za/offers/amur</t>
        </is>
      </c>
      <c r="R200" s="115" t="n">
        <v>236.96</v>
      </c>
      <c r="S200" s="116" t="n">
        <v>2218</v>
      </c>
      <c r="T200" s="116" t="n">
        <v>1315</v>
      </c>
      <c r="U200" s="117">
        <f>IFERROR(S200/T200,"")</f>
        <v/>
      </c>
      <c r="V200" s="116" t="n">
        <v>28</v>
      </c>
      <c r="W200" s="116" t="n">
        <v>22</v>
      </c>
      <c r="X200" s="118">
        <f>IFERROR(W200/S200,"")</f>
        <v/>
      </c>
      <c r="Y200" s="115">
        <f>IFERROR(R200/W200,"")</f>
        <v/>
      </c>
      <c r="Z200" s="115">
        <f>IFERROR(R200/S200*1000,"")</f>
        <v/>
      </c>
      <c r="AA200" s="116" t="n">
        <v>18</v>
      </c>
      <c r="AB200" s="47">
        <f>IFERROR(AA200/W200,"")</f>
        <v/>
      </c>
      <c r="AC200" s="116" t="n">
        <v>0</v>
      </c>
      <c r="AD200" s="116" t="n">
        <v>0</v>
      </c>
      <c r="AE200" s="116" t="n">
        <v>0</v>
      </c>
      <c r="AF200" s="116" t="n">
        <v>0</v>
      </c>
      <c r="AG200" s="116" t="n">
        <v>0</v>
      </c>
      <c r="AH200" s="116" t="n">
        <v>0</v>
      </c>
      <c r="AI200" s="47">
        <f>IFERROR(AC200/S200,"")</f>
        <v/>
      </c>
      <c r="AJ200" s="47">
        <f>IFERROR(AH200/S200,"")</f>
        <v/>
      </c>
      <c r="AK200" s="116" t="n">
        <v>36</v>
      </c>
      <c r="AL200" s="116" t="n">
        <v>0</v>
      </c>
      <c r="AM200" s="118">
        <f>IFERROR(AL200/AA200,"")</f>
        <v/>
      </c>
      <c r="AN200" s="119">
        <f>IFERROR(R200/AL200,"")</f>
        <v/>
      </c>
      <c r="AO200" s="116" t="n">
        <v>0</v>
      </c>
      <c r="AP200" s="47">
        <f>IFERROR(AO200/AL200,"")</f>
        <v/>
      </c>
      <c r="AQ200" s="119">
        <f>IFERROR(R200/AO200,"")</f>
        <v/>
      </c>
      <c r="AR200" s="116" t="n">
        <v>0</v>
      </c>
      <c r="AS200" s="116" t="n">
        <v>0</v>
      </c>
      <c r="AT200" s="116">
        <f>AL200+AR200</f>
        <v/>
      </c>
      <c r="AU200" s="119">
        <f>IFERROR(AO200*Assumptions!$C$26*Assumptions!$C$27*INDEX(Assumptions!$C$18:$C$21,MATCH(H200,Assumptions!$B$18:$B$21,0)),0)</f>
        <v/>
      </c>
    </row>
    <row r="201">
      <c r="A201" s="114" t="n">
        <v>46264</v>
      </c>
      <c r="B201" s="42" t="inlineStr">
        <is>
          <t>Wk 35</t>
        </is>
      </c>
      <c r="C201" s="42" t="inlineStr">
        <is>
          <t>Sun</t>
        </is>
      </c>
      <c r="D201" s="42" t="inlineStr">
        <is>
          <t>Meta (FB/IG)</t>
        </is>
      </c>
      <c r="E201" s="42" t="inlineStr">
        <is>
          <t>Facebook + Instagram</t>
        </is>
      </c>
      <c r="F201" s="42" t="inlineStr">
        <is>
          <t>LEP_ZA_AUG26_META_TD_AMUR_CONV</t>
        </is>
      </c>
      <c r="G201" s="42" t="inlineStr">
        <is>
          <t>Leads - Website Conversions</t>
        </is>
      </c>
      <c r="H201" s="42" t="inlineStr">
        <is>
          <t>AMUR</t>
        </is>
      </c>
      <c r="I201" s="42" t="inlineStr">
        <is>
          <t>0% Deposit</t>
        </is>
      </c>
      <c r="J201" s="42" t="inlineStr">
        <is>
          <t>MET_AMUR_INMKT_HATCH_ZA</t>
        </is>
      </c>
      <c r="K201" s="42" t="inlineStr">
        <is>
          <t>In-Market</t>
        </is>
      </c>
      <c r="L201" s="42" t="inlineStr">
        <is>
          <t>AMUR_STA_Compare_Hatch_v1</t>
        </is>
      </c>
      <c r="M201" s="42" t="inlineStr">
        <is>
          <t>Static 4:5</t>
        </is>
      </c>
      <c r="N201" s="42" t="inlineStr">
        <is>
          <t>Compare before you commit</t>
        </is>
      </c>
      <c r="O201" s="42" t="inlineStr">
        <is>
          <t>Auction - Lowest Cost</t>
        </is>
      </c>
      <c r="P201" s="42" t="inlineStr">
        <is>
          <t>Offsite Conversions</t>
        </is>
      </c>
      <c r="Q201" s="42" t="inlineStr">
        <is>
          <t>https://www.lepas-sa.co.za/offers/amur</t>
        </is>
      </c>
      <c r="R201" s="115" t="n">
        <v>153.75</v>
      </c>
      <c r="S201" s="116" t="n">
        <v>1824</v>
      </c>
      <c r="T201" s="116" t="n">
        <v>1000</v>
      </c>
      <c r="U201" s="117">
        <f>IFERROR(S201/T201,"")</f>
        <v/>
      </c>
      <c r="V201" s="116" t="n">
        <v>23</v>
      </c>
      <c r="W201" s="116" t="n">
        <v>17</v>
      </c>
      <c r="X201" s="118">
        <f>IFERROR(W201/S201,"")</f>
        <v/>
      </c>
      <c r="Y201" s="115">
        <f>IFERROR(R201/W201,"")</f>
        <v/>
      </c>
      <c r="Z201" s="115">
        <f>IFERROR(R201/S201*1000,"")</f>
        <v/>
      </c>
      <c r="AA201" s="116" t="n">
        <v>14</v>
      </c>
      <c r="AB201" s="47">
        <f>IFERROR(AA201/W201,"")</f>
        <v/>
      </c>
      <c r="AC201" s="116" t="n">
        <v>0</v>
      </c>
      <c r="AD201" s="116" t="n">
        <v>0</v>
      </c>
      <c r="AE201" s="116" t="n">
        <v>0</v>
      </c>
      <c r="AF201" s="116" t="n">
        <v>0</v>
      </c>
      <c r="AG201" s="116" t="n">
        <v>0</v>
      </c>
      <c r="AH201" s="116" t="n">
        <v>0</v>
      </c>
      <c r="AI201" s="47">
        <f>IFERROR(AC201/S201,"")</f>
        <v/>
      </c>
      <c r="AJ201" s="47">
        <f>IFERROR(AH201/S201,"")</f>
        <v/>
      </c>
      <c r="AK201" s="116" t="n">
        <v>61</v>
      </c>
      <c r="AL201" s="116" t="n">
        <v>1</v>
      </c>
      <c r="AM201" s="118">
        <f>IFERROR(AL201/AA201,"")</f>
        <v/>
      </c>
      <c r="AN201" s="119">
        <f>IFERROR(R201/AL201,"")</f>
        <v/>
      </c>
      <c r="AO201" s="116" t="n">
        <v>1</v>
      </c>
      <c r="AP201" s="47">
        <f>IFERROR(AO201/AL201,"")</f>
        <v/>
      </c>
      <c r="AQ201" s="119">
        <f>IFERROR(R201/AO201,"")</f>
        <v/>
      </c>
      <c r="AR201" s="116" t="n">
        <v>0</v>
      </c>
      <c r="AS201" s="116" t="n">
        <v>0</v>
      </c>
      <c r="AT201" s="116">
        <f>AL201+AR201</f>
        <v/>
      </c>
      <c r="AU201" s="119">
        <f>IFERROR(AO201*Assumptions!$C$26*Assumptions!$C$27*INDEX(Assumptions!$C$18:$C$21,MATCH(H201,Assumptions!$B$18:$B$21,0)),0)</f>
        <v/>
      </c>
    </row>
    <row r="202">
      <c r="A202" s="114" t="n">
        <v>46265</v>
      </c>
      <c r="B202" s="42" t="inlineStr">
        <is>
          <t>Wk 36</t>
        </is>
      </c>
      <c r="C202" s="42" t="inlineStr">
        <is>
          <t>Mon</t>
        </is>
      </c>
      <c r="D202" s="42" t="inlineStr">
        <is>
          <t>Meta (FB/IG)</t>
        </is>
      </c>
      <c r="E202" s="42" t="inlineStr">
        <is>
          <t>Facebook + Instagram</t>
        </is>
      </c>
      <c r="F202" s="42" t="inlineStr">
        <is>
          <t>LEP_ZA_AUG26_META_TD_AMUR_CONV</t>
        </is>
      </c>
      <c r="G202" s="42" t="inlineStr">
        <is>
          <t>Leads - Website Conversions</t>
        </is>
      </c>
      <c r="H202" s="42" t="inlineStr">
        <is>
          <t>AMUR</t>
        </is>
      </c>
      <c r="I202" s="42" t="inlineStr">
        <is>
          <t>0% Deposit</t>
        </is>
      </c>
      <c r="J202" s="42" t="inlineStr">
        <is>
          <t>MET_AMUR_INMKT_HATCH_ZA</t>
        </is>
      </c>
      <c r="K202" s="42" t="inlineStr">
        <is>
          <t>In-Market</t>
        </is>
      </c>
      <c r="L202" s="42" t="inlineStr">
        <is>
          <t>AMUR_STA_Compare_Hatch_v1</t>
        </is>
      </c>
      <c r="M202" s="42" t="inlineStr">
        <is>
          <t>Static 4:5</t>
        </is>
      </c>
      <c r="N202" s="42" t="inlineStr">
        <is>
          <t>Compare before you commit</t>
        </is>
      </c>
      <c r="O202" s="42" t="inlineStr">
        <is>
          <t>Auction - Lowest Cost</t>
        </is>
      </c>
      <c r="P202" s="42" t="inlineStr">
        <is>
          <t>Offsite Conversions</t>
        </is>
      </c>
      <c r="Q202" s="42" t="inlineStr">
        <is>
          <t>https://www.lepas-sa.co.za/offers/amur</t>
        </is>
      </c>
      <c r="R202" s="115" t="n">
        <v>174.17</v>
      </c>
      <c r="S202" s="116" t="n">
        <v>2024</v>
      </c>
      <c r="T202" s="116" t="n">
        <v>922</v>
      </c>
      <c r="U202" s="117">
        <f>IFERROR(S202/T202,"")</f>
        <v/>
      </c>
      <c r="V202" s="116" t="n">
        <v>20</v>
      </c>
      <c r="W202" s="116" t="n">
        <v>16</v>
      </c>
      <c r="X202" s="118">
        <f>IFERROR(W202/S202,"")</f>
        <v/>
      </c>
      <c r="Y202" s="115">
        <f>IFERROR(R202/W202,"")</f>
        <v/>
      </c>
      <c r="Z202" s="115">
        <f>IFERROR(R202/S202*1000,"")</f>
        <v/>
      </c>
      <c r="AA202" s="116" t="n">
        <v>15</v>
      </c>
      <c r="AB202" s="47">
        <f>IFERROR(AA202/W202,"")</f>
        <v/>
      </c>
      <c r="AC202" s="116" t="n">
        <v>0</v>
      </c>
      <c r="AD202" s="116" t="n">
        <v>0</v>
      </c>
      <c r="AE202" s="116" t="n">
        <v>0</v>
      </c>
      <c r="AF202" s="116" t="n">
        <v>0</v>
      </c>
      <c r="AG202" s="116" t="n">
        <v>0</v>
      </c>
      <c r="AH202" s="116" t="n">
        <v>0</v>
      </c>
      <c r="AI202" s="47">
        <f>IFERROR(AC202/S202,"")</f>
        <v/>
      </c>
      <c r="AJ202" s="47">
        <f>IFERROR(AH202/S202,"")</f>
        <v/>
      </c>
      <c r="AK202" s="116" t="n">
        <v>39</v>
      </c>
      <c r="AL202" s="116" t="n">
        <v>1</v>
      </c>
      <c r="AM202" s="118">
        <f>IFERROR(AL202/AA202,"")</f>
        <v/>
      </c>
      <c r="AN202" s="119">
        <f>IFERROR(R202/AL202,"")</f>
        <v/>
      </c>
      <c r="AO202" s="116" t="n">
        <v>1</v>
      </c>
      <c r="AP202" s="47">
        <f>IFERROR(AO202/AL202,"")</f>
        <v/>
      </c>
      <c r="AQ202" s="119">
        <f>IFERROR(R202/AO202,"")</f>
        <v/>
      </c>
      <c r="AR202" s="116" t="n">
        <v>0</v>
      </c>
      <c r="AS202" s="116" t="n">
        <v>0</v>
      </c>
      <c r="AT202" s="116">
        <f>AL202+AR202</f>
        <v/>
      </c>
      <c r="AU202" s="119">
        <f>IFERROR(AO202*Assumptions!$C$26*Assumptions!$C$27*INDEX(Assumptions!$C$18:$C$21,MATCH(H202,Assumptions!$B$18:$B$21,0)),0)</f>
        <v/>
      </c>
    </row>
    <row r="203">
      <c r="A203" s="114" t="n">
        <v>46247</v>
      </c>
      <c r="B203" s="42" t="inlineStr">
        <is>
          <t>Wk 33</t>
        </is>
      </c>
      <c r="C203" s="42" t="inlineStr">
        <is>
          <t>Thu</t>
        </is>
      </c>
      <c r="D203" s="42" t="inlineStr">
        <is>
          <t>Meta (FB/IG)</t>
        </is>
      </c>
      <c r="E203" s="42" t="inlineStr">
        <is>
          <t>Facebook + Instagram</t>
        </is>
      </c>
      <c r="F203" s="42" t="inlineStr">
        <is>
          <t>LEP_ZA_AUG26_META_TD_AMUR_CONV</t>
        </is>
      </c>
      <c r="G203" s="42" t="inlineStr">
        <is>
          <t>Leads - Website Conversions</t>
        </is>
      </c>
      <c r="H203" s="42" t="inlineStr">
        <is>
          <t>AMUR</t>
        </is>
      </c>
      <c r="I203" s="42" t="inlineStr">
        <is>
          <t>0% Deposit</t>
        </is>
      </c>
      <c r="J203" s="42" t="inlineStr">
        <is>
          <t>MET_AMUR_INMKT_HATCH_ZA</t>
        </is>
      </c>
      <c r="K203" s="42" t="inlineStr">
        <is>
          <t>In-Market</t>
        </is>
      </c>
      <c r="L203" s="42" t="inlineStr">
        <is>
          <t>AMUR_VID_15s_CityDrive_v2</t>
        </is>
      </c>
      <c r="M203" s="42" t="inlineStr">
        <is>
          <t>Video 9:16</t>
        </is>
      </c>
      <c r="N203" s="42" t="inlineStr">
        <is>
          <t>Zero deposit. Real drive. Today.</t>
        </is>
      </c>
      <c r="O203" s="42" t="inlineStr">
        <is>
          <t>Auction - Lowest Cost</t>
        </is>
      </c>
      <c r="P203" s="42" t="inlineStr">
        <is>
          <t>Offsite Conversions</t>
        </is>
      </c>
      <c r="Q203" s="42" t="inlineStr">
        <is>
          <t>https://www.lepas-sa.co.za/offers/amur</t>
        </is>
      </c>
      <c r="R203" s="115" t="n">
        <v>155.58</v>
      </c>
      <c r="S203" s="116" t="n">
        <v>2339</v>
      </c>
      <c r="T203" s="116" t="n">
        <v>1708</v>
      </c>
      <c r="U203" s="117">
        <f>IFERROR(S203/T203,"")</f>
        <v/>
      </c>
      <c r="V203" s="116" t="n">
        <v>56</v>
      </c>
      <c r="W203" s="116" t="n">
        <v>45</v>
      </c>
      <c r="X203" s="118">
        <f>IFERROR(W203/S203,"")</f>
        <v/>
      </c>
      <c r="Y203" s="115">
        <f>IFERROR(R203/W203,"")</f>
        <v/>
      </c>
      <c r="Z203" s="115">
        <f>IFERROR(R203/S203*1000,"")</f>
        <v/>
      </c>
      <c r="AA203" s="116" t="n">
        <v>38</v>
      </c>
      <c r="AB203" s="47">
        <f>IFERROR(AA203/W203,"")</f>
        <v/>
      </c>
      <c r="AC203" s="116" t="n">
        <v>731</v>
      </c>
      <c r="AD203" s="116" t="n">
        <v>389</v>
      </c>
      <c r="AE203" s="116" t="n">
        <v>282</v>
      </c>
      <c r="AF203" s="116" t="n">
        <v>162</v>
      </c>
      <c r="AG203" s="116" t="n">
        <v>108</v>
      </c>
      <c r="AH203" s="116" t="n">
        <v>63</v>
      </c>
      <c r="AI203" s="47">
        <f>IFERROR(AC203/S203,"")</f>
        <v/>
      </c>
      <c r="AJ203" s="47">
        <f>IFERROR(AH203/S203,"")</f>
        <v/>
      </c>
      <c r="AK203" s="116" t="n">
        <v>53</v>
      </c>
      <c r="AL203" s="116" t="n">
        <v>0</v>
      </c>
      <c r="AM203" s="118">
        <f>IFERROR(AL203/AA203,"")</f>
        <v/>
      </c>
      <c r="AN203" s="119">
        <f>IFERROR(R203/AL203,"")</f>
        <v/>
      </c>
      <c r="AO203" s="116" t="n">
        <v>0</v>
      </c>
      <c r="AP203" s="47">
        <f>IFERROR(AO203/AL203,"")</f>
        <v/>
      </c>
      <c r="AQ203" s="119">
        <f>IFERROR(R203/AO203,"")</f>
        <v/>
      </c>
      <c r="AR203" s="116" t="n">
        <v>0</v>
      </c>
      <c r="AS203" s="116" t="n">
        <v>0</v>
      </c>
      <c r="AT203" s="116">
        <f>AL203+AR203</f>
        <v/>
      </c>
      <c r="AU203" s="119">
        <f>IFERROR(AO203*Assumptions!$C$26*Assumptions!$C$27*INDEX(Assumptions!$C$18:$C$21,MATCH(H203,Assumptions!$B$18:$B$21,0)),0)</f>
        <v/>
      </c>
    </row>
    <row r="204">
      <c r="A204" s="114" t="n">
        <v>46248</v>
      </c>
      <c r="B204" s="42" t="inlineStr">
        <is>
          <t>Wk 33</t>
        </is>
      </c>
      <c r="C204" s="42" t="inlineStr">
        <is>
          <t>Fri</t>
        </is>
      </c>
      <c r="D204" s="42" t="inlineStr">
        <is>
          <t>Meta (FB/IG)</t>
        </is>
      </c>
      <c r="E204" s="42" t="inlineStr">
        <is>
          <t>Facebook + Instagram</t>
        </is>
      </c>
      <c r="F204" s="42" t="inlineStr">
        <is>
          <t>LEP_ZA_AUG26_META_TD_AMUR_CONV</t>
        </is>
      </c>
      <c r="G204" s="42" t="inlineStr">
        <is>
          <t>Leads - Website Conversions</t>
        </is>
      </c>
      <c r="H204" s="42" t="inlineStr">
        <is>
          <t>AMUR</t>
        </is>
      </c>
      <c r="I204" s="42" t="inlineStr">
        <is>
          <t>0% Deposit</t>
        </is>
      </c>
      <c r="J204" s="42" t="inlineStr">
        <is>
          <t>MET_AMUR_INMKT_HATCH_ZA</t>
        </is>
      </c>
      <c r="K204" s="42" t="inlineStr">
        <is>
          <t>In-Market</t>
        </is>
      </c>
      <c r="L204" s="42" t="inlineStr">
        <is>
          <t>AMUR_VID_15s_CityDrive_v2</t>
        </is>
      </c>
      <c r="M204" s="42" t="inlineStr">
        <is>
          <t>Video 9:16</t>
        </is>
      </c>
      <c r="N204" s="42" t="inlineStr">
        <is>
          <t>Zero deposit. Real drive. Today.</t>
        </is>
      </c>
      <c r="O204" s="42" t="inlineStr">
        <is>
          <t>Auction - Lowest Cost</t>
        </is>
      </c>
      <c r="P204" s="42" t="inlineStr">
        <is>
          <t>Offsite Conversions</t>
        </is>
      </c>
      <c r="Q204" s="42" t="inlineStr">
        <is>
          <t>https://www.lepas-sa.co.za/offers/amur</t>
        </is>
      </c>
      <c r="R204" s="115" t="n">
        <v>173.99</v>
      </c>
      <c r="S204" s="116" t="n">
        <v>2033</v>
      </c>
      <c r="T204" s="116" t="n">
        <v>1260</v>
      </c>
      <c r="U204" s="117">
        <f>IFERROR(S204/T204,"")</f>
        <v/>
      </c>
      <c r="V204" s="116" t="n">
        <v>51</v>
      </c>
      <c r="W204" s="116" t="n">
        <v>37</v>
      </c>
      <c r="X204" s="118">
        <f>IFERROR(W204/S204,"")</f>
        <v/>
      </c>
      <c r="Y204" s="115">
        <f>IFERROR(R204/W204,"")</f>
        <v/>
      </c>
      <c r="Z204" s="115">
        <f>IFERROR(R204/S204*1000,"")</f>
        <v/>
      </c>
      <c r="AA204" s="116" t="n">
        <v>32</v>
      </c>
      <c r="AB204" s="47">
        <f>IFERROR(AA204/W204,"")</f>
        <v/>
      </c>
      <c r="AC204" s="116" t="n">
        <v>670</v>
      </c>
      <c r="AD204" s="116" t="n">
        <v>341</v>
      </c>
      <c r="AE204" s="116" t="n">
        <v>251</v>
      </c>
      <c r="AF204" s="116" t="n">
        <v>143</v>
      </c>
      <c r="AG204" s="116" t="n">
        <v>113</v>
      </c>
      <c r="AH204" s="116" t="n">
        <v>79</v>
      </c>
      <c r="AI204" s="47">
        <f>IFERROR(AC204/S204,"")</f>
        <v/>
      </c>
      <c r="AJ204" s="47">
        <f>IFERROR(AH204/S204,"")</f>
        <v/>
      </c>
      <c r="AK204" s="116" t="n">
        <v>26</v>
      </c>
      <c r="AL204" s="116" t="n">
        <v>1</v>
      </c>
      <c r="AM204" s="118">
        <f>IFERROR(AL204/AA204,"")</f>
        <v/>
      </c>
      <c r="AN204" s="119">
        <f>IFERROR(R204/AL204,"")</f>
        <v/>
      </c>
      <c r="AO204" s="116" t="n">
        <v>1</v>
      </c>
      <c r="AP204" s="47">
        <f>IFERROR(AO204/AL204,"")</f>
        <v/>
      </c>
      <c r="AQ204" s="119">
        <f>IFERROR(R204/AO204,"")</f>
        <v/>
      </c>
      <c r="AR204" s="116" t="n">
        <v>0</v>
      </c>
      <c r="AS204" s="116" t="n">
        <v>0</v>
      </c>
      <c r="AT204" s="116">
        <f>AL204+AR204</f>
        <v/>
      </c>
      <c r="AU204" s="119">
        <f>IFERROR(AO204*Assumptions!$C$26*Assumptions!$C$27*INDEX(Assumptions!$C$18:$C$21,MATCH(H204,Assumptions!$B$18:$B$21,0)),0)</f>
        <v/>
      </c>
    </row>
    <row r="205">
      <c r="A205" s="114" t="n">
        <v>46249</v>
      </c>
      <c r="B205" s="42" t="inlineStr">
        <is>
          <t>Wk 33</t>
        </is>
      </c>
      <c r="C205" s="42" t="inlineStr">
        <is>
          <t>Sat</t>
        </is>
      </c>
      <c r="D205" s="42" t="inlineStr">
        <is>
          <t>Meta (FB/IG)</t>
        </is>
      </c>
      <c r="E205" s="42" t="inlineStr">
        <is>
          <t>Facebook + Instagram</t>
        </is>
      </c>
      <c r="F205" s="42" t="inlineStr">
        <is>
          <t>LEP_ZA_AUG26_META_TD_AMUR_CONV</t>
        </is>
      </c>
      <c r="G205" s="42" t="inlineStr">
        <is>
          <t>Leads - Website Conversions</t>
        </is>
      </c>
      <c r="H205" s="42" t="inlineStr">
        <is>
          <t>AMUR</t>
        </is>
      </c>
      <c r="I205" s="42" t="inlineStr">
        <is>
          <t>0% Deposit</t>
        </is>
      </c>
      <c r="J205" s="42" t="inlineStr">
        <is>
          <t>MET_AMUR_INMKT_HATCH_ZA</t>
        </is>
      </c>
      <c r="K205" s="42" t="inlineStr">
        <is>
          <t>In-Market</t>
        </is>
      </c>
      <c r="L205" s="42" t="inlineStr">
        <is>
          <t>AMUR_VID_15s_CityDrive_v2</t>
        </is>
      </c>
      <c r="M205" s="42" t="inlineStr">
        <is>
          <t>Video 9:16</t>
        </is>
      </c>
      <c r="N205" s="42" t="inlineStr">
        <is>
          <t>Zero deposit. Real drive. Today.</t>
        </is>
      </c>
      <c r="O205" s="42" t="inlineStr">
        <is>
          <t>Auction - Lowest Cost</t>
        </is>
      </c>
      <c r="P205" s="42" t="inlineStr">
        <is>
          <t>Offsite Conversions</t>
        </is>
      </c>
      <c r="Q205" s="42" t="inlineStr">
        <is>
          <t>https://www.lepas-sa.co.za/offers/amur</t>
        </is>
      </c>
      <c r="R205" s="115" t="n">
        <v>176.48</v>
      </c>
      <c r="S205" s="116" t="n">
        <v>2776</v>
      </c>
      <c r="T205" s="116" t="n">
        <v>1800</v>
      </c>
      <c r="U205" s="117">
        <f>IFERROR(S205/T205,"")</f>
        <v/>
      </c>
      <c r="V205" s="116" t="n">
        <v>75</v>
      </c>
      <c r="W205" s="116" t="n">
        <v>54</v>
      </c>
      <c r="X205" s="118">
        <f>IFERROR(W205/S205,"")</f>
        <v/>
      </c>
      <c r="Y205" s="115">
        <f>IFERROR(R205/W205,"")</f>
        <v/>
      </c>
      <c r="Z205" s="115">
        <f>IFERROR(R205/S205*1000,"")</f>
        <v/>
      </c>
      <c r="AA205" s="116" t="n">
        <v>45</v>
      </c>
      <c r="AB205" s="47">
        <f>IFERROR(AA205/W205,"")</f>
        <v/>
      </c>
      <c r="AC205" s="116" t="n">
        <v>1111</v>
      </c>
      <c r="AD205" s="116" t="n">
        <v>679</v>
      </c>
      <c r="AE205" s="116" t="n">
        <v>514</v>
      </c>
      <c r="AF205" s="116" t="n">
        <v>288</v>
      </c>
      <c r="AG205" s="116" t="n">
        <v>199</v>
      </c>
      <c r="AH205" s="116" t="n">
        <v>145</v>
      </c>
      <c r="AI205" s="47">
        <f>IFERROR(AC205/S205,"")</f>
        <v/>
      </c>
      <c r="AJ205" s="47">
        <f>IFERROR(AH205/S205,"")</f>
        <v/>
      </c>
      <c r="AK205" s="116" t="n">
        <v>40</v>
      </c>
      <c r="AL205" s="116" t="n">
        <v>1</v>
      </c>
      <c r="AM205" s="118">
        <f>IFERROR(AL205/AA205,"")</f>
        <v/>
      </c>
      <c r="AN205" s="119">
        <f>IFERROR(R205/AL205,"")</f>
        <v/>
      </c>
      <c r="AO205" s="116" t="n">
        <v>1</v>
      </c>
      <c r="AP205" s="47">
        <f>IFERROR(AO205/AL205,"")</f>
        <v/>
      </c>
      <c r="AQ205" s="119">
        <f>IFERROR(R205/AO205,"")</f>
        <v/>
      </c>
      <c r="AR205" s="116" t="n">
        <v>1</v>
      </c>
      <c r="AS205" s="116" t="n">
        <v>0</v>
      </c>
      <c r="AT205" s="116">
        <f>AL205+AR205</f>
        <v/>
      </c>
      <c r="AU205" s="119">
        <f>IFERROR(AO205*Assumptions!$C$26*Assumptions!$C$27*INDEX(Assumptions!$C$18:$C$21,MATCH(H205,Assumptions!$B$18:$B$21,0)),0)</f>
        <v/>
      </c>
    </row>
    <row r="206">
      <c r="A206" s="114" t="n">
        <v>46250</v>
      </c>
      <c r="B206" s="42" t="inlineStr">
        <is>
          <t>Wk 33</t>
        </is>
      </c>
      <c r="C206" s="42" t="inlineStr">
        <is>
          <t>Sun</t>
        </is>
      </c>
      <c r="D206" s="42" t="inlineStr">
        <is>
          <t>Meta (FB/IG)</t>
        </is>
      </c>
      <c r="E206" s="42" t="inlineStr">
        <is>
          <t>Facebook + Instagram</t>
        </is>
      </c>
      <c r="F206" s="42" t="inlineStr">
        <is>
          <t>LEP_ZA_AUG26_META_TD_AMUR_CONV</t>
        </is>
      </c>
      <c r="G206" s="42" t="inlineStr">
        <is>
          <t>Leads - Website Conversions</t>
        </is>
      </c>
      <c r="H206" s="42" t="inlineStr">
        <is>
          <t>AMUR</t>
        </is>
      </c>
      <c r="I206" s="42" t="inlineStr">
        <is>
          <t>0% Deposit</t>
        </is>
      </c>
      <c r="J206" s="42" t="inlineStr">
        <is>
          <t>MET_AMUR_INMKT_HATCH_ZA</t>
        </is>
      </c>
      <c r="K206" s="42" t="inlineStr">
        <is>
          <t>In-Market</t>
        </is>
      </c>
      <c r="L206" s="42" t="inlineStr">
        <is>
          <t>AMUR_VID_15s_CityDrive_v2</t>
        </is>
      </c>
      <c r="M206" s="42" t="inlineStr">
        <is>
          <t>Video 9:16</t>
        </is>
      </c>
      <c r="N206" s="42" t="inlineStr">
        <is>
          <t>Zero deposit. Real drive. Today.</t>
        </is>
      </c>
      <c r="O206" s="42" t="inlineStr">
        <is>
          <t>Auction - Lowest Cost</t>
        </is>
      </c>
      <c r="P206" s="42" t="inlineStr">
        <is>
          <t>Offsite Conversions</t>
        </is>
      </c>
      <c r="Q206" s="42" t="inlineStr">
        <is>
          <t>https://www.lepas-sa.co.za/offers/amur</t>
        </is>
      </c>
      <c r="R206" s="115" t="n">
        <v>106.42</v>
      </c>
      <c r="S206" s="116" t="n">
        <v>1203</v>
      </c>
      <c r="T206" s="116" t="n">
        <v>839</v>
      </c>
      <c r="U206" s="117">
        <f>IFERROR(S206/T206,"")</f>
        <v/>
      </c>
      <c r="V206" s="116" t="n">
        <v>43</v>
      </c>
      <c r="W206" s="116" t="n">
        <v>32</v>
      </c>
      <c r="X206" s="118">
        <f>IFERROR(W206/S206,"")</f>
        <v/>
      </c>
      <c r="Y206" s="115">
        <f>IFERROR(R206/W206,"")</f>
        <v/>
      </c>
      <c r="Z206" s="115">
        <f>IFERROR(R206/S206*1000,"")</f>
        <v/>
      </c>
      <c r="AA206" s="116" t="n">
        <v>26</v>
      </c>
      <c r="AB206" s="47">
        <f>IFERROR(AA206/W206,"")</f>
        <v/>
      </c>
      <c r="AC206" s="116" t="n">
        <v>356</v>
      </c>
      <c r="AD206" s="116" t="n">
        <v>184</v>
      </c>
      <c r="AE206" s="116" t="n">
        <v>173</v>
      </c>
      <c r="AF206" s="116" t="n">
        <v>102</v>
      </c>
      <c r="AG206" s="116" t="n">
        <v>68</v>
      </c>
      <c r="AH206" s="116" t="n">
        <v>45</v>
      </c>
      <c r="AI206" s="47">
        <f>IFERROR(AC206/S206,"")</f>
        <v/>
      </c>
      <c r="AJ206" s="47">
        <f>IFERROR(AH206/S206,"")</f>
        <v/>
      </c>
      <c r="AK206" s="116" t="n">
        <v>41</v>
      </c>
      <c r="AL206" s="116" t="n">
        <v>1</v>
      </c>
      <c r="AM206" s="118">
        <f>IFERROR(AL206/AA206,"")</f>
        <v/>
      </c>
      <c r="AN206" s="119">
        <f>IFERROR(R206/AL206,"")</f>
        <v/>
      </c>
      <c r="AO206" s="116" t="n">
        <v>1</v>
      </c>
      <c r="AP206" s="47">
        <f>IFERROR(AO206/AL206,"")</f>
        <v/>
      </c>
      <c r="AQ206" s="119">
        <f>IFERROR(R206/AO206,"")</f>
        <v/>
      </c>
      <c r="AR206" s="116" t="n">
        <v>1</v>
      </c>
      <c r="AS206" s="116" t="n">
        <v>0</v>
      </c>
      <c r="AT206" s="116">
        <f>AL206+AR206</f>
        <v/>
      </c>
      <c r="AU206" s="119">
        <f>IFERROR(AO206*Assumptions!$C$26*Assumptions!$C$27*INDEX(Assumptions!$C$18:$C$21,MATCH(H206,Assumptions!$B$18:$B$21,0)),0)</f>
        <v/>
      </c>
    </row>
    <row r="207">
      <c r="A207" s="114" t="n">
        <v>46251</v>
      </c>
      <c r="B207" s="42" t="inlineStr">
        <is>
          <t>Wk 34</t>
        </is>
      </c>
      <c r="C207" s="42" t="inlineStr">
        <is>
          <t>Mon</t>
        </is>
      </c>
      <c r="D207" s="42" t="inlineStr">
        <is>
          <t>Meta (FB/IG)</t>
        </is>
      </c>
      <c r="E207" s="42" t="inlineStr">
        <is>
          <t>Facebook + Instagram</t>
        </is>
      </c>
      <c r="F207" s="42" t="inlineStr">
        <is>
          <t>LEP_ZA_AUG26_META_TD_AMUR_CONV</t>
        </is>
      </c>
      <c r="G207" s="42" t="inlineStr">
        <is>
          <t>Leads - Website Conversions</t>
        </is>
      </c>
      <c r="H207" s="42" t="inlineStr">
        <is>
          <t>AMUR</t>
        </is>
      </c>
      <c r="I207" s="42" t="inlineStr">
        <is>
          <t>0% Deposit</t>
        </is>
      </c>
      <c r="J207" s="42" t="inlineStr">
        <is>
          <t>MET_AMUR_INMKT_HATCH_ZA</t>
        </is>
      </c>
      <c r="K207" s="42" t="inlineStr">
        <is>
          <t>In-Market</t>
        </is>
      </c>
      <c r="L207" s="42" t="inlineStr">
        <is>
          <t>AMUR_VID_15s_CityDrive_v2</t>
        </is>
      </c>
      <c r="M207" s="42" t="inlineStr">
        <is>
          <t>Video 9:16</t>
        </is>
      </c>
      <c r="N207" s="42" t="inlineStr">
        <is>
          <t>Zero deposit. Real drive. Today.</t>
        </is>
      </c>
      <c r="O207" s="42" t="inlineStr">
        <is>
          <t>Auction - Lowest Cost</t>
        </is>
      </c>
      <c r="P207" s="42" t="inlineStr">
        <is>
          <t>Offsite Conversions</t>
        </is>
      </c>
      <c r="Q207" s="42" t="inlineStr">
        <is>
          <t>https://www.lepas-sa.co.za/offers/amur</t>
        </is>
      </c>
      <c r="R207" s="115" t="n">
        <v>137.56</v>
      </c>
      <c r="S207" s="116" t="n">
        <v>1877</v>
      </c>
      <c r="T207" s="116" t="n">
        <v>1259</v>
      </c>
      <c r="U207" s="117">
        <f>IFERROR(S207/T207,"")</f>
        <v/>
      </c>
      <c r="V207" s="116" t="n">
        <v>39</v>
      </c>
      <c r="W207" s="116" t="n">
        <v>33</v>
      </c>
      <c r="X207" s="118">
        <f>IFERROR(W207/S207,"")</f>
        <v/>
      </c>
      <c r="Y207" s="115">
        <f>IFERROR(R207/W207,"")</f>
        <v/>
      </c>
      <c r="Z207" s="115">
        <f>IFERROR(R207/S207*1000,"")</f>
        <v/>
      </c>
      <c r="AA207" s="116" t="n">
        <v>26</v>
      </c>
      <c r="AB207" s="47">
        <f>IFERROR(AA207/W207,"")</f>
        <v/>
      </c>
      <c r="AC207" s="116" t="n">
        <v>568</v>
      </c>
      <c r="AD207" s="116" t="n">
        <v>331</v>
      </c>
      <c r="AE207" s="116" t="n">
        <v>205</v>
      </c>
      <c r="AF207" s="116" t="n">
        <v>131</v>
      </c>
      <c r="AG207" s="116" t="n">
        <v>94</v>
      </c>
      <c r="AH207" s="116" t="n">
        <v>67</v>
      </c>
      <c r="AI207" s="47">
        <f>IFERROR(AC207/S207,"")</f>
        <v/>
      </c>
      <c r="AJ207" s="47">
        <f>IFERROR(AH207/S207,"")</f>
        <v/>
      </c>
      <c r="AK207" s="116" t="n">
        <v>29</v>
      </c>
      <c r="AL207" s="116" t="n">
        <v>1</v>
      </c>
      <c r="AM207" s="118">
        <f>IFERROR(AL207/AA207,"")</f>
        <v/>
      </c>
      <c r="AN207" s="119">
        <f>IFERROR(R207/AL207,"")</f>
        <v/>
      </c>
      <c r="AO207" s="116" t="n">
        <v>1</v>
      </c>
      <c r="AP207" s="47">
        <f>IFERROR(AO207/AL207,"")</f>
        <v/>
      </c>
      <c r="AQ207" s="119">
        <f>IFERROR(R207/AO207,"")</f>
        <v/>
      </c>
      <c r="AR207" s="116" t="n">
        <v>0</v>
      </c>
      <c r="AS207" s="116" t="n">
        <v>0</v>
      </c>
      <c r="AT207" s="116">
        <f>AL207+AR207</f>
        <v/>
      </c>
      <c r="AU207" s="119">
        <f>IFERROR(AO207*Assumptions!$C$26*Assumptions!$C$27*INDEX(Assumptions!$C$18:$C$21,MATCH(H207,Assumptions!$B$18:$B$21,0)),0)</f>
        <v/>
      </c>
    </row>
    <row r="208">
      <c r="A208" s="114" t="n">
        <v>46252</v>
      </c>
      <c r="B208" s="42" t="inlineStr">
        <is>
          <t>Wk 34</t>
        </is>
      </c>
      <c r="C208" s="42" t="inlineStr">
        <is>
          <t>Tue</t>
        </is>
      </c>
      <c r="D208" s="42" t="inlineStr">
        <is>
          <t>Meta (FB/IG)</t>
        </is>
      </c>
      <c r="E208" s="42" t="inlineStr">
        <is>
          <t>Facebook + Instagram</t>
        </is>
      </c>
      <c r="F208" s="42" t="inlineStr">
        <is>
          <t>LEP_ZA_AUG26_META_TD_AMUR_CONV</t>
        </is>
      </c>
      <c r="G208" s="42" t="inlineStr">
        <is>
          <t>Leads - Website Conversions</t>
        </is>
      </c>
      <c r="H208" s="42" t="inlineStr">
        <is>
          <t>AMUR</t>
        </is>
      </c>
      <c r="I208" s="42" t="inlineStr">
        <is>
          <t>0% Deposit</t>
        </is>
      </c>
      <c r="J208" s="42" t="inlineStr">
        <is>
          <t>MET_AMUR_INMKT_HATCH_ZA</t>
        </is>
      </c>
      <c r="K208" s="42" t="inlineStr">
        <is>
          <t>In-Market</t>
        </is>
      </c>
      <c r="L208" s="42" t="inlineStr">
        <is>
          <t>AMUR_VID_15s_CityDrive_v2</t>
        </is>
      </c>
      <c r="M208" s="42" t="inlineStr">
        <is>
          <t>Video 9:16</t>
        </is>
      </c>
      <c r="N208" s="42" t="inlineStr">
        <is>
          <t>Zero deposit. Real drive. Today.</t>
        </is>
      </c>
      <c r="O208" s="42" t="inlineStr">
        <is>
          <t>Auction - Lowest Cost</t>
        </is>
      </c>
      <c r="P208" s="42" t="inlineStr">
        <is>
          <t>Offsite Conversions</t>
        </is>
      </c>
      <c r="Q208" s="42" t="inlineStr">
        <is>
          <t>https://www.lepas-sa.co.za/offers/amur</t>
        </is>
      </c>
      <c r="R208" s="115" t="n">
        <v>127.67</v>
      </c>
      <c r="S208" s="116" t="n">
        <v>1339</v>
      </c>
      <c r="T208" s="116" t="n">
        <v>888</v>
      </c>
      <c r="U208" s="117">
        <f>IFERROR(S208/T208,"")</f>
        <v/>
      </c>
      <c r="V208" s="116" t="n">
        <v>19</v>
      </c>
      <c r="W208" s="116" t="n">
        <v>14</v>
      </c>
      <c r="X208" s="118">
        <f>IFERROR(W208/S208,"")</f>
        <v/>
      </c>
      <c r="Y208" s="115">
        <f>IFERROR(R208/W208,"")</f>
        <v/>
      </c>
      <c r="Z208" s="115">
        <f>IFERROR(R208/S208*1000,"")</f>
        <v/>
      </c>
      <c r="AA208" s="116" t="n">
        <v>12</v>
      </c>
      <c r="AB208" s="47">
        <f>IFERROR(AA208/W208,"")</f>
        <v/>
      </c>
      <c r="AC208" s="116" t="n">
        <v>295</v>
      </c>
      <c r="AD208" s="116" t="n">
        <v>152</v>
      </c>
      <c r="AE208" s="116" t="n">
        <v>138</v>
      </c>
      <c r="AF208" s="116" t="n">
        <v>85</v>
      </c>
      <c r="AG208" s="116" t="n">
        <v>63</v>
      </c>
      <c r="AH208" s="116" t="n">
        <v>39</v>
      </c>
      <c r="AI208" s="47">
        <f>IFERROR(AC208/S208,"")</f>
        <v/>
      </c>
      <c r="AJ208" s="47">
        <f>IFERROR(AH208/S208,"")</f>
        <v/>
      </c>
      <c r="AK208" s="116" t="n">
        <v>43</v>
      </c>
      <c r="AL208" s="116" t="n">
        <v>0</v>
      </c>
      <c r="AM208" s="118">
        <f>IFERROR(AL208/AA208,"")</f>
        <v/>
      </c>
      <c r="AN208" s="119">
        <f>IFERROR(R208/AL208,"")</f>
        <v/>
      </c>
      <c r="AO208" s="116" t="n">
        <v>0</v>
      </c>
      <c r="AP208" s="47">
        <f>IFERROR(AO208/AL208,"")</f>
        <v/>
      </c>
      <c r="AQ208" s="119">
        <f>IFERROR(R208/AO208,"")</f>
        <v/>
      </c>
      <c r="AR208" s="116" t="n">
        <v>0</v>
      </c>
      <c r="AS208" s="116" t="n">
        <v>0</v>
      </c>
      <c r="AT208" s="116">
        <f>AL208+AR208</f>
        <v/>
      </c>
      <c r="AU208" s="119">
        <f>IFERROR(AO208*Assumptions!$C$26*Assumptions!$C$27*INDEX(Assumptions!$C$18:$C$21,MATCH(H208,Assumptions!$B$18:$B$21,0)),0)</f>
        <v/>
      </c>
    </row>
    <row r="209">
      <c r="A209" s="114" t="n">
        <v>46253</v>
      </c>
      <c r="B209" s="42" t="inlineStr">
        <is>
          <t>Wk 34</t>
        </is>
      </c>
      <c r="C209" s="42" t="inlineStr">
        <is>
          <t>Wed</t>
        </is>
      </c>
      <c r="D209" s="42" t="inlineStr">
        <is>
          <t>Meta (FB/IG)</t>
        </is>
      </c>
      <c r="E209" s="42" t="inlineStr">
        <is>
          <t>Facebook + Instagram</t>
        </is>
      </c>
      <c r="F209" s="42" t="inlineStr">
        <is>
          <t>LEP_ZA_AUG26_META_TD_AMUR_CONV</t>
        </is>
      </c>
      <c r="G209" s="42" t="inlineStr">
        <is>
          <t>Leads - Website Conversions</t>
        </is>
      </c>
      <c r="H209" s="42" t="inlineStr">
        <is>
          <t>AMUR</t>
        </is>
      </c>
      <c r="I209" s="42" t="inlineStr">
        <is>
          <t>0% Deposit</t>
        </is>
      </c>
      <c r="J209" s="42" t="inlineStr">
        <is>
          <t>MET_AMUR_INMKT_HATCH_ZA</t>
        </is>
      </c>
      <c r="K209" s="42" t="inlineStr">
        <is>
          <t>In-Market</t>
        </is>
      </c>
      <c r="L209" s="42" t="inlineStr">
        <is>
          <t>AMUR_VID_15s_CityDrive_v2</t>
        </is>
      </c>
      <c r="M209" s="42" t="inlineStr">
        <is>
          <t>Video 9:16</t>
        </is>
      </c>
      <c r="N209" s="42" t="inlineStr">
        <is>
          <t>Zero deposit. Real drive. Today.</t>
        </is>
      </c>
      <c r="O209" s="42" t="inlineStr">
        <is>
          <t>Auction - Lowest Cost</t>
        </is>
      </c>
      <c r="P209" s="42" t="inlineStr">
        <is>
          <t>Offsite Conversions</t>
        </is>
      </c>
      <c r="Q209" s="42" t="inlineStr">
        <is>
          <t>https://www.lepas-sa.co.za/offers/amur</t>
        </is>
      </c>
      <c r="R209" s="115" t="n">
        <v>139.24</v>
      </c>
      <c r="S209" s="116" t="n">
        <v>1372</v>
      </c>
      <c r="T209" s="116" t="n">
        <v>880</v>
      </c>
      <c r="U209" s="117">
        <f>IFERROR(S209/T209,"")</f>
        <v/>
      </c>
      <c r="V209" s="116" t="n">
        <v>23</v>
      </c>
      <c r="W209" s="116" t="n">
        <v>18</v>
      </c>
      <c r="X209" s="118">
        <f>IFERROR(W209/S209,"")</f>
        <v/>
      </c>
      <c r="Y209" s="115">
        <f>IFERROR(R209/W209,"")</f>
        <v/>
      </c>
      <c r="Z209" s="115">
        <f>IFERROR(R209/S209*1000,"")</f>
        <v/>
      </c>
      <c r="AA209" s="116" t="n">
        <v>16</v>
      </c>
      <c r="AB209" s="47">
        <f>IFERROR(AA209/W209,"")</f>
        <v/>
      </c>
      <c r="AC209" s="116" t="n">
        <v>542</v>
      </c>
      <c r="AD209" s="116" t="n">
        <v>258</v>
      </c>
      <c r="AE209" s="116" t="n">
        <v>240</v>
      </c>
      <c r="AF209" s="116" t="n">
        <v>166</v>
      </c>
      <c r="AG209" s="116" t="n">
        <v>133</v>
      </c>
      <c r="AH209" s="116" t="n">
        <v>94</v>
      </c>
      <c r="AI209" s="47">
        <f>IFERROR(AC209/S209,"")</f>
        <v/>
      </c>
      <c r="AJ209" s="47">
        <f>IFERROR(AH209/S209,"")</f>
        <v/>
      </c>
      <c r="AK209" s="116" t="n">
        <v>22</v>
      </c>
      <c r="AL209" s="116" t="n">
        <v>1</v>
      </c>
      <c r="AM209" s="118">
        <f>IFERROR(AL209/AA209,"")</f>
        <v/>
      </c>
      <c r="AN209" s="119">
        <f>IFERROR(R209/AL209,"")</f>
        <v/>
      </c>
      <c r="AO209" s="116" t="n">
        <v>1</v>
      </c>
      <c r="AP209" s="47">
        <f>IFERROR(AO209/AL209,"")</f>
        <v/>
      </c>
      <c r="AQ209" s="119">
        <f>IFERROR(R209/AO209,"")</f>
        <v/>
      </c>
      <c r="AR209" s="116" t="n">
        <v>0</v>
      </c>
      <c r="AS209" s="116" t="n">
        <v>0</v>
      </c>
      <c r="AT209" s="116">
        <f>AL209+AR209</f>
        <v/>
      </c>
      <c r="AU209" s="119">
        <f>IFERROR(AO209*Assumptions!$C$26*Assumptions!$C$27*INDEX(Assumptions!$C$18:$C$21,MATCH(H209,Assumptions!$B$18:$B$21,0)),0)</f>
        <v/>
      </c>
    </row>
    <row r="210">
      <c r="A210" s="114" t="n">
        <v>46254</v>
      </c>
      <c r="B210" s="42" t="inlineStr">
        <is>
          <t>Wk 34</t>
        </is>
      </c>
      <c r="C210" s="42" t="inlineStr">
        <is>
          <t>Thu</t>
        </is>
      </c>
      <c r="D210" s="42" t="inlineStr">
        <is>
          <t>Meta (FB/IG)</t>
        </is>
      </c>
      <c r="E210" s="42" t="inlineStr">
        <is>
          <t>Facebook + Instagram</t>
        </is>
      </c>
      <c r="F210" s="42" t="inlineStr">
        <is>
          <t>LEP_ZA_AUG26_META_TD_AMUR_CONV</t>
        </is>
      </c>
      <c r="G210" s="42" t="inlineStr">
        <is>
          <t>Leads - Website Conversions</t>
        </is>
      </c>
      <c r="H210" s="42" t="inlineStr">
        <is>
          <t>AMUR</t>
        </is>
      </c>
      <c r="I210" s="42" t="inlineStr">
        <is>
          <t>0% Deposit</t>
        </is>
      </c>
      <c r="J210" s="42" t="inlineStr">
        <is>
          <t>MET_AMUR_INMKT_HATCH_ZA</t>
        </is>
      </c>
      <c r="K210" s="42" t="inlineStr">
        <is>
          <t>In-Market</t>
        </is>
      </c>
      <c r="L210" s="42" t="inlineStr">
        <is>
          <t>AMUR_VID_15s_CityDrive_v2</t>
        </is>
      </c>
      <c r="M210" s="42" t="inlineStr">
        <is>
          <t>Video 9:16</t>
        </is>
      </c>
      <c r="N210" s="42" t="inlineStr">
        <is>
          <t>Zero deposit. Real drive. Today.</t>
        </is>
      </c>
      <c r="O210" s="42" t="inlineStr">
        <is>
          <t>Auction - Lowest Cost</t>
        </is>
      </c>
      <c r="P210" s="42" t="inlineStr">
        <is>
          <t>Offsite Conversions</t>
        </is>
      </c>
      <c r="Q210" s="42" t="inlineStr">
        <is>
          <t>https://www.lepas-sa.co.za/offers/amur</t>
        </is>
      </c>
      <c r="R210" s="115" t="n">
        <v>140.97</v>
      </c>
      <c r="S210" s="116" t="n">
        <v>2103</v>
      </c>
      <c r="T210" s="116" t="n">
        <v>1422</v>
      </c>
      <c r="U210" s="117">
        <f>IFERROR(S210/T210,"")</f>
        <v/>
      </c>
      <c r="V210" s="116" t="n">
        <v>53</v>
      </c>
      <c r="W210" s="116" t="n">
        <v>40</v>
      </c>
      <c r="X210" s="118">
        <f>IFERROR(W210/S210,"")</f>
        <v/>
      </c>
      <c r="Y210" s="115">
        <f>IFERROR(R210/W210,"")</f>
        <v/>
      </c>
      <c r="Z210" s="115">
        <f>IFERROR(R210/S210*1000,"")</f>
        <v/>
      </c>
      <c r="AA210" s="116" t="n">
        <v>34</v>
      </c>
      <c r="AB210" s="47">
        <f>IFERROR(AA210/W210,"")</f>
        <v/>
      </c>
      <c r="AC210" s="116" t="n">
        <v>643</v>
      </c>
      <c r="AD210" s="116" t="n">
        <v>351</v>
      </c>
      <c r="AE210" s="116" t="n">
        <v>302</v>
      </c>
      <c r="AF210" s="116" t="n">
        <v>208</v>
      </c>
      <c r="AG210" s="116" t="n">
        <v>143</v>
      </c>
      <c r="AH210" s="116" t="n">
        <v>102</v>
      </c>
      <c r="AI210" s="47">
        <f>IFERROR(AC210/S210,"")</f>
        <v/>
      </c>
      <c r="AJ210" s="47">
        <f>IFERROR(AH210/S210,"")</f>
        <v/>
      </c>
      <c r="AK210" s="116" t="n">
        <v>26</v>
      </c>
      <c r="AL210" s="116" t="n">
        <v>0</v>
      </c>
      <c r="AM210" s="118">
        <f>IFERROR(AL210/AA210,"")</f>
        <v/>
      </c>
      <c r="AN210" s="119">
        <f>IFERROR(R210/AL210,"")</f>
        <v/>
      </c>
      <c r="AO210" s="116" t="n">
        <v>0</v>
      </c>
      <c r="AP210" s="47">
        <f>IFERROR(AO210/AL210,"")</f>
        <v/>
      </c>
      <c r="AQ210" s="119">
        <f>IFERROR(R210/AO210,"")</f>
        <v/>
      </c>
      <c r="AR210" s="116" t="n">
        <v>0</v>
      </c>
      <c r="AS210" s="116" t="n">
        <v>0</v>
      </c>
      <c r="AT210" s="116">
        <f>AL210+AR210</f>
        <v/>
      </c>
      <c r="AU210" s="119">
        <f>IFERROR(AO210*Assumptions!$C$26*Assumptions!$C$27*INDEX(Assumptions!$C$18:$C$21,MATCH(H210,Assumptions!$B$18:$B$21,0)),0)</f>
        <v/>
      </c>
    </row>
    <row r="211">
      <c r="A211" s="114" t="n">
        <v>46255</v>
      </c>
      <c r="B211" s="42" t="inlineStr">
        <is>
          <t>Wk 34</t>
        </is>
      </c>
      <c r="C211" s="42" t="inlineStr">
        <is>
          <t>Fri</t>
        </is>
      </c>
      <c r="D211" s="42" t="inlineStr">
        <is>
          <t>Meta (FB/IG)</t>
        </is>
      </c>
      <c r="E211" s="42" t="inlineStr">
        <is>
          <t>Facebook + Instagram</t>
        </is>
      </c>
      <c r="F211" s="42" t="inlineStr">
        <is>
          <t>LEP_ZA_AUG26_META_TD_AMUR_CONV</t>
        </is>
      </c>
      <c r="G211" s="42" t="inlineStr">
        <is>
          <t>Leads - Website Conversions</t>
        </is>
      </c>
      <c r="H211" s="42" t="inlineStr">
        <is>
          <t>AMUR</t>
        </is>
      </c>
      <c r="I211" s="42" t="inlineStr">
        <is>
          <t>0% Deposit</t>
        </is>
      </c>
      <c r="J211" s="42" t="inlineStr">
        <is>
          <t>MET_AMUR_INMKT_HATCH_ZA</t>
        </is>
      </c>
      <c r="K211" s="42" t="inlineStr">
        <is>
          <t>In-Market</t>
        </is>
      </c>
      <c r="L211" s="42" t="inlineStr">
        <is>
          <t>AMUR_VID_15s_CityDrive_v2</t>
        </is>
      </c>
      <c r="M211" s="42" t="inlineStr">
        <is>
          <t>Video 9:16</t>
        </is>
      </c>
      <c r="N211" s="42" t="inlineStr">
        <is>
          <t>Zero deposit. Real drive. Today.</t>
        </is>
      </c>
      <c r="O211" s="42" t="inlineStr">
        <is>
          <t>Auction - Lowest Cost</t>
        </is>
      </c>
      <c r="P211" s="42" t="inlineStr">
        <is>
          <t>Offsite Conversions</t>
        </is>
      </c>
      <c r="Q211" s="42" t="inlineStr">
        <is>
          <t>https://www.lepas-sa.co.za/offers/amur</t>
        </is>
      </c>
      <c r="R211" s="115" t="n">
        <v>149.39</v>
      </c>
      <c r="S211" s="116" t="n">
        <v>1772</v>
      </c>
      <c r="T211" s="116" t="n">
        <v>897</v>
      </c>
      <c r="U211" s="117">
        <f>IFERROR(S211/T211,"")</f>
        <v/>
      </c>
      <c r="V211" s="116" t="n">
        <v>31</v>
      </c>
      <c r="W211" s="116" t="n">
        <v>24</v>
      </c>
      <c r="X211" s="118">
        <f>IFERROR(W211/S211,"")</f>
        <v/>
      </c>
      <c r="Y211" s="115">
        <f>IFERROR(R211/W211,"")</f>
        <v/>
      </c>
      <c r="Z211" s="115">
        <f>IFERROR(R211/S211*1000,"")</f>
        <v/>
      </c>
      <c r="AA211" s="116" t="n">
        <v>20</v>
      </c>
      <c r="AB211" s="47">
        <f>IFERROR(AA211/W211,"")</f>
        <v/>
      </c>
      <c r="AC211" s="116" t="n">
        <v>534</v>
      </c>
      <c r="AD211" s="116" t="n">
        <v>295</v>
      </c>
      <c r="AE211" s="116" t="n">
        <v>244</v>
      </c>
      <c r="AF211" s="116" t="n">
        <v>129</v>
      </c>
      <c r="AG211" s="116" t="n">
        <v>96</v>
      </c>
      <c r="AH211" s="116" t="n">
        <v>69</v>
      </c>
      <c r="AI211" s="47">
        <f>IFERROR(AC211/S211,"")</f>
        <v/>
      </c>
      <c r="AJ211" s="47">
        <f>IFERROR(AH211/S211,"")</f>
        <v/>
      </c>
      <c r="AK211" s="116" t="n">
        <v>34</v>
      </c>
      <c r="AL211" s="116" t="n">
        <v>0</v>
      </c>
      <c r="AM211" s="118">
        <f>IFERROR(AL211/AA211,"")</f>
        <v/>
      </c>
      <c r="AN211" s="119">
        <f>IFERROR(R211/AL211,"")</f>
        <v/>
      </c>
      <c r="AO211" s="116" t="n">
        <v>0</v>
      </c>
      <c r="AP211" s="47">
        <f>IFERROR(AO211/AL211,"")</f>
        <v/>
      </c>
      <c r="AQ211" s="119">
        <f>IFERROR(R211/AO211,"")</f>
        <v/>
      </c>
      <c r="AR211" s="116" t="n">
        <v>0</v>
      </c>
      <c r="AS211" s="116" t="n">
        <v>0</v>
      </c>
      <c r="AT211" s="116">
        <f>AL211+AR211</f>
        <v/>
      </c>
      <c r="AU211" s="119">
        <f>IFERROR(AO211*Assumptions!$C$26*Assumptions!$C$27*INDEX(Assumptions!$C$18:$C$21,MATCH(H211,Assumptions!$B$18:$B$21,0)),0)</f>
        <v/>
      </c>
    </row>
    <row r="212">
      <c r="A212" s="114" t="n">
        <v>46256</v>
      </c>
      <c r="B212" s="42" t="inlineStr">
        <is>
          <t>Wk 34</t>
        </is>
      </c>
      <c r="C212" s="42" t="inlineStr">
        <is>
          <t>Sat</t>
        </is>
      </c>
      <c r="D212" s="42" t="inlineStr">
        <is>
          <t>Meta (FB/IG)</t>
        </is>
      </c>
      <c r="E212" s="42" t="inlineStr">
        <is>
          <t>Facebook + Instagram</t>
        </is>
      </c>
      <c r="F212" s="42" t="inlineStr">
        <is>
          <t>LEP_ZA_AUG26_META_TD_AMUR_CONV</t>
        </is>
      </c>
      <c r="G212" s="42" t="inlineStr">
        <is>
          <t>Leads - Website Conversions</t>
        </is>
      </c>
      <c r="H212" s="42" t="inlineStr">
        <is>
          <t>AMUR</t>
        </is>
      </c>
      <c r="I212" s="42" t="inlineStr">
        <is>
          <t>0% Deposit</t>
        </is>
      </c>
      <c r="J212" s="42" t="inlineStr">
        <is>
          <t>MET_AMUR_INMKT_HATCH_ZA</t>
        </is>
      </c>
      <c r="K212" s="42" t="inlineStr">
        <is>
          <t>In-Market</t>
        </is>
      </c>
      <c r="L212" s="42" t="inlineStr">
        <is>
          <t>AMUR_VID_15s_CityDrive_v2</t>
        </is>
      </c>
      <c r="M212" s="42" t="inlineStr">
        <is>
          <t>Video 9:16</t>
        </is>
      </c>
      <c r="N212" s="42" t="inlineStr">
        <is>
          <t>Zero deposit. Real drive. Today.</t>
        </is>
      </c>
      <c r="O212" s="42" t="inlineStr">
        <is>
          <t>Auction - Lowest Cost</t>
        </is>
      </c>
      <c r="P212" s="42" t="inlineStr">
        <is>
          <t>Offsite Conversions</t>
        </is>
      </c>
      <c r="Q212" s="42" t="inlineStr">
        <is>
          <t>https://www.lepas-sa.co.za/offers/amur</t>
        </is>
      </c>
      <c r="R212" s="115" t="n">
        <v>154.68</v>
      </c>
      <c r="S212" s="116" t="n">
        <v>2653</v>
      </c>
      <c r="T212" s="116" t="n">
        <v>1670</v>
      </c>
      <c r="U212" s="117">
        <f>IFERROR(S212/T212,"")</f>
        <v/>
      </c>
      <c r="V212" s="116" t="n">
        <v>42</v>
      </c>
      <c r="W212" s="116" t="n">
        <v>35</v>
      </c>
      <c r="X212" s="118">
        <f>IFERROR(W212/S212,"")</f>
        <v/>
      </c>
      <c r="Y212" s="115">
        <f>IFERROR(R212/W212,"")</f>
        <v/>
      </c>
      <c r="Z212" s="115">
        <f>IFERROR(R212/S212*1000,"")</f>
        <v/>
      </c>
      <c r="AA212" s="116" t="n">
        <v>30</v>
      </c>
      <c r="AB212" s="47">
        <f>IFERROR(AA212/W212,"")</f>
        <v/>
      </c>
      <c r="AC212" s="116" t="n">
        <v>774</v>
      </c>
      <c r="AD212" s="116" t="n">
        <v>447</v>
      </c>
      <c r="AE212" s="116" t="n">
        <v>285</v>
      </c>
      <c r="AF212" s="116" t="n">
        <v>183</v>
      </c>
      <c r="AG212" s="116" t="n">
        <v>121</v>
      </c>
      <c r="AH212" s="116" t="n">
        <v>85</v>
      </c>
      <c r="AI212" s="47">
        <f>IFERROR(AC212/S212,"")</f>
        <v/>
      </c>
      <c r="AJ212" s="47">
        <f>IFERROR(AH212/S212,"")</f>
        <v/>
      </c>
      <c r="AK212" s="116" t="n">
        <v>58</v>
      </c>
      <c r="AL212" s="116" t="n">
        <v>1</v>
      </c>
      <c r="AM212" s="118">
        <f>IFERROR(AL212/AA212,"")</f>
        <v/>
      </c>
      <c r="AN212" s="119">
        <f>IFERROR(R212/AL212,"")</f>
        <v/>
      </c>
      <c r="AO212" s="116" t="n">
        <v>1</v>
      </c>
      <c r="AP212" s="47">
        <f>IFERROR(AO212/AL212,"")</f>
        <v/>
      </c>
      <c r="AQ212" s="119">
        <f>IFERROR(R212/AO212,"")</f>
        <v/>
      </c>
      <c r="AR212" s="116" t="n">
        <v>0</v>
      </c>
      <c r="AS212" s="116" t="n">
        <v>0</v>
      </c>
      <c r="AT212" s="116">
        <f>AL212+AR212</f>
        <v/>
      </c>
      <c r="AU212" s="119">
        <f>IFERROR(AO212*Assumptions!$C$26*Assumptions!$C$27*INDEX(Assumptions!$C$18:$C$21,MATCH(H212,Assumptions!$B$18:$B$21,0)),0)</f>
        <v/>
      </c>
    </row>
    <row r="213">
      <c r="A213" s="114" t="n">
        <v>46257</v>
      </c>
      <c r="B213" s="42" t="inlineStr">
        <is>
          <t>Wk 34</t>
        </is>
      </c>
      <c r="C213" s="42" t="inlineStr">
        <is>
          <t>Sun</t>
        </is>
      </c>
      <c r="D213" s="42" t="inlineStr">
        <is>
          <t>Meta (FB/IG)</t>
        </is>
      </c>
      <c r="E213" s="42" t="inlineStr">
        <is>
          <t>Facebook + Instagram</t>
        </is>
      </c>
      <c r="F213" s="42" t="inlineStr">
        <is>
          <t>LEP_ZA_AUG26_META_TD_AMUR_CONV</t>
        </is>
      </c>
      <c r="G213" s="42" t="inlineStr">
        <is>
          <t>Leads - Website Conversions</t>
        </is>
      </c>
      <c r="H213" s="42" t="inlineStr">
        <is>
          <t>AMUR</t>
        </is>
      </c>
      <c r="I213" s="42" t="inlineStr">
        <is>
          <t>0% Deposit</t>
        </is>
      </c>
      <c r="J213" s="42" t="inlineStr">
        <is>
          <t>MET_AMUR_INMKT_HATCH_ZA</t>
        </is>
      </c>
      <c r="K213" s="42" t="inlineStr">
        <is>
          <t>In-Market</t>
        </is>
      </c>
      <c r="L213" s="42" t="inlineStr">
        <is>
          <t>AMUR_VID_15s_CityDrive_v2</t>
        </is>
      </c>
      <c r="M213" s="42" t="inlineStr">
        <is>
          <t>Video 9:16</t>
        </is>
      </c>
      <c r="N213" s="42" t="inlineStr">
        <is>
          <t>Zero deposit. Real drive. Today.</t>
        </is>
      </c>
      <c r="O213" s="42" t="inlineStr">
        <is>
          <t>Auction - Lowest Cost</t>
        </is>
      </c>
      <c r="P213" s="42" t="inlineStr">
        <is>
          <t>Offsite Conversions</t>
        </is>
      </c>
      <c r="Q213" s="42" t="inlineStr">
        <is>
          <t>https://www.lepas-sa.co.za/offers/amur</t>
        </is>
      </c>
      <c r="R213" s="115" t="n">
        <v>125.46</v>
      </c>
      <c r="S213" s="116" t="n">
        <v>1661</v>
      </c>
      <c r="T213" s="116" t="n">
        <v>827</v>
      </c>
      <c r="U213" s="117">
        <f>IFERROR(S213/T213,"")</f>
        <v/>
      </c>
      <c r="V213" s="116" t="n">
        <v>24</v>
      </c>
      <c r="W213" s="116" t="n">
        <v>20</v>
      </c>
      <c r="X213" s="118">
        <f>IFERROR(W213/S213,"")</f>
        <v/>
      </c>
      <c r="Y213" s="115">
        <f>IFERROR(R213/W213,"")</f>
        <v/>
      </c>
      <c r="Z213" s="115">
        <f>IFERROR(R213/S213*1000,"")</f>
        <v/>
      </c>
      <c r="AA213" s="116" t="n">
        <v>16</v>
      </c>
      <c r="AB213" s="47">
        <f>IFERROR(AA213/W213,"")</f>
        <v/>
      </c>
      <c r="AC213" s="116" t="n">
        <v>391</v>
      </c>
      <c r="AD213" s="116" t="n">
        <v>243</v>
      </c>
      <c r="AE213" s="116" t="n">
        <v>149</v>
      </c>
      <c r="AF213" s="116" t="n">
        <v>96</v>
      </c>
      <c r="AG213" s="116" t="n">
        <v>75</v>
      </c>
      <c r="AH213" s="116" t="n">
        <v>49</v>
      </c>
      <c r="AI213" s="47">
        <f>IFERROR(AC213/S213,"")</f>
        <v/>
      </c>
      <c r="AJ213" s="47">
        <f>IFERROR(AH213/S213,"")</f>
        <v/>
      </c>
      <c r="AK213" s="116" t="n">
        <v>18</v>
      </c>
      <c r="AL213" s="116" t="n">
        <v>0</v>
      </c>
      <c r="AM213" s="118">
        <f>IFERROR(AL213/AA213,"")</f>
        <v/>
      </c>
      <c r="AN213" s="119">
        <f>IFERROR(R213/AL213,"")</f>
        <v/>
      </c>
      <c r="AO213" s="116" t="n">
        <v>0</v>
      </c>
      <c r="AP213" s="47">
        <f>IFERROR(AO213/AL213,"")</f>
        <v/>
      </c>
      <c r="AQ213" s="119">
        <f>IFERROR(R213/AO213,"")</f>
        <v/>
      </c>
      <c r="AR213" s="116" t="n">
        <v>0</v>
      </c>
      <c r="AS213" s="116" t="n">
        <v>0</v>
      </c>
      <c r="AT213" s="116">
        <f>AL213+AR213</f>
        <v/>
      </c>
      <c r="AU213" s="119">
        <f>IFERROR(AO213*Assumptions!$C$26*Assumptions!$C$27*INDEX(Assumptions!$C$18:$C$21,MATCH(H213,Assumptions!$B$18:$B$21,0)),0)</f>
        <v/>
      </c>
    </row>
    <row r="214">
      <c r="A214" s="114" t="n">
        <v>46258</v>
      </c>
      <c r="B214" s="42" t="inlineStr">
        <is>
          <t>Wk 35</t>
        </is>
      </c>
      <c r="C214" s="42" t="inlineStr">
        <is>
          <t>Mon</t>
        </is>
      </c>
      <c r="D214" s="42" t="inlineStr">
        <is>
          <t>Meta (FB/IG)</t>
        </is>
      </c>
      <c r="E214" s="42" t="inlineStr">
        <is>
          <t>Facebook + Instagram</t>
        </is>
      </c>
      <c r="F214" s="42" t="inlineStr">
        <is>
          <t>LEP_ZA_AUG26_META_TD_AMUR_CONV</t>
        </is>
      </c>
      <c r="G214" s="42" t="inlineStr">
        <is>
          <t>Leads - Website Conversions</t>
        </is>
      </c>
      <c r="H214" s="42" t="inlineStr">
        <is>
          <t>AMUR</t>
        </is>
      </c>
      <c r="I214" s="42" t="inlineStr">
        <is>
          <t>0% Deposit</t>
        </is>
      </c>
      <c r="J214" s="42" t="inlineStr">
        <is>
          <t>MET_AMUR_INMKT_HATCH_ZA</t>
        </is>
      </c>
      <c r="K214" s="42" t="inlineStr">
        <is>
          <t>In-Market</t>
        </is>
      </c>
      <c r="L214" s="42" t="inlineStr">
        <is>
          <t>AMUR_VID_15s_CityDrive_v2</t>
        </is>
      </c>
      <c r="M214" s="42" t="inlineStr">
        <is>
          <t>Video 9:16</t>
        </is>
      </c>
      <c r="N214" s="42" t="inlineStr">
        <is>
          <t>Zero deposit. Real drive. Today.</t>
        </is>
      </c>
      <c r="O214" s="42" t="inlineStr">
        <is>
          <t>Auction - Lowest Cost</t>
        </is>
      </c>
      <c r="P214" s="42" t="inlineStr">
        <is>
          <t>Offsite Conversions</t>
        </is>
      </c>
      <c r="Q214" s="42" t="inlineStr">
        <is>
          <t>https://www.lepas-sa.co.za/offers/amur</t>
        </is>
      </c>
      <c r="R214" s="115" t="n">
        <v>128.59</v>
      </c>
      <c r="S214" s="116" t="n">
        <v>1406</v>
      </c>
      <c r="T214" s="116" t="n">
        <v>809</v>
      </c>
      <c r="U214" s="117">
        <f>IFERROR(S214/T214,"")</f>
        <v/>
      </c>
      <c r="V214" s="116" t="n">
        <v>20</v>
      </c>
      <c r="W214" s="116" t="n">
        <v>15</v>
      </c>
      <c r="X214" s="118">
        <f>IFERROR(W214/S214,"")</f>
        <v/>
      </c>
      <c r="Y214" s="115">
        <f>IFERROR(R214/W214,"")</f>
        <v/>
      </c>
      <c r="Z214" s="115">
        <f>IFERROR(R214/S214*1000,"")</f>
        <v/>
      </c>
      <c r="AA214" s="116" t="n">
        <v>13</v>
      </c>
      <c r="AB214" s="47">
        <f>IFERROR(AA214/W214,"")</f>
        <v/>
      </c>
      <c r="AC214" s="116" t="n">
        <v>343</v>
      </c>
      <c r="AD214" s="116" t="n">
        <v>185</v>
      </c>
      <c r="AE214" s="116" t="n">
        <v>186</v>
      </c>
      <c r="AF214" s="116" t="n">
        <v>118</v>
      </c>
      <c r="AG214" s="116" t="n">
        <v>77</v>
      </c>
      <c r="AH214" s="116" t="n">
        <v>51</v>
      </c>
      <c r="AI214" s="47">
        <f>IFERROR(AC214/S214,"")</f>
        <v/>
      </c>
      <c r="AJ214" s="47">
        <f>IFERROR(AH214/S214,"")</f>
        <v/>
      </c>
      <c r="AK214" s="116" t="n">
        <v>47</v>
      </c>
      <c r="AL214" s="116" t="n">
        <v>0</v>
      </c>
      <c r="AM214" s="118">
        <f>IFERROR(AL214/AA214,"")</f>
        <v/>
      </c>
      <c r="AN214" s="119">
        <f>IFERROR(R214/AL214,"")</f>
        <v/>
      </c>
      <c r="AO214" s="116" t="n">
        <v>0</v>
      </c>
      <c r="AP214" s="47">
        <f>IFERROR(AO214/AL214,"")</f>
        <v/>
      </c>
      <c r="AQ214" s="119">
        <f>IFERROR(R214/AO214,"")</f>
        <v/>
      </c>
      <c r="AR214" s="116" t="n">
        <v>0</v>
      </c>
      <c r="AS214" s="116" t="n">
        <v>0</v>
      </c>
      <c r="AT214" s="116">
        <f>AL214+AR214</f>
        <v/>
      </c>
      <c r="AU214" s="119">
        <f>IFERROR(AO214*Assumptions!$C$26*Assumptions!$C$27*INDEX(Assumptions!$C$18:$C$21,MATCH(H214,Assumptions!$B$18:$B$21,0)),0)</f>
        <v/>
      </c>
    </row>
    <row r="215">
      <c r="A215" s="114" t="n">
        <v>46259</v>
      </c>
      <c r="B215" s="42" t="inlineStr">
        <is>
          <t>Wk 35</t>
        </is>
      </c>
      <c r="C215" s="42" t="inlineStr">
        <is>
          <t>Tue</t>
        </is>
      </c>
      <c r="D215" s="42" t="inlineStr">
        <is>
          <t>Meta (FB/IG)</t>
        </is>
      </c>
      <c r="E215" s="42" t="inlineStr">
        <is>
          <t>Facebook + Instagram</t>
        </is>
      </c>
      <c r="F215" s="42" t="inlineStr">
        <is>
          <t>LEP_ZA_AUG26_META_TD_AMUR_CONV</t>
        </is>
      </c>
      <c r="G215" s="42" t="inlineStr">
        <is>
          <t>Leads - Website Conversions</t>
        </is>
      </c>
      <c r="H215" s="42" t="inlineStr">
        <is>
          <t>AMUR</t>
        </is>
      </c>
      <c r="I215" s="42" t="inlineStr">
        <is>
          <t>0% Deposit</t>
        </is>
      </c>
      <c r="J215" s="42" t="inlineStr">
        <is>
          <t>MET_AMUR_INMKT_HATCH_ZA</t>
        </is>
      </c>
      <c r="K215" s="42" t="inlineStr">
        <is>
          <t>In-Market</t>
        </is>
      </c>
      <c r="L215" s="42" t="inlineStr">
        <is>
          <t>AMUR_VID_15s_CityDrive_v2</t>
        </is>
      </c>
      <c r="M215" s="42" t="inlineStr">
        <is>
          <t>Video 9:16</t>
        </is>
      </c>
      <c r="N215" s="42" t="inlineStr">
        <is>
          <t>Zero deposit. Real drive. Today.</t>
        </is>
      </c>
      <c r="O215" s="42" t="inlineStr">
        <is>
          <t>Auction - Lowest Cost</t>
        </is>
      </c>
      <c r="P215" s="42" t="inlineStr">
        <is>
          <t>Offsite Conversions</t>
        </is>
      </c>
      <c r="Q215" s="42" t="inlineStr">
        <is>
          <t>https://www.lepas-sa.co.za/offers/amur</t>
        </is>
      </c>
      <c r="R215" s="115" t="n">
        <v>121.96</v>
      </c>
      <c r="S215" s="116" t="n">
        <v>1205</v>
      </c>
      <c r="T215" s="116" t="n">
        <v>763</v>
      </c>
      <c r="U215" s="117">
        <f>IFERROR(S215/T215,"")</f>
        <v/>
      </c>
      <c r="V215" s="116" t="n">
        <v>18</v>
      </c>
      <c r="W215" s="116" t="n">
        <v>14</v>
      </c>
      <c r="X215" s="118">
        <f>IFERROR(W215/S215,"")</f>
        <v/>
      </c>
      <c r="Y215" s="115">
        <f>IFERROR(R215/W215,"")</f>
        <v/>
      </c>
      <c r="Z215" s="115">
        <f>IFERROR(R215/S215*1000,"")</f>
        <v/>
      </c>
      <c r="AA215" s="116" t="n">
        <v>12</v>
      </c>
      <c r="AB215" s="47">
        <f>IFERROR(AA215/W215,"")</f>
        <v/>
      </c>
      <c r="AC215" s="116" t="n">
        <v>289</v>
      </c>
      <c r="AD215" s="116" t="n">
        <v>181</v>
      </c>
      <c r="AE215" s="116" t="n">
        <v>130</v>
      </c>
      <c r="AF215" s="116" t="n">
        <v>70</v>
      </c>
      <c r="AG215" s="116" t="n">
        <v>48</v>
      </c>
      <c r="AH215" s="116" t="n">
        <v>34</v>
      </c>
      <c r="AI215" s="47">
        <f>IFERROR(AC215/S215,"")</f>
        <v/>
      </c>
      <c r="AJ215" s="47">
        <f>IFERROR(AH215/S215,"")</f>
        <v/>
      </c>
      <c r="AK215" s="116" t="n">
        <v>24</v>
      </c>
      <c r="AL215" s="116" t="n">
        <v>1</v>
      </c>
      <c r="AM215" s="118">
        <f>IFERROR(AL215/AA215,"")</f>
        <v/>
      </c>
      <c r="AN215" s="119">
        <f>IFERROR(R215/AL215,"")</f>
        <v/>
      </c>
      <c r="AO215" s="116" t="n">
        <v>0</v>
      </c>
      <c r="AP215" s="47">
        <f>IFERROR(AO215/AL215,"")</f>
        <v/>
      </c>
      <c r="AQ215" s="119">
        <f>IFERROR(R215/AO215,"")</f>
        <v/>
      </c>
      <c r="AR215" s="116" t="n">
        <v>1</v>
      </c>
      <c r="AS215" s="116" t="n">
        <v>0</v>
      </c>
      <c r="AT215" s="116">
        <f>AL215+AR215</f>
        <v/>
      </c>
      <c r="AU215" s="119">
        <f>IFERROR(AO215*Assumptions!$C$26*Assumptions!$C$27*INDEX(Assumptions!$C$18:$C$21,MATCH(H215,Assumptions!$B$18:$B$21,0)),0)</f>
        <v/>
      </c>
    </row>
    <row r="216">
      <c r="A216" s="114" t="n">
        <v>46260</v>
      </c>
      <c r="B216" s="42" t="inlineStr">
        <is>
          <t>Wk 35</t>
        </is>
      </c>
      <c r="C216" s="42" t="inlineStr">
        <is>
          <t>Wed</t>
        </is>
      </c>
      <c r="D216" s="42" t="inlineStr">
        <is>
          <t>Meta (FB/IG)</t>
        </is>
      </c>
      <c r="E216" s="42" t="inlineStr">
        <is>
          <t>Facebook + Instagram</t>
        </is>
      </c>
      <c r="F216" s="42" t="inlineStr">
        <is>
          <t>LEP_ZA_AUG26_META_TD_AMUR_CONV</t>
        </is>
      </c>
      <c r="G216" s="42" t="inlineStr">
        <is>
          <t>Leads - Website Conversions</t>
        </is>
      </c>
      <c r="H216" s="42" t="inlineStr">
        <is>
          <t>AMUR</t>
        </is>
      </c>
      <c r="I216" s="42" t="inlineStr">
        <is>
          <t>0% Deposit</t>
        </is>
      </c>
      <c r="J216" s="42" t="inlineStr">
        <is>
          <t>MET_AMUR_INMKT_HATCH_ZA</t>
        </is>
      </c>
      <c r="K216" s="42" t="inlineStr">
        <is>
          <t>In-Market</t>
        </is>
      </c>
      <c r="L216" s="42" t="inlineStr">
        <is>
          <t>AMUR_VID_15s_CityDrive_v2</t>
        </is>
      </c>
      <c r="M216" s="42" t="inlineStr">
        <is>
          <t>Video 9:16</t>
        </is>
      </c>
      <c r="N216" s="42" t="inlineStr">
        <is>
          <t>Zero deposit. Real drive. Today.</t>
        </is>
      </c>
      <c r="O216" s="42" t="inlineStr">
        <is>
          <t>Auction - Lowest Cost</t>
        </is>
      </c>
      <c r="P216" s="42" t="inlineStr">
        <is>
          <t>Offsite Conversions</t>
        </is>
      </c>
      <c r="Q216" s="42" t="inlineStr">
        <is>
          <t>https://www.lepas-sa.co.za/offers/amur</t>
        </is>
      </c>
      <c r="R216" s="115" t="n">
        <v>126.38</v>
      </c>
      <c r="S216" s="116" t="n">
        <v>1191</v>
      </c>
      <c r="T216" s="116" t="n">
        <v>700</v>
      </c>
      <c r="U216" s="117">
        <f>IFERROR(S216/T216,"")</f>
        <v/>
      </c>
      <c r="V216" s="116" t="n">
        <v>16</v>
      </c>
      <c r="W216" s="116" t="n">
        <v>12</v>
      </c>
      <c r="X216" s="118">
        <f>IFERROR(W216/S216,"")</f>
        <v/>
      </c>
      <c r="Y216" s="115">
        <f>IFERROR(R216/W216,"")</f>
        <v/>
      </c>
      <c r="Z216" s="115">
        <f>IFERROR(R216/S216*1000,"")</f>
        <v/>
      </c>
      <c r="AA216" s="116" t="n">
        <v>9</v>
      </c>
      <c r="AB216" s="47">
        <f>IFERROR(AA216/W216,"")</f>
        <v/>
      </c>
      <c r="AC216" s="116" t="n">
        <v>270</v>
      </c>
      <c r="AD216" s="116" t="n">
        <v>139</v>
      </c>
      <c r="AE216" s="116" t="n">
        <v>126</v>
      </c>
      <c r="AF216" s="116" t="n">
        <v>81</v>
      </c>
      <c r="AG216" s="116" t="n">
        <v>63</v>
      </c>
      <c r="AH216" s="116" t="n">
        <v>39</v>
      </c>
      <c r="AI216" s="47">
        <f>IFERROR(AC216/S216,"")</f>
        <v/>
      </c>
      <c r="AJ216" s="47">
        <f>IFERROR(AH216/S216,"")</f>
        <v/>
      </c>
      <c r="AK216" s="116" t="n">
        <v>41</v>
      </c>
      <c r="AL216" s="116" t="n">
        <v>0</v>
      </c>
      <c r="AM216" s="118">
        <f>IFERROR(AL216/AA216,"")</f>
        <v/>
      </c>
      <c r="AN216" s="119">
        <f>IFERROR(R216/AL216,"")</f>
        <v/>
      </c>
      <c r="AO216" s="116" t="n">
        <v>0</v>
      </c>
      <c r="AP216" s="47">
        <f>IFERROR(AO216/AL216,"")</f>
        <v/>
      </c>
      <c r="AQ216" s="119">
        <f>IFERROR(R216/AO216,"")</f>
        <v/>
      </c>
      <c r="AR216" s="116" t="n">
        <v>0</v>
      </c>
      <c r="AS216" s="116" t="n">
        <v>0</v>
      </c>
      <c r="AT216" s="116">
        <f>AL216+AR216</f>
        <v/>
      </c>
      <c r="AU216" s="119">
        <f>IFERROR(AO216*Assumptions!$C$26*Assumptions!$C$27*INDEX(Assumptions!$C$18:$C$21,MATCH(H216,Assumptions!$B$18:$B$21,0)),0)</f>
        <v/>
      </c>
    </row>
    <row r="217">
      <c r="A217" s="114" t="n">
        <v>46261</v>
      </c>
      <c r="B217" s="42" t="inlineStr">
        <is>
          <t>Wk 35</t>
        </is>
      </c>
      <c r="C217" s="42" t="inlineStr">
        <is>
          <t>Thu</t>
        </is>
      </c>
      <c r="D217" s="42" t="inlineStr">
        <is>
          <t>Meta (FB/IG)</t>
        </is>
      </c>
      <c r="E217" s="42" t="inlineStr">
        <is>
          <t>Facebook + Instagram</t>
        </is>
      </c>
      <c r="F217" s="42" t="inlineStr">
        <is>
          <t>LEP_ZA_AUG26_META_TD_AMUR_CONV</t>
        </is>
      </c>
      <c r="G217" s="42" t="inlineStr">
        <is>
          <t>Leads - Website Conversions</t>
        </is>
      </c>
      <c r="H217" s="42" t="inlineStr">
        <is>
          <t>AMUR</t>
        </is>
      </c>
      <c r="I217" s="42" t="inlineStr">
        <is>
          <t>0% Deposit</t>
        </is>
      </c>
      <c r="J217" s="42" t="inlineStr">
        <is>
          <t>MET_AMUR_INMKT_HATCH_ZA</t>
        </is>
      </c>
      <c r="K217" s="42" t="inlineStr">
        <is>
          <t>In-Market</t>
        </is>
      </c>
      <c r="L217" s="42" t="inlineStr">
        <is>
          <t>AMUR_VID_15s_CityDrive_v2</t>
        </is>
      </c>
      <c r="M217" s="42" t="inlineStr">
        <is>
          <t>Video 9:16</t>
        </is>
      </c>
      <c r="N217" s="42" t="inlineStr">
        <is>
          <t>Zero deposit. Real drive. Today.</t>
        </is>
      </c>
      <c r="O217" s="42" t="inlineStr">
        <is>
          <t>Auction - Lowest Cost</t>
        </is>
      </c>
      <c r="P217" s="42" t="inlineStr">
        <is>
          <t>Offsite Conversions</t>
        </is>
      </c>
      <c r="Q217" s="42" t="inlineStr">
        <is>
          <t>https://www.lepas-sa.co.za/offers/amur</t>
        </is>
      </c>
      <c r="R217" s="115" t="n">
        <v>172.53</v>
      </c>
      <c r="S217" s="116" t="n">
        <v>1588</v>
      </c>
      <c r="T217" s="116" t="n">
        <v>755</v>
      </c>
      <c r="U217" s="117">
        <f>IFERROR(S217/T217,"")</f>
        <v/>
      </c>
      <c r="V217" s="116" t="n">
        <v>27</v>
      </c>
      <c r="W217" s="116" t="n">
        <v>20</v>
      </c>
      <c r="X217" s="118">
        <f>IFERROR(W217/S217,"")</f>
        <v/>
      </c>
      <c r="Y217" s="115">
        <f>IFERROR(R217/W217,"")</f>
        <v/>
      </c>
      <c r="Z217" s="115">
        <f>IFERROR(R217/S217*1000,"")</f>
        <v/>
      </c>
      <c r="AA217" s="116" t="n">
        <v>18</v>
      </c>
      <c r="AB217" s="47">
        <f>IFERROR(AA217/W217,"")</f>
        <v/>
      </c>
      <c r="AC217" s="116" t="n">
        <v>472</v>
      </c>
      <c r="AD217" s="116" t="n">
        <v>223</v>
      </c>
      <c r="AE217" s="116" t="n">
        <v>178</v>
      </c>
      <c r="AF217" s="116" t="n">
        <v>125</v>
      </c>
      <c r="AG217" s="116" t="n">
        <v>79</v>
      </c>
      <c r="AH217" s="116" t="n">
        <v>58</v>
      </c>
      <c r="AI217" s="47">
        <f>IFERROR(AC217/S217,"")</f>
        <v/>
      </c>
      <c r="AJ217" s="47">
        <f>IFERROR(AH217/S217,"")</f>
        <v/>
      </c>
      <c r="AK217" s="116" t="n">
        <v>28</v>
      </c>
      <c r="AL217" s="116" t="n">
        <v>1</v>
      </c>
      <c r="AM217" s="118">
        <f>IFERROR(AL217/AA217,"")</f>
        <v/>
      </c>
      <c r="AN217" s="119">
        <f>IFERROR(R217/AL217,"")</f>
        <v/>
      </c>
      <c r="AO217" s="116" t="n">
        <v>0</v>
      </c>
      <c r="AP217" s="47">
        <f>IFERROR(AO217/AL217,"")</f>
        <v/>
      </c>
      <c r="AQ217" s="119">
        <f>IFERROR(R217/AO217,"")</f>
        <v/>
      </c>
      <c r="AR217" s="116" t="n">
        <v>1</v>
      </c>
      <c r="AS217" s="116" t="n">
        <v>1</v>
      </c>
      <c r="AT217" s="116">
        <f>AL217+AR217</f>
        <v/>
      </c>
      <c r="AU217" s="119">
        <f>IFERROR(AO217*Assumptions!$C$26*Assumptions!$C$27*INDEX(Assumptions!$C$18:$C$21,MATCH(H217,Assumptions!$B$18:$B$21,0)),0)</f>
        <v/>
      </c>
    </row>
    <row r="218">
      <c r="A218" s="114" t="n">
        <v>46262</v>
      </c>
      <c r="B218" s="42" t="inlineStr">
        <is>
          <t>Wk 35</t>
        </is>
      </c>
      <c r="C218" s="42" t="inlineStr">
        <is>
          <t>Fri</t>
        </is>
      </c>
      <c r="D218" s="42" t="inlineStr">
        <is>
          <t>Meta (FB/IG)</t>
        </is>
      </c>
      <c r="E218" s="42" t="inlineStr">
        <is>
          <t>Facebook + Instagram</t>
        </is>
      </c>
      <c r="F218" s="42" t="inlineStr">
        <is>
          <t>LEP_ZA_AUG26_META_TD_AMUR_CONV</t>
        </is>
      </c>
      <c r="G218" s="42" t="inlineStr">
        <is>
          <t>Leads - Website Conversions</t>
        </is>
      </c>
      <c r="H218" s="42" t="inlineStr">
        <is>
          <t>AMUR</t>
        </is>
      </c>
      <c r="I218" s="42" t="inlineStr">
        <is>
          <t>0% Deposit</t>
        </is>
      </c>
      <c r="J218" s="42" t="inlineStr">
        <is>
          <t>MET_AMUR_INMKT_HATCH_ZA</t>
        </is>
      </c>
      <c r="K218" s="42" t="inlineStr">
        <is>
          <t>In-Market</t>
        </is>
      </c>
      <c r="L218" s="42" t="inlineStr">
        <is>
          <t>AMUR_VID_15s_CityDrive_v2</t>
        </is>
      </c>
      <c r="M218" s="42" t="inlineStr">
        <is>
          <t>Video 9:16</t>
        </is>
      </c>
      <c r="N218" s="42" t="inlineStr">
        <is>
          <t>Zero deposit. Real drive. Today.</t>
        </is>
      </c>
      <c r="O218" s="42" t="inlineStr">
        <is>
          <t>Auction - Lowest Cost</t>
        </is>
      </c>
      <c r="P218" s="42" t="inlineStr">
        <is>
          <t>Offsite Conversions</t>
        </is>
      </c>
      <c r="Q218" s="42" t="inlineStr">
        <is>
          <t>https://www.lepas-sa.co.za/offers/amur</t>
        </is>
      </c>
      <c r="R218" s="115" t="n">
        <v>182.99</v>
      </c>
      <c r="S218" s="116" t="n">
        <v>1640</v>
      </c>
      <c r="T218" s="116" t="n">
        <v>833</v>
      </c>
      <c r="U218" s="117">
        <f>IFERROR(S218/T218,"")</f>
        <v/>
      </c>
      <c r="V218" s="116" t="n">
        <v>26</v>
      </c>
      <c r="W218" s="116" t="n">
        <v>21</v>
      </c>
      <c r="X218" s="118">
        <f>IFERROR(W218/S218,"")</f>
        <v/>
      </c>
      <c r="Y218" s="115">
        <f>IFERROR(R218/W218,"")</f>
        <v/>
      </c>
      <c r="Z218" s="115">
        <f>IFERROR(R218/S218*1000,"")</f>
        <v/>
      </c>
      <c r="AA218" s="116" t="n">
        <v>17</v>
      </c>
      <c r="AB218" s="47">
        <f>IFERROR(AA218/W218,"")</f>
        <v/>
      </c>
      <c r="AC218" s="116" t="n">
        <v>596</v>
      </c>
      <c r="AD218" s="116" t="n">
        <v>342</v>
      </c>
      <c r="AE218" s="116" t="n">
        <v>304</v>
      </c>
      <c r="AF218" s="116" t="n">
        <v>165</v>
      </c>
      <c r="AG218" s="116" t="n">
        <v>127</v>
      </c>
      <c r="AH218" s="116" t="n">
        <v>90</v>
      </c>
      <c r="AI218" s="47">
        <f>IFERROR(AC218/S218,"")</f>
        <v/>
      </c>
      <c r="AJ218" s="47">
        <f>IFERROR(AH218/S218,"")</f>
        <v/>
      </c>
      <c r="AK218" s="116" t="n">
        <v>57</v>
      </c>
      <c r="AL218" s="116" t="n">
        <v>0</v>
      </c>
      <c r="AM218" s="118">
        <f>IFERROR(AL218/AA218,"")</f>
        <v/>
      </c>
      <c r="AN218" s="119">
        <f>IFERROR(R218/AL218,"")</f>
        <v/>
      </c>
      <c r="AO218" s="116" t="n">
        <v>0</v>
      </c>
      <c r="AP218" s="47">
        <f>IFERROR(AO218/AL218,"")</f>
        <v/>
      </c>
      <c r="AQ218" s="119">
        <f>IFERROR(R218/AO218,"")</f>
        <v/>
      </c>
      <c r="AR218" s="116" t="n">
        <v>0</v>
      </c>
      <c r="AS218" s="116" t="n">
        <v>0</v>
      </c>
      <c r="AT218" s="116">
        <f>AL218+AR218</f>
        <v/>
      </c>
      <c r="AU218" s="119">
        <f>IFERROR(AO218*Assumptions!$C$26*Assumptions!$C$27*INDEX(Assumptions!$C$18:$C$21,MATCH(H218,Assumptions!$B$18:$B$21,0)),0)</f>
        <v/>
      </c>
    </row>
    <row r="219">
      <c r="A219" s="114" t="n">
        <v>46263</v>
      </c>
      <c r="B219" s="42" t="inlineStr">
        <is>
          <t>Wk 35</t>
        </is>
      </c>
      <c r="C219" s="42" t="inlineStr">
        <is>
          <t>Sat</t>
        </is>
      </c>
      <c r="D219" s="42" t="inlineStr">
        <is>
          <t>Meta (FB/IG)</t>
        </is>
      </c>
      <c r="E219" s="42" t="inlineStr">
        <is>
          <t>Facebook + Instagram</t>
        </is>
      </c>
      <c r="F219" s="42" t="inlineStr">
        <is>
          <t>LEP_ZA_AUG26_META_TD_AMUR_CONV</t>
        </is>
      </c>
      <c r="G219" s="42" t="inlineStr">
        <is>
          <t>Leads - Website Conversions</t>
        </is>
      </c>
      <c r="H219" s="42" t="inlineStr">
        <is>
          <t>AMUR</t>
        </is>
      </c>
      <c r="I219" s="42" t="inlineStr">
        <is>
          <t>0% Deposit</t>
        </is>
      </c>
      <c r="J219" s="42" t="inlineStr">
        <is>
          <t>MET_AMUR_INMKT_HATCH_ZA</t>
        </is>
      </c>
      <c r="K219" s="42" t="inlineStr">
        <is>
          <t>In-Market</t>
        </is>
      </c>
      <c r="L219" s="42" t="inlineStr">
        <is>
          <t>AMUR_VID_15s_CityDrive_v2</t>
        </is>
      </c>
      <c r="M219" s="42" t="inlineStr">
        <is>
          <t>Video 9:16</t>
        </is>
      </c>
      <c r="N219" s="42" t="inlineStr">
        <is>
          <t>Zero deposit. Real drive. Today.</t>
        </is>
      </c>
      <c r="O219" s="42" t="inlineStr">
        <is>
          <t>Auction - Lowest Cost</t>
        </is>
      </c>
      <c r="P219" s="42" t="inlineStr">
        <is>
          <t>Offsite Conversions</t>
        </is>
      </c>
      <c r="Q219" s="42" t="inlineStr">
        <is>
          <t>https://www.lepas-sa.co.za/offers/amur</t>
        </is>
      </c>
      <c r="R219" s="115" t="n">
        <v>188.47</v>
      </c>
      <c r="S219" s="116" t="n">
        <v>2633</v>
      </c>
      <c r="T219" s="116" t="n">
        <v>1737</v>
      </c>
      <c r="U219" s="117">
        <f>IFERROR(S219/T219,"")</f>
        <v/>
      </c>
      <c r="V219" s="116" t="n">
        <v>30</v>
      </c>
      <c r="W219" s="116" t="n">
        <v>23</v>
      </c>
      <c r="X219" s="118">
        <f>IFERROR(W219/S219,"")</f>
        <v/>
      </c>
      <c r="Y219" s="115">
        <f>IFERROR(R219/W219,"")</f>
        <v/>
      </c>
      <c r="Z219" s="115">
        <f>IFERROR(R219/S219*1000,"")</f>
        <v/>
      </c>
      <c r="AA219" s="116" t="n">
        <v>20</v>
      </c>
      <c r="AB219" s="47">
        <f>IFERROR(AA219/W219,"")</f>
        <v/>
      </c>
      <c r="AC219" s="116" t="n">
        <v>908</v>
      </c>
      <c r="AD219" s="116" t="n">
        <v>513</v>
      </c>
      <c r="AE219" s="116" t="n">
        <v>471</v>
      </c>
      <c r="AF219" s="116" t="n">
        <v>270</v>
      </c>
      <c r="AG219" s="116" t="n">
        <v>196</v>
      </c>
      <c r="AH219" s="116" t="n">
        <v>132</v>
      </c>
      <c r="AI219" s="47">
        <f>IFERROR(AC219/S219,"")</f>
        <v/>
      </c>
      <c r="AJ219" s="47">
        <f>IFERROR(AH219/S219,"")</f>
        <v/>
      </c>
      <c r="AK219" s="116" t="n">
        <v>66</v>
      </c>
      <c r="AL219" s="116" t="n">
        <v>0</v>
      </c>
      <c r="AM219" s="118">
        <f>IFERROR(AL219/AA219,"")</f>
        <v/>
      </c>
      <c r="AN219" s="119">
        <f>IFERROR(R219/AL219,"")</f>
        <v/>
      </c>
      <c r="AO219" s="116" t="n">
        <v>0</v>
      </c>
      <c r="AP219" s="47">
        <f>IFERROR(AO219/AL219,"")</f>
        <v/>
      </c>
      <c r="AQ219" s="119">
        <f>IFERROR(R219/AO219,"")</f>
        <v/>
      </c>
      <c r="AR219" s="116" t="n">
        <v>0</v>
      </c>
      <c r="AS219" s="116" t="n">
        <v>0</v>
      </c>
      <c r="AT219" s="116">
        <f>AL219+AR219</f>
        <v/>
      </c>
      <c r="AU219" s="119">
        <f>IFERROR(AO219*Assumptions!$C$26*Assumptions!$C$27*INDEX(Assumptions!$C$18:$C$21,MATCH(H219,Assumptions!$B$18:$B$21,0)),0)</f>
        <v/>
      </c>
    </row>
    <row r="220">
      <c r="A220" s="114" t="n">
        <v>46264</v>
      </c>
      <c r="B220" s="42" t="inlineStr">
        <is>
          <t>Wk 35</t>
        </is>
      </c>
      <c r="C220" s="42" t="inlineStr">
        <is>
          <t>Sun</t>
        </is>
      </c>
      <c r="D220" s="42" t="inlineStr">
        <is>
          <t>Meta (FB/IG)</t>
        </is>
      </c>
      <c r="E220" s="42" t="inlineStr">
        <is>
          <t>Facebook + Instagram</t>
        </is>
      </c>
      <c r="F220" s="42" t="inlineStr">
        <is>
          <t>LEP_ZA_AUG26_META_TD_AMUR_CONV</t>
        </is>
      </c>
      <c r="G220" s="42" t="inlineStr">
        <is>
          <t>Leads - Website Conversions</t>
        </is>
      </c>
      <c r="H220" s="42" t="inlineStr">
        <is>
          <t>AMUR</t>
        </is>
      </c>
      <c r="I220" s="42" t="inlineStr">
        <is>
          <t>0% Deposit</t>
        </is>
      </c>
      <c r="J220" s="42" t="inlineStr">
        <is>
          <t>MET_AMUR_INMKT_HATCH_ZA</t>
        </is>
      </c>
      <c r="K220" s="42" t="inlineStr">
        <is>
          <t>In-Market</t>
        </is>
      </c>
      <c r="L220" s="42" t="inlineStr">
        <is>
          <t>AMUR_VID_15s_CityDrive_v2</t>
        </is>
      </c>
      <c r="M220" s="42" t="inlineStr">
        <is>
          <t>Video 9:16</t>
        </is>
      </c>
      <c r="N220" s="42" t="inlineStr">
        <is>
          <t>Zero deposit. Real drive. Today.</t>
        </is>
      </c>
      <c r="O220" s="42" t="inlineStr">
        <is>
          <t>Auction - Lowest Cost</t>
        </is>
      </c>
      <c r="P220" s="42" t="inlineStr">
        <is>
          <t>Offsite Conversions</t>
        </is>
      </c>
      <c r="Q220" s="42" t="inlineStr">
        <is>
          <t>https://www.lepas-sa.co.za/offers/amur</t>
        </is>
      </c>
      <c r="R220" s="115" t="n">
        <v>157.9</v>
      </c>
      <c r="S220" s="116" t="n">
        <v>1630</v>
      </c>
      <c r="T220" s="116" t="n">
        <v>941</v>
      </c>
      <c r="U220" s="117">
        <f>IFERROR(S220/T220,"")</f>
        <v/>
      </c>
      <c r="V220" s="116" t="n">
        <v>17</v>
      </c>
      <c r="W220" s="116" t="n">
        <v>14</v>
      </c>
      <c r="X220" s="118">
        <f>IFERROR(W220/S220,"")</f>
        <v/>
      </c>
      <c r="Y220" s="115">
        <f>IFERROR(R220/W220,"")</f>
        <v/>
      </c>
      <c r="Z220" s="115">
        <f>IFERROR(R220/S220*1000,"")</f>
        <v/>
      </c>
      <c r="AA220" s="116" t="n">
        <v>12</v>
      </c>
      <c r="AB220" s="47">
        <f>IFERROR(AA220/W220,"")</f>
        <v/>
      </c>
      <c r="AC220" s="116" t="n">
        <v>417</v>
      </c>
      <c r="AD220" s="116" t="n">
        <v>244</v>
      </c>
      <c r="AE220" s="116" t="n">
        <v>213</v>
      </c>
      <c r="AF220" s="116" t="n">
        <v>146</v>
      </c>
      <c r="AG220" s="116" t="n">
        <v>102</v>
      </c>
      <c r="AH220" s="116" t="n">
        <v>70</v>
      </c>
      <c r="AI220" s="47">
        <f>IFERROR(AC220/S220,"")</f>
        <v/>
      </c>
      <c r="AJ220" s="47">
        <f>IFERROR(AH220/S220,"")</f>
        <v/>
      </c>
      <c r="AK220" s="116" t="n">
        <v>25</v>
      </c>
      <c r="AL220" s="116" t="n">
        <v>0</v>
      </c>
      <c r="AM220" s="118">
        <f>IFERROR(AL220/AA220,"")</f>
        <v/>
      </c>
      <c r="AN220" s="119">
        <f>IFERROR(R220/AL220,"")</f>
        <v/>
      </c>
      <c r="AO220" s="116" t="n">
        <v>0</v>
      </c>
      <c r="AP220" s="47">
        <f>IFERROR(AO220/AL220,"")</f>
        <v/>
      </c>
      <c r="AQ220" s="119">
        <f>IFERROR(R220/AO220,"")</f>
        <v/>
      </c>
      <c r="AR220" s="116" t="n">
        <v>0</v>
      </c>
      <c r="AS220" s="116" t="n">
        <v>0</v>
      </c>
      <c r="AT220" s="116">
        <f>AL220+AR220</f>
        <v/>
      </c>
      <c r="AU220" s="119">
        <f>IFERROR(AO220*Assumptions!$C$26*Assumptions!$C$27*INDEX(Assumptions!$C$18:$C$21,MATCH(H220,Assumptions!$B$18:$B$21,0)),0)</f>
        <v/>
      </c>
    </row>
    <row r="221">
      <c r="A221" s="114" t="n">
        <v>46265</v>
      </c>
      <c r="B221" s="42" t="inlineStr">
        <is>
          <t>Wk 36</t>
        </is>
      </c>
      <c r="C221" s="42" t="inlineStr">
        <is>
          <t>Mon</t>
        </is>
      </c>
      <c r="D221" s="42" t="inlineStr">
        <is>
          <t>Meta (FB/IG)</t>
        </is>
      </c>
      <c r="E221" s="42" t="inlineStr">
        <is>
          <t>Facebook + Instagram</t>
        </is>
      </c>
      <c r="F221" s="42" t="inlineStr">
        <is>
          <t>LEP_ZA_AUG26_META_TD_AMUR_CONV</t>
        </is>
      </c>
      <c r="G221" s="42" t="inlineStr">
        <is>
          <t>Leads - Website Conversions</t>
        </is>
      </c>
      <c r="H221" s="42" t="inlineStr">
        <is>
          <t>AMUR</t>
        </is>
      </c>
      <c r="I221" s="42" t="inlineStr">
        <is>
          <t>0% Deposit</t>
        </is>
      </c>
      <c r="J221" s="42" t="inlineStr">
        <is>
          <t>MET_AMUR_INMKT_HATCH_ZA</t>
        </is>
      </c>
      <c r="K221" s="42" t="inlineStr">
        <is>
          <t>In-Market</t>
        </is>
      </c>
      <c r="L221" s="42" t="inlineStr">
        <is>
          <t>AMUR_VID_15s_CityDrive_v2</t>
        </is>
      </c>
      <c r="M221" s="42" t="inlineStr">
        <is>
          <t>Video 9:16</t>
        </is>
      </c>
      <c r="N221" s="42" t="inlineStr">
        <is>
          <t>Zero deposit. Real drive. Today.</t>
        </is>
      </c>
      <c r="O221" s="42" t="inlineStr">
        <is>
          <t>Auction - Lowest Cost</t>
        </is>
      </c>
      <c r="P221" s="42" t="inlineStr">
        <is>
          <t>Offsite Conversions</t>
        </is>
      </c>
      <c r="Q221" s="42" t="inlineStr">
        <is>
          <t>https://www.lepas-sa.co.za/offers/amur</t>
        </is>
      </c>
      <c r="R221" s="115" t="n">
        <v>148.27</v>
      </c>
      <c r="S221" s="116" t="n">
        <v>1835</v>
      </c>
      <c r="T221" s="116" t="n">
        <v>988</v>
      </c>
      <c r="U221" s="117">
        <f>IFERROR(S221/T221,"")</f>
        <v/>
      </c>
      <c r="V221" s="116" t="n">
        <v>41</v>
      </c>
      <c r="W221" s="116" t="n">
        <v>31</v>
      </c>
      <c r="X221" s="118">
        <f>IFERROR(W221/S221,"")</f>
        <v/>
      </c>
      <c r="Y221" s="115">
        <f>IFERROR(R221/W221,"")</f>
        <v/>
      </c>
      <c r="Z221" s="115">
        <f>IFERROR(R221/S221*1000,"")</f>
        <v/>
      </c>
      <c r="AA221" s="116" t="n">
        <v>25</v>
      </c>
      <c r="AB221" s="47">
        <f>IFERROR(AA221/W221,"")</f>
        <v/>
      </c>
      <c r="AC221" s="116" t="n">
        <v>443</v>
      </c>
      <c r="AD221" s="116" t="n">
        <v>208</v>
      </c>
      <c r="AE221" s="116" t="n">
        <v>179</v>
      </c>
      <c r="AF221" s="116" t="n">
        <v>106</v>
      </c>
      <c r="AG221" s="116" t="n">
        <v>79</v>
      </c>
      <c r="AH221" s="116" t="n">
        <v>48</v>
      </c>
      <c r="AI221" s="47">
        <f>IFERROR(AC221/S221,"")</f>
        <v/>
      </c>
      <c r="AJ221" s="47">
        <f>IFERROR(AH221/S221,"")</f>
        <v/>
      </c>
      <c r="AK221" s="116" t="n">
        <v>53</v>
      </c>
      <c r="AL221" s="116" t="n">
        <v>1</v>
      </c>
      <c r="AM221" s="118">
        <f>IFERROR(AL221/AA221,"")</f>
        <v/>
      </c>
      <c r="AN221" s="119">
        <f>IFERROR(R221/AL221,"")</f>
        <v/>
      </c>
      <c r="AO221" s="116" t="n">
        <v>1</v>
      </c>
      <c r="AP221" s="47">
        <f>IFERROR(AO221/AL221,"")</f>
        <v/>
      </c>
      <c r="AQ221" s="119">
        <f>IFERROR(R221/AO221,"")</f>
        <v/>
      </c>
      <c r="AR221" s="116" t="n">
        <v>0</v>
      </c>
      <c r="AS221" s="116" t="n">
        <v>1</v>
      </c>
      <c r="AT221" s="116">
        <f>AL221+AR221</f>
        <v/>
      </c>
      <c r="AU221" s="119">
        <f>IFERROR(AO221*Assumptions!$C$26*Assumptions!$C$27*INDEX(Assumptions!$C$18:$C$21,MATCH(H221,Assumptions!$B$18:$B$21,0)),0)</f>
        <v/>
      </c>
    </row>
    <row r="222">
      <c r="A222" s="114" t="n">
        <v>46235</v>
      </c>
      <c r="B222" s="42" t="inlineStr">
        <is>
          <t>Wk 31</t>
        </is>
      </c>
      <c r="C222" s="42" t="inlineStr">
        <is>
          <t>Sat</t>
        </is>
      </c>
      <c r="D222" s="42" t="inlineStr">
        <is>
          <t>Meta (FB/IG)</t>
        </is>
      </c>
      <c r="E222" s="42" t="inlineStr">
        <is>
          <t>Facebook + Instagram</t>
        </is>
      </c>
      <c r="F222" s="42" t="inlineStr">
        <is>
          <t>LEP_ZA_AUG26_META_TD_AMUR_CONV</t>
        </is>
      </c>
      <c r="G222" s="42" t="inlineStr">
        <is>
          <t>Leads - Website Conversions</t>
        </is>
      </c>
      <c r="H222" s="42" t="inlineStr">
        <is>
          <t>AMUR</t>
        </is>
      </c>
      <c r="I222" s="42" t="inlineStr">
        <is>
          <t>0% Deposit</t>
        </is>
      </c>
      <c r="J222" s="42" t="inlineStr">
        <is>
          <t>MET_AMUR_INMKT_HATCH_ZA</t>
        </is>
      </c>
      <c r="K222" s="42" t="inlineStr">
        <is>
          <t>In-Market</t>
        </is>
      </c>
      <c r="L222" s="42" t="inlineStr">
        <is>
          <t>AMUR_CAR_4card_SpecStack_v1</t>
        </is>
      </c>
      <c r="M222" s="42" t="inlineStr">
        <is>
          <t>Carousel</t>
        </is>
      </c>
      <c r="N222" s="42" t="inlineStr">
        <is>
          <t>4 reasons the AMUR outsells its class</t>
        </is>
      </c>
      <c r="O222" s="42" t="inlineStr">
        <is>
          <t>Auction - Lowest Cost</t>
        </is>
      </c>
      <c r="P222" s="42" t="inlineStr">
        <is>
          <t>Offsite Conversions</t>
        </is>
      </c>
      <c r="Q222" s="42" t="inlineStr">
        <is>
          <t>https://www.lepas-sa.co.za/offers/amur</t>
        </is>
      </c>
      <c r="R222" s="115" t="n">
        <v>100.57</v>
      </c>
      <c r="S222" s="116" t="n">
        <v>1069</v>
      </c>
      <c r="T222" s="116" t="n">
        <v>879</v>
      </c>
      <c r="U222" s="117">
        <f>IFERROR(S222/T222,"")</f>
        <v/>
      </c>
      <c r="V222" s="116" t="n">
        <v>22</v>
      </c>
      <c r="W222" s="116" t="n">
        <v>16</v>
      </c>
      <c r="X222" s="118">
        <f>IFERROR(W222/S222,"")</f>
        <v/>
      </c>
      <c r="Y222" s="115">
        <f>IFERROR(R222/W222,"")</f>
        <v/>
      </c>
      <c r="Z222" s="115">
        <f>IFERROR(R222/S222*1000,"")</f>
        <v/>
      </c>
      <c r="AA222" s="116" t="n">
        <v>14</v>
      </c>
      <c r="AB222" s="47">
        <f>IFERROR(AA222/W222,"")</f>
        <v/>
      </c>
      <c r="AC222" s="116" t="n">
        <v>0</v>
      </c>
      <c r="AD222" s="116" t="n">
        <v>0</v>
      </c>
      <c r="AE222" s="116" t="n">
        <v>0</v>
      </c>
      <c r="AF222" s="116" t="n">
        <v>0</v>
      </c>
      <c r="AG222" s="116" t="n">
        <v>0</v>
      </c>
      <c r="AH222" s="116" t="n">
        <v>0</v>
      </c>
      <c r="AI222" s="47">
        <f>IFERROR(AC222/S222,"")</f>
        <v/>
      </c>
      <c r="AJ222" s="47">
        <f>IFERROR(AH222/S222,"")</f>
        <v/>
      </c>
      <c r="AK222" s="116" t="n">
        <v>31</v>
      </c>
      <c r="AL222" s="116" t="n">
        <v>0</v>
      </c>
      <c r="AM222" s="118">
        <f>IFERROR(AL222/AA222,"")</f>
        <v/>
      </c>
      <c r="AN222" s="119">
        <f>IFERROR(R222/AL222,"")</f>
        <v/>
      </c>
      <c r="AO222" s="116" t="n">
        <v>0</v>
      </c>
      <c r="AP222" s="47">
        <f>IFERROR(AO222/AL222,"")</f>
        <v/>
      </c>
      <c r="AQ222" s="119">
        <f>IFERROR(R222/AO222,"")</f>
        <v/>
      </c>
      <c r="AR222" s="116" t="n">
        <v>0</v>
      </c>
      <c r="AS222" s="116" t="n">
        <v>0</v>
      </c>
      <c r="AT222" s="116">
        <f>AL222+AR222</f>
        <v/>
      </c>
      <c r="AU222" s="119">
        <f>IFERROR(AO222*Assumptions!$C$26*Assumptions!$C$27*INDEX(Assumptions!$C$18:$C$21,MATCH(H222,Assumptions!$B$18:$B$21,0)),0)</f>
        <v/>
      </c>
    </row>
    <row r="223">
      <c r="A223" s="114" t="n">
        <v>46236</v>
      </c>
      <c r="B223" s="42" t="inlineStr">
        <is>
          <t>Wk 31</t>
        </is>
      </c>
      <c r="C223" s="42" t="inlineStr">
        <is>
          <t>Sun</t>
        </is>
      </c>
      <c r="D223" s="42" t="inlineStr">
        <is>
          <t>Meta (FB/IG)</t>
        </is>
      </c>
      <c r="E223" s="42" t="inlineStr">
        <is>
          <t>Facebook + Instagram</t>
        </is>
      </c>
      <c r="F223" s="42" t="inlineStr">
        <is>
          <t>LEP_ZA_AUG26_META_TD_AMUR_CONV</t>
        </is>
      </c>
      <c r="G223" s="42" t="inlineStr">
        <is>
          <t>Leads - Website Conversions</t>
        </is>
      </c>
      <c r="H223" s="42" t="inlineStr">
        <is>
          <t>AMUR</t>
        </is>
      </c>
      <c r="I223" s="42" t="inlineStr">
        <is>
          <t>0% Deposit</t>
        </is>
      </c>
      <c r="J223" s="42" t="inlineStr">
        <is>
          <t>MET_AMUR_INMKT_HATCH_ZA</t>
        </is>
      </c>
      <c r="K223" s="42" t="inlineStr">
        <is>
          <t>In-Market</t>
        </is>
      </c>
      <c r="L223" s="42" t="inlineStr">
        <is>
          <t>AMUR_CAR_4card_SpecStack_v1</t>
        </is>
      </c>
      <c r="M223" s="42" t="inlineStr">
        <is>
          <t>Carousel</t>
        </is>
      </c>
      <c r="N223" s="42" t="inlineStr">
        <is>
          <t>4 reasons the AMUR outsells its class</t>
        </is>
      </c>
      <c r="O223" s="42" t="inlineStr">
        <is>
          <t>Auction - Lowest Cost</t>
        </is>
      </c>
      <c r="P223" s="42" t="inlineStr">
        <is>
          <t>Offsite Conversions</t>
        </is>
      </c>
      <c r="Q223" s="42" t="inlineStr">
        <is>
          <t>https://www.lepas-sa.co.za/offers/amur</t>
        </is>
      </c>
      <c r="R223" s="115" t="n">
        <v>89.81</v>
      </c>
      <c r="S223" s="116" t="n">
        <v>1022</v>
      </c>
      <c r="T223" s="116" t="n">
        <v>799</v>
      </c>
      <c r="U223" s="117">
        <f>IFERROR(S223/T223,"")</f>
        <v/>
      </c>
      <c r="V223" s="116" t="n">
        <v>31</v>
      </c>
      <c r="W223" s="116" t="n">
        <v>22</v>
      </c>
      <c r="X223" s="118">
        <f>IFERROR(W223/S223,"")</f>
        <v/>
      </c>
      <c r="Y223" s="115">
        <f>IFERROR(R223/W223,"")</f>
        <v/>
      </c>
      <c r="Z223" s="115">
        <f>IFERROR(R223/S223*1000,"")</f>
        <v/>
      </c>
      <c r="AA223" s="116" t="n">
        <v>20</v>
      </c>
      <c r="AB223" s="47">
        <f>IFERROR(AA223/W223,"")</f>
        <v/>
      </c>
      <c r="AC223" s="116" t="n">
        <v>0</v>
      </c>
      <c r="AD223" s="116" t="n">
        <v>0</v>
      </c>
      <c r="AE223" s="116" t="n">
        <v>0</v>
      </c>
      <c r="AF223" s="116" t="n">
        <v>0</v>
      </c>
      <c r="AG223" s="116" t="n">
        <v>0</v>
      </c>
      <c r="AH223" s="116" t="n">
        <v>0</v>
      </c>
      <c r="AI223" s="47">
        <f>IFERROR(AC223/S223,"")</f>
        <v/>
      </c>
      <c r="AJ223" s="47">
        <f>IFERROR(AH223/S223,"")</f>
        <v/>
      </c>
      <c r="AK223" s="116" t="n">
        <v>16</v>
      </c>
      <c r="AL223" s="116" t="n">
        <v>0</v>
      </c>
      <c r="AM223" s="118">
        <f>IFERROR(AL223/AA223,"")</f>
        <v/>
      </c>
      <c r="AN223" s="119">
        <f>IFERROR(R223/AL223,"")</f>
        <v/>
      </c>
      <c r="AO223" s="116" t="n">
        <v>0</v>
      </c>
      <c r="AP223" s="47">
        <f>IFERROR(AO223/AL223,"")</f>
        <v/>
      </c>
      <c r="AQ223" s="119">
        <f>IFERROR(R223/AO223,"")</f>
        <v/>
      </c>
      <c r="AR223" s="116" t="n">
        <v>0</v>
      </c>
      <c r="AS223" s="116" t="n">
        <v>0</v>
      </c>
      <c r="AT223" s="116">
        <f>AL223+AR223</f>
        <v/>
      </c>
      <c r="AU223" s="119">
        <f>IFERROR(AO223*Assumptions!$C$26*Assumptions!$C$27*INDEX(Assumptions!$C$18:$C$21,MATCH(H223,Assumptions!$B$18:$B$21,0)),0)</f>
        <v/>
      </c>
    </row>
    <row r="224">
      <c r="A224" s="114" t="n">
        <v>46237</v>
      </c>
      <c r="B224" s="42" t="inlineStr">
        <is>
          <t>Wk 32</t>
        </is>
      </c>
      <c r="C224" s="42" t="inlineStr">
        <is>
          <t>Mon</t>
        </is>
      </c>
      <c r="D224" s="42" t="inlineStr">
        <is>
          <t>Meta (FB/IG)</t>
        </is>
      </c>
      <c r="E224" s="42" t="inlineStr">
        <is>
          <t>Facebook + Instagram</t>
        </is>
      </c>
      <c r="F224" s="42" t="inlineStr">
        <is>
          <t>LEP_ZA_AUG26_META_TD_AMUR_CONV</t>
        </is>
      </c>
      <c r="G224" s="42" t="inlineStr">
        <is>
          <t>Leads - Website Conversions</t>
        </is>
      </c>
      <c r="H224" s="42" t="inlineStr">
        <is>
          <t>AMUR</t>
        </is>
      </c>
      <c r="I224" s="42" t="inlineStr">
        <is>
          <t>0% Deposit</t>
        </is>
      </c>
      <c r="J224" s="42" t="inlineStr">
        <is>
          <t>MET_AMUR_INMKT_HATCH_ZA</t>
        </is>
      </c>
      <c r="K224" s="42" t="inlineStr">
        <is>
          <t>In-Market</t>
        </is>
      </c>
      <c r="L224" s="42" t="inlineStr">
        <is>
          <t>AMUR_CAR_4card_SpecStack_v1</t>
        </is>
      </c>
      <c r="M224" s="42" t="inlineStr">
        <is>
          <t>Carousel</t>
        </is>
      </c>
      <c r="N224" s="42" t="inlineStr">
        <is>
          <t>4 reasons the AMUR outsells its class</t>
        </is>
      </c>
      <c r="O224" s="42" t="inlineStr">
        <is>
          <t>Auction - Lowest Cost</t>
        </is>
      </c>
      <c r="P224" s="42" t="inlineStr">
        <is>
          <t>Offsite Conversions</t>
        </is>
      </c>
      <c r="Q224" s="42" t="inlineStr">
        <is>
          <t>https://www.lepas-sa.co.za/offers/amur</t>
        </is>
      </c>
      <c r="R224" s="115" t="n">
        <v>86.94</v>
      </c>
      <c r="S224" s="116" t="n">
        <v>1009</v>
      </c>
      <c r="T224" s="116" t="n">
        <v>776</v>
      </c>
      <c r="U224" s="117">
        <f>IFERROR(S224/T224,"")</f>
        <v/>
      </c>
      <c r="V224" s="116" t="n">
        <v>21</v>
      </c>
      <c r="W224" s="116" t="n">
        <v>15</v>
      </c>
      <c r="X224" s="118">
        <f>IFERROR(W224/S224,"")</f>
        <v/>
      </c>
      <c r="Y224" s="115">
        <f>IFERROR(R224/W224,"")</f>
        <v/>
      </c>
      <c r="Z224" s="115">
        <f>IFERROR(R224/S224*1000,"")</f>
        <v/>
      </c>
      <c r="AA224" s="116" t="n">
        <v>13</v>
      </c>
      <c r="AB224" s="47">
        <f>IFERROR(AA224/W224,"")</f>
        <v/>
      </c>
      <c r="AC224" s="116" t="n">
        <v>0</v>
      </c>
      <c r="AD224" s="116" t="n">
        <v>0</v>
      </c>
      <c r="AE224" s="116" t="n">
        <v>0</v>
      </c>
      <c r="AF224" s="116" t="n">
        <v>0</v>
      </c>
      <c r="AG224" s="116" t="n">
        <v>0</v>
      </c>
      <c r="AH224" s="116" t="n">
        <v>0</v>
      </c>
      <c r="AI224" s="47">
        <f>IFERROR(AC224/S224,"")</f>
        <v/>
      </c>
      <c r="AJ224" s="47">
        <f>IFERROR(AH224/S224,"")</f>
        <v/>
      </c>
      <c r="AK224" s="116" t="n">
        <v>24</v>
      </c>
      <c r="AL224" s="116" t="n">
        <v>0</v>
      </c>
      <c r="AM224" s="118">
        <f>IFERROR(AL224/AA224,"")</f>
        <v/>
      </c>
      <c r="AN224" s="119">
        <f>IFERROR(R224/AL224,"")</f>
        <v/>
      </c>
      <c r="AO224" s="116" t="n">
        <v>0</v>
      </c>
      <c r="AP224" s="47">
        <f>IFERROR(AO224/AL224,"")</f>
        <v/>
      </c>
      <c r="AQ224" s="119">
        <f>IFERROR(R224/AO224,"")</f>
        <v/>
      </c>
      <c r="AR224" s="116" t="n">
        <v>0</v>
      </c>
      <c r="AS224" s="116" t="n">
        <v>0</v>
      </c>
      <c r="AT224" s="116">
        <f>AL224+AR224</f>
        <v/>
      </c>
      <c r="AU224" s="119">
        <f>IFERROR(AO224*Assumptions!$C$26*Assumptions!$C$27*INDEX(Assumptions!$C$18:$C$21,MATCH(H224,Assumptions!$B$18:$B$21,0)),0)</f>
        <v/>
      </c>
    </row>
    <row r="225">
      <c r="A225" s="114" t="n">
        <v>46238</v>
      </c>
      <c r="B225" s="42" t="inlineStr">
        <is>
          <t>Wk 32</t>
        </is>
      </c>
      <c r="C225" s="42" t="inlineStr">
        <is>
          <t>Tue</t>
        </is>
      </c>
      <c r="D225" s="42" t="inlineStr">
        <is>
          <t>Meta (FB/IG)</t>
        </is>
      </c>
      <c r="E225" s="42" t="inlineStr">
        <is>
          <t>Facebook + Instagram</t>
        </is>
      </c>
      <c r="F225" s="42" t="inlineStr">
        <is>
          <t>LEP_ZA_AUG26_META_TD_AMUR_CONV</t>
        </is>
      </c>
      <c r="G225" s="42" t="inlineStr">
        <is>
          <t>Leads - Website Conversions</t>
        </is>
      </c>
      <c r="H225" s="42" t="inlineStr">
        <is>
          <t>AMUR</t>
        </is>
      </c>
      <c r="I225" s="42" t="inlineStr">
        <is>
          <t>0% Deposit</t>
        </is>
      </c>
      <c r="J225" s="42" t="inlineStr">
        <is>
          <t>MET_AMUR_INMKT_HATCH_ZA</t>
        </is>
      </c>
      <c r="K225" s="42" t="inlineStr">
        <is>
          <t>In-Market</t>
        </is>
      </c>
      <c r="L225" s="42" t="inlineStr">
        <is>
          <t>AMUR_CAR_4card_SpecStack_v1</t>
        </is>
      </c>
      <c r="M225" s="42" t="inlineStr">
        <is>
          <t>Carousel</t>
        </is>
      </c>
      <c r="N225" s="42" t="inlineStr">
        <is>
          <t>4 reasons the AMUR outsells its class</t>
        </is>
      </c>
      <c r="O225" s="42" t="inlineStr">
        <is>
          <t>Auction - Lowest Cost</t>
        </is>
      </c>
      <c r="P225" s="42" t="inlineStr">
        <is>
          <t>Offsite Conversions</t>
        </is>
      </c>
      <c r="Q225" s="42" t="inlineStr">
        <is>
          <t>https://www.lepas-sa.co.za/offers/amur</t>
        </is>
      </c>
      <c r="R225" s="115" t="n">
        <v>93.33</v>
      </c>
      <c r="S225" s="116" t="n">
        <v>1192</v>
      </c>
      <c r="T225" s="116" t="n">
        <v>999</v>
      </c>
      <c r="U225" s="117">
        <f>IFERROR(S225/T225,"")</f>
        <v/>
      </c>
      <c r="V225" s="116" t="n">
        <v>33</v>
      </c>
      <c r="W225" s="116" t="n">
        <v>23</v>
      </c>
      <c r="X225" s="118">
        <f>IFERROR(W225/S225,"")</f>
        <v/>
      </c>
      <c r="Y225" s="115">
        <f>IFERROR(R225/W225,"")</f>
        <v/>
      </c>
      <c r="Z225" s="115">
        <f>IFERROR(R225/S225*1000,"")</f>
        <v/>
      </c>
      <c r="AA225" s="116" t="n">
        <v>20</v>
      </c>
      <c r="AB225" s="47">
        <f>IFERROR(AA225/W225,"")</f>
        <v/>
      </c>
      <c r="AC225" s="116" t="n">
        <v>0</v>
      </c>
      <c r="AD225" s="116" t="n">
        <v>0</v>
      </c>
      <c r="AE225" s="116" t="n">
        <v>0</v>
      </c>
      <c r="AF225" s="116" t="n">
        <v>0</v>
      </c>
      <c r="AG225" s="116" t="n">
        <v>0</v>
      </c>
      <c r="AH225" s="116" t="n">
        <v>0</v>
      </c>
      <c r="AI225" s="47">
        <f>IFERROR(AC225/S225,"")</f>
        <v/>
      </c>
      <c r="AJ225" s="47">
        <f>IFERROR(AH225/S225,"")</f>
        <v/>
      </c>
      <c r="AK225" s="116" t="n">
        <v>12</v>
      </c>
      <c r="AL225" s="116" t="n">
        <v>1</v>
      </c>
      <c r="AM225" s="118">
        <f>IFERROR(AL225/AA225,"")</f>
        <v/>
      </c>
      <c r="AN225" s="119">
        <f>IFERROR(R225/AL225,"")</f>
        <v/>
      </c>
      <c r="AO225" s="116" t="n">
        <v>1</v>
      </c>
      <c r="AP225" s="47">
        <f>IFERROR(AO225/AL225,"")</f>
        <v/>
      </c>
      <c r="AQ225" s="119">
        <f>IFERROR(R225/AO225,"")</f>
        <v/>
      </c>
      <c r="AR225" s="116" t="n">
        <v>0</v>
      </c>
      <c r="AS225" s="116" t="n">
        <v>1</v>
      </c>
      <c r="AT225" s="116">
        <f>AL225+AR225</f>
        <v/>
      </c>
      <c r="AU225" s="119">
        <f>IFERROR(AO225*Assumptions!$C$26*Assumptions!$C$27*INDEX(Assumptions!$C$18:$C$21,MATCH(H225,Assumptions!$B$18:$B$21,0)),0)</f>
        <v/>
      </c>
    </row>
    <row r="226">
      <c r="A226" s="114" t="n">
        <v>46239</v>
      </c>
      <c r="B226" s="42" t="inlineStr">
        <is>
          <t>Wk 32</t>
        </is>
      </c>
      <c r="C226" s="42" t="inlineStr">
        <is>
          <t>Wed</t>
        </is>
      </c>
      <c r="D226" s="42" t="inlineStr">
        <is>
          <t>Meta (FB/IG)</t>
        </is>
      </c>
      <c r="E226" s="42" t="inlineStr">
        <is>
          <t>Facebook + Instagram</t>
        </is>
      </c>
      <c r="F226" s="42" t="inlineStr">
        <is>
          <t>LEP_ZA_AUG26_META_TD_AMUR_CONV</t>
        </is>
      </c>
      <c r="G226" s="42" t="inlineStr">
        <is>
          <t>Leads - Website Conversions</t>
        </is>
      </c>
      <c r="H226" s="42" t="inlineStr">
        <is>
          <t>AMUR</t>
        </is>
      </c>
      <c r="I226" s="42" t="inlineStr">
        <is>
          <t>0% Deposit</t>
        </is>
      </c>
      <c r="J226" s="42" t="inlineStr">
        <is>
          <t>MET_AMUR_INMKT_HATCH_ZA</t>
        </is>
      </c>
      <c r="K226" s="42" t="inlineStr">
        <is>
          <t>In-Market</t>
        </is>
      </c>
      <c r="L226" s="42" t="inlineStr">
        <is>
          <t>AMUR_CAR_4card_SpecStack_v1</t>
        </is>
      </c>
      <c r="M226" s="42" t="inlineStr">
        <is>
          <t>Carousel</t>
        </is>
      </c>
      <c r="N226" s="42" t="inlineStr">
        <is>
          <t>4 reasons the AMUR outsells its class</t>
        </is>
      </c>
      <c r="O226" s="42" t="inlineStr">
        <is>
          <t>Auction - Lowest Cost</t>
        </is>
      </c>
      <c r="P226" s="42" t="inlineStr">
        <is>
          <t>Offsite Conversions</t>
        </is>
      </c>
      <c r="Q226" s="42" t="inlineStr">
        <is>
          <t>https://www.lepas-sa.co.za/offers/amur</t>
        </is>
      </c>
      <c r="R226" s="115" t="n">
        <v>111.82</v>
      </c>
      <c r="S226" s="116" t="n">
        <v>1207</v>
      </c>
      <c r="T226" s="116" t="n">
        <v>816</v>
      </c>
      <c r="U226" s="117">
        <f>IFERROR(S226/T226,"")</f>
        <v/>
      </c>
      <c r="V226" s="116" t="n">
        <v>25</v>
      </c>
      <c r="W226" s="116" t="n">
        <v>18</v>
      </c>
      <c r="X226" s="118">
        <f>IFERROR(W226/S226,"")</f>
        <v/>
      </c>
      <c r="Y226" s="115">
        <f>IFERROR(R226/W226,"")</f>
        <v/>
      </c>
      <c r="Z226" s="115">
        <f>IFERROR(R226/S226*1000,"")</f>
        <v/>
      </c>
      <c r="AA226" s="116" t="n">
        <v>15</v>
      </c>
      <c r="AB226" s="47">
        <f>IFERROR(AA226/W226,"")</f>
        <v/>
      </c>
      <c r="AC226" s="116" t="n">
        <v>0</v>
      </c>
      <c r="AD226" s="116" t="n">
        <v>0</v>
      </c>
      <c r="AE226" s="116" t="n">
        <v>0</v>
      </c>
      <c r="AF226" s="116" t="n">
        <v>0</v>
      </c>
      <c r="AG226" s="116" t="n">
        <v>0</v>
      </c>
      <c r="AH226" s="116" t="n">
        <v>0</v>
      </c>
      <c r="AI226" s="47">
        <f>IFERROR(AC226/S226,"")</f>
        <v/>
      </c>
      <c r="AJ226" s="47">
        <f>IFERROR(AH226/S226,"")</f>
        <v/>
      </c>
      <c r="AK226" s="116" t="n">
        <v>30</v>
      </c>
      <c r="AL226" s="116" t="n">
        <v>0</v>
      </c>
      <c r="AM226" s="118">
        <f>IFERROR(AL226/AA226,"")</f>
        <v/>
      </c>
      <c r="AN226" s="119">
        <f>IFERROR(R226/AL226,"")</f>
        <v/>
      </c>
      <c r="AO226" s="116" t="n">
        <v>0</v>
      </c>
      <c r="AP226" s="47">
        <f>IFERROR(AO226/AL226,"")</f>
        <v/>
      </c>
      <c r="AQ226" s="119">
        <f>IFERROR(R226/AO226,"")</f>
        <v/>
      </c>
      <c r="AR226" s="116" t="n">
        <v>0</v>
      </c>
      <c r="AS226" s="116" t="n">
        <v>0</v>
      </c>
      <c r="AT226" s="116">
        <f>AL226+AR226</f>
        <v/>
      </c>
      <c r="AU226" s="119">
        <f>IFERROR(AO226*Assumptions!$C$26*Assumptions!$C$27*INDEX(Assumptions!$C$18:$C$21,MATCH(H226,Assumptions!$B$18:$B$21,0)),0)</f>
        <v/>
      </c>
    </row>
    <row r="227">
      <c r="A227" s="114" t="n">
        <v>46240</v>
      </c>
      <c r="B227" s="42" t="inlineStr">
        <is>
          <t>Wk 32</t>
        </is>
      </c>
      <c r="C227" s="42" t="inlineStr">
        <is>
          <t>Thu</t>
        </is>
      </c>
      <c r="D227" s="42" t="inlineStr">
        <is>
          <t>Meta (FB/IG)</t>
        </is>
      </c>
      <c r="E227" s="42" t="inlineStr">
        <is>
          <t>Facebook + Instagram</t>
        </is>
      </c>
      <c r="F227" s="42" t="inlineStr">
        <is>
          <t>LEP_ZA_AUG26_META_TD_AMUR_CONV</t>
        </is>
      </c>
      <c r="G227" s="42" t="inlineStr">
        <is>
          <t>Leads - Website Conversions</t>
        </is>
      </c>
      <c r="H227" s="42" t="inlineStr">
        <is>
          <t>AMUR</t>
        </is>
      </c>
      <c r="I227" s="42" t="inlineStr">
        <is>
          <t>0% Deposit</t>
        </is>
      </c>
      <c r="J227" s="42" t="inlineStr">
        <is>
          <t>MET_AMUR_INMKT_HATCH_ZA</t>
        </is>
      </c>
      <c r="K227" s="42" t="inlineStr">
        <is>
          <t>In-Market</t>
        </is>
      </c>
      <c r="L227" s="42" t="inlineStr">
        <is>
          <t>AMUR_CAR_4card_SpecStack_v1</t>
        </is>
      </c>
      <c r="M227" s="42" t="inlineStr">
        <is>
          <t>Carousel</t>
        </is>
      </c>
      <c r="N227" s="42" t="inlineStr">
        <is>
          <t>4 reasons the AMUR outsells its class</t>
        </is>
      </c>
      <c r="O227" s="42" t="inlineStr">
        <is>
          <t>Auction - Lowest Cost</t>
        </is>
      </c>
      <c r="P227" s="42" t="inlineStr">
        <is>
          <t>Offsite Conversions</t>
        </is>
      </c>
      <c r="Q227" s="42" t="inlineStr">
        <is>
          <t>https://www.lepas-sa.co.za/offers/amur</t>
        </is>
      </c>
      <c r="R227" s="115" t="n">
        <v>124.32</v>
      </c>
      <c r="S227" s="116" t="n">
        <v>1202</v>
      </c>
      <c r="T227" s="116" t="n">
        <v>772</v>
      </c>
      <c r="U227" s="117">
        <f>IFERROR(S227/T227,"")</f>
        <v/>
      </c>
      <c r="V227" s="116" t="n">
        <v>19</v>
      </c>
      <c r="W227" s="116" t="n">
        <v>15</v>
      </c>
      <c r="X227" s="118">
        <f>IFERROR(W227/S227,"")</f>
        <v/>
      </c>
      <c r="Y227" s="115">
        <f>IFERROR(R227/W227,"")</f>
        <v/>
      </c>
      <c r="Z227" s="115">
        <f>IFERROR(R227/S227*1000,"")</f>
        <v/>
      </c>
      <c r="AA227" s="116" t="n">
        <v>14</v>
      </c>
      <c r="AB227" s="47">
        <f>IFERROR(AA227/W227,"")</f>
        <v/>
      </c>
      <c r="AC227" s="116" t="n">
        <v>0</v>
      </c>
      <c r="AD227" s="116" t="n">
        <v>0</v>
      </c>
      <c r="AE227" s="116" t="n">
        <v>0</v>
      </c>
      <c r="AF227" s="116" t="n">
        <v>0</v>
      </c>
      <c r="AG227" s="116" t="n">
        <v>0</v>
      </c>
      <c r="AH227" s="116" t="n">
        <v>0</v>
      </c>
      <c r="AI227" s="47">
        <f>IFERROR(AC227/S227,"")</f>
        <v/>
      </c>
      <c r="AJ227" s="47">
        <f>IFERROR(AH227/S227,"")</f>
        <v/>
      </c>
      <c r="AK227" s="116" t="n">
        <v>34</v>
      </c>
      <c r="AL227" s="116" t="n">
        <v>0</v>
      </c>
      <c r="AM227" s="118">
        <f>IFERROR(AL227/AA227,"")</f>
        <v/>
      </c>
      <c r="AN227" s="119">
        <f>IFERROR(R227/AL227,"")</f>
        <v/>
      </c>
      <c r="AO227" s="116" t="n">
        <v>0</v>
      </c>
      <c r="AP227" s="47">
        <f>IFERROR(AO227/AL227,"")</f>
        <v/>
      </c>
      <c r="AQ227" s="119">
        <f>IFERROR(R227/AO227,"")</f>
        <v/>
      </c>
      <c r="AR227" s="116" t="n">
        <v>0</v>
      </c>
      <c r="AS227" s="116" t="n">
        <v>0</v>
      </c>
      <c r="AT227" s="116">
        <f>AL227+AR227</f>
        <v/>
      </c>
      <c r="AU227" s="119">
        <f>IFERROR(AO227*Assumptions!$C$26*Assumptions!$C$27*INDEX(Assumptions!$C$18:$C$21,MATCH(H227,Assumptions!$B$18:$B$21,0)),0)</f>
        <v/>
      </c>
    </row>
    <row r="228">
      <c r="A228" s="114" t="n">
        <v>46241</v>
      </c>
      <c r="B228" s="42" t="inlineStr">
        <is>
          <t>Wk 32</t>
        </is>
      </c>
      <c r="C228" s="42" t="inlineStr">
        <is>
          <t>Fri</t>
        </is>
      </c>
      <c r="D228" s="42" t="inlineStr">
        <is>
          <t>Meta (FB/IG)</t>
        </is>
      </c>
      <c r="E228" s="42" t="inlineStr">
        <is>
          <t>Facebook + Instagram</t>
        </is>
      </c>
      <c r="F228" s="42" t="inlineStr">
        <is>
          <t>LEP_ZA_AUG26_META_TD_AMUR_CONV</t>
        </is>
      </c>
      <c r="G228" s="42" t="inlineStr">
        <is>
          <t>Leads - Website Conversions</t>
        </is>
      </c>
      <c r="H228" s="42" t="inlineStr">
        <is>
          <t>AMUR</t>
        </is>
      </c>
      <c r="I228" s="42" t="inlineStr">
        <is>
          <t>0% Deposit</t>
        </is>
      </c>
      <c r="J228" s="42" t="inlineStr">
        <is>
          <t>MET_AMUR_INMKT_HATCH_ZA</t>
        </is>
      </c>
      <c r="K228" s="42" t="inlineStr">
        <is>
          <t>In-Market</t>
        </is>
      </c>
      <c r="L228" s="42" t="inlineStr">
        <is>
          <t>AMUR_CAR_4card_SpecStack_v1</t>
        </is>
      </c>
      <c r="M228" s="42" t="inlineStr">
        <is>
          <t>Carousel</t>
        </is>
      </c>
      <c r="N228" s="42" t="inlineStr">
        <is>
          <t>4 reasons the AMUR outsells its class</t>
        </is>
      </c>
      <c r="O228" s="42" t="inlineStr">
        <is>
          <t>Auction - Lowest Cost</t>
        </is>
      </c>
      <c r="P228" s="42" t="inlineStr">
        <is>
          <t>Offsite Conversions</t>
        </is>
      </c>
      <c r="Q228" s="42" t="inlineStr">
        <is>
          <t>https://www.lepas-sa.co.za/offers/amur</t>
        </is>
      </c>
      <c r="R228" s="115" t="n">
        <v>111.68</v>
      </c>
      <c r="S228" s="116" t="n">
        <v>1567</v>
      </c>
      <c r="T228" s="116" t="n">
        <v>986</v>
      </c>
      <c r="U228" s="117">
        <f>IFERROR(S228/T228,"")</f>
        <v/>
      </c>
      <c r="V228" s="116" t="n">
        <v>48</v>
      </c>
      <c r="W228" s="116" t="n">
        <v>34</v>
      </c>
      <c r="X228" s="118">
        <f>IFERROR(W228/S228,"")</f>
        <v/>
      </c>
      <c r="Y228" s="115">
        <f>IFERROR(R228/W228,"")</f>
        <v/>
      </c>
      <c r="Z228" s="115">
        <f>IFERROR(R228/S228*1000,"")</f>
        <v/>
      </c>
      <c r="AA228" s="116" t="n">
        <v>27</v>
      </c>
      <c r="AB228" s="47">
        <f>IFERROR(AA228/W228,"")</f>
        <v/>
      </c>
      <c r="AC228" s="116" t="n">
        <v>0</v>
      </c>
      <c r="AD228" s="116" t="n">
        <v>0</v>
      </c>
      <c r="AE228" s="116" t="n">
        <v>0</v>
      </c>
      <c r="AF228" s="116" t="n">
        <v>0</v>
      </c>
      <c r="AG228" s="116" t="n">
        <v>0</v>
      </c>
      <c r="AH228" s="116" t="n">
        <v>0</v>
      </c>
      <c r="AI228" s="47">
        <f>IFERROR(AC228/S228,"")</f>
        <v/>
      </c>
      <c r="AJ228" s="47">
        <f>IFERROR(AH228/S228,"")</f>
        <v/>
      </c>
      <c r="AK228" s="116" t="n">
        <v>31</v>
      </c>
      <c r="AL228" s="116" t="n">
        <v>1</v>
      </c>
      <c r="AM228" s="118">
        <f>IFERROR(AL228/AA228,"")</f>
        <v/>
      </c>
      <c r="AN228" s="119">
        <f>IFERROR(R228/AL228,"")</f>
        <v/>
      </c>
      <c r="AO228" s="116" t="n">
        <v>0</v>
      </c>
      <c r="AP228" s="47">
        <f>IFERROR(AO228/AL228,"")</f>
        <v/>
      </c>
      <c r="AQ228" s="119">
        <f>IFERROR(R228/AO228,"")</f>
        <v/>
      </c>
      <c r="AR228" s="116" t="n">
        <v>0</v>
      </c>
      <c r="AS228" s="116" t="n">
        <v>1</v>
      </c>
      <c r="AT228" s="116">
        <f>AL228+AR228</f>
        <v/>
      </c>
      <c r="AU228" s="119">
        <f>IFERROR(AO228*Assumptions!$C$26*Assumptions!$C$27*INDEX(Assumptions!$C$18:$C$21,MATCH(H228,Assumptions!$B$18:$B$21,0)),0)</f>
        <v/>
      </c>
    </row>
    <row r="229">
      <c r="A229" s="114" t="n">
        <v>46242</v>
      </c>
      <c r="B229" s="42" t="inlineStr">
        <is>
          <t>Wk 32</t>
        </is>
      </c>
      <c r="C229" s="42" t="inlineStr">
        <is>
          <t>Sat</t>
        </is>
      </c>
      <c r="D229" s="42" t="inlineStr">
        <is>
          <t>Meta (FB/IG)</t>
        </is>
      </c>
      <c r="E229" s="42" t="inlineStr">
        <is>
          <t>Facebook + Instagram</t>
        </is>
      </c>
      <c r="F229" s="42" t="inlineStr">
        <is>
          <t>LEP_ZA_AUG26_META_TD_AMUR_CONV</t>
        </is>
      </c>
      <c r="G229" s="42" t="inlineStr">
        <is>
          <t>Leads - Website Conversions</t>
        </is>
      </c>
      <c r="H229" s="42" t="inlineStr">
        <is>
          <t>AMUR</t>
        </is>
      </c>
      <c r="I229" s="42" t="inlineStr">
        <is>
          <t>0% Deposit</t>
        </is>
      </c>
      <c r="J229" s="42" t="inlineStr">
        <is>
          <t>MET_AMUR_INMKT_HATCH_ZA</t>
        </is>
      </c>
      <c r="K229" s="42" t="inlineStr">
        <is>
          <t>In-Market</t>
        </is>
      </c>
      <c r="L229" s="42" t="inlineStr">
        <is>
          <t>AMUR_CAR_4card_SpecStack_v1</t>
        </is>
      </c>
      <c r="M229" s="42" t="inlineStr">
        <is>
          <t>Carousel</t>
        </is>
      </c>
      <c r="N229" s="42" t="inlineStr">
        <is>
          <t>4 reasons the AMUR outsells its class</t>
        </is>
      </c>
      <c r="O229" s="42" t="inlineStr">
        <is>
          <t>Auction - Lowest Cost</t>
        </is>
      </c>
      <c r="P229" s="42" t="inlineStr">
        <is>
          <t>Offsite Conversions</t>
        </is>
      </c>
      <c r="Q229" s="42" t="inlineStr">
        <is>
          <t>https://www.lepas-sa.co.za/offers/amur</t>
        </is>
      </c>
      <c r="R229" s="115" t="n">
        <v>138.67</v>
      </c>
      <c r="S229" s="116" t="n">
        <v>2148</v>
      </c>
      <c r="T229" s="116" t="n">
        <v>1392</v>
      </c>
      <c r="U229" s="117">
        <f>IFERROR(S229/T229,"")</f>
        <v/>
      </c>
      <c r="V229" s="116" t="n">
        <v>43</v>
      </c>
      <c r="W229" s="116" t="n">
        <v>35</v>
      </c>
      <c r="X229" s="118">
        <f>IFERROR(W229/S229,"")</f>
        <v/>
      </c>
      <c r="Y229" s="115">
        <f>IFERROR(R229/W229,"")</f>
        <v/>
      </c>
      <c r="Z229" s="115">
        <f>IFERROR(R229/S229*1000,"")</f>
        <v/>
      </c>
      <c r="AA229" s="116" t="n">
        <v>28</v>
      </c>
      <c r="AB229" s="47">
        <f>IFERROR(AA229/W229,"")</f>
        <v/>
      </c>
      <c r="AC229" s="116" t="n">
        <v>0</v>
      </c>
      <c r="AD229" s="116" t="n">
        <v>0</v>
      </c>
      <c r="AE229" s="116" t="n">
        <v>0</v>
      </c>
      <c r="AF229" s="116" t="n">
        <v>0</v>
      </c>
      <c r="AG229" s="116" t="n">
        <v>0</v>
      </c>
      <c r="AH229" s="116" t="n">
        <v>0</v>
      </c>
      <c r="AI229" s="47">
        <f>IFERROR(AC229/S229,"")</f>
        <v/>
      </c>
      <c r="AJ229" s="47">
        <f>IFERROR(AH229/S229,"")</f>
        <v/>
      </c>
      <c r="AK229" s="116" t="n">
        <v>38</v>
      </c>
      <c r="AL229" s="116" t="n">
        <v>0</v>
      </c>
      <c r="AM229" s="118">
        <f>IFERROR(AL229/AA229,"")</f>
        <v/>
      </c>
      <c r="AN229" s="119">
        <f>IFERROR(R229/AL229,"")</f>
        <v/>
      </c>
      <c r="AO229" s="116" t="n">
        <v>0</v>
      </c>
      <c r="AP229" s="47">
        <f>IFERROR(AO229/AL229,"")</f>
        <v/>
      </c>
      <c r="AQ229" s="119">
        <f>IFERROR(R229/AO229,"")</f>
        <v/>
      </c>
      <c r="AR229" s="116" t="n">
        <v>0</v>
      </c>
      <c r="AS229" s="116" t="n">
        <v>0</v>
      </c>
      <c r="AT229" s="116">
        <f>AL229+AR229</f>
        <v/>
      </c>
      <c r="AU229" s="119">
        <f>IFERROR(AO229*Assumptions!$C$26*Assumptions!$C$27*INDEX(Assumptions!$C$18:$C$21,MATCH(H229,Assumptions!$B$18:$B$21,0)),0)</f>
        <v/>
      </c>
    </row>
    <row r="230">
      <c r="A230" s="114" t="n">
        <v>46243</v>
      </c>
      <c r="B230" s="42" t="inlineStr">
        <is>
          <t>Wk 32</t>
        </is>
      </c>
      <c r="C230" s="42" t="inlineStr">
        <is>
          <t>Sun</t>
        </is>
      </c>
      <c r="D230" s="42" t="inlineStr">
        <is>
          <t>Meta (FB/IG)</t>
        </is>
      </c>
      <c r="E230" s="42" t="inlineStr">
        <is>
          <t>Facebook + Instagram</t>
        </is>
      </c>
      <c r="F230" s="42" t="inlineStr">
        <is>
          <t>LEP_ZA_AUG26_META_TD_AMUR_CONV</t>
        </is>
      </c>
      <c r="G230" s="42" t="inlineStr">
        <is>
          <t>Leads - Website Conversions</t>
        </is>
      </c>
      <c r="H230" s="42" t="inlineStr">
        <is>
          <t>AMUR</t>
        </is>
      </c>
      <c r="I230" s="42" t="inlineStr">
        <is>
          <t>0% Deposit</t>
        </is>
      </c>
      <c r="J230" s="42" t="inlineStr">
        <is>
          <t>MET_AMUR_INMKT_HATCH_ZA</t>
        </is>
      </c>
      <c r="K230" s="42" t="inlineStr">
        <is>
          <t>In-Market</t>
        </is>
      </c>
      <c r="L230" s="42" t="inlineStr">
        <is>
          <t>AMUR_CAR_4card_SpecStack_v1</t>
        </is>
      </c>
      <c r="M230" s="42" t="inlineStr">
        <is>
          <t>Carousel</t>
        </is>
      </c>
      <c r="N230" s="42" t="inlineStr">
        <is>
          <t>4 reasons the AMUR outsells its class</t>
        </is>
      </c>
      <c r="O230" s="42" t="inlineStr">
        <is>
          <t>Auction - Lowest Cost</t>
        </is>
      </c>
      <c r="P230" s="42" t="inlineStr">
        <is>
          <t>Offsite Conversions</t>
        </is>
      </c>
      <c r="Q230" s="42" t="inlineStr">
        <is>
          <t>https://www.lepas-sa.co.za/offers/amur</t>
        </is>
      </c>
      <c r="R230" s="115" t="n">
        <v>96.54000000000001</v>
      </c>
      <c r="S230" s="116" t="n">
        <v>967</v>
      </c>
      <c r="T230" s="116" t="n">
        <v>705</v>
      </c>
      <c r="U230" s="117">
        <f>IFERROR(S230/T230,"")</f>
        <v/>
      </c>
      <c r="V230" s="116" t="n">
        <v>16</v>
      </c>
      <c r="W230" s="116" t="n">
        <v>13</v>
      </c>
      <c r="X230" s="118">
        <f>IFERROR(W230/S230,"")</f>
        <v/>
      </c>
      <c r="Y230" s="115">
        <f>IFERROR(R230/W230,"")</f>
        <v/>
      </c>
      <c r="Z230" s="115">
        <f>IFERROR(R230/S230*1000,"")</f>
        <v/>
      </c>
      <c r="AA230" s="116" t="n">
        <v>11</v>
      </c>
      <c r="AB230" s="47">
        <f>IFERROR(AA230/W230,"")</f>
        <v/>
      </c>
      <c r="AC230" s="116" t="n">
        <v>0</v>
      </c>
      <c r="AD230" s="116" t="n">
        <v>0</v>
      </c>
      <c r="AE230" s="116" t="n">
        <v>0</v>
      </c>
      <c r="AF230" s="116" t="n">
        <v>0</v>
      </c>
      <c r="AG230" s="116" t="n">
        <v>0</v>
      </c>
      <c r="AH230" s="116" t="n">
        <v>0</v>
      </c>
      <c r="AI230" s="47">
        <f>IFERROR(AC230/S230,"")</f>
        <v/>
      </c>
      <c r="AJ230" s="47">
        <f>IFERROR(AH230/S230,"")</f>
        <v/>
      </c>
      <c r="AK230" s="116" t="n">
        <v>17</v>
      </c>
      <c r="AL230" s="116" t="n">
        <v>0</v>
      </c>
      <c r="AM230" s="118">
        <f>IFERROR(AL230/AA230,"")</f>
        <v/>
      </c>
      <c r="AN230" s="119">
        <f>IFERROR(R230/AL230,"")</f>
        <v/>
      </c>
      <c r="AO230" s="116" t="n">
        <v>0</v>
      </c>
      <c r="AP230" s="47">
        <f>IFERROR(AO230/AL230,"")</f>
        <v/>
      </c>
      <c r="AQ230" s="119">
        <f>IFERROR(R230/AO230,"")</f>
        <v/>
      </c>
      <c r="AR230" s="116" t="n">
        <v>0</v>
      </c>
      <c r="AS230" s="116" t="n">
        <v>0</v>
      </c>
      <c r="AT230" s="116">
        <f>AL230+AR230</f>
        <v/>
      </c>
      <c r="AU230" s="119">
        <f>IFERROR(AO230*Assumptions!$C$26*Assumptions!$C$27*INDEX(Assumptions!$C$18:$C$21,MATCH(H230,Assumptions!$B$18:$B$21,0)),0)</f>
        <v/>
      </c>
    </row>
    <row r="231">
      <c r="A231" s="114" t="n">
        <v>46244</v>
      </c>
      <c r="B231" s="42" t="inlineStr">
        <is>
          <t>Wk 33</t>
        </is>
      </c>
      <c r="C231" s="42" t="inlineStr">
        <is>
          <t>Mon</t>
        </is>
      </c>
      <c r="D231" s="42" t="inlineStr">
        <is>
          <t>Meta (FB/IG)</t>
        </is>
      </c>
      <c r="E231" s="42" t="inlineStr">
        <is>
          <t>Facebook + Instagram</t>
        </is>
      </c>
      <c r="F231" s="42" t="inlineStr">
        <is>
          <t>LEP_ZA_AUG26_META_TD_AMUR_CONV</t>
        </is>
      </c>
      <c r="G231" s="42" t="inlineStr">
        <is>
          <t>Leads - Website Conversions</t>
        </is>
      </c>
      <c r="H231" s="42" t="inlineStr">
        <is>
          <t>AMUR</t>
        </is>
      </c>
      <c r="I231" s="42" t="inlineStr">
        <is>
          <t>0% Deposit</t>
        </is>
      </c>
      <c r="J231" s="42" t="inlineStr">
        <is>
          <t>MET_AMUR_INMKT_HATCH_ZA</t>
        </is>
      </c>
      <c r="K231" s="42" t="inlineStr">
        <is>
          <t>In-Market</t>
        </is>
      </c>
      <c r="L231" s="42" t="inlineStr">
        <is>
          <t>AMUR_CAR_4card_SpecStack_v1</t>
        </is>
      </c>
      <c r="M231" s="42" t="inlineStr">
        <is>
          <t>Carousel</t>
        </is>
      </c>
      <c r="N231" s="42" t="inlineStr">
        <is>
          <t>4 reasons the AMUR outsells its class</t>
        </is>
      </c>
      <c r="O231" s="42" t="inlineStr">
        <is>
          <t>Auction - Lowest Cost</t>
        </is>
      </c>
      <c r="P231" s="42" t="inlineStr">
        <is>
          <t>Offsite Conversions</t>
        </is>
      </c>
      <c r="Q231" s="42" t="inlineStr">
        <is>
          <t>https://www.lepas-sa.co.za/offers/amur</t>
        </is>
      </c>
      <c r="R231" s="115" t="n">
        <v>127.09</v>
      </c>
      <c r="S231" s="116" t="n">
        <v>1621</v>
      </c>
      <c r="T231" s="116" t="n">
        <v>1190</v>
      </c>
      <c r="U231" s="117">
        <f>IFERROR(S231/T231,"")</f>
        <v/>
      </c>
      <c r="V231" s="116" t="n">
        <v>34</v>
      </c>
      <c r="W231" s="116" t="n">
        <v>25</v>
      </c>
      <c r="X231" s="118">
        <f>IFERROR(W231/S231,"")</f>
        <v/>
      </c>
      <c r="Y231" s="115">
        <f>IFERROR(R231/W231,"")</f>
        <v/>
      </c>
      <c r="Z231" s="115">
        <f>IFERROR(R231/S231*1000,"")</f>
        <v/>
      </c>
      <c r="AA231" s="116" t="n">
        <v>22</v>
      </c>
      <c r="AB231" s="47">
        <f>IFERROR(AA231/W231,"")</f>
        <v/>
      </c>
      <c r="AC231" s="116" t="n">
        <v>0</v>
      </c>
      <c r="AD231" s="116" t="n">
        <v>0</v>
      </c>
      <c r="AE231" s="116" t="n">
        <v>0</v>
      </c>
      <c r="AF231" s="116" t="n">
        <v>0</v>
      </c>
      <c r="AG231" s="116" t="n">
        <v>0</v>
      </c>
      <c r="AH231" s="116" t="n">
        <v>0</v>
      </c>
      <c r="AI231" s="47">
        <f>IFERROR(AC231/S231,"")</f>
        <v/>
      </c>
      <c r="AJ231" s="47">
        <f>IFERROR(AH231/S231,"")</f>
        <v/>
      </c>
      <c r="AK231" s="116" t="n">
        <v>41</v>
      </c>
      <c r="AL231" s="116" t="n">
        <v>0</v>
      </c>
      <c r="AM231" s="118">
        <f>IFERROR(AL231/AA231,"")</f>
        <v/>
      </c>
      <c r="AN231" s="119">
        <f>IFERROR(R231/AL231,"")</f>
        <v/>
      </c>
      <c r="AO231" s="116" t="n">
        <v>0</v>
      </c>
      <c r="AP231" s="47">
        <f>IFERROR(AO231/AL231,"")</f>
        <v/>
      </c>
      <c r="AQ231" s="119">
        <f>IFERROR(R231/AO231,"")</f>
        <v/>
      </c>
      <c r="AR231" s="116" t="n">
        <v>0</v>
      </c>
      <c r="AS231" s="116" t="n">
        <v>0</v>
      </c>
      <c r="AT231" s="116">
        <f>AL231+AR231</f>
        <v/>
      </c>
      <c r="AU231" s="119">
        <f>IFERROR(AO231*Assumptions!$C$26*Assumptions!$C$27*INDEX(Assumptions!$C$18:$C$21,MATCH(H231,Assumptions!$B$18:$B$21,0)),0)</f>
        <v/>
      </c>
    </row>
    <row r="232">
      <c r="A232" s="114" t="n">
        <v>46245</v>
      </c>
      <c r="B232" s="42" t="inlineStr">
        <is>
          <t>Wk 33</t>
        </is>
      </c>
      <c r="C232" s="42" t="inlineStr">
        <is>
          <t>Tue</t>
        </is>
      </c>
      <c r="D232" s="42" t="inlineStr">
        <is>
          <t>Meta (FB/IG)</t>
        </is>
      </c>
      <c r="E232" s="42" t="inlineStr">
        <is>
          <t>Facebook + Instagram</t>
        </is>
      </c>
      <c r="F232" s="42" t="inlineStr">
        <is>
          <t>LEP_ZA_AUG26_META_TD_AMUR_CONV</t>
        </is>
      </c>
      <c r="G232" s="42" t="inlineStr">
        <is>
          <t>Leads - Website Conversions</t>
        </is>
      </c>
      <c r="H232" s="42" t="inlineStr">
        <is>
          <t>AMUR</t>
        </is>
      </c>
      <c r="I232" s="42" t="inlineStr">
        <is>
          <t>0% Deposit</t>
        </is>
      </c>
      <c r="J232" s="42" t="inlineStr">
        <is>
          <t>MET_AMUR_INMKT_HATCH_ZA</t>
        </is>
      </c>
      <c r="K232" s="42" t="inlineStr">
        <is>
          <t>In-Market</t>
        </is>
      </c>
      <c r="L232" s="42" t="inlineStr">
        <is>
          <t>AMUR_CAR_4card_SpecStack_v1</t>
        </is>
      </c>
      <c r="M232" s="42" t="inlineStr">
        <is>
          <t>Carousel</t>
        </is>
      </c>
      <c r="N232" s="42" t="inlineStr">
        <is>
          <t>4 reasons the AMUR outsells its class</t>
        </is>
      </c>
      <c r="O232" s="42" t="inlineStr">
        <is>
          <t>Auction - Lowest Cost</t>
        </is>
      </c>
      <c r="P232" s="42" t="inlineStr">
        <is>
          <t>Offsite Conversions</t>
        </is>
      </c>
      <c r="Q232" s="42" t="inlineStr">
        <is>
          <t>https://www.lepas-sa.co.za/offers/amur</t>
        </is>
      </c>
      <c r="R232" s="115" t="n">
        <v>101.98</v>
      </c>
      <c r="S232" s="116" t="n">
        <v>1023</v>
      </c>
      <c r="T232" s="116" t="n">
        <v>774</v>
      </c>
      <c r="U232" s="117">
        <f>IFERROR(S232/T232,"")</f>
        <v/>
      </c>
      <c r="V232" s="116" t="n">
        <v>21</v>
      </c>
      <c r="W232" s="116" t="n">
        <v>18</v>
      </c>
      <c r="X232" s="118">
        <f>IFERROR(W232/S232,"")</f>
        <v/>
      </c>
      <c r="Y232" s="115">
        <f>IFERROR(R232/W232,"")</f>
        <v/>
      </c>
      <c r="Z232" s="115">
        <f>IFERROR(R232/S232*1000,"")</f>
        <v/>
      </c>
      <c r="AA232" s="116" t="n">
        <v>16</v>
      </c>
      <c r="AB232" s="47">
        <f>IFERROR(AA232/W232,"")</f>
        <v/>
      </c>
      <c r="AC232" s="116" t="n">
        <v>0</v>
      </c>
      <c r="AD232" s="116" t="n">
        <v>0</v>
      </c>
      <c r="AE232" s="116" t="n">
        <v>0</v>
      </c>
      <c r="AF232" s="116" t="n">
        <v>0</v>
      </c>
      <c r="AG232" s="116" t="n">
        <v>0</v>
      </c>
      <c r="AH232" s="116" t="n">
        <v>0</v>
      </c>
      <c r="AI232" s="47">
        <f>IFERROR(AC232/S232,"")</f>
        <v/>
      </c>
      <c r="AJ232" s="47">
        <f>IFERROR(AH232/S232,"")</f>
        <v/>
      </c>
      <c r="AK232" s="116" t="n">
        <v>33</v>
      </c>
      <c r="AL232" s="116" t="n">
        <v>0</v>
      </c>
      <c r="AM232" s="118">
        <f>IFERROR(AL232/AA232,"")</f>
        <v/>
      </c>
      <c r="AN232" s="119">
        <f>IFERROR(R232/AL232,"")</f>
        <v/>
      </c>
      <c r="AO232" s="116" t="n">
        <v>0</v>
      </c>
      <c r="AP232" s="47">
        <f>IFERROR(AO232/AL232,"")</f>
        <v/>
      </c>
      <c r="AQ232" s="119">
        <f>IFERROR(R232/AO232,"")</f>
        <v/>
      </c>
      <c r="AR232" s="116" t="n">
        <v>0</v>
      </c>
      <c r="AS232" s="116" t="n">
        <v>0</v>
      </c>
      <c r="AT232" s="116">
        <f>AL232+AR232</f>
        <v/>
      </c>
      <c r="AU232" s="119">
        <f>IFERROR(AO232*Assumptions!$C$26*Assumptions!$C$27*INDEX(Assumptions!$C$18:$C$21,MATCH(H232,Assumptions!$B$18:$B$21,0)),0)</f>
        <v/>
      </c>
    </row>
    <row r="233">
      <c r="A233" s="114" t="n">
        <v>46246</v>
      </c>
      <c r="B233" s="42" t="inlineStr">
        <is>
          <t>Wk 33</t>
        </is>
      </c>
      <c r="C233" s="42" t="inlineStr">
        <is>
          <t>Wed</t>
        </is>
      </c>
      <c r="D233" s="42" t="inlineStr">
        <is>
          <t>Meta (FB/IG)</t>
        </is>
      </c>
      <c r="E233" s="42" t="inlineStr">
        <is>
          <t>Facebook + Instagram</t>
        </is>
      </c>
      <c r="F233" s="42" t="inlineStr">
        <is>
          <t>LEP_ZA_AUG26_META_TD_AMUR_CONV</t>
        </is>
      </c>
      <c r="G233" s="42" t="inlineStr">
        <is>
          <t>Leads - Website Conversions</t>
        </is>
      </c>
      <c r="H233" s="42" t="inlineStr">
        <is>
          <t>AMUR</t>
        </is>
      </c>
      <c r="I233" s="42" t="inlineStr">
        <is>
          <t>0% Deposit</t>
        </is>
      </c>
      <c r="J233" s="42" t="inlineStr">
        <is>
          <t>MET_AMUR_INMKT_HATCH_ZA</t>
        </is>
      </c>
      <c r="K233" s="42" t="inlineStr">
        <is>
          <t>In-Market</t>
        </is>
      </c>
      <c r="L233" s="42" t="inlineStr">
        <is>
          <t>AMUR_CAR_4card_SpecStack_v1</t>
        </is>
      </c>
      <c r="M233" s="42" t="inlineStr">
        <is>
          <t>Carousel</t>
        </is>
      </c>
      <c r="N233" s="42" t="inlineStr">
        <is>
          <t>4 reasons the AMUR outsells its class</t>
        </is>
      </c>
      <c r="O233" s="42" t="inlineStr">
        <is>
          <t>Auction - Lowest Cost</t>
        </is>
      </c>
      <c r="P233" s="42" t="inlineStr">
        <is>
          <t>Offsite Conversions</t>
        </is>
      </c>
      <c r="Q233" s="42" t="inlineStr">
        <is>
          <t>https://www.lepas-sa.co.za/offers/amur</t>
        </is>
      </c>
      <c r="R233" s="115" t="n">
        <v>112.3</v>
      </c>
      <c r="S233" s="116" t="n">
        <v>1420</v>
      </c>
      <c r="T233" s="116" t="n">
        <v>859</v>
      </c>
      <c r="U233" s="117">
        <f>IFERROR(S233/T233,"")</f>
        <v/>
      </c>
      <c r="V233" s="116" t="n">
        <v>27</v>
      </c>
      <c r="W233" s="116" t="n">
        <v>19</v>
      </c>
      <c r="X233" s="118">
        <f>IFERROR(W233/S233,"")</f>
        <v/>
      </c>
      <c r="Y233" s="115">
        <f>IFERROR(R233/W233,"")</f>
        <v/>
      </c>
      <c r="Z233" s="115">
        <f>IFERROR(R233/S233*1000,"")</f>
        <v/>
      </c>
      <c r="AA233" s="116" t="n">
        <v>17</v>
      </c>
      <c r="AB233" s="47">
        <f>IFERROR(AA233/W233,"")</f>
        <v/>
      </c>
      <c r="AC233" s="116" t="n">
        <v>0</v>
      </c>
      <c r="AD233" s="116" t="n">
        <v>0</v>
      </c>
      <c r="AE233" s="116" t="n">
        <v>0</v>
      </c>
      <c r="AF233" s="116" t="n">
        <v>0</v>
      </c>
      <c r="AG233" s="116" t="n">
        <v>0</v>
      </c>
      <c r="AH233" s="116" t="n">
        <v>0</v>
      </c>
      <c r="AI233" s="47">
        <f>IFERROR(AC233/S233,"")</f>
        <v/>
      </c>
      <c r="AJ233" s="47">
        <f>IFERROR(AH233/S233,"")</f>
        <v/>
      </c>
      <c r="AK233" s="116" t="n">
        <v>37</v>
      </c>
      <c r="AL233" s="116" t="n">
        <v>1</v>
      </c>
      <c r="AM233" s="118">
        <f>IFERROR(AL233/AA233,"")</f>
        <v/>
      </c>
      <c r="AN233" s="119">
        <f>IFERROR(R233/AL233,"")</f>
        <v/>
      </c>
      <c r="AO233" s="116" t="n">
        <v>1</v>
      </c>
      <c r="AP233" s="47">
        <f>IFERROR(AO233/AL233,"")</f>
        <v/>
      </c>
      <c r="AQ233" s="119">
        <f>IFERROR(R233/AO233,"")</f>
        <v/>
      </c>
      <c r="AR233" s="116" t="n">
        <v>0</v>
      </c>
      <c r="AS233" s="116" t="n">
        <v>0</v>
      </c>
      <c r="AT233" s="116">
        <f>AL233+AR233</f>
        <v/>
      </c>
      <c r="AU233" s="119">
        <f>IFERROR(AO233*Assumptions!$C$26*Assumptions!$C$27*INDEX(Assumptions!$C$18:$C$21,MATCH(H233,Assumptions!$B$18:$B$21,0)),0)</f>
        <v/>
      </c>
    </row>
    <row r="234">
      <c r="A234" s="114" t="n">
        <v>46247</v>
      </c>
      <c r="B234" s="42" t="inlineStr">
        <is>
          <t>Wk 33</t>
        </is>
      </c>
      <c r="C234" s="42" t="inlineStr">
        <is>
          <t>Thu</t>
        </is>
      </c>
      <c r="D234" s="42" t="inlineStr">
        <is>
          <t>Meta (FB/IG)</t>
        </is>
      </c>
      <c r="E234" s="42" t="inlineStr">
        <is>
          <t>Facebook + Instagram</t>
        </is>
      </c>
      <c r="F234" s="42" t="inlineStr">
        <is>
          <t>LEP_ZA_AUG26_META_TD_AMUR_CONV</t>
        </is>
      </c>
      <c r="G234" s="42" t="inlineStr">
        <is>
          <t>Leads - Website Conversions</t>
        </is>
      </c>
      <c r="H234" s="42" t="inlineStr">
        <is>
          <t>AMUR</t>
        </is>
      </c>
      <c r="I234" s="42" t="inlineStr">
        <is>
          <t>0% Deposit</t>
        </is>
      </c>
      <c r="J234" s="42" t="inlineStr">
        <is>
          <t>MET_AMUR_INMKT_HATCH_ZA</t>
        </is>
      </c>
      <c r="K234" s="42" t="inlineStr">
        <is>
          <t>In-Market</t>
        </is>
      </c>
      <c r="L234" s="42" t="inlineStr">
        <is>
          <t>AMUR_CAR_4card_SpecStack_v1</t>
        </is>
      </c>
      <c r="M234" s="42" t="inlineStr">
        <is>
          <t>Carousel</t>
        </is>
      </c>
      <c r="N234" s="42" t="inlineStr">
        <is>
          <t>4 reasons the AMUR outsells its class</t>
        </is>
      </c>
      <c r="O234" s="42" t="inlineStr">
        <is>
          <t>Auction - Lowest Cost</t>
        </is>
      </c>
      <c r="P234" s="42" t="inlineStr">
        <is>
          <t>Offsite Conversions</t>
        </is>
      </c>
      <c r="Q234" s="42" t="inlineStr">
        <is>
          <t>https://www.lepas-sa.co.za/offers/amur</t>
        </is>
      </c>
      <c r="R234" s="115" t="n">
        <v>112.47</v>
      </c>
      <c r="S234" s="116" t="n">
        <v>1539</v>
      </c>
      <c r="T234" s="116" t="n">
        <v>986</v>
      </c>
      <c r="U234" s="117">
        <f>IFERROR(S234/T234,"")</f>
        <v/>
      </c>
      <c r="V234" s="116" t="n">
        <v>27</v>
      </c>
      <c r="W234" s="116" t="n">
        <v>19</v>
      </c>
      <c r="X234" s="118">
        <f>IFERROR(W234/S234,"")</f>
        <v/>
      </c>
      <c r="Y234" s="115">
        <f>IFERROR(R234/W234,"")</f>
        <v/>
      </c>
      <c r="Z234" s="115">
        <f>IFERROR(R234/S234*1000,"")</f>
        <v/>
      </c>
      <c r="AA234" s="116" t="n">
        <v>16</v>
      </c>
      <c r="AB234" s="47">
        <f>IFERROR(AA234/W234,"")</f>
        <v/>
      </c>
      <c r="AC234" s="116" t="n">
        <v>0</v>
      </c>
      <c r="AD234" s="116" t="n">
        <v>0</v>
      </c>
      <c r="AE234" s="116" t="n">
        <v>0</v>
      </c>
      <c r="AF234" s="116" t="n">
        <v>0</v>
      </c>
      <c r="AG234" s="116" t="n">
        <v>0</v>
      </c>
      <c r="AH234" s="116" t="n">
        <v>0</v>
      </c>
      <c r="AI234" s="47">
        <f>IFERROR(AC234/S234,"")</f>
        <v/>
      </c>
      <c r="AJ234" s="47">
        <f>IFERROR(AH234/S234,"")</f>
        <v/>
      </c>
      <c r="AK234" s="116" t="n">
        <v>23</v>
      </c>
      <c r="AL234" s="116" t="n">
        <v>1</v>
      </c>
      <c r="AM234" s="118">
        <f>IFERROR(AL234/AA234,"")</f>
        <v/>
      </c>
      <c r="AN234" s="119">
        <f>IFERROR(R234/AL234,"")</f>
        <v/>
      </c>
      <c r="AO234" s="116" t="n">
        <v>1</v>
      </c>
      <c r="AP234" s="47">
        <f>IFERROR(AO234/AL234,"")</f>
        <v/>
      </c>
      <c r="AQ234" s="119">
        <f>IFERROR(R234/AO234,"")</f>
        <v/>
      </c>
      <c r="AR234" s="116" t="n">
        <v>0</v>
      </c>
      <c r="AS234" s="116" t="n">
        <v>0</v>
      </c>
      <c r="AT234" s="116">
        <f>AL234+AR234</f>
        <v/>
      </c>
      <c r="AU234" s="119">
        <f>IFERROR(AO234*Assumptions!$C$26*Assumptions!$C$27*INDEX(Assumptions!$C$18:$C$21,MATCH(H234,Assumptions!$B$18:$B$21,0)),0)</f>
        <v/>
      </c>
    </row>
    <row r="235">
      <c r="A235" s="114" t="n">
        <v>46248</v>
      </c>
      <c r="B235" s="42" t="inlineStr">
        <is>
          <t>Wk 33</t>
        </is>
      </c>
      <c r="C235" s="42" t="inlineStr">
        <is>
          <t>Fri</t>
        </is>
      </c>
      <c r="D235" s="42" t="inlineStr">
        <is>
          <t>Meta (FB/IG)</t>
        </is>
      </c>
      <c r="E235" s="42" t="inlineStr">
        <is>
          <t>Facebook + Instagram</t>
        </is>
      </c>
      <c r="F235" s="42" t="inlineStr">
        <is>
          <t>LEP_ZA_AUG26_META_TD_AMUR_CONV</t>
        </is>
      </c>
      <c r="G235" s="42" t="inlineStr">
        <is>
          <t>Leads - Website Conversions</t>
        </is>
      </c>
      <c r="H235" s="42" t="inlineStr">
        <is>
          <t>AMUR</t>
        </is>
      </c>
      <c r="I235" s="42" t="inlineStr">
        <is>
          <t>0% Deposit</t>
        </is>
      </c>
      <c r="J235" s="42" t="inlineStr">
        <is>
          <t>MET_AMUR_INMKT_HATCH_ZA</t>
        </is>
      </c>
      <c r="K235" s="42" t="inlineStr">
        <is>
          <t>In-Market</t>
        </is>
      </c>
      <c r="L235" s="42" t="inlineStr">
        <is>
          <t>AMUR_CAR_4card_SpecStack_v1</t>
        </is>
      </c>
      <c r="M235" s="42" t="inlineStr">
        <is>
          <t>Carousel</t>
        </is>
      </c>
      <c r="N235" s="42" t="inlineStr">
        <is>
          <t>4 reasons the AMUR outsells its class</t>
        </is>
      </c>
      <c r="O235" s="42" t="inlineStr">
        <is>
          <t>Auction - Lowest Cost</t>
        </is>
      </c>
      <c r="P235" s="42" t="inlineStr">
        <is>
          <t>Offsite Conversions</t>
        </is>
      </c>
      <c r="Q235" s="42" t="inlineStr">
        <is>
          <t>https://www.lepas-sa.co.za/offers/amur</t>
        </is>
      </c>
      <c r="R235" s="115" t="n">
        <v>108.75</v>
      </c>
      <c r="S235" s="116" t="n">
        <v>1068</v>
      </c>
      <c r="T235" s="116" t="n">
        <v>612</v>
      </c>
      <c r="U235" s="117">
        <f>IFERROR(S235/T235,"")</f>
        <v/>
      </c>
      <c r="V235" s="116" t="n">
        <v>22</v>
      </c>
      <c r="W235" s="116" t="n">
        <v>16</v>
      </c>
      <c r="X235" s="118">
        <f>IFERROR(W235/S235,"")</f>
        <v/>
      </c>
      <c r="Y235" s="115">
        <f>IFERROR(R235/W235,"")</f>
        <v/>
      </c>
      <c r="Z235" s="115">
        <f>IFERROR(R235/S235*1000,"")</f>
        <v/>
      </c>
      <c r="AA235" s="116" t="n">
        <v>14</v>
      </c>
      <c r="AB235" s="47">
        <f>IFERROR(AA235/W235,"")</f>
        <v/>
      </c>
      <c r="AC235" s="116" t="n">
        <v>0</v>
      </c>
      <c r="AD235" s="116" t="n">
        <v>0</v>
      </c>
      <c r="AE235" s="116" t="n">
        <v>0</v>
      </c>
      <c r="AF235" s="116" t="n">
        <v>0</v>
      </c>
      <c r="AG235" s="116" t="n">
        <v>0</v>
      </c>
      <c r="AH235" s="116" t="n">
        <v>0</v>
      </c>
      <c r="AI235" s="47">
        <f>IFERROR(AC235/S235,"")</f>
        <v/>
      </c>
      <c r="AJ235" s="47">
        <f>IFERROR(AH235/S235,"")</f>
        <v/>
      </c>
      <c r="AK235" s="116" t="n">
        <v>13</v>
      </c>
      <c r="AL235" s="116" t="n">
        <v>0</v>
      </c>
      <c r="AM235" s="118">
        <f>IFERROR(AL235/AA235,"")</f>
        <v/>
      </c>
      <c r="AN235" s="119">
        <f>IFERROR(R235/AL235,"")</f>
        <v/>
      </c>
      <c r="AO235" s="116" t="n">
        <v>0</v>
      </c>
      <c r="AP235" s="47">
        <f>IFERROR(AO235/AL235,"")</f>
        <v/>
      </c>
      <c r="AQ235" s="119">
        <f>IFERROR(R235/AO235,"")</f>
        <v/>
      </c>
      <c r="AR235" s="116" t="n">
        <v>0</v>
      </c>
      <c r="AS235" s="116" t="n">
        <v>0</v>
      </c>
      <c r="AT235" s="116">
        <f>AL235+AR235</f>
        <v/>
      </c>
      <c r="AU235" s="119">
        <f>IFERROR(AO235*Assumptions!$C$26*Assumptions!$C$27*INDEX(Assumptions!$C$18:$C$21,MATCH(H235,Assumptions!$B$18:$B$21,0)),0)</f>
        <v/>
      </c>
    </row>
    <row r="236">
      <c r="A236" s="114" t="n">
        <v>46249</v>
      </c>
      <c r="B236" s="42" t="inlineStr">
        <is>
          <t>Wk 33</t>
        </is>
      </c>
      <c r="C236" s="42" t="inlineStr">
        <is>
          <t>Sat</t>
        </is>
      </c>
      <c r="D236" s="42" t="inlineStr">
        <is>
          <t>Meta (FB/IG)</t>
        </is>
      </c>
      <c r="E236" s="42" t="inlineStr">
        <is>
          <t>Facebook + Instagram</t>
        </is>
      </c>
      <c r="F236" s="42" t="inlineStr">
        <is>
          <t>LEP_ZA_AUG26_META_TD_AMUR_CONV</t>
        </is>
      </c>
      <c r="G236" s="42" t="inlineStr">
        <is>
          <t>Leads - Website Conversions</t>
        </is>
      </c>
      <c r="H236" s="42" t="inlineStr">
        <is>
          <t>AMUR</t>
        </is>
      </c>
      <c r="I236" s="42" t="inlineStr">
        <is>
          <t>0% Deposit</t>
        </is>
      </c>
      <c r="J236" s="42" t="inlineStr">
        <is>
          <t>MET_AMUR_INMKT_HATCH_ZA</t>
        </is>
      </c>
      <c r="K236" s="42" t="inlineStr">
        <is>
          <t>In-Market</t>
        </is>
      </c>
      <c r="L236" s="42" t="inlineStr">
        <is>
          <t>AMUR_CAR_4card_SpecStack_v1</t>
        </is>
      </c>
      <c r="M236" s="42" t="inlineStr">
        <is>
          <t>Carousel</t>
        </is>
      </c>
      <c r="N236" s="42" t="inlineStr">
        <is>
          <t>4 reasons the AMUR outsells its class</t>
        </is>
      </c>
      <c r="O236" s="42" t="inlineStr">
        <is>
          <t>Auction - Lowest Cost</t>
        </is>
      </c>
      <c r="P236" s="42" t="inlineStr">
        <is>
          <t>Offsite Conversions</t>
        </is>
      </c>
      <c r="Q236" s="42" t="inlineStr">
        <is>
          <t>https://www.lepas-sa.co.za/offers/amur</t>
        </is>
      </c>
      <c r="R236" s="115" t="n">
        <v>136.94</v>
      </c>
      <c r="S236" s="116" t="n">
        <v>1502</v>
      </c>
      <c r="T236" s="116" t="n">
        <v>901</v>
      </c>
      <c r="U236" s="117">
        <f>IFERROR(S236/T236,"")</f>
        <v/>
      </c>
      <c r="V236" s="116" t="n">
        <v>17</v>
      </c>
      <c r="W236" s="116" t="n">
        <v>13</v>
      </c>
      <c r="X236" s="118">
        <f>IFERROR(W236/S236,"")</f>
        <v/>
      </c>
      <c r="Y236" s="115">
        <f>IFERROR(R236/W236,"")</f>
        <v/>
      </c>
      <c r="Z236" s="115">
        <f>IFERROR(R236/S236*1000,"")</f>
        <v/>
      </c>
      <c r="AA236" s="116" t="n">
        <v>12</v>
      </c>
      <c r="AB236" s="47">
        <f>IFERROR(AA236/W236,"")</f>
        <v/>
      </c>
      <c r="AC236" s="116" t="n">
        <v>0</v>
      </c>
      <c r="AD236" s="116" t="n">
        <v>0</v>
      </c>
      <c r="AE236" s="116" t="n">
        <v>0</v>
      </c>
      <c r="AF236" s="116" t="n">
        <v>0</v>
      </c>
      <c r="AG236" s="116" t="n">
        <v>0</v>
      </c>
      <c r="AH236" s="116" t="n">
        <v>0</v>
      </c>
      <c r="AI236" s="47">
        <f>IFERROR(AC236/S236,"")</f>
        <v/>
      </c>
      <c r="AJ236" s="47">
        <f>IFERROR(AH236/S236,"")</f>
        <v/>
      </c>
      <c r="AK236" s="116" t="n">
        <v>23</v>
      </c>
      <c r="AL236" s="116" t="n">
        <v>0</v>
      </c>
      <c r="AM236" s="118">
        <f>IFERROR(AL236/AA236,"")</f>
        <v/>
      </c>
      <c r="AN236" s="119">
        <f>IFERROR(R236/AL236,"")</f>
        <v/>
      </c>
      <c r="AO236" s="116" t="n">
        <v>0</v>
      </c>
      <c r="AP236" s="47">
        <f>IFERROR(AO236/AL236,"")</f>
        <v/>
      </c>
      <c r="AQ236" s="119">
        <f>IFERROR(R236/AO236,"")</f>
        <v/>
      </c>
      <c r="AR236" s="116" t="n">
        <v>0</v>
      </c>
      <c r="AS236" s="116" t="n">
        <v>0</v>
      </c>
      <c r="AT236" s="116">
        <f>AL236+AR236</f>
        <v/>
      </c>
      <c r="AU236" s="119">
        <f>IFERROR(AO236*Assumptions!$C$26*Assumptions!$C$27*INDEX(Assumptions!$C$18:$C$21,MATCH(H236,Assumptions!$B$18:$B$21,0)),0)</f>
        <v/>
      </c>
    </row>
    <row r="237">
      <c r="A237" s="114" t="n">
        <v>46250</v>
      </c>
      <c r="B237" s="42" t="inlineStr">
        <is>
          <t>Wk 33</t>
        </is>
      </c>
      <c r="C237" s="42" t="inlineStr">
        <is>
          <t>Sun</t>
        </is>
      </c>
      <c r="D237" s="42" t="inlineStr">
        <is>
          <t>Meta (FB/IG)</t>
        </is>
      </c>
      <c r="E237" s="42" t="inlineStr">
        <is>
          <t>Facebook + Instagram</t>
        </is>
      </c>
      <c r="F237" s="42" t="inlineStr">
        <is>
          <t>LEP_ZA_AUG26_META_TD_AMUR_CONV</t>
        </is>
      </c>
      <c r="G237" s="42" t="inlineStr">
        <is>
          <t>Leads - Website Conversions</t>
        </is>
      </c>
      <c r="H237" s="42" t="inlineStr">
        <is>
          <t>AMUR</t>
        </is>
      </c>
      <c r="I237" s="42" t="inlineStr">
        <is>
          <t>0% Deposit</t>
        </is>
      </c>
      <c r="J237" s="42" t="inlineStr">
        <is>
          <t>MET_AMUR_INMKT_HATCH_ZA</t>
        </is>
      </c>
      <c r="K237" s="42" t="inlineStr">
        <is>
          <t>In-Market</t>
        </is>
      </c>
      <c r="L237" s="42" t="inlineStr">
        <is>
          <t>AMUR_CAR_4card_SpecStack_v1</t>
        </is>
      </c>
      <c r="M237" s="42" t="inlineStr">
        <is>
          <t>Carousel</t>
        </is>
      </c>
      <c r="N237" s="42" t="inlineStr">
        <is>
          <t>4 reasons the AMUR outsells its class</t>
        </is>
      </c>
      <c r="O237" s="42" t="inlineStr">
        <is>
          <t>Auction - Lowest Cost</t>
        </is>
      </c>
      <c r="P237" s="42" t="inlineStr">
        <is>
          <t>Offsite Conversions</t>
        </is>
      </c>
      <c r="Q237" s="42" t="inlineStr">
        <is>
          <t>https://www.lepas-sa.co.za/offers/amur</t>
        </is>
      </c>
      <c r="R237" s="115" t="n">
        <v>106.71</v>
      </c>
      <c r="S237" s="116" t="n">
        <v>1465</v>
      </c>
      <c r="T237" s="116" t="n">
        <v>852</v>
      </c>
      <c r="U237" s="117">
        <f>IFERROR(S237/T237,"")</f>
        <v/>
      </c>
      <c r="V237" s="116" t="n">
        <v>18</v>
      </c>
      <c r="W237" s="116" t="n">
        <v>13</v>
      </c>
      <c r="X237" s="118">
        <f>IFERROR(W237/S237,"")</f>
        <v/>
      </c>
      <c r="Y237" s="115">
        <f>IFERROR(R237/W237,"")</f>
        <v/>
      </c>
      <c r="Z237" s="115">
        <f>IFERROR(R237/S237*1000,"")</f>
        <v/>
      </c>
      <c r="AA237" s="116" t="n">
        <v>11</v>
      </c>
      <c r="AB237" s="47">
        <f>IFERROR(AA237/W237,"")</f>
        <v/>
      </c>
      <c r="AC237" s="116" t="n">
        <v>0</v>
      </c>
      <c r="AD237" s="116" t="n">
        <v>0</v>
      </c>
      <c r="AE237" s="116" t="n">
        <v>0</v>
      </c>
      <c r="AF237" s="116" t="n">
        <v>0</v>
      </c>
      <c r="AG237" s="116" t="n">
        <v>0</v>
      </c>
      <c r="AH237" s="116" t="n">
        <v>0</v>
      </c>
      <c r="AI237" s="47">
        <f>IFERROR(AC237/S237,"")</f>
        <v/>
      </c>
      <c r="AJ237" s="47">
        <f>IFERROR(AH237/S237,"")</f>
        <v/>
      </c>
      <c r="AK237" s="116" t="n">
        <v>30</v>
      </c>
      <c r="AL237" s="116" t="n">
        <v>0</v>
      </c>
      <c r="AM237" s="118">
        <f>IFERROR(AL237/AA237,"")</f>
        <v/>
      </c>
      <c r="AN237" s="119">
        <f>IFERROR(R237/AL237,"")</f>
        <v/>
      </c>
      <c r="AO237" s="116" t="n">
        <v>0</v>
      </c>
      <c r="AP237" s="47">
        <f>IFERROR(AO237/AL237,"")</f>
        <v/>
      </c>
      <c r="AQ237" s="119">
        <f>IFERROR(R237/AO237,"")</f>
        <v/>
      </c>
      <c r="AR237" s="116" t="n">
        <v>0</v>
      </c>
      <c r="AS237" s="116" t="n">
        <v>0</v>
      </c>
      <c r="AT237" s="116">
        <f>AL237+AR237</f>
        <v/>
      </c>
      <c r="AU237" s="119">
        <f>IFERROR(AO237*Assumptions!$C$26*Assumptions!$C$27*INDEX(Assumptions!$C$18:$C$21,MATCH(H237,Assumptions!$B$18:$B$21,0)),0)</f>
        <v/>
      </c>
    </row>
    <row r="238">
      <c r="A238" s="114" t="n">
        <v>46251</v>
      </c>
      <c r="B238" s="42" t="inlineStr">
        <is>
          <t>Wk 34</t>
        </is>
      </c>
      <c r="C238" s="42" t="inlineStr">
        <is>
          <t>Mon</t>
        </is>
      </c>
      <c r="D238" s="42" t="inlineStr">
        <is>
          <t>Meta (FB/IG)</t>
        </is>
      </c>
      <c r="E238" s="42" t="inlineStr">
        <is>
          <t>Facebook + Instagram</t>
        </is>
      </c>
      <c r="F238" s="42" t="inlineStr">
        <is>
          <t>LEP_ZA_AUG26_META_TD_AMUR_CONV</t>
        </is>
      </c>
      <c r="G238" s="42" t="inlineStr">
        <is>
          <t>Leads - Website Conversions</t>
        </is>
      </c>
      <c r="H238" s="42" t="inlineStr">
        <is>
          <t>AMUR</t>
        </is>
      </c>
      <c r="I238" s="42" t="inlineStr">
        <is>
          <t>0% Deposit</t>
        </is>
      </c>
      <c r="J238" s="42" t="inlineStr">
        <is>
          <t>MET_AMUR_INMKT_HATCH_ZA</t>
        </is>
      </c>
      <c r="K238" s="42" t="inlineStr">
        <is>
          <t>In-Market</t>
        </is>
      </c>
      <c r="L238" s="42" t="inlineStr">
        <is>
          <t>AMUR_CAR_4card_SpecStack_v1</t>
        </is>
      </c>
      <c r="M238" s="42" t="inlineStr">
        <is>
          <t>Carousel</t>
        </is>
      </c>
      <c r="N238" s="42" t="inlineStr">
        <is>
          <t>4 reasons the AMUR outsells its class</t>
        </is>
      </c>
      <c r="O238" s="42" t="inlineStr">
        <is>
          <t>Auction - Lowest Cost</t>
        </is>
      </c>
      <c r="P238" s="42" t="inlineStr">
        <is>
          <t>Offsite Conversions</t>
        </is>
      </c>
      <c r="Q238" s="42" t="inlineStr">
        <is>
          <t>https://www.lepas-sa.co.za/offers/amur</t>
        </is>
      </c>
      <c r="R238" s="115" t="n">
        <v>111.78</v>
      </c>
      <c r="S238" s="116" t="n">
        <v>1209</v>
      </c>
      <c r="T238" s="116" t="n">
        <v>674</v>
      </c>
      <c r="U238" s="117">
        <f>IFERROR(S238/T238,"")</f>
        <v/>
      </c>
      <c r="V238" s="116" t="n">
        <v>23</v>
      </c>
      <c r="W238" s="116" t="n">
        <v>17</v>
      </c>
      <c r="X238" s="118">
        <f>IFERROR(W238/S238,"")</f>
        <v/>
      </c>
      <c r="Y238" s="115">
        <f>IFERROR(R238/W238,"")</f>
        <v/>
      </c>
      <c r="Z238" s="115">
        <f>IFERROR(R238/S238*1000,"")</f>
        <v/>
      </c>
      <c r="AA238" s="116" t="n">
        <v>14</v>
      </c>
      <c r="AB238" s="47">
        <f>IFERROR(AA238/W238,"")</f>
        <v/>
      </c>
      <c r="AC238" s="116" t="n">
        <v>0</v>
      </c>
      <c r="AD238" s="116" t="n">
        <v>0</v>
      </c>
      <c r="AE238" s="116" t="n">
        <v>0</v>
      </c>
      <c r="AF238" s="116" t="n">
        <v>0</v>
      </c>
      <c r="AG238" s="116" t="n">
        <v>0</v>
      </c>
      <c r="AH238" s="116" t="n">
        <v>0</v>
      </c>
      <c r="AI238" s="47">
        <f>IFERROR(AC238/S238,"")</f>
        <v/>
      </c>
      <c r="AJ238" s="47">
        <f>IFERROR(AH238/S238,"")</f>
        <v/>
      </c>
      <c r="AK238" s="116" t="n">
        <v>25</v>
      </c>
      <c r="AL238" s="116" t="n">
        <v>0</v>
      </c>
      <c r="AM238" s="118">
        <f>IFERROR(AL238/AA238,"")</f>
        <v/>
      </c>
      <c r="AN238" s="119">
        <f>IFERROR(R238/AL238,"")</f>
        <v/>
      </c>
      <c r="AO238" s="116" t="n">
        <v>0</v>
      </c>
      <c r="AP238" s="47">
        <f>IFERROR(AO238/AL238,"")</f>
        <v/>
      </c>
      <c r="AQ238" s="119">
        <f>IFERROR(R238/AO238,"")</f>
        <v/>
      </c>
      <c r="AR238" s="116" t="n">
        <v>0</v>
      </c>
      <c r="AS238" s="116" t="n">
        <v>0</v>
      </c>
      <c r="AT238" s="116">
        <f>AL238+AR238</f>
        <v/>
      </c>
      <c r="AU238" s="119">
        <f>IFERROR(AO238*Assumptions!$C$26*Assumptions!$C$27*INDEX(Assumptions!$C$18:$C$21,MATCH(H238,Assumptions!$B$18:$B$21,0)),0)</f>
        <v/>
      </c>
    </row>
    <row r="239">
      <c r="A239" s="114" t="n">
        <v>46252</v>
      </c>
      <c r="B239" s="42" t="inlineStr">
        <is>
          <t>Wk 34</t>
        </is>
      </c>
      <c r="C239" s="42" t="inlineStr">
        <is>
          <t>Tue</t>
        </is>
      </c>
      <c r="D239" s="42" t="inlineStr">
        <is>
          <t>Meta (FB/IG)</t>
        </is>
      </c>
      <c r="E239" s="42" t="inlineStr">
        <is>
          <t>Facebook + Instagram</t>
        </is>
      </c>
      <c r="F239" s="42" t="inlineStr">
        <is>
          <t>LEP_ZA_AUG26_META_TD_AMUR_CONV</t>
        </is>
      </c>
      <c r="G239" s="42" t="inlineStr">
        <is>
          <t>Leads - Website Conversions</t>
        </is>
      </c>
      <c r="H239" s="42" t="inlineStr">
        <is>
          <t>AMUR</t>
        </is>
      </c>
      <c r="I239" s="42" t="inlineStr">
        <is>
          <t>0% Deposit</t>
        </is>
      </c>
      <c r="J239" s="42" t="inlineStr">
        <is>
          <t>MET_AMUR_INMKT_HATCH_ZA</t>
        </is>
      </c>
      <c r="K239" s="42" t="inlineStr">
        <is>
          <t>In-Market</t>
        </is>
      </c>
      <c r="L239" s="42" t="inlineStr">
        <is>
          <t>AMUR_CAR_4card_SpecStack_v1</t>
        </is>
      </c>
      <c r="M239" s="42" t="inlineStr">
        <is>
          <t>Carousel</t>
        </is>
      </c>
      <c r="N239" s="42" t="inlineStr">
        <is>
          <t>4 reasons the AMUR outsells its class</t>
        </is>
      </c>
      <c r="O239" s="42" t="inlineStr">
        <is>
          <t>Auction - Lowest Cost</t>
        </is>
      </c>
      <c r="P239" s="42" t="inlineStr">
        <is>
          <t>Offsite Conversions</t>
        </is>
      </c>
      <c r="Q239" s="42" t="inlineStr">
        <is>
          <t>https://www.lepas-sa.co.za/offers/amur</t>
        </is>
      </c>
      <c r="R239" s="115" t="n">
        <v>90.16</v>
      </c>
      <c r="S239" s="116" t="n">
        <v>1240</v>
      </c>
      <c r="T239" s="116" t="n">
        <v>802</v>
      </c>
      <c r="U239" s="117">
        <f>IFERROR(S239/T239,"")</f>
        <v/>
      </c>
      <c r="V239" s="116" t="n">
        <v>18</v>
      </c>
      <c r="W239" s="116" t="n">
        <v>14</v>
      </c>
      <c r="X239" s="118">
        <f>IFERROR(W239/S239,"")</f>
        <v/>
      </c>
      <c r="Y239" s="115">
        <f>IFERROR(R239/W239,"")</f>
        <v/>
      </c>
      <c r="Z239" s="115">
        <f>IFERROR(R239/S239*1000,"")</f>
        <v/>
      </c>
      <c r="AA239" s="116" t="n">
        <v>12</v>
      </c>
      <c r="AB239" s="47">
        <f>IFERROR(AA239/W239,"")</f>
        <v/>
      </c>
      <c r="AC239" s="116" t="n">
        <v>0</v>
      </c>
      <c r="AD239" s="116" t="n">
        <v>0</v>
      </c>
      <c r="AE239" s="116" t="n">
        <v>0</v>
      </c>
      <c r="AF239" s="116" t="n">
        <v>0</v>
      </c>
      <c r="AG239" s="116" t="n">
        <v>0</v>
      </c>
      <c r="AH239" s="116" t="n">
        <v>0</v>
      </c>
      <c r="AI239" s="47">
        <f>IFERROR(AC239/S239,"")</f>
        <v/>
      </c>
      <c r="AJ239" s="47">
        <f>IFERROR(AH239/S239,"")</f>
        <v/>
      </c>
      <c r="AK239" s="116" t="n">
        <v>26</v>
      </c>
      <c r="AL239" s="116" t="n">
        <v>0</v>
      </c>
      <c r="AM239" s="118">
        <f>IFERROR(AL239/AA239,"")</f>
        <v/>
      </c>
      <c r="AN239" s="119">
        <f>IFERROR(R239/AL239,"")</f>
        <v/>
      </c>
      <c r="AO239" s="116" t="n">
        <v>0</v>
      </c>
      <c r="AP239" s="47">
        <f>IFERROR(AO239/AL239,"")</f>
        <v/>
      </c>
      <c r="AQ239" s="119">
        <f>IFERROR(R239/AO239,"")</f>
        <v/>
      </c>
      <c r="AR239" s="116" t="n">
        <v>0</v>
      </c>
      <c r="AS239" s="116" t="n">
        <v>0</v>
      </c>
      <c r="AT239" s="116">
        <f>AL239+AR239</f>
        <v/>
      </c>
      <c r="AU239" s="119">
        <f>IFERROR(AO239*Assumptions!$C$26*Assumptions!$C$27*INDEX(Assumptions!$C$18:$C$21,MATCH(H239,Assumptions!$B$18:$B$21,0)),0)</f>
        <v/>
      </c>
    </row>
    <row r="240">
      <c r="A240" s="114" t="n">
        <v>46253</v>
      </c>
      <c r="B240" s="42" t="inlineStr">
        <is>
          <t>Wk 34</t>
        </is>
      </c>
      <c r="C240" s="42" t="inlineStr">
        <is>
          <t>Wed</t>
        </is>
      </c>
      <c r="D240" s="42" t="inlineStr">
        <is>
          <t>Meta (FB/IG)</t>
        </is>
      </c>
      <c r="E240" s="42" t="inlineStr">
        <is>
          <t>Facebook + Instagram</t>
        </is>
      </c>
      <c r="F240" s="42" t="inlineStr">
        <is>
          <t>LEP_ZA_AUG26_META_TD_AMUR_CONV</t>
        </is>
      </c>
      <c r="G240" s="42" t="inlineStr">
        <is>
          <t>Leads - Website Conversions</t>
        </is>
      </c>
      <c r="H240" s="42" t="inlineStr">
        <is>
          <t>AMUR</t>
        </is>
      </c>
      <c r="I240" s="42" t="inlineStr">
        <is>
          <t>0% Deposit</t>
        </is>
      </c>
      <c r="J240" s="42" t="inlineStr">
        <is>
          <t>MET_AMUR_INMKT_HATCH_ZA</t>
        </is>
      </c>
      <c r="K240" s="42" t="inlineStr">
        <is>
          <t>In-Market</t>
        </is>
      </c>
      <c r="L240" s="42" t="inlineStr">
        <is>
          <t>AMUR_CAR_4card_SpecStack_v1</t>
        </is>
      </c>
      <c r="M240" s="42" t="inlineStr">
        <is>
          <t>Carousel</t>
        </is>
      </c>
      <c r="N240" s="42" t="inlineStr">
        <is>
          <t>4 reasons the AMUR outsells its class</t>
        </is>
      </c>
      <c r="O240" s="42" t="inlineStr">
        <is>
          <t>Auction - Lowest Cost</t>
        </is>
      </c>
      <c r="P240" s="42" t="inlineStr">
        <is>
          <t>Offsite Conversions</t>
        </is>
      </c>
      <c r="Q240" s="42" t="inlineStr">
        <is>
          <t>https://www.lepas-sa.co.za/offers/amur</t>
        </is>
      </c>
      <c r="R240" s="115" t="n">
        <v>114.98</v>
      </c>
      <c r="S240" s="116" t="n">
        <v>1584</v>
      </c>
      <c r="T240" s="116" t="n">
        <v>943</v>
      </c>
      <c r="U240" s="117">
        <f>IFERROR(S240/T240,"")</f>
        <v/>
      </c>
      <c r="V240" s="116" t="n">
        <v>20</v>
      </c>
      <c r="W240" s="116" t="n">
        <v>15</v>
      </c>
      <c r="X240" s="118">
        <f>IFERROR(W240/S240,"")</f>
        <v/>
      </c>
      <c r="Y240" s="115">
        <f>IFERROR(R240/W240,"")</f>
        <v/>
      </c>
      <c r="Z240" s="115">
        <f>IFERROR(R240/S240*1000,"")</f>
        <v/>
      </c>
      <c r="AA240" s="116" t="n">
        <v>14</v>
      </c>
      <c r="AB240" s="47">
        <f>IFERROR(AA240/W240,"")</f>
        <v/>
      </c>
      <c r="AC240" s="116" t="n">
        <v>0</v>
      </c>
      <c r="AD240" s="116" t="n">
        <v>0</v>
      </c>
      <c r="AE240" s="116" t="n">
        <v>0</v>
      </c>
      <c r="AF240" s="116" t="n">
        <v>0</v>
      </c>
      <c r="AG240" s="116" t="n">
        <v>0</v>
      </c>
      <c r="AH240" s="116" t="n">
        <v>0</v>
      </c>
      <c r="AI240" s="47">
        <f>IFERROR(AC240/S240,"")</f>
        <v/>
      </c>
      <c r="AJ240" s="47">
        <f>IFERROR(AH240/S240,"")</f>
        <v/>
      </c>
      <c r="AK240" s="116" t="n">
        <v>48</v>
      </c>
      <c r="AL240" s="116" t="n">
        <v>1</v>
      </c>
      <c r="AM240" s="118">
        <f>IFERROR(AL240/AA240,"")</f>
        <v/>
      </c>
      <c r="AN240" s="119">
        <f>IFERROR(R240/AL240,"")</f>
        <v/>
      </c>
      <c r="AO240" s="116" t="n">
        <v>1</v>
      </c>
      <c r="AP240" s="47">
        <f>IFERROR(AO240/AL240,"")</f>
        <v/>
      </c>
      <c r="AQ240" s="119">
        <f>IFERROR(R240/AO240,"")</f>
        <v/>
      </c>
      <c r="AR240" s="116" t="n">
        <v>0</v>
      </c>
      <c r="AS240" s="116" t="n">
        <v>1</v>
      </c>
      <c r="AT240" s="116">
        <f>AL240+AR240</f>
        <v/>
      </c>
      <c r="AU240" s="119">
        <f>IFERROR(AO240*Assumptions!$C$26*Assumptions!$C$27*INDEX(Assumptions!$C$18:$C$21,MATCH(H240,Assumptions!$B$18:$B$21,0)),0)</f>
        <v/>
      </c>
    </row>
    <row r="241">
      <c r="A241" s="114" t="n">
        <v>46254</v>
      </c>
      <c r="B241" s="42" t="inlineStr">
        <is>
          <t>Wk 34</t>
        </is>
      </c>
      <c r="C241" s="42" t="inlineStr">
        <is>
          <t>Thu</t>
        </is>
      </c>
      <c r="D241" s="42" t="inlineStr">
        <is>
          <t>Meta (FB/IG)</t>
        </is>
      </c>
      <c r="E241" s="42" t="inlineStr">
        <is>
          <t>Facebook + Instagram</t>
        </is>
      </c>
      <c r="F241" s="42" t="inlineStr">
        <is>
          <t>LEP_ZA_AUG26_META_TD_AMUR_CONV</t>
        </is>
      </c>
      <c r="G241" s="42" t="inlineStr">
        <is>
          <t>Leads - Website Conversions</t>
        </is>
      </c>
      <c r="H241" s="42" t="inlineStr">
        <is>
          <t>AMUR</t>
        </is>
      </c>
      <c r="I241" s="42" t="inlineStr">
        <is>
          <t>0% Deposit</t>
        </is>
      </c>
      <c r="J241" s="42" t="inlineStr">
        <is>
          <t>MET_AMUR_INMKT_HATCH_ZA</t>
        </is>
      </c>
      <c r="K241" s="42" t="inlineStr">
        <is>
          <t>In-Market</t>
        </is>
      </c>
      <c r="L241" s="42" t="inlineStr">
        <is>
          <t>AMUR_CAR_4card_SpecStack_v1</t>
        </is>
      </c>
      <c r="M241" s="42" t="inlineStr">
        <is>
          <t>Carousel</t>
        </is>
      </c>
      <c r="N241" s="42" t="inlineStr">
        <is>
          <t>4 reasons the AMUR outsells its class</t>
        </is>
      </c>
      <c r="O241" s="42" t="inlineStr">
        <is>
          <t>Auction - Lowest Cost</t>
        </is>
      </c>
      <c r="P241" s="42" t="inlineStr">
        <is>
          <t>Offsite Conversions</t>
        </is>
      </c>
      <c r="Q241" s="42" t="inlineStr">
        <is>
          <t>https://www.lepas-sa.co.za/offers/amur</t>
        </is>
      </c>
      <c r="R241" s="115" t="n">
        <v>111.13</v>
      </c>
      <c r="S241" s="116" t="n">
        <v>1261</v>
      </c>
      <c r="T241" s="116" t="n">
        <v>649</v>
      </c>
      <c r="U241" s="117">
        <f>IFERROR(S241/T241,"")</f>
        <v/>
      </c>
      <c r="V241" s="116" t="n">
        <v>27</v>
      </c>
      <c r="W241" s="116" t="n">
        <v>20</v>
      </c>
      <c r="X241" s="118">
        <f>IFERROR(W241/S241,"")</f>
        <v/>
      </c>
      <c r="Y241" s="115">
        <f>IFERROR(R241/W241,"")</f>
        <v/>
      </c>
      <c r="Z241" s="115">
        <f>IFERROR(R241/S241*1000,"")</f>
        <v/>
      </c>
      <c r="AA241" s="116" t="n">
        <v>18</v>
      </c>
      <c r="AB241" s="47">
        <f>IFERROR(AA241/W241,"")</f>
        <v/>
      </c>
      <c r="AC241" s="116" t="n">
        <v>0</v>
      </c>
      <c r="AD241" s="116" t="n">
        <v>0</v>
      </c>
      <c r="AE241" s="116" t="n">
        <v>0</v>
      </c>
      <c r="AF241" s="116" t="n">
        <v>0</v>
      </c>
      <c r="AG241" s="116" t="n">
        <v>0</v>
      </c>
      <c r="AH241" s="116" t="n">
        <v>0</v>
      </c>
      <c r="AI241" s="47">
        <f>IFERROR(AC241/S241,"")</f>
        <v/>
      </c>
      <c r="AJ241" s="47">
        <f>IFERROR(AH241/S241,"")</f>
        <v/>
      </c>
      <c r="AK241" s="116" t="n">
        <v>26</v>
      </c>
      <c r="AL241" s="116" t="n">
        <v>1</v>
      </c>
      <c r="AM241" s="118">
        <f>IFERROR(AL241/AA241,"")</f>
        <v/>
      </c>
      <c r="AN241" s="119">
        <f>IFERROR(R241/AL241,"")</f>
        <v/>
      </c>
      <c r="AO241" s="116" t="n">
        <v>1</v>
      </c>
      <c r="AP241" s="47">
        <f>IFERROR(AO241/AL241,"")</f>
        <v/>
      </c>
      <c r="AQ241" s="119">
        <f>IFERROR(R241/AO241,"")</f>
        <v/>
      </c>
      <c r="AR241" s="116" t="n">
        <v>0</v>
      </c>
      <c r="AS241" s="116" t="n">
        <v>1</v>
      </c>
      <c r="AT241" s="116">
        <f>AL241+AR241</f>
        <v/>
      </c>
      <c r="AU241" s="119">
        <f>IFERROR(AO241*Assumptions!$C$26*Assumptions!$C$27*INDEX(Assumptions!$C$18:$C$21,MATCH(H241,Assumptions!$B$18:$B$21,0)),0)</f>
        <v/>
      </c>
    </row>
    <row r="242">
      <c r="A242" s="114" t="n">
        <v>46255</v>
      </c>
      <c r="B242" s="42" t="inlineStr">
        <is>
          <t>Wk 34</t>
        </is>
      </c>
      <c r="C242" s="42" t="inlineStr">
        <is>
          <t>Fri</t>
        </is>
      </c>
      <c r="D242" s="42" t="inlineStr">
        <is>
          <t>Meta (FB/IG)</t>
        </is>
      </c>
      <c r="E242" s="42" t="inlineStr">
        <is>
          <t>Facebook + Instagram</t>
        </is>
      </c>
      <c r="F242" s="42" t="inlineStr">
        <is>
          <t>LEP_ZA_AUG26_META_TD_AMUR_CONV</t>
        </is>
      </c>
      <c r="G242" s="42" t="inlineStr">
        <is>
          <t>Leads - Website Conversions</t>
        </is>
      </c>
      <c r="H242" s="42" t="inlineStr">
        <is>
          <t>AMUR</t>
        </is>
      </c>
      <c r="I242" s="42" t="inlineStr">
        <is>
          <t>0% Deposit</t>
        </is>
      </c>
      <c r="J242" s="42" t="inlineStr">
        <is>
          <t>MET_AMUR_INMKT_HATCH_ZA</t>
        </is>
      </c>
      <c r="K242" s="42" t="inlineStr">
        <is>
          <t>In-Market</t>
        </is>
      </c>
      <c r="L242" s="42" t="inlineStr">
        <is>
          <t>AMUR_CAR_4card_SpecStack_v1</t>
        </is>
      </c>
      <c r="M242" s="42" t="inlineStr">
        <is>
          <t>Carousel</t>
        </is>
      </c>
      <c r="N242" s="42" t="inlineStr">
        <is>
          <t>4 reasons the AMUR outsells its class</t>
        </is>
      </c>
      <c r="O242" s="42" t="inlineStr">
        <is>
          <t>Auction - Lowest Cost</t>
        </is>
      </c>
      <c r="P242" s="42" t="inlineStr">
        <is>
          <t>Offsite Conversions</t>
        </is>
      </c>
      <c r="Q242" s="42" t="inlineStr">
        <is>
          <t>https://www.lepas-sa.co.za/offers/amur</t>
        </is>
      </c>
      <c r="R242" s="115" t="n">
        <v>115.84</v>
      </c>
      <c r="S242" s="116" t="n">
        <v>1728</v>
      </c>
      <c r="T242" s="116" t="n">
        <v>878</v>
      </c>
      <c r="U242" s="117">
        <f>IFERROR(S242/T242,"")</f>
        <v/>
      </c>
      <c r="V242" s="116" t="n">
        <v>16</v>
      </c>
      <c r="W242" s="116" t="n">
        <v>13</v>
      </c>
      <c r="X242" s="118">
        <f>IFERROR(W242/S242,"")</f>
        <v/>
      </c>
      <c r="Y242" s="115">
        <f>IFERROR(R242/W242,"")</f>
        <v/>
      </c>
      <c r="Z242" s="115">
        <f>IFERROR(R242/S242*1000,"")</f>
        <v/>
      </c>
      <c r="AA242" s="116" t="n">
        <v>11</v>
      </c>
      <c r="AB242" s="47">
        <f>IFERROR(AA242/W242,"")</f>
        <v/>
      </c>
      <c r="AC242" s="116" t="n">
        <v>0</v>
      </c>
      <c r="AD242" s="116" t="n">
        <v>0</v>
      </c>
      <c r="AE242" s="116" t="n">
        <v>0</v>
      </c>
      <c r="AF242" s="116" t="n">
        <v>0</v>
      </c>
      <c r="AG242" s="116" t="n">
        <v>0</v>
      </c>
      <c r="AH242" s="116" t="n">
        <v>0</v>
      </c>
      <c r="AI242" s="47">
        <f>IFERROR(AC242/S242,"")</f>
        <v/>
      </c>
      <c r="AJ242" s="47">
        <f>IFERROR(AH242/S242,"")</f>
        <v/>
      </c>
      <c r="AK242" s="116" t="n">
        <v>58</v>
      </c>
      <c r="AL242" s="116" t="n">
        <v>0</v>
      </c>
      <c r="AM242" s="118">
        <f>IFERROR(AL242/AA242,"")</f>
        <v/>
      </c>
      <c r="AN242" s="119">
        <f>IFERROR(R242/AL242,"")</f>
        <v/>
      </c>
      <c r="AO242" s="116" t="n">
        <v>0</v>
      </c>
      <c r="AP242" s="47">
        <f>IFERROR(AO242/AL242,"")</f>
        <v/>
      </c>
      <c r="AQ242" s="119">
        <f>IFERROR(R242/AO242,"")</f>
        <v/>
      </c>
      <c r="AR242" s="116" t="n">
        <v>0</v>
      </c>
      <c r="AS242" s="116" t="n">
        <v>0</v>
      </c>
      <c r="AT242" s="116">
        <f>AL242+AR242</f>
        <v/>
      </c>
      <c r="AU242" s="119">
        <f>IFERROR(AO242*Assumptions!$C$26*Assumptions!$C$27*INDEX(Assumptions!$C$18:$C$21,MATCH(H242,Assumptions!$B$18:$B$21,0)),0)</f>
        <v/>
      </c>
    </row>
    <row r="243">
      <c r="A243" s="114" t="n">
        <v>46256</v>
      </c>
      <c r="B243" s="42" t="inlineStr">
        <is>
          <t>Wk 34</t>
        </is>
      </c>
      <c r="C243" s="42" t="inlineStr">
        <is>
          <t>Sat</t>
        </is>
      </c>
      <c r="D243" s="42" t="inlineStr">
        <is>
          <t>Meta (FB/IG)</t>
        </is>
      </c>
      <c r="E243" s="42" t="inlineStr">
        <is>
          <t>Facebook + Instagram</t>
        </is>
      </c>
      <c r="F243" s="42" t="inlineStr">
        <is>
          <t>LEP_ZA_AUG26_META_TD_AMUR_CONV</t>
        </is>
      </c>
      <c r="G243" s="42" t="inlineStr">
        <is>
          <t>Leads - Website Conversions</t>
        </is>
      </c>
      <c r="H243" s="42" t="inlineStr">
        <is>
          <t>AMUR</t>
        </is>
      </c>
      <c r="I243" s="42" t="inlineStr">
        <is>
          <t>0% Deposit</t>
        </is>
      </c>
      <c r="J243" s="42" t="inlineStr">
        <is>
          <t>MET_AMUR_INMKT_HATCH_ZA</t>
        </is>
      </c>
      <c r="K243" s="42" t="inlineStr">
        <is>
          <t>In-Market</t>
        </is>
      </c>
      <c r="L243" s="42" t="inlineStr">
        <is>
          <t>AMUR_CAR_4card_SpecStack_v1</t>
        </is>
      </c>
      <c r="M243" s="42" t="inlineStr">
        <is>
          <t>Carousel</t>
        </is>
      </c>
      <c r="N243" s="42" t="inlineStr">
        <is>
          <t>4 reasons the AMUR outsells its class</t>
        </is>
      </c>
      <c r="O243" s="42" t="inlineStr">
        <is>
          <t>Auction - Lowest Cost</t>
        </is>
      </c>
      <c r="P243" s="42" t="inlineStr">
        <is>
          <t>Offsite Conversions</t>
        </is>
      </c>
      <c r="Q243" s="42" t="inlineStr">
        <is>
          <t>https://www.lepas-sa.co.za/offers/amur</t>
        </is>
      </c>
      <c r="R243" s="115" t="n">
        <v>110.51</v>
      </c>
      <c r="S243" s="116" t="n">
        <v>1097</v>
      </c>
      <c r="T243" s="116" t="n">
        <v>589</v>
      </c>
      <c r="U243" s="117">
        <f>IFERROR(S243/T243,"")</f>
        <v/>
      </c>
      <c r="V243" s="116" t="n">
        <v>17</v>
      </c>
      <c r="W243" s="116" t="n">
        <v>13</v>
      </c>
      <c r="X243" s="118">
        <f>IFERROR(W243/S243,"")</f>
        <v/>
      </c>
      <c r="Y243" s="115">
        <f>IFERROR(R243/W243,"")</f>
        <v/>
      </c>
      <c r="Z243" s="115">
        <f>IFERROR(R243/S243*1000,"")</f>
        <v/>
      </c>
      <c r="AA243" s="116" t="n">
        <v>12</v>
      </c>
      <c r="AB243" s="47">
        <f>IFERROR(AA243/W243,"")</f>
        <v/>
      </c>
      <c r="AC243" s="116" t="n">
        <v>0</v>
      </c>
      <c r="AD243" s="116" t="n">
        <v>0</v>
      </c>
      <c r="AE243" s="116" t="n">
        <v>0</v>
      </c>
      <c r="AF243" s="116" t="n">
        <v>0</v>
      </c>
      <c r="AG243" s="116" t="n">
        <v>0</v>
      </c>
      <c r="AH243" s="116" t="n">
        <v>0</v>
      </c>
      <c r="AI243" s="47">
        <f>IFERROR(AC243/S243,"")</f>
        <v/>
      </c>
      <c r="AJ243" s="47">
        <f>IFERROR(AH243/S243,"")</f>
        <v/>
      </c>
      <c r="AK243" s="116" t="n">
        <v>29</v>
      </c>
      <c r="AL243" s="116" t="n">
        <v>1</v>
      </c>
      <c r="AM243" s="118">
        <f>IFERROR(AL243/AA243,"")</f>
        <v/>
      </c>
      <c r="AN243" s="119">
        <f>IFERROR(R243/AL243,"")</f>
        <v/>
      </c>
      <c r="AO243" s="116" t="n">
        <v>1</v>
      </c>
      <c r="AP243" s="47">
        <f>IFERROR(AO243/AL243,"")</f>
        <v/>
      </c>
      <c r="AQ243" s="119">
        <f>IFERROR(R243/AO243,"")</f>
        <v/>
      </c>
      <c r="AR243" s="116" t="n">
        <v>0</v>
      </c>
      <c r="AS243" s="116" t="n">
        <v>0</v>
      </c>
      <c r="AT243" s="116">
        <f>AL243+AR243</f>
        <v/>
      </c>
      <c r="AU243" s="119">
        <f>IFERROR(AO243*Assumptions!$C$26*Assumptions!$C$27*INDEX(Assumptions!$C$18:$C$21,MATCH(H243,Assumptions!$B$18:$B$21,0)),0)</f>
        <v/>
      </c>
    </row>
    <row r="244">
      <c r="A244" s="114" t="n">
        <v>46257</v>
      </c>
      <c r="B244" s="42" t="inlineStr">
        <is>
          <t>Wk 34</t>
        </is>
      </c>
      <c r="C244" s="42" t="inlineStr">
        <is>
          <t>Sun</t>
        </is>
      </c>
      <c r="D244" s="42" t="inlineStr">
        <is>
          <t>Meta (FB/IG)</t>
        </is>
      </c>
      <c r="E244" s="42" t="inlineStr">
        <is>
          <t>Facebook + Instagram</t>
        </is>
      </c>
      <c r="F244" s="42" t="inlineStr">
        <is>
          <t>LEP_ZA_AUG26_META_TD_AMUR_CONV</t>
        </is>
      </c>
      <c r="G244" s="42" t="inlineStr">
        <is>
          <t>Leads - Website Conversions</t>
        </is>
      </c>
      <c r="H244" s="42" t="inlineStr">
        <is>
          <t>AMUR</t>
        </is>
      </c>
      <c r="I244" s="42" t="inlineStr">
        <is>
          <t>0% Deposit</t>
        </is>
      </c>
      <c r="J244" s="42" t="inlineStr">
        <is>
          <t>MET_AMUR_INMKT_HATCH_ZA</t>
        </is>
      </c>
      <c r="K244" s="42" t="inlineStr">
        <is>
          <t>In-Market</t>
        </is>
      </c>
      <c r="L244" s="42" t="inlineStr">
        <is>
          <t>AMUR_CAR_4card_SpecStack_v1</t>
        </is>
      </c>
      <c r="M244" s="42" t="inlineStr">
        <is>
          <t>Carousel</t>
        </is>
      </c>
      <c r="N244" s="42" t="inlineStr">
        <is>
          <t>4 reasons the AMUR outsells its class</t>
        </is>
      </c>
      <c r="O244" s="42" t="inlineStr">
        <is>
          <t>Auction - Lowest Cost</t>
        </is>
      </c>
      <c r="P244" s="42" t="inlineStr">
        <is>
          <t>Offsite Conversions</t>
        </is>
      </c>
      <c r="Q244" s="42" t="inlineStr">
        <is>
          <t>https://www.lepas-sa.co.za/offers/amur</t>
        </is>
      </c>
      <c r="R244" s="115" t="n">
        <v>80.3</v>
      </c>
      <c r="S244" s="116" t="n">
        <v>1248</v>
      </c>
      <c r="T244" s="116" t="n">
        <v>744</v>
      </c>
      <c r="U244" s="117">
        <f>IFERROR(S244/T244,"")</f>
        <v/>
      </c>
      <c r="V244" s="116" t="n">
        <v>20</v>
      </c>
      <c r="W244" s="116" t="n">
        <v>16</v>
      </c>
      <c r="X244" s="118">
        <f>IFERROR(W244/S244,"")</f>
        <v/>
      </c>
      <c r="Y244" s="115">
        <f>IFERROR(R244/W244,"")</f>
        <v/>
      </c>
      <c r="Z244" s="115">
        <f>IFERROR(R244/S244*1000,"")</f>
        <v/>
      </c>
      <c r="AA244" s="116" t="n">
        <v>13</v>
      </c>
      <c r="AB244" s="47">
        <f>IFERROR(AA244/W244,"")</f>
        <v/>
      </c>
      <c r="AC244" s="116" t="n">
        <v>0</v>
      </c>
      <c r="AD244" s="116" t="n">
        <v>0</v>
      </c>
      <c r="AE244" s="116" t="n">
        <v>0</v>
      </c>
      <c r="AF244" s="116" t="n">
        <v>0</v>
      </c>
      <c r="AG244" s="116" t="n">
        <v>0</v>
      </c>
      <c r="AH244" s="116" t="n">
        <v>0</v>
      </c>
      <c r="AI244" s="47">
        <f>IFERROR(AC244/S244,"")</f>
        <v/>
      </c>
      <c r="AJ244" s="47">
        <f>IFERROR(AH244/S244,"")</f>
        <v/>
      </c>
      <c r="AK244" s="116" t="n">
        <v>41</v>
      </c>
      <c r="AL244" s="116" t="n">
        <v>0</v>
      </c>
      <c r="AM244" s="118">
        <f>IFERROR(AL244/AA244,"")</f>
        <v/>
      </c>
      <c r="AN244" s="119">
        <f>IFERROR(R244/AL244,"")</f>
        <v/>
      </c>
      <c r="AO244" s="116" t="n">
        <v>0</v>
      </c>
      <c r="AP244" s="47">
        <f>IFERROR(AO244/AL244,"")</f>
        <v/>
      </c>
      <c r="AQ244" s="119">
        <f>IFERROR(R244/AO244,"")</f>
        <v/>
      </c>
      <c r="AR244" s="116" t="n">
        <v>0</v>
      </c>
      <c r="AS244" s="116" t="n">
        <v>0</v>
      </c>
      <c r="AT244" s="116">
        <f>AL244+AR244</f>
        <v/>
      </c>
      <c r="AU244" s="119">
        <f>IFERROR(AO244*Assumptions!$C$26*Assumptions!$C$27*INDEX(Assumptions!$C$18:$C$21,MATCH(H244,Assumptions!$B$18:$B$21,0)),0)</f>
        <v/>
      </c>
    </row>
    <row r="245">
      <c r="A245" s="114" t="n">
        <v>46258</v>
      </c>
      <c r="B245" s="42" t="inlineStr">
        <is>
          <t>Wk 35</t>
        </is>
      </c>
      <c r="C245" s="42" t="inlineStr">
        <is>
          <t>Mon</t>
        </is>
      </c>
      <c r="D245" s="42" t="inlineStr">
        <is>
          <t>Meta (FB/IG)</t>
        </is>
      </c>
      <c r="E245" s="42" t="inlineStr">
        <is>
          <t>Facebook + Instagram</t>
        </is>
      </c>
      <c r="F245" s="42" t="inlineStr">
        <is>
          <t>LEP_ZA_AUG26_META_TD_AMUR_CONV</t>
        </is>
      </c>
      <c r="G245" s="42" t="inlineStr">
        <is>
          <t>Leads - Website Conversions</t>
        </is>
      </c>
      <c r="H245" s="42" t="inlineStr">
        <is>
          <t>AMUR</t>
        </is>
      </c>
      <c r="I245" s="42" t="inlineStr">
        <is>
          <t>0% Deposit</t>
        </is>
      </c>
      <c r="J245" s="42" t="inlineStr">
        <is>
          <t>MET_AMUR_INMKT_HATCH_ZA</t>
        </is>
      </c>
      <c r="K245" s="42" t="inlineStr">
        <is>
          <t>In-Market</t>
        </is>
      </c>
      <c r="L245" s="42" t="inlineStr">
        <is>
          <t>AMUR_CAR_4card_SpecStack_v1</t>
        </is>
      </c>
      <c r="M245" s="42" t="inlineStr">
        <is>
          <t>Carousel</t>
        </is>
      </c>
      <c r="N245" s="42" t="inlineStr">
        <is>
          <t>4 reasons the AMUR outsells its class</t>
        </is>
      </c>
      <c r="O245" s="42" t="inlineStr">
        <is>
          <t>Auction - Lowest Cost</t>
        </is>
      </c>
      <c r="P245" s="42" t="inlineStr">
        <is>
          <t>Offsite Conversions</t>
        </is>
      </c>
      <c r="Q245" s="42" t="inlineStr">
        <is>
          <t>https://www.lepas-sa.co.za/offers/amur</t>
        </is>
      </c>
      <c r="R245" s="115" t="n">
        <v>90.11</v>
      </c>
      <c r="S245" s="116" t="n">
        <v>1249</v>
      </c>
      <c r="T245" s="116" t="n">
        <v>675</v>
      </c>
      <c r="U245" s="117">
        <f>IFERROR(S245/T245,"")</f>
        <v/>
      </c>
      <c r="V245" s="116" t="n">
        <v>12</v>
      </c>
      <c r="W245" s="116" t="n">
        <v>9</v>
      </c>
      <c r="X245" s="118">
        <f>IFERROR(W245/S245,"")</f>
        <v/>
      </c>
      <c r="Y245" s="115">
        <f>IFERROR(R245/W245,"")</f>
        <v/>
      </c>
      <c r="Z245" s="115">
        <f>IFERROR(R245/S245*1000,"")</f>
        <v/>
      </c>
      <c r="AA245" s="116" t="n">
        <v>8</v>
      </c>
      <c r="AB245" s="47">
        <f>IFERROR(AA245/W245,"")</f>
        <v/>
      </c>
      <c r="AC245" s="116" t="n">
        <v>0</v>
      </c>
      <c r="AD245" s="116" t="n">
        <v>0</v>
      </c>
      <c r="AE245" s="116" t="n">
        <v>0</v>
      </c>
      <c r="AF245" s="116" t="n">
        <v>0</v>
      </c>
      <c r="AG245" s="116" t="n">
        <v>0</v>
      </c>
      <c r="AH245" s="116" t="n">
        <v>0</v>
      </c>
      <c r="AI245" s="47">
        <f>IFERROR(AC245/S245,"")</f>
        <v/>
      </c>
      <c r="AJ245" s="47">
        <f>IFERROR(AH245/S245,"")</f>
        <v/>
      </c>
      <c r="AK245" s="116" t="n">
        <v>27</v>
      </c>
      <c r="AL245" s="116" t="n">
        <v>0</v>
      </c>
      <c r="AM245" s="118">
        <f>IFERROR(AL245/AA245,"")</f>
        <v/>
      </c>
      <c r="AN245" s="119">
        <f>IFERROR(R245/AL245,"")</f>
        <v/>
      </c>
      <c r="AO245" s="116" t="n">
        <v>0</v>
      </c>
      <c r="AP245" s="47">
        <f>IFERROR(AO245/AL245,"")</f>
        <v/>
      </c>
      <c r="AQ245" s="119">
        <f>IFERROR(R245/AO245,"")</f>
        <v/>
      </c>
      <c r="AR245" s="116" t="n">
        <v>0</v>
      </c>
      <c r="AS245" s="116" t="n">
        <v>0</v>
      </c>
      <c r="AT245" s="116">
        <f>AL245+AR245</f>
        <v/>
      </c>
      <c r="AU245" s="119">
        <f>IFERROR(AO245*Assumptions!$C$26*Assumptions!$C$27*INDEX(Assumptions!$C$18:$C$21,MATCH(H245,Assumptions!$B$18:$B$21,0)),0)</f>
        <v/>
      </c>
    </row>
    <row r="246">
      <c r="A246" s="114" t="n">
        <v>46259</v>
      </c>
      <c r="B246" s="42" t="inlineStr">
        <is>
          <t>Wk 35</t>
        </is>
      </c>
      <c r="C246" s="42" t="inlineStr">
        <is>
          <t>Tue</t>
        </is>
      </c>
      <c r="D246" s="42" t="inlineStr">
        <is>
          <t>Meta (FB/IG)</t>
        </is>
      </c>
      <c r="E246" s="42" t="inlineStr">
        <is>
          <t>Facebook + Instagram</t>
        </is>
      </c>
      <c r="F246" s="42" t="inlineStr">
        <is>
          <t>LEP_ZA_AUG26_META_TD_AMUR_CONV</t>
        </is>
      </c>
      <c r="G246" s="42" t="inlineStr">
        <is>
          <t>Leads - Website Conversions</t>
        </is>
      </c>
      <c r="H246" s="42" t="inlineStr">
        <is>
          <t>AMUR</t>
        </is>
      </c>
      <c r="I246" s="42" t="inlineStr">
        <is>
          <t>0% Deposit</t>
        </is>
      </c>
      <c r="J246" s="42" t="inlineStr">
        <is>
          <t>MET_AMUR_INMKT_HATCH_ZA</t>
        </is>
      </c>
      <c r="K246" s="42" t="inlineStr">
        <is>
          <t>In-Market</t>
        </is>
      </c>
      <c r="L246" s="42" t="inlineStr">
        <is>
          <t>AMUR_CAR_4card_SpecStack_v1</t>
        </is>
      </c>
      <c r="M246" s="42" t="inlineStr">
        <is>
          <t>Carousel</t>
        </is>
      </c>
      <c r="N246" s="42" t="inlineStr">
        <is>
          <t>4 reasons the AMUR outsells its class</t>
        </is>
      </c>
      <c r="O246" s="42" t="inlineStr">
        <is>
          <t>Auction - Lowest Cost</t>
        </is>
      </c>
      <c r="P246" s="42" t="inlineStr">
        <is>
          <t>Offsite Conversions</t>
        </is>
      </c>
      <c r="Q246" s="42" t="inlineStr">
        <is>
          <t>https://www.lepas-sa.co.za/offers/amur</t>
        </is>
      </c>
      <c r="R246" s="115" t="n">
        <v>110.26</v>
      </c>
      <c r="S246" s="116" t="n">
        <v>1129</v>
      </c>
      <c r="T246" s="116" t="n">
        <v>617</v>
      </c>
      <c r="U246" s="117">
        <f>IFERROR(S246/T246,"")</f>
        <v/>
      </c>
      <c r="V246" s="116" t="n">
        <v>17</v>
      </c>
      <c r="W246" s="116" t="n">
        <v>13</v>
      </c>
      <c r="X246" s="118">
        <f>IFERROR(W246/S246,"")</f>
        <v/>
      </c>
      <c r="Y246" s="115">
        <f>IFERROR(R246/W246,"")</f>
        <v/>
      </c>
      <c r="Z246" s="115">
        <f>IFERROR(R246/S246*1000,"")</f>
        <v/>
      </c>
      <c r="AA246" s="116" t="n">
        <v>10</v>
      </c>
      <c r="AB246" s="47">
        <f>IFERROR(AA246/W246,"")</f>
        <v/>
      </c>
      <c r="AC246" s="116" t="n">
        <v>0</v>
      </c>
      <c r="AD246" s="116" t="n">
        <v>0</v>
      </c>
      <c r="AE246" s="116" t="n">
        <v>0</v>
      </c>
      <c r="AF246" s="116" t="n">
        <v>0</v>
      </c>
      <c r="AG246" s="116" t="n">
        <v>0</v>
      </c>
      <c r="AH246" s="116" t="n">
        <v>0</v>
      </c>
      <c r="AI246" s="47">
        <f>IFERROR(AC246/S246,"")</f>
        <v/>
      </c>
      <c r="AJ246" s="47">
        <f>IFERROR(AH246/S246,"")</f>
        <v/>
      </c>
      <c r="AK246" s="116" t="n">
        <v>23</v>
      </c>
      <c r="AL246" s="116" t="n">
        <v>0</v>
      </c>
      <c r="AM246" s="118">
        <f>IFERROR(AL246/AA246,"")</f>
        <v/>
      </c>
      <c r="AN246" s="119">
        <f>IFERROR(R246/AL246,"")</f>
        <v/>
      </c>
      <c r="AO246" s="116" t="n">
        <v>0</v>
      </c>
      <c r="AP246" s="47">
        <f>IFERROR(AO246/AL246,"")</f>
        <v/>
      </c>
      <c r="AQ246" s="119">
        <f>IFERROR(R246/AO246,"")</f>
        <v/>
      </c>
      <c r="AR246" s="116" t="n">
        <v>0</v>
      </c>
      <c r="AS246" s="116" t="n">
        <v>0</v>
      </c>
      <c r="AT246" s="116">
        <f>AL246+AR246</f>
        <v/>
      </c>
      <c r="AU246" s="119">
        <f>IFERROR(AO246*Assumptions!$C$26*Assumptions!$C$27*INDEX(Assumptions!$C$18:$C$21,MATCH(H246,Assumptions!$B$18:$B$21,0)),0)</f>
        <v/>
      </c>
    </row>
    <row r="247">
      <c r="A247" s="114" t="n">
        <v>46260</v>
      </c>
      <c r="B247" s="42" t="inlineStr">
        <is>
          <t>Wk 35</t>
        </is>
      </c>
      <c r="C247" s="42" t="inlineStr">
        <is>
          <t>Wed</t>
        </is>
      </c>
      <c r="D247" s="42" t="inlineStr">
        <is>
          <t>Meta (FB/IG)</t>
        </is>
      </c>
      <c r="E247" s="42" t="inlineStr">
        <is>
          <t>Facebook + Instagram</t>
        </is>
      </c>
      <c r="F247" s="42" t="inlineStr">
        <is>
          <t>LEP_ZA_AUG26_META_TD_AMUR_CONV</t>
        </is>
      </c>
      <c r="G247" s="42" t="inlineStr">
        <is>
          <t>Leads - Website Conversions</t>
        </is>
      </c>
      <c r="H247" s="42" t="inlineStr">
        <is>
          <t>AMUR</t>
        </is>
      </c>
      <c r="I247" s="42" t="inlineStr">
        <is>
          <t>0% Deposit</t>
        </is>
      </c>
      <c r="J247" s="42" t="inlineStr">
        <is>
          <t>MET_AMUR_INMKT_HATCH_ZA</t>
        </is>
      </c>
      <c r="K247" s="42" t="inlineStr">
        <is>
          <t>In-Market</t>
        </is>
      </c>
      <c r="L247" s="42" t="inlineStr">
        <is>
          <t>AMUR_CAR_4card_SpecStack_v1</t>
        </is>
      </c>
      <c r="M247" s="42" t="inlineStr">
        <is>
          <t>Carousel</t>
        </is>
      </c>
      <c r="N247" s="42" t="inlineStr">
        <is>
          <t>4 reasons the AMUR outsells its class</t>
        </is>
      </c>
      <c r="O247" s="42" t="inlineStr">
        <is>
          <t>Auction - Lowest Cost</t>
        </is>
      </c>
      <c r="P247" s="42" t="inlineStr">
        <is>
          <t>Offsite Conversions</t>
        </is>
      </c>
      <c r="Q247" s="42" t="inlineStr">
        <is>
          <t>https://www.lepas-sa.co.za/offers/amur</t>
        </is>
      </c>
      <c r="R247" s="115" t="n">
        <v>119.31</v>
      </c>
      <c r="S247" s="116" t="n">
        <v>1872</v>
      </c>
      <c r="T247" s="116" t="n">
        <v>1172</v>
      </c>
      <c r="U247" s="117">
        <f>IFERROR(S247/T247,"")</f>
        <v/>
      </c>
      <c r="V247" s="116" t="n">
        <v>26</v>
      </c>
      <c r="W247" s="116" t="n">
        <v>21</v>
      </c>
      <c r="X247" s="118">
        <f>IFERROR(W247/S247,"")</f>
        <v/>
      </c>
      <c r="Y247" s="115">
        <f>IFERROR(R247/W247,"")</f>
        <v/>
      </c>
      <c r="Z247" s="115">
        <f>IFERROR(R247/S247*1000,"")</f>
        <v/>
      </c>
      <c r="AA247" s="116" t="n">
        <v>17</v>
      </c>
      <c r="AB247" s="47">
        <f>IFERROR(AA247/W247,"")</f>
        <v/>
      </c>
      <c r="AC247" s="116" t="n">
        <v>0</v>
      </c>
      <c r="AD247" s="116" t="n">
        <v>0</v>
      </c>
      <c r="AE247" s="116" t="n">
        <v>0</v>
      </c>
      <c r="AF247" s="116" t="n">
        <v>0</v>
      </c>
      <c r="AG247" s="116" t="n">
        <v>0</v>
      </c>
      <c r="AH247" s="116" t="n">
        <v>0</v>
      </c>
      <c r="AI247" s="47">
        <f>IFERROR(AC247/S247,"")</f>
        <v/>
      </c>
      <c r="AJ247" s="47">
        <f>IFERROR(AH247/S247,"")</f>
        <v/>
      </c>
      <c r="AK247" s="116" t="n">
        <v>49</v>
      </c>
      <c r="AL247" s="116" t="n">
        <v>0</v>
      </c>
      <c r="AM247" s="118">
        <f>IFERROR(AL247/AA247,"")</f>
        <v/>
      </c>
      <c r="AN247" s="119">
        <f>IFERROR(R247/AL247,"")</f>
        <v/>
      </c>
      <c r="AO247" s="116" t="n">
        <v>0</v>
      </c>
      <c r="AP247" s="47">
        <f>IFERROR(AO247/AL247,"")</f>
        <v/>
      </c>
      <c r="AQ247" s="119">
        <f>IFERROR(R247/AO247,"")</f>
        <v/>
      </c>
      <c r="AR247" s="116" t="n">
        <v>0</v>
      </c>
      <c r="AS247" s="116" t="n">
        <v>0</v>
      </c>
      <c r="AT247" s="116">
        <f>AL247+AR247</f>
        <v/>
      </c>
      <c r="AU247" s="119">
        <f>IFERROR(AO247*Assumptions!$C$26*Assumptions!$C$27*INDEX(Assumptions!$C$18:$C$21,MATCH(H247,Assumptions!$B$18:$B$21,0)),0)</f>
        <v/>
      </c>
    </row>
    <row r="248">
      <c r="A248" s="114" t="n">
        <v>46261</v>
      </c>
      <c r="B248" s="42" t="inlineStr">
        <is>
          <t>Wk 35</t>
        </is>
      </c>
      <c r="C248" s="42" t="inlineStr">
        <is>
          <t>Thu</t>
        </is>
      </c>
      <c r="D248" s="42" t="inlineStr">
        <is>
          <t>Meta (FB/IG)</t>
        </is>
      </c>
      <c r="E248" s="42" t="inlineStr">
        <is>
          <t>Facebook + Instagram</t>
        </is>
      </c>
      <c r="F248" s="42" t="inlineStr">
        <is>
          <t>LEP_ZA_AUG26_META_TD_AMUR_CONV</t>
        </is>
      </c>
      <c r="G248" s="42" t="inlineStr">
        <is>
          <t>Leads - Website Conversions</t>
        </is>
      </c>
      <c r="H248" s="42" t="inlineStr">
        <is>
          <t>AMUR</t>
        </is>
      </c>
      <c r="I248" s="42" t="inlineStr">
        <is>
          <t>0% Deposit</t>
        </is>
      </c>
      <c r="J248" s="42" t="inlineStr">
        <is>
          <t>MET_AMUR_INMKT_HATCH_ZA</t>
        </is>
      </c>
      <c r="K248" s="42" t="inlineStr">
        <is>
          <t>In-Market</t>
        </is>
      </c>
      <c r="L248" s="42" t="inlineStr">
        <is>
          <t>AMUR_CAR_4card_SpecStack_v1</t>
        </is>
      </c>
      <c r="M248" s="42" t="inlineStr">
        <is>
          <t>Carousel</t>
        </is>
      </c>
      <c r="N248" s="42" t="inlineStr">
        <is>
          <t>4 reasons the AMUR outsells its class</t>
        </is>
      </c>
      <c r="O248" s="42" t="inlineStr">
        <is>
          <t>Auction - Lowest Cost</t>
        </is>
      </c>
      <c r="P248" s="42" t="inlineStr">
        <is>
          <t>Offsite Conversions</t>
        </is>
      </c>
      <c r="Q248" s="42" t="inlineStr">
        <is>
          <t>https://www.lepas-sa.co.za/offers/amur</t>
        </is>
      </c>
      <c r="R248" s="115" t="n">
        <v>132.9</v>
      </c>
      <c r="S248" s="116" t="n">
        <v>1374</v>
      </c>
      <c r="T248" s="116" t="n">
        <v>772</v>
      </c>
      <c r="U248" s="117">
        <f>IFERROR(S248/T248,"")</f>
        <v/>
      </c>
      <c r="V248" s="116" t="n">
        <v>27</v>
      </c>
      <c r="W248" s="116" t="n">
        <v>22</v>
      </c>
      <c r="X248" s="118">
        <f>IFERROR(W248/S248,"")</f>
        <v/>
      </c>
      <c r="Y248" s="115">
        <f>IFERROR(R248/W248,"")</f>
        <v/>
      </c>
      <c r="Z248" s="115">
        <f>IFERROR(R248/S248*1000,"")</f>
        <v/>
      </c>
      <c r="AA248" s="116" t="n">
        <v>19</v>
      </c>
      <c r="AB248" s="47">
        <f>IFERROR(AA248/W248,"")</f>
        <v/>
      </c>
      <c r="AC248" s="116" t="n">
        <v>0</v>
      </c>
      <c r="AD248" s="116" t="n">
        <v>0</v>
      </c>
      <c r="AE248" s="116" t="n">
        <v>0</v>
      </c>
      <c r="AF248" s="116" t="n">
        <v>0</v>
      </c>
      <c r="AG248" s="116" t="n">
        <v>0</v>
      </c>
      <c r="AH248" s="116" t="n">
        <v>0</v>
      </c>
      <c r="AI248" s="47">
        <f>IFERROR(AC248/S248,"")</f>
        <v/>
      </c>
      <c r="AJ248" s="47">
        <f>IFERROR(AH248/S248,"")</f>
        <v/>
      </c>
      <c r="AK248" s="116" t="n">
        <v>36</v>
      </c>
      <c r="AL248" s="116" t="n">
        <v>0</v>
      </c>
      <c r="AM248" s="118">
        <f>IFERROR(AL248/AA248,"")</f>
        <v/>
      </c>
      <c r="AN248" s="119">
        <f>IFERROR(R248/AL248,"")</f>
        <v/>
      </c>
      <c r="AO248" s="116" t="n">
        <v>0</v>
      </c>
      <c r="AP248" s="47">
        <f>IFERROR(AO248/AL248,"")</f>
        <v/>
      </c>
      <c r="AQ248" s="119">
        <f>IFERROR(R248/AO248,"")</f>
        <v/>
      </c>
      <c r="AR248" s="116" t="n">
        <v>0</v>
      </c>
      <c r="AS248" s="116" t="n">
        <v>0</v>
      </c>
      <c r="AT248" s="116">
        <f>AL248+AR248</f>
        <v/>
      </c>
      <c r="AU248" s="119">
        <f>IFERROR(AO248*Assumptions!$C$26*Assumptions!$C$27*INDEX(Assumptions!$C$18:$C$21,MATCH(H248,Assumptions!$B$18:$B$21,0)),0)</f>
        <v/>
      </c>
    </row>
    <row r="249">
      <c r="A249" s="114" t="n">
        <v>46262</v>
      </c>
      <c r="B249" s="42" t="inlineStr">
        <is>
          <t>Wk 35</t>
        </is>
      </c>
      <c r="C249" s="42" t="inlineStr">
        <is>
          <t>Fri</t>
        </is>
      </c>
      <c r="D249" s="42" t="inlineStr">
        <is>
          <t>Meta (FB/IG)</t>
        </is>
      </c>
      <c r="E249" s="42" t="inlineStr">
        <is>
          <t>Facebook + Instagram</t>
        </is>
      </c>
      <c r="F249" s="42" t="inlineStr">
        <is>
          <t>LEP_ZA_AUG26_META_TD_AMUR_CONV</t>
        </is>
      </c>
      <c r="G249" s="42" t="inlineStr">
        <is>
          <t>Leads - Website Conversions</t>
        </is>
      </c>
      <c r="H249" s="42" t="inlineStr">
        <is>
          <t>AMUR</t>
        </is>
      </c>
      <c r="I249" s="42" t="inlineStr">
        <is>
          <t>0% Deposit</t>
        </is>
      </c>
      <c r="J249" s="42" t="inlineStr">
        <is>
          <t>MET_AMUR_INMKT_HATCH_ZA</t>
        </is>
      </c>
      <c r="K249" s="42" t="inlineStr">
        <is>
          <t>In-Market</t>
        </is>
      </c>
      <c r="L249" s="42" t="inlineStr">
        <is>
          <t>AMUR_CAR_4card_SpecStack_v1</t>
        </is>
      </c>
      <c r="M249" s="42" t="inlineStr">
        <is>
          <t>Carousel</t>
        </is>
      </c>
      <c r="N249" s="42" t="inlineStr">
        <is>
          <t>4 reasons the AMUR outsells its class</t>
        </is>
      </c>
      <c r="O249" s="42" t="inlineStr">
        <is>
          <t>Auction - Lowest Cost</t>
        </is>
      </c>
      <c r="P249" s="42" t="inlineStr">
        <is>
          <t>Offsite Conversions</t>
        </is>
      </c>
      <c r="Q249" s="42" t="inlineStr">
        <is>
          <t>https://www.lepas-sa.co.za/offers/amur</t>
        </is>
      </c>
      <c r="R249" s="115" t="n">
        <v>123.04</v>
      </c>
      <c r="S249" s="116" t="n">
        <v>1152</v>
      </c>
      <c r="T249" s="116" t="n">
        <v>738</v>
      </c>
      <c r="U249" s="117">
        <f>IFERROR(S249/T249,"")</f>
        <v/>
      </c>
      <c r="V249" s="116" t="n">
        <v>12</v>
      </c>
      <c r="W249" s="116" t="n">
        <v>9</v>
      </c>
      <c r="X249" s="118">
        <f>IFERROR(W249/S249,"")</f>
        <v/>
      </c>
      <c r="Y249" s="115">
        <f>IFERROR(R249/W249,"")</f>
        <v/>
      </c>
      <c r="Z249" s="115">
        <f>IFERROR(R249/S249*1000,"")</f>
        <v/>
      </c>
      <c r="AA249" s="116" t="n">
        <v>7</v>
      </c>
      <c r="AB249" s="47">
        <f>IFERROR(AA249/W249,"")</f>
        <v/>
      </c>
      <c r="AC249" s="116" t="n">
        <v>0</v>
      </c>
      <c r="AD249" s="116" t="n">
        <v>0</v>
      </c>
      <c r="AE249" s="116" t="n">
        <v>0</v>
      </c>
      <c r="AF249" s="116" t="n">
        <v>0</v>
      </c>
      <c r="AG249" s="116" t="n">
        <v>0</v>
      </c>
      <c r="AH249" s="116" t="n">
        <v>0</v>
      </c>
      <c r="AI249" s="47">
        <f>IFERROR(AC249/S249,"")</f>
        <v/>
      </c>
      <c r="AJ249" s="47">
        <f>IFERROR(AH249/S249,"")</f>
        <v/>
      </c>
      <c r="AK249" s="116" t="n">
        <v>23</v>
      </c>
      <c r="AL249" s="116" t="n">
        <v>1</v>
      </c>
      <c r="AM249" s="118">
        <f>IFERROR(AL249/AA249,"")</f>
        <v/>
      </c>
      <c r="AN249" s="119">
        <f>IFERROR(R249/AL249,"")</f>
        <v/>
      </c>
      <c r="AO249" s="116" t="n">
        <v>1</v>
      </c>
      <c r="AP249" s="47">
        <f>IFERROR(AO249/AL249,"")</f>
        <v/>
      </c>
      <c r="AQ249" s="119">
        <f>IFERROR(R249/AO249,"")</f>
        <v/>
      </c>
      <c r="AR249" s="116" t="n">
        <v>0</v>
      </c>
      <c r="AS249" s="116" t="n">
        <v>0</v>
      </c>
      <c r="AT249" s="116">
        <f>AL249+AR249</f>
        <v/>
      </c>
      <c r="AU249" s="119">
        <f>IFERROR(AO249*Assumptions!$C$26*Assumptions!$C$27*INDEX(Assumptions!$C$18:$C$21,MATCH(H249,Assumptions!$B$18:$B$21,0)),0)</f>
        <v/>
      </c>
    </row>
    <row r="250">
      <c r="A250" s="114" t="n">
        <v>46263</v>
      </c>
      <c r="B250" s="42" t="inlineStr">
        <is>
          <t>Wk 35</t>
        </is>
      </c>
      <c r="C250" s="42" t="inlineStr">
        <is>
          <t>Sat</t>
        </is>
      </c>
      <c r="D250" s="42" t="inlineStr">
        <is>
          <t>Meta (FB/IG)</t>
        </is>
      </c>
      <c r="E250" s="42" t="inlineStr">
        <is>
          <t>Facebook + Instagram</t>
        </is>
      </c>
      <c r="F250" s="42" t="inlineStr">
        <is>
          <t>LEP_ZA_AUG26_META_TD_AMUR_CONV</t>
        </is>
      </c>
      <c r="G250" s="42" t="inlineStr">
        <is>
          <t>Leads - Website Conversions</t>
        </is>
      </c>
      <c r="H250" s="42" t="inlineStr">
        <is>
          <t>AMUR</t>
        </is>
      </c>
      <c r="I250" s="42" t="inlineStr">
        <is>
          <t>0% Deposit</t>
        </is>
      </c>
      <c r="J250" s="42" t="inlineStr">
        <is>
          <t>MET_AMUR_INMKT_HATCH_ZA</t>
        </is>
      </c>
      <c r="K250" s="42" t="inlineStr">
        <is>
          <t>In-Market</t>
        </is>
      </c>
      <c r="L250" s="42" t="inlineStr">
        <is>
          <t>AMUR_CAR_4card_SpecStack_v1</t>
        </is>
      </c>
      <c r="M250" s="42" t="inlineStr">
        <is>
          <t>Carousel</t>
        </is>
      </c>
      <c r="N250" s="42" t="inlineStr">
        <is>
          <t>4 reasons the AMUR outsells its class</t>
        </is>
      </c>
      <c r="O250" s="42" t="inlineStr">
        <is>
          <t>Auction - Lowest Cost</t>
        </is>
      </c>
      <c r="P250" s="42" t="inlineStr">
        <is>
          <t>Offsite Conversions</t>
        </is>
      </c>
      <c r="Q250" s="42" t="inlineStr">
        <is>
          <t>https://www.lepas-sa.co.za/offers/amur</t>
        </is>
      </c>
      <c r="R250" s="115" t="n">
        <v>150.1</v>
      </c>
      <c r="S250" s="116" t="n">
        <v>1724</v>
      </c>
      <c r="T250" s="116" t="n">
        <v>803</v>
      </c>
      <c r="U250" s="117">
        <f>IFERROR(S250/T250,"")</f>
        <v/>
      </c>
      <c r="V250" s="116" t="n">
        <v>35</v>
      </c>
      <c r="W250" s="116" t="n">
        <v>27</v>
      </c>
      <c r="X250" s="118">
        <f>IFERROR(W250/S250,"")</f>
        <v/>
      </c>
      <c r="Y250" s="115">
        <f>IFERROR(R250/W250,"")</f>
        <v/>
      </c>
      <c r="Z250" s="115">
        <f>IFERROR(R250/S250*1000,"")</f>
        <v/>
      </c>
      <c r="AA250" s="116" t="n">
        <v>23</v>
      </c>
      <c r="AB250" s="47">
        <f>IFERROR(AA250/W250,"")</f>
        <v/>
      </c>
      <c r="AC250" s="116" t="n">
        <v>0</v>
      </c>
      <c r="AD250" s="116" t="n">
        <v>0</v>
      </c>
      <c r="AE250" s="116" t="n">
        <v>0</v>
      </c>
      <c r="AF250" s="116" t="n">
        <v>0</v>
      </c>
      <c r="AG250" s="116" t="n">
        <v>0</v>
      </c>
      <c r="AH250" s="116" t="n">
        <v>0</v>
      </c>
      <c r="AI250" s="47">
        <f>IFERROR(AC250/S250,"")</f>
        <v/>
      </c>
      <c r="AJ250" s="47">
        <f>IFERROR(AH250/S250,"")</f>
        <v/>
      </c>
      <c r="AK250" s="116" t="n">
        <v>58</v>
      </c>
      <c r="AL250" s="116" t="n">
        <v>0</v>
      </c>
      <c r="AM250" s="118">
        <f>IFERROR(AL250/AA250,"")</f>
        <v/>
      </c>
      <c r="AN250" s="119">
        <f>IFERROR(R250/AL250,"")</f>
        <v/>
      </c>
      <c r="AO250" s="116" t="n">
        <v>0</v>
      </c>
      <c r="AP250" s="47">
        <f>IFERROR(AO250/AL250,"")</f>
        <v/>
      </c>
      <c r="AQ250" s="119">
        <f>IFERROR(R250/AO250,"")</f>
        <v/>
      </c>
      <c r="AR250" s="116" t="n">
        <v>0</v>
      </c>
      <c r="AS250" s="116" t="n">
        <v>0</v>
      </c>
      <c r="AT250" s="116">
        <f>AL250+AR250</f>
        <v/>
      </c>
      <c r="AU250" s="119">
        <f>IFERROR(AO250*Assumptions!$C$26*Assumptions!$C$27*INDEX(Assumptions!$C$18:$C$21,MATCH(H250,Assumptions!$B$18:$B$21,0)),0)</f>
        <v/>
      </c>
    </row>
    <row r="251">
      <c r="A251" s="114" t="n">
        <v>46264</v>
      </c>
      <c r="B251" s="42" t="inlineStr">
        <is>
          <t>Wk 35</t>
        </is>
      </c>
      <c r="C251" s="42" t="inlineStr">
        <is>
          <t>Sun</t>
        </is>
      </c>
      <c r="D251" s="42" t="inlineStr">
        <is>
          <t>Meta (FB/IG)</t>
        </is>
      </c>
      <c r="E251" s="42" t="inlineStr">
        <is>
          <t>Facebook + Instagram</t>
        </is>
      </c>
      <c r="F251" s="42" t="inlineStr">
        <is>
          <t>LEP_ZA_AUG26_META_TD_AMUR_CONV</t>
        </is>
      </c>
      <c r="G251" s="42" t="inlineStr">
        <is>
          <t>Leads - Website Conversions</t>
        </is>
      </c>
      <c r="H251" s="42" t="inlineStr">
        <is>
          <t>AMUR</t>
        </is>
      </c>
      <c r="I251" s="42" t="inlineStr">
        <is>
          <t>0% Deposit</t>
        </is>
      </c>
      <c r="J251" s="42" t="inlineStr">
        <is>
          <t>MET_AMUR_INMKT_HATCH_ZA</t>
        </is>
      </c>
      <c r="K251" s="42" t="inlineStr">
        <is>
          <t>In-Market</t>
        </is>
      </c>
      <c r="L251" s="42" t="inlineStr">
        <is>
          <t>AMUR_CAR_4card_SpecStack_v1</t>
        </is>
      </c>
      <c r="M251" s="42" t="inlineStr">
        <is>
          <t>Carousel</t>
        </is>
      </c>
      <c r="N251" s="42" t="inlineStr">
        <is>
          <t>4 reasons the AMUR outsells its class</t>
        </is>
      </c>
      <c r="O251" s="42" t="inlineStr">
        <is>
          <t>Auction - Lowest Cost</t>
        </is>
      </c>
      <c r="P251" s="42" t="inlineStr">
        <is>
          <t>Offsite Conversions</t>
        </is>
      </c>
      <c r="Q251" s="42" t="inlineStr">
        <is>
          <t>https://www.lepas-sa.co.za/offers/amur</t>
        </is>
      </c>
      <c r="R251" s="115" t="n">
        <v>96.54000000000001</v>
      </c>
      <c r="S251" s="116" t="n">
        <v>1122</v>
      </c>
      <c r="T251" s="116" t="n">
        <v>571</v>
      </c>
      <c r="U251" s="117">
        <f>IFERROR(S251/T251,"")</f>
        <v/>
      </c>
      <c r="V251" s="116" t="n">
        <v>15</v>
      </c>
      <c r="W251" s="116" t="n">
        <v>12</v>
      </c>
      <c r="X251" s="118">
        <f>IFERROR(W251/S251,"")</f>
        <v/>
      </c>
      <c r="Y251" s="115">
        <f>IFERROR(R251/W251,"")</f>
        <v/>
      </c>
      <c r="Z251" s="115">
        <f>IFERROR(R251/S251*1000,"")</f>
        <v/>
      </c>
      <c r="AA251" s="116" t="n">
        <v>10</v>
      </c>
      <c r="AB251" s="47">
        <f>IFERROR(AA251/W251,"")</f>
        <v/>
      </c>
      <c r="AC251" s="116" t="n">
        <v>0</v>
      </c>
      <c r="AD251" s="116" t="n">
        <v>0</v>
      </c>
      <c r="AE251" s="116" t="n">
        <v>0</v>
      </c>
      <c r="AF251" s="116" t="n">
        <v>0</v>
      </c>
      <c r="AG251" s="116" t="n">
        <v>0</v>
      </c>
      <c r="AH251" s="116" t="n">
        <v>0</v>
      </c>
      <c r="AI251" s="47">
        <f>IFERROR(AC251/S251,"")</f>
        <v/>
      </c>
      <c r="AJ251" s="47">
        <f>IFERROR(AH251/S251,"")</f>
        <v/>
      </c>
      <c r="AK251" s="116" t="n">
        <v>12</v>
      </c>
      <c r="AL251" s="116" t="n">
        <v>0</v>
      </c>
      <c r="AM251" s="118">
        <f>IFERROR(AL251/AA251,"")</f>
        <v/>
      </c>
      <c r="AN251" s="119">
        <f>IFERROR(R251/AL251,"")</f>
        <v/>
      </c>
      <c r="AO251" s="116" t="n">
        <v>0</v>
      </c>
      <c r="AP251" s="47">
        <f>IFERROR(AO251/AL251,"")</f>
        <v/>
      </c>
      <c r="AQ251" s="119">
        <f>IFERROR(R251/AO251,"")</f>
        <v/>
      </c>
      <c r="AR251" s="116" t="n">
        <v>0</v>
      </c>
      <c r="AS251" s="116" t="n">
        <v>0</v>
      </c>
      <c r="AT251" s="116">
        <f>AL251+AR251</f>
        <v/>
      </c>
      <c r="AU251" s="119">
        <f>IFERROR(AO251*Assumptions!$C$26*Assumptions!$C$27*INDEX(Assumptions!$C$18:$C$21,MATCH(H251,Assumptions!$B$18:$B$21,0)),0)</f>
        <v/>
      </c>
    </row>
    <row r="252">
      <c r="A252" s="114" t="n">
        <v>46265</v>
      </c>
      <c r="B252" s="42" t="inlineStr">
        <is>
          <t>Wk 36</t>
        </is>
      </c>
      <c r="C252" s="42" t="inlineStr">
        <is>
          <t>Mon</t>
        </is>
      </c>
      <c r="D252" s="42" t="inlineStr">
        <is>
          <t>Meta (FB/IG)</t>
        </is>
      </c>
      <c r="E252" s="42" t="inlineStr">
        <is>
          <t>Facebook + Instagram</t>
        </is>
      </c>
      <c r="F252" s="42" t="inlineStr">
        <is>
          <t>LEP_ZA_AUG26_META_TD_AMUR_CONV</t>
        </is>
      </c>
      <c r="G252" s="42" t="inlineStr">
        <is>
          <t>Leads - Website Conversions</t>
        </is>
      </c>
      <c r="H252" s="42" t="inlineStr">
        <is>
          <t>AMUR</t>
        </is>
      </c>
      <c r="I252" s="42" t="inlineStr">
        <is>
          <t>0% Deposit</t>
        </is>
      </c>
      <c r="J252" s="42" t="inlineStr">
        <is>
          <t>MET_AMUR_INMKT_HATCH_ZA</t>
        </is>
      </c>
      <c r="K252" s="42" t="inlineStr">
        <is>
          <t>In-Market</t>
        </is>
      </c>
      <c r="L252" s="42" t="inlineStr">
        <is>
          <t>AMUR_CAR_4card_SpecStack_v1</t>
        </is>
      </c>
      <c r="M252" s="42" t="inlineStr">
        <is>
          <t>Carousel</t>
        </is>
      </c>
      <c r="N252" s="42" t="inlineStr">
        <is>
          <t>4 reasons the AMUR outsells its class</t>
        </is>
      </c>
      <c r="O252" s="42" t="inlineStr">
        <is>
          <t>Auction - Lowest Cost</t>
        </is>
      </c>
      <c r="P252" s="42" t="inlineStr">
        <is>
          <t>Offsite Conversions</t>
        </is>
      </c>
      <c r="Q252" s="42" t="inlineStr">
        <is>
          <t>https://www.lepas-sa.co.za/offers/amur</t>
        </is>
      </c>
      <c r="R252" s="115" t="n">
        <v>98.51000000000001</v>
      </c>
      <c r="S252" s="116" t="n">
        <v>1429</v>
      </c>
      <c r="T252" s="116" t="n">
        <v>786</v>
      </c>
      <c r="U252" s="117">
        <f>IFERROR(S252/T252,"")</f>
        <v/>
      </c>
      <c r="V252" s="116" t="n">
        <v>13</v>
      </c>
      <c r="W252" s="116" t="n">
        <v>11</v>
      </c>
      <c r="X252" s="118">
        <f>IFERROR(W252/S252,"")</f>
        <v/>
      </c>
      <c r="Y252" s="115">
        <f>IFERROR(R252/W252,"")</f>
        <v/>
      </c>
      <c r="Z252" s="115">
        <f>IFERROR(R252/S252*1000,"")</f>
        <v/>
      </c>
      <c r="AA252" s="116" t="n">
        <v>10</v>
      </c>
      <c r="AB252" s="47">
        <f>IFERROR(AA252/W252,"")</f>
        <v/>
      </c>
      <c r="AC252" s="116" t="n">
        <v>0</v>
      </c>
      <c r="AD252" s="116" t="n">
        <v>0</v>
      </c>
      <c r="AE252" s="116" t="n">
        <v>0</v>
      </c>
      <c r="AF252" s="116" t="n">
        <v>0</v>
      </c>
      <c r="AG252" s="116" t="n">
        <v>0</v>
      </c>
      <c r="AH252" s="116" t="n">
        <v>0</v>
      </c>
      <c r="AI252" s="47">
        <f>IFERROR(AC252/S252,"")</f>
        <v/>
      </c>
      <c r="AJ252" s="47">
        <f>IFERROR(AH252/S252,"")</f>
        <v/>
      </c>
      <c r="AK252" s="116" t="n">
        <v>28</v>
      </c>
      <c r="AL252" s="116" t="n">
        <v>1</v>
      </c>
      <c r="AM252" s="118">
        <f>IFERROR(AL252/AA252,"")</f>
        <v/>
      </c>
      <c r="AN252" s="119">
        <f>IFERROR(R252/AL252,"")</f>
        <v/>
      </c>
      <c r="AO252" s="116" t="n">
        <v>1</v>
      </c>
      <c r="AP252" s="47">
        <f>IFERROR(AO252/AL252,"")</f>
        <v/>
      </c>
      <c r="AQ252" s="119">
        <f>IFERROR(R252/AO252,"")</f>
        <v/>
      </c>
      <c r="AR252" s="116" t="n">
        <v>0</v>
      </c>
      <c r="AS252" s="116" t="n">
        <v>1</v>
      </c>
      <c r="AT252" s="116">
        <f>AL252+AR252</f>
        <v/>
      </c>
      <c r="AU252" s="119">
        <f>IFERROR(AO252*Assumptions!$C$26*Assumptions!$C$27*INDEX(Assumptions!$C$18:$C$21,MATCH(H252,Assumptions!$B$18:$B$21,0)),0)</f>
        <v/>
      </c>
    </row>
    <row r="253">
      <c r="A253" s="114" t="n">
        <v>46235</v>
      </c>
      <c r="B253" s="42" t="inlineStr">
        <is>
          <t>Wk 31</t>
        </is>
      </c>
      <c r="C253" s="42" t="inlineStr">
        <is>
          <t>Sat</t>
        </is>
      </c>
      <c r="D253" s="42" t="inlineStr">
        <is>
          <t>Meta (FB/IG)</t>
        </is>
      </c>
      <c r="E253" s="42" t="inlineStr">
        <is>
          <t>Facebook + Instagram</t>
        </is>
      </c>
      <c r="F253" s="42" t="inlineStr">
        <is>
          <t>LEP_ZA_AUG26_META_TD_JAVAN_CONV</t>
        </is>
      </c>
      <c r="G253" s="42" t="inlineStr">
        <is>
          <t>Leads - Website Conversions</t>
        </is>
      </c>
      <c r="H253" s="42" t="inlineStr">
        <is>
          <t>JAVAN</t>
        </is>
      </c>
      <c r="I253" s="42" t="inlineStr">
        <is>
          <t>10% Deposit</t>
        </is>
      </c>
      <c r="J253" s="42" t="inlineStr">
        <is>
          <t>MET_JAVAN_BROAD_28-55_ZA</t>
        </is>
      </c>
      <c r="K253" s="42" t="inlineStr">
        <is>
          <t>Prospecting</t>
        </is>
      </c>
      <c r="L253" s="42" t="inlineStr">
        <is>
          <t>JAVAN_VID_20s_FamilyWeekend_v1</t>
        </is>
      </c>
      <c r="M253" s="42" t="inlineStr">
        <is>
          <t>Video 9:16</t>
        </is>
      </c>
      <c r="N253" s="42" t="inlineStr">
        <is>
          <t>The weekend car that works on Monday</t>
        </is>
      </c>
      <c r="O253" s="42" t="inlineStr">
        <is>
          <t>Auction - Lowest Cost</t>
        </is>
      </c>
      <c r="P253" s="42" t="inlineStr">
        <is>
          <t>Offsite Conversions</t>
        </is>
      </c>
      <c r="Q253" s="42" t="inlineStr">
        <is>
          <t>https://www.lepas-sa.co.za/offers/javan</t>
        </is>
      </c>
      <c r="R253" s="115" t="n">
        <v>312.32</v>
      </c>
      <c r="S253" s="116" t="n">
        <v>4331</v>
      </c>
      <c r="T253" s="116" t="n">
        <v>3073</v>
      </c>
      <c r="U253" s="117">
        <f>IFERROR(S253/T253,"")</f>
        <v/>
      </c>
      <c r="V253" s="116" t="n">
        <v>106</v>
      </c>
      <c r="W253" s="116" t="n">
        <v>82</v>
      </c>
      <c r="X253" s="118">
        <f>IFERROR(W253/S253,"")</f>
        <v/>
      </c>
      <c r="Y253" s="115">
        <f>IFERROR(R253/W253,"")</f>
        <v/>
      </c>
      <c r="Z253" s="115">
        <f>IFERROR(R253/S253*1000,"")</f>
        <v/>
      </c>
      <c r="AA253" s="116" t="n">
        <v>72</v>
      </c>
      <c r="AB253" s="47">
        <f>IFERROR(AA253/W253,"")</f>
        <v/>
      </c>
      <c r="AC253" s="116" t="n">
        <v>1012</v>
      </c>
      <c r="AD253" s="116" t="n">
        <v>486</v>
      </c>
      <c r="AE253" s="116" t="n">
        <v>406</v>
      </c>
      <c r="AF253" s="116" t="n">
        <v>243</v>
      </c>
      <c r="AG253" s="116" t="n">
        <v>189</v>
      </c>
      <c r="AH253" s="116" t="n">
        <v>123</v>
      </c>
      <c r="AI253" s="47">
        <f>IFERROR(AC253/S253,"")</f>
        <v/>
      </c>
      <c r="AJ253" s="47">
        <f>IFERROR(AH253/S253,"")</f>
        <v/>
      </c>
      <c r="AK253" s="116" t="n">
        <v>148</v>
      </c>
      <c r="AL253" s="116" t="n">
        <v>1</v>
      </c>
      <c r="AM253" s="118">
        <f>IFERROR(AL253/AA253,"")</f>
        <v/>
      </c>
      <c r="AN253" s="119">
        <f>IFERROR(R253/AL253,"")</f>
        <v/>
      </c>
      <c r="AO253" s="116" t="n">
        <v>0</v>
      </c>
      <c r="AP253" s="47">
        <f>IFERROR(AO253/AL253,"")</f>
        <v/>
      </c>
      <c r="AQ253" s="119">
        <f>IFERROR(R253/AO253,"")</f>
        <v/>
      </c>
      <c r="AR253" s="116" t="n">
        <v>0</v>
      </c>
      <c r="AS253" s="116" t="n">
        <v>0</v>
      </c>
      <c r="AT253" s="116">
        <f>AL253+AR253</f>
        <v/>
      </c>
      <c r="AU253" s="119">
        <f>IFERROR(AO253*Assumptions!$C$26*Assumptions!$C$27*INDEX(Assumptions!$C$18:$C$21,MATCH(H253,Assumptions!$B$18:$B$21,0)),0)</f>
        <v/>
      </c>
    </row>
    <row r="254">
      <c r="A254" s="114" t="n">
        <v>46236</v>
      </c>
      <c r="B254" s="42" t="inlineStr">
        <is>
          <t>Wk 31</t>
        </is>
      </c>
      <c r="C254" s="42" t="inlineStr">
        <is>
          <t>Sun</t>
        </is>
      </c>
      <c r="D254" s="42" t="inlineStr">
        <is>
          <t>Meta (FB/IG)</t>
        </is>
      </c>
      <c r="E254" s="42" t="inlineStr">
        <is>
          <t>Facebook + Instagram</t>
        </is>
      </c>
      <c r="F254" s="42" t="inlineStr">
        <is>
          <t>LEP_ZA_AUG26_META_TD_JAVAN_CONV</t>
        </is>
      </c>
      <c r="G254" s="42" t="inlineStr">
        <is>
          <t>Leads - Website Conversions</t>
        </is>
      </c>
      <c r="H254" s="42" t="inlineStr">
        <is>
          <t>JAVAN</t>
        </is>
      </c>
      <c r="I254" s="42" t="inlineStr">
        <is>
          <t>10% Deposit</t>
        </is>
      </c>
      <c r="J254" s="42" t="inlineStr">
        <is>
          <t>MET_JAVAN_BROAD_28-55_ZA</t>
        </is>
      </c>
      <c r="K254" s="42" t="inlineStr">
        <is>
          <t>Prospecting</t>
        </is>
      </c>
      <c r="L254" s="42" t="inlineStr">
        <is>
          <t>JAVAN_VID_20s_FamilyWeekend_v1</t>
        </is>
      </c>
      <c r="M254" s="42" t="inlineStr">
        <is>
          <t>Video 9:16</t>
        </is>
      </c>
      <c r="N254" s="42" t="inlineStr">
        <is>
          <t>The weekend car that works on Monday</t>
        </is>
      </c>
      <c r="O254" s="42" t="inlineStr">
        <is>
          <t>Auction - Lowest Cost</t>
        </is>
      </c>
      <c r="P254" s="42" t="inlineStr">
        <is>
          <t>Offsite Conversions</t>
        </is>
      </c>
      <c r="Q254" s="42" t="inlineStr">
        <is>
          <t>https://www.lepas-sa.co.za/offers/javan</t>
        </is>
      </c>
      <c r="R254" s="115" t="n">
        <v>228.26</v>
      </c>
      <c r="S254" s="116" t="n">
        <v>3431</v>
      </c>
      <c r="T254" s="116" t="n">
        <v>2936</v>
      </c>
      <c r="U254" s="117">
        <f>IFERROR(S254/T254,"")</f>
        <v/>
      </c>
      <c r="V254" s="116" t="n">
        <v>71</v>
      </c>
      <c r="W254" s="116" t="n">
        <v>58</v>
      </c>
      <c r="X254" s="118">
        <f>IFERROR(W254/S254,"")</f>
        <v/>
      </c>
      <c r="Y254" s="115">
        <f>IFERROR(R254/W254,"")</f>
        <v/>
      </c>
      <c r="Z254" s="115">
        <f>IFERROR(R254/S254*1000,"")</f>
        <v/>
      </c>
      <c r="AA254" s="116" t="n">
        <v>45</v>
      </c>
      <c r="AB254" s="47">
        <f>IFERROR(AA254/W254,"")</f>
        <v/>
      </c>
      <c r="AC254" s="116" t="n">
        <v>1151</v>
      </c>
      <c r="AD254" s="116" t="n">
        <v>639</v>
      </c>
      <c r="AE254" s="116" t="n">
        <v>482</v>
      </c>
      <c r="AF254" s="116" t="n">
        <v>288</v>
      </c>
      <c r="AG254" s="116" t="n">
        <v>204</v>
      </c>
      <c r="AH254" s="116" t="n">
        <v>134</v>
      </c>
      <c r="AI254" s="47">
        <f>IFERROR(AC254/S254,"")</f>
        <v/>
      </c>
      <c r="AJ254" s="47">
        <f>IFERROR(AH254/S254,"")</f>
        <v/>
      </c>
      <c r="AK254" s="116" t="n">
        <v>44</v>
      </c>
      <c r="AL254" s="116" t="n">
        <v>0</v>
      </c>
      <c r="AM254" s="118">
        <f>IFERROR(AL254/AA254,"")</f>
        <v/>
      </c>
      <c r="AN254" s="119">
        <f>IFERROR(R254/AL254,"")</f>
        <v/>
      </c>
      <c r="AO254" s="116" t="n">
        <v>0</v>
      </c>
      <c r="AP254" s="47">
        <f>IFERROR(AO254/AL254,"")</f>
        <v/>
      </c>
      <c r="AQ254" s="119">
        <f>IFERROR(R254/AO254,"")</f>
        <v/>
      </c>
      <c r="AR254" s="116" t="n">
        <v>0</v>
      </c>
      <c r="AS254" s="116" t="n">
        <v>0</v>
      </c>
      <c r="AT254" s="116">
        <f>AL254+AR254</f>
        <v/>
      </c>
      <c r="AU254" s="119">
        <f>IFERROR(AO254*Assumptions!$C$26*Assumptions!$C$27*INDEX(Assumptions!$C$18:$C$21,MATCH(H254,Assumptions!$B$18:$B$21,0)),0)</f>
        <v/>
      </c>
    </row>
    <row r="255">
      <c r="A255" s="114" t="n">
        <v>46237</v>
      </c>
      <c r="B255" s="42" t="inlineStr">
        <is>
          <t>Wk 32</t>
        </is>
      </c>
      <c r="C255" s="42" t="inlineStr">
        <is>
          <t>Mon</t>
        </is>
      </c>
      <c r="D255" s="42" t="inlineStr">
        <is>
          <t>Meta (FB/IG)</t>
        </is>
      </c>
      <c r="E255" s="42" t="inlineStr">
        <is>
          <t>Facebook + Instagram</t>
        </is>
      </c>
      <c r="F255" s="42" t="inlineStr">
        <is>
          <t>LEP_ZA_AUG26_META_TD_JAVAN_CONV</t>
        </is>
      </c>
      <c r="G255" s="42" t="inlineStr">
        <is>
          <t>Leads - Website Conversions</t>
        </is>
      </c>
      <c r="H255" s="42" t="inlineStr">
        <is>
          <t>JAVAN</t>
        </is>
      </c>
      <c r="I255" s="42" t="inlineStr">
        <is>
          <t>10% Deposit</t>
        </is>
      </c>
      <c r="J255" s="42" t="inlineStr">
        <is>
          <t>MET_JAVAN_BROAD_28-55_ZA</t>
        </is>
      </c>
      <c r="K255" s="42" t="inlineStr">
        <is>
          <t>Prospecting</t>
        </is>
      </c>
      <c r="L255" s="42" t="inlineStr">
        <is>
          <t>JAVAN_VID_20s_FamilyWeekend_v1</t>
        </is>
      </c>
      <c r="M255" s="42" t="inlineStr">
        <is>
          <t>Video 9:16</t>
        </is>
      </c>
      <c r="N255" s="42" t="inlineStr">
        <is>
          <t>The weekend car that works on Monday</t>
        </is>
      </c>
      <c r="O255" s="42" t="inlineStr">
        <is>
          <t>Auction - Lowest Cost</t>
        </is>
      </c>
      <c r="P255" s="42" t="inlineStr">
        <is>
          <t>Offsite Conversions</t>
        </is>
      </c>
      <c r="Q255" s="42" t="inlineStr">
        <is>
          <t>https://www.lepas-sa.co.za/offers/javan</t>
        </is>
      </c>
      <c r="R255" s="115" t="n">
        <v>264.36</v>
      </c>
      <c r="S255" s="116" t="n">
        <v>3381</v>
      </c>
      <c r="T255" s="116" t="n">
        <v>2322</v>
      </c>
      <c r="U255" s="117">
        <f>IFERROR(S255/T255,"")</f>
        <v/>
      </c>
      <c r="V255" s="116" t="n">
        <v>53</v>
      </c>
      <c r="W255" s="116" t="n">
        <v>40</v>
      </c>
      <c r="X255" s="118">
        <f>IFERROR(W255/S255,"")</f>
        <v/>
      </c>
      <c r="Y255" s="115">
        <f>IFERROR(R255/W255,"")</f>
        <v/>
      </c>
      <c r="Z255" s="115">
        <f>IFERROR(R255/S255*1000,"")</f>
        <v/>
      </c>
      <c r="AA255" s="116" t="n">
        <v>34</v>
      </c>
      <c r="AB255" s="47">
        <f>IFERROR(AA255/W255,"")</f>
        <v/>
      </c>
      <c r="AC255" s="116" t="n">
        <v>990</v>
      </c>
      <c r="AD255" s="116" t="n">
        <v>486</v>
      </c>
      <c r="AE255" s="116" t="n">
        <v>472</v>
      </c>
      <c r="AF255" s="116" t="n">
        <v>300</v>
      </c>
      <c r="AG255" s="116" t="n">
        <v>213</v>
      </c>
      <c r="AH255" s="116" t="n">
        <v>128</v>
      </c>
      <c r="AI255" s="47">
        <f>IFERROR(AC255/S255,"")</f>
        <v/>
      </c>
      <c r="AJ255" s="47">
        <f>IFERROR(AH255/S255,"")</f>
        <v/>
      </c>
      <c r="AK255" s="116" t="n">
        <v>116</v>
      </c>
      <c r="AL255" s="116" t="n">
        <v>1</v>
      </c>
      <c r="AM255" s="118">
        <f>IFERROR(AL255/AA255,"")</f>
        <v/>
      </c>
      <c r="AN255" s="119">
        <f>IFERROR(R255/AL255,"")</f>
        <v/>
      </c>
      <c r="AO255" s="116" t="n">
        <v>1</v>
      </c>
      <c r="AP255" s="47">
        <f>IFERROR(AO255/AL255,"")</f>
        <v/>
      </c>
      <c r="AQ255" s="119">
        <f>IFERROR(R255/AO255,"")</f>
        <v/>
      </c>
      <c r="AR255" s="116" t="n">
        <v>1</v>
      </c>
      <c r="AS255" s="116" t="n">
        <v>0</v>
      </c>
      <c r="AT255" s="116">
        <f>AL255+AR255</f>
        <v/>
      </c>
      <c r="AU255" s="119">
        <f>IFERROR(AO255*Assumptions!$C$26*Assumptions!$C$27*INDEX(Assumptions!$C$18:$C$21,MATCH(H255,Assumptions!$B$18:$B$21,0)),0)</f>
        <v/>
      </c>
    </row>
    <row r="256">
      <c r="A256" s="114" t="n">
        <v>46238</v>
      </c>
      <c r="B256" s="42" t="inlineStr">
        <is>
          <t>Wk 32</t>
        </is>
      </c>
      <c r="C256" s="42" t="inlineStr">
        <is>
          <t>Tue</t>
        </is>
      </c>
      <c r="D256" s="42" t="inlineStr">
        <is>
          <t>Meta (FB/IG)</t>
        </is>
      </c>
      <c r="E256" s="42" t="inlineStr">
        <is>
          <t>Facebook + Instagram</t>
        </is>
      </c>
      <c r="F256" s="42" t="inlineStr">
        <is>
          <t>LEP_ZA_AUG26_META_TD_JAVAN_CONV</t>
        </is>
      </c>
      <c r="G256" s="42" t="inlineStr">
        <is>
          <t>Leads - Website Conversions</t>
        </is>
      </c>
      <c r="H256" s="42" t="inlineStr">
        <is>
          <t>JAVAN</t>
        </is>
      </c>
      <c r="I256" s="42" t="inlineStr">
        <is>
          <t>10% Deposit</t>
        </is>
      </c>
      <c r="J256" s="42" t="inlineStr">
        <is>
          <t>MET_JAVAN_BROAD_28-55_ZA</t>
        </is>
      </c>
      <c r="K256" s="42" t="inlineStr">
        <is>
          <t>Prospecting</t>
        </is>
      </c>
      <c r="L256" s="42" t="inlineStr">
        <is>
          <t>JAVAN_VID_20s_FamilyWeekend_v1</t>
        </is>
      </c>
      <c r="M256" s="42" t="inlineStr">
        <is>
          <t>Video 9:16</t>
        </is>
      </c>
      <c r="N256" s="42" t="inlineStr">
        <is>
          <t>The weekend car that works on Monday</t>
        </is>
      </c>
      <c r="O256" s="42" t="inlineStr">
        <is>
          <t>Auction - Lowest Cost</t>
        </is>
      </c>
      <c r="P256" s="42" t="inlineStr">
        <is>
          <t>Offsite Conversions</t>
        </is>
      </c>
      <c r="Q256" s="42" t="inlineStr">
        <is>
          <t>https://www.lepas-sa.co.za/offers/javan</t>
        </is>
      </c>
      <c r="R256" s="115" t="n">
        <v>286.11</v>
      </c>
      <c r="S256" s="116" t="n">
        <v>4453</v>
      </c>
      <c r="T256" s="116" t="n">
        <v>3516</v>
      </c>
      <c r="U256" s="117">
        <f>IFERROR(S256/T256,"")</f>
        <v/>
      </c>
      <c r="V256" s="116" t="n">
        <v>45</v>
      </c>
      <c r="W256" s="116" t="n">
        <v>33</v>
      </c>
      <c r="X256" s="118">
        <f>IFERROR(W256/S256,"")</f>
        <v/>
      </c>
      <c r="Y256" s="115">
        <f>IFERROR(R256/W256,"")</f>
        <v/>
      </c>
      <c r="Z256" s="115">
        <f>IFERROR(R256/S256*1000,"")</f>
        <v/>
      </c>
      <c r="AA256" s="116" t="n">
        <v>28</v>
      </c>
      <c r="AB256" s="47">
        <f>IFERROR(AA256/W256,"")</f>
        <v/>
      </c>
      <c r="AC256" s="116" t="n">
        <v>1229</v>
      </c>
      <c r="AD256" s="116" t="n">
        <v>770</v>
      </c>
      <c r="AE256" s="116" t="n">
        <v>524</v>
      </c>
      <c r="AF256" s="116" t="n">
        <v>286</v>
      </c>
      <c r="AG256" s="116" t="n">
        <v>182</v>
      </c>
      <c r="AH256" s="116" t="n">
        <v>116</v>
      </c>
      <c r="AI256" s="47">
        <f>IFERROR(AC256/S256,"")</f>
        <v/>
      </c>
      <c r="AJ256" s="47">
        <f>IFERROR(AH256/S256,"")</f>
        <v/>
      </c>
      <c r="AK256" s="116" t="n">
        <v>96</v>
      </c>
      <c r="AL256" s="116" t="n">
        <v>0</v>
      </c>
      <c r="AM256" s="118">
        <f>IFERROR(AL256/AA256,"")</f>
        <v/>
      </c>
      <c r="AN256" s="119">
        <f>IFERROR(R256/AL256,"")</f>
        <v/>
      </c>
      <c r="AO256" s="116" t="n">
        <v>0</v>
      </c>
      <c r="AP256" s="47">
        <f>IFERROR(AO256/AL256,"")</f>
        <v/>
      </c>
      <c r="AQ256" s="119">
        <f>IFERROR(R256/AO256,"")</f>
        <v/>
      </c>
      <c r="AR256" s="116" t="n">
        <v>0</v>
      </c>
      <c r="AS256" s="116" t="n">
        <v>0</v>
      </c>
      <c r="AT256" s="116">
        <f>AL256+AR256</f>
        <v/>
      </c>
      <c r="AU256" s="119">
        <f>IFERROR(AO256*Assumptions!$C$26*Assumptions!$C$27*INDEX(Assumptions!$C$18:$C$21,MATCH(H256,Assumptions!$B$18:$B$21,0)),0)</f>
        <v/>
      </c>
    </row>
    <row r="257">
      <c r="A257" s="114" t="n">
        <v>46239</v>
      </c>
      <c r="B257" s="42" t="inlineStr">
        <is>
          <t>Wk 32</t>
        </is>
      </c>
      <c r="C257" s="42" t="inlineStr">
        <is>
          <t>Wed</t>
        </is>
      </c>
      <c r="D257" s="42" t="inlineStr">
        <is>
          <t>Meta (FB/IG)</t>
        </is>
      </c>
      <c r="E257" s="42" t="inlineStr">
        <is>
          <t>Facebook + Instagram</t>
        </is>
      </c>
      <c r="F257" s="42" t="inlineStr">
        <is>
          <t>LEP_ZA_AUG26_META_TD_JAVAN_CONV</t>
        </is>
      </c>
      <c r="G257" s="42" t="inlineStr">
        <is>
          <t>Leads - Website Conversions</t>
        </is>
      </c>
      <c r="H257" s="42" t="inlineStr">
        <is>
          <t>JAVAN</t>
        </is>
      </c>
      <c r="I257" s="42" t="inlineStr">
        <is>
          <t>10% Deposit</t>
        </is>
      </c>
      <c r="J257" s="42" t="inlineStr">
        <is>
          <t>MET_JAVAN_BROAD_28-55_ZA</t>
        </is>
      </c>
      <c r="K257" s="42" t="inlineStr">
        <is>
          <t>Prospecting</t>
        </is>
      </c>
      <c r="L257" s="42" t="inlineStr">
        <is>
          <t>JAVAN_VID_20s_FamilyWeekend_v1</t>
        </is>
      </c>
      <c r="M257" s="42" t="inlineStr">
        <is>
          <t>Video 9:16</t>
        </is>
      </c>
      <c r="N257" s="42" t="inlineStr">
        <is>
          <t>The weekend car that works on Monday</t>
        </is>
      </c>
      <c r="O257" s="42" t="inlineStr">
        <is>
          <t>Auction - Lowest Cost</t>
        </is>
      </c>
      <c r="P257" s="42" t="inlineStr">
        <is>
          <t>Offsite Conversions</t>
        </is>
      </c>
      <c r="Q257" s="42" t="inlineStr">
        <is>
          <t>https://www.lepas-sa.co.za/offers/javan</t>
        </is>
      </c>
      <c r="R257" s="115" t="n">
        <v>337.37</v>
      </c>
      <c r="S257" s="116" t="n">
        <v>5188</v>
      </c>
      <c r="T257" s="116" t="n">
        <v>4127</v>
      </c>
      <c r="U257" s="117">
        <f>IFERROR(S257/T257,"")</f>
        <v/>
      </c>
      <c r="V257" s="116" t="n">
        <v>77</v>
      </c>
      <c r="W257" s="116" t="n">
        <v>60</v>
      </c>
      <c r="X257" s="118">
        <f>IFERROR(W257/S257,"")</f>
        <v/>
      </c>
      <c r="Y257" s="115">
        <f>IFERROR(R257/W257,"")</f>
        <v/>
      </c>
      <c r="Z257" s="115">
        <f>IFERROR(R257/S257*1000,"")</f>
        <v/>
      </c>
      <c r="AA257" s="116" t="n">
        <v>50</v>
      </c>
      <c r="AB257" s="47">
        <f>IFERROR(AA257/W257,"")</f>
        <v/>
      </c>
      <c r="AC257" s="116" t="n">
        <v>1601</v>
      </c>
      <c r="AD257" s="116" t="n">
        <v>951</v>
      </c>
      <c r="AE257" s="116" t="n">
        <v>748</v>
      </c>
      <c r="AF257" s="116" t="n">
        <v>412</v>
      </c>
      <c r="AG257" s="116" t="n">
        <v>270</v>
      </c>
      <c r="AH257" s="116" t="n">
        <v>168</v>
      </c>
      <c r="AI257" s="47">
        <f>IFERROR(AC257/S257,"")</f>
        <v/>
      </c>
      <c r="AJ257" s="47">
        <f>IFERROR(AH257/S257,"")</f>
        <v/>
      </c>
      <c r="AK257" s="116" t="n">
        <v>128</v>
      </c>
      <c r="AL257" s="116" t="n">
        <v>2</v>
      </c>
      <c r="AM257" s="118">
        <f>IFERROR(AL257/AA257,"")</f>
        <v/>
      </c>
      <c r="AN257" s="119">
        <f>IFERROR(R257/AL257,"")</f>
        <v/>
      </c>
      <c r="AO257" s="116" t="n">
        <v>1</v>
      </c>
      <c r="AP257" s="47">
        <f>IFERROR(AO257/AL257,"")</f>
        <v/>
      </c>
      <c r="AQ257" s="119">
        <f>IFERROR(R257/AO257,"")</f>
        <v/>
      </c>
      <c r="AR257" s="116" t="n">
        <v>0</v>
      </c>
      <c r="AS257" s="116" t="n">
        <v>1</v>
      </c>
      <c r="AT257" s="116">
        <f>AL257+AR257</f>
        <v/>
      </c>
      <c r="AU257" s="119">
        <f>IFERROR(AO257*Assumptions!$C$26*Assumptions!$C$27*INDEX(Assumptions!$C$18:$C$21,MATCH(H257,Assumptions!$B$18:$B$21,0)),0)</f>
        <v/>
      </c>
    </row>
    <row r="258">
      <c r="A258" s="114" t="n">
        <v>46240</v>
      </c>
      <c r="B258" s="42" t="inlineStr">
        <is>
          <t>Wk 32</t>
        </is>
      </c>
      <c r="C258" s="42" t="inlineStr">
        <is>
          <t>Thu</t>
        </is>
      </c>
      <c r="D258" s="42" t="inlineStr">
        <is>
          <t>Meta (FB/IG)</t>
        </is>
      </c>
      <c r="E258" s="42" t="inlineStr">
        <is>
          <t>Facebook + Instagram</t>
        </is>
      </c>
      <c r="F258" s="42" t="inlineStr">
        <is>
          <t>LEP_ZA_AUG26_META_TD_JAVAN_CONV</t>
        </is>
      </c>
      <c r="G258" s="42" t="inlineStr">
        <is>
          <t>Leads - Website Conversions</t>
        </is>
      </c>
      <c r="H258" s="42" t="inlineStr">
        <is>
          <t>JAVAN</t>
        </is>
      </c>
      <c r="I258" s="42" t="inlineStr">
        <is>
          <t>10% Deposit</t>
        </is>
      </c>
      <c r="J258" s="42" t="inlineStr">
        <is>
          <t>MET_JAVAN_BROAD_28-55_ZA</t>
        </is>
      </c>
      <c r="K258" s="42" t="inlineStr">
        <is>
          <t>Prospecting</t>
        </is>
      </c>
      <c r="L258" s="42" t="inlineStr">
        <is>
          <t>JAVAN_VID_20s_FamilyWeekend_v1</t>
        </is>
      </c>
      <c r="M258" s="42" t="inlineStr">
        <is>
          <t>Video 9:16</t>
        </is>
      </c>
      <c r="N258" s="42" t="inlineStr">
        <is>
          <t>The weekend car that works on Monday</t>
        </is>
      </c>
      <c r="O258" s="42" t="inlineStr">
        <is>
          <t>Auction - Lowest Cost</t>
        </is>
      </c>
      <c r="P258" s="42" t="inlineStr">
        <is>
          <t>Offsite Conversions</t>
        </is>
      </c>
      <c r="Q258" s="42" t="inlineStr">
        <is>
          <t>https://www.lepas-sa.co.za/offers/javan</t>
        </is>
      </c>
      <c r="R258" s="115" t="n">
        <v>355.11</v>
      </c>
      <c r="S258" s="116" t="n">
        <v>4447</v>
      </c>
      <c r="T258" s="116" t="n">
        <v>3725</v>
      </c>
      <c r="U258" s="117">
        <f>IFERROR(S258/T258,"")</f>
        <v/>
      </c>
      <c r="V258" s="116" t="n">
        <v>116</v>
      </c>
      <c r="W258" s="116" t="n">
        <v>86</v>
      </c>
      <c r="X258" s="118">
        <f>IFERROR(W258/S258,"")</f>
        <v/>
      </c>
      <c r="Y258" s="115">
        <f>IFERROR(R258/W258,"")</f>
        <v/>
      </c>
      <c r="Z258" s="115">
        <f>IFERROR(R258/S258*1000,"")</f>
        <v/>
      </c>
      <c r="AA258" s="116" t="n">
        <v>75</v>
      </c>
      <c r="AB258" s="47">
        <f>IFERROR(AA258/W258,"")</f>
        <v/>
      </c>
      <c r="AC258" s="116" t="n">
        <v>1511</v>
      </c>
      <c r="AD258" s="116" t="n">
        <v>882</v>
      </c>
      <c r="AE258" s="116" t="n">
        <v>714</v>
      </c>
      <c r="AF258" s="116" t="n">
        <v>493</v>
      </c>
      <c r="AG258" s="116" t="n">
        <v>388</v>
      </c>
      <c r="AH258" s="116" t="n">
        <v>232</v>
      </c>
      <c r="AI258" s="47">
        <f>IFERROR(AC258/S258,"")</f>
        <v/>
      </c>
      <c r="AJ258" s="47">
        <f>IFERROR(AH258/S258,"")</f>
        <v/>
      </c>
      <c r="AK258" s="116" t="n">
        <v>92</v>
      </c>
      <c r="AL258" s="116" t="n">
        <v>1</v>
      </c>
      <c r="AM258" s="118">
        <f>IFERROR(AL258/AA258,"")</f>
        <v/>
      </c>
      <c r="AN258" s="119">
        <f>IFERROR(R258/AL258,"")</f>
        <v/>
      </c>
      <c r="AO258" s="116" t="n">
        <v>0</v>
      </c>
      <c r="AP258" s="47">
        <f>IFERROR(AO258/AL258,"")</f>
        <v/>
      </c>
      <c r="AQ258" s="119">
        <f>IFERROR(R258/AO258,"")</f>
        <v/>
      </c>
      <c r="AR258" s="116" t="n">
        <v>0</v>
      </c>
      <c r="AS258" s="116" t="n">
        <v>0</v>
      </c>
      <c r="AT258" s="116">
        <f>AL258+AR258</f>
        <v/>
      </c>
      <c r="AU258" s="119">
        <f>IFERROR(AO258*Assumptions!$C$26*Assumptions!$C$27*INDEX(Assumptions!$C$18:$C$21,MATCH(H258,Assumptions!$B$18:$B$21,0)),0)</f>
        <v/>
      </c>
    </row>
    <row r="259">
      <c r="A259" s="114" t="n">
        <v>46241</v>
      </c>
      <c r="B259" s="42" t="inlineStr">
        <is>
          <t>Wk 32</t>
        </is>
      </c>
      <c r="C259" s="42" t="inlineStr">
        <is>
          <t>Fri</t>
        </is>
      </c>
      <c r="D259" s="42" t="inlineStr">
        <is>
          <t>Meta (FB/IG)</t>
        </is>
      </c>
      <c r="E259" s="42" t="inlineStr">
        <is>
          <t>Facebook + Instagram</t>
        </is>
      </c>
      <c r="F259" s="42" t="inlineStr">
        <is>
          <t>LEP_ZA_AUG26_META_TD_JAVAN_CONV</t>
        </is>
      </c>
      <c r="G259" s="42" t="inlineStr">
        <is>
          <t>Leads - Website Conversions</t>
        </is>
      </c>
      <c r="H259" s="42" t="inlineStr">
        <is>
          <t>JAVAN</t>
        </is>
      </c>
      <c r="I259" s="42" t="inlineStr">
        <is>
          <t>10% Deposit</t>
        </is>
      </c>
      <c r="J259" s="42" t="inlineStr">
        <is>
          <t>MET_JAVAN_BROAD_28-55_ZA</t>
        </is>
      </c>
      <c r="K259" s="42" t="inlineStr">
        <is>
          <t>Prospecting</t>
        </is>
      </c>
      <c r="L259" s="42" t="inlineStr">
        <is>
          <t>JAVAN_VID_20s_FamilyWeekend_v1</t>
        </is>
      </c>
      <c r="M259" s="42" t="inlineStr">
        <is>
          <t>Video 9:16</t>
        </is>
      </c>
      <c r="N259" s="42" t="inlineStr">
        <is>
          <t>The weekend car that works on Monday</t>
        </is>
      </c>
      <c r="O259" s="42" t="inlineStr">
        <is>
          <t>Auction - Lowest Cost</t>
        </is>
      </c>
      <c r="P259" s="42" t="inlineStr">
        <is>
          <t>Offsite Conversions</t>
        </is>
      </c>
      <c r="Q259" s="42" t="inlineStr">
        <is>
          <t>https://www.lepas-sa.co.za/offers/javan</t>
        </is>
      </c>
      <c r="R259" s="115" t="n">
        <v>353.52</v>
      </c>
      <c r="S259" s="116" t="n">
        <v>6362</v>
      </c>
      <c r="T259" s="116" t="n">
        <v>5406</v>
      </c>
      <c r="U259" s="117">
        <f>IFERROR(S259/T259,"")</f>
        <v/>
      </c>
      <c r="V259" s="116" t="n">
        <v>109</v>
      </c>
      <c r="W259" s="116" t="n">
        <v>83</v>
      </c>
      <c r="X259" s="118">
        <f>IFERROR(W259/S259,"")</f>
        <v/>
      </c>
      <c r="Y259" s="115">
        <f>IFERROR(R259/W259,"")</f>
        <v/>
      </c>
      <c r="Z259" s="115">
        <f>IFERROR(R259/S259*1000,"")</f>
        <v/>
      </c>
      <c r="AA259" s="116" t="n">
        <v>72</v>
      </c>
      <c r="AB259" s="47">
        <f>IFERROR(AA259/W259,"")</f>
        <v/>
      </c>
      <c r="AC259" s="116" t="n">
        <v>1634</v>
      </c>
      <c r="AD259" s="116" t="n">
        <v>855</v>
      </c>
      <c r="AE259" s="116" t="n">
        <v>883</v>
      </c>
      <c r="AF259" s="116" t="n">
        <v>591</v>
      </c>
      <c r="AG259" s="116" t="n">
        <v>454</v>
      </c>
      <c r="AH259" s="116" t="n">
        <v>267</v>
      </c>
      <c r="AI259" s="47">
        <f>IFERROR(AC259/S259,"")</f>
        <v/>
      </c>
      <c r="AJ259" s="47">
        <f>IFERROR(AH259/S259,"")</f>
        <v/>
      </c>
      <c r="AK259" s="116" t="n">
        <v>103</v>
      </c>
      <c r="AL259" s="116" t="n">
        <v>1</v>
      </c>
      <c r="AM259" s="118">
        <f>IFERROR(AL259/AA259,"")</f>
        <v/>
      </c>
      <c r="AN259" s="119">
        <f>IFERROR(R259/AL259,"")</f>
        <v/>
      </c>
      <c r="AO259" s="116" t="n">
        <v>1</v>
      </c>
      <c r="AP259" s="47">
        <f>IFERROR(AO259/AL259,"")</f>
        <v/>
      </c>
      <c r="AQ259" s="119">
        <f>IFERROR(R259/AO259,"")</f>
        <v/>
      </c>
      <c r="AR259" s="116" t="n">
        <v>0</v>
      </c>
      <c r="AS259" s="116" t="n">
        <v>0</v>
      </c>
      <c r="AT259" s="116">
        <f>AL259+AR259</f>
        <v/>
      </c>
      <c r="AU259" s="119">
        <f>IFERROR(AO259*Assumptions!$C$26*Assumptions!$C$27*INDEX(Assumptions!$C$18:$C$21,MATCH(H259,Assumptions!$B$18:$B$21,0)),0)</f>
        <v/>
      </c>
    </row>
    <row r="260">
      <c r="A260" s="114" t="n">
        <v>46242</v>
      </c>
      <c r="B260" s="42" t="inlineStr">
        <is>
          <t>Wk 32</t>
        </is>
      </c>
      <c r="C260" s="42" t="inlineStr">
        <is>
          <t>Sat</t>
        </is>
      </c>
      <c r="D260" s="42" t="inlineStr">
        <is>
          <t>Meta (FB/IG)</t>
        </is>
      </c>
      <c r="E260" s="42" t="inlineStr">
        <is>
          <t>Facebook + Instagram</t>
        </is>
      </c>
      <c r="F260" s="42" t="inlineStr">
        <is>
          <t>LEP_ZA_AUG26_META_TD_JAVAN_CONV</t>
        </is>
      </c>
      <c r="G260" s="42" t="inlineStr">
        <is>
          <t>Leads - Website Conversions</t>
        </is>
      </c>
      <c r="H260" s="42" t="inlineStr">
        <is>
          <t>JAVAN</t>
        </is>
      </c>
      <c r="I260" s="42" t="inlineStr">
        <is>
          <t>10% Deposit</t>
        </is>
      </c>
      <c r="J260" s="42" t="inlineStr">
        <is>
          <t>MET_JAVAN_BROAD_28-55_ZA</t>
        </is>
      </c>
      <c r="K260" s="42" t="inlineStr">
        <is>
          <t>Prospecting</t>
        </is>
      </c>
      <c r="L260" s="42" t="inlineStr">
        <is>
          <t>JAVAN_VID_20s_FamilyWeekend_v1</t>
        </is>
      </c>
      <c r="M260" s="42" t="inlineStr">
        <is>
          <t>Video 9:16</t>
        </is>
      </c>
      <c r="N260" s="42" t="inlineStr">
        <is>
          <t>The weekend car that works on Monday</t>
        </is>
      </c>
      <c r="O260" s="42" t="inlineStr">
        <is>
          <t>Auction - Lowest Cost</t>
        </is>
      </c>
      <c r="P260" s="42" t="inlineStr">
        <is>
          <t>Offsite Conversions</t>
        </is>
      </c>
      <c r="Q260" s="42" t="inlineStr">
        <is>
          <t>https://www.lepas-sa.co.za/offers/javan</t>
        </is>
      </c>
      <c r="R260" s="115" t="n">
        <v>285.44</v>
      </c>
      <c r="S260" s="116" t="n">
        <v>5247</v>
      </c>
      <c r="T260" s="116" t="n">
        <v>3260</v>
      </c>
      <c r="U260" s="117">
        <f>IFERROR(S260/T260,"")</f>
        <v/>
      </c>
      <c r="V260" s="116" t="n">
        <v>94</v>
      </c>
      <c r="W260" s="116" t="n">
        <v>67</v>
      </c>
      <c r="X260" s="118">
        <f>IFERROR(W260/S260,"")</f>
        <v/>
      </c>
      <c r="Y260" s="115">
        <f>IFERROR(R260/W260,"")</f>
        <v/>
      </c>
      <c r="Z260" s="115">
        <f>IFERROR(R260/S260*1000,"")</f>
        <v/>
      </c>
      <c r="AA260" s="116" t="n">
        <v>59</v>
      </c>
      <c r="AB260" s="47">
        <f>IFERROR(AA260/W260,"")</f>
        <v/>
      </c>
      <c r="AC260" s="116" t="n">
        <v>1473</v>
      </c>
      <c r="AD260" s="116" t="n">
        <v>796</v>
      </c>
      <c r="AE260" s="116" t="n">
        <v>782</v>
      </c>
      <c r="AF260" s="116" t="n">
        <v>481</v>
      </c>
      <c r="AG260" s="116" t="n">
        <v>328</v>
      </c>
      <c r="AH260" s="116" t="n">
        <v>200</v>
      </c>
      <c r="AI260" s="47">
        <f>IFERROR(AC260/S260,"")</f>
        <v/>
      </c>
      <c r="AJ260" s="47">
        <f>IFERROR(AH260/S260,"")</f>
        <v/>
      </c>
      <c r="AK260" s="116" t="n">
        <v>162</v>
      </c>
      <c r="AL260" s="116" t="n">
        <v>1</v>
      </c>
      <c r="AM260" s="118">
        <f>IFERROR(AL260/AA260,"")</f>
        <v/>
      </c>
      <c r="AN260" s="119">
        <f>IFERROR(R260/AL260,"")</f>
        <v/>
      </c>
      <c r="AO260" s="116" t="n">
        <v>0</v>
      </c>
      <c r="AP260" s="47">
        <f>IFERROR(AO260/AL260,"")</f>
        <v/>
      </c>
      <c r="AQ260" s="119">
        <f>IFERROR(R260/AO260,"")</f>
        <v/>
      </c>
      <c r="AR260" s="116" t="n">
        <v>1</v>
      </c>
      <c r="AS260" s="116" t="n">
        <v>0</v>
      </c>
      <c r="AT260" s="116">
        <f>AL260+AR260</f>
        <v/>
      </c>
      <c r="AU260" s="119">
        <f>IFERROR(AO260*Assumptions!$C$26*Assumptions!$C$27*INDEX(Assumptions!$C$18:$C$21,MATCH(H260,Assumptions!$B$18:$B$21,0)),0)</f>
        <v/>
      </c>
    </row>
    <row r="261">
      <c r="A261" s="114" t="n">
        <v>46243</v>
      </c>
      <c r="B261" s="42" t="inlineStr">
        <is>
          <t>Wk 32</t>
        </is>
      </c>
      <c r="C261" s="42" t="inlineStr">
        <is>
          <t>Sun</t>
        </is>
      </c>
      <c r="D261" s="42" t="inlineStr">
        <is>
          <t>Meta (FB/IG)</t>
        </is>
      </c>
      <c r="E261" s="42" t="inlineStr">
        <is>
          <t>Facebook + Instagram</t>
        </is>
      </c>
      <c r="F261" s="42" t="inlineStr">
        <is>
          <t>LEP_ZA_AUG26_META_TD_JAVAN_CONV</t>
        </is>
      </c>
      <c r="G261" s="42" t="inlineStr">
        <is>
          <t>Leads - Website Conversions</t>
        </is>
      </c>
      <c r="H261" s="42" t="inlineStr">
        <is>
          <t>JAVAN</t>
        </is>
      </c>
      <c r="I261" s="42" t="inlineStr">
        <is>
          <t>10% Deposit</t>
        </is>
      </c>
      <c r="J261" s="42" t="inlineStr">
        <is>
          <t>MET_JAVAN_BROAD_28-55_ZA</t>
        </is>
      </c>
      <c r="K261" s="42" t="inlineStr">
        <is>
          <t>Prospecting</t>
        </is>
      </c>
      <c r="L261" s="42" t="inlineStr">
        <is>
          <t>JAVAN_VID_20s_FamilyWeekend_v1</t>
        </is>
      </c>
      <c r="M261" s="42" t="inlineStr">
        <is>
          <t>Video 9:16</t>
        </is>
      </c>
      <c r="N261" s="42" t="inlineStr">
        <is>
          <t>The weekend car that works on Monday</t>
        </is>
      </c>
      <c r="O261" s="42" t="inlineStr">
        <is>
          <t>Auction - Lowest Cost</t>
        </is>
      </c>
      <c r="P261" s="42" t="inlineStr">
        <is>
          <t>Offsite Conversions</t>
        </is>
      </c>
      <c r="Q261" s="42" t="inlineStr">
        <is>
          <t>https://www.lepas-sa.co.za/offers/javan</t>
        </is>
      </c>
      <c r="R261" s="115" t="n">
        <v>280.47</v>
      </c>
      <c r="S261" s="116" t="n">
        <v>5541</v>
      </c>
      <c r="T261" s="116" t="n">
        <v>3234</v>
      </c>
      <c r="U261" s="117">
        <f>IFERROR(S261/T261,"")</f>
        <v/>
      </c>
      <c r="V261" s="116" t="n">
        <v>84</v>
      </c>
      <c r="W261" s="116" t="n">
        <v>70</v>
      </c>
      <c r="X261" s="118">
        <f>IFERROR(W261/S261,"")</f>
        <v/>
      </c>
      <c r="Y261" s="115">
        <f>IFERROR(R261/W261,"")</f>
        <v/>
      </c>
      <c r="Z261" s="115">
        <f>IFERROR(R261/S261*1000,"")</f>
        <v/>
      </c>
      <c r="AA261" s="116" t="n">
        <v>60</v>
      </c>
      <c r="AB261" s="47">
        <f>IFERROR(AA261/W261,"")</f>
        <v/>
      </c>
      <c r="AC261" s="116" t="n">
        <v>2018</v>
      </c>
      <c r="AD261" s="116" t="n">
        <v>1072</v>
      </c>
      <c r="AE261" s="116" t="n">
        <v>767</v>
      </c>
      <c r="AF261" s="116" t="n">
        <v>480</v>
      </c>
      <c r="AG261" s="116" t="n">
        <v>367</v>
      </c>
      <c r="AH261" s="116" t="n">
        <v>234</v>
      </c>
      <c r="AI261" s="47">
        <f>IFERROR(AC261/S261,"")</f>
        <v/>
      </c>
      <c r="AJ261" s="47">
        <f>IFERROR(AH261/S261,"")</f>
        <v/>
      </c>
      <c r="AK261" s="116" t="n">
        <v>58</v>
      </c>
      <c r="AL261" s="116" t="n">
        <v>0</v>
      </c>
      <c r="AM261" s="118">
        <f>IFERROR(AL261/AA261,"")</f>
        <v/>
      </c>
      <c r="AN261" s="119">
        <f>IFERROR(R261/AL261,"")</f>
        <v/>
      </c>
      <c r="AO261" s="116" t="n">
        <v>0</v>
      </c>
      <c r="AP261" s="47">
        <f>IFERROR(AO261/AL261,"")</f>
        <v/>
      </c>
      <c r="AQ261" s="119">
        <f>IFERROR(R261/AO261,"")</f>
        <v/>
      </c>
      <c r="AR261" s="116" t="n">
        <v>0</v>
      </c>
      <c r="AS261" s="116" t="n">
        <v>0</v>
      </c>
      <c r="AT261" s="116">
        <f>AL261+AR261</f>
        <v/>
      </c>
      <c r="AU261" s="119">
        <f>IFERROR(AO261*Assumptions!$C$26*Assumptions!$C$27*INDEX(Assumptions!$C$18:$C$21,MATCH(H261,Assumptions!$B$18:$B$21,0)),0)</f>
        <v/>
      </c>
    </row>
    <row r="262">
      <c r="A262" s="114" t="n">
        <v>46244</v>
      </c>
      <c r="B262" s="42" t="inlineStr">
        <is>
          <t>Wk 33</t>
        </is>
      </c>
      <c r="C262" s="42" t="inlineStr">
        <is>
          <t>Mon</t>
        </is>
      </c>
      <c r="D262" s="42" t="inlineStr">
        <is>
          <t>Meta (FB/IG)</t>
        </is>
      </c>
      <c r="E262" s="42" t="inlineStr">
        <is>
          <t>Facebook + Instagram</t>
        </is>
      </c>
      <c r="F262" s="42" t="inlineStr">
        <is>
          <t>LEP_ZA_AUG26_META_TD_JAVAN_CONV</t>
        </is>
      </c>
      <c r="G262" s="42" t="inlineStr">
        <is>
          <t>Leads - Website Conversions</t>
        </is>
      </c>
      <c r="H262" s="42" t="inlineStr">
        <is>
          <t>JAVAN</t>
        </is>
      </c>
      <c r="I262" s="42" t="inlineStr">
        <is>
          <t>10% Deposit</t>
        </is>
      </c>
      <c r="J262" s="42" t="inlineStr">
        <is>
          <t>MET_JAVAN_BROAD_28-55_ZA</t>
        </is>
      </c>
      <c r="K262" s="42" t="inlineStr">
        <is>
          <t>Prospecting</t>
        </is>
      </c>
      <c r="L262" s="42" t="inlineStr">
        <is>
          <t>JAVAN_VID_20s_FamilyWeekend_v1</t>
        </is>
      </c>
      <c r="M262" s="42" t="inlineStr">
        <is>
          <t>Video 9:16</t>
        </is>
      </c>
      <c r="N262" s="42" t="inlineStr">
        <is>
          <t>The weekend car that works on Monday</t>
        </is>
      </c>
      <c r="O262" s="42" t="inlineStr">
        <is>
          <t>Auction - Lowest Cost</t>
        </is>
      </c>
      <c r="P262" s="42" t="inlineStr">
        <is>
          <t>Offsite Conversions</t>
        </is>
      </c>
      <c r="Q262" s="42" t="inlineStr">
        <is>
          <t>https://www.lepas-sa.co.za/offers/javan</t>
        </is>
      </c>
      <c r="R262" s="115" t="n">
        <v>297.39</v>
      </c>
      <c r="S262" s="116" t="n">
        <v>4175</v>
      </c>
      <c r="T262" s="116" t="n">
        <v>2954</v>
      </c>
      <c r="U262" s="117">
        <f>IFERROR(S262/T262,"")</f>
        <v/>
      </c>
      <c r="V262" s="116" t="n">
        <v>81</v>
      </c>
      <c r="W262" s="116" t="n">
        <v>60</v>
      </c>
      <c r="X262" s="118">
        <f>IFERROR(W262/S262,"")</f>
        <v/>
      </c>
      <c r="Y262" s="115">
        <f>IFERROR(R262/W262,"")</f>
        <v/>
      </c>
      <c r="Z262" s="115">
        <f>IFERROR(R262/S262*1000,"")</f>
        <v/>
      </c>
      <c r="AA262" s="116" t="n">
        <v>50</v>
      </c>
      <c r="AB262" s="47">
        <f>IFERROR(AA262/W262,"")</f>
        <v/>
      </c>
      <c r="AC262" s="116" t="n">
        <v>1600</v>
      </c>
      <c r="AD262" s="116" t="n">
        <v>774</v>
      </c>
      <c r="AE262" s="116" t="n">
        <v>696</v>
      </c>
      <c r="AF262" s="116" t="n">
        <v>376</v>
      </c>
      <c r="AG262" s="116" t="n">
        <v>246</v>
      </c>
      <c r="AH262" s="116" t="n">
        <v>147</v>
      </c>
      <c r="AI262" s="47">
        <f>IFERROR(AC262/S262,"")</f>
        <v/>
      </c>
      <c r="AJ262" s="47">
        <f>IFERROR(AH262/S262,"")</f>
        <v/>
      </c>
      <c r="AK262" s="116" t="n">
        <v>92</v>
      </c>
      <c r="AL262" s="116" t="n">
        <v>1</v>
      </c>
      <c r="AM262" s="118">
        <f>IFERROR(AL262/AA262,"")</f>
        <v/>
      </c>
      <c r="AN262" s="119">
        <f>IFERROR(R262/AL262,"")</f>
        <v/>
      </c>
      <c r="AO262" s="116" t="n">
        <v>1</v>
      </c>
      <c r="AP262" s="47">
        <f>IFERROR(AO262/AL262,"")</f>
        <v/>
      </c>
      <c r="AQ262" s="119">
        <f>IFERROR(R262/AO262,"")</f>
        <v/>
      </c>
      <c r="AR262" s="116" t="n">
        <v>0</v>
      </c>
      <c r="AS262" s="116" t="n">
        <v>1</v>
      </c>
      <c r="AT262" s="116">
        <f>AL262+AR262</f>
        <v/>
      </c>
      <c r="AU262" s="119">
        <f>IFERROR(AO262*Assumptions!$C$26*Assumptions!$C$27*INDEX(Assumptions!$C$18:$C$21,MATCH(H262,Assumptions!$B$18:$B$21,0)),0)</f>
        <v/>
      </c>
    </row>
    <row r="263">
      <c r="A263" s="114" t="n">
        <v>46245</v>
      </c>
      <c r="B263" s="42" t="inlineStr">
        <is>
          <t>Wk 33</t>
        </is>
      </c>
      <c r="C263" s="42" t="inlineStr">
        <is>
          <t>Tue</t>
        </is>
      </c>
      <c r="D263" s="42" t="inlineStr">
        <is>
          <t>Meta (FB/IG)</t>
        </is>
      </c>
      <c r="E263" s="42" t="inlineStr">
        <is>
          <t>Facebook + Instagram</t>
        </is>
      </c>
      <c r="F263" s="42" t="inlineStr">
        <is>
          <t>LEP_ZA_AUG26_META_TD_JAVAN_CONV</t>
        </is>
      </c>
      <c r="G263" s="42" t="inlineStr">
        <is>
          <t>Leads - Website Conversions</t>
        </is>
      </c>
      <c r="H263" s="42" t="inlineStr">
        <is>
          <t>JAVAN</t>
        </is>
      </c>
      <c r="I263" s="42" t="inlineStr">
        <is>
          <t>10% Deposit</t>
        </is>
      </c>
      <c r="J263" s="42" t="inlineStr">
        <is>
          <t>MET_JAVAN_BROAD_28-55_ZA</t>
        </is>
      </c>
      <c r="K263" s="42" t="inlineStr">
        <is>
          <t>Prospecting</t>
        </is>
      </c>
      <c r="L263" s="42" t="inlineStr">
        <is>
          <t>JAVAN_VID_20s_FamilyWeekend_v1</t>
        </is>
      </c>
      <c r="M263" s="42" t="inlineStr">
        <is>
          <t>Video 9:16</t>
        </is>
      </c>
      <c r="N263" s="42" t="inlineStr">
        <is>
          <t>The weekend car that works on Monday</t>
        </is>
      </c>
      <c r="O263" s="42" t="inlineStr">
        <is>
          <t>Auction - Lowest Cost</t>
        </is>
      </c>
      <c r="P263" s="42" t="inlineStr">
        <is>
          <t>Offsite Conversions</t>
        </is>
      </c>
      <c r="Q263" s="42" t="inlineStr">
        <is>
          <t>https://www.lepas-sa.co.za/offers/javan</t>
        </is>
      </c>
      <c r="R263" s="115" t="n">
        <v>251.64</v>
      </c>
      <c r="S263" s="116" t="n">
        <v>3621</v>
      </c>
      <c r="T263" s="116" t="n">
        <v>2392</v>
      </c>
      <c r="U263" s="117">
        <f>IFERROR(S263/T263,"")</f>
        <v/>
      </c>
      <c r="V263" s="116" t="n">
        <v>40</v>
      </c>
      <c r="W263" s="116" t="n">
        <v>34</v>
      </c>
      <c r="X263" s="118">
        <f>IFERROR(W263/S263,"")</f>
        <v/>
      </c>
      <c r="Y263" s="115">
        <f>IFERROR(R263/W263,"")</f>
        <v/>
      </c>
      <c r="Z263" s="115">
        <f>IFERROR(R263/S263*1000,"")</f>
        <v/>
      </c>
      <c r="AA263" s="116" t="n">
        <v>28</v>
      </c>
      <c r="AB263" s="47">
        <f>IFERROR(AA263/W263,"")</f>
        <v/>
      </c>
      <c r="AC263" s="116" t="n">
        <v>904</v>
      </c>
      <c r="AD263" s="116" t="n">
        <v>426</v>
      </c>
      <c r="AE263" s="116" t="n">
        <v>374</v>
      </c>
      <c r="AF263" s="116" t="n">
        <v>209</v>
      </c>
      <c r="AG263" s="116" t="n">
        <v>149</v>
      </c>
      <c r="AH263" s="116" t="n">
        <v>110</v>
      </c>
      <c r="AI263" s="47">
        <f>IFERROR(AC263/S263,"")</f>
        <v/>
      </c>
      <c r="AJ263" s="47">
        <f>IFERROR(AH263/S263,"")</f>
        <v/>
      </c>
      <c r="AK263" s="116" t="n">
        <v>120</v>
      </c>
      <c r="AL263" s="116" t="n">
        <v>1</v>
      </c>
      <c r="AM263" s="118">
        <f>IFERROR(AL263/AA263,"")</f>
        <v/>
      </c>
      <c r="AN263" s="119">
        <f>IFERROR(R263/AL263,"")</f>
        <v/>
      </c>
      <c r="AO263" s="116" t="n">
        <v>0</v>
      </c>
      <c r="AP263" s="47">
        <f>IFERROR(AO263/AL263,"")</f>
        <v/>
      </c>
      <c r="AQ263" s="119">
        <f>IFERROR(R263/AO263,"")</f>
        <v/>
      </c>
      <c r="AR263" s="116" t="n">
        <v>0</v>
      </c>
      <c r="AS263" s="116" t="n">
        <v>0</v>
      </c>
      <c r="AT263" s="116">
        <f>AL263+AR263</f>
        <v/>
      </c>
      <c r="AU263" s="119">
        <f>IFERROR(AO263*Assumptions!$C$26*Assumptions!$C$27*INDEX(Assumptions!$C$18:$C$21,MATCH(H263,Assumptions!$B$18:$B$21,0)),0)</f>
        <v/>
      </c>
    </row>
    <row r="264">
      <c r="A264" s="114" t="n">
        <v>46246</v>
      </c>
      <c r="B264" s="42" t="inlineStr">
        <is>
          <t>Wk 33</t>
        </is>
      </c>
      <c r="C264" s="42" t="inlineStr">
        <is>
          <t>Wed</t>
        </is>
      </c>
      <c r="D264" s="42" t="inlineStr">
        <is>
          <t>Meta (FB/IG)</t>
        </is>
      </c>
      <c r="E264" s="42" t="inlineStr">
        <is>
          <t>Facebook + Instagram</t>
        </is>
      </c>
      <c r="F264" s="42" t="inlineStr">
        <is>
          <t>LEP_ZA_AUG26_META_TD_JAVAN_CONV</t>
        </is>
      </c>
      <c r="G264" s="42" t="inlineStr">
        <is>
          <t>Leads - Website Conversions</t>
        </is>
      </c>
      <c r="H264" s="42" t="inlineStr">
        <is>
          <t>JAVAN</t>
        </is>
      </c>
      <c r="I264" s="42" t="inlineStr">
        <is>
          <t>10% Deposit</t>
        </is>
      </c>
      <c r="J264" s="42" t="inlineStr">
        <is>
          <t>MET_JAVAN_BROAD_28-55_ZA</t>
        </is>
      </c>
      <c r="K264" s="42" t="inlineStr">
        <is>
          <t>Prospecting</t>
        </is>
      </c>
      <c r="L264" s="42" t="inlineStr">
        <is>
          <t>JAVAN_VID_20s_FamilyWeekend_v1</t>
        </is>
      </c>
      <c r="M264" s="42" t="inlineStr">
        <is>
          <t>Video 9:16</t>
        </is>
      </c>
      <c r="N264" s="42" t="inlineStr">
        <is>
          <t>The weekend car that works on Monday</t>
        </is>
      </c>
      <c r="O264" s="42" t="inlineStr">
        <is>
          <t>Auction - Lowest Cost</t>
        </is>
      </c>
      <c r="P264" s="42" t="inlineStr">
        <is>
          <t>Offsite Conversions</t>
        </is>
      </c>
      <c r="Q264" s="42" t="inlineStr">
        <is>
          <t>https://www.lepas-sa.co.za/offers/javan</t>
        </is>
      </c>
      <c r="R264" s="115" t="n">
        <v>287.41</v>
      </c>
      <c r="S264" s="116" t="n">
        <v>4414</v>
      </c>
      <c r="T264" s="116" t="n">
        <v>2853</v>
      </c>
      <c r="U264" s="117">
        <f>IFERROR(S264/T264,"")</f>
        <v/>
      </c>
      <c r="V264" s="116" t="n">
        <v>45</v>
      </c>
      <c r="W264" s="116" t="n">
        <v>35</v>
      </c>
      <c r="X264" s="118">
        <f>IFERROR(W264/S264,"")</f>
        <v/>
      </c>
      <c r="Y264" s="115">
        <f>IFERROR(R264/W264,"")</f>
        <v/>
      </c>
      <c r="Z264" s="115">
        <f>IFERROR(R264/S264*1000,"")</f>
        <v/>
      </c>
      <c r="AA264" s="116" t="n">
        <v>31</v>
      </c>
      <c r="AB264" s="47">
        <f>IFERROR(AA264/W264,"")</f>
        <v/>
      </c>
      <c r="AC264" s="116" t="n">
        <v>1623</v>
      </c>
      <c r="AD264" s="116" t="n">
        <v>1007</v>
      </c>
      <c r="AE264" s="116" t="n">
        <v>616</v>
      </c>
      <c r="AF264" s="116" t="n">
        <v>378</v>
      </c>
      <c r="AG264" s="116" t="n">
        <v>301</v>
      </c>
      <c r="AH264" s="116" t="n">
        <v>174</v>
      </c>
      <c r="AI264" s="47">
        <f>IFERROR(AC264/S264,"")</f>
        <v/>
      </c>
      <c r="AJ264" s="47">
        <f>IFERROR(AH264/S264,"")</f>
        <v/>
      </c>
      <c r="AK264" s="116" t="n">
        <v>111</v>
      </c>
      <c r="AL264" s="116" t="n">
        <v>0</v>
      </c>
      <c r="AM264" s="118">
        <f>IFERROR(AL264/AA264,"")</f>
        <v/>
      </c>
      <c r="AN264" s="119">
        <f>IFERROR(R264/AL264,"")</f>
        <v/>
      </c>
      <c r="AO264" s="116" t="n">
        <v>0</v>
      </c>
      <c r="AP264" s="47">
        <f>IFERROR(AO264/AL264,"")</f>
        <v/>
      </c>
      <c r="AQ264" s="119">
        <f>IFERROR(R264/AO264,"")</f>
        <v/>
      </c>
      <c r="AR264" s="116" t="n">
        <v>0</v>
      </c>
      <c r="AS264" s="116" t="n">
        <v>0</v>
      </c>
      <c r="AT264" s="116">
        <f>AL264+AR264</f>
        <v/>
      </c>
      <c r="AU264" s="119">
        <f>IFERROR(AO264*Assumptions!$C$26*Assumptions!$C$27*INDEX(Assumptions!$C$18:$C$21,MATCH(H264,Assumptions!$B$18:$B$21,0)),0)</f>
        <v/>
      </c>
    </row>
    <row r="265">
      <c r="A265" s="114" t="n">
        <v>46247</v>
      </c>
      <c r="B265" s="42" t="inlineStr">
        <is>
          <t>Wk 33</t>
        </is>
      </c>
      <c r="C265" s="42" t="inlineStr">
        <is>
          <t>Thu</t>
        </is>
      </c>
      <c r="D265" s="42" t="inlineStr">
        <is>
          <t>Meta (FB/IG)</t>
        </is>
      </c>
      <c r="E265" s="42" t="inlineStr">
        <is>
          <t>Facebook + Instagram</t>
        </is>
      </c>
      <c r="F265" s="42" t="inlineStr">
        <is>
          <t>LEP_ZA_AUG26_META_TD_JAVAN_CONV</t>
        </is>
      </c>
      <c r="G265" s="42" t="inlineStr">
        <is>
          <t>Leads - Website Conversions</t>
        </is>
      </c>
      <c r="H265" s="42" t="inlineStr">
        <is>
          <t>JAVAN</t>
        </is>
      </c>
      <c r="I265" s="42" t="inlineStr">
        <is>
          <t>10% Deposit</t>
        </is>
      </c>
      <c r="J265" s="42" t="inlineStr">
        <is>
          <t>MET_JAVAN_BROAD_28-55_ZA</t>
        </is>
      </c>
      <c r="K265" s="42" t="inlineStr">
        <is>
          <t>Prospecting</t>
        </is>
      </c>
      <c r="L265" s="42" t="inlineStr">
        <is>
          <t>JAVAN_VID_20s_FamilyWeekend_v1</t>
        </is>
      </c>
      <c r="M265" s="42" t="inlineStr">
        <is>
          <t>Video 9:16</t>
        </is>
      </c>
      <c r="N265" s="42" t="inlineStr">
        <is>
          <t>The weekend car that works on Monday</t>
        </is>
      </c>
      <c r="O265" s="42" t="inlineStr">
        <is>
          <t>Auction - Lowest Cost</t>
        </is>
      </c>
      <c r="P265" s="42" t="inlineStr">
        <is>
          <t>Offsite Conversions</t>
        </is>
      </c>
      <c r="Q265" s="42" t="inlineStr">
        <is>
          <t>https://www.lepas-sa.co.za/offers/javan</t>
        </is>
      </c>
      <c r="R265" s="115" t="n">
        <v>283.44</v>
      </c>
      <c r="S265" s="116" t="n">
        <v>3832</v>
      </c>
      <c r="T265" s="116" t="n">
        <v>2465</v>
      </c>
      <c r="U265" s="117">
        <f>IFERROR(S265/T265,"")</f>
        <v/>
      </c>
      <c r="V265" s="116" t="n">
        <v>64</v>
      </c>
      <c r="W265" s="116" t="n">
        <v>46</v>
      </c>
      <c r="X265" s="118">
        <f>IFERROR(W265/S265,"")</f>
        <v/>
      </c>
      <c r="Y265" s="115">
        <f>IFERROR(R265/W265,"")</f>
        <v/>
      </c>
      <c r="Z265" s="115">
        <f>IFERROR(R265/S265*1000,"")</f>
        <v/>
      </c>
      <c r="AA265" s="116" t="n">
        <v>40</v>
      </c>
      <c r="AB265" s="47">
        <f>IFERROR(AA265/W265,"")</f>
        <v/>
      </c>
      <c r="AC265" s="116" t="n">
        <v>1161</v>
      </c>
      <c r="AD265" s="116" t="n">
        <v>616</v>
      </c>
      <c r="AE265" s="116" t="n">
        <v>512</v>
      </c>
      <c r="AF265" s="116" t="n">
        <v>283</v>
      </c>
      <c r="AG265" s="116" t="n">
        <v>199</v>
      </c>
      <c r="AH265" s="116" t="n">
        <v>122</v>
      </c>
      <c r="AI265" s="47">
        <f>IFERROR(AC265/S265,"")</f>
        <v/>
      </c>
      <c r="AJ265" s="47">
        <f>IFERROR(AH265/S265,"")</f>
        <v/>
      </c>
      <c r="AK265" s="116" t="n">
        <v>72</v>
      </c>
      <c r="AL265" s="116" t="n">
        <v>0</v>
      </c>
      <c r="AM265" s="118">
        <f>IFERROR(AL265/AA265,"")</f>
        <v/>
      </c>
      <c r="AN265" s="119">
        <f>IFERROR(R265/AL265,"")</f>
        <v/>
      </c>
      <c r="AO265" s="116" t="n">
        <v>0</v>
      </c>
      <c r="AP265" s="47">
        <f>IFERROR(AO265/AL265,"")</f>
        <v/>
      </c>
      <c r="AQ265" s="119">
        <f>IFERROR(R265/AO265,"")</f>
        <v/>
      </c>
      <c r="AR265" s="116" t="n">
        <v>0</v>
      </c>
      <c r="AS265" s="116" t="n">
        <v>0</v>
      </c>
      <c r="AT265" s="116">
        <f>AL265+AR265</f>
        <v/>
      </c>
      <c r="AU265" s="119">
        <f>IFERROR(AO265*Assumptions!$C$26*Assumptions!$C$27*INDEX(Assumptions!$C$18:$C$21,MATCH(H265,Assumptions!$B$18:$B$21,0)),0)</f>
        <v/>
      </c>
    </row>
    <row r="266">
      <c r="A266" s="114" t="n">
        <v>46248</v>
      </c>
      <c r="B266" s="42" t="inlineStr">
        <is>
          <t>Wk 33</t>
        </is>
      </c>
      <c r="C266" s="42" t="inlineStr">
        <is>
          <t>Fri</t>
        </is>
      </c>
      <c r="D266" s="42" t="inlineStr">
        <is>
          <t>Meta (FB/IG)</t>
        </is>
      </c>
      <c r="E266" s="42" t="inlineStr">
        <is>
          <t>Facebook + Instagram</t>
        </is>
      </c>
      <c r="F266" s="42" t="inlineStr">
        <is>
          <t>LEP_ZA_AUG26_META_TD_JAVAN_CONV</t>
        </is>
      </c>
      <c r="G266" s="42" t="inlineStr">
        <is>
          <t>Leads - Website Conversions</t>
        </is>
      </c>
      <c r="H266" s="42" t="inlineStr">
        <is>
          <t>JAVAN</t>
        </is>
      </c>
      <c r="I266" s="42" t="inlineStr">
        <is>
          <t>10% Deposit</t>
        </is>
      </c>
      <c r="J266" s="42" t="inlineStr">
        <is>
          <t>MET_JAVAN_BROAD_28-55_ZA</t>
        </is>
      </c>
      <c r="K266" s="42" t="inlineStr">
        <is>
          <t>Prospecting</t>
        </is>
      </c>
      <c r="L266" s="42" t="inlineStr">
        <is>
          <t>JAVAN_VID_20s_FamilyWeekend_v1</t>
        </is>
      </c>
      <c r="M266" s="42" t="inlineStr">
        <is>
          <t>Video 9:16</t>
        </is>
      </c>
      <c r="N266" s="42" t="inlineStr">
        <is>
          <t>The weekend car that works on Monday</t>
        </is>
      </c>
      <c r="O266" s="42" t="inlineStr">
        <is>
          <t>Auction - Lowest Cost</t>
        </is>
      </c>
      <c r="P266" s="42" t="inlineStr">
        <is>
          <t>Offsite Conversions</t>
        </is>
      </c>
      <c r="Q266" s="42" t="inlineStr">
        <is>
          <t>https://www.lepas-sa.co.za/offers/javan</t>
        </is>
      </c>
      <c r="R266" s="115" t="n">
        <v>380.23</v>
      </c>
      <c r="S266" s="116" t="n">
        <v>5093</v>
      </c>
      <c r="T266" s="116" t="n">
        <v>3902</v>
      </c>
      <c r="U266" s="117">
        <f>IFERROR(S266/T266,"")</f>
        <v/>
      </c>
      <c r="V266" s="116" t="n">
        <v>59</v>
      </c>
      <c r="W266" s="116" t="n">
        <v>42</v>
      </c>
      <c r="X266" s="118">
        <f>IFERROR(W266/S266,"")</f>
        <v/>
      </c>
      <c r="Y266" s="115">
        <f>IFERROR(R266/W266,"")</f>
        <v/>
      </c>
      <c r="Z266" s="115">
        <f>IFERROR(R266/S266*1000,"")</f>
        <v/>
      </c>
      <c r="AA266" s="116" t="n">
        <v>38</v>
      </c>
      <c r="AB266" s="47">
        <f>IFERROR(AA266/W266,"")</f>
        <v/>
      </c>
      <c r="AC266" s="116" t="n">
        <v>1988</v>
      </c>
      <c r="AD266" s="116" t="n">
        <v>1166</v>
      </c>
      <c r="AE266" s="116" t="n">
        <v>811</v>
      </c>
      <c r="AF266" s="116" t="n">
        <v>557</v>
      </c>
      <c r="AG266" s="116" t="n">
        <v>406</v>
      </c>
      <c r="AH266" s="116" t="n">
        <v>273</v>
      </c>
      <c r="AI266" s="47">
        <f>IFERROR(AC266/S266,"")</f>
        <v/>
      </c>
      <c r="AJ266" s="47">
        <f>IFERROR(AH266/S266,"")</f>
        <v/>
      </c>
      <c r="AK266" s="116" t="n">
        <v>119</v>
      </c>
      <c r="AL266" s="116" t="n">
        <v>1</v>
      </c>
      <c r="AM266" s="118">
        <f>IFERROR(AL266/AA266,"")</f>
        <v/>
      </c>
      <c r="AN266" s="119">
        <f>IFERROR(R266/AL266,"")</f>
        <v/>
      </c>
      <c r="AO266" s="116" t="n">
        <v>1</v>
      </c>
      <c r="AP266" s="47">
        <f>IFERROR(AO266/AL266,"")</f>
        <v/>
      </c>
      <c r="AQ266" s="119">
        <f>IFERROR(R266/AO266,"")</f>
        <v/>
      </c>
      <c r="AR266" s="116" t="n">
        <v>0</v>
      </c>
      <c r="AS266" s="116" t="n">
        <v>0</v>
      </c>
      <c r="AT266" s="116">
        <f>AL266+AR266</f>
        <v/>
      </c>
      <c r="AU266" s="119">
        <f>IFERROR(AO266*Assumptions!$C$26*Assumptions!$C$27*INDEX(Assumptions!$C$18:$C$21,MATCH(H266,Assumptions!$B$18:$B$21,0)),0)</f>
        <v/>
      </c>
    </row>
    <row r="267">
      <c r="A267" s="114" t="n">
        <v>46249</v>
      </c>
      <c r="B267" s="42" t="inlineStr">
        <is>
          <t>Wk 33</t>
        </is>
      </c>
      <c r="C267" s="42" t="inlineStr">
        <is>
          <t>Sat</t>
        </is>
      </c>
      <c r="D267" s="42" t="inlineStr">
        <is>
          <t>Meta (FB/IG)</t>
        </is>
      </c>
      <c r="E267" s="42" t="inlineStr">
        <is>
          <t>Facebook + Instagram</t>
        </is>
      </c>
      <c r="F267" s="42" t="inlineStr">
        <is>
          <t>LEP_ZA_AUG26_META_TD_JAVAN_CONV</t>
        </is>
      </c>
      <c r="G267" s="42" t="inlineStr">
        <is>
          <t>Leads - Website Conversions</t>
        </is>
      </c>
      <c r="H267" s="42" t="inlineStr">
        <is>
          <t>JAVAN</t>
        </is>
      </c>
      <c r="I267" s="42" t="inlineStr">
        <is>
          <t>10% Deposit</t>
        </is>
      </c>
      <c r="J267" s="42" t="inlineStr">
        <is>
          <t>MET_JAVAN_BROAD_28-55_ZA</t>
        </is>
      </c>
      <c r="K267" s="42" t="inlineStr">
        <is>
          <t>Prospecting</t>
        </is>
      </c>
      <c r="L267" s="42" t="inlineStr">
        <is>
          <t>JAVAN_VID_20s_FamilyWeekend_v1</t>
        </is>
      </c>
      <c r="M267" s="42" t="inlineStr">
        <is>
          <t>Video 9:16</t>
        </is>
      </c>
      <c r="N267" s="42" t="inlineStr">
        <is>
          <t>The weekend car that works on Monday</t>
        </is>
      </c>
      <c r="O267" s="42" t="inlineStr">
        <is>
          <t>Auction - Lowest Cost</t>
        </is>
      </c>
      <c r="P267" s="42" t="inlineStr">
        <is>
          <t>Offsite Conversions</t>
        </is>
      </c>
      <c r="Q267" s="42" t="inlineStr">
        <is>
          <t>https://www.lepas-sa.co.za/offers/javan</t>
        </is>
      </c>
      <c r="R267" s="115" t="n">
        <v>345.53</v>
      </c>
      <c r="S267" s="116" t="n">
        <v>4485</v>
      </c>
      <c r="T267" s="116" t="n">
        <v>2864</v>
      </c>
      <c r="U267" s="117">
        <f>IFERROR(S267/T267,"")</f>
        <v/>
      </c>
      <c r="V267" s="116" t="n">
        <v>48</v>
      </c>
      <c r="W267" s="116" t="n">
        <v>39</v>
      </c>
      <c r="X267" s="118">
        <f>IFERROR(W267/S267,"")</f>
        <v/>
      </c>
      <c r="Y267" s="115">
        <f>IFERROR(R267/W267,"")</f>
        <v/>
      </c>
      <c r="Z267" s="115">
        <f>IFERROR(R267/S267*1000,"")</f>
        <v/>
      </c>
      <c r="AA267" s="116" t="n">
        <v>35</v>
      </c>
      <c r="AB267" s="47">
        <f>IFERROR(AA267/W267,"")</f>
        <v/>
      </c>
      <c r="AC267" s="116" t="n">
        <v>1624</v>
      </c>
      <c r="AD267" s="116" t="n">
        <v>750</v>
      </c>
      <c r="AE267" s="116" t="n">
        <v>639</v>
      </c>
      <c r="AF267" s="116" t="n">
        <v>354</v>
      </c>
      <c r="AG267" s="116" t="n">
        <v>229</v>
      </c>
      <c r="AH267" s="116" t="n">
        <v>154</v>
      </c>
      <c r="AI267" s="47">
        <f>IFERROR(AC267/S267,"")</f>
        <v/>
      </c>
      <c r="AJ267" s="47">
        <f>IFERROR(AH267/S267,"")</f>
        <v/>
      </c>
      <c r="AK267" s="116" t="n">
        <v>144</v>
      </c>
      <c r="AL267" s="116" t="n">
        <v>0</v>
      </c>
      <c r="AM267" s="118">
        <f>IFERROR(AL267/AA267,"")</f>
        <v/>
      </c>
      <c r="AN267" s="119">
        <f>IFERROR(R267/AL267,"")</f>
        <v/>
      </c>
      <c r="AO267" s="116" t="n">
        <v>0</v>
      </c>
      <c r="AP267" s="47">
        <f>IFERROR(AO267/AL267,"")</f>
        <v/>
      </c>
      <c r="AQ267" s="119">
        <f>IFERROR(R267/AO267,"")</f>
        <v/>
      </c>
      <c r="AR267" s="116" t="n">
        <v>0</v>
      </c>
      <c r="AS267" s="116" t="n">
        <v>0</v>
      </c>
      <c r="AT267" s="116">
        <f>AL267+AR267</f>
        <v/>
      </c>
      <c r="AU267" s="119">
        <f>IFERROR(AO267*Assumptions!$C$26*Assumptions!$C$27*INDEX(Assumptions!$C$18:$C$21,MATCH(H267,Assumptions!$B$18:$B$21,0)),0)</f>
        <v/>
      </c>
    </row>
    <row r="268">
      <c r="A268" s="114" t="n">
        <v>46250</v>
      </c>
      <c r="B268" s="42" t="inlineStr">
        <is>
          <t>Wk 33</t>
        </is>
      </c>
      <c r="C268" s="42" t="inlineStr">
        <is>
          <t>Sun</t>
        </is>
      </c>
      <c r="D268" s="42" t="inlineStr">
        <is>
          <t>Meta (FB/IG)</t>
        </is>
      </c>
      <c r="E268" s="42" t="inlineStr">
        <is>
          <t>Facebook + Instagram</t>
        </is>
      </c>
      <c r="F268" s="42" t="inlineStr">
        <is>
          <t>LEP_ZA_AUG26_META_TD_JAVAN_CONV</t>
        </is>
      </c>
      <c r="G268" s="42" t="inlineStr">
        <is>
          <t>Leads - Website Conversions</t>
        </is>
      </c>
      <c r="H268" s="42" t="inlineStr">
        <is>
          <t>JAVAN</t>
        </is>
      </c>
      <c r="I268" s="42" t="inlineStr">
        <is>
          <t>10% Deposit</t>
        </is>
      </c>
      <c r="J268" s="42" t="inlineStr">
        <is>
          <t>MET_JAVAN_BROAD_28-55_ZA</t>
        </is>
      </c>
      <c r="K268" s="42" t="inlineStr">
        <is>
          <t>Prospecting</t>
        </is>
      </c>
      <c r="L268" s="42" t="inlineStr">
        <is>
          <t>JAVAN_VID_20s_FamilyWeekend_v1</t>
        </is>
      </c>
      <c r="M268" s="42" t="inlineStr">
        <is>
          <t>Video 9:16</t>
        </is>
      </c>
      <c r="N268" s="42" t="inlineStr">
        <is>
          <t>The weekend car that works on Monday</t>
        </is>
      </c>
      <c r="O268" s="42" t="inlineStr">
        <is>
          <t>Auction - Lowest Cost</t>
        </is>
      </c>
      <c r="P268" s="42" t="inlineStr">
        <is>
          <t>Offsite Conversions</t>
        </is>
      </c>
      <c r="Q268" s="42" t="inlineStr">
        <is>
          <t>https://www.lepas-sa.co.za/offers/javan</t>
        </is>
      </c>
      <c r="R268" s="115" t="n">
        <v>247.28</v>
      </c>
      <c r="S268" s="116" t="n">
        <v>4419</v>
      </c>
      <c r="T268" s="116" t="n">
        <v>2432</v>
      </c>
      <c r="U268" s="117">
        <f>IFERROR(S268/T268,"")</f>
        <v/>
      </c>
      <c r="V268" s="116" t="n">
        <v>66</v>
      </c>
      <c r="W268" s="116" t="n">
        <v>50</v>
      </c>
      <c r="X268" s="118">
        <f>IFERROR(W268/S268,"")</f>
        <v/>
      </c>
      <c r="Y268" s="115">
        <f>IFERROR(R268/W268,"")</f>
        <v/>
      </c>
      <c r="Z268" s="115">
        <f>IFERROR(R268/S268*1000,"")</f>
        <v/>
      </c>
      <c r="AA268" s="116" t="n">
        <v>42</v>
      </c>
      <c r="AB268" s="47">
        <f>IFERROR(AA268/W268,"")</f>
        <v/>
      </c>
      <c r="AC268" s="116" t="n">
        <v>1807</v>
      </c>
      <c r="AD268" s="116" t="n">
        <v>900</v>
      </c>
      <c r="AE268" s="116" t="n">
        <v>721</v>
      </c>
      <c r="AF268" s="116" t="n">
        <v>463</v>
      </c>
      <c r="AG268" s="116" t="n">
        <v>330</v>
      </c>
      <c r="AH268" s="116" t="n">
        <v>216</v>
      </c>
      <c r="AI268" s="47">
        <f>IFERROR(AC268/S268,"")</f>
        <v/>
      </c>
      <c r="AJ268" s="47">
        <f>IFERROR(AH268/S268,"")</f>
        <v/>
      </c>
      <c r="AK268" s="116" t="n">
        <v>118</v>
      </c>
      <c r="AL268" s="116" t="n">
        <v>1</v>
      </c>
      <c r="AM268" s="118">
        <f>IFERROR(AL268/AA268,"")</f>
        <v/>
      </c>
      <c r="AN268" s="119">
        <f>IFERROR(R268/AL268,"")</f>
        <v/>
      </c>
      <c r="AO268" s="116" t="n">
        <v>1</v>
      </c>
      <c r="AP268" s="47">
        <f>IFERROR(AO268/AL268,"")</f>
        <v/>
      </c>
      <c r="AQ268" s="119">
        <f>IFERROR(R268/AO268,"")</f>
        <v/>
      </c>
      <c r="AR268" s="116" t="n">
        <v>0</v>
      </c>
      <c r="AS268" s="116" t="n">
        <v>1</v>
      </c>
      <c r="AT268" s="116">
        <f>AL268+AR268</f>
        <v/>
      </c>
      <c r="AU268" s="119">
        <f>IFERROR(AO268*Assumptions!$C$26*Assumptions!$C$27*INDEX(Assumptions!$C$18:$C$21,MATCH(H268,Assumptions!$B$18:$B$21,0)),0)</f>
        <v/>
      </c>
    </row>
    <row r="269">
      <c r="A269" s="114" t="n">
        <v>46251</v>
      </c>
      <c r="B269" s="42" t="inlineStr">
        <is>
          <t>Wk 34</t>
        </is>
      </c>
      <c r="C269" s="42" t="inlineStr">
        <is>
          <t>Mon</t>
        </is>
      </c>
      <c r="D269" s="42" t="inlineStr">
        <is>
          <t>Meta (FB/IG)</t>
        </is>
      </c>
      <c r="E269" s="42" t="inlineStr">
        <is>
          <t>Facebook + Instagram</t>
        </is>
      </c>
      <c r="F269" s="42" t="inlineStr">
        <is>
          <t>LEP_ZA_AUG26_META_TD_JAVAN_CONV</t>
        </is>
      </c>
      <c r="G269" s="42" t="inlineStr">
        <is>
          <t>Leads - Website Conversions</t>
        </is>
      </c>
      <c r="H269" s="42" t="inlineStr">
        <is>
          <t>JAVAN</t>
        </is>
      </c>
      <c r="I269" s="42" t="inlineStr">
        <is>
          <t>10% Deposit</t>
        </is>
      </c>
      <c r="J269" s="42" t="inlineStr">
        <is>
          <t>MET_JAVAN_BROAD_28-55_ZA</t>
        </is>
      </c>
      <c r="K269" s="42" t="inlineStr">
        <is>
          <t>Prospecting</t>
        </is>
      </c>
      <c r="L269" s="42" t="inlineStr">
        <is>
          <t>JAVAN_VID_20s_FamilyWeekend_v1</t>
        </is>
      </c>
      <c r="M269" s="42" t="inlineStr">
        <is>
          <t>Video 9:16</t>
        </is>
      </c>
      <c r="N269" s="42" t="inlineStr">
        <is>
          <t>The weekend car that works on Monday</t>
        </is>
      </c>
      <c r="O269" s="42" t="inlineStr">
        <is>
          <t>Auction - Lowest Cost</t>
        </is>
      </c>
      <c r="P269" s="42" t="inlineStr">
        <is>
          <t>Offsite Conversions</t>
        </is>
      </c>
      <c r="Q269" s="42" t="inlineStr">
        <is>
          <t>https://www.lepas-sa.co.za/offers/javan</t>
        </is>
      </c>
      <c r="R269" s="115" t="n">
        <v>240.68</v>
      </c>
      <c r="S269" s="116" t="n">
        <v>2975</v>
      </c>
      <c r="T269" s="116" t="n">
        <v>2137</v>
      </c>
      <c r="U269" s="117">
        <f>IFERROR(S269/T269,"")</f>
        <v/>
      </c>
      <c r="V269" s="116" t="n">
        <v>41</v>
      </c>
      <c r="W269" s="116" t="n">
        <v>34</v>
      </c>
      <c r="X269" s="118">
        <f>IFERROR(W269/S269,"")</f>
        <v/>
      </c>
      <c r="Y269" s="115">
        <f>IFERROR(R269/W269,"")</f>
        <v/>
      </c>
      <c r="Z269" s="115">
        <f>IFERROR(R269/S269*1000,"")</f>
        <v/>
      </c>
      <c r="AA269" s="116" t="n">
        <v>28</v>
      </c>
      <c r="AB269" s="47">
        <f>IFERROR(AA269/W269,"")</f>
        <v/>
      </c>
      <c r="AC269" s="116" t="n">
        <v>845</v>
      </c>
      <c r="AD269" s="116" t="n">
        <v>457</v>
      </c>
      <c r="AE269" s="116" t="n">
        <v>314</v>
      </c>
      <c r="AF269" s="116" t="n">
        <v>195</v>
      </c>
      <c r="AG269" s="116" t="n">
        <v>139</v>
      </c>
      <c r="AH269" s="116" t="n">
        <v>96</v>
      </c>
      <c r="AI269" s="47">
        <f>IFERROR(AC269/S269,"")</f>
        <v/>
      </c>
      <c r="AJ269" s="47">
        <f>IFERROR(AH269/S269,"")</f>
        <v/>
      </c>
      <c r="AK269" s="116" t="n">
        <v>75</v>
      </c>
      <c r="AL269" s="116" t="n">
        <v>1</v>
      </c>
      <c r="AM269" s="118">
        <f>IFERROR(AL269/AA269,"")</f>
        <v/>
      </c>
      <c r="AN269" s="119">
        <f>IFERROR(R269/AL269,"")</f>
        <v/>
      </c>
      <c r="AO269" s="116" t="n">
        <v>1</v>
      </c>
      <c r="AP269" s="47">
        <f>IFERROR(AO269/AL269,"")</f>
        <v/>
      </c>
      <c r="AQ269" s="119">
        <f>IFERROR(R269/AO269,"")</f>
        <v/>
      </c>
      <c r="AR269" s="116" t="n">
        <v>1</v>
      </c>
      <c r="AS269" s="116" t="n">
        <v>1</v>
      </c>
      <c r="AT269" s="116">
        <f>AL269+AR269</f>
        <v/>
      </c>
      <c r="AU269" s="119">
        <f>IFERROR(AO269*Assumptions!$C$26*Assumptions!$C$27*INDEX(Assumptions!$C$18:$C$21,MATCH(H269,Assumptions!$B$18:$B$21,0)),0)</f>
        <v/>
      </c>
    </row>
    <row r="270">
      <c r="A270" s="114" t="n">
        <v>46252</v>
      </c>
      <c r="B270" s="42" t="inlineStr">
        <is>
          <t>Wk 34</t>
        </is>
      </c>
      <c r="C270" s="42" t="inlineStr">
        <is>
          <t>Tue</t>
        </is>
      </c>
      <c r="D270" s="42" t="inlineStr">
        <is>
          <t>Meta (FB/IG)</t>
        </is>
      </c>
      <c r="E270" s="42" t="inlineStr">
        <is>
          <t>Facebook + Instagram</t>
        </is>
      </c>
      <c r="F270" s="42" t="inlineStr">
        <is>
          <t>LEP_ZA_AUG26_META_TD_JAVAN_CONV</t>
        </is>
      </c>
      <c r="G270" s="42" t="inlineStr">
        <is>
          <t>Leads - Website Conversions</t>
        </is>
      </c>
      <c r="H270" s="42" t="inlineStr">
        <is>
          <t>JAVAN</t>
        </is>
      </c>
      <c r="I270" s="42" t="inlineStr">
        <is>
          <t>10% Deposit</t>
        </is>
      </c>
      <c r="J270" s="42" t="inlineStr">
        <is>
          <t>MET_JAVAN_BROAD_28-55_ZA</t>
        </is>
      </c>
      <c r="K270" s="42" t="inlineStr">
        <is>
          <t>Prospecting</t>
        </is>
      </c>
      <c r="L270" s="42" t="inlineStr">
        <is>
          <t>JAVAN_VID_20s_FamilyWeekend_v1</t>
        </is>
      </c>
      <c r="M270" s="42" t="inlineStr">
        <is>
          <t>Video 9:16</t>
        </is>
      </c>
      <c r="N270" s="42" t="inlineStr">
        <is>
          <t>The weekend car that works on Monday</t>
        </is>
      </c>
      <c r="O270" s="42" t="inlineStr">
        <is>
          <t>Auction - Lowest Cost</t>
        </is>
      </c>
      <c r="P270" s="42" t="inlineStr">
        <is>
          <t>Offsite Conversions</t>
        </is>
      </c>
      <c r="Q270" s="42" t="inlineStr">
        <is>
          <t>https://www.lepas-sa.co.za/offers/javan</t>
        </is>
      </c>
      <c r="R270" s="115" t="n">
        <v>246.62</v>
      </c>
      <c r="S270" s="116" t="n">
        <v>3299</v>
      </c>
      <c r="T270" s="116" t="n">
        <v>1931</v>
      </c>
      <c r="U270" s="117">
        <f>IFERROR(S270/T270,"")</f>
        <v/>
      </c>
      <c r="V270" s="116" t="n">
        <v>55</v>
      </c>
      <c r="W270" s="116" t="n">
        <v>39</v>
      </c>
      <c r="X270" s="118">
        <f>IFERROR(W270/S270,"")</f>
        <v/>
      </c>
      <c r="Y270" s="115">
        <f>IFERROR(R270/W270,"")</f>
        <v/>
      </c>
      <c r="Z270" s="115">
        <f>IFERROR(R270/S270*1000,"")</f>
        <v/>
      </c>
      <c r="AA270" s="116" t="n">
        <v>31</v>
      </c>
      <c r="AB270" s="47">
        <f>IFERROR(AA270/W270,"")</f>
        <v/>
      </c>
      <c r="AC270" s="116" t="n">
        <v>904</v>
      </c>
      <c r="AD270" s="116" t="n">
        <v>557</v>
      </c>
      <c r="AE270" s="116" t="n">
        <v>415</v>
      </c>
      <c r="AF270" s="116" t="n">
        <v>223</v>
      </c>
      <c r="AG270" s="116" t="n">
        <v>162</v>
      </c>
      <c r="AH270" s="116" t="n">
        <v>94</v>
      </c>
      <c r="AI270" s="47">
        <f>IFERROR(AC270/S270,"")</f>
        <v/>
      </c>
      <c r="AJ270" s="47">
        <f>IFERROR(AH270/S270,"")</f>
        <v/>
      </c>
      <c r="AK270" s="116" t="n">
        <v>68</v>
      </c>
      <c r="AL270" s="116" t="n">
        <v>1</v>
      </c>
      <c r="AM270" s="118">
        <f>IFERROR(AL270/AA270,"")</f>
        <v/>
      </c>
      <c r="AN270" s="119">
        <f>IFERROR(R270/AL270,"")</f>
        <v/>
      </c>
      <c r="AO270" s="116" t="n">
        <v>0</v>
      </c>
      <c r="AP270" s="47">
        <f>IFERROR(AO270/AL270,"")</f>
        <v/>
      </c>
      <c r="AQ270" s="119">
        <f>IFERROR(R270/AO270,"")</f>
        <v/>
      </c>
      <c r="AR270" s="116" t="n">
        <v>0</v>
      </c>
      <c r="AS270" s="116" t="n">
        <v>0</v>
      </c>
      <c r="AT270" s="116">
        <f>AL270+AR270</f>
        <v/>
      </c>
      <c r="AU270" s="119">
        <f>IFERROR(AO270*Assumptions!$C$26*Assumptions!$C$27*INDEX(Assumptions!$C$18:$C$21,MATCH(H270,Assumptions!$B$18:$B$21,0)),0)</f>
        <v/>
      </c>
    </row>
    <row r="271">
      <c r="A271" s="114" t="n">
        <v>46253</v>
      </c>
      <c r="B271" s="42" t="inlineStr">
        <is>
          <t>Wk 34</t>
        </is>
      </c>
      <c r="C271" s="42" t="inlineStr">
        <is>
          <t>Wed</t>
        </is>
      </c>
      <c r="D271" s="42" t="inlineStr">
        <is>
          <t>Meta (FB/IG)</t>
        </is>
      </c>
      <c r="E271" s="42" t="inlineStr">
        <is>
          <t>Facebook + Instagram</t>
        </is>
      </c>
      <c r="F271" s="42" t="inlineStr">
        <is>
          <t>LEP_ZA_AUG26_META_TD_JAVAN_CONV</t>
        </is>
      </c>
      <c r="G271" s="42" t="inlineStr">
        <is>
          <t>Leads - Website Conversions</t>
        </is>
      </c>
      <c r="H271" s="42" t="inlineStr">
        <is>
          <t>JAVAN</t>
        </is>
      </c>
      <c r="I271" s="42" t="inlineStr">
        <is>
          <t>10% Deposit</t>
        </is>
      </c>
      <c r="J271" s="42" t="inlineStr">
        <is>
          <t>MET_JAVAN_BROAD_28-55_ZA</t>
        </is>
      </c>
      <c r="K271" s="42" t="inlineStr">
        <is>
          <t>Prospecting</t>
        </is>
      </c>
      <c r="L271" s="42" t="inlineStr">
        <is>
          <t>JAVAN_VID_20s_FamilyWeekend_v1</t>
        </is>
      </c>
      <c r="M271" s="42" t="inlineStr">
        <is>
          <t>Video 9:16</t>
        </is>
      </c>
      <c r="N271" s="42" t="inlineStr">
        <is>
          <t>The weekend car that works on Monday</t>
        </is>
      </c>
      <c r="O271" s="42" t="inlineStr">
        <is>
          <t>Auction - Lowest Cost</t>
        </is>
      </c>
      <c r="P271" s="42" t="inlineStr">
        <is>
          <t>Offsite Conversions</t>
        </is>
      </c>
      <c r="Q271" s="42" t="inlineStr">
        <is>
          <t>https://www.lepas-sa.co.za/offers/javan</t>
        </is>
      </c>
      <c r="R271" s="115" t="n">
        <v>293.88</v>
      </c>
      <c r="S271" s="116" t="n">
        <v>3711</v>
      </c>
      <c r="T271" s="116" t="n">
        <v>2051</v>
      </c>
      <c r="U271" s="117">
        <f>IFERROR(S271/T271,"")</f>
        <v/>
      </c>
      <c r="V271" s="116" t="n">
        <v>40</v>
      </c>
      <c r="W271" s="116" t="n">
        <v>34</v>
      </c>
      <c r="X271" s="118">
        <f>IFERROR(W271/S271,"")</f>
        <v/>
      </c>
      <c r="Y271" s="115">
        <f>IFERROR(R271/W271,"")</f>
        <v/>
      </c>
      <c r="Z271" s="115">
        <f>IFERROR(R271/S271*1000,"")</f>
        <v/>
      </c>
      <c r="AA271" s="116" t="n">
        <v>30</v>
      </c>
      <c r="AB271" s="47">
        <f>IFERROR(AA271/W271,"")</f>
        <v/>
      </c>
      <c r="AC271" s="116" t="n">
        <v>1363</v>
      </c>
      <c r="AD271" s="116" t="n">
        <v>635</v>
      </c>
      <c r="AE271" s="116" t="n">
        <v>632</v>
      </c>
      <c r="AF271" s="116" t="n">
        <v>404</v>
      </c>
      <c r="AG271" s="116" t="n">
        <v>273</v>
      </c>
      <c r="AH271" s="116" t="n">
        <v>202</v>
      </c>
      <c r="AI271" s="47">
        <f>IFERROR(AC271/S271,"")</f>
        <v/>
      </c>
      <c r="AJ271" s="47">
        <f>IFERROR(AH271/S271,"")</f>
        <v/>
      </c>
      <c r="AK271" s="116" t="n">
        <v>108</v>
      </c>
      <c r="AL271" s="116" t="n">
        <v>0</v>
      </c>
      <c r="AM271" s="118">
        <f>IFERROR(AL271/AA271,"")</f>
        <v/>
      </c>
      <c r="AN271" s="119">
        <f>IFERROR(R271/AL271,"")</f>
        <v/>
      </c>
      <c r="AO271" s="116" t="n">
        <v>0</v>
      </c>
      <c r="AP271" s="47">
        <f>IFERROR(AO271/AL271,"")</f>
        <v/>
      </c>
      <c r="AQ271" s="119">
        <f>IFERROR(R271/AO271,"")</f>
        <v/>
      </c>
      <c r="AR271" s="116" t="n">
        <v>0</v>
      </c>
      <c r="AS271" s="116" t="n">
        <v>0</v>
      </c>
      <c r="AT271" s="116">
        <f>AL271+AR271</f>
        <v/>
      </c>
      <c r="AU271" s="119">
        <f>IFERROR(AO271*Assumptions!$C$26*Assumptions!$C$27*INDEX(Assumptions!$C$18:$C$21,MATCH(H271,Assumptions!$B$18:$B$21,0)),0)</f>
        <v/>
      </c>
    </row>
    <row r="272">
      <c r="A272" s="114" t="n">
        <v>46254</v>
      </c>
      <c r="B272" s="42" t="inlineStr">
        <is>
          <t>Wk 34</t>
        </is>
      </c>
      <c r="C272" s="42" t="inlineStr">
        <is>
          <t>Thu</t>
        </is>
      </c>
      <c r="D272" s="42" t="inlineStr">
        <is>
          <t>Meta (FB/IG)</t>
        </is>
      </c>
      <c r="E272" s="42" t="inlineStr">
        <is>
          <t>Facebook + Instagram</t>
        </is>
      </c>
      <c r="F272" s="42" t="inlineStr">
        <is>
          <t>LEP_ZA_AUG26_META_TD_JAVAN_CONV</t>
        </is>
      </c>
      <c r="G272" s="42" t="inlineStr">
        <is>
          <t>Leads - Website Conversions</t>
        </is>
      </c>
      <c r="H272" s="42" t="inlineStr">
        <is>
          <t>JAVAN</t>
        </is>
      </c>
      <c r="I272" s="42" t="inlineStr">
        <is>
          <t>10% Deposit</t>
        </is>
      </c>
      <c r="J272" s="42" t="inlineStr">
        <is>
          <t>MET_JAVAN_BROAD_28-55_ZA</t>
        </is>
      </c>
      <c r="K272" s="42" t="inlineStr">
        <is>
          <t>Prospecting</t>
        </is>
      </c>
      <c r="L272" s="42" t="inlineStr">
        <is>
          <t>JAVAN_VID_20s_FamilyWeekend_v1</t>
        </is>
      </c>
      <c r="M272" s="42" t="inlineStr">
        <is>
          <t>Video 9:16</t>
        </is>
      </c>
      <c r="N272" s="42" t="inlineStr">
        <is>
          <t>The weekend car that works on Monday</t>
        </is>
      </c>
      <c r="O272" s="42" t="inlineStr">
        <is>
          <t>Auction - Lowest Cost</t>
        </is>
      </c>
      <c r="P272" s="42" t="inlineStr">
        <is>
          <t>Offsite Conversions</t>
        </is>
      </c>
      <c r="Q272" s="42" t="inlineStr">
        <is>
          <t>https://www.lepas-sa.co.za/offers/javan</t>
        </is>
      </c>
      <c r="R272" s="115" t="n">
        <v>307.44</v>
      </c>
      <c r="S272" s="116" t="n">
        <v>3602</v>
      </c>
      <c r="T272" s="116" t="n">
        <v>1924</v>
      </c>
      <c r="U272" s="117">
        <f>IFERROR(S272/T272,"")</f>
        <v/>
      </c>
      <c r="V272" s="116" t="n">
        <v>37</v>
      </c>
      <c r="W272" s="116" t="n">
        <v>27</v>
      </c>
      <c r="X272" s="118">
        <f>IFERROR(W272/S272,"")</f>
        <v/>
      </c>
      <c r="Y272" s="115">
        <f>IFERROR(R272/W272,"")</f>
        <v/>
      </c>
      <c r="Z272" s="115">
        <f>IFERROR(R272/S272*1000,"")</f>
        <v/>
      </c>
      <c r="AA272" s="116" t="n">
        <v>24</v>
      </c>
      <c r="AB272" s="47">
        <f>IFERROR(AA272/W272,"")</f>
        <v/>
      </c>
      <c r="AC272" s="116" t="n">
        <v>1129</v>
      </c>
      <c r="AD272" s="116" t="n">
        <v>512</v>
      </c>
      <c r="AE272" s="116" t="n">
        <v>497</v>
      </c>
      <c r="AF272" s="116" t="n">
        <v>295</v>
      </c>
      <c r="AG272" s="116" t="n">
        <v>201</v>
      </c>
      <c r="AH272" s="116" t="n">
        <v>120</v>
      </c>
      <c r="AI272" s="47">
        <f>IFERROR(AC272/S272,"")</f>
        <v/>
      </c>
      <c r="AJ272" s="47">
        <f>IFERROR(AH272/S272,"")</f>
        <v/>
      </c>
      <c r="AK272" s="116" t="n">
        <v>74</v>
      </c>
      <c r="AL272" s="116" t="n">
        <v>1</v>
      </c>
      <c r="AM272" s="118">
        <f>IFERROR(AL272/AA272,"")</f>
        <v/>
      </c>
      <c r="AN272" s="119">
        <f>IFERROR(R272/AL272,"")</f>
        <v/>
      </c>
      <c r="AO272" s="116" t="n">
        <v>1</v>
      </c>
      <c r="AP272" s="47">
        <f>IFERROR(AO272/AL272,"")</f>
        <v/>
      </c>
      <c r="AQ272" s="119">
        <f>IFERROR(R272/AO272,"")</f>
        <v/>
      </c>
      <c r="AR272" s="116" t="n">
        <v>0</v>
      </c>
      <c r="AS272" s="116" t="n">
        <v>0</v>
      </c>
      <c r="AT272" s="116">
        <f>AL272+AR272</f>
        <v/>
      </c>
      <c r="AU272" s="119">
        <f>IFERROR(AO272*Assumptions!$C$26*Assumptions!$C$27*INDEX(Assumptions!$C$18:$C$21,MATCH(H272,Assumptions!$B$18:$B$21,0)),0)</f>
        <v/>
      </c>
    </row>
    <row r="273">
      <c r="A273" s="114" t="n">
        <v>46235</v>
      </c>
      <c r="B273" s="42" t="inlineStr">
        <is>
          <t>Wk 31</t>
        </is>
      </c>
      <c r="C273" s="42" t="inlineStr">
        <is>
          <t>Sat</t>
        </is>
      </c>
      <c r="D273" s="42" t="inlineStr">
        <is>
          <t>Meta (FB/IG)</t>
        </is>
      </c>
      <c r="E273" s="42" t="inlineStr">
        <is>
          <t>Facebook + Instagram</t>
        </is>
      </c>
      <c r="F273" s="42" t="inlineStr">
        <is>
          <t>LEP_ZA_AUG26_META_TD_JAVAN_CONV</t>
        </is>
      </c>
      <c r="G273" s="42" t="inlineStr">
        <is>
          <t>Leads - Website Conversions</t>
        </is>
      </c>
      <c r="H273" s="42" t="inlineStr">
        <is>
          <t>JAVAN</t>
        </is>
      </c>
      <c r="I273" s="42" t="inlineStr">
        <is>
          <t>10% Deposit</t>
        </is>
      </c>
      <c r="J273" s="42" t="inlineStr">
        <is>
          <t>MET_JAVAN_BROAD_28-55_ZA</t>
        </is>
      </c>
      <c r="K273" s="42" t="inlineStr">
        <is>
          <t>Prospecting</t>
        </is>
      </c>
      <c r="L273" s="42" t="inlineStr">
        <is>
          <t>JAVAN_STA_Offer_10Dep_v1</t>
        </is>
      </c>
      <c r="M273" s="42" t="inlineStr">
        <is>
          <t>Static 1:1</t>
        </is>
      </c>
      <c r="N273" s="42" t="inlineStr">
        <is>
          <t>R4 299pm. 10% deposit.</t>
        </is>
      </c>
      <c r="O273" s="42" t="inlineStr">
        <is>
          <t>Auction - Lowest Cost</t>
        </is>
      </c>
      <c r="P273" s="42" t="inlineStr">
        <is>
          <t>Offsite Conversions</t>
        </is>
      </c>
      <c r="Q273" s="42" t="inlineStr">
        <is>
          <t>https://www.lepas-sa.co.za/offers/javan</t>
        </is>
      </c>
      <c r="R273" s="115" t="n">
        <v>220.65</v>
      </c>
      <c r="S273" s="116" t="n">
        <v>3298</v>
      </c>
      <c r="T273" s="116" t="n">
        <v>2134</v>
      </c>
      <c r="U273" s="117">
        <f>IFERROR(S273/T273,"")</f>
        <v/>
      </c>
      <c r="V273" s="116" t="n">
        <v>80</v>
      </c>
      <c r="W273" s="116" t="n">
        <v>59</v>
      </c>
      <c r="X273" s="118">
        <f>IFERROR(W273/S273,"")</f>
        <v/>
      </c>
      <c r="Y273" s="115">
        <f>IFERROR(R273/W273,"")</f>
        <v/>
      </c>
      <c r="Z273" s="115">
        <f>IFERROR(R273/S273*1000,"")</f>
        <v/>
      </c>
      <c r="AA273" s="116" t="n">
        <v>48</v>
      </c>
      <c r="AB273" s="47">
        <f>IFERROR(AA273/W273,"")</f>
        <v/>
      </c>
      <c r="AC273" s="116" t="n">
        <v>0</v>
      </c>
      <c r="AD273" s="116" t="n">
        <v>0</v>
      </c>
      <c r="AE273" s="116" t="n">
        <v>0</v>
      </c>
      <c r="AF273" s="116" t="n">
        <v>0</v>
      </c>
      <c r="AG273" s="116" t="n">
        <v>0</v>
      </c>
      <c r="AH273" s="116" t="n">
        <v>0</v>
      </c>
      <c r="AI273" s="47">
        <f>IFERROR(AC273/S273,"")</f>
        <v/>
      </c>
      <c r="AJ273" s="47">
        <f>IFERROR(AH273/S273,"")</f>
        <v/>
      </c>
      <c r="AK273" s="116" t="n">
        <v>53</v>
      </c>
      <c r="AL273" s="116" t="n">
        <v>1</v>
      </c>
      <c r="AM273" s="118">
        <f>IFERROR(AL273/AA273,"")</f>
        <v/>
      </c>
      <c r="AN273" s="119">
        <f>IFERROR(R273/AL273,"")</f>
        <v/>
      </c>
      <c r="AO273" s="116" t="n">
        <v>0</v>
      </c>
      <c r="AP273" s="47">
        <f>IFERROR(AO273/AL273,"")</f>
        <v/>
      </c>
      <c r="AQ273" s="119">
        <f>IFERROR(R273/AO273,"")</f>
        <v/>
      </c>
      <c r="AR273" s="116" t="n">
        <v>0</v>
      </c>
      <c r="AS273" s="116" t="n">
        <v>1</v>
      </c>
      <c r="AT273" s="116">
        <f>AL273+AR273</f>
        <v/>
      </c>
      <c r="AU273" s="119">
        <f>IFERROR(AO273*Assumptions!$C$26*Assumptions!$C$27*INDEX(Assumptions!$C$18:$C$21,MATCH(H273,Assumptions!$B$18:$B$21,0)),0)</f>
        <v/>
      </c>
    </row>
    <row r="274">
      <c r="A274" s="114" t="n">
        <v>46236</v>
      </c>
      <c r="B274" s="42" t="inlineStr">
        <is>
          <t>Wk 31</t>
        </is>
      </c>
      <c r="C274" s="42" t="inlineStr">
        <is>
          <t>Sun</t>
        </is>
      </c>
      <c r="D274" s="42" t="inlineStr">
        <is>
          <t>Meta (FB/IG)</t>
        </is>
      </c>
      <c r="E274" s="42" t="inlineStr">
        <is>
          <t>Facebook + Instagram</t>
        </is>
      </c>
      <c r="F274" s="42" t="inlineStr">
        <is>
          <t>LEP_ZA_AUG26_META_TD_JAVAN_CONV</t>
        </is>
      </c>
      <c r="G274" s="42" t="inlineStr">
        <is>
          <t>Leads - Website Conversions</t>
        </is>
      </c>
      <c r="H274" s="42" t="inlineStr">
        <is>
          <t>JAVAN</t>
        </is>
      </c>
      <c r="I274" s="42" t="inlineStr">
        <is>
          <t>10% Deposit</t>
        </is>
      </c>
      <c r="J274" s="42" t="inlineStr">
        <is>
          <t>MET_JAVAN_BROAD_28-55_ZA</t>
        </is>
      </c>
      <c r="K274" s="42" t="inlineStr">
        <is>
          <t>Prospecting</t>
        </is>
      </c>
      <c r="L274" s="42" t="inlineStr">
        <is>
          <t>JAVAN_STA_Offer_10Dep_v1</t>
        </is>
      </c>
      <c r="M274" s="42" t="inlineStr">
        <is>
          <t>Static 1:1</t>
        </is>
      </c>
      <c r="N274" s="42" t="inlineStr">
        <is>
          <t>R4 299pm. 10% deposit.</t>
        </is>
      </c>
      <c r="O274" s="42" t="inlineStr">
        <is>
          <t>Auction - Lowest Cost</t>
        </is>
      </c>
      <c r="P274" s="42" t="inlineStr">
        <is>
          <t>Offsite Conversions</t>
        </is>
      </c>
      <c r="Q274" s="42" t="inlineStr">
        <is>
          <t>https://www.lepas-sa.co.za/offers/javan</t>
        </is>
      </c>
      <c r="R274" s="115" t="n">
        <v>195.56</v>
      </c>
      <c r="S274" s="116" t="n">
        <v>3029</v>
      </c>
      <c r="T274" s="116" t="n">
        <v>2264</v>
      </c>
      <c r="U274" s="117">
        <f>IFERROR(S274/T274,"")</f>
        <v/>
      </c>
      <c r="V274" s="116" t="n">
        <v>84</v>
      </c>
      <c r="W274" s="116" t="n">
        <v>60</v>
      </c>
      <c r="X274" s="118">
        <f>IFERROR(W274/S274,"")</f>
        <v/>
      </c>
      <c r="Y274" s="115">
        <f>IFERROR(R274/W274,"")</f>
        <v/>
      </c>
      <c r="Z274" s="115">
        <f>IFERROR(R274/S274*1000,"")</f>
        <v/>
      </c>
      <c r="AA274" s="116" t="n">
        <v>51</v>
      </c>
      <c r="AB274" s="47">
        <f>IFERROR(AA274/W274,"")</f>
        <v/>
      </c>
      <c r="AC274" s="116" t="n">
        <v>0</v>
      </c>
      <c r="AD274" s="116" t="n">
        <v>0</v>
      </c>
      <c r="AE274" s="116" t="n">
        <v>0</v>
      </c>
      <c r="AF274" s="116" t="n">
        <v>0</v>
      </c>
      <c r="AG274" s="116" t="n">
        <v>0</v>
      </c>
      <c r="AH274" s="116" t="n">
        <v>0</v>
      </c>
      <c r="AI274" s="47">
        <f>IFERROR(AC274/S274,"")</f>
        <v/>
      </c>
      <c r="AJ274" s="47">
        <f>IFERROR(AH274/S274,"")</f>
        <v/>
      </c>
      <c r="AK274" s="116" t="n">
        <v>85</v>
      </c>
      <c r="AL274" s="116" t="n">
        <v>1</v>
      </c>
      <c r="AM274" s="118">
        <f>IFERROR(AL274/AA274,"")</f>
        <v/>
      </c>
      <c r="AN274" s="119">
        <f>IFERROR(R274/AL274,"")</f>
        <v/>
      </c>
      <c r="AO274" s="116" t="n">
        <v>1</v>
      </c>
      <c r="AP274" s="47">
        <f>IFERROR(AO274/AL274,"")</f>
        <v/>
      </c>
      <c r="AQ274" s="119">
        <f>IFERROR(R274/AO274,"")</f>
        <v/>
      </c>
      <c r="AR274" s="116" t="n">
        <v>1</v>
      </c>
      <c r="AS274" s="116" t="n">
        <v>1</v>
      </c>
      <c r="AT274" s="116">
        <f>AL274+AR274</f>
        <v/>
      </c>
      <c r="AU274" s="119">
        <f>IFERROR(AO274*Assumptions!$C$26*Assumptions!$C$27*INDEX(Assumptions!$C$18:$C$21,MATCH(H274,Assumptions!$B$18:$B$21,0)),0)</f>
        <v/>
      </c>
    </row>
    <row r="275">
      <c r="A275" s="114" t="n">
        <v>46237</v>
      </c>
      <c r="B275" s="42" t="inlineStr">
        <is>
          <t>Wk 32</t>
        </is>
      </c>
      <c r="C275" s="42" t="inlineStr">
        <is>
          <t>Mon</t>
        </is>
      </c>
      <c r="D275" s="42" t="inlineStr">
        <is>
          <t>Meta (FB/IG)</t>
        </is>
      </c>
      <c r="E275" s="42" t="inlineStr">
        <is>
          <t>Facebook + Instagram</t>
        </is>
      </c>
      <c r="F275" s="42" t="inlineStr">
        <is>
          <t>LEP_ZA_AUG26_META_TD_JAVAN_CONV</t>
        </is>
      </c>
      <c r="G275" s="42" t="inlineStr">
        <is>
          <t>Leads - Website Conversions</t>
        </is>
      </c>
      <c r="H275" s="42" t="inlineStr">
        <is>
          <t>JAVAN</t>
        </is>
      </c>
      <c r="I275" s="42" t="inlineStr">
        <is>
          <t>10% Deposit</t>
        </is>
      </c>
      <c r="J275" s="42" t="inlineStr">
        <is>
          <t>MET_JAVAN_BROAD_28-55_ZA</t>
        </is>
      </c>
      <c r="K275" s="42" t="inlineStr">
        <is>
          <t>Prospecting</t>
        </is>
      </c>
      <c r="L275" s="42" t="inlineStr">
        <is>
          <t>JAVAN_STA_Offer_10Dep_v1</t>
        </is>
      </c>
      <c r="M275" s="42" t="inlineStr">
        <is>
          <t>Static 1:1</t>
        </is>
      </c>
      <c r="N275" s="42" t="inlineStr">
        <is>
          <t>R4 299pm. 10% deposit.</t>
        </is>
      </c>
      <c r="O275" s="42" t="inlineStr">
        <is>
          <t>Auction - Lowest Cost</t>
        </is>
      </c>
      <c r="P275" s="42" t="inlineStr">
        <is>
          <t>Offsite Conversions</t>
        </is>
      </c>
      <c r="Q275" s="42" t="inlineStr">
        <is>
          <t>https://www.lepas-sa.co.za/offers/javan</t>
        </is>
      </c>
      <c r="R275" s="115" t="n">
        <v>189.31</v>
      </c>
      <c r="S275" s="116" t="n">
        <v>2238</v>
      </c>
      <c r="T275" s="116" t="n">
        <v>1453</v>
      </c>
      <c r="U275" s="117">
        <f>IFERROR(S275/T275,"")</f>
        <v/>
      </c>
      <c r="V275" s="116" t="n">
        <v>43</v>
      </c>
      <c r="W275" s="116" t="n">
        <v>35</v>
      </c>
      <c r="X275" s="118">
        <f>IFERROR(W275/S275,"")</f>
        <v/>
      </c>
      <c r="Y275" s="115">
        <f>IFERROR(R275/W275,"")</f>
        <v/>
      </c>
      <c r="Z275" s="115">
        <f>IFERROR(R275/S275*1000,"")</f>
        <v/>
      </c>
      <c r="AA275" s="116" t="n">
        <v>30</v>
      </c>
      <c r="AB275" s="47">
        <f>IFERROR(AA275/W275,"")</f>
        <v/>
      </c>
      <c r="AC275" s="116" t="n">
        <v>0</v>
      </c>
      <c r="AD275" s="116" t="n">
        <v>0</v>
      </c>
      <c r="AE275" s="116" t="n">
        <v>0</v>
      </c>
      <c r="AF275" s="116" t="n">
        <v>0</v>
      </c>
      <c r="AG275" s="116" t="n">
        <v>0</v>
      </c>
      <c r="AH275" s="116" t="n">
        <v>0</v>
      </c>
      <c r="AI275" s="47">
        <f>IFERROR(AC275/S275,"")</f>
        <v/>
      </c>
      <c r="AJ275" s="47">
        <f>IFERROR(AH275/S275,"")</f>
        <v/>
      </c>
      <c r="AK275" s="116" t="n">
        <v>71</v>
      </c>
      <c r="AL275" s="116" t="n">
        <v>1</v>
      </c>
      <c r="AM275" s="118">
        <f>IFERROR(AL275/AA275,"")</f>
        <v/>
      </c>
      <c r="AN275" s="119">
        <f>IFERROR(R275/AL275,"")</f>
        <v/>
      </c>
      <c r="AO275" s="116" t="n">
        <v>0</v>
      </c>
      <c r="AP275" s="47">
        <f>IFERROR(AO275/AL275,"")</f>
        <v/>
      </c>
      <c r="AQ275" s="119">
        <f>IFERROR(R275/AO275,"")</f>
        <v/>
      </c>
      <c r="AR275" s="116" t="n">
        <v>0</v>
      </c>
      <c r="AS275" s="116" t="n">
        <v>0</v>
      </c>
      <c r="AT275" s="116">
        <f>AL275+AR275</f>
        <v/>
      </c>
      <c r="AU275" s="119">
        <f>IFERROR(AO275*Assumptions!$C$26*Assumptions!$C$27*INDEX(Assumptions!$C$18:$C$21,MATCH(H275,Assumptions!$B$18:$B$21,0)),0)</f>
        <v/>
      </c>
    </row>
    <row r="276">
      <c r="A276" s="114" t="n">
        <v>46238</v>
      </c>
      <c r="B276" s="42" t="inlineStr">
        <is>
          <t>Wk 32</t>
        </is>
      </c>
      <c r="C276" s="42" t="inlineStr">
        <is>
          <t>Tue</t>
        </is>
      </c>
      <c r="D276" s="42" t="inlineStr">
        <is>
          <t>Meta (FB/IG)</t>
        </is>
      </c>
      <c r="E276" s="42" t="inlineStr">
        <is>
          <t>Facebook + Instagram</t>
        </is>
      </c>
      <c r="F276" s="42" t="inlineStr">
        <is>
          <t>LEP_ZA_AUG26_META_TD_JAVAN_CONV</t>
        </is>
      </c>
      <c r="G276" s="42" t="inlineStr">
        <is>
          <t>Leads - Website Conversions</t>
        </is>
      </c>
      <c r="H276" s="42" t="inlineStr">
        <is>
          <t>JAVAN</t>
        </is>
      </c>
      <c r="I276" s="42" t="inlineStr">
        <is>
          <t>10% Deposit</t>
        </is>
      </c>
      <c r="J276" s="42" t="inlineStr">
        <is>
          <t>MET_JAVAN_BROAD_28-55_ZA</t>
        </is>
      </c>
      <c r="K276" s="42" t="inlineStr">
        <is>
          <t>Prospecting</t>
        </is>
      </c>
      <c r="L276" s="42" t="inlineStr">
        <is>
          <t>JAVAN_STA_Offer_10Dep_v1</t>
        </is>
      </c>
      <c r="M276" s="42" t="inlineStr">
        <is>
          <t>Static 1:1</t>
        </is>
      </c>
      <c r="N276" s="42" t="inlineStr">
        <is>
          <t>R4 299pm. 10% deposit.</t>
        </is>
      </c>
      <c r="O276" s="42" t="inlineStr">
        <is>
          <t>Auction - Lowest Cost</t>
        </is>
      </c>
      <c r="P276" s="42" t="inlineStr">
        <is>
          <t>Offsite Conversions</t>
        </is>
      </c>
      <c r="Q276" s="42" t="inlineStr">
        <is>
          <t>https://www.lepas-sa.co.za/offers/javan</t>
        </is>
      </c>
      <c r="R276" s="115" t="n">
        <v>214.21</v>
      </c>
      <c r="S276" s="116" t="n">
        <v>3239</v>
      </c>
      <c r="T276" s="116" t="n">
        <v>2465</v>
      </c>
      <c r="U276" s="117">
        <f>IFERROR(S276/T276,"")</f>
        <v/>
      </c>
      <c r="V276" s="116" t="n">
        <v>68</v>
      </c>
      <c r="W276" s="116" t="n">
        <v>55</v>
      </c>
      <c r="X276" s="118">
        <f>IFERROR(W276/S276,"")</f>
        <v/>
      </c>
      <c r="Y276" s="115">
        <f>IFERROR(R276/W276,"")</f>
        <v/>
      </c>
      <c r="Z276" s="115">
        <f>IFERROR(R276/S276*1000,"")</f>
        <v/>
      </c>
      <c r="AA276" s="116" t="n">
        <v>47</v>
      </c>
      <c r="AB276" s="47">
        <f>IFERROR(AA276/W276,"")</f>
        <v/>
      </c>
      <c r="AC276" s="116" t="n">
        <v>0</v>
      </c>
      <c r="AD276" s="116" t="n">
        <v>0</v>
      </c>
      <c r="AE276" s="116" t="n">
        <v>0</v>
      </c>
      <c r="AF276" s="116" t="n">
        <v>0</v>
      </c>
      <c r="AG276" s="116" t="n">
        <v>0</v>
      </c>
      <c r="AH276" s="116" t="n">
        <v>0</v>
      </c>
      <c r="AI276" s="47">
        <f>IFERROR(AC276/S276,"")</f>
        <v/>
      </c>
      <c r="AJ276" s="47">
        <f>IFERROR(AH276/S276,"")</f>
        <v/>
      </c>
      <c r="AK276" s="116" t="n">
        <v>99</v>
      </c>
      <c r="AL276" s="116" t="n">
        <v>1</v>
      </c>
      <c r="AM276" s="118">
        <f>IFERROR(AL276/AA276,"")</f>
        <v/>
      </c>
      <c r="AN276" s="119">
        <f>IFERROR(R276/AL276,"")</f>
        <v/>
      </c>
      <c r="AO276" s="116" t="n">
        <v>1</v>
      </c>
      <c r="AP276" s="47">
        <f>IFERROR(AO276/AL276,"")</f>
        <v/>
      </c>
      <c r="AQ276" s="119">
        <f>IFERROR(R276/AO276,"")</f>
        <v/>
      </c>
      <c r="AR276" s="116" t="n">
        <v>0</v>
      </c>
      <c r="AS276" s="116" t="n">
        <v>0</v>
      </c>
      <c r="AT276" s="116">
        <f>AL276+AR276</f>
        <v/>
      </c>
      <c r="AU276" s="119">
        <f>IFERROR(AO276*Assumptions!$C$26*Assumptions!$C$27*INDEX(Assumptions!$C$18:$C$21,MATCH(H276,Assumptions!$B$18:$B$21,0)),0)</f>
        <v/>
      </c>
    </row>
    <row r="277">
      <c r="A277" s="114" t="n">
        <v>46239</v>
      </c>
      <c r="B277" s="42" t="inlineStr">
        <is>
          <t>Wk 32</t>
        </is>
      </c>
      <c r="C277" s="42" t="inlineStr">
        <is>
          <t>Wed</t>
        </is>
      </c>
      <c r="D277" s="42" t="inlineStr">
        <is>
          <t>Meta (FB/IG)</t>
        </is>
      </c>
      <c r="E277" s="42" t="inlineStr">
        <is>
          <t>Facebook + Instagram</t>
        </is>
      </c>
      <c r="F277" s="42" t="inlineStr">
        <is>
          <t>LEP_ZA_AUG26_META_TD_JAVAN_CONV</t>
        </is>
      </c>
      <c r="G277" s="42" t="inlineStr">
        <is>
          <t>Leads - Website Conversions</t>
        </is>
      </c>
      <c r="H277" s="42" t="inlineStr">
        <is>
          <t>JAVAN</t>
        </is>
      </c>
      <c r="I277" s="42" t="inlineStr">
        <is>
          <t>10% Deposit</t>
        </is>
      </c>
      <c r="J277" s="42" t="inlineStr">
        <is>
          <t>MET_JAVAN_BROAD_28-55_ZA</t>
        </is>
      </c>
      <c r="K277" s="42" t="inlineStr">
        <is>
          <t>Prospecting</t>
        </is>
      </c>
      <c r="L277" s="42" t="inlineStr">
        <is>
          <t>JAVAN_STA_Offer_10Dep_v1</t>
        </is>
      </c>
      <c r="M277" s="42" t="inlineStr">
        <is>
          <t>Static 1:1</t>
        </is>
      </c>
      <c r="N277" s="42" t="inlineStr">
        <is>
          <t>R4 299pm. 10% deposit.</t>
        </is>
      </c>
      <c r="O277" s="42" t="inlineStr">
        <is>
          <t>Auction - Lowest Cost</t>
        </is>
      </c>
      <c r="P277" s="42" t="inlineStr">
        <is>
          <t>Offsite Conversions</t>
        </is>
      </c>
      <c r="Q277" s="42" t="inlineStr">
        <is>
          <t>https://www.lepas-sa.co.za/offers/javan</t>
        </is>
      </c>
      <c r="R277" s="115" t="n">
        <v>196.88</v>
      </c>
      <c r="S277" s="116" t="n">
        <v>2619</v>
      </c>
      <c r="T277" s="116" t="n">
        <v>1652</v>
      </c>
      <c r="U277" s="117">
        <f>IFERROR(S277/T277,"")</f>
        <v/>
      </c>
      <c r="V277" s="116" t="n">
        <v>64</v>
      </c>
      <c r="W277" s="116" t="n">
        <v>46</v>
      </c>
      <c r="X277" s="118">
        <f>IFERROR(W277/S277,"")</f>
        <v/>
      </c>
      <c r="Y277" s="115">
        <f>IFERROR(R277/W277,"")</f>
        <v/>
      </c>
      <c r="Z277" s="115">
        <f>IFERROR(R277/S277*1000,"")</f>
        <v/>
      </c>
      <c r="AA277" s="116" t="n">
        <v>37</v>
      </c>
      <c r="AB277" s="47">
        <f>IFERROR(AA277/W277,"")</f>
        <v/>
      </c>
      <c r="AC277" s="116" t="n">
        <v>0</v>
      </c>
      <c r="AD277" s="116" t="n">
        <v>0</v>
      </c>
      <c r="AE277" s="116" t="n">
        <v>0</v>
      </c>
      <c r="AF277" s="116" t="n">
        <v>0</v>
      </c>
      <c r="AG277" s="116" t="n">
        <v>0</v>
      </c>
      <c r="AH277" s="116" t="n">
        <v>0</v>
      </c>
      <c r="AI277" s="47">
        <f>IFERROR(AC277/S277,"")</f>
        <v/>
      </c>
      <c r="AJ277" s="47">
        <f>IFERROR(AH277/S277,"")</f>
        <v/>
      </c>
      <c r="AK277" s="116" t="n">
        <v>81</v>
      </c>
      <c r="AL277" s="116" t="n">
        <v>1</v>
      </c>
      <c r="AM277" s="118">
        <f>IFERROR(AL277/AA277,"")</f>
        <v/>
      </c>
      <c r="AN277" s="119">
        <f>IFERROR(R277/AL277,"")</f>
        <v/>
      </c>
      <c r="AO277" s="116" t="n">
        <v>1</v>
      </c>
      <c r="AP277" s="47">
        <f>IFERROR(AO277/AL277,"")</f>
        <v/>
      </c>
      <c r="AQ277" s="119">
        <f>IFERROR(R277/AO277,"")</f>
        <v/>
      </c>
      <c r="AR277" s="116" t="n">
        <v>0</v>
      </c>
      <c r="AS277" s="116" t="n">
        <v>0</v>
      </c>
      <c r="AT277" s="116">
        <f>AL277+AR277</f>
        <v/>
      </c>
      <c r="AU277" s="119">
        <f>IFERROR(AO277*Assumptions!$C$26*Assumptions!$C$27*INDEX(Assumptions!$C$18:$C$21,MATCH(H277,Assumptions!$B$18:$B$21,0)),0)</f>
        <v/>
      </c>
    </row>
    <row r="278">
      <c r="A278" s="114" t="n">
        <v>46240</v>
      </c>
      <c r="B278" s="42" t="inlineStr">
        <is>
          <t>Wk 32</t>
        </is>
      </c>
      <c r="C278" s="42" t="inlineStr">
        <is>
          <t>Thu</t>
        </is>
      </c>
      <c r="D278" s="42" t="inlineStr">
        <is>
          <t>Meta (FB/IG)</t>
        </is>
      </c>
      <c r="E278" s="42" t="inlineStr">
        <is>
          <t>Facebook + Instagram</t>
        </is>
      </c>
      <c r="F278" s="42" t="inlineStr">
        <is>
          <t>LEP_ZA_AUG26_META_TD_JAVAN_CONV</t>
        </is>
      </c>
      <c r="G278" s="42" t="inlineStr">
        <is>
          <t>Leads - Website Conversions</t>
        </is>
      </c>
      <c r="H278" s="42" t="inlineStr">
        <is>
          <t>JAVAN</t>
        </is>
      </c>
      <c r="I278" s="42" t="inlineStr">
        <is>
          <t>10% Deposit</t>
        </is>
      </c>
      <c r="J278" s="42" t="inlineStr">
        <is>
          <t>MET_JAVAN_BROAD_28-55_ZA</t>
        </is>
      </c>
      <c r="K278" s="42" t="inlineStr">
        <is>
          <t>Prospecting</t>
        </is>
      </c>
      <c r="L278" s="42" t="inlineStr">
        <is>
          <t>JAVAN_STA_Offer_10Dep_v1</t>
        </is>
      </c>
      <c r="M278" s="42" t="inlineStr">
        <is>
          <t>Static 1:1</t>
        </is>
      </c>
      <c r="N278" s="42" t="inlineStr">
        <is>
          <t>R4 299pm. 10% deposit.</t>
        </is>
      </c>
      <c r="O278" s="42" t="inlineStr">
        <is>
          <t>Auction - Lowest Cost</t>
        </is>
      </c>
      <c r="P278" s="42" t="inlineStr">
        <is>
          <t>Offsite Conversions</t>
        </is>
      </c>
      <c r="Q278" s="42" t="inlineStr">
        <is>
          <t>https://www.lepas-sa.co.za/offers/javan</t>
        </is>
      </c>
      <c r="R278" s="115" t="n">
        <v>267.71</v>
      </c>
      <c r="S278" s="116" t="n">
        <v>5503</v>
      </c>
      <c r="T278" s="116" t="n">
        <v>3737</v>
      </c>
      <c r="U278" s="117">
        <f>IFERROR(S278/T278,"")</f>
        <v/>
      </c>
      <c r="V278" s="116" t="n">
        <v>134</v>
      </c>
      <c r="W278" s="116" t="n">
        <v>112</v>
      </c>
      <c r="X278" s="118">
        <f>IFERROR(W278/S278,"")</f>
        <v/>
      </c>
      <c r="Y278" s="115">
        <f>IFERROR(R278/W278,"")</f>
        <v/>
      </c>
      <c r="Z278" s="115">
        <f>IFERROR(R278/S278*1000,"")</f>
        <v/>
      </c>
      <c r="AA278" s="116" t="n">
        <v>100</v>
      </c>
      <c r="AB278" s="47">
        <f>IFERROR(AA278/W278,"")</f>
        <v/>
      </c>
      <c r="AC278" s="116" t="n">
        <v>0</v>
      </c>
      <c r="AD278" s="116" t="n">
        <v>0</v>
      </c>
      <c r="AE278" s="116" t="n">
        <v>0</v>
      </c>
      <c r="AF278" s="116" t="n">
        <v>0</v>
      </c>
      <c r="AG278" s="116" t="n">
        <v>0</v>
      </c>
      <c r="AH278" s="116" t="n">
        <v>0</v>
      </c>
      <c r="AI278" s="47">
        <f>IFERROR(AC278/S278,"")</f>
        <v/>
      </c>
      <c r="AJ278" s="47">
        <f>IFERROR(AH278/S278,"")</f>
        <v/>
      </c>
      <c r="AK278" s="116" t="n">
        <v>165</v>
      </c>
      <c r="AL278" s="116" t="n">
        <v>2</v>
      </c>
      <c r="AM278" s="118">
        <f>IFERROR(AL278/AA278,"")</f>
        <v/>
      </c>
      <c r="AN278" s="119">
        <f>IFERROR(R278/AL278,"")</f>
        <v/>
      </c>
      <c r="AO278" s="116" t="n">
        <v>1</v>
      </c>
      <c r="AP278" s="47">
        <f>IFERROR(AO278/AL278,"")</f>
        <v/>
      </c>
      <c r="AQ278" s="119">
        <f>IFERROR(R278/AO278,"")</f>
        <v/>
      </c>
      <c r="AR278" s="116" t="n">
        <v>1</v>
      </c>
      <c r="AS278" s="116" t="n">
        <v>1</v>
      </c>
      <c r="AT278" s="116">
        <f>AL278+AR278</f>
        <v/>
      </c>
      <c r="AU278" s="119">
        <f>IFERROR(AO278*Assumptions!$C$26*Assumptions!$C$27*INDEX(Assumptions!$C$18:$C$21,MATCH(H278,Assumptions!$B$18:$B$21,0)),0)</f>
        <v/>
      </c>
    </row>
    <row r="279">
      <c r="A279" s="114" t="n">
        <v>46241</v>
      </c>
      <c r="B279" s="42" t="inlineStr">
        <is>
          <t>Wk 32</t>
        </is>
      </c>
      <c r="C279" s="42" t="inlineStr">
        <is>
          <t>Fri</t>
        </is>
      </c>
      <c r="D279" s="42" t="inlineStr">
        <is>
          <t>Meta (FB/IG)</t>
        </is>
      </c>
      <c r="E279" s="42" t="inlineStr">
        <is>
          <t>Facebook + Instagram</t>
        </is>
      </c>
      <c r="F279" s="42" t="inlineStr">
        <is>
          <t>LEP_ZA_AUG26_META_TD_JAVAN_CONV</t>
        </is>
      </c>
      <c r="G279" s="42" t="inlineStr">
        <is>
          <t>Leads - Website Conversions</t>
        </is>
      </c>
      <c r="H279" s="42" t="inlineStr">
        <is>
          <t>JAVAN</t>
        </is>
      </c>
      <c r="I279" s="42" t="inlineStr">
        <is>
          <t>10% Deposit</t>
        </is>
      </c>
      <c r="J279" s="42" t="inlineStr">
        <is>
          <t>MET_JAVAN_BROAD_28-55_ZA</t>
        </is>
      </c>
      <c r="K279" s="42" t="inlineStr">
        <is>
          <t>Prospecting</t>
        </is>
      </c>
      <c r="L279" s="42" t="inlineStr">
        <is>
          <t>JAVAN_STA_Offer_10Dep_v1</t>
        </is>
      </c>
      <c r="M279" s="42" t="inlineStr">
        <is>
          <t>Static 1:1</t>
        </is>
      </c>
      <c r="N279" s="42" t="inlineStr">
        <is>
          <t>R4 299pm. 10% deposit.</t>
        </is>
      </c>
      <c r="O279" s="42" t="inlineStr">
        <is>
          <t>Auction - Lowest Cost</t>
        </is>
      </c>
      <c r="P279" s="42" t="inlineStr">
        <is>
          <t>Offsite Conversions</t>
        </is>
      </c>
      <c r="Q279" s="42" t="inlineStr">
        <is>
          <t>https://www.lepas-sa.co.za/offers/javan</t>
        </is>
      </c>
      <c r="R279" s="115" t="n">
        <v>278.58</v>
      </c>
      <c r="S279" s="116" t="n">
        <v>3473</v>
      </c>
      <c r="T279" s="116" t="n">
        <v>2814</v>
      </c>
      <c r="U279" s="117">
        <f>IFERROR(S279/T279,"")</f>
        <v/>
      </c>
      <c r="V279" s="116" t="n">
        <v>46</v>
      </c>
      <c r="W279" s="116" t="n">
        <v>37</v>
      </c>
      <c r="X279" s="118">
        <f>IFERROR(W279/S279,"")</f>
        <v/>
      </c>
      <c r="Y279" s="115">
        <f>IFERROR(R279/W279,"")</f>
        <v/>
      </c>
      <c r="Z279" s="115">
        <f>IFERROR(R279/S279*1000,"")</f>
        <v/>
      </c>
      <c r="AA279" s="116" t="n">
        <v>31</v>
      </c>
      <c r="AB279" s="47">
        <f>IFERROR(AA279/W279,"")</f>
        <v/>
      </c>
      <c r="AC279" s="116" t="n">
        <v>0</v>
      </c>
      <c r="AD279" s="116" t="n">
        <v>0</v>
      </c>
      <c r="AE279" s="116" t="n">
        <v>0</v>
      </c>
      <c r="AF279" s="116" t="n">
        <v>0</v>
      </c>
      <c r="AG279" s="116" t="n">
        <v>0</v>
      </c>
      <c r="AH279" s="116" t="n">
        <v>0</v>
      </c>
      <c r="AI279" s="47">
        <f>IFERROR(AC279/S279,"")</f>
        <v/>
      </c>
      <c r="AJ279" s="47">
        <f>IFERROR(AH279/S279,"")</f>
        <v/>
      </c>
      <c r="AK279" s="116" t="n">
        <v>53</v>
      </c>
      <c r="AL279" s="116" t="n">
        <v>1</v>
      </c>
      <c r="AM279" s="118">
        <f>IFERROR(AL279/AA279,"")</f>
        <v/>
      </c>
      <c r="AN279" s="119">
        <f>IFERROR(R279/AL279,"")</f>
        <v/>
      </c>
      <c r="AO279" s="116" t="n">
        <v>1</v>
      </c>
      <c r="AP279" s="47">
        <f>IFERROR(AO279/AL279,"")</f>
        <v/>
      </c>
      <c r="AQ279" s="119">
        <f>IFERROR(R279/AO279,"")</f>
        <v/>
      </c>
      <c r="AR279" s="116" t="n">
        <v>0</v>
      </c>
      <c r="AS279" s="116" t="n">
        <v>0</v>
      </c>
      <c r="AT279" s="116">
        <f>AL279+AR279</f>
        <v/>
      </c>
      <c r="AU279" s="119">
        <f>IFERROR(AO279*Assumptions!$C$26*Assumptions!$C$27*INDEX(Assumptions!$C$18:$C$21,MATCH(H279,Assumptions!$B$18:$B$21,0)),0)</f>
        <v/>
      </c>
    </row>
    <row r="280">
      <c r="A280" s="114" t="n">
        <v>46242</v>
      </c>
      <c r="B280" s="42" t="inlineStr">
        <is>
          <t>Wk 32</t>
        </is>
      </c>
      <c r="C280" s="42" t="inlineStr">
        <is>
          <t>Sat</t>
        </is>
      </c>
      <c r="D280" s="42" t="inlineStr">
        <is>
          <t>Meta (FB/IG)</t>
        </is>
      </c>
      <c r="E280" s="42" t="inlineStr">
        <is>
          <t>Facebook + Instagram</t>
        </is>
      </c>
      <c r="F280" s="42" t="inlineStr">
        <is>
          <t>LEP_ZA_AUG26_META_TD_JAVAN_CONV</t>
        </is>
      </c>
      <c r="G280" s="42" t="inlineStr">
        <is>
          <t>Leads - Website Conversions</t>
        </is>
      </c>
      <c r="H280" s="42" t="inlineStr">
        <is>
          <t>JAVAN</t>
        </is>
      </c>
      <c r="I280" s="42" t="inlineStr">
        <is>
          <t>10% Deposit</t>
        </is>
      </c>
      <c r="J280" s="42" t="inlineStr">
        <is>
          <t>MET_JAVAN_BROAD_28-55_ZA</t>
        </is>
      </c>
      <c r="K280" s="42" t="inlineStr">
        <is>
          <t>Prospecting</t>
        </is>
      </c>
      <c r="L280" s="42" t="inlineStr">
        <is>
          <t>JAVAN_STA_Offer_10Dep_v1</t>
        </is>
      </c>
      <c r="M280" s="42" t="inlineStr">
        <is>
          <t>Static 1:1</t>
        </is>
      </c>
      <c r="N280" s="42" t="inlineStr">
        <is>
          <t>R4 299pm. 10% deposit.</t>
        </is>
      </c>
      <c r="O280" s="42" t="inlineStr">
        <is>
          <t>Auction - Lowest Cost</t>
        </is>
      </c>
      <c r="P280" s="42" t="inlineStr">
        <is>
          <t>Offsite Conversions</t>
        </is>
      </c>
      <c r="Q280" s="42" t="inlineStr">
        <is>
          <t>https://www.lepas-sa.co.za/offers/javan</t>
        </is>
      </c>
      <c r="R280" s="115" t="n">
        <v>275.36</v>
      </c>
      <c r="S280" s="116" t="n">
        <v>3429</v>
      </c>
      <c r="T280" s="116" t="n">
        <v>2181</v>
      </c>
      <c r="U280" s="117">
        <f>IFERROR(S280/T280,"")</f>
        <v/>
      </c>
      <c r="V280" s="116" t="n">
        <v>57</v>
      </c>
      <c r="W280" s="116" t="n">
        <v>45</v>
      </c>
      <c r="X280" s="118">
        <f>IFERROR(W280/S280,"")</f>
        <v/>
      </c>
      <c r="Y280" s="115">
        <f>IFERROR(R280/W280,"")</f>
        <v/>
      </c>
      <c r="Z280" s="115">
        <f>IFERROR(R280/S280*1000,"")</f>
        <v/>
      </c>
      <c r="AA280" s="116" t="n">
        <v>36</v>
      </c>
      <c r="AB280" s="47">
        <f>IFERROR(AA280/W280,"")</f>
        <v/>
      </c>
      <c r="AC280" s="116" t="n">
        <v>0</v>
      </c>
      <c r="AD280" s="116" t="n">
        <v>0</v>
      </c>
      <c r="AE280" s="116" t="n">
        <v>0</v>
      </c>
      <c r="AF280" s="116" t="n">
        <v>0</v>
      </c>
      <c r="AG280" s="116" t="n">
        <v>0</v>
      </c>
      <c r="AH280" s="116" t="n">
        <v>0</v>
      </c>
      <c r="AI280" s="47">
        <f>IFERROR(AC280/S280,"")</f>
        <v/>
      </c>
      <c r="AJ280" s="47">
        <f>IFERROR(AH280/S280,"")</f>
        <v/>
      </c>
      <c r="AK280" s="116" t="n">
        <v>108</v>
      </c>
      <c r="AL280" s="116" t="n">
        <v>1</v>
      </c>
      <c r="AM280" s="118">
        <f>IFERROR(AL280/AA280,"")</f>
        <v/>
      </c>
      <c r="AN280" s="119">
        <f>IFERROR(R280/AL280,"")</f>
        <v/>
      </c>
      <c r="AO280" s="116" t="n">
        <v>1</v>
      </c>
      <c r="AP280" s="47">
        <f>IFERROR(AO280/AL280,"")</f>
        <v/>
      </c>
      <c r="AQ280" s="119">
        <f>IFERROR(R280/AO280,"")</f>
        <v/>
      </c>
      <c r="AR280" s="116" t="n">
        <v>1</v>
      </c>
      <c r="AS280" s="116" t="n">
        <v>1</v>
      </c>
      <c r="AT280" s="116">
        <f>AL280+AR280</f>
        <v/>
      </c>
      <c r="AU280" s="119">
        <f>IFERROR(AO280*Assumptions!$C$26*Assumptions!$C$27*INDEX(Assumptions!$C$18:$C$21,MATCH(H280,Assumptions!$B$18:$B$21,0)),0)</f>
        <v/>
      </c>
    </row>
    <row r="281">
      <c r="A281" s="114" t="n">
        <v>46243</v>
      </c>
      <c r="B281" s="42" t="inlineStr">
        <is>
          <t>Wk 32</t>
        </is>
      </c>
      <c r="C281" s="42" t="inlineStr">
        <is>
          <t>Sun</t>
        </is>
      </c>
      <c r="D281" s="42" t="inlineStr">
        <is>
          <t>Meta (FB/IG)</t>
        </is>
      </c>
      <c r="E281" s="42" t="inlineStr">
        <is>
          <t>Facebook + Instagram</t>
        </is>
      </c>
      <c r="F281" s="42" t="inlineStr">
        <is>
          <t>LEP_ZA_AUG26_META_TD_JAVAN_CONV</t>
        </is>
      </c>
      <c r="G281" s="42" t="inlineStr">
        <is>
          <t>Leads - Website Conversions</t>
        </is>
      </c>
      <c r="H281" s="42" t="inlineStr">
        <is>
          <t>JAVAN</t>
        </is>
      </c>
      <c r="I281" s="42" t="inlineStr">
        <is>
          <t>10% Deposit</t>
        </is>
      </c>
      <c r="J281" s="42" t="inlineStr">
        <is>
          <t>MET_JAVAN_BROAD_28-55_ZA</t>
        </is>
      </c>
      <c r="K281" s="42" t="inlineStr">
        <is>
          <t>Prospecting</t>
        </is>
      </c>
      <c r="L281" s="42" t="inlineStr">
        <is>
          <t>JAVAN_STA_Offer_10Dep_v1</t>
        </is>
      </c>
      <c r="M281" s="42" t="inlineStr">
        <is>
          <t>Static 1:1</t>
        </is>
      </c>
      <c r="N281" s="42" t="inlineStr">
        <is>
          <t>R4 299pm. 10% deposit.</t>
        </is>
      </c>
      <c r="O281" s="42" t="inlineStr">
        <is>
          <t>Auction - Lowest Cost</t>
        </is>
      </c>
      <c r="P281" s="42" t="inlineStr">
        <is>
          <t>Offsite Conversions</t>
        </is>
      </c>
      <c r="Q281" s="42" t="inlineStr">
        <is>
          <t>https://www.lepas-sa.co.za/offers/javan</t>
        </is>
      </c>
      <c r="R281" s="115" t="n">
        <v>185.39</v>
      </c>
      <c r="S281" s="116" t="n">
        <v>2936</v>
      </c>
      <c r="T281" s="116" t="n">
        <v>1753</v>
      </c>
      <c r="U281" s="117">
        <f>IFERROR(S281/T281,"")</f>
        <v/>
      </c>
      <c r="V281" s="116" t="n">
        <v>44</v>
      </c>
      <c r="W281" s="116" t="n">
        <v>35</v>
      </c>
      <c r="X281" s="118">
        <f>IFERROR(W281/S281,"")</f>
        <v/>
      </c>
      <c r="Y281" s="115">
        <f>IFERROR(R281/W281,"")</f>
        <v/>
      </c>
      <c r="Z281" s="115">
        <f>IFERROR(R281/S281*1000,"")</f>
        <v/>
      </c>
      <c r="AA281" s="116" t="n">
        <v>31</v>
      </c>
      <c r="AB281" s="47">
        <f>IFERROR(AA281/W281,"")</f>
        <v/>
      </c>
      <c r="AC281" s="116" t="n">
        <v>0</v>
      </c>
      <c r="AD281" s="116" t="n">
        <v>0</v>
      </c>
      <c r="AE281" s="116" t="n">
        <v>0</v>
      </c>
      <c r="AF281" s="116" t="n">
        <v>0</v>
      </c>
      <c r="AG281" s="116" t="n">
        <v>0</v>
      </c>
      <c r="AH281" s="116" t="n">
        <v>0</v>
      </c>
      <c r="AI281" s="47">
        <f>IFERROR(AC281/S281,"")</f>
        <v/>
      </c>
      <c r="AJ281" s="47">
        <f>IFERROR(AH281/S281,"")</f>
        <v/>
      </c>
      <c r="AK281" s="116" t="n">
        <v>90</v>
      </c>
      <c r="AL281" s="116" t="n">
        <v>0</v>
      </c>
      <c r="AM281" s="118">
        <f>IFERROR(AL281/AA281,"")</f>
        <v/>
      </c>
      <c r="AN281" s="119">
        <f>IFERROR(R281/AL281,"")</f>
        <v/>
      </c>
      <c r="AO281" s="116" t="n">
        <v>0</v>
      </c>
      <c r="AP281" s="47">
        <f>IFERROR(AO281/AL281,"")</f>
        <v/>
      </c>
      <c r="AQ281" s="119">
        <f>IFERROR(R281/AO281,"")</f>
        <v/>
      </c>
      <c r="AR281" s="116" t="n">
        <v>0</v>
      </c>
      <c r="AS281" s="116" t="n">
        <v>0</v>
      </c>
      <c r="AT281" s="116">
        <f>AL281+AR281</f>
        <v/>
      </c>
      <c r="AU281" s="119">
        <f>IFERROR(AO281*Assumptions!$C$26*Assumptions!$C$27*INDEX(Assumptions!$C$18:$C$21,MATCH(H281,Assumptions!$B$18:$B$21,0)),0)</f>
        <v/>
      </c>
    </row>
    <row r="282">
      <c r="A282" s="114" t="n">
        <v>46244</v>
      </c>
      <c r="B282" s="42" t="inlineStr">
        <is>
          <t>Wk 33</t>
        </is>
      </c>
      <c r="C282" s="42" t="inlineStr">
        <is>
          <t>Mon</t>
        </is>
      </c>
      <c r="D282" s="42" t="inlineStr">
        <is>
          <t>Meta (FB/IG)</t>
        </is>
      </c>
      <c r="E282" s="42" t="inlineStr">
        <is>
          <t>Facebook + Instagram</t>
        </is>
      </c>
      <c r="F282" s="42" t="inlineStr">
        <is>
          <t>LEP_ZA_AUG26_META_TD_JAVAN_CONV</t>
        </is>
      </c>
      <c r="G282" s="42" t="inlineStr">
        <is>
          <t>Leads - Website Conversions</t>
        </is>
      </c>
      <c r="H282" s="42" t="inlineStr">
        <is>
          <t>JAVAN</t>
        </is>
      </c>
      <c r="I282" s="42" t="inlineStr">
        <is>
          <t>10% Deposit</t>
        </is>
      </c>
      <c r="J282" s="42" t="inlineStr">
        <is>
          <t>MET_JAVAN_BROAD_28-55_ZA</t>
        </is>
      </c>
      <c r="K282" s="42" t="inlineStr">
        <is>
          <t>Prospecting</t>
        </is>
      </c>
      <c r="L282" s="42" t="inlineStr">
        <is>
          <t>JAVAN_STA_Offer_10Dep_v1</t>
        </is>
      </c>
      <c r="M282" s="42" t="inlineStr">
        <is>
          <t>Static 1:1</t>
        </is>
      </c>
      <c r="N282" s="42" t="inlineStr">
        <is>
          <t>R4 299pm. 10% deposit.</t>
        </is>
      </c>
      <c r="O282" s="42" t="inlineStr">
        <is>
          <t>Auction - Lowest Cost</t>
        </is>
      </c>
      <c r="P282" s="42" t="inlineStr">
        <is>
          <t>Offsite Conversions</t>
        </is>
      </c>
      <c r="Q282" s="42" t="inlineStr">
        <is>
          <t>https://www.lepas-sa.co.za/offers/javan</t>
        </is>
      </c>
      <c r="R282" s="115" t="n">
        <v>232.88</v>
      </c>
      <c r="S282" s="116" t="n">
        <v>2817</v>
      </c>
      <c r="T282" s="116" t="n">
        <v>1771</v>
      </c>
      <c r="U282" s="117">
        <f>IFERROR(S282/T282,"")</f>
        <v/>
      </c>
      <c r="V282" s="116" t="n">
        <v>52</v>
      </c>
      <c r="W282" s="116" t="n">
        <v>38</v>
      </c>
      <c r="X282" s="118">
        <f>IFERROR(W282/S282,"")</f>
        <v/>
      </c>
      <c r="Y282" s="115">
        <f>IFERROR(R282/W282,"")</f>
        <v/>
      </c>
      <c r="Z282" s="115">
        <f>IFERROR(R282/S282*1000,"")</f>
        <v/>
      </c>
      <c r="AA282" s="116" t="n">
        <v>33</v>
      </c>
      <c r="AB282" s="47">
        <f>IFERROR(AA282/W282,"")</f>
        <v/>
      </c>
      <c r="AC282" s="116" t="n">
        <v>0</v>
      </c>
      <c r="AD282" s="116" t="n">
        <v>0</v>
      </c>
      <c r="AE282" s="116" t="n">
        <v>0</v>
      </c>
      <c r="AF282" s="116" t="n">
        <v>0</v>
      </c>
      <c r="AG282" s="116" t="n">
        <v>0</v>
      </c>
      <c r="AH282" s="116" t="n">
        <v>0</v>
      </c>
      <c r="AI282" s="47">
        <f>IFERROR(AC282/S282,"")</f>
        <v/>
      </c>
      <c r="AJ282" s="47">
        <f>IFERROR(AH282/S282,"")</f>
        <v/>
      </c>
      <c r="AK282" s="116" t="n">
        <v>61</v>
      </c>
      <c r="AL282" s="116" t="n">
        <v>1</v>
      </c>
      <c r="AM282" s="118">
        <f>IFERROR(AL282/AA282,"")</f>
        <v/>
      </c>
      <c r="AN282" s="119">
        <f>IFERROR(R282/AL282,"")</f>
        <v/>
      </c>
      <c r="AO282" s="116" t="n">
        <v>0</v>
      </c>
      <c r="AP282" s="47">
        <f>IFERROR(AO282/AL282,"")</f>
        <v/>
      </c>
      <c r="AQ282" s="119">
        <f>IFERROR(R282/AO282,"")</f>
        <v/>
      </c>
      <c r="AR282" s="116" t="n">
        <v>0</v>
      </c>
      <c r="AS282" s="116" t="n">
        <v>1</v>
      </c>
      <c r="AT282" s="116">
        <f>AL282+AR282</f>
        <v/>
      </c>
      <c r="AU282" s="119">
        <f>IFERROR(AO282*Assumptions!$C$26*Assumptions!$C$27*INDEX(Assumptions!$C$18:$C$21,MATCH(H282,Assumptions!$B$18:$B$21,0)),0)</f>
        <v/>
      </c>
    </row>
    <row r="283">
      <c r="A283" s="114" t="n">
        <v>46245</v>
      </c>
      <c r="B283" s="42" t="inlineStr">
        <is>
          <t>Wk 33</t>
        </is>
      </c>
      <c r="C283" s="42" t="inlineStr">
        <is>
          <t>Tue</t>
        </is>
      </c>
      <c r="D283" s="42" t="inlineStr">
        <is>
          <t>Meta (FB/IG)</t>
        </is>
      </c>
      <c r="E283" s="42" t="inlineStr">
        <is>
          <t>Facebook + Instagram</t>
        </is>
      </c>
      <c r="F283" s="42" t="inlineStr">
        <is>
          <t>LEP_ZA_AUG26_META_TD_JAVAN_CONV</t>
        </is>
      </c>
      <c r="G283" s="42" t="inlineStr">
        <is>
          <t>Leads - Website Conversions</t>
        </is>
      </c>
      <c r="H283" s="42" t="inlineStr">
        <is>
          <t>JAVAN</t>
        </is>
      </c>
      <c r="I283" s="42" t="inlineStr">
        <is>
          <t>10% Deposit</t>
        </is>
      </c>
      <c r="J283" s="42" t="inlineStr">
        <is>
          <t>MET_JAVAN_BROAD_28-55_ZA</t>
        </is>
      </c>
      <c r="K283" s="42" t="inlineStr">
        <is>
          <t>Prospecting</t>
        </is>
      </c>
      <c r="L283" s="42" t="inlineStr">
        <is>
          <t>JAVAN_STA_Offer_10Dep_v1</t>
        </is>
      </c>
      <c r="M283" s="42" t="inlineStr">
        <is>
          <t>Static 1:1</t>
        </is>
      </c>
      <c r="N283" s="42" t="inlineStr">
        <is>
          <t>R4 299pm. 10% deposit.</t>
        </is>
      </c>
      <c r="O283" s="42" t="inlineStr">
        <is>
          <t>Auction - Lowest Cost</t>
        </is>
      </c>
      <c r="P283" s="42" t="inlineStr">
        <is>
          <t>Offsite Conversions</t>
        </is>
      </c>
      <c r="Q283" s="42" t="inlineStr">
        <is>
          <t>https://www.lepas-sa.co.za/offers/javan</t>
        </is>
      </c>
      <c r="R283" s="115" t="n">
        <v>195.52</v>
      </c>
      <c r="S283" s="116" t="n">
        <v>2926</v>
      </c>
      <c r="T283" s="116" t="n">
        <v>2082</v>
      </c>
      <c r="U283" s="117">
        <f>IFERROR(S283/T283,"")</f>
        <v/>
      </c>
      <c r="V283" s="116" t="n">
        <v>30</v>
      </c>
      <c r="W283" s="116" t="n">
        <v>24</v>
      </c>
      <c r="X283" s="118">
        <f>IFERROR(W283/S283,"")</f>
        <v/>
      </c>
      <c r="Y283" s="115">
        <f>IFERROR(R283/W283,"")</f>
        <v/>
      </c>
      <c r="Z283" s="115">
        <f>IFERROR(R283/S283*1000,"")</f>
        <v/>
      </c>
      <c r="AA283" s="116" t="n">
        <v>21</v>
      </c>
      <c r="AB283" s="47">
        <f>IFERROR(AA283/W283,"")</f>
        <v/>
      </c>
      <c r="AC283" s="116" t="n">
        <v>0</v>
      </c>
      <c r="AD283" s="116" t="n">
        <v>0</v>
      </c>
      <c r="AE283" s="116" t="n">
        <v>0</v>
      </c>
      <c r="AF283" s="116" t="n">
        <v>0</v>
      </c>
      <c r="AG283" s="116" t="n">
        <v>0</v>
      </c>
      <c r="AH283" s="116" t="n">
        <v>0</v>
      </c>
      <c r="AI283" s="47">
        <f>IFERROR(AC283/S283,"")</f>
        <v/>
      </c>
      <c r="AJ283" s="47">
        <f>IFERROR(AH283/S283,"")</f>
        <v/>
      </c>
      <c r="AK283" s="116" t="n">
        <v>91</v>
      </c>
      <c r="AL283" s="116" t="n">
        <v>1</v>
      </c>
      <c r="AM283" s="118">
        <f>IFERROR(AL283/AA283,"")</f>
        <v/>
      </c>
      <c r="AN283" s="119">
        <f>IFERROR(R283/AL283,"")</f>
        <v/>
      </c>
      <c r="AO283" s="116" t="n">
        <v>1</v>
      </c>
      <c r="AP283" s="47">
        <f>IFERROR(AO283/AL283,"")</f>
        <v/>
      </c>
      <c r="AQ283" s="119">
        <f>IFERROR(R283/AO283,"")</f>
        <v/>
      </c>
      <c r="AR283" s="116" t="n">
        <v>0</v>
      </c>
      <c r="AS283" s="116" t="n">
        <v>1</v>
      </c>
      <c r="AT283" s="116">
        <f>AL283+AR283</f>
        <v/>
      </c>
      <c r="AU283" s="119">
        <f>IFERROR(AO283*Assumptions!$C$26*Assumptions!$C$27*INDEX(Assumptions!$C$18:$C$21,MATCH(H283,Assumptions!$B$18:$B$21,0)),0)</f>
        <v/>
      </c>
    </row>
    <row r="284">
      <c r="A284" s="114" t="n">
        <v>46246</v>
      </c>
      <c r="B284" s="42" t="inlineStr">
        <is>
          <t>Wk 33</t>
        </is>
      </c>
      <c r="C284" s="42" t="inlineStr">
        <is>
          <t>Wed</t>
        </is>
      </c>
      <c r="D284" s="42" t="inlineStr">
        <is>
          <t>Meta (FB/IG)</t>
        </is>
      </c>
      <c r="E284" s="42" t="inlineStr">
        <is>
          <t>Facebook + Instagram</t>
        </is>
      </c>
      <c r="F284" s="42" t="inlineStr">
        <is>
          <t>LEP_ZA_AUG26_META_TD_JAVAN_CONV</t>
        </is>
      </c>
      <c r="G284" s="42" t="inlineStr">
        <is>
          <t>Leads - Website Conversions</t>
        </is>
      </c>
      <c r="H284" s="42" t="inlineStr">
        <is>
          <t>JAVAN</t>
        </is>
      </c>
      <c r="I284" s="42" t="inlineStr">
        <is>
          <t>10% Deposit</t>
        </is>
      </c>
      <c r="J284" s="42" t="inlineStr">
        <is>
          <t>MET_JAVAN_BROAD_28-55_ZA</t>
        </is>
      </c>
      <c r="K284" s="42" t="inlineStr">
        <is>
          <t>Prospecting</t>
        </is>
      </c>
      <c r="L284" s="42" t="inlineStr">
        <is>
          <t>JAVAN_STA_Offer_10Dep_v1</t>
        </is>
      </c>
      <c r="M284" s="42" t="inlineStr">
        <is>
          <t>Static 1:1</t>
        </is>
      </c>
      <c r="N284" s="42" t="inlineStr">
        <is>
          <t>R4 299pm. 10% deposit.</t>
        </is>
      </c>
      <c r="O284" s="42" t="inlineStr">
        <is>
          <t>Auction - Lowest Cost</t>
        </is>
      </c>
      <c r="P284" s="42" t="inlineStr">
        <is>
          <t>Offsite Conversions</t>
        </is>
      </c>
      <c r="Q284" s="42" t="inlineStr">
        <is>
          <t>https://www.lepas-sa.co.za/offers/javan</t>
        </is>
      </c>
      <c r="R284" s="115" t="n">
        <v>208.83</v>
      </c>
      <c r="S284" s="116" t="n">
        <v>2912</v>
      </c>
      <c r="T284" s="116" t="n">
        <v>2199</v>
      </c>
      <c r="U284" s="117">
        <f>IFERROR(S284/T284,"")</f>
        <v/>
      </c>
      <c r="V284" s="116" t="n">
        <v>29</v>
      </c>
      <c r="W284" s="116" t="n">
        <v>24</v>
      </c>
      <c r="X284" s="118">
        <f>IFERROR(W284/S284,"")</f>
        <v/>
      </c>
      <c r="Y284" s="115">
        <f>IFERROR(R284/W284,"")</f>
        <v/>
      </c>
      <c r="Z284" s="115">
        <f>IFERROR(R284/S284*1000,"")</f>
        <v/>
      </c>
      <c r="AA284" s="116" t="n">
        <v>20</v>
      </c>
      <c r="AB284" s="47">
        <f>IFERROR(AA284/W284,"")</f>
        <v/>
      </c>
      <c r="AC284" s="116" t="n">
        <v>0</v>
      </c>
      <c r="AD284" s="116" t="n">
        <v>0</v>
      </c>
      <c r="AE284" s="116" t="n">
        <v>0</v>
      </c>
      <c r="AF284" s="116" t="n">
        <v>0</v>
      </c>
      <c r="AG284" s="116" t="n">
        <v>0</v>
      </c>
      <c r="AH284" s="116" t="n">
        <v>0</v>
      </c>
      <c r="AI284" s="47">
        <f>IFERROR(AC284/S284,"")</f>
        <v/>
      </c>
      <c r="AJ284" s="47">
        <f>IFERROR(AH284/S284,"")</f>
        <v/>
      </c>
      <c r="AK284" s="116" t="n">
        <v>74</v>
      </c>
      <c r="AL284" s="116" t="n">
        <v>0</v>
      </c>
      <c r="AM284" s="118">
        <f>IFERROR(AL284/AA284,"")</f>
        <v/>
      </c>
      <c r="AN284" s="119">
        <f>IFERROR(R284/AL284,"")</f>
        <v/>
      </c>
      <c r="AO284" s="116" t="n">
        <v>0</v>
      </c>
      <c r="AP284" s="47">
        <f>IFERROR(AO284/AL284,"")</f>
        <v/>
      </c>
      <c r="AQ284" s="119">
        <f>IFERROR(R284/AO284,"")</f>
        <v/>
      </c>
      <c r="AR284" s="116" t="n">
        <v>0</v>
      </c>
      <c r="AS284" s="116" t="n">
        <v>0</v>
      </c>
      <c r="AT284" s="116">
        <f>AL284+AR284</f>
        <v/>
      </c>
      <c r="AU284" s="119">
        <f>IFERROR(AO284*Assumptions!$C$26*Assumptions!$C$27*INDEX(Assumptions!$C$18:$C$21,MATCH(H284,Assumptions!$B$18:$B$21,0)),0)</f>
        <v/>
      </c>
    </row>
    <row r="285">
      <c r="A285" s="114" t="n">
        <v>46247</v>
      </c>
      <c r="B285" s="42" t="inlineStr">
        <is>
          <t>Wk 33</t>
        </is>
      </c>
      <c r="C285" s="42" t="inlineStr">
        <is>
          <t>Thu</t>
        </is>
      </c>
      <c r="D285" s="42" t="inlineStr">
        <is>
          <t>Meta (FB/IG)</t>
        </is>
      </c>
      <c r="E285" s="42" t="inlineStr">
        <is>
          <t>Facebook + Instagram</t>
        </is>
      </c>
      <c r="F285" s="42" t="inlineStr">
        <is>
          <t>LEP_ZA_AUG26_META_TD_JAVAN_CONV</t>
        </is>
      </c>
      <c r="G285" s="42" t="inlineStr">
        <is>
          <t>Leads - Website Conversions</t>
        </is>
      </c>
      <c r="H285" s="42" t="inlineStr">
        <is>
          <t>JAVAN</t>
        </is>
      </c>
      <c r="I285" s="42" t="inlineStr">
        <is>
          <t>10% Deposit</t>
        </is>
      </c>
      <c r="J285" s="42" t="inlineStr">
        <is>
          <t>MET_JAVAN_BROAD_28-55_ZA</t>
        </is>
      </c>
      <c r="K285" s="42" t="inlineStr">
        <is>
          <t>Prospecting</t>
        </is>
      </c>
      <c r="L285" s="42" t="inlineStr">
        <is>
          <t>JAVAN_STA_Offer_10Dep_v1</t>
        </is>
      </c>
      <c r="M285" s="42" t="inlineStr">
        <is>
          <t>Static 1:1</t>
        </is>
      </c>
      <c r="N285" s="42" t="inlineStr">
        <is>
          <t>R4 299pm. 10% deposit.</t>
        </is>
      </c>
      <c r="O285" s="42" t="inlineStr">
        <is>
          <t>Auction - Lowest Cost</t>
        </is>
      </c>
      <c r="P285" s="42" t="inlineStr">
        <is>
          <t>Offsite Conversions</t>
        </is>
      </c>
      <c r="Q285" s="42" t="inlineStr">
        <is>
          <t>https://www.lepas-sa.co.za/offers/javan</t>
        </is>
      </c>
      <c r="R285" s="115" t="n">
        <v>223.46</v>
      </c>
      <c r="S285" s="116" t="n">
        <v>3934</v>
      </c>
      <c r="T285" s="116" t="n">
        <v>2216</v>
      </c>
      <c r="U285" s="117">
        <f>IFERROR(S285/T285,"")</f>
        <v/>
      </c>
      <c r="V285" s="116" t="n">
        <v>54</v>
      </c>
      <c r="W285" s="116" t="n">
        <v>42</v>
      </c>
      <c r="X285" s="118">
        <f>IFERROR(W285/S285,"")</f>
        <v/>
      </c>
      <c r="Y285" s="115">
        <f>IFERROR(R285/W285,"")</f>
        <v/>
      </c>
      <c r="Z285" s="115">
        <f>IFERROR(R285/S285*1000,"")</f>
        <v/>
      </c>
      <c r="AA285" s="116" t="n">
        <v>36</v>
      </c>
      <c r="AB285" s="47">
        <f>IFERROR(AA285/W285,"")</f>
        <v/>
      </c>
      <c r="AC285" s="116" t="n">
        <v>0</v>
      </c>
      <c r="AD285" s="116" t="n">
        <v>0</v>
      </c>
      <c r="AE285" s="116" t="n">
        <v>0</v>
      </c>
      <c r="AF285" s="116" t="n">
        <v>0</v>
      </c>
      <c r="AG285" s="116" t="n">
        <v>0</v>
      </c>
      <c r="AH285" s="116" t="n">
        <v>0</v>
      </c>
      <c r="AI285" s="47">
        <f>IFERROR(AC285/S285,"")</f>
        <v/>
      </c>
      <c r="AJ285" s="47">
        <f>IFERROR(AH285/S285,"")</f>
        <v/>
      </c>
      <c r="AK285" s="116" t="n">
        <v>90</v>
      </c>
      <c r="AL285" s="116" t="n">
        <v>0</v>
      </c>
      <c r="AM285" s="118">
        <f>IFERROR(AL285/AA285,"")</f>
        <v/>
      </c>
      <c r="AN285" s="119">
        <f>IFERROR(R285/AL285,"")</f>
        <v/>
      </c>
      <c r="AO285" s="116" t="n">
        <v>0</v>
      </c>
      <c r="AP285" s="47">
        <f>IFERROR(AO285/AL285,"")</f>
        <v/>
      </c>
      <c r="AQ285" s="119">
        <f>IFERROR(R285/AO285,"")</f>
        <v/>
      </c>
      <c r="AR285" s="116" t="n">
        <v>0</v>
      </c>
      <c r="AS285" s="116" t="n">
        <v>0</v>
      </c>
      <c r="AT285" s="116">
        <f>AL285+AR285</f>
        <v/>
      </c>
      <c r="AU285" s="119">
        <f>IFERROR(AO285*Assumptions!$C$26*Assumptions!$C$27*INDEX(Assumptions!$C$18:$C$21,MATCH(H285,Assumptions!$B$18:$B$21,0)),0)</f>
        <v/>
      </c>
    </row>
    <row r="286">
      <c r="A286" s="114" t="n">
        <v>46248</v>
      </c>
      <c r="B286" s="42" t="inlineStr">
        <is>
          <t>Wk 33</t>
        </is>
      </c>
      <c r="C286" s="42" t="inlineStr">
        <is>
          <t>Fri</t>
        </is>
      </c>
      <c r="D286" s="42" t="inlineStr">
        <is>
          <t>Meta (FB/IG)</t>
        </is>
      </c>
      <c r="E286" s="42" t="inlineStr">
        <is>
          <t>Facebook + Instagram</t>
        </is>
      </c>
      <c r="F286" s="42" t="inlineStr">
        <is>
          <t>LEP_ZA_AUG26_META_TD_JAVAN_CONV</t>
        </is>
      </c>
      <c r="G286" s="42" t="inlineStr">
        <is>
          <t>Leads - Website Conversions</t>
        </is>
      </c>
      <c r="H286" s="42" t="inlineStr">
        <is>
          <t>JAVAN</t>
        </is>
      </c>
      <c r="I286" s="42" t="inlineStr">
        <is>
          <t>10% Deposit</t>
        </is>
      </c>
      <c r="J286" s="42" t="inlineStr">
        <is>
          <t>MET_JAVAN_BROAD_28-55_ZA</t>
        </is>
      </c>
      <c r="K286" s="42" t="inlineStr">
        <is>
          <t>Prospecting</t>
        </is>
      </c>
      <c r="L286" s="42" t="inlineStr">
        <is>
          <t>JAVAN_STA_Offer_10Dep_v1</t>
        </is>
      </c>
      <c r="M286" s="42" t="inlineStr">
        <is>
          <t>Static 1:1</t>
        </is>
      </c>
      <c r="N286" s="42" t="inlineStr">
        <is>
          <t>R4 299pm. 10% deposit.</t>
        </is>
      </c>
      <c r="O286" s="42" t="inlineStr">
        <is>
          <t>Auction - Lowest Cost</t>
        </is>
      </c>
      <c r="P286" s="42" t="inlineStr">
        <is>
          <t>Offsite Conversions</t>
        </is>
      </c>
      <c r="Q286" s="42" t="inlineStr">
        <is>
          <t>https://www.lepas-sa.co.za/offers/javan</t>
        </is>
      </c>
      <c r="R286" s="115" t="n">
        <v>281</v>
      </c>
      <c r="S286" s="116" t="n">
        <v>5280</v>
      </c>
      <c r="T286" s="116" t="n">
        <v>3402</v>
      </c>
      <c r="U286" s="117">
        <f>IFERROR(S286/T286,"")</f>
        <v/>
      </c>
      <c r="V286" s="116" t="n">
        <v>79</v>
      </c>
      <c r="W286" s="116" t="n">
        <v>57</v>
      </c>
      <c r="X286" s="118">
        <f>IFERROR(W286/S286,"")</f>
        <v/>
      </c>
      <c r="Y286" s="115">
        <f>IFERROR(R286/W286,"")</f>
        <v/>
      </c>
      <c r="Z286" s="115">
        <f>IFERROR(R286/S286*1000,"")</f>
        <v/>
      </c>
      <c r="AA286" s="116" t="n">
        <v>50</v>
      </c>
      <c r="AB286" s="47">
        <f>IFERROR(AA286/W286,"")</f>
        <v/>
      </c>
      <c r="AC286" s="116" t="n">
        <v>0</v>
      </c>
      <c r="AD286" s="116" t="n">
        <v>0</v>
      </c>
      <c r="AE286" s="116" t="n">
        <v>0</v>
      </c>
      <c r="AF286" s="116" t="n">
        <v>0</v>
      </c>
      <c r="AG286" s="116" t="n">
        <v>0</v>
      </c>
      <c r="AH286" s="116" t="n">
        <v>0</v>
      </c>
      <c r="AI286" s="47">
        <f>IFERROR(AC286/S286,"")</f>
        <v/>
      </c>
      <c r="AJ286" s="47">
        <f>IFERROR(AH286/S286,"")</f>
        <v/>
      </c>
      <c r="AK286" s="116" t="n">
        <v>182</v>
      </c>
      <c r="AL286" s="116" t="n">
        <v>1</v>
      </c>
      <c r="AM286" s="118">
        <f>IFERROR(AL286/AA286,"")</f>
        <v/>
      </c>
      <c r="AN286" s="119">
        <f>IFERROR(R286/AL286,"")</f>
        <v/>
      </c>
      <c r="AO286" s="116" t="n">
        <v>1</v>
      </c>
      <c r="AP286" s="47">
        <f>IFERROR(AO286/AL286,"")</f>
        <v/>
      </c>
      <c r="AQ286" s="119">
        <f>IFERROR(R286/AO286,"")</f>
        <v/>
      </c>
      <c r="AR286" s="116" t="n">
        <v>0</v>
      </c>
      <c r="AS286" s="116" t="n">
        <v>0</v>
      </c>
      <c r="AT286" s="116">
        <f>AL286+AR286</f>
        <v/>
      </c>
      <c r="AU286" s="119">
        <f>IFERROR(AO286*Assumptions!$C$26*Assumptions!$C$27*INDEX(Assumptions!$C$18:$C$21,MATCH(H286,Assumptions!$B$18:$B$21,0)),0)</f>
        <v/>
      </c>
    </row>
    <row r="287">
      <c r="A287" s="114" t="n">
        <v>46249</v>
      </c>
      <c r="B287" s="42" t="inlineStr">
        <is>
          <t>Wk 33</t>
        </is>
      </c>
      <c r="C287" s="42" t="inlineStr">
        <is>
          <t>Sat</t>
        </is>
      </c>
      <c r="D287" s="42" t="inlineStr">
        <is>
          <t>Meta (FB/IG)</t>
        </is>
      </c>
      <c r="E287" s="42" t="inlineStr">
        <is>
          <t>Facebook + Instagram</t>
        </is>
      </c>
      <c r="F287" s="42" t="inlineStr">
        <is>
          <t>LEP_ZA_AUG26_META_TD_JAVAN_CONV</t>
        </is>
      </c>
      <c r="G287" s="42" t="inlineStr">
        <is>
          <t>Leads - Website Conversions</t>
        </is>
      </c>
      <c r="H287" s="42" t="inlineStr">
        <is>
          <t>JAVAN</t>
        </is>
      </c>
      <c r="I287" s="42" t="inlineStr">
        <is>
          <t>10% Deposit</t>
        </is>
      </c>
      <c r="J287" s="42" t="inlineStr">
        <is>
          <t>MET_JAVAN_BROAD_28-55_ZA</t>
        </is>
      </c>
      <c r="K287" s="42" t="inlineStr">
        <is>
          <t>Prospecting</t>
        </is>
      </c>
      <c r="L287" s="42" t="inlineStr">
        <is>
          <t>JAVAN_STA_Offer_10Dep_v1</t>
        </is>
      </c>
      <c r="M287" s="42" t="inlineStr">
        <is>
          <t>Static 1:1</t>
        </is>
      </c>
      <c r="N287" s="42" t="inlineStr">
        <is>
          <t>R4 299pm. 10% deposit.</t>
        </is>
      </c>
      <c r="O287" s="42" t="inlineStr">
        <is>
          <t>Auction - Lowest Cost</t>
        </is>
      </c>
      <c r="P287" s="42" t="inlineStr">
        <is>
          <t>Offsite Conversions</t>
        </is>
      </c>
      <c r="Q287" s="42" t="inlineStr">
        <is>
          <t>https://www.lepas-sa.co.za/offers/javan</t>
        </is>
      </c>
      <c r="R287" s="115" t="n">
        <v>292.31</v>
      </c>
      <c r="S287" s="116" t="n">
        <v>4075</v>
      </c>
      <c r="T287" s="116" t="n">
        <v>2615</v>
      </c>
      <c r="U287" s="117">
        <f>IFERROR(S287/T287,"")</f>
        <v/>
      </c>
      <c r="V287" s="116" t="n">
        <v>44</v>
      </c>
      <c r="W287" s="116" t="n">
        <v>31</v>
      </c>
      <c r="X287" s="118">
        <f>IFERROR(W287/S287,"")</f>
        <v/>
      </c>
      <c r="Y287" s="115">
        <f>IFERROR(R287/W287,"")</f>
        <v/>
      </c>
      <c r="Z287" s="115">
        <f>IFERROR(R287/S287*1000,"")</f>
        <v/>
      </c>
      <c r="AA287" s="116" t="n">
        <v>26</v>
      </c>
      <c r="AB287" s="47">
        <f>IFERROR(AA287/W287,"")</f>
        <v/>
      </c>
      <c r="AC287" s="116" t="n">
        <v>0</v>
      </c>
      <c r="AD287" s="116" t="n">
        <v>0</v>
      </c>
      <c r="AE287" s="116" t="n">
        <v>0</v>
      </c>
      <c r="AF287" s="116" t="n">
        <v>0</v>
      </c>
      <c r="AG287" s="116" t="n">
        <v>0</v>
      </c>
      <c r="AH287" s="116" t="n">
        <v>0</v>
      </c>
      <c r="AI287" s="47">
        <f>IFERROR(AC287/S287,"")</f>
        <v/>
      </c>
      <c r="AJ287" s="47">
        <f>IFERROR(AH287/S287,"")</f>
        <v/>
      </c>
      <c r="AK287" s="116" t="n">
        <v>105</v>
      </c>
      <c r="AL287" s="116" t="n">
        <v>0</v>
      </c>
      <c r="AM287" s="118">
        <f>IFERROR(AL287/AA287,"")</f>
        <v/>
      </c>
      <c r="AN287" s="119">
        <f>IFERROR(R287/AL287,"")</f>
        <v/>
      </c>
      <c r="AO287" s="116" t="n">
        <v>0</v>
      </c>
      <c r="AP287" s="47">
        <f>IFERROR(AO287/AL287,"")</f>
        <v/>
      </c>
      <c r="AQ287" s="119">
        <f>IFERROR(R287/AO287,"")</f>
        <v/>
      </c>
      <c r="AR287" s="116" t="n">
        <v>0</v>
      </c>
      <c r="AS287" s="116" t="n">
        <v>0</v>
      </c>
      <c r="AT287" s="116">
        <f>AL287+AR287</f>
        <v/>
      </c>
      <c r="AU287" s="119">
        <f>IFERROR(AO287*Assumptions!$C$26*Assumptions!$C$27*INDEX(Assumptions!$C$18:$C$21,MATCH(H287,Assumptions!$B$18:$B$21,0)),0)</f>
        <v/>
      </c>
    </row>
    <row r="288">
      <c r="A288" s="114" t="n">
        <v>46250</v>
      </c>
      <c r="B288" s="42" t="inlineStr">
        <is>
          <t>Wk 33</t>
        </is>
      </c>
      <c r="C288" s="42" t="inlineStr">
        <is>
          <t>Sun</t>
        </is>
      </c>
      <c r="D288" s="42" t="inlineStr">
        <is>
          <t>Meta (FB/IG)</t>
        </is>
      </c>
      <c r="E288" s="42" t="inlineStr">
        <is>
          <t>Facebook + Instagram</t>
        </is>
      </c>
      <c r="F288" s="42" t="inlineStr">
        <is>
          <t>LEP_ZA_AUG26_META_TD_JAVAN_CONV</t>
        </is>
      </c>
      <c r="G288" s="42" t="inlineStr">
        <is>
          <t>Leads - Website Conversions</t>
        </is>
      </c>
      <c r="H288" s="42" t="inlineStr">
        <is>
          <t>JAVAN</t>
        </is>
      </c>
      <c r="I288" s="42" t="inlineStr">
        <is>
          <t>10% Deposit</t>
        </is>
      </c>
      <c r="J288" s="42" t="inlineStr">
        <is>
          <t>MET_JAVAN_BROAD_28-55_ZA</t>
        </is>
      </c>
      <c r="K288" s="42" t="inlineStr">
        <is>
          <t>Prospecting</t>
        </is>
      </c>
      <c r="L288" s="42" t="inlineStr">
        <is>
          <t>JAVAN_STA_Offer_10Dep_v1</t>
        </is>
      </c>
      <c r="M288" s="42" t="inlineStr">
        <is>
          <t>Static 1:1</t>
        </is>
      </c>
      <c r="N288" s="42" t="inlineStr">
        <is>
          <t>R4 299pm. 10% deposit.</t>
        </is>
      </c>
      <c r="O288" s="42" t="inlineStr">
        <is>
          <t>Auction - Lowest Cost</t>
        </is>
      </c>
      <c r="P288" s="42" t="inlineStr">
        <is>
          <t>Offsite Conversions</t>
        </is>
      </c>
      <c r="Q288" s="42" t="inlineStr">
        <is>
          <t>https://www.lepas-sa.co.za/offers/javan</t>
        </is>
      </c>
      <c r="R288" s="115" t="n">
        <v>181.4</v>
      </c>
      <c r="S288" s="116" t="n">
        <v>2247</v>
      </c>
      <c r="T288" s="116" t="n">
        <v>1244</v>
      </c>
      <c r="U288" s="117">
        <f>IFERROR(S288/T288,"")</f>
        <v/>
      </c>
      <c r="V288" s="116" t="n">
        <v>37</v>
      </c>
      <c r="W288" s="116" t="n">
        <v>26</v>
      </c>
      <c r="X288" s="118">
        <f>IFERROR(W288/S288,"")</f>
        <v/>
      </c>
      <c r="Y288" s="115">
        <f>IFERROR(R288/W288,"")</f>
        <v/>
      </c>
      <c r="Z288" s="115">
        <f>IFERROR(R288/S288*1000,"")</f>
        <v/>
      </c>
      <c r="AA288" s="116" t="n">
        <v>23</v>
      </c>
      <c r="AB288" s="47">
        <f>IFERROR(AA288/W288,"")</f>
        <v/>
      </c>
      <c r="AC288" s="116" t="n">
        <v>0</v>
      </c>
      <c r="AD288" s="116" t="n">
        <v>0</v>
      </c>
      <c r="AE288" s="116" t="n">
        <v>0</v>
      </c>
      <c r="AF288" s="116" t="n">
        <v>0</v>
      </c>
      <c r="AG288" s="116" t="n">
        <v>0</v>
      </c>
      <c r="AH288" s="116" t="n">
        <v>0</v>
      </c>
      <c r="AI288" s="47">
        <f>IFERROR(AC288/S288,"")</f>
        <v/>
      </c>
      <c r="AJ288" s="47">
        <f>IFERROR(AH288/S288,"")</f>
        <v/>
      </c>
      <c r="AK288" s="116" t="n">
        <v>46</v>
      </c>
      <c r="AL288" s="116" t="n">
        <v>1</v>
      </c>
      <c r="AM288" s="118">
        <f>IFERROR(AL288/AA288,"")</f>
        <v/>
      </c>
      <c r="AN288" s="119">
        <f>IFERROR(R288/AL288,"")</f>
        <v/>
      </c>
      <c r="AO288" s="116" t="n">
        <v>1</v>
      </c>
      <c r="AP288" s="47">
        <f>IFERROR(AO288/AL288,"")</f>
        <v/>
      </c>
      <c r="AQ288" s="119">
        <f>IFERROR(R288/AO288,"")</f>
        <v/>
      </c>
      <c r="AR288" s="116" t="n">
        <v>0</v>
      </c>
      <c r="AS288" s="116" t="n">
        <v>0</v>
      </c>
      <c r="AT288" s="116">
        <f>AL288+AR288</f>
        <v/>
      </c>
      <c r="AU288" s="119">
        <f>IFERROR(AO288*Assumptions!$C$26*Assumptions!$C$27*INDEX(Assumptions!$C$18:$C$21,MATCH(H288,Assumptions!$B$18:$B$21,0)),0)</f>
        <v/>
      </c>
    </row>
    <row r="289">
      <c r="A289" s="114" t="n">
        <v>46251</v>
      </c>
      <c r="B289" s="42" t="inlineStr">
        <is>
          <t>Wk 34</t>
        </is>
      </c>
      <c r="C289" s="42" t="inlineStr">
        <is>
          <t>Mon</t>
        </is>
      </c>
      <c r="D289" s="42" t="inlineStr">
        <is>
          <t>Meta (FB/IG)</t>
        </is>
      </c>
      <c r="E289" s="42" t="inlineStr">
        <is>
          <t>Facebook + Instagram</t>
        </is>
      </c>
      <c r="F289" s="42" t="inlineStr">
        <is>
          <t>LEP_ZA_AUG26_META_TD_JAVAN_CONV</t>
        </is>
      </c>
      <c r="G289" s="42" t="inlineStr">
        <is>
          <t>Leads - Website Conversions</t>
        </is>
      </c>
      <c r="H289" s="42" t="inlineStr">
        <is>
          <t>JAVAN</t>
        </is>
      </c>
      <c r="I289" s="42" t="inlineStr">
        <is>
          <t>10% Deposit</t>
        </is>
      </c>
      <c r="J289" s="42" t="inlineStr">
        <is>
          <t>MET_JAVAN_BROAD_28-55_ZA</t>
        </is>
      </c>
      <c r="K289" s="42" t="inlineStr">
        <is>
          <t>Prospecting</t>
        </is>
      </c>
      <c r="L289" s="42" t="inlineStr">
        <is>
          <t>JAVAN_STA_Offer_10Dep_v1</t>
        </is>
      </c>
      <c r="M289" s="42" t="inlineStr">
        <is>
          <t>Static 1:1</t>
        </is>
      </c>
      <c r="N289" s="42" t="inlineStr">
        <is>
          <t>R4 299pm. 10% deposit.</t>
        </is>
      </c>
      <c r="O289" s="42" t="inlineStr">
        <is>
          <t>Auction - Lowest Cost</t>
        </is>
      </c>
      <c r="P289" s="42" t="inlineStr">
        <is>
          <t>Offsite Conversions</t>
        </is>
      </c>
      <c r="Q289" s="42" t="inlineStr">
        <is>
          <t>https://www.lepas-sa.co.za/offers/javan</t>
        </is>
      </c>
      <c r="R289" s="115" t="n">
        <v>217.51</v>
      </c>
      <c r="S289" s="116" t="n">
        <v>4276</v>
      </c>
      <c r="T289" s="116" t="n">
        <v>2901</v>
      </c>
      <c r="U289" s="117">
        <f>IFERROR(S289/T289,"")</f>
        <v/>
      </c>
      <c r="V289" s="116" t="n">
        <v>55</v>
      </c>
      <c r="W289" s="116" t="n">
        <v>44</v>
      </c>
      <c r="X289" s="118">
        <f>IFERROR(W289/S289,"")</f>
        <v/>
      </c>
      <c r="Y289" s="115">
        <f>IFERROR(R289/W289,"")</f>
        <v/>
      </c>
      <c r="Z289" s="115">
        <f>IFERROR(R289/S289*1000,"")</f>
        <v/>
      </c>
      <c r="AA289" s="116" t="n">
        <v>39</v>
      </c>
      <c r="AB289" s="47">
        <f>IFERROR(AA289/W289,"")</f>
        <v/>
      </c>
      <c r="AC289" s="116" t="n">
        <v>0</v>
      </c>
      <c r="AD289" s="116" t="n">
        <v>0</v>
      </c>
      <c r="AE289" s="116" t="n">
        <v>0</v>
      </c>
      <c r="AF289" s="116" t="n">
        <v>0</v>
      </c>
      <c r="AG289" s="116" t="n">
        <v>0</v>
      </c>
      <c r="AH289" s="116" t="n">
        <v>0</v>
      </c>
      <c r="AI289" s="47">
        <f>IFERROR(AC289/S289,"")</f>
        <v/>
      </c>
      <c r="AJ289" s="47">
        <f>IFERROR(AH289/S289,"")</f>
        <v/>
      </c>
      <c r="AK289" s="116" t="n">
        <v>119</v>
      </c>
      <c r="AL289" s="116" t="n">
        <v>0</v>
      </c>
      <c r="AM289" s="118">
        <f>IFERROR(AL289/AA289,"")</f>
        <v/>
      </c>
      <c r="AN289" s="119">
        <f>IFERROR(R289/AL289,"")</f>
        <v/>
      </c>
      <c r="AO289" s="116" t="n">
        <v>0</v>
      </c>
      <c r="AP289" s="47">
        <f>IFERROR(AO289/AL289,"")</f>
        <v/>
      </c>
      <c r="AQ289" s="119">
        <f>IFERROR(R289/AO289,"")</f>
        <v/>
      </c>
      <c r="AR289" s="116" t="n">
        <v>0</v>
      </c>
      <c r="AS289" s="116" t="n">
        <v>0</v>
      </c>
      <c r="AT289" s="116">
        <f>AL289+AR289</f>
        <v/>
      </c>
      <c r="AU289" s="119">
        <f>IFERROR(AO289*Assumptions!$C$26*Assumptions!$C$27*INDEX(Assumptions!$C$18:$C$21,MATCH(H289,Assumptions!$B$18:$B$21,0)),0)</f>
        <v/>
      </c>
    </row>
    <row r="290">
      <c r="A290" s="114" t="n">
        <v>46252</v>
      </c>
      <c r="B290" s="42" t="inlineStr">
        <is>
          <t>Wk 34</t>
        </is>
      </c>
      <c r="C290" s="42" t="inlineStr">
        <is>
          <t>Tue</t>
        </is>
      </c>
      <c r="D290" s="42" t="inlineStr">
        <is>
          <t>Meta (FB/IG)</t>
        </is>
      </c>
      <c r="E290" s="42" t="inlineStr">
        <is>
          <t>Facebook + Instagram</t>
        </is>
      </c>
      <c r="F290" s="42" t="inlineStr">
        <is>
          <t>LEP_ZA_AUG26_META_TD_JAVAN_CONV</t>
        </is>
      </c>
      <c r="G290" s="42" t="inlineStr">
        <is>
          <t>Leads - Website Conversions</t>
        </is>
      </c>
      <c r="H290" s="42" t="inlineStr">
        <is>
          <t>JAVAN</t>
        </is>
      </c>
      <c r="I290" s="42" t="inlineStr">
        <is>
          <t>10% Deposit</t>
        </is>
      </c>
      <c r="J290" s="42" t="inlineStr">
        <is>
          <t>MET_JAVAN_BROAD_28-55_ZA</t>
        </is>
      </c>
      <c r="K290" s="42" t="inlineStr">
        <is>
          <t>Prospecting</t>
        </is>
      </c>
      <c r="L290" s="42" t="inlineStr">
        <is>
          <t>JAVAN_STA_Offer_10Dep_v1</t>
        </is>
      </c>
      <c r="M290" s="42" t="inlineStr">
        <is>
          <t>Static 1:1</t>
        </is>
      </c>
      <c r="N290" s="42" t="inlineStr">
        <is>
          <t>R4 299pm. 10% deposit.</t>
        </is>
      </c>
      <c r="O290" s="42" t="inlineStr">
        <is>
          <t>Auction - Lowest Cost</t>
        </is>
      </c>
      <c r="P290" s="42" t="inlineStr">
        <is>
          <t>Offsite Conversions</t>
        </is>
      </c>
      <c r="Q290" s="42" t="inlineStr">
        <is>
          <t>https://www.lepas-sa.co.za/offers/javan</t>
        </is>
      </c>
      <c r="R290" s="115" t="n">
        <v>239.27</v>
      </c>
      <c r="S290" s="116" t="n">
        <v>2974</v>
      </c>
      <c r="T290" s="116" t="n">
        <v>1871</v>
      </c>
      <c r="U290" s="117">
        <f>IFERROR(S290/T290,"")</f>
        <v/>
      </c>
      <c r="V290" s="116" t="n">
        <v>40</v>
      </c>
      <c r="W290" s="116" t="n">
        <v>29</v>
      </c>
      <c r="X290" s="118">
        <f>IFERROR(W290/S290,"")</f>
        <v/>
      </c>
      <c r="Y290" s="115">
        <f>IFERROR(R290/W290,"")</f>
        <v/>
      </c>
      <c r="Z290" s="115">
        <f>IFERROR(R290/S290*1000,"")</f>
        <v/>
      </c>
      <c r="AA290" s="116" t="n">
        <v>25</v>
      </c>
      <c r="AB290" s="47">
        <f>IFERROR(AA290/W290,"")</f>
        <v/>
      </c>
      <c r="AC290" s="116" t="n">
        <v>0</v>
      </c>
      <c r="AD290" s="116" t="n">
        <v>0</v>
      </c>
      <c r="AE290" s="116" t="n">
        <v>0</v>
      </c>
      <c r="AF290" s="116" t="n">
        <v>0</v>
      </c>
      <c r="AG290" s="116" t="n">
        <v>0</v>
      </c>
      <c r="AH290" s="116" t="n">
        <v>0</v>
      </c>
      <c r="AI290" s="47">
        <f>IFERROR(AC290/S290,"")</f>
        <v/>
      </c>
      <c r="AJ290" s="47">
        <f>IFERROR(AH290/S290,"")</f>
        <v/>
      </c>
      <c r="AK290" s="116" t="n">
        <v>55</v>
      </c>
      <c r="AL290" s="116" t="n">
        <v>1</v>
      </c>
      <c r="AM290" s="118">
        <f>IFERROR(AL290/AA290,"")</f>
        <v/>
      </c>
      <c r="AN290" s="119">
        <f>IFERROR(R290/AL290,"")</f>
        <v/>
      </c>
      <c r="AO290" s="116" t="n">
        <v>0</v>
      </c>
      <c r="AP290" s="47">
        <f>IFERROR(AO290/AL290,"")</f>
        <v/>
      </c>
      <c r="AQ290" s="119">
        <f>IFERROR(R290/AO290,"")</f>
        <v/>
      </c>
      <c r="AR290" s="116" t="n">
        <v>1</v>
      </c>
      <c r="AS290" s="116" t="n">
        <v>1</v>
      </c>
      <c r="AT290" s="116">
        <f>AL290+AR290</f>
        <v/>
      </c>
      <c r="AU290" s="119">
        <f>IFERROR(AO290*Assumptions!$C$26*Assumptions!$C$27*INDEX(Assumptions!$C$18:$C$21,MATCH(H290,Assumptions!$B$18:$B$21,0)),0)</f>
        <v/>
      </c>
    </row>
    <row r="291">
      <c r="A291" s="114" t="n">
        <v>46253</v>
      </c>
      <c r="B291" s="42" t="inlineStr">
        <is>
          <t>Wk 34</t>
        </is>
      </c>
      <c r="C291" s="42" t="inlineStr">
        <is>
          <t>Wed</t>
        </is>
      </c>
      <c r="D291" s="42" t="inlineStr">
        <is>
          <t>Meta (FB/IG)</t>
        </is>
      </c>
      <c r="E291" s="42" t="inlineStr">
        <is>
          <t>Facebook + Instagram</t>
        </is>
      </c>
      <c r="F291" s="42" t="inlineStr">
        <is>
          <t>LEP_ZA_AUG26_META_TD_JAVAN_CONV</t>
        </is>
      </c>
      <c r="G291" s="42" t="inlineStr">
        <is>
          <t>Leads - Website Conversions</t>
        </is>
      </c>
      <c r="H291" s="42" t="inlineStr">
        <is>
          <t>JAVAN</t>
        </is>
      </c>
      <c r="I291" s="42" t="inlineStr">
        <is>
          <t>10% Deposit</t>
        </is>
      </c>
      <c r="J291" s="42" t="inlineStr">
        <is>
          <t>MET_JAVAN_BROAD_28-55_ZA</t>
        </is>
      </c>
      <c r="K291" s="42" t="inlineStr">
        <is>
          <t>Prospecting</t>
        </is>
      </c>
      <c r="L291" s="42" t="inlineStr">
        <is>
          <t>JAVAN_STA_Offer_10Dep_v1</t>
        </is>
      </c>
      <c r="M291" s="42" t="inlineStr">
        <is>
          <t>Static 1:1</t>
        </is>
      </c>
      <c r="N291" s="42" t="inlineStr">
        <is>
          <t>R4 299pm. 10% deposit.</t>
        </is>
      </c>
      <c r="O291" s="42" t="inlineStr">
        <is>
          <t>Auction - Lowest Cost</t>
        </is>
      </c>
      <c r="P291" s="42" t="inlineStr">
        <is>
          <t>Offsite Conversions</t>
        </is>
      </c>
      <c r="Q291" s="42" t="inlineStr">
        <is>
          <t>https://www.lepas-sa.co.za/offers/javan</t>
        </is>
      </c>
      <c r="R291" s="115" t="n">
        <v>214.31</v>
      </c>
      <c r="S291" s="116" t="n">
        <v>4057</v>
      </c>
      <c r="T291" s="116" t="n">
        <v>2385</v>
      </c>
      <c r="U291" s="117">
        <f>IFERROR(S291/T291,"")</f>
        <v/>
      </c>
      <c r="V291" s="116" t="n">
        <v>73</v>
      </c>
      <c r="W291" s="116" t="n">
        <v>53</v>
      </c>
      <c r="X291" s="118">
        <f>IFERROR(W291/S291,"")</f>
        <v/>
      </c>
      <c r="Y291" s="115">
        <f>IFERROR(R291/W291,"")</f>
        <v/>
      </c>
      <c r="Z291" s="115">
        <f>IFERROR(R291/S291*1000,"")</f>
        <v/>
      </c>
      <c r="AA291" s="116" t="n">
        <v>43</v>
      </c>
      <c r="AB291" s="47">
        <f>IFERROR(AA291/W291,"")</f>
        <v/>
      </c>
      <c r="AC291" s="116" t="n">
        <v>0</v>
      </c>
      <c r="AD291" s="116" t="n">
        <v>0</v>
      </c>
      <c r="AE291" s="116" t="n">
        <v>0</v>
      </c>
      <c r="AF291" s="116" t="n">
        <v>0</v>
      </c>
      <c r="AG291" s="116" t="n">
        <v>0</v>
      </c>
      <c r="AH291" s="116" t="n">
        <v>0</v>
      </c>
      <c r="AI291" s="47">
        <f>IFERROR(AC291/S291,"")</f>
        <v/>
      </c>
      <c r="AJ291" s="47">
        <f>IFERROR(AH291/S291,"")</f>
        <v/>
      </c>
      <c r="AK291" s="116" t="n">
        <v>119</v>
      </c>
      <c r="AL291" s="116" t="n">
        <v>1</v>
      </c>
      <c r="AM291" s="118">
        <f>IFERROR(AL291/AA291,"")</f>
        <v/>
      </c>
      <c r="AN291" s="119">
        <f>IFERROR(R291/AL291,"")</f>
        <v/>
      </c>
      <c r="AO291" s="116" t="n">
        <v>0</v>
      </c>
      <c r="AP291" s="47">
        <f>IFERROR(AO291/AL291,"")</f>
        <v/>
      </c>
      <c r="AQ291" s="119">
        <f>IFERROR(R291/AO291,"")</f>
        <v/>
      </c>
      <c r="AR291" s="116" t="n">
        <v>1</v>
      </c>
      <c r="AS291" s="116" t="n">
        <v>0</v>
      </c>
      <c r="AT291" s="116">
        <f>AL291+AR291</f>
        <v/>
      </c>
      <c r="AU291" s="119">
        <f>IFERROR(AO291*Assumptions!$C$26*Assumptions!$C$27*INDEX(Assumptions!$C$18:$C$21,MATCH(H291,Assumptions!$B$18:$B$21,0)),0)</f>
        <v/>
      </c>
    </row>
    <row r="292">
      <c r="A292" s="114" t="n">
        <v>46254</v>
      </c>
      <c r="B292" s="42" t="inlineStr">
        <is>
          <t>Wk 34</t>
        </is>
      </c>
      <c r="C292" s="42" t="inlineStr">
        <is>
          <t>Thu</t>
        </is>
      </c>
      <c r="D292" s="42" t="inlineStr">
        <is>
          <t>Meta (FB/IG)</t>
        </is>
      </c>
      <c r="E292" s="42" t="inlineStr">
        <is>
          <t>Facebook + Instagram</t>
        </is>
      </c>
      <c r="F292" s="42" t="inlineStr">
        <is>
          <t>LEP_ZA_AUG26_META_TD_JAVAN_CONV</t>
        </is>
      </c>
      <c r="G292" s="42" t="inlineStr">
        <is>
          <t>Leads - Website Conversions</t>
        </is>
      </c>
      <c r="H292" s="42" t="inlineStr">
        <is>
          <t>JAVAN</t>
        </is>
      </c>
      <c r="I292" s="42" t="inlineStr">
        <is>
          <t>10% Deposit</t>
        </is>
      </c>
      <c r="J292" s="42" t="inlineStr">
        <is>
          <t>MET_JAVAN_BROAD_28-55_ZA</t>
        </is>
      </c>
      <c r="K292" s="42" t="inlineStr">
        <is>
          <t>Prospecting</t>
        </is>
      </c>
      <c r="L292" s="42" t="inlineStr">
        <is>
          <t>JAVAN_STA_Offer_10Dep_v1</t>
        </is>
      </c>
      <c r="M292" s="42" t="inlineStr">
        <is>
          <t>Static 1:1</t>
        </is>
      </c>
      <c r="N292" s="42" t="inlineStr">
        <is>
          <t>R4 299pm. 10% deposit.</t>
        </is>
      </c>
      <c r="O292" s="42" t="inlineStr">
        <is>
          <t>Auction - Lowest Cost</t>
        </is>
      </c>
      <c r="P292" s="42" t="inlineStr">
        <is>
          <t>Offsite Conversions</t>
        </is>
      </c>
      <c r="Q292" s="42" t="inlineStr">
        <is>
          <t>https://www.lepas-sa.co.za/offers/javan</t>
        </is>
      </c>
      <c r="R292" s="115" t="n">
        <v>257.81</v>
      </c>
      <c r="S292" s="116" t="n">
        <v>4517</v>
      </c>
      <c r="T292" s="116" t="n">
        <v>3266</v>
      </c>
      <c r="U292" s="117">
        <f>IFERROR(S292/T292,"")</f>
        <v/>
      </c>
      <c r="V292" s="116" t="n">
        <v>48</v>
      </c>
      <c r="W292" s="116" t="n">
        <v>38</v>
      </c>
      <c r="X292" s="118">
        <f>IFERROR(W292/S292,"")</f>
        <v/>
      </c>
      <c r="Y292" s="115">
        <f>IFERROR(R292/W292,"")</f>
        <v/>
      </c>
      <c r="Z292" s="115">
        <f>IFERROR(R292/S292*1000,"")</f>
        <v/>
      </c>
      <c r="AA292" s="116" t="n">
        <v>33</v>
      </c>
      <c r="AB292" s="47">
        <f>IFERROR(AA292/W292,"")</f>
        <v/>
      </c>
      <c r="AC292" s="116" t="n">
        <v>0</v>
      </c>
      <c r="AD292" s="116" t="n">
        <v>0</v>
      </c>
      <c r="AE292" s="116" t="n">
        <v>0</v>
      </c>
      <c r="AF292" s="116" t="n">
        <v>0</v>
      </c>
      <c r="AG292" s="116" t="n">
        <v>0</v>
      </c>
      <c r="AH292" s="116" t="n">
        <v>0</v>
      </c>
      <c r="AI292" s="47">
        <f>IFERROR(AC292/S292,"")</f>
        <v/>
      </c>
      <c r="AJ292" s="47">
        <f>IFERROR(AH292/S292,"")</f>
        <v/>
      </c>
      <c r="AK292" s="116" t="n">
        <v>112</v>
      </c>
      <c r="AL292" s="116" t="n">
        <v>0</v>
      </c>
      <c r="AM292" s="118">
        <f>IFERROR(AL292/AA292,"")</f>
        <v/>
      </c>
      <c r="AN292" s="119">
        <f>IFERROR(R292/AL292,"")</f>
        <v/>
      </c>
      <c r="AO292" s="116" t="n">
        <v>0</v>
      </c>
      <c r="AP292" s="47">
        <f>IFERROR(AO292/AL292,"")</f>
        <v/>
      </c>
      <c r="AQ292" s="119">
        <f>IFERROR(R292/AO292,"")</f>
        <v/>
      </c>
      <c r="AR292" s="116" t="n">
        <v>0</v>
      </c>
      <c r="AS292" s="116" t="n">
        <v>0</v>
      </c>
      <c r="AT292" s="116">
        <f>AL292+AR292</f>
        <v/>
      </c>
      <c r="AU292" s="119">
        <f>IFERROR(AO292*Assumptions!$C$26*Assumptions!$C$27*INDEX(Assumptions!$C$18:$C$21,MATCH(H292,Assumptions!$B$18:$B$21,0)),0)</f>
        <v/>
      </c>
    </row>
    <row r="293">
      <c r="A293" s="114" t="n">
        <v>46255</v>
      </c>
      <c r="B293" s="42" t="inlineStr">
        <is>
          <t>Wk 34</t>
        </is>
      </c>
      <c r="C293" s="42" t="inlineStr">
        <is>
          <t>Fri</t>
        </is>
      </c>
      <c r="D293" s="42" t="inlineStr">
        <is>
          <t>Meta (FB/IG)</t>
        </is>
      </c>
      <c r="E293" s="42" t="inlineStr">
        <is>
          <t>Facebook + Instagram</t>
        </is>
      </c>
      <c r="F293" s="42" t="inlineStr">
        <is>
          <t>LEP_ZA_AUG26_META_TD_JAVAN_CONV</t>
        </is>
      </c>
      <c r="G293" s="42" t="inlineStr">
        <is>
          <t>Leads - Website Conversions</t>
        </is>
      </c>
      <c r="H293" s="42" t="inlineStr">
        <is>
          <t>JAVAN</t>
        </is>
      </c>
      <c r="I293" s="42" t="inlineStr">
        <is>
          <t>10% Deposit</t>
        </is>
      </c>
      <c r="J293" s="42" t="inlineStr">
        <is>
          <t>MET_JAVAN_BROAD_28-55_ZA</t>
        </is>
      </c>
      <c r="K293" s="42" t="inlineStr">
        <is>
          <t>Prospecting</t>
        </is>
      </c>
      <c r="L293" s="42" t="inlineStr">
        <is>
          <t>JAVAN_STA_Offer_10Dep_v1</t>
        </is>
      </c>
      <c r="M293" s="42" t="inlineStr">
        <is>
          <t>Static 1:1</t>
        </is>
      </c>
      <c r="N293" s="42" t="inlineStr">
        <is>
          <t>R4 299pm. 10% deposit.</t>
        </is>
      </c>
      <c r="O293" s="42" t="inlineStr">
        <is>
          <t>Auction - Lowest Cost</t>
        </is>
      </c>
      <c r="P293" s="42" t="inlineStr">
        <is>
          <t>Offsite Conversions</t>
        </is>
      </c>
      <c r="Q293" s="42" t="inlineStr">
        <is>
          <t>https://www.lepas-sa.co.za/offers/javan</t>
        </is>
      </c>
      <c r="R293" s="115" t="n">
        <v>293.22</v>
      </c>
      <c r="S293" s="116" t="n">
        <v>5154</v>
      </c>
      <c r="T293" s="116" t="n">
        <v>3606</v>
      </c>
      <c r="U293" s="117">
        <f>IFERROR(S293/T293,"")</f>
        <v/>
      </c>
      <c r="V293" s="116" t="n">
        <v>62</v>
      </c>
      <c r="W293" s="116" t="n">
        <v>52</v>
      </c>
      <c r="X293" s="118">
        <f>IFERROR(W293/S293,"")</f>
        <v/>
      </c>
      <c r="Y293" s="115">
        <f>IFERROR(R293/W293,"")</f>
        <v/>
      </c>
      <c r="Z293" s="115">
        <f>IFERROR(R293/S293*1000,"")</f>
        <v/>
      </c>
      <c r="AA293" s="116" t="n">
        <v>41</v>
      </c>
      <c r="AB293" s="47">
        <f>IFERROR(AA293/W293,"")</f>
        <v/>
      </c>
      <c r="AC293" s="116" t="n">
        <v>0</v>
      </c>
      <c r="AD293" s="116" t="n">
        <v>0</v>
      </c>
      <c r="AE293" s="116" t="n">
        <v>0</v>
      </c>
      <c r="AF293" s="116" t="n">
        <v>0</v>
      </c>
      <c r="AG293" s="116" t="n">
        <v>0</v>
      </c>
      <c r="AH293" s="116" t="n">
        <v>0</v>
      </c>
      <c r="AI293" s="47">
        <f>IFERROR(AC293/S293,"")</f>
        <v/>
      </c>
      <c r="AJ293" s="47">
        <f>IFERROR(AH293/S293,"")</f>
        <v/>
      </c>
      <c r="AK293" s="116" t="n">
        <v>72</v>
      </c>
      <c r="AL293" s="116" t="n">
        <v>1</v>
      </c>
      <c r="AM293" s="118">
        <f>IFERROR(AL293/AA293,"")</f>
        <v/>
      </c>
      <c r="AN293" s="119">
        <f>IFERROR(R293/AL293,"")</f>
        <v/>
      </c>
      <c r="AO293" s="116" t="n">
        <v>1</v>
      </c>
      <c r="AP293" s="47">
        <f>IFERROR(AO293/AL293,"")</f>
        <v/>
      </c>
      <c r="AQ293" s="119">
        <f>IFERROR(R293/AO293,"")</f>
        <v/>
      </c>
      <c r="AR293" s="116" t="n">
        <v>1</v>
      </c>
      <c r="AS293" s="116" t="n">
        <v>0</v>
      </c>
      <c r="AT293" s="116">
        <f>AL293+AR293</f>
        <v/>
      </c>
      <c r="AU293" s="119">
        <f>IFERROR(AO293*Assumptions!$C$26*Assumptions!$C$27*INDEX(Assumptions!$C$18:$C$21,MATCH(H293,Assumptions!$B$18:$B$21,0)),0)</f>
        <v/>
      </c>
    </row>
    <row r="294">
      <c r="A294" s="114" t="n">
        <v>46256</v>
      </c>
      <c r="B294" s="42" t="inlineStr">
        <is>
          <t>Wk 34</t>
        </is>
      </c>
      <c r="C294" s="42" t="inlineStr">
        <is>
          <t>Sat</t>
        </is>
      </c>
      <c r="D294" s="42" t="inlineStr">
        <is>
          <t>Meta (FB/IG)</t>
        </is>
      </c>
      <c r="E294" s="42" t="inlineStr">
        <is>
          <t>Facebook + Instagram</t>
        </is>
      </c>
      <c r="F294" s="42" t="inlineStr">
        <is>
          <t>LEP_ZA_AUG26_META_TD_JAVAN_CONV</t>
        </is>
      </c>
      <c r="G294" s="42" t="inlineStr">
        <is>
          <t>Leads - Website Conversions</t>
        </is>
      </c>
      <c r="H294" s="42" t="inlineStr">
        <is>
          <t>JAVAN</t>
        </is>
      </c>
      <c r="I294" s="42" t="inlineStr">
        <is>
          <t>10% Deposit</t>
        </is>
      </c>
      <c r="J294" s="42" t="inlineStr">
        <is>
          <t>MET_JAVAN_BROAD_28-55_ZA</t>
        </is>
      </c>
      <c r="K294" s="42" t="inlineStr">
        <is>
          <t>Prospecting</t>
        </is>
      </c>
      <c r="L294" s="42" t="inlineStr">
        <is>
          <t>JAVAN_STA_Offer_10Dep_v1</t>
        </is>
      </c>
      <c r="M294" s="42" t="inlineStr">
        <is>
          <t>Static 1:1</t>
        </is>
      </c>
      <c r="N294" s="42" t="inlineStr">
        <is>
          <t>R4 299pm. 10% deposit.</t>
        </is>
      </c>
      <c r="O294" s="42" t="inlineStr">
        <is>
          <t>Auction - Lowest Cost</t>
        </is>
      </c>
      <c r="P294" s="42" t="inlineStr">
        <is>
          <t>Offsite Conversions</t>
        </is>
      </c>
      <c r="Q294" s="42" t="inlineStr">
        <is>
          <t>https://www.lepas-sa.co.za/offers/javan</t>
        </is>
      </c>
      <c r="R294" s="115" t="n">
        <v>253.39</v>
      </c>
      <c r="S294" s="116" t="n">
        <v>2779</v>
      </c>
      <c r="T294" s="116" t="n">
        <v>1781</v>
      </c>
      <c r="U294" s="117">
        <f>IFERROR(S294/T294,"")</f>
        <v/>
      </c>
      <c r="V294" s="116" t="n">
        <v>31</v>
      </c>
      <c r="W294" s="116" t="n">
        <v>24</v>
      </c>
      <c r="X294" s="118">
        <f>IFERROR(W294/S294,"")</f>
        <v/>
      </c>
      <c r="Y294" s="115">
        <f>IFERROR(R294/W294,"")</f>
        <v/>
      </c>
      <c r="Z294" s="115">
        <f>IFERROR(R294/S294*1000,"")</f>
        <v/>
      </c>
      <c r="AA294" s="116" t="n">
        <v>20</v>
      </c>
      <c r="AB294" s="47">
        <f>IFERROR(AA294/W294,"")</f>
        <v/>
      </c>
      <c r="AC294" s="116" t="n">
        <v>0</v>
      </c>
      <c r="AD294" s="116" t="n">
        <v>0</v>
      </c>
      <c r="AE294" s="116" t="n">
        <v>0</v>
      </c>
      <c r="AF294" s="116" t="n">
        <v>0</v>
      </c>
      <c r="AG294" s="116" t="n">
        <v>0</v>
      </c>
      <c r="AH294" s="116" t="n">
        <v>0</v>
      </c>
      <c r="AI294" s="47">
        <f>IFERROR(AC294/S294,"")</f>
        <v/>
      </c>
      <c r="AJ294" s="47">
        <f>IFERROR(AH294/S294,"")</f>
        <v/>
      </c>
      <c r="AK294" s="116" t="n">
        <v>89</v>
      </c>
      <c r="AL294" s="116" t="n">
        <v>0</v>
      </c>
      <c r="AM294" s="118">
        <f>IFERROR(AL294/AA294,"")</f>
        <v/>
      </c>
      <c r="AN294" s="119">
        <f>IFERROR(R294/AL294,"")</f>
        <v/>
      </c>
      <c r="AO294" s="116" t="n">
        <v>0</v>
      </c>
      <c r="AP294" s="47">
        <f>IFERROR(AO294/AL294,"")</f>
        <v/>
      </c>
      <c r="AQ294" s="119">
        <f>IFERROR(R294/AO294,"")</f>
        <v/>
      </c>
      <c r="AR294" s="116" t="n">
        <v>0</v>
      </c>
      <c r="AS294" s="116" t="n">
        <v>0</v>
      </c>
      <c r="AT294" s="116">
        <f>AL294+AR294</f>
        <v/>
      </c>
      <c r="AU294" s="119">
        <f>IFERROR(AO294*Assumptions!$C$26*Assumptions!$C$27*INDEX(Assumptions!$C$18:$C$21,MATCH(H294,Assumptions!$B$18:$B$21,0)),0)</f>
        <v/>
      </c>
    </row>
    <row r="295">
      <c r="A295" s="114" t="n">
        <v>46257</v>
      </c>
      <c r="B295" s="42" t="inlineStr">
        <is>
          <t>Wk 34</t>
        </is>
      </c>
      <c r="C295" s="42" t="inlineStr">
        <is>
          <t>Sun</t>
        </is>
      </c>
      <c r="D295" s="42" t="inlineStr">
        <is>
          <t>Meta (FB/IG)</t>
        </is>
      </c>
      <c r="E295" s="42" t="inlineStr">
        <is>
          <t>Facebook + Instagram</t>
        </is>
      </c>
      <c r="F295" s="42" t="inlineStr">
        <is>
          <t>LEP_ZA_AUG26_META_TD_JAVAN_CONV</t>
        </is>
      </c>
      <c r="G295" s="42" t="inlineStr">
        <is>
          <t>Leads - Website Conversions</t>
        </is>
      </c>
      <c r="H295" s="42" t="inlineStr">
        <is>
          <t>JAVAN</t>
        </is>
      </c>
      <c r="I295" s="42" t="inlineStr">
        <is>
          <t>10% Deposit</t>
        </is>
      </c>
      <c r="J295" s="42" t="inlineStr">
        <is>
          <t>MET_JAVAN_BROAD_28-55_ZA</t>
        </is>
      </c>
      <c r="K295" s="42" t="inlineStr">
        <is>
          <t>Prospecting</t>
        </is>
      </c>
      <c r="L295" s="42" t="inlineStr">
        <is>
          <t>JAVAN_STA_Offer_10Dep_v1</t>
        </is>
      </c>
      <c r="M295" s="42" t="inlineStr">
        <is>
          <t>Static 1:1</t>
        </is>
      </c>
      <c r="N295" s="42" t="inlineStr">
        <is>
          <t>R4 299pm. 10% deposit.</t>
        </is>
      </c>
      <c r="O295" s="42" t="inlineStr">
        <is>
          <t>Auction - Lowest Cost</t>
        </is>
      </c>
      <c r="P295" s="42" t="inlineStr">
        <is>
          <t>Offsite Conversions</t>
        </is>
      </c>
      <c r="Q295" s="42" t="inlineStr">
        <is>
          <t>https://www.lepas-sa.co.za/offers/javan</t>
        </is>
      </c>
      <c r="R295" s="115" t="n">
        <v>203.51</v>
      </c>
      <c r="S295" s="116" t="n">
        <v>3707</v>
      </c>
      <c r="T295" s="116" t="n">
        <v>2576</v>
      </c>
      <c r="U295" s="117">
        <f>IFERROR(S295/T295,"")</f>
        <v/>
      </c>
      <c r="V295" s="116" t="n">
        <v>35</v>
      </c>
      <c r="W295" s="116" t="n">
        <v>27</v>
      </c>
      <c r="X295" s="118">
        <f>IFERROR(W295/S295,"")</f>
        <v/>
      </c>
      <c r="Y295" s="115">
        <f>IFERROR(R295/W295,"")</f>
        <v/>
      </c>
      <c r="Z295" s="115">
        <f>IFERROR(R295/S295*1000,"")</f>
        <v/>
      </c>
      <c r="AA295" s="116" t="n">
        <v>22</v>
      </c>
      <c r="AB295" s="47">
        <f>IFERROR(AA295/W295,"")</f>
        <v/>
      </c>
      <c r="AC295" s="116" t="n">
        <v>0</v>
      </c>
      <c r="AD295" s="116" t="n">
        <v>0</v>
      </c>
      <c r="AE295" s="116" t="n">
        <v>0</v>
      </c>
      <c r="AF295" s="116" t="n">
        <v>0</v>
      </c>
      <c r="AG295" s="116" t="n">
        <v>0</v>
      </c>
      <c r="AH295" s="116" t="n">
        <v>0</v>
      </c>
      <c r="AI295" s="47">
        <f>IFERROR(AC295/S295,"")</f>
        <v/>
      </c>
      <c r="AJ295" s="47">
        <f>IFERROR(AH295/S295,"")</f>
        <v/>
      </c>
      <c r="AK295" s="116" t="n">
        <v>67</v>
      </c>
      <c r="AL295" s="116" t="n">
        <v>0</v>
      </c>
      <c r="AM295" s="118">
        <f>IFERROR(AL295/AA295,"")</f>
        <v/>
      </c>
      <c r="AN295" s="119">
        <f>IFERROR(R295/AL295,"")</f>
        <v/>
      </c>
      <c r="AO295" s="116" t="n">
        <v>0</v>
      </c>
      <c r="AP295" s="47">
        <f>IFERROR(AO295/AL295,"")</f>
        <v/>
      </c>
      <c r="AQ295" s="119">
        <f>IFERROR(R295/AO295,"")</f>
        <v/>
      </c>
      <c r="AR295" s="116" t="n">
        <v>0</v>
      </c>
      <c r="AS295" s="116" t="n">
        <v>0</v>
      </c>
      <c r="AT295" s="116">
        <f>AL295+AR295</f>
        <v/>
      </c>
      <c r="AU295" s="119">
        <f>IFERROR(AO295*Assumptions!$C$26*Assumptions!$C$27*INDEX(Assumptions!$C$18:$C$21,MATCH(H295,Assumptions!$B$18:$B$21,0)),0)</f>
        <v/>
      </c>
    </row>
    <row r="296">
      <c r="A296" s="114" t="n">
        <v>46258</v>
      </c>
      <c r="B296" s="42" t="inlineStr">
        <is>
          <t>Wk 35</t>
        </is>
      </c>
      <c r="C296" s="42" t="inlineStr">
        <is>
          <t>Mon</t>
        </is>
      </c>
      <c r="D296" s="42" t="inlineStr">
        <is>
          <t>Meta (FB/IG)</t>
        </is>
      </c>
      <c r="E296" s="42" t="inlineStr">
        <is>
          <t>Facebook + Instagram</t>
        </is>
      </c>
      <c r="F296" s="42" t="inlineStr">
        <is>
          <t>LEP_ZA_AUG26_META_TD_JAVAN_CONV</t>
        </is>
      </c>
      <c r="G296" s="42" t="inlineStr">
        <is>
          <t>Leads - Website Conversions</t>
        </is>
      </c>
      <c r="H296" s="42" t="inlineStr">
        <is>
          <t>JAVAN</t>
        </is>
      </c>
      <c r="I296" s="42" t="inlineStr">
        <is>
          <t>10% Deposit</t>
        </is>
      </c>
      <c r="J296" s="42" t="inlineStr">
        <is>
          <t>MET_JAVAN_BROAD_28-55_ZA</t>
        </is>
      </c>
      <c r="K296" s="42" t="inlineStr">
        <is>
          <t>Prospecting</t>
        </is>
      </c>
      <c r="L296" s="42" t="inlineStr">
        <is>
          <t>JAVAN_STA_Offer_10Dep_v1</t>
        </is>
      </c>
      <c r="M296" s="42" t="inlineStr">
        <is>
          <t>Static 1:1</t>
        </is>
      </c>
      <c r="N296" s="42" t="inlineStr">
        <is>
          <t>R4 299pm. 10% deposit.</t>
        </is>
      </c>
      <c r="O296" s="42" t="inlineStr">
        <is>
          <t>Auction - Lowest Cost</t>
        </is>
      </c>
      <c r="P296" s="42" t="inlineStr">
        <is>
          <t>Offsite Conversions</t>
        </is>
      </c>
      <c r="Q296" s="42" t="inlineStr">
        <is>
          <t>https://www.lepas-sa.co.za/offers/javan</t>
        </is>
      </c>
      <c r="R296" s="115" t="n">
        <v>232.65</v>
      </c>
      <c r="S296" s="116" t="n">
        <v>2831</v>
      </c>
      <c r="T296" s="116" t="n">
        <v>1475</v>
      </c>
      <c r="U296" s="117">
        <f>IFERROR(S296/T296,"")</f>
        <v/>
      </c>
      <c r="V296" s="116" t="n">
        <v>31</v>
      </c>
      <c r="W296" s="116" t="n">
        <v>23</v>
      </c>
      <c r="X296" s="118">
        <f>IFERROR(W296/S296,"")</f>
        <v/>
      </c>
      <c r="Y296" s="115">
        <f>IFERROR(R296/W296,"")</f>
        <v/>
      </c>
      <c r="Z296" s="115">
        <f>IFERROR(R296/S296*1000,"")</f>
        <v/>
      </c>
      <c r="AA296" s="116" t="n">
        <v>20</v>
      </c>
      <c r="AB296" s="47">
        <f>IFERROR(AA296/W296,"")</f>
        <v/>
      </c>
      <c r="AC296" s="116" t="n">
        <v>0</v>
      </c>
      <c r="AD296" s="116" t="n">
        <v>0</v>
      </c>
      <c r="AE296" s="116" t="n">
        <v>0</v>
      </c>
      <c r="AF296" s="116" t="n">
        <v>0</v>
      </c>
      <c r="AG296" s="116" t="n">
        <v>0</v>
      </c>
      <c r="AH296" s="116" t="n">
        <v>0</v>
      </c>
      <c r="AI296" s="47">
        <f>IFERROR(AC296/S296,"")</f>
        <v/>
      </c>
      <c r="AJ296" s="47">
        <f>IFERROR(AH296/S296,"")</f>
        <v/>
      </c>
      <c r="AK296" s="116" t="n">
        <v>79</v>
      </c>
      <c r="AL296" s="116" t="n">
        <v>1</v>
      </c>
      <c r="AM296" s="118">
        <f>IFERROR(AL296/AA296,"")</f>
        <v/>
      </c>
      <c r="AN296" s="119">
        <f>IFERROR(R296/AL296,"")</f>
        <v/>
      </c>
      <c r="AO296" s="116" t="n">
        <v>1</v>
      </c>
      <c r="AP296" s="47">
        <f>IFERROR(AO296/AL296,"")</f>
        <v/>
      </c>
      <c r="AQ296" s="119">
        <f>IFERROR(R296/AO296,"")</f>
        <v/>
      </c>
      <c r="AR296" s="116" t="n">
        <v>0</v>
      </c>
      <c r="AS296" s="116" t="n">
        <v>0</v>
      </c>
      <c r="AT296" s="116">
        <f>AL296+AR296</f>
        <v/>
      </c>
      <c r="AU296" s="119">
        <f>IFERROR(AO296*Assumptions!$C$26*Assumptions!$C$27*INDEX(Assumptions!$C$18:$C$21,MATCH(H296,Assumptions!$B$18:$B$21,0)),0)</f>
        <v/>
      </c>
    </row>
    <row r="297">
      <c r="A297" s="114" t="n">
        <v>46259</v>
      </c>
      <c r="B297" s="42" t="inlineStr">
        <is>
          <t>Wk 35</t>
        </is>
      </c>
      <c r="C297" s="42" t="inlineStr">
        <is>
          <t>Tue</t>
        </is>
      </c>
      <c r="D297" s="42" t="inlineStr">
        <is>
          <t>Meta (FB/IG)</t>
        </is>
      </c>
      <c r="E297" s="42" t="inlineStr">
        <is>
          <t>Facebook + Instagram</t>
        </is>
      </c>
      <c r="F297" s="42" t="inlineStr">
        <is>
          <t>LEP_ZA_AUG26_META_TD_JAVAN_CONV</t>
        </is>
      </c>
      <c r="G297" s="42" t="inlineStr">
        <is>
          <t>Leads - Website Conversions</t>
        </is>
      </c>
      <c r="H297" s="42" t="inlineStr">
        <is>
          <t>JAVAN</t>
        </is>
      </c>
      <c r="I297" s="42" t="inlineStr">
        <is>
          <t>10% Deposit</t>
        </is>
      </c>
      <c r="J297" s="42" t="inlineStr">
        <is>
          <t>MET_JAVAN_BROAD_28-55_ZA</t>
        </is>
      </c>
      <c r="K297" s="42" t="inlineStr">
        <is>
          <t>Prospecting</t>
        </is>
      </c>
      <c r="L297" s="42" t="inlineStr">
        <is>
          <t>JAVAN_STA_Offer_10Dep_v1</t>
        </is>
      </c>
      <c r="M297" s="42" t="inlineStr">
        <is>
          <t>Static 1:1</t>
        </is>
      </c>
      <c r="N297" s="42" t="inlineStr">
        <is>
          <t>R4 299pm. 10% deposit.</t>
        </is>
      </c>
      <c r="O297" s="42" t="inlineStr">
        <is>
          <t>Auction - Lowest Cost</t>
        </is>
      </c>
      <c r="P297" s="42" t="inlineStr">
        <is>
          <t>Offsite Conversions</t>
        </is>
      </c>
      <c r="Q297" s="42" t="inlineStr">
        <is>
          <t>https://www.lepas-sa.co.za/offers/javan</t>
        </is>
      </c>
      <c r="R297" s="115" t="n">
        <v>226.3</v>
      </c>
      <c r="S297" s="116" t="n">
        <v>2826</v>
      </c>
      <c r="T297" s="116" t="n">
        <v>1445</v>
      </c>
      <c r="U297" s="117">
        <f>IFERROR(S297/T297,"")</f>
        <v/>
      </c>
      <c r="V297" s="116" t="n">
        <v>35</v>
      </c>
      <c r="W297" s="116" t="n">
        <v>25</v>
      </c>
      <c r="X297" s="118">
        <f>IFERROR(W297/S297,"")</f>
        <v/>
      </c>
      <c r="Y297" s="115">
        <f>IFERROR(R297/W297,"")</f>
        <v/>
      </c>
      <c r="Z297" s="115">
        <f>IFERROR(R297/S297*1000,"")</f>
        <v/>
      </c>
      <c r="AA297" s="116" t="n">
        <v>21</v>
      </c>
      <c r="AB297" s="47">
        <f>IFERROR(AA297/W297,"")</f>
        <v/>
      </c>
      <c r="AC297" s="116" t="n">
        <v>0</v>
      </c>
      <c r="AD297" s="116" t="n">
        <v>0</v>
      </c>
      <c r="AE297" s="116" t="n">
        <v>0</v>
      </c>
      <c r="AF297" s="116" t="n">
        <v>0</v>
      </c>
      <c r="AG297" s="116" t="n">
        <v>0</v>
      </c>
      <c r="AH297" s="116" t="n">
        <v>0</v>
      </c>
      <c r="AI297" s="47">
        <f>IFERROR(AC297/S297,"")</f>
        <v/>
      </c>
      <c r="AJ297" s="47">
        <f>IFERROR(AH297/S297,"")</f>
        <v/>
      </c>
      <c r="AK297" s="116" t="n">
        <v>91</v>
      </c>
      <c r="AL297" s="116" t="n">
        <v>1</v>
      </c>
      <c r="AM297" s="118">
        <f>IFERROR(AL297/AA297,"")</f>
        <v/>
      </c>
      <c r="AN297" s="119">
        <f>IFERROR(R297/AL297,"")</f>
        <v/>
      </c>
      <c r="AO297" s="116" t="n">
        <v>0</v>
      </c>
      <c r="AP297" s="47">
        <f>IFERROR(AO297/AL297,"")</f>
        <v/>
      </c>
      <c r="AQ297" s="119">
        <f>IFERROR(R297/AO297,"")</f>
        <v/>
      </c>
      <c r="AR297" s="116" t="n">
        <v>1</v>
      </c>
      <c r="AS297" s="116" t="n">
        <v>0</v>
      </c>
      <c r="AT297" s="116">
        <f>AL297+AR297</f>
        <v/>
      </c>
      <c r="AU297" s="119">
        <f>IFERROR(AO297*Assumptions!$C$26*Assumptions!$C$27*INDEX(Assumptions!$C$18:$C$21,MATCH(H297,Assumptions!$B$18:$B$21,0)),0)</f>
        <v/>
      </c>
    </row>
    <row r="298">
      <c r="A298" s="114" t="n">
        <v>46260</v>
      </c>
      <c r="B298" s="42" t="inlineStr">
        <is>
          <t>Wk 35</t>
        </is>
      </c>
      <c r="C298" s="42" t="inlineStr">
        <is>
          <t>Wed</t>
        </is>
      </c>
      <c r="D298" s="42" t="inlineStr">
        <is>
          <t>Meta (FB/IG)</t>
        </is>
      </c>
      <c r="E298" s="42" t="inlineStr">
        <is>
          <t>Facebook + Instagram</t>
        </is>
      </c>
      <c r="F298" s="42" t="inlineStr">
        <is>
          <t>LEP_ZA_AUG26_META_TD_JAVAN_CONV</t>
        </is>
      </c>
      <c r="G298" s="42" t="inlineStr">
        <is>
          <t>Leads - Website Conversions</t>
        </is>
      </c>
      <c r="H298" s="42" t="inlineStr">
        <is>
          <t>JAVAN</t>
        </is>
      </c>
      <c r="I298" s="42" t="inlineStr">
        <is>
          <t>10% Deposit</t>
        </is>
      </c>
      <c r="J298" s="42" t="inlineStr">
        <is>
          <t>MET_JAVAN_BROAD_28-55_ZA</t>
        </is>
      </c>
      <c r="K298" s="42" t="inlineStr">
        <is>
          <t>Prospecting</t>
        </is>
      </c>
      <c r="L298" s="42" t="inlineStr">
        <is>
          <t>JAVAN_STA_Offer_10Dep_v1</t>
        </is>
      </c>
      <c r="M298" s="42" t="inlineStr">
        <is>
          <t>Static 1:1</t>
        </is>
      </c>
      <c r="N298" s="42" t="inlineStr">
        <is>
          <t>R4 299pm. 10% deposit.</t>
        </is>
      </c>
      <c r="O298" s="42" t="inlineStr">
        <is>
          <t>Auction - Lowest Cost</t>
        </is>
      </c>
      <c r="P298" s="42" t="inlineStr">
        <is>
          <t>Offsite Conversions</t>
        </is>
      </c>
      <c r="Q298" s="42" t="inlineStr">
        <is>
          <t>https://www.lepas-sa.co.za/offers/javan</t>
        </is>
      </c>
      <c r="R298" s="115" t="n">
        <v>199.03</v>
      </c>
      <c r="S298" s="116" t="n">
        <v>2911</v>
      </c>
      <c r="T298" s="116" t="n">
        <v>1818</v>
      </c>
      <c r="U298" s="117">
        <f>IFERROR(S298/T298,"")</f>
        <v/>
      </c>
      <c r="V298" s="116" t="n">
        <v>34</v>
      </c>
      <c r="W298" s="116" t="n">
        <v>25</v>
      </c>
      <c r="X298" s="118">
        <f>IFERROR(W298/S298,"")</f>
        <v/>
      </c>
      <c r="Y298" s="115">
        <f>IFERROR(R298/W298,"")</f>
        <v/>
      </c>
      <c r="Z298" s="115">
        <f>IFERROR(R298/S298*1000,"")</f>
        <v/>
      </c>
      <c r="AA298" s="116" t="n">
        <v>20</v>
      </c>
      <c r="AB298" s="47">
        <f>IFERROR(AA298/W298,"")</f>
        <v/>
      </c>
      <c r="AC298" s="116" t="n">
        <v>0</v>
      </c>
      <c r="AD298" s="116" t="n">
        <v>0</v>
      </c>
      <c r="AE298" s="116" t="n">
        <v>0</v>
      </c>
      <c r="AF298" s="116" t="n">
        <v>0</v>
      </c>
      <c r="AG298" s="116" t="n">
        <v>0</v>
      </c>
      <c r="AH298" s="116" t="n">
        <v>0</v>
      </c>
      <c r="AI298" s="47">
        <f>IFERROR(AC298/S298,"")</f>
        <v/>
      </c>
      <c r="AJ298" s="47">
        <f>IFERROR(AH298/S298,"")</f>
        <v/>
      </c>
      <c r="AK298" s="116" t="n">
        <v>99</v>
      </c>
      <c r="AL298" s="116" t="n">
        <v>1</v>
      </c>
      <c r="AM298" s="118">
        <f>IFERROR(AL298/AA298,"")</f>
        <v/>
      </c>
      <c r="AN298" s="119">
        <f>IFERROR(R298/AL298,"")</f>
        <v/>
      </c>
      <c r="AO298" s="116" t="n">
        <v>0</v>
      </c>
      <c r="AP298" s="47">
        <f>IFERROR(AO298/AL298,"")</f>
        <v/>
      </c>
      <c r="AQ298" s="119">
        <f>IFERROR(R298/AO298,"")</f>
        <v/>
      </c>
      <c r="AR298" s="116" t="n">
        <v>0</v>
      </c>
      <c r="AS298" s="116" t="n">
        <v>0</v>
      </c>
      <c r="AT298" s="116">
        <f>AL298+AR298</f>
        <v/>
      </c>
      <c r="AU298" s="119">
        <f>IFERROR(AO298*Assumptions!$C$26*Assumptions!$C$27*INDEX(Assumptions!$C$18:$C$21,MATCH(H298,Assumptions!$B$18:$B$21,0)),0)</f>
        <v/>
      </c>
    </row>
    <row r="299">
      <c r="A299" s="114" t="n">
        <v>46261</v>
      </c>
      <c r="B299" s="42" t="inlineStr">
        <is>
          <t>Wk 35</t>
        </is>
      </c>
      <c r="C299" s="42" t="inlineStr">
        <is>
          <t>Thu</t>
        </is>
      </c>
      <c r="D299" s="42" t="inlineStr">
        <is>
          <t>Meta (FB/IG)</t>
        </is>
      </c>
      <c r="E299" s="42" t="inlineStr">
        <is>
          <t>Facebook + Instagram</t>
        </is>
      </c>
      <c r="F299" s="42" t="inlineStr">
        <is>
          <t>LEP_ZA_AUG26_META_TD_JAVAN_CONV</t>
        </is>
      </c>
      <c r="G299" s="42" t="inlineStr">
        <is>
          <t>Leads - Website Conversions</t>
        </is>
      </c>
      <c r="H299" s="42" t="inlineStr">
        <is>
          <t>JAVAN</t>
        </is>
      </c>
      <c r="I299" s="42" t="inlineStr">
        <is>
          <t>10% Deposit</t>
        </is>
      </c>
      <c r="J299" s="42" t="inlineStr">
        <is>
          <t>MET_JAVAN_BROAD_28-55_ZA</t>
        </is>
      </c>
      <c r="K299" s="42" t="inlineStr">
        <is>
          <t>Prospecting</t>
        </is>
      </c>
      <c r="L299" s="42" t="inlineStr">
        <is>
          <t>JAVAN_STA_Offer_10Dep_v1</t>
        </is>
      </c>
      <c r="M299" s="42" t="inlineStr">
        <is>
          <t>Static 1:1</t>
        </is>
      </c>
      <c r="N299" s="42" t="inlineStr">
        <is>
          <t>R4 299pm. 10% deposit.</t>
        </is>
      </c>
      <c r="O299" s="42" t="inlineStr">
        <is>
          <t>Auction - Lowest Cost</t>
        </is>
      </c>
      <c r="P299" s="42" t="inlineStr">
        <is>
          <t>Offsite Conversions</t>
        </is>
      </c>
      <c r="Q299" s="42" t="inlineStr">
        <is>
          <t>https://www.lepas-sa.co.za/offers/javan</t>
        </is>
      </c>
      <c r="R299" s="115" t="n">
        <v>298.46</v>
      </c>
      <c r="S299" s="116" t="n">
        <v>4139</v>
      </c>
      <c r="T299" s="116" t="n">
        <v>2286</v>
      </c>
      <c r="U299" s="117">
        <f>IFERROR(S299/T299,"")</f>
        <v/>
      </c>
      <c r="V299" s="116" t="n">
        <v>58</v>
      </c>
      <c r="W299" s="116" t="n">
        <v>48</v>
      </c>
      <c r="X299" s="118">
        <f>IFERROR(W299/S299,"")</f>
        <v/>
      </c>
      <c r="Y299" s="115">
        <f>IFERROR(R299/W299,"")</f>
        <v/>
      </c>
      <c r="Z299" s="115">
        <f>IFERROR(R299/S299*1000,"")</f>
        <v/>
      </c>
      <c r="AA299" s="116" t="n">
        <v>40</v>
      </c>
      <c r="AB299" s="47">
        <f>IFERROR(AA299/W299,"")</f>
        <v/>
      </c>
      <c r="AC299" s="116" t="n">
        <v>0</v>
      </c>
      <c r="AD299" s="116" t="n">
        <v>0</v>
      </c>
      <c r="AE299" s="116" t="n">
        <v>0</v>
      </c>
      <c r="AF299" s="116" t="n">
        <v>0</v>
      </c>
      <c r="AG299" s="116" t="n">
        <v>0</v>
      </c>
      <c r="AH299" s="116" t="n">
        <v>0</v>
      </c>
      <c r="AI299" s="47">
        <f>IFERROR(AC299/S299,"")</f>
        <v/>
      </c>
      <c r="AJ299" s="47">
        <f>IFERROR(AH299/S299,"")</f>
        <v/>
      </c>
      <c r="AK299" s="116" t="n">
        <v>128</v>
      </c>
      <c r="AL299" s="116" t="n">
        <v>1</v>
      </c>
      <c r="AM299" s="118">
        <f>IFERROR(AL299/AA299,"")</f>
        <v/>
      </c>
      <c r="AN299" s="119">
        <f>IFERROR(R299/AL299,"")</f>
        <v/>
      </c>
      <c r="AO299" s="116" t="n">
        <v>1</v>
      </c>
      <c r="AP299" s="47">
        <f>IFERROR(AO299/AL299,"")</f>
        <v/>
      </c>
      <c r="AQ299" s="119">
        <f>IFERROR(R299/AO299,"")</f>
        <v/>
      </c>
      <c r="AR299" s="116" t="n">
        <v>0</v>
      </c>
      <c r="AS299" s="116" t="n">
        <v>1</v>
      </c>
      <c r="AT299" s="116">
        <f>AL299+AR299</f>
        <v/>
      </c>
      <c r="AU299" s="119">
        <f>IFERROR(AO299*Assumptions!$C$26*Assumptions!$C$27*INDEX(Assumptions!$C$18:$C$21,MATCH(H299,Assumptions!$B$18:$B$21,0)),0)</f>
        <v/>
      </c>
    </row>
    <row r="300">
      <c r="A300" s="114" t="n">
        <v>46262</v>
      </c>
      <c r="B300" s="42" t="inlineStr">
        <is>
          <t>Wk 35</t>
        </is>
      </c>
      <c r="C300" s="42" t="inlineStr">
        <is>
          <t>Fri</t>
        </is>
      </c>
      <c r="D300" s="42" t="inlineStr">
        <is>
          <t>Meta (FB/IG)</t>
        </is>
      </c>
      <c r="E300" s="42" t="inlineStr">
        <is>
          <t>Facebook + Instagram</t>
        </is>
      </c>
      <c r="F300" s="42" t="inlineStr">
        <is>
          <t>LEP_ZA_AUG26_META_TD_JAVAN_CONV</t>
        </is>
      </c>
      <c r="G300" s="42" t="inlineStr">
        <is>
          <t>Leads - Website Conversions</t>
        </is>
      </c>
      <c r="H300" s="42" t="inlineStr">
        <is>
          <t>JAVAN</t>
        </is>
      </c>
      <c r="I300" s="42" t="inlineStr">
        <is>
          <t>10% Deposit</t>
        </is>
      </c>
      <c r="J300" s="42" t="inlineStr">
        <is>
          <t>MET_JAVAN_BROAD_28-55_ZA</t>
        </is>
      </c>
      <c r="K300" s="42" t="inlineStr">
        <is>
          <t>Prospecting</t>
        </is>
      </c>
      <c r="L300" s="42" t="inlineStr">
        <is>
          <t>JAVAN_STA_Offer_10Dep_v1</t>
        </is>
      </c>
      <c r="M300" s="42" t="inlineStr">
        <is>
          <t>Static 1:1</t>
        </is>
      </c>
      <c r="N300" s="42" t="inlineStr">
        <is>
          <t>R4 299pm. 10% deposit.</t>
        </is>
      </c>
      <c r="O300" s="42" t="inlineStr">
        <is>
          <t>Auction - Lowest Cost</t>
        </is>
      </c>
      <c r="P300" s="42" t="inlineStr">
        <is>
          <t>Offsite Conversions</t>
        </is>
      </c>
      <c r="Q300" s="42" t="inlineStr">
        <is>
          <t>https://www.lepas-sa.co.za/offers/javan</t>
        </is>
      </c>
      <c r="R300" s="115" t="n">
        <v>261.29</v>
      </c>
      <c r="S300" s="116" t="n">
        <v>4451</v>
      </c>
      <c r="T300" s="116" t="n">
        <v>2295</v>
      </c>
      <c r="U300" s="117">
        <f>IFERROR(S300/T300,"")</f>
        <v/>
      </c>
      <c r="V300" s="116" t="n">
        <v>31</v>
      </c>
      <c r="W300" s="116" t="n">
        <v>22</v>
      </c>
      <c r="X300" s="118">
        <f>IFERROR(W300/S300,"")</f>
        <v/>
      </c>
      <c r="Y300" s="115">
        <f>IFERROR(R300/W300,"")</f>
        <v/>
      </c>
      <c r="Z300" s="115">
        <f>IFERROR(R300/S300*1000,"")</f>
        <v/>
      </c>
      <c r="AA300" s="116" t="n">
        <v>20</v>
      </c>
      <c r="AB300" s="47">
        <f>IFERROR(AA300/W300,"")</f>
        <v/>
      </c>
      <c r="AC300" s="116" t="n">
        <v>0</v>
      </c>
      <c r="AD300" s="116" t="n">
        <v>0</v>
      </c>
      <c r="AE300" s="116" t="n">
        <v>0</v>
      </c>
      <c r="AF300" s="116" t="n">
        <v>0</v>
      </c>
      <c r="AG300" s="116" t="n">
        <v>0</v>
      </c>
      <c r="AH300" s="116" t="n">
        <v>0</v>
      </c>
      <c r="AI300" s="47">
        <f>IFERROR(AC300/S300,"")</f>
        <v/>
      </c>
      <c r="AJ300" s="47">
        <f>IFERROR(AH300/S300,"")</f>
        <v/>
      </c>
      <c r="AK300" s="116" t="n">
        <v>79</v>
      </c>
      <c r="AL300" s="116" t="n">
        <v>0</v>
      </c>
      <c r="AM300" s="118">
        <f>IFERROR(AL300/AA300,"")</f>
        <v/>
      </c>
      <c r="AN300" s="119">
        <f>IFERROR(R300/AL300,"")</f>
        <v/>
      </c>
      <c r="AO300" s="116" t="n">
        <v>0</v>
      </c>
      <c r="AP300" s="47">
        <f>IFERROR(AO300/AL300,"")</f>
        <v/>
      </c>
      <c r="AQ300" s="119">
        <f>IFERROR(R300/AO300,"")</f>
        <v/>
      </c>
      <c r="AR300" s="116" t="n">
        <v>0</v>
      </c>
      <c r="AS300" s="116" t="n">
        <v>0</v>
      </c>
      <c r="AT300" s="116">
        <f>AL300+AR300</f>
        <v/>
      </c>
      <c r="AU300" s="119">
        <f>IFERROR(AO300*Assumptions!$C$26*Assumptions!$C$27*INDEX(Assumptions!$C$18:$C$21,MATCH(H300,Assumptions!$B$18:$B$21,0)),0)</f>
        <v/>
      </c>
    </row>
    <row r="301">
      <c r="A301" s="114" t="n">
        <v>46263</v>
      </c>
      <c r="B301" s="42" t="inlineStr">
        <is>
          <t>Wk 35</t>
        </is>
      </c>
      <c r="C301" s="42" t="inlineStr">
        <is>
          <t>Sat</t>
        </is>
      </c>
      <c r="D301" s="42" t="inlineStr">
        <is>
          <t>Meta (FB/IG)</t>
        </is>
      </c>
      <c r="E301" s="42" t="inlineStr">
        <is>
          <t>Facebook + Instagram</t>
        </is>
      </c>
      <c r="F301" s="42" t="inlineStr">
        <is>
          <t>LEP_ZA_AUG26_META_TD_JAVAN_CONV</t>
        </is>
      </c>
      <c r="G301" s="42" t="inlineStr">
        <is>
          <t>Leads - Website Conversions</t>
        </is>
      </c>
      <c r="H301" s="42" t="inlineStr">
        <is>
          <t>JAVAN</t>
        </is>
      </c>
      <c r="I301" s="42" t="inlineStr">
        <is>
          <t>10% Deposit</t>
        </is>
      </c>
      <c r="J301" s="42" t="inlineStr">
        <is>
          <t>MET_JAVAN_BROAD_28-55_ZA</t>
        </is>
      </c>
      <c r="K301" s="42" t="inlineStr">
        <is>
          <t>Prospecting</t>
        </is>
      </c>
      <c r="L301" s="42" t="inlineStr">
        <is>
          <t>JAVAN_STA_Offer_10Dep_v1</t>
        </is>
      </c>
      <c r="M301" s="42" t="inlineStr">
        <is>
          <t>Static 1:1</t>
        </is>
      </c>
      <c r="N301" s="42" t="inlineStr">
        <is>
          <t>R4 299pm. 10% deposit.</t>
        </is>
      </c>
      <c r="O301" s="42" t="inlineStr">
        <is>
          <t>Auction - Lowest Cost</t>
        </is>
      </c>
      <c r="P301" s="42" t="inlineStr">
        <is>
          <t>Offsite Conversions</t>
        </is>
      </c>
      <c r="Q301" s="42" t="inlineStr">
        <is>
          <t>https://www.lepas-sa.co.za/offers/javan</t>
        </is>
      </c>
      <c r="R301" s="115" t="n">
        <v>341.76</v>
      </c>
      <c r="S301" s="116" t="n">
        <v>5018</v>
      </c>
      <c r="T301" s="116" t="n">
        <v>2415</v>
      </c>
      <c r="U301" s="117">
        <f>IFERROR(S301/T301,"")</f>
        <v/>
      </c>
      <c r="V301" s="116" t="n">
        <v>44</v>
      </c>
      <c r="W301" s="116" t="n">
        <v>34</v>
      </c>
      <c r="X301" s="118">
        <f>IFERROR(W301/S301,"")</f>
        <v/>
      </c>
      <c r="Y301" s="115">
        <f>IFERROR(R301/W301,"")</f>
        <v/>
      </c>
      <c r="Z301" s="115">
        <f>IFERROR(R301/S301*1000,"")</f>
        <v/>
      </c>
      <c r="AA301" s="116" t="n">
        <v>29</v>
      </c>
      <c r="AB301" s="47">
        <f>IFERROR(AA301/W301,"")</f>
        <v/>
      </c>
      <c r="AC301" s="116" t="n">
        <v>0</v>
      </c>
      <c r="AD301" s="116" t="n">
        <v>0</v>
      </c>
      <c r="AE301" s="116" t="n">
        <v>0</v>
      </c>
      <c r="AF301" s="116" t="n">
        <v>0</v>
      </c>
      <c r="AG301" s="116" t="n">
        <v>0</v>
      </c>
      <c r="AH301" s="116" t="n">
        <v>0</v>
      </c>
      <c r="AI301" s="47">
        <f>IFERROR(AC301/S301,"")</f>
        <v/>
      </c>
      <c r="AJ301" s="47">
        <f>IFERROR(AH301/S301,"")</f>
        <v/>
      </c>
      <c r="AK301" s="116" t="n">
        <v>133</v>
      </c>
      <c r="AL301" s="116" t="n">
        <v>0</v>
      </c>
      <c r="AM301" s="118">
        <f>IFERROR(AL301/AA301,"")</f>
        <v/>
      </c>
      <c r="AN301" s="119">
        <f>IFERROR(R301/AL301,"")</f>
        <v/>
      </c>
      <c r="AO301" s="116" t="n">
        <v>0</v>
      </c>
      <c r="AP301" s="47">
        <f>IFERROR(AO301/AL301,"")</f>
        <v/>
      </c>
      <c r="AQ301" s="119">
        <f>IFERROR(R301/AO301,"")</f>
        <v/>
      </c>
      <c r="AR301" s="116" t="n">
        <v>0</v>
      </c>
      <c r="AS301" s="116" t="n">
        <v>0</v>
      </c>
      <c r="AT301" s="116">
        <f>AL301+AR301</f>
        <v/>
      </c>
      <c r="AU301" s="119">
        <f>IFERROR(AO301*Assumptions!$C$26*Assumptions!$C$27*INDEX(Assumptions!$C$18:$C$21,MATCH(H301,Assumptions!$B$18:$B$21,0)),0)</f>
        <v/>
      </c>
    </row>
    <row r="302">
      <c r="A302" s="114" t="n">
        <v>46264</v>
      </c>
      <c r="B302" s="42" t="inlineStr">
        <is>
          <t>Wk 35</t>
        </is>
      </c>
      <c r="C302" s="42" t="inlineStr">
        <is>
          <t>Sun</t>
        </is>
      </c>
      <c r="D302" s="42" t="inlineStr">
        <is>
          <t>Meta (FB/IG)</t>
        </is>
      </c>
      <c r="E302" s="42" t="inlineStr">
        <is>
          <t>Facebook + Instagram</t>
        </is>
      </c>
      <c r="F302" s="42" t="inlineStr">
        <is>
          <t>LEP_ZA_AUG26_META_TD_JAVAN_CONV</t>
        </is>
      </c>
      <c r="G302" s="42" t="inlineStr">
        <is>
          <t>Leads - Website Conversions</t>
        </is>
      </c>
      <c r="H302" s="42" t="inlineStr">
        <is>
          <t>JAVAN</t>
        </is>
      </c>
      <c r="I302" s="42" t="inlineStr">
        <is>
          <t>10% Deposit</t>
        </is>
      </c>
      <c r="J302" s="42" t="inlineStr">
        <is>
          <t>MET_JAVAN_BROAD_28-55_ZA</t>
        </is>
      </c>
      <c r="K302" s="42" t="inlineStr">
        <is>
          <t>Prospecting</t>
        </is>
      </c>
      <c r="L302" s="42" t="inlineStr">
        <is>
          <t>JAVAN_STA_Offer_10Dep_v1</t>
        </is>
      </c>
      <c r="M302" s="42" t="inlineStr">
        <is>
          <t>Static 1:1</t>
        </is>
      </c>
      <c r="N302" s="42" t="inlineStr">
        <is>
          <t>R4 299pm. 10% deposit.</t>
        </is>
      </c>
      <c r="O302" s="42" t="inlineStr">
        <is>
          <t>Auction - Lowest Cost</t>
        </is>
      </c>
      <c r="P302" s="42" t="inlineStr">
        <is>
          <t>Offsite Conversions</t>
        </is>
      </c>
      <c r="Q302" s="42" t="inlineStr">
        <is>
          <t>https://www.lepas-sa.co.za/offers/javan</t>
        </is>
      </c>
      <c r="R302" s="115" t="n">
        <v>209.67</v>
      </c>
      <c r="S302" s="116" t="n">
        <v>3426</v>
      </c>
      <c r="T302" s="116" t="n">
        <v>2103</v>
      </c>
      <c r="U302" s="117">
        <f>IFERROR(S302/T302,"")</f>
        <v/>
      </c>
      <c r="V302" s="116" t="n">
        <v>58</v>
      </c>
      <c r="W302" s="116" t="n">
        <v>41</v>
      </c>
      <c r="X302" s="118">
        <f>IFERROR(W302/S302,"")</f>
        <v/>
      </c>
      <c r="Y302" s="115">
        <f>IFERROR(R302/W302,"")</f>
        <v/>
      </c>
      <c r="Z302" s="115">
        <f>IFERROR(R302/S302*1000,"")</f>
        <v/>
      </c>
      <c r="AA302" s="116" t="n">
        <v>36</v>
      </c>
      <c r="AB302" s="47">
        <f>IFERROR(AA302/W302,"")</f>
        <v/>
      </c>
      <c r="AC302" s="116" t="n">
        <v>0</v>
      </c>
      <c r="AD302" s="116" t="n">
        <v>0</v>
      </c>
      <c r="AE302" s="116" t="n">
        <v>0</v>
      </c>
      <c r="AF302" s="116" t="n">
        <v>0</v>
      </c>
      <c r="AG302" s="116" t="n">
        <v>0</v>
      </c>
      <c r="AH302" s="116" t="n">
        <v>0</v>
      </c>
      <c r="AI302" s="47">
        <f>IFERROR(AC302/S302,"")</f>
        <v/>
      </c>
      <c r="AJ302" s="47">
        <f>IFERROR(AH302/S302,"")</f>
        <v/>
      </c>
      <c r="AK302" s="116" t="n">
        <v>108</v>
      </c>
      <c r="AL302" s="116" t="n">
        <v>0</v>
      </c>
      <c r="AM302" s="118">
        <f>IFERROR(AL302/AA302,"")</f>
        <v/>
      </c>
      <c r="AN302" s="119">
        <f>IFERROR(R302/AL302,"")</f>
        <v/>
      </c>
      <c r="AO302" s="116" t="n">
        <v>0</v>
      </c>
      <c r="AP302" s="47">
        <f>IFERROR(AO302/AL302,"")</f>
        <v/>
      </c>
      <c r="AQ302" s="119">
        <f>IFERROR(R302/AO302,"")</f>
        <v/>
      </c>
      <c r="AR302" s="116" t="n">
        <v>0</v>
      </c>
      <c r="AS302" s="116" t="n">
        <v>0</v>
      </c>
      <c r="AT302" s="116">
        <f>AL302+AR302</f>
        <v/>
      </c>
      <c r="AU302" s="119">
        <f>IFERROR(AO302*Assumptions!$C$26*Assumptions!$C$27*INDEX(Assumptions!$C$18:$C$21,MATCH(H302,Assumptions!$B$18:$B$21,0)),0)</f>
        <v/>
      </c>
    </row>
    <row r="303">
      <c r="A303" s="114" t="n">
        <v>46265</v>
      </c>
      <c r="B303" s="42" t="inlineStr">
        <is>
          <t>Wk 36</t>
        </is>
      </c>
      <c r="C303" s="42" t="inlineStr">
        <is>
          <t>Mon</t>
        </is>
      </c>
      <c r="D303" s="42" t="inlineStr">
        <is>
          <t>Meta (FB/IG)</t>
        </is>
      </c>
      <c r="E303" s="42" t="inlineStr">
        <is>
          <t>Facebook + Instagram</t>
        </is>
      </c>
      <c r="F303" s="42" t="inlineStr">
        <is>
          <t>LEP_ZA_AUG26_META_TD_JAVAN_CONV</t>
        </is>
      </c>
      <c r="G303" s="42" t="inlineStr">
        <is>
          <t>Leads - Website Conversions</t>
        </is>
      </c>
      <c r="H303" s="42" t="inlineStr">
        <is>
          <t>JAVAN</t>
        </is>
      </c>
      <c r="I303" s="42" t="inlineStr">
        <is>
          <t>10% Deposit</t>
        </is>
      </c>
      <c r="J303" s="42" t="inlineStr">
        <is>
          <t>MET_JAVAN_BROAD_28-55_ZA</t>
        </is>
      </c>
      <c r="K303" s="42" t="inlineStr">
        <is>
          <t>Prospecting</t>
        </is>
      </c>
      <c r="L303" s="42" t="inlineStr">
        <is>
          <t>JAVAN_STA_Offer_10Dep_v1</t>
        </is>
      </c>
      <c r="M303" s="42" t="inlineStr">
        <is>
          <t>Static 1:1</t>
        </is>
      </c>
      <c r="N303" s="42" t="inlineStr">
        <is>
          <t>R4 299pm. 10% deposit.</t>
        </is>
      </c>
      <c r="O303" s="42" t="inlineStr">
        <is>
          <t>Auction - Lowest Cost</t>
        </is>
      </c>
      <c r="P303" s="42" t="inlineStr">
        <is>
          <t>Offsite Conversions</t>
        </is>
      </c>
      <c r="Q303" s="42" t="inlineStr">
        <is>
          <t>https://www.lepas-sa.co.za/offers/javan</t>
        </is>
      </c>
      <c r="R303" s="115" t="n">
        <v>252.31</v>
      </c>
      <c r="S303" s="116" t="n">
        <v>4665</v>
      </c>
      <c r="T303" s="116" t="n">
        <v>2577</v>
      </c>
      <c r="U303" s="117">
        <f>IFERROR(S303/T303,"")</f>
        <v/>
      </c>
      <c r="V303" s="116" t="n">
        <v>53</v>
      </c>
      <c r="W303" s="116" t="n">
        <v>44</v>
      </c>
      <c r="X303" s="118">
        <f>IFERROR(W303/S303,"")</f>
        <v/>
      </c>
      <c r="Y303" s="115">
        <f>IFERROR(R303/W303,"")</f>
        <v/>
      </c>
      <c r="Z303" s="115">
        <f>IFERROR(R303/S303*1000,"")</f>
        <v/>
      </c>
      <c r="AA303" s="116" t="n">
        <v>40</v>
      </c>
      <c r="AB303" s="47">
        <f>IFERROR(AA303/W303,"")</f>
        <v/>
      </c>
      <c r="AC303" s="116" t="n">
        <v>0</v>
      </c>
      <c r="AD303" s="116" t="n">
        <v>0</v>
      </c>
      <c r="AE303" s="116" t="n">
        <v>0</v>
      </c>
      <c r="AF303" s="116" t="n">
        <v>0</v>
      </c>
      <c r="AG303" s="116" t="n">
        <v>0</v>
      </c>
      <c r="AH303" s="116" t="n">
        <v>0</v>
      </c>
      <c r="AI303" s="47">
        <f>IFERROR(AC303/S303,"")</f>
        <v/>
      </c>
      <c r="AJ303" s="47">
        <f>IFERROR(AH303/S303,"")</f>
        <v/>
      </c>
      <c r="AK303" s="116" t="n">
        <v>91</v>
      </c>
      <c r="AL303" s="116" t="n">
        <v>1</v>
      </c>
      <c r="AM303" s="118">
        <f>IFERROR(AL303/AA303,"")</f>
        <v/>
      </c>
      <c r="AN303" s="119">
        <f>IFERROR(R303/AL303,"")</f>
        <v/>
      </c>
      <c r="AO303" s="116" t="n">
        <v>0</v>
      </c>
      <c r="AP303" s="47">
        <f>IFERROR(AO303/AL303,"")</f>
        <v/>
      </c>
      <c r="AQ303" s="119">
        <f>IFERROR(R303/AO303,"")</f>
        <v/>
      </c>
      <c r="AR303" s="116" t="n">
        <v>0</v>
      </c>
      <c r="AS303" s="116" t="n">
        <v>1</v>
      </c>
      <c r="AT303" s="116">
        <f>AL303+AR303</f>
        <v/>
      </c>
      <c r="AU303" s="119">
        <f>IFERROR(AO303*Assumptions!$C$26*Assumptions!$C$27*INDEX(Assumptions!$C$18:$C$21,MATCH(H303,Assumptions!$B$18:$B$21,0)),0)</f>
        <v/>
      </c>
    </row>
    <row r="304">
      <c r="A304" s="114" t="n">
        <v>46249</v>
      </c>
      <c r="B304" s="42" t="inlineStr">
        <is>
          <t>Wk 33</t>
        </is>
      </c>
      <c r="C304" s="42" t="inlineStr">
        <is>
          <t>Sat</t>
        </is>
      </c>
      <c r="D304" s="42" t="inlineStr">
        <is>
          <t>Meta (FB/IG)</t>
        </is>
      </c>
      <c r="E304" s="42" t="inlineStr">
        <is>
          <t>Facebook + Instagram</t>
        </is>
      </c>
      <c r="F304" s="42" t="inlineStr">
        <is>
          <t>LEP_ZA_AUG26_META_TD_JAVAN_CONV</t>
        </is>
      </c>
      <c r="G304" s="42" t="inlineStr">
        <is>
          <t>Leads - Website Conversions</t>
        </is>
      </c>
      <c r="H304" s="42" t="inlineStr">
        <is>
          <t>JAVAN</t>
        </is>
      </c>
      <c r="I304" s="42" t="inlineStr">
        <is>
          <t>10% Deposit</t>
        </is>
      </c>
      <c r="J304" s="42" t="inlineStr">
        <is>
          <t>MET_JAVAN_BROAD_28-55_ZA</t>
        </is>
      </c>
      <c r="K304" s="42" t="inlineStr">
        <is>
          <t>Prospecting</t>
        </is>
      </c>
      <c r="L304" s="42" t="inlineStr">
        <is>
          <t>JAVAN_VID_20s_FamilyWeekend_v2</t>
        </is>
      </c>
      <c r="M304" s="42" t="inlineStr">
        <is>
          <t>Video 9:16</t>
        </is>
      </c>
      <c r="N304" s="42" t="inlineStr">
        <is>
          <t>School run to sunset drive</t>
        </is>
      </c>
      <c r="O304" s="42" t="inlineStr">
        <is>
          <t>Auction - Lowest Cost</t>
        </is>
      </c>
      <c r="P304" s="42" t="inlineStr">
        <is>
          <t>Offsite Conversions</t>
        </is>
      </c>
      <c r="Q304" s="42" t="inlineStr">
        <is>
          <t>https://www.lepas-sa.co.za/offers/javan</t>
        </is>
      </c>
      <c r="R304" s="115" t="n">
        <v>198.82</v>
      </c>
      <c r="S304" s="116" t="n">
        <v>3201</v>
      </c>
      <c r="T304" s="116" t="n">
        <v>2225</v>
      </c>
      <c r="U304" s="117">
        <f>IFERROR(S304/T304,"")</f>
        <v/>
      </c>
      <c r="V304" s="116" t="n">
        <v>45</v>
      </c>
      <c r="W304" s="116" t="n">
        <v>35</v>
      </c>
      <c r="X304" s="118">
        <f>IFERROR(W304/S304,"")</f>
        <v/>
      </c>
      <c r="Y304" s="115">
        <f>IFERROR(R304/W304,"")</f>
        <v/>
      </c>
      <c r="Z304" s="115">
        <f>IFERROR(R304/S304*1000,"")</f>
        <v/>
      </c>
      <c r="AA304" s="116" t="n">
        <v>29</v>
      </c>
      <c r="AB304" s="47">
        <f>IFERROR(AA304/W304,"")</f>
        <v/>
      </c>
      <c r="AC304" s="116" t="n">
        <v>708</v>
      </c>
      <c r="AD304" s="116" t="n">
        <v>444</v>
      </c>
      <c r="AE304" s="116" t="n">
        <v>310</v>
      </c>
      <c r="AF304" s="116" t="n">
        <v>181</v>
      </c>
      <c r="AG304" s="116" t="n">
        <v>115</v>
      </c>
      <c r="AH304" s="116" t="n">
        <v>64</v>
      </c>
      <c r="AI304" s="47">
        <f>IFERROR(AC304/S304,"")</f>
        <v/>
      </c>
      <c r="AJ304" s="47">
        <f>IFERROR(AH304/S304,"")</f>
        <v/>
      </c>
      <c r="AK304" s="116" t="n">
        <v>94</v>
      </c>
      <c r="AL304" s="116" t="n">
        <v>1</v>
      </c>
      <c r="AM304" s="118">
        <f>IFERROR(AL304/AA304,"")</f>
        <v/>
      </c>
      <c r="AN304" s="119">
        <f>IFERROR(R304/AL304,"")</f>
        <v/>
      </c>
      <c r="AO304" s="116" t="n">
        <v>1</v>
      </c>
      <c r="AP304" s="47">
        <f>IFERROR(AO304/AL304,"")</f>
        <v/>
      </c>
      <c r="AQ304" s="119">
        <f>IFERROR(R304/AO304,"")</f>
        <v/>
      </c>
      <c r="AR304" s="116" t="n">
        <v>0</v>
      </c>
      <c r="AS304" s="116" t="n">
        <v>1</v>
      </c>
      <c r="AT304" s="116">
        <f>AL304+AR304</f>
        <v/>
      </c>
      <c r="AU304" s="119">
        <f>IFERROR(AO304*Assumptions!$C$26*Assumptions!$C$27*INDEX(Assumptions!$C$18:$C$21,MATCH(H304,Assumptions!$B$18:$B$21,0)),0)</f>
        <v/>
      </c>
    </row>
    <row r="305">
      <c r="A305" s="114" t="n">
        <v>46250</v>
      </c>
      <c r="B305" s="42" t="inlineStr">
        <is>
          <t>Wk 33</t>
        </is>
      </c>
      <c r="C305" s="42" t="inlineStr">
        <is>
          <t>Sun</t>
        </is>
      </c>
      <c r="D305" s="42" t="inlineStr">
        <is>
          <t>Meta (FB/IG)</t>
        </is>
      </c>
      <c r="E305" s="42" t="inlineStr">
        <is>
          <t>Facebook + Instagram</t>
        </is>
      </c>
      <c r="F305" s="42" t="inlineStr">
        <is>
          <t>LEP_ZA_AUG26_META_TD_JAVAN_CONV</t>
        </is>
      </c>
      <c r="G305" s="42" t="inlineStr">
        <is>
          <t>Leads - Website Conversions</t>
        </is>
      </c>
      <c r="H305" s="42" t="inlineStr">
        <is>
          <t>JAVAN</t>
        </is>
      </c>
      <c r="I305" s="42" t="inlineStr">
        <is>
          <t>10% Deposit</t>
        </is>
      </c>
      <c r="J305" s="42" t="inlineStr">
        <is>
          <t>MET_JAVAN_BROAD_28-55_ZA</t>
        </is>
      </c>
      <c r="K305" s="42" t="inlineStr">
        <is>
          <t>Prospecting</t>
        </is>
      </c>
      <c r="L305" s="42" t="inlineStr">
        <is>
          <t>JAVAN_VID_20s_FamilyWeekend_v2</t>
        </is>
      </c>
      <c r="M305" s="42" t="inlineStr">
        <is>
          <t>Video 9:16</t>
        </is>
      </c>
      <c r="N305" s="42" t="inlineStr">
        <is>
          <t>School run to sunset drive</t>
        </is>
      </c>
      <c r="O305" s="42" t="inlineStr">
        <is>
          <t>Auction - Lowest Cost</t>
        </is>
      </c>
      <c r="P305" s="42" t="inlineStr">
        <is>
          <t>Offsite Conversions</t>
        </is>
      </c>
      <c r="Q305" s="42" t="inlineStr">
        <is>
          <t>https://www.lepas-sa.co.za/offers/javan</t>
        </is>
      </c>
      <c r="R305" s="115" t="n">
        <v>133.56</v>
      </c>
      <c r="S305" s="116" t="n">
        <v>2617</v>
      </c>
      <c r="T305" s="116" t="n">
        <v>1515</v>
      </c>
      <c r="U305" s="117">
        <f>IFERROR(S305/T305,"")</f>
        <v/>
      </c>
      <c r="V305" s="116" t="n">
        <v>59</v>
      </c>
      <c r="W305" s="116" t="n">
        <v>44</v>
      </c>
      <c r="X305" s="118">
        <f>IFERROR(W305/S305,"")</f>
        <v/>
      </c>
      <c r="Y305" s="115">
        <f>IFERROR(R305/W305,"")</f>
        <v/>
      </c>
      <c r="Z305" s="115">
        <f>IFERROR(R305/S305*1000,"")</f>
        <v/>
      </c>
      <c r="AA305" s="116" t="n">
        <v>38</v>
      </c>
      <c r="AB305" s="47">
        <f>IFERROR(AA305/W305,"")</f>
        <v/>
      </c>
      <c r="AC305" s="116" t="n">
        <v>943</v>
      </c>
      <c r="AD305" s="116" t="n">
        <v>432</v>
      </c>
      <c r="AE305" s="116" t="n">
        <v>413</v>
      </c>
      <c r="AF305" s="116" t="n">
        <v>280</v>
      </c>
      <c r="AG305" s="116" t="n">
        <v>214</v>
      </c>
      <c r="AH305" s="116" t="n">
        <v>154</v>
      </c>
      <c r="AI305" s="47">
        <f>IFERROR(AC305/S305,"")</f>
        <v/>
      </c>
      <c r="AJ305" s="47">
        <f>IFERROR(AH305/S305,"")</f>
        <v/>
      </c>
      <c r="AK305" s="116" t="n">
        <v>35</v>
      </c>
      <c r="AL305" s="116" t="n">
        <v>0</v>
      </c>
      <c r="AM305" s="118">
        <f>IFERROR(AL305/AA305,"")</f>
        <v/>
      </c>
      <c r="AN305" s="119">
        <f>IFERROR(R305/AL305,"")</f>
        <v/>
      </c>
      <c r="AO305" s="116" t="n">
        <v>0</v>
      </c>
      <c r="AP305" s="47">
        <f>IFERROR(AO305/AL305,"")</f>
        <v/>
      </c>
      <c r="AQ305" s="119">
        <f>IFERROR(R305/AO305,"")</f>
        <v/>
      </c>
      <c r="AR305" s="116" t="n">
        <v>0</v>
      </c>
      <c r="AS305" s="116" t="n">
        <v>0</v>
      </c>
      <c r="AT305" s="116">
        <f>AL305+AR305</f>
        <v/>
      </c>
      <c r="AU305" s="119">
        <f>IFERROR(AO305*Assumptions!$C$26*Assumptions!$C$27*INDEX(Assumptions!$C$18:$C$21,MATCH(H305,Assumptions!$B$18:$B$21,0)),0)</f>
        <v/>
      </c>
    </row>
    <row r="306">
      <c r="A306" s="114" t="n">
        <v>46251</v>
      </c>
      <c r="B306" s="42" t="inlineStr">
        <is>
          <t>Wk 34</t>
        </is>
      </c>
      <c r="C306" s="42" t="inlineStr">
        <is>
          <t>Mon</t>
        </is>
      </c>
      <c r="D306" s="42" t="inlineStr">
        <is>
          <t>Meta (FB/IG)</t>
        </is>
      </c>
      <c r="E306" s="42" t="inlineStr">
        <is>
          <t>Facebook + Instagram</t>
        </is>
      </c>
      <c r="F306" s="42" t="inlineStr">
        <is>
          <t>LEP_ZA_AUG26_META_TD_JAVAN_CONV</t>
        </is>
      </c>
      <c r="G306" s="42" t="inlineStr">
        <is>
          <t>Leads - Website Conversions</t>
        </is>
      </c>
      <c r="H306" s="42" t="inlineStr">
        <is>
          <t>JAVAN</t>
        </is>
      </c>
      <c r="I306" s="42" t="inlineStr">
        <is>
          <t>10% Deposit</t>
        </is>
      </c>
      <c r="J306" s="42" t="inlineStr">
        <is>
          <t>MET_JAVAN_BROAD_28-55_ZA</t>
        </is>
      </c>
      <c r="K306" s="42" t="inlineStr">
        <is>
          <t>Prospecting</t>
        </is>
      </c>
      <c r="L306" s="42" t="inlineStr">
        <is>
          <t>JAVAN_VID_20s_FamilyWeekend_v2</t>
        </is>
      </c>
      <c r="M306" s="42" t="inlineStr">
        <is>
          <t>Video 9:16</t>
        </is>
      </c>
      <c r="N306" s="42" t="inlineStr">
        <is>
          <t>School run to sunset drive</t>
        </is>
      </c>
      <c r="O306" s="42" t="inlineStr">
        <is>
          <t>Auction - Lowest Cost</t>
        </is>
      </c>
      <c r="P306" s="42" t="inlineStr">
        <is>
          <t>Offsite Conversions</t>
        </is>
      </c>
      <c r="Q306" s="42" t="inlineStr">
        <is>
          <t>https://www.lepas-sa.co.za/offers/javan</t>
        </is>
      </c>
      <c r="R306" s="115" t="n">
        <v>139.32</v>
      </c>
      <c r="S306" s="116" t="n">
        <v>1712</v>
      </c>
      <c r="T306" s="116" t="n">
        <v>1198</v>
      </c>
      <c r="U306" s="117">
        <f>IFERROR(S306/T306,"")</f>
        <v/>
      </c>
      <c r="V306" s="116" t="n">
        <v>28</v>
      </c>
      <c r="W306" s="116" t="n">
        <v>20</v>
      </c>
      <c r="X306" s="118">
        <f>IFERROR(W306/S306,"")</f>
        <v/>
      </c>
      <c r="Y306" s="115">
        <f>IFERROR(R306/W306,"")</f>
        <v/>
      </c>
      <c r="Z306" s="115">
        <f>IFERROR(R306/S306*1000,"")</f>
        <v/>
      </c>
      <c r="AA306" s="116" t="n">
        <v>17</v>
      </c>
      <c r="AB306" s="47">
        <f>IFERROR(AA306/W306,"")</f>
        <v/>
      </c>
      <c r="AC306" s="116" t="n">
        <v>659</v>
      </c>
      <c r="AD306" s="116" t="n">
        <v>309</v>
      </c>
      <c r="AE306" s="116" t="n">
        <v>272</v>
      </c>
      <c r="AF306" s="116" t="n">
        <v>153</v>
      </c>
      <c r="AG306" s="116" t="n">
        <v>101</v>
      </c>
      <c r="AH306" s="116" t="n">
        <v>56</v>
      </c>
      <c r="AI306" s="47">
        <f>IFERROR(AC306/S306,"")</f>
        <v/>
      </c>
      <c r="AJ306" s="47">
        <f>IFERROR(AH306/S306,"")</f>
        <v/>
      </c>
      <c r="AK306" s="116" t="n">
        <v>55</v>
      </c>
      <c r="AL306" s="116" t="n">
        <v>1</v>
      </c>
      <c r="AM306" s="118">
        <f>IFERROR(AL306/AA306,"")</f>
        <v/>
      </c>
      <c r="AN306" s="119">
        <f>IFERROR(R306/AL306,"")</f>
        <v/>
      </c>
      <c r="AO306" s="116" t="n">
        <v>0</v>
      </c>
      <c r="AP306" s="47">
        <f>IFERROR(AO306/AL306,"")</f>
        <v/>
      </c>
      <c r="AQ306" s="119">
        <f>IFERROR(R306/AO306,"")</f>
        <v/>
      </c>
      <c r="AR306" s="116" t="n">
        <v>0</v>
      </c>
      <c r="AS306" s="116" t="n">
        <v>1</v>
      </c>
      <c r="AT306" s="116">
        <f>AL306+AR306</f>
        <v/>
      </c>
      <c r="AU306" s="119">
        <f>IFERROR(AO306*Assumptions!$C$26*Assumptions!$C$27*INDEX(Assumptions!$C$18:$C$21,MATCH(H306,Assumptions!$B$18:$B$21,0)),0)</f>
        <v/>
      </c>
    </row>
    <row r="307">
      <c r="A307" s="114" t="n">
        <v>46252</v>
      </c>
      <c r="B307" s="42" t="inlineStr">
        <is>
          <t>Wk 34</t>
        </is>
      </c>
      <c r="C307" s="42" t="inlineStr">
        <is>
          <t>Tue</t>
        </is>
      </c>
      <c r="D307" s="42" t="inlineStr">
        <is>
          <t>Meta (FB/IG)</t>
        </is>
      </c>
      <c r="E307" s="42" t="inlineStr">
        <is>
          <t>Facebook + Instagram</t>
        </is>
      </c>
      <c r="F307" s="42" t="inlineStr">
        <is>
          <t>LEP_ZA_AUG26_META_TD_JAVAN_CONV</t>
        </is>
      </c>
      <c r="G307" s="42" t="inlineStr">
        <is>
          <t>Leads - Website Conversions</t>
        </is>
      </c>
      <c r="H307" s="42" t="inlineStr">
        <is>
          <t>JAVAN</t>
        </is>
      </c>
      <c r="I307" s="42" t="inlineStr">
        <is>
          <t>10% Deposit</t>
        </is>
      </c>
      <c r="J307" s="42" t="inlineStr">
        <is>
          <t>MET_JAVAN_BROAD_28-55_ZA</t>
        </is>
      </c>
      <c r="K307" s="42" t="inlineStr">
        <is>
          <t>Prospecting</t>
        </is>
      </c>
      <c r="L307" s="42" t="inlineStr">
        <is>
          <t>JAVAN_VID_20s_FamilyWeekend_v2</t>
        </is>
      </c>
      <c r="M307" s="42" t="inlineStr">
        <is>
          <t>Video 9:16</t>
        </is>
      </c>
      <c r="N307" s="42" t="inlineStr">
        <is>
          <t>School run to sunset drive</t>
        </is>
      </c>
      <c r="O307" s="42" t="inlineStr">
        <is>
          <t>Auction - Lowest Cost</t>
        </is>
      </c>
      <c r="P307" s="42" t="inlineStr">
        <is>
          <t>Offsite Conversions</t>
        </is>
      </c>
      <c r="Q307" s="42" t="inlineStr">
        <is>
          <t>https://www.lepas-sa.co.za/offers/javan</t>
        </is>
      </c>
      <c r="R307" s="115" t="n">
        <v>187.31</v>
      </c>
      <c r="S307" s="116" t="n">
        <v>3597</v>
      </c>
      <c r="T307" s="116" t="n">
        <v>2383</v>
      </c>
      <c r="U307" s="117">
        <f>IFERROR(S307/T307,"")</f>
        <v/>
      </c>
      <c r="V307" s="116" t="n">
        <v>71</v>
      </c>
      <c r="W307" s="116" t="n">
        <v>59</v>
      </c>
      <c r="X307" s="118">
        <f>IFERROR(W307/S307,"")</f>
        <v/>
      </c>
      <c r="Y307" s="115">
        <f>IFERROR(R307/W307,"")</f>
        <v/>
      </c>
      <c r="Z307" s="115">
        <f>IFERROR(R307/S307*1000,"")</f>
        <v/>
      </c>
      <c r="AA307" s="116" t="n">
        <v>52</v>
      </c>
      <c r="AB307" s="47">
        <f>IFERROR(AA307/W307,"")</f>
        <v/>
      </c>
      <c r="AC307" s="116" t="n">
        <v>1375</v>
      </c>
      <c r="AD307" s="116" t="n">
        <v>735</v>
      </c>
      <c r="AE307" s="116" t="n">
        <v>644</v>
      </c>
      <c r="AF307" s="116" t="n">
        <v>430</v>
      </c>
      <c r="AG307" s="116" t="n">
        <v>278</v>
      </c>
      <c r="AH307" s="116" t="n">
        <v>160</v>
      </c>
      <c r="AI307" s="47">
        <f>IFERROR(AC307/S307,"")</f>
        <v/>
      </c>
      <c r="AJ307" s="47">
        <f>IFERROR(AH307/S307,"")</f>
        <v/>
      </c>
      <c r="AK307" s="116" t="n">
        <v>56</v>
      </c>
      <c r="AL307" s="116" t="n">
        <v>1</v>
      </c>
      <c r="AM307" s="118">
        <f>IFERROR(AL307/AA307,"")</f>
        <v/>
      </c>
      <c r="AN307" s="119">
        <f>IFERROR(R307/AL307,"")</f>
        <v/>
      </c>
      <c r="AO307" s="116" t="n">
        <v>0</v>
      </c>
      <c r="AP307" s="47">
        <f>IFERROR(AO307/AL307,"")</f>
        <v/>
      </c>
      <c r="AQ307" s="119">
        <f>IFERROR(R307/AO307,"")</f>
        <v/>
      </c>
      <c r="AR307" s="116" t="n">
        <v>1</v>
      </c>
      <c r="AS307" s="116" t="n">
        <v>0</v>
      </c>
      <c r="AT307" s="116">
        <f>AL307+AR307</f>
        <v/>
      </c>
      <c r="AU307" s="119">
        <f>IFERROR(AO307*Assumptions!$C$26*Assumptions!$C$27*INDEX(Assumptions!$C$18:$C$21,MATCH(H307,Assumptions!$B$18:$B$21,0)),0)</f>
        <v/>
      </c>
    </row>
    <row r="308">
      <c r="A308" s="114" t="n">
        <v>46253</v>
      </c>
      <c r="B308" s="42" t="inlineStr">
        <is>
          <t>Wk 34</t>
        </is>
      </c>
      <c r="C308" s="42" t="inlineStr">
        <is>
          <t>Wed</t>
        </is>
      </c>
      <c r="D308" s="42" t="inlineStr">
        <is>
          <t>Meta (FB/IG)</t>
        </is>
      </c>
      <c r="E308" s="42" t="inlineStr">
        <is>
          <t>Facebook + Instagram</t>
        </is>
      </c>
      <c r="F308" s="42" t="inlineStr">
        <is>
          <t>LEP_ZA_AUG26_META_TD_JAVAN_CONV</t>
        </is>
      </c>
      <c r="G308" s="42" t="inlineStr">
        <is>
          <t>Leads - Website Conversions</t>
        </is>
      </c>
      <c r="H308" s="42" t="inlineStr">
        <is>
          <t>JAVAN</t>
        </is>
      </c>
      <c r="I308" s="42" t="inlineStr">
        <is>
          <t>10% Deposit</t>
        </is>
      </c>
      <c r="J308" s="42" t="inlineStr">
        <is>
          <t>MET_JAVAN_BROAD_28-55_ZA</t>
        </is>
      </c>
      <c r="K308" s="42" t="inlineStr">
        <is>
          <t>Prospecting</t>
        </is>
      </c>
      <c r="L308" s="42" t="inlineStr">
        <is>
          <t>JAVAN_VID_20s_FamilyWeekend_v2</t>
        </is>
      </c>
      <c r="M308" s="42" t="inlineStr">
        <is>
          <t>Video 9:16</t>
        </is>
      </c>
      <c r="N308" s="42" t="inlineStr">
        <is>
          <t>School run to sunset drive</t>
        </is>
      </c>
      <c r="O308" s="42" t="inlineStr">
        <is>
          <t>Auction - Lowest Cost</t>
        </is>
      </c>
      <c r="P308" s="42" t="inlineStr">
        <is>
          <t>Offsite Conversions</t>
        </is>
      </c>
      <c r="Q308" s="42" t="inlineStr">
        <is>
          <t>https://www.lepas-sa.co.za/offers/javan</t>
        </is>
      </c>
      <c r="R308" s="115" t="n">
        <v>155.27</v>
      </c>
      <c r="S308" s="116" t="n">
        <v>2158</v>
      </c>
      <c r="T308" s="116" t="n">
        <v>1445</v>
      </c>
      <c r="U308" s="117">
        <f>IFERROR(S308/T308,"")</f>
        <v/>
      </c>
      <c r="V308" s="116" t="n">
        <v>44</v>
      </c>
      <c r="W308" s="116" t="n">
        <v>32</v>
      </c>
      <c r="X308" s="118">
        <f>IFERROR(W308/S308,"")</f>
        <v/>
      </c>
      <c r="Y308" s="115">
        <f>IFERROR(R308/W308,"")</f>
        <v/>
      </c>
      <c r="Z308" s="115">
        <f>IFERROR(R308/S308*1000,"")</f>
        <v/>
      </c>
      <c r="AA308" s="116" t="n">
        <v>29</v>
      </c>
      <c r="AB308" s="47">
        <f>IFERROR(AA308/W308,"")</f>
        <v/>
      </c>
      <c r="AC308" s="116" t="n">
        <v>878</v>
      </c>
      <c r="AD308" s="116" t="n">
        <v>415</v>
      </c>
      <c r="AE308" s="116" t="n">
        <v>321</v>
      </c>
      <c r="AF308" s="116" t="n">
        <v>209</v>
      </c>
      <c r="AG308" s="116" t="n">
        <v>157</v>
      </c>
      <c r="AH308" s="116" t="n">
        <v>87</v>
      </c>
      <c r="AI308" s="47">
        <f>IFERROR(AC308/S308,"")</f>
        <v/>
      </c>
      <c r="AJ308" s="47">
        <f>IFERROR(AH308/S308,"")</f>
        <v/>
      </c>
      <c r="AK308" s="116" t="n">
        <v>22</v>
      </c>
      <c r="AL308" s="116" t="n">
        <v>1</v>
      </c>
      <c r="AM308" s="118">
        <f>IFERROR(AL308/AA308,"")</f>
        <v/>
      </c>
      <c r="AN308" s="119">
        <f>IFERROR(R308/AL308,"")</f>
        <v/>
      </c>
      <c r="AO308" s="116" t="n">
        <v>0</v>
      </c>
      <c r="AP308" s="47">
        <f>IFERROR(AO308/AL308,"")</f>
        <v/>
      </c>
      <c r="AQ308" s="119">
        <f>IFERROR(R308/AO308,"")</f>
        <v/>
      </c>
      <c r="AR308" s="116" t="n">
        <v>0</v>
      </c>
      <c r="AS308" s="116" t="n">
        <v>0</v>
      </c>
      <c r="AT308" s="116">
        <f>AL308+AR308</f>
        <v/>
      </c>
      <c r="AU308" s="119">
        <f>IFERROR(AO308*Assumptions!$C$26*Assumptions!$C$27*INDEX(Assumptions!$C$18:$C$21,MATCH(H308,Assumptions!$B$18:$B$21,0)),0)</f>
        <v/>
      </c>
    </row>
    <row r="309">
      <c r="A309" s="114" t="n">
        <v>46254</v>
      </c>
      <c r="B309" s="42" t="inlineStr">
        <is>
          <t>Wk 34</t>
        </is>
      </c>
      <c r="C309" s="42" t="inlineStr">
        <is>
          <t>Thu</t>
        </is>
      </c>
      <c r="D309" s="42" t="inlineStr">
        <is>
          <t>Meta (FB/IG)</t>
        </is>
      </c>
      <c r="E309" s="42" t="inlineStr">
        <is>
          <t>Facebook + Instagram</t>
        </is>
      </c>
      <c r="F309" s="42" t="inlineStr">
        <is>
          <t>LEP_ZA_AUG26_META_TD_JAVAN_CONV</t>
        </is>
      </c>
      <c r="G309" s="42" t="inlineStr">
        <is>
          <t>Leads - Website Conversions</t>
        </is>
      </c>
      <c r="H309" s="42" t="inlineStr">
        <is>
          <t>JAVAN</t>
        </is>
      </c>
      <c r="I309" s="42" t="inlineStr">
        <is>
          <t>10% Deposit</t>
        </is>
      </c>
      <c r="J309" s="42" t="inlineStr">
        <is>
          <t>MET_JAVAN_BROAD_28-55_ZA</t>
        </is>
      </c>
      <c r="K309" s="42" t="inlineStr">
        <is>
          <t>Prospecting</t>
        </is>
      </c>
      <c r="L309" s="42" t="inlineStr">
        <is>
          <t>JAVAN_VID_20s_FamilyWeekend_v2</t>
        </is>
      </c>
      <c r="M309" s="42" t="inlineStr">
        <is>
          <t>Video 9:16</t>
        </is>
      </c>
      <c r="N309" s="42" t="inlineStr">
        <is>
          <t>School run to sunset drive</t>
        </is>
      </c>
      <c r="O309" s="42" t="inlineStr">
        <is>
          <t>Auction - Lowest Cost</t>
        </is>
      </c>
      <c r="P309" s="42" t="inlineStr">
        <is>
          <t>Offsite Conversions</t>
        </is>
      </c>
      <c r="Q309" s="42" t="inlineStr">
        <is>
          <t>https://www.lepas-sa.co.za/offers/javan</t>
        </is>
      </c>
      <c r="R309" s="115" t="n">
        <v>219.32</v>
      </c>
      <c r="S309" s="116" t="n">
        <v>3051</v>
      </c>
      <c r="T309" s="116" t="n">
        <v>1909</v>
      </c>
      <c r="U309" s="117">
        <f>IFERROR(S309/T309,"")</f>
        <v/>
      </c>
      <c r="V309" s="116" t="n">
        <v>72</v>
      </c>
      <c r="W309" s="116" t="n">
        <v>53</v>
      </c>
      <c r="X309" s="118">
        <f>IFERROR(W309/S309,"")</f>
        <v/>
      </c>
      <c r="Y309" s="115">
        <f>IFERROR(R309/W309,"")</f>
        <v/>
      </c>
      <c r="Z309" s="115">
        <f>IFERROR(R309/S309*1000,"")</f>
        <v/>
      </c>
      <c r="AA309" s="116" t="n">
        <v>45</v>
      </c>
      <c r="AB309" s="47">
        <f>IFERROR(AA309/W309,"")</f>
        <v/>
      </c>
      <c r="AC309" s="116" t="n">
        <v>955</v>
      </c>
      <c r="AD309" s="116" t="n">
        <v>519</v>
      </c>
      <c r="AE309" s="116" t="n">
        <v>431</v>
      </c>
      <c r="AF309" s="116" t="n">
        <v>278</v>
      </c>
      <c r="AG309" s="116" t="n">
        <v>184</v>
      </c>
      <c r="AH309" s="116" t="n">
        <v>114</v>
      </c>
      <c r="AI309" s="47">
        <f>IFERROR(AC309/S309,"")</f>
        <v/>
      </c>
      <c r="AJ309" s="47">
        <f>IFERROR(AH309/S309,"")</f>
        <v/>
      </c>
      <c r="AK309" s="116" t="n">
        <v>55</v>
      </c>
      <c r="AL309" s="116" t="n">
        <v>1</v>
      </c>
      <c r="AM309" s="118">
        <f>IFERROR(AL309/AA309,"")</f>
        <v/>
      </c>
      <c r="AN309" s="119">
        <f>IFERROR(R309/AL309,"")</f>
        <v/>
      </c>
      <c r="AO309" s="116" t="n">
        <v>0</v>
      </c>
      <c r="AP309" s="47">
        <f>IFERROR(AO309/AL309,"")</f>
        <v/>
      </c>
      <c r="AQ309" s="119">
        <f>IFERROR(R309/AO309,"")</f>
        <v/>
      </c>
      <c r="AR309" s="116" t="n">
        <v>1</v>
      </c>
      <c r="AS309" s="116" t="n">
        <v>1</v>
      </c>
      <c r="AT309" s="116">
        <f>AL309+AR309</f>
        <v/>
      </c>
      <c r="AU309" s="119">
        <f>IFERROR(AO309*Assumptions!$C$26*Assumptions!$C$27*INDEX(Assumptions!$C$18:$C$21,MATCH(H309,Assumptions!$B$18:$B$21,0)),0)</f>
        <v/>
      </c>
    </row>
    <row r="310">
      <c r="A310" s="114" t="n">
        <v>46255</v>
      </c>
      <c r="B310" s="42" t="inlineStr">
        <is>
          <t>Wk 34</t>
        </is>
      </c>
      <c r="C310" s="42" t="inlineStr">
        <is>
          <t>Fri</t>
        </is>
      </c>
      <c r="D310" s="42" t="inlineStr">
        <is>
          <t>Meta (FB/IG)</t>
        </is>
      </c>
      <c r="E310" s="42" t="inlineStr">
        <is>
          <t>Facebook + Instagram</t>
        </is>
      </c>
      <c r="F310" s="42" t="inlineStr">
        <is>
          <t>LEP_ZA_AUG26_META_TD_JAVAN_CONV</t>
        </is>
      </c>
      <c r="G310" s="42" t="inlineStr">
        <is>
          <t>Leads - Website Conversions</t>
        </is>
      </c>
      <c r="H310" s="42" t="inlineStr">
        <is>
          <t>JAVAN</t>
        </is>
      </c>
      <c r="I310" s="42" t="inlineStr">
        <is>
          <t>10% Deposit</t>
        </is>
      </c>
      <c r="J310" s="42" t="inlineStr">
        <is>
          <t>MET_JAVAN_BROAD_28-55_ZA</t>
        </is>
      </c>
      <c r="K310" s="42" t="inlineStr">
        <is>
          <t>Prospecting</t>
        </is>
      </c>
      <c r="L310" s="42" t="inlineStr">
        <is>
          <t>JAVAN_VID_20s_FamilyWeekend_v2</t>
        </is>
      </c>
      <c r="M310" s="42" t="inlineStr">
        <is>
          <t>Video 9:16</t>
        </is>
      </c>
      <c r="N310" s="42" t="inlineStr">
        <is>
          <t>School run to sunset drive</t>
        </is>
      </c>
      <c r="O310" s="42" t="inlineStr">
        <is>
          <t>Auction - Lowest Cost</t>
        </is>
      </c>
      <c r="P310" s="42" t="inlineStr">
        <is>
          <t>Offsite Conversions</t>
        </is>
      </c>
      <c r="Q310" s="42" t="inlineStr">
        <is>
          <t>https://www.lepas-sa.co.za/offers/javan</t>
        </is>
      </c>
      <c r="R310" s="115" t="n">
        <v>177.35</v>
      </c>
      <c r="S310" s="116" t="n">
        <v>2654</v>
      </c>
      <c r="T310" s="116" t="n">
        <v>1748</v>
      </c>
      <c r="U310" s="117">
        <f>IFERROR(S310/T310,"")</f>
        <v/>
      </c>
      <c r="V310" s="116" t="n">
        <v>46</v>
      </c>
      <c r="W310" s="116" t="n">
        <v>34</v>
      </c>
      <c r="X310" s="118">
        <f>IFERROR(W310/S310,"")</f>
        <v/>
      </c>
      <c r="Y310" s="115">
        <f>IFERROR(R310/W310,"")</f>
        <v/>
      </c>
      <c r="Z310" s="115">
        <f>IFERROR(R310/S310*1000,"")</f>
        <v/>
      </c>
      <c r="AA310" s="116" t="n">
        <v>30</v>
      </c>
      <c r="AB310" s="47">
        <f>IFERROR(AA310/W310,"")</f>
        <v/>
      </c>
      <c r="AC310" s="116" t="n">
        <v>1056</v>
      </c>
      <c r="AD310" s="116" t="n">
        <v>608</v>
      </c>
      <c r="AE310" s="116" t="n">
        <v>463</v>
      </c>
      <c r="AF310" s="116" t="n">
        <v>259</v>
      </c>
      <c r="AG310" s="116" t="n">
        <v>179</v>
      </c>
      <c r="AH310" s="116" t="n">
        <v>104</v>
      </c>
      <c r="AI310" s="47">
        <f>IFERROR(AC310/S310,"")</f>
        <v/>
      </c>
      <c r="AJ310" s="47">
        <f>IFERROR(AH310/S310,"")</f>
        <v/>
      </c>
      <c r="AK310" s="116" t="n">
        <v>85</v>
      </c>
      <c r="AL310" s="116" t="n">
        <v>1</v>
      </c>
      <c r="AM310" s="118">
        <f>IFERROR(AL310/AA310,"")</f>
        <v/>
      </c>
      <c r="AN310" s="119">
        <f>IFERROR(R310/AL310,"")</f>
        <v/>
      </c>
      <c r="AO310" s="116" t="n">
        <v>1</v>
      </c>
      <c r="AP310" s="47">
        <f>IFERROR(AO310/AL310,"")</f>
        <v/>
      </c>
      <c r="AQ310" s="119">
        <f>IFERROR(R310/AO310,"")</f>
        <v/>
      </c>
      <c r="AR310" s="116" t="n">
        <v>1</v>
      </c>
      <c r="AS310" s="116" t="n">
        <v>0</v>
      </c>
      <c r="AT310" s="116">
        <f>AL310+AR310</f>
        <v/>
      </c>
      <c r="AU310" s="119">
        <f>IFERROR(AO310*Assumptions!$C$26*Assumptions!$C$27*INDEX(Assumptions!$C$18:$C$21,MATCH(H310,Assumptions!$B$18:$B$21,0)),0)</f>
        <v/>
      </c>
    </row>
    <row r="311">
      <c r="A311" s="114" t="n">
        <v>46256</v>
      </c>
      <c r="B311" s="42" t="inlineStr">
        <is>
          <t>Wk 34</t>
        </is>
      </c>
      <c r="C311" s="42" t="inlineStr">
        <is>
          <t>Sat</t>
        </is>
      </c>
      <c r="D311" s="42" t="inlineStr">
        <is>
          <t>Meta (FB/IG)</t>
        </is>
      </c>
      <c r="E311" s="42" t="inlineStr">
        <is>
          <t>Facebook + Instagram</t>
        </is>
      </c>
      <c r="F311" s="42" t="inlineStr">
        <is>
          <t>LEP_ZA_AUG26_META_TD_JAVAN_CONV</t>
        </is>
      </c>
      <c r="G311" s="42" t="inlineStr">
        <is>
          <t>Leads - Website Conversions</t>
        </is>
      </c>
      <c r="H311" s="42" t="inlineStr">
        <is>
          <t>JAVAN</t>
        </is>
      </c>
      <c r="I311" s="42" t="inlineStr">
        <is>
          <t>10% Deposit</t>
        </is>
      </c>
      <c r="J311" s="42" t="inlineStr">
        <is>
          <t>MET_JAVAN_BROAD_28-55_ZA</t>
        </is>
      </c>
      <c r="K311" s="42" t="inlineStr">
        <is>
          <t>Prospecting</t>
        </is>
      </c>
      <c r="L311" s="42" t="inlineStr">
        <is>
          <t>JAVAN_VID_20s_FamilyWeekend_v2</t>
        </is>
      </c>
      <c r="M311" s="42" t="inlineStr">
        <is>
          <t>Video 9:16</t>
        </is>
      </c>
      <c r="N311" s="42" t="inlineStr">
        <is>
          <t>School run to sunset drive</t>
        </is>
      </c>
      <c r="O311" s="42" t="inlineStr">
        <is>
          <t>Auction - Lowest Cost</t>
        </is>
      </c>
      <c r="P311" s="42" t="inlineStr">
        <is>
          <t>Offsite Conversions</t>
        </is>
      </c>
      <c r="Q311" s="42" t="inlineStr">
        <is>
          <t>https://www.lepas-sa.co.za/offers/javan</t>
        </is>
      </c>
      <c r="R311" s="115" t="n">
        <v>199.86</v>
      </c>
      <c r="S311" s="116" t="n">
        <v>2765</v>
      </c>
      <c r="T311" s="116" t="n">
        <v>1813</v>
      </c>
      <c r="U311" s="117">
        <f>IFERROR(S311/T311,"")</f>
        <v/>
      </c>
      <c r="V311" s="116" t="n">
        <v>43</v>
      </c>
      <c r="W311" s="116" t="n">
        <v>35</v>
      </c>
      <c r="X311" s="118">
        <f>IFERROR(W311/S311,"")</f>
        <v/>
      </c>
      <c r="Y311" s="115">
        <f>IFERROR(R311/W311,"")</f>
        <v/>
      </c>
      <c r="Z311" s="115">
        <f>IFERROR(R311/S311*1000,"")</f>
        <v/>
      </c>
      <c r="AA311" s="116" t="n">
        <v>30</v>
      </c>
      <c r="AB311" s="47">
        <f>IFERROR(AA311/W311,"")</f>
        <v/>
      </c>
      <c r="AC311" s="116" t="n">
        <v>677</v>
      </c>
      <c r="AD311" s="116" t="n">
        <v>372</v>
      </c>
      <c r="AE311" s="116" t="n">
        <v>353</v>
      </c>
      <c r="AF311" s="116" t="n">
        <v>228</v>
      </c>
      <c r="AG311" s="116" t="n">
        <v>155</v>
      </c>
      <c r="AH311" s="116" t="n">
        <v>89</v>
      </c>
      <c r="AI311" s="47">
        <f>IFERROR(AC311/S311,"")</f>
        <v/>
      </c>
      <c r="AJ311" s="47">
        <f>IFERROR(AH311/S311,"")</f>
        <v/>
      </c>
      <c r="AK311" s="116" t="n">
        <v>74</v>
      </c>
      <c r="AL311" s="116" t="n">
        <v>0</v>
      </c>
      <c r="AM311" s="118">
        <f>IFERROR(AL311/AA311,"")</f>
        <v/>
      </c>
      <c r="AN311" s="119">
        <f>IFERROR(R311/AL311,"")</f>
        <v/>
      </c>
      <c r="AO311" s="116" t="n">
        <v>0</v>
      </c>
      <c r="AP311" s="47">
        <f>IFERROR(AO311/AL311,"")</f>
        <v/>
      </c>
      <c r="AQ311" s="119">
        <f>IFERROR(R311/AO311,"")</f>
        <v/>
      </c>
      <c r="AR311" s="116" t="n">
        <v>0</v>
      </c>
      <c r="AS311" s="116" t="n">
        <v>0</v>
      </c>
      <c r="AT311" s="116">
        <f>AL311+AR311</f>
        <v/>
      </c>
      <c r="AU311" s="119">
        <f>IFERROR(AO311*Assumptions!$C$26*Assumptions!$C$27*INDEX(Assumptions!$C$18:$C$21,MATCH(H311,Assumptions!$B$18:$B$21,0)),0)</f>
        <v/>
      </c>
    </row>
    <row r="312">
      <c r="A312" s="114" t="n">
        <v>46257</v>
      </c>
      <c r="B312" s="42" t="inlineStr">
        <is>
          <t>Wk 34</t>
        </is>
      </c>
      <c r="C312" s="42" t="inlineStr">
        <is>
          <t>Sun</t>
        </is>
      </c>
      <c r="D312" s="42" t="inlineStr">
        <is>
          <t>Meta (FB/IG)</t>
        </is>
      </c>
      <c r="E312" s="42" t="inlineStr">
        <is>
          <t>Facebook + Instagram</t>
        </is>
      </c>
      <c r="F312" s="42" t="inlineStr">
        <is>
          <t>LEP_ZA_AUG26_META_TD_JAVAN_CONV</t>
        </is>
      </c>
      <c r="G312" s="42" t="inlineStr">
        <is>
          <t>Leads - Website Conversions</t>
        </is>
      </c>
      <c r="H312" s="42" t="inlineStr">
        <is>
          <t>JAVAN</t>
        </is>
      </c>
      <c r="I312" s="42" t="inlineStr">
        <is>
          <t>10% Deposit</t>
        </is>
      </c>
      <c r="J312" s="42" t="inlineStr">
        <is>
          <t>MET_JAVAN_BROAD_28-55_ZA</t>
        </is>
      </c>
      <c r="K312" s="42" t="inlineStr">
        <is>
          <t>Prospecting</t>
        </is>
      </c>
      <c r="L312" s="42" t="inlineStr">
        <is>
          <t>JAVAN_VID_20s_FamilyWeekend_v2</t>
        </is>
      </c>
      <c r="M312" s="42" t="inlineStr">
        <is>
          <t>Video 9:16</t>
        </is>
      </c>
      <c r="N312" s="42" t="inlineStr">
        <is>
          <t>School run to sunset drive</t>
        </is>
      </c>
      <c r="O312" s="42" t="inlineStr">
        <is>
          <t>Auction - Lowest Cost</t>
        </is>
      </c>
      <c r="P312" s="42" t="inlineStr">
        <is>
          <t>Offsite Conversions</t>
        </is>
      </c>
      <c r="Q312" s="42" t="inlineStr">
        <is>
          <t>https://www.lepas-sa.co.za/offers/javan</t>
        </is>
      </c>
      <c r="R312" s="115" t="n">
        <v>131.71</v>
      </c>
      <c r="S312" s="116" t="n">
        <v>2035</v>
      </c>
      <c r="T312" s="116" t="n">
        <v>1327</v>
      </c>
      <c r="U312" s="117">
        <f>IFERROR(S312/T312,"")</f>
        <v/>
      </c>
      <c r="V312" s="116" t="n">
        <v>27</v>
      </c>
      <c r="W312" s="116" t="n">
        <v>20</v>
      </c>
      <c r="X312" s="118">
        <f>IFERROR(W312/S312,"")</f>
        <v/>
      </c>
      <c r="Y312" s="115">
        <f>IFERROR(R312/W312,"")</f>
        <v/>
      </c>
      <c r="Z312" s="115">
        <f>IFERROR(R312/S312*1000,"")</f>
        <v/>
      </c>
      <c r="AA312" s="116" t="n">
        <v>16</v>
      </c>
      <c r="AB312" s="47">
        <f>IFERROR(AA312/W312,"")</f>
        <v/>
      </c>
      <c r="AC312" s="116" t="n">
        <v>682</v>
      </c>
      <c r="AD312" s="116" t="n">
        <v>420</v>
      </c>
      <c r="AE312" s="116" t="n">
        <v>371</v>
      </c>
      <c r="AF312" s="116" t="n">
        <v>263</v>
      </c>
      <c r="AG312" s="116" t="n">
        <v>195</v>
      </c>
      <c r="AH312" s="116" t="n">
        <v>122</v>
      </c>
      <c r="AI312" s="47">
        <f>IFERROR(AC312/S312,"")</f>
        <v/>
      </c>
      <c r="AJ312" s="47">
        <f>IFERROR(AH312/S312,"")</f>
        <v/>
      </c>
      <c r="AK312" s="116" t="n">
        <v>25</v>
      </c>
      <c r="AL312" s="116" t="n">
        <v>0</v>
      </c>
      <c r="AM312" s="118">
        <f>IFERROR(AL312/AA312,"")</f>
        <v/>
      </c>
      <c r="AN312" s="119">
        <f>IFERROR(R312/AL312,"")</f>
        <v/>
      </c>
      <c r="AO312" s="116" t="n">
        <v>0</v>
      </c>
      <c r="AP312" s="47">
        <f>IFERROR(AO312/AL312,"")</f>
        <v/>
      </c>
      <c r="AQ312" s="119">
        <f>IFERROR(R312/AO312,"")</f>
        <v/>
      </c>
      <c r="AR312" s="116" t="n">
        <v>0</v>
      </c>
      <c r="AS312" s="116" t="n">
        <v>0</v>
      </c>
      <c r="AT312" s="116">
        <f>AL312+AR312</f>
        <v/>
      </c>
      <c r="AU312" s="119">
        <f>IFERROR(AO312*Assumptions!$C$26*Assumptions!$C$27*INDEX(Assumptions!$C$18:$C$21,MATCH(H312,Assumptions!$B$18:$B$21,0)),0)</f>
        <v/>
      </c>
    </row>
    <row r="313">
      <c r="A313" s="114" t="n">
        <v>46258</v>
      </c>
      <c r="B313" s="42" t="inlineStr">
        <is>
          <t>Wk 35</t>
        </is>
      </c>
      <c r="C313" s="42" t="inlineStr">
        <is>
          <t>Mon</t>
        </is>
      </c>
      <c r="D313" s="42" t="inlineStr">
        <is>
          <t>Meta (FB/IG)</t>
        </is>
      </c>
      <c r="E313" s="42" t="inlineStr">
        <is>
          <t>Facebook + Instagram</t>
        </is>
      </c>
      <c r="F313" s="42" t="inlineStr">
        <is>
          <t>LEP_ZA_AUG26_META_TD_JAVAN_CONV</t>
        </is>
      </c>
      <c r="G313" s="42" t="inlineStr">
        <is>
          <t>Leads - Website Conversions</t>
        </is>
      </c>
      <c r="H313" s="42" t="inlineStr">
        <is>
          <t>JAVAN</t>
        </is>
      </c>
      <c r="I313" s="42" t="inlineStr">
        <is>
          <t>10% Deposit</t>
        </is>
      </c>
      <c r="J313" s="42" t="inlineStr">
        <is>
          <t>MET_JAVAN_BROAD_28-55_ZA</t>
        </is>
      </c>
      <c r="K313" s="42" t="inlineStr">
        <is>
          <t>Prospecting</t>
        </is>
      </c>
      <c r="L313" s="42" t="inlineStr">
        <is>
          <t>JAVAN_VID_20s_FamilyWeekend_v2</t>
        </is>
      </c>
      <c r="M313" s="42" t="inlineStr">
        <is>
          <t>Video 9:16</t>
        </is>
      </c>
      <c r="N313" s="42" t="inlineStr">
        <is>
          <t>School run to sunset drive</t>
        </is>
      </c>
      <c r="O313" s="42" t="inlineStr">
        <is>
          <t>Auction - Lowest Cost</t>
        </is>
      </c>
      <c r="P313" s="42" t="inlineStr">
        <is>
          <t>Offsite Conversions</t>
        </is>
      </c>
      <c r="Q313" s="42" t="inlineStr">
        <is>
          <t>https://www.lepas-sa.co.za/offers/javan</t>
        </is>
      </c>
      <c r="R313" s="115" t="n">
        <v>179.86</v>
      </c>
      <c r="S313" s="116" t="n">
        <v>2250</v>
      </c>
      <c r="T313" s="116" t="n">
        <v>1261</v>
      </c>
      <c r="U313" s="117">
        <f>IFERROR(S313/T313,"")</f>
        <v/>
      </c>
      <c r="V313" s="116" t="n">
        <v>42</v>
      </c>
      <c r="W313" s="116" t="n">
        <v>30</v>
      </c>
      <c r="X313" s="118">
        <f>IFERROR(W313/S313,"")</f>
        <v/>
      </c>
      <c r="Y313" s="115">
        <f>IFERROR(R313/W313,"")</f>
        <v/>
      </c>
      <c r="Z313" s="115">
        <f>IFERROR(R313/S313*1000,"")</f>
        <v/>
      </c>
      <c r="AA313" s="116" t="n">
        <v>26</v>
      </c>
      <c r="AB313" s="47">
        <f>IFERROR(AA313/W313,"")</f>
        <v/>
      </c>
      <c r="AC313" s="116" t="n">
        <v>634</v>
      </c>
      <c r="AD313" s="116" t="n">
        <v>336</v>
      </c>
      <c r="AE313" s="116" t="n">
        <v>288</v>
      </c>
      <c r="AF313" s="116" t="n">
        <v>157</v>
      </c>
      <c r="AG313" s="116" t="n">
        <v>104</v>
      </c>
      <c r="AH313" s="116" t="n">
        <v>61</v>
      </c>
      <c r="AI313" s="47">
        <f>IFERROR(AC313/S313,"")</f>
        <v/>
      </c>
      <c r="AJ313" s="47">
        <f>IFERROR(AH313/S313,"")</f>
        <v/>
      </c>
      <c r="AK313" s="116" t="n">
        <v>49</v>
      </c>
      <c r="AL313" s="116" t="n">
        <v>0</v>
      </c>
      <c r="AM313" s="118">
        <f>IFERROR(AL313/AA313,"")</f>
        <v/>
      </c>
      <c r="AN313" s="119">
        <f>IFERROR(R313/AL313,"")</f>
        <v/>
      </c>
      <c r="AO313" s="116" t="n">
        <v>0</v>
      </c>
      <c r="AP313" s="47">
        <f>IFERROR(AO313/AL313,"")</f>
        <v/>
      </c>
      <c r="AQ313" s="119">
        <f>IFERROR(R313/AO313,"")</f>
        <v/>
      </c>
      <c r="AR313" s="116" t="n">
        <v>0</v>
      </c>
      <c r="AS313" s="116" t="n">
        <v>0</v>
      </c>
      <c r="AT313" s="116">
        <f>AL313+AR313</f>
        <v/>
      </c>
      <c r="AU313" s="119">
        <f>IFERROR(AO313*Assumptions!$C$26*Assumptions!$C$27*INDEX(Assumptions!$C$18:$C$21,MATCH(H313,Assumptions!$B$18:$B$21,0)),0)</f>
        <v/>
      </c>
    </row>
    <row r="314">
      <c r="A314" s="114" t="n">
        <v>46259</v>
      </c>
      <c r="B314" s="42" t="inlineStr">
        <is>
          <t>Wk 35</t>
        </is>
      </c>
      <c r="C314" s="42" t="inlineStr">
        <is>
          <t>Tue</t>
        </is>
      </c>
      <c r="D314" s="42" t="inlineStr">
        <is>
          <t>Meta (FB/IG)</t>
        </is>
      </c>
      <c r="E314" s="42" t="inlineStr">
        <is>
          <t>Facebook + Instagram</t>
        </is>
      </c>
      <c r="F314" s="42" t="inlineStr">
        <is>
          <t>LEP_ZA_AUG26_META_TD_JAVAN_CONV</t>
        </is>
      </c>
      <c r="G314" s="42" t="inlineStr">
        <is>
          <t>Leads - Website Conversions</t>
        </is>
      </c>
      <c r="H314" s="42" t="inlineStr">
        <is>
          <t>JAVAN</t>
        </is>
      </c>
      <c r="I314" s="42" t="inlineStr">
        <is>
          <t>10% Deposit</t>
        </is>
      </c>
      <c r="J314" s="42" t="inlineStr">
        <is>
          <t>MET_JAVAN_BROAD_28-55_ZA</t>
        </is>
      </c>
      <c r="K314" s="42" t="inlineStr">
        <is>
          <t>Prospecting</t>
        </is>
      </c>
      <c r="L314" s="42" t="inlineStr">
        <is>
          <t>JAVAN_VID_20s_FamilyWeekend_v2</t>
        </is>
      </c>
      <c r="M314" s="42" t="inlineStr">
        <is>
          <t>Video 9:16</t>
        </is>
      </c>
      <c r="N314" s="42" t="inlineStr">
        <is>
          <t>School run to sunset drive</t>
        </is>
      </c>
      <c r="O314" s="42" t="inlineStr">
        <is>
          <t>Auction - Lowest Cost</t>
        </is>
      </c>
      <c r="P314" s="42" t="inlineStr">
        <is>
          <t>Offsite Conversions</t>
        </is>
      </c>
      <c r="Q314" s="42" t="inlineStr">
        <is>
          <t>https://www.lepas-sa.co.za/offers/javan</t>
        </is>
      </c>
      <c r="R314" s="115" t="n">
        <v>158.06</v>
      </c>
      <c r="S314" s="116" t="n">
        <v>1938</v>
      </c>
      <c r="T314" s="116" t="n">
        <v>1083</v>
      </c>
      <c r="U314" s="117">
        <f>IFERROR(S314/T314,"")</f>
        <v/>
      </c>
      <c r="V314" s="116" t="n">
        <v>17</v>
      </c>
      <c r="W314" s="116" t="n">
        <v>13</v>
      </c>
      <c r="X314" s="118">
        <f>IFERROR(W314/S314,"")</f>
        <v/>
      </c>
      <c r="Y314" s="115">
        <f>IFERROR(R314/W314,"")</f>
        <v/>
      </c>
      <c r="Z314" s="115">
        <f>IFERROR(R314/S314*1000,"")</f>
        <v/>
      </c>
      <c r="AA314" s="116" t="n">
        <v>12</v>
      </c>
      <c r="AB314" s="47">
        <f>IFERROR(AA314/W314,"")</f>
        <v/>
      </c>
      <c r="AC314" s="116" t="n">
        <v>614</v>
      </c>
      <c r="AD314" s="116" t="n">
        <v>352</v>
      </c>
      <c r="AE314" s="116" t="n">
        <v>310</v>
      </c>
      <c r="AF314" s="116" t="n">
        <v>185</v>
      </c>
      <c r="AG314" s="116" t="n">
        <v>135</v>
      </c>
      <c r="AH314" s="116" t="n">
        <v>97</v>
      </c>
      <c r="AI314" s="47">
        <f>IFERROR(AC314/S314,"")</f>
        <v/>
      </c>
      <c r="AJ314" s="47">
        <f>IFERROR(AH314/S314,"")</f>
        <v/>
      </c>
      <c r="AK314" s="116" t="n">
        <v>20</v>
      </c>
      <c r="AL314" s="116" t="n">
        <v>1</v>
      </c>
      <c r="AM314" s="118">
        <f>IFERROR(AL314/AA314,"")</f>
        <v/>
      </c>
      <c r="AN314" s="119">
        <f>IFERROR(R314/AL314,"")</f>
        <v/>
      </c>
      <c r="AO314" s="116" t="n">
        <v>0</v>
      </c>
      <c r="AP314" s="47">
        <f>IFERROR(AO314/AL314,"")</f>
        <v/>
      </c>
      <c r="AQ314" s="119">
        <f>IFERROR(R314/AO314,"")</f>
        <v/>
      </c>
      <c r="AR314" s="116" t="n">
        <v>0</v>
      </c>
      <c r="AS314" s="116" t="n">
        <v>0</v>
      </c>
      <c r="AT314" s="116">
        <f>AL314+AR314</f>
        <v/>
      </c>
      <c r="AU314" s="119">
        <f>IFERROR(AO314*Assumptions!$C$26*Assumptions!$C$27*INDEX(Assumptions!$C$18:$C$21,MATCH(H314,Assumptions!$B$18:$B$21,0)),0)</f>
        <v/>
      </c>
    </row>
    <row r="315">
      <c r="A315" s="114" t="n">
        <v>46260</v>
      </c>
      <c r="B315" s="42" t="inlineStr">
        <is>
          <t>Wk 35</t>
        </is>
      </c>
      <c r="C315" s="42" t="inlineStr">
        <is>
          <t>Wed</t>
        </is>
      </c>
      <c r="D315" s="42" t="inlineStr">
        <is>
          <t>Meta (FB/IG)</t>
        </is>
      </c>
      <c r="E315" s="42" t="inlineStr">
        <is>
          <t>Facebook + Instagram</t>
        </is>
      </c>
      <c r="F315" s="42" t="inlineStr">
        <is>
          <t>LEP_ZA_AUG26_META_TD_JAVAN_CONV</t>
        </is>
      </c>
      <c r="G315" s="42" t="inlineStr">
        <is>
          <t>Leads - Website Conversions</t>
        </is>
      </c>
      <c r="H315" s="42" t="inlineStr">
        <is>
          <t>JAVAN</t>
        </is>
      </c>
      <c r="I315" s="42" t="inlineStr">
        <is>
          <t>10% Deposit</t>
        </is>
      </c>
      <c r="J315" s="42" t="inlineStr">
        <is>
          <t>MET_JAVAN_BROAD_28-55_ZA</t>
        </is>
      </c>
      <c r="K315" s="42" t="inlineStr">
        <is>
          <t>Prospecting</t>
        </is>
      </c>
      <c r="L315" s="42" t="inlineStr">
        <is>
          <t>JAVAN_VID_20s_FamilyWeekend_v2</t>
        </is>
      </c>
      <c r="M315" s="42" t="inlineStr">
        <is>
          <t>Video 9:16</t>
        </is>
      </c>
      <c r="N315" s="42" t="inlineStr">
        <is>
          <t>School run to sunset drive</t>
        </is>
      </c>
      <c r="O315" s="42" t="inlineStr">
        <is>
          <t>Auction - Lowest Cost</t>
        </is>
      </c>
      <c r="P315" s="42" t="inlineStr">
        <is>
          <t>Offsite Conversions</t>
        </is>
      </c>
      <c r="Q315" s="42" t="inlineStr">
        <is>
          <t>https://www.lepas-sa.co.za/offers/javan</t>
        </is>
      </c>
      <c r="R315" s="115" t="n">
        <v>166.76</v>
      </c>
      <c r="S315" s="116" t="n">
        <v>2700</v>
      </c>
      <c r="T315" s="116" t="n">
        <v>1388</v>
      </c>
      <c r="U315" s="117">
        <f>IFERROR(S315/T315,"")</f>
        <v/>
      </c>
      <c r="V315" s="116" t="n">
        <v>36</v>
      </c>
      <c r="W315" s="116" t="n">
        <v>28</v>
      </c>
      <c r="X315" s="118">
        <f>IFERROR(W315/S315,"")</f>
        <v/>
      </c>
      <c r="Y315" s="115">
        <f>IFERROR(R315/W315,"")</f>
        <v/>
      </c>
      <c r="Z315" s="115">
        <f>IFERROR(R315/S315*1000,"")</f>
        <v/>
      </c>
      <c r="AA315" s="116" t="n">
        <v>24</v>
      </c>
      <c r="AB315" s="47">
        <f>IFERROR(AA315/W315,"")</f>
        <v/>
      </c>
      <c r="AC315" s="116" t="n">
        <v>766</v>
      </c>
      <c r="AD315" s="116" t="n">
        <v>454</v>
      </c>
      <c r="AE315" s="116" t="n">
        <v>335</v>
      </c>
      <c r="AF315" s="116" t="n">
        <v>180</v>
      </c>
      <c r="AG315" s="116" t="n">
        <v>133</v>
      </c>
      <c r="AH315" s="116" t="n">
        <v>88</v>
      </c>
      <c r="AI315" s="47">
        <f>IFERROR(AC315/S315,"")</f>
        <v/>
      </c>
      <c r="AJ315" s="47">
        <f>IFERROR(AH315/S315,"")</f>
        <v/>
      </c>
      <c r="AK315" s="116" t="n">
        <v>77</v>
      </c>
      <c r="AL315" s="116" t="n">
        <v>0</v>
      </c>
      <c r="AM315" s="118">
        <f>IFERROR(AL315/AA315,"")</f>
        <v/>
      </c>
      <c r="AN315" s="119">
        <f>IFERROR(R315/AL315,"")</f>
        <v/>
      </c>
      <c r="AO315" s="116" t="n">
        <v>0</v>
      </c>
      <c r="AP315" s="47">
        <f>IFERROR(AO315/AL315,"")</f>
        <v/>
      </c>
      <c r="AQ315" s="119">
        <f>IFERROR(R315/AO315,"")</f>
        <v/>
      </c>
      <c r="AR315" s="116" t="n">
        <v>0</v>
      </c>
      <c r="AS315" s="116" t="n">
        <v>0</v>
      </c>
      <c r="AT315" s="116">
        <f>AL315+AR315</f>
        <v/>
      </c>
      <c r="AU315" s="119">
        <f>IFERROR(AO315*Assumptions!$C$26*Assumptions!$C$27*INDEX(Assumptions!$C$18:$C$21,MATCH(H315,Assumptions!$B$18:$B$21,0)),0)</f>
        <v/>
      </c>
    </row>
    <row r="316">
      <c r="A316" s="114" t="n">
        <v>46261</v>
      </c>
      <c r="B316" s="42" t="inlineStr">
        <is>
          <t>Wk 35</t>
        </is>
      </c>
      <c r="C316" s="42" t="inlineStr">
        <is>
          <t>Thu</t>
        </is>
      </c>
      <c r="D316" s="42" t="inlineStr">
        <is>
          <t>Meta (FB/IG)</t>
        </is>
      </c>
      <c r="E316" s="42" t="inlineStr">
        <is>
          <t>Facebook + Instagram</t>
        </is>
      </c>
      <c r="F316" s="42" t="inlineStr">
        <is>
          <t>LEP_ZA_AUG26_META_TD_JAVAN_CONV</t>
        </is>
      </c>
      <c r="G316" s="42" t="inlineStr">
        <is>
          <t>Leads - Website Conversions</t>
        </is>
      </c>
      <c r="H316" s="42" t="inlineStr">
        <is>
          <t>JAVAN</t>
        </is>
      </c>
      <c r="I316" s="42" t="inlineStr">
        <is>
          <t>10% Deposit</t>
        </is>
      </c>
      <c r="J316" s="42" t="inlineStr">
        <is>
          <t>MET_JAVAN_BROAD_28-55_ZA</t>
        </is>
      </c>
      <c r="K316" s="42" t="inlineStr">
        <is>
          <t>Prospecting</t>
        </is>
      </c>
      <c r="L316" s="42" t="inlineStr">
        <is>
          <t>JAVAN_VID_20s_FamilyWeekend_v2</t>
        </is>
      </c>
      <c r="M316" s="42" t="inlineStr">
        <is>
          <t>Video 9:16</t>
        </is>
      </c>
      <c r="N316" s="42" t="inlineStr">
        <is>
          <t>School run to sunset drive</t>
        </is>
      </c>
      <c r="O316" s="42" t="inlineStr">
        <is>
          <t>Auction - Lowest Cost</t>
        </is>
      </c>
      <c r="P316" s="42" t="inlineStr">
        <is>
          <t>Offsite Conversions</t>
        </is>
      </c>
      <c r="Q316" s="42" t="inlineStr">
        <is>
          <t>https://www.lepas-sa.co.za/offers/javan</t>
        </is>
      </c>
      <c r="R316" s="115" t="n">
        <v>200.27</v>
      </c>
      <c r="S316" s="116" t="n">
        <v>2297</v>
      </c>
      <c r="T316" s="116" t="n">
        <v>1501</v>
      </c>
      <c r="U316" s="117">
        <f>IFERROR(S316/T316,"")</f>
        <v/>
      </c>
      <c r="V316" s="116" t="n">
        <v>36</v>
      </c>
      <c r="W316" s="116" t="n">
        <v>29</v>
      </c>
      <c r="X316" s="118">
        <f>IFERROR(W316/S316,"")</f>
        <v/>
      </c>
      <c r="Y316" s="115">
        <f>IFERROR(R316/W316,"")</f>
        <v/>
      </c>
      <c r="Z316" s="115">
        <f>IFERROR(R316/S316*1000,"")</f>
        <v/>
      </c>
      <c r="AA316" s="116" t="n">
        <v>26</v>
      </c>
      <c r="AB316" s="47">
        <f>IFERROR(AA316/W316,"")</f>
        <v/>
      </c>
      <c r="AC316" s="116" t="n">
        <v>561</v>
      </c>
      <c r="AD316" s="116" t="n">
        <v>285</v>
      </c>
      <c r="AE316" s="116" t="n">
        <v>287</v>
      </c>
      <c r="AF316" s="116" t="n">
        <v>168</v>
      </c>
      <c r="AG316" s="116" t="n">
        <v>120</v>
      </c>
      <c r="AH316" s="116" t="n">
        <v>67</v>
      </c>
      <c r="AI316" s="47">
        <f>IFERROR(AC316/S316,"")</f>
        <v/>
      </c>
      <c r="AJ316" s="47">
        <f>IFERROR(AH316/S316,"")</f>
        <v/>
      </c>
      <c r="AK316" s="116" t="n">
        <v>26</v>
      </c>
      <c r="AL316" s="116" t="n">
        <v>0</v>
      </c>
      <c r="AM316" s="118">
        <f>IFERROR(AL316/AA316,"")</f>
        <v/>
      </c>
      <c r="AN316" s="119">
        <f>IFERROR(R316/AL316,"")</f>
        <v/>
      </c>
      <c r="AO316" s="116" t="n">
        <v>0</v>
      </c>
      <c r="AP316" s="47">
        <f>IFERROR(AO316/AL316,"")</f>
        <v/>
      </c>
      <c r="AQ316" s="119">
        <f>IFERROR(R316/AO316,"")</f>
        <v/>
      </c>
      <c r="AR316" s="116" t="n">
        <v>0</v>
      </c>
      <c r="AS316" s="116" t="n">
        <v>0</v>
      </c>
      <c r="AT316" s="116">
        <f>AL316+AR316</f>
        <v/>
      </c>
      <c r="AU316" s="119">
        <f>IFERROR(AO316*Assumptions!$C$26*Assumptions!$C$27*INDEX(Assumptions!$C$18:$C$21,MATCH(H316,Assumptions!$B$18:$B$21,0)),0)</f>
        <v/>
      </c>
    </row>
    <row r="317">
      <c r="A317" s="114" t="n">
        <v>46262</v>
      </c>
      <c r="B317" s="42" t="inlineStr">
        <is>
          <t>Wk 35</t>
        </is>
      </c>
      <c r="C317" s="42" t="inlineStr">
        <is>
          <t>Fri</t>
        </is>
      </c>
      <c r="D317" s="42" t="inlineStr">
        <is>
          <t>Meta (FB/IG)</t>
        </is>
      </c>
      <c r="E317" s="42" t="inlineStr">
        <is>
          <t>Facebook + Instagram</t>
        </is>
      </c>
      <c r="F317" s="42" t="inlineStr">
        <is>
          <t>LEP_ZA_AUG26_META_TD_JAVAN_CONV</t>
        </is>
      </c>
      <c r="G317" s="42" t="inlineStr">
        <is>
          <t>Leads - Website Conversions</t>
        </is>
      </c>
      <c r="H317" s="42" t="inlineStr">
        <is>
          <t>JAVAN</t>
        </is>
      </c>
      <c r="I317" s="42" t="inlineStr">
        <is>
          <t>10% Deposit</t>
        </is>
      </c>
      <c r="J317" s="42" t="inlineStr">
        <is>
          <t>MET_JAVAN_BROAD_28-55_ZA</t>
        </is>
      </c>
      <c r="K317" s="42" t="inlineStr">
        <is>
          <t>Prospecting</t>
        </is>
      </c>
      <c r="L317" s="42" t="inlineStr">
        <is>
          <t>JAVAN_VID_20s_FamilyWeekend_v2</t>
        </is>
      </c>
      <c r="M317" s="42" t="inlineStr">
        <is>
          <t>Video 9:16</t>
        </is>
      </c>
      <c r="N317" s="42" t="inlineStr">
        <is>
          <t>School run to sunset drive</t>
        </is>
      </c>
      <c r="O317" s="42" t="inlineStr">
        <is>
          <t>Auction - Lowest Cost</t>
        </is>
      </c>
      <c r="P317" s="42" t="inlineStr">
        <is>
          <t>Offsite Conversions</t>
        </is>
      </c>
      <c r="Q317" s="42" t="inlineStr">
        <is>
          <t>https://www.lepas-sa.co.za/offers/javan</t>
        </is>
      </c>
      <c r="R317" s="115" t="n">
        <v>204.61</v>
      </c>
      <c r="S317" s="116" t="n">
        <v>3506</v>
      </c>
      <c r="T317" s="116" t="n">
        <v>1955</v>
      </c>
      <c r="U317" s="117">
        <f>IFERROR(S317/T317,"")</f>
        <v/>
      </c>
      <c r="V317" s="116" t="n">
        <v>35</v>
      </c>
      <c r="W317" s="116" t="n">
        <v>27</v>
      </c>
      <c r="X317" s="118">
        <f>IFERROR(W317/S317,"")</f>
        <v/>
      </c>
      <c r="Y317" s="115">
        <f>IFERROR(R317/W317,"")</f>
        <v/>
      </c>
      <c r="Z317" s="115">
        <f>IFERROR(R317/S317*1000,"")</f>
        <v/>
      </c>
      <c r="AA317" s="116" t="n">
        <v>24</v>
      </c>
      <c r="AB317" s="47">
        <f>IFERROR(AA317/W317,"")</f>
        <v/>
      </c>
      <c r="AC317" s="116" t="n">
        <v>790</v>
      </c>
      <c r="AD317" s="116" t="n">
        <v>369</v>
      </c>
      <c r="AE317" s="116" t="n">
        <v>334</v>
      </c>
      <c r="AF317" s="116" t="n">
        <v>227</v>
      </c>
      <c r="AG317" s="116" t="n">
        <v>151</v>
      </c>
      <c r="AH317" s="116" t="n">
        <v>86</v>
      </c>
      <c r="AI317" s="47">
        <f>IFERROR(AC317/S317,"")</f>
        <v/>
      </c>
      <c r="AJ317" s="47">
        <f>IFERROR(AH317/S317,"")</f>
        <v/>
      </c>
      <c r="AK317" s="116" t="n">
        <v>63</v>
      </c>
      <c r="AL317" s="116" t="n">
        <v>0</v>
      </c>
      <c r="AM317" s="118">
        <f>IFERROR(AL317/AA317,"")</f>
        <v/>
      </c>
      <c r="AN317" s="119">
        <f>IFERROR(R317/AL317,"")</f>
        <v/>
      </c>
      <c r="AO317" s="116" t="n">
        <v>0</v>
      </c>
      <c r="AP317" s="47">
        <f>IFERROR(AO317/AL317,"")</f>
        <v/>
      </c>
      <c r="AQ317" s="119">
        <f>IFERROR(R317/AO317,"")</f>
        <v/>
      </c>
      <c r="AR317" s="116" t="n">
        <v>0</v>
      </c>
      <c r="AS317" s="116" t="n">
        <v>0</v>
      </c>
      <c r="AT317" s="116">
        <f>AL317+AR317</f>
        <v/>
      </c>
      <c r="AU317" s="119">
        <f>IFERROR(AO317*Assumptions!$C$26*Assumptions!$C$27*INDEX(Assumptions!$C$18:$C$21,MATCH(H317,Assumptions!$B$18:$B$21,0)),0)</f>
        <v/>
      </c>
    </row>
    <row r="318">
      <c r="A318" s="114" t="n">
        <v>46263</v>
      </c>
      <c r="B318" s="42" t="inlineStr">
        <is>
          <t>Wk 35</t>
        </is>
      </c>
      <c r="C318" s="42" t="inlineStr">
        <is>
          <t>Sat</t>
        </is>
      </c>
      <c r="D318" s="42" t="inlineStr">
        <is>
          <t>Meta (FB/IG)</t>
        </is>
      </c>
      <c r="E318" s="42" t="inlineStr">
        <is>
          <t>Facebook + Instagram</t>
        </is>
      </c>
      <c r="F318" s="42" t="inlineStr">
        <is>
          <t>LEP_ZA_AUG26_META_TD_JAVAN_CONV</t>
        </is>
      </c>
      <c r="G318" s="42" t="inlineStr">
        <is>
          <t>Leads - Website Conversions</t>
        </is>
      </c>
      <c r="H318" s="42" t="inlineStr">
        <is>
          <t>JAVAN</t>
        </is>
      </c>
      <c r="I318" s="42" t="inlineStr">
        <is>
          <t>10% Deposit</t>
        </is>
      </c>
      <c r="J318" s="42" t="inlineStr">
        <is>
          <t>MET_JAVAN_BROAD_28-55_ZA</t>
        </is>
      </c>
      <c r="K318" s="42" t="inlineStr">
        <is>
          <t>Prospecting</t>
        </is>
      </c>
      <c r="L318" s="42" t="inlineStr">
        <is>
          <t>JAVAN_VID_20s_FamilyWeekend_v2</t>
        </is>
      </c>
      <c r="M318" s="42" t="inlineStr">
        <is>
          <t>Video 9:16</t>
        </is>
      </c>
      <c r="N318" s="42" t="inlineStr">
        <is>
          <t>School run to sunset drive</t>
        </is>
      </c>
      <c r="O318" s="42" t="inlineStr">
        <is>
          <t>Auction - Lowest Cost</t>
        </is>
      </c>
      <c r="P318" s="42" t="inlineStr">
        <is>
          <t>Offsite Conversions</t>
        </is>
      </c>
      <c r="Q318" s="42" t="inlineStr">
        <is>
          <t>https://www.lepas-sa.co.za/offers/javan</t>
        </is>
      </c>
      <c r="R318" s="115" t="n">
        <v>260.32</v>
      </c>
      <c r="S318" s="116" t="n">
        <v>4126</v>
      </c>
      <c r="T318" s="116" t="n">
        <v>2708</v>
      </c>
      <c r="U318" s="117">
        <f>IFERROR(S318/T318,"")</f>
        <v/>
      </c>
      <c r="V318" s="116" t="n">
        <v>44</v>
      </c>
      <c r="W318" s="116" t="n">
        <v>32</v>
      </c>
      <c r="X318" s="118">
        <f>IFERROR(W318/S318,"")</f>
        <v/>
      </c>
      <c r="Y318" s="115">
        <f>IFERROR(R318/W318,"")</f>
        <v/>
      </c>
      <c r="Z318" s="115">
        <f>IFERROR(R318/S318*1000,"")</f>
        <v/>
      </c>
      <c r="AA318" s="116" t="n">
        <v>27</v>
      </c>
      <c r="AB318" s="47">
        <f>IFERROR(AA318/W318,"")</f>
        <v/>
      </c>
      <c r="AC318" s="116" t="n">
        <v>1672</v>
      </c>
      <c r="AD318" s="116" t="n">
        <v>804</v>
      </c>
      <c r="AE318" s="116" t="n">
        <v>803</v>
      </c>
      <c r="AF318" s="116" t="n">
        <v>546</v>
      </c>
      <c r="AG318" s="116" t="n">
        <v>432</v>
      </c>
      <c r="AH318" s="116" t="n">
        <v>239</v>
      </c>
      <c r="AI318" s="47">
        <f>IFERROR(AC318/S318,"")</f>
        <v/>
      </c>
      <c r="AJ318" s="47">
        <f>IFERROR(AH318/S318,"")</f>
        <v/>
      </c>
      <c r="AK318" s="116" t="n">
        <v>103</v>
      </c>
      <c r="AL318" s="116" t="n">
        <v>0</v>
      </c>
      <c r="AM318" s="118">
        <f>IFERROR(AL318/AA318,"")</f>
        <v/>
      </c>
      <c r="AN318" s="119">
        <f>IFERROR(R318/AL318,"")</f>
        <v/>
      </c>
      <c r="AO318" s="116" t="n">
        <v>0</v>
      </c>
      <c r="AP318" s="47">
        <f>IFERROR(AO318/AL318,"")</f>
        <v/>
      </c>
      <c r="AQ318" s="119">
        <f>IFERROR(R318/AO318,"")</f>
        <v/>
      </c>
      <c r="AR318" s="116" t="n">
        <v>0</v>
      </c>
      <c r="AS318" s="116" t="n">
        <v>0</v>
      </c>
      <c r="AT318" s="116">
        <f>AL318+AR318</f>
        <v/>
      </c>
      <c r="AU318" s="119">
        <f>IFERROR(AO318*Assumptions!$C$26*Assumptions!$C$27*INDEX(Assumptions!$C$18:$C$21,MATCH(H318,Assumptions!$B$18:$B$21,0)),0)</f>
        <v/>
      </c>
    </row>
    <row r="319">
      <c r="A319" s="114" t="n">
        <v>46264</v>
      </c>
      <c r="B319" s="42" t="inlineStr">
        <is>
          <t>Wk 35</t>
        </is>
      </c>
      <c r="C319" s="42" t="inlineStr">
        <is>
          <t>Sun</t>
        </is>
      </c>
      <c r="D319" s="42" t="inlineStr">
        <is>
          <t>Meta (FB/IG)</t>
        </is>
      </c>
      <c r="E319" s="42" t="inlineStr">
        <is>
          <t>Facebook + Instagram</t>
        </is>
      </c>
      <c r="F319" s="42" t="inlineStr">
        <is>
          <t>LEP_ZA_AUG26_META_TD_JAVAN_CONV</t>
        </is>
      </c>
      <c r="G319" s="42" t="inlineStr">
        <is>
          <t>Leads - Website Conversions</t>
        </is>
      </c>
      <c r="H319" s="42" t="inlineStr">
        <is>
          <t>JAVAN</t>
        </is>
      </c>
      <c r="I319" s="42" t="inlineStr">
        <is>
          <t>10% Deposit</t>
        </is>
      </c>
      <c r="J319" s="42" t="inlineStr">
        <is>
          <t>MET_JAVAN_BROAD_28-55_ZA</t>
        </is>
      </c>
      <c r="K319" s="42" t="inlineStr">
        <is>
          <t>Prospecting</t>
        </is>
      </c>
      <c r="L319" s="42" t="inlineStr">
        <is>
          <t>JAVAN_VID_20s_FamilyWeekend_v2</t>
        </is>
      </c>
      <c r="M319" s="42" t="inlineStr">
        <is>
          <t>Video 9:16</t>
        </is>
      </c>
      <c r="N319" s="42" t="inlineStr">
        <is>
          <t>School run to sunset drive</t>
        </is>
      </c>
      <c r="O319" s="42" t="inlineStr">
        <is>
          <t>Auction - Lowest Cost</t>
        </is>
      </c>
      <c r="P319" s="42" t="inlineStr">
        <is>
          <t>Offsite Conversions</t>
        </is>
      </c>
      <c r="Q319" s="42" t="inlineStr">
        <is>
          <t>https://www.lepas-sa.co.za/offers/javan</t>
        </is>
      </c>
      <c r="R319" s="115" t="n">
        <v>184.53</v>
      </c>
      <c r="S319" s="116" t="n">
        <v>2318</v>
      </c>
      <c r="T319" s="116" t="n">
        <v>1487</v>
      </c>
      <c r="U319" s="117">
        <f>IFERROR(S319/T319,"")</f>
        <v/>
      </c>
      <c r="V319" s="116" t="n">
        <v>23</v>
      </c>
      <c r="W319" s="116" t="n">
        <v>17</v>
      </c>
      <c r="X319" s="118">
        <f>IFERROR(W319/S319,"")</f>
        <v/>
      </c>
      <c r="Y319" s="115">
        <f>IFERROR(R319/W319,"")</f>
        <v/>
      </c>
      <c r="Z319" s="115">
        <f>IFERROR(R319/S319*1000,"")</f>
        <v/>
      </c>
      <c r="AA319" s="116" t="n">
        <v>14</v>
      </c>
      <c r="AB319" s="47">
        <f>IFERROR(AA319/W319,"")</f>
        <v/>
      </c>
      <c r="AC319" s="116" t="n">
        <v>779</v>
      </c>
      <c r="AD319" s="116" t="n">
        <v>388</v>
      </c>
      <c r="AE319" s="116" t="n">
        <v>362</v>
      </c>
      <c r="AF319" s="116" t="n">
        <v>241</v>
      </c>
      <c r="AG319" s="116" t="n">
        <v>173</v>
      </c>
      <c r="AH319" s="116" t="n">
        <v>120</v>
      </c>
      <c r="AI319" s="47">
        <f>IFERROR(AC319/S319,"")</f>
        <v/>
      </c>
      <c r="AJ319" s="47">
        <f>IFERROR(AH319/S319,"")</f>
        <v/>
      </c>
      <c r="AK319" s="116" t="n">
        <v>71</v>
      </c>
      <c r="AL319" s="116" t="n">
        <v>0</v>
      </c>
      <c r="AM319" s="118">
        <f>IFERROR(AL319/AA319,"")</f>
        <v/>
      </c>
      <c r="AN319" s="119">
        <f>IFERROR(R319/AL319,"")</f>
        <v/>
      </c>
      <c r="AO319" s="116" t="n">
        <v>0</v>
      </c>
      <c r="AP319" s="47">
        <f>IFERROR(AO319/AL319,"")</f>
        <v/>
      </c>
      <c r="AQ319" s="119">
        <f>IFERROR(R319/AO319,"")</f>
        <v/>
      </c>
      <c r="AR319" s="116" t="n">
        <v>0</v>
      </c>
      <c r="AS319" s="116" t="n">
        <v>0</v>
      </c>
      <c r="AT319" s="116">
        <f>AL319+AR319</f>
        <v/>
      </c>
      <c r="AU319" s="119">
        <f>IFERROR(AO319*Assumptions!$C$26*Assumptions!$C$27*INDEX(Assumptions!$C$18:$C$21,MATCH(H319,Assumptions!$B$18:$B$21,0)),0)</f>
        <v/>
      </c>
    </row>
    <row r="320">
      <c r="A320" s="114" t="n">
        <v>46265</v>
      </c>
      <c r="B320" s="42" t="inlineStr">
        <is>
          <t>Wk 36</t>
        </is>
      </c>
      <c r="C320" s="42" t="inlineStr">
        <is>
          <t>Mon</t>
        </is>
      </c>
      <c r="D320" s="42" t="inlineStr">
        <is>
          <t>Meta (FB/IG)</t>
        </is>
      </c>
      <c r="E320" s="42" t="inlineStr">
        <is>
          <t>Facebook + Instagram</t>
        </is>
      </c>
      <c r="F320" s="42" t="inlineStr">
        <is>
          <t>LEP_ZA_AUG26_META_TD_JAVAN_CONV</t>
        </is>
      </c>
      <c r="G320" s="42" t="inlineStr">
        <is>
          <t>Leads - Website Conversions</t>
        </is>
      </c>
      <c r="H320" s="42" t="inlineStr">
        <is>
          <t>JAVAN</t>
        </is>
      </c>
      <c r="I320" s="42" t="inlineStr">
        <is>
          <t>10% Deposit</t>
        </is>
      </c>
      <c r="J320" s="42" t="inlineStr">
        <is>
          <t>MET_JAVAN_BROAD_28-55_ZA</t>
        </is>
      </c>
      <c r="K320" s="42" t="inlineStr">
        <is>
          <t>Prospecting</t>
        </is>
      </c>
      <c r="L320" s="42" t="inlineStr">
        <is>
          <t>JAVAN_VID_20s_FamilyWeekend_v2</t>
        </is>
      </c>
      <c r="M320" s="42" t="inlineStr">
        <is>
          <t>Video 9:16</t>
        </is>
      </c>
      <c r="N320" s="42" t="inlineStr">
        <is>
          <t>School run to sunset drive</t>
        </is>
      </c>
      <c r="O320" s="42" t="inlineStr">
        <is>
          <t>Auction - Lowest Cost</t>
        </is>
      </c>
      <c r="P320" s="42" t="inlineStr">
        <is>
          <t>Offsite Conversions</t>
        </is>
      </c>
      <c r="Q320" s="42" t="inlineStr">
        <is>
          <t>https://www.lepas-sa.co.za/offers/javan</t>
        </is>
      </c>
      <c r="R320" s="115" t="n">
        <v>172.9</v>
      </c>
      <c r="S320" s="116" t="n">
        <v>3248</v>
      </c>
      <c r="T320" s="116" t="n">
        <v>1551</v>
      </c>
      <c r="U320" s="117">
        <f>IFERROR(S320/T320,"")</f>
        <v/>
      </c>
      <c r="V320" s="116" t="n">
        <v>32</v>
      </c>
      <c r="W320" s="116" t="n">
        <v>25</v>
      </c>
      <c r="X320" s="118">
        <f>IFERROR(W320/S320,"")</f>
        <v/>
      </c>
      <c r="Y320" s="115">
        <f>IFERROR(R320/W320,"")</f>
        <v/>
      </c>
      <c r="Z320" s="115">
        <f>IFERROR(R320/S320*1000,"")</f>
        <v/>
      </c>
      <c r="AA320" s="116" t="n">
        <v>21</v>
      </c>
      <c r="AB320" s="47">
        <f>IFERROR(AA320/W320,"")</f>
        <v/>
      </c>
      <c r="AC320" s="116" t="n">
        <v>1296</v>
      </c>
      <c r="AD320" s="116" t="n">
        <v>600</v>
      </c>
      <c r="AE320" s="116" t="n">
        <v>664</v>
      </c>
      <c r="AF320" s="116" t="n">
        <v>471</v>
      </c>
      <c r="AG320" s="116" t="n">
        <v>312</v>
      </c>
      <c r="AH320" s="116" t="n">
        <v>205</v>
      </c>
      <c r="AI320" s="47">
        <f>IFERROR(AC320/S320,"")</f>
        <v/>
      </c>
      <c r="AJ320" s="47">
        <f>IFERROR(AH320/S320,"")</f>
        <v/>
      </c>
      <c r="AK320" s="116" t="n">
        <v>111</v>
      </c>
      <c r="AL320" s="116" t="n">
        <v>0</v>
      </c>
      <c r="AM320" s="118">
        <f>IFERROR(AL320/AA320,"")</f>
        <v/>
      </c>
      <c r="AN320" s="119">
        <f>IFERROR(R320/AL320,"")</f>
        <v/>
      </c>
      <c r="AO320" s="116" t="n">
        <v>0</v>
      </c>
      <c r="AP320" s="47">
        <f>IFERROR(AO320/AL320,"")</f>
        <v/>
      </c>
      <c r="AQ320" s="119">
        <f>IFERROR(R320/AO320,"")</f>
        <v/>
      </c>
      <c r="AR320" s="116" t="n">
        <v>0</v>
      </c>
      <c r="AS320" s="116" t="n">
        <v>0</v>
      </c>
      <c r="AT320" s="116">
        <f>AL320+AR320</f>
        <v/>
      </c>
      <c r="AU320" s="119">
        <f>IFERROR(AO320*Assumptions!$C$26*Assumptions!$C$27*INDEX(Assumptions!$C$18:$C$21,MATCH(H320,Assumptions!$B$18:$B$21,0)),0)</f>
        <v/>
      </c>
    </row>
    <row r="321">
      <c r="A321" s="114" t="n">
        <v>46235</v>
      </c>
      <c r="B321" s="42" t="inlineStr">
        <is>
          <t>Wk 31</t>
        </is>
      </c>
      <c r="C321" s="42" t="inlineStr">
        <is>
          <t>Sat</t>
        </is>
      </c>
      <c r="D321" s="42" t="inlineStr">
        <is>
          <t>Meta (FB/IG)</t>
        </is>
      </c>
      <c r="E321" s="42" t="inlineStr">
        <is>
          <t>Facebook + Instagram</t>
        </is>
      </c>
      <c r="F321" s="42" t="inlineStr">
        <is>
          <t>LEP_ZA_AUG26_META_TD_JAVAN_CONV</t>
        </is>
      </c>
      <c r="G321" s="42" t="inlineStr">
        <is>
          <t>Leads - Website Conversions</t>
        </is>
      </c>
      <c r="H321" s="42" t="inlineStr">
        <is>
          <t>JAVAN</t>
        </is>
      </c>
      <c r="I321" s="42" t="inlineStr">
        <is>
          <t>10% Deposit</t>
        </is>
      </c>
      <c r="J321" s="42" t="inlineStr">
        <is>
          <t>MET_JAVAN_LAL2_SITE_ZA</t>
        </is>
      </c>
      <c r="K321" s="42" t="inlineStr">
        <is>
          <t>Lookalike</t>
        </is>
      </c>
      <c r="L321" s="42" t="inlineStr">
        <is>
          <t>JAVAN_CAR_5card_Interior_v1</t>
        </is>
      </c>
      <c r="M321" s="42" t="inlineStr">
        <is>
          <t>Carousel</t>
        </is>
      </c>
      <c r="N321" s="42" t="inlineStr">
        <is>
          <t>Step inside the JAVAN</t>
        </is>
      </c>
      <c r="O321" s="42" t="inlineStr">
        <is>
          <t>Auction - Lowest Cost</t>
        </is>
      </c>
      <c r="P321" s="42" t="inlineStr">
        <is>
          <t>Offsite Conversions</t>
        </is>
      </c>
      <c r="Q321" s="42" t="inlineStr">
        <is>
          <t>https://www.lepas-sa.co.za/offers/javan</t>
        </is>
      </c>
      <c r="R321" s="115" t="n">
        <v>234.86</v>
      </c>
      <c r="S321" s="116" t="n">
        <v>4063</v>
      </c>
      <c r="T321" s="116" t="n">
        <v>2776</v>
      </c>
      <c r="U321" s="117">
        <f>IFERROR(S321/T321,"")</f>
        <v/>
      </c>
      <c r="V321" s="116" t="n">
        <v>115</v>
      </c>
      <c r="W321" s="116" t="n">
        <v>96</v>
      </c>
      <c r="X321" s="118">
        <f>IFERROR(W321/S321,"")</f>
        <v/>
      </c>
      <c r="Y321" s="115">
        <f>IFERROR(R321/W321,"")</f>
        <v/>
      </c>
      <c r="Z321" s="115">
        <f>IFERROR(R321/S321*1000,"")</f>
        <v/>
      </c>
      <c r="AA321" s="116" t="n">
        <v>84</v>
      </c>
      <c r="AB321" s="47">
        <f>IFERROR(AA321/W321,"")</f>
        <v/>
      </c>
      <c r="AC321" s="116" t="n">
        <v>0</v>
      </c>
      <c r="AD321" s="116" t="n">
        <v>0</v>
      </c>
      <c r="AE321" s="116" t="n">
        <v>0</v>
      </c>
      <c r="AF321" s="116" t="n">
        <v>0</v>
      </c>
      <c r="AG321" s="116" t="n">
        <v>0</v>
      </c>
      <c r="AH321" s="116" t="n">
        <v>0</v>
      </c>
      <c r="AI321" s="47">
        <f>IFERROR(AC321/S321,"")</f>
        <v/>
      </c>
      <c r="AJ321" s="47">
        <f>IFERROR(AH321/S321,"")</f>
        <v/>
      </c>
      <c r="AK321" s="116" t="n">
        <v>72</v>
      </c>
      <c r="AL321" s="116" t="n">
        <v>1</v>
      </c>
      <c r="AM321" s="118">
        <f>IFERROR(AL321/AA321,"")</f>
        <v/>
      </c>
      <c r="AN321" s="119">
        <f>IFERROR(R321/AL321,"")</f>
        <v/>
      </c>
      <c r="AO321" s="116" t="n">
        <v>1</v>
      </c>
      <c r="AP321" s="47">
        <f>IFERROR(AO321/AL321,"")</f>
        <v/>
      </c>
      <c r="AQ321" s="119">
        <f>IFERROR(R321/AO321,"")</f>
        <v/>
      </c>
      <c r="AR321" s="116" t="n">
        <v>0</v>
      </c>
      <c r="AS321" s="116" t="n">
        <v>0</v>
      </c>
      <c r="AT321" s="116">
        <f>AL321+AR321</f>
        <v/>
      </c>
      <c r="AU321" s="119">
        <f>IFERROR(AO321*Assumptions!$C$26*Assumptions!$C$27*INDEX(Assumptions!$C$18:$C$21,MATCH(H321,Assumptions!$B$18:$B$21,0)),0)</f>
        <v/>
      </c>
    </row>
    <row r="322">
      <c r="A322" s="114" t="n">
        <v>46236</v>
      </c>
      <c r="B322" s="42" t="inlineStr">
        <is>
          <t>Wk 31</t>
        </is>
      </c>
      <c r="C322" s="42" t="inlineStr">
        <is>
          <t>Sun</t>
        </is>
      </c>
      <c r="D322" s="42" t="inlineStr">
        <is>
          <t>Meta (FB/IG)</t>
        </is>
      </c>
      <c r="E322" s="42" t="inlineStr">
        <is>
          <t>Facebook + Instagram</t>
        </is>
      </c>
      <c r="F322" s="42" t="inlineStr">
        <is>
          <t>LEP_ZA_AUG26_META_TD_JAVAN_CONV</t>
        </is>
      </c>
      <c r="G322" s="42" t="inlineStr">
        <is>
          <t>Leads - Website Conversions</t>
        </is>
      </c>
      <c r="H322" s="42" t="inlineStr">
        <is>
          <t>JAVAN</t>
        </is>
      </c>
      <c r="I322" s="42" t="inlineStr">
        <is>
          <t>10% Deposit</t>
        </is>
      </c>
      <c r="J322" s="42" t="inlineStr">
        <is>
          <t>MET_JAVAN_LAL2_SITE_ZA</t>
        </is>
      </c>
      <c r="K322" s="42" t="inlineStr">
        <is>
          <t>Lookalike</t>
        </is>
      </c>
      <c r="L322" s="42" t="inlineStr">
        <is>
          <t>JAVAN_CAR_5card_Interior_v1</t>
        </is>
      </c>
      <c r="M322" s="42" t="inlineStr">
        <is>
          <t>Carousel</t>
        </is>
      </c>
      <c r="N322" s="42" t="inlineStr">
        <is>
          <t>Step inside the JAVAN</t>
        </is>
      </c>
      <c r="O322" s="42" t="inlineStr">
        <is>
          <t>Auction - Lowest Cost</t>
        </is>
      </c>
      <c r="P322" s="42" t="inlineStr">
        <is>
          <t>Offsite Conversions</t>
        </is>
      </c>
      <c r="Q322" s="42" t="inlineStr">
        <is>
          <t>https://www.lepas-sa.co.za/offers/javan</t>
        </is>
      </c>
      <c r="R322" s="115" t="n">
        <v>182.59</v>
      </c>
      <c r="S322" s="116" t="n">
        <v>1958</v>
      </c>
      <c r="T322" s="116" t="n">
        <v>1267</v>
      </c>
      <c r="U322" s="117">
        <f>IFERROR(S322/T322,"")</f>
        <v/>
      </c>
      <c r="V322" s="116" t="n">
        <v>35</v>
      </c>
      <c r="W322" s="116" t="n">
        <v>28</v>
      </c>
      <c r="X322" s="118">
        <f>IFERROR(W322/S322,"")</f>
        <v/>
      </c>
      <c r="Y322" s="115">
        <f>IFERROR(R322/W322,"")</f>
        <v/>
      </c>
      <c r="Z322" s="115">
        <f>IFERROR(R322/S322*1000,"")</f>
        <v/>
      </c>
      <c r="AA322" s="116" t="n">
        <v>24</v>
      </c>
      <c r="AB322" s="47">
        <f>IFERROR(AA322/W322,"")</f>
        <v/>
      </c>
      <c r="AC322" s="116" t="n">
        <v>0</v>
      </c>
      <c r="AD322" s="116" t="n">
        <v>0</v>
      </c>
      <c r="AE322" s="116" t="n">
        <v>0</v>
      </c>
      <c r="AF322" s="116" t="n">
        <v>0</v>
      </c>
      <c r="AG322" s="116" t="n">
        <v>0</v>
      </c>
      <c r="AH322" s="116" t="n">
        <v>0</v>
      </c>
      <c r="AI322" s="47">
        <f>IFERROR(AC322/S322,"")</f>
        <v/>
      </c>
      <c r="AJ322" s="47">
        <f>IFERROR(AH322/S322,"")</f>
        <v/>
      </c>
      <c r="AK322" s="116" t="n">
        <v>38</v>
      </c>
      <c r="AL322" s="116" t="n">
        <v>1</v>
      </c>
      <c r="AM322" s="118">
        <f>IFERROR(AL322/AA322,"")</f>
        <v/>
      </c>
      <c r="AN322" s="119">
        <f>IFERROR(R322/AL322,"")</f>
        <v/>
      </c>
      <c r="AO322" s="116" t="n">
        <v>1</v>
      </c>
      <c r="AP322" s="47">
        <f>IFERROR(AO322/AL322,"")</f>
        <v/>
      </c>
      <c r="AQ322" s="119">
        <f>IFERROR(R322/AO322,"")</f>
        <v/>
      </c>
      <c r="AR322" s="116" t="n">
        <v>1</v>
      </c>
      <c r="AS322" s="116" t="n">
        <v>0</v>
      </c>
      <c r="AT322" s="116">
        <f>AL322+AR322</f>
        <v/>
      </c>
      <c r="AU322" s="119">
        <f>IFERROR(AO322*Assumptions!$C$26*Assumptions!$C$27*INDEX(Assumptions!$C$18:$C$21,MATCH(H322,Assumptions!$B$18:$B$21,0)),0)</f>
        <v/>
      </c>
    </row>
    <row r="323">
      <c r="A323" s="114" t="n">
        <v>46237</v>
      </c>
      <c r="B323" s="42" t="inlineStr">
        <is>
          <t>Wk 32</t>
        </is>
      </c>
      <c r="C323" s="42" t="inlineStr">
        <is>
          <t>Mon</t>
        </is>
      </c>
      <c r="D323" s="42" t="inlineStr">
        <is>
          <t>Meta (FB/IG)</t>
        </is>
      </c>
      <c r="E323" s="42" t="inlineStr">
        <is>
          <t>Facebook + Instagram</t>
        </is>
      </c>
      <c r="F323" s="42" t="inlineStr">
        <is>
          <t>LEP_ZA_AUG26_META_TD_JAVAN_CONV</t>
        </is>
      </c>
      <c r="G323" s="42" t="inlineStr">
        <is>
          <t>Leads - Website Conversions</t>
        </is>
      </c>
      <c r="H323" s="42" t="inlineStr">
        <is>
          <t>JAVAN</t>
        </is>
      </c>
      <c r="I323" s="42" t="inlineStr">
        <is>
          <t>10% Deposit</t>
        </is>
      </c>
      <c r="J323" s="42" t="inlineStr">
        <is>
          <t>MET_JAVAN_LAL2_SITE_ZA</t>
        </is>
      </c>
      <c r="K323" s="42" t="inlineStr">
        <is>
          <t>Lookalike</t>
        </is>
      </c>
      <c r="L323" s="42" t="inlineStr">
        <is>
          <t>JAVAN_CAR_5card_Interior_v1</t>
        </is>
      </c>
      <c r="M323" s="42" t="inlineStr">
        <is>
          <t>Carousel</t>
        </is>
      </c>
      <c r="N323" s="42" t="inlineStr">
        <is>
          <t>Step inside the JAVAN</t>
        </is>
      </c>
      <c r="O323" s="42" t="inlineStr">
        <is>
          <t>Auction - Lowest Cost</t>
        </is>
      </c>
      <c r="P323" s="42" t="inlineStr">
        <is>
          <t>Offsite Conversions</t>
        </is>
      </c>
      <c r="Q323" s="42" t="inlineStr">
        <is>
          <t>https://www.lepas-sa.co.za/offers/javan</t>
        </is>
      </c>
      <c r="R323" s="115" t="n">
        <v>192.05</v>
      </c>
      <c r="S323" s="116" t="n">
        <v>2821</v>
      </c>
      <c r="T323" s="116" t="n">
        <v>1870</v>
      </c>
      <c r="U323" s="117">
        <f>IFERROR(S323/T323,"")</f>
        <v/>
      </c>
      <c r="V323" s="116" t="n">
        <v>104</v>
      </c>
      <c r="W323" s="116" t="n">
        <v>79</v>
      </c>
      <c r="X323" s="118">
        <f>IFERROR(W323/S323,"")</f>
        <v/>
      </c>
      <c r="Y323" s="115">
        <f>IFERROR(R323/W323,"")</f>
        <v/>
      </c>
      <c r="Z323" s="115">
        <f>IFERROR(R323/S323*1000,"")</f>
        <v/>
      </c>
      <c r="AA323" s="116" t="n">
        <v>72</v>
      </c>
      <c r="AB323" s="47">
        <f>IFERROR(AA323/W323,"")</f>
        <v/>
      </c>
      <c r="AC323" s="116" t="n">
        <v>0</v>
      </c>
      <c r="AD323" s="116" t="n">
        <v>0</v>
      </c>
      <c r="AE323" s="116" t="n">
        <v>0</v>
      </c>
      <c r="AF323" s="116" t="n">
        <v>0</v>
      </c>
      <c r="AG323" s="116" t="n">
        <v>0</v>
      </c>
      <c r="AH323" s="116" t="n">
        <v>0</v>
      </c>
      <c r="AI323" s="47">
        <f>IFERROR(AC323/S323,"")</f>
        <v/>
      </c>
      <c r="AJ323" s="47">
        <f>IFERROR(AH323/S323,"")</f>
        <v/>
      </c>
      <c r="AK323" s="116" t="n">
        <v>81</v>
      </c>
      <c r="AL323" s="116" t="n">
        <v>3</v>
      </c>
      <c r="AM323" s="118">
        <f>IFERROR(AL323/AA323,"")</f>
        <v/>
      </c>
      <c r="AN323" s="119">
        <f>IFERROR(R323/AL323,"")</f>
        <v/>
      </c>
      <c r="AO323" s="116" t="n">
        <v>2</v>
      </c>
      <c r="AP323" s="47">
        <f>IFERROR(AO323/AL323,"")</f>
        <v/>
      </c>
      <c r="AQ323" s="119">
        <f>IFERROR(R323/AO323,"")</f>
        <v/>
      </c>
      <c r="AR323" s="116" t="n">
        <v>1</v>
      </c>
      <c r="AS323" s="116" t="n">
        <v>2</v>
      </c>
      <c r="AT323" s="116">
        <f>AL323+AR323</f>
        <v/>
      </c>
      <c r="AU323" s="119">
        <f>IFERROR(AO323*Assumptions!$C$26*Assumptions!$C$27*INDEX(Assumptions!$C$18:$C$21,MATCH(H323,Assumptions!$B$18:$B$21,0)),0)</f>
        <v/>
      </c>
    </row>
    <row r="324">
      <c r="A324" s="114" t="n">
        <v>46238</v>
      </c>
      <c r="B324" s="42" t="inlineStr">
        <is>
          <t>Wk 32</t>
        </is>
      </c>
      <c r="C324" s="42" t="inlineStr">
        <is>
          <t>Tue</t>
        </is>
      </c>
      <c r="D324" s="42" t="inlineStr">
        <is>
          <t>Meta (FB/IG)</t>
        </is>
      </c>
      <c r="E324" s="42" t="inlineStr">
        <is>
          <t>Facebook + Instagram</t>
        </is>
      </c>
      <c r="F324" s="42" t="inlineStr">
        <is>
          <t>LEP_ZA_AUG26_META_TD_JAVAN_CONV</t>
        </is>
      </c>
      <c r="G324" s="42" t="inlineStr">
        <is>
          <t>Leads - Website Conversions</t>
        </is>
      </c>
      <c r="H324" s="42" t="inlineStr">
        <is>
          <t>JAVAN</t>
        </is>
      </c>
      <c r="I324" s="42" t="inlineStr">
        <is>
          <t>10% Deposit</t>
        </is>
      </c>
      <c r="J324" s="42" t="inlineStr">
        <is>
          <t>MET_JAVAN_LAL2_SITE_ZA</t>
        </is>
      </c>
      <c r="K324" s="42" t="inlineStr">
        <is>
          <t>Lookalike</t>
        </is>
      </c>
      <c r="L324" s="42" t="inlineStr">
        <is>
          <t>JAVAN_CAR_5card_Interior_v1</t>
        </is>
      </c>
      <c r="M324" s="42" t="inlineStr">
        <is>
          <t>Carousel</t>
        </is>
      </c>
      <c r="N324" s="42" t="inlineStr">
        <is>
          <t>Step inside the JAVAN</t>
        </is>
      </c>
      <c r="O324" s="42" t="inlineStr">
        <is>
          <t>Auction - Lowest Cost</t>
        </is>
      </c>
      <c r="P324" s="42" t="inlineStr">
        <is>
          <t>Offsite Conversions</t>
        </is>
      </c>
      <c r="Q324" s="42" t="inlineStr">
        <is>
          <t>https://www.lepas-sa.co.za/offers/javan</t>
        </is>
      </c>
      <c r="R324" s="115" t="n">
        <v>227.94</v>
      </c>
      <c r="S324" s="116" t="n">
        <v>2670</v>
      </c>
      <c r="T324" s="116" t="n">
        <v>1736</v>
      </c>
      <c r="U324" s="117">
        <f>IFERROR(S324/T324,"")</f>
        <v/>
      </c>
      <c r="V324" s="116" t="n">
        <v>55</v>
      </c>
      <c r="W324" s="116" t="n">
        <v>40</v>
      </c>
      <c r="X324" s="118">
        <f>IFERROR(W324/S324,"")</f>
        <v/>
      </c>
      <c r="Y324" s="115">
        <f>IFERROR(R324/W324,"")</f>
        <v/>
      </c>
      <c r="Z324" s="115">
        <f>IFERROR(R324/S324*1000,"")</f>
        <v/>
      </c>
      <c r="AA324" s="116" t="n">
        <v>36</v>
      </c>
      <c r="AB324" s="47">
        <f>IFERROR(AA324/W324,"")</f>
        <v/>
      </c>
      <c r="AC324" s="116" t="n">
        <v>0</v>
      </c>
      <c r="AD324" s="116" t="n">
        <v>0</v>
      </c>
      <c r="AE324" s="116" t="n">
        <v>0</v>
      </c>
      <c r="AF324" s="116" t="n">
        <v>0</v>
      </c>
      <c r="AG324" s="116" t="n">
        <v>0</v>
      </c>
      <c r="AH324" s="116" t="n">
        <v>0</v>
      </c>
      <c r="AI324" s="47">
        <f>IFERROR(AC324/S324,"")</f>
        <v/>
      </c>
      <c r="AJ324" s="47">
        <f>IFERROR(AH324/S324,"")</f>
        <v/>
      </c>
      <c r="AK324" s="116" t="n">
        <v>30</v>
      </c>
      <c r="AL324" s="116" t="n">
        <v>2</v>
      </c>
      <c r="AM324" s="118">
        <f>IFERROR(AL324/AA324,"")</f>
        <v/>
      </c>
      <c r="AN324" s="119">
        <f>IFERROR(R324/AL324,"")</f>
        <v/>
      </c>
      <c r="AO324" s="116" t="n">
        <v>1</v>
      </c>
      <c r="AP324" s="47">
        <f>IFERROR(AO324/AL324,"")</f>
        <v/>
      </c>
      <c r="AQ324" s="119">
        <f>IFERROR(R324/AO324,"")</f>
        <v/>
      </c>
      <c r="AR324" s="116" t="n">
        <v>1</v>
      </c>
      <c r="AS324" s="116" t="n">
        <v>0</v>
      </c>
      <c r="AT324" s="116">
        <f>AL324+AR324</f>
        <v/>
      </c>
      <c r="AU324" s="119">
        <f>IFERROR(AO324*Assumptions!$C$26*Assumptions!$C$27*INDEX(Assumptions!$C$18:$C$21,MATCH(H324,Assumptions!$B$18:$B$21,0)),0)</f>
        <v/>
      </c>
    </row>
    <row r="325">
      <c r="A325" s="114" t="n">
        <v>46239</v>
      </c>
      <c r="B325" s="42" t="inlineStr">
        <is>
          <t>Wk 32</t>
        </is>
      </c>
      <c r="C325" s="42" t="inlineStr">
        <is>
          <t>Wed</t>
        </is>
      </c>
      <c r="D325" s="42" t="inlineStr">
        <is>
          <t>Meta (FB/IG)</t>
        </is>
      </c>
      <c r="E325" s="42" t="inlineStr">
        <is>
          <t>Facebook + Instagram</t>
        </is>
      </c>
      <c r="F325" s="42" t="inlineStr">
        <is>
          <t>LEP_ZA_AUG26_META_TD_JAVAN_CONV</t>
        </is>
      </c>
      <c r="G325" s="42" t="inlineStr">
        <is>
          <t>Leads - Website Conversions</t>
        </is>
      </c>
      <c r="H325" s="42" t="inlineStr">
        <is>
          <t>JAVAN</t>
        </is>
      </c>
      <c r="I325" s="42" t="inlineStr">
        <is>
          <t>10% Deposit</t>
        </is>
      </c>
      <c r="J325" s="42" t="inlineStr">
        <is>
          <t>MET_JAVAN_LAL2_SITE_ZA</t>
        </is>
      </c>
      <c r="K325" s="42" t="inlineStr">
        <is>
          <t>Lookalike</t>
        </is>
      </c>
      <c r="L325" s="42" t="inlineStr">
        <is>
          <t>JAVAN_CAR_5card_Interior_v1</t>
        </is>
      </c>
      <c r="M325" s="42" t="inlineStr">
        <is>
          <t>Carousel</t>
        </is>
      </c>
      <c r="N325" s="42" t="inlineStr">
        <is>
          <t>Step inside the JAVAN</t>
        </is>
      </c>
      <c r="O325" s="42" t="inlineStr">
        <is>
          <t>Auction - Lowest Cost</t>
        </is>
      </c>
      <c r="P325" s="42" t="inlineStr">
        <is>
          <t>Offsite Conversions</t>
        </is>
      </c>
      <c r="Q325" s="42" t="inlineStr">
        <is>
          <t>https://www.lepas-sa.co.za/offers/javan</t>
        </is>
      </c>
      <c r="R325" s="115" t="n">
        <v>211.77</v>
      </c>
      <c r="S325" s="116" t="n">
        <v>2280</v>
      </c>
      <c r="T325" s="116" t="n">
        <v>1394</v>
      </c>
      <c r="U325" s="117">
        <f>IFERROR(S325/T325,"")</f>
        <v/>
      </c>
      <c r="V325" s="116" t="n">
        <v>35</v>
      </c>
      <c r="W325" s="116" t="n">
        <v>29</v>
      </c>
      <c r="X325" s="118">
        <f>IFERROR(W325/S325,"")</f>
        <v/>
      </c>
      <c r="Y325" s="115">
        <f>IFERROR(R325/W325,"")</f>
        <v/>
      </c>
      <c r="Z325" s="115">
        <f>IFERROR(R325/S325*1000,"")</f>
        <v/>
      </c>
      <c r="AA325" s="116" t="n">
        <v>23</v>
      </c>
      <c r="AB325" s="47">
        <f>IFERROR(AA325/W325,"")</f>
        <v/>
      </c>
      <c r="AC325" s="116" t="n">
        <v>0</v>
      </c>
      <c r="AD325" s="116" t="n">
        <v>0</v>
      </c>
      <c r="AE325" s="116" t="n">
        <v>0</v>
      </c>
      <c r="AF325" s="116" t="n">
        <v>0</v>
      </c>
      <c r="AG325" s="116" t="n">
        <v>0</v>
      </c>
      <c r="AH325" s="116" t="n">
        <v>0</v>
      </c>
      <c r="AI325" s="47">
        <f>IFERROR(AC325/S325,"")</f>
        <v/>
      </c>
      <c r="AJ325" s="47">
        <f>IFERROR(AH325/S325,"")</f>
        <v/>
      </c>
      <c r="AK325" s="116" t="n">
        <v>56</v>
      </c>
      <c r="AL325" s="116" t="n">
        <v>0</v>
      </c>
      <c r="AM325" s="118">
        <f>IFERROR(AL325/AA325,"")</f>
        <v/>
      </c>
      <c r="AN325" s="119">
        <f>IFERROR(R325/AL325,"")</f>
        <v/>
      </c>
      <c r="AO325" s="116" t="n">
        <v>0</v>
      </c>
      <c r="AP325" s="47">
        <f>IFERROR(AO325/AL325,"")</f>
        <v/>
      </c>
      <c r="AQ325" s="119">
        <f>IFERROR(R325/AO325,"")</f>
        <v/>
      </c>
      <c r="AR325" s="116" t="n">
        <v>0</v>
      </c>
      <c r="AS325" s="116" t="n">
        <v>0</v>
      </c>
      <c r="AT325" s="116">
        <f>AL325+AR325</f>
        <v/>
      </c>
      <c r="AU325" s="119">
        <f>IFERROR(AO325*Assumptions!$C$26*Assumptions!$C$27*INDEX(Assumptions!$C$18:$C$21,MATCH(H325,Assumptions!$B$18:$B$21,0)),0)</f>
        <v/>
      </c>
    </row>
    <row r="326">
      <c r="A326" s="114" t="n">
        <v>46240</v>
      </c>
      <c r="B326" s="42" t="inlineStr">
        <is>
          <t>Wk 32</t>
        </is>
      </c>
      <c r="C326" s="42" t="inlineStr">
        <is>
          <t>Thu</t>
        </is>
      </c>
      <c r="D326" s="42" t="inlineStr">
        <is>
          <t>Meta (FB/IG)</t>
        </is>
      </c>
      <c r="E326" s="42" t="inlineStr">
        <is>
          <t>Facebook + Instagram</t>
        </is>
      </c>
      <c r="F326" s="42" t="inlineStr">
        <is>
          <t>LEP_ZA_AUG26_META_TD_JAVAN_CONV</t>
        </is>
      </c>
      <c r="G326" s="42" t="inlineStr">
        <is>
          <t>Leads - Website Conversions</t>
        </is>
      </c>
      <c r="H326" s="42" t="inlineStr">
        <is>
          <t>JAVAN</t>
        </is>
      </c>
      <c r="I326" s="42" t="inlineStr">
        <is>
          <t>10% Deposit</t>
        </is>
      </c>
      <c r="J326" s="42" t="inlineStr">
        <is>
          <t>MET_JAVAN_LAL2_SITE_ZA</t>
        </is>
      </c>
      <c r="K326" s="42" t="inlineStr">
        <is>
          <t>Lookalike</t>
        </is>
      </c>
      <c r="L326" s="42" t="inlineStr">
        <is>
          <t>JAVAN_CAR_5card_Interior_v1</t>
        </is>
      </c>
      <c r="M326" s="42" t="inlineStr">
        <is>
          <t>Carousel</t>
        </is>
      </c>
      <c r="N326" s="42" t="inlineStr">
        <is>
          <t>Step inside the JAVAN</t>
        </is>
      </c>
      <c r="O326" s="42" t="inlineStr">
        <is>
          <t>Auction - Lowest Cost</t>
        </is>
      </c>
      <c r="P326" s="42" t="inlineStr">
        <is>
          <t>Offsite Conversions</t>
        </is>
      </c>
      <c r="Q326" s="42" t="inlineStr">
        <is>
          <t>https://www.lepas-sa.co.za/offers/javan</t>
        </is>
      </c>
      <c r="R326" s="115" t="n">
        <v>244.96</v>
      </c>
      <c r="S326" s="116" t="n">
        <v>2680</v>
      </c>
      <c r="T326" s="116" t="n">
        <v>1622</v>
      </c>
      <c r="U326" s="117">
        <f>IFERROR(S326/T326,"")</f>
        <v/>
      </c>
      <c r="V326" s="116" t="n">
        <v>66</v>
      </c>
      <c r="W326" s="116" t="n">
        <v>53</v>
      </c>
      <c r="X326" s="118">
        <f>IFERROR(W326/S326,"")</f>
        <v/>
      </c>
      <c r="Y326" s="115">
        <f>IFERROR(R326/W326,"")</f>
        <v/>
      </c>
      <c r="Z326" s="115">
        <f>IFERROR(R326/S326*1000,"")</f>
        <v/>
      </c>
      <c r="AA326" s="116" t="n">
        <v>46</v>
      </c>
      <c r="AB326" s="47">
        <f>IFERROR(AA326/W326,"")</f>
        <v/>
      </c>
      <c r="AC326" s="116" t="n">
        <v>0</v>
      </c>
      <c r="AD326" s="116" t="n">
        <v>0</v>
      </c>
      <c r="AE326" s="116" t="n">
        <v>0</v>
      </c>
      <c r="AF326" s="116" t="n">
        <v>0</v>
      </c>
      <c r="AG326" s="116" t="n">
        <v>0</v>
      </c>
      <c r="AH326" s="116" t="n">
        <v>0</v>
      </c>
      <c r="AI326" s="47">
        <f>IFERROR(AC326/S326,"")</f>
        <v/>
      </c>
      <c r="AJ326" s="47">
        <f>IFERROR(AH326/S326,"")</f>
        <v/>
      </c>
      <c r="AK326" s="116" t="n">
        <v>65</v>
      </c>
      <c r="AL326" s="116" t="n">
        <v>1</v>
      </c>
      <c r="AM326" s="118">
        <f>IFERROR(AL326/AA326,"")</f>
        <v/>
      </c>
      <c r="AN326" s="119">
        <f>IFERROR(R326/AL326,"")</f>
        <v/>
      </c>
      <c r="AO326" s="116" t="n">
        <v>0</v>
      </c>
      <c r="AP326" s="47">
        <f>IFERROR(AO326/AL326,"")</f>
        <v/>
      </c>
      <c r="AQ326" s="119">
        <f>IFERROR(R326/AO326,"")</f>
        <v/>
      </c>
      <c r="AR326" s="116" t="n">
        <v>1</v>
      </c>
      <c r="AS326" s="116" t="n">
        <v>0</v>
      </c>
      <c r="AT326" s="116">
        <f>AL326+AR326</f>
        <v/>
      </c>
      <c r="AU326" s="119">
        <f>IFERROR(AO326*Assumptions!$C$26*Assumptions!$C$27*INDEX(Assumptions!$C$18:$C$21,MATCH(H326,Assumptions!$B$18:$B$21,0)),0)</f>
        <v/>
      </c>
    </row>
    <row r="327">
      <c r="A327" s="114" t="n">
        <v>46241</v>
      </c>
      <c r="B327" s="42" t="inlineStr">
        <is>
          <t>Wk 32</t>
        </is>
      </c>
      <c r="C327" s="42" t="inlineStr">
        <is>
          <t>Fri</t>
        </is>
      </c>
      <c r="D327" s="42" t="inlineStr">
        <is>
          <t>Meta (FB/IG)</t>
        </is>
      </c>
      <c r="E327" s="42" t="inlineStr">
        <is>
          <t>Facebook + Instagram</t>
        </is>
      </c>
      <c r="F327" s="42" t="inlineStr">
        <is>
          <t>LEP_ZA_AUG26_META_TD_JAVAN_CONV</t>
        </is>
      </c>
      <c r="G327" s="42" t="inlineStr">
        <is>
          <t>Leads - Website Conversions</t>
        </is>
      </c>
      <c r="H327" s="42" t="inlineStr">
        <is>
          <t>JAVAN</t>
        </is>
      </c>
      <c r="I327" s="42" t="inlineStr">
        <is>
          <t>10% Deposit</t>
        </is>
      </c>
      <c r="J327" s="42" t="inlineStr">
        <is>
          <t>MET_JAVAN_LAL2_SITE_ZA</t>
        </is>
      </c>
      <c r="K327" s="42" t="inlineStr">
        <is>
          <t>Lookalike</t>
        </is>
      </c>
      <c r="L327" s="42" t="inlineStr">
        <is>
          <t>JAVAN_CAR_5card_Interior_v1</t>
        </is>
      </c>
      <c r="M327" s="42" t="inlineStr">
        <is>
          <t>Carousel</t>
        </is>
      </c>
      <c r="N327" s="42" t="inlineStr">
        <is>
          <t>Step inside the JAVAN</t>
        </is>
      </c>
      <c r="O327" s="42" t="inlineStr">
        <is>
          <t>Auction - Lowest Cost</t>
        </is>
      </c>
      <c r="P327" s="42" t="inlineStr">
        <is>
          <t>Offsite Conversions</t>
        </is>
      </c>
      <c r="Q327" s="42" t="inlineStr">
        <is>
          <t>https://www.lepas-sa.co.za/offers/javan</t>
        </is>
      </c>
      <c r="R327" s="115" t="n">
        <v>224.55</v>
      </c>
      <c r="S327" s="116" t="n">
        <v>2931</v>
      </c>
      <c r="T327" s="116" t="n">
        <v>1902</v>
      </c>
      <c r="U327" s="117">
        <f>IFERROR(S327/T327,"")</f>
        <v/>
      </c>
      <c r="V327" s="116" t="n">
        <v>71</v>
      </c>
      <c r="W327" s="116" t="n">
        <v>56</v>
      </c>
      <c r="X327" s="118">
        <f>IFERROR(W327/S327,"")</f>
        <v/>
      </c>
      <c r="Y327" s="115">
        <f>IFERROR(R327/W327,"")</f>
        <v/>
      </c>
      <c r="Z327" s="115">
        <f>IFERROR(R327/S327*1000,"")</f>
        <v/>
      </c>
      <c r="AA327" s="116" t="n">
        <v>46</v>
      </c>
      <c r="AB327" s="47">
        <f>IFERROR(AA327/W327,"")</f>
        <v/>
      </c>
      <c r="AC327" s="116" t="n">
        <v>0</v>
      </c>
      <c r="AD327" s="116" t="n">
        <v>0</v>
      </c>
      <c r="AE327" s="116" t="n">
        <v>0</v>
      </c>
      <c r="AF327" s="116" t="n">
        <v>0</v>
      </c>
      <c r="AG327" s="116" t="n">
        <v>0</v>
      </c>
      <c r="AH327" s="116" t="n">
        <v>0</v>
      </c>
      <c r="AI327" s="47">
        <f>IFERROR(AC327/S327,"")</f>
        <v/>
      </c>
      <c r="AJ327" s="47">
        <f>IFERROR(AH327/S327,"")</f>
        <v/>
      </c>
      <c r="AK327" s="116" t="n">
        <v>98</v>
      </c>
      <c r="AL327" s="116" t="n">
        <v>2</v>
      </c>
      <c r="AM327" s="118">
        <f>IFERROR(AL327/AA327,"")</f>
        <v/>
      </c>
      <c r="AN327" s="119">
        <f>IFERROR(R327/AL327,"")</f>
        <v/>
      </c>
      <c r="AO327" s="116" t="n">
        <v>1</v>
      </c>
      <c r="AP327" s="47">
        <f>IFERROR(AO327/AL327,"")</f>
        <v/>
      </c>
      <c r="AQ327" s="119">
        <f>IFERROR(R327/AO327,"")</f>
        <v/>
      </c>
      <c r="AR327" s="116" t="n">
        <v>1</v>
      </c>
      <c r="AS327" s="116" t="n">
        <v>0</v>
      </c>
      <c r="AT327" s="116">
        <f>AL327+AR327</f>
        <v/>
      </c>
      <c r="AU327" s="119">
        <f>IFERROR(AO327*Assumptions!$C$26*Assumptions!$C$27*INDEX(Assumptions!$C$18:$C$21,MATCH(H327,Assumptions!$B$18:$B$21,0)),0)</f>
        <v/>
      </c>
    </row>
    <row r="328">
      <c r="A328" s="114" t="n">
        <v>46242</v>
      </c>
      <c r="B328" s="42" t="inlineStr">
        <is>
          <t>Wk 32</t>
        </is>
      </c>
      <c r="C328" s="42" t="inlineStr">
        <is>
          <t>Sat</t>
        </is>
      </c>
      <c r="D328" s="42" t="inlineStr">
        <is>
          <t>Meta (FB/IG)</t>
        </is>
      </c>
      <c r="E328" s="42" t="inlineStr">
        <is>
          <t>Facebook + Instagram</t>
        </is>
      </c>
      <c r="F328" s="42" t="inlineStr">
        <is>
          <t>LEP_ZA_AUG26_META_TD_JAVAN_CONV</t>
        </is>
      </c>
      <c r="G328" s="42" t="inlineStr">
        <is>
          <t>Leads - Website Conversions</t>
        </is>
      </c>
      <c r="H328" s="42" t="inlineStr">
        <is>
          <t>JAVAN</t>
        </is>
      </c>
      <c r="I328" s="42" t="inlineStr">
        <is>
          <t>10% Deposit</t>
        </is>
      </c>
      <c r="J328" s="42" t="inlineStr">
        <is>
          <t>MET_JAVAN_LAL2_SITE_ZA</t>
        </is>
      </c>
      <c r="K328" s="42" t="inlineStr">
        <is>
          <t>Lookalike</t>
        </is>
      </c>
      <c r="L328" s="42" t="inlineStr">
        <is>
          <t>JAVAN_CAR_5card_Interior_v1</t>
        </is>
      </c>
      <c r="M328" s="42" t="inlineStr">
        <is>
          <t>Carousel</t>
        </is>
      </c>
      <c r="N328" s="42" t="inlineStr">
        <is>
          <t>Step inside the JAVAN</t>
        </is>
      </c>
      <c r="O328" s="42" t="inlineStr">
        <is>
          <t>Auction - Lowest Cost</t>
        </is>
      </c>
      <c r="P328" s="42" t="inlineStr">
        <is>
          <t>Offsite Conversions</t>
        </is>
      </c>
      <c r="Q328" s="42" t="inlineStr">
        <is>
          <t>https://www.lepas-sa.co.za/offers/javan</t>
        </is>
      </c>
      <c r="R328" s="115" t="n">
        <v>248.76</v>
      </c>
      <c r="S328" s="116" t="n">
        <v>2843</v>
      </c>
      <c r="T328" s="116" t="n">
        <v>2093</v>
      </c>
      <c r="U328" s="117">
        <f>IFERROR(S328/T328,"")</f>
        <v/>
      </c>
      <c r="V328" s="116" t="n">
        <v>61</v>
      </c>
      <c r="W328" s="116" t="n">
        <v>43</v>
      </c>
      <c r="X328" s="118">
        <f>IFERROR(W328/S328,"")</f>
        <v/>
      </c>
      <c r="Y328" s="115">
        <f>IFERROR(R328/W328,"")</f>
        <v/>
      </c>
      <c r="Z328" s="115">
        <f>IFERROR(R328/S328*1000,"")</f>
        <v/>
      </c>
      <c r="AA328" s="116" t="n">
        <v>35</v>
      </c>
      <c r="AB328" s="47">
        <f>IFERROR(AA328/W328,"")</f>
        <v/>
      </c>
      <c r="AC328" s="116" t="n">
        <v>0</v>
      </c>
      <c r="AD328" s="116" t="n">
        <v>0</v>
      </c>
      <c r="AE328" s="116" t="n">
        <v>0</v>
      </c>
      <c r="AF328" s="116" t="n">
        <v>0</v>
      </c>
      <c r="AG328" s="116" t="n">
        <v>0</v>
      </c>
      <c r="AH328" s="116" t="n">
        <v>0</v>
      </c>
      <c r="AI328" s="47">
        <f>IFERROR(AC328/S328,"")</f>
        <v/>
      </c>
      <c r="AJ328" s="47">
        <f>IFERROR(AH328/S328,"")</f>
        <v/>
      </c>
      <c r="AK328" s="116" t="n">
        <v>55</v>
      </c>
      <c r="AL328" s="116" t="n">
        <v>1</v>
      </c>
      <c r="AM328" s="118">
        <f>IFERROR(AL328/AA328,"")</f>
        <v/>
      </c>
      <c r="AN328" s="119">
        <f>IFERROR(R328/AL328,"")</f>
        <v/>
      </c>
      <c r="AO328" s="116" t="n">
        <v>1</v>
      </c>
      <c r="AP328" s="47">
        <f>IFERROR(AO328/AL328,"")</f>
        <v/>
      </c>
      <c r="AQ328" s="119">
        <f>IFERROR(R328/AO328,"")</f>
        <v/>
      </c>
      <c r="AR328" s="116" t="n">
        <v>0</v>
      </c>
      <c r="AS328" s="116" t="n">
        <v>1</v>
      </c>
      <c r="AT328" s="116">
        <f>AL328+AR328</f>
        <v/>
      </c>
      <c r="AU328" s="119">
        <f>IFERROR(AO328*Assumptions!$C$26*Assumptions!$C$27*INDEX(Assumptions!$C$18:$C$21,MATCH(H328,Assumptions!$B$18:$B$21,0)),0)</f>
        <v/>
      </c>
    </row>
    <row r="329">
      <c r="A329" s="114" t="n">
        <v>46243</v>
      </c>
      <c r="B329" s="42" t="inlineStr">
        <is>
          <t>Wk 32</t>
        </is>
      </c>
      <c r="C329" s="42" t="inlineStr">
        <is>
          <t>Sun</t>
        </is>
      </c>
      <c r="D329" s="42" t="inlineStr">
        <is>
          <t>Meta (FB/IG)</t>
        </is>
      </c>
      <c r="E329" s="42" t="inlineStr">
        <is>
          <t>Facebook + Instagram</t>
        </is>
      </c>
      <c r="F329" s="42" t="inlineStr">
        <is>
          <t>LEP_ZA_AUG26_META_TD_JAVAN_CONV</t>
        </is>
      </c>
      <c r="G329" s="42" t="inlineStr">
        <is>
          <t>Leads - Website Conversions</t>
        </is>
      </c>
      <c r="H329" s="42" t="inlineStr">
        <is>
          <t>JAVAN</t>
        </is>
      </c>
      <c r="I329" s="42" t="inlineStr">
        <is>
          <t>10% Deposit</t>
        </is>
      </c>
      <c r="J329" s="42" t="inlineStr">
        <is>
          <t>MET_JAVAN_LAL2_SITE_ZA</t>
        </is>
      </c>
      <c r="K329" s="42" t="inlineStr">
        <is>
          <t>Lookalike</t>
        </is>
      </c>
      <c r="L329" s="42" t="inlineStr">
        <is>
          <t>JAVAN_CAR_5card_Interior_v1</t>
        </is>
      </c>
      <c r="M329" s="42" t="inlineStr">
        <is>
          <t>Carousel</t>
        </is>
      </c>
      <c r="N329" s="42" t="inlineStr">
        <is>
          <t>Step inside the JAVAN</t>
        </is>
      </c>
      <c r="O329" s="42" t="inlineStr">
        <is>
          <t>Auction - Lowest Cost</t>
        </is>
      </c>
      <c r="P329" s="42" t="inlineStr">
        <is>
          <t>Offsite Conversions</t>
        </is>
      </c>
      <c r="Q329" s="42" t="inlineStr">
        <is>
          <t>https://www.lepas-sa.co.za/offers/javan</t>
        </is>
      </c>
      <c r="R329" s="115" t="n">
        <v>160.92</v>
      </c>
      <c r="S329" s="116" t="n">
        <v>2086</v>
      </c>
      <c r="T329" s="116" t="n">
        <v>1636</v>
      </c>
      <c r="U329" s="117">
        <f>IFERROR(S329/T329,"")</f>
        <v/>
      </c>
      <c r="V329" s="116" t="n">
        <v>32</v>
      </c>
      <c r="W329" s="116" t="n">
        <v>23</v>
      </c>
      <c r="X329" s="118">
        <f>IFERROR(W329/S329,"")</f>
        <v/>
      </c>
      <c r="Y329" s="115">
        <f>IFERROR(R329/W329,"")</f>
        <v/>
      </c>
      <c r="Z329" s="115">
        <f>IFERROR(R329/S329*1000,"")</f>
        <v/>
      </c>
      <c r="AA329" s="116" t="n">
        <v>20</v>
      </c>
      <c r="AB329" s="47">
        <f>IFERROR(AA329/W329,"")</f>
        <v/>
      </c>
      <c r="AC329" s="116" t="n">
        <v>0</v>
      </c>
      <c r="AD329" s="116" t="n">
        <v>0</v>
      </c>
      <c r="AE329" s="116" t="n">
        <v>0</v>
      </c>
      <c r="AF329" s="116" t="n">
        <v>0</v>
      </c>
      <c r="AG329" s="116" t="n">
        <v>0</v>
      </c>
      <c r="AH329" s="116" t="n">
        <v>0</v>
      </c>
      <c r="AI329" s="47">
        <f>IFERROR(AC329/S329,"")</f>
        <v/>
      </c>
      <c r="AJ329" s="47">
        <f>IFERROR(AH329/S329,"")</f>
        <v/>
      </c>
      <c r="AK329" s="116" t="n">
        <v>45</v>
      </c>
      <c r="AL329" s="116" t="n">
        <v>0</v>
      </c>
      <c r="AM329" s="118">
        <f>IFERROR(AL329/AA329,"")</f>
        <v/>
      </c>
      <c r="AN329" s="119">
        <f>IFERROR(R329/AL329,"")</f>
        <v/>
      </c>
      <c r="AO329" s="116" t="n">
        <v>0</v>
      </c>
      <c r="AP329" s="47">
        <f>IFERROR(AO329/AL329,"")</f>
        <v/>
      </c>
      <c r="AQ329" s="119">
        <f>IFERROR(R329/AO329,"")</f>
        <v/>
      </c>
      <c r="AR329" s="116" t="n">
        <v>0</v>
      </c>
      <c r="AS329" s="116" t="n">
        <v>0</v>
      </c>
      <c r="AT329" s="116">
        <f>AL329+AR329</f>
        <v/>
      </c>
      <c r="AU329" s="119">
        <f>IFERROR(AO329*Assumptions!$C$26*Assumptions!$C$27*INDEX(Assumptions!$C$18:$C$21,MATCH(H329,Assumptions!$B$18:$B$21,0)),0)</f>
        <v/>
      </c>
    </row>
    <row r="330">
      <c r="A330" s="114" t="n">
        <v>46244</v>
      </c>
      <c r="B330" s="42" t="inlineStr">
        <is>
          <t>Wk 33</t>
        </is>
      </c>
      <c r="C330" s="42" t="inlineStr">
        <is>
          <t>Mon</t>
        </is>
      </c>
      <c r="D330" s="42" t="inlineStr">
        <is>
          <t>Meta (FB/IG)</t>
        </is>
      </c>
      <c r="E330" s="42" t="inlineStr">
        <is>
          <t>Facebook + Instagram</t>
        </is>
      </c>
      <c r="F330" s="42" t="inlineStr">
        <is>
          <t>LEP_ZA_AUG26_META_TD_JAVAN_CONV</t>
        </is>
      </c>
      <c r="G330" s="42" t="inlineStr">
        <is>
          <t>Leads - Website Conversions</t>
        </is>
      </c>
      <c r="H330" s="42" t="inlineStr">
        <is>
          <t>JAVAN</t>
        </is>
      </c>
      <c r="I330" s="42" t="inlineStr">
        <is>
          <t>10% Deposit</t>
        </is>
      </c>
      <c r="J330" s="42" t="inlineStr">
        <is>
          <t>MET_JAVAN_LAL2_SITE_ZA</t>
        </is>
      </c>
      <c r="K330" s="42" t="inlineStr">
        <is>
          <t>Lookalike</t>
        </is>
      </c>
      <c r="L330" s="42" t="inlineStr">
        <is>
          <t>JAVAN_CAR_5card_Interior_v1</t>
        </is>
      </c>
      <c r="M330" s="42" t="inlineStr">
        <is>
          <t>Carousel</t>
        </is>
      </c>
      <c r="N330" s="42" t="inlineStr">
        <is>
          <t>Step inside the JAVAN</t>
        </is>
      </c>
      <c r="O330" s="42" t="inlineStr">
        <is>
          <t>Auction - Lowest Cost</t>
        </is>
      </c>
      <c r="P330" s="42" t="inlineStr">
        <is>
          <t>Offsite Conversions</t>
        </is>
      </c>
      <c r="Q330" s="42" t="inlineStr">
        <is>
          <t>https://www.lepas-sa.co.za/offers/javan</t>
        </is>
      </c>
      <c r="R330" s="115" t="n">
        <v>253.05</v>
      </c>
      <c r="S330" s="116" t="n">
        <v>2779</v>
      </c>
      <c r="T330" s="116" t="n">
        <v>1844</v>
      </c>
      <c r="U330" s="117">
        <f>IFERROR(S330/T330,"")</f>
        <v/>
      </c>
      <c r="V330" s="116" t="n">
        <v>61</v>
      </c>
      <c r="W330" s="116" t="n">
        <v>52</v>
      </c>
      <c r="X330" s="118">
        <f>IFERROR(W330/S330,"")</f>
        <v/>
      </c>
      <c r="Y330" s="115">
        <f>IFERROR(R330/W330,"")</f>
        <v/>
      </c>
      <c r="Z330" s="115">
        <f>IFERROR(R330/S330*1000,"")</f>
        <v/>
      </c>
      <c r="AA330" s="116" t="n">
        <v>45</v>
      </c>
      <c r="AB330" s="47">
        <f>IFERROR(AA330/W330,"")</f>
        <v/>
      </c>
      <c r="AC330" s="116" t="n">
        <v>0</v>
      </c>
      <c r="AD330" s="116" t="n">
        <v>0</v>
      </c>
      <c r="AE330" s="116" t="n">
        <v>0</v>
      </c>
      <c r="AF330" s="116" t="n">
        <v>0</v>
      </c>
      <c r="AG330" s="116" t="n">
        <v>0</v>
      </c>
      <c r="AH330" s="116" t="n">
        <v>0</v>
      </c>
      <c r="AI330" s="47">
        <f>IFERROR(AC330/S330,"")</f>
        <v/>
      </c>
      <c r="AJ330" s="47">
        <f>IFERROR(AH330/S330,"")</f>
        <v/>
      </c>
      <c r="AK330" s="116" t="n">
        <v>52</v>
      </c>
      <c r="AL330" s="116" t="n">
        <v>0</v>
      </c>
      <c r="AM330" s="118">
        <f>IFERROR(AL330/AA330,"")</f>
        <v/>
      </c>
      <c r="AN330" s="119">
        <f>IFERROR(R330/AL330,"")</f>
        <v/>
      </c>
      <c r="AO330" s="116" t="n">
        <v>0</v>
      </c>
      <c r="AP330" s="47">
        <f>IFERROR(AO330/AL330,"")</f>
        <v/>
      </c>
      <c r="AQ330" s="119">
        <f>IFERROR(R330/AO330,"")</f>
        <v/>
      </c>
      <c r="AR330" s="116" t="n">
        <v>0</v>
      </c>
      <c r="AS330" s="116" t="n">
        <v>0</v>
      </c>
      <c r="AT330" s="116">
        <f>AL330+AR330</f>
        <v/>
      </c>
      <c r="AU330" s="119">
        <f>IFERROR(AO330*Assumptions!$C$26*Assumptions!$C$27*INDEX(Assumptions!$C$18:$C$21,MATCH(H330,Assumptions!$B$18:$B$21,0)),0)</f>
        <v/>
      </c>
    </row>
    <row r="331">
      <c r="A331" s="114" t="n">
        <v>46245</v>
      </c>
      <c r="B331" s="42" t="inlineStr">
        <is>
          <t>Wk 33</t>
        </is>
      </c>
      <c r="C331" s="42" t="inlineStr">
        <is>
          <t>Tue</t>
        </is>
      </c>
      <c r="D331" s="42" t="inlineStr">
        <is>
          <t>Meta (FB/IG)</t>
        </is>
      </c>
      <c r="E331" s="42" t="inlineStr">
        <is>
          <t>Facebook + Instagram</t>
        </is>
      </c>
      <c r="F331" s="42" t="inlineStr">
        <is>
          <t>LEP_ZA_AUG26_META_TD_JAVAN_CONV</t>
        </is>
      </c>
      <c r="G331" s="42" t="inlineStr">
        <is>
          <t>Leads - Website Conversions</t>
        </is>
      </c>
      <c r="H331" s="42" t="inlineStr">
        <is>
          <t>JAVAN</t>
        </is>
      </c>
      <c r="I331" s="42" t="inlineStr">
        <is>
          <t>10% Deposit</t>
        </is>
      </c>
      <c r="J331" s="42" t="inlineStr">
        <is>
          <t>MET_JAVAN_LAL2_SITE_ZA</t>
        </is>
      </c>
      <c r="K331" s="42" t="inlineStr">
        <is>
          <t>Lookalike</t>
        </is>
      </c>
      <c r="L331" s="42" t="inlineStr">
        <is>
          <t>JAVAN_CAR_5card_Interior_v1</t>
        </is>
      </c>
      <c r="M331" s="42" t="inlineStr">
        <is>
          <t>Carousel</t>
        </is>
      </c>
      <c r="N331" s="42" t="inlineStr">
        <is>
          <t>Step inside the JAVAN</t>
        </is>
      </c>
      <c r="O331" s="42" t="inlineStr">
        <is>
          <t>Auction - Lowest Cost</t>
        </is>
      </c>
      <c r="P331" s="42" t="inlineStr">
        <is>
          <t>Offsite Conversions</t>
        </is>
      </c>
      <c r="Q331" s="42" t="inlineStr">
        <is>
          <t>https://www.lepas-sa.co.za/offers/javan</t>
        </is>
      </c>
      <c r="R331" s="115" t="n">
        <v>192.24</v>
      </c>
      <c r="S331" s="116" t="n">
        <v>2373</v>
      </c>
      <c r="T331" s="116" t="n">
        <v>1754</v>
      </c>
      <c r="U331" s="117">
        <f>IFERROR(S331/T331,"")</f>
        <v/>
      </c>
      <c r="V331" s="116" t="n">
        <v>33</v>
      </c>
      <c r="W331" s="116" t="n">
        <v>25</v>
      </c>
      <c r="X331" s="118">
        <f>IFERROR(W331/S331,"")</f>
        <v/>
      </c>
      <c r="Y331" s="115">
        <f>IFERROR(R331/W331,"")</f>
        <v/>
      </c>
      <c r="Z331" s="115">
        <f>IFERROR(R331/S331*1000,"")</f>
        <v/>
      </c>
      <c r="AA331" s="116" t="n">
        <v>22</v>
      </c>
      <c r="AB331" s="47">
        <f>IFERROR(AA331/W331,"")</f>
        <v/>
      </c>
      <c r="AC331" s="116" t="n">
        <v>0</v>
      </c>
      <c r="AD331" s="116" t="n">
        <v>0</v>
      </c>
      <c r="AE331" s="116" t="n">
        <v>0</v>
      </c>
      <c r="AF331" s="116" t="n">
        <v>0</v>
      </c>
      <c r="AG331" s="116" t="n">
        <v>0</v>
      </c>
      <c r="AH331" s="116" t="n">
        <v>0</v>
      </c>
      <c r="AI331" s="47">
        <f>IFERROR(AC331/S331,"")</f>
        <v/>
      </c>
      <c r="AJ331" s="47">
        <f>IFERROR(AH331/S331,"")</f>
        <v/>
      </c>
      <c r="AK331" s="116" t="n">
        <v>46</v>
      </c>
      <c r="AL331" s="116" t="n">
        <v>0</v>
      </c>
      <c r="AM331" s="118">
        <f>IFERROR(AL331/AA331,"")</f>
        <v/>
      </c>
      <c r="AN331" s="119">
        <f>IFERROR(R331/AL331,"")</f>
        <v/>
      </c>
      <c r="AO331" s="116" t="n">
        <v>0</v>
      </c>
      <c r="AP331" s="47">
        <f>IFERROR(AO331/AL331,"")</f>
        <v/>
      </c>
      <c r="AQ331" s="119">
        <f>IFERROR(R331/AO331,"")</f>
        <v/>
      </c>
      <c r="AR331" s="116" t="n">
        <v>0</v>
      </c>
      <c r="AS331" s="116" t="n">
        <v>0</v>
      </c>
      <c r="AT331" s="116">
        <f>AL331+AR331</f>
        <v/>
      </c>
      <c r="AU331" s="119">
        <f>IFERROR(AO331*Assumptions!$C$26*Assumptions!$C$27*INDEX(Assumptions!$C$18:$C$21,MATCH(H331,Assumptions!$B$18:$B$21,0)),0)</f>
        <v/>
      </c>
    </row>
    <row r="332">
      <c r="A332" s="114" t="n">
        <v>46246</v>
      </c>
      <c r="B332" s="42" t="inlineStr">
        <is>
          <t>Wk 33</t>
        </is>
      </c>
      <c r="C332" s="42" t="inlineStr">
        <is>
          <t>Wed</t>
        </is>
      </c>
      <c r="D332" s="42" t="inlineStr">
        <is>
          <t>Meta (FB/IG)</t>
        </is>
      </c>
      <c r="E332" s="42" t="inlineStr">
        <is>
          <t>Facebook + Instagram</t>
        </is>
      </c>
      <c r="F332" s="42" t="inlineStr">
        <is>
          <t>LEP_ZA_AUG26_META_TD_JAVAN_CONV</t>
        </is>
      </c>
      <c r="G332" s="42" t="inlineStr">
        <is>
          <t>Leads - Website Conversions</t>
        </is>
      </c>
      <c r="H332" s="42" t="inlineStr">
        <is>
          <t>JAVAN</t>
        </is>
      </c>
      <c r="I332" s="42" t="inlineStr">
        <is>
          <t>10% Deposit</t>
        </is>
      </c>
      <c r="J332" s="42" t="inlineStr">
        <is>
          <t>MET_JAVAN_LAL2_SITE_ZA</t>
        </is>
      </c>
      <c r="K332" s="42" t="inlineStr">
        <is>
          <t>Lookalike</t>
        </is>
      </c>
      <c r="L332" s="42" t="inlineStr">
        <is>
          <t>JAVAN_CAR_5card_Interior_v1</t>
        </is>
      </c>
      <c r="M332" s="42" t="inlineStr">
        <is>
          <t>Carousel</t>
        </is>
      </c>
      <c r="N332" s="42" t="inlineStr">
        <is>
          <t>Step inside the JAVAN</t>
        </is>
      </c>
      <c r="O332" s="42" t="inlineStr">
        <is>
          <t>Auction - Lowest Cost</t>
        </is>
      </c>
      <c r="P332" s="42" t="inlineStr">
        <is>
          <t>Offsite Conversions</t>
        </is>
      </c>
      <c r="Q332" s="42" t="inlineStr">
        <is>
          <t>https://www.lepas-sa.co.za/offers/javan</t>
        </is>
      </c>
      <c r="R332" s="115" t="n">
        <v>217.2</v>
      </c>
      <c r="S332" s="116" t="n">
        <v>2426</v>
      </c>
      <c r="T332" s="116" t="n">
        <v>1433</v>
      </c>
      <c r="U332" s="117">
        <f>IFERROR(S332/T332,"")</f>
        <v/>
      </c>
      <c r="V332" s="116" t="n">
        <v>42</v>
      </c>
      <c r="W332" s="116" t="n">
        <v>32</v>
      </c>
      <c r="X332" s="118">
        <f>IFERROR(W332/S332,"")</f>
        <v/>
      </c>
      <c r="Y332" s="115">
        <f>IFERROR(R332/W332,"")</f>
        <v/>
      </c>
      <c r="Z332" s="115">
        <f>IFERROR(R332/S332*1000,"")</f>
        <v/>
      </c>
      <c r="AA332" s="116" t="n">
        <v>27</v>
      </c>
      <c r="AB332" s="47">
        <f>IFERROR(AA332/W332,"")</f>
        <v/>
      </c>
      <c r="AC332" s="116" t="n">
        <v>0</v>
      </c>
      <c r="AD332" s="116" t="n">
        <v>0</v>
      </c>
      <c r="AE332" s="116" t="n">
        <v>0</v>
      </c>
      <c r="AF332" s="116" t="n">
        <v>0</v>
      </c>
      <c r="AG332" s="116" t="n">
        <v>0</v>
      </c>
      <c r="AH332" s="116" t="n">
        <v>0</v>
      </c>
      <c r="AI332" s="47">
        <f>IFERROR(AC332/S332,"")</f>
        <v/>
      </c>
      <c r="AJ332" s="47">
        <f>IFERROR(AH332/S332,"")</f>
        <v/>
      </c>
      <c r="AK332" s="116" t="n">
        <v>82</v>
      </c>
      <c r="AL332" s="116" t="n">
        <v>1</v>
      </c>
      <c r="AM332" s="118">
        <f>IFERROR(AL332/AA332,"")</f>
        <v/>
      </c>
      <c r="AN332" s="119">
        <f>IFERROR(R332/AL332,"")</f>
        <v/>
      </c>
      <c r="AO332" s="116" t="n">
        <v>1</v>
      </c>
      <c r="AP332" s="47">
        <f>IFERROR(AO332/AL332,"")</f>
        <v/>
      </c>
      <c r="AQ332" s="119">
        <f>IFERROR(R332/AO332,"")</f>
        <v/>
      </c>
      <c r="AR332" s="116" t="n">
        <v>0</v>
      </c>
      <c r="AS332" s="116" t="n">
        <v>1</v>
      </c>
      <c r="AT332" s="116">
        <f>AL332+AR332</f>
        <v/>
      </c>
      <c r="AU332" s="119">
        <f>IFERROR(AO332*Assumptions!$C$26*Assumptions!$C$27*INDEX(Assumptions!$C$18:$C$21,MATCH(H332,Assumptions!$B$18:$B$21,0)),0)</f>
        <v/>
      </c>
    </row>
    <row r="333">
      <c r="A333" s="114" t="n">
        <v>46247</v>
      </c>
      <c r="B333" s="42" t="inlineStr">
        <is>
          <t>Wk 33</t>
        </is>
      </c>
      <c r="C333" s="42" t="inlineStr">
        <is>
          <t>Thu</t>
        </is>
      </c>
      <c r="D333" s="42" t="inlineStr">
        <is>
          <t>Meta (FB/IG)</t>
        </is>
      </c>
      <c r="E333" s="42" t="inlineStr">
        <is>
          <t>Facebook + Instagram</t>
        </is>
      </c>
      <c r="F333" s="42" t="inlineStr">
        <is>
          <t>LEP_ZA_AUG26_META_TD_JAVAN_CONV</t>
        </is>
      </c>
      <c r="G333" s="42" t="inlineStr">
        <is>
          <t>Leads - Website Conversions</t>
        </is>
      </c>
      <c r="H333" s="42" t="inlineStr">
        <is>
          <t>JAVAN</t>
        </is>
      </c>
      <c r="I333" s="42" t="inlineStr">
        <is>
          <t>10% Deposit</t>
        </is>
      </c>
      <c r="J333" s="42" t="inlineStr">
        <is>
          <t>MET_JAVAN_LAL2_SITE_ZA</t>
        </is>
      </c>
      <c r="K333" s="42" t="inlineStr">
        <is>
          <t>Lookalike</t>
        </is>
      </c>
      <c r="L333" s="42" t="inlineStr">
        <is>
          <t>JAVAN_CAR_5card_Interior_v1</t>
        </is>
      </c>
      <c r="M333" s="42" t="inlineStr">
        <is>
          <t>Carousel</t>
        </is>
      </c>
      <c r="N333" s="42" t="inlineStr">
        <is>
          <t>Step inside the JAVAN</t>
        </is>
      </c>
      <c r="O333" s="42" t="inlineStr">
        <is>
          <t>Auction - Lowest Cost</t>
        </is>
      </c>
      <c r="P333" s="42" t="inlineStr">
        <is>
          <t>Offsite Conversions</t>
        </is>
      </c>
      <c r="Q333" s="42" t="inlineStr">
        <is>
          <t>https://www.lepas-sa.co.za/offers/javan</t>
        </is>
      </c>
      <c r="R333" s="115" t="n">
        <v>238.59</v>
      </c>
      <c r="S333" s="116" t="n">
        <v>4124</v>
      </c>
      <c r="T333" s="116" t="n">
        <v>2411</v>
      </c>
      <c r="U333" s="117">
        <f>IFERROR(S333/T333,"")</f>
        <v/>
      </c>
      <c r="V333" s="116" t="n">
        <v>94</v>
      </c>
      <c r="W333" s="116" t="n">
        <v>72</v>
      </c>
      <c r="X333" s="118">
        <f>IFERROR(W333/S333,"")</f>
        <v/>
      </c>
      <c r="Y333" s="115">
        <f>IFERROR(R333/W333,"")</f>
        <v/>
      </c>
      <c r="Z333" s="115">
        <f>IFERROR(R333/S333*1000,"")</f>
        <v/>
      </c>
      <c r="AA333" s="116" t="n">
        <v>65</v>
      </c>
      <c r="AB333" s="47">
        <f>IFERROR(AA333/W333,"")</f>
        <v/>
      </c>
      <c r="AC333" s="116" t="n">
        <v>0</v>
      </c>
      <c r="AD333" s="116" t="n">
        <v>0</v>
      </c>
      <c r="AE333" s="116" t="n">
        <v>0</v>
      </c>
      <c r="AF333" s="116" t="n">
        <v>0</v>
      </c>
      <c r="AG333" s="116" t="n">
        <v>0</v>
      </c>
      <c r="AH333" s="116" t="n">
        <v>0</v>
      </c>
      <c r="AI333" s="47">
        <f>IFERROR(AC333/S333,"")</f>
        <v/>
      </c>
      <c r="AJ333" s="47">
        <f>IFERROR(AH333/S333,"")</f>
        <v/>
      </c>
      <c r="AK333" s="116" t="n">
        <v>63</v>
      </c>
      <c r="AL333" s="116" t="n">
        <v>1</v>
      </c>
      <c r="AM333" s="118">
        <f>IFERROR(AL333/AA333,"")</f>
        <v/>
      </c>
      <c r="AN333" s="119">
        <f>IFERROR(R333/AL333,"")</f>
        <v/>
      </c>
      <c r="AO333" s="116" t="n">
        <v>1</v>
      </c>
      <c r="AP333" s="47">
        <f>IFERROR(AO333/AL333,"")</f>
        <v/>
      </c>
      <c r="AQ333" s="119">
        <f>IFERROR(R333/AO333,"")</f>
        <v/>
      </c>
      <c r="AR333" s="116" t="n">
        <v>0</v>
      </c>
      <c r="AS333" s="116" t="n">
        <v>0</v>
      </c>
      <c r="AT333" s="116">
        <f>AL333+AR333</f>
        <v/>
      </c>
      <c r="AU333" s="119">
        <f>IFERROR(AO333*Assumptions!$C$26*Assumptions!$C$27*INDEX(Assumptions!$C$18:$C$21,MATCH(H333,Assumptions!$B$18:$B$21,0)),0)</f>
        <v/>
      </c>
    </row>
    <row r="334">
      <c r="A334" s="114" t="n">
        <v>46248</v>
      </c>
      <c r="B334" s="42" t="inlineStr">
        <is>
          <t>Wk 33</t>
        </is>
      </c>
      <c r="C334" s="42" t="inlineStr">
        <is>
          <t>Fri</t>
        </is>
      </c>
      <c r="D334" s="42" t="inlineStr">
        <is>
          <t>Meta (FB/IG)</t>
        </is>
      </c>
      <c r="E334" s="42" t="inlineStr">
        <is>
          <t>Facebook + Instagram</t>
        </is>
      </c>
      <c r="F334" s="42" t="inlineStr">
        <is>
          <t>LEP_ZA_AUG26_META_TD_JAVAN_CONV</t>
        </is>
      </c>
      <c r="G334" s="42" t="inlineStr">
        <is>
          <t>Leads - Website Conversions</t>
        </is>
      </c>
      <c r="H334" s="42" t="inlineStr">
        <is>
          <t>JAVAN</t>
        </is>
      </c>
      <c r="I334" s="42" t="inlineStr">
        <is>
          <t>10% Deposit</t>
        </is>
      </c>
      <c r="J334" s="42" t="inlineStr">
        <is>
          <t>MET_JAVAN_LAL2_SITE_ZA</t>
        </is>
      </c>
      <c r="K334" s="42" t="inlineStr">
        <is>
          <t>Lookalike</t>
        </is>
      </c>
      <c r="L334" s="42" t="inlineStr">
        <is>
          <t>JAVAN_CAR_5card_Interior_v1</t>
        </is>
      </c>
      <c r="M334" s="42" t="inlineStr">
        <is>
          <t>Carousel</t>
        </is>
      </c>
      <c r="N334" s="42" t="inlineStr">
        <is>
          <t>Step inside the JAVAN</t>
        </is>
      </c>
      <c r="O334" s="42" t="inlineStr">
        <is>
          <t>Auction - Lowest Cost</t>
        </is>
      </c>
      <c r="P334" s="42" t="inlineStr">
        <is>
          <t>Offsite Conversions</t>
        </is>
      </c>
      <c r="Q334" s="42" t="inlineStr">
        <is>
          <t>https://www.lepas-sa.co.za/offers/javan</t>
        </is>
      </c>
      <c r="R334" s="115" t="n">
        <v>218.08</v>
      </c>
      <c r="S334" s="116" t="n">
        <v>2637</v>
      </c>
      <c r="T334" s="116" t="n">
        <v>2008</v>
      </c>
      <c r="U334" s="117">
        <f>IFERROR(S334/T334,"")</f>
        <v/>
      </c>
      <c r="V334" s="116" t="n">
        <v>36</v>
      </c>
      <c r="W334" s="116" t="n">
        <v>30</v>
      </c>
      <c r="X334" s="118">
        <f>IFERROR(W334/S334,"")</f>
        <v/>
      </c>
      <c r="Y334" s="115">
        <f>IFERROR(R334/W334,"")</f>
        <v/>
      </c>
      <c r="Z334" s="115">
        <f>IFERROR(R334/S334*1000,"")</f>
        <v/>
      </c>
      <c r="AA334" s="116" t="n">
        <v>26</v>
      </c>
      <c r="AB334" s="47">
        <f>IFERROR(AA334/W334,"")</f>
        <v/>
      </c>
      <c r="AC334" s="116" t="n">
        <v>0</v>
      </c>
      <c r="AD334" s="116" t="n">
        <v>0</v>
      </c>
      <c r="AE334" s="116" t="n">
        <v>0</v>
      </c>
      <c r="AF334" s="116" t="n">
        <v>0</v>
      </c>
      <c r="AG334" s="116" t="n">
        <v>0</v>
      </c>
      <c r="AH334" s="116" t="n">
        <v>0</v>
      </c>
      <c r="AI334" s="47">
        <f>IFERROR(AC334/S334,"")</f>
        <v/>
      </c>
      <c r="AJ334" s="47">
        <f>IFERROR(AH334/S334,"")</f>
        <v/>
      </c>
      <c r="AK334" s="116" t="n">
        <v>70</v>
      </c>
      <c r="AL334" s="116" t="n">
        <v>1</v>
      </c>
      <c r="AM334" s="118">
        <f>IFERROR(AL334/AA334,"")</f>
        <v/>
      </c>
      <c r="AN334" s="119">
        <f>IFERROR(R334/AL334,"")</f>
        <v/>
      </c>
      <c r="AO334" s="116" t="n">
        <v>1</v>
      </c>
      <c r="AP334" s="47">
        <f>IFERROR(AO334/AL334,"")</f>
        <v/>
      </c>
      <c r="AQ334" s="119">
        <f>IFERROR(R334/AO334,"")</f>
        <v/>
      </c>
      <c r="AR334" s="116" t="n">
        <v>0</v>
      </c>
      <c r="AS334" s="116" t="n">
        <v>1</v>
      </c>
      <c r="AT334" s="116">
        <f>AL334+AR334</f>
        <v/>
      </c>
      <c r="AU334" s="119">
        <f>IFERROR(AO334*Assumptions!$C$26*Assumptions!$C$27*INDEX(Assumptions!$C$18:$C$21,MATCH(H334,Assumptions!$B$18:$B$21,0)),0)</f>
        <v/>
      </c>
    </row>
    <row r="335">
      <c r="A335" s="114" t="n">
        <v>46249</v>
      </c>
      <c r="B335" s="42" t="inlineStr">
        <is>
          <t>Wk 33</t>
        </is>
      </c>
      <c r="C335" s="42" t="inlineStr">
        <is>
          <t>Sat</t>
        </is>
      </c>
      <c r="D335" s="42" t="inlineStr">
        <is>
          <t>Meta (FB/IG)</t>
        </is>
      </c>
      <c r="E335" s="42" t="inlineStr">
        <is>
          <t>Facebook + Instagram</t>
        </is>
      </c>
      <c r="F335" s="42" t="inlineStr">
        <is>
          <t>LEP_ZA_AUG26_META_TD_JAVAN_CONV</t>
        </is>
      </c>
      <c r="G335" s="42" t="inlineStr">
        <is>
          <t>Leads - Website Conversions</t>
        </is>
      </c>
      <c r="H335" s="42" t="inlineStr">
        <is>
          <t>JAVAN</t>
        </is>
      </c>
      <c r="I335" s="42" t="inlineStr">
        <is>
          <t>10% Deposit</t>
        </is>
      </c>
      <c r="J335" s="42" t="inlineStr">
        <is>
          <t>MET_JAVAN_LAL2_SITE_ZA</t>
        </is>
      </c>
      <c r="K335" s="42" t="inlineStr">
        <is>
          <t>Lookalike</t>
        </is>
      </c>
      <c r="L335" s="42" t="inlineStr">
        <is>
          <t>JAVAN_CAR_5card_Interior_v1</t>
        </is>
      </c>
      <c r="M335" s="42" t="inlineStr">
        <is>
          <t>Carousel</t>
        </is>
      </c>
      <c r="N335" s="42" t="inlineStr">
        <is>
          <t>Step inside the JAVAN</t>
        </is>
      </c>
      <c r="O335" s="42" t="inlineStr">
        <is>
          <t>Auction - Lowest Cost</t>
        </is>
      </c>
      <c r="P335" s="42" t="inlineStr">
        <is>
          <t>Offsite Conversions</t>
        </is>
      </c>
      <c r="Q335" s="42" t="inlineStr">
        <is>
          <t>https://www.lepas-sa.co.za/offers/javan</t>
        </is>
      </c>
      <c r="R335" s="115" t="n">
        <v>208.17</v>
      </c>
      <c r="S335" s="116" t="n">
        <v>2341</v>
      </c>
      <c r="T335" s="116" t="n">
        <v>1662</v>
      </c>
      <c r="U335" s="117">
        <f>IFERROR(S335/T335,"")</f>
        <v/>
      </c>
      <c r="V335" s="116" t="n">
        <v>37</v>
      </c>
      <c r="W335" s="116" t="n">
        <v>31</v>
      </c>
      <c r="X335" s="118">
        <f>IFERROR(W335/S335,"")</f>
        <v/>
      </c>
      <c r="Y335" s="115">
        <f>IFERROR(R335/W335,"")</f>
        <v/>
      </c>
      <c r="Z335" s="115">
        <f>IFERROR(R335/S335*1000,"")</f>
        <v/>
      </c>
      <c r="AA335" s="116" t="n">
        <v>26</v>
      </c>
      <c r="AB335" s="47">
        <f>IFERROR(AA335/W335,"")</f>
        <v/>
      </c>
      <c r="AC335" s="116" t="n">
        <v>0</v>
      </c>
      <c r="AD335" s="116" t="n">
        <v>0</v>
      </c>
      <c r="AE335" s="116" t="n">
        <v>0</v>
      </c>
      <c r="AF335" s="116" t="n">
        <v>0</v>
      </c>
      <c r="AG335" s="116" t="n">
        <v>0</v>
      </c>
      <c r="AH335" s="116" t="n">
        <v>0</v>
      </c>
      <c r="AI335" s="47">
        <f>IFERROR(AC335/S335,"")</f>
        <v/>
      </c>
      <c r="AJ335" s="47">
        <f>IFERROR(AH335/S335,"")</f>
        <v/>
      </c>
      <c r="AK335" s="116" t="n">
        <v>76</v>
      </c>
      <c r="AL335" s="116" t="n">
        <v>0</v>
      </c>
      <c r="AM335" s="118">
        <f>IFERROR(AL335/AA335,"")</f>
        <v/>
      </c>
      <c r="AN335" s="119">
        <f>IFERROR(R335/AL335,"")</f>
        <v/>
      </c>
      <c r="AO335" s="116" t="n">
        <v>0</v>
      </c>
      <c r="AP335" s="47">
        <f>IFERROR(AO335/AL335,"")</f>
        <v/>
      </c>
      <c r="AQ335" s="119">
        <f>IFERROR(R335/AO335,"")</f>
        <v/>
      </c>
      <c r="AR335" s="116" t="n">
        <v>0</v>
      </c>
      <c r="AS335" s="116" t="n">
        <v>0</v>
      </c>
      <c r="AT335" s="116">
        <f>AL335+AR335</f>
        <v/>
      </c>
      <c r="AU335" s="119">
        <f>IFERROR(AO335*Assumptions!$C$26*Assumptions!$C$27*INDEX(Assumptions!$C$18:$C$21,MATCH(H335,Assumptions!$B$18:$B$21,0)),0)</f>
        <v/>
      </c>
    </row>
    <row r="336">
      <c r="A336" s="114" t="n">
        <v>46250</v>
      </c>
      <c r="B336" s="42" t="inlineStr">
        <is>
          <t>Wk 33</t>
        </is>
      </c>
      <c r="C336" s="42" t="inlineStr">
        <is>
          <t>Sun</t>
        </is>
      </c>
      <c r="D336" s="42" t="inlineStr">
        <is>
          <t>Meta (FB/IG)</t>
        </is>
      </c>
      <c r="E336" s="42" t="inlineStr">
        <is>
          <t>Facebook + Instagram</t>
        </is>
      </c>
      <c r="F336" s="42" t="inlineStr">
        <is>
          <t>LEP_ZA_AUG26_META_TD_JAVAN_CONV</t>
        </is>
      </c>
      <c r="G336" s="42" t="inlineStr">
        <is>
          <t>Leads - Website Conversions</t>
        </is>
      </c>
      <c r="H336" s="42" t="inlineStr">
        <is>
          <t>JAVAN</t>
        </is>
      </c>
      <c r="I336" s="42" t="inlineStr">
        <is>
          <t>10% Deposit</t>
        </is>
      </c>
      <c r="J336" s="42" t="inlineStr">
        <is>
          <t>MET_JAVAN_LAL2_SITE_ZA</t>
        </is>
      </c>
      <c r="K336" s="42" t="inlineStr">
        <is>
          <t>Lookalike</t>
        </is>
      </c>
      <c r="L336" s="42" t="inlineStr">
        <is>
          <t>JAVAN_CAR_5card_Interior_v1</t>
        </is>
      </c>
      <c r="M336" s="42" t="inlineStr">
        <is>
          <t>Carousel</t>
        </is>
      </c>
      <c r="N336" s="42" t="inlineStr">
        <is>
          <t>Step inside the JAVAN</t>
        </is>
      </c>
      <c r="O336" s="42" t="inlineStr">
        <is>
          <t>Auction - Lowest Cost</t>
        </is>
      </c>
      <c r="P336" s="42" t="inlineStr">
        <is>
          <t>Offsite Conversions</t>
        </is>
      </c>
      <c r="Q336" s="42" t="inlineStr">
        <is>
          <t>https://www.lepas-sa.co.za/offers/javan</t>
        </is>
      </c>
      <c r="R336" s="115" t="n">
        <v>174.47</v>
      </c>
      <c r="S336" s="116" t="n">
        <v>2349</v>
      </c>
      <c r="T336" s="116" t="n">
        <v>1618</v>
      </c>
      <c r="U336" s="117">
        <f>IFERROR(S336/T336,"")</f>
        <v/>
      </c>
      <c r="V336" s="116" t="n">
        <v>39</v>
      </c>
      <c r="W336" s="116" t="n">
        <v>33</v>
      </c>
      <c r="X336" s="118">
        <f>IFERROR(W336/S336,"")</f>
        <v/>
      </c>
      <c r="Y336" s="115">
        <f>IFERROR(R336/W336,"")</f>
        <v/>
      </c>
      <c r="Z336" s="115">
        <f>IFERROR(R336/S336*1000,"")</f>
        <v/>
      </c>
      <c r="AA336" s="116" t="n">
        <v>29</v>
      </c>
      <c r="AB336" s="47">
        <f>IFERROR(AA336/W336,"")</f>
        <v/>
      </c>
      <c r="AC336" s="116" t="n">
        <v>0</v>
      </c>
      <c r="AD336" s="116" t="n">
        <v>0</v>
      </c>
      <c r="AE336" s="116" t="n">
        <v>0</v>
      </c>
      <c r="AF336" s="116" t="n">
        <v>0</v>
      </c>
      <c r="AG336" s="116" t="n">
        <v>0</v>
      </c>
      <c r="AH336" s="116" t="n">
        <v>0</v>
      </c>
      <c r="AI336" s="47">
        <f>IFERROR(AC336/S336,"")</f>
        <v/>
      </c>
      <c r="AJ336" s="47">
        <f>IFERROR(AH336/S336,"")</f>
        <v/>
      </c>
      <c r="AK336" s="116" t="n">
        <v>60</v>
      </c>
      <c r="AL336" s="116" t="n">
        <v>0</v>
      </c>
      <c r="AM336" s="118">
        <f>IFERROR(AL336/AA336,"")</f>
        <v/>
      </c>
      <c r="AN336" s="119">
        <f>IFERROR(R336/AL336,"")</f>
        <v/>
      </c>
      <c r="AO336" s="116" t="n">
        <v>0</v>
      </c>
      <c r="AP336" s="47">
        <f>IFERROR(AO336/AL336,"")</f>
        <v/>
      </c>
      <c r="AQ336" s="119">
        <f>IFERROR(R336/AO336,"")</f>
        <v/>
      </c>
      <c r="AR336" s="116" t="n">
        <v>0</v>
      </c>
      <c r="AS336" s="116" t="n">
        <v>0</v>
      </c>
      <c r="AT336" s="116">
        <f>AL336+AR336</f>
        <v/>
      </c>
      <c r="AU336" s="119">
        <f>IFERROR(AO336*Assumptions!$C$26*Assumptions!$C$27*INDEX(Assumptions!$C$18:$C$21,MATCH(H336,Assumptions!$B$18:$B$21,0)),0)</f>
        <v/>
      </c>
    </row>
    <row r="337">
      <c r="A337" s="114" t="n">
        <v>46251</v>
      </c>
      <c r="B337" s="42" t="inlineStr">
        <is>
          <t>Wk 34</t>
        </is>
      </c>
      <c r="C337" s="42" t="inlineStr">
        <is>
          <t>Mon</t>
        </is>
      </c>
      <c r="D337" s="42" t="inlineStr">
        <is>
          <t>Meta (FB/IG)</t>
        </is>
      </c>
      <c r="E337" s="42" t="inlineStr">
        <is>
          <t>Facebook + Instagram</t>
        </is>
      </c>
      <c r="F337" s="42" t="inlineStr">
        <is>
          <t>LEP_ZA_AUG26_META_TD_JAVAN_CONV</t>
        </is>
      </c>
      <c r="G337" s="42" t="inlineStr">
        <is>
          <t>Leads - Website Conversions</t>
        </is>
      </c>
      <c r="H337" s="42" t="inlineStr">
        <is>
          <t>JAVAN</t>
        </is>
      </c>
      <c r="I337" s="42" t="inlineStr">
        <is>
          <t>10% Deposit</t>
        </is>
      </c>
      <c r="J337" s="42" t="inlineStr">
        <is>
          <t>MET_JAVAN_LAL2_SITE_ZA</t>
        </is>
      </c>
      <c r="K337" s="42" t="inlineStr">
        <is>
          <t>Lookalike</t>
        </is>
      </c>
      <c r="L337" s="42" t="inlineStr">
        <is>
          <t>JAVAN_CAR_5card_Interior_v1</t>
        </is>
      </c>
      <c r="M337" s="42" t="inlineStr">
        <is>
          <t>Carousel</t>
        </is>
      </c>
      <c r="N337" s="42" t="inlineStr">
        <is>
          <t>Step inside the JAVAN</t>
        </is>
      </c>
      <c r="O337" s="42" t="inlineStr">
        <is>
          <t>Auction - Lowest Cost</t>
        </is>
      </c>
      <c r="P337" s="42" t="inlineStr">
        <is>
          <t>Offsite Conversions</t>
        </is>
      </c>
      <c r="Q337" s="42" t="inlineStr">
        <is>
          <t>https://www.lepas-sa.co.za/offers/javan</t>
        </is>
      </c>
      <c r="R337" s="115" t="n">
        <v>212.52</v>
      </c>
      <c r="S337" s="116" t="n">
        <v>2775</v>
      </c>
      <c r="T337" s="116" t="n">
        <v>1959</v>
      </c>
      <c r="U337" s="117">
        <f>IFERROR(S337/T337,"")</f>
        <v/>
      </c>
      <c r="V337" s="116" t="n">
        <v>36</v>
      </c>
      <c r="W337" s="116" t="n">
        <v>28</v>
      </c>
      <c r="X337" s="118">
        <f>IFERROR(W337/S337,"")</f>
        <v/>
      </c>
      <c r="Y337" s="115">
        <f>IFERROR(R337/W337,"")</f>
        <v/>
      </c>
      <c r="Z337" s="115">
        <f>IFERROR(R337/S337*1000,"")</f>
        <v/>
      </c>
      <c r="AA337" s="116" t="n">
        <v>24</v>
      </c>
      <c r="AB337" s="47">
        <f>IFERROR(AA337/W337,"")</f>
        <v/>
      </c>
      <c r="AC337" s="116" t="n">
        <v>0</v>
      </c>
      <c r="AD337" s="116" t="n">
        <v>0</v>
      </c>
      <c r="AE337" s="116" t="n">
        <v>0</v>
      </c>
      <c r="AF337" s="116" t="n">
        <v>0</v>
      </c>
      <c r="AG337" s="116" t="n">
        <v>0</v>
      </c>
      <c r="AH337" s="116" t="n">
        <v>0</v>
      </c>
      <c r="AI337" s="47">
        <f>IFERROR(AC337/S337,"")</f>
        <v/>
      </c>
      <c r="AJ337" s="47">
        <f>IFERROR(AH337/S337,"")</f>
        <v/>
      </c>
      <c r="AK337" s="116" t="n">
        <v>85</v>
      </c>
      <c r="AL337" s="116" t="n">
        <v>1</v>
      </c>
      <c r="AM337" s="118">
        <f>IFERROR(AL337/AA337,"")</f>
        <v/>
      </c>
      <c r="AN337" s="119">
        <f>IFERROR(R337/AL337,"")</f>
        <v/>
      </c>
      <c r="AO337" s="116" t="n">
        <v>1</v>
      </c>
      <c r="AP337" s="47">
        <f>IFERROR(AO337/AL337,"")</f>
        <v/>
      </c>
      <c r="AQ337" s="119">
        <f>IFERROR(R337/AO337,"")</f>
        <v/>
      </c>
      <c r="AR337" s="116" t="n">
        <v>0</v>
      </c>
      <c r="AS337" s="116" t="n">
        <v>0</v>
      </c>
      <c r="AT337" s="116">
        <f>AL337+AR337</f>
        <v/>
      </c>
      <c r="AU337" s="119">
        <f>IFERROR(AO337*Assumptions!$C$26*Assumptions!$C$27*INDEX(Assumptions!$C$18:$C$21,MATCH(H337,Assumptions!$B$18:$B$21,0)),0)</f>
        <v/>
      </c>
    </row>
    <row r="338">
      <c r="A338" s="114" t="n">
        <v>46252</v>
      </c>
      <c r="B338" s="42" t="inlineStr">
        <is>
          <t>Wk 34</t>
        </is>
      </c>
      <c r="C338" s="42" t="inlineStr">
        <is>
          <t>Tue</t>
        </is>
      </c>
      <c r="D338" s="42" t="inlineStr">
        <is>
          <t>Meta (FB/IG)</t>
        </is>
      </c>
      <c r="E338" s="42" t="inlineStr">
        <is>
          <t>Facebook + Instagram</t>
        </is>
      </c>
      <c r="F338" s="42" t="inlineStr">
        <is>
          <t>LEP_ZA_AUG26_META_TD_JAVAN_CONV</t>
        </is>
      </c>
      <c r="G338" s="42" t="inlineStr">
        <is>
          <t>Leads - Website Conversions</t>
        </is>
      </c>
      <c r="H338" s="42" t="inlineStr">
        <is>
          <t>JAVAN</t>
        </is>
      </c>
      <c r="I338" s="42" t="inlineStr">
        <is>
          <t>10% Deposit</t>
        </is>
      </c>
      <c r="J338" s="42" t="inlineStr">
        <is>
          <t>MET_JAVAN_LAL2_SITE_ZA</t>
        </is>
      </c>
      <c r="K338" s="42" t="inlineStr">
        <is>
          <t>Lookalike</t>
        </is>
      </c>
      <c r="L338" s="42" t="inlineStr">
        <is>
          <t>JAVAN_CAR_5card_Interior_v1</t>
        </is>
      </c>
      <c r="M338" s="42" t="inlineStr">
        <is>
          <t>Carousel</t>
        </is>
      </c>
      <c r="N338" s="42" t="inlineStr">
        <is>
          <t>Step inside the JAVAN</t>
        </is>
      </c>
      <c r="O338" s="42" t="inlineStr">
        <is>
          <t>Auction - Lowest Cost</t>
        </is>
      </c>
      <c r="P338" s="42" t="inlineStr">
        <is>
          <t>Offsite Conversions</t>
        </is>
      </c>
      <c r="Q338" s="42" t="inlineStr">
        <is>
          <t>https://www.lepas-sa.co.za/offers/javan</t>
        </is>
      </c>
      <c r="R338" s="115" t="n">
        <v>195.52</v>
      </c>
      <c r="S338" s="116" t="n">
        <v>2780</v>
      </c>
      <c r="T338" s="116" t="n">
        <v>1747</v>
      </c>
      <c r="U338" s="117">
        <f>IFERROR(S338/T338,"")</f>
        <v/>
      </c>
      <c r="V338" s="116" t="n">
        <v>42</v>
      </c>
      <c r="W338" s="116" t="n">
        <v>31</v>
      </c>
      <c r="X338" s="118">
        <f>IFERROR(W338/S338,"")</f>
        <v/>
      </c>
      <c r="Y338" s="115">
        <f>IFERROR(R338/W338,"")</f>
        <v/>
      </c>
      <c r="Z338" s="115">
        <f>IFERROR(R338/S338*1000,"")</f>
        <v/>
      </c>
      <c r="AA338" s="116" t="n">
        <v>24</v>
      </c>
      <c r="AB338" s="47">
        <f>IFERROR(AA338/W338,"")</f>
        <v/>
      </c>
      <c r="AC338" s="116" t="n">
        <v>0</v>
      </c>
      <c r="AD338" s="116" t="n">
        <v>0</v>
      </c>
      <c r="AE338" s="116" t="n">
        <v>0</v>
      </c>
      <c r="AF338" s="116" t="n">
        <v>0</v>
      </c>
      <c r="AG338" s="116" t="n">
        <v>0</v>
      </c>
      <c r="AH338" s="116" t="n">
        <v>0</v>
      </c>
      <c r="AI338" s="47">
        <f>IFERROR(AC338/S338,"")</f>
        <v/>
      </c>
      <c r="AJ338" s="47">
        <f>IFERROR(AH338/S338,"")</f>
        <v/>
      </c>
      <c r="AK338" s="116" t="n">
        <v>76</v>
      </c>
      <c r="AL338" s="116" t="n">
        <v>1</v>
      </c>
      <c r="AM338" s="118">
        <f>IFERROR(AL338/AA338,"")</f>
        <v/>
      </c>
      <c r="AN338" s="119">
        <f>IFERROR(R338/AL338,"")</f>
        <v/>
      </c>
      <c r="AO338" s="116" t="n">
        <v>1</v>
      </c>
      <c r="AP338" s="47">
        <f>IFERROR(AO338/AL338,"")</f>
        <v/>
      </c>
      <c r="AQ338" s="119">
        <f>IFERROR(R338/AO338,"")</f>
        <v/>
      </c>
      <c r="AR338" s="116" t="n">
        <v>0</v>
      </c>
      <c r="AS338" s="116" t="n">
        <v>0</v>
      </c>
      <c r="AT338" s="116">
        <f>AL338+AR338</f>
        <v/>
      </c>
      <c r="AU338" s="119">
        <f>IFERROR(AO338*Assumptions!$C$26*Assumptions!$C$27*INDEX(Assumptions!$C$18:$C$21,MATCH(H338,Assumptions!$B$18:$B$21,0)),0)</f>
        <v/>
      </c>
    </row>
    <row r="339">
      <c r="A339" s="114" t="n">
        <v>46253</v>
      </c>
      <c r="B339" s="42" t="inlineStr">
        <is>
          <t>Wk 34</t>
        </is>
      </c>
      <c r="C339" s="42" t="inlineStr">
        <is>
          <t>Wed</t>
        </is>
      </c>
      <c r="D339" s="42" t="inlineStr">
        <is>
          <t>Meta (FB/IG)</t>
        </is>
      </c>
      <c r="E339" s="42" t="inlineStr">
        <is>
          <t>Facebook + Instagram</t>
        </is>
      </c>
      <c r="F339" s="42" t="inlineStr">
        <is>
          <t>LEP_ZA_AUG26_META_TD_JAVAN_CONV</t>
        </is>
      </c>
      <c r="G339" s="42" t="inlineStr">
        <is>
          <t>Leads - Website Conversions</t>
        </is>
      </c>
      <c r="H339" s="42" t="inlineStr">
        <is>
          <t>JAVAN</t>
        </is>
      </c>
      <c r="I339" s="42" t="inlineStr">
        <is>
          <t>10% Deposit</t>
        </is>
      </c>
      <c r="J339" s="42" t="inlineStr">
        <is>
          <t>MET_JAVAN_LAL2_SITE_ZA</t>
        </is>
      </c>
      <c r="K339" s="42" t="inlineStr">
        <is>
          <t>Lookalike</t>
        </is>
      </c>
      <c r="L339" s="42" t="inlineStr">
        <is>
          <t>JAVAN_CAR_5card_Interior_v1</t>
        </is>
      </c>
      <c r="M339" s="42" t="inlineStr">
        <is>
          <t>Carousel</t>
        </is>
      </c>
      <c r="N339" s="42" t="inlineStr">
        <is>
          <t>Step inside the JAVAN</t>
        </is>
      </c>
      <c r="O339" s="42" t="inlineStr">
        <is>
          <t>Auction - Lowest Cost</t>
        </is>
      </c>
      <c r="P339" s="42" t="inlineStr">
        <is>
          <t>Offsite Conversions</t>
        </is>
      </c>
      <c r="Q339" s="42" t="inlineStr">
        <is>
          <t>https://www.lepas-sa.co.za/offers/javan</t>
        </is>
      </c>
      <c r="R339" s="115" t="n">
        <v>206.42</v>
      </c>
      <c r="S339" s="116" t="n">
        <v>3333</v>
      </c>
      <c r="T339" s="116" t="n">
        <v>2132</v>
      </c>
      <c r="U339" s="117">
        <f>IFERROR(S339/T339,"")</f>
        <v/>
      </c>
      <c r="V339" s="116" t="n">
        <v>58</v>
      </c>
      <c r="W339" s="116" t="n">
        <v>48</v>
      </c>
      <c r="X339" s="118">
        <f>IFERROR(W339/S339,"")</f>
        <v/>
      </c>
      <c r="Y339" s="115">
        <f>IFERROR(R339/W339,"")</f>
        <v/>
      </c>
      <c r="Z339" s="115">
        <f>IFERROR(R339/S339*1000,"")</f>
        <v/>
      </c>
      <c r="AA339" s="116" t="n">
        <v>41</v>
      </c>
      <c r="AB339" s="47">
        <f>IFERROR(AA339/W339,"")</f>
        <v/>
      </c>
      <c r="AC339" s="116" t="n">
        <v>0</v>
      </c>
      <c r="AD339" s="116" t="n">
        <v>0</v>
      </c>
      <c r="AE339" s="116" t="n">
        <v>0</v>
      </c>
      <c r="AF339" s="116" t="n">
        <v>0</v>
      </c>
      <c r="AG339" s="116" t="n">
        <v>0</v>
      </c>
      <c r="AH339" s="116" t="n">
        <v>0</v>
      </c>
      <c r="AI339" s="47">
        <f>IFERROR(AC339/S339,"")</f>
        <v/>
      </c>
      <c r="AJ339" s="47">
        <f>IFERROR(AH339/S339,"")</f>
        <v/>
      </c>
      <c r="AK339" s="116" t="n">
        <v>106</v>
      </c>
      <c r="AL339" s="116" t="n">
        <v>1</v>
      </c>
      <c r="AM339" s="118">
        <f>IFERROR(AL339/AA339,"")</f>
        <v/>
      </c>
      <c r="AN339" s="119">
        <f>IFERROR(R339/AL339,"")</f>
        <v/>
      </c>
      <c r="AO339" s="116" t="n">
        <v>1</v>
      </c>
      <c r="AP339" s="47">
        <f>IFERROR(AO339/AL339,"")</f>
        <v/>
      </c>
      <c r="AQ339" s="119">
        <f>IFERROR(R339/AO339,"")</f>
        <v/>
      </c>
      <c r="AR339" s="116" t="n">
        <v>0</v>
      </c>
      <c r="AS339" s="116" t="n">
        <v>0</v>
      </c>
      <c r="AT339" s="116">
        <f>AL339+AR339</f>
        <v/>
      </c>
      <c r="AU339" s="119">
        <f>IFERROR(AO339*Assumptions!$C$26*Assumptions!$C$27*INDEX(Assumptions!$C$18:$C$21,MATCH(H339,Assumptions!$B$18:$B$21,0)),0)</f>
        <v/>
      </c>
    </row>
    <row r="340">
      <c r="A340" s="114" t="n">
        <v>46254</v>
      </c>
      <c r="B340" s="42" t="inlineStr">
        <is>
          <t>Wk 34</t>
        </is>
      </c>
      <c r="C340" s="42" t="inlineStr">
        <is>
          <t>Thu</t>
        </is>
      </c>
      <c r="D340" s="42" t="inlineStr">
        <is>
          <t>Meta (FB/IG)</t>
        </is>
      </c>
      <c r="E340" s="42" t="inlineStr">
        <is>
          <t>Facebook + Instagram</t>
        </is>
      </c>
      <c r="F340" s="42" t="inlineStr">
        <is>
          <t>LEP_ZA_AUG26_META_TD_JAVAN_CONV</t>
        </is>
      </c>
      <c r="G340" s="42" t="inlineStr">
        <is>
          <t>Leads - Website Conversions</t>
        </is>
      </c>
      <c r="H340" s="42" t="inlineStr">
        <is>
          <t>JAVAN</t>
        </is>
      </c>
      <c r="I340" s="42" t="inlineStr">
        <is>
          <t>10% Deposit</t>
        </is>
      </c>
      <c r="J340" s="42" t="inlineStr">
        <is>
          <t>MET_JAVAN_LAL2_SITE_ZA</t>
        </is>
      </c>
      <c r="K340" s="42" t="inlineStr">
        <is>
          <t>Lookalike</t>
        </is>
      </c>
      <c r="L340" s="42" t="inlineStr">
        <is>
          <t>JAVAN_CAR_5card_Interior_v1</t>
        </is>
      </c>
      <c r="M340" s="42" t="inlineStr">
        <is>
          <t>Carousel</t>
        </is>
      </c>
      <c r="N340" s="42" t="inlineStr">
        <is>
          <t>Step inside the JAVAN</t>
        </is>
      </c>
      <c r="O340" s="42" t="inlineStr">
        <is>
          <t>Auction - Lowest Cost</t>
        </is>
      </c>
      <c r="P340" s="42" t="inlineStr">
        <is>
          <t>Offsite Conversions</t>
        </is>
      </c>
      <c r="Q340" s="42" t="inlineStr">
        <is>
          <t>https://www.lepas-sa.co.za/offers/javan</t>
        </is>
      </c>
      <c r="R340" s="115" t="n">
        <v>262.59</v>
      </c>
      <c r="S340" s="116" t="n">
        <v>3245</v>
      </c>
      <c r="T340" s="116" t="n">
        <v>2058</v>
      </c>
      <c r="U340" s="117">
        <f>IFERROR(S340/T340,"")</f>
        <v/>
      </c>
      <c r="V340" s="116" t="n">
        <v>45</v>
      </c>
      <c r="W340" s="116" t="n">
        <v>33</v>
      </c>
      <c r="X340" s="118">
        <f>IFERROR(W340/S340,"")</f>
        <v/>
      </c>
      <c r="Y340" s="115">
        <f>IFERROR(R340/W340,"")</f>
        <v/>
      </c>
      <c r="Z340" s="115">
        <f>IFERROR(R340/S340*1000,"")</f>
        <v/>
      </c>
      <c r="AA340" s="116" t="n">
        <v>27</v>
      </c>
      <c r="AB340" s="47">
        <f>IFERROR(AA340/W340,"")</f>
        <v/>
      </c>
      <c r="AC340" s="116" t="n">
        <v>0</v>
      </c>
      <c r="AD340" s="116" t="n">
        <v>0</v>
      </c>
      <c r="AE340" s="116" t="n">
        <v>0</v>
      </c>
      <c r="AF340" s="116" t="n">
        <v>0</v>
      </c>
      <c r="AG340" s="116" t="n">
        <v>0</v>
      </c>
      <c r="AH340" s="116" t="n">
        <v>0</v>
      </c>
      <c r="AI340" s="47">
        <f>IFERROR(AC340/S340,"")</f>
        <v/>
      </c>
      <c r="AJ340" s="47">
        <f>IFERROR(AH340/S340,"")</f>
        <v/>
      </c>
      <c r="AK340" s="116" t="n">
        <v>109</v>
      </c>
      <c r="AL340" s="116" t="n">
        <v>0</v>
      </c>
      <c r="AM340" s="118">
        <f>IFERROR(AL340/AA340,"")</f>
        <v/>
      </c>
      <c r="AN340" s="119">
        <f>IFERROR(R340/AL340,"")</f>
        <v/>
      </c>
      <c r="AO340" s="116" t="n">
        <v>0</v>
      </c>
      <c r="AP340" s="47">
        <f>IFERROR(AO340/AL340,"")</f>
        <v/>
      </c>
      <c r="AQ340" s="119">
        <f>IFERROR(R340/AO340,"")</f>
        <v/>
      </c>
      <c r="AR340" s="116" t="n">
        <v>0</v>
      </c>
      <c r="AS340" s="116" t="n">
        <v>0</v>
      </c>
      <c r="AT340" s="116">
        <f>AL340+AR340</f>
        <v/>
      </c>
      <c r="AU340" s="119">
        <f>IFERROR(AO340*Assumptions!$C$26*Assumptions!$C$27*INDEX(Assumptions!$C$18:$C$21,MATCH(H340,Assumptions!$B$18:$B$21,0)),0)</f>
        <v/>
      </c>
    </row>
    <row r="341">
      <c r="A341" s="114" t="n">
        <v>46255</v>
      </c>
      <c r="B341" s="42" t="inlineStr">
        <is>
          <t>Wk 34</t>
        </is>
      </c>
      <c r="C341" s="42" t="inlineStr">
        <is>
          <t>Fri</t>
        </is>
      </c>
      <c r="D341" s="42" t="inlineStr">
        <is>
          <t>Meta (FB/IG)</t>
        </is>
      </c>
      <c r="E341" s="42" t="inlineStr">
        <is>
          <t>Facebook + Instagram</t>
        </is>
      </c>
      <c r="F341" s="42" t="inlineStr">
        <is>
          <t>LEP_ZA_AUG26_META_TD_JAVAN_CONV</t>
        </is>
      </c>
      <c r="G341" s="42" t="inlineStr">
        <is>
          <t>Leads - Website Conversions</t>
        </is>
      </c>
      <c r="H341" s="42" t="inlineStr">
        <is>
          <t>JAVAN</t>
        </is>
      </c>
      <c r="I341" s="42" t="inlineStr">
        <is>
          <t>10% Deposit</t>
        </is>
      </c>
      <c r="J341" s="42" t="inlineStr">
        <is>
          <t>MET_JAVAN_LAL2_SITE_ZA</t>
        </is>
      </c>
      <c r="K341" s="42" t="inlineStr">
        <is>
          <t>Lookalike</t>
        </is>
      </c>
      <c r="L341" s="42" t="inlineStr">
        <is>
          <t>JAVAN_CAR_5card_Interior_v1</t>
        </is>
      </c>
      <c r="M341" s="42" t="inlineStr">
        <is>
          <t>Carousel</t>
        </is>
      </c>
      <c r="N341" s="42" t="inlineStr">
        <is>
          <t>Step inside the JAVAN</t>
        </is>
      </c>
      <c r="O341" s="42" t="inlineStr">
        <is>
          <t>Auction - Lowest Cost</t>
        </is>
      </c>
      <c r="P341" s="42" t="inlineStr">
        <is>
          <t>Offsite Conversions</t>
        </is>
      </c>
      <c r="Q341" s="42" t="inlineStr">
        <is>
          <t>https://www.lepas-sa.co.za/offers/javan</t>
        </is>
      </c>
      <c r="R341" s="115" t="n">
        <v>227.53</v>
      </c>
      <c r="S341" s="116" t="n">
        <v>2649</v>
      </c>
      <c r="T341" s="116" t="n">
        <v>1361</v>
      </c>
      <c r="U341" s="117">
        <f>IFERROR(S341/T341,"")</f>
        <v/>
      </c>
      <c r="V341" s="116" t="n">
        <v>30</v>
      </c>
      <c r="W341" s="116" t="n">
        <v>25</v>
      </c>
      <c r="X341" s="118">
        <f>IFERROR(W341/S341,"")</f>
        <v/>
      </c>
      <c r="Y341" s="115">
        <f>IFERROR(R341/W341,"")</f>
        <v/>
      </c>
      <c r="Z341" s="115">
        <f>IFERROR(R341/S341*1000,"")</f>
        <v/>
      </c>
      <c r="AA341" s="116" t="n">
        <v>22</v>
      </c>
      <c r="AB341" s="47">
        <f>IFERROR(AA341/W341,"")</f>
        <v/>
      </c>
      <c r="AC341" s="116" t="n">
        <v>0</v>
      </c>
      <c r="AD341" s="116" t="n">
        <v>0</v>
      </c>
      <c r="AE341" s="116" t="n">
        <v>0</v>
      </c>
      <c r="AF341" s="116" t="n">
        <v>0</v>
      </c>
      <c r="AG341" s="116" t="n">
        <v>0</v>
      </c>
      <c r="AH341" s="116" t="n">
        <v>0</v>
      </c>
      <c r="AI341" s="47">
        <f>IFERROR(AC341/S341,"")</f>
        <v/>
      </c>
      <c r="AJ341" s="47">
        <f>IFERROR(AH341/S341,"")</f>
        <v/>
      </c>
      <c r="AK341" s="116" t="n">
        <v>72</v>
      </c>
      <c r="AL341" s="116" t="n">
        <v>1</v>
      </c>
      <c r="AM341" s="118">
        <f>IFERROR(AL341/AA341,"")</f>
        <v/>
      </c>
      <c r="AN341" s="119">
        <f>IFERROR(R341/AL341,"")</f>
        <v/>
      </c>
      <c r="AO341" s="116" t="n">
        <v>0</v>
      </c>
      <c r="AP341" s="47">
        <f>IFERROR(AO341/AL341,"")</f>
        <v/>
      </c>
      <c r="AQ341" s="119">
        <f>IFERROR(R341/AO341,"")</f>
        <v/>
      </c>
      <c r="AR341" s="116" t="n">
        <v>0</v>
      </c>
      <c r="AS341" s="116" t="n">
        <v>0</v>
      </c>
      <c r="AT341" s="116">
        <f>AL341+AR341</f>
        <v/>
      </c>
      <c r="AU341" s="119">
        <f>IFERROR(AO341*Assumptions!$C$26*Assumptions!$C$27*INDEX(Assumptions!$C$18:$C$21,MATCH(H341,Assumptions!$B$18:$B$21,0)),0)</f>
        <v/>
      </c>
    </row>
    <row r="342">
      <c r="A342" s="114" t="n">
        <v>46256</v>
      </c>
      <c r="B342" s="42" t="inlineStr">
        <is>
          <t>Wk 34</t>
        </is>
      </c>
      <c r="C342" s="42" t="inlineStr">
        <is>
          <t>Sat</t>
        </is>
      </c>
      <c r="D342" s="42" t="inlineStr">
        <is>
          <t>Meta (FB/IG)</t>
        </is>
      </c>
      <c r="E342" s="42" t="inlineStr">
        <is>
          <t>Facebook + Instagram</t>
        </is>
      </c>
      <c r="F342" s="42" t="inlineStr">
        <is>
          <t>LEP_ZA_AUG26_META_TD_JAVAN_CONV</t>
        </is>
      </c>
      <c r="G342" s="42" t="inlineStr">
        <is>
          <t>Leads - Website Conversions</t>
        </is>
      </c>
      <c r="H342" s="42" t="inlineStr">
        <is>
          <t>JAVAN</t>
        </is>
      </c>
      <c r="I342" s="42" t="inlineStr">
        <is>
          <t>10% Deposit</t>
        </is>
      </c>
      <c r="J342" s="42" t="inlineStr">
        <is>
          <t>MET_JAVAN_LAL2_SITE_ZA</t>
        </is>
      </c>
      <c r="K342" s="42" t="inlineStr">
        <is>
          <t>Lookalike</t>
        </is>
      </c>
      <c r="L342" s="42" t="inlineStr">
        <is>
          <t>JAVAN_CAR_5card_Interior_v1</t>
        </is>
      </c>
      <c r="M342" s="42" t="inlineStr">
        <is>
          <t>Carousel</t>
        </is>
      </c>
      <c r="N342" s="42" t="inlineStr">
        <is>
          <t>Step inside the JAVAN</t>
        </is>
      </c>
      <c r="O342" s="42" t="inlineStr">
        <is>
          <t>Auction - Lowest Cost</t>
        </is>
      </c>
      <c r="P342" s="42" t="inlineStr">
        <is>
          <t>Offsite Conversions</t>
        </is>
      </c>
      <c r="Q342" s="42" t="inlineStr">
        <is>
          <t>https://www.lepas-sa.co.za/offers/javan</t>
        </is>
      </c>
      <c r="R342" s="115" t="n">
        <v>218.71</v>
      </c>
      <c r="S342" s="116" t="n">
        <v>2201</v>
      </c>
      <c r="T342" s="116" t="n">
        <v>1236</v>
      </c>
      <c r="U342" s="117">
        <f>IFERROR(S342/T342,"")</f>
        <v/>
      </c>
      <c r="V342" s="116" t="n">
        <v>27</v>
      </c>
      <c r="W342" s="116" t="n">
        <v>22</v>
      </c>
      <c r="X342" s="118">
        <f>IFERROR(W342/S342,"")</f>
        <v/>
      </c>
      <c r="Y342" s="115">
        <f>IFERROR(R342/W342,"")</f>
        <v/>
      </c>
      <c r="Z342" s="115">
        <f>IFERROR(R342/S342*1000,"")</f>
        <v/>
      </c>
      <c r="AA342" s="116" t="n">
        <v>18</v>
      </c>
      <c r="AB342" s="47">
        <f>IFERROR(AA342/W342,"")</f>
        <v/>
      </c>
      <c r="AC342" s="116" t="n">
        <v>0</v>
      </c>
      <c r="AD342" s="116" t="n">
        <v>0</v>
      </c>
      <c r="AE342" s="116" t="n">
        <v>0</v>
      </c>
      <c r="AF342" s="116" t="n">
        <v>0</v>
      </c>
      <c r="AG342" s="116" t="n">
        <v>0</v>
      </c>
      <c r="AH342" s="116" t="n">
        <v>0</v>
      </c>
      <c r="AI342" s="47">
        <f>IFERROR(AC342/S342,"")</f>
        <v/>
      </c>
      <c r="AJ342" s="47">
        <f>IFERROR(AH342/S342,"")</f>
        <v/>
      </c>
      <c r="AK342" s="116" t="n">
        <v>41</v>
      </c>
      <c r="AL342" s="116" t="n">
        <v>0</v>
      </c>
      <c r="AM342" s="118">
        <f>IFERROR(AL342/AA342,"")</f>
        <v/>
      </c>
      <c r="AN342" s="119">
        <f>IFERROR(R342/AL342,"")</f>
        <v/>
      </c>
      <c r="AO342" s="116" t="n">
        <v>0</v>
      </c>
      <c r="AP342" s="47">
        <f>IFERROR(AO342/AL342,"")</f>
        <v/>
      </c>
      <c r="AQ342" s="119">
        <f>IFERROR(R342/AO342,"")</f>
        <v/>
      </c>
      <c r="AR342" s="116" t="n">
        <v>0</v>
      </c>
      <c r="AS342" s="116" t="n">
        <v>0</v>
      </c>
      <c r="AT342" s="116">
        <f>AL342+AR342</f>
        <v/>
      </c>
      <c r="AU342" s="119">
        <f>IFERROR(AO342*Assumptions!$C$26*Assumptions!$C$27*INDEX(Assumptions!$C$18:$C$21,MATCH(H342,Assumptions!$B$18:$B$21,0)),0)</f>
        <v/>
      </c>
    </row>
    <row r="343">
      <c r="A343" s="114" t="n">
        <v>46257</v>
      </c>
      <c r="B343" s="42" t="inlineStr">
        <is>
          <t>Wk 34</t>
        </is>
      </c>
      <c r="C343" s="42" t="inlineStr">
        <is>
          <t>Sun</t>
        </is>
      </c>
      <c r="D343" s="42" t="inlineStr">
        <is>
          <t>Meta (FB/IG)</t>
        </is>
      </c>
      <c r="E343" s="42" t="inlineStr">
        <is>
          <t>Facebook + Instagram</t>
        </is>
      </c>
      <c r="F343" s="42" t="inlineStr">
        <is>
          <t>LEP_ZA_AUG26_META_TD_JAVAN_CONV</t>
        </is>
      </c>
      <c r="G343" s="42" t="inlineStr">
        <is>
          <t>Leads - Website Conversions</t>
        </is>
      </c>
      <c r="H343" s="42" t="inlineStr">
        <is>
          <t>JAVAN</t>
        </is>
      </c>
      <c r="I343" s="42" t="inlineStr">
        <is>
          <t>10% Deposit</t>
        </is>
      </c>
      <c r="J343" s="42" t="inlineStr">
        <is>
          <t>MET_JAVAN_LAL2_SITE_ZA</t>
        </is>
      </c>
      <c r="K343" s="42" t="inlineStr">
        <is>
          <t>Lookalike</t>
        </is>
      </c>
      <c r="L343" s="42" t="inlineStr">
        <is>
          <t>JAVAN_CAR_5card_Interior_v1</t>
        </is>
      </c>
      <c r="M343" s="42" t="inlineStr">
        <is>
          <t>Carousel</t>
        </is>
      </c>
      <c r="N343" s="42" t="inlineStr">
        <is>
          <t>Step inside the JAVAN</t>
        </is>
      </c>
      <c r="O343" s="42" t="inlineStr">
        <is>
          <t>Auction - Lowest Cost</t>
        </is>
      </c>
      <c r="P343" s="42" t="inlineStr">
        <is>
          <t>Offsite Conversions</t>
        </is>
      </c>
      <c r="Q343" s="42" t="inlineStr">
        <is>
          <t>https://www.lepas-sa.co.za/offers/javan</t>
        </is>
      </c>
      <c r="R343" s="115" t="n">
        <v>210.52</v>
      </c>
      <c r="S343" s="116" t="n">
        <v>3138</v>
      </c>
      <c r="T343" s="116" t="n">
        <v>1929</v>
      </c>
      <c r="U343" s="117">
        <f>IFERROR(S343/T343,"")</f>
        <v/>
      </c>
      <c r="V343" s="116" t="n">
        <v>32</v>
      </c>
      <c r="W343" s="116" t="n">
        <v>24</v>
      </c>
      <c r="X343" s="118">
        <f>IFERROR(W343/S343,"")</f>
        <v/>
      </c>
      <c r="Y343" s="115">
        <f>IFERROR(R343/W343,"")</f>
        <v/>
      </c>
      <c r="Z343" s="115">
        <f>IFERROR(R343/S343*1000,"")</f>
        <v/>
      </c>
      <c r="AA343" s="116" t="n">
        <v>22</v>
      </c>
      <c r="AB343" s="47">
        <f>IFERROR(AA343/W343,"")</f>
        <v/>
      </c>
      <c r="AC343" s="116" t="n">
        <v>0</v>
      </c>
      <c r="AD343" s="116" t="n">
        <v>0</v>
      </c>
      <c r="AE343" s="116" t="n">
        <v>0</v>
      </c>
      <c r="AF343" s="116" t="n">
        <v>0</v>
      </c>
      <c r="AG343" s="116" t="n">
        <v>0</v>
      </c>
      <c r="AH343" s="116" t="n">
        <v>0</v>
      </c>
      <c r="AI343" s="47">
        <f>IFERROR(AC343/S343,"")</f>
        <v/>
      </c>
      <c r="AJ343" s="47">
        <f>IFERROR(AH343/S343,"")</f>
        <v/>
      </c>
      <c r="AK343" s="116" t="n">
        <v>38</v>
      </c>
      <c r="AL343" s="116" t="n">
        <v>0</v>
      </c>
      <c r="AM343" s="118">
        <f>IFERROR(AL343/AA343,"")</f>
        <v/>
      </c>
      <c r="AN343" s="119">
        <f>IFERROR(R343/AL343,"")</f>
        <v/>
      </c>
      <c r="AO343" s="116" t="n">
        <v>0</v>
      </c>
      <c r="AP343" s="47">
        <f>IFERROR(AO343/AL343,"")</f>
        <v/>
      </c>
      <c r="AQ343" s="119">
        <f>IFERROR(R343/AO343,"")</f>
        <v/>
      </c>
      <c r="AR343" s="116" t="n">
        <v>0</v>
      </c>
      <c r="AS343" s="116" t="n">
        <v>0</v>
      </c>
      <c r="AT343" s="116">
        <f>AL343+AR343</f>
        <v/>
      </c>
      <c r="AU343" s="119">
        <f>IFERROR(AO343*Assumptions!$C$26*Assumptions!$C$27*INDEX(Assumptions!$C$18:$C$21,MATCH(H343,Assumptions!$B$18:$B$21,0)),0)</f>
        <v/>
      </c>
    </row>
    <row r="344">
      <c r="A344" s="114" t="n">
        <v>46258</v>
      </c>
      <c r="B344" s="42" t="inlineStr">
        <is>
          <t>Wk 35</t>
        </is>
      </c>
      <c r="C344" s="42" t="inlineStr">
        <is>
          <t>Mon</t>
        </is>
      </c>
      <c r="D344" s="42" t="inlineStr">
        <is>
          <t>Meta (FB/IG)</t>
        </is>
      </c>
      <c r="E344" s="42" t="inlineStr">
        <is>
          <t>Facebook + Instagram</t>
        </is>
      </c>
      <c r="F344" s="42" t="inlineStr">
        <is>
          <t>LEP_ZA_AUG26_META_TD_JAVAN_CONV</t>
        </is>
      </c>
      <c r="G344" s="42" t="inlineStr">
        <is>
          <t>Leads - Website Conversions</t>
        </is>
      </c>
      <c r="H344" s="42" t="inlineStr">
        <is>
          <t>JAVAN</t>
        </is>
      </c>
      <c r="I344" s="42" t="inlineStr">
        <is>
          <t>10% Deposit</t>
        </is>
      </c>
      <c r="J344" s="42" t="inlineStr">
        <is>
          <t>MET_JAVAN_LAL2_SITE_ZA</t>
        </is>
      </c>
      <c r="K344" s="42" t="inlineStr">
        <is>
          <t>Lookalike</t>
        </is>
      </c>
      <c r="L344" s="42" t="inlineStr">
        <is>
          <t>JAVAN_CAR_5card_Interior_v1</t>
        </is>
      </c>
      <c r="M344" s="42" t="inlineStr">
        <is>
          <t>Carousel</t>
        </is>
      </c>
      <c r="N344" s="42" t="inlineStr">
        <is>
          <t>Step inside the JAVAN</t>
        </is>
      </c>
      <c r="O344" s="42" t="inlineStr">
        <is>
          <t>Auction - Lowest Cost</t>
        </is>
      </c>
      <c r="P344" s="42" t="inlineStr">
        <is>
          <t>Offsite Conversions</t>
        </is>
      </c>
      <c r="Q344" s="42" t="inlineStr">
        <is>
          <t>https://www.lepas-sa.co.za/offers/javan</t>
        </is>
      </c>
      <c r="R344" s="115" t="n">
        <v>181.56</v>
      </c>
      <c r="S344" s="116" t="n">
        <v>1849</v>
      </c>
      <c r="T344" s="116" t="n">
        <v>1289</v>
      </c>
      <c r="U344" s="117">
        <f>IFERROR(S344/T344,"")</f>
        <v/>
      </c>
      <c r="V344" s="116" t="n">
        <v>35</v>
      </c>
      <c r="W344" s="116" t="n">
        <v>27</v>
      </c>
      <c r="X344" s="118">
        <f>IFERROR(W344/S344,"")</f>
        <v/>
      </c>
      <c r="Y344" s="115">
        <f>IFERROR(R344/W344,"")</f>
        <v/>
      </c>
      <c r="Z344" s="115">
        <f>IFERROR(R344/S344*1000,"")</f>
        <v/>
      </c>
      <c r="AA344" s="116" t="n">
        <v>22</v>
      </c>
      <c r="AB344" s="47">
        <f>IFERROR(AA344/W344,"")</f>
        <v/>
      </c>
      <c r="AC344" s="116" t="n">
        <v>0</v>
      </c>
      <c r="AD344" s="116" t="n">
        <v>0</v>
      </c>
      <c r="AE344" s="116" t="n">
        <v>0</v>
      </c>
      <c r="AF344" s="116" t="n">
        <v>0</v>
      </c>
      <c r="AG344" s="116" t="n">
        <v>0</v>
      </c>
      <c r="AH344" s="116" t="n">
        <v>0</v>
      </c>
      <c r="AI344" s="47">
        <f>IFERROR(AC344/S344,"")</f>
        <v/>
      </c>
      <c r="AJ344" s="47">
        <f>IFERROR(AH344/S344,"")</f>
        <v/>
      </c>
      <c r="AK344" s="116" t="n">
        <v>44</v>
      </c>
      <c r="AL344" s="116" t="n">
        <v>0</v>
      </c>
      <c r="AM344" s="118">
        <f>IFERROR(AL344/AA344,"")</f>
        <v/>
      </c>
      <c r="AN344" s="119">
        <f>IFERROR(R344/AL344,"")</f>
        <v/>
      </c>
      <c r="AO344" s="116" t="n">
        <v>0</v>
      </c>
      <c r="AP344" s="47">
        <f>IFERROR(AO344/AL344,"")</f>
        <v/>
      </c>
      <c r="AQ344" s="119">
        <f>IFERROR(R344/AO344,"")</f>
        <v/>
      </c>
      <c r="AR344" s="116" t="n">
        <v>0</v>
      </c>
      <c r="AS344" s="116" t="n">
        <v>0</v>
      </c>
      <c r="AT344" s="116">
        <f>AL344+AR344</f>
        <v/>
      </c>
      <c r="AU344" s="119">
        <f>IFERROR(AO344*Assumptions!$C$26*Assumptions!$C$27*INDEX(Assumptions!$C$18:$C$21,MATCH(H344,Assumptions!$B$18:$B$21,0)),0)</f>
        <v/>
      </c>
    </row>
    <row r="345">
      <c r="A345" s="114" t="n">
        <v>46259</v>
      </c>
      <c r="B345" s="42" t="inlineStr">
        <is>
          <t>Wk 35</t>
        </is>
      </c>
      <c r="C345" s="42" t="inlineStr">
        <is>
          <t>Tue</t>
        </is>
      </c>
      <c r="D345" s="42" t="inlineStr">
        <is>
          <t>Meta (FB/IG)</t>
        </is>
      </c>
      <c r="E345" s="42" t="inlineStr">
        <is>
          <t>Facebook + Instagram</t>
        </is>
      </c>
      <c r="F345" s="42" t="inlineStr">
        <is>
          <t>LEP_ZA_AUG26_META_TD_JAVAN_CONV</t>
        </is>
      </c>
      <c r="G345" s="42" t="inlineStr">
        <is>
          <t>Leads - Website Conversions</t>
        </is>
      </c>
      <c r="H345" s="42" t="inlineStr">
        <is>
          <t>JAVAN</t>
        </is>
      </c>
      <c r="I345" s="42" t="inlineStr">
        <is>
          <t>10% Deposit</t>
        </is>
      </c>
      <c r="J345" s="42" t="inlineStr">
        <is>
          <t>MET_JAVAN_LAL2_SITE_ZA</t>
        </is>
      </c>
      <c r="K345" s="42" t="inlineStr">
        <is>
          <t>Lookalike</t>
        </is>
      </c>
      <c r="L345" s="42" t="inlineStr">
        <is>
          <t>JAVAN_CAR_5card_Interior_v1</t>
        </is>
      </c>
      <c r="M345" s="42" t="inlineStr">
        <is>
          <t>Carousel</t>
        </is>
      </c>
      <c r="N345" s="42" t="inlineStr">
        <is>
          <t>Step inside the JAVAN</t>
        </is>
      </c>
      <c r="O345" s="42" t="inlineStr">
        <is>
          <t>Auction - Lowest Cost</t>
        </is>
      </c>
      <c r="P345" s="42" t="inlineStr">
        <is>
          <t>Offsite Conversions</t>
        </is>
      </c>
      <c r="Q345" s="42" t="inlineStr">
        <is>
          <t>https://www.lepas-sa.co.za/offers/javan</t>
        </is>
      </c>
      <c r="R345" s="115" t="n">
        <v>232.87</v>
      </c>
      <c r="S345" s="116" t="n">
        <v>2666</v>
      </c>
      <c r="T345" s="116" t="n">
        <v>1526</v>
      </c>
      <c r="U345" s="117">
        <f>IFERROR(S345/T345,"")</f>
        <v/>
      </c>
      <c r="V345" s="116" t="n">
        <v>64</v>
      </c>
      <c r="W345" s="116" t="n">
        <v>45</v>
      </c>
      <c r="X345" s="118">
        <f>IFERROR(W345/S345,"")</f>
        <v/>
      </c>
      <c r="Y345" s="115">
        <f>IFERROR(R345/W345,"")</f>
        <v/>
      </c>
      <c r="Z345" s="115">
        <f>IFERROR(R345/S345*1000,"")</f>
        <v/>
      </c>
      <c r="AA345" s="116" t="n">
        <v>38</v>
      </c>
      <c r="AB345" s="47">
        <f>IFERROR(AA345/W345,"")</f>
        <v/>
      </c>
      <c r="AC345" s="116" t="n">
        <v>0</v>
      </c>
      <c r="AD345" s="116" t="n">
        <v>0</v>
      </c>
      <c r="AE345" s="116" t="n">
        <v>0</v>
      </c>
      <c r="AF345" s="116" t="n">
        <v>0</v>
      </c>
      <c r="AG345" s="116" t="n">
        <v>0</v>
      </c>
      <c r="AH345" s="116" t="n">
        <v>0</v>
      </c>
      <c r="AI345" s="47">
        <f>IFERROR(AC345/S345,"")</f>
        <v/>
      </c>
      <c r="AJ345" s="47">
        <f>IFERROR(AH345/S345,"")</f>
        <v/>
      </c>
      <c r="AK345" s="116" t="n">
        <v>43</v>
      </c>
      <c r="AL345" s="116" t="n">
        <v>0</v>
      </c>
      <c r="AM345" s="118">
        <f>IFERROR(AL345/AA345,"")</f>
        <v/>
      </c>
      <c r="AN345" s="119">
        <f>IFERROR(R345/AL345,"")</f>
        <v/>
      </c>
      <c r="AO345" s="116" t="n">
        <v>0</v>
      </c>
      <c r="AP345" s="47">
        <f>IFERROR(AO345/AL345,"")</f>
        <v/>
      </c>
      <c r="AQ345" s="119">
        <f>IFERROR(R345/AO345,"")</f>
        <v/>
      </c>
      <c r="AR345" s="116" t="n">
        <v>0</v>
      </c>
      <c r="AS345" s="116" t="n">
        <v>0</v>
      </c>
      <c r="AT345" s="116">
        <f>AL345+AR345</f>
        <v/>
      </c>
      <c r="AU345" s="119">
        <f>IFERROR(AO345*Assumptions!$C$26*Assumptions!$C$27*INDEX(Assumptions!$C$18:$C$21,MATCH(H345,Assumptions!$B$18:$B$21,0)),0)</f>
        <v/>
      </c>
    </row>
    <row r="346">
      <c r="A346" s="114" t="n">
        <v>46260</v>
      </c>
      <c r="B346" s="42" t="inlineStr">
        <is>
          <t>Wk 35</t>
        </is>
      </c>
      <c r="C346" s="42" t="inlineStr">
        <is>
          <t>Wed</t>
        </is>
      </c>
      <c r="D346" s="42" t="inlineStr">
        <is>
          <t>Meta (FB/IG)</t>
        </is>
      </c>
      <c r="E346" s="42" t="inlineStr">
        <is>
          <t>Facebook + Instagram</t>
        </is>
      </c>
      <c r="F346" s="42" t="inlineStr">
        <is>
          <t>LEP_ZA_AUG26_META_TD_JAVAN_CONV</t>
        </is>
      </c>
      <c r="G346" s="42" t="inlineStr">
        <is>
          <t>Leads - Website Conversions</t>
        </is>
      </c>
      <c r="H346" s="42" t="inlineStr">
        <is>
          <t>JAVAN</t>
        </is>
      </c>
      <c r="I346" s="42" t="inlineStr">
        <is>
          <t>10% Deposit</t>
        </is>
      </c>
      <c r="J346" s="42" t="inlineStr">
        <is>
          <t>MET_JAVAN_LAL2_SITE_ZA</t>
        </is>
      </c>
      <c r="K346" s="42" t="inlineStr">
        <is>
          <t>Lookalike</t>
        </is>
      </c>
      <c r="L346" s="42" t="inlineStr">
        <is>
          <t>JAVAN_CAR_5card_Interior_v1</t>
        </is>
      </c>
      <c r="M346" s="42" t="inlineStr">
        <is>
          <t>Carousel</t>
        </is>
      </c>
      <c r="N346" s="42" t="inlineStr">
        <is>
          <t>Step inside the JAVAN</t>
        </is>
      </c>
      <c r="O346" s="42" t="inlineStr">
        <is>
          <t>Auction - Lowest Cost</t>
        </is>
      </c>
      <c r="P346" s="42" t="inlineStr">
        <is>
          <t>Offsite Conversions</t>
        </is>
      </c>
      <c r="Q346" s="42" t="inlineStr">
        <is>
          <t>https://www.lepas-sa.co.za/offers/javan</t>
        </is>
      </c>
      <c r="R346" s="115" t="n">
        <v>202.6</v>
      </c>
      <c r="S346" s="116" t="n">
        <v>2541</v>
      </c>
      <c r="T346" s="116" t="n">
        <v>1640</v>
      </c>
      <c r="U346" s="117">
        <f>IFERROR(S346/T346,"")</f>
        <v/>
      </c>
      <c r="V346" s="116" t="n">
        <v>49</v>
      </c>
      <c r="W346" s="116" t="n">
        <v>41</v>
      </c>
      <c r="X346" s="118">
        <f>IFERROR(W346/S346,"")</f>
        <v/>
      </c>
      <c r="Y346" s="115">
        <f>IFERROR(R346/W346,"")</f>
        <v/>
      </c>
      <c r="Z346" s="115">
        <f>IFERROR(R346/S346*1000,"")</f>
        <v/>
      </c>
      <c r="AA346" s="116" t="n">
        <v>35</v>
      </c>
      <c r="AB346" s="47">
        <f>IFERROR(AA346/W346,"")</f>
        <v/>
      </c>
      <c r="AC346" s="116" t="n">
        <v>0</v>
      </c>
      <c r="AD346" s="116" t="n">
        <v>0</v>
      </c>
      <c r="AE346" s="116" t="n">
        <v>0</v>
      </c>
      <c r="AF346" s="116" t="n">
        <v>0</v>
      </c>
      <c r="AG346" s="116" t="n">
        <v>0</v>
      </c>
      <c r="AH346" s="116" t="n">
        <v>0</v>
      </c>
      <c r="AI346" s="47">
        <f>IFERROR(AC346/S346,"")</f>
        <v/>
      </c>
      <c r="AJ346" s="47">
        <f>IFERROR(AH346/S346,"")</f>
        <v/>
      </c>
      <c r="AK346" s="116" t="n">
        <v>74</v>
      </c>
      <c r="AL346" s="116" t="n">
        <v>1</v>
      </c>
      <c r="AM346" s="118">
        <f>IFERROR(AL346/AA346,"")</f>
        <v/>
      </c>
      <c r="AN346" s="119">
        <f>IFERROR(R346/AL346,"")</f>
        <v/>
      </c>
      <c r="AO346" s="116" t="n">
        <v>0</v>
      </c>
      <c r="AP346" s="47">
        <f>IFERROR(AO346/AL346,"")</f>
        <v/>
      </c>
      <c r="AQ346" s="119">
        <f>IFERROR(R346/AO346,"")</f>
        <v/>
      </c>
      <c r="AR346" s="116" t="n">
        <v>0</v>
      </c>
      <c r="AS346" s="116" t="n">
        <v>0</v>
      </c>
      <c r="AT346" s="116">
        <f>AL346+AR346</f>
        <v/>
      </c>
      <c r="AU346" s="119">
        <f>IFERROR(AO346*Assumptions!$C$26*Assumptions!$C$27*INDEX(Assumptions!$C$18:$C$21,MATCH(H346,Assumptions!$B$18:$B$21,0)),0)</f>
        <v/>
      </c>
    </row>
    <row r="347">
      <c r="A347" s="114" t="n">
        <v>46261</v>
      </c>
      <c r="B347" s="42" t="inlineStr">
        <is>
          <t>Wk 35</t>
        </is>
      </c>
      <c r="C347" s="42" t="inlineStr">
        <is>
          <t>Thu</t>
        </is>
      </c>
      <c r="D347" s="42" t="inlineStr">
        <is>
          <t>Meta (FB/IG)</t>
        </is>
      </c>
      <c r="E347" s="42" t="inlineStr">
        <is>
          <t>Facebook + Instagram</t>
        </is>
      </c>
      <c r="F347" s="42" t="inlineStr">
        <is>
          <t>LEP_ZA_AUG26_META_TD_JAVAN_CONV</t>
        </is>
      </c>
      <c r="G347" s="42" t="inlineStr">
        <is>
          <t>Leads - Website Conversions</t>
        </is>
      </c>
      <c r="H347" s="42" t="inlineStr">
        <is>
          <t>JAVAN</t>
        </is>
      </c>
      <c r="I347" s="42" t="inlineStr">
        <is>
          <t>10% Deposit</t>
        </is>
      </c>
      <c r="J347" s="42" t="inlineStr">
        <is>
          <t>MET_JAVAN_LAL2_SITE_ZA</t>
        </is>
      </c>
      <c r="K347" s="42" t="inlineStr">
        <is>
          <t>Lookalike</t>
        </is>
      </c>
      <c r="L347" s="42" t="inlineStr">
        <is>
          <t>JAVAN_CAR_5card_Interior_v1</t>
        </is>
      </c>
      <c r="M347" s="42" t="inlineStr">
        <is>
          <t>Carousel</t>
        </is>
      </c>
      <c r="N347" s="42" t="inlineStr">
        <is>
          <t>Step inside the JAVAN</t>
        </is>
      </c>
      <c r="O347" s="42" t="inlineStr">
        <is>
          <t>Auction - Lowest Cost</t>
        </is>
      </c>
      <c r="P347" s="42" t="inlineStr">
        <is>
          <t>Offsite Conversions</t>
        </is>
      </c>
      <c r="Q347" s="42" t="inlineStr">
        <is>
          <t>https://www.lepas-sa.co.za/offers/javan</t>
        </is>
      </c>
      <c r="R347" s="115" t="n">
        <v>293.31</v>
      </c>
      <c r="S347" s="116" t="n">
        <v>4297</v>
      </c>
      <c r="T347" s="116" t="n">
        <v>2619</v>
      </c>
      <c r="U347" s="117">
        <f>IFERROR(S347/T347,"")</f>
        <v/>
      </c>
      <c r="V347" s="116" t="n">
        <v>56</v>
      </c>
      <c r="W347" s="116" t="n">
        <v>45</v>
      </c>
      <c r="X347" s="118">
        <f>IFERROR(W347/S347,"")</f>
        <v/>
      </c>
      <c r="Y347" s="115">
        <f>IFERROR(R347/W347,"")</f>
        <v/>
      </c>
      <c r="Z347" s="115">
        <f>IFERROR(R347/S347*1000,"")</f>
        <v/>
      </c>
      <c r="AA347" s="116" t="n">
        <v>39</v>
      </c>
      <c r="AB347" s="47">
        <f>IFERROR(AA347/W347,"")</f>
        <v/>
      </c>
      <c r="AC347" s="116" t="n">
        <v>0</v>
      </c>
      <c r="AD347" s="116" t="n">
        <v>0</v>
      </c>
      <c r="AE347" s="116" t="n">
        <v>0</v>
      </c>
      <c r="AF347" s="116" t="n">
        <v>0</v>
      </c>
      <c r="AG347" s="116" t="n">
        <v>0</v>
      </c>
      <c r="AH347" s="116" t="n">
        <v>0</v>
      </c>
      <c r="AI347" s="47">
        <f>IFERROR(AC347/S347,"")</f>
        <v/>
      </c>
      <c r="AJ347" s="47">
        <f>IFERROR(AH347/S347,"")</f>
        <v/>
      </c>
      <c r="AK347" s="116" t="n">
        <v>129</v>
      </c>
      <c r="AL347" s="116" t="n">
        <v>1</v>
      </c>
      <c r="AM347" s="118">
        <f>IFERROR(AL347/AA347,"")</f>
        <v/>
      </c>
      <c r="AN347" s="119">
        <f>IFERROR(R347/AL347,"")</f>
        <v/>
      </c>
      <c r="AO347" s="116" t="n">
        <v>0</v>
      </c>
      <c r="AP347" s="47">
        <f>IFERROR(AO347/AL347,"")</f>
        <v/>
      </c>
      <c r="AQ347" s="119">
        <f>IFERROR(R347/AO347,"")</f>
        <v/>
      </c>
      <c r="AR347" s="116" t="n">
        <v>0</v>
      </c>
      <c r="AS347" s="116" t="n">
        <v>0</v>
      </c>
      <c r="AT347" s="116">
        <f>AL347+AR347</f>
        <v/>
      </c>
      <c r="AU347" s="119">
        <f>IFERROR(AO347*Assumptions!$C$26*Assumptions!$C$27*INDEX(Assumptions!$C$18:$C$21,MATCH(H347,Assumptions!$B$18:$B$21,0)),0)</f>
        <v/>
      </c>
    </row>
    <row r="348">
      <c r="A348" s="114" t="n">
        <v>46262</v>
      </c>
      <c r="B348" s="42" t="inlineStr">
        <is>
          <t>Wk 35</t>
        </is>
      </c>
      <c r="C348" s="42" t="inlineStr">
        <is>
          <t>Fri</t>
        </is>
      </c>
      <c r="D348" s="42" t="inlineStr">
        <is>
          <t>Meta (FB/IG)</t>
        </is>
      </c>
      <c r="E348" s="42" t="inlineStr">
        <is>
          <t>Facebook + Instagram</t>
        </is>
      </c>
      <c r="F348" s="42" t="inlineStr">
        <is>
          <t>LEP_ZA_AUG26_META_TD_JAVAN_CONV</t>
        </is>
      </c>
      <c r="G348" s="42" t="inlineStr">
        <is>
          <t>Leads - Website Conversions</t>
        </is>
      </c>
      <c r="H348" s="42" t="inlineStr">
        <is>
          <t>JAVAN</t>
        </is>
      </c>
      <c r="I348" s="42" t="inlineStr">
        <is>
          <t>10% Deposit</t>
        </is>
      </c>
      <c r="J348" s="42" t="inlineStr">
        <is>
          <t>MET_JAVAN_LAL2_SITE_ZA</t>
        </is>
      </c>
      <c r="K348" s="42" t="inlineStr">
        <is>
          <t>Lookalike</t>
        </is>
      </c>
      <c r="L348" s="42" t="inlineStr">
        <is>
          <t>JAVAN_CAR_5card_Interior_v1</t>
        </is>
      </c>
      <c r="M348" s="42" t="inlineStr">
        <is>
          <t>Carousel</t>
        </is>
      </c>
      <c r="N348" s="42" t="inlineStr">
        <is>
          <t>Step inside the JAVAN</t>
        </is>
      </c>
      <c r="O348" s="42" t="inlineStr">
        <is>
          <t>Auction - Lowest Cost</t>
        </is>
      </c>
      <c r="P348" s="42" t="inlineStr">
        <is>
          <t>Offsite Conversions</t>
        </is>
      </c>
      <c r="Q348" s="42" t="inlineStr">
        <is>
          <t>https://www.lepas-sa.co.za/offers/javan</t>
        </is>
      </c>
      <c r="R348" s="115" t="n">
        <v>313.01</v>
      </c>
      <c r="S348" s="116" t="n">
        <v>4775</v>
      </c>
      <c r="T348" s="116" t="n">
        <v>2336</v>
      </c>
      <c r="U348" s="117">
        <f>IFERROR(S348/T348,"")</f>
        <v/>
      </c>
      <c r="V348" s="116" t="n">
        <v>78</v>
      </c>
      <c r="W348" s="116" t="n">
        <v>59</v>
      </c>
      <c r="X348" s="118">
        <f>IFERROR(W348/S348,"")</f>
        <v/>
      </c>
      <c r="Y348" s="115">
        <f>IFERROR(R348/W348,"")</f>
        <v/>
      </c>
      <c r="Z348" s="115">
        <f>IFERROR(R348/S348*1000,"")</f>
        <v/>
      </c>
      <c r="AA348" s="116" t="n">
        <v>50</v>
      </c>
      <c r="AB348" s="47">
        <f>IFERROR(AA348/W348,"")</f>
        <v/>
      </c>
      <c r="AC348" s="116" t="n">
        <v>0</v>
      </c>
      <c r="AD348" s="116" t="n">
        <v>0</v>
      </c>
      <c r="AE348" s="116" t="n">
        <v>0</v>
      </c>
      <c r="AF348" s="116" t="n">
        <v>0</v>
      </c>
      <c r="AG348" s="116" t="n">
        <v>0</v>
      </c>
      <c r="AH348" s="116" t="n">
        <v>0</v>
      </c>
      <c r="AI348" s="47">
        <f>IFERROR(AC348/S348,"")</f>
        <v/>
      </c>
      <c r="AJ348" s="47">
        <f>IFERROR(AH348/S348,"")</f>
        <v/>
      </c>
      <c r="AK348" s="116" t="n">
        <v>96</v>
      </c>
      <c r="AL348" s="116" t="n">
        <v>2</v>
      </c>
      <c r="AM348" s="118">
        <f>IFERROR(AL348/AA348,"")</f>
        <v/>
      </c>
      <c r="AN348" s="119">
        <f>IFERROR(R348/AL348,"")</f>
        <v/>
      </c>
      <c r="AO348" s="116" t="n">
        <v>1</v>
      </c>
      <c r="AP348" s="47">
        <f>IFERROR(AO348/AL348,"")</f>
        <v/>
      </c>
      <c r="AQ348" s="119">
        <f>IFERROR(R348/AO348,"")</f>
        <v/>
      </c>
      <c r="AR348" s="116" t="n">
        <v>1</v>
      </c>
      <c r="AS348" s="116" t="n">
        <v>1</v>
      </c>
      <c r="AT348" s="116">
        <f>AL348+AR348</f>
        <v/>
      </c>
      <c r="AU348" s="119">
        <f>IFERROR(AO348*Assumptions!$C$26*Assumptions!$C$27*INDEX(Assumptions!$C$18:$C$21,MATCH(H348,Assumptions!$B$18:$B$21,0)),0)</f>
        <v/>
      </c>
    </row>
    <row r="349">
      <c r="A349" s="114" t="n">
        <v>46263</v>
      </c>
      <c r="B349" s="42" t="inlineStr">
        <is>
          <t>Wk 35</t>
        </is>
      </c>
      <c r="C349" s="42" t="inlineStr">
        <is>
          <t>Sat</t>
        </is>
      </c>
      <c r="D349" s="42" t="inlineStr">
        <is>
          <t>Meta (FB/IG)</t>
        </is>
      </c>
      <c r="E349" s="42" t="inlineStr">
        <is>
          <t>Facebook + Instagram</t>
        </is>
      </c>
      <c r="F349" s="42" t="inlineStr">
        <is>
          <t>LEP_ZA_AUG26_META_TD_JAVAN_CONV</t>
        </is>
      </c>
      <c r="G349" s="42" t="inlineStr">
        <is>
          <t>Leads - Website Conversions</t>
        </is>
      </c>
      <c r="H349" s="42" t="inlineStr">
        <is>
          <t>JAVAN</t>
        </is>
      </c>
      <c r="I349" s="42" t="inlineStr">
        <is>
          <t>10% Deposit</t>
        </is>
      </c>
      <c r="J349" s="42" t="inlineStr">
        <is>
          <t>MET_JAVAN_LAL2_SITE_ZA</t>
        </is>
      </c>
      <c r="K349" s="42" t="inlineStr">
        <is>
          <t>Lookalike</t>
        </is>
      </c>
      <c r="L349" s="42" t="inlineStr">
        <is>
          <t>JAVAN_CAR_5card_Interior_v1</t>
        </is>
      </c>
      <c r="M349" s="42" t="inlineStr">
        <is>
          <t>Carousel</t>
        </is>
      </c>
      <c r="N349" s="42" t="inlineStr">
        <is>
          <t>Step inside the JAVAN</t>
        </is>
      </c>
      <c r="O349" s="42" t="inlineStr">
        <is>
          <t>Auction - Lowest Cost</t>
        </is>
      </c>
      <c r="P349" s="42" t="inlineStr">
        <is>
          <t>Offsite Conversions</t>
        </is>
      </c>
      <c r="Q349" s="42" t="inlineStr">
        <is>
          <t>https://www.lepas-sa.co.za/offers/javan</t>
        </is>
      </c>
      <c r="R349" s="115" t="n">
        <v>314.35</v>
      </c>
      <c r="S349" s="116" t="n">
        <v>3097</v>
      </c>
      <c r="T349" s="116" t="n">
        <v>1506</v>
      </c>
      <c r="U349" s="117">
        <f>IFERROR(S349/T349,"")</f>
        <v/>
      </c>
      <c r="V349" s="116" t="n">
        <v>59</v>
      </c>
      <c r="W349" s="116" t="n">
        <v>45</v>
      </c>
      <c r="X349" s="118">
        <f>IFERROR(W349/S349,"")</f>
        <v/>
      </c>
      <c r="Y349" s="115">
        <f>IFERROR(R349/W349,"")</f>
        <v/>
      </c>
      <c r="Z349" s="115">
        <f>IFERROR(R349/S349*1000,"")</f>
        <v/>
      </c>
      <c r="AA349" s="116" t="n">
        <v>39</v>
      </c>
      <c r="AB349" s="47">
        <f>IFERROR(AA349/W349,"")</f>
        <v/>
      </c>
      <c r="AC349" s="116" t="n">
        <v>0</v>
      </c>
      <c r="AD349" s="116" t="n">
        <v>0</v>
      </c>
      <c r="AE349" s="116" t="n">
        <v>0</v>
      </c>
      <c r="AF349" s="116" t="n">
        <v>0</v>
      </c>
      <c r="AG349" s="116" t="n">
        <v>0</v>
      </c>
      <c r="AH349" s="116" t="n">
        <v>0</v>
      </c>
      <c r="AI349" s="47">
        <f>IFERROR(AC349/S349,"")</f>
        <v/>
      </c>
      <c r="AJ349" s="47">
        <f>IFERROR(AH349/S349,"")</f>
        <v/>
      </c>
      <c r="AK349" s="116" t="n">
        <v>78</v>
      </c>
      <c r="AL349" s="116" t="n">
        <v>1</v>
      </c>
      <c r="AM349" s="118">
        <f>IFERROR(AL349/AA349,"")</f>
        <v/>
      </c>
      <c r="AN349" s="119">
        <f>IFERROR(R349/AL349,"")</f>
        <v/>
      </c>
      <c r="AO349" s="116" t="n">
        <v>1</v>
      </c>
      <c r="AP349" s="47">
        <f>IFERROR(AO349/AL349,"")</f>
        <v/>
      </c>
      <c r="AQ349" s="119">
        <f>IFERROR(R349/AO349,"")</f>
        <v/>
      </c>
      <c r="AR349" s="116" t="n">
        <v>1</v>
      </c>
      <c r="AS349" s="116" t="n">
        <v>1</v>
      </c>
      <c r="AT349" s="116">
        <f>AL349+AR349</f>
        <v/>
      </c>
      <c r="AU349" s="119">
        <f>IFERROR(AO349*Assumptions!$C$26*Assumptions!$C$27*INDEX(Assumptions!$C$18:$C$21,MATCH(H349,Assumptions!$B$18:$B$21,0)),0)</f>
        <v/>
      </c>
    </row>
    <row r="350">
      <c r="A350" s="114" t="n">
        <v>46264</v>
      </c>
      <c r="B350" s="42" t="inlineStr">
        <is>
          <t>Wk 35</t>
        </is>
      </c>
      <c r="C350" s="42" t="inlineStr">
        <is>
          <t>Sun</t>
        </is>
      </c>
      <c r="D350" s="42" t="inlineStr">
        <is>
          <t>Meta (FB/IG)</t>
        </is>
      </c>
      <c r="E350" s="42" t="inlineStr">
        <is>
          <t>Facebook + Instagram</t>
        </is>
      </c>
      <c r="F350" s="42" t="inlineStr">
        <is>
          <t>LEP_ZA_AUG26_META_TD_JAVAN_CONV</t>
        </is>
      </c>
      <c r="G350" s="42" t="inlineStr">
        <is>
          <t>Leads - Website Conversions</t>
        </is>
      </c>
      <c r="H350" s="42" t="inlineStr">
        <is>
          <t>JAVAN</t>
        </is>
      </c>
      <c r="I350" s="42" t="inlineStr">
        <is>
          <t>10% Deposit</t>
        </is>
      </c>
      <c r="J350" s="42" t="inlineStr">
        <is>
          <t>MET_JAVAN_LAL2_SITE_ZA</t>
        </is>
      </c>
      <c r="K350" s="42" t="inlineStr">
        <is>
          <t>Lookalike</t>
        </is>
      </c>
      <c r="L350" s="42" t="inlineStr">
        <is>
          <t>JAVAN_CAR_5card_Interior_v1</t>
        </is>
      </c>
      <c r="M350" s="42" t="inlineStr">
        <is>
          <t>Carousel</t>
        </is>
      </c>
      <c r="N350" s="42" t="inlineStr">
        <is>
          <t>Step inside the JAVAN</t>
        </is>
      </c>
      <c r="O350" s="42" t="inlineStr">
        <is>
          <t>Auction - Lowest Cost</t>
        </is>
      </c>
      <c r="P350" s="42" t="inlineStr">
        <is>
          <t>Offsite Conversions</t>
        </is>
      </c>
      <c r="Q350" s="42" t="inlineStr">
        <is>
          <t>https://www.lepas-sa.co.za/offers/javan</t>
        </is>
      </c>
      <c r="R350" s="115" t="n">
        <v>199.92</v>
      </c>
      <c r="S350" s="116" t="n">
        <v>2264</v>
      </c>
      <c r="T350" s="116" t="n">
        <v>1245</v>
      </c>
      <c r="U350" s="117">
        <f>IFERROR(S350/T350,"")</f>
        <v/>
      </c>
      <c r="V350" s="116" t="n">
        <v>37</v>
      </c>
      <c r="W350" s="116" t="n">
        <v>30</v>
      </c>
      <c r="X350" s="118">
        <f>IFERROR(W350/S350,"")</f>
        <v/>
      </c>
      <c r="Y350" s="115">
        <f>IFERROR(R350/W350,"")</f>
        <v/>
      </c>
      <c r="Z350" s="115">
        <f>IFERROR(R350/S350*1000,"")</f>
        <v/>
      </c>
      <c r="AA350" s="116" t="n">
        <v>24</v>
      </c>
      <c r="AB350" s="47">
        <f>IFERROR(AA350/W350,"")</f>
        <v/>
      </c>
      <c r="AC350" s="116" t="n">
        <v>0</v>
      </c>
      <c r="AD350" s="116" t="n">
        <v>0</v>
      </c>
      <c r="AE350" s="116" t="n">
        <v>0</v>
      </c>
      <c r="AF350" s="116" t="n">
        <v>0</v>
      </c>
      <c r="AG350" s="116" t="n">
        <v>0</v>
      </c>
      <c r="AH350" s="116" t="n">
        <v>0</v>
      </c>
      <c r="AI350" s="47">
        <f>IFERROR(AC350/S350,"")</f>
        <v/>
      </c>
      <c r="AJ350" s="47">
        <f>IFERROR(AH350/S350,"")</f>
        <v/>
      </c>
      <c r="AK350" s="116" t="n">
        <v>36</v>
      </c>
      <c r="AL350" s="116" t="n">
        <v>0</v>
      </c>
      <c r="AM350" s="118">
        <f>IFERROR(AL350/AA350,"")</f>
        <v/>
      </c>
      <c r="AN350" s="119">
        <f>IFERROR(R350/AL350,"")</f>
        <v/>
      </c>
      <c r="AO350" s="116" t="n">
        <v>0</v>
      </c>
      <c r="AP350" s="47">
        <f>IFERROR(AO350/AL350,"")</f>
        <v/>
      </c>
      <c r="AQ350" s="119">
        <f>IFERROR(R350/AO350,"")</f>
        <v/>
      </c>
      <c r="AR350" s="116" t="n">
        <v>0</v>
      </c>
      <c r="AS350" s="116" t="n">
        <v>0</v>
      </c>
      <c r="AT350" s="116">
        <f>AL350+AR350</f>
        <v/>
      </c>
      <c r="AU350" s="119">
        <f>IFERROR(AO350*Assumptions!$C$26*Assumptions!$C$27*INDEX(Assumptions!$C$18:$C$21,MATCH(H350,Assumptions!$B$18:$B$21,0)),0)</f>
        <v/>
      </c>
    </row>
    <row r="351">
      <c r="A351" s="114" t="n">
        <v>46265</v>
      </c>
      <c r="B351" s="42" t="inlineStr">
        <is>
          <t>Wk 36</t>
        </is>
      </c>
      <c r="C351" s="42" t="inlineStr">
        <is>
          <t>Mon</t>
        </is>
      </c>
      <c r="D351" s="42" t="inlineStr">
        <is>
          <t>Meta (FB/IG)</t>
        </is>
      </c>
      <c r="E351" s="42" t="inlineStr">
        <is>
          <t>Facebook + Instagram</t>
        </is>
      </c>
      <c r="F351" s="42" t="inlineStr">
        <is>
          <t>LEP_ZA_AUG26_META_TD_JAVAN_CONV</t>
        </is>
      </c>
      <c r="G351" s="42" t="inlineStr">
        <is>
          <t>Leads - Website Conversions</t>
        </is>
      </c>
      <c r="H351" s="42" t="inlineStr">
        <is>
          <t>JAVAN</t>
        </is>
      </c>
      <c r="I351" s="42" t="inlineStr">
        <is>
          <t>10% Deposit</t>
        </is>
      </c>
      <c r="J351" s="42" t="inlineStr">
        <is>
          <t>MET_JAVAN_LAL2_SITE_ZA</t>
        </is>
      </c>
      <c r="K351" s="42" t="inlineStr">
        <is>
          <t>Lookalike</t>
        </is>
      </c>
      <c r="L351" s="42" t="inlineStr">
        <is>
          <t>JAVAN_CAR_5card_Interior_v1</t>
        </is>
      </c>
      <c r="M351" s="42" t="inlineStr">
        <is>
          <t>Carousel</t>
        </is>
      </c>
      <c r="N351" s="42" t="inlineStr">
        <is>
          <t>Step inside the JAVAN</t>
        </is>
      </c>
      <c r="O351" s="42" t="inlineStr">
        <is>
          <t>Auction - Lowest Cost</t>
        </is>
      </c>
      <c r="P351" s="42" t="inlineStr">
        <is>
          <t>Offsite Conversions</t>
        </is>
      </c>
      <c r="Q351" s="42" t="inlineStr">
        <is>
          <t>https://www.lepas-sa.co.za/offers/javan</t>
        </is>
      </c>
      <c r="R351" s="115" t="n">
        <v>221.28</v>
      </c>
      <c r="S351" s="116" t="n">
        <v>2936</v>
      </c>
      <c r="T351" s="116" t="n">
        <v>1470</v>
      </c>
      <c r="U351" s="117">
        <f>IFERROR(S351/T351,"")</f>
        <v/>
      </c>
      <c r="V351" s="116" t="n">
        <v>64</v>
      </c>
      <c r="W351" s="116" t="n">
        <v>47</v>
      </c>
      <c r="X351" s="118">
        <f>IFERROR(W351/S351,"")</f>
        <v/>
      </c>
      <c r="Y351" s="115">
        <f>IFERROR(R351/W351,"")</f>
        <v/>
      </c>
      <c r="Z351" s="115">
        <f>IFERROR(R351/S351*1000,"")</f>
        <v/>
      </c>
      <c r="AA351" s="116" t="n">
        <v>42</v>
      </c>
      <c r="AB351" s="47">
        <f>IFERROR(AA351/W351,"")</f>
        <v/>
      </c>
      <c r="AC351" s="116" t="n">
        <v>0</v>
      </c>
      <c r="AD351" s="116" t="n">
        <v>0</v>
      </c>
      <c r="AE351" s="116" t="n">
        <v>0</v>
      </c>
      <c r="AF351" s="116" t="n">
        <v>0</v>
      </c>
      <c r="AG351" s="116" t="n">
        <v>0</v>
      </c>
      <c r="AH351" s="116" t="n">
        <v>0</v>
      </c>
      <c r="AI351" s="47">
        <f>IFERROR(AC351/S351,"")</f>
        <v/>
      </c>
      <c r="AJ351" s="47">
        <f>IFERROR(AH351/S351,"")</f>
        <v/>
      </c>
      <c r="AK351" s="116" t="n">
        <v>72</v>
      </c>
      <c r="AL351" s="116" t="n">
        <v>1</v>
      </c>
      <c r="AM351" s="118">
        <f>IFERROR(AL351/AA351,"")</f>
        <v/>
      </c>
      <c r="AN351" s="119">
        <f>IFERROR(R351/AL351,"")</f>
        <v/>
      </c>
      <c r="AO351" s="116" t="n">
        <v>0</v>
      </c>
      <c r="AP351" s="47">
        <f>IFERROR(AO351/AL351,"")</f>
        <v/>
      </c>
      <c r="AQ351" s="119">
        <f>IFERROR(R351/AO351,"")</f>
        <v/>
      </c>
      <c r="AR351" s="116" t="n">
        <v>0</v>
      </c>
      <c r="AS351" s="116" t="n">
        <v>0</v>
      </c>
      <c r="AT351" s="116">
        <f>AL351+AR351</f>
        <v/>
      </c>
      <c r="AU351" s="119">
        <f>IFERROR(AO351*Assumptions!$C$26*Assumptions!$C$27*INDEX(Assumptions!$C$18:$C$21,MATCH(H351,Assumptions!$B$18:$B$21,0)),0)</f>
        <v/>
      </c>
    </row>
    <row r="352">
      <c r="A352" s="114" t="n">
        <v>46235</v>
      </c>
      <c r="B352" s="42" t="inlineStr">
        <is>
          <t>Wk 31</t>
        </is>
      </c>
      <c r="C352" s="42" t="inlineStr">
        <is>
          <t>Sat</t>
        </is>
      </c>
      <c r="D352" s="42" t="inlineStr">
        <is>
          <t>Meta (FB/IG)</t>
        </is>
      </c>
      <c r="E352" s="42" t="inlineStr">
        <is>
          <t>Facebook + Instagram</t>
        </is>
      </c>
      <c r="F352" s="42" t="inlineStr">
        <is>
          <t>LEP_ZA_AUG26_META_TD_JAVAN_CONV</t>
        </is>
      </c>
      <c r="G352" s="42" t="inlineStr">
        <is>
          <t>Leads - Website Conversions</t>
        </is>
      </c>
      <c r="H352" s="42" t="inlineStr">
        <is>
          <t>JAVAN</t>
        </is>
      </c>
      <c r="I352" s="42" t="inlineStr">
        <is>
          <t>10% Deposit</t>
        </is>
      </c>
      <c r="J352" s="42" t="inlineStr">
        <is>
          <t>MET_JAVAN_LAL2_SITE_ZA</t>
        </is>
      </c>
      <c r="K352" s="42" t="inlineStr">
        <is>
          <t>Lookalike</t>
        </is>
      </c>
      <c r="L352" s="42" t="inlineStr">
        <is>
          <t>JAVAN_STA_Offer_10Dep_v1</t>
        </is>
      </c>
      <c r="M352" s="42" t="inlineStr">
        <is>
          <t>Static 1:1</t>
        </is>
      </c>
      <c r="N352" s="42" t="inlineStr">
        <is>
          <t>R4 299pm. 10% deposit.</t>
        </is>
      </c>
      <c r="O352" s="42" t="inlineStr">
        <is>
          <t>Auction - Lowest Cost</t>
        </is>
      </c>
      <c r="P352" s="42" t="inlineStr">
        <is>
          <t>Offsite Conversions</t>
        </is>
      </c>
      <c r="Q352" s="42" t="inlineStr">
        <is>
          <t>https://www.lepas-sa.co.za/offers/javan</t>
        </is>
      </c>
      <c r="R352" s="115" t="n">
        <v>148.35</v>
      </c>
      <c r="S352" s="116" t="n">
        <v>2508</v>
      </c>
      <c r="T352" s="116" t="n">
        <v>2200</v>
      </c>
      <c r="U352" s="117">
        <f>IFERROR(S352/T352,"")</f>
        <v/>
      </c>
      <c r="V352" s="116" t="n">
        <v>86</v>
      </c>
      <c r="W352" s="116" t="n">
        <v>64</v>
      </c>
      <c r="X352" s="118">
        <f>IFERROR(W352/S352,"")</f>
        <v/>
      </c>
      <c r="Y352" s="115">
        <f>IFERROR(R352/W352,"")</f>
        <v/>
      </c>
      <c r="Z352" s="115">
        <f>IFERROR(R352/S352*1000,"")</f>
        <v/>
      </c>
      <c r="AA352" s="116" t="n">
        <v>56</v>
      </c>
      <c r="AB352" s="47">
        <f>IFERROR(AA352/W352,"")</f>
        <v/>
      </c>
      <c r="AC352" s="116" t="n">
        <v>0</v>
      </c>
      <c r="AD352" s="116" t="n">
        <v>0</v>
      </c>
      <c r="AE352" s="116" t="n">
        <v>0</v>
      </c>
      <c r="AF352" s="116" t="n">
        <v>0</v>
      </c>
      <c r="AG352" s="116" t="n">
        <v>0</v>
      </c>
      <c r="AH352" s="116" t="n">
        <v>0</v>
      </c>
      <c r="AI352" s="47">
        <f>IFERROR(AC352/S352,"")</f>
        <v/>
      </c>
      <c r="AJ352" s="47">
        <f>IFERROR(AH352/S352,"")</f>
        <v/>
      </c>
      <c r="AK352" s="116" t="n">
        <v>55</v>
      </c>
      <c r="AL352" s="116" t="n">
        <v>2</v>
      </c>
      <c r="AM352" s="118">
        <f>IFERROR(AL352/AA352,"")</f>
        <v/>
      </c>
      <c r="AN352" s="119">
        <f>IFERROR(R352/AL352,"")</f>
        <v/>
      </c>
      <c r="AO352" s="116" t="n">
        <v>1</v>
      </c>
      <c r="AP352" s="47">
        <f>IFERROR(AO352/AL352,"")</f>
        <v/>
      </c>
      <c r="AQ352" s="119">
        <f>IFERROR(R352/AO352,"")</f>
        <v/>
      </c>
      <c r="AR352" s="116" t="n">
        <v>0</v>
      </c>
      <c r="AS352" s="116" t="n">
        <v>0</v>
      </c>
      <c r="AT352" s="116">
        <f>AL352+AR352</f>
        <v/>
      </c>
      <c r="AU352" s="119">
        <f>IFERROR(AO352*Assumptions!$C$26*Assumptions!$C$27*INDEX(Assumptions!$C$18:$C$21,MATCH(H352,Assumptions!$B$18:$B$21,0)),0)</f>
        <v/>
      </c>
    </row>
    <row r="353">
      <c r="A353" s="114" t="n">
        <v>46236</v>
      </c>
      <c r="B353" s="42" t="inlineStr">
        <is>
          <t>Wk 31</t>
        </is>
      </c>
      <c r="C353" s="42" t="inlineStr">
        <is>
          <t>Sun</t>
        </is>
      </c>
      <c r="D353" s="42" t="inlineStr">
        <is>
          <t>Meta (FB/IG)</t>
        </is>
      </c>
      <c r="E353" s="42" t="inlineStr">
        <is>
          <t>Facebook + Instagram</t>
        </is>
      </c>
      <c r="F353" s="42" t="inlineStr">
        <is>
          <t>LEP_ZA_AUG26_META_TD_JAVAN_CONV</t>
        </is>
      </c>
      <c r="G353" s="42" t="inlineStr">
        <is>
          <t>Leads - Website Conversions</t>
        </is>
      </c>
      <c r="H353" s="42" t="inlineStr">
        <is>
          <t>JAVAN</t>
        </is>
      </c>
      <c r="I353" s="42" t="inlineStr">
        <is>
          <t>10% Deposit</t>
        </is>
      </c>
      <c r="J353" s="42" t="inlineStr">
        <is>
          <t>MET_JAVAN_LAL2_SITE_ZA</t>
        </is>
      </c>
      <c r="K353" s="42" t="inlineStr">
        <is>
          <t>Lookalike</t>
        </is>
      </c>
      <c r="L353" s="42" t="inlineStr">
        <is>
          <t>JAVAN_STA_Offer_10Dep_v1</t>
        </is>
      </c>
      <c r="M353" s="42" t="inlineStr">
        <is>
          <t>Static 1:1</t>
        </is>
      </c>
      <c r="N353" s="42" t="inlineStr">
        <is>
          <t>R4 299pm. 10% deposit.</t>
        </is>
      </c>
      <c r="O353" s="42" t="inlineStr">
        <is>
          <t>Auction - Lowest Cost</t>
        </is>
      </c>
      <c r="P353" s="42" t="inlineStr">
        <is>
          <t>Offsite Conversions</t>
        </is>
      </c>
      <c r="Q353" s="42" t="inlineStr">
        <is>
          <t>https://www.lepas-sa.co.za/offers/javan</t>
        </is>
      </c>
      <c r="R353" s="115" t="n">
        <v>132.96</v>
      </c>
      <c r="S353" s="116" t="n">
        <v>1455</v>
      </c>
      <c r="T353" s="116" t="n">
        <v>1250</v>
      </c>
      <c r="U353" s="117">
        <f>IFERROR(S353/T353,"")</f>
        <v/>
      </c>
      <c r="V353" s="116" t="n">
        <v>35</v>
      </c>
      <c r="W353" s="116" t="n">
        <v>27</v>
      </c>
      <c r="X353" s="118">
        <f>IFERROR(W353/S353,"")</f>
        <v/>
      </c>
      <c r="Y353" s="115">
        <f>IFERROR(R353/W353,"")</f>
        <v/>
      </c>
      <c r="Z353" s="115">
        <f>IFERROR(R353/S353*1000,"")</f>
        <v/>
      </c>
      <c r="AA353" s="116" t="n">
        <v>24</v>
      </c>
      <c r="AB353" s="47">
        <f>IFERROR(AA353/W353,"")</f>
        <v/>
      </c>
      <c r="AC353" s="116" t="n">
        <v>0</v>
      </c>
      <c r="AD353" s="116" t="n">
        <v>0</v>
      </c>
      <c r="AE353" s="116" t="n">
        <v>0</v>
      </c>
      <c r="AF353" s="116" t="n">
        <v>0</v>
      </c>
      <c r="AG353" s="116" t="n">
        <v>0</v>
      </c>
      <c r="AH353" s="116" t="n">
        <v>0</v>
      </c>
      <c r="AI353" s="47">
        <f>IFERROR(AC353/S353,"")</f>
        <v/>
      </c>
      <c r="AJ353" s="47">
        <f>IFERROR(AH353/S353,"")</f>
        <v/>
      </c>
      <c r="AK353" s="116" t="n">
        <v>15</v>
      </c>
      <c r="AL353" s="116" t="n">
        <v>0</v>
      </c>
      <c r="AM353" s="118">
        <f>IFERROR(AL353/AA353,"")</f>
        <v/>
      </c>
      <c r="AN353" s="119">
        <f>IFERROR(R353/AL353,"")</f>
        <v/>
      </c>
      <c r="AO353" s="116" t="n">
        <v>0</v>
      </c>
      <c r="AP353" s="47">
        <f>IFERROR(AO353/AL353,"")</f>
        <v/>
      </c>
      <c r="AQ353" s="119">
        <f>IFERROR(R353/AO353,"")</f>
        <v/>
      </c>
      <c r="AR353" s="116" t="n">
        <v>0</v>
      </c>
      <c r="AS353" s="116" t="n">
        <v>0</v>
      </c>
      <c r="AT353" s="116">
        <f>AL353+AR353</f>
        <v/>
      </c>
      <c r="AU353" s="119">
        <f>IFERROR(AO353*Assumptions!$C$26*Assumptions!$C$27*INDEX(Assumptions!$C$18:$C$21,MATCH(H353,Assumptions!$B$18:$B$21,0)),0)</f>
        <v/>
      </c>
    </row>
    <row r="354">
      <c r="A354" s="114" t="n">
        <v>46237</v>
      </c>
      <c r="B354" s="42" t="inlineStr">
        <is>
          <t>Wk 32</t>
        </is>
      </c>
      <c r="C354" s="42" t="inlineStr">
        <is>
          <t>Mon</t>
        </is>
      </c>
      <c r="D354" s="42" t="inlineStr">
        <is>
          <t>Meta (FB/IG)</t>
        </is>
      </c>
      <c r="E354" s="42" t="inlineStr">
        <is>
          <t>Facebook + Instagram</t>
        </is>
      </c>
      <c r="F354" s="42" t="inlineStr">
        <is>
          <t>LEP_ZA_AUG26_META_TD_JAVAN_CONV</t>
        </is>
      </c>
      <c r="G354" s="42" t="inlineStr">
        <is>
          <t>Leads - Website Conversions</t>
        </is>
      </c>
      <c r="H354" s="42" t="inlineStr">
        <is>
          <t>JAVAN</t>
        </is>
      </c>
      <c r="I354" s="42" t="inlineStr">
        <is>
          <t>10% Deposit</t>
        </is>
      </c>
      <c r="J354" s="42" t="inlineStr">
        <is>
          <t>MET_JAVAN_LAL2_SITE_ZA</t>
        </is>
      </c>
      <c r="K354" s="42" t="inlineStr">
        <is>
          <t>Lookalike</t>
        </is>
      </c>
      <c r="L354" s="42" t="inlineStr">
        <is>
          <t>JAVAN_STA_Offer_10Dep_v1</t>
        </is>
      </c>
      <c r="M354" s="42" t="inlineStr">
        <is>
          <t>Static 1:1</t>
        </is>
      </c>
      <c r="N354" s="42" t="inlineStr">
        <is>
          <t>R4 299pm. 10% deposit.</t>
        </is>
      </c>
      <c r="O354" s="42" t="inlineStr">
        <is>
          <t>Auction - Lowest Cost</t>
        </is>
      </c>
      <c r="P354" s="42" t="inlineStr">
        <is>
          <t>Offsite Conversions</t>
        </is>
      </c>
      <c r="Q354" s="42" t="inlineStr">
        <is>
          <t>https://www.lepas-sa.co.za/offers/javan</t>
        </is>
      </c>
      <c r="R354" s="115" t="n">
        <v>122.28</v>
      </c>
      <c r="S354" s="116" t="n">
        <v>1210</v>
      </c>
      <c r="T354" s="116" t="n">
        <v>810</v>
      </c>
      <c r="U354" s="117">
        <f>IFERROR(S354/T354,"")</f>
        <v/>
      </c>
      <c r="V354" s="116" t="n">
        <v>22</v>
      </c>
      <c r="W354" s="116" t="n">
        <v>16</v>
      </c>
      <c r="X354" s="118">
        <f>IFERROR(W354/S354,"")</f>
        <v/>
      </c>
      <c r="Y354" s="115">
        <f>IFERROR(R354/W354,"")</f>
        <v/>
      </c>
      <c r="Z354" s="115">
        <f>IFERROR(R354/S354*1000,"")</f>
        <v/>
      </c>
      <c r="AA354" s="116" t="n">
        <v>13</v>
      </c>
      <c r="AB354" s="47">
        <f>IFERROR(AA354/W354,"")</f>
        <v/>
      </c>
      <c r="AC354" s="116" t="n">
        <v>0</v>
      </c>
      <c r="AD354" s="116" t="n">
        <v>0</v>
      </c>
      <c r="AE354" s="116" t="n">
        <v>0</v>
      </c>
      <c r="AF354" s="116" t="n">
        <v>0</v>
      </c>
      <c r="AG354" s="116" t="n">
        <v>0</v>
      </c>
      <c r="AH354" s="116" t="n">
        <v>0</v>
      </c>
      <c r="AI354" s="47">
        <f>IFERROR(AC354/S354,"")</f>
        <v/>
      </c>
      <c r="AJ354" s="47">
        <f>IFERROR(AH354/S354,"")</f>
        <v/>
      </c>
      <c r="AK354" s="116" t="n">
        <v>12</v>
      </c>
      <c r="AL354" s="116" t="n">
        <v>0</v>
      </c>
      <c r="AM354" s="118">
        <f>IFERROR(AL354/AA354,"")</f>
        <v/>
      </c>
      <c r="AN354" s="119">
        <f>IFERROR(R354/AL354,"")</f>
        <v/>
      </c>
      <c r="AO354" s="116" t="n">
        <v>0</v>
      </c>
      <c r="AP354" s="47">
        <f>IFERROR(AO354/AL354,"")</f>
        <v/>
      </c>
      <c r="AQ354" s="119">
        <f>IFERROR(R354/AO354,"")</f>
        <v/>
      </c>
      <c r="AR354" s="116" t="n">
        <v>0</v>
      </c>
      <c r="AS354" s="116" t="n">
        <v>0</v>
      </c>
      <c r="AT354" s="116">
        <f>AL354+AR354</f>
        <v/>
      </c>
      <c r="AU354" s="119">
        <f>IFERROR(AO354*Assumptions!$C$26*Assumptions!$C$27*INDEX(Assumptions!$C$18:$C$21,MATCH(H354,Assumptions!$B$18:$B$21,0)),0)</f>
        <v/>
      </c>
    </row>
    <row r="355">
      <c r="A355" s="114" t="n">
        <v>46238</v>
      </c>
      <c r="B355" s="42" t="inlineStr">
        <is>
          <t>Wk 32</t>
        </is>
      </c>
      <c r="C355" s="42" t="inlineStr">
        <is>
          <t>Tue</t>
        </is>
      </c>
      <c r="D355" s="42" t="inlineStr">
        <is>
          <t>Meta (FB/IG)</t>
        </is>
      </c>
      <c r="E355" s="42" t="inlineStr">
        <is>
          <t>Facebook + Instagram</t>
        </is>
      </c>
      <c r="F355" s="42" t="inlineStr">
        <is>
          <t>LEP_ZA_AUG26_META_TD_JAVAN_CONV</t>
        </is>
      </c>
      <c r="G355" s="42" t="inlineStr">
        <is>
          <t>Leads - Website Conversions</t>
        </is>
      </c>
      <c r="H355" s="42" t="inlineStr">
        <is>
          <t>JAVAN</t>
        </is>
      </c>
      <c r="I355" s="42" t="inlineStr">
        <is>
          <t>10% Deposit</t>
        </is>
      </c>
      <c r="J355" s="42" t="inlineStr">
        <is>
          <t>MET_JAVAN_LAL2_SITE_ZA</t>
        </is>
      </c>
      <c r="K355" s="42" t="inlineStr">
        <is>
          <t>Lookalike</t>
        </is>
      </c>
      <c r="L355" s="42" t="inlineStr">
        <is>
          <t>JAVAN_STA_Offer_10Dep_v1</t>
        </is>
      </c>
      <c r="M355" s="42" t="inlineStr">
        <is>
          <t>Static 1:1</t>
        </is>
      </c>
      <c r="N355" s="42" t="inlineStr">
        <is>
          <t>R4 299pm. 10% deposit.</t>
        </is>
      </c>
      <c r="O355" s="42" t="inlineStr">
        <is>
          <t>Auction - Lowest Cost</t>
        </is>
      </c>
      <c r="P355" s="42" t="inlineStr">
        <is>
          <t>Offsite Conversions</t>
        </is>
      </c>
      <c r="Q355" s="42" t="inlineStr">
        <is>
          <t>https://www.lepas-sa.co.za/offers/javan</t>
        </is>
      </c>
      <c r="R355" s="115" t="n">
        <v>176.86</v>
      </c>
      <c r="S355" s="116" t="n">
        <v>2861</v>
      </c>
      <c r="T355" s="116" t="n">
        <v>1885</v>
      </c>
      <c r="U355" s="117">
        <f>IFERROR(S355/T355,"")</f>
        <v/>
      </c>
      <c r="V355" s="116" t="n">
        <v>38</v>
      </c>
      <c r="W355" s="116" t="n">
        <v>30</v>
      </c>
      <c r="X355" s="118">
        <f>IFERROR(W355/S355,"")</f>
        <v/>
      </c>
      <c r="Y355" s="115">
        <f>IFERROR(R355/W355,"")</f>
        <v/>
      </c>
      <c r="Z355" s="115">
        <f>IFERROR(R355/S355*1000,"")</f>
        <v/>
      </c>
      <c r="AA355" s="116" t="n">
        <v>24</v>
      </c>
      <c r="AB355" s="47">
        <f>IFERROR(AA355/W355,"")</f>
        <v/>
      </c>
      <c r="AC355" s="116" t="n">
        <v>0</v>
      </c>
      <c r="AD355" s="116" t="n">
        <v>0</v>
      </c>
      <c r="AE355" s="116" t="n">
        <v>0</v>
      </c>
      <c r="AF355" s="116" t="n">
        <v>0</v>
      </c>
      <c r="AG355" s="116" t="n">
        <v>0</v>
      </c>
      <c r="AH355" s="116" t="n">
        <v>0</v>
      </c>
      <c r="AI355" s="47">
        <f>IFERROR(AC355/S355,"")</f>
        <v/>
      </c>
      <c r="AJ355" s="47">
        <f>IFERROR(AH355/S355,"")</f>
        <v/>
      </c>
      <c r="AK355" s="116" t="n">
        <v>93</v>
      </c>
      <c r="AL355" s="116" t="n">
        <v>0</v>
      </c>
      <c r="AM355" s="118">
        <f>IFERROR(AL355/AA355,"")</f>
        <v/>
      </c>
      <c r="AN355" s="119">
        <f>IFERROR(R355/AL355,"")</f>
        <v/>
      </c>
      <c r="AO355" s="116" t="n">
        <v>0</v>
      </c>
      <c r="AP355" s="47">
        <f>IFERROR(AO355/AL355,"")</f>
        <v/>
      </c>
      <c r="AQ355" s="119">
        <f>IFERROR(R355/AO355,"")</f>
        <v/>
      </c>
      <c r="AR355" s="116" t="n">
        <v>0</v>
      </c>
      <c r="AS355" s="116" t="n">
        <v>0</v>
      </c>
      <c r="AT355" s="116">
        <f>AL355+AR355</f>
        <v/>
      </c>
      <c r="AU355" s="119">
        <f>IFERROR(AO355*Assumptions!$C$26*Assumptions!$C$27*INDEX(Assumptions!$C$18:$C$21,MATCH(H355,Assumptions!$B$18:$B$21,0)),0)</f>
        <v/>
      </c>
    </row>
    <row r="356">
      <c r="A356" s="114" t="n">
        <v>46239</v>
      </c>
      <c r="B356" s="42" t="inlineStr">
        <is>
          <t>Wk 32</t>
        </is>
      </c>
      <c r="C356" s="42" t="inlineStr">
        <is>
          <t>Wed</t>
        </is>
      </c>
      <c r="D356" s="42" t="inlineStr">
        <is>
          <t>Meta (FB/IG)</t>
        </is>
      </c>
      <c r="E356" s="42" t="inlineStr">
        <is>
          <t>Facebook + Instagram</t>
        </is>
      </c>
      <c r="F356" s="42" t="inlineStr">
        <is>
          <t>LEP_ZA_AUG26_META_TD_JAVAN_CONV</t>
        </is>
      </c>
      <c r="G356" s="42" t="inlineStr">
        <is>
          <t>Leads - Website Conversions</t>
        </is>
      </c>
      <c r="H356" s="42" t="inlineStr">
        <is>
          <t>JAVAN</t>
        </is>
      </c>
      <c r="I356" s="42" t="inlineStr">
        <is>
          <t>10% Deposit</t>
        </is>
      </c>
      <c r="J356" s="42" t="inlineStr">
        <is>
          <t>MET_JAVAN_LAL2_SITE_ZA</t>
        </is>
      </c>
      <c r="K356" s="42" t="inlineStr">
        <is>
          <t>Lookalike</t>
        </is>
      </c>
      <c r="L356" s="42" t="inlineStr">
        <is>
          <t>JAVAN_STA_Offer_10Dep_v1</t>
        </is>
      </c>
      <c r="M356" s="42" t="inlineStr">
        <is>
          <t>Static 1:1</t>
        </is>
      </c>
      <c r="N356" s="42" t="inlineStr">
        <is>
          <t>R4 299pm. 10% deposit.</t>
        </is>
      </c>
      <c r="O356" s="42" t="inlineStr">
        <is>
          <t>Auction - Lowest Cost</t>
        </is>
      </c>
      <c r="P356" s="42" t="inlineStr">
        <is>
          <t>Offsite Conversions</t>
        </is>
      </c>
      <c r="Q356" s="42" t="inlineStr">
        <is>
          <t>https://www.lepas-sa.co.za/offers/javan</t>
        </is>
      </c>
      <c r="R356" s="115" t="n">
        <v>192.2</v>
      </c>
      <c r="S356" s="116" t="n">
        <v>2141</v>
      </c>
      <c r="T356" s="116" t="n">
        <v>1371</v>
      </c>
      <c r="U356" s="117">
        <f>IFERROR(S356/T356,"")</f>
        <v/>
      </c>
      <c r="V356" s="116" t="n">
        <v>53</v>
      </c>
      <c r="W356" s="116" t="n">
        <v>43</v>
      </c>
      <c r="X356" s="118">
        <f>IFERROR(W356/S356,"")</f>
        <v/>
      </c>
      <c r="Y356" s="115">
        <f>IFERROR(R356/W356,"")</f>
        <v/>
      </c>
      <c r="Z356" s="115">
        <f>IFERROR(R356/S356*1000,"")</f>
        <v/>
      </c>
      <c r="AA356" s="116" t="n">
        <v>37</v>
      </c>
      <c r="AB356" s="47">
        <f>IFERROR(AA356/W356,"")</f>
        <v/>
      </c>
      <c r="AC356" s="116" t="n">
        <v>0</v>
      </c>
      <c r="AD356" s="116" t="n">
        <v>0</v>
      </c>
      <c r="AE356" s="116" t="n">
        <v>0</v>
      </c>
      <c r="AF356" s="116" t="n">
        <v>0</v>
      </c>
      <c r="AG356" s="116" t="n">
        <v>0</v>
      </c>
      <c r="AH356" s="116" t="n">
        <v>0</v>
      </c>
      <c r="AI356" s="47">
        <f>IFERROR(AC356/S356,"")</f>
        <v/>
      </c>
      <c r="AJ356" s="47">
        <f>IFERROR(AH356/S356,"")</f>
        <v/>
      </c>
      <c r="AK356" s="116" t="n">
        <v>73</v>
      </c>
      <c r="AL356" s="116" t="n">
        <v>1</v>
      </c>
      <c r="AM356" s="118">
        <f>IFERROR(AL356/AA356,"")</f>
        <v/>
      </c>
      <c r="AN356" s="119">
        <f>IFERROR(R356/AL356,"")</f>
        <v/>
      </c>
      <c r="AO356" s="116" t="n">
        <v>1</v>
      </c>
      <c r="AP356" s="47">
        <f>IFERROR(AO356/AL356,"")</f>
        <v/>
      </c>
      <c r="AQ356" s="119">
        <f>IFERROR(R356/AO356,"")</f>
        <v/>
      </c>
      <c r="AR356" s="116" t="n">
        <v>0</v>
      </c>
      <c r="AS356" s="116" t="n">
        <v>0</v>
      </c>
      <c r="AT356" s="116">
        <f>AL356+AR356</f>
        <v/>
      </c>
      <c r="AU356" s="119">
        <f>IFERROR(AO356*Assumptions!$C$26*Assumptions!$C$27*INDEX(Assumptions!$C$18:$C$21,MATCH(H356,Assumptions!$B$18:$B$21,0)),0)</f>
        <v/>
      </c>
    </row>
    <row r="357">
      <c r="A357" s="114" t="n">
        <v>46240</v>
      </c>
      <c r="B357" s="42" t="inlineStr">
        <is>
          <t>Wk 32</t>
        </is>
      </c>
      <c r="C357" s="42" t="inlineStr">
        <is>
          <t>Thu</t>
        </is>
      </c>
      <c r="D357" s="42" t="inlineStr">
        <is>
          <t>Meta (FB/IG)</t>
        </is>
      </c>
      <c r="E357" s="42" t="inlineStr">
        <is>
          <t>Facebook + Instagram</t>
        </is>
      </c>
      <c r="F357" s="42" t="inlineStr">
        <is>
          <t>LEP_ZA_AUG26_META_TD_JAVAN_CONV</t>
        </is>
      </c>
      <c r="G357" s="42" t="inlineStr">
        <is>
          <t>Leads - Website Conversions</t>
        </is>
      </c>
      <c r="H357" s="42" t="inlineStr">
        <is>
          <t>JAVAN</t>
        </is>
      </c>
      <c r="I357" s="42" t="inlineStr">
        <is>
          <t>10% Deposit</t>
        </is>
      </c>
      <c r="J357" s="42" t="inlineStr">
        <is>
          <t>MET_JAVAN_LAL2_SITE_ZA</t>
        </is>
      </c>
      <c r="K357" s="42" t="inlineStr">
        <is>
          <t>Lookalike</t>
        </is>
      </c>
      <c r="L357" s="42" t="inlineStr">
        <is>
          <t>JAVAN_STA_Offer_10Dep_v1</t>
        </is>
      </c>
      <c r="M357" s="42" t="inlineStr">
        <is>
          <t>Static 1:1</t>
        </is>
      </c>
      <c r="N357" s="42" t="inlineStr">
        <is>
          <t>R4 299pm. 10% deposit.</t>
        </is>
      </c>
      <c r="O357" s="42" t="inlineStr">
        <is>
          <t>Auction - Lowest Cost</t>
        </is>
      </c>
      <c r="P357" s="42" t="inlineStr">
        <is>
          <t>Offsite Conversions</t>
        </is>
      </c>
      <c r="Q357" s="42" t="inlineStr">
        <is>
          <t>https://www.lepas-sa.co.za/offers/javan</t>
        </is>
      </c>
      <c r="R357" s="115" t="n">
        <v>170.08</v>
      </c>
      <c r="S357" s="116" t="n">
        <v>2787</v>
      </c>
      <c r="T357" s="116" t="n">
        <v>2276</v>
      </c>
      <c r="U357" s="117">
        <f>IFERROR(S357/T357,"")</f>
        <v/>
      </c>
      <c r="V357" s="116" t="n">
        <v>78</v>
      </c>
      <c r="W357" s="116" t="n">
        <v>59</v>
      </c>
      <c r="X357" s="118">
        <f>IFERROR(W357/S357,"")</f>
        <v/>
      </c>
      <c r="Y357" s="115">
        <f>IFERROR(R357/W357,"")</f>
        <v/>
      </c>
      <c r="Z357" s="115">
        <f>IFERROR(R357/S357*1000,"")</f>
        <v/>
      </c>
      <c r="AA357" s="116" t="n">
        <v>52</v>
      </c>
      <c r="AB357" s="47">
        <f>IFERROR(AA357/W357,"")</f>
        <v/>
      </c>
      <c r="AC357" s="116" t="n">
        <v>0</v>
      </c>
      <c r="AD357" s="116" t="n">
        <v>0</v>
      </c>
      <c r="AE357" s="116" t="n">
        <v>0</v>
      </c>
      <c r="AF357" s="116" t="n">
        <v>0</v>
      </c>
      <c r="AG357" s="116" t="n">
        <v>0</v>
      </c>
      <c r="AH357" s="116" t="n">
        <v>0</v>
      </c>
      <c r="AI357" s="47">
        <f>IFERROR(AC357/S357,"")</f>
        <v/>
      </c>
      <c r="AJ357" s="47">
        <f>IFERROR(AH357/S357,"")</f>
        <v/>
      </c>
      <c r="AK357" s="116" t="n">
        <v>38</v>
      </c>
      <c r="AL357" s="116" t="n">
        <v>2</v>
      </c>
      <c r="AM357" s="118">
        <f>IFERROR(AL357/AA357,"")</f>
        <v/>
      </c>
      <c r="AN357" s="119">
        <f>IFERROR(R357/AL357,"")</f>
        <v/>
      </c>
      <c r="AO357" s="116" t="n">
        <v>2</v>
      </c>
      <c r="AP357" s="47">
        <f>IFERROR(AO357/AL357,"")</f>
        <v/>
      </c>
      <c r="AQ357" s="119">
        <f>IFERROR(R357/AO357,"")</f>
        <v/>
      </c>
      <c r="AR357" s="116" t="n">
        <v>1</v>
      </c>
      <c r="AS357" s="116" t="n">
        <v>1</v>
      </c>
      <c r="AT357" s="116">
        <f>AL357+AR357</f>
        <v/>
      </c>
      <c r="AU357" s="119">
        <f>IFERROR(AO357*Assumptions!$C$26*Assumptions!$C$27*INDEX(Assumptions!$C$18:$C$21,MATCH(H357,Assumptions!$B$18:$B$21,0)),0)</f>
        <v/>
      </c>
    </row>
    <row r="358">
      <c r="A358" s="114" t="n">
        <v>46241</v>
      </c>
      <c r="B358" s="42" t="inlineStr">
        <is>
          <t>Wk 32</t>
        </is>
      </c>
      <c r="C358" s="42" t="inlineStr">
        <is>
          <t>Fri</t>
        </is>
      </c>
      <c r="D358" s="42" t="inlineStr">
        <is>
          <t>Meta (FB/IG)</t>
        </is>
      </c>
      <c r="E358" s="42" t="inlineStr">
        <is>
          <t>Facebook + Instagram</t>
        </is>
      </c>
      <c r="F358" s="42" t="inlineStr">
        <is>
          <t>LEP_ZA_AUG26_META_TD_JAVAN_CONV</t>
        </is>
      </c>
      <c r="G358" s="42" t="inlineStr">
        <is>
          <t>Leads - Website Conversions</t>
        </is>
      </c>
      <c r="H358" s="42" t="inlineStr">
        <is>
          <t>JAVAN</t>
        </is>
      </c>
      <c r="I358" s="42" t="inlineStr">
        <is>
          <t>10% Deposit</t>
        </is>
      </c>
      <c r="J358" s="42" t="inlineStr">
        <is>
          <t>MET_JAVAN_LAL2_SITE_ZA</t>
        </is>
      </c>
      <c r="K358" s="42" t="inlineStr">
        <is>
          <t>Lookalike</t>
        </is>
      </c>
      <c r="L358" s="42" t="inlineStr">
        <is>
          <t>JAVAN_STA_Offer_10Dep_v1</t>
        </is>
      </c>
      <c r="M358" s="42" t="inlineStr">
        <is>
          <t>Static 1:1</t>
        </is>
      </c>
      <c r="N358" s="42" t="inlineStr">
        <is>
          <t>R4 299pm. 10% deposit.</t>
        </is>
      </c>
      <c r="O358" s="42" t="inlineStr">
        <is>
          <t>Auction - Lowest Cost</t>
        </is>
      </c>
      <c r="P358" s="42" t="inlineStr">
        <is>
          <t>Offsite Conversions</t>
        </is>
      </c>
      <c r="Q358" s="42" t="inlineStr">
        <is>
          <t>https://www.lepas-sa.co.za/offers/javan</t>
        </is>
      </c>
      <c r="R358" s="115" t="n">
        <v>182.4</v>
      </c>
      <c r="S358" s="116" t="n">
        <v>2732</v>
      </c>
      <c r="T358" s="116" t="n">
        <v>2106</v>
      </c>
      <c r="U358" s="117">
        <f>IFERROR(S358/T358,"")</f>
        <v/>
      </c>
      <c r="V358" s="116" t="n">
        <v>96</v>
      </c>
      <c r="W358" s="116" t="n">
        <v>68</v>
      </c>
      <c r="X358" s="118">
        <f>IFERROR(W358/S358,"")</f>
        <v/>
      </c>
      <c r="Y358" s="115">
        <f>IFERROR(R358/W358,"")</f>
        <v/>
      </c>
      <c r="Z358" s="115">
        <f>IFERROR(R358/S358*1000,"")</f>
        <v/>
      </c>
      <c r="AA358" s="116" t="n">
        <v>59</v>
      </c>
      <c r="AB358" s="47">
        <f>IFERROR(AA358/W358,"")</f>
        <v/>
      </c>
      <c r="AC358" s="116" t="n">
        <v>0</v>
      </c>
      <c r="AD358" s="116" t="n">
        <v>0</v>
      </c>
      <c r="AE358" s="116" t="n">
        <v>0</v>
      </c>
      <c r="AF358" s="116" t="n">
        <v>0</v>
      </c>
      <c r="AG358" s="116" t="n">
        <v>0</v>
      </c>
      <c r="AH358" s="116" t="n">
        <v>0</v>
      </c>
      <c r="AI358" s="47">
        <f>IFERROR(AC358/S358,"")</f>
        <v/>
      </c>
      <c r="AJ358" s="47">
        <f>IFERROR(AH358/S358,"")</f>
        <v/>
      </c>
      <c r="AK358" s="116" t="n">
        <v>31</v>
      </c>
      <c r="AL358" s="116" t="n">
        <v>2</v>
      </c>
      <c r="AM358" s="118">
        <f>IFERROR(AL358/AA358,"")</f>
        <v/>
      </c>
      <c r="AN358" s="119">
        <f>IFERROR(R358/AL358,"")</f>
        <v/>
      </c>
      <c r="AO358" s="116" t="n">
        <v>1</v>
      </c>
      <c r="AP358" s="47">
        <f>IFERROR(AO358/AL358,"")</f>
        <v/>
      </c>
      <c r="AQ358" s="119">
        <f>IFERROR(R358/AO358,"")</f>
        <v/>
      </c>
      <c r="AR358" s="116" t="n">
        <v>0</v>
      </c>
      <c r="AS358" s="116" t="n">
        <v>0</v>
      </c>
      <c r="AT358" s="116">
        <f>AL358+AR358</f>
        <v/>
      </c>
      <c r="AU358" s="119">
        <f>IFERROR(AO358*Assumptions!$C$26*Assumptions!$C$27*INDEX(Assumptions!$C$18:$C$21,MATCH(H358,Assumptions!$B$18:$B$21,0)),0)</f>
        <v/>
      </c>
    </row>
    <row r="359">
      <c r="A359" s="114" t="n">
        <v>46242</v>
      </c>
      <c r="B359" s="42" t="inlineStr">
        <is>
          <t>Wk 32</t>
        </is>
      </c>
      <c r="C359" s="42" t="inlineStr">
        <is>
          <t>Sat</t>
        </is>
      </c>
      <c r="D359" s="42" t="inlineStr">
        <is>
          <t>Meta (FB/IG)</t>
        </is>
      </c>
      <c r="E359" s="42" t="inlineStr">
        <is>
          <t>Facebook + Instagram</t>
        </is>
      </c>
      <c r="F359" s="42" t="inlineStr">
        <is>
          <t>LEP_ZA_AUG26_META_TD_JAVAN_CONV</t>
        </is>
      </c>
      <c r="G359" s="42" t="inlineStr">
        <is>
          <t>Leads - Website Conversions</t>
        </is>
      </c>
      <c r="H359" s="42" t="inlineStr">
        <is>
          <t>JAVAN</t>
        </is>
      </c>
      <c r="I359" s="42" t="inlineStr">
        <is>
          <t>10% Deposit</t>
        </is>
      </c>
      <c r="J359" s="42" t="inlineStr">
        <is>
          <t>MET_JAVAN_LAL2_SITE_ZA</t>
        </is>
      </c>
      <c r="K359" s="42" t="inlineStr">
        <is>
          <t>Lookalike</t>
        </is>
      </c>
      <c r="L359" s="42" t="inlineStr">
        <is>
          <t>JAVAN_STA_Offer_10Dep_v1</t>
        </is>
      </c>
      <c r="M359" s="42" t="inlineStr">
        <is>
          <t>Static 1:1</t>
        </is>
      </c>
      <c r="N359" s="42" t="inlineStr">
        <is>
          <t>R4 299pm. 10% deposit.</t>
        </is>
      </c>
      <c r="O359" s="42" t="inlineStr">
        <is>
          <t>Auction - Lowest Cost</t>
        </is>
      </c>
      <c r="P359" s="42" t="inlineStr">
        <is>
          <t>Offsite Conversions</t>
        </is>
      </c>
      <c r="Q359" s="42" t="inlineStr">
        <is>
          <t>https://www.lepas-sa.co.za/offers/javan</t>
        </is>
      </c>
      <c r="R359" s="115" t="n">
        <v>199.57</v>
      </c>
      <c r="S359" s="116" t="n">
        <v>2084</v>
      </c>
      <c r="T359" s="116" t="n">
        <v>1405</v>
      </c>
      <c r="U359" s="117">
        <f>IFERROR(S359/T359,"")</f>
        <v/>
      </c>
      <c r="V359" s="116" t="n">
        <v>36</v>
      </c>
      <c r="W359" s="116" t="n">
        <v>31</v>
      </c>
      <c r="X359" s="118">
        <f>IFERROR(W359/S359,"")</f>
        <v/>
      </c>
      <c r="Y359" s="115">
        <f>IFERROR(R359/W359,"")</f>
        <v/>
      </c>
      <c r="Z359" s="115">
        <f>IFERROR(R359/S359*1000,"")</f>
        <v/>
      </c>
      <c r="AA359" s="116" t="n">
        <v>27</v>
      </c>
      <c r="AB359" s="47">
        <f>IFERROR(AA359/W359,"")</f>
        <v/>
      </c>
      <c r="AC359" s="116" t="n">
        <v>0</v>
      </c>
      <c r="AD359" s="116" t="n">
        <v>0</v>
      </c>
      <c r="AE359" s="116" t="n">
        <v>0</v>
      </c>
      <c r="AF359" s="116" t="n">
        <v>0</v>
      </c>
      <c r="AG359" s="116" t="n">
        <v>0</v>
      </c>
      <c r="AH359" s="116" t="n">
        <v>0</v>
      </c>
      <c r="AI359" s="47">
        <f>IFERROR(AC359/S359,"")</f>
        <v/>
      </c>
      <c r="AJ359" s="47">
        <f>IFERROR(AH359/S359,"")</f>
        <v/>
      </c>
      <c r="AK359" s="116" t="n">
        <v>51</v>
      </c>
      <c r="AL359" s="116" t="n">
        <v>1</v>
      </c>
      <c r="AM359" s="118">
        <f>IFERROR(AL359/AA359,"")</f>
        <v/>
      </c>
      <c r="AN359" s="119">
        <f>IFERROR(R359/AL359,"")</f>
        <v/>
      </c>
      <c r="AO359" s="116" t="n">
        <v>1</v>
      </c>
      <c r="AP359" s="47">
        <f>IFERROR(AO359/AL359,"")</f>
        <v/>
      </c>
      <c r="AQ359" s="119">
        <f>IFERROR(R359/AO359,"")</f>
        <v/>
      </c>
      <c r="AR359" s="116" t="n">
        <v>1</v>
      </c>
      <c r="AS359" s="116" t="n">
        <v>1</v>
      </c>
      <c r="AT359" s="116">
        <f>AL359+AR359</f>
        <v/>
      </c>
      <c r="AU359" s="119">
        <f>IFERROR(AO359*Assumptions!$C$26*Assumptions!$C$27*INDEX(Assumptions!$C$18:$C$21,MATCH(H359,Assumptions!$B$18:$B$21,0)),0)</f>
        <v/>
      </c>
    </row>
    <row r="360">
      <c r="A360" s="114" t="n">
        <v>46243</v>
      </c>
      <c r="B360" s="42" t="inlineStr">
        <is>
          <t>Wk 32</t>
        </is>
      </c>
      <c r="C360" s="42" t="inlineStr">
        <is>
          <t>Sun</t>
        </is>
      </c>
      <c r="D360" s="42" t="inlineStr">
        <is>
          <t>Meta (FB/IG)</t>
        </is>
      </c>
      <c r="E360" s="42" t="inlineStr">
        <is>
          <t>Facebook + Instagram</t>
        </is>
      </c>
      <c r="F360" s="42" t="inlineStr">
        <is>
          <t>LEP_ZA_AUG26_META_TD_JAVAN_CONV</t>
        </is>
      </c>
      <c r="G360" s="42" t="inlineStr">
        <is>
          <t>Leads - Website Conversions</t>
        </is>
      </c>
      <c r="H360" s="42" t="inlineStr">
        <is>
          <t>JAVAN</t>
        </is>
      </c>
      <c r="I360" s="42" t="inlineStr">
        <is>
          <t>10% Deposit</t>
        </is>
      </c>
      <c r="J360" s="42" t="inlineStr">
        <is>
          <t>MET_JAVAN_LAL2_SITE_ZA</t>
        </is>
      </c>
      <c r="K360" s="42" t="inlineStr">
        <is>
          <t>Lookalike</t>
        </is>
      </c>
      <c r="L360" s="42" t="inlineStr">
        <is>
          <t>JAVAN_STA_Offer_10Dep_v1</t>
        </is>
      </c>
      <c r="M360" s="42" t="inlineStr">
        <is>
          <t>Static 1:1</t>
        </is>
      </c>
      <c r="N360" s="42" t="inlineStr">
        <is>
          <t>R4 299pm. 10% deposit.</t>
        </is>
      </c>
      <c r="O360" s="42" t="inlineStr">
        <is>
          <t>Auction - Lowest Cost</t>
        </is>
      </c>
      <c r="P360" s="42" t="inlineStr">
        <is>
          <t>Offsite Conversions</t>
        </is>
      </c>
      <c r="Q360" s="42" t="inlineStr">
        <is>
          <t>https://www.lepas-sa.co.za/offers/javan</t>
        </is>
      </c>
      <c r="R360" s="115" t="n">
        <v>163.45</v>
      </c>
      <c r="S360" s="116" t="n">
        <v>2154</v>
      </c>
      <c r="T360" s="116" t="n">
        <v>1559</v>
      </c>
      <c r="U360" s="117">
        <f>IFERROR(S360/T360,"")</f>
        <v/>
      </c>
      <c r="V360" s="116" t="n">
        <v>49</v>
      </c>
      <c r="W360" s="116" t="n">
        <v>39</v>
      </c>
      <c r="X360" s="118">
        <f>IFERROR(W360/S360,"")</f>
        <v/>
      </c>
      <c r="Y360" s="115">
        <f>IFERROR(R360/W360,"")</f>
        <v/>
      </c>
      <c r="Z360" s="115">
        <f>IFERROR(R360/S360*1000,"")</f>
        <v/>
      </c>
      <c r="AA360" s="116" t="n">
        <v>33</v>
      </c>
      <c r="AB360" s="47">
        <f>IFERROR(AA360/W360,"")</f>
        <v/>
      </c>
      <c r="AC360" s="116" t="n">
        <v>0</v>
      </c>
      <c r="AD360" s="116" t="n">
        <v>0</v>
      </c>
      <c r="AE360" s="116" t="n">
        <v>0</v>
      </c>
      <c r="AF360" s="116" t="n">
        <v>0</v>
      </c>
      <c r="AG360" s="116" t="n">
        <v>0</v>
      </c>
      <c r="AH360" s="116" t="n">
        <v>0</v>
      </c>
      <c r="AI360" s="47">
        <f>IFERROR(AC360/S360,"")</f>
        <v/>
      </c>
      <c r="AJ360" s="47">
        <f>IFERROR(AH360/S360,"")</f>
        <v/>
      </c>
      <c r="AK360" s="116" t="n">
        <v>67</v>
      </c>
      <c r="AL360" s="116" t="n">
        <v>2</v>
      </c>
      <c r="AM360" s="118">
        <f>IFERROR(AL360/AA360,"")</f>
        <v/>
      </c>
      <c r="AN360" s="119">
        <f>IFERROR(R360/AL360,"")</f>
        <v/>
      </c>
      <c r="AO360" s="116" t="n">
        <v>1</v>
      </c>
      <c r="AP360" s="47">
        <f>IFERROR(AO360/AL360,"")</f>
        <v/>
      </c>
      <c r="AQ360" s="119">
        <f>IFERROR(R360/AO360,"")</f>
        <v/>
      </c>
      <c r="AR360" s="116" t="n">
        <v>0</v>
      </c>
      <c r="AS360" s="116" t="n">
        <v>1</v>
      </c>
      <c r="AT360" s="116">
        <f>AL360+AR360</f>
        <v/>
      </c>
      <c r="AU360" s="119">
        <f>IFERROR(AO360*Assumptions!$C$26*Assumptions!$C$27*INDEX(Assumptions!$C$18:$C$21,MATCH(H360,Assumptions!$B$18:$B$21,0)),0)</f>
        <v/>
      </c>
    </row>
    <row r="361">
      <c r="A361" s="114" t="n">
        <v>46244</v>
      </c>
      <c r="B361" s="42" t="inlineStr">
        <is>
          <t>Wk 33</t>
        </is>
      </c>
      <c r="C361" s="42" t="inlineStr">
        <is>
          <t>Mon</t>
        </is>
      </c>
      <c r="D361" s="42" t="inlineStr">
        <is>
          <t>Meta (FB/IG)</t>
        </is>
      </c>
      <c r="E361" s="42" t="inlineStr">
        <is>
          <t>Facebook + Instagram</t>
        </is>
      </c>
      <c r="F361" s="42" t="inlineStr">
        <is>
          <t>LEP_ZA_AUG26_META_TD_JAVAN_CONV</t>
        </is>
      </c>
      <c r="G361" s="42" t="inlineStr">
        <is>
          <t>Leads - Website Conversions</t>
        </is>
      </c>
      <c r="H361" s="42" t="inlineStr">
        <is>
          <t>JAVAN</t>
        </is>
      </c>
      <c r="I361" s="42" t="inlineStr">
        <is>
          <t>10% Deposit</t>
        </is>
      </c>
      <c r="J361" s="42" t="inlineStr">
        <is>
          <t>MET_JAVAN_LAL2_SITE_ZA</t>
        </is>
      </c>
      <c r="K361" s="42" t="inlineStr">
        <is>
          <t>Lookalike</t>
        </is>
      </c>
      <c r="L361" s="42" t="inlineStr">
        <is>
          <t>JAVAN_STA_Offer_10Dep_v1</t>
        </is>
      </c>
      <c r="M361" s="42" t="inlineStr">
        <is>
          <t>Static 1:1</t>
        </is>
      </c>
      <c r="N361" s="42" t="inlineStr">
        <is>
          <t>R4 299pm. 10% deposit.</t>
        </is>
      </c>
      <c r="O361" s="42" t="inlineStr">
        <is>
          <t>Auction - Lowest Cost</t>
        </is>
      </c>
      <c r="P361" s="42" t="inlineStr">
        <is>
          <t>Offsite Conversions</t>
        </is>
      </c>
      <c r="Q361" s="42" t="inlineStr">
        <is>
          <t>https://www.lepas-sa.co.za/offers/javan</t>
        </is>
      </c>
      <c r="R361" s="115" t="n">
        <v>193.69</v>
      </c>
      <c r="S361" s="116" t="n">
        <v>1919</v>
      </c>
      <c r="T361" s="116" t="n">
        <v>1224</v>
      </c>
      <c r="U361" s="117">
        <f>IFERROR(S361/T361,"")</f>
        <v/>
      </c>
      <c r="V361" s="116" t="n">
        <v>30</v>
      </c>
      <c r="W361" s="116" t="n">
        <v>24</v>
      </c>
      <c r="X361" s="118">
        <f>IFERROR(W361/S361,"")</f>
        <v/>
      </c>
      <c r="Y361" s="115">
        <f>IFERROR(R361/W361,"")</f>
        <v/>
      </c>
      <c r="Z361" s="115">
        <f>IFERROR(R361/S361*1000,"")</f>
        <v/>
      </c>
      <c r="AA361" s="116" t="n">
        <v>22</v>
      </c>
      <c r="AB361" s="47">
        <f>IFERROR(AA361/W361,"")</f>
        <v/>
      </c>
      <c r="AC361" s="116" t="n">
        <v>0</v>
      </c>
      <c r="AD361" s="116" t="n">
        <v>0</v>
      </c>
      <c r="AE361" s="116" t="n">
        <v>0</v>
      </c>
      <c r="AF361" s="116" t="n">
        <v>0</v>
      </c>
      <c r="AG361" s="116" t="n">
        <v>0</v>
      </c>
      <c r="AH361" s="116" t="n">
        <v>0</v>
      </c>
      <c r="AI361" s="47">
        <f>IFERROR(AC361/S361,"")</f>
        <v/>
      </c>
      <c r="AJ361" s="47">
        <f>IFERROR(AH361/S361,"")</f>
        <v/>
      </c>
      <c r="AK361" s="116" t="n">
        <v>25</v>
      </c>
      <c r="AL361" s="116" t="n">
        <v>1</v>
      </c>
      <c r="AM361" s="118">
        <f>IFERROR(AL361/AA361,"")</f>
        <v/>
      </c>
      <c r="AN361" s="119">
        <f>IFERROR(R361/AL361,"")</f>
        <v/>
      </c>
      <c r="AO361" s="116" t="n">
        <v>1</v>
      </c>
      <c r="AP361" s="47">
        <f>IFERROR(AO361/AL361,"")</f>
        <v/>
      </c>
      <c r="AQ361" s="119">
        <f>IFERROR(R361/AO361,"")</f>
        <v/>
      </c>
      <c r="AR361" s="116" t="n">
        <v>0</v>
      </c>
      <c r="AS361" s="116" t="n">
        <v>1</v>
      </c>
      <c r="AT361" s="116">
        <f>AL361+AR361</f>
        <v/>
      </c>
      <c r="AU361" s="119">
        <f>IFERROR(AO361*Assumptions!$C$26*Assumptions!$C$27*INDEX(Assumptions!$C$18:$C$21,MATCH(H361,Assumptions!$B$18:$B$21,0)),0)</f>
        <v/>
      </c>
    </row>
    <row r="362">
      <c r="A362" s="114" t="n">
        <v>46245</v>
      </c>
      <c r="B362" s="42" t="inlineStr">
        <is>
          <t>Wk 33</t>
        </is>
      </c>
      <c r="C362" s="42" t="inlineStr">
        <is>
          <t>Tue</t>
        </is>
      </c>
      <c r="D362" s="42" t="inlineStr">
        <is>
          <t>Meta (FB/IG)</t>
        </is>
      </c>
      <c r="E362" s="42" t="inlineStr">
        <is>
          <t>Facebook + Instagram</t>
        </is>
      </c>
      <c r="F362" s="42" t="inlineStr">
        <is>
          <t>LEP_ZA_AUG26_META_TD_JAVAN_CONV</t>
        </is>
      </c>
      <c r="G362" s="42" t="inlineStr">
        <is>
          <t>Leads - Website Conversions</t>
        </is>
      </c>
      <c r="H362" s="42" t="inlineStr">
        <is>
          <t>JAVAN</t>
        </is>
      </c>
      <c r="I362" s="42" t="inlineStr">
        <is>
          <t>10% Deposit</t>
        </is>
      </c>
      <c r="J362" s="42" t="inlineStr">
        <is>
          <t>MET_JAVAN_LAL2_SITE_ZA</t>
        </is>
      </c>
      <c r="K362" s="42" t="inlineStr">
        <is>
          <t>Lookalike</t>
        </is>
      </c>
      <c r="L362" s="42" t="inlineStr">
        <is>
          <t>JAVAN_STA_Offer_10Dep_v1</t>
        </is>
      </c>
      <c r="M362" s="42" t="inlineStr">
        <is>
          <t>Static 1:1</t>
        </is>
      </c>
      <c r="N362" s="42" t="inlineStr">
        <is>
          <t>R4 299pm. 10% deposit.</t>
        </is>
      </c>
      <c r="O362" s="42" t="inlineStr">
        <is>
          <t>Auction - Lowest Cost</t>
        </is>
      </c>
      <c r="P362" s="42" t="inlineStr">
        <is>
          <t>Offsite Conversions</t>
        </is>
      </c>
      <c r="Q362" s="42" t="inlineStr">
        <is>
          <t>https://www.lepas-sa.co.za/offers/javan</t>
        </is>
      </c>
      <c r="R362" s="115" t="n">
        <v>139.23</v>
      </c>
      <c r="S362" s="116" t="n">
        <v>1806</v>
      </c>
      <c r="T362" s="116" t="n">
        <v>1456</v>
      </c>
      <c r="U362" s="117">
        <f>IFERROR(S362/T362,"")</f>
        <v/>
      </c>
      <c r="V362" s="116" t="n">
        <v>41</v>
      </c>
      <c r="W362" s="116" t="n">
        <v>30</v>
      </c>
      <c r="X362" s="118">
        <f>IFERROR(W362/S362,"")</f>
        <v/>
      </c>
      <c r="Y362" s="115">
        <f>IFERROR(R362/W362,"")</f>
        <v/>
      </c>
      <c r="Z362" s="115">
        <f>IFERROR(R362/S362*1000,"")</f>
        <v/>
      </c>
      <c r="AA362" s="116" t="n">
        <v>24</v>
      </c>
      <c r="AB362" s="47">
        <f>IFERROR(AA362/W362,"")</f>
        <v/>
      </c>
      <c r="AC362" s="116" t="n">
        <v>0</v>
      </c>
      <c r="AD362" s="116" t="n">
        <v>0</v>
      </c>
      <c r="AE362" s="116" t="n">
        <v>0</v>
      </c>
      <c r="AF362" s="116" t="n">
        <v>0</v>
      </c>
      <c r="AG362" s="116" t="n">
        <v>0</v>
      </c>
      <c r="AH362" s="116" t="n">
        <v>0</v>
      </c>
      <c r="AI362" s="47">
        <f>IFERROR(AC362/S362,"")</f>
        <v/>
      </c>
      <c r="AJ362" s="47">
        <f>IFERROR(AH362/S362,"")</f>
        <v/>
      </c>
      <c r="AK362" s="116" t="n">
        <v>63</v>
      </c>
      <c r="AL362" s="116" t="n">
        <v>1</v>
      </c>
      <c r="AM362" s="118">
        <f>IFERROR(AL362/AA362,"")</f>
        <v/>
      </c>
      <c r="AN362" s="119">
        <f>IFERROR(R362/AL362,"")</f>
        <v/>
      </c>
      <c r="AO362" s="116" t="n">
        <v>1</v>
      </c>
      <c r="AP362" s="47">
        <f>IFERROR(AO362/AL362,"")</f>
        <v/>
      </c>
      <c r="AQ362" s="119">
        <f>IFERROR(R362/AO362,"")</f>
        <v/>
      </c>
      <c r="AR362" s="116" t="n">
        <v>0</v>
      </c>
      <c r="AS362" s="116" t="n">
        <v>0</v>
      </c>
      <c r="AT362" s="116">
        <f>AL362+AR362</f>
        <v/>
      </c>
      <c r="AU362" s="119">
        <f>IFERROR(AO362*Assumptions!$C$26*Assumptions!$C$27*INDEX(Assumptions!$C$18:$C$21,MATCH(H362,Assumptions!$B$18:$B$21,0)),0)</f>
        <v/>
      </c>
    </row>
    <row r="363">
      <c r="A363" s="114" t="n">
        <v>46246</v>
      </c>
      <c r="B363" s="42" t="inlineStr">
        <is>
          <t>Wk 33</t>
        </is>
      </c>
      <c r="C363" s="42" t="inlineStr">
        <is>
          <t>Wed</t>
        </is>
      </c>
      <c r="D363" s="42" t="inlineStr">
        <is>
          <t>Meta (FB/IG)</t>
        </is>
      </c>
      <c r="E363" s="42" t="inlineStr">
        <is>
          <t>Facebook + Instagram</t>
        </is>
      </c>
      <c r="F363" s="42" t="inlineStr">
        <is>
          <t>LEP_ZA_AUG26_META_TD_JAVAN_CONV</t>
        </is>
      </c>
      <c r="G363" s="42" t="inlineStr">
        <is>
          <t>Leads - Website Conversions</t>
        </is>
      </c>
      <c r="H363" s="42" t="inlineStr">
        <is>
          <t>JAVAN</t>
        </is>
      </c>
      <c r="I363" s="42" t="inlineStr">
        <is>
          <t>10% Deposit</t>
        </is>
      </c>
      <c r="J363" s="42" t="inlineStr">
        <is>
          <t>MET_JAVAN_LAL2_SITE_ZA</t>
        </is>
      </c>
      <c r="K363" s="42" t="inlineStr">
        <is>
          <t>Lookalike</t>
        </is>
      </c>
      <c r="L363" s="42" t="inlineStr">
        <is>
          <t>JAVAN_STA_Offer_10Dep_v1</t>
        </is>
      </c>
      <c r="M363" s="42" t="inlineStr">
        <is>
          <t>Static 1:1</t>
        </is>
      </c>
      <c r="N363" s="42" t="inlineStr">
        <is>
          <t>R4 299pm. 10% deposit.</t>
        </is>
      </c>
      <c r="O363" s="42" t="inlineStr">
        <is>
          <t>Auction - Lowest Cost</t>
        </is>
      </c>
      <c r="P363" s="42" t="inlineStr">
        <is>
          <t>Offsite Conversions</t>
        </is>
      </c>
      <c r="Q363" s="42" t="inlineStr">
        <is>
          <t>https://www.lepas-sa.co.za/offers/javan</t>
        </is>
      </c>
      <c r="R363" s="115" t="n">
        <v>167.35</v>
      </c>
      <c r="S363" s="116" t="n">
        <v>1671</v>
      </c>
      <c r="T363" s="116" t="n">
        <v>1002</v>
      </c>
      <c r="U363" s="117">
        <f>IFERROR(S363/T363,"")</f>
        <v/>
      </c>
      <c r="V363" s="116" t="n">
        <v>43</v>
      </c>
      <c r="W363" s="116" t="n">
        <v>32</v>
      </c>
      <c r="X363" s="118">
        <f>IFERROR(W363/S363,"")</f>
        <v/>
      </c>
      <c r="Y363" s="115">
        <f>IFERROR(R363/W363,"")</f>
        <v/>
      </c>
      <c r="Z363" s="115">
        <f>IFERROR(R363/S363*1000,"")</f>
        <v/>
      </c>
      <c r="AA363" s="116" t="n">
        <v>27</v>
      </c>
      <c r="AB363" s="47">
        <f>IFERROR(AA363/W363,"")</f>
        <v/>
      </c>
      <c r="AC363" s="116" t="n">
        <v>0</v>
      </c>
      <c r="AD363" s="116" t="n">
        <v>0</v>
      </c>
      <c r="AE363" s="116" t="n">
        <v>0</v>
      </c>
      <c r="AF363" s="116" t="n">
        <v>0</v>
      </c>
      <c r="AG363" s="116" t="n">
        <v>0</v>
      </c>
      <c r="AH363" s="116" t="n">
        <v>0</v>
      </c>
      <c r="AI363" s="47">
        <f>IFERROR(AC363/S363,"")</f>
        <v/>
      </c>
      <c r="AJ363" s="47">
        <f>IFERROR(AH363/S363,"")</f>
        <v/>
      </c>
      <c r="AK363" s="116" t="n">
        <v>49</v>
      </c>
      <c r="AL363" s="116" t="n">
        <v>1</v>
      </c>
      <c r="AM363" s="118">
        <f>IFERROR(AL363/AA363,"")</f>
        <v/>
      </c>
      <c r="AN363" s="119">
        <f>IFERROR(R363/AL363,"")</f>
        <v/>
      </c>
      <c r="AO363" s="116" t="n">
        <v>1</v>
      </c>
      <c r="AP363" s="47">
        <f>IFERROR(AO363/AL363,"")</f>
        <v/>
      </c>
      <c r="AQ363" s="119">
        <f>IFERROR(R363/AO363,"")</f>
        <v/>
      </c>
      <c r="AR363" s="116" t="n">
        <v>0</v>
      </c>
      <c r="AS363" s="116" t="n">
        <v>0</v>
      </c>
      <c r="AT363" s="116">
        <f>AL363+AR363</f>
        <v/>
      </c>
      <c r="AU363" s="119">
        <f>IFERROR(AO363*Assumptions!$C$26*Assumptions!$C$27*INDEX(Assumptions!$C$18:$C$21,MATCH(H363,Assumptions!$B$18:$B$21,0)),0)</f>
        <v/>
      </c>
    </row>
    <row r="364">
      <c r="A364" s="114" t="n">
        <v>46247</v>
      </c>
      <c r="B364" s="42" t="inlineStr">
        <is>
          <t>Wk 33</t>
        </is>
      </c>
      <c r="C364" s="42" t="inlineStr">
        <is>
          <t>Thu</t>
        </is>
      </c>
      <c r="D364" s="42" t="inlineStr">
        <is>
          <t>Meta (FB/IG)</t>
        </is>
      </c>
      <c r="E364" s="42" t="inlineStr">
        <is>
          <t>Facebook + Instagram</t>
        </is>
      </c>
      <c r="F364" s="42" t="inlineStr">
        <is>
          <t>LEP_ZA_AUG26_META_TD_JAVAN_CONV</t>
        </is>
      </c>
      <c r="G364" s="42" t="inlineStr">
        <is>
          <t>Leads - Website Conversions</t>
        </is>
      </c>
      <c r="H364" s="42" t="inlineStr">
        <is>
          <t>JAVAN</t>
        </is>
      </c>
      <c r="I364" s="42" t="inlineStr">
        <is>
          <t>10% Deposit</t>
        </is>
      </c>
      <c r="J364" s="42" t="inlineStr">
        <is>
          <t>MET_JAVAN_LAL2_SITE_ZA</t>
        </is>
      </c>
      <c r="K364" s="42" t="inlineStr">
        <is>
          <t>Lookalike</t>
        </is>
      </c>
      <c r="L364" s="42" t="inlineStr">
        <is>
          <t>JAVAN_STA_Offer_10Dep_v1</t>
        </is>
      </c>
      <c r="M364" s="42" t="inlineStr">
        <is>
          <t>Static 1:1</t>
        </is>
      </c>
      <c r="N364" s="42" t="inlineStr">
        <is>
          <t>R4 299pm. 10% deposit.</t>
        </is>
      </c>
      <c r="O364" s="42" t="inlineStr">
        <is>
          <t>Auction - Lowest Cost</t>
        </is>
      </c>
      <c r="P364" s="42" t="inlineStr">
        <is>
          <t>Offsite Conversions</t>
        </is>
      </c>
      <c r="Q364" s="42" t="inlineStr">
        <is>
          <t>https://www.lepas-sa.co.za/offers/javan</t>
        </is>
      </c>
      <c r="R364" s="115" t="n">
        <v>197.24</v>
      </c>
      <c r="S364" s="116" t="n">
        <v>1992</v>
      </c>
      <c r="T364" s="116" t="n">
        <v>1152</v>
      </c>
      <c r="U364" s="117">
        <f>IFERROR(S364/T364,"")</f>
        <v/>
      </c>
      <c r="V364" s="116" t="n">
        <v>44</v>
      </c>
      <c r="W364" s="116" t="n">
        <v>33</v>
      </c>
      <c r="X364" s="118">
        <f>IFERROR(W364/S364,"")</f>
        <v/>
      </c>
      <c r="Y364" s="115">
        <f>IFERROR(R364/W364,"")</f>
        <v/>
      </c>
      <c r="Z364" s="115">
        <f>IFERROR(R364/S364*1000,"")</f>
        <v/>
      </c>
      <c r="AA364" s="116" t="n">
        <v>30</v>
      </c>
      <c r="AB364" s="47">
        <f>IFERROR(AA364/W364,"")</f>
        <v/>
      </c>
      <c r="AC364" s="116" t="n">
        <v>0</v>
      </c>
      <c r="AD364" s="116" t="n">
        <v>0</v>
      </c>
      <c r="AE364" s="116" t="n">
        <v>0</v>
      </c>
      <c r="AF364" s="116" t="n">
        <v>0</v>
      </c>
      <c r="AG364" s="116" t="n">
        <v>0</v>
      </c>
      <c r="AH364" s="116" t="n">
        <v>0</v>
      </c>
      <c r="AI364" s="47">
        <f>IFERROR(AC364/S364,"")</f>
        <v/>
      </c>
      <c r="AJ364" s="47">
        <f>IFERROR(AH364/S364,"")</f>
        <v/>
      </c>
      <c r="AK364" s="116" t="n">
        <v>51</v>
      </c>
      <c r="AL364" s="116" t="n">
        <v>1</v>
      </c>
      <c r="AM364" s="118">
        <f>IFERROR(AL364/AA364,"")</f>
        <v/>
      </c>
      <c r="AN364" s="119">
        <f>IFERROR(R364/AL364,"")</f>
        <v/>
      </c>
      <c r="AO364" s="116" t="n">
        <v>0</v>
      </c>
      <c r="AP364" s="47">
        <f>IFERROR(AO364/AL364,"")</f>
        <v/>
      </c>
      <c r="AQ364" s="119">
        <f>IFERROR(R364/AO364,"")</f>
        <v/>
      </c>
      <c r="AR364" s="116" t="n">
        <v>0</v>
      </c>
      <c r="AS364" s="116" t="n">
        <v>0</v>
      </c>
      <c r="AT364" s="116">
        <f>AL364+AR364</f>
        <v/>
      </c>
      <c r="AU364" s="119">
        <f>IFERROR(AO364*Assumptions!$C$26*Assumptions!$C$27*INDEX(Assumptions!$C$18:$C$21,MATCH(H364,Assumptions!$B$18:$B$21,0)),0)</f>
        <v/>
      </c>
    </row>
    <row r="365">
      <c r="A365" s="114" t="n">
        <v>46248</v>
      </c>
      <c r="B365" s="42" t="inlineStr">
        <is>
          <t>Wk 33</t>
        </is>
      </c>
      <c r="C365" s="42" t="inlineStr">
        <is>
          <t>Fri</t>
        </is>
      </c>
      <c r="D365" s="42" t="inlineStr">
        <is>
          <t>Meta (FB/IG)</t>
        </is>
      </c>
      <c r="E365" s="42" t="inlineStr">
        <is>
          <t>Facebook + Instagram</t>
        </is>
      </c>
      <c r="F365" s="42" t="inlineStr">
        <is>
          <t>LEP_ZA_AUG26_META_TD_JAVAN_CONV</t>
        </is>
      </c>
      <c r="G365" s="42" t="inlineStr">
        <is>
          <t>Leads - Website Conversions</t>
        </is>
      </c>
      <c r="H365" s="42" t="inlineStr">
        <is>
          <t>JAVAN</t>
        </is>
      </c>
      <c r="I365" s="42" t="inlineStr">
        <is>
          <t>10% Deposit</t>
        </is>
      </c>
      <c r="J365" s="42" t="inlineStr">
        <is>
          <t>MET_JAVAN_LAL2_SITE_ZA</t>
        </is>
      </c>
      <c r="K365" s="42" t="inlineStr">
        <is>
          <t>Lookalike</t>
        </is>
      </c>
      <c r="L365" s="42" t="inlineStr">
        <is>
          <t>JAVAN_STA_Offer_10Dep_v1</t>
        </is>
      </c>
      <c r="M365" s="42" t="inlineStr">
        <is>
          <t>Static 1:1</t>
        </is>
      </c>
      <c r="N365" s="42" t="inlineStr">
        <is>
          <t>R4 299pm. 10% deposit.</t>
        </is>
      </c>
      <c r="O365" s="42" t="inlineStr">
        <is>
          <t>Auction - Lowest Cost</t>
        </is>
      </c>
      <c r="P365" s="42" t="inlineStr">
        <is>
          <t>Offsite Conversions</t>
        </is>
      </c>
      <c r="Q365" s="42" t="inlineStr">
        <is>
          <t>https://www.lepas-sa.co.za/offers/javan</t>
        </is>
      </c>
      <c r="R365" s="115" t="n">
        <v>206.31</v>
      </c>
      <c r="S365" s="116" t="n">
        <v>2461</v>
      </c>
      <c r="T365" s="116" t="n">
        <v>1345</v>
      </c>
      <c r="U365" s="117">
        <f>IFERROR(S365/T365,"")</f>
        <v/>
      </c>
      <c r="V365" s="116" t="n">
        <v>56</v>
      </c>
      <c r="W365" s="116" t="n">
        <v>47</v>
      </c>
      <c r="X365" s="118">
        <f>IFERROR(W365/S365,"")</f>
        <v/>
      </c>
      <c r="Y365" s="115">
        <f>IFERROR(R365/W365,"")</f>
        <v/>
      </c>
      <c r="Z365" s="115">
        <f>IFERROR(R365/S365*1000,"")</f>
        <v/>
      </c>
      <c r="AA365" s="116" t="n">
        <v>41</v>
      </c>
      <c r="AB365" s="47">
        <f>IFERROR(AA365/W365,"")</f>
        <v/>
      </c>
      <c r="AC365" s="116" t="n">
        <v>0</v>
      </c>
      <c r="AD365" s="116" t="n">
        <v>0</v>
      </c>
      <c r="AE365" s="116" t="n">
        <v>0</v>
      </c>
      <c r="AF365" s="116" t="n">
        <v>0</v>
      </c>
      <c r="AG365" s="116" t="n">
        <v>0</v>
      </c>
      <c r="AH365" s="116" t="n">
        <v>0</v>
      </c>
      <c r="AI365" s="47">
        <f>IFERROR(AC365/S365,"")</f>
        <v/>
      </c>
      <c r="AJ365" s="47">
        <f>IFERROR(AH365/S365,"")</f>
        <v/>
      </c>
      <c r="AK365" s="116" t="n">
        <v>42</v>
      </c>
      <c r="AL365" s="116" t="n">
        <v>0</v>
      </c>
      <c r="AM365" s="118">
        <f>IFERROR(AL365/AA365,"")</f>
        <v/>
      </c>
      <c r="AN365" s="119">
        <f>IFERROR(R365/AL365,"")</f>
        <v/>
      </c>
      <c r="AO365" s="116" t="n">
        <v>0</v>
      </c>
      <c r="AP365" s="47">
        <f>IFERROR(AO365/AL365,"")</f>
        <v/>
      </c>
      <c r="AQ365" s="119">
        <f>IFERROR(R365/AO365,"")</f>
        <v/>
      </c>
      <c r="AR365" s="116" t="n">
        <v>0</v>
      </c>
      <c r="AS365" s="116" t="n">
        <v>0</v>
      </c>
      <c r="AT365" s="116">
        <f>AL365+AR365</f>
        <v/>
      </c>
      <c r="AU365" s="119">
        <f>IFERROR(AO365*Assumptions!$C$26*Assumptions!$C$27*INDEX(Assumptions!$C$18:$C$21,MATCH(H365,Assumptions!$B$18:$B$21,0)),0)</f>
        <v/>
      </c>
    </row>
    <row r="366">
      <c r="A366" s="114" t="n">
        <v>46249</v>
      </c>
      <c r="B366" s="42" t="inlineStr">
        <is>
          <t>Wk 33</t>
        </is>
      </c>
      <c r="C366" s="42" t="inlineStr">
        <is>
          <t>Sat</t>
        </is>
      </c>
      <c r="D366" s="42" t="inlineStr">
        <is>
          <t>Meta (FB/IG)</t>
        </is>
      </c>
      <c r="E366" s="42" t="inlineStr">
        <is>
          <t>Facebook + Instagram</t>
        </is>
      </c>
      <c r="F366" s="42" t="inlineStr">
        <is>
          <t>LEP_ZA_AUG26_META_TD_JAVAN_CONV</t>
        </is>
      </c>
      <c r="G366" s="42" t="inlineStr">
        <is>
          <t>Leads - Website Conversions</t>
        </is>
      </c>
      <c r="H366" s="42" t="inlineStr">
        <is>
          <t>JAVAN</t>
        </is>
      </c>
      <c r="I366" s="42" t="inlineStr">
        <is>
          <t>10% Deposit</t>
        </is>
      </c>
      <c r="J366" s="42" t="inlineStr">
        <is>
          <t>MET_JAVAN_LAL2_SITE_ZA</t>
        </is>
      </c>
      <c r="K366" s="42" t="inlineStr">
        <is>
          <t>Lookalike</t>
        </is>
      </c>
      <c r="L366" s="42" t="inlineStr">
        <is>
          <t>JAVAN_STA_Offer_10Dep_v1</t>
        </is>
      </c>
      <c r="M366" s="42" t="inlineStr">
        <is>
          <t>Static 1:1</t>
        </is>
      </c>
      <c r="N366" s="42" t="inlineStr">
        <is>
          <t>R4 299pm. 10% deposit.</t>
        </is>
      </c>
      <c r="O366" s="42" t="inlineStr">
        <is>
          <t>Auction - Lowest Cost</t>
        </is>
      </c>
      <c r="P366" s="42" t="inlineStr">
        <is>
          <t>Offsite Conversions</t>
        </is>
      </c>
      <c r="Q366" s="42" t="inlineStr">
        <is>
          <t>https://www.lepas-sa.co.za/offers/javan</t>
        </is>
      </c>
      <c r="R366" s="115" t="n">
        <v>201.35</v>
      </c>
      <c r="S366" s="116" t="n">
        <v>2989</v>
      </c>
      <c r="T366" s="116" t="n">
        <v>1972</v>
      </c>
      <c r="U366" s="117">
        <f>IFERROR(S366/T366,"")</f>
        <v/>
      </c>
      <c r="V366" s="116" t="n">
        <v>57</v>
      </c>
      <c r="W366" s="116" t="n">
        <v>47</v>
      </c>
      <c r="X366" s="118">
        <f>IFERROR(W366/S366,"")</f>
        <v/>
      </c>
      <c r="Y366" s="115">
        <f>IFERROR(R366/W366,"")</f>
        <v/>
      </c>
      <c r="Z366" s="115">
        <f>IFERROR(R366/S366*1000,"")</f>
        <v/>
      </c>
      <c r="AA366" s="116" t="n">
        <v>38</v>
      </c>
      <c r="AB366" s="47">
        <f>IFERROR(AA366/W366,"")</f>
        <v/>
      </c>
      <c r="AC366" s="116" t="n">
        <v>0</v>
      </c>
      <c r="AD366" s="116" t="n">
        <v>0</v>
      </c>
      <c r="AE366" s="116" t="n">
        <v>0</v>
      </c>
      <c r="AF366" s="116" t="n">
        <v>0</v>
      </c>
      <c r="AG366" s="116" t="n">
        <v>0</v>
      </c>
      <c r="AH366" s="116" t="n">
        <v>0</v>
      </c>
      <c r="AI366" s="47">
        <f>IFERROR(AC366/S366,"")</f>
        <v/>
      </c>
      <c r="AJ366" s="47">
        <f>IFERROR(AH366/S366,"")</f>
        <v/>
      </c>
      <c r="AK366" s="116" t="n">
        <v>71</v>
      </c>
      <c r="AL366" s="116" t="n">
        <v>1</v>
      </c>
      <c r="AM366" s="118">
        <f>IFERROR(AL366/AA366,"")</f>
        <v/>
      </c>
      <c r="AN366" s="119">
        <f>IFERROR(R366/AL366,"")</f>
        <v/>
      </c>
      <c r="AO366" s="116" t="n">
        <v>0</v>
      </c>
      <c r="AP366" s="47">
        <f>IFERROR(AO366/AL366,"")</f>
        <v/>
      </c>
      <c r="AQ366" s="119">
        <f>IFERROR(R366/AO366,"")</f>
        <v/>
      </c>
      <c r="AR366" s="116" t="n">
        <v>1</v>
      </c>
      <c r="AS366" s="116" t="n">
        <v>1</v>
      </c>
      <c r="AT366" s="116">
        <f>AL366+AR366</f>
        <v/>
      </c>
      <c r="AU366" s="119">
        <f>IFERROR(AO366*Assumptions!$C$26*Assumptions!$C$27*INDEX(Assumptions!$C$18:$C$21,MATCH(H366,Assumptions!$B$18:$B$21,0)),0)</f>
        <v/>
      </c>
    </row>
    <row r="367">
      <c r="A367" s="114" t="n">
        <v>46250</v>
      </c>
      <c r="B367" s="42" t="inlineStr">
        <is>
          <t>Wk 33</t>
        </is>
      </c>
      <c r="C367" s="42" t="inlineStr">
        <is>
          <t>Sun</t>
        </is>
      </c>
      <c r="D367" s="42" t="inlineStr">
        <is>
          <t>Meta (FB/IG)</t>
        </is>
      </c>
      <c r="E367" s="42" t="inlineStr">
        <is>
          <t>Facebook + Instagram</t>
        </is>
      </c>
      <c r="F367" s="42" t="inlineStr">
        <is>
          <t>LEP_ZA_AUG26_META_TD_JAVAN_CONV</t>
        </is>
      </c>
      <c r="G367" s="42" t="inlineStr">
        <is>
          <t>Leads - Website Conversions</t>
        </is>
      </c>
      <c r="H367" s="42" t="inlineStr">
        <is>
          <t>JAVAN</t>
        </is>
      </c>
      <c r="I367" s="42" t="inlineStr">
        <is>
          <t>10% Deposit</t>
        </is>
      </c>
      <c r="J367" s="42" t="inlineStr">
        <is>
          <t>MET_JAVAN_LAL2_SITE_ZA</t>
        </is>
      </c>
      <c r="K367" s="42" t="inlineStr">
        <is>
          <t>Lookalike</t>
        </is>
      </c>
      <c r="L367" s="42" t="inlineStr">
        <is>
          <t>JAVAN_STA_Offer_10Dep_v1</t>
        </is>
      </c>
      <c r="M367" s="42" t="inlineStr">
        <is>
          <t>Static 1:1</t>
        </is>
      </c>
      <c r="N367" s="42" t="inlineStr">
        <is>
          <t>R4 299pm. 10% deposit.</t>
        </is>
      </c>
      <c r="O367" s="42" t="inlineStr">
        <is>
          <t>Auction - Lowest Cost</t>
        </is>
      </c>
      <c r="P367" s="42" t="inlineStr">
        <is>
          <t>Offsite Conversions</t>
        </is>
      </c>
      <c r="Q367" s="42" t="inlineStr">
        <is>
          <t>https://www.lepas-sa.co.za/offers/javan</t>
        </is>
      </c>
      <c r="R367" s="115" t="n">
        <v>147.48</v>
      </c>
      <c r="S367" s="116" t="n">
        <v>1522</v>
      </c>
      <c r="T367" s="116" t="n">
        <v>882</v>
      </c>
      <c r="U367" s="117">
        <f>IFERROR(S367/T367,"")</f>
        <v/>
      </c>
      <c r="V367" s="116" t="n">
        <v>30</v>
      </c>
      <c r="W367" s="116" t="n">
        <v>24</v>
      </c>
      <c r="X367" s="118">
        <f>IFERROR(W367/S367,"")</f>
        <v/>
      </c>
      <c r="Y367" s="115">
        <f>IFERROR(R367/W367,"")</f>
        <v/>
      </c>
      <c r="Z367" s="115">
        <f>IFERROR(R367/S367*1000,"")</f>
        <v/>
      </c>
      <c r="AA367" s="116" t="n">
        <v>20</v>
      </c>
      <c r="AB367" s="47">
        <f>IFERROR(AA367/W367,"")</f>
        <v/>
      </c>
      <c r="AC367" s="116" t="n">
        <v>0</v>
      </c>
      <c r="AD367" s="116" t="n">
        <v>0</v>
      </c>
      <c r="AE367" s="116" t="n">
        <v>0</v>
      </c>
      <c r="AF367" s="116" t="n">
        <v>0</v>
      </c>
      <c r="AG367" s="116" t="n">
        <v>0</v>
      </c>
      <c r="AH367" s="116" t="n">
        <v>0</v>
      </c>
      <c r="AI367" s="47">
        <f>IFERROR(AC367/S367,"")</f>
        <v/>
      </c>
      <c r="AJ367" s="47">
        <f>IFERROR(AH367/S367,"")</f>
        <v/>
      </c>
      <c r="AK367" s="116" t="n">
        <v>20</v>
      </c>
      <c r="AL367" s="116" t="n">
        <v>0</v>
      </c>
      <c r="AM367" s="118">
        <f>IFERROR(AL367/AA367,"")</f>
        <v/>
      </c>
      <c r="AN367" s="119">
        <f>IFERROR(R367/AL367,"")</f>
        <v/>
      </c>
      <c r="AO367" s="116" t="n">
        <v>0</v>
      </c>
      <c r="AP367" s="47">
        <f>IFERROR(AO367/AL367,"")</f>
        <v/>
      </c>
      <c r="AQ367" s="119">
        <f>IFERROR(R367/AO367,"")</f>
        <v/>
      </c>
      <c r="AR367" s="116" t="n">
        <v>0</v>
      </c>
      <c r="AS367" s="116" t="n">
        <v>0</v>
      </c>
      <c r="AT367" s="116">
        <f>AL367+AR367</f>
        <v/>
      </c>
      <c r="AU367" s="119">
        <f>IFERROR(AO367*Assumptions!$C$26*Assumptions!$C$27*INDEX(Assumptions!$C$18:$C$21,MATCH(H367,Assumptions!$B$18:$B$21,0)),0)</f>
        <v/>
      </c>
    </row>
    <row r="368">
      <c r="A368" s="114" t="n">
        <v>46251</v>
      </c>
      <c r="B368" s="42" t="inlineStr">
        <is>
          <t>Wk 34</t>
        </is>
      </c>
      <c r="C368" s="42" t="inlineStr">
        <is>
          <t>Mon</t>
        </is>
      </c>
      <c r="D368" s="42" t="inlineStr">
        <is>
          <t>Meta (FB/IG)</t>
        </is>
      </c>
      <c r="E368" s="42" t="inlineStr">
        <is>
          <t>Facebook + Instagram</t>
        </is>
      </c>
      <c r="F368" s="42" t="inlineStr">
        <is>
          <t>LEP_ZA_AUG26_META_TD_JAVAN_CONV</t>
        </is>
      </c>
      <c r="G368" s="42" t="inlineStr">
        <is>
          <t>Leads - Website Conversions</t>
        </is>
      </c>
      <c r="H368" s="42" t="inlineStr">
        <is>
          <t>JAVAN</t>
        </is>
      </c>
      <c r="I368" s="42" t="inlineStr">
        <is>
          <t>10% Deposit</t>
        </is>
      </c>
      <c r="J368" s="42" t="inlineStr">
        <is>
          <t>MET_JAVAN_LAL2_SITE_ZA</t>
        </is>
      </c>
      <c r="K368" s="42" t="inlineStr">
        <is>
          <t>Lookalike</t>
        </is>
      </c>
      <c r="L368" s="42" t="inlineStr">
        <is>
          <t>JAVAN_STA_Offer_10Dep_v1</t>
        </is>
      </c>
      <c r="M368" s="42" t="inlineStr">
        <is>
          <t>Static 1:1</t>
        </is>
      </c>
      <c r="N368" s="42" t="inlineStr">
        <is>
          <t>R4 299pm. 10% deposit.</t>
        </is>
      </c>
      <c r="O368" s="42" t="inlineStr">
        <is>
          <t>Auction - Lowest Cost</t>
        </is>
      </c>
      <c r="P368" s="42" t="inlineStr">
        <is>
          <t>Offsite Conversions</t>
        </is>
      </c>
      <c r="Q368" s="42" t="inlineStr">
        <is>
          <t>https://www.lepas-sa.co.za/offers/javan</t>
        </is>
      </c>
      <c r="R368" s="115" t="n">
        <v>157.11</v>
      </c>
      <c r="S368" s="116" t="n">
        <v>2303</v>
      </c>
      <c r="T368" s="116" t="n">
        <v>1588</v>
      </c>
      <c r="U368" s="117">
        <f>IFERROR(S368/T368,"")</f>
        <v/>
      </c>
      <c r="V368" s="116" t="n">
        <v>45</v>
      </c>
      <c r="W368" s="116" t="n">
        <v>36</v>
      </c>
      <c r="X368" s="118">
        <f>IFERROR(W368/S368,"")</f>
        <v/>
      </c>
      <c r="Y368" s="115">
        <f>IFERROR(R368/W368,"")</f>
        <v/>
      </c>
      <c r="Z368" s="115">
        <f>IFERROR(R368/S368*1000,"")</f>
        <v/>
      </c>
      <c r="AA368" s="116" t="n">
        <v>31</v>
      </c>
      <c r="AB368" s="47">
        <f>IFERROR(AA368/W368,"")</f>
        <v/>
      </c>
      <c r="AC368" s="116" t="n">
        <v>0</v>
      </c>
      <c r="AD368" s="116" t="n">
        <v>0</v>
      </c>
      <c r="AE368" s="116" t="n">
        <v>0</v>
      </c>
      <c r="AF368" s="116" t="n">
        <v>0</v>
      </c>
      <c r="AG368" s="116" t="n">
        <v>0</v>
      </c>
      <c r="AH368" s="116" t="n">
        <v>0</v>
      </c>
      <c r="AI368" s="47">
        <f>IFERROR(AC368/S368,"")</f>
        <v/>
      </c>
      <c r="AJ368" s="47">
        <f>IFERROR(AH368/S368,"")</f>
        <v/>
      </c>
      <c r="AK368" s="116" t="n">
        <v>80</v>
      </c>
      <c r="AL368" s="116" t="n">
        <v>1</v>
      </c>
      <c r="AM368" s="118">
        <f>IFERROR(AL368/AA368,"")</f>
        <v/>
      </c>
      <c r="AN368" s="119">
        <f>IFERROR(R368/AL368,"")</f>
        <v/>
      </c>
      <c r="AO368" s="116" t="n">
        <v>1</v>
      </c>
      <c r="AP368" s="47">
        <f>IFERROR(AO368/AL368,"")</f>
        <v/>
      </c>
      <c r="AQ368" s="119">
        <f>IFERROR(R368/AO368,"")</f>
        <v/>
      </c>
      <c r="AR368" s="116" t="n">
        <v>0</v>
      </c>
      <c r="AS368" s="116" t="n">
        <v>1</v>
      </c>
      <c r="AT368" s="116">
        <f>AL368+AR368</f>
        <v/>
      </c>
      <c r="AU368" s="119">
        <f>IFERROR(AO368*Assumptions!$C$26*Assumptions!$C$27*INDEX(Assumptions!$C$18:$C$21,MATCH(H368,Assumptions!$B$18:$B$21,0)),0)</f>
        <v/>
      </c>
    </row>
    <row r="369">
      <c r="A369" s="114" t="n">
        <v>46252</v>
      </c>
      <c r="B369" s="42" t="inlineStr">
        <is>
          <t>Wk 34</t>
        </is>
      </c>
      <c r="C369" s="42" t="inlineStr">
        <is>
          <t>Tue</t>
        </is>
      </c>
      <c r="D369" s="42" t="inlineStr">
        <is>
          <t>Meta (FB/IG)</t>
        </is>
      </c>
      <c r="E369" s="42" t="inlineStr">
        <is>
          <t>Facebook + Instagram</t>
        </is>
      </c>
      <c r="F369" s="42" t="inlineStr">
        <is>
          <t>LEP_ZA_AUG26_META_TD_JAVAN_CONV</t>
        </is>
      </c>
      <c r="G369" s="42" t="inlineStr">
        <is>
          <t>Leads - Website Conversions</t>
        </is>
      </c>
      <c r="H369" s="42" t="inlineStr">
        <is>
          <t>JAVAN</t>
        </is>
      </c>
      <c r="I369" s="42" t="inlineStr">
        <is>
          <t>10% Deposit</t>
        </is>
      </c>
      <c r="J369" s="42" t="inlineStr">
        <is>
          <t>MET_JAVAN_LAL2_SITE_ZA</t>
        </is>
      </c>
      <c r="K369" s="42" t="inlineStr">
        <is>
          <t>Lookalike</t>
        </is>
      </c>
      <c r="L369" s="42" t="inlineStr">
        <is>
          <t>JAVAN_STA_Offer_10Dep_v1</t>
        </is>
      </c>
      <c r="M369" s="42" t="inlineStr">
        <is>
          <t>Static 1:1</t>
        </is>
      </c>
      <c r="N369" s="42" t="inlineStr">
        <is>
          <t>R4 299pm. 10% deposit.</t>
        </is>
      </c>
      <c r="O369" s="42" t="inlineStr">
        <is>
          <t>Auction - Lowest Cost</t>
        </is>
      </c>
      <c r="P369" s="42" t="inlineStr">
        <is>
          <t>Offsite Conversions</t>
        </is>
      </c>
      <c r="Q369" s="42" t="inlineStr">
        <is>
          <t>https://www.lepas-sa.co.za/offers/javan</t>
        </is>
      </c>
      <c r="R369" s="115" t="n">
        <v>182.77</v>
      </c>
      <c r="S369" s="116" t="n">
        <v>2234</v>
      </c>
      <c r="T369" s="116" t="n">
        <v>1446</v>
      </c>
      <c r="U369" s="117">
        <f>IFERROR(S369/T369,"")</f>
        <v/>
      </c>
      <c r="V369" s="116" t="n">
        <v>40</v>
      </c>
      <c r="W369" s="116" t="n">
        <v>30</v>
      </c>
      <c r="X369" s="118">
        <f>IFERROR(W369/S369,"")</f>
        <v/>
      </c>
      <c r="Y369" s="115">
        <f>IFERROR(R369/W369,"")</f>
        <v/>
      </c>
      <c r="Z369" s="115">
        <f>IFERROR(R369/S369*1000,"")</f>
        <v/>
      </c>
      <c r="AA369" s="116" t="n">
        <v>27</v>
      </c>
      <c r="AB369" s="47">
        <f>IFERROR(AA369/W369,"")</f>
        <v/>
      </c>
      <c r="AC369" s="116" t="n">
        <v>0</v>
      </c>
      <c r="AD369" s="116" t="n">
        <v>0</v>
      </c>
      <c r="AE369" s="116" t="n">
        <v>0</v>
      </c>
      <c r="AF369" s="116" t="n">
        <v>0</v>
      </c>
      <c r="AG369" s="116" t="n">
        <v>0</v>
      </c>
      <c r="AH369" s="116" t="n">
        <v>0</v>
      </c>
      <c r="AI369" s="47">
        <f>IFERROR(AC369/S369,"")</f>
        <v/>
      </c>
      <c r="AJ369" s="47">
        <f>IFERROR(AH369/S369,"")</f>
        <v/>
      </c>
      <c r="AK369" s="116" t="n">
        <v>47</v>
      </c>
      <c r="AL369" s="116" t="n">
        <v>1</v>
      </c>
      <c r="AM369" s="118">
        <f>IFERROR(AL369/AA369,"")</f>
        <v/>
      </c>
      <c r="AN369" s="119">
        <f>IFERROR(R369/AL369,"")</f>
        <v/>
      </c>
      <c r="AO369" s="116" t="n">
        <v>1</v>
      </c>
      <c r="AP369" s="47">
        <f>IFERROR(AO369/AL369,"")</f>
        <v/>
      </c>
      <c r="AQ369" s="119">
        <f>IFERROR(R369/AO369,"")</f>
        <v/>
      </c>
      <c r="AR369" s="116" t="n">
        <v>0</v>
      </c>
      <c r="AS369" s="116" t="n">
        <v>0</v>
      </c>
      <c r="AT369" s="116">
        <f>AL369+AR369</f>
        <v/>
      </c>
      <c r="AU369" s="119">
        <f>IFERROR(AO369*Assumptions!$C$26*Assumptions!$C$27*INDEX(Assumptions!$C$18:$C$21,MATCH(H369,Assumptions!$B$18:$B$21,0)),0)</f>
        <v/>
      </c>
    </row>
    <row r="370">
      <c r="A370" s="114" t="n">
        <v>46253</v>
      </c>
      <c r="B370" s="42" t="inlineStr">
        <is>
          <t>Wk 34</t>
        </is>
      </c>
      <c r="C370" s="42" t="inlineStr">
        <is>
          <t>Wed</t>
        </is>
      </c>
      <c r="D370" s="42" t="inlineStr">
        <is>
          <t>Meta (FB/IG)</t>
        </is>
      </c>
      <c r="E370" s="42" t="inlineStr">
        <is>
          <t>Facebook + Instagram</t>
        </is>
      </c>
      <c r="F370" s="42" t="inlineStr">
        <is>
          <t>LEP_ZA_AUG26_META_TD_JAVAN_CONV</t>
        </is>
      </c>
      <c r="G370" s="42" t="inlineStr">
        <is>
          <t>Leads - Website Conversions</t>
        </is>
      </c>
      <c r="H370" s="42" t="inlineStr">
        <is>
          <t>JAVAN</t>
        </is>
      </c>
      <c r="I370" s="42" t="inlineStr">
        <is>
          <t>10% Deposit</t>
        </is>
      </c>
      <c r="J370" s="42" t="inlineStr">
        <is>
          <t>MET_JAVAN_LAL2_SITE_ZA</t>
        </is>
      </c>
      <c r="K370" s="42" t="inlineStr">
        <is>
          <t>Lookalike</t>
        </is>
      </c>
      <c r="L370" s="42" t="inlineStr">
        <is>
          <t>JAVAN_STA_Offer_10Dep_v1</t>
        </is>
      </c>
      <c r="M370" s="42" t="inlineStr">
        <is>
          <t>Static 1:1</t>
        </is>
      </c>
      <c r="N370" s="42" t="inlineStr">
        <is>
          <t>R4 299pm. 10% deposit.</t>
        </is>
      </c>
      <c r="O370" s="42" t="inlineStr">
        <is>
          <t>Auction - Lowest Cost</t>
        </is>
      </c>
      <c r="P370" s="42" t="inlineStr">
        <is>
          <t>Offsite Conversions</t>
        </is>
      </c>
      <c r="Q370" s="42" t="inlineStr">
        <is>
          <t>https://www.lepas-sa.co.za/offers/javan</t>
        </is>
      </c>
      <c r="R370" s="115" t="n">
        <v>160.66</v>
      </c>
      <c r="S370" s="116" t="n">
        <v>1929</v>
      </c>
      <c r="T370" s="116" t="n">
        <v>1373</v>
      </c>
      <c r="U370" s="117">
        <f>IFERROR(S370/T370,"")</f>
        <v/>
      </c>
      <c r="V370" s="116" t="n">
        <v>33</v>
      </c>
      <c r="W370" s="116" t="n">
        <v>26</v>
      </c>
      <c r="X370" s="118">
        <f>IFERROR(W370/S370,"")</f>
        <v/>
      </c>
      <c r="Y370" s="115">
        <f>IFERROR(R370/W370,"")</f>
        <v/>
      </c>
      <c r="Z370" s="115">
        <f>IFERROR(R370/S370*1000,"")</f>
        <v/>
      </c>
      <c r="AA370" s="116" t="n">
        <v>22</v>
      </c>
      <c r="AB370" s="47">
        <f>IFERROR(AA370/W370,"")</f>
        <v/>
      </c>
      <c r="AC370" s="116" t="n">
        <v>0</v>
      </c>
      <c r="AD370" s="116" t="n">
        <v>0</v>
      </c>
      <c r="AE370" s="116" t="n">
        <v>0</v>
      </c>
      <c r="AF370" s="116" t="n">
        <v>0</v>
      </c>
      <c r="AG370" s="116" t="n">
        <v>0</v>
      </c>
      <c r="AH370" s="116" t="n">
        <v>0</v>
      </c>
      <c r="AI370" s="47">
        <f>IFERROR(AC370/S370,"")</f>
        <v/>
      </c>
      <c r="AJ370" s="47">
        <f>IFERROR(AH370/S370,"")</f>
        <v/>
      </c>
      <c r="AK370" s="116" t="n">
        <v>24</v>
      </c>
      <c r="AL370" s="116" t="n">
        <v>1</v>
      </c>
      <c r="AM370" s="118">
        <f>IFERROR(AL370/AA370,"")</f>
        <v/>
      </c>
      <c r="AN370" s="119">
        <f>IFERROR(R370/AL370,"")</f>
        <v/>
      </c>
      <c r="AO370" s="116" t="n">
        <v>0</v>
      </c>
      <c r="AP370" s="47">
        <f>IFERROR(AO370/AL370,"")</f>
        <v/>
      </c>
      <c r="AQ370" s="119">
        <f>IFERROR(R370/AO370,"")</f>
        <v/>
      </c>
      <c r="AR370" s="116" t="n">
        <v>1</v>
      </c>
      <c r="AS370" s="116" t="n">
        <v>0</v>
      </c>
      <c r="AT370" s="116">
        <f>AL370+AR370</f>
        <v/>
      </c>
      <c r="AU370" s="119">
        <f>IFERROR(AO370*Assumptions!$C$26*Assumptions!$C$27*INDEX(Assumptions!$C$18:$C$21,MATCH(H370,Assumptions!$B$18:$B$21,0)),0)</f>
        <v/>
      </c>
    </row>
    <row r="371">
      <c r="A371" s="114" t="n">
        <v>46254</v>
      </c>
      <c r="B371" s="42" t="inlineStr">
        <is>
          <t>Wk 34</t>
        </is>
      </c>
      <c r="C371" s="42" t="inlineStr">
        <is>
          <t>Thu</t>
        </is>
      </c>
      <c r="D371" s="42" t="inlineStr">
        <is>
          <t>Meta (FB/IG)</t>
        </is>
      </c>
      <c r="E371" s="42" t="inlineStr">
        <is>
          <t>Facebook + Instagram</t>
        </is>
      </c>
      <c r="F371" s="42" t="inlineStr">
        <is>
          <t>LEP_ZA_AUG26_META_TD_JAVAN_CONV</t>
        </is>
      </c>
      <c r="G371" s="42" t="inlineStr">
        <is>
          <t>Leads - Website Conversions</t>
        </is>
      </c>
      <c r="H371" s="42" t="inlineStr">
        <is>
          <t>JAVAN</t>
        </is>
      </c>
      <c r="I371" s="42" t="inlineStr">
        <is>
          <t>10% Deposit</t>
        </is>
      </c>
      <c r="J371" s="42" t="inlineStr">
        <is>
          <t>MET_JAVAN_LAL2_SITE_ZA</t>
        </is>
      </c>
      <c r="K371" s="42" t="inlineStr">
        <is>
          <t>Lookalike</t>
        </is>
      </c>
      <c r="L371" s="42" t="inlineStr">
        <is>
          <t>JAVAN_STA_Offer_10Dep_v1</t>
        </is>
      </c>
      <c r="M371" s="42" t="inlineStr">
        <is>
          <t>Static 1:1</t>
        </is>
      </c>
      <c r="N371" s="42" t="inlineStr">
        <is>
          <t>R4 299pm. 10% deposit.</t>
        </is>
      </c>
      <c r="O371" s="42" t="inlineStr">
        <is>
          <t>Auction - Lowest Cost</t>
        </is>
      </c>
      <c r="P371" s="42" t="inlineStr">
        <is>
          <t>Offsite Conversions</t>
        </is>
      </c>
      <c r="Q371" s="42" t="inlineStr">
        <is>
          <t>https://www.lepas-sa.co.za/offers/javan</t>
        </is>
      </c>
      <c r="R371" s="115" t="n">
        <v>196.41</v>
      </c>
      <c r="S371" s="116" t="n">
        <v>2663</v>
      </c>
      <c r="T371" s="116" t="n">
        <v>1430</v>
      </c>
      <c r="U371" s="117">
        <f>IFERROR(S371/T371,"")</f>
        <v/>
      </c>
      <c r="V371" s="116" t="n">
        <v>35</v>
      </c>
      <c r="W371" s="116" t="n">
        <v>27</v>
      </c>
      <c r="X371" s="118">
        <f>IFERROR(W371/S371,"")</f>
        <v/>
      </c>
      <c r="Y371" s="115">
        <f>IFERROR(R371/W371,"")</f>
        <v/>
      </c>
      <c r="Z371" s="115">
        <f>IFERROR(R371/S371*1000,"")</f>
        <v/>
      </c>
      <c r="AA371" s="116" t="n">
        <v>24</v>
      </c>
      <c r="AB371" s="47">
        <f>IFERROR(AA371/W371,"")</f>
        <v/>
      </c>
      <c r="AC371" s="116" t="n">
        <v>0</v>
      </c>
      <c r="AD371" s="116" t="n">
        <v>0</v>
      </c>
      <c r="AE371" s="116" t="n">
        <v>0</v>
      </c>
      <c r="AF371" s="116" t="n">
        <v>0</v>
      </c>
      <c r="AG371" s="116" t="n">
        <v>0</v>
      </c>
      <c r="AH371" s="116" t="n">
        <v>0</v>
      </c>
      <c r="AI371" s="47">
        <f>IFERROR(AC371/S371,"")</f>
        <v/>
      </c>
      <c r="AJ371" s="47">
        <f>IFERROR(AH371/S371,"")</f>
        <v/>
      </c>
      <c r="AK371" s="116" t="n">
        <v>60</v>
      </c>
      <c r="AL371" s="116" t="n">
        <v>0</v>
      </c>
      <c r="AM371" s="118">
        <f>IFERROR(AL371/AA371,"")</f>
        <v/>
      </c>
      <c r="AN371" s="119">
        <f>IFERROR(R371/AL371,"")</f>
        <v/>
      </c>
      <c r="AO371" s="116" t="n">
        <v>0</v>
      </c>
      <c r="AP371" s="47">
        <f>IFERROR(AO371/AL371,"")</f>
        <v/>
      </c>
      <c r="AQ371" s="119">
        <f>IFERROR(R371/AO371,"")</f>
        <v/>
      </c>
      <c r="AR371" s="116" t="n">
        <v>0</v>
      </c>
      <c r="AS371" s="116" t="n">
        <v>0</v>
      </c>
      <c r="AT371" s="116">
        <f>AL371+AR371</f>
        <v/>
      </c>
      <c r="AU371" s="119">
        <f>IFERROR(AO371*Assumptions!$C$26*Assumptions!$C$27*INDEX(Assumptions!$C$18:$C$21,MATCH(H371,Assumptions!$B$18:$B$21,0)),0)</f>
        <v/>
      </c>
    </row>
    <row r="372">
      <c r="A372" s="114" t="n">
        <v>46255</v>
      </c>
      <c r="B372" s="42" t="inlineStr">
        <is>
          <t>Wk 34</t>
        </is>
      </c>
      <c r="C372" s="42" t="inlineStr">
        <is>
          <t>Fri</t>
        </is>
      </c>
      <c r="D372" s="42" t="inlineStr">
        <is>
          <t>Meta (FB/IG)</t>
        </is>
      </c>
      <c r="E372" s="42" t="inlineStr">
        <is>
          <t>Facebook + Instagram</t>
        </is>
      </c>
      <c r="F372" s="42" t="inlineStr">
        <is>
          <t>LEP_ZA_AUG26_META_TD_JAVAN_CONV</t>
        </is>
      </c>
      <c r="G372" s="42" t="inlineStr">
        <is>
          <t>Leads - Website Conversions</t>
        </is>
      </c>
      <c r="H372" s="42" t="inlineStr">
        <is>
          <t>JAVAN</t>
        </is>
      </c>
      <c r="I372" s="42" t="inlineStr">
        <is>
          <t>10% Deposit</t>
        </is>
      </c>
      <c r="J372" s="42" t="inlineStr">
        <is>
          <t>MET_JAVAN_LAL2_SITE_ZA</t>
        </is>
      </c>
      <c r="K372" s="42" t="inlineStr">
        <is>
          <t>Lookalike</t>
        </is>
      </c>
      <c r="L372" s="42" t="inlineStr">
        <is>
          <t>JAVAN_STA_Offer_10Dep_v1</t>
        </is>
      </c>
      <c r="M372" s="42" t="inlineStr">
        <is>
          <t>Static 1:1</t>
        </is>
      </c>
      <c r="N372" s="42" t="inlineStr">
        <is>
          <t>R4 299pm. 10% deposit.</t>
        </is>
      </c>
      <c r="O372" s="42" t="inlineStr">
        <is>
          <t>Auction - Lowest Cost</t>
        </is>
      </c>
      <c r="P372" s="42" t="inlineStr">
        <is>
          <t>Offsite Conversions</t>
        </is>
      </c>
      <c r="Q372" s="42" t="inlineStr">
        <is>
          <t>https://www.lepas-sa.co.za/offers/javan</t>
        </is>
      </c>
      <c r="R372" s="115" t="n">
        <v>186.31</v>
      </c>
      <c r="S372" s="116" t="n">
        <v>2512</v>
      </c>
      <c r="T372" s="116" t="n">
        <v>1507</v>
      </c>
      <c r="U372" s="117">
        <f>IFERROR(S372/T372,"")</f>
        <v/>
      </c>
      <c r="V372" s="116" t="n">
        <v>34</v>
      </c>
      <c r="W372" s="116" t="n">
        <v>24</v>
      </c>
      <c r="X372" s="118">
        <f>IFERROR(W372/S372,"")</f>
        <v/>
      </c>
      <c r="Y372" s="115">
        <f>IFERROR(R372/W372,"")</f>
        <v/>
      </c>
      <c r="Z372" s="115">
        <f>IFERROR(R372/S372*1000,"")</f>
        <v/>
      </c>
      <c r="AA372" s="116" t="n">
        <v>19</v>
      </c>
      <c r="AB372" s="47">
        <f>IFERROR(AA372/W372,"")</f>
        <v/>
      </c>
      <c r="AC372" s="116" t="n">
        <v>0</v>
      </c>
      <c r="AD372" s="116" t="n">
        <v>0</v>
      </c>
      <c r="AE372" s="116" t="n">
        <v>0</v>
      </c>
      <c r="AF372" s="116" t="n">
        <v>0</v>
      </c>
      <c r="AG372" s="116" t="n">
        <v>0</v>
      </c>
      <c r="AH372" s="116" t="n">
        <v>0</v>
      </c>
      <c r="AI372" s="47">
        <f>IFERROR(AC372/S372,"")</f>
        <v/>
      </c>
      <c r="AJ372" s="47">
        <f>IFERROR(AH372/S372,"")</f>
        <v/>
      </c>
      <c r="AK372" s="116" t="n">
        <v>62</v>
      </c>
      <c r="AL372" s="116" t="n">
        <v>0</v>
      </c>
      <c r="AM372" s="118">
        <f>IFERROR(AL372/AA372,"")</f>
        <v/>
      </c>
      <c r="AN372" s="119">
        <f>IFERROR(R372/AL372,"")</f>
        <v/>
      </c>
      <c r="AO372" s="116" t="n">
        <v>0</v>
      </c>
      <c r="AP372" s="47">
        <f>IFERROR(AO372/AL372,"")</f>
        <v/>
      </c>
      <c r="AQ372" s="119">
        <f>IFERROR(R372/AO372,"")</f>
        <v/>
      </c>
      <c r="AR372" s="116" t="n">
        <v>0</v>
      </c>
      <c r="AS372" s="116" t="n">
        <v>0</v>
      </c>
      <c r="AT372" s="116">
        <f>AL372+AR372</f>
        <v/>
      </c>
      <c r="AU372" s="119">
        <f>IFERROR(AO372*Assumptions!$C$26*Assumptions!$C$27*INDEX(Assumptions!$C$18:$C$21,MATCH(H372,Assumptions!$B$18:$B$21,0)),0)</f>
        <v/>
      </c>
    </row>
    <row r="373">
      <c r="A373" s="114" t="n">
        <v>46256</v>
      </c>
      <c r="B373" s="42" t="inlineStr">
        <is>
          <t>Wk 34</t>
        </is>
      </c>
      <c r="C373" s="42" t="inlineStr">
        <is>
          <t>Sat</t>
        </is>
      </c>
      <c r="D373" s="42" t="inlineStr">
        <is>
          <t>Meta (FB/IG)</t>
        </is>
      </c>
      <c r="E373" s="42" t="inlineStr">
        <is>
          <t>Facebook + Instagram</t>
        </is>
      </c>
      <c r="F373" s="42" t="inlineStr">
        <is>
          <t>LEP_ZA_AUG26_META_TD_JAVAN_CONV</t>
        </is>
      </c>
      <c r="G373" s="42" t="inlineStr">
        <is>
          <t>Leads - Website Conversions</t>
        </is>
      </c>
      <c r="H373" s="42" t="inlineStr">
        <is>
          <t>JAVAN</t>
        </is>
      </c>
      <c r="I373" s="42" t="inlineStr">
        <is>
          <t>10% Deposit</t>
        </is>
      </c>
      <c r="J373" s="42" t="inlineStr">
        <is>
          <t>MET_JAVAN_LAL2_SITE_ZA</t>
        </is>
      </c>
      <c r="K373" s="42" t="inlineStr">
        <is>
          <t>Lookalike</t>
        </is>
      </c>
      <c r="L373" s="42" t="inlineStr">
        <is>
          <t>JAVAN_STA_Offer_10Dep_v1</t>
        </is>
      </c>
      <c r="M373" s="42" t="inlineStr">
        <is>
          <t>Static 1:1</t>
        </is>
      </c>
      <c r="N373" s="42" t="inlineStr">
        <is>
          <t>R4 299pm. 10% deposit.</t>
        </is>
      </c>
      <c r="O373" s="42" t="inlineStr">
        <is>
          <t>Auction - Lowest Cost</t>
        </is>
      </c>
      <c r="P373" s="42" t="inlineStr">
        <is>
          <t>Offsite Conversions</t>
        </is>
      </c>
      <c r="Q373" s="42" t="inlineStr">
        <is>
          <t>https://www.lepas-sa.co.za/offers/javan</t>
        </is>
      </c>
      <c r="R373" s="115" t="n">
        <v>192.54</v>
      </c>
      <c r="S373" s="116" t="n">
        <v>2095</v>
      </c>
      <c r="T373" s="116" t="n">
        <v>1187</v>
      </c>
      <c r="U373" s="117">
        <f>IFERROR(S373/T373,"")</f>
        <v/>
      </c>
      <c r="V373" s="116" t="n">
        <v>25</v>
      </c>
      <c r="W373" s="116" t="n">
        <v>20</v>
      </c>
      <c r="X373" s="118">
        <f>IFERROR(W373/S373,"")</f>
        <v/>
      </c>
      <c r="Y373" s="115">
        <f>IFERROR(R373/W373,"")</f>
        <v/>
      </c>
      <c r="Z373" s="115">
        <f>IFERROR(R373/S373*1000,"")</f>
        <v/>
      </c>
      <c r="AA373" s="116" t="n">
        <v>17</v>
      </c>
      <c r="AB373" s="47">
        <f>IFERROR(AA373/W373,"")</f>
        <v/>
      </c>
      <c r="AC373" s="116" t="n">
        <v>0</v>
      </c>
      <c r="AD373" s="116" t="n">
        <v>0</v>
      </c>
      <c r="AE373" s="116" t="n">
        <v>0</v>
      </c>
      <c r="AF373" s="116" t="n">
        <v>0</v>
      </c>
      <c r="AG373" s="116" t="n">
        <v>0</v>
      </c>
      <c r="AH373" s="116" t="n">
        <v>0</v>
      </c>
      <c r="AI373" s="47">
        <f>IFERROR(AC373/S373,"")</f>
        <v/>
      </c>
      <c r="AJ373" s="47">
        <f>IFERROR(AH373/S373,"")</f>
        <v/>
      </c>
      <c r="AK373" s="116" t="n">
        <v>40</v>
      </c>
      <c r="AL373" s="116" t="n">
        <v>1</v>
      </c>
      <c r="AM373" s="118">
        <f>IFERROR(AL373/AA373,"")</f>
        <v/>
      </c>
      <c r="AN373" s="119">
        <f>IFERROR(R373/AL373,"")</f>
        <v/>
      </c>
      <c r="AO373" s="116" t="n">
        <v>1</v>
      </c>
      <c r="AP373" s="47">
        <f>IFERROR(AO373/AL373,"")</f>
        <v/>
      </c>
      <c r="AQ373" s="119">
        <f>IFERROR(R373/AO373,"")</f>
        <v/>
      </c>
      <c r="AR373" s="116" t="n">
        <v>1</v>
      </c>
      <c r="AS373" s="116" t="n">
        <v>0</v>
      </c>
      <c r="AT373" s="116">
        <f>AL373+AR373</f>
        <v/>
      </c>
      <c r="AU373" s="119">
        <f>IFERROR(AO373*Assumptions!$C$26*Assumptions!$C$27*INDEX(Assumptions!$C$18:$C$21,MATCH(H373,Assumptions!$B$18:$B$21,0)),0)</f>
        <v/>
      </c>
    </row>
    <row r="374">
      <c r="A374" s="114" t="n">
        <v>46257</v>
      </c>
      <c r="B374" s="42" t="inlineStr">
        <is>
          <t>Wk 34</t>
        </is>
      </c>
      <c r="C374" s="42" t="inlineStr">
        <is>
          <t>Sun</t>
        </is>
      </c>
      <c r="D374" s="42" t="inlineStr">
        <is>
          <t>Meta (FB/IG)</t>
        </is>
      </c>
      <c r="E374" s="42" t="inlineStr">
        <is>
          <t>Facebook + Instagram</t>
        </is>
      </c>
      <c r="F374" s="42" t="inlineStr">
        <is>
          <t>LEP_ZA_AUG26_META_TD_JAVAN_CONV</t>
        </is>
      </c>
      <c r="G374" s="42" t="inlineStr">
        <is>
          <t>Leads - Website Conversions</t>
        </is>
      </c>
      <c r="H374" s="42" t="inlineStr">
        <is>
          <t>JAVAN</t>
        </is>
      </c>
      <c r="I374" s="42" t="inlineStr">
        <is>
          <t>10% Deposit</t>
        </is>
      </c>
      <c r="J374" s="42" t="inlineStr">
        <is>
          <t>MET_JAVAN_LAL2_SITE_ZA</t>
        </is>
      </c>
      <c r="K374" s="42" t="inlineStr">
        <is>
          <t>Lookalike</t>
        </is>
      </c>
      <c r="L374" s="42" t="inlineStr">
        <is>
          <t>JAVAN_STA_Offer_10Dep_v1</t>
        </is>
      </c>
      <c r="M374" s="42" t="inlineStr">
        <is>
          <t>Static 1:1</t>
        </is>
      </c>
      <c r="N374" s="42" t="inlineStr">
        <is>
          <t>R4 299pm. 10% deposit.</t>
        </is>
      </c>
      <c r="O374" s="42" t="inlineStr">
        <is>
          <t>Auction - Lowest Cost</t>
        </is>
      </c>
      <c r="P374" s="42" t="inlineStr">
        <is>
          <t>Offsite Conversions</t>
        </is>
      </c>
      <c r="Q374" s="42" t="inlineStr">
        <is>
          <t>https://www.lepas-sa.co.za/offers/javan</t>
        </is>
      </c>
      <c r="R374" s="115" t="n">
        <v>126.83</v>
      </c>
      <c r="S374" s="116" t="n">
        <v>1424</v>
      </c>
      <c r="T374" s="116" t="n">
        <v>895</v>
      </c>
      <c r="U374" s="117">
        <f>IFERROR(S374/T374,"")</f>
        <v/>
      </c>
      <c r="V374" s="116" t="n">
        <v>17</v>
      </c>
      <c r="W374" s="116" t="n">
        <v>13</v>
      </c>
      <c r="X374" s="118">
        <f>IFERROR(W374/S374,"")</f>
        <v/>
      </c>
      <c r="Y374" s="115">
        <f>IFERROR(R374/W374,"")</f>
        <v/>
      </c>
      <c r="Z374" s="115">
        <f>IFERROR(R374/S374*1000,"")</f>
        <v/>
      </c>
      <c r="AA374" s="116" t="n">
        <v>11</v>
      </c>
      <c r="AB374" s="47">
        <f>IFERROR(AA374/W374,"")</f>
        <v/>
      </c>
      <c r="AC374" s="116" t="n">
        <v>0</v>
      </c>
      <c r="AD374" s="116" t="n">
        <v>0</v>
      </c>
      <c r="AE374" s="116" t="n">
        <v>0</v>
      </c>
      <c r="AF374" s="116" t="n">
        <v>0</v>
      </c>
      <c r="AG374" s="116" t="n">
        <v>0</v>
      </c>
      <c r="AH374" s="116" t="n">
        <v>0</v>
      </c>
      <c r="AI374" s="47">
        <f>IFERROR(AC374/S374,"")</f>
        <v/>
      </c>
      <c r="AJ374" s="47">
        <f>IFERROR(AH374/S374,"")</f>
        <v/>
      </c>
      <c r="AK374" s="116" t="n">
        <v>22</v>
      </c>
      <c r="AL374" s="116" t="n">
        <v>0</v>
      </c>
      <c r="AM374" s="118">
        <f>IFERROR(AL374/AA374,"")</f>
        <v/>
      </c>
      <c r="AN374" s="119">
        <f>IFERROR(R374/AL374,"")</f>
        <v/>
      </c>
      <c r="AO374" s="116" t="n">
        <v>0</v>
      </c>
      <c r="AP374" s="47">
        <f>IFERROR(AO374/AL374,"")</f>
        <v/>
      </c>
      <c r="AQ374" s="119">
        <f>IFERROR(R374/AO374,"")</f>
        <v/>
      </c>
      <c r="AR374" s="116" t="n">
        <v>0</v>
      </c>
      <c r="AS374" s="116" t="n">
        <v>0</v>
      </c>
      <c r="AT374" s="116">
        <f>AL374+AR374</f>
        <v/>
      </c>
      <c r="AU374" s="119">
        <f>IFERROR(AO374*Assumptions!$C$26*Assumptions!$C$27*INDEX(Assumptions!$C$18:$C$21,MATCH(H374,Assumptions!$B$18:$B$21,0)),0)</f>
        <v/>
      </c>
    </row>
    <row r="375">
      <c r="A375" s="114" t="n">
        <v>46258</v>
      </c>
      <c r="B375" s="42" t="inlineStr">
        <is>
          <t>Wk 35</t>
        </is>
      </c>
      <c r="C375" s="42" t="inlineStr">
        <is>
          <t>Mon</t>
        </is>
      </c>
      <c r="D375" s="42" t="inlineStr">
        <is>
          <t>Meta (FB/IG)</t>
        </is>
      </c>
      <c r="E375" s="42" t="inlineStr">
        <is>
          <t>Facebook + Instagram</t>
        </is>
      </c>
      <c r="F375" s="42" t="inlineStr">
        <is>
          <t>LEP_ZA_AUG26_META_TD_JAVAN_CONV</t>
        </is>
      </c>
      <c r="G375" s="42" t="inlineStr">
        <is>
          <t>Leads - Website Conversions</t>
        </is>
      </c>
      <c r="H375" s="42" t="inlineStr">
        <is>
          <t>JAVAN</t>
        </is>
      </c>
      <c r="I375" s="42" t="inlineStr">
        <is>
          <t>10% Deposit</t>
        </is>
      </c>
      <c r="J375" s="42" t="inlineStr">
        <is>
          <t>MET_JAVAN_LAL2_SITE_ZA</t>
        </is>
      </c>
      <c r="K375" s="42" t="inlineStr">
        <is>
          <t>Lookalike</t>
        </is>
      </c>
      <c r="L375" s="42" t="inlineStr">
        <is>
          <t>JAVAN_STA_Offer_10Dep_v1</t>
        </is>
      </c>
      <c r="M375" s="42" t="inlineStr">
        <is>
          <t>Static 1:1</t>
        </is>
      </c>
      <c r="N375" s="42" t="inlineStr">
        <is>
          <t>R4 299pm. 10% deposit.</t>
        </is>
      </c>
      <c r="O375" s="42" t="inlineStr">
        <is>
          <t>Auction - Lowest Cost</t>
        </is>
      </c>
      <c r="P375" s="42" t="inlineStr">
        <is>
          <t>Offsite Conversions</t>
        </is>
      </c>
      <c r="Q375" s="42" t="inlineStr">
        <is>
          <t>https://www.lepas-sa.co.za/offers/javan</t>
        </is>
      </c>
      <c r="R375" s="115" t="n">
        <v>150.05</v>
      </c>
      <c r="S375" s="116" t="n">
        <v>1948</v>
      </c>
      <c r="T375" s="116" t="n">
        <v>1006</v>
      </c>
      <c r="U375" s="117">
        <f>IFERROR(S375/T375,"")</f>
        <v/>
      </c>
      <c r="V375" s="116" t="n">
        <v>24</v>
      </c>
      <c r="W375" s="116" t="n">
        <v>19</v>
      </c>
      <c r="X375" s="118">
        <f>IFERROR(W375/S375,"")</f>
        <v/>
      </c>
      <c r="Y375" s="115">
        <f>IFERROR(R375/W375,"")</f>
        <v/>
      </c>
      <c r="Z375" s="115">
        <f>IFERROR(R375/S375*1000,"")</f>
        <v/>
      </c>
      <c r="AA375" s="116" t="n">
        <v>16</v>
      </c>
      <c r="AB375" s="47">
        <f>IFERROR(AA375/W375,"")</f>
        <v/>
      </c>
      <c r="AC375" s="116" t="n">
        <v>0</v>
      </c>
      <c r="AD375" s="116" t="n">
        <v>0</v>
      </c>
      <c r="AE375" s="116" t="n">
        <v>0</v>
      </c>
      <c r="AF375" s="116" t="n">
        <v>0</v>
      </c>
      <c r="AG375" s="116" t="n">
        <v>0</v>
      </c>
      <c r="AH375" s="116" t="n">
        <v>0</v>
      </c>
      <c r="AI375" s="47">
        <f>IFERROR(AC375/S375,"")</f>
        <v/>
      </c>
      <c r="AJ375" s="47">
        <f>IFERROR(AH375/S375,"")</f>
        <v/>
      </c>
      <c r="AK375" s="116" t="n">
        <v>38</v>
      </c>
      <c r="AL375" s="116" t="n">
        <v>0</v>
      </c>
      <c r="AM375" s="118">
        <f>IFERROR(AL375/AA375,"")</f>
        <v/>
      </c>
      <c r="AN375" s="119">
        <f>IFERROR(R375/AL375,"")</f>
        <v/>
      </c>
      <c r="AO375" s="116" t="n">
        <v>0</v>
      </c>
      <c r="AP375" s="47">
        <f>IFERROR(AO375/AL375,"")</f>
        <v/>
      </c>
      <c r="AQ375" s="119">
        <f>IFERROR(R375/AO375,"")</f>
        <v/>
      </c>
      <c r="AR375" s="116" t="n">
        <v>0</v>
      </c>
      <c r="AS375" s="116" t="n">
        <v>0</v>
      </c>
      <c r="AT375" s="116">
        <f>AL375+AR375</f>
        <v/>
      </c>
      <c r="AU375" s="119">
        <f>IFERROR(AO375*Assumptions!$C$26*Assumptions!$C$27*INDEX(Assumptions!$C$18:$C$21,MATCH(H375,Assumptions!$B$18:$B$21,0)),0)</f>
        <v/>
      </c>
    </row>
    <row r="376">
      <c r="A376" s="114" t="n">
        <v>46259</v>
      </c>
      <c r="B376" s="42" t="inlineStr">
        <is>
          <t>Wk 35</t>
        </is>
      </c>
      <c r="C376" s="42" t="inlineStr">
        <is>
          <t>Tue</t>
        </is>
      </c>
      <c r="D376" s="42" t="inlineStr">
        <is>
          <t>Meta (FB/IG)</t>
        </is>
      </c>
      <c r="E376" s="42" t="inlineStr">
        <is>
          <t>Facebook + Instagram</t>
        </is>
      </c>
      <c r="F376" s="42" t="inlineStr">
        <is>
          <t>LEP_ZA_AUG26_META_TD_JAVAN_CONV</t>
        </is>
      </c>
      <c r="G376" s="42" t="inlineStr">
        <is>
          <t>Leads - Website Conversions</t>
        </is>
      </c>
      <c r="H376" s="42" t="inlineStr">
        <is>
          <t>JAVAN</t>
        </is>
      </c>
      <c r="I376" s="42" t="inlineStr">
        <is>
          <t>10% Deposit</t>
        </is>
      </c>
      <c r="J376" s="42" t="inlineStr">
        <is>
          <t>MET_JAVAN_LAL2_SITE_ZA</t>
        </is>
      </c>
      <c r="K376" s="42" t="inlineStr">
        <is>
          <t>Lookalike</t>
        </is>
      </c>
      <c r="L376" s="42" t="inlineStr">
        <is>
          <t>JAVAN_STA_Offer_10Dep_v1</t>
        </is>
      </c>
      <c r="M376" s="42" t="inlineStr">
        <is>
          <t>Static 1:1</t>
        </is>
      </c>
      <c r="N376" s="42" t="inlineStr">
        <is>
          <t>R4 299pm. 10% deposit.</t>
        </is>
      </c>
      <c r="O376" s="42" t="inlineStr">
        <is>
          <t>Auction - Lowest Cost</t>
        </is>
      </c>
      <c r="P376" s="42" t="inlineStr">
        <is>
          <t>Offsite Conversions</t>
        </is>
      </c>
      <c r="Q376" s="42" t="inlineStr">
        <is>
          <t>https://www.lepas-sa.co.za/offers/javan</t>
        </is>
      </c>
      <c r="R376" s="115" t="n">
        <v>171.86</v>
      </c>
      <c r="S376" s="116" t="n">
        <v>2260</v>
      </c>
      <c r="T376" s="116" t="n">
        <v>1114</v>
      </c>
      <c r="U376" s="117">
        <f>IFERROR(S376/T376,"")</f>
        <v/>
      </c>
      <c r="V376" s="116" t="n">
        <v>41</v>
      </c>
      <c r="W376" s="116" t="n">
        <v>35</v>
      </c>
      <c r="X376" s="118">
        <f>IFERROR(W376/S376,"")</f>
        <v/>
      </c>
      <c r="Y376" s="115">
        <f>IFERROR(R376/W376,"")</f>
        <v/>
      </c>
      <c r="Z376" s="115">
        <f>IFERROR(R376/S376*1000,"")</f>
        <v/>
      </c>
      <c r="AA376" s="116" t="n">
        <v>30</v>
      </c>
      <c r="AB376" s="47">
        <f>IFERROR(AA376/W376,"")</f>
        <v/>
      </c>
      <c r="AC376" s="116" t="n">
        <v>0</v>
      </c>
      <c r="AD376" s="116" t="n">
        <v>0</v>
      </c>
      <c r="AE376" s="116" t="n">
        <v>0</v>
      </c>
      <c r="AF376" s="116" t="n">
        <v>0</v>
      </c>
      <c r="AG376" s="116" t="n">
        <v>0</v>
      </c>
      <c r="AH376" s="116" t="n">
        <v>0</v>
      </c>
      <c r="AI376" s="47">
        <f>IFERROR(AC376/S376,"")</f>
        <v/>
      </c>
      <c r="AJ376" s="47">
        <f>IFERROR(AH376/S376,"")</f>
        <v/>
      </c>
      <c r="AK376" s="116" t="n">
        <v>66</v>
      </c>
      <c r="AL376" s="116" t="n">
        <v>1</v>
      </c>
      <c r="AM376" s="118">
        <f>IFERROR(AL376/AA376,"")</f>
        <v/>
      </c>
      <c r="AN376" s="119">
        <f>IFERROR(R376/AL376,"")</f>
        <v/>
      </c>
      <c r="AO376" s="116" t="n">
        <v>1</v>
      </c>
      <c r="AP376" s="47">
        <f>IFERROR(AO376/AL376,"")</f>
        <v/>
      </c>
      <c r="AQ376" s="119">
        <f>IFERROR(R376/AO376,"")</f>
        <v/>
      </c>
      <c r="AR376" s="116" t="n">
        <v>0</v>
      </c>
      <c r="AS376" s="116" t="n">
        <v>1</v>
      </c>
      <c r="AT376" s="116">
        <f>AL376+AR376</f>
        <v/>
      </c>
      <c r="AU376" s="119">
        <f>IFERROR(AO376*Assumptions!$C$26*Assumptions!$C$27*INDEX(Assumptions!$C$18:$C$21,MATCH(H376,Assumptions!$B$18:$B$21,0)),0)</f>
        <v/>
      </c>
    </row>
    <row r="377">
      <c r="A377" s="114" t="n">
        <v>46260</v>
      </c>
      <c r="B377" s="42" t="inlineStr">
        <is>
          <t>Wk 35</t>
        </is>
      </c>
      <c r="C377" s="42" t="inlineStr">
        <is>
          <t>Wed</t>
        </is>
      </c>
      <c r="D377" s="42" t="inlineStr">
        <is>
          <t>Meta (FB/IG)</t>
        </is>
      </c>
      <c r="E377" s="42" t="inlineStr">
        <is>
          <t>Facebook + Instagram</t>
        </is>
      </c>
      <c r="F377" s="42" t="inlineStr">
        <is>
          <t>LEP_ZA_AUG26_META_TD_JAVAN_CONV</t>
        </is>
      </c>
      <c r="G377" s="42" t="inlineStr">
        <is>
          <t>Leads - Website Conversions</t>
        </is>
      </c>
      <c r="H377" s="42" t="inlineStr">
        <is>
          <t>JAVAN</t>
        </is>
      </c>
      <c r="I377" s="42" t="inlineStr">
        <is>
          <t>10% Deposit</t>
        </is>
      </c>
      <c r="J377" s="42" t="inlineStr">
        <is>
          <t>MET_JAVAN_LAL2_SITE_ZA</t>
        </is>
      </c>
      <c r="K377" s="42" t="inlineStr">
        <is>
          <t>Lookalike</t>
        </is>
      </c>
      <c r="L377" s="42" t="inlineStr">
        <is>
          <t>JAVAN_STA_Offer_10Dep_v1</t>
        </is>
      </c>
      <c r="M377" s="42" t="inlineStr">
        <is>
          <t>Static 1:1</t>
        </is>
      </c>
      <c r="N377" s="42" t="inlineStr">
        <is>
          <t>R4 299pm. 10% deposit.</t>
        </is>
      </c>
      <c r="O377" s="42" t="inlineStr">
        <is>
          <t>Auction - Lowest Cost</t>
        </is>
      </c>
      <c r="P377" s="42" t="inlineStr">
        <is>
          <t>Offsite Conversions</t>
        </is>
      </c>
      <c r="Q377" s="42" t="inlineStr">
        <is>
          <t>https://www.lepas-sa.co.za/offers/javan</t>
        </is>
      </c>
      <c r="R377" s="115" t="n">
        <v>164.88</v>
      </c>
      <c r="S377" s="116" t="n">
        <v>1716</v>
      </c>
      <c r="T377" s="116" t="n">
        <v>1116</v>
      </c>
      <c r="U377" s="117">
        <f>IFERROR(S377/T377,"")</f>
        <v/>
      </c>
      <c r="V377" s="116" t="n">
        <v>19</v>
      </c>
      <c r="W377" s="116" t="n">
        <v>16</v>
      </c>
      <c r="X377" s="118">
        <f>IFERROR(W377/S377,"")</f>
        <v/>
      </c>
      <c r="Y377" s="115">
        <f>IFERROR(R377/W377,"")</f>
        <v/>
      </c>
      <c r="Z377" s="115">
        <f>IFERROR(R377/S377*1000,"")</f>
        <v/>
      </c>
      <c r="AA377" s="116" t="n">
        <v>13</v>
      </c>
      <c r="AB377" s="47">
        <f>IFERROR(AA377/W377,"")</f>
        <v/>
      </c>
      <c r="AC377" s="116" t="n">
        <v>0</v>
      </c>
      <c r="AD377" s="116" t="n">
        <v>0</v>
      </c>
      <c r="AE377" s="116" t="n">
        <v>0</v>
      </c>
      <c r="AF377" s="116" t="n">
        <v>0</v>
      </c>
      <c r="AG377" s="116" t="n">
        <v>0</v>
      </c>
      <c r="AH377" s="116" t="n">
        <v>0</v>
      </c>
      <c r="AI377" s="47">
        <f>IFERROR(AC377/S377,"")</f>
        <v/>
      </c>
      <c r="AJ377" s="47">
        <f>IFERROR(AH377/S377,"")</f>
        <v/>
      </c>
      <c r="AK377" s="116" t="n">
        <v>18</v>
      </c>
      <c r="AL377" s="116" t="n">
        <v>0</v>
      </c>
      <c r="AM377" s="118">
        <f>IFERROR(AL377/AA377,"")</f>
        <v/>
      </c>
      <c r="AN377" s="119">
        <f>IFERROR(R377/AL377,"")</f>
        <v/>
      </c>
      <c r="AO377" s="116" t="n">
        <v>0</v>
      </c>
      <c r="AP377" s="47">
        <f>IFERROR(AO377/AL377,"")</f>
        <v/>
      </c>
      <c r="AQ377" s="119">
        <f>IFERROR(R377/AO377,"")</f>
        <v/>
      </c>
      <c r="AR377" s="116" t="n">
        <v>0</v>
      </c>
      <c r="AS377" s="116" t="n">
        <v>0</v>
      </c>
      <c r="AT377" s="116">
        <f>AL377+AR377</f>
        <v/>
      </c>
      <c r="AU377" s="119">
        <f>IFERROR(AO377*Assumptions!$C$26*Assumptions!$C$27*INDEX(Assumptions!$C$18:$C$21,MATCH(H377,Assumptions!$B$18:$B$21,0)),0)</f>
        <v/>
      </c>
    </row>
    <row r="378">
      <c r="A378" s="114" t="n">
        <v>46261</v>
      </c>
      <c r="B378" s="42" t="inlineStr">
        <is>
          <t>Wk 35</t>
        </is>
      </c>
      <c r="C378" s="42" t="inlineStr">
        <is>
          <t>Thu</t>
        </is>
      </c>
      <c r="D378" s="42" t="inlineStr">
        <is>
          <t>Meta (FB/IG)</t>
        </is>
      </c>
      <c r="E378" s="42" t="inlineStr">
        <is>
          <t>Facebook + Instagram</t>
        </is>
      </c>
      <c r="F378" s="42" t="inlineStr">
        <is>
          <t>LEP_ZA_AUG26_META_TD_JAVAN_CONV</t>
        </is>
      </c>
      <c r="G378" s="42" t="inlineStr">
        <is>
          <t>Leads - Website Conversions</t>
        </is>
      </c>
      <c r="H378" s="42" t="inlineStr">
        <is>
          <t>JAVAN</t>
        </is>
      </c>
      <c r="I378" s="42" t="inlineStr">
        <is>
          <t>10% Deposit</t>
        </is>
      </c>
      <c r="J378" s="42" t="inlineStr">
        <is>
          <t>MET_JAVAN_LAL2_SITE_ZA</t>
        </is>
      </c>
      <c r="K378" s="42" t="inlineStr">
        <is>
          <t>Lookalike</t>
        </is>
      </c>
      <c r="L378" s="42" t="inlineStr">
        <is>
          <t>JAVAN_STA_Offer_10Dep_v1</t>
        </is>
      </c>
      <c r="M378" s="42" t="inlineStr">
        <is>
          <t>Static 1:1</t>
        </is>
      </c>
      <c r="N378" s="42" t="inlineStr">
        <is>
          <t>R4 299pm. 10% deposit.</t>
        </is>
      </c>
      <c r="O378" s="42" t="inlineStr">
        <is>
          <t>Auction - Lowest Cost</t>
        </is>
      </c>
      <c r="P378" s="42" t="inlineStr">
        <is>
          <t>Offsite Conversions</t>
        </is>
      </c>
      <c r="Q378" s="42" t="inlineStr">
        <is>
          <t>https://www.lepas-sa.co.za/offers/javan</t>
        </is>
      </c>
      <c r="R378" s="115" t="n">
        <v>237.56</v>
      </c>
      <c r="S378" s="116" t="n">
        <v>2955</v>
      </c>
      <c r="T378" s="116" t="n">
        <v>1729</v>
      </c>
      <c r="U378" s="117">
        <f>IFERROR(S378/T378,"")</f>
        <v/>
      </c>
      <c r="V378" s="116" t="n">
        <v>49</v>
      </c>
      <c r="W378" s="116" t="n">
        <v>36</v>
      </c>
      <c r="X378" s="118">
        <f>IFERROR(W378/S378,"")</f>
        <v/>
      </c>
      <c r="Y378" s="115">
        <f>IFERROR(R378/W378,"")</f>
        <v/>
      </c>
      <c r="Z378" s="115">
        <f>IFERROR(R378/S378*1000,"")</f>
        <v/>
      </c>
      <c r="AA378" s="116" t="n">
        <v>32</v>
      </c>
      <c r="AB378" s="47">
        <f>IFERROR(AA378/W378,"")</f>
        <v/>
      </c>
      <c r="AC378" s="116" t="n">
        <v>0</v>
      </c>
      <c r="AD378" s="116" t="n">
        <v>0</v>
      </c>
      <c r="AE378" s="116" t="n">
        <v>0</v>
      </c>
      <c r="AF378" s="116" t="n">
        <v>0</v>
      </c>
      <c r="AG378" s="116" t="n">
        <v>0</v>
      </c>
      <c r="AH378" s="116" t="n">
        <v>0</v>
      </c>
      <c r="AI378" s="47">
        <f>IFERROR(AC378/S378,"")</f>
        <v/>
      </c>
      <c r="AJ378" s="47">
        <f>IFERROR(AH378/S378,"")</f>
        <v/>
      </c>
      <c r="AK378" s="116" t="n">
        <v>102</v>
      </c>
      <c r="AL378" s="116" t="n">
        <v>0</v>
      </c>
      <c r="AM378" s="118">
        <f>IFERROR(AL378/AA378,"")</f>
        <v/>
      </c>
      <c r="AN378" s="119">
        <f>IFERROR(R378/AL378,"")</f>
        <v/>
      </c>
      <c r="AO378" s="116" t="n">
        <v>0</v>
      </c>
      <c r="AP378" s="47">
        <f>IFERROR(AO378/AL378,"")</f>
        <v/>
      </c>
      <c r="AQ378" s="119">
        <f>IFERROR(R378/AO378,"")</f>
        <v/>
      </c>
      <c r="AR378" s="116" t="n">
        <v>0</v>
      </c>
      <c r="AS378" s="116" t="n">
        <v>0</v>
      </c>
      <c r="AT378" s="116">
        <f>AL378+AR378</f>
        <v/>
      </c>
      <c r="AU378" s="119">
        <f>IFERROR(AO378*Assumptions!$C$26*Assumptions!$C$27*INDEX(Assumptions!$C$18:$C$21,MATCH(H378,Assumptions!$B$18:$B$21,0)),0)</f>
        <v/>
      </c>
    </row>
    <row r="379">
      <c r="A379" s="114" t="n">
        <v>46262</v>
      </c>
      <c r="B379" s="42" t="inlineStr">
        <is>
          <t>Wk 35</t>
        </is>
      </c>
      <c r="C379" s="42" t="inlineStr">
        <is>
          <t>Fri</t>
        </is>
      </c>
      <c r="D379" s="42" t="inlineStr">
        <is>
          <t>Meta (FB/IG)</t>
        </is>
      </c>
      <c r="E379" s="42" t="inlineStr">
        <is>
          <t>Facebook + Instagram</t>
        </is>
      </c>
      <c r="F379" s="42" t="inlineStr">
        <is>
          <t>LEP_ZA_AUG26_META_TD_JAVAN_CONV</t>
        </is>
      </c>
      <c r="G379" s="42" t="inlineStr">
        <is>
          <t>Leads - Website Conversions</t>
        </is>
      </c>
      <c r="H379" s="42" t="inlineStr">
        <is>
          <t>JAVAN</t>
        </is>
      </c>
      <c r="I379" s="42" t="inlineStr">
        <is>
          <t>10% Deposit</t>
        </is>
      </c>
      <c r="J379" s="42" t="inlineStr">
        <is>
          <t>MET_JAVAN_LAL2_SITE_ZA</t>
        </is>
      </c>
      <c r="K379" s="42" t="inlineStr">
        <is>
          <t>Lookalike</t>
        </is>
      </c>
      <c r="L379" s="42" t="inlineStr">
        <is>
          <t>JAVAN_STA_Offer_10Dep_v1</t>
        </is>
      </c>
      <c r="M379" s="42" t="inlineStr">
        <is>
          <t>Static 1:1</t>
        </is>
      </c>
      <c r="N379" s="42" t="inlineStr">
        <is>
          <t>R4 299pm. 10% deposit.</t>
        </is>
      </c>
      <c r="O379" s="42" t="inlineStr">
        <is>
          <t>Auction - Lowest Cost</t>
        </is>
      </c>
      <c r="P379" s="42" t="inlineStr">
        <is>
          <t>Offsite Conversions</t>
        </is>
      </c>
      <c r="Q379" s="42" t="inlineStr">
        <is>
          <t>https://www.lepas-sa.co.za/offers/javan</t>
        </is>
      </c>
      <c r="R379" s="115" t="n">
        <v>196.55</v>
      </c>
      <c r="S379" s="116" t="n">
        <v>1924</v>
      </c>
      <c r="T379" s="116" t="n">
        <v>1052</v>
      </c>
      <c r="U379" s="117">
        <f>IFERROR(S379/T379,"")</f>
        <v/>
      </c>
      <c r="V379" s="116" t="n">
        <v>30</v>
      </c>
      <c r="W379" s="116" t="n">
        <v>25</v>
      </c>
      <c r="X379" s="118">
        <f>IFERROR(W379/S379,"")</f>
        <v/>
      </c>
      <c r="Y379" s="115">
        <f>IFERROR(R379/W379,"")</f>
        <v/>
      </c>
      <c r="Z379" s="115">
        <f>IFERROR(R379/S379*1000,"")</f>
        <v/>
      </c>
      <c r="AA379" s="116" t="n">
        <v>22</v>
      </c>
      <c r="AB379" s="47">
        <f>IFERROR(AA379/W379,"")</f>
        <v/>
      </c>
      <c r="AC379" s="116" t="n">
        <v>0</v>
      </c>
      <c r="AD379" s="116" t="n">
        <v>0</v>
      </c>
      <c r="AE379" s="116" t="n">
        <v>0</v>
      </c>
      <c r="AF379" s="116" t="n">
        <v>0</v>
      </c>
      <c r="AG379" s="116" t="n">
        <v>0</v>
      </c>
      <c r="AH379" s="116" t="n">
        <v>0</v>
      </c>
      <c r="AI379" s="47">
        <f>IFERROR(AC379/S379,"")</f>
        <v/>
      </c>
      <c r="AJ379" s="47">
        <f>IFERROR(AH379/S379,"")</f>
        <v/>
      </c>
      <c r="AK379" s="116" t="n">
        <v>31</v>
      </c>
      <c r="AL379" s="116" t="n">
        <v>0</v>
      </c>
      <c r="AM379" s="118">
        <f>IFERROR(AL379/AA379,"")</f>
        <v/>
      </c>
      <c r="AN379" s="119">
        <f>IFERROR(R379/AL379,"")</f>
        <v/>
      </c>
      <c r="AO379" s="116" t="n">
        <v>0</v>
      </c>
      <c r="AP379" s="47">
        <f>IFERROR(AO379/AL379,"")</f>
        <v/>
      </c>
      <c r="AQ379" s="119">
        <f>IFERROR(R379/AO379,"")</f>
        <v/>
      </c>
      <c r="AR379" s="116" t="n">
        <v>0</v>
      </c>
      <c r="AS379" s="116" t="n">
        <v>0</v>
      </c>
      <c r="AT379" s="116">
        <f>AL379+AR379</f>
        <v/>
      </c>
      <c r="AU379" s="119">
        <f>IFERROR(AO379*Assumptions!$C$26*Assumptions!$C$27*INDEX(Assumptions!$C$18:$C$21,MATCH(H379,Assumptions!$B$18:$B$21,0)),0)</f>
        <v/>
      </c>
    </row>
    <row r="380">
      <c r="A380" s="114" t="n">
        <v>46263</v>
      </c>
      <c r="B380" s="42" t="inlineStr">
        <is>
          <t>Wk 35</t>
        </is>
      </c>
      <c r="C380" s="42" t="inlineStr">
        <is>
          <t>Sat</t>
        </is>
      </c>
      <c r="D380" s="42" t="inlineStr">
        <is>
          <t>Meta (FB/IG)</t>
        </is>
      </c>
      <c r="E380" s="42" t="inlineStr">
        <is>
          <t>Facebook + Instagram</t>
        </is>
      </c>
      <c r="F380" s="42" t="inlineStr">
        <is>
          <t>LEP_ZA_AUG26_META_TD_JAVAN_CONV</t>
        </is>
      </c>
      <c r="G380" s="42" t="inlineStr">
        <is>
          <t>Leads - Website Conversions</t>
        </is>
      </c>
      <c r="H380" s="42" t="inlineStr">
        <is>
          <t>JAVAN</t>
        </is>
      </c>
      <c r="I380" s="42" t="inlineStr">
        <is>
          <t>10% Deposit</t>
        </is>
      </c>
      <c r="J380" s="42" t="inlineStr">
        <is>
          <t>MET_JAVAN_LAL2_SITE_ZA</t>
        </is>
      </c>
      <c r="K380" s="42" t="inlineStr">
        <is>
          <t>Lookalike</t>
        </is>
      </c>
      <c r="L380" s="42" t="inlineStr">
        <is>
          <t>JAVAN_STA_Offer_10Dep_v1</t>
        </is>
      </c>
      <c r="M380" s="42" t="inlineStr">
        <is>
          <t>Static 1:1</t>
        </is>
      </c>
      <c r="N380" s="42" t="inlineStr">
        <is>
          <t>R4 299pm. 10% deposit.</t>
        </is>
      </c>
      <c r="O380" s="42" t="inlineStr">
        <is>
          <t>Auction - Lowest Cost</t>
        </is>
      </c>
      <c r="P380" s="42" t="inlineStr">
        <is>
          <t>Offsite Conversions</t>
        </is>
      </c>
      <c r="Q380" s="42" t="inlineStr">
        <is>
          <t>https://www.lepas-sa.co.za/offers/javan</t>
        </is>
      </c>
      <c r="R380" s="115" t="n">
        <v>252.75</v>
      </c>
      <c r="S380" s="116" t="n">
        <v>2535</v>
      </c>
      <c r="T380" s="116" t="n">
        <v>1667</v>
      </c>
      <c r="U380" s="117">
        <f>IFERROR(S380/T380,"")</f>
        <v/>
      </c>
      <c r="V380" s="116" t="n">
        <v>44</v>
      </c>
      <c r="W380" s="116" t="n">
        <v>34</v>
      </c>
      <c r="X380" s="118">
        <f>IFERROR(W380/S380,"")</f>
        <v/>
      </c>
      <c r="Y380" s="115">
        <f>IFERROR(R380/W380,"")</f>
        <v/>
      </c>
      <c r="Z380" s="115">
        <f>IFERROR(R380/S380*1000,"")</f>
        <v/>
      </c>
      <c r="AA380" s="116" t="n">
        <v>29</v>
      </c>
      <c r="AB380" s="47">
        <f>IFERROR(AA380/W380,"")</f>
        <v/>
      </c>
      <c r="AC380" s="116" t="n">
        <v>0</v>
      </c>
      <c r="AD380" s="116" t="n">
        <v>0</v>
      </c>
      <c r="AE380" s="116" t="n">
        <v>0</v>
      </c>
      <c r="AF380" s="116" t="n">
        <v>0</v>
      </c>
      <c r="AG380" s="116" t="n">
        <v>0</v>
      </c>
      <c r="AH380" s="116" t="n">
        <v>0</v>
      </c>
      <c r="AI380" s="47">
        <f>IFERROR(AC380/S380,"")</f>
        <v/>
      </c>
      <c r="AJ380" s="47">
        <f>IFERROR(AH380/S380,"")</f>
        <v/>
      </c>
      <c r="AK380" s="116" t="n">
        <v>79</v>
      </c>
      <c r="AL380" s="116" t="n">
        <v>1</v>
      </c>
      <c r="AM380" s="118">
        <f>IFERROR(AL380/AA380,"")</f>
        <v/>
      </c>
      <c r="AN380" s="119">
        <f>IFERROR(R380/AL380,"")</f>
        <v/>
      </c>
      <c r="AO380" s="116" t="n">
        <v>0</v>
      </c>
      <c r="AP380" s="47">
        <f>IFERROR(AO380/AL380,"")</f>
        <v/>
      </c>
      <c r="AQ380" s="119">
        <f>IFERROR(R380/AO380,"")</f>
        <v/>
      </c>
      <c r="AR380" s="116" t="n">
        <v>0</v>
      </c>
      <c r="AS380" s="116" t="n">
        <v>0</v>
      </c>
      <c r="AT380" s="116">
        <f>AL380+AR380</f>
        <v/>
      </c>
      <c r="AU380" s="119">
        <f>IFERROR(AO380*Assumptions!$C$26*Assumptions!$C$27*INDEX(Assumptions!$C$18:$C$21,MATCH(H380,Assumptions!$B$18:$B$21,0)),0)</f>
        <v/>
      </c>
    </row>
    <row r="381">
      <c r="A381" s="114" t="n">
        <v>46264</v>
      </c>
      <c r="B381" s="42" t="inlineStr">
        <is>
          <t>Wk 35</t>
        </is>
      </c>
      <c r="C381" s="42" t="inlineStr">
        <is>
          <t>Sun</t>
        </is>
      </c>
      <c r="D381" s="42" t="inlineStr">
        <is>
          <t>Meta (FB/IG)</t>
        </is>
      </c>
      <c r="E381" s="42" t="inlineStr">
        <is>
          <t>Facebook + Instagram</t>
        </is>
      </c>
      <c r="F381" s="42" t="inlineStr">
        <is>
          <t>LEP_ZA_AUG26_META_TD_JAVAN_CONV</t>
        </is>
      </c>
      <c r="G381" s="42" t="inlineStr">
        <is>
          <t>Leads - Website Conversions</t>
        </is>
      </c>
      <c r="H381" s="42" t="inlineStr">
        <is>
          <t>JAVAN</t>
        </is>
      </c>
      <c r="I381" s="42" t="inlineStr">
        <is>
          <t>10% Deposit</t>
        </is>
      </c>
      <c r="J381" s="42" t="inlineStr">
        <is>
          <t>MET_JAVAN_LAL2_SITE_ZA</t>
        </is>
      </c>
      <c r="K381" s="42" t="inlineStr">
        <is>
          <t>Lookalike</t>
        </is>
      </c>
      <c r="L381" s="42" t="inlineStr">
        <is>
          <t>JAVAN_STA_Offer_10Dep_v1</t>
        </is>
      </c>
      <c r="M381" s="42" t="inlineStr">
        <is>
          <t>Static 1:1</t>
        </is>
      </c>
      <c r="N381" s="42" t="inlineStr">
        <is>
          <t>R4 299pm. 10% deposit.</t>
        </is>
      </c>
      <c r="O381" s="42" t="inlineStr">
        <is>
          <t>Auction - Lowest Cost</t>
        </is>
      </c>
      <c r="P381" s="42" t="inlineStr">
        <is>
          <t>Offsite Conversions</t>
        </is>
      </c>
      <c r="Q381" s="42" t="inlineStr">
        <is>
          <t>https://www.lepas-sa.co.za/offers/javan</t>
        </is>
      </c>
      <c r="R381" s="115" t="n">
        <v>162.64</v>
      </c>
      <c r="S381" s="116" t="n">
        <v>1890</v>
      </c>
      <c r="T381" s="116" t="n">
        <v>955</v>
      </c>
      <c r="U381" s="117">
        <f>IFERROR(S381/T381,"")</f>
        <v/>
      </c>
      <c r="V381" s="116" t="n">
        <v>37</v>
      </c>
      <c r="W381" s="116" t="n">
        <v>29</v>
      </c>
      <c r="X381" s="118">
        <f>IFERROR(W381/S381,"")</f>
        <v/>
      </c>
      <c r="Y381" s="115">
        <f>IFERROR(R381/W381,"")</f>
        <v/>
      </c>
      <c r="Z381" s="115">
        <f>IFERROR(R381/S381*1000,"")</f>
        <v/>
      </c>
      <c r="AA381" s="116" t="n">
        <v>24</v>
      </c>
      <c r="AB381" s="47">
        <f>IFERROR(AA381/W381,"")</f>
        <v/>
      </c>
      <c r="AC381" s="116" t="n">
        <v>0</v>
      </c>
      <c r="AD381" s="116" t="n">
        <v>0</v>
      </c>
      <c r="AE381" s="116" t="n">
        <v>0</v>
      </c>
      <c r="AF381" s="116" t="n">
        <v>0</v>
      </c>
      <c r="AG381" s="116" t="n">
        <v>0</v>
      </c>
      <c r="AH381" s="116" t="n">
        <v>0</v>
      </c>
      <c r="AI381" s="47">
        <f>IFERROR(AC381/S381,"")</f>
        <v/>
      </c>
      <c r="AJ381" s="47">
        <f>IFERROR(AH381/S381,"")</f>
        <v/>
      </c>
      <c r="AK381" s="116" t="n">
        <v>59</v>
      </c>
      <c r="AL381" s="116" t="n">
        <v>1</v>
      </c>
      <c r="AM381" s="118">
        <f>IFERROR(AL381/AA381,"")</f>
        <v/>
      </c>
      <c r="AN381" s="119">
        <f>IFERROR(R381/AL381,"")</f>
        <v/>
      </c>
      <c r="AO381" s="116" t="n">
        <v>1</v>
      </c>
      <c r="AP381" s="47">
        <f>IFERROR(AO381/AL381,"")</f>
        <v/>
      </c>
      <c r="AQ381" s="119">
        <f>IFERROR(R381/AO381,"")</f>
        <v/>
      </c>
      <c r="AR381" s="116" t="n">
        <v>0</v>
      </c>
      <c r="AS381" s="116" t="n">
        <v>0</v>
      </c>
      <c r="AT381" s="116">
        <f>AL381+AR381</f>
        <v/>
      </c>
      <c r="AU381" s="119">
        <f>IFERROR(AO381*Assumptions!$C$26*Assumptions!$C$27*INDEX(Assumptions!$C$18:$C$21,MATCH(H381,Assumptions!$B$18:$B$21,0)),0)</f>
        <v/>
      </c>
    </row>
    <row r="382">
      <c r="A382" s="114" t="n">
        <v>46265</v>
      </c>
      <c r="B382" s="42" t="inlineStr">
        <is>
          <t>Wk 36</t>
        </is>
      </c>
      <c r="C382" s="42" t="inlineStr">
        <is>
          <t>Mon</t>
        </is>
      </c>
      <c r="D382" s="42" t="inlineStr">
        <is>
          <t>Meta (FB/IG)</t>
        </is>
      </c>
      <c r="E382" s="42" t="inlineStr">
        <is>
          <t>Facebook + Instagram</t>
        </is>
      </c>
      <c r="F382" s="42" t="inlineStr">
        <is>
          <t>LEP_ZA_AUG26_META_TD_JAVAN_CONV</t>
        </is>
      </c>
      <c r="G382" s="42" t="inlineStr">
        <is>
          <t>Leads - Website Conversions</t>
        </is>
      </c>
      <c r="H382" s="42" t="inlineStr">
        <is>
          <t>JAVAN</t>
        </is>
      </c>
      <c r="I382" s="42" t="inlineStr">
        <is>
          <t>10% Deposit</t>
        </is>
      </c>
      <c r="J382" s="42" t="inlineStr">
        <is>
          <t>MET_JAVAN_LAL2_SITE_ZA</t>
        </is>
      </c>
      <c r="K382" s="42" t="inlineStr">
        <is>
          <t>Lookalike</t>
        </is>
      </c>
      <c r="L382" s="42" t="inlineStr">
        <is>
          <t>JAVAN_STA_Offer_10Dep_v1</t>
        </is>
      </c>
      <c r="M382" s="42" t="inlineStr">
        <is>
          <t>Static 1:1</t>
        </is>
      </c>
      <c r="N382" s="42" t="inlineStr">
        <is>
          <t>R4 299pm. 10% deposit.</t>
        </is>
      </c>
      <c r="O382" s="42" t="inlineStr">
        <is>
          <t>Auction - Lowest Cost</t>
        </is>
      </c>
      <c r="P382" s="42" t="inlineStr">
        <is>
          <t>Offsite Conversions</t>
        </is>
      </c>
      <c r="Q382" s="42" t="inlineStr">
        <is>
          <t>https://www.lepas-sa.co.za/offers/javan</t>
        </is>
      </c>
      <c r="R382" s="115" t="n">
        <v>185.25</v>
      </c>
      <c r="S382" s="116" t="n">
        <v>2670</v>
      </c>
      <c r="T382" s="116" t="n">
        <v>1637</v>
      </c>
      <c r="U382" s="117">
        <f>IFERROR(S382/T382,"")</f>
        <v/>
      </c>
      <c r="V382" s="116" t="n">
        <v>60</v>
      </c>
      <c r="W382" s="116" t="n">
        <v>46</v>
      </c>
      <c r="X382" s="118">
        <f>IFERROR(W382/S382,"")</f>
        <v/>
      </c>
      <c r="Y382" s="115">
        <f>IFERROR(R382/W382,"")</f>
        <v/>
      </c>
      <c r="Z382" s="115">
        <f>IFERROR(R382/S382*1000,"")</f>
        <v/>
      </c>
      <c r="AA382" s="116" t="n">
        <v>37</v>
      </c>
      <c r="AB382" s="47">
        <f>IFERROR(AA382/W382,"")</f>
        <v/>
      </c>
      <c r="AC382" s="116" t="n">
        <v>0</v>
      </c>
      <c r="AD382" s="116" t="n">
        <v>0</v>
      </c>
      <c r="AE382" s="116" t="n">
        <v>0</v>
      </c>
      <c r="AF382" s="116" t="n">
        <v>0</v>
      </c>
      <c r="AG382" s="116" t="n">
        <v>0</v>
      </c>
      <c r="AH382" s="116" t="n">
        <v>0</v>
      </c>
      <c r="AI382" s="47">
        <f>IFERROR(AC382/S382,"")</f>
        <v/>
      </c>
      <c r="AJ382" s="47">
        <f>IFERROR(AH382/S382,"")</f>
        <v/>
      </c>
      <c r="AK382" s="116" t="n">
        <v>57</v>
      </c>
      <c r="AL382" s="116" t="n">
        <v>0</v>
      </c>
      <c r="AM382" s="118">
        <f>IFERROR(AL382/AA382,"")</f>
        <v/>
      </c>
      <c r="AN382" s="119">
        <f>IFERROR(R382/AL382,"")</f>
        <v/>
      </c>
      <c r="AO382" s="116" t="n">
        <v>0</v>
      </c>
      <c r="AP382" s="47">
        <f>IFERROR(AO382/AL382,"")</f>
        <v/>
      </c>
      <c r="AQ382" s="119">
        <f>IFERROR(R382/AO382,"")</f>
        <v/>
      </c>
      <c r="AR382" s="116" t="n">
        <v>0</v>
      </c>
      <c r="AS382" s="116" t="n">
        <v>0</v>
      </c>
      <c r="AT382" s="116">
        <f>AL382+AR382</f>
        <v/>
      </c>
      <c r="AU382" s="119">
        <f>IFERROR(AO382*Assumptions!$C$26*Assumptions!$C$27*INDEX(Assumptions!$C$18:$C$21,MATCH(H382,Assumptions!$B$18:$B$21,0)),0)</f>
        <v/>
      </c>
    </row>
    <row r="383">
      <c r="A383" s="114" t="n">
        <v>46242</v>
      </c>
      <c r="B383" s="42" t="inlineStr">
        <is>
          <t>Wk 32</t>
        </is>
      </c>
      <c r="C383" s="42" t="inlineStr">
        <is>
          <t>Sat</t>
        </is>
      </c>
      <c r="D383" s="42" t="inlineStr">
        <is>
          <t>Meta (FB/IG)</t>
        </is>
      </c>
      <c r="E383" s="42" t="inlineStr">
        <is>
          <t>Facebook + Instagram</t>
        </is>
      </c>
      <c r="F383" s="42" t="inlineStr">
        <is>
          <t>LEP_ZA_AUG26_META_TD_JAVAN_CONV</t>
        </is>
      </c>
      <c r="G383" s="42" t="inlineStr">
        <is>
          <t>Leads - Website Conversions</t>
        </is>
      </c>
      <c r="H383" s="42" t="inlineStr">
        <is>
          <t>JAVAN</t>
        </is>
      </c>
      <c r="I383" s="42" t="inlineStr">
        <is>
          <t>10% Deposit</t>
        </is>
      </c>
      <c r="J383" s="42" t="inlineStr">
        <is>
          <t>MET_JAVAN_LAL2_SITE_ZA</t>
        </is>
      </c>
      <c r="K383" s="42" t="inlineStr">
        <is>
          <t>Lookalike</t>
        </is>
      </c>
      <c r="L383" s="42" t="inlineStr">
        <is>
          <t>JAVAN_VID_15s_DCT_Tech_v1</t>
        </is>
      </c>
      <c r="M383" s="42" t="inlineStr">
        <is>
          <t>Video 4:5</t>
        </is>
      </c>
      <c r="N383" s="42" t="inlineStr">
        <is>
          <t>1.5T DCT. Explained in 15 seconds.</t>
        </is>
      </c>
      <c r="O383" s="42" t="inlineStr">
        <is>
          <t>Auction - Lowest Cost</t>
        </is>
      </c>
      <c r="P383" s="42" t="inlineStr">
        <is>
          <t>Offsite Conversions</t>
        </is>
      </c>
      <c r="Q383" s="42" t="inlineStr">
        <is>
          <t>https://www.lepas-sa.co.za/offers/javan</t>
        </is>
      </c>
      <c r="R383" s="115" t="n">
        <v>156.93</v>
      </c>
      <c r="S383" s="116" t="n">
        <v>1719</v>
      </c>
      <c r="T383" s="116" t="n">
        <v>1039</v>
      </c>
      <c r="U383" s="117">
        <f>IFERROR(S383/T383,"")</f>
        <v/>
      </c>
      <c r="V383" s="116" t="n">
        <v>23</v>
      </c>
      <c r="W383" s="116" t="n">
        <v>19</v>
      </c>
      <c r="X383" s="118">
        <f>IFERROR(W383/S383,"")</f>
        <v/>
      </c>
      <c r="Y383" s="115">
        <f>IFERROR(R383/W383,"")</f>
        <v/>
      </c>
      <c r="Z383" s="115">
        <f>IFERROR(R383/S383*1000,"")</f>
        <v/>
      </c>
      <c r="AA383" s="116" t="n">
        <v>16</v>
      </c>
      <c r="AB383" s="47">
        <f>IFERROR(AA383/W383,"")</f>
        <v/>
      </c>
      <c r="AC383" s="116" t="n">
        <v>662</v>
      </c>
      <c r="AD383" s="116" t="n">
        <v>314</v>
      </c>
      <c r="AE383" s="116" t="n">
        <v>267</v>
      </c>
      <c r="AF383" s="116" t="n">
        <v>146</v>
      </c>
      <c r="AG383" s="116" t="n">
        <v>102</v>
      </c>
      <c r="AH383" s="116" t="n">
        <v>68</v>
      </c>
      <c r="AI383" s="47">
        <f>IFERROR(AC383/S383,"")</f>
        <v/>
      </c>
      <c r="AJ383" s="47">
        <f>IFERROR(AH383/S383,"")</f>
        <v/>
      </c>
      <c r="AK383" s="116" t="n">
        <v>44</v>
      </c>
      <c r="AL383" s="116" t="n">
        <v>1</v>
      </c>
      <c r="AM383" s="118">
        <f>IFERROR(AL383/AA383,"")</f>
        <v/>
      </c>
      <c r="AN383" s="119">
        <f>IFERROR(R383/AL383,"")</f>
        <v/>
      </c>
      <c r="AO383" s="116" t="n">
        <v>1</v>
      </c>
      <c r="AP383" s="47">
        <f>IFERROR(AO383/AL383,"")</f>
        <v/>
      </c>
      <c r="AQ383" s="119">
        <f>IFERROR(R383/AO383,"")</f>
        <v/>
      </c>
      <c r="AR383" s="116" t="n">
        <v>1</v>
      </c>
      <c r="AS383" s="116" t="n">
        <v>0</v>
      </c>
      <c r="AT383" s="116">
        <f>AL383+AR383</f>
        <v/>
      </c>
      <c r="AU383" s="119">
        <f>IFERROR(AO383*Assumptions!$C$26*Assumptions!$C$27*INDEX(Assumptions!$C$18:$C$21,MATCH(H383,Assumptions!$B$18:$B$21,0)),0)</f>
        <v/>
      </c>
    </row>
    <row r="384">
      <c r="A384" s="114" t="n">
        <v>46243</v>
      </c>
      <c r="B384" s="42" t="inlineStr">
        <is>
          <t>Wk 32</t>
        </is>
      </c>
      <c r="C384" s="42" t="inlineStr">
        <is>
          <t>Sun</t>
        </is>
      </c>
      <c r="D384" s="42" t="inlineStr">
        <is>
          <t>Meta (FB/IG)</t>
        </is>
      </c>
      <c r="E384" s="42" t="inlineStr">
        <is>
          <t>Facebook + Instagram</t>
        </is>
      </c>
      <c r="F384" s="42" t="inlineStr">
        <is>
          <t>LEP_ZA_AUG26_META_TD_JAVAN_CONV</t>
        </is>
      </c>
      <c r="G384" s="42" t="inlineStr">
        <is>
          <t>Leads - Website Conversions</t>
        </is>
      </c>
      <c r="H384" s="42" t="inlineStr">
        <is>
          <t>JAVAN</t>
        </is>
      </c>
      <c r="I384" s="42" t="inlineStr">
        <is>
          <t>10% Deposit</t>
        </is>
      </c>
      <c r="J384" s="42" t="inlineStr">
        <is>
          <t>MET_JAVAN_LAL2_SITE_ZA</t>
        </is>
      </c>
      <c r="K384" s="42" t="inlineStr">
        <is>
          <t>Lookalike</t>
        </is>
      </c>
      <c r="L384" s="42" t="inlineStr">
        <is>
          <t>JAVAN_VID_15s_DCT_Tech_v1</t>
        </is>
      </c>
      <c r="M384" s="42" t="inlineStr">
        <is>
          <t>Video 4:5</t>
        </is>
      </c>
      <c r="N384" s="42" t="inlineStr">
        <is>
          <t>1.5T DCT. Explained in 15 seconds.</t>
        </is>
      </c>
      <c r="O384" s="42" t="inlineStr">
        <is>
          <t>Auction - Lowest Cost</t>
        </is>
      </c>
      <c r="P384" s="42" t="inlineStr">
        <is>
          <t>Offsite Conversions</t>
        </is>
      </c>
      <c r="Q384" s="42" t="inlineStr">
        <is>
          <t>https://www.lepas-sa.co.za/offers/javan</t>
        </is>
      </c>
      <c r="R384" s="115" t="n">
        <v>123.48</v>
      </c>
      <c r="S384" s="116" t="n">
        <v>1531</v>
      </c>
      <c r="T384" s="116" t="n">
        <v>1116</v>
      </c>
      <c r="U384" s="117">
        <f>IFERROR(S384/T384,"")</f>
        <v/>
      </c>
      <c r="V384" s="116" t="n">
        <v>32</v>
      </c>
      <c r="W384" s="116" t="n">
        <v>25</v>
      </c>
      <c r="X384" s="118">
        <f>IFERROR(W384/S384,"")</f>
        <v/>
      </c>
      <c r="Y384" s="115">
        <f>IFERROR(R384/W384,"")</f>
        <v/>
      </c>
      <c r="Z384" s="115">
        <f>IFERROR(R384/S384*1000,"")</f>
        <v/>
      </c>
      <c r="AA384" s="116" t="n">
        <v>21</v>
      </c>
      <c r="AB384" s="47">
        <f>IFERROR(AA384/W384,"")</f>
        <v/>
      </c>
      <c r="AC384" s="116" t="n">
        <v>570</v>
      </c>
      <c r="AD384" s="116" t="n">
        <v>254</v>
      </c>
      <c r="AE384" s="116" t="n">
        <v>228</v>
      </c>
      <c r="AF384" s="116" t="n">
        <v>154</v>
      </c>
      <c r="AG384" s="116" t="n">
        <v>98</v>
      </c>
      <c r="AH384" s="116" t="n">
        <v>57</v>
      </c>
      <c r="AI384" s="47">
        <f>IFERROR(AC384/S384,"")</f>
        <v/>
      </c>
      <c r="AJ384" s="47">
        <f>IFERROR(AH384/S384,"")</f>
        <v/>
      </c>
      <c r="AK384" s="116" t="n">
        <v>29</v>
      </c>
      <c r="AL384" s="116" t="n">
        <v>0</v>
      </c>
      <c r="AM384" s="118">
        <f>IFERROR(AL384/AA384,"")</f>
        <v/>
      </c>
      <c r="AN384" s="119">
        <f>IFERROR(R384/AL384,"")</f>
        <v/>
      </c>
      <c r="AO384" s="116" t="n">
        <v>0</v>
      </c>
      <c r="AP384" s="47">
        <f>IFERROR(AO384/AL384,"")</f>
        <v/>
      </c>
      <c r="AQ384" s="119">
        <f>IFERROR(R384/AO384,"")</f>
        <v/>
      </c>
      <c r="AR384" s="116" t="n">
        <v>0</v>
      </c>
      <c r="AS384" s="116" t="n">
        <v>0</v>
      </c>
      <c r="AT384" s="116">
        <f>AL384+AR384</f>
        <v/>
      </c>
      <c r="AU384" s="119">
        <f>IFERROR(AO384*Assumptions!$C$26*Assumptions!$C$27*INDEX(Assumptions!$C$18:$C$21,MATCH(H384,Assumptions!$B$18:$B$21,0)),0)</f>
        <v/>
      </c>
    </row>
    <row r="385">
      <c r="A385" s="114" t="n">
        <v>46244</v>
      </c>
      <c r="B385" s="42" t="inlineStr">
        <is>
          <t>Wk 33</t>
        </is>
      </c>
      <c r="C385" s="42" t="inlineStr">
        <is>
          <t>Mon</t>
        </is>
      </c>
      <c r="D385" s="42" t="inlineStr">
        <is>
          <t>Meta (FB/IG)</t>
        </is>
      </c>
      <c r="E385" s="42" t="inlineStr">
        <is>
          <t>Facebook + Instagram</t>
        </is>
      </c>
      <c r="F385" s="42" t="inlineStr">
        <is>
          <t>LEP_ZA_AUG26_META_TD_JAVAN_CONV</t>
        </is>
      </c>
      <c r="G385" s="42" t="inlineStr">
        <is>
          <t>Leads - Website Conversions</t>
        </is>
      </c>
      <c r="H385" s="42" t="inlineStr">
        <is>
          <t>JAVAN</t>
        </is>
      </c>
      <c r="I385" s="42" t="inlineStr">
        <is>
          <t>10% Deposit</t>
        </is>
      </c>
      <c r="J385" s="42" t="inlineStr">
        <is>
          <t>MET_JAVAN_LAL2_SITE_ZA</t>
        </is>
      </c>
      <c r="K385" s="42" t="inlineStr">
        <is>
          <t>Lookalike</t>
        </is>
      </c>
      <c r="L385" s="42" t="inlineStr">
        <is>
          <t>JAVAN_VID_15s_DCT_Tech_v1</t>
        </is>
      </c>
      <c r="M385" s="42" t="inlineStr">
        <is>
          <t>Video 4:5</t>
        </is>
      </c>
      <c r="N385" s="42" t="inlineStr">
        <is>
          <t>1.5T DCT. Explained in 15 seconds.</t>
        </is>
      </c>
      <c r="O385" s="42" t="inlineStr">
        <is>
          <t>Auction - Lowest Cost</t>
        </is>
      </c>
      <c r="P385" s="42" t="inlineStr">
        <is>
          <t>Offsite Conversions</t>
        </is>
      </c>
      <c r="Q385" s="42" t="inlineStr">
        <is>
          <t>https://www.lepas-sa.co.za/offers/javan</t>
        </is>
      </c>
      <c r="R385" s="115" t="n">
        <v>156.94</v>
      </c>
      <c r="S385" s="116" t="n">
        <v>2542</v>
      </c>
      <c r="T385" s="116" t="n">
        <v>1494</v>
      </c>
      <c r="U385" s="117">
        <f>IFERROR(S385/T385,"")</f>
        <v/>
      </c>
      <c r="V385" s="116" t="n">
        <v>53</v>
      </c>
      <c r="W385" s="116" t="n">
        <v>45</v>
      </c>
      <c r="X385" s="118">
        <f>IFERROR(W385/S385,"")</f>
        <v/>
      </c>
      <c r="Y385" s="115">
        <f>IFERROR(R385/W385,"")</f>
        <v/>
      </c>
      <c r="Z385" s="115">
        <f>IFERROR(R385/S385*1000,"")</f>
        <v/>
      </c>
      <c r="AA385" s="116" t="n">
        <v>41</v>
      </c>
      <c r="AB385" s="47">
        <f>IFERROR(AA385/W385,"")</f>
        <v/>
      </c>
      <c r="AC385" s="116" t="n">
        <v>917</v>
      </c>
      <c r="AD385" s="116" t="n">
        <v>467</v>
      </c>
      <c r="AE385" s="116" t="n">
        <v>375</v>
      </c>
      <c r="AF385" s="116" t="n">
        <v>204</v>
      </c>
      <c r="AG385" s="116" t="n">
        <v>155</v>
      </c>
      <c r="AH385" s="116" t="n">
        <v>112</v>
      </c>
      <c r="AI385" s="47">
        <f>IFERROR(AC385/S385,"")</f>
        <v/>
      </c>
      <c r="AJ385" s="47">
        <f>IFERROR(AH385/S385,"")</f>
        <v/>
      </c>
      <c r="AK385" s="116" t="n">
        <v>48</v>
      </c>
      <c r="AL385" s="116" t="n">
        <v>1</v>
      </c>
      <c r="AM385" s="118">
        <f>IFERROR(AL385/AA385,"")</f>
        <v/>
      </c>
      <c r="AN385" s="119">
        <f>IFERROR(R385/AL385,"")</f>
        <v/>
      </c>
      <c r="AO385" s="116" t="n">
        <v>1</v>
      </c>
      <c r="AP385" s="47">
        <f>IFERROR(AO385/AL385,"")</f>
        <v/>
      </c>
      <c r="AQ385" s="119">
        <f>IFERROR(R385/AO385,"")</f>
        <v/>
      </c>
      <c r="AR385" s="116" t="n">
        <v>0</v>
      </c>
      <c r="AS385" s="116" t="n">
        <v>0</v>
      </c>
      <c r="AT385" s="116">
        <f>AL385+AR385</f>
        <v/>
      </c>
      <c r="AU385" s="119">
        <f>IFERROR(AO385*Assumptions!$C$26*Assumptions!$C$27*INDEX(Assumptions!$C$18:$C$21,MATCH(H385,Assumptions!$B$18:$B$21,0)),0)</f>
        <v/>
      </c>
    </row>
    <row r="386">
      <c r="A386" s="114" t="n">
        <v>46245</v>
      </c>
      <c r="B386" s="42" t="inlineStr">
        <is>
          <t>Wk 33</t>
        </is>
      </c>
      <c r="C386" s="42" t="inlineStr">
        <is>
          <t>Tue</t>
        </is>
      </c>
      <c r="D386" s="42" t="inlineStr">
        <is>
          <t>Meta (FB/IG)</t>
        </is>
      </c>
      <c r="E386" s="42" t="inlineStr">
        <is>
          <t>Facebook + Instagram</t>
        </is>
      </c>
      <c r="F386" s="42" t="inlineStr">
        <is>
          <t>LEP_ZA_AUG26_META_TD_JAVAN_CONV</t>
        </is>
      </c>
      <c r="G386" s="42" t="inlineStr">
        <is>
          <t>Leads - Website Conversions</t>
        </is>
      </c>
      <c r="H386" s="42" t="inlineStr">
        <is>
          <t>JAVAN</t>
        </is>
      </c>
      <c r="I386" s="42" t="inlineStr">
        <is>
          <t>10% Deposit</t>
        </is>
      </c>
      <c r="J386" s="42" t="inlineStr">
        <is>
          <t>MET_JAVAN_LAL2_SITE_ZA</t>
        </is>
      </c>
      <c r="K386" s="42" t="inlineStr">
        <is>
          <t>Lookalike</t>
        </is>
      </c>
      <c r="L386" s="42" t="inlineStr">
        <is>
          <t>JAVAN_VID_15s_DCT_Tech_v1</t>
        </is>
      </c>
      <c r="M386" s="42" t="inlineStr">
        <is>
          <t>Video 4:5</t>
        </is>
      </c>
      <c r="N386" s="42" t="inlineStr">
        <is>
          <t>1.5T DCT. Explained in 15 seconds.</t>
        </is>
      </c>
      <c r="O386" s="42" t="inlineStr">
        <is>
          <t>Auction - Lowest Cost</t>
        </is>
      </c>
      <c r="P386" s="42" t="inlineStr">
        <is>
          <t>Offsite Conversions</t>
        </is>
      </c>
      <c r="Q386" s="42" t="inlineStr">
        <is>
          <t>https://www.lepas-sa.co.za/offers/javan</t>
        </is>
      </c>
      <c r="R386" s="115" t="n">
        <v>106.56</v>
      </c>
      <c r="S386" s="116" t="n">
        <v>1408</v>
      </c>
      <c r="T386" s="116" t="n">
        <v>1084</v>
      </c>
      <c r="U386" s="117">
        <f>IFERROR(S386/T386,"")</f>
        <v/>
      </c>
      <c r="V386" s="116" t="n">
        <v>31</v>
      </c>
      <c r="W386" s="116" t="n">
        <v>22</v>
      </c>
      <c r="X386" s="118">
        <f>IFERROR(W386/S386,"")</f>
        <v/>
      </c>
      <c r="Y386" s="115">
        <f>IFERROR(R386/W386,"")</f>
        <v/>
      </c>
      <c r="Z386" s="115">
        <f>IFERROR(R386/S386*1000,"")</f>
        <v/>
      </c>
      <c r="AA386" s="116" t="n">
        <v>19</v>
      </c>
      <c r="AB386" s="47">
        <f>IFERROR(AA386/W386,"")</f>
        <v/>
      </c>
      <c r="AC386" s="116" t="n">
        <v>405</v>
      </c>
      <c r="AD386" s="116" t="n">
        <v>240</v>
      </c>
      <c r="AE386" s="116" t="n">
        <v>223</v>
      </c>
      <c r="AF386" s="116" t="n">
        <v>149</v>
      </c>
      <c r="AG386" s="116" t="n">
        <v>103</v>
      </c>
      <c r="AH386" s="116" t="n">
        <v>64</v>
      </c>
      <c r="AI386" s="47">
        <f>IFERROR(AC386/S386,"")</f>
        <v/>
      </c>
      <c r="AJ386" s="47">
        <f>IFERROR(AH386/S386,"")</f>
        <v/>
      </c>
      <c r="AK386" s="116" t="n">
        <v>40</v>
      </c>
      <c r="AL386" s="116" t="n">
        <v>0</v>
      </c>
      <c r="AM386" s="118">
        <f>IFERROR(AL386/AA386,"")</f>
        <v/>
      </c>
      <c r="AN386" s="119">
        <f>IFERROR(R386/AL386,"")</f>
        <v/>
      </c>
      <c r="AO386" s="116" t="n">
        <v>0</v>
      </c>
      <c r="AP386" s="47">
        <f>IFERROR(AO386/AL386,"")</f>
        <v/>
      </c>
      <c r="AQ386" s="119">
        <f>IFERROR(R386/AO386,"")</f>
        <v/>
      </c>
      <c r="AR386" s="116" t="n">
        <v>0</v>
      </c>
      <c r="AS386" s="116" t="n">
        <v>0</v>
      </c>
      <c r="AT386" s="116">
        <f>AL386+AR386</f>
        <v/>
      </c>
      <c r="AU386" s="119">
        <f>IFERROR(AO386*Assumptions!$C$26*Assumptions!$C$27*INDEX(Assumptions!$C$18:$C$21,MATCH(H386,Assumptions!$B$18:$B$21,0)),0)</f>
        <v/>
      </c>
    </row>
    <row r="387">
      <c r="A387" s="114" t="n">
        <v>46246</v>
      </c>
      <c r="B387" s="42" t="inlineStr">
        <is>
          <t>Wk 33</t>
        </is>
      </c>
      <c r="C387" s="42" t="inlineStr">
        <is>
          <t>Wed</t>
        </is>
      </c>
      <c r="D387" s="42" t="inlineStr">
        <is>
          <t>Meta (FB/IG)</t>
        </is>
      </c>
      <c r="E387" s="42" t="inlineStr">
        <is>
          <t>Facebook + Instagram</t>
        </is>
      </c>
      <c r="F387" s="42" t="inlineStr">
        <is>
          <t>LEP_ZA_AUG26_META_TD_JAVAN_CONV</t>
        </is>
      </c>
      <c r="G387" s="42" t="inlineStr">
        <is>
          <t>Leads - Website Conversions</t>
        </is>
      </c>
      <c r="H387" s="42" t="inlineStr">
        <is>
          <t>JAVAN</t>
        </is>
      </c>
      <c r="I387" s="42" t="inlineStr">
        <is>
          <t>10% Deposit</t>
        </is>
      </c>
      <c r="J387" s="42" t="inlineStr">
        <is>
          <t>MET_JAVAN_LAL2_SITE_ZA</t>
        </is>
      </c>
      <c r="K387" s="42" t="inlineStr">
        <is>
          <t>Lookalike</t>
        </is>
      </c>
      <c r="L387" s="42" t="inlineStr">
        <is>
          <t>JAVAN_VID_15s_DCT_Tech_v1</t>
        </is>
      </c>
      <c r="M387" s="42" t="inlineStr">
        <is>
          <t>Video 4:5</t>
        </is>
      </c>
      <c r="N387" s="42" t="inlineStr">
        <is>
          <t>1.5T DCT. Explained in 15 seconds.</t>
        </is>
      </c>
      <c r="O387" s="42" t="inlineStr">
        <is>
          <t>Auction - Lowest Cost</t>
        </is>
      </c>
      <c r="P387" s="42" t="inlineStr">
        <is>
          <t>Offsite Conversions</t>
        </is>
      </c>
      <c r="Q387" s="42" t="inlineStr">
        <is>
          <t>https://www.lepas-sa.co.za/offers/javan</t>
        </is>
      </c>
      <c r="R387" s="115" t="n">
        <v>139.8</v>
      </c>
      <c r="S387" s="116" t="n">
        <v>1558</v>
      </c>
      <c r="T387" s="116" t="n">
        <v>930</v>
      </c>
      <c r="U387" s="117">
        <f>IFERROR(S387/T387,"")</f>
        <v/>
      </c>
      <c r="V387" s="116" t="n">
        <v>45</v>
      </c>
      <c r="W387" s="116" t="n">
        <v>34</v>
      </c>
      <c r="X387" s="118">
        <f>IFERROR(W387/S387,"")</f>
        <v/>
      </c>
      <c r="Y387" s="115">
        <f>IFERROR(R387/W387,"")</f>
        <v/>
      </c>
      <c r="Z387" s="115">
        <f>IFERROR(R387/S387*1000,"")</f>
        <v/>
      </c>
      <c r="AA387" s="116" t="n">
        <v>28</v>
      </c>
      <c r="AB387" s="47">
        <f>IFERROR(AA387/W387,"")</f>
        <v/>
      </c>
      <c r="AC387" s="116" t="n">
        <v>386</v>
      </c>
      <c r="AD387" s="116" t="n">
        <v>202</v>
      </c>
      <c r="AE387" s="116" t="n">
        <v>201</v>
      </c>
      <c r="AF387" s="116" t="n">
        <v>136</v>
      </c>
      <c r="AG387" s="116" t="n">
        <v>90</v>
      </c>
      <c r="AH387" s="116" t="n">
        <v>60</v>
      </c>
      <c r="AI387" s="47">
        <f>IFERROR(AC387/S387,"")</f>
        <v/>
      </c>
      <c r="AJ387" s="47">
        <f>IFERROR(AH387/S387,"")</f>
        <v/>
      </c>
      <c r="AK387" s="116" t="n">
        <v>33</v>
      </c>
      <c r="AL387" s="116" t="n">
        <v>1</v>
      </c>
      <c r="AM387" s="118">
        <f>IFERROR(AL387/AA387,"")</f>
        <v/>
      </c>
      <c r="AN387" s="119">
        <f>IFERROR(R387/AL387,"")</f>
        <v/>
      </c>
      <c r="AO387" s="116" t="n">
        <v>1</v>
      </c>
      <c r="AP387" s="47">
        <f>IFERROR(AO387/AL387,"")</f>
        <v/>
      </c>
      <c r="AQ387" s="119">
        <f>IFERROR(R387/AO387,"")</f>
        <v/>
      </c>
      <c r="AR387" s="116" t="n">
        <v>0</v>
      </c>
      <c r="AS387" s="116" t="n">
        <v>1</v>
      </c>
      <c r="AT387" s="116">
        <f>AL387+AR387</f>
        <v/>
      </c>
      <c r="AU387" s="119">
        <f>IFERROR(AO387*Assumptions!$C$26*Assumptions!$C$27*INDEX(Assumptions!$C$18:$C$21,MATCH(H387,Assumptions!$B$18:$B$21,0)),0)</f>
        <v/>
      </c>
    </row>
    <row r="388">
      <c r="A388" s="114" t="n">
        <v>46247</v>
      </c>
      <c r="B388" s="42" t="inlineStr">
        <is>
          <t>Wk 33</t>
        </is>
      </c>
      <c r="C388" s="42" t="inlineStr">
        <is>
          <t>Thu</t>
        </is>
      </c>
      <c r="D388" s="42" t="inlineStr">
        <is>
          <t>Meta (FB/IG)</t>
        </is>
      </c>
      <c r="E388" s="42" t="inlineStr">
        <is>
          <t>Facebook + Instagram</t>
        </is>
      </c>
      <c r="F388" s="42" t="inlineStr">
        <is>
          <t>LEP_ZA_AUG26_META_TD_JAVAN_CONV</t>
        </is>
      </c>
      <c r="G388" s="42" t="inlineStr">
        <is>
          <t>Leads - Website Conversions</t>
        </is>
      </c>
      <c r="H388" s="42" t="inlineStr">
        <is>
          <t>JAVAN</t>
        </is>
      </c>
      <c r="I388" s="42" t="inlineStr">
        <is>
          <t>10% Deposit</t>
        </is>
      </c>
      <c r="J388" s="42" t="inlineStr">
        <is>
          <t>MET_JAVAN_LAL2_SITE_ZA</t>
        </is>
      </c>
      <c r="K388" s="42" t="inlineStr">
        <is>
          <t>Lookalike</t>
        </is>
      </c>
      <c r="L388" s="42" t="inlineStr">
        <is>
          <t>JAVAN_VID_15s_DCT_Tech_v1</t>
        </is>
      </c>
      <c r="M388" s="42" t="inlineStr">
        <is>
          <t>Video 4:5</t>
        </is>
      </c>
      <c r="N388" s="42" t="inlineStr">
        <is>
          <t>1.5T DCT. Explained in 15 seconds.</t>
        </is>
      </c>
      <c r="O388" s="42" t="inlineStr">
        <is>
          <t>Auction - Lowest Cost</t>
        </is>
      </c>
      <c r="P388" s="42" t="inlineStr">
        <is>
          <t>Offsite Conversions</t>
        </is>
      </c>
      <c r="Q388" s="42" t="inlineStr">
        <is>
          <t>https://www.lepas-sa.co.za/offers/javan</t>
        </is>
      </c>
      <c r="R388" s="115" t="n">
        <v>155.92</v>
      </c>
      <c r="S388" s="116" t="n">
        <v>1701</v>
      </c>
      <c r="T388" s="116" t="n">
        <v>1327</v>
      </c>
      <c r="U388" s="117">
        <f>IFERROR(S388/T388,"")</f>
        <v/>
      </c>
      <c r="V388" s="116" t="n">
        <v>57</v>
      </c>
      <c r="W388" s="116" t="n">
        <v>40</v>
      </c>
      <c r="X388" s="118">
        <f>IFERROR(W388/S388,"")</f>
        <v/>
      </c>
      <c r="Y388" s="115">
        <f>IFERROR(R388/W388,"")</f>
        <v/>
      </c>
      <c r="Z388" s="115">
        <f>IFERROR(R388/S388*1000,"")</f>
        <v/>
      </c>
      <c r="AA388" s="116" t="n">
        <v>35</v>
      </c>
      <c r="AB388" s="47">
        <f>IFERROR(AA388/W388,"")</f>
        <v/>
      </c>
      <c r="AC388" s="116" t="n">
        <v>602</v>
      </c>
      <c r="AD388" s="116" t="n">
        <v>313</v>
      </c>
      <c r="AE388" s="116" t="n">
        <v>265</v>
      </c>
      <c r="AF388" s="116" t="n">
        <v>180</v>
      </c>
      <c r="AG388" s="116" t="n">
        <v>129</v>
      </c>
      <c r="AH388" s="116" t="n">
        <v>91</v>
      </c>
      <c r="AI388" s="47">
        <f>IFERROR(AC388/S388,"")</f>
        <v/>
      </c>
      <c r="AJ388" s="47">
        <f>IFERROR(AH388/S388,"")</f>
        <v/>
      </c>
      <c r="AK388" s="116" t="n">
        <v>31</v>
      </c>
      <c r="AL388" s="116" t="n">
        <v>1</v>
      </c>
      <c r="AM388" s="118">
        <f>IFERROR(AL388/AA388,"")</f>
        <v/>
      </c>
      <c r="AN388" s="119">
        <f>IFERROR(R388/AL388,"")</f>
        <v/>
      </c>
      <c r="AO388" s="116" t="n">
        <v>1</v>
      </c>
      <c r="AP388" s="47">
        <f>IFERROR(AO388/AL388,"")</f>
        <v/>
      </c>
      <c r="AQ388" s="119">
        <f>IFERROR(R388/AO388,"")</f>
        <v/>
      </c>
      <c r="AR388" s="116" t="n">
        <v>0</v>
      </c>
      <c r="AS388" s="116" t="n">
        <v>0</v>
      </c>
      <c r="AT388" s="116">
        <f>AL388+AR388</f>
        <v/>
      </c>
      <c r="AU388" s="119">
        <f>IFERROR(AO388*Assumptions!$C$26*Assumptions!$C$27*INDEX(Assumptions!$C$18:$C$21,MATCH(H388,Assumptions!$B$18:$B$21,0)),0)</f>
        <v/>
      </c>
    </row>
    <row r="389">
      <c r="A389" s="114" t="n">
        <v>46248</v>
      </c>
      <c r="B389" s="42" t="inlineStr">
        <is>
          <t>Wk 33</t>
        </is>
      </c>
      <c r="C389" s="42" t="inlineStr">
        <is>
          <t>Fri</t>
        </is>
      </c>
      <c r="D389" s="42" t="inlineStr">
        <is>
          <t>Meta (FB/IG)</t>
        </is>
      </c>
      <c r="E389" s="42" t="inlineStr">
        <is>
          <t>Facebook + Instagram</t>
        </is>
      </c>
      <c r="F389" s="42" t="inlineStr">
        <is>
          <t>LEP_ZA_AUG26_META_TD_JAVAN_CONV</t>
        </is>
      </c>
      <c r="G389" s="42" t="inlineStr">
        <is>
          <t>Leads - Website Conversions</t>
        </is>
      </c>
      <c r="H389" s="42" t="inlineStr">
        <is>
          <t>JAVAN</t>
        </is>
      </c>
      <c r="I389" s="42" t="inlineStr">
        <is>
          <t>10% Deposit</t>
        </is>
      </c>
      <c r="J389" s="42" t="inlineStr">
        <is>
          <t>MET_JAVAN_LAL2_SITE_ZA</t>
        </is>
      </c>
      <c r="K389" s="42" t="inlineStr">
        <is>
          <t>Lookalike</t>
        </is>
      </c>
      <c r="L389" s="42" t="inlineStr">
        <is>
          <t>JAVAN_VID_15s_DCT_Tech_v1</t>
        </is>
      </c>
      <c r="M389" s="42" t="inlineStr">
        <is>
          <t>Video 4:5</t>
        </is>
      </c>
      <c r="N389" s="42" t="inlineStr">
        <is>
          <t>1.5T DCT. Explained in 15 seconds.</t>
        </is>
      </c>
      <c r="O389" s="42" t="inlineStr">
        <is>
          <t>Auction - Lowest Cost</t>
        </is>
      </c>
      <c r="P389" s="42" t="inlineStr">
        <is>
          <t>Offsite Conversions</t>
        </is>
      </c>
      <c r="Q389" s="42" t="inlineStr">
        <is>
          <t>https://www.lepas-sa.co.za/offers/javan</t>
        </is>
      </c>
      <c r="R389" s="115" t="n">
        <v>128.8</v>
      </c>
      <c r="S389" s="116" t="n">
        <v>1560</v>
      </c>
      <c r="T389" s="116" t="n">
        <v>1109</v>
      </c>
      <c r="U389" s="117">
        <f>IFERROR(S389/T389,"")</f>
        <v/>
      </c>
      <c r="V389" s="116" t="n">
        <v>19</v>
      </c>
      <c r="W389" s="116" t="n">
        <v>15</v>
      </c>
      <c r="X389" s="118">
        <f>IFERROR(W389/S389,"")</f>
        <v/>
      </c>
      <c r="Y389" s="115">
        <f>IFERROR(R389/W389,"")</f>
        <v/>
      </c>
      <c r="Z389" s="115">
        <f>IFERROR(R389/S389*1000,"")</f>
        <v/>
      </c>
      <c r="AA389" s="116" t="n">
        <v>13</v>
      </c>
      <c r="AB389" s="47">
        <f>IFERROR(AA389/W389,"")</f>
        <v/>
      </c>
      <c r="AC389" s="116" t="n">
        <v>349</v>
      </c>
      <c r="AD389" s="116" t="n">
        <v>187</v>
      </c>
      <c r="AE389" s="116" t="n">
        <v>143</v>
      </c>
      <c r="AF389" s="116" t="n">
        <v>84</v>
      </c>
      <c r="AG389" s="116" t="n">
        <v>66</v>
      </c>
      <c r="AH389" s="116" t="n">
        <v>37</v>
      </c>
      <c r="AI389" s="47">
        <f>IFERROR(AC389/S389,"")</f>
        <v/>
      </c>
      <c r="AJ389" s="47">
        <f>IFERROR(AH389/S389,"")</f>
        <v/>
      </c>
      <c r="AK389" s="116" t="n">
        <v>30</v>
      </c>
      <c r="AL389" s="116" t="n">
        <v>0</v>
      </c>
      <c r="AM389" s="118">
        <f>IFERROR(AL389/AA389,"")</f>
        <v/>
      </c>
      <c r="AN389" s="119">
        <f>IFERROR(R389/AL389,"")</f>
        <v/>
      </c>
      <c r="AO389" s="116" t="n">
        <v>0</v>
      </c>
      <c r="AP389" s="47">
        <f>IFERROR(AO389/AL389,"")</f>
        <v/>
      </c>
      <c r="AQ389" s="119">
        <f>IFERROR(R389/AO389,"")</f>
        <v/>
      </c>
      <c r="AR389" s="116" t="n">
        <v>0</v>
      </c>
      <c r="AS389" s="116" t="n">
        <v>0</v>
      </c>
      <c r="AT389" s="116">
        <f>AL389+AR389</f>
        <v/>
      </c>
      <c r="AU389" s="119">
        <f>IFERROR(AO389*Assumptions!$C$26*Assumptions!$C$27*INDEX(Assumptions!$C$18:$C$21,MATCH(H389,Assumptions!$B$18:$B$21,0)),0)</f>
        <v/>
      </c>
    </row>
    <row r="390">
      <c r="A390" s="114" t="n">
        <v>46249</v>
      </c>
      <c r="B390" s="42" t="inlineStr">
        <is>
          <t>Wk 33</t>
        </is>
      </c>
      <c r="C390" s="42" t="inlineStr">
        <is>
          <t>Sat</t>
        </is>
      </c>
      <c r="D390" s="42" t="inlineStr">
        <is>
          <t>Meta (FB/IG)</t>
        </is>
      </c>
      <c r="E390" s="42" t="inlineStr">
        <is>
          <t>Facebook + Instagram</t>
        </is>
      </c>
      <c r="F390" s="42" t="inlineStr">
        <is>
          <t>LEP_ZA_AUG26_META_TD_JAVAN_CONV</t>
        </is>
      </c>
      <c r="G390" s="42" t="inlineStr">
        <is>
          <t>Leads - Website Conversions</t>
        </is>
      </c>
      <c r="H390" s="42" t="inlineStr">
        <is>
          <t>JAVAN</t>
        </is>
      </c>
      <c r="I390" s="42" t="inlineStr">
        <is>
          <t>10% Deposit</t>
        </is>
      </c>
      <c r="J390" s="42" t="inlineStr">
        <is>
          <t>MET_JAVAN_LAL2_SITE_ZA</t>
        </is>
      </c>
      <c r="K390" s="42" t="inlineStr">
        <is>
          <t>Lookalike</t>
        </is>
      </c>
      <c r="L390" s="42" t="inlineStr">
        <is>
          <t>JAVAN_VID_15s_DCT_Tech_v1</t>
        </is>
      </c>
      <c r="M390" s="42" t="inlineStr">
        <is>
          <t>Video 4:5</t>
        </is>
      </c>
      <c r="N390" s="42" t="inlineStr">
        <is>
          <t>1.5T DCT. Explained in 15 seconds.</t>
        </is>
      </c>
      <c r="O390" s="42" t="inlineStr">
        <is>
          <t>Auction - Lowest Cost</t>
        </is>
      </c>
      <c r="P390" s="42" t="inlineStr">
        <is>
          <t>Offsite Conversions</t>
        </is>
      </c>
      <c r="Q390" s="42" t="inlineStr">
        <is>
          <t>https://www.lepas-sa.co.za/offers/javan</t>
        </is>
      </c>
      <c r="R390" s="115" t="n">
        <v>167.05</v>
      </c>
      <c r="S390" s="116" t="n">
        <v>1746</v>
      </c>
      <c r="T390" s="116" t="n">
        <v>1044</v>
      </c>
      <c r="U390" s="117">
        <f>IFERROR(S390/T390,"")</f>
        <v/>
      </c>
      <c r="V390" s="116" t="n">
        <v>32</v>
      </c>
      <c r="W390" s="116" t="n">
        <v>27</v>
      </c>
      <c r="X390" s="118">
        <f>IFERROR(W390/S390,"")</f>
        <v/>
      </c>
      <c r="Y390" s="115">
        <f>IFERROR(R390/W390,"")</f>
        <v/>
      </c>
      <c r="Z390" s="115">
        <f>IFERROR(R390/S390*1000,"")</f>
        <v/>
      </c>
      <c r="AA390" s="116" t="n">
        <v>24</v>
      </c>
      <c r="AB390" s="47">
        <f>IFERROR(AA390/W390,"")</f>
        <v/>
      </c>
      <c r="AC390" s="116" t="n">
        <v>459</v>
      </c>
      <c r="AD390" s="116" t="n">
        <v>280</v>
      </c>
      <c r="AE390" s="116" t="n">
        <v>240</v>
      </c>
      <c r="AF390" s="116" t="n">
        <v>169</v>
      </c>
      <c r="AG390" s="116" t="n">
        <v>127</v>
      </c>
      <c r="AH390" s="116" t="n">
        <v>72</v>
      </c>
      <c r="AI390" s="47">
        <f>IFERROR(AC390/S390,"")</f>
        <v/>
      </c>
      <c r="AJ390" s="47">
        <f>IFERROR(AH390/S390,"")</f>
        <v/>
      </c>
      <c r="AK390" s="116" t="n">
        <v>42</v>
      </c>
      <c r="AL390" s="116" t="n">
        <v>1</v>
      </c>
      <c r="AM390" s="118">
        <f>IFERROR(AL390/AA390,"")</f>
        <v/>
      </c>
      <c r="AN390" s="119">
        <f>IFERROR(R390/AL390,"")</f>
        <v/>
      </c>
      <c r="AO390" s="116" t="n">
        <v>0</v>
      </c>
      <c r="AP390" s="47">
        <f>IFERROR(AO390/AL390,"")</f>
        <v/>
      </c>
      <c r="AQ390" s="119">
        <f>IFERROR(R390/AO390,"")</f>
        <v/>
      </c>
      <c r="AR390" s="116" t="n">
        <v>0</v>
      </c>
      <c r="AS390" s="116" t="n">
        <v>0</v>
      </c>
      <c r="AT390" s="116">
        <f>AL390+AR390</f>
        <v/>
      </c>
      <c r="AU390" s="119">
        <f>IFERROR(AO390*Assumptions!$C$26*Assumptions!$C$27*INDEX(Assumptions!$C$18:$C$21,MATCH(H390,Assumptions!$B$18:$B$21,0)),0)</f>
        <v/>
      </c>
    </row>
    <row r="391">
      <c r="A391" s="114" t="n">
        <v>46250</v>
      </c>
      <c r="B391" s="42" t="inlineStr">
        <is>
          <t>Wk 33</t>
        </is>
      </c>
      <c r="C391" s="42" t="inlineStr">
        <is>
          <t>Sun</t>
        </is>
      </c>
      <c r="D391" s="42" t="inlineStr">
        <is>
          <t>Meta (FB/IG)</t>
        </is>
      </c>
      <c r="E391" s="42" t="inlineStr">
        <is>
          <t>Facebook + Instagram</t>
        </is>
      </c>
      <c r="F391" s="42" t="inlineStr">
        <is>
          <t>LEP_ZA_AUG26_META_TD_JAVAN_CONV</t>
        </is>
      </c>
      <c r="G391" s="42" t="inlineStr">
        <is>
          <t>Leads - Website Conversions</t>
        </is>
      </c>
      <c r="H391" s="42" t="inlineStr">
        <is>
          <t>JAVAN</t>
        </is>
      </c>
      <c r="I391" s="42" t="inlineStr">
        <is>
          <t>10% Deposit</t>
        </is>
      </c>
      <c r="J391" s="42" t="inlineStr">
        <is>
          <t>MET_JAVAN_LAL2_SITE_ZA</t>
        </is>
      </c>
      <c r="K391" s="42" t="inlineStr">
        <is>
          <t>Lookalike</t>
        </is>
      </c>
      <c r="L391" s="42" t="inlineStr">
        <is>
          <t>JAVAN_VID_15s_DCT_Tech_v1</t>
        </is>
      </c>
      <c r="M391" s="42" t="inlineStr">
        <is>
          <t>Video 4:5</t>
        </is>
      </c>
      <c r="N391" s="42" t="inlineStr">
        <is>
          <t>1.5T DCT. Explained in 15 seconds.</t>
        </is>
      </c>
      <c r="O391" s="42" t="inlineStr">
        <is>
          <t>Auction - Lowest Cost</t>
        </is>
      </c>
      <c r="P391" s="42" t="inlineStr">
        <is>
          <t>Offsite Conversions</t>
        </is>
      </c>
      <c r="Q391" s="42" t="inlineStr">
        <is>
          <t>https://www.lepas-sa.co.za/offers/javan</t>
        </is>
      </c>
      <c r="R391" s="115" t="n">
        <v>110.31</v>
      </c>
      <c r="S391" s="116" t="n">
        <v>1666</v>
      </c>
      <c r="T391" s="116" t="n">
        <v>939</v>
      </c>
      <c r="U391" s="117">
        <f>IFERROR(S391/T391,"")</f>
        <v/>
      </c>
      <c r="V391" s="116" t="n">
        <v>49</v>
      </c>
      <c r="W391" s="116" t="n">
        <v>36</v>
      </c>
      <c r="X391" s="118">
        <f>IFERROR(W391/S391,"")</f>
        <v/>
      </c>
      <c r="Y391" s="115">
        <f>IFERROR(R391/W391,"")</f>
        <v/>
      </c>
      <c r="Z391" s="115">
        <f>IFERROR(R391/S391*1000,"")</f>
        <v/>
      </c>
      <c r="AA391" s="116" t="n">
        <v>31</v>
      </c>
      <c r="AB391" s="47">
        <f>IFERROR(AA391/W391,"")</f>
        <v/>
      </c>
      <c r="AC391" s="116" t="n">
        <v>403</v>
      </c>
      <c r="AD391" s="116" t="n">
        <v>197</v>
      </c>
      <c r="AE391" s="116" t="n">
        <v>203</v>
      </c>
      <c r="AF391" s="116" t="n">
        <v>120</v>
      </c>
      <c r="AG391" s="116" t="n">
        <v>84</v>
      </c>
      <c r="AH391" s="116" t="n">
        <v>52</v>
      </c>
      <c r="AI391" s="47">
        <f>IFERROR(AC391/S391,"")</f>
        <v/>
      </c>
      <c r="AJ391" s="47">
        <f>IFERROR(AH391/S391,"")</f>
        <v/>
      </c>
      <c r="AK391" s="116" t="n">
        <v>23</v>
      </c>
      <c r="AL391" s="116" t="n">
        <v>1</v>
      </c>
      <c r="AM391" s="118">
        <f>IFERROR(AL391/AA391,"")</f>
        <v/>
      </c>
      <c r="AN391" s="119">
        <f>IFERROR(R391/AL391,"")</f>
        <v/>
      </c>
      <c r="AO391" s="116" t="n">
        <v>1</v>
      </c>
      <c r="AP391" s="47">
        <f>IFERROR(AO391/AL391,"")</f>
        <v/>
      </c>
      <c r="AQ391" s="119">
        <f>IFERROR(R391/AO391,"")</f>
        <v/>
      </c>
      <c r="AR391" s="116" t="n">
        <v>0</v>
      </c>
      <c r="AS391" s="116" t="n">
        <v>1</v>
      </c>
      <c r="AT391" s="116">
        <f>AL391+AR391</f>
        <v/>
      </c>
      <c r="AU391" s="119">
        <f>IFERROR(AO391*Assumptions!$C$26*Assumptions!$C$27*INDEX(Assumptions!$C$18:$C$21,MATCH(H391,Assumptions!$B$18:$B$21,0)),0)</f>
        <v/>
      </c>
    </row>
    <row r="392">
      <c r="A392" s="114" t="n">
        <v>46251</v>
      </c>
      <c r="B392" s="42" t="inlineStr">
        <is>
          <t>Wk 34</t>
        </is>
      </c>
      <c r="C392" s="42" t="inlineStr">
        <is>
          <t>Mon</t>
        </is>
      </c>
      <c r="D392" s="42" t="inlineStr">
        <is>
          <t>Meta (FB/IG)</t>
        </is>
      </c>
      <c r="E392" s="42" t="inlineStr">
        <is>
          <t>Facebook + Instagram</t>
        </is>
      </c>
      <c r="F392" s="42" t="inlineStr">
        <is>
          <t>LEP_ZA_AUG26_META_TD_JAVAN_CONV</t>
        </is>
      </c>
      <c r="G392" s="42" t="inlineStr">
        <is>
          <t>Leads - Website Conversions</t>
        </is>
      </c>
      <c r="H392" s="42" t="inlineStr">
        <is>
          <t>JAVAN</t>
        </is>
      </c>
      <c r="I392" s="42" t="inlineStr">
        <is>
          <t>10% Deposit</t>
        </is>
      </c>
      <c r="J392" s="42" t="inlineStr">
        <is>
          <t>MET_JAVAN_LAL2_SITE_ZA</t>
        </is>
      </c>
      <c r="K392" s="42" t="inlineStr">
        <is>
          <t>Lookalike</t>
        </is>
      </c>
      <c r="L392" s="42" t="inlineStr">
        <is>
          <t>JAVAN_VID_15s_DCT_Tech_v1</t>
        </is>
      </c>
      <c r="M392" s="42" t="inlineStr">
        <is>
          <t>Video 4:5</t>
        </is>
      </c>
      <c r="N392" s="42" t="inlineStr">
        <is>
          <t>1.5T DCT. Explained in 15 seconds.</t>
        </is>
      </c>
      <c r="O392" s="42" t="inlineStr">
        <is>
          <t>Auction - Lowest Cost</t>
        </is>
      </c>
      <c r="P392" s="42" t="inlineStr">
        <is>
          <t>Offsite Conversions</t>
        </is>
      </c>
      <c r="Q392" s="42" t="inlineStr">
        <is>
          <t>https://www.lepas-sa.co.za/offers/javan</t>
        </is>
      </c>
      <c r="R392" s="115" t="n">
        <v>130.8</v>
      </c>
      <c r="S392" s="116" t="n">
        <v>1813</v>
      </c>
      <c r="T392" s="116" t="n">
        <v>1343</v>
      </c>
      <c r="U392" s="117">
        <f>IFERROR(S392/T392,"")</f>
        <v/>
      </c>
      <c r="V392" s="116" t="n">
        <v>47</v>
      </c>
      <c r="W392" s="116" t="n">
        <v>33</v>
      </c>
      <c r="X392" s="118">
        <f>IFERROR(W392/S392,"")</f>
        <v/>
      </c>
      <c r="Y392" s="115">
        <f>IFERROR(R392/W392,"")</f>
        <v/>
      </c>
      <c r="Z392" s="115">
        <f>IFERROR(R392/S392*1000,"")</f>
        <v/>
      </c>
      <c r="AA392" s="116" t="n">
        <v>27</v>
      </c>
      <c r="AB392" s="47">
        <f>IFERROR(AA392/W392,"")</f>
        <v/>
      </c>
      <c r="AC392" s="116" t="n">
        <v>617</v>
      </c>
      <c r="AD392" s="116" t="n">
        <v>353</v>
      </c>
      <c r="AE392" s="116" t="n">
        <v>236</v>
      </c>
      <c r="AF392" s="116" t="n">
        <v>164</v>
      </c>
      <c r="AG392" s="116" t="n">
        <v>117</v>
      </c>
      <c r="AH392" s="116" t="n">
        <v>84</v>
      </c>
      <c r="AI392" s="47">
        <f>IFERROR(AC392/S392,"")</f>
        <v/>
      </c>
      <c r="AJ392" s="47">
        <f>IFERROR(AH392/S392,"")</f>
        <v/>
      </c>
      <c r="AK392" s="116" t="n">
        <v>55</v>
      </c>
      <c r="AL392" s="116" t="n">
        <v>1</v>
      </c>
      <c r="AM392" s="118">
        <f>IFERROR(AL392/AA392,"")</f>
        <v/>
      </c>
      <c r="AN392" s="119">
        <f>IFERROR(R392/AL392,"")</f>
        <v/>
      </c>
      <c r="AO392" s="116" t="n">
        <v>0</v>
      </c>
      <c r="AP392" s="47">
        <f>IFERROR(AO392/AL392,"")</f>
        <v/>
      </c>
      <c r="AQ392" s="119">
        <f>IFERROR(R392/AO392,"")</f>
        <v/>
      </c>
      <c r="AR392" s="116" t="n">
        <v>0</v>
      </c>
      <c r="AS392" s="116" t="n">
        <v>0</v>
      </c>
      <c r="AT392" s="116">
        <f>AL392+AR392</f>
        <v/>
      </c>
      <c r="AU392" s="119">
        <f>IFERROR(AO392*Assumptions!$C$26*Assumptions!$C$27*INDEX(Assumptions!$C$18:$C$21,MATCH(H392,Assumptions!$B$18:$B$21,0)),0)</f>
        <v/>
      </c>
    </row>
    <row r="393">
      <c r="A393" s="114" t="n">
        <v>46252</v>
      </c>
      <c r="B393" s="42" t="inlineStr">
        <is>
          <t>Wk 34</t>
        </is>
      </c>
      <c r="C393" s="42" t="inlineStr">
        <is>
          <t>Tue</t>
        </is>
      </c>
      <c r="D393" s="42" t="inlineStr">
        <is>
          <t>Meta (FB/IG)</t>
        </is>
      </c>
      <c r="E393" s="42" t="inlineStr">
        <is>
          <t>Facebook + Instagram</t>
        </is>
      </c>
      <c r="F393" s="42" t="inlineStr">
        <is>
          <t>LEP_ZA_AUG26_META_TD_JAVAN_CONV</t>
        </is>
      </c>
      <c r="G393" s="42" t="inlineStr">
        <is>
          <t>Leads - Website Conversions</t>
        </is>
      </c>
      <c r="H393" s="42" t="inlineStr">
        <is>
          <t>JAVAN</t>
        </is>
      </c>
      <c r="I393" s="42" t="inlineStr">
        <is>
          <t>10% Deposit</t>
        </is>
      </c>
      <c r="J393" s="42" t="inlineStr">
        <is>
          <t>MET_JAVAN_LAL2_SITE_ZA</t>
        </is>
      </c>
      <c r="K393" s="42" t="inlineStr">
        <is>
          <t>Lookalike</t>
        </is>
      </c>
      <c r="L393" s="42" t="inlineStr">
        <is>
          <t>JAVAN_VID_15s_DCT_Tech_v1</t>
        </is>
      </c>
      <c r="M393" s="42" t="inlineStr">
        <is>
          <t>Video 4:5</t>
        </is>
      </c>
      <c r="N393" s="42" t="inlineStr">
        <is>
          <t>1.5T DCT. Explained in 15 seconds.</t>
        </is>
      </c>
      <c r="O393" s="42" t="inlineStr">
        <is>
          <t>Auction - Lowest Cost</t>
        </is>
      </c>
      <c r="P393" s="42" t="inlineStr">
        <is>
          <t>Offsite Conversions</t>
        </is>
      </c>
      <c r="Q393" s="42" t="inlineStr">
        <is>
          <t>https://www.lepas-sa.co.za/offers/javan</t>
        </is>
      </c>
      <c r="R393" s="115" t="n">
        <v>120.75</v>
      </c>
      <c r="S393" s="116" t="n">
        <v>1633</v>
      </c>
      <c r="T393" s="116" t="n">
        <v>896</v>
      </c>
      <c r="U393" s="117">
        <f>IFERROR(S393/T393,"")</f>
        <v/>
      </c>
      <c r="V393" s="116" t="n">
        <v>17</v>
      </c>
      <c r="W393" s="116" t="n">
        <v>14</v>
      </c>
      <c r="X393" s="118">
        <f>IFERROR(W393/S393,"")</f>
        <v/>
      </c>
      <c r="Y393" s="115">
        <f>IFERROR(R393/W393,"")</f>
        <v/>
      </c>
      <c r="Z393" s="115">
        <f>IFERROR(R393/S393*1000,"")</f>
        <v/>
      </c>
      <c r="AA393" s="116" t="n">
        <v>11</v>
      </c>
      <c r="AB393" s="47">
        <f>IFERROR(AA393/W393,"")</f>
        <v/>
      </c>
      <c r="AC393" s="116" t="n">
        <v>413</v>
      </c>
      <c r="AD393" s="116" t="n">
        <v>210</v>
      </c>
      <c r="AE393" s="116" t="n">
        <v>190</v>
      </c>
      <c r="AF393" s="116" t="n">
        <v>129</v>
      </c>
      <c r="AG393" s="116" t="n">
        <v>85</v>
      </c>
      <c r="AH393" s="116" t="n">
        <v>51</v>
      </c>
      <c r="AI393" s="47">
        <f>IFERROR(AC393/S393,"")</f>
        <v/>
      </c>
      <c r="AJ393" s="47">
        <f>IFERROR(AH393/S393,"")</f>
        <v/>
      </c>
      <c r="AK393" s="116" t="n">
        <v>40</v>
      </c>
      <c r="AL393" s="116" t="n">
        <v>0</v>
      </c>
      <c r="AM393" s="118">
        <f>IFERROR(AL393/AA393,"")</f>
        <v/>
      </c>
      <c r="AN393" s="119">
        <f>IFERROR(R393/AL393,"")</f>
        <v/>
      </c>
      <c r="AO393" s="116" t="n">
        <v>0</v>
      </c>
      <c r="AP393" s="47">
        <f>IFERROR(AO393/AL393,"")</f>
        <v/>
      </c>
      <c r="AQ393" s="119">
        <f>IFERROR(R393/AO393,"")</f>
        <v/>
      </c>
      <c r="AR393" s="116" t="n">
        <v>0</v>
      </c>
      <c r="AS393" s="116" t="n">
        <v>0</v>
      </c>
      <c r="AT393" s="116">
        <f>AL393+AR393</f>
        <v/>
      </c>
      <c r="AU393" s="119">
        <f>IFERROR(AO393*Assumptions!$C$26*Assumptions!$C$27*INDEX(Assumptions!$C$18:$C$21,MATCH(H393,Assumptions!$B$18:$B$21,0)),0)</f>
        <v/>
      </c>
    </row>
    <row r="394">
      <c r="A394" s="114" t="n">
        <v>46253</v>
      </c>
      <c r="B394" s="42" t="inlineStr">
        <is>
          <t>Wk 34</t>
        </is>
      </c>
      <c r="C394" s="42" t="inlineStr">
        <is>
          <t>Wed</t>
        </is>
      </c>
      <c r="D394" s="42" t="inlineStr">
        <is>
          <t>Meta (FB/IG)</t>
        </is>
      </c>
      <c r="E394" s="42" t="inlineStr">
        <is>
          <t>Facebook + Instagram</t>
        </is>
      </c>
      <c r="F394" s="42" t="inlineStr">
        <is>
          <t>LEP_ZA_AUG26_META_TD_JAVAN_CONV</t>
        </is>
      </c>
      <c r="G394" s="42" t="inlineStr">
        <is>
          <t>Leads - Website Conversions</t>
        </is>
      </c>
      <c r="H394" s="42" t="inlineStr">
        <is>
          <t>JAVAN</t>
        </is>
      </c>
      <c r="I394" s="42" t="inlineStr">
        <is>
          <t>10% Deposit</t>
        </is>
      </c>
      <c r="J394" s="42" t="inlineStr">
        <is>
          <t>MET_JAVAN_LAL2_SITE_ZA</t>
        </is>
      </c>
      <c r="K394" s="42" t="inlineStr">
        <is>
          <t>Lookalike</t>
        </is>
      </c>
      <c r="L394" s="42" t="inlineStr">
        <is>
          <t>JAVAN_VID_15s_DCT_Tech_v1</t>
        </is>
      </c>
      <c r="M394" s="42" t="inlineStr">
        <is>
          <t>Video 4:5</t>
        </is>
      </c>
      <c r="N394" s="42" t="inlineStr">
        <is>
          <t>1.5T DCT. Explained in 15 seconds.</t>
        </is>
      </c>
      <c r="O394" s="42" t="inlineStr">
        <is>
          <t>Auction - Lowest Cost</t>
        </is>
      </c>
      <c r="P394" s="42" t="inlineStr">
        <is>
          <t>Offsite Conversions</t>
        </is>
      </c>
      <c r="Q394" s="42" t="inlineStr">
        <is>
          <t>https://www.lepas-sa.co.za/offers/javan</t>
        </is>
      </c>
      <c r="R394" s="115" t="n">
        <v>144.86</v>
      </c>
      <c r="S394" s="116" t="n">
        <v>1524</v>
      </c>
      <c r="T394" s="116" t="n">
        <v>1073</v>
      </c>
      <c r="U394" s="117">
        <f>IFERROR(S394/T394,"")</f>
        <v/>
      </c>
      <c r="V394" s="116" t="n">
        <v>26</v>
      </c>
      <c r="W394" s="116" t="n">
        <v>20</v>
      </c>
      <c r="X394" s="118">
        <f>IFERROR(W394/S394,"")</f>
        <v/>
      </c>
      <c r="Y394" s="115">
        <f>IFERROR(R394/W394,"")</f>
        <v/>
      </c>
      <c r="Z394" s="115">
        <f>IFERROR(R394/S394*1000,"")</f>
        <v/>
      </c>
      <c r="AA394" s="116" t="n">
        <v>17</v>
      </c>
      <c r="AB394" s="47">
        <f>IFERROR(AA394/W394,"")</f>
        <v/>
      </c>
      <c r="AC394" s="116" t="n">
        <v>407</v>
      </c>
      <c r="AD394" s="116" t="n">
        <v>181</v>
      </c>
      <c r="AE394" s="116" t="n">
        <v>154</v>
      </c>
      <c r="AF394" s="116" t="n">
        <v>89</v>
      </c>
      <c r="AG394" s="116" t="n">
        <v>66</v>
      </c>
      <c r="AH394" s="116" t="n">
        <v>46</v>
      </c>
      <c r="AI394" s="47">
        <f>IFERROR(AC394/S394,"")</f>
        <v/>
      </c>
      <c r="AJ394" s="47">
        <f>IFERROR(AH394/S394,"")</f>
        <v/>
      </c>
      <c r="AK394" s="116" t="n">
        <v>49</v>
      </c>
      <c r="AL394" s="116" t="n">
        <v>0</v>
      </c>
      <c r="AM394" s="118">
        <f>IFERROR(AL394/AA394,"")</f>
        <v/>
      </c>
      <c r="AN394" s="119">
        <f>IFERROR(R394/AL394,"")</f>
        <v/>
      </c>
      <c r="AO394" s="116" t="n">
        <v>0</v>
      </c>
      <c r="AP394" s="47">
        <f>IFERROR(AO394/AL394,"")</f>
        <v/>
      </c>
      <c r="AQ394" s="119">
        <f>IFERROR(R394/AO394,"")</f>
        <v/>
      </c>
      <c r="AR394" s="116" t="n">
        <v>0</v>
      </c>
      <c r="AS394" s="116" t="n">
        <v>0</v>
      </c>
      <c r="AT394" s="116">
        <f>AL394+AR394</f>
        <v/>
      </c>
      <c r="AU394" s="119">
        <f>IFERROR(AO394*Assumptions!$C$26*Assumptions!$C$27*INDEX(Assumptions!$C$18:$C$21,MATCH(H394,Assumptions!$B$18:$B$21,0)),0)</f>
        <v/>
      </c>
    </row>
    <row r="395">
      <c r="A395" s="114" t="n">
        <v>46254</v>
      </c>
      <c r="B395" s="42" t="inlineStr">
        <is>
          <t>Wk 34</t>
        </is>
      </c>
      <c r="C395" s="42" t="inlineStr">
        <is>
          <t>Thu</t>
        </is>
      </c>
      <c r="D395" s="42" t="inlineStr">
        <is>
          <t>Meta (FB/IG)</t>
        </is>
      </c>
      <c r="E395" s="42" t="inlineStr">
        <is>
          <t>Facebook + Instagram</t>
        </is>
      </c>
      <c r="F395" s="42" t="inlineStr">
        <is>
          <t>LEP_ZA_AUG26_META_TD_JAVAN_CONV</t>
        </is>
      </c>
      <c r="G395" s="42" t="inlineStr">
        <is>
          <t>Leads - Website Conversions</t>
        </is>
      </c>
      <c r="H395" s="42" t="inlineStr">
        <is>
          <t>JAVAN</t>
        </is>
      </c>
      <c r="I395" s="42" t="inlineStr">
        <is>
          <t>10% Deposit</t>
        </is>
      </c>
      <c r="J395" s="42" t="inlineStr">
        <is>
          <t>MET_JAVAN_LAL2_SITE_ZA</t>
        </is>
      </c>
      <c r="K395" s="42" t="inlineStr">
        <is>
          <t>Lookalike</t>
        </is>
      </c>
      <c r="L395" s="42" t="inlineStr">
        <is>
          <t>JAVAN_VID_15s_DCT_Tech_v1</t>
        </is>
      </c>
      <c r="M395" s="42" t="inlineStr">
        <is>
          <t>Video 4:5</t>
        </is>
      </c>
      <c r="N395" s="42" t="inlineStr">
        <is>
          <t>1.5T DCT. Explained in 15 seconds.</t>
        </is>
      </c>
      <c r="O395" s="42" t="inlineStr">
        <is>
          <t>Auction - Lowest Cost</t>
        </is>
      </c>
      <c r="P395" s="42" t="inlineStr">
        <is>
          <t>Offsite Conversions</t>
        </is>
      </c>
      <c r="Q395" s="42" t="inlineStr">
        <is>
          <t>https://www.lepas-sa.co.za/offers/javan</t>
        </is>
      </c>
      <c r="R395" s="115" t="n">
        <v>130.56</v>
      </c>
      <c r="S395" s="116" t="n">
        <v>1992</v>
      </c>
      <c r="T395" s="116" t="n">
        <v>1311</v>
      </c>
      <c r="U395" s="117">
        <f>IFERROR(S395/T395,"")</f>
        <v/>
      </c>
      <c r="V395" s="116" t="n">
        <v>25</v>
      </c>
      <c r="W395" s="116" t="n">
        <v>19</v>
      </c>
      <c r="X395" s="118">
        <f>IFERROR(W395/S395,"")</f>
        <v/>
      </c>
      <c r="Y395" s="115">
        <f>IFERROR(R395/W395,"")</f>
        <v/>
      </c>
      <c r="Z395" s="115">
        <f>IFERROR(R395/S395*1000,"")</f>
        <v/>
      </c>
      <c r="AA395" s="116" t="n">
        <v>17</v>
      </c>
      <c r="AB395" s="47">
        <f>IFERROR(AA395/W395,"")</f>
        <v/>
      </c>
      <c r="AC395" s="116" t="n">
        <v>745</v>
      </c>
      <c r="AD395" s="116" t="n">
        <v>457</v>
      </c>
      <c r="AE395" s="116" t="n">
        <v>332</v>
      </c>
      <c r="AF395" s="116" t="n">
        <v>177</v>
      </c>
      <c r="AG395" s="116" t="n">
        <v>141</v>
      </c>
      <c r="AH395" s="116" t="n">
        <v>101</v>
      </c>
      <c r="AI395" s="47">
        <f>IFERROR(AC395/S395,"")</f>
        <v/>
      </c>
      <c r="AJ395" s="47">
        <f>IFERROR(AH395/S395,"")</f>
        <v/>
      </c>
      <c r="AK395" s="116" t="n">
        <v>51</v>
      </c>
      <c r="AL395" s="116" t="n">
        <v>1</v>
      </c>
      <c r="AM395" s="118">
        <f>IFERROR(AL395/AA395,"")</f>
        <v/>
      </c>
      <c r="AN395" s="119">
        <f>IFERROR(R395/AL395,"")</f>
        <v/>
      </c>
      <c r="AO395" s="116" t="n">
        <v>1</v>
      </c>
      <c r="AP395" s="47">
        <f>IFERROR(AO395/AL395,"")</f>
        <v/>
      </c>
      <c r="AQ395" s="119">
        <f>IFERROR(R395/AO395,"")</f>
        <v/>
      </c>
      <c r="AR395" s="116" t="n">
        <v>0</v>
      </c>
      <c r="AS395" s="116" t="n">
        <v>0</v>
      </c>
      <c r="AT395" s="116">
        <f>AL395+AR395</f>
        <v/>
      </c>
      <c r="AU395" s="119">
        <f>IFERROR(AO395*Assumptions!$C$26*Assumptions!$C$27*INDEX(Assumptions!$C$18:$C$21,MATCH(H395,Assumptions!$B$18:$B$21,0)),0)</f>
        <v/>
      </c>
    </row>
    <row r="396">
      <c r="A396" s="114" t="n">
        <v>46255</v>
      </c>
      <c r="B396" s="42" t="inlineStr">
        <is>
          <t>Wk 34</t>
        </is>
      </c>
      <c r="C396" s="42" t="inlineStr">
        <is>
          <t>Fri</t>
        </is>
      </c>
      <c r="D396" s="42" t="inlineStr">
        <is>
          <t>Meta (FB/IG)</t>
        </is>
      </c>
      <c r="E396" s="42" t="inlineStr">
        <is>
          <t>Facebook + Instagram</t>
        </is>
      </c>
      <c r="F396" s="42" t="inlineStr">
        <is>
          <t>LEP_ZA_AUG26_META_TD_JAVAN_CONV</t>
        </is>
      </c>
      <c r="G396" s="42" t="inlineStr">
        <is>
          <t>Leads - Website Conversions</t>
        </is>
      </c>
      <c r="H396" s="42" t="inlineStr">
        <is>
          <t>JAVAN</t>
        </is>
      </c>
      <c r="I396" s="42" t="inlineStr">
        <is>
          <t>10% Deposit</t>
        </is>
      </c>
      <c r="J396" s="42" t="inlineStr">
        <is>
          <t>MET_JAVAN_LAL2_SITE_ZA</t>
        </is>
      </c>
      <c r="K396" s="42" t="inlineStr">
        <is>
          <t>Lookalike</t>
        </is>
      </c>
      <c r="L396" s="42" t="inlineStr">
        <is>
          <t>JAVAN_VID_15s_DCT_Tech_v1</t>
        </is>
      </c>
      <c r="M396" s="42" t="inlineStr">
        <is>
          <t>Video 4:5</t>
        </is>
      </c>
      <c r="N396" s="42" t="inlineStr">
        <is>
          <t>1.5T DCT. Explained in 15 seconds.</t>
        </is>
      </c>
      <c r="O396" s="42" t="inlineStr">
        <is>
          <t>Auction - Lowest Cost</t>
        </is>
      </c>
      <c r="P396" s="42" t="inlineStr">
        <is>
          <t>Offsite Conversions</t>
        </is>
      </c>
      <c r="Q396" s="42" t="inlineStr">
        <is>
          <t>https://www.lepas-sa.co.za/offers/javan</t>
        </is>
      </c>
      <c r="R396" s="115" t="n">
        <v>154.58</v>
      </c>
      <c r="S396" s="116" t="n">
        <v>1518</v>
      </c>
      <c r="T396" s="116" t="n">
        <v>1038</v>
      </c>
      <c r="U396" s="117">
        <f>IFERROR(S396/T396,"")</f>
        <v/>
      </c>
      <c r="V396" s="116" t="n">
        <v>24</v>
      </c>
      <c r="W396" s="116" t="n">
        <v>18</v>
      </c>
      <c r="X396" s="118">
        <f>IFERROR(W396/S396,"")</f>
        <v/>
      </c>
      <c r="Y396" s="115">
        <f>IFERROR(R396/W396,"")</f>
        <v/>
      </c>
      <c r="Z396" s="115">
        <f>IFERROR(R396/S396*1000,"")</f>
        <v/>
      </c>
      <c r="AA396" s="116" t="n">
        <v>15</v>
      </c>
      <c r="AB396" s="47">
        <f>IFERROR(AA396/W396,"")</f>
        <v/>
      </c>
      <c r="AC396" s="116" t="n">
        <v>538</v>
      </c>
      <c r="AD396" s="116" t="n">
        <v>288</v>
      </c>
      <c r="AE396" s="116" t="n">
        <v>288</v>
      </c>
      <c r="AF396" s="116" t="n">
        <v>182</v>
      </c>
      <c r="AG396" s="116" t="n">
        <v>124</v>
      </c>
      <c r="AH396" s="116" t="n">
        <v>83</v>
      </c>
      <c r="AI396" s="47">
        <f>IFERROR(AC396/S396,"")</f>
        <v/>
      </c>
      <c r="AJ396" s="47">
        <f>IFERROR(AH396/S396,"")</f>
        <v/>
      </c>
      <c r="AK396" s="116" t="n">
        <v>32</v>
      </c>
      <c r="AL396" s="116" t="n">
        <v>0</v>
      </c>
      <c r="AM396" s="118">
        <f>IFERROR(AL396/AA396,"")</f>
        <v/>
      </c>
      <c r="AN396" s="119">
        <f>IFERROR(R396/AL396,"")</f>
        <v/>
      </c>
      <c r="AO396" s="116" t="n">
        <v>0</v>
      </c>
      <c r="AP396" s="47">
        <f>IFERROR(AO396/AL396,"")</f>
        <v/>
      </c>
      <c r="AQ396" s="119">
        <f>IFERROR(R396/AO396,"")</f>
        <v/>
      </c>
      <c r="AR396" s="116" t="n">
        <v>0</v>
      </c>
      <c r="AS396" s="116" t="n">
        <v>0</v>
      </c>
      <c r="AT396" s="116">
        <f>AL396+AR396</f>
        <v/>
      </c>
      <c r="AU396" s="119">
        <f>IFERROR(AO396*Assumptions!$C$26*Assumptions!$C$27*INDEX(Assumptions!$C$18:$C$21,MATCH(H396,Assumptions!$B$18:$B$21,0)),0)</f>
        <v/>
      </c>
    </row>
    <row r="397">
      <c r="A397" s="114" t="n">
        <v>46256</v>
      </c>
      <c r="B397" s="42" t="inlineStr">
        <is>
          <t>Wk 34</t>
        </is>
      </c>
      <c r="C397" s="42" t="inlineStr">
        <is>
          <t>Sat</t>
        </is>
      </c>
      <c r="D397" s="42" t="inlineStr">
        <is>
          <t>Meta (FB/IG)</t>
        </is>
      </c>
      <c r="E397" s="42" t="inlineStr">
        <is>
          <t>Facebook + Instagram</t>
        </is>
      </c>
      <c r="F397" s="42" t="inlineStr">
        <is>
          <t>LEP_ZA_AUG26_META_TD_JAVAN_CONV</t>
        </is>
      </c>
      <c r="G397" s="42" t="inlineStr">
        <is>
          <t>Leads - Website Conversions</t>
        </is>
      </c>
      <c r="H397" s="42" t="inlineStr">
        <is>
          <t>JAVAN</t>
        </is>
      </c>
      <c r="I397" s="42" t="inlineStr">
        <is>
          <t>10% Deposit</t>
        </is>
      </c>
      <c r="J397" s="42" t="inlineStr">
        <is>
          <t>MET_JAVAN_LAL2_SITE_ZA</t>
        </is>
      </c>
      <c r="K397" s="42" t="inlineStr">
        <is>
          <t>Lookalike</t>
        </is>
      </c>
      <c r="L397" s="42" t="inlineStr">
        <is>
          <t>JAVAN_VID_15s_DCT_Tech_v1</t>
        </is>
      </c>
      <c r="M397" s="42" t="inlineStr">
        <is>
          <t>Video 4:5</t>
        </is>
      </c>
      <c r="N397" s="42" t="inlineStr">
        <is>
          <t>1.5T DCT. Explained in 15 seconds.</t>
        </is>
      </c>
      <c r="O397" s="42" t="inlineStr">
        <is>
          <t>Auction - Lowest Cost</t>
        </is>
      </c>
      <c r="P397" s="42" t="inlineStr">
        <is>
          <t>Offsite Conversions</t>
        </is>
      </c>
      <c r="Q397" s="42" t="inlineStr">
        <is>
          <t>https://www.lepas-sa.co.za/offers/javan</t>
        </is>
      </c>
      <c r="R397" s="115" t="n">
        <v>152.69</v>
      </c>
      <c r="S397" s="116" t="n">
        <v>2208</v>
      </c>
      <c r="T397" s="116" t="n">
        <v>1505</v>
      </c>
      <c r="U397" s="117">
        <f>IFERROR(S397/T397,"")</f>
        <v/>
      </c>
      <c r="V397" s="116" t="n">
        <v>55</v>
      </c>
      <c r="W397" s="116" t="n">
        <v>40</v>
      </c>
      <c r="X397" s="118">
        <f>IFERROR(W397/S397,"")</f>
        <v/>
      </c>
      <c r="Y397" s="115">
        <f>IFERROR(R397/W397,"")</f>
        <v/>
      </c>
      <c r="Z397" s="115">
        <f>IFERROR(R397/S397*1000,"")</f>
        <v/>
      </c>
      <c r="AA397" s="116" t="n">
        <v>34</v>
      </c>
      <c r="AB397" s="47">
        <f>IFERROR(AA397/W397,"")</f>
        <v/>
      </c>
      <c r="AC397" s="116" t="n">
        <v>631</v>
      </c>
      <c r="AD397" s="116" t="n">
        <v>335</v>
      </c>
      <c r="AE397" s="116" t="n">
        <v>300</v>
      </c>
      <c r="AF397" s="116" t="n">
        <v>159</v>
      </c>
      <c r="AG397" s="116" t="n">
        <v>125</v>
      </c>
      <c r="AH397" s="116" t="n">
        <v>80</v>
      </c>
      <c r="AI397" s="47">
        <f>IFERROR(AC397/S397,"")</f>
        <v/>
      </c>
      <c r="AJ397" s="47">
        <f>IFERROR(AH397/S397,"")</f>
        <v/>
      </c>
      <c r="AK397" s="116" t="n">
        <v>65</v>
      </c>
      <c r="AL397" s="116" t="n">
        <v>0</v>
      </c>
      <c r="AM397" s="118">
        <f>IFERROR(AL397/AA397,"")</f>
        <v/>
      </c>
      <c r="AN397" s="119">
        <f>IFERROR(R397/AL397,"")</f>
        <v/>
      </c>
      <c r="AO397" s="116" t="n">
        <v>0</v>
      </c>
      <c r="AP397" s="47">
        <f>IFERROR(AO397/AL397,"")</f>
        <v/>
      </c>
      <c r="AQ397" s="119">
        <f>IFERROR(R397/AO397,"")</f>
        <v/>
      </c>
      <c r="AR397" s="116" t="n">
        <v>0</v>
      </c>
      <c r="AS397" s="116" t="n">
        <v>0</v>
      </c>
      <c r="AT397" s="116">
        <f>AL397+AR397</f>
        <v/>
      </c>
      <c r="AU397" s="119">
        <f>IFERROR(AO397*Assumptions!$C$26*Assumptions!$C$27*INDEX(Assumptions!$C$18:$C$21,MATCH(H397,Assumptions!$B$18:$B$21,0)),0)</f>
        <v/>
      </c>
    </row>
    <row r="398">
      <c r="A398" s="114" t="n">
        <v>46257</v>
      </c>
      <c r="B398" s="42" t="inlineStr">
        <is>
          <t>Wk 34</t>
        </is>
      </c>
      <c r="C398" s="42" t="inlineStr">
        <is>
          <t>Sun</t>
        </is>
      </c>
      <c r="D398" s="42" t="inlineStr">
        <is>
          <t>Meta (FB/IG)</t>
        </is>
      </c>
      <c r="E398" s="42" t="inlineStr">
        <is>
          <t>Facebook + Instagram</t>
        </is>
      </c>
      <c r="F398" s="42" t="inlineStr">
        <is>
          <t>LEP_ZA_AUG26_META_TD_JAVAN_CONV</t>
        </is>
      </c>
      <c r="G398" s="42" t="inlineStr">
        <is>
          <t>Leads - Website Conversions</t>
        </is>
      </c>
      <c r="H398" s="42" t="inlineStr">
        <is>
          <t>JAVAN</t>
        </is>
      </c>
      <c r="I398" s="42" t="inlineStr">
        <is>
          <t>10% Deposit</t>
        </is>
      </c>
      <c r="J398" s="42" t="inlineStr">
        <is>
          <t>MET_JAVAN_LAL2_SITE_ZA</t>
        </is>
      </c>
      <c r="K398" s="42" t="inlineStr">
        <is>
          <t>Lookalike</t>
        </is>
      </c>
      <c r="L398" s="42" t="inlineStr">
        <is>
          <t>JAVAN_VID_15s_DCT_Tech_v1</t>
        </is>
      </c>
      <c r="M398" s="42" t="inlineStr">
        <is>
          <t>Video 4:5</t>
        </is>
      </c>
      <c r="N398" s="42" t="inlineStr">
        <is>
          <t>1.5T DCT. Explained in 15 seconds.</t>
        </is>
      </c>
      <c r="O398" s="42" t="inlineStr">
        <is>
          <t>Auction - Lowest Cost</t>
        </is>
      </c>
      <c r="P398" s="42" t="inlineStr">
        <is>
          <t>Offsite Conversions</t>
        </is>
      </c>
      <c r="Q398" s="42" t="inlineStr">
        <is>
          <t>https://www.lepas-sa.co.za/offers/javan</t>
        </is>
      </c>
      <c r="R398" s="115" t="n">
        <v>104</v>
      </c>
      <c r="S398" s="116" t="n">
        <v>1809</v>
      </c>
      <c r="T398" s="116" t="n">
        <v>941</v>
      </c>
      <c r="U398" s="117">
        <f>IFERROR(S398/T398,"")</f>
        <v/>
      </c>
      <c r="V398" s="116" t="n">
        <v>32</v>
      </c>
      <c r="W398" s="116" t="n">
        <v>24</v>
      </c>
      <c r="X398" s="118">
        <f>IFERROR(W398/S398,"")</f>
        <v/>
      </c>
      <c r="Y398" s="115">
        <f>IFERROR(R398/W398,"")</f>
        <v/>
      </c>
      <c r="Z398" s="115">
        <f>IFERROR(R398/S398*1000,"")</f>
        <v/>
      </c>
      <c r="AA398" s="116" t="n">
        <v>20</v>
      </c>
      <c r="AB398" s="47">
        <f>IFERROR(AA398/W398,"")</f>
        <v/>
      </c>
      <c r="AC398" s="116" t="n">
        <v>413</v>
      </c>
      <c r="AD398" s="116" t="n">
        <v>224</v>
      </c>
      <c r="AE398" s="116" t="n">
        <v>207</v>
      </c>
      <c r="AF398" s="116" t="n">
        <v>137</v>
      </c>
      <c r="AG398" s="116" t="n">
        <v>103</v>
      </c>
      <c r="AH398" s="116" t="n">
        <v>57</v>
      </c>
      <c r="AI398" s="47">
        <f>IFERROR(AC398/S398,"")</f>
        <v/>
      </c>
      <c r="AJ398" s="47">
        <f>IFERROR(AH398/S398,"")</f>
        <v/>
      </c>
      <c r="AK398" s="116" t="n">
        <v>49</v>
      </c>
      <c r="AL398" s="116" t="n">
        <v>1</v>
      </c>
      <c r="AM398" s="118">
        <f>IFERROR(AL398/AA398,"")</f>
        <v/>
      </c>
      <c r="AN398" s="119">
        <f>IFERROR(R398/AL398,"")</f>
        <v/>
      </c>
      <c r="AO398" s="116" t="n">
        <v>0</v>
      </c>
      <c r="AP398" s="47">
        <f>IFERROR(AO398/AL398,"")</f>
        <v/>
      </c>
      <c r="AQ398" s="119">
        <f>IFERROR(R398/AO398,"")</f>
        <v/>
      </c>
      <c r="AR398" s="116" t="n">
        <v>0</v>
      </c>
      <c r="AS398" s="116" t="n">
        <v>0</v>
      </c>
      <c r="AT398" s="116">
        <f>AL398+AR398</f>
        <v/>
      </c>
      <c r="AU398" s="119">
        <f>IFERROR(AO398*Assumptions!$C$26*Assumptions!$C$27*INDEX(Assumptions!$C$18:$C$21,MATCH(H398,Assumptions!$B$18:$B$21,0)),0)</f>
        <v/>
      </c>
    </row>
    <row r="399">
      <c r="A399" s="114" t="n">
        <v>46258</v>
      </c>
      <c r="B399" s="42" t="inlineStr">
        <is>
          <t>Wk 35</t>
        </is>
      </c>
      <c r="C399" s="42" t="inlineStr">
        <is>
          <t>Mon</t>
        </is>
      </c>
      <c r="D399" s="42" t="inlineStr">
        <is>
          <t>Meta (FB/IG)</t>
        </is>
      </c>
      <c r="E399" s="42" t="inlineStr">
        <is>
          <t>Facebook + Instagram</t>
        </is>
      </c>
      <c r="F399" s="42" t="inlineStr">
        <is>
          <t>LEP_ZA_AUG26_META_TD_JAVAN_CONV</t>
        </is>
      </c>
      <c r="G399" s="42" t="inlineStr">
        <is>
          <t>Leads - Website Conversions</t>
        </is>
      </c>
      <c r="H399" s="42" t="inlineStr">
        <is>
          <t>JAVAN</t>
        </is>
      </c>
      <c r="I399" s="42" t="inlineStr">
        <is>
          <t>10% Deposit</t>
        </is>
      </c>
      <c r="J399" s="42" t="inlineStr">
        <is>
          <t>MET_JAVAN_LAL2_SITE_ZA</t>
        </is>
      </c>
      <c r="K399" s="42" t="inlineStr">
        <is>
          <t>Lookalike</t>
        </is>
      </c>
      <c r="L399" s="42" t="inlineStr">
        <is>
          <t>JAVAN_VID_15s_DCT_Tech_v1</t>
        </is>
      </c>
      <c r="M399" s="42" t="inlineStr">
        <is>
          <t>Video 4:5</t>
        </is>
      </c>
      <c r="N399" s="42" t="inlineStr">
        <is>
          <t>1.5T DCT. Explained in 15 seconds.</t>
        </is>
      </c>
      <c r="O399" s="42" t="inlineStr">
        <is>
          <t>Auction - Lowest Cost</t>
        </is>
      </c>
      <c r="P399" s="42" t="inlineStr">
        <is>
          <t>Offsite Conversions</t>
        </is>
      </c>
      <c r="Q399" s="42" t="inlineStr">
        <is>
          <t>https://www.lepas-sa.co.za/offers/javan</t>
        </is>
      </c>
      <c r="R399" s="115" t="n">
        <v>109.43</v>
      </c>
      <c r="S399" s="116" t="n">
        <v>1539</v>
      </c>
      <c r="T399" s="116" t="n">
        <v>965</v>
      </c>
      <c r="U399" s="117">
        <f>IFERROR(S399/T399,"")</f>
        <v/>
      </c>
      <c r="V399" s="116" t="n">
        <v>18</v>
      </c>
      <c r="W399" s="116" t="n">
        <v>14</v>
      </c>
      <c r="X399" s="118">
        <f>IFERROR(W399/S399,"")</f>
        <v/>
      </c>
      <c r="Y399" s="115">
        <f>IFERROR(R399/W399,"")</f>
        <v/>
      </c>
      <c r="Z399" s="115">
        <f>IFERROR(R399/S399*1000,"")</f>
        <v/>
      </c>
      <c r="AA399" s="116" t="n">
        <v>12</v>
      </c>
      <c r="AB399" s="47">
        <f>IFERROR(AA399/W399,"")</f>
        <v/>
      </c>
      <c r="AC399" s="116" t="n">
        <v>614</v>
      </c>
      <c r="AD399" s="116" t="n">
        <v>351</v>
      </c>
      <c r="AE399" s="116" t="n">
        <v>303</v>
      </c>
      <c r="AF399" s="116" t="n">
        <v>201</v>
      </c>
      <c r="AG399" s="116" t="n">
        <v>148</v>
      </c>
      <c r="AH399" s="116" t="n">
        <v>104</v>
      </c>
      <c r="AI399" s="47">
        <f>IFERROR(AC399/S399,"")</f>
        <v/>
      </c>
      <c r="AJ399" s="47">
        <f>IFERROR(AH399/S399,"")</f>
        <v/>
      </c>
      <c r="AK399" s="116" t="n">
        <v>36</v>
      </c>
      <c r="AL399" s="116" t="n">
        <v>0</v>
      </c>
      <c r="AM399" s="118">
        <f>IFERROR(AL399/AA399,"")</f>
        <v/>
      </c>
      <c r="AN399" s="119">
        <f>IFERROR(R399/AL399,"")</f>
        <v/>
      </c>
      <c r="AO399" s="116" t="n">
        <v>0</v>
      </c>
      <c r="AP399" s="47">
        <f>IFERROR(AO399/AL399,"")</f>
        <v/>
      </c>
      <c r="AQ399" s="119">
        <f>IFERROR(R399/AO399,"")</f>
        <v/>
      </c>
      <c r="AR399" s="116" t="n">
        <v>0</v>
      </c>
      <c r="AS399" s="116" t="n">
        <v>0</v>
      </c>
      <c r="AT399" s="116">
        <f>AL399+AR399</f>
        <v/>
      </c>
      <c r="AU399" s="119">
        <f>IFERROR(AO399*Assumptions!$C$26*Assumptions!$C$27*INDEX(Assumptions!$C$18:$C$21,MATCH(H399,Assumptions!$B$18:$B$21,0)),0)</f>
        <v/>
      </c>
    </row>
    <row r="400">
      <c r="A400" s="114" t="n">
        <v>46259</v>
      </c>
      <c r="B400" s="42" t="inlineStr">
        <is>
          <t>Wk 35</t>
        </is>
      </c>
      <c r="C400" s="42" t="inlineStr">
        <is>
          <t>Tue</t>
        </is>
      </c>
      <c r="D400" s="42" t="inlineStr">
        <is>
          <t>Meta (FB/IG)</t>
        </is>
      </c>
      <c r="E400" s="42" t="inlineStr">
        <is>
          <t>Facebook + Instagram</t>
        </is>
      </c>
      <c r="F400" s="42" t="inlineStr">
        <is>
          <t>LEP_ZA_AUG26_META_TD_JAVAN_CONV</t>
        </is>
      </c>
      <c r="G400" s="42" t="inlineStr">
        <is>
          <t>Leads - Website Conversions</t>
        </is>
      </c>
      <c r="H400" s="42" t="inlineStr">
        <is>
          <t>JAVAN</t>
        </is>
      </c>
      <c r="I400" s="42" t="inlineStr">
        <is>
          <t>10% Deposit</t>
        </is>
      </c>
      <c r="J400" s="42" t="inlineStr">
        <is>
          <t>MET_JAVAN_LAL2_SITE_ZA</t>
        </is>
      </c>
      <c r="K400" s="42" t="inlineStr">
        <is>
          <t>Lookalike</t>
        </is>
      </c>
      <c r="L400" s="42" t="inlineStr">
        <is>
          <t>JAVAN_VID_15s_DCT_Tech_v1</t>
        </is>
      </c>
      <c r="M400" s="42" t="inlineStr">
        <is>
          <t>Video 4:5</t>
        </is>
      </c>
      <c r="N400" s="42" t="inlineStr">
        <is>
          <t>1.5T DCT. Explained in 15 seconds.</t>
        </is>
      </c>
      <c r="O400" s="42" t="inlineStr">
        <is>
          <t>Auction - Lowest Cost</t>
        </is>
      </c>
      <c r="P400" s="42" t="inlineStr">
        <is>
          <t>Offsite Conversions</t>
        </is>
      </c>
      <c r="Q400" s="42" t="inlineStr">
        <is>
          <t>https://www.lepas-sa.co.za/offers/javan</t>
        </is>
      </c>
      <c r="R400" s="115" t="n">
        <v>109.03</v>
      </c>
      <c r="S400" s="116" t="n">
        <v>1189</v>
      </c>
      <c r="T400" s="116" t="n">
        <v>633</v>
      </c>
      <c r="U400" s="117">
        <f>IFERROR(S400/T400,"")</f>
        <v/>
      </c>
      <c r="V400" s="116" t="n">
        <v>25</v>
      </c>
      <c r="W400" s="116" t="n">
        <v>20</v>
      </c>
      <c r="X400" s="118">
        <f>IFERROR(W400/S400,"")</f>
        <v/>
      </c>
      <c r="Y400" s="115">
        <f>IFERROR(R400/W400,"")</f>
        <v/>
      </c>
      <c r="Z400" s="115">
        <f>IFERROR(R400/S400*1000,"")</f>
        <v/>
      </c>
      <c r="AA400" s="116" t="n">
        <v>17</v>
      </c>
      <c r="AB400" s="47">
        <f>IFERROR(AA400/W400,"")</f>
        <v/>
      </c>
      <c r="AC400" s="116" t="n">
        <v>466</v>
      </c>
      <c r="AD400" s="116" t="n">
        <v>259</v>
      </c>
      <c r="AE400" s="116" t="n">
        <v>242</v>
      </c>
      <c r="AF400" s="116" t="n">
        <v>135</v>
      </c>
      <c r="AG400" s="116" t="n">
        <v>103</v>
      </c>
      <c r="AH400" s="116" t="n">
        <v>73</v>
      </c>
      <c r="AI400" s="47">
        <f>IFERROR(AC400/S400,"")</f>
        <v/>
      </c>
      <c r="AJ400" s="47">
        <f>IFERROR(AH400/S400,"")</f>
        <v/>
      </c>
      <c r="AK400" s="116" t="n">
        <v>41</v>
      </c>
      <c r="AL400" s="116" t="n">
        <v>1</v>
      </c>
      <c r="AM400" s="118">
        <f>IFERROR(AL400/AA400,"")</f>
        <v/>
      </c>
      <c r="AN400" s="119">
        <f>IFERROR(R400/AL400,"")</f>
        <v/>
      </c>
      <c r="AO400" s="116" t="n">
        <v>0</v>
      </c>
      <c r="AP400" s="47">
        <f>IFERROR(AO400/AL400,"")</f>
        <v/>
      </c>
      <c r="AQ400" s="119">
        <f>IFERROR(R400/AO400,"")</f>
        <v/>
      </c>
      <c r="AR400" s="116" t="n">
        <v>0</v>
      </c>
      <c r="AS400" s="116" t="n">
        <v>0</v>
      </c>
      <c r="AT400" s="116">
        <f>AL400+AR400</f>
        <v/>
      </c>
      <c r="AU400" s="119">
        <f>IFERROR(AO400*Assumptions!$C$26*Assumptions!$C$27*INDEX(Assumptions!$C$18:$C$21,MATCH(H400,Assumptions!$B$18:$B$21,0)),0)</f>
        <v/>
      </c>
    </row>
    <row r="401">
      <c r="A401" s="114" t="n">
        <v>46260</v>
      </c>
      <c r="B401" s="42" t="inlineStr">
        <is>
          <t>Wk 35</t>
        </is>
      </c>
      <c r="C401" s="42" t="inlineStr">
        <is>
          <t>Wed</t>
        </is>
      </c>
      <c r="D401" s="42" t="inlineStr">
        <is>
          <t>Meta (FB/IG)</t>
        </is>
      </c>
      <c r="E401" s="42" t="inlineStr">
        <is>
          <t>Facebook + Instagram</t>
        </is>
      </c>
      <c r="F401" s="42" t="inlineStr">
        <is>
          <t>LEP_ZA_AUG26_META_TD_JAVAN_CONV</t>
        </is>
      </c>
      <c r="G401" s="42" t="inlineStr">
        <is>
          <t>Leads - Website Conversions</t>
        </is>
      </c>
      <c r="H401" s="42" t="inlineStr">
        <is>
          <t>JAVAN</t>
        </is>
      </c>
      <c r="I401" s="42" t="inlineStr">
        <is>
          <t>10% Deposit</t>
        </is>
      </c>
      <c r="J401" s="42" t="inlineStr">
        <is>
          <t>MET_JAVAN_LAL2_SITE_ZA</t>
        </is>
      </c>
      <c r="K401" s="42" t="inlineStr">
        <is>
          <t>Lookalike</t>
        </is>
      </c>
      <c r="L401" s="42" t="inlineStr">
        <is>
          <t>JAVAN_VID_15s_DCT_Tech_v1</t>
        </is>
      </c>
      <c r="M401" s="42" t="inlineStr">
        <is>
          <t>Video 4:5</t>
        </is>
      </c>
      <c r="N401" s="42" t="inlineStr">
        <is>
          <t>1.5T DCT. Explained in 15 seconds.</t>
        </is>
      </c>
      <c r="O401" s="42" t="inlineStr">
        <is>
          <t>Auction - Lowest Cost</t>
        </is>
      </c>
      <c r="P401" s="42" t="inlineStr">
        <is>
          <t>Offsite Conversions</t>
        </is>
      </c>
      <c r="Q401" s="42" t="inlineStr">
        <is>
          <t>https://www.lepas-sa.co.za/offers/javan</t>
        </is>
      </c>
      <c r="R401" s="115" t="n">
        <v>120.12</v>
      </c>
      <c r="S401" s="116" t="n">
        <v>1260</v>
      </c>
      <c r="T401" s="116" t="n">
        <v>613</v>
      </c>
      <c r="U401" s="117">
        <f>IFERROR(S401/T401,"")</f>
        <v/>
      </c>
      <c r="V401" s="116" t="n">
        <v>21</v>
      </c>
      <c r="W401" s="116" t="n">
        <v>17</v>
      </c>
      <c r="X401" s="118">
        <f>IFERROR(W401/S401,"")</f>
        <v/>
      </c>
      <c r="Y401" s="115">
        <f>IFERROR(R401/W401,"")</f>
        <v/>
      </c>
      <c r="Z401" s="115">
        <f>IFERROR(R401/S401*1000,"")</f>
        <v/>
      </c>
      <c r="AA401" s="116" t="n">
        <v>16</v>
      </c>
      <c r="AB401" s="47">
        <f>IFERROR(AA401/W401,"")</f>
        <v/>
      </c>
      <c r="AC401" s="116" t="n">
        <v>339</v>
      </c>
      <c r="AD401" s="116" t="n">
        <v>166</v>
      </c>
      <c r="AE401" s="116" t="n">
        <v>180</v>
      </c>
      <c r="AF401" s="116" t="n">
        <v>126</v>
      </c>
      <c r="AG401" s="116" t="n">
        <v>88</v>
      </c>
      <c r="AH401" s="116" t="n">
        <v>49</v>
      </c>
      <c r="AI401" s="47">
        <f>IFERROR(AC401/S401,"")</f>
        <v/>
      </c>
      <c r="AJ401" s="47">
        <f>IFERROR(AH401/S401,"")</f>
        <v/>
      </c>
      <c r="AK401" s="116" t="n">
        <v>18</v>
      </c>
      <c r="AL401" s="116" t="n">
        <v>0</v>
      </c>
      <c r="AM401" s="118">
        <f>IFERROR(AL401/AA401,"")</f>
        <v/>
      </c>
      <c r="AN401" s="119">
        <f>IFERROR(R401/AL401,"")</f>
        <v/>
      </c>
      <c r="AO401" s="116" t="n">
        <v>0</v>
      </c>
      <c r="AP401" s="47">
        <f>IFERROR(AO401/AL401,"")</f>
        <v/>
      </c>
      <c r="AQ401" s="119">
        <f>IFERROR(R401/AO401,"")</f>
        <v/>
      </c>
      <c r="AR401" s="116" t="n">
        <v>0</v>
      </c>
      <c r="AS401" s="116" t="n">
        <v>0</v>
      </c>
      <c r="AT401" s="116">
        <f>AL401+AR401</f>
        <v/>
      </c>
      <c r="AU401" s="119">
        <f>IFERROR(AO401*Assumptions!$C$26*Assumptions!$C$27*INDEX(Assumptions!$C$18:$C$21,MATCH(H401,Assumptions!$B$18:$B$21,0)),0)</f>
        <v/>
      </c>
    </row>
    <row r="402">
      <c r="A402" s="114" t="n">
        <v>46261</v>
      </c>
      <c r="B402" s="42" t="inlineStr">
        <is>
          <t>Wk 35</t>
        </is>
      </c>
      <c r="C402" s="42" t="inlineStr">
        <is>
          <t>Thu</t>
        </is>
      </c>
      <c r="D402" s="42" t="inlineStr">
        <is>
          <t>Meta (FB/IG)</t>
        </is>
      </c>
      <c r="E402" s="42" t="inlineStr">
        <is>
          <t>Facebook + Instagram</t>
        </is>
      </c>
      <c r="F402" s="42" t="inlineStr">
        <is>
          <t>LEP_ZA_AUG26_META_TD_JAVAN_CONV</t>
        </is>
      </c>
      <c r="G402" s="42" t="inlineStr">
        <is>
          <t>Leads - Website Conversions</t>
        </is>
      </c>
      <c r="H402" s="42" t="inlineStr">
        <is>
          <t>JAVAN</t>
        </is>
      </c>
      <c r="I402" s="42" t="inlineStr">
        <is>
          <t>10% Deposit</t>
        </is>
      </c>
      <c r="J402" s="42" t="inlineStr">
        <is>
          <t>MET_JAVAN_LAL2_SITE_ZA</t>
        </is>
      </c>
      <c r="K402" s="42" t="inlineStr">
        <is>
          <t>Lookalike</t>
        </is>
      </c>
      <c r="L402" s="42" t="inlineStr">
        <is>
          <t>JAVAN_VID_15s_DCT_Tech_v1</t>
        </is>
      </c>
      <c r="M402" s="42" t="inlineStr">
        <is>
          <t>Video 4:5</t>
        </is>
      </c>
      <c r="N402" s="42" t="inlineStr">
        <is>
          <t>1.5T DCT. Explained in 15 seconds.</t>
        </is>
      </c>
      <c r="O402" s="42" t="inlineStr">
        <is>
          <t>Auction - Lowest Cost</t>
        </is>
      </c>
      <c r="P402" s="42" t="inlineStr">
        <is>
          <t>Offsite Conversions</t>
        </is>
      </c>
      <c r="Q402" s="42" t="inlineStr">
        <is>
          <t>https://www.lepas-sa.co.za/offers/javan</t>
        </is>
      </c>
      <c r="R402" s="115" t="n">
        <v>147.84</v>
      </c>
      <c r="S402" s="116" t="n">
        <v>2144</v>
      </c>
      <c r="T402" s="116" t="n">
        <v>1220</v>
      </c>
      <c r="U402" s="117">
        <f>IFERROR(S402/T402,"")</f>
        <v/>
      </c>
      <c r="V402" s="116" t="n">
        <v>38</v>
      </c>
      <c r="W402" s="116" t="n">
        <v>29</v>
      </c>
      <c r="X402" s="118">
        <f>IFERROR(W402/S402,"")</f>
        <v/>
      </c>
      <c r="Y402" s="115">
        <f>IFERROR(R402/W402,"")</f>
        <v/>
      </c>
      <c r="Z402" s="115">
        <f>IFERROR(R402/S402*1000,"")</f>
        <v/>
      </c>
      <c r="AA402" s="116" t="n">
        <v>26</v>
      </c>
      <c r="AB402" s="47">
        <f>IFERROR(AA402/W402,"")</f>
        <v/>
      </c>
      <c r="AC402" s="116" t="n">
        <v>870</v>
      </c>
      <c r="AD402" s="116" t="n">
        <v>442</v>
      </c>
      <c r="AE402" s="116" t="n">
        <v>339</v>
      </c>
      <c r="AF402" s="116" t="n">
        <v>199</v>
      </c>
      <c r="AG402" s="116" t="n">
        <v>151</v>
      </c>
      <c r="AH402" s="116" t="n">
        <v>105</v>
      </c>
      <c r="AI402" s="47">
        <f>IFERROR(AC402/S402,"")</f>
        <v/>
      </c>
      <c r="AJ402" s="47">
        <f>IFERROR(AH402/S402,"")</f>
        <v/>
      </c>
      <c r="AK402" s="116" t="n">
        <v>68</v>
      </c>
      <c r="AL402" s="116" t="n">
        <v>0</v>
      </c>
      <c r="AM402" s="118">
        <f>IFERROR(AL402/AA402,"")</f>
        <v/>
      </c>
      <c r="AN402" s="119">
        <f>IFERROR(R402/AL402,"")</f>
        <v/>
      </c>
      <c r="AO402" s="116" t="n">
        <v>0</v>
      </c>
      <c r="AP402" s="47">
        <f>IFERROR(AO402/AL402,"")</f>
        <v/>
      </c>
      <c r="AQ402" s="119">
        <f>IFERROR(R402/AO402,"")</f>
        <v/>
      </c>
      <c r="AR402" s="116" t="n">
        <v>0</v>
      </c>
      <c r="AS402" s="116" t="n">
        <v>0</v>
      </c>
      <c r="AT402" s="116">
        <f>AL402+AR402</f>
        <v/>
      </c>
      <c r="AU402" s="119">
        <f>IFERROR(AO402*Assumptions!$C$26*Assumptions!$C$27*INDEX(Assumptions!$C$18:$C$21,MATCH(H402,Assumptions!$B$18:$B$21,0)),0)</f>
        <v/>
      </c>
    </row>
    <row r="403">
      <c r="A403" s="114" t="n">
        <v>46262</v>
      </c>
      <c r="B403" s="42" t="inlineStr">
        <is>
          <t>Wk 35</t>
        </is>
      </c>
      <c r="C403" s="42" t="inlineStr">
        <is>
          <t>Fri</t>
        </is>
      </c>
      <c r="D403" s="42" t="inlineStr">
        <is>
          <t>Meta (FB/IG)</t>
        </is>
      </c>
      <c r="E403" s="42" t="inlineStr">
        <is>
          <t>Facebook + Instagram</t>
        </is>
      </c>
      <c r="F403" s="42" t="inlineStr">
        <is>
          <t>LEP_ZA_AUG26_META_TD_JAVAN_CONV</t>
        </is>
      </c>
      <c r="G403" s="42" t="inlineStr">
        <is>
          <t>Leads - Website Conversions</t>
        </is>
      </c>
      <c r="H403" s="42" t="inlineStr">
        <is>
          <t>JAVAN</t>
        </is>
      </c>
      <c r="I403" s="42" t="inlineStr">
        <is>
          <t>10% Deposit</t>
        </is>
      </c>
      <c r="J403" s="42" t="inlineStr">
        <is>
          <t>MET_JAVAN_LAL2_SITE_ZA</t>
        </is>
      </c>
      <c r="K403" s="42" t="inlineStr">
        <is>
          <t>Lookalike</t>
        </is>
      </c>
      <c r="L403" s="42" t="inlineStr">
        <is>
          <t>JAVAN_VID_15s_DCT_Tech_v1</t>
        </is>
      </c>
      <c r="M403" s="42" t="inlineStr">
        <is>
          <t>Video 4:5</t>
        </is>
      </c>
      <c r="N403" s="42" t="inlineStr">
        <is>
          <t>1.5T DCT. Explained in 15 seconds.</t>
        </is>
      </c>
      <c r="O403" s="42" t="inlineStr">
        <is>
          <t>Auction - Lowest Cost</t>
        </is>
      </c>
      <c r="P403" s="42" t="inlineStr">
        <is>
          <t>Offsite Conversions</t>
        </is>
      </c>
      <c r="Q403" s="42" t="inlineStr">
        <is>
          <t>https://www.lepas-sa.co.za/offers/javan</t>
        </is>
      </c>
      <c r="R403" s="115" t="n">
        <v>154.26</v>
      </c>
      <c r="S403" s="116" t="n">
        <v>2166</v>
      </c>
      <c r="T403" s="116" t="n">
        <v>1263</v>
      </c>
      <c r="U403" s="117">
        <f>IFERROR(S403/T403,"")</f>
        <v/>
      </c>
      <c r="V403" s="116" t="n">
        <v>45</v>
      </c>
      <c r="W403" s="116" t="n">
        <v>34</v>
      </c>
      <c r="X403" s="118">
        <f>IFERROR(W403/S403,"")</f>
        <v/>
      </c>
      <c r="Y403" s="115">
        <f>IFERROR(R403/W403,"")</f>
        <v/>
      </c>
      <c r="Z403" s="115">
        <f>IFERROR(R403/S403*1000,"")</f>
        <v/>
      </c>
      <c r="AA403" s="116" t="n">
        <v>31</v>
      </c>
      <c r="AB403" s="47">
        <f>IFERROR(AA403/W403,"")</f>
        <v/>
      </c>
      <c r="AC403" s="116" t="n">
        <v>784</v>
      </c>
      <c r="AD403" s="116" t="n">
        <v>467</v>
      </c>
      <c r="AE403" s="116" t="n">
        <v>331</v>
      </c>
      <c r="AF403" s="116" t="n">
        <v>207</v>
      </c>
      <c r="AG403" s="116" t="n">
        <v>133</v>
      </c>
      <c r="AH403" s="116" t="n">
        <v>77</v>
      </c>
      <c r="AI403" s="47">
        <f>IFERROR(AC403/S403,"")</f>
        <v/>
      </c>
      <c r="AJ403" s="47">
        <f>IFERROR(AH403/S403,"")</f>
        <v/>
      </c>
      <c r="AK403" s="116" t="n">
        <v>33</v>
      </c>
      <c r="AL403" s="116" t="n">
        <v>0</v>
      </c>
      <c r="AM403" s="118">
        <f>IFERROR(AL403/AA403,"")</f>
        <v/>
      </c>
      <c r="AN403" s="119">
        <f>IFERROR(R403/AL403,"")</f>
        <v/>
      </c>
      <c r="AO403" s="116" t="n">
        <v>0</v>
      </c>
      <c r="AP403" s="47">
        <f>IFERROR(AO403/AL403,"")</f>
        <v/>
      </c>
      <c r="AQ403" s="119">
        <f>IFERROR(R403/AO403,"")</f>
        <v/>
      </c>
      <c r="AR403" s="116" t="n">
        <v>0</v>
      </c>
      <c r="AS403" s="116" t="n">
        <v>0</v>
      </c>
      <c r="AT403" s="116">
        <f>AL403+AR403</f>
        <v/>
      </c>
      <c r="AU403" s="119">
        <f>IFERROR(AO403*Assumptions!$C$26*Assumptions!$C$27*INDEX(Assumptions!$C$18:$C$21,MATCH(H403,Assumptions!$B$18:$B$21,0)),0)</f>
        <v/>
      </c>
    </row>
    <row r="404">
      <c r="A404" s="114" t="n">
        <v>46263</v>
      </c>
      <c r="B404" s="42" t="inlineStr">
        <is>
          <t>Wk 35</t>
        </is>
      </c>
      <c r="C404" s="42" t="inlineStr">
        <is>
          <t>Sat</t>
        </is>
      </c>
      <c r="D404" s="42" t="inlineStr">
        <is>
          <t>Meta (FB/IG)</t>
        </is>
      </c>
      <c r="E404" s="42" t="inlineStr">
        <is>
          <t>Facebook + Instagram</t>
        </is>
      </c>
      <c r="F404" s="42" t="inlineStr">
        <is>
          <t>LEP_ZA_AUG26_META_TD_JAVAN_CONV</t>
        </is>
      </c>
      <c r="G404" s="42" t="inlineStr">
        <is>
          <t>Leads - Website Conversions</t>
        </is>
      </c>
      <c r="H404" s="42" t="inlineStr">
        <is>
          <t>JAVAN</t>
        </is>
      </c>
      <c r="I404" s="42" t="inlineStr">
        <is>
          <t>10% Deposit</t>
        </is>
      </c>
      <c r="J404" s="42" t="inlineStr">
        <is>
          <t>MET_JAVAN_LAL2_SITE_ZA</t>
        </is>
      </c>
      <c r="K404" s="42" t="inlineStr">
        <is>
          <t>Lookalike</t>
        </is>
      </c>
      <c r="L404" s="42" t="inlineStr">
        <is>
          <t>JAVAN_VID_15s_DCT_Tech_v1</t>
        </is>
      </c>
      <c r="M404" s="42" t="inlineStr">
        <is>
          <t>Video 4:5</t>
        </is>
      </c>
      <c r="N404" s="42" t="inlineStr">
        <is>
          <t>1.5T DCT. Explained in 15 seconds.</t>
        </is>
      </c>
      <c r="O404" s="42" t="inlineStr">
        <is>
          <t>Auction - Lowest Cost</t>
        </is>
      </c>
      <c r="P404" s="42" t="inlineStr">
        <is>
          <t>Offsite Conversions</t>
        </is>
      </c>
      <c r="Q404" s="42" t="inlineStr">
        <is>
          <t>https://www.lepas-sa.co.za/offers/javan</t>
        </is>
      </c>
      <c r="R404" s="115" t="n">
        <v>177.26</v>
      </c>
      <c r="S404" s="116" t="n">
        <v>1748</v>
      </c>
      <c r="T404" s="116" t="n">
        <v>1039</v>
      </c>
      <c r="U404" s="117">
        <f>IFERROR(S404/T404,"")</f>
        <v/>
      </c>
      <c r="V404" s="116" t="n">
        <v>16</v>
      </c>
      <c r="W404" s="116" t="n">
        <v>13</v>
      </c>
      <c r="X404" s="118">
        <f>IFERROR(W404/S404,"")</f>
        <v/>
      </c>
      <c r="Y404" s="115">
        <f>IFERROR(R404/W404,"")</f>
        <v/>
      </c>
      <c r="Z404" s="115">
        <f>IFERROR(R404/S404*1000,"")</f>
        <v/>
      </c>
      <c r="AA404" s="116" t="n">
        <v>10</v>
      </c>
      <c r="AB404" s="47">
        <f>IFERROR(AA404/W404,"")</f>
        <v/>
      </c>
      <c r="AC404" s="116" t="n">
        <v>706</v>
      </c>
      <c r="AD404" s="116" t="n">
        <v>378</v>
      </c>
      <c r="AE404" s="116" t="n">
        <v>330</v>
      </c>
      <c r="AF404" s="116" t="n">
        <v>206</v>
      </c>
      <c r="AG404" s="116" t="n">
        <v>139</v>
      </c>
      <c r="AH404" s="116" t="n">
        <v>85</v>
      </c>
      <c r="AI404" s="47">
        <f>IFERROR(AC404/S404,"")</f>
        <v/>
      </c>
      <c r="AJ404" s="47">
        <f>IFERROR(AH404/S404,"")</f>
        <v/>
      </c>
      <c r="AK404" s="116" t="n">
        <v>32</v>
      </c>
      <c r="AL404" s="116" t="n">
        <v>0</v>
      </c>
      <c r="AM404" s="118">
        <f>IFERROR(AL404/AA404,"")</f>
        <v/>
      </c>
      <c r="AN404" s="119">
        <f>IFERROR(R404/AL404,"")</f>
        <v/>
      </c>
      <c r="AO404" s="116" t="n">
        <v>0</v>
      </c>
      <c r="AP404" s="47">
        <f>IFERROR(AO404/AL404,"")</f>
        <v/>
      </c>
      <c r="AQ404" s="119">
        <f>IFERROR(R404/AO404,"")</f>
        <v/>
      </c>
      <c r="AR404" s="116" t="n">
        <v>0</v>
      </c>
      <c r="AS404" s="116" t="n">
        <v>0</v>
      </c>
      <c r="AT404" s="116">
        <f>AL404+AR404</f>
        <v/>
      </c>
      <c r="AU404" s="119">
        <f>IFERROR(AO404*Assumptions!$C$26*Assumptions!$C$27*INDEX(Assumptions!$C$18:$C$21,MATCH(H404,Assumptions!$B$18:$B$21,0)),0)</f>
        <v/>
      </c>
    </row>
    <row r="405">
      <c r="A405" s="114" t="n">
        <v>46264</v>
      </c>
      <c r="B405" s="42" t="inlineStr">
        <is>
          <t>Wk 35</t>
        </is>
      </c>
      <c r="C405" s="42" t="inlineStr">
        <is>
          <t>Sun</t>
        </is>
      </c>
      <c r="D405" s="42" t="inlineStr">
        <is>
          <t>Meta (FB/IG)</t>
        </is>
      </c>
      <c r="E405" s="42" t="inlineStr">
        <is>
          <t>Facebook + Instagram</t>
        </is>
      </c>
      <c r="F405" s="42" t="inlineStr">
        <is>
          <t>LEP_ZA_AUG26_META_TD_JAVAN_CONV</t>
        </is>
      </c>
      <c r="G405" s="42" t="inlineStr">
        <is>
          <t>Leads - Website Conversions</t>
        </is>
      </c>
      <c r="H405" s="42" t="inlineStr">
        <is>
          <t>JAVAN</t>
        </is>
      </c>
      <c r="I405" s="42" t="inlineStr">
        <is>
          <t>10% Deposit</t>
        </is>
      </c>
      <c r="J405" s="42" t="inlineStr">
        <is>
          <t>MET_JAVAN_LAL2_SITE_ZA</t>
        </is>
      </c>
      <c r="K405" s="42" t="inlineStr">
        <is>
          <t>Lookalike</t>
        </is>
      </c>
      <c r="L405" s="42" t="inlineStr">
        <is>
          <t>JAVAN_VID_15s_DCT_Tech_v1</t>
        </is>
      </c>
      <c r="M405" s="42" t="inlineStr">
        <is>
          <t>Video 4:5</t>
        </is>
      </c>
      <c r="N405" s="42" t="inlineStr">
        <is>
          <t>1.5T DCT. Explained in 15 seconds.</t>
        </is>
      </c>
      <c r="O405" s="42" t="inlineStr">
        <is>
          <t>Auction - Lowest Cost</t>
        </is>
      </c>
      <c r="P405" s="42" t="inlineStr">
        <is>
          <t>Offsite Conversions</t>
        </is>
      </c>
      <c r="Q405" s="42" t="inlineStr">
        <is>
          <t>https://www.lepas-sa.co.za/offers/javan</t>
        </is>
      </c>
      <c r="R405" s="115" t="n">
        <v>146.46</v>
      </c>
      <c r="S405" s="116" t="n">
        <v>1621</v>
      </c>
      <c r="T405" s="116" t="n">
        <v>782</v>
      </c>
      <c r="U405" s="117">
        <f>IFERROR(S405/T405,"")</f>
        <v/>
      </c>
      <c r="V405" s="116" t="n">
        <v>34</v>
      </c>
      <c r="W405" s="116" t="n">
        <v>25</v>
      </c>
      <c r="X405" s="118">
        <f>IFERROR(W405/S405,"")</f>
        <v/>
      </c>
      <c r="Y405" s="115">
        <f>IFERROR(R405/W405,"")</f>
        <v/>
      </c>
      <c r="Z405" s="115">
        <f>IFERROR(R405/S405*1000,"")</f>
        <v/>
      </c>
      <c r="AA405" s="116" t="n">
        <v>22</v>
      </c>
      <c r="AB405" s="47">
        <f>IFERROR(AA405/W405,"")</f>
        <v/>
      </c>
      <c r="AC405" s="116" t="n">
        <v>565</v>
      </c>
      <c r="AD405" s="116" t="n">
        <v>287</v>
      </c>
      <c r="AE405" s="116" t="n">
        <v>307</v>
      </c>
      <c r="AF405" s="116" t="n">
        <v>200</v>
      </c>
      <c r="AG405" s="116" t="n">
        <v>153</v>
      </c>
      <c r="AH405" s="116" t="n">
        <v>96</v>
      </c>
      <c r="AI405" s="47">
        <f>IFERROR(AC405/S405,"")</f>
        <v/>
      </c>
      <c r="AJ405" s="47">
        <f>IFERROR(AH405/S405,"")</f>
        <v/>
      </c>
      <c r="AK405" s="116" t="n">
        <v>16</v>
      </c>
      <c r="AL405" s="116" t="n">
        <v>1</v>
      </c>
      <c r="AM405" s="118">
        <f>IFERROR(AL405/AA405,"")</f>
        <v/>
      </c>
      <c r="AN405" s="119">
        <f>IFERROR(R405/AL405,"")</f>
        <v/>
      </c>
      <c r="AO405" s="116" t="n">
        <v>0</v>
      </c>
      <c r="AP405" s="47">
        <f>IFERROR(AO405/AL405,"")</f>
        <v/>
      </c>
      <c r="AQ405" s="119">
        <f>IFERROR(R405/AO405,"")</f>
        <v/>
      </c>
      <c r="AR405" s="116" t="n">
        <v>0</v>
      </c>
      <c r="AS405" s="116" t="n">
        <v>0</v>
      </c>
      <c r="AT405" s="116">
        <f>AL405+AR405</f>
        <v/>
      </c>
      <c r="AU405" s="119">
        <f>IFERROR(AO405*Assumptions!$C$26*Assumptions!$C$27*INDEX(Assumptions!$C$18:$C$21,MATCH(H405,Assumptions!$B$18:$B$21,0)),0)</f>
        <v/>
      </c>
    </row>
    <row r="406">
      <c r="A406" s="114" t="n">
        <v>46265</v>
      </c>
      <c r="B406" s="42" t="inlineStr">
        <is>
          <t>Wk 36</t>
        </is>
      </c>
      <c r="C406" s="42" t="inlineStr">
        <is>
          <t>Mon</t>
        </is>
      </c>
      <c r="D406" s="42" t="inlineStr">
        <is>
          <t>Meta (FB/IG)</t>
        </is>
      </c>
      <c r="E406" s="42" t="inlineStr">
        <is>
          <t>Facebook + Instagram</t>
        </is>
      </c>
      <c r="F406" s="42" t="inlineStr">
        <is>
          <t>LEP_ZA_AUG26_META_TD_JAVAN_CONV</t>
        </is>
      </c>
      <c r="G406" s="42" t="inlineStr">
        <is>
          <t>Leads - Website Conversions</t>
        </is>
      </c>
      <c r="H406" s="42" t="inlineStr">
        <is>
          <t>JAVAN</t>
        </is>
      </c>
      <c r="I406" s="42" t="inlineStr">
        <is>
          <t>10% Deposit</t>
        </is>
      </c>
      <c r="J406" s="42" t="inlineStr">
        <is>
          <t>MET_JAVAN_LAL2_SITE_ZA</t>
        </is>
      </c>
      <c r="K406" s="42" t="inlineStr">
        <is>
          <t>Lookalike</t>
        </is>
      </c>
      <c r="L406" s="42" t="inlineStr">
        <is>
          <t>JAVAN_VID_15s_DCT_Tech_v1</t>
        </is>
      </c>
      <c r="M406" s="42" t="inlineStr">
        <is>
          <t>Video 4:5</t>
        </is>
      </c>
      <c r="N406" s="42" t="inlineStr">
        <is>
          <t>1.5T DCT. Explained in 15 seconds.</t>
        </is>
      </c>
      <c r="O406" s="42" t="inlineStr">
        <is>
          <t>Auction - Lowest Cost</t>
        </is>
      </c>
      <c r="P406" s="42" t="inlineStr">
        <is>
          <t>Offsite Conversions</t>
        </is>
      </c>
      <c r="Q406" s="42" t="inlineStr">
        <is>
          <t>https://www.lepas-sa.co.za/offers/javan</t>
        </is>
      </c>
      <c r="R406" s="115" t="n">
        <v>130.72</v>
      </c>
      <c r="S406" s="116" t="n">
        <v>1519</v>
      </c>
      <c r="T406" s="116" t="n">
        <v>703</v>
      </c>
      <c r="U406" s="117">
        <f>IFERROR(S406/T406,"")</f>
        <v/>
      </c>
      <c r="V406" s="116" t="n">
        <v>26</v>
      </c>
      <c r="W406" s="116" t="n">
        <v>19</v>
      </c>
      <c r="X406" s="118">
        <f>IFERROR(W406/S406,"")</f>
        <v/>
      </c>
      <c r="Y406" s="115">
        <f>IFERROR(R406/W406,"")</f>
        <v/>
      </c>
      <c r="Z406" s="115">
        <f>IFERROR(R406/S406*1000,"")</f>
        <v/>
      </c>
      <c r="AA406" s="116" t="n">
        <v>17</v>
      </c>
      <c r="AB406" s="47">
        <f>IFERROR(AA406/W406,"")</f>
        <v/>
      </c>
      <c r="AC406" s="116" t="n">
        <v>546</v>
      </c>
      <c r="AD406" s="116" t="n">
        <v>282</v>
      </c>
      <c r="AE406" s="116" t="n">
        <v>269</v>
      </c>
      <c r="AF406" s="116" t="n">
        <v>140</v>
      </c>
      <c r="AG406" s="116" t="n">
        <v>108</v>
      </c>
      <c r="AH406" s="116" t="n">
        <v>77</v>
      </c>
      <c r="AI406" s="47">
        <f>IFERROR(AC406/S406,"")</f>
        <v/>
      </c>
      <c r="AJ406" s="47">
        <f>IFERROR(AH406/S406,"")</f>
        <v/>
      </c>
      <c r="AK406" s="116" t="n">
        <v>50</v>
      </c>
      <c r="AL406" s="116" t="n">
        <v>1</v>
      </c>
      <c r="AM406" s="118">
        <f>IFERROR(AL406/AA406,"")</f>
        <v/>
      </c>
      <c r="AN406" s="119">
        <f>IFERROR(R406/AL406,"")</f>
        <v/>
      </c>
      <c r="AO406" s="116" t="n">
        <v>1</v>
      </c>
      <c r="AP406" s="47">
        <f>IFERROR(AO406/AL406,"")</f>
        <v/>
      </c>
      <c r="AQ406" s="119">
        <f>IFERROR(R406/AO406,"")</f>
        <v/>
      </c>
      <c r="AR406" s="116" t="n">
        <v>1</v>
      </c>
      <c r="AS406" s="116" t="n">
        <v>0</v>
      </c>
      <c r="AT406" s="116">
        <f>AL406+AR406</f>
        <v/>
      </c>
      <c r="AU406" s="119">
        <f>IFERROR(AO406*Assumptions!$C$26*Assumptions!$C$27*INDEX(Assumptions!$C$18:$C$21,MATCH(H406,Assumptions!$B$18:$B$21,0)),0)</f>
        <v/>
      </c>
    </row>
    <row r="407">
      <c r="A407" s="114" t="n">
        <v>46235</v>
      </c>
      <c r="B407" s="42" t="inlineStr">
        <is>
          <t>Wk 31</t>
        </is>
      </c>
      <c r="C407" s="42" t="inlineStr">
        <is>
          <t>Sat</t>
        </is>
      </c>
      <c r="D407" s="42" t="inlineStr">
        <is>
          <t>Meta (FB/IG)</t>
        </is>
      </c>
      <c r="E407" s="42" t="inlineStr">
        <is>
          <t>Facebook + Instagram</t>
        </is>
      </c>
      <c r="F407" s="42" t="inlineStr">
        <is>
          <t>LEP_ZA_AUG26_META_TD_JAVAN_CONV</t>
        </is>
      </c>
      <c r="G407" s="42" t="inlineStr">
        <is>
          <t>Leads - Website Conversions</t>
        </is>
      </c>
      <c r="H407" s="42" t="inlineStr">
        <is>
          <t>JAVAN</t>
        </is>
      </c>
      <c r="I407" s="42" t="inlineStr">
        <is>
          <t>10% Deposit</t>
        </is>
      </c>
      <c r="J407" s="42" t="inlineStr">
        <is>
          <t>MET_JAVAN_INMKT_SUV_ZA</t>
        </is>
      </c>
      <c r="K407" s="42" t="inlineStr">
        <is>
          <t>In-Market</t>
        </is>
      </c>
      <c r="L407" s="42" t="inlineStr">
        <is>
          <t>JAVAN_VID_15s_DCT_Tech_v1</t>
        </is>
      </c>
      <c r="M407" s="42" t="inlineStr">
        <is>
          <t>Video 4:5</t>
        </is>
      </c>
      <c r="N407" s="42" t="inlineStr">
        <is>
          <t>1.5T DCT. Explained in 15 seconds.</t>
        </is>
      </c>
      <c r="O407" s="42" t="inlineStr">
        <is>
          <t>Auction - Lowest Cost</t>
        </is>
      </c>
      <c r="P407" s="42" t="inlineStr">
        <is>
          <t>Offsite Conversions</t>
        </is>
      </c>
      <c r="Q407" s="42" t="inlineStr">
        <is>
          <t>https://www.lepas-sa.co.za/offers/javan</t>
        </is>
      </c>
      <c r="R407" s="115" t="n">
        <v>190.98</v>
      </c>
      <c r="S407" s="116" t="n">
        <v>2262</v>
      </c>
      <c r="T407" s="116" t="n">
        <v>1847</v>
      </c>
      <c r="U407" s="117">
        <f>IFERROR(S407/T407,"")</f>
        <v/>
      </c>
      <c r="V407" s="116" t="n">
        <v>66</v>
      </c>
      <c r="W407" s="116" t="n">
        <v>52</v>
      </c>
      <c r="X407" s="118">
        <f>IFERROR(W407/S407,"")</f>
        <v/>
      </c>
      <c r="Y407" s="115">
        <f>IFERROR(R407/W407,"")</f>
        <v/>
      </c>
      <c r="Z407" s="115">
        <f>IFERROR(R407/S407*1000,"")</f>
        <v/>
      </c>
      <c r="AA407" s="116" t="n">
        <v>41</v>
      </c>
      <c r="AB407" s="47">
        <f>IFERROR(AA407/W407,"")</f>
        <v/>
      </c>
      <c r="AC407" s="116" t="n">
        <v>565</v>
      </c>
      <c r="AD407" s="116" t="n">
        <v>288</v>
      </c>
      <c r="AE407" s="116" t="n">
        <v>299</v>
      </c>
      <c r="AF407" s="116" t="n">
        <v>172</v>
      </c>
      <c r="AG407" s="116" t="n">
        <v>130</v>
      </c>
      <c r="AH407" s="116" t="n">
        <v>80</v>
      </c>
      <c r="AI407" s="47">
        <f>IFERROR(AC407/S407,"")</f>
        <v/>
      </c>
      <c r="AJ407" s="47">
        <f>IFERROR(AH407/S407,"")</f>
        <v/>
      </c>
      <c r="AK407" s="116" t="n">
        <v>55</v>
      </c>
      <c r="AL407" s="116" t="n">
        <v>1</v>
      </c>
      <c r="AM407" s="118">
        <f>IFERROR(AL407/AA407,"")</f>
        <v/>
      </c>
      <c r="AN407" s="119">
        <f>IFERROR(R407/AL407,"")</f>
        <v/>
      </c>
      <c r="AO407" s="116" t="n">
        <v>0</v>
      </c>
      <c r="AP407" s="47">
        <f>IFERROR(AO407/AL407,"")</f>
        <v/>
      </c>
      <c r="AQ407" s="119">
        <f>IFERROR(R407/AO407,"")</f>
        <v/>
      </c>
      <c r="AR407" s="116" t="n">
        <v>0</v>
      </c>
      <c r="AS407" s="116" t="n">
        <v>0</v>
      </c>
      <c r="AT407" s="116">
        <f>AL407+AR407</f>
        <v/>
      </c>
      <c r="AU407" s="119">
        <f>IFERROR(AO407*Assumptions!$C$26*Assumptions!$C$27*INDEX(Assumptions!$C$18:$C$21,MATCH(H407,Assumptions!$B$18:$B$21,0)),0)</f>
        <v/>
      </c>
    </row>
    <row r="408">
      <c r="A408" s="114" t="n">
        <v>46236</v>
      </c>
      <c r="B408" s="42" t="inlineStr">
        <is>
          <t>Wk 31</t>
        </is>
      </c>
      <c r="C408" s="42" t="inlineStr">
        <is>
          <t>Sun</t>
        </is>
      </c>
      <c r="D408" s="42" t="inlineStr">
        <is>
          <t>Meta (FB/IG)</t>
        </is>
      </c>
      <c r="E408" s="42" t="inlineStr">
        <is>
          <t>Facebook + Instagram</t>
        </is>
      </c>
      <c r="F408" s="42" t="inlineStr">
        <is>
          <t>LEP_ZA_AUG26_META_TD_JAVAN_CONV</t>
        </is>
      </c>
      <c r="G408" s="42" t="inlineStr">
        <is>
          <t>Leads - Website Conversions</t>
        </is>
      </c>
      <c r="H408" s="42" t="inlineStr">
        <is>
          <t>JAVAN</t>
        </is>
      </c>
      <c r="I408" s="42" t="inlineStr">
        <is>
          <t>10% Deposit</t>
        </is>
      </c>
      <c r="J408" s="42" t="inlineStr">
        <is>
          <t>MET_JAVAN_INMKT_SUV_ZA</t>
        </is>
      </c>
      <c r="K408" s="42" t="inlineStr">
        <is>
          <t>In-Market</t>
        </is>
      </c>
      <c r="L408" s="42" t="inlineStr">
        <is>
          <t>JAVAN_VID_15s_DCT_Tech_v1</t>
        </is>
      </c>
      <c r="M408" s="42" t="inlineStr">
        <is>
          <t>Video 4:5</t>
        </is>
      </c>
      <c r="N408" s="42" t="inlineStr">
        <is>
          <t>1.5T DCT. Explained in 15 seconds.</t>
        </is>
      </c>
      <c r="O408" s="42" t="inlineStr">
        <is>
          <t>Auction - Lowest Cost</t>
        </is>
      </c>
      <c r="P408" s="42" t="inlineStr">
        <is>
          <t>Offsite Conversions</t>
        </is>
      </c>
      <c r="Q408" s="42" t="inlineStr">
        <is>
          <t>https://www.lepas-sa.co.za/offers/javan</t>
        </is>
      </c>
      <c r="R408" s="115" t="n">
        <v>144.66</v>
      </c>
      <c r="S408" s="116" t="n">
        <v>1397</v>
      </c>
      <c r="T408" s="116" t="n">
        <v>1019</v>
      </c>
      <c r="U408" s="117">
        <f>IFERROR(S408/T408,"")</f>
        <v/>
      </c>
      <c r="V408" s="116" t="n">
        <v>17</v>
      </c>
      <c r="W408" s="116" t="n">
        <v>13</v>
      </c>
      <c r="X408" s="118">
        <f>IFERROR(W408/S408,"")</f>
        <v/>
      </c>
      <c r="Y408" s="115">
        <f>IFERROR(R408/W408,"")</f>
        <v/>
      </c>
      <c r="Z408" s="115">
        <f>IFERROR(R408/S408*1000,"")</f>
        <v/>
      </c>
      <c r="AA408" s="116" t="n">
        <v>11</v>
      </c>
      <c r="AB408" s="47">
        <f>IFERROR(AA408/W408,"")</f>
        <v/>
      </c>
      <c r="AC408" s="116" t="n">
        <v>571</v>
      </c>
      <c r="AD408" s="116" t="n">
        <v>327</v>
      </c>
      <c r="AE408" s="116" t="n">
        <v>220</v>
      </c>
      <c r="AF408" s="116" t="n">
        <v>154</v>
      </c>
      <c r="AG408" s="116" t="n">
        <v>109</v>
      </c>
      <c r="AH408" s="116" t="n">
        <v>68</v>
      </c>
      <c r="AI408" s="47">
        <f>IFERROR(AC408/S408,"")</f>
        <v/>
      </c>
      <c r="AJ408" s="47">
        <f>IFERROR(AH408/S408,"")</f>
        <v/>
      </c>
      <c r="AK408" s="116" t="n">
        <v>44</v>
      </c>
      <c r="AL408" s="116" t="n">
        <v>0</v>
      </c>
      <c r="AM408" s="118">
        <f>IFERROR(AL408/AA408,"")</f>
        <v/>
      </c>
      <c r="AN408" s="119">
        <f>IFERROR(R408/AL408,"")</f>
        <v/>
      </c>
      <c r="AO408" s="116" t="n">
        <v>0</v>
      </c>
      <c r="AP408" s="47">
        <f>IFERROR(AO408/AL408,"")</f>
        <v/>
      </c>
      <c r="AQ408" s="119">
        <f>IFERROR(R408/AO408,"")</f>
        <v/>
      </c>
      <c r="AR408" s="116" t="n">
        <v>0</v>
      </c>
      <c r="AS408" s="116" t="n">
        <v>0</v>
      </c>
      <c r="AT408" s="116">
        <f>AL408+AR408</f>
        <v/>
      </c>
      <c r="AU408" s="119">
        <f>IFERROR(AO408*Assumptions!$C$26*Assumptions!$C$27*INDEX(Assumptions!$C$18:$C$21,MATCH(H408,Assumptions!$B$18:$B$21,0)),0)</f>
        <v/>
      </c>
    </row>
    <row r="409">
      <c r="A409" s="114" t="n">
        <v>46237</v>
      </c>
      <c r="B409" s="42" t="inlineStr">
        <is>
          <t>Wk 32</t>
        </is>
      </c>
      <c r="C409" s="42" t="inlineStr">
        <is>
          <t>Mon</t>
        </is>
      </c>
      <c r="D409" s="42" t="inlineStr">
        <is>
          <t>Meta (FB/IG)</t>
        </is>
      </c>
      <c r="E409" s="42" t="inlineStr">
        <is>
          <t>Facebook + Instagram</t>
        </is>
      </c>
      <c r="F409" s="42" t="inlineStr">
        <is>
          <t>LEP_ZA_AUG26_META_TD_JAVAN_CONV</t>
        </is>
      </c>
      <c r="G409" s="42" t="inlineStr">
        <is>
          <t>Leads - Website Conversions</t>
        </is>
      </c>
      <c r="H409" s="42" t="inlineStr">
        <is>
          <t>JAVAN</t>
        </is>
      </c>
      <c r="I409" s="42" t="inlineStr">
        <is>
          <t>10% Deposit</t>
        </is>
      </c>
      <c r="J409" s="42" t="inlineStr">
        <is>
          <t>MET_JAVAN_INMKT_SUV_ZA</t>
        </is>
      </c>
      <c r="K409" s="42" t="inlineStr">
        <is>
          <t>In-Market</t>
        </is>
      </c>
      <c r="L409" s="42" t="inlineStr">
        <is>
          <t>JAVAN_VID_15s_DCT_Tech_v1</t>
        </is>
      </c>
      <c r="M409" s="42" t="inlineStr">
        <is>
          <t>Video 4:5</t>
        </is>
      </c>
      <c r="N409" s="42" t="inlineStr">
        <is>
          <t>1.5T DCT. Explained in 15 seconds.</t>
        </is>
      </c>
      <c r="O409" s="42" t="inlineStr">
        <is>
          <t>Auction - Lowest Cost</t>
        </is>
      </c>
      <c r="P409" s="42" t="inlineStr">
        <is>
          <t>Offsite Conversions</t>
        </is>
      </c>
      <c r="Q409" s="42" t="inlineStr">
        <is>
          <t>https://www.lepas-sa.co.za/offers/javan</t>
        </is>
      </c>
      <c r="R409" s="115" t="n">
        <v>174.21</v>
      </c>
      <c r="S409" s="116" t="n">
        <v>1819</v>
      </c>
      <c r="T409" s="116" t="n">
        <v>1587</v>
      </c>
      <c r="U409" s="117">
        <f>IFERROR(S409/T409,"")</f>
        <v/>
      </c>
      <c r="V409" s="116" t="n">
        <v>48</v>
      </c>
      <c r="W409" s="116" t="n">
        <v>40</v>
      </c>
      <c r="X409" s="118">
        <f>IFERROR(W409/S409,"")</f>
        <v/>
      </c>
      <c r="Y409" s="115">
        <f>IFERROR(R409/W409,"")</f>
        <v/>
      </c>
      <c r="Z409" s="115">
        <f>IFERROR(R409/S409*1000,"")</f>
        <v/>
      </c>
      <c r="AA409" s="116" t="n">
        <v>36</v>
      </c>
      <c r="AB409" s="47">
        <f>IFERROR(AA409/W409,"")</f>
        <v/>
      </c>
      <c r="AC409" s="116" t="n">
        <v>501</v>
      </c>
      <c r="AD409" s="116" t="n">
        <v>225</v>
      </c>
      <c r="AE409" s="116" t="n">
        <v>236</v>
      </c>
      <c r="AF409" s="116" t="n">
        <v>155</v>
      </c>
      <c r="AG409" s="116" t="n">
        <v>119</v>
      </c>
      <c r="AH409" s="116" t="n">
        <v>81</v>
      </c>
      <c r="AI409" s="47">
        <f>IFERROR(AC409/S409,"")</f>
        <v/>
      </c>
      <c r="AJ409" s="47">
        <f>IFERROR(AH409/S409,"")</f>
        <v/>
      </c>
      <c r="AK409" s="116" t="n">
        <v>35</v>
      </c>
      <c r="AL409" s="116" t="n">
        <v>0</v>
      </c>
      <c r="AM409" s="118">
        <f>IFERROR(AL409/AA409,"")</f>
        <v/>
      </c>
      <c r="AN409" s="119">
        <f>IFERROR(R409/AL409,"")</f>
        <v/>
      </c>
      <c r="AO409" s="116" t="n">
        <v>0</v>
      </c>
      <c r="AP409" s="47">
        <f>IFERROR(AO409/AL409,"")</f>
        <v/>
      </c>
      <c r="AQ409" s="119">
        <f>IFERROR(R409/AO409,"")</f>
        <v/>
      </c>
      <c r="AR409" s="116" t="n">
        <v>0</v>
      </c>
      <c r="AS409" s="116" t="n">
        <v>0</v>
      </c>
      <c r="AT409" s="116">
        <f>AL409+AR409</f>
        <v/>
      </c>
      <c r="AU409" s="119">
        <f>IFERROR(AO409*Assumptions!$C$26*Assumptions!$C$27*INDEX(Assumptions!$C$18:$C$21,MATCH(H409,Assumptions!$B$18:$B$21,0)),0)</f>
        <v/>
      </c>
    </row>
    <row r="410">
      <c r="A410" s="114" t="n">
        <v>46238</v>
      </c>
      <c r="B410" s="42" t="inlineStr">
        <is>
          <t>Wk 32</t>
        </is>
      </c>
      <c r="C410" s="42" t="inlineStr">
        <is>
          <t>Tue</t>
        </is>
      </c>
      <c r="D410" s="42" t="inlineStr">
        <is>
          <t>Meta (FB/IG)</t>
        </is>
      </c>
      <c r="E410" s="42" t="inlineStr">
        <is>
          <t>Facebook + Instagram</t>
        </is>
      </c>
      <c r="F410" s="42" t="inlineStr">
        <is>
          <t>LEP_ZA_AUG26_META_TD_JAVAN_CONV</t>
        </is>
      </c>
      <c r="G410" s="42" t="inlineStr">
        <is>
          <t>Leads - Website Conversions</t>
        </is>
      </c>
      <c r="H410" s="42" t="inlineStr">
        <is>
          <t>JAVAN</t>
        </is>
      </c>
      <c r="I410" s="42" t="inlineStr">
        <is>
          <t>10% Deposit</t>
        </is>
      </c>
      <c r="J410" s="42" t="inlineStr">
        <is>
          <t>MET_JAVAN_INMKT_SUV_ZA</t>
        </is>
      </c>
      <c r="K410" s="42" t="inlineStr">
        <is>
          <t>In-Market</t>
        </is>
      </c>
      <c r="L410" s="42" t="inlineStr">
        <is>
          <t>JAVAN_VID_15s_DCT_Tech_v1</t>
        </is>
      </c>
      <c r="M410" s="42" t="inlineStr">
        <is>
          <t>Video 4:5</t>
        </is>
      </c>
      <c r="N410" s="42" t="inlineStr">
        <is>
          <t>1.5T DCT. Explained in 15 seconds.</t>
        </is>
      </c>
      <c r="O410" s="42" t="inlineStr">
        <is>
          <t>Auction - Lowest Cost</t>
        </is>
      </c>
      <c r="P410" s="42" t="inlineStr">
        <is>
          <t>Offsite Conversions</t>
        </is>
      </c>
      <c r="Q410" s="42" t="inlineStr">
        <is>
          <t>https://www.lepas-sa.co.za/offers/javan</t>
        </is>
      </c>
      <c r="R410" s="115" t="n">
        <v>162.84</v>
      </c>
      <c r="S410" s="116" t="n">
        <v>1668</v>
      </c>
      <c r="T410" s="116" t="n">
        <v>1324</v>
      </c>
      <c r="U410" s="117">
        <f>IFERROR(S410/T410,"")</f>
        <v/>
      </c>
      <c r="V410" s="116" t="n">
        <v>35</v>
      </c>
      <c r="W410" s="116" t="n">
        <v>29</v>
      </c>
      <c r="X410" s="118">
        <f>IFERROR(W410/S410,"")</f>
        <v/>
      </c>
      <c r="Y410" s="115">
        <f>IFERROR(R410/W410,"")</f>
        <v/>
      </c>
      <c r="Z410" s="115">
        <f>IFERROR(R410/S410*1000,"")</f>
        <v/>
      </c>
      <c r="AA410" s="116" t="n">
        <v>26</v>
      </c>
      <c r="AB410" s="47">
        <f>IFERROR(AA410/W410,"")</f>
        <v/>
      </c>
      <c r="AC410" s="116" t="n">
        <v>462</v>
      </c>
      <c r="AD410" s="116" t="n">
        <v>246</v>
      </c>
      <c r="AE410" s="116" t="n">
        <v>249</v>
      </c>
      <c r="AF410" s="116" t="n">
        <v>143</v>
      </c>
      <c r="AG410" s="116" t="n">
        <v>95</v>
      </c>
      <c r="AH410" s="116" t="n">
        <v>67</v>
      </c>
      <c r="AI410" s="47">
        <f>IFERROR(AC410/S410,"")</f>
        <v/>
      </c>
      <c r="AJ410" s="47">
        <f>IFERROR(AH410/S410,"")</f>
        <v/>
      </c>
      <c r="AK410" s="116" t="n">
        <v>41</v>
      </c>
      <c r="AL410" s="116" t="n">
        <v>0</v>
      </c>
      <c r="AM410" s="118">
        <f>IFERROR(AL410/AA410,"")</f>
        <v/>
      </c>
      <c r="AN410" s="119">
        <f>IFERROR(R410/AL410,"")</f>
        <v/>
      </c>
      <c r="AO410" s="116" t="n">
        <v>0</v>
      </c>
      <c r="AP410" s="47">
        <f>IFERROR(AO410/AL410,"")</f>
        <v/>
      </c>
      <c r="AQ410" s="119">
        <f>IFERROR(R410/AO410,"")</f>
        <v/>
      </c>
      <c r="AR410" s="116" t="n">
        <v>0</v>
      </c>
      <c r="AS410" s="116" t="n">
        <v>0</v>
      </c>
      <c r="AT410" s="116">
        <f>AL410+AR410</f>
        <v/>
      </c>
      <c r="AU410" s="119">
        <f>IFERROR(AO410*Assumptions!$C$26*Assumptions!$C$27*INDEX(Assumptions!$C$18:$C$21,MATCH(H410,Assumptions!$B$18:$B$21,0)),0)</f>
        <v/>
      </c>
    </row>
    <row r="411">
      <c r="A411" s="114" t="n">
        <v>46239</v>
      </c>
      <c r="B411" s="42" t="inlineStr">
        <is>
          <t>Wk 32</t>
        </is>
      </c>
      <c r="C411" s="42" t="inlineStr">
        <is>
          <t>Wed</t>
        </is>
      </c>
      <c r="D411" s="42" t="inlineStr">
        <is>
          <t>Meta (FB/IG)</t>
        </is>
      </c>
      <c r="E411" s="42" t="inlineStr">
        <is>
          <t>Facebook + Instagram</t>
        </is>
      </c>
      <c r="F411" s="42" t="inlineStr">
        <is>
          <t>LEP_ZA_AUG26_META_TD_JAVAN_CONV</t>
        </is>
      </c>
      <c r="G411" s="42" t="inlineStr">
        <is>
          <t>Leads - Website Conversions</t>
        </is>
      </c>
      <c r="H411" s="42" t="inlineStr">
        <is>
          <t>JAVAN</t>
        </is>
      </c>
      <c r="I411" s="42" t="inlineStr">
        <is>
          <t>10% Deposit</t>
        </is>
      </c>
      <c r="J411" s="42" t="inlineStr">
        <is>
          <t>MET_JAVAN_INMKT_SUV_ZA</t>
        </is>
      </c>
      <c r="K411" s="42" t="inlineStr">
        <is>
          <t>In-Market</t>
        </is>
      </c>
      <c r="L411" s="42" t="inlineStr">
        <is>
          <t>JAVAN_VID_15s_DCT_Tech_v1</t>
        </is>
      </c>
      <c r="M411" s="42" t="inlineStr">
        <is>
          <t>Video 4:5</t>
        </is>
      </c>
      <c r="N411" s="42" t="inlineStr">
        <is>
          <t>1.5T DCT. Explained in 15 seconds.</t>
        </is>
      </c>
      <c r="O411" s="42" t="inlineStr">
        <is>
          <t>Auction - Lowest Cost</t>
        </is>
      </c>
      <c r="P411" s="42" t="inlineStr">
        <is>
          <t>Offsite Conversions</t>
        </is>
      </c>
      <c r="Q411" s="42" t="inlineStr">
        <is>
          <t>https://www.lepas-sa.co.za/offers/javan</t>
        </is>
      </c>
      <c r="R411" s="115" t="n">
        <v>214.66</v>
      </c>
      <c r="S411" s="116" t="n">
        <v>2546</v>
      </c>
      <c r="T411" s="116" t="n">
        <v>1731</v>
      </c>
      <c r="U411" s="117">
        <f>IFERROR(S411/T411,"")</f>
        <v/>
      </c>
      <c r="V411" s="116" t="n">
        <v>61</v>
      </c>
      <c r="W411" s="116" t="n">
        <v>48</v>
      </c>
      <c r="X411" s="118">
        <f>IFERROR(W411/S411,"")</f>
        <v/>
      </c>
      <c r="Y411" s="115">
        <f>IFERROR(R411/W411,"")</f>
        <v/>
      </c>
      <c r="Z411" s="115">
        <f>IFERROR(R411/S411*1000,"")</f>
        <v/>
      </c>
      <c r="AA411" s="116" t="n">
        <v>41</v>
      </c>
      <c r="AB411" s="47">
        <f>IFERROR(AA411/W411,"")</f>
        <v/>
      </c>
      <c r="AC411" s="116" t="n">
        <v>710</v>
      </c>
      <c r="AD411" s="116" t="n">
        <v>433</v>
      </c>
      <c r="AE411" s="116" t="n">
        <v>362</v>
      </c>
      <c r="AF411" s="116" t="n">
        <v>201</v>
      </c>
      <c r="AG411" s="116" t="n">
        <v>146</v>
      </c>
      <c r="AH411" s="116" t="n">
        <v>81</v>
      </c>
      <c r="AI411" s="47">
        <f>IFERROR(AC411/S411,"")</f>
        <v/>
      </c>
      <c r="AJ411" s="47">
        <f>IFERROR(AH411/S411,"")</f>
        <v/>
      </c>
      <c r="AK411" s="116" t="n">
        <v>36</v>
      </c>
      <c r="AL411" s="116" t="n">
        <v>1</v>
      </c>
      <c r="AM411" s="118">
        <f>IFERROR(AL411/AA411,"")</f>
        <v/>
      </c>
      <c r="AN411" s="119">
        <f>IFERROR(R411/AL411,"")</f>
        <v/>
      </c>
      <c r="AO411" s="116" t="n">
        <v>0</v>
      </c>
      <c r="AP411" s="47">
        <f>IFERROR(AO411/AL411,"")</f>
        <v/>
      </c>
      <c r="AQ411" s="119">
        <f>IFERROR(R411/AO411,"")</f>
        <v/>
      </c>
      <c r="AR411" s="116" t="n">
        <v>1</v>
      </c>
      <c r="AS411" s="116" t="n">
        <v>1</v>
      </c>
      <c r="AT411" s="116">
        <f>AL411+AR411</f>
        <v/>
      </c>
      <c r="AU411" s="119">
        <f>IFERROR(AO411*Assumptions!$C$26*Assumptions!$C$27*INDEX(Assumptions!$C$18:$C$21,MATCH(H411,Assumptions!$B$18:$B$21,0)),0)</f>
        <v/>
      </c>
    </row>
    <row r="412">
      <c r="A412" s="114" t="n">
        <v>46240</v>
      </c>
      <c r="B412" s="42" t="inlineStr">
        <is>
          <t>Wk 32</t>
        </is>
      </c>
      <c r="C412" s="42" t="inlineStr">
        <is>
          <t>Thu</t>
        </is>
      </c>
      <c r="D412" s="42" t="inlineStr">
        <is>
          <t>Meta (FB/IG)</t>
        </is>
      </c>
      <c r="E412" s="42" t="inlineStr">
        <is>
          <t>Facebook + Instagram</t>
        </is>
      </c>
      <c r="F412" s="42" t="inlineStr">
        <is>
          <t>LEP_ZA_AUG26_META_TD_JAVAN_CONV</t>
        </is>
      </c>
      <c r="G412" s="42" t="inlineStr">
        <is>
          <t>Leads - Website Conversions</t>
        </is>
      </c>
      <c r="H412" s="42" t="inlineStr">
        <is>
          <t>JAVAN</t>
        </is>
      </c>
      <c r="I412" s="42" t="inlineStr">
        <is>
          <t>10% Deposit</t>
        </is>
      </c>
      <c r="J412" s="42" t="inlineStr">
        <is>
          <t>MET_JAVAN_INMKT_SUV_ZA</t>
        </is>
      </c>
      <c r="K412" s="42" t="inlineStr">
        <is>
          <t>In-Market</t>
        </is>
      </c>
      <c r="L412" s="42" t="inlineStr">
        <is>
          <t>JAVAN_VID_15s_DCT_Tech_v1</t>
        </is>
      </c>
      <c r="M412" s="42" t="inlineStr">
        <is>
          <t>Video 4:5</t>
        </is>
      </c>
      <c r="N412" s="42" t="inlineStr">
        <is>
          <t>1.5T DCT. Explained in 15 seconds.</t>
        </is>
      </c>
      <c r="O412" s="42" t="inlineStr">
        <is>
          <t>Auction - Lowest Cost</t>
        </is>
      </c>
      <c r="P412" s="42" t="inlineStr">
        <is>
          <t>Offsite Conversions</t>
        </is>
      </c>
      <c r="Q412" s="42" t="inlineStr">
        <is>
          <t>https://www.lepas-sa.co.za/offers/javan</t>
        </is>
      </c>
      <c r="R412" s="115" t="n">
        <v>217.29</v>
      </c>
      <c r="S412" s="116" t="n">
        <v>3385</v>
      </c>
      <c r="T412" s="116" t="n">
        <v>2089</v>
      </c>
      <c r="U412" s="117">
        <f>IFERROR(S412/T412,"")</f>
        <v/>
      </c>
      <c r="V412" s="116" t="n">
        <v>68</v>
      </c>
      <c r="W412" s="116" t="n">
        <v>52</v>
      </c>
      <c r="X412" s="118">
        <f>IFERROR(W412/S412,"")</f>
        <v/>
      </c>
      <c r="Y412" s="115">
        <f>IFERROR(R412/W412,"")</f>
        <v/>
      </c>
      <c r="Z412" s="115">
        <f>IFERROR(R412/S412*1000,"")</f>
        <v/>
      </c>
      <c r="AA412" s="116" t="n">
        <v>42</v>
      </c>
      <c r="AB412" s="47">
        <f>IFERROR(AA412/W412,"")</f>
        <v/>
      </c>
      <c r="AC412" s="116" t="n">
        <v>907</v>
      </c>
      <c r="AD412" s="116" t="n">
        <v>484</v>
      </c>
      <c r="AE412" s="116" t="n">
        <v>421</v>
      </c>
      <c r="AF412" s="116" t="n">
        <v>272</v>
      </c>
      <c r="AG412" s="116" t="n">
        <v>175</v>
      </c>
      <c r="AH412" s="116" t="n">
        <v>123</v>
      </c>
      <c r="AI412" s="47">
        <f>IFERROR(AC412/S412,"")</f>
        <v/>
      </c>
      <c r="AJ412" s="47">
        <f>IFERROR(AH412/S412,"")</f>
        <v/>
      </c>
      <c r="AK412" s="116" t="n">
        <v>109</v>
      </c>
      <c r="AL412" s="116" t="n">
        <v>0</v>
      </c>
      <c r="AM412" s="118">
        <f>IFERROR(AL412/AA412,"")</f>
        <v/>
      </c>
      <c r="AN412" s="119">
        <f>IFERROR(R412/AL412,"")</f>
        <v/>
      </c>
      <c r="AO412" s="116" t="n">
        <v>0</v>
      </c>
      <c r="AP412" s="47">
        <f>IFERROR(AO412/AL412,"")</f>
        <v/>
      </c>
      <c r="AQ412" s="119">
        <f>IFERROR(R412/AO412,"")</f>
        <v/>
      </c>
      <c r="AR412" s="116" t="n">
        <v>0</v>
      </c>
      <c r="AS412" s="116" t="n">
        <v>0</v>
      </c>
      <c r="AT412" s="116">
        <f>AL412+AR412</f>
        <v/>
      </c>
      <c r="AU412" s="119">
        <f>IFERROR(AO412*Assumptions!$C$26*Assumptions!$C$27*INDEX(Assumptions!$C$18:$C$21,MATCH(H412,Assumptions!$B$18:$B$21,0)),0)</f>
        <v/>
      </c>
    </row>
    <row r="413">
      <c r="A413" s="114" t="n">
        <v>46241</v>
      </c>
      <c r="B413" s="42" t="inlineStr">
        <is>
          <t>Wk 32</t>
        </is>
      </c>
      <c r="C413" s="42" t="inlineStr">
        <is>
          <t>Fri</t>
        </is>
      </c>
      <c r="D413" s="42" t="inlineStr">
        <is>
          <t>Meta (FB/IG)</t>
        </is>
      </c>
      <c r="E413" s="42" t="inlineStr">
        <is>
          <t>Facebook + Instagram</t>
        </is>
      </c>
      <c r="F413" s="42" t="inlineStr">
        <is>
          <t>LEP_ZA_AUG26_META_TD_JAVAN_CONV</t>
        </is>
      </c>
      <c r="G413" s="42" t="inlineStr">
        <is>
          <t>Leads - Website Conversions</t>
        </is>
      </c>
      <c r="H413" s="42" t="inlineStr">
        <is>
          <t>JAVAN</t>
        </is>
      </c>
      <c r="I413" s="42" t="inlineStr">
        <is>
          <t>10% Deposit</t>
        </is>
      </c>
      <c r="J413" s="42" t="inlineStr">
        <is>
          <t>MET_JAVAN_INMKT_SUV_ZA</t>
        </is>
      </c>
      <c r="K413" s="42" t="inlineStr">
        <is>
          <t>In-Market</t>
        </is>
      </c>
      <c r="L413" s="42" t="inlineStr">
        <is>
          <t>JAVAN_VID_15s_DCT_Tech_v1</t>
        </is>
      </c>
      <c r="M413" s="42" t="inlineStr">
        <is>
          <t>Video 4:5</t>
        </is>
      </c>
      <c r="N413" s="42" t="inlineStr">
        <is>
          <t>1.5T DCT. Explained in 15 seconds.</t>
        </is>
      </c>
      <c r="O413" s="42" t="inlineStr">
        <is>
          <t>Auction - Lowest Cost</t>
        </is>
      </c>
      <c r="P413" s="42" t="inlineStr">
        <is>
          <t>Offsite Conversions</t>
        </is>
      </c>
      <c r="Q413" s="42" t="inlineStr">
        <is>
          <t>https://www.lepas-sa.co.za/offers/javan</t>
        </is>
      </c>
      <c r="R413" s="115" t="n">
        <v>229.25</v>
      </c>
      <c r="S413" s="116" t="n">
        <v>2573</v>
      </c>
      <c r="T413" s="116" t="n">
        <v>1712</v>
      </c>
      <c r="U413" s="117">
        <f>IFERROR(S413/T413,"")</f>
        <v/>
      </c>
      <c r="V413" s="116" t="n">
        <v>45</v>
      </c>
      <c r="W413" s="116" t="n">
        <v>35</v>
      </c>
      <c r="X413" s="118">
        <f>IFERROR(W413/S413,"")</f>
        <v/>
      </c>
      <c r="Y413" s="115">
        <f>IFERROR(R413/W413,"")</f>
        <v/>
      </c>
      <c r="Z413" s="115">
        <f>IFERROR(R413/S413*1000,"")</f>
        <v/>
      </c>
      <c r="AA413" s="116" t="n">
        <v>29</v>
      </c>
      <c r="AB413" s="47">
        <f>IFERROR(AA413/W413,"")</f>
        <v/>
      </c>
      <c r="AC413" s="116" t="n">
        <v>614</v>
      </c>
      <c r="AD413" s="116" t="n">
        <v>352</v>
      </c>
      <c r="AE413" s="116" t="n">
        <v>297</v>
      </c>
      <c r="AF413" s="116" t="n">
        <v>165</v>
      </c>
      <c r="AG413" s="116" t="n">
        <v>113</v>
      </c>
      <c r="AH413" s="116" t="n">
        <v>79</v>
      </c>
      <c r="AI413" s="47">
        <f>IFERROR(AC413/S413,"")</f>
        <v/>
      </c>
      <c r="AJ413" s="47">
        <f>IFERROR(AH413/S413,"")</f>
        <v/>
      </c>
      <c r="AK413" s="116" t="n">
        <v>33</v>
      </c>
      <c r="AL413" s="116" t="n">
        <v>0</v>
      </c>
      <c r="AM413" s="118">
        <f>IFERROR(AL413/AA413,"")</f>
        <v/>
      </c>
      <c r="AN413" s="119">
        <f>IFERROR(R413/AL413,"")</f>
        <v/>
      </c>
      <c r="AO413" s="116" t="n">
        <v>0</v>
      </c>
      <c r="AP413" s="47">
        <f>IFERROR(AO413/AL413,"")</f>
        <v/>
      </c>
      <c r="AQ413" s="119">
        <f>IFERROR(R413/AO413,"")</f>
        <v/>
      </c>
      <c r="AR413" s="116" t="n">
        <v>0</v>
      </c>
      <c r="AS413" s="116" t="n">
        <v>0</v>
      </c>
      <c r="AT413" s="116">
        <f>AL413+AR413</f>
        <v/>
      </c>
      <c r="AU413" s="119">
        <f>IFERROR(AO413*Assumptions!$C$26*Assumptions!$C$27*INDEX(Assumptions!$C$18:$C$21,MATCH(H413,Assumptions!$B$18:$B$21,0)),0)</f>
        <v/>
      </c>
    </row>
    <row r="414">
      <c r="A414" s="114" t="n">
        <v>46242</v>
      </c>
      <c r="B414" s="42" t="inlineStr">
        <is>
          <t>Wk 32</t>
        </is>
      </c>
      <c r="C414" s="42" t="inlineStr">
        <is>
          <t>Sat</t>
        </is>
      </c>
      <c r="D414" s="42" t="inlineStr">
        <is>
          <t>Meta (FB/IG)</t>
        </is>
      </c>
      <c r="E414" s="42" t="inlineStr">
        <is>
          <t>Facebook + Instagram</t>
        </is>
      </c>
      <c r="F414" s="42" t="inlineStr">
        <is>
          <t>LEP_ZA_AUG26_META_TD_JAVAN_CONV</t>
        </is>
      </c>
      <c r="G414" s="42" t="inlineStr">
        <is>
          <t>Leads - Website Conversions</t>
        </is>
      </c>
      <c r="H414" s="42" t="inlineStr">
        <is>
          <t>JAVAN</t>
        </is>
      </c>
      <c r="I414" s="42" t="inlineStr">
        <is>
          <t>10% Deposit</t>
        </is>
      </c>
      <c r="J414" s="42" t="inlineStr">
        <is>
          <t>MET_JAVAN_INMKT_SUV_ZA</t>
        </is>
      </c>
      <c r="K414" s="42" t="inlineStr">
        <is>
          <t>In-Market</t>
        </is>
      </c>
      <c r="L414" s="42" t="inlineStr">
        <is>
          <t>JAVAN_VID_15s_DCT_Tech_v1</t>
        </is>
      </c>
      <c r="M414" s="42" t="inlineStr">
        <is>
          <t>Video 4:5</t>
        </is>
      </c>
      <c r="N414" s="42" t="inlineStr">
        <is>
          <t>1.5T DCT. Explained in 15 seconds.</t>
        </is>
      </c>
      <c r="O414" s="42" t="inlineStr">
        <is>
          <t>Auction - Lowest Cost</t>
        </is>
      </c>
      <c r="P414" s="42" t="inlineStr">
        <is>
          <t>Offsite Conversions</t>
        </is>
      </c>
      <c r="Q414" s="42" t="inlineStr">
        <is>
          <t>https://www.lepas-sa.co.za/offers/javan</t>
        </is>
      </c>
      <c r="R414" s="115" t="n">
        <v>207.33</v>
      </c>
      <c r="S414" s="116" t="n">
        <v>3015</v>
      </c>
      <c r="T414" s="116" t="n">
        <v>2320</v>
      </c>
      <c r="U414" s="117">
        <f>IFERROR(S414/T414,"")</f>
        <v/>
      </c>
      <c r="V414" s="116" t="n">
        <v>74</v>
      </c>
      <c r="W414" s="116" t="n">
        <v>56</v>
      </c>
      <c r="X414" s="118">
        <f>IFERROR(W414/S414,"")</f>
        <v/>
      </c>
      <c r="Y414" s="115">
        <f>IFERROR(R414/W414,"")</f>
        <v/>
      </c>
      <c r="Z414" s="115">
        <f>IFERROR(R414/S414*1000,"")</f>
        <v/>
      </c>
      <c r="AA414" s="116" t="n">
        <v>50</v>
      </c>
      <c r="AB414" s="47">
        <f>IFERROR(AA414/W414,"")</f>
        <v/>
      </c>
      <c r="AC414" s="116" t="n">
        <v>1187</v>
      </c>
      <c r="AD414" s="116" t="n">
        <v>658</v>
      </c>
      <c r="AE414" s="116" t="n">
        <v>610</v>
      </c>
      <c r="AF414" s="116" t="n">
        <v>401</v>
      </c>
      <c r="AG414" s="116" t="n">
        <v>309</v>
      </c>
      <c r="AH414" s="116" t="n">
        <v>212</v>
      </c>
      <c r="AI414" s="47">
        <f>IFERROR(AC414/S414,"")</f>
        <v/>
      </c>
      <c r="AJ414" s="47">
        <f>IFERROR(AH414/S414,"")</f>
        <v/>
      </c>
      <c r="AK414" s="116" t="n">
        <v>80</v>
      </c>
      <c r="AL414" s="116" t="n">
        <v>1</v>
      </c>
      <c r="AM414" s="118">
        <f>IFERROR(AL414/AA414,"")</f>
        <v/>
      </c>
      <c r="AN414" s="119">
        <f>IFERROR(R414/AL414,"")</f>
        <v/>
      </c>
      <c r="AO414" s="116" t="n">
        <v>1</v>
      </c>
      <c r="AP414" s="47">
        <f>IFERROR(AO414/AL414,"")</f>
        <v/>
      </c>
      <c r="AQ414" s="119">
        <f>IFERROR(R414/AO414,"")</f>
        <v/>
      </c>
      <c r="AR414" s="116" t="n">
        <v>0</v>
      </c>
      <c r="AS414" s="116" t="n">
        <v>0</v>
      </c>
      <c r="AT414" s="116">
        <f>AL414+AR414</f>
        <v/>
      </c>
      <c r="AU414" s="119">
        <f>IFERROR(AO414*Assumptions!$C$26*Assumptions!$C$27*INDEX(Assumptions!$C$18:$C$21,MATCH(H414,Assumptions!$B$18:$B$21,0)),0)</f>
        <v/>
      </c>
    </row>
    <row r="415">
      <c r="A415" s="114" t="n">
        <v>46243</v>
      </c>
      <c r="B415" s="42" t="inlineStr">
        <is>
          <t>Wk 32</t>
        </is>
      </c>
      <c r="C415" s="42" t="inlineStr">
        <is>
          <t>Sun</t>
        </is>
      </c>
      <c r="D415" s="42" t="inlineStr">
        <is>
          <t>Meta (FB/IG)</t>
        </is>
      </c>
      <c r="E415" s="42" t="inlineStr">
        <is>
          <t>Facebook + Instagram</t>
        </is>
      </c>
      <c r="F415" s="42" t="inlineStr">
        <is>
          <t>LEP_ZA_AUG26_META_TD_JAVAN_CONV</t>
        </is>
      </c>
      <c r="G415" s="42" t="inlineStr">
        <is>
          <t>Leads - Website Conversions</t>
        </is>
      </c>
      <c r="H415" s="42" t="inlineStr">
        <is>
          <t>JAVAN</t>
        </is>
      </c>
      <c r="I415" s="42" t="inlineStr">
        <is>
          <t>10% Deposit</t>
        </is>
      </c>
      <c r="J415" s="42" t="inlineStr">
        <is>
          <t>MET_JAVAN_INMKT_SUV_ZA</t>
        </is>
      </c>
      <c r="K415" s="42" t="inlineStr">
        <is>
          <t>In-Market</t>
        </is>
      </c>
      <c r="L415" s="42" t="inlineStr">
        <is>
          <t>JAVAN_VID_15s_DCT_Tech_v1</t>
        </is>
      </c>
      <c r="M415" s="42" t="inlineStr">
        <is>
          <t>Video 4:5</t>
        </is>
      </c>
      <c r="N415" s="42" t="inlineStr">
        <is>
          <t>1.5T DCT. Explained in 15 seconds.</t>
        </is>
      </c>
      <c r="O415" s="42" t="inlineStr">
        <is>
          <t>Auction - Lowest Cost</t>
        </is>
      </c>
      <c r="P415" s="42" t="inlineStr">
        <is>
          <t>Offsite Conversions</t>
        </is>
      </c>
      <c r="Q415" s="42" t="inlineStr">
        <is>
          <t>https://www.lepas-sa.co.za/offers/javan</t>
        </is>
      </c>
      <c r="R415" s="115" t="n">
        <v>144.06</v>
      </c>
      <c r="S415" s="116" t="n">
        <v>2068</v>
      </c>
      <c r="T415" s="116" t="n">
        <v>1653</v>
      </c>
      <c r="U415" s="117">
        <f>IFERROR(S415/T415,"")</f>
        <v/>
      </c>
      <c r="V415" s="116" t="n">
        <v>57</v>
      </c>
      <c r="W415" s="116" t="n">
        <v>41</v>
      </c>
      <c r="X415" s="118">
        <f>IFERROR(W415/S415,"")</f>
        <v/>
      </c>
      <c r="Y415" s="115">
        <f>IFERROR(R415/W415,"")</f>
        <v/>
      </c>
      <c r="Z415" s="115">
        <f>IFERROR(R415/S415*1000,"")</f>
        <v/>
      </c>
      <c r="AA415" s="116" t="n">
        <v>34</v>
      </c>
      <c r="AB415" s="47">
        <f>IFERROR(AA415/W415,"")</f>
        <v/>
      </c>
      <c r="AC415" s="116" t="n">
        <v>612</v>
      </c>
      <c r="AD415" s="116" t="n">
        <v>344</v>
      </c>
      <c r="AE415" s="116" t="n">
        <v>250</v>
      </c>
      <c r="AF415" s="116" t="n">
        <v>160</v>
      </c>
      <c r="AG415" s="116" t="n">
        <v>106</v>
      </c>
      <c r="AH415" s="116" t="n">
        <v>65</v>
      </c>
      <c r="AI415" s="47">
        <f>IFERROR(AC415/S415,"")</f>
        <v/>
      </c>
      <c r="AJ415" s="47">
        <f>IFERROR(AH415/S415,"")</f>
        <v/>
      </c>
      <c r="AK415" s="116" t="n">
        <v>69</v>
      </c>
      <c r="AL415" s="116" t="n">
        <v>0</v>
      </c>
      <c r="AM415" s="118">
        <f>IFERROR(AL415/AA415,"")</f>
        <v/>
      </c>
      <c r="AN415" s="119">
        <f>IFERROR(R415/AL415,"")</f>
        <v/>
      </c>
      <c r="AO415" s="116" t="n">
        <v>0</v>
      </c>
      <c r="AP415" s="47">
        <f>IFERROR(AO415/AL415,"")</f>
        <v/>
      </c>
      <c r="AQ415" s="119">
        <f>IFERROR(R415/AO415,"")</f>
        <v/>
      </c>
      <c r="AR415" s="116" t="n">
        <v>0</v>
      </c>
      <c r="AS415" s="116" t="n">
        <v>0</v>
      </c>
      <c r="AT415" s="116">
        <f>AL415+AR415</f>
        <v/>
      </c>
      <c r="AU415" s="119">
        <f>IFERROR(AO415*Assumptions!$C$26*Assumptions!$C$27*INDEX(Assumptions!$C$18:$C$21,MATCH(H415,Assumptions!$B$18:$B$21,0)),0)</f>
        <v/>
      </c>
    </row>
    <row r="416">
      <c r="A416" s="114" t="n">
        <v>46244</v>
      </c>
      <c r="B416" s="42" t="inlineStr">
        <is>
          <t>Wk 33</t>
        </is>
      </c>
      <c r="C416" s="42" t="inlineStr">
        <is>
          <t>Mon</t>
        </is>
      </c>
      <c r="D416" s="42" t="inlineStr">
        <is>
          <t>Meta (FB/IG)</t>
        </is>
      </c>
      <c r="E416" s="42" t="inlineStr">
        <is>
          <t>Facebook + Instagram</t>
        </is>
      </c>
      <c r="F416" s="42" t="inlineStr">
        <is>
          <t>LEP_ZA_AUG26_META_TD_JAVAN_CONV</t>
        </is>
      </c>
      <c r="G416" s="42" t="inlineStr">
        <is>
          <t>Leads - Website Conversions</t>
        </is>
      </c>
      <c r="H416" s="42" t="inlineStr">
        <is>
          <t>JAVAN</t>
        </is>
      </c>
      <c r="I416" s="42" t="inlineStr">
        <is>
          <t>10% Deposit</t>
        </is>
      </c>
      <c r="J416" s="42" t="inlineStr">
        <is>
          <t>MET_JAVAN_INMKT_SUV_ZA</t>
        </is>
      </c>
      <c r="K416" s="42" t="inlineStr">
        <is>
          <t>In-Market</t>
        </is>
      </c>
      <c r="L416" s="42" t="inlineStr">
        <is>
          <t>JAVAN_VID_15s_DCT_Tech_v1</t>
        </is>
      </c>
      <c r="M416" s="42" t="inlineStr">
        <is>
          <t>Video 4:5</t>
        </is>
      </c>
      <c r="N416" s="42" t="inlineStr">
        <is>
          <t>1.5T DCT. Explained in 15 seconds.</t>
        </is>
      </c>
      <c r="O416" s="42" t="inlineStr">
        <is>
          <t>Auction - Lowest Cost</t>
        </is>
      </c>
      <c r="P416" s="42" t="inlineStr">
        <is>
          <t>Offsite Conversions</t>
        </is>
      </c>
      <c r="Q416" s="42" t="inlineStr">
        <is>
          <t>https://www.lepas-sa.co.za/offers/javan</t>
        </is>
      </c>
      <c r="R416" s="115" t="n">
        <v>181.71</v>
      </c>
      <c r="S416" s="116" t="n">
        <v>2144</v>
      </c>
      <c r="T416" s="116" t="n">
        <v>1294</v>
      </c>
      <c r="U416" s="117">
        <f>IFERROR(S416/T416,"")</f>
        <v/>
      </c>
      <c r="V416" s="116" t="n">
        <v>46</v>
      </c>
      <c r="W416" s="116" t="n">
        <v>35</v>
      </c>
      <c r="X416" s="118">
        <f>IFERROR(W416/S416,"")</f>
        <v/>
      </c>
      <c r="Y416" s="115">
        <f>IFERROR(R416/W416,"")</f>
        <v/>
      </c>
      <c r="Z416" s="115">
        <f>IFERROR(R416/S416*1000,"")</f>
        <v/>
      </c>
      <c r="AA416" s="116" t="n">
        <v>28</v>
      </c>
      <c r="AB416" s="47">
        <f>IFERROR(AA416/W416,"")</f>
        <v/>
      </c>
      <c r="AC416" s="116" t="n">
        <v>615</v>
      </c>
      <c r="AD416" s="116" t="n">
        <v>282</v>
      </c>
      <c r="AE416" s="116" t="n">
        <v>282</v>
      </c>
      <c r="AF416" s="116" t="n">
        <v>190</v>
      </c>
      <c r="AG416" s="116" t="n">
        <v>125</v>
      </c>
      <c r="AH416" s="116" t="n">
        <v>78</v>
      </c>
      <c r="AI416" s="47">
        <f>IFERROR(AC416/S416,"")</f>
        <v/>
      </c>
      <c r="AJ416" s="47">
        <f>IFERROR(AH416/S416,"")</f>
        <v/>
      </c>
      <c r="AK416" s="116" t="n">
        <v>48</v>
      </c>
      <c r="AL416" s="116" t="n">
        <v>1</v>
      </c>
      <c r="AM416" s="118">
        <f>IFERROR(AL416/AA416,"")</f>
        <v/>
      </c>
      <c r="AN416" s="119">
        <f>IFERROR(R416/AL416,"")</f>
        <v/>
      </c>
      <c r="AO416" s="116" t="n">
        <v>0</v>
      </c>
      <c r="AP416" s="47">
        <f>IFERROR(AO416/AL416,"")</f>
        <v/>
      </c>
      <c r="AQ416" s="119">
        <f>IFERROR(R416/AO416,"")</f>
        <v/>
      </c>
      <c r="AR416" s="116" t="n">
        <v>0</v>
      </c>
      <c r="AS416" s="116" t="n">
        <v>0</v>
      </c>
      <c r="AT416" s="116">
        <f>AL416+AR416</f>
        <v/>
      </c>
      <c r="AU416" s="119">
        <f>IFERROR(AO416*Assumptions!$C$26*Assumptions!$C$27*INDEX(Assumptions!$C$18:$C$21,MATCH(H416,Assumptions!$B$18:$B$21,0)),0)</f>
        <v/>
      </c>
    </row>
    <row r="417">
      <c r="A417" s="114" t="n">
        <v>46245</v>
      </c>
      <c r="B417" s="42" t="inlineStr">
        <is>
          <t>Wk 33</t>
        </is>
      </c>
      <c r="C417" s="42" t="inlineStr">
        <is>
          <t>Tue</t>
        </is>
      </c>
      <c r="D417" s="42" t="inlineStr">
        <is>
          <t>Meta (FB/IG)</t>
        </is>
      </c>
      <c r="E417" s="42" t="inlineStr">
        <is>
          <t>Facebook + Instagram</t>
        </is>
      </c>
      <c r="F417" s="42" t="inlineStr">
        <is>
          <t>LEP_ZA_AUG26_META_TD_JAVAN_CONV</t>
        </is>
      </c>
      <c r="G417" s="42" t="inlineStr">
        <is>
          <t>Leads - Website Conversions</t>
        </is>
      </c>
      <c r="H417" s="42" t="inlineStr">
        <is>
          <t>JAVAN</t>
        </is>
      </c>
      <c r="I417" s="42" t="inlineStr">
        <is>
          <t>10% Deposit</t>
        </is>
      </c>
      <c r="J417" s="42" t="inlineStr">
        <is>
          <t>MET_JAVAN_INMKT_SUV_ZA</t>
        </is>
      </c>
      <c r="K417" s="42" t="inlineStr">
        <is>
          <t>In-Market</t>
        </is>
      </c>
      <c r="L417" s="42" t="inlineStr">
        <is>
          <t>JAVAN_VID_15s_DCT_Tech_v1</t>
        </is>
      </c>
      <c r="M417" s="42" t="inlineStr">
        <is>
          <t>Video 4:5</t>
        </is>
      </c>
      <c r="N417" s="42" t="inlineStr">
        <is>
          <t>1.5T DCT. Explained in 15 seconds.</t>
        </is>
      </c>
      <c r="O417" s="42" t="inlineStr">
        <is>
          <t>Auction - Lowest Cost</t>
        </is>
      </c>
      <c r="P417" s="42" t="inlineStr">
        <is>
          <t>Offsite Conversions</t>
        </is>
      </c>
      <c r="Q417" s="42" t="inlineStr">
        <is>
          <t>https://www.lepas-sa.co.za/offers/javan</t>
        </is>
      </c>
      <c r="R417" s="115" t="n">
        <v>194.36</v>
      </c>
      <c r="S417" s="116" t="n">
        <v>2238</v>
      </c>
      <c r="T417" s="116" t="n">
        <v>1496</v>
      </c>
      <c r="U417" s="117">
        <f>IFERROR(S417/T417,"")</f>
        <v/>
      </c>
      <c r="V417" s="116" t="n">
        <v>29</v>
      </c>
      <c r="W417" s="116" t="n">
        <v>22</v>
      </c>
      <c r="X417" s="118">
        <f>IFERROR(W417/S417,"")</f>
        <v/>
      </c>
      <c r="Y417" s="115">
        <f>IFERROR(R417/W417,"")</f>
        <v/>
      </c>
      <c r="Z417" s="115">
        <f>IFERROR(R417/S417*1000,"")</f>
        <v/>
      </c>
      <c r="AA417" s="116" t="n">
        <v>19</v>
      </c>
      <c r="AB417" s="47">
        <f>IFERROR(AA417/W417,"")</f>
        <v/>
      </c>
      <c r="AC417" s="116" t="n">
        <v>669</v>
      </c>
      <c r="AD417" s="116" t="n">
        <v>390</v>
      </c>
      <c r="AE417" s="116" t="n">
        <v>270</v>
      </c>
      <c r="AF417" s="116" t="n">
        <v>149</v>
      </c>
      <c r="AG417" s="116" t="n">
        <v>109</v>
      </c>
      <c r="AH417" s="116" t="n">
        <v>78</v>
      </c>
      <c r="AI417" s="47">
        <f>IFERROR(AC417/S417,"")</f>
        <v/>
      </c>
      <c r="AJ417" s="47">
        <f>IFERROR(AH417/S417,"")</f>
        <v/>
      </c>
      <c r="AK417" s="116" t="n">
        <v>42</v>
      </c>
      <c r="AL417" s="116" t="n">
        <v>0</v>
      </c>
      <c r="AM417" s="118">
        <f>IFERROR(AL417/AA417,"")</f>
        <v/>
      </c>
      <c r="AN417" s="119">
        <f>IFERROR(R417/AL417,"")</f>
        <v/>
      </c>
      <c r="AO417" s="116" t="n">
        <v>0</v>
      </c>
      <c r="AP417" s="47">
        <f>IFERROR(AO417/AL417,"")</f>
        <v/>
      </c>
      <c r="AQ417" s="119">
        <f>IFERROR(R417/AO417,"")</f>
        <v/>
      </c>
      <c r="AR417" s="116" t="n">
        <v>0</v>
      </c>
      <c r="AS417" s="116" t="n">
        <v>0</v>
      </c>
      <c r="AT417" s="116">
        <f>AL417+AR417</f>
        <v/>
      </c>
      <c r="AU417" s="119">
        <f>IFERROR(AO417*Assumptions!$C$26*Assumptions!$C$27*INDEX(Assumptions!$C$18:$C$21,MATCH(H417,Assumptions!$B$18:$B$21,0)),0)</f>
        <v/>
      </c>
    </row>
    <row r="418">
      <c r="A418" s="114" t="n">
        <v>46246</v>
      </c>
      <c r="B418" s="42" t="inlineStr">
        <is>
          <t>Wk 33</t>
        </is>
      </c>
      <c r="C418" s="42" t="inlineStr">
        <is>
          <t>Wed</t>
        </is>
      </c>
      <c r="D418" s="42" t="inlineStr">
        <is>
          <t>Meta (FB/IG)</t>
        </is>
      </c>
      <c r="E418" s="42" t="inlineStr">
        <is>
          <t>Facebook + Instagram</t>
        </is>
      </c>
      <c r="F418" s="42" t="inlineStr">
        <is>
          <t>LEP_ZA_AUG26_META_TD_JAVAN_CONV</t>
        </is>
      </c>
      <c r="G418" s="42" t="inlineStr">
        <is>
          <t>Leads - Website Conversions</t>
        </is>
      </c>
      <c r="H418" s="42" t="inlineStr">
        <is>
          <t>JAVAN</t>
        </is>
      </c>
      <c r="I418" s="42" t="inlineStr">
        <is>
          <t>10% Deposit</t>
        </is>
      </c>
      <c r="J418" s="42" t="inlineStr">
        <is>
          <t>MET_JAVAN_INMKT_SUV_ZA</t>
        </is>
      </c>
      <c r="K418" s="42" t="inlineStr">
        <is>
          <t>In-Market</t>
        </is>
      </c>
      <c r="L418" s="42" t="inlineStr">
        <is>
          <t>JAVAN_VID_15s_DCT_Tech_v1</t>
        </is>
      </c>
      <c r="M418" s="42" t="inlineStr">
        <is>
          <t>Video 4:5</t>
        </is>
      </c>
      <c r="N418" s="42" t="inlineStr">
        <is>
          <t>1.5T DCT. Explained in 15 seconds.</t>
        </is>
      </c>
      <c r="O418" s="42" t="inlineStr">
        <is>
          <t>Auction - Lowest Cost</t>
        </is>
      </c>
      <c r="P418" s="42" t="inlineStr">
        <is>
          <t>Offsite Conversions</t>
        </is>
      </c>
      <c r="Q418" s="42" t="inlineStr">
        <is>
          <t>https://www.lepas-sa.co.za/offers/javan</t>
        </is>
      </c>
      <c r="R418" s="115" t="n">
        <v>171.64</v>
      </c>
      <c r="S418" s="116" t="n">
        <v>2041</v>
      </c>
      <c r="T418" s="116" t="n">
        <v>1142</v>
      </c>
      <c r="U418" s="117">
        <f>IFERROR(S418/T418,"")</f>
        <v/>
      </c>
      <c r="V418" s="116" t="n">
        <v>41</v>
      </c>
      <c r="W418" s="116" t="n">
        <v>32</v>
      </c>
      <c r="X418" s="118">
        <f>IFERROR(W418/S418,"")</f>
        <v/>
      </c>
      <c r="Y418" s="115">
        <f>IFERROR(R418/W418,"")</f>
        <v/>
      </c>
      <c r="Z418" s="115">
        <f>IFERROR(R418/S418*1000,"")</f>
        <v/>
      </c>
      <c r="AA418" s="116" t="n">
        <v>27</v>
      </c>
      <c r="AB418" s="47">
        <f>IFERROR(AA418/W418,"")</f>
        <v/>
      </c>
      <c r="AC418" s="116" t="n">
        <v>835</v>
      </c>
      <c r="AD418" s="116" t="n">
        <v>457</v>
      </c>
      <c r="AE418" s="116" t="n">
        <v>302</v>
      </c>
      <c r="AF418" s="116" t="n">
        <v>168</v>
      </c>
      <c r="AG418" s="116" t="n">
        <v>129</v>
      </c>
      <c r="AH418" s="116" t="n">
        <v>87</v>
      </c>
      <c r="AI418" s="47">
        <f>IFERROR(AC418/S418,"")</f>
        <v/>
      </c>
      <c r="AJ418" s="47">
        <f>IFERROR(AH418/S418,"")</f>
        <v/>
      </c>
      <c r="AK418" s="116" t="n">
        <v>52</v>
      </c>
      <c r="AL418" s="116" t="n">
        <v>1</v>
      </c>
      <c r="AM418" s="118">
        <f>IFERROR(AL418/AA418,"")</f>
        <v/>
      </c>
      <c r="AN418" s="119">
        <f>IFERROR(R418/AL418,"")</f>
        <v/>
      </c>
      <c r="AO418" s="116" t="n">
        <v>1</v>
      </c>
      <c r="AP418" s="47">
        <f>IFERROR(AO418/AL418,"")</f>
        <v/>
      </c>
      <c r="AQ418" s="119">
        <f>IFERROR(R418/AO418,"")</f>
        <v/>
      </c>
      <c r="AR418" s="116" t="n">
        <v>0</v>
      </c>
      <c r="AS418" s="116" t="n">
        <v>0</v>
      </c>
      <c r="AT418" s="116">
        <f>AL418+AR418</f>
        <v/>
      </c>
      <c r="AU418" s="119">
        <f>IFERROR(AO418*Assumptions!$C$26*Assumptions!$C$27*INDEX(Assumptions!$C$18:$C$21,MATCH(H418,Assumptions!$B$18:$B$21,0)),0)</f>
        <v/>
      </c>
    </row>
    <row r="419">
      <c r="A419" s="114" t="n">
        <v>46247</v>
      </c>
      <c r="B419" s="42" t="inlineStr">
        <is>
          <t>Wk 33</t>
        </is>
      </c>
      <c r="C419" s="42" t="inlineStr">
        <is>
          <t>Thu</t>
        </is>
      </c>
      <c r="D419" s="42" t="inlineStr">
        <is>
          <t>Meta (FB/IG)</t>
        </is>
      </c>
      <c r="E419" s="42" t="inlineStr">
        <is>
          <t>Facebook + Instagram</t>
        </is>
      </c>
      <c r="F419" s="42" t="inlineStr">
        <is>
          <t>LEP_ZA_AUG26_META_TD_JAVAN_CONV</t>
        </is>
      </c>
      <c r="G419" s="42" t="inlineStr">
        <is>
          <t>Leads - Website Conversions</t>
        </is>
      </c>
      <c r="H419" s="42" t="inlineStr">
        <is>
          <t>JAVAN</t>
        </is>
      </c>
      <c r="I419" s="42" t="inlineStr">
        <is>
          <t>10% Deposit</t>
        </is>
      </c>
      <c r="J419" s="42" t="inlineStr">
        <is>
          <t>MET_JAVAN_INMKT_SUV_ZA</t>
        </is>
      </c>
      <c r="K419" s="42" t="inlineStr">
        <is>
          <t>In-Market</t>
        </is>
      </c>
      <c r="L419" s="42" t="inlineStr">
        <is>
          <t>JAVAN_VID_15s_DCT_Tech_v1</t>
        </is>
      </c>
      <c r="M419" s="42" t="inlineStr">
        <is>
          <t>Video 4:5</t>
        </is>
      </c>
      <c r="N419" s="42" t="inlineStr">
        <is>
          <t>1.5T DCT. Explained in 15 seconds.</t>
        </is>
      </c>
      <c r="O419" s="42" t="inlineStr">
        <is>
          <t>Auction - Lowest Cost</t>
        </is>
      </c>
      <c r="P419" s="42" t="inlineStr">
        <is>
          <t>Offsite Conversions</t>
        </is>
      </c>
      <c r="Q419" s="42" t="inlineStr">
        <is>
          <t>https://www.lepas-sa.co.za/offers/javan</t>
        </is>
      </c>
      <c r="R419" s="115" t="n">
        <v>231.78</v>
      </c>
      <c r="S419" s="116" t="n">
        <v>2920</v>
      </c>
      <c r="T419" s="116" t="n">
        <v>1934</v>
      </c>
      <c r="U419" s="117">
        <f>IFERROR(S419/T419,"")</f>
        <v/>
      </c>
      <c r="V419" s="116" t="n">
        <v>36</v>
      </c>
      <c r="W419" s="116" t="n">
        <v>30</v>
      </c>
      <c r="X419" s="118">
        <f>IFERROR(W419/S419,"")</f>
        <v/>
      </c>
      <c r="Y419" s="115">
        <f>IFERROR(R419/W419,"")</f>
        <v/>
      </c>
      <c r="Z419" s="115">
        <f>IFERROR(R419/S419*1000,"")</f>
        <v/>
      </c>
      <c r="AA419" s="116" t="n">
        <v>25</v>
      </c>
      <c r="AB419" s="47">
        <f>IFERROR(AA419/W419,"")</f>
        <v/>
      </c>
      <c r="AC419" s="116" t="n">
        <v>844</v>
      </c>
      <c r="AD419" s="116" t="n">
        <v>397</v>
      </c>
      <c r="AE419" s="116" t="n">
        <v>442</v>
      </c>
      <c r="AF419" s="116" t="n">
        <v>254</v>
      </c>
      <c r="AG419" s="116" t="n">
        <v>165</v>
      </c>
      <c r="AH419" s="116" t="n">
        <v>98</v>
      </c>
      <c r="AI419" s="47">
        <f>IFERROR(AC419/S419,"")</f>
        <v/>
      </c>
      <c r="AJ419" s="47">
        <f>IFERROR(AH419/S419,"")</f>
        <v/>
      </c>
      <c r="AK419" s="116" t="n">
        <v>99</v>
      </c>
      <c r="AL419" s="116" t="n">
        <v>1</v>
      </c>
      <c r="AM419" s="118">
        <f>IFERROR(AL419/AA419,"")</f>
        <v/>
      </c>
      <c r="AN419" s="119">
        <f>IFERROR(R419/AL419,"")</f>
        <v/>
      </c>
      <c r="AO419" s="116" t="n">
        <v>1</v>
      </c>
      <c r="AP419" s="47">
        <f>IFERROR(AO419/AL419,"")</f>
        <v/>
      </c>
      <c r="AQ419" s="119">
        <f>IFERROR(R419/AO419,"")</f>
        <v/>
      </c>
      <c r="AR419" s="116" t="n">
        <v>0</v>
      </c>
      <c r="AS419" s="116" t="n">
        <v>1</v>
      </c>
      <c r="AT419" s="116">
        <f>AL419+AR419</f>
        <v/>
      </c>
      <c r="AU419" s="119">
        <f>IFERROR(AO419*Assumptions!$C$26*Assumptions!$C$27*INDEX(Assumptions!$C$18:$C$21,MATCH(H419,Assumptions!$B$18:$B$21,0)),0)</f>
        <v/>
      </c>
    </row>
    <row r="420">
      <c r="A420" s="114" t="n">
        <v>46248</v>
      </c>
      <c r="B420" s="42" t="inlineStr">
        <is>
          <t>Wk 33</t>
        </is>
      </c>
      <c r="C420" s="42" t="inlineStr">
        <is>
          <t>Fri</t>
        </is>
      </c>
      <c r="D420" s="42" t="inlineStr">
        <is>
          <t>Meta (FB/IG)</t>
        </is>
      </c>
      <c r="E420" s="42" t="inlineStr">
        <is>
          <t>Facebook + Instagram</t>
        </is>
      </c>
      <c r="F420" s="42" t="inlineStr">
        <is>
          <t>LEP_ZA_AUG26_META_TD_JAVAN_CONV</t>
        </is>
      </c>
      <c r="G420" s="42" t="inlineStr">
        <is>
          <t>Leads - Website Conversions</t>
        </is>
      </c>
      <c r="H420" s="42" t="inlineStr">
        <is>
          <t>JAVAN</t>
        </is>
      </c>
      <c r="I420" s="42" t="inlineStr">
        <is>
          <t>10% Deposit</t>
        </is>
      </c>
      <c r="J420" s="42" t="inlineStr">
        <is>
          <t>MET_JAVAN_INMKT_SUV_ZA</t>
        </is>
      </c>
      <c r="K420" s="42" t="inlineStr">
        <is>
          <t>In-Market</t>
        </is>
      </c>
      <c r="L420" s="42" t="inlineStr">
        <is>
          <t>JAVAN_VID_15s_DCT_Tech_v1</t>
        </is>
      </c>
      <c r="M420" s="42" t="inlineStr">
        <is>
          <t>Video 4:5</t>
        </is>
      </c>
      <c r="N420" s="42" t="inlineStr">
        <is>
          <t>1.5T DCT. Explained in 15 seconds.</t>
        </is>
      </c>
      <c r="O420" s="42" t="inlineStr">
        <is>
          <t>Auction - Lowest Cost</t>
        </is>
      </c>
      <c r="P420" s="42" t="inlineStr">
        <is>
          <t>Offsite Conversions</t>
        </is>
      </c>
      <c r="Q420" s="42" t="inlineStr">
        <is>
          <t>https://www.lepas-sa.co.za/offers/javan</t>
        </is>
      </c>
      <c r="R420" s="115" t="n">
        <v>205.71</v>
      </c>
      <c r="S420" s="116" t="n">
        <v>2641</v>
      </c>
      <c r="T420" s="116" t="n">
        <v>1515</v>
      </c>
      <c r="U420" s="117">
        <f>IFERROR(S420/T420,"")</f>
        <v/>
      </c>
      <c r="V420" s="116" t="n">
        <v>55</v>
      </c>
      <c r="W420" s="116" t="n">
        <v>43</v>
      </c>
      <c r="X420" s="118">
        <f>IFERROR(W420/S420,"")</f>
        <v/>
      </c>
      <c r="Y420" s="115">
        <f>IFERROR(R420/W420,"")</f>
        <v/>
      </c>
      <c r="Z420" s="115">
        <f>IFERROR(R420/S420*1000,"")</f>
        <v/>
      </c>
      <c r="AA420" s="116" t="n">
        <v>36</v>
      </c>
      <c r="AB420" s="47">
        <f>IFERROR(AA420/W420,"")</f>
        <v/>
      </c>
      <c r="AC420" s="116" t="n">
        <v>638</v>
      </c>
      <c r="AD420" s="116" t="n">
        <v>281</v>
      </c>
      <c r="AE420" s="116" t="n">
        <v>350</v>
      </c>
      <c r="AF420" s="116" t="n">
        <v>246</v>
      </c>
      <c r="AG420" s="116" t="n">
        <v>194</v>
      </c>
      <c r="AH420" s="116" t="n">
        <v>133</v>
      </c>
      <c r="AI420" s="47">
        <f>IFERROR(AC420/S420,"")</f>
        <v/>
      </c>
      <c r="AJ420" s="47">
        <f>IFERROR(AH420/S420,"")</f>
        <v/>
      </c>
      <c r="AK420" s="116" t="n">
        <v>62</v>
      </c>
      <c r="AL420" s="116" t="n">
        <v>1</v>
      </c>
      <c r="AM420" s="118">
        <f>IFERROR(AL420/AA420,"")</f>
        <v/>
      </c>
      <c r="AN420" s="119">
        <f>IFERROR(R420/AL420,"")</f>
        <v/>
      </c>
      <c r="AO420" s="116" t="n">
        <v>1</v>
      </c>
      <c r="AP420" s="47">
        <f>IFERROR(AO420/AL420,"")</f>
        <v/>
      </c>
      <c r="AQ420" s="119">
        <f>IFERROR(R420/AO420,"")</f>
        <v/>
      </c>
      <c r="AR420" s="116" t="n">
        <v>0</v>
      </c>
      <c r="AS420" s="116" t="n">
        <v>0</v>
      </c>
      <c r="AT420" s="116">
        <f>AL420+AR420</f>
        <v/>
      </c>
      <c r="AU420" s="119">
        <f>IFERROR(AO420*Assumptions!$C$26*Assumptions!$C$27*INDEX(Assumptions!$C$18:$C$21,MATCH(H420,Assumptions!$B$18:$B$21,0)),0)</f>
        <v/>
      </c>
    </row>
    <row r="421">
      <c r="A421" s="114" t="n">
        <v>46249</v>
      </c>
      <c r="B421" s="42" t="inlineStr">
        <is>
          <t>Wk 33</t>
        </is>
      </c>
      <c r="C421" s="42" t="inlineStr">
        <is>
          <t>Sat</t>
        </is>
      </c>
      <c r="D421" s="42" t="inlineStr">
        <is>
          <t>Meta (FB/IG)</t>
        </is>
      </c>
      <c r="E421" s="42" t="inlineStr">
        <is>
          <t>Facebook + Instagram</t>
        </is>
      </c>
      <c r="F421" s="42" t="inlineStr">
        <is>
          <t>LEP_ZA_AUG26_META_TD_JAVAN_CONV</t>
        </is>
      </c>
      <c r="G421" s="42" t="inlineStr">
        <is>
          <t>Leads - Website Conversions</t>
        </is>
      </c>
      <c r="H421" s="42" t="inlineStr">
        <is>
          <t>JAVAN</t>
        </is>
      </c>
      <c r="I421" s="42" t="inlineStr">
        <is>
          <t>10% Deposit</t>
        </is>
      </c>
      <c r="J421" s="42" t="inlineStr">
        <is>
          <t>MET_JAVAN_INMKT_SUV_ZA</t>
        </is>
      </c>
      <c r="K421" s="42" t="inlineStr">
        <is>
          <t>In-Market</t>
        </is>
      </c>
      <c r="L421" s="42" t="inlineStr">
        <is>
          <t>JAVAN_VID_15s_DCT_Tech_v1</t>
        </is>
      </c>
      <c r="M421" s="42" t="inlineStr">
        <is>
          <t>Video 4:5</t>
        </is>
      </c>
      <c r="N421" s="42" t="inlineStr">
        <is>
          <t>1.5T DCT. Explained in 15 seconds.</t>
        </is>
      </c>
      <c r="O421" s="42" t="inlineStr">
        <is>
          <t>Auction - Lowest Cost</t>
        </is>
      </c>
      <c r="P421" s="42" t="inlineStr">
        <is>
          <t>Offsite Conversions</t>
        </is>
      </c>
      <c r="Q421" s="42" t="inlineStr">
        <is>
          <t>https://www.lepas-sa.co.za/offers/javan</t>
        </is>
      </c>
      <c r="R421" s="115" t="n">
        <v>214.66</v>
      </c>
      <c r="S421" s="116" t="n">
        <v>2035</v>
      </c>
      <c r="T421" s="116" t="n">
        <v>1237</v>
      </c>
      <c r="U421" s="117">
        <f>IFERROR(S421/T421,"")</f>
        <v/>
      </c>
      <c r="V421" s="116" t="n">
        <v>24</v>
      </c>
      <c r="W421" s="116" t="n">
        <v>20</v>
      </c>
      <c r="X421" s="118">
        <f>IFERROR(W421/S421,"")</f>
        <v/>
      </c>
      <c r="Y421" s="115">
        <f>IFERROR(R421/W421,"")</f>
        <v/>
      </c>
      <c r="Z421" s="115">
        <f>IFERROR(R421/S421*1000,"")</f>
        <v/>
      </c>
      <c r="AA421" s="116" t="n">
        <v>17</v>
      </c>
      <c r="AB421" s="47">
        <f>IFERROR(AA421/W421,"")</f>
        <v/>
      </c>
      <c r="AC421" s="116" t="n">
        <v>704</v>
      </c>
      <c r="AD421" s="116" t="n">
        <v>387</v>
      </c>
      <c r="AE421" s="116" t="n">
        <v>302</v>
      </c>
      <c r="AF421" s="116" t="n">
        <v>184</v>
      </c>
      <c r="AG421" s="116" t="n">
        <v>133</v>
      </c>
      <c r="AH421" s="116" t="n">
        <v>82</v>
      </c>
      <c r="AI421" s="47">
        <f>IFERROR(AC421/S421,"")</f>
        <v/>
      </c>
      <c r="AJ421" s="47">
        <f>IFERROR(AH421/S421,"")</f>
        <v/>
      </c>
      <c r="AK421" s="116" t="n">
        <v>51</v>
      </c>
      <c r="AL421" s="116" t="n">
        <v>1</v>
      </c>
      <c r="AM421" s="118">
        <f>IFERROR(AL421/AA421,"")</f>
        <v/>
      </c>
      <c r="AN421" s="119">
        <f>IFERROR(R421/AL421,"")</f>
        <v/>
      </c>
      <c r="AO421" s="116" t="n">
        <v>0</v>
      </c>
      <c r="AP421" s="47">
        <f>IFERROR(AO421/AL421,"")</f>
        <v/>
      </c>
      <c r="AQ421" s="119">
        <f>IFERROR(R421/AO421,"")</f>
        <v/>
      </c>
      <c r="AR421" s="116" t="n">
        <v>0</v>
      </c>
      <c r="AS421" s="116" t="n">
        <v>0</v>
      </c>
      <c r="AT421" s="116">
        <f>AL421+AR421</f>
        <v/>
      </c>
      <c r="AU421" s="119">
        <f>IFERROR(AO421*Assumptions!$C$26*Assumptions!$C$27*INDEX(Assumptions!$C$18:$C$21,MATCH(H421,Assumptions!$B$18:$B$21,0)),0)</f>
        <v/>
      </c>
    </row>
    <row r="422">
      <c r="A422" s="114" t="n">
        <v>46250</v>
      </c>
      <c r="B422" s="42" t="inlineStr">
        <is>
          <t>Wk 33</t>
        </is>
      </c>
      <c r="C422" s="42" t="inlineStr">
        <is>
          <t>Sun</t>
        </is>
      </c>
      <c r="D422" s="42" t="inlineStr">
        <is>
          <t>Meta (FB/IG)</t>
        </is>
      </c>
      <c r="E422" s="42" t="inlineStr">
        <is>
          <t>Facebook + Instagram</t>
        </is>
      </c>
      <c r="F422" s="42" t="inlineStr">
        <is>
          <t>LEP_ZA_AUG26_META_TD_JAVAN_CONV</t>
        </is>
      </c>
      <c r="G422" s="42" t="inlineStr">
        <is>
          <t>Leads - Website Conversions</t>
        </is>
      </c>
      <c r="H422" s="42" t="inlineStr">
        <is>
          <t>JAVAN</t>
        </is>
      </c>
      <c r="I422" s="42" t="inlineStr">
        <is>
          <t>10% Deposit</t>
        </is>
      </c>
      <c r="J422" s="42" t="inlineStr">
        <is>
          <t>MET_JAVAN_INMKT_SUV_ZA</t>
        </is>
      </c>
      <c r="K422" s="42" t="inlineStr">
        <is>
          <t>In-Market</t>
        </is>
      </c>
      <c r="L422" s="42" t="inlineStr">
        <is>
          <t>JAVAN_VID_15s_DCT_Tech_v1</t>
        </is>
      </c>
      <c r="M422" s="42" t="inlineStr">
        <is>
          <t>Video 4:5</t>
        </is>
      </c>
      <c r="N422" s="42" t="inlineStr">
        <is>
          <t>1.5T DCT. Explained in 15 seconds.</t>
        </is>
      </c>
      <c r="O422" s="42" t="inlineStr">
        <is>
          <t>Auction - Lowest Cost</t>
        </is>
      </c>
      <c r="P422" s="42" t="inlineStr">
        <is>
          <t>Offsite Conversions</t>
        </is>
      </c>
      <c r="Q422" s="42" t="inlineStr">
        <is>
          <t>https://www.lepas-sa.co.za/offers/javan</t>
        </is>
      </c>
      <c r="R422" s="115" t="n">
        <v>169.11</v>
      </c>
      <c r="S422" s="116" t="n">
        <v>2212</v>
      </c>
      <c r="T422" s="116" t="n">
        <v>1369</v>
      </c>
      <c r="U422" s="117">
        <f>IFERROR(S422/T422,"")</f>
        <v/>
      </c>
      <c r="V422" s="116" t="n">
        <v>31</v>
      </c>
      <c r="W422" s="116" t="n">
        <v>23</v>
      </c>
      <c r="X422" s="118">
        <f>IFERROR(W422/S422,"")</f>
        <v/>
      </c>
      <c r="Y422" s="115">
        <f>IFERROR(R422/W422,"")</f>
        <v/>
      </c>
      <c r="Z422" s="115">
        <f>IFERROR(R422/S422*1000,"")</f>
        <v/>
      </c>
      <c r="AA422" s="116" t="n">
        <v>21</v>
      </c>
      <c r="AB422" s="47">
        <f>IFERROR(AA422/W422,"")</f>
        <v/>
      </c>
      <c r="AC422" s="116" t="n">
        <v>859</v>
      </c>
      <c r="AD422" s="116" t="n">
        <v>410</v>
      </c>
      <c r="AE422" s="116" t="n">
        <v>383</v>
      </c>
      <c r="AF422" s="116" t="n">
        <v>210</v>
      </c>
      <c r="AG422" s="116" t="n">
        <v>139</v>
      </c>
      <c r="AH422" s="116" t="n">
        <v>92</v>
      </c>
      <c r="AI422" s="47">
        <f>IFERROR(AC422/S422,"")</f>
        <v/>
      </c>
      <c r="AJ422" s="47">
        <f>IFERROR(AH422/S422,"")</f>
        <v/>
      </c>
      <c r="AK422" s="116" t="n">
        <v>70</v>
      </c>
      <c r="AL422" s="116" t="n">
        <v>0</v>
      </c>
      <c r="AM422" s="118">
        <f>IFERROR(AL422/AA422,"")</f>
        <v/>
      </c>
      <c r="AN422" s="119">
        <f>IFERROR(R422/AL422,"")</f>
        <v/>
      </c>
      <c r="AO422" s="116" t="n">
        <v>0</v>
      </c>
      <c r="AP422" s="47">
        <f>IFERROR(AO422/AL422,"")</f>
        <v/>
      </c>
      <c r="AQ422" s="119">
        <f>IFERROR(R422/AO422,"")</f>
        <v/>
      </c>
      <c r="AR422" s="116" t="n">
        <v>0</v>
      </c>
      <c r="AS422" s="116" t="n">
        <v>0</v>
      </c>
      <c r="AT422" s="116">
        <f>AL422+AR422</f>
        <v/>
      </c>
      <c r="AU422" s="119">
        <f>IFERROR(AO422*Assumptions!$C$26*Assumptions!$C$27*INDEX(Assumptions!$C$18:$C$21,MATCH(H422,Assumptions!$B$18:$B$21,0)),0)</f>
        <v/>
      </c>
    </row>
    <row r="423">
      <c r="A423" s="114" t="n">
        <v>46251</v>
      </c>
      <c r="B423" s="42" t="inlineStr">
        <is>
          <t>Wk 34</t>
        </is>
      </c>
      <c r="C423" s="42" t="inlineStr">
        <is>
          <t>Mon</t>
        </is>
      </c>
      <c r="D423" s="42" t="inlineStr">
        <is>
          <t>Meta (FB/IG)</t>
        </is>
      </c>
      <c r="E423" s="42" t="inlineStr">
        <is>
          <t>Facebook + Instagram</t>
        </is>
      </c>
      <c r="F423" s="42" t="inlineStr">
        <is>
          <t>LEP_ZA_AUG26_META_TD_JAVAN_CONV</t>
        </is>
      </c>
      <c r="G423" s="42" t="inlineStr">
        <is>
          <t>Leads - Website Conversions</t>
        </is>
      </c>
      <c r="H423" s="42" t="inlineStr">
        <is>
          <t>JAVAN</t>
        </is>
      </c>
      <c r="I423" s="42" t="inlineStr">
        <is>
          <t>10% Deposit</t>
        </is>
      </c>
      <c r="J423" s="42" t="inlineStr">
        <is>
          <t>MET_JAVAN_INMKT_SUV_ZA</t>
        </is>
      </c>
      <c r="K423" s="42" t="inlineStr">
        <is>
          <t>In-Market</t>
        </is>
      </c>
      <c r="L423" s="42" t="inlineStr">
        <is>
          <t>JAVAN_VID_15s_DCT_Tech_v1</t>
        </is>
      </c>
      <c r="M423" s="42" t="inlineStr">
        <is>
          <t>Video 4:5</t>
        </is>
      </c>
      <c r="N423" s="42" t="inlineStr">
        <is>
          <t>1.5T DCT. Explained in 15 seconds.</t>
        </is>
      </c>
      <c r="O423" s="42" t="inlineStr">
        <is>
          <t>Auction - Lowest Cost</t>
        </is>
      </c>
      <c r="P423" s="42" t="inlineStr">
        <is>
          <t>Offsite Conversions</t>
        </is>
      </c>
      <c r="Q423" s="42" t="inlineStr">
        <is>
          <t>https://www.lepas-sa.co.za/offers/javan</t>
        </is>
      </c>
      <c r="R423" s="115" t="n">
        <v>196.56</v>
      </c>
      <c r="S423" s="116" t="n">
        <v>2705</v>
      </c>
      <c r="T423" s="116" t="n">
        <v>1595</v>
      </c>
      <c r="U423" s="117">
        <f>IFERROR(S423/T423,"")</f>
        <v/>
      </c>
      <c r="V423" s="116" t="n">
        <v>30</v>
      </c>
      <c r="W423" s="116" t="n">
        <v>23</v>
      </c>
      <c r="X423" s="118">
        <f>IFERROR(W423/S423,"")</f>
        <v/>
      </c>
      <c r="Y423" s="115">
        <f>IFERROR(R423/W423,"")</f>
        <v/>
      </c>
      <c r="Z423" s="115">
        <f>IFERROR(R423/S423*1000,"")</f>
        <v/>
      </c>
      <c r="AA423" s="116" t="n">
        <v>20</v>
      </c>
      <c r="AB423" s="47">
        <f>IFERROR(AA423/W423,"")</f>
        <v/>
      </c>
      <c r="AC423" s="116" t="n">
        <v>1063</v>
      </c>
      <c r="AD423" s="116" t="n">
        <v>648</v>
      </c>
      <c r="AE423" s="116" t="n">
        <v>566</v>
      </c>
      <c r="AF423" s="116" t="n">
        <v>313</v>
      </c>
      <c r="AG423" s="116" t="n">
        <v>245</v>
      </c>
      <c r="AH423" s="116" t="n">
        <v>164</v>
      </c>
      <c r="AI423" s="47">
        <f>IFERROR(AC423/S423,"")</f>
        <v/>
      </c>
      <c r="AJ423" s="47">
        <f>IFERROR(AH423/S423,"")</f>
        <v/>
      </c>
      <c r="AK423" s="116" t="n">
        <v>36</v>
      </c>
      <c r="AL423" s="116" t="n">
        <v>1</v>
      </c>
      <c r="AM423" s="118">
        <f>IFERROR(AL423/AA423,"")</f>
        <v/>
      </c>
      <c r="AN423" s="119">
        <f>IFERROR(R423/AL423,"")</f>
        <v/>
      </c>
      <c r="AO423" s="116" t="n">
        <v>1</v>
      </c>
      <c r="AP423" s="47">
        <f>IFERROR(AO423/AL423,"")</f>
        <v/>
      </c>
      <c r="AQ423" s="119">
        <f>IFERROR(R423/AO423,"")</f>
        <v/>
      </c>
      <c r="AR423" s="116" t="n">
        <v>0</v>
      </c>
      <c r="AS423" s="116" t="n">
        <v>0</v>
      </c>
      <c r="AT423" s="116">
        <f>AL423+AR423</f>
        <v/>
      </c>
      <c r="AU423" s="119">
        <f>IFERROR(AO423*Assumptions!$C$26*Assumptions!$C$27*INDEX(Assumptions!$C$18:$C$21,MATCH(H423,Assumptions!$B$18:$B$21,0)),0)</f>
        <v/>
      </c>
    </row>
    <row r="424">
      <c r="A424" s="114" t="n">
        <v>46252</v>
      </c>
      <c r="B424" s="42" t="inlineStr">
        <is>
          <t>Wk 34</t>
        </is>
      </c>
      <c r="C424" s="42" t="inlineStr">
        <is>
          <t>Tue</t>
        </is>
      </c>
      <c r="D424" s="42" t="inlineStr">
        <is>
          <t>Meta (FB/IG)</t>
        </is>
      </c>
      <c r="E424" s="42" t="inlineStr">
        <is>
          <t>Facebook + Instagram</t>
        </is>
      </c>
      <c r="F424" s="42" t="inlineStr">
        <is>
          <t>LEP_ZA_AUG26_META_TD_JAVAN_CONV</t>
        </is>
      </c>
      <c r="G424" s="42" t="inlineStr">
        <is>
          <t>Leads - Website Conversions</t>
        </is>
      </c>
      <c r="H424" s="42" t="inlineStr">
        <is>
          <t>JAVAN</t>
        </is>
      </c>
      <c r="I424" s="42" t="inlineStr">
        <is>
          <t>10% Deposit</t>
        </is>
      </c>
      <c r="J424" s="42" t="inlineStr">
        <is>
          <t>MET_JAVAN_INMKT_SUV_ZA</t>
        </is>
      </c>
      <c r="K424" s="42" t="inlineStr">
        <is>
          <t>In-Market</t>
        </is>
      </c>
      <c r="L424" s="42" t="inlineStr">
        <is>
          <t>JAVAN_VID_15s_DCT_Tech_v1</t>
        </is>
      </c>
      <c r="M424" s="42" t="inlineStr">
        <is>
          <t>Video 4:5</t>
        </is>
      </c>
      <c r="N424" s="42" t="inlineStr">
        <is>
          <t>1.5T DCT. Explained in 15 seconds.</t>
        </is>
      </c>
      <c r="O424" s="42" t="inlineStr">
        <is>
          <t>Auction - Lowest Cost</t>
        </is>
      </c>
      <c r="P424" s="42" t="inlineStr">
        <is>
          <t>Offsite Conversions</t>
        </is>
      </c>
      <c r="Q424" s="42" t="inlineStr">
        <is>
          <t>https://www.lepas-sa.co.za/offers/javan</t>
        </is>
      </c>
      <c r="R424" s="115" t="n">
        <v>198.29</v>
      </c>
      <c r="S424" s="116" t="n">
        <v>2147</v>
      </c>
      <c r="T424" s="116" t="n">
        <v>1208</v>
      </c>
      <c r="U424" s="117">
        <f>IFERROR(S424/T424,"")</f>
        <v/>
      </c>
      <c r="V424" s="116" t="n">
        <v>22</v>
      </c>
      <c r="W424" s="116" t="n">
        <v>16</v>
      </c>
      <c r="X424" s="118">
        <f>IFERROR(W424/S424,"")</f>
        <v/>
      </c>
      <c r="Y424" s="115">
        <f>IFERROR(R424/W424,"")</f>
        <v/>
      </c>
      <c r="Z424" s="115">
        <f>IFERROR(R424/S424*1000,"")</f>
        <v/>
      </c>
      <c r="AA424" s="116" t="n">
        <v>13</v>
      </c>
      <c r="AB424" s="47">
        <f>IFERROR(AA424/W424,"")</f>
        <v/>
      </c>
      <c r="AC424" s="116" t="n">
        <v>713</v>
      </c>
      <c r="AD424" s="116" t="n">
        <v>381</v>
      </c>
      <c r="AE424" s="116" t="n">
        <v>306</v>
      </c>
      <c r="AF424" s="116" t="n">
        <v>181</v>
      </c>
      <c r="AG424" s="116" t="n">
        <v>128</v>
      </c>
      <c r="AH424" s="116" t="n">
        <v>87</v>
      </c>
      <c r="AI424" s="47">
        <f>IFERROR(AC424/S424,"")</f>
        <v/>
      </c>
      <c r="AJ424" s="47">
        <f>IFERROR(AH424/S424,"")</f>
        <v/>
      </c>
      <c r="AK424" s="116" t="n">
        <v>50</v>
      </c>
      <c r="AL424" s="116" t="n">
        <v>0</v>
      </c>
      <c r="AM424" s="118">
        <f>IFERROR(AL424/AA424,"")</f>
        <v/>
      </c>
      <c r="AN424" s="119">
        <f>IFERROR(R424/AL424,"")</f>
        <v/>
      </c>
      <c r="AO424" s="116" t="n">
        <v>0</v>
      </c>
      <c r="AP424" s="47">
        <f>IFERROR(AO424/AL424,"")</f>
        <v/>
      </c>
      <c r="AQ424" s="119">
        <f>IFERROR(R424/AO424,"")</f>
        <v/>
      </c>
      <c r="AR424" s="116" t="n">
        <v>0</v>
      </c>
      <c r="AS424" s="116" t="n">
        <v>0</v>
      </c>
      <c r="AT424" s="116">
        <f>AL424+AR424</f>
        <v/>
      </c>
      <c r="AU424" s="119">
        <f>IFERROR(AO424*Assumptions!$C$26*Assumptions!$C$27*INDEX(Assumptions!$C$18:$C$21,MATCH(H424,Assumptions!$B$18:$B$21,0)),0)</f>
        <v/>
      </c>
    </row>
    <row r="425">
      <c r="A425" s="114" t="n">
        <v>46253</v>
      </c>
      <c r="B425" s="42" t="inlineStr">
        <is>
          <t>Wk 34</t>
        </is>
      </c>
      <c r="C425" s="42" t="inlineStr">
        <is>
          <t>Wed</t>
        </is>
      </c>
      <c r="D425" s="42" t="inlineStr">
        <is>
          <t>Meta (FB/IG)</t>
        </is>
      </c>
      <c r="E425" s="42" t="inlineStr">
        <is>
          <t>Facebook + Instagram</t>
        </is>
      </c>
      <c r="F425" s="42" t="inlineStr">
        <is>
          <t>LEP_ZA_AUG26_META_TD_JAVAN_CONV</t>
        </is>
      </c>
      <c r="G425" s="42" t="inlineStr">
        <is>
          <t>Leads - Website Conversions</t>
        </is>
      </c>
      <c r="H425" s="42" t="inlineStr">
        <is>
          <t>JAVAN</t>
        </is>
      </c>
      <c r="I425" s="42" t="inlineStr">
        <is>
          <t>10% Deposit</t>
        </is>
      </c>
      <c r="J425" s="42" t="inlineStr">
        <is>
          <t>MET_JAVAN_INMKT_SUV_ZA</t>
        </is>
      </c>
      <c r="K425" s="42" t="inlineStr">
        <is>
          <t>In-Market</t>
        </is>
      </c>
      <c r="L425" s="42" t="inlineStr">
        <is>
          <t>JAVAN_VID_15s_DCT_Tech_v1</t>
        </is>
      </c>
      <c r="M425" s="42" t="inlineStr">
        <is>
          <t>Video 4:5</t>
        </is>
      </c>
      <c r="N425" s="42" t="inlineStr">
        <is>
          <t>1.5T DCT. Explained in 15 seconds.</t>
        </is>
      </c>
      <c r="O425" s="42" t="inlineStr">
        <is>
          <t>Auction - Lowest Cost</t>
        </is>
      </c>
      <c r="P425" s="42" t="inlineStr">
        <is>
          <t>Offsite Conversions</t>
        </is>
      </c>
      <c r="Q425" s="42" t="inlineStr">
        <is>
          <t>https://www.lepas-sa.co.za/offers/javan</t>
        </is>
      </c>
      <c r="R425" s="115" t="n">
        <v>185.6</v>
      </c>
      <c r="S425" s="116" t="n">
        <v>2320</v>
      </c>
      <c r="T425" s="116" t="n">
        <v>1356</v>
      </c>
      <c r="U425" s="117">
        <f>IFERROR(S425/T425,"")</f>
        <v/>
      </c>
      <c r="V425" s="116" t="n">
        <v>48</v>
      </c>
      <c r="W425" s="116" t="n">
        <v>35</v>
      </c>
      <c r="X425" s="118">
        <f>IFERROR(W425/S425,"")</f>
        <v/>
      </c>
      <c r="Y425" s="115">
        <f>IFERROR(R425/W425,"")</f>
        <v/>
      </c>
      <c r="Z425" s="115">
        <f>IFERROR(R425/S425*1000,"")</f>
        <v/>
      </c>
      <c r="AA425" s="116" t="n">
        <v>32</v>
      </c>
      <c r="AB425" s="47">
        <f>IFERROR(AA425/W425,"")</f>
        <v/>
      </c>
      <c r="AC425" s="116" t="n">
        <v>778</v>
      </c>
      <c r="AD425" s="116" t="n">
        <v>425</v>
      </c>
      <c r="AE425" s="116" t="n">
        <v>316</v>
      </c>
      <c r="AF425" s="116" t="n">
        <v>222</v>
      </c>
      <c r="AG425" s="116" t="n">
        <v>165</v>
      </c>
      <c r="AH425" s="116" t="n">
        <v>107</v>
      </c>
      <c r="AI425" s="47">
        <f>IFERROR(AC425/S425,"")</f>
        <v/>
      </c>
      <c r="AJ425" s="47">
        <f>IFERROR(AH425/S425,"")</f>
        <v/>
      </c>
      <c r="AK425" s="116" t="n">
        <v>32</v>
      </c>
      <c r="AL425" s="116" t="n">
        <v>1</v>
      </c>
      <c r="AM425" s="118">
        <f>IFERROR(AL425/AA425,"")</f>
        <v/>
      </c>
      <c r="AN425" s="119">
        <f>IFERROR(R425/AL425,"")</f>
        <v/>
      </c>
      <c r="AO425" s="116" t="n">
        <v>1</v>
      </c>
      <c r="AP425" s="47">
        <f>IFERROR(AO425/AL425,"")</f>
        <v/>
      </c>
      <c r="AQ425" s="119">
        <f>IFERROR(R425/AO425,"")</f>
        <v/>
      </c>
      <c r="AR425" s="116" t="n">
        <v>0</v>
      </c>
      <c r="AS425" s="116" t="n">
        <v>0</v>
      </c>
      <c r="AT425" s="116">
        <f>AL425+AR425</f>
        <v/>
      </c>
      <c r="AU425" s="119">
        <f>IFERROR(AO425*Assumptions!$C$26*Assumptions!$C$27*INDEX(Assumptions!$C$18:$C$21,MATCH(H425,Assumptions!$B$18:$B$21,0)),0)</f>
        <v/>
      </c>
    </row>
    <row r="426">
      <c r="A426" s="114" t="n">
        <v>46254</v>
      </c>
      <c r="B426" s="42" t="inlineStr">
        <is>
          <t>Wk 34</t>
        </is>
      </c>
      <c r="C426" s="42" t="inlineStr">
        <is>
          <t>Thu</t>
        </is>
      </c>
      <c r="D426" s="42" t="inlineStr">
        <is>
          <t>Meta (FB/IG)</t>
        </is>
      </c>
      <c r="E426" s="42" t="inlineStr">
        <is>
          <t>Facebook + Instagram</t>
        </is>
      </c>
      <c r="F426" s="42" t="inlineStr">
        <is>
          <t>LEP_ZA_AUG26_META_TD_JAVAN_CONV</t>
        </is>
      </c>
      <c r="G426" s="42" t="inlineStr">
        <is>
          <t>Leads - Website Conversions</t>
        </is>
      </c>
      <c r="H426" s="42" t="inlineStr">
        <is>
          <t>JAVAN</t>
        </is>
      </c>
      <c r="I426" s="42" t="inlineStr">
        <is>
          <t>10% Deposit</t>
        </is>
      </c>
      <c r="J426" s="42" t="inlineStr">
        <is>
          <t>MET_JAVAN_INMKT_SUV_ZA</t>
        </is>
      </c>
      <c r="K426" s="42" t="inlineStr">
        <is>
          <t>In-Market</t>
        </is>
      </c>
      <c r="L426" s="42" t="inlineStr">
        <is>
          <t>JAVAN_VID_15s_DCT_Tech_v1</t>
        </is>
      </c>
      <c r="M426" s="42" t="inlineStr">
        <is>
          <t>Video 4:5</t>
        </is>
      </c>
      <c r="N426" s="42" t="inlineStr">
        <is>
          <t>1.5T DCT. Explained in 15 seconds.</t>
        </is>
      </c>
      <c r="O426" s="42" t="inlineStr">
        <is>
          <t>Auction - Lowest Cost</t>
        </is>
      </c>
      <c r="P426" s="42" t="inlineStr">
        <is>
          <t>Offsite Conversions</t>
        </is>
      </c>
      <c r="Q426" s="42" t="inlineStr">
        <is>
          <t>https://www.lepas-sa.co.za/offers/javan</t>
        </is>
      </c>
      <c r="R426" s="115" t="n">
        <v>195.51</v>
      </c>
      <c r="S426" s="116" t="n">
        <v>1815</v>
      </c>
      <c r="T426" s="116" t="n">
        <v>1297</v>
      </c>
      <c r="U426" s="117">
        <f>IFERROR(S426/T426,"")</f>
        <v/>
      </c>
      <c r="V426" s="116" t="n">
        <v>41</v>
      </c>
      <c r="W426" s="116" t="n">
        <v>31</v>
      </c>
      <c r="X426" s="118">
        <f>IFERROR(W426/S426,"")</f>
        <v/>
      </c>
      <c r="Y426" s="115">
        <f>IFERROR(R426/W426,"")</f>
        <v/>
      </c>
      <c r="Z426" s="115">
        <f>IFERROR(R426/S426*1000,"")</f>
        <v/>
      </c>
      <c r="AA426" s="116" t="n">
        <v>26</v>
      </c>
      <c r="AB426" s="47">
        <f>IFERROR(AA426/W426,"")</f>
        <v/>
      </c>
      <c r="AC426" s="116" t="n">
        <v>618</v>
      </c>
      <c r="AD426" s="116" t="n">
        <v>295</v>
      </c>
      <c r="AE426" s="116" t="n">
        <v>331</v>
      </c>
      <c r="AF426" s="116" t="n">
        <v>226</v>
      </c>
      <c r="AG426" s="116" t="n">
        <v>175</v>
      </c>
      <c r="AH426" s="116" t="n">
        <v>109</v>
      </c>
      <c r="AI426" s="47">
        <f>IFERROR(AC426/S426,"")</f>
        <v/>
      </c>
      <c r="AJ426" s="47">
        <f>IFERROR(AH426/S426,"")</f>
        <v/>
      </c>
      <c r="AK426" s="116" t="n">
        <v>36</v>
      </c>
      <c r="AL426" s="116" t="n">
        <v>1</v>
      </c>
      <c r="AM426" s="118">
        <f>IFERROR(AL426/AA426,"")</f>
        <v/>
      </c>
      <c r="AN426" s="119">
        <f>IFERROR(R426/AL426,"")</f>
        <v/>
      </c>
      <c r="AO426" s="116" t="n">
        <v>0</v>
      </c>
      <c r="AP426" s="47">
        <f>IFERROR(AO426/AL426,"")</f>
        <v/>
      </c>
      <c r="AQ426" s="119">
        <f>IFERROR(R426/AO426,"")</f>
        <v/>
      </c>
      <c r="AR426" s="116" t="n">
        <v>0</v>
      </c>
      <c r="AS426" s="116" t="n">
        <v>0</v>
      </c>
      <c r="AT426" s="116">
        <f>AL426+AR426</f>
        <v/>
      </c>
      <c r="AU426" s="119">
        <f>IFERROR(AO426*Assumptions!$C$26*Assumptions!$C$27*INDEX(Assumptions!$C$18:$C$21,MATCH(H426,Assumptions!$B$18:$B$21,0)),0)</f>
        <v/>
      </c>
    </row>
    <row r="427">
      <c r="A427" s="114" t="n">
        <v>46255</v>
      </c>
      <c r="B427" s="42" t="inlineStr">
        <is>
          <t>Wk 34</t>
        </is>
      </c>
      <c r="C427" s="42" t="inlineStr">
        <is>
          <t>Fri</t>
        </is>
      </c>
      <c r="D427" s="42" t="inlineStr">
        <is>
          <t>Meta (FB/IG)</t>
        </is>
      </c>
      <c r="E427" s="42" t="inlineStr">
        <is>
          <t>Facebook + Instagram</t>
        </is>
      </c>
      <c r="F427" s="42" t="inlineStr">
        <is>
          <t>LEP_ZA_AUG26_META_TD_JAVAN_CONV</t>
        </is>
      </c>
      <c r="G427" s="42" t="inlineStr">
        <is>
          <t>Leads - Website Conversions</t>
        </is>
      </c>
      <c r="H427" s="42" t="inlineStr">
        <is>
          <t>JAVAN</t>
        </is>
      </c>
      <c r="I427" s="42" t="inlineStr">
        <is>
          <t>10% Deposit</t>
        </is>
      </c>
      <c r="J427" s="42" t="inlineStr">
        <is>
          <t>MET_JAVAN_INMKT_SUV_ZA</t>
        </is>
      </c>
      <c r="K427" s="42" t="inlineStr">
        <is>
          <t>In-Market</t>
        </is>
      </c>
      <c r="L427" s="42" t="inlineStr">
        <is>
          <t>JAVAN_VID_15s_DCT_Tech_v1</t>
        </is>
      </c>
      <c r="M427" s="42" t="inlineStr">
        <is>
          <t>Video 4:5</t>
        </is>
      </c>
      <c r="N427" s="42" t="inlineStr">
        <is>
          <t>1.5T DCT. Explained in 15 seconds.</t>
        </is>
      </c>
      <c r="O427" s="42" t="inlineStr">
        <is>
          <t>Auction - Lowest Cost</t>
        </is>
      </c>
      <c r="P427" s="42" t="inlineStr">
        <is>
          <t>Offsite Conversions</t>
        </is>
      </c>
      <c r="Q427" s="42" t="inlineStr">
        <is>
          <t>https://www.lepas-sa.co.za/offers/javan</t>
        </is>
      </c>
      <c r="R427" s="115" t="n">
        <v>241.88</v>
      </c>
      <c r="S427" s="116" t="n">
        <v>3036</v>
      </c>
      <c r="T427" s="116" t="n">
        <v>1541</v>
      </c>
      <c r="U427" s="117">
        <f>IFERROR(S427/T427,"")</f>
        <v/>
      </c>
      <c r="V427" s="116" t="n">
        <v>50</v>
      </c>
      <c r="W427" s="116" t="n">
        <v>36</v>
      </c>
      <c r="X427" s="118">
        <f>IFERROR(W427/S427,"")</f>
        <v/>
      </c>
      <c r="Y427" s="115">
        <f>IFERROR(R427/W427,"")</f>
        <v/>
      </c>
      <c r="Z427" s="115">
        <f>IFERROR(R427/S427*1000,"")</f>
        <v/>
      </c>
      <c r="AA427" s="116" t="n">
        <v>30</v>
      </c>
      <c r="AB427" s="47">
        <f>IFERROR(AA427/W427,"")</f>
        <v/>
      </c>
      <c r="AC427" s="116" t="n">
        <v>1124</v>
      </c>
      <c r="AD427" s="116" t="n">
        <v>665</v>
      </c>
      <c r="AE427" s="116" t="n">
        <v>557</v>
      </c>
      <c r="AF427" s="116" t="n">
        <v>323</v>
      </c>
      <c r="AG427" s="116" t="n">
        <v>247</v>
      </c>
      <c r="AH427" s="116" t="n">
        <v>163</v>
      </c>
      <c r="AI427" s="47">
        <f>IFERROR(AC427/S427,"")</f>
        <v/>
      </c>
      <c r="AJ427" s="47">
        <f>IFERROR(AH427/S427,"")</f>
        <v/>
      </c>
      <c r="AK427" s="116" t="n">
        <v>106</v>
      </c>
      <c r="AL427" s="116" t="n">
        <v>1</v>
      </c>
      <c r="AM427" s="118">
        <f>IFERROR(AL427/AA427,"")</f>
        <v/>
      </c>
      <c r="AN427" s="119">
        <f>IFERROR(R427/AL427,"")</f>
        <v/>
      </c>
      <c r="AO427" s="116" t="n">
        <v>0</v>
      </c>
      <c r="AP427" s="47">
        <f>IFERROR(AO427/AL427,"")</f>
        <v/>
      </c>
      <c r="AQ427" s="119">
        <f>IFERROR(R427/AO427,"")</f>
        <v/>
      </c>
      <c r="AR427" s="116" t="n">
        <v>1</v>
      </c>
      <c r="AS427" s="116" t="n">
        <v>1</v>
      </c>
      <c r="AT427" s="116">
        <f>AL427+AR427</f>
        <v/>
      </c>
      <c r="AU427" s="119">
        <f>IFERROR(AO427*Assumptions!$C$26*Assumptions!$C$27*INDEX(Assumptions!$C$18:$C$21,MATCH(H427,Assumptions!$B$18:$B$21,0)),0)</f>
        <v/>
      </c>
    </row>
    <row r="428">
      <c r="A428" s="114" t="n">
        <v>46256</v>
      </c>
      <c r="B428" s="42" t="inlineStr">
        <is>
          <t>Wk 34</t>
        </is>
      </c>
      <c r="C428" s="42" t="inlineStr">
        <is>
          <t>Sat</t>
        </is>
      </c>
      <c r="D428" s="42" t="inlineStr">
        <is>
          <t>Meta (FB/IG)</t>
        </is>
      </c>
      <c r="E428" s="42" t="inlineStr">
        <is>
          <t>Facebook + Instagram</t>
        </is>
      </c>
      <c r="F428" s="42" t="inlineStr">
        <is>
          <t>LEP_ZA_AUG26_META_TD_JAVAN_CONV</t>
        </is>
      </c>
      <c r="G428" s="42" t="inlineStr">
        <is>
          <t>Leads - Website Conversions</t>
        </is>
      </c>
      <c r="H428" s="42" t="inlineStr">
        <is>
          <t>JAVAN</t>
        </is>
      </c>
      <c r="I428" s="42" t="inlineStr">
        <is>
          <t>10% Deposit</t>
        </is>
      </c>
      <c r="J428" s="42" t="inlineStr">
        <is>
          <t>MET_JAVAN_INMKT_SUV_ZA</t>
        </is>
      </c>
      <c r="K428" s="42" t="inlineStr">
        <is>
          <t>In-Market</t>
        </is>
      </c>
      <c r="L428" s="42" t="inlineStr">
        <is>
          <t>JAVAN_VID_15s_DCT_Tech_v1</t>
        </is>
      </c>
      <c r="M428" s="42" t="inlineStr">
        <is>
          <t>Video 4:5</t>
        </is>
      </c>
      <c r="N428" s="42" t="inlineStr">
        <is>
          <t>1.5T DCT. Explained in 15 seconds.</t>
        </is>
      </c>
      <c r="O428" s="42" t="inlineStr">
        <is>
          <t>Auction - Lowest Cost</t>
        </is>
      </c>
      <c r="P428" s="42" t="inlineStr">
        <is>
          <t>Offsite Conversions</t>
        </is>
      </c>
      <c r="Q428" s="42" t="inlineStr">
        <is>
          <t>https://www.lepas-sa.co.za/offers/javan</t>
        </is>
      </c>
      <c r="R428" s="115" t="n">
        <v>216.48</v>
      </c>
      <c r="S428" s="116" t="n">
        <v>3156</v>
      </c>
      <c r="T428" s="116" t="n">
        <v>1900</v>
      </c>
      <c r="U428" s="117">
        <f>IFERROR(S428/T428,"")</f>
        <v/>
      </c>
      <c r="V428" s="116" t="n">
        <v>39</v>
      </c>
      <c r="W428" s="116" t="n">
        <v>33</v>
      </c>
      <c r="X428" s="118">
        <f>IFERROR(W428/S428,"")</f>
        <v/>
      </c>
      <c r="Y428" s="115">
        <f>IFERROR(R428/W428,"")</f>
        <v/>
      </c>
      <c r="Z428" s="115">
        <f>IFERROR(R428/S428*1000,"")</f>
        <v/>
      </c>
      <c r="AA428" s="116" t="n">
        <v>28</v>
      </c>
      <c r="AB428" s="47">
        <f>IFERROR(AA428/W428,"")</f>
        <v/>
      </c>
      <c r="AC428" s="116" t="n">
        <v>756</v>
      </c>
      <c r="AD428" s="116" t="n">
        <v>399</v>
      </c>
      <c r="AE428" s="116" t="n">
        <v>328</v>
      </c>
      <c r="AF428" s="116" t="n">
        <v>225</v>
      </c>
      <c r="AG428" s="116" t="n">
        <v>146</v>
      </c>
      <c r="AH428" s="116" t="n">
        <v>96</v>
      </c>
      <c r="AI428" s="47">
        <f>IFERROR(AC428/S428,"")</f>
        <v/>
      </c>
      <c r="AJ428" s="47">
        <f>IFERROR(AH428/S428,"")</f>
        <v/>
      </c>
      <c r="AK428" s="116" t="n">
        <v>51</v>
      </c>
      <c r="AL428" s="116" t="n">
        <v>0</v>
      </c>
      <c r="AM428" s="118">
        <f>IFERROR(AL428/AA428,"")</f>
        <v/>
      </c>
      <c r="AN428" s="119">
        <f>IFERROR(R428/AL428,"")</f>
        <v/>
      </c>
      <c r="AO428" s="116" t="n">
        <v>0</v>
      </c>
      <c r="AP428" s="47">
        <f>IFERROR(AO428/AL428,"")</f>
        <v/>
      </c>
      <c r="AQ428" s="119">
        <f>IFERROR(R428/AO428,"")</f>
        <v/>
      </c>
      <c r="AR428" s="116" t="n">
        <v>0</v>
      </c>
      <c r="AS428" s="116" t="n">
        <v>0</v>
      </c>
      <c r="AT428" s="116">
        <f>AL428+AR428</f>
        <v/>
      </c>
      <c r="AU428" s="119">
        <f>IFERROR(AO428*Assumptions!$C$26*Assumptions!$C$27*INDEX(Assumptions!$C$18:$C$21,MATCH(H428,Assumptions!$B$18:$B$21,0)),0)</f>
        <v/>
      </c>
    </row>
    <row r="429">
      <c r="A429" s="114" t="n">
        <v>46257</v>
      </c>
      <c r="B429" s="42" t="inlineStr">
        <is>
          <t>Wk 34</t>
        </is>
      </c>
      <c r="C429" s="42" t="inlineStr">
        <is>
          <t>Sun</t>
        </is>
      </c>
      <c r="D429" s="42" t="inlineStr">
        <is>
          <t>Meta (FB/IG)</t>
        </is>
      </c>
      <c r="E429" s="42" t="inlineStr">
        <is>
          <t>Facebook + Instagram</t>
        </is>
      </c>
      <c r="F429" s="42" t="inlineStr">
        <is>
          <t>LEP_ZA_AUG26_META_TD_JAVAN_CONV</t>
        </is>
      </c>
      <c r="G429" s="42" t="inlineStr">
        <is>
          <t>Leads - Website Conversions</t>
        </is>
      </c>
      <c r="H429" s="42" t="inlineStr">
        <is>
          <t>JAVAN</t>
        </is>
      </c>
      <c r="I429" s="42" t="inlineStr">
        <is>
          <t>10% Deposit</t>
        </is>
      </c>
      <c r="J429" s="42" t="inlineStr">
        <is>
          <t>MET_JAVAN_INMKT_SUV_ZA</t>
        </is>
      </c>
      <c r="K429" s="42" t="inlineStr">
        <is>
          <t>In-Market</t>
        </is>
      </c>
      <c r="L429" s="42" t="inlineStr">
        <is>
          <t>JAVAN_VID_15s_DCT_Tech_v1</t>
        </is>
      </c>
      <c r="M429" s="42" t="inlineStr">
        <is>
          <t>Video 4:5</t>
        </is>
      </c>
      <c r="N429" s="42" t="inlineStr">
        <is>
          <t>1.5T DCT. Explained in 15 seconds.</t>
        </is>
      </c>
      <c r="O429" s="42" t="inlineStr">
        <is>
          <t>Auction - Lowest Cost</t>
        </is>
      </c>
      <c r="P429" s="42" t="inlineStr">
        <is>
          <t>Offsite Conversions</t>
        </is>
      </c>
      <c r="Q429" s="42" t="inlineStr">
        <is>
          <t>https://www.lepas-sa.co.za/offers/javan</t>
        </is>
      </c>
      <c r="R429" s="115" t="n">
        <v>156.15</v>
      </c>
      <c r="S429" s="116" t="n">
        <v>2590</v>
      </c>
      <c r="T429" s="116" t="n">
        <v>1351</v>
      </c>
      <c r="U429" s="117">
        <f>IFERROR(S429/T429,"")</f>
        <v/>
      </c>
      <c r="V429" s="116" t="n">
        <v>42</v>
      </c>
      <c r="W429" s="116" t="n">
        <v>33</v>
      </c>
      <c r="X429" s="118">
        <f>IFERROR(W429/S429,"")</f>
        <v/>
      </c>
      <c r="Y429" s="115">
        <f>IFERROR(R429/W429,"")</f>
        <v/>
      </c>
      <c r="Z429" s="115">
        <f>IFERROR(R429/S429*1000,"")</f>
        <v/>
      </c>
      <c r="AA429" s="116" t="n">
        <v>28</v>
      </c>
      <c r="AB429" s="47">
        <f>IFERROR(AA429/W429,"")</f>
        <v/>
      </c>
      <c r="AC429" s="116" t="n">
        <v>657</v>
      </c>
      <c r="AD429" s="116" t="n">
        <v>407</v>
      </c>
      <c r="AE429" s="116" t="n">
        <v>276</v>
      </c>
      <c r="AF429" s="116" t="n">
        <v>165</v>
      </c>
      <c r="AG429" s="116" t="n">
        <v>119</v>
      </c>
      <c r="AH429" s="116" t="n">
        <v>70</v>
      </c>
      <c r="AI429" s="47">
        <f>IFERROR(AC429/S429,"")</f>
        <v/>
      </c>
      <c r="AJ429" s="47">
        <f>IFERROR(AH429/S429,"")</f>
        <v/>
      </c>
      <c r="AK429" s="116" t="n">
        <v>27</v>
      </c>
      <c r="AL429" s="116" t="n">
        <v>0</v>
      </c>
      <c r="AM429" s="118">
        <f>IFERROR(AL429/AA429,"")</f>
        <v/>
      </c>
      <c r="AN429" s="119">
        <f>IFERROR(R429/AL429,"")</f>
        <v/>
      </c>
      <c r="AO429" s="116" t="n">
        <v>0</v>
      </c>
      <c r="AP429" s="47">
        <f>IFERROR(AO429/AL429,"")</f>
        <v/>
      </c>
      <c r="AQ429" s="119">
        <f>IFERROR(R429/AO429,"")</f>
        <v/>
      </c>
      <c r="AR429" s="116" t="n">
        <v>0</v>
      </c>
      <c r="AS429" s="116" t="n">
        <v>0</v>
      </c>
      <c r="AT429" s="116">
        <f>AL429+AR429</f>
        <v/>
      </c>
      <c r="AU429" s="119">
        <f>IFERROR(AO429*Assumptions!$C$26*Assumptions!$C$27*INDEX(Assumptions!$C$18:$C$21,MATCH(H429,Assumptions!$B$18:$B$21,0)),0)</f>
        <v/>
      </c>
    </row>
    <row r="430">
      <c r="A430" s="114" t="n">
        <v>46258</v>
      </c>
      <c r="B430" s="42" t="inlineStr">
        <is>
          <t>Wk 35</t>
        </is>
      </c>
      <c r="C430" s="42" t="inlineStr">
        <is>
          <t>Mon</t>
        </is>
      </c>
      <c r="D430" s="42" t="inlineStr">
        <is>
          <t>Meta (FB/IG)</t>
        </is>
      </c>
      <c r="E430" s="42" t="inlineStr">
        <is>
          <t>Facebook + Instagram</t>
        </is>
      </c>
      <c r="F430" s="42" t="inlineStr">
        <is>
          <t>LEP_ZA_AUG26_META_TD_JAVAN_CONV</t>
        </is>
      </c>
      <c r="G430" s="42" t="inlineStr">
        <is>
          <t>Leads - Website Conversions</t>
        </is>
      </c>
      <c r="H430" s="42" t="inlineStr">
        <is>
          <t>JAVAN</t>
        </is>
      </c>
      <c r="I430" s="42" t="inlineStr">
        <is>
          <t>10% Deposit</t>
        </is>
      </c>
      <c r="J430" s="42" t="inlineStr">
        <is>
          <t>MET_JAVAN_INMKT_SUV_ZA</t>
        </is>
      </c>
      <c r="K430" s="42" t="inlineStr">
        <is>
          <t>In-Market</t>
        </is>
      </c>
      <c r="L430" s="42" t="inlineStr">
        <is>
          <t>JAVAN_VID_15s_DCT_Tech_v1</t>
        </is>
      </c>
      <c r="M430" s="42" t="inlineStr">
        <is>
          <t>Video 4:5</t>
        </is>
      </c>
      <c r="N430" s="42" t="inlineStr">
        <is>
          <t>1.5T DCT. Explained in 15 seconds.</t>
        </is>
      </c>
      <c r="O430" s="42" t="inlineStr">
        <is>
          <t>Auction - Lowest Cost</t>
        </is>
      </c>
      <c r="P430" s="42" t="inlineStr">
        <is>
          <t>Offsite Conversions</t>
        </is>
      </c>
      <c r="Q430" s="42" t="inlineStr">
        <is>
          <t>https://www.lepas-sa.co.za/offers/javan</t>
        </is>
      </c>
      <c r="R430" s="115" t="n">
        <v>168.9</v>
      </c>
      <c r="S430" s="116" t="n">
        <v>1949</v>
      </c>
      <c r="T430" s="116" t="n">
        <v>1004</v>
      </c>
      <c r="U430" s="117">
        <f>IFERROR(S430/T430,"")</f>
        <v/>
      </c>
      <c r="V430" s="116" t="n">
        <v>38</v>
      </c>
      <c r="W430" s="116" t="n">
        <v>31</v>
      </c>
      <c r="X430" s="118">
        <f>IFERROR(W430/S430,"")</f>
        <v/>
      </c>
      <c r="Y430" s="115">
        <f>IFERROR(R430/W430,"")</f>
        <v/>
      </c>
      <c r="Z430" s="115">
        <f>IFERROR(R430/S430*1000,"")</f>
        <v/>
      </c>
      <c r="AA430" s="116" t="n">
        <v>26</v>
      </c>
      <c r="AB430" s="47">
        <f>IFERROR(AA430/W430,"")</f>
        <v/>
      </c>
      <c r="AC430" s="116" t="n">
        <v>536</v>
      </c>
      <c r="AD430" s="116" t="n">
        <v>287</v>
      </c>
      <c r="AE430" s="116" t="n">
        <v>226</v>
      </c>
      <c r="AF430" s="116" t="n">
        <v>133</v>
      </c>
      <c r="AG430" s="116" t="n">
        <v>94</v>
      </c>
      <c r="AH430" s="116" t="n">
        <v>56</v>
      </c>
      <c r="AI430" s="47">
        <f>IFERROR(AC430/S430,"")</f>
        <v/>
      </c>
      <c r="AJ430" s="47">
        <f>IFERROR(AH430/S430,"")</f>
        <v/>
      </c>
      <c r="AK430" s="116" t="n">
        <v>28</v>
      </c>
      <c r="AL430" s="116" t="n">
        <v>0</v>
      </c>
      <c r="AM430" s="118">
        <f>IFERROR(AL430/AA430,"")</f>
        <v/>
      </c>
      <c r="AN430" s="119">
        <f>IFERROR(R430/AL430,"")</f>
        <v/>
      </c>
      <c r="AO430" s="116" t="n">
        <v>0</v>
      </c>
      <c r="AP430" s="47">
        <f>IFERROR(AO430/AL430,"")</f>
        <v/>
      </c>
      <c r="AQ430" s="119">
        <f>IFERROR(R430/AO430,"")</f>
        <v/>
      </c>
      <c r="AR430" s="116" t="n">
        <v>0</v>
      </c>
      <c r="AS430" s="116" t="n">
        <v>0</v>
      </c>
      <c r="AT430" s="116">
        <f>AL430+AR430</f>
        <v/>
      </c>
      <c r="AU430" s="119">
        <f>IFERROR(AO430*Assumptions!$C$26*Assumptions!$C$27*INDEX(Assumptions!$C$18:$C$21,MATCH(H430,Assumptions!$B$18:$B$21,0)),0)</f>
        <v/>
      </c>
    </row>
    <row r="431">
      <c r="A431" s="114" t="n">
        <v>46259</v>
      </c>
      <c r="B431" s="42" t="inlineStr">
        <is>
          <t>Wk 35</t>
        </is>
      </c>
      <c r="C431" s="42" t="inlineStr">
        <is>
          <t>Tue</t>
        </is>
      </c>
      <c r="D431" s="42" t="inlineStr">
        <is>
          <t>Meta (FB/IG)</t>
        </is>
      </c>
      <c r="E431" s="42" t="inlineStr">
        <is>
          <t>Facebook + Instagram</t>
        </is>
      </c>
      <c r="F431" s="42" t="inlineStr">
        <is>
          <t>LEP_ZA_AUG26_META_TD_JAVAN_CONV</t>
        </is>
      </c>
      <c r="G431" s="42" t="inlineStr">
        <is>
          <t>Leads - Website Conversions</t>
        </is>
      </c>
      <c r="H431" s="42" t="inlineStr">
        <is>
          <t>JAVAN</t>
        </is>
      </c>
      <c r="I431" s="42" t="inlineStr">
        <is>
          <t>10% Deposit</t>
        </is>
      </c>
      <c r="J431" s="42" t="inlineStr">
        <is>
          <t>MET_JAVAN_INMKT_SUV_ZA</t>
        </is>
      </c>
      <c r="K431" s="42" t="inlineStr">
        <is>
          <t>In-Market</t>
        </is>
      </c>
      <c r="L431" s="42" t="inlineStr">
        <is>
          <t>JAVAN_VID_15s_DCT_Tech_v1</t>
        </is>
      </c>
      <c r="M431" s="42" t="inlineStr">
        <is>
          <t>Video 4:5</t>
        </is>
      </c>
      <c r="N431" s="42" t="inlineStr">
        <is>
          <t>1.5T DCT. Explained in 15 seconds.</t>
        </is>
      </c>
      <c r="O431" s="42" t="inlineStr">
        <is>
          <t>Auction - Lowest Cost</t>
        </is>
      </c>
      <c r="P431" s="42" t="inlineStr">
        <is>
          <t>Offsite Conversions</t>
        </is>
      </c>
      <c r="Q431" s="42" t="inlineStr">
        <is>
          <t>https://www.lepas-sa.co.za/offers/javan</t>
        </is>
      </c>
      <c r="R431" s="115" t="n">
        <v>164</v>
      </c>
      <c r="S431" s="116" t="n">
        <v>1721</v>
      </c>
      <c r="T431" s="116" t="n">
        <v>925</v>
      </c>
      <c r="U431" s="117">
        <f>IFERROR(S431/T431,"")</f>
        <v/>
      </c>
      <c r="V431" s="116" t="n">
        <v>19</v>
      </c>
      <c r="W431" s="116" t="n">
        <v>16</v>
      </c>
      <c r="X431" s="118">
        <f>IFERROR(W431/S431,"")</f>
        <v/>
      </c>
      <c r="Y431" s="115">
        <f>IFERROR(R431/W431,"")</f>
        <v/>
      </c>
      <c r="Z431" s="115">
        <f>IFERROR(R431/S431*1000,"")</f>
        <v/>
      </c>
      <c r="AA431" s="116" t="n">
        <v>13</v>
      </c>
      <c r="AB431" s="47">
        <f>IFERROR(AA431/W431,"")</f>
        <v/>
      </c>
      <c r="AC431" s="116" t="n">
        <v>435</v>
      </c>
      <c r="AD431" s="116" t="n">
        <v>209</v>
      </c>
      <c r="AE431" s="116" t="n">
        <v>203</v>
      </c>
      <c r="AF431" s="116" t="n">
        <v>123</v>
      </c>
      <c r="AG431" s="116" t="n">
        <v>90</v>
      </c>
      <c r="AH431" s="116" t="n">
        <v>58</v>
      </c>
      <c r="AI431" s="47">
        <f>IFERROR(AC431/S431,"")</f>
        <v/>
      </c>
      <c r="AJ431" s="47">
        <f>IFERROR(AH431/S431,"")</f>
        <v/>
      </c>
      <c r="AK431" s="116" t="n">
        <v>56</v>
      </c>
      <c r="AL431" s="116" t="n">
        <v>0</v>
      </c>
      <c r="AM431" s="118">
        <f>IFERROR(AL431/AA431,"")</f>
        <v/>
      </c>
      <c r="AN431" s="119">
        <f>IFERROR(R431/AL431,"")</f>
        <v/>
      </c>
      <c r="AO431" s="116" t="n">
        <v>0</v>
      </c>
      <c r="AP431" s="47">
        <f>IFERROR(AO431/AL431,"")</f>
        <v/>
      </c>
      <c r="AQ431" s="119">
        <f>IFERROR(R431/AO431,"")</f>
        <v/>
      </c>
      <c r="AR431" s="116" t="n">
        <v>0</v>
      </c>
      <c r="AS431" s="116" t="n">
        <v>0</v>
      </c>
      <c r="AT431" s="116">
        <f>AL431+AR431</f>
        <v/>
      </c>
      <c r="AU431" s="119">
        <f>IFERROR(AO431*Assumptions!$C$26*Assumptions!$C$27*INDEX(Assumptions!$C$18:$C$21,MATCH(H431,Assumptions!$B$18:$B$21,0)),0)</f>
        <v/>
      </c>
    </row>
    <row r="432">
      <c r="A432" s="114" t="n">
        <v>46260</v>
      </c>
      <c r="B432" s="42" t="inlineStr">
        <is>
          <t>Wk 35</t>
        </is>
      </c>
      <c r="C432" s="42" t="inlineStr">
        <is>
          <t>Wed</t>
        </is>
      </c>
      <c r="D432" s="42" t="inlineStr">
        <is>
          <t>Meta (FB/IG)</t>
        </is>
      </c>
      <c r="E432" s="42" t="inlineStr">
        <is>
          <t>Facebook + Instagram</t>
        </is>
      </c>
      <c r="F432" s="42" t="inlineStr">
        <is>
          <t>LEP_ZA_AUG26_META_TD_JAVAN_CONV</t>
        </is>
      </c>
      <c r="G432" s="42" t="inlineStr">
        <is>
          <t>Leads - Website Conversions</t>
        </is>
      </c>
      <c r="H432" s="42" t="inlineStr">
        <is>
          <t>JAVAN</t>
        </is>
      </c>
      <c r="I432" s="42" t="inlineStr">
        <is>
          <t>10% Deposit</t>
        </is>
      </c>
      <c r="J432" s="42" t="inlineStr">
        <is>
          <t>MET_JAVAN_INMKT_SUV_ZA</t>
        </is>
      </c>
      <c r="K432" s="42" t="inlineStr">
        <is>
          <t>In-Market</t>
        </is>
      </c>
      <c r="L432" s="42" t="inlineStr">
        <is>
          <t>JAVAN_VID_15s_DCT_Tech_v1</t>
        </is>
      </c>
      <c r="M432" s="42" t="inlineStr">
        <is>
          <t>Video 4:5</t>
        </is>
      </c>
      <c r="N432" s="42" t="inlineStr">
        <is>
          <t>1.5T DCT. Explained in 15 seconds.</t>
        </is>
      </c>
      <c r="O432" s="42" t="inlineStr">
        <is>
          <t>Auction - Lowest Cost</t>
        </is>
      </c>
      <c r="P432" s="42" t="inlineStr">
        <is>
          <t>Offsite Conversions</t>
        </is>
      </c>
      <c r="Q432" s="42" t="inlineStr">
        <is>
          <t>https://www.lepas-sa.co.za/offers/javan</t>
        </is>
      </c>
      <c r="R432" s="115" t="n">
        <v>204.87</v>
      </c>
      <c r="S432" s="116" t="n">
        <v>1948</v>
      </c>
      <c r="T432" s="116" t="n">
        <v>1184</v>
      </c>
      <c r="U432" s="117">
        <f>IFERROR(S432/T432,"")</f>
        <v/>
      </c>
      <c r="V432" s="116" t="n">
        <v>30</v>
      </c>
      <c r="W432" s="116" t="n">
        <v>23</v>
      </c>
      <c r="X432" s="118">
        <f>IFERROR(W432/S432,"")</f>
        <v/>
      </c>
      <c r="Y432" s="115">
        <f>IFERROR(R432/W432,"")</f>
        <v/>
      </c>
      <c r="Z432" s="115">
        <f>IFERROR(R432/S432*1000,"")</f>
        <v/>
      </c>
      <c r="AA432" s="116" t="n">
        <v>20</v>
      </c>
      <c r="AB432" s="47">
        <f>IFERROR(AA432/W432,"")</f>
        <v/>
      </c>
      <c r="AC432" s="116" t="n">
        <v>749</v>
      </c>
      <c r="AD432" s="116" t="n">
        <v>386</v>
      </c>
      <c r="AE432" s="116" t="n">
        <v>365</v>
      </c>
      <c r="AF432" s="116" t="n">
        <v>199</v>
      </c>
      <c r="AG432" s="116" t="n">
        <v>126</v>
      </c>
      <c r="AH432" s="116" t="n">
        <v>89</v>
      </c>
      <c r="AI432" s="47">
        <f>IFERROR(AC432/S432,"")</f>
        <v/>
      </c>
      <c r="AJ432" s="47">
        <f>IFERROR(AH432/S432,"")</f>
        <v/>
      </c>
      <c r="AK432" s="116" t="n">
        <v>45</v>
      </c>
      <c r="AL432" s="116" t="n">
        <v>0</v>
      </c>
      <c r="AM432" s="118">
        <f>IFERROR(AL432/AA432,"")</f>
        <v/>
      </c>
      <c r="AN432" s="119">
        <f>IFERROR(R432/AL432,"")</f>
        <v/>
      </c>
      <c r="AO432" s="116" t="n">
        <v>0</v>
      </c>
      <c r="AP432" s="47">
        <f>IFERROR(AO432/AL432,"")</f>
        <v/>
      </c>
      <c r="AQ432" s="119">
        <f>IFERROR(R432/AO432,"")</f>
        <v/>
      </c>
      <c r="AR432" s="116" t="n">
        <v>0</v>
      </c>
      <c r="AS432" s="116" t="n">
        <v>0</v>
      </c>
      <c r="AT432" s="116">
        <f>AL432+AR432</f>
        <v/>
      </c>
      <c r="AU432" s="119">
        <f>IFERROR(AO432*Assumptions!$C$26*Assumptions!$C$27*INDEX(Assumptions!$C$18:$C$21,MATCH(H432,Assumptions!$B$18:$B$21,0)),0)</f>
        <v/>
      </c>
    </row>
    <row r="433">
      <c r="A433" s="114" t="n">
        <v>46261</v>
      </c>
      <c r="B433" s="42" t="inlineStr">
        <is>
          <t>Wk 35</t>
        </is>
      </c>
      <c r="C433" s="42" t="inlineStr">
        <is>
          <t>Thu</t>
        </is>
      </c>
      <c r="D433" s="42" t="inlineStr">
        <is>
          <t>Meta (FB/IG)</t>
        </is>
      </c>
      <c r="E433" s="42" t="inlineStr">
        <is>
          <t>Facebook + Instagram</t>
        </is>
      </c>
      <c r="F433" s="42" t="inlineStr">
        <is>
          <t>LEP_ZA_AUG26_META_TD_JAVAN_CONV</t>
        </is>
      </c>
      <c r="G433" s="42" t="inlineStr">
        <is>
          <t>Leads - Website Conversions</t>
        </is>
      </c>
      <c r="H433" s="42" t="inlineStr">
        <is>
          <t>JAVAN</t>
        </is>
      </c>
      <c r="I433" s="42" t="inlineStr">
        <is>
          <t>10% Deposit</t>
        </is>
      </c>
      <c r="J433" s="42" t="inlineStr">
        <is>
          <t>MET_JAVAN_INMKT_SUV_ZA</t>
        </is>
      </c>
      <c r="K433" s="42" t="inlineStr">
        <is>
          <t>In-Market</t>
        </is>
      </c>
      <c r="L433" s="42" t="inlineStr">
        <is>
          <t>JAVAN_VID_15s_DCT_Tech_v1</t>
        </is>
      </c>
      <c r="M433" s="42" t="inlineStr">
        <is>
          <t>Video 4:5</t>
        </is>
      </c>
      <c r="N433" s="42" t="inlineStr">
        <is>
          <t>1.5T DCT. Explained in 15 seconds.</t>
        </is>
      </c>
      <c r="O433" s="42" t="inlineStr">
        <is>
          <t>Auction - Lowest Cost</t>
        </is>
      </c>
      <c r="P433" s="42" t="inlineStr">
        <is>
          <t>Offsite Conversions</t>
        </is>
      </c>
      <c r="Q433" s="42" t="inlineStr">
        <is>
          <t>https://www.lepas-sa.co.za/offers/javan</t>
        </is>
      </c>
      <c r="R433" s="115" t="n">
        <v>210.5</v>
      </c>
      <c r="S433" s="116" t="n">
        <v>2799</v>
      </c>
      <c r="T433" s="116" t="n">
        <v>1754</v>
      </c>
      <c r="U433" s="117">
        <f>IFERROR(S433/T433,"")</f>
        <v/>
      </c>
      <c r="V433" s="116" t="n">
        <v>51</v>
      </c>
      <c r="W433" s="116" t="n">
        <v>39</v>
      </c>
      <c r="X433" s="118">
        <f>IFERROR(W433/S433,"")</f>
        <v/>
      </c>
      <c r="Y433" s="115">
        <f>IFERROR(R433/W433,"")</f>
        <v/>
      </c>
      <c r="Z433" s="115">
        <f>IFERROR(R433/S433*1000,"")</f>
        <v/>
      </c>
      <c r="AA433" s="116" t="n">
        <v>33</v>
      </c>
      <c r="AB433" s="47">
        <f>IFERROR(AA433/W433,"")</f>
        <v/>
      </c>
      <c r="AC433" s="116" t="n">
        <v>837</v>
      </c>
      <c r="AD433" s="116" t="n">
        <v>463</v>
      </c>
      <c r="AE433" s="116" t="n">
        <v>412</v>
      </c>
      <c r="AF433" s="116" t="n">
        <v>246</v>
      </c>
      <c r="AG433" s="116" t="n">
        <v>179</v>
      </c>
      <c r="AH433" s="116" t="n">
        <v>104</v>
      </c>
      <c r="AI433" s="47">
        <f>IFERROR(AC433/S433,"")</f>
        <v/>
      </c>
      <c r="AJ433" s="47">
        <f>IFERROR(AH433/S433,"")</f>
        <v/>
      </c>
      <c r="AK433" s="116" t="n">
        <v>92</v>
      </c>
      <c r="AL433" s="116" t="n">
        <v>0</v>
      </c>
      <c r="AM433" s="118">
        <f>IFERROR(AL433/AA433,"")</f>
        <v/>
      </c>
      <c r="AN433" s="119">
        <f>IFERROR(R433/AL433,"")</f>
        <v/>
      </c>
      <c r="AO433" s="116" t="n">
        <v>0</v>
      </c>
      <c r="AP433" s="47">
        <f>IFERROR(AO433/AL433,"")</f>
        <v/>
      </c>
      <c r="AQ433" s="119">
        <f>IFERROR(R433/AO433,"")</f>
        <v/>
      </c>
      <c r="AR433" s="116" t="n">
        <v>0</v>
      </c>
      <c r="AS433" s="116" t="n">
        <v>0</v>
      </c>
      <c r="AT433" s="116">
        <f>AL433+AR433</f>
        <v/>
      </c>
      <c r="AU433" s="119">
        <f>IFERROR(AO433*Assumptions!$C$26*Assumptions!$C$27*INDEX(Assumptions!$C$18:$C$21,MATCH(H433,Assumptions!$B$18:$B$21,0)),0)</f>
        <v/>
      </c>
    </row>
    <row r="434">
      <c r="A434" s="114" t="n">
        <v>46262</v>
      </c>
      <c r="B434" s="42" t="inlineStr">
        <is>
          <t>Wk 35</t>
        </is>
      </c>
      <c r="C434" s="42" t="inlineStr">
        <is>
          <t>Fri</t>
        </is>
      </c>
      <c r="D434" s="42" t="inlineStr">
        <is>
          <t>Meta (FB/IG)</t>
        </is>
      </c>
      <c r="E434" s="42" t="inlineStr">
        <is>
          <t>Facebook + Instagram</t>
        </is>
      </c>
      <c r="F434" s="42" t="inlineStr">
        <is>
          <t>LEP_ZA_AUG26_META_TD_JAVAN_CONV</t>
        </is>
      </c>
      <c r="G434" s="42" t="inlineStr">
        <is>
          <t>Leads - Website Conversions</t>
        </is>
      </c>
      <c r="H434" s="42" t="inlineStr">
        <is>
          <t>JAVAN</t>
        </is>
      </c>
      <c r="I434" s="42" t="inlineStr">
        <is>
          <t>10% Deposit</t>
        </is>
      </c>
      <c r="J434" s="42" t="inlineStr">
        <is>
          <t>MET_JAVAN_INMKT_SUV_ZA</t>
        </is>
      </c>
      <c r="K434" s="42" t="inlineStr">
        <is>
          <t>In-Market</t>
        </is>
      </c>
      <c r="L434" s="42" t="inlineStr">
        <is>
          <t>JAVAN_VID_15s_DCT_Tech_v1</t>
        </is>
      </c>
      <c r="M434" s="42" t="inlineStr">
        <is>
          <t>Video 4:5</t>
        </is>
      </c>
      <c r="N434" s="42" t="inlineStr">
        <is>
          <t>1.5T DCT. Explained in 15 seconds.</t>
        </is>
      </c>
      <c r="O434" s="42" t="inlineStr">
        <is>
          <t>Auction - Lowest Cost</t>
        </is>
      </c>
      <c r="P434" s="42" t="inlineStr">
        <is>
          <t>Offsite Conversions</t>
        </is>
      </c>
      <c r="Q434" s="42" t="inlineStr">
        <is>
          <t>https://www.lepas-sa.co.za/offers/javan</t>
        </is>
      </c>
      <c r="R434" s="115" t="n">
        <v>259.34</v>
      </c>
      <c r="S434" s="116" t="n">
        <v>2500</v>
      </c>
      <c r="T434" s="116" t="n">
        <v>1175</v>
      </c>
      <c r="U434" s="117">
        <f>IFERROR(S434/T434,"")</f>
        <v/>
      </c>
      <c r="V434" s="116" t="n">
        <v>30</v>
      </c>
      <c r="W434" s="116" t="n">
        <v>22</v>
      </c>
      <c r="X434" s="118">
        <f>IFERROR(W434/S434,"")</f>
        <v/>
      </c>
      <c r="Y434" s="115">
        <f>IFERROR(R434/W434,"")</f>
        <v/>
      </c>
      <c r="Z434" s="115">
        <f>IFERROR(R434/S434*1000,"")</f>
        <v/>
      </c>
      <c r="AA434" s="116" t="n">
        <v>20</v>
      </c>
      <c r="AB434" s="47">
        <f>IFERROR(AA434/W434,"")</f>
        <v/>
      </c>
      <c r="AC434" s="116" t="n">
        <v>915</v>
      </c>
      <c r="AD434" s="116" t="n">
        <v>483</v>
      </c>
      <c r="AE434" s="116" t="n">
        <v>382</v>
      </c>
      <c r="AF434" s="116" t="n">
        <v>205</v>
      </c>
      <c r="AG434" s="116" t="n">
        <v>130</v>
      </c>
      <c r="AH434" s="116" t="n">
        <v>80</v>
      </c>
      <c r="AI434" s="47">
        <f>IFERROR(AC434/S434,"")</f>
        <v/>
      </c>
      <c r="AJ434" s="47">
        <f>IFERROR(AH434/S434,"")</f>
        <v/>
      </c>
      <c r="AK434" s="116" t="n">
        <v>25</v>
      </c>
      <c r="AL434" s="116" t="n">
        <v>0</v>
      </c>
      <c r="AM434" s="118">
        <f>IFERROR(AL434/AA434,"")</f>
        <v/>
      </c>
      <c r="AN434" s="119">
        <f>IFERROR(R434/AL434,"")</f>
        <v/>
      </c>
      <c r="AO434" s="116" t="n">
        <v>0</v>
      </c>
      <c r="AP434" s="47">
        <f>IFERROR(AO434/AL434,"")</f>
        <v/>
      </c>
      <c r="AQ434" s="119">
        <f>IFERROR(R434/AO434,"")</f>
        <v/>
      </c>
      <c r="AR434" s="116" t="n">
        <v>0</v>
      </c>
      <c r="AS434" s="116" t="n">
        <v>0</v>
      </c>
      <c r="AT434" s="116">
        <f>AL434+AR434</f>
        <v/>
      </c>
      <c r="AU434" s="119">
        <f>IFERROR(AO434*Assumptions!$C$26*Assumptions!$C$27*INDEX(Assumptions!$C$18:$C$21,MATCH(H434,Assumptions!$B$18:$B$21,0)),0)</f>
        <v/>
      </c>
    </row>
    <row r="435">
      <c r="A435" s="114" t="n">
        <v>46263</v>
      </c>
      <c r="B435" s="42" t="inlineStr">
        <is>
          <t>Wk 35</t>
        </is>
      </c>
      <c r="C435" s="42" t="inlineStr">
        <is>
          <t>Sat</t>
        </is>
      </c>
      <c r="D435" s="42" t="inlineStr">
        <is>
          <t>Meta (FB/IG)</t>
        </is>
      </c>
      <c r="E435" s="42" t="inlineStr">
        <is>
          <t>Facebook + Instagram</t>
        </is>
      </c>
      <c r="F435" s="42" t="inlineStr">
        <is>
          <t>LEP_ZA_AUG26_META_TD_JAVAN_CONV</t>
        </is>
      </c>
      <c r="G435" s="42" t="inlineStr">
        <is>
          <t>Leads - Website Conversions</t>
        </is>
      </c>
      <c r="H435" s="42" t="inlineStr">
        <is>
          <t>JAVAN</t>
        </is>
      </c>
      <c r="I435" s="42" t="inlineStr">
        <is>
          <t>10% Deposit</t>
        </is>
      </c>
      <c r="J435" s="42" t="inlineStr">
        <is>
          <t>MET_JAVAN_INMKT_SUV_ZA</t>
        </is>
      </c>
      <c r="K435" s="42" t="inlineStr">
        <is>
          <t>In-Market</t>
        </is>
      </c>
      <c r="L435" s="42" t="inlineStr">
        <is>
          <t>JAVAN_VID_15s_DCT_Tech_v1</t>
        </is>
      </c>
      <c r="M435" s="42" t="inlineStr">
        <is>
          <t>Video 4:5</t>
        </is>
      </c>
      <c r="N435" s="42" t="inlineStr">
        <is>
          <t>1.5T DCT. Explained in 15 seconds.</t>
        </is>
      </c>
      <c r="O435" s="42" t="inlineStr">
        <is>
          <t>Auction - Lowest Cost</t>
        </is>
      </c>
      <c r="P435" s="42" t="inlineStr">
        <is>
          <t>Offsite Conversions</t>
        </is>
      </c>
      <c r="Q435" s="42" t="inlineStr">
        <is>
          <t>https://www.lepas-sa.co.za/offers/javan</t>
        </is>
      </c>
      <c r="R435" s="115" t="n">
        <v>233.58</v>
      </c>
      <c r="S435" s="116" t="n">
        <v>2572</v>
      </c>
      <c r="T435" s="116" t="n">
        <v>1643</v>
      </c>
      <c r="U435" s="117">
        <f>IFERROR(S435/T435,"")</f>
        <v/>
      </c>
      <c r="V435" s="116" t="n">
        <v>46</v>
      </c>
      <c r="W435" s="116" t="n">
        <v>34</v>
      </c>
      <c r="X435" s="118">
        <f>IFERROR(W435/S435,"")</f>
        <v/>
      </c>
      <c r="Y435" s="115">
        <f>IFERROR(R435/W435,"")</f>
        <v/>
      </c>
      <c r="Z435" s="115">
        <f>IFERROR(R435/S435*1000,"")</f>
        <v/>
      </c>
      <c r="AA435" s="116" t="n">
        <v>30</v>
      </c>
      <c r="AB435" s="47">
        <f>IFERROR(AA435/W435,"")</f>
        <v/>
      </c>
      <c r="AC435" s="116" t="n">
        <v>739</v>
      </c>
      <c r="AD435" s="116" t="n">
        <v>340</v>
      </c>
      <c r="AE435" s="116" t="n">
        <v>347</v>
      </c>
      <c r="AF435" s="116" t="n">
        <v>195</v>
      </c>
      <c r="AG435" s="116" t="n">
        <v>149</v>
      </c>
      <c r="AH435" s="116" t="n">
        <v>98</v>
      </c>
      <c r="AI435" s="47">
        <f>IFERROR(AC435/S435,"")</f>
        <v/>
      </c>
      <c r="AJ435" s="47">
        <f>IFERROR(AH435/S435,"")</f>
        <v/>
      </c>
      <c r="AK435" s="116" t="n">
        <v>80</v>
      </c>
      <c r="AL435" s="116" t="n">
        <v>1</v>
      </c>
      <c r="AM435" s="118">
        <f>IFERROR(AL435/AA435,"")</f>
        <v/>
      </c>
      <c r="AN435" s="119">
        <f>IFERROR(R435/AL435,"")</f>
        <v/>
      </c>
      <c r="AO435" s="116" t="n">
        <v>1</v>
      </c>
      <c r="AP435" s="47">
        <f>IFERROR(AO435/AL435,"")</f>
        <v/>
      </c>
      <c r="AQ435" s="119">
        <f>IFERROR(R435/AO435,"")</f>
        <v/>
      </c>
      <c r="AR435" s="116" t="n">
        <v>1</v>
      </c>
      <c r="AS435" s="116" t="n">
        <v>1</v>
      </c>
      <c r="AT435" s="116">
        <f>AL435+AR435</f>
        <v/>
      </c>
      <c r="AU435" s="119">
        <f>IFERROR(AO435*Assumptions!$C$26*Assumptions!$C$27*INDEX(Assumptions!$C$18:$C$21,MATCH(H435,Assumptions!$B$18:$B$21,0)),0)</f>
        <v/>
      </c>
    </row>
    <row r="436">
      <c r="A436" s="114" t="n">
        <v>46264</v>
      </c>
      <c r="B436" s="42" t="inlineStr">
        <is>
          <t>Wk 35</t>
        </is>
      </c>
      <c r="C436" s="42" t="inlineStr">
        <is>
          <t>Sun</t>
        </is>
      </c>
      <c r="D436" s="42" t="inlineStr">
        <is>
          <t>Meta (FB/IG)</t>
        </is>
      </c>
      <c r="E436" s="42" t="inlineStr">
        <is>
          <t>Facebook + Instagram</t>
        </is>
      </c>
      <c r="F436" s="42" t="inlineStr">
        <is>
          <t>LEP_ZA_AUG26_META_TD_JAVAN_CONV</t>
        </is>
      </c>
      <c r="G436" s="42" t="inlineStr">
        <is>
          <t>Leads - Website Conversions</t>
        </is>
      </c>
      <c r="H436" s="42" t="inlineStr">
        <is>
          <t>JAVAN</t>
        </is>
      </c>
      <c r="I436" s="42" t="inlineStr">
        <is>
          <t>10% Deposit</t>
        </is>
      </c>
      <c r="J436" s="42" t="inlineStr">
        <is>
          <t>MET_JAVAN_INMKT_SUV_ZA</t>
        </is>
      </c>
      <c r="K436" s="42" t="inlineStr">
        <is>
          <t>In-Market</t>
        </is>
      </c>
      <c r="L436" s="42" t="inlineStr">
        <is>
          <t>JAVAN_VID_15s_DCT_Tech_v1</t>
        </is>
      </c>
      <c r="M436" s="42" t="inlineStr">
        <is>
          <t>Video 4:5</t>
        </is>
      </c>
      <c r="N436" s="42" t="inlineStr">
        <is>
          <t>1.5T DCT. Explained in 15 seconds.</t>
        </is>
      </c>
      <c r="O436" s="42" t="inlineStr">
        <is>
          <t>Auction - Lowest Cost</t>
        </is>
      </c>
      <c r="P436" s="42" t="inlineStr">
        <is>
          <t>Offsite Conversions</t>
        </is>
      </c>
      <c r="Q436" s="42" t="inlineStr">
        <is>
          <t>https://www.lepas-sa.co.za/offers/javan</t>
        </is>
      </c>
      <c r="R436" s="115" t="n">
        <v>171.04</v>
      </c>
      <c r="S436" s="116" t="n">
        <v>2365</v>
      </c>
      <c r="T436" s="116" t="n">
        <v>1154</v>
      </c>
      <c r="U436" s="117">
        <f>IFERROR(S436/T436,"")</f>
        <v/>
      </c>
      <c r="V436" s="116" t="n">
        <v>21</v>
      </c>
      <c r="W436" s="116" t="n">
        <v>15</v>
      </c>
      <c r="X436" s="118">
        <f>IFERROR(W436/S436,"")</f>
        <v/>
      </c>
      <c r="Y436" s="115">
        <f>IFERROR(R436/W436,"")</f>
        <v/>
      </c>
      <c r="Z436" s="115">
        <f>IFERROR(R436/S436*1000,"")</f>
        <v/>
      </c>
      <c r="AA436" s="116" t="n">
        <v>12</v>
      </c>
      <c r="AB436" s="47">
        <f>IFERROR(AA436/W436,"")</f>
        <v/>
      </c>
      <c r="AC436" s="116" t="n">
        <v>541</v>
      </c>
      <c r="AD436" s="116" t="n">
        <v>261</v>
      </c>
      <c r="AE436" s="116" t="n">
        <v>274</v>
      </c>
      <c r="AF436" s="116" t="n">
        <v>189</v>
      </c>
      <c r="AG436" s="116" t="n">
        <v>140</v>
      </c>
      <c r="AH436" s="116" t="n">
        <v>83</v>
      </c>
      <c r="AI436" s="47">
        <f>IFERROR(AC436/S436,"")</f>
        <v/>
      </c>
      <c r="AJ436" s="47">
        <f>IFERROR(AH436/S436,"")</f>
        <v/>
      </c>
      <c r="AK436" s="116" t="n">
        <v>52</v>
      </c>
      <c r="AL436" s="116" t="n">
        <v>1</v>
      </c>
      <c r="AM436" s="118">
        <f>IFERROR(AL436/AA436,"")</f>
        <v/>
      </c>
      <c r="AN436" s="119">
        <f>IFERROR(R436/AL436,"")</f>
        <v/>
      </c>
      <c r="AO436" s="116" t="n">
        <v>1</v>
      </c>
      <c r="AP436" s="47">
        <f>IFERROR(AO436/AL436,"")</f>
        <v/>
      </c>
      <c r="AQ436" s="119">
        <f>IFERROR(R436/AO436,"")</f>
        <v/>
      </c>
      <c r="AR436" s="116" t="n">
        <v>0</v>
      </c>
      <c r="AS436" s="116" t="n">
        <v>0</v>
      </c>
      <c r="AT436" s="116">
        <f>AL436+AR436</f>
        <v/>
      </c>
      <c r="AU436" s="119">
        <f>IFERROR(AO436*Assumptions!$C$26*Assumptions!$C$27*INDEX(Assumptions!$C$18:$C$21,MATCH(H436,Assumptions!$B$18:$B$21,0)),0)</f>
        <v/>
      </c>
    </row>
    <row r="437">
      <c r="A437" s="114" t="n">
        <v>46265</v>
      </c>
      <c r="B437" s="42" t="inlineStr">
        <is>
          <t>Wk 36</t>
        </is>
      </c>
      <c r="C437" s="42" t="inlineStr">
        <is>
          <t>Mon</t>
        </is>
      </c>
      <c r="D437" s="42" t="inlineStr">
        <is>
          <t>Meta (FB/IG)</t>
        </is>
      </c>
      <c r="E437" s="42" t="inlineStr">
        <is>
          <t>Facebook + Instagram</t>
        </is>
      </c>
      <c r="F437" s="42" t="inlineStr">
        <is>
          <t>LEP_ZA_AUG26_META_TD_JAVAN_CONV</t>
        </is>
      </c>
      <c r="G437" s="42" t="inlineStr">
        <is>
          <t>Leads - Website Conversions</t>
        </is>
      </c>
      <c r="H437" s="42" t="inlineStr">
        <is>
          <t>JAVAN</t>
        </is>
      </c>
      <c r="I437" s="42" t="inlineStr">
        <is>
          <t>10% Deposit</t>
        </is>
      </c>
      <c r="J437" s="42" t="inlineStr">
        <is>
          <t>MET_JAVAN_INMKT_SUV_ZA</t>
        </is>
      </c>
      <c r="K437" s="42" t="inlineStr">
        <is>
          <t>In-Market</t>
        </is>
      </c>
      <c r="L437" s="42" t="inlineStr">
        <is>
          <t>JAVAN_VID_15s_DCT_Tech_v1</t>
        </is>
      </c>
      <c r="M437" s="42" t="inlineStr">
        <is>
          <t>Video 4:5</t>
        </is>
      </c>
      <c r="N437" s="42" t="inlineStr">
        <is>
          <t>1.5T DCT. Explained in 15 seconds.</t>
        </is>
      </c>
      <c r="O437" s="42" t="inlineStr">
        <is>
          <t>Auction - Lowest Cost</t>
        </is>
      </c>
      <c r="P437" s="42" t="inlineStr">
        <is>
          <t>Offsite Conversions</t>
        </is>
      </c>
      <c r="Q437" s="42" t="inlineStr">
        <is>
          <t>https://www.lepas-sa.co.za/offers/javan</t>
        </is>
      </c>
      <c r="R437" s="115" t="n">
        <v>235.21</v>
      </c>
      <c r="S437" s="116" t="n">
        <v>2559</v>
      </c>
      <c r="T437" s="116" t="n">
        <v>1175</v>
      </c>
      <c r="U437" s="117">
        <f>IFERROR(S437/T437,"")</f>
        <v/>
      </c>
      <c r="V437" s="116" t="n">
        <v>50</v>
      </c>
      <c r="W437" s="116" t="n">
        <v>41</v>
      </c>
      <c r="X437" s="118">
        <f>IFERROR(W437/S437,"")</f>
        <v/>
      </c>
      <c r="Y437" s="115">
        <f>IFERROR(R437/W437,"")</f>
        <v/>
      </c>
      <c r="Z437" s="115">
        <f>IFERROR(R437/S437*1000,"")</f>
        <v/>
      </c>
      <c r="AA437" s="116" t="n">
        <v>33</v>
      </c>
      <c r="AB437" s="47">
        <f>IFERROR(AA437/W437,"")</f>
        <v/>
      </c>
      <c r="AC437" s="116" t="n">
        <v>1035</v>
      </c>
      <c r="AD437" s="116" t="n">
        <v>466</v>
      </c>
      <c r="AE437" s="116" t="n">
        <v>542</v>
      </c>
      <c r="AF437" s="116" t="n">
        <v>290</v>
      </c>
      <c r="AG437" s="116" t="n">
        <v>216</v>
      </c>
      <c r="AH437" s="116" t="n">
        <v>136</v>
      </c>
      <c r="AI437" s="47">
        <f>IFERROR(AC437/S437,"")</f>
        <v/>
      </c>
      <c r="AJ437" s="47">
        <f>IFERROR(AH437/S437,"")</f>
        <v/>
      </c>
      <c r="AK437" s="116" t="n">
        <v>87</v>
      </c>
      <c r="AL437" s="116" t="n">
        <v>1</v>
      </c>
      <c r="AM437" s="118">
        <f>IFERROR(AL437/AA437,"")</f>
        <v/>
      </c>
      <c r="AN437" s="119">
        <f>IFERROR(R437/AL437,"")</f>
        <v/>
      </c>
      <c r="AO437" s="116" t="n">
        <v>1</v>
      </c>
      <c r="AP437" s="47">
        <f>IFERROR(AO437/AL437,"")</f>
        <v/>
      </c>
      <c r="AQ437" s="119">
        <f>IFERROR(R437/AO437,"")</f>
        <v/>
      </c>
      <c r="AR437" s="116" t="n">
        <v>0</v>
      </c>
      <c r="AS437" s="116" t="n">
        <v>1</v>
      </c>
      <c r="AT437" s="116">
        <f>AL437+AR437</f>
        <v/>
      </c>
      <c r="AU437" s="119">
        <f>IFERROR(AO437*Assumptions!$C$26*Assumptions!$C$27*INDEX(Assumptions!$C$18:$C$21,MATCH(H437,Assumptions!$B$18:$B$21,0)),0)</f>
        <v/>
      </c>
    </row>
    <row r="438">
      <c r="A438" s="114" t="n">
        <v>46235</v>
      </c>
      <c r="B438" s="42" t="inlineStr">
        <is>
          <t>Wk 31</t>
        </is>
      </c>
      <c r="C438" s="42" t="inlineStr">
        <is>
          <t>Sat</t>
        </is>
      </c>
      <c r="D438" s="42" t="inlineStr">
        <is>
          <t>Meta (FB/IG)</t>
        </is>
      </c>
      <c r="E438" s="42" t="inlineStr">
        <is>
          <t>Facebook + Instagram</t>
        </is>
      </c>
      <c r="F438" s="42" t="inlineStr">
        <is>
          <t>LEP_ZA_AUG26_META_TD_JAVAN_CONV</t>
        </is>
      </c>
      <c r="G438" s="42" t="inlineStr">
        <is>
          <t>Leads - Website Conversions</t>
        </is>
      </c>
      <c r="H438" s="42" t="inlineStr">
        <is>
          <t>JAVAN</t>
        </is>
      </c>
      <c r="I438" s="42" t="inlineStr">
        <is>
          <t>10% Deposit</t>
        </is>
      </c>
      <c r="J438" s="42" t="inlineStr">
        <is>
          <t>MET_JAVAN_INMKT_SUV_ZA</t>
        </is>
      </c>
      <c r="K438" s="42" t="inlineStr">
        <is>
          <t>In-Market</t>
        </is>
      </c>
      <c r="L438" s="42" t="inlineStr">
        <is>
          <t>JAVAN_STA_Compare_SUV_v1</t>
        </is>
      </c>
      <c r="M438" s="42" t="inlineStr">
        <is>
          <t>Static 4:5</t>
        </is>
      </c>
      <c r="N438" s="42" t="inlineStr">
        <is>
          <t>JAVAN vs the usual suspects</t>
        </is>
      </c>
      <c r="O438" s="42" t="inlineStr">
        <is>
          <t>Auction - Lowest Cost</t>
        </is>
      </c>
      <c r="P438" s="42" t="inlineStr">
        <is>
          <t>Offsite Conversions</t>
        </is>
      </c>
      <c r="Q438" s="42" t="inlineStr">
        <is>
          <t>https://www.lepas-sa.co.za/offers/javan</t>
        </is>
      </c>
      <c r="R438" s="115" t="n">
        <v>134.18</v>
      </c>
      <c r="S438" s="116" t="n">
        <v>1634</v>
      </c>
      <c r="T438" s="116" t="n">
        <v>1166</v>
      </c>
      <c r="U438" s="117">
        <f>IFERROR(S438/T438,"")</f>
        <v/>
      </c>
      <c r="V438" s="116" t="n">
        <v>51</v>
      </c>
      <c r="W438" s="116" t="n">
        <v>37</v>
      </c>
      <c r="X438" s="118">
        <f>IFERROR(W438/S438,"")</f>
        <v/>
      </c>
      <c r="Y438" s="115">
        <f>IFERROR(R438/W438,"")</f>
        <v/>
      </c>
      <c r="Z438" s="115">
        <f>IFERROR(R438/S438*1000,"")</f>
        <v/>
      </c>
      <c r="AA438" s="116" t="n">
        <v>32</v>
      </c>
      <c r="AB438" s="47">
        <f>IFERROR(AA438/W438,"")</f>
        <v/>
      </c>
      <c r="AC438" s="116" t="n">
        <v>0</v>
      </c>
      <c r="AD438" s="116" t="n">
        <v>0</v>
      </c>
      <c r="AE438" s="116" t="n">
        <v>0</v>
      </c>
      <c r="AF438" s="116" t="n">
        <v>0</v>
      </c>
      <c r="AG438" s="116" t="n">
        <v>0</v>
      </c>
      <c r="AH438" s="116" t="n">
        <v>0</v>
      </c>
      <c r="AI438" s="47">
        <f>IFERROR(AC438/S438,"")</f>
        <v/>
      </c>
      <c r="AJ438" s="47">
        <f>IFERROR(AH438/S438,"")</f>
        <v/>
      </c>
      <c r="AK438" s="116" t="n">
        <v>30</v>
      </c>
      <c r="AL438" s="116" t="n">
        <v>1</v>
      </c>
      <c r="AM438" s="118">
        <f>IFERROR(AL438/AA438,"")</f>
        <v/>
      </c>
      <c r="AN438" s="119">
        <f>IFERROR(R438/AL438,"")</f>
        <v/>
      </c>
      <c r="AO438" s="116" t="n">
        <v>1</v>
      </c>
      <c r="AP438" s="47">
        <f>IFERROR(AO438/AL438,"")</f>
        <v/>
      </c>
      <c r="AQ438" s="119">
        <f>IFERROR(R438/AO438,"")</f>
        <v/>
      </c>
      <c r="AR438" s="116" t="n">
        <v>0</v>
      </c>
      <c r="AS438" s="116" t="n">
        <v>0</v>
      </c>
      <c r="AT438" s="116">
        <f>AL438+AR438</f>
        <v/>
      </c>
      <c r="AU438" s="119">
        <f>IFERROR(AO438*Assumptions!$C$26*Assumptions!$C$27*INDEX(Assumptions!$C$18:$C$21,MATCH(H438,Assumptions!$B$18:$B$21,0)),0)</f>
        <v/>
      </c>
    </row>
    <row r="439">
      <c r="A439" s="114" t="n">
        <v>46236</v>
      </c>
      <c r="B439" s="42" t="inlineStr">
        <is>
          <t>Wk 31</t>
        </is>
      </c>
      <c r="C439" s="42" t="inlineStr">
        <is>
          <t>Sun</t>
        </is>
      </c>
      <c r="D439" s="42" t="inlineStr">
        <is>
          <t>Meta (FB/IG)</t>
        </is>
      </c>
      <c r="E439" s="42" t="inlineStr">
        <is>
          <t>Facebook + Instagram</t>
        </is>
      </c>
      <c r="F439" s="42" t="inlineStr">
        <is>
          <t>LEP_ZA_AUG26_META_TD_JAVAN_CONV</t>
        </is>
      </c>
      <c r="G439" s="42" t="inlineStr">
        <is>
          <t>Leads - Website Conversions</t>
        </is>
      </c>
      <c r="H439" s="42" t="inlineStr">
        <is>
          <t>JAVAN</t>
        </is>
      </c>
      <c r="I439" s="42" t="inlineStr">
        <is>
          <t>10% Deposit</t>
        </is>
      </c>
      <c r="J439" s="42" t="inlineStr">
        <is>
          <t>MET_JAVAN_INMKT_SUV_ZA</t>
        </is>
      </c>
      <c r="K439" s="42" t="inlineStr">
        <is>
          <t>In-Market</t>
        </is>
      </c>
      <c r="L439" s="42" t="inlineStr">
        <is>
          <t>JAVAN_STA_Compare_SUV_v1</t>
        </is>
      </c>
      <c r="M439" s="42" t="inlineStr">
        <is>
          <t>Static 4:5</t>
        </is>
      </c>
      <c r="N439" s="42" t="inlineStr">
        <is>
          <t>JAVAN vs the usual suspects</t>
        </is>
      </c>
      <c r="O439" s="42" t="inlineStr">
        <is>
          <t>Auction - Lowest Cost</t>
        </is>
      </c>
      <c r="P439" s="42" t="inlineStr">
        <is>
          <t>Offsite Conversions</t>
        </is>
      </c>
      <c r="Q439" s="42" t="inlineStr">
        <is>
          <t>https://www.lepas-sa.co.za/offers/javan</t>
        </is>
      </c>
      <c r="R439" s="115" t="n">
        <v>125.95</v>
      </c>
      <c r="S439" s="116" t="n">
        <v>1168</v>
      </c>
      <c r="T439" s="116" t="n">
        <v>812</v>
      </c>
      <c r="U439" s="117">
        <f>IFERROR(S439/T439,"")</f>
        <v/>
      </c>
      <c r="V439" s="116" t="n">
        <v>40</v>
      </c>
      <c r="W439" s="116" t="n">
        <v>29</v>
      </c>
      <c r="X439" s="118">
        <f>IFERROR(W439/S439,"")</f>
        <v/>
      </c>
      <c r="Y439" s="115">
        <f>IFERROR(R439/W439,"")</f>
        <v/>
      </c>
      <c r="Z439" s="115">
        <f>IFERROR(R439/S439*1000,"")</f>
        <v/>
      </c>
      <c r="AA439" s="116" t="n">
        <v>26</v>
      </c>
      <c r="AB439" s="47">
        <f>IFERROR(AA439/W439,"")</f>
        <v/>
      </c>
      <c r="AC439" s="116" t="n">
        <v>0</v>
      </c>
      <c r="AD439" s="116" t="n">
        <v>0</v>
      </c>
      <c r="AE439" s="116" t="n">
        <v>0</v>
      </c>
      <c r="AF439" s="116" t="n">
        <v>0</v>
      </c>
      <c r="AG439" s="116" t="n">
        <v>0</v>
      </c>
      <c r="AH439" s="116" t="n">
        <v>0</v>
      </c>
      <c r="AI439" s="47">
        <f>IFERROR(AC439/S439,"")</f>
        <v/>
      </c>
      <c r="AJ439" s="47">
        <f>IFERROR(AH439/S439,"")</f>
        <v/>
      </c>
      <c r="AK439" s="116" t="n">
        <v>40</v>
      </c>
      <c r="AL439" s="116" t="n">
        <v>1</v>
      </c>
      <c r="AM439" s="118">
        <f>IFERROR(AL439/AA439,"")</f>
        <v/>
      </c>
      <c r="AN439" s="119">
        <f>IFERROR(R439/AL439,"")</f>
        <v/>
      </c>
      <c r="AO439" s="116" t="n">
        <v>1</v>
      </c>
      <c r="AP439" s="47">
        <f>IFERROR(AO439/AL439,"")</f>
        <v/>
      </c>
      <c r="AQ439" s="119">
        <f>IFERROR(R439/AO439,"")</f>
        <v/>
      </c>
      <c r="AR439" s="116" t="n">
        <v>0</v>
      </c>
      <c r="AS439" s="116" t="n">
        <v>1</v>
      </c>
      <c r="AT439" s="116">
        <f>AL439+AR439</f>
        <v/>
      </c>
      <c r="AU439" s="119">
        <f>IFERROR(AO439*Assumptions!$C$26*Assumptions!$C$27*INDEX(Assumptions!$C$18:$C$21,MATCH(H439,Assumptions!$B$18:$B$21,0)),0)</f>
        <v/>
      </c>
    </row>
    <row r="440">
      <c r="A440" s="114" t="n">
        <v>46237</v>
      </c>
      <c r="B440" s="42" t="inlineStr">
        <is>
          <t>Wk 32</t>
        </is>
      </c>
      <c r="C440" s="42" t="inlineStr">
        <is>
          <t>Mon</t>
        </is>
      </c>
      <c r="D440" s="42" t="inlineStr">
        <is>
          <t>Meta (FB/IG)</t>
        </is>
      </c>
      <c r="E440" s="42" t="inlineStr">
        <is>
          <t>Facebook + Instagram</t>
        </is>
      </c>
      <c r="F440" s="42" t="inlineStr">
        <is>
          <t>LEP_ZA_AUG26_META_TD_JAVAN_CONV</t>
        </is>
      </c>
      <c r="G440" s="42" t="inlineStr">
        <is>
          <t>Leads - Website Conversions</t>
        </is>
      </c>
      <c r="H440" s="42" t="inlineStr">
        <is>
          <t>JAVAN</t>
        </is>
      </c>
      <c r="I440" s="42" t="inlineStr">
        <is>
          <t>10% Deposit</t>
        </is>
      </c>
      <c r="J440" s="42" t="inlineStr">
        <is>
          <t>MET_JAVAN_INMKT_SUV_ZA</t>
        </is>
      </c>
      <c r="K440" s="42" t="inlineStr">
        <is>
          <t>In-Market</t>
        </is>
      </c>
      <c r="L440" s="42" t="inlineStr">
        <is>
          <t>JAVAN_STA_Compare_SUV_v1</t>
        </is>
      </c>
      <c r="M440" s="42" t="inlineStr">
        <is>
          <t>Static 4:5</t>
        </is>
      </c>
      <c r="N440" s="42" t="inlineStr">
        <is>
          <t>JAVAN vs the usual suspects</t>
        </is>
      </c>
      <c r="O440" s="42" t="inlineStr">
        <is>
          <t>Auction - Lowest Cost</t>
        </is>
      </c>
      <c r="P440" s="42" t="inlineStr">
        <is>
          <t>Offsite Conversions</t>
        </is>
      </c>
      <c r="Q440" s="42" t="inlineStr">
        <is>
          <t>https://www.lepas-sa.co.za/offers/javan</t>
        </is>
      </c>
      <c r="R440" s="115" t="n">
        <v>113.85</v>
      </c>
      <c r="S440" s="116" t="n">
        <v>1721</v>
      </c>
      <c r="T440" s="116" t="n">
        <v>1371</v>
      </c>
      <c r="U440" s="117">
        <f>IFERROR(S440/T440,"")</f>
        <v/>
      </c>
      <c r="V440" s="116" t="n">
        <v>29</v>
      </c>
      <c r="W440" s="116" t="n">
        <v>24</v>
      </c>
      <c r="X440" s="118">
        <f>IFERROR(W440/S440,"")</f>
        <v/>
      </c>
      <c r="Y440" s="115">
        <f>IFERROR(R440/W440,"")</f>
        <v/>
      </c>
      <c r="Z440" s="115">
        <f>IFERROR(R440/S440*1000,"")</f>
        <v/>
      </c>
      <c r="AA440" s="116" t="n">
        <v>19</v>
      </c>
      <c r="AB440" s="47">
        <f>IFERROR(AA440/W440,"")</f>
        <v/>
      </c>
      <c r="AC440" s="116" t="n">
        <v>0</v>
      </c>
      <c r="AD440" s="116" t="n">
        <v>0</v>
      </c>
      <c r="AE440" s="116" t="n">
        <v>0</v>
      </c>
      <c r="AF440" s="116" t="n">
        <v>0</v>
      </c>
      <c r="AG440" s="116" t="n">
        <v>0</v>
      </c>
      <c r="AH440" s="116" t="n">
        <v>0</v>
      </c>
      <c r="AI440" s="47">
        <f>IFERROR(AC440/S440,"")</f>
        <v/>
      </c>
      <c r="AJ440" s="47">
        <f>IFERROR(AH440/S440,"")</f>
        <v/>
      </c>
      <c r="AK440" s="116" t="n">
        <v>31</v>
      </c>
      <c r="AL440" s="116" t="n">
        <v>0</v>
      </c>
      <c r="AM440" s="118">
        <f>IFERROR(AL440/AA440,"")</f>
        <v/>
      </c>
      <c r="AN440" s="119">
        <f>IFERROR(R440/AL440,"")</f>
        <v/>
      </c>
      <c r="AO440" s="116" t="n">
        <v>0</v>
      </c>
      <c r="AP440" s="47">
        <f>IFERROR(AO440/AL440,"")</f>
        <v/>
      </c>
      <c r="AQ440" s="119">
        <f>IFERROR(R440/AO440,"")</f>
        <v/>
      </c>
      <c r="AR440" s="116" t="n">
        <v>0</v>
      </c>
      <c r="AS440" s="116" t="n">
        <v>0</v>
      </c>
      <c r="AT440" s="116">
        <f>AL440+AR440</f>
        <v/>
      </c>
      <c r="AU440" s="119">
        <f>IFERROR(AO440*Assumptions!$C$26*Assumptions!$C$27*INDEX(Assumptions!$C$18:$C$21,MATCH(H440,Assumptions!$B$18:$B$21,0)),0)</f>
        <v/>
      </c>
    </row>
    <row r="441">
      <c r="A441" s="114" t="n">
        <v>46238</v>
      </c>
      <c r="B441" s="42" t="inlineStr">
        <is>
          <t>Wk 32</t>
        </is>
      </c>
      <c r="C441" s="42" t="inlineStr">
        <is>
          <t>Tue</t>
        </is>
      </c>
      <c r="D441" s="42" t="inlineStr">
        <is>
          <t>Meta (FB/IG)</t>
        </is>
      </c>
      <c r="E441" s="42" t="inlineStr">
        <is>
          <t>Facebook + Instagram</t>
        </is>
      </c>
      <c r="F441" s="42" t="inlineStr">
        <is>
          <t>LEP_ZA_AUG26_META_TD_JAVAN_CONV</t>
        </is>
      </c>
      <c r="G441" s="42" t="inlineStr">
        <is>
          <t>Leads - Website Conversions</t>
        </is>
      </c>
      <c r="H441" s="42" t="inlineStr">
        <is>
          <t>JAVAN</t>
        </is>
      </c>
      <c r="I441" s="42" t="inlineStr">
        <is>
          <t>10% Deposit</t>
        </is>
      </c>
      <c r="J441" s="42" t="inlineStr">
        <is>
          <t>MET_JAVAN_INMKT_SUV_ZA</t>
        </is>
      </c>
      <c r="K441" s="42" t="inlineStr">
        <is>
          <t>In-Market</t>
        </is>
      </c>
      <c r="L441" s="42" t="inlineStr">
        <is>
          <t>JAVAN_STA_Compare_SUV_v1</t>
        </is>
      </c>
      <c r="M441" s="42" t="inlineStr">
        <is>
          <t>Static 4:5</t>
        </is>
      </c>
      <c r="N441" s="42" t="inlineStr">
        <is>
          <t>JAVAN vs the usual suspects</t>
        </is>
      </c>
      <c r="O441" s="42" t="inlineStr">
        <is>
          <t>Auction - Lowest Cost</t>
        </is>
      </c>
      <c r="P441" s="42" t="inlineStr">
        <is>
          <t>Offsite Conversions</t>
        </is>
      </c>
      <c r="Q441" s="42" t="inlineStr">
        <is>
          <t>https://www.lepas-sa.co.za/offers/javan</t>
        </is>
      </c>
      <c r="R441" s="115" t="n">
        <v>151.55</v>
      </c>
      <c r="S441" s="116" t="n">
        <v>2164</v>
      </c>
      <c r="T441" s="116" t="n">
        <v>1566</v>
      </c>
      <c r="U441" s="117">
        <f>IFERROR(S441/T441,"")</f>
        <v/>
      </c>
      <c r="V441" s="116" t="n">
        <v>71</v>
      </c>
      <c r="W441" s="116" t="n">
        <v>53</v>
      </c>
      <c r="X441" s="118">
        <f>IFERROR(W441/S441,"")</f>
        <v/>
      </c>
      <c r="Y441" s="115">
        <f>IFERROR(R441/W441,"")</f>
        <v/>
      </c>
      <c r="Z441" s="115">
        <f>IFERROR(R441/S441*1000,"")</f>
        <v/>
      </c>
      <c r="AA441" s="116" t="n">
        <v>43</v>
      </c>
      <c r="AB441" s="47">
        <f>IFERROR(AA441/W441,"")</f>
        <v/>
      </c>
      <c r="AC441" s="116" t="n">
        <v>0</v>
      </c>
      <c r="AD441" s="116" t="n">
        <v>0</v>
      </c>
      <c r="AE441" s="116" t="n">
        <v>0</v>
      </c>
      <c r="AF441" s="116" t="n">
        <v>0</v>
      </c>
      <c r="AG441" s="116" t="n">
        <v>0</v>
      </c>
      <c r="AH441" s="116" t="n">
        <v>0</v>
      </c>
      <c r="AI441" s="47">
        <f>IFERROR(AC441/S441,"")</f>
        <v/>
      </c>
      <c r="AJ441" s="47">
        <f>IFERROR(AH441/S441,"")</f>
        <v/>
      </c>
      <c r="AK441" s="116" t="n">
        <v>71</v>
      </c>
      <c r="AL441" s="116" t="n">
        <v>1</v>
      </c>
      <c r="AM441" s="118">
        <f>IFERROR(AL441/AA441,"")</f>
        <v/>
      </c>
      <c r="AN441" s="119">
        <f>IFERROR(R441/AL441,"")</f>
        <v/>
      </c>
      <c r="AO441" s="116" t="n">
        <v>1</v>
      </c>
      <c r="AP441" s="47">
        <f>IFERROR(AO441/AL441,"")</f>
        <v/>
      </c>
      <c r="AQ441" s="119">
        <f>IFERROR(R441/AO441,"")</f>
        <v/>
      </c>
      <c r="AR441" s="116" t="n">
        <v>0</v>
      </c>
      <c r="AS441" s="116" t="n">
        <v>0</v>
      </c>
      <c r="AT441" s="116">
        <f>AL441+AR441</f>
        <v/>
      </c>
      <c r="AU441" s="119">
        <f>IFERROR(AO441*Assumptions!$C$26*Assumptions!$C$27*INDEX(Assumptions!$C$18:$C$21,MATCH(H441,Assumptions!$B$18:$B$21,0)),0)</f>
        <v/>
      </c>
    </row>
    <row r="442">
      <c r="A442" s="114" t="n">
        <v>46239</v>
      </c>
      <c r="B442" s="42" t="inlineStr">
        <is>
          <t>Wk 32</t>
        </is>
      </c>
      <c r="C442" s="42" t="inlineStr">
        <is>
          <t>Wed</t>
        </is>
      </c>
      <c r="D442" s="42" t="inlineStr">
        <is>
          <t>Meta (FB/IG)</t>
        </is>
      </c>
      <c r="E442" s="42" t="inlineStr">
        <is>
          <t>Facebook + Instagram</t>
        </is>
      </c>
      <c r="F442" s="42" t="inlineStr">
        <is>
          <t>LEP_ZA_AUG26_META_TD_JAVAN_CONV</t>
        </is>
      </c>
      <c r="G442" s="42" t="inlineStr">
        <is>
          <t>Leads - Website Conversions</t>
        </is>
      </c>
      <c r="H442" s="42" t="inlineStr">
        <is>
          <t>JAVAN</t>
        </is>
      </c>
      <c r="I442" s="42" t="inlineStr">
        <is>
          <t>10% Deposit</t>
        </is>
      </c>
      <c r="J442" s="42" t="inlineStr">
        <is>
          <t>MET_JAVAN_INMKT_SUV_ZA</t>
        </is>
      </c>
      <c r="K442" s="42" t="inlineStr">
        <is>
          <t>In-Market</t>
        </is>
      </c>
      <c r="L442" s="42" t="inlineStr">
        <is>
          <t>JAVAN_STA_Compare_SUV_v1</t>
        </is>
      </c>
      <c r="M442" s="42" t="inlineStr">
        <is>
          <t>Static 4:5</t>
        </is>
      </c>
      <c r="N442" s="42" t="inlineStr">
        <is>
          <t>JAVAN vs the usual suspects</t>
        </is>
      </c>
      <c r="O442" s="42" t="inlineStr">
        <is>
          <t>Auction - Lowest Cost</t>
        </is>
      </c>
      <c r="P442" s="42" t="inlineStr">
        <is>
          <t>Offsite Conversions</t>
        </is>
      </c>
      <c r="Q442" s="42" t="inlineStr">
        <is>
          <t>https://www.lepas-sa.co.za/offers/javan</t>
        </is>
      </c>
      <c r="R442" s="115" t="n">
        <v>146.01</v>
      </c>
      <c r="S442" s="116" t="n">
        <v>2157</v>
      </c>
      <c r="T442" s="116" t="n">
        <v>1363</v>
      </c>
      <c r="U442" s="117">
        <f>IFERROR(S442/T442,"")</f>
        <v/>
      </c>
      <c r="V442" s="116" t="n">
        <v>64</v>
      </c>
      <c r="W442" s="116" t="n">
        <v>48</v>
      </c>
      <c r="X442" s="118">
        <f>IFERROR(W442/S442,"")</f>
        <v/>
      </c>
      <c r="Y442" s="115">
        <f>IFERROR(R442/W442,"")</f>
        <v/>
      </c>
      <c r="Z442" s="115">
        <f>IFERROR(R442/S442*1000,"")</f>
        <v/>
      </c>
      <c r="AA442" s="116" t="n">
        <v>40</v>
      </c>
      <c r="AB442" s="47">
        <f>IFERROR(AA442/W442,"")</f>
        <v/>
      </c>
      <c r="AC442" s="116" t="n">
        <v>0</v>
      </c>
      <c r="AD442" s="116" t="n">
        <v>0</v>
      </c>
      <c r="AE442" s="116" t="n">
        <v>0</v>
      </c>
      <c r="AF442" s="116" t="n">
        <v>0</v>
      </c>
      <c r="AG442" s="116" t="n">
        <v>0</v>
      </c>
      <c r="AH442" s="116" t="n">
        <v>0</v>
      </c>
      <c r="AI442" s="47">
        <f>IFERROR(AC442/S442,"")</f>
        <v/>
      </c>
      <c r="AJ442" s="47">
        <f>IFERROR(AH442/S442,"")</f>
        <v/>
      </c>
      <c r="AK442" s="116" t="n">
        <v>72</v>
      </c>
      <c r="AL442" s="116" t="n">
        <v>0</v>
      </c>
      <c r="AM442" s="118">
        <f>IFERROR(AL442/AA442,"")</f>
        <v/>
      </c>
      <c r="AN442" s="119">
        <f>IFERROR(R442/AL442,"")</f>
        <v/>
      </c>
      <c r="AO442" s="116" t="n">
        <v>0</v>
      </c>
      <c r="AP442" s="47">
        <f>IFERROR(AO442/AL442,"")</f>
        <v/>
      </c>
      <c r="AQ442" s="119">
        <f>IFERROR(R442/AO442,"")</f>
        <v/>
      </c>
      <c r="AR442" s="116" t="n">
        <v>0</v>
      </c>
      <c r="AS442" s="116" t="n">
        <v>0</v>
      </c>
      <c r="AT442" s="116">
        <f>AL442+AR442</f>
        <v/>
      </c>
      <c r="AU442" s="119">
        <f>IFERROR(AO442*Assumptions!$C$26*Assumptions!$C$27*INDEX(Assumptions!$C$18:$C$21,MATCH(H442,Assumptions!$B$18:$B$21,0)),0)</f>
        <v/>
      </c>
    </row>
    <row r="443">
      <c r="A443" s="114" t="n">
        <v>46240</v>
      </c>
      <c r="B443" s="42" t="inlineStr">
        <is>
          <t>Wk 32</t>
        </is>
      </c>
      <c r="C443" s="42" t="inlineStr">
        <is>
          <t>Thu</t>
        </is>
      </c>
      <c r="D443" s="42" t="inlineStr">
        <is>
          <t>Meta (FB/IG)</t>
        </is>
      </c>
      <c r="E443" s="42" t="inlineStr">
        <is>
          <t>Facebook + Instagram</t>
        </is>
      </c>
      <c r="F443" s="42" t="inlineStr">
        <is>
          <t>LEP_ZA_AUG26_META_TD_JAVAN_CONV</t>
        </is>
      </c>
      <c r="G443" s="42" t="inlineStr">
        <is>
          <t>Leads - Website Conversions</t>
        </is>
      </c>
      <c r="H443" s="42" t="inlineStr">
        <is>
          <t>JAVAN</t>
        </is>
      </c>
      <c r="I443" s="42" t="inlineStr">
        <is>
          <t>10% Deposit</t>
        </is>
      </c>
      <c r="J443" s="42" t="inlineStr">
        <is>
          <t>MET_JAVAN_INMKT_SUV_ZA</t>
        </is>
      </c>
      <c r="K443" s="42" t="inlineStr">
        <is>
          <t>In-Market</t>
        </is>
      </c>
      <c r="L443" s="42" t="inlineStr">
        <is>
          <t>JAVAN_STA_Compare_SUV_v1</t>
        </is>
      </c>
      <c r="M443" s="42" t="inlineStr">
        <is>
          <t>Static 4:5</t>
        </is>
      </c>
      <c r="N443" s="42" t="inlineStr">
        <is>
          <t>JAVAN vs the usual suspects</t>
        </is>
      </c>
      <c r="O443" s="42" t="inlineStr">
        <is>
          <t>Auction - Lowest Cost</t>
        </is>
      </c>
      <c r="P443" s="42" t="inlineStr">
        <is>
          <t>Offsite Conversions</t>
        </is>
      </c>
      <c r="Q443" s="42" t="inlineStr">
        <is>
          <t>https://www.lepas-sa.co.za/offers/javan</t>
        </is>
      </c>
      <c r="R443" s="115" t="n">
        <v>175.13</v>
      </c>
      <c r="S443" s="116" t="n">
        <v>1855</v>
      </c>
      <c r="T443" s="116" t="n">
        <v>1123</v>
      </c>
      <c r="U443" s="117">
        <f>IFERROR(S443/T443,"")</f>
        <v/>
      </c>
      <c r="V443" s="116" t="n">
        <v>46</v>
      </c>
      <c r="W443" s="116" t="n">
        <v>33</v>
      </c>
      <c r="X443" s="118">
        <f>IFERROR(W443/S443,"")</f>
        <v/>
      </c>
      <c r="Y443" s="115">
        <f>IFERROR(R443/W443,"")</f>
        <v/>
      </c>
      <c r="Z443" s="115">
        <f>IFERROR(R443/S443*1000,"")</f>
        <v/>
      </c>
      <c r="AA443" s="116" t="n">
        <v>27</v>
      </c>
      <c r="AB443" s="47">
        <f>IFERROR(AA443/W443,"")</f>
        <v/>
      </c>
      <c r="AC443" s="116" t="n">
        <v>0</v>
      </c>
      <c r="AD443" s="116" t="n">
        <v>0</v>
      </c>
      <c r="AE443" s="116" t="n">
        <v>0</v>
      </c>
      <c r="AF443" s="116" t="n">
        <v>0</v>
      </c>
      <c r="AG443" s="116" t="n">
        <v>0</v>
      </c>
      <c r="AH443" s="116" t="n">
        <v>0</v>
      </c>
      <c r="AI443" s="47">
        <f>IFERROR(AC443/S443,"")</f>
        <v/>
      </c>
      <c r="AJ443" s="47">
        <f>IFERROR(AH443/S443,"")</f>
        <v/>
      </c>
      <c r="AK443" s="116" t="n">
        <v>49</v>
      </c>
      <c r="AL443" s="116" t="n">
        <v>1</v>
      </c>
      <c r="AM443" s="118">
        <f>IFERROR(AL443/AA443,"")</f>
        <v/>
      </c>
      <c r="AN443" s="119">
        <f>IFERROR(R443/AL443,"")</f>
        <v/>
      </c>
      <c r="AO443" s="116" t="n">
        <v>1</v>
      </c>
      <c r="AP443" s="47">
        <f>IFERROR(AO443/AL443,"")</f>
        <v/>
      </c>
      <c r="AQ443" s="119">
        <f>IFERROR(R443/AO443,"")</f>
        <v/>
      </c>
      <c r="AR443" s="116" t="n">
        <v>0</v>
      </c>
      <c r="AS443" s="116" t="n">
        <v>0</v>
      </c>
      <c r="AT443" s="116">
        <f>AL443+AR443</f>
        <v/>
      </c>
      <c r="AU443" s="119">
        <f>IFERROR(AO443*Assumptions!$C$26*Assumptions!$C$27*INDEX(Assumptions!$C$18:$C$21,MATCH(H443,Assumptions!$B$18:$B$21,0)),0)</f>
        <v/>
      </c>
    </row>
    <row r="444">
      <c r="A444" s="114" t="n">
        <v>46241</v>
      </c>
      <c r="B444" s="42" t="inlineStr">
        <is>
          <t>Wk 32</t>
        </is>
      </c>
      <c r="C444" s="42" t="inlineStr">
        <is>
          <t>Fri</t>
        </is>
      </c>
      <c r="D444" s="42" t="inlineStr">
        <is>
          <t>Meta (FB/IG)</t>
        </is>
      </c>
      <c r="E444" s="42" t="inlineStr">
        <is>
          <t>Facebook + Instagram</t>
        </is>
      </c>
      <c r="F444" s="42" t="inlineStr">
        <is>
          <t>LEP_ZA_AUG26_META_TD_JAVAN_CONV</t>
        </is>
      </c>
      <c r="G444" s="42" t="inlineStr">
        <is>
          <t>Leads - Website Conversions</t>
        </is>
      </c>
      <c r="H444" s="42" t="inlineStr">
        <is>
          <t>JAVAN</t>
        </is>
      </c>
      <c r="I444" s="42" t="inlineStr">
        <is>
          <t>10% Deposit</t>
        </is>
      </c>
      <c r="J444" s="42" t="inlineStr">
        <is>
          <t>MET_JAVAN_INMKT_SUV_ZA</t>
        </is>
      </c>
      <c r="K444" s="42" t="inlineStr">
        <is>
          <t>In-Market</t>
        </is>
      </c>
      <c r="L444" s="42" t="inlineStr">
        <is>
          <t>JAVAN_STA_Compare_SUV_v1</t>
        </is>
      </c>
      <c r="M444" s="42" t="inlineStr">
        <is>
          <t>Static 4:5</t>
        </is>
      </c>
      <c r="N444" s="42" t="inlineStr">
        <is>
          <t>JAVAN vs the usual suspects</t>
        </is>
      </c>
      <c r="O444" s="42" t="inlineStr">
        <is>
          <t>Auction - Lowest Cost</t>
        </is>
      </c>
      <c r="P444" s="42" t="inlineStr">
        <is>
          <t>Offsite Conversions</t>
        </is>
      </c>
      <c r="Q444" s="42" t="inlineStr">
        <is>
          <t>https://www.lepas-sa.co.za/offers/javan</t>
        </is>
      </c>
      <c r="R444" s="115" t="n">
        <v>153.82</v>
      </c>
      <c r="S444" s="116" t="n">
        <v>1464</v>
      </c>
      <c r="T444" s="116" t="n">
        <v>928</v>
      </c>
      <c r="U444" s="117">
        <f>IFERROR(S444/T444,"")</f>
        <v/>
      </c>
      <c r="V444" s="116" t="n">
        <v>19</v>
      </c>
      <c r="W444" s="116" t="n">
        <v>16</v>
      </c>
      <c r="X444" s="118">
        <f>IFERROR(W444/S444,"")</f>
        <v/>
      </c>
      <c r="Y444" s="115">
        <f>IFERROR(R444/W444,"")</f>
        <v/>
      </c>
      <c r="Z444" s="115">
        <f>IFERROR(R444/S444*1000,"")</f>
        <v/>
      </c>
      <c r="AA444" s="116" t="n">
        <v>14</v>
      </c>
      <c r="AB444" s="47">
        <f>IFERROR(AA444/W444,"")</f>
        <v/>
      </c>
      <c r="AC444" s="116" t="n">
        <v>0</v>
      </c>
      <c r="AD444" s="116" t="n">
        <v>0</v>
      </c>
      <c r="AE444" s="116" t="n">
        <v>0</v>
      </c>
      <c r="AF444" s="116" t="n">
        <v>0</v>
      </c>
      <c r="AG444" s="116" t="n">
        <v>0</v>
      </c>
      <c r="AH444" s="116" t="n">
        <v>0</v>
      </c>
      <c r="AI444" s="47">
        <f>IFERROR(AC444/S444,"")</f>
        <v/>
      </c>
      <c r="AJ444" s="47">
        <f>IFERROR(AH444/S444,"")</f>
        <v/>
      </c>
      <c r="AK444" s="116" t="n">
        <v>45</v>
      </c>
      <c r="AL444" s="116" t="n">
        <v>0</v>
      </c>
      <c r="AM444" s="118">
        <f>IFERROR(AL444/AA444,"")</f>
        <v/>
      </c>
      <c r="AN444" s="119">
        <f>IFERROR(R444/AL444,"")</f>
        <v/>
      </c>
      <c r="AO444" s="116" t="n">
        <v>0</v>
      </c>
      <c r="AP444" s="47">
        <f>IFERROR(AO444/AL444,"")</f>
        <v/>
      </c>
      <c r="AQ444" s="119">
        <f>IFERROR(R444/AO444,"")</f>
        <v/>
      </c>
      <c r="AR444" s="116" t="n">
        <v>0</v>
      </c>
      <c r="AS444" s="116" t="n">
        <v>0</v>
      </c>
      <c r="AT444" s="116">
        <f>AL444+AR444</f>
        <v/>
      </c>
      <c r="AU444" s="119">
        <f>IFERROR(AO444*Assumptions!$C$26*Assumptions!$C$27*INDEX(Assumptions!$C$18:$C$21,MATCH(H444,Assumptions!$B$18:$B$21,0)),0)</f>
        <v/>
      </c>
    </row>
    <row r="445">
      <c r="A445" s="114" t="n">
        <v>46242</v>
      </c>
      <c r="B445" s="42" t="inlineStr">
        <is>
          <t>Wk 32</t>
        </is>
      </c>
      <c r="C445" s="42" t="inlineStr">
        <is>
          <t>Sat</t>
        </is>
      </c>
      <c r="D445" s="42" t="inlineStr">
        <is>
          <t>Meta (FB/IG)</t>
        </is>
      </c>
      <c r="E445" s="42" t="inlineStr">
        <is>
          <t>Facebook + Instagram</t>
        </is>
      </c>
      <c r="F445" s="42" t="inlineStr">
        <is>
          <t>LEP_ZA_AUG26_META_TD_JAVAN_CONV</t>
        </is>
      </c>
      <c r="G445" s="42" t="inlineStr">
        <is>
          <t>Leads - Website Conversions</t>
        </is>
      </c>
      <c r="H445" s="42" t="inlineStr">
        <is>
          <t>JAVAN</t>
        </is>
      </c>
      <c r="I445" s="42" t="inlineStr">
        <is>
          <t>10% Deposit</t>
        </is>
      </c>
      <c r="J445" s="42" t="inlineStr">
        <is>
          <t>MET_JAVAN_INMKT_SUV_ZA</t>
        </is>
      </c>
      <c r="K445" s="42" t="inlineStr">
        <is>
          <t>In-Market</t>
        </is>
      </c>
      <c r="L445" s="42" t="inlineStr">
        <is>
          <t>JAVAN_STA_Compare_SUV_v1</t>
        </is>
      </c>
      <c r="M445" s="42" t="inlineStr">
        <is>
          <t>Static 4:5</t>
        </is>
      </c>
      <c r="N445" s="42" t="inlineStr">
        <is>
          <t>JAVAN vs the usual suspects</t>
        </is>
      </c>
      <c r="O445" s="42" t="inlineStr">
        <is>
          <t>Auction - Lowest Cost</t>
        </is>
      </c>
      <c r="P445" s="42" t="inlineStr">
        <is>
          <t>Offsite Conversions</t>
        </is>
      </c>
      <c r="Q445" s="42" t="inlineStr">
        <is>
          <t>https://www.lepas-sa.co.za/offers/javan</t>
        </is>
      </c>
      <c r="R445" s="115" t="n">
        <v>174.12</v>
      </c>
      <c r="S445" s="116" t="n">
        <v>1975</v>
      </c>
      <c r="T445" s="116" t="n">
        <v>1480</v>
      </c>
      <c r="U445" s="117">
        <f>IFERROR(S445/T445,"")</f>
        <v/>
      </c>
      <c r="V445" s="116" t="n">
        <v>39</v>
      </c>
      <c r="W445" s="116" t="n">
        <v>32</v>
      </c>
      <c r="X445" s="118">
        <f>IFERROR(W445/S445,"")</f>
        <v/>
      </c>
      <c r="Y445" s="115">
        <f>IFERROR(R445/W445,"")</f>
        <v/>
      </c>
      <c r="Z445" s="115">
        <f>IFERROR(R445/S445*1000,"")</f>
        <v/>
      </c>
      <c r="AA445" s="116" t="n">
        <v>28</v>
      </c>
      <c r="AB445" s="47">
        <f>IFERROR(AA445/W445,"")</f>
        <v/>
      </c>
      <c r="AC445" s="116" t="n">
        <v>0</v>
      </c>
      <c r="AD445" s="116" t="n">
        <v>0</v>
      </c>
      <c r="AE445" s="116" t="n">
        <v>0</v>
      </c>
      <c r="AF445" s="116" t="n">
        <v>0</v>
      </c>
      <c r="AG445" s="116" t="n">
        <v>0</v>
      </c>
      <c r="AH445" s="116" t="n">
        <v>0</v>
      </c>
      <c r="AI445" s="47">
        <f>IFERROR(AC445/S445,"")</f>
        <v/>
      </c>
      <c r="AJ445" s="47">
        <f>IFERROR(AH445/S445,"")</f>
        <v/>
      </c>
      <c r="AK445" s="116" t="n">
        <v>65</v>
      </c>
      <c r="AL445" s="116" t="n">
        <v>0</v>
      </c>
      <c r="AM445" s="118">
        <f>IFERROR(AL445/AA445,"")</f>
        <v/>
      </c>
      <c r="AN445" s="119">
        <f>IFERROR(R445/AL445,"")</f>
        <v/>
      </c>
      <c r="AO445" s="116" t="n">
        <v>0</v>
      </c>
      <c r="AP445" s="47">
        <f>IFERROR(AO445/AL445,"")</f>
        <v/>
      </c>
      <c r="AQ445" s="119">
        <f>IFERROR(R445/AO445,"")</f>
        <v/>
      </c>
      <c r="AR445" s="116" t="n">
        <v>0</v>
      </c>
      <c r="AS445" s="116" t="n">
        <v>0</v>
      </c>
      <c r="AT445" s="116">
        <f>AL445+AR445</f>
        <v/>
      </c>
      <c r="AU445" s="119">
        <f>IFERROR(AO445*Assumptions!$C$26*Assumptions!$C$27*INDEX(Assumptions!$C$18:$C$21,MATCH(H445,Assumptions!$B$18:$B$21,0)),0)</f>
        <v/>
      </c>
    </row>
    <row r="446">
      <c r="A446" s="114" t="n">
        <v>46243</v>
      </c>
      <c r="B446" s="42" t="inlineStr">
        <is>
          <t>Wk 32</t>
        </is>
      </c>
      <c r="C446" s="42" t="inlineStr">
        <is>
          <t>Sun</t>
        </is>
      </c>
      <c r="D446" s="42" t="inlineStr">
        <is>
          <t>Meta (FB/IG)</t>
        </is>
      </c>
      <c r="E446" s="42" t="inlineStr">
        <is>
          <t>Facebook + Instagram</t>
        </is>
      </c>
      <c r="F446" s="42" t="inlineStr">
        <is>
          <t>LEP_ZA_AUG26_META_TD_JAVAN_CONV</t>
        </is>
      </c>
      <c r="G446" s="42" t="inlineStr">
        <is>
          <t>Leads - Website Conversions</t>
        </is>
      </c>
      <c r="H446" s="42" t="inlineStr">
        <is>
          <t>JAVAN</t>
        </is>
      </c>
      <c r="I446" s="42" t="inlineStr">
        <is>
          <t>10% Deposit</t>
        </is>
      </c>
      <c r="J446" s="42" t="inlineStr">
        <is>
          <t>MET_JAVAN_INMKT_SUV_ZA</t>
        </is>
      </c>
      <c r="K446" s="42" t="inlineStr">
        <is>
          <t>In-Market</t>
        </is>
      </c>
      <c r="L446" s="42" t="inlineStr">
        <is>
          <t>JAVAN_STA_Compare_SUV_v1</t>
        </is>
      </c>
      <c r="M446" s="42" t="inlineStr">
        <is>
          <t>Static 4:5</t>
        </is>
      </c>
      <c r="N446" s="42" t="inlineStr">
        <is>
          <t>JAVAN vs the usual suspects</t>
        </is>
      </c>
      <c r="O446" s="42" t="inlineStr">
        <is>
          <t>Auction - Lowest Cost</t>
        </is>
      </c>
      <c r="P446" s="42" t="inlineStr">
        <is>
          <t>Offsite Conversions</t>
        </is>
      </c>
      <c r="Q446" s="42" t="inlineStr">
        <is>
          <t>https://www.lepas-sa.co.za/offers/javan</t>
        </is>
      </c>
      <c r="R446" s="115" t="n">
        <v>115.2</v>
      </c>
      <c r="S446" s="116" t="n">
        <v>1686</v>
      </c>
      <c r="T446" s="116" t="n">
        <v>1188</v>
      </c>
      <c r="U446" s="117">
        <f>IFERROR(S446/T446,"")</f>
        <v/>
      </c>
      <c r="V446" s="116" t="n">
        <v>22</v>
      </c>
      <c r="W446" s="116" t="n">
        <v>17</v>
      </c>
      <c r="X446" s="118">
        <f>IFERROR(W446/S446,"")</f>
        <v/>
      </c>
      <c r="Y446" s="115">
        <f>IFERROR(R446/W446,"")</f>
        <v/>
      </c>
      <c r="Z446" s="115">
        <f>IFERROR(R446/S446*1000,"")</f>
        <v/>
      </c>
      <c r="AA446" s="116" t="n">
        <v>14</v>
      </c>
      <c r="AB446" s="47">
        <f>IFERROR(AA446/W446,"")</f>
        <v/>
      </c>
      <c r="AC446" s="116" t="n">
        <v>0</v>
      </c>
      <c r="AD446" s="116" t="n">
        <v>0</v>
      </c>
      <c r="AE446" s="116" t="n">
        <v>0</v>
      </c>
      <c r="AF446" s="116" t="n">
        <v>0</v>
      </c>
      <c r="AG446" s="116" t="n">
        <v>0</v>
      </c>
      <c r="AH446" s="116" t="n">
        <v>0</v>
      </c>
      <c r="AI446" s="47">
        <f>IFERROR(AC446/S446,"")</f>
        <v/>
      </c>
      <c r="AJ446" s="47">
        <f>IFERROR(AH446/S446,"")</f>
        <v/>
      </c>
      <c r="AK446" s="116" t="n">
        <v>23</v>
      </c>
      <c r="AL446" s="116" t="n">
        <v>1</v>
      </c>
      <c r="AM446" s="118">
        <f>IFERROR(AL446/AA446,"")</f>
        <v/>
      </c>
      <c r="AN446" s="119">
        <f>IFERROR(R446/AL446,"")</f>
        <v/>
      </c>
      <c r="AO446" s="116" t="n">
        <v>1</v>
      </c>
      <c r="AP446" s="47">
        <f>IFERROR(AO446/AL446,"")</f>
        <v/>
      </c>
      <c r="AQ446" s="119">
        <f>IFERROR(R446/AO446,"")</f>
        <v/>
      </c>
      <c r="AR446" s="116" t="n">
        <v>0</v>
      </c>
      <c r="AS446" s="116" t="n">
        <v>0</v>
      </c>
      <c r="AT446" s="116">
        <f>AL446+AR446</f>
        <v/>
      </c>
      <c r="AU446" s="119">
        <f>IFERROR(AO446*Assumptions!$C$26*Assumptions!$C$27*INDEX(Assumptions!$C$18:$C$21,MATCH(H446,Assumptions!$B$18:$B$21,0)),0)</f>
        <v/>
      </c>
    </row>
    <row r="447">
      <c r="A447" s="114" t="n">
        <v>46244</v>
      </c>
      <c r="B447" s="42" t="inlineStr">
        <is>
          <t>Wk 33</t>
        </is>
      </c>
      <c r="C447" s="42" t="inlineStr">
        <is>
          <t>Mon</t>
        </is>
      </c>
      <c r="D447" s="42" t="inlineStr">
        <is>
          <t>Meta (FB/IG)</t>
        </is>
      </c>
      <c r="E447" s="42" t="inlineStr">
        <is>
          <t>Facebook + Instagram</t>
        </is>
      </c>
      <c r="F447" s="42" t="inlineStr">
        <is>
          <t>LEP_ZA_AUG26_META_TD_JAVAN_CONV</t>
        </is>
      </c>
      <c r="G447" s="42" t="inlineStr">
        <is>
          <t>Leads - Website Conversions</t>
        </is>
      </c>
      <c r="H447" s="42" t="inlineStr">
        <is>
          <t>JAVAN</t>
        </is>
      </c>
      <c r="I447" s="42" t="inlineStr">
        <is>
          <t>10% Deposit</t>
        </is>
      </c>
      <c r="J447" s="42" t="inlineStr">
        <is>
          <t>MET_JAVAN_INMKT_SUV_ZA</t>
        </is>
      </c>
      <c r="K447" s="42" t="inlineStr">
        <is>
          <t>In-Market</t>
        </is>
      </c>
      <c r="L447" s="42" t="inlineStr">
        <is>
          <t>JAVAN_STA_Compare_SUV_v1</t>
        </is>
      </c>
      <c r="M447" s="42" t="inlineStr">
        <is>
          <t>Static 4:5</t>
        </is>
      </c>
      <c r="N447" s="42" t="inlineStr">
        <is>
          <t>JAVAN vs the usual suspects</t>
        </is>
      </c>
      <c r="O447" s="42" t="inlineStr">
        <is>
          <t>Auction - Lowest Cost</t>
        </is>
      </c>
      <c r="P447" s="42" t="inlineStr">
        <is>
          <t>Offsite Conversions</t>
        </is>
      </c>
      <c r="Q447" s="42" t="inlineStr">
        <is>
          <t>https://www.lepas-sa.co.za/offers/javan</t>
        </is>
      </c>
      <c r="R447" s="115" t="n">
        <v>176.49</v>
      </c>
      <c r="S447" s="116" t="n">
        <v>1783</v>
      </c>
      <c r="T447" s="116" t="n">
        <v>1077</v>
      </c>
      <c r="U447" s="117">
        <f>IFERROR(S447/T447,"")</f>
        <v/>
      </c>
      <c r="V447" s="116" t="n">
        <v>40</v>
      </c>
      <c r="W447" s="116" t="n">
        <v>33</v>
      </c>
      <c r="X447" s="118">
        <f>IFERROR(W447/S447,"")</f>
        <v/>
      </c>
      <c r="Y447" s="115">
        <f>IFERROR(R447/W447,"")</f>
        <v/>
      </c>
      <c r="Z447" s="115">
        <f>IFERROR(R447/S447*1000,"")</f>
        <v/>
      </c>
      <c r="AA447" s="116" t="n">
        <v>28</v>
      </c>
      <c r="AB447" s="47">
        <f>IFERROR(AA447/W447,"")</f>
        <v/>
      </c>
      <c r="AC447" s="116" t="n">
        <v>0</v>
      </c>
      <c r="AD447" s="116" t="n">
        <v>0</v>
      </c>
      <c r="AE447" s="116" t="n">
        <v>0</v>
      </c>
      <c r="AF447" s="116" t="n">
        <v>0</v>
      </c>
      <c r="AG447" s="116" t="n">
        <v>0</v>
      </c>
      <c r="AH447" s="116" t="n">
        <v>0</v>
      </c>
      <c r="AI447" s="47">
        <f>IFERROR(AC447/S447,"")</f>
        <v/>
      </c>
      <c r="AJ447" s="47">
        <f>IFERROR(AH447/S447,"")</f>
        <v/>
      </c>
      <c r="AK447" s="116" t="n">
        <v>59</v>
      </c>
      <c r="AL447" s="116" t="n">
        <v>0</v>
      </c>
      <c r="AM447" s="118">
        <f>IFERROR(AL447/AA447,"")</f>
        <v/>
      </c>
      <c r="AN447" s="119">
        <f>IFERROR(R447/AL447,"")</f>
        <v/>
      </c>
      <c r="AO447" s="116" t="n">
        <v>0</v>
      </c>
      <c r="AP447" s="47">
        <f>IFERROR(AO447/AL447,"")</f>
        <v/>
      </c>
      <c r="AQ447" s="119">
        <f>IFERROR(R447/AO447,"")</f>
        <v/>
      </c>
      <c r="AR447" s="116" t="n">
        <v>0</v>
      </c>
      <c r="AS447" s="116" t="n">
        <v>0</v>
      </c>
      <c r="AT447" s="116">
        <f>AL447+AR447</f>
        <v/>
      </c>
      <c r="AU447" s="119">
        <f>IFERROR(AO447*Assumptions!$C$26*Assumptions!$C$27*INDEX(Assumptions!$C$18:$C$21,MATCH(H447,Assumptions!$B$18:$B$21,0)),0)</f>
        <v/>
      </c>
    </row>
    <row r="448">
      <c r="A448" s="114" t="n">
        <v>46245</v>
      </c>
      <c r="B448" s="42" t="inlineStr">
        <is>
          <t>Wk 33</t>
        </is>
      </c>
      <c r="C448" s="42" t="inlineStr">
        <is>
          <t>Tue</t>
        </is>
      </c>
      <c r="D448" s="42" t="inlineStr">
        <is>
          <t>Meta (FB/IG)</t>
        </is>
      </c>
      <c r="E448" s="42" t="inlineStr">
        <is>
          <t>Facebook + Instagram</t>
        </is>
      </c>
      <c r="F448" s="42" t="inlineStr">
        <is>
          <t>LEP_ZA_AUG26_META_TD_JAVAN_CONV</t>
        </is>
      </c>
      <c r="G448" s="42" t="inlineStr">
        <is>
          <t>Leads - Website Conversions</t>
        </is>
      </c>
      <c r="H448" s="42" t="inlineStr">
        <is>
          <t>JAVAN</t>
        </is>
      </c>
      <c r="I448" s="42" t="inlineStr">
        <is>
          <t>10% Deposit</t>
        </is>
      </c>
      <c r="J448" s="42" t="inlineStr">
        <is>
          <t>MET_JAVAN_INMKT_SUV_ZA</t>
        </is>
      </c>
      <c r="K448" s="42" t="inlineStr">
        <is>
          <t>In-Market</t>
        </is>
      </c>
      <c r="L448" s="42" t="inlineStr">
        <is>
          <t>JAVAN_STA_Compare_SUV_v1</t>
        </is>
      </c>
      <c r="M448" s="42" t="inlineStr">
        <is>
          <t>Static 4:5</t>
        </is>
      </c>
      <c r="N448" s="42" t="inlineStr">
        <is>
          <t>JAVAN vs the usual suspects</t>
        </is>
      </c>
      <c r="O448" s="42" t="inlineStr">
        <is>
          <t>Auction - Lowest Cost</t>
        </is>
      </c>
      <c r="P448" s="42" t="inlineStr">
        <is>
          <t>Offsite Conversions</t>
        </is>
      </c>
      <c r="Q448" s="42" t="inlineStr">
        <is>
          <t>https://www.lepas-sa.co.za/offers/javan</t>
        </is>
      </c>
      <c r="R448" s="115" t="n">
        <v>154.19</v>
      </c>
      <c r="S448" s="116" t="n">
        <v>1874</v>
      </c>
      <c r="T448" s="116" t="n">
        <v>1137</v>
      </c>
      <c r="U448" s="117">
        <f>IFERROR(S448/T448,"")</f>
        <v/>
      </c>
      <c r="V448" s="116" t="n">
        <v>45</v>
      </c>
      <c r="W448" s="116" t="n">
        <v>33</v>
      </c>
      <c r="X448" s="118">
        <f>IFERROR(W448/S448,"")</f>
        <v/>
      </c>
      <c r="Y448" s="115">
        <f>IFERROR(R448/W448,"")</f>
        <v/>
      </c>
      <c r="Z448" s="115">
        <f>IFERROR(R448/S448*1000,"")</f>
        <v/>
      </c>
      <c r="AA448" s="116" t="n">
        <v>28</v>
      </c>
      <c r="AB448" s="47">
        <f>IFERROR(AA448/W448,"")</f>
        <v/>
      </c>
      <c r="AC448" s="116" t="n">
        <v>0</v>
      </c>
      <c r="AD448" s="116" t="n">
        <v>0</v>
      </c>
      <c r="AE448" s="116" t="n">
        <v>0</v>
      </c>
      <c r="AF448" s="116" t="n">
        <v>0</v>
      </c>
      <c r="AG448" s="116" t="n">
        <v>0</v>
      </c>
      <c r="AH448" s="116" t="n">
        <v>0</v>
      </c>
      <c r="AI448" s="47">
        <f>IFERROR(AC448/S448,"")</f>
        <v/>
      </c>
      <c r="AJ448" s="47">
        <f>IFERROR(AH448/S448,"")</f>
        <v/>
      </c>
      <c r="AK448" s="116" t="n">
        <v>59</v>
      </c>
      <c r="AL448" s="116" t="n">
        <v>1</v>
      </c>
      <c r="AM448" s="118">
        <f>IFERROR(AL448/AA448,"")</f>
        <v/>
      </c>
      <c r="AN448" s="119">
        <f>IFERROR(R448/AL448,"")</f>
        <v/>
      </c>
      <c r="AO448" s="116" t="n">
        <v>1</v>
      </c>
      <c r="AP448" s="47">
        <f>IFERROR(AO448/AL448,"")</f>
        <v/>
      </c>
      <c r="AQ448" s="119">
        <f>IFERROR(R448/AO448,"")</f>
        <v/>
      </c>
      <c r="AR448" s="116" t="n">
        <v>0</v>
      </c>
      <c r="AS448" s="116" t="n">
        <v>1</v>
      </c>
      <c r="AT448" s="116">
        <f>AL448+AR448</f>
        <v/>
      </c>
      <c r="AU448" s="119">
        <f>IFERROR(AO448*Assumptions!$C$26*Assumptions!$C$27*INDEX(Assumptions!$C$18:$C$21,MATCH(H448,Assumptions!$B$18:$B$21,0)),0)</f>
        <v/>
      </c>
    </row>
    <row r="449">
      <c r="A449" s="114" t="n">
        <v>46246</v>
      </c>
      <c r="B449" s="42" t="inlineStr">
        <is>
          <t>Wk 33</t>
        </is>
      </c>
      <c r="C449" s="42" t="inlineStr">
        <is>
          <t>Wed</t>
        </is>
      </c>
      <c r="D449" s="42" t="inlineStr">
        <is>
          <t>Meta (FB/IG)</t>
        </is>
      </c>
      <c r="E449" s="42" t="inlineStr">
        <is>
          <t>Facebook + Instagram</t>
        </is>
      </c>
      <c r="F449" s="42" t="inlineStr">
        <is>
          <t>LEP_ZA_AUG26_META_TD_JAVAN_CONV</t>
        </is>
      </c>
      <c r="G449" s="42" t="inlineStr">
        <is>
          <t>Leads - Website Conversions</t>
        </is>
      </c>
      <c r="H449" s="42" t="inlineStr">
        <is>
          <t>JAVAN</t>
        </is>
      </c>
      <c r="I449" s="42" t="inlineStr">
        <is>
          <t>10% Deposit</t>
        </is>
      </c>
      <c r="J449" s="42" t="inlineStr">
        <is>
          <t>MET_JAVAN_INMKT_SUV_ZA</t>
        </is>
      </c>
      <c r="K449" s="42" t="inlineStr">
        <is>
          <t>In-Market</t>
        </is>
      </c>
      <c r="L449" s="42" t="inlineStr">
        <is>
          <t>JAVAN_STA_Compare_SUV_v1</t>
        </is>
      </c>
      <c r="M449" s="42" t="inlineStr">
        <is>
          <t>Static 4:5</t>
        </is>
      </c>
      <c r="N449" s="42" t="inlineStr">
        <is>
          <t>JAVAN vs the usual suspects</t>
        </is>
      </c>
      <c r="O449" s="42" t="inlineStr">
        <is>
          <t>Auction - Lowest Cost</t>
        </is>
      </c>
      <c r="P449" s="42" t="inlineStr">
        <is>
          <t>Offsite Conversions</t>
        </is>
      </c>
      <c r="Q449" s="42" t="inlineStr">
        <is>
          <t>https://www.lepas-sa.co.za/offers/javan</t>
        </is>
      </c>
      <c r="R449" s="115" t="n">
        <v>149.77</v>
      </c>
      <c r="S449" s="116" t="n">
        <v>2080</v>
      </c>
      <c r="T449" s="116" t="n">
        <v>1476</v>
      </c>
      <c r="U449" s="117">
        <f>IFERROR(S449/T449,"")</f>
        <v/>
      </c>
      <c r="V449" s="116" t="n">
        <v>47</v>
      </c>
      <c r="W449" s="116" t="n">
        <v>37</v>
      </c>
      <c r="X449" s="118">
        <f>IFERROR(W449/S449,"")</f>
        <v/>
      </c>
      <c r="Y449" s="115">
        <f>IFERROR(R449/W449,"")</f>
        <v/>
      </c>
      <c r="Z449" s="115">
        <f>IFERROR(R449/S449*1000,"")</f>
        <v/>
      </c>
      <c r="AA449" s="116" t="n">
        <v>31</v>
      </c>
      <c r="AB449" s="47">
        <f>IFERROR(AA449/W449,"")</f>
        <v/>
      </c>
      <c r="AC449" s="116" t="n">
        <v>0</v>
      </c>
      <c r="AD449" s="116" t="n">
        <v>0</v>
      </c>
      <c r="AE449" s="116" t="n">
        <v>0</v>
      </c>
      <c r="AF449" s="116" t="n">
        <v>0</v>
      </c>
      <c r="AG449" s="116" t="n">
        <v>0</v>
      </c>
      <c r="AH449" s="116" t="n">
        <v>0</v>
      </c>
      <c r="AI449" s="47">
        <f>IFERROR(AC449/S449,"")</f>
        <v/>
      </c>
      <c r="AJ449" s="47">
        <f>IFERROR(AH449/S449,"")</f>
        <v/>
      </c>
      <c r="AK449" s="116" t="n">
        <v>64</v>
      </c>
      <c r="AL449" s="116" t="n">
        <v>1</v>
      </c>
      <c r="AM449" s="118">
        <f>IFERROR(AL449/AA449,"")</f>
        <v/>
      </c>
      <c r="AN449" s="119">
        <f>IFERROR(R449/AL449,"")</f>
        <v/>
      </c>
      <c r="AO449" s="116" t="n">
        <v>1</v>
      </c>
      <c r="AP449" s="47">
        <f>IFERROR(AO449/AL449,"")</f>
        <v/>
      </c>
      <c r="AQ449" s="119">
        <f>IFERROR(R449/AO449,"")</f>
        <v/>
      </c>
      <c r="AR449" s="116" t="n">
        <v>0</v>
      </c>
      <c r="AS449" s="116" t="n">
        <v>1</v>
      </c>
      <c r="AT449" s="116">
        <f>AL449+AR449</f>
        <v/>
      </c>
      <c r="AU449" s="119">
        <f>IFERROR(AO449*Assumptions!$C$26*Assumptions!$C$27*INDEX(Assumptions!$C$18:$C$21,MATCH(H449,Assumptions!$B$18:$B$21,0)),0)</f>
        <v/>
      </c>
    </row>
    <row r="450">
      <c r="A450" s="114" t="n">
        <v>46247</v>
      </c>
      <c r="B450" s="42" t="inlineStr">
        <is>
          <t>Wk 33</t>
        </is>
      </c>
      <c r="C450" s="42" t="inlineStr">
        <is>
          <t>Thu</t>
        </is>
      </c>
      <c r="D450" s="42" t="inlineStr">
        <is>
          <t>Meta (FB/IG)</t>
        </is>
      </c>
      <c r="E450" s="42" t="inlineStr">
        <is>
          <t>Facebook + Instagram</t>
        </is>
      </c>
      <c r="F450" s="42" t="inlineStr">
        <is>
          <t>LEP_ZA_AUG26_META_TD_JAVAN_CONV</t>
        </is>
      </c>
      <c r="G450" s="42" t="inlineStr">
        <is>
          <t>Leads - Website Conversions</t>
        </is>
      </c>
      <c r="H450" s="42" t="inlineStr">
        <is>
          <t>JAVAN</t>
        </is>
      </c>
      <c r="I450" s="42" t="inlineStr">
        <is>
          <t>10% Deposit</t>
        </is>
      </c>
      <c r="J450" s="42" t="inlineStr">
        <is>
          <t>MET_JAVAN_INMKT_SUV_ZA</t>
        </is>
      </c>
      <c r="K450" s="42" t="inlineStr">
        <is>
          <t>In-Market</t>
        </is>
      </c>
      <c r="L450" s="42" t="inlineStr">
        <is>
          <t>JAVAN_STA_Compare_SUV_v1</t>
        </is>
      </c>
      <c r="M450" s="42" t="inlineStr">
        <is>
          <t>Static 4:5</t>
        </is>
      </c>
      <c r="N450" s="42" t="inlineStr">
        <is>
          <t>JAVAN vs the usual suspects</t>
        </is>
      </c>
      <c r="O450" s="42" t="inlineStr">
        <is>
          <t>Auction - Lowest Cost</t>
        </is>
      </c>
      <c r="P450" s="42" t="inlineStr">
        <is>
          <t>Offsite Conversions</t>
        </is>
      </c>
      <c r="Q450" s="42" t="inlineStr">
        <is>
          <t>https://www.lepas-sa.co.za/offers/javan</t>
        </is>
      </c>
      <c r="R450" s="115" t="n">
        <v>156.12</v>
      </c>
      <c r="S450" s="116" t="n">
        <v>2267</v>
      </c>
      <c r="T450" s="116" t="n">
        <v>1654</v>
      </c>
      <c r="U450" s="117">
        <f>IFERROR(S450/T450,"")</f>
        <v/>
      </c>
      <c r="V450" s="116" t="n">
        <v>49</v>
      </c>
      <c r="W450" s="116" t="n">
        <v>35</v>
      </c>
      <c r="X450" s="118">
        <f>IFERROR(W450/S450,"")</f>
        <v/>
      </c>
      <c r="Y450" s="115">
        <f>IFERROR(R450/W450,"")</f>
        <v/>
      </c>
      <c r="Z450" s="115">
        <f>IFERROR(R450/S450*1000,"")</f>
        <v/>
      </c>
      <c r="AA450" s="116" t="n">
        <v>29</v>
      </c>
      <c r="AB450" s="47">
        <f>IFERROR(AA450/W450,"")</f>
        <v/>
      </c>
      <c r="AC450" s="116" t="n">
        <v>0</v>
      </c>
      <c r="AD450" s="116" t="n">
        <v>0</v>
      </c>
      <c r="AE450" s="116" t="n">
        <v>0</v>
      </c>
      <c r="AF450" s="116" t="n">
        <v>0</v>
      </c>
      <c r="AG450" s="116" t="n">
        <v>0</v>
      </c>
      <c r="AH450" s="116" t="n">
        <v>0</v>
      </c>
      <c r="AI450" s="47">
        <f>IFERROR(AC450/S450,"")</f>
        <v/>
      </c>
      <c r="AJ450" s="47">
        <f>IFERROR(AH450/S450,"")</f>
        <v/>
      </c>
      <c r="AK450" s="116" t="n">
        <v>62</v>
      </c>
      <c r="AL450" s="116" t="n">
        <v>0</v>
      </c>
      <c r="AM450" s="118">
        <f>IFERROR(AL450/AA450,"")</f>
        <v/>
      </c>
      <c r="AN450" s="119">
        <f>IFERROR(R450/AL450,"")</f>
        <v/>
      </c>
      <c r="AO450" s="116" t="n">
        <v>0</v>
      </c>
      <c r="AP450" s="47">
        <f>IFERROR(AO450/AL450,"")</f>
        <v/>
      </c>
      <c r="AQ450" s="119">
        <f>IFERROR(R450/AO450,"")</f>
        <v/>
      </c>
      <c r="AR450" s="116" t="n">
        <v>0</v>
      </c>
      <c r="AS450" s="116" t="n">
        <v>0</v>
      </c>
      <c r="AT450" s="116">
        <f>AL450+AR450</f>
        <v/>
      </c>
      <c r="AU450" s="119">
        <f>IFERROR(AO450*Assumptions!$C$26*Assumptions!$C$27*INDEX(Assumptions!$C$18:$C$21,MATCH(H450,Assumptions!$B$18:$B$21,0)),0)</f>
        <v/>
      </c>
    </row>
    <row r="451">
      <c r="A451" s="114" t="n">
        <v>46248</v>
      </c>
      <c r="B451" s="42" t="inlineStr">
        <is>
          <t>Wk 33</t>
        </is>
      </c>
      <c r="C451" s="42" t="inlineStr">
        <is>
          <t>Fri</t>
        </is>
      </c>
      <c r="D451" s="42" t="inlineStr">
        <is>
          <t>Meta (FB/IG)</t>
        </is>
      </c>
      <c r="E451" s="42" t="inlineStr">
        <is>
          <t>Facebook + Instagram</t>
        </is>
      </c>
      <c r="F451" s="42" t="inlineStr">
        <is>
          <t>LEP_ZA_AUG26_META_TD_JAVAN_CONV</t>
        </is>
      </c>
      <c r="G451" s="42" t="inlineStr">
        <is>
          <t>Leads - Website Conversions</t>
        </is>
      </c>
      <c r="H451" s="42" t="inlineStr">
        <is>
          <t>JAVAN</t>
        </is>
      </c>
      <c r="I451" s="42" t="inlineStr">
        <is>
          <t>10% Deposit</t>
        </is>
      </c>
      <c r="J451" s="42" t="inlineStr">
        <is>
          <t>MET_JAVAN_INMKT_SUV_ZA</t>
        </is>
      </c>
      <c r="K451" s="42" t="inlineStr">
        <is>
          <t>In-Market</t>
        </is>
      </c>
      <c r="L451" s="42" t="inlineStr">
        <is>
          <t>JAVAN_STA_Compare_SUV_v1</t>
        </is>
      </c>
      <c r="M451" s="42" t="inlineStr">
        <is>
          <t>Static 4:5</t>
        </is>
      </c>
      <c r="N451" s="42" t="inlineStr">
        <is>
          <t>JAVAN vs the usual suspects</t>
        </is>
      </c>
      <c r="O451" s="42" t="inlineStr">
        <is>
          <t>Auction - Lowest Cost</t>
        </is>
      </c>
      <c r="P451" s="42" t="inlineStr">
        <is>
          <t>Offsite Conversions</t>
        </is>
      </c>
      <c r="Q451" s="42" t="inlineStr">
        <is>
          <t>https://www.lepas-sa.co.za/offers/javan</t>
        </is>
      </c>
      <c r="R451" s="115" t="n">
        <v>151.91</v>
      </c>
      <c r="S451" s="116" t="n">
        <v>2533</v>
      </c>
      <c r="T451" s="116" t="n">
        <v>1437</v>
      </c>
      <c r="U451" s="117">
        <f>IFERROR(S451/T451,"")</f>
        <v/>
      </c>
      <c r="V451" s="116" t="n">
        <v>45</v>
      </c>
      <c r="W451" s="116" t="n">
        <v>34</v>
      </c>
      <c r="X451" s="118">
        <f>IFERROR(W451/S451,"")</f>
        <v/>
      </c>
      <c r="Y451" s="115">
        <f>IFERROR(R451/W451,"")</f>
        <v/>
      </c>
      <c r="Z451" s="115">
        <f>IFERROR(R451/S451*1000,"")</f>
        <v/>
      </c>
      <c r="AA451" s="116" t="n">
        <v>29</v>
      </c>
      <c r="AB451" s="47">
        <f>IFERROR(AA451/W451,"")</f>
        <v/>
      </c>
      <c r="AC451" s="116" t="n">
        <v>0</v>
      </c>
      <c r="AD451" s="116" t="n">
        <v>0</v>
      </c>
      <c r="AE451" s="116" t="n">
        <v>0</v>
      </c>
      <c r="AF451" s="116" t="n">
        <v>0</v>
      </c>
      <c r="AG451" s="116" t="n">
        <v>0</v>
      </c>
      <c r="AH451" s="116" t="n">
        <v>0</v>
      </c>
      <c r="AI451" s="47">
        <f>IFERROR(AC451/S451,"")</f>
        <v/>
      </c>
      <c r="AJ451" s="47">
        <f>IFERROR(AH451/S451,"")</f>
        <v/>
      </c>
      <c r="AK451" s="116" t="n">
        <v>33</v>
      </c>
      <c r="AL451" s="116" t="n">
        <v>0</v>
      </c>
      <c r="AM451" s="118">
        <f>IFERROR(AL451/AA451,"")</f>
        <v/>
      </c>
      <c r="AN451" s="119">
        <f>IFERROR(R451/AL451,"")</f>
        <v/>
      </c>
      <c r="AO451" s="116" t="n">
        <v>0</v>
      </c>
      <c r="AP451" s="47">
        <f>IFERROR(AO451/AL451,"")</f>
        <v/>
      </c>
      <c r="AQ451" s="119">
        <f>IFERROR(R451/AO451,"")</f>
        <v/>
      </c>
      <c r="AR451" s="116" t="n">
        <v>0</v>
      </c>
      <c r="AS451" s="116" t="n">
        <v>0</v>
      </c>
      <c r="AT451" s="116">
        <f>AL451+AR451</f>
        <v/>
      </c>
      <c r="AU451" s="119">
        <f>IFERROR(AO451*Assumptions!$C$26*Assumptions!$C$27*INDEX(Assumptions!$C$18:$C$21,MATCH(H451,Assumptions!$B$18:$B$21,0)),0)</f>
        <v/>
      </c>
    </row>
    <row r="452">
      <c r="A452" s="114" t="n">
        <v>46249</v>
      </c>
      <c r="B452" s="42" t="inlineStr">
        <is>
          <t>Wk 33</t>
        </is>
      </c>
      <c r="C452" s="42" t="inlineStr">
        <is>
          <t>Sat</t>
        </is>
      </c>
      <c r="D452" s="42" t="inlineStr">
        <is>
          <t>Meta (FB/IG)</t>
        </is>
      </c>
      <c r="E452" s="42" t="inlineStr">
        <is>
          <t>Facebook + Instagram</t>
        </is>
      </c>
      <c r="F452" s="42" t="inlineStr">
        <is>
          <t>LEP_ZA_AUG26_META_TD_JAVAN_CONV</t>
        </is>
      </c>
      <c r="G452" s="42" t="inlineStr">
        <is>
          <t>Leads - Website Conversions</t>
        </is>
      </c>
      <c r="H452" s="42" t="inlineStr">
        <is>
          <t>JAVAN</t>
        </is>
      </c>
      <c r="I452" s="42" t="inlineStr">
        <is>
          <t>10% Deposit</t>
        </is>
      </c>
      <c r="J452" s="42" t="inlineStr">
        <is>
          <t>MET_JAVAN_INMKT_SUV_ZA</t>
        </is>
      </c>
      <c r="K452" s="42" t="inlineStr">
        <is>
          <t>In-Market</t>
        </is>
      </c>
      <c r="L452" s="42" t="inlineStr">
        <is>
          <t>JAVAN_STA_Compare_SUV_v1</t>
        </is>
      </c>
      <c r="M452" s="42" t="inlineStr">
        <is>
          <t>Static 4:5</t>
        </is>
      </c>
      <c r="N452" s="42" t="inlineStr">
        <is>
          <t>JAVAN vs the usual suspects</t>
        </is>
      </c>
      <c r="O452" s="42" t="inlineStr">
        <is>
          <t>Auction - Lowest Cost</t>
        </is>
      </c>
      <c r="P452" s="42" t="inlineStr">
        <is>
          <t>Offsite Conversions</t>
        </is>
      </c>
      <c r="Q452" s="42" t="inlineStr">
        <is>
          <t>https://www.lepas-sa.co.za/offers/javan</t>
        </is>
      </c>
      <c r="R452" s="115" t="n">
        <v>160.43</v>
      </c>
      <c r="S452" s="116" t="n">
        <v>2570</v>
      </c>
      <c r="T452" s="116" t="n">
        <v>1905</v>
      </c>
      <c r="U452" s="117">
        <f>IFERROR(S452/T452,"")</f>
        <v/>
      </c>
      <c r="V452" s="116" t="n">
        <v>43</v>
      </c>
      <c r="W452" s="116" t="n">
        <v>36</v>
      </c>
      <c r="X452" s="118">
        <f>IFERROR(W452/S452,"")</f>
        <v/>
      </c>
      <c r="Y452" s="115">
        <f>IFERROR(R452/W452,"")</f>
        <v/>
      </c>
      <c r="Z452" s="115">
        <f>IFERROR(R452/S452*1000,"")</f>
        <v/>
      </c>
      <c r="AA452" s="116" t="n">
        <v>30</v>
      </c>
      <c r="AB452" s="47">
        <f>IFERROR(AA452/W452,"")</f>
        <v/>
      </c>
      <c r="AC452" s="116" t="n">
        <v>0</v>
      </c>
      <c r="AD452" s="116" t="n">
        <v>0</v>
      </c>
      <c r="AE452" s="116" t="n">
        <v>0</v>
      </c>
      <c r="AF452" s="116" t="n">
        <v>0</v>
      </c>
      <c r="AG452" s="116" t="n">
        <v>0</v>
      </c>
      <c r="AH452" s="116" t="n">
        <v>0</v>
      </c>
      <c r="AI452" s="47">
        <f>IFERROR(AC452/S452,"")</f>
        <v/>
      </c>
      <c r="AJ452" s="47">
        <f>IFERROR(AH452/S452,"")</f>
        <v/>
      </c>
      <c r="AK452" s="116" t="n">
        <v>27</v>
      </c>
      <c r="AL452" s="116" t="n">
        <v>1</v>
      </c>
      <c r="AM452" s="118">
        <f>IFERROR(AL452/AA452,"")</f>
        <v/>
      </c>
      <c r="AN452" s="119">
        <f>IFERROR(R452/AL452,"")</f>
        <v/>
      </c>
      <c r="AO452" s="116" t="n">
        <v>1</v>
      </c>
      <c r="AP452" s="47">
        <f>IFERROR(AO452/AL452,"")</f>
        <v/>
      </c>
      <c r="AQ452" s="119">
        <f>IFERROR(R452/AO452,"")</f>
        <v/>
      </c>
      <c r="AR452" s="116" t="n">
        <v>0</v>
      </c>
      <c r="AS452" s="116" t="n">
        <v>0</v>
      </c>
      <c r="AT452" s="116">
        <f>AL452+AR452</f>
        <v/>
      </c>
      <c r="AU452" s="119">
        <f>IFERROR(AO452*Assumptions!$C$26*Assumptions!$C$27*INDEX(Assumptions!$C$18:$C$21,MATCH(H452,Assumptions!$B$18:$B$21,0)),0)</f>
        <v/>
      </c>
    </row>
    <row r="453">
      <c r="A453" s="114" t="n">
        <v>46250</v>
      </c>
      <c r="B453" s="42" t="inlineStr">
        <is>
          <t>Wk 33</t>
        </is>
      </c>
      <c r="C453" s="42" t="inlineStr">
        <is>
          <t>Sun</t>
        </is>
      </c>
      <c r="D453" s="42" t="inlineStr">
        <is>
          <t>Meta (FB/IG)</t>
        </is>
      </c>
      <c r="E453" s="42" t="inlineStr">
        <is>
          <t>Facebook + Instagram</t>
        </is>
      </c>
      <c r="F453" s="42" t="inlineStr">
        <is>
          <t>LEP_ZA_AUG26_META_TD_JAVAN_CONV</t>
        </is>
      </c>
      <c r="G453" s="42" t="inlineStr">
        <is>
          <t>Leads - Website Conversions</t>
        </is>
      </c>
      <c r="H453" s="42" t="inlineStr">
        <is>
          <t>JAVAN</t>
        </is>
      </c>
      <c r="I453" s="42" t="inlineStr">
        <is>
          <t>10% Deposit</t>
        </is>
      </c>
      <c r="J453" s="42" t="inlineStr">
        <is>
          <t>MET_JAVAN_INMKT_SUV_ZA</t>
        </is>
      </c>
      <c r="K453" s="42" t="inlineStr">
        <is>
          <t>In-Market</t>
        </is>
      </c>
      <c r="L453" s="42" t="inlineStr">
        <is>
          <t>JAVAN_STA_Compare_SUV_v1</t>
        </is>
      </c>
      <c r="M453" s="42" t="inlineStr">
        <is>
          <t>Static 4:5</t>
        </is>
      </c>
      <c r="N453" s="42" t="inlineStr">
        <is>
          <t>JAVAN vs the usual suspects</t>
        </is>
      </c>
      <c r="O453" s="42" t="inlineStr">
        <is>
          <t>Auction - Lowest Cost</t>
        </is>
      </c>
      <c r="P453" s="42" t="inlineStr">
        <is>
          <t>Offsite Conversions</t>
        </is>
      </c>
      <c r="Q453" s="42" t="inlineStr">
        <is>
          <t>https://www.lepas-sa.co.za/offers/javan</t>
        </is>
      </c>
      <c r="R453" s="115" t="n">
        <v>129.9</v>
      </c>
      <c r="S453" s="116" t="n">
        <v>1927</v>
      </c>
      <c r="T453" s="116" t="n">
        <v>1132</v>
      </c>
      <c r="U453" s="117">
        <f>IFERROR(S453/T453,"")</f>
        <v/>
      </c>
      <c r="V453" s="116" t="n">
        <v>27</v>
      </c>
      <c r="W453" s="116" t="n">
        <v>20</v>
      </c>
      <c r="X453" s="118">
        <f>IFERROR(W453/S453,"")</f>
        <v/>
      </c>
      <c r="Y453" s="115">
        <f>IFERROR(R453/W453,"")</f>
        <v/>
      </c>
      <c r="Z453" s="115">
        <f>IFERROR(R453/S453*1000,"")</f>
        <v/>
      </c>
      <c r="AA453" s="116" t="n">
        <v>18</v>
      </c>
      <c r="AB453" s="47">
        <f>IFERROR(AA453/W453,"")</f>
        <v/>
      </c>
      <c r="AC453" s="116" t="n">
        <v>0</v>
      </c>
      <c r="AD453" s="116" t="n">
        <v>0</v>
      </c>
      <c r="AE453" s="116" t="n">
        <v>0</v>
      </c>
      <c r="AF453" s="116" t="n">
        <v>0</v>
      </c>
      <c r="AG453" s="116" t="n">
        <v>0</v>
      </c>
      <c r="AH453" s="116" t="n">
        <v>0</v>
      </c>
      <c r="AI453" s="47">
        <f>IFERROR(AC453/S453,"")</f>
        <v/>
      </c>
      <c r="AJ453" s="47">
        <f>IFERROR(AH453/S453,"")</f>
        <v/>
      </c>
      <c r="AK453" s="116" t="n">
        <v>46</v>
      </c>
      <c r="AL453" s="116" t="n">
        <v>1</v>
      </c>
      <c r="AM453" s="118">
        <f>IFERROR(AL453/AA453,"")</f>
        <v/>
      </c>
      <c r="AN453" s="119">
        <f>IFERROR(R453/AL453,"")</f>
        <v/>
      </c>
      <c r="AO453" s="116" t="n">
        <v>0</v>
      </c>
      <c r="AP453" s="47">
        <f>IFERROR(AO453/AL453,"")</f>
        <v/>
      </c>
      <c r="AQ453" s="119">
        <f>IFERROR(R453/AO453,"")</f>
        <v/>
      </c>
      <c r="AR453" s="116" t="n">
        <v>0</v>
      </c>
      <c r="AS453" s="116" t="n">
        <v>0</v>
      </c>
      <c r="AT453" s="116">
        <f>AL453+AR453</f>
        <v/>
      </c>
      <c r="AU453" s="119">
        <f>IFERROR(AO453*Assumptions!$C$26*Assumptions!$C$27*INDEX(Assumptions!$C$18:$C$21,MATCH(H453,Assumptions!$B$18:$B$21,0)),0)</f>
        <v/>
      </c>
    </row>
    <row r="454">
      <c r="A454" s="114" t="n">
        <v>46251</v>
      </c>
      <c r="B454" s="42" t="inlineStr">
        <is>
          <t>Wk 34</t>
        </is>
      </c>
      <c r="C454" s="42" t="inlineStr">
        <is>
          <t>Mon</t>
        </is>
      </c>
      <c r="D454" s="42" t="inlineStr">
        <is>
          <t>Meta (FB/IG)</t>
        </is>
      </c>
      <c r="E454" s="42" t="inlineStr">
        <is>
          <t>Facebook + Instagram</t>
        </is>
      </c>
      <c r="F454" s="42" t="inlineStr">
        <is>
          <t>LEP_ZA_AUG26_META_TD_JAVAN_CONV</t>
        </is>
      </c>
      <c r="G454" s="42" t="inlineStr">
        <is>
          <t>Leads - Website Conversions</t>
        </is>
      </c>
      <c r="H454" s="42" t="inlineStr">
        <is>
          <t>JAVAN</t>
        </is>
      </c>
      <c r="I454" s="42" t="inlineStr">
        <is>
          <t>10% Deposit</t>
        </is>
      </c>
      <c r="J454" s="42" t="inlineStr">
        <is>
          <t>MET_JAVAN_INMKT_SUV_ZA</t>
        </is>
      </c>
      <c r="K454" s="42" t="inlineStr">
        <is>
          <t>In-Market</t>
        </is>
      </c>
      <c r="L454" s="42" t="inlineStr">
        <is>
          <t>JAVAN_STA_Compare_SUV_v1</t>
        </is>
      </c>
      <c r="M454" s="42" t="inlineStr">
        <is>
          <t>Static 4:5</t>
        </is>
      </c>
      <c r="N454" s="42" t="inlineStr">
        <is>
          <t>JAVAN vs the usual suspects</t>
        </is>
      </c>
      <c r="O454" s="42" t="inlineStr">
        <is>
          <t>Auction - Lowest Cost</t>
        </is>
      </c>
      <c r="P454" s="42" t="inlineStr">
        <is>
          <t>Offsite Conversions</t>
        </is>
      </c>
      <c r="Q454" s="42" t="inlineStr">
        <is>
          <t>https://www.lepas-sa.co.za/offers/javan</t>
        </is>
      </c>
      <c r="R454" s="115" t="n">
        <v>156.86</v>
      </c>
      <c r="S454" s="116" t="n">
        <v>2263</v>
      </c>
      <c r="T454" s="116" t="n">
        <v>1346</v>
      </c>
      <c r="U454" s="117">
        <f>IFERROR(S454/T454,"")</f>
        <v/>
      </c>
      <c r="V454" s="116" t="n">
        <v>43</v>
      </c>
      <c r="W454" s="116" t="n">
        <v>31</v>
      </c>
      <c r="X454" s="118">
        <f>IFERROR(W454/S454,"")</f>
        <v/>
      </c>
      <c r="Y454" s="115">
        <f>IFERROR(R454/W454,"")</f>
        <v/>
      </c>
      <c r="Z454" s="115">
        <f>IFERROR(R454/S454*1000,"")</f>
        <v/>
      </c>
      <c r="AA454" s="116" t="n">
        <v>27</v>
      </c>
      <c r="AB454" s="47">
        <f>IFERROR(AA454/W454,"")</f>
        <v/>
      </c>
      <c r="AC454" s="116" t="n">
        <v>0</v>
      </c>
      <c r="AD454" s="116" t="n">
        <v>0</v>
      </c>
      <c r="AE454" s="116" t="n">
        <v>0</v>
      </c>
      <c r="AF454" s="116" t="n">
        <v>0</v>
      </c>
      <c r="AG454" s="116" t="n">
        <v>0</v>
      </c>
      <c r="AH454" s="116" t="n">
        <v>0</v>
      </c>
      <c r="AI454" s="47">
        <f>IFERROR(AC454/S454,"")</f>
        <v/>
      </c>
      <c r="AJ454" s="47">
        <f>IFERROR(AH454/S454,"")</f>
        <v/>
      </c>
      <c r="AK454" s="116" t="n">
        <v>37</v>
      </c>
      <c r="AL454" s="116" t="n">
        <v>1</v>
      </c>
      <c r="AM454" s="118">
        <f>IFERROR(AL454/AA454,"")</f>
        <v/>
      </c>
      <c r="AN454" s="119">
        <f>IFERROR(R454/AL454,"")</f>
        <v/>
      </c>
      <c r="AO454" s="116" t="n">
        <v>0</v>
      </c>
      <c r="AP454" s="47">
        <f>IFERROR(AO454/AL454,"")</f>
        <v/>
      </c>
      <c r="AQ454" s="119">
        <f>IFERROR(R454/AO454,"")</f>
        <v/>
      </c>
      <c r="AR454" s="116" t="n">
        <v>0</v>
      </c>
      <c r="AS454" s="116" t="n">
        <v>0</v>
      </c>
      <c r="AT454" s="116">
        <f>AL454+AR454</f>
        <v/>
      </c>
      <c r="AU454" s="119">
        <f>IFERROR(AO454*Assumptions!$C$26*Assumptions!$C$27*INDEX(Assumptions!$C$18:$C$21,MATCH(H454,Assumptions!$B$18:$B$21,0)),0)</f>
        <v/>
      </c>
    </row>
    <row r="455">
      <c r="A455" s="114" t="n">
        <v>46252</v>
      </c>
      <c r="B455" s="42" t="inlineStr">
        <is>
          <t>Wk 34</t>
        </is>
      </c>
      <c r="C455" s="42" t="inlineStr">
        <is>
          <t>Tue</t>
        </is>
      </c>
      <c r="D455" s="42" t="inlineStr">
        <is>
          <t>Meta (FB/IG)</t>
        </is>
      </c>
      <c r="E455" s="42" t="inlineStr">
        <is>
          <t>Facebook + Instagram</t>
        </is>
      </c>
      <c r="F455" s="42" t="inlineStr">
        <is>
          <t>LEP_ZA_AUG26_META_TD_JAVAN_CONV</t>
        </is>
      </c>
      <c r="G455" s="42" t="inlineStr">
        <is>
          <t>Leads - Website Conversions</t>
        </is>
      </c>
      <c r="H455" s="42" t="inlineStr">
        <is>
          <t>JAVAN</t>
        </is>
      </c>
      <c r="I455" s="42" t="inlineStr">
        <is>
          <t>10% Deposit</t>
        </is>
      </c>
      <c r="J455" s="42" t="inlineStr">
        <is>
          <t>MET_JAVAN_INMKT_SUV_ZA</t>
        </is>
      </c>
      <c r="K455" s="42" t="inlineStr">
        <is>
          <t>In-Market</t>
        </is>
      </c>
      <c r="L455" s="42" t="inlineStr">
        <is>
          <t>JAVAN_STA_Compare_SUV_v1</t>
        </is>
      </c>
      <c r="M455" s="42" t="inlineStr">
        <is>
          <t>Static 4:5</t>
        </is>
      </c>
      <c r="N455" s="42" t="inlineStr">
        <is>
          <t>JAVAN vs the usual suspects</t>
        </is>
      </c>
      <c r="O455" s="42" t="inlineStr">
        <is>
          <t>Auction - Lowest Cost</t>
        </is>
      </c>
      <c r="P455" s="42" t="inlineStr">
        <is>
          <t>Offsite Conversions</t>
        </is>
      </c>
      <c r="Q455" s="42" t="inlineStr">
        <is>
          <t>https://www.lepas-sa.co.za/offers/javan</t>
        </is>
      </c>
      <c r="R455" s="115" t="n">
        <v>133.69</v>
      </c>
      <c r="S455" s="116" t="n">
        <v>1682</v>
      </c>
      <c r="T455" s="116" t="n">
        <v>1150</v>
      </c>
      <c r="U455" s="117">
        <f>IFERROR(S455/T455,"")</f>
        <v/>
      </c>
      <c r="V455" s="116" t="n">
        <v>22</v>
      </c>
      <c r="W455" s="116" t="n">
        <v>17</v>
      </c>
      <c r="X455" s="118">
        <f>IFERROR(W455/S455,"")</f>
        <v/>
      </c>
      <c r="Y455" s="115">
        <f>IFERROR(R455/W455,"")</f>
        <v/>
      </c>
      <c r="Z455" s="115">
        <f>IFERROR(R455/S455*1000,"")</f>
        <v/>
      </c>
      <c r="AA455" s="116" t="n">
        <v>16</v>
      </c>
      <c r="AB455" s="47">
        <f>IFERROR(AA455/W455,"")</f>
        <v/>
      </c>
      <c r="AC455" s="116" t="n">
        <v>0</v>
      </c>
      <c r="AD455" s="116" t="n">
        <v>0</v>
      </c>
      <c r="AE455" s="116" t="n">
        <v>0</v>
      </c>
      <c r="AF455" s="116" t="n">
        <v>0</v>
      </c>
      <c r="AG455" s="116" t="n">
        <v>0</v>
      </c>
      <c r="AH455" s="116" t="n">
        <v>0</v>
      </c>
      <c r="AI455" s="47">
        <f>IFERROR(AC455/S455,"")</f>
        <v/>
      </c>
      <c r="AJ455" s="47">
        <f>IFERROR(AH455/S455,"")</f>
        <v/>
      </c>
      <c r="AK455" s="116" t="n">
        <v>46</v>
      </c>
      <c r="AL455" s="116" t="n">
        <v>0</v>
      </c>
      <c r="AM455" s="118">
        <f>IFERROR(AL455/AA455,"")</f>
        <v/>
      </c>
      <c r="AN455" s="119">
        <f>IFERROR(R455/AL455,"")</f>
        <v/>
      </c>
      <c r="AO455" s="116" t="n">
        <v>0</v>
      </c>
      <c r="AP455" s="47">
        <f>IFERROR(AO455/AL455,"")</f>
        <v/>
      </c>
      <c r="AQ455" s="119">
        <f>IFERROR(R455/AO455,"")</f>
        <v/>
      </c>
      <c r="AR455" s="116" t="n">
        <v>0</v>
      </c>
      <c r="AS455" s="116" t="n">
        <v>0</v>
      </c>
      <c r="AT455" s="116">
        <f>AL455+AR455</f>
        <v/>
      </c>
      <c r="AU455" s="119">
        <f>IFERROR(AO455*Assumptions!$C$26*Assumptions!$C$27*INDEX(Assumptions!$C$18:$C$21,MATCH(H455,Assumptions!$B$18:$B$21,0)),0)</f>
        <v/>
      </c>
    </row>
    <row r="456">
      <c r="A456" s="114" t="n">
        <v>46253</v>
      </c>
      <c r="B456" s="42" t="inlineStr">
        <is>
          <t>Wk 34</t>
        </is>
      </c>
      <c r="C456" s="42" t="inlineStr">
        <is>
          <t>Wed</t>
        </is>
      </c>
      <c r="D456" s="42" t="inlineStr">
        <is>
          <t>Meta (FB/IG)</t>
        </is>
      </c>
      <c r="E456" s="42" t="inlineStr">
        <is>
          <t>Facebook + Instagram</t>
        </is>
      </c>
      <c r="F456" s="42" t="inlineStr">
        <is>
          <t>LEP_ZA_AUG26_META_TD_JAVAN_CONV</t>
        </is>
      </c>
      <c r="G456" s="42" t="inlineStr">
        <is>
          <t>Leads - Website Conversions</t>
        </is>
      </c>
      <c r="H456" s="42" t="inlineStr">
        <is>
          <t>JAVAN</t>
        </is>
      </c>
      <c r="I456" s="42" t="inlineStr">
        <is>
          <t>10% Deposit</t>
        </is>
      </c>
      <c r="J456" s="42" t="inlineStr">
        <is>
          <t>MET_JAVAN_INMKT_SUV_ZA</t>
        </is>
      </c>
      <c r="K456" s="42" t="inlineStr">
        <is>
          <t>In-Market</t>
        </is>
      </c>
      <c r="L456" s="42" t="inlineStr">
        <is>
          <t>JAVAN_STA_Compare_SUV_v1</t>
        </is>
      </c>
      <c r="M456" s="42" t="inlineStr">
        <is>
          <t>Static 4:5</t>
        </is>
      </c>
      <c r="N456" s="42" t="inlineStr">
        <is>
          <t>JAVAN vs the usual suspects</t>
        </is>
      </c>
      <c r="O456" s="42" t="inlineStr">
        <is>
          <t>Auction - Lowest Cost</t>
        </is>
      </c>
      <c r="P456" s="42" t="inlineStr">
        <is>
          <t>Offsite Conversions</t>
        </is>
      </c>
      <c r="Q456" s="42" t="inlineStr">
        <is>
          <t>https://www.lepas-sa.co.za/offers/javan</t>
        </is>
      </c>
      <c r="R456" s="115" t="n">
        <v>141.31</v>
      </c>
      <c r="S456" s="116" t="n">
        <v>2374</v>
      </c>
      <c r="T456" s="116" t="n">
        <v>1718</v>
      </c>
      <c r="U456" s="117">
        <f>IFERROR(S456/T456,"")</f>
        <v/>
      </c>
      <c r="V456" s="116" t="n">
        <v>23</v>
      </c>
      <c r="W456" s="116" t="n">
        <v>18</v>
      </c>
      <c r="X456" s="118">
        <f>IFERROR(W456/S456,"")</f>
        <v/>
      </c>
      <c r="Y456" s="115">
        <f>IFERROR(R456/W456,"")</f>
        <v/>
      </c>
      <c r="Z456" s="115">
        <f>IFERROR(R456/S456*1000,"")</f>
        <v/>
      </c>
      <c r="AA456" s="116" t="n">
        <v>16</v>
      </c>
      <c r="AB456" s="47">
        <f>IFERROR(AA456/W456,"")</f>
        <v/>
      </c>
      <c r="AC456" s="116" t="n">
        <v>0</v>
      </c>
      <c r="AD456" s="116" t="n">
        <v>0</v>
      </c>
      <c r="AE456" s="116" t="n">
        <v>0</v>
      </c>
      <c r="AF456" s="116" t="n">
        <v>0</v>
      </c>
      <c r="AG456" s="116" t="n">
        <v>0</v>
      </c>
      <c r="AH456" s="116" t="n">
        <v>0</v>
      </c>
      <c r="AI456" s="47">
        <f>IFERROR(AC456/S456,"")</f>
        <v/>
      </c>
      <c r="AJ456" s="47">
        <f>IFERROR(AH456/S456,"")</f>
        <v/>
      </c>
      <c r="AK456" s="116" t="n">
        <v>28</v>
      </c>
      <c r="AL456" s="116" t="n">
        <v>1</v>
      </c>
      <c r="AM456" s="118">
        <f>IFERROR(AL456/AA456,"")</f>
        <v/>
      </c>
      <c r="AN456" s="119">
        <f>IFERROR(R456/AL456,"")</f>
        <v/>
      </c>
      <c r="AO456" s="116" t="n">
        <v>1</v>
      </c>
      <c r="AP456" s="47">
        <f>IFERROR(AO456/AL456,"")</f>
        <v/>
      </c>
      <c r="AQ456" s="119">
        <f>IFERROR(R456/AO456,"")</f>
        <v/>
      </c>
      <c r="AR456" s="116" t="n">
        <v>1</v>
      </c>
      <c r="AS456" s="116" t="n">
        <v>0</v>
      </c>
      <c r="AT456" s="116">
        <f>AL456+AR456</f>
        <v/>
      </c>
      <c r="AU456" s="119">
        <f>IFERROR(AO456*Assumptions!$C$26*Assumptions!$C$27*INDEX(Assumptions!$C$18:$C$21,MATCH(H456,Assumptions!$B$18:$B$21,0)),0)</f>
        <v/>
      </c>
    </row>
    <row r="457">
      <c r="A457" s="114" t="n">
        <v>46254</v>
      </c>
      <c r="B457" s="42" t="inlineStr">
        <is>
          <t>Wk 34</t>
        </is>
      </c>
      <c r="C457" s="42" t="inlineStr">
        <is>
          <t>Thu</t>
        </is>
      </c>
      <c r="D457" s="42" t="inlineStr">
        <is>
          <t>Meta (FB/IG)</t>
        </is>
      </c>
      <c r="E457" s="42" t="inlineStr">
        <is>
          <t>Facebook + Instagram</t>
        </is>
      </c>
      <c r="F457" s="42" t="inlineStr">
        <is>
          <t>LEP_ZA_AUG26_META_TD_JAVAN_CONV</t>
        </is>
      </c>
      <c r="G457" s="42" t="inlineStr">
        <is>
          <t>Leads - Website Conversions</t>
        </is>
      </c>
      <c r="H457" s="42" t="inlineStr">
        <is>
          <t>JAVAN</t>
        </is>
      </c>
      <c r="I457" s="42" t="inlineStr">
        <is>
          <t>10% Deposit</t>
        </is>
      </c>
      <c r="J457" s="42" t="inlineStr">
        <is>
          <t>MET_JAVAN_INMKT_SUV_ZA</t>
        </is>
      </c>
      <c r="K457" s="42" t="inlineStr">
        <is>
          <t>In-Market</t>
        </is>
      </c>
      <c r="L457" s="42" t="inlineStr">
        <is>
          <t>JAVAN_STA_Compare_SUV_v1</t>
        </is>
      </c>
      <c r="M457" s="42" t="inlineStr">
        <is>
          <t>Static 4:5</t>
        </is>
      </c>
      <c r="N457" s="42" t="inlineStr">
        <is>
          <t>JAVAN vs the usual suspects</t>
        </is>
      </c>
      <c r="O457" s="42" t="inlineStr">
        <is>
          <t>Auction - Lowest Cost</t>
        </is>
      </c>
      <c r="P457" s="42" t="inlineStr">
        <is>
          <t>Offsite Conversions</t>
        </is>
      </c>
      <c r="Q457" s="42" t="inlineStr">
        <is>
          <t>https://www.lepas-sa.co.za/offers/javan</t>
        </is>
      </c>
      <c r="R457" s="115" t="n">
        <v>159.97</v>
      </c>
      <c r="S457" s="116" t="n">
        <v>2482</v>
      </c>
      <c r="T457" s="116" t="n">
        <v>1364</v>
      </c>
      <c r="U457" s="117">
        <f>IFERROR(S457/T457,"")</f>
        <v/>
      </c>
      <c r="V457" s="116" t="n">
        <v>42</v>
      </c>
      <c r="W457" s="116" t="n">
        <v>31</v>
      </c>
      <c r="X457" s="118">
        <f>IFERROR(W457/S457,"")</f>
        <v/>
      </c>
      <c r="Y457" s="115">
        <f>IFERROR(R457/W457,"")</f>
        <v/>
      </c>
      <c r="Z457" s="115">
        <f>IFERROR(R457/S457*1000,"")</f>
        <v/>
      </c>
      <c r="AA457" s="116" t="n">
        <v>26</v>
      </c>
      <c r="AB457" s="47">
        <f>IFERROR(AA457/W457,"")</f>
        <v/>
      </c>
      <c r="AC457" s="116" t="n">
        <v>0</v>
      </c>
      <c r="AD457" s="116" t="n">
        <v>0</v>
      </c>
      <c r="AE457" s="116" t="n">
        <v>0</v>
      </c>
      <c r="AF457" s="116" t="n">
        <v>0</v>
      </c>
      <c r="AG457" s="116" t="n">
        <v>0</v>
      </c>
      <c r="AH457" s="116" t="n">
        <v>0</v>
      </c>
      <c r="AI457" s="47">
        <f>IFERROR(AC457/S457,"")</f>
        <v/>
      </c>
      <c r="AJ457" s="47">
        <f>IFERROR(AH457/S457,"")</f>
        <v/>
      </c>
      <c r="AK457" s="116" t="n">
        <v>78</v>
      </c>
      <c r="AL457" s="116" t="n">
        <v>1</v>
      </c>
      <c r="AM457" s="118">
        <f>IFERROR(AL457/AA457,"")</f>
        <v/>
      </c>
      <c r="AN457" s="119">
        <f>IFERROR(R457/AL457,"")</f>
        <v/>
      </c>
      <c r="AO457" s="116" t="n">
        <v>0</v>
      </c>
      <c r="AP457" s="47">
        <f>IFERROR(AO457/AL457,"")</f>
        <v/>
      </c>
      <c r="AQ457" s="119">
        <f>IFERROR(R457/AO457,"")</f>
        <v/>
      </c>
      <c r="AR457" s="116" t="n">
        <v>1</v>
      </c>
      <c r="AS457" s="116" t="n">
        <v>0</v>
      </c>
      <c r="AT457" s="116">
        <f>AL457+AR457</f>
        <v/>
      </c>
      <c r="AU457" s="119">
        <f>IFERROR(AO457*Assumptions!$C$26*Assumptions!$C$27*INDEX(Assumptions!$C$18:$C$21,MATCH(H457,Assumptions!$B$18:$B$21,0)),0)</f>
        <v/>
      </c>
    </row>
    <row r="458">
      <c r="A458" s="114" t="n">
        <v>46255</v>
      </c>
      <c r="B458" s="42" t="inlineStr">
        <is>
          <t>Wk 34</t>
        </is>
      </c>
      <c r="C458" s="42" t="inlineStr">
        <is>
          <t>Fri</t>
        </is>
      </c>
      <c r="D458" s="42" t="inlineStr">
        <is>
          <t>Meta (FB/IG)</t>
        </is>
      </c>
      <c r="E458" s="42" t="inlineStr">
        <is>
          <t>Facebook + Instagram</t>
        </is>
      </c>
      <c r="F458" s="42" t="inlineStr">
        <is>
          <t>LEP_ZA_AUG26_META_TD_JAVAN_CONV</t>
        </is>
      </c>
      <c r="G458" s="42" t="inlineStr">
        <is>
          <t>Leads - Website Conversions</t>
        </is>
      </c>
      <c r="H458" s="42" t="inlineStr">
        <is>
          <t>JAVAN</t>
        </is>
      </c>
      <c r="I458" s="42" t="inlineStr">
        <is>
          <t>10% Deposit</t>
        </is>
      </c>
      <c r="J458" s="42" t="inlineStr">
        <is>
          <t>MET_JAVAN_INMKT_SUV_ZA</t>
        </is>
      </c>
      <c r="K458" s="42" t="inlineStr">
        <is>
          <t>In-Market</t>
        </is>
      </c>
      <c r="L458" s="42" t="inlineStr">
        <is>
          <t>JAVAN_STA_Compare_SUV_v1</t>
        </is>
      </c>
      <c r="M458" s="42" t="inlineStr">
        <is>
          <t>Static 4:5</t>
        </is>
      </c>
      <c r="N458" s="42" t="inlineStr">
        <is>
          <t>JAVAN vs the usual suspects</t>
        </is>
      </c>
      <c r="O458" s="42" t="inlineStr">
        <is>
          <t>Auction - Lowest Cost</t>
        </is>
      </c>
      <c r="P458" s="42" t="inlineStr">
        <is>
          <t>Offsite Conversions</t>
        </is>
      </c>
      <c r="Q458" s="42" t="inlineStr">
        <is>
          <t>https://www.lepas-sa.co.za/offers/javan</t>
        </is>
      </c>
      <c r="R458" s="115" t="n">
        <v>177.18</v>
      </c>
      <c r="S458" s="116" t="n">
        <v>2177</v>
      </c>
      <c r="T458" s="116" t="n">
        <v>1529</v>
      </c>
      <c r="U458" s="117">
        <f>IFERROR(S458/T458,"")</f>
        <v/>
      </c>
      <c r="V458" s="116" t="n">
        <v>17</v>
      </c>
      <c r="W458" s="116" t="n">
        <v>14</v>
      </c>
      <c r="X458" s="118">
        <f>IFERROR(W458/S458,"")</f>
        <v/>
      </c>
      <c r="Y458" s="115">
        <f>IFERROR(R458/W458,"")</f>
        <v/>
      </c>
      <c r="Z458" s="115">
        <f>IFERROR(R458/S458*1000,"")</f>
        <v/>
      </c>
      <c r="AA458" s="116" t="n">
        <v>12</v>
      </c>
      <c r="AB458" s="47">
        <f>IFERROR(AA458/W458,"")</f>
        <v/>
      </c>
      <c r="AC458" s="116" t="n">
        <v>0</v>
      </c>
      <c r="AD458" s="116" t="n">
        <v>0</v>
      </c>
      <c r="AE458" s="116" t="n">
        <v>0</v>
      </c>
      <c r="AF458" s="116" t="n">
        <v>0</v>
      </c>
      <c r="AG458" s="116" t="n">
        <v>0</v>
      </c>
      <c r="AH458" s="116" t="n">
        <v>0</v>
      </c>
      <c r="AI458" s="47">
        <f>IFERROR(AC458/S458,"")</f>
        <v/>
      </c>
      <c r="AJ458" s="47">
        <f>IFERROR(AH458/S458,"")</f>
        <v/>
      </c>
      <c r="AK458" s="116" t="n">
        <v>61</v>
      </c>
      <c r="AL458" s="116" t="n">
        <v>0</v>
      </c>
      <c r="AM458" s="118">
        <f>IFERROR(AL458/AA458,"")</f>
        <v/>
      </c>
      <c r="AN458" s="119">
        <f>IFERROR(R458/AL458,"")</f>
        <v/>
      </c>
      <c r="AO458" s="116" t="n">
        <v>0</v>
      </c>
      <c r="AP458" s="47">
        <f>IFERROR(AO458/AL458,"")</f>
        <v/>
      </c>
      <c r="AQ458" s="119">
        <f>IFERROR(R458/AO458,"")</f>
        <v/>
      </c>
      <c r="AR458" s="116" t="n">
        <v>0</v>
      </c>
      <c r="AS458" s="116" t="n">
        <v>0</v>
      </c>
      <c r="AT458" s="116">
        <f>AL458+AR458</f>
        <v/>
      </c>
      <c r="AU458" s="119">
        <f>IFERROR(AO458*Assumptions!$C$26*Assumptions!$C$27*INDEX(Assumptions!$C$18:$C$21,MATCH(H458,Assumptions!$B$18:$B$21,0)),0)</f>
        <v/>
      </c>
    </row>
    <row r="459">
      <c r="A459" s="114" t="n">
        <v>46256</v>
      </c>
      <c r="B459" s="42" t="inlineStr">
        <is>
          <t>Wk 34</t>
        </is>
      </c>
      <c r="C459" s="42" t="inlineStr">
        <is>
          <t>Sat</t>
        </is>
      </c>
      <c r="D459" s="42" t="inlineStr">
        <is>
          <t>Meta (FB/IG)</t>
        </is>
      </c>
      <c r="E459" s="42" t="inlineStr">
        <is>
          <t>Facebook + Instagram</t>
        </is>
      </c>
      <c r="F459" s="42" t="inlineStr">
        <is>
          <t>LEP_ZA_AUG26_META_TD_JAVAN_CONV</t>
        </is>
      </c>
      <c r="G459" s="42" t="inlineStr">
        <is>
          <t>Leads - Website Conversions</t>
        </is>
      </c>
      <c r="H459" s="42" t="inlineStr">
        <is>
          <t>JAVAN</t>
        </is>
      </c>
      <c r="I459" s="42" t="inlineStr">
        <is>
          <t>10% Deposit</t>
        </is>
      </c>
      <c r="J459" s="42" t="inlineStr">
        <is>
          <t>MET_JAVAN_INMKT_SUV_ZA</t>
        </is>
      </c>
      <c r="K459" s="42" t="inlineStr">
        <is>
          <t>In-Market</t>
        </is>
      </c>
      <c r="L459" s="42" t="inlineStr">
        <is>
          <t>JAVAN_STA_Compare_SUV_v1</t>
        </is>
      </c>
      <c r="M459" s="42" t="inlineStr">
        <is>
          <t>Static 4:5</t>
        </is>
      </c>
      <c r="N459" s="42" t="inlineStr">
        <is>
          <t>JAVAN vs the usual suspects</t>
        </is>
      </c>
      <c r="O459" s="42" t="inlineStr">
        <is>
          <t>Auction - Lowest Cost</t>
        </is>
      </c>
      <c r="P459" s="42" t="inlineStr">
        <is>
          <t>Offsite Conversions</t>
        </is>
      </c>
      <c r="Q459" s="42" t="inlineStr">
        <is>
          <t>https://www.lepas-sa.co.za/offers/javan</t>
        </is>
      </c>
      <c r="R459" s="115" t="n">
        <v>156.78</v>
      </c>
      <c r="S459" s="116" t="n">
        <v>1764</v>
      </c>
      <c r="T459" s="116" t="n">
        <v>1240</v>
      </c>
      <c r="U459" s="117">
        <f>IFERROR(S459/T459,"")</f>
        <v/>
      </c>
      <c r="V459" s="116" t="n">
        <v>23</v>
      </c>
      <c r="W459" s="116" t="n">
        <v>18</v>
      </c>
      <c r="X459" s="118">
        <f>IFERROR(W459/S459,"")</f>
        <v/>
      </c>
      <c r="Y459" s="115">
        <f>IFERROR(R459/W459,"")</f>
        <v/>
      </c>
      <c r="Z459" s="115">
        <f>IFERROR(R459/S459*1000,"")</f>
        <v/>
      </c>
      <c r="AA459" s="116" t="n">
        <v>16</v>
      </c>
      <c r="AB459" s="47">
        <f>IFERROR(AA459/W459,"")</f>
        <v/>
      </c>
      <c r="AC459" s="116" t="n">
        <v>0</v>
      </c>
      <c r="AD459" s="116" t="n">
        <v>0</v>
      </c>
      <c r="AE459" s="116" t="n">
        <v>0</v>
      </c>
      <c r="AF459" s="116" t="n">
        <v>0</v>
      </c>
      <c r="AG459" s="116" t="n">
        <v>0</v>
      </c>
      <c r="AH459" s="116" t="n">
        <v>0</v>
      </c>
      <c r="AI459" s="47">
        <f>IFERROR(AC459/S459,"")</f>
        <v/>
      </c>
      <c r="AJ459" s="47">
        <f>IFERROR(AH459/S459,"")</f>
        <v/>
      </c>
      <c r="AK459" s="116" t="n">
        <v>40</v>
      </c>
      <c r="AL459" s="116" t="n">
        <v>1</v>
      </c>
      <c r="AM459" s="118">
        <f>IFERROR(AL459/AA459,"")</f>
        <v/>
      </c>
      <c r="AN459" s="119">
        <f>IFERROR(R459/AL459,"")</f>
        <v/>
      </c>
      <c r="AO459" s="116" t="n">
        <v>1</v>
      </c>
      <c r="AP459" s="47">
        <f>IFERROR(AO459/AL459,"")</f>
        <v/>
      </c>
      <c r="AQ459" s="119">
        <f>IFERROR(R459/AO459,"")</f>
        <v/>
      </c>
      <c r="AR459" s="116" t="n">
        <v>0</v>
      </c>
      <c r="AS459" s="116" t="n">
        <v>0</v>
      </c>
      <c r="AT459" s="116">
        <f>AL459+AR459</f>
        <v/>
      </c>
      <c r="AU459" s="119">
        <f>IFERROR(AO459*Assumptions!$C$26*Assumptions!$C$27*INDEX(Assumptions!$C$18:$C$21,MATCH(H459,Assumptions!$B$18:$B$21,0)),0)</f>
        <v/>
      </c>
    </row>
    <row r="460">
      <c r="A460" s="114" t="n">
        <v>46257</v>
      </c>
      <c r="B460" s="42" t="inlineStr">
        <is>
          <t>Wk 34</t>
        </is>
      </c>
      <c r="C460" s="42" t="inlineStr">
        <is>
          <t>Sun</t>
        </is>
      </c>
      <c r="D460" s="42" t="inlineStr">
        <is>
          <t>Meta (FB/IG)</t>
        </is>
      </c>
      <c r="E460" s="42" t="inlineStr">
        <is>
          <t>Facebook + Instagram</t>
        </is>
      </c>
      <c r="F460" s="42" t="inlineStr">
        <is>
          <t>LEP_ZA_AUG26_META_TD_JAVAN_CONV</t>
        </is>
      </c>
      <c r="G460" s="42" t="inlineStr">
        <is>
          <t>Leads - Website Conversions</t>
        </is>
      </c>
      <c r="H460" s="42" t="inlineStr">
        <is>
          <t>JAVAN</t>
        </is>
      </c>
      <c r="I460" s="42" t="inlineStr">
        <is>
          <t>10% Deposit</t>
        </is>
      </c>
      <c r="J460" s="42" t="inlineStr">
        <is>
          <t>MET_JAVAN_INMKT_SUV_ZA</t>
        </is>
      </c>
      <c r="K460" s="42" t="inlineStr">
        <is>
          <t>In-Market</t>
        </is>
      </c>
      <c r="L460" s="42" t="inlineStr">
        <is>
          <t>JAVAN_STA_Compare_SUV_v1</t>
        </is>
      </c>
      <c r="M460" s="42" t="inlineStr">
        <is>
          <t>Static 4:5</t>
        </is>
      </c>
      <c r="N460" s="42" t="inlineStr">
        <is>
          <t>JAVAN vs the usual suspects</t>
        </is>
      </c>
      <c r="O460" s="42" t="inlineStr">
        <is>
          <t>Auction - Lowest Cost</t>
        </is>
      </c>
      <c r="P460" s="42" t="inlineStr">
        <is>
          <t>Offsite Conversions</t>
        </is>
      </c>
      <c r="Q460" s="42" t="inlineStr">
        <is>
          <t>https://www.lepas-sa.co.za/offers/javan</t>
        </is>
      </c>
      <c r="R460" s="115" t="n">
        <v>126.65</v>
      </c>
      <c r="S460" s="116" t="n">
        <v>1453</v>
      </c>
      <c r="T460" s="116" t="n">
        <v>906</v>
      </c>
      <c r="U460" s="117">
        <f>IFERROR(S460/T460,"")</f>
        <v/>
      </c>
      <c r="V460" s="116" t="n">
        <v>30</v>
      </c>
      <c r="W460" s="116" t="n">
        <v>22</v>
      </c>
      <c r="X460" s="118">
        <f>IFERROR(W460/S460,"")</f>
        <v/>
      </c>
      <c r="Y460" s="115">
        <f>IFERROR(R460/W460,"")</f>
        <v/>
      </c>
      <c r="Z460" s="115">
        <f>IFERROR(R460/S460*1000,"")</f>
        <v/>
      </c>
      <c r="AA460" s="116" t="n">
        <v>19</v>
      </c>
      <c r="AB460" s="47">
        <f>IFERROR(AA460/W460,"")</f>
        <v/>
      </c>
      <c r="AC460" s="116" t="n">
        <v>0</v>
      </c>
      <c r="AD460" s="116" t="n">
        <v>0</v>
      </c>
      <c r="AE460" s="116" t="n">
        <v>0</v>
      </c>
      <c r="AF460" s="116" t="n">
        <v>0</v>
      </c>
      <c r="AG460" s="116" t="n">
        <v>0</v>
      </c>
      <c r="AH460" s="116" t="n">
        <v>0</v>
      </c>
      <c r="AI460" s="47">
        <f>IFERROR(AC460/S460,"")</f>
        <v/>
      </c>
      <c r="AJ460" s="47">
        <f>IFERROR(AH460/S460,"")</f>
        <v/>
      </c>
      <c r="AK460" s="116" t="n">
        <v>40</v>
      </c>
      <c r="AL460" s="116" t="n">
        <v>1</v>
      </c>
      <c r="AM460" s="118">
        <f>IFERROR(AL460/AA460,"")</f>
        <v/>
      </c>
      <c r="AN460" s="119">
        <f>IFERROR(R460/AL460,"")</f>
        <v/>
      </c>
      <c r="AO460" s="116" t="n">
        <v>1</v>
      </c>
      <c r="AP460" s="47">
        <f>IFERROR(AO460/AL460,"")</f>
        <v/>
      </c>
      <c r="AQ460" s="119">
        <f>IFERROR(R460/AO460,"")</f>
        <v/>
      </c>
      <c r="AR460" s="116" t="n">
        <v>0</v>
      </c>
      <c r="AS460" s="116" t="n">
        <v>0</v>
      </c>
      <c r="AT460" s="116">
        <f>AL460+AR460</f>
        <v/>
      </c>
      <c r="AU460" s="119">
        <f>IFERROR(AO460*Assumptions!$C$26*Assumptions!$C$27*INDEX(Assumptions!$C$18:$C$21,MATCH(H460,Assumptions!$B$18:$B$21,0)),0)</f>
        <v/>
      </c>
    </row>
    <row r="461">
      <c r="A461" s="114" t="n">
        <v>46258</v>
      </c>
      <c r="B461" s="42" t="inlineStr">
        <is>
          <t>Wk 35</t>
        </is>
      </c>
      <c r="C461" s="42" t="inlineStr">
        <is>
          <t>Mon</t>
        </is>
      </c>
      <c r="D461" s="42" t="inlineStr">
        <is>
          <t>Meta (FB/IG)</t>
        </is>
      </c>
      <c r="E461" s="42" t="inlineStr">
        <is>
          <t>Facebook + Instagram</t>
        </is>
      </c>
      <c r="F461" s="42" t="inlineStr">
        <is>
          <t>LEP_ZA_AUG26_META_TD_JAVAN_CONV</t>
        </is>
      </c>
      <c r="G461" s="42" t="inlineStr">
        <is>
          <t>Leads - Website Conversions</t>
        </is>
      </c>
      <c r="H461" s="42" t="inlineStr">
        <is>
          <t>JAVAN</t>
        </is>
      </c>
      <c r="I461" s="42" t="inlineStr">
        <is>
          <t>10% Deposit</t>
        </is>
      </c>
      <c r="J461" s="42" t="inlineStr">
        <is>
          <t>MET_JAVAN_INMKT_SUV_ZA</t>
        </is>
      </c>
      <c r="K461" s="42" t="inlineStr">
        <is>
          <t>In-Market</t>
        </is>
      </c>
      <c r="L461" s="42" t="inlineStr">
        <is>
          <t>JAVAN_STA_Compare_SUV_v1</t>
        </is>
      </c>
      <c r="M461" s="42" t="inlineStr">
        <is>
          <t>Static 4:5</t>
        </is>
      </c>
      <c r="N461" s="42" t="inlineStr">
        <is>
          <t>JAVAN vs the usual suspects</t>
        </is>
      </c>
      <c r="O461" s="42" t="inlineStr">
        <is>
          <t>Auction - Lowest Cost</t>
        </is>
      </c>
      <c r="P461" s="42" t="inlineStr">
        <is>
          <t>Offsite Conversions</t>
        </is>
      </c>
      <c r="Q461" s="42" t="inlineStr">
        <is>
          <t>https://www.lepas-sa.co.za/offers/javan</t>
        </is>
      </c>
      <c r="R461" s="115" t="n">
        <v>128.64</v>
      </c>
      <c r="S461" s="116" t="n">
        <v>1575</v>
      </c>
      <c r="T461" s="116" t="n">
        <v>990</v>
      </c>
      <c r="U461" s="117">
        <f>IFERROR(S461/T461,"")</f>
        <v/>
      </c>
      <c r="V461" s="116" t="n">
        <v>21</v>
      </c>
      <c r="W461" s="116" t="n">
        <v>15</v>
      </c>
      <c r="X461" s="118">
        <f>IFERROR(W461/S461,"")</f>
        <v/>
      </c>
      <c r="Y461" s="115">
        <f>IFERROR(R461/W461,"")</f>
        <v/>
      </c>
      <c r="Z461" s="115">
        <f>IFERROR(R461/S461*1000,"")</f>
        <v/>
      </c>
      <c r="AA461" s="116" t="n">
        <v>12</v>
      </c>
      <c r="AB461" s="47">
        <f>IFERROR(AA461/W461,"")</f>
        <v/>
      </c>
      <c r="AC461" s="116" t="n">
        <v>0</v>
      </c>
      <c r="AD461" s="116" t="n">
        <v>0</v>
      </c>
      <c r="AE461" s="116" t="n">
        <v>0</v>
      </c>
      <c r="AF461" s="116" t="n">
        <v>0</v>
      </c>
      <c r="AG461" s="116" t="n">
        <v>0</v>
      </c>
      <c r="AH461" s="116" t="n">
        <v>0</v>
      </c>
      <c r="AI461" s="47">
        <f>IFERROR(AC461/S461,"")</f>
        <v/>
      </c>
      <c r="AJ461" s="47">
        <f>IFERROR(AH461/S461,"")</f>
        <v/>
      </c>
      <c r="AK461" s="116" t="n">
        <v>33</v>
      </c>
      <c r="AL461" s="116" t="n">
        <v>0</v>
      </c>
      <c r="AM461" s="118">
        <f>IFERROR(AL461/AA461,"")</f>
        <v/>
      </c>
      <c r="AN461" s="119">
        <f>IFERROR(R461/AL461,"")</f>
        <v/>
      </c>
      <c r="AO461" s="116" t="n">
        <v>0</v>
      </c>
      <c r="AP461" s="47">
        <f>IFERROR(AO461/AL461,"")</f>
        <v/>
      </c>
      <c r="AQ461" s="119">
        <f>IFERROR(R461/AO461,"")</f>
        <v/>
      </c>
      <c r="AR461" s="116" t="n">
        <v>0</v>
      </c>
      <c r="AS461" s="116" t="n">
        <v>0</v>
      </c>
      <c r="AT461" s="116">
        <f>AL461+AR461</f>
        <v/>
      </c>
      <c r="AU461" s="119">
        <f>IFERROR(AO461*Assumptions!$C$26*Assumptions!$C$27*INDEX(Assumptions!$C$18:$C$21,MATCH(H461,Assumptions!$B$18:$B$21,0)),0)</f>
        <v/>
      </c>
    </row>
    <row r="462">
      <c r="A462" s="114" t="n">
        <v>46259</v>
      </c>
      <c r="B462" s="42" t="inlineStr">
        <is>
          <t>Wk 35</t>
        </is>
      </c>
      <c r="C462" s="42" t="inlineStr">
        <is>
          <t>Tue</t>
        </is>
      </c>
      <c r="D462" s="42" t="inlineStr">
        <is>
          <t>Meta (FB/IG)</t>
        </is>
      </c>
      <c r="E462" s="42" t="inlineStr">
        <is>
          <t>Facebook + Instagram</t>
        </is>
      </c>
      <c r="F462" s="42" t="inlineStr">
        <is>
          <t>LEP_ZA_AUG26_META_TD_JAVAN_CONV</t>
        </is>
      </c>
      <c r="G462" s="42" t="inlineStr">
        <is>
          <t>Leads - Website Conversions</t>
        </is>
      </c>
      <c r="H462" s="42" t="inlineStr">
        <is>
          <t>JAVAN</t>
        </is>
      </c>
      <c r="I462" s="42" t="inlineStr">
        <is>
          <t>10% Deposit</t>
        </is>
      </c>
      <c r="J462" s="42" t="inlineStr">
        <is>
          <t>MET_JAVAN_INMKT_SUV_ZA</t>
        </is>
      </c>
      <c r="K462" s="42" t="inlineStr">
        <is>
          <t>In-Market</t>
        </is>
      </c>
      <c r="L462" s="42" t="inlineStr">
        <is>
          <t>JAVAN_STA_Compare_SUV_v1</t>
        </is>
      </c>
      <c r="M462" s="42" t="inlineStr">
        <is>
          <t>Static 4:5</t>
        </is>
      </c>
      <c r="N462" s="42" t="inlineStr">
        <is>
          <t>JAVAN vs the usual suspects</t>
        </is>
      </c>
      <c r="O462" s="42" t="inlineStr">
        <is>
          <t>Auction - Lowest Cost</t>
        </is>
      </c>
      <c r="P462" s="42" t="inlineStr">
        <is>
          <t>Offsite Conversions</t>
        </is>
      </c>
      <c r="Q462" s="42" t="inlineStr">
        <is>
          <t>https://www.lepas-sa.co.za/offers/javan</t>
        </is>
      </c>
      <c r="R462" s="115" t="n">
        <v>153.37</v>
      </c>
      <c r="S462" s="116" t="n">
        <v>1816</v>
      </c>
      <c r="T462" s="116" t="n">
        <v>1024</v>
      </c>
      <c r="U462" s="117">
        <f>IFERROR(S462/T462,"")</f>
        <v/>
      </c>
      <c r="V462" s="116" t="n">
        <v>16</v>
      </c>
      <c r="W462" s="116" t="n">
        <v>13</v>
      </c>
      <c r="X462" s="118">
        <f>IFERROR(W462/S462,"")</f>
        <v/>
      </c>
      <c r="Y462" s="115">
        <f>IFERROR(R462/W462,"")</f>
        <v/>
      </c>
      <c r="Z462" s="115">
        <f>IFERROR(R462/S462*1000,"")</f>
        <v/>
      </c>
      <c r="AA462" s="116" t="n">
        <v>10</v>
      </c>
      <c r="AB462" s="47">
        <f>IFERROR(AA462/W462,"")</f>
        <v/>
      </c>
      <c r="AC462" s="116" t="n">
        <v>0</v>
      </c>
      <c r="AD462" s="116" t="n">
        <v>0</v>
      </c>
      <c r="AE462" s="116" t="n">
        <v>0</v>
      </c>
      <c r="AF462" s="116" t="n">
        <v>0</v>
      </c>
      <c r="AG462" s="116" t="n">
        <v>0</v>
      </c>
      <c r="AH462" s="116" t="n">
        <v>0</v>
      </c>
      <c r="AI462" s="47">
        <f>IFERROR(AC462/S462,"")</f>
        <v/>
      </c>
      <c r="AJ462" s="47">
        <f>IFERROR(AH462/S462,"")</f>
        <v/>
      </c>
      <c r="AK462" s="116" t="n">
        <v>63</v>
      </c>
      <c r="AL462" s="116" t="n">
        <v>0</v>
      </c>
      <c r="AM462" s="118">
        <f>IFERROR(AL462/AA462,"")</f>
        <v/>
      </c>
      <c r="AN462" s="119">
        <f>IFERROR(R462/AL462,"")</f>
        <v/>
      </c>
      <c r="AO462" s="116" t="n">
        <v>0</v>
      </c>
      <c r="AP462" s="47">
        <f>IFERROR(AO462/AL462,"")</f>
        <v/>
      </c>
      <c r="AQ462" s="119">
        <f>IFERROR(R462/AO462,"")</f>
        <v/>
      </c>
      <c r="AR462" s="116" t="n">
        <v>0</v>
      </c>
      <c r="AS462" s="116" t="n">
        <v>0</v>
      </c>
      <c r="AT462" s="116">
        <f>AL462+AR462</f>
        <v/>
      </c>
      <c r="AU462" s="119">
        <f>IFERROR(AO462*Assumptions!$C$26*Assumptions!$C$27*INDEX(Assumptions!$C$18:$C$21,MATCH(H462,Assumptions!$B$18:$B$21,0)),0)</f>
        <v/>
      </c>
    </row>
    <row r="463">
      <c r="A463" s="114" t="n">
        <v>46260</v>
      </c>
      <c r="B463" s="42" t="inlineStr">
        <is>
          <t>Wk 35</t>
        </is>
      </c>
      <c r="C463" s="42" t="inlineStr">
        <is>
          <t>Wed</t>
        </is>
      </c>
      <c r="D463" s="42" t="inlineStr">
        <is>
          <t>Meta (FB/IG)</t>
        </is>
      </c>
      <c r="E463" s="42" t="inlineStr">
        <is>
          <t>Facebook + Instagram</t>
        </is>
      </c>
      <c r="F463" s="42" t="inlineStr">
        <is>
          <t>LEP_ZA_AUG26_META_TD_JAVAN_CONV</t>
        </is>
      </c>
      <c r="G463" s="42" t="inlineStr">
        <is>
          <t>Leads - Website Conversions</t>
        </is>
      </c>
      <c r="H463" s="42" t="inlineStr">
        <is>
          <t>JAVAN</t>
        </is>
      </c>
      <c r="I463" s="42" t="inlineStr">
        <is>
          <t>10% Deposit</t>
        </is>
      </c>
      <c r="J463" s="42" t="inlineStr">
        <is>
          <t>MET_JAVAN_INMKT_SUV_ZA</t>
        </is>
      </c>
      <c r="K463" s="42" t="inlineStr">
        <is>
          <t>In-Market</t>
        </is>
      </c>
      <c r="L463" s="42" t="inlineStr">
        <is>
          <t>JAVAN_STA_Compare_SUV_v1</t>
        </is>
      </c>
      <c r="M463" s="42" t="inlineStr">
        <is>
          <t>Static 4:5</t>
        </is>
      </c>
      <c r="N463" s="42" t="inlineStr">
        <is>
          <t>JAVAN vs the usual suspects</t>
        </is>
      </c>
      <c r="O463" s="42" t="inlineStr">
        <is>
          <t>Auction - Lowest Cost</t>
        </is>
      </c>
      <c r="P463" s="42" t="inlineStr">
        <is>
          <t>Offsite Conversions</t>
        </is>
      </c>
      <c r="Q463" s="42" t="inlineStr">
        <is>
          <t>https://www.lepas-sa.co.za/offers/javan</t>
        </is>
      </c>
      <c r="R463" s="115" t="n">
        <v>169.31</v>
      </c>
      <c r="S463" s="116" t="n">
        <v>1805</v>
      </c>
      <c r="T463" s="116" t="n">
        <v>879</v>
      </c>
      <c r="U463" s="117">
        <f>IFERROR(S463/T463,"")</f>
        <v/>
      </c>
      <c r="V463" s="116" t="n">
        <v>22</v>
      </c>
      <c r="W463" s="116" t="n">
        <v>16</v>
      </c>
      <c r="X463" s="118">
        <f>IFERROR(W463/S463,"")</f>
        <v/>
      </c>
      <c r="Y463" s="115">
        <f>IFERROR(R463/W463,"")</f>
        <v/>
      </c>
      <c r="Z463" s="115">
        <f>IFERROR(R463/S463*1000,"")</f>
        <v/>
      </c>
      <c r="AA463" s="116" t="n">
        <v>13</v>
      </c>
      <c r="AB463" s="47">
        <f>IFERROR(AA463/W463,"")</f>
        <v/>
      </c>
      <c r="AC463" s="116" t="n">
        <v>0</v>
      </c>
      <c r="AD463" s="116" t="n">
        <v>0</v>
      </c>
      <c r="AE463" s="116" t="n">
        <v>0</v>
      </c>
      <c r="AF463" s="116" t="n">
        <v>0</v>
      </c>
      <c r="AG463" s="116" t="n">
        <v>0</v>
      </c>
      <c r="AH463" s="116" t="n">
        <v>0</v>
      </c>
      <c r="AI463" s="47">
        <f>IFERROR(AC463/S463,"")</f>
        <v/>
      </c>
      <c r="AJ463" s="47">
        <f>IFERROR(AH463/S463,"")</f>
        <v/>
      </c>
      <c r="AK463" s="116" t="n">
        <v>36</v>
      </c>
      <c r="AL463" s="116" t="n">
        <v>1</v>
      </c>
      <c r="AM463" s="118">
        <f>IFERROR(AL463/AA463,"")</f>
        <v/>
      </c>
      <c r="AN463" s="119">
        <f>IFERROR(R463/AL463,"")</f>
        <v/>
      </c>
      <c r="AO463" s="116" t="n">
        <v>1</v>
      </c>
      <c r="AP463" s="47">
        <f>IFERROR(AO463/AL463,"")</f>
        <v/>
      </c>
      <c r="AQ463" s="119">
        <f>IFERROR(R463/AO463,"")</f>
        <v/>
      </c>
      <c r="AR463" s="116" t="n">
        <v>0</v>
      </c>
      <c r="AS463" s="116" t="n">
        <v>1</v>
      </c>
      <c r="AT463" s="116">
        <f>AL463+AR463</f>
        <v/>
      </c>
      <c r="AU463" s="119">
        <f>IFERROR(AO463*Assumptions!$C$26*Assumptions!$C$27*INDEX(Assumptions!$C$18:$C$21,MATCH(H463,Assumptions!$B$18:$B$21,0)),0)</f>
        <v/>
      </c>
    </row>
    <row r="464">
      <c r="A464" s="114" t="n">
        <v>46261</v>
      </c>
      <c r="B464" s="42" t="inlineStr">
        <is>
          <t>Wk 35</t>
        </is>
      </c>
      <c r="C464" s="42" t="inlineStr">
        <is>
          <t>Thu</t>
        </is>
      </c>
      <c r="D464" s="42" t="inlineStr">
        <is>
          <t>Meta (FB/IG)</t>
        </is>
      </c>
      <c r="E464" s="42" t="inlineStr">
        <is>
          <t>Facebook + Instagram</t>
        </is>
      </c>
      <c r="F464" s="42" t="inlineStr">
        <is>
          <t>LEP_ZA_AUG26_META_TD_JAVAN_CONV</t>
        </is>
      </c>
      <c r="G464" s="42" t="inlineStr">
        <is>
          <t>Leads - Website Conversions</t>
        </is>
      </c>
      <c r="H464" s="42" t="inlineStr">
        <is>
          <t>JAVAN</t>
        </is>
      </c>
      <c r="I464" s="42" t="inlineStr">
        <is>
          <t>10% Deposit</t>
        </is>
      </c>
      <c r="J464" s="42" t="inlineStr">
        <is>
          <t>MET_JAVAN_INMKT_SUV_ZA</t>
        </is>
      </c>
      <c r="K464" s="42" t="inlineStr">
        <is>
          <t>In-Market</t>
        </is>
      </c>
      <c r="L464" s="42" t="inlineStr">
        <is>
          <t>JAVAN_STA_Compare_SUV_v1</t>
        </is>
      </c>
      <c r="M464" s="42" t="inlineStr">
        <is>
          <t>Static 4:5</t>
        </is>
      </c>
      <c r="N464" s="42" t="inlineStr">
        <is>
          <t>JAVAN vs the usual suspects</t>
        </is>
      </c>
      <c r="O464" s="42" t="inlineStr">
        <is>
          <t>Auction - Lowest Cost</t>
        </is>
      </c>
      <c r="P464" s="42" t="inlineStr">
        <is>
          <t>Offsite Conversions</t>
        </is>
      </c>
      <c r="Q464" s="42" t="inlineStr">
        <is>
          <t>https://www.lepas-sa.co.za/offers/javan</t>
        </is>
      </c>
      <c r="R464" s="115" t="n">
        <v>210.29</v>
      </c>
      <c r="S464" s="116" t="n">
        <v>2200</v>
      </c>
      <c r="T464" s="116" t="n">
        <v>1044</v>
      </c>
      <c r="U464" s="117">
        <f>IFERROR(S464/T464,"")</f>
        <v/>
      </c>
      <c r="V464" s="116" t="n">
        <v>34</v>
      </c>
      <c r="W464" s="116" t="n">
        <v>24</v>
      </c>
      <c r="X464" s="118">
        <f>IFERROR(W464/S464,"")</f>
        <v/>
      </c>
      <c r="Y464" s="115">
        <f>IFERROR(R464/W464,"")</f>
        <v/>
      </c>
      <c r="Z464" s="115">
        <f>IFERROR(R464/S464*1000,"")</f>
        <v/>
      </c>
      <c r="AA464" s="116" t="n">
        <v>20</v>
      </c>
      <c r="AB464" s="47">
        <f>IFERROR(AA464/W464,"")</f>
        <v/>
      </c>
      <c r="AC464" s="116" t="n">
        <v>0</v>
      </c>
      <c r="AD464" s="116" t="n">
        <v>0</v>
      </c>
      <c r="AE464" s="116" t="n">
        <v>0</v>
      </c>
      <c r="AF464" s="116" t="n">
        <v>0</v>
      </c>
      <c r="AG464" s="116" t="n">
        <v>0</v>
      </c>
      <c r="AH464" s="116" t="n">
        <v>0</v>
      </c>
      <c r="AI464" s="47">
        <f>IFERROR(AC464/S464,"")</f>
        <v/>
      </c>
      <c r="AJ464" s="47">
        <f>IFERROR(AH464/S464,"")</f>
        <v/>
      </c>
      <c r="AK464" s="116" t="n">
        <v>64</v>
      </c>
      <c r="AL464" s="116" t="n">
        <v>0</v>
      </c>
      <c r="AM464" s="118">
        <f>IFERROR(AL464/AA464,"")</f>
        <v/>
      </c>
      <c r="AN464" s="119">
        <f>IFERROR(R464/AL464,"")</f>
        <v/>
      </c>
      <c r="AO464" s="116" t="n">
        <v>0</v>
      </c>
      <c r="AP464" s="47">
        <f>IFERROR(AO464/AL464,"")</f>
        <v/>
      </c>
      <c r="AQ464" s="119">
        <f>IFERROR(R464/AO464,"")</f>
        <v/>
      </c>
      <c r="AR464" s="116" t="n">
        <v>0</v>
      </c>
      <c r="AS464" s="116" t="n">
        <v>0</v>
      </c>
      <c r="AT464" s="116">
        <f>AL464+AR464</f>
        <v/>
      </c>
      <c r="AU464" s="119">
        <f>IFERROR(AO464*Assumptions!$C$26*Assumptions!$C$27*INDEX(Assumptions!$C$18:$C$21,MATCH(H464,Assumptions!$B$18:$B$21,0)),0)</f>
        <v/>
      </c>
    </row>
    <row r="465">
      <c r="A465" s="114" t="n">
        <v>46262</v>
      </c>
      <c r="B465" s="42" t="inlineStr">
        <is>
          <t>Wk 35</t>
        </is>
      </c>
      <c r="C465" s="42" t="inlineStr">
        <is>
          <t>Fri</t>
        </is>
      </c>
      <c r="D465" s="42" t="inlineStr">
        <is>
          <t>Meta (FB/IG)</t>
        </is>
      </c>
      <c r="E465" s="42" t="inlineStr">
        <is>
          <t>Facebook + Instagram</t>
        </is>
      </c>
      <c r="F465" s="42" t="inlineStr">
        <is>
          <t>LEP_ZA_AUG26_META_TD_JAVAN_CONV</t>
        </is>
      </c>
      <c r="G465" s="42" t="inlineStr">
        <is>
          <t>Leads - Website Conversions</t>
        </is>
      </c>
      <c r="H465" s="42" t="inlineStr">
        <is>
          <t>JAVAN</t>
        </is>
      </c>
      <c r="I465" s="42" t="inlineStr">
        <is>
          <t>10% Deposit</t>
        </is>
      </c>
      <c r="J465" s="42" t="inlineStr">
        <is>
          <t>MET_JAVAN_INMKT_SUV_ZA</t>
        </is>
      </c>
      <c r="K465" s="42" t="inlineStr">
        <is>
          <t>In-Market</t>
        </is>
      </c>
      <c r="L465" s="42" t="inlineStr">
        <is>
          <t>JAVAN_STA_Compare_SUV_v1</t>
        </is>
      </c>
      <c r="M465" s="42" t="inlineStr">
        <is>
          <t>Static 4:5</t>
        </is>
      </c>
      <c r="N465" s="42" t="inlineStr">
        <is>
          <t>JAVAN vs the usual suspects</t>
        </is>
      </c>
      <c r="O465" s="42" t="inlineStr">
        <is>
          <t>Auction - Lowest Cost</t>
        </is>
      </c>
      <c r="P465" s="42" t="inlineStr">
        <is>
          <t>Offsite Conversions</t>
        </is>
      </c>
      <c r="Q465" s="42" t="inlineStr">
        <is>
          <t>https://www.lepas-sa.co.za/offers/javan</t>
        </is>
      </c>
      <c r="R465" s="115" t="n">
        <v>216.78</v>
      </c>
      <c r="S465" s="116" t="n">
        <v>2528</v>
      </c>
      <c r="T465" s="116" t="n">
        <v>1657</v>
      </c>
      <c r="U465" s="117">
        <f>IFERROR(S465/T465,"")</f>
        <v/>
      </c>
      <c r="V465" s="116" t="n">
        <v>23</v>
      </c>
      <c r="W465" s="116" t="n">
        <v>18</v>
      </c>
      <c r="X465" s="118">
        <f>IFERROR(W465/S465,"")</f>
        <v/>
      </c>
      <c r="Y465" s="115">
        <f>IFERROR(R465/W465,"")</f>
        <v/>
      </c>
      <c r="Z465" s="115">
        <f>IFERROR(R465/S465*1000,"")</f>
        <v/>
      </c>
      <c r="AA465" s="116" t="n">
        <v>15</v>
      </c>
      <c r="AB465" s="47">
        <f>IFERROR(AA465/W465,"")</f>
        <v/>
      </c>
      <c r="AC465" s="116" t="n">
        <v>0</v>
      </c>
      <c r="AD465" s="116" t="n">
        <v>0</v>
      </c>
      <c r="AE465" s="116" t="n">
        <v>0</v>
      </c>
      <c r="AF465" s="116" t="n">
        <v>0</v>
      </c>
      <c r="AG465" s="116" t="n">
        <v>0</v>
      </c>
      <c r="AH465" s="116" t="n">
        <v>0</v>
      </c>
      <c r="AI465" s="47">
        <f>IFERROR(AC465/S465,"")</f>
        <v/>
      </c>
      <c r="AJ465" s="47">
        <f>IFERROR(AH465/S465,"")</f>
        <v/>
      </c>
      <c r="AK465" s="116" t="n">
        <v>64</v>
      </c>
      <c r="AL465" s="116" t="n">
        <v>0</v>
      </c>
      <c r="AM465" s="118">
        <f>IFERROR(AL465/AA465,"")</f>
        <v/>
      </c>
      <c r="AN465" s="119">
        <f>IFERROR(R465/AL465,"")</f>
        <v/>
      </c>
      <c r="AO465" s="116" t="n">
        <v>0</v>
      </c>
      <c r="AP465" s="47">
        <f>IFERROR(AO465/AL465,"")</f>
        <v/>
      </c>
      <c r="AQ465" s="119">
        <f>IFERROR(R465/AO465,"")</f>
        <v/>
      </c>
      <c r="AR465" s="116" t="n">
        <v>0</v>
      </c>
      <c r="AS465" s="116" t="n">
        <v>0</v>
      </c>
      <c r="AT465" s="116">
        <f>AL465+AR465</f>
        <v/>
      </c>
      <c r="AU465" s="119">
        <f>IFERROR(AO465*Assumptions!$C$26*Assumptions!$C$27*INDEX(Assumptions!$C$18:$C$21,MATCH(H465,Assumptions!$B$18:$B$21,0)),0)</f>
        <v/>
      </c>
    </row>
    <row r="466">
      <c r="A466" s="114" t="n">
        <v>46263</v>
      </c>
      <c r="B466" s="42" t="inlineStr">
        <is>
          <t>Wk 35</t>
        </is>
      </c>
      <c r="C466" s="42" t="inlineStr">
        <is>
          <t>Sat</t>
        </is>
      </c>
      <c r="D466" s="42" t="inlineStr">
        <is>
          <t>Meta (FB/IG)</t>
        </is>
      </c>
      <c r="E466" s="42" t="inlineStr">
        <is>
          <t>Facebook + Instagram</t>
        </is>
      </c>
      <c r="F466" s="42" t="inlineStr">
        <is>
          <t>LEP_ZA_AUG26_META_TD_JAVAN_CONV</t>
        </is>
      </c>
      <c r="G466" s="42" t="inlineStr">
        <is>
          <t>Leads - Website Conversions</t>
        </is>
      </c>
      <c r="H466" s="42" t="inlineStr">
        <is>
          <t>JAVAN</t>
        </is>
      </c>
      <c r="I466" s="42" t="inlineStr">
        <is>
          <t>10% Deposit</t>
        </is>
      </c>
      <c r="J466" s="42" t="inlineStr">
        <is>
          <t>MET_JAVAN_INMKT_SUV_ZA</t>
        </is>
      </c>
      <c r="K466" s="42" t="inlineStr">
        <is>
          <t>In-Market</t>
        </is>
      </c>
      <c r="L466" s="42" t="inlineStr">
        <is>
          <t>JAVAN_STA_Compare_SUV_v1</t>
        </is>
      </c>
      <c r="M466" s="42" t="inlineStr">
        <is>
          <t>Static 4:5</t>
        </is>
      </c>
      <c r="N466" s="42" t="inlineStr">
        <is>
          <t>JAVAN vs the usual suspects</t>
        </is>
      </c>
      <c r="O466" s="42" t="inlineStr">
        <is>
          <t>Auction - Lowest Cost</t>
        </is>
      </c>
      <c r="P466" s="42" t="inlineStr">
        <is>
          <t>Offsite Conversions</t>
        </is>
      </c>
      <c r="Q466" s="42" t="inlineStr">
        <is>
          <t>https://www.lepas-sa.co.za/offers/javan</t>
        </is>
      </c>
      <c r="R466" s="115" t="n">
        <v>197.9</v>
      </c>
      <c r="S466" s="116" t="n">
        <v>2228</v>
      </c>
      <c r="T466" s="116" t="n">
        <v>1047</v>
      </c>
      <c r="U466" s="117">
        <f>IFERROR(S466/T466,"")</f>
        <v/>
      </c>
      <c r="V466" s="116" t="n">
        <v>34</v>
      </c>
      <c r="W466" s="116" t="n">
        <v>26</v>
      </c>
      <c r="X466" s="118">
        <f>IFERROR(W466/S466,"")</f>
        <v/>
      </c>
      <c r="Y466" s="115">
        <f>IFERROR(R466/W466,"")</f>
        <v/>
      </c>
      <c r="Z466" s="115">
        <f>IFERROR(R466/S466*1000,"")</f>
        <v/>
      </c>
      <c r="AA466" s="116" t="n">
        <v>22</v>
      </c>
      <c r="AB466" s="47">
        <f>IFERROR(AA466/W466,"")</f>
        <v/>
      </c>
      <c r="AC466" s="116" t="n">
        <v>0</v>
      </c>
      <c r="AD466" s="116" t="n">
        <v>0</v>
      </c>
      <c r="AE466" s="116" t="n">
        <v>0</v>
      </c>
      <c r="AF466" s="116" t="n">
        <v>0</v>
      </c>
      <c r="AG466" s="116" t="n">
        <v>0</v>
      </c>
      <c r="AH466" s="116" t="n">
        <v>0</v>
      </c>
      <c r="AI466" s="47">
        <f>IFERROR(AC466/S466,"")</f>
        <v/>
      </c>
      <c r="AJ466" s="47">
        <f>IFERROR(AH466/S466,"")</f>
        <v/>
      </c>
      <c r="AK466" s="116" t="n">
        <v>68</v>
      </c>
      <c r="AL466" s="116" t="n">
        <v>0</v>
      </c>
      <c r="AM466" s="118">
        <f>IFERROR(AL466/AA466,"")</f>
        <v/>
      </c>
      <c r="AN466" s="119">
        <f>IFERROR(R466/AL466,"")</f>
        <v/>
      </c>
      <c r="AO466" s="116" t="n">
        <v>0</v>
      </c>
      <c r="AP466" s="47">
        <f>IFERROR(AO466/AL466,"")</f>
        <v/>
      </c>
      <c r="AQ466" s="119">
        <f>IFERROR(R466/AO466,"")</f>
        <v/>
      </c>
      <c r="AR466" s="116" t="n">
        <v>0</v>
      </c>
      <c r="AS466" s="116" t="n">
        <v>0</v>
      </c>
      <c r="AT466" s="116">
        <f>AL466+AR466</f>
        <v/>
      </c>
      <c r="AU466" s="119">
        <f>IFERROR(AO466*Assumptions!$C$26*Assumptions!$C$27*INDEX(Assumptions!$C$18:$C$21,MATCH(H466,Assumptions!$B$18:$B$21,0)),0)</f>
        <v/>
      </c>
    </row>
    <row r="467">
      <c r="A467" s="114" t="n">
        <v>46264</v>
      </c>
      <c r="B467" s="42" t="inlineStr">
        <is>
          <t>Wk 35</t>
        </is>
      </c>
      <c r="C467" s="42" t="inlineStr">
        <is>
          <t>Sun</t>
        </is>
      </c>
      <c r="D467" s="42" t="inlineStr">
        <is>
          <t>Meta (FB/IG)</t>
        </is>
      </c>
      <c r="E467" s="42" t="inlineStr">
        <is>
          <t>Facebook + Instagram</t>
        </is>
      </c>
      <c r="F467" s="42" t="inlineStr">
        <is>
          <t>LEP_ZA_AUG26_META_TD_JAVAN_CONV</t>
        </is>
      </c>
      <c r="G467" s="42" t="inlineStr">
        <is>
          <t>Leads - Website Conversions</t>
        </is>
      </c>
      <c r="H467" s="42" t="inlineStr">
        <is>
          <t>JAVAN</t>
        </is>
      </c>
      <c r="I467" s="42" t="inlineStr">
        <is>
          <t>10% Deposit</t>
        </is>
      </c>
      <c r="J467" s="42" t="inlineStr">
        <is>
          <t>MET_JAVAN_INMKT_SUV_ZA</t>
        </is>
      </c>
      <c r="K467" s="42" t="inlineStr">
        <is>
          <t>In-Market</t>
        </is>
      </c>
      <c r="L467" s="42" t="inlineStr">
        <is>
          <t>JAVAN_STA_Compare_SUV_v1</t>
        </is>
      </c>
      <c r="M467" s="42" t="inlineStr">
        <is>
          <t>Static 4:5</t>
        </is>
      </c>
      <c r="N467" s="42" t="inlineStr">
        <is>
          <t>JAVAN vs the usual suspects</t>
        </is>
      </c>
      <c r="O467" s="42" t="inlineStr">
        <is>
          <t>Auction - Lowest Cost</t>
        </is>
      </c>
      <c r="P467" s="42" t="inlineStr">
        <is>
          <t>Offsite Conversions</t>
        </is>
      </c>
      <c r="Q467" s="42" t="inlineStr">
        <is>
          <t>https://www.lepas-sa.co.za/offers/javan</t>
        </is>
      </c>
      <c r="R467" s="115" t="n">
        <v>146.3</v>
      </c>
      <c r="S467" s="116" t="n">
        <v>1509</v>
      </c>
      <c r="T467" s="116" t="n">
        <v>741</v>
      </c>
      <c r="U467" s="117">
        <f>IFERROR(S467/T467,"")</f>
        <v/>
      </c>
      <c r="V467" s="116" t="n">
        <v>16</v>
      </c>
      <c r="W467" s="116" t="n">
        <v>13</v>
      </c>
      <c r="X467" s="118">
        <f>IFERROR(W467/S467,"")</f>
        <v/>
      </c>
      <c r="Y467" s="115">
        <f>IFERROR(R467/W467,"")</f>
        <v/>
      </c>
      <c r="Z467" s="115">
        <f>IFERROR(R467/S467*1000,"")</f>
        <v/>
      </c>
      <c r="AA467" s="116" t="n">
        <v>11</v>
      </c>
      <c r="AB467" s="47">
        <f>IFERROR(AA467/W467,"")</f>
        <v/>
      </c>
      <c r="AC467" s="116" t="n">
        <v>0</v>
      </c>
      <c r="AD467" s="116" t="n">
        <v>0</v>
      </c>
      <c r="AE467" s="116" t="n">
        <v>0</v>
      </c>
      <c r="AF467" s="116" t="n">
        <v>0</v>
      </c>
      <c r="AG467" s="116" t="n">
        <v>0</v>
      </c>
      <c r="AH467" s="116" t="n">
        <v>0</v>
      </c>
      <c r="AI467" s="47">
        <f>IFERROR(AC467/S467,"")</f>
        <v/>
      </c>
      <c r="AJ467" s="47">
        <f>IFERROR(AH467/S467,"")</f>
        <v/>
      </c>
      <c r="AK467" s="116" t="n">
        <v>18</v>
      </c>
      <c r="AL467" s="116" t="n">
        <v>1</v>
      </c>
      <c r="AM467" s="118">
        <f>IFERROR(AL467/AA467,"")</f>
        <v/>
      </c>
      <c r="AN467" s="119">
        <f>IFERROR(R467/AL467,"")</f>
        <v/>
      </c>
      <c r="AO467" s="116" t="n">
        <v>0</v>
      </c>
      <c r="AP467" s="47">
        <f>IFERROR(AO467/AL467,"")</f>
        <v/>
      </c>
      <c r="AQ467" s="119">
        <f>IFERROR(R467/AO467,"")</f>
        <v/>
      </c>
      <c r="AR467" s="116" t="n">
        <v>0</v>
      </c>
      <c r="AS467" s="116" t="n">
        <v>1</v>
      </c>
      <c r="AT467" s="116">
        <f>AL467+AR467</f>
        <v/>
      </c>
      <c r="AU467" s="119">
        <f>IFERROR(AO467*Assumptions!$C$26*Assumptions!$C$27*INDEX(Assumptions!$C$18:$C$21,MATCH(H467,Assumptions!$B$18:$B$21,0)),0)</f>
        <v/>
      </c>
    </row>
    <row r="468">
      <c r="A468" s="114" t="n">
        <v>46265</v>
      </c>
      <c r="B468" s="42" t="inlineStr">
        <is>
          <t>Wk 36</t>
        </is>
      </c>
      <c r="C468" s="42" t="inlineStr">
        <is>
          <t>Mon</t>
        </is>
      </c>
      <c r="D468" s="42" t="inlineStr">
        <is>
          <t>Meta (FB/IG)</t>
        </is>
      </c>
      <c r="E468" s="42" t="inlineStr">
        <is>
          <t>Facebook + Instagram</t>
        </is>
      </c>
      <c r="F468" s="42" t="inlineStr">
        <is>
          <t>LEP_ZA_AUG26_META_TD_JAVAN_CONV</t>
        </is>
      </c>
      <c r="G468" s="42" t="inlineStr">
        <is>
          <t>Leads - Website Conversions</t>
        </is>
      </c>
      <c r="H468" s="42" t="inlineStr">
        <is>
          <t>JAVAN</t>
        </is>
      </c>
      <c r="I468" s="42" t="inlineStr">
        <is>
          <t>10% Deposit</t>
        </is>
      </c>
      <c r="J468" s="42" t="inlineStr">
        <is>
          <t>MET_JAVAN_INMKT_SUV_ZA</t>
        </is>
      </c>
      <c r="K468" s="42" t="inlineStr">
        <is>
          <t>In-Market</t>
        </is>
      </c>
      <c r="L468" s="42" t="inlineStr">
        <is>
          <t>JAVAN_STA_Compare_SUV_v1</t>
        </is>
      </c>
      <c r="M468" s="42" t="inlineStr">
        <is>
          <t>Static 4:5</t>
        </is>
      </c>
      <c r="N468" s="42" t="inlineStr">
        <is>
          <t>JAVAN vs the usual suspects</t>
        </is>
      </c>
      <c r="O468" s="42" t="inlineStr">
        <is>
          <t>Auction - Lowest Cost</t>
        </is>
      </c>
      <c r="P468" s="42" t="inlineStr">
        <is>
          <t>Offsite Conversions</t>
        </is>
      </c>
      <c r="Q468" s="42" t="inlineStr">
        <is>
          <t>https://www.lepas-sa.co.za/offers/javan</t>
        </is>
      </c>
      <c r="R468" s="115" t="n">
        <v>161.13</v>
      </c>
      <c r="S468" s="116" t="n">
        <v>1891</v>
      </c>
      <c r="T468" s="116" t="n">
        <v>1033</v>
      </c>
      <c r="U468" s="117">
        <f>IFERROR(S468/T468,"")</f>
        <v/>
      </c>
      <c r="V468" s="116" t="n">
        <v>21</v>
      </c>
      <c r="W468" s="116" t="n">
        <v>17</v>
      </c>
      <c r="X468" s="118">
        <f>IFERROR(W468/S468,"")</f>
        <v/>
      </c>
      <c r="Y468" s="115">
        <f>IFERROR(R468/W468,"")</f>
        <v/>
      </c>
      <c r="Z468" s="115">
        <f>IFERROR(R468/S468*1000,"")</f>
        <v/>
      </c>
      <c r="AA468" s="116" t="n">
        <v>15</v>
      </c>
      <c r="AB468" s="47">
        <f>IFERROR(AA468/W468,"")</f>
        <v/>
      </c>
      <c r="AC468" s="116" t="n">
        <v>0</v>
      </c>
      <c r="AD468" s="116" t="n">
        <v>0</v>
      </c>
      <c r="AE468" s="116" t="n">
        <v>0</v>
      </c>
      <c r="AF468" s="116" t="n">
        <v>0</v>
      </c>
      <c r="AG468" s="116" t="n">
        <v>0</v>
      </c>
      <c r="AH468" s="116" t="n">
        <v>0</v>
      </c>
      <c r="AI468" s="47">
        <f>IFERROR(AC468/S468,"")</f>
        <v/>
      </c>
      <c r="AJ468" s="47">
        <f>IFERROR(AH468/S468,"")</f>
        <v/>
      </c>
      <c r="AK468" s="116" t="n">
        <v>54</v>
      </c>
      <c r="AL468" s="116" t="n">
        <v>1</v>
      </c>
      <c r="AM468" s="118">
        <f>IFERROR(AL468/AA468,"")</f>
        <v/>
      </c>
      <c r="AN468" s="119">
        <f>IFERROR(R468/AL468,"")</f>
        <v/>
      </c>
      <c r="AO468" s="116" t="n">
        <v>1</v>
      </c>
      <c r="AP468" s="47">
        <f>IFERROR(AO468/AL468,"")</f>
        <v/>
      </c>
      <c r="AQ468" s="119">
        <f>IFERROR(R468/AO468,"")</f>
        <v/>
      </c>
      <c r="AR468" s="116" t="n">
        <v>0</v>
      </c>
      <c r="AS468" s="116" t="n">
        <v>1</v>
      </c>
      <c r="AT468" s="116">
        <f>AL468+AR468</f>
        <v/>
      </c>
      <c r="AU468" s="119">
        <f>IFERROR(AO468*Assumptions!$C$26*Assumptions!$C$27*INDEX(Assumptions!$C$18:$C$21,MATCH(H468,Assumptions!$B$18:$B$21,0)),0)</f>
        <v/>
      </c>
    </row>
    <row r="469">
      <c r="A469" s="114" t="n">
        <v>46235</v>
      </c>
      <c r="B469" s="42" t="inlineStr">
        <is>
          <t>Wk 31</t>
        </is>
      </c>
      <c r="C469" s="42" t="inlineStr">
        <is>
          <t>Sat</t>
        </is>
      </c>
      <c r="D469" s="42" t="inlineStr">
        <is>
          <t>Meta (FB/IG)</t>
        </is>
      </c>
      <c r="E469" s="42" t="inlineStr">
        <is>
          <t>Facebook + Instagram</t>
        </is>
      </c>
      <c r="F469" s="42" t="inlineStr">
        <is>
          <t>LEP_ZA_AUG26_META_TD_JAVAN_CONV</t>
        </is>
      </c>
      <c r="G469" s="42" t="inlineStr">
        <is>
          <t>Leads - Website Conversions</t>
        </is>
      </c>
      <c r="H469" s="42" t="inlineStr">
        <is>
          <t>JAVAN</t>
        </is>
      </c>
      <c r="I469" s="42" t="inlineStr">
        <is>
          <t>10% Deposit</t>
        </is>
      </c>
      <c r="J469" s="42" t="inlineStr">
        <is>
          <t>MET_JAVAN_INMKT_SUV_ZA</t>
        </is>
      </c>
      <c r="K469" s="42" t="inlineStr">
        <is>
          <t>In-Market</t>
        </is>
      </c>
      <c r="L469" s="42" t="inlineStr">
        <is>
          <t>JAVAN_CAR_5card_Interior_v1</t>
        </is>
      </c>
      <c r="M469" s="42" t="inlineStr">
        <is>
          <t>Carousel</t>
        </is>
      </c>
      <c r="N469" s="42" t="inlineStr">
        <is>
          <t>Step inside the JAVAN</t>
        </is>
      </c>
      <c r="O469" s="42" t="inlineStr">
        <is>
          <t>Auction - Lowest Cost</t>
        </is>
      </c>
      <c r="P469" s="42" t="inlineStr">
        <is>
          <t>Offsite Conversions</t>
        </is>
      </c>
      <c r="Q469" s="42" t="inlineStr">
        <is>
          <t>https://www.lepas-sa.co.za/offers/javan</t>
        </is>
      </c>
      <c r="R469" s="115" t="n">
        <v>107.44</v>
      </c>
      <c r="S469" s="116" t="n">
        <v>1088</v>
      </c>
      <c r="T469" s="116" t="n">
        <v>786</v>
      </c>
      <c r="U469" s="117">
        <f>IFERROR(S469/T469,"")</f>
        <v/>
      </c>
      <c r="V469" s="116" t="n">
        <v>21</v>
      </c>
      <c r="W469" s="116" t="n">
        <v>17</v>
      </c>
      <c r="X469" s="118">
        <f>IFERROR(W469/S469,"")</f>
        <v/>
      </c>
      <c r="Y469" s="115">
        <f>IFERROR(R469/W469,"")</f>
        <v/>
      </c>
      <c r="Z469" s="115">
        <f>IFERROR(R469/S469*1000,"")</f>
        <v/>
      </c>
      <c r="AA469" s="116" t="n">
        <v>15</v>
      </c>
      <c r="AB469" s="47">
        <f>IFERROR(AA469/W469,"")</f>
        <v/>
      </c>
      <c r="AC469" s="116" t="n">
        <v>0</v>
      </c>
      <c r="AD469" s="116" t="n">
        <v>0</v>
      </c>
      <c r="AE469" s="116" t="n">
        <v>0</v>
      </c>
      <c r="AF469" s="116" t="n">
        <v>0</v>
      </c>
      <c r="AG469" s="116" t="n">
        <v>0</v>
      </c>
      <c r="AH469" s="116" t="n">
        <v>0</v>
      </c>
      <c r="AI469" s="47">
        <f>IFERROR(AC469/S469,"")</f>
        <v/>
      </c>
      <c r="AJ469" s="47">
        <f>IFERROR(AH469/S469,"")</f>
        <v/>
      </c>
      <c r="AK469" s="116" t="n">
        <v>13</v>
      </c>
      <c r="AL469" s="116" t="n">
        <v>1</v>
      </c>
      <c r="AM469" s="118">
        <f>IFERROR(AL469/AA469,"")</f>
        <v/>
      </c>
      <c r="AN469" s="119">
        <f>IFERROR(R469/AL469,"")</f>
        <v/>
      </c>
      <c r="AO469" s="116" t="n">
        <v>0</v>
      </c>
      <c r="AP469" s="47">
        <f>IFERROR(AO469/AL469,"")</f>
        <v/>
      </c>
      <c r="AQ469" s="119">
        <f>IFERROR(R469/AO469,"")</f>
        <v/>
      </c>
      <c r="AR469" s="116" t="n">
        <v>0</v>
      </c>
      <c r="AS469" s="116" t="n">
        <v>1</v>
      </c>
      <c r="AT469" s="116">
        <f>AL469+AR469</f>
        <v/>
      </c>
      <c r="AU469" s="119">
        <f>IFERROR(AO469*Assumptions!$C$26*Assumptions!$C$27*INDEX(Assumptions!$C$18:$C$21,MATCH(H469,Assumptions!$B$18:$B$21,0)),0)</f>
        <v/>
      </c>
    </row>
    <row r="470">
      <c r="A470" s="114" t="n">
        <v>46236</v>
      </c>
      <c r="B470" s="42" t="inlineStr">
        <is>
          <t>Wk 31</t>
        </is>
      </c>
      <c r="C470" s="42" t="inlineStr">
        <is>
          <t>Sun</t>
        </is>
      </c>
      <c r="D470" s="42" t="inlineStr">
        <is>
          <t>Meta (FB/IG)</t>
        </is>
      </c>
      <c r="E470" s="42" t="inlineStr">
        <is>
          <t>Facebook + Instagram</t>
        </is>
      </c>
      <c r="F470" s="42" t="inlineStr">
        <is>
          <t>LEP_ZA_AUG26_META_TD_JAVAN_CONV</t>
        </is>
      </c>
      <c r="G470" s="42" t="inlineStr">
        <is>
          <t>Leads - Website Conversions</t>
        </is>
      </c>
      <c r="H470" s="42" t="inlineStr">
        <is>
          <t>JAVAN</t>
        </is>
      </c>
      <c r="I470" s="42" t="inlineStr">
        <is>
          <t>10% Deposit</t>
        </is>
      </c>
      <c r="J470" s="42" t="inlineStr">
        <is>
          <t>MET_JAVAN_INMKT_SUV_ZA</t>
        </is>
      </c>
      <c r="K470" s="42" t="inlineStr">
        <is>
          <t>In-Market</t>
        </is>
      </c>
      <c r="L470" s="42" t="inlineStr">
        <is>
          <t>JAVAN_CAR_5card_Interior_v1</t>
        </is>
      </c>
      <c r="M470" s="42" t="inlineStr">
        <is>
          <t>Carousel</t>
        </is>
      </c>
      <c r="N470" s="42" t="inlineStr">
        <is>
          <t>Step inside the JAVAN</t>
        </is>
      </c>
      <c r="O470" s="42" t="inlineStr">
        <is>
          <t>Auction - Lowest Cost</t>
        </is>
      </c>
      <c r="P470" s="42" t="inlineStr">
        <is>
          <t>Offsite Conversions</t>
        </is>
      </c>
      <c r="Q470" s="42" t="inlineStr">
        <is>
          <t>https://www.lepas-sa.co.za/offers/javan</t>
        </is>
      </c>
      <c r="R470" s="115" t="n">
        <v>99.43000000000001</v>
      </c>
      <c r="S470" s="116" t="n">
        <v>1540</v>
      </c>
      <c r="T470" s="116" t="n">
        <v>1151</v>
      </c>
      <c r="U470" s="117">
        <f>IFERROR(S470/T470,"")</f>
        <v/>
      </c>
      <c r="V470" s="116" t="n">
        <v>29</v>
      </c>
      <c r="W470" s="116" t="n">
        <v>22</v>
      </c>
      <c r="X470" s="118">
        <f>IFERROR(W470/S470,"")</f>
        <v/>
      </c>
      <c r="Y470" s="115">
        <f>IFERROR(R470/W470,"")</f>
        <v/>
      </c>
      <c r="Z470" s="115">
        <f>IFERROR(R470/S470*1000,"")</f>
        <v/>
      </c>
      <c r="AA470" s="116" t="n">
        <v>19</v>
      </c>
      <c r="AB470" s="47">
        <f>IFERROR(AA470/W470,"")</f>
        <v/>
      </c>
      <c r="AC470" s="116" t="n">
        <v>0</v>
      </c>
      <c r="AD470" s="116" t="n">
        <v>0</v>
      </c>
      <c r="AE470" s="116" t="n">
        <v>0</v>
      </c>
      <c r="AF470" s="116" t="n">
        <v>0</v>
      </c>
      <c r="AG470" s="116" t="n">
        <v>0</v>
      </c>
      <c r="AH470" s="116" t="n">
        <v>0</v>
      </c>
      <c r="AI470" s="47">
        <f>IFERROR(AC470/S470,"")</f>
        <v/>
      </c>
      <c r="AJ470" s="47">
        <f>IFERROR(AH470/S470,"")</f>
        <v/>
      </c>
      <c r="AK470" s="116" t="n">
        <v>38</v>
      </c>
      <c r="AL470" s="116" t="n">
        <v>1</v>
      </c>
      <c r="AM470" s="118">
        <f>IFERROR(AL470/AA470,"")</f>
        <v/>
      </c>
      <c r="AN470" s="119">
        <f>IFERROR(R470/AL470,"")</f>
        <v/>
      </c>
      <c r="AO470" s="116" t="n">
        <v>1</v>
      </c>
      <c r="AP470" s="47">
        <f>IFERROR(AO470/AL470,"")</f>
        <v/>
      </c>
      <c r="AQ470" s="119">
        <f>IFERROR(R470/AO470,"")</f>
        <v/>
      </c>
      <c r="AR470" s="116" t="n">
        <v>0</v>
      </c>
      <c r="AS470" s="116" t="n">
        <v>0</v>
      </c>
      <c r="AT470" s="116">
        <f>AL470+AR470</f>
        <v/>
      </c>
      <c r="AU470" s="119">
        <f>IFERROR(AO470*Assumptions!$C$26*Assumptions!$C$27*INDEX(Assumptions!$C$18:$C$21,MATCH(H470,Assumptions!$B$18:$B$21,0)),0)</f>
        <v/>
      </c>
    </row>
    <row r="471">
      <c r="A471" s="114" t="n">
        <v>46237</v>
      </c>
      <c r="B471" s="42" t="inlineStr">
        <is>
          <t>Wk 32</t>
        </is>
      </c>
      <c r="C471" s="42" t="inlineStr">
        <is>
          <t>Mon</t>
        </is>
      </c>
      <c r="D471" s="42" t="inlineStr">
        <is>
          <t>Meta (FB/IG)</t>
        </is>
      </c>
      <c r="E471" s="42" t="inlineStr">
        <is>
          <t>Facebook + Instagram</t>
        </is>
      </c>
      <c r="F471" s="42" t="inlineStr">
        <is>
          <t>LEP_ZA_AUG26_META_TD_JAVAN_CONV</t>
        </is>
      </c>
      <c r="G471" s="42" t="inlineStr">
        <is>
          <t>Leads - Website Conversions</t>
        </is>
      </c>
      <c r="H471" s="42" t="inlineStr">
        <is>
          <t>JAVAN</t>
        </is>
      </c>
      <c r="I471" s="42" t="inlineStr">
        <is>
          <t>10% Deposit</t>
        </is>
      </c>
      <c r="J471" s="42" t="inlineStr">
        <is>
          <t>MET_JAVAN_INMKT_SUV_ZA</t>
        </is>
      </c>
      <c r="K471" s="42" t="inlineStr">
        <is>
          <t>In-Market</t>
        </is>
      </c>
      <c r="L471" s="42" t="inlineStr">
        <is>
          <t>JAVAN_CAR_5card_Interior_v1</t>
        </is>
      </c>
      <c r="M471" s="42" t="inlineStr">
        <is>
          <t>Carousel</t>
        </is>
      </c>
      <c r="N471" s="42" t="inlineStr">
        <is>
          <t>Step inside the JAVAN</t>
        </is>
      </c>
      <c r="O471" s="42" t="inlineStr">
        <is>
          <t>Auction - Lowest Cost</t>
        </is>
      </c>
      <c r="P471" s="42" t="inlineStr">
        <is>
          <t>Offsite Conversions</t>
        </is>
      </c>
      <c r="Q471" s="42" t="inlineStr">
        <is>
          <t>https://www.lepas-sa.co.za/offers/javan</t>
        </is>
      </c>
      <c r="R471" s="115" t="n">
        <v>100.26</v>
      </c>
      <c r="S471" s="116" t="n">
        <v>1047</v>
      </c>
      <c r="T471" s="116" t="n">
        <v>827</v>
      </c>
      <c r="U471" s="117">
        <f>IFERROR(S471/T471,"")</f>
        <v/>
      </c>
      <c r="V471" s="116" t="n">
        <v>25</v>
      </c>
      <c r="W471" s="116" t="n">
        <v>18</v>
      </c>
      <c r="X471" s="118">
        <f>IFERROR(W471/S471,"")</f>
        <v/>
      </c>
      <c r="Y471" s="115">
        <f>IFERROR(R471/W471,"")</f>
        <v/>
      </c>
      <c r="Z471" s="115">
        <f>IFERROR(R471/S471*1000,"")</f>
        <v/>
      </c>
      <c r="AA471" s="116" t="n">
        <v>17</v>
      </c>
      <c r="AB471" s="47">
        <f>IFERROR(AA471/W471,"")</f>
        <v/>
      </c>
      <c r="AC471" s="116" t="n">
        <v>0</v>
      </c>
      <c r="AD471" s="116" t="n">
        <v>0</v>
      </c>
      <c r="AE471" s="116" t="n">
        <v>0</v>
      </c>
      <c r="AF471" s="116" t="n">
        <v>0</v>
      </c>
      <c r="AG471" s="116" t="n">
        <v>0</v>
      </c>
      <c r="AH471" s="116" t="n">
        <v>0</v>
      </c>
      <c r="AI471" s="47">
        <f>IFERROR(AC471/S471,"")</f>
        <v/>
      </c>
      <c r="AJ471" s="47">
        <f>IFERROR(AH471/S471,"")</f>
        <v/>
      </c>
      <c r="AK471" s="116" t="n">
        <v>33</v>
      </c>
      <c r="AL471" s="116" t="n">
        <v>1</v>
      </c>
      <c r="AM471" s="118">
        <f>IFERROR(AL471/AA471,"")</f>
        <v/>
      </c>
      <c r="AN471" s="119">
        <f>IFERROR(R471/AL471,"")</f>
        <v/>
      </c>
      <c r="AO471" s="116" t="n">
        <v>0</v>
      </c>
      <c r="AP471" s="47">
        <f>IFERROR(AO471/AL471,"")</f>
        <v/>
      </c>
      <c r="AQ471" s="119">
        <f>IFERROR(R471/AO471,"")</f>
        <v/>
      </c>
      <c r="AR471" s="116" t="n">
        <v>0</v>
      </c>
      <c r="AS471" s="116" t="n">
        <v>1</v>
      </c>
      <c r="AT471" s="116">
        <f>AL471+AR471</f>
        <v/>
      </c>
      <c r="AU471" s="119">
        <f>IFERROR(AO471*Assumptions!$C$26*Assumptions!$C$27*INDEX(Assumptions!$C$18:$C$21,MATCH(H471,Assumptions!$B$18:$B$21,0)),0)</f>
        <v/>
      </c>
    </row>
    <row r="472">
      <c r="A472" s="114" t="n">
        <v>46238</v>
      </c>
      <c r="B472" s="42" t="inlineStr">
        <is>
          <t>Wk 32</t>
        </is>
      </c>
      <c r="C472" s="42" t="inlineStr">
        <is>
          <t>Tue</t>
        </is>
      </c>
      <c r="D472" s="42" t="inlineStr">
        <is>
          <t>Meta (FB/IG)</t>
        </is>
      </c>
      <c r="E472" s="42" t="inlineStr">
        <is>
          <t>Facebook + Instagram</t>
        </is>
      </c>
      <c r="F472" s="42" t="inlineStr">
        <is>
          <t>LEP_ZA_AUG26_META_TD_JAVAN_CONV</t>
        </is>
      </c>
      <c r="G472" s="42" t="inlineStr">
        <is>
          <t>Leads - Website Conversions</t>
        </is>
      </c>
      <c r="H472" s="42" t="inlineStr">
        <is>
          <t>JAVAN</t>
        </is>
      </c>
      <c r="I472" s="42" t="inlineStr">
        <is>
          <t>10% Deposit</t>
        </is>
      </c>
      <c r="J472" s="42" t="inlineStr">
        <is>
          <t>MET_JAVAN_INMKT_SUV_ZA</t>
        </is>
      </c>
      <c r="K472" s="42" t="inlineStr">
        <is>
          <t>In-Market</t>
        </is>
      </c>
      <c r="L472" s="42" t="inlineStr">
        <is>
          <t>JAVAN_CAR_5card_Interior_v1</t>
        </is>
      </c>
      <c r="M472" s="42" t="inlineStr">
        <is>
          <t>Carousel</t>
        </is>
      </c>
      <c r="N472" s="42" t="inlineStr">
        <is>
          <t>Step inside the JAVAN</t>
        </is>
      </c>
      <c r="O472" s="42" t="inlineStr">
        <is>
          <t>Auction - Lowest Cost</t>
        </is>
      </c>
      <c r="P472" s="42" t="inlineStr">
        <is>
          <t>Offsite Conversions</t>
        </is>
      </c>
      <c r="Q472" s="42" t="inlineStr">
        <is>
          <t>https://www.lepas-sa.co.za/offers/javan</t>
        </is>
      </c>
      <c r="R472" s="115" t="n">
        <v>104.81</v>
      </c>
      <c r="S472" s="116" t="n">
        <v>1576</v>
      </c>
      <c r="T472" s="116" t="n">
        <v>1043</v>
      </c>
      <c r="U472" s="117">
        <f>IFERROR(S472/T472,"")</f>
        <v/>
      </c>
      <c r="V472" s="116" t="n">
        <v>42</v>
      </c>
      <c r="W472" s="116" t="n">
        <v>34</v>
      </c>
      <c r="X472" s="118">
        <f>IFERROR(W472/S472,"")</f>
        <v/>
      </c>
      <c r="Y472" s="115">
        <f>IFERROR(R472/W472,"")</f>
        <v/>
      </c>
      <c r="Z472" s="115">
        <f>IFERROR(R472/S472*1000,"")</f>
        <v/>
      </c>
      <c r="AA472" s="116" t="n">
        <v>29</v>
      </c>
      <c r="AB472" s="47">
        <f>IFERROR(AA472/W472,"")</f>
        <v/>
      </c>
      <c r="AC472" s="116" t="n">
        <v>0</v>
      </c>
      <c r="AD472" s="116" t="n">
        <v>0</v>
      </c>
      <c r="AE472" s="116" t="n">
        <v>0</v>
      </c>
      <c r="AF472" s="116" t="n">
        <v>0</v>
      </c>
      <c r="AG472" s="116" t="n">
        <v>0</v>
      </c>
      <c r="AH472" s="116" t="n">
        <v>0</v>
      </c>
      <c r="AI472" s="47">
        <f>IFERROR(AC472/S472,"")</f>
        <v/>
      </c>
      <c r="AJ472" s="47">
        <f>IFERROR(AH472/S472,"")</f>
        <v/>
      </c>
      <c r="AK472" s="116" t="n">
        <v>33</v>
      </c>
      <c r="AL472" s="116" t="n">
        <v>1</v>
      </c>
      <c r="AM472" s="118">
        <f>IFERROR(AL472/AA472,"")</f>
        <v/>
      </c>
      <c r="AN472" s="119">
        <f>IFERROR(R472/AL472,"")</f>
        <v/>
      </c>
      <c r="AO472" s="116" t="n">
        <v>1</v>
      </c>
      <c r="AP472" s="47">
        <f>IFERROR(AO472/AL472,"")</f>
        <v/>
      </c>
      <c r="AQ472" s="119">
        <f>IFERROR(R472/AO472,"")</f>
        <v/>
      </c>
      <c r="AR472" s="116" t="n">
        <v>1</v>
      </c>
      <c r="AS472" s="116" t="n">
        <v>0</v>
      </c>
      <c r="AT472" s="116">
        <f>AL472+AR472</f>
        <v/>
      </c>
      <c r="AU472" s="119">
        <f>IFERROR(AO472*Assumptions!$C$26*Assumptions!$C$27*INDEX(Assumptions!$C$18:$C$21,MATCH(H472,Assumptions!$B$18:$B$21,0)),0)</f>
        <v/>
      </c>
    </row>
    <row r="473">
      <c r="A473" s="114" t="n">
        <v>46239</v>
      </c>
      <c r="B473" s="42" t="inlineStr">
        <is>
          <t>Wk 32</t>
        </is>
      </c>
      <c r="C473" s="42" t="inlineStr">
        <is>
          <t>Wed</t>
        </is>
      </c>
      <c r="D473" s="42" t="inlineStr">
        <is>
          <t>Meta (FB/IG)</t>
        </is>
      </c>
      <c r="E473" s="42" t="inlineStr">
        <is>
          <t>Facebook + Instagram</t>
        </is>
      </c>
      <c r="F473" s="42" t="inlineStr">
        <is>
          <t>LEP_ZA_AUG26_META_TD_JAVAN_CONV</t>
        </is>
      </c>
      <c r="G473" s="42" t="inlineStr">
        <is>
          <t>Leads - Website Conversions</t>
        </is>
      </c>
      <c r="H473" s="42" t="inlineStr">
        <is>
          <t>JAVAN</t>
        </is>
      </c>
      <c r="I473" s="42" t="inlineStr">
        <is>
          <t>10% Deposit</t>
        </is>
      </c>
      <c r="J473" s="42" t="inlineStr">
        <is>
          <t>MET_JAVAN_INMKT_SUV_ZA</t>
        </is>
      </c>
      <c r="K473" s="42" t="inlineStr">
        <is>
          <t>In-Market</t>
        </is>
      </c>
      <c r="L473" s="42" t="inlineStr">
        <is>
          <t>JAVAN_CAR_5card_Interior_v1</t>
        </is>
      </c>
      <c r="M473" s="42" t="inlineStr">
        <is>
          <t>Carousel</t>
        </is>
      </c>
      <c r="N473" s="42" t="inlineStr">
        <is>
          <t>Step inside the JAVAN</t>
        </is>
      </c>
      <c r="O473" s="42" t="inlineStr">
        <is>
          <t>Auction - Lowest Cost</t>
        </is>
      </c>
      <c r="P473" s="42" t="inlineStr">
        <is>
          <t>Offsite Conversions</t>
        </is>
      </c>
      <c r="Q473" s="42" t="inlineStr">
        <is>
          <t>https://www.lepas-sa.co.za/offers/javan</t>
        </is>
      </c>
      <c r="R473" s="115" t="n">
        <v>129.15</v>
      </c>
      <c r="S473" s="116" t="n">
        <v>1560</v>
      </c>
      <c r="T473" s="116" t="n">
        <v>1013</v>
      </c>
      <c r="U473" s="117">
        <f>IFERROR(S473/T473,"")</f>
        <v/>
      </c>
      <c r="V473" s="116" t="n">
        <v>19</v>
      </c>
      <c r="W473" s="116" t="n">
        <v>14</v>
      </c>
      <c r="X473" s="118">
        <f>IFERROR(W473/S473,"")</f>
        <v/>
      </c>
      <c r="Y473" s="115">
        <f>IFERROR(R473/W473,"")</f>
        <v/>
      </c>
      <c r="Z473" s="115">
        <f>IFERROR(R473/S473*1000,"")</f>
        <v/>
      </c>
      <c r="AA473" s="116" t="n">
        <v>11</v>
      </c>
      <c r="AB473" s="47">
        <f>IFERROR(AA473/W473,"")</f>
        <v/>
      </c>
      <c r="AC473" s="116" t="n">
        <v>0</v>
      </c>
      <c r="AD473" s="116" t="n">
        <v>0</v>
      </c>
      <c r="AE473" s="116" t="n">
        <v>0</v>
      </c>
      <c r="AF473" s="116" t="n">
        <v>0</v>
      </c>
      <c r="AG473" s="116" t="n">
        <v>0</v>
      </c>
      <c r="AH473" s="116" t="n">
        <v>0</v>
      </c>
      <c r="AI473" s="47">
        <f>IFERROR(AC473/S473,"")</f>
        <v/>
      </c>
      <c r="AJ473" s="47">
        <f>IFERROR(AH473/S473,"")</f>
        <v/>
      </c>
      <c r="AK473" s="116" t="n">
        <v>30</v>
      </c>
      <c r="AL473" s="116" t="n">
        <v>0</v>
      </c>
      <c r="AM473" s="118">
        <f>IFERROR(AL473/AA473,"")</f>
        <v/>
      </c>
      <c r="AN473" s="119">
        <f>IFERROR(R473/AL473,"")</f>
        <v/>
      </c>
      <c r="AO473" s="116" t="n">
        <v>0</v>
      </c>
      <c r="AP473" s="47">
        <f>IFERROR(AO473/AL473,"")</f>
        <v/>
      </c>
      <c r="AQ473" s="119">
        <f>IFERROR(R473/AO473,"")</f>
        <v/>
      </c>
      <c r="AR473" s="116" t="n">
        <v>0</v>
      </c>
      <c r="AS473" s="116" t="n">
        <v>0</v>
      </c>
      <c r="AT473" s="116">
        <f>AL473+AR473</f>
        <v/>
      </c>
      <c r="AU473" s="119">
        <f>IFERROR(AO473*Assumptions!$C$26*Assumptions!$C$27*INDEX(Assumptions!$C$18:$C$21,MATCH(H473,Assumptions!$B$18:$B$21,0)),0)</f>
        <v/>
      </c>
    </row>
    <row r="474">
      <c r="A474" s="114" t="n">
        <v>46240</v>
      </c>
      <c r="B474" s="42" t="inlineStr">
        <is>
          <t>Wk 32</t>
        </is>
      </c>
      <c r="C474" s="42" t="inlineStr">
        <is>
          <t>Thu</t>
        </is>
      </c>
      <c r="D474" s="42" t="inlineStr">
        <is>
          <t>Meta (FB/IG)</t>
        </is>
      </c>
      <c r="E474" s="42" t="inlineStr">
        <is>
          <t>Facebook + Instagram</t>
        </is>
      </c>
      <c r="F474" s="42" t="inlineStr">
        <is>
          <t>LEP_ZA_AUG26_META_TD_JAVAN_CONV</t>
        </is>
      </c>
      <c r="G474" s="42" t="inlineStr">
        <is>
          <t>Leads - Website Conversions</t>
        </is>
      </c>
      <c r="H474" s="42" t="inlineStr">
        <is>
          <t>JAVAN</t>
        </is>
      </c>
      <c r="I474" s="42" t="inlineStr">
        <is>
          <t>10% Deposit</t>
        </is>
      </c>
      <c r="J474" s="42" t="inlineStr">
        <is>
          <t>MET_JAVAN_INMKT_SUV_ZA</t>
        </is>
      </c>
      <c r="K474" s="42" t="inlineStr">
        <is>
          <t>In-Market</t>
        </is>
      </c>
      <c r="L474" s="42" t="inlineStr">
        <is>
          <t>JAVAN_CAR_5card_Interior_v1</t>
        </is>
      </c>
      <c r="M474" s="42" t="inlineStr">
        <is>
          <t>Carousel</t>
        </is>
      </c>
      <c r="N474" s="42" t="inlineStr">
        <is>
          <t>Step inside the JAVAN</t>
        </is>
      </c>
      <c r="O474" s="42" t="inlineStr">
        <is>
          <t>Auction - Lowest Cost</t>
        </is>
      </c>
      <c r="P474" s="42" t="inlineStr">
        <is>
          <t>Offsite Conversions</t>
        </is>
      </c>
      <c r="Q474" s="42" t="inlineStr">
        <is>
          <t>https://www.lepas-sa.co.za/offers/javan</t>
        </is>
      </c>
      <c r="R474" s="115" t="n">
        <v>141.19</v>
      </c>
      <c r="S474" s="116" t="n">
        <v>1666</v>
      </c>
      <c r="T474" s="116" t="n">
        <v>1429</v>
      </c>
      <c r="U474" s="117">
        <f>IFERROR(S474/T474,"")</f>
        <v/>
      </c>
      <c r="V474" s="116" t="n">
        <v>43</v>
      </c>
      <c r="W474" s="116" t="n">
        <v>36</v>
      </c>
      <c r="X474" s="118">
        <f>IFERROR(W474/S474,"")</f>
        <v/>
      </c>
      <c r="Y474" s="115">
        <f>IFERROR(R474/W474,"")</f>
        <v/>
      </c>
      <c r="Z474" s="115">
        <f>IFERROR(R474/S474*1000,"")</f>
        <v/>
      </c>
      <c r="AA474" s="116" t="n">
        <v>32</v>
      </c>
      <c r="AB474" s="47">
        <f>IFERROR(AA474/W474,"")</f>
        <v/>
      </c>
      <c r="AC474" s="116" t="n">
        <v>0</v>
      </c>
      <c r="AD474" s="116" t="n">
        <v>0</v>
      </c>
      <c r="AE474" s="116" t="n">
        <v>0</v>
      </c>
      <c r="AF474" s="116" t="n">
        <v>0</v>
      </c>
      <c r="AG474" s="116" t="n">
        <v>0</v>
      </c>
      <c r="AH474" s="116" t="n">
        <v>0</v>
      </c>
      <c r="AI474" s="47">
        <f>IFERROR(AC474/S474,"")</f>
        <v/>
      </c>
      <c r="AJ474" s="47">
        <f>IFERROR(AH474/S474,"")</f>
        <v/>
      </c>
      <c r="AK474" s="116" t="n">
        <v>30</v>
      </c>
      <c r="AL474" s="116" t="n">
        <v>0</v>
      </c>
      <c r="AM474" s="118">
        <f>IFERROR(AL474/AA474,"")</f>
        <v/>
      </c>
      <c r="AN474" s="119">
        <f>IFERROR(R474/AL474,"")</f>
        <v/>
      </c>
      <c r="AO474" s="116" t="n">
        <v>0</v>
      </c>
      <c r="AP474" s="47">
        <f>IFERROR(AO474/AL474,"")</f>
        <v/>
      </c>
      <c r="AQ474" s="119">
        <f>IFERROR(R474/AO474,"")</f>
        <v/>
      </c>
      <c r="AR474" s="116" t="n">
        <v>0</v>
      </c>
      <c r="AS474" s="116" t="n">
        <v>0</v>
      </c>
      <c r="AT474" s="116">
        <f>AL474+AR474</f>
        <v/>
      </c>
      <c r="AU474" s="119">
        <f>IFERROR(AO474*Assumptions!$C$26*Assumptions!$C$27*INDEX(Assumptions!$C$18:$C$21,MATCH(H474,Assumptions!$B$18:$B$21,0)),0)</f>
        <v/>
      </c>
    </row>
    <row r="475">
      <c r="A475" s="114" t="n">
        <v>46241</v>
      </c>
      <c r="B475" s="42" t="inlineStr">
        <is>
          <t>Wk 32</t>
        </is>
      </c>
      <c r="C475" s="42" t="inlineStr">
        <is>
          <t>Fri</t>
        </is>
      </c>
      <c r="D475" s="42" t="inlineStr">
        <is>
          <t>Meta (FB/IG)</t>
        </is>
      </c>
      <c r="E475" s="42" t="inlineStr">
        <is>
          <t>Facebook + Instagram</t>
        </is>
      </c>
      <c r="F475" s="42" t="inlineStr">
        <is>
          <t>LEP_ZA_AUG26_META_TD_JAVAN_CONV</t>
        </is>
      </c>
      <c r="G475" s="42" t="inlineStr">
        <is>
          <t>Leads - Website Conversions</t>
        </is>
      </c>
      <c r="H475" s="42" t="inlineStr">
        <is>
          <t>JAVAN</t>
        </is>
      </c>
      <c r="I475" s="42" t="inlineStr">
        <is>
          <t>10% Deposit</t>
        </is>
      </c>
      <c r="J475" s="42" t="inlineStr">
        <is>
          <t>MET_JAVAN_INMKT_SUV_ZA</t>
        </is>
      </c>
      <c r="K475" s="42" t="inlineStr">
        <is>
          <t>In-Market</t>
        </is>
      </c>
      <c r="L475" s="42" t="inlineStr">
        <is>
          <t>JAVAN_CAR_5card_Interior_v1</t>
        </is>
      </c>
      <c r="M475" s="42" t="inlineStr">
        <is>
          <t>Carousel</t>
        </is>
      </c>
      <c r="N475" s="42" t="inlineStr">
        <is>
          <t>Step inside the JAVAN</t>
        </is>
      </c>
      <c r="O475" s="42" t="inlineStr">
        <is>
          <t>Auction - Lowest Cost</t>
        </is>
      </c>
      <c r="P475" s="42" t="inlineStr">
        <is>
          <t>Offsite Conversions</t>
        </is>
      </c>
      <c r="Q475" s="42" t="inlineStr">
        <is>
          <t>https://www.lepas-sa.co.za/offers/javan</t>
        </is>
      </c>
      <c r="R475" s="115" t="n">
        <v>125.69</v>
      </c>
      <c r="S475" s="116" t="n">
        <v>1745</v>
      </c>
      <c r="T475" s="116" t="n">
        <v>1286</v>
      </c>
      <c r="U475" s="117">
        <f>IFERROR(S475/T475,"")</f>
        <v/>
      </c>
      <c r="V475" s="116" t="n">
        <v>42</v>
      </c>
      <c r="W475" s="116" t="n">
        <v>36</v>
      </c>
      <c r="X475" s="118">
        <f>IFERROR(W475/S475,"")</f>
        <v/>
      </c>
      <c r="Y475" s="115">
        <f>IFERROR(R475/W475,"")</f>
        <v/>
      </c>
      <c r="Z475" s="115">
        <f>IFERROR(R475/S475*1000,"")</f>
        <v/>
      </c>
      <c r="AA475" s="116" t="n">
        <v>30</v>
      </c>
      <c r="AB475" s="47">
        <f>IFERROR(AA475/W475,"")</f>
        <v/>
      </c>
      <c r="AC475" s="116" t="n">
        <v>0</v>
      </c>
      <c r="AD475" s="116" t="n">
        <v>0</v>
      </c>
      <c r="AE475" s="116" t="n">
        <v>0</v>
      </c>
      <c r="AF475" s="116" t="n">
        <v>0</v>
      </c>
      <c r="AG475" s="116" t="n">
        <v>0</v>
      </c>
      <c r="AH475" s="116" t="n">
        <v>0</v>
      </c>
      <c r="AI475" s="47">
        <f>IFERROR(AC475/S475,"")</f>
        <v/>
      </c>
      <c r="AJ475" s="47">
        <f>IFERROR(AH475/S475,"")</f>
        <v/>
      </c>
      <c r="AK475" s="116" t="n">
        <v>42</v>
      </c>
      <c r="AL475" s="116" t="n">
        <v>0</v>
      </c>
      <c r="AM475" s="118">
        <f>IFERROR(AL475/AA475,"")</f>
        <v/>
      </c>
      <c r="AN475" s="119">
        <f>IFERROR(R475/AL475,"")</f>
        <v/>
      </c>
      <c r="AO475" s="116" t="n">
        <v>0</v>
      </c>
      <c r="AP475" s="47">
        <f>IFERROR(AO475/AL475,"")</f>
        <v/>
      </c>
      <c r="AQ475" s="119">
        <f>IFERROR(R475/AO475,"")</f>
        <v/>
      </c>
      <c r="AR475" s="116" t="n">
        <v>0</v>
      </c>
      <c r="AS475" s="116" t="n">
        <v>0</v>
      </c>
      <c r="AT475" s="116">
        <f>AL475+AR475</f>
        <v/>
      </c>
      <c r="AU475" s="119">
        <f>IFERROR(AO475*Assumptions!$C$26*Assumptions!$C$27*INDEX(Assumptions!$C$18:$C$21,MATCH(H475,Assumptions!$B$18:$B$21,0)),0)</f>
        <v/>
      </c>
    </row>
    <row r="476">
      <c r="A476" s="114" t="n">
        <v>46242</v>
      </c>
      <c r="B476" s="42" t="inlineStr">
        <is>
          <t>Wk 32</t>
        </is>
      </c>
      <c r="C476" s="42" t="inlineStr">
        <is>
          <t>Sat</t>
        </is>
      </c>
      <c r="D476" s="42" t="inlineStr">
        <is>
          <t>Meta (FB/IG)</t>
        </is>
      </c>
      <c r="E476" s="42" t="inlineStr">
        <is>
          <t>Facebook + Instagram</t>
        </is>
      </c>
      <c r="F476" s="42" t="inlineStr">
        <is>
          <t>LEP_ZA_AUG26_META_TD_JAVAN_CONV</t>
        </is>
      </c>
      <c r="G476" s="42" t="inlineStr">
        <is>
          <t>Leads - Website Conversions</t>
        </is>
      </c>
      <c r="H476" s="42" t="inlineStr">
        <is>
          <t>JAVAN</t>
        </is>
      </c>
      <c r="I476" s="42" t="inlineStr">
        <is>
          <t>10% Deposit</t>
        </is>
      </c>
      <c r="J476" s="42" t="inlineStr">
        <is>
          <t>MET_JAVAN_INMKT_SUV_ZA</t>
        </is>
      </c>
      <c r="K476" s="42" t="inlineStr">
        <is>
          <t>In-Market</t>
        </is>
      </c>
      <c r="L476" s="42" t="inlineStr">
        <is>
          <t>JAVAN_CAR_5card_Interior_v1</t>
        </is>
      </c>
      <c r="M476" s="42" t="inlineStr">
        <is>
          <t>Carousel</t>
        </is>
      </c>
      <c r="N476" s="42" t="inlineStr">
        <is>
          <t>Step inside the JAVAN</t>
        </is>
      </c>
      <c r="O476" s="42" t="inlineStr">
        <is>
          <t>Auction - Lowest Cost</t>
        </is>
      </c>
      <c r="P476" s="42" t="inlineStr">
        <is>
          <t>Offsite Conversions</t>
        </is>
      </c>
      <c r="Q476" s="42" t="inlineStr">
        <is>
          <t>https://www.lepas-sa.co.za/offers/javan</t>
        </is>
      </c>
      <c r="R476" s="115" t="n">
        <v>126.92</v>
      </c>
      <c r="S476" s="116" t="n">
        <v>1959</v>
      </c>
      <c r="T476" s="116" t="n">
        <v>1339</v>
      </c>
      <c r="U476" s="117">
        <f>IFERROR(S476/T476,"")</f>
        <v/>
      </c>
      <c r="V476" s="116" t="n">
        <v>47</v>
      </c>
      <c r="W476" s="116" t="n">
        <v>33</v>
      </c>
      <c r="X476" s="118">
        <f>IFERROR(W476/S476,"")</f>
        <v/>
      </c>
      <c r="Y476" s="115">
        <f>IFERROR(R476/W476,"")</f>
        <v/>
      </c>
      <c r="Z476" s="115">
        <f>IFERROR(R476/S476*1000,"")</f>
        <v/>
      </c>
      <c r="AA476" s="116" t="n">
        <v>26</v>
      </c>
      <c r="AB476" s="47">
        <f>IFERROR(AA476/W476,"")</f>
        <v/>
      </c>
      <c r="AC476" s="116" t="n">
        <v>0</v>
      </c>
      <c r="AD476" s="116" t="n">
        <v>0</v>
      </c>
      <c r="AE476" s="116" t="n">
        <v>0</v>
      </c>
      <c r="AF476" s="116" t="n">
        <v>0</v>
      </c>
      <c r="AG476" s="116" t="n">
        <v>0</v>
      </c>
      <c r="AH476" s="116" t="n">
        <v>0</v>
      </c>
      <c r="AI476" s="47">
        <f>IFERROR(AC476/S476,"")</f>
        <v/>
      </c>
      <c r="AJ476" s="47">
        <f>IFERROR(AH476/S476,"")</f>
        <v/>
      </c>
      <c r="AK476" s="116" t="n">
        <v>47</v>
      </c>
      <c r="AL476" s="116" t="n">
        <v>0</v>
      </c>
      <c r="AM476" s="118">
        <f>IFERROR(AL476/AA476,"")</f>
        <v/>
      </c>
      <c r="AN476" s="119">
        <f>IFERROR(R476/AL476,"")</f>
        <v/>
      </c>
      <c r="AO476" s="116" t="n">
        <v>0</v>
      </c>
      <c r="AP476" s="47">
        <f>IFERROR(AO476/AL476,"")</f>
        <v/>
      </c>
      <c r="AQ476" s="119">
        <f>IFERROR(R476/AO476,"")</f>
        <v/>
      </c>
      <c r="AR476" s="116" t="n">
        <v>0</v>
      </c>
      <c r="AS476" s="116" t="n">
        <v>0</v>
      </c>
      <c r="AT476" s="116">
        <f>AL476+AR476</f>
        <v/>
      </c>
      <c r="AU476" s="119">
        <f>IFERROR(AO476*Assumptions!$C$26*Assumptions!$C$27*INDEX(Assumptions!$C$18:$C$21,MATCH(H476,Assumptions!$B$18:$B$21,0)),0)</f>
        <v/>
      </c>
    </row>
    <row r="477">
      <c r="A477" s="114" t="n">
        <v>46243</v>
      </c>
      <c r="B477" s="42" t="inlineStr">
        <is>
          <t>Wk 32</t>
        </is>
      </c>
      <c r="C477" s="42" t="inlineStr">
        <is>
          <t>Sun</t>
        </is>
      </c>
      <c r="D477" s="42" t="inlineStr">
        <is>
          <t>Meta (FB/IG)</t>
        </is>
      </c>
      <c r="E477" s="42" t="inlineStr">
        <is>
          <t>Facebook + Instagram</t>
        </is>
      </c>
      <c r="F477" s="42" t="inlineStr">
        <is>
          <t>LEP_ZA_AUG26_META_TD_JAVAN_CONV</t>
        </is>
      </c>
      <c r="G477" s="42" t="inlineStr">
        <is>
          <t>Leads - Website Conversions</t>
        </is>
      </c>
      <c r="H477" s="42" t="inlineStr">
        <is>
          <t>JAVAN</t>
        </is>
      </c>
      <c r="I477" s="42" t="inlineStr">
        <is>
          <t>10% Deposit</t>
        </is>
      </c>
      <c r="J477" s="42" t="inlineStr">
        <is>
          <t>MET_JAVAN_INMKT_SUV_ZA</t>
        </is>
      </c>
      <c r="K477" s="42" t="inlineStr">
        <is>
          <t>In-Market</t>
        </is>
      </c>
      <c r="L477" s="42" t="inlineStr">
        <is>
          <t>JAVAN_CAR_5card_Interior_v1</t>
        </is>
      </c>
      <c r="M477" s="42" t="inlineStr">
        <is>
          <t>Carousel</t>
        </is>
      </c>
      <c r="N477" s="42" t="inlineStr">
        <is>
          <t>Step inside the JAVAN</t>
        </is>
      </c>
      <c r="O477" s="42" t="inlineStr">
        <is>
          <t>Auction - Lowest Cost</t>
        </is>
      </c>
      <c r="P477" s="42" t="inlineStr">
        <is>
          <t>Offsite Conversions</t>
        </is>
      </c>
      <c r="Q477" s="42" t="inlineStr">
        <is>
          <t>https://www.lepas-sa.co.za/offers/javan</t>
        </is>
      </c>
      <c r="R477" s="115" t="n">
        <v>100.96</v>
      </c>
      <c r="S477" s="116" t="n">
        <v>1184</v>
      </c>
      <c r="T477" s="116" t="n">
        <v>793</v>
      </c>
      <c r="U477" s="117">
        <f>IFERROR(S477/T477,"")</f>
        <v/>
      </c>
      <c r="V477" s="116" t="n">
        <v>26</v>
      </c>
      <c r="W477" s="116" t="n">
        <v>19</v>
      </c>
      <c r="X477" s="118">
        <f>IFERROR(W477/S477,"")</f>
        <v/>
      </c>
      <c r="Y477" s="115">
        <f>IFERROR(R477/W477,"")</f>
        <v/>
      </c>
      <c r="Z477" s="115">
        <f>IFERROR(R477/S477*1000,"")</f>
        <v/>
      </c>
      <c r="AA477" s="116" t="n">
        <v>16</v>
      </c>
      <c r="AB477" s="47">
        <f>IFERROR(AA477/W477,"")</f>
        <v/>
      </c>
      <c r="AC477" s="116" t="n">
        <v>0</v>
      </c>
      <c r="AD477" s="116" t="n">
        <v>0</v>
      </c>
      <c r="AE477" s="116" t="n">
        <v>0</v>
      </c>
      <c r="AF477" s="116" t="n">
        <v>0</v>
      </c>
      <c r="AG477" s="116" t="n">
        <v>0</v>
      </c>
      <c r="AH477" s="116" t="n">
        <v>0</v>
      </c>
      <c r="AI477" s="47">
        <f>IFERROR(AC477/S477,"")</f>
        <v/>
      </c>
      <c r="AJ477" s="47">
        <f>IFERROR(AH477/S477,"")</f>
        <v/>
      </c>
      <c r="AK477" s="116" t="n">
        <v>40</v>
      </c>
      <c r="AL477" s="116" t="n">
        <v>0</v>
      </c>
      <c r="AM477" s="118">
        <f>IFERROR(AL477/AA477,"")</f>
        <v/>
      </c>
      <c r="AN477" s="119">
        <f>IFERROR(R477/AL477,"")</f>
        <v/>
      </c>
      <c r="AO477" s="116" t="n">
        <v>0</v>
      </c>
      <c r="AP477" s="47">
        <f>IFERROR(AO477/AL477,"")</f>
        <v/>
      </c>
      <c r="AQ477" s="119">
        <f>IFERROR(R477/AO477,"")</f>
        <v/>
      </c>
      <c r="AR477" s="116" t="n">
        <v>0</v>
      </c>
      <c r="AS477" s="116" t="n">
        <v>0</v>
      </c>
      <c r="AT477" s="116">
        <f>AL477+AR477</f>
        <v/>
      </c>
      <c r="AU477" s="119">
        <f>IFERROR(AO477*Assumptions!$C$26*Assumptions!$C$27*INDEX(Assumptions!$C$18:$C$21,MATCH(H477,Assumptions!$B$18:$B$21,0)),0)</f>
        <v/>
      </c>
    </row>
    <row r="478">
      <c r="A478" s="114" t="n">
        <v>46244</v>
      </c>
      <c r="B478" s="42" t="inlineStr">
        <is>
          <t>Wk 33</t>
        </is>
      </c>
      <c r="C478" s="42" t="inlineStr">
        <is>
          <t>Mon</t>
        </is>
      </c>
      <c r="D478" s="42" t="inlineStr">
        <is>
          <t>Meta (FB/IG)</t>
        </is>
      </c>
      <c r="E478" s="42" t="inlineStr">
        <is>
          <t>Facebook + Instagram</t>
        </is>
      </c>
      <c r="F478" s="42" t="inlineStr">
        <is>
          <t>LEP_ZA_AUG26_META_TD_JAVAN_CONV</t>
        </is>
      </c>
      <c r="G478" s="42" t="inlineStr">
        <is>
          <t>Leads - Website Conversions</t>
        </is>
      </c>
      <c r="H478" s="42" t="inlineStr">
        <is>
          <t>JAVAN</t>
        </is>
      </c>
      <c r="I478" s="42" t="inlineStr">
        <is>
          <t>10% Deposit</t>
        </is>
      </c>
      <c r="J478" s="42" t="inlineStr">
        <is>
          <t>MET_JAVAN_INMKT_SUV_ZA</t>
        </is>
      </c>
      <c r="K478" s="42" t="inlineStr">
        <is>
          <t>In-Market</t>
        </is>
      </c>
      <c r="L478" s="42" t="inlineStr">
        <is>
          <t>JAVAN_CAR_5card_Interior_v1</t>
        </is>
      </c>
      <c r="M478" s="42" t="inlineStr">
        <is>
          <t>Carousel</t>
        </is>
      </c>
      <c r="N478" s="42" t="inlineStr">
        <is>
          <t>Step inside the JAVAN</t>
        </is>
      </c>
      <c r="O478" s="42" t="inlineStr">
        <is>
          <t>Auction - Lowest Cost</t>
        </is>
      </c>
      <c r="P478" s="42" t="inlineStr">
        <is>
          <t>Offsite Conversions</t>
        </is>
      </c>
      <c r="Q478" s="42" t="inlineStr">
        <is>
          <t>https://www.lepas-sa.co.za/offers/javan</t>
        </is>
      </c>
      <c r="R478" s="115" t="n">
        <v>126.77</v>
      </c>
      <c r="S478" s="116" t="n">
        <v>1373</v>
      </c>
      <c r="T478" s="116" t="n">
        <v>1037</v>
      </c>
      <c r="U478" s="117">
        <f>IFERROR(S478/T478,"")</f>
        <v/>
      </c>
      <c r="V478" s="116" t="n">
        <v>22</v>
      </c>
      <c r="W478" s="116" t="n">
        <v>18</v>
      </c>
      <c r="X478" s="118">
        <f>IFERROR(W478/S478,"")</f>
        <v/>
      </c>
      <c r="Y478" s="115">
        <f>IFERROR(R478/W478,"")</f>
        <v/>
      </c>
      <c r="Z478" s="115">
        <f>IFERROR(R478/S478*1000,"")</f>
        <v/>
      </c>
      <c r="AA478" s="116" t="n">
        <v>14</v>
      </c>
      <c r="AB478" s="47">
        <f>IFERROR(AA478/W478,"")</f>
        <v/>
      </c>
      <c r="AC478" s="116" t="n">
        <v>0</v>
      </c>
      <c r="AD478" s="116" t="n">
        <v>0</v>
      </c>
      <c r="AE478" s="116" t="n">
        <v>0</v>
      </c>
      <c r="AF478" s="116" t="n">
        <v>0</v>
      </c>
      <c r="AG478" s="116" t="n">
        <v>0</v>
      </c>
      <c r="AH478" s="116" t="n">
        <v>0</v>
      </c>
      <c r="AI478" s="47">
        <f>IFERROR(AC478/S478,"")</f>
        <v/>
      </c>
      <c r="AJ478" s="47">
        <f>IFERROR(AH478/S478,"")</f>
        <v/>
      </c>
      <c r="AK478" s="116" t="n">
        <v>42</v>
      </c>
      <c r="AL478" s="116" t="n">
        <v>0</v>
      </c>
      <c r="AM478" s="118">
        <f>IFERROR(AL478/AA478,"")</f>
        <v/>
      </c>
      <c r="AN478" s="119">
        <f>IFERROR(R478/AL478,"")</f>
        <v/>
      </c>
      <c r="AO478" s="116" t="n">
        <v>0</v>
      </c>
      <c r="AP478" s="47">
        <f>IFERROR(AO478/AL478,"")</f>
        <v/>
      </c>
      <c r="AQ478" s="119">
        <f>IFERROR(R478/AO478,"")</f>
        <v/>
      </c>
      <c r="AR478" s="116" t="n">
        <v>0</v>
      </c>
      <c r="AS478" s="116" t="n">
        <v>0</v>
      </c>
      <c r="AT478" s="116">
        <f>AL478+AR478</f>
        <v/>
      </c>
      <c r="AU478" s="119">
        <f>IFERROR(AO478*Assumptions!$C$26*Assumptions!$C$27*INDEX(Assumptions!$C$18:$C$21,MATCH(H478,Assumptions!$B$18:$B$21,0)),0)</f>
        <v/>
      </c>
    </row>
    <row r="479">
      <c r="A479" s="114" t="n">
        <v>46245</v>
      </c>
      <c r="B479" s="42" t="inlineStr">
        <is>
          <t>Wk 33</t>
        </is>
      </c>
      <c r="C479" s="42" t="inlineStr">
        <is>
          <t>Tue</t>
        </is>
      </c>
      <c r="D479" s="42" t="inlineStr">
        <is>
          <t>Meta (FB/IG)</t>
        </is>
      </c>
      <c r="E479" s="42" t="inlineStr">
        <is>
          <t>Facebook + Instagram</t>
        </is>
      </c>
      <c r="F479" s="42" t="inlineStr">
        <is>
          <t>LEP_ZA_AUG26_META_TD_JAVAN_CONV</t>
        </is>
      </c>
      <c r="G479" s="42" t="inlineStr">
        <is>
          <t>Leads - Website Conversions</t>
        </is>
      </c>
      <c r="H479" s="42" t="inlineStr">
        <is>
          <t>JAVAN</t>
        </is>
      </c>
      <c r="I479" s="42" t="inlineStr">
        <is>
          <t>10% Deposit</t>
        </is>
      </c>
      <c r="J479" s="42" t="inlineStr">
        <is>
          <t>MET_JAVAN_INMKT_SUV_ZA</t>
        </is>
      </c>
      <c r="K479" s="42" t="inlineStr">
        <is>
          <t>In-Market</t>
        </is>
      </c>
      <c r="L479" s="42" t="inlineStr">
        <is>
          <t>JAVAN_CAR_5card_Interior_v1</t>
        </is>
      </c>
      <c r="M479" s="42" t="inlineStr">
        <is>
          <t>Carousel</t>
        </is>
      </c>
      <c r="N479" s="42" t="inlineStr">
        <is>
          <t>Step inside the JAVAN</t>
        </is>
      </c>
      <c r="O479" s="42" t="inlineStr">
        <is>
          <t>Auction - Lowest Cost</t>
        </is>
      </c>
      <c r="P479" s="42" t="inlineStr">
        <is>
          <t>Offsite Conversions</t>
        </is>
      </c>
      <c r="Q479" s="42" t="inlineStr">
        <is>
          <t>https://www.lepas-sa.co.za/offers/javan</t>
        </is>
      </c>
      <c r="R479" s="115" t="n">
        <v>121.12</v>
      </c>
      <c r="S479" s="116" t="n">
        <v>1449</v>
      </c>
      <c r="T479" s="116" t="n">
        <v>953</v>
      </c>
      <c r="U479" s="117">
        <f>IFERROR(S479/T479,"")</f>
        <v/>
      </c>
      <c r="V479" s="116" t="n">
        <v>23</v>
      </c>
      <c r="W479" s="116" t="n">
        <v>17</v>
      </c>
      <c r="X479" s="118">
        <f>IFERROR(W479/S479,"")</f>
        <v/>
      </c>
      <c r="Y479" s="115">
        <f>IFERROR(R479/W479,"")</f>
        <v/>
      </c>
      <c r="Z479" s="115">
        <f>IFERROR(R479/S479*1000,"")</f>
        <v/>
      </c>
      <c r="AA479" s="116" t="n">
        <v>14</v>
      </c>
      <c r="AB479" s="47">
        <f>IFERROR(AA479/W479,"")</f>
        <v/>
      </c>
      <c r="AC479" s="116" t="n">
        <v>0</v>
      </c>
      <c r="AD479" s="116" t="n">
        <v>0</v>
      </c>
      <c r="AE479" s="116" t="n">
        <v>0</v>
      </c>
      <c r="AF479" s="116" t="n">
        <v>0</v>
      </c>
      <c r="AG479" s="116" t="n">
        <v>0</v>
      </c>
      <c r="AH479" s="116" t="n">
        <v>0</v>
      </c>
      <c r="AI479" s="47">
        <f>IFERROR(AC479/S479,"")</f>
        <v/>
      </c>
      <c r="AJ479" s="47">
        <f>IFERROR(AH479/S479,"")</f>
        <v/>
      </c>
      <c r="AK479" s="116" t="n">
        <v>49</v>
      </c>
      <c r="AL479" s="116" t="n">
        <v>1</v>
      </c>
      <c r="AM479" s="118">
        <f>IFERROR(AL479/AA479,"")</f>
        <v/>
      </c>
      <c r="AN479" s="119">
        <f>IFERROR(R479/AL479,"")</f>
        <v/>
      </c>
      <c r="AO479" s="116" t="n">
        <v>1</v>
      </c>
      <c r="AP479" s="47">
        <f>IFERROR(AO479/AL479,"")</f>
        <v/>
      </c>
      <c r="AQ479" s="119">
        <f>IFERROR(R479/AO479,"")</f>
        <v/>
      </c>
      <c r="AR479" s="116" t="n">
        <v>0</v>
      </c>
      <c r="AS479" s="116" t="n">
        <v>0</v>
      </c>
      <c r="AT479" s="116">
        <f>AL479+AR479</f>
        <v/>
      </c>
      <c r="AU479" s="119">
        <f>IFERROR(AO479*Assumptions!$C$26*Assumptions!$C$27*INDEX(Assumptions!$C$18:$C$21,MATCH(H479,Assumptions!$B$18:$B$21,0)),0)</f>
        <v/>
      </c>
    </row>
    <row r="480">
      <c r="A480" s="114" t="n">
        <v>46246</v>
      </c>
      <c r="B480" s="42" t="inlineStr">
        <is>
          <t>Wk 33</t>
        </is>
      </c>
      <c r="C480" s="42" t="inlineStr">
        <is>
          <t>Wed</t>
        </is>
      </c>
      <c r="D480" s="42" t="inlineStr">
        <is>
          <t>Meta (FB/IG)</t>
        </is>
      </c>
      <c r="E480" s="42" t="inlineStr">
        <is>
          <t>Facebook + Instagram</t>
        </is>
      </c>
      <c r="F480" s="42" t="inlineStr">
        <is>
          <t>LEP_ZA_AUG26_META_TD_JAVAN_CONV</t>
        </is>
      </c>
      <c r="G480" s="42" t="inlineStr">
        <is>
          <t>Leads - Website Conversions</t>
        </is>
      </c>
      <c r="H480" s="42" t="inlineStr">
        <is>
          <t>JAVAN</t>
        </is>
      </c>
      <c r="I480" s="42" t="inlineStr">
        <is>
          <t>10% Deposit</t>
        </is>
      </c>
      <c r="J480" s="42" t="inlineStr">
        <is>
          <t>MET_JAVAN_INMKT_SUV_ZA</t>
        </is>
      </c>
      <c r="K480" s="42" t="inlineStr">
        <is>
          <t>In-Market</t>
        </is>
      </c>
      <c r="L480" s="42" t="inlineStr">
        <is>
          <t>JAVAN_CAR_5card_Interior_v1</t>
        </is>
      </c>
      <c r="M480" s="42" t="inlineStr">
        <is>
          <t>Carousel</t>
        </is>
      </c>
      <c r="N480" s="42" t="inlineStr">
        <is>
          <t>Step inside the JAVAN</t>
        </is>
      </c>
      <c r="O480" s="42" t="inlineStr">
        <is>
          <t>Auction - Lowest Cost</t>
        </is>
      </c>
      <c r="P480" s="42" t="inlineStr">
        <is>
          <t>Offsite Conversions</t>
        </is>
      </c>
      <c r="Q480" s="42" t="inlineStr">
        <is>
          <t>https://www.lepas-sa.co.za/offers/javan</t>
        </is>
      </c>
      <c r="R480" s="115" t="n">
        <v>101.49</v>
      </c>
      <c r="S480" s="116" t="n">
        <v>1591</v>
      </c>
      <c r="T480" s="116" t="n">
        <v>1021</v>
      </c>
      <c r="U480" s="117">
        <f>IFERROR(S480/T480,"")</f>
        <v/>
      </c>
      <c r="V480" s="116" t="n">
        <v>36</v>
      </c>
      <c r="W480" s="116" t="n">
        <v>26</v>
      </c>
      <c r="X480" s="118">
        <f>IFERROR(W480/S480,"")</f>
        <v/>
      </c>
      <c r="Y480" s="115">
        <f>IFERROR(R480/W480,"")</f>
        <v/>
      </c>
      <c r="Z480" s="115">
        <f>IFERROR(R480/S480*1000,"")</f>
        <v/>
      </c>
      <c r="AA480" s="116" t="n">
        <v>23</v>
      </c>
      <c r="AB480" s="47">
        <f>IFERROR(AA480/W480,"")</f>
        <v/>
      </c>
      <c r="AC480" s="116" t="n">
        <v>0</v>
      </c>
      <c r="AD480" s="116" t="n">
        <v>0</v>
      </c>
      <c r="AE480" s="116" t="n">
        <v>0</v>
      </c>
      <c r="AF480" s="116" t="n">
        <v>0</v>
      </c>
      <c r="AG480" s="116" t="n">
        <v>0</v>
      </c>
      <c r="AH480" s="116" t="n">
        <v>0</v>
      </c>
      <c r="AI480" s="47">
        <f>IFERROR(AC480/S480,"")</f>
        <v/>
      </c>
      <c r="AJ480" s="47">
        <f>IFERROR(AH480/S480,"")</f>
        <v/>
      </c>
      <c r="AK480" s="116" t="n">
        <v>46</v>
      </c>
      <c r="AL480" s="116" t="n">
        <v>1</v>
      </c>
      <c r="AM480" s="118">
        <f>IFERROR(AL480/AA480,"")</f>
        <v/>
      </c>
      <c r="AN480" s="119">
        <f>IFERROR(R480/AL480,"")</f>
        <v/>
      </c>
      <c r="AO480" s="116" t="n">
        <v>1</v>
      </c>
      <c r="AP480" s="47">
        <f>IFERROR(AO480/AL480,"")</f>
        <v/>
      </c>
      <c r="AQ480" s="119">
        <f>IFERROR(R480/AO480,"")</f>
        <v/>
      </c>
      <c r="AR480" s="116" t="n">
        <v>0</v>
      </c>
      <c r="AS480" s="116" t="n">
        <v>0</v>
      </c>
      <c r="AT480" s="116">
        <f>AL480+AR480</f>
        <v/>
      </c>
      <c r="AU480" s="119">
        <f>IFERROR(AO480*Assumptions!$C$26*Assumptions!$C$27*INDEX(Assumptions!$C$18:$C$21,MATCH(H480,Assumptions!$B$18:$B$21,0)),0)</f>
        <v/>
      </c>
    </row>
    <row r="481">
      <c r="A481" s="114" t="n">
        <v>46247</v>
      </c>
      <c r="B481" s="42" t="inlineStr">
        <is>
          <t>Wk 33</t>
        </is>
      </c>
      <c r="C481" s="42" t="inlineStr">
        <is>
          <t>Thu</t>
        </is>
      </c>
      <c r="D481" s="42" t="inlineStr">
        <is>
          <t>Meta (FB/IG)</t>
        </is>
      </c>
      <c r="E481" s="42" t="inlineStr">
        <is>
          <t>Facebook + Instagram</t>
        </is>
      </c>
      <c r="F481" s="42" t="inlineStr">
        <is>
          <t>LEP_ZA_AUG26_META_TD_JAVAN_CONV</t>
        </is>
      </c>
      <c r="G481" s="42" t="inlineStr">
        <is>
          <t>Leads - Website Conversions</t>
        </is>
      </c>
      <c r="H481" s="42" t="inlineStr">
        <is>
          <t>JAVAN</t>
        </is>
      </c>
      <c r="I481" s="42" t="inlineStr">
        <is>
          <t>10% Deposit</t>
        </is>
      </c>
      <c r="J481" s="42" t="inlineStr">
        <is>
          <t>MET_JAVAN_INMKT_SUV_ZA</t>
        </is>
      </c>
      <c r="K481" s="42" t="inlineStr">
        <is>
          <t>In-Market</t>
        </is>
      </c>
      <c r="L481" s="42" t="inlineStr">
        <is>
          <t>JAVAN_CAR_5card_Interior_v1</t>
        </is>
      </c>
      <c r="M481" s="42" t="inlineStr">
        <is>
          <t>Carousel</t>
        </is>
      </c>
      <c r="N481" s="42" t="inlineStr">
        <is>
          <t>Step inside the JAVAN</t>
        </is>
      </c>
      <c r="O481" s="42" t="inlineStr">
        <is>
          <t>Auction - Lowest Cost</t>
        </is>
      </c>
      <c r="P481" s="42" t="inlineStr">
        <is>
          <t>Offsite Conversions</t>
        </is>
      </c>
      <c r="Q481" s="42" t="inlineStr">
        <is>
          <t>https://www.lepas-sa.co.za/offers/javan</t>
        </is>
      </c>
      <c r="R481" s="115" t="n">
        <v>129.18</v>
      </c>
      <c r="S481" s="116" t="n">
        <v>2008</v>
      </c>
      <c r="T481" s="116" t="n">
        <v>1174</v>
      </c>
      <c r="U481" s="117">
        <f>IFERROR(S481/T481,"")</f>
        <v/>
      </c>
      <c r="V481" s="116" t="n">
        <v>24</v>
      </c>
      <c r="W481" s="116" t="n">
        <v>20</v>
      </c>
      <c r="X481" s="118">
        <f>IFERROR(W481/S481,"")</f>
        <v/>
      </c>
      <c r="Y481" s="115">
        <f>IFERROR(R481/W481,"")</f>
        <v/>
      </c>
      <c r="Z481" s="115">
        <f>IFERROR(R481/S481*1000,"")</f>
        <v/>
      </c>
      <c r="AA481" s="116" t="n">
        <v>16</v>
      </c>
      <c r="AB481" s="47">
        <f>IFERROR(AA481/W481,"")</f>
        <v/>
      </c>
      <c r="AC481" s="116" t="n">
        <v>0</v>
      </c>
      <c r="AD481" s="116" t="n">
        <v>0</v>
      </c>
      <c r="AE481" s="116" t="n">
        <v>0</v>
      </c>
      <c r="AF481" s="116" t="n">
        <v>0</v>
      </c>
      <c r="AG481" s="116" t="n">
        <v>0</v>
      </c>
      <c r="AH481" s="116" t="n">
        <v>0</v>
      </c>
      <c r="AI481" s="47">
        <f>IFERROR(AC481/S481,"")</f>
        <v/>
      </c>
      <c r="AJ481" s="47">
        <f>IFERROR(AH481/S481,"")</f>
        <v/>
      </c>
      <c r="AK481" s="116" t="n">
        <v>27</v>
      </c>
      <c r="AL481" s="116" t="n">
        <v>1</v>
      </c>
      <c r="AM481" s="118">
        <f>IFERROR(AL481/AA481,"")</f>
        <v/>
      </c>
      <c r="AN481" s="119">
        <f>IFERROR(R481/AL481,"")</f>
        <v/>
      </c>
      <c r="AO481" s="116" t="n">
        <v>1</v>
      </c>
      <c r="AP481" s="47">
        <f>IFERROR(AO481/AL481,"")</f>
        <v/>
      </c>
      <c r="AQ481" s="119">
        <f>IFERROR(R481/AO481,"")</f>
        <v/>
      </c>
      <c r="AR481" s="116" t="n">
        <v>0</v>
      </c>
      <c r="AS481" s="116" t="n">
        <v>1</v>
      </c>
      <c r="AT481" s="116">
        <f>AL481+AR481</f>
        <v/>
      </c>
      <c r="AU481" s="119">
        <f>IFERROR(AO481*Assumptions!$C$26*Assumptions!$C$27*INDEX(Assumptions!$C$18:$C$21,MATCH(H481,Assumptions!$B$18:$B$21,0)),0)</f>
        <v/>
      </c>
    </row>
    <row r="482">
      <c r="A482" s="114" t="n">
        <v>46248</v>
      </c>
      <c r="B482" s="42" t="inlineStr">
        <is>
          <t>Wk 33</t>
        </is>
      </c>
      <c r="C482" s="42" t="inlineStr">
        <is>
          <t>Fri</t>
        </is>
      </c>
      <c r="D482" s="42" t="inlineStr">
        <is>
          <t>Meta (FB/IG)</t>
        </is>
      </c>
      <c r="E482" s="42" t="inlineStr">
        <is>
          <t>Facebook + Instagram</t>
        </is>
      </c>
      <c r="F482" s="42" t="inlineStr">
        <is>
          <t>LEP_ZA_AUG26_META_TD_JAVAN_CONV</t>
        </is>
      </c>
      <c r="G482" s="42" t="inlineStr">
        <is>
          <t>Leads - Website Conversions</t>
        </is>
      </c>
      <c r="H482" s="42" t="inlineStr">
        <is>
          <t>JAVAN</t>
        </is>
      </c>
      <c r="I482" s="42" t="inlineStr">
        <is>
          <t>10% Deposit</t>
        </is>
      </c>
      <c r="J482" s="42" t="inlineStr">
        <is>
          <t>MET_JAVAN_INMKT_SUV_ZA</t>
        </is>
      </c>
      <c r="K482" s="42" t="inlineStr">
        <is>
          <t>In-Market</t>
        </is>
      </c>
      <c r="L482" s="42" t="inlineStr">
        <is>
          <t>JAVAN_CAR_5card_Interior_v1</t>
        </is>
      </c>
      <c r="M482" s="42" t="inlineStr">
        <is>
          <t>Carousel</t>
        </is>
      </c>
      <c r="N482" s="42" t="inlineStr">
        <is>
          <t>Step inside the JAVAN</t>
        </is>
      </c>
      <c r="O482" s="42" t="inlineStr">
        <is>
          <t>Auction - Lowest Cost</t>
        </is>
      </c>
      <c r="P482" s="42" t="inlineStr">
        <is>
          <t>Offsite Conversions</t>
        </is>
      </c>
      <c r="Q482" s="42" t="inlineStr">
        <is>
          <t>https://www.lepas-sa.co.za/offers/javan</t>
        </is>
      </c>
      <c r="R482" s="115" t="n">
        <v>135.87</v>
      </c>
      <c r="S482" s="116" t="n">
        <v>2034</v>
      </c>
      <c r="T482" s="116" t="n">
        <v>1428</v>
      </c>
      <c r="U482" s="117">
        <f>IFERROR(S482/T482,"")</f>
        <v/>
      </c>
      <c r="V482" s="116" t="n">
        <v>37</v>
      </c>
      <c r="W482" s="116" t="n">
        <v>27</v>
      </c>
      <c r="X482" s="118">
        <f>IFERROR(W482/S482,"")</f>
        <v/>
      </c>
      <c r="Y482" s="115">
        <f>IFERROR(R482/W482,"")</f>
        <v/>
      </c>
      <c r="Z482" s="115">
        <f>IFERROR(R482/S482*1000,"")</f>
        <v/>
      </c>
      <c r="AA482" s="116" t="n">
        <v>24</v>
      </c>
      <c r="AB482" s="47">
        <f>IFERROR(AA482/W482,"")</f>
        <v/>
      </c>
      <c r="AC482" s="116" t="n">
        <v>0</v>
      </c>
      <c r="AD482" s="116" t="n">
        <v>0</v>
      </c>
      <c r="AE482" s="116" t="n">
        <v>0</v>
      </c>
      <c r="AF482" s="116" t="n">
        <v>0</v>
      </c>
      <c r="AG482" s="116" t="n">
        <v>0</v>
      </c>
      <c r="AH482" s="116" t="n">
        <v>0</v>
      </c>
      <c r="AI482" s="47">
        <f>IFERROR(AC482/S482,"")</f>
        <v/>
      </c>
      <c r="AJ482" s="47">
        <f>IFERROR(AH482/S482,"")</f>
        <v/>
      </c>
      <c r="AK482" s="116" t="n">
        <v>68</v>
      </c>
      <c r="AL482" s="116" t="n">
        <v>0</v>
      </c>
      <c r="AM482" s="118">
        <f>IFERROR(AL482/AA482,"")</f>
        <v/>
      </c>
      <c r="AN482" s="119">
        <f>IFERROR(R482/AL482,"")</f>
        <v/>
      </c>
      <c r="AO482" s="116" t="n">
        <v>0</v>
      </c>
      <c r="AP482" s="47">
        <f>IFERROR(AO482/AL482,"")</f>
        <v/>
      </c>
      <c r="AQ482" s="119">
        <f>IFERROR(R482/AO482,"")</f>
        <v/>
      </c>
      <c r="AR482" s="116" t="n">
        <v>0</v>
      </c>
      <c r="AS482" s="116" t="n">
        <v>0</v>
      </c>
      <c r="AT482" s="116">
        <f>AL482+AR482</f>
        <v/>
      </c>
      <c r="AU482" s="119">
        <f>IFERROR(AO482*Assumptions!$C$26*Assumptions!$C$27*INDEX(Assumptions!$C$18:$C$21,MATCH(H482,Assumptions!$B$18:$B$21,0)),0)</f>
        <v/>
      </c>
    </row>
    <row r="483">
      <c r="A483" s="114" t="n">
        <v>46249</v>
      </c>
      <c r="B483" s="42" t="inlineStr">
        <is>
          <t>Wk 33</t>
        </is>
      </c>
      <c r="C483" s="42" t="inlineStr">
        <is>
          <t>Sat</t>
        </is>
      </c>
      <c r="D483" s="42" t="inlineStr">
        <is>
          <t>Meta (FB/IG)</t>
        </is>
      </c>
      <c r="E483" s="42" t="inlineStr">
        <is>
          <t>Facebook + Instagram</t>
        </is>
      </c>
      <c r="F483" s="42" t="inlineStr">
        <is>
          <t>LEP_ZA_AUG26_META_TD_JAVAN_CONV</t>
        </is>
      </c>
      <c r="G483" s="42" t="inlineStr">
        <is>
          <t>Leads - Website Conversions</t>
        </is>
      </c>
      <c r="H483" s="42" t="inlineStr">
        <is>
          <t>JAVAN</t>
        </is>
      </c>
      <c r="I483" s="42" t="inlineStr">
        <is>
          <t>10% Deposit</t>
        </is>
      </c>
      <c r="J483" s="42" t="inlineStr">
        <is>
          <t>MET_JAVAN_INMKT_SUV_ZA</t>
        </is>
      </c>
      <c r="K483" s="42" t="inlineStr">
        <is>
          <t>In-Market</t>
        </is>
      </c>
      <c r="L483" s="42" t="inlineStr">
        <is>
          <t>JAVAN_CAR_5card_Interior_v1</t>
        </is>
      </c>
      <c r="M483" s="42" t="inlineStr">
        <is>
          <t>Carousel</t>
        </is>
      </c>
      <c r="N483" s="42" t="inlineStr">
        <is>
          <t>Step inside the JAVAN</t>
        </is>
      </c>
      <c r="O483" s="42" t="inlineStr">
        <is>
          <t>Auction - Lowest Cost</t>
        </is>
      </c>
      <c r="P483" s="42" t="inlineStr">
        <is>
          <t>Offsite Conversions</t>
        </is>
      </c>
      <c r="Q483" s="42" t="inlineStr">
        <is>
          <t>https://www.lepas-sa.co.za/offers/javan</t>
        </is>
      </c>
      <c r="R483" s="115" t="n">
        <v>139.02</v>
      </c>
      <c r="S483" s="116" t="n">
        <v>1889</v>
      </c>
      <c r="T483" s="116" t="n">
        <v>1347</v>
      </c>
      <c r="U483" s="117">
        <f>IFERROR(S483/T483,"")</f>
        <v/>
      </c>
      <c r="V483" s="116" t="n">
        <v>18</v>
      </c>
      <c r="W483" s="116" t="n">
        <v>14</v>
      </c>
      <c r="X483" s="118">
        <f>IFERROR(W483/S483,"")</f>
        <v/>
      </c>
      <c r="Y483" s="115">
        <f>IFERROR(R483/W483,"")</f>
        <v/>
      </c>
      <c r="Z483" s="115">
        <f>IFERROR(R483/S483*1000,"")</f>
        <v/>
      </c>
      <c r="AA483" s="116" t="n">
        <v>12</v>
      </c>
      <c r="AB483" s="47">
        <f>IFERROR(AA483/W483,"")</f>
        <v/>
      </c>
      <c r="AC483" s="116" t="n">
        <v>0</v>
      </c>
      <c r="AD483" s="116" t="n">
        <v>0</v>
      </c>
      <c r="AE483" s="116" t="n">
        <v>0</v>
      </c>
      <c r="AF483" s="116" t="n">
        <v>0</v>
      </c>
      <c r="AG483" s="116" t="n">
        <v>0</v>
      </c>
      <c r="AH483" s="116" t="n">
        <v>0</v>
      </c>
      <c r="AI483" s="47">
        <f>IFERROR(AC483/S483,"")</f>
        <v/>
      </c>
      <c r="AJ483" s="47">
        <f>IFERROR(AH483/S483,"")</f>
        <v/>
      </c>
      <c r="AK483" s="116" t="n">
        <v>39</v>
      </c>
      <c r="AL483" s="116" t="n">
        <v>1</v>
      </c>
      <c r="AM483" s="118">
        <f>IFERROR(AL483/AA483,"")</f>
        <v/>
      </c>
      <c r="AN483" s="119">
        <f>IFERROR(R483/AL483,"")</f>
        <v/>
      </c>
      <c r="AO483" s="116" t="n">
        <v>1</v>
      </c>
      <c r="AP483" s="47">
        <f>IFERROR(AO483/AL483,"")</f>
        <v/>
      </c>
      <c r="AQ483" s="119">
        <f>IFERROR(R483/AO483,"")</f>
        <v/>
      </c>
      <c r="AR483" s="116" t="n">
        <v>1</v>
      </c>
      <c r="AS483" s="116" t="n">
        <v>0</v>
      </c>
      <c r="AT483" s="116">
        <f>AL483+AR483</f>
        <v/>
      </c>
      <c r="AU483" s="119">
        <f>IFERROR(AO483*Assumptions!$C$26*Assumptions!$C$27*INDEX(Assumptions!$C$18:$C$21,MATCH(H483,Assumptions!$B$18:$B$21,0)),0)</f>
        <v/>
      </c>
    </row>
    <row r="484">
      <c r="A484" s="114" t="n">
        <v>46250</v>
      </c>
      <c r="B484" s="42" t="inlineStr">
        <is>
          <t>Wk 33</t>
        </is>
      </c>
      <c r="C484" s="42" t="inlineStr">
        <is>
          <t>Sun</t>
        </is>
      </c>
      <c r="D484" s="42" t="inlineStr">
        <is>
          <t>Meta (FB/IG)</t>
        </is>
      </c>
      <c r="E484" s="42" t="inlineStr">
        <is>
          <t>Facebook + Instagram</t>
        </is>
      </c>
      <c r="F484" s="42" t="inlineStr">
        <is>
          <t>LEP_ZA_AUG26_META_TD_JAVAN_CONV</t>
        </is>
      </c>
      <c r="G484" s="42" t="inlineStr">
        <is>
          <t>Leads - Website Conversions</t>
        </is>
      </c>
      <c r="H484" s="42" t="inlineStr">
        <is>
          <t>JAVAN</t>
        </is>
      </c>
      <c r="I484" s="42" t="inlineStr">
        <is>
          <t>10% Deposit</t>
        </is>
      </c>
      <c r="J484" s="42" t="inlineStr">
        <is>
          <t>MET_JAVAN_INMKT_SUV_ZA</t>
        </is>
      </c>
      <c r="K484" s="42" t="inlineStr">
        <is>
          <t>In-Market</t>
        </is>
      </c>
      <c r="L484" s="42" t="inlineStr">
        <is>
          <t>JAVAN_CAR_5card_Interior_v1</t>
        </is>
      </c>
      <c r="M484" s="42" t="inlineStr">
        <is>
          <t>Carousel</t>
        </is>
      </c>
      <c r="N484" s="42" t="inlineStr">
        <is>
          <t>Step inside the JAVAN</t>
        </is>
      </c>
      <c r="O484" s="42" t="inlineStr">
        <is>
          <t>Auction - Lowest Cost</t>
        </is>
      </c>
      <c r="P484" s="42" t="inlineStr">
        <is>
          <t>Offsite Conversions</t>
        </is>
      </c>
      <c r="Q484" s="42" t="inlineStr">
        <is>
          <t>https://www.lepas-sa.co.za/offers/javan</t>
        </is>
      </c>
      <c r="R484" s="115" t="n">
        <v>100.29</v>
      </c>
      <c r="S484" s="116" t="n">
        <v>1734</v>
      </c>
      <c r="T484" s="116" t="n">
        <v>1031</v>
      </c>
      <c r="U484" s="117">
        <f>IFERROR(S484/T484,"")</f>
        <v/>
      </c>
      <c r="V484" s="116" t="n">
        <v>38</v>
      </c>
      <c r="W484" s="116" t="n">
        <v>28</v>
      </c>
      <c r="X484" s="118">
        <f>IFERROR(W484/S484,"")</f>
        <v/>
      </c>
      <c r="Y484" s="115">
        <f>IFERROR(R484/W484,"")</f>
        <v/>
      </c>
      <c r="Z484" s="115">
        <f>IFERROR(R484/S484*1000,"")</f>
        <v/>
      </c>
      <c r="AA484" s="116" t="n">
        <v>23</v>
      </c>
      <c r="AB484" s="47">
        <f>IFERROR(AA484/W484,"")</f>
        <v/>
      </c>
      <c r="AC484" s="116" t="n">
        <v>0</v>
      </c>
      <c r="AD484" s="116" t="n">
        <v>0</v>
      </c>
      <c r="AE484" s="116" t="n">
        <v>0</v>
      </c>
      <c r="AF484" s="116" t="n">
        <v>0</v>
      </c>
      <c r="AG484" s="116" t="n">
        <v>0</v>
      </c>
      <c r="AH484" s="116" t="n">
        <v>0</v>
      </c>
      <c r="AI484" s="47">
        <f>IFERROR(AC484/S484,"")</f>
        <v/>
      </c>
      <c r="AJ484" s="47">
        <f>IFERROR(AH484/S484,"")</f>
        <v/>
      </c>
      <c r="AK484" s="116" t="n">
        <v>22</v>
      </c>
      <c r="AL484" s="116" t="n">
        <v>1</v>
      </c>
      <c r="AM484" s="118">
        <f>IFERROR(AL484/AA484,"")</f>
        <v/>
      </c>
      <c r="AN484" s="119">
        <f>IFERROR(R484/AL484,"")</f>
        <v/>
      </c>
      <c r="AO484" s="116" t="n">
        <v>1</v>
      </c>
      <c r="AP484" s="47">
        <f>IFERROR(AO484/AL484,"")</f>
        <v/>
      </c>
      <c r="AQ484" s="119">
        <f>IFERROR(R484/AO484,"")</f>
        <v/>
      </c>
      <c r="AR484" s="116" t="n">
        <v>0</v>
      </c>
      <c r="AS484" s="116" t="n">
        <v>0</v>
      </c>
      <c r="AT484" s="116">
        <f>AL484+AR484</f>
        <v/>
      </c>
      <c r="AU484" s="119">
        <f>IFERROR(AO484*Assumptions!$C$26*Assumptions!$C$27*INDEX(Assumptions!$C$18:$C$21,MATCH(H484,Assumptions!$B$18:$B$21,0)),0)</f>
        <v/>
      </c>
    </row>
    <row r="485">
      <c r="A485" s="114" t="n">
        <v>46251</v>
      </c>
      <c r="B485" s="42" t="inlineStr">
        <is>
          <t>Wk 34</t>
        </is>
      </c>
      <c r="C485" s="42" t="inlineStr">
        <is>
          <t>Mon</t>
        </is>
      </c>
      <c r="D485" s="42" t="inlineStr">
        <is>
          <t>Meta (FB/IG)</t>
        </is>
      </c>
      <c r="E485" s="42" t="inlineStr">
        <is>
          <t>Facebook + Instagram</t>
        </is>
      </c>
      <c r="F485" s="42" t="inlineStr">
        <is>
          <t>LEP_ZA_AUG26_META_TD_JAVAN_CONV</t>
        </is>
      </c>
      <c r="G485" s="42" t="inlineStr">
        <is>
          <t>Leads - Website Conversions</t>
        </is>
      </c>
      <c r="H485" s="42" t="inlineStr">
        <is>
          <t>JAVAN</t>
        </is>
      </c>
      <c r="I485" s="42" t="inlineStr">
        <is>
          <t>10% Deposit</t>
        </is>
      </c>
      <c r="J485" s="42" t="inlineStr">
        <is>
          <t>MET_JAVAN_INMKT_SUV_ZA</t>
        </is>
      </c>
      <c r="K485" s="42" t="inlineStr">
        <is>
          <t>In-Market</t>
        </is>
      </c>
      <c r="L485" s="42" t="inlineStr">
        <is>
          <t>JAVAN_CAR_5card_Interior_v1</t>
        </is>
      </c>
      <c r="M485" s="42" t="inlineStr">
        <is>
          <t>Carousel</t>
        </is>
      </c>
      <c r="N485" s="42" t="inlineStr">
        <is>
          <t>Step inside the JAVAN</t>
        </is>
      </c>
      <c r="O485" s="42" t="inlineStr">
        <is>
          <t>Auction - Lowest Cost</t>
        </is>
      </c>
      <c r="P485" s="42" t="inlineStr">
        <is>
          <t>Offsite Conversions</t>
        </is>
      </c>
      <c r="Q485" s="42" t="inlineStr">
        <is>
          <t>https://www.lepas-sa.co.za/offers/javan</t>
        </is>
      </c>
      <c r="R485" s="115" t="n">
        <v>101.25</v>
      </c>
      <c r="S485" s="116" t="n">
        <v>1653</v>
      </c>
      <c r="T485" s="116" t="n">
        <v>925</v>
      </c>
      <c r="U485" s="117">
        <f>IFERROR(S485/T485,"")</f>
        <v/>
      </c>
      <c r="V485" s="116" t="n">
        <v>30</v>
      </c>
      <c r="W485" s="116" t="n">
        <v>23</v>
      </c>
      <c r="X485" s="118">
        <f>IFERROR(W485/S485,"")</f>
        <v/>
      </c>
      <c r="Y485" s="115">
        <f>IFERROR(R485/W485,"")</f>
        <v/>
      </c>
      <c r="Z485" s="115">
        <f>IFERROR(R485/S485*1000,"")</f>
        <v/>
      </c>
      <c r="AA485" s="116" t="n">
        <v>20</v>
      </c>
      <c r="AB485" s="47">
        <f>IFERROR(AA485/W485,"")</f>
        <v/>
      </c>
      <c r="AC485" s="116" t="n">
        <v>0</v>
      </c>
      <c r="AD485" s="116" t="n">
        <v>0</v>
      </c>
      <c r="AE485" s="116" t="n">
        <v>0</v>
      </c>
      <c r="AF485" s="116" t="n">
        <v>0</v>
      </c>
      <c r="AG485" s="116" t="n">
        <v>0</v>
      </c>
      <c r="AH485" s="116" t="n">
        <v>0</v>
      </c>
      <c r="AI485" s="47">
        <f>IFERROR(AC485/S485,"")</f>
        <v/>
      </c>
      <c r="AJ485" s="47">
        <f>IFERROR(AH485/S485,"")</f>
        <v/>
      </c>
      <c r="AK485" s="116" t="n">
        <v>39</v>
      </c>
      <c r="AL485" s="116" t="n">
        <v>0</v>
      </c>
      <c r="AM485" s="118">
        <f>IFERROR(AL485/AA485,"")</f>
        <v/>
      </c>
      <c r="AN485" s="119">
        <f>IFERROR(R485/AL485,"")</f>
        <v/>
      </c>
      <c r="AO485" s="116" t="n">
        <v>0</v>
      </c>
      <c r="AP485" s="47">
        <f>IFERROR(AO485/AL485,"")</f>
        <v/>
      </c>
      <c r="AQ485" s="119">
        <f>IFERROR(R485/AO485,"")</f>
        <v/>
      </c>
      <c r="AR485" s="116" t="n">
        <v>0</v>
      </c>
      <c r="AS485" s="116" t="n">
        <v>0</v>
      </c>
      <c r="AT485" s="116">
        <f>AL485+AR485</f>
        <v/>
      </c>
      <c r="AU485" s="119">
        <f>IFERROR(AO485*Assumptions!$C$26*Assumptions!$C$27*INDEX(Assumptions!$C$18:$C$21,MATCH(H485,Assumptions!$B$18:$B$21,0)),0)</f>
        <v/>
      </c>
    </row>
    <row r="486">
      <c r="A486" s="114" t="n">
        <v>46252</v>
      </c>
      <c r="B486" s="42" t="inlineStr">
        <is>
          <t>Wk 34</t>
        </is>
      </c>
      <c r="C486" s="42" t="inlineStr">
        <is>
          <t>Tue</t>
        </is>
      </c>
      <c r="D486" s="42" t="inlineStr">
        <is>
          <t>Meta (FB/IG)</t>
        </is>
      </c>
      <c r="E486" s="42" t="inlineStr">
        <is>
          <t>Facebook + Instagram</t>
        </is>
      </c>
      <c r="F486" s="42" t="inlineStr">
        <is>
          <t>LEP_ZA_AUG26_META_TD_JAVAN_CONV</t>
        </is>
      </c>
      <c r="G486" s="42" t="inlineStr">
        <is>
          <t>Leads - Website Conversions</t>
        </is>
      </c>
      <c r="H486" s="42" t="inlineStr">
        <is>
          <t>JAVAN</t>
        </is>
      </c>
      <c r="I486" s="42" t="inlineStr">
        <is>
          <t>10% Deposit</t>
        </is>
      </c>
      <c r="J486" s="42" t="inlineStr">
        <is>
          <t>MET_JAVAN_INMKT_SUV_ZA</t>
        </is>
      </c>
      <c r="K486" s="42" t="inlineStr">
        <is>
          <t>In-Market</t>
        </is>
      </c>
      <c r="L486" s="42" t="inlineStr">
        <is>
          <t>JAVAN_CAR_5card_Interior_v1</t>
        </is>
      </c>
      <c r="M486" s="42" t="inlineStr">
        <is>
          <t>Carousel</t>
        </is>
      </c>
      <c r="N486" s="42" t="inlineStr">
        <is>
          <t>Step inside the JAVAN</t>
        </is>
      </c>
      <c r="O486" s="42" t="inlineStr">
        <is>
          <t>Auction - Lowest Cost</t>
        </is>
      </c>
      <c r="P486" s="42" t="inlineStr">
        <is>
          <t>Offsite Conversions</t>
        </is>
      </c>
      <c r="Q486" s="42" t="inlineStr">
        <is>
          <t>https://www.lepas-sa.co.za/offers/javan</t>
        </is>
      </c>
      <c r="R486" s="115" t="n">
        <v>119.73</v>
      </c>
      <c r="S486" s="116" t="n">
        <v>1349</v>
      </c>
      <c r="T486" s="116" t="n">
        <v>880</v>
      </c>
      <c r="U486" s="117">
        <f>IFERROR(S486/T486,"")</f>
        <v/>
      </c>
      <c r="V486" s="116" t="n">
        <v>17</v>
      </c>
      <c r="W486" s="116" t="n">
        <v>14</v>
      </c>
      <c r="X486" s="118">
        <f>IFERROR(W486/S486,"")</f>
        <v/>
      </c>
      <c r="Y486" s="115">
        <f>IFERROR(R486/W486,"")</f>
        <v/>
      </c>
      <c r="Z486" s="115">
        <f>IFERROR(R486/S486*1000,"")</f>
        <v/>
      </c>
      <c r="AA486" s="116" t="n">
        <v>11</v>
      </c>
      <c r="AB486" s="47">
        <f>IFERROR(AA486/W486,"")</f>
        <v/>
      </c>
      <c r="AC486" s="116" t="n">
        <v>0</v>
      </c>
      <c r="AD486" s="116" t="n">
        <v>0</v>
      </c>
      <c r="AE486" s="116" t="n">
        <v>0</v>
      </c>
      <c r="AF486" s="116" t="n">
        <v>0</v>
      </c>
      <c r="AG486" s="116" t="n">
        <v>0</v>
      </c>
      <c r="AH486" s="116" t="n">
        <v>0</v>
      </c>
      <c r="AI486" s="47">
        <f>IFERROR(AC486/S486,"")</f>
        <v/>
      </c>
      <c r="AJ486" s="47">
        <f>IFERROR(AH486/S486,"")</f>
        <v/>
      </c>
      <c r="AK486" s="116" t="n">
        <v>44</v>
      </c>
      <c r="AL486" s="116" t="n">
        <v>1</v>
      </c>
      <c r="AM486" s="118">
        <f>IFERROR(AL486/AA486,"")</f>
        <v/>
      </c>
      <c r="AN486" s="119">
        <f>IFERROR(R486/AL486,"")</f>
        <v/>
      </c>
      <c r="AO486" s="116" t="n">
        <v>0</v>
      </c>
      <c r="AP486" s="47">
        <f>IFERROR(AO486/AL486,"")</f>
        <v/>
      </c>
      <c r="AQ486" s="119">
        <f>IFERROR(R486/AO486,"")</f>
        <v/>
      </c>
      <c r="AR486" s="116" t="n">
        <v>0</v>
      </c>
      <c r="AS486" s="116" t="n">
        <v>0</v>
      </c>
      <c r="AT486" s="116">
        <f>AL486+AR486</f>
        <v/>
      </c>
      <c r="AU486" s="119">
        <f>IFERROR(AO486*Assumptions!$C$26*Assumptions!$C$27*INDEX(Assumptions!$C$18:$C$21,MATCH(H486,Assumptions!$B$18:$B$21,0)),0)</f>
        <v/>
      </c>
    </row>
    <row r="487">
      <c r="A487" s="114" t="n">
        <v>46253</v>
      </c>
      <c r="B487" s="42" t="inlineStr">
        <is>
          <t>Wk 34</t>
        </is>
      </c>
      <c r="C487" s="42" t="inlineStr">
        <is>
          <t>Wed</t>
        </is>
      </c>
      <c r="D487" s="42" t="inlineStr">
        <is>
          <t>Meta (FB/IG)</t>
        </is>
      </c>
      <c r="E487" s="42" t="inlineStr">
        <is>
          <t>Facebook + Instagram</t>
        </is>
      </c>
      <c r="F487" s="42" t="inlineStr">
        <is>
          <t>LEP_ZA_AUG26_META_TD_JAVAN_CONV</t>
        </is>
      </c>
      <c r="G487" s="42" t="inlineStr">
        <is>
          <t>Leads - Website Conversions</t>
        </is>
      </c>
      <c r="H487" s="42" t="inlineStr">
        <is>
          <t>JAVAN</t>
        </is>
      </c>
      <c r="I487" s="42" t="inlineStr">
        <is>
          <t>10% Deposit</t>
        </is>
      </c>
      <c r="J487" s="42" t="inlineStr">
        <is>
          <t>MET_JAVAN_INMKT_SUV_ZA</t>
        </is>
      </c>
      <c r="K487" s="42" t="inlineStr">
        <is>
          <t>In-Market</t>
        </is>
      </c>
      <c r="L487" s="42" t="inlineStr">
        <is>
          <t>JAVAN_CAR_5card_Interior_v1</t>
        </is>
      </c>
      <c r="M487" s="42" t="inlineStr">
        <is>
          <t>Carousel</t>
        </is>
      </c>
      <c r="N487" s="42" t="inlineStr">
        <is>
          <t>Step inside the JAVAN</t>
        </is>
      </c>
      <c r="O487" s="42" t="inlineStr">
        <is>
          <t>Auction - Lowest Cost</t>
        </is>
      </c>
      <c r="P487" s="42" t="inlineStr">
        <is>
          <t>Offsite Conversions</t>
        </is>
      </c>
      <c r="Q487" s="42" t="inlineStr">
        <is>
          <t>https://www.lepas-sa.co.za/offers/javan</t>
        </is>
      </c>
      <c r="R487" s="115" t="n">
        <v>109.42</v>
      </c>
      <c r="S487" s="116" t="n">
        <v>1746</v>
      </c>
      <c r="T487" s="116" t="n">
        <v>1230</v>
      </c>
      <c r="U487" s="117">
        <f>IFERROR(S487/T487,"")</f>
        <v/>
      </c>
      <c r="V487" s="116" t="n">
        <v>29</v>
      </c>
      <c r="W487" s="116" t="n">
        <v>21</v>
      </c>
      <c r="X487" s="118">
        <f>IFERROR(W487/S487,"")</f>
        <v/>
      </c>
      <c r="Y487" s="115">
        <f>IFERROR(R487/W487,"")</f>
        <v/>
      </c>
      <c r="Z487" s="115">
        <f>IFERROR(R487/S487*1000,"")</f>
        <v/>
      </c>
      <c r="AA487" s="116" t="n">
        <v>18</v>
      </c>
      <c r="AB487" s="47">
        <f>IFERROR(AA487/W487,"")</f>
        <v/>
      </c>
      <c r="AC487" s="116" t="n">
        <v>0</v>
      </c>
      <c r="AD487" s="116" t="n">
        <v>0</v>
      </c>
      <c r="AE487" s="116" t="n">
        <v>0</v>
      </c>
      <c r="AF487" s="116" t="n">
        <v>0</v>
      </c>
      <c r="AG487" s="116" t="n">
        <v>0</v>
      </c>
      <c r="AH487" s="116" t="n">
        <v>0</v>
      </c>
      <c r="AI487" s="47">
        <f>IFERROR(AC487/S487,"")</f>
        <v/>
      </c>
      <c r="AJ487" s="47">
        <f>IFERROR(AH487/S487,"")</f>
        <v/>
      </c>
      <c r="AK487" s="116" t="n">
        <v>50</v>
      </c>
      <c r="AL487" s="116" t="n">
        <v>0</v>
      </c>
      <c r="AM487" s="118">
        <f>IFERROR(AL487/AA487,"")</f>
        <v/>
      </c>
      <c r="AN487" s="119">
        <f>IFERROR(R487/AL487,"")</f>
        <v/>
      </c>
      <c r="AO487" s="116" t="n">
        <v>0</v>
      </c>
      <c r="AP487" s="47">
        <f>IFERROR(AO487/AL487,"")</f>
        <v/>
      </c>
      <c r="AQ487" s="119">
        <f>IFERROR(R487/AO487,"")</f>
        <v/>
      </c>
      <c r="AR487" s="116" t="n">
        <v>0</v>
      </c>
      <c r="AS487" s="116" t="n">
        <v>0</v>
      </c>
      <c r="AT487" s="116">
        <f>AL487+AR487</f>
        <v/>
      </c>
      <c r="AU487" s="119">
        <f>IFERROR(AO487*Assumptions!$C$26*Assumptions!$C$27*INDEX(Assumptions!$C$18:$C$21,MATCH(H487,Assumptions!$B$18:$B$21,0)),0)</f>
        <v/>
      </c>
    </row>
    <row r="488">
      <c r="A488" s="114" t="n">
        <v>46254</v>
      </c>
      <c r="B488" s="42" t="inlineStr">
        <is>
          <t>Wk 34</t>
        </is>
      </c>
      <c r="C488" s="42" t="inlineStr">
        <is>
          <t>Thu</t>
        </is>
      </c>
      <c r="D488" s="42" t="inlineStr">
        <is>
          <t>Meta (FB/IG)</t>
        </is>
      </c>
      <c r="E488" s="42" t="inlineStr">
        <is>
          <t>Facebook + Instagram</t>
        </is>
      </c>
      <c r="F488" s="42" t="inlineStr">
        <is>
          <t>LEP_ZA_AUG26_META_TD_JAVAN_CONV</t>
        </is>
      </c>
      <c r="G488" s="42" t="inlineStr">
        <is>
          <t>Leads - Website Conversions</t>
        </is>
      </c>
      <c r="H488" s="42" t="inlineStr">
        <is>
          <t>JAVAN</t>
        </is>
      </c>
      <c r="I488" s="42" t="inlineStr">
        <is>
          <t>10% Deposit</t>
        </is>
      </c>
      <c r="J488" s="42" t="inlineStr">
        <is>
          <t>MET_JAVAN_INMKT_SUV_ZA</t>
        </is>
      </c>
      <c r="K488" s="42" t="inlineStr">
        <is>
          <t>In-Market</t>
        </is>
      </c>
      <c r="L488" s="42" t="inlineStr">
        <is>
          <t>JAVAN_CAR_5card_Interior_v1</t>
        </is>
      </c>
      <c r="M488" s="42" t="inlineStr">
        <is>
          <t>Carousel</t>
        </is>
      </c>
      <c r="N488" s="42" t="inlineStr">
        <is>
          <t>Step inside the JAVAN</t>
        </is>
      </c>
      <c r="O488" s="42" t="inlineStr">
        <is>
          <t>Auction - Lowest Cost</t>
        </is>
      </c>
      <c r="P488" s="42" t="inlineStr">
        <is>
          <t>Offsite Conversions</t>
        </is>
      </c>
      <c r="Q488" s="42" t="inlineStr">
        <is>
          <t>https://www.lepas-sa.co.za/offers/javan</t>
        </is>
      </c>
      <c r="R488" s="115" t="n">
        <v>117.93</v>
      </c>
      <c r="S488" s="116" t="n">
        <v>1336</v>
      </c>
      <c r="T488" s="116" t="n">
        <v>699</v>
      </c>
      <c r="U488" s="117">
        <f>IFERROR(S488/T488,"")</f>
        <v/>
      </c>
      <c r="V488" s="116" t="n">
        <v>31</v>
      </c>
      <c r="W488" s="116" t="n">
        <v>23</v>
      </c>
      <c r="X488" s="118">
        <f>IFERROR(W488/S488,"")</f>
        <v/>
      </c>
      <c r="Y488" s="115">
        <f>IFERROR(R488/W488,"")</f>
        <v/>
      </c>
      <c r="Z488" s="115">
        <f>IFERROR(R488/S488*1000,"")</f>
        <v/>
      </c>
      <c r="AA488" s="116" t="n">
        <v>19</v>
      </c>
      <c r="AB488" s="47">
        <f>IFERROR(AA488/W488,"")</f>
        <v/>
      </c>
      <c r="AC488" s="116" t="n">
        <v>0</v>
      </c>
      <c r="AD488" s="116" t="n">
        <v>0</v>
      </c>
      <c r="AE488" s="116" t="n">
        <v>0</v>
      </c>
      <c r="AF488" s="116" t="n">
        <v>0</v>
      </c>
      <c r="AG488" s="116" t="n">
        <v>0</v>
      </c>
      <c r="AH488" s="116" t="n">
        <v>0</v>
      </c>
      <c r="AI488" s="47">
        <f>IFERROR(AC488/S488,"")</f>
        <v/>
      </c>
      <c r="AJ488" s="47">
        <f>IFERROR(AH488/S488,"")</f>
        <v/>
      </c>
      <c r="AK488" s="116" t="n">
        <v>37</v>
      </c>
      <c r="AL488" s="116" t="n">
        <v>1</v>
      </c>
      <c r="AM488" s="118">
        <f>IFERROR(AL488/AA488,"")</f>
        <v/>
      </c>
      <c r="AN488" s="119">
        <f>IFERROR(R488/AL488,"")</f>
        <v/>
      </c>
      <c r="AO488" s="116" t="n">
        <v>1</v>
      </c>
      <c r="AP488" s="47">
        <f>IFERROR(AO488/AL488,"")</f>
        <v/>
      </c>
      <c r="AQ488" s="119">
        <f>IFERROR(R488/AO488,"")</f>
        <v/>
      </c>
      <c r="AR488" s="116" t="n">
        <v>0</v>
      </c>
      <c r="AS488" s="116" t="n">
        <v>0</v>
      </c>
      <c r="AT488" s="116">
        <f>AL488+AR488</f>
        <v/>
      </c>
      <c r="AU488" s="119">
        <f>IFERROR(AO488*Assumptions!$C$26*Assumptions!$C$27*INDEX(Assumptions!$C$18:$C$21,MATCH(H488,Assumptions!$B$18:$B$21,0)),0)</f>
        <v/>
      </c>
    </row>
    <row r="489">
      <c r="A489" s="114" t="n">
        <v>46255</v>
      </c>
      <c r="B489" s="42" t="inlineStr">
        <is>
          <t>Wk 34</t>
        </is>
      </c>
      <c r="C489" s="42" t="inlineStr">
        <is>
          <t>Fri</t>
        </is>
      </c>
      <c r="D489" s="42" t="inlineStr">
        <is>
          <t>Meta (FB/IG)</t>
        </is>
      </c>
      <c r="E489" s="42" t="inlineStr">
        <is>
          <t>Facebook + Instagram</t>
        </is>
      </c>
      <c r="F489" s="42" t="inlineStr">
        <is>
          <t>LEP_ZA_AUG26_META_TD_JAVAN_CONV</t>
        </is>
      </c>
      <c r="G489" s="42" t="inlineStr">
        <is>
          <t>Leads - Website Conversions</t>
        </is>
      </c>
      <c r="H489" s="42" t="inlineStr">
        <is>
          <t>JAVAN</t>
        </is>
      </c>
      <c r="I489" s="42" t="inlineStr">
        <is>
          <t>10% Deposit</t>
        </is>
      </c>
      <c r="J489" s="42" t="inlineStr">
        <is>
          <t>MET_JAVAN_INMKT_SUV_ZA</t>
        </is>
      </c>
      <c r="K489" s="42" t="inlineStr">
        <is>
          <t>In-Market</t>
        </is>
      </c>
      <c r="L489" s="42" t="inlineStr">
        <is>
          <t>JAVAN_CAR_5card_Interior_v1</t>
        </is>
      </c>
      <c r="M489" s="42" t="inlineStr">
        <is>
          <t>Carousel</t>
        </is>
      </c>
      <c r="N489" s="42" t="inlineStr">
        <is>
          <t>Step inside the JAVAN</t>
        </is>
      </c>
      <c r="O489" s="42" t="inlineStr">
        <is>
          <t>Auction - Lowest Cost</t>
        </is>
      </c>
      <c r="P489" s="42" t="inlineStr">
        <is>
          <t>Offsite Conversions</t>
        </is>
      </c>
      <c r="Q489" s="42" t="inlineStr">
        <is>
          <t>https://www.lepas-sa.co.za/offers/javan</t>
        </is>
      </c>
      <c r="R489" s="115" t="n">
        <v>146.95</v>
      </c>
      <c r="S489" s="116" t="n">
        <v>1788</v>
      </c>
      <c r="T489" s="116" t="n">
        <v>1149</v>
      </c>
      <c r="U489" s="117">
        <f>IFERROR(S489/T489,"")</f>
        <v/>
      </c>
      <c r="V489" s="116" t="n">
        <v>30</v>
      </c>
      <c r="W489" s="116" t="n">
        <v>22</v>
      </c>
      <c r="X489" s="118">
        <f>IFERROR(W489/S489,"")</f>
        <v/>
      </c>
      <c r="Y489" s="115">
        <f>IFERROR(R489/W489,"")</f>
        <v/>
      </c>
      <c r="Z489" s="115">
        <f>IFERROR(R489/S489*1000,"")</f>
        <v/>
      </c>
      <c r="AA489" s="116" t="n">
        <v>18</v>
      </c>
      <c r="AB489" s="47">
        <f>IFERROR(AA489/W489,"")</f>
        <v/>
      </c>
      <c r="AC489" s="116" t="n">
        <v>0</v>
      </c>
      <c r="AD489" s="116" t="n">
        <v>0</v>
      </c>
      <c r="AE489" s="116" t="n">
        <v>0</v>
      </c>
      <c r="AF489" s="116" t="n">
        <v>0</v>
      </c>
      <c r="AG489" s="116" t="n">
        <v>0</v>
      </c>
      <c r="AH489" s="116" t="n">
        <v>0</v>
      </c>
      <c r="AI489" s="47">
        <f>IFERROR(AC489/S489,"")</f>
        <v/>
      </c>
      <c r="AJ489" s="47">
        <f>IFERROR(AH489/S489,"")</f>
        <v/>
      </c>
      <c r="AK489" s="116" t="n">
        <v>57</v>
      </c>
      <c r="AL489" s="116" t="n">
        <v>0</v>
      </c>
      <c r="AM489" s="118">
        <f>IFERROR(AL489/AA489,"")</f>
        <v/>
      </c>
      <c r="AN489" s="119">
        <f>IFERROR(R489/AL489,"")</f>
        <v/>
      </c>
      <c r="AO489" s="116" t="n">
        <v>0</v>
      </c>
      <c r="AP489" s="47">
        <f>IFERROR(AO489/AL489,"")</f>
        <v/>
      </c>
      <c r="AQ489" s="119">
        <f>IFERROR(R489/AO489,"")</f>
        <v/>
      </c>
      <c r="AR489" s="116" t="n">
        <v>0</v>
      </c>
      <c r="AS489" s="116" t="n">
        <v>0</v>
      </c>
      <c r="AT489" s="116">
        <f>AL489+AR489</f>
        <v/>
      </c>
      <c r="AU489" s="119">
        <f>IFERROR(AO489*Assumptions!$C$26*Assumptions!$C$27*INDEX(Assumptions!$C$18:$C$21,MATCH(H489,Assumptions!$B$18:$B$21,0)),0)</f>
        <v/>
      </c>
    </row>
    <row r="490">
      <c r="A490" s="114" t="n">
        <v>46256</v>
      </c>
      <c r="B490" s="42" t="inlineStr">
        <is>
          <t>Wk 34</t>
        </is>
      </c>
      <c r="C490" s="42" t="inlineStr">
        <is>
          <t>Sat</t>
        </is>
      </c>
      <c r="D490" s="42" t="inlineStr">
        <is>
          <t>Meta (FB/IG)</t>
        </is>
      </c>
      <c r="E490" s="42" t="inlineStr">
        <is>
          <t>Facebook + Instagram</t>
        </is>
      </c>
      <c r="F490" s="42" t="inlineStr">
        <is>
          <t>LEP_ZA_AUG26_META_TD_JAVAN_CONV</t>
        </is>
      </c>
      <c r="G490" s="42" t="inlineStr">
        <is>
          <t>Leads - Website Conversions</t>
        </is>
      </c>
      <c r="H490" s="42" t="inlineStr">
        <is>
          <t>JAVAN</t>
        </is>
      </c>
      <c r="I490" s="42" t="inlineStr">
        <is>
          <t>10% Deposit</t>
        </is>
      </c>
      <c r="J490" s="42" t="inlineStr">
        <is>
          <t>MET_JAVAN_INMKT_SUV_ZA</t>
        </is>
      </c>
      <c r="K490" s="42" t="inlineStr">
        <is>
          <t>In-Market</t>
        </is>
      </c>
      <c r="L490" s="42" t="inlineStr">
        <is>
          <t>JAVAN_CAR_5card_Interior_v1</t>
        </is>
      </c>
      <c r="M490" s="42" t="inlineStr">
        <is>
          <t>Carousel</t>
        </is>
      </c>
      <c r="N490" s="42" t="inlineStr">
        <is>
          <t>Step inside the JAVAN</t>
        </is>
      </c>
      <c r="O490" s="42" t="inlineStr">
        <is>
          <t>Auction - Lowest Cost</t>
        </is>
      </c>
      <c r="P490" s="42" t="inlineStr">
        <is>
          <t>Offsite Conversions</t>
        </is>
      </c>
      <c r="Q490" s="42" t="inlineStr">
        <is>
          <t>https://www.lepas-sa.co.za/offers/javan</t>
        </is>
      </c>
      <c r="R490" s="115" t="n">
        <v>147.01</v>
      </c>
      <c r="S490" s="116" t="n">
        <v>1831</v>
      </c>
      <c r="T490" s="116" t="n">
        <v>1293</v>
      </c>
      <c r="U490" s="117">
        <f>IFERROR(S490/T490,"")</f>
        <v/>
      </c>
      <c r="V490" s="116" t="n">
        <v>23</v>
      </c>
      <c r="W490" s="116" t="n">
        <v>18</v>
      </c>
      <c r="X490" s="118">
        <f>IFERROR(W490/S490,"")</f>
        <v/>
      </c>
      <c r="Y490" s="115">
        <f>IFERROR(R490/W490,"")</f>
        <v/>
      </c>
      <c r="Z490" s="115">
        <f>IFERROR(R490/S490*1000,"")</f>
        <v/>
      </c>
      <c r="AA490" s="116" t="n">
        <v>16</v>
      </c>
      <c r="AB490" s="47">
        <f>IFERROR(AA490/W490,"")</f>
        <v/>
      </c>
      <c r="AC490" s="116" t="n">
        <v>0</v>
      </c>
      <c r="AD490" s="116" t="n">
        <v>0</v>
      </c>
      <c r="AE490" s="116" t="n">
        <v>0</v>
      </c>
      <c r="AF490" s="116" t="n">
        <v>0</v>
      </c>
      <c r="AG490" s="116" t="n">
        <v>0</v>
      </c>
      <c r="AH490" s="116" t="n">
        <v>0</v>
      </c>
      <c r="AI490" s="47">
        <f>IFERROR(AC490/S490,"")</f>
        <v/>
      </c>
      <c r="AJ490" s="47">
        <f>IFERROR(AH490/S490,"")</f>
        <v/>
      </c>
      <c r="AK490" s="116" t="n">
        <v>56</v>
      </c>
      <c r="AL490" s="116" t="n">
        <v>0</v>
      </c>
      <c r="AM490" s="118">
        <f>IFERROR(AL490/AA490,"")</f>
        <v/>
      </c>
      <c r="AN490" s="119">
        <f>IFERROR(R490/AL490,"")</f>
        <v/>
      </c>
      <c r="AO490" s="116" t="n">
        <v>0</v>
      </c>
      <c r="AP490" s="47">
        <f>IFERROR(AO490/AL490,"")</f>
        <v/>
      </c>
      <c r="AQ490" s="119">
        <f>IFERROR(R490/AO490,"")</f>
        <v/>
      </c>
      <c r="AR490" s="116" t="n">
        <v>0</v>
      </c>
      <c r="AS490" s="116" t="n">
        <v>0</v>
      </c>
      <c r="AT490" s="116">
        <f>AL490+AR490</f>
        <v/>
      </c>
      <c r="AU490" s="119">
        <f>IFERROR(AO490*Assumptions!$C$26*Assumptions!$C$27*INDEX(Assumptions!$C$18:$C$21,MATCH(H490,Assumptions!$B$18:$B$21,0)),0)</f>
        <v/>
      </c>
    </row>
    <row r="491">
      <c r="A491" s="114" t="n">
        <v>46257</v>
      </c>
      <c r="B491" s="42" t="inlineStr">
        <is>
          <t>Wk 34</t>
        </is>
      </c>
      <c r="C491" s="42" t="inlineStr">
        <is>
          <t>Sun</t>
        </is>
      </c>
      <c r="D491" s="42" t="inlineStr">
        <is>
          <t>Meta (FB/IG)</t>
        </is>
      </c>
      <c r="E491" s="42" t="inlineStr">
        <is>
          <t>Facebook + Instagram</t>
        </is>
      </c>
      <c r="F491" s="42" t="inlineStr">
        <is>
          <t>LEP_ZA_AUG26_META_TD_JAVAN_CONV</t>
        </is>
      </c>
      <c r="G491" s="42" t="inlineStr">
        <is>
          <t>Leads - Website Conversions</t>
        </is>
      </c>
      <c r="H491" s="42" t="inlineStr">
        <is>
          <t>JAVAN</t>
        </is>
      </c>
      <c r="I491" s="42" t="inlineStr">
        <is>
          <t>10% Deposit</t>
        </is>
      </c>
      <c r="J491" s="42" t="inlineStr">
        <is>
          <t>MET_JAVAN_INMKT_SUV_ZA</t>
        </is>
      </c>
      <c r="K491" s="42" t="inlineStr">
        <is>
          <t>In-Market</t>
        </is>
      </c>
      <c r="L491" s="42" t="inlineStr">
        <is>
          <t>JAVAN_CAR_5card_Interior_v1</t>
        </is>
      </c>
      <c r="M491" s="42" t="inlineStr">
        <is>
          <t>Carousel</t>
        </is>
      </c>
      <c r="N491" s="42" t="inlineStr">
        <is>
          <t>Step inside the JAVAN</t>
        </is>
      </c>
      <c r="O491" s="42" t="inlineStr">
        <is>
          <t>Auction - Lowest Cost</t>
        </is>
      </c>
      <c r="P491" s="42" t="inlineStr">
        <is>
          <t>Offsite Conversions</t>
        </is>
      </c>
      <c r="Q491" s="42" t="inlineStr">
        <is>
          <t>https://www.lepas-sa.co.za/offers/javan</t>
        </is>
      </c>
      <c r="R491" s="115" t="n">
        <v>109.09</v>
      </c>
      <c r="S491" s="116" t="n">
        <v>1217</v>
      </c>
      <c r="T491" s="116" t="n">
        <v>648</v>
      </c>
      <c r="U491" s="117">
        <f>IFERROR(S491/T491,"")</f>
        <v/>
      </c>
      <c r="V491" s="116" t="n">
        <v>11</v>
      </c>
      <c r="W491" s="116" t="n">
        <v>8</v>
      </c>
      <c r="X491" s="118">
        <f>IFERROR(W491/S491,"")</f>
        <v/>
      </c>
      <c r="Y491" s="115">
        <f>IFERROR(R491/W491,"")</f>
        <v/>
      </c>
      <c r="Z491" s="115">
        <f>IFERROR(R491/S491*1000,"")</f>
        <v/>
      </c>
      <c r="AA491" s="116" t="n">
        <v>7</v>
      </c>
      <c r="AB491" s="47">
        <f>IFERROR(AA491/W491,"")</f>
        <v/>
      </c>
      <c r="AC491" s="116" t="n">
        <v>0</v>
      </c>
      <c r="AD491" s="116" t="n">
        <v>0</v>
      </c>
      <c r="AE491" s="116" t="n">
        <v>0</v>
      </c>
      <c r="AF491" s="116" t="n">
        <v>0</v>
      </c>
      <c r="AG491" s="116" t="n">
        <v>0</v>
      </c>
      <c r="AH491" s="116" t="n">
        <v>0</v>
      </c>
      <c r="AI491" s="47">
        <f>IFERROR(AC491/S491,"")</f>
        <v/>
      </c>
      <c r="AJ491" s="47">
        <f>IFERROR(AH491/S491,"")</f>
        <v/>
      </c>
      <c r="AK491" s="116" t="n">
        <v>19</v>
      </c>
      <c r="AL491" s="116" t="n">
        <v>0</v>
      </c>
      <c r="AM491" s="118">
        <f>IFERROR(AL491/AA491,"")</f>
        <v/>
      </c>
      <c r="AN491" s="119">
        <f>IFERROR(R491/AL491,"")</f>
        <v/>
      </c>
      <c r="AO491" s="116" t="n">
        <v>0</v>
      </c>
      <c r="AP491" s="47">
        <f>IFERROR(AO491/AL491,"")</f>
        <v/>
      </c>
      <c r="AQ491" s="119">
        <f>IFERROR(R491/AO491,"")</f>
        <v/>
      </c>
      <c r="AR491" s="116" t="n">
        <v>0</v>
      </c>
      <c r="AS491" s="116" t="n">
        <v>0</v>
      </c>
      <c r="AT491" s="116">
        <f>AL491+AR491</f>
        <v/>
      </c>
      <c r="AU491" s="119">
        <f>IFERROR(AO491*Assumptions!$C$26*Assumptions!$C$27*INDEX(Assumptions!$C$18:$C$21,MATCH(H491,Assumptions!$B$18:$B$21,0)),0)</f>
        <v/>
      </c>
    </row>
    <row r="492">
      <c r="A492" s="114" t="n">
        <v>46258</v>
      </c>
      <c r="B492" s="42" t="inlineStr">
        <is>
          <t>Wk 35</t>
        </is>
      </c>
      <c r="C492" s="42" t="inlineStr">
        <is>
          <t>Mon</t>
        </is>
      </c>
      <c r="D492" s="42" t="inlineStr">
        <is>
          <t>Meta (FB/IG)</t>
        </is>
      </c>
      <c r="E492" s="42" t="inlineStr">
        <is>
          <t>Facebook + Instagram</t>
        </is>
      </c>
      <c r="F492" s="42" t="inlineStr">
        <is>
          <t>LEP_ZA_AUG26_META_TD_JAVAN_CONV</t>
        </is>
      </c>
      <c r="G492" s="42" t="inlineStr">
        <is>
          <t>Leads - Website Conversions</t>
        </is>
      </c>
      <c r="H492" s="42" t="inlineStr">
        <is>
          <t>JAVAN</t>
        </is>
      </c>
      <c r="I492" s="42" t="inlineStr">
        <is>
          <t>10% Deposit</t>
        </is>
      </c>
      <c r="J492" s="42" t="inlineStr">
        <is>
          <t>MET_JAVAN_INMKT_SUV_ZA</t>
        </is>
      </c>
      <c r="K492" s="42" t="inlineStr">
        <is>
          <t>In-Market</t>
        </is>
      </c>
      <c r="L492" s="42" t="inlineStr">
        <is>
          <t>JAVAN_CAR_5card_Interior_v1</t>
        </is>
      </c>
      <c r="M492" s="42" t="inlineStr">
        <is>
          <t>Carousel</t>
        </is>
      </c>
      <c r="N492" s="42" t="inlineStr">
        <is>
          <t>Step inside the JAVAN</t>
        </is>
      </c>
      <c r="O492" s="42" t="inlineStr">
        <is>
          <t>Auction - Lowest Cost</t>
        </is>
      </c>
      <c r="P492" s="42" t="inlineStr">
        <is>
          <t>Offsite Conversions</t>
        </is>
      </c>
      <c r="Q492" s="42" t="inlineStr">
        <is>
          <t>https://www.lepas-sa.co.za/offers/javan</t>
        </is>
      </c>
      <c r="R492" s="115" t="n">
        <v>118.55</v>
      </c>
      <c r="S492" s="116" t="n">
        <v>1342</v>
      </c>
      <c r="T492" s="116" t="n">
        <v>722</v>
      </c>
      <c r="U492" s="117">
        <f>IFERROR(S492/T492,"")</f>
        <v/>
      </c>
      <c r="V492" s="116" t="n">
        <v>16</v>
      </c>
      <c r="W492" s="116" t="n">
        <v>13</v>
      </c>
      <c r="X492" s="118">
        <f>IFERROR(W492/S492,"")</f>
        <v/>
      </c>
      <c r="Y492" s="115">
        <f>IFERROR(R492/W492,"")</f>
        <v/>
      </c>
      <c r="Z492" s="115">
        <f>IFERROR(R492/S492*1000,"")</f>
        <v/>
      </c>
      <c r="AA492" s="116" t="n">
        <v>12</v>
      </c>
      <c r="AB492" s="47">
        <f>IFERROR(AA492/W492,"")</f>
        <v/>
      </c>
      <c r="AC492" s="116" t="n">
        <v>0</v>
      </c>
      <c r="AD492" s="116" t="n">
        <v>0</v>
      </c>
      <c r="AE492" s="116" t="n">
        <v>0</v>
      </c>
      <c r="AF492" s="116" t="n">
        <v>0</v>
      </c>
      <c r="AG492" s="116" t="n">
        <v>0</v>
      </c>
      <c r="AH492" s="116" t="n">
        <v>0</v>
      </c>
      <c r="AI492" s="47">
        <f>IFERROR(AC492/S492,"")</f>
        <v/>
      </c>
      <c r="AJ492" s="47">
        <f>IFERROR(AH492/S492,"")</f>
        <v/>
      </c>
      <c r="AK492" s="116" t="n">
        <v>37</v>
      </c>
      <c r="AL492" s="116" t="n">
        <v>0</v>
      </c>
      <c r="AM492" s="118">
        <f>IFERROR(AL492/AA492,"")</f>
        <v/>
      </c>
      <c r="AN492" s="119">
        <f>IFERROR(R492/AL492,"")</f>
        <v/>
      </c>
      <c r="AO492" s="116" t="n">
        <v>0</v>
      </c>
      <c r="AP492" s="47">
        <f>IFERROR(AO492/AL492,"")</f>
        <v/>
      </c>
      <c r="AQ492" s="119">
        <f>IFERROR(R492/AO492,"")</f>
        <v/>
      </c>
      <c r="AR492" s="116" t="n">
        <v>0</v>
      </c>
      <c r="AS492" s="116" t="n">
        <v>0</v>
      </c>
      <c r="AT492" s="116">
        <f>AL492+AR492</f>
        <v/>
      </c>
      <c r="AU492" s="119">
        <f>IFERROR(AO492*Assumptions!$C$26*Assumptions!$C$27*INDEX(Assumptions!$C$18:$C$21,MATCH(H492,Assumptions!$B$18:$B$21,0)),0)</f>
        <v/>
      </c>
    </row>
    <row r="493">
      <c r="A493" s="114" t="n">
        <v>46259</v>
      </c>
      <c r="B493" s="42" t="inlineStr">
        <is>
          <t>Wk 35</t>
        </is>
      </c>
      <c r="C493" s="42" t="inlineStr">
        <is>
          <t>Tue</t>
        </is>
      </c>
      <c r="D493" s="42" t="inlineStr">
        <is>
          <t>Meta (FB/IG)</t>
        </is>
      </c>
      <c r="E493" s="42" t="inlineStr">
        <is>
          <t>Facebook + Instagram</t>
        </is>
      </c>
      <c r="F493" s="42" t="inlineStr">
        <is>
          <t>LEP_ZA_AUG26_META_TD_JAVAN_CONV</t>
        </is>
      </c>
      <c r="G493" s="42" t="inlineStr">
        <is>
          <t>Leads - Website Conversions</t>
        </is>
      </c>
      <c r="H493" s="42" t="inlineStr">
        <is>
          <t>JAVAN</t>
        </is>
      </c>
      <c r="I493" s="42" t="inlineStr">
        <is>
          <t>10% Deposit</t>
        </is>
      </c>
      <c r="J493" s="42" t="inlineStr">
        <is>
          <t>MET_JAVAN_INMKT_SUV_ZA</t>
        </is>
      </c>
      <c r="K493" s="42" t="inlineStr">
        <is>
          <t>In-Market</t>
        </is>
      </c>
      <c r="L493" s="42" t="inlineStr">
        <is>
          <t>JAVAN_CAR_5card_Interior_v1</t>
        </is>
      </c>
      <c r="M493" s="42" t="inlineStr">
        <is>
          <t>Carousel</t>
        </is>
      </c>
      <c r="N493" s="42" t="inlineStr">
        <is>
          <t>Step inside the JAVAN</t>
        </is>
      </c>
      <c r="O493" s="42" t="inlineStr">
        <is>
          <t>Auction - Lowest Cost</t>
        </is>
      </c>
      <c r="P493" s="42" t="inlineStr">
        <is>
          <t>Offsite Conversions</t>
        </is>
      </c>
      <c r="Q493" s="42" t="inlineStr">
        <is>
          <t>https://www.lepas-sa.co.za/offers/javan</t>
        </is>
      </c>
      <c r="R493" s="115" t="n">
        <v>112.75</v>
      </c>
      <c r="S493" s="116" t="n">
        <v>1263</v>
      </c>
      <c r="T493" s="116" t="n">
        <v>827</v>
      </c>
      <c r="U493" s="117">
        <f>IFERROR(S493/T493,"")</f>
        <v/>
      </c>
      <c r="V493" s="116" t="n">
        <v>21</v>
      </c>
      <c r="W493" s="116" t="n">
        <v>16</v>
      </c>
      <c r="X493" s="118">
        <f>IFERROR(W493/S493,"")</f>
        <v/>
      </c>
      <c r="Y493" s="115">
        <f>IFERROR(R493/W493,"")</f>
        <v/>
      </c>
      <c r="Z493" s="115">
        <f>IFERROR(R493/S493*1000,"")</f>
        <v/>
      </c>
      <c r="AA493" s="116" t="n">
        <v>15</v>
      </c>
      <c r="AB493" s="47">
        <f>IFERROR(AA493/W493,"")</f>
        <v/>
      </c>
      <c r="AC493" s="116" t="n">
        <v>0</v>
      </c>
      <c r="AD493" s="116" t="n">
        <v>0</v>
      </c>
      <c r="AE493" s="116" t="n">
        <v>0</v>
      </c>
      <c r="AF493" s="116" t="n">
        <v>0</v>
      </c>
      <c r="AG493" s="116" t="n">
        <v>0</v>
      </c>
      <c r="AH493" s="116" t="n">
        <v>0</v>
      </c>
      <c r="AI493" s="47">
        <f>IFERROR(AC493/S493,"")</f>
        <v/>
      </c>
      <c r="AJ493" s="47">
        <f>IFERROR(AH493/S493,"")</f>
        <v/>
      </c>
      <c r="AK493" s="116" t="n">
        <v>17</v>
      </c>
      <c r="AL493" s="116" t="n">
        <v>0</v>
      </c>
      <c r="AM493" s="118">
        <f>IFERROR(AL493/AA493,"")</f>
        <v/>
      </c>
      <c r="AN493" s="119">
        <f>IFERROR(R493/AL493,"")</f>
        <v/>
      </c>
      <c r="AO493" s="116" t="n">
        <v>0</v>
      </c>
      <c r="AP493" s="47">
        <f>IFERROR(AO493/AL493,"")</f>
        <v/>
      </c>
      <c r="AQ493" s="119">
        <f>IFERROR(R493/AO493,"")</f>
        <v/>
      </c>
      <c r="AR493" s="116" t="n">
        <v>0</v>
      </c>
      <c r="AS493" s="116" t="n">
        <v>0</v>
      </c>
      <c r="AT493" s="116">
        <f>AL493+AR493</f>
        <v/>
      </c>
      <c r="AU493" s="119">
        <f>IFERROR(AO493*Assumptions!$C$26*Assumptions!$C$27*INDEX(Assumptions!$C$18:$C$21,MATCH(H493,Assumptions!$B$18:$B$21,0)),0)</f>
        <v/>
      </c>
    </row>
    <row r="494">
      <c r="A494" s="114" t="n">
        <v>46260</v>
      </c>
      <c r="B494" s="42" t="inlineStr">
        <is>
          <t>Wk 35</t>
        </is>
      </c>
      <c r="C494" s="42" t="inlineStr">
        <is>
          <t>Wed</t>
        </is>
      </c>
      <c r="D494" s="42" t="inlineStr">
        <is>
          <t>Meta (FB/IG)</t>
        </is>
      </c>
      <c r="E494" s="42" t="inlineStr">
        <is>
          <t>Facebook + Instagram</t>
        </is>
      </c>
      <c r="F494" s="42" t="inlineStr">
        <is>
          <t>LEP_ZA_AUG26_META_TD_JAVAN_CONV</t>
        </is>
      </c>
      <c r="G494" s="42" t="inlineStr">
        <is>
          <t>Leads - Website Conversions</t>
        </is>
      </c>
      <c r="H494" s="42" t="inlineStr">
        <is>
          <t>JAVAN</t>
        </is>
      </c>
      <c r="I494" s="42" t="inlineStr">
        <is>
          <t>10% Deposit</t>
        </is>
      </c>
      <c r="J494" s="42" t="inlineStr">
        <is>
          <t>MET_JAVAN_INMKT_SUV_ZA</t>
        </is>
      </c>
      <c r="K494" s="42" t="inlineStr">
        <is>
          <t>In-Market</t>
        </is>
      </c>
      <c r="L494" s="42" t="inlineStr">
        <is>
          <t>JAVAN_CAR_5card_Interior_v1</t>
        </is>
      </c>
      <c r="M494" s="42" t="inlineStr">
        <is>
          <t>Carousel</t>
        </is>
      </c>
      <c r="N494" s="42" t="inlineStr">
        <is>
          <t>Step inside the JAVAN</t>
        </is>
      </c>
      <c r="O494" s="42" t="inlineStr">
        <is>
          <t>Auction - Lowest Cost</t>
        </is>
      </c>
      <c r="P494" s="42" t="inlineStr">
        <is>
          <t>Offsite Conversions</t>
        </is>
      </c>
      <c r="Q494" s="42" t="inlineStr">
        <is>
          <t>https://www.lepas-sa.co.za/offers/javan</t>
        </is>
      </c>
      <c r="R494" s="115" t="n">
        <v>100.07</v>
      </c>
      <c r="S494" s="116" t="n">
        <v>1359</v>
      </c>
      <c r="T494" s="116" t="n">
        <v>732</v>
      </c>
      <c r="U494" s="117">
        <f>IFERROR(S494/T494,"")</f>
        <v/>
      </c>
      <c r="V494" s="116" t="n">
        <v>27</v>
      </c>
      <c r="W494" s="116" t="n">
        <v>21</v>
      </c>
      <c r="X494" s="118">
        <f>IFERROR(W494/S494,"")</f>
        <v/>
      </c>
      <c r="Y494" s="115">
        <f>IFERROR(R494/W494,"")</f>
        <v/>
      </c>
      <c r="Z494" s="115">
        <f>IFERROR(R494/S494*1000,"")</f>
        <v/>
      </c>
      <c r="AA494" s="116" t="n">
        <v>18</v>
      </c>
      <c r="AB494" s="47">
        <f>IFERROR(AA494/W494,"")</f>
        <v/>
      </c>
      <c r="AC494" s="116" t="n">
        <v>0</v>
      </c>
      <c r="AD494" s="116" t="n">
        <v>0</v>
      </c>
      <c r="AE494" s="116" t="n">
        <v>0</v>
      </c>
      <c r="AF494" s="116" t="n">
        <v>0</v>
      </c>
      <c r="AG494" s="116" t="n">
        <v>0</v>
      </c>
      <c r="AH494" s="116" t="n">
        <v>0</v>
      </c>
      <c r="AI494" s="47">
        <f>IFERROR(AC494/S494,"")</f>
        <v/>
      </c>
      <c r="AJ494" s="47">
        <f>IFERROR(AH494/S494,"")</f>
        <v/>
      </c>
      <c r="AK494" s="116" t="n">
        <v>38</v>
      </c>
      <c r="AL494" s="116" t="n">
        <v>1</v>
      </c>
      <c r="AM494" s="118">
        <f>IFERROR(AL494/AA494,"")</f>
        <v/>
      </c>
      <c r="AN494" s="119">
        <f>IFERROR(R494/AL494,"")</f>
        <v/>
      </c>
      <c r="AO494" s="116" t="n">
        <v>1</v>
      </c>
      <c r="AP494" s="47">
        <f>IFERROR(AO494/AL494,"")</f>
        <v/>
      </c>
      <c r="AQ494" s="119">
        <f>IFERROR(R494/AO494,"")</f>
        <v/>
      </c>
      <c r="AR494" s="116" t="n">
        <v>0</v>
      </c>
      <c r="AS494" s="116" t="n">
        <v>1</v>
      </c>
      <c r="AT494" s="116">
        <f>AL494+AR494</f>
        <v/>
      </c>
      <c r="AU494" s="119">
        <f>IFERROR(AO494*Assumptions!$C$26*Assumptions!$C$27*INDEX(Assumptions!$C$18:$C$21,MATCH(H494,Assumptions!$B$18:$B$21,0)),0)</f>
        <v/>
      </c>
    </row>
    <row r="495">
      <c r="A495" s="114" t="n">
        <v>46261</v>
      </c>
      <c r="B495" s="42" t="inlineStr">
        <is>
          <t>Wk 35</t>
        </is>
      </c>
      <c r="C495" s="42" t="inlineStr">
        <is>
          <t>Thu</t>
        </is>
      </c>
      <c r="D495" s="42" t="inlineStr">
        <is>
          <t>Meta (FB/IG)</t>
        </is>
      </c>
      <c r="E495" s="42" t="inlineStr">
        <is>
          <t>Facebook + Instagram</t>
        </is>
      </c>
      <c r="F495" s="42" t="inlineStr">
        <is>
          <t>LEP_ZA_AUG26_META_TD_JAVAN_CONV</t>
        </is>
      </c>
      <c r="G495" s="42" t="inlineStr">
        <is>
          <t>Leads - Website Conversions</t>
        </is>
      </c>
      <c r="H495" s="42" t="inlineStr">
        <is>
          <t>JAVAN</t>
        </is>
      </c>
      <c r="I495" s="42" t="inlineStr">
        <is>
          <t>10% Deposit</t>
        </is>
      </c>
      <c r="J495" s="42" t="inlineStr">
        <is>
          <t>MET_JAVAN_INMKT_SUV_ZA</t>
        </is>
      </c>
      <c r="K495" s="42" t="inlineStr">
        <is>
          <t>In-Market</t>
        </is>
      </c>
      <c r="L495" s="42" t="inlineStr">
        <is>
          <t>JAVAN_CAR_5card_Interior_v1</t>
        </is>
      </c>
      <c r="M495" s="42" t="inlineStr">
        <is>
          <t>Carousel</t>
        </is>
      </c>
      <c r="N495" s="42" t="inlineStr">
        <is>
          <t>Step inside the JAVAN</t>
        </is>
      </c>
      <c r="O495" s="42" t="inlineStr">
        <is>
          <t>Auction - Lowest Cost</t>
        </is>
      </c>
      <c r="P495" s="42" t="inlineStr">
        <is>
          <t>Offsite Conversions</t>
        </is>
      </c>
      <c r="Q495" s="42" t="inlineStr">
        <is>
          <t>https://www.lepas-sa.co.za/offers/javan</t>
        </is>
      </c>
      <c r="R495" s="115" t="n">
        <v>157.84</v>
      </c>
      <c r="S495" s="116" t="n">
        <v>1613</v>
      </c>
      <c r="T495" s="116" t="n">
        <v>1082</v>
      </c>
      <c r="U495" s="117">
        <f>IFERROR(S495/T495,"")</f>
        <v/>
      </c>
      <c r="V495" s="116" t="n">
        <v>19</v>
      </c>
      <c r="W495" s="116" t="n">
        <v>14</v>
      </c>
      <c r="X495" s="118">
        <f>IFERROR(W495/S495,"")</f>
        <v/>
      </c>
      <c r="Y495" s="115">
        <f>IFERROR(R495/W495,"")</f>
        <v/>
      </c>
      <c r="Z495" s="115">
        <f>IFERROR(R495/S495*1000,"")</f>
        <v/>
      </c>
      <c r="AA495" s="116" t="n">
        <v>12</v>
      </c>
      <c r="AB495" s="47">
        <f>IFERROR(AA495/W495,"")</f>
        <v/>
      </c>
      <c r="AC495" s="116" t="n">
        <v>0</v>
      </c>
      <c r="AD495" s="116" t="n">
        <v>0</v>
      </c>
      <c r="AE495" s="116" t="n">
        <v>0</v>
      </c>
      <c r="AF495" s="116" t="n">
        <v>0</v>
      </c>
      <c r="AG495" s="116" t="n">
        <v>0</v>
      </c>
      <c r="AH495" s="116" t="n">
        <v>0</v>
      </c>
      <c r="AI495" s="47">
        <f>IFERROR(AC495/S495,"")</f>
        <v/>
      </c>
      <c r="AJ495" s="47">
        <f>IFERROR(AH495/S495,"")</f>
        <v/>
      </c>
      <c r="AK495" s="116" t="n">
        <v>56</v>
      </c>
      <c r="AL495" s="116" t="n">
        <v>1</v>
      </c>
      <c r="AM495" s="118">
        <f>IFERROR(AL495/AA495,"")</f>
        <v/>
      </c>
      <c r="AN495" s="119">
        <f>IFERROR(R495/AL495,"")</f>
        <v/>
      </c>
      <c r="AO495" s="116" t="n">
        <v>0</v>
      </c>
      <c r="AP495" s="47">
        <f>IFERROR(AO495/AL495,"")</f>
        <v/>
      </c>
      <c r="AQ495" s="119">
        <f>IFERROR(R495/AO495,"")</f>
        <v/>
      </c>
      <c r="AR495" s="116" t="n">
        <v>0</v>
      </c>
      <c r="AS495" s="116" t="n">
        <v>0</v>
      </c>
      <c r="AT495" s="116">
        <f>AL495+AR495</f>
        <v/>
      </c>
      <c r="AU495" s="119">
        <f>IFERROR(AO495*Assumptions!$C$26*Assumptions!$C$27*INDEX(Assumptions!$C$18:$C$21,MATCH(H495,Assumptions!$B$18:$B$21,0)),0)</f>
        <v/>
      </c>
    </row>
    <row r="496">
      <c r="A496" s="114" t="n">
        <v>46262</v>
      </c>
      <c r="B496" s="42" t="inlineStr">
        <is>
          <t>Wk 35</t>
        </is>
      </c>
      <c r="C496" s="42" t="inlineStr">
        <is>
          <t>Fri</t>
        </is>
      </c>
      <c r="D496" s="42" t="inlineStr">
        <is>
          <t>Meta (FB/IG)</t>
        </is>
      </c>
      <c r="E496" s="42" t="inlineStr">
        <is>
          <t>Facebook + Instagram</t>
        </is>
      </c>
      <c r="F496" s="42" t="inlineStr">
        <is>
          <t>LEP_ZA_AUG26_META_TD_JAVAN_CONV</t>
        </is>
      </c>
      <c r="G496" s="42" t="inlineStr">
        <is>
          <t>Leads - Website Conversions</t>
        </is>
      </c>
      <c r="H496" s="42" t="inlineStr">
        <is>
          <t>JAVAN</t>
        </is>
      </c>
      <c r="I496" s="42" t="inlineStr">
        <is>
          <t>10% Deposit</t>
        </is>
      </c>
      <c r="J496" s="42" t="inlineStr">
        <is>
          <t>MET_JAVAN_INMKT_SUV_ZA</t>
        </is>
      </c>
      <c r="K496" s="42" t="inlineStr">
        <is>
          <t>In-Market</t>
        </is>
      </c>
      <c r="L496" s="42" t="inlineStr">
        <is>
          <t>JAVAN_CAR_5card_Interior_v1</t>
        </is>
      </c>
      <c r="M496" s="42" t="inlineStr">
        <is>
          <t>Carousel</t>
        </is>
      </c>
      <c r="N496" s="42" t="inlineStr">
        <is>
          <t>Step inside the JAVAN</t>
        </is>
      </c>
      <c r="O496" s="42" t="inlineStr">
        <is>
          <t>Auction - Lowest Cost</t>
        </is>
      </c>
      <c r="P496" s="42" t="inlineStr">
        <is>
          <t>Offsite Conversions</t>
        </is>
      </c>
      <c r="Q496" s="42" t="inlineStr">
        <is>
          <t>https://www.lepas-sa.co.za/offers/javan</t>
        </is>
      </c>
      <c r="R496" s="115" t="n">
        <v>156.52</v>
      </c>
      <c r="S496" s="116" t="n">
        <v>2080</v>
      </c>
      <c r="T496" s="116" t="n">
        <v>1336</v>
      </c>
      <c r="U496" s="117">
        <f>IFERROR(S496/T496,"")</f>
        <v/>
      </c>
      <c r="V496" s="116" t="n">
        <v>28</v>
      </c>
      <c r="W496" s="116" t="n">
        <v>23</v>
      </c>
      <c r="X496" s="118">
        <f>IFERROR(W496/S496,"")</f>
        <v/>
      </c>
      <c r="Y496" s="115">
        <f>IFERROR(R496/W496,"")</f>
        <v/>
      </c>
      <c r="Z496" s="115">
        <f>IFERROR(R496/S496*1000,"")</f>
        <v/>
      </c>
      <c r="AA496" s="116" t="n">
        <v>20</v>
      </c>
      <c r="AB496" s="47">
        <f>IFERROR(AA496/W496,"")</f>
        <v/>
      </c>
      <c r="AC496" s="116" t="n">
        <v>0</v>
      </c>
      <c r="AD496" s="116" t="n">
        <v>0</v>
      </c>
      <c r="AE496" s="116" t="n">
        <v>0</v>
      </c>
      <c r="AF496" s="116" t="n">
        <v>0</v>
      </c>
      <c r="AG496" s="116" t="n">
        <v>0</v>
      </c>
      <c r="AH496" s="116" t="n">
        <v>0</v>
      </c>
      <c r="AI496" s="47">
        <f>IFERROR(AC496/S496,"")</f>
        <v/>
      </c>
      <c r="AJ496" s="47">
        <f>IFERROR(AH496/S496,"")</f>
        <v/>
      </c>
      <c r="AK496" s="116" t="n">
        <v>44</v>
      </c>
      <c r="AL496" s="116" t="n">
        <v>1</v>
      </c>
      <c r="AM496" s="118">
        <f>IFERROR(AL496/AA496,"")</f>
        <v/>
      </c>
      <c r="AN496" s="119">
        <f>IFERROR(R496/AL496,"")</f>
        <v/>
      </c>
      <c r="AO496" s="116" t="n">
        <v>1</v>
      </c>
      <c r="AP496" s="47">
        <f>IFERROR(AO496/AL496,"")</f>
        <v/>
      </c>
      <c r="AQ496" s="119">
        <f>IFERROR(R496/AO496,"")</f>
        <v/>
      </c>
      <c r="AR496" s="116" t="n">
        <v>0</v>
      </c>
      <c r="AS496" s="116" t="n">
        <v>0</v>
      </c>
      <c r="AT496" s="116">
        <f>AL496+AR496</f>
        <v/>
      </c>
      <c r="AU496" s="119">
        <f>IFERROR(AO496*Assumptions!$C$26*Assumptions!$C$27*INDEX(Assumptions!$C$18:$C$21,MATCH(H496,Assumptions!$B$18:$B$21,0)),0)</f>
        <v/>
      </c>
    </row>
    <row r="497">
      <c r="A497" s="114" t="n">
        <v>46263</v>
      </c>
      <c r="B497" s="42" t="inlineStr">
        <is>
          <t>Wk 35</t>
        </is>
      </c>
      <c r="C497" s="42" t="inlineStr">
        <is>
          <t>Sat</t>
        </is>
      </c>
      <c r="D497" s="42" t="inlineStr">
        <is>
          <t>Meta (FB/IG)</t>
        </is>
      </c>
      <c r="E497" s="42" t="inlineStr">
        <is>
          <t>Facebook + Instagram</t>
        </is>
      </c>
      <c r="F497" s="42" t="inlineStr">
        <is>
          <t>LEP_ZA_AUG26_META_TD_JAVAN_CONV</t>
        </is>
      </c>
      <c r="G497" s="42" t="inlineStr">
        <is>
          <t>Leads - Website Conversions</t>
        </is>
      </c>
      <c r="H497" s="42" t="inlineStr">
        <is>
          <t>JAVAN</t>
        </is>
      </c>
      <c r="I497" s="42" t="inlineStr">
        <is>
          <t>10% Deposit</t>
        </is>
      </c>
      <c r="J497" s="42" t="inlineStr">
        <is>
          <t>MET_JAVAN_INMKT_SUV_ZA</t>
        </is>
      </c>
      <c r="K497" s="42" t="inlineStr">
        <is>
          <t>In-Market</t>
        </is>
      </c>
      <c r="L497" s="42" t="inlineStr">
        <is>
          <t>JAVAN_CAR_5card_Interior_v1</t>
        </is>
      </c>
      <c r="M497" s="42" t="inlineStr">
        <is>
          <t>Carousel</t>
        </is>
      </c>
      <c r="N497" s="42" t="inlineStr">
        <is>
          <t>Step inside the JAVAN</t>
        </is>
      </c>
      <c r="O497" s="42" t="inlineStr">
        <is>
          <t>Auction - Lowest Cost</t>
        </is>
      </c>
      <c r="P497" s="42" t="inlineStr">
        <is>
          <t>Offsite Conversions</t>
        </is>
      </c>
      <c r="Q497" s="42" t="inlineStr">
        <is>
          <t>https://www.lepas-sa.co.za/offers/javan</t>
        </is>
      </c>
      <c r="R497" s="115" t="n">
        <v>133.08</v>
      </c>
      <c r="S497" s="116" t="n">
        <v>1360</v>
      </c>
      <c r="T497" s="116" t="n">
        <v>887</v>
      </c>
      <c r="U497" s="117">
        <f>IFERROR(S497/T497,"")</f>
        <v/>
      </c>
      <c r="V497" s="116" t="n">
        <v>16</v>
      </c>
      <c r="W497" s="116" t="n">
        <v>12</v>
      </c>
      <c r="X497" s="118">
        <f>IFERROR(W497/S497,"")</f>
        <v/>
      </c>
      <c r="Y497" s="115">
        <f>IFERROR(R497/W497,"")</f>
        <v/>
      </c>
      <c r="Z497" s="115">
        <f>IFERROR(R497/S497*1000,"")</f>
        <v/>
      </c>
      <c r="AA497" s="116" t="n">
        <v>10</v>
      </c>
      <c r="AB497" s="47">
        <f>IFERROR(AA497/W497,"")</f>
        <v/>
      </c>
      <c r="AC497" s="116" t="n">
        <v>0</v>
      </c>
      <c r="AD497" s="116" t="n">
        <v>0</v>
      </c>
      <c r="AE497" s="116" t="n">
        <v>0</v>
      </c>
      <c r="AF497" s="116" t="n">
        <v>0</v>
      </c>
      <c r="AG497" s="116" t="n">
        <v>0</v>
      </c>
      <c r="AH497" s="116" t="n">
        <v>0</v>
      </c>
      <c r="AI497" s="47">
        <f>IFERROR(AC497/S497,"")</f>
        <v/>
      </c>
      <c r="AJ497" s="47">
        <f>IFERROR(AH497/S497,"")</f>
        <v/>
      </c>
      <c r="AK497" s="116" t="n">
        <v>23</v>
      </c>
      <c r="AL497" s="116" t="n">
        <v>0</v>
      </c>
      <c r="AM497" s="118">
        <f>IFERROR(AL497/AA497,"")</f>
        <v/>
      </c>
      <c r="AN497" s="119">
        <f>IFERROR(R497/AL497,"")</f>
        <v/>
      </c>
      <c r="AO497" s="116" t="n">
        <v>0</v>
      </c>
      <c r="AP497" s="47">
        <f>IFERROR(AO497/AL497,"")</f>
        <v/>
      </c>
      <c r="AQ497" s="119">
        <f>IFERROR(R497/AO497,"")</f>
        <v/>
      </c>
      <c r="AR497" s="116" t="n">
        <v>0</v>
      </c>
      <c r="AS497" s="116" t="n">
        <v>0</v>
      </c>
      <c r="AT497" s="116">
        <f>AL497+AR497</f>
        <v/>
      </c>
      <c r="AU497" s="119">
        <f>IFERROR(AO497*Assumptions!$C$26*Assumptions!$C$27*INDEX(Assumptions!$C$18:$C$21,MATCH(H497,Assumptions!$B$18:$B$21,0)),0)</f>
        <v/>
      </c>
    </row>
    <row r="498">
      <c r="A498" s="114" t="n">
        <v>46264</v>
      </c>
      <c r="B498" s="42" t="inlineStr">
        <is>
          <t>Wk 35</t>
        </is>
      </c>
      <c r="C498" s="42" t="inlineStr">
        <is>
          <t>Sun</t>
        </is>
      </c>
      <c r="D498" s="42" t="inlineStr">
        <is>
          <t>Meta (FB/IG)</t>
        </is>
      </c>
      <c r="E498" s="42" t="inlineStr">
        <is>
          <t>Facebook + Instagram</t>
        </is>
      </c>
      <c r="F498" s="42" t="inlineStr">
        <is>
          <t>LEP_ZA_AUG26_META_TD_JAVAN_CONV</t>
        </is>
      </c>
      <c r="G498" s="42" t="inlineStr">
        <is>
          <t>Leads - Website Conversions</t>
        </is>
      </c>
      <c r="H498" s="42" t="inlineStr">
        <is>
          <t>JAVAN</t>
        </is>
      </c>
      <c r="I498" s="42" t="inlineStr">
        <is>
          <t>10% Deposit</t>
        </is>
      </c>
      <c r="J498" s="42" t="inlineStr">
        <is>
          <t>MET_JAVAN_INMKT_SUV_ZA</t>
        </is>
      </c>
      <c r="K498" s="42" t="inlineStr">
        <is>
          <t>In-Market</t>
        </is>
      </c>
      <c r="L498" s="42" t="inlineStr">
        <is>
          <t>JAVAN_CAR_5card_Interior_v1</t>
        </is>
      </c>
      <c r="M498" s="42" t="inlineStr">
        <is>
          <t>Carousel</t>
        </is>
      </c>
      <c r="N498" s="42" t="inlineStr">
        <is>
          <t>Step inside the JAVAN</t>
        </is>
      </c>
      <c r="O498" s="42" t="inlineStr">
        <is>
          <t>Auction - Lowest Cost</t>
        </is>
      </c>
      <c r="P498" s="42" t="inlineStr">
        <is>
          <t>Offsite Conversions</t>
        </is>
      </c>
      <c r="Q498" s="42" t="inlineStr">
        <is>
          <t>https://www.lepas-sa.co.za/offers/javan</t>
        </is>
      </c>
      <c r="R498" s="115" t="n">
        <v>110.93</v>
      </c>
      <c r="S498" s="116" t="n">
        <v>1393</v>
      </c>
      <c r="T498" s="116" t="n">
        <v>683</v>
      </c>
      <c r="U498" s="117">
        <f>IFERROR(S498/T498,"")</f>
        <v/>
      </c>
      <c r="V498" s="116" t="n">
        <v>13</v>
      </c>
      <c r="W498" s="116" t="n">
        <v>11</v>
      </c>
      <c r="X498" s="118">
        <f>IFERROR(W498/S498,"")</f>
        <v/>
      </c>
      <c r="Y498" s="115">
        <f>IFERROR(R498/W498,"")</f>
        <v/>
      </c>
      <c r="Z498" s="115">
        <f>IFERROR(R498/S498*1000,"")</f>
        <v/>
      </c>
      <c r="AA498" s="116" t="n">
        <v>10</v>
      </c>
      <c r="AB498" s="47">
        <f>IFERROR(AA498/W498,"")</f>
        <v/>
      </c>
      <c r="AC498" s="116" t="n">
        <v>0</v>
      </c>
      <c r="AD498" s="116" t="n">
        <v>0</v>
      </c>
      <c r="AE498" s="116" t="n">
        <v>0</v>
      </c>
      <c r="AF498" s="116" t="n">
        <v>0</v>
      </c>
      <c r="AG498" s="116" t="n">
        <v>0</v>
      </c>
      <c r="AH498" s="116" t="n">
        <v>0</v>
      </c>
      <c r="AI498" s="47">
        <f>IFERROR(AC498/S498,"")</f>
        <v/>
      </c>
      <c r="AJ498" s="47">
        <f>IFERROR(AH498/S498,"")</f>
        <v/>
      </c>
      <c r="AK498" s="116" t="n">
        <v>27</v>
      </c>
      <c r="AL498" s="116" t="n">
        <v>0</v>
      </c>
      <c r="AM498" s="118">
        <f>IFERROR(AL498/AA498,"")</f>
        <v/>
      </c>
      <c r="AN498" s="119">
        <f>IFERROR(R498/AL498,"")</f>
        <v/>
      </c>
      <c r="AO498" s="116" t="n">
        <v>0</v>
      </c>
      <c r="AP498" s="47">
        <f>IFERROR(AO498/AL498,"")</f>
        <v/>
      </c>
      <c r="AQ498" s="119">
        <f>IFERROR(R498/AO498,"")</f>
        <v/>
      </c>
      <c r="AR498" s="116" t="n">
        <v>0</v>
      </c>
      <c r="AS498" s="116" t="n">
        <v>0</v>
      </c>
      <c r="AT498" s="116">
        <f>AL498+AR498</f>
        <v/>
      </c>
      <c r="AU498" s="119">
        <f>IFERROR(AO498*Assumptions!$C$26*Assumptions!$C$27*INDEX(Assumptions!$C$18:$C$21,MATCH(H498,Assumptions!$B$18:$B$21,0)),0)</f>
        <v/>
      </c>
    </row>
    <row r="499">
      <c r="A499" s="114" t="n">
        <v>46265</v>
      </c>
      <c r="B499" s="42" t="inlineStr">
        <is>
          <t>Wk 36</t>
        </is>
      </c>
      <c r="C499" s="42" t="inlineStr">
        <is>
          <t>Mon</t>
        </is>
      </c>
      <c r="D499" s="42" t="inlineStr">
        <is>
          <t>Meta (FB/IG)</t>
        </is>
      </c>
      <c r="E499" s="42" t="inlineStr">
        <is>
          <t>Facebook + Instagram</t>
        </is>
      </c>
      <c r="F499" s="42" t="inlineStr">
        <is>
          <t>LEP_ZA_AUG26_META_TD_JAVAN_CONV</t>
        </is>
      </c>
      <c r="G499" s="42" t="inlineStr">
        <is>
          <t>Leads - Website Conversions</t>
        </is>
      </c>
      <c r="H499" s="42" t="inlineStr">
        <is>
          <t>JAVAN</t>
        </is>
      </c>
      <c r="I499" s="42" t="inlineStr">
        <is>
          <t>10% Deposit</t>
        </is>
      </c>
      <c r="J499" s="42" t="inlineStr">
        <is>
          <t>MET_JAVAN_INMKT_SUV_ZA</t>
        </is>
      </c>
      <c r="K499" s="42" t="inlineStr">
        <is>
          <t>In-Market</t>
        </is>
      </c>
      <c r="L499" s="42" t="inlineStr">
        <is>
          <t>JAVAN_CAR_5card_Interior_v1</t>
        </is>
      </c>
      <c r="M499" s="42" t="inlineStr">
        <is>
          <t>Carousel</t>
        </is>
      </c>
      <c r="N499" s="42" t="inlineStr">
        <is>
          <t>Step inside the JAVAN</t>
        </is>
      </c>
      <c r="O499" s="42" t="inlineStr">
        <is>
          <t>Auction - Lowest Cost</t>
        </is>
      </c>
      <c r="P499" s="42" t="inlineStr">
        <is>
          <t>Offsite Conversions</t>
        </is>
      </c>
      <c r="Q499" s="42" t="inlineStr">
        <is>
          <t>https://www.lepas-sa.co.za/offers/javan</t>
        </is>
      </c>
      <c r="R499" s="115" t="n">
        <v>117.48</v>
      </c>
      <c r="S499" s="116" t="n">
        <v>1719</v>
      </c>
      <c r="T499" s="116" t="n">
        <v>907</v>
      </c>
      <c r="U499" s="117">
        <f>IFERROR(S499/T499,"")</f>
        <v/>
      </c>
      <c r="V499" s="116" t="n">
        <v>25</v>
      </c>
      <c r="W499" s="116" t="n">
        <v>20</v>
      </c>
      <c r="X499" s="118">
        <f>IFERROR(W499/S499,"")</f>
        <v/>
      </c>
      <c r="Y499" s="115">
        <f>IFERROR(R499/W499,"")</f>
        <v/>
      </c>
      <c r="Z499" s="115">
        <f>IFERROR(R499/S499*1000,"")</f>
        <v/>
      </c>
      <c r="AA499" s="116" t="n">
        <v>16</v>
      </c>
      <c r="AB499" s="47">
        <f>IFERROR(AA499/W499,"")</f>
        <v/>
      </c>
      <c r="AC499" s="116" t="n">
        <v>0</v>
      </c>
      <c r="AD499" s="116" t="n">
        <v>0</v>
      </c>
      <c r="AE499" s="116" t="n">
        <v>0</v>
      </c>
      <c r="AF499" s="116" t="n">
        <v>0</v>
      </c>
      <c r="AG499" s="116" t="n">
        <v>0</v>
      </c>
      <c r="AH499" s="116" t="n">
        <v>0</v>
      </c>
      <c r="AI499" s="47">
        <f>IFERROR(AC499/S499,"")</f>
        <v/>
      </c>
      <c r="AJ499" s="47">
        <f>IFERROR(AH499/S499,"")</f>
        <v/>
      </c>
      <c r="AK499" s="116" t="n">
        <v>54</v>
      </c>
      <c r="AL499" s="116" t="n">
        <v>1</v>
      </c>
      <c r="AM499" s="118">
        <f>IFERROR(AL499/AA499,"")</f>
        <v/>
      </c>
      <c r="AN499" s="119">
        <f>IFERROR(R499/AL499,"")</f>
        <v/>
      </c>
      <c r="AO499" s="116" t="n">
        <v>1</v>
      </c>
      <c r="AP499" s="47">
        <f>IFERROR(AO499/AL499,"")</f>
        <v/>
      </c>
      <c r="AQ499" s="119">
        <f>IFERROR(R499/AO499,"")</f>
        <v/>
      </c>
      <c r="AR499" s="116" t="n">
        <v>0</v>
      </c>
      <c r="AS499" s="116" t="n">
        <v>0</v>
      </c>
      <c r="AT499" s="116">
        <f>AL499+AR499</f>
        <v/>
      </c>
      <c r="AU499" s="119">
        <f>IFERROR(AO499*Assumptions!$C$26*Assumptions!$C$27*INDEX(Assumptions!$C$18:$C$21,MATCH(H499,Assumptions!$B$18:$B$21,0)),0)</f>
        <v/>
      </c>
    </row>
    <row r="500">
      <c r="A500" s="114" t="n">
        <v>46235</v>
      </c>
      <c r="B500" s="42" t="inlineStr">
        <is>
          <t>Wk 31</t>
        </is>
      </c>
      <c r="C500" s="42" t="inlineStr">
        <is>
          <t>Sat</t>
        </is>
      </c>
      <c r="D500" s="42" t="inlineStr">
        <is>
          <t>Meta (FB/IG)</t>
        </is>
      </c>
      <c r="E500" s="42" t="inlineStr">
        <is>
          <t>Facebook + Instagram</t>
        </is>
      </c>
      <c r="F500" s="42" t="inlineStr">
        <is>
          <t>LEP_ZA_AUG26_META_TD_PANTERA_CONV</t>
        </is>
      </c>
      <c r="G500" s="42" t="inlineStr">
        <is>
          <t>Leads - Website Conversions</t>
        </is>
      </c>
      <c r="H500" s="42" t="inlineStr">
        <is>
          <t>PANTERA</t>
        </is>
      </c>
      <c r="I500" s="42" t="inlineStr">
        <is>
          <t>0% Deposit</t>
        </is>
      </c>
      <c r="J500" s="42" t="inlineStr">
        <is>
          <t>MET_PANTERA_BROAD_30-60_ZA</t>
        </is>
      </c>
      <c r="K500" s="42" t="inlineStr">
        <is>
          <t>Prospecting</t>
        </is>
      </c>
      <c r="L500" s="42" t="inlineStr">
        <is>
          <t>PANTERA_VID_25s_Flagship_v1</t>
        </is>
      </c>
      <c r="M500" s="42" t="inlineStr">
        <is>
          <t>Video 9:16</t>
        </is>
      </c>
      <c r="N500" s="42" t="inlineStr">
        <is>
          <t>The flagship, without the flagship price</t>
        </is>
      </c>
      <c r="O500" s="42" t="inlineStr">
        <is>
          <t>Auction - Cost Cap</t>
        </is>
      </c>
      <c r="P500" s="42" t="inlineStr">
        <is>
          <t>Offsite Conversions</t>
        </is>
      </c>
      <c r="Q500" s="42" t="inlineStr">
        <is>
          <t>https://www.lepas-sa.co.za/offers/pantera</t>
        </is>
      </c>
      <c r="R500" s="115" t="n">
        <v>238.03</v>
      </c>
      <c r="S500" s="116" t="n">
        <v>3008</v>
      </c>
      <c r="T500" s="116" t="n">
        <v>2408</v>
      </c>
      <c r="U500" s="117">
        <f>IFERROR(S500/T500,"")</f>
        <v/>
      </c>
      <c r="V500" s="116" t="n">
        <v>41</v>
      </c>
      <c r="W500" s="116" t="n">
        <v>29</v>
      </c>
      <c r="X500" s="118">
        <f>IFERROR(W500/S500,"")</f>
        <v/>
      </c>
      <c r="Y500" s="115">
        <f>IFERROR(R500/W500,"")</f>
        <v/>
      </c>
      <c r="Z500" s="115">
        <f>IFERROR(R500/S500*1000,"")</f>
        <v/>
      </c>
      <c r="AA500" s="116" t="n">
        <v>25</v>
      </c>
      <c r="AB500" s="47">
        <f>IFERROR(AA500/W500,"")</f>
        <v/>
      </c>
      <c r="AC500" s="116" t="n">
        <v>1232</v>
      </c>
      <c r="AD500" s="116" t="n">
        <v>680</v>
      </c>
      <c r="AE500" s="116" t="n">
        <v>622</v>
      </c>
      <c r="AF500" s="116" t="n">
        <v>371</v>
      </c>
      <c r="AG500" s="116" t="n">
        <v>275</v>
      </c>
      <c r="AH500" s="116" t="n">
        <v>176</v>
      </c>
      <c r="AI500" s="47">
        <f>IFERROR(AC500/S500,"")</f>
        <v/>
      </c>
      <c r="AJ500" s="47">
        <f>IFERROR(AH500/S500,"")</f>
        <v/>
      </c>
      <c r="AK500" s="116" t="n">
        <v>72</v>
      </c>
      <c r="AL500" s="116" t="n">
        <v>1</v>
      </c>
      <c r="AM500" s="118">
        <f>IFERROR(AL500/AA500,"")</f>
        <v/>
      </c>
      <c r="AN500" s="119">
        <f>IFERROR(R500/AL500,"")</f>
        <v/>
      </c>
      <c r="AO500" s="116" t="n">
        <v>0</v>
      </c>
      <c r="AP500" s="47">
        <f>IFERROR(AO500/AL500,"")</f>
        <v/>
      </c>
      <c r="AQ500" s="119">
        <f>IFERROR(R500/AO500,"")</f>
        <v/>
      </c>
      <c r="AR500" s="116" t="n">
        <v>0</v>
      </c>
      <c r="AS500" s="116" t="n">
        <v>0</v>
      </c>
      <c r="AT500" s="116">
        <f>AL500+AR500</f>
        <v/>
      </c>
      <c r="AU500" s="119">
        <f>IFERROR(AO500*Assumptions!$C$26*Assumptions!$C$27*INDEX(Assumptions!$C$18:$C$21,MATCH(H500,Assumptions!$B$18:$B$21,0)),0)</f>
        <v/>
      </c>
    </row>
    <row r="501">
      <c r="A501" s="114" t="n">
        <v>46236</v>
      </c>
      <c r="B501" s="42" t="inlineStr">
        <is>
          <t>Wk 31</t>
        </is>
      </c>
      <c r="C501" s="42" t="inlineStr">
        <is>
          <t>Sun</t>
        </is>
      </c>
      <c r="D501" s="42" t="inlineStr">
        <is>
          <t>Meta (FB/IG)</t>
        </is>
      </c>
      <c r="E501" s="42" t="inlineStr">
        <is>
          <t>Facebook + Instagram</t>
        </is>
      </c>
      <c r="F501" s="42" t="inlineStr">
        <is>
          <t>LEP_ZA_AUG26_META_TD_PANTERA_CONV</t>
        </is>
      </c>
      <c r="G501" s="42" t="inlineStr">
        <is>
          <t>Leads - Website Conversions</t>
        </is>
      </c>
      <c r="H501" s="42" t="inlineStr">
        <is>
          <t>PANTERA</t>
        </is>
      </c>
      <c r="I501" s="42" t="inlineStr">
        <is>
          <t>0% Deposit</t>
        </is>
      </c>
      <c r="J501" s="42" t="inlineStr">
        <is>
          <t>MET_PANTERA_BROAD_30-60_ZA</t>
        </is>
      </c>
      <c r="K501" s="42" t="inlineStr">
        <is>
          <t>Prospecting</t>
        </is>
      </c>
      <c r="L501" s="42" t="inlineStr">
        <is>
          <t>PANTERA_VID_25s_Flagship_v1</t>
        </is>
      </c>
      <c r="M501" s="42" t="inlineStr">
        <is>
          <t>Video 9:16</t>
        </is>
      </c>
      <c r="N501" s="42" t="inlineStr">
        <is>
          <t>The flagship, without the flagship price</t>
        </is>
      </c>
      <c r="O501" s="42" t="inlineStr">
        <is>
          <t>Auction - Cost Cap</t>
        </is>
      </c>
      <c r="P501" s="42" t="inlineStr">
        <is>
          <t>Offsite Conversions</t>
        </is>
      </c>
      <c r="Q501" s="42" t="inlineStr">
        <is>
          <t>https://www.lepas-sa.co.za/offers/pantera</t>
        </is>
      </c>
      <c r="R501" s="115" t="n">
        <v>210.11</v>
      </c>
      <c r="S501" s="116" t="n">
        <v>3647</v>
      </c>
      <c r="T501" s="116" t="n">
        <v>2987</v>
      </c>
      <c r="U501" s="117">
        <f>IFERROR(S501/T501,"")</f>
        <v/>
      </c>
      <c r="V501" s="116" t="n">
        <v>52</v>
      </c>
      <c r="W501" s="116" t="n">
        <v>40</v>
      </c>
      <c r="X501" s="118">
        <f>IFERROR(W501/S501,"")</f>
        <v/>
      </c>
      <c r="Y501" s="115">
        <f>IFERROR(R501/W501,"")</f>
        <v/>
      </c>
      <c r="Z501" s="115">
        <f>IFERROR(R501/S501*1000,"")</f>
        <v/>
      </c>
      <c r="AA501" s="116" t="n">
        <v>37</v>
      </c>
      <c r="AB501" s="47">
        <f>IFERROR(AA501/W501,"")</f>
        <v/>
      </c>
      <c r="AC501" s="116" t="n">
        <v>1469</v>
      </c>
      <c r="AD501" s="116" t="n">
        <v>650</v>
      </c>
      <c r="AE501" s="116" t="n">
        <v>662</v>
      </c>
      <c r="AF501" s="116" t="n">
        <v>348</v>
      </c>
      <c r="AG501" s="116" t="n">
        <v>225</v>
      </c>
      <c r="AH501" s="116" t="n">
        <v>156</v>
      </c>
      <c r="AI501" s="47">
        <f>IFERROR(AC501/S501,"")</f>
        <v/>
      </c>
      <c r="AJ501" s="47">
        <f>IFERROR(AH501/S501,"")</f>
        <v/>
      </c>
      <c r="AK501" s="116" t="n">
        <v>69</v>
      </c>
      <c r="AL501" s="116" t="n">
        <v>1</v>
      </c>
      <c r="AM501" s="118">
        <f>IFERROR(AL501/AA501,"")</f>
        <v/>
      </c>
      <c r="AN501" s="119">
        <f>IFERROR(R501/AL501,"")</f>
        <v/>
      </c>
      <c r="AO501" s="116" t="n">
        <v>1</v>
      </c>
      <c r="AP501" s="47">
        <f>IFERROR(AO501/AL501,"")</f>
        <v/>
      </c>
      <c r="AQ501" s="119">
        <f>IFERROR(R501/AO501,"")</f>
        <v/>
      </c>
      <c r="AR501" s="116" t="n">
        <v>1</v>
      </c>
      <c r="AS501" s="116" t="n">
        <v>0</v>
      </c>
      <c r="AT501" s="116">
        <f>AL501+AR501</f>
        <v/>
      </c>
      <c r="AU501" s="119">
        <f>IFERROR(AO501*Assumptions!$C$26*Assumptions!$C$27*INDEX(Assumptions!$C$18:$C$21,MATCH(H501,Assumptions!$B$18:$B$21,0)),0)</f>
        <v/>
      </c>
    </row>
    <row r="502">
      <c r="A502" s="114" t="n">
        <v>46237</v>
      </c>
      <c r="B502" s="42" t="inlineStr">
        <is>
          <t>Wk 32</t>
        </is>
      </c>
      <c r="C502" s="42" t="inlineStr">
        <is>
          <t>Mon</t>
        </is>
      </c>
      <c r="D502" s="42" t="inlineStr">
        <is>
          <t>Meta (FB/IG)</t>
        </is>
      </c>
      <c r="E502" s="42" t="inlineStr">
        <is>
          <t>Facebook + Instagram</t>
        </is>
      </c>
      <c r="F502" s="42" t="inlineStr">
        <is>
          <t>LEP_ZA_AUG26_META_TD_PANTERA_CONV</t>
        </is>
      </c>
      <c r="G502" s="42" t="inlineStr">
        <is>
          <t>Leads - Website Conversions</t>
        </is>
      </c>
      <c r="H502" s="42" t="inlineStr">
        <is>
          <t>PANTERA</t>
        </is>
      </c>
      <c r="I502" s="42" t="inlineStr">
        <is>
          <t>0% Deposit</t>
        </is>
      </c>
      <c r="J502" s="42" t="inlineStr">
        <is>
          <t>MET_PANTERA_BROAD_30-60_ZA</t>
        </is>
      </c>
      <c r="K502" s="42" t="inlineStr">
        <is>
          <t>Prospecting</t>
        </is>
      </c>
      <c r="L502" s="42" t="inlineStr">
        <is>
          <t>PANTERA_VID_25s_Flagship_v1</t>
        </is>
      </c>
      <c r="M502" s="42" t="inlineStr">
        <is>
          <t>Video 9:16</t>
        </is>
      </c>
      <c r="N502" s="42" t="inlineStr">
        <is>
          <t>The flagship, without the flagship price</t>
        </is>
      </c>
      <c r="O502" s="42" t="inlineStr">
        <is>
          <t>Auction - Cost Cap</t>
        </is>
      </c>
      <c r="P502" s="42" t="inlineStr">
        <is>
          <t>Offsite Conversions</t>
        </is>
      </c>
      <c r="Q502" s="42" t="inlineStr">
        <is>
          <t>https://www.lepas-sa.co.za/offers/pantera</t>
        </is>
      </c>
      <c r="R502" s="115" t="n">
        <v>238.5</v>
      </c>
      <c r="S502" s="116" t="n">
        <v>3696</v>
      </c>
      <c r="T502" s="116" t="n">
        <v>2562</v>
      </c>
      <c r="U502" s="117">
        <f>IFERROR(S502/T502,"")</f>
        <v/>
      </c>
      <c r="V502" s="116" t="n">
        <v>50</v>
      </c>
      <c r="W502" s="116" t="n">
        <v>37</v>
      </c>
      <c r="X502" s="118">
        <f>IFERROR(W502/S502,"")</f>
        <v/>
      </c>
      <c r="Y502" s="115">
        <f>IFERROR(R502/W502,"")</f>
        <v/>
      </c>
      <c r="Z502" s="115">
        <f>IFERROR(R502/S502*1000,"")</f>
        <v/>
      </c>
      <c r="AA502" s="116" t="n">
        <v>30</v>
      </c>
      <c r="AB502" s="47">
        <f>IFERROR(AA502/W502,"")</f>
        <v/>
      </c>
      <c r="AC502" s="116" t="n">
        <v>1416</v>
      </c>
      <c r="AD502" s="116" t="n">
        <v>873</v>
      </c>
      <c r="AE502" s="116" t="n">
        <v>728</v>
      </c>
      <c r="AF502" s="116" t="n">
        <v>435</v>
      </c>
      <c r="AG502" s="116" t="n">
        <v>348</v>
      </c>
      <c r="AH502" s="116" t="n">
        <v>231</v>
      </c>
      <c r="AI502" s="47">
        <f>IFERROR(AC502/S502,"")</f>
        <v/>
      </c>
      <c r="AJ502" s="47">
        <f>IFERROR(AH502/S502,"")</f>
        <v/>
      </c>
      <c r="AK502" s="116" t="n">
        <v>40</v>
      </c>
      <c r="AL502" s="116" t="n">
        <v>1</v>
      </c>
      <c r="AM502" s="118">
        <f>IFERROR(AL502/AA502,"")</f>
        <v/>
      </c>
      <c r="AN502" s="119">
        <f>IFERROR(R502/AL502,"")</f>
        <v/>
      </c>
      <c r="AO502" s="116" t="n">
        <v>1</v>
      </c>
      <c r="AP502" s="47">
        <f>IFERROR(AO502/AL502,"")</f>
        <v/>
      </c>
      <c r="AQ502" s="119">
        <f>IFERROR(R502/AO502,"")</f>
        <v/>
      </c>
      <c r="AR502" s="116" t="n">
        <v>1</v>
      </c>
      <c r="AS502" s="116" t="n">
        <v>0</v>
      </c>
      <c r="AT502" s="116">
        <f>AL502+AR502</f>
        <v/>
      </c>
      <c r="AU502" s="119">
        <f>IFERROR(AO502*Assumptions!$C$26*Assumptions!$C$27*INDEX(Assumptions!$C$18:$C$21,MATCH(H502,Assumptions!$B$18:$B$21,0)),0)</f>
        <v/>
      </c>
    </row>
    <row r="503">
      <c r="A503" s="114" t="n">
        <v>46238</v>
      </c>
      <c r="B503" s="42" t="inlineStr">
        <is>
          <t>Wk 32</t>
        </is>
      </c>
      <c r="C503" s="42" t="inlineStr">
        <is>
          <t>Tue</t>
        </is>
      </c>
      <c r="D503" s="42" t="inlineStr">
        <is>
          <t>Meta (FB/IG)</t>
        </is>
      </c>
      <c r="E503" s="42" t="inlineStr">
        <is>
          <t>Facebook + Instagram</t>
        </is>
      </c>
      <c r="F503" s="42" t="inlineStr">
        <is>
          <t>LEP_ZA_AUG26_META_TD_PANTERA_CONV</t>
        </is>
      </c>
      <c r="G503" s="42" t="inlineStr">
        <is>
          <t>Leads - Website Conversions</t>
        </is>
      </c>
      <c r="H503" s="42" t="inlineStr">
        <is>
          <t>PANTERA</t>
        </is>
      </c>
      <c r="I503" s="42" t="inlineStr">
        <is>
          <t>0% Deposit</t>
        </is>
      </c>
      <c r="J503" s="42" t="inlineStr">
        <is>
          <t>MET_PANTERA_BROAD_30-60_ZA</t>
        </is>
      </c>
      <c r="K503" s="42" t="inlineStr">
        <is>
          <t>Prospecting</t>
        </is>
      </c>
      <c r="L503" s="42" t="inlineStr">
        <is>
          <t>PANTERA_VID_25s_Flagship_v1</t>
        </is>
      </c>
      <c r="M503" s="42" t="inlineStr">
        <is>
          <t>Video 9:16</t>
        </is>
      </c>
      <c r="N503" s="42" t="inlineStr">
        <is>
          <t>The flagship, without the flagship price</t>
        </is>
      </c>
      <c r="O503" s="42" t="inlineStr">
        <is>
          <t>Auction - Cost Cap</t>
        </is>
      </c>
      <c r="P503" s="42" t="inlineStr">
        <is>
          <t>Offsite Conversions</t>
        </is>
      </c>
      <c r="Q503" s="42" t="inlineStr">
        <is>
          <t>https://www.lepas-sa.co.za/offers/pantera</t>
        </is>
      </c>
      <c r="R503" s="115" t="n">
        <v>232.96</v>
      </c>
      <c r="S503" s="116" t="n">
        <v>4146</v>
      </c>
      <c r="T503" s="116" t="n">
        <v>3626</v>
      </c>
      <c r="U503" s="117">
        <f>IFERROR(S503/T503,"")</f>
        <v/>
      </c>
      <c r="V503" s="116" t="n">
        <v>75</v>
      </c>
      <c r="W503" s="116" t="n">
        <v>64</v>
      </c>
      <c r="X503" s="118">
        <f>IFERROR(W503/S503,"")</f>
        <v/>
      </c>
      <c r="Y503" s="115">
        <f>IFERROR(R503/W503,"")</f>
        <v/>
      </c>
      <c r="Z503" s="115">
        <f>IFERROR(R503/S503*1000,"")</f>
        <v/>
      </c>
      <c r="AA503" s="116" t="n">
        <v>55</v>
      </c>
      <c r="AB503" s="47">
        <f>IFERROR(AA503/W503,"")</f>
        <v/>
      </c>
      <c r="AC503" s="116" t="n">
        <v>1013</v>
      </c>
      <c r="AD503" s="116" t="n">
        <v>637</v>
      </c>
      <c r="AE503" s="116" t="n">
        <v>510</v>
      </c>
      <c r="AF503" s="116" t="n">
        <v>301</v>
      </c>
      <c r="AG503" s="116" t="n">
        <v>231</v>
      </c>
      <c r="AH503" s="116" t="n">
        <v>168</v>
      </c>
      <c r="AI503" s="47">
        <f>IFERROR(AC503/S503,"")</f>
        <v/>
      </c>
      <c r="AJ503" s="47">
        <f>IFERROR(AH503/S503,"")</f>
        <v/>
      </c>
      <c r="AK503" s="116" t="n">
        <v>79</v>
      </c>
      <c r="AL503" s="116" t="n">
        <v>1</v>
      </c>
      <c r="AM503" s="118">
        <f>IFERROR(AL503/AA503,"")</f>
        <v/>
      </c>
      <c r="AN503" s="119">
        <f>IFERROR(R503/AL503,"")</f>
        <v/>
      </c>
      <c r="AO503" s="116" t="n">
        <v>0</v>
      </c>
      <c r="AP503" s="47">
        <f>IFERROR(AO503/AL503,"")</f>
        <v/>
      </c>
      <c r="AQ503" s="119">
        <f>IFERROR(R503/AO503,"")</f>
        <v/>
      </c>
      <c r="AR503" s="116" t="n">
        <v>1</v>
      </c>
      <c r="AS503" s="116" t="n">
        <v>1</v>
      </c>
      <c r="AT503" s="116">
        <f>AL503+AR503</f>
        <v/>
      </c>
      <c r="AU503" s="119">
        <f>IFERROR(AO503*Assumptions!$C$26*Assumptions!$C$27*INDEX(Assumptions!$C$18:$C$21,MATCH(H503,Assumptions!$B$18:$B$21,0)),0)</f>
        <v/>
      </c>
    </row>
    <row r="504">
      <c r="A504" s="114" t="n">
        <v>46239</v>
      </c>
      <c r="B504" s="42" t="inlineStr">
        <is>
          <t>Wk 32</t>
        </is>
      </c>
      <c r="C504" s="42" t="inlineStr">
        <is>
          <t>Wed</t>
        </is>
      </c>
      <c r="D504" s="42" t="inlineStr">
        <is>
          <t>Meta (FB/IG)</t>
        </is>
      </c>
      <c r="E504" s="42" t="inlineStr">
        <is>
          <t>Facebook + Instagram</t>
        </is>
      </c>
      <c r="F504" s="42" t="inlineStr">
        <is>
          <t>LEP_ZA_AUG26_META_TD_PANTERA_CONV</t>
        </is>
      </c>
      <c r="G504" s="42" t="inlineStr">
        <is>
          <t>Leads - Website Conversions</t>
        </is>
      </c>
      <c r="H504" s="42" t="inlineStr">
        <is>
          <t>PANTERA</t>
        </is>
      </c>
      <c r="I504" s="42" t="inlineStr">
        <is>
          <t>0% Deposit</t>
        </is>
      </c>
      <c r="J504" s="42" t="inlineStr">
        <is>
          <t>MET_PANTERA_BROAD_30-60_ZA</t>
        </is>
      </c>
      <c r="K504" s="42" t="inlineStr">
        <is>
          <t>Prospecting</t>
        </is>
      </c>
      <c r="L504" s="42" t="inlineStr">
        <is>
          <t>PANTERA_VID_25s_Flagship_v1</t>
        </is>
      </c>
      <c r="M504" s="42" t="inlineStr">
        <is>
          <t>Video 9:16</t>
        </is>
      </c>
      <c r="N504" s="42" t="inlineStr">
        <is>
          <t>The flagship, without the flagship price</t>
        </is>
      </c>
      <c r="O504" s="42" t="inlineStr">
        <is>
          <t>Auction - Cost Cap</t>
        </is>
      </c>
      <c r="P504" s="42" t="inlineStr">
        <is>
          <t>Offsite Conversions</t>
        </is>
      </c>
      <c r="Q504" s="42" t="inlineStr">
        <is>
          <t>https://www.lepas-sa.co.za/offers/pantera</t>
        </is>
      </c>
      <c r="R504" s="115" t="n">
        <v>237.64</v>
      </c>
      <c r="S504" s="116" t="n">
        <v>2675</v>
      </c>
      <c r="T504" s="116" t="n">
        <v>1917</v>
      </c>
      <c r="U504" s="117">
        <f>IFERROR(S504/T504,"")</f>
        <v/>
      </c>
      <c r="V504" s="116" t="n">
        <v>61</v>
      </c>
      <c r="W504" s="116" t="n">
        <v>44</v>
      </c>
      <c r="X504" s="118">
        <f>IFERROR(W504/S504,"")</f>
        <v/>
      </c>
      <c r="Y504" s="115">
        <f>IFERROR(R504/W504,"")</f>
        <v/>
      </c>
      <c r="Z504" s="115">
        <f>IFERROR(R504/S504*1000,"")</f>
        <v/>
      </c>
      <c r="AA504" s="116" t="n">
        <v>39</v>
      </c>
      <c r="AB504" s="47">
        <f>IFERROR(AA504/W504,"")</f>
        <v/>
      </c>
      <c r="AC504" s="116" t="n">
        <v>971</v>
      </c>
      <c r="AD504" s="116" t="n">
        <v>592</v>
      </c>
      <c r="AE504" s="116" t="n">
        <v>478</v>
      </c>
      <c r="AF504" s="116" t="n">
        <v>316</v>
      </c>
      <c r="AG504" s="116" t="n">
        <v>223</v>
      </c>
      <c r="AH504" s="116" t="n">
        <v>164</v>
      </c>
      <c r="AI504" s="47">
        <f>IFERROR(AC504/S504,"")</f>
        <v/>
      </c>
      <c r="AJ504" s="47">
        <f>IFERROR(AH504/S504,"")</f>
        <v/>
      </c>
      <c r="AK504" s="116" t="n">
        <v>49</v>
      </c>
      <c r="AL504" s="116" t="n">
        <v>1</v>
      </c>
      <c r="AM504" s="118">
        <f>IFERROR(AL504/AA504,"")</f>
        <v/>
      </c>
      <c r="AN504" s="119">
        <f>IFERROR(R504/AL504,"")</f>
        <v/>
      </c>
      <c r="AO504" s="116" t="n">
        <v>1</v>
      </c>
      <c r="AP504" s="47">
        <f>IFERROR(AO504/AL504,"")</f>
        <v/>
      </c>
      <c r="AQ504" s="119">
        <f>IFERROR(R504/AO504,"")</f>
        <v/>
      </c>
      <c r="AR504" s="116" t="n">
        <v>0</v>
      </c>
      <c r="AS504" s="116" t="n">
        <v>0</v>
      </c>
      <c r="AT504" s="116">
        <f>AL504+AR504</f>
        <v/>
      </c>
      <c r="AU504" s="119">
        <f>IFERROR(AO504*Assumptions!$C$26*Assumptions!$C$27*INDEX(Assumptions!$C$18:$C$21,MATCH(H504,Assumptions!$B$18:$B$21,0)),0)</f>
        <v/>
      </c>
    </row>
    <row r="505">
      <c r="A505" s="114" t="n">
        <v>46240</v>
      </c>
      <c r="B505" s="42" t="inlineStr">
        <is>
          <t>Wk 32</t>
        </is>
      </c>
      <c r="C505" s="42" t="inlineStr">
        <is>
          <t>Thu</t>
        </is>
      </c>
      <c r="D505" s="42" t="inlineStr">
        <is>
          <t>Meta (FB/IG)</t>
        </is>
      </c>
      <c r="E505" s="42" t="inlineStr">
        <is>
          <t>Facebook + Instagram</t>
        </is>
      </c>
      <c r="F505" s="42" t="inlineStr">
        <is>
          <t>LEP_ZA_AUG26_META_TD_PANTERA_CONV</t>
        </is>
      </c>
      <c r="G505" s="42" t="inlineStr">
        <is>
          <t>Leads - Website Conversions</t>
        </is>
      </c>
      <c r="H505" s="42" t="inlineStr">
        <is>
          <t>PANTERA</t>
        </is>
      </c>
      <c r="I505" s="42" t="inlineStr">
        <is>
          <t>0% Deposit</t>
        </is>
      </c>
      <c r="J505" s="42" t="inlineStr">
        <is>
          <t>MET_PANTERA_BROAD_30-60_ZA</t>
        </is>
      </c>
      <c r="K505" s="42" t="inlineStr">
        <is>
          <t>Prospecting</t>
        </is>
      </c>
      <c r="L505" s="42" t="inlineStr">
        <is>
          <t>PANTERA_VID_25s_Flagship_v1</t>
        </is>
      </c>
      <c r="M505" s="42" t="inlineStr">
        <is>
          <t>Video 9:16</t>
        </is>
      </c>
      <c r="N505" s="42" t="inlineStr">
        <is>
          <t>The flagship, without the flagship price</t>
        </is>
      </c>
      <c r="O505" s="42" t="inlineStr">
        <is>
          <t>Auction - Cost Cap</t>
        </is>
      </c>
      <c r="P505" s="42" t="inlineStr">
        <is>
          <t>Offsite Conversions</t>
        </is>
      </c>
      <c r="Q505" s="42" t="inlineStr">
        <is>
          <t>https://www.lepas-sa.co.za/offers/pantera</t>
        </is>
      </c>
      <c r="R505" s="115" t="n">
        <v>267.98</v>
      </c>
      <c r="S505" s="116" t="n">
        <v>3611</v>
      </c>
      <c r="T505" s="116" t="n">
        <v>2434</v>
      </c>
      <c r="U505" s="117">
        <f>IFERROR(S505/T505,"")</f>
        <v/>
      </c>
      <c r="V505" s="116" t="n">
        <v>62</v>
      </c>
      <c r="W505" s="116" t="n">
        <v>51</v>
      </c>
      <c r="X505" s="118">
        <f>IFERROR(W505/S505,"")</f>
        <v/>
      </c>
      <c r="Y505" s="115">
        <f>IFERROR(R505/W505,"")</f>
        <v/>
      </c>
      <c r="Z505" s="115">
        <f>IFERROR(R505/S505*1000,"")</f>
        <v/>
      </c>
      <c r="AA505" s="116" t="n">
        <v>41</v>
      </c>
      <c r="AB505" s="47">
        <f>IFERROR(AA505/W505,"")</f>
        <v/>
      </c>
      <c r="AC505" s="116" t="n">
        <v>1432</v>
      </c>
      <c r="AD505" s="116" t="n">
        <v>642</v>
      </c>
      <c r="AE505" s="116" t="n">
        <v>646</v>
      </c>
      <c r="AF505" s="116" t="n">
        <v>446</v>
      </c>
      <c r="AG505" s="116" t="n">
        <v>342</v>
      </c>
      <c r="AH505" s="116" t="n">
        <v>214</v>
      </c>
      <c r="AI505" s="47">
        <f>IFERROR(AC505/S505,"")</f>
        <v/>
      </c>
      <c r="AJ505" s="47">
        <f>IFERROR(AH505/S505,"")</f>
        <v/>
      </c>
      <c r="AK505" s="116" t="n">
        <v>113</v>
      </c>
      <c r="AL505" s="116" t="n">
        <v>1</v>
      </c>
      <c r="AM505" s="118">
        <f>IFERROR(AL505/AA505,"")</f>
        <v/>
      </c>
      <c r="AN505" s="119">
        <f>IFERROR(R505/AL505,"")</f>
        <v/>
      </c>
      <c r="AO505" s="116" t="n">
        <v>1</v>
      </c>
      <c r="AP505" s="47">
        <f>IFERROR(AO505/AL505,"")</f>
        <v/>
      </c>
      <c r="AQ505" s="119">
        <f>IFERROR(R505/AO505,"")</f>
        <v/>
      </c>
      <c r="AR505" s="116" t="n">
        <v>0</v>
      </c>
      <c r="AS505" s="116" t="n">
        <v>0</v>
      </c>
      <c r="AT505" s="116">
        <f>AL505+AR505</f>
        <v/>
      </c>
      <c r="AU505" s="119">
        <f>IFERROR(AO505*Assumptions!$C$26*Assumptions!$C$27*INDEX(Assumptions!$C$18:$C$21,MATCH(H505,Assumptions!$B$18:$B$21,0)),0)</f>
        <v/>
      </c>
    </row>
    <row r="506">
      <c r="A506" s="114" t="n">
        <v>46241</v>
      </c>
      <c r="B506" s="42" t="inlineStr">
        <is>
          <t>Wk 32</t>
        </is>
      </c>
      <c r="C506" s="42" t="inlineStr">
        <is>
          <t>Fri</t>
        </is>
      </c>
      <c r="D506" s="42" t="inlineStr">
        <is>
          <t>Meta (FB/IG)</t>
        </is>
      </c>
      <c r="E506" s="42" t="inlineStr">
        <is>
          <t>Facebook + Instagram</t>
        </is>
      </c>
      <c r="F506" s="42" t="inlineStr">
        <is>
          <t>LEP_ZA_AUG26_META_TD_PANTERA_CONV</t>
        </is>
      </c>
      <c r="G506" s="42" t="inlineStr">
        <is>
          <t>Leads - Website Conversions</t>
        </is>
      </c>
      <c r="H506" s="42" t="inlineStr">
        <is>
          <t>PANTERA</t>
        </is>
      </c>
      <c r="I506" s="42" t="inlineStr">
        <is>
          <t>0% Deposit</t>
        </is>
      </c>
      <c r="J506" s="42" t="inlineStr">
        <is>
          <t>MET_PANTERA_BROAD_30-60_ZA</t>
        </is>
      </c>
      <c r="K506" s="42" t="inlineStr">
        <is>
          <t>Prospecting</t>
        </is>
      </c>
      <c r="L506" s="42" t="inlineStr">
        <is>
          <t>PANTERA_VID_25s_Flagship_v1</t>
        </is>
      </c>
      <c r="M506" s="42" t="inlineStr">
        <is>
          <t>Video 9:16</t>
        </is>
      </c>
      <c r="N506" s="42" t="inlineStr">
        <is>
          <t>The flagship, without the flagship price</t>
        </is>
      </c>
      <c r="O506" s="42" t="inlineStr">
        <is>
          <t>Auction - Cost Cap</t>
        </is>
      </c>
      <c r="P506" s="42" t="inlineStr">
        <is>
          <t>Offsite Conversions</t>
        </is>
      </c>
      <c r="Q506" s="42" t="inlineStr">
        <is>
          <t>https://www.lepas-sa.co.za/offers/pantera</t>
        </is>
      </c>
      <c r="R506" s="115" t="n">
        <v>311.48</v>
      </c>
      <c r="S506" s="116" t="n">
        <v>5152</v>
      </c>
      <c r="T506" s="116" t="n">
        <v>3252</v>
      </c>
      <c r="U506" s="117">
        <f>IFERROR(S506/T506,"")</f>
        <v/>
      </c>
      <c r="V506" s="116" t="n">
        <v>134</v>
      </c>
      <c r="W506" s="116" t="n">
        <v>101</v>
      </c>
      <c r="X506" s="118">
        <f>IFERROR(W506/S506,"")</f>
        <v/>
      </c>
      <c r="Y506" s="115">
        <f>IFERROR(R506/W506,"")</f>
        <v/>
      </c>
      <c r="Z506" s="115">
        <f>IFERROR(R506/S506*1000,"")</f>
        <v/>
      </c>
      <c r="AA506" s="116" t="n">
        <v>90</v>
      </c>
      <c r="AB506" s="47">
        <f>IFERROR(AA506/W506,"")</f>
        <v/>
      </c>
      <c r="AC506" s="116" t="n">
        <v>1580</v>
      </c>
      <c r="AD506" s="116" t="n">
        <v>782</v>
      </c>
      <c r="AE506" s="116" t="n">
        <v>708</v>
      </c>
      <c r="AF506" s="116" t="n">
        <v>471</v>
      </c>
      <c r="AG506" s="116" t="n">
        <v>335</v>
      </c>
      <c r="AH506" s="116" t="n">
        <v>214</v>
      </c>
      <c r="AI506" s="47">
        <f>IFERROR(AC506/S506,"")</f>
        <v/>
      </c>
      <c r="AJ506" s="47">
        <f>IFERROR(AH506/S506,"")</f>
        <v/>
      </c>
      <c r="AK506" s="116" t="n">
        <v>83</v>
      </c>
      <c r="AL506" s="116" t="n">
        <v>1</v>
      </c>
      <c r="AM506" s="118">
        <f>IFERROR(AL506/AA506,"")</f>
        <v/>
      </c>
      <c r="AN506" s="119">
        <f>IFERROR(R506/AL506,"")</f>
        <v/>
      </c>
      <c r="AO506" s="116" t="n">
        <v>1</v>
      </c>
      <c r="AP506" s="47">
        <f>IFERROR(AO506/AL506,"")</f>
        <v/>
      </c>
      <c r="AQ506" s="119">
        <f>IFERROR(R506/AO506,"")</f>
        <v/>
      </c>
      <c r="AR506" s="116" t="n">
        <v>0</v>
      </c>
      <c r="AS506" s="116" t="n">
        <v>0</v>
      </c>
      <c r="AT506" s="116">
        <f>AL506+AR506</f>
        <v/>
      </c>
      <c r="AU506" s="119">
        <f>IFERROR(AO506*Assumptions!$C$26*Assumptions!$C$27*INDEX(Assumptions!$C$18:$C$21,MATCH(H506,Assumptions!$B$18:$B$21,0)),0)</f>
        <v/>
      </c>
    </row>
    <row r="507">
      <c r="A507" s="114" t="n">
        <v>46242</v>
      </c>
      <c r="B507" s="42" t="inlineStr">
        <is>
          <t>Wk 32</t>
        </is>
      </c>
      <c r="C507" s="42" t="inlineStr">
        <is>
          <t>Sat</t>
        </is>
      </c>
      <c r="D507" s="42" t="inlineStr">
        <is>
          <t>Meta (FB/IG)</t>
        </is>
      </c>
      <c r="E507" s="42" t="inlineStr">
        <is>
          <t>Facebook + Instagram</t>
        </is>
      </c>
      <c r="F507" s="42" t="inlineStr">
        <is>
          <t>LEP_ZA_AUG26_META_TD_PANTERA_CONV</t>
        </is>
      </c>
      <c r="G507" s="42" t="inlineStr">
        <is>
          <t>Leads - Website Conversions</t>
        </is>
      </c>
      <c r="H507" s="42" t="inlineStr">
        <is>
          <t>PANTERA</t>
        </is>
      </c>
      <c r="I507" s="42" t="inlineStr">
        <is>
          <t>0% Deposit</t>
        </is>
      </c>
      <c r="J507" s="42" t="inlineStr">
        <is>
          <t>MET_PANTERA_BROAD_30-60_ZA</t>
        </is>
      </c>
      <c r="K507" s="42" t="inlineStr">
        <is>
          <t>Prospecting</t>
        </is>
      </c>
      <c r="L507" s="42" t="inlineStr">
        <is>
          <t>PANTERA_VID_25s_Flagship_v1</t>
        </is>
      </c>
      <c r="M507" s="42" t="inlineStr">
        <is>
          <t>Video 9:16</t>
        </is>
      </c>
      <c r="N507" s="42" t="inlineStr">
        <is>
          <t>The flagship, without the flagship price</t>
        </is>
      </c>
      <c r="O507" s="42" t="inlineStr">
        <is>
          <t>Auction - Cost Cap</t>
        </is>
      </c>
      <c r="P507" s="42" t="inlineStr">
        <is>
          <t>Offsite Conversions</t>
        </is>
      </c>
      <c r="Q507" s="42" t="inlineStr">
        <is>
          <t>https://www.lepas-sa.co.za/offers/pantera</t>
        </is>
      </c>
      <c r="R507" s="115" t="n">
        <v>338.17</v>
      </c>
      <c r="S507" s="116" t="n">
        <v>6594</v>
      </c>
      <c r="T507" s="116" t="n">
        <v>4717</v>
      </c>
      <c r="U507" s="117">
        <f>IFERROR(S507/T507,"")</f>
        <v/>
      </c>
      <c r="V507" s="116" t="n">
        <v>83</v>
      </c>
      <c r="W507" s="116" t="n">
        <v>67</v>
      </c>
      <c r="X507" s="118">
        <f>IFERROR(W507/S507,"")</f>
        <v/>
      </c>
      <c r="Y507" s="115">
        <f>IFERROR(R507/W507,"")</f>
        <v/>
      </c>
      <c r="Z507" s="115">
        <f>IFERROR(R507/S507*1000,"")</f>
        <v/>
      </c>
      <c r="AA507" s="116" t="n">
        <v>58</v>
      </c>
      <c r="AB507" s="47">
        <f>IFERROR(AA507/W507,"")</f>
        <v/>
      </c>
      <c r="AC507" s="116" t="n">
        <v>2099</v>
      </c>
      <c r="AD507" s="116" t="n">
        <v>1232</v>
      </c>
      <c r="AE507" s="116" t="n">
        <v>1057</v>
      </c>
      <c r="AF507" s="116" t="n">
        <v>586</v>
      </c>
      <c r="AG507" s="116" t="n">
        <v>423</v>
      </c>
      <c r="AH507" s="116" t="n">
        <v>244</v>
      </c>
      <c r="AI507" s="47">
        <f>IFERROR(AC507/S507,"")</f>
        <v/>
      </c>
      <c r="AJ507" s="47">
        <f>IFERROR(AH507/S507,"")</f>
        <v/>
      </c>
      <c r="AK507" s="116" t="n">
        <v>68</v>
      </c>
      <c r="AL507" s="116" t="n">
        <v>1</v>
      </c>
      <c r="AM507" s="118">
        <f>IFERROR(AL507/AA507,"")</f>
        <v/>
      </c>
      <c r="AN507" s="119">
        <f>IFERROR(R507/AL507,"")</f>
        <v/>
      </c>
      <c r="AO507" s="116" t="n">
        <v>1</v>
      </c>
      <c r="AP507" s="47">
        <f>IFERROR(AO507/AL507,"")</f>
        <v/>
      </c>
      <c r="AQ507" s="119">
        <f>IFERROR(R507/AO507,"")</f>
        <v/>
      </c>
      <c r="AR507" s="116" t="n">
        <v>0</v>
      </c>
      <c r="AS507" s="116" t="n">
        <v>0</v>
      </c>
      <c r="AT507" s="116">
        <f>AL507+AR507</f>
        <v/>
      </c>
      <c r="AU507" s="119">
        <f>IFERROR(AO507*Assumptions!$C$26*Assumptions!$C$27*INDEX(Assumptions!$C$18:$C$21,MATCH(H507,Assumptions!$B$18:$B$21,0)),0)</f>
        <v/>
      </c>
    </row>
    <row r="508">
      <c r="A508" s="114" t="n">
        <v>46243</v>
      </c>
      <c r="B508" s="42" t="inlineStr">
        <is>
          <t>Wk 32</t>
        </is>
      </c>
      <c r="C508" s="42" t="inlineStr">
        <is>
          <t>Sun</t>
        </is>
      </c>
      <c r="D508" s="42" t="inlineStr">
        <is>
          <t>Meta (FB/IG)</t>
        </is>
      </c>
      <c r="E508" s="42" t="inlineStr">
        <is>
          <t>Facebook + Instagram</t>
        </is>
      </c>
      <c r="F508" s="42" t="inlineStr">
        <is>
          <t>LEP_ZA_AUG26_META_TD_PANTERA_CONV</t>
        </is>
      </c>
      <c r="G508" s="42" t="inlineStr">
        <is>
          <t>Leads - Website Conversions</t>
        </is>
      </c>
      <c r="H508" s="42" t="inlineStr">
        <is>
          <t>PANTERA</t>
        </is>
      </c>
      <c r="I508" s="42" t="inlineStr">
        <is>
          <t>0% Deposit</t>
        </is>
      </c>
      <c r="J508" s="42" t="inlineStr">
        <is>
          <t>MET_PANTERA_BROAD_30-60_ZA</t>
        </is>
      </c>
      <c r="K508" s="42" t="inlineStr">
        <is>
          <t>Prospecting</t>
        </is>
      </c>
      <c r="L508" s="42" t="inlineStr">
        <is>
          <t>PANTERA_VID_25s_Flagship_v1</t>
        </is>
      </c>
      <c r="M508" s="42" t="inlineStr">
        <is>
          <t>Video 9:16</t>
        </is>
      </c>
      <c r="N508" s="42" t="inlineStr">
        <is>
          <t>The flagship, without the flagship price</t>
        </is>
      </c>
      <c r="O508" s="42" t="inlineStr">
        <is>
          <t>Auction - Cost Cap</t>
        </is>
      </c>
      <c r="P508" s="42" t="inlineStr">
        <is>
          <t>Offsite Conversions</t>
        </is>
      </c>
      <c r="Q508" s="42" t="inlineStr">
        <is>
          <t>https://www.lepas-sa.co.za/offers/pantera</t>
        </is>
      </c>
      <c r="R508" s="115" t="n">
        <v>239.61</v>
      </c>
      <c r="S508" s="116" t="n">
        <v>3679</v>
      </c>
      <c r="T508" s="116" t="n">
        <v>2711</v>
      </c>
      <c r="U508" s="117">
        <f>IFERROR(S508/T508,"")</f>
        <v/>
      </c>
      <c r="V508" s="116" t="n">
        <v>64</v>
      </c>
      <c r="W508" s="116" t="n">
        <v>46</v>
      </c>
      <c r="X508" s="118">
        <f>IFERROR(W508/S508,"")</f>
        <v/>
      </c>
      <c r="Y508" s="115">
        <f>IFERROR(R508/W508,"")</f>
        <v/>
      </c>
      <c r="Z508" s="115">
        <f>IFERROR(R508/S508*1000,"")</f>
        <v/>
      </c>
      <c r="AA508" s="116" t="n">
        <v>41</v>
      </c>
      <c r="AB508" s="47">
        <f>IFERROR(AA508/W508,"")</f>
        <v/>
      </c>
      <c r="AC508" s="116" t="n">
        <v>1155</v>
      </c>
      <c r="AD508" s="116" t="n">
        <v>565</v>
      </c>
      <c r="AE508" s="116" t="n">
        <v>601</v>
      </c>
      <c r="AF508" s="116" t="n">
        <v>406</v>
      </c>
      <c r="AG508" s="116" t="n">
        <v>279</v>
      </c>
      <c r="AH508" s="116" t="n">
        <v>161</v>
      </c>
      <c r="AI508" s="47">
        <f>IFERROR(AC508/S508,"")</f>
        <v/>
      </c>
      <c r="AJ508" s="47">
        <f>IFERROR(AH508/S508,"")</f>
        <v/>
      </c>
      <c r="AK508" s="116" t="n">
        <v>49</v>
      </c>
      <c r="AL508" s="116" t="n">
        <v>0</v>
      </c>
      <c r="AM508" s="118">
        <f>IFERROR(AL508/AA508,"")</f>
        <v/>
      </c>
      <c r="AN508" s="119">
        <f>IFERROR(R508/AL508,"")</f>
        <v/>
      </c>
      <c r="AO508" s="116" t="n">
        <v>0</v>
      </c>
      <c r="AP508" s="47">
        <f>IFERROR(AO508/AL508,"")</f>
        <v/>
      </c>
      <c r="AQ508" s="119">
        <f>IFERROR(R508/AO508,"")</f>
        <v/>
      </c>
      <c r="AR508" s="116" t="n">
        <v>0</v>
      </c>
      <c r="AS508" s="116" t="n">
        <v>0</v>
      </c>
      <c r="AT508" s="116">
        <f>AL508+AR508</f>
        <v/>
      </c>
      <c r="AU508" s="119">
        <f>IFERROR(AO508*Assumptions!$C$26*Assumptions!$C$27*INDEX(Assumptions!$C$18:$C$21,MATCH(H508,Assumptions!$B$18:$B$21,0)),0)</f>
        <v/>
      </c>
    </row>
    <row r="509">
      <c r="A509" s="114" t="n">
        <v>46244</v>
      </c>
      <c r="B509" s="42" t="inlineStr">
        <is>
          <t>Wk 33</t>
        </is>
      </c>
      <c r="C509" s="42" t="inlineStr">
        <is>
          <t>Mon</t>
        </is>
      </c>
      <c r="D509" s="42" t="inlineStr">
        <is>
          <t>Meta (FB/IG)</t>
        </is>
      </c>
      <c r="E509" s="42" t="inlineStr">
        <is>
          <t>Facebook + Instagram</t>
        </is>
      </c>
      <c r="F509" s="42" t="inlineStr">
        <is>
          <t>LEP_ZA_AUG26_META_TD_PANTERA_CONV</t>
        </is>
      </c>
      <c r="G509" s="42" t="inlineStr">
        <is>
          <t>Leads - Website Conversions</t>
        </is>
      </c>
      <c r="H509" s="42" t="inlineStr">
        <is>
          <t>PANTERA</t>
        </is>
      </c>
      <c r="I509" s="42" t="inlineStr">
        <is>
          <t>0% Deposit</t>
        </is>
      </c>
      <c r="J509" s="42" t="inlineStr">
        <is>
          <t>MET_PANTERA_BROAD_30-60_ZA</t>
        </is>
      </c>
      <c r="K509" s="42" t="inlineStr">
        <is>
          <t>Prospecting</t>
        </is>
      </c>
      <c r="L509" s="42" t="inlineStr">
        <is>
          <t>PANTERA_VID_25s_Flagship_v1</t>
        </is>
      </c>
      <c r="M509" s="42" t="inlineStr">
        <is>
          <t>Video 9:16</t>
        </is>
      </c>
      <c r="N509" s="42" t="inlineStr">
        <is>
          <t>The flagship, without the flagship price</t>
        </is>
      </c>
      <c r="O509" s="42" t="inlineStr">
        <is>
          <t>Auction - Cost Cap</t>
        </is>
      </c>
      <c r="P509" s="42" t="inlineStr">
        <is>
          <t>Offsite Conversions</t>
        </is>
      </c>
      <c r="Q509" s="42" t="inlineStr">
        <is>
          <t>https://www.lepas-sa.co.za/offers/pantera</t>
        </is>
      </c>
      <c r="R509" s="115" t="n">
        <v>274.95</v>
      </c>
      <c r="S509" s="116" t="n">
        <v>4410</v>
      </c>
      <c r="T509" s="116" t="n">
        <v>3574</v>
      </c>
      <c r="U509" s="117">
        <f>IFERROR(S509/T509,"")</f>
        <v/>
      </c>
      <c r="V509" s="116" t="n">
        <v>70</v>
      </c>
      <c r="W509" s="116" t="n">
        <v>58</v>
      </c>
      <c r="X509" s="118">
        <f>IFERROR(W509/S509,"")</f>
        <v/>
      </c>
      <c r="Y509" s="115">
        <f>IFERROR(R509/W509,"")</f>
        <v/>
      </c>
      <c r="Z509" s="115">
        <f>IFERROR(R509/S509*1000,"")</f>
        <v/>
      </c>
      <c r="AA509" s="116" t="n">
        <v>50</v>
      </c>
      <c r="AB509" s="47">
        <f>IFERROR(AA509/W509,"")</f>
        <v/>
      </c>
      <c r="AC509" s="116" t="n">
        <v>1540</v>
      </c>
      <c r="AD509" s="116" t="n">
        <v>708</v>
      </c>
      <c r="AE509" s="116" t="n">
        <v>617</v>
      </c>
      <c r="AF509" s="116" t="n">
        <v>326</v>
      </c>
      <c r="AG509" s="116" t="n">
        <v>224</v>
      </c>
      <c r="AH509" s="116" t="n">
        <v>162</v>
      </c>
      <c r="AI509" s="47">
        <f>IFERROR(AC509/S509,"")</f>
        <v/>
      </c>
      <c r="AJ509" s="47">
        <f>IFERROR(AH509/S509,"")</f>
        <v/>
      </c>
      <c r="AK509" s="116" t="n">
        <v>54</v>
      </c>
      <c r="AL509" s="116" t="n">
        <v>1</v>
      </c>
      <c r="AM509" s="118">
        <f>IFERROR(AL509/AA509,"")</f>
        <v/>
      </c>
      <c r="AN509" s="119">
        <f>IFERROR(R509/AL509,"")</f>
        <v/>
      </c>
      <c r="AO509" s="116" t="n">
        <v>1</v>
      </c>
      <c r="AP509" s="47">
        <f>IFERROR(AO509/AL509,"")</f>
        <v/>
      </c>
      <c r="AQ509" s="119">
        <f>IFERROR(R509/AO509,"")</f>
        <v/>
      </c>
      <c r="AR509" s="116" t="n">
        <v>0</v>
      </c>
      <c r="AS509" s="116" t="n">
        <v>0</v>
      </c>
      <c r="AT509" s="116">
        <f>AL509+AR509</f>
        <v/>
      </c>
      <c r="AU509" s="119">
        <f>IFERROR(AO509*Assumptions!$C$26*Assumptions!$C$27*INDEX(Assumptions!$C$18:$C$21,MATCH(H509,Assumptions!$B$18:$B$21,0)),0)</f>
        <v/>
      </c>
    </row>
    <row r="510">
      <c r="A510" s="114" t="n">
        <v>46245</v>
      </c>
      <c r="B510" s="42" t="inlineStr">
        <is>
          <t>Wk 33</t>
        </is>
      </c>
      <c r="C510" s="42" t="inlineStr">
        <is>
          <t>Tue</t>
        </is>
      </c>
      <c r="D510" s="42" t="inlineStr">
        <is>
          <t>Meta (FB/IG)</t>
        </is>
      </c>
      <c r="E510" s="42" t="inlineStr">
        <is>
          <t>Facebook + Instagram</t>
        </is>
      </c>
      <c r="F510" s="42" t="inlineStr">
        <is>
          <t>LEP_ZA_AUG26_META_TD_PANTERA_CONV</t>
        </is>
      </c>
      <c r="G510" s="42" t="inlineStr">
        <is>
          <t>Leads - Website Conversions</t>
        </is>
      </c>
      <c r="H510" s="42" t="inlineStr">
        <is>
          <t>PANTERA</t>
        </is>
      </c>
      <c r="I510" s="42" t="inlineStr">
        <is>
          <t>0% Deposit</t>
        </is>
      </c>
      <c r="J510" s="42" t="inlineStr">
        <is>
          <t>MET_PANTERA_BROAD_30-60_ZA</t>
        </is>
      </c>
      <c r="K510" s="42" t="inlineStr">
        <is>
          <t>Prospecting</t>
        </is>
      </c>
      <c r="L510" s="42" t="inlineStr">
        <is>
          <t>PANTERA_VID_25s_Flagship_v1</t>
        </is>
      </c>
      <c r="M510" s="42" t="inlineStr">
        <is>
          <t>Video 9:16</t>
        </is>
      </c>
      <c r="N510" s="42" t="inlineStr">
        <is>
          <t>The flagship, without the flagship price</t>
        </is>
      </c>
      <c r="O510" s="42" t="inlineStr">
        <is>
          <t>Auction - Cost Cap</t>
        </is>
      </c>
      <c r="P510" s="42" t="inlineStr">
        <is>
          <t>Offsite Conversions</t>
        </is>
      </c>
      <c r="Q510" s="42" t="inlineStr">
        <is>
          <t>https://www.lepas-sa.co.za/offers/pantera</t>
        </is>
      </c>
      <c r="R510" s="115" t="n">
        <v>240.93</v>
      </c>
      <c r="S510" s="116" t="n">
        <v>2980</v>
      </c>
      <c r="T510" s="116" t="n">
        <v>2386</v>
      </c>
      <c r="U510" s="117">
        <f>IFERROR(S510/T510,"")</f>
        <v/>
      </c>
      <c r="V510" s="116" t="n">
        <v>29</v>
      </c>
      <c r="W510" s="116" t="n">
        <v>24</v>
      </c>
      <c r="X510" s="118">
        <f>IFERROR(W510/S510,"")</f>
        <v/>
      </c>
      <c r="Y510" s="115">
        <f>IFERROR(R510/W510,"")</f>
        <v/>
      </c>
      <c r="Z510" s="115">
        <f>IFERROR(R510/S510*1000,"")</f>
        <v/>
      </c>
      <c r="AA510" s="116" t="n">
        <v>19</v>
      </c>
      <c r="AB510" s="47">
        <f>IFERROR(AA510/W510,"")</f>
        <v/>
      </c>
      <c r="AC510" s="116" t="n">
        <v>1214</v>
      </c>
      <c r="AD510" s="116" t="n">
        <v>732</v>
      </c>
      <c r="AE510" s="116" t="n">
        <v>538</v>
      </c>
      <c r="AF510" s="116" t="n">
        <v>372</v>
      </c>
      <c r="AG510" s="116" t="n">
        <v>283</v>
      </c>
      <c r="AH510" s="116" t="n">
        <v>194</v>
      </c>
      <c r="AI510" s="47">
        <f>IFERROR(AC510/S510,"")</f>
        <v/>
      </c>
      <c r="AJ510" s="47">
        <f>IFERROR(AH510/S510,"")</f>
        <v/>
      </c>
      <c r="AK510" s="116" t="n">
        <v>61</v>
      </c>
      <c r="AL510" s="116" t="n">
        <v>0</v>
      </c>
      <c r="AM510" s="118">
        <f>IFERROR(AL510/AA510,"")</f>
        <v/>
      </c>
      <c r="AN510" s="119">
        <f>IFERROR(R510/AL510,"")</f>
        <v/>
      </c>
      <c r="AO510" s="116" t="n">
        <v>0</v>
      </c>
      <c r="AP510" s="47">
        <f>IFERROR(AO510/AL510,"")</f>
        <v/>
      </c>
      <c r="AQ510" s="119">
        <f>IFERROR(R510/AO510,"")</f>
        <v/>
      </c>
      <c r="AR510" s="116" t="n">
        <v>0</v>
      </c>
      <c r="AS510" s="116" t="n">
        <v>0</v>
      </c>
      <c r="AT510" s="116">
        <f>AL510+AR510</f>
        <v/>
      </c>
      <c r="AU510" s="119">
        <f>IFERROR(AO510*Assumptions!$C$26*Assumptions!$C$27*INDEX(Assumptions!$C$18:$C$21,MATCH(H510,Assumptions!$B$18:$B$21,0)),0)</f>
        <v/>
      </c>
    </row>
    <row r="511">
      <c r="A511" s="114" t="n">
        <v>46246</v>
      </c>
      <c r="B511" s="42" t="inlineStr">
        <is>
          <t>Wk 33</t>
        </is>
      </c>
      <c r="C511" s="42" t="inlineStr">
        <is>
          <t>Wed</t>
        </is>
      </c>
      <c r="D511" s="42" t="inlineStr">
        <is>
          <t>Meta (FB/IG)</t>
        </is>
      </c>
      <c r="E511" s="42" t="inlineStr">
        <is>
          <t>Facebook + Instagram</t>
        </is>
      </c>
      <c r="F511" s="42" t="inlineStr">
        <is>
          <t>LEP_ZA_AUG26_META_TD_PANTERA_CONV</t>
        </is>
      </c>
      <c r="G511" s="42" t="inlineStr">
        <is>
          <t>Leads - Website Conversions</t>
        </is>
      </c>
      <c r="H511" s="42" t="inlineStr">
        <is>
          <t>PANTERA</t>
        </is>
      </c>
      <c r="I511" s="42" t="inlineStr">
        <is>
          <t>0% Deposit</t>
        </is>
      </c>
      <c r="J511" s="42" t="inlineStr">
        <is>
          <t>MET_PANTERA_BROAD_30-60_ZA</t>
        </is>
      </c>
      <c r="K511" s="42" t="inlineStr">
        <is>
          <t>Prospecting</t>
        </is>
      </c>
      <c r="L511" s="42" t="inlineStr">
        <is>
          <t>PANTERA_VID_25s_Flagship_v1</t>
        </is>
      </c>
      <c r="M511" s="42" t="inlineStr">
        <is>
          <t>Video 9:16</t>
        </is>
      </c>
      <c r="N511" s="42" t="inlineStr">
        <is>
          <t>The flagship, without the flagship price</t>
        </is>
      </c>
      <c r="O511" s="42" t="inlineStr">
        <is>
          <t>Auction - Cost Cap</t>
        </is>
      </c>
      <c r="P511" s="42" t="inlineStr">
        <is>
          <t>Offsite Conversions</t>
        </is>
      </c>
      <c r="Q511" s="42" t="inlineStr">
        <is>
          <t>https://www.lepas-sa.co.za/offers/pantera</t>
        </is>
      </c>
      <c r="R511" s="115" t="n">
        <v>253.65</v>
      </c>
      <c r="S511" s="116" t="n">
        <v>4310</v>
      </c>
      <c r="T511" s="116" t="n">
        <v>3139</v>
      </c>
      <c r="U511" s="117">
        <f>IFERROR(S511/T511,"")</f>
        <v/>
      </c>
      <c r="V511" s="116" t="n">
        <v>59</v>
      </c>
      <c r="W511" s="116" t="n">
        <v>49</v>
      </c>
      <c r="X511" s="118">
        <f>IFERROR(W511/S511,"")</f>
        <v/>
      </c>
      <c r="Y511" s="115">
        <f>IFERROR(R511/W511,"")</f>
        <v/>
      </c>
      <c r="Z511" s="115">
        <f>IFERROR(R511/S511*1000,"")</f>
        <v/>
      </c>
      <c r="AA511" s="116" t="n">
        <v>42</v>
      </c>
      <c r="AB511" s="47">
        <f>IFERROR(AA511/W511,"")</f>
        <v/>
      </c>
      <c r="AC511" s="116" t="n">
        <v>1432</v>
      </c>
      <c r="AD511" s="116" t="n">
        <v>868</v>
      </c>
      <c r="AE511" s="116" t="n">
        <v>666</v>
      </c>
      <c r="AF511" s="116" t="n">
        <v>407</v>
      </c>
      <c r="AG511" s="116" t="n">
        <v>299</v>
      </c>
      <c r="AH511" s="116" t="n">
        <v>173</v>
      </c>
      <c r="AI511" s="47">
        <f>IFERROR(AC511/S511,"")</f>
        <v/>
      </c>
      <c r="AJ511" s="47">
        <f>IFERROR(AH511/S511,"")</f>
        <v/>
      </c>
      <c r="AK511" s="116" t="n">
        <v>93</v>
      </c>
      <c r="AL511" s="116" t="n">
        <v>1</v>
      </c>
      <c r="AM511" s="118">
        <f>IFERROR(AL511/AA511,"")</f>
        <v/>
      </c>
      <c r="AN511" s="119">
        <f>IFERROR(R511/AL511,"")</f>
        <v/>
      </c>
      <c r="AO511" s="116" t="n">
        <v>1</v>
      </c>
      <c r="AP511" s="47">
        <f>IFERROR(AO511/AL511,"")</f>
        <v/>
      </c>
      <c r="AQ511" s="119">
        <f>IFERROR(R511/AO511,"")</f>
        <v/>
      </c>
      <c r="AR511" s="116" t="n">
        <v>0</v>
      </c>
      <c r="AS511" s="116" t="n">
        <v>0</v>
      </c>
      <c r="AT511" s="116">
        <f>AL511+AR511</f>
        <v/>
      </c>
      <c r="AU511" s="119">
        <f>IFERROR(AO511*Assumptions!$C$26*Assumptions!$C$27*INDEX(Assumptions!$C$18:$C$21,MATCH(H511,Assumptions!$B$18:$B$21,0)),0)</f>
        <v/>
      </c>
    </row>
    <row r="512">
      <c r="A512" s="114" t="n">
        <v>46247</v>
      </c>
      <c r="B512" s="42" t="inlineStr">
        <is>
          <t>Wk 33</t>
        </is>
      </c>
      <c r="C512" s="42" t="inlineStr">
        <is>
          <t>Thu</t>
        </is>
      </c>
      <c r="D512" s="42" t="inlineStr">
        <is>
          <t>Meta (FB/IG)</t>
        </is>
      </c>
      <c r="E512" s="42" t="inlineStr">
        <is>
          <t>Facebook + Instagram</t>
        </is>
      </c>
      <c r="F512" s="42" t="inlineStr">
        <is>
          <t>LEP_ZA_AUG26_META_TD_PANTERA_CONV</t>
        </is>
      </c>
      <c r="G512" s="42" t="inlineStr">
        <is>
          <t>Leads - Website Conversions</t>
        </is>
      </c>
      <c r="H512" s="42" t="inlineStr">
        <is>
          <t>PANTERA</t>
        </is>
      </c>
      <c r="I512" s="42" t="inlineStr">
        <is>
          <t>0% Deposit</t>
        </is>
      </c>
      <c r="J512" s="42" t="inlineStr">
        <is>
          <t>MET_PANTERA_BROAD_30-60_ZA</t>
        </is>
      </c>
      <c r="K512" s="42" t="inlineStr">
        <is>
          <t>Prospecting</t>
        </is>
      </c>
      <c r="L512" s="42" t="inlineStr">
        <is>
          <t>PANTERA_VID_25s_Flagship_v1</t>
        </is>
      </c>
      <c r="M512" s="42" t="inlineStr">
        <is>
          <t>Video 9:16</t>
        </is>
      </c>
      <c r="N512" s="42" t="inlineStr">
        <is>
          <t>The flagship, without the flagship price</t>
        </is>
      </c>
      <c r="O512" s="42" t="inlineStr">
        <is>
          <t>Auction - Cost Cap</t>
        </is>
      </c>
      <c r="P512" s="42" t="inlineStr">
        <is>
          <t>Offsite Conversions</t>
        </is>
      </c>
      <c r="Q512" s="42" t="inlineStr">
        <is>
          <t>https://www.lepas-sa.co.za/offers/pantera</t>
        </is>
      </c>
      <c r="R512" s="115" t="n">
        <v>340.71</v>
      </c>
      <c r="S512" s="116" t="n">
        <v>4408</v>
      </c>
      <c r="T512" s="116" t="n">
        <v>3111</v>
      </c>
      <c r="U512" s="117">
        <f>IFERROR(S512/T512,"")</f>
        <v/>
      </c>
      <c r="V512" s="116" t="n">
        <v>60</v>
      </c>
      <c r="W512" s="116" t="n">
        <v>49</v>
      </c>
      <c r="X512" s="118">
        <f>IFERROR(W512/S512,"")</f>
        <v/>
      </c>
      <c r="Y512" s="115">
        <f>IFERROR(R512/W512,"")</f>
        <v/>
      </c>
      <c r="Z512" s="115">
        <f>IFERROR(R512/S512*1000,"")</f>
        <v/>
      </c>
      <c r="AA512" s="116" t="n">
        <v>42</v>
      </c>
      <c r="AB512" s="47">
        <f>IFERROR(AA512/W512,"")</f>
        <v/>
      </c>
      <c r="AC512" s="116" t="n">
        <v>1503</v>
      </c>
      <c r="AD512" s="116" t="n">
        <v>732</v>
      </c>
      <c r="AE512" s="116" t="n">
        <v>706</v>
      </c>
      <c r="AF512" s="116" t="n">
        <v>436</v>
      </c>
      <c r="AG512" s="116" t="n">
        <v>284</v>
      </c>
      <c r="AH512" s="116" t="n">
        <v>183</v>
      </c>
      <c r="AI512" s="47">
        <f>IFERROR(AC512/S512,"")</f>
        <v/>
      </c>
      <c r="AJ512" s="47">
        <f>IFERROR(AH512/S512,"")</f>
        <v/>
      </c>
      <c r="AK512" s="116" t="n">
        <v>81</v>
      </c>
      <c r="AL512" s="116" t="n">
        <v>1</v>
      </c>
      <c r="AM512" s="118">
        <f>IFERROR(AL512/AA512,"")</f>
        <v/>
      </c>
      <c r="AN512" s="119">
        <f>IFERROR(R512/AL512,"")</f>
        <v/>
      </c>
      <c r="AO512" s="116" t="n">
        <v>1</v>
      </c>
      <c r="AP512" s="47">
        <f>IFERROR(AO512/AL512,"")</f>
        <v/>
      </c>
      <c r="AQ512" s="119">
        <f>IFERROR(R512/AO512,"")</f>
        <v/>
      </c>
      <c r="AR512" s="116" t="n">
        <v>0</v>
      </c>
      <c r="AS512" s="116" t="n">
        <v>0</v>
      </c>
      <c r="AT512" s="116">
        <f>AL512+AR512</f>
        <v/>
      </c>
      <c r="AU512" s="119">
        <f>IFERROR(AO512*Assumptions!$C$26*Assumptions!$C$27*INDEX(Assumptions!$C$18:$C$21,MATCH(H512,Assumptions!$B$18:$B$21,0)),0)</f>
        <v/>
      </c>
    </row>
    <row r="513">
      <c r="A513" s="114" t="n">
        <v>46248</v>
      </c>
      <c r="B513" s="42" t="inlineStr">
        <is>
          <t>Wk 33</t>
        </is>
      </c>
      <c r="C513" s="42" t="inlineStr">
        <is>
          <t>Fri</t>
        </is>
      </c>
      <c r="D513" s="42" t="inlineStr">
        <is>
          <t>Meta (FB/IG)</t>
        </is>
      </c>
      <c r="E513" s="42" t="inlineStr">
        <is>
          <t>Facebook + Instagram</t>
        </is>
      </c>
      <c r="F513" s="42" t="inlineStr">
        <is>
          <t>LEP_ZA_AUG26_META_TD_PANTERA_CONV</t>
        </is>
      </c>
      <c r="G513" s="42" t="inlineStr">
        <is>
          <t>Leads - Website Conversions</t>
        </is>
      </c>
      <c r="H513" s="42" t="inlineStr">
        <is>
          <t>PANTERA</t>
        </is>
      </c>
      <c r="I513" s="42" t="inlineStr">
        <is>
          <t>0% Deposit</t>
        </is>
      </c>
      <c r="J513" s="42" t="inlineStr">
        <is>
          <t>MET_PANTERA_BROAD_30-60_ZA</t>
        </is>
      </c>
      <c r="K513" s="42" t="inlineStr">
        <is>
          <t>Prospecting</t>
        </is>
      </c>
      <c r="L513" s="42" t="inlineStr">
        <is>
          <t>PANTERA_VID_25s_Flagship_v1</t>
        </is>
      </c>
      <c r="M513" s="42" t="inlineStr">
        <is>
          <t>Video 9:16</t>
        </is>
      </c>
      <c r="N513" s="42" t="inlineStr">
        <is>
          <t>The flagship, without the flagship price</t>
        </is>
      </c>
      <c r="O513" s="42" t="inlineStr">
        <is>
          <t>Auction - Cost Cap</t>
        </is>
      </c>
      <c r="P513" s="42" t="inlineStr">
        <is>
          <t>Offsite Conversions</t>
        </is>
      </c>
      <c r="Q513" s="42" t="inlineStr">
        <is>
          <t>https://www.lepas-sa.co.za/offers/pantera</t>
        </is>
      </c>
      <c r="R513" s="115" t="n">
        <v>341.76</v>
      </c>
      <c r="S513" s="116" t="n">
        <v>5686</v>
      </c>
      <c r="T513" s="116" t="n">
        <v>3174</v>
      </c>
      <c r="U513" s="117">
        <f>IFERROR(S513/T513,"")</f>
        <v/>
      </c>
      <c r="V513" s="116" t="n">
        <v>41</v>
      </c>
      <c r="W513" s="116" t="n">
        <v>33</v>
      </c>
      <c r="X513" s="118">
        <f>IFERROR(W513/S513,"")</f>
        <v/>
      </c>
      <c r="Y513" s="115">
        <f>IFERROR(R513/W513,"")</f>
        <v/>
      </c>
      <c r="Z513" s="115">
        <f>IFERROR(R513/S513*1000,"")</f>
        <v/>
      </c>
      <c r="AA513" s="116" t="n">
        <v>27</v>
      </c>
      <c r="AB513" s="47">
        <f>IFERROR(AA513/W513,"")</f>
        <v/>
      </c>
      <c r="AC513" s="116" t="n">
        <v>2266</v>
      </c>
      <c r="AD513" s="116" t="n">
        <v>1413</v>
      </c>
      <c r="AE513" s="116" t="n">
        <v>1235</v>
      </c>
      <c r="AF513" s="116" t="n">
        <v>675</v>
      </c>
      <c r="AG513" s="116" t="n">
        <v>454</v>
      </c>
      <c r="AH513" s="116" t="n">
        <v>280</v>
      </c>
      <c r="AI513" s="47">
        <f>IFERROR(AC513/S513,"")</f>
        <v/>
      </c>
      <c r="AJ513" s="47">
        <f>IFERROR(AH513/S513,"")</f>
        <v/>
      </c>
      <c r="AK513" s="116" t="n">
        <v>100</v>
      </c>
      <c r="AL513" s="116" t="n">
        <v>1</v>
      </c>
      <c r="AM513" s="118">
        <f>IFERROR(AL513/AA513,"")</f>
        <v/>
      </c>
      <c r="AN513" s="119">
        <f>IFERROR(R513/AL513,"")</f>
        <v/>
      </c>
      <c r="AO513" s="116" t="n">
        <v>0</v>
      </c>
      <c r="AP513" s="47">
        <f>IFERROR(AO513/AL513,"")</f>
        <v/>
      </c>
      <c r="AQ513" s="119">
        <f>IFERROR(R513/AO513,"")</f>
        <v/>
      </c>
      <c r="AR513" s="116" t="n">
        <v>0</v>
      </c>
      <c r="AS513" s="116" t="n">
        <v>0</v>
      </c>
      <c r="AT513" s="116">
        <f>AL513+AR513</f>
        <v/>
      </c>
      <c r="AU513" s="119">
        <f>IFERROR(AO513*Assumptions!$C$26*Assumptions!$C$27*INDEX(Assumptions!$C$18:$C$21,MATCH(H513,Assumptions!$B$18:$B$21,0)),0)</f>
        <v/>
      </c>
    </row>
    <row r="514">
      <c r="A514" s="114" t="n">
        <v>46249</v>
      </c>
      <c r="B514" s="42" t="inlineStr">
        <is>
          <t>Wk 33</t>
        </is>
      </c>
      <c r="C514" s="42" t="inlineStr">
        <is>
          <t>Sat</t>
        </is>
      </c>
      <c r="D514" s="42" t="inlineStr">
        <is>
          <t>Meta (FB/IG)</t>
        </is>
      </c>
      <c r="E514" s="42" t="inlineStr">
        <is>
          <t>Facebook + Instagram</t>
        </is>
      </c>
      <c r="F514" s="42" t="inlineStr">
        <is>
          <t>LEP_ZA_AUG26_META_TD_PANTERA_CONV</t>
        </is>
      </c>
      <c r="G514" s="42" t="inlineStr">
        <is>
          <t>Leads - Website Conversions</t>
        </is>
      </c>
      <c r="H514" s="42" t="inlineStr">
        <is>
          <t>PANTERA</t>
        </is>
      </c>
      <c r="I514" s="42" t="inlineStr">
        <is>
          <t>0% Deposit</t>
        </is>
      </c>
      <c r="J514" s="42" t="inlineStr">
        <is>
          <t>MET_PANTERA_BROAD_30-60_ZA</t>
        </is>
      </c>
      <c r="K514" s="42" t="inlineStr">
        <is>
          <t>Prospecting</t>
        </is>
      </c>
      <c r="L514" s="42" t="inlineStr">
        <is>
          <t>PANTERA_VID_25s_Flagship_v1</t>
        </is>
      </c>
      <c r="M514" s="42" t="inlineStr">
        <is>
          <t>Video 9:16</t>
        </is>
      </c>
      <c r="N514" s="42" t="inlineStr">
        <is>
          <t>The flagship, without the flagship price</t>
        </is>
      </c>
      <c r="O514" s="42" t="inlineStr">
        <is>
          <t>Auction - Cost Cap</t>
        </is>
      </c>
      <c r="P514" s="42" t="inlineStr">
        <is>
          <t>Offsite Conversions</t>
        </is>
      </c>
      <c r="Q514" s="42" t="inlineStr">
        <is>
          <t>https://www.lepas-sa.co.za/offers/pantera</t>
        </is>
      </c>
      <c r="R514" s="115" t="n">
        <v>261.07</v>
      </c>
      <c r="S514" s="116" t="n">
        <v>3999</v>
      </c>
      <c r="T514" s="116" t="n">
        <v>2819</v>
      </c>
      <c r="U514" s="117">
        <f>IFERROR(S514/T514,"")</f>
        <v/>
      </c>
      <c r="V514" s="116" t="n">
        <v>68</v>
      </c>
      <c r="W514" s="116" t="n">
        <v>52</v>
      </c>
      <c r="X514" s="118">
        <f>IFERROR(W514/S514,"")</f>
        <v/>
      </c>
      <c r="Y514" s="115">
        <f>IFERROR(R514/W514,"")</f>
        <v/>
      </c>
      <c r="Z514" s="115">
        <f>IFERROR(R514/S514*1000,"")</f>
        <v/>
      </c>
      <c r="AA514" s="116" t="n">
        <v>46</v>
      </c>
      <c r="AB514" s="47">
        <f>IFERROR(AA514/W514,"")</f>
        <v/>
      </c>
      <c r="AC514" s="116" t="n">
        <v>1386</v>
      </c>
      <c r="AD514" s="116" t="n">
        <v>681</v>
      </c>
      <c r="AE514" s="116" t="n">
        <v>648</v>
      </c>
      <c r="AF514" s="116" t="n">
        <v>446</v>
      </c>
      <c r="AG514" s="116" t="n">
        <v>322</v>
      </c>
      <c r="AH514" s="116" t="n">
        <v>184</v>
      </c>
      <c r="AI514" s="47">
        <f>IFERROR(AC514/S514,"")</f>
        <v/>
      </c>
      <c r="AJ514" s="47">
        <f>IFERROR(AH514/S514,"")</f>
        <v/>
      </c>
      <c r="AK514" s="116" t="n">
        <v>127</v>
      </c>
      <c r="AL514" s="116" t="n">
        <v>0</v>
      </c>
      <c r="AM514" s="118">
        <f>IFERROR(AL514/AA514,"")</f>
        <v/>
      </c>
      <c r="AN514" s="119">
        <f>IFERROR(R514/AL514,"")</f>
        <v/>
      </c>
      <c r="AO514" s="116" t="n">
        <v>0</v>
      </c>
      <c r="AP514" s="47">
        <f>IFERROR(AO514/AL514,"")</f>
        <v/>
      </c>
      <c r="AQ514" s="119">
        <f>IFERROR(R514/AO514,"")</f>
        <v/>
      </c>
      <c r="AR514" s="116" t="n">
        <v>0</v>
      </c>
      <c r="AS514" s="116" t="n">
        <v>0</v>
      </c>
      <c r="AT514" s="116">
        <f>AL514+AR514</f>
        <v/>
      </c>
      <c r="AU514" s="119">
        <f>IFERROR(AO514*Assumptions!$C$26*Assumptions!$C$27*INDEX(Assumptions!$C$18:$C$21,MATCH(H514,Assumptions!$B$18:$B$21,0)),0)</f>
        <v/>
      </c>
    </row>
    <row r="515">
      <c r="A515" s="114" t="n">
        <v>46250</v>
      </c>
      <c r="B515" s="42" t="inlineStr">
        <is>
          <t>Wk 33</t>
        </is>
      </c>
      <c r="C515" s="42" t="inlineStr">
        <is>
          <t>Sun</t>
        </is>
      </c>
      <c r="D515" s="42" t="inlineStr">
        <is>
          <t>Meta (FB/IG)</t>
        </is>
      </c>
      <c r="E515" s="42" t="inlineStr">
        <is>
          <t>Facebook + Instagram</t>
        </is>
      </c>
      <c r="F515" s="42" t="inlineStr">
        <is>
          <t>LEP_ZA_AUG26_META_TD_PANTERA_CONV</t>
        </is>
      </c>
      <c r="G515" s="42" t="inlineStr">
        <is>
          <t>Leads - Website Conversions</t>
        </is>
      </c>
      <c r="H515" s="42" t="inlineStr">
        <is>
          <t>PANTERA</t>
        </is>
      </c>
      <c r="I515" s="42" t="inlineStr">
        <is>
          <t>0% Deposit</t>
        </is>
      </c>
      <c r="J515" s="42" t="inlineStr">
        <is>
          <t>MET_PANTERA_BROAD_30-60_ZA</t>
        </is>
      </c>
      <c r="K515" s="42" t="inlineStr">
        <is>
          <t>Prospecting</t>
        </is>
      </c>
      <c r="L515" s="42" t="inlineStr">
        <is>
          <t>PANTERA_VID_25s_Flagship_v1</t>
        </is>
      </c>
      <c r="M515" s="42" t="inlineStr">
        <is>
          <t>Video 9:16</t>
        </is>
      </c>
      <c r="N515" s="42" t="inlineStr">
        <is>
          <t>The flagship, without the flagship price</t>
        </is>
      </c>
      <c r="O515" s="42" t="inlineStr">
        <is>
          <t>Auction - Cost Cap</t>
        </is>
      </c>
      <c r="P515" s="42" t="inlineStr">
        <is>
          <t>Offsite Conversions</t>
        </is>
      </c>
      <c r="Q515" s="42" t="inlineStr">
        <is>
          <t>https://www.lepas-sa.co.za/offers/pantera</t>
        </is>
      </c>
      <c r="R515" s="115" t="n">
        <v>200.5</v>
      </c>
      <c r="S515" s="116" t="n">
        <v>2676</v>
      </c>
      <c r="T515" s="116" t="n">
        <v>1720</v>
      </c>
      <c r="U515" s="117">
        <f>IFERROR(S515/T515,"")</f>
        <v/>
      </c>
      <c r="V515" s="116" t="n">
        <v>33</v>
      </c>
      <c r="W515" s="116" t="n">
        <v>27</v>
      </c>
      <c r="X515" s="118">
        <f>IFERROR(W515/S515,"")</f>
        <v/>
      </c>
      <c r="Y515" s="115">
        <f>IFERROR(R515/W515,"")</f>
        <v/>
      </c>
      <c r="Z515" s="115">
        <f>IFERROR(R515/S515*1000,"")</f>
        <v/>
      </c>
      <c r="AA515" s="116" t="n">
        <v>23</v>
      </c>
      <c r="AB515" s="47">
        <f>IFERROR(AA515/W515,"")</f>
        <v/>
      </c>
      <c r="AC515" s="116" t="n">
        <v>1067</v>
      </c>
      <c r="AD515" s="116" t="n">
        <v>512</v>
      </c>
      <c r="AE515" s="116" t="n">
        <v>495</v>
      </c>
      <c r="AF515" s="116" t="n">
        <v>290</v>
      </c>
      <c r="AG515" s="116" t="n">
        <v>194</v>
      </c>
      <c r="AH515" s="116" t="n">
        <v>139</v>
      </c>
      <c r="AI515" s="47">
        <f>IFERROR(AC515/S515,"")</f>
        <v/>
      </c>
      <c r="AJ515" s="47">
        <f>IFERROR(AH515/S515,"")</f>
        <v/>
      </c>
      <c r="AK515" s="116" t="n">
        <v>76</v>
      </c>
      <c r="AL515" s="116" t="n">
        <v>0</v>
      </c>
      <c r="AM515" s="118">
        <f>IFERROR(AL515/AA515,"")</f>
        <v/>
      </c>
      <c r="AN515" s="119">
        <f>IFERROR(R515/AL515,"")</f>
        <v/>
      </c>
      <c r="AO515" s="116" t="n">
        <v>0</v>
      </c>
      <c r="AP515" s="47">
        <f>IFERROR(AO515/AL515,"")</f>
        <v/>
      </c>
      <c r="AQ515" s="119">
        <f>IFERROR(R515/AO515,"")</f>
        <v/>
      </c>
      <c r="AR515" s="116" t="n">
        <v>0</v>
      </c>
      <c r="AS515" s="116" t="n">
        <v>0</v>
      </c>
      <c r="AT515" s="116">
        <f>AL515+AR515</f>
        <v/>
      </c>
      <c r="AU515" s="119">
        <f>IFERROR(AO515*Assumptions!$C$26*Assumptions!$C$27*INDEX(Assumptions!$C$18:$C$21,MATCH(H515,Assumptions!$B$18:$B$21,0)),0)</f>
        <v/>
      </c>
    </row>
    <row r="516">
      <c r="A516" s="114" t="n">
        <v>46251</v>
      </c>
      <c r="B516" s="42" t="inlineStr">
        <is>
          <t>Wk 34</t>
        </is>
      </c>
      <c r="C516" s="42" t="inlineStr">
        <is>
          <t>Mon</t>
        </is>
      </c>
      <c r="D516" s="42" t="inlineStr">
        <is>
          <t>Meta (FB/IG)</t>
        </is>
      </c>
      <c r="E516" s="42" t="inlineStr">
        <is>
          <t>Facebook + Instagram</t>
        </is>
      </c>
      <c r="F516" s="42" t="inlineStr">
        <is>
          <t>LEP_ZA_AUG26_META_TD_PANTERA_CONV</t>
        </is>
      </c>
      <c r="G516" s="42" t="inlineStr">
        <is>
          <t>Leads - Website Conversions</t>
        </is>
      </c>
      <c r="H516" s="42" t="inlineStr">
        <is>
          <t>PANTERA</t>
        </is>
      </c>
      <c r="I516" s="42" t="inlineStr">
        <is>
          <t>0% Deposit</t>
        </is>
      </c>
      <c r="J516" s="42" t="inlineStr">
        <is>
          <t>MET_PANTERA_BROAD_30-60_ZA</t>
        </is>
      </c>
      <c r="K516" s="42" t="inlineStr">
        <is>
          <t>Prospecting</t>
        </is>
      </c>
      <c r="L516" s="42" t="inlineStr">
        <is>
          <t>PANTERA_VID_25s_Flagship_v1</t>
        </is>
      </c>
      <c r="M516" s="42" t="inlineStr">
        <is>
          <t>Video 9:16</t>
        </is>
      </c>
      <c r="N516" s="42" t="inlineStr">
        <is>
          <t>The flagship, without the flagship price</t>
        </is>
      </c>
      <c r="O516" s="42" t="inlineStr">
        <is>
          <t>Auction - Cost Cap</t>
        </is>
      </c>
      <c r="P516" s="42" t="inlineStr">
        <is>
          <t>Offsite Conversions</t>
        </is>
      </c>
      <c r="Q516" s="42" t="inlineStr">
        <is>
          <t>https://www.lepas-sa.co.za/offers/pantera</t>
        </is>
      </c>
      <c r="R516" s="115" t="n">
        <v>267.67</v>
      </c>
      <c r="S516" s="116" t="n">
        <v>3992</v>
      </c>
      <c r="T516" s="116" t="n">
        <v>2548</v>
      </c>
      <c r="U516" s="117">
        <f>IFERROR(S516/T516,"")</f>
        <v/>
      </c>
      <c r="V516" s="116" t="n">
        <v>59</v>
      </c>
      <c r="W516" s="116" t="n">
        <v>49</v>
      </c>
      <c r="X516" s="118">
        <f>IFERROR(W516/S516,"")</f>
        <v/>
      </c>
      <c r="Y516" s="115">
        <f>IFERROR(R516/W516,"")</f>
        <v/>
      </c>
      <c r="Z516" s="115">
        <f>IFERROR(R516/S516*1000,"")</f>
        <v/>
      </c>
      <c r="AA516" s="116" t="n">
        <v>41</v>
      </c>
      <c r="AB516" s="47">
        <f>IFERROR(AA516/W516,"")</f>
        <v/>
      </c>
      <c r="AC516" s="116" t="n">
        <v>1212</v>
      </c>
      <c r="AD516" s="116" t="n">
        <v>662</v>
      </c>
      <c r="AE516" s="116" t="n">
        <v>646</v>
      </c>
      <c r="AF516" s="116" t="n">
        <v>394</v>
      </c>
      <c r="AG516" s="116" t="n">
        <v>254</v>
      </c>
      <c r="AH516" s="116" t="n">
        <v>187</v>
      </c>
      <c r="AI516" s="47">
        <f>IFERROR(AC516/S516,"")</f>
        <v/>
      </c>
      <c r="AJ516" s="47">
        <f>IFERROR(AH516/S516,"")</f>
        <v/>
      </c>
      <c r="AK516" s="116" t="n">
        <v>123</v>
      </c>
      <c r="AL516" s="116" t="n">
        <v>0</v>
      </c>
      <c r="AM516" s="118">
        <f>IFERROR(AL516/AA516,"")</f>
        <v/>
      </c>
      <c r="AN516" s="119">
        <f>IFERROR(R516/AL516,"")</f>
        <v/>
      </c>
      <c r="AO516" s="116" t="n">
        <v>0</v>
      </c>
      <c r="AP516" s="47">
        <f>IFERROR(AO516/AL516,"")</f>
        <v/>
      </c>
      <c r="AQ516" s="119">
        <f>IFERROR(R516/AO516,"")</f>
        <v/>
      </c>
      <c r="AR516" s="116" t="n">
        <v>0</v>
      </c>
      <c r="AS516" s="116" t="n">
        <v>0</v>
      </c>
      <c r="AT516" s="116">
        <f>AL516+AR516</f>
        <v/>
      </c>
      <c r="AU516" s="119">
        <f>IFERROR(AO516*Assumptions!$C$26*Assumptions!$C$27*INDEX(Assumptions!$C$18:$C$21,MATCH(H516,Assumptions!$B$18:$B$21,0)),0)</f>
        <v/>
      </c>
    </row>
    <row r="517">
      <c r="A517" s="114" t="n">
        <v>46252</v>
      </c>
      <c r="B517" s="42" t="inlineStr">
        <is>
          <t>Wk 34</t>
        </is>
      </c>
      <c r="C517" s="42" t="inlineStr">
        <is>
          <t>Tue</t>
        </is>
      </c>
      <c r="D517" s="42" t="inlineStr">
        <is>
          <t>Meta (FB/IG)</t>
        </is>
      </c>
      <c r="E517" s="42" t="inlineStr">
        <is>
          <t>Facebook + Instagram</t>
        </is>
      </c>
      <c r="F517" s="42" t="inlineStr">
        <is>
          <t>LEP_ZA_AUG26_META_TD_PANTERA_CONV</t>
        </is>
      </c>
      <c r="G517" s="42" t="inlineStr">
        <is>
          <t>Leads - Website Conversions</t>
        </is>
      </c>
      <c r="H517" s="42" t="inlineStr">
        <is>
          <t>PANTERA</t>
        </is>
      </c>
      <c r="I517" s="42" t="inlineStr">
        <is>
          <t>0% Deposit</t>
        </is>
      </c>
      <c r="J517" s="42" t="inlineStr">
        <is>
          <t>MET_PANTERA_BROAD_30-60_ZA</t>
        </is>
      </c>
      <c r="K517" s="42" t="inlineStr">
        <is>
          <t>Prospecting</t>
        </is>
      </c>
      <c r="L517" s="42" t="inlineStr">
        <is>
          <t>PANTERA_VID_25s_Flagship_v1</t>
        </is>
      </c>
      <c r="M517" s="42" t="inlineStr">
        <is>
          <t>Video 9:16</t>
        </is>
      </c>
      <c r="N517" s="42" t="inlineStr">
        <is>
          <t>The flagship, without the flagship price</t>
        </is>
      </c>
      <c r="O517" s="42" t="inlineStr">
        <is>
          <t>Auction - Cost Cap</t>
        </is>
      </c>
      <c r="P517" s="42" t="inlineStr">
        <is>
          <t>Offsite Conversions</t>
        </is>
      </c>
      <c r="Q517" s="42" t="inlineStr">
        <is>
          <t>https://www.lepas-sa.co.za/offers/pantera</t>
        </is>
      </c>
      <c r="R517" s="115" t="n">
        <v>251.1</v>
      </c>
      <c r="S517" s="116" t="n">
        <v>2976</v>
      </c>
      <c r="T517" s="116" t="n">
        <v>2140</v>
      </c>
      <c r="U517" s="117">
        <f>IFERROR(S517/T517,"")</f>
        <v/>
      </c>
      <c r="V517" s="116" t="n">
        <v>46</v>
      </c>
      <c r="W517" s="116" t="n">
        <v>39</v>
      </c>
      <c r="X517" s="118">
        <f>IFERROR(W517/S517,"")</f>
        <v/>
      </c>
      <c r="Y517" s="115">
        <f>IFERROR(R517/W517,"")</f>
        <v/>
      </c>
      <c r="Z517" s="115">
        <f>IFERROR(R517/S517*1000,"")</f>
        <v/>
      </c>
      <c r="AA517" s="116" t="n">
        <v>35</v>
      </c>
      <c r="AB517" s="47">
        <f>IFERROR(AA517/W517,"")</f>
        <v/>
      </c>
      <c r="AC517" s="116" t="n">
        <v>745</v>
      </c>
      <c r="AD517" s="116" t="n">
        <v>329</v>
      </c>
      <c r="AE517" s="116" t="n">
        <v>276</v>
      </c>
      <c r="AF517" s="116" t="n">
        <v>175</v>
      </c>
      <c r="AG517" s="116" t="n">
        <v>114</v>
      </c>
      <c r="AH517" s="116" t="n">
        <v>72</v>
      </c>
      <c r="AI517" s="47">
        <f>IFERROR(AC517/S517,"")</f>
        <v/>
      </c>
      <c r="AJ517" s="47">
        <f>IFERROR(AH517/S517,"")</f>
        <v/>
      </c>
      <c r="AK517" s="116" t="n">
        <v>47</v>
      </c>
      <c r="AL517" s="116" t="n">
        <v>0</v>
      </c>
      <c r="AM517" s="118">
        <f>IFERROR(AL517/AA517,"")</f>
        <v/>
      </c>
      <c r="AN517" s="119">
        <f>IFERROR(R517/AL517,"")</f>
        <v/>
      </c>
      <c r="AO517" s="116" t="n">
        <v>0</v>
      </c>
      <c r="AP517" s="47">
        <f>IFERROR(AO517/AL517,"")</f>
        <v/>
      </c>
      <c r="AQ517" s="119">
        <f>IFERROR(R517/AO517,"")</f>
        <v/>
      </c>
      <c r="AR517" s="116" t="n">
        <v>0</v>
      </c>
      <c r="AS517" s="116" t="n">
        <v>0</v>
      </c>
      <c r="AT517" s="116">
        <f>AL517+AR517</f>
        <v/>
      </c>
      <c r="AU517" s="119">
        <f>IFERROR(AO517*Assumptions!$C$26*Assumptions!$C$27*INDEX(Assumptions!$C$18:$C$21,MATCH(H517,Assumptions!$B$18:$B$21,0)),0)</f>
        <v/>
      </c>
    </row>
    <row r="518">
      <c r="A518" s="114" t="n">
        <v>46253</v>
      </c>
      <c r="B518" s="42" t="inlineStr">
        <is>
          <t>Wk 34</t>
        </is>
      </c>
      <c r="C518" s="42" t="inlineStr">
        <is>
          <t>Wed</t>
        </is>
      </c>
      <c r="D518" s="42" t="inlineStr">
        <is>
          <t>Meta (FB/IG)</t>
        </is>
      </c>
      <c r="E518" s="42" t="inlineStr">
        <is>
          <t>Facebook + Instagram</t>
        </is>
      </c>
      <c r="F518" s="42" t="inlineStr">
        <is>
          <t>LEP_ZA_AUG26_META_TD_PANTERA_CONV</t>
        </is>
      </c>
      <c r="G518" s="42" t="inlineStr">
        <is>
          <t>Leads - Website Conversions</t>
        </is>
      </c>
      <c r="H518" s="42" t="inlineStr">
        <is>
          <t>PANTERA</t>
        </is>
      </c>
      <c r="I518" s="42" t="inlineStr">
        <is>
          <t>0% Deposit</t>
        </is>
      </c>
      <c r="J518" s="42" t="inlineStr">
        <is>
          <t>MET_PANTERA_BROAD_30-60_ZA</t>
        </is>
      </c>
      <c r="K518" s="42" t="inlineStr">
        <is>
          <t>Prospecting</t>
        </is>
      </c>
      <c r="L518" s="42" t="inlineStr">
        <is>
          <t>PANTERA_VID_25s_Flagship_v1</t>
        </is>
      </c>
      <c r="M518" s="42" t="inlineStr">
        <is>
          <t>Video 9:16</t>
        </is>
      </c>
      <c r="N518" s="42" t="inlineStr">
        <is>
          <t>The flagship, without the flagship price</t>
        </is>
      </c>
      <c r="O518" s="42" t="inlineStr">
        <is>
          <t>Auction - Cost Cap</t>
        </is>
      </c>
      <c r="P518" s="42" t="inlineStr">
        <is>
          <t>Offsite Conversions</t>
        </is>
      </c>
      <c r="Q518" s="42" t="inlineStr">
        <is>
          <t>https://www.lepas-sa.co.za/offers/pantera</t>
        </is>
      </c>
      <c r="R518" s="115" t="n">
        <v>233.35</v>
      </c>
      <c r="S518" s="116" t="n">
        <v>3159</v>
      </c>
      <c r="T518" s="116" t="n">
        <v>1878</v>
      </c>
      <c r="U518" s="117">
        <f>IFERROR(S518/T518,"")</f>
        <v/>
      </c>
      <c r="V518" s="116" t="n">
        <v>35</v>
      </c>
      <c r="W518" s="116" t="n">
        <v>25</v>
      </c>
      <c r="X518" s="118">
        <f>IFERROR(W518/S518,"")</f>
        <v/>
      </c>
      <c r="Y518" s="115">
        <f>IFERROR(R518/W518,"")</f>
        <v/>
      </c>
      <c r="Z518" s="115">
        <f>IFERROR(R518/S518*1000,"")</f>
        <v/>
      </c>
      <c r="AA518" s="116" t="n">
        <v>21</v>
      </c>
      <c r="AB518" s="47">
        <f>IFERROR(AA518/W518,"")</f>
        <v/>
      </c>
      <c r="AC518" s="116" t="n">
        <v>981</v>
      </c>
      <c r="AD518" s="116" t="n">
        <v>571</v>
      </c>
      <c r="AE518" s="116" t="n">
        <v>390</v>
      </c>
      <c r="AF518" s="116" t="n">
        <v>236</v>
      </c>
      <c r="AG518" s="116" t="n">
        <v>151</v>
      </c>
      <c r="AH518" s="116" t="n">
        <v>103</v>
      </c>
      <c r="AI518" s="47">
        <f>IFERROR(AC518/S518,"")</f>
        <v/>
      </c>
      <c r="AJ518" s="47">
        <f>IFERROR(AH518/S518,"")</f>
        <v/>
      </c>
      <c r="AK518" s="116" t="n">
        <v>103</v>
      </c>
      <c r="AL518" s="116" t="n">
        <v>0</v>
      </c>
      <c r="AM518" s="118">
        <f>IFERROR(AL518/AA518,"")</f>
        <v/>
      </c>
      <c r="AN518" s="119">
        <f>IFERROR(R518/AL518,"")</f>
        <v/>
      </c>
      <c r="AO518" s="116" t="n">
        <v>0</v>
      </c>
      <c r="AP518" s="47">
        <f>IFERROR(AO518/AL518,"")</f>
        <v/>
      </c>
      <c r="AQ518" s="119">
        <f>IFERROR(R518/AO518,"")</f>
        <v/>
      </c>
      <c r="AR518" s="116" t="n">
        <v>0</v>
      </c>
      <c r="AS518" s="116" t="n">
        <v>0</v>
      </c>
      <c r="AT518" s="116">
        <f>AL518+AR518</f>
        <v/>
      </c>
      <c r="AU518" s="119">
        <f>IFERROR(AO518*Assumptions!$C$26*Assumptions!$C$27*INDEX(Assumptions!$C$18:$C$21,MATCH(H518,Assumptions!$B$18:$B$21,0)),0)</f>
        <v/>
      </c>
    </row>
    <row r="519">
      <c r="A519" s="114" t="n">
        <v>46254</v>
      </c>
      <c r="B519" s="42" t="inlineStr">
        <is>
          <t>Wk 34</t>
        </is>
      </c>
      <c r="C519" s="42" t="inlineStr">
        <is>
          <t>Thu</t>
        </is>
      </c>
      <c r="D519" s="42" t="inlineStr">
        <is>
          <t>Meta (FB/IG)</t>
        </is>
      </c>
      <c r="E519" s="42" t="inlineStr">
        <is>
          <t>Facebook + Instagram</t>
        </is>
      </c>
      <c r="F519" s="42" t="inlineStr">
        <is>
          <t>LEP_ZA_AUG26_META_TD_PANTERA_CONV</t>
        </is>
      </c>
      <c r="G519" s="42" t="inlineStr">
        <is>
          <t>Leads - Website Conversions</t>
        </is>
      </c>
      <c r="H519" s="42" t="inlineStr">
        <is>
          <t>PANTERA</t>
        </is>
      </c>
      <c r="I519" s="42" t="inlineStr">
        <is>
          <t>0% Deposit</t>
        </is>
      </c>
      <c r="J519" s="42" t="inlineStr">
        <is>
          <t>MET_PANTERA_BROAD_30-60_ZA</t>
        </is>
      </c>
      <c r="K519" s="42" t="inlineStr">
        <is>
          <t>Prospecting</t>
        </is>
      </c>
      <c r="L519" s="42" t="inlineStr">
        <is>
          <t>PANTERA_VID_25s_Flagship_v1</t>
        </is>
      </c>
      <c r="M519" s="42" t="inlineStr">
        <is>
          <t>Video 9:16</t>
        </is>
      </c>
      <c r="N519" s="42" t="inlineStr">
        <is>
          <t>The flagship, without the flagship price</t>
        </is>
      </c>
      <c r="O519" s="42" t="inlineStr">
        <is>
          <t>Auction - Cost Cap</t>
        </is>
      </c>
      <c r="P519" s="42" t="inlineStr">
        <is>
          <t>Offsite Conversions</t>
        </is>
      </c>
      <c r="Q519" s="42" t="inlineStr">
        <is>
          <t>https://www.lepas-sa.co.za/offers/pantera</t>
        </is>
      </c>
      <c r="R519" s="115" t="n">
        <v>305.6</v>
      </c>
      <c r="S519" s="116" t="n">
        <v>3655</v>
      </c>
      <c r="T519" s="116" t="n">
        <v>2320</v>
      </c>
      <c r="U519" s="117">
        <f>IFERROR(S519/T519,"")</f>
        <v/>
      </c>
      <c r="V519" s="116" t="n">
        <v>52</v>
      </c>
      <c r="W519" s="116" t="n">
        <v>43</v>
      </c>
      <c r="X519" s="118">
        <f>IFERROR(W519/S519,"")</f>
        <v/>
      </c>
      <c r="Y519" s="115">
        <f>IFERROR(R519/W519,"")</f>
        <v/>
      </c>
      <c r="Z519" s="115">
        <f>IFERROR(R519/S519*1000,"")</f>
        <v/>
      </c>
      <c r="AA519" s="116" t="n">
        <v>40</v>
      </c>
      <c r="AB519" s="47">
        <f>IFERROR(AA519/W519,"")</f>
        <v/>
      </c>
      <c r="AC519" s="116" t="n">
        <v>1376</v>
      </c>
      <c r="AD519" s="116" t="n">
        <v>624</v>
      </c>
      <c r="AE519" s="116" t="n">
        <v>540</v>
      </c>
      <c r="AF519" s="116" t="n">
        <v>338</v>
      </c>
      <c r="AG519" s="116" t="n">
        <v>225</v>
      </c>
      <c r="AH519" s="116" t="n">
        <v>129</v>
      </c>
      <c r="AI519" s="47">
        <f>IFERROR(AC519/S519,"")</f>
        <v/>
      </c>
      <c r="AJ519" s="47">
        <f>IFERROR(AH519/S519,"")</f>
        <v/>
      </c>
      <c r="AK519" s="116" t="n">
        <v>86</v>
      </c>
      <c r="AL519" s="116" t="n">
        <v>0</v>
      </c>
      <c r="AM519" s="118">
        <f>IFERROR(AL519/AA519,"")</f>
        <v/>
      </c>
      <c r="AN519" s="119">
        <f>IFERROR(R519/AL519,"")</f>
        <v/>
      </c>
      <c r="AO519" s="116" t="n">
        <v>0</v>
      </c>
      <c r="AP519" s="47">
        <f>IFERROR(AO519/AL519,"")</f>
        <v/>
      </c>
      <c r="AQ519" s="119">
        <f>IFERROR(R519/AO519,"")</f>
        <v/>
      </c>
      <c r="AR519" s="116" t="n">
        <v>0</v>
      </c>
      <c r="AS519" s="116" t="n">
        <v>0</v>
      </c>
      <c r="AT519" s="116">
        <f>AL519+AR519</f>
        <v/>
      </c>
      <c r="AU519" s="119">
        <f>IFERROR(AO519*Assumptions!$C$26*Assumptions!$C$27*INDEX(Assumptions!$C$18:$C$21,MATCH(H519,Assumptions!$B$18:$B$21,0)),0)</f>
        <v/>
      </c>
    </row>
    <row r="520">
      <c r="A520" s="114" t="n">
        <v>46255</v>
      </c>
      <c r="B520" s="42" t="inlineStr">
        <is>
          <t>Wk 34</t>
        </is>
      </c>
      <c r="C520" s="42" t="inlineStr">
        <is>
          <t>Fri</t>
        </is>
      </c>
      <c r="D520" s="42" t="inlineStr">
        <is>
          <t>Meta (FB/IG)</t>
        </is>
      </c>
      <c r="E520" s="42" t="inlineStr">
        <is>
          <t>Facebook + Instagram</t>
        </is>
      </c>
      <c r="F520" s="42" t="inlineStr">
        <is>
          <t>LEP_ZA_AUG26_META_TD_PANTERA_CONV</t>
        </is>
      </c>
      <c r="G520" s="42" t="inlineStr">
        <is>
          <t>Leads - Website Conversions</t>
        </is>
      </c>
      <c r="H520" s="42" t="inlineStr">
        <is>
          <t>PANTERA</t>
        </is>
      </c>
      <c r="I520" s="42" t="inlineStr">
        <is>
          <t>0% Deposit</t>
        </is>
      </c>
      <c r="J520" s="42" t="inlineStr">
        <is>
          <t>MET_PANTERA_BROAD_30-60_ZA</t>
        </is>
      </c>
      <c r="K520" s="42" t="inlineStr">
        <is>
          <t>Prospecting</t>
        </is>
      </c>
      <c r="L520" s="42" t="inlineStr">
        <is>
          <t>PANTERA_VID_25s_Flagship_v1</t>
        </is>
      </c>
      <c r="M520" s="42" t="inlineStr">
        <is>
          <t>Video 9:16</t>
        </is>
      </c>
      <c r="N520" s="42" t="inlineStr">
        <is>
          <t>The flagship, without the flagship price</t>
        </is>
      </c>
      <c r="O520" s="42" t="inlineStr">
        <is>
          <t>Auction - Cost Cap</t>
        </is>
      </c>
      <c r="P520" s="42" t="inlineStr">
        <is>
          <t>Offsite Conversions</t>
        </is>
      </c>
      <c r="Q520" s="42" t="inlineStr">
        <is>
          <t>https://www.lepas-sa.co.za/offers/pantera</t>
        </is>
      </c>
      <c r="R520" s="115" t="n">
        <v>321.58</v>
      </c>
      <c r="S520" s="116" t="n">
        <v>5201</v>
      </c>
      <c r="T520" s="116" t="n">
        <v>2995</v>
      </c>
      <c r="U520" s="117">
        <f>IFERROR(S520/T520,"")</f>
        <v/>
      </c>
      <c r="V520" s="116" t="n">
        <v>36</v>
      </c>
      <c r="W520" s="116" t="n">
        <v>28</v>
      </c>
      <c r="X520" s="118">
        <f>IFERROR(W520/S520,"")</f>
        <v/>
      </c>
      <c r="Y520" s="115">
        <f>IFERROR(R520/W520,"")</f>
        <v/>
      </c>
      <c r="Z520" s="115">
        <f>IFERROR(R520/S520*1000,"")</f>
        <v/>
      </c>
      <c r="AA520" s="116" t="n">
        <v>23</v>
      </c>
      <c r="AB520" s="47">
        <f>IFERROR(AA520/W520,"")</f>
        <v/>
      </c>
      <c r="AC520" s="116" t="n">
        <v>1649</v>
      </c>
      <c r="AD520" s="116" t="n">
        <v>961</v>
      </c>
      <c r="AE520" s="116" t="n">
        <v>607</v>
      </c>
      <c r="AF520" s="116" t="n">
        <v>397</v>
      </c>
      <c r="AG520" s="116" t="n">
        <v>253</v>
      </c>
      <c r="AH520" s="116" t="n">
        <v>172</v>
      </c>
      <c r="AI520" s="47">
        <f>IFERROR(AC520/S520,"")</f>
        <v/>
      </c>
      <c r="AJ520" s="47">
        <f>IFERROR(AH520/S520,"")</f>
        <v/>
      </c>
      <c r="AK520" s="116" t="n">
        <v>70</v>
      </c>
      <c r="AL520" s="116" t="n">
        <v>0</v>
      </c>
      <c r="AM520" s="118">
        <f>IFERROR(AL520/AA520,"")</f>
        <v/>
      </c>
      <c r="AN520" s="119">
        <f>IFERROR(R520/AL520,"")</f>
        <v/>
      </c>
      <c r="AO520" s="116" t="n">
        <v>0</v>
      </c>
      <c r="AP520" s="47">
        <f>IFERROR(AO520/AL520,"")</f>
        <v/>
      </c>
      <c r="AQ520" s="119">
        <f>IFERROR(R520/AO520,"")</f>
        <v/>
      </c>
      <c r="AR520" s="116" t="n">
        <v>0</v>
      </c>
      <c r="AS520" s="116" t="n">
        <v>0</v>
      </c>
      <c r="AT520" s="116">
        <f>AL520+AR520</f>
        <v/>
      </c>
      <c r="AU520" s="119">
        <f>IFERROR(AO520*Assumptions!$C$26*Assumptions!$C$27*INDEX(Assumptions!$C$18:$C$21,MATCH(H520,Assumptions!$B$18:$B$21,0)),0)</f>
        <v/>
      </c>
    </row>
    <row r="521">
      <c r="A521" s="114" t="n">
        <v>46256</v>
      </c>
      <c r="B521" s="42" t="inlineStr">
        <is>
          <t>Wk 34</t>
        </is>
      </c>
      <c r="C521" s="42" t="inlineStr">
        <is>
          <t>Sat</t>
        </is>
      </c>
      <c r="D521" s="42" t="inlineStr">
        <is>
          <t>Meta (FB/IG)</t>
        </is>
      </c>
      <c r="E521" s="42" t="inlineStr">
        <is>
          <t>Facebook + Instagram</t>
        </is>
      </c>
      <c r="F521" s="42" t="inlineStr">
        <is>
          <t>LEP_ZA_AUG26_META_TD_PANTERA_CONV</t>
        </is>
      </c>
      <c r="G521" s="42" t="inlineStr">
        <is>
          <t>Leads - Website Conversions</t>
        </is>
      </c>
      <c r="H521" s="42" t="inlineStr">
        <is>
          <t>PANTERA</t>
        </is>
      </c>
      <c r="I521" s="42" t="inlineStr">
        <is>
          <t>0% Deposit</t>
        </is>
      </c>
      <c r="J521" s="42" t="inlineStr">
        <is>
          <t>MET_PANTERA_BROAD_30-60_ZA</t>
        </is>
      </c>
      <c r="K521" s="42" t="inlineStr">
        <is>
          <t>Prospecting</t>
        </is>
      </c>
      <c r="L521" s="42" t="inlineStr">
        <is>
          <t>PANTERA_VID_25s_Flagship_v1</t>
        </is>
      </c>
      <c r="M521" s="42" t="inlineStr">
        <is>
          <t>Video 9:16</t>
        </is>
      </c>
      <c r="N521" s="42" t="inlineStr">
        <is>
          <t>The flagship, without the flagship price</t>
        </is>
      </c>
      <c r="O521" s="42" t="inlineStr">
        <is>
          <t>Auction - Cost Cap</t>
        </is>
      </c>
      <c r="P521" s="42" t="inlineStr">
        <is>
          <t>Offsite Conversions</t>
        </is>
      </c>
      <c r="Q521" s="42" t="inlineStr">
        <is>
          <t>https://www.lepas-sa.co.za/offers/pantera</t>
        </is>
      </c>
      <c r="R521" s="115" t="n">
        <v>334.96</v>
      </c>
      <c r="S521" s="116" t="n">
        <v>5344</v>
      </c>
      <c r="T521" s="116" t="n">
        <v>2774</v>
      </c>
      <c r="U521" s="117">
        <f>IFERROR(S521/T521,"")</f>
        <v/>
      </c>
      <c r="V521" s="116" t="n">
        <v>78</v>
      </c>
      <c r="W521" s="116" t="n">
        <v>59</v>
      </c>
      <c r="X521" s="118">
        <f>IFERROR(W521/S521,"")</f>
        <v/>
      </c>
      <c r="Y521" s="115">
        <f>IFERROR(R521/W521,"")</f>
        <v/>
      </c>
      <c r="Z521" s="115">
        <f>IFERROR(R521/S521*1000,"")</f>
        <v/>
      </c>
      <c r="AA521" s="116" t="n">
        <v>49</v>
      </c>
      <c r="AB521" s="47">
        <f>IFERROR(AA521/W521,"")</f>
        <v/>
      </c>
      <c r="AC521" s="116" t="n">
        <v>2053</v>
      </c>
      <c r="AD521" s="116" t="n">
        <v>1266</v>
      </c>
      <c r="AE521" s="116" t="n">
        <v>1009</v>
      </c>
      <c r="AF521" s="116" t="n">
        <v>615</v>
      </c>
      <c r="AG521" s="116" t="n">
        <v>425</v>
      </c>
      <c r="AH521" s="116" t="n">
        <v>276</v>
      </c>
      <c r="AI521" s="47">
        <f>IFERROR(AC521/S521,"")</f>
        <v/>
      </c>
      <c r="AJ521" s="47">
        <f>IFERROR(AH521/S521,"")</f>
        <v/>
      </c>
      <c r="AK521" s="116" t="n">
        <v>85</v>
      </c>
      <c r="AL521" s="116" t="n">
        <v>0</v>
      </c>
      <c r="AM521" s="118">
        <f>IFERROR(AL521/AA521,"")</f>
        <v/>
      </c>
      <c r="AN521" s="119">
        <f>IFERROR(R521/AL521,"")</f>
        <v/>
      </c>
      <c r="AO521" s="116" t="n">
        <v>0</v>
      </c>
      <c r="AP521" s="47">
        <f>IFERROR(AO521/AL521,"")</f>
        <v/>
      </c>
      <c r="AQ521" s="119">
        <f>IFERROR(R521/AO521,"")</f>
        <v/>
      </c>
      <c r="AR521" s="116" t="n">
        <v>0</v>
      </c>
      <c r="AS521" s="116" t="n">
        <v>0</v>
      </c>
      <c r="AT521" s="116">
        <f>AL521+AR521</f>
        <v/>
      </c>
      <c r="AU521" s="119">
        <f>IFERROR(AO521*Assumptions!$C$26*Assumptions!$C$27*INDEX(Assumptions!$C$18:$C$21,MATCH(H521,Assumptions!$B$18:$B$21,0)),0)</f>
        <v/>
      </c>
    </row>
    <row r="522">
      <c r="A522" s="114" t="n">
        <v>46257</v>
      </c>
      <c r="B522" s="42" t="inlineStr">
        <is>
          <t>Wk 34</t>
        </is>
      </c>
      <c r="C522" s="42" t="inlineStr">
        <is>
          <t>Sun</t>
        </is>
      </c>
      <c r="D522" s="42" t="inlineStr">
        <is>
          <t>Meta (FB/IG)</t>
        </is>
      </c>
      <c r="E522" s="42" t="inlineStr">
        <is>
          <t>Facebook + Instagram</t>
        </is>
      </c>
      <c r="F522" s="42" t="inlineStr">
        <is>
          <t>LEP_ZA_AUG26_META_TD_PANTERA_CONV</t>
        </is>
      </c>
      <c r="G522" s="42" t="inlineStr">
        <is>
          <t>Leads - Website Conversions</t>
        </is>
      </c>
      <c r="H522" s="42" t="inlineStr">
        <is>
          <t>PANTERA</t>
        </is>
      </c>
      <c r="I522" s="42" t="inlineStr">
        <is>
          <t>0% Deposit</t>
        </is>
      </c>
      <c r="J522" s="42" t="inlineStr">
        <is>
          <t>MET_PANTERA_BROAD_30-60_ZA</t>
        </is>
      </c>
      <c r="K522" s="42" t="inlineStr">
        <is>
          <t>Prospecting</t>
        </is>
      </c>
      <c r="L522" s="42" t="inlineStr">
        <is>
          <t>PANTERA_VID_25s_Flagship_v1</t>
        </is>
      </c>
      <c r="M522" s="42" t="inlineStr">
        <is>
          <t>Video 9:16</t>
        </is>
      </c>
      <c r="N522" s="42" t="inlineStr">
        <is>
          <t>The flagship, without the flagship price</t>
        </is>
      </c>
      <c r="O522" s="42" t="inlineStr">
        <is>
          <t>Auction - Cost Cap</t>
        </is>
      </c>
      <c r="P522" s="42" t="inlineStr">
        <is>
          <t>Offsite Conversions</t>
        </is>
      </c>
      <c r="Q522" s="42" t="inlineStr">
        <is>
          <t>https://www.lepas-sa.co.za/offers/pantera</t>
        </is>
      </c>
      <c r="R522" s="115" t="n">
        <v>221.54</v>
      </c>
      <c r="S522" s="116" t="n">
        <v>4143</v>
      </c>
      <c r="T522" s="116" t="n">
        <v>2473</v>
      </c>
      <c r="U522" s="117">
        <f>IFERROR(S522/T522,"")</f>
        <v/>
      </c>
      <c r="V522" s="116" t="n">
        <v>45</v>
      </c>
      <c r="W522" s="116" t="n">
        <v>35</v>
      </c>
      <c r="X522" s="118">
        <f>IFERROR(W522/S522,"")</f>
        <v/>
      </c>
      <c r="Y522" s="115">
        <f>IFERROR(R522/W522,"")</f>
        <v/>
      </c>
      <c r="Z522" s="115">
        <f>IFERROR(R522/S522*1000,"")</f>
        <v/>
      </c>
      <c r="AA522" s="116" t="n">
        <v>29</v>
      </c>
      <c r="AB522" s="47">
        <f>IFERROR(AA522/W522,"")</f>
        <v/>
      </c>
      <c r="AC522" s="116" t="n">
        <v>1328</v>
      </c>
      <c r="AD522" s="116" t="n">
        <v>585</v>
      </c>
      <c r="AE522" s="116" t="n">
        <v>704</v>
      </c>
      <c r="AF522" s="116" t="n">
        <v>481</v>
      </c>
      <c r="AG522" s="116" t="n">
        <v>384</v>
      </c>
      <c r="AH522" s="116" t="n">
        <v>243</v>
      </c>
      <c r="AI522" s="47">
        <f>IFERROR(AC522/S522,"")</f>
        <v/>
      </c>
      <c r="AJ522" s="47">
        <f>IFERROR(AH522/S522,"")</f>
        <v/>
      </c>
      <c r="AK522" s="116" t="n">
        <v>108</v>
      </c>
      <c r="AL522" s="116" t="n">
        <v>0</v>
      </c>
      <c r="AM522" s="118">
        <f>IFERROR(AL522/AA522,"")</f>
        <v/>
      </c>
      <c r="AN522" s="119">
        <f>IFERROR(R522/AL522,"")</f>
        <v/>
      </c>
      <c r="AO522" s="116" t="n">
        <v>0</v>
      </c>
      <c r="AP522" s="47">
        <f>IFERROR(AO522/AL522,"")</f>
        <v/>
      </c>
      <c r="AQ522" s="119">
        <f>IFERROR(R522/AO522,"")</f>
        <v/>
      </c>
      <c r="AR522" s="116" t="n">
        <v>0</v>
      </c>
      <c r="AS522" s="116" t="n">
        <v>0</v>
      </c>
      <c r="AT522" s="116">
        <f>AL522+AR522</f>
        <v/>
      </c>
      <c r="AU522" s="119">
        <f>IFERROR(AO522*Assumptions!$C$26*Assumptions!$C$27*INDEX(Assumptions!$C$18:$C$21,MATCH(H522,Assumptions!$B$18:$B$21,0)),0)</f>
        <v/>
      </c>
    </row>
    <row r="523">
      <c r="A523" s="114" t="n">
        <v>46258</v>
      </c>
      <c r="B523" s="42" t="inlineStr">
        <is>
          <t>Wk 35</t>
        </is>
      </c>
      <c r="C523" s="42" t="inlineStr">
        <is>
          <t>Mon</t>
        </is>
      </c>
      <c r="D523" s="42" t="inlineStr">
        <is>
          <t>Meta (FB/IG)</t>
        </is>
      </c>
      <c r="E523" s="42" t="inlineStr">
        <is>
          <t>Facebook + Instagram</t>
        </is>
      </c>
      <c r="F523" s="42" t="inlineStr">
        <is>
          <t>LEP_ZA_AUG26_META_TD_PANTERA_CONV</t>
        </is>
      </c>
      <c r="G523" s="42" t="inlineStr">
        <is>
          <t>Leads - Website Conversions</t>
        </is>
      </c>
      <c r="H523" s="42" t="inlineStr">
        <is>
          <t>PANTERA</t>
        </is>
      </c>
      <c r="I523" s="42" t="inlineStr">
        <is>
          <t>0% Deposit</t>
        </is>
      </c>
      <c r="J523" s="42" t="inlineStr">
        <is>
          <t>MET_PANTERA_BROAD_30-60_ZA</t>
        </is>
      </c>
      <c r="K523" s="42" t="inlineStr">
        <is>
          <t>Prospecting</t>
        </is>
      </c>
      <c r="L523" s="42" t="inlineStr">
        <is>
          <t>PANTERA_VID_25s_Flagship_v1</t>
        </is>
      </c>
      <c r="M523" s="42" t="inlineStr">
        <is>
          <t>Video 9:16</t>
        </is>
      </c>
      <c r="N523" s="42" t="inlineStr">
        <is>
          <t>The flagship, without the flagship price</t>
        </is>
      </c>
      <c r="O523" s="42" t="inlineStr">
        <is>
          <t>Auction - Cost Cap</t>
        </is>
      </c>
      <c r="P523" s="42" t="inlineStr">
        <is>
          <t>Offsite Conversions</t>
        </is>
      </c>
      <c r="Q523" s="42" t="inlineStr">
        <is>
          <t>https://www.lepas-sa.co.za/offers/pantera</t>
        </is>
      </c>
      <c r="R523" s="115" t="n">
        <v>268.86</v>
      </c>
      <c r="S523" s="116" t="n">
        <v>3305</v>
      </c>
      <c r="T523" s="116" t="n">
        <v>1646</v>
      </c>
      <c r="U523" s="117">
        <f>IFERROR(S523/T523,"")</f>
        <v/>
      </c>
      <c r="V523" s="116" t="n">
        <v>36</v>
      </c>
      <c r="W523" s="116" t="n">
        <v>31</v>
      </c>
      <c r="X523" s="118">
        <f>IFERROR(W523/S523,"")</f>
        <v/>
      </c>
      <c r="Y523" s="115">
        <f>IFERROR(R523/W523,"")</f>
        <v/>
      </c>
      <c r="Z523" s="115">
        <f>IFERROR(R523/S523*1000,"")</f>
        <v/>
      </c>
      <c r="AA523" s="116" t="n">
        <v>26</v>
      </c>
      <c r="AB523" s="47">
        <f>IFERROR(AA523/W523,"")</f>
        <v/>
      </c>
      <c r="AC523" s="116" t="n">
        <v>1046</v>
      </c>
      <c r="AD523" s="116" t="n">
        <v>463</v>
      </c>
      <c r="AE523" s="116" t="n">
        <v>387</v>
      </c>
      <c r="AF523" s="116" t="n">
        <v>238</v>
      </c>
      <c r="AG523" s="116" t="n">
        <v>177</v>
      </c>
      <c r="AH523" s="116" t="n">
        <v>105</v>
      </c>
      <c r="AI523" s="47">
        <f>IFERROR(AC523/S523,"")</f>
        <v/>
      </c>
      <c r="AJ523" s="47">
        <f>IFERROR(AH523/S523,"")</f>
        <v/>
      </c>
      <c r="AK523" s="116" t="n">
        <v>102</v>
      </c>
      <c r="AL523" s="116" t="n">
        <v>1</v>
      </c>
      <c r="AM523" s="118">
        <f>IFERROR(AL523/AA523,"")</f>
        <v/>
      </c>
      <c r="AN523" s="119">
        <f>IFERROR(R523/AL523,"")</f>
        <v/>
      </c>
      <c r="AO523" s="116" t="n">
        <v>1</v>
      </c>
      <c r="AP523" s="47">
        <f>IFERROR(AO523/AL523,"")</f>
        <v/>
      </c>
      <c r="AQ523" s="119">
        <f>IFERROR(R523/AO523,"")</f>
        <v/>
      </c>
      <c r="AR523" s="116" t="n">
        <v>0</v>
      </c>
      <c r="AS523" s="116" t="n">
        <v>0</v>
      </c>
      <c r="AT523" s="116">
        <f>AL523+AR523</f>
        <v/>
      </c>
      <c r="AU523" s="119">
        <f>IFERROR(AO523*Assumptions!$C$26*Assumptions!$C$27*INDEX(Assumptions!$C$18:$C$21,MATCH(H523,Assumptions!$B$18:$B$21,0)),0)</f>
        <v/>
      </c>
    </row>
    <row r="524">
      <c r="A524" s="114" t="n">
        <v>46259</v>
      </c>
      <c r="B524" s="42" t="inlineStr">
        <is>
          <t>Wk 35</t>
        </is>
      </c>
      <c r="C524" s="42" t="inlineStr">
        <is>
          <t>Tue</t>
        </is>
      </c>
      <c r="D524" s="42" t="inlineStr">
        <is>
          <t>Meta (FB/IG)</t>
        </is>
      </c>
      <c r="E524" s="42" t="inlineStr">
        <is>
          <t>Facebook + Instagram</t>
        </is>
      </c>
      <c r="F524" s="42" t="inlineStr">
        <is>
          <t>LEP_ZA_AUG26_META_TD_PANTERA_CONV</t>
        </is>
      </c>
      <c r="G524" s="42" t="inlineStr">
        <is>
          <t>Leads - Website Conversions</t>
        </is>
      </c>
      <c r="H524" s="42" t="inlineStr">
        <is>
          <t>PANTERA</t>
        </is>
      </c>
      <c r="I524" s="42" t="inlineStr">
        <is>
          <t>0% Deposit</t>
        </is>
      </c>
      <c r="J524" s="42" t="inlineStr">
        <is>
          <t>MET_PANTERA_BROAD_30-60_ZA</t>
        </is>
      </c>
      <c r="K524" s="42" t="inlineStr">
        <is>
          <t>Prospecting</t>
        </is>
      </c>
      <c r="L524" s="42" t="inlineStr">
        <is>
          <t>PANTERA_VID_25s_Flagship_v1</t>
        </is>
      </c>
      <c r="M524" s="42" t="inlineStr">
        <is>
          <t>Video 9:16</t>
        </is>
      </c>
      <c r="N524" s="42" t="inlineStr">
        <is>
          <t>The flagship, without the flagship price</t>
        </is>
      </c>
      <c r="O524" s="42" t="inlineStr">
        <is>
          <t>Auction - Cost Cap</t>
        </is>
      </c>
      <c r="P524" s="42" t="inlineStr">
        <is>
          <t>Offsite Conversions</t>
        </is>
      </c>
      <c r="Q524" s="42" t="inlineStr">
        <is>
          <t>https://www.lepas-sa.co.za/offers/pantera</t>
        </is>
      </c>
      <c r="R524" s="115" t="n">
        <v>245.31</v>
      </c>
      <c r="S524" s="116" t="n">
        <v>3146</v>
      </c>
      <c r="T524" s="116" t="n">
        <v>1894</v>
      </c>
      <c r="U524" s="117">
        <f>IFERROR(S524/T524,"")</f>
        <v/>
      </c>
      <c r="V524" s="116" t="n">
        <v>30</v>
      </c>
      <c r="W524" s="116" t="n">
        <v>22</v>
      </c>
      <c r="X524" s="118">
        <f>IFERROR(W524/S524,"")</f>
        <v/>
      </c>
      <c r="Y524" s="115">
        <f>IFERROR(R524/W524,"")</f>
        <v/>
      </c>
      <c r="Z524" s="115">
        <f>IFERROR(R524/S524*1000,"")</f>
        <v/>
      </c>
      <c r="AA524" s="116" t="n">
        <v>18</v>
      </c>
      <c r="AB524" s="47">
        <f>IFERROR(AA524/W524,"")</f>
        <v/>
      </c>
      <c r="AC524" s="116" t="n">
        <v>1276</v>
      </c>
      <c r="AD524" s="116" t="n">
        <v>610</v>
      </c>
      <c r="AE524" s="116" t="n">
        <v>495</v>
      </c>
      <c r="AF524" s="116" t="n">
        <v>259</v>
      </c>
      <c r="AG524" s="116" t="n">
        <v>177</v>
      </c>
      <c r="AH524" s="116" t="n">
        <v>108</v>
      </c>
      <c r="AI524" s="47">
        <f>IFERROR(AC524/S524,"")</f>
        <v/>
      </c>
      <c r="AJ524" s="47">
        <f>IFERROR(AH524/S524,"")</f>
        <v/>
      </c>
      <c r="AK524" s="116" t="n">
        <v>39</v>
      </c>
      <c r="AL524" s="116" t="n">
        <v>0</v>
      </c>
      <c r="AM524" s="118">
        <f>IFERROR(AL524/AA524,"")</f>
        <v/>
      </c>
      <c r="AN524" s="119">
        <f>IFERROR(R524/AL524,"")</f>
        <v/>
      </c>
      <c r="AO524" s="116" t="n">
        <v>0</v>
      </c>
      <c r="AP524" s="47">
        <f>IFERROR(AO524/AL524,"")</f>
        <v/>
      </c>
      <c r="AQ524" s="119">
        <f>IFERROR(R524/AO524,"")</f>
        <v/>
      </c>
      <c r="AR524" s="116" t="n">
        <v>0</v>
      </c>
      <c r="AS524" s="116" t="n">
        <v>0</v>
      </c>
      <c r="AT524" s="116">
        <f>AL524+AR524</f>
        <v/>
      </c>
      <c r="AU524" s="119">
        <f>IFERROR(AO524*Assumptions!$C$26*Assumptions!$C$27*INDEX(Assumptions!$C$18:$C$21,MATCH(H524,Assumptions!$B$18:$B$21,0)),0)</f>
        <v/>
      </c>
    </row>
    <row r="525">
      <c r="A525" s="114" t="n">
        <v>46260</v>
      </c>
      <c r="B525" s="42" t="inlineStr">
        <is>
          <t>Wk 35</t>
        </is>
      </c>
      <c r="C525" s="42" t="inlineStr">
        <is>
          <t>Wed</t>
        </is>
      </c>
      <c r="D525" s="42" t="inlineStr">
        <is>
          <t>Meta (FB/IG)</t>
        </is>
      </c>
      <c r="E525" s="42" t="inlineStr">
        <is>
          <t>Facebook + Instagram</t>
        </is>
      </c>
      <c r="F525" s="42" t="inlineStr">
        <is>
          <t>LEP_ZA_AUG26_META_TD_PANTERA_CONV</t>
        </is>
      </c>
      <c r="G525" s="42" t="inlineStr">
        <is>
          <t>Leads - Website Conversions</t>
        </is>
      </c>
      <c r="H525" s="42" t="inlineStr">
        <is>
          <t>PANTERA</t>
        </is>
      </c>
      <c r="I525" s="42" t="inlineStr">
        <is>
          <t>0% Deposit</t>
        </is>
      </c>
      <c r="J525" s="42" t="inlineStr">
        <is>
          <t>MET_PANTERA_BROAD_30-60_ZA</t>
        </is>
      </c>
      <c r="K525" s="42" t="inlineStr">
        <is>
          <t>Prospecting</t>
        </is>
      </c>
      <c r="L525" s="42" t="inlineStr">
        <is>
          <t>PANTERA_VID_25s_Flagship_v1</t>
        </is>
      </c>
      <c r="M525" s="42" t="inlineStr">
        <is>
          <t>Video 9:16</t>
        </is>
      </c>
      <c r="N525" s="42" t="inlineStr">
        <is>
          <t>The flagship, without the flagship price</t>
        </is>
      </c>
      <c r="O525" s="42" t="inlineStr">
        <is>
          <t>Auction - Cost Cap</t>
        </is>
      </c>
      <c r="P525" s="42" t="inlineStr">
        <is>
          <t>Offsite Conversions</t>
        </is>
      </c>
      <c r="Q525" s="42" t="inlineStr">
        <is>
          <t>https://www.lepas-sa.co.za/offers/pantera</t>
        </is>
      </c>
      <c r="R525" s="115" t="n">
        <v>238.39</v>
      </c>
      <c r="S525" s="116" t="n">
        <v>3642</v>
      </c>
      <c r="T525" s="116" t="n">
        <v>2364</v>
      </c>
      <c r="U525" s="117">
        <f>IFERROR(S525/T525,"")</f>
        <v/>
      </c>
      <c r="V525" s="116" t="n">
        <v>45</v>
      </c>
      <c r="W525" s="116" t="n">
        <v>35</v>
      </c>
      <c r="X525" s="118">
        <f>IFERROR(W525/S525,"")</f>
        <v/>
      </c>
      <c r="Y525" s="115">
        <f>IFERROR(R525/W525,"")</f>
        <v/>
      </c>
      <c r="Z525" s="115">
        <f>IFERROR(R525/S525*1000,"")</f>
        <v/>
      </c>
      <c r="AA525" s="116" t="n">
        <v>30</v>
      </c>
      <c r="AB525" s="47">
        <f>IFERROR(AA525/W525,"")</f>
        <v/>
      </c>
      <c r="AC525" s="116" t="n">
        <v>1430</v>
      </c>
      <c r="AD525" s="116" t="n">
        <v>832</v>
      </c>
      <c r="AE525" s="116" t="n">
        <v>764</v>
      </c>
      <c r="AF525" s="116" t="n">
        <v>451</v>
      </c>
      <c r="AG525" s="116" t="n">
        <v>300</v>
      </c>
      <c r="AH525" s="116" t="n">
        <v>181</v>
      </c>
      <c r="AI525" s="47">
        <f>IFERROR(AC525/S525,"")</f>
        <v/>
      </c>
      <c r="AJ525" s="47">
        <f>IFERROR(AH525/S525,"")</f>
        <v/>
      </c>
      <c r="AK525" s="116" t="n">
        <v>73</v>
      </c>
      <c r="AL525" s="116" t="n">
        <v>0</v>
      </c>
      <c r="AM525" s="118">
        <f>IFERROR(AL525/AA525,"")</f>
        <v/>
      </c>
      <c r="AN525" s="119">
        <f>IFERROR(R525/AL525,"")</f>
        <v/>
      </c>
      <c r="AO525" s="116" t="n">
        <v>0</v>
      </c>
      <c r="AP525" s="47">
        <f>IFERROR(AO525/AL525,"")</f>
        <v/>
      </c>
      <c r="AQ525" s="119">
        <f>IFERROR(R525/AO525,"")</f>
        <v/>
      </c>
      <c r="AR525" s="116" t="n">
        <v>0</v>
      </c>
      <c r="AS525" s="116" t="n">
        <v>0</v>
      </c>
      <c r="AT525" s="116">
        <f>AL525+AR525</f>
        <v/>
      </c>
      <c r="AU525" s="119">
        <f>IFERROR(AO525*Assumptions!$C$26*Assumptions!$C$27*INDEX(Assumptions!$C$18:$C$21,MATCH(H525,Assumptions!$B$18:$B$21,0)),0)</f>
        <v/>
      </c>
    </row>
    <row r="526">
      <c r="A526" s="114" t="n">
        <v>46261</v>
      </c>
      <c r="B526" s="42" t="inlineStr">
        <is>
          <t>Wk 35</t>
        </is>
      </c>
      <c r="C526" s="42" t="inlineStr">
        <is>
          <t>Thu</t>
        </is>
      </c>
      <c r="D526" s="42" t="inlineStr">
        <is>
          <t>Meta (FB/IG)</t>
        </is>
      </c>
      <c r="E526" s="42" t="inlineStr">
        <is>
          <t>Facebook + Instagram</t>
        </is>
      </c>
      <c r="F526" s="42" t="inlineStr">
        <is>
          <t>LEP_ZA_AUG26_META_TD_PANTERA_CONV</t>
        </is>
      </c>
      <c r="G526" s="42" t="inlineStr">
        <is>
          <t>Leads - Website Conversions</t>
        </is>
      </c>
      <c r="H526" s="42" t="inlineStr">
        <is>
          <t>PANTERA</t>
        </is>
      </c>
      <c r="I526" s="42" t="inlineStr">
        <is>
          <t>0% Deposit</t>
        </is>
      </c>
      <c r="J526" s="42" t="inlineStr">
        <is>
          <t>MET_PANTERA_BROAD_30-60_ZA</t>
        </is>
      </c>
      <c r="K526" s="42" t="inlineStr">
        <is>
          <t>Prospecting</t>
        </is>
      </c>
      <c r="L526" s="42" t="inlineStr">
        <is>
          <t>PANTERA_VID_25s_Flagship_v1</t>
        </is>
      </c>
      <c r="M526" s="42" t="inlineStr">
        <is>
          <t>Video 9:16</t>
        </is>
      </c>
      <c r="N526" s="42" t="inlineStr">
        <is>
          <t>The flagship, without the flagship price</t>
        </is>
      </c>
      <c r="O526" s="42" t="inlineStr">
        <is>
          <t>Auction - Cost Cap</t>
        </is>
      </c>
      <c r="P526" s="42" t="inlineStr">
        <is>
          <t>Offsite Conversions</t>
        </is>
      </c>
      <c r="Q526" s="42" t="inlineStr">
        <is>
          <t>https://www.lepas-sa.co.za/offers/pantera</t>
        </is>
      </c>
      <c r="R526" s="115" t="n">
        <v>378.95</v>
      </c>
      <c r="S526" s="116" t="n">
        <v>5632</v>
      </c>
      <c r="T526" s="116" t="n">
        <v>3327</v>
      </c>
      <c r="U526" s="117">
        <f>IFERROR(S526/T526,"")</f>
        <v/>
      </c>
      <c r="V526" s="116" t="n">
        <v>72</v>
      </c>
      <c r="W526" s="116" t="n">
        <v>54</v>
      </c>
      <c r="X526" s="118">
        <f>IFERROR(W526/S526,"")</f>
        <v/>
      </c>
      <c r="Y526" s="115">
        <f>IFERROR(R526/W526,"")</f>
        <v/>
      </c>
      <c r="Z526" s="115">
        <f>IFERROR(R526/S526*1000,"")</f>
        <v/>
      </c>
      <c r="AA526" s="116" t="n">
        <v>45</v>
      </c>
      <c r="AB526" s="47">
        <f>IFERROR(AA526/W526,"")</f>
        <v/>
      </c>
      <c r="AC526" s="116" t="n">
        <v>1874</v>
      </c>
      <c r="AD526" s="116" t="n">
        <v>915</v>
      </c>
      <c r="AE526" s="116" t="n">
        <v>1028</v>
      </c>
      <c r="AF526" s="116" t="n">
        <v>668</v>
      </c>
      <c r="AG526" s="116" t="n">
        <v>429</v>
      </c>
      <c r="AH526" s="116" t="n">
        <v>280</v>
      </c>
      <c r="AI526" s="47">
        <f>IFERROR(AC526/S526,"")</f>
        <v/>
      </c>
      <c r="AJ526" s="47">
        <f>IFERROR(AH526/S526,"")</f>
        <v/>
      </c>
      <c r="AK526" s="116" t="n">
        <v>97</v>
      </c>
      <c r="AL526" s="116" t="n">
        <v>0</v>
      </c>
      <c r="AM526" s="118">
        <f>IFERROR(AL526/AA526,"")</f>
        <v/>
      </c>
      <c r="AN526" s="119">
        <f>IFERROR(R526/AL526,"")</f>
        <v/>
      </c>
      <c r="AO526" s="116" t="n">
        <v>0</v>
      </c>
      <c r="AP526" s="47">
        <f>IFERROR(AO526/AL526,"")</f>
        <v/>
      </c>
      <c r="AQ526" s="119">
        <f>IFERROR(R526/AO526,"")</f>
        <v/>
      </c>
      <c r="AR526" s="116" t="n">
        <v>0</v>
      </c>
      <c r="AS526" s="116" t="n">
        <v>0</v>
      </c>
      <c r="AT526" s="116">
        <f>AL526+AR526</f>
        <v/>
      </c>
      <c r="AU526" s="119">
        <f>IFERROR(AO526*Assumptions!$C$26*Assumptions!$C$27*INDEX(Assumptions!$C$18:$C$21,MATCH(H526,Assumptions!$B$18:$B$21,0)),0)</f>
        <v/>
      </c>
    </row>
    <row r="527">
      <c r="A527" s="114" t="n">
        <v>46262</v>
      </c>
      <c r="B527" s="42" t="inlineStr">
        <is>
          <t>Wk 35</t>
        </is>
      </c>
      <c r="C527" s="42" t="inlineStr">
        <is>
          <t>Fri</t>
        </is>
      </c>
      <c r="D527" s="42" t="inlineStr">
        <is>
          <t>Meta (FB/IG)</t>
        </is>
      </c>
      <c r="E527" s="42" t="inlineStr">
        <is>
          <t>Facebook + Instagram</t>
        </is>
      </c>
      <c r="F527" s="42" t="inlineStr">
        <is>
          <t>LEP_ZA_AUG26_META_TD_PANTERA_CONV</t>
        </is>
      </c>
      <c r="G527" s="42" t="inlineStr">
        <is>
          <t>Leads - Website Conversions</t>
        </is>
      </c>
      <c r="H527" s="42" t="inlineStr">
        <is>
          <t>PANTERA</t>
        </is>
      </c>
      <c r="I527" s="42" t="inlineStr">
        <is>
          <t>0% Deposit</t>
        </is>
      </c>
      <c r="J527" s="42" t="inlineStr">
        <is>
          <t>MET_PANTERA_BROAD_30-60_ZA</t>
        </is>
      </c>
      <c r="K527" s="42" t="inlineStr">
        <is>
          <t>Prospecting</t>
        </is>
      </c>
      <c r="L527" s="42" t="inlineStr">
        <is>
          <t>PANTERA_VID_25s_Flagship_v1</t>
        </is>
      </c>
      <c r="M527" s="42" t="inlineStr">
        <is>
          <t>Video 9:16</t>
        </is>
      </c>
      <c r="N527" s="42" t="inlineStr">
        <is>
          <t>The flagship, without the flagship price</t>
        </is>
      </c>
      <c r="O527" s="42" t="inlineStr">
        <is>
          <t>Auction - Cost Cap</t>
        </is>
      </c>
      <c r="P527" s="42" t="inlineStr">
        <is>
          <t>Offsite Conversions</t>
        </is>
      </c>
      <c r="Q527" s="42" t="inlineStr">
        <is>
          <t>https://www.lepas-sa.co.za/offers/pantera</t>
        </is>
      </c>
      <c r="R527" s="115" t="n">
        <v>330.2</v>
      </c>
      <c r="S527" s="116" t="n">
        <v>4504</v>
      </c>
      <c r="T527" s="116" t="n">
        <v>2733</v>
      </c>
      <c r="U527" s="117">
        <f>IFERROR(S527/T527,"")</f>
        <v/>
      </c>
      <c r="V527" s="116" t="n">
        <v>55</v>
      </c>
      <c r="W527" s="116" t="n">
        <v>46</v>
      </c>
      <c r="X527" s="118">
        <f>IFERROR(W527/S527,"")</f>
        <v/>
      </c>
      <c r="Y527" s="115">
        <f>IFERROR(R527/W527,"")</f>
        <v/>
      </c>
      <c r="Z527" s="115">
        <f>IFERROR(R527/S527*1000,"")</f>
        <v/>
      </c>
      <c r="AA527" s="116" t="n">
        <v>39</v>
      </c>
      <c r="AB527" s="47">
        <f>IFERROR(AA527/W527,"")</f>
        <v/>
      </c>
      <c r="AC527" s="116" t="n">
        <v>1479</v>
      </c>
      <c r="AD527" s="116" t="n">
        <v>728</v>
      </c>
      <c r="AE527" s="116" t="n">
        <v>599</v>
      </c>
      <c r="AF527" s="116" t="n">
        <v>410</v>
      </c>
      <c r="AG527" s="116" t="n">
        <v>284</v>
      </c>
      <c r="AH527" s="116" t="n">
        <v>181</v>
      </c>
      <c r="AI527" s="47">
        <f>IFERROR(AC527/S527,"")</f>
        <v/>
      </c>
      <c r="AJ527" s="47">
        <f>IFERROR(AH527/S527,"")</f>
        <v/>
      </c>
      <c r="AK527" s="116" t="n">
        <v>107</v>
      </c>
      <c r="AL527" s="116" t="n">
        <v>1</v>
      </c>
      <c r="AM527" s="118">
        <f>IFERROR(AL527/AA527,"")</f>
        <v/>
      </c>
      <c r="AN527" s="119">
        <f>IFERROR(R527/AL527,"")</f>
        <v/>
      </c>
      <c r="AO527" s="116" t="n">
        <v>1</v>
      </c>
      <c r="AP527" s="47">
        <f>IFERROR(AO527/AL527,"")</f>
        <v/>
      </c>
      <c r="AQ527" s="119">
        <f>IFERROR(R527/AO527,"")</f>
        <v/>
      </c>
      <c r="AR527" s="116" t="n">
        <v>0</v>
      </c>
      <c r="AS527" s="116" t="n">
        <v>0</v>
      </c>
      <c r="AT527" s="116">
        <f>AL527+AR527</f>
        <v/>
      </c>
      <c r="AU527" s="119">
        <f>IFERROR(AO527*Assumptions!$C$26*Assumptions!$C$27*INDEX(Assumptions!$C$18:$C$21,MATCH(H527,Assumptions!$B$18:$B$21,0)),0)</f>
        <v/>
      </c>
    </row>
    <row r="528">
      <c r="A528" s="114" t="n">
        <v>46263</v>
      </c>
      <c r="B528" s="42" t="inlineStr">
        <is>
          <t>Wk 35</t>
        </is>
      </c>
      <c r="C528" s="42" t="inlineStr">
        <is>
          <t>Sat</t>
        </is>
      </c>
      <c r="D528" s="42" t="inlineStr">
        <is>
          <t>Meta (FB/IG)</t>
        </is>
      </c>
      <c r="E528" s="42" t="inlineStr">
        <is>
          <t>Facebook + Instagram</t>
        </is>
      </c>
      <c r="F528" s="42" t="inlineStr">
        <is>
          <t>LEP_ZA_AUG26_META_TD_PANTERA_CONV</t>
        </is>
      </c>
      <c r="G528" s="42" t="inlineStr">
        <is>
          <t>Leads - Website Conversions</t>
        </is>
      </c>
      <c r="H528" s="42" t="inlineStr">
        <is>
          <t>PANTERA</t>
        </is>
      </c>
      <c r="I528" s="42" t="inlineStr">
        <is>
          <t>0% Deposit</t>
        </is>
      </c>
      <c r="J528" s="42" t="inlineStr">
        <is>
          <t>MET_PANTERA_BROAD_30-60_ZA</t>
        </is>
      </c>
      <c r="K528" s="42" t="inlineStr">
        <is>
          <t>Prospecting</t>
        </is>
      </c>
      <c r="L528" s="42" t="inlineStr">
        <is>
          <t>PANTERA_VID_25s_Flagship_v1</t>
        </is>
      </c>
      <c r="M528" s="42" t="inlineStr">
        <is>
          <t>Video 9:16</t>
        </is>
      </c>
      <c r="N528" s="42" t="inlineStr">
        <is>
          <t>The flagship, without the flagship price</t>
        </is>
      </c>
      <c r="O528" s="42" t="inlineStr">
        <is>
          <t>Auction - Cost Cap</t>
        </is>
      </c>
      <c r="P528" s="42" t="inlineStr">
        <is>
          <t>Offsite Conversions</t>
        </is>
      </c>
      <c r="Q528" s="42" t="inlineStr">
        <is>
          <t>https://www.lepas-sa.co.za/offers/pantera</t>
        </is>
      </c>
      <c r="R528" s="115" t="n">
        <v>383.05</v>
      </c>
      <c r="S528" s="116" t="n">
        <v>5050</v>
      </c>
      <c r="T528" s="116" t="n">
        <v>2398</v>
      </c>
      <c r="U528" s="117">
        <f>IFERROR(S528/T528,"")</f>
        <v/>
      </c>
      <c r="V528" s="116" t="n">
        <v>96</v>
      </c>
      <c r="W528" s="116" t="n">
        <v>68</v>
      </c>
      <c r="X528" s="118">
        <f>IFERROR(W528/S528,"")</f>
        <v/>
      </c>
      <c r="Y528" s="115">
        <f>IFERROR(R528/W528,"")</f>
        <v/>
      </c>
      <c r="Z528" s="115">
        <f>IFERROR(R528/S528*1000,"")</f>
        <v/>
      </c>
      <c r="AA528" s="116" t="n">
        <v>60</v>
      </c>
      <c r="AB528" s="47">
        <f>IFERROR(AA528/W528,"")</f>
        <v/>
      </c>
      <c r="AC528" s="116" t="n">
        <v>1264</v>
      </c>
      <c r="AD528" s="116" t="n">
        <v>740</v>
      </c>
      <c r="AE528" s="116" t="n">
        <v>564</v>
      </c>
      <c r="AF528" s="116" t="n">
        <v>364</v>
      </c>
      <c r="AG528" s="116" t="n">
        <v>245</v>
      </c>
      <c r="AH528" s="116" t="n">
        <v>149</v>
      </c>
      <c r="AI528" s="47">
        <f>IFERROR(AC528/S528,"")</f>
        <v/>
      </c>
      <c r="AJ528" s="47">
        <f>IFERROR(AH528/S528,"")</f>
        <v/>
      </c>
      <c r="AK528" s="116" t="n">
        <v>133</v>
      </c>
      <c r="AL528" s="116" t="n">
        <v>1</v>
      </c>
      <c r="AM528" s="118">
        <f>IFERROR(AL528/AA528,"")</f>
        <v/>
      </c>
      <c r="AN528" s="119">
        <f>IFERROR(R528/AL528,"")</f>
        <v/>
      </c>
      <c r="AO528" s="116" t="n">
        <v>0</v>
      </c>
      <c r="AP528" s="47">
        <f>IFERROR(AO528/AL528,"")</f>
        <v/>
      </c>
      <c r="AQ528" s="119">
        <f>IFERROR(R528/AO528,"")</f>
        <v/>
      </c>
      <c r="AR528" s="116" t="n">
        <v>0</v>
      </c>
      <c r="AS528" s="116" t="n">
        <v>0</v>
      </c>
      <c r="AT528" s="116">
        <f>AL528+AR528</f>
        <v/>
      </c>
      <c r="AU528" s="119">
        <f>IFERROR(AO528*Assumptions!$C$26*Assumptions!$C$27*INDEX(Assumptions!$C$18:$C$21,MATCH(H528,Assumptions!$B$18:$B$21,0)),0)</f>
        <v/>
      </c>
    </row>
    <row r="529">
      <c r="A529" s="114" t="n">
        <v>46264</v>
      </c>
      <c r="B529" s="42" t="inlineStr">
        <is>
          <t>Wk 35</t>
        </is>
      </c>
      <c r="C529" s="42" t="inlineStr">
        <is>
          <t>Sun</t>
        </is>
      </c>
      <c r="D529" s="42" t="inlineStr">
        <is>
          <t>Meta (FB/IG)</t>
        </is>
      </c>
      <c r="E529" s="42" t="inlineStr">
        <is>
          <t>Facebook + Instagram</t>
        </is>
      </c>
      <c r="F529" s="42" t="inlineStr">
        <is>
          <t>LEP_ZA_AUG26_META_TD_PANTERA_CONV</t>
        </is>
      </c>
      <c r="G529" s="42" t="inlineStr">
        <is>
          <t>Leads - Website Conversions</t>
        </is>
      </c>
      <c r="H529" s="42" t="inlineStr">
        <is>
          <t>PANTERA</t>
        </is>
      </c>
      <c r="I529" s="42" t="inlineStr">
        <is>
          <t>0% Deposit</t>
        </is>
      </c>
      <c r="J529" s="42" t="inlineStr">
        <is>
          <t>MET_PANTERA_BROAD_30-60_ZA</t>
        </is>
      </c>
      <c r="K529" s="42" t="inlineStr">
        <is>
          <t>Prospecting</t>
        </is>
      </c>
      <c r="L529" s="42" t="inlineStr">
        <is>
          <t>PANTERA_VID_25s_Flagship_v1</t>
        </is>
      </c>
      <c r="M529" s="42" t="inlineStr">
        <is>
          <t>Video 9:16</t>
        </is>
      </c>
      <c r="N529" s="42" t="inlineStr">
        <is>
          <t>The flagship, without the flagship price</t>
        </is>
      </c>
      <c r="O529" s="42" t="inlineStr">
        <is>
          <t>Auction - Cost Cap</t>
        </is>
      </c>
      <c r="P529" s="42" t="inlineStr">
        <is>
          <t>Offsite Conversions</t>
        </is>
      </c>
      <c r="Q529" s="42" t="inlineStr">
        <is>
          <t>https://www.lepas-sa.co.za/offers/pantera</t>
        </is>
      </c>
      <c r="R529" s="115" t="n">
        <v>279.19</v>
      </c>
      <c r="S529" s="116" t="n">
        <v>3324</v>
      </c>
      <c r="T529" s="116" t="n">
        <v>1916</v>
      </c>
      <c r="U529" s="117">
        <f>IFERROR(S529/T529,"")</f>
        <v/>
      </c>
      <c r="V529" s="116" t="n">
        <v>26</v>
      </c>
      <c r="W529" s="116" t="n">
        <v>21</v>
      </c>
      <c r="X529" s="118">
        <f>IFERROR(W529/S529,"")</f>
        <v/>
      </c>
      <c r="Y529" s="115">
        <f>IFERROR(R529/W529,"")</f>
        <v/>
      </c>
      <c r="Z529" s="115">
        <f>IFERROR(R529/S529*1000,"")</f>
        <v/>
      </c>
      <c r="AA529" s="116" t="n">
        <v>18</v>
      </c>
      <c r="AB529" s="47">
        <f>IFERROR(AA529/W529,"")</f>
        <v/>
      </c>
      <c r="AC529" s="116" t="n">
        <v>747</v>
      </c>
      <c r="AD529" s="116" t="n">
        <v>367</v>
      </c>
      <c r="AE529" s="116" t="n">
        <v>343</v>
      </c>
      <c r="AF529" s="116" t="n">
        <v>216</v>
      </c>
      <c r="AG529" s="116" t="n">
        <v>170</v>
      </c>
      <c r="AH529" s="116" t="n">
        <v>126</v>
      </c>
      <c r="AI529" s="47">
        <f>IFERROR(AC529/S529,"")</f>
        <v/>
      </c>
      <c r="AJ529" s="47">
        <f>IFERROR(AH529/S529,"")</f>
        <v/>
      </c>
      <c r="AK529" s="116" t="n">
        <v>44</v>
      </c>
      <c r="AL529" s="116" t="n">
        <v>0</v>
      </c>
      <c r="AM529" s="118">
        <f>IFERROR(AL529/AA529,"")</f>
        <v/>
      </c>
      <c r="AN529" s="119">
        <f>IFERROR(R529/AL529,"")</f>
        <v/>
      </c>
      <c r="AO529" s="116" t="n">
        <v>0</v>
      </c>
      <c r="AP529" s="47">
        <f>IFERROR(AO529/AL529,"")</f>
        <v/>
      </c>
      <c r="AQ529" s="119">
        <f>IFERROR(R529/AO529,"")</f>
        <v/>
      </c>
      <c r="AR529" s="116" t="n">
        <v>0</v>
      </c>
      <c r="AS529" s="116" t="n">
        <v>0</v>
      </c>
      <c r="AT529" s="116">
        <f>AL529+AR529</f>
        <v/>
      </c>
      <c r="AU529" s="119">
        <f>IFERROR(AO529*Assumptions!$C$26*Assumptions!$C$27*INDEX(Assumptions!$C$18:$C$21,MATCH(H529,Assumptions!$B$18:$B$21,0)),0)</f>
        <v/>
      </c>
    </row>
    <row r="530">
      <c r="A530" s="114" t="n">
        <v>46265</v>
      </c>
      <c r="B530" s="42" t="inlineStr">
        <is>
          <t>Wk 36</t>
        </is>
      </c>
      <c r="C530" s="42" t="inlineStr">
        <is>
          <t>Mon</t>
        </is>
      </c>
      <c r="D530" s="42" t="inlineStr">
        <is>
          <t>Meta (FB/IG)</t>
        </is>
      </c>
      <c r="E530" s="42" t="inlineStr">
        <is>
          <t>Facebook + Instagram</t>
        </is>
      </c>
      <c r="F530" s="42" t="inlineStr">
        <is>
          <t>LEP_ZA_AUG26_META_TD_PANTERA_CONV</t>
        </is>
      </c>
      <c r="G530" s="42" t="inlineStr">
        <is>
          <t>Leads - Website Conversions</t>
        </is>
      </c>
      <c r="H530" s="42" t="inlineStr">
        <is>
          <t>PANTERA</t>
        </is>
      </c>
      <c r="I530" s="42" t="inlineStr">
        <is>
          <t>0% Deposit</t>
        </is>
      </c>
      <c r="J530" s="42" t="inlineStr">
        <is>
          <t>MET_PANTERA_BROAD_30-60_ZA</t>
        </is>
      </c>
      <c r="K530" s="42" t="inlineStr">
        <is>
          <t>Prospecting</t>
        </is>
      </c>
      <c r="L530" s="42" t="inlineStr">
        <is>
          <t>PANTERA_VID_25s_Flagship_v1</t>
        </is>
      </c>
      <c r="M530" s="42" t="inlineStr">
        <is>
          <t>Video 9:16</t>
        </is>
      </c>
      <c r="N530" s="42" t="inlineStr">
        <is>
          <t>The flagship, without the flagship price</t>
        </is>
      </c>
      <c r="O530" s="42" t="inlineStr">
        <is>
          <t>Auction - Cost Cap</t>
        </is>
      </c>
      <c r="P530" s="42" t="inlineStr">
        <is>
          <t>Offsite Conversions</t>
        </is>
      </c>
      <c r="Q530" s="42" t="inlineStr">
        <is>
          <t>https://www.lepas-sa.co.za/offers/pantera</t>
        </is>
      </c>
      <c r="R530" s="115" t="n">
        <v>276.61</v>
      </c>
      <c r="S530" s="116" t="n">
        <v>3074</v>
      </c>
      <c r="T530" s="116" t="n">
        <v>1490</v>
      </c>
      <c r="U530" s="117">
        <f>IFERROR(S530/T530,"")</f>
        <v/>
      </c>
      <c r="V530" s="116" t="n">
        <v>41</v>
      </c>
      <c r="W530" s="116" t="n">
        <v>30</v>
      </c>
      <c r="X530" s="118">
        <f>IFERROR(W530/S530,"")</f>
        <v/>
      </c>
      <c r="Y530" s="115">
        <f>IFERROR(R530/W530,"")</f>
        <v/>
      </c>
      <c r="Z530" s="115">
        <f>IFERROR(R530/S530*1000,"")</f>
        <v/>
      </c>
      <c r="AA530" s="116" t="n">
        <v>24</v>
      </c>
      <c r="AB530" s="47">
        <f>IFERROR(AA530/W530,"")</f>
        <v/>
      </c>
      <c r="AC530" s="116" t="n">
        <v>846</v>
      </c>
      <c r="AD530" s="116" t="n">
        <v>502</v>
      </c>
      <c r="AE530" s="116" t="n">
        <v>357</v>
      </c>
      <c r="AF530" s="116" t="n">
        <v>245</v>
      </c>
      <c r="AG530" s="116" t="n">
        <v>160</v>
      </c>
      <c r="AH530" s="116" t="n">
        <v>117</v>
      </c>
      <c r="AI530" s="47">
        <f>IFERROR(AC530/S530,"")</f>
        <v/>
      </c>
      <c r="AJ530" s="47">
        <f>IFERROR(AH530/S530,"")</f>
        <v/>
      </c>
      <c r="AK530" s="116" t="n">
        <v>46</v>
      </c>
      <c r="AL530" s="116" t="n">
        <v>1</v>
      </c>
      <c r="AM530" s="118">
        <f>IFERROR(AL530/AA530,"")</f>
        <v/>
      </c>
      <c r="AN530" s="119">
        <f>IFERROR(R530/AL530,"")</f>
        <v/>
      </c>
      <c r="AO530" s="116" t="n">
        <v>1</v>
      </c>
      <c r="AP530" s="47">
        <f>IFERROR(AO530/AL530,"")</f>
        <v/>
      </c>
      <c r="AQ530" s="119">
        <f>IFERROR(R530/AO530,"")</f>
        <v/>
      </c>
      <c r="AR530" s="116" t="n">
        <v>0</v>
      </c>
      <c r="AS530" s="116" t="n">
        <v>0</v>
      </c>
      <c r="AT530" s="116">
        <f>AL530+AR530</f>
        <v/>
      </c>
      <c r="AU530" s="119">
        <f>IFERROR(AO530*Assumptions!$C$26*Assumptions!$C$27*INDEX(Assumptions!$C$18:$C$21,MATCH(H530,Assumptions!$B$18:$B$21,0)),0)</f>
        <v/>
      </c>
    </row>
    <row r="531">
      <c r="A531" s="114" t="n">
        <v>46235</v>
      </c>
      <c r="B531" s="42" t="inlineStr">
        <is>
          <t>Wk 31</t>
        </is>
      </c>
      <c r="C531" s="42" t="inlineStr">
        <is>
          <t>Sat</t>
        </is>
      </c>
      <c r="D531" s="42" t="inlineStr">
        <is>
          <t>Meta (FB/IG)</t>
        </is>
      </c>
      <c r="E531" s="42" t="inlineStr">
        <is>
          <t>Facebook + Instagram</t>
        </is>
      </c>
      <c r="F531" s="42" t="inlineStr">
        <is>
          <t>LEP_ZA_AUG26_META_TD_PANTERA_CONV</t>
        </is>
      </c>
      <c r="G531" s="42" t="inlineStr">
        <is>
          <t>Leads - Website Conversions</t>
        </is>
      </c>
      <c r="H531" s="42" t="inlineStr">
        <is>
          <t>PANTERA</t>
        </is>
      </c>
      <c r="I531" s="42" t="inlineStr">
        <is>
          <t>0% Deposit</t>
        </is>
      </c>
      <c r="J531" s="42" t="inlineStr">
        <is>
          <t>MET_PANTERA_BROAD_30-60_ZA</t>
        </is>
      </c>
      <c r="K531" s="42" t="inlineStr">
        <is>
          <t>Prospecting</t>
        </is>
      </c>
      <c r="L531" s="42" t="inlineStr">
        <is>
          <t>PANTERA_STA_Offer_0Dep_v1</t>
        </is>
      </c>
      <c r="M531" s="42" t="inlineStr">
        <is>
          <t>Static 1:1</t>
        </is>
      </c>
      <c r="N531" s="42" t="inlineStr">
        <is>
          <t>PANTERA. Zero deposit.</t>
        </is>
      </c>
      <c r="O531" s="42" t="inlineStr">
        <is>
          <t>Auction - Cost Cap</t>
        </is>
      </c>
      <c r="P531" s="42" t="inlineStr">
        <is>
          <t>Offsite Conversions</t>
        </is>
      </c>
      <c r="Q531" s="42" t="inlineStr">
        <is>
          <t>https://www.lepas-sa.co.za/offers/pantera</t>
        </is>
      </c>
      <c r="R531" s="115" t="n">
        <v>189.12</v>
      </c>
      <c r="S531" s="116" t="n">
        <v>2447</v>
      </c>
      <c r="T531" s="116" t="n">
        <v>1684</v>
      </c>
      <c r="U531" s="117">
        <f>IFERROR(S531/T531,"")</f>
        <v/>
      </c>
      <c r="V531" s="116" t="n">
        <v>38</v>
      </c>
      <c r="W531" s="116" t="n">
        <v>28</v>
      </c>
      <c r="X531" s="118">
        <f>IFERROR(W531/S531,"")</f>
        <v/>
      </c>
      <c r="Y531" s="115">
        <f>IFERROR(R531/W531,"")</f>
        <v/>
      </c>
      <c r="Z531" s="115">
        <f>IFERROR(R531/S531*1000,"")</f>
        <v/>
      </c>
      <c r="AA531" s="116" t="n">
        <v>23</v>
      </c>
      <c r="AB531" s="47">
        <f>IFERROR(AA531/W531,"")</f>
        <v/>
      </c>
      <c r="AC531" s="116" t="n">
        <v>0</v>
      </c>
      <c r="AD531" s="116" t="n">
        <v>0</v>
      </c>
      <c r="AE531" s="116" t="n">
        <v>0</v>
      </c>
      <c r="AF531" s="116" t="n">
        <v>0</v>
      </c>
      <c r="AG531" s="116" t="n">
        <v>0</v>
      </c>
      <c r="AH531" s="116" t="n">
        <v>0</v>
      </c>
      <c r="AI531" s="47">
        <f>IFERROR(AC531/S531,"")</f>
        <v/>
      </c>
      <c r="AJ531" s="47">
        <f>IFERROR(AH531/S531,"")</f>
        <v/>
      </c>
      <c r="AK531" s="116" t="n">
        <v>54</v>
      </c>
      <c r="AL531" s="116" t="n">
        <v>0</v>
      </c>
      <c r="AM531" s="118">
        <f>IFERROR(AL531/AA531,"")</f>
        <v/>
      </c>
      <c r="AN531" s="119">
        <f>IFERROR(R531/AL531,"")</f>
        <v/>
      </c>
      <c r="AO531" s="116" t="n">
        <v>0</v>
      </c>
      <c r="AP531" s="47">
        <f>IFERROR(AO531/AL531,"")</f>
        <v/>
      </c>
      <c r="AQ531" s="119">
        <f>IFERROR(R531/AO531,"")</f>
        <v/>
      </c>
      <c r="AR531" s="116" t="n">
        <v>0</v>
      </c>
      <c r="AS531" s="116" t="n">
        <v>0</v>
      </c>
      <c r="AT531" s="116">
        <f>AL531+AR531</f>
        <v/>
      </c>
      <c r="AU531" s="119">
        <f>IFERROR(AO531*Assumptions!$C$26*Assumptions!$C$27*INDEX(Assumptions!$C$18:$C$21,MATCH(H531,Assumptions!$B$18:$B$21,0)),0)</f>
        <v/>
      </c>
    </row>
    <row r="532">
      <c r="A532" s="114" t="n">
        <v>46236</v>
      </c>
      <c r="B532" s="42" t="inlineStr">
        <is>
          <t>Wk 31</t>
        </is>
      </c>
      <c r="C532" s="42" t="inlineStr">
        <is>
          <t>Sun</t>
        </is>
      </c>
      <c r="D532" s="42" t="inlineStr">
        <is>
          <t>Meta (FB/IG)</t>
        </is>
      </c>
      <c r="E532" s="42" t="inlineStr">
        <is>
          <t>Facebook + Instagram</t>
        </is>
      </c>
      <c r="F532" s="42" t="inlineStr">
        <is>
          <t>LEP_ZA_AUG26_META_TD_PANTERA_CONV</t>
        </is>
      </c>
      <c r="G532" s="42" t="inlineStr">
        <is>
          <t>Leads - Website Conversions</t>
        </is>
      </c>
      <c r="H532" s="42" t="inlineStr">
        <is>
          <t>PANTERA</t>
        </is>
      </c>
      <c r="I532" s="42" t="inlineStr">
        <is>
          <t>0% Deposit</t>
        </is>
      </c>
      <c r="J532" s="42" t="inlineStr">
        <is>
          <t>MET_PANTERA_BROAD_30-60_ZA</t>
        </is>
      </c>
      <c r="K532" s="42" t="inlineStr">
        <is>
          <t>Prospecting</t>
        </is>
      </c>
      <c r="L532" s="42" t="inlineStr">
        <is>
          <t>PANTERA_STA_Offer_0Dep_v1</t>
        </is>
      </c>
      <c r="M532" s="42" t="inlineStr">
        <is>
          <t>Static 1:1</t>
        </is>
      </c>
      <c r="N532" s="42" t="inlineStr">
        <is>
          <t>PANTERA. Zero deposit.</t>
        </is>
      </c>
      <c r="O532" s="42" t="inlineStr">
        <is>
          <t>Auction - Cost Cap</t>
        </is>
      </c>
      <c r="P532" s="42" t="inlineStr">
        <is>
          <t>Offsite Conversions</t>
        </is>
      </c>
      <c r="Q532" s="42" t="inlineStr">
        <is>
          <t>https://www.lepas-sa.co.za/offers/pantera</t>
        </is>
      </c>
      <c r="R532" s="115" t="n">
        <v>175.62</v>
      </c>
      <c r="S532" s="116" t="n">
        <v>2553</v>
      </c>
      <c r="T532" s="116" t="n">
        <v>1696</v>
      </c>
      <c r="U532" s="117">
        <f>IFERROR(S532/T532,"")</f>
        <v/>
      </c>
      <c r="V532" s="116" t="n">
        <v>34</v>
      </c>
      <c r="W532" s="116" t="n">
        <v>26</v>
      </c>
      <c r="X532" s="118">
        <f>IFERROR(W532/S532,"")</f>
        <v/>
      </c>
      <c r="Y532" s="115">
        <f>IFERROR(R532/W532,"")</f>
        <v/>
      </c>
      <c r="Z532" s="115">
        <f>IFERROR(R532/S532*1000,"")</f>
        <v/>
      </c>
      <c r="AA532" s="116" t="n">
        <v>23</v>
      </c>
      <c r="AB532" s="47">
        <f>IFERROR(AA532/W532,"")</f>
        <v/>
      </c>
      <c r="AC532" s="116" t="n">
        <v>0</v>
      </c>
      <c r="AD532" s="116" t="n">
        <v>0</v>
      </c>
      <c r="AE532" s="116" t="n">
        <v>0</v>
      </c>
      <c r="AF532" s="116" t="n">
        <v>0</v>
      </c>
      <c r="AG532" s="116" t="n">
        <v>0</v>
      </c>
      <c r="AH532" s="116" t="n">
        <v>0</v>
      </c>
      <c r="AI532" s="47">
        <f>IFERROR(AC532/S532,"")</f>
        <v/>
      </c>
      <c r="AJ532" s="47">
        <f>IFERROR(AH532/S532,"")</f>
        <v/>
      </c>
      <c r="AK532" s="116" t="n">
        <v>84</v>
      </c>
      <c r="AL532" s="116" t="n">
        <v>0</v>
      </c>
      <c r="AM532" s="118">
        <f>IFERROR(AL532/AA532,"")</f>
        <v/>
      </c>
      <c r="AN532" s="119">
        <f>IFERROR(R532/AL532,"")</f>
        <v/>
      </c>
      <c r="AO532" s="116" t="n">
        <v>0</v>
      </c>
      <c r="AP532" s="47">
        <f>IFERROR(AO532/AL532,"")</f>
        <v/>
      </c>
      <c r="AQ532" s="119">
        <f>IFERROR(R532/AO532,"")</f>
        <v/>
      </c>
      <c r="AR532" s="116" t="n">
        <v>0</v>
      </c>
      <c r="AS532" s="116" t="n">
        <v>0</v>
      </c>
      <c r="AT532" s="116">
        <f>AL532+AR532</f>
        <v/>
      </c>
      <c r="AU532" s="119">
        <f>IFERROR(AO532*Assumptions!$C$26*Assumptions!$C$27*INDEX(Assumptions!$C$18:$C$21,MATCH(H532,Assumptions!$B$18:$B$21,0)),0)</f>
        <v/>
      </c>
    </row>
    <row r="533">
      <c r="A533" s="114" t="n">
        <v>46237</v>
      </c>
      <c r="B533" s="42" t="inlineStr">
        <is>
          <t>Wk 32</t>
        </is>
      </c>
      <c r="C533" s="42" t="inlineStr">
        <is>
          <t>Mon</t>
        </is>
      </c>
      <c r="D533" s="42" t="inlineStr">
        <is>
          <t>Meta (FB/IG)</t>
        </is>
      </c>
      <c r="E533" s="42" t="inlineStr">
        <is>
          <t>Facebook + Instagram</t>
        </is>
      </c>
      <c r="F533" s="42" t="inlineStr">
        <is>
          <t>LEP_ZA_AUG26_META_TD_PANTERA_CONV</t>
        </is>
      </c>
      <c r="G533" s="42" t="inlineStr">
        <is>
          <t>Leads - Website Conversions</t>
        </is>
      </c>
      <c r="H533" s="42" t="inlineStr">
        <is>
          <t>PANTERA</t>
        </is>
      </c>
      <c r="I533" s="42" t="inlineStr">
        <is>
          <t>0% Deposit</t>
        </is>
      </c>
      <c r="J533" s="42" t="inlineStr">
        <is>
          <t>MET_PANTERA_BROAD_30-60_ZA</t>
        </is>
      </c>
      <c r="K533" s="42" t="inlineStr">
        <is>
          <t>Prospecting</t>
        </is>
      </c>
      <c r="L533" s="42" t="inlineStr">
        <is>
          <t>PANTERA_STA_Offer_0Dep_v1</t>
        </is>
      </c>
      <c r="M533" s="42" t="inlineStr">
        <is>
          <t>Static 1:1</t>
        </is>
      </c>
      <c r="N533" s="42" t="inlineStr">
        <is>
          <t>PANTERA. Zero deposit.</t>
        </is>
      </c>
      <c r="O533" s="42" t="inlineStr">
        <is>
          <t>Auction - Cost Cap</t>
        </is>
      </c>
      <c r="P533" s="42" t="inlineStr">
        <is>
          <t>Offsite Conversions</t>
        </is>
      </c>
      <c r="Q533" s="42" t="inlineStr">
        <is>
          <t>https://www.lepas-sa.co.za/offers/pantera</t>
        </is>
      </c>
      <c r="R533" s="115" t="n">
        <v>176.82</v>
      </c>
      <c r="S533" s="116" t="n">
        <v>2407</v>
      </c>
      <c r="T533" s="116" t="n">
        <v>1881</v>
      </c>
      <c r="U533" s="117">
        <f>IFERROR(S533/T533,"")</f>
        <v/>
      </c>
      <c r="V533" s="116" t="n">
        <v>45</v>
      </c>
      <c r="W533" s="116" t="n">
        <v>38</v>
      </c>
      <c r="X533" s="118">
        <f>IFERROR(W533/S533,"")</f>
        <v/>
      </c>
      <c r="Y533" s="115">
        <f>IFERROR(R533/W533,"")</f>
        <v/>
      </c>
      <c r="Z533" s="115">
        <f>IFERROR(R533/S533*1000,"")</f>
        <v/>
      </c>
      <c r="AA533" s="116" t="n">
        <v>33</v>
      </c>
      <c r="AB533" s="47">
        <f>IFERROR(AA533/W533,"")</f>
        <v/>
      </c>
      <c r="AC533" s="116" t="n">
        <v>0</v>
      </c>
      <c r="AD533" s="116" t="n">
        <v>0</v>
      </c>
      <c r="AE533" s="116" t="n">
        <v>0</v>
      </c>
      <c r="AF533" s="116" t="n">
        <v>0</v>
      </c>
      <c r="AG533" s="116" t="n">
        <v>0</v>
      </c>
      <c r="AH533" s="116" t="n">
        <v>0</v>
      </c>
      <c r="AI533" s="47">
        <f>IFERROR(AC533/S533,"")</f>
        <v/>
      </c>
      <c r="AJ533" s="47">
        <f>IFERROR(AH533/S533,"")</f>
        <v/>
      </c>
      <c r="AK533" s="116" t="n">
        <v>57</v>
      </c>
      <c r="AL533" s="116" t="n">
        <v>1</v>
      </c>
      <c r="AM533" s="118">
        <f>IFERROR(AL533/AA533,"")</f>
        <v/>
      </c>
      <c r="AN533" s="119">
        <f>IFERROR(R533/AL533,"")</f>
        <v/>
      </c>
      <c r="AO533" s="116" t="n">
        <v>0</v>
      </c>
      <c r="AP533" s="47">
        <f>IFERROR(AO533/AL533,"")</f>
        <v/>
      </c>
      <c r="AQ533" s="119">
        <f>IFERROR(R533/AO533,"")</f>
        <v/>
      </c>
      <c r="AR533" s="116" t="n">
        <v>0</v>
      </c>
      <c r="AS533" s="116" t="n">
        <v>0</v>
      </c>
      <c r="AT533" s="116">
        <f>AL533+AR533</f>
        <v/>
      </c>
      <c r="AU533" s="119">
        <f>IFERROR(AO533*Assumptions!$C$26*Assumptions!$C$27*INDEX(Assumptions!$C$18:$C$21,MATCH(H533,Assumptions!$B$18:$B$21,0)),0)</f>
        <v/>
      </c>
    </row>
    <row r="534">
      <c r="A534" s="114" t="n">
        <v>46238</v>
      </c>
      <c r="B534" s="42" t="inlineStr">
        <is>
          <t>Wk 32</t>
        </is>
      </c>
      <c r="C534" s="42" t="inlineStr">
        <is>
          <t>Tue</t>
        </is>
      </c>
      <c r="D534" s="42" t="inlineStr">
        <is>
          <t>Meta (FB/IG)</t>
        </is>
      </c>
      <c r="E534" s="42" t="inlineStr">
        <is>
          <t>Facebook + Instagram</t>
        </is>
      </c>
      <c r="F534" s="42" t="inlineStr">
        <is>
          <t>LEP_ZA_AUG26_META_TD_PANTERA_CONV</t>
        </is>
      </c>
      <c r="G534" s="42" t="inlineStr">
        <is>
          <t>Leads - Website Conversions</t>
        </is>
      </c>
      <c r="H534" s="42" t="inlineStr">
        <is>
          <t>PANTERA</t>
        </is>
      </c>
      <c r="I534" s="42" t="inlineStr">
        <is>
          <t>0% Deposit</t>
        </is>
      </c>
      <c r="J534" s="42" t="inlineStr">
        <is>
          <t>MET_PANTERA_BROAD_30-60_ZA</t>
        </is>
      </c>
      <c r="K534" s="42" t="inlineStr">
        <is>
          <t>Prospecting</t>
        </is>
      </c>
      <c r="L534" s="42" t="inlineStr">
        <is>
          <t>PANTERA_STA_Offer_0Dep_v1</t>
        </is>
      </c>
      <c r="M534" s="42" t="inlineStr">
        <is>
          <t>Static 1:1</t>
        </is>
      </c>
      <c r="N534" s="42" t="inlineStr">
        <is>
          <t>PANTERA. Zero deposit.</t>
        </is>
      </c>
      <c r="O534" s="42" t="inlineStr">
        <is>
          <t>Auction - Cost Cap</t>
        </is>
      </c>
      <c r="P534" s="42" t="inlineStr">
        <is>
          <t>Offsite Conversions</t>
        </is>
      </c>
      <c r="Q534" s="42" t="inlineStr">
        <is>
          <t>https://www.lepas-sa.co.za/offers/pantera</t>
        </is>
      </c>
      <c r="R534" s="115" t="n">
        <v>228.43</v>
      </c>
      <c r="S534" s="116" t="n">
        <v>3933</v>
      </c>
      <c r="T534" s="116" t="n">
        <v>2769</v>
      </c>
      <c r="U534" s="117">
        <f>IFERROR(S534/T534,"")</f>
        <v/>
      </c>
      <c r="V534" s="116" t="n">
        <v>96</v>
      </c>
      <c r="W534" s="116" t="n">
        <v>69</v>
      </c>
      <c r="X534" s="118">
        <f>IFERROR(W534/S534,"")</f>
        <v/>
      </c>
      <c r="Y534" s="115">
        <f>IFERROR(R534/W534,"")</f>
        <v/>
      </c>
      <c r="Z534" s="115">
        <f>IFERROR(R534/S534*1000,"")</f>
        <v/>
      </c>
      <c r="AA534" s="116" t="n">
        <v>63</v>
      </c>
      <c r="AB534" s="47">
        <f>IFERROR(AA534/W534,"")</f>
        <v/>
      </c>
      <c r="AC534" s="116" t="n">
        <v>0</v>
      </c>
      <c r="AD534" s="116" t="n">
        <v>0</v>
      </c>
      <c r="AE534" s="116" t="n">
        <v>0</v>
      </c>
      <c r="AF534" s="116" t="n">
        <v>0</v>
      </c>
      <c r="AG534" s="116" t="n">
        <v>0</v>
      </c>
      <c r="AH534" s="116" t="n">
        <v>0</v>
      </c>
      <c r="AI534" s="47">
        <f>IFERROR(AC534/S534,"")</f>
        <v/>
      </c>
      <c r="AJ534" s="47">
        <f>IFERROR(AH534/S534,"")</f>
        <v/>
      </c>
      <c r="AK534" s="116" t="n">
        <v>96</v>
      </c>
      <c r="AL534" s="116" t="n">
        <v>1</v>
      </c>
      <c r="AM534" s="118">
        <f>IFERROR(AL534/AA534,"")</f>
        <v/>
      </c>
      <c r="AN534" s="119">
        <f>IFERROR(R534/AL534,"")</f>
        <v/>
      </c>
      <c r="AO534" s="116" t="n">
        <v>1</v>
      </c>
      <c r="AP534" s="47">
        <f>IFERROR(AO534/AL534,"")</f>
        <v/>
      </c>
      <c r="AQ534" s="119">
        <f>IFERROR(R534/AO534,"")</f>
        <v/>
      </c>
      <c r="AR534" s="116" t="n">
        <v>0</v>
      </c>
      <c r="AS534" s="116" t="n">
        <v>0</v>
      </c>
      <c r="AT534" s="116">
        <f>AL534+AR534</f>
        <v/>
      </c>
      <c r="AU534" s="119">
        <f>IFERROR(AO534*Assumptions!$C$26*Assumptions!$C$27*INDEX(Assumptions!$C$18:$C$21,MATCH(H534,Assumptions!$B$18:$B$21,0)),0)</f>
        <v/>
      </c>
    </row>
    <row r="535">
      <c r="A535" s="114" t="n">
        <v>46239</v>
      </c>
      <c r="B535" s="42" t="inlineStr">
        <is>
          <t>Wk 32</t>
        </is>
      </c>
      <c r="C535" s="42" t="inlineStr">
        <is>
          <t>Wed</t>
        </is>
      </c>
      <c r="D535" s="42" t="inlineStr">
        <is>
          <t>Meta (FB/IG)</t>
        </is>
      </c>
      <c r="E535" s="42" t="inlineStr">
        <is>
          <t>Facebook + Instagram</t>
        </is>
      </c>
      <c r="F535" s="42" t="inlineStr">
        <is>
          <t>LEP_ZA_AUG26_META_TD_PANTERA_CONV</t>
        </is>
      </c>
      <c r="G535" s="42" t="inlineStr">
        <is>
          <t>Leads - Website Conversions</t>
        </is>
      </c>
      <c r="H535" s="42" t="inlineStr">
        <is>
          <t>PANTERA</t>
        </is>
      </c>
      <c r="I535" s="42" t="inlineStr">
        <is>
          <t>0% Deposit</t>
        </is>
      </c>
      <c r="J535" s="42" t="inlineStr">
        <is>
          <t>MET_PANTERA_BROAD_30-60_ZA</t>
        </is>
      </c>
      <c r="K535" s="42" t="inlineStr">
        <is>
          <t>Prospecting</t>
        </is>
      </c>
      <c r="L535" s="42" t="inlineStr">
        <is>
          <t>PANTERA_STA_Offer_0Dep_v1</t>
        </is>
      </c>
      <c r="M535" s="42" t="inlineStr">
        <is>
          <t>Static 1:1</t>
        </is>
      </c>
      <c r="N535" s="42" t="inlineStr">
        <is>
          <t>PANTERA. Zero deposit.</t>
        </is>
      </c>
      <c r="O535" s="42" t="inlineStr">
        <is>
          <t>Auction - Cost Cap</t>
        </is>
      </c>
      <c r="P535" s="42" t="inlineStr">
        <is>
          <t>Offsite Conversions</t>
        </is>
      </c>
      <c r="Q535" s="42" t="inlineStr">
        <is>
          <t>https://www.lepas-sa.co.za/offers/pantera</t>
        </is>
      </c>
      <c r="R535" s="115" t="n">
        <v>187.33</v>
      </c>
      <c r="S535" s="116" t="n">
        <v>2819</v>
      </c>
      <c r="T535" s="116" t="n">
        <v>2462</v>
      </c>
      <c r="U535" s="117">
        <f>IFERROR(S535/T535,"")</f>
        <v/>
      </c>
      <c r="V535" s="116" t="n">
        <v>43</v>
      </c>
      <c r="W535" s="116" t="n">
        <v>34</v>
      </c>
      <c r="X535" s="118">
        <f>IFERROR(W535/S535,"")</f>
        <v/>
      </c>
      <c r="Y535" s="115">
        <f>IFERROR(R535/W535,"")</f>
        <v/>
      </c>
      <c r="Z535" s="115">
        <f>IFERROR(R535/S535*1000,"")</f>
        <v/>
      </c>
      <c r="AA535" s="116" t="n">
        <v>28</v>
      </c>
      <c r="AB535" s="47">
        <f>IFERROR(AA535/W535,"")</f>
        <v/>
      </c>
      <c r="AC535" s="116" t="n">
        <v>0</v>
      </c>
      <c r="AD535" s="116" t="n">
        <v>0</v>
      </c>
      <c r="AE535" s="116" t="n">
        <v>0</v>
      </c>
      <c r="AF535" s="116" t="n">
        <v>0</v>
      </c>
      <c r="AG535" s="116" t="n">
        <v>0</v>
      </c>
      <c r="AH535" s="116" t="n">
        <v>0</v>
      </c>
      <c r="AI535" s="47">
        <f>IFERROR(AC535/S535,"")</f>
        <v/>
      </c>
      <c r="AJ535" s="47">
        <f>IFERROR(AH535/S535,"")</f>
        <v/>
      </c>
      <c r="AK535" s="116" t="n">
        <v>32</v>
      </c>
      <c r="AL535" s="116" t="n">
        <v>0</v>
      </c>
      <c r="AM535" s="118">
        <f>IFERROR(AL535/AA535,"")</f>
        <v/>
      </c>
      <c r="AN535" s="119">
        <f>IFERROR(R535/AL535,"")</f>
        <v/>
      </c>
      <c r="AO535" s="116" t="n">
        <v>0</v>
      </c>
      <c r="AP535" s="47">
        <f>IFERROR(AO535/AL535,"")</f>
        <v/>
      </c>
      <c r="AQ535" s="119">
        <f>IFERROR(R535/AO535,"")</f>
        <v/>
      </c>
      <c r="AR535" s="116" t="n">
        <v>0</v>
      </c>
      <c r="AS535" s="116" t="n">
        <v>0</v>
      </c>
      <c r="AT535" s="116">
        <f>AL535+AR535</f>
        <v/>
      </c>
      <c r="AU535" s="119">
        <f>IFERROR(AO535*Assumptions!$C$26*Assumptions!$C$27*INDEX(Assumptions!$C$18:$C$21,MATCH(H535,Assumptions!$B$18:$B$21,0)),0)</f>
        <v/>
      </c>
    </row>
    <row r="536">
      <c r="A536" s="114" t="n">
        <v>46240</v>
      </c>
      <c r="B536" s="42" t="inlineStr">
        <is>
          <t>Wk 32</t>
        </is>
      </c>
      <c r="C536" s="42" t="inlineStr">
        <is>
          <t>Thu</t>
        </is>
      </c>
      <c r="D536" s="42" t="inlineStr">
        <is>
          <t>Meta (FB/IG)</t>
        </is>
      </c>
      <c r="E536" s="42" t="inlineStr">
        <is>
          <t>Facebook + Instagram</t>
        </is>
      </c>
      <c r="F536" s="42" t="inlineStr">
        <is>
          <t>LEP_ZA_AUG26_META_TD_PANTERA_CONV</t>
        </is>
      </c>
      <c r="G536" s="42" t="inlineStr">
        <is>
          <t>Leads - Website Conversions</t>
        </is>
      </c>
      <c r="H536" s="42" t="inlineStr">
        <is>
          <t>PANTERA</t>
        </is>
      </c>
      <c r="I536" s="42" t="inlineStr">
        <is>
          <t>0% Deposit</t>
        </is>
      </c>
      <c r="J536" s="42" t="inlineStr">
        <is>
          <t>MET_PANTERA_BROAD_30-60_ZA</t>
        </is>
      </c>
      <c r="K536" s="42" t="inlineStr">
        <is>
          <t>Prospecting</t>
        </is>
      </c>
      <c r="L536" s="42" t="inlineStr">
        <is>
          <t>PANTERA_STA_Offer_0Dep_v1</t>
        </is>
      </c>
      <c r="M536" s="42" t="inlineStr">
        <is>
          <t>Static 1:1</t>
        </is>
      </c>
      <c r="N536" s="42" t="inlineStr">
        <is>
          <t>PANTERA. Zero deposit.</t>
        </is>
      </c>
      <c r="O536" s="42" t="inlineStr">
        <is>
          <t>Auction - Cost Cap</t>
        </is>
      </c>
      <c r="P536" s="42" t="inlineStr">
        <is>
          <t>Offsite Conversions</t>
        </is>
      </c>
      <c r="Q536" s="42" t="inlineStr">
        <is>
          <t>https://www.lepas-sa.co.za/offers/pantera</t>
        </is>
      </c>
      <c r="R536" s="115" t="n">
        <v>266.01</v>
      </c>
      <c r="S536" s="116" t="n">
        <v>4030</v>
      </c>
      <c r="T536" s="116" t="n">
        <v>2571</v>
      </c>
      <c r="U536" s="117">
        <f>IFERROR(S536/T536,"")</f>
        <v/>
      </c>
      <c r="V536" s="116" t="n">
        <v>48</v>
      </c>
      <c r="W536" s="116" t="n">
        <v>40</v>
      </c>
      <c r="X536" s="118">
        <f>IFERROR(W536/S536,"")</f>
        <v/>
      </c>
      <c r="Y536" s="115">
        <f>IFERROR(R536/W536,"")</f>
        <v/>
      </c>
      <c r="Z536" s="115">
        <f>IFERROR(R536/S536*1000,"")</f>
        <v/>
      </c>
      <c r="AA536" s="116" t="n">
        <v>32</v>
      </c>
      <c r="AB536" s="47">
        <f>IFERROR(AA536/W536,"")</f>
        <v/>
      </c>
      <c r="AC536" s="116" t="n">
        <v>0</v>
      </c>
      <c r="AD536" s="116" t="n">
        <v>0</v>
      </c>
      <c r="AE536" s="116" t="n">
        <v>0</v>
      </c>
      <c r="AF536" s="116" t="n">
        <v>0</v>
      </c>
      <c r="AG536" s="116" t="n">
        <v>0</v>
      </c>
      <c r="AH536" s="116" t="n">
        <v>0</v>
      </c>
      <c r="AI536" s="47">
        <f>IFERROR(AC536/S536,"")</f>
        <v/>
      </c>
      <c r="AJ536" s="47">
        <f>IFERROR(AH536/S536,"")</f>
        <v/>
      </c>
      <c r="AK536" s="116" t="n">
        <v>41</v>
      </c>
      <c r="AL536" s="116" t="n">
        <v>0</v>
      </c>
      <c r="AM536" s="118">
        <f>IFERROR(AL536/AA536,"")</f>
        <v/>
      </c>
      <c r="AN536" s="119">
        <f>IFERROR(R536/AL536,"")</f>
        <v/>
      </c>
      <c r="AO536" s="116" t="n">
        <v>0</v>
      </c>
      <c r="AP536" s="47">
        <f>IFERROR(AO536/AL536,"")</f>
        <v/>
      </c>
      <c r="AQ536" s="119">
        <f>IFERROR(R536/AO536,"")</f>
        <v/>
      </c>
      <c r="AR536" s="116" t="n">
        <v>0</v>
      </c>
      <c r="AS536" s="116" t="n">
        <v>0</v>
      </c>
      <c r="AT536" s="116">
        <f>AL536+AR536</f>
        <v/>
      </c>
      <c r="AU536" s="119">
        <f>IFERROR(AO536*Assumptions!$C$26*Assumptions!$C$27*INDEX(Assumptions!$C$18:$C$21,MATCH(H536,Assumptions!$B$18:$B$21,0)),0)</f>
        <v/>
      </c>
    </row>
    <row r="537">
      <c r="A537" s="114" t="n">
        <v>46241</v>
      </c>
      <c r="B537" s="42" t="inlineStr">
        <is>
          <t>Wk 32</t>
        </is>
      </c>
      <c r="C537" s="42" t="inlineStr">
        <is>
          <t>Fri</t>
        </is>
      </c>
      <c r="D537" s="42" t="inlineStr">
        <is>
          <t>Meta (FB/IG)</t>
        </is>
      </c>
      <c r="E537" s="42" t="inlineStr">
        <is>
          <t>Facebook + Instagram</t>
        </is>
      </c>
      <c r="F537" s="42" t="inlineStr">
        <is>
          <t>LEP_ZA_AUG26_META_TD_PANTERA_CONV</t>
        </is>
      </c>
      <c r="G537" s="42" t="inlineStr">
        <is>
          <t>Leads - Website Conversions</t>
        </is>
      </c>
      <c r="H537" s="42" t="inlineStr">
        <is>
          <t>PANTERA</t>
        </is>
      </c>
      <c r="I537" s="42" t="inlineStr">
        <is>
          <t>0% Deposit</t>
        </is>
      </c>
      <c r="J537" s="42" t="inlineStr">
        <is>
          <t>MET_PANTERA_BROAD_30-60_ZA</t>
        </is>
      </c>
      <c r="K537" s="42" t="inlineStr">
        <is>
          <t>Prospecting</t>
        </is>
      </c>
      <c r="L537" s="42" t="inlineStr">
        <is>
          <t>PANTERA_STA_Offer_0Dep_v1</t>
        </is>
      </c>
      <c r="M537" s="42" t="inlineStr">
        <is>
          <t>Static 1:1</t>
        </is>
      </c>
      <c r="N537" s="42" t="inlineStr">
        <is>
          <t>PANTERA. Zero deposit.</t>
        </is>
      </c>
      <c r="O537" s="42" t="inlineStr">
        <is>
          <t>Auction - Cost Cap</t>
        </is>
      </c>
      <c r="P537" s="42" t="inlineStr">
        <is>
          <t>Offsite Conversions</t>
        </is>
      </c>
      <c r="Q537" s="42" t="inlineStr">
        <is>
          <t>https://www.lepas-sa.co.za/offers/pantera</t>
        </is>
      </c>
      <c r="R537" s="115" t="n">
        <v>212.43</v>
      </c>
      <c r="S537" s="116" t="n">
        <v>2770</v>
      </c>
      <c r="T537" s="116" t="n">
        <v>2032</v>
      </c>
      <c r="U537" s="117">
        <f>IFERROR(S537/T537,"")</f>
        <v/>
      </c>
      <c r="V537" s="116" t="n">
        <v>42</v>
      </c>
      <c r="W537" s="116" t="n">
        <v>32</v>
      </c>
      <c r="X537" s="118">
        <f>IFERROR(W537/S537,"")</f>
        <v/>
      </c>
      <c r="Y537" s="115">
        <f>IFERROR(R537/W537,"")</f>
        <v/>
      </c>
      <c r="Z537" s="115">
        <f>IFERROR(R537/S537*1000,"")</f>
        <v/>
      </c>
      <c r="AA537" s="116" t="n">
        <v>27</v>
      </c>
      <c r="AB537" s="47">
        <f>IFERROR(AA537/W537,"")</f>
        <v/>
      </c>
      <c r="AC537" s="116" t="n">
        <v>0</v>
      </c>
      <c r="AD537" s="116" t="n">
        <v>0</v>
      </c>
      <c r="AE537" s="116" t="n">
        <v>0</v>
      </c>
      <c r="AF537" s="116" t="n">
        <v>0</v>
      </c>
      <c r="AG537" s="116" t="n">
        <v>0</v>
      </c>
      <c r="AH537" s="116" t="n">
        <v>0</v>
      </c>
      <c r="AI537" s="47">
        <f>IFERROR(AC537/S537,"")</f>
        <v/>
      </c>
      <c r="AJ537" s="47">
        <f>IFERROR(AH537/S537,"")</f>
        <v/>
      </c>
      <c r="AK537" s="116" t="n">
        <v>86</v>
      </c>
      <c r="AL537" s="116" t="n">
        <v>0</v>
      </c>
      <c r="AM537" s="118">
        <f>IFERROR(AL537/AA537,"")</f>
        <v/>
      </c>
      <c r="AN537" s="119">
        <f>IFERROR(R537/AL537,"")</f>
        <v/>
      </c>
      <c r="AO537" s="116" t="n">
        <v>0</v>
      </c>
      <c r="AP537" s="47">
        <f>IFERROR(AO537/AL537,"")</f>
        <v/>
      </c>
      <c r="AQ537" s="119">
        <f>IFERROR(R537/AO537,"")</f>
        <v/>
      </c>
      <c r="AR537" s="116" t="n">
        <v>0</v>
      </c>
      <c r="AS537" s="116" t="n">
        <v>0</v>
      </c>
      <c r="AT537" s="116">
        <f>AL537+AR537</f>
        <v/>
      </c>
      <c r="AU537" s="119">
        <f>IFERROR(AO537*Assumptions!$C$26*Assumptions!$C$27*INDEX(Assumptions!$C$18:$C$21,MATCH(H537,Assumptions!$B$18:$B$21,0)),0)</f>
        <v/>
      </c>
    </row>
    <row r="538">
      <c r="A538" s="114" t="n">
        <v>46242</v>
      </c>
      <c r="B538" s="42" t="inlineStr">
        <is>
          <t>Wk 32</t>
        </is>
      </c>
      <c r="C538" s="42" t="inlineStr">
        <is>
          <t>Sat</t>
        </is>
      </c>
      <c r="D538" s="42" t="inlineStr">
        <is>
          <t>Meta (FB/IG)</t>
        </is>
      </c>
      <c r="E538" s="42" t="inlineStr">
        <is>
          <t>Facebook + Instagram</t>
        </is>
      </c>
      <c r="F538" s="42" t="inlineStr">
        <is>
          <t>LEP_ZA_AUG26_META_TD_PANTERA_CONV</t>
        </is>
      </c>
      <c r="G538" s="42" t="inlineStr">
        <is>
          <t>Leads - Website Conversions</t>
        </is>
      </c>
      <c r="H538" s="42" t="inlineStr">
        <is>
          <t>PANTERA</t>
        </is>
      </c>
      <c r="I538" s="42" t="inlineStr">
        <is>
          <t>0% Deposit</t>
        </is>
      </c>
      <c r="J538" s="42" t="inlineStr">
        <is>
          <t>MET_PANTERA_BROAD_30-60_ZA</t>
        </is>
      </c>
      <c r="K538" s="42" t="inlineStr">
        <is>
          <t>Prospecting</t>
        </is>
      </c>
      <c r="L538" s="42" t="inlineStr">
        <is>
          <t>PANTERA_STA_Offer_0Dep_v1</t>
        </is>
      </c>
      <c r="M538" s="42" t="inlineStr">
        <is>
          <t>Static 1:1</t>
        </is>
      </c>
      <c r="N538" s="42" t="inlineStr">
        <is>
          <t>PANTERA. Zero deposit.</t>
        </is>
      </c>
      <c r="O538" s="42" t="inlineStr">
        <is>
          <t>Auction - Cost Cap</t>
        </is>
      </c>
      <c r="P538" s="42" t="inlineStr">
        <is>
          <t>Offsite Conversions</t>
        </is>
      </c>
      <c r="Q538" s="42" t="inlineStr">
        <is>
          <t>https://www.lepas-sa.co.za/offers/pantera</t>
        </is>
      </c>
      <c r="R538" s="115" t="n">
        <v>210.84</v>
      </c>
      <c r="S538" s="116" t="n">
        <v>3555</v>
      </c>
      <c r="T538" s="116" t="n">
        <v>2698</v>
      </c>
      <c r="U538" s="117">
        <f>IFERROR(S538/T538,"")</f>
        <v/>
      </c>
      <c r="V538" s="116" t="n">
        <v>72</v>
      </c>
      <c r="W538" s="116" t="n">
        <v>51</v>
      </c>
      <c r="X538" s="118">
        <f>IFERROR(W538/S538,"")</f>
        <v/>
      </c>
      <c r="Y538" s="115">
        <f>IFERROR(R538/W538,"")</f>
        <v/>
      </c>
      <c r="Z538" s="115">
        <f>IFERROR(R538/S538*1000,"")</f>
        <v/>
      </c>
      <c r="AA538" s="116" t="n">
        <v>44</v>
      </c>
      <c r="AB538" s="47">
        <f>IFERROR(AA538/W538,"")</f>
        <v/>
      </c>
      <c r="AC538" s="116" t="n">
        <v>0</v>
      </c>
      <c r="AD538" s="116" t="n">
        <v>0</v>
      </c>
      <c r="AE538" s="116" t="n">
        <v>0</v>
      </c>
      <c r="AF538" s="116" t="n">
        <v>0</v>
      </c>
      <c r="AG538" s="116" t="n">
        <v>0</v>
      </c>
      <c r="AH538" s="116" t="n">
        <v>0</v>
      </c>
      <c r="AI538" s="47">
        <f>IFERROR(AC538/S538,"")</f>
        <v/>
      </c>
      <c r="AJ538" s="47">
        <f>IFERROR(AH538/S538,"")</f>
        <v/>
      </c>
      <c r="AK538" s="116" t="n">
        <v>104</v>
      </c>
      <c r="AL538" s="116" t="n">
        <v>1</v>
      </c>
      <c r="AM538" s="118">
        <f>IFERROR(AL538/AA538,"")</f>
        <v/>
      </c>
      <c r="AN538" s="119">
        <f>IFERROR(R538/AL538,"")</f>
        <v/>
      </c>
      <c r="AO538" s="116" t="n">
        <v>1</v>
      </c>
      <c r="AP538" s="47">
        <f>IFERROR(AO538/AL538,"")</f>
        <v/>
      </c>
      <c r="AQ538" s="119">
        <f>IFERROR(R538/AO538,"")</f>
        <v/>
      </c>
      <c r="AR538" s="116" t="n">
        <v>0</v>
      </c>
      <c r="AS538" s="116" t="n">
        <v>0</v>
      </c>
      <c r="AT538" s="116">
        <f>AL538+AR538</f>
        <v/>
      </c>
      <c r="AU538" s="119">
        <f>IFERROR(AO538*Assumptions!$C$26*Assumptions!$C$27*INDEX(Assumptions!$C$18:$C$21,MATCH(H538,Assumptions!$B$18:$B$21,0)),0)</f>
        <v/>
      </c>
    </row>
    <row r="539">
      <c r="A539" s="114" t="n">
        <v>46243</v>
      </c>
      <c r="B539" s="42" t="inlineStr">
        <is>
          <t>Wk 32</t>
        </is>
      </c>
      <c r="C539" s="42" t="inlineStr">
        <is>
          <t>Sun</t>
        </is>
      </c>
      <c r="D539" s="42" t="inlineStr">
        <is>
          <t>Meta (FB/IG)</t>
        </is>
      </c>
      <c r="E539" s="42" t="inlineStr">
        <is>
          <t>Facebook + Instagram</t>
        </is>
      </c>
      <c r="F539" s="42" t="inlineStr">
        <is>
          <t>LEP_ZA_AUG26_META_TD_PANTERA_CONV</t>
        </is>
      </c>
      <c r="G539" s="42" t="inlineStr">
        <is>
          <t>Leads - Website Conversions</t>
        </is>
      </c>
      <c r="H539" s="42" t="inlineStr">
        <is>
          <t>PANTERA</t>
        </is>
      </c>
      <c r="I539" s="42" t="inlineStr">
        <is>
          <t>0% Deposit</t>
        </is>
      </c>
      <c r="J539" s="42" t="inlineStr">
        <is>
          <t>MET_PANTERA_BROAD_30-60_ZA</t>
        </is>
      </c>
      <c r="K539" s="42" t="inlineStr">
        <is>
          <t>Prospecting</t>
        </is>
      </c>
      <c r="L539" s="42" t="inlineStr">
        <is>
          <t>PANTERA_STA_Offer_0Dep_v1</t>
        </is>
      </c>
      <c r="M539" s="42" t="inlineStr">
        <is>
          <t>Static 1:1</t>
        </is>
      </c>
      <c r="N539" s="42" t="inlineStr">
        <is>
          <t>PANTERA. Zero deposit.</t>
        </is>
      </c>
      <c r="O539" s="42" t="inlineStr">
        <is>
          <t>Auction - Cost Cap</t>
        </is>
      </c>
      <c r="P539" s="42" t="inlineStr">
        <is>
          <t>Offsite Conversions</t>
        </is>
      </c>
      <c r="Q539" s="42" t="inlineStr">
        <is>
          <t>https://www.lepas-sa.co.za/offers/pantera</t>
        </is>
      </c>
      <c r="R539" s="115" t="n">
        <v>186.13</v>
      </c>
      <c r="S539" s="116" t="n">
        <v>3672</v>
      </c>
      <c r="T539" s="116" t="n">
        <v>2999</v>
      </c>
      <c r="U539" s="117">
        <f>IFERROR(S539/T539,"")</f>
        <v/>
      </c>
      <c r="V539" s="116" t="n">
        <v>70</v>
      </c>
      <c r="W539" s="116" t="n">
        <v>52</v>
      </c>
      <c r="X539" s="118">
        <f>IFERROR(W539/S539,"")</f>
        <v/>
      </c>
      <c r="Y539" s="115">
        <f>IFERROR(R539/W539,"")</f>
        <v/>
      </c>
      <c r="Z539" s="115">
        <f>IFERROR(R539/S539*1000,"")</f>
        <v/>
      </c>
      <c r="AA539" s="116" t="n">
        <v>42</v>
      </c>
      <c r="AB539" s="47">
        <f>IFERROR(AA539/W539,"")</f>
        <v/>
      </c>
      <c r="AC539" s="116" t="n">
        <v>0</v>
      </c>
      <c r="AD539" s="116" t="n">
        <v>0</v>
      </c>
      <c r="AE539" s="116" t="n">
        <v>0</v>
      </c>
      <c r="AF539" s="116" t="n">
        <v>0</v>
      </c>
      <c r="AG539" s="116" t="n">
        <v>0</v>
      </c>
      <c r="AH539" s="116" t="n">
        <v>0</v>
      </c>
      <c r="AI539" s="47">
        <f>IFERROR(AC539/S539,"")</f>
        <v/>
      </c>
      <c r="AJ539" s="47">
        <f>IFERROR(AH539/S539,"")</f>
        <v/>
      </c>
      <c r="AK539" s="116" t="n">
        <v>42</v>
      </c>
      <c r="AL539" s="116" t="n">
        <v>0</v>
      </c>
      <c r="AM539" s="118">
        <f>IFERROR(AL539/AA539,"")</f>
        <v/>
      </c>
      <c r="AN539" s="119">
        <f>IFERROR(R539/AL539,"")</f>
        <v/>
      </c>
      <c r="AO539" s="116" t="n">
        <v>0</v>
      </c>
      <c r="AP539" s="47">
        <f>IFERROR(AO539/AL539,"")</f>
        <v/>
      </c>
      <c r="AQ539" s="119">
        <f>IFERROR(R539/AO539,"")</f>
        <v/>
      </c>
      <c r="AR539" s="116" t="n">
        <v>0</v>
      </c>
      <c r="AS539" s="116" t="n">
        <v>0</v>
      </c>
      <c r="AT539" s="116">
        <f>AL539+AR539</f>
        <v/>
      </c>
      <c r="AU539" s="119">
        <f>IFERROR(AO539*Assumptions!$C$26*Assumptions!$C$27*INDEX(Assumptions!$C$18:$C$21,MATCH(H539,Assumptions!$B$18:$B$21,0)),0)</f>
        <v/>
      </c>
    </row>
    <row r="540">
      <c r="A540" s="114" t="n">
        <v>46244</v>
      </c>
      <c r="B540" s="42" t="inlineStr">
        <is>
          <t>Wk 33</t>
        </is>
      </c>
      <c r="C540" s="42" t="inlineStr">
        <is>
          <t>Mon</t>
        </is>
      </c>
      <c r="D540" s="42" t="inlineStr">
        <is>
          <t>Meta (FB/IG)</t>
        </is>
      </c>
      <c r="E540" s="42" t="inlineStr">
        <is>
          <t>Facebook + Instagram</t>
        </is>
      </c>
      <c r="F540" s="42" t="inlineStr">
        <is>
          <t>LEP_ZA_AUG26_META_TD_PANTERA_CONV</t>
        </is>
      </c>
      <c r="G540" s="42" t="inlineStr">
        <is>
          <t>Leads - Website Conversions</t>
        </is>
      </c>
      <c r="H540" s="42" t="inlineStr">
        <is>
          <t>PANTERA</t>
        </is>
      </c>
      <c r="I540" s="42" t="inlineStr">
        <is>
          <t>0% Deposit</t>
        </is>
      </c>
      <c r="J540" s="42" t="inlineStr">
        <is>
          <t>MET_PANTERA_BROAD_30-60_ZA</t>
        </is>
      </c>
      <c r="K540" s="42" t="inlineStr">
        <is>
          <t>Prospecting</t>
        </is>
      </c>
      <c r="L540" s="42" t="inlineStr">
        <is>
          <t>PANTERA_STA_Offer_0Dep_v1</t>
        </is>
      </c>
      <c r="M540" s="42" t="inlineStr">
        <is>
          <t>Static 1:1</t>
        </is>
      </c>
      <c r="N540" s="42" t="inlineStr">
        <is>
          <t>PANTERA. Zero deposit.</t>
        </is>
      </c>
      <c r="O540" s="42" t="inlineStr">
        <is>
          <t>Auction - Cost Cap</t>
        </is>
      </c>
      <c r="P540" s="42" t="inlineStr">
        <is>
          <t>Offsite Conversions</t>
        </is>
      </c>
      <c r="Q540" s="42" t="inlineStr">
        <is>
          <t>https://www.lepas-sa.co.za/offers/pantera</t>
        </is>
      </c>
      <c r="R540" s="115" t="n">
        <v>212.16</v>
      </c>
      <c r="S540" s="116" t="n">
        <v>3793</v>
      </c>
      <c r="T540" s="116" t="n">
        <v>2175</v>
      </c>
      <c r="U540" s="117">
        <f>IFERROR(S540/T540,"")</f>
        <v/>
      </c>
      <c r="V540" s="116" t="n">
        <v>57</v>
      </c>
      <c r="W540" s="116" t="n">
        <v>41</v>
      </c>
      <c r="X540" s="118">
        <f>IFERROR(W540/S540,"")</f>
        <v/>
      </c>
      <c r="Y540" s="115">
        <f>IFERROR(R540/W540,"")</f>
        <v/>
      </c>
      <c r="Z540" s="115">
        <f>IFERROR(R540/S540*1000,"")</f>
        <v/>
      </c>
      <c r="AA540" s="116" t="n">
        <v>33</v>
      </c>
      <c r="AB540" s="47">
        <f>IFERROR(AA540/W540,"")</f>
        <v/>
      </c>
      <c r="AC540" s="116" t="n">
        <v>0</v>
      </c>
      <c r="AD540" s="116" t="n">
        <v>0</v>
      </c>
      <c r="AE540" s="116" t="n">
        <v>0</v>
      </c>
      <c r="AF540" s="116" t="n">
        <v>0</v>
      </c>
      <c r="AG540" s="116" t="n">
        <v>0</v>
      </c>
      <c r="AH540" s="116" t="n">
        <v>0</v>
      </c>
      <c r="AI540" s="47">
        <f>IFERROR(AC540/S540,"")</f>
        <v/>
      </c>
      <c r="AJ540" s="47">
        <f>IFERROR(AH540/S540,"")</f>
        <v/>
      </c>
      <c r="AK540" s="116" t="n">
        <v>65</v>
      </c>
      <c r="AL540" s="116" t="n">
        <v>1</v>
      </c>
      <c r="AM540" s="118">
        <f>IFERROR(AL540/AA540,"")</f>
        <v/>
      </c>
      <c r="AN540" s="119">
        <f>IFERROR(R540/AL540,"")</f>
        <v/>
      </c>
      <c r="AO540" s="116" t="n">
        <v>1</v>
      </c>
      <c r="AP540" s="47">
        <f>IFERROR(AO540/AL540,"")</f>
        <v/>
      </c>
      <c r="AQ540" s="119">
        <f>IFERROR(R540/AO540,"")</f>
        <v/>
      </c>
      <c r="AR540" s="116" t="n">
        <v>0</v>
      </c>
      <c r="AS540" s="116" t="n">
        <v>0</v>
      </c>
      <c r="AT540" s="116">
        <f>AL540+AR540</f>
        <v/>
      </c>
      <c r="AU540" s="119">
        <f>IFERROR(AO540*Assumptions!$C$26*Assumptions!$C$27*INDEX(Assumptions!$C$18:$C$21,MATCH(H540,Assumptions!$B$18:$B$21,0)),0)</f>
        <v/>
      </c>
    </row>
    <row r="541">
      <c r="A541" s="114" t="n">
        <v>46245</v>
      </c>
      <c r="B541" s="42" t="inlineStr">
        <is>
          <t>Wk 33</t>
        </is>
      </c>
      <c r="C541" s="42" t="inlineStr">
        <is>
          <t>Tue</t>
        </is>
      </c>
      <c r="D541" s="42" t="inlineStr">
        <is>
          <t>Meta (FB/IG)</t>
        </is>
      </c>
      <c r="E541" s="42" t="inlineStr">
        <is>
          <t>Facebook + Instagram</t>
        </is>
      </c>
      <c r="F541" s="42" t="inlineStr">
        <is>
          <t>LEP_ZA_AUG26_META_TD_PANTERA_CONV</t>
        </is>
      </c>
      <c r="G541" s="42" t="inlineStr">
        <is>
          <t>Leads - Website Conversions</t>
        </is>
      </c>
      <c r="H541" s="42" t="inlineStr">
        <is>
          <t>PANTERA</t>
        </is>
      </c>
      <c r="I541" s="42" t="inlineStr">
        <is>
          <t>0% Deposit</t>
        </is>
      </c>
      <c r="J541" s="42" t="inlineStr">
        <is>
          <t>MET_PANTERA_BROAD_30-60_ZA</t>
        </is>
      </c>
      <c r="K541" s="42" t="inlineStr">
        <is>
          <t>Prospecting</t>
        </is>
      </c>
      <c r="L541" s="42" t="inlineStr">
        <is>
          <t>PANTERA_STA_Offer_0Dep_v1</t>
        </is>
      </c>
      <c r="M541" s="42" t="inlineStr">
        <is>
          <t>Static 1:1</t>
        </is>
      </c>
      <c r="N541" s="42" t="inlineStr">
        <is>
          <t>PANTERA. Zero deposit.</t>
        </is>
      </c>
      <c r="O541" s="42" t="inlineStr">
        <is>
          <t>Auction - Cost Cap</t>
        </is>
      </c>
      <c r="P541" s="42" t="inlineStr">
        <is>
          <t>Offsite Conversions</t>
        </is>
      </c>
      <c r="Q541" s="42" t="inlineStr">
        <is>
          <t>https://www.lepas-sa.co.za/offers/pantera</t>
        </is>
      </c>
      <c r="R541" s="115" t="n">
        <v>205.37</v>
      </c>
      <c r="S541" s="116" t="n">
        <v>3124</v>
      </c>
      <c r="T541" s="116" t="n">
        <v>1822</v>
      </c>
      <c r="U541" s="117">
        <f>IFERROR(S541/T541,"")</f>
        <v/>
      </c>
      <c r="V541" s="116" t="n">
        <v>49</v>
      </c>
      <c r="W541" s="116" t="n">
        <v>35</v>
      </c>
      <c r="X541" s="118">
        <f>IFERROR(W541/S541,"")</f>
        <v/>
      </c>
      <c r="Y541" s="115">
        <f>IFERROR(R541/W541,"")</f>
        <v/>
      </c>
      <c r="Z541" s="115">
        <f>IFERROR(R541/S541*1000,"")</f>
        <v/>
      </c>
      <c r="AA541" s="116" t="n">
        <v>30</v>
      </c>
      <c r="AB541" s="47">
        <f>IFERROR(AA541/W541,"")</f>
        <v/>
      </c>
      <c r="AC541" s="116" t="n">
        <v>0</v>
      </c>
      <c r="AD541" s="116" t="n">
        <v>0</v>
      </c>
      <c r="AE541" s="116" t="n">
        <v>0</v>
      </c>
      <c r="AF541" s="116" t="n">
        <v>0</v>
      </c>
      <c r="AG541" s="116" t="n">
        <v>0</v>
      </c>
      <c r="AH541" s="116" t="n">
        <v>0</v>
      </c>
      <c r="AI541" s="47">
        <f>IFERROR(AC541/S541,"")</f>
        <v/>
      </c>
      <c r="AJ541" s="47">
        <f>IFERROR(AH541/S541,"")</f>
        <v/>
      </c>
      <c r="AK541" s="116" t="n">
        <v>93</v>
      </c>
      <c r="AL541" s="116" t="n">
        <v>1</v>
      </c>
      <c r="AM541" s="118">
        <f>IFERROR(AL541/AA541,"")</f>
        <v/>
      </c>
      <c r="AN541" s="119">
        <f>IFERROR(R541/AL541,"")</f>
        <v/>
      </c>
      <c r="AO541" s="116" t="n">
        <v>1</v>
      </c>
      <c r="AP541" s="47">
        <f>IFERROR(AO541/AL541,"")</f>
        <v/>
      </c>
      <c r="AQ541" s="119">
        <f>IFERROR(R541/AO541,"")</f>
        <v/>
      </c>
      <c r="AR541" s="116" t="n">
        <v>0</v>
      </c>
      <c r="AS541" s="116" t="n">
        <v>1</v>
      </c>
      <c r="AT541" s="116">
        <f>AL541+AR541</f>
        <v/>
      </c>
      <c r="AU541" s="119">
        <f>IFERROR(AO541*Assumptions!$C$26*Assumptions!$C$27*INDEX(Assumptions!$C$18:$C$21,MATCH(H541,Assumptions!$B$18:$B$21,0)),0)</f>
        <v/>
      </c>
    </row>
    <row r="542">
      <c r="A542" s="114" t="n">
        <v>46246</v>
      </c>
      <c r="B542" s="42" t="inlineStr">
        <is>
          <t>Wk 33</t>
        </is>
      </c>
      <c r="C542" s="42" t="inlineStr">
        <is>
          <t>Wed</t>
        </is>
      </c>
      <c r="D542" s="42" t="inlineStr">
        <is>
          <t>Meta (FB/IG)</t>
        </is>
      </c>
      <c r="E542" s="42" t="inlineStr">
        <is>
          <t>Facebook + Instagram</t>
        </is>
      </c>
      <c r="F542" s="42" t="inlineStr">
        <is>
          <t>LEP_ZA_AUG26_META_TD_PANTERA_CONV</t>
        </is>
      </c>
      <c r="G542" s="42" t="inlineStr">
        <is>
          <t>Leads - Website Conversions</t>
        </is>
      </c>
      <c r="H542" s="42" t="inlineStr">
        <is>
          <t>PANTERA</t>
        </is>
      </c>
      <c r="I542" s="42" t="inlineStr">
        <is>
          <t>0% Deposit</t>
        </is>
      </c>
      <c r="J542" s="42" t="inlineStr">
        <is>
          <t>MET_PANTERA_BROAD_30-60_ZA</t>
        </is>
      </c>
      <c r="K542" s="42" t="inlineStr">
        <is>
          <t>Prospecting</t>
        </is>
      </c>
      <c r="L542" s="42" t="inlineStr">
        <is>
          <t>PANTERA_STA_Offer_0Dep_v1</t>
        </is>
      </c>
      <c r="M542" s="42" t="inlineStr">
        <is>
          <t>Static 1:1</t>
        </is>
      </c>
      <c r="N542" s="42" t="inlineStr">
        <is>
          <t>PANTERA. Zero deposit.</t>
        </is>
      </c>
      <c r="O542" s="42" t="inlineStr">
        <is>
          <t>Auction - Cost Cap</t>
        </is>
      </c>
      <c r="P542" s="42" t="inlineStr">
        <is>
          <t>Offsite Conversions</t>
        </is>
      </c>
      <c r="Q542" s="42" t="inlineStr">
        <is>
          <t>https://www.lepas-sa.co.za/offers/pantera</t>
        </is>
      </c>
      <c r="R542" s="115" t="n">
        <v>220.91</v>
      </c>
      <c r="S542" s="116" t="n">
        <v>3207</v>
      </c>
      <c r="T542" s="116" t="n">
        <v>2065</v>
      </c>
      <c r="U542" s="117">
        <f>IFERROR(S542/T542,"")</f>
        <v/>
      </c>
      <c r="V542" s="116" t="n">
        <v>43</v>
      </c>
      <c r="W542" s="116" t="n">
        <v>34</v>
      </c>
      <c r="X542" s="118">
        <f>IFERROR(W542/S542,"")</f>
        <v/>
      </c>
      <c r="Y542" s="115">
        <f>IFERROR(R542/W542,"")</f>
        <v/>
      </c>
      <c r="Z542" s="115">
        <f>IFERROR(R542/S542*1000,"")</f>
        <v/>
      </c>
      <c r="AA542" s="116" t="n">
        <v>29</v>
      </c>
      <c r="AB542" s="47">
        <f>IFERROR(AA542/W542,"")</f>
        <v/>
      </c>
      <c r="AC542" s="116" t="n">
        <v>0</v>
      </c>
      <c r="AD542" s="116" t="n">
        <v>0</v>
      </c>
      <c r="AE542" s="116" t="n">
        <v>0</v>
      </c>
      <c r="AF542" s="116" t="n">
        <v>0</v>
      </c>
      <c r="AG542" s="116" t="n">
        <v>0</v>
      </c>
      <c r="AH542" s="116" t="n">
        <v>0</v>
      </c>
      <c r="AI542" s="47">
        <f>IFERROR(AC542/S542,"")</f>
        <v/>
      </c>
      <c r="AJ542" s="47">
        <f>IFERROR(AH542/S542,"")</f>
        <v/>
      </c>
      <c r="AK542" s="116" t="n">
        <v>110</v>
      </c>
      <c r="AL542" s="116" t="n">
        <v>0</v>
      </c>
      <c r="AM542" s="118">
        <f>IFERROR(AL542/AA542,"")</f>
        <v/>
      </c>
      <c r="AN542" s="119">
        <f>IFERROR(R542/AL542,"")</f>
        <v/>
      </c>
      <c r="AO542" s="116" t="n">
        <v>0</v>
      </c>
      <c r="AP542" s="47">
        <f>IFERROR(AO542/AL542,"")</f>
        <v/>
      </c>
      <c r="AQ542" s="119">
        <f>IFERROR(R542/AO542,"")</f>
        <v/>
      </c>
      <c r="AR542" s="116" t="n">
        <v>0</v>
      </c>
      <c r="AS542" s="116" t="n">
        <v>0</v>
      </c>
      <c r="AT542" s="116">
        <f>AL542+AR542</f>
        <v/>
      </c>
      <c r="AU542" s="119">
        <f>IFERROR(AO542*Assumptions!$C$26*Assumptions!$C$27*INDEX(Assumptions!$C$18:$C$21,MATCH(H542,Assumptions!$B$18:$B$21,0)),0)</f>
        <v/>
      </c>
    </row>
    <row r="543">
      <c r="A543" s="114" t="n">
        <v>46247</v>
      </c>
      <c r="B543" s="42" t="inlineStr">
        <is>
          <t>Wk 33</t>
        </is>
      </c>
      <c r="C543" s="42" t="inlineStr">
        <is>
          <t>Thu</t>
        </is>
      </c>
      <c r="D543" s="42" t="inlineStr">
        <is>
          <t>Meta (FB/IG)</t>
        </is>
      </c>
      <c r="E543" s="42" t="inlineStr">
        <is>
          <t>Facebook + Instagram</t>
        </is>
      </c>
      <c r="F543" s="42" t="inlineStr">
        <is>
          <t>LEP_ZA_AUG26_META_TD_PANTERA_CONV</t>
        </is>
      </c>
      <c r="G543" s="42" t="inlineStr">
        <is>
          <t>Leads - Website Conversions</t>
        </is>
      </c>
      <c r="H543" s="42" t="inlineStr">
        <is>
          <t>PANTERA</t>
        </is>
      </c>
      <c r="I543" s="42" t="inlineStr">
        <is>
          <t>0% Deposit</t>
        </is>
      </c>
      <c r="J543" s="42" t="inlineStr">
        <is>
          <t>MET_PANTERA_BROAD_30-60_ZA</t>
        </is>
      </c>
      <c r="K543" s="42" t="inlineStr">
        <is>
          <t>Prospecting</t>
        </is>
      </c>
      <c r="L543" s="42" t="inlineStr">
        <is>
          <t>PANTERA_STA_Offer_0Dep_v1</t>
        </is>
      </c>
      <c r="M543" s="42" t="inlineStr">
        <is>
          <t>Static 1:1</t>
        </is>
      </c>
      <c r="N543" s="42" t="inlineStr">
        <is>
          <t>PANTERA. Zero deposit.</t>
        </is>
      </c>
      <c r="O543" s="42" t="inlineStr">
        <is>
          <t>Auction - Cost Cap</t>
        </is>
      </c>
      <c r="P543" s="42" t="inlineStr">
        <is>
          <t>Offsite Conversions</t>
        </is>
      </c>
      <c r="Q543" s="42" t="inlineStr">
        <is>
          <t>https://www.lepas-sa.co.za/offers/pantera</t>
        </is>
      </c>
      <c r="R543" s="115" t="n">
        <v>249.57</v>
      </c>
      <c r="S543" s="116" t="n">
        <v>3047</v>
      </c>
      <c r="T543" s="116" t="n">
        <v>1722</v>
      </c>
      <c r="U543" s="117">
        <f>IFERROR(S543/T543,"")</f>
        <v/>
      </c>
      <c r="V543" s="116" t="n">
        <v>60</v>
      </c>
      <c r="W543" s="116" t="n">
        <v>44</v>
      </c>
      <c r="X543" s="118">
        <f>IFERROR(W543/S543,"")</f>
        <v/>
      </c>
      <c r="Y543" s="115">
        <f>IFERROR(R543/W543,"")</f>
        <v/>
      </c>
      <c r="Z543" s="115">
        <f>IFERROR(R543/S543*1000,"")</f>
        <v/>
      </c>
      <c r="AA543" s="116" t="n">
        <v>39</v>
      </c>
      <c r="AB543" s="47">
        <f>IFERROR(AA543/W543,"")</f>
        <v/>
      </c>
      <c r="AC543" s="116" t="n">
        <v>0</v>
      </c>
      <c r="AD543" s="116" t="n">
        <v>0</v>
      </c>
      <c r="AE543" s="116" t="n">
        <v>0</v>
      </c>
      <c r="AF543" s="116" t="n">
        <v>0</v>
      </c>
      <c r="AG543" s="116" t="n">
        <v>0</v>
      </c>
      <c r="AH543" s="116" t="n">
        <v>0</v>
      </c>
      <c r="AI543" s="47">
        <f>IFERROR(AC543/S543,"")</f>
        <v/>
      </c>
      <c r="AJ543" s="47">
        <f>IFERROR(AH543/S543,"")</f>
        <v/>
      </c>
      <c r="AK543" s="116" t="n">
        <v>72</v>
      </c>
      <c r="AL543" s="116" t="n">
        <v>0</v>
      </c>
      <c r="AM543" s="118">
        <f>IFERROR(AL543/AA543,"")</f>
        <v/>
      </c>
      <c r="AN543" s="119">
        <f>IFERROR(R543/AL543,"")</f>
        <v/>
      </c>
      <c r="AO543" s="116" t="n">
        <v>0</v>
      </c>
      <c r="AP543" s="47">
        <f>IFERROR(AO543/AL543,"")</f>
        <v/>
      </c>
      <c r="AQ543" s="119">
        <f>IFERROR(R543/AO543,"")</f>
        <v/>
      </c>
      <c r="AR543" s="116" t="n">
        <v>0</v>
      </c>
      <c r="AS543" s="116" t="n">
        <v>0</v>
      </c>
      <c r="AT543" s="116">
        <f>AL543+AR543</f>
        <v/>
      </c>
      <c r="AU543" s="119">
        <f>IFERROR(AO543*Assumptions!$C$26*Assumptions!$C$27*INDEX(Assumptions!$C$18:$C$21,MATCH(H543,Assumptions!$B$18:$B$21,0)),0)</f>
        <v/>
      </c>
    </row>
    <row r="544">
      <c r="A544" s="114" t="n">
        <v>46248</v>
      </c>
      <c r="B544" s="42" t="inlineStr">
        <is>
          <t>Wk 33</t>
        </is>
      </c>
      <c r="C544" s="42" t="inlineStr">
        <is>
          <t>Fri</t>
        </is>
      </c>
      <c r="D544" s="42" t="inlineStr">
        <is>
          <t>Meta (FB/IG)</t>
        </is>
      </c>
      <c r="E544" s="42" t="inlineStr">
        <is>
          <t>Facebook + Instagram</t>
        </is>
      </c>
      <c r="F544" s="42" t="inlineStr">
        <is>
          <t>LEP_ZA_AUG26_META_TD_PANTERA_CONV</t>
        </is>
      </c>
      <c r="G544" s="42" t="inlineStr">
        <is>
          <t>Leads - Website Conversions</t>
        </is>
      </c>
      <c r="H544" s="42" t="inlineStr">
        <is>
          <t>PANTERA</t>
        </is>
      </c>
      <c r="I544" s="42" t="inlineStr">
        <is>
          <t>0% Deposit</t>
        </is>
      </c>
      <c r="J544" s="42" t="inlineStr">
        <is>
          <t>MET_PANTERA_BROAD_30-60_ZA</t>
        </is>
      </c>
      <c r="K544" s="42" t="inlineStr">
        <is>
          <t>Prospecting</t>
        </is>
      </c>
      <c r="L544" s="42" t="inlineStr">
        <is>
          <t>PANTERA_STA_Offer_0Dep_v1</t>
        </is>
      </c>
      <c r="M544" s="42" t="inlineStr">
        <is>
          <t>Static 1:1</t>
        </is>
      </c>
      <c r="N544" s="42" t="inlineStr">
        <is>
          <t>PANTERA. Zero deposit.</t>
        </is>
      </c>
      <c r="O544" s="42" t="inlineStr">
        <is>
          <t>Auction - Cost Cap</t>
        </is>
      </c>
      <c r="P544" s="42" t="inlineStr">
        <is>
          <t>Offsite Conversions</t>
        </is>
      </c>
      <c r="Q544" s="42" t="inlineStr">
        <is>
          <t>https://www.lepas-sa.co.za/offers/pantera</t>
        </is>
      </c>
      <c r="R544" s="115" t="n">
        <v>222.72</v>
      </c>
      <c r="S544" s="116" t="n">
        <v>2541</v>
      </c>
      <c r="T544" s="116" t="n">
        <v>1779</v>
      </c>
      <c r="U544" s="117">
        <f>IFERROR(S544/T544,"")</f>
        <v/>
      </c>
      <c r="V544" s="116" t="n">
        <v>29</v>
      </c>
      <c r="W544" s="116" t="n">
        <v>22</v>
      </c>
      <c r="X544" s="118">
        <f>IFERROR(W544/S544,"")</f>
        <v/>
      </c>
      <c r="Y544" s="115">
        <f>IFERROR(R544/W544,"")</f>
        <v/>
      </c>
      <c r="Z544" s="115">
        <f>IFERROR(R544/S544*1000,"")</f>
        <v/>
      </c>
      <c r="AA544" s="116" t="n">
        <v>20</v>
      </c>
      <c r="AB544" s="47">
        <f>IFERROR(AA544/W544,"")</f>
        <v/>
      </c>
      <c r="AC544" s="116" t="n">
        <v>0</v>
      </c>
      <c r="AD544" s="116" t="n">
        <v>0</v>
      </c>
      <c r="AE544" s="116" t="n">
        <v>0</v>
      </c>
      <c r="AF544" s="116" t="n">
        <v>0</v>
      </c>
      <c r="AG544" s="116" t="n">
        <v>0</v>
      </c>
      <c r="AH544" s="116" t="n">
        <v>0</v>
      </c>
      <c r="AI544" s="47">
        <f>IFERROR(AC544/S544,"")</f>
        <v/>
      </c>
      <c r="AJ544" s="47">
        <f>IFERROR(AH544/S544,"")</f>
        <v/>
      </c>
      <c r="AK544" s="116" t="n">
        <v>78</v>
      </c>
      <c r="AL544" s="116" t="n">
        <v>1</v>
      </c>
      <c r="AM544" s="118">
        <f>IFERROR(AL544/AA544,"")</f>
        <v/>
      </c>
      <c r="AN544" s="119">
        <f>IFERROR(R544/AL544,"")</f>
        <v/>
      </c>
      <c r="AO544" s="116" t="n">
        <v>1</v>
      </c>
      <c r="AP544" s="47">
        <f>IFERROR(AO544/AL544,"")</f>
        <v/>
      </c>
      <c r="AQ544" s="119">
        <f>IFERROR(R544/AO544,"")</f>
        <v/>
      </c>
      <c r="AR544" s="116" t="n">
        <v>1</v>
      </c>
      <c r="AS544" s="116" t="n">
        <v>0</v>
      </c>
      <c r="AT544" s="116">
        <f>AL544+AR544</f>
        <v/>
      </c>
      <c r="AU544" s="119">
        <f>IFERROR(AO544*Assumptions!$C$26*Assumptions!$C$27*INDEX(Assumptions!$C$18:$C$21,MATCH(H544,Assumptions!$B$18:$B$21,0)),0)</f>
        <v/>
      </c>
    </row>
    <row r="545">
      <c r="A545" s="114" t="n">
        <v>46249</v>
      </c>
      <c r="B545" s="42" t="inlineStr">
        <is>
          <t>Wk 33</t>
        </is>
      </c>
      <c r="C545" s="42" t="inlineStr">
        <is>
          <t>Sat</t>
        </is>
      </c>
      <c r="D545" s="42" t="inlineStr">
        <is>
          <t>Meta (FB/IG)</t>
        </is>
      </c>
      <c r="E545" s="42" t="inlineStr">
        <is>
          <t>Facebook + Instagram</t>
        </is>
      </c>
      <c r="F545" s="42" t="inlineStr">
        <is>
          <t>LEP_ZA_AUG26_META_TD_PANTERA_CONV</t>
        </is>
      </c>
      <c r="G545" s="42" t="inlineStr">
        <is>
          <t>Leads - Website Conversions</t>
        </is>
      </c>
      <c r="H545" s="42" t="inlineStr">
        <is>
          <t>PANTERA</t>
        </is>
      </c>
      <c r="I545" s="42" t="inlineStr">
        <is>
          <t>0% Deposit</t>
        </is>
      </c>
      <c r="J545" s="42" t="inlineStr">
        <is>
          <t>MET_PANTERA_BROAD_30-60_ZA</t>
        </is>
      </c>
      <c r="K545" s="42" t="inlineStr">
        <is>
          <t>Prospecting</t>
        </is>
      </c>
      <c r="L545" s="42" t="inlineStr">
        <is>
          <t>PANTERA_STA_Offer_0Dep_v1</t>
        </is>
      </c>
      <c r="M545" s="42" t="inlineStr">
        <is>
          <t>Static 1:1</t>
        </is>
      </c>
      <c r="N545" s="42" t="inlineStr">
        <is>
          <t>PANTERA. Zero deposit.</t>
        </is>
      </c>
      <c r="O545" s="42" t="inlineStr">
        <is>
          <t>Auction - Cost Cap</t>
        </is>
      </c>
      <c r="P545" s="42" t="inlineStr">
        <is>
          <t>Offsite Conversions</t>
        </is>
      </c>
      <c r="Q545" s="42" t="inlineStr">
        <is>
          <t>https://www.lepas-sa.co.za/offers/pantera</t>
        </is>
      </c>
      <c r="R545" s="115" t="n">
        <v>244.14</v>
      </c>
      <c r="S545" s="116" t="n">
        <v>2861</v>
      </c>
      <c r="T545" s="116" t="n">
        <v>1798</v>
      </c>
      <c r="U545" s="117">
        <f>IFERROR(S545/T545,"")</f>
        <v/>
      </c>
      <c r="V545" s="116" t="n">
        <v>36</v>
      </c>
      <c r="W545" s="116" t="n">
        <v>29</v>
      </c>
      <c r="X545" s="118">
        <f>IFERROR(W545/S545,"")</f>
        <v/>
      </c>
      <c r="Y545" s="115">
        <f>IFERROR(R545/W545,"")</f>
        <v/>
      </c>
      <c r="Z545" s="115">
        <f>IFERROR(R545/S545*1000,"")</f>
        <v/>
      </c>
      <c r="AA545" s="116" t="n">
        <v>24</v>
      </c>
      <c r="AB545" s="47">
        <f>IFERROR(AA545/W545,"")</f>
        <v/>
      </c>
      <c r="AC545" s="116" t="n">
        <v>0</v>
      </c>
      <c r="AD545" s="116" t="n">
        <v>0</v>
      </c>
      <c r="AE545" s="116" t="n">
        <v>0</v>
      </c>
      <c r="AF545" s="116" t="n">
        <v>0</v>
      </c>
      <c r="AG545" s="116" t="n">
        <v>0</v>
      </c>
      <c r="AH545" s="116" t="n">
        <v>0</v>
      </c>
      <c r="AI545" s="47">
        <f>IFERROR(AC545/S545,"")</f>
        <v/>
      </c>
      <c r="AJ545" s="47">
        <f>IFERROR(AH545/S545,"")</f>
        <v/>
      </c>
      <c r="AK545" s="116" t="n">
        <v>68</v>
      </c>
      <c r="AL545" s="116" t="n">
        <v>0</v>
      </c>
      <c r="AM545" s="118">
        <f>IFERROR(AL545/AA545,"")</f>
        <v/>
      </c>
      <c r="AN545" s="119">
        <f>IFERROR(R545/AL545,"")</f>
        <v/>
      </c>
      <c r="AO545" s="116" t="n">
        <v>0</v>
      </c>
      <c r="AP545" s="47">
        <f>IFERROR(AO545/AL545,"")</f>
        <v/>
      </c>
      <c r="AQ545" s="119">
        <f>IFERROR(R545/AO545,"")</f>
        <v/>
      </c>
      <c r="AR545" s="116" t="n">
        <v>0</v>
      </c>
      <c r="AS545" s="116" t="n">
        <v>0</v>
      </c>
      <c r="AT545" s="116">
        <f>AL545+AR545</f>
        <v/>
      </c>
      <c r="AU545" s="119">
        <f>IFERROR(AO545*Assumptions!$C$26*Assumptions!$C$27*INDEX(Assumptions!$C$18:$C$21,MATCH(H545,Assumptions!$B$18:$B$21,0)),0)</f>
        <v/>
      </c>
    </row>
    <row r="546">
      <c r="A546" s="114" t="n">
        <v>46250</v>
      </c>
      <c r="B546" s="42" t="inlineStr">
        <is>
          <t>Wk 33</t>
        </is>
      </c>
      <c r="C546" s="42" t="inlineStr">
        <is>
          <t>Sun</t>
        </is>
      </c>
      <c r="D546" s="42" t="inlineStr">
        <is>
          <t>Meta (FB/IG)</t>
        </is>
      </c>
      <c r="E546" s="42" t="inlineStr">
        <is>
          <t>Facebook + Instagram</t>
        </is>
      </c>
      <c r="F546" s="42" t="inlineStr">
        <is>
          <t>LEP_ZA_AUG26_META_TD_PANTERA_CONV</t>
        </is>
      </c>
      <c r="G546" s="42" t="inlineStr">
        <is>
          <t>Leads - Website Conversions</t>
        </is>
      </c>
      <c r="H546" s="42" t="inlineStr">
        <is>
          <t>PANTERA</t>
        </is>
      </c>
      <c r="I546" s="42" t="inlineStr">
        <is>
          <t>0% Deposit</t>
        </is>
      </c>
      <c r="J546" s="42" t="inlineStr">
        <is>
          <t>MET_PANTERA_BROAD_30-60_ZA</t>
        </is>
      </c>
      <c r="K546" s="42" t="inlineStr">
        <is>
          <t>Prospecting</t>
        </is>
      </c>
      <c r="L546" s="42" t="inlineStr">
        <is>
          <t>PANTERA_STA_Offer_0Dep_v1</t>
        </is>
      </c>
      <c r="M546" s="42" t="inlineStr">
        <is>
          <t>Static 1:1</t>
        </is>
      </c>
      <c r="N546" s="42" t="inlineStr">
        <is>
          <t>PANTERA. Zero deposit.</t>
        </is>
      </c>
      <c r="O546" s="42" t="inlineStr">
        <is>
          <t>Auction - Cost Cap</t>
        </is>
      </c>
      <c r="P546" s="42" t="inlineStr">
        <is>
          <t>Offsite Conversions</t>
        </is>
      </c>
      <c r="Q546" s="42" t="inlineStr">
        <is>
          <t>https://www.lepas-sa.co.za/offers/pantera</t>
        </is>
      </c>
      <c r="R546" s="115" t="n">
        <v>207.62</v>
      </c>
      <c r="S546" s="116" t="n">
        <v>3509</v>
      </c>
      <c r="T546" s="116" t="n">
        <v>2267</v>
      </c>
      <c r="U546" s="117">
        <f>IFERROR(S546/T546,"")</f>
        <v/>
      </c>
      <c r="V546" s="116" t="n">
        <v>59</v>
      </c>
      <c r="W546" s="116" t="n">
        <v>46</v>
      </c>
      <c r="X546" s="118">
        <f>IFERROR(W546/S546,"")</f>
        <v/>
      </c>
      <c r="Y546" s="115">
        <f>IFERROR(R546/W546,"")</f>
        <v/>
      </c>
      <c r="Z546" s="115">
        <f>IFERROR(R546/S546*1000,"")</f>
        <v/>
      </c>
      <c r="AA546" s="116" t="n">
        <v>36</v>
      </c>
      <c r="AB546" s="47">
        <f>IFERROR(AA546/W546,"")</f>
        <v/>
      </c>
      <c r="AC546" s="116" t="n">
        <v>0</v>
      </c>
      <c r="AD546" s="116" t="n">
        <v>0</v>
      </c>
      <c r="AE546" s="116" t="n">
        <v>0</v>
      </c>
      <c r="AF546" s="116" t="n">
        <v>0</v>
      </c>
      <c r="AG546" s="116" t="n">
        <v>0</v>
      </c>
      <c r="AH546" s="116" t="n">
        <v>0</v>
      </c>
      <c r="AI546" s="47">
        <f>IFERROR(AC546/S546,"")</f>
        <v/>
      </c>
      <c r="AJ546" s="47">
        <f>IFERROR(AH546/S546,"")</f>
        <v/>
      </c>
      <c r="AK546" s="116" t="n">
        <v>102</v>
      </c>
      <c r="AL546" s="116" t="n">
        <v>1</v>
      </c>
      <c r="AM546" s="118">
        <f>IFERROR(AL546/AA546,"")</f>
        <v/>
      </c>
      <c r="AN546" s="119">
        <f>IFERROR(R546/AL546,"")</f>
        <v/>
      </c>
      <c r="AO546" s="116" t="n">
        <v>0</v>
      </c>
      <c r="AP546" s="47">
        <f>IFERROR(AO546/AL546,"")</f>
        <v/>
      </c>
      <c r="AQ546" s="119">
        <f>IFERROR(R546/AO546,"")</f>
        <v/>
      </c>
      <c r="AR546" s="116" t="n">
        <v>1</v>
      </c>
      <c r="AS546" s="116" t="n">
        <v>1</v>
      </c>
      <c r="AT546" s="116">
        <f>AL546+AR546</f>
        <v/>
      </c>
      <c r="AU546" s="119">
        <f>IFERROR(AO546*Assumptions!$C$26*Assumptions!$C$27*INDEX(Assumptions!$C$18:$C$21,MATCH(H546,Assumptions!$B$18:$B$21,0)),0)</f>
        <v/>
      </c>
    </row>
    <row r="547">
      <c r="A547" s="114" t="n">
        <v>46248</v>
      </c>
      <c r="B547" s="42" t="inlineStr">
        <is>
          <t>Wk 33</t>
        </is>
      </c>
      <c r="C547" s="42" t="inlineStr">
        <is>
          <t>Fri</t>
        </is>
      </c>
      <c r="D547" s="42" t="inlineStr">
        <is>
          <t>Meta (FB/IG)</t>
        </is>
      </c>
      <c r="E547" s="42" t="inlineStr">
        <is>
          <t>Facebook + Instagram</t>
        </is>
      </c>
      <c r="F547" s="42" t="inlineStr">
        <is>
          <t>LEP_ZA_AUG26_META_TD_PANTERA_CONV</t>
        </is>
      </c>
      <c r="G547" s="42" t="inlineStr">
        <is>
          <t>Leads - Website Conversions</t>
        </is>
      </c>
      <c r="H547" s="42" t="inlineStr">
        <is>
          <t>PANTERA</t>
        </is>
      </c>
      <c r="I547" s="42" t="inlineStr">
        <is>
          <t>0% Deposit</t>
        </is>
      </c>
      <c r="J547" s="42" t="inlineStr">
        <is>
          <t>MET_PANTERA_BROAD_30-60_ZA</t>
        </is>
      </c>
      <c r="K547" s="42" t="inlineStr">
        <is>
          <t>Prospecting</t>
        </is>
      </c>
      <c r="L547" s="42" t="inlineStr">
        <is>
          <t>PANTERA_STA_Offer_0Dep_v2</t>
        </is>
      </c>
      <c r="M547" s="42" t="inlineStr">
        <is>
          <t>Static 1:1</t>
        </is>
      </c>
      <c r="N547" s="42" t="inlineStr">
        <is>
          <t>R5 899pm. No deposit. Test drive it.</t>
        </is>
      </c>
      <c r="O547" s="42" t="inlineStr">
        <is>
          <t>Auction - Cost Cap</t>
        </is>
      </c>
      <c r="P547" s="42" t="inlineStr">
        <is>
          <t>Offsite Conversions</t>
        </is>
      </c>
      <c r="Q547" s="42" t="inlineStr">
        <is>
          <t>https://www.lepas-sa.co.za/offers/pantera</t>
        </is>
      </c>
      <c r="R547" s="115" t="n">
        <v>166.27</v>
      </c>
      <c r="S547" s="116" t="n">
        <v>2655</v>
      </c>
      <c r="T547" s="116" t="n">
        <v>1828</v>
      </c>
      <c r="U547" s="117">
        <f>IFERROR(S547/T547,"")</f>
        <v/>
      </c>
      <c r="V547" s="116" t="n">
        <v>38</v>
      </c>
      <c r="W547" s="116" t="n">
        <v>29</v>
      </c>
      <c r="X547" s="118">
        <f>IFERROR(W547/S547,"")</f>
        <v/>
      </c>
      <c r="Y547" s="115">
        <f>IFERROR(R547/W547,"")</f>
        <v/>
      </c>
      <c r="Z547" s="115">
        <f>IFERROR(R547/S547*1000,"")</f>
        <v/>
      </c>
      <c r="AA547" s="116" t="n">
        <v>22</v>
      </c>
      <c r="AB547" s="47">
        <f>IFERROR(AA547/W547,"")</f>
        <v/>
      </c>
      <c r="AC547" s="116" t="n">
        <v>0</v>
      </c>
      <c r="AD547" s="116" t="n">
        <v>0</v>
      </c>
      <c r="AE547" s="116" t="n">
        <v>0</v>
      </c>
      <c r="AF547" s="116" t="n">
        <v>0</v>
      </c>
      <c r="AG547" s="116" t="n">
        <v>0</v>
      </c>
      <c r="AH547" s="116" t="n">
        <v>0</v>
      </c>
      <c r="AI547" s="47">
        <f>IFERROR(AC547/S547,"")</f>
        <v/>
      </c>
      <c r="AJ547" s="47">
        <f>IFERROR(AH547/S547,"")</f>
        <v/>
      </c>
      <c r="AK547" s="116" t="n">
        <v>27</v>
      </c>
      <c r="AL547" s="116" t="n">
        <v>0</v>
      </c>
      <c r="AM547" s="118">
        <f>IFERROR(AL547/AA547,"")</f>
        <v/>
      </c>
      <c r="AN547" s="119">
        <f>IFERROR(R547/AL547,"")</f>
        <v/>
      </c>
      <c r="AO547" s="116" t="n">
        <v>0</v>
      </c>
      <c r="AP547" s="47">
        <f>IFERROR(AO547/AL547,"")</f>
        <v/>
      </c>
      <c r="AQ547" s="119">
        <f>IFERROR(R547/AO547,"")</f>
        <v/>
      </c>
      <c r="AR547" s="116" t="n">
        <v>0</v>
      </c>
      <c r="AS547" s="116" t="n">
        <v>0</v>
      </c>
      <c r="AT547" s="116">
        <f>AL547+AR547</f>
        <v/>
      </c>
      <c r="AU547" s="119">
        <f>IFERROR(AO547*Assumptions!$C$26*Assumptions!$C$27*INDEX(Assumptions!$C$18:$C$21,MATCH(H547,Assumptions!$B$18:$B$21,0)),0)</f>
        <v/>
      </c>
    </row>
    <row r="548">
      <c r="A548" s="114" t="n">
        <v>46249</v>
      </c>
      <c r="B548" s="42" t="inlineStr">
        <is>
          <t>Wk 33</t>
        </is>
      </c>
      <c r="C548" s="42" t="inlineStr">
        <is>
          <t>Sat</t>
        </is>
      </c>
      <c r="D548" s="42" t="inlineStr">
        <is>
          <t>Meta (FB/IG)</t>
        </is>
      </c>
      <c r="E548" s="42" t="inlineStr">
        <is>
          <t>Facebook + Instagram</t>
        </is>
      </c>
      <c r="F548" s="42" t="inlineStr">
        <is>
          <t>LEP_ZA_AUG26_META_TD_PANTERA_CONV</t>
        </is>
      </c>
      <c r="G548" s="42" t="inlineStr">
        <is>
          <t>Leads - Website Conversions</t>
        </is>
      </c>
      <c r="H548" s="42" t="inlineStr">
        <is>
          <t>PANTERA</t>
        </is>
      </c>
      <c r="I548" s="42" t="inlineStr">
        <is>
          <t>0% Deposit</t>
        </is>
      </c>
      <c r="J548" s="42" t="inlineStr">
        <is>
          <t>MET_PANTERA_BROAD_30-60_ZA</t>
        </is>
      </c>
      <c r="K548" s="42" t="inlineStr">
        <is>
          <t>Prospecting</t>
        </is>
      </c>
      <c r="L548" s="42" t="inlineStr">
        <is>
          <t>PANTERA_STA_Offer_0Dep_v2</t>
        </is>
      </c>
      <c r="M548" s="42" t="inlineStr">
        <is>
          <t>Static 1:1</t>
        </is>
      </c>
      <c r="N548" s="42" t="inlineStr">
        <is>
          <t>R5 899pm. No deposit. Test drive it.</t>
        </is>
      </c>
      <c r="O548" s="42" t="inlineStr">
        <is>
          <t>Auction - Cost Cap</t>
        </is>
      </c>
      <c r="P548" s="42" t="inlineStr">
        <is>
          <t>Offsite Conversions</t>
        </is>
      </c>
      <c r="Q548" s="42" t="inlineStr">
        <is>
          <t>https://www.lepas-sa.co.za/offers/pantera</t>
        </is>
      </c>
      <c r="R548" s="115" t="n">
        <v>195.68</v>
      </c>
      <c r="S548" s="116" t="n">
        <v>2527</v>
      </c>
      <c r="T548" s="116" t="n">
        <v>1458</v>
      </c>
      <c r="U548" s="117">
        <f>IFERROR(S548/T548,"")</f>
        <v/>
      </c>
      <c r="V548" s="116" t="n">
        <v>72</v>
      </c>
      <c r="W548" s="116" t="n">
        <v>51</v>
      </c>
      <c r="X548" s="118">
        <f>IFERROR(W548/S548,"")</f>
        <v/>
      </c>
      <c r="Y548" s="115">
        <f>IFERROR(R548/W548,"")</f>
        <v/>
      </c>
      <c r="Z548" s="115">
        <f>IFERROR(R548/S548*1000,"")</f>
        <v/>
      </c>
      <c r="AA548" s="116" t="n">
        <v>42</v>
      </c>
      <c r="AB548" s="47">
        <f>IFERROR(AA548/W548,"")</f>
        <v/>
      </c>
      <c r="AC548" s="116" t="n">
        <v>0</v>
      </c>
      <c r="AD548" s="116" t="n">
        <v>0</v>
      </c>
      <c r="AE548" s="116" t="n">
        <v>0</v>
      </c>
      <c r="AF548" s="116" t="n">
        <v>0</v>
      </c>
      <c r="AG548" s="116" t="n">
        <v>0</v>
      </c>
      <c r="AH548" s="116" t="n">
        <v>0</v>
      </c>
      <c r="AI548" s="47">
        <f>IFERROR(AC548/S548,"")</f>
        <v/>
      </c>
      <c r="AJ548" s="47">
        <f>IFERROR(AH548/S548,"")</f>
        <v/>
      </c>
      <c r="AK548" s="116" t="n">
        <v>69</v>
      </c>
      <c r="AL548" s="116" t="n">
        <v>1</v>
      </c>
      <c r="AM548" s="118">
        <f>IFERROR(AL548/AA548,"")</f>
        <v/>
      </c>
      <c r="AN548" s="119">
        <f>IFERROR(R548/AL548,"")</f>
        <v/>
      </c>
      <c r="AO548" s="116" t="n">
        <v>0</v>
      </c>
      <c r="AP548" s="47">
        <f>IFERROR(AO548/AL548,"")</f>
        <v/>
      </c>
      <c r="AQ548" s="119">
        <f>IFERROR(R548/AO548,"")</f>
        <v/>
      </c>
      <c r="AR548" s="116" t="n">
        <v>0</v>
      </c>
      <c r="AS548" s="116" t="n">
        <v>1</v>
      </c>
      <c r="AT548" s="116">
        <f>AL548+AR548</f>
        <v/>
      </c>
      <c r="AU548" s="119">
        <f>IFERROR(AO548*Assumptions!$C$26*Assumptions!$C$27*INDEX(Assumptions!$C$18:$C$21,MATCH(H548,Assumptions!$B$18:$B$21,0)),0)</f>
        <v/>
      </c>
    </row>
    <row r="549">
      <c r="A549" s="114" t="n">
        <v>46250</v>
      </c>
      <c r="B549" s="42" t="inlineStr">
        <is>
          <t>Wk 33</t>
        </is>
      </c>
      <c r="C549" s="42" t="inlineStr">
        <is>
          <t>Sun</t>
        </is>
      </c>
      <c r="D549" s="42" t="inlineStr">
        <is>
          <t>Meta (FB/IG)</t>
        </is>
      </c>
      <c r="E549" s="42" t="inlineStr">
        <is>
          <t>Facebook + Instagram</t>
        </is>
      </c>
      <c r="F549" s="42" t="inlineStr">
        <is>
          <t>LEP_ZA_AUG26_META_TD_PANTERA_CONV</t>
        </is>
      </c>
      <c r="G549" s="42" t="inlineStr">
        <is>
          <t>Leads - Website Conversions</t>
        </is>
      </c>
      <c r="H549" s="42" t="inlineStr">
        <is>
          <t>PANTERA</t>
        </is>
      </c>
      <c r="I549" s="42" t="inlineStr">
        <is>
          <t>0% Deposit</t>
        </is>
      </c>
      <c r="J549" s="42" t="inlineStr">
        <is>
          <t>MET_PANTERA_BROAD_30-60_ZA</t>
        </is>
      </c>
      <c r="K549" s="42" t="inlineStr">
        <is>
          <t>Prospecting</t>
        </is>
      </c>
      <c r="L549" s="42" t="inlineStr">
        <is>
          <t>PANTERA_STA_Offer_0Dep_v2</t>
        </is>
      </c>
      <c r="M549" s="42" t="inlineStr">
        <is>
          <t>Static 1:1</t>
        </is>
      </c>
      <c r="N549" s="42" t="inlineStr">
        <is>
          <t>R5 899pm. No deposit. Test drive it.</t>
        </is>
      </c>
      <c r="O549" s="42" t="inlineStr">
        <is>
          <t>Auction - Cost Cap</t>
        </is>
      </c>
      <c r="P549" s="42" t="inlineStr">
        <is>
          <t>Offsite Conversions</t>
        </is>
      </c>
      <c r="Q549" s="42" t="inlineStr">
        <is>
          <t>https://www.lepas-sa.co.za/offers/pantera</t>
        </is>
      </c>
      <c r="R549" s="115" t="n">
        <v>155.76</v>
      </c>
      <c r="S549" s="116" t="n">
        <v>3135</v>
      </c>
      <c r="T549" s="116" t="n">
        <v>2281</v>
      </c>
      <c r="U549" s="117">
        <f>IFERROR(S549/T549,"")</f>
        <v/>
      </c>
      <c r="V549" s="116" t="n">
        <v>57</v>
      </c>
      <c r="W549" s="116" t="n">
        <v>47</v>
      </c>
      <c r="X549" s="118">
        <f>IFERROR(W549/S549,"")</f>
        <v/>
      </c>
      <c r="Y549" s="115">
        <f>IFERROR(R549/W549,"")</f>
        <v/>
      </c>
      <c r="Z549" s="115">
        <f>IFERROR(R549/S549*1000,"")</f>
        <v/>
      </c>
      <c r="AA549" s="116" t="n">
        <v>41</v>
      </c>
      <c r="AB549" s="47">
        <f>IFERROR(AA549/W549,"")</f>
        <v/>
      </c>
      <c r="AC549" s="116" t="n">
        <v>0</v>
      </c>
      <c r="AD549" s="116" t="n">
        <v>0</v>
      </c>
      <c r="AE549" s="116" t="n">
        <v>0</v>
      </c>
      <c r="AF549" s="116" t="n">
        <v>0</v>
      </c>
      <c r="AG549" s="116" t="n">
        <v>0</v>
      </c>
      <c r="AH549" s="116" t="n">
        <v>0</v>
      </c>
      <c r="AI549" s="47">
        <f>IFERROR(AC549/S549,"")</f>
        <v/>
      </c>
      <c r="AJ549" s="47">
        <f>IFERROR(AH549/S549,"")</f>
        <v/>
      </c>
      <c r="AK549" s="116" t="n">
        <v>86</v>
      </c>
      <c r="AL549" s="116" t="n">
        <v>0</v>
      </c>
      <c r="AM549" s="118">
        <f>IFERROR(AL549/AA549,"")</f>
        <v/>
      </c>
      <c r="AN549" s="119">
        <f>IFERROR(R549/AL549,"")</f>
        <v/>
      </c>
      <c r="AO549" s="116" t="n">
        <v>0</v>
      </c>
      <c r="AP549" s="47">
        <f>IFERROR(AO549/AL549,"")</f>
        <v/>
      </c>
      <c r="AQ549" s="119">
        <f>IFERROR(R549/AO549,"")</f>
        <v/>
      </c>
      <c r="AR549" s="116" t="n">
        <v>0</v>
      </c>
      <c r="AS549" s="116" t="n">
        <v>0</v>
      </c>
      <c r="AT549" s="116">
        <f>AL549+AR549</f>
        <v/>
      </c>
      <c r="AU549" s="119">
        <f>IFERROR(AO549*Assumptions!$C$26*Assumptions!$C$27*INDEX(Assumptions!$C$18:$C$21,MATCH(H549,Assumptions!$B$18:$B$21,0)),0)</f>
        <v/>
      </c>
    </row>
    <row r="550">
      <c r="A550" s="114" t="n">
        <v>46251</v>
      </c>
      <c r="B550" s="42" t="inlineStr">
        <is>
          <t>Wk 34</t>
        </is>
      </c>
      <c r="C550" s="42" t="inlineStr">
        <is>
          <t>Mon</t>
        </is>
      </c>
      <c r="D550" s="42" t="inlineStr">
        <is>
          <t>Meta (FB/IG)</t>
        </is>
      </c>
      <c r="E550" s="42" t="inlineStr">
        <is>
          <t>Facebook + Instagram</t>
        </is>
      </c>
      <c r="F550" s="42" t="inlineStr">
        <is>
          <t>LEP_ZA_AUG26_META_TD_PANTERA_CONV</t>
        </is>
      </c>
      <c r="G550" s="42" t="inlineStr">
        <is>
          <t>Leads - Website Conversions</t>
        </is>
      </c>
      <c r="H550" s="42" t="inlineStr">
        <is>
          <t>PANTERA</t>
        </is>
      </c>
      <c r="I550" s="42" t="inlineStr">
        <is>
          <t>0% Deposit</t>
        </is>
      </c>
      <c r="J550" s="42" t="inlineStr">
        <is>
          <t>MET_PANTERA_BROAD_30-60_ZA</t>
        </is>
      </c>
      <c r="K550" s="42" t="inlineStr">
        <is>
          <t>Prospecting</t>
        </is>
      </c>
      <c r="L550" s="42" t="inlineStr">
        <is>
          <t>PANTERA_STA_Offer_0Dep_v2</t>
        </is>
      </c>
      <c r="M550" s="42" t="inlineStr">
        <is>
          <t>Static 1:1</t>
        </is>
      </c>
      <c r="N550" s="42" t="inlineStr">
        <is>
          <t>R5 899pm. No deposit. Test drive it.</t>
        </is>
      </c>
      <c r="O550" s="42" t="inlineStr">
        <is>
          <t>Auction - Cost Cap</t>
        </is>
      </c>
      <c r="P550" s="42" t="inlineStr">
        <is>
          <t>Offsite Conversions</t>
        </is>
      </c>
      <c r="Q550" s="42" t="inlineStr">
        <is>
          <t>https://www.lepas-sa.co.za/offers/pantera</t>
        </is>
      </c>
      <c r="R550" s="115" t="n">
        <v>166.32</v>
      </c>
      <c r="S550" s="116" t="n">
        <v>2379</v>
      </c>
      <c r="T550" s="116" t="n">
        <v>1727</v>
      </c>
      <c r="U550" s="117">
        <f>IFERROR(S550/T550,"")</f>
        <v/>
      </c>
      <c r="V550" s="116" t="n">
        <v>40</v>
      </c>
      <c r="W550" s="116" t="n">
        <v>31</v>
      </c>
      <c r="X550" s="118">
        <f>IFERROR(W550/S550,"")</f>
        <v/>
      </c>
      <c r="Y550" s="115">
        <f>IFERROR(R550/W550,"")</f>
        <v/>
      </c>
      <c r="Z550" s="115">
        <f>IFERROR(R550/S550*1000,"")</f>
        <v/>
      </c>
      <c r="AA550" s="116" t="n">
        <v>27</v>
      </c>
      <c r="AB550" s="47">
        <f>IFERROR(AA550/W550,"")</f>
        <v/>
      </c>
      <c r="AC550" s="116" t="n">
        <v>0</v>
      </c>
      <c r="AD550" s="116" t="n">
        <v>0</v>
      </c>
      <c r="AE550" s="116" t="n">
        <v>0</v>
      </c>
      <c r="AF550" s="116" t="n">
        <v>0</v>
      </c>
      <c r="AG550" s="116" t="n">
        <v>0</v>
      </c>
      <c r="AH550" s="116" t="n">
        <v>0</v>
      </c>
      <c r="AI550" s="47">
        <f>IFERROR(AC550/S550,"")</f>
        <v/>
      </c>
      <c r="AJ550" s="47">
        <f>IFERROR(AH550/S550,"")</f>
        <v/>
      </c>
      <c r="AK550" s="116" t="n">
        <v>30</v>
      </c>
      <c r="AL550" s="116" t="n">
        <v>0</v>
      </c>
      <c r="AM550" s="118">
        <f>IFERROR(AL550/AA550,"")</f>
        <v/>
      </c>
      <c r="AN550" s="119">
        <f>IFERROR(R550/AL550,"")</f>
        <v/>
      </c>
      <c r="AO550" s="116" t="n">
        <v>0</v>
      </c>
      <c r="AP550" s="47">
        <f>IFERROR(AO550/AL550,"")</f>
        <v/>
      </c>
      <c r="AQ550" s="119">
        <f>IFERROR(R550/AO550,"")</f>
        <v/>
      </c>
      <c r="AR550" s="116" t="n">
        <v>0</v>
      </c>
      <c r="AS550" s="116" t="n">
        <v>0</v>
      </c>
      <c r="AT550" s="116">
        <f>AL550+AR550</f>
        <v/>
      </c>
      <c r="AU550" s="119">
        <f>IFERROR(AO550*Assumptions!$C$26*Assumptions!$C$27*INDEX(Assumptions!$C$18:$C$21,MATCH(H550,Assumptions!$B$18:$B$21,0)),0)</f>
        <v/>
      </c>
    </row>
    <row r="551">
      <c r="A551" s="114" t="n">
        <v>46252</v>
      </c>
      <c r="B551" s="42" t="inlineStr">
        <is>
          <t>Wk 34</t>
        </is>
      </c>
      <c r="C551" s="42" t="inlineStr">
        <is>
          <t>Tue</t>
        </is>
      </c>
      <c r="D551" s="42" t="inlineStr">
        <is>
          <t>Meta (FB/IG)</t>
        </is>
      </c>
      <c r="E551" s="42" t="inlineStr">
        <is>
          <t>Facebook + Instagram</t>
        </is>
      </c>
      <c r="F551" s="42" t="inlineStr">
        <is>
          <t>LEP_ZA_AUG26_META_TD_PANTERA_CONV</t>
        </is>
      </c>
      <c r="G551" s="42" t="inlineStr">
        <is>
          <t>Leads - Website Conversions</t>
        </is>
      </c>
      <c r="H551" s="42" t="inlineStr">
        <is>
          <t>PANTERA</t>
        </is>
      </c>
      <c r="I551" s="42" t="inlineStr">
        <is>
          <t>0% Deposit</t>
        </is>
      </c>
      <c r="J551" s="42" t="inlineStr">
        <is>
          <t>MET_PANTERA_BROAD_30-60_ZA</t>
        </is>
      </c>
      <c r="K551" s="42" t="inlineStr">
        <is>
          <t>Prospecting</t>
        </is>
      </c>
      <c r="L551" s="42" t="inlineStr">
        <is>
          <t>PANTERA_STA_Offer_0Dep_v2</t>
        </is>
      </c>
      <c r="M551" s="42" t="inlineStr">
        <is>
          <t>Static 1:1</t>
        </is>
      </c>
      <c r="N551" s="42" t="inlineStr">
        <is>
          <t>R5 899pm. No deposit. Test drive it.</t>
        </is>
      </c>
      <c r="O551" s="42" t="inlineStr">
        <is>
          <t>Auction - Cost Cap</t>
        </is>
      </c>
      <c r="P551" s="42" t="inlineStr">
        <is>
          <t>Offsite Conversions</t>
        </is>
      </c>
      <c r="Q551" s="42" t="inlineStr">
        <is>
          <t>https://www.lepas-sa.co.za/offers/pantera</t>
        </is>
      </c>
      <c r="R551" s="115" t="n">
        <v>167.6</v>
      </c>
      <c r="S551" s="116" t="n">
        <v>2026</v>
      </c>
      <c r="T551" s="116" t="n">
        <v>1506</v>
      </c>
      <c r="U551" s="117">
        <f>IFERROR(S551/T551,"")</f>
        <v/>
      </c>
      <c r="V551" s="116" t="n">
        <v>37</v>
      </c>
      <c r="W551" s="116" t="n">
        <v>30</v>
      </c>
      <c r="X551" s="118">
        <f>IFERROR(W551/S551,"")</f>
        <v/>
      </c>
      <c r="Y551" s="115">
        <f>IFERROR(R551/W551,"")</f>
        <v/>
      </c>
      <c r="Z551" s="115">
        <f>IFERROR(R551/S551*1000,"")</f>
        <v/>
      </c>
      <c r="AA551" s="116" t="n">
        <v>25</v>
      </c>
      <c r="AB551" s="47">
        <f>IFERROR(AA551/W551,"")</f>
        <v/>
      </c>
      <c r="AC551" s="116" t="n">
        <v>0</v>
      </c>
      <c r="AD551" s="116" t="n">
        <v>0</v>
      </c>
      <c r="AE551" s="116" t="n">
        <v>0</v>
      </c>
      <c r="AF551" s="116" t="n">
        <v>0</v>
      </c>
      <c r="AG551" s="116" t="n">
        <v>0</v>
      </c>
      <c r="AH551" s="116" t="n">
        <v>0</v>
      </c>
      <c r="AI551" s="47">
        <f>IFERROR(AC551/S551,"")</f>
        <v/>
      </c>
      <c r="AJ551" s="47">
        <f>IFERROR(AH551/S551,"")</f>
        <v/>
      </c>
      <c r="AK551" s="116" t="n">
        <v>28</v>
      </c>
      <c r="AL551" s="116" t="n">
        <v>0</v>
      </c>
      <c r="AM551" s="118">
        <f>IFERROR(AL551/AA551,"")</f>
        <v/>
      </c>
      <c r="AN551" s="119">
        <f>IFERROR(R551/AL551,"")</f>
        <v/>
      </c>
      <c r="AO551" s="116" t="n">
        <v>0</v>
      </c>
      <c r="AP551" s="47">
        <f>IFERROR(AO551/AL551,"")</f>
        <v/>
      </c>
      <c r="AQ551" s="119">
        <f>IFERROR(R551/AO551,"")</f>
        <v/>
      </c>
      <c r="AR551" s="116" t="n">
        <v>0</v>
      </c>
      <c r="AS551" s="116" t="n">
        <v>0</v>
      </c>
      <c r="AT551" s="116">
        <f>AL551+AR551</f>
        <v/>
      </c>
      <c r="AU551" s="119">
        <f>IFERROR(AO551*Assumptions!$C$26*Assumptions!$C$27*INDEX(Assumptions!$C$18:$C$21,MATCH(H551,Assumptions!$B$18:$B$21,0)),0)</f>
        <v/>
      </c>
    </row>
    <row r="552">
      <c r="A552" s="114" t="n">
        <v>46253</v>
      </c>
      <c r="B552" s="42" t="inlineStr">
        <is>
          <t>Wk 34</t>
        </is>
      </c>
      <c r="C552" s="42" t="inlineStr">
        <is>
          <t>Wed</t>
        </is>
      </c>
      <c r="D552" s="42" t="inlineStr">
        <is>
          <t>Meta (FB/IG)</t>
        </is>
      </c>
      <c r="E552" s="42" t="inlineStr">
        <is>
          <t>Facebook + Instagram</t>
        </is>
      </c>
      <c r="F552" s="42" t="inlineStr">
        <is>
          <t>LEP_ZA_AUG26_META_TD_PANTERA_CONV</t>
        </is>
      </c>
      <c r="G552" s="42" t="inlineStr">
        <is>
          <t>Leads - Website Conversions</t>
        </is>
      </c>
      <c r="H552" s="42" t="inlineStr">
        <is>
          <t>PANTERA</t>
        </is>
      </c>
      <c r="I552" s="42" t="inlineStr">
        <is>
          <t>0% Deposit</t>
        </is>
      </c>
      <c r="J552" s="42" t="inlineStr">
        <is>
          <t>MET_PANTERA_BROAD_30-60_ZA</t>
        </is>
      </c>
      <c r="K552" s="42" t="inlineStr">
        <is>
          <t>Prospecting</t>
        </is>
      </c>
      <c r="L552" s="42" t="inlineStr">
        <is>
          <t>PANTERA_STA_Offer_0Dep_v2</t>
        </is>
      </c>
      <c r="M552" s="42" t="inlineStr">
        <is>
          <t>Static 1:1</t>
        </is>
      </c>
      <c r="N552" s="42" t="inlineStr">
        <is>
          <t>R5 899pm. No deposit. Test drive it.</t>
        </is>
      </c>
      <c r="O552" s="42" t="inlineStr">
        <is>
          <t>Auction - Cost Cap</t>
        </is>
      </c>
      <c r="P552" s="42" t="inlineStr">
        <is>
          <t>Offsite Conversions</t>
        </is>
      </c>
      <c r="Q552" s="42" t="inlineStr">
        <is>
          <t>https://www.lepas-sa.co.za/offers/pantera</t>
        </is>
      </c>
      <c r="R552" s="115" t="n">
        <v>162.81</v>
      </c>
      <c r="S552" s="116" t="n">
        <v>2098</v>
      </c>
      <c r="T552" s="116" t="n">
        <v>1535</v>
      </c>
      <c r="U552" s="117">
        <f>IFERROR(S552/T552,"")</f>
        <v/>
      </c>
      <c r="V552" s="116" t="n">
        <v>33</v>
      </c>
      <c r="W552" s="116" t="n">
        <v>26</v>
      </c>
      <c r="X552" s="118">
        <f>IFERROR(W552/S552,"")</f>
        <v/>
      </c>
      <c r="Y552" s="115">
        <f>IFERROR(R552/W552,"")</f>
        <v/>
      </c>
      <c r="Z552" s="115">
        <f>IFERROR(R552/S552*1000,"")</f>
        <v/>
      </c>
      <c r="AA552" s="116" t="n">
        <v>22</v>
      </c>
      <c r="AB552" s="47">
        <f>IFERROR(AA552/W552,"")</f>
        <v/>
      </c>
      <c r="AC552" s="116" t="n">
        <v>0</v>
      </c>
      <c r="AD552" s="116" t="n">
        <v>0</v>
      </c>
      <c r="AE552" s="116" t="n">
        <v>0</v>
      </c>
      <c r="AF552" s="116" t="n">
        <v>0</v>
      </c>
      <c r="AG552" s="116" t="n">
        <v>0</v>
      </c>
      <c r="AH552" s="116" t="n">
        <v>0</v>
      </c>
      <c r="AI552" s="47">
        <f>IFERROR(AC552/S552,"")</f>
        <v/>
      </c>
      <c r="AJ552" s="47">
        <f>IFERROR(AH552/S552,"")</f>
        <v/>
      </c>
      <c r="AK552" s="116" t="n">
        <v>69</v>
      </c>
      <c r="AL552" s="116" t="n">
        <v>0</v>
      </c>
      <c r="AM552" s="118">
        <f>IFERROR(AL552/AA552,"")</f>
        <v/>
      </c>
      <c r="AN552" s="119">
        <f>IFERROR(R552/AL552,"")</f>
        <v/>
      </c>
      <c r="AO552" s="116" t="n">
        <v>0</v>
      </c>
      <c r="AP552" s="47">
        <f>IFERROR(AO552/AL552,"")</f>
        <v/>
      </c>
      <c r="AQ552" s="119">
        <f>IFERROR(R552/AO552,"")</f>
        <v/>
      </c>
      <c r="AR552" s="116" t="n">
        <v>0</v>
      </c>
      <c r="AS552" s="116" t="n">
        <v>0</v>
      </c>
      <c r="AT552" s="116">
        <f>AL552+AR552</f>
        <v/>
      </c>
      <c r="AU552" s="119">
        <f>IFERROR(AO552*Assumptions!$C$26*Assumptions!$C$27*INDEX(Assumptions!$C$18:$C$21,MATCH(H552,Assumptions!$B$18:$B$21,0)),0)</f>
        <v/>
      </c>
    </row>
    <row r="553">
      <c r="A553" s="114" t="n">
        <v>46254</v>
      </c>
      <c r="B553" s="42" t="inlineStr">
        <is>
          <t>Wk 34</t>
        </is>
      </c>
      <c r="C553" s="42" t="inlineStr">
        <is>
          <t>Thu</t>
        </is>
      </c>
      <c r="D553" s="42" t="inlineStr">
        <is>
          <t>Meta (FB/IG)</t>
        </is>
      </c>
      <c r="E553" s="42" t="inlineStr">
        <is>
          <t>Facebook + Instagram</t>
        </is>
      </c>
      <c r="F553" s="42" t="inlineStr">
        <is>
          <t>LEP_ZA_AUG26_META_TD_PANTERA_CONV</t>
        </is>
      </c>
      <c r="G553" s="42" t="inlineStr">
        <is>
          <t>Leads - Website Conversions</t>
        </is>
      </c>
      <c r="H553" s="42" t="inlineStr">
        <is>
          <t>PANTERA</t>
        </is>
      </c>
      <c r="I553" s="42" t="inlineStr">
        <is>
          <t>0% Deposit</t>
        </is>
      </c>
      <c r="J553" s="42" t="inlineStr">
        <is>
          <t>MET_PANTERA_BROAD_30-60_ZA</t>
        </is>
      </c>
      <c r="K553" s="42" t="inlineStr">
        <is>
          <t>Prospecting</t>
        </is>
      </c>
      <c r="L553" s="42" t="inlineStr">
        <is>
          <t>PANTERA_STA_Offer_0Dep_v2</t>
        </is>
      </c>
      <c r="M553" s="42" t="inlineStr">
        <is>
          <t>Static 1:1</t>
        </is>
      </c>
      <c r="N553" s="42" t="inlineStr">
        <is>
          <t>R5 899pm. No deposit. Test drive it.</t>
        </is>
      </c>
      <c r="O553" s="42" t="inlineStr">
        <is>
          <t>Auction - Cost Cap</t>
        </is>
      </c>
      <c r="P553" s="42" t="inlineStr">
        <is>
          <t>Offsite Conversions</t>
        </is>
      </c>
      <c r="Q553" s="42" t="inlineStr">
        <is>
          <t>https://www.lepas-sa.co.za/offers/pantera</t>
        </is>
      </c>
      <c r="R553" s="115" t="n">
        <v>190.28</v>
      </c>
      <c r="S553" s="116" t="n">
        <v>3735</v>
      </c>
      <c r="T553" s="116" t="n">
        <v>2356</v>
      </c>
      <c r="U553" s="117">
        <f>IFERROR(S553/T553,"")</f>
        <v/>
      </c>
      <c r="V553" s="116" t="n">
        <v>51</v>
      </c>
      <c r="W553" s="116" t="n">
        <v>37</v>
      </c>
      <c r="X553" s="118">
        <f>IFERROR(W553/S553,"")</f>
        <v/>
      </c>
      <c r="Y553" s="115">
        <f>IFERROR(R553/W553,"")</f>
        <v/>
      </c>
      <c r="Z553" s="115">
        <f>IFERROR(R553/S553*1000,"")</f>
        <v/>
      </c>
      <c r="AA553" s="116" t="n">
        <v>32</v>
      </c>
      <c r="AB553" s="47">
        <f>IFERROR(AA553/W553,"")</f>
        <v/>
      </c>
      <c r="AC553" s="116" t="n">
        <v>0</v>
      </c>
      <c r="AD553" s="116" t="n">
        <v>0</v>
      </c>
      <c r="AE553" s="116" t="n">
        <v>0</v>
      </c>
      <c r="AF553" s="116" t="n">
        <v>0</v>
      </c>
      <c r="AG553" s="116" t="n">
        <v>0</v>
      </c>
      <c r="AH553" s="116" t="n">
        <v>0</v>
      </c>
      <c r="AI553" s="47">
        <f>IFERROR(AC553/S553,"")</f>
        <v/>
      </c>
      <c r="AJ553" s="47">
        <f>IFERROR(AH553/S553,"")</f>
        <v/>
      </c>
      <c r="AK553" s="116" t="n">
        <v>38</v>
      </c>
      <c r="AL553" s="116" t="n">
        <v>0</v>
      </c>
      <c r="AM553" s="118">
        <f>IFERROR(AL553/AA553,"")</f>
        <v/>
      </c>
      <c r="AN553" s="119">
        <f>IFERROR(R553/AL553,"")</f>
        <v/>
      </c>
      <c r="AO553" s="116" t="n">
        <v>0</v>
      </c>
      <c r="AP553" s="47">
        <f>IFERROR(AO553/AL553,"")</f>
        <v/>
      </c>
      <c r="AQ553" s="119">
        <f>IFERROR(R553/AO553,"")</f>
        <v/>
      </c>
      <c r="AR553" s="116" t="n">
        <v>0</v>
      </c>
      <c r="AS553" s="116" t="n">
        <v>0</v>
      </c>
      <c r="AT553" s="116">
        <f>AL553+AR553</f>
        <v/>
      </c>
      <c r="AU553" s="119">
        <f>IFERROR(AO553*Assumptions!$C$26*Assumptions!$C$27*INDEX(Assumptions!$C$18:$C$21,MATCH(H553,Assumptions!$B$18:$B$21,0)),0)</f>
        <v/>
      </c>
    </row>
    <row r="554">
      <c r="A554" s="114" t="n">
        <v>46255</v>
      </c>
      <c r="B554" s="42" t="inlineStr">
        <is>
          <t>Wk 34</t>
        </is>
      </c>
      <c r="C554" s="42" t="inlineStr">
        <is>
          <t>Fri</t>
        </is>
      </c>
      <c r="D554" s="42" t="inlineStr">
        <is>
          <t>Meta (FB/IG)</t>
        </is>
      </c>
      <c r="E554" s="42" t="inlineStr">
        <is>
          <t>Facebook + Instagram</t>
        </is>
      </c>
      <c r="F554" s="42" t="inlineStr">
        <is>
          <t>LEP_ZA_AUG26_META_TD_PANTERA_CONV</t>
        </is>
      </c>
      <c r="G554" s="42" t="inlineStr">
        <is>
          <t>Leads - Website Conversions</t>
        </is>
      </c>
      <c r="H554" s="42" t="inlineStr">
        <is>
          <t>PANTERA</t>
        </is>
      </c>
      <c r="I554" s="42" t="inlineStr">
        <is>
          <t>0% Deposit</t>
        </is>
      </c>
      <c r="J554" s="42" t="inlineStr">
        <is>
          <t>MET_PANTERA_BROAD_30-60_ZA</t>
        </is>
      </c>
      <c r="K554" s="42" t="inlineStr">
        <is>
          <t>Prospecting</t>
        </is>
      </c>
      <c r="L554" s="42" t="inlineStr">
        <is>
          <t>PANTERA_STA_Offer_0Dep_v2</t>
        </is>
      </c>
      <c r="M554" s="42" t="inlineStr">
        <is>
          <t>Static 1:1</t>
        </is>
      </c>
      <c r="N554" s="42" t="inlineStr">
        <is>
          <t>R5 899pm. No deposit. Test drive it.</t>
        </is>
      </c>
      <c r="O554" s="42" t="inlineStr">
        <is>
          <t>Auction - Cost Cap</t>
        </is>
      </c>
      <c r="P554" s="42" t="inlineStr">
        <is>
          <t>Offsite Conversions</t>
        </is>
      </c>
      <c r="Q554" s="42" t="inlineStr">
        <is>
          <t>https://www.lepas-sa.co.za/offers/pantera</t>
        </is>
      </c>
      <c r="R554" s="115" t="n">
        <v>190.64</v>
      </c>
      <c r="S554" s="116" t="n">
        <v>3061</v>
      </c>
      <c r="T554" s="116" t="n">
        <v>1935</v>
      </c>
      <c r="U554" s="117">
        <f>IFERROR(S554/T554,"")</f>
        <v/>
      </c>
      <c r="V554" s="116" t="n">
        <v>35</v>
      </c>
      <c r="W554" s="116" t="n">
        <v>27</v>
      </c>
      <c r="X554" s="118">
        <f>IFERROR(W554/S554,"")</f>
        <v/>
      </c>
      <c r="Y554" s="115">
        <f>IFERROR(R554/W554,"")</f>
        <v/>
      </c>
      <c r="Z554" s="115">
        <f>IFERROR(R554/S554*1000,"")</f>
        <v/>
      </c>
      <c r="AA554" s="116" t="n">
        <v>24</v>
      </c>
      <c r="AB554" s="47">
        <f>IFERROR(AA554/W554,"")</f>
        <v/>
      </c>
      <c r="AC554" s="116" t="n">
        <v>0</v>
      </c>
      <c r="AD554" s="116" t="n">
        <v>0</v>
      </c>
      <c r="AE554" s="116" t="n">
        <v>0</v>
      </c>
      <c r="AF554" s="116" t="n">
        <v>0</v>
      </c>
      <c r="AG554" s="116" t="n">
        <v>0</v>
      </c>
      <c r="AH554" s="116" t="n">
        <v>0</v>
      </c>
      <c r="AI554" s="47">
        <f>IFERROR(AC554/S554,"")</f>
        <v/>
      </c>
      <c r="AJ554" s="47">
        <f>IFERROR(AH554/S554,"")</f>
        <v/>
      </c>
      <c r="AK554" s="116" t="n">
        <v>45</v>
      </c>
      <c r="AL554" s="116" t="n">
        <v>0</v>
      </c>
      <c r="AM554" s="118">
        <f>IFERROR(AL554/AA554,"")</f>
        <v/>
      </c>
      <c r="AN554" s="119">
        <f>IFERROR(R554/AL554,"")</f>
        <v/>
      </c>
      <c r="AO554" s="116" t="n">
        <v>0</v>
      </c>
      <c r="AP554" s="47">
        <f>IFERROR(AO554/AL554,"")</f>
        <v/>
      </c>
      <c r="AQ554" s="119">
        <f>IFERROR(R554/AO554,"")</f>
        <v/>
      </c>
      <c r="AR554" s="116" t="n">
        <v>0</v>
      </c>
      <c r="AS554" s="116" t="n">
        <v>0</v>
      </c>
      <c r="AT554" s="116">
        <f>AL554+AR554</f>
        <v/>
      </c>
      <c r="AU554" s="119">
        <f>IFERROR(AO554*Assumptions!$C$26*Assumptions!$C$27*INDEX(Assumptions!$C$18:$C$21,MATCH(H554,Assumptions!$B$18:$B$21,0)),0)</f>
        <v/>
      </c>
    </row>
    <row r="555">
      <c r="A555" s="114" t="n">
        <v>46256</v>
      </c>
      <c r="B555" s="42" t="inlineStr">
        <is>
          <t>Wk 34</t>
        </is>
      </c>
      <c r="C555" s="42" t="inlineStr">
        <is>
          <t>Sat</t>
        </is>
      </c>
      <c r="D555" s="42" t="inlineStr">
        <is>
          <t>Meta (FB/IG)</t>
        </is>
      </c>
      <c r="E555" s="42" t="inlineStr">
        <is>
          <t>Facebook + Instagram</t>
        </is>
      </c>
      <c r="F555" s="42" t="inlineStr">
        <is>
          <t>LEP_ZA_AUG26_META_TD_PANTERA_CONV</t>
        </is>
      </c>
      <c r="G555" s="42" t="inlineStr">
        <is>
          <t>Leads - Website Conversions</t>
        </is>
      </c>
      <c r="H555" s="42" t="inlineStr">
        <is>
          <t>PANTERA</t>
        </is>
      </c>
      <c r="I555" s="42" t="inlineStr">
        <is>
          <t>0% Deposit</t>
        </is>
      </c>
      <c r="J555" s="42" t="inlineStr">
        <is>
          <t>MET_PANTERA_BROAD_30-60_ZA</t>
        </is>
      </c>
      <c r="K555" s="42" t="inlineStr">
        <is>
          <t>Prospecting</t>
        </is>
      </c>
      <c r="L555" s="42" t="inlineStr">
        <is>
          <t>PANTERA_STA_Offer_0Dep_v2</t>
        </is>
      </c>
      <c r="M555" s="42" t="inlineStr">
        <is>
          <t>Static 1:1</t>
        </is>
      </c>
      <c r="N555" s="42" t="inlineStr">
        <is>
          <t>R5 899pm. No deposit. Test drive it.</t>
        </is>
      </c>
      <c r="O555" s="42" t="inlineStr">
        <is>
          <t>Auction - Cost Cap</t>
        </is>
      </c>
      <c r="P555" s="42" t="inlineStr">
        <is>
          <t>Offsite Conversions</t>
        </is>
      </c>
      <c r="Q555" s="42" t="inlineStr">
        <is>
          <t>https://www.lepas-sa.co.za/offers/pantera</t>
        </is>
      </c>
      <c r="R555" s="115" t="n">
        <v>176.55</v>
      </c>
      <c r="S555" s="116" t="n">
        <v>2374</v>
      </c>
      <c r="T555" s="116" t="n">
        <v>1645</v>
      </c>
      <c r="U555" s="117">
        <f>IFERROR(S555/T555,"")</f>
        <v/>
      </c>
      <c r="V555" s="116" t="n">
        <v>30</v>
      </c>
      <c r="W555" s="116" t="n">
        <v>22</v>
      </c>
      <c r="X555" s="118">
        <f>IFERROR(W555/S555,"")</f>
        <v/>
      </c>
      <c r="Y555" s="115">
        <f>IFERROR(R555/W555,"")</f>
        <v/>
      </c>
      <c r="Z555" s="115">
        <f>IFERROR(R555/S555*1000,"")</f>
        <v/>
      </c>
      <c r="AA555" s="116" t="n">
        <v>18</v>
      </c>
      <c r="AB555" s="47">
        <f>IFERROR(AA555/W555,"")</f>
        <v/>
      </c>
      <c r="AC555" s="116" t="n">
        <v>0</v>
      </c>
      <c r="AD555" s="116" t="n">
        <v>0</v>
      </c>
      <c r="AE555" s="116" t="n">
        <v>0</v>
      </c>
      <c r="AF555" s="116" t="n">
        <v>0</v>
      </c>
      <c r="AG555" s="116" t="n">
        <v>0</v>
      </c>
      <c r="AH555" s="116" t="n">
        <v>0</v>
      </c>
      <c r="AI555" s="47">
        <f>IFERROR(AC555/S555,"")</f>
        <v/>
      </c>
      <c r="AJ555" s="47">
        <f>IFERROR(AH555/S555,"")</f>
        <v/>
      </c>
      <c r="AK555" s="116" t="n">
        <v>26</v>
      </c>
      <c r="AL555" s="116" t="n">
        <v>0</v>
      </c>
      <c r="AM555" s="118">
        <f>IFERROR(AL555/AA555,"")</f>
        <v/>
      </c>
      <c r="AN555" s="119">
        <f>IFERROR(R555/AL555,"")</f>
        <v/>
      </c>
      <c r="AO555" s="116" t="n">
        <v>0</v>
      </c>
      <c r="AP555" s="47">
        <f>IFERROR(AO555/AL555,"")</f>
        <v/>
      </c>
      <c r="AQ555" s="119">
        <f>IFERROR(R555/AO555,"")</f>
        <v/>
      </c>
      <c r="AR555" s="116" t="n">
        <v>0</v>
      </c>
      <c r="AS555" s="116" t="n">
        <v>0</v>
      </c>
      <c r="AT555" s="116">
        <f>AL555+AR555</f>
        <v/>
      </c>
      <c r="AU555" s="119">
        <f>IFERROR(AO555*Assumptions!$C$26*Assumptions!$C$27*INDEX(Assumptions!$C$18:$C$21,MATCH(H555,Assumptions!$B$18:$B$21,0)),0)</f>
        <v/>
      </c>
    </row>
    <row r="556">
      <c r="A556" s="114" t="n">
        <v>46257</v>
      </c>
      <c r="B556" s="42" t="inlineStr">
        <is>
          <t>Wk 34</t>
        </is>
      </c>
      <c r="C556" s="42" t="inlineStr">
        <is>
          <t>Sun</t>
        </is>
      </c>
      <c r="D556" s="42" t="inlineStr">
        <is>
          <t>Meta (FB/IG)</t>
        </is>
      </c>
      <c r="E556" s="42" t="inlineStr">
        <is>
          <t>Facebook + Instagram</t>
        </is>
      </c>
      <c r="F556" s="42" t="inlineStr">
        <is>
          <t>LEP_ZA_AUG26_META_TD_PANTERA_CONV</t>
        </is>
      </c>
      <c r="G556" s="42" t="inlineStr">
        <is>
          <t>Leads - Website Conversions</t>
        </is>
      </c>
      <c r="H556" s="42" t="inlineStr">
        <is>
          <t>PANTERA</t>
        </is>
      </c>
      <c r="I556" s="42" t="inlineStr">
        <is>
          <t>0% Deposit</t>
        </is>
      </c>
      <c r="J556" s="42" t="inlineStr">
        <is>
          <t>MET_PANTERA_BROAD_30-60_ZA</t>
        </is>
      </c>
      <c r="K556" s="42" t="inlineStr">
        <is>
          <t>Prospecting</t>
        </is>
      </c>
      <c r="L556" s="42" t="inlineStr">
        <is>
          <t>PANTERA_STA_Offer_0Dep_v2</t>
        </is>
      </c>
      <c r="M556" s="42" t="inlineStr">
        <is>
          <t>Static 1:1</t>
        </is>
      </c>
      <c r="N556" s="42" t="inlineStr">
        <is>
          <t>R5 899pm. No deposit. Test drive it.</t>
        </is>
      </c>
      <c r="O556" s="42" t="inlineStr">
        <is>
          <t>Auction - Cost Cap</t>
        </is>
      </c>
      <c r="P556" s="42" t="inlineStr">
        <is>
          <t>Offsite Conversions</t>
        </is>
      </c>
      <c r="Q556" s="42" t="inlineStr">
        <is>
          <t>https://www.lepas-sa.co.za/offers/pantera</t>
        </is>
      </c>
      <c r="R556" s="115" t="n">
        <v>120.34</v>
      </c>
      <c r="S556" s="116" t="n">
        <v>1672</v>
      </c>
      <c r="T556" s="116" t="n">
        <v>862</v>
      </c>
      <c r="U556" s="117">
        <f>IFERROR(S556/T556,"")</f>
        <v/>
      </c>
      <c r="V556" s="116" t="n">
        <v>22</v>
      </c>
      <c r="W556" s="116" t="n">
        <v>16</v>
      </c>
      <c r="X556" s="118">
        <f>IFERROR(W556/S556,"")</f>
        <v/>
      </c>
      <c r="Y556" s="115">
        <f>IFERROR(R556/W556,"")</f>
        <v/>
      </c>
      <c r="Z556" s="115">
        <f>IFERROR(R556/S556*1000,"")</f>
        <v/>
      </c>
      <c r="AA556" s="116" t="n">
        <v>15</v>
      </c>
      <c r="AB556" s="47">
        <f>IFERROR(AA556/W556,"")</f>
        <v/>
      </c>
      <c r="AC556" s="116" t="n">
        <v>0</v>
      </c>
      <c r="AD556" s="116" t="n">
        <v>0</v>
      </c>
      <c r="AE556" s="116" t="n">
        <v>0</v>
      </c>
      <c r="AF556" s="116" t="n">
        <v>0</v>
      </c>
      <c r="AG556" s="116" t="n">
        <v>0</v>
      </c>
      <c r="AH556" s="116" t="n">
        <v>0</v>
      </c>
      <c r="AI556" s="47">
        <f>IFERROR(AC556/S556,"")</f>
        <v/>
      </c>
      <c r="AJ556" s="47">
        <f>IFERROR(AH556/S556,"")</f>
        <v/>
      </c>
      <c r="AK556" s="116" t="n">
        <v>44</v>
      </c>
      <c r="AL556" s="116" t="n">
        <v>0</v>
      </c>
      <c r="AM556" s="118">
        <f>IFERROR(AL556/AA556,"")</f>
        <v/>
      </c>
      <c r="AN556" s="119">
        <f>IFERROR(R556/AL556,"")</f>
        <v/>
      </c>
      <c r="AO556" s="116" t="n">
        <v>0</v>
      </c>
      <c r="AP556" s="47">
        <f>IFERROR(AO556/AL556,"")</f>
        <v/>
      </c>
      <c r="AQ556" s="119">
        <f>IFERROR(R556/AO556,"")</f>
        <v/>
      </c>
      <c r="AR556" s="116" t="n">
        <v>0</v>
      </c>
      <c r="AS556" s="116" t="n">
        <v>0</v>
      </c>
      <c r="AT556" s="116">
        <f>AL556+AR556</f>
        <v/>
      </c>
      <c r="AU556" s="119">
        <f>IFERROR(AO556*Assumptions!$C$26*Assumptions!$C$27*INDEX(Assumptions!$C$18:$C$21,MATCH(H556,Assumptions!$B$18:$B$21,0)),0)</f>
        <v/>
      </c>
    </row>
    <row r="557">
      <c r="A557" s="114" t="n">
        <v>46258</v>
      </c>
      <c r="B557" s="42" t="inlineStr">
        <is>
          <t>Wk 35</t>
        </is>
      </c>
      <c r="C557" s="42" t="inlineStr">
        <is>
          <t>Mon</t>
        </is>
      </c>
      <c r="D557" s="42" t="inlineStr">
        <is>
          <t>Meta (FB/IG)</t>
        </is>
      </c>
      <c r="E557" s="42" t="inlineStr">
        <is>
          <t>Facebook + Instagram</t>
        </is>
      </c>
      <c r="F557" s="42" t="inlineStr">
        <is>
          <t>LEP_ZA_AUG26_META_TD_PANTERA_CONV</t>
        </is>
      </c>
      <c r="G557" s="42" t="inlineStr">
        <is>
          <t>Leads - Website Conversions</t>
        </is>
      </c>
      <c r="H557" s="42" t="inlineStr">
        <is>
          <t>PANTERA</t>
        </is>
      </c>
      <c r="I557" s="42" t="inlineStr">
        <is>
          <t>0% Deposit</t>
        </is>
      </c>
      <c r="J557" s="42" t="inlineStr">
        <is>
          <t>MET_PANTERA_BROAD_30-60_ZA</t>
        </is>
      </c>
      <c r="K557" s="42" t="inlineStr">
        <is>
          <t>Prospecting</t>
        </is>
      </c>
      <c r="L557" s="42" t="inlineStr">
        <is>
          <t>PANTERA_STA_Offer_0Dep_v2</t>
        </is>
      </c>
      <c r="M557" s="42" t="inlineStr">
        <is>
          <t>Static 1:1</t>
        </is>
      </c>
      <c r="N557" s="42" t="inlineStr">
        <is>
          <t>R5 899pm. No deposit. Test drive it.</t>
        </is>
      </c>
      <c r="O557" s="42" t="inlineStr">
        <is>
          <t>Auction - Cost Cap</t>
        </is>
      </c>
      <c r="P557" s="42" t="inlineStr">
        <is>
          <t>Offsite Conversions</t>
        </is>
      </c>
      <c r="Q557" s="42" t="inlineStr">
        <is>
          <t>https://www.lepas-sa.co.za/offers/pantera</t>
        </is>
      </c>
      <c r="R557" s="115" t="n">
        <v>149.83</v>
      </c>
      <c r="S557" s="116" t="n">
        <v>3007</v>
      </c>
      <c r="T557" s="116" t="n">
        <v>1606</v>
      </c>
      <c r="U557" s="117">
        <f>IFERROR(S557/T557,"")</f>
        <v/>
      </c>
      <c r="V557" s="116" t="n">
        <v>27</v>
      </c>
      <c r="W557" s="116" t="n">
        <v>20</v>
      </c>
      <c r="X557" s="118">
        <f>IFERROR(W557/S557,"")</f>
        <v/>
      </c>
      <c r="Y557" s="115">
        <f>IFERROR(R557/W557,"")</f>
        <v/>
      </c>
      <c r="Z557" s="115">
        <f>IFERROR(R557/S557*1000,"")</f>
        <v/>
      </c>
      <c r="AA557" s="116" t="n">
        <v>17</v>
      </c>
      <c r="AB557" s="47">
        <f>IFERROR(AA557/W557,"")</f>
        <v/>
      </c>
      <c r="AC557" s="116" t="n">
        <v>0</v>
      </c>
      <c r="AD557" s="116" t="n">
        <v>0</v>
      </c>
      <c r="AE557" s="116" t="n">
        <v>0</v>
      </c>
      <c r="AF557" s="116" t="n">
        <v>0</v>
      </c>
      <c r="AG557" s="116" t="n">
        <v>0</v>
      </c>
      <c r="AH557" s="116" t="n">
        <v>0</v>
      </c>
      <c r="AI557" s="47">
        <f>IFERROR(AC557/S557,"")</f>
        <v/>
      </c>
      <c r="AJ557" s="47">
        <f>IFERROR(AH557/S557,"")</f>
        <v/>
      </c>
      <c r="AK557" s="116" t="n">
        <v>61</v>
      </c>
      <c r="AL557" s="116" t="n">
        <v>0</v>
      </c>
      <c r="AM557" s="118">
        <f>IFERROR(AL557/AA557,"")</f>
        <v/>
      </c>
      <c r="AN557" s="119">
        <f>IFERROR(R557/AL557,"")</f>
        <v/>
      </c>
      <c r="AO557" s="116" t="n">
        <v>0</v>
      </c>
      <c r="AP557" s="47">
        <f>IFERROR(AO557/AL557,"")</f>
        <v/>
      </c>
      <c r="AQ557" s="119">
        <f>IFERROR(R557/AO557,"")</f>
        <v/>
      </c>
      <c r="AR557" s="116" t="n">
        <v>0</v>
      </c>
      <c r="AS557" s="116" t="n">
        <v>0</v>
      </c>
      <c r="AT557" s="116">
        <f>AL557+AR557</f>
        <v/>
      </c>
      <c r="AU557" s="119">
        <f>IFERROR(AO557*Assumptions!$C$26*Assumptions!$C$27*INDEX(Assumptions!$C$18:$C$21,MATCH(H557,Assumptions!$B$18:$B$21,0)),0)</f>
        <v/>
      </c>
    </row>
    <row r="558">
      <c r="A558" s="114" t="n">
        <v>46259</v>
      </c>
      <c r="B558" s="42" t="inlineStr">
        <is>
          <t>Wk 35</t>
        </is>
      </c>
      <c r="C558" s="42" t="inlineStr">
        <is>
          <t>Tue</t>
        </is>
      </c>
      <c r="D558" s="42" t="inlineStr">
        <is>
          <t>Meta (FB/IG)</t>
        </is>
      </c>
      <c r="E558" s="42" t="inlineStr">
        <is>
          <t>Facebook + Instagram</t>
        </is>
      </c>
      <c r="F558" s="42" t="inlineStr">
        <is>
          <t>LEP_ZA_AUG26_META_TD_PANTERA_CONV</t>
        </is>
      </c>
      <c r="G558" s="42" t="inlineStr">
        <is>
          <t>Leads - Website Conversions</t>
        </is>
      </c>
      <c r="H558" s="42" t="inlineStr">
        <is>
          <t>PANTERA</t>
        </is>
      </c>
      <c r="I558" s="42" t="inlineStr">
        <is>
          <t>0% Deposit</t>
        </is>
      </c>
      <c r="J558" s="42" t="inlineStr">
        <is>
          <t>MET_PANTERA_BROAD_30-60_ZA</t>
        </is>
      </c>
      <c r="K558" s="42" t="inlineStr">
        <is>
          <t>Prospecting</t>
        </is>
      </c>
      <c r="L558" s="42" t="inlineStr">
        <is>
          <t>PANTERA_STA_Offer_0Dep_v2</t>
        </is>
      </c>
      <c r="M558" s="42" t="inlineStr">
        <is>
          <t>Static 1:1</t>
        </is>
      </c>
      <c r="N558" s="42" t="inlineStr">
        <is>
          <t>R5 899pm. No deposit. Test drive it.</t>
        </is>
      </c>
      <c r="O558" s="42" t="inlineStr">
        <is>
          <t>Auction - Cost Cap</t>
        </is>
      </c>
      <c r="P558" s="42" t="inlineStr">
        <is>
          <t>Offsite Conversions</t>
        </is>
      </c>
      <c r="Q558" s="42" t="inlineStr">
        <is>
          <t>https://www.lepas-sa.co.za/offers/pantera</t>
        </is>
      </c>
      <c r="R558" s="115" t="n">
        <v>176.63</v>
      </c>
      <c r="S558" s="116" t="n">
        <v>2720</v>
      </c>
      <c r="T558" s="116" t="n">
        <v>1837</v>
      </c>
      <c r="U558" s="117">
        <f>IFERROR(S558/T558,"")</f>
        <v/>
      </c>
      <c r="V558" s="116" t="n">
        <v>35</v>
      </c>
      <c r="W558" s="116" t="n">
        <v>29</v>
      </c>
      <c r="X558" s="118">
        <f>IFERROR(W558/S558,"")</f>
        <v/>
      </c>
      <c r="Y558" s="115">
        <f>IFERROR(R558/W558,"")</f>
        <v/>
      </c>
      <c r="Z558" s="115">
        <f>IFERROR(R558/S558*1000,"")</f>
        <v/>
      </c>
      <c r="AA558" s="116" t="n">
        <v>24</v>
      </c>
      <c r="AB558" s="47">
        <f>IFERROR(AA558/W558,"")</f>
        <v/>
      </c>
      <c r="AC558" s="116" t="n">
        <v>0</v>
      </c>
      <c r="AD558" s="116" t="n">
        <v>0</v>
      </c>
      <c r="AE558" s="116" t="n">
        <v>0</v>
      </c>
      <c r="AF558" s="116" t="n">
        <v>0</v>
      </c>
      <c r="AG558" s="116" t="n">
        <v>0</v>
      </c>
      <c r="AH558" s="116" t="n">
        <v>0</v>
      </c>
      <c r="AI558" s="47">
        <f>IFERROR(AC558/S558,"")</f>
        <v/>
      </c>
      <c r="AJ558" s="47">
        <f>IFERROR(AH558/S558,"")</f>
        <v/>
      </c>
      <c r="AK558" s="116" t="n">
        <v>78</v>
      </c>
      <c r="AL558" s="116" t="n">
        <v>0</v>
      </c>
      <c r="AM558" s="118">
        <f>IFERROR(AL558/AA558,"")</f>
        <v/>
      </c>
      <c r="AN558" s="119">
        <f>IFERROR(R558/AL558,"")</f>
        <v/>
      </c>
      <c r="AO558" s="116" t="n">
        <v>0</v>
      </c>
      <c r="AP558" s="47">
        <f>IFERROR(AO558/AL558,"")</f>
        <v/>
      </c>
      <c r="AQ558" s="119">
        <f>IFERROR(R558/AO558,"")</f>
        <v/>
      </c>
      <c r="AR558" s="116" t="n">
        <v>0</v>
      </c>
      <c r="AS558" s="116" t="n">
        <v>0</v>
      </c>
      <c r="AT558" s="116">
        <f>AL558+AR558</f>
        <v/>
      </c>
      <c r="AU558" s="119">
        <f>IFERROR(AO558*Assumptions!$C$26*Assumptions!$C$27*INDEX(Assumptions!$C$18:$C$21,MATCH(H558,Assumptions!$B$18:$B$21,0)),0)</f>
        <v/>
      </c>
    </row>
    <row r="559">
      <c r="A559" s="114" t="n">
        <v>46260</v>
      </c>
      <c r="B559" s="42" t="inlineStr">
        <is>
          <t>Wk 35</t>
        </is>
      </c>
      <c r="C559" s="42" t="inlineStr">
        <is>
          <t>Wed</t>
        </is>
      </c>
      <c r="D559" s="42" t="inlineStr">
        <is>
          <t>Meta (FB/IG)</t>
        </is>
      </c>
      <c r="E559" s="42" t="inlineStr">
        <is>
          <t>Facebook + Instagram</t>
        </is>
      </c>
      <c r="F559" s="42" t="inlineStr">
        <is>
          <t>LEP_ZA_AUG26_META_TD_PANTERA_CONV</t>
        </is>
      </c>
      <c r="G559" s="42" t="inlineStr">
        <is>
          <t>Leads - Website Conversions</t>
        </is>
      </c>
      <c r="H559" s="42" t="inlineStr">
        <is>
          <t>PANTERA</t>
        </is>
      </c>
      <c r="I559" s="42" t="inlineStr">
        <is>
          <t>0% Deposit</t>
        </is>
      </c>
      <c r="J559" s="42" t="inlineStr">
        <is>
          <t>MET_PANTERA_BROAD_30-60_ZA</t>
        </is>
      </c>
      <c r="K559" s="42" t="inlineStr">
        <is>
          <t>Prospecting</t>
        </is>
      </c>
      <c r="L559" s="42" t="inlineStr">
        <is>
          <t>PANTERA_STA_Offer_0Dep_v2</t>
        </is>
      </c>
      <c r="M559" s="42" t="inlineStr">
        <is>
          <t>Static 1:1</t>
        </is>
      </c>
      <c r="N559" s="42" t="inlineStr">
        <is>
          <t>R5 899pm. No deposit. Test drive it.</t>
        </is>
      </c>
      <c r="O559" s="42" t="inlineStr">
        <is>
          <t>Auction - Cost Cap</t>
        </is>
      </c>
      <c r="P559" s="42" t="inlineStr">
        <is>
          <t>Offsite Conversions</t>
        </is>
      </c>
      <c r="Q559" s="42" t="inlineStr">
        <is>
          <t>https://www.lepas-sa.co.za/offers/pantera</t>
        </is>
      </c>
      <c r="R559" s="115" t="n">
        <v>164.57</v>
      </c>
      <c r="S559" s="116" t="n">
        <v>1819</v>
      </c>
      <c r="T559" s="116" t="n">
        <v>1094</v>
      </c>
      <c r="U559" s="117">
        <f>IFERROR(S559/T559,"")</f>
        <v/>
      </c>
      <c r="V559" s="116" t="n">
        <v>31</v>
      </c>
      <c r="W559" s="116" t="n">
        <v>25</v>
      </c>
      <c r="X559" s="118">
        <f>IFERROR(W559/S559,"")</f>
        <v/>
      </c>
      <c r="Y559" s="115">
        <f>IFERROR(R559/W559,"")</f>
        <v/>
      </c>
      <c r="Z559" s="115">
        <f>IFERROR(R559/S559*1000,"")</f>
        <v/>
      </c>
      <c r="AA559" s="116" t="n">
        <v>20</v>
      </c>
      <c r="AB559" s="47">
        <f>IFERROR(AA559/W559,"")</f>
        <v/>
      </c>
      <c r="AC559" s="116" t="n">
        <v>0</v>
      </c>
      <c r="AD559" s="116" t="n">
        <v>0</v>
      </c>
      <c r="AE559" s="116" t="n">
        <v>0</v>
      </c>
      <c r="AF559" s="116" t="n">
        <v>0</v>
      </c>
      <c r="AG559" s="116" t="n">
        <v>0</v>
      </c>
      <c r="AH559" s="116" t="n">
        <v>0</v>
      </c>
      <c r="AI559" s="47">
        <f>IFERROR(AC559/S559,"")</f>
        <v/>
      </c>
      <c r="AJ559" s="47">
        <f>IFERROR(AH559/S559,"")</f>
        <v/>
      </c>
      <c r="AK559" s="116" t="n">
        <v>26</v>
      </c>
      <c r="AL559" s="116" t="n">
        <v>0</v>
      </c>
      <c r="AM559" s="118">
        <f>IFERROR(AL559/AA559,"")</f>
        <v/>
      </c>
      <c r="AN559" s="119">
        <f>IFERROR(R559/AL559,"")</f>
        <v/>
      </c>
      <c r="AO559" s="116" t="n">
        <v>0</v>
      </c>
      <c r="AP559" s="47">
        <f>IFERROR(AO559/AL559,"")</f>
        <v/>
      </c>
      <c r="AQ559" s="119">
        <f>IFERROR(R559/AO559,"")</f>
        <v/>
      </c>
      <c r="AR559" s="116" t="n">
        <v>0</v>
      </c>
      <c r="AS559" s="116" t="n">
        <v>0</v>
      </c>
      <c r="AT559" s="116">
        <f>AL559+AR559</f>
        <v/>
      </c>
      <c r="AU559" s="119">
        <f>IFERROR(AO559*Assumptions!$C$26*Assumptions!$C$27*INDEX(Assumptions!$C$18:$C$21,MATCH(H559,Assumptions!$B$18:$B$21,0)),0)</f>
        <v/>
      </c>
    </row>
    <row r="560">
      <c r="A560" s="114" t="n">
        <v>46261</v>
      </c>
      <c r="B560" s="42" t="inlineStr">
        <is>
          <t>Wk 35</t>
        </is>
      </c>
      <c r="C560" s="42" t="inlineStr">
        <is>
          <t>Thu</t>
        </is>
      </c>
      <c r="D560" s="42" t="inlineStr">
        <is>
          <t>Meta (FB/IG)</t>
        </is>
      </c>
      <c r="E560" s="42" t="inlineStr">
        <is>
          <t>Facebook + Instagram</t>
        </is>
      </c>
      <c r="F560" s="42" t="inlineStr">
        <is>
          <t>LEP_ZA_AUG26_META_TD_PANTERA_CONV</t>
        </is>
      </c>
      <c r="G560" s="42" t="inlineStr">
        <is>
          <t>Leads - Website Conversions</t>
        </is>
      </c>
      <c r="H560" s="42" t="inlineStr">
        <is>
          <t>PANTERA</t>
        </is>
      </c>
      <c r="I560" s="42" t="inlineStr">
        <is>
          <t>0% Deposit</t>
        </is>
      </c>
      <c r="J560" s="42" t="inlineStr">
        <is>
          <t>MET_PANTERA_BROAD_30-60_ZA</t>
        </is>
      </c>
      <c r="K560" s="42" t="inlineStr">
        <is>
          <t>Prospecting</t>
        </is>
      </c>
      <c r="L560" s="42" t="inlineStr">
        <is>
          <t>PANTERA_STA_Offer_0Dep_v2</t>
        </is>
      </c>
      <c r="M560" s="42" t="inlineStr">
        <is>
          <t>Static 1:1</t>
        </is>
      </c>
      <c r="N560" s="42" t="inlineStr">
        <is>
          <t>R5 899pm. No deposit. Test drive it.</t>
        </is>
      </c>
      <c r="O560" s="42" t="inlineStr">
        <is>
          <t>Auction - Cost Cap</t>
        </is>
      </c>
      <c r="P560" s="42" t="inlineStr">
        <is>
          <t>Offsite Conversions</t>
        </is>
      </c>
      <c r="Q560" s="42" t="inlineStr">
        <is>
          <t>https://www.lepas-sa.co.za/offers/pantera</t>
        </is>
      </c>
      <c r="R560" s="115" t="n">
        <v>205.71</v>
      </c>
      <c r="S560" s="116" t="n">
        <v>2789</v>
      </c>
      <c r="T560" s="116" t="n">
        <v>1883</v>
      </c>
      <c r="U560" s="117">
        <f>IFERROR(S560/T560,"")</f>
        <v/>
      </c>
      <c r="V560" s="116" t="n">
        <v>43</v>
      </c>
      <c r="W560" s="116" t="n">
        <v>31</v>
      </c>
      <c r="X560" s="118">
        <f>IFERROR(W560/S560,"")</f>
        <v/>
      </c>
      <c r="Y560" s="115">
        <f>IFERROR(R560/W560,"")</f>
        <v/>
      </c>
      <c r="Z560" s="115">
        <f>IFERROR(R560/S560*1000,"")</f>
        <v/>
      </c>
      <c r="AA560" s="116" t="n">
        <v>25</v>
      </c>
      <c r="AB560" s="47">
        <f>IFERROR(AA560/W560,"")</f>
        <v/>
      </c>
      <c r="AC560" s="116" t="n">
        <v>0</v>
      </c>
      <c r="AD560" s="116" t="n">
        <v>0</v>
      </c>
      <c r="AE560" s="116" t="n">
        <v>0</v>
      </c>
      <c r="AF560" s="116" t="n">
        <v>0</v>
      </c>
      <c r="AG560" s="116" t="n">
        <v>0</v>
      </c>
      <c r="AH560" s="116" t="n">
        <v>0</v>
      </c>
      <c r="AI560" s="47">
        <f>IFERROR(AC560/S560,"")</f>
        <v/>
      </c>
      <c r="AJ560" s="47">
        <f>IFERROR(AH560/S560,"")</f>
        <v/>
      </c>
      <c r="AK560" s="116" t="n">
        <v>38</v>
      </c>
      <c r="AL560" s="116" t="n">
        <v>0</v>
      </c>
      <c r="AM560" s="118">
        <f>IFERROR(AL560/AA560,"")</f>
        <v/>
      </c>
      <c r="AN560" s="119">
        <f>IFERROR(R560/AL560,"")</f>
        <v/>
      </c>
      <c r="AO560" s="116" t="n">
        <v>0</v>
      </c>
      <c r="AP560" s="47">
        <f>IFERROR(AO560/AL560,"")</f>
        <v/>
      </c>
      <c r="AQ560" s="119">
        <f>IFERROR(R560/AO560,"")</f>
        <v/>
      </c>
      <c r="AR560" s="116" t="n">
        <v>0</v>
      </c>
      <c r="AS560" s="116" t="n">
        <v>0</v>
      </c>
      <c r="AT560" s="116">
        <f>AL560+AR560</f>
        <v/>
      </c>
      <c r="AU560" s="119">
        <f>IFERROR(AO560*Assumptions!$C$26*Assumptions!$C$27*INDEX(Assumptions!$C$18:$C$21,MATCH(H560,Assumptions!$B$18:$B$21,0)),0)</f>
        <v/>
      </c>
    </row>
    <row r="561">
      <c r="A561" s="114" t="n">
        <v>46262</v>
      </c>
      <c r="B561" s="42" t="inlineStr">
        <is>
          <t>Wk 35</t>
        </is>
      </c>
      <c r="C561" s="42" t="inlineStr">
        <is>
          <t>Fri</t>
        </is>
      </c>
      <c r="D561" s="42" t="inlineStr">
        <is>
          <t>Meta (FB/IG)</t>
        </is>
      </c>
      <c r="E561" s="42" t="inlineStr">
        <is>
          <t>Facebook + Instagram</t>
        </is>
      </c>
      <c r="F561" s="42" t="inlineStr">
        <is>
          <t>LEP_ZA_AUG26_META_TD_PANTERA_CONV</t>
        </is>
      </c>
      <c r="G561" s="42" t="inlineStr">
        <is>
          <t>Leads - Website Conversions</t>
        </is>
      </c>
      <c r="H561" s="42" t="inlineStr">
        <is>
          <t>PANTERA</t>
        </is>
      </c>
      <c r="I561" s="42" t="inlineStr">
        <is>
          <t>0% Deposit</t>
        </is>
      </c>
      <c r="J561" s="42" t="inlineStr">
        <is>
          <t>MET_PANTERA_BROAD_30-60_ZA</t>
        </is>
      </c>
      <c r="K561" s="42" t="inlineStr">
        <is>
          <t>Prospecting</t>
        </is>
      </c>
      <c r="L561" s="42" t="inlineStr">
        <is>
          <t>PANTERA_STA_Offer_0Dep_v2</t>
        </is>
      </c>
      <c r="M561" s="42" t="inlineStr">
        <is>
          <t>Static 1:1</t>
        </is>
      </c>
      <c r="N561" s="42" t="inlineStr">
        <is>
          <t>R5 899pm. No deposit. Test drive it.</t>
        </is>
      </c>
      <c r="O561" s="42" t="inlineStr">
        <is>
          <t>Auction - Cost Cap</t>
        </is>
      </c>
      <c r="P561" s="42" t="inlineStr">
        <is>
          <t>Offsite Conversions</t>
        </is>
      </c>
      <c r="Q561" s="42" t="inlineStr">
        <is>
          <t>https://www.lepas-sa.co.za/offers/pantera</t>
        </is>
      </c>
      <c r="R561" s="115" t="n">
        <v>222.41</v>
      </c>
      <c r="S561" s="116" t="n">
        <v>3014</v>
      </c>
      <c r="T561" s="116" t="n">
        <v>1741</v>
      </c>
      <c r="U561" s="117">
        <f>IFERROR(S561/T561,"")</f>
        <v/>
      </c>
      <c r="V561" s="116" t="n">
        <v>40</v>
      </c>
      <c r="W561" s="116" t="n">
        <v>31</v>
      </c>
      <c r="X561" s="118">
        <f>IFERROR(W561/S561,"")</f>
        <v/>
      </c>
      <c r="Y561" s="115">
        <f>IFERROR(R561/W561,"")</f>
        <v/>
      </c>
      <c r="Z561" s="115">
        <f>IFERROR(R561/S561*1000,"")</f>
        <v/>
      </c>
      <c r="AA561" s="116" t="n">
        <v>25</v>
      </c>
      <c r="AB561" s="47">
        <f>IFERROR(AA561/W561,"")</f>
        <v/>
      </c>
      <c r="AC561" s="116" t="n">
        <v>0</v>
      </c>
      <c r="AD561" s="116" t="n">
        <v>0</v>
      </c>
      <c r="AE561" s="116" t="n">
        <v>0</v>
      </c>
      <c r="AF561" s="116" t="n">
        <v>0</v>
      </c>
      <c r="AG561" s="116" t="n">
        <v>0</v>
      </c>
      <c r="AH561" s="116" t="n">
        <v>0</v>
      </c>
      <c r="AI561" s="47">
        <f>IFERROR(AC561/S561,"")</f>
        <v/>
      </c>
      <c r="AJ561" s="47">
        <f>IFERROR(AH561/S561,"")</f>
        <v/>
      </c>
      <c r="AK561" s="116" t="n">
        <v>97</v>
      </c>
      <c r="AL561" s="116" t="n">
        <v>0</v>
      </c>
      <c r="AM561" s="118">
        <f>IFERROR(AL561/AA561,"")</f>
        <v/>
      </c>
      <c r="AN561" s="119">
        <f>IFERROR(R561/AL561,"")</f>
        <v/>
      </c>
      <c r="AO561" s="116" t="n">
        <v>0</v>
      </c>
      <c r="AP561" s="47">
        <f>IFERROR(AO561/AL561,"")</f>
        <v/>
      </c>
      <c r="AQ561" s="119">
        <f>IFERROR(R561/AO561,"")</f>
        <v/>
      </c>
      <c r="AR561" s="116" t="n">
        <v>0</v>
      </c>
      <c r="AS561" s="116" t="n">
        <v>0</v>
      </c>
      <c r="AT561" s="116">
        <f>AL561+AR561</f>
        <v/>
      </c>
      <c r="AU561" s="119">
        <f>IFERROR(AO561*Assumptions!$C$26*Assumptions!$C$27*INDEX(Assumptions!$C$18:$C$21,MATCH(H561,Assumptions!$B$18:$B$21,0)),0)</f>
        <v/>
      </c>
    </row>
    <row r="562">
      <c r="A562" s="114" t="n">
        <v>46263</v>
      </c>
      <c r="B562" s="42" t="inlineStr">
        <is>
          <t>Wk 35</t>
        </is>
      </c>
      <c r="C562" s="42" t="inlineStr">
        <is>
          <t>Sat</t>
        </is>
      </c>
      <c r="D562" s="42" t="inlineStr">
        <is>
          <t>Meta (FB/IG)</t>
        </is>
      </c>
      <c r="E562" s="42" t="inlineStr">
        <is>
          <t>Facebook + Instagram</t>
        </is>
      </c>
      <c r="F562" s="42" t="inlineStr">
        <is>
          <t>LEP_ZA_AUG26_META_TD_PANTERA_CONV</t>
        </is>
      </c>
      <c r="G562" s="42" t="inlineStr">
        <is>
          <t>Leads - Website Conversions</t>
        </is>
      </c>
      <c r="H562" s="42" t="inlineStr">
        <is>
          <t>PANTERA</t>
        </is>
      </c>
      <c r="I562" s="42" t="inlineStr">
        <is>
          <t>0% Deposit</t>
        </is>
      </c>
      <c r="J562" s="42" t="inlineStr">
        <is>
          <t>MET_PANTERA_BROAD_30-60_ZA</t>
        </is>
      </c>
      <c r="K562" s="42" t="inlineStr">
        <is>
          <t>Prospecting</t>
        </is>
      </c>
      <c r="L562" s="42" t="inlineStr">
        <is>
          <t>PANTERA_STA_Offer_0Dep_v2</t>
        </is>
      </c>
      <c r="M562" s="42" t="inlineStr">
        <is>
          <t>Static 1:1</t>
        </is>
      </c>
      <c r="N562" s="42" t="inlineStr">
        <is>
          <t>R5 899pm. No deposit. Test drive it.</t>
        </is>
      </c>
      <c r="O562" s="42" t="inlineStr">
        <is>
          <t>Auction - Cost Cap</t>
        </is>
      </c>
      <c r="P562" s="42" t="inlineStr">
        <is>
          <t>Offsite Conversions</t>
        </is>
      </c>
      <c r="Q562" s="42" t="inlineStr">
        <is>
          <t>https://www.lepas-sa.co.za/offers/pantera</t>
        </is>
      </c>
      <c r="R562" s="115" t="n">
        <v>184.13</v>
      </c>
      <c r="S562" s="116" t="n">
        <v>2857</v>
      </c>
      <c r="T562" s="116" t="n">
        <v>1843</v>
      </c>
      <c r="U562" s="117">
        <f>IFERROR(S562/T562,"")</f>
        <v/>
      </c>
      <c r="V562" s="116" t="n">
        <v>49</v>
      </c>
      <c r="W562" s="116" t="n">
        <v>36</v>
      </c>
      <c r="X562" s="118">
        <f>IFERROR(W562/S562,"")</f>
        <v/>
      </c>
      <c r="Y562" s="115">
        <f>IFERROR(R562/W562,"")</f>
        <v/>
      </c>
      <c r="Z562" s="115">
        <f>IFERROR(R562/S562*1000,"")</f>
        <v/>
      </c>
      <c r="AA562" s="116" t="n">
        <v>32</v>
      </c>
      <c r="AB562" s="47">
        <f>IFERROR(AA562/W562,"")</f>
        <v/>
      </c>
      <c r="AC562" s="116" t="n">
        <v>0</v>
      </c>
      <c r="AD562" s="116" t="n">
        <v>0</v>
      </c>
      <c r="AE562" s="116" t="n">
        <v>0</v>
      </c>
      <c r="AF562" s="116" t="n">
        <v>0</v>
      </c>
      <c r="AG562" s="116" t="n">
        <v>0</v>
      </c>
      <c r="AH562" s="116" t="n">
        <v>0</v>
      </c>
      <c r="AI562" s="47">
        <f>IFERROR(AC562/S562,"")</f>
        <v/>
      </c>
      <c r="AJ562" s="47">
        <f>IFERROR(AH562/S562,"")</f>
        <v/>
      </c>
      <c r="AK562" s="116" t="n">
        <v>42</v>
      </c>
      <c r="AL562" s="116" t="n">
        <v>0</v>
      </c>
      <c r="AM562" s="118">
        <f>IFERROR(AL562/AA562,"")</f>
        <v/>
      </c>
      <c r="AN562" s="119">
        <f>IFERROR(R562/AL562,"")</f>
        <v/>
      </c>
      <c r="AO562" s="116" t="n">
        <v>0</v>
      </c>
      <c r="AP562" s="47">
        <f>IFERROR(AO562/AL562,"")</f>
        <v/>
      </c>
      <c r="AQ562" s="119">
        <f>IFERROR(R562/AO562,"")</f>
        <v/>
      </c>
      <c r="AR562" s="116" t="n">
        <v>0</v>
      </c>
      <c r="AS562" s="116" t="n">
        <v>0</v>
      </c>
      <c r="AT562" s="116">
        <f>AL562+AR562</f>
        <v/>
      </c>
      <c r="AU562" s="119">
        <f>IFERROR(AO562*Assumptions!$C$26*Assumptions!$C$27*INDEX(Assumptions!$C$18:$C$21,MATCH(H562,Assumptions!$B$18:$B$21,0)),0)</f>
        <v/>
      </c>
    </row>
    <row r="563">
      <c r="A563" s="114" t="n">
        <v>46264</v>
      </c>
      <c r="B563" s="42" t="inlineStr">
        <is>
          <t>Wk 35</t>
        </is>
      </c>
      <c r="C563" s="42" t="inlineStr">
        <is>
          <t>Sun</t>
        </is>
      </c>
      <c r="D563" s="42" t="inlineStr">
        <is>
          <t>Meta (FB/IG)</t>
        </is>
      </c>
      <c r="E563" s="42" t="inlineStr">
        <is>
          <t>Facebook + Instagram</t>
        </is>
      </c>
      <c r="F563" s="42" t="inlineStr">
        <is>
          <t>LEP_ZA_AUG26_META_TD_PANTERA_CONV</t>
        </is>
      </c>
      <c r="G563" s="42" t="inlineStr">
        <is>
          <t>Leads - Website Conversions</t>
        </is>
      </c>
      <c r="H563" s="42" t="inlineStr">
        <is>
          <t>PANTERA</t>
        </is>
      </c>
      <c r="I563" s="42" t="inlineStr">
        <is>
          <t>0% Deposit</t>
        </is>
      </c>
      <c r="J563" s="42" t="inlineStr">
        <is>
          <t>MET_PANTERA_BROAD_30-60_ZA</t>
        </is>
      </c>
      <c r="K563" s="42" t="inlineStr">
        <is>
          <t>Prospecting</t>
        </is>
      </c>
      <c r="L563" s="42" t="inlineStr">
        <is>
          <t>PANTERA_STA_Offer_0Dep_v2</t>
        </is>
      </c>
      <c r="M563" s="42" t="inlineStr">
        <is>
          <t>Static 1:1</t>
        </is>
      </c>
      <c r="N563" s="42" t="inlineStr">
        <is>
          <t>R5 899pm. No deposit. Test drive it.</t>
        </is>
      </c>
      <c r="O563" s="42" t="inlineStr">
        <is>
          <t>Auction - Cost Cap</t>
        </is>
      </c>
      <c r="P563" s="42" t="inlineStr">
        <is>
          <t>Offsite Conversions</t>
        </is>
      </c>
      <c r="Q563" s="42" t="inlineStr">
        <is>
          <t>https://www.lepas-sa.co.za/offers/pantera</t>
        </is>
      </c>
      <c r="R563" s="115" t="n">
        <v>174.27</v>
      </c>
      <c r="S563" s="116" t="n">
        <v>3003</v>
      </c>
      <c r="T563" s="116" t="n">
        <v>1603</v>
      </c>
      <c r="U563" s="117">
        <f>IFERROR(S563/T563,"")</f>
        <v/>
      </c>
      <c r="V563" s="116" t="n">
        <v>35</v>
      </c>
      <c r="W563" s="116" t="n">
        <v>29</v>
      </c>
      <c r="X563" s="118">
        <f>IFERROR(W563/S563,"")</f>
        <v/>
      </c>
      <c r="Y563" s="115">
        <f>IFERROR(R563/W563,"")</f>
        <v/>
      </c>
      <c r="Z563" s="115">
        <f>IFERROR(R563/S563*1000,"")</f>
        <v/>
      </c>
      <c r="AA563" s="116" t="n">
        <v>24</v>
      </c>
      <c r="AB563" s="47">
        <f>IFERROR(AA563/W563,"")</f>
        <v/>
      </c>
      <c r="AC563" s="116" t="n">
        <v>0</v>
      </c>
      <c r="AD563" s="116" t="n">
        <v>0</v>
      </c>
      <c r="AE563" s="116" t="n">
        <v>0</v>
      </c>
      <c r="AF563" s="116" t="n">
        <v>0</v>
      </c>
      <c r="AG563" s="116" t="n">
        <v>0</v>
      </c>
      <c r="AH563" s="116" t="n">
        <v>0</v>
      </c>
      <c r="AI563" s="47">
        <f>IFERROR(AC563/S563,"")</f>
        <v/>
      </c>
      <c r="AJ563" s="47">
        <f>IFERROR(AH563/S563,"")</f>
        <v/>
      </c>
      <c r="AK563" s="116" t="n">
        <v>104</v>
      </c>
      <c r="AL563" s="116" t="n">
        <v>1</v>
      </c>
      <c r="AM563" s="118">
        <f>IFERROR(AL563/AA563,"")</f>
        <v/>
      </c>
      <c r="AN563" s="119">
        <f>IFERROR(R563/AL563,"")</f>
        <v/>
      </c>
      <c r="AO563" s="116" t="n">
        <v>1</v>
      </c>
      <c r="AP563" s="47">
        <f>IFERROR(AO563/AL563,"")</f>
        <v/>
      </c>
      <c r="AQ563" s="119">
        <f>IFERROR(R563/AO563,"")</f>
        <v/>
      </c>
      <c r="AR563" s="116" t="n">
        <v>0</v>
      </c>
      <c r="AS563" s="116" t="n">
        <v>1</v>
      </c>
      <c r="AT563" s="116">
        <f>AL563+AR563</f>
        <v/>
      </c>
      <c r="AU563" s="119">
        <f>IFERROR(AO563*Assumptions!$C$26*Assumptions!$C$27*INDEX(Assumptions!$C$18:$C$21,MATCH(H563,Assumptions!$B$18:$B$21,0)),0)</f>
        <v/>
      </c>
    </row>
    <row r="564">
      <c r="A564" s="114" t="n">
        <v>46265</v>
      </c>
      <c r="B564" s="42" t="inlineStr">
        <is>
          <t>Wk 36</t>
        </is>
      </c>
      <c r="C564" s="42" t="inlineStr">
        <is>
          <t>Mon</t>
        </is>
      </c>
      <c r="D564" s="42" t="inlineStr">
        <is>
          <t>Meta (FB/IG)</t>
        </is>
      </c>
      <c r="E564" s="42" t="inlineStr">
        <is>
          <t>Facebook + Instagram</t>
        </is>
      </c>
      <c r="F564" s="42" t="inlineStr">
        <is>
          <t>LEP_ZA_AUG26_META_TD_PANTERA_CONV</t>
        </is>
      </c>
      <c r="G564" s="42" t="inlineStr">
        <is>
          <t>Leads - Website Conversions</t>
        </is>
      </c>
      <c r="H564" s="42" t="inlineStr">
        <is>
          <t>PANTERA</t>
        </is>
      </c>
      <c r="I564" s="42" t="inlineStr">
        <is>
          <t>0% Deposit</t>
        </is>
      </c>
      <c r="J564" s="42" t="inlineStr">
        <is>
          <t>MET_PANTERA_BROAD_30-60_ZA</t>
        </is>
      </c>
      <c r="K564" s="42" t="inlineStr">
        <is>
          <t>Prospecting</t>
        </is>
      </c>
      <c r="L564" s="42" t="inlineStr">
        <is>
          <t>PANTERA_STA_Offer_0Dep_v2</t>
        </is>
      </c>
      <c r="M564" s="42" t="inlineStr">
        <is>
          <t>Static 1:1</t>
        </is>
      </c>
      <c r="N564" s="42" t="inlineStr">
        <is>
          <t>R5 899pm. No deposit. Test drive it.</t>
        </is>
      </c>
      <c r="O564" s="42" t="inlineStr">
        <is>
          <t>Auction - Cost Cap</t>
        </is>
      </c>
      <c r="P564" s="42" t="inlineStr">
        <is>
          <t>Offsite Conversions</t>
        </is>
      </c>
      <c r="Q564" s="42" t="inlineStr">
        <is>
          <t>https://www.lepas-sa.co.za/offers/pantera</t>
        </is>
      </c>
      <c r="R564" s="115" t="n">
        <v>190.38</v>
      </c>
      <c r="S564" s="116" t="n">
        <v>2388</v>
      </c>
      <c r="T564" s="116" t="n">
        <v>1089</v>
      </c>
      <c r="U564" s="117">
        <f>IFERROR(S564/T564,"")</f>
        <v/>
      </c>
      <c r="V564" s="116" t="n">
        <v>30</v>
      </c>
      <c r="W564" s="116" t="n">
        <v>22</v>
      </c>
      <c r="X564" s="118">
        <f>IFERROR(W564/S564,"")</f>
        <v/>
      </c>
      <c r="Y564" s="115">
        <f>IFERROR(R564/W564,"")</f>
        <v/>
      </c>
      <c r="Z564" s="115">
        <f>IFERROR(R564/S564*1000,"")</f>
        <v/>
      </c>
      <c r="AA564" s="116" t="n">
        <v>19</v>
      </c>
      <c r="AB564" s="47">
        <f>IFERROR(AA564/W564,"")</f>
        <v/>
      </c>
      <c r="AC564" s="116" t="n">
        <v>0</v>
      </c>
      <c r="AD564" s="116" t="n">
        <v>0</v>
      </c>
      <c r="AE564" s="116" t="n">
        <v>0</v>
      </c>
      <c r="AF564" s="116" t="n">
        <v>0</v>
      </c>
      <c r="AG564" s="116" t="n">
        <v>0</v>
      </c>
      <c r="AH564" s="116" t="n">
        <v>0</v>
      </c>
      <c r="AI564" s="47">
        <f>IFERROR(AC564/S564,"")</f>
        <v/>
      </c>
      <c r="AJ564" s="47">
        <f>IFERROR(AH564/S564,"")</f>
        <v/>
      </c>
      <c r="AK564" s="116" t="n">
        <v>47</v>
      </c>
      <c r="AL564" s="116" t="n">
        <v>1</v>
      </c>
      <c r="AM564" s="118">
        <f>IFERROR(AL564/AA564,"")</f>
        <v/>
      </c>
      <c r="AN564" s="119">
        <f>IFERROR(R564/AL564,"")</f>
        <v/>
      </c>
      <c r="AO564" s="116" t="n">
        <v>0</v>
      </c>
      <c r="AP564" s="47">
        <f>IFERROR(AO564/AL564,"")</f>
        <v/>
      </c>
      <c r="AQ564" s="119">
        <f>IFERROR(R564/AO564,"")</f>
        <v/>
      </c>
      <c r="AR564" s="116" t="n">
        <v>1</v>
      </c>
      <c r="AS564" s="116" t="n">
        <v>1</v>
      </c>
      <c r="AT564" s="116">
        <f>AL564+AR564</f>
        <v/>
      </c>
      <c r="AU564" s="119">
        <f>IFERROR(AO564*Assumptions!$C$26*Assumptions!$C$27*INDEX(Assumptions!$C$18:$C$21,MATCH(H564,Assumptions!$B$18:$B$21,0)),0)</f>
        <v/>
      </c>
    </row>
    <row r="565">
      <c r="A565" s="114" t="n">
        <v>46235</v>
      </c>
      <c r="B565" s="42" t="inlineStr">
        <is>
          <t>Wk 31</t>
        </is>
      </c>
      <c r="C565" s="42" t="inlineStr">
        <is>
          <t>Sat</t>
        </is>
      </c>
      <c r="D565" s="42" t="inlineStr">
        <is>
          <t>Meta (FB/IG)</t>
        </is>
      </c>
      <c r="E565" s="42" t="inlineStr">
        <is>
          <t>Facebook + Instagram</t>
        </is>
      </c>
      <c r="F565" s="42" t="inlineStr">
        <is>
          <t>LEP_ZA_AUG26_META_TD_PANTERA_CONV</t>
        </is>
      </c>
      <c r="G565" s="42" t="inlineStr">
        <is>
          <t>Leads - Website Conversions</t>
        </is>
      </c>
      <c r="H565" s="42" t="inlineStr">
        <is>
          <t>PANTERA</t>
        </is>
      </c>
      <c r="I565" s="42" t="inlineStr">
        <is>
          <t>0% Deposit</t>
        </is>
      </c>
      <c r="J565" s="42" t="inlineStr">
        <is>
          <t>MET_PANTERA_LAL1_HIVAL_ZA</t>
        </is>
      </c>
      <c r="K565" s="42" t="inlineStr">
        <is>
          <t>Lookalike</t>
        </is>
      </c>
      <c r="L565" s="42" t="inlineStr">
        <is>
          <t>PANTERA_CAR_5card_Premium_v1</t>
        </is>
      </c>
      <c r="M565" s="42" t="inlineStr">
        <is>
          <t>Carousel</t>
        </is>
      </c>
      <c r="N565" s="42" t="inlineStr">
        <is>
          <t>Five things that surprise PANTERA drivers</t>
        </is>
      </c>
      <c r="O565" s="42" t="inlineStr">
        <is>
          <t>Auction - Cost Cap</t>
        </is>
      </c>
      <c r="P565" s="42" t="inlineStr">
        <is>
          <t>Offsite Conversions</t>
        </is>
      </c>
      <c r="Q565" s="42" t="inlineStr">
        <is>
          <t>https://www.lepas-sa.co.za/offers/pantera</t>
        </is>
      </c>
      <c r="R565" s="115" t="n">
        <v>221.82</v>
      </c>
      <c r="S565" s="116" t="n">
        <v>2851</v>
      </c>
      <c r="T565" s="116" t="n">
        <v>2137</v>
      </c>
      <c r="U565" s="117">
        <f>IFERROR(S565/T565,"")</f>
        <v/>
      </c>
      <c r="V565" s="116" t="n">
        <v>64</v>
      </c>
      <c r="W565" s="116" t="n">
        <v>48</v>
      </c>
      <c r="X565" s="118">
        <f>IFERROR(W565/S565,"")</f>
        <v/>
      </c>
      <c r="Y565" s="115">
        <f>IFERROR(R565/W565,"")</f>
        <v/>
      </c>
      <c r="Z565" s="115">
        <f>IFERROR(R565/S565*1000,"")</f>
        <v/>
      </c>
      <c r="AA565" s="116" t="n">
        <v>42</v>
      </c>
      <c r="AB565" s="47">
        <f>IFERROR(AA565/W565,"")</f>
        <v/>
      </c>
      <c r="AC565" s="116" t="n">
        <v>0</v>
      </c>
      <c r="AD565" s="116" t="n">
        <v>0</v>
      </c>
      <c r="AE565" s="116" t="n">
        <v>0</v>
      </c>
      <c r="AF565" s="116" t="n">
        <v>0</v>
      </c>
      <c r="AG565" s="116" t="n">
        <v>0</v>
      </c>
      <c r="AH565" s="116" t="n">
        <v>0</v>
      </c>
      <c r="AI565" s="47">
        <f>IFERROR(AC565/S565,"")</f>
        <v/>
      </c>
      <c r="AJ565" s="47">
        <f>IFERROR(AH565/S565,"")</f>
        <v/>
      </c>
      <c r="AK565" s="116" t="n">
        <v>29</v>
      </c>
      <c r="AL565" s="116" t="n">
        <v>1</v>
      </c>
      <c r="AM565" s="118">
        <f>IFERROR(AL565/AA565,"")</f>
        <v/>
      </c>
      <c r="AN565" s="119">
        <f>IFERROR(R565/AL565,"")</f>
        <v/>
      </c>
      <c r="AO565" s="116" t="n">
        <v>1</v>
      </c>
      <c r="AP565" s="47">
        <f>IFERROR(AO565/AL565,"")</f>
        <v/>
      </c>
      <c r="AQ565" s="119">
        <f>IFERROR(R565/AO565,"")</f>
        <v/>
      </c>
      <c r="AR565" s="116" t="n">
        <v>0</v>
      </c>
      <c r="AS565" s="116" t="n">
        <v>0</v>
      </c>
      <c r="AT565" s="116">
        <f>AL565+AR565</f>
        <v/>
      </c>
      <c r="AU565" s="119">
        <f>IFERROR(AO565*Assumptions!$C$26*Assumptions!$C$27*INDEX(Assumptions!$C$18:$C$21,MATCH(H565,Assumptions!$B$18:$B$21,0)),0)</f>
        <v/>
      </c>
    </row>
    <row r="566">
      <c r="A566" s="114" t="n">
        <v>46236</v>
      </c>
      <c r="B566" s="42" t="inlineStr">
        <is>
          <t>Wk 31</t>
        </is>
      </c>
      <c r="C566" s="42" t="inlineStr">
        <is>
          <t>Sun</t>
        </is>
      </c>
      <c r="D566" s="42" t="inlineStr">
        <is>
          <t>Meta (FB/IG)</t>
        </is>
      </c>
      <c r="E566" s="42" t="inlineStr">
        <is>
          <t>Facebook + Instagram</t>
        </is>
      </c>
      <c r="F566" s="42" t="inlineStr">
        <is>
          <t>LEP_ZA_AUG26_META_TD_PANTERA_CONV</t>
        </is>
      </c>
      <c r="G566" s="42" t="inlineStr">
        <is>
          <t>Leads - Website Conversions</t>
        </is>
      </c>
      <c r="H566" s="42" t="inlineStr">
        <is>
          <t>PANTERA</t>
        </is>
      </c>
      <c r="I566" s="42" t="inlineStr">
        <is>
          <t>0% Deposit</t>
        </is>
      </c>
      <c r="J566" s="42" t="inlineStr">
        <is>
          <t>MET_PANTERA_LAL1_HIVAL_ZA</t>
        </is>
      </c>
      <c r="K566" s="42" t="inlineStr">
        <is>
          <t>Lookalike</t>
        </is>
      </c>
      <c r="L566" s="42" t="inlineStr">
        <is>
          <t>PANTERA_CAR_5card_Premium_v1</t>
        </is>
      </c>
      <c r="M566" s="42" t="inlineStr">
        <is>
          <t>Carousel</t>
        </is>
      </c>
      <c r="N566" s="42" t="inlineStr">
        <is>
          <t>Five things that surprise PANTERA drivers</t>
        </is>
      </c>
      <c r="O566" s="42" t="inlineStr">
        <is>
          <t>Auction - Cost Cap</t>
        </is>
      </c>
      <c r="P566" s="42" t="inlineStr">
        <is>
          <t>Offsite Conversions</t>
        </is>
      </c>
      <c r="Q566" s="42" t="inlineStr">
        <is>
          <t>https://www.lepas-sa.co.za/offers/pantera</t>
        </is>
      </c>
      <c r="R566" s="115" t="n">
        <v>157.48</v>
      </c>
      <c r="S566" s="116" t="n">
        <v>2112</v>
      </c>
      <c r="T566" s="116" t="n">
        <v>1347</v>
      </c>
      <c r="U566" s="117">
        <f>IFERROR(S566/T566,"")</f>
        <v/>
      </c>
      <c r="V566" s="116" t="n">
        <v>41</v>
      </c>
      <c r="W566" s="116" t="n">
        <v>34</v>
      </c>
      <c r="X566" s="118">
        <f>IFERROR(W566/S566,"")</f>
        <v/>
      </c>
      <c r="Y566" s="115">
        <f>IFERROR(R566/W566,"")</f>
        <v/>
      </c>
      <c r="Z566" s="115">
        <f>IFERROR(R566/S566*1000,"")</f>
        <v/>
      </c>
      <c r="AA566" s="116" t="n">
        <v>28</v>
      </c>
      <c r="AB566" s="47">
        <f>IFERROR(AA566/W566,"")</f>
        <v/>
      </c>
      <c r="AC566" s="116" t="n">
        <v>0</v>
      </c>
      <c r="AD566" s="116" t="n">
        <v>0</v>
      </c>
      <c r="AE566" s="116" t="n">
        <v>0</v>
      </c>
      <c r="AF566" s="116" t="n">
        <v>0</v>
      </c>
      <c r="AG566" s="116" t="n">
        <v>0</v>
      </c>
      <c r="AH566" s="116" t="n">
        <v>0</v>
      </c>
      <c r="AI566" s="47">
        <f>IFERROR(AC566/S566,"")</f>
        <v/>
      </c>
      <c r="AJ566" s="47">
        <f>IFERROR(AH566/S566,"")</f>
        <v/>
      </c>
      <c r="AK566" s="116" t="n">
        <v>30</v>
      </c>
      <c r="AL566" s="116" t="n">
        <v>0</v>
      </c>
      <c r="AM566" s="118">
        <f>IFERROR(AL566/AA566,"")</f>
        <v/>
      </c>
      <c r="AN566" s="119">
        <f>IFERROR(R566/AL566,"")</f>
        <v/>
      </c>
      <c r="AO566" s="116" t="n">
        <v>0</v>
      </c>
      <c r="AP566" s="47">
        <f>IFERROR(AO566/AL566,"")</f>
        <v/>
      </c>
      <c r="AQ566" s="119">
        <f>IFERROR(R566/AO566,"")</f>
        <v/>
      </c>
      <c r="AR566" s="116" t="n">
        <v>0</v>
      </c>
      <c r="AS566" s="116" t="n">
        <v>0</v>
      </c>
      <c r="AT566" s="116">
        <f>AL566+AR566</f>
        <v/>
      </c>
      <c r="AU566" s="119">
        <f>IFERROR(AO566*Assumptions!$C$26*Assumptions!$C$27*INDEX(Assumptions!$C$18:$C$21,MATCH(H566,Assumptions!$B$18:$B$21,0)),0)</f>
        <v/>
      </c>
    </row>
    <row r="567">
      <c r="A567" s="114" t="n">
        <v>46237</v>
      </c>
      <c r="B567" s="42" t="inlineStr">
        <is>
          <t>Wk 32</t>
        </is>
      </c>
      <c r="C567" s="42" t="inlineStr">
        <is>
          <t>Mon</t>
        </is>
      </c>
      <c r="D567" s="42" t="inlineStr">
        <is>
          <t>Meta (FB/IG)</t>
        </is>
      </c>
      <c r="E567" s="42" t="inlineStr">
        <is>
          <t>Facebook + Instagram</t>
        </is>
      </c>
      <c r="F567" s="42" t="inlineStr">
        <is>
          <t>LEP_ZA_AUG26_META_TD_PANTERA_CONV</t>
        </is>
      </c>
      <c r="G567" s="42" t="inlineStr">
        <is>
          <t>Leads - Website Conversions</t>
        </is>
      </c>
      <c r="H567" s="42" t="inlineStr">
        <is>
          <t>PANTERA</t>
        </is>
      </c>
      <c r="I567" s="42" t="inlineStr">
        <is>
          <t>0% Deposit</t>
        </is>
      </c>
      <c r="J567" s="42" t="inlineStr">
        <is>
          <t>MET_PANTERA_LAL1_HIVAL_ZA</t>
        </is>
      </c>
      <c r="K567" s="42" t="inlineStr">
        <is>
          <t>Lookalike</t>
        </is>
      </c>
      <c r="L567" s="42" t="inlineStr">
        <is>
          <t>PANTERA_CAR_5card_Premium_v1</t>
        </is>
      </c>
      <c r="M567" s="42" t="inlineStr">
        <is>
          <t>Carousel</t>
        </is>
      </c>
      <c r="N567" s="42" t="inlineStr">
        <is>
          <t>Five things that surprise PANTERA drivers</t>
        </is>
      </c>
      <c r="O567" s="42" t="inlineStr">
        <is>
          <t>Auction - Cost Cap</t>
        </is>
      </c>
      <c r="P567" s="42" t="inlineStr">
        <is>
          <t>Offsite Conversions</t>
        </is>
      </c>
      <c r="Q567" s="42" t="inlineStr">
        <is>
          <t>https://www.lepas-sa.co.za/offers/pantera</t>
        </is>
      </c>
      <c r="R567" s="115" t="n">
        <v>158.71</v>
      </c>
      <c r="S567" s="116" t="n">
        <v>1584</v>
      </c>
      <c r="T567" s="116" t="n">
        <v>1024</v>
      </c>
      <c r="U567" s="117">
        <f>IFERROR(S567/T567,"")</f>
        <v/>
      </c>
      <c r="V567" s="116" t="n">
        <v>26</v>
      </c>
      <c r="W567" s="116" t="n">
        <v>21</v>
      </c>
      <c r="X567" s="118">
        <f>IFERROR(W567/S567,"")</f>
        <v/>
      </c>
      <c r="Y567" s="115">
        <f>IFERROR(R567/W567,"")</f>
        <v/>
      </c>
      <c r="Z567" s="115">
        <f>IFERROR(R567/S567*1000,"")</f>
        <v/>
      </c>
      <c r="AA567" s="116" t="n">
        <v>19</v>
      </c>
      <c r="AB567" s="47">
        <f>IFERROR(AA567/W567,"")</f>
        <v/>
      </c>
      <c r="AC567" s="116" t="n">
        <v>0</v>
      </c>
      <c r="AD567" s="116" t="n">
        <v>0</v>
      </c>
      <c r="AE567" s="116" t="n">
        <v>0</v>
      </c>
      <c r="AF567" s="116" t="n">
        <v>0</v>
      </c>
      <c r="AG567" s="116" t="n">
        <v>0</v>
      </c>
      <c r="AH567" s="116" t="n">
        <v>0</v>
      </c>
      <c r="AI567" s="47">
        <f>IFERROR(AC567/S567,"")</f>
        <v/>
      </c>
      <c r="AJ567" s="47">
        <f>IFERROR(AH567/S567,"")</f>
        <v/>
      </c>
      <c r="AK567" s="116" t="n">
        <v>24</v>
      </c>
      <c r="AL567" s="116" t="n">
        <v>1</v>
      </c>
      <c r="AM567" s="118">
        <f>IFERROR(AL567/AA567,"")</f>
        <v/>
      </c>
      <c r="AN567" s="119">
        <f>IFERROR(R567/AL567,"")</f>
        <v/>
      </c>
      <c r="AO567" s="116" t="n">
        <v>1</v>
      </c>
      <c r="AP567" s="47">
        <f>IFERROR(AO567/AL567,"")</f>
        <v/>
      </c>
      <c r="AQ567" s="119">
        <f>IFERROR(R567/AO567,"")</f>
        <v/>
      </c>
      <c r="AR567" s="116" t="n">
        <v>0</v>
      </c>
      <c r="AS567" s="116" t="n">
        <v>0</v>
      </c>
      <c r="AT567" s="116">
        <f>AL567+AR567</f>
        <v/>
      </c>
      <c r="AU567" s="119">
        <f>IFERROR(AO567*Assumptions!$C$26*Assumptions!$C$27*INDEX(Assumptions!$C$18:$C$21,MATCH(H567,Assumptions!$B$18:$B$21,0)),0)</f>
        <v/>
      </c>
    </row>
    <row r="568">
      <c r="A568" s="114" t="n">
        <v>46238</v>
      </c>
      <c r="B568" s="42" t="inlineStr">
        <is>
          <t>Wk 32</t>
        </is>
      </c>
      <c r="C568" s="42" t="inlineStr">
        <is>
          <t>Tue</t>
        </is>
      </c>
      <c r="D568" s="42" t="inlineStr">
        <is>
          <t>Meta (FB/IG)</t>
        </is>
      </c>
      <c r="E568" s="42" t="inlineStr">
        <is>
          <t>Facebook + Instagram</t>
        </is>
      </c>
      <c r="F568" s="42" t="inlineStr">
        <is>
          <t>LEP_ZA_AUG26_META_TD_PANTERA_CONV</t>
        </is>
      </c>
      <c r="G568" s="42" t="inlineStr">
        <is>
          <t>Leads - Website Conversions</t>
        </is>
      </c>
      <c r="H568" s="42" t="inlineStr">
        <is>
          <t>PANTERA</t>
        </is>
      </c>
      <c r="I568" s="42" t="inlineStr">
        <is>
          <t>0% Deposit</t>
        </is>
      </c>
      <c r="J568" s="42" t="inlineStr">
        <is>
          <t>MET_PANTERA_LAL1_HIVAL_ZA</t>
        </is>
      </c>
      <c r="K568" s="42" t="inlineStr">
        <is>
          <t>Lookalike</t>
        </is>
      </c>
      <c r="L568" s="42" t="inlineStr">
        <is>
          <t>PANTERA_CAR_5card_Premium_v1</t>
        </is>
      </c>
      <c r="M568" s="42" t="inlineStr">
        <is>
          <t>Carousel</t>
        </is>
      </c>
      <c r="N568" s="42" t="inlineStr">
        <is>
          <t>Five things that surprise PANTERA drivers</t>
        </is>
      </c>
      <c r="O568" s="42" t="inlineStr">
        <is>
          <t>Auction - Cost Cap</t>
        </is>
      </c>
      <c r="P568" s="42" t="inlineStr">
        <is>
          <t>Offsite Conversions</t>
        </is>
      </c>
      <c r="Q568" s="42" t="inlineStr">
        <is>
          <t>https://www.lepas-sa.co.za/offers/pantera</t>
        </is>
      </c>
      <c r="R568" s="115" t="n">
        <v>208.61</v>
      </c>
      <c r="S568" s="116" t="n">
        <v>3032</v>
      </c>
      <c r="T568" s="116" t="n">
        <v>2142</v>
      </c>
      <c r="U568" s="117">
        <f>IFERROR(S568/T568,"")</f>
        <v/>
      </c>
      <c r="V568" s="116" t="n">
        <v>92</v>
      </c>
      <c r="W568" s="116" t="n">
        <v>65</v>
      </c>
      <c r="X568" s="118">
        <f>IFERROR(W568/S568,"")</f>
        <v/>
      </c>
      <c r="Y568" s="115">
        <f>IFERROR(R568/W568,"")</f>
        <v/>
      </c>
      <c r="Z568" s="115">
        <f>IFERROR(R568/S568*1000,"")</f>
        <v/>
      </c>
      <c r="AA568" s="116" t="n">
        <v>56</v>
      </c>
      <c r="AB568" s="47">
        <f>IFERROR(AA568/W568,"")</f>
        <v/>
      </c>
      <c r="AC568" s="116" t="n">
        <v>0</v>
      </c>
      <c r="AD568" s="116" t="n">
        <v>0</v>
      </c>
      <c r="AE568" s="116" t="n">
        <v>0</v>
      </c>
      <c r="AF568" s="116" t="n">
        <v>0</v>
      </c>
      <c r="AG568" s="116" t="n">
        <v>0</v>
      </c>
      <c r="AH568" s="116" t="n">
        <v>0</v>
      </c>
      <c r="AI568" s="47">
        <f>IFERROR(AC568/S568,"")</f>
        <v/>
      </c>
      <c r="AJ568" s="47">
        <f>IFERROR(AH568/S568,"")</f>
        <v/>
      </c>
      <c r="AK568" s="116" t="n">
        <v>99</v>
      </c>
      <c r="AL568" s="116" t="n">
        <v>1</v>
      </c>
      <c r="AM568" s="118">
        <f>IFERROR(AL568/AA568,"")</f>
        <v/>
      </c>
      <c r="AN568" s="119">
        <f>IFERROR(R568/AL568,"")</f>
        <v/>
      </c>
      <c r="AO568" s="116" t="n">
        <v>0</v>
      </c>
      <c r="AP568" s="47">
        <f>IFERROR(AO568/AL568,"")</f>
        <v/>
      </c>
      <c r="AQ568" s="119">
        <f>IFERROR(R568/AO568,"")</f>
        <v/>
      </c>
      <c r="AR568" s="116" t="n">
        <v>0</v>
      </c>
      <c r="AS568" s="116" t="n">
        <v>0</v>
      </c>
      <c r="AT568" s="116">
        <f>AL568+AR568</f>
        <v/>
      </c>
      <c r="AU568" s="119">
        <f>IFERROR(AO568*Assumptions!$C$26*Assumptions!$C$27*INDEX(Assumptions!$C$18:$C$21,MATCH(H568,Assumptions!$B$18:$B$21,0)),0)</f>
        <v/>
      </c>
    </row>
    <row r="569">
      <c r="A569" s="114" t="n">
        <v>46239</v>
      </c>
      <c r="B569" s="42" t="inlineStr">
        <is>
          <t>Wk 32</t>
        </is>
      </c>
      <c r="C569" s="42" t="inlineStr">
        <is>
          <t>Wed</t>
        </is>
      </c>
      <c r="D569" s="42" t="inlineStr">
        <is>
          <t>Meta (FB/IG)</t>
        </is>
      </c>
      <c r="E569" s="42" t="inlineStr">
        <is>
          <t>Facebook + Instagram</t>
        </is>
      </c>
      <c r="F569" s="42" t="inlineStr">
        <is>
          <t>LEP_ZA_AUG26_META_TD_PANTERA_CONV</t>
        </is>
      </c>
      <c r="G569" s="42" t="inlineStr">
        <is>
          <t>Leads - Website Conversions</t>
        </is>
      </c>
      <c r="H569" s="42" t="inlineStr">
        <is>
          <t>PANTERA</t>
        </is>
      </c>
      <c r="I569" s="42" t="inlineStr">
        <is>
          <t>0% Deposit</t>
        </is>
      </c>
      <c r="J569" s="42" t="inlineStr">
        <is>
          <t>MET_PANTERA_LAL1_HIVAL_ZA</t>
        </is>
      </c>
      <c r="K569" s="42" t="inlineStr">
        <is>
          <t>Lookalike</t>
        </is>
      </c>
      <c r="L569" s="42" t="inlineStr">
        <is>
          <t>PANTERA_CAR_5card_Premium_v1</t>
        </is>
      </c>
      <c r="M569" s="42" t="inlineStr">
        <is>
          <t>Carousel</t>
        </is>
      </c>
      <c r="N569" s="42" t="inlineStr">
        <is>
          <t>Five things that surprise PANTERA drivers</t>
        </is>
      </c>
      <c r="O569" s="42" t="inlineStr">
        <is>
          <t>Auction - Cost Cap</t>
        </is>
      </c>
      <c r="P569" s="42" t="inlineStr">
        <is>
          <t>Offsite Conversions</t>
        </is>
      </c>
      <c r="Q569" s="42" t="inlineStr">
        <is>
          <t>https://www.lepas-sa.co.za/offers/pantera</t>
        </is>
      </c>
      <c r="R569" s="115" t="n">
        <v>229.53</v>
      </c>
      <c r="S569" s="116" t="n">
        <v>3127</v>
      </c>
      <c r="T569" s="116" t="n">
        <v>2656</v>
      </c>
      <c r="U569" s="117">
        <f>IFERROR(S569/T569,"")</f>
        <v/>
      </c>
      <c r="V569" s="116" t="n">
        <v>105</v>
      </c>
      <c r="W569" s="116" t="n">
        <v>75</v>
      </c>
      <c r="X569" s="118">
        <f>IFERROR(W569/S569,"")</f>
        <v/>
      </c>
      <c r="Y569" s="115">
        <f>IFERROR(R569/W569,"")</f>
        <v/>
      </c>
      <c r="Z569" s="115">
        <f>IFERROR(R569/S569*1000,"")</f>
        <v/>
      </c>
      <c r="AA569" s="116" t="n">
        <v>65</v>
      </c>
      <c r="AB569" s="47">
        <f>IFERROR(AA569/W569,"")</f>
        <v/>
      </c>
      <c r="AC569" s="116" t="n">
        <v>0</v>
      </c>
      <c r="AD569" s="116" t="n">
        <v>0</v>
      </c>
      <c r="AE569" s="116" t="n">
        <v>0</v>
      </c>
      <c r="AF569" s="116" t="n">
        <v>0</v>
      </c>
      <c r="AG569" s="116" t="n">
        <v>0</v>
      </c>
      <c r="AH569" s="116" t="n">
        <v>0</v>
      </c>
      <c r="AI569" s="47">
        <f>IFERROR(AC569/S569,"")</f>
        <v/>
      </c>
      <c r="AJ569" s="47">
        <f>IFERROR(AH569/S569,"")</f>
        <v/>
      </c>
      <c r="AK569" s="116" t="n">
        <v>66</v>
      </c>
      <c r="AL569" s="116" t="n">
        <v>2</v>
      </c>
      <c r="AM569" s="118">
        <f>IFERROR(AL569/AA569,"")</f>
        <v/>
      </c>
      <c r="AN569" s="119">
        <f>IFERROR(R569/AL569,"")</f>
        <v/>
      </c>
      <c r="AO569" s="116" t="n">
        <v>1</v>
      </c>
      <c r="AP569" s="47">
        <f>IFERROR(AO569/AL569,"")</f>
        <v/>
      </c>
      <c r="AQ569" s="119">
        <f>IFERROR(R569/AO569,"")</f>
        <v/>
      </c>
      <c r="AR569" s="116" t="n">
        <v>0</v>
      </c>
      <c r="AS569" s="116" t="n">
        <v>1</v>
      </c>
      <c r="AT569" s="116">
        <f>AL569+AR569</f>
        <v/>
      </c>
      <c r="AU569" s="119">
        <f>IFERROR(AO569*Assumptions!$C$26*Assumptions!$C$27*INDEX(Assumptions!$C$18:$C$21,MATCH(H569,Assumptions!$B$18:$B$21,0)),0)</f>
        <v/>
      </c>
    </row>
    <row r="570">
      <c r="A570" s="114" t="n">
        <v>46240</v>
      </c>
      <c r="B570" s="42" t="inlineStr">
        <is>
          <t>Wk 32</t>
        </is>
      </c>
      <c r="C570" s="42" t="inlineStr">
        <is>
          <t>Thu</t>
        </is>
      </c>
      <c r="D570" s="42" t="inlineStr">
        <is>
          <t>Meta (FB/IG)</t>
        </is>
      </c>
      <c r="E570" s="42" t="inlineStr">
        <is>
          <t>Facebook + Instagram</t>
        </is>
      </c>
      <c r="F570" s="42" t="inlineStr">
        <is>
          <t>LEP_ZA_AUG26_META_TD_PANTERA_CONV</t>
        </is>
      </c>
      <c r="G570" s="42" t="inlineStr">
        <is>
          <t>Leads - Website Conversions</t>
        </is>
      </c>
      <c r="H570" s="42" t="inlineStr">
        <is>
          <t>PANTERA</t>
        </is>
      </c>
      <c r="I570" s="42" t="inlineStr">
        <is>
          <t>0% Deposit</t>
        </is>
      </c>
      <c r="J570" s="42" t="inlineStr">
        <is>
          <t>MET_PANTERA_LAL1_HIVAL_ZA</t>
        </is>
      </c>
      <c r="K570" s="42" t="inlineStr">
        <is>
          <t>Lookalike</t>
        </is>
      </c>
      <c r="L570" s="42" t="inlineStr">
        <is>
          <t>PANTERA_CAR_5card_Premium_v1</t>
        </is>
      </c>
      <c r="M570" s="42" t="inlineStr">
        <is>
          <t>Carousel</t>
        </is>
      </c>
      <c r="N570" s="42" t="inlineStr">
        <is>
          <t>Five things that surprise PANTERA drivers</t>
        </is>
      </c>
      <c r="O570" s="42" t="inlineStr">
        <is>
          <t>Auction - Cost Cap</t>
        </is>
      </c>
      <c r="P570" s="42" t="inlineStr">
        <is>
          <t>Offsite Conversions</t>
        </is>
      </c>
      <c r="Q570" s="42" t="inlineStr">
        <is>
          <t>https://www.lepas-sa.co.za/offers/pantera</t>
        </is>
      </c>
      <c r="R570" s="115" t="n">
        <v>256.05</v>
      </c>
      <c r="S570" s="116" t="n">
        <v>2953</v>
      </c>
      <c r="T570" s="116" t="n">
        <v>2098</v>
      </c>
      <c r="U570" s="117">
        <f>IFERROR(S570/T570,"")</f>
        <v/>
      </c>
      <c r="V570" s="116" t="n">
        <v>45</v>
      </c>
      <c r="W570" s="116" t="n">
        <v>34</v>
      </c>
      <c r="X570" s="118">
        <f>IFERROR(W570/S570,"")</f>
        <v/>
      </c>
      <c r="Y570" s="115">
        <f>IFERROR(R570/W570,"")</f>
        <v/>
      </c>
      <c r="Z570" s="115">
        <f>IFERROR(R570/S570*1000,"")</f>
        <v/>
      </c>
      <c r="AA570" s="116" t="n">
        <v>28</v>
      </c>
      <c r="AB570" s="47">
        <f>IFERROR(AA570/W570,"")</f>
        <v/>
      </c>
      <c r="AC570" s="116" t="n">
        <v>0</v>
      </c>
      <c r="AD570" s="116" t="n">
        <v>0</v>
      </c>
      <c r="AE570" s="116" t="n">
        <v>0</v>
      </c>
      <c r="AF570" s="116" t="n">
        <v>0</v>
      </c>
      <c r="AG570" s="116" t="n">
        <v>0</v>
      </c>
      <c r="AH570" s="116" t="n">
        <v>0</v>
      </c>
      <c r="AI570" s="47">
        <f>IFERROR(AC570/S570,"")</f>
        <v/>
      </c>
      <c r="AJ570" s="47">
        <f>IFERROR(AH570/S570,"")</f>
        <v/>
      </c>
      <c r="AK570" s="116" t="n">
        <v>65</v>
      </c>
      <c r="AL570" s="116" t="n">
        <v>1</v>
      </c>
      <c r="AM570" s="118">
        <f>IFERROR(AL570/AA570,"")</f>
        <v/>
      </c>
      <c r="AN570" s="119">
        <f>IFERROR(R570/AL570,"")</f>
        <v/>
      </c>
      <c r="AO570" s="116" t="n">
        <v>0</v>
      </c>
      <c r="AP570" s="47">
        <f>IFERROR(AO570/AL570,"")</f>
        <v/>
      </c>
      <c r="AQ570" s="119">
        <f>IFERROR(R570/AO570,"")</f>
        <v/>
      </c>
      <c r="AR570" s="116" t="n">
        <v>0</v>
      </c>
      <c r="AS570" s="116" t="n">
        <v>1</v>
      </c>
      <c r="AT570" s="116">
        <f>AL570+AR570</f>
        <v/>
      </c>
      <c r="AU570" s="119">
        <f>IFERROR(AO570*Assumptions!$C$26*Assumptions!$C$27*INDEX(Assumptions!$C$18:$C$21,MATCH(H570,Assumptions!$B$18:$B$21,0)),0)</f>
        <v/>
      </c>
    </row>
    <row r="571">
      <c r="A571" s="114" t="n">
        <v>46241</v>
      </c>
      <c r="B571" s="42" t="inlineStr">
        <is>
          <t>Wk 32</t>
        </is>
      </c>
      <c r="C571" s="42" t="inlineStr">
        <is>
          <t>Fri</t>
        </is>
      </c>
      <c r="D571" s="42" t="inlineStr">
        <is>
          <t>Meta (FB/IG)</t>
        </is>
      </c>
      <c r="E571" s="42" t="inlineStr">
        <is>
          <t>Facebook + Instagram</t>
        </is>
      </c>
      <c r="F571" s="42" t="inlineStr">
        <is>
          <t>LEP_ZA_AUG26_META_TD_PANTERA_CONV</t>
        </is>
      </c>
      <c r="G571" s="42" t="inlineStr">
        <is>
          <t>Leads - Website Conversions</t>
        </is>
      </c>
      <c r="H571" s="42" t="inlineStr">
        <is>
          <t>PANTERA</t>
        </is>
      </c>
      <c r="I571" s="42" t="inlineStr">
        <is>
          <t>0% Deposit</t>
        </is>
      </c>
      <c r="J571" s="42" t="inlineStr">
        <is>
          <t>MET_PANTERA_LAL1_HIVAL_ZA</t>
        </is>
      </c>
      <c r="K571" s="42" t="inlineStr">
        <is>
          <t>Lookalike</t>
        </is>
      </c>
      <c r="L571" s="42" t="inlineStr">
        <is>
          <t>PANTERA_CAR_5card_Premium_v1</t>
        </is>
      </c>
      <c r="M571" s="42" t="inlineStr">
        <is>
          <t>Carousel</t>
        </is>
      </c>
      <c r="N571" s="42" t="inlineStr">
        <is>
          <t>Five things that surprise PANTERA drivers</t>
        </is>
      </c>
      <c r="O571" s="42" t="inlineStr">
        <is>
          <t>Auction - Cost Cap</t>
        </is>
      </c>
      <c r="P571" s="42" t="inlineStr">
        <is>
          <t>Offsite Conversions</t>
        </is>
      </c>
      <c r="Q571" s="42" t="inlineStr">
        <is>
          <t>https://www.lepas-sa.co.za/offers/pantera</t>
        </is>
      </c>
      <c r="R571" s="115" t="n">
        <v>203.66</v>
      </c>
      <c r="S571" s="116" t="n">
        <v>2048</v>
      </c>
      <c r="T571" s="116" t="n">
        <v>1443</v>
      </c>
      <c r="U571" s="117">
        <f>IFERROR(S571/T571,"")</f>
        <v/>
      </c>
      <c r="V571" s="116" t="n">
        <v>57</v>
      </c>
      <c r="W571" s="116" t="n">
        <v>44</v>
      </c>
      <c r="X571" s="118">
        <f>IFERROR(W571/S571,"")</f>
        <v/>
      </c>
      <c r="Y571" s="115">
        <f>IFERROR(R571/W571,"")</f>
        <v/>
      </c>
      <c r="Z571" s="115">
        <f>IFERROR(R571/S571*1000,"")</f>
        <v/>
      </c>
      <c r="AA571" s="116" t="n">
        <v>36</v>
      </c>
      <c r="AB571" s="47">
        <f>IFERROR(AA571/W571,"")</f>
        <v/>
      </c>
      <c r="AC571" s="116" t="n">
        <v>0</v>
      </c>
      <c r="AD571" s="116" t="n">
        <v>0</v>
      </c>
      <c r="AE571" s="116" t="n">
        <v>0</v>
      </c>
      <c r="AF571" s="116" t="n">
        <v>0</v>
      </c>
      <c r="AG571" s="116" t="n">
        <v>0</v>
      </c>
      <c r="AH571" s="116" t="n">
        <v>0</v>
      </c>
      <c r="AI571" s="47">
        <f>IFERROR(AC571/S571,"")</f>
        <v/>
      </c>
      <c r="AJ571" s="47">
        <f>IFERROR(AH571/S571,"")</f>
        <v/>
      </c>
      <c r="AK571" s="116" t="n">
        <v>58</v>
      </c>
      <c r="AL571" s="116" t="n">
        <v>0</v>
      </c>
      <c r="AM571" s="118">
        <f>IFERROR(AL571/AA571,"")</f>
        <v/>
      </c>
      <c r="AN571" s="119">
        <f>IFERROR(R571/AL571,"")</f>
        <v/>
      </c>
      <c r="AO571" s="116" t="n">
        <v>0</v>
      </c>
      <c r="AP571" s="47">
        <f>IFERROR(AO571/AL571,"")</f>
        <v/>
      </c>
      <c r="AQ571" s="119">
        <f>IFERROR(R571/AO571,"")</f>
        <v/>
      </c>
      <c r="AR571" s="116" t="n">
        <v>0</v>
      </c>
      <c r="AS571" s="116" t="n">
        <v>0</v>
      </c>
      <c r="AT571" s="116">
        <f>AL571+AR571</f>
        <v/>
      </c>
      <c r="AU571" s="119">
        <f>IFERROR(AO571*Assumptions!$C$26*Assumptions!$C$27*INDEX(Assumptions!$C$18:$C$21,MATCH(H571,Assumptions!$B$18:$B$21,0)),0)</f>
        <v/>
      </c>
    </row>
    <row r="572">
      <c r="A572" s="114" t="n">
        <v>46242</v>
      </c>
      <c r="B572" s="42" t="inlineStr">
        <is>
          <t>Wk 32</t>
        </is>
      </c>
      <c r="C572" s="42" t="inlineStr">
        <is>
          <t>Sat</t>
        </is>
      </c>
      <c r="D572" s="42" t="inlineStr">
        <is>
          <t>Meta (FB/IG)</t>
        </is>
      </c>
      <c r="E572" s="42" t="inlineStr">
        <is>
          <t>Facebook + Instagram</t>
        </is>
      </c>
      <c r="F572" s="42" t="inlineStr">
        <is>
          <t>LEP_ZA_AUG26_META_TD_PANTERA_CONV</t>
        </is>
      </c>
      <c r="G572" s="42" t="inlineStr">
        <is>
          <t>Leads - Website Conversions</t>
        </is>
      </c>
      <c r="H572" s="42" t="inlineStr">
        <is>
          <t>PANTERA</t>
        </is>
      </c>
      <c r="I572" s="42" t="inlineStr">
        <is>
          <t>0% Deposit</t>
        </is>
      </c>
      <c r="J572" s="42" t="inlineStr">
        <is>
          <t>MET_PANTERA_LAL1_HIVAL_ZA</t>
        </is>
      </c>
      <c r="K572" s="42" t="inlineStr">
        <is>
          <t>Lookalike</t>
        </is>
      </c>
      <c r="L572" s="42" t="inlineStr">
        <is>
          <t>PANTERA_CAR_5card_Premium_v1</t>
        </is>
      </c>
      <c r="M572" s="42" t="inlineStr">
        <is>
          <t>Carousel</t>
        </is>
      </c>
      <c r="N572" s="42" t="inlineStr">
        <is>
          <t>Five things that surprise PANTERA drivers</t>
        </is>
      </c>
      <c r="O572" s="42" t="inlineStr">
        <is>
          <t>Auction - Cost Cap</t>
        </is>
      </c>
      <c r="P572" s="42" t="inlineStr">
        <is>
          <t>Offsite Conversions</t>
        </is>
      </c>
      <c r="Q572" s="42" t="inlineStr">
        <is>
          <t>https://www.lepas-sa.co.za/offers/pantera</t>
        </is>
      </c>
      <c r="R572" s="115" t="n">
        <v>262.78</v>
      </c>
      <c r="S572" s="116" t="n">
        <v>3035</v>
      </c>
      <c r="T572" s="116" t="n">
        <v>2118</v>
      </c>
      <c r="U572" s="117">
        <f>IFERROR(S572/T572,"")</f>
        <v/>
      </c>
      <c r="V572" s="116" t="n">
        <v>62</v>
      </c>
      <c r="W572" s="116" t="n">
        <v>47</v>
      </c>
      <c r="X572" s="118">
        <f>IFERROR(W572/S572,"")</f>
        <v/>
      </c>
      <c r="Y572" s="115">
        <f>IFERROR(R572/W572,"")</f>
        <v/>
      </c>
      <c r="Z572" s="115">
        <f>IFERROR(R572/S572*1000,"")</f>
        <v/>
      </c>
      <c r="AA572" s="116" t="n">
        <v>39</v>
      </c>
      <c r="AB572" s="47">
        <f>IFERROR(AA572/W572,"")</f>
        <v/>
      </c>
      <c r="AC572" s="116" t="n">
        <v>0</v>
      </c>
      <c r="AD572" s="116" t="n">
        <v>0</v>
      </c>
      <c r="AE572" s="116" t="n">
        <v>0</v>
      </c>
      <c r="AF572" s="116" t="n">
        <v>0</v>
      </c>
      <c r="AG572" s="116" t="n">
        <v>0</v>
      </c>
      <c r="AH572" s="116" t="n">
        <v>0</v>
      </c>
      <c r="AI572" s="47">
        <f>IFERROR(AC572/S572,"")</f>
        <v/>
      </c>
      <c r="AJ572" s="47">
        <f>IFERROR(AH572/S572,"")</f>
        <v/>
      </c>
      <c r="AK572" s="116" t="n">
        <v>34</v>
      </c>
      <c r="AL572" s="116" t="n">
        <v>1</v>
      </c>
      <c r="AM572" s="118">
        <f>IFERROR(AL572/AA572,"")</f>
        <v/>
      </c>
      <c r="AN572" s="119">
        <f>IFERROR(R572/AL572,"")</f>
        <v/>
      </c>
      <c r="AO572" s="116" t="n">
        <v>0</v>
      </c>
      <c r="AP572" s="47">
        <f>IFERROR(AO572/AL572,"")</f>
        <v/>
      </c>
      <c r="AQ572" s="119">
        <f>IFERROR(R572/AO572,"")</f>
        <v/>
      </c>
      <c r="AR572" s="116" t="n">
        <v>0</v>
      </c>
      <c r="AS572" s="116" t="n">
        <v>0</v>
      </c>
      <c r="AT572" s="116">
        <f>AL572+AR572</f>
        <v/>
      </c>
      <c r="AU572" s="119">
        <f>IFERROR(AO572*Assumptions!$C$26*Assumptions!$C$27*INDEX(Assumptions!$C$18:$C$21,MATCH(H572,Assumptions!$B$18:$B$21,0)),0)</f>
        <v/>
      </c>
    </row>
    <row r="573">
      <c r="A573" s="114" t="n">
        <v>46243</v>
      </c>
      <c r="B573" s="42" t="inlineStr">
        <is>
          <t>Wk 32</t>
        </is>
      </c>
      <c r="C573" s="42" t="inlineStr">
        <is>
          <t>Sun</t>
        </is>
      </c>
      <c r="D573" s="42" t="inlineStr">
        <is>
          <t>Meta (FB/IG)</t>
        </is>
      </c>
      <c r="E573" s="42" t="inlineStr">
        <is>
          <t>Facebook + Instagram</t>
        </is>
      </c>
      <c r="F573" s="42" t="inlineStr">
        <is>
          <t>LEP_ZA_AUG26_META_TD_PANTERA_CONV</t>
        </is>
      </c>
      <c r="G573" s="42" t="inlineStr">
        <is>
          <t>Leads - Website Conversions</t>
        </is>
      </c>
      <c r="H573" s="42" t="inlineStr">
        <is>
          <t>PANTERA</t>
        </is>
      </c>
      <c r="I573" s="42" t="inlineStr">
        <is>
          <t>0% Deposit</t>
        </is>
      </c>
      <c r="J573" s="42" t="inlineStr">
        <is>
          <t>MET_PANTERA_LAL1_HIVAL_ZA</t>
        </is>
      </c>
      <c r="K573" s="42" t="inlineStr">
        <is>
          <t>Lookalike</t>
        </is>
      </c>
      <c r="L573" s="42" t="inlineStr">
        <is>
          <t>PANTERA_CAR_5card_Premium_v1</t>
        </is>
      </c>
      <c r="M573" s="42" t="inlineStr">
        <is>
          <t>Carousel</t>
        </is>
      </c>
      <c r="N573" s="42" t="inlineStr">
        <is>
          <t>Five things that surprise PANTERA drivers</t>
        </is>
      </c>
      <c r="O573" s="42" t="inlineStr">
        <is>
          <t>Auction - Cost Cap</t>
        </is>
      </c>
      <c r="P573" s="42" t="inlineStr">
        <is>
          <t>Offsite Conversions</t>
        </is>
      </c>
      <c r="Q573" s="42" t="inlineStr">
        <is>
          <t>https://www.lepas-sa.co.za/offers/pantera</t>
        </is>
      </c>
      <c r="R573" s="115" t="n">
        <v>162.39</v>
      </c>
      <c r="S573" s="116" t="n">
        <v>2009</v>
      </c>
      <c r="T573" s="116" t="n">
        <v>1180</v>
      </c>
      <c r="U573" s="117">
        <f>IFERROR(S573/T573,"")</f>
        <v/>
      </c>
      <c r="V573" s="116" t="n">
        <v>23</v>
      </c>
      <c r="W573" s="116" t="n">
        <v>17</v>
      </c>
      <c r="X573" s="118">
        <f>IFERROR(W573/S573,"")</f>
        <v/>
      </c>
      <c r="Y573" s="115">
        <f>IFERROR(R573/W573,"")</f>
        <v/>
      </c>
      <c r="Z573" s="115">
        <f>IFERROR(R573/S573*1000,"")</f>
        <v/>
      </c>
      <c r="AA573" s="116" t="n">
        <v>14</v>
      </c>
      <c r="AB573" s="47">
        <f>IFERROR(AA573/W573,"")</f>
        <v/>
      </c>
      <c r="AC573" s="116" t="n">
        <v>0</v>
      </c>
      <c r="AD573" s="116" t="n">
        <v>0</v>
      </c>
      <c r="AE573" s="116" t="n">
        <v>0</v>
      </c>
      <c r="AF573" s="116" t="n">
        <v>0</v>
      </c>
      <c r="AG573" s="116" t="n">
        <v>0</v>
      </c>
      <c r="AH573" s="116" t="n">
        <v>0</v>
      </c>
      <c r="AI573" s="47">
        <f>IFERROR(AC573/S573,"")</f>
        <v/>
      </c>
      <c r="AJ573" s="47">
        <f>IFERROR(AH573/S573,"")</f>
        <v/>
      </c>
      <c r="AK573" s="116" t="n">
        <v>25</v>
      </c>
      <c r="AL573" s="116" t="n">
        <v>0</v>
      </c>
      <c r="AM573" s="118">
        <f>IFERROR(AL573/AA573,"")</f>
        <v/>
      </c>
      <c r="AN573" s="119">
        <f>IFERROR(R573/AL573,"")</f>
        <v/>
      </c>
      <c r="AO573" s="116" t="n">
        <v>0</v>
      </c>
      <c r="AP573" s="47">
        <f>IFERROR(AO573/AL573,"")</f>
        <v/>
      </c>
      <c r="AQ573" s="119">
        <f>IFERROR(R573/AO573,"")</f>
        <v/>
      </c>
      <c r="AR573" s="116" t="n">
        <v>0</v>
      </c>
      <c r="AS573" s="116" t="n">
        <v>0</v>
      </c>
      <c r="AT573" s="116">
        <f>AL573+AR573</f>
        <v/>
      </c>
      <c r="AU573" s="119">
        <f>IFERROR(AO573*Assumptions!$C$26*Assumptions!$C$27*INDEX(Assumptions!$C$18:$C$21,MATCH(H573,Assumptions!$B$18:$B$21,0)),0)</f>
        <v/>
      </c>
    </row>
    <row r="574">
      <c r="A574" s="114" t="n">
        <v>46244</v>
      </c>
      <c r="B574" s="42" t="inlineStr">
        <is>
          <t>Wk 33</t>
        </is>
      </c>
      <c r="C574" s="42" t="inlineStr">
        <is>
          <t>Mon</t>
        </is>
      </c>
      <c r="D574" s="42" t="inlineStr">
        <is>
          <t>Meta (FB/IG)</t>
        </is>
      </c>
      <c r="E574" s="42" t="inlineStr">
        <is>
          <t>Facebook + Instagram</t>
        </is>
      </c>
      <c r="F574" s="42" t="inlineStr">
        <is>
          <t>LEP_ZA_AUG26_META_TD_PANTERA_CONV</t>
        </is>
      </c>
      <c r="G574" s="42" t="inlineStr">
        <is>
          <t>Leads - Website Conversions</t>
        </is>
      </c>
      <c r="H574" s="42" t="inlineStr">
        <is>
          <t>PANTERA</t>
        </is>
      </c>
      <c r="I574" s="42" t="inlineStr">
        <is>
          <t>0% Deposit</t>
        </is>
      </c>
      <c r="J574" s="42" t="inlineStr">
        <is>
          <t>MET_PANTERA_LAL1_HIVAL_ZA</t>
        </is>
      </c>
      <c r="K574" s="42" t="inlineStr">
        <is>
          <t>Lookalike</t>
        </is>
      </c>
      <c r="L574" s="42" t="inlineStr">
        <is>
          <t>PANTERA_CAR_5card_Premium_v1</t>
        </is>
      </c>
      <c r="M574" s="42" t="inlineStr">
        <is>
          <t>Carousel</t>
        </is>
      </c>
      <c r="N574" s="42" t="inlineStr">
        <is>
          <t>Five things that surprise PANTERA drivers</t>
        </is>
      </c>
      <c r="O574" s="42" t="inlineStr">
        <is>
          <t>Auction - Cost Cap</t>
        </is>
      </c>
      <c r="P574" s="42" t="inlineStr">
        <is>
          <t>Offsite Conversions</t>
        </is>
      </c>
      <c r="Q574" s="42" t="inlineStr">
        <is>
          <t>https://www.lepas-sa.co.za/offers/pantera</t>
        </is>
      </c>
      <c r="R574" s="115" t="n">
        <v>254.5</v>
      </c>
      <c r="S574" s="116" t="n">
        <v>3258</v>
      </c>
      <c r="T574" s="116" t="n">
        <v>2070</v>
      </c>
      <c r="U574" s="117">
        <f>IFERROR(S574/T574,"")</f>
        <v/>
      </c>
      <c r="V574" s="116" t="n">
        <v>71</v>
      </c>
      <c r="W574" s="116" t="n">
        <v>52</v>
      </c>
      <c r="X574" s="118">
        <f>IFERROR(W574/S574,"")</f>
        <v/>
      </c>
      <c r="Y574" s="115">
        <f>IFERROR(R574/W574,"")</f>
        <v/>
      </c>
      <c r="Z574" s="115">
        <f>IFERROR(R574/S574*1000,"")</f>
        <v/>
      </c>
      <c r="AA574" s="116" t="n">
        <v>44</v>
      </c>
      <c r="AB574" s="47">
        <f>IFERROR(AA574/W574,"")</f>
        <v/>
      </c>
      <c r="AC574" s="116" t="n">
        <v>0</v>
      </c>
      <c r="AD574" s="116" t="n">
        <v>0</v>
      </c>
      <c r="AE574" s="116" t="n">
        <v>0</v>
      </c>
      <c r="AF574" s="116" t="n">
        <v>0</v>
      </c>
      <c r="AG574" s="116" t="n">
        <v>0</v>
      </c>
      <c r="AH574" s="116" t="n">
        <v>0</v>
      </c>
      <c r="AI574" s="47">
        <f>IFERROR(AC574/S574,"")</f>
        <v/>
      </c>
      <c r="AJ574" s="47">
        <f>IFERROR(AH574/S574,"")</f>
        <v/>
      </c>
      <c r="AK574" s="116" t="n">
        <v>55</v>
      </c>
      <c r="AL574" s="116" t="n">
        <v>1</v>
      </c>
      <c r="AM574" s="118">
        <f>IFERROR(AL574/AA574,"")</f>
        <v/>
      </c>
      <c r="AN574" s="119">
        <f>IFERROR(R574/AL574,"")</f>
        <v/>
      </c>
      <c r="AO574" s="116" t="n">
        <v>0</v>
      </c>
      <c r="AP574" s="47">
        <f>IFERROR(AO574/AL574,"")</f>
        <v/>
      </c>
      <c r="AQ574" s="119">
        <f>IFERROR(R574/AO574,"")</f>
        <v/>
      </c>
      <c r="AR574" s="116" t="n">
        <v>0</v>
      </c>
      <c r="AS574" s="116" t="n">
        <v>0</v>
      </c>
      <c r="AT574" s="116">
        <f>AL574+AR574</f>
        <v/>
      </c>
      <c r="AU574" s="119">
        <f>IFERROR(AO574*Assumptions!$C$26*Assumptions!$C$27*INDEX(Assumptions!$C$18:$C$21,MATCH(H574,Assumptions!$B$18:$B$21,0)),0)</f>
        <v/>
      </c>
    </row>
    <row r="575">
      <c r="A575" s="114" t="n">
        <v>46245</v>
      </c>
      <c r="B575" s="42" t="inlineStr">
        <is>
          <t>Wk 33</t>
        </is>
      </c>
      <c r="C575" s="42" t="inlineStr">
        <is>
          <t>Tue</t>
        </is>
      </c>
      <c r="D575" s="42" t="inlineStr">
        <is>
          <t>Meta (FB/IG)</t>
        </is>
      </c>
      <c r="E575" s="42" t="inlineStr">
        <is>
          <t>Facebook + Instagram</t>
        </is>
      </c>
      <c r="F575" s="42" t="inlineStr">
        <is>
          <t>LEP_ZA_AUG26_META_TD_PANTERA_CONV</t>
        </is>
      </c>
      <c r="G575" s="42" t="inlineStr">
        <is>
          <t>Leads - Website Conversions</t>
        </is>
      </c>
      <c r="H575" s="42" t="inlineStr">
        <is>
          <t>PANTERA</t>
        </is>
      </c>
      <c r="I575" s="42" t="inlineStr">
        <is>
          <t>0% Deposit</t>
        </is>
      </c>
      <c r="J575" s="42" t="inlineStr">
        <is>
          <t>MET_PANTERA_LAL1_HIVAL_ZA</t>
        </is>
      </c>
      <c r="K575" s="42" t="inlineStr">
        <is>
          <t>Lookalike</t>
        </is>
      </c>
      <c r="L575" s="42" t="inlineStr">
        <is>
          <t>PANTERA_CAR_5card_Premium_v1</t>
        </is>
      </c>
      <c r="M575" s="42" t="inlineStr">
        <is>
          <t>Carousel</t>
        </is>
      </c>
      <c r="N575" s="42" t="inlineStr">
        <is>
          <t>Five things that surprise PANTERA drivers</t>
        </is>
      </c>
      <c r="O575" s="42" t="inlineStr">
        <is>
          <t>Auction - Cost Cap</t>
        </is>
      </c>
      <c r="P575" s="42" t="inlineStr">
        <is>
          <t>Offsite Conversions</t>
        </is>
      </c>
      <c r="Q575" s="42" t="inlineStr">
        <is>
          <t>https://www.lepas-sa.co.za/offers/pantera</t>
        </is>
      </c>
      <c r="R575" s="115" t="n">
        <v>194.97</v>
      </c>
      <c r="S575" s="116" t="n">
        <v>2937</v>
      </c>
      <c r="T575" s="116" t="n">
        <v>2107</v>
      </c>
      <c r="U575" s="117">
        <f>IFERROR(S575/T575,"")</f>
        <v/>
      </c>
      <c r="V575" s="116" t="n">
        <v>47</v>
      </c>
      <c r="W575" s="116" t="n">
        <v>37</v>
      </c>
      <c r="X575" s="118">
        <f>IFERROR(W575/S575,"")</f>
        <v/>
      </c>
      <c r="Y575" s="115">
        <f>IFERROR(R575/W575,"")</f>
        <v/>
      </c>
      <c r="Z575" s="115">
        <f>IFERROR(R575/S575*1000,"")</f>
        <v/>
      </c>
      <c r="AA575" s="116" t="n">
        <v>32</v>
      </c>
      <c r="AB575" s="47">
        <f>IFERROR(AA575/W575,"")</f>
        <v/>
      </c>
      <c r="AC575" s="116" t="n">
        <v>0</v>
      </c>
      <c r="AD575" s="116" t="n">
        <v>0</v>
      </c>
      <c r="AE575" s="116" t="n">
        <v>0</v>
      </c>
      <c r="AF575" s="116" t="n">
        <v>0</v>
      </c>
      <c r="AG575" s="116" t="n">
        <v>0</v>
      </c>
      <c r="AH575" s="116" t="n">
        <v>0</v>
      </c>
      <c r="AI575" s="47">
        <f>IFERROR(AC575/S575,"")</f>
        <v/>
      </c>
      <c r="AJ575" s="47">
        <f>IFERROR(AH575/S575,"")</f>
        <v/>
      </c>
      <c r="AK575" s="116" t="n">
        <v>53</v>
      </c>
      <c r="AL575" s="116" t="n">
        <v>1</v>
      </c>
      <c r="AM575" s="118">
        <f>IFERROR(AL575/AA575,"")</f>
        <v/>
      </c>
      <c r="AN575" s="119">
        <f>IFERROR(R575/AL575,"")</f>
        <v/>
      </c>
      <c r="AO575" s="116" t="n">
        <v>1</v>
      </c>
      <c r="AP575" s="47">
        <f>IFERROR(AO575/AL575,"")</f>
        <v/>
      </c>
      <c r="AQ575" s="119">
        <f>IFERROR(R575/AO575,"")</f>
        <v/>
      </c>
      <c r="AR575" s="116" t="n">
        <v>0</v>
      </c>
      <c r="AS575" s="116" t="n">
        <v>0</v>
      </c>
      <c r="AT575" s="116">
        <f>AL575+AR575</f>
        <v/>
      </c>
      <c r="AU575" s="119">
        <f>IFERROR(AO575*Assumptions!$C$26*Assumptions!$C$27*INDEX(Assumptions!$C$18:$C$21,MATCH(H575,Assumptions!$B$18:$B$21,0)),0)</f>
        <v/>
      </c>
    </row>
    <row r="576">
      <c r="A576" s="114" t="n">
        <v>46246</v>
      </c>
      <c r="B576" s="42" t="inlineStr">
        <is>
          <t>Wk 33</t>
        </is>
      </c>
      <c r="C576" s="42" t="inlineStr">
        <is>
          <t>Wed</t>
        </is>
      </c>
      <c r="D576" s="42" t="inlineStr">
        <is>
          <t>Meta (FB/IG)</t>
        </is>
      </c>
      <c r="E576" s="42" t="inlineStr">
        <is>
          <t>Facebook + Instagram</t>
        </is>
      </c>
      <c r="F576" s="42" t="inlineStr">
        <is>
          <t>LEP_ZA_AUG26_META_TD_PANTERA_CONV</t>
        </is>
      </c>
      <c r="G576" s="42" t="inlineStr">
        <is>
          <t>Leads - Website Conversions</t>
        </is>
      </c>
      <c r="H576" s="42" t="inlineStr">
        <is>
          <t>PANTERA</t>
        </is>
      </c>
      <c r="I576" s="42" t="inlineStr">
        <is>
          <t>0% Deposit</t>
        </is>
      </c>
      <c r="J576" s="42" t="inlineStr">
        <is>
          <t>MET_PANTERA_LAL1_HIVAL_ZA</t>
        </is>
      </c>
      <c r="K576" s="42" t="inlineStr">
        <is>
          <t>Lookalike</t>
        </is>
      </c>
      <c r="L576" s="42" t="inlineStr">
        <is>
          <t>PANTERA_CAR_5card_Premium_v1</t>
        </is>
      </c>
      <c r="M576" s="42" t="inlineStr">
        <is>
          <t>Carousel</t>
        </is>
      </c>
      <c r="N576" s="42" t="inlineStr">
        <is>
          <t>Five things that surprise PANTERA drivers</t>
        </is>
      </c>
      <c r="O576" s="42" t="inlineStr">
        <is>
          <t>Auction - Cost Cap</t>
        </is>
      </c>
      <c r="P576" s="42" t="inlineStr">
        <is>
          <t>Offsite Conversions</t>
        </is>
      </c>
      <c r="Q576" s="42" t="inlineStr">
        <is>
          <t>https://www.lepas-sa.co.za/offers/pantera</t>
        </is>
      </c>
      <c r="R576" s="115" t="n">
        <v>194.01</v>
      </c>
      <c r="S576" s="116" t="n">
        <v>2112</v>
      </c>
      <c r="T576" s="116" t="n">
        <v>1499</v>
      </c>
      <c r="U576" s="117">
        <f>IFERROR(S576/T576,"")</f>
        <v/>
      </c>
      <c r="V576" s="116" t="n">
        <v>32</v>
      </c>
      <c r="W576" s="116" t="n">
        <v>24</v>
      </c>
      <c r="X576" s="118">
        <f>IFERROR(W576/S576,"")</f>
        <v/>
      </c>
      <c r="Y576" s="115">
        <f>IFERROR(R576/W576,"")</f>
        <v/>
      </c>
      <c r="Z576" s="115">
        <f>IFERROR(R576/S576*1000,"")</f>
        <v/>
      </c>
      <c r="AA576" s="116" t="n">
        <v>21</v>
      </c>
      <c r="AB576" s="47">
        <f>IFERROR(AA576/W576,"")</f>
        <v/>
      </c>
      <c r="AC576" s="116" t="n">
        <v>0</v>
      </c>
      <c r="AD576" s="116" t="n">
        <v>0</v>
      </c>
      <c r="AE576" s="116" t="n">
        <v>0</v>
      </c>
      <c r="AF576" s="116" t="n">
        <v>0</v>
      </c>
      <c r="AG576" s="116" t="n">
        <v>0</v>
      </c>
      <c r="AH576" s="116" t="n">
        <v>0</v>
      </c>
      <c r="AI576" s="47">
        <f>IFERROR(AC576/S576,"")</f>
        <v/>
      </c>
      <c r="AJ576" s="47">
        <f>IFERROR(AH576/S576,"")</f>
        <v/>
      </c>
      <c r="AK576" s="116" t="n">
        <v>53</v>
      </c>
      <c r="AL576" s="116" t="n">
        <v>1</v>
      </c>
      <c r="AM576" s="118">
        <f>IFERROR(AL576/AA576,"")</f>
        <v/>
      </c>
      <c r="AN576" s="119">
        <f>IFERROR(R576/AL576,"")</f>
        <v/>
      </c>
      <c r="AO576" s="116" t="n">
        <v>0</v>
      </c>
      <c r="AP576" s="47">
        <f>IFERROR(AO576/AL576,"")</f>
        <v/>
      </c>
      <c r="AQ576" s="119">
        <f>IFERROR(R576/AO576,"")</f>
        <v/>
      </c>
      <c r="AR576" s="116" t="n">
        <v>0</v>
      </c>
      <c r="AS576" s="116" t="n">
        <v>0</v>
      </c>
      <c r="AT576" s="116">
        <f>AL576+AR576</f>
        <v/>
      </c>
      <c r="AU576" s="119">
        <f>IFERROR(AO576*Assumptions!$C$26*Assumptions!$C$27*INDEX(Assumptions!$C$18:$C$21,MATCH(H576,Assumptions!$B$18:$B$21,0)),0)</f>
        <v/>
      </c>
    </row>
    <row r="577">
      <c r="A577" s="114" t="n">
        <v>46247</v>
      </c>
      <c r="B577" s="42" t="inlineStr">
        <is>
          <t>Wk 33</t>
        </is>
      </c>
      <c r="C577" s="42" t="inlineStr">
        <is>
          <t>Thu</t>
        </is>
      </c>
      <c r="D577" s="42" t="inlineStr">
        <is>
          <t>Meta (FB/IG)</t>
        </is>
      </c>
      <c r="E577" s="42" t="inlineStr">
        <is>
          <t>Facebook + Instagram</t>
        </is>
      </c>
      <c r="F577" s="42" t="inlineStr">
        <is>
          <t>LEP_ZA_AUG26_META_TD_PANTERA_CONV</t>
        </is>
      </c>
      <c r="G577" s="42" t="inlineStr">
        <is>
          <t>Leads - Website Conversions</t>
        </is>
      </c>
      <c r="H577" s="42" t="inlineStr">
        <is>
          <t>PANTERA</t>
        </is>
      </c>
      <c r="I577" s="42" t="inlineStr">
        <is>
          <t>0% Deposit</t>
        </is>
      </c>
      <c r="J577" s="42" t="inlineStr">
        <is>
          <t>MET_PANTERA_LAL1_HIVAL_ZA</t>
        </is>
      </c>
      <c r="K577" s="42" t="inlineStr">
        <is>
          <t>Lookalike</t>
        </is>
      </c>
      <c r="L577" s="42" t="inlineStr">
        <is>
          <t>PANTERA_CAR_5card_Premium_v1</t>
        </is>
      </c>
      <c r="M577" s="42" t="inlineStr">
        <is>
          <t>Carousel</t>
        </is>
      </c>
      <c r="N577" s="42" t="inlineStr">
        <is>
          <t>Five things that surprise PANTERA drivers</t>
        </is>
      </c>
      <c r="O577" s="42" t="inlineStr">
        <is>
          <t>Auction - Cost Cap</t>
        </is>
      </c>
      <c r="P577" s="42" t="inlineStr">
        <is>
          <t>Offsite Conversions</t>
        </is>
      </c>
      <c r="Q577" s="42" t="inlineStr">
        <is>
          <t>https://www.lepas-sa.co.za/offers/pantera</t>
        </is>
      </c>
      <c r="R577" s="115" t="n">
        <v>197.02</v>
      </c>
      <c r="S577" s="116" t="n">
        <v>2250</v>
      </c>
      <c r="T577" s="116" t="n">
        <v>1762</v>
      </c>
      <c r="U577" s="117">
        <f>IFERROR(S577/T577,"")</f>
        <v/>
      </c>
      <c r="V577" s="116" t="n">
        <v>50</v>
      </c>
      <c r="W577" s="116" t="n">
        <v>39</v>
      </c>
      <c r="X577" s="118">
        <f>IFERROR(W577/S577,"")</f>
        <v/>
      </c>
      <c r="Y577" s="115">
        <f>IFERROR(R577/W577,"")</f>
        <v/>
      </c>
      <c r="Z577" s="115">
        <f>IFERROR(R577/S577*1000,"")</f>
        <v/>
      </c>
      <c r="AA577" s="116" t="n">
        <v>31</v>
      </c>
      <c r="AB577" s="47">
        <f>IFERROR(AA577/W577,"")</f>
        <v/>
      </c>
      <c r="AC577" s="116" t="n">
        <v>0</v>
      </c>
      <c r="AD577" s="116" t="n">
        <v>0</v>
      </c>
      <c r="AE577" s="116" t="n">
        <v>0</v>
      </c>
      <c r="AF577" s="116" t="n">
        <v>0</v>
      </c>
      <c r="AG577" s="116" t="n">
        <v>0</v>
      </c>
      <c r="AH577" s="116" t="n">
        <v>0</v>
      </c>
      <c r="AI577" s="47">
        <f>IFERROR(AC577/S577,"")</f>
        <v/>
      </c>
      <c r="AJ577" s="47">
        <f>IFERROR(AH577/S577,"")</f>
        <v/>
      </c>
      <c r="AK577" s="116" t="n">
        <v>62</v>
      </c>
      <c r="AL577" s="116" t="n">
        <v>1</v>
      </c>
      <c r="AM577" s="118">
        <f>IFERROR(AL577/AA577,"")</f>
        <v/>
      </c>
      <c r="AN577" s="119">
        <f>IFERROR(R577/AL577,"")</f>
        <v/>
      </c>
      <c r="AO577" s="116" t="n">
        <v>0</v>
      </c>
      <c r="AP577" s="47">
        <f>IFERROR(AO577/AL577,"")</f>
        <v/>
      </c>
      <c r="AQ577" s="119">
        <f>IFERROR(R577/AO577,"")</f>
        <v/>
      </c>
      <c r="AR577" s="116" t="n">
        <v>0</v>
      </c>
      <c r="AS577" s="116" t="n">
        <v>0</v>
      </c>
      <c r="AT577" s="116">
        <f>AL577+AR577</f>
        <v/>
      </c>
      <c r="AU577" s="119">
        <f>IFERROR(AO577*Assumptions!$C$26*Assumptions!$C$27*INDEX(Assumptions!$C$18:$C$21,MATCH(H577,Assumptions!$B$18:$B$21,0)),0)</f>
        <v/>
      </c>
    </row>
    <row r="578">
      <c r="A578" s="114" t="n">
        <v>46248</v>
      </c>
      <c r="B578" s="42" t="inlineStr">
        <is>
          <t>Wk 33</t>
        </is>
      </c>
      <c r="C578" s="42" t="inlineStr">
        <is>
          <t>Fri</t>
        </is>
      </c>
      <c r="D578" s="42" t="inlineStr">
        <is>
          <t>Meta (FB/IG)</t>
        </is>
      </c>
      <c r="E578" s="42" t="inlineStr">
        <is>
          <t>Facebook + Instagram</t>
        </is>
      </c>
      <c r="F578" s="42" t="inlineStr">
        <is>
          <t>LEP_ZA_AUG26_META_TD_PANTERA_CONV</t>
        </is>
      </c>
      <c r="G578" s="42" t="inlineStr">
        <is>
          <t>Leads - Website Conversions</t>
        </is>
      </c>
      <c r="H578" s="42" t="inlineStr">
        <is>
          <t>PANTERA</t>
        </is>
      </c>
      <c r="I578" s="42" t="inlineStr">
        <is>
          <t>0% Deposit</t>
        </is>
      </c>
      <c r="J578" s="42" t="inlineStr">
        <is>
          <t>MET_PANTERA_LAL1_HIVAL_ZA</t>
        </is>
      </c>
      <c r="K578" s="42" t="inlineStr">
        <is>
          <t>Lookalike</t>
        </is>
      </c>
      <c r="L578" s="42" t="inlineStr">
        <is>
          <t>PANTERA_CAR_5card_Premium_v1</t>
        </is>
      </c>
      <c r="M578" s="42" t="inlineStr">
        <is>
          <t>Carousel</t>
        </is>
      </c>
      <c r="N578" s="42" t="inlineStr">
        <is>
          <t>Five things that surprise PANTERA drivers</t>
        </is>
      </c>
      <c r="O578" s="42" t="inlineStr">
        <is>
          <t>Auction - Cost Cap</t>
        </is>
      </c>
      <c r="P578" s="42" t="inlineStr">
        <is>
          <t>Offsite Conversions</t>
        </is>
      </c>
      <c r="Q578" s="42" t="inlineStr">
        <is>
          <t>https://www.lepas-sa.co.za/offers/pantera</t>
        </is>
      </c>
      <c r="R578" s="115" t="n">
        <v>220.6</v>
      </c>
      <c r="S578" s="116" t="n">
        <v>3758</v>
      </c>
      <c r="T578" s="116" t="n">
        <v>2894</v>
      </c>
      <c r="U578" s="117">
        <f>IFERROR(S578/T578,"")</f>
        <v/>
      </c>
      <c r="V578" s="116" t="n">
        <v>49</v>
      </c>
      <c r="W578" s="116" t="n">
        <v>41</v>
      </c>
      <c r="X578" s="118">
        <f>IFERROR(W578/S578,"")</f>
        <v/>
      </c>
      <c r="Y578" s="115">
        <f>IFERROR(R578/W578,"")</f>
        <v/>
      </c>
      <c r="Z578" s="115">
        <f>IFERROR(R578/S578*1000,"")</f>
        <v/>
      </c>
      <c r="AA578" s="116" t="n">
        <v>34</v>
      </c>
      <c r="AB578" s="47">
        <f>IFERROR(AA578/W578,"")</f>
        <v/>
      </c>
      <c r="AC578" s="116" t="n">
        <v>0</v>
      </c>
      <c r="AD578" s="116" t="n">
        <v>0</v>
      </c>
      <c r="AE578" s="116" t="n">
        <v>0</v>
      </c>
      <c r="AF578" s="116" t="n">
        <v>0</v>
      </c>
      <c r="AG578" s="116" t="n">
        <v>0</v>
      </c>
      <c r="AH578" s="116" t="n">
        <v>0</v>
      </c>
      <c r="AI578" s="47">
        <f>IFERROR(AC578/S578,"")</f>
        <v/>
      </c>
      <c r="AJ578" s="47">
        <f>IFERROR(AH578/S578,"")</f>
        <v/>
      </c>
      <c r="AK578" s="116" t="n">
        <v>85</v>
      </c>
      <c r="AL578" s="116" t="n">
        <v>0</v>
      </c>
      <c r="AM578" s="118">
        <f>IFERROR(AL578/AA578,"")</f>
        <v/>
      </c>
      <c r="AN578" s="119">
        <f>IFERROR(R578/AL578,"")</f>
        <v/>
      </c>
      <c r="AO578" s="116" t="n">
        <v>0</v>
      </c>
      <c r="AP578" s="47">
        <f>IFERROR(AO578/AL578,"")</f>
        <v/>
      </c>
      <c r="AQ578" s="119">
        <f>IFERROR(R578/AO578,"")</f>
        <v/>
      </c>
      <c r="AR578" s="116" t="n">
        <v>0</v>
      </c>
      <c r="AS578" s="116" t="n">
        <v>0</v>
      </c>
      <c r="AT578" s="116">
        <f>AL578+AR578</f>
        <v/>
      </c>
      <c r="AU578" s="119">
        <f>IFERROR(AO578*Assumptions!$C$26*Assumptions!$C$27*INDEX(Assumptions!$C$18:$C$21,MATCH(H578,Assumptions!$B$18:$B$21,0)),0)</f>
        <v/>
      </c>
    </row>
    <row r="579">
      <c r="A579" s="114" t="n">
        <v>46249</v>
      </c>
      <c r="B579" s="42" t="inlineStr">
        <is>
          <t>Wk 33</t>
        </is>
      </c>
      <c r="C579" s="42" t="inlineStr">
        <is>
          <t>Sat</t>
        </is>
      </c>
      <c r="D579" s="42" t="inlineStr">
        <is>
          <t>Meta (FB/IG)</t>
        </is>
      </c>
      <c r="E579" s="42" t="inlineStr">
        <is>
          <t>Facebook + Instagram</t>
        </is>
      </c>
      <c r="F579" s="42" t="inlineStr">
        <is>
          <t>LEP_ZA_AUG26_META_TD_PANTERA_CONV</t>
        </is>
      </c>
      <c r="G579" s="42" t="inlineStr">
        <is>
          <t>Leads - Website Conversions</t>
        </is>
      </c>
      <c r="H579" s="42" t="inlineStr">
        <is>
          <t>PANTERA</t>
        </is>
      </c>
      <c r="I579" s="42" t="inlineStr">
        <is>
          <t>0% Deposit</t>
        </is>
      </c>
      <c r="J579" s="42" t="inlineStr">
        <is>
          <t>MET_PANTERA_LAL1_HIVAL_ZA</t>
        </is>
      </c>
      <c r="K579" s="42" t="inlineStr">
        <is>
          <t>Lookalike</t>
        </is>
      </c>
      <c r="L579" s="42" t="inlineStr">
        <is>
          <t>PANTERA_CAR_5card_Premium_v1</t>
        </is>
      </c>
      <c r="M579" s="42" t="inlineStr">
        <is>
          <t>Carousel</t>
        </is>
      </c>
      <c r="N579" s="42" t="inlineStr">
        <is>
          <t>Five things that surprise PANTERA drivers</t>
        </is>
      </c>
      <c r="O579" s="42" t="inlineStr">
        <is>
          <t>Auction - Cost Cap</t>
        </is>
      </c>
      <c r="P579" s="42" t="inlineStr">
        <is>
          <t>Offsite Conversions</t>
        </is>
      </c>
      <c r="Q579" s="42" t="inlineStr">
        <is>
          <t>https://www.lepas-sa.co.za/offers/pantera</t>
        </is>
      </c>
      <c r="R579" s="115" t="n">
        <v>233.15</v>
      </c>
      <c r="S579" s="116" t="n">
        <v>3769</v>
      </c>
      <c r="T579" s="116" t="n">
        <v>2195</v>
      </c>
      <c r="U579" s="117">
        <f>IFERROR(S579/T579,"")</f>
        <v/>
      </c>
      <c r="V579" s="116" t="n">
        <v>43</v>
      </c>
      <c r="W579" s="116" t="n">
        <v>36</v>
      </c>
      <c r="X579" s="118">
        <f>IFERROR(W579/S579,"")</f>
        <v/>
      </c>
      <c r="Y579" s="115">
        <f>IFERROR(R579/W579,"")</f>
        <v/>
      </c>
      <c r="Z579" s="115">
        <f>IFERROR(R579/S579*1000,"")</f>
        <v/>
      </c>
      <c r="AA579" s="116" t="n">
        <v>29</v>
      </c>
      <c r="AB579" s="47">
        <f>IFERROR(AA579/W579,"")</f>
        <v/>
      </c>
      <c r="AC579" s="116" t="n">
        <v>0</v>
      </c>
      <c r="AD579" s="116" t="n">
        <v>0</v>
      </c>
      <c r="AE579" s="116" t="n">
        <v>0</v>
      </c>
      <c r="AF579" s="116" t="n">
        <v>0</v>
      </c>
      <c r="AG579" s="116" t="n">
        <v>0</v>
      </c>
      <c r="AH579" s="116" t="n">
        <v>0</v>
      </c>
      <c r="AI579" s="47">
        <f>IFERROR(AC579/S579,"")</f>
        <v/>
      </c>
      <c r="AJ579" s="47">
        <f>IFERROR(AH579/S579,"")</f>
        <v/>
      </c>
      <c r="AK579" s="116" t="n">
        <v>66</v>
      </c>
      <c r="AL579" s="116" t="n">
        <v>0</v>
      </c>
      <c r="AM579" s="118">
        <f>IFERROR(AL579/AA579,"")</f>
        <v/>
      </c>
      <c r="AN579" s="119">
        <f>IFERROR(R579/AL579,"")</f>
        <v/>
      </c>
      <c r="AO579" s="116" t="n">
        <v>0</v>
      </c>
      <c r="AP579" s="47">
        <f>IFERROR(AO579/AL579,"")</f>
        <v/>
      </c>
      <c r="AQ579" s="119">
        <f>IFERROR(R579/AO579,"")</f>
        <v/>
      </c>
      <c r="AR579" s="116" t="n">
        <v>0</v>
      </c>
      <c r="AS579" s="116" t="n">
        <v>0</v>
      </c>
      <c r="AT579" s="116">
        <f>AL579+AR579</f>
        <v/>
      </c>
      <c r="AU579" s="119">
        <f>IFERROR(AO579*Assumptions!$C$26*Assumptions!$C$27*INDEX(Assumptions!$C$18:$C$21,MATCH(H579,Assumptions!$B$18:$B$21,0)),0)</f>
        <v/>
      </c>
    </row>
    <row r="580">
      <c r="A580" s="114" t="n">
        <v>46250</v>
      </c>
      <c r="B580" s="42" t="inlineStr">
        <is>
          <t>Wk 33</t>
        </is>
      </c>
      <c r="C580" s="42" t="inlineStr">
        <is>
          <t>Sun</t>
        </is>
      </c>
      <c r="D580" s="42" t="inlineStr">
        <is>
          <t>Meta (FB/IG)</t>
        </is>
      </c>
      <c r="E580" s="42" t="inlineStr">
        <is>
          <t>Facebook + Instagram</t>
        </is>
      </c>
      <c r="F580" s="42" t="inlineStr">
        <is>
          <t>LEP_ZA_AUG26_META_TD_PANTERA_CONV</t>
        </is>
      </c>
      <c r="G580" s="42" t="inlineStr">
        <is>
          <t>Leads - Website Conversions</t>
        </is>
      </c>
      <c r="H580" s="42" t="inlineStr">
        <is>
          <t>PANTERA</t>
        </is>
      </c>
      <c r="I580" s="42" t="inlineStr">
        <is>
          <t>0% Deposit</t>
        </is>
      </c>
      <c r="J580" s="42" t="inlineStr">
        <is>
          <t>MET_PANTERA_LAL1_HIVAL_ZA</t>
        </is>
      </c>
      <c r="K580" s="42" t="inlineStr">
        <is>
          <t>Lookalike</t>
        </is>
      </c>
      <c r="L580" s="42" t="inlineStr">
        <is>
          <t>PANTERA_CAR_5card_Premium_v1</t>
        </is>
      </c>
      <c r="M580" s="42" t="inlineStr">
        <is>
          <t>Carousel</t>
        </is>
      </c>
      <c r="N580" s="42" t="inlineStr">
        <is>
          <t>Five things that surprise PANTERA drivers</t>
        </is>
      </c>
      <c r="O580" s="42" t="inlineStr">
        <is>
          <t>Auction - Cost Cap</t>
        </is>
      </c>
      <c r="P580" s="42" t="inlineStr">
        <is>
          <t>Offsite Conversions</t>
        </is>
      </c>
      <c r="Q580" s="42" t="inlineStr">
        <is>
          <t>https://www.lepas-sa.co.za/offers/pantera</t>
        </is>
      </c>
      <c r="R580" s="115" t="n">
        <v>188.88</v>
      </c>
      <c r="S580" s="116" t="n">
        <v>2620</v>
      </c>
      <c r="T580" s="116" t="n">
        <v>1482</v>
      </c>
      <c r="U580" s="117">
        <f>IFERROR(S580/T580,"")</f>
        <v/>
      </c>
      <c r="V580" s="116" t="n">
        <v>23</v>
      </c>
      <c r="W580" s="116" t="n">
        <v>18</v>
      </c>
      <c r="X580" s="118">
        <f>IFERROR(W580/S580,"")</f>
        <v/>
      </c>
      <c r="Y580" s="115">
        <f>IFERROR(R580/W580,"")</f>
        <v/>
      </c>
      <c r="Z580" s="115">
        <f>IFERROR(R580/S580*1000,"")</f>
        <v/>
      </c>
      <c r="AA580" s="116" t="n">
        <v>15</v>
      </c>
      <c r="AB580" s="47">
        <f>IFERROR(AA580/W580,"")</f>
        <v/>
      </c>
      <c r="AC580" s="116" t="n">
        <v>0</v>
      </c>
      <c r="AD580" s="116" t="n">
        <v>0</v>
      </c>
      <c r="AE580" s="116" t="n">
        <v>0</v>
      </c>
      <c r="AF580" s="116" t="n">
        <v>0</v>
      </c>
      <c r="AG580" s="116" t="n">
        <v>0</v>
      </c>
      <c r="AH580" s="116" t="n">
        <v>0</v>
      </c>
      <c r="AI580" s="47">
        <f>IFERROR(AC580/S580,"")</f>
        <v/>
      </c>
      <c r="AJ580" s="47">
        <f>IFERROR(AH580/S580,"")</f>
        <v/>
      </c>
      <c r="AK580" s="116" t="n">
        <v>41</v>
      </c>
      <c r="AL580" s="116" t="n">
        <v>0</v>
      </c>
      <c r="AM580" s="118">
        <f>IFERROR(AL580/AA580,"")</f>
        <v/>
      </c>
      <c r="AN580" s="119">
        <f>IFERROR(R580/AL580,"")</f>
        <v/>
      </c>
      <c r="AO580" s="116" t="n">
        <v>0</v>
      </c>
      <c r="AP580" s="47">
        <f>IFERROR(AO580/AL580,"")</f>
        <v/>
      </c>
      <c r="AQ580" s="119">
        <f>IFERROR(R580/AO580,"")</f>
        <v/>
      </c>
      <c r="AR580" s="116" t="n">
        <v>0</v>
      </c>
      <c r="AS580" s="116" t="n">
        <v>0</v>
      </c>
      <c r="AT580" s="116">
        <f>AL580+AR580</f>
        <v/>
      </c>
      <c r="AU580" s="119">
        <f>IFERROR(AO580*Assumptions!$C$26*Assumptions!$C$27*INDEX(Assumptions!$C$18:$C$21,MATCH(H580,Assumptions!$B$18:$B$21,0)),0)</f>
        <v/>
      </c>
    </row>
    <row r="581">
      <c r="A581" s="114" t="n">
        <v>46251</v>
      </c>
      <c r="B581" s="42" t="inlineStr">
        <is>
          <t>Wk 34</t>
        </is>
      </c>
      <c r="C581" s="42" t="inlineStr">
        <is>
          <t>Mon</t>
        </is>
      </c>
      <c r="D581" s="42" t="inlineStr">
        <is>
          <t>Meta (FB/IG)</t>
        </is>
      </c>
      <c r="E581" s="42" t="inlineStr">
        <is>
          <t>Facebook + Instagram</t>
        </is>
      </c>
      <c r="F581" s="42" t="inlineStr">
        <is>
          <t>LEP_ZA_AUG26_META_TD_PANTERA_CONV</t>
        </is>
      </c>
      <c r="G581" s="42" t="inlineStr">
        <is>
          <t>Leads - Website Conversions</t>
        </is>
      </c>
      <c r="H581" s="42" t="inlineStr">
        <is>
          <t>PANTERA</t>
        </is>
      </c>
      <c r="I581" s="42" t="inlineStr">
        <is>
          <t>0% Deposit</t>
        </is>
      </c>
      <c r="J581" s="42" t="inlineStr">
        <is>
          <t>MET_PANTERA_LAL1_HIVAL_ZA</t>
        </is>
      </c>
      <c r="K581" s="42" t="inlineStr">
        <is>
          <t>Lookalike</t>
        </is>
      </c>
      <c r="L581" s="42" t="inlineStr">
        <is>
          <t>PANTERA_CAR_5card_Premium_v1</t>
        </is>
      </c>
      <c r="M581" s="42" t="inlineStr">
        <is>
          <t>Carousel</t>
        </is>
      </c>
      <c r="N581" s="42" t="inlineStr">
        <is>
          <t>Five things that surprise PANTERA drivers</t>
        </is>
      </c>
      <c r="O581" s="42" t="inlineStr">
        <is>
          <t>Auction - Cost Cap</t>
        </is>
      </c>
      <c r="P581" s="42" t="inlineStr">
        <is>
          <t>Offsite Conversions</t>
        </is>
      </c>
      <c r="Q581" s="42" t="inlineStr">
        <is>
          <t>https://www.lepas-sa.co.za/offers/pantera</t>
        </is>
      </c>
      <c r="R581" s="115" t="n">
        <v>176.91</v>
      </c>
      <c r="S581" s="116" t="n">
        <v>1882</v>
      </c>
      <c r="T581" s="116" t="n">
        <v>1092</v>
      </c>
      <c r="U581" s="117">
        <f>IFERROR(S581/T581,"")</f>
        <v/>
      </c>
      <c r="V581" s="116" t="n">
        <v>47</v>
      </c>
      <c r="W581" s="116" t="n">
        <v>35</v>
      </c>
      <c r="X581" s="118">
        <f>IFERROR(W581/S581,"")</f>
        <v/>
      </c>
      <c r="Y581" s="115">
        <f>IFERROR(R581/W581,"")</f>
        <v/>
      </c>
      <c r="Z581" s="115">
        <f>IFERROR(R581/S581*1000,"")</f>
        <v/>
      </c>
      <c r="AA581" s="116" t="n">
        <v>29</v>
      </c>
      <c r="AB581" s="47">
        <f>IFERROR(AA581/W581,"")</f>
        <v/>
      </c>
      <c r="AC581" s="116" t="n">
        <v>0</v>
      </c>
      <c r="AD581" s="116" t="n">
        <v>0</v>
      </c>
      <c r="AE581" s="116" t="n">
        <v>0</v>
      </c>
      <c r="AF581" s="116" t="n">
        <v>0</v>
      </c>
      <c r="AG581" s="116" t="n">
        <v>0</v>
      </c>
      <c r="AH581" s="116" t="n">
        <v>0</v>
      </c>
      <c r="AI581" s="47">
        <f>IFERROR(AC581/S581,"")</f>
        <v/>
      </c>
      <c r="AJ581" s="47">
        <f>IFERROR(AH581/S581,"")</f>
        <v/>
      </c>
      <c r="AK581" s="116" t="n">
        <v>54</v>
      </c>
      <c r="AL581" s="116" t="n">
        <v>0</v>
      </c>
      <c r="AM581" s="118">
        <f>IFERROR(AL581/AA581,"")</f>
        <v/>
      </c>
      <c r="AN581" s="119">
        <f>IFERROR(R581/AL581,"")</f>
        <v/>
      </c>
      <c r="AO581" s="116" t="n">
        <v>0</v>
      </c>
      <c r="AP581" s="47">
        <f>IFERROR(AO581/AL581,"")</f>
        <v/>
      </c>
      <c r="AQ581" s="119">
        <f>IFERROR(R581/AO581,"")</f>
        <v/>
      </c>
      <c r="AR581" s="116" t="n">
        <v>0</v>
      </c>
      <c r="AS581" s="116" t="n">
        <v>0</v>
      </c>
      <c r="AT581" s="116">
        <f>AL581+AR581</f>
        <v/>
      </c>
      <c r="AU581" s="119">
        <f>IFERROR(AO581*Assumptions!$C$26*Assumptions!$C$27*INDEX(Assumptions!$C$18:$C$21,MATCH(H581,Assumptions!$B$18:$B$21,0)),0)</f>
        <v/>
      </c>
    </row>
    <row r="582">
      <c r="A582" s="114" t="n">
        <v>46252</v>
      </c>
      <c r="B582" s="42" t="inlineStr">
        <is>
          <t>Wk 34</t>
        </is>
      </c>
      <c r="C582" s="42" t="inlineStr">
        <is>
          <t>Tue</t>
        </is>
      </c>
      <c r="D582" s="42" t="inlineStr">
        <is>
          <t>Meta (FB/IG)</t>
        </is>
      </c>
      <c r="E582" s="42" t="inlineStr">
        <is>
          <t>Facebook + Instagram</t>
        </is>
      </c>
      <c r="F582" s="42" t="inlineStr">
        <is>
          <t>LEP_ZA_AUG26_META_TD_PANTERA_CONV</t>
        </is>
      </c>
      <c r="G582" s="42" t="inlineStr">
        <is>
          <t>Leads - Website Conversions</t>
        </is>
      </c>
      <c r="H582" s="42" t="inlineStr">
        <is>
          <t>PANTERA</t>
        </is>
      </c>
      <c r="I582" s="42" t="inlineStr">
        <is>
          <t>0% Deposit</t>
        </is>
      </c>
      <c r="J582" s="42" t="inlineStr">
        <is>
          <t>MET_PANTERA_LAL1_HIVAL_ZA</t>
        </is>
      </c>
      <c r="K582" s="42" t="inlineStr">
        <is>
          <t>Lookalike</t>
        </is>
      </c>
      <c r="L582" s="42" t="inlineStr">
        <is>
          <t>PANTERA_CAR_5card_Premium_v1</t>
        </is>
      </c>
      <c r="M582" s="42" t="inlineStr">
        <is>
          <t>Carousel</t>
        </is>
      </c>
      <c r="N582" s="42" t="inlineStr">
        <is>
          <t>Five things that surprise PANTERA drivers</t>
        </is>
      </c>
      <c r="O582" s="42" t="inlineStr">
        <is>
          <t>Auction - Cost Cap</t>
        </is>
      </c>
      <c r="P582" s="42" t="inlineStr">
        <is>
          <t>Offsite Conversions</t>
        </is>
      </c>
      <c r="Q582" s="42" t="inlineStr">
        <is>
          <t>https://www.lepas-sa.co.za/offers/pantera</t>
        </is>
      </c>
      <c r="R582" s="115" t="n">
        <v>217.2</v>
      </c>
      <c r="S582" s="116" t="n">
        <v>3312</v>
      </c>
      <c r="T582" s="116" t="n">
        <v>1908</v>
      </c>
      <c r="U582" s="117">
        <f>IFERROR(S582/T582,"")</f>
        <v/>
      </c>
      <c r="V582" s="116" t="n">
        <v>33</v>
      </c>
      <c r="W582" s="116" t="n">
        <v>25</v>
      </c>
      <c r="X582" s="118">
        <f>IFERROR(W582/S582,"")</f>
        <v/>
      </c>
      <c r="Y582" s="115">
        <f>IFERROR(R582/W582,"")</f>
        <v/>
      </c>
      <c r="Z582" s="115">
        <f>IFERROR(R582/S582*1000,"")</f>
        <v/>
      </c>
      <c r="AA582" s="116" t="n">
        <v>20</v>
      </c>
      <c r="AB582" s="47">
        <f>IFERROR(AA582/W582,"")</f>
        <v/>
      </c>
      <c r="AC582" s="116" t="n">
        <v>0</v>
      </c>
      <c r="AD582" s="116" t="n">
        <v>0</v>
      </c>
      <c r="AE582" s="116" t="n">
        <v>0</v>
      </c>
      <c r="AF582" s="116" t="n">
        <v>0</v>
      </c>
      <c r="AG582" s="116" t="n">
        <v>0</v>
      </c>
      <c r="AH582" s="116" t="n">
        <v>0</v>
      </c>
      <c r="AI582" s="47">
        <f>IFERROR(AC582/S582,"")</f>
        <v/>
      </c>
      <c r="AJ582" s="47">
        <f>IFERROR(AH582/S582,"")</f>
        <v/>
      </c>
      <c r="AK582" s="116" t="n">
        <v>106</v>
      </c>
      <c r="AL582" s="116" t="n">
        <v>1</v>
      </c>
      <c r="AM582" s="118">
        <f>IFERROR(AL582/AA582,"")</f>
        <v/>
      </c>
      <c r="AN582" s="119">
        <f>IFERROR(R582/AL582,"")</f>
        <v/>
      </c>
      <c r="AO582" s="116" t="n">
        <v>0</v>
      </c>
      <c r="AP582" s="47">
        <f>IFERROR(AO582/AL582,"")</f>
        <v/>
      </c>
      <c r="AQ582" s="119">
        <f>IFERROR(R582/AO582,"")</f>
        <v/>
      </c>
      <c r="AR582" s="116" t="n">
        <v>0</v>
      </c>
      <c r="AS582" s="116" t="n">
        <v>1</v>
      </c>
      <c r="AT582" s="116">
        <f>AL582+AR582</f>
        <v/>
      </c>
      <c r="AU582" s="119">
        <f>IFERROR(AO582*Assumptions!$C$26*Assumptions!$C$27*INDEX(Assumptions!$C$18:$C$21,MATCH(H582,Assumptions!$B$18:$B$21,0)),0)</f>
        <v/>
      </c>
    </row>
    <row r="583">
      <c r="A583" s="114" t="n">
        <v>46253</v>
      </c>
      <c r="B583" s="42" t="inlineStr">
        <is>
          <t>Wk 34</t>
        </is>
      </c>
      <c r="C583" s="42" t="inlineStr">
        <is>
          <t>Wed</t>
        </is>
      </c>
      <c r="D583" s="42" t="inlineStr">
        <is>
          <t>Meta (FB/IG)</t>
        </is>
      </c>
      <c r="E583" s="42" t="inlineStr">
        <is>
          <t>Facebook + Instagram</t>
        </is>
      </c>
      <c r="F583" s="42" t="inlineStr">
        <is>
          <t>LEP_ZA_AUG26_META_TD_PANTERA_CONV</t>
        </is>
      </c>
      <c r="G583" s="42" t="inlineStr">
        <is>
          <t>Leads - Website Conversions</t>
        </is>
      </c>
      <c r="H583" s="42" t="inlineStr">
        <is>
          <t>PANTERA</t>
        </is>
      </c>
      <c r="I583" s="42" t="inlineStr">
        <is>
          <t>0% Deposit</t>
        </is>
      </c>
      <c r="J583" s="42" t="inlineStr">
        <is>
          <t>MET_PANTERA_LAL1_HIVAL_ZA</t>
        </is>
      </c>
      <c r="K583" s="42" t="inlineStr">
        <is>
          <t>Lookalike</t>
        </is>
      </c>
      <c r="L583" s="42" t="inlineStr">
        <is>
          <t>PANTERA_CAR_5card_Premium_v1</t>
        </is>
      </c>
      <c r="M583" s="42" t="inlineStr">
        <is>
          <t>Carousel</t>
        </is>
      </c>
      <c r="N583" s="42" t="inlineStr">
        <is>
          <t>Five things that surprise PANTERA drivers</t>
        </is>
      </c>
      <c r="O583" s="42" t="inlineStr">
        <is>
          <t>Auction - Cost Cap</t>
        </is>
      </c>
      <c r="P583" s="42" t="inlineStr">
        <is>
          <t>Offsite Conversions</t>
        </is>
      </c>
      <c r="Q583" s="42" t="inlineStr">
        <is>
          <t>https://www.lepas-sa.co.za/offers/pantera</t>
        </is>
      </c>
      <c r="R583" s="115" t="n">
        <v>225.87</v>
      </c>
      <c r="S583" s="116" t="n">
        <v>3580</v>
      </c>
      <c r="T583" s="116" t="n">
        <v>1857</v>
      </c>
      <c r="U583" s="117">
        <f>IFERROR(S583/T583,"")</f>
        <v/>
      </c>
      <c r="V583" s="116" t="n">
        <v>64</v>
      </c>
      <c r="W583" s="116" t="n">
        <v>51</v>
      </c>
      <c r="X583" s="118">
        <f>IFERROR(W583/S583,"")</f>
        <v/>
      </c>
      <c r="Y583" s="115">
        <f>IFERROR(R583/W583,"")</f>
        <v/>
      </c>
      <c r="Z583" s="115">
        <f>IFERROR(R583/S583*1000,"")</f>
        <v/>
      </c>
      <c r="AA583" s="116" t="n">
        <v>45</v>
      </c>
      <c r="AB583" s="47">
        <f>IFERROR(AA583/W583,"")</f>
        <v/>
      </c>
      <c r="AC583" s="116" t="n">
        <v>0</v>
      </c>
      <c r="AD583" s="116" t="n">
        <v>0</v>
      </c>
      <c r="AE583" s="116" t="n">
        <v>0</v>
      </c>
      <c r="AF583" s="116" t="n">
        <v>0</v>
      </c>
      <c r="AG583" s="116" t="n">
        <v>0</v>
      </c>
      <c r="AH583" s="116" t="n">
        <v>0</v>
      </c>
      <c r="AI583" s="47">
        <f>IFERROR(AC583/S583,"")</f>
        <v/>
      </c>
      <c r="AJ583" s="47">
        <f>IFERROR(AH583/S583,"")</f>
        <v/>
      </c>
      <c r="AK583" s="116" t="n">
        <v>106</v>
      </c>
      <c r="AL583" s="116" t="n">
        <v>1</v>
      </c>
      <c r="AM583" s="118">
        <f>IFERROR(AL583/AA583,"")</f>
        <v/>
      </c>
      <c r="AN583" s="119">
        <f>IFERROR(R583/AL583,"")</f>
        <v/>
      </c>
      <c r="AO583" s="116" t="n">
        <v>1</v>
      </c>
      <c r="AP583" s="47">
        <f>IFERROR(AO583/AL583,"")</f>
        <v/>
      </c>
      <c r="AQ583" s="119">
        <f>IFERROR(R583/AO583,"")</f>
        <v/>
      </c>
      <c r="AR583" s="116" t="n">
        <v>0</v>
      </c>
      <c r="AS583" s="116" t="n">
        <v>0</v>
      </c>
      <c r="AT583" s="116">
        <f>AL583+AR583</f>
        <v/>
      </c>
      <c r="AU583" s="119">
        <f>IFERROR(AO583*Assumptions!$C$26*Assumptions!$C$27*INDEX(Assumptions!$C$18:$C$21,MATCH(H583,Assumptions!$B$18:$B$21,0)),0)</f>
        <v/>
      </c>
    </row>
    <row r="584">
      <c r="A584" s="114" t="n">
        <v>46254</v>
      </c>
      <c r="B584" s="42" t="inlineStr">
        <is>
          <t>Wk 34</t>
        </is>
      </c>
      <c r="C584" s="42" t="inlineStr">
        <is>
          <t>Thu</t>
        </is>
      </c>
      <c r="D584" s="42" t="inlineStr">
        <is>
          <t>Meta (FB/IG)</t>
        </is>
      </c>
      <c r="E584" s="42" t="inlineStr">
        <is>
          <t>Facebook + Instagram</t>
        </is>
      </c>
      <c r="F584" s="42" t="inlineStr">
        <is>
          <t>LEP_ZA_AUG26_META_TD_PANTERA_CONV</t>
        </is>
      </c>
      <c r="G584" s="42" t="inlineStr">
        <is>
          <t>Leads - Website Conversions</t>
        </is>
      </c>
      <c r="H584" s="42" t="inlineStr">
        <is>
          <t>PANTERA</t>
        </is>
      </c>
      <c r="I584" s="42" t="inlineStr">
        <is>
          <t>0% Deposit</t>
        </is>
      </c>
      <c r="J584" s="42" t="inlineStr">
        <is>
          <t>MET_PANTERA_LAL1_HIVAL_ZA</t>
        </is>
      </c>
      <c r="K584" s="42" t="inlineStr">
        <is>
          <t>Lookalike</t>
        </is>
      </c>
      <c r="L584" s="42" t="inlineStr">
        <is>
          <t>PANTERA_CAR_5card_Premium_v1</t>
        </is>
      </c>
      <c r="M584" s="42" t="inlineStr">
        <is>
          <t>Carousel</t>
        </is>
      </c>
      <c r="N584" s="42" t="inlineStr">
        <is>
          <t>Five things that surprise PANTERA drivers</t>
        </is>
      </c>
      <c r="O584" s="42" t="inlineStr">
        <is>
          <t>Auction - Cost Cap</t>
        </is>
      </c>
      <c r="P584" s="42" t="inlineStr">
        <is>
          <t>Offsite Conversions</t>
        </is>
      </c>
      <c r="Q584" s="42" t="inlineStr">
        <is>
          <t>https://www.lepas-sa.co.za/offers/pantera</t>
        </is>
      </c>
      <c r="R584" s="115" t="n">
        <v>226.74</v>
      </c>
      <c r="S584" s="116" t="n">
        <v>3472</v>
      </c>
      <c r="T584" s="116" t="n">
        <v>1979</v>
      </c>
      <c r="U584" s="117">
        <f>IFERROR(S584/T584,"")</f>
        <v/>
      </c>
      <c r="V584" s="116" t="n">
        <v>50</v>
      </c>
      <c r="W584" s="116" t="n">
        <v>37</v>
      </c>
      <c r="X584" s="118">
        <f>IFERROR(W584/S584,"")</f>
        <v/>
      </c>
      <c r="Y584" s="115">
        <f>IFERROR(R584/W584,"")</f>
        <v/>
      </c>
      <c r="Z584" s="115">
        <f>IFERROR(R584/S584*1000,"")</f>
        <v/>
      </c>
      <c r="AA584" s="116" t="n">
        <v>31</v>
      </c>
      <c r="AB584" s="47">
        <f>IFERROR(AA584/W584,"")</f>
        <v/>
      </c>
      <c r="AC584" s="116" t="n">
        <v>0</v>
      </c>
      <c r="AD584" s="116" t="n">
        <v>0</v>
      </c>
      <c r="AE584" s="116" t="n">
        <v>0</v>
      </c>
      <c r="AF584" s="116" t="n">
        <v>0</v>
      </c>
      <c r="AG584" s="116" t="n">
        <v>0</v>
      </c>
      <c r="AH584" s="116" t="n">
        <v>0</v>
      </c>
      <c r="AI584" s="47">
        <f>IFERROR(AC584/S584,"")</f>
        <v/>
      </c>
      <c r="AJ584" s="47">
        <f>IFERROR(AH584/S584,"")</f>
        <v/>
      </c>
      <c r="AK584" s="116" t="n">
        <v>73</v>
      </c>
      <c r="AL584" s="116" t="n">
        <v>0</v>
      </c>
      <c r="AM584" s="118">
        <f>IFERROR(AL584/AA584,"")</f>
        <v/>
      </c>
      <c r="AN584" s="119">
        <f>IFERROR(R584/AL584,"")</f>
        <v/>
      </c>
      <c r="AO584" s="116" t="n">
        <v>0</v>
      </c>
      <c r="AP584" s="47">
        <f>IFERROR(AO584/AL584,"")</f>
        <v/>
      </c>
      <c r="AQ584" s="119">
        <f>IFERROR(R584/AO584,"")</f>
        <v/>
      </c>
      <c r="AR584" s="116" t="n">
        <v>0</v>
      </c>
      <c r="AS584" s="116" t="n">
        <v>0</v>
      </c>
      <c r="AT584" s="116">
        <f>AL584+AR584</f>
        <v/>
      </c>
      <c r="AU584" s="119">
        <f>IFERROR(AO584*Assumptions!$C$26*Assumptions!$C$27*INDEX(Assumptions!$C$18:$C$21,MATCH(H584,Assumptions!$B$18:$B$21,0)),0)</f>
        <v/>
      </c>
    </row>
    <row r="585">
      <c r="A585" s="114" t="n">
        <v>46255</v>
      </c>
      <c r="B585" s="42" t="inlineStr">
        <is>
          <t>Wk 34</t>
        </is>
      </c>
      <c r="C585" s="42" t="inlineStr">
        <is>
          <t>Fri</t>
        </is>
      </c>
      <c r="D585" s="42" t="inlineStr">
        <is>
          <t>Meta (FB/IG)</t>
        </is>
      </c>
      <c r="E585" s="42" t="inlineStr">
        <is>
          <t>Facebook + Instagram</t>
        </is>
      </c>
      <c r="F585" s="42" t="inlineStr">
        <is>
          <t>LEP_ZA_AUG26_META_TD_PANTERA_CONV</t>
        </is>
      </c>
      <c r="G585" s="42" t="inlineStr">
        <is>
          <t>Leads - Website Conversions</t>
        </is>
      </c>
      <c r="H585" s="42" t="inlineStr">
        <is>
          <t>PANTERA</t>
        </is>
      </c>
      <c r="I585" s="42" t="inlineStr">
        <is>
          <t>0% Deposit</t>
        </is>
      </c>
      <c r="J585" s="42" t="inlineStr">
        <is>
          <t>MET_PANTERA_LAL1_HIVAL_ZA</t>
        </is>
      </c>
      <c r="K585" s="42" t="inlineStr">
        <is>
          <t>Lookalike</t>
        </is>
      </c>
      <c r="L585" s="42" t="inlineStr">
        <is>
          <t>PANTERA_CAR_5card_Premium_v1</t>
        </is>
      </c>
      <c r="M585" s="42" t="inlineStr">
        <is>
          <t>Carousel</t>
        </is>
      </c>
      <c r="N585" s="42" t="inlineStr">
        <is>
          <t>Five things that surprise PANTERA drivers</t>
        </is>
      </c>
      <c r="O585" s="42" t="inlineStr">
        <is>
          <t>Auction - Cost Cap</t>
        </is>
      </c>
      <c r="P585" s="42" t="inlineStr">
        <is>
          <t>Offsite Conversions</t>
        </is>
      </c>
      <c r="Q585" s="42" t="inlineStr">
        <is>
          <t>https://www.lepas-sa.co.za/offers/pantera</t>
        </is>
      </c>
      <c r="R585" s="115" t="n">
        <v>268.19</v>
      </c>
      <c r="S585" s="116" t="n">
        <v>3204</v>
      </c>
      <c r="T585" s="116" t="n">
        <v>1862</v>
      </c>
      <c r="U585" s="117">
        <f>IFERROR(S585/T585,"")</f>
        <v/>
      </c>
      <c r="V585" s="116" t="n">
        <v>41</v>
      </c>
      <c r="W585" s="116" t="n">
        <v>29</v>
      </c>
      <c r="X585" s="118">
        <f>IFERROR(W585/S585,"")</f>
        <v/>
      </c>
      <c r="Y585" s="115">
        <f>IFERROR(R585/W585,"")</f>
        <v/>
      </c>
      <c r="Z585" s="115">
        <f>IFERROR(R585/S585*1000,"")</f>
        <v/>
      </c>
      <c r="AA585" s="116" t="n">
        <v>23</v>
      </c>
      <c r="AB585" s="47">
        <f>IFERROR(AA585/W585,"")</f>
        <v/>
      </c>
      <c r="AC585" s="116" t="n">
        <v>0</v>
      </c>
      <c r="AD585" s="116" t="n">
        <v>0</v>
      </c>
      <c r="AE585" s="116" t="n">
        <v>0</v>
      </c>
      <c r="AF585" s="116" t="n">
        <v>0</v>
      </c>
      <c r="AG585" s="116" t="n">
        <v>0</v>
      </c>
      <c r="AH585" s="116" t="n">
        <v>0</v>
      </c>
      <c r="AI585" s="47">
        <f>IFERROR(AC585/S585,"")</f>
        <v/>
      </c>
      <c r="AJ585" s="47">
        <f>IFERROR(AH585/S585,"")</f>
        <v/>
      </c>
      <c r="AK585" s="116" t="n">
        <v>65</v>
      </c>
      <c r="AL585" s="116" t="n">
        <v>1</v>
      </c>
      <c r="AM585" s="118">
        <f>IFERROR(AL585/AA585,"")</f>
        <v/>
      </c>
      <c r="AN585" s="119">
        <f>IFERROR(R585/AL585,"")</f>
        <v/>
      </c>
      <c r="AO585" s="116" t="n">
        <v>1</v>
      </c>
      <c r="AP585" s="47">
        <f>IFERROR(AO585/AL585,"")</f>
        <v/>
      </c>
      <c r="AQ585" s="119">
        <f>IFERROR(R585/AO585,"")</f>
        <v/>
      </c>
      <c r="AR585" s="116" t="n">
        <v>0</v>
      </c>
      <c r="AS585" s="116" t="n">
        <v>1</v>
      </c>
      <c r="AT585" s="116">
        <f>AL585+AR585</f>
        <v/>
      </c>
      <c r="AU585" s="119">
        <f>IFERROR(AO585*Assumptions!$C$26*Assumptions!$C$27*INDEX(Assumptions!$C$18:$C$21,MATCH(H585,Assumptions!$B$18:$B$21,0)),0)</f>
        <v/>
      </c>
    </row>
    <row r="586">
      <c r="A586" s="114" t="n">
        <v>46256</v>
      </c>
      <c r="B586" s="42" t="inlineStr">
        <is>
          <t>Wk 34</t>
        </is>
      </c>
      <c r="C586" s="42" t="inlineStr">
        <is>
          <t>Sat</t>
        </is>
      </c>
      <c r="D586" s="42" t="inlineStr">
        <is>
          <t>Meta (FB/IG)</t>
        </is>
      </c>
      <c r="E586" s="42" t="inlineStr">
        <is>
          <t>Facebook + Instagram</t>
        </is>
      </c>
      <c r="F586" s="42" t="inlineStr">
        <is>
          <t>LEP_ZA_AUG26_META_TD_PANTERA_CONV</t>
        </is>
      </c>
      <c r="G586" s="42" t="inlineStr">
        <is>
          <t>Leads - Website Conversions</t>
        </is>
      </c>
      <c r="H586" s="42" t="inlineStr">
        <is>
          <t>PANTERA</t>
        </is>
      </c>
      <c r="I586" s="42" t="inlineStr">
        <is>
          <t>0% Deposit</t>
        </is>
      </c>
      <c r="J586" s="42" t="inlineStr">
        <is>
          <t>MET_PANTERA_LAL1_HIVAL_ZA</t>
        </is>
      </c>
      <c r="K586" s="42" t="inlineStr">
        <is>
          <t>Lookalike</t>
        </is>
      </c>
      <c r="L586" s="42" t="inlineStr">
        <is>
          <t>PANTERA_CAR_5card_Premium_v1</t>
        </is>
      </c>
      <c r="M586" s="42" t="inlineStr">
        <is>
          <t>Carousel</t>
        </is>
      </c>
      <c r="N586" s="42" t="inlineStr">
        <is>
          <t>Five things that surprise PANTERA drivers</t>
        </is>
      </c>
      <c r="O586" s="42" t="inlineStr">
        <is>
          <t>Auction - Cost Cap</t>
        </is>
      </c>
      <c r="P586" s="42" t="inlineStr">
        <is>
          <t>Offsite Conversions</t>
        </is>
      </c>
      <c r="Q586" s="42" t="inlineStr">
        <is>
          <t>https://www.lepas-sa.co.za/offers/pantera</t>
        </is>
      </c>
      <c r="R586" s="115" t="n">
        <v>226.33</v>
      </c>
      <c r="S586" s="116" t="n">
        <v>3338</v>
      </c>
      <c r="T586" s="116" t="n">
        <v>1707</v>
      </c>
      <c r="U586" s="117">
        <f>IFERROR(S586/T586,"")</f>
        <v/>
      </c>
      <c r="V586" s="116" t="n">
        <v>54</v>
      </c>
      <c r="W586" s="116" t="n">
        <v>41</v>
      </c>
      <c r="X586" s="118">
        <f>IFERROR(W586/S586,"")</f>
        <v/>
      </c>
      <c r="Y586" s="115">
        <f>IFERROR(R586/W586,"")</f>
        <v/>
      </c>
      <c r="Z586" s="115">
        <f>IFERROR(R586/S586*1000,"")</f>
        <v/>
      </c>
      <c r="AA586" s="116" t="n">
        <v>34</v>
      </c>
      <c r="AB586" s="47">
        <f>IFERROR(AA586/W586,"")</f>
        <v/>
      </c>
      <c r="AC586" s="116" t="n">
        <v>0</v>
      </c>
      <c r="AD586" s="116" t="n">
        <v>0</v>
      </c>
      <c r="AE586" s="116" t="n">
        <v>0</v>
      </c>
      <c r="AF586" s="116" t="n">
        <v>0</v>
      </c>
      <c r="AG586" s="116" t="n">
        <v>0</v>
      </c>
      <c r="AH586" s="116" t="n">
        <v>0</v>
      </c>
      <c r="AI586" s="47">
        <f>IFERROR(AC586/S586,"")</f>
        <v/>
      </c>
      <c r="AJ586" s="47">
        <f>IFERROR(AH586/S586,"")</f>
        <v/>
      </c>
      <c r="AK586" s="116" t="n">
        <v>94</v>
      </c>
      <c r="AL586" s="116" t="n">
        <v>1</v>
      </c>
      <c r="AM586" s="118">
        <f>IFERROR(AL586/AA586,"")</f>
        <v/>
      </c>
      <c r="AN586" s="119">
        <f>IFERROR(R586/AL586,"")</f>
        <v/>
      </c>
      <c r="AO586" s="116" t="n">
        <v>1</v>
      </c>
      <c r="AP586" s="47">
        <f>IFERROR(AO586/AL586,"")</f>
        <v/>
      </c>
      <c r="AQ586" s="119">
        <f>IFERROR(R586/AO586,"")</f>
        <v/>
      </c>
      <c r="AR586" s="116" t="n">
        <v>0</v>
      </c>
      <c r="AS586" s="116" t="n">
        <v>0</v>
      </c>
      <c r="AT586" s="116">
        <f>AL586+AR586</f>
        <v/>
      </c>
      <c r="AU586" s="119">
        <f>IFERROR(AO586*Assumptions!$C$26*Assumptions!$C$27*INDEX(Assumptions!$C$18:$C$21,MATCH(H586,Assumptions!$B$18:$B$21,0)),0)</f>
        <v/>
      </c>
    </row>
    <row r="587">
      <c r="A587" s="114" t="n">
        <v>46257</v>
      </c>
      <c r="B587" s="42" t="inlineStr">
        <is>
          <t>Wk 34</t>
        </is>
      </c>
      <c r="C587" s="42" t="inlineStr">
        <is>
          <t>Sun</t>
        </is>
      </c>
      <c r="D587" s="42" t="inlineStr">
        <is>
          <t>Meta (FB/IG)</t>
        </is>
      </c>
      <c r="E587" s="42" t="inlineStr">
        <is>
          <t>Facebook + Instagram</t>
        </is>
      </c>
      <c r="F587" s="42" t="inlineStr">
        <is>
          <t>LEP_ZA_AUG26_META_TD_PANTERA_CONV</t>
        </is>
      </c>
      <c r="G587" s="42" t="inlineStr">
        <is>
          <t>Leads - Website Conversions</t>
        </is>
      </c>
      <c r="H587" s="42" t="inlineStr">
        <is>
          <t>PANTERA</t>
        </is>
      </c>
      <c r="I587" s="42" t="inlineStr">
        <is>
          <t>0% Deposit</t>
        </is>
      </c>
      <c r="J587" s="42" t="inlineStr">
        <is>
          <t>MET_PANTERA_LAL1_HIVAL_ZA</t>
        </is>
      </c>
      <c r="K587" s="42" t="inlineStr">
        <is>
          <t>Lookalike</t>
        </is>
      </c>
      <c r="L587" s="42" t="inlineStr">
        <is>
          <t>PANTERA_CAR_5card_Premium_v1</t>
        </is>
      </c>
      <c r="M587" s="42" t="inlineStr">
        <is>
          <t>Carousel</t>
        </is>
      </c>
      <c r="N587" s="42" t="inlineStr">
        <is>
          <t>Five things that surprise PANTERA drivers</t>
        </is>
      </c>
      <c r="O587" s="42" t="inlineStr">
        <is>
          <t>Auction - Cost Cap</t>
        </is>
      </c>
      <c r="P587" s="42" t="inlineStr">
        <is>
          <t>Offsite Conversions</t>
        </is>
      </c>
      <c r="Q587" s="42" t="inlineStr">
        <is>
          <t>https://www.lepas-sa.co.za/offers/pantera</t>
        </is>
      </c>
      <c r="R587" s="115" t="n">
        <v>160.98</v>
      </c>
      <c r="S587" s="116" t="n">
        <v>2646</v>
      </c>
      <c r="T587" s="116" t="n">
        <v>1335</v>
      </c>
      <c r="U587" s="117">
        <f>IFERROR(S587/T587,"")</f>
        <v/>
      </c>
      <c r="V587" s="116" t="n">
        <v>50</v>
      </c>
      <c r="W587" s="116" t="n">
        <v>41</v>
      </c>
      <c r="X587" s="118">
        <f>IFERROR(W587/S587,"")</f>
        <v/>
      </c>
      <c r="Y587" s="115">
        <f>IFERROR(R587/W587,"")</f>
        <v/>
      </c>
      <c r="Z587" s="115">
        <f>IFERROR(R587/S587*1000,"")</f>
        <v/>
      </c>
      <c r="AA587" s="116" t="n">
        <v>33</v>
      </c>
      <c r="AB587" s="47">
        <f>IFERROR(AA587/W587,"")</f>
        <v/>
      </c>
      <c r="AC587" s="116" t="n">
        <v>0</v>
      </c>
      <c r="AD587" s="116" t="n">
        <v>0</v>
      </c>
      <c r="AE587" s="116" t="n">
        <v>0</v>
      </c>
      <c r="AF587" s="116" t="n">
        <v>0</v>
      </c>
      <c r="AG587" s="116" t="n">
        <v>0</v>
      </c>
      <c r="AH587" s="116" t="n">
        <v>0</v>
      </c>
      <c r="AI587" s="47">
        <f>IFERROR(AC587/S587,"")</f>
        <v/>
      </c>
      <c r="AJ587" s="47">
        <f>IFERROR(AH587/S587,"")</f>
        <v/>
      </c>
      <c r="AK587" s="116" t="n">
        <v>74</v>
      </c>
      <c r="AL587" s="116" t="n">
        <v>1</v>
      </c>
      <c r="AM587" s="118">
        <f>IFERROR(AL587/AA587,"")</f>
        <v/>
      </c>
      <c r="AN587" s="119">
        <f>IFERROR(R587/AL587,"")</f>
        <v/>
      </c>
      <c r="AO587" s="116" t="n">
        <v>1</v>
      </c>
      <c r="AP587" s="47">
        <f>IFERROR(AO587/AL587,"")</f>
        <v/>
      </c>
      <c r="AQ587" s="119">
        <f>IFERROR(R587/AO587,"")</f>
        <v/>
      </c>
      <c r="AR587" s="116" t="n">
        <v>0</v>
      </c>
      <c r="AS587" s="116" t="n">
        <v>0</v>
      </c>
      <c r="AT587" s="116">
        <f>AL587+AR587</f>
        <v/>
      </c>
      <c r="AU587" s="119">
        <f>IFERROR(AO587*Assumptions!$C$26*Assumptions!$C$27*INDEX(Assumptions!$C$18:$C$21,MATCH(H587,Assumptions!$B$18:$B$21,0)),0)</f>
        <v/>
      </c>
    </row>
    <row r="588">
      <c r="A588" s="114" t="n">
        <v>46258</v>
      </c>
      <c r="B588" s="42" t="inlineStr">
        <is>
          <t>Wk 35</t>
        </is>
      </c>
      <c r="C588" s="42" t="inlineStr">
        <is>
          <t>Mon</t>
        </is>
      </c>
      <c r="D588" s="42" t="inlineStr">
        <is>
          <t>Meta (FB/IG)</t>
        </is>
      </c>
      <c r="E588" s="42" t="inlineStr">
        <is>
          <t>Facebook + Instagram</t>
        </is>
      </c>
      <c r="F588" s="42" t="inlineStr">
        <is>
          <t>LEP_ZA_AUG26_META_TD_PANTERA_CONV</t>
        </is>
      </c>
      <c r="G588" s="42" t="inlineStr">
        <is>
          <t>Leads - Website Conversions</t>
        </is>
      </c>
      <c r="H588" s="42" t="inlineStr">
        <is>
          <t>PANTERA</t>
        </is>
      </c>
      <c r="I588" s="42" t="inlineStr">
        <is>
          <t>0% Deposit</t>
        </is>
      </c>
      <c r="J588" s="42" t="inlineStr">
        <is>
          <t>MET_PANTERA_LAL1_HIVAL_ZA</t>
        </is>
      </c>
      <c r="K588" s="42" t="inlineStr">
        <is>
          <t>Lookalike</t>
        </is>
      </c>
      <c r="L588" s="42" t="inlineStr">
        <is>
          <t>PANTERA_CAR_5card_Premium_v1</t>
        </is>
      </c>
      <c r="M588" s="42" t="inlineStr">
        <is>
          <t>Carousel</t>
        </is>
      </c>
      <c r="N588" s="42" t="inlineStr">
        <is>
          <t>Five things that surprise PANTERA drivers</t>
        </is>
      </c>
      <c r="O588" s="42" t="inlineStr">
        <is>
          <t>Auction - Cost Cap</t>
        </is>
      </c>
      <c r="P588" s="42" t="inlineStr">
        <is>
          <t>Offsite Conversions</t>
        </is>
      </c>
      <c r="Q588" s="42" t="inlineStr">
        <is>
          <t>https://www.lepas-sa.co.za/offers/pantera</t>
        </is>
      </c>
      <c r="R588" s="115" t="n">
        <v>163.95</v>
      </c>
      <c r="S588" s="116" t="n">
        <v>1938</v>
      </c>
      <c r="T588" s="116" t="n">
        <v>1167</v>
      </c>
      <c r="U588" s="117">
        <f>IFERROR(S588/T588,"")</f>
        <v/>
      </c>
      <c r="V588" s="116" t="n">
        <v>32</v>
      </c>
      <c r="W588" s="116" t="n">
        <v>26</v>
      </c>
      <c r="X588" s="118">
        <f>IFERROR(W588/S588,"")</f>
        <v/>
      </c>
      <c r="Y588" s="115">
        <f>IFERROR(R588/W588,"")</f>
        <v/>
      </c>
      <c r="Z588" s="115">
        <f>IFERROR(R588/S588*1000,"")</f>
        <v/>
      </c>
      <c r="AA588" s="116" t="n">
        <v>21</v>
      </c>
      <c r="AB588" s="47">
        <f>IFERROR(AA588/W588,"")</f>
        <v/>
      </c>
      <c r="AC588" s="116" t="n">
        <v>0</v>
      </c>
      <c r="AD588" s="116" t="n">
        <v>0</v>
      </c>
      <c r="AE588" s="116" t="n">
        <v>0</v>
      </c>
      <c r="AF588" s="116" t="n">
        <v>0</v>
      </c>
      <c r="AG588" s="116" t="n">
        <v>0</v>
      </c>
      <c r="AH588" s="116" t="n">
        <v>0</v>
      </c>
      <c r="AI588" s="47">
        <f>IFERROR(AC588/S588,"")</f>
        <v/>
      </c>
      <c r="AJ588" s="47">
        <f>IFERROR(AH588/S588,"")</f>
        <v/>
      </c>
      <c r="AK588" s="116" t="n">
        <v>20</v>
      </c>
      <c r="AL588" s="116" t="n">
        <v>1</v>
      </c>
      <c r="AM588" s="118">
        <f>IFERROR(AL588/AA588,"")</f>
        <v/>
      </c>
      <c r="AN588" s="119">
        <f>IFERROR(R588/AL588,"")</f>
        <v/>
      </c>
      <c r="AO588" s="116" t="n">
        <v>0</v>
      </c>
      <c r="AP588" s="47">
        <f>IFERROR(AO588/AL588,"")</f>
        <v/>
      </c>
      <c r="AQ588" s="119">
        <f>IFERROR(R588/AO588,"")</f>
        <v/>
      </c>
      <c r="AR588" s="116" t="n">
        <v>0</v>
      </c>
      <c r="AS588" s="116" t="n">
        <v>0</v>
      </c>
      <c r="AT588" s="116">
        <f>AL588+AR588</f>
        <v/>
      </c>
      <c r="AU588" s="119">
        <f>IFERROR(AO588*Assumptions!$C$26*Assumptions!$C$27*INDEX(Assumptions!$C$18:$C$21,MATCH(H588,Assumptions!$B$18:$B$21,0)),0)</f>
        <v/>
      </c>
    </row>
    <row r="589">
      <c r="A589" s="114" t="n">
        <v>46259</v>
      </c>
      <c r="B589" s="42" t="inlineStr">
        <is>
          <t>Wk 35</t>
        </is>
      </c>
      <c r="C589" s="42" t="inlineStr">
        <is>
          <t>Tue</t>
        </is>
      </c>
      <c r="D589" s="42" t="inlineStr">
        <is>
          <t>Meta (FB/IG)</t>
        </is>
      </c>
      <c r="E589" s="42" t="inlineStr">
        <is>
          <t>Facebook + Instagram</t>
        </is>
      </c>
      <c r="F589" s="42" t="inlineStr">
        <is>
          <t>LEP_ZA_AUG26_META_TD_PANTERA_CONV</t>
        </is>
      </c>
      <c r="G589" s="42" t="inlineStr">
        <is>
          <t>Leads - Website Conversions</t>
        </is>
      </c>
      <c r="H589" s="42" t="inlineStr">
        <is>
          <t>PANTERA</t>
        </is>
      </c>
      <c r="I589" s="42" t="inlineStr">
        <is>
          <t>0% Deposit</t>
        </is>
      </c>
      <c r="J589" s="42" t="inlineStr">
        <is>
          <t>MET_PANTERA_LAL1_HIVAL_ZA</t>
        </is>
      </c>
      <c r="K589" s="42" t="inlineStr">
        <is>
          <t>Lookalike</t>
        </is>
      </c>
      <c r="L589" s="42" t="inlineStr">
        <is>
          <t>PANTERA_CAR_5card_Premium_v1</t>
        </is>
      </c>
      <c r="M589" s="42" t="inlineStr">
        <is>
          <t>Carousel</t>
        </is>
      </c>
      <c r="N589" s="42" t="inlineStr">
        <is>
          <t>Five things that surprise PANTERA drivers</t>
        </is>
      </c>
      <c r="O589" s="42" t="inlineStr">
        <is>
          <t>Auction - Cost Cap</t>
        </is>
      </c>
      <c r="P589" s="42" t="inlineStr">
        <is>
          <t>Offsite Conversions</t>
        </is>
      </c>
      <c r="Q589" s="42" t="inlineStr">
        <is>
          <t>https://www.lepas-sa.co.za/offers/pantera</t>
        </is>
      </c>
      <c r="R589" s="115" t="n">
        <v>170.86</v>
      </c>
      <c r="S589" s="116" t="n">
        <v>2379</v>
      </c>
      <c r="T589" s="116" t="n">
        <v>1207</v>
      </c>
      <c r="U589" s="117">
        <f>IFERROR(S589/T589,"")</f>
        <v/>
      </c>
      <c r="V589" s="116" t="n">
        <v>36</v>
      </c>
      <c r="W589" s="116" t="n">
        <v>28</v>
      </c>
      <c r="X589" s="118">
        <f>IFERROR(W589/S589,"")</f>
        <v/>
      </c>
      <c r="Y589" s="115">
        <f>IFERROR(R589/W589,"")</f>
        <v/>
      </c>
      <c r="Z589" s="115">
        <f>IFERROR(R589/S589*1000,"")</f>
        <v/>
      </c>
      <c r="AA589" s="116" t="n">
        <v>24</v>
      </c>
      <c r="AB589" s="47">
        <f>IFERROR(AA589/W589,"")</f>
        <v/>
      </c>
      <c r="AC589" s="116" t="n">
        <v>0</v>
      </c>
      <c r="AD589" s="116" t="n">
        <v>0</v>
      </c>
      <c r="AE589" s="116" t="n">
        <v>0</v>
      </c>
      <c r="AF589" s="116" t="n">
        <v>0</v>
      </c>
      <c r="AG589" s="116" t="n">
        <v>0</v>
      </c>
      <c r="AH589" s="116" t="n">
        <v>0</v>
      </c>
      <c r="AI589" s="47">
        <f>IFERROR(AC589/S589,"")</f>
        <v/>
      </c>
      <c r="AJ589" s="47">
        <f>IFERROR(AH589/S589,"")</f>
        <v/>
      </c>
      <c r="AK589" s="116" t="n">
        <v>73</v>
      </c>
      <c r="AL589" s="116" t="n">
        <v>1</v>
      </c>
      <c r="AM589" s="118">
        <f>IFERROR(AL589/AA589,"")</f>
        <v/>
      </c>
      <c r="AN589" s="119">
        <f>IFERROR(R589/AL589,"")</f>
        <v/>
      </c>
      <c r="AO589" s="116" t="n">
        <v>1</v>
      </c>
      <c r="AP589" s="47">
        <f>IFERROR(AO589/AL589,"")</f>
        <v/>
      </c>
      <c r="AQ589" s="119">
        <f>IFERROR(R589/AO589,"")</f>
        <v/>
      </c>
      <c r="AR589" s="116" t="n">
        <v>0</v>
      </c>
      <c r="AS589" s="116" t="n">
        <v>0</v>
      </c>
      <c r="AT589" s="116">
        <f>AL589+AR589</f>
        <v/>
      </c>
      <c r="AU589" s="119">
        <f>IFERROR(AO589*Assumptions!$C$26*Assumptions!$C$27*INDEX(Assumptions!$C$18:$C$21,MATCH(H589,Assumptions!$B$18:$B$21,0)),0)</f>
        <v/>
      </c>
    </row>
    <row r="590">
      <c r="A590" s="114" t="n">
        <v>46260</v>
      </c>
      <c r="B590" s="42" t="inlineStr">
        <is>
          <t>Wk 35</t>
        </is>
      </c>
      <c r="C590" s="42" t="inlineStr">
        <is>
          <t>Wed</t>
        </is>
      </c>
      <c r="D590" s="42" t="inlineStr">
        <is>
          <t>Meta (FB/IG)</t>
        </is>
      </c>
      <c r="E590" s="42" t="inlineStr">
        <is>
          <t>Facebook + Instagram</t>
        </is>
      </c>
      <c r="F590" s="42" t="inlineStr">
        <is>
          <t>LEP_ZA_AUG26_META_TD_PANTERA_CONV</t>
        </is>
      </c>
      <c r="G590" s="42" t="inlineStr">
        <is>
          <t>Leads - Website Conversions</t>
        </is>
      </c>
      <c r="H590" s="42" t="inlineStr">
        <is>
          <t>PANTERA</t>
        </is>
      </c>
      <c r="I590" s="42" t="inlineStr">
        <is>
          <t>0% Deposit</t>
        </is>
      </c>
      <c r="J590" s="42" t="inlineStr">
        <is>
          <t>MET_PANTERA_LAL1_HIVAL_ZA</t>
        </is>
      </c>
      <c r="K590" s="42" t="inlineStr">
        <is>
          <t>Lookalike</t>
        </is>
      </c>
      <c r="L590" s="42" t="inlineStr">
        <is>
          <t>PANTERA_CAR_5card_Premium_v1</t>
        </is>
      </c>
      <c r="M590" s="42" t="inlineStr">
        <is>
          <t>Carousel</t>
        </is>
      </c>
      <c r="N590" s="42" t="inlineStr">
        <is>
          <t>Five things that surprise PANTERA drivers</t>
        </is>
      </c>
      <c r="O590" s="42" t="inlineStr">
        <is>
          <t>Auction - Cost Cap</t>
        </is>
      </c>
      <c r="P590" s="42" t="inlineStr">
        <is>
          <t>Offsite Conversions</t>
        </is>
      </c>
      <c r="Q590" s="42" t="inlineStr">
        <is>
          <t>https://www.lepas-sa.co.za/offers/pantera</t>
        </is>
      </c>
      <c r="R590" s="115" t="n">
        <v>202.16</v>
      </c>
      <c r="S590" s="116" t="n">
        <v>2096</v>
      </c>
      <c r="T590" s="116" t="n">
        <v>1110</v>
      </c>
      <c r="U590" s="117">
        <f>IFERROR(S590/T590,"")</f>
        <v/>
      </c>
      <c r="V590" s="116" t="n">
        <v>18</v>
      </c>
      <c r="W590" s="116" t="n">
        <v>14</v>
      </c>
      <c r="X590" s="118">
        <f>IFERROR(W590/S590,"")</f>
        <v/>
      </c>
      <c r="Y590" s="115">
        <f>IFERROR(R590/W590,"")</f>
        <v/>
      </c>
      <c r="Z590" s="115">
        <f>IFERROR(R590/S590*1000,"")</f>
        <v/>
      </c>
      <c r="AA590" s="116" t="n">
        <v>12</v>
      </c>
      <c r="AB590" s="47">
        <f>IFERROR(AA590/W590,"")</f>
        <v/>
      </c>
      <c r="AC590" s="116" t="n">
        <v>0</v>
      </c>
      <c r="AD590" s="116" t="n">
        <v>0</v>
      </c>
      <c r="AE590" s="116" t="n">
        <v>0</v>
      </c>
      <c r="AF590" s="116" t="n">
        <v>0</v>
      </c>
      <c r="AG590" s="116" t="n">
        <v>0</v>
      </c>
      <c r="AH590" s="116" t="n">
        <v>0</v>
      </c>
      <c r="AI590" s="47">
        <f>IFERROR(AC590/S590,"")</f>
        <v/>
      </c>
      <c r="AJ590" s="47">
        <f>IFERROR(AH590/S590,"")</f>
        <v/>
      </c>
      <c r="AK590" s="116" t="n">
        <v>61</v>
      </c>
      <c r="AL590" s="116" t="n">
        <v>0</v>
      </c>
      <c r="AM590" s="118">
        <f>IFERROR(AL590/AA590,"")</f>
        <v/>
      </c>
      <c r="AN590" s="119">
        <f>IFERROR(R590/AL590,"")</f>
        <v/>
      </c>
      <c r="AO590" s="116" t="n">
        <v>0</v>
      </c>
      <c r="AP590" s="47">
        <f>IFERROR(AO590/AL590,"")</f>
        <v/>
      </c>
      <c r="AQ590" s="119">
        <f>IFERROR(R590/AO590,"")</f>
        <v/>
      </c>
      <c r="AR590" s="116" t="n">
        <v>0</v>
      </c>
      <c r="AS590" s="116" t="n">
        <v>0</v>
      </c>
      <c r="AT590" s="116">
        <f>AL590+AR590</f>
        <v/>
      </c>
      <c r="AU590" s="119">
        <f>IFERROR(AO590*Assumptions!$C$26*Assumptions!$C$27*INDEX(Assumptions!$C$18:$C$21,MATCH(H590,Assumptions!$B$18:$B$21,0)),0)</f>
        <v/>
      </c>
    </row>
    <row r="591">
      <c r="A591" s="114" t="n">
        <v>46261</v>
      </c>
      <c r="B591" s="42" t="inlineStr">
        <is>
          <t>Wk 35</t>
        </is>
      </c>
      <c r="C591" s="42" t="inlineStr">
        <is>
          <t>Thu</t>
        </is>
      </c>
      <c r="D591" s="42" t="inlineStr">
        <is>
          <t>Meta (FB/IG)</t>
        </is>
      </c>
      <c r="E591" s="42" t="inlineStr">
        <is>
          <t>Facebook + Instagram</t>
        </is>
      </c>
      <c r="F591" s="42" t="inlineStr">
        <is>
          <t>LEP_ZA_AUG26_META_TD_PANTERA_CONV</t>
        </is>
      </c>
      <c r="G591" s="42" t="inlineStr">
        <is>
          <t>Leads - Website Conversions</t>
        </is>
      </c>
      <c r="H591" s="42" t="inlineStr">
        <is>
          <t>PANTERA</t>
        </is>
      </c>
      <c r="I591" s="42" t="inlineStr">
        <is>
          <t>0% Deposit</t>
        </is>
      </c>
      <c r="J591" s="42" t="inlineStr">
        <is>
          <t>MET_PANTERA_LAL1_HIVAL_ZA</t>
        </is>
      </c>
      <c r="K591" s="42" t="inlineStr">
        <is>
          <t>Lookalike</t>
        </is>
      </c>
      <c r="L591" s="42" t="inlineStr">
        <is>
          <t>PANTERA_CAR_5card_Premium_v1</t>
        </is>
      </c>
      <c r="M591" s="42" t="inlineStr">
        <is>
          <t>Carousel</t>
        </is>
      </c>
      <c r="N591" s="42" t="inlineStr">
        <is>
          <t>Five things that surprise PANTERA drivers</t>
        </is>
      </c>
      <c r="O591" s="42" t="inlineStr">
        <is>
          <t>Auction - Cost Cap</t>
        </is>
      </c>
      <c r="P591" s="42" t="inlineStr">
        <is>
          <t>Offsite Conversions</t>
        </is>
      </c>
      <c r="Q591" s="42" t="inlineStr">
        <is>
          <t>https://www.lepas-sa.co.za/offers/pantera</t>
        </is>
      </c>
      <c r="R591" s="115" t="n">
        <v>235.43</v>
      </c>
      <c r="S591" s="116" t="n">
        <v>2972</v>
      </c>
      <c r="T591" s="116" t="n">
        <v>1760</v>
      </c>
      <c r="U591" s="117">
        <f>IFERROR(S591/T591,"")</f>
        <v/>
      </c>
      <c r="V591" s="116" t="n">
        <v>51</v>
      </c>
      <c r="W591" s="116" t="n">
        <v>39</v>
      </c>
      <c r="X591" s="118">
        <f>IFERROR(W591/S591,"")</f>
        <v/>
      </c>
      <c r="Y591" s="115">
        <f>IFERROR(R591/W591,"")</f>
        <v/>
      </c>
      <c r="Z591" s="115">
        <f>IFERROR(R591/S591*1000,"")</f>
        <v/>
      </c>
      <c r="AA591" s="116" t="n">
        <v>36</v>
      </c>
      <c r="AB591" s="47">
        <f>IFERROR(AA591/W591,"")</f>
        <v/>
      </c>
      <c r="AC591" s="116" t="n">
        <v>0</v>
      </c>
      <c r="AD591" s="116" t="n">
        <v>0</v>
      </c>
      <c r="AE591" s="116" t="n">
        <v>0</v>
      </c>
      <c r="AF591" s="116" t="n">
        <v>0</v>
      </c>
      <c r="AG591" s="116" t="n">
        <v>0</v>
      </c>
      <c r="AH591" s="116" t="n">
        <v>0</v>
      </c>
      <c r="AI591" s="47">
        <f>IFERROR(AC591/S591,"")</f>
        <v/>
      </c>
      <c r="AJ591" s="47">
        <f>IFERROR(AH591/S591,"")</f>
        <v/>
      </c>
      <c r="AK591" s="116" t="n">
        <v>90</v>
      </c>
      <c r="AL591" s="116" t="n">
        <v>0</v>
      </c>
      <c r="AM591" s="118">
        <f>IFERROR(AL591/AA591,"")</f>
        <v/>
      </c>
      <c r="AN591" s="119">
        <f>IFERROR(R591/AL591,"")</f>
        <v/>
      </c>
      <c r="AO591" s="116" t="n">
        <v>0</v>
      </c>
      <c r="AP591" s="47">
        <f>IFERROR(AO591/AL591,"")</f>
        <v/>
      </c>
      <c r="AQ591" s="119">
        <f>IFERROR(R591/AO591,"")</f>
        <v/>
      </c>
      <c r="AR591" s="116" t="n">
        <v>0</v>
      </c>
      <c r="AS591" s="116" t="n">
        <v>0</v>
      </c>
      <c r="AT591" s="116">
        <f>AL591+AR591</f>
        <v/>
      </c>
      <c r="AU591" s="119">
        <f>IFERROR(AO591*Assumptions!$C$26*Assumptions!$C$27*INDEX(Assumptions!$C$18:$C$21,MATCH(H591,Assumptions!$B$18:$B$21,0)),0)</f>
        <v/>
      </c>
    </row>
    <row r="592">
      <c r="A592" s="114" t="n">
        <v>46262</v>
      </c>
      <c r="B592" s="42" t="inlineStr">
        <is>
          <t>Wk 35</t>
        </is>
      </c>
      <c r="C592" s="42" t="inlineStr">
        <is>
          <t>Fri</t>
        </is>
      </c>
      <c r="D592" s="42" t="inlineStr">
        <is>
          <t>Meta (FB/IG)</t>
        </is>
      </c>
      <c r="E592" s="42" t="inlineStr">
        <is>
          <t>Facebook + Instagram</t>
        </is>
      </c>
      <c r="F592" s="42" t="inlineStr">
        <is>
          <t>LEP_ZA_AUG26_META_TD_PANTERA_CONV</t>
        </is>
      </c>
      <c r="G592" s="42" t="inlineStr">
        <is>
          <t>Leads - Website Conversions</t>
        </is>
      </c>
      <c r="H592" s="42" t="inlineStr">
        <is>
          <t>PANTERA</t>
        </is>
      </c>
      <c r="I592" s="42" t="inlineStr">
        <is>
          <t>0% Deposit</t>
        </is>
      </c>
      <c r="J592" s="42" t="inlineStr">
        <is>
          <t>MET_PANTERA_LAL1_HIVAL_ZA</t>
        </is>
      </c>
      <c r="K592" s="42" t="inlineStr">
        <is>
          <t>Lookalike</t>
        </is>
      </c>
      <c r="L592" s="42" t="inlineStr">
        <is>
          <t>PANTERA_CAR_5card_Premium_v1</t>
        </is>
      </c>
      <c r="M592" s="42" t="inlineStr">
        <is>
          <t>Carousel</t>
        </is>
      </c>
      <c r="N592" s="42" t="inlineStr">
        <is>
          <t>Five things that surprise PANTERA drivers</t>
        </is>
      </c>
      <c r="O592" s="42" t="inlineStr">
        <is>
          <t>Auction - Cost Cap</t>
        </is>
      </c>
      <c r="P592" s="42" t="inlineStr">
        <is>
          <t>Offsite Conversions</t>
        </is>
      </c>
      <c r="Q592" s="42" t="inlineStr">
        <is>
          <t>https://www.lepas-sa.co.za/offers/pantera</t>
        </is>
      </c>
      <c r="R592" s="115" t="n">
        <v>291.93</v>
      </c>
      <c r="S592" s="116" t="n">
        <v>3605</v>
      </c>
      <c r="T592" s="116" t="n">
        <v>2338</v>
      </c>
      <c r="U592" s="117">
        <f>IFERROR(S592/T592,"")</f>
        <v/>
      </c>
      <c r="V592" s="116" t="n">
        <v>52</v>
      </c>
      <c r="W592" s="116" t="n">
        <v>43</v>
      </c>
      <c r="X592" s="118">
        <f>IFERROR(W592/S592,"")</f>
        <v/>
      </c>
      <c r="Y592" s="115">
        <f>IFERROR(R592/W592,"")</f>
        <v/>
      </c>
      <c r="Z592" s="115">
        <f>IFERROR(R592/S592*1000,"")</f>
        <v/>
      </c>
      <c r="AA592" s="116" t="n">
        <v>36</v>
      </c>
      <c r="AB592" s="47">
        <f>IFERROR(AA592/W592,"")</f>
        <v/>
      </c>
      <c r="AC592" s="116" t="n">
        <v>0</v>
      </c>
      <c r="AD592" s="116" t="n">
        <v>0</v>
      </c>
      <c r="AE592" s="116" t="n">
        <v>0</v>
      </c>
      <c r="AF592" s="116" t="n">
        <v>0</v>
      </c>
      <c r="AG592" s="116" t="n">
        <v>0</v>
      </c>
      <c r="AH592" s="116" t="n">
        <v>0</v>
      </c>
      <c r="AI592" s="47">
        <f>IFERROR(AC592/S592,"")</f>
        <v/>
      </c>
      <c r="AJ592" s="47">
        <f>IFERROR(AH592/S592,"")</f>
        <v/>
      </c>
      <c r="AK592" s="116" t="n">
        <v>109</v>
      </c>
      <c r="AL592" s="116" t="n">
        <v>1</v>
      </c>
      <c r="AM592" s="118">
        <f>IFERROR(AL592/AA592,"")</f>
        <v/>
      </c>
      <c r="AN592" s="119">
        <f>IFERROR(R592/AL592,"")</f>
        <v/>
      </c>
      <c r="AO592" s="116" t="n">
        <v>1</v>
      </c>
      <c r="AP592" s="47">
        <f>IFERROR(AO592/AL592,"")</f>
        <v/>
      </c>
      <c r="AQ592" s="119">
        <f>IFERROR(R592/AO592,"")</f>
        <v/>
      </c>
      <c r="AR592" s="116" t="n">
        <v>0</v>
      </c>
      <c r="AS592" s="116" t="n">
        <v>1</v>
      </c>
      <c r="AT592" s="116">
        <f>AL592+AR592</f>
        <v/>
      </c>
      <c r="AU592" s="119">
        <f>IFERROR(AO592*Assumptions!$C$26*Assumptions!$C$27*INDEX(Assumptions!$C$18:$C$21,MATCH(H592,Assumptions!$B$18:$B$21,0)),0)</f>
        <v/>
      </c>
    </row>
    <row r="593">
      <c r="A593" s="114" t="n">
        <v>46263</v>
      </c>
      <c r="B593" s="42" t="inlineStr">
        <is>
          <t>Wk 35</t>
        </is>
      </c>
      <c r="C593" s="42" t="inlineStr">
        <is>
          <t>Sat</t>
        </is>
      </c>
      <c r="D593" s="42" t="inlineStr">
        <is>
          <t>Meta (FB/IG)</t>
        </is>
      </c>
      <c r="E593" s="42" t="inlineStr">
        <is>
          <t>Facebook + Instagram</t>
        </is>
      </c>
      <c r="F593" s="42" t="inlineStr">
        <is>
          <t>LEP_ZA_AUG26_META_TD_PANTERA_CONV</t>
        </is>
      </c>
      <c r="G593" s="42" t="inlineStr">
        <is>
          <t>Leads - Website Conversions</t>
        </is>
      </c>
      <c r="H593" s="42" t="inlineStr">
        <is>
          <t>PANTERA</t>
        </is>
      </c>
      <c r="I593" s="42" t="inlineStr">
        <is>
          <t>0% Deposit</t>
        </is>
      </c>
      <c r="J593" s="42" t="inlineStr">
        <is>
          <t>MET_PANTERA_LAL1_HIVAL_ZA</t>
        </is>
      </c>
      <c r="K593" s="42" t="inlineStr">
        <is>
          <t>Lookalike</t>
        </is>
      </c>
      <c r="L593" s="42" t="inlineStr">
        <is>
          <t>PANTERA_CAR_5card_Premium_v1</t>
        </is>
      </c>
      <c r="M593" s="42" t="inlineStr">
        <is>
          <t>Carousel</t>
        </is>
      </c>
      <c r="N593" s="42" t="inlineStr">
        <is>
          <t>Five things that surprise PANTERA drivers</t>
        </is>
      </c>
      <c r="O593" s="42" t="inlineStr">
        <is>
          <t>Auction - Cost Cap</t>
        </is>
      </c>
      <c r="P593" s="42" t="inlineStr">
        <is>
          <t>Offsite Conversions</t>
        </is>
      </c>
      <c r="Q593" s="42" t="inlineStr">
        <is>
          <t>https://www.lepas-sa.co.za/offers/pantera</t>
        </is>
      </c>
      <c r="R593" s="115" t="n">
        <v>304.41</v>
      </c>
      <c r="S593" s="116" t="n">
        <v>3162</v>
      </c>
      <c r="T593" s="116" t="n">
        <v>1558</v>
      </c>
      <c r="U593" s="117">
        <f>IFERROR(S593/T593,"")</f>
        <v/>
      </c>
      <c r="V593" s="116" t="n">
        <v>30</v>
      </c>
      <c r="W593" s="116" t="n">
        <v>25</v>
      </c>
      <c r="X593" s="118">
        <f>IFERROR(W593/S593,"")</f>
        <v/>
      </c>
      <c r="Y593" s="115">
        <f>IFERROR(R593/W593,"")</f>
        <v/>
      </c>
      <c r="Z593" s="115">
        <f>IFERROR(R593/S593*1000,"")</f>
        <v/>
      </c>
      <c r="AA593" s="116" t="n">
        <v>20</v>
      </c>
      <c r="AB593" s="47">
        <f>IFERROR(AA593/W593,"")</f>
        <v/>
      </c>
      <c r="AC593" s="116" t="n">
        <v>0</v>
      </c>
      <c r="AD593" s="116" t="n">
        <v>0</v>
      </c>
      <c r="AE593" s="116" t="n">
        <v>0</v>
      </c>
      <c r="AF593" s="116" t="n">
        <v>0</v>
      </c>
      <c r="AG593" s="116" t="n">
        <v>0</v>
      </c>
      <c r="AH593" s="116" t="n">
        <v>0</v>
      </c>
      <c r="AI593" s="47">
        <f>IFERROR(AC593/S593,"")</f>
        <v/>
      </c>
      <c r="AJ593" s="47">
        <f>IFERROR(AH593/S593,"")</f>
        <v/>
      </c>
      <c r="AK593" s="116" t="n">
        <v>81</v>
      </c>
      <c r="AL593" s="116" t="n">
        <v>1</v>
      </c>
      <c r="AM593" s="118">
        <f>IFERROR(AL593/AA593,"")</f>
        <v/>
      </c>
      <c r="AN593" s="119">
        <f>IFERROR(R593/AL593,"")</f>
        <v/>
      </c>
      <c r="AO593" s="116" t="n">
        <v>1</v>
      </c>
      <c r="AP593" s="47">
        <f>IFERROR(AO593/AL593,"")</f>
        <v/>
      </c>
      <c r="AQ593" s="119">
        <f>IFERROR(R593/AO593,"")</f>
        <v/>
      </c>
      <c r="AR593" s="116" t="n">
        <v>1</v>
      </c>
      <c r="AS593" s="116" t="n">
        <v>0</v>
      </c>
      <c r="AT593" s="116">
        <f>AL593+AR593</f>
        <v/>
      </c>
      <c r="AU593" s="119">
        <f>IFERROR(AO593*Assumptions!$C$26*Assumptions!$C$27*INDEX(Assumptions!$C$18:$C$21,MATCH(H593,Assumptions!$B$18:$B$21,0)),0)</f>
        <v/>
      </c>
    </row>
    <row r="594">
      <c r="A594" s="114" t="n">
        <v>46264</v>
      </c>
      <c r="B594" s="42" t="inlineStr">
        <is>
          <t>Wk 35</t>
        </is>
      </c>
      <c r="C594" s="42" t="inlineStr">
        <is>
          <t>Sun</t>
        </is>
      </c>
      <c r="D594" s="42" t="inlineStr">
        <is>
          <t>Meta (FB/IG)</t>
        </is>
      </c>
      <c r="E594" s="42" t="inlineStr">
        <is>
          <t>Facebook + Instagram</t>
        </is>
      </c>
      <c r="F594" s="42" t="inlineStr">
        <is>
          <t>LEP_ZA_AUG26_META_TD_PANTERA_CONV</t>
        </is>
      </c>
      <c r="G594" s="42" t="inlineStr">
        <is>
          <t>Leads - Website Conversions</t>
        </is>
      </c>
      <c r="H594" s="42" t="inlineStr">
        <is>
          <t>PANTERA</t>
        </is>
      </c>
      <c r="I594" s="42" t="inlineStr">
        <is>
          <t>0% Deposit</t>
        </is>
      </c>
      <c r="J594" s="42" t="inlineStr">
        <is>
          <t>MET_PANTERA_LAL1_HIVAL_ZA</t>
        </is>
      </c>
      <c r="K594" s="42" t="inlineStr">
        <is>
          <t>Lookalike</t>
        </is>
      </c>
      <c r="L594" s="42" t="inlineStr">
        <is>
          <t>PANTERA_CAR_5card_Premium_v1</t>
        </is>
      </c>
      <c r="M594" s="42" t="inlineStr">
        <is>
          <t>Carousel</t>
        </is>
      </c>
      <c r="N594" s="42" t="inlineStr">
        <is>
          <t>Five things that surprise PANTERA drivers</t>
        </is>
      </c>
      <c r="O594" s="42" t="inlineStr">
        <is>
          <t>Auction - Cost Cap</t>
        </is>
      </c>
      <c r="P594" s="42" t="inlineStr">
        <is>
          <t>Offsite Conversions</t>
        </is>
      </c>
      <c r="Q594" s="42" t="inlineStr">
        <is>
          <t>https://www.lepas-sa.co.za/offers/pantera</t>
        </is>
      </c>
      <c r="R594" s="115" t="n">
        <v>199.92</v>
      </c>
      <c r="S594" s="116" t="n">
        <v>2516</v>
      </c>
      <c r="T594" s="116" t="n">
        <v>1438</v>
      </c>
      <c r="U594" s="117">
        <f>IFERROR(S594/T594,"")</f>
        <v/>
      </c>
      <c r="V594" s="116" t="n">
        <v>34</v>
      </c>
      <c r="W594" s="116" t="n">
        <v>27</v>
      </c>
      <c r="X594" s="118">
        <f>IFERROR(W594/S594,"")</f>
        <v/>
      </c>
      <c r="Y594" s="115">
        <f>IFERROR(R594/W594,"")</f>
        <v/>
      </c>
      <c r="Z594" s="115">
        <f>IFERROR(R594/S594*1000,"")</f>
        <v/>
      </c>
      <c r="AA594" s="116" t="n">
        <v>24</v>
      </c>
      <c r="AB594" s="47">
        <f>IFERROR(AA594/W594,"")</f>
        <v/>
      </c>
      <c r="AC594" s="116" t="n">
        <v>0</v>
      </c>
      <c r="AD594" s="116" t="n">
        <v>0</v>
      </c>
      <c r="AE594" s="116" t="n">
        <v>0</v>
      </c>
      <c r="AF594" s="116" t="n">
        <v>0</v>
      </c>
      <c r="AG594" s="116" t="n">
        <v>0</v>
      </c>
      <c r="AH594" s="116" t="n">
        <v>0</v>
      </c>
      <c r="AI594" s="47">
        <f>IFERROR(AC594/S594,"")</f>
        <v/>
      </c>
      <c r="AJ594" s="47">
        <f>IFERROR(AH594/S594,"")</f>
        <v/>
      </c>
      <c r="AK594" s="116" t="n">
        <v>87</v>
      </c>
      <c r="AL594" s="116" t="n">
        <v>1</v>
      </c>
      <c r="AM594" s="118">
        <f>IFERROR(AL594/AA594,"")</f>
        <v/>
      </c>
      <c r="AN594" s="119">
        <f>IFERROR(R594/AL594,"")</f>
        <v/>
      </c>
      <c r="AO594" s="116" t="n">
        <v>0</v>
      </c>
      <c r="AP594" s="47">
        <f>IFERROR(AO594/AL594,"")</f>
        <v/>
      </c>
      <c r="AQ594" s="119">
        <f>IFERROR(R594/AO594,"")</f>
        <v/>
      </c>
      <c r="AR594" s="116" t="n">
        <v>0</v>
      </c>
      <c r="AS594" s="116" t="n">
        <v>1</v>
      </c>
      <c r="AT594" s="116">
        <f>AL594+AR594</f>
        <v/>
      </c>
      <c r="AU594" s="119">
        <f>IFERROR(AO594*Assumptions!$C$26*Assumptions!$C$27*INDEX(Assumptions!$C$18:$C$21,MATCH(H594,Assumptions!$B$18:$B$21,0)),0)</f>
        <v/>
      </c>
    </row>
    <row r="595">
      <c r="A595" s="114" t="n">
        <v>46265</v>
      </c>
      <c r="B595" s="42" t="inlineStr">
        <is>
          <t>Wk 36</t>
        </is>
      </c>
      <c r="C595" s="42" t="inlineStr">
        <is>
          <t>Mon</t>
        </is>
      </c>
      <c r="D595" s="42" t="inlineStr">
        <is>
          <t>Meta (FB/IG)</t>
        </is>
      </c>
      <c r="E595" s="42" t="inlineStr">
        <is>
          <t>Facebook + Instagram</t>
        </is>
      </c>
      <c r="F595" s="42" t="inlineStr">
        <is>
          <t>LEP_ZA_AUG26_META_TD_PANTERA_CONV</t>
        </is>
      </c>
      <c r="G595" s="42" t="inlineStr">
        <is>
          <t>Leads - Website Conversions</t>
        </is>
      </c>
      <c r="H595" s="42" t="inlineStr">
        <is>
          <t>PANTERA</t>
        </is>
      </c>
      <c r="I595" s="42" t="inlineStr">
        <is>
          <t>0% Deposit</t>
        </is>
      </c>
      <c r="J595" s="42" t="inlineStr">
        <is>
          <t>MET_PANTERA_LAL1_HIVAL_ZA</t>
        </is>
      </c>
      <c r="K595" s="42" t="inlineStr">
        <is>
          <t>Lookalike</t>
        </is>
      </c>
      <c r="L595" s="42" t="inlineStr">
        <is>
          <t>PANTERA_CAR_5card_Premium_v1</t>
        </is>
      </c>
      <c r="M595" s="42" t="inlineStr">
        <is>
          <t>Carousel</t>
        </is>
      </c>
      <c r="N595" s="42" t="inlineStr">
        <is>
          <t>Five things that surprise PANTERA drivers</t>
        </is>
      </c>
      <c r="O595" s="42" t="inlineStr">
        <is>
          <t>Auction - Cost Cap</t>
        </is>
      </c>
      <c r="P595" s="42" t="inlineStr">
        <is>
          <t>Offsite Conversions</t>
        </is>
      </c>
      <c r="Q595" s="42" t="inlineStr">
        <is>
          <t>https://www.lepas-sa.co.za/offers/pantera</t>
        </is>
      </c>
      <c r="R595" s="115" t="n">
        <v>187.31</v>
      </c>
      <c r="S595" s="116" t="n">
        <v>1820</v>
      </c>
      <c r="T595" s="116" t="n">
        <v>981</v>
      </c>
      <c r="U595" s="117">
        <f>IFERROR(S595/T595,"")</f>
        <v/>
      </c>
      <c r="V595" s="116" t="n">
        <v>32</v>
      </c>
      <c r="W595" s="116" t="n">
        <v>25</v>
      </c>
      <c r="X595" s="118">
        <f>IFERROR(W595/S595,"")</f>
        <v/>
      </c>
      <c r="Y595" s="115">
        <f>IFERROR(R595/W595,"")</f>
        <v/>
      </c>
      <c r="Z595" s="115">
        <f>IFERROR(R595/S595*1000,"")</f>
        <v/>
      </c>
      <c r="AA595" s="116" t="n">
        <v>22</v>
      </c>
      <c r="AB595" s="47">
        <f>IFERROR(AA595/W595,"")</f>
        <v/>
      </c>
      <c r="AC595" s="116" t="n">
        <v>0</v>
      </c>
      <c r="AD595" s="116" t="n">
        <v>0</v>
      </c>
      <c r="AE595" s="116" t="n">
        <v>0</v>
      </c>
      <c r="AF595" s="116" t="n">
        <v>0</v>
      </c>
      <c r="AG595" s="116" t="n">
        <v>0</v>
      </c>
      <c r="AH595" s="116" t="n">
        <v>0</v>
      </c>
      <c r="AI595" s="47">
        <f>IFERROR(AC595/S595,"")</f>
        <v/>
      </c>
      <c r="AJ595" s="47">
        <f>IFERROR(AH595/S595,"")</f>
        <v/>
      </c>
      <c r="AK595" s="116" t="n">
        <v>41</v>
      </c>
      <c r="AL595" s="116" t="n">
        <v>0</v>
      </c>
      <c r="AM595" s="118">
        <f>IFERROR(AL595/AA595,"")</f>
        <v/>
      </c>
      <c r="AN595" s="119">
        <f>IFERROR(R595/AL595,"")</f>
        <v/>
      </c>
      <c r="AO595" s="116" t="n">
        <v>0</v>
      </c>
      <c r="AP595" s="47">
        <f>IFERROR(AO595/AL595,"")</f>
        <v/>
      </c>
      <c r="AQ595" s="119">
        <f>IFERROR(R595/AO595,"")</f>
        <v/>
      </c>
      <c r="AR595" s="116" t="n">
        <v>0</v>
      </c>
      <c r="AS595" s="116" t="n">
        <v>0</v>
      </c>
      <c r="AT595" s="116">
        <f>AL595+AR595</f>
        <v/>
      </c>
      <c r="AU595" s="119">
        <f>IFERROR(AO595*Assumptions!$C$26*Assumptions!$C$27*INDEX(Assumptions!$C$18:$C$21,MATCH(H595,Assumptions!$B$18:$B$21,0)),0)</f>
        <v/>
      </c>
    </row>
    <row r="596">
      <c r="A596" s="114" t="n">
        <v>46235</v>
      </c>
      <c r="B596" s="42" t="inlineStr">
        <is>
          <t>Wk 31</t>
        </is>
      </c>
      <c r="C596" s="42" t="inlineStr">
        <is>
          <t>Sat</t>
        </is>
      </c>
      <c r="D596" s="42" t="inlineStr">
        <is>
          <t>Meta (FB/IG)</t>
        </is>
      </c>
      <c r="E596" s="42" t="inlineStr">
        <is>
          <t>Facebook + Instagram</t>
        </is>
      </c>
      <c r="F596" s="42" t="inlineStr">
        <is>
          <t>LEP_ZA_AUG26_META_TD_PANTERA_CONV</t>
        </is>
      </c>
      <c r="G596" s="42" t="inlineStr">
        <is>
          <t>Leads - Website Conversions</t>
        </is>
      </c>
      <c r="H596" s="42" t="inlineStr">
        <is>
          <t>PANTERA</t>
        </is>
      </c>
      <c r="I596" s="42" t="inlineStr">
        <is>
          <t>0% Deposit</t>
        </is>
      </c>
      <c r="J596" s="42" t="inlineStr">
        <is>
          <t>MET_PANTERA_LAL1_HIVAL_ZA</t>
        </is>
      </c>
      <c r="K596" s="42" t="inlineStr">
        <is>
          <t>Lookalike</t>
        </is>
      </c>
      <c r="L596" s="42" t="inlineStr">
        <is>
          <t>PANTERA_VID_25s_Flagship_v1</t>
        </is>
      </c>
      <c r="M596" s="42" t="inlineStr">
        <is>
          <t>Video 9:16</t>
        </is>
      </c>
      <c r="N596" s="42" t="inlineStr">
        <is>
          <t>The flagship, without the flagship price</t>
        </is>
      </c>
      <c r="O596" s="42" t="inlineStr">
        <is>
          <t>Auction - Cost Cap</t>
        </is>
      </c>
      <c r="P596" s="42" t="inlineStr">
        <is>
          <t>Offsite Conversions</t>
        </is>
      </c>
      <c r="Q596" s="42" t="inlineStr">
        <is>
          <t>https://www.lepas-sa.co.za/offers/pantera</t>
        </is>
      </c>
      <c r="R596" s="115" t="n">
        <v>178.92</v>
      </c>
      <c r="S596" s="116" t="n">
        <v>2479</v>
      </c>
      <c r="T596" s="116" t="n">
        <v>1713</v>
      </c>
      <c r="U596" s="117">
        <f>IFERROR(S596/T596,"")</f>
        <v/>
      </c>
      <c r="V596" s="116" t="n">
        <v>79</v>
      </c>
      <c r="W596" s="116" t="n">
        <v>58</v>
      </c>
      <c r="X596" s="118">
        <f>IFERROR(W596/S596,"")</f>
        <v/>
      </c>
      <c r="Y596" s="115">
        <f>IFERROR(R596/W596,"")</f>
        <v/>
      </c>
      <c r="Z596" s="115">
        <f>IFERROR(R596/S596*1000,"")</f>
        <v/>
      </c>
      <c r="AA596" s="116" t="n">
        <v>49</v>
      </c>
      <c r="AB596" s="47">
        <f>IFERROR(AA596/W596,"")</f>
        <v/>
      </c>
      <c r="AC596" s="116" t="n">
        <v>809</v>
      </c>
      <c r="AD596" s="116" t="n">
        <v>479</v>
      </c>
      <c r="AE596" s="116" t="n">
        <v>397</v>
      </c>
      <c r="AF596" s="116" t="n">
        <v>226</v>
      </c>
      <c r="AG596" s="116" t="n">
        <v>156</v>
      </c>
      <c r="AH596" s="116" t="n">
        <v>114</v>
      </c>
      <c r="AI596" s="47">
        <f>IFERROR(AC596/S596,"")</f>
        <v/>
      </c>
      <c r="AJ596" s="47">
        <f>IFERROR(AH596/S596,"")</f>
        <v/>
      </c>
      <c r="AK596" s="116" t="n">
        <v>72</v>
      </c>
      <c r="AL596" s="116" t="n">
        <v>1</v>
      </c>
      <c r="AM596" s="118">
        <f>IFERROR(AL596/AA596,"")</f>
        <v/>
      </c>
      <c r="AN596" s="119">
        <f>IFERROR(R596/AL596,"")</f>
        <v/>
      </c>
      <c r="AO596" s="116" t="n">
        <v>1</v>
      </c>
      <c r="AP596" s="47">
        <f>IFERROR(AO596/AL596,"")</f>
        <v/>
      </c>
      <c r="AQ596" s="119">
        <f>IFERROR(R596/AO596,"")</f>
        <v/>
      </c>
      <c r="AR596" s="116" t="n">
        <v>1</v>
      </c>
      <c r="AS596" s="116" t="n">
        <v>1</v>
      </c>
      <c r="AT596" s="116">
        <f>AL596+AR596</f>
        <v/>
      </c>
      <c r="AU596" s="119">
        <f>IFERROR(AO596*Assumptions!$C$26*Assumptions!$C$27*INDEX(Assumptions!$C$18:$C$21,MATCH(H596,Assumptions!$B$18:$B$21,0)),0)</f>
        <v/>
      </c>
    </row>
    <row r="597">
      <c r="A597" s="114" t="n">
        <v>46236</v>
      </c>
      <c r="B597" s="42" t="inlineStr">
        <is>
          <t>Wk 31</t>
        </is>
      </c>
      <c r="C597" s="42" t="inlineStr">
        <is>
          <t>Sun</t>
        </is>
      </c>
      <c r="D597" s="42" t="inlineStr">
        <is>
          <t>Meta (FB/IG)</t>
        </is>
      </c>
      <c r="E597" s="42" t="inlineStr">
        <is>
          <t>Facebook + Instagram</t>
        </is>
      </c>
      <c r="F597" s="42" t="inlineStr">
        <is>
          <t>LEP_ZA_AUG26_META_TD_PANTERA_CONV</t>
        </is>
      </c>
      <c r="G597" s="42" t="inlineStr">
        <is>
          <t>Leads - Website Conversions</t>
        </is>
      </c>
      <c r="H597" s="42" t="inlineStr">
        <is>
          <t>PANTERA</t>
        </is>
      </c>
      <c r="I597" s="42" t="inlineStr">
        <is>
          <t>0% Deposit</t>
        </is>
      </c>
      <c r="J597" s="42" t="inlineStr">
        <is>
          <t>MET_PANTERA_LAL1_HIVAL_ZA</t>
        </is>
      </c>
      <c r="K597" s="42" t="inlineStr">
        <is>
          <t>Lookalike</t>
        </is>
      </c>
      <c r="L597" s="42" t="inlineStr">
        <is>
          <t>PANTERA_VID_25s_Flagship_v1</t>
        </is>
      </c>
      <c r="M597" s="42" t="inlineStr">
        <is>
          <t>Video 9:16</t>
        </is>
      </c>
      <c r="N597" s="42" t="inlineStr">
        <is>
          <t>The flagship, without the flagship price</t>
        </is>
      </c>
      <c r="O597" s="42" t="inlineStr">
        <is>
          <t>Auction - Cost Cap</t>
        </is>
      </c>
      <c r="P597" s="42" t="inlineStr">
        <is>
          <t>Offsite Conversions</t>
        </is>
      </c>
      <c r="Q597" s="42" t="inlineStr">
        <is>
          <t>https://www.lepas-sa.co.za/offers/pantera</t>
        </is>
      </c>
      <c r="R597" s="115" t="n">
        <v>114.5</v>
      </c>
      <c r="S597" s="116" t="n">
        <v>1682</v>
      </c>
      <c r="T597" s="116" t="n">
        <v>1163</v>
      </c>
      <c r="U597" s="117">
        <f>IFERROR(S597/T597,"")</f>
        <v/>
      </c>
      <c r="V597" s="116" t="n">
        <v>52</v>
      </c>
      <c r="W597" s="116" t="n">
        <v>40</v>
      </c>
      <c r="X597" s="118">
        <f>IFERROR(W597/S597,"")</f>
        <v/>
      </c>
      <c r="Y597" s="115">
        <f>IFERROR(R597/W597,"")</f>
        <v/>
      </c>
      <c r="Z597" s="115">
        <f>IFERROR(R597/S597*1000,"")</f>
        <v/>
      </c>
      <c r="AA597" s="116" t="n">
        <v>35</v>
      </c>
      <c r="AB597" s="47">
        <f>IFERROR(AA597/W597,"")</f>
        <v/>
      </c>
      <c r="AC597" s="116" t="n">
        <v>652</v>
      </c>
      <c r="AD597" s="116" t="n">
        <v>378</v>
      </c>
      <c r="AE597" s="116" t="n">
        <v>298</v>
      </c>
      <c r="AF597" s="116" t="n">
        <v>157</v>
      </c>
      <c r="AG597" s="116" t="n">
        <v>118</v>
      </c>
      <c r="AH597" s="116" t="n">
        <v>85</v>
      </c>
      <c r="AI597" s="47">
        <f>IFERROR(AC597/S597,"")</f>
        <v/>
      </c>
      <c r="AJ597" s="47">
        <f>IFERROR(AH597/S597,"")</f>
        <v/>
      </c>
      <c r="AK597" s="116" t="n">
        <v>24</v>
      </c>
      <c r="AL597" s="116" t="n">
        <v>1</v>
      </c>
      <c r="AM597" s="118">
        <f>IFERROR(AL597/AA597,"")</f>
        <v/>
      </c>
      <c r="AN597" s="119">
        <f>IFERROR(R597/AL597,"")</f>
        <v/>
      </c>
      <c r="AO597" s="116" t="n">
        <v>0</v>
      </c>
      <c r="AP597" s="47">
        <f>IFERROR(AO597/AL597,"")</f>
        <v/>
      </c>
      <c r="AQ597" s="119">
        <f>IFERROR(R597/AO597,"")</f>
        <v/>
      </c>
      <c r="AR597" s="116" t="n">
        <v>0</v>
      </c>
      <c r="AS597" s="116" t="n">
        <v>0</v>
      </c>
      <c r="AT597" s="116">
        <f>AL597+AR597</f>
        <v/>
      </c>
      <c r="AU597" s="119">
        <f>IFERROR(AO597*Assumptions!$C$26*Assumptions!$C$27*INDEX(Assumptions!$C$18:$C$21,MATCH(H597,Assumptions!$B$18:$B$21,0)),0)</f>
        <v/>
      </c>
    </row>
    <row r="598">
      <c r="A598" s="114" t="n">
        <v>46237</v>
      </c>
      <c r="B598" s="42" t="inlineStr">
        <is>
          <t>Wk 32</t>
        </is>
      </c>
      <c r="C598" s="42" t="inlineStr">
        <is>
          <t>Mon</t>
        </is>
      </c>
      <c r="D598" s="42" t="inlineStr">
        <is>
          <t>Meta (FB/IG)</t>
        </is>
      </c>
      <c r="E598" s="42" t="inlineStr">
        <is>
          <t>Facebook + Instagram</t>
        </is>
      </c>
      <c r="F598" s="42" t="inlineStr">
        <is>
          <t>LEP_ZA_AUG26_META_TD_PANTERA_CONV</t>
        </is>
      </c>
      <c r="G598" s="42" t="inlineStr">
        <is>
          <t>Leads - Website Conversions</t>
        </is>
      </c>
      <c r="H598" s="42" t="inlineStr">
        <is>
          <t>PANTERA</t>
        </is>
      </c>
      <c r="I598" s="42" t="inlineStr">
        <is>
          <t>0% Deposit</t>
        </is>
      </c>
      <c r="J598" s="42" t="inlineStr">
        <is>
          <t>MET_PANTERA_LAL1_HIVAL_ZA</t>
        </is>
      </c>
      <c r="K598" s="42" t="inlineStr">
        <is>
          <t>Lookalike</t>
        </is>
      </c>
      <c r="L598" s="42" t="inlineStr">
        <is>
          <t>PANTERA_VID_25s_Flagship_v1</t>
        </is>
      </c>
      <c r="M598" s="42" t="inlineStr">
        <is>
          <t>Video 9:16</t>
        </is>
      </c>
      <c r="N598" s="42" t="inlineStr">
        <is>
          <t>The flagship, without the flagship price</t>
        </is>
      </c>
      <c r="O598" s="42" t="inlineStr">
        <is>
          <t>Auction - Cost Cap</t>
        </is>
      </c>
      <c r="P598" s="42" t="inlineStr">
        <is>
          <t>Offsite Conversions</t>
        </is>
      </c>
      <c r="Q598" s="42" t="inlineStr">
        <is>
          <t>https://www.lepas-sa.co.za/offers/pantera</t>
        </is>
      </c>
      <c r="R598" s="115" t="n">
        <v>119.31</v>
      </c>
      <c r="S598" s="116" t="n">
        <v>1957</v>
      </c>
      <c r="T598" s="116" t="n">
        <v>1329</v>
      </c>
      <c r="U598" s="117">
        <f>IFERROR(S598/T598,"")</f>
        <v/>
      </c>
      <c r="V598" s="116" t="n">
        <v>51</v>
      </c>
      <c r="W598" s="116" t="n">
        <v>38</v>
      </c>
      <c r="X598" s="118">
        <f>IFERROR(W598/S598,"")</f>
        <v/>
      </c>
      <c r="Y598" s="115">
        <f>IFERROR(R598/W598,"")</f>
        <v/>
      </c>
      <c r="Z598" s="115">
        <f>IFERROR(R598/S598*1000,"")</f>
        <v/>
      </c>
      <c r="AA598" s="116" t="n">
        <v>34</v>
      </c>
      <c r="AB598" s="47">
        <f>IFERROR(AA598/W598,"")</f>
        <v/>
      </c>
      <c r="AC598" s="116" t="n">
        <v>666</v>
      </c>
      <c r="AD598" s="116" t="n">
        <v>401</v>
      </c>
      <c r="AE598" s="116" t="n">
        <v>241</v>
      </c>
      <c r="AF598" s="116" t="n">
        <v>153</v>
      </c>
      <c r="AG598" s="116" t="n">
        <v>120</v>
      </c>
      <c r="AH598" s="116" t="n">
        <v>76</v>
      </c>
      <c r="AI598" s="47">
        <f>IFERROR(AC598/S598,"")</f>
        <v/>
      </c>
      <c r="AJ598" s="47">
        <f>IFERROR(AH598/S598,"")</f>
        <v/>
      </c>
      <c r="AK598" s="116" t="n">
        <v>40</v>
      </c>
      <c r="AL598" s="116" t="n">
        <v>0</v>
      </c>
      <c r="AM598" s="118">
        <f>IFERROR(AL598/AA598,"")</f>
        <v/>
      </c>
      <c r="AN598" s="119">
        <f>IFERROR(R598/AL598,"")</f>
        <v/>
      </c>
      <c r="AO598" s="116" t="n">
        <v>0</v>
      </c>
      <c r="AP598" s="47">
        <f>IFERROR(AO598/AL598,"")</f>
        <v/>
      </c>
      <c r="AQ598" s="119">
        <f>IFERROR(R598/AO598,"")</f>
        <v/>
      </c>
      <c r="AR598" s="116" t="n">
        <v>0</v>
      </c>
      <c r="AS598" s="116" t="n">
        <v>0</v>
      </c>
      <c r="AT598" s="116">
        <f>AL598+AR598</f>
        <v/>
      </c>
      <c r="AU598" s="119">
        <f>IFERROR(AO598*Assumptions!$C$26*Assumptions!$C$27*INDEX(Assumptions!$C$18:$C$21,MATCH(H598,Assumptions!$B$18:$B$21,0)),0)</f>
        <v/>
      </c>
    </row>
    <row r="599">
      <c r="A599" s="114" t="n">
        <v>46238</v>
      </c>
      <c r="B599" s="42" t="inlineStr">
        <is>
          <t>Wk 32</t>
        </is>
      </c>
      <c r="C599" s="42" t="inlineStr">
        <is>
          <t>Tue</t>
        </is>
      </c>
      <c r="D599" s="42" t="inlineStr">
        <is>
          <t>Meta (FB/IG)</t>
        </is>
      </c>
      <c r="E599" s="42" t="inlineStr">
        <is>
          <t>Facebook + Instagram</t>
        </is>
      </c>
      <c r="F599" s="42" t="inlineStr">
        <is>
          <t>LEP_ZA_AUG26_META_TD_PANTERA_CONV</t>
        </is>
      </c>
      <c r="G599" s="42" t="inlineStr">
        <is>
          <t>Leads - Website Conversions</t>
        </is>
      </c>
      <c r="H599" s="42" t="inlineStr">
        <is>
          <t>PANTERA</t>
        </is>
      </c>
      <c r="I599" s="42" t="inlineStr">
        <is>
          <t>0% Deposit</t>
        </is>
      </c>
      <c r="J599" s="42" t="inlineStr">
        <is>
          <t>MET_PANTERA_LAL1_HIVAL_ZA</t>
        </is>
      </c>
      <c r="K599" s="42" t="inlineStr">
        <is>
          <t>Lookalike</t>
        </is>
      </c>
      <c r="L599" s="42" t="inlineStr">
        <is>
          <t>PANTERA_VID_25s_Flagship_v1</t>
        </is>
      </c>
      <c r="M599" s="42" t="inlineStr">
        <is>
          <t>Video 9:16</t>
        </is>
      </c>
      <c r="N599" s="42" t="inlineStr">
        <is>
          <t>The flagship, without the flagship price</t>
        </is>
      </c>
      <c r="O599" s="42" t="inlineStr">
        <is>
          <t>Auction - Cost Cap</t>
        </is>
      </c>
      <c r="P599" s="42" t="inlineStr">
        <is>
          <t>Offsite Conversions</t>
        </is>
      </c>
      <c r="Q599" s="42" t="inlineStr">
        <is>
          <t>https://www.lepas-sa.co.za/offers/pantera</t>
        </is>
      </c>
      <c r="R599" s="115" t="n">
        <v>137.77</v>
      </c>
      <c r="S599" s="116" t="n">
        <v>1763</v>
      </c>
      <c r="T599" s="116" t="n">
        <v>1297</v>
      </c>
      <c r="U599" s="117">
        <f>IFERROR(S599/T599,"")</f>
        <v/>
      </c>
      <c r="V599" s="116" t="n">
        <v>48</v>
      </c>
      <c r="W599" s="116" t="n">
        <v>34</v>
      </c>
      <c r="X599" s="118">
        <f>IFERROR(W599/S599,"")</f>
        <v/>
      </c>
      <c r="Y599" s="115">
        <f>IFERROR(R599/W599,"")</f>
        <v/>
      </c>
      <c r="Z599" s="115">
        <f>IFERROR(R599/S599*1000,"")</f>
        <v/>
      </c>
      <c r="AA599" s="116" t="n">
        <v>29</v>
      </c>
      <c r="AB599" s="47">
        <f>IFERROR(AA599/W599,"")</f>
        <v/>
      </c>
      <c r="AC599" s="116" t="n">
        <v>389</v>
      </c>
      <c r="AD599" s="116" t="n">
        <v>228</v>
      </c>
      <c r="AE599" s="116" t="n">
        <v>185</v>
      </c>
      <c r="AF599" s="116" t="n">
        <v>125</v>
      </c>
      <c r="AG599" s="116" t="n">
        <v>94</v>
      </c>
      <c r="AH599" s="116" t="n">
        <v>61</v>
      </c>
      <c r="AI599" s="47">
        <f>IFERROR(AC599/S599,"")</f>
        <v/>
      </c>
      <c r="AJ599" s="47">
        <f>IFERROR(AH599/S599,"")</f>
        <v/>
      </c>
      <c r="AK599" s="116" t="n">
        <v>54</v>
      </c>
      <c r="AL599" s="116" t="n">
        <v>1</v>
      </c>
      <c r="AM599" s="118">
        <f>IFERROR(AL599/AA599,"")</f>
        <v/>
      </c>
      <c r="AN599" s="119">
        <f>IFERROR(R599/AL599,"")</f>
        <v/>
      </c>
      <c r="AO599" s="116" t="n">
        <v>0</v>
      </c>
      <c r="AP599" s="47">
        <f>IFERROR(AO599/AL599,"")</f>
        <v/>
      </c>
      <c r="AQ599" s="119">
        <f>IFERROR(R599/AO599,"")</f>
        <v/>
      </c>
      <c r="AR599" s="116" t="n">
        <v>1</v>
      </c>
      <c r="AS599" s="116" t="n">
        <v>0</v>
      </c>
      <c r="AT599" s="116">
        <f>AL599+AR599</f>
        <v/>
      </c>
      <c r="AU599" s="119">
        <f>IFERROR(AO599*Assumptions!$C$26*Assumptions!$C$27*INDEX(Assumptions!$C$18:$C$21,MATCH(H599,Assumptions!$B$18:$B$21,0)),0)</f>
        <v/>
      </c>
    </row>
    <row r="600">
      <c r="A600" s="114" t="n">
        <v>46239</v>
      </c>
      <c r="B600" s="42" t="inlineStr">
        <is>
          <t>Wk 32</t>
        </is>
      </c>
      <c r="C600" s="42" t="inlineStr">
        <is>
          <t>Wed</t>
        </is>
      </c>
      <c r="D600" s="42" t="inlineStr">
        <is>
          <t>Meta (FB/IG)</t>
        </is>
      </c>
      <c r="E600" s="42" t="inlineStr">
        <is>
          <t>Facebook + Instagram</t>
        </is>
      </c>
      <c r="F600" s="42" t="inlineStr">
        <is>
          <t>LEP_ZA_AUG26_META_TD_PANTERA_CONV</t>
        </is>
      </c>
      <c r="G600" s="42" t="inlineStr">
        <is>
          <t>Leads - Website Conversions</t>
        </is>
      </c>
      <c r="H600" s="42" t="inlineStr">
        <is>
          <t>PANTERA</t>
        </is>
      </c>
      <c r="I600" s="42" t="inlineStr">
        <is>
          <t>0% Deposit</t>
        </is>
      </c>
      <c r="J600" s="42" t="inlineStr">
        <is>
          <t>MET_PANTERA_LAL1_HIVAL_ZA</t>
        </is>
      </c>
      <c r="K600" s="42" t="inlineStr">
        <is>
          <t>Lookalike</t>
        </is>
      </c>
      <c r="L600" s="42" t="inlineStr">
        <is>
          <t>PANTERA_VID_25s_Flagship_v1</t>
        </is>
      </c>
      <c r="M600" s="42" t="inlineStr">
        <is>
          <t>Video 9:16</t>
        </is>
      </c>
      <c r="N600" s="42" t="inlineStr">
        <is>
          <t>The flagship, without the flagship price</t>
        </is>
      </c>
      <c r="O600" s="42" t="inlineStr">
        <is>
          <t>Auction - Cost Cap</t>
        </is>
      </c>
      <c r="P600" s="42" t="inlineStr">
        <is>
          <t>Offsite Conversions</t>
        </is>
      </c>
      <c r="Q600" s="42" t="inlineStr">
        <is>
          <t>https://www.lepas-sa.co.za/offers/pantera</t>
        </is>
      </c>
      <c r="R600" s="115" t="n">
        <v>156.6</v>
      </c>
      <c r="S600" s="116" t="n">
        <v>1748</v>
      </c>
      <c r="T600" s="116" t="n">
        <v>1114</v>
      </c>
      <c r="U600" s="117">
        <f>IFERROR(S600/T600,"")</f>
        <v/>
      </c>
      <c r="V600" s="116" t="n">
        <v>35</v>
      </c>
      <c r="W600" s="116" t="n">
        <v>27</v>
      </c>
      <c r="X600" s="118">
        <f>IFERROR(W600/S600,"")</f>
        <v/>
      </c>
      <c r="Y600" s="115">
        <f>IFERROR(R600/W600,"")</f>
        <v/>
      </c>
      <c r="Z600" s="115">
        <f>IFERROR(R600/S600*1000,"")</f>
        <v/>
      </c>
      <c r="AA600" s="116" t="n">
        <v>24</v>
      </c>
      <c r="AB600" s="47">
        <f>IFERROR(AA600/W600,"")</f>
        <v/>
      </c>
      <c r="AC600" s="116" t="n">
        <v>703</v>
      </c>
      <c r="AD600" s="116" t="n">
        <v>323</v>
      </c>
      <c r="AE600" s="116" t="n">
        <v>367</v>
      </c>
      <c r="AF600" s="116" t="n">
        <v>242</v>
      </c>
      <c r="AG600" s="116" t="n">
        <v>172</v>
      </c>
      <c r="AH600" s="116" t="n">
        <v>110</v>
      </c>
      <c r="AI600" s="47">
        <f>IFERROR(AC600/S600,"")</f>
        <v/>
      </c>
      <c r="AJ600" s="47">
        <f>IFERROR(AH600/S600,"")</f>
        <v/>
      </c>
      <c r="AK600" s="116" t="n">
        <v>29</v>
      </c>
      <c r="AL600" s="116" t="n">
        <v>1</v>
      </c>
      <c r="AM600" s="118">
        <f>IFERROR(AL600/AA600,"")</f>
        <v/>
      </c>
      <c r="AN600" s="119">
        <f>IFERROR(R600/AL600,"")</f>
        <v/>
      </c>
      <c r="AO600" s="116" t="n">
        <v>0</v>
      </c>
      <c r="AP600" s="47">
        <f>IFERROR(AO600/AL600,"")</f>
        <v/>
      </c>
      <c r="AQ600" s="119">
        <f>IFERROR(R600/AO600,"")</f>
        <v/>
      </c>
      <c r="AR600" s="116" t="n">
        <v>0</v>
      </c>
      <c r="AS600" s="116" t="n">
        <v>0</v>
      </c>
      <c r="AT600" s="116">
        <f>AL600+AR600</f>
        <v/>
      </c>
      <c r="AU600" s="119">
        <f>IFERROR(AO600*Assumptions!$C$26*Assumptions!$C$27*INDEX(Assumptions!$C$18:$C$21,MATCH(H600,Assumptions!$B$18:$B$21,0)),0)</f>
        <v/>
      </c>
    </row>
    <row r="601">
      <c r="A601" s="114" t="n">
        <v>46240</v>
      </c>
      <c r="B601" s="42" t="inlineStr">
        <is>
          <t>Wk 32</t>
        </is>
      </c>
      <c r="C601" s="42" t="inlineStr">
        <is>
          <t>Thu</t>
        </is>
      </c>
      <c r="D601" s="42" t="inlineStr">
        <is>
          <t>Meta (FB/IG)</t>
        </is>
      </c>
      <c r="E601" s="42" t="inlineStr">
        <is>
          <t>Facebook + Instagram</t>
        </is>
      </c>
      <c r="F601" s="42" t="inlineStr">
        <is>
          <t>LEP_ZA_AUG26_META_TD_PANTERA_CONV</t>
        </is>
      </c>
      <c r="G601" s="42" t="inlineStr">
        <is>
          <t>Leads - Website Conversions</t>
        </is>
      </c>
      <c r="H601" s="42" t="inlineStr">
        <is>
          <t>PANTERA</t>
        </is>
      </c>
      <c r="I601" s="42" t="inlineStr">
        <is>
          <t>0% Deposit</t>
        </is>
      </c>
      <c r="J601" s="42" t="inlineStr">
        <is>
          <t>MET_PANTERA_LAL1_HIVAL_ZA</t>
        </is>
      </c>
      <c r="K601" s="42" t="inlineStr">
        <is>
          <t>Lookalike</t>
        </is>
      </c>
      <c r="L601" s="42" t="inlineStr">
        <is>
          <t>PANTERA_VID_25s_Flagship_v1</t>
        </is>
      </c>
      <c r="M601" s="42" t="inlineStr">
        <is>
          <t>Video 9:16</t>
        </is>
      </c>
      <c r="N601" s="42" t="inlineStr">
        <is>
          <t>The flagship, without the flagship price</t>
        </is>
      </c>
      <c r="O601" s="42" t="inlineStr">
        <is>
          <t>Auction - Cost Cap</t>
        </is>
      </c>
      <c r="P601" s="42" t="inlineStr">
        <is>
          <t>Offsite Conversions</t>
        </is>
      </c>
      <c r="Q601" s="42" t="inlineStr">
        <is>
          <t>https://www.lepas-sa.co.za/offers/pantera</t>
        </is>
      </c>
      <c r="R601" s="115" t="n">
        <v>187.01</v>
      </c>
      <c r="S601" s="116" t="n">
        <v>2753</v>
      </c>
      <c r="T601" s="116" t="n">
        <v>2272</v>
      </c>
      <c r="U601" s="117">
        <f>IFERROR(S601/T601,"")</f>
        <v/>
      </c>
      <c r="V601" s="116" t="n">
        <v>77</v>
      </c>
      <c r="W601" s="116" t="n">
        <v>59</v>
      </c>
      <c r="X601" s="118">
        <f>IFERROR(W601/S601,"")</f>
        <v/>
      </c>
      <c r="Y601" s="115">
        <f>IFERROR(R601/W601,"")</f>
        <v/>
      </c>
      <c r="Z601" s="115">
        <f>IFERROR(R601/S601*1000,"")</f>
        <v/>
      </c>
      <c r="AA601" s="116" t="n">
        <v>47</v>
      </c>
      <c r="AB601" s="47">
        <f>IFERROR(AA601/W601,"")</f>
        <v/>
      </c>
      <c r="AC601" s="116" t="n">
        <v>1003</v>
      </c>
      <c r="AD601" s="116" t="n">
        <v>502</v>
      </c>
      <c r="AE601" s="116" t="n">
        <v>472</v>
      </c>
      <c r="AF601" s="116" t="n">
        <v>291</v>
      </c>
      <c r="AG601" s="116" t="n">
        <v>228</v>
      </c>
      <c r="AH601" s="116" t="n">
        <v>129</v>
      </c>
      <c r="AI601" s="47">
        <f>IFERROR(AC601/S601,"")</f>
        <v/>
      </c>
      <c r="AJ601" s="47">
        <f>IFERROR(AH601/S601,"")</f>
        <v/>
      </c>
      <c r="AK601" s="116" t="n">
        <v>59</v>
      </c>
      <c r="AL601" s="116" t="n">
        <v>1</v>
      </c>
      <c r="AM601" s="118">
        <f>IFERROR(AL601/AA601,"")</f>
        <v/>
      </c>
      <c r="AN601" s="119">
        <f>IFERROR(R601/AL601,"")</f>
        <v/>
      </c>
      <c r="AO601" s="116" t="n">
        <v>0</v>
      </c>
      <c r="AP601" s="47">
        <f>IFERROR(AO601/AL601,"")</f>
        <v/>
      </c>
      <c r="AQ601" s="119">
        <f>IFERROR(R601/AO601,"")</f>
        <v/>
      </c>
      <c r="AR601" s="116" t="n">
        <v>0</v>
      </c>
      <c r="AS601" s="116" t="n">
        <v>0</v>
      </c>
      <c r="AT601" s="116">
        <f>AL601+AR601</f>
        <v/>
      </c>
      <c r="AU601" s="119">
        <f>IFERROR(AO601*Assumptions!$C$26*Assumptions!$C$27*INDEX(Assumptions!$C$18:$C$21,MATCH(H601,Assumptions!$B$18:$B$21,0)),0)</f>
        <v/>
      </c>
    </row>
    <row r="602">
      <c r="A602" s="114" t="n">
        <v>46241</v>
      </c>
      <c r="B602" s="42" t="inlineStr">
        <is>
          <t>Wk 32</t>
        </is>
      </c>
      <c r="C602" s="42" t="inlineStr">
        <is>
          <t>Fri</t>
        </is>
      </c>
      <c r="D602" s="42" t="inlineStr">
        <is>
          <t>Meta (FB/IG)</t>
        </is>
      </c>
      <c r="E602" s="42" t="inlineStr">
        <is>
          <t>Facebook + Instagram</t>
        </is>
      </c>
      <c r="F602" s="42" t="inlineStr">
        <is>
          <t>LEP_ZA_AUG26_META_TD_PANTERA_CONV</t>
        </is>
      </c>
      <c r="G602" s="42" t="inlineStr">
        <is>
          <t>Leads - Website Conversions</t>
        </is>
      </c>
      <c r="H602" s="42" t="inlineStr">
        <is>
          <t>PANTERA</t>
        </is>
      </c>
      <c r="I602" s="42" t="inlineStr">
        <is>
          <t>0% Deposit</t>
        </is>
      </c>
      <c r="J602" s="42" t="inlineStr">
        <is>
          <t>MET_PANTERA_LAL1_HIVAL_ZA</t>
        </is>
      </c>
      <c r="K602" s="42" t="inlineStr">
        <is>
          <t>Lookalike</t>
        </is>
      </c>
      <c r="L602" s="42" t="inlineStr">
        <is>
          <t>PANTERA_VID_25s_Flagship_v1</t>
        </is>
      </c>
      <c r="M602" s="42" t="inlineStr">
        <is>
          <t>Video 9:16</t>
        </is>
      </c>
      <c r="N602" s="42" t="inlineStr">
        <is>
          <t>The flagship, without the flagship price</t>
        </is>
      </c>
      <c r="O602" s="42" t="inlineStr">
        <is>
          <t>Auction - Cost Cap</t>
        </is>
      </c>
      <c r="P602" s="42" t="inlineStr">
        <is>
          <t>Offsite Conversions</t>
        </is>
      </c>
      <c r="Q602" s="42" t="inlineStr">
        <is>
          <t>https://www.lepas-sa.co.za/offers/pantera</t>
        </is>
      </c>
      <c r="R602" s="115" t="n">
        <v>166.97</v>
      </c>
      <c r="S602" s="116" t="n">
        <v>2437</v>
      </c>
      <c r="T602" s="116" t="n">
        <v>1460</v>
      </c>
      <c r="U602" s="117">
        <f>IFERROR(S602/T602,"")</f>
        <v/>
      </c>
      <c r="V602" s="116" t="n">
        <v>27</v>
      </c>
      <c r="W602" s="116" t="n">
        <v>23</v>
      </c>
      <c r="X602" s="118">
        <f>IFERROR(W602/S602,"")</f>
        <v/>
      </c>
      <c r="Y602" s="115">
        <f>IFERROR(R602/W602,"")</f>
        <v/>
      </c>
      <c r="Z602" s="115">
        <f>IFERROR(R602/S602*1000,"")</f>
        <v/>
      </c>
      <c r="AA602" s="116" t="n">
        <v>20</v>
      </c>
      <c r="AB602" s="47">
        <f>IFERROR(AA602/W602,"")</f>
        <v/>
      </c>
      <c r="AC602" s="116" t="n">
        <v>821</v>
      </c>
      <c r="AD602" s="116" t="n">
        <v>402</v>
      </c>
      <c r="AE602" s="116" t="n">
        <v>377</v>
      </c>
      <c r="AF602" s="116" t="n">
        <v>259</v>
      </c>
      <c r="AG602" s="116" t="n">
        <v>206</v>
      </c>
      <c r="AH602" s="116" t="n">
        <v>147</v>
      </c>
      <c r="AI602" s="47">
        <f>IFERROR(AC602/S602,"")</f>
        <v/>
      </c>
      <c r="AJ602" s="47">
        <f>IFERROR(AH602/S602,"")</f>
        <v/>
      </c>
      <c r="AK602" s="116" t="n">
        <v>44</v>
      </c>
      <c r="AL602" s="116" t="n">
        <v>1</v>
      </c>
      <c r="AM602" s="118">
        <f>IFERROR(AL602/AA602,"")</f>
        <v/>
      </c>
      <c r="AN602" s="119">
        <f>IFERROR(R602/AL602,"")</f>
        <v/>
      </c>
      <c r="AO602" s="116" t="n">
        <v>0</v>
      </c>
      <c r="AP602" s="47">
        <f>IFERROR(AO602/AL602,"")</f>
        <v/>
      </c>
      <c r="AQ602" s="119">
        <f>IFERROR(R602/AO602,"")</f>
        <v/>
      </c>
      <c r="AR602" s="116" t="n">
        <v>0</v>
      </c>
      <c r="AS602" s="116" t="n">
        <v>0</v>
      </c>
      <c r="AT602" s="116">
        <f>AL602+AR602</f>
        <v/>
      </c>
      <c r="AU602" s="119">
        <f>IFERROR(AO602*Assumptions!$C$26*Assumptions!$C$27*INDEX(Assumptions!$C$18:$C$21,MATCH(H602,Assumptions!$B$18:$B$21,0)),0)</f>
        <v/>
      </c>
    </row>
    <row r="603">
      <c r="A603" s="114" t="n">
        <v>46242</v>
      </c>
      <c r="B603" s="42" t="inlineStr">
        <is>
          <t>Wk 32</t>
        </is>
      </c>
      <c r="C603" s="42" t="inlineStr">
        <is>
          <t>Sat</t>
        </is>
      </c>
      <c r="D603" s="42" t="inlineStr">
        <is>
          <t>Meta (FB/IG)</t>
        </is>
      </c>
      <c r="E603" s="42" t="inlineStr">
        <is>
          <t>Facebook + Instagram</t>
        </is>
      </c>
      <c r="F603" s="42" t="inlineStr">
        <is>
          <t>LEP_ZA_AUG26_META_TD_PANTERA_CONV</t>
        </is>
      </c>
      <c r="G603" s="42" t="inlineStr">
        <is>
          <t>Leads - Website Conversions</t>
        </is>
      </c>
      <c r="H603" s="42" t="inlineStr">
        <is>
          <t>PANTERA</t>
        </is>
      </c>
      <c r="I603" s="42" t="inlineStr">
        <is>
          <t>0% Deposit</t>
        </is>
      </c>
      <c r="J603" s="42" t="inlineStr">
        <is>
          <t>MET_PANTERA_LAL1_HIVAL_ZA</t>
        </is>
      </c>
      <c r="K603" s="42" t="inlineStr">
        <is>
          <t>Lookalike</t>
        </is>
      </c>
      <c r="L603" s="42" t="inlineStr">
        <is>
          <t>PANTERA_VID_25s_Flagship_v1</t>
        </is>
      </c>
      <c r="M603" s="42" t="inlineStr">
        <is>
          <t>Video 9:16</t>
        </is>
      </c>
      <c r="N603" s="42" t="inlineStr">
        <is>
          <t>The flagship, without the flagship price</t>
        </is>
      </c>
      <c r="O603" s="42" t="inlineStr">
        <is>
          <t>Auction - Cost Cap</t>
        </is>
      </c>
      <c r="P603" s="42" t="inlineStr">
        <is>
          <t>Offsite Conversions</t>
        </is>
      </c>
      <c r="Q603" s="42" t="inlineStr">
        <is>
          <t>https://www.lepas-sa.co.za/offers/pantera</t>
        </is>
      </c>
      <c r="R603" s="115" t="n">
        <v>172.96</v>
      </c>
      <c r="S603" s="116" t="n">
        <v>2092</v>
      </c>
      <c r="T603" s="116" t="n">
        <v>1736</v>
      </c>
      <c r="U603" s="117">
        <f>IFERROR(S603/T603,"")</f>
        <v/>
      </c>
      <c r="V603" s="116" t="n">
        <v>41</v>
      </c>
      <c r="W603" s="116" t="n">
        <v>31</v>
      </c>
      <c r="X603" s="118">
        <f>IFERROR(W603/S603,"")</f>
        <v/>
      </c>
      <c r="Y603" s="115">
        <f>IFERROR(R603/W603,"")</f>
        <v/>
      </c>
      <c r="Z603" s="115">
        <f>IFERROR(R603/S603*1000,"")</f>
        <v/>
      </c>
      <c r="AA603" s="116" t="n">
        <v>27</v>
      </c>
      <c r="AB603" s="47">
        <f>IFERROR(AA603/W603,"")</f>
        <v/>
      </c>
      <c r="AC603" s="116" t="n">
        <v>538</v>
      </c>
      <c r="AD603" s="116" t="n">
        <v>327</v>
      </c>
      <c r="AE603" s="116" t="n">
        <v>233</v>
      </c>
      <c r="AF603" s="116" t="n">
        <v>132</v>
      </c>
      <c r="AG603" s="116" t="n">
        <v>91</v>
      </c>
      <c r="AH603" s="116" t="n">
        <v>53</v>
      </c>
      <c r="AI603" s="47">
        <f>IFERROR(AC603/S603,"")</f>
        <v/>
      </c>
      <c r="AJ603" s="47">
        <f>IFERROR(AH603/S603,"")</f>
        <v/>
      </c>
      <c r="AK603" s="116" t="n">
        <v>72</v>
      </c>
      <c r="AL603" s="116" t="n">
        <v>1</v>
      </c>
      <c r="AM603" s="118">
        <f>IFERROR(AL603/AA603,"")</f>
        <v/>
      </c>
      <c r="AN603" s="119">
        <f>IFERROR(R603/AL603,"")</f>
        <v/>
      </c>
      <c r="AO603" s="116" t="n">
        <v>1</v>
      </c>
      <c r="AP603" s="47">
        <f>IFERROR(AO603/AL603,"")</f>
        <v/>
      </c>
      <c r="AQ603" s="119">
        <f>IFERROR(R603/AO603,"")</f>
        <v/>
      </c>
      <c r="AR603" s="116" t="n">
        <v>1</v>
      </c>
      <c r="AS603" s="116" t="n">
        <v>0</v>
      </c>
      <c r="AT603" s="116">
        <f>AL603+AR603</f>
        <v/>
      </c>
      <c r="AU603" s="119">
        <f>IFERROR(AO603*Assumptions!$C$26*Assumptions!$C$27*INDEX(Assumptions!$C$18:$C$21,MATCH(H603,Assumptions!$B$18:$B$21,0)),0)</f>
        <v/>
      </c>
    </row>
    <row r="604">
      <c r="A604" s="114" t="n">
        <v>46243</v>
      </c>
      <c r="B604" s="42" t="inlineStr">
        <is>
          <t>Wk 32</t>
        </is>
      </c>
      <c r="C604" s="42" t="inlineStr">
        <is>
          <t>Sun</t>
        </is>
      </c>
      <c r="D604" s="42" t="inlineStr">
        <is>
          <t>Meta (FB/IG)</t>
        </is>
      </c>
      <c r="E604" s="42" t="inlineStr">
        <is>
          <t>Facebook + Instagram</t>
        </is>
      </c>
      <c r="F604" s="42" t="inlineStr">
        <is>
          <t>LEP_ZA_AUG26_META_TD_PANTERA_CONV</t>
        </is>
      </c>
      <c r="G604" s="42" t="inlineStr">
        <is>
          <t>Leads - Website Conversions</t>
        </is>
      </c>
      <c r="H604" s="42" t="inlineStr">
        <is>
          <t>PANTERA</t>
        </is>
      </c>
      <c r="I604" s="42" t="inlineStr">
        <is>
          <t>0% Deposit</t>
        </is>
      </c>
      <c r="J604" s="42" t="inlineStr">
        <is>
          <t>MET_PANTERA_LAL1_HIVAL_ZA</t>
        </is>
      </c>
      <c r="K604" s="42" t="inlineStr">
        <is>
          <t>Lookalike</t>
        </is>
      </c>
      <c r="L604" s="42" t="inlineStr">
        <is>
          <t>PANTERA_VID_25s_Flagship_v1</t>
        </is>
      </c>
      <c r="M604" s="42" t="inlineStr">
        <is>
          <t>Video 9:16</t>
        </is>
      </c>
      <c r="N604" s="42" t="inlineStr">
        <is>
          <t>The flagship, without the flagship price</t>
        </is>
      </c>
      <c r="O604" s="42" t="inlineStr">
        <is>
          <t>Auction - Cost Cap</t>
        </is>
      </c>
      <c r="P604" s="42" t="inlineStr">
        <is>
          <t>Offsite Conversions</t>
        </is>
      </c>
      <c r="Q604" s="42" t="inlineStr">
        <is>
          <t>https://www.lepas-sa.co.za/offers/pantera</t>
        </is>
      </c>
      <c r="R604" s="115" t="n">
        <v>157.53</v>
      </c>
      <c r="S604" s="116" t="n">
        <v>2218</v>
      </c>
      <c r="T604" s="116" t="n">
        <v>1474</v>
      </c>
      <c r="U604" s="117">
        <f>IFERROR(S604/T604,"")</f>
        <v/>
      </c>
      <c r="V604" s="116" t="n">
        <v>27</v>
      </c>
      <c r="W604" s="116" t="n">
        <v>20</v>
      </c>
      <c r="X604" s="118">
        <f>IFERROR(W604/S604,"")</f>
        <v/>
      </c>
      <c r="Y604" s="115">
        <f>IFERROR(R604/W604,"")</f>
        <v/>
      </c>
      <c r="Z604" s="115">
        <f>IFERROR(R604/S604*1000,"")</f>
        <v/>
      </c>
      <c r="AA604" s="116" t="n">
        <v>17</v>
      </c>
      <c r="AB604" s="47">
        <f>IFERROR(AA604/W604,"")</f>
        <v/>
      </c>
      <c r="AC604" s="116" t="n">
        <v>629</v>
      </c>
      <c r="AD604" s="116" t="n">
        <v>372</v>
      </c>
      <c r="AE604" s="116" t="n">
        <v>227</v>
      </c>
      <c r="AF604" s="116" t="n">
        <v>143</v>
      </c>
      <c r="AG604" s="116" t="n">
        <v>91</v>
      </c>
      <c r="AH604" s="116" t="n">
        <v>66</v>
      </c>
      <c r="AI604" s="47">
        <f>IFERROR(AC604/S604,"")</f>
        <v/>
      </c>
      <c r="AJ604" s="47">
        <f>IFERROR(AH604/S604,"")</f>
        <v/>
      </c>
      <c r="AK604" s="116" t="n">
        <v>43</v>
      </c>
      <c r="AL604" s="116" t="n">
        <v>0</v>
      </c>
      <c r="AM604" s="118">
        <f>IFERROR(AL604/AA604,"")</f>
        <v/>
      </c>
      <c r="AN604" s="119">
        <f>IFERROR(R604/AL604,"")</f>
        <v/>
      </c>
      <c r="AO604" s="116" t="n">
        <v>0</v>
      </c>
      <c r="AP604" s="47">
        <f>IFERROR(AO604/AL604,"")</f>
        <v/>
      </c>
      <c r="AQ604" s="119">
        <f>IFERROR(R604/AO604,"")</f>
        <v/>
      </c>
      <c r="AR604" s="116" t="n">
        <v>0</v>
      </c>
      <c r="AS604" s="116" t="n">
        <v>0</v>
      </c>
      <c r="AT604" s="116">
        <f>AL604+AR604</f>
        <v/>
      </c>
      <c r="AU604" s="119">
        <f>IFERROR(AO604*Assumptions!$C$26*Assumptions!$C$27*INDEX(Assumptions!$C$18:$C$21,MATCH(H604,Assumptions!$B$18:$B$21,0)),0)</f>
        <v/>
      </c>
    </row>
    <row r="605">
      <c r="A605" s="114" t="n">
        <v>46244</v>
      </c>
      <c r="B605" s="42" t="inlineStr">
        <is>
          <t>Wk 33</t>
        </is>
      </c>
      <c r="C605" s="42" t="inlineStr">
        <is>
          <t>Mon</t>
        </is>
      </c>
      <c r="D605" s="42" t="inlineStr">
        <is>
          <t>Meta (FB/IG)</t>
        </is>
      </c>
      <c r="E605" s="42" t="inlineStr">
        <is>
          <t>Facebook + Instagram</t>
        </is>
      </c>
      <c r="F605" s="42" t="inlineStr">
        <is>
          <t>LEP_ZA_AUG26_META_TD_PANTERA_CONV</t>
        </is>
      </c>
      <c r="G605" s="42" t="inlineStr">
        <is>
          <t>Leads - Website Conversions</t>
        </is>
      </c>
      <c r="H605" s="42" t="inlineStr">
        <is>
          <t>PANTERA</t>
        </is>
      </c>
      <c r="I605" s="42" t="inlineStr">
        <is>
          <t>0% Deposit</t>
        </is>
      </c>
      <c r="J605" s="42" t="inlineStr">
        <is>
          <t>MET_PANTERA_LAL1_HIVAL_ZA</t>
        </is>
      </c>
      <c r="K605" s="42" t="inlineStr">
        <is>
          <t>Lookalike</t>
        </is>
      </c>
      <c r="L605" s="42" t="inlineStr">
        <is>
          <t>PANTERA_VID_25s_Flagship_v1</t>
        </is>
      </c>
      <c r="M605" s="42" t="inlineStr">
        <is>
          <t>Video 9:16</t>
        </is>
      </c>
      <c r="N605" s="42" t="inlineStr">
        <is>
          <t>The flagship, without the flagship price</t>
        </is>
      </c>
      <c r="O605" s="42" t="inlineStr">
        <is>
          <t>Auction - Cost Cap</t>
        </is>
      </c>
      <c r="P605" s="42" t="inlineStr">
        <is>
          <t>Offsite Conversions</t>
        </is>
      </c>
      <c r="Q605" s="42" t="inlineStr">
        <is>
          <t>https://www.lepas-sa.co.za/offers/pantera</t>
        </is>
      </c>
      <c r="R605" s="115" t="n">
        <v>160.76</v>
      </c>
      <c r="S605" s="116" t="n">
        <v>2074</v>
      </c>
      <c r="T605" s="116" t="n">
        <v>1469</v>
      </c>
      <c r="U605" s="117">
        <f>IFERROR(S605/T605,"")</f>
        <v/>
      </c>
      <c r="V605" s="116" t="n">
        <v>58</v>
      </c>
      <c r="W605" s="116" t="n">
        <v>42</v>
      </c>
      <c r="X605" s="118">
        <f>IFERROR(W605/S605,"")</f>
        <v/>
      </c>
      <c r="Y605" s="115">
        <f>IFERROR(R605/W605,"")</f>
        <v/>
      </c>
      <c r="Z605" s="115">
        <f>IFERROR(R605/S605*1000,"")</f>
        <v/>
      </c>
      <c r="AA605" s="116" t="n">
        <v>35</v>
      </c>
      <c r="AB605" s="47">
        <f>IFERROR(AA605/W605,"")</f>
        <v/>
      </c>
      <c r="AC605" s="116" t="n">
        <v>530</v>
      </c>
      <c r="AD605" s="116" t="n">
        <v>304</v>
      </c>
      <c r="AE605" s="116" t="n">
        <v>267</v>
      </c>
      <c r="AF605" s="116" t="n">
        <v>149</v>
      </c>
      <c r="AG605" s="116" t="n">
        <v>114</v>
      </c>
      <c r="AH605" s="116" t="n">
        <v>63</v>
      </c>
      <c r="AI605" s="47">
        <f>IFERROR(AC605/S605,"")</f>
        <v/>
      </c>
      <c r="AJ605" s="47">
        <f>IFERROR(AH605/S605,"")</f>
        <v/>
      </c>
      <c r="AK605" s="116" t="n">
        <v>59</v>
      </c>
      <c r="AL605" s="116" t="n">
        <v>2</v>
      </c>
      <c r="AM605" s="118">
        <f>IFERROR(AL605/AA605,"")</f>
        <v/>
      </c>
      <c r="AN605" s="119">
        <f>IFERROR(R605/AL605,"")</f>
        <v/>
      </c>
      <c r="AO605" s="116" t="n">
        <v>2</v>
      </c>
      <c r="AP605" s="47">
        <f>IFERROR(AO605/AL605,"")</f>
        <v/>
      </c>
      <c r="AQ605" s="119">
        <f>IFERROR(R605/AO605,"")</f>
        <v/>
      </c>
      <c r="AR605" s="116" t="n">
        <v>0</v>
      </c>
      <c r="AS605" s="116" t="n">
        <v>1</v>
      </c>
      <c r="AT605" s="116">
        <f>AL605+AR605</f>
        <v/>
      </c>
      <c r="AU605" s="119">
        <f>IFERROR(AO605*Assumptions!$C$26*Assumptions!$C$27*INDEX(Assumptions!$C$18:$C$21,MATCH(H605,Assumptions!$B$18:$B$21,0)),0)</f>
        <v/>
      </c>
    </row>
    <row r="606">
      <c r="A606" s="114" t="n">
        <v>46245</v>
      </c>
      <c r="B606" s="42" t="inlineStr">
        <is>
          <t>Wk 33</t>
        </is>
      </c>
      <c r="C606" s="42" t="inlineStr">
        <is>
          <t>Tue</t>
        </is>
      </c>
      <c r="D606" s="42" t="inlineStr">
        <is>
          <t>Meta (FB/IG)</t>
        </is>
      </c>
      <c r="E606" s="42" t="inlineStr">
        <is>
          <t>Facebook + Instagram</t>
        </is>
      </c>
      <c r="F606" s="42" t="inlineStr">
        <is>
          <t>LEP_ZA_AUG26_META_TD_PANTERA_CONV</t>
        </is>
      </c>
      <c r="G606" s="42" t="inlineStr">
        <is>
          <t>Leads - Website Conversions</t>
        </is>
      </c>
      <c r="H606" s="42" t="inlineStr">
        <is>
          <t>PANTERA</t>
        </is>
      </c>
      <c r="I606" s="42" t="inlineStr">
        <is>
          <t>0% Deposit</t>
        </is>
      </c>
      <c r="J606" s="42" t="inlineStr">
        <is>
          <t>MET_PANTERA_LAL1_HIVAL_ZA</t>
        </is>
      </c>
      <c r="K606" s="42" t="inlineStr">
        <is>
          <t>Lookalike</t>
        </is>
      </c>
      <c r="L606" s="42" t="inlineStr">
        <is>
          <t>PANTERA_VID_25s_Flagship_v1</t>
        </is>
      </c>
      <c r="M606" s="42" t="inlineStr">
        <is>
          <t>Video 9:16</t>
        </is>
      </c>
      <c r="N606" s="42" t="inlineStr">
        <is>
          <t>The flagship, without the flagship price</t>
        </is>
      </c>
      <c r="O606" s="42" t="inlineStr">
        <is>
          <t>Auction - Cost Cap</t>
        </is>
      </c>
      <c r="P606" s="42" t="inlineStr">
        <is>
          <t>Offsite Conversions</t>
        </is>
      </c>
      <c r="Q606" s="42" t="inlineStr">
        <is>
          <t>https://www.lepas-sa.co.za/offers/pantera</t>
        </is>
      </c>
      <c r="R606" s="115" t="n">
        <v>144.33</v>
      </c>
      <c r="S606" s="116" t="n">
        <v>2247</v>
      </c>
      <c r="T606" s="116" t="n">
        <v>1682</v>
      </c>
      <c r="U606" s="117">
        <f>IFERROR(S606/T606,"")</f>
        <v/>
      </c>
      <c r="V606" s="116" t="n">
        <v>60</v>
      </c>
      <c r="W606" s="116" t="n">
        <v>47</v>
      </c>
      <c r="X606" s="118">
        <f>IFERROR(W606/S606,"")</f>
        <v/>
      </c>
      <c r="Y606" s="115">
        <f>IFERROR(R606/W606,"")</f>
        <v/>
      </c>
      <c r="Z606" s="115">
        <f>IFERROR(R606/S606*1000,"")</f>
        <v/>
      </c>
      <c r="AA606" s="116" t="n">
        <v>38</v>
      </c>
      <c r="AB606" s="47">
        <f>IFERROR(AA606/W606,"")</f>
        <v/>
      </c>
      <c r="AC606" s="116" t="n">
        <v>881</v>
      </c>
      <c r="AD606" s="116" t="n">
        <v>549</v>
      </c>
      <c r="AE606" s="116" t="n">
        <v>480</v>
      </c>
      <c r="AF606" s="116" t="n">
        <v>267</v>
      </c>
      <c r="AG606" s="116" t="n">
        <v>175</v>
      </c>
      <c r="AH606" s="116" t="n">
        <v>105</v>
      </c>
      <c r="AI606" s="47">
        <f>IFERROR(AC606/S606,"")</f>
        <v/>
      </c>
      <c r="AJ606" s="47">
        <f>IFERROR(AH606/S606,"")</f>
        <v/>
      </c>
      <c r="AK606" s="116" t="n">
        <v>41</v>
      </c>
      <c r="AL606" s="116" t="n">
        <v>1</v>
      </c>
      <c r="AM606" s="118">
        <f>IFERROR(AL606/AA606,"")</f>
        <v/>
      </c>
      <c r="AN606" s="119">
        <f>IFERROR(R606/AL606,"")</f>
        <v/>
      </c>
      <c r="AO606" s="116" t="n">
        <v>0</v>
      </c>
      <c r="AP606" s="47">
        <f>IFERROR(AO606/AL606,"")</f>
        <v/>
      </c>
      <c r="AQ606" s="119">
        <f>IFERROR(R606/AO606,"")</f>
        <v/>
      </c>
      <c r="AR606" s="116" t="n">
        <v>0</v>
      </c>
      <c r="AS606" s="116" t="n">
        <v>0</v>
      </c>
      <c r="AT606" s="116">
        <f>AL606+AR606</f>
        <v/>
      </c>
      <c r="AU606" s="119">
        <f>IFERROR(AO606*Assumptions!$C$26*Assumptions!$C$27*INDEX(Assumptions!$C$18:$C$21,MATCH(H606,Assumptions!$B$18:$B$21,0)),0)</f>
        <v/>
      </c>
    </row>
    <row r="607">
      <c r="A607" s="114" t="n">
        <v>46246</v>
      </c>
      <c r="B607" s="42" t="inlineStr">
        <is>
          <t>Wk 33</t>
        </is>
      </c>
      <c r="C607" s="42" t="inlineStr">
        <is>
          <t>Wed</t>
        </is>
      </c>
      <c r="D607" s="42" t="inlineStr">
        <is>
          <t>Meta (FB/IG)</t>
        </is>
      </c>
      <c r="E607" s="42" t="inlineStr">
        <is>
          <t>Facebook + Instagram</t>
        </is>
      </c>
      <c r="F607" s="42" t="inlineStr">
        <is>
          <t>LEP_ZA_AUG26_META_TD_PANTERA_CONV</t>
        </is>
      </c>
      <c r="G607" s="42" t="inlineStr">
        <is>
          <t>Leads - Website Conversions</t>
        </is>
      </c>
      <c r="H607" s="42" t="inlineStr">
        <is>
          <t>PANTERA</t>
        </is>
      </c>
      <c r="I607" s="42" t="inlineStr">
        <is>
          <t>0% Deposit</t>
        </is>
      </c>
      <c r="J607" s="42" t="inlineStr">
        <is>
          <t>MET_PANTERA_LAL1_HIVAL_ZA</t>
        </is>
      </c>
      <c r="K607" s="42" t="inlineStr">
        <is>
          <t>Lookalike</t>
        </is>
      </c>
      <c r="L607" s="42" t="inlineStr">
        <is>
          <t>PANTERA_VID_25s_Flagship_v1</t>
        </is>
      </c>
      <c r="M607" s="42" t="inlineStr">
        <is>
          <t>Video 9:16</t>
        </is>
      </c>
      <c r="N607" s="42" t="inlineStr">
        <is>
          <t>The flagship, without the flagship price</t>
        </is>
      </c>
      <c r="O607" s="42" t="inlineStr">
        <is>
          <t>Auction - Cost Cap</t>
        </is>
      </c>
      <c r="P607" s="42" t="inlineStr">
        <is>
          <t>Offsite Conversions</t>
        </is>
      </c>
      <c r="Q607" s="42" t="inlineStr">
        <is>
          <t>https://www.lepas-sa.co.za/offers/pantera</t>
        </is>
      </c>
      <c r="R607" s="115" t="n">
        <v>145.35</v>
      </c>
      <c r="S607" s="116" t="n">
        <v>1892</v>
      </c>
      <c r="T607" s="116" t="n">
        <v>1382</v>
      </c>
      <c r="U607" s="117">
        <f>IFERROR(S607/T607,"")</f>
        <v/>
      </c>
      <c r="V607" s="116" t="n">
        <v>38</v>
      </c>
      <c r="W607" s="116" t="n">
        <v>31</v>
      </c>
      <c r="X607" s="118">
        <f>IFERROR(W607/S607,"")</f>
        <v/>
      </c>
      <c r="Y607" s="115">
        <f>IFERROR(R607/W607,"")</f>
        <v/>
      </c>
      <c r="Z607" s="115">
        <f>IFERROR(R607/S607*1000,"")</f>
        <v/>
      </c>
      <c r="AA607" s="116" t="n">
        <v>26</v>
      </c>
      <c r="AB607" s="47">
        <f>IFERROR(AA607/W607,"")</f>
        <v/>
      </c>
      <c r="AC607" s="116" t="n">
        <v>585</v>
      </c>
      <c r="AD607" s="116" t="n">
        <v>275</v>
      </c>
      <c r="AE607" s="116" t="n">
        <v>291</v>
      </c>
      <c r="AF607" s="116" t="n">
        <v>202</v>
      </c>
      <c r="AG607" s="116" t="n">
        <v>159</v>
      </c>
      <c r="AH607" s="116" t="n">
        <v>102</v>
      </c>
      <c r="AI607" s="47">
        <f>IFERROR(AC607/S607,"")</f>
        <v/>
      </c>
      <c r="AJ607" s="47">
        <f>IFERROR(AH607/S607,"")</f>
        <v/>
      </c>
      <c r="AK607" s="116" t="n">
        <v>26</v>
      </c>
      <c r="AL607" s="116" t="n">
        <v>1</v>
      </c>
      <c r="AM607" s="118">
        <f>IFERROR(AL607/AA607,"")</f>
        <v/>
      </c>
      <c r="AN607" s="119">
        <f>IFERROR(R607/AL607,"")</f>
        <v/>
      </c>
      <c r="AO607" s="116" t="n">
        <v>0</v>
      </c>
      <c r="AP607" s="47">
        <f>IFERROR(AO607/AL607,"")</f>
        <v/>
      </c>
      <c r="AQ607" s="119">
        <f>IFERROR(R607/AO607,"")</f>
        <v/>
      </c>
      <c r="AR607" s="116" t="n">
        <v>0</v>
      </c>
      <c r="AS607" s="116" t="n">
        <v>0</v>
      </c>
      <c r="AT607" s="116">
        <f>AL607+AR607</f>
        <v/>
      </c>
      <c r="AU607" s="119">
        <f>IFERROR(AO607*Assumptions!$C$26*Assumptions!$C$27*INDEX(Assumptions!$C$18:$C$21,MATCH(H607,Assumptions!$B$18:$B$21,0)),0)</f>
        <v/>
      </c>
    </row>
    <row r="608">
      <c r="A608" s="114" t="n">
        <v>46247</v>
      </c>
      <c r="B608" s="42" t="inlineStr">
        <is>
          <t>Wk 33</t>
        </is>
      </c>
      <c r="C608" s="42" t="inlineStr">
        <is>
          <t>Thu</t>
        </is>
      </c>
      <c r="D608" s="42" t="inlineStr">
        <is>
          <t>Meta (FB/IG)</t>
        </is>
      </c>
      <c r="E608" s="42" t="inlineStr">
        <is>
          <t>Facebook + Instagram</t>
        </is>
      </c>
      <c r="F608" s="42" t="inlineStr">
        <is>
          <t>LEP_ZA_AUG26_META_TD_PANTERA_CONV</t>
        </is>
      </c>
      <c r="G608" s="42" t="inlineStr">
        <is>
          <t>Leads - Website Conversions</t>
        </is>
      </c>
      <c r="H608" s="42" t="inlineStr">
        <is>
          <t>PANTERA</t>
        </is>
      </c>
      <c r="I608" s="42" t="inlineStr">
        <is>
          <t>0% Deposit</t>
        </is>
      </c>
      <c r="J608" s="42" t="inlineStr">
        <is>
          <t>MET_PANTERA_LAL1_HIVAL_ZA</t>
        </is>
      </c>
      <c r="K608" s="42" t="inlineStr">
        <is>
          <t>Lookalike</t>
        </is>
      </c>
      <c r="L608" s="42" t="inlineStr">
        <is>
          <t>PANTERA_VID_25s_Flagship_v1</t>
        </is>
      </c>
      <c r="M608" s="42" t="inlineStr">
        <is>
          <t>Video 9:16</t>
        </is>
      </c>
      <c r="N608" s="42" t="inlineStr">
        <is>
          <t>The flagship, without the flagship price</t>
        </is>
      </c>
      <c r="O608" s="42" t="inlineStr">
        <is>
          <t>Auction - Cost Cap</t>
        </is>
      </c>
      <c r="P608" s="42" t="inlineStr">
        <is>
          <t>Offsite Conversions</t>
        </is>
      </c>
      <c r="Q608" s="42" t="inlineStr">
        <is>
          <t>https://www.lepas-sa.co.za/offers/pantera</t>
        </is>
      </c>
      <c r="R608" s="115" t="n">
        <v>200.01</v>
      </c>
      <c r="S608" s="116" t="n">
        <v>2119</v>
      </c>
      <c r="T608" s="116" t="n">
        <v>1354</v>
      </c>
      <c r="U608" s="117">
        <f>IFERROR(S608/T608,"")</f>
        <v/>
      </c>
      <c r="V608" s="116" t="n">
        <v>47</v>
      </c>
      <c r="W608" s="116" t="n">
        <v>34</v>
      </c>
      <c r="X608" s="118">
        <f>IFERROR(W608/S608,"")</f>
        <v/>
      </c>
      <c r="Y608" s="115">
        <f>IFERROR(R608/W608,"")</f>
        <v/>
      </c>
      <c r="Z608" s="115">
        <f>IFERROR(R608/S608*1000,"")</f>
        <v/>
      </c>
      <c r="AA608" s="116" t="n">
        <v>28</v>
      </c>
      <c r="AB608" s="47">
        <f>IFERROR(AA608/W608,"")</f>
        <v/>
      </c>
      <c r="AC608" s="116" t="n">
        <v>833</v>
      </c>
      <c r="AD608" s="116" t="n">
        <v>451</v>
      </c>
      <c r="AE608" s="116" t="n">
        <v>438</v>
      </c>
      <c r="AF608" s="116" t="n">
        <v>297</v>
      </c>
      <c r="AG608" s="116" t="n">
        <v>210</v>
      </c>
      <c r="AH608" s="116" t="n">
        <v>124</v>
      </c>
      <c r="AI608" s="47">
        <f>IFERROR(AC608/S608,"")</f>
        <v/>
      </c>
      <c r="AJ608" s="47">
        <f>IFERROR(AH608/S608,"")</f>
        <v/>
      </c>
      <c r="AK608" s="116" t="n">
        <v>49</v>
      </c>
      <c r="AL608" s="116" t="n">
        <v>1</v>
      </c>
      <c r="AM608" s="118">
        <f>IFERROR(AL608/AA608,"")</f>
        <v/>
      </c>
      <c r="AN608" s="119">
        <f>IFERROR(R608/AL608,"")</f>
        <v/>
      </c>
      <c r="AO608" s="116" t="n">
        <v>1</v>
      </c>
      <c r="AP608" s="47">
        <f>IFERROR(AO608/AL608,"")</f>
        <v/>
      </c>
      <c r="AQ608" s="119">
        <f>IFERROR(R608/AO608,"")</f>
        <v/>
      </c>
      <c r="AR608" s="116" t="n">
        <v>1</v>
      </c>
      <c r="AS608" s="116" t="n">
        <v>0</v>
      </c>
      <c r="AT608" s="116">
        <f>AL608+AR608</f>
        <v/>
      </c>
      <c r="AU608" s="119">
        <f>IFERROR(AO608*Assumptions!$C$26*Assumptions!$C$27*INDEX(Assumptions!$C$18:$C$21,MATCH(H608,Assumptions!$B$18:$B$21,0)),0)</f>
        <v/>
      </c>
    </row>
    <row r="609">
      <c r="A609" s="114" t="n">
        <v>46248</v>
      </c>
      <c r="B609" s="42" t="inlineStr">
        <is>
          <t>Wk 33</t>
        </is>
      </c>
      <c r="C609" s="42" t="inlineStr">
        <is>
          <t>Fri</t>
        </is>
      </c>
      <c r="D609" s="42" t="inlineStr">
        <is>
          <t>Meta (FB/IG)</t>
        </is>
      </c>
      <c r="E609" s="42" t="inlineStr">
        <is>
          <t>Facebook + Instagram</t>
        </is>
      </c>
      <c r="F609" s="42" t="inlineStr">
        <is>
          <t>LEP_ZA_AUG26_META_TD_PANTERA_CONV</t>
        </is>
      </c>
      <c r="G609" s="42" t="inlineStr">
        <is>
          <t>Leads - Website Conversions</t>
        </is>
      </c>
      <c r="H609" s="42" t="inlineStr">
        <is>
          <t>PANTERA</t>
        </is>
      </c>
      <c r="I609" s="42" t="inlineStr">
        <is>
          <t>0% Deposit</t>
        </is>
      </c>
      <c r="J609" s="42" t="inlineStr">
        <is>
          <t>MET_PANTERA_LAL1_HIVAL_ZA</t>
        </is>
      </c>
      <c r="K609" s="42" t="inlineStr">
        <is>
          <t>Lookalike</t>
        </is>
      </c>
      <c r="L609" s="42" t="inlineStr">
        <is>
          <t>PANTERA_VID_25s_Flagship_v1</t>
        </is>
      </c>
      <c r="M609" s="42" t="inlineStr">
        <is>
          <t>Video 9:16</t>
        </is>
      </c>
      <c r="N609" s="42" t="inlineStr">
        <is>
          <t>The flagship, without the flagship price</t>
        </is>
      </c>
      <c r="O609" s="42" t="inlineStr">
        <is>
          <t>Auction - Cost Cap</t>
        </is>
      </c>
      <c r="P609" s="42" t="inlineStr">
        <is>
          <t>Offsite Conversions</t>
        </is>
      </c>
      <c r="Q609" s="42" t="inlineStr">
        <is>
          <t>https://www.lepas-sa.co.za/offers/pantera</t>
        </is>
      </c>
      <c r="R609" s="115" t="n">
        <v>184.12</v>
      </c>
      <c r="S609" s="116" t="n">
        <v>2638</v>
      </c>
      <c r="T609" s="116" t="n">
        <v>1441</v>
      </c>
      <c r="U609" s="117">
        <f>IFERROR(S609/T609,"")</f>
        <v/>
      </c>
      <c r="V609" s="116" t="n">
        <v>58</v>
      </c>
      <c r="W609" s="116" t="n">
        <v>48</v>
      </c>
      <c r="X609" s="118">
        <f>IFERROR(W609/S609,"")</f>
        <v/>
      </c>
      <c r="Y609" s="115">
        <f>IFERROR(R609/W609,"")</f>
        <v/>
      </c>
      <c r="Z609" s="115">
        <f>IFERROR(R609/S609*1000,"")</f>
        <v/>
      </c>
      <c r="AA609" s="116" t="n">
        <v>42</v>
      </c>
      <c r="AB609" s="47">
        <f>IFERROR(AA609/W609,"")</f>
        <v/>
      </c>
      <c r="AC609" s="116" t="n">
        <v>936</v>
      </c>
      <c r="AD609" s="116" t="n">
        <v>483</v>
      </c>
      <c r="AE609" s="116" t="n">
        <v>424</v>
      </c>
      <c r="AF609" s="116" t="n">
        <v>261</v>
      </c>
      <c r="AG609" s="116" t="n">
        <v>171</v>
      </c>
      <c r="AH609" s="116" t="n">
        <v>122</v>
      </c>
      <c r="AI609" s="47">
        <f>IFERROR(AC609/S609,"")</f>
        <v/>
      </c>
      <c r="AJ609" s="47">
        <f>IFERROR(AH609/S609,"")</f>
        <v/>
      </c>
      <c r="AK609" s="116" t="n">
        <v>34</v>
      </c>
      <c r="AL609" s="116" t="n">
        <v>1</v>
      </c>
      <c r="AM609" s="118">
        <f>IFERROR(AL609/AA609,"")</f>
        <v/>
      </c>
      <c r="AN609" s="119">
        <f>IFERROR(R609/AL609,"")</f>
        <v/>
      </c>
      <c r="AO609" s="116" t="n">
        <v>1</v>
      </c>
      <c r="AP609" s="47">
        <f>IFERROR(AO609/AL609,"")</f>
        <v/>
      </c>
      <c r="AQ609" s="119">
        <f>IFERROR(R609/AO609,"")</f>
        <v/>
      </c>
      <c r="AR609" s="116" t="n">
        <v>1</v>
      </c>
      <c r="AS609" s="116" t="n">
        <v>0</v>
      </c>
      <c r="AT609" s="116">
        <f>AL609+AR609</f>
        <v/>
      </c>
      <c r="AU609" s="119">
        <f>IFERROR(AO609*Assumptions!$C$26*Assumptions!$C$27*INDEX(Assumptions!$C$18:$C$21,MATCH(H609,Assumptions!$B$18:$B$21,0)),0)</f>
        <v/>
      </c>
    </row>
    <row r="610">
      <c r="A610" s="114" t="n">
        <v>46249</v>
      </c>
      <c r="B610" s="42" t="inlineStr">
        <is>
          <t>Wk 33</t>
        </is>
      </c>
      <c r="C610" s="42" t="inlineStr">
        <is>
          <t>Sat</t>
        </is>
      </c>
      <c r="D610" s="42" t="inlineStr">
        <is>
          <t>Meta (FB/IG)</t>
        </is>
      </c>
      <c r="E610" s="42" t="inlineStr">
        <is>
          <t>Facebook + Instagram</t>
        </is>
      </c>
      <c r="F610" s="42" t="inlineStr">
        <is>
          <t>LEP_ZA_AUG26_META_TD_PANTERA_CONV</t>
        </is>
      </c>
      <c r="G610" s="42" t="inlineStr">
        <is>
          <t>Leads - Website Conversions</t>
        </is>
      </c>
      <c r="H610" s="42" t="inlineStr">
        <is>
          <t>PANTERA</t>
        </is>
      </c>
      <c r="I610" s="42" t="inlineStr">
        <is>
          <t>0% Deposit</t>
        </is>
      </c>
      <c r="J610" s="42" t="inlineStr">
        <is>
          <t>MET_PANTERA_LAL1_HIVAL_ZA</t>
        </is>
      </c>
      <c r="K610" s="42" t="inlineStr">
        <is>
          <t>Lookalike</t>
        </is>
      </c>
      <c r="L610" s="42" t="inlineStr">
        <is>
          <t>PANTERA_VID_25s_Flagship_v1</t>
        </is>
      </c>
      <c r="M610" s="42" t="inlineStr">
        <is>
          <t>Video 9:16</t>
        </is>
      </c>
      <c r="N610" s="42" t="inlineStr">
        <is>
          <t>The flagship, without the flagship price</t>
        </is>
      </c>
      <c r="O610" s="42" t="inlineStr">
        <is>
          <t>Auction - Cost Cap</t>
        </is>
      </c>
      <c r="P610" s="42" t="inlineStr">
        <is>
          <t>Offsite Conversions</t>
        </is>
      </c>
      <c r="Q610" s="42" t="inlineStr">
        <is>
          <t>https://www.lepas-sa.co.za/offers/pantera</t>
        </is>
      </c>
      <c r="R610" s="115" t="n">
        <v>159.93</v>
      </c>
      <c r="S610" s="116" t="n">
        <v>1713</v>
      </c>
      <c r="T610" s="116" t="n">
        <v>939</v>
      </c>
      <c r="U610" s="117">
        <f>IFERROR(S610/T610,"")</f>
        <v/>
      </c>
      <c r="V610" s="116" t="n">
        <v>22</v>
      </c>
      <c r="W610" s="116" t="n">
        <v>17</v>
      </c>
      <c r="X610" s="118">
        <f>IFERROR(W610/S610,"")</f>
        <v/>
      </c>
      <c r="Y610" s="115">
        <f>IFERROR(R610/W610,"")</f>
        <v/>
      </c>
      <c r="Z610" s="115">
        <f>IFERROR(R610/S610*1000,"")</f>
        <v/>
      </c>
      <c r="AA610" s="116" t="n">
        <v>15</v>
      </c>
      <c r="AB610" s="47">
        <f>IFERROR(AA610/W610,"")</f>
        <v/>
      </c>
      <c r="AC610" s="116" t="n">
        <v>445</v>
      </c>
      <c r="AD610" s="116" t="n">
        <v>252</v>
      </c>
      <c r="AE610" s="116" t="n">
        <v>168</v>
      </c>
      <c r="AF610" s="116" t="n">
        <v>105</v>
      </c>
      <c r="AG610" s="116" t="n">
        <v>78</v>
      </c>
      <c r="AH610" s="116" t="n">
        <v>50</v>
      </c>
      <c r="AI610" s="47">
        <f>IFERROR(AC610/S610,"")</f>
        <v/>
      </c>
      <c r="AJ610" s="47">
        <f>IFERROR(AH610/S610,"")</f>
        <v/>
      </c>
      <c r="AK610" s="116" t="n">
        <v>34</v>
      </c>
      <c r="AL610" s="116" t="n">
        <v>0</v>
      </c>
      <c r="AM610" s="118">
        <f>IFERROR(AL610/AA610,"")</f>
        <v/>
      </c>
      <c r="AN610" s="119">
        <f>IFERROR(R610/AL610,"")</f>
        <v/>
      </c>
      <c r="AO610" s="116" t="n">
        <v>0</v>
      </c>
      <c r="AP610" s="47">
        <f>IFERROR(AO610/AL610,"")</f>
        <v/>
      </c>
      <c r="AQ610" s="119">
        <f>IFERROR(R610/AO610,"")</f>
        <v/>
      </c>
      <c r="AR610" s="116" t="n">
        <v>0</v>
      </c>
      <c r="AS610" s="116" t="n">
        <v>0</v>
      </c>
      <c r="AT610" s="116">
        <f>AL610+AR610</f>
        <v/>
      </c>
      <c r="AU610" s="119">
        <f>IFERROR(AO610*Assumptions!$C$26*Assumptions!$C$27*INDEX(Assumptions!$C$18:$C$21,MATCH(H610,Assumptions!$B$18:$B$21,0)),0)</f>
        <v/>
      </c>
    </row>
    <row r="611">
      <c r="A611" s="114" t="n">
        <v>46250</v>
      </c>
      <c r="B611" s="42" t="inlineStr">
        <is>
          <t>Wk 33</t>
        </is>
      </c>
      <c r="C611" s="42" t="inlineStr">
        <is>
          <t>Sun</t>
        </is>
      </c>
      <c r="D611" s="42" t="inlineStr">
        <is>
          <t>Meta (FB/IG)</t>
        </is>
      </c>
      <c r="E611" s="42" t="inlineStr">
        <is>
          <t>Facebook + Instagram</t>
        </is>
      </c>
      <c r="F611" s="42" t="inlineStr">
        <is>
          <t>LEP_ZA_AUG26_META_TD_PANTERA_CONV</t>
        </is>
      </c>
      <c r="G611" s="42" t="inlineStr">
        <is>
          <t>Leads - Website Conversions</t>
        </is>
      </c>
      <c r="H611" s="42" t="inlineStr">
        <is>
          <t>PANTERA</t>
        </is>
      </c>
      <c r="I611" s="42" t="inlineStr">
        <is>
          <t>0% Deposit</t>
        </is>
      </c>
      <c r="J611" s="42" t="inlineStr">
        <is>
          <t>MET_PANTERA_LAL1_HIVAL_ZA</t>
        </is>
      </c>
      <c r="K611" s="42" t="inlineStr">
        <is>
          <t>Lookalike</t>
        </is>
      </c>
      <c r="L611" s="42" t="inlineStr">
        <is>
          <t>PANTERA_VID_25s_Flagship_v1</t>
        </is>
      </c>
      <c r="M611" s="42" t="inlineStr">
        <is>
          <t>Video 9:16</t>
        </is>
      </c>
      <c r="N611" s="42" t="inlineStr">
        <is>
          <t>The flagship, without the flagship price</t>
        </is>
      </c>
      <c r="O611" s="42" t="inlineStr">
        <is>
          <t>Auction - Cost Cap</t>
        </is>
      </c>
      <c r="P611" s="42" t="inlineStr">
        <is>
          <t>Offsite Conversions</t>
        </is>
      </c>
      <c r="Q611" s="42" t="inlineStr">
        <is>
          <t>https://www.lepas-sa.co.za/offers/pantera</t>
        </is>
      </c>
      <c r="R611" s="115" t="n">
        <v>134.11</v>
      </c>
      <c r="S611" s="116" t="n">
        <v>1532</v>
      </c>
      <c r="T611" s="116" t="n">
        <v>1024</v>
      </c>
      <c r="U611" s="117">
        <f>IFERROR(S611/T611,"")</f>
        <v/>
      </c>
      <c r="V611" s="116" t="n">
        <v>28</v>
      </c>
      <c r="W611" s="116" t="n">
        <v>24</v>
      </c>
      <c r="X611" s="118">
        <f>IFERROR(W611/S611,"")</f>
        <v/>
      </c>
      <c r="Y611" s="115">
        <f>IFERROR(R611/W611,"")</f>
        <v/>
      </c>
      <c r="Z611" s="115">
        <f>IFERROR(R611/S611*1000,"")</f>
        <v/>
      </c>
      <c r="AA611" s="116" t="n">
        <v>21</v>
      </c>
      <c r="AB611" s="47">
        <f>IFERROR(AA611/W611,"")</f>
        <v/>
      </c>
      <c r="AC611" s="116" t="n">
        <v>538</v>
      </c>
      <c r="AD611" s="116" t="n">
        <v>328</v>
      </c>
      <c r="AE611" s="116" t="n">
        <v>226</v>
      </c>
      <c r="AF611" s="116" t="n">
        <v>128</v>
      </c>
      <c r="AG611" s="116" t="n">
        <v>89</v>
      </c>
      <c r="AH611" s="116" t="n">
        <v>61</v>
      </c>
      <c r="AI611" s="47">
        <f>IFERROR(AC611/S611,"")</f>
        <v/>
      </c>
      <c r="AJ611" s="47">
        <f>IFERROR(AH611/S611,"")</f>
        <v/>
      </c>
      <c r="AK611" s="116" t="n">
        <v>43</v>
      </c>
      <c r="AL611" s="116" t="n">
        <v>0</v>
      </c>
      <c r="AM611" s="118">
        <f>IFERROR(AL611/AA611,"")</f>
        <v/>
      </c>
      <c r="AN611" s="119">
        <f>IFERROR(R611/AL611,"")</f>
        <v/>
      </c>
      <c r="AO611" s="116" t="n">
        <v>0</v>
      </c>
      <c r="AP611" s="47">
        <f>IFERROR(AO611/AL611,"")</f>
        <v/>
      </c>
      <c r="AQ611" s="119">
        <f>IFERROR(R611/AO611,"")</f>
        <v/>
      </c>
      <c r="AR611" s="116" t="n">
        <v>0</v>
      </c>
      <c r="AS611" s="116" t="n">
        <v>0</v>
      </c>
      <c r="AT611" s="116">
        <f>AL611+AR611</f>
        <v/>
      </c>
      <c r="AU611" s="119">
        <f>IFERROR(AO611*Assumptions!$C$26*Assumptions!$C$27*INDEX(Assumptions!$C$18:$C$21,MATCH(H611,Assumptions!$B$18:$B$21,0)),0)</f>
        <v/>
      </c>
    </row>
    <row r="612">
      <c r="A612" s="114" t="n">
        <v>46251</v>
      </c>
      <c r="B612" s="42" t="inlineStr">
        <is>
          <t>Wk 34</t>
        </is>
      </c>
      <c r="C612" s="42" t="inlineStr">
        <is>
          <t>Mon</t>
        </is>
      </c>
      <c r="D612" s="42" t="inlineStr">
        <is>
          <t>Meta (FB/IG)</t>
        </is>
      </c>
      <c r="E612" s="42" t="inlineStr">
        <is>
          <t>Facebook + Instagram</t>
        </is>
      </c>
      <c r="F612" s="42" t="inlineStr">
        <is>
          <t>LEP_ZA_AUG26_META_TD_PANTERA_CONV</t>
        </is>
      </c>
      <c r="G612" s="42" t="inlineStr">
        <is>
          <t>Leads - Website Conversions</t>
        </is>
      </c>
      <c r="H612" s="42" t="inlineStr">
        <is>
          <t>PANTERA</t>
        </is>
      </c>
      <c r="I612" s="42" t="inlineStr">
        <is>
          <t>0% Deposit</t>
        </is>
      </c>
      <c r="J612" s="42" t="inlineStr">
        <is>
          <t>MET_PANTERA_LAL1_HIVAL_ZA</t>
        </is>
      </c>
      <c r="K612" s="42" t="inlineStr">
        <is>
          <t>Lookalike</t>
        </is>
      </c>
      <c r="L612" s="42" t="inlineStr">
        <is>
          <t>PANTERA_VID_25s_Flagship_v1</t>
        </is>
      </c>
      <c r="M612" s="42" t="inlineStr">
        <is>
          <t>Video 9:16</t>
        </is>
      </c>
      <c r="N612" s="42" t="inlineStr">
        <is>
          <t>The flagship, without the flagship price</t>
        </is>
      </c>
      <c r="O612" s="42" t="inlineStr">
        <is>
          <t>Auction - Cost Cap</t>
        </is>
      </c>
      <c r="P612" s="42" t="inlineStr">
        <is>
          <t>Offsite Conversions</t>
        </is>
      </c>
      <c r="Q612" s="42" t="inlineStr">
        <is>
          <t>https://www.lepas-sa.co.za/offers/pantera</t>
        </is>
      </c>
      <c r="R612" s="115" t="n">
        <v>142.14</v>
      </c>
      <c r="S612" s="116" t="n">
        <v>2113</v>
      </c>
      <c r="T612" s="116" t="n">
        <v>1365</v>
      </c>
      <c r="U612" s="117">
        <f>IFERROR(S612/T612,"")</f>
        <v/>
      </c>
      <c r="V612" s="116" t="n">
        <v>40</v>
      </c>
      <c r="W612" s="116" t="n">
        <v>32</v>
      </c>
      <c r="X612" s="118">
        <f>IFERROR(W612/S612,"")</f>
        <v/>
      </c>
      <c r="Y612" s="115">
        <f>IFERROR(R612/W612,"")</f>
        <v/>
      </c>
      <c r="Z612" s="115">
        <f>IFERROR(R612/S612*1000,"")</f>
        <v/>
      </c>
      <c r="AA612" s="116" t="n">
        <v>26</v>
      </c>
      <c r="AB612" s="47">
        <f>IFERROR(AA612/W612,"")</f>
        <v/>
      </c>
      <c r="AC612" s="116" t="n">
        <v>764</v>
      </c>
      <c r="AD612" s="116" t="n">
        <v>421</v>
      </c>
      <c r="AE612" s="116" t="n">
        <v>383</v>
      </c>
      <c r="AF612" s="116" t="n">
        <v>214</v>
      </c>
      <c r="AG612" s="116" t="n">
        <v>145</v>
      </c>
      <c r="AH612" s="116" t="n">
        <v>100</v>
      </c>
      <c r="AI612" s="47">
        <f>IFERROR(AC612/S612,"")</f>
        <v/>
      </c>
      <c r="AJ612" s="47">
        <f>IFERROR(AH612/S612,"")</f>
        <v/>
      </c>
      <c r="AK612" s="116" t="n">
        <v>37</v>
      </c>
      <c r="AL612" s="116" t="n">
        <v>1</v>
      </c>
      <c r="AM612" s="118">
        <f>IFERROR(AL612/AA612,"")</f>
        <v/>
      </c>
      <c r="AN612" s="119">
        <f>IFERROR(R612/AL612,"")</f>
        <v/>
      </c>
      <c r="AO612" s="116" t="n">
        <v>0</v>
      </c>
      <c r="AP612" s="47">
        <f>IFERROR(AO612/AL612,"")</f>
        <v/>
      </c>
      <c r="AQ612" s="119">
        <f>IFERROR(R612/AO612,"")</f>
        <v/>
      </c>
      <c r="AR612" s="116" t="n">
        <v>0</v>
      </c>
      <c r="AS612" s="116" t="n">
        <v>1</v>
      </c>
      <c r="AT612" s="116">
        <f>AL612+AR612</f>
        <v/>
      </c>
      <c r="AU612" s="119">
        <f>IFERROR(AO612*Assumptions!$C$26*Assumptions!$C$27*INDEX(Assumptions!$C$18:$C$21,MATCH(H612,Assumptions!$B$18:$B$21,0)),0)</f>
        <v/>
      </c>
    </row>
    <row r="613">
      <c r="A613" s="114" t="n">
        <v>46252</v>
      </c>
      <c r="B613" s="42" t="inlineStr">
        <is>
          <t>Wk 34</t>
        </is>
      </c>
      <c r="C613" s="42" t="inlineStr">
        <is>
          <t>Tue</t>
        </is>
      </c>
      <c r="D613" s="42" t="inlineStr">
        <is>
          <t>Meta (FB/IG)</t>
        </is>
      </c>
      <c r="E613" s="42" t="inlineStr">
        <is>
          <t>Facebook + Instagram</t>
        </is>
      </c>
      <c r="F613" s="42" t="inlineStr">
        <is>
          <t>LEP_ZA_AUG26_META_TD_PANTERA_CONV</t>
        </is>
      </c>
      <c r="G613" s="42" t="inlineStr">
        <is>
          <t>Leads - Website Conversions</t>
        </is>
      </c>
      <c r="H613" s="42" t="inlineStr">
        <is>
          <t>PANTERA</t>
        </is>
      </c>
      <c r="I613" s="42" t="inlineStr">
        <is>
          <t>0% Deposit</t>
        </is>
      </c>
      <c r="J613" s="42" t="inlineStr">
        <is>
          <t>MET_PANTERA_LAL1_HIVAL_ZA</t>
        </is>
      </c>
      <c r="K613" s="42" t="inlineStr">
        <is>
          <t>Lookalike</t>
        </is>
      </c>
      <c r="L613" s="42" t="inlineStr">
        <is>
          <t>PANTERA_VID_25s_Flagship_v1</t>
        </is>
      </c>
      <c r="M613" s="42" t="inlineStr">
        <is>
          <t>Video 9:16</t>
        </is>
      </c>
      <c r="N613" s="42" t="inlineStr">
        <is>
          <t>The flagship, without the flagship price</t>
        </is>
      </c>
      <c r="O613" s="42" t="inlineStr">
        <is>
          <t>Auction - Cost Cap</t>
        </is>
      </c>
      <c r="P613" s="42" t="inlineStr">
        <is>
          <t>Offsite Conversions</t>
        </is>
      </c>
      <c r="Q613" s="42" t="inlineStr">
        <is>
          <t>https://www.lepas-sa.co.za/offers/pantera</t>
        </is>
      </c>
      <c r="R613" s="115" t="n">
        <v>173.54</v>
      </c>
      <c r="S613" s="116" t="n">
        <v>2675</v>
      </c>
      <c r="T613" s="116" t="n">
        <v>1986</v>
      </c>
      <c r="U613" s="117">
        <f>IFERROR(S613/T613,"")</f>
        <v/>
      </c>
      <c r="V613" s="116" t="n">
        <v>54</v>
      </c>
      <c r="W613" s="116" t="n">
        <v>44</v>
      </c>
      <c r="X613" s="118">
        <f>IFERROR(W613/S613,"")</f>
        <v/>
      </c>
      <c r="Y613" s="115">
        <f>IFERROR(R613/W613,"")</f>
        <v/>
      </c>
      <c r="Z613" s="115">
        <f>IFERROR(R613/S613*1000,"")</f>
        <v/>
      </c>
      <c r="AA613" s="116" t="n">
        <v>37</v>
      </c>
      <c r="AB613" s="47">
        <f>IFERROR(AA613/W613,"")</f>
        <v/>
      </c>
      <c r="AC613" s="116" t="n">
        <v>616</v>
      </c>
      <c r="AD613" s="116" t="n">
        <v>358</v>
      </c>
      <c r="AE613" s="116" t="n">
        <v>279</v>
      </c>
      <c r="AF613" s="116" t="n">
        <v>169</v>
      </c>
      <c r="AG613" s="116" t="n">
        <v>133</v>
      </c>
      <c r="AH613" s="116" t="n">
        <v>97</v>
      </c>
      <c r="AI613" s="47">
        <f>IFERROR(AC613/S613,"")</f>
        <v/>
      </c>
      <c r="AJ613" s="47">
        <f>IFERROR(AH613/S613,"")</f>
        <v/>
      </c>
      <c r="AK613" s="116" t="n">
        <v>71</v>
      </c>
      <c r="AL613" s="116" t="n">
        <v>1</v>
      </c>
      <c r="AM613" s="118">
        <f>IFERROR(AL613/AA613,"")</f>
        <v/>
      </c>
      <c r="AN613" s="119">
        <f>IFERROR(R613/AL613,"")</f>
        <v/>
      </c>
      <c r="AO613" s="116" t="n">
        <v>1</v>
      </c>
      <c r="AP613" s="47">
        <f>IFERROR(AO613/AL613,"")</f>
        <v/>
      </c>
      <c r="AQ613" s="119">
        <f>IFERROR(R613/AO613,"")</f>
        <v/>
      </c>
      <c r="AR613" s="116" t="n">
        <v>0</v>
      </c>
      <c r="AS613" s="116" t="n">
        <v>1</v>
      </c>
      <c r="AT613" s="116">
        <f>AL613+AR613</f>
        <v/>
      </c>
      <c r="AU613" s="119">
        <f>IFERROR(AO613*Assumptions!$C$26*Assumptions!$C$27*INDEX(Assumptions!$C$18:$C$21,MATCH(H613,Assumptions!$B$18:$B$21,0)),0)</f>
        <v/>
      </c>
    </row>
    <row r="614">
      <c r="A614" s="114" t="n">
        <v>46253</v>
      </c>
      <c r="B614" s="42" t="inlineStr">
        <is>
          <t>Wk 34</t>
        </is>
      </c>
      <c r="C614" s="42" t="inlineStr">
        <is>
          <t>Wed</t>
        </is>
      </c>
      <c r="D614" s="42" t="inlineStr">
        <is>
          <t>Meta (FB/IG)</t>
        </is>
      </c>
      <c r="E614" s="42" t="inlineStr">
        <is>
          <t>Facebook + Instagram</t>
        </is>
      </c>
      <c r="F614" s="42" t="inlineStr">
        <is>
          <t>LEP_ZA_AUG26_META_TD_PANTERA_CONV</t>
        </is>
      </c>
      <c r="G614" s="42" t="inlineStr">
        <is>
          <t>Leads - Website Conversions</t>
        </is>
      </c>
      <c r="H614" s="42" t="inlineStr">
        <is>
          <t>PANTERA</t>
        </is>
      </c>
      <c r="I614" s="42" t="inlineStr">
        <is>
          <t>0% Deposit</t>
        </is>
      </c>
      <c r="J614" s="42" t="inlineStr">
        <is>
          <t>MET_PANTERA_LAL1_HIVAL_ZA</t>
        </is>
      </c>
      <c r="K614" s="42" t="inlineStr">
        <is>
          <t>Lookalike</t>
        </is>
      </c>
      <c r="L614" s="42" t="inlineStr">
        <is>
          <t>PANTERA_VID_25s_Flagship_v1</t>
        </is>
      </c>
      <c r="M614" s="42" t="inlineStr">
        <is>
          <t>Video 9:16</t>
        </is>
      </c>
      <c r="N614" s="42" t="inlineStr">
        <is>
          <t>The flagship, without the flagship price</t>
        </is>
      </c>
      <c r="O614" s="42" t="inlineStr">
        <is>
          <t>Auction - Cost Cap</t>
        </is>
      </c>
      <c r="P614" s="42" t="inlineStr">
        <is>
          <t>Offsite Conversions</t>
        </is>
      </c>
      <c r="Q614" s="42" t="inlineStr">
        <is>
          <t>https://www.lepas-sa.co.za/offers/pantera</t>
        </is>
      </c>
      <c r="R614" s="115" t="n">
        <v>144.09</v>
      </c>
      <c r="S614" s="116" t="n">
        <v>2268</v>
      </c>
      <c r="T614" s="116" t="n">
        <v>1541</v>
      </c>
      <c r="U614" s="117">
        <f>IFERROR(S614/T614,"")</f>
        <v/>
      </c>
      <c r="V614" s="116" t="n">
        <v>24</v>
      </c>
      <c r="W614" s="116" t="n">
        <v>19</v>
      </c>
      <c r="X614" s="118">
        <f>IFERROR(W614/S614,"")</f>
        <v/>
      </c>
      <c r="Y614" s="115">
        <f>IFERROR(R614/W614,"")</f>
        <v/>
      </c>
      <c r="Z614" s="115">
        <f>IFERROR(R614/S614*1000,"")</f>
        <v/>
      </c>
      <c r="AA614" s="116" t="n">
        <v>17</v>
      </c>
      <c r="AB614" s="47">
        <f>IFERROR(AA614/W614,"")</f>
        <v/>
      </c>
      <c r="AC614" s="116" t="n">
        <v>526</v>
      </c>
      <c r="AD614" s="116" t="n">
        <v>240</v>
      </c>
      <c r="AE614" s="116" t="n">
        <v>234</v>
      </c>
      <c r="AF614" s="116" t="n">
        <v>144</v>
      </c>
      <c r="AG614" s="116" t="n">
        <v>94</v>
      </c>
      <c r="AH614" s="116" t="n">
        <v>51</v>
      </c>
      <c r="AI614" s="47">
        <f>IFERROR(AC614/S614,"")</f>
        <v/>
      </c>
      <c r="AJ614" s="47">
        <f>IFERROR(AH614/S614,"")</f>
        <v/>
      </c>
      <c r="AK614" s="116" t="n">
        <v>55</v>
      </c>
      <c r="AL614" s="116" t="n">
        <v>0</v>
      </c>
      <c r="AM614" s="118">
        <f>IFERROR(AL614/AA614,"")</f>
        <v/>
      </c>
      <c r="AN614" s="119">
        <f>IFERROR(R614/AL614,"")</f>
        <v/>
      </c>
      <c r="AO614" s="116" t="n">
        <v>0</v>
      </c>
      <c r="AP614" s="47">
        <f>IFERROR(AO614/AL614,"")</f>
        <v/>
      </c>
      <c r="AQ614" s="119">
        <f>IFERROR(R614/AO614,"")</f>
        <v/>
      </c>
      <c r="AR614" s="116" t="n">
        <v>0</v>
      </c>
      <c r="AS614" s="116" t="n">
        <v>0</v>
      </c>
      <c r="AT614" s="116">
        <f>AL614+AR614</f>
        <v/>
      </c>
      <c r="AU614" s="119">
        <f>IFERROR(AO614*Assumptions!$C$26*Assumptions!$C$27*INDEX(Assumptions!$C$18:$C$21,MATCH(H614,Assumptions!$B$18:$B$21,0)),0)</f>
        <v/>
      </c>
    </row>
    <row r="615">
      <c r="A615" s="114" t="n">
        <v>46254</v>
      </c>
      <c r="B615" s="42" t="inlineStr">
        <is>
          <t>Wk 34</t>
        </is>
      </c>
      <c r="C615" s="42" t="inlineStr">
        <is>
          <t>Thu</t>
        </is>
      </c>
      <c r="D615" s="42" t="inlineStr">
        <is>
          <t>Meta (FB/IG)</t>
        </is>
      </c>
      <c r="E615" s="42" t="inlineStr">
        <is>
          <t>Facebook + Instagram</t>
        </is>
      </c>
      <c r="F615" s="42" t="inlineStr">
        <is>
          <t>LEP_ZA_AUG26_META_TD_PANTERA_CONV</t>
        </is>
      </c>
      <c r="G615" s="42" t="inlineStr">
        <is>
          <t>Leads - Website Conversions</t>
        </is>
      </c>
      <c r="H615" s="42" t="inlineStr">
        <is>
          <t>PANTERA</t>
        </is>
      </c>
      <c r="I615" s="42" t="inlineStr">
        <is>
          <t>0% Deposit</t>
        </is>
      </c>
      <c r="J615" s="42" t="inlineStr">
        <is>
          <t>MET_PANTERA_LAL1_HIVAL_ZA</t>
        </is>
      </c>
      <c r="K615" s="42" t="inlineStr">
        <is>
          <t>Lookalike</t>
        </is>
      </c>
      <c r="L615" s="42" t="inlineStr">
        <is>
          <t>PANTERA_VID_25s_Flagship_v1</t>
        </is>
      </c>
      <c r="M615" s="42" t="inlineStr">
        <is>
          <t>Video 9:16</t>
        </is>
      </c>
      <c r="N615" s="42" t="inlineStr">
        <is>
          <t>The flagship, without the flagship price</t>
        </is>
      </c>
      <c r="O615" s="42" t="inlineStr">
        <is>
          <t>Auction - Cost Cap</t>
        </is>
      </c>
      <c r="P615" s="42" t="inlineStr">
        <is>
          <t>Offsite Conversions</t>
        </is>
      </c>
      <c r="Q615" s="42" t="inlineStr">
        <is>
          <t>https://www.lepas-sa.co.za/offers/pantera</t>
        </is>
      </c>
      <c r="R615" s="115" t="n">
        <v>175.19</v>
      </c>
      <c r="S615" s="116" t="n">
        <v>2131</v>
      </c>
      <c r="T615" s="116" t="n">
        <v>1416</v>
      </c>
      <c r="U615" s="117">
        <f>IFERROR(S615/T615,"")</f>
        <v/>
      </c>
      <c r="V615" s="116" t="n">
        <v>41</v>
      </c>
      <c r="W615" s="116" t="n">
        <v>33</v>
      </c>
      <c r="X615" s="118">
        <f>IFERROR(W615/S615,"")</f>
        <v/>
      </c>
      <c r="Y615" s="115">
        <f>IFERROR(R615/W615,"")</f>
        <v/>
      </c>
      <c r="Z615" s="115">
        <f>IFERROR(R615/S615*1000,"")</f>
        <v/>
      </c>
      <c r="AA615" s="116" t="n">
        <v>27</v>
      </c>
      <c r="AB615" s="47">
        <f>IFERROR(AA615/W615,"")</f>
        <v/>
      </c>
      <c r="AC615" s="116" t="n">
        <v>629</v>
      </c>
      <c r="AD615" s="116" t="n">
        <v>396</v>
      </c>
      <c r="AE615" s="116" t="n">
        <v>278</v>
      </c>
      <c r="AF615" s="116" t="n">
        <v>147</v>
      </c>
      <c r="AG615" s="116" t="n">
        <v>107</v>
      </c>
      <c r="AH615" s="116" t="n">
        <v>68</v>
      </c>
      <c r="AI615" s="47">
        <f>IFERROR(AC615/S615,"")</f>
        <v/>
      </c>
      <c r="AJ615" s="47">
        <f>IFERROR(AH615/S615,"")</f>
        <v/>
      </c>
      <c r="AK615" s="116" t="n">
        <v>43</v>
      </c>
      <c r="AL615" s="116" t="n">
        <v>0</v>
      </c>
      <c r="AM615" s="118">
        <f>IFERROR(AL615/AA615,"")</f>
        <v/>
      </c>
      <c r="AN615" s="119">
        <f>IFERROR(R615/AL615,"")</f>
        <v/>
      </c>
      <c r="AO615" s="116" t="n">
        <v>0</v>
      </c>
      <c r="AP615" s="47">
        <f>IFERROR(AO615/AL615,"")</f>
        <v/>
      </c>
      <c r="AQ615" s="119">
        <f>IFERROR(R615/AO615,"")</f>
        <v/>
      </c>
      <c r="AR615" s="116" t="n">
        <v>0</v>
      </c>
      <c r="AS615" s="116" t="n">
        <v>0</v>
      </c>
      <c r="AT615" s="116">
        <f>AL615+AR615</f>
        <v/>
      </c>
      <c r="AU615" s="119">
        <f>IFERROR(AO615*Assumptions!$C$26*Assumptions!$C$27*INDEX(Assumptions!$C$18:$C$21,MATCH(H615,Assumptions!$B$18:$B$21,0)),0)</f>
        <v/>
      </c>
    </row>
    <row r="616">
      <c r="A616" s="114" t="n">
        <v>46255</v>
      </c>
      <c r="B616" s="42" t="inlineStr">
        <is>
          <t>Wk 34</t>
        </is>
      </c>
      <c r="C616" s="42" t="inlineStr">
        <is>
          <t>Fri</t>
        </is>
      </c>
      <c r="D616" s="42" t="inlineStr">
        <is>
          <t>Meta (FB/IG)</t>
        </is>
      </c>
      <c r="E616" s="42" t="inlineStr">
        <is>
          <t>Facebook + Instagram</t>
        </is>
      </c>
      <c r="F616" s="42" t="inlineStr">
        <is>
          <t>LEP_ZA_AUG26_META_TD_PANTERA_CONV</t>
        </is>
      </c>
      <c r="G616" s="42" t="inlineStr">
        <is>
          <t>Leads - Website Conversions</t>
        </is>
      </c>
      <c r="H616" s="42" t="inlineStr">
        <is>
          <t>PANTERA</t>
        </is>
      </c>
      <c r="I616" s="42" t="inlineStr">
        <is>
          <t>0% Deposit</t>
        </is>
      </c>
      <c r="J616" s="42" t="inlineStr">
        <is>
          <t>MET_PANTERA_LAL1_HIVAL_ZA</t>
        </is>
      </c>
      <c r="K616" s="42" t="inlineStr">
        <is>
          <t>Lookalike</t>
        </is>
      </c>
      <c r="L616" s="42" t="inlineStr">
        <is>
          <t>PANTERA_VID_25s_Flagship_v1</t>
        </is>
      </c>
      <c r="M616" s="42" t="inlineStr">
        <is>
          <t>Video 9:16</t>
        </is>
      </c>
      <c r="N616" s="42" t="inlineStr">
        <is>
          <t>The flagship, without the flagship price</t>
        </is>
      </c>
      <c r="O616" s="42" t="inlineStr">
        <is>
          <t>Auction - Cost Cap</t>
        </is>
      </c>
      <c r="P616" s="42" t="inlineStr">
        <is>
          <t>Offsite Conversions</t>
        </is>
      </c>
      <c r="Q616" s="42" t="inlineStr">
        <is>
          <t>https://www.lepas-sa.co.za/offers/pantera</t>
        </is>
      </c>
      <c r="R616" s="115" t="n">
        <v>206.63</v>
      </c>
      <c r="S616" s="116" t="n">
        <v>2506</v>
      </c>
      <c r="T616" s="116" t="n">
        <v>1534</v>
      </c>
      <c r="U616" s="117">
        <f>IFERROR(S616/T616,"")</f>
        <v/>
      </c>
      <c r="V616" s="116" t="n">
        <v>31</v>
      </c>
      <c r="W616" s="116" t="n">
        <v>23</v>
      </c>
      <c r="X616" s="118">
        <f>IFERROR(W616/S616,"")</f>
        <v/>
      </c>
      <c r="Y616" s="115">
        <f>IFERROR(R616/W616,"")</f>
        <v/>
      </c>
      <c r="Z616" s="115">
        <f>IFERROR(R616/S616*1000,"")</f>
        <v/>
      </c>
      <c r="AA616" s="116" t="n">
        <v>20</v>
      </c>
      <c r="AB616" s="47">
        <f>IFERROR(AA616/W616,"")</f>
        <v/>
      </c>
      <c r="AC616" s="116" t="n">
        <v>911</v>
      </c>
      <c r="AD616" s="116" t="n">
        <v>561</v>
      </c>
      <c r="AE616" s="116" t="n">
        <v>345</v>
      </c>
      <c r="AF616" s="116" t="n">
        <v>185</v>
      </c>
      <c r="AG616" s="116" t="n">
        <v>127</v>
      </c>
      <c r="AH616" s="116" t="n">
        <v>91</v>
      </c>
      <c r="AI616" s="47">
        <f>IFERROR(AC616/S616,"")</f>
        <v/>
      </c>
      <c r="AJ616" s="47">
        <f>IFERROR(AH616/S616,"")</f>
        <v/>
      </c>
      <c r="AK616" s="116" t="n">
        <v>32</v>
      </c>
      <c r="AL616" s="116" t="n">
        <v>0</v>
      </c>
      <c r="AM616" s="118">
        <f>IFERROR(AL616/AA616,"")</f>
        <v/>
      </c>
      <c r="AN616" s="119">
        <f>IFERROR(R616/AL616,"")</f>
        <v/>
      </c>
      <c r="AO616" s="116" t="n">
        <v>0</v>
      </c>
      <c r="AP616" s="47">
        <f>IFERROR(AO616/AL616,"")</f>
        <v/>
      </c>
      <c r="AQ616" s="119">
        <f>IFERROR(R616/AO616,"")</f>
        <v/>
      </c>
      <c r="AR616" s="116" t="n">
        <v>0</v>
      </c>
      <c r="AS616" s="116" t="n">
        <v>0</v>
      </c>
      <c r="AT616" s="116">
        <f>AL616+AR616</f>
        <v/>
      </c>
      <c r="AU616" s="119">
        <f>IFERROR(AO616*Assumptions!$C$26*Assumptions!$C$27*INDEX(Assumptions!$C$18:$C$21,MATCH(H616,Assumptions!$B$18:$B$21,0)),0)</f>
        <v/>
      </c>
    </row>
    <row r="617">
      <c r="A617" s="114" t="n">
        <v>46256</v>
      </c>
      <c r="B617" s="42" t="inlineStr">
        <is>
          <t>Wk 34</t>
        </is>
      </c>
      <c r="C617" s="42" t="inlineStr">
        <is>
          <t>Sat</t>
        </is>
      </c>
      <c r="D617" s="42" t="inlineStr">
        <is>
          <t>Meta (FB/IG)</t>
        </is>
      </c>
      <c r="E617" s="42" t="inlineStr">
        <is>
          <t>Facebook + Instagram</t>
        </is>
      </c>
      <c r="F617" s="42" t="inlineStr">
        <is>
          <t>LEP_ZA_AUG26_META_TD_PANTERA_CONV</t>
        </is>
      </c>
      <c r="G617" s="42" t="inlineStr">
        <is>
          <t>Leads - Website Conversions</t>
        </is>
      </c>
      <c r="H617" s="42" t="inlineStr">
        <is>
          <t>PANTERA</t>
        </is>
      </c>
      <c r="I617" s="42" t="inlineStr">
        <is>
          <t>0% Deposit</t>
        </is>
      </c>
      <c r="J617" s="42" t="inlineStr">
        <is>
          <t>MET_PANTERA_LAL1_HIVAL_ZA</t>
        </is>
      </c>
      <c r="K617" s="42" t="inlineStr">
        <is>
          <t>Lookalike</t>
        </is>
      </c>
      <c r="L617" s="42" t="inlineStr">
        <is>
          <t>PANTERA_VID_25s_Flagship_v1</t>
        </is>
      </c>
      <c r="M617" s="42" t="inlineStr">
        <is>
          <t>Video 9:16</t>
        </is>
      </c>
      <c r="N617" s="42" t="inlineStr">
        <is>
          <t>The flagship, without the flagship price</t>
        </is>
      </c>
      <c r="O617" s="42" t="inlineStr">
        <is>
          <t>Auction - Cost Cap</t>
        </is>
      </c>
      <c r="P617" s="42" t="inlineStr">
        <is>
          <t>Offsite Conversions</t>
        </is>
      </c>
      <c r="Q617" s="42" t="inlineStr">
        <is>
          <t>https://www.lepas-sa.co.za/offers/pantera</t>
        </is>
      </c>
      <c r="R617" s="115" t="n">
        <v>195.71</v>
      </c>
      <c r="S617" s="116" t="n">
        <v>2035</v>
      </c>
      <c r="T617" s="116" t="n">
        <v>1076</v>
      </c>
      <c r="U617" s="117">
        <f>IFERROR(S617/T617,"")</f>
        <v/>
      </c>
      <c r="V617" s="116" t="n">
        <v>42</v>
      </c>
      <c r="W617" s="116" t="n">
        <v>35</v>
      </c>
      <c r="X617" s="118">
        <f>IFERROR(W617/S617,"")</f>
        <v/>
      </c>
      <c r="Y617" s="115">
        <f>IFERROR(R617/W617,"")</f>
        <v/>
      </c>
      <c r="Z617" s="115">
        <f>IFERROR(R617/S617*1000,"")</f>
        <v/>
      </c>
      <c r="AA617" s="116" t="n">
        <v>28</v>
      </c>
      <c r="AB617" s="47">
        <f>IFERROR(AA617/W617,"")</f>
        <v/>
      </c>
      <c r="AC617" s="116" t="n">
        <v>593</v>
      </c>
      <c r="AD617" s="116" t="n">
        <v>338</v>
      </c>
      <c r="AE617" s="116" t="n">
        <v>310</v>
      </c>
      <c r="AF617" s="116" t="n">
        <v>205</v>
      </c>
      <c r="AG617" s="116" t="n">
        <v>161</v>
      </c>
      <c r="AH617" s="116" t="n">
        <v>101</v>
      </c>
      <c r="AI617" s="47">
        <f>IFERROR(AC617/S617,"")</f>
        <v/>
      </c>
      <c r="AJ617" s="47">
        <f>IFERROR(AH617/S617,"")</f>
        <v/>
      </c>
      <c r="AK617" s="116" t="n">
        <v>27</v>
      </c>
      <c r="AL617" s="116" t="n">
        <v>0</v>
      </c>
      <c r="AM617" s="118">
        <f>IFERROR(AL617/AA617,"")</f>
        <v/>
      </c>
      <c r="AN617" s="119">
        <f>IFERROR(R617/AL617,"")</f>
        <v/>
      </c>
      <c r="AO617" s="116" t="n">
        <v>0</v>
      </c>
      <c r="AP617" s="47">
        <f>IFERROR(AO617/AL617,"")</f>
        <v/>
      </c>
      <c r="AQ617" s="119">
        <f>IFERROR(R617/AO617,"")</f>
        <v/>
      </c>
      <c r="AR617" s="116" t="n">
        <v>0</v>
      </c>
      <c r="AS617" s="116" t="n">
        <v>0</v>
      </c>
      <c r="AT617" s="116">
        <f>AL617+AR617</f>
        <v/>
      </c>
      <c r="AU617" s="119">
        <f>IFERROR(AO617*Assumptions!$C$26*Assumptions!$C$27*INDEX(Assumptions!$C$18:$C$21,MATCH(H617,Assumptions!$B$18:$B$21,0)),0)</f>
        <v/>
      </c>
    </row>
    <row r="618">
      <c r="A618" s="114" t="n">
        <v>46257</v>
      </c>
      <c r="B618" s="42" t="inlineStr">
        <is>
          <t>Wk 34</t>
        </is>
      </c>
      <c r="C618" s="42" t="inlineStr">
        <is>
          <t>Sun</t>
        </is>
      </c>
      <c r="D618" s="42" t="inlineStr">
        <is>
          <t>Meta (FB/IG)</t>
        </is>
      </c>
      <c r="E618" s="42" t="inlineStr">
        <is>
          <t>Facebook + Instagram</t>
        </is>
      </c>
      <c r="F618" s="42" t="inlineStr">
        <is>
          <t>LEP_ZA_AUG26_META_TD_PANTERA_CONV</t>
        </is>
      </c>
      <c r="G618" s="42" t="inlineStr">
        <is>
          <t>Leads - Website Conversions</t>
        </is>
      </c>
      <c r="H618" s="42" t="inlineStr">
        <is>
          <t>PANTERA</t>
        </is>
      </c>
      <c r="I618" s="42" t="inlineStr">
        <is>
          <t>0% Deposit</t>
        </is>
      </c>
      <c r="J618" s="42" t="inlineStr">
        <is>
          <t>MET_PANTERA_LAL1_HIVAL_ZA</t>
        </is>
      </c>
      <c r="K618" s="42" t="inlineStr">
        <is>
          <t>Lookalike</t>
        </is>
      </c>
      <c r="L618" s="42" t="inlineStr">
        <is>
          <t>PANTERA_VID_25s_Flagship_v1</t>
        </is>
      </c>
      <c r="M618" s="42" t="inlineStr">
        <is>
          <t>Video 9:16</t>
        </is>
      </c>
      <c r="N618" s="42" t="inlineStr">
        <is>
          <t>The flagship, without the flagship price</t>
        </is>
      </c>
      <c r="O618" s="42" t="inlineStr">
        <is>
          <t>Auction - Cost Cap</t>
        </is>
      </c>
      <c r="P618" s="42" t="inlineStr">
        <is>
          <t>Offsite Conversions</t>
        </is>
      </c>
      <c r="Q618" s="42" t="inlineStr">
        <is>
          <t>https://www.lepas-sa.co.za/offers/pantera</t>
        </is>
      </c>
      <c r="R618" s="115" t="n">
        <v>155.04</v>
      </c>
      <c r="S618" s="116" t="n">
        <v>1799</v>
      </c>
      <c r="T618" s="116" t="n">
        <v>982</v>
      </c>
      <c r="U618" s="117">
        <f>IFERROR(S618/T618,"")</f>
        <v/>
      </c>
      <c r="V618" s="116" t="n">
        <v>27</v>
      </c>
      <c r="W618" s="116" t="n">
        <v>20</v>
      </c>
      <c r="X618" s="118">
        <f>IFERROR(W618/S618,"")</f>
        <v/>
      </c>
      <c r="Y618" s="115">
        <f>IFERROR(R618/W618,"")</f>
        <v/>
      </c>
      <c r="Z618" s="115">
        <f>IFERROR(R618/S618*1000,"")</f>
        <v/>
      </c>
      <c r="AA618" s="116" t="n">
        <v>18</v>
      </c>
      <c r="AB618" s="47">
        <f>IFERROR(AA618/W618,"")</f>
        <v/>
      </c>
      <c r="AC618" s="116" t="n">
        <v>590</v>
      </c>
      <c r="AD618" s="116" t="n">
        <v>273</v>
      </c>
      <c r="AE618" s="116" t="n">
        <v>268</v>
      </c>
      <c r="AF618" s="116" t="n">
        <v>155</v>
      </c>
      <c r="AG618" s="116" t="n">
        <v>103</v>
      </c>
      <c r="AH618" s="116" t="n">
        <v>69</v>
      </c>
      <c r="AI618" s="47">
        <f>IFERROR(AC618/S618,"")</f>
        <v/>
      </c>
      <c r="AJ618" s="47">
        <f>IFERROR(AH618/S618,"")</f>
        <v/>
      </c>
      <c r="AK618" s="116" t="n">
        <v>51</v>
      </c>
      <c r="AL618" s="116" t="n">
        <v>1</v>
      </c>
      <c r="AM618" s="118">
        <f>IFERROR(AL618/AA618,"")</f>
        <v/>
      </c>
      <c r="AN618" s="119">
        <f>IFERROR(R618/AL618,"")</f>
        <v/>
      </c>
      <c r="AO618" s="116" t="n">
        <v>1</v>
      </c>
      <c r="AP618" s="47">
        <f>IFERROR(AO618/AL618,"")</f>
        <v/>
      </c>
      <c r="AQ618" s="119">
        <f>IFERROR(R618/AO618,"")</f>
        <v/>
      </c>
      <c r="AR618" s="116" t="n">
        <v>1</v>
      </c>
      <c r="AS618" s="116" t="n">
        <v>1</v>
      </c>
      <c r="AT618" s="116">
        <f>AL618+AR618</f>
        <v/>
      </c>
      <c r="AU618" s="119">
        <f>IFERROR(AO618*Assumptions!$C$26*Assumptions!$C$27*INDEX(Assumptions!$C$18:$C$21,MATCH(H618,Assumptions!$B$18:$B$21,0)),0)</f>
        <v/>
      </c>
    </row>
    <row r="619">
      <c r="A619" s="114" t="n">
        <v>46258</v>
      </c>
      <c r="B619" s="42" t="inlineStr">
        <is>
          <t>Wk 35</t>
        </is>
      </c>
      <c r="C619" s="42" t="inlineStr">
        <is>
          <t>Mon</t>
        </is>
      </c>
      <c r="D619" s="42" t="inlineStr">
        <is>
          <t>Meta (FB/IG)</t>
        </is>
      </c>
      <c r="E619" s="42" t="inlineStr">
        <is>
          <t>Facebook + Instagram</t>
        </is>
      </c>
      <c r="F619" s="42" t="inlineStr">
        <is>
          <t>LEP_ZA_AUG26_META_TD_PANTERA_CONV</t>
        </is>
      </c>
      <c r="G619" s="42" t="inlineStr">
        <is>
          <t>Leads - Website Conversions</t>
        </is>
      </c>
      <c r="H619" s="42" t="inlineStr">
        <is>
          <t>PANTERA</t>
        </is>
      </c>
      <c r="I619" s="42" t="inlineStr">
        <is>
          <t>0% Deposit</t>
        </is>
      </c>
      <c r="J619" s="42" t="inlineStr">
        <is>
          <t>MET_PANTERA_LAL1_HIVAL_ZA</t>
        </is>
      </c>
      <c r="K619" s="42" t="inlineStr">
        <is>
          <t>Lookalike</t>
        </is>
      </c>
      <c r="L619" s="42" t="inlineStr">
        <is>
          <t>PANTERA_VID_25s_Flagship_v1</t>
        </is>
      </c>
      <c r="M619" s="42" t="inlineStr">
        <is>
          <t>Video 9:16</t>
        </is>
      </c>
      <c r="N619" s="42" t="inlineStr">
        <is>
          <t>The flagship, without the flagship price</t>
        </is>
      </c>
      <c r="O619" s="42" t="inlineStr">
        <is>
          <t>Auction - Cost Cap</t>
        </is>
      </c>
      <c r="P619" s="42" t="inlineStr">
        <is>
          <t>Offsite Conversions</t>
        </is>
      </c>
      <c r="Q619" s="42" t="inlineStr">
        <is>
          <t>https://www.lepas-sa.co.za/offers/pantera</t>
        </is>
      </c>
      <c r="R619" s="115" t="n">
        <v>151.41</v>
      </c>
      <c r="S619" s="116" t="n">
        <v>2125</v>
      </c>
      <c r="T619" s="116" t="n">
        <v>1471</v>
      </c>
      <c r="U619" s="117">
        <f>IFERROR(S619/T619,"")</f>
        <v/>
      </c>
      <c r="V619" s="116" t="n">
        <v>25</v>
      </c>
      <c r="W619" s="116" t="n">
        <v>21</v>
      </c>
      <c r="X619" s="118">
        <f>IFERROR(W619/S619,"")</f>
        <v/>
      </c>
      <c r="Y619" s="115">
        <f>IFERROR(R619/W619,"")</f>
        <v/>
      </c>
      <c r="Z619" s="115">
        <f>IFERROR(R619/S619*1000,"")</f>
        <v/>
      </c>
      <c r="AA619" s="116" t="n">
        <v>17</v>
      </c>
      <c r="AB619" s="47">
        <f>IFERROR(AA619/W619,"")</f>
        <v/>
      </c>
      <c r="AC619" s="116" t="n">
        <v>568</v>
      </c>
      <c r="AD619" s="116" t="n">
        <v>314</v>
      </c>
      <c r="AE619" s="116" t="n">
        <v>286</v>
      </c>
      <c r="AF619" s="116" t="n">
        <v>158</v>
      </c>
      <c r="AG619" s="116" t="n">
        <v>120</v>
      </c>
      <c r="AH619" s="116" t="n">
        <v>77</v>
      </c>
      <c r="AI619" s="47">
        <f>IFERROR(AC619/S619,"")</f>
        <v/>
      </c>
      <c r="AJ619" s="47">
        <f>IFERROR(AH619/S619,"")</f>
        <v/>
      </c>
      <c r="AK619" s="116" t="n">
        <v>57</v>
      </c>
      <c r="AL619" s="116" t="n">
        <v>1</v>
      </c>
      <c r="AM619" s="118">
        <f>IFERROR(AL619/AA619,"")</f>
        <v/>
      </c>
      <c r="AN619" s="119">
        <f>IFERROR(R619/AL619,"")</f>
        <v/>
      </c>
      <c r="AO619" s="116" t="n">
        <v>1</v>
      </c>
      <c r="AP619" s="47">
        <f>IFERROR(AO619/AL619,"")</f>
        <v/>
      </c>
      <c r="AQ619" s="119">
        <f>IFERROR(R619/AO619,"")</f>
        <v/>
      </c>
      <c r="AR619" s="116" t="n">
        <v>0</v>
      </c>
      <c r="AS619" s="116" t="n">
        <v>1</v>
      </c>
      <c r="AT619" s="116">
        <f>AL619+AR619</f>
        <v/>
      </c>
      <c r="AU619" s="119">
        <f>IFERROR(AO619*Assumptions!$C$26*Assumptions!$C$27*INDEX(Assumptions!$C$18:$C$21,MATCH(H619,Assumptions!$B$18:$B$21,0)),0)</f>
        <v/>
      </c>
    </row>
    <row r="620">
      <c r="A620" s="114" t="n">
        <v>46259</v>
      </c>
      <c r="B620" s="42" t="inlineStr">
        <is>
          <t>Wk 35</t>
        </is>
      </c>
      <c r="C620" s="42" t="inlineStr">
        <is>
          <t>Tue</t>
        </is>
      </c>
      <c r="D620" s="42" t="inlineStr">
        <is>
          <t>Meta (FB/IG)</t>
        </is>
      </c>
      <c r="E620" s="42" t="inlineStr">
        <is>
          <t>Facebook + Instagram</t>
        </is>
      </c>
      <c r="F620" s="42" t="inlineStr">
        <is>
          <t>LEP_ZA_AUG26_META_TD_PANTERA_CONV</t>
        </is>
      </c>
      <c r="G620" s="42" t="inlineStr">
        <is>
          <t>Leads - Website Conversions</t>
        </is>
      </c>
      <c r="H620" s="42" t="inlineStr">
        <is>
          <t>PANTERA</t>
        </is>
      </c>
      <c r="I620" s="42" t="inlineStr">
        <is>
          <t>0% Deposit</t>
        </is>
      </c>
      <c r="J620" s="42" t="inlineStr">
        <is>
          <t>MET_PANTERA_LAL1_HIVAL_ZA</t>
        </is>
      </c>
      <c r="K620" s="42" t="inlineStr">
        <is>
          <t>Lookalike</t>
        </is>
      </c>
      <c r="L620" s="42" t="inlineStr">
        <is>
          <t>PANTERA_VID_25s_Flagship_v1</t>
        </is>
      </c>
      <c r="M620" s="42" t="inlineStr">
        <is>
          <t>Video 9:16</t>
        </is>
      </c>
      <c r="N620" s="42" t="inlineStr">
        <is>
          <t>The flagship, without the flagship price</t>
        </is>
      </c>
      <c r="O620" s="42" t="inlineStr">
        <is>
          <t>Auction - Cost Cap</t>
        </is>
      </c>
      <c r="P620" s="42" t="inlineStr">
        <is>
          <t>Offsite Conversions</t>
        </is>
      </c>
      <c r="Q620" s="42" t="inlineStr">
        <is>
          <t>https://www.lepas-sa.co.za/offers/pantera</t>
        </is>
      </c>
      <c r="R620" s="115" t="n">
        <v>166.24</v>
      </c>
      <c r="S620" s="116" t="n">
        <v>2237</v>
      </c>
      <c r="T620" s="116" t="n">
        <v>1273</v>
      </c>
      <c r="U620" s="117">
        <f>IFERROR(S620/T620,"")</f>
        <v/>
      </c>
      <c r="V620" s="116" t="n">
        <v>40</v>
      </c>
      <c r="W620" s="116" t="n">
        <v>28</v>
      </c>
      <c r="X620" s="118">
        <f>IFERROR(W620/S620,"")</f>
        <v/>
      </c>
      <c r="Y620" s="115">
        <f>IFERROR(R620/W620,"")</f>
        <v/>
      </c>
      <c r="Z620" s="115">
        <f>IFERROR(R620/S620*1000,"")</f>
        <v/>
      </c>
      <c r="AA620" s="116" t="n">
        <v>24</v>
      </c>
      <c r="AB620" s="47">
        <f>IFERROR(AA620/W620,"")</f>
        <v/>
      </c>
      <c r="AC620" s="116" t="n">
        <v>564</v>
      </c>
      <c r="AD620" s="116" t="n">
        <v>349</v>
      </c>
      <c r="AE620" s="116" t="n">
        <v>228</v>
      </c>
      <c r="AF620" s="116" t="n">
        <v>129</v>
      </c>
      <c r="AG620" s="116" t="n">
        <v>87</v>
      </c>
      <c r="AH620" s="116" t="n">
        <v>63</v>
      </c>
      <c r="AI620" s="47">
        <f>IFERROR(AC620/S620,"")</f>
        <v/>
      </c>
      <c r="AJ620" s="47">
        <f>IFERROR(AH620/S620,"")</f>
        <v/>
      </c>
      <c r="AK620" s="116" t="n">
        <v>70</v>
      </c>
      <c r="AL620" s="116" t="n">
        <v>0</v>
      </c>
      <c r="AM620" s="118">
        <f>IFERROR(AL620/AA620,"")</f>
        <v/>
      </c>
      <c r="AN620" s="119">
        <f>IFERROR(R620/AL620,"")</f>
        <v/>
      </c>
      <c r="AO620" s="116" t="n">
        <v>0</v>
      </c>
      <c r="AP620" s="47">
        <f>IFERROR(AO620/AL620,"")</f>
        <v/>
      </c>
      <c r="AQ620" s="119">
        <f>IFERROR(R620/AO620,"")</f>
        <v/>
      </c>
      <c r="AR620" s="116" t="n">
        <v>0</v>
      </c>
      <c r="AS620" s="116" t="n">
        <v>0</v>
      </c>
      <c r="AT620" s="116">
        <f>AL620+AR620</f>
        <v/>
      </c>
      <c r="AU620" s="119">
        <f>IFERROR(AO620*Assumptions!$C$26*Assumptions!$C$27*INDEX(Assumptions!$C$18:$C$21,MATCH(H620,Assumptions!$B$18:$B$21,0)),0)</f>
        <v/>
      </c>
    </row>
    <row r="621">
      <c r="A621" s="114" t="n">
        <v>46260</v>
      </c>
      <c r="B621" s="42" t="inlineStr">
        <is>
          <t>Wk 35</t>
        </is>
      </c>
      <c r="C621" s="42" t="inlineStr">
        <is>
          <t>Wed</t>
        </is>
      </c>
      <c r="D621" s="42" t="inlineStr">
        <is>
          <t>Meta (FB/IG)</t>
        </is>
      </c>
      <c r="E621" s="42" t="inlineStr">
        <is>
          <t>Facebook + Instagram</t>
        </is>
      </c>
      <c r="F621" s="42" t="inlineStr">
        <is>
          <t>LEP_ZA_AUG26_META_TD_PANTERA_CONV</t>
        </is>
      </c>
      <c r="G621" s="42" t="inlineStr">
        <is>
          <t>Leads - Website Conversions</t>
        </is>
      </c>
      <c r="H621" s="42" t="inlineStr">
        <is>
          <t>PANTERA</t>
        </is>
      </c>
      <c r="I621" s="42" t="inlineStr">
        <is>
          <t>0% Deposit</t>
        </is>
      </c>
      <c r="J621" s="42" t="inlineStr">
        <is>
          <t>MET_PANTERA_LAL1_HIVAL_ZA</t>
        </is>
      </c>
      <c r="K621" s="42" t="inlineStr">
        <is>
          <t>Lookalike</t>
        </is>
      </c>
      <c r="L621" s="42" t="inlineStr">
        <is>
          <t>PANTERA_VID_25s_Flagship_v1</t>
        </is>
      </c>
      <c r="M621" s="42" t="inlineStr">
        <is>
          <t>Video 9:16</t>
        </is>
      </c>
      <c r="N621" s="42" t="inlineStr">
        <is>
          <t>The flagship, without the flagship price</t>
        </is>
      </c>
      <c r="O621" s="42" t="inlineStr">
        <is>
          <t>Auction - Cost Cap</t>
        </is>
      </c>
      <c r="P621" s="42" t="inlineStr">
        <is>
          <t>Offsite Conversions</t>
        </is>
      </c>
      <c r="Q621" s="42" t="inlineStr">
        <is>
          <t>https://www.lepas-sa.co.za/offers/pantera</t>
        </is>
      </c>
      <c r="R621" s="115" t="n">
        <v>164.41</v>
      </c>
      <c r="S621" s="116" t="n">
        <v>2087</v>
      </c>
      <c r="T621" s="116" t="n">
        <v>1157</v>
      </c>
      <c r="U621" s="117">
        <f>IFERROR(S621/T621,"")</f>
        <v/>
      </c>
      <c r="V621" s="116" t="n">
        <v>34</v>
      </c>
      <c r="W621" s="116" t="n">
        <v>24</v>
      </c>
      <c r="X621" s="118">
        <f>IFERROR(W621/S621,"")</f>
        <v/>
      </c>
      <c r="Y621" s="115">
        <f>IFERROR(R621/W621,"")</f>
        <v/>
      </c>
      <c r="Z621" s="115">
        <f>IFERROR(R621/S621*1000,"")</f>
        <v/>
      </c>
      <c r="AA621" s="116" t="n">
        <v>20</v>
      </c>
      <c r="AB621" s="47">
        <f>IFERROR(AA621/W621,"")</f>
        <v/>
      </c>
      <c r="AC621" s="116" t="n">
        <v>588</v>
      </c>
      <c r="AD621" s="116" t="n">
        <v>284</v>
      </c>
      <c r="AE621" s="116" t="n">
        <v>232</v>
      </c>
      <c r="AF621" s="116" t="n">
        <v>133</v>
      </c>
      <c r="AG621" s="116" t="n">
        <v>88</v>
      </c>
      <c r="AH621" s="116" t="n">
        <v>64</v>
      </c>
      <c r="AI621" s="47">
        <f>IFERROR(AC621/S621,"")</f>
        <v/>
      </c>
      <c r="AJ621" s="47">
        <f>IFERROR(AH621/S621,"")</f>
        <v/>
      </c>
      <c r="AK621" s="116" t="n">
        <v>31</v>
      </c>
      <c r="AL621" s="116" t="n">
        <v>1</v>
      </c>
      <c r="AM621" s="118">
        <f>IFERROR(AL621/AA621,"")</f>
        <v/>
      </c>
      <c r="AN621" s="119">
        <f>IFERROR(R621/AL621,"")</f>
        <v/>
      </c>
      <c r="AO621" s="116" t="n">
        <v>1</v>
      </c>
      <c r="AP621" s="47">
        <f>IFERROR(AO621/AL621,"")</f>
        <v/>
      </c>
      <c r="AQ621" s="119">
        <f>IFERROR(R621/AO621,"")</f>
        <v/>
      </c>
      <c r="AR621" s="116" t="n">
        <v>0</v>
      </c>
      <c r="AS621" s="116" t="n">
        <v>0</v>
      </c>
      <c r="AT621" s="116">
        <f>AL621+AR621</f>
        <v/>
      </c>
      <c r="AU621" s="119">
        <f>IFERROR(AO621*Assumptions!$C$26*Assumptions!$C$27*INDEX(Assumptions!$C$18:$C$21,MATCH(H621,Assumptions!$B$18:$B$21,0)),0)</f>
        <v/>
      </c>
    </row>
    <row r="622">
      <c r="A622" s="114" t="n">
        <v>46261</v>
      </c>
      <c r="B622" s="42" t="inlineStr">
        <is>
          <t>Wk 35</t>
        </is>
      </c>
      <c r="C622" s="42" t="inlineStr">
        <is>
          <t>Thu</t>
        </is>
      </c>
      <c r="D622" s="42" t="inlineStr">
        <is>
          <t>Meta (FB/IG)</t>
        </is>
      </c>
      <c r="E622" s="42" t="inlineStr">
        <is>
          <t>Facebook + Instagram</t>
        </is>
      </c>
      <c r="F622" s="42" t="inlineStr">
        <is>
          <t>LEP_ZA_AUG26_META_TD_PANTERA_CONV</t>
        </is>
      </c>
      <c r="G622" s="42" t="inlineStr">
        <is>
          <t>Leads - Website Conversions</t>
        </is>
      </c>
      <c r="H622" s="42" t="inlineStr">
        <is>
          <t>PANTERA</t>
        </is>
      </c>
      <c r="I622" s="42" t="inlineStr">
        <is>
          <t>0% Deposit</t>
        </is>
      </c>
      <c r="J622" s="42" t="inlineStr">
        <is>
          <t>MET_PANTERA_LAL1_HIVAL_ZA</t>
        </is>
      </c>
      <c r="K622" s="42" t="inlineStr">
        <is>
          <t>Lookalike</t>
        </is>
      </c>
      <c r="L622" s="42" t="inlineStr">
        <is>
          <t>PANTERA_VID_25s_Flagship_v1</t>
        </is>
      </c>
      <c r="M622" s="42" t="inlineStr">
        <is>
          <t>Video 9:16</t>
        </is>
      </c>
      <c r="N622" s="42" t="inlineStr">
        <is>
          <t>The flagship, without the flagship price</t>
        </is>
      </c>
      <c r="O622" s="42" t="inlineStr">
        <is>
          <t>Auction - Cost Cap</t>
        </is>
      </c>
      <c r="P622" s="42" t="inlineStr">
        <is>
          <t>Offsite Conversions</t>
        </is>
      </c>
      <c r="Q622" s="42" t="inlineStr">
        <is>
          <t>https://www.lepas-sa.co.za/offers/pantera</t>
        </is>
      </c>
      <c r="R622" s="115" t="n">
        <v>228.44</v>
      </c>
      <c r="S622" s="116" t="n">
        <v>2273</v>
      </c>
      <c r="T622" s="116" t="n">
        <v>1191</v>
      </c>
      <c r="U622" s="117">
        <f>IFERROR(S622/T622,"")</f>
        <v/>
      </c>
      <c r="V622" s="116" t="n">
        <v>39</v>
      </c>
      <c r="W622" s="116" t="n">
        <v>28</v>
      </c>
      <c r="X622" s="118">
        <f>IFERROR(W622/S622,"")</f>
        <v/>
      </c>
      <c r="Y622" s="115">
        <f>IFERROR(R622/W622,"")</f>
        <v/>
      </c>
      <c r="Z622" s="115">
        <f>IFERROR(R622/S622*1000,"")</f>
        <v/>
      </c>
      <c r="AA622" s="116" t="n">
        <v>24</v>
      </c>
      <c r="AB622" s="47">
        <f>IFERROR(AA622/W622,"")</f>
        <v/>
      </c>
      <c r="AC622" s="116" t="n">
        <v>727</v>
      </c>
      <c r="AD622" s="116" t="n">
        <v>351</v>
      </c>
      <c r="AE622" s="116" t="n">
        <v>390</v>
      </c>
      <c r="AF622" s="116" t="n">
        <v>234</v>
      </c>
      <c r="AG622" s="116" t="n">
        <v>186</v>
      </c>
      <c r="AH622" s="116" t="n">
        <v>129</v>
      </c>
      <c r="AI622" s="47">
        <f>IFERROR(AC622/S622,"")</f>
        <v/>
      </c>
      <c r="AJ622" s="47">
        <f>IFERROR(AH622/S622,"")</f>
        <v/>
      </c>
      <c r="AK622" s="116" t="n">
        <v>29</v>
      </c>
      <c r="AL622" s="116" t="n">
        <v>0</v>
      </c>
      <c r="AM622" s="118">
        <f>IFERROR(AL622/AA622,"")</f>
        <v/>
      </c>
      <c r="AN622" s="119">
        <f>IFERROR(R622/AL622,"")</f>
        <v/>
      </c>
      <c r="AO622" s="116" t="n">
        <v>0</v>
      </c>
      <c r="AP622" s="47">
        <f>IFERROR(AO622/AL622,"")</f>
        <v/>
      </c>
      <c r="AQ622" s="119">
        <f>IFERROR(R622/AO622,"")</f>
        <v/>
      </c>
      <c r="AR622" s="116" t="n">
        <v>0</v>
      </c>
      <c r="AS622" s="116" t="n">
        <v>0</v>
      </c>
      <c r="AT622" s="116">
        <f>AL622+AR622</f>
        <v/>
      </c>
      <c r="AU622" s="119">
        <f>IFERROR(AO622*Assumptions!$C$26*Assumptions!$C$27*INDEX(Assumptions!$C$18:$C$21,MATCH(H622,Assumptions!$B$18:$B$21,0)),0)</f>
        <v/>
      </c>
    </row>
    <row r="623">
      <c r="A623" s="114" t="n">
        <v>46262</v>
      </c>
      <c r="B623" s="42" t="inlineStr">
        <is>
          <t>Wk 35</t>
        </is>
      </c>
      <c r="C623" s="42" t="inlineStr">
        <is>
          <t>Fri</t>
        </is>
      </c>
      <c r="D623" s="42" t="inlineStr">
        <is>
          <t>Meta (FB/IG)</t>
        </is>
      </c>
      <c r="E623" s="42" t="inlineStr">
        <is>
          <t>Facebook + Instagram</t>
        </is>
      </c>
      <c r="F623" s="42" t="inlineStr">
        <is>
          <t>LEP_ZA_AUG26_META_TD_PANTERA_CONV</t>
        </is>
      </c>
      <c r="G623" s="42" t="inlineStr">
        <is>
          <t>Leads - Website Conversions</t>
        </is>
      </c>
      <c r="H623" s="42" t="inlineStr">
        <is>
          <t>PANTERA</t>
        </is>
      </c>
      <c r="I623" s="42" t="inlineStr">
        <is>
          <t>0% Deposit</t>
        </is>
      </c>
      <c r="J623" s="42" t="inlineStr">
        <is>
          <t>MET_PANTERA_LAL1_HIVAL_ZA</t>
        </is>
      </c>
      <c r="K623" s="42" t="inlineStr">
        <is>
          <t>Lookalike</t>
        </is>
      </c>
      <c r="L623" s="42" t="inlineStr">
        <is>
          <t>PANTERA_VID_25s_Flagship_v1</t>
        </is>
      </c>
      <c r="M623" s="42" t="inlineStr">
        <is>
          <t>Video 9:16</t>
        </is>
      </c>
      <c r="N623" s="42" t="inlineStr">
        <is>
          <t>The flagship, without the flagship price</t>
        </is>
      </c>
      <c r="O623" s="42" t="inlineStr">
        <is>
          <t>Auction - Cost Cap</t>
        </is>
      </c>
      <c r="P623" s="42" t="inlineStr">
        <is>
          <t>Offsite Conversions</t>
        </is>
      </c>
      <c r="Q623" s="42" t="inlineStr">
        <is>
          <t>https://www.lepas-sa.co.za/offers/pantera</t>
        </is>
      </c>
      <c r="R623" s="115" t="n">
        <v>193.12</v>
      </c>
      <c r="S623" s="116" t="n">
        <v>3008</v>
      </c>
      <c r="T623" s="116" t="n">
        <v>1832</v>
      </c>
      <c r="U623" s="117">
        <f>IFERROR(S623/T623,"")</f>
        <v/>
      </c>
      <c r="V623" s="116" t="n">
        <v>37</v>
      </c>
      <c r="W623" s="116" t="n">
        <v>27</v>
      </c>
      <c r="X623" s="118">
        <f>IFERROR(W623/S623,"")</f>
        <v/>
      </c>
      <c r="Y623" s="115">
        <f>IFERROR(R623/W623,"")</f>
        <v/>
      </c>
      <c r="Z623" s="115">
        <f>IFERROR(R623/S623*1000,"")</f>
        <v/>
      </c>
      <c r="AA623" s="116" t="n">
        <v>22</v>
      </c>
      <c r="AB623" s="47">
        <f>IFERROR(AA623/W623,"")</f>
        <v/>
      </c>
      <c r="AC623" s="116" t="n">
        <v>1232</v>
      </c>
      <c r="AD623" s="116" t="n">
        <v>676</v>
      </c>
      <c r="AE623" s="116" t="n">
        <v>447</v>
      </c>
      <c r="AF623" s="116" t="n">
        <v>239</v>
      </c>
      <c r="AG623" s="116" t="n">
        <v>171</v>
      </c>
      <c r="AH623" s="116" t="n">
        <v>119</v>
      </c>
      <c r="AI623" s="47">
        <f>IFERROR(AC623/S623,"")</f>
        <v/>
      </c>
      <c r="AJ623" s="47">
        <f>IFERROR(AH623/S623,"")</f>
        <v/>
      </c>
      <c r="AK623" s="116" t="n">
        <v>56</v>
      </c>
      <c r="AL623" s="116" t="n">
        <v>0</v>
      </c>
      <c r="AM623" s="118">
        <f>IFERROR(AL623/AA623,"")</f>
        <v/>
      </c>
      <c r="AN623" s="119">
        <f>IFERROR(R623/AL623,"")</f>
        <v/>
      </c>
      <c r="AO623" s="116" t="n">
        <v>0</v>
      </c>
      <c r="AP623" s="47">
        <f>IFERROR(AO623/AL623,"")</f>
        <v/>
      </c>
      <c r="AQ623" s="119">
        <f>IFERROR(R623/AO623,"")</f>
        <v/>
      </c>
      <c r="AR623" s="116" t="n">
        <v>0</v>
      </c>
      <c r="AS623" s="116" t="n">
        <v>0</v>
      </c>
      <c r="AT623" s="116">
        <f>AL623+AR623</f>
        <v/>
      </c>
      <c r="AU623" s="119">
        <f>IFERROR(AO623*Assumptions!$C$26*Assumptions!$C$27*INDEX(Assumptions!$C$18:$C$21,MATCH(H623,Assumptions!$B$18:$B$21,0)),0)</f>
        <v/>
      </c>
    </row>
    <row r="624">
      <c r="A624" s="114" t="n">
        <v>46263</v>
      </c>
      <c r="B624" s="42" t="inlineStr">
        <is>
          <t>Wk 35</t>
        </is>
      </c>
      <c r="C624" s="42" t="inlineStr">
        <is>
          <t>Sat</t>
        </is>
      </c>
      <c r="D624" s="42" t="inlineStr">
        <is>
          <t>Meta (FB/IG)</t>
        </is>
      </c>
      <c r="E624" s="42" t="inlineStr">
        <is>
          <t>Facebook + Instagram</t>
        </is>
      </c>
      <c r="F624" s="42" t="inlineStr">
        <is>
          <t>LEP_ZA_AUG26_META_TD_PANTERA_CONV</t>
        </is>
      </c>
      <c r="G624" s="42" t="inlineStr">
        <is>
          <t>Leads - Website Conversions</t>
        </is>
      </c>
      <c r="H624" s="42" t="inlineStr">
        <is>
          <t>PANTERA</t>
        </is>
      </c>
      <c r="I624" s="42" t="inlineStr">
        <is>
          <t>0% Deposit</t>
        </is>
      </c>
      <c r="J624" s="42" t="inlineStr">
        <is>
          <t>MET_PANTERA_LAL1_HIVAL_ZA</t>
        </is>
      </c>
      <c r="K624" s="42" t="inlineStr">
        <is>
          <t>Lookalike</t>
        </is>
      </c>
      <c r="L624" s="42" t="inlineStr">
        <is>
          <t>PANTERA_VID_25s_Flagship_v1</t>
        </is>
      </c>
      <c r="M624" s="42" t="inlineStr">
        <is>
          <t>Video 9:16</t>
        </is>
      </c>
      <c r="N624" s="42" t="inlineStr">
        <is>
          <t>The flagship, without the flagship price</t>
        </is>
      </c>
      <c r="O624" s="42" t="inlineStr">
        <is>
          <t>Auction - Cost Cap</t>
        </is>
      </c>
      <c r="P624" s="42" t="inlineStr">
        <is>
          <t>Offsite Conversions</t>
        </is>
      </c>
      <c r="Q624" s="42" t="inlineStr">
        <is>
          <t>https://www.lepas-sa.co.za/offers/pantera</t>
        </is>
      </c>
      <c r="R624" s="115" t="n">
        <v>206.37</v>
      </c>
      <c r="S624" s="116" t="n">
        <v>2289</v>
      </c>
      <c r="T624" s="116" t="n">
        <v>1080</v>
      </c>
      <c r="U624" s="117">
        <f>IFERROR(S624/T624,"")</f>
        <v/>
      </c>
      <c r="V624" s="116" t="n">
        <v>55</v>
      </c>
      <c r="W624" s="116" t="n">
        <v>41</v>
      </c>
      <c r="X624" s="118">
        <f>IFERROR(W624/S624,"")</f>
        <v/>
      </c>
      <c r="Y624" s="115">
        <f>IFERROR(R624/W624,"")</f>
        <v/>
      </c>
      <c r="Z624" s="115">
        <f>IFERROR(R624/S624*1000,"")</f>
        <v/>
      </c>
      <c r="AA624" s="116" t="n">
        <v>33</v>
      </c>
      <c r="AB624" s="47">
        <f>IFERROR(AA624/W624,"")</f>
        <v/>
      </c>
      <c r="AC624" s="116" t="n">
        <v>849</v>
      </c>
      <c r="AD624" s="116" t="n">
        <v>450</v>
      </c>
      <c r="AE624" s="116" t="n">
        <v>383</v>
      </c>
      <c r="AF624" s="116" t="n">
        <v>241</v>
      </c>
      <c r="AG624" s="116" t="n">
        <v>155</v>
      </c>
      <c r="AH624" s="116" t="n">
        <v>93</v>
      </c>
      <c r="AI624" s="47">
        <f>IFERROR(AC624/S624,"")</f>
        <v/>
      </c>
      <c r="AJ624" s="47">
        <f>IFERROR(AH624/S624,"")</f>
        <v/>
      </c>
      <c r="AK624" s="116" t="n">
        <v>32</v>
      </c>
      <c r="AL624" s="116" t="n">
        <v>1</v>
      </c>
      <c r="AM624" s="118">
        <f>IFERROR(AL624/AA624,"")</f>
        <v/>
      </c>
      <c r="AN624" s="119">
        <f>IFERROR(R624/AL624,"")</f>
        <v/>
      </c>
      <c r="AO624" s="116" t="n">
        <v>1</v>
      </c>
      <c r="AP624" s="47">
        <f>IFERROR(AO624/AL624,"")</f>
        <v/>
      </c>
      <c r="AQ624" s="119">
        <f>IFERROR(R624/AO624,"")</f>
        <v/>
      </c>
      <c r="AR624" s="116" t="n">
        <v>0</v>
      </c>
      <c r="AS624" s="116" t="n">
        <v>1</v>
      </c>
      <c r="AT624" s="116">
        <f>AL624+AR624</f>
        <v/>
      </c>
      <c r="AU624" s="119">
        <f>IFERROR(AO624*Assumptions!$C$26*Assumptions!$C$27*INDEX(Assumptions!$C$18:$C$21,MATCH(H624,Assumptions!$B$18:$B$21,0)),0)</f>
        <v/>
      </c>
    </row>
    <row r="625">
      <c r="A625" s="114" t="n">
        <v>46264</v>
      </c>
      <c r="B625" s="42" t="inlineStr">
        <is>
          <t>Wk 35</t>
        </is>
      </c>
      <c r="C625" s="42" t="inlineStr">
        <is>
          <t>Sun</t>
        </is>
      </c>
      <c r="D625" s="42" t="inlineStr">
        <is>
          <t>Meta (FB/IG)</t>
        </is>
      </c>
      <c r="E625" s="42" t="inlineStr">
        <is>
          <t>Facebook + Instagram</t>
        </is>
      </c>
      <c r="F625" s="42" t="inlineStr">
        <is>
          <t>LEP_ZA_AUG26_META_TD_PANTERA_CONV</t>
        </is>
      </c>
      <c r="G625" s="42" t="inlineStr">
        <is>
          <t>Leads - Website Conversions</t>
        </is>
      </c>
      <c r="H625" s="42" t="inlineStr">
        <is>
          <t>PANTERA</t>
        </is>
      </c>
      <c r="I625" s="42" t="inlineStr">
        <is>
          <t>0% Deposit</t>
        </is>
      </c>
      <c r="J625" s="42" t="inlineStr">
        <is>
          <t>MET_PANTERA_LAL1_HIVAL_ZA</t>
        </is>
      </c>
      <c r="K625" s="42" t="inlineStr">
        <is>
          <t>Lookalike</t>
        </is>
      </c>
      <c r="L625" s="42" t="inlineStr">
        <is>
          <t>PANTERA_VID_25s_Flagship_v1</t>
        </is>
      </c>
      <c r="M625" s="42" t="inlineStr">
        <is>
          <t>Video 9:16</t>
        </is>
      </c>
      <c r="N625" s="42" t="inlineStr">
        <is>
          <t>The flagship, without the flagship price</t>
        </is>
      </c>
      <c r="O625" s="42" t="inlineStr">
        <is>
          <t>Auction - Cost Cap</t>
        </is>
      </c>
      <c r="P625" s="42" t="inlineStr">
        <is>
          <t>Offsite Conversions</t>
        </is>
      </c>
      <c r="Q625" s="42" t="inlineStr">
        <is>
          <t>https://www.lepas-sa.co.za/offers/pantera</t>
        </is>
      </c>
      <c r="R625" s="115" t="n">
        <v>171</v>
      </c>
      <c r="S625" s="116" t="n">
        <v>2017</v>
      </c>
      <c r="T625" s="116" t="n">
        <v>1235</v>
      </c>
      <c r="U625" s="117">
        <f>IFERROR(S625/T625,"")</f>
        <v/>
      </c>
      <c r="V625" s="116" t="n">
        <v>27</v>
      </c>
      <c r="W625" s="116" t="n">
        <v>23</v>
      </c>
      <c r="X625" s="118">
        <f>IFERROR(W625/S625,"")</f>
        <v/>
      </c>
      <c r="Y625" s="115">
        <f>IFERROR(R625/W625,"")</f>
        <v/>
      </c>
      <c r="Z625" s="115">
        <f>IFERROR(R625/S625*1000,"")</f>
        <v/>
      </c>
      <c r="AA625" s="116" t="n">
        <v>19</v>
      </c>
      <c r="AB625" s="47">
        <f>IFERROR(AA625/W625,"")</f>
        <v/>
      </c>
      <c r="AC625" s="116" t="n">
        <v>625</v>
      </c>
      <c r="AD625" s="116" t="n">
        <v>350</v>
      </c>
      <c r="AE625" s="116" t="n">
        <v>237</v>
      </c>
      <c r="AF625" s="116" t="n">
        <v>156</v>
      </c>
      <c r="AG625" s="116" t="n">
        <v>113</v>
      </c>
      <c r="AH625" s="116" t="n">
        <v>71</v>
      </c>
      <c r="AI625" s="47">
        <f>IFERROR(AC625/S625,"")</f>
        <v/>
      </c>
      <c r="AJ625" s="47">
        <f>IFERROR(AH625/S625,"")</f>
        <v/>
      </c>
      <c r="AK625" s="116" t="n">
        <v>33</v>
      </c>
      <c r="AL625" s="116" t="n">
        <v>1</v>
      </c>
      <c r="AM625" s="118">
        <f>IFERROR(AL625/AA625,"")</f>
        <v/>
      </c>
      <c r="AN625" s="119">
        <f>IFERROR(R625/AL625,"")</f>
        <v/>
      </c>
      <c r="AO625" s="116" t="n">
        <v>0</v>
      </c>
      <c r="AP625" s="47">
        <f>IFERROR(AO625/AL625,"")</f>
        <v/>
      </c>
      <c r="AQ625" s="119">
        <f>IFERROR(R625/AO625,"")</f>
        <v/>
      </c>
      <c r="AR625" s="116" t="n">
        <v>0</v>
      </c>
      <c r="AS625" s="116" t="n">
        <v>1</v>
      </c>
      <c r="AT625" s="116">
        <f>AL625+AR625</f>
        <v/>
      </c>
      <c r="AU625" s="119">
        <f>IFERROR(AO625*Assumptions!$C$26*Assumptions!$C$27*INDEX(Assumptions!$C$18:$C$21,MATCH(H625,Assumptions!$B$18:$B$21,0)),0)</f>
        <v/>
      </c>
    </row>
    <row r="626">
      <c r="A626" s="114" t="n">
        <v>46265</v>
      </c>
      <c r="B626" s="42" t="inlineStr">
        <is>
          <t>Wk 36</t>
        </is>
      </c>
      <c r="C626" s="42" t="inlineStr">
        <is>
          <t>Mon</t>
        </is>
      </c>
      <c r="D626" s="42" t="inlineStr">
        <is>
          <t>Meta (FB/IG)</t>
        </is>
      </c>
      <c r="E626" s="42" t="inlineStr">
        <is>
          <t>Facebook + Instagram</t>
        </is>
      </c>
      <c r="F626" s="42" t="inlineStr">
        <is>
          <t>LEP_ZA_AUG26_META_TD_PANTERA_CONV</t>
        </is>
      </c>
      <c r="G626" s="42" t="inlineStr">
        <is>
          <t>Leads - Website Conversions</t>
        </is>
      </c>
      <c r="H626" s="42" t="inlineStr">
        <is>
          <t>PANTERA</t>
        </is>
      </c>
      <c r="I626" s="42" t="inlineStr">
        <is>
          <t>0% Deposit</t>
        </is>
      </c>
      <c r="J626" s="42" t="inlineStr">
        <is>
          <t>MET_PANTERA_LAL1_HIVAL_ZA</t>
        </is>
      </c>
      <c r="K626" s="42" t="inlineStr">
        <is>
          <t>Lookalike</t>
        </is>
      </c>
      <c r="L626" s="42" t="inlineStr">
        <is>
          <t>PANTERA_VID_25s_Flagship_v1</t>
        </is>
      </c>
      <c r="M626" s="42" t="inlineStr">
        <is>
          <t>Video 9:16</t>
        </is>
      </c>
      <c r="N626" s="42" t="inlineStr">
        <is>
          <t>The flagship, without the flagship price</t>
        </is>
      </c>
      <c r="O626" s="42" t="inlineStr">
        <is>
          <t>Auction - Cost Cap</t>
        </is>
      </c>
      <c r="P626" s="42" t="inlineStr">
        <is>
          <t>Offsite Conversions</t>
        </is>
      </c>
      <c r="Q626" s="42" t="inlineStr">
        <is>
          <t>https://www.lepas-sa.co.za/offers/pantera</t>
        </is>
      </c>
      <c r="R626" s="115" t="n">
        <v>194.95</v>
      </c>
      <c r="S626" s="116" t="n">
        <v>2245</v>
      </c>
      <c r="T626" s="116" t="n">
        <v>1452</v>
      </c>
      <c r="U626" s="117">
        <f>IFERROR(S626/T626,"")</f>
        <v/>
      </c>
      <c r="V626" s="116" t="n">
        <v>23</v>
      </c>
      <c r="W626" s="116" t="n">
        <v>18</v>
      </c>
      <c r="X626" s="118">
        <f>IFERROR(W626/S626,"")</f>
        <v/>
      </c>
      <c r="Y626" s="115">
        <f>IFERROR(R626/W626,"")</f>
        <v/>
      </c>
      <c r="Z626" s="115">
        <f>IFERROR(R626/S626*1000,"")</f>
        <v/>
      </c>
      <c r="AA626" s="116" t="n">
        <v>16</v>
      </c>
      <c r="AB626" s="47">
        <f>IFERROR(AA626/W626,"")</f>
        <v/>
      </c>
      <c r="AC626" s="116" t="n">
        <v>637</v>
      </c>
      <c r="AD626" s="116" t="n">
        <v>360</v>
      </c>
      <c r="AE626" s="116" t="n">
        <v>292</v>
      </c>
      <c r="AF626" s="116" t="n">
        <v>205</v>
      </c>
      <c r="AG626" s="116" t="n">
        <v>139</v>
      </c>
      <c r="AH626" s="116" t="n">
        <v>82</v>
      </c>
      <c r="AI626" s="47">
        <f>IFERROR(AC626/S626,"")</f>
        <v/>
      </c>
      <c r="AJ626" s="47">
        <f>IFERROR(AH626/S626,"")</f>
        <v/>
      </c>
      <c r="AK626" s="116" t="n">
        <v>56</v>
      </c>
      <c r="AL626" s="116" t="n">
        <v>1</v>
      </c>
      <c r="AM626" s="118">
        <f>IFERROR(AL626/AA626,"")</f>
        <v/>
      </c>
      <c r="AN626" s="119">
        <f>IFERROR(R626/AL626,"")</f>
        <v/>
      </c>
      <c r="AO626" s="116" t="n">
        <v>1</v>
      </c>
      <c r="AP626" s="47">
        <f>IFERROR(AO626/AL626,"")</f>
        <v/>
      </c>
      <c r="AQ626" s="119">
        <f>IFERROR(R626/AO626,"")</f>
        <v/>
      </c>
      <c r="AR626" s="116" t="n">
        <v>0</v>
      </c>
      <c r="AS626" s="116" t="n">
        <v>0</v>
      </c>
      <c r="AT626" s="116">
        <f>AL626+AR626</f>
        <v/>
      </c>
      <c r="AU626" s="119">
        <f>IFERROR(AO626*Assumptions!$C$26*Assumptions!$C$27*INDEX(Assumptions!$C$18:$C$21,MATCH(H626,Assumptions!$B$18:$B$21,0)),0)</f>
        <v/>
      </c>
    </row>
    <row r="627">
      <c r="A627" s="114" t="n">
        <v>46248</v>
      </c>
      <c r="B627" s="42" t="inlineStr">
        <is>
          <t>Wk 33</t>
        </is>
      </c>
      <c r="C627" s="42" t="inlineStr">
        <is>
          <t>Fri</t>
        </is>
      </c>
      <c r="D627" s="42" t="inlineStr">
        <is>
          <t>Meta (FB/IG)</t>
        </is>
      </c>
      <c r="E627" s="42" t="inlineStr">
        <is>
          <t>Facebook + Instagram</t>
        </is>
      </c>
      <c r="F627" s="42" t="inlineStr">
        <is>
          <t>LEP_ZA_AUG26_META_TD_PANTERA_CONV</t>
        </is>
      </c>
      <c r="G627" s="42" t="inlineStr">
        <is>
          <t>Leads - Website Conversions</t>
        </is>
      </c>
      <c r="H627" s="42" t="inlineStr">
        <is>
          <t>PANTERA</t>
        </is>
      </c>
      <c r="I627" s="42" t="inlineStr">
        <is>
          <t>0% Deposit</t>
        </is>
      </c>
      <c r="J627" s="42" t="inlineStr">
        <is>
          <t>MET_PANTERA_LAL1_HIVAL_ZA</t>
        </is>
      </c>
      <c r="K627" s="42" t="inlineStr">
        <is>
          <t>Lookalike</t>
        </is>
      </c>
      <c r="L627" s="42" t="inlineStr">
        <is>
          <t>PANTERA_STA_Offer_0Dep_v2</t>
        </is>
      </c>
      <c r="M627" s="42" t="inlineStr">
        <is>
          <t>Static 1:1</t>
        </is>
      </c>
      <c r="N627" s="42" t="inlineStr">
        <is>
          <t>R5 899pm. No deposit. Test drive it.</t>
        </is>
      </c>
      <c r="O627" s="42" t="inlineStr">
        <is>
          <t>Auction - Cost Cap</t>
        </is>
      </c>
      <c r="P627" s="42" t="inlineStr">
        <is>
          <t>Offsite Conversions</t>
        </is>
      </c>
      <c r="Q627" s="42" t="inlineStr">
        <is>
          <t>https://www.lepas-sa.co.za/offers/pantera</t>
        </is>
      </c>
      <c r="R627" s="115" t="n">
        <v>142.04</v>
      </c>
      <c r="S627" s="116" t="n">
        <v>1887</v>
      </c>
      <c r="T627" s="116" t="n">
        <v>1244</v>
      </c>
      <c r="U627" s="117">
        <f>IFERROR(S627/T627,"")</f>
        <v/>
      </c>
      <c r="V627" s="116" t="n">
        <v>32</v>
      </c>
      <c r="W627" s="116" t="n">
        <v>27</v>
      </c>
      <c r="X627" s="118">
        <f>IFERROR(W627/S627,"")</f>
        <v/>
      </c>
      <c r="Y627" s="115">
        <f>IFERROR(R627/W627,"")</f>
        <v/>
      </c>
      <c r="Z627" s="115">
        <f>IFERROR(R627/S627*1000,"")</f>
        <v/>
      </c>
      <c r="AA627" s="116" t="n">
        <v>21</v>
      </c>
      <c r="AB627" s="47">
        <f>IFERROR(AA627/W627,"")</f>
        <v/>
      </c>
      <c r="AC627" s="116" t="n">
        <v>0</v>
      </c>
      <c r="AD627" s="116" t="n">
        <v>0</v>
      </c>
      <c r="AE627" s="116" t="n">
        <v>0</v>
      </c>
      <c r="AF627" s="116" t="n">
        <v>0</v>
      </c>
      <c r="AG627" s="116" t="n">
        <v>0</v>
      </c>
      <c r="AH627" s="116" t="n">
        <v>0</v>
      </c>
      <c r="AI627" s="47">
        <f>IFERROR(AC627/S627,"")</f>
        <v/>
      </c>
      <c r="AJ627" s="47">
        <f>IFERROR(AH627/S627,"")</f>
        <v/>
      </c>
      <c r="AK627" s="116" t="n">
        <v>31</v>
      </c>
      <c r="AL627" s="116" t="n">
        <v>1</v>
      </c>
      <c r="AM627" s="118">
        <f>IFERROR(AL627/AA627,"")</f>
        <v/>
      </c>
      <c r="AN627" s="119">
        <f>IFERROR(R627/AL627,"")</f>
        <v/>
      </c>
      <c r="AO627" s="116" t="n">
        <v>1</v>
      </c>
      <c r="AP627" s="47">
        <f>IFERROR(AO627/AL627,"")</f>
        <v/>
      </c>
      <c r="AQ627" s="119">
        <f>IFERROR(R627/AO627,"")</f>
        <v/>
      </c>
      <c r="AR627" s="116" t="n">
        <v>1</v>
      </c>
      <c r="AS627" s="116" t="n">
        <v>0</v>
      </c>
      <c r="AT627" s="116">
        <f>AL627+AR627</f>
        <v/>
      </c>
      <c r="AU627" s="119">
        <f>IFERROR(AO627*Assumptions!$C$26*Assumptions!$C$27*INDEX(Assumptions!$C$18:$C$21,MATCH(H627,Assumptions!$B$18:$B$21,0)),0)</f>
        <v/>
      </c>
    </row>
    <row r="628">
      <c r="A628" s="114" t="n">
        <v>46249</v>
      </c>
      <c r="B628" s="42" t="inlineStr">
        <is>
          <t>Wk 33</t>
        </is>
      </c>
      <c r="C628" s="42" t="inlineStr">
        <is>
          <t>Sat</t>
        </is>
      </c>
      <c r="D628" s="42" t="inlineStr">
        <is>
          <t>Meta (FB/IG)</t>
        </is>
      </c>
      <c r="E628" s="42" t="inlineStr">
        <is>
          <t>Facebook + Instagram</t>
        </is>
      </c>
      <c r="F628" s="42" t="inlineStr">
        <is>
          <t>LEP_ZA_AUG26_META_TD_PANTERA_CONV</t>
        </is>
      </c>
      <c r="G628" s="42" t="inlineStr">
        <is>
          <t>Leads - Website Conversions</t>
        </is>
      </c>
      <c r="H628" s="42" t="inlineStr">
        <is>
          <t>PANTERA</t>
        </is>
      </c>
      <c r="I628" s="42" t="inlineStr">
        <is>
          <t>0% Deposit</t>
        </is>
      </c>
      <c r="J628" s="42" t="inlineStr">
        <is>
          <t>MET_PANTERA_LAL1_HIVAL_ZA</t>
        </is>
      </c>
      <c r="K628" s="42" t="inlineStr">
        <is>
          <t>Lookalike</t>
        </is>
      </c>
      <c r="L628" s="42" t="inlineStr">
        <is>
          <t>PANTERA_STA_Offer_0Dep_v2</t>
        </is>
      </c>
      <c r="M628" s="42" t="inlineStr">
        <is>
          <t>Static 1:1</t>
        </is>
      </c>
      <c r="N628" s="42" t="inlineStr">
        <is>
          <t>R5 899pm. No deposit. Test drive it.</t>
        </is>
      </c>
      <c r="O628" s="42" t="inlineStr">
        <is>
          <t>Auction - Cost Cap</t>
        </is>
      </c>
      <c r="P628" s="42" t="inlineStr">
        <is>
          <t>Offsite Conversions</t>
        </is>
      </c>
      <c r="Q628" s="42" t="inlineStr">
        <is>
          <t>https://www.lepas-sa.co.za/offers/pantera</t>
        </is>
      </c>
      <c r="R628" s="115" t="n">
        <v>147.38</v>
      </c>
      <c r="S628" s="116" t="n">
        <v>2309</v>
      </c>
      <c r="T628" s="116" t="n">
        <v>1324</v>
      </c>
      <c r="U628" s="117">
        <f>IFERROR(S628/T628,"")</f>
        <v/>
      </c>
      <c r="V628" s="116" t="n">
        <v>60</v>
      </c>
      <c r="W628" s="116" t="n">
        <v>49</v>
      </c>
      <c r="X628" s="118">
        <f>IFERROR(W628/S628,"")</f>
        <v/>
      </c>
      <c r="Y628" s="115">
        <f>IFERROR(R628/W628,"")</f>
        <v/>
      </c>
      <c r="Z628" s="115">
        <f>IFERROR(R628/S628*1000,"")</f>
        <v/>
      </c>
      <c r="AA628" s="116" t="n">
        <v>42</v>
      </c>
      <c r="AB628" s="47">
        <f>IFERROR(AA628/W628,"")</f>
        <v/>
      </c>
      <c r="AC628" s="116" t="n">
        <v>0</v>
      </c>
      <c r="AD628" s="116" t="n">
        <v>0</v>
      </c>
      <c r="AE628" s="116" t="n">
        <v>0</v>
      </c>
      <c r="AF628" s="116" t="n">
        <v>0</v>
      </c>
      <c r="AG628" s="116" t="n">
        <v>0</v>
      </c>
      <c r="AH628" s="116" t="n">
        <v>0</v>
      </c>
      <c r="AI628" s="47">
        <f>IFERROR(AC628/S628,"")</f>
        <v/>
      </c>
      <c r="AJ628" s="47">
        <f>IFERROR(AH628/S628,"")</f>
        <v/>
      </c>
      <c r="AK628" s="116" t="n">
        <v>58</v>
      </c>
      <c r="AL628" s="116" t="n">
        <v>1</v>
      </c>
      <c r="AM628" s="118">
        <f>IFERROR(AL628/AA628,"")</f>
        <v/>
      </c>
      <c r="AN628" s="119">
        <f>IFERROR(R628/AL628,"")</f>
        <v/>
      </c>
      <c r="AO628" s="116" t="n">
        <v>0</v>
      </c>
      <c r="AP628" s="47">
        <f>IFERROR(AO628/AL628,"")</f>
        <v/>
      </c>
      <c r="AQ628" s="119">
        <f>IFERROR(R628/AO628,"")</f>
        <v/>
      </c>
      <c r="AR628" s="116" t="n">
        <v>0</v>
      </c>
      <c r="AS628" s="116" t="n">
        <v>1</v>
      </c>
      <c r="AT628" s="116">
        <f>AL628+AR628</f>
        <v/>
      </c>
      <c r="AU628" s="119">
        <f>IFERROR(AO628*Assumptions!$C$26*Assumptions!$C$27*INDEX(Assumptions!$C$18:$C$21,MATCH(H628,Assumptions!$B$18:$B$21,0)),0)</f>
        <v/>
      </c>
    </row>
    <row r="629">
      <c r="A629" s="114" t="n">
        <v>46250</v>
      </c>
      <c r="B629" s="42" t="inlineStr">
        <is>
          <t>Wk 33</t>
        </is>
      </c>
      <c r="C629" s="42" t="inlineStr">
        <is>
          <t>Sun</t>
        </is>
      </c>
      <c r="D629" s="42" t="inlineStr">
        <is>
          <t>Meta (FB/IG)</t>
        </is>
      </c>
      <c r="E629" s="42" t="inlineStr">
        <is>
          <t>Facebook + Instagram</t>
        </is>
      </c>
      <c r="F629" s="42" t="inlineStr">
        <is>
          <t>LEP_ZA_AUG26_META_TD_PANTERA_CONV</t>
        </is>
      </c>
      <c r="G629" s="42" t="inlineStr">
        <is>
          <t>Leads - Website Conversions</t>
        </is>
      </c>
      <c r="H629" s="42" t="inlineStr">
        <is>
          <t>PANTERA</t>
        </is>
      </c>
      <c r="I629" s="42" t="inlineStr">
        <is>
          <t>0% Deposit</t>
        </is>
      </c>
      <c r="J629" s="42" t="inlineStr">
        <is>
          <t>MET_PANTERA_LAL1_HIVAL_ZA</t>
        </is>
      </c>
      <c r="K629" s="42" t="inlineStr">
        <is>
          <t>Lookalike</t>
        </is>
      </c>
      <c r="L629" s="42" t="inlineStr">
        <is>
          <t>PANTERA_STA_Offer_0Dep_v2</t>
        </is>
      </c>
      <c r="M629" s="42" t="inlineStr">
        <is>
          <t>Static 1:1</t>
        </is>
      </c>
      <c r="N629" s="42" t="inlineStr">
        <is>
          <t>R5 899pm. No deposit. Test drive it.</t>
        </is>
      </c>
      <c r="O629" s="42" t="inlineStr">
        <is>
          <t>Auction - Cost Cap</t>
        </is>
      </c>
      <c r="P629" s="42" t="inlineStr">
        <is>
          <t>Offsite Conversions</t>
        </is>
      </c>
      <c r="Q629" s="42" t="inlineStr">
        <is>
          <t>https://www.lepas-sa.co.za/offers/pantera</t>
        </is>
      </c>
      <c r="R629" s="115" t="n">
        <v>108.86</v>
      </c>
      <c r="S629" s="116" t="n">
        <v>1460</v>
      </c>
      <c r="T629" s="116" t="n">
        <v>1030</v>
      </c>
      <c r="U629" s="117">
        <f>IFERROR(S629/T629,"")</f>
        <v/>
      </c>
      <c r="V629" s="116" t="n">
        <v>36</v>
      </c>
      <c r="W629" s="116" t="n">
        <v>27</v>
      </c>
      <c r="X629" s="118">
        <f>IFERROR(W629/S629,"")</f>
        <v/>
      </c>
      <c r="Y629" s="115">
        <f>IFERROR(R629/W629,"")</f>
        <v/>
      </c>
      <c r="Z629" s="115">
        <f>IFERROR(R629/S629*1000,"")</f>
        <v/>
      </c>
      <c r="AA629" s="116" t="n">
        <v>23</v>
      </c>
      <c r="AB629" s="47">
        <f>IFERROR(AA629/W629,"")</f>
        <v/>
      </c>
      <c r="AC629" s="116" t="n">
        <v>0</v>
      </c>
      <c r="AD629" s="116" t="n">
        <v>0</v>
      </c>
      <c r="AE629" s="116" t="n">
        <v>0</v>
      </c>
      <c r="AF629" s="116" t="n">
        <v>0</v>
      </c>
      <c r="AG629" s="116" t="n">
        <v>0</v>
      </c>
      <c r="AH629" s="116" t="n">
        <v>0</v>
      </c>
      <c r="AI629" s="47">
        <f>IFERROR(AC629/S629,"")</f>
        <v/>
      </c>
      <c r="AJ629" s="47">
        <f>IFERROR(AH629/S629,"")</f>
        <v/>
      </c>
      <c r="AK629" s="116" t="n">
        <v>45</v>
      </c>
      <c r="AL629" s="116" t="n">
        <v>0</v>
      </c>
      <c r="AM629" s="118">
        <f>IFERROR(AL629/AA629,"")</f>
        <v/>
      </c>
      <c r="AN629" s="119">
        <f>IFERROR(R629/AL629,"")</f>
        <v/>
      </c>
      <c r="AO629" s="116" t="n">
        <v>0</v>
      </c>
      <c r="AP629" s="47">
        <f>IFERROR(AO629/AL629,"")</f>
        <v/>
      </c>
      <c r="AQ629" s="119">
        <f>IFERROR(R629/AO629,"")</f>
        <v/>
      </c>
      <c r="AR629" s="116" t="n">
        <v>0</v>
      </c>
      <c r="AS629" s="116" t="n">
        <v>0</v>
      </c>
      <c r="AT629" s="116">
        <f>AL629+AR629</f>
        <v/>
      </c>
      <c r="AU629" s="119">
        <f>IFERROR(AO629*Assumptions!$C$26*Assumptions!$C$27*INDEX(Assumptions!$C$18:$C$21,MATCH(H629,Assumptions!$B$18:$B$21,0)),0)</f>
        <v/>
      </c>
    </row>
    <row r="630">
      <c r="A630" s="114" t="n">
        <v>46251</v>
      </c>
      <c r="B630" s="42" t="inlineStr">
        <is>
          <t>Wk 34</t>
        </is>
      </c>
      <c r="C630" s="42" t="inlineStr">
        <is>
          <t>Mon</t>
        </is>
      </c>
      <c r="D630" s="42" t="inlineStr">
        <is>
          <t>Meta (FB/IG)</t>
        </is>
      </c>
      <c r="E630" s="42" t="inlineStr">
        <is>
          <t>Facebook + Instagram</t>
        </is>
      </c>
      <c r="F630" s="42" t="inlineStr">
        <is>
          <t>LEP_ZA_AUG26_META_TD_PANTERA_CONV</t>
        </is>
      </c>
      <c r="G630" s="42" t="inlineStr">
        <is>
          <t>Leads - Website Conversions</t>
        </is>
      </c>
      <c r="H630" s="42" t="inlineStr">
        <is>
          <t>PANTERA</t>
        </is>
      </c>
      <c r="I630" s="42" t="inlineStr">
        <is>
          <t>0% Deposit</t>
        </is>
      </c>
      <c r="J630" s="42" t="inlineStr">
        <is>
          <t>MET_PANTERA_LAL1_HIVAL_ZA</t>
        </is>
      </c>
      <c r="K630" s="42" t="inlineStr">
        <is>
          <t>Lookalike</t>
        </is>
      </c>
      <c r="L630" s="42" t="inlineStr">
        <is>
          <t>PANTERA_STA_Offer_0Dep_v2</t>
        </is>
      </c>
      <c r="M630" s="42" t="inlineStr">
        <is>
          <t>Static 1:1</t>
        </is>
      </c>
      <c r="N630" s="42" t="inlineStr">
        <is>
          <t>R5 899pm. No deposit. Test drive it.</t>
        </is>
      </c>
      <c r="O630" s="42" t="inlineStr">
        <is>
          <t>Auction - Cost Cap</t>
        </is>
      </c>
      <c r="P630" s="42" t="inlineStr">
        <is>
          <t>Offsite Conversions</t>
        </is>
      </c>
      <c r="Q630" s="42" t="inlineStr">
        <is>
          <t>https://www.lepas-sa.co.za/offers/pantera</t>
        </is>
      </c>
      <c r="R630" s="115" t="n">
        <v>97.05</v>
      </c>
      <c r="S630" s="116" t="n">
        <v>1418</v>
      </c>
      <c r="T630" s="116" t="n">
        <v>942</v>
      </c>
      <c r="U630" s="117">
        <f>IFERROR(S630/T630,"")</f>
        <v/>
      </c>
      <c r="V630" s="116" t="n">
        <v>38</v>
      </c>
      <c r="W630" s="116" t="n">
        <v>28</v>
      </c>
      <c r="X630" s="118">
        <f>IFERROR(W630/S630,"")</f>
        <v/>
      </c>
      <c r="Y630" s="115">
        <f>IFERROR(R630/W630,"")</f>
        <v/>
      </c>
      <c r="Z630" s="115">
        <f>IFERROR(R630/S630*1000,"")</f>
        <v/>
      </c>
      <c r="AA630" s="116" t="n">
        <v>24</v>
      </c>
      <c r="AB630" s="47">
        <f>IFERROR(AA630/W630,"")</f>
        <v/>
      </c>
      <c r="AC630" s="116" t="n">
        <v>0</v>
      </c>
      <c r="AD630" s="116" t="n">
        <v>0</v>
      </c>
      <c r="AE630" s="116" t="n">
        <v>0</v>
      </c>
      <c r="AF630" s="116" t="n">
        <v>0</v>
      </c>
      <c r="AG630" s="116" t="n">
        <v>0</v>
      </c>
      <c r="AH630" s="116" t="n">
        <v>0</v>
      </c>
      <c r="AI630" s="47">
        <f>IFERROR(AC630/S630,"")</f>
        <v/>
      </c>
      <c r="AJ630" s="47">
        <f>IFERROR(AH630/S630,"")</f>
        <v/>
      </c>
      <c r="AK630" s="116" t="n">
        <v>16</v>
      </c>
      <c r="AL630" s="116" t="n">
        <v>0</v>
      </c>
      <c r="AM630" s="118">
        <f>IFERROR(AL630/AA630,"")</f>
        <v/>
      </c>
      <c r="AN630" s="119">
        <f>IFERROR(R630/AL630,"")</f>
        <v/>
      </c>
      <c r="AO630" s="116" t="n">
        <v>0</v>
      </c>
      <c r="AP630" s="47">
        <f>IFERROR(AO630/AL630,"")</f>
        <v/>
      </c>
      <c r="AQ630" s="119">
        <f>IFERROR(R630/AO630,"")</f>
        <v/>
      </c>
      <c r="AR630" s="116" t="n">
        <v>0</v>
      </c>
      <c r="AS630" s="116" t="n">
        <v>0</v>
      </c>
      <c r="AT630" s="116">
        <f>AL630+AR630</f>
        <v/>
      </c>
      <c r="AU630" s="119">
        <f>IFERROR(AO630*Assumptions!$C$26*Assumptions!$C$27*INDEX(Assumptions!$C$18:$C$21,MATCH(H630,Assumptions!$B$18:$B$21,0)),0)</f>
        <v/>
      </c>
    </row>
    <row r="631">
      <c r="A631" s="114" t="n">
        <v>46252</v>
      </c>
      <c r="B631" s="42" t="inlineStr">
        <is>
          <t>Wk 34</t>
        </is>
      </c>
      <c r="C631" s="42" t="inlineStr">
        <is>
          <t>Tue</t>
        </is>
      </c>
      <c r="D631" s="42" t="inlineStr">
        <is>
          <t>Meta (FB/IG)</t>
        </is>
      </c>
      <c r="E631" s="42" t="inlineStr">
        <is>
          <t>Facebook + Instagram</t>
        </is>
      </c>
      <c r="F631" s="42" t="inlineStr">
        <is>
          <t>LEP_ZA_AUG26_META_TD_PANTERA_CONV</t>
        </is>
      </c>
      <c r="G631" s="42" t="inlineStr">
        <is>
          <t>Leads - Website Conversions</t>
        </is>
      </c>
      <c r="H631" s="42" t="inlineStr">
        <is>
          <t>PANTERA</t>
        </is>
      </c>
      <c r="I631" s="42" t="inlineStr">
        <is>
          <t>0% Deposit</t>
        </is>
      </c>
      <c r="J631" s="42" t="inlineStr">
        <is>
          <t>MET_PANTERA_LAL1_HIVAL_ZA</t>
        </is>
      </c>
      <c r="K631" s="42" t="inlineStr">
        <is>
          <t>Lookalike</t>
        </is>
      </c>
      <c r="L631" s="42" t="inlineStr">
        <is>
          <t>PANTERA_STA_Offer_0Dep_v2</t>
        </is>
      </c>
      <c r="M631" s="42" t="inlineStr">
        <is>
          <t>Static 1:1</t>
        </is>
      </c>
      <c r="N631" s="42" t="inlineStr">
        <is>
          <t>R5 899pm. No deposit. Test drive it.</t>
        </is>
      </c>
      <c r="O631" s="42" t="inlineStr">
        <is>
          <t>Auction - Cost Cap</t>
        </is>
      </c>
      <c r="P631" s="42" t="inlineStr">
        <is>
          <t>Offsite Conversions</t>
        </is>
      </c>
      <c r="Q631" s="42" t="inlineStr">
        <is>
          <t>https://www.lepas-sa.co.za/offers/pantera</t>
        </is>
      </c>
      <c r="R631" s="115" t="n">
        <v>117.55</v>
      </c>
      <c r="S631" s="116" t="n">
        <v>1161</v>
      </c>
      <c r="T631" s="116" t="n">
        <v>614</v>
      </c>
      <c r="U631" s="117">
        <f>IFERROR(S631/T631,"")</f>
        <v/>
      </c>
      <c r="V631" s="116" t="n">
        <v>25</v>
      </c>
      <c r="W631" s="116" t="n">
        <v>17</v>
      </c>
      <c r="X631" s="118">
        <f>IFERROR(W631/S631,"")</f>
        <v/>
      </c>
      <c r="Y631" s="115">
        <f>IFERROR(R631/W631,"")</f>
        <v/>
      </c>
      <c r="Z631" s="115">
        <f>IFERROR(R631/S631*1000,"")</f>
        <v/>
      </c>
      <c r="AA631" s="116" t="n">
        <v>14</v>
      </c>
      <c r="AB631" s="47">
        <f>IFERROR(AA631/W631,"")</f>
        <v/>
      </c>
      <c r="AC631" s="116" t="n">
        <v>0</v>
      </c>
      <c r="AD631" s="116" t="n">
        <v>0</v>
      </c>
      <c r="AE631" s="116" t="n">
        <v>0</v>
      </c>
      <c r="AF631" s="116" t="n">
        <v>0</v>
      </c>
      <c r="AG631" s="116" t="n">
        <v>0</v>
      </c>
      <c r="AH631" s="116" t="n">
        <v>0</v>
      </c>
      <c r="AI631" s="47">
        <f>IFERROR(AC631/S631,"")</f>
        <v/>
      </c>
      <c r="AJ631" s="47">
        <f>IFERROR(AH631/S631,"")</f>
        <v/>
      </c>
      <c r="AK631" s="116" t="n">
        <v>13</v>
      </c>
      <c r="AL631" s="116" t="n">
        <v>0</v>
      </c>
      <c r="AM631" s="118">
        <f>IFERROR(AL631/AA631,"")</f>
        <v/>
      </c>
      <c r="AN631" s="119">
        <f>IFERROR(R631/AL631,"")</f>
        <v/>
      </c>
      <c r="AO631" s="116" t="n">
        <v>0</v>
      </c>
      <c r="AP631" s="47">
        <f>IFERROR(AO631/AL631,"")</f>
        <v/>
      </c>
      <c r="AQ631" s="119">
        <f>IFERROR(R631/AO631,"")</f>
        <v/>
      </c>
      <c r="AR631" s="116" t="n">
        <v>0</v>
      </c>
      <c r="AS631" s="116" t="n">
        <v>0</v>
      </c>
      <c r="AT631" s="116">
        <f>AL631+AR631</f>
        <v/>
      </c>
      <c r="AU631" s="119">
        <f>IFERROR(AO631*Assumptions!$C$26*Assumptions!$C$27*INDEX(Assumptions!$C$18:$C$21,MATCH(H631,Assumptions!$B$18:$B$21,0)),0)</f>
        <v/>
      </c>
    </row>
    <row r="632">
      <c r="A632" s="114" t="n">
        <v>46253</v>
      </c>
      <c r="B632" s="42" t="inlineStr">
        <is>
          <t>Wk 34</t>
        </is>
      </c>
      <c r="C632" s="42" t="inlineStr">
        <is>
          <t>Wed</t>
        </is>
      </c>
      <c r="D632" s="42" t="inlineStr">
        <is>
          <t>Meta (FB/IG)</t>
        </is>
      </c>
      <c r="E632" s="42" t="inlineStr">
        <is>
          <t>Facebook + Instagram</t>
        </is>
      </c>
      <c r="F632" s="42" t="inlineStr">
        <is>
          <t>LEP_ZA_AUG26_META_TD_PANTERA_CONV</t>
        </is>
      </c>
      <c r="G632" s="42" t="inlineStr">
        <is>
          <t>Leads - Website Conversions</t>
        </is>
      </c>
      <c r="H632" s="42" t="inlineStr">
        <is>
          <t>PANTERA</t>
        </is>
      </c>
      <c r="I632" s="42" t="inlineStr">
        <is>
          <t>0% Deposit</t>
        </is>
      </c>
      <c r="J632" s="42" t="inlineStr">
        <is>
          <t>MET_PANTERA_LAL1_HIVAL_ZA</t>
        </is>
      </c>
      <c r="K632" s="42" t="inlineStr">
        <is>
          <t>Lookalike</t>
        </is>
      </c>
      <c r="L632" s="42" t="inlineStr">
        <is>
          <t>PANTERA_STA_Offer_0Dep_v2</t>
        </is>
      </c>
      <c r="M632" s="42" t="inlineStr">
        <is>
          <t>Static 1:1</t>
        </is>
      </c>
      <c r="N632" s="42" t="inlineStr">
        <is>
          <t>R5 899pm. No deposit. Test drive it.</t>
        </is>
      </c>
      <c r="O632" s="42" t="inlineStr">
        <is>
          <t>Auction - Cost Cap</t>
        </is>
      </c>
      <c r="P632" s="42" t="inlineStr">
        <is>
          <t>Offsite Conversions</t>
        </is>
      </c>
      <c r="Q632" s="42" t="inlineStr">
        <is>
          <t>https://www.lepas-sa.co.za/offers/pantera</t>
        </is>
      </c>
      <c r="R632" s="115" t="n">
        <v>127.49</v>
      </c>
      <c r="S632" s="116" t="n">
        <v>2038</v>
      </c>
      <c r="T632" s="116" t="n">
        <v>1263</v>
      </c>
      <c r="U632" s="117">
        <f>IFERROR(S632/T632,"")</f>
        <v/>
      </c>
      <c r="V632" s="116" t="n">
        <v>44</v>
      </c>
      <c r="W632" s="116" t="n">
        <v>33</v>
      </c>
      <c r="X632" s="118">
        <f>IFERROR(W632/S632,"")</f>
        <v/>
      </c>
      <c r="Y632" s="115">
        <f>IFERROR(R632/W632,"")</f>
        <v/>
      </c>
      <c r="Z632" s="115">
        <f>IFERROR(R632/S632*1000,"")</f>
        <v/>
      </c>
      <c r="AA632" s="116" t="n">
        <v>26</v>
      </c>
      <c r="AB632" s="47">
        <f>IFERROR(AA632/W632,"")</f>
        <v/>
      </c>
      <c r="AC632" s="116" t="n">
        <v>0</v>
      </c>
      <c r="AD632" s="116" t="n">
        <v>0</v>
      </c>
      <c r="AE632" s="116" t="n">
        <v>0</v>
      </c>
      <c r="AF632" s="116" t="n">
        <v>0</v>
      </c>
      <c r="AG632" s="116" t="n">
        <v>0</v>
      </c>
      <c r="AH632" s="116" t="n">
        <v>0</v>
      </c>
      <c r="AI632" s="47">
        <f>IFERROR(AC632/S632,"")</f>
        <v/>
      </c>
      <c r="AJ632" s="47">
        <f>IFERROR(AH632/S632,"")</f>
        <v/>
      </c>
      <c r="AK632" s="116" t="n">
        <v>59</v>
      </c>
      <c r="AL632" s="116" t="n">
        <v>0</v>
      </c>
      <c r="AM632" s="118">
        <f>IFERROR(AL632/AA632,"")</f>
        <v/>
      </c>
      <c r="AN632" s="119">
        <f>IFERROR(R632/AL632,"")</f>
        <v/>
      </c>
      <c r="AO632" s="116" t="n">
        <v>0</v>
      </c>
      <c r="AP632" s="47">
        <f>IFERROR(AO632/AL632,"")</f>
        <v/>
      </c>
      <c r="AQ632" s="119">
        <f>IFERROR(R632/AO632,"")</f>
        <v/>
      </c>
      <c r="AR632" s="116" t="n">
        <v>0</v>
      </c>
      <c r="AS632" s="116" t="n">
        <v>0</v>
      </c>
      <c r="AT632" s="116">
        <f>AL632+AR632</f>
        <v/>
      </c>
      <c r="AU632" s="119">
        <f>IFERROR(AO632*Assumptions!$C$26*Assumptions!$C$27*INDEX(Assumptions!$C$18:$C$21,MATCH(H632,Assumptions!$B$18:$B$21,0)),0)</f>
        <v/>
      </c>
    </row>
    <row r="633">
      <c r="A633" s="114" t="n">
        <v>46254</v>
      </c>
      <c r="B633" s="42" t="inlineStr">
        <is>
          <t>Wk 34</t>
        </is>
      </c>
      <c r="C633" s="42" t="inlineStr">
        <is>
          <t>Thu</t>
        </is>
      </c>
      <c r="D633" s="42" t="inlineStr">
        <is>
          <t>Meta (FB/IG)</t>
        </is>
      </c>
      <c r="E633" s="42" t="inlineStr">
        <is>
          <t>Facebook + Instagram</t>
        </is>
      </c>
      <c r="F633" s="42" t="inlineStr">
        <is>
          <t>LEP_ZA_AUG26_META_TD_PANTERA_CONV</t>
        </is>
      </c>
      <c r="G633" s="42" t="inlineStr">
        <is>
          <t>Leads - Website Conversions</t>
        </is>
      </c>
      <c r="H633" s="42" t="inlineStr">
        <is>
          <t>PANTERA</t>
        </is>
      </c>
      <c r="I633" s="42" t="inlineStr">
        <is>
          <t>0% Deposit</t>
        </is>
      </c>
      <c r="J633" s="42" t="inlineStr">
        <is>
          <t>MET_PANTERA_LAL1_HIVAL_ZA</t>
        </is>
      </c>
      <c r="K633" s="42" t="inlineStr">
        <is>
          <t>Lookalike</t>
        </is>
      </c>
      <c r="L633" s="42" t="inlineStr">
        <is>
          <t>PANTERA_STA_Offer_0Dep_v2</t>
        </is>
      </c>
      <c r="M633" s="42" t="inlineStr">
        <is>
          <t>Static 1:1</t>
        </is>
      </c>
      <c r="N633" s="42" t="inlineStr">
        <is>
          <t>R5 899pm. No deposit. Test drive it.</t>
        </is>
      </c>
      <c r="O633" s="42" t="inlineStr">
        <is>
          <t>Auction - Cost Cap</t>
        </is>
      </c>
      <c r="P633" s="42" t="inlineStr">
        <is>
          <t>Offsite Conversions</t>
        </is>
      </c>
      <c r="Q633" s="42" t="inlineStr">
        <is>
          <t>https://www.lepas-sa.co.za/offers/pantera</t>
        </is>
      </c>
      <c r="R633" s="115" t="n">
        <v>151.73</v>
      </c>
      <c r="S633" s="116" t="n">
        <v>2041</v>
      </c>
      <c r="T633" s="116" t="n">
        <v>1308</v>
      </c>
      <c r="U633" s="117">
        <f>IFERROR(S633/T633,"")</f>
        <v/>
      </c>
      <c r="V633" s="116" t="n">
        <v>53</v>
      </c>
      <c r="W633" s="116" t="n">
        <v>39</v>
      </c>
      <c r="X633" s="118">
        <f>IFERROR(W633/S633,"")</f>
        <v/>
      </c>
      <c r="Y633" s="115">
        <f>IFERROR(R633/W633,"")</f>
        <v/>
      </c>
      <c r="Z633" s="115">
        <f>IFERROR(R633/S633*1000,"")</f>
        <v/>
      </c>
      <c r="AA633" s="116" t="n">
        <v>32</v>
      </c>
      <c r="AB633" s="47">
        <f>IFERROR(AA633/W633,"")</f>
        <v/>
      </c>
      <c r="AC633" s="116" t="n">
        <v>0</v>
      </c>
      <c r="AD633" s="116" t="n">
        <v>0</v>
      </c>
      <c r="AE633" s="116" t="n">
        <v>0</v>
      </c>
      <c r="AF633" s="116" t="n">
        <v>0</v>
      </c>
      <c r="AG633" s="116" t="n">
        <v>0</v>
      </c>
      <c r="AH633" s="116" t="n">
        <v>0</v>
      </c>
      <c r="AI633" s="47">
        <f>IFERROR(AC633/S633,"")</f>
        <v/>
      </c>
      <c r="AJ633" s="47">
        <f>IFERROR(AH633/S633,"")</f>
        <v/>
      </c>
      <c r="AK633" s="116" t="n">
        <v>69</v>
      </c>
      <c r="AL633" s="116" t="n">
        <v>0</v>
      </c>
      <c r="AM633" s="118">
        <f>IFERROR(AL633/AA633,"")</f>
        <v/>
      </c>
      <c r="AN633" s="119">
        <f>IFERROR(R633/AL633,"")</f>
        <v/>
      </c>
      <c r="AO633" s="116" t="n">
        <v>0</v>
      </c>
      <c r="AP633" s="47">
        <f>IFERROR(AO633/AL633,"")</f>
        <v/>
      </c>
      <c r="AQ633" s="119">
        <f>IFERROR(R633/AO633,"")</f>
        <v/>
      </c>
      <c r="AR633" s="116" t="n">
        <v>0</v>
      </c>
      <c r="AS633" s="116" t="n">
        <v>0</v>
      </c>
      <c r="AT633" s="116">
        <f>AL633+AR633</f>
        <v/>
      </c>
      <c r="AU633" s="119">
        <f>IFERROR(AO633*Assumptions!$C$26*Assumptions!$C$27*INDEX(Assumptions!$C$18:$C$21,MATCH(H633,Assumptions!$B$18:$B$21,0)),0)</f>
        <v/>
      </c>
    </row>
    <row r="634">
      <c r="A634" s="114" t="n">
        <v>46255</v>
      </c>
      <c r="B634" s="42" t="inlineStr">
        <is>
          <t>Wk 34</t>
        </is>
      </c>
      <c r="C634" s="42" t="inlineStr">
        <is>
          <t>Fri</t>
        </is>
      </c>
      <c r="D634" s="42" t="inlineStr">
        <is>
          <t>Meta (FB/IG)</t>
        </is>
      </c>
      <c r="E634" s="42" t="inlineStr">
        <is>
          <t>Facebook + Instagram</t>
        </is>
      </c>
      <c r="F634" s="42" t="inlineStr">
        <is>
          <t>LEP_ZA_AUG26_META_TD_PANTERA_CONV</t>
        </is>
      </c>
      <c r="G634" s="42" t="inlineStr">
        <is>
          <t>Leads - Website Conversions</t>
        </is>
      </c>
      <c r="H634" s="42" t="inlineStr">
        <is>
          <t>PANTERA</t>
        </is>
      </c>
      <c r="I634" s="42" t="inlineStr">
        <is>
          <t>0% Deposit</t>
        </is>
      </c>
      <c r="J634" s="42" t="inlineStr">
        <is>
          <t>MET_PANTERA_LAL1_HIVAL_ZA</t>
        </is>
      </c>
      <c r="K634" s="42" t="inlineStr">
        <is>
          <t>Lookalike</t>
        </is>
      </c>
      <c r="L634" s="42" t="inlineStr">
        <is>
          <t>PANTERA_STA_Offer_0Dep_v2</t>
        </is>
      </c>
      <c r="M634" s="42" t="inlineStr">
        <is>
          <t>Static 1:1</t>
        </is>
      </c>
      <c r="N634" s="42" t="inlineStr">
        <is>
          <t>R5 899pm. No deposit. Test drive it.</t>
        </is>
      </c>
      <c r="O634" s="42" t="inlineStr">
        <is>
          <t>Auction - Cost Cap</t>
        </is>
      </c>
      <c r="P634" s="42" t="inlineStr">
        <is>
          <t>Offsite Conversions</t>
        </is>
      </c>
      <c r="Q634" s="42" t="inlineStr">
        <is>
          <t>https://www.lepas-sa.co.za/offers/pantera</t>
        </is>
      </c>
      <c r="R634" s="115" t="n">
        <v>126.65</v>
      </c>
      <c r="S634" s="116" t="n">
        <v>1643</v>
      </c>
      <c r="T634" s="116" t="n">
        <v>913</v>
      </c>
      <c r="U634" s="117">
        <f>IFERROR(S634/T634,"")</f>
        <v/>
      </c>
      <c r="V634" s="116" t="n">
        <v>36</v>
      </c>
      <c r="W634" s="116" t="n">
        <v>27</v>
      </c>
      <c r="X634" s="118">
        <f>IFERROR(W634/S634,"")</f>
        <v/>
      </c>
      <c r="Y634" s="115">
        <f>IFERROR(R634/W634,"")</f>
        <v/>
      </c>
      <c r="Z634" s="115">
        <f>IFERROR(R634/S634*1000,"")</f>
        <v/>
      </c>
      <c r="AA634" s="116" t="n">
        <v>22</v>
      </c>
      <c r="AB634" s="47">
        <f>IFERROR(AA634/W634,"")</f>
        <v/>
      </c>
      <c r="AC634" s="116" t="n">
        <v>0</v>
      </c>
      <c r="AD634" s="116" t="n">
        <v>0</v>
      </c>
      <c r="AE634" s="116" t="n">
        <v>0</v>
      </c>
      <c r="AF634" s="116" t="n">
        <v>0</v>
      </c>
      <c r="AG634" s="116" t="n">
        <v>0</v>
      </c>
      <c r="AH634" s="116" t="n">
        <v>0</v>
      </c>
      <c r="AI634" s="47">
        <f>IFERROR(AC634/S634,"")</f>
        <v/>
      </c>
      <c r="AJ634" s="47">
        <f>IFERROR(AH634/S634,"")</f>
        <v/>
      </c>
      <c r="AK634" s="116" t="n">
        <v>23</v>
      </c>
      <c r="AL634" s="116" t="n">
        <v>1</v>
      </c>
      <c r="AM634" s="118">
        <f>IFERROR(AL634/AA634,"")</f>
        <v/>
      </c>
      <c r="AN634" s="119">
        <f>IFERROR(R634/AL634,"")</f>
        <v/>
      </c>
      <c r="AO634" s="116" t="n">
        <v>1</v>
      </c>
      <c r="AP634" s="47">
        <f>IFERROR(AO634/AL634,"")</f>
        <v/>
      </c>
      <c r="AQ634" s="119">
        <f>IFERROR(R634/AO634,"")</f>
        <v/>
      </c>
      <c r="AR634" s="116" t="n">
        <v>0</v>
      </c>
      <c r="AS634" s="116" t="n">
        <v>0</v>
      </c>
      <c r="AT634" s="116">
        <f>AL634+AR634</f>
        <v/>
      </c>
      <c r="AU634" s="119">
        <f>IFERROR(AO634*Assumptions!$C$26*Assumptions!$C$27*INDEX(Assumptions!$C$18:$C$21,MATCH(H634,Assumptions!$B$18:$B$21,0)),0)</f>
        <v/>
      </c>
    </row>
    <row r="635">
      <c r="A635" s="114" t="n">
        <v>46256</v>
      </c>
      <c r="B635" s="42" t="inlineStr">
        <is>
          <t>Wk 34</t>
        </is>
      </c>
      <c r="C635" s="42" t="inlineStr">
        <is>
          <t>Sat</t>
        </is>
      </c>
      <c r="D635" s="42" t="inlineStr">
        <is>
          <t>Meta (FB/IG)</t>
        </is>
      </c>
      <c r="E635" s="42" t="inlineStr">
        <is>
          <t>Facebook + Instagram</t>
        </is>
      </c>
      <c r="F635" s="42" t="inlineStr">
        <is>
          <t>LEP_ZA_AUG26_META_TD_PANTERA_CONV</t>
        </is>
      </c>
      <c r="G635" s="42" t="inlineStr">
        <is>
          <t>Leads - Website Conversions</t>
        </is>
      </c>
      <c r="H635" s="42" t="inlineStr">
        <is>
          <t>PANTERA</t>
        </is>
      </c>
      <c r="I635" s="42" t="inlineStr">
        <is>
          <t>0% Deposit</t>
        </is>
      </c>
      <c r="J635" s="42" t="inlineStr">
        <is>
          <t>MET_PANTERA_LAL1_HIVAL_ZA</t>
        </is>
      </c>
      <c r="K635" s="42" t="inlineStr">
        <is>
          <t>Lookalike</t>
        </is>
      </c>
      <c r="L635" s="42" t="inlineStr">
        <is>
          <t>PANTERA_STA_Offer_0Dep_v2</t>
        </is>
      </c>
      <c r="M635" s="42" t="inlineStr">
        <is>
          <t>Static 1:1</t>
        </is>
      </c>
      <c r="N635" s="42" t="inlineStr">
        <is>
          <t>R5 899pm. No deposit. Test drive it.</t>
        </is>
      </c>
      <c r="O635" s="42" t="inlineStr">
        <is>
          <t>Auction - Cost Cap</t>
        </is>
      </c>
      <c r="P635" s="42" t="inlineStr">
        <is>
          <t>Offsite Conversions</t>
        </is>
      </c>
      <c r="Q635" s="42" t="inlineStr">
        <is>
          <t>https://www.lepas-sa.co.za/offers/pantera</t>
        </is>
      </c>
      <c r="R635" s="115" t="n">
        <v>150.51</v>
      </c>
      <c r="S635" s="116" t="n">
        <v>2442</v>
      </c>
      <c r="T635" s="116" t="n">
        <v>1443</v>
      </c>
      <c r="U635" s="117">
        <f>IFERROR(S635/T635,"")</f>
        <v/>
      </c>
      <c r="V635" s="116" t="n">
        <v>41</v>
      </c>
      <c r="W635" s="116" t="n">
        <v>31</v>
      </c>
      <c r="X635" s="118">
        <f>IFERROR(W635/S635,"")</f>
        <v/>
      </c>
      <c r="Y635" s="115">
        <f>IFERROR(R635/W635,"")</f>
        <v/>
      </c>
      <c r="Z635" s="115">
        <f>IFERROR(R635/S635*1000,"")</f>
        <v/>
      </c>
      <c r="AA635" s="116" t="n">
        <v>28</v>
      </c>
      <c r="AB635" s="47">
        <f>IFERROR(AA635/W635,"")</f>
        <v/>
      </c>
      <c r="AC635" s="116" t="n">
        <v>0</v>
      </c>
      <c r="AD635" s="116" t="n">
        <v>0</v>
      </c>
      <c r="AE635" s="116" t="n">
        <v>0</v>
      </c>
      <c r="AF635" s="116" t="n">
        <v>0</v>
      </c>
      <c r="AG635" s="116" t="n">
        <v>0</v>
      </c>
      <c r="AH635" s="116" t="n">
        <v>0</v>
      </c>
      <c r="AI635" s="47">
        <f>IFERROR(AC635/S635,"")</f>
        <v/>
      </c>
      <c r="AJ635" s="47">
        <f>IFERROR(AH635/S635,"")</f>
        <v/>
      </c>
      <c r="AK635" s="116" t="n">
        <v>25</v>
      </c>
      <c r="AL635" s="116" t="n">
        <v>0</v>
      </c>
      <c r="AM635" s="118">
        <f>IFERROR(AL635/AA635,"")</f>
        <v/>
      </c>
      <c r="AN635" s="119">
        <f>IFERROR(R635/AL635,"")</f>
        <v/>
      </c>
      <c r="AO635" s="116" t="n">
        <v>0</v>
      </c>
      <c r="AP635" s="47">
        <f>IFERROR(AO635/AL635,"")</f>
        <v/>
      </c>
      <c r="AQ635" s="119">
        <f>IFERROR(R635/AO635,"")</f>
        <v/>
      </c>
      <c r="AR635" s="116" t="n">
        <v>0</v>
      </c>
      <c r="AS635" s="116" t="n">
        <v>0</v>
      </c>
      <c r="AT635" s="116">
        <f>AL635+AR635</f>
        <v/>
      </c>
      <c r="AU635" s="119">
        <f>IFERROR(AO635*Assumptions!$C$26*Assumptions!$C$27*INDEX(Assumptions!$C$18:$C$21,MATCH(H635,Assumptions!$B$18:$B$21,0)),0)</f>
        <v/>
      </c>
    </row>
    <row r="636">
      <c r="A636" s="114" t="n">
        <v>46257</v>
      </c>
      <c r="B636" s="42" t="inlineStr">
        <is>
          <t>Wk 34</t>
        </is>
      </c>
      <c r="C636" s="42" t="inlineStr">
        <is>
          <t>Sun</t>
        </is>
      </c>
      <c r="D636" s="42" t="inlineStr">
        <is>
          <t>Meta (FB/IG)</t>
        </is>
      </c>
      <c r="E636" s="42" t="inlineStr">
        <is>
          <t>Facebook + Instagram</t>
        </is>
      </c>
      <c r="F636" s="42" t="inlineStr">
        <is>
          <t>LEP_ZA_AUG26_META_TD_PANTERA_CONV</t>
        </is>
      </c>
      <c r="G636" s="42" t="inlineStr">
        <is>
          <t>Leads - Website Conversions</t>
        </is>
      </c>
      <c r="H636" s="42" t="inlineStr">
        <is>
          <t>PANTERA</t>
        </is>
      </c>
      <c r="I636" s="42" t="inlineStr">
        <is>
          <t>0% Deposit</t>
        </is>
      </c>
      <c r="J636" s="42" t="inlineStr">
        <is>
          <t>MET_PANTERA_LAL1_HIVAL_ZA</t>
        </is>
      </c>
      <c r="K636" s="42" t="inlineStr">
        <is>
          <t>Lookalike</t>
        </is>
      </c>
      <c r="L636" s="42" t="inlineStr">
        <is>
          <t>PANTERA_STA_Offer_0Dep_v2</t>
        </is>
      </c>
      <c r="M636" s="42" t="inlineStr">
        <is>
          <t>Static 1:1</t>
        </is>
      </c>
      <c r="N636" s="42" t="inlineStr">
        <is>
          <t>R5 899pm. No deposit. Test drive it.</t>
        </is>
      </c>
      <c r="O636" s="42" t="inlineStr">
        <is>
          <t>Auction - Cost Cap</t>
        </is>
      </c>
      <c r="P636" s="42" t="inlineStr">
        <is>
          <t>Offsite Conversions</t>
        </is>
      </c>
      <c r="Q636" s="42" t="inlineStr">
        <is>
          <t>https://www.lepas-sa.co.za/offers/pantera</t>
        </is>
      </c>
      <c r="R636" s="115" t="n">
        <v>118.54</v>
      </c>
      <c r="S636" s="116" t="n">
        <v>1451</v>
      </c>
      <c r="T636" s="116" t="n">
        <v>973</v>
      </c>
      <c r="U636" s="117">
        <f>IFERROR(S636/T636,"")</f>
        <v/>
      </c>
      <c r="V636" s="116" t="n">
        <v>26</v>
      </c>
      <c r="W636" s="116" t="n">
        <v>19</v>
      </c>
      <c r="X636" s="118">
        <f>IFERROR(W636/S636,"")</f>
        <v/>
      </c>
      <c r="Y636" s="115">
        <f>IFERROR(R636/W636,"")</f>
        <v/>
      </c>
      <c r="Z636" s="115">
        <f>IFERROR(R636/S636*1000,"")</f>
        <v/>
      </c>
      <c r="AA636" s="116" t="n">
        <v>15</v>
      </c>
      <c r="AB636" s="47">
        <f>IFERROR(AA636/W636,"")</f>
        <v/>
      </c>
      <c r="AC636" s="116" t="n">
        <v>0</v>
      </c>
      <c r="AD636" s="116" t="n">
        <v>0</v>
      </c>
      <c r="AE636" s="116" t="n">
        <v>0</v>
      </c>
      <c r="AF636" s="116" t="n">
        <v>0</v>
      </c>
      <c r="AG636" s="116" t="n">
        <v>0</v>
      </c>
      <c r="AH636" s="116" t="n">
        <v>0</v>
      </c>
      <c r="AI636" s="47">
        <f>IFERROR(AC636/S636,"")</f>
        <v/>
      </c>
      <c r="AJ636" s="47">
        <f>IFERROR(AH636/S636,"")</f>
        <v/>
      </c>
      <c r="AK636" s="116" t="n">
        <v>28</v>
      </c>
      <c r="AL636" s="116" t="n">
        <v>0</v>
      </c>
      <c r="AM636" s="118">
        <f>IFERROR(AL636/AA636,"")</f>
        <v/>
      </c>
      <c r="AN636" s="119">
        <f>IFERROR(R636/AL636,"")</f>
        <v/>
      </c>
      <c r="AO636" s="116" t="n">
        <v>0</v>
      </c>
      <c r="AP636" s="47">
        <f>IFERROR(AO636/AL636,"")</f>
        <v/>
      </c>
      <c r="AQ636" s="119">
        <f>IFERROR(R636/AO636,"")</f>
        <v/>
      </c>
      <c r="AR636" s="116" t="n">
        <v>0</v>
      </c>
      <c r="AS636" s="116" t="n">
        <v>0</v>
      </c>
      <c r="AT636" s="116">
        <f>AL636+AR636</f>
        <v/>
      </c>
      <c r="AU636" s="119">
        <f>IFERROR(AO636*Assumptions!$C$26*Assumptions!$C$27*INDEX(Assumptions!$C$18:$C$21,MATCH(H636,Assumptions!$B$18:$B$21,0)),0)</f>
        <v/>
      </c>
    </row>
    <row r="637">
      <c r="A637" s="114" t="n">
        <v>46258</v>
      </c>
      <c r="B637" s="42" t="inlineStr">
        <is>
          <t>Wk 35</t>
        </is>
      </c>
      <c r="C637" s="42" t="inlineStr">
        <is>
          <t>Mon</t>
        </is>
      </c>
      <c r="D637" s="42" t="inlineStr">
        <is>
          <t>Meta (FB/IG)</t>
        </is>
      </c>
      <c r="E637" s="42" t="inlineStr">
        <is>
          <t>Facebook + Instagram</t>
        </is>
      </c>
      <c r="F637" s="42" t="inlineStr">
        <is>
          <t>LEP_ZA_AUG26_META_TD_PANTERA_CONV</t>
        </is>
      </c>
      <c r="G637" s="42" t="inlineStr">
        <is>
          <t>Leads - Website Conversions</t>
        </is>
      </c>
      <c r="H637" s="42" t="inlineStr">
        <is>
          <t>PANTERA</t>
        </is>
      </c>
      <c r="I637" s="42" t="inlineStr">
        <is>
          <t>0% Deposit</t>
        </is>
      </c>
      <c r="J637" s="42" t="inlineStr">
        <is>
          <t>MET_PANTERA_LAL1_HIVAL_ZA</t>
        </is>
      </c>
      <c r="K637" s="42" t="inlineStr">
        <is>
          <t>Lookalike</t>
        </is>
      </c>
      <c r="L637" s="42" t="inlineStr">
        <is>
          <t>PANTERA_STA_Offer_0Dep_v2</t>
        </is>
      </c>
      <c r="M637" s="42" t="inlineStr">
        <is>
          <t>Static 1:1</t>
        </is>
      </c>
      <c r="N637" s="42" t="inlineStr">
        <is>
          <t>R5 899pm. No deposit. Test drive it.</t>
        </is>
      </c>
      <c r="O637" s="42" t="inlineStr">
        <is>
          <t>Auction - Cost Cap</t>
        </is>
      </c>
      <c r="P637" s="42" t="inlineStr">
        <is>
          <t>Offsite Conversions</t>
        </is>
      </c>
      <c r="Q637" s="42" t="inlineStr">
        <is>
          <t>https://www.lepas-sa.co.za/offers/pantera</t>
        </is>
      </c>
      <c r="R637" s="115" t="n">
        <v>106.88</v>
      </c>
      <c r="S637" s="116" t="n">
        <v>1093</v>
      </c>
      <c r="T637" s="116" t="n">
        <v>593</v>
      </c>
      <c r="U637" s="117">
        <f>IFERROR(S637/T637,"")</f>
        <v/>
      </c>
      <c r="V637" s="116" t="n">
        <v>21</v>
      </c>
      <c r="W637" s="116" t="n">
        <v>17</v>
      </c>
      <c r="X637" s="118">
        <f>IFERROR(W637/S637,"")</f>
        <v/>
      </c>
      <c r="Y637" s="115">
        <f>IFERROR(R637/W637,"")</f>
        <v/>
      </c>
      <c r="Z637" s="115">
        <f>IFERROR(R637/S637*1000,"")</f>
        <v/>
      </c>
      <c r="AA637" s="116" t="n">
        <v>14</v>
      </c>
      <c r="AB637" s="47">
        <f>IFERROR(AA637/W637,"")</f>
        <v/>
      </c>
      <c r="AC637" s="116" t="n">
        <v>0</v>
      </c>
      <c r="AD637" s="116" t="n">
        <v>0</v>
      </c>
      <c r="AE637" s="116" t="n">
        <v>0</v>
      </c>
      <c r="AF637" s="116" t="n">
        <v>0</v>
      </c>
      <c r="AG637" s="116" t="n">
        <v>0</v>
      </c>
      <c r="AH637" s="116" t="n">
        <v>0</v>
      </c>
      <c r="AI637" s="47">
        <f>IFERROR(AC637/S637,"")</f>
        <v/>
      </c>
      <c r="AJ637" s="47">
        <f>IFERROR(AH637/S637,"")</f>
        <v/>
      </c>
      <c r="AK637" s="116" t="n">
        <v>13</v>
      </c>
      <c r="AL637" s="116" t="n">
        <v>0</v>
      </c>
      <c r="AM637" s="118">
        <f>IFERROR(AL637/AA637,"")</f>
        <v/>
      </c>
      <c r="AN637" s="119">
        <f>IFERROR(R637/AL637,"")</f>
        <v/>
      </c>
      <c r="AO637" s="116" t="n">
        <v>0</v>
      </c>
      <c r="AP637" s="47">
        <f>IFERROR(AO637/AL637,"")</f>
        <v/>
      </c>
      <c r="AQ637" s="119">
        <f>IFERROR(R637/AO637,"")</f>
        <v/>
      </c>
      <c r="AR637" s="116" t="n">
        <v>0</v>
      </c>
      <c r="AS637" s="116" t="n">
        <v>0</v>
      </c>
      <c r="AT637" s="116">
        <f>AL637+AR637</f>
        <v/>
      </c>
      <c r="AU637" s="119">
        <f>IFERROR(AO637*Assumptions!$C$26*Assumptions!$C$27*INDEX(Assumptions!$C$18:$C$21,MATCH(H637,Assumptions!$B$18:$B$21,0)),0)</f>
        <v/>
      </c>
    </row>
    <row r="638">
      <c r="A638" s="114" t="n">
        <v>46259</v>
      </c>
      <c r="B638" s="42" t="inlineStr">
        <is>
          <t>Wk 35</t>
        </is>
      </c>
      <c r="C638" s="42" t="inlineStr">
        <is>
          <t>Tue</t>
        </is>
      </c>
      <c r="D638" s="42" t="inlineStr">
        <is>
          <t>Meta (FB/IG)</t>
        </is>
      </c>
      <c r="E638" s="42" t="inlineStr">
        <is>
          <t>Facebook + Instagram</t>
        </is>
      </c>
      <c r="F638" s="42" t="inlineStr">
        <is>
          <t>LEP_ZA_AUG26_META_TD_PANTERA_CONV</t>
        </is>
      </c>
      <c r="G638" s="42" t="inlineStr">
        <is>
          <t>Leads - Website Conversions</t>
        </is>
      </c>
      <c r="H638" s="42" t="inlineStr">
        <is>
          <t>PANTERA</t>
        </is>
      </c>
      <c r="I638" s="42" t="inlineStr">
        <is>
          <t>0% Deposit</t>
        </is>
      </c>
      <c r="J638" s="42" t="inlineStr">
        <is>
          <t>MET_PANTERA_LAL1_HIVAL_ZA</t>
        </is>
      </c>
      <c r="K638" s="42" t="inlineStr">
        <is>
          <t>Lookalike</t>
        </is>
      </c>
      <c r="L638" s="42" t="inlineStr">
        <is>
          <t>PANTERA_STA_Offer_0Dep_v2</t>
        </is>
      </c>
      <c r="M638" s="42" t="inlineStr">
        <is>
          <t>Static 1:1</t>
        </is>
      </c>
      <c r="N638" s="42" t="inlineStr">
        <is>
          <t>R5 899pm. No deposit. Test drive it.</t>
        </is>
      </c>
      <c r="O638" s="42" t="inlineStr">
        <is>
          <t>Auction - Cost Cap</t>
        </is>
      </c>
      <c r="P638" s="42" t="inlineStr">
        <is>
          <t>Offsite Conversions</t>
        </is>
      </c>
      <c r="Q638" s="42" t="inlineStr">
        <is>
          <t>https://www.lepas-sa.co.za/offers/pantera</t>
        </is>
      </c>
      <c r="R638" s="115" t="n">
        <v>101.9</v>
      </c>
      <c r="S638" s="116" t="n">
        <v>1201</v>
      </c>
      <c r="T638" s="116" t="n">
        <v>803</v>
      </c>
      <c r="U638" s="117">
        <f>IFERROR(S638/T638,"")</f>
        <v/>
      </c>
      <c r="V638" s="116" t="n">
        <v>20</v>
      </c>
      <c r="W638" s="116" t="n">
        <v>15</v>
      </c>
      <c r="X638" s="118">
        <f>IFERROR(W638/S638,"")</f>
        <v/>
      </c>
      <c r="Y638" s="115">
        <f>IFERROR(R638/W638,"")</f>
        <v/>
      </c>
      <c r="Z638" s="115">
        <f>IFERROR(R638/S638*1000,"")</f>
        <v/>
      </c>
      <c r="AA638" s="116" t="n">
        <v>13</v>
      </c>
      <c r="AB638" s="47">
        <f>IFERROR(AA638/W638,"")</f>
        <v/>
      </c>
      <c r="AC638" s="116" t="n">
        <v>0</v>
      </c>
      <c r="AD638" s="116" t="n">
        <v>0</v>
      </c>
      <c r="AE638" s="116" t="n">
        <v>0</v>
      </c>
      <c r="AF638" s="116" t="n">
        <v>0</v>
      </c>
      <c r="AG638" s="116" t="n">
        <v>0</v>
      </c>
      <c r="AH638" s="116" t="n">
        <v>0</v>
      </c>
      <c r="AI638" s="47">
        <f>IFERROR(AC638/S638,"")</f>
        <v/>
      </c>
      <c r="AJ638" s="47">
        <f>IFERROR(AH638/S638,"")</f>
        <v/>
      </c>
      <c r="AK638" s="116" t="n">
        <v>37</v>
      </c>
      <c r="AL638" s="116" t="n">
        <v>1</v>
      </c>
      <c r="AM638" s="118">
        <f>IFERROR(AL638/AA638,"")</f>
        <v/>
      </c>
      <c r="AN638" s="119">
        <f>IFERROR(R638/AL638,"")</f>
        <v/>
      </c>
      <c r="AO638" s="116" t="n">
        <v>1</v>
      </c>
      <c r="AP638" s="47">
        <f>IFERROR(AO638/AL638,"")</f>
        <v/>
      </c>
      <c r="AQ638" s="119">
        <f>IFERROR(R638/AO638,"")</f>
        <v/>
      </c>
      <c r="AR638" s="116" t="n">
        <v>0</v>
      </c>
      <c r="AS638" s="116" t="n">
        <v>0</v>
      </c>
      <c r="AT638" s="116">
        <f>AL638+AR638</f>
        <v/>
      </c>
      <c r="AU638" s="119">
        <f>IFERROR(AO638*Assumptions!$C$26*Assumptions!$C$27*INDEX(Assumptions!$C$18:$C$21,MATCH(H638,Assumptions!$B$18:$B$21,0)),0)</f>
        <v/>
      </c>
    </row>
    <row r="639">
      <c r="A639" s="114" t="n">
        <v>46260</v>
      </c>
      <c r="B639" s="42" t="inlineStr">
        <is>
          <t>Wk 35</t>
        </is>
      </c>
      <c r="C639" s="42" t="inlineStr">
        <is>
          <t>Wed</t>
        </is>
      </c>
      <c r="D639" s="42" t="inlineStr">
        <is>
          <t>Meta (FB/IG)</t>
        </is>
      </c>
      <c r="E639" s="42" t="inlineStr">
        <is>
          <t>Facebook + Instagram</t>
        </is>
      </c>
      <c r="F639" s="42" t="inlineStr">
        <is>
          <t>LEP_ZA_AUG26_META_TD_PANTERA_CONV</t>
        </is>
      </c>
      <c r="G639" s="42" t="inlineStr">
        <is>
          <t>Leads - Website Conversions</t>
        </is>
      </c>
      <c r="H639" s="42" t="inlineStr">
        <is>
          <t>PANTERA</t>
        </is>
      </c>
      <c r="I639" s="42" t="inlineStr">
        <is>
          <t>0% Deposit</t>
        </is>
      </c>
      <c r="J639" s="42" t="inlineStr">
        <is>
          <t>MET_PANTERA_LAL1_HIVAL_ZA</t>
        </is>
      </c>
      <c r="K639" s="42" t="inlineStr">
        <is>
          <t>Lookalike</t>
        </is>
      </c>
      <c r="L639" s="42" t="inlineStr">
        <is>
          <t>PANTERA_STA_Offer_0Dep_v2</t>
        </is>
      </c>
      <c r="M639" s="42" t="inlineStr">
        <is>
          <t>Static 1:1</t>
        </is>
      </c>
      <c r="N639" s="42" t="inlineStr">
        <is>
          <t>R5 899pm. No deposit. Test drive it.</t>
        </is>
      </c>
      <c r="O639" s="42" t="inlineStr">
        <is>
          <t>Auction - Cost Cap</t>
        </is>
      </c>
      <c r="P639" s="42" t="inlineStr">
        <is>
          <t>Offsite Conversions</t>
        </is>
      </c>
      <c r="Q639" s="42" t="inlineStr">
        <is>
          <t>https://www.lepas-sa.co.za/offers/pantera</t>
        </is>
      </c>
      <c r="R639" s="115" t="n">
        <v>115.66</v>
      </c>
      <c r="S639" s="116" t="n">
        <v>1553</v>
      </c>
      <c r="T639" s="116" t="n">
        <v>854</v>
      </c>
      <c r="U639" s="117">
        <f>IFERROR(S639/T639,"")</f>
        <v/>
      </c>
      <c r="V639" s="116" t="n">
        <v>25</v>
      </c>
      <c r="W639" s="116" t="n">
        <v>21</v>
      </c>
      <c r="X639" s="118">
        <f>IFERROR(W639/S639,"")</f>
        <v/>
      </c>
      <c r="Y639" s="115">
        <f>IFERROR(R639/W639,"")</f>
        <v/>
      </c>
      <c r="Z639" s="115">
        <f>IFERROR(R639/S639*1000,"")</f>
        <v/>
      </c>
      <c r="AA639" s="116" t="n">
        <v>17</v>
      </c>
      <c r="AB639" s="47">
        <f>IFERROR(AA639/W639,"")</f>
        <v/>
      </c>
      <c r="AC639" s="116" t="n">
        <v>0</v>
      </c>
      <c r="AD639" s="116" t="n">
        <v>0</v>
      </c>
      <c r="AE639" s="116" t="n">
        <v>0</v>
      </c>
      <c r="AF639" s="116" t="n">
        <v>0</v>
      </c>
      <c r="AG639" s="116" t="n">
        <v>0</v>
      </c>
      <c r="AH639" s="116" t="n">
        <v>0</v>
      </c>
      <c r="AI639" s="47">
        <f>IFERROR(AC639/S639,"")</f>
        <v/>
      </c>
      <c r="AJ639" s="47">
        <f>IFERROR(AH639/S639,"")</f>
        <v/>
      </c>
      <c r="AK639" s="116" t="n">
        <v>42</v>
      </c>
      <c r="AL639" s="116" t="n">
        <v>1</v>
      </c>
      <c r="AM639" s="118">
        <f>IFERROR(AL639/AA639,"")</f>
        <v/>
      </c>
      <c r="AN639" s="119">
        <f>IFERROR(R639/AL639,"")</f>
        <v/>
      </c>
      <c r="AO639" s="116" t="n">
        <v>1</v>
      </c>
      <c r="AP639" s="47">
        <f>IFERROR(AO639/AL639,"")</f>
        <v/>
      </c>
      <c r="AQ639" s="119">
        <f>IFERROR(R639/AO639,"")</f>
        <v/>
      </c>
      <c r="AR639" s="116" t="n">
        <v>0</v>
      </c>
      <c r="AS639" s="116" t="n">
        <v>0</v>
      </c>
      <c r="AT639" s="116">
        <f>AL639+AR639</f>
        <v/>
      </c>
      <c r="AU639" s="119">
        <f>IFERROR(AO639*Assumptions!$C$26*Assumptions!$C$27*INDEX(Assumptions!$C$18:$C$21,MATCH(H639,Assumptions!$B$18:$B$21,0)),0)</f>
        <v/>
      </c>
    </row>
    <row r="640">
      <c r="A640" s="114" t="n">
        <v>46261</v>
      </c>
      <c r="B640" s="42" t="inlineStr">
        <is>
          <t>Wk 35</t>
        </is>
      </c>
      <c r="C640" s="42" t="inlineStr">
        <is>
          <t>Thu</t>
        </is>
      </c>
      <c r="D640" s="42" t="inlineStr">
        <is>
          <t>Meta (FB/IG)</t>
        </is>
      </c>
      <c r="E640" s="42" t="inlineStr">
        <is>
          <t>Facebook + Instagram</t>
        </is>
      </c>
      <c r="F640" s="42" t="inlineStr">
        <is>
          <t>LEP_ZA_AUG26_META_TD_PANTERA_CONV</t>
        </is>
      </c>
      <c r="G640" s="42" t="inlineStr">
        <is>
          <t>Leads - Website Conversions</t>
        </is>
      </c>
      <c r="H640" s="42" t="inlineStr">
        <is>
          <t>PANTERA</t>
        </is>
      </c>
      <c r="I640" s="42" t="inlineStr">
        <is>
          <t>0% Deposit</t>
        </is>
      </c>
      <c r="J640" s="42" t="inlineStr">
        <is>
          <t>MET_PANTERA_LAL1_HIVAL_ZA</t>
        </is>
      </c>
      <c r="K640" s="42" t="inlineStr">
        <is>
          <t>Lookalike</t>
        </is>
      </c>
      <c r="L640" s="42" t="inlineStr">
        <is>
          <t>PANTERA_STA_Offer_0Dep_v2</t>
        </is>
      </c>
      <c r="M640" s="42" t="inlineStr">
        <is>
          <t>Static 1:1</t>
        </is>
      </c>
      <c r="N640" s="42" t="inlineStr">
        <is>
          <t>R5 899pm. No deposit. Test drive it.</t>
        </is>
      </c>
      <c r="O640" s="42" t="inlineStr">
        <is>
          <t>Auction - Cost Cap</t>
        </is>
      </c>
      <c r="P640" s="42" t="inlineStr">
        <is>
          <t>Offsite Conversions</t>
        </is>
      </c>
      <c r="Q640" s="42" t="inlineStr">
        <is>
          <t>https://www.lepas-sa.co.za/offers/pantera</t>
        </is>
      </c>
      <c r="R640" s="115" t="n">
        <v>157.82</v>
      </c>
      <c r="S640" s="116" t="n">
        <v>1814</v>
      </c>
      <c r="T640" s="116" t="n">
        <v>1137</v>
      </c>
      <c r="U640" s="117">
        <f>IFERROR(S640/T640,"")</f>
        <v/>
      </c>
      <c r="V640" s="116" t="n">
        <v>33</v>
      </c>
      <c r="W640" s="116" t="n">
        <v>25</v>
      </c>
      <c r="X640" s="118">
        <f>IFERROR(W640/S640,"")</f>
        <v/>
      </c>
      <c r="Y640" s="115">
        <f>IFERROR(R640/W640,"")</f>
        <v/>
      </c>
      <c r="Z640" s="115">
        <f>IFERROR(R640/S640*1000,"")</f>
        <v/>
      </c>
      <c r="AA640" s="116" t="n">
        <v>22</v>
      </c>
      <c r="AB640" s="47">
        <f>IFERROR(AA640/W640,"")</f>
        <v/>
      </c>
      <c r="AC640" s="116" t="n">
        <v>0</v>
      </c>
      <c r="AD640" s="116" t="n">
        <v>0</v>
      </c>
      <c r="AE640" s="116" t="n">
        <v>0</v>
      </c>
      <c r="AF640" s="116" t="n">
        <v>0</v>
      </c>
      <c r="AG640" s="116" t="n">
        <v>0</v>
      </c>
      <c r="AH640" s="116" t="n">
        <v>0</v>
      </c>
      <c r="AI640" s="47">
        <f>IFERROR(AC640/S640,"")</f>
        <v/>
      </c>
      <c r="AJ640" s="47">
        <f>IFERROR(AH640/S640,"")</f>
        <v/>
      </c>
      <c r="AK640" s="116" t="n">
        <v>58</v>
      </c>
      <c r="AL640" s="116" t="n">
        <v>1</v>
      </c>
      <c r="AM640" s="118">
        <f>IFERROR(AL640/AA640,"")</f>
        <v/>
      </c>
      <c r="AN640" s="119">
        <f>IFERROR(R640/AL640,"")</f>
        <v/>
      </c>
      <c r="AO640" s="116" t="n">
        <v>1</v>
      </c>
      <c r="AP640" s="47">
        <f>IFERROR(AO640/AL640,"")</f>
        <v/>
      </c>
      <c r="AQ640" s="119">
        <f>IFERROR(R640/AO640,"")</f>
        <v/>
      </c>
      <c r="AR640" s="116" t="n">
        <v>1</v>
      </c>
      <c r="AS640" s="116" t="n">
        <v>0</v>
      </c>
      <c r="AT640" s="116">
        <f>AL640+AR640</f>
        <v/>
      </c>
      <c r="AU640" s="119">
        <f>IFERROR(AO640*Assumptions!$C$26*Assumptions!$C$27*INDEX(Assumptions!$C$18:$C$21,MATCH(H640,Assumptions!$B$18:$B$21,0)),0)</f>
        <v/>
      </c>
    </row>
    <row r="641">
      <c r="A641" s="114" t="n">
        <v>46262</v>
      </c>
      <c r="B641" s="42" t="inlineStr">
        <is>
          <t>Wk 35</t>
        </is>
      </c>
      <c r="C641" s="42" t="inlineStr">
        <is>
          <t>Fri</t>
        </is>
      </c>
      <c r="D641" s="42" t="inlineStr">
        <is>
          <t>Meta (FB/IG)</t>
        </is>
      </c>
      <c r="E641" s="42" t="inlineStr">
        <is>
          <t>Facebook + Instagram</t>
        </is>
      </c>
      <c r="F641" s="42" t="inlineStr">
        <is>
          <t>LEP_ZA_AUG26_META_TD_PANTERA_CONV</t>
        </is>
      </c>
      <c r="G641" s="42" t="inlineStr">
        <is>
          <t>Leads - Website Conversions</t>
        </is>
      </c>
      <c r="H641" s="42" t="inlineStr">
        <is>
          <t>PANTERA</t>
        </is>
      </c>
      <c r="I641" s="42" t="inlineStr">
        <is>
          <t>0% Deposit</t>
        </is>
      </c>
      <c r="J641" s="42" t="inlineStr">
        <is>
          <t>MET_PANTERA_LAL1_HIVAL_ZA</t>
        </is>
      </c>
      <c r="K641" s="42" t="inlineStr">
        <is>
          <t>Lookalike</t>
        </is>
      </c>
      <c r="L641" s="42" t="inlineStr">
        <is>
          <t>PANTERA_STA_Offer_0Dep_v2</t>
        </is>
      </c>
      <c r="M641" s="42" t="inlineStr">
        <is>
          <t>Static 1:1</t>
        </is>
      </c>
      <c r="N641" s="42" t="inlineStr">
        <is>
          <t>R5 899pm. No deposit. Test drive it.</t>
        </is>
      </c>
      <c r="O641" s="42" t="inlineStr">
        <is>
          <t>Auction - Cost Cap</t>
        </is>
      </c>
      <c r="P641" s="42" t="inlineStr">
        <is>
          <t>Offsite Conversions</t>
        </is>
      </c>
      <c r="Q641" s="42" t="inlineStr">
        <is>
          <t>https://www.lepas-sa.co.za/offers/pantera</t>
        </is>
      </c>
      <c r="R641" s="115" t="n">
        <v>184.54</v>
      </c>
      <c r="S641" s="116" t="n">
        <v>2013</v>
      </c>
      <c r="T641" s="116" t="n">
        <v>1042</v>
      </c>
      <c r="U641" s="117">
        <f>IFERROR(S641/T641,"")</f>
        <v/>
      </c>
      <c r="V641" s="116" t="n">
        <v>24</v>
      </c>
      <c r="W641" s="116" t="n">
        <v>20</v>
      </c>
      <c r="X641" s="118">
        <f>IFERROR(W641/S641,"")</f>
        <v/>
      </c>
      <c r="Y641" s="115">
        <f>IFERROR(R641/W641,"")</f>
        <v/>
      </c>
      <c r="Z641" s="115">
        <f>IFERROR(R641/S641*1000,"")</f>
        <v/>
      </c>
      <c r="AA641" s="116" t="n">
        <v>17</v>
      </c>
      <c r="AB641" s="47">
        <f>IFERROR(AA641/W641,"")</f>
        <v/>
      </c>
      <c r="AC641" s="116" t="n">
        <v>0</v>
      </c>
      <c r="AD641" s="116" t="n">
        <v>0</v>
      </c>
      <c r="AE641" s="116" t="n">
        <v>0</v>
      </c>
      <c r="AF641" s="116" t="n">
        <v>0</v>
      </c>
      <c r="AG641" s="116" t="n">
        <v>0</v>
      </c>
      <c r="AH641" s="116" t="n">
        <v>0</v>
      </c>
      <c r="AI641" s="47">
        <f>IFERROR(AC641/S641,"")</f>
        <v/>
      </c>
      <c r="AJ641" s="47">
        <f>IFERROR(AH641/S641,"")</f>
        <v/>
      </c>
      <c r="AK641" s="116" t="n">
        <v>37</v>
      </c>
      <c r="AL641" s="116" t="n">
        <v>0</v>
      </c>
      <c r="AM641" s="118">
        <f>IFERROR(AL641/AA641,"")</f>
        <v/>
      </c>
      <c r="AN641" s="119">
        <f>IFERROR(R641/AL641,"")</f>
        <v/>
      </c>
      <c r="AO641" s="116" t="n">
        <v>0</v>
      </c>
      <c r="AP641" s="47">
        <f>IFERROR(AO641/AL641,"")</f>
        <v/>
      </c>
      <c r="AQ641" s="119">
        <f>IFERROR(R641/AO641,"")</f>
        <v/>
      </c>
      <c r="AR641" s="116" t="n">
        <v>0</v>
      </c>
      <c r="AS641" s="116" t="n">
        <v>0</v>
      </c>
      <c r="AT641" s="116">
        <f>AL641+AR641</f>
        <v/>
      </c>
      <c r="AU641" s="119">
        <f>IFERROR(AO641*Assumptions!$C$26*Assumptions!$C$27*INDEX(Assumptions!$C$18:$C$21,MATCH(H641,Assumptions!$B$18:$B$21,0)),0)</f>
        <v/>
      </c>
    </row>
    <row r="642">
      <c r="A642" s="114" t="n">
        <v>46263</v>
      </c>
      <c r="B642" s="42" t="inlineStr">
        <is>
          <t>Wk 35</t>
        </is>
      </c>
      <c r="C642" s="42" t="inlineStr">
        <is>
          <t>Sat</t>
        </is>
      </c>
      <c r="D642" s="42" t="inlineStr">
        <is>
          <t>Meta (FB/IG)</t>
        </is>
      </c>
      <c r="E642" s="42" t="inlineStr">
        <is>
          <t>Facebook + Instagram</t>
        </is>
      </c>
      <c r="F642" s="42" t="inlineStr">
        <is>
          <t>LEP_ZA_AUG26_META_TD_PANTERA_CONV</t>
        </is>
      </c>
      <c r="G642" s="42" t="inlineStr">
        <is>
          <t>Leads - Website Conversions</t>
        </is>
      </c>
      <c r="H642" s="42" t="inlineStr">
        <is>
          <t>PANTERA</t>
        </is>
      </c>
      <c r="I642" s="42" t="inlineStr">
        <is>
          <t>0% Deposit</t>
        </is>
      </c>
      <c r="J642" s="42" t="inlineStr">
        <is>
          <t>MET_PANTERA_LAL1_HIVAL_ZA</t>
        </is>
      </c>
      <c r="K642" s="42" t="inlineStr">
        <is>
          <t>Lookalike</t>
        </is>
      </c>
      <c r="L642" s="42" t="inlineStr">
        <is>
          <t>PANTERA_STA_Offer_0Dep_v2</t>
        </is>
      </c>
      <c r="M642" s="42" t="inlineStr">
        <is>
          <t>Static 1:1</t>
        </is>
      </c>
      <c r="N642" s="42" t="inlineStr">
        <is>
          <t>R5 899pm. No deposit. Test drive it.</t>
        </is>
      </c>
      <c r="O642" s="42" t="inlineStr">
        <is>
          <t>Auction - Cost Cap</t>
        </is>
      </c>
      <c r="P642" s="42" t="inlineStr">
        <is>
          <t>Offsite Conversions</t>
        </is>
      </c>
      <c r="Q642" s="42" t="inlineStr">
        <is>
          <t>https://www.lepas-sa.co.za/offers/pantera</t>
        </is>
      </c>
      <c r="R642" s="115" t="n">
        <v>153.14</v>
      </c>
      <c r="S642" s="116" t="n">
        <v>1595</v>
      </c>
      <c r="T642" s="116" t="n">
        <v>1050</v>
      </c>
      <c r="U642" s="117">
        <f>IFERROR(S642/T642,"")</f>
        <v/>
      </c>
      <c r="V642" s="116" t="n">
        <v>21</v>
      </c>
      <c r="W642" s="116" t="n">
        <v>17</v>
      </c>
      <c r="X642" s="118">
        <f>IFERROR(W642/S642,"")</f>
        <v/>
      </c>
      <c r="Y642" s="115">
        <f>IFERROR(R642/W642,"")</f>
        <v/>
      </c>
      <c r="Z642" s="115">
        <f>IFERROR(R642/S642*1000,"")</f>
        <v/>
      </c>
      <c r="AA642" s="116" t="n">
        <v>14</v>
      </c>
      <c r="AB642" s="47">
        <f>IFERROR(AA642/W642,"")</f>
        <v/>
      </c>
      <c r="AC642" s="116" t="n">
        <v>0</v>
      </c>
      <c r="AD642" s="116" t="n">
        <v>0</v>
      </c>
      <c r="AE642" s="116" t="n">
        <v>0</v>
      </c>
      <c r="AF642" s="116" t="n">
        <v>0</v>
      </c>
      <c r="AG642" s="116" t="n">
        <v>0</v>
      </c>
      <c r="AH642" s="116" t="n">
        <v>0</v>
      </c>
      <c r="AI642" s="47">
        <f>IFERROR(AC642/S642,"")</f>
        <v/>
      </c>
      <c r="AJ642" s="47">
        <f>IFERROR(AH642/S642,"")</f>
        <v/>
      </c>
      <c r="AK642" s="116" t="n">
        <v>22</v>
      </c>
      <c r="AL642" s="116" t="n">
        <v>1</v>
      </c>
      <c r="AM642" s="118">
        <f>IFERROR(AL642/AA642,"")</f>
        <v/>
      </c>
      <c r="AN642" s="119">
        <f>IFERROR(R642/AL642,"")</f>
        <v/>
      </c>
      <c r="AO642" s="116" t="n">
        <v>1</v>
      </c>
      <c r="AP642" s="47">
        <f>IFERROR(AO642/AL642,"")</f>
        <v/>
      </c>
      <c r="AQ642" s="119">
        <f>IFERROR(R642/AO642,"")</f>
        <v/>
      </c>
      <c r="AR642" s="116" t="n">
        <v>1</v>
      </c>
      <c r="AS642" s="116" t="n">
        <v>1</v>
      </c>
      <c r="AT642" s="116">
        <f>AL642+AR642</f>
        <v/>
      </c>
      <c r="AU642" s="119">
        <f>IFERROR(AO642*Assumptions!$C$26*Assumptions!$C$27*INDEX(Assumptions!$C$18:$C$21,MATCH(H642,Assumptions!$B$18:$B$21,0)),0)</f>
        <v/>
      </c>
    </row>
    <row r="643">
      <c r="A643" s="114" t="n">
        <v>46264</v>
      </c>
      <c r="B643" s="42" t="inlineStr">
        <is>
          <t>Wk 35</t>
        </is>
      </c>
      <c r="C643" s="42" t="inlineStr">
        <is>
          <t>Sun</t>
        </is>
      </c>
      <c r="D643" s="42" t="inlineStr">
        <is>
          <t>Meta (FB/IG)</t>
        </is>
      </c>
      <c r="E643" s="42" t="inlineStr">
        <is>
          <t>Facebook + Instagram</t>
        </is>
      </c>
      <c r="F643" s="42" t="inlineStr">
        <is>
          <t>LEP_ZA_AUG26_META_TD_PANTERA_CONV</t>
        </is>
      </c>
      <c r="G643" s="42" t="inlineStr">
        <is>
          <t>Leads - Website Conversions</t>
        </is>
      </c>
      <c r="H643" s="42" t="inlineStr">
        <is>
          <t>PANTERA</t>
        </is>
      </c>
      <c r="I643" s="42" t="inlineStr">
        <is>
          <t>0% Deposit</t>
        </is>
      </c>
      <c r="J643" s="42" t="inlineStr">
        <is>
          <t>MET_PANTERA_LAL1_HIVAL_ZA</t>
        </is>
      </c>
      <c r="K643" s="42" t="inlineStr">
        <is>
          <t>Lookalike</t>
        </is>
      </c>
      <c r="L643" s="42" t="inlineStr">
        <is>
          <t>PANTERA_STA_Offer_0Dep_v2</t>
        </is>
      </c>
      <c r="M643" s="42" t="inlineStr">
        <is>
          <t>Static 1:1</t>
        </is>
      </c>
      <c r="N643" s="42" t="inlineStr">
        <is>
          <t>R5 899pm. No deposit. Test drive it.</t>
        </is>
      </c>
      <c r="O643" s="42" t="inlineStr">
        <is>
          <t>Auction - Cost Cap</t>
        </is>
      </c>
      <c r="P643" s="42" t="inlineStr">
        <is>
          <t>Offsite Conversions</t>
        </is>
      </c>
      <c r="Q643" s="42" t="inlineStr">
        <is>
          <t>https://www.lepas-sa.co.za/offers/pantera</t>
        </is>
      </c>
      <c r="R643" s="115" t="n">
        <v>116.46</v>
      </c>
      <c r="S643" s="116" t="n">
        <v>1601</v>
      </c>
      <c r="T643" s="116" t="n">
        <v>749</v>
      </c>
      <c r="U643" s="117">
        <f>IFERROR(S643/T643,"")</f>
        <v/>
      </c>
      <c r="V643" s="116" t="n">
        <v>29</v>
      </c>
      <c r="W643" s="116" t="n">
        <v>23</v>
      </c>
      <c r="X643" s="118">
        <f>IFERROR(W643/S643,"")</f>
        <v/>
      </c>
      <c r="Y643" s="115">
        <f>IFERROR(R643/W643,"")</f>
        <v/>
      </c>
      <c r="Z643" s="115">
        <f>IFERROR(R643/S643*1000,"")</f>
        <v/>
      </c>
      <c r="AA643" s="116" t="n">
        <v>20</v>
      </c>
      <c r="AB643" s="47">
        <f>IFERROR(AA643/W643,"")</f>
        <v/>
      </c>
      <c r="AC643" s="116" t="n">
        <v>0</v>
      </c>
      <c r="AD643" s="116" t="n">
        <v>0</v>
      </c>
      <c r="AE643" s="116" t="n">
        <v>0</v>
      </c>
      <c r="AF643" s="116" t="n">
        <v>0</v>
      </c>
      <c r="AG643" s="116" t="n">
        <v>0</v>
      </c>
      <c r="AH643" s="116" t="n">
        <v>0</v>
      </c>
      <c r="AI643" s="47">
        <f>IFERROR(AC643/S643,"")</f>
        <v/>
      </c>
      <c r="AJ643" s="47">
        <f>IFERROR(AH643/S643,"")</f>
        <v/>
      </c>
      <c r="AK643" s="116" t="n">
        <v>27</v>
      </c>
      <c r="AL643" s="116" t="n">
        <v>0</v>
      </c>
      <c r="AM643" s="118">
        <f>IFERROR(AL643/AA643,"")</f>
        <v/>
      </c>
      <c r="AN643" s="119">
        <f>IFERROR(R643/AL643,"")</f>
        <v/>
      </c>
      <c r="AO643" s="116" t="n">
        <v>0</v>
      </c>
      <c r="AP643" s="47">
        <f>IFERROR(AO643/AL643,"")</f>
        <v/>
      </c>
      <c r="AQ643" s="119">
        <f>IFERROR(R643/AO643,"")</f>
        <v/>
      </c>
      <c r="AR643" s="116" t="n">
        <v>0</v>
      </c>
      <c r="AS643" s="116" t="n">
        <v>0</v>
      </c>
      <c r="AT643" s="116">
        <f>AL643+AR643</f>
        <v/>
      </c>
      <c r="AU643" s="119">
        <f>IFERROR(AO643*Assumptions!$C$26*Assumptions!$C$27*INDEX(Assumptions!$C$18:$C$21,MATCH(H643,Assumptions!$B$18:$B$21,0)),0)</f>
        <v/>
      </c>
    </row>
    <row r="644">
      <c r="A644" s="114" t="n">
        <v>46265</v>
      </c>
      <c r="B644" s="42" t="inlineStr">
        <is>
          <t>Wk 36</t>
        </is>
      </c>
      <c r="C644" s="42" t="inlineStr">
        <is>
          <t>Mon</t>
        </is>
      </c>
      <c r="D644" s="42" t="inlineStr">
        <is>
          <t>Meta (FB/IG)</t>
        </is>
      </c>
      <c r="E644" s="42" t="inlineStr">
        <is>
          <t>Facebook + Instagram</t>
        </is>
      </c>
      <c r="F644" s="42" t="inlineStr">
        <is>
          <t>LEP_ZA_AUG26_META_TD_PANTERA_CONV</t>
        </is>
      </c>
      <c r="G644" s="42" t="inlineStr">
        <is>
          <t>Leads - Website Conversions</t>
        </is>
      </c>
      <c r="H644" s="42" t="inlineStr">
        <is>
          <t>PANTERA</t>
        </is>
      </c>
      <c r="I644" s="42" t="inlineStr">
        <is>
          <t>0% Deposit</t>
        </is>
      </c>
      <c r="J644" s="42" t="inlineStr">
        <is>
          <t>MET_PANTERA_LAL1_HIVAL_ZA</t>
        </is>
      </c>
      <c r="K644" s="42" t="inlineStr">
        <is>
          <t>Lookalike</t>
        </is>
      </c>
      <c r="L644" s="42" t="inlineStr">
        <is>
          <t>PANTERA_STA_Offer_0Dep_v2</t>
        </is>
      </c>
      <c r="M644" s="42" t="inlineStr">
        <is>
          <t>Static 1:1</t>
        </is>
      </c>
      <c r="N644" s="42" t="inlineStr">
        <is>
          <t>R5 899pm. No deposit. Test drive it.</t>
        </is>
      </c>
      <c r="O644" s="42" t="inlineStr">
        <is>
          <t>Auction - Cost Cap</t>
        </is>
      </c>
      <c r="P644" s="42" t="inlineStr">
        <is>
          <t>Offsite Conversions</t>
        </is>
      </c>
      <c r="Q644" s="42" t="inlineStr">
        <is>
          <t>https://www.lepas-sa.co.za/offers/pantera</t>
        </is>
      </c>
      <c r="R644" s="115" t="n">
        <v>115.32</v>
      </c>
      <c r="S644" s="116" t="n">
        <v>1710</v>
      </c>
      <c r="T644" s="116" t="n">
        <v>1029</v>
      </c>
      <c r="U644" s="117">
        <f>IFERROR(S644/T644,"")</f>
        <v/>
      </c>
      <c r="V644" s="116" t="n">
        <v>26</v>
      </c>
      <c r="W644" s="116" t="n">
        <v>19</v>
      </c>
      <c r="X644" s="118">
        <f>IFERROR(W644/S644,"")</f>
        <v/>
      </c>
      <c r="Y644" s="115">
        <f>IFERROR(R644/W644,"")</f>
        <v/>
      </c>
      <c r="Z644" s="115">
        <f>IFERROR(R644/S644*1000,"")</f>
        <v/>
      </c>
      <c r="AA644" s="116" t="n">
        <v>15</v>
      </c>
      <c r="AB644" s="47">
        <f>IFERROR(AA644/W644,"")</f>
        <v/>
      </c>
      <c r="AC644" s="116" t="n">
        <v>0</v>
      </c>
      <c r="AD644" s="116" t="n">
        <v>0</v>
      </c>
      <c r="AE644" s="116" t="n">
        <v>0</v>
      </c>
      <c r="AF644" s="116" t="n">
        <v>0</v>
      </c>
      <c r="AG644" s="116" t="n">
        <v>0</v>
      </c>
      <c r="AH644" s="116" t="n">
        <v>0</v>
      </c>
      <c r="AI644" s="47">
        <f>IFERROR(AC644/S644,"")</f>
        <v/>
      </c>
      <c r="AJ644" s="47">
        <f>IFERROR(AH644/S644,"")</f>
        <v/>
      </c>
      <c r="AK644" s="116" t="n">
        <v>54</v>
      </c>
      <c r="AL644" s="116" t="n">
        <v>1</v>
      </c>
      <c r="AM644" s="118">
        <f>IFERROR(AL644/AA644,"")</f>
        <v/>
      </c>
      <c r="AN644" s="119">
        <f>IFERROR(R644/AL644,"")</f>
        <v/>
      </c>
      <c r="AO644" s="116" t="n">
        <v>0</v>
      </c>
      <c r="AP644" s="47">
        <f>IFERROR(AO644/AL644,"")</f>
        <v/>
      </c>
      <c r="AQ644" s="119">
        <f>IFERROR(R644/AO644,"")</f>
        <v/>
      </c>
      <c r="AR644" s="116" t="n">
        <v>0</v>
      </c>
      <c r="AS644" s="116" t="n">
        <v>0</v>
      </c>
      <c r="AT644" s="116">
        <f>AL644+AR644</f>
        <v/>
      </c>
      <c r="AU644" s="119">
        <f>IFERROR(AO644*Assumptions!$C$26*Assumptions!$C$27*INDEX(Assumptions!$C$18:$C$21,MATCH(H644,Assumptions!$B$18:$B$21,0)),0)</f>
        <v/>
      </c>
    </row>
    <row r="645">
      <c r="A645" s="114" t="n">
        <v>46235</v>
      </c>
      <c r="B645" s="42" t="inlineStr">
        <is>
          <t>Wk 31</t>
        </is>
      </c>
      <c r="C645" s="42" t="inlineStr">
        <is>
          <t>Sat</t>
        </is>
      </c>
      <c r="D645" s="42" t="inlineStr">
        <is>
          <t>Meta (FB/IG)</t>
        </is>
      </c>
      <c r="E645" s="42" t="inlineStr">
        <is>
          <t>Facebook + Instagram</t>
        </is>
      </c>
      <c r="F645" s="42" t="inlineStr">
        <is>
          <t>LEP_ZA_AUG26_META_TD_PANTERA_CONV</t>
        </is>
      </c>
      <c r="G645" s="42" t="inlineStr">
        <is>
          <t>Leads - Website Conversions</t>
        </is>
      </c>
      <c r="H645" s="42" t="inlineStr">
        <is>
          <t>PANTERA</t>
        </is>
      </c>
      <c r="I645" s="42" t="inlineStr">
        <is>
          <t>0% Deposit</t>
        </is>
      </c>
      <c r="J645" s="42" t="inlineStr">
        <is>
          <t>MET_PANTERA_INT_PREMIUM_ZA</t>
        </is>
      </c>
      <c r="K645" s="42" t="inlineStr">
        <is>
          <t>Interest</t>
        </is>
      </c>
      <c r="L645" s="42" t="inlineStr">
        <is>
          <t>PANTERA_VID_15s_NightDrive_v1</t>
        </is>
      </c>
      <c r="M645" s="42" t="inlineStr">
        <is>
          <t>Video 4:5</t>
        </is>
      </c>
      <c r="N645" s="42" t="inlineStr">
        <is>
          <t>Night drive. PANTERA.</t>
        </is>
      </c>
      <c r="O645" s="42" t="inlineStr">
        <is>
          <t>Auction - Cost Cap</t>
        </is>
      </c>
      <c r="P645" s="42" t="inlineStr">
        <is>
          <t>Offsite Conversions</t>
        </is>
      </c>
      <c r="Q645" s="42" t="inlineStr">
        <is>
          <t>https://www.lepas-sa.co.za/offers/pantera</t>
        </is>
      </c>
      <c r="R645" s="115" t="n">
        <v>179.25</v>
      </c>
      <c r="S645" s="116" t="n">
        <v>2507</v>
      </c>
      <c r="T645" s="116" t="n">
        <v>2028</v>
      </c>
      <c r="U645" s="117">
        <f>IFERROR(S645/T645,"")</f>
        <v/>
      </c>
      <c r="V645" s="116" t="n">
        <v>61</v>
      </c>
      <c r="W645" s="116" t="n">
        <v>49</v>
      </c>
      <c r="X645" s="118">
        <f>IFERROR(W645/S645,"")</f>
        <v/>
      </c>
      <c r="Y645" s="115">
        <f>IFERROR(R645/W645,"")</f>
        <v/>
      </c>
      <c r="Z645" s="115">
        <f>IFERROR(R645/S645*1000,"")</f>
        <v/>
      </c>
      <c r="AA645" s="116" t="n">
        <v>42</v>
      </c>
      <c r="AB645" s="47">
        <f>IFERROR(AA645/W645,"")</f>
        <v/>
      </c>
      <c r="AC645" s="116" t="n">
        <v>644</v>
      </c>
      <c r="AD645" s="116" t="n">
        <v>364</v>
      </c>
      <c r="AE645" s="116" t="n">
        <v>310</v>
      </c>
      <c r="AF645" s="116" t="n">
        <v>218</v>
      </c>
      <c r="AG645" s="116" t="n">
        <v>141</v>
      </c>
      <c r="AH645" s="116" t="n">
        <v>102</v>
      </c>
      <c r="AI645" s="47">
        <f>IFERROR(AC645/S645,"")</f>
        <v/>
      </c>
      <c r="AJ645" s="47">
        <f>IFERROR(AH645/S645,"")</f>
        <v/>
      </c>
      <c r="AK645" s="116" t="n">
        <v>57</v>
      </c>
      <c r="AL645" s="116" t="n">
        <v>1</v>
      </c>
      <c r="AM645" s="118">
        <f>IFERROR(AL645/AA645,"")</f>
        <v/>
      </c>
      <c r="AN645" s="119">
        <f>IFERROR(R645/AL645,"")</f>
        <v/>
      </c>
      <c r="AO645" s="116" t="n">
        <v>0</v>
      </c>
      <c r="AP645" s="47">
        <f>IFERROR(AO645/AL645,"")</f>
        <v/>
      </c>
      <c r="AQ645" s="119">
        <f>IFERROR(R645/AO645,"")</f>
        <v/>
      </c>
      <c r="AR645" s="116" t="n">
        <v>0</v>
      </c>
      <c r="AS645" s="116" t="n">
        <v>0</v>
      </c>
      <c r="AT645" s="116">
        <f>AL645+AR645</f>
        <v/>
      </c>
      <c r="AU645" s="119">
        <f>IFERROR(AO645*Assumptions!$C$26*Assumptions!$C$27*INDEX(Assumptions!$C$18:$C$21,MATCH(H645,Assumptions!$B$18:$B$21,0)),0)</f>
        <v/>
      </c>
    </row>
    <row r="646">
      <c r="A646" s="114" t="n">
        <v>46236</v>
      </c>
      <c r="B646" s="42" t="inlineStr">
        <is>
          <t>Wk 31</t>
        </is>
      </c>
      <c r="C646" s="42" t="inlineStr">
        <is>
          <t>Sun</t>
        </is>
      </c>
      <c r="D646" s="42" t="inlineStr">
        <is>
          <t>Meta (FB/IG)</t>
        </is>
      </c>
      <c r="E646" s="42" t="inlineStr">
        <is>
          <t>Facebook + Instagram</t>
        </is>
      </c>
      <c r="F646" s="42" t="inlineStr">
        <is>
          <t>LEP_ZA_AUG26_META_TD_PANTERA_CONV</t>
        </is>
      </c>
      <c r="G646" s="42" t="inlineStr">
        <is>
          <t>Leads - Website Conversions</t>
        </is>
      </c>
      <c r="H646" s="42" t="inlineStr">
        <is>
          <t>PANTERA</t>
        </is>
      </c>
      <c r="I646" s="42" t="inlineStr">
        <is>
          <t>0% Deposit</t>
        </is>
      </c>
      <c r="J646" s="42" t="inlineStr">
        <is>
          <t>MET_PANTERA_INT_PREMIUM_ZA</t>
        </is>
      </c>
      <c r="K646" s="42" t="inlineStr">
        <is>
          <t>Interest</t>
        </is>
      </c>
      <c r="L646" s="42" t="inlineStr">
        <is>
          <t>PANTERA_VID_15s_NightDrive_v1</t>
        </is>
      </c>
      <c r="M646" s="42" t="inlineStr">
        <is>
          <t>Video 4:5</t>
        </is>
      </c>
      <c r="N646" s="42" t="inlineStr">
        <is>
          <t>Night drive. PANTERA.</t>
        </is>
      </c>
      <c r="O646" s="42" t="inlineStr">
        <is>
          <t>Auction - Cost Cap</t>
        </is>
      </c>
      <c r="P646" s="42" t="inlineStr">
        <is>
          <t>Offsite Conversions</t>
        </is>
      </c>
      <c r="Q646" s="42" t="inlineStr">
        <is>
          <t>https://www.lepas-sa.co.za/offers/pantera</t>
        </is>
      </c>
      <c r="R646" s="115" t="n">
        <v>136.36</v>
      </c>
      <c r="S646" s="116" t="n">
        <v>2401</v>
      </c>
      <c r="T646" s="116" t="n">
        <v>2164</v>
      </c>
      <c r="U646" s="117">
        <f>IFERROR(S646/T646,"")</f>
        <v/>
      </c>
      <c r="V646" s="116" t="n">
        <v>51</v>
      </c>
      <c r="W646" s="116" t="n">
        <v>38</v>
      </c>
      <c r="X646" s="118">
        <f>IFERROR(W646/S646,"")</f>
        <v/>
      </c>
      <c r="Y646" s="115">
        <f>IFERROR(R646/W646,"")</f>
        <v/>
      </c>
      <c r="Z646" s="115">
        <f>IFERROR(R646/S646*1000,"")</f>
        <v/>
      </c>
      <c r="AA646" s="116" t="n">
        <v>31</v>
      </c>
      <c r="AB646" s="47">
        <f>IFERROR(AA646/W646,"")</f>
        <v/>
      </c>
      <c r="AC646" s="116" t="n">
        <v>908</v>
      </c>
      <c r="AD646" s="116" t="n">
        <v>505</v>
      </c>
      <c r="AE646" s="116" t="n">
        <v>488</v>
      </c>
      <c r="AF646" s="116" t="n">
        <v>339</v>
      </c>
      <c r="AG646" s="116" t="n">
        <v>249</v>
      </c>
      <c r="AH646" s="116" t="n">
        <v>164</v>
      </c>
      <c r="AI646" s="47">
        <f>IFERROR(AC646/S646,"")</f>
        <v/>
      </c>
      <c r="AJ646" s="47">
        <f>IFERROR(AH646/S646,"")</f>
        <v/>
      </c>
      <c r="AK646" s="116" t="n">
        <v>55</v>
      </c>
      <c r="AL646" s="116" t="n">
        <v>1</v>
      </c>
      <c r="AM646" s="118">
        <f>IFERROR(AL646/AA646,"")</f>
        <v/>
      </c>
      <c r="AN646" s="119">
        <f>IFERROR(R646/AL646,"")</f>
        <v/>
      </c>
      <c r="AO646" s="116" t="n">
        <v>1</v>
      </c>
      <c r="AP646" s="47">
        <f>IFERROR(AO646/AL646,"")</f>
        <v/>
      </c>
      <c r="AQ646" s="119">
        <f>IFERROR(R646/AO646,"")</f>
        <v/>
      </c>
      <c r="AR646" s="116" t="n">
        <v>1</v>
      </c>
      <c r="AS646" s="116" t="n">
        <v>0</v>
      </c>
      <c r="AT646" s="116">
        <f>AL646+AR646</f>
        <v/>
      </c>
      <c r="AU646" s="119">
        <f>IFERROR(AO646*Assumptions!$C$26*Assumptions!$C$27*INDEX(Assumptions!$C$18:$C$21,MATCH(H646,Assumptions!$B$18:$B$21,0)),0)</f>
        <v/>
      </c>
    </row>
    <row r="647">
      <c r="A647" s="114" t="n">
        <v>46237</v>
      </c>
      <c r="B647" s="42" t="inlineStr">
        <is>
          <t>Wk 32</t>
        </is>
      </c>
      <c r="C647" s="42" t="inlineStr">
        <is>
          <t>Mon</t>
        </is>
      </c>
      <c r="D647" s="42" t="inlineStr">
        <is>
          <t>Meta (FB/IG)</t>
        </is>
      </c>
      <c r="E647" s="42" t="inlineStr">
        <is>
          <t>Facebook + Instagram</t>
        </is>
      </c>
      <c r="F647" s="42" t="inlineStr">
        <is>
          <t>LEP_ZA_AUG26_META_TD_PANTERA_CONV</t>
        </is>
      </c>
      <c r="G647" s="42" t="inlineStr">
        <is>
          <t>Leads - Website Conversions</t>
        </is>
      </c>
      <c r="H647" s="42" t="inlineStr">
        <is>
          <t>PANTERA</t>
        </is>
      </c>
      <c r="I647" s="42" t="inlineStr">
        <is>
          <t>0% Deposit</t>
        </is>
      </c>
      <c r="J647" s="42" t="inlineStr">
        <is>
          <t>MET_PANTERA_INT_PREMIUM_ZA</t>
        </is>
      </c>
      <c r="K647" s="42" t="inlineStr">
        <is>
          <t>Interest</t>
        </is>
      </c>
      <c r="L647" s="42" t="inlineStr">
        <is>
          <t>PANTERA_VID_15s_NightDrive_v1</t>
        </is>
      </c>
      <c r="M647" s="42" t="inlineStr">
        <is>
          <t>Video 4:5</t>
        </is>
      </c>
      <c r="N647" s="42" t="inlineStr">
        <is>
          <t>Night drive. PANTERA.</t>
        </is>
      </c>
      <c r="O647" s="42" t="inlineStr">
        <is>
          <t>Auction - Cost Cap</t>
        </is>
      </c>
      <c r="P647" s="42" t="inlineStr">
        <is>
          <t>Offsite Conversions</t>
        </is>
      </c>
      <c r="Q647" s="42" t="inlineStr">
        <is>
          <t>https://www.lepas-sa.co.za/offers/pantera</t>
        </is>
      </c>
      <c r="R647" s="115" t="n">
        <v>128.43</v>
      </c>
      <c r="S647" s="116" t="n">
        <v>1484</v>
      </c>
      <c r="T647" s="116" t="n">
        <v>1205</v>
      </c>
      <c r="U647" s="117">
        <f>IFERROR(S647/T647,"")</f>
        <v/>
      </c>
      <c r="V647" s="116" t="n">
        <v>26</v>
      </c>
      <c r="W647" s="116" t="n">
        <v>20</v>
      </c>
      <c r="X647" s="118">
        <f>IFERROR(W647/S647,"")</f>
        <v/>
      </c>
      <c r="Y647" s="115">
        <f>IFERROR(R647/W647,"")</f>
        <v/>
      </c>
      <c r="Z647" s="115">
        <f>IFERROR(R647/S647*1000,"")</f>
        <v/>
      </c>
      <c r="AA647" s="116" t="n">
        <v>17</v>
      </c>
      <c r="AB647" s="47">
        <f>IFERROR(AA647/W647,"")</f>
        <v/>
      </c>
      <c r="AC647" s="116" t="n">
        <v>479</v>
      </c>
      <c r="AD647" s="116" t="n">
        <v>237</v>
      </c>
      <c r="AE647" s="116" t="n">
        <v>250</v>
      </c>
      <c r="AF647" s="116" t="n">
        <v>145</v>
      </c>
      <c r="AG647" s="116" t="n">
        <v>97</v>
      </c>
      <c r="AH647" s="116" t="n">
        <v>67</v>
      </c>
      <c r="AI647" s="47">
        <f>IFERROR(AC647/S647,"")</f>
        <v/>
      </c>
      <c r="AJ647" s="47">
        <f>IFERROR(AH647/S647,"")</f>
        <v/>
      </c>
      <c r="AK647" s="116" t="n">
        <v>34</v>
      </c>
      <c r="AL647" s="116" t="n">
        <v>0</v>
      </c>
      <c r="AM647" s="118">
        <f>IFERROR(AL647/AA647,"")</f>
        <v/>
      </c>
      <c r="AN647" s="119">
        <f>IFERROR(R647/AL647,"")</f>
        <v/>
      </c>
      <c r="AO647" s="116" t="n">
        <v>0</v>
      </c>
      <c r="AP647" s="47">
        <f>IFERROR(AO647/AL647,"")</f>
        <v/>
      </c>
      <c r="AQ647" s="119">
        <f>IFERROR(R647/AO647,"")</f>
        <v/>
      </c>
      <c r="AR647" s="116" t="n">
        <v>0</v>
      </c>
      <c r="AS647" s="116" t="n">
        <v>0</v>
      </c>
      <c r="AT647" s="116">
        <f>AL647+AR647</f>
        <v/>
      </c>
      <c r="AU647" s="119">
        <f>IFERROR(AO647*Assumptions!$C$26*Assumptions!$C$27*INDEX(Assumptions!$C$18:$C$21,MATCH(H647,Assumptions!$B$18:$B$21,0)),0)</f>
        <v/>
      </c>
    </row>
    <row r="648">
      <c r="A648" s="114" t="n">
        <v>46238</v>
      </c>
      <c r="B648" s="42" t="inlineStr">
        <is>
          <t>Wk 32</t>
        </is>
      </c>
      <c r="C648" s="42" t="inlineStr">
        <is>
          <t>Tue</t>
        </is>
      </c>
      <c r="D648" s="42" t="inlineStr">
        <is>
          <t>Meta (FB/IG)</t>
        </is>
      </c>
      <c r="E648" s="42" t="inlineStr">
        <is>
          <t>Facebook + Instagram</t>
        </is>
      </c>
      <c r="F648" s="42" t="inlineStr">
        <is>
          <t>LEP_ZA_AUG26_META_TD_PANTERA_CONV</t>
        </is>
      </c>
      <c r="G648" s="42" t="inlineStr">
        <is>
          <t>Leads - Website Conversions</t>
        </is>
      </c>
      <c r="H648" s="42" t="inlineStr">
        <is>
          <t>PANTERA</t>
        </is>
      </c>
      <c r="I648" s="42" t="inlineStr">
        <is>
          <t>0% Deposit</t>
        </is>
      </c>
      <c r="J648" s="42" t="inlineStr">
        <is>
          <t>MET_PANTERA_INT_PREMIUM_ZA</t>
        </is>
      </c>
      <c r="K648" s="42" t="inlineStr">
        <is>
          <t>Interest</t>
        </is>
      </c>
      <c r="L648" s="42" t="inlineStr">
        <is>
          <t>PANTERA_VID_15s_NightDrive_v1</t>
        </is>
      </c>
      <c r="M648" s="42" t="inlineStr">
        <is>
          <t>Video 4:5</t>
        </is>
      </c>
      <c r="N648" s="42" t="inlineStr">
        <is>
          <t>Night drive. PANTERA.</t>
        </is>
      </c>
      <c r="O648" s="42" t="inlineStr">
        <is>
          <t>Auction - Cost Cap</t>
        </is>
      </c>
      <c r="P648" s="42" t="inlineStr">
        <is>
          <t>Offsite Conversions</t>
        </is>
      </c>
      <c r="Q648" s="42" t="inlineStr">
        <is>
          <t>https://www.lepas-sa.co.za/offers/pantera</t>
        </is>
      </c>
      <c r="R648" s="115" t="n">
        <v>142.95</v>
      </c>
      <c r="S648" s="116" t="n">
        <v>1767</v>
      </c>
      <c r="T648" s="116" t="n">
        <v>1403</v>
      </c>
      <c r="U648" s="117">
        <f>IFERROR(S648/T648,"")</f>
        <v/>
      </c>
      <c r="V648" s="116" t="n">
        <v>48</v>
      </c>
      <c r="W648" s="116" t="n">
        <v>35</v>
      </c>
      <c r="X648" s="118">
        <f>IFERROR(W648/S648,"")</f>
        <v/>
      </c>
      <c r="Y648" s="115">
        <f>IFERROR(R648/W648,"")</f>
        <v/>
      </c>
      <c r="Z648" s="115">
        <f>IFERROR(R648/S648*1000,"")</f>
        <v/>
      </c>
      <c r="AA648" s="116" t="n">
        <v>30</v>
      </c>
      <c r="AB648" s="47">
        <f>IFERROR(AA648/W648,"")</f>
        <v/>
      </c>
      <c r="AC648" s="116" t="n">
        <v>534</v>
      </c>
      <c r="AD648" s="116" t="n">
        <v>267</v>
      </c>
      <c r="AE648" s="116" t="n">
        <v>217</v>
      </c>
      <c r="AF648" s="116" t="n">
        <v>140</v>
      </c>
      <c r="AG648" s="116" t="n">
        <v>105</v>
      </c>
      <c r="AH648" s="116" t="n">
        <v>73</v>
      </c>
      <c r="AI648" s="47">
        <f>IFERROR(AC648/S648,"")</f>
        <v/>
      </c>
      <c r="AJ648" s="47">
        <f>IFERROR(AH648/S648,"")</f>
        <v/>
      </c>
      <c r="AK648" s="116" t="n">
        <v>61</v>
      </c>
      <c r="AL648" s="116" t="n">
        <v>1</v>
      </c>
      <c r="AM648" s="118">
        <f>IFERROR(AL648/AA648,"")</f>
        <v/>
      </c>
      <c r="AN648" s="119">
        <f>IFERROR(R648/AL648,"")</f>
        <v/>
      </c>
      <c r="AO648" s="116" t="n">
        <v>0</v>
      </c>
      <c r="AP648" s="47">
        <f>IFERROR(AO648/AL648,"")</f>
        <v/>
      </c>
      <c r="AQ648" s="119">
        <f>IFERROR(R648/AO648,"")</f>
        <v/>
      </c>
      <c r="AR648" s="116" t="n">
        <v>0</v>
      </c>
      <c r="AS648" s="116" t="n">
        <v>0</v>
      </c>
      <c r="AT648" s="116">
        <f>AL648+AR648</f>
        <v/>
      </c>
      <c r="AU648" s="119">
        <f>IFERROR(AO648*Assumptions!$C$26*Assumptions!$C$27*INDEX(Assumptions!$C$18:$C$21,MATCH(H648,Assumptions!$B$18:$B$21,0)),0)</f>
        <v/>
      </c>
    </row>
    <row r="649">
      <c r="A649" s="114" t="n">
        <v>46239</v>
      </c>
      <c r="B649" s="42" t="inlineStr">
        <is>
          <t>Wk 32</t>
        </is>
      </c>
      <c r="C649" s="42" t="inlineStr">
        <is>
          <t>Wed</t>
        </is>
      </c>
      <c r="D649" s="42" t="inlineStr">
        <is>
          <t>Meta (FB/IG)</t>
        </is>
      </c>
      <c r="E649" s="42" t="inlineStr">
        <is>
          <t>Facebook + Instagram</t>
        </is>
      </c>
      <c r="F649" s="42" t="inlineStr">
        <is>
          <t>LEP_ZA_AUG26_META_TD_PANTERA_CONV</t>
        </is>
      </c>
      <c r="G649" s="42" t="inlineStr">
        <is>
          <t>Leads - Website Conversions</t>
        </is>
      </c>
      <c r="H649" s="42" t="inlineStr">
        <is>
          <t>PANTERA</t>
        </is>
      </c>
      <c r="I649" s="42" t="inlineStr">
        <is>
          <t>0% Deposit</t>
        </is>
      </c>
      <c r="J649" s="42" t="inlineStr">
        <is>
          <t>MET_PANTERA_INT_PREMIUM_ZA</t>
        </is>
      </c>
      <c r="K649" s="42" t="inlineStr">
        <is>
          <t>Interest</t>
        </is>
      </c>
      <c r="L649" s="42" t="inlineStr">
        <is>
          <t>PANTERA_VID_15s_NightDrive_v1</t>
        </is>
      </c>
      <c r="M649" s="42" t="inlineStr">
        <is>
          <t>Video 4:5</t>
        </is>
      </c>
      <c r="N649" s="42" t="inlineStr">
        <is>
          <t>Night drive. PANTERA.</t>
        </is>
      </c>
      <c r="O649" s="42" t="inlineStr">
        <is>
          <t>Auction - Cost Cap</t>
        </is>
      </c>
      <c r="P649" s="42" t="inlineStr">
        <is>
          <t>Offsite Conversions</t>
        </is>
      </c>
      <c r="Q649" s="42" t="inlineStr">
        <is>
          <t>https://www.lepas-sa.co.za/offers/pantera</t>
        </is>
      </c>
      <c r="R649" s="115" t="n">
        <v>167.4</v>
      </c>
      <c r="S649" s="116" t="n">
        <v>3080</v>
      </c>
      <c r="T649" s="116" t="n">
        <v>2084</v>
      </c>
      <c r="U649" s="117">
        <f>IFERROR(S649/T649,"")</f>
        <v/>
      </c>
      <c r="V649" s="116" t="n">
        <v>90</v>
      </c>
      <c r="W649" s="116" t="n">
        <v>66</v>
      </c>
      <c r="X649" s="118">
        <f>IFERROR(W649/S649,"")</f>
        <v/>
      </c>
      <c r="Y649" s="115">
        <f>IFERROR(R649/W649,"")</f>
        <v/>
      </c>
      <c r="Z649" s="115">
        <f>IFERROR(R649/S649*1000,"")</f>
        <v/>
      </c>
      <c r="AA649" s="116" t="n">
        <v>55</v>
      </c>
      <c r="AB649" s="47">
        <f>IFERROR(AA649/W649,"")</f>
        <v/>
      </c>
      <c r="AC649" s="116" t="n">
        <v>1229</v>
      </c>
      <c r="AD649" s="116" t="n">
        <v>677</v>
      </c>
      <c r="AE649" s="116" t="n">
        <v>644</v>
      </c>
      <c r="AF649" s="116" t="n">
        <v>358</v>
      </c>
      <c r="AG649" s="116" t="n">
        <v>259</v>
      </c>
      <c r="AH649" s="116" t="n">
        <v>154</v>
      </c>
      <c r="AI649" s="47">
        <f>IFERROR(AC649/S649,"")</f>
        <v/>
      </c>
      <c r="AJ649" s="47">
        <f>IFERROR(AH649/S649,"")</f>
        <v/>
      </c>
      <c r="AK649" s="116" t="n">
        <v>56</v>
      </c>
      <c r="AL649" s="116" t="n">
        <v>1</v>
      </c>
      <c r="AM649" s="118">
        <f>IFERROR(AL649/AA649,"")</f>
        <v/>
      </c>
      <c r="AN649" s="119">
        <f>IFERROR(R649/AL649,"")</f>
        <v/>
      </c>
      <c r="AO649" s="116" t="n">
        <v>0</v>
      </c>
      <c r="AP649" s="47">
        <f>IFERROR(AO649/AL649,"")</f>
        <v/>
      </c>
      <c r="AQ649" s="119">
        <f>IFERROR(R649/AO649,"")</f>
        <v/>
      </c>
      <c r="AR649" s="116" t="n">
        <v>0</v>
      </c>
      <c r="AS649" s="116" t="n">
        <v>1</v>
      </c>
      <c r="AT649" s="116">
        <f>AL649+AR649</f>
        <v/>
      </c>
      <c r="AU649" s="119">
        <f>IFERROR(AO649*Assumptions!$C$26*Assumptions!$C$27*INDEX(Assumptions!$C$18:$C$21,MATCH(H649,Assumptions!$B$18:$B$21,0)),0)</f>
        <v/>
      </c>
    </row>
    <row r="650">
      <c r="A650" s="114" t="n">
        <v>46240</v>
      </c>
      <c r="B650" s="42" t="inlineStr">
        <is>
          <t>Wk 32</t>
        </is>
      </c>
      <c r="C650" s="42" t="inlineStr">
        <is>
          <t>Thu</t>
        </is>
      </c>
      <c r="D650" s="42" t="inlineStr">
        <is>
          <t>Meta (FB/IG)</t>
        </is>
      </c>
      <c r="E650" s="42" t="inlineStr">
        <is>
          <t>Facebook + Instagram</t>
        </is>
      </c>
      <c r="F650" s="42" t="inlineStr">
        <is>
          <t>LEP_ZA_AUG26_META_TD_PANTERA_CONV</t>
        </is>
      </c>
      <c r="G650" s="42" t="inlineStr">
        <is>
          <t>Leads - Website Conversions</t>
        </is>
      </c>
      <c r="H650" s="42" t="inlineStr">
        <is>
          <t>PANTERA</t>
        </is>
      </c>
      <c r="I650" s="42" t="inlineStr">
        <is>
          <t>0% Deposit</t>
        </is>
      </c>
      <c r="J650" s="42" t="inlineStr">
        <is>
          <t>MET_PANTERA_INT_PREMIUM_ZA</t>
        </is>
      </c>
      <c r="K650" s="42" t="inlineStr">
        <is>
          <t>Interest</t>
        </is>
      </c>
      <c r="L650" s="42" t="inlineStr">
        <is>
          <t>PANTERA_VID_15s_NightDrive_v1</t>
        </is>
      </c>
      <c r="M650" s="42" t="inlineStr">
        <is>
          <t>Video 4:5</t>
        </is>
      </c>
      <c r="N650" s="42" t="inlineStr">
        <is>
          <t>Night drive. PANTERA.</t>
        </is>
      </c>
      <c r="O650" s="42" t="inlineStr">
        <is>
          <t>Auction - Cost Cap</t>
        </is>
      </c>
      <c r="P650" s="42" t="inlineStr">
        <is>
          <t>Offsite Conversions</t>
        </is>
      </c>
      <c r="Q650" s="42" t="inlineStr">
        <is>
          <t>https://www.lepas-sa.co.za/offers/pantera</t>
        </is>
      </c>
      <c r="R650" s="115" t="n">
        <v>156.48</v>
      </c>
      <c r="S650" s="116" t="n">
        <v>2033</v>
      </c>
      <c r="T650" s="116" t="n">
        <v>1242</v>
      </c>
      <c r="U650" s="117">
        <f>IFERROR(S650/T650,"")</f>
        <v/>
      </c>
      <c r="V650" s="116" t="n">
        <v>56</v>
      </c>
      <c r="W650" s="116" t="n">
        <v>42</v>
      </c>
      <c r="X650" s="118">
        <f>IFERROR(W650/S650,"")</f>
        <v/>
      </c>
      <c r="Y650" s="115">
        <f>IFERROR(R650/W650,"")</f>
        <v/>
      </c>
      <c r="Z650" s="115">
        <f>IFERROR(R650/S650*1000,"")</f>
        <v/>
      </c>
      <c r="AA650" s="116" t="n">
        <v>35</v>
      </c>
      <c r="AB650" s="47">
        <f>IFERROR(AA650/W650,"")</f>
        <v/>
      </c>
      <c r="AC650" s="116" t="n">
        <v>656</v>
      </c>
      <c r="AD650" s="116" t="n">
        <v>391</v>
      </c>
      <c r="AE650" s="116" t="n">
        <v>322</v>
      </c>
      <c r="AF650" s="116" t="n">
        <v>193</v>
      </c>
      <c r="AG650" s="116" t="n">
        <v>136</v>
      </c>
      <c r="AH650" s="116" t="n">
        <v>85</v>
      </c>
      <c r="AI650" s="47">
        <f>IFERROR(AC650/S650,"")</f>
        <v/>
      </c>
      <c r="AJ650" s="47">
        <f>IFERROR(AH650/S650,"")</f>
        <v/>
      </c>
      <c r="AK650" s="116" t="n">
        <v>42</v>
      </c>
      <c r="AL650" s="116" t="n">
        <v>1</v>
      </c>
      <c r="AM650" s="118">
        <f>IFERROR(AL650/AA650,"")</f>
        <v/>
      </c>
      <c r="AN650" s="119">
        <f>IFERROR(R650/AL650,"")</f>
        <v/>
      </c>
      <c r="AO650" s="116" t="n">
        <v>1</v>
      </c>
      <c r="AP650" s="47">
        <f>IFERROR(AO650/AL650,"")</f>
        <v/>
      </c>
      <c r="AQ650" s="119">
        <f>IFERROR(R650/AO650,"")</f>
        <v/>
      </c>
      <c r="AR650" s="116" t="n">
        <v>0</v>
      </c>
      <c r="AS650" s="116" t="n">
        <v>1</v>
      </c>
      <c r="AT650" s="116">
        <f>AL650+AR650</f>
        <v/>
      </c>
      <c r="AU650" s="119">
        <f>IFERROR(AO650*Assumptions!$C$26*Assumptions!$C$27*INDEX(Assumptions!$C$18:$C$21,MATCH(H650,Assumptions!$B$18:$B$21,0)),0)</f>
        <v/>
      </c>
    </row>
    <row r="651">
      <c r="A651" s="114" t="n">
        <v>46241</v>
      </c>
      <c r="B651" s="42" t="inlineStr">
        <is>
          <t>Wk 32</t>
        </is>
      </c>
      <c r="C651" s="42" t="inlineStr">
        <is>
          <t>Fri</t>
        </is>
      </c>
      <c r="D651" s="42" t="inlineStr">
        <is>
          <t>Meta (FB/IG)</t>
        </is>
      </c>
      <c r="E651" s="42" t="inlineStr">
        <is>
          <t>Facebook + Instagram</t>
        </is>
      </c>
      <c r="F651" s="42" t="inlineStr">
        <is>
          <t>LEP_ZA_AUG26_META_TD_PANTERA_CONV</t>
        </is>
      </c>
      <c r="G651" s="42" t="inlineStr">
        <is>
          <t>Leads - Website Conversions</t>
        </is>
      </c>
      <c r="H651" s="42" t="inlineStr">
        <is>
          <t>PANTERA</t>
        </is>
      </c>
      <c r="I651" s="42" t="inlineStr">
        <is>
          <t>0% Deposit</t>
        </is>
      </c>
      <c r="J651" s="42" t="inlineStr">
        <is>
          <t>MET_PANTERA_INT_PREMIUM_ZA</t>
        </is>
      </c>
      <c r="K651" s="42" t="inlineStr">
        <is>
          <t>Interest</t>
        </is>
      </c>
      <c r="L651" s="42" t="inlineStr">
        <is>
          <t>PANTERA_VID_15s_NightDrive_v1</t>
        </is>
      </c>
      <c r="M651" s="42" t="inlineStr">
        <is>
          <t>Video 4:5</t>
        </is>
      </c>
      <c r="N651" s="42" t="inlineStr">
        <is>
          <t>Night drive. PANTERA.</t>
        </is>
      </c>
      <c r="O651" s="42" t="inlineStr">
        <is>
          <t>Auction - Cost Cap</t>
        </is>
      </c>
      <c r="P651" s="42" t="inlineStr">
        <is>
          <t>Offsite Conversions</t>
        </is>
      </c>
      <c r="Q651" s="42" t="inlineStr">
        <is>
          <t>https://www.lepas-sa.co.za/offers/pantera</t>
        </is>
      </c>
      <c r="R651" s="115" t="n">
        <v>194.51</v>
      </c>
      <c r="S651" s="116" t="n">
        <v>2514</v>
      </c>
      <c r="T651" s="116" t="n">
        <v>2124</v>
      </c>
      <c r="U651" s="117">
        <f>IFERROR(S651/T651,"")</f>
        <v/>
      </c>
      <c r="V651" s="116" t="n">
        <v>67</v>
      </c>
      <c r="W651" s="116" t="n">
        <v>51</v>
      </c>
      <c r="X651" s="118">
        <f>IFERROR(W651/S651,"")</f>
        <v/>
      </c>
      <c r="Y651" s="115">
        <f>IFERROR(R651/W651,"")</f>
        <v/>
      </c>
      <c r="Z651" s="115">
        <f>IFERROR(R651/S651*1000,"")</f>
        <v/>
      </c>
      <c r="AA651" s="116" t="n">
        <v>42</v>
      </c>
      <c r="AB651" s="47">
        <f>IFERROR(AA651/W651,"")</f>
        <v/>
      </c>
      <c r="AC651" s="116" t="n">
        <v>742</v>
      </c>
      <c r="AD651" s="116" t="n">
        <v>424</v>
      </c>
      <c r="AE651" s="116" t="n">
        <v>290</v>
      </c>
      <c r="AF651" s="116" t="n">
        <v>199</v>
      </c>
      <c r="AG651" s="116" t="n">
        <v>157</v>
      </c>
      <c r="AH651" s="116" t="n">
        <v>93</v>
      </c>
      <c r="AI651" s="47">
        <f>IFERROR(AC651/S651,"")</f>
        <v/>
      </c>
      <c r="AJ651" s="47">
        <f>IFERROR(AH651/S651,"")</f>
        <v/>
      </c>
      <c r="AK651" s="116" t="n">
        <v>33</v>
      </c>
      <c r="AL651" s="116" t="n">
        <v>2</v>
      </c>
      <c r="AM651" s="118">
        <f>IFERROR(AL651/AA651,"")</f>
        <v/>
      </c>
      <c r="AN651" s="119">
        <f>IFERROR(R651/AL651,"")</f>
        <v/>
      </c>
      <c r="AO651" s="116" t="n">
        <v>1</v>
      </c>
      <c r="AP651" s="47">
        <f>IFERROR(AO651/AL651,"")</f>
        <v/>
      </c>
      <c r="AQ651" s="119">
        <f>IFERROR(R651/AO651,"")</f>
        <v/>
      </c>
      <c r="AR651" s="116" t="n">
        <v>0</v>
      </c>
      <c r="AS651" s="116" t="n">
        <v>1</v>
      </c>
      <c r="AT651" s="116">
        <f>AL651+AR651</f>
        <v/>
      </c>
      <c r="AU651" s="119">
        <f>IFERROR(AO651*Assumptions!$C$26*Assumptions!$C$27*INDEX(Assumptions!$C$18:$C$21,MATCH(H651,Assumptions!$B$18:$B$21,0)),0)</f>
        <v/>
      </c>
    </row>
    <row r="652">
      <c r="A652" s="114" t="n">
        <v>46242</v>
      </c>
      <c r="B652" s="42" t="inlineStr">
        <is>
          <t>Wk 32</t>
        </is>
      </c>
      <c r="C652" s="42" t="inlineStr">
        <is>
          <t>Sat</t>
        </is>
      </c>
      <c r="D652" s="42" t="inlineStr">
        <is>
          <t>Meta (FB/IG)</t>
        </is>
      </c>
      <c r="E652" s="42" t="inlineStr">
        <is>
          <t>Facebook + Instagram</t>
        </is>
      </c>
      <c r="F652" s="42" t="inlineStr">
        <is>
          <t>LEP_ZA_AUG26_META_TD_PANTERA_CONV</t>
        </is>
      </c>
      <c r="G652" s="42" t="inlineStr">
        <is>
          <t>Leads - Website Conversions</t>
        </is>
      </c>
      <c r="H652" s="42" t="inlineStr">
        <is>
          <t>PANTERA</t>
        </is>
      </c>
      <c r="I652" s="42" t="inlineStr">
        <is>
          <t>0% Deposit</t>
        </is>
      </c>
      <c r="J652" s="42" t="inlineStr">
        <is>
          <t>MET_PANTERA_INT_PREMIUM_ZA</t>
        </is>
      </c>
      <c r="K652" s="42" t="inlineStr">
        <is>
          <t>Interest</t>
        </is>
      </c>
      <c r="L652" s="42" t="inlineStr">
        <is>
          <t>PANTERA_VID_15s_NightDrive_v1</t>
        </is>
      </c>
      <c r="M652" s="42" t="inlineStr">
        <is>
          <t>Video 4:5</t>
        </is>
      </c>
      <c r="N652" s="42" t="inlineStr">
        <is>
          <t>Night drive. PANTERA.</t>
        </is>
      </c>
      <c r="O652" s="42" t="inlineStr">
        <is>
          <t>Auction - Cost Cap</t>
        </is>
      </c>
      <c r="P652" s="42" t="inlineStr">
        <is>
          <t>Offsite Conversions</t>
        </is>
      </c>
      <c r="Q652" s="42" t="inlineStr">
        <is>
          <t>https://www.lepas-sa.co.za/offers/pantera</t>
        </is>
      </c>
      <c r="R652" s="115" t="n">
        <v>207.71</v>
      </c>
      <c r="S652" s="116" t="n">
        <v>2328</v>
      </c>
      <c r="T652" s="116" t="n">
        <v>1798</v>
      </c>
      <c r="U652" s="117">
        <f>IFERROR(S652/T652,"")</f>
        <v/>
      </c>
      <c r="V652" s="116" t="n">
        <v>32</v>
      </c>
      <c r="W652" s="116" t="n">
        <v>24</v>
      </c>
      <c r="X652" s="118">
        <f>IFERROR(W652/S652,"")</f>
        <v/>
      </c>
      <c r="Y652" s="115">
        <f>IFERROR(R652/W652,"")</f>
        <v/>
      </c>
      <c r="Z652" s="115">
        <f>IFERROR(R652/S652*1000,"")</f>
        <v/>
      </c>
      <c r="AA652" s="116" t="n">
        <v>21</v>
      </c>
      <c r="AB652" s="47">
        <f>IFERROR(AA652/W652,"")</f>
        <v/>
      </c>
      <c r="AC652" s="116" t="n">
        <v>787</v>
      </c>
      <c r="AD652" s="116" t="n">
        <v>385</v>
      </c>
      <c r="AE652" s="116" t="n">
        <v>309</v>
      </c>
      <c r="AF652" s="116" t="n">
        <v>172</v>
      </c>
      <c r="AG652" s="116" t="n">
        <v>121</v>
      </c>
      <c r="AH652" s="116" t="n">
        <v>85</v>
      </c>
      <c r="AI652" s="47">
        <f>IFERROR(AC652/S652,"")</f>
        <v/>
      </c>
      <c r="AJ652" s="47">
        <f>IFERROR(AH652/S652,"")</f>
        <v/>
      </c>
      <c r="AK652" s="116" t="n">
        <v>34</v>
      </c>
      <c r="AL652" s="116" t="n">
        <v>0</v>
      </c>
      <c r="AM652" s="118">
        <f>IFERROR(AL652/AA652,"")</f>
        <v/>
      </c>
      <c r="AN652" s="119">
        <f>IFERROR(R652/AL652,"")</f>
        <v/>
      </c>
      <c r="AO652" s="116" t="n">
        <v>0</v>
      </c>
      <c r="AP652" s="47">
        <f>IFERROR(AO652/AL652,"")</f>
        <v/>
      </c>
      <c r="AQ652" s="119">
        <f>IFERROR(R652/AO652,"")</f>
        <v/>
      </c>
      <c r="AR652" s="116" t="n">
        <v>0</v>
      </c>
      <c r="AS652" s="116" t="n">
        <v>0</v>
      </c>
      <c r="AT652" s="116">
        <f>AL652+AR652</f>
        <v/>
      </c>
      <c r="AU652" s="119">
        <f>IFERROR(AO652*Assumptions!$C$26*Assumptions!$C$27*INDEX(Assumptions!$C$18:$C$21,MATCH(H652,Assumptions!$B$18:$B$21,0)),0)</f>
        <v/>
      </c>
    </row>
    <row r="653">
      <c r="A653" s="114" t="n">
        <v>46243</v>
      </c>
      <c r="B653" s="42" t="inlineStr">
        <is>
          <t>Wk 32</t>
        </is>
      </c>
      <c r="C653" s="42" t="inlineStr">
        <is>
          <t>Sun</t>
        </is>
      </c>
      <c r="D653" s="42" t="inlineStr">
        <is>
          <t>Meta (FB/IG)</t>
        </is>
      </c>
      <c r="E653" s="42" t="inlineStr">
        <is>
          <t>Facebook + Instagram</t>
        </is>
      </c>
      <c r="F653" s="42" t="inlineStr">
        <is>
          <t>LEP_ZA_AUG26_META_TD_PANTERA_CONV</t>
        </is>
      </c>
      <c r="G653" s="42" t="inlineStr">
        <is>
          <t>Leads - Website Conversions</t>
        </is>
      </c>
      <c r="H653" s="42" t="inlineStr">
        <is>
          <t>PANTERA</t>
        </is>
      </c>
      <c r="I653" s="42" t="inlineStr">
        <is>
          <t>0% Deposit</t>
        </is>
      </c>
      <c r="J653" s="42" t="inlineStr">
        <is>
          <t>MET_PANTERA_INT_PREMIUM_ZA</t>
        </is>
      </c>
      <c r="K653" s="42" t="inlineStr">
        <is>
          <t>Interest</t>
        </is>
      </c>
      <c r="L653" s="42" t="inlineStr">
        <is>
          <t>PANTERA_VID_15s_NightDrive_v1</t>
        </is>
      </c>
      <c r="M653" s="42" t="inlineStr">
        <is>
          <t>Video 4:5</t>
        </is>
      </c>
      <c r="N653" s="42" t="inlineStr">
        <is>
          <t>Night drive. PANTERA.</t>
        </is>
      </c>
      <c r="O653" s="42" t="inlineStr">
        <is>
          <t>Auction - Cost Cap</t>
        </is>
      </c>
      <c r="P653" s="42" t="inlineStr">
        <is>
          <t>Offsite Conversions</t>
        </is>
      </c>
      <c r="Q653" s="42" t="inlineStr">
        <is>
          <t>https://www.lepas-sa.co.za/offers/pantera</t>
        </is>
      </c>
      <c r="R653" s="115" t="n">
        <v>152.56</v>
      </c>
      <c r="S653" s="116" t="n">
        <v>1776</v>
      </c>
      <c r="T653" s="116" t="n">
        <v>1118</v>
      </c>
      <c r="U653" s="117">
        <f>IFERROR(S653/T653,"")</f>
        <v/>
      </c>
      <c r="V653" s="116" t="n">
        <v>33</v>
      </c>
      <c r="W653" s="116" t="n">
        <v>24</v>
      </c>
      <c r="X653" s="118">
        <f>IFERROR(W653/S653,"")</f>
        <v/>
      </c>
      <c r="Y653" s="115">
        <f>IFERROR(R653/W653,"")</f>
        <v/>
      </c>
      <c r="Z653" s="115">
        <f>IFERROR(R653/S653*1000,"")</f>
        <v/>
      </c>
      <c r="AA653" s="116" t="n">
        <v>20</v>
      </c>
      <c r="AB653" s="47">
        <f>IFERROR(AA653/W653,"")</f>
        <v/>
      </c>
      <c r="AC653" s="116" t="n">
        <v>520</v>
      </c>
      <c r="AD653" s="116" t="n">
        <v>327</v>
      </c>
      <c r="AE653" s="116" t="n">
        <v>272</v>
      </c>
      <c r="AF653" s="116" t="n">
        <v>172</v>
      </c>
      <c r="AG653" s="116" t="n">
        <v>110</v>
      </c>
      <c r="AH653" s="116" t="n">
        <v>71</v>
      </c>
      <c r="AI653" s="47">
        <f>IFERROR(AC653/S653,"")</f>
        <v/>
      </c>
      <c r="AJ653" s="47">
        <f>IFERROR(AH653/S653,"")</f>
        <v/>
      </c>
      <c r="AK653" s="116" t="n">
        <v>33</v>
      </c>
      <c r="AL653" s="116" t="n">
        <v>0</v>
      </c>
      <c r="AM653" s="118">
        <f>IFERROR(AL653/AA653,"")</f>
        <v/>
      </c>
      <c r="AN653" s="119">
        <f>IFERROR(R653/AL653,"")</f>
        <v/>
      </c>
      <c r="AO653" s="116" t="n">
        <v>0</v>
      </c>
      <c r="AP653" s="47">
        <f>IFERROR(AO653/AL653,"")</f>
        <v/>
      </c>
      <c r="AQ653" s="119">
        <f>IFERROR(R653/AO653,"")</f>
        <v/>
      </c>
      <c r="AR653" s="116" t="n">
        <v>0</v>
      </c>
      <c r="AS653" s="116" t="n">
        <v>0</v>
      </c>
      <c r="AT653" s="116">
        <f>AL653+AR653</f>
        <v/>
      </c>
      <c r="AU653" s="119">
        <f>IFERROR(AO653*Assumptions!$C$26*Assumptions!$C$27*INDEX(Assumptions!$C$18:$C$21,MATCH(H653,Assumptions!$B$18:$B$21,0)),0)</f>
        <v/>
      </c>
    </row>
    <row r="654">
      <c r="A654" s="114" t="n">
        <v>46244</v>
      </c>
      <c r="B654" s="42" t="inlineStr">
        <is>
          <t>Wk 33</t>
        </is>
      </c>
      <c r="C654" s="42" t="inlineStr">
        <is>
          <t>Mon</t>
        </is>
      </c>
      <c r="D654" s="42" t="inlineStr">
        <is>
          <t>Meta (FB/IG)</t>
        </is>
      </c>
      <c r="E654" s="42" t="inlineStr">
        <is>
          <t>Facebook + Instagram</t>
        </is>
      </c>
      <c r="F654" s="42" t="inlineStr">
        <is>
          <t>LEP_ZA_AUG26_META_TD_PANTERA_CONV</t>
        </is>
      </c>
      <c r="G654" s="42" t="inlineStr">
        <is>
          <t>Leads - Website Conversions</t>
        </is>
      </c>
      <c r="H654" s="42" t="inlineStr">
        <is>
          <t>PANTERA</t>
        </is>
      </c>
      <c r="I654" s="42" t="inlineStr">
        <is>
          <t>0% Deposit</t>
        </is>
      </c>
      <c r="J654" s="42" t="inlineStr">
        <is>
          <t>MET_PANTERA_INT_PREMIUM_ZA</t>
        </is>
      </c>
      <c r="K654" s="42" t="inlineStr">
        <is>
          <t>Interest</t>
        </is>
      </c>
      <c r="L654" s="42" t="inlineStr">
        <is>
          <t>PANTERA_VID_15s_NightDrive_v1</t>
        </is>
      </c>
      <c r="M654" s="42" t="inlineStr">
        <is>
          <t>Video 4:5</t>
        </is>
      </c>
      <c r="N654" s="42" t="inlineStr">
        <is>
          <t>Night drive. PANTERA.</t>
        </is>
      </c>
      <c r="O654" s="42" t="inlineStr">
        <is>
          <t>Auction - Cost Cap</t>
        </is>
      </c>
      <c r="P654" s="42" t="inlineStr">
        <is>
          <t>Offsite Conversions</t>
        </is>
      </c>
      <c r="Q654" s="42" t="inlineStr">
        <is>
          <t>https://www.lepas-sa.co.za/offers/pantera</t>
        </is>
      </c>
      <c r="R654" s="115" t="n">
        <v>189.45</v>
      </c>
      <c r="S654" s="116" t="n">
        <v>2319</v>
      </c>
      <c r="T654" s="116" t="n">
        <v>1351</v>
      </c>
      <c r="U654" s="117">
        <f>IFERROR(S654/T654,"")</f>
        <v/>
      </c>
      <c r="V654" s="116" t="n">
        <v>29</v>
      </c>
      <c r="W654" s="116" t="n">
        <v>22</v>
      </c>
      <c r="X654" s="118">
        <f>IFERROR(W654/S654,"")</f>
        <v/>
      </c>
      <c r="Y654" s="115">
        <f>IFERROR(R654/W654,"")</f>
        <v/>
      </c>
      <c r="Z654" s="115">
        <f>IFERROR(R654/S654*1000,"")</f>
        <v/>
      </c>
      <c r="AA654" s="116" t="n">
        <v>18</v>
      </c>
      <c r="AB654" s="47">
        <f>IFERROR(AA654/W654,"")</f>
        <v/>
      </c>
      <c r="AC654" s="116" t="n">
        <v>527</v>
      </c>
      <c r="AD654" s="116" t="n">
        <v>328</v>
      </c>
      <c r="AE654" s="116" t="n">
        <v>227</v>
      </c>
      <c r="AF654" s="116" t="n">
        <v>158</v>
      </c>
      <c r="AG654" s="116" t="n">
        <v>120</v>
      </c>
      <c r="AH654" s="116" t="n">
        <v>86</v>
      </c>
      <c r="AI654" s="47">
        <f>IFERROR(AC654/S654,"")</f>
        <v/>
      </c>
      <c r="AJ654" s="47">
        <f>IFERROR(AH654/S654,"")</f>
        <v/>
      </c>
      <c r="AK654" s="116" t="n">
        <v>58</v>
      </c>
      <c r="AL654" s="116" t="n">
        <v>0</v>
      </c>
      <c r="AM654" s="118">
        <f>IFERROR(AL654/AA654,"")</f>
        <v/>
      </c>
      <c r="AN654" s="119">
        <f>IFERROR(R654/AL654,"")</f>
        <v/>
      </c>
      <c r="AO654" s="116" t="n">
        <v>0</v>
      </c>
      <c r="AP654" s="47">
        <f>IFERROR(AO654/AL654,"")</f>
        <v/>
      </c>
      <c r="AQ654" s="119">
        <f>IFERROR(R654/AO654,"")</f>
        <v/>
      </c>
      <c r="AR654" s="116" t="n">
        <v>0</v>
      </c>
      <c r="AS654" s="116" t="n">
        <v>0</v>
      </c>
      <c r="AT654" s="116">
        <f>AL654+AR654</f>
        <v/>
      </c>
      <c r="AU654" s="119">
        <f>IFERROR(AO654*Assumptions!$C$26*Assumptions!$C$27*INDEX(Assumptions!$C$18:$C$21,MATCH(H654,Assumptions!$B$18:$B$21,0)),0)</f>
        <v/>
      </c>
    </row>
    <row r="655">
      <c r="A655" s="114" t="n">
        <v>46245</v>
      </c>
      <c r="B655" s="42" t="inlineStr">
        <is>
          <t>Wk 33</t>
        </is>
      </c>
      <c r="C655" s="42" t="inlineStr">
        <is>
          <t>Tue</t>
        </is>
      </c>
      <c r="D655" s="42" t="inlineStr">
        <is>
          <t>Meta (FB/IG)</t>
        </is>
      </c>
      <c r="E655" s="42" t="inlineStr">
        <is>
          <t>Facebook + Instagram</t>
        </is>
      </c>
      <c r="F655" s="42" t="inlineStr">
        <is>
          <t>LEP_ZA_AUG26_META_TD_PANTERA_CONV</t>
        </is>
      </c>
      <c r="G655" s="42" t="inlineStr">
        <is>
          <t>Leads - Website Conversions</t>
        </is>
      </c>
      <c r="H655" s="42" t="inlineStr">
        <is>
          <t>PANTERA</t>
        </is>
      </c>
      <c r="I655" s="42" t="inlineStr">
        <is>
          <t>0% Deposit</t>
        </is>
      </c>
      <c r="J655" s="42" t="inlineStr">
        <is>
          <t>MET_PANTERA_INT_PREMIUM_ZA</t>
        </is>
      </c>
      <c r="K655" s="42" t="inlineStr">
        <is>
          <t>Interest</t>
        </is>
      </c>
      <c r="L655" s="42" t="inlineStr">
        <is>
          <t>PANTERA_VID_15s_NightDrive_v1</t>
        </is>
      </c>
      <c r="M655" s="42" t="inlineStr">
        <is>
          <t>Video 4:5</t>
        </is>
      </c>
      <c r="N655" s="42" t="inlineStr">
        <is>
          <t>Night drive. PANTERA.</t>
        </is>
      </c>
      <c r="O655" s="42" t="inlineStr">
        <is>
          <t>Auction - Cost Cap</t>
        </is>
      </c>
      <c r="P655" s="42" t="inlineStr">
        <is>
          <t>Offsite Conversions</t>
        </is>
      </c>
      <c r="Q655" s="42" t="inlineStr">
        <is>
          <t>https://www.lepas-sa.co.za/offers/pantera</t>
        </is>
      </c>
      <c r="R655" s="115" t="n">
        <v>140.38</v>
      </c>
      <c r="S655" s="116" t="n">
        <v>1522</v>
      </c>
      <c r="T655" s="116" t="n">
        <v>1101</v>
      </c>
      <c r="U655" s="117">
        <f>IFERROR(S655/T655,"")</f>
        <v/>
      </c>
      <c r="V655" s="116" t="n">
        <v>33</v>
      </c>
      <c r="W655" s="116" t="n">
        <v>25</v>
      </c>
      <c r="X655" s="118">
        <f>IFERROR(W655/S655,"")</f>
        <v/>
      </c>
      <c r="Y655" s="115">
        <f>IFERROR(R655/W655,"")</f>
        <v/>
      </c>
      <c r="Z655" s="115">
        <f>IFERROR(R655/S655*1000,"")</f>
        <v/>
      </c>
      <c r="AA655" s="116" t="n">
        <v>22</v>
      </c>
      <c r="AB655" s="47">
        <f>IFERROR(AA655/W655,"")</f>
        <v/>
      </c>
      <c r="AC655" s="116" t="n">
        <v>551</v>
      </c>
      <c r="AD655" s="116" t="n">
        <v>267</v>
      </c>
      <c r="AE655" s="116" t="n">
        <v>294</v>
      </c>
      <c r="AF655" s="116" t="n">
        <v>178</v>
      </c>
      <c r="AG655" s="116" t="n">
        <v>128</v>
      </c>
      <c r="AH655" s="116" t="n">
        <v>86</v>
      </c>
      <c r="AI655" s="47">
        <f>IFERROR(AC655/S655,"")</f>
        <v/>
      </c>
      <c r="AJ655" s="47">
        <f>IFERROR(AH655/S655,"")</f>
        <v/>
      </c>
      <c r="AK655" s="116" t="n">
        <v>48</v>
      </c>
      <c r="AL655" s="116" t="n">
        <v>1</v>
      </c>
      <c r="AM655" s="118">
        <f>IFERROR(AL655/AA655,"")</f>
        <v/>
      </c>
      <c r="AN655" s="119">
        <f>IFERROR(R655/AL655,"")</f>
        <v/>
      </c>
      <c r="AO655" s="116" t="n">
        <v>1</v>
      </c>
      <c r="AP655" s="47">
        <f>IFERROR(AO655/AL655,"")</f>
        <v/>
      </c>
      <c r="AQ655" s="119">
        <f>IFERROR(R655/AO655,"")</f>
        <v/>
      </c>
      <c r="AR655" s="116" t="n">
        <v>0</v>
      </c>
      <c r="AS655" s="116" t="n">
        <v>1</v>
      </c>
      <c r="AT655" s="116">
        <f>AL655+AR655</f>
        <v/>
      </c>
      <c r="AU655" s="119">
        <f>IFERROR(AO655*Assumptions!$C$26*Assumptions!$C$27*INDEX(Assumptions!$C$18:$C$21,MATCH(H655,Assumptions!$B$18:$B$21,0)),0)</f>
        <v/>
      </c>
    </row>
    <row r="656">
      <c r="A656" s="114" t="n">
        <v>46246</v>
      </c>
      <c r="B656" s="42" t="inlineStr">
        <is>
          <t>Wk 33</t>
        </is>
      </c>
      <c r="C656" s="42" t="inlineStr">
        <is>
          <t>Wed</t>
        </is>
      </c>
      <c r="D656" s="42" t="inlineStr">
        <is>
          <t>Meta (FB/IG)</t>
        </is>
      </c>
      <c r="E656" s="42" t="inlineStr">
        <is>
          <t>Facebook + Instagram</t>
        </is>
      </c>
      <c r="F656" s="42" t="inlineStr">
        <is>
          <t>LEP_ZA_AUG26_META_TD_PANTERA_CONV</t>
        </is>
      </c>
      <c r="G656" s="42" t="inlineStr">
        <is>
          <t>Leads - Website Conversions</t>
        </is>
      </c>
      <c r="H656" s="42" t="inlineStr">
        <is>
          <t>PANTERA</t>
        </is>
      </c>
      <c r="I656" s="42" t="inlineStr">
        <is>
          <t>0% Deposit</t>
        </is>
      </c>
      <c r="J656" s="42" t="inlineStr">
        <is>
          <t>MET_PANTERA_INT_PREMIUM_ZA</t>
        </is>
      </c>
      <c r="K656" s="42" t="inlineStr">
        <is>
          <t>Interest</t>
        </is>
      </c>
      <c r="L656" s="42" t="inlineStr">
        <is>
          <t>PANTERA_VID_15s_NightDrive_v1</t>
        </is>
      </c>
      <c r="M656" s="42" t="inlineStr">
        <is>
          <t>Video 4:5</t>
        </is>
      </c>
      <c r="N656" s="42" t="inlineStr">
        <is>
          <t>Night drive. PANTERA.</t>
        </is>
      </c>
      <c r="O656" s="42" t="inlineStr">
        <is>
          <t>Auction - Cost Cap</t>
        </is>
      </c>
      <c r="P656" s="42" t="inlineStr">
        <is>
          <t>Offsite Conversions</t>
        </is>
      </c>
      <c r="Q656" s="42" t="inlineStr">
        <is>
          <t>https://www.lepas-sa.co.za/offers/pantera</t>
        </is>
      </c>
      <c r="R656" s="115" t="n">
        <v>187.72</v>
      </c>
      <c r="S656" s="116" t="n">
        <v>2619</v>
      </c>
      <c r="T656" s="116" t="n">
        <v>1833</v>
      </c>
      <c r="U656" s="117">
        <f>IFERROR(S656/T656,"")</f>
        <v/>
      </c>
      <c r="V656" s="116" t="n">
        <v>56</v>
      </c>
      <c r="W656" s="116" t="n">
        <v>44</v>
      </c>
      <c r="X656" s="118">
        <f>IFERROR(W656/S656,"")</f>
        <v/>
      </c>
      <c r="Y656" s="115">
        <f>IFERROR(R656/W656,"")</f>
        <v/>
      </c>
      <c r="Z656" s="115">
        <f>IFERROR(R656/S656*1000,"")</f>
        <v/>
      </c>
      <c r="AA656" s="116" t="n">
        <v>36</v>
      </c>
      <c r="AB656" s="47">
        <f>IFERROR(AA656/W656,"")</f>
        <v/>
      </c>
      <c r="AC656" s="116" t="n">
        <v>1001</v>
      </c>
      <c r="AD656" s="116" t="n">
        <v>617</v>
      </c>
      <c r="AE656" s="116" t="n">
        <v>433</v>
      </c>
      <c r="AF656" s="116" t="n">
        <v>240</v>
      </c>
      <c r="AG656" s="116" t="n">
        <v>165</v>
      </c>
      <c r="AH656" s="116" t="n">
        <v>113</v>
      </c>
      <c r="AI656" s="47">
        <f>IFERROR(AC656/S656,"")</f>
        <v/>
      </c>
      <c r="AJ656" s="47">
        <f>IFERROR(AH656/S656,"")</f>
        <v/>
      </c>
      <c r="AK656" s="116" t="n">
        <v>65</v>
      </c>
      <c r="AL656" s="116" t="n">
        <v>1</v>
      </c>
      <c r="AM656" s="118">
        <f>IFERROR(AL656/AA656,"")</f>
        <v/>
      </c>
      <c r="AN656" s="119">
        <f>IFERROR(R656/AL656,"")</f>
        <v/>
      </c>
      <c r="AO656" s="116" t="n">
        <v>1</v>
      </c>
      <c r="AP656" s="47">
        <f>IFERROR(AO656/AL656,"")</f>
        <v/>
      </c>
      <c r="AQ656" s="119">
        <f>IFERROR(R656/AO656,"")</f>
        <v/>
      </c>
      <c r="AR656" s="116" t="n">
        <v>0</v>
      </c>
      <c r="AS656" s="116" t="n">
        <v>0</v>
      </c>
      <c r="AT656" s="116">
        <f>AL656+AR656</f>
        <v/>
      </c>
      <c r="AU656" s="119">
        <f>IFERROR(AO656*Assumptions!$C$26*Assumptions!$C$27*INDEX(Assumptions!$C$18:$C$21,MATCH(H656,Assumptions!$B$18:$B$21,0)),0)</f>
        <v/>
      </c>
    </row>
    <row r="657">
      <c r="A657" s="114" t="n">
        <v>46247</v>
      </c>
      <c r="B657" s="42" t="inlineStr">
        <is>
          <t>Wk 33</t>
        </is>
      </c>
      <c r="C657" s="42" t="inlineStr">
        <is>
          <t>Thu</t>
        </is>
      </c>
      <c r="D657" s="42" t="inlineStr">
        <is>
          <t>Meta (FB/IG)</t>
        </is>
      </c>
      <c r="E657" s="42" t="inlineStr">
        <is>
          <t>Facebook + Instagram</t>
        </is>
      </c>
      <c r="F657" s="42" t="inlineStr">
        <is>
          <t>LEP_ZA_AUG26_META_TD_PANTERA_CONV</t>
        </is>
      </c>
      <c r="G657" s="42" t="inlineStr">
        <is>
          <t>Leads - Website Conversions</t>
        </is>
      </c>
      <c r="H657" s="42" t="inlineStr">
        <is>
          <t>PANTERA</t>
        </is>
      </c>
      <c r="I657" s="42" t="inlineStr">
        <is>
          <t>0% Deposit</t>
        </is>
      </c>
      <c r="J657" s="42" t="inlineStr">
        <is>
          <t>MET_PANTERA_INT_PREMIUM_ZA</t>
        </is>
      </c>
      <c r="K657" s="42" t="inlineStr">
        <is>
          <t>Interest</t>
        </is>
      </c>
      <c r="L657" s="42" t="inlineStr">
        <is>
          <t>PANTERA_VID_15s_NightDrive_v1</t>
        </is>
      </c>
      <c r="M657" s="42" t="inlineStr">
        <is>
          <t>Video 4:5</t>
        </is>
      </c>
      <c r="N657" s="42" t="inlineStr">
        <is>
          <t>Night drive. PANTERA.</t>
        </is>
      </c>
      <c r="O657" s="42" t="inlineStr">
        <is>
          <t>Auction - Cost Cap</t>
        </is>
      </c>
      <c r="P657" s="42" t="inlineStr">
        <is>
          <t>Offsite Conversions</t>
        </is>
      </c>
      <c r="Q657" s="42" t="inlineStr">
        <is>
          <t>https://www.lepas-sa.co.za/offers/pantera</t>
        </is>
      </c>
      <c r="R657" s="115" t="n">
        <v>158.19</v>
      </c>
      <c r="S657" s="116" t="n">
        <v>2862</v>
      </c>
      <c r="T657" s="116" t="n">
        <v>1911</v>
      </c>
      <c r="U657" s="117">
        <f>IFERROR(S657/T657,"")</f>
        <v/>
      </c>
      <c r="V657" s="116" t="n">
        <v>56</v>
      </c>
      <c r="W657" s="116" t="n">
        <v>42</v>
      </c>
      <c r="X657" s="118">
        <f>IFERROR(W657/S657,"")</f>
        <v/>
      </c>
      <c r="Y657" s="115">
        <f>IFERROR(R657/W657,"")</f>
        <v/>
      </c>
      <c r="Z657" s="115">
        <f>IFERROR(R657/S657*1000,"")</f>
        <v/>
      </c>
      <c r="AA657" s="116" t="n">
        <v>36</v>
      </c>
      <c r="AB657" s="47">
        <f>IFERROR(AA657/W657,"")</f>
        <v/>
      </c>
      <c r="AC657" s="116" t="n">
        <v>1039</v>
      </c>
      <c r="AD657" s="116" t="n">
        <v>632</v>
      </c>
      <c r="AE657" s="116" t="n">
        <v>435</v>
      </c>
      <c r="AF657" s="116" t="n">
        <v>236</v>
      </c>
      <c r="AG657" s="116" t="n">
        <v>184</v>
      </c>
      <c r="AH657" s="116" t="n">
        <v>131</v>
      </c>
      <c r="AI657" s="47">
        <f>IFERROR(AC657/S657,"")</f>
        <v/>
      </c>
      <c r="AJ657" s="47">
        <f>IFERROR(AH657/S657,"")</f>
        <v/>
      </c>
      <c r="AK657" s="116" t="n">
        <v>69</v>
      </c>
      <c r="AL657" s="116" t="n">
        <v>0</v>
      </c>
      <c r="AM657" s="118">
        <f>IFERROR(AL657/AA657,"")</f>
        <v/>
      </c>
      <c r="AN657" s="119">
        <f>IFERROR(R657/AL657,"")</f>
        <v/>
      </c>
      <c r="AO657" s="116" t="n">
        <v>0</v>
      </c>
      <c r="AP657" s="47">
        <f>IFERROR(AO657/AL657,"")</f>
        <v/>
      </c>
      <c r="AQ657" s="119">
        <f>IFERROR(R657/AO657,"")</f>
        <v/>
      </c>
      <c r="AR657" s="116" t="n">
        <v>0</v>
      </c>
      <c r="AS657" s="116" t="n">
        <v>0</v>
      </c>
      <c r="AT657" s="116">
        <f>AL657+AR657</f>
        <v/>
      </c>
      <c r="AU657" s="119">
        <f>IFERROR(AO657*Assumptions!$C$26*Assumptions!$C$27*INDEX(Assumptions!$C$18:$C$21,MATCH(H657,Assumptions!$B$18:$B$21,0)),0)</f>
        <v/>
      </c>
    </row>
    <row r="658">
      <c r="A658" s="114" t="n">
        <v>46248</v>
      </c>
      <c r="B658" s="42" t="inlineStr">
        <is>
          <t>Wk 33</t>
        </is>
      </c>
      <c r="C658" s="42" t="inlineStr">
        <is>
          <t>Fri</t>
        </is>
      </c>
      <c r="D658" s="42" t="inlineStr">
        <is>
          <t>Meta (FB/IG)</t>
        </is>
      </c>
      <c r="E658" s="42" t="inlineStr">
        <is>
          <t>Facebook + Instagram</t>
        </is>
      </c>
      <c r="F658" s="42" t="inlineStr">
        <is>
          <t>LEP_ZA_AUG26_META_TD_PANTERA_CONV</t>
        </is>
      </c>
      <c r="G658" s="42" t="inlineStr">
        <is>
          <t>Leads - Website Conversions</t>
        </is>
      </c>
      <c r="H658" s="42" t="inlineStr">
        <is>
          <t>PANTERA</t>
        </is>
      </c>
      <c r="I658" s="42" t="inlineStr">
        <is>
          <t>0% Deposit</t>
        </is>
      </c>
      <c r="J658" s="42" t="inlineStr">
        <is>
          <t>MET_PANTERA_INT_PREMIUM_ZA</t>
        </is>
      </c>
      <c r="K658" s="42" t="inlineStr">
        <is>
          <t>Interest</t>
        </is>
      </c>
      <c r="L658" s="42" t="inlineStr">
        <is>
          <t>PANTERA_VID_15s_NightDrive_v1</t>
        </is>
      </c>
      <c r="M658" s="42" t="inlineStr">
        <is>
          <t>Video 4:5</t>
        </is>
      </c>
      <c r="N658" s="42" t="inlineStr">
        <is>
          <t>Night drive. PANTERA.</t>
        </is>
      </c>
      <c r="O658" s="42" t="inlineStr">
        <is>
          <t>Auction - Cost Cap</t>
        </is>
      </c>
      <c r="P658" s="42" t="inlineStr">
        <is>
          <t>Offsite Conversions</t>
        </is>
      </c>
      <c r="Q658" s="42" t="inlineStr">
        <is>
          <t>https://www.lepas-sa.co.za/offers/pantera</t>
        </is>
      </c>
      <c r="R658" s="115" t="n">
        <v>196.68</v>
      </c>
      <c r="S658" s="116" t="n">
        <v>2798</v>
      </c>
      <c r="T658" s="116" t="n">
        <v>1664</v>
      </c>
      <c r="U658" s="117">
        <f>IFERROR(S658/T658,"")</f>
        <v/>
      </c>
      <c r="V658" s="116" t="n">
        <v>44</v>
      </c>
      <c r="W658" s="116" t="n">
        <v>34</v>
      </c>
      <c r="X658" s="118">
        <f>IFERROR(W658/S658,"")</f>
        <v/>
      </c>
      <c r="Y658" s="115">
        <f>IFERROR(R658/W658,"")</f>
        <v/>
      </c>
      <c r="Z658" s="115">
        <f>IFERROR(R658/S658*1000,"")</f>
        <v/>
      </c>
      <c r="AA658" s="116" t="n">
        <v>29</v>
      </c>
      <c r="AB658" s="47">
        <f>IFERROR(AA658/W658,"")</f>
        <v/>
      </c>
      <c r="AC658" s="116" t="n">
        <v>727</v>
      </c>
      <c r="AD658" s="116" t="n">
        <v>415</v>
      </c>
      <c r="AE658" s="116" t="n">
        <v>315</v>
      </c>
      <c r="AF658" s="116" t="n">
        <v>166</v>
      </c>
      <c r="AG658" s="116" t="n">
        <v>125</v>
      </c>
      <c r="AH658" s="116" t="n">
        <v>80</v>
      </c>
      <c r="AI658" s="47">
        <f>IFERROR(AC658/S658,"")</f>
        <v/>
      </c>
      <c r="AJ658" s="47">
        <f>IFERROR(AH658/S658,"")</f>
        <v/>
      </c>
      <c r="AK658" s="116" t="n">
        <v>47</v>
      </c>
      <c r="AL658" s="116" t="n">
        <v>1</v>
      </c>
      <c r="AM658" s="118">
        <f>IFERROR(AL658/AA658,"")</f>
        <v/>
      </c>
      <c r="AN658" s="119">
        <f>IFERROR(R658/AL658,"")</f>
        <v/>
      </c>
      <c r="AO658" s="116" t="n">
        <v>0</v>
      </c>
      <c r="AP658" s="47">
        <f>IFERROR(AO658/AL658,"")</f>
        <v/>
      </c>
      <c r="AQ658" s="119">
        <f>IFERROR(R658/AO658,"")</f>
        <v/>
      </c>
      <c r="AR658" s="116" t="n">
        <v>0</v>
      </c>
      <c r="AS658" s="116" t="n">
        <v>0</v>
      </c>
      <c r="AT658" s="116">
        <f>AL658+AR658</f>
        <v/>
      </c>
      <c r="AU658" s="119">
        <f>IFERROR(AO658*Assumptions!$C$26*Assumptions!$C$27*INDEX(Assumptions!$C$18:$C$21,MATCH(H658,Assumptions!$B$18:$B$21,0)),0)</f>
        <v/>
      </c>
    </row>
    <row r="659">
      <c r="A659" s="114" t="n">
        <v>46249</v>
      </c>
      <c r="B659" s="42" t="inlineStr">
        <is>
          <t>Wk 33</t>
        </is>
      </c>
      <c r="C659" s="42" t="inlineStr">
        <is>
          <t>Sat</t>
        </is>
      </c>
      <c r="D659" s="42" t="inlineStr">
        <is>
          <t>Meta (FB/IG)</t>
        </is>
      </c>
      <c r="E659" s="42" t="inlineStr">
        <is>
          <t>Facebook + Instagram</t>
        </is>
      </c>
      <c r="F659" s="42" t="inlineStr">
        <is>
          <t>LEP_ZA_AUG26_META_TD_PANTERA_CONV</t>
        </is>
      </c>
      <c r="G659" s="42" t="inlineStr">
        <is>
          <t>Leads - Website Conversions</t>
        </is>
      </c>
      <c r="H659" s="42" t="inlineStr">
        <is>
          <t>PANTERA</t>
        </is>
      </c>
      <c r="I659" s="42" t="inlineStr">
        <is>
          <t>0% Deposit</t>
        </is>
      </c>
      <c r="J659" s="42" t="inlineStr">
        <is>
          <t>MET_PANTERA_INT_PREMIUM_ZA</t>
        </is>
      </c>
      <c r="K659" s="42" t="inlineStr">
        <is>
          <t>Interest</t>
        </is>
      </c>
      <c r="L659" s="42" t="inlineStr">
        <is>
          <t>PANTERA_VID_15s_NightDrive_v1</t>
        </is>
      </c>
      <c r="M659" s="42" t="inlineStr">
        <is>
          <t>Video 4:5</t>
        </is>
      </c>
      <c r="N659" s="42" t="inlineStr">
        <is>
          <t>Night drive. PANTERA.</t>
        </is>
      </c>
      <c r="O659" s="42" t="inlineStr">
        <is>
          <t>Auction - Cost Cap</t>
        </is>
      </c>
      <c r="P659" s="42" t="inlineStr">
        <is>
          <t>Offsite Conversions</t>
        </is>
      </c>
      <c r="Q659" s="42" t="inlineStr">
        <is>
          <t>https://www.lepas-sa.co.za/offers/pantera</t>
        </is>
      </c>
      <c r="R659" s="115" t="n">
        <v>212.76</v>
      </c>
      <c r="S659" s="116" t="n">
        <v>2635</v>
      </c>
      <c r="T659" s="116" t="n">
        <v>1654</v>
      </c>
      <c r="U659" s="117">
        <f>IFERROR(S659/T659,"")</f>
        <v/>
      </c>
      <c r="V659" s="116" t="n">
        <v>53</v>
      </c>
      <c r="W659" s="116" t="n">
        <v>40</v>
      </c>
      <c r="X659" s="118">
        <f>IFERROR(W659/S659,"")</f>
        <v/>
      </c>
      <c r="Y659" s="115">
        <f>IFERROR(R659/W659,"")</f>
        <v/>
      </c>
      <c r="Z659" s="115">
        <f>IFERROR(R659/S659*1000,"")</f>
        <v/>
      </c>
      <c r="AA659" s="116" t="n">
        <v>35</v>
      </c>
      <c r="AB659" s="47">
        <f>IFERROR(AA659/W659,"")</f>
        <v/>
      </c>
      <c r="AC659" s="116" t="n">
        <v>849</v>
      </c>
      <c r="AD659" s="116" t="n">
        <v>429</v>
      </c>
      <c r="AE659" s="116" t="n">
        <v>424</v>
      </c>
      <c r="AF659" s="116" t="n">
        <v>289</v>
      </c>
      <c r="AG659" s="116" t="n">
        <v>183</v>
      </c>
      <c r="AH659" s="116" t="n">
        <v>103</v>
      </c>
      <c r="AI659" s="47">
        <f>IFERROR(AC659/S659,"")</f>
        <v/>
      </c>
      <c r="AJ659" s="47">
        <f>IFERROR(AH659/S659,"")</f>
        <v/>
      </c>
      <c r="AK659" s="116" t="n">
        <v>29</v>
      </c>
      <c r="AL659" s="116" t="n">
        <v>0</v>
      </c>
      <c r="AM659" s="118">
        <f>IFERROR(AL659/AA659,"")</f>
        <v/>
      </c>
      <c r="AN659" s="119">
        <f>IFERROR(R659/AL659,"")</f>
        <v/>
      </c>
      <c r="AO659" s="116" t="n">
        <v>0</v>
      </c>
      <c r="AP659" s="47">
        <f>IFERROR(AO659/AL659,"")</f>
        <v/>
      </c>
      <c r="AQ659" s="119">
        <f>IFERROR(R659/AO659,"")</f>
        <v/>
      </c>
      <c r="AR659" s="116" t="n">
        <v>0</v>
      </c>
      <c r="AS659" s="116" t="n">
        <v>0</v>
      </c>
      <c r="AT659" s="116">
        <f>AL659+AR659</f>
        <v/>
      </c>
      <c r="AU659" s="119">
        <f>IFERROR(AO659*Assumptions!$C$26*Assumptions!$C$27*INDEX(Assumptions!$C$18:$C$21,MATCH(H659,Assumptions!$B$18:$B$21,0)),0)</f>
        <v/>
      </c>
    </row>
    <row r="660">
      <c r="A660" s="114" t="n">
        <v>46250</v>
      </c>
      <c r="B660" s="42" t="inlineStr">
        <is>
          <t>Wk 33</t>
        </is>
      </c>
      <c r="C660" s="42" t="inlineStr">
        <is>
          <t>Sun</t>
        </is>
      </c>
      <c r="D660" s="42" t="inlineStr">
        <is>
          <t>Meta (FB/IG)</t>
        </is>
      </c>
      <c r="E660" s="42" t="inlineStr">
        <is>
          <t>Facebook + Instagram</t>
        </is>
      </c>
      <c r="F660" s="42" t="inlineStr">
        <is>
          <t>LEP_ZA_AUG26_META_TD_PANTERA_CONV</t>
        </is>
      </c>
      <c r="G660" s="42" t="inlineStr">
        <is>
          <t>Leads - Website Conversions</t>
        </is>
      </c>
      <c r="H660" s="42" t="inlineStr">
        <is>
          <t>PANTERA</t>
        </is>
      </c>
      <c r="I660" s="42" t="inlineStr">
        <is>
          <t>0% Deposit</t>
        </is>
      </c>
      <c r="J660" s="42" t="inlineStr">
        <is>
          <t>MET_PANTERA_INT_PREMIUM_ZA</t>
        </is>
      </c>
      <c r="K660" s="42" t="inlineStr">
        <is>
          <t>Interest</t>
        </is>
      </c>
      <c r="L660" s="42" t="inlineStr">
        <is>
          <t>PANTERA_VID_15s_NightDrive_v1</t>
        </is>
      </c>
      <c r="M660" s="42" t="inlineStr">
        <is>
          <t>Video 4:5</t>
        </is>
      </c>
      <c r="N660" s="42" t="inlineStr">
        <is>
          <t>Night drive. PANTERA.</t>
        </is>
      </c>
      <c r="O660" s="42" t="inlineStr">
        <is>
          <t>Auction - Cost Cap</t>
        </is>
      </c>
      <c r="P660" s="42" t="inlineStr">
        <is>
          <t>Offsite Conversions</t>
        </is>
      </c>
      <c r="Q660" s="42" t="inlineStr">
        <is>
          <t>https://www.lepas-sa.co.za/offers/pantera</t>
        </is>
      </c>
      <c r="R660" s="115" t="n">
        <v>130.22</v>
      </c>
      <c r="S660" s="116" t="n">
        <v>1464</v>
      </c>
      <c r="T660" s="116" t="n">
        <v>906</v>
      </c>
      <c r="U660" s="117">
        <f>IFERROR(S660/T660,"")</f>
        <v/>
      </c>
      <c r="V660" s="116" t="n">
        <v>27</v>
      </c>
      <c r="W660" s="116" t="n">
        <v>21</v>
      </c>
      <c r="X660" s="118">
        <f>IFERROR(W660/S660,"")</f>
        <v/>
      </c>
      <c r="Y660" s="115">
        <f>IFERROR(R660/W660,"")</f>
        <v/>
      </c>
      <c r="Z660" s="115">
        <f>IFERROR(R660/S660*1000,"")</f>
        <v/>
      </c>
      <c r="AA660" s="116" t="n">
        <v>18</v>
      </c>
      <c r="AB660" s="47">
        <f>IFERROR(AA660/W660,"")</f>
        <v/>
      </c>
      <c r="AC660" s="116" t="n">
        <v>420</v>
      </c>
      <c r="AD660" s="116" t="n">
        <v>191</v>
      </c>
      <c r="AE660" s="116" t="n">
        <v>212</v>
      </c>
      <c r="AF660" s="116" t="n">
        <v>150</v>
      </c>
      <c r="AG660" s="116" t="n">
        <v>97</v>
      </c>
      <c r="AH660" s="116" t="n">
        <v>64</v>
      </c>
      <c r="AI660" s="47">
        <f>IFERROR(AC660/S660,"")</f>
        <v/>
      </c>
      <c r="AJ660" s="47">
        <f>IFERROR(AH660/S660,"")</f>
        <v/>
      </c>
      <c r="AK660" s="116" t="n">
        <v>31</v>
      </c>
      <c r="AL660" s="116" t="n">
        <v>0</v>
      </c>
      <c r="AM660" s="118">
        <f>IFERROR(AL660/AA660,"")</f>
        <v/>
      </c>
      <c r="AN660" s="119">
        <f>IFERROR(R660/AL660,"")</f>
        <v/>
      </c>
      <c r="AO660" s="116" t="n">
        <v>0</v>
      </c>
      <c r="AP660" s="47">
        <f>IFERROR(AO660/AL660,"")</f>
        <v/>
      </c>
      <c r="AQ660" s="119">
        <f>IFERROR(R660/AO660,"")</f>
        <v/>
      </c>
      <c r="AR660" s="116" t="n">
        <v>0</v>
      </c>
      <c r="AS660" s="116" t="n">
        <v>0</v>
      </c>
      <c r="AT660" s="116">
        <f>AL660+AR660</f>
        <v/>
      </c>
      <c r="AU660" s="119">
        <f>IFERROR(AO660*Assumptions!$C$26*Assumptions!$C$27*INDEX(Assumptions!$C$18:$C$21,MATCH(H660,Assumptions!$B$18:$B$21,0)),0)</f>
        <v/>
      </c>
    </row>
    <row r="661">
      <c r="A661" s="114" t="n">
        <v>46251</v>
      </c>
      <c r="B661" s="42" t="inlineStr">
        <is>
          <t>Wk 34</t>
        </is>
      </c>
      <c r="C661" s="42" t="inlineStr">
        <is>
          <t>Mon</t>
        </is>
      </c>
      <c r="D661" s="42" t="inlineStr">
        <is>
          <t>Meta (FB/IG)</t>
        </is>
      </c>
      <c r="E661" s="42" t="inlineStr">
        <is>
          <t>Facebook + Instagram</t>
        </is>
      </c>
      <c r="F661" s="42" t="inlineStr">
        <is>
          <t>LEP_ZA_AUG26_META_TD_PANTERA_CONV</t>
        </is>
      </c>
      <c r="G661" s="42" t="inlineStr">
        <is>
          <t>Leads - Website Conversions</t>
        </is>
      </c>
      <c r="H661" s="42" t="inlineStr">
        <is>
          <t>PANTERA</t>
        </is>
      </c>
      <c r="I661" s="42" t="inlineStr">
        <is>
          <t>0% Deposit</t>
        </is>
      </c>
      <c r="J661" s="42" t="inlineStr">
        <is>
          <t>MET_PANTERA_INT_PREMIUM_ZA</t>
        </is>
      </c>
      <c r="K661" s="42" t="inlineStr">
        <is>
          <t>Interest</t>
        </is>
      </c>
      <c r="L661" s="42" t="inlineStr">
        <is>
          <t>PANTERA_VID_15s_NightDrive_v1</t>
        </is>
      </c>
      <c r="M661" s="42" t="inlineStr">
        <is>
          <t>Video 4:5</t>
        </is>
      </c>
      <c r="N661" s="42" t="inlineStr">
        <is>
          <t>Night drive. PANTERA.</t>
        </is>
      </c>
      <c r="O661" s="42" t="inlineStr">
        <is>
          <t>Auction - Cost Cap</t>
        </is>
      </c>
      <c r="P661" s="42" t="inlineStr">
        <is>
          <t>Offsite Conversions</t>
        </is>
      </c>
      <c r="Q661" s="42" t="inlineStr">
        <is>
          <t>https://www.lepas-sa.co.za/offers/pantera</t>
        </is>
      </c>
      <c r="R661" s="115" t="n">
        <v>131.5</v>
      </c>
      <c r="S661" s="116" t="n">
        <v>1985</v>
      </c>
      <c r="T661" s="116" t="n">
        <v>1154</v>
      </c>
      <c r="U661" s="117">
        <f>IFERROR(S661/T661,"")</f>
        <v/>
      </c>
      <c r="V661" s="116" t="n">
        <v>28</v>
      </c>
      <c r="W661" s="116" t="n">
        <v>22</v>
      </c>
      <c r="X661" s="118">
        <f>IFERROR(W661/S661,"")</f>
        <v/>
      </c>
      <c r="Y661" s="115">
        <f>IFERROR(R661/W661,"")</f>
        <v/>
      </c>
      <c r="Z661" s="115">
        <f>IFERROR(R661/S661*1000,"")</f>
        <v/>
      </c>
      <c r="AA661" s="116" t="n">
        <v>19</v>
      </c>
      <c r="AB661" s="47">
        <f>IFERROR(AA661/W661,"")</f>
        <v/>
      </c>
      <c r="AC661" s="116" t="n">
        <v>801</v>
      </c>
      <c r="AD661" s="116" t="n">
        <v>436</v>
      </c>
      <c r="AE661" s="116" t="n">
        <v>370</v>
      </c>
      <c r="AF661" s="116" t="n">
        <v>223</v>
      </c>
      <c r="AG661" s="116" t="n">
        <v>164</v>
      </c>
      <c r="AH661" s="116" t="n">
        <v>113</v>
      </c>
      <c r="AI661" s="47">
        <f>IFERROR(AC661/S661,"")</f>
        <v/>
      </c>
      <c r="AJ661" s="47">
        <f>IFERROR(AH661/S661,"")</f>
        <v/>
      </c>
      <c r="AK661" s="116" t="n">
        <v>26</v>
      </c>
      <c r="AL661" s="116" t="n">
        <v>0</v>
      </c>
      <c r="AM661" s="118">
        <f>IFERROR(AL661/AA661,"")</f>
        <v/>
      </c>
      <c r="AN661" s="119">
        <f>IFERROR(R661/AL661,"")</f>
        <v/>
      </c>
      <c r="AO661" s="116" t="n">
        <v>0</v>
      </c>
      <c r="AP661" s="47">
        <f>IFERROR(AO661/AL661,"")</f>
        <v/>
      </c>
      <c r="AQ661" s="119">
        <f>IFERROR(R661/AO661,"")</f>
        <v/>
      </c>
      <c r="AR661" s="116" t="n">
        <v>0</v>
      </c>
      <c r="AS661" s="116" t="n">
        <v>0</v>
      </c>
      <c r="AT661" s="116">
        <f>AL661+AR661</f>
        <v/>
      </c>
      <c r="AU661" s="119">
        <f>IFERROR(AO661*Assumptions!$C$26*Assumptions!$C$27*INDEX(Assumptions!$C$18:$C$21,MATCH(H661,Assumptions!$B$18:$B$21,0)),0)</f>
        <v/>
      </c>
    </row>
    <row r="662">
      <c r="A662" s="114" t="n">
        <v>46252</v>
      </c>
      <c r="B662" s="42" t="inlineStr">
        <is>
          <t>Wk 34</t>
        </is>
      </c>
      <c r="C662" s="42" t="inlineStr">
        <is>
          <t>Tue</t>
        </is>
      </c>
      <c r="D662" s="42" t="inlineStr">
        <is>
          <t>Meta (FB/IG)</t>
        </is>
      </c>
      <c r="E662" s="42" t="inlineStr">
        <is>
          <t>Facebook + Instagram</t>
        </is>
      </c>
      <c r="F662" s="42" t="inlineStr">
        <is>
          <t>LEP_ZA_AUG26_META_TD_PANTERA_CONV</t>
        </is>
      </c>
      <c r="G662" s="42" t="inlineStr">
        <is>
          <t>Leads - Website Conversions</t>
        </is>
      </c>
      <c r="H662" s="42" t="inlineStr">
        <is>
          <t>PANTERA</t>
        </is>
      </c>
      <c r="I662" s="42" t="inlineStr">
        <is>
          <t>0% Deposit</t>
        </is>
      </c>
      <c r="J662" s="42" t="inlineStr">
        <is>
          <t>MET_PANTERA_INT_PREMIUM_ZA</t>
        </is>
      </c>
      <c r="K662" s="42" t="inlineStr">
        <is>
          <t>Interest</t>
        </is>
      </c>
      <c r="L662" s="42" t="inlineStr">
        <is>
          <t>PANTERA_VID_15s_NightDrive_v1</t>
        </is>
      </c>
      <c r="M662" s="42" t="inlineStr">
        <is>
          <t>Video 4:5</t>
        </is>
      </c>
      <c r="N662" s="42" t="inlineStr">
        <is>
          <t>Night drive. PANTERA.</t>
        </is>
      </c>
      <c r="O662" s="42" t="inlineStr">
        <is>
          <t>Auction - Cost Cap</t>
        </is>
      </c>
      <c r="P662" s="42" t="inlineStr">
        <is>
          <t>Offsite Conversions</t>
        </is>
      </c>
      <c r="Q662" s="42" t="inlineStr">
        <is>
          <t>https://www.lepas-sa.co.za/offers/pantera</t>
        </is>
      </c>
      <c r="R662" s="115" t="n">
        <v>140.29</v>
      </c>
      <c r="S662" s="116" t="n">
        <v>2036</v>
      </c>
      <c r="T662" s="116" t="n">
        <v>1140</v>
      </c>
      <c r="U662" s="117">
        <f>IFERROR(S662/T662,"")</f>
        <v/>
      </c>
      <c r="V662" s="116" t="n">
        <v>38</v>
      </c>
      <c r="W662" s="116" t="n">
        <v>28</v>
      </c>
      <c r="X662" s="118">
        <f>IFERROR(W662/S662,"")</f>
        <v/>
      </c>
      <c r="Y662" s="115">
        <f>IFERROR(R662/W662,"")</f>
        <v/>
      </c>
      <c r="Z662" s="115">
        <f>IFERROR(R662/S662*1000,"")</f>
        <v/>
      </c>
      <c r="AA662" s="116" t="n">
        <v>24</v>
      </c>
      <c r="AB662" s="47">
        <f>IFERROR(AA662/W662,"")</f>
        <v/>
      </c>
      <c r="AC662" s="116" t="n">
        <v>661</v>
      </c>
      <c r="AD662" s="116" t="n">
        <v>367</v>
      </c>
      <c r="AE662" s="116" t="n">
        <v>311</v>
      </c>
      <c r="AF662" s="116" t="n">
        <v>193</v>
      </c>
      <c r="AG662" s="116" t="n">
        <v>143</v>
      </c>
      <c r="AH662" s="116" t="n">
        <v>102</v>
      </c>
      <c r="AI662" s="47">
        <f>IFERROR(AC662/S662,"")</f>
        <v/>
      </c>
      <c r="AJ662" s="47">
        <f>IFERROR(AH662/S662,"")</f>
        <v/>
      </c>
      <c r="AK662" s="116" t="n">
        <v>38</v>
      </c>
      <c r="AL662" s="116" t="n">
        <v>1</v>
      </c>
      <c r="AM662" s="118">
        <f>IFERROR(AL662/AA662,"")</f>
        <v/>
      </c>
      <c r="AN662" s="119">
        <f>IFERROR(R662/AL662,"")</f>
        <v/>
      </c>
      <c r="AO662" s="116" t="n">
        <v>1</v>
      </c>
      <c r="AP662" s="47">
        <f>IFERROR(AO662/AL662,"")</f>
        <v/>
      </c>
      <c r="AQ662" s="119">
        <f>IFERROR(R662/AO662,"")</f>
        <v/>
      </c>
      <c r="AR662" s="116" t="n">
        <v>0</v>
      </c>
      <c r="AS662" s="116" t="n">
        <v>0</v>
      </c>
      <c r="AT662" s="116">
        <f>AL662+AR662</f>
        <v/>
      </c>
      <c r="AU662" s="119">
        <f>IFERROR(AO662*Assumptions!$C$26*Assumptions!$C$27*INDEX(Assumptions!$C$18:$C$21,MATCH(H662,Assumptions!$B$18:$B$21,0)),0)</f>
        <v/>
      </c>
    </row>
    <row r="663">
      <c r="A663" s="114" t="n">
        <v>46253</v>
      </c>
      <c r="B663" s="42" t="inlineStr">
        <is>
          <t>Wk 34</t>
        </is>
      </c>
      <c r="C663" s="42" t="inlineStr">
        <is>
          <t>Wed</t>
        </is>
      </c>
      <c r="D663" s="42" t="inlineStr">
        <is>
          <t>Meta (FB/IG)</t>
        </is>
      </c>
      <c r="E663" s="42" t="inlineStr">
        <is>
          <t>Facebook + Instagram</t>
        </is>
      </c>
      <c r="F663" s="42" t="inlineStr">
        <is>
          <t>LEP_ZA_AUG26_META_TD_PANTERA_CONV</t>
        </is>
      </c>
      <c r="G663" s="42" t="inlineStr">
        <is>
          <t>Leads - Website Conversions</t>
        </is>
      </c>
      <c r="H663" s="42" t="inlineStr">
        <is>
          <t>PANTERA</t>
        </is>
      </c>
      <c r="I663" s="42" t="inlineStr">
        <is>
          <t>0% Deposit</t>
        </is>
      </c>
      <c r="J663" s="42" t="inlineStr">
        <is>
          <t>MET_PANTERA_INT_PREMIUM_ZA</t>
        </is>
      </c>
      <c r="K663" s="42" t="inlineStr">
        <is>
          <t>Interest</t>
        </is>
      </c>
      <c r="L663" s="42" t="inlineStr">
        <is>
          <t>PANTERA_VID_15s_NightDrive_v1</t>
        </is>
      </c>
      <c r="M663" s="42" t="inlineStr">
        <is>
          <t>Video 4:5</t>
        </is>
      </c>
      <c r="N663" s="42" t="inlineStr">
        <is>
          <t>Night drive. PANTERA.</t>
        </is>
      </c>
      <c r="O663" s="42" t="inlineStr">
        <is>
          <t>Auction - Cost Cap</t>
        </is>
      </c>
      <c r="P663" s="42" t="inlineStr">
        <is>
          <t>Offsite Conversions</t>
        </is>
      </c>
      <c r="Q663" s="42" t="inlineStr">
        <is>
          <t>https://www.lepas-sa.co.za/offers/pantera</t>
        </is>
      </c>
      <c r="R663" s="115" t="n">
        <v>177.44</v>
      </c>
      <c r="S663" s="116" t="n">
        <v>3120</v>
      </c>
      <c r="T663" s="116" t="n">
        <v>1749</v>
      </c>
      <c r="U663" s="117">
        <f>IFERROR(S663/T663,"")</f>
        <v/>
      </c>
      <c r="V663" s="116" t="n">
        <v>30</v>
      </c>
      <c r="W663" s="116" t="n">
        <v>22</v>
      </c>
      <c r="X663" s="118">
        <f>IFERROR(W663/S663,"")</f>
        <v/>
      </c>
      <c r="Y663" s="115">
        <f>IFERROR(R663/W663,"")</f>
        <v/>
      </c>
      <c r="Z663" s="115">
        <f>IFERROR(R663/S663*1000,"")</f>
        <v/>
      </c>
      <c r="AA663" s="116" t="n">
        <v>19</v>
      </c>
      <c r="AB663" s="47">
        <f>IFERROR(AA663/W663,"")</f>
        <v/>
      </c>
      <c r="AC663" s="116" t="n">
        <v>708</v>
      </c>
      <c r="AD663" s="116" t="n">
        <v>417</v>
      </c>
      <c r="AE663" s="116" t="n">
        <v>274</v>
      </c>
      <c r="AF663" s="116" t="n">
        <v>165</v>
      </c>
      <c r="AG663" s="116" t="n">
        <v>123</v>
      </c>
      <c r="AH663" s="116" t="n">
        <v>73</v>
      </c>
      <c r="AI663" s="47">
        <f>IFERROR(AC663/S663,"")</f>
        <v/>
      </c>
      <c r="AJ663" s="47">
        <f>IFERROR(AH663/S663,"")</f>
        <v/>
      </c>
      <c r="AK663" s="116" t="n">
        <v>72</v>
      </c>
      <c r="AL663" s="116" t="n">
        <v>0</v>
      </c>
      <c r="AM663" s="118">
        <f>IFERROR(AL663/AA663,"")</f>
        <v/>
      </c>
      <c r="AN663" s="119">
        <f>IFERROR(R663/AL663,"")</f>
        <v/>
      </c>
      <c r="AO663" s="116" t="n">
        <v>0</v>
      </c>
      <c r="AP663" s="47">
        <f>IFERROR(AO663/AL663,"")</f>
        <v/>
      </c>
      <c r="AQ663" s="119">
        <f>IFERROR(R663/AO663,"")</f>
        <v/>
      </c>
      <c r="AR663" s="116" t="n">
        <v>0</v>
      </c>
      <c r="AS663" s="116" t="n">
        <v>0</v>
      </c>
      <c r="AT663" s="116">
        <f>AL663+AR663</f>
        <v/>
      </c>
      <c r="AU663" s="119">
        <f>IFERROR(AO663*Assumptions!$C$26*Assumptions!$C$27*INDEX(Assumptions!$C$18:$C$21,MATCH(H663,Assumptions!$B$18:$B$21,0)),0)</f>
        <v/>
      </c>
    </row>
    <row r="664">
      <c r="A664" s="114" t="n">
        <v>46254</v>
      </c>
      <c r="B664" s="42" t="inlineStr">
        <is>
          <t>Wk 34</t>
        </is>
      </c>
      <c r="C664" s="42" t="inlineStr">
        <is>
          <t>Thu</t>
        </is>
      </c>
      <c r="D664" s="42" t="inlineStr">
        <is>
          <t>Meta (FB/IG)</t>
        </is>
      </c>
      <c r="E664" s="42" t="inlineStr">
        <is>
          <t>Facebook + Instagram</t>
        </is>
      </c>
      <c r="F664" s="42" t="inlineStr">
        <is>
          <t>LEP_ZA_AUG26_META_TD_PANTERA_CONV</t>
        </is>
      </c>
      <c r="G664" s="42" t="inlineStr">
        <is>
          <t>Leads - Website Conversions</t>
        </is>
      </c>
      <c r="H664" s="42" t="inlineStr">
        <is>
          <t>PANTERA</t>
        </is>
      </c>
      <c r="I664" s="42" t="inlineStr">
        <is>
          <t>0% Deposit</t>
        </is>
      </c>
      <c r="J664" s="42" t="inlineStr">
        <is>
          <t>MET_PANTERA_INT_PREMIUM_ZA</t>
        </is>
      </c>
      <c r="K664" s="42" t="inlineStr">
        <is>
          <t>Interest</t>
        </is>
      </c>
      <c r="L664" s="42" t="inlineStr">
        <is>
          <t>PANTERA_VID_15s_NightDrive_v1</t>
        </is>
      </c>
      <c r="M664" s="42" t="inlineStr">
        <is>
          <t>Video 4:5</t>
        </is>
      </c>
      <c r="N664" s="42" t="inlineStr">
        <is>
          <t>Night drive. PANTERA.</t>
        </is>
      </c>
      <c r="O664" s="42" t="inlineStr">
        <is>
          <t>Auction - Cost Cap</t>
        </is>
      </c>
      <c r="P664" s="42" t="inlineStr">
        <is>
          <t>Offsite Conversions</t>
        </is>
      </c>
      <c r="Q664" s="42" t="inlineStr">
        <is>
          <t>https://www.lepas-sa.co.za/offers/pantera</t>
        </is>
      </c>
      <c r="R664" s="115" t="n">
        <v>204.4</v>
      </c>
      <c r="S664" s="116" t="n">
        <v>2889</v>
      </c>
      <c r="T664" s="116" t="n">
        <v>1931</v>
      </c>
      <c r="U664" s="117">
        <f>IFERROR(S664/T664,"")</f>
        <v/>
      </c>
      <c r="V664" s="116" t="n">
        <v>61</v>
      </c>
      <c r="W664" s="116" t="n">
        <v>46</v>
      </c>
      <c r="X664" s="118">
        <f>IFERROR(W664/S664,"")</f>
        <v/>
      </c>
      <c r="Y664" s="115">
        <f>IFERROR(R664/W664,"")</f>
        <v/>
      </c>
      <c r="Z664" s="115">
        <f>IFERROR(R664/S664*1000,"")</f>
        <v/>
      </c>
      <c r="AA664" s="116" t="n">
        <v>40</v>
      </c>
      <c r="AB664" s="47">
        <f>IFERROR(AA664/W664,"")</f>
        <v/>
      </c>
      <c r="AC664" s="116" t="n">
        <v>777</v>
      </c>
      <c r="AD664" s="116" t="n">
        <v>366</v>
      </c>
      <c r="AE664" s="116" t="n">
        <v>288</v>
      </c>
      <c r="AF664" s="116" t="n">
        <v>173</v>
      </c>
      <c r="AG664" s="116" t="n">
        <v>120</v>
      </c>
      <c r="AH664" s="116" t="n">
        <v>77</v>
      </c>
      <c r="AI664" s="47">
        <f>IFERROR(AC664/S664,"")</f>
        <v/>
      </c>
      <c r="AJ664" s="47">
        <f>IFERROR(AH664/S664,"")</f>
        <v/>
      </c>
      <c r="AK664" s="116" t="n">
        <v>78</v>
      </c>
      <c r="AL664" s="116" t="n">
        <v>1</v>
      </c>
      <c r="AM664" s="118">
        <f>IFERROR(AL664/AA664,"")</f>
        <v/>
      </c>
      <c r="AN664" s="119">
        <f>IFERROR(R664/AL664,"")</f>
        <v/>
      </c>
      <c r="AO664" s="116" t="n">
        <v>0</v>
      </c>
      <c r="AP664" s="47">
        <f>IFERROR(AO664/AL664,"")</f>
        <v/>
      </c>
      <c r="AQ664" s="119">
        <f>IFERROR(R664/AO664,"")</f>
        <v/>
      </c>
      <c r="AR664" s="116" t="n">
        <v>0</v>
      </c>
      <c r="AS664" s="116" t="n">
        <v>1</v>
      </c>
      <c r="AT664" s="116">
        <f>AL664+AR664</f>
        <v/>
      </c>
      <c r="AU664" s="119">
        <f>IFERROR(AO664*Assumptions!$C$26*Assumptions!$C$27*INDEX(Assumptions!$C$18:$C$21,MATCH(H664,Assumptions!$B$18:$B$21,0)),0)</f>
        <v/>
      </c>
    </row>
    <row r="665">
      <c r="A665" s="114" t="n">
        <v>46255</v>
      </c>
      <c r="B665" s="42" t="inlineStr">
        <is>
          <t>Wk 34</t>
        </is>
      </c>
      <c r="C665" s="42" t="inlineStr">
        <is>
          <t>Fri</t>
        </is>
      </c>
      <c r="D665" s="42" t="inlineStr">
        <is>
          <t>Meta (FB/IG)</t>
        </is>
      </c>
      <c r="E665" s="42" t="inlineStr">
        <is>
          <t>Facebook + Instagram</t>
        </is>
      </c>
      <c r="F665" s="42" t="inlineStr">
        <is>
          <t>LEP_ZA_AUG26_META_TD_PANTERA_CONV</t>
        </is>
      </c>
      <c r="G665" s="42" t="inlineStr">
        <is>
          <t>Leads - Website Conversions</t>
        </is>
      </c>
      <c r="H665" s="42" t="inlineStr">
        <is>
          <t>PANTERA</t>
        </is>
      </c>
      <c r="I665" s="42" t="inlineStr">
        <is>
          <t>0% Deposit</t>
        </is>
      </c>
      <c r="J665" s="42" t="inlineStr">
        <is>
          <t>MET_PANTERA_INT_PREMIUM_ZA</t>
        </is>
      </c>
      <c r="K665" s="42" t="inlineStr">
        <is>
          <t>Interest</t>
        </is>
      </c>
      <c r="L665" s="42" t="inlineStr">
        <is>
          <t>PANTERA_VID_15s_NightDrive_v1</t>
        </is>
      </c>
      <c r="M665" s="42" t="inlineStr">
        <is>
          <t>Video 4:5</t>
        </is>
      </c>
      <c r="N665" s="42" t="inlineStr">
        <is>
          <t>Night drive. PANTERA.</t>
        </is>
      </c>
      <c r="O665" s="42" t="inlineStr">
        <is>
          <t>Auction - Cost Cap</t>
        </is>
      </c>
      <c r="P665" s="42" t="inlineStr">
        <is>
          <t>Offsite Conversions</t>
        </is>
      </c>
      <c r="Q665" s="42" t="inlineStr">
        <is>
          <t>https://www.lepas-sa.co.za/offers/pantera</t>
        </is>
      </c>
      <c r="R665" s="115" t="n">
        <v>209.41</v>
      </c>
      <c r="S665" s="116" t="n">
        <v>3783</v>
      </c>
      <c r="T665" s="116" t="n">
        <v>2530</v>
      </c>
      <c r="U665" s="117">
        <f>IFERROR(S665/T665,"")</f>
        <v/>
      </c>
      <c r="V665" s="116" t="n">
        <v>69</v>
      </c>
      <c r="W665" s="116" t="n">
        <v>58</v>
      </c>
      <c r="X665" s="118">
        <f>IFERROR(W665/S665,"")</f>
        <v/>
      </c>
      <c r="Y665" s="115">
        <f>IFERROR(R665/W665,"")</f>
        <v/>
      </c>
      <c r="Z665" s="115">
        <f>IFERROR(R665/S665*1000,"")</f>
        <v/>
      </c>
      <c r="AA665" s="116" t="n">
        <v>53</v>
      </c>
      <c r="AB665" s="47">
        <f>IFERROR(AA665/W665,"")</f>
        <v/>
      </c>
      <c r="AC665" s="116" t="n">
        <v>1209</v>
      </c>
      <c r="AD665" s="116" t="n">
        <v>640</v>
      </c>
      <c r="AE665" s="116" t="n">
        <v>648</v>
      </c>
      <c r="AF665" s="116" t="n">
        <v>392</v>
      </c>
      <c r="AG665" s="116" t="n">
        <v>258</v>
      </c>
      <c r="AH665" s="116" t="n">
        <v>178</v>
      </c>
      <c r="AI665" s="47">
        <f>IFERROR(AC665/S665,"")</f>
        <v/>
      </c>
      <c r="AJ665" s="47">
        <f>IFERROR(AH665/S665,"")</f>
        <v/>
      </c>
      <c r="AK665" s="116" t="n">
        <v>105</v>
      </c>
      <c r="AL665" s="116" t="n">
        <v>1</v>
      </c>
      <c r="AM665" s="118">
        <f>IFERROR(AL665/AA665,"")</f>
        <v/>
      </c>
      <c r="AN665" s="119">
        <f>IFERROR(R665/AL665,"")</f>
        <v/>
      </c>
      <c r="AO665" s="116" t="n">
        <v>0</v>
      </c>
      <c r="AP665" s="47">
        <f>IFERROR(AO665/AL665,"")</f>
        <v/>
      </c>
      <c r="AQ665" s="119">
        <f>IFERROR(R665/AO665,"")</f>
        <v/>
      </c>
      <c r="AR665" s="116" t="n">
        <v>0</v>
      </c>
      <c r="AS665" s="116" t="n">
        <v>0</v>
      </c>
      <c r="AT665" s="116">
        <f>AL665+AR665</f>
        <v/>
      </c>
      <c r="AU665" s="119">
        <f>IFERROR(AO665*Assumptions!$C$26*Assumptions!$C$27*INDEX(Assumptions!$C$18:$C$21,MATCH(H665,Assumptions!$B$18:$B$21,0)),0)</f>
        <v/>
      </c>
    </row>
    <row r="666">
      <c r="A666" s="114" t="n">
        <v>46256</v>
      </c>
      <c r="B666" s="42" t="inlineStr">
        <is>
          <t>Wk 34</t>
        </is>
      </c>
      <c r="C666" s="42" t="inlineStr">
        <is>
          <t>Sat</t>
        </is>
      </c>
      <c r="D666" s="42" t="inlineStr">
        <is>
          <t>Meta (FB/IG)</t>
        </is>
      </c>
      <c r="E666" s="42" t="inlineStr">
        <is>
          <t>Facebook + Instagram</t>
        </is>
      </c>
      <c r="F666" s="42" t="inlineStr">
        <is>
          <t>LEP_ZA_AUG26_META_TD_PANTERA_CONV</t>
        </is>
      </c>
      <c r="G666" s="42" t="inlineStr">
        <is>
          <t>Leads - Website Conversions</t>
        </is>
      </c>
      <c r="H666" s="42" t="inlineStr">
        <is>
          <t>PANTERA</t>
        </is>
      </c>
      <c r="I666" s="42" t="inlineStr">
        <is>
          <t>0% Deposit</t>
        </is>
      </c>
      <c r="J666" s="42" t="inlineStr">
        <is>
          <t>MET_PANTERA_INT_PREMIUM_ZA</t>
        </is>
      </c>
      <c r="K666" s="42" t="inlineStr">
        <is>
          <t>Interest</t>
        </is>
      </c>
      <c r="L666" s="42" t="inlineStr">
        <is>
          <t>PANTERA_VID_15s_NightDrive_v1</t>
        </is>
      </c>
      <c r="M666" s="42" t="inlineStr">
        <is>
          <t>Video 4:5</t>
        </is>
      </c>
      <c r="N666" s="42" t="inlineStr">
        <is>
          <t>Night drive. PANTERA.</t>
        </is>
      </c>
      <c r="O666" s="42" t="inlineStr">
        <is>
          <t>Auction - Cost Cap</t>
        </is>
      </c>
      <c r="P666" s="42" t="inlineStr">
        <is>
          <t>Offsite Conversions</t>
        </is>
      </c>
      <c r="Q666" s="42" t="inlineStr">
        <is>
          <t>https://www.lepas-sa.co.za/offers/pantera</t>
        </is>
      </c>
      <c r="R666" s="115" t="n">
        <v>214.17</v>
      </c>
      <c r="S666" s="116" t="n">
        <v>3075</v>
      </c>
      <c r="T666" s="116" t="n">
        <v>1544</v>
      </c>
      <c r="U666" s="117">
        <f>IFERROR(S666/T666,"")</f>
        <v/>
      </c>
      <c r="V666" s="116" t="n">
        <v>30</v>
      </c>
      <c r="W666" s="116" t="n">
        <v>25</v>
      </c>
      <c r="X666" s="118">
        <f>IFERROR(W666/S666,"")</f>
        <v/>
      </c>
      <c r="Y666" s="115">
        <f>IFERROR(R666/W666,"")</f>
        <v/>
      </c>
      <c r="Z666" s="115">
        <f>IFERROR(R666/S666*1000,"")</f>
        <v/>
      </c>
      <c r="AA666" s="116" t="n">
        <v>21</v>
      </c>
      <c r="AB666" s="47">
        <f>IFERROR(AA666/W666,"")</f>
        <v/>
      </c>
      <c r="AC666" s="116" t="n">
        <v>766</v>
      </c>
      <c r="AD666" s="116" t="n">
        <v>444</v>
      </c>
      <c r="AE666" s="116" t="n">
        <v>397</v>
      </c>
      <c r="AF666" s="116" t="n">
        <v>274</v>
      </c>
      <c r="AG666" s="116" t="n">
        <v>179</v>
      </c>
      <c r="AH666" s="116" t="n">
        <v>120</v>
      </c>
      <c r="AI666" s="47">
        <f>IFERROR(AC666/S666,"")</f>
        <v/>
      </c>
      <c r="AJ666" s="47">
        <f>IFERROR(AH666/S666,"")</f>
        <v/>
      </c>
      <c r="AK666" s="116" t="n">
        <v>90</v>
      </c>
      <c r="AL666" s="116" t="n">
        <v>1</v>
      </c>
      <c r="AM666" s="118">
        <f>IFERROR(AL666/AA666,"")</f>
        <v/>
      </c>
      <c r="AN666" s="119">
        <f>IFERROR(R666/AL666,"")</f>
        <v/>
      </c>
      <c r="AO666" s="116" t="n">
        <v>1</v>
      </c>
      <c r="AP666" s="47">
        <f>IFERROR(AO666/AL666,"")</f>
        <v/>
      </c>
      <c r="AQ666" s="119">
        <f>IFERROR(R666/AO666,"")</f>
        <v/>
      </c>
      <c r="AR666" s="116" t="n">
        <v>0</v>
      </c>
      <c r="AS666" s="116" t="n">
        <v>0</v>
      </c>
      <c r="AT666" s="116">
        <f>AL666+AR666</f>
        <v/>
      </c>
      <c r="AU666" s="119">
        <f>IFERROR(AO666*Assumptions!$C$26*Assumptions!$C$27*INDEX(Assumptions!$C$18:$C$21,MATCH(H666,Assumptions!$B$18:$B$21,0)),0)</f>
        <v/>
      </c>
    </row>
    <row r="667">
      <c r="A667" s="114" t="n">
        <v>46257</v>
      </c>
      <c r="B667" s="42" t="inlineStr">
        <is>
          <t>Wk 34</t>
        </is>
      </c>
      <c r="C667" s="42" t="inlineStr">
        <is>
          <t>Sun</t>
        </is>
      </c>
      <c r="D667" s="42" t="inlineStr">
        <is>
          <t>Meta (FB/IG)</t>
        </is>
      </c>
      <c r="E667" s="42" t="inlineStr">
        <is>
          <t>Facebook + Instagram</t>
        </is>
      </c>
      <c r="F667" s="42" t="inlineStr">
        <is>
          <t>LEP_ZA_AUG26_META_TD_PANTERA_CONV</t>
        </is>
      </c>
      <c r="G667" s="42" t="inlineStr">
        <is>
          <t>Leads - Website Conversions</t>
        </is>
      </c>
      <c r="H667" s="42" t="inlineStr">
        <is>
          <t>PANTERA</t>
        </is>
      </c>
      <c r="I667" s="42" t="inlineStr">
        <is>
          <t>0% Deposit</t>
        </is>
      </c>
      <c r="J667" s="42" t="inlineStr">
        <is>
          <t>MET_PANTERA_INT_PREMIUM_ZA</t>
        </is>
      </c>
      <c r="K667" s="42" t="inlineStr">
        <is>
          <t>Interest</t>
        </is>
      </c>
      <c r="L667" s="42" t="inlineStr">
        <is>
          <t>PANTERA_VID_15s_NightDrive_v1</t>
        </is>
      </c>
      <c r="M667" s="42" t="inlineStr">
        <is>
          <t>Video 4:5</t>
        </is>
      </c>
      <c r="N667" s="42" t="inlineStr">
        <is>
          <t>Night drive. PANTERA.</t>
        </is>
      </c>
      <c r="O667" s="42" t="inlineStr">
        <is>
          <t>Auction - Cost Cap</t>
        </is>
      </c>
      <c r="P667" s="42" t="inlineStr">
        <is>
          <t>Offsite Conversions</t>
        </is>
      </c>
      <c r="Q667" s="42" t="inlineStr">
        <is>
          <t>https://www.lepas-sa.co.za/offers/pantera</t>
        </is>
      </c>
      <c r="R667" s="115" t="n">
        <v>135.74</v>
      </c>
      <c r="S667" s="116" t="n">
        <v>1908</v>
      </c>
      <c r="T667" s="116" t="n">
        <v>964</v>
      </c>
      <c r="U667" s="117">
        <f>IFERROR(S667/T667,"")</f>
        <v/>
      </c>
      <c r="V667" s="116" t="n">
        <v>31</v>
      </c>
      <c r="W667" s="116" t="n">
        <v>25</v>
      </c>
      <c r="X667" s="118">
        <f>IFERROR(W667/S667,"")</f>
        <v/>
      </c>
      <c r="Y667" s="115">
        <f>IFERROR(R667/W667,"")</f>
        <v/>
      </c>
      <c r="Z667" s="115">
        <f>IFERROR(R667/S667*1000,"")</f>
        <v/>
      </c>
      <c r="AA667" s="116" t="n">
        <v>21</v>
      </c>
      <c r="AB667" s="47">
        <f>IFERROR(AA667/W667,"")</f>
        <v/>
      </c>
      <c r="AC667" s="116" t="n">
        <v>551</v>
      </c>
      <c r="AD667" s="116" t="n">
        <v>254</v>
      </c>
      <c r="AE667" s="116" t="n">
        <v>301</v>
      </c>
      <c r="AF667" s="116" t="n">
        <v>185</v>
      </c>
      <c r="AG667" s="116" t="n">
        <v>129</v>
      </c>
      <c r="AH667" s="116" t="n">
        <v>77</v>
      </c>
      <c r="AI667" s="47">
        <f>IFERROR(AC667/S667,"")</f>
        <v/>
      </c>
      <c r="AJ667" s="47">
        <f>IFERROR(AH667/S667,"")</f>
        <v/>
      </c>
      <c r="AK667" s="116" t="n">
        <v>28</v>
      </c>
      <c r="AL667" s="116" t="n">
        <v>0</v>
      </c>
      <c r="AM667" s="118">
        <f>IFERROR(AL667/AA667,"")</f>
        <v/>
      </c>
      <c r="AN667" s="119">
        <f>IFERROR(R667/AL667,"")</f>
        <v/>
      </c>
      <c r="AO667" s="116" t="n">
        <v>0</v>
      </c>
      <c r="AP667" s="47">
        <f>IFERROR(AO667/AL667,"")</f>
        <v/>
      </c>
      <c r="AQ667" s="119">
        <f>IFERROR(R667/AO667,"")</f>
        <v/>
      </c>
      <c r="AR667" s="116" t="n">
        <v>0</v>
      </c>
      <c r="AS667" s="116" t="n">
        <v>0</v>
      </c>
      <c r="AT667" s="116">
        <f>AL667+AR667</f>
        <v/>
      </c>
      <c r="AU667" s="119">
        <f>IFERROR(AO667*Assumptions!$C$26*Assumptions!$C$27*INDEX(Assumptions!$C$18:$C$21,MATCH(H667,Assumptions!$B$18:$B$21,0)),0)</f>
        <v/>
      </c>
    </row>
    <row r="668">
      <c r="A668" s="114" t="n">
        <v>46258</v>
      </c>
      <c r="B668" s="42" t="inlineStr">
        <is>
          <t>Wk 35</t>
        </is>
      </c>
      <c r="C668" s="42" t="inlineStr">
        <is>
          <t>Mon</t>
        </is>
      </c>
      <c r="D668" s="42" t="inlineStr">
        <is>
          <t>Meta (FB/IG)</t>
        </is>
      </c>
      <c r="E668" s="42" t="inlineStr">
        <is>
          <t>Facebook + Instagram</t>
        </is>
      </c>
      <c r="F668" s="42" t="inlineStr">
        <is>
          <t>LEP_ZA_AUG26_META_TD_PANTERA_CONV</t>
        </is>
      </c>
      <c r="G668" s="42" t="inlineStr">
        <is>
          <t>Leads - Website Conversions</t>
        </is>
      </c>
      <c r="H668" s="42" t="inlineStr">
        <is>
          <t>PANTERA</t>
        </is>
      </c>
      <c r="I668" s="42" t="inlineStr">
        <is>
          <t>0% Deposit</t>
        </is>
      </c>
      <c r="J668" s="42" t="inlineStr">
        <is>
          <t>MET_PANTERA_INT_PREMIUM_ZA</t>
        </is>
      </c>
      <c r="K668" s="42" t="inlineStr">
        <is>
          <t>Interest</t>
        </is>
      </c>
      <c r="L668" s="42" t="inlineStr">
        <is>
          <t>PANTERA_VID_15s_NightDrive_v1</t>
        </is>
      </c>
      <c r="M668" s="42" t="inlineStr">
        <is>
          <t>Video 4:5</t>
        </is>
      </c>
      <c r="N668" s="42" t="inlineStr">
        <is>
          <t>Night drive. PANTERA.</t>
        </is>
      </c>
      <c r="O668" s="42" t="inlineStr">
        <is>
          <t>Auction - Cost Cap</t>
        </is>
      </c>
      <c r="P668" s="42" t="inlineStr">
        <is>
          <t>Offsite Conversions</t>
        </is>
      </c>
      <c r="Q668" s="42" t="inlineStr">
        <is>
          <t>https://www.lepas-sa.co.za/offers/pantera</t>
        </is>
      </c>
      <c r="R668" s="115" t="n">
        <v>166.38</v>
      </c>
      <c r="S668" s="116" t="n">
        <v>2523</v>
      </c>
      <c r="T668" s="116" t="n">
        <v>1312</v>
      </c>
      <c r="U668" s="117">
        <f>IFERROR(S668/T668,"")</f>
        <v/>
      </c>
      <c r="V668" s="116" t="n">
        <v>35</v>
      </c>
      <c r="W668" s="116" t="n">
        <v>27</v>
      </c>
      <c r="X668" s="118">
        <f>IFERROR(W668/S668,"")</f>
        <v/>
      </c>
      <c r="Y668" s="115">
        <f>IFERROR(R668/W668,"")</f>
        <v/>
      </c>
      <c r="Z668" s="115">
        <f>IFERROR(R668/S668*1000,"")</f>
        <v/>
      </c>
      <c r="AA668" s="116" t="n">
        <v>22</v>
      </c>
      <c r="AB668" s="47">
        <f>IFERROR(AA668/W668,"")</f>
        <v/>
      </c>
      <c r="AC668" s="116" t="n">
        <v>971</v>
      </c>
      <c r="AD668" s="116" t="n">
        <v>598</v>
      </c>
      <c r="AE668" s="116" t="n">
        <v>528</v>
      </c>
      <c r="AF668" s="116" t="n">
        <v>288</v>
      </c>
      <c r="AG668" s="116" t="n">
        <v>192</v>
      </c>
      <c r="AH668" s="116" t="n">
        <v>140</v>
      </c>
      <c r="AI668" s="47">
        <f>IFERROR(AC668/S668,"")</f>
        <v/>
      </c>
      <c r="AJ668" s="47">
        <f>IFERROR(AH668/S668,"")</f>
        <v/>
      </c>
      <c r="AK668" s="116" t="n">
        <v>66</v>
      </c>
      <c r="AL668" s="116" t="n">
        <v>1</v>
      </c>
      <c r="AM668" s="118">
        <f>IFERROR(AL668/AA668,"")</f>
        <v/>
      </c>
      <c r="AN668" s="119">
        <f>IFERROR(R668/AL668,"")</f>
        <v/>
      </c>
      <c r="AO668" s="116" t="n">
        <v>1</v>
      </c>
      <c r="AP668" s="47">
        <f>IFERROR(AO668/AL668,"")</f>
        <v/>
      </c>
      <c r="AQ668" s="119">
        <f>IFERROR(R668/AO668,"")</f>
        <v/>
      </c>
      <c r="AR668" s="116" t="n">
        <v>0</v>
      </c>
      <c r="AS668" s="116" t="n">
        <v>0</v>
      </c>
      <c r="AT668" s="116">
        <f>AL668+AR668</f>
        <v/>
      </c>
      <c r="AU668" s="119">
        <f>IFERROR(AO668*Assumptions!$C$26*Assumptions!$C$27*INDEX(Assumptions!$C$18:$C$21,MATCH(H668,Assumptions!$B$18:$B$21,0)),0)</f>
        <v/>
      </c>
    </row>
    <row r="669">
      <c r="A669" s="114" t="n">
        <v>46259</v>
      </c>
      <c r="B669" s="42" t="inlineStr">
        <is>
          <t>Wk 35</t>
        </is>
      </c>
      <c r="C669" s="42" t="inlineStr">
        <is>
          <t>Tue</t>
        </is>
      </c>
      <c r="D669" s="42" t="inlineStr">
        <is>
          <t>Meta (FB/IG)</t>
        </is>
      </c>
      <c r="E669" s="42" t="inlineStr">
        <is>
          <t>Facebook + Instagram</t>
        </is>
      </c>
      <c r="F669" s="42" t="inlineStr">
        <is>
          <t>LEP_ZA_AUG26_META_TD_PANTERA_CONV</t>
        </is>
      </c>
      <c r="G669" s="42" t="inlineStr">
        <is>
          <t>Leads - Website Conversions</t>
        </is>
      </c>
      <c r="H669" s="42" t="inlineStr">
        <is>
          <t>PANTERA</t>
        </is>
      </c>
      <c r="I669" s="42" t="inlineStr">
        <is>
          <t>0% Deposit</t>
        </is>
      </c>
      <c r="J669" s="42" t="inlineStr">
        <is>
          <t>MET_PANTERA_INT_PREMIUM_ZA</t>
        </is>
      </c>
      <c r="K669" s="42" t="inlineStr">
        <is>
          <t>Interest</t>
        </is>
      </c>
      <c r="L669" s="42" t="inlineStr">
        <is>
          <t>PANTERA_VID_15s_NightDrive_v1</t>
        </is>
      </c>
      <c r="M669" s="42" t="inlineStr">
        <is>
          <t>Video 4:5</t>
        </is>
      </c>
      <c r="N669" s="42" t="inlineStr">
        <is>
          <t>Night drive. PANTERA.</t>
        </is>
      </c>
      <c r="O669" s="42" t="inlineStr">
        <is>
          <t>Auction - Cost Cap</t>
        </is>
      </c>
      <c r="P669" s="42" t="inlineStr">
        <is>
          <t>Offsite Conversions</t>
        </is>
      </c>
      <c r="Q669" s="42" t="inlineStr">
        <is>
          <t>https://www.lepas-sa.co.za/offers/pantera</t>
        </is>
      </c>
      <c r="R669" s="115" t="n">
        <v>165.8</v>
      </c>
      <c r="S669" s="116" t="n">
        <v>1933</v>
      </c>
      <c r="T669" s="116" t="n">
        <v>1070</v>
      </c>
      <c r="U669" s="117">
        <f>IFERROR(S669/T669,"")</f>
        <v/>
      </c>
      <c r="V669" s="116" t="n">
        <v>27</v>
      </c>
      <c r="W669" s="116" t="n">
        <v>20</v>
      </c>
      <c r="X669" s="118">
        <f>IFERROR(W669/S669,"")</f>
        <v/>
      </c>
      <c r="Y669" s="115">
        <f>IFERROR(R669/W669,"")</f>
        <v/>
      </c>
      <c r="Z669" s="115">
        <f>IFERROR(R669/S669*1000,"")</f>
        <v/>
      </c>
      <c r="AA669" s="116" t="n">
        <v>17</v>
      </c>
      <c r="AB669" s="47">
        <f>IFERROR(AA669/W669,"")</f>
        <v/>
      </c>
      <c r="AC669" s="116" t="n">
        <v>718</v>
      </c>
      <c r="AD669" s="116" t="n">
        <v>323</v>
      </c>
      <c r="AE669" s="116" t="n">
        <v>334</v>
      </c>
      <c r="AF669" s="116" t="n">
        <v>210</v>
      </c>
      <c r="AG669" s="116" t="n">
        <v>138</v>
      </c>
      <c r="AH669" s="116" t="n">
        <v>101</v>
      </c>
      <c r="AI669" s="47">
        <f>IFERROR(AC669/S669,"")</f>
        <v/>
      </c>
      <c r="AJ669" s="47">
        <f>IFERROR(AH669/S669,"")</f>
        <v/>
      </c>
      <c r="AK669" s="116" t="n">
        <v>34</v>
      </c>
      <c r="AL669" s="116" t="n">
        <v>0</v>
      </c>
      <c r="AM669" s="118">
        <f>IFERROR(AL669/AA669,"")</f>
        <v/>
      </c>
      <c r="AN669" s="119">
        <f>IFERROR(R669/AL669,"")</f>
        <v/>
      </c>
      <c r="AO669" s="116" t="n">
        <v>0</v>
      </c>
      <c r="AP669" s="47">
        <f>IFERROR(AO669/AL669,"")</f>
        <v/>
      </c>
      <c r="AQ669" s="119">
        <f>IFERROR(R669/AO669,"")</f>
        <v/>
      </c>
      <c r="AR669" s="116" t="n">
        <v>0</v>
      </c>
      <c r="AS669" s="116" t="n">
        <v>0</v>
      </c>
      <c r="AT669" s="116">
        <f>AL669+AR669</f>
        <v/>
      </c>
      <c r="AU669" s="119">
        <f>IFERROR(AO669*Assumptions!$C$26*Assumptions!$C$27*INDEX(Assumptions!$C$18:$C$21,MATCH(H669,Assumptions!$B$18:$B$21,0)),0)</f>
        <v/>
      </c>
    </row>
    <row r="670">
      <c r="A670" s="114" t="n">
        <v>46260</v>
      </c>
      <c r="B670" s="42" t="inlineStr">
        <is>
          <t>Wk 35</t>
        </is>
      </c>
      <c r="C670" s="42" t="inlineStr">
        <is>
          <t>Wed</t>
        </is>
      </c>
      <c r="D670" s="42" t="inlineStr">
        <is>
          <t>Meta (FB/IG)</t>
        </is>
      </c>
      <c r="E670" s="42" t="inlineStr">
        <is>
          <t>Facebook + Instagram</t>
        </is>
      </c>
      <c r="F670" s="42" t="inlineStr">
        <is>
          <t>LEP_ZA_AUG26_META_TD_PANTERA_CONV</t>
        </is>
      </c>
      <c r="G670" s="42" t="inlineStr">
        <is>
          <t>Leads - Website Conversions</t>
        </is>
      </c>
      <c r="H670" s="42" t="inlineStr">
        <is>
          <t>PANTERA</t>
        </is>
      </c>
      <c r="I670" s="42" t="inlineStr">
        <is>
          <t>0% Deposit</t>
        </is>
      </c>
      <c r="J670" s="42" t="inlineStr">
        <is>
          <t>MET_PANTERA_INT_PREMIUM_ZA</t>
        </is>
      </c>
      <c r="K670" s="42" t="inlineStr">
        <is>
          <t>Interest</t>
        </is>
      </c>
      <c r="L670" s="42" t="inlineStr">
        <is>
          <t>PANTERA_VID_15s_NightDrive_v1</t>
        </is>
      </c>
      <c r="M670" s="42" t="inlineStr">
        <is>
          <t>Video 4:5</t>
        </is>
      </c>
      <c r="N670" s="42" t="inlineStr">
        <is>
          <t>Night drive. PANTERA.</t>
        </is>
      </c>
      <c r="O670" s="42" t="inlineStr">
        <is>
          <t>Auction - Cost Cap</t>
        </is>
      </c>
      <c r="P670" s="42" t="inlineStr">
        <is>
          <t>Offsite Conversions</t>
        </is>
      </c>
      <c r="Q670" s="42" t="inlineStr">
        <is>
          <t>https://www.lepas-sa.co.za/offers/pantera</t>
        </is>
      </c>
      <c r="R670" s="115" t="n">
        <v>186.22</v>
      </c>
      <c r="S670" s="116" t="n">
        <v>2256</v>
      </c>
      <c r="T670" s="116" t="n">
        <v>1471</v>
      </c>
      <c r="U670" s="117">
        <f>IFERROR(S670/T670,"")</f>
        <v/>
      </c>
      <c r="V670" s="116" t="n">
        <v>35</v>
      </c>
      <c r="W670" s="116" t="n">
        <v>27</v>
      </c>
      <c r="X670" s="118">
        <f>IFERROR(W670/S670,"")</f>
        <v/>
      </c>
      <c r="Y670" s="115">
        <f>IFERROR(R670/W670,"")</f>
        <v/>
      </c>
      <c r="Z670" s="115">
        <f>IFERROR(R670/S670*1000,"")</f>
        <v/>
      </c>
      <c r="AA670" s="116" t="n">
        <v>22</v>
      </c>
      <c r="AB670" s="47">
        <f>IFERROR(AA670/W670,"")</f>
        <v/>
      </c>
      <c r="AC670" s="116" t="n">
        <v>723</v>
      </c>
      <c r="AD670" s="116" t="n">
        <v>428</v>
      </c>
      <c r="AE670" s="116" t="n">
        <v>318</v>
      </c>
      <c r="AF670" s="116" t="n">
        <v>172</v>
      </c>
      <c r="AG670" s="116" t="n">
        <v>117</v>
      </c>
      <c r="AH670" s="116" t="n">
        <v>79</v>
      </c>
      <c r="AI670" s="47">
        <f>IFERROR(AC670/S670,"")</f>
        <v/>
      </c>
      <c r="AJ670" s="47">
        <f>IFERROR(AH670/S670,"")</f>
        <v/>
      </c>
      <c r="AK670" s="116" t="n">
        <v>64</v>
      </c>
      <c r="AL670" s="116" t="n">
        <v>0</v>
      </c>
      <c r="AM670" s="118">
        <f>IFERROR(AL670/AA670,"")</f>
        <v/>
      </c>
      <c r="AN670" s="119">
        <f>IFERROR(R670/AL670,"")</f>
        <v/>
      </c>
      <c r="AO670" s="116" t="n">
        <v>0</v>
      </c>
      <c r="AP670" s="47">
        <f>IFERROR(AO670/AL670,"")</f>
        <v/>
      </c>
      <c r="AQ670" s="119">
        <f>IFERROR(R670/AO670,"")</f>
        <v/>
      </c>
      <c r="AR670" s="116" t="n">
        <v>0</v>
      </c>
      <c r="AS670" s="116" t="n">
        <v>0</v>
      </c>
      <c r="AT670" s="116">
        <f>AL670+AR670</f>
        <v/>
      </c>
      <c r="AU670" s="119">
        <f>IFERROR(AO670*Assumptions!$C$26*Assumptions!$C$27*INDEX(Assumptions!$C$18:$C$21,MATCH(H670,Assumptions!$B$18:$B$21,0)),0)</f>
        <v/>
      </c>
    </row>
    <row r="671">
      <c r="A671" s="114" t="n">
        <v>46261</v>
      </c>
      <c r="B671" s="42" t="inlineStr">
        <is>
          <t>Wk 35</t>
        </is>
      </c>
      <c r="C671" s="42" t="inlineStr">
        <is>
          <t>Thu</t>
        </is>
      </c>
      <c r="D671" s="42" t="inlineStr">
        <is>
          <t>Meta (FB/IG)</t>
        </is>
      </c>
      <c r="E671" s="42" t="inlineStr">
        <is>
          <t>Facebook + Instagram</t>
        </is>
      </c>
      <c r="F671" s="42" t="inlineStr">
        <is>
          <t>LEP_ZA_AUG26_META_TD_PANTERA_CONV</t>
        </is>
      </c>
      <c r="G671" s="42" t="inlineStr">
        <is>
          <t>Leads - Website Conversions</t>
        </is>
      </c>
      <c r="H671" s="42" t="inlineStr">
        <is>
          <t>PANTERA</t>
        </is>
      </c>
      <c r="I671" s="42" t="inlineStr">
        <is>
          <t>0% Deposit</t>
        </is>
      </c>
      <c r="J671" s="42" t="inlineStr">
        <is>
          <t>MET_PANTERA_INT_PREMIUM_ZA</t>
        </is>
      </c>
      <c r="K671" s="42" t="inlineStr">
        <is>
          <t>Interest</t>
        </is>
      </c>
      <c r="L671" s="42" t="inlineStr">
        <is>
          <t>PANTERA_VID_15s_NightDrive_v1</t>
        </is>
      </c>
      <c r="M671" s="42" t="inlineStr">
        <is>
          <t>Video 4:5</t>
        </is>
      </c>
      <c r="N671" s="42" t="inlineStr">
        <is>
          <t>Night drive. PANTERA.</t>
        </is>
      </c>
      <c r="O671" s="42" t="inlineStr">
        <is>
          <t>Auction - Cost Cap</t>
        </is>
      </c>
      <c r="P671" s="42" t="inlineStr">
        <is>
          <t>Offsite Conversions</t>
        </is>
      </c>
      <c r="Q671" s="42" t="inlineStr">
        <is>
          <t>https://www.lepas-sa.co.za/offers/pantera</t>
        </is>
      </c>
      <c r="R671" s="115" t="n">
        <v>233.52</v>
      </c>
      <c r="S671" s="116" t="n">
        <v>3436</v>
      </c>
      <c r="T671" s="116" t="n">
        <v>1666</v>
      </c>
      <c r="U671" s="117">
        <f>IFERROR(S671/T671,"")</f>
        <v/>
      </c>
      <c r="V671" s="116" t="n">
        <v>66</v>
      </c>
      <c r="W671" s="116" t="n">
        <v>48</v>
      </c>
      <c r="X671" s="118">
        <f>IFERROR(W671/S671,"")</f>
        <v/>
      </c>
      <c r="Y671" s="115">
        <f>IFERROR(R671/W671,"")</f>
        <v/>
      </c>
      <c r="Z671" s="115">
        <f>IFERROR(R671/S671*1000,"")</f>
        <v/>
      </c>
      <c r="AA671" s="116" t="n">
        <v>43</v>
      </c>
      <c r="AB671" s="47">
        <f>IFERROR(AA671/W671,"")</f>
        <v/>
      </c>
      <c r="AC671" s="116" t="n">
        <v>884</v>
      </c>
      <c r="AD671" s="116" t="n">
        <v>426</v>
      </c>
      <c r="AE671" s="116" t="n">
        <v>444</v>
      </c>
      <c r="AF671" s="116" t="n">
        <v>238</v>
      </c>
      <c r="AG671" s="116" t="n">
        <v>163</v>
      </c>
      <c r="AH671" s="116" t="n">
        <v>93</v>
      </c>
      <c r="AI671" s="47">
        <f>IFERROR(AC671/S671,"")</f>
        <v/>
      </c>
      <c r="AJ671" s="47">
        <f>IFERROR(AH671/S671,"")</f>
        <v/>
      </c>
      <c r="AK671" s="116" t="n">
        <v>81</v>
      </c>
      <c r="AL671" s="116" t="n">
        <v>0</v>
      </c>
      <c r="AM671" s="118">
        <f>IFERROR(AL671/AA671,"")</f>
        <v/>
      </c>
      <c r="AN671" s="119">
        <f>IFERROR(R671/AL671,"")</f>
        <v/>
      </c>
      <c r="AO671" s="116" t="n">
        <v>0</v>
      </c>
      <c r="AP671" s="47">
        <f>IFERROR(AO671/AL671,"")</f>
        <v/>
      </c>
      <c r="AQ671" s="119">
        <f>IFERROR(R671/AO671,"")</f>
        <v/>
      </c>
      <c r="AR671" s="116" t="n">
        <v>0</v>
      </c>
      <c r="AS671" s="116" t="n">
        <v>0</v>
      </c>
      <c r="AT671" s="116">
        <f>AL671+AR671</f>
        <v/>
      </c>
      <c r="AU671" s="119">
        <f>IFERROR(AO671*Assumptions!$C$26*Assumptions!$C$27*INDEX(Assumptions!$C$18:$C$21,MATCH(H671,Assumptions!$B$18:$B$21,0)),0)</f>
        <v/>
      </c>
    </row>
    <row r="672">
      <c r="A672" s="114" t="n">
        <v>46262</v>
      </c>
      <c r="B672" s="42" t="inlineStr">
        <is>
          <t>Wk 35</t>
        </is>
      </c>
      <c r="C672" s="42" t="inlineStr">
        <is>
          <t>Fri</t>
        </is>
      </c>
      <c r="D672" s="42" t="inlineStr">
        <is>
          <t>Meta (FB/IG)</t>
        </is>
      </c>
      <c r="E672" s="42" t="inlineStr">
        <is>
          <t>Facebook + Instagram</t>
        </is>
      </c>
      <c r="F672" s="42" t="inlineStr">
        <is>
          <t>LEP_ZA_AUG26_META_TD_PANTERA_CONV</t>
        </is>
      </c>
      <c r="G672" s="42" t="inlineStr">
        <is>
          <t>Leads - Website Conversions</t>
        </is>
      </c>
      <c r="H672" s="42" t="inlineStr">
        <is>
          <t>PANTERA</t>
        </is>
      </c>
      <c r="I672" s="42" t="inlineStr">
        <is>
          <t>0% Deposit</t>
        </is>
      </c>
      <c r="J672" s="42" t="inlineStr">
        <is>
          <t>MET_PANTERA_INT_PREMIUM_ZA</t>
        </is>
      </c>
      <c r="K672" s="42" t="inlineStr">
        <is>
          <t>Interest</t>
        </is>
      </c>
      <c r="L672" s="42" t="inlineStr">
        <is>
          <t>PANTERA_VID_15s_NightDrive_v1</t>
        </is>
      </c>
      <c r="M672" s="42" t="inlineStr">
        <is>
          <t>Video 4:5</t>
        </is>
      </c>
      <c r="N672" s="42" t="inlineStr">
        <is>
          <t>Night drive. PANTERA.</t>
        </is>
      </c>
      <c r="O672" s="42" t="inlineStr">
        <is>
          <t>Auction - Cost Cap</t>
        </is>
      </c>
      <c r="P672" s="42" t="inlineStr">
        <is>
          <t>Offsite Conversions</t>
        </is>
      </c>
      <c r="Q672" s="42" t="inlineStr">
        <is>
          <t>https://www.lepas-sa.co.za/offers/pantera</t>
        </is>
      </c>
      <c r="R672" s="115" t="n">
        <v>229.34</v>
      </c>
      <c r="S672" s="116" t="n">
        <v>2944</v>
      </c>
      <c r="T672" s="116" t="n">
        <v>1740</v>
      </c>
      <c r="U672" s="117">
        <f>IFERROR(S672/T672,"")</f>
        <v/>
      </c>
      <c r="V672" s="116" t="n">
        <v>48</v>
      </c>
      <c r="W672" s="116" t="n">
        <v>37</v>
      </c>
      <c r="X672" s="118">
        <f>IFERROR(W672/S672,"")</f>
        <v/>
      </c>
      <c r="Y672" s="115">
        <f>IFERROR(R672/W672,"")</f>
        <v/>
      </c>
      <c r="Z672" s="115">
        <f>IFERROR(R672/S672*1000,"")</f>
        <v/>
      </c>
      <c r="AA672" s="116" t="n">
        <v>31</v>
      </c>
      <c r="AB672" s="47">
        <f>IFERROR(AA672/W672,"")</f>
        <v/>
      </c>
      <c r="AC672" s="116" t="n">
        <v>1048</v>
      </c>
      <c r="AD672" s="116" t="n">
        <v>616</v>
      </c>
      <c r="AE672" s="116" t="n">
        <v>494</v>
      </c>
      <c r="AF672" s="116" t="n">
        <v>320</v>
      </c>
      <c r="AG672" s="116" t="n">
        <v>238</v>
      </c>
      <c r="AH672" s="116" t="n">
        <v>149</v>
      </c>
      <c r="AI672" s="47">
        <f>IFERROR(AC672/S672,"")</f>
        <v/>
      </c>
      <c r="AJ672" s="47">
        <f>IFERROR(AH672/S672,"")</f>
        <v/>
      </c>
      <c r="AK672" s="116" t="n">
        <v>79</v>
      </c>
      <c r="AL672" s="116" t="n">
        <v>0</v>
      </c>
      <c r="AM672" s="118">
        <f>IFERROR(AL672/AA672,"")</f>
        <v/>
      </c>
      <c r="AN672" s="119">
        <f>IFERROR(R672/AL672,"")</f>
        <v/>
      </c>
      <c r="AO672" s="116" t="n">
        <v>0</v>
      </c>
      <c r="AP672" s="47">
        <f>IFERROR(AO672/AL672,"")</f>
        <v/>
      </c>
      <c r="AQ672" s="119">
        <f>IFERROR(R672/AO672,"")</f>
        <v/>
      </c>
      <c r="AR672" s="116" t="n">
        <v>0</v>
      </c>
      <c r="AS672" s="116" t="n">
        <v>0</v>
      </c>
      <c r="AT672" s="116">
        <f>AL672+AR672</f>
        <v/>
      </c>
      <c r="AU672" s="119">
        <f>IFERROR(AO672*Assumptions!$C$26*Assumptions!$C$27*INDEX(Assumptions!$C$18:$C$21,MATCH(H672,Assumptions!$B$18:$B$21,0)),0)</f>
        <v/>
      </c>
    </row>
    <row r="673">
      <c r="A673" s="114" t="n">
        <v>46263</v>
      </c>
      <c r="B673" s="42" t="inlineStr">
        <is>
          <t>Wk 35</t>
        </is>
      </c>
      <c r="C673" s="42" t="inlineStr">
        <is>
          <t>Sat</t>
        </is>
      </c>
      <c r="D673" s="42" t="inlineStr">
        <is>
          <t>Meta (FB/IG)</t>
        </is>
      </c>
      <c r="E673" s="42" t="inlineStr">
        <is>
          <t>Facebook + Instagram</t>
        </is>
      </c>
      <c r="F673" s="42" t="inlineStr">
        <is>
          <t>LEP_ZA_AUG26_META_TD_PANTERA_CONV</t>
        </is>
      </c>
      <c r="G673" s="42" t="inlineStr">
        <is>
          <t>Leads - Website Conversions</t>
        </is>
      </c>
      <c r="H673" s="42" t="inlineStr">
        <is>
          <t>PANTERA</t>
        </is>
      </c>
      <c r="I673" s="42" t="inlineStr">
        <is>
          <t>0% Deposit</t>
        </is>
      </c>
      <c r="J673" s="42" t="inlineStr">
        <is>
          <t>MET_PANTERA_INT_PREMIUM_ZA</t>
        </is>
      </c>
      <c r="K673" s="42" t="inlineStr">
        <is>
          <t>Interest</t>
        </is>
      </c>
      <c r="L673" s="42" t="inlineStr">
        <is>
          <t>PANTERA_VID_15s_NightDrive_v1</t>
        </is>
      </c>
      <c r="M673" s="42" t="inlineStr">
        <is>
          <t>Video 4:5</t>
        </is>
      </c>
      <c r="N673" s="42" t="inlineStr">
        <is>
          <t>Night drive. PANTERA.</t>
        </is>
      </c>
      <c r="O673" s="42" t="inlineStr">
        <is>
          <t>Auction - Cost Cap</t>
        </is>
      </c>
      <c r="P673" s="42" t="inlineStr">
        <is>
          <t>Offsite Conversions</t>
        </is>
      </c>
      <c r="Q673" s="42" t="inlineStr">
        <is>
          <t>https://www.lepas-sa.co.za/offers/pantera</t>
        </is>
      </c>
      <c r="R673" s="115" t="n">
        <v>205.18</v>
      </c>
      <c r="S673" s="116" t="n">
        <v>3385</v>
      </c>
      <c r="T673" s="116" t="n">
        <v>2082</v>
      </c>
      <c r="U673" s="117">
        <f>IFERROR(S673/T673,"")</f>
        <v/>
      </c>
      <c r="V673" s="116" t="n">
        <v>31</v>
      </c>
      <c r="W673" s="116" t="n">
        <v>23</v>
      </c>
      <c r="X673" s="118">
        <f>IFERROR(W673/S673,"")</f>
        <v/>
      </c>
      <c r="Y673" s="115">
        <f>IFERROR(R673/W673,"")</f>
        <v/>
      </c>
      <c r="Z673" s="115">
        <f>IFERROR(R673/S673*1000,"")</f>
        <v/>
      </c>
      <c r="AA673" s="116" t="n">
        <v>20</v>
      </c>
      <c r="AB673" s="47">
        <f>IFERROR(AA673/W673,"")</f>
        <v/>
      </c>
      <c r="AC673" s="116" t="n">
        <v>1257</v>
      </c>
      <c r="AD673" s="116" t="n">
        <v>695</v>
      </c>
      <c r="AE673" s="116" t="n">
        <v>502</v>
      </c>
      <c r="AF673" s="116" t="n">
        <v>327</v>
      </c>
      <c r="AG673" s="116" t="n">
        <v>215</v>
      </c>
      <c r="AH673" s="116" t="n">
        <v>120</v>
      </c>
      <c r="AI673" s="47">
        <f>IFERROR(AC673/S673,"")</f>
        <v/>
      </c>
      <c r="AJ673" s="47">
        <f>IFERROR(AH673/S673,"")</f>
        <v/>
      </c>
      <c r="AK673" s="116" t="n">
        <v>68</v>
      </c>
      <c r="AL673" s="116" t="n">
        <v>1</v>
      </c>
      <c r="AM673" s="118">
        <f>IFERROR(AL673/AA673,"")</f>
        <v/>
      </c>
      <c r="AN673" s="119">
        <f>IFERROR(R673/AL673,"")</f>
        <v/>
      </c>
      <c r="AO673" s="116" t="n">
        <v>1</v>
      </c>
      <c r="AP673" s="47">
        <f>IFERROR(AO673/AL673,"")</f>
        <v/>
      </c>
      <c r="AQ673" s="119">
        <f>IFERROR(R673/AO673,"")</f>
        <v/>
      </c>
      <c r="AR673" s="116" t="n">
        <v>1</v>
      </c>
      <c r="AS673" s="116" t="n">
        <v>0</v>
      </c>
      <c r="AT673" s="116">
        <f>AL673+AR673</f>
        <v/>
      </c>
      <c r="AU673" s="119">
        <f>IFERROR(AO673*Assumptions!$C$26*Assumptions!$C$27*INDEX(Assumptions!$C$18:$C$21,MATCH(H673,Assumptions!$B$18:$B$21,0)),0)</f>
        <v/>
      </c>
    </row>
    <row r="674">
      <c r="A674" s="114" t="n">
        <v>46264</v>
      </c>
      <c r="B674" s="42" t="inlineStr">
        <is>
          <t>Wk 35</t>
        </is>
      </c>
      <c r="C674" s="42" t="inlineStr">
        <is>
          <t>Sun</t>
        </is>
      </c>
      <c r="D674" s="42" t="inlineStr">
        <is>
          <t>Meta (FB/IG)</t>
        </is>
      </c>
      <c r="E674" s="42" t="inlineStr">
        <is>
          <t>Facebook + Instagram</t>
        </is>
      </c>
      <c r="F674" s="42" t="inlineStr">
        <is>
          <t>LEP_ZA_AUG26_META_TD_PANTERA_CONV</t>
        </is>
      </c>
      <c r="G674" s="42" t="inlineStr">
        <is>
          <t>Leads - Website Conversions</t>
        </is>
      </c>
      <c r="H674" s="42" t="inlineStr">
        <is>
          <t>PANTERA</t>
        </is>
      </c>
      <c r="I674" s="42" t="inlineStr">
        <is>
          <t>0% Deposit</t>
        </is>
      </c>
      <c r="J674" s="42" t="inlineStr">
        <is>
          <t>MET_PANTERA_INT_PREMIUM_ZA</t>
        </is>
      </c>
      <c r="K674" s="42" t="inlineStr">
        <is>
          <t>Interest</t>
        </is>
      </c>
      <c r="L674" s="42" t="inlineStr">
        <is>
          <t>PANTERA_VID_15s_NightDrive_v1</t>
        </is>
      </c>
      <c r="M674" s="42" t="inlineStr">
        <is>
          <t>Video 4:5</t>
        </is>
      </c>
      <c r="N674" s="42" t="inlineStr">
        <is>
          <t>Night drive. PANTERA.</t>
        </is>
      </c>
      <c r="O674" s="42" t="inlineStr">
        <is>
          <t>Auction - Cost Cap</t>
        </is>
      </c>
      <c r="P674" s="42" t="inlineStr">
        <is>
          <t>Offsite Conversions</t>
        </is>
      </c>
      <c r="Q674" s="42" t="inlineStr">
        <is>
          <t>https://www.lepas-sa.co.za/offers/pantera</t>
        </is>
      </c>
      <c r="R674" s="115" t="n">
        <v>175.52</v>
      </c>
      <c r="S674" s="116" t="n">
        <v>1986</v>
      </c>
      <c r="T674" s="116" t="n">
        <v>984</v>
      </c>
      <c r="U674" s="117">
        <f>IFERROR(S674/T674,"")</f>
        <v/>
      </c>
      <c r="V674" s="116" t="n">
        <v>25</v>
      </c>
      <c r="W674" s="116" t="n">
        <v>20</v>
      </c>
      <c r="X674" s="118">
        <f>IFERROR(W674/S674,"")</f>
        <v/>
      </c>
      <c r="Y674" s="115">
        <f>IFERROR(R674/W674,"")</f>
        <v/>
      </c>
      <c r="Z674" s="115">
        <f>IFERROR(R674/S674*1000,"")</f>
        <v/>
      </c>
      <c r="AA674" s="116" t="n">
        <v>16</v>
      </c>
      <c r="AB674" s="47">
        <f>IFERROR(AA674/W674,"")</f>
        <v/>
      </c>
      <c r="AC674" s="116" t="n">
        <v>684</v>
      </c>
      <c r="AD674" s="116" t="n">
        <v>360</v>
      </c>
      <c r="AE674" s="116" t="n">
        <v>315</v>
      </c>
      <c r="AF674" s="116" t="n">
        <v>179</v>
      </c>
      <c r="AG674" s="116" t="n">
        <v>127</v>
      </c>
      <c r="AH674" s="116" t="n">
        <v>86</v>
      </c>
      <c r="AI674" s="47">
        <f>IFERROR(AC674/S674,"")</f>
        <v/>
      </c>
      <c r="AJ674" s="47">
        <f>IFERROR(AH674/S674,"")</f>
        <v/>
      </c>
      <c r="AK674" s="116" t="n">
        <v>52</v>
      </c>
      <c r="AL674" s="116" t="n">
        <v>0</v>
      </c>
      <c r="AM674" s="118">
        <f>IFERROR(AL674/AA674,"")</f>
        <v/>
      </c>
      <c r="AN674" s="119">
        <f>IFERROR(R674/AL674,"")</f>
        <v/>
      </c>
      <c r="AO674" s="116" t="n">
        <v>0</v>
      </c>
      <c r="AP674" s="47">
        <f>IFERROR(AO674/AL674,"")</f>
        <v/>
      </c>
      <c r="AQ674" s="119">
        <f>IFERROR(R674/AO674,"")</f>
        <v/>
      </c>
      <c r="AR674" s="116" t="n">
        <v>0</v>
      </c>
      <c r="AS674" s="116" t="n">
        <v>0</v>
      </c>
      <c r="AT674" s="116">
        <f>AL674+AR674</f>
        <v/>
      </c>
      <c r="AU674" s="119">
        <f>IFERROR(AO674*Assumptions!$C$26*Assumptions!$C$27*INDEX(Assumptions!$C$18:$C$21,MATCH(H674,Assumptions!$B$18:$B$21,0)),0)</f>
        <v/>
      </c>
    </row>
    <row r="675">
      <c r="A675" s="114" t="n">
        <v>46265</v>
      </c>
      <c r="B675" s="42" t="inlineStr">
        <is>
          <t>Wk 36</t>
        </is>
      </c>
      <c r="C675" s="42" t="inlineStr">
        <is>
          <t>Mon</t>
        </is>
      </c>
      <c r="D675" s="42" t="inlineStr">
        <is>
          <t>Meta (FB/IG)</t>
        </is>
      </c>
      <c r="E675" s="42" t="inlineStr">
        <is>
          <t>Facebook + Instagram</t>
        </is>
      </c>
      <c r="F675" s="42" t="inlineStr">
        <is>
          <t>LEP_ZA_AUG26_META_TD_PANTERA_CONV</t>
        </is>
      </c>
      <c r="G675" s="42" t="inlineStr">
        <is>
          <t>Leads - Website Conversions</t>
        </is>
      </c>
      <c r="H675" s="42" t="inlineStr">
        <is>
          <t>PANTERA</t>
        </is>
      </c>
      <c r="I675" s="42" t="inlineStr">
        <is>
          <t>0% Deposit</t>
        </is>
      </c>
      <c r="J675" s="42" t="inlineStr">
        <is>
          <t>MET_PANTERA_INT_PREMIUM_ZA</t>
        </is>
      </c>
      <c r="K675" s="42" t="inlineStr">
        <is>
          <t>Interest</t>
        </is>
      </c>
      <c r="L675" s="42" t="inlineStr">
        <is>
          <t>PANTERA_VID_15s_NightDrive_v1</t>
        </is>
      </c>
      <c r="M675" s="42" t="inlineStr">
        <is>
          <t>Video 4:5</t>
        </is>
      </c>
      <c r="N675" s="42" t="inlineStr">
        <is>
          <t>Night drive. PANTERA.</t>
        </is>
      </c>
      <c r="O675" s="42" t="inlineStr">
        <is>
          <t>Auction - Cost Cap</t>
        </is>
      </c>
      <c r="P675" s="42" t="inlineStr">
        <is>
          <t>Offsite Conversions</t>
        </is>
      </c>
      <c r="Q675" s="42" t="inlineStr">
        <is>
          <t>https://www.lepas-sa.co.za/offers/pantera</t>
        </is>
      </c>
      <c r="R675" s="115" t="n">
        <v>185.91</v>
      </c>
      <c r="S675" s="116" t="n">
        <v>2582</v>
      </c>
      <c r="T675" s="116" t="n">
        <v>1469</v>
      </c>
      <c r="U675" s="117">
        <f>IFERROR(S675/T675,"")</f>
        <v/>
      </c>
      <c r="V675" s="116" t="n">
        <v>19</v>
      </c>
      <c r="W675" s="116" t="n">
        <v>15</v>
      </c>
      <c r="X675" s="118">
        <f>IFERROR(W675/S675,"")</f>
        <v/>
      </c>
      <c r="Y675" s="115">
        <f>IFERROR(R675/W675,"")</f>
        <v/>
      </c>
      <c r="Z675" s="115">
        <f>IFERROR(R675/S675*1000,"")</f>
        <v/>
      </c>
      <c r="AA675" s="116" t="n">
        <v>13</v>
      </c>
      <c r="AB675" s="47">
        <f>IFERROR(AA675/W675,"")</f>
        <v/>
      </c>
      <c r="AC675" s="116" t="n">
        <v>923</v>
      </c>
      <c r="AD675" s="116" t="n">
        <v>508</v>
      </c>
      <c r="AE675" s="116" t="n">
        <v>409</v>
      </c>
      <c r="AF675" s="116" t="n">
        <v>233</v>
      </c>
      <c r="AG675" s="116" t="n">
        <v>159</v>
      </c>
      <c r="AH675" s="116" t="n">
        <v>113</v>
      </c>
      <c r="AI675" s="47">
        <f>IFERROR(AC675/S675,"")</f>
        <v/>
      </c>
      <c r="AJ675" s="47">
        <f>IFERROR(AH675/S675,"")</f>
        <v/>
      </c>
      <c r="AK675" s="116" t="n">
        <v>80</v>
      </c>
      <c r="AL675" s="116" t="n">
        <v>0</v>
      </c>
      <c r="AM675" s="118">
        <f>IFERROR(AL675/AA675,"")</f>
        <v/>
      </c>
      <c r="AN675" s="119">
        <f>IFERROR(R675/AL675,"")</f>
        <v/>
      </c>
      <c r="AO675" s="116" t="n">
        <v>0</v>
      </c>
      <c r="AP675" s="47">
        <f>IFERROR(AO675/AL675,"")</f>
        <v/>
      </c>
      <c r="AQ675" s="119">
        <f>IFERROR(R675/AO675,"")</f>
        <v/>
      </c>
      <c r="AR675" s="116" t="n">
        <v>0</v>
      </c>
      <c r="AS675" s="116" t="n">
        <v>0</v>
      </c>
      <c r="AT675" s="116">
        <f>AL675+AR675</f>
        <v/>
      </c>
      <c r="AU675" s="119">
        <f>IFERROR(AO675*Assumptions!$C$26*Assumptions!$C$27*INDEX(Assumptions!$C$18:$C$21,MATCH(H675,Assumptions!$B$18:$B$21,0)),0)</f>
        <v/>
      </c>
    </row>
    <row r="676">
      <c r="A676" s="114" t="n">
        <v>46235</v>
      </c>
      <c r="B676" s="42" t="inlineStr">
        <is>
          <t>Wk 31</t>
        </is>
      </c>
      <c r="C676" s="42" t="inlineStr">
        <is>
          <t>Sat</t>
        </is>
      </c>
      <c r="D676" s="42" t="inlineStr">
        <is>
          <t>Meta (FB/IG)</t>
        </is>
      </c>
      <c r="E676" s="42" t="inlineStr">
        <is>
          <t>Facebook + Instagram</t>
        </is>
      </c>
      <c r="F676" s="42" t="inlineStr">
        <is>
          <t>LEP_ZA_AUG26_META_TD_PANTERA_CONV</t>
        </is>
      </c>
      <c r="G676" s="42" t="inlineStr">
        <is>
          <t>Leads - Website Conversions</t>
        </is>
      </c>
      <c r="H676" s="42" t="inlineStr">
        <is>
          <t>PANTERA</t>
        </is>
      </c>
      <c r="I676" s="42" t="inlineStr">
        <is>
          <t>0% Deposit</t>
        </is>
      </c>
      <c r="J676" s="42" t="inlineStr">
        <is>
          <t>MET_PANTERA_INT_PREMIUM_ZA</t>
        </is>
      </c>
      <c r="K676" s="42" t="inlineStr">
        <is>
          <t>Interest</t>
        </is>
      </c>
      <c r="L676" s="42" t="inlineStr">
        <is>
          <t>PANTERA_CAR_5card_Premium_v1</t>
        </is>
      </c>
      <c r="M676" s="42" t="inlineStr">
        <is>
          <t>Carousel</t>
        </is>
      </c>
      <c r="N676" s="42" t="inlineStr">
        <is>
          <t>Five things that surprise PANTERA drivers</t>
        </is>
      </c>
      <c r="O676" s="42" t="inlineStr">
        <is>
          <t>Auction - Cost Cap</t>
        </is>
      </c>
      <c r="P676" s="42" t="inlineStr">
        <is>
          <t>Offsite Conversions</t>
        </is>
      </c>
      <c r="Q676" s="42" t="inlineStr">
        <is>
          <t>https://www.lepas-sa.co.za/offers/pantera</t>
        </is>
      </c>
      <c r="R676" s="115" t="n">
        <v>138.79</v>
      </c>
      <c r="S676" s="116" t="n">
        <v>1666</v>
      </c>
      <c r="T676" s="116" t="n">
        <v>1123</v>
      </c>
      <c r="U676" s="117">
        <f>IFERROR(S676/T676,"")</f>
        <v/>
      </c>
      <c r="V676" s="116" t="n">
        <v>38</v>
      </c>
      <c r="W676" s="116" t="n">
        <v>28</v>
      </c>
      <c r="X676" s="118">
        <f>IFERROR(W676/S676,"")</f>
        <v/>
      </c>
      <c r="Y676" s="115">
        <f>IFERROR(R676/W676,"")</f>
        <v/>
      </c>
      <c r="Z676" s="115">
        <f>IFERROR(R676/S676*1000,"")</f>
        <v/>
      </c>
      <c r="AA676" s="116" t="n">
        <v>24</v>
      </c>
      <c r="AB676" s="47">
        <f>IFERROR(AA676/W676,"")</f>
        <v/>
      </c>
      <c r="AC676" s="116" t="n">
        <v>0</v>
      </c>
      <c r="AD676" s="116" t="n">
        <v>0</v>
      </c>
      <c r="AE676" s="116" t="n">
        <v>0</v>
      </c>
      <c r="AF676" s="116" t="n">
        <v>0</v>
      </c>
      <c r="AG676" s="116" t="n">
        <v>0</v>
      </c>
      <c r="AH676" s="116" t="n">
        <v>0</v>
      </c>
      <c r="AI676" s="47">
        <f>IFERROR(AC676/S676,"")</f>
        <v/>
      </c>
      <c r="AJ676" s="47">
        <f>IFERROR(AH676/S676,"")</f>
        <v/>
      </c>
      <c r="AK676" s="116" t="n">
        <v>54</v>
      </c>
      <c r="AL676" s="116" t="n">
        <v>1</v>
      </c>
      <c r="AM676" s="118">
        <f>IFERROR(AL676/AA676,"")</f>
        <v/>
      </c>
      <c r="AN676" s="119">
        <f>IFERROR(R676/AL676,"")</f>
        <v/>
      </c>
      <c r="AO676" s="116" t="n">
        <v>1</v>
      </c>
      <c r="AP676" s="47">
        <f>IFERROR(AO676/AL676,"")</f>
        <v/>
      </c>
      <c r="AQ676" s="119">
        <f>IFERROR(R676/AO676,"")</f>
        <v/>
      </c>
      <c r="AR676" s="116" t="n">
        <v>1</v>
      </c>
      <c r="AS676" s="116" t="n">
        <v>1</v>
      </c>
      <c r="AT676" s="116">
        <f>AL676+AR676</f>
        <v/>
      </c>
      <c r="AU676" s="119">
        <f>IFERROR(AO676*Assumptions!$C$26*Assumptions!$C$27*INDEX(Assumptions!$C$18:$C$21,MATCH(H676,Assumptions!$B$18:$B$21,0)),0)</f>
        <v/>
      </c>
    </row>
    <row r="677">
      <c r="A677" s="114" t="n">
        <v>46236</v>
      </c>
      <c r="B677" s="42" t="inlineStr">
        <is>
          <t>Wk 31</t>
        </is>
      </c>
      <c r="C677" s="42" t="inlineStr">
        <is>
          <t>Sun</t>
        </is>
      </c>
      <c r="D677" s="42" t="inlineStr">
        <is>
          <t>Meta (FB/IG)</t>
        </is>
      </c>
      <c r="E677" s="42" t="inlineStr">
        <is>
          <t>Facebook + Instagram</t>
        </is>
      </c>
      <c r="F677" s="42" t="inlineStr">
        <is>
          <t>LEP_ZA_AUG26_META_TD_PANTERA_CONV</t>
        </is>
      </c>
      <c r="G677" s="42" t="inlineStr">
        <is>
          <t>Leads - Website Conversions</t>
        </is>
      </c>
      <c r="H677" s="42" t="inlineStr">
        <is>
          <t>PANTERA</t>
        </is>
      </c>
      <c r="I677" s="42" t="inlineStr">
        <is>
          <t>0% Deposit</t>
        </is>
      </c>
      <c r="J677" s="42" t="inlineStr">
        <is>
          <t>MET_PANTERA_INT_PREMIUM_ZA</t>
        </is>
      </c>
      <c r="K677" s="42" t="inlineStr">
        <is>
          <t>Interest</t>
        </is>
      </c>
      <c r="L677" s="42" t="inlineStr">
        <is>
          <t>PANTERA_CAR_5card_Premium_v1</t>
        </is>
      </c>
      <c r="M677" s="42" t="inlineStr">
        <is>
          <t>Carousel</t>
        </is>
      </c>
      <c r="N677" s="42" t="inlineStr">
        <is>
          <t>Five things that surprise PANTERA drivers</t>
        </is>
      </c>
      <c r="O677" s="42" t="inlineStr">
        <is>
          <t>Auction - Cost Cap</t>
        </is>
      </c>
      <c r="P677" s="42" t="inlineStr">
        <is>
          <t>Offsite Conversions</t>
        </is>
      </c>
      <c r="Q677" s="42" t="inlineStr">
        <is>
          <t>https://www.lepas-sa.co.za/offers/pantera</t>
        </is>
      </c>
      <c r="R677" s="115" t="n">
        <v>98.66</v>
      </c>
      <c r="S677" s="116" t="n">
        <v>1616</v>
      </c>
      <c r="T677" s="116" t="n">
        <v>1066</v>
      </c>
      <c r="U677" s="117">
        <f>IFERROR(S677/T677,"")</f>
        <v/>
      </c>
      <c r="V677" s="116" t="n">
        <v>28</v>
      </c>
      <c r="W677" s="116" t="n">
        <v>22</v>
      </c>
      <c r="X677" s="118">
        <f>IFERROR(W677/S677,"")</f>
        <v/>
      </c>
      <c r="Y677" s="115">
        <f>IFERROR(R677/W677,"")</f>
        <v/>
      </c>
      <c r="Z677" s="115">
        <f>IFERROR(R677/S677*1000,"")</f>
        <v/>
      </c>
      <c r="AA677" s="116" t="n">
        <v>20</v>
      </c>
      <c r="AB677" s="47">
        <f>IFERROR(AA677/W677,"")</f>
        <v/>
      </c>
      <c r="AC677" s="116" t="n">
        <v>0</v>
      </c>
      <c r="AD677" s="116" t="n">
        <v>0</v>
      </c>
      <c r="AE677" s="116" t="n">
        <v>0</v>
      </c>
      <c r="AF677" s="116" t="n">
        <v>0</v>
      </c>
      <c r="AG677" s="116" t="n">
        <v>0</v>
      </c>
      <c r="AH677" s="116" t="n">
        <v>0</v>
      </c>
      <c r="AI677" s="47">
        <f>IFERROR(AC677/S677,"")</f>
        <v/>
      </c>
      <c r="AJ677" s="47">
        <f>IFERROR(AH677/S677,"")</f>
        <v/>
      </c>
      <c r="AK677" s="116" t="n">
        <v>57</v>
      </c>
      <c r="AL677" s="116" t="n">
        <v>1</v>
      </c>
      <c r="AM677" s="118">
        <f>IFERROR(AL677/AA677,"")</f>
        <v/>
      </c>
      <c r="AN677" s="119">
        <f>IFERROR(R677/AL677,"")</f>
        <v/>
      </c>
      <c r="AO677" s="116" t="n">
        <v>1</v>
      </c>
      <c r="AP677" s="47">
        <f>IFERROR(AO677/AL677,"")</f>
        <v/>
      </c>
      <c r="AQ677" s="119">
        <f>IFERROR(R677/AO677,"")</f>
        <v/>
      </c>
      <c r="AR677" s="116" t="n">
        <v>0</v>
      </c>
      <c r="AS677" s="116" t="n">
        <v>0</v>
      </c>
      <c r="AT677" s="116">
        <f>AL677+AR677</f>
        <v/>
      </c>
      <c r="AU677" s="119">
        <f>IFERROR(AO677*Assumptions!$C$26*Assumptions!$C$27*INDEX(Assumptions!$C$18:$C$21,MATCH(H677,Assumptions!$B$18:$B$21,0)),0)</f>
        <v/>
      </c>
    </row>
    <row r="678">
      <c r="A678" s="114" t="n">
        <v>46237</v>
      </c>
      <c r="B678" s="42" t="inlineStr">
        <is>
          <t>Wk 32</t>
        </is>
      </c>
      <c r="C678" s="42" t="inlineStr">
        <is>
          <t>Mon</t>
        </is>
      </c>
      <c r="D678" s="42" t="inlineStr">
        <is>
          <t>Meta (FB/IG)</t>
        </is>
      </c>
      <c r="E678" s="42" t="inlineStr">
        <is>
          <t>Facebook + Instagram</t>
        </is>
      </c>
      <c r="F678" s="42" t="inlineStr">
        <is>
          <t>LEP_ZA_AUG26_META_TD_PANTERA_CONV</t>
        </is>
      </c>
      <c r="G678" s="42" t="inlineStr">
        <is>
          <t>Leads - Website Conversions</t>
        </is>
      </c>
      <c r="H678" s="42" t="inlineStr">
        <is>
          <t>PANTERA</t>
        </is>
      </c>
      <c r="I678" s="42" t="inlineStr">
        <is>
          <t>0% Deposit</t>
        </is>
      </c>
      <c r="J678" s="42" t="inlineStr">
        <is>
          <t>MET_PANTERA_INT_PREMIUM_ZA</t>
        </is>
      </c>
      <c r="K678" s="42" t="inlineStr">
        <is>
          <t>Interest</t>
        </is>
      </c>
      <c r="L678" s="42" t="inlineStr">
        <is>
          <t>PANTERA_CAR_5card_Premium_v1</t>
        </is>
      </c>
      <c r="M678" s="42" t="inlineStr">
        <is>
          <t>Carousel</t>
        </is>
      </c>
      <c r="N678" s="42" t="inlineStr">
        <is>
          <t>Five things that surprise PANTERA drivers</t>
        </is>
      </c>
      <c r="O678" s="42" t="inlineStr">
        <is>
          <t>Auction - Cost Cap</t>
        </is>
      </c>
      <c r="P678" s="42" t="inlineStr">
        <is>
          <t>Offsite Conversions</t>
        </is>
      </c>
      <c r="Q678" s="42" t="inlineStr">
        <is>
          <t>https://www.lepas-sa.co.za/offers/pantera</t>
        </is>
      </c>
      <c r="R678" s="115" t="n">
        <v>99.18000000000001</v>
      </c>
      <c r="S678" s="116" t="n">
        <v>1400</v>
      </c>
      <c r="T678" s="116" t="n">
        <v>1011</v>
      </c>
      <c r="U678" s="117">
        <f>IFERROR(S678/T678,"")</f>
        <v/>
      </c>
      <c r="V678" s="116" t="n">
        <v>36</v>
      </c>
      <c r="W678" s="116" t="n">
        <v>27</v>
      </c>
      <c r="X678" s="118">
        <f>IFERROR(W678/S678,"")</f>
        <v/>
      </c>
      <c r="Y678" s="115">
        <f>IFERROR(R678/W678,"")</f>
        <v/>
      </c>
      <c r="Z678" s="115">
        <f>IFERROR(R678/S678*1000,"")</f>
        <v/>
      </c>
      <c r="AA678" s="116" t="n">
        <v>22</v>
      </c>
      <c r="AB678" s="47">
        <f>IFERROR(AA678/W678,"")</f>
        <v/>
      </c>
      <c r="AC678" s="116" t="n">
        <v>0</v>
      </c>
      <c r="AD678" s="116" t="n">
        <v>0</v>
      </c>
      <c r="AE678" s="116" t="n">
        <v>0</v>
      </c>
      <c r="AF678" s="116" t="n">
        <v>0</v>
      </c>
      <c r="AG678" s="116" t="n">
        <v>0</v>
      </c>
      <c r="AH678" s="116" t="n">
        <v>0</v>
      </c>
      <c r="AI678" s="47">
        <f>IFERROR(AC678/S678,"")</f>
        <v/>
      </c>
      <c r="AJ678" s="47">
        <f>IFERROR(AH678/S678,"")</f>
        <v/>
      </c>
      <c r="AK678" s="116" t="n">
        <v>21</v>
      </c>
      <c r="AL678" s="116" t="n">
        <v>1</v>
      </c>
      <c r="AM678" s="118">
        <f>IFERROR(AL678/AA678,"")</f>
        <v/>
      </c>
      <c r="AN678" s="119">
        <f>IFERROR(R678/AL678,"")</f>
        <v/>
      </c>
      <c r="AO678" s="116" t="n">
        <v>0</v>
      </c>
      <c r="AP678" s="47">
        <f>IFERROR(AO678/AL678,"")</f>
        <v/>
      </c>
      <c r="AQ678" s="119">
        <f>IFERROR(R678/AO678,"")</f>
        <v/>
      </c>
      <c r="AR678" s="116" t="n">
        <v>0</v>
      </c>
      <c r="AS678" s="116" t="n">
        <v>0</v>
      </c>
      <c r="AT678" s="116">
        <f>AL678+AR678</f>
        <v/>
      </c>
      <c r="AU678" s="119">
        <f>IFERROR(AO678*Assumptions!$C$26*Assumptions!$C$27*INDEX(Assumptions!$C$18:$C$21,MATCH(H678,Assumptions!$B$18:$B$21,0)),0)</f>
        <v/>
      </c>
    </row>
    <row r="679">
      <c r="A679" s="114" t="n">
        <v>46238</v>
      </c>
      <c r="B679" s="42" t="inlineStr">
        <is>
          <t>Wk 32</t>
        </is>
      </c>
      <c r="C679" s="42" t="inlineStr">
        <is>
          <t>Tue</t>
        </is>
      </c>
      <c r="D679" s="42" t="inlineStr">
        <is>
          <t>Meta (FB/IG)</t>
        </is>
      </c>
      <c r="E679" s="42" t="inlineStr">
        <is>
          <t>Facebook + Instagram</t>
        </is>
      </c>
      <c r="F679" s="42" t="inlineStr">
        <is>
          <t>LEP_ZA_AUG26_META_TD_PANTERA_CONV</t>
        </is>
      </c>
      <c r="G679" s="42" t="inlineStr">
        <is>
          <t>Leads - Website Conversions</t>
        </is>
      </c>
      <c r="H679" s="42" t="inlineStr">
        <is>
          <t>PANTERA</t>
        </is>
      </c>
      <c r="I679" s="42" t="inlineStr">
        <is>
          <t>0% Deposit</t>
        </is>
      </c>
      <c r="J679" s="42" t="inlineStr">
        <is>
          <t>MET_PANTERA_INT_PREMIUM_ZA</t>
        </is>
      </c>
      <c r="K679" s="42" t="inlineStr">
        <is>
          <t>Interest</t>
        </is>
      </c>
      <c r="L679" s="42" t="inlineStr">
        <is>
          <t>PANTERA_CAR_5card_Premium_v1</t>
        </is>
      </c>
      <c r="M679" s="42" t="inlineStr">
        <is>
          <t>Carousel</t>
        </is>
      </c>
      <c r="N679" s="42" t="inlineStr">
        <is>
          <t>Five things that surprise PANTERA drivers</t>
        </is>
      </c>
      <c r="O679" s="42" t="inlineStr">
        <is>
          <t>Auction - Cost Cap</t>
        </is>
      </c>
      <c r="P679" s="42" t="inlineStr">
        <is>
          <t>Offsite Conversions</t>
        </is>
      </c>
      <c r="Q679" s="42" t="inlineStr">
        <is>
          <t>https://www.lepas-sa.co.za/offers/pantera</t>
        </is>
      </c>
      <c r="R679" s="115" t="n">
        <v>139.34</v>
      </c>
      <c r="S679" s="116" t="n">
        <v>2054</v>
      </c>
      <c r="T679" s="116" t="n">
        <v>1312</v>
      </c>
      <c r="U679" s="117">
        <f>IFERROR(S679/T679,"")</f>
        <v/>
      </c>
      <c r="V679" s="116" t="n">
        <v>36</v>
      </c>
      <c r="W679" s="116" t="n">
        <v>30</v>
      </c>
      <c r="X679" s="118">
        <f>IFERROR(W679/S679,"")</f>
        <v/>
      </c>
      <c r="Y679" s="115">
        <f>IFERROR(R679/W679,"")</f>
        <v/>
      </c>
      <c r="Z679" s="115">
        <f>IFERROR(R679/S679*1000,"")</f>
        <v/>
      </c>
      <c r="AA679" s="116" t="n">
        <v>25</v>
      </c>
      <c r="AB679" s="47">
        <f>IFERROR(AA679/W679,"")</f>
        <v/>
      </c>
      <c r="AC679" s="116" t="n">
        <v>0</v>
      </c>
      <c r="AD679" s="116" t="n">
        <v>0</v>
      </c>
      <c r="AE679" s="116" t="n">
        <v>0</v>
      </c>
      <c r="AF679" s="116" t="n">
        <v>0</v>
      </c>
      <c r="AG679" s="116" t="n">
        <v>0</v>
      </c>
      <c r="AH679" s="116" t="n">
        <v>0</v>
      </c>
      <c r="AI679" s="47">
        <f>IFERROR(AC679/S679,"")</f>
        <v/>
      </c>
      <c r="AJ679" s="47">
        <f>IFERROR(AH679/S679,"")</f>
        <v/>
      </c>
      <c r="AK679" s="116" t="n">
        <v>50</v>
      </c>
      <c r="AL679" s="116" t="n">
        <v>0</v>
      </c>
      <c r="AM679" s="118">
        <f>IFERROR(AL679/AA679,"")</f>
        <v/>
      </c>
      <c r="AN679" s="119">
        <f>IFERROR(R679/AL679,"")</f>
        <v/>
      </c>
      <c r="AO679" s="116" t="n">
        <v>0</v>
      </c>
      <c r="AP679" s="47">
        <f>IFERROR(AO679/AL679,"")</f>
        <v/>
      </c>
      <c r="AQ679" s="119">
        <f>IFERROR(R679/AO679,"")</f>
        <v/>
      </c>
      <c r="AR679" s="116" t="n">
        <v>0</v>
      </c>
      <c r="AS679" s="116" t="n">
        <v>0</v>
      </c>
      <c r="AT679" s="116">
        <f>AL679+AR679</f>
        <v/>
      </c>
      <c r="AU679" s="119">
        <f>IFERROR(AO679*Assumptions!$C$26*Assumptions!$C$27*INDEX(Assumptions!$C$18:$C$21,MATCH(H679,Assumptions!$B$18:$B$21,0)),0)</f>
        <v/>
      </c>
    </row>
    <row r="680">
      <c r="A680" s="114" t="n">
        <v>46239</v>
      </c>
      <c r="B680" s="42" t="inlineStr">
        <is>
          <t>Wk 32</t>
        </is>
      </c>
      <c r="C680" s="42" t="inlineStr">
        <is>
          <t>Wed</t>
        </is>
      </c>
      <c r="D680" s="42" t="inlineStr">
        <is>
          <t>Meta (FB/IG)</t>
        </is>
      </c>
      <c r="E680" s="42" t="inlineStr">
        <is>
          <t>Facebook + Instagram</t>
        </is>
      </c>
      <c r="F680" s="42" t="inlineStr">
        <is>
          <t>LEP_ZA_AUG26_META_TD_PANTERA_CONV</t>
        </is>
      </c>
      <c r="G680" s="42" t="inlineStr">
        <is>
          <t>Leads - Website Conversions</t>
        </is>
      </c>
      <c r="H680" s="42" t="inlineStr">
        <is>
          <t>PANTERA</t>
        </is>
      </c>
      <c r="I680" s="42" t="inlineStr">
        <is>
          <t>0% Deposit</t>
        </is>
      </c>
      <c r="J680" s="42" t="inlineStr">
        <is>
          <t>MET_PANTERA_INT_PREMIUM_ZA</t>
        </is>
      </c>
      <c r="K680" s="42" t="inlineStr">
        <is>
          <t>Interest</t>
        </is>
      </c>
      <c r="L680" s="42" t="inlineStr">
        <is>
          <t>PANTERA_CAR_5card_Premium_v1</t>
        </is>
      </c>
      <c r="M680" s="42" t="inlineStr">
        <is>
          <t>Carousel</t>
        </is>
      </c>
      <c r="N680" s="42" t="inlineStr">
        <is>
          <t>Five things that surprise PANTERA drivers</t>
        </is>
      </c>
      <c r="O680" s="42" t="inlineStr">
        <is>
          <t>Auction - Cost Cap</t>
        </is>
      </c>
      <c r="P680" s="42" t="inlineStr">
        <is>
          <t>Offsite Conversions</t>
        </is>
      </c>
      <c r="Q680" s="42" t="inlineStr">
        <is>
          <t>https://www.lepas-sa.co.za/offers/pantera</t>
        </is>
      </c>
      <c r="R680" s="115" t="n">
        <v>125.22</v>
      </c>
      <c r="S680" s="116" t="n">
        <v>1344</v>
      </c>
      <c r="T680" s="116" t="n">
        <v>935</v>
      </c>
      <c r="U680" s="117">
        <f>IFERROR(S680/T680,"")</f>
        <v/>
      </c>
      <c r="V680" s="116" t="n">
        <v>20</v>
      </c>
      <c r="W680" s="116" t="n">
        <v>15</v>
      </c>
      <c r="X680" s="118">
        <f>IFERROR(W680/S680,"")</f>
        <v/>
      </c>
      <c r="Y680" s="115">
        <f>IFERROR(R680/W680,"")</f>
        <v/>
      </c>
      <c r="Z680" s="115">
        <f>IFERROR(R680/S680*1000,"")</f>
        <v/>
      </c>
      <c r="AA680" s="116" t="n">
        <v>13</v>
      </c>
      <c r="AB680" s="47">
        <f>IFERROR(AA680/W680,"")</f>
        <v/>
      </c>
      <c r="AC680" s="116" t="n">
        <v>0</v>
      </c>
      <c r="AD680" s="116" t="n">
        <v>0</v>
      </c>
      <c r="AE680" s="116" t="n">
        <v>0</v>
      </c>
      <c r="AF680" s="116" t="n">
        <v>0</v>
      </c>
      <c r="AG680" s="116" t="n">
        <v>0</v>
      </c>
      <c r="AH680" s="116" t="n">
        <v>0</v>
      </c>
      <c r="AI680" s="47">
        <f>IFERROR(AC680/S680,"")</f>
        <v/>
      </c>
      <c r="AJ680" s="47">
        <f>IFERROR(AH680/S680,"")</f>
        <v/>
      </c>
      <c r="AK680" s="116" t="n">
        <v>16</v>
      </c>
      <c r="AL680" s="116" t="n">
        <v>1</v>
      </c>
      <c r="AM680" s="118">
        <f>IFERROR(AL680/AA680,"")</f>
        <v/>
      </c>
      <c r="AN680" s="119">
        <f>IFERROR(R680/AL680,"")</f>
        <v/>
      </c>
      <c r="AO680" s="116" t="n">
        <v>0</v>
      </c>
      <c r="AP680" s="47">
        <f>IFERROR(AO680/AL680,"")</f>
        <v/>
      </c>
      <c r="AQ680" s="119">
        <f>IFERROR(R680/AO680,"")</f>
        <v/>
      </c>
      <c r="AR680" s="116" t="n">
        <v>1</v>
      </c>
      <c r="AS680" s="116" t="n">
        <v>0</v>
      </c>
      <c r="AT680" s="116">
        <f>AL680+AR680</f>
        <v/>
      </c>
      <c r="AU680" s="119">
        <f>IFERROR(AO680*Assumptions!$C$26*Assumptions!$C$27*INDEX(Assumptions!$C$18:$C$21,MATCH(H680,Assumptions!$B$18:$B$21,0)),0)</f>
        <v/>
      </c>
    </row>
    <row r="681">
      <c r="A681" s="114" t="n">
        <v>46240</v>
      </c>
      <c r="B681" s="42" t="inlineStr">
        <is>
          <t>Wk 32</t>
        </is>
      </c>
      <c r="C681" s="42" t="inlineStr">
        <is>
          <t>Thu</t>
        </is>
      </c>
      <c r="D681" s="42" t="inlineStr">
        <is>
          <t>Meta (FB/IG)</t>
        </is>
      </c>
      <c r="E681" s="42" t="inlineStr">
        <is>
          <t>Facebook + Instagram</t>
        </is>
      </c>
      <c r="F681" s="42" t="inlineStr">
        <is>
          <t>LEP_ZA_AUG26_META_TD_PANTERA_CONV</t>
        </is>
      </c>
      <c r="G681" s="42" t="inlineStr">
        <is>
          <t>Leads - Website Conversions</t>
        </is>
      </c>
      <c r="H681" s="42" t="inlineStr">
        <is>
          <t>PANTERA</t>
        </is>
      </c>
      <c r="I681" s="42" t="inlineStr">
        <is>
          <t>0% Deposit</t>
        </is>
      </c>
      <c r="J681" s="42" t="inlineStr">
        <is>
          <t>MET_PANTERA_INT_PREMIUM_ZA</t>
        </is>
      </c>
      <c r="K681" s="42" t="inlineStr">
        <is>
          <t>Interest</t>
        </is>
      </c>
      <c r="L681" s="42" t="inlineStr">
        <is>
          <t>PANTERA_CAR_5card_Premium_v1</t>
        </is>
      </c>
      <c r="M681" s="42" t="inlineStr">
        <is>
          <t>Carousel</t>
        </is>
      </c>
      <c r="N681" s="42" t="inlineStr">
        <is>
          <t>Five things that surprise PANTERA drivers</t>
        </is>
      </c>
      <c r="O681" s="42" t="inlineStr">
        <is>
          <t>Auction - Cost Cap</t>
        </is>
      </c>
      <c r="P681" s="42" t="inlineStr">
        <is>
          <t>Offsite Conversions</t>
        </is>
      </c>
      <c r="Q681" s="42" t="inlineStr">
        <is>
          <t>https://www.lepas-sa.co.za/offers/pantera</t>
        </is>
      </c>
      <c r="R681" s="115" t="n">
        <v>147.74</v>
      </c>
      <c r="S681" s="116" t="n">
        <v>2169</v>
      </c>
      <c r="T681" s="116" t="n">
        <v>1393</v>
      </c>
      <c r="U681" s="117">
        <f>IFERROR(S681/T681,"")</f>
        <v/>
      </c>
      <c r="V681" s="116" t="n">
        <v>60</v>
      </c>
      <c r="W681" s="116" t="n">
        <v>42</v>
      </c>
      <c r="X681" s="118">
        <f>IFERROR(W681/S681,"")</f>
        <v/>
      </c>
      <c r="Y681" s="115">
        <f>IFERROR(R681/W681,"")</f>
        <v/>
      </c>
      <c r="Z681" s="115">
        <f>IFERROR(R681/S681*1000,"")</f>
        <v/>
      </c>
      <c r="AA681" s="116" t="n">
        <v>36</v>
      </c>
      <c r="AB681" s="47">
        <f>IFERROR(AA681/W681,"")</f>
        <v/>
      </c>
      <c r="AC681" s="116" t="n">
        <v>0</v>
      </c>
      <c r="AD681" s="116" t="n">
        <v>0</v>
      </c>
      <c r="AE681" s="116" t="n">
        <v>0</v>
      </c>
      <c r="AF681" s="116" t="n">
        <v>0</v>
      </c>
      <c r="AG681" s="116" t="n">
        <v>0</v>
      </c>
      <c r="AH681" s="116" t="n">
        <v>0</v>
      </c>
      <c r="AI681" s="47">
        <f>IFERROR(AC681/S681,"")</f>
        <v/>
      </c>
      <c r="AJ681" s="47">
        <f>IFERROR(AH681/S681,"")</f>
        <v/>
      </c>
      <c r="AK681" s="116" t="n">
        <v>28</v>
      </c>
      <c r="AL681" s="116" t="n">
        <v>1</v>
      </c>
      <c r="AM681" s="118">
        <f>IFERROR(AL681/AA681,"")</f>
        <v/>
      </c>
      <c r="AN681" s="119">
        <f>IFERROR(R681/AL681,"")</f>
        <v/>
      </c>
      <c r="AO681" s="116" t="n">
        <v>1</v>
      </c>
      <c r="AP681" s="47">
        <f>IFERROR(AO681/AL681,"")</f>
        <v/>
      </c>
      <c r="AQ681" s="119">
        <f>IFERROR(R681/AO681,"")</f>
        <v/>
      </c>
      <c r="AR681" s="116" t="n">
        <v>0</v>
      </c>
      <c r="AS681" s="116" t="n">
        <v>0</v>
      </c>
      <c r="AT681" s="116">
        <f>AL681+AR681</f>
        <v/>
      </c>
      <c r="AU681" s="119">
        <f>IFERROR(AO681*Assumptions!$C$26*Assumptions!$C$27*INDEX(Assumptions!$C$18:$C$21,MATCH(H681,Assumptions!$B$18:$B$21,0)),0)</f>
        <v/>
      </c>
    </row>
    <row r="682">
      <c r="A682" s="114" t="n">
        <v>46241</v>
      </c>
      <c r="B682" s="42" t="inlineStr">
        <is>
          <t>Wk 32</t>
        </is>
      </c>
      <c r="C682" s="42" t="inlineStr">
        <is>
          <t>Fri</t>
        </is>
      </c>
      <c r="D682" s="42" t="inlineStr">
        <is>
          <t>Meta (FB/IG)</t>
        </is>
      </c>
      <c r="E682" s="42" t="inlineStr">
        <is>
          <t>Facebook + Instagram</t>
        </is>
      </c>
      <c r="F682" s="42" t="inlineStr">
        <is>
          <t>LEP_ZA_AUG26_META_TD_PANTERA_CONV</t>
        </is>
      </c>
      <c r="G682" s="42" t="inlineStr">
        <is>
          <t>Leads - Website Conversions</t>
        </is>
      </c>
      <c r="H682" s="42" t="inlineStr">
        <is>
          <t>PANTERA</t>
        </is>
      </c>
      <c r="I682" s="42" t="inlineStr">
        <is>
          <t>0% Deposit</t>
        </is>
      </c>
      <c r="J682" s="42" t="inlineStr">
        <is>
          <t>MET_PANTERA_INT_PREMIUM_ZA</t>
        </is>
      </c>
      <c r="K682" s="42" t="inlineStr">
        <is>
          <t>Interest</t>
        </is>
      </c>
      <c r="L682" s="42" t="inlineStr">
        <is>
          <t>PANTERA_CAR_5card_Premium_v1</t>
        </is>
      </c>
      <c r="M682" s="42" t="inlineStr">
        <is>
          <t>Carousel</t>
        </is>
      </c>
      <c r="N682" s="42" t="inlineStr">
        <is>
          <t>Five things that surprise PANTERA drivers</t>
        </is>
      </c>
      <c r="O682" s="42" t="inlineStr">
        <is>
          <t>Auction - Cost Cap</t>
        </is>
      </c>
      <c r="P682" s="42" t="inlineStr">
        <is>
          <t>Offsite Conversions</t>
        </is>
      </c>
      <c r="Q682" s="42" t="inlineStr">
        <is>
          <t>https://www.lepas-sa.co.za/offers/pantera</t>
        </is>
      </c>
      <c r="R682" s="115" t="n">
        <v>136.41</v>
      </c>
      <c r="S682" s="116" t="n">
        <v>2110</v>
      </c>
      <c r="T682" s="116" t="n">
        <v>1649</v>
      </c>
      <c r="U682" s="117">
        <f>IFERROR(S682/T682,"")</f>
        <v/>
      </c>
      <c r="V682" s="116" t="n">
        <v>51</v>
      </c>
      <c r="W682" s="116" t="n">
        <v>36</v>
      </c>
      <c r="X682" s="118">
        <f>IFERROR(W682/S682,"")</f>
        <v/>
      </c>
      <c r="Y682" s="115">
        <f>IFERROR(R682/W682,"")</f>
        <v/>
      </c>
      <c r="Z682" s="115">
        <f>IFERROR(R682/S682*1000,"")</f>
        <v/>
      </c>
      <c r="AA682" s="116" t="n">
        <v>31</v>
      </c>
      <c r="AB682" s="47">
        <f>IFERROR(AA682/W682,"")</f>
        <v/>
      </c>
      <c r="AC682" s="116" t="n">
        <v>0</v>
      </c>
      <c r="AD682" s="116" t="n">
        <v>0</v>
      </c>
      <c r="AE682" s="116" t="n">
        <v>0</v>
      </c>
      <c r="AF682" s="116" t="n">
        <v>0</v>
      </c>
      <c r="AG682" s="116" t="n">
        <v>0</v>
      </c>
      <c r="AH682" s="116" t="n">
        <v>0</v>
      </c>
      <c r="AI682" s="47">
        <f>IFERROR(AC682/S682,"")</f>
        <v/>
      </c>
      <c r="AJ682" s="47">
        <f>IFERROR(AH682/S682,"")</f>
        <v/>
      </c>
      <c r="AK682" s="116" t="n">
        <v>64</v>
      </c>
      <c r="AL682" s="116" t="n">
        <v>0</v>
      </c>
      <c r="AM682" s="118">
        <f>IFERROR(AL682/AA682,"")</f>
        <v/>
      </c>
      <c r="AN682" s="119">
        <f>IFERROR(R682/AL682,"")</f>
        <v/>
      </c>
      <c r="AO682" s="116" t="n">
        <v>0</v>
      </c>
      <c r="AP682" s="47">
        <f>IFERROR(AO682/AL682,"")</f>
        <v/>
      </c>
      <c r="AQ682" s="119">
        <f>IFERROR(R682/AO682,"")</f>
        <v/>
      </c>
      <c r="AR682" s="116" t="n">
        <v>0</v>
      </c>
      <c r="AS682" s="116" t="n">
        <v>0</v>
      </c>
      <c r="AT682" s="116">
        <f>AL682+AR682</f>
        <v/>
      </c>
      <c r="AU682" s="119">
        <f>IFERROR(AO682*Assumptions!$C$26*Assumptions!$C$27*INDEX(Assumptions!$C$18:$C$21,MATCH(H682,Assumptions!$B$18:$B$21,0)),0)</f>
        <v/>
      </c>
    </row>
    <row r="683">
      <c r="A683" s="114" t="n">
        <v>46242</v>
      </c>
      <c r="B683" s="42" t="inlineStr">
        <is>
          <t>Wk 32</t>
        </is>
      </c>
      <c r="C683" s="42" t="inlineStr">
        <is>
          <t>Sat</t>
        </is>
      </c>
      <c r="D683" s="42" t="inlineStr">
        <is>
          <t>Meta (FB/IG)</t>
        </is>
      </c>
      <c r="E683" s="42" t="inlineStr">
        <is>
          <t>Facebook + Instagram</t>
        </is>
      </c>
      <c r="F683" s="42" t="inlineStr">
        <is>
          <t>LEP_ZA_AUG26_META_TD_PANTERA_CONV</t>
        </is>
      </c>
      <c r="G683" s="42" t="inlineStr">
        <is>
          <t>Leads - Website Conversions</t>
        </is>
      </c>
      <c r="H683" s="42" t="inlineStr">
        <is>
          <t>PANTERA</t>
        </is>
      </c>
      <c r="I683" s="42" t="inlineStr">
        <is>
          <t>0% Deposit</t>
        </is>
      </c>
      <c r="J683" s="42" t="inlineStr">
        <is>
          <t>MET_PANTERA_INT_PREMIUM_ZA</t>
        </is>
      </c>
      <c r="K683" s="42" t="inlineStr">
        <is>
          <t>Interest</t>
        </is>
      </c>
      <c r="L683" s="42" t="inlineStr">
        <is>
          <t>PANTERA_CAR_5card_Premium_v1</t>
        </is>
      </c>
      <c r="M683" s="42" t="inlineStr">
        <is>
          <t>Carousel</t>
        </is>
      </c>
      <c r="N683" s="42" t="inlineStr">
        <is>
          <t>Five things that surprise PANTERA drivers</t>
        </is>
      </c>
      <c r="O683" s="42" t="inlineStr">
        <is>
          <t>Auction - Cost Cap</t>
        </is>
      </c>
      <c r="P683" s="42" t="inlineStr">
        <is>
          <t>Offsite Conversions</t>
        </is>
      </c>
      <c r="Q683" s="42" t="inlineStr">
        <is>
          <t>https://www.lepas-sa.co.za/offers/pantera</t>
        </is>
      </c>
      <c r="R683" s="115" t="n">
        <v>134.35</v>
      </c>
      <c r="S683" s="116" t="n">
        <v>2234</v>
      </c>
      <c r="T683" s="116" t="n">
        <v>1354</v>
      </c>
      <c r="U683" s="117">
        <f>IFERROR(S683/T683,"")</f>
        <v/>
      </c>
      <c r="V683" s="116" t="n">
        <v>22</v>
      </c>
      <c r="W683" s="116" t="n">
        <v>19</v>
      </c>
      <c r="X683" s="118">
        <f>IFERROR(W683/S683,"")</f>
        <v/>
      </c>
      <c r="Y683" s="115">
        <f>IFERROR(R683/W683,"")</f>
        <v/>
      </c>
      <c r="Z683" s="115">
        <f>IFERROR(R683/S683*1000,"")</f>
        <v/>
      </c>
      <c r="AA683" s="116" t="n">
        <v>16</v>
      </c>
      <c r="AB683" s="47">
        <f>IFERROR(AA683/W683,"")</f>
        <v/>
      </c>
      <c r="AC683" s="116" t="n">
        <v>0</v>
      </c>
      <c r="AD683" s="116" t="n">
        <v>0</v>
      </c>
      <c r="AE683" s="116" t="n">
        <v>0</v>
      </c>
      <c r="AF683" s="116" t="n">
        <v>0</v>
      </c>
      <c r="AG683" s="116" t="n">
        <v>0</v>
      </c>
      <c r="AH683" s="116" t="n">
        <v>0</v>
      </c>
      <c r="AI683" s="47">
        <f>IFERROR(AC683/S683,"")</f>
        <v/>
      </c>
      <c r="AJ683" s="47">
        <f>IFERROR(AH683/S683,"")</f>
        <v/>
      </c>
      <c r="AK683" s="116" t="n">
        <v>64</v>
      </c>
      <c r="AL683" s="116" t="n">
        <v>1</v>
      </c>
      <c r="AM683" s="118">
        <f>IFERROR(AL683/AA683,"")</f>
        <v/>
      </c>
      <c r="AN683" s="119">
        <f>IFERROR(R683/AL683,"")</f>
        <v/>
      </c>
      <c r="AO683" s="116" t="n">
        <v>1</v>
      </c>
      <c r="AP683" s="47">
        <f>IFERROR(AO683/AL683,"")</f>
        <v/>
      </c>
      <c r="AQ683" s="119">
        <f>IFERROR(R683/AO683,"")</f>
        <v/>
      </c>
      <c r="AR683" s="116" t="n">
        <v>0</v>
      </c>
      <c r="AS683" s="116" t="n">
        <v>0</v>
      </c>
      <c r="AT683" s="116">
        <f>AL683+AR683</f>
        <v/>
      </c>
      <c r="AU683" s="119">
        <f>IFERROR(AO683*Assumptions!$C$26*Assumptions!$C$27*INDEX(Assumptions!$C$18:$C$21,MATCH(H683,Assumptions!$B$18:$B$21,0)),0)</f>
        <v/>
      </c>
    </row>
    <row r="684">
      <c r="A684" s="114" t="n">
        <v>46243</v>
      </c>
      <c r="B684" s="42" t="inlineStr">
        <is>
          <t>Wk 32</t>
        </is>
      </c>
      <c r="C684" s="42" t="inlineStr">
        <is>
          <t>Sun</t>
        </is>
      </c>
      <c r="D684" s="42" t="inlineStr">
        <is>
          <t>Meta (FB/IG)</t>
        </is>
      </c>
      <c r="E684" s="42" t="inlineStr">
        <is>
          <t>Facebook + Instagram</t>
        </is>
      </c>
      <c r="F684" s="42" t="inlineStr">
        <is>
          <t>LEP_ZA_AUG26_META_TD_PANTERA_CONV</t>
        </is>
      </c>
      <c r="G684" s="42" t="inlineStr">
        <is>
          <t>Leads - Website Conversions</t>
        </is>
      </c>
      <c r="H684" s="42" t="inlineStr">
        <is>
          <t>PANTERA</t>
        </is>
      </c>
      <c r="I684" s="42" t="inlineStr">
        <is>
          <t>0% Deposit</t>
        </is>
      </c>
      <c r="J684" s="42" t="inlineStr">
        <is>
          <t>MET_PANTERA_INT_PREMIUM_ZA</t>
        </is>
      </c>
      <c r="K684" s="42" t="inlineStr">
        <is>
          <t>Interest</t>
        </is>
      </c>
      <c r="L684" s="42" t="inlineStr">
        <is>
          <t>PANTERA_CAR_5card_Premium_v1</t>
        </is>
      </c>
      <c r="M684" s="42" t="inlineStr">
        <is>
          <t>Carousel</t>
        </is>
      </c>
      <c r="N684" s="42" t="inlineStr">
        <is>
          <t>Five things that surprise PANTERA drivers</t>
        </is>
      </c>
      <c r="O684" s="42" t="inlineStr">
        <is>
          <t>Auction - Cost Cap</t>
        </is>
      </c>
      <c r="P684" s="42" t="inlineStr">
        <is>
          <t>Offsite Conversions</t>
        </is>
      </c>
      <c r="Q684" s="42" t="inlineStr">
        <is>
          <t>https://www.lepas-sa.co.za/offers/pantera</t>
        </is>
      </c>
      <c r="R684" s="115" t="n">
        <v>111.85</v>
      </c>
      <c r="S684" s="116" t="n">
        <v>2084</v>
      </c>
      <c r="T684" s="116" t="n">
        <v>1468</v>
      </c>
      <c r="U684" s="117">
        <f>IFERROR(S684/T684,"")</f>
        <v/>
      </c>
      <c r="V684" s="116" t="n">
        <v>28</v>
      </c>
      <c r="W684" s="116" t="n">
        <v>24</v>
      </c>
      <c r="X684" s="118">
        <f>IFERROR(W684/S684,"")</f>
        <v/>
      </c>
      <c r="Y684" s="115">
        <f>IFERROR(R684/W684,"")</f>
        <v/>
      </c>
      <c r="Z684" s="115">
        <f>IFERROR(R684/S684*1000,"")</f>
        <v/>
      </c>
      <c r="AA684" s="116" t="n">
        <v>22</v>
      </c>
      <c r="AB684" s="47">
        <f>IFERROR(AA684/W684,"")</f>
        <v/>
      </c>
      <c r="AC684" s="116" t="n">
        <v>0</v>
      </c>
      <c r="AD684" s="116" t="n">
        <v>0</v>
      </c>
      <c r="AE684" s="116" t="n">
        <v>0</v>
      </c>
      <c r="AF684" s="116" t="n">
        <v>0</v>
      </c>
      <c r="AG684" s="116" t="n">
        <v>0</v>
      </c>
      <c r="AH684" s="116" t="n">
        <v>0</v>
      </c>
      <c r="AI684" s="47">
        <f>IFERROR(AC684/S684,"")</f>
        <v/>
      </c>
      <c r="AJ684" s="47">
        <f>IFERROR(AH684/S684,"")</f>
        <v/>
      </c>
      <c r="AK684" s="116" t="n">
        <v>33</v>
      </c>
      <c r="AL684" s="116" t="n">
        <v>0</v>
      </c>
      <c r="AM684" s="118">
        <f>IFERROR(AL684/AA684,"")</f>
        <v/>
      </c>
      <c r="AN684" s="119">
        <f>IFERROR(R684/AL684,"")</f>
        <v/>
      </c>
      <c r="AO684" s="116" t="n">
        <v>0</v>
      </c>
      <c r="AP684" s="47">
        <f>IFERROR(AO684/AL684,"")</f>
        <v/>
      </c>
      <c r="AQ684" s="119">
        <f>IFERROR(R684/AO684,"")</f>
        <v/>
      </c>
      <c r="AR684" s="116" t="n">
        <v>0</v>
      </c>
      <c r="AS684" s="116" t="n">
        <v>0</v>
      </c>
      <c r="AT684" s="116">
        <f>AL684+AR684</f>
        <v/>
      </c>
      <c r="AU684" s="119">
        <f>IFERROR(AO684*Assumptions!$C$26*Assumptions!$C$27*INDEX(Assumptions!$C$18:$C$21,MATCH(H684,Assumptions!$B$18:$B$21,0)),0)</f>
        <v/>
      </c>
    </row>
    <row r="685">
      <c r="A685" s="114" t="n">
        <v>46244</v>
      </c>
      <c r="B685" s="42" t="inlineStr">
        <is>
          <t>Wk 33</t>
        </is>
      </c>
      <c r="C685" s="42" t="inlineStr">
        <is>
          <t>Mon</t>
        </is>
      </c>
      <c r="D685" s="42" t="inlineStr">
        <is>
          <t>Meta (FB/IG)</t>
        </is>
      </c>
      <c r="E685" s="42" t="inlineStr">
        <is>
          <t>Facebook + Instagram</t>
        </is>
      </c>
      <c r="F685" s="42" t="inlineStr">
        <is>
          <t>LEP_ZA_AUG26_META_TD_PANTERA_CONV</t>
        </is>
      </c>
      <c r="G685" s="42" t="inlineStr">
        <is>
          <t>Leads - Website Conversions</t>
        </is>
      </c>
      <c r="H685" s="42" t="inlineStr">
        <is>
          <t>PANTERA</t>
        </is>
      </c>
      <c r="I685" s="42" t="inlineStr">
        <is>
          <t>0% Deposit</t>
        </is>
      </c>
      <c r="J685" s="42" t="inlineStr">
        <is>
          <t>MET_PANTERA_INT_PREMIUM_ZA</t>
        </is>
      </c>
      <c r="K685" s="42" t="inlineStr">
        <is>
          <t>Interest</t>
        </is>
      </c>
      <c r="L685" s="42" t="inlineStr">
        <is>
          <t>PANTERA_CAR_5card_Premium_v1</t>
        </is>
      </c>
      <c r="M685" s="42" t="inlineStr">
        <is>
          <t>Carousel</t>
        </is>
      </c>
      <c r="N685" s="42" t="inlineStr">
        <is>
          <t>Five things that surprise PANTERA drivers</t>
        </is>
      </c>
      <c r="O685" s="42" t="inlineStr">
        <is>
          <t>Auction - Cost Cap</t>
        </is>
      </c>
      <c r="P685" s="42" t="inlineStr">
        <is>
          <t>Offsite Conversions</t>
        </is>
      </c>
      <c r="Q685" s="42" t="inlineStr">
        <is>
          <t>https://www.lepas-sa.co.za/offers/pantera</t>
        </is>
      </c>
      <c r="R685" s="115" t="n">
        <v>146.27</v>
      </c>
      <c r="S685" s="116" t="n">
        <v>2441</v>
      </c>
      <c r="T685" s="116" t="n">
        <v>1612</v>
      </c>
      <c r="U685" s="117">
        <f>IFERROR(S685/T685,"")</f>
        <v/>
      </c>
      <c r="V685" s="116" t="n">
        <v>48</v>
      </c>
      <c r="W685" s="116" t="n">
        <v>34</v>
      </c>
      <c r="X685" s="118">
        <f>IFERROR(W685/S685,"")</f>
        <v/>
      </c>
      <c r="Y685" s="115">
        <f>IFERROR(R685/W685,"")</f>
        <v/>
      </c>
      <c r="Z685" s="115">
        <f>IFERROR(R685/S685*1000,"")</f>
        <v/>
      </c>
      <c r="AA685" s="116" t="n">
        <v>30</v>
      </c>
      <c r="AB685" s="47">
        <f>IFERROR(AA685/W685,"")</f>
        <v/>
      </c>
      <c r="AC685" s="116" t="n">
        <v>0</v>
      </c>
      <c r="AD685" s="116" t="n">
        <v>0</v>
      </c>
      <c r="AE685" s="116" t="n">
        <v>0</v>
      </c>
      <c r="AF685" s="116" t="n">
        <v>0</v>
      </c>
      <c r="AG685" s="116" t="n">
        <v>0</v>
      </c>
      <c r="AH685" s="116" t="n">
        <v>0</v>
      </c>
      <c r="AI685" s="47">
        <f>IFERROR(AC685/S685,"")</f>
        <v/>
      </c>
      <c r="AJ685" s="47">
        <f>IFERROR(AH685/S685,"")</f>
        <v/>
      </c>
      <c r="AK685" s="116" t="n">
        <v>75</v>
      </c>
      <c r="AL685" s="116" t="n">
        <v>1</v>
      </c>
      <c r="AM685" s="118">
        <f>IFERROR(AL685/AA685,"")</f>
        <v/>
      </c>
      <c r="AN685" s="119">
        <f>IFERROR(R685/AL685,"")</f>
        <v/>
      </c>
      <c r="AO685" s="116" t="n">
        <v>1</v>
      </c>
      <c r="AP685" s="47">
        <f>IFERROR(AO685/AL685,"")</f>
        <v/>
      </c>
      <c r="AQ685" s="119">
        <f>IFERROR(R685/AO685,"")</f>
        <v/>
      </c>
      <c r="AR685" s="116" t="n">
        <v>0</v>
      </c>
      <c r="AS685" s="116" t="n">
        <v>0</v>
      </c>
      <c r="AT685" s="116">
        <f>AL685+AR685</f>
        <v/>
      </c>
      <c r="AU685" s="119">
        <f>IFERROR(AO685*Assumptions!$C$26*Assumptions!$C$27*INDEX(Assumptions!$C$18:$C$21,MATCH(H685,Assumptions!$B$18:$B$21,0)),0)</f>
        <v/>
      </c>
    </row>
    <row r="686">
      <c r="A686" s="114" t="n">
        <v>46245</v>
      </c>
      <c r="B686" s="42" t="inlineStr">
        <is>
          <t>Wk 33</t>
        </is>
      </c>
      <c r="C686" s="42" t="inlineStr">
        <is>
          <t>Tue</t>
        </is>
      </c>
      <c r="D686" s="42" t="inlineStr">
        <is>
          <t>Meta (FB/IG)</t>
        </is>
      </c>
      <c r="E686" s="42" t="inlineStr">
        <is>
          <t>Facebook + Instagram</t>
        </is>
      </c>
      <c r="F686" s="42" t="inlineStr">
        <is>
          <t>LEP_ZA_AUG26_META_TD_PANTERA_CONV</t>
        </is>
      </c>
      <c r="G686" s="42" t="inlineStr">
        <is>
          <t>Leads - Website Conversions</t>
        </is>
      </c>
      <c r="H686" s="42" t="inlineStr">
        <is>
          <t>PANTERA</t>
        </is>
      </c>
      <c r="I686" s="42" t="inlineStr">
        <is>
          <t>0% Deposit</t>
        </is>
      </c>
      <c r="J686" s="42" t="inlineStr">
        <is>
          <t>MET_PANTERA_INT_PREMIUM_ZA</t>
        </is>
      </c>
      <c r="K686" s="42" t="inlineStr">
        <is>
          <t>Interest</t>
        </is>
      </c>
      <c r="L686" s="42" t="inlineStr">
        <is>
          <t>PANTERA_CAR_5card_Premium_v1</t>
        </is>
      </c>
      <c r="M686" s="42" t="inlineStr">
        <is>
          <t>Carousel</t>
        </is>
      </c>
      <c r="N686" s="42" t="inlineStr">
        <is>
          <t>Five things that surprise PANTERA drivers</t>
        </is>
      </c>
      <c r="O686" s="42" t="inlineStr">
        <is>
          <t>Auction - Cost Cap</t>
        </is>
      </c>
      <c r="P686" s="42" t="inlineStr">
        <is>
          <t>Offsite Conversions</t>
        </is>
      </c>
      <c r="Q686" s="42" t="inlineStr">
        <is>
          <t>https://www.lepas-sa.co.za/offers/pantera</t>
        </is>
      </c>
      <c r="R686" s="115" t="n">
        <v>139.76</v>
      </c>
      <c r="S686" s="116" t="n">
        <v>1562</v>
      </c>
      <c r="T686" s="116" t="n">
        <v>885</v>
      </c>
      <c r="U686" s="117">
        <f>IFERROR(S686/T686,"")</f>
        <v/>
      </c>
      <c r="V686" s="116" t="n">
        <v>28</v>
      </c>
      <c r="W686" s="116" t="n">
        <v>21</v>
      </c>
      <c r="X686" s="118">
        <f>IFERROR(W686/S686,"")</f>
        <v/>
      </c>
      <c r="Y686" s="115">
        <f>IFERROR(R686/W686,"")</f>
        <v/>
      </c>
      <c r="Z686" s="115">
        <f>IFERROR(R686/S686*1000,"")</f>
        <v/>
      </c>
      <c r="AA686" s="116" t="n">
        <v>18</v>
      </c>
      <c r="AB686" s="47">
        <f>IFERROR(AA686/W686,"")</f>
        <v/>
      </c>
      <c r="AC686" s="116" t="n">
        <v>0</v>
      </c>
      <c r="AD686" s="116" t="n">
        <v>0</v>
      </c>
      <c r="AE686" s="116" t="n">
        <v>0</v>
      </c>
      <c r="AF686" s="116" t="n">
        <v>0</v>
      </c>
      <c r="AG686" s="116" t="n">
        <v>0</v>
      </c>
      <c r="AH686" s="116" t="n">
        <v>0</v>
      </c>
      <c r="AI686" s="47">
        <f>IFERROR(AC686/S686,"")</f>
        <v/>
      </c>
      <c r="AJ686" s="47">
        <f>IFERROR(AH686/S686,"")</f>
        <v/>
      </c>
      <c r="AK686" s="116" t="n">
        <v>24</v>
      </c>
      <c r="AL686" s="116" t="n">
        <v>0</v>
      </c>
      <c r="AM686" s="118">
        <f>IFERROR(AL686/AA686,"")</f>
        <v/>
      </c>
      <c r="AN686" s="119">
        <f>IFERROR(R686/AL686,"")</f>
        <v/>
      </c>
      <c r="AO686" s="116" t="n">
        <v>0</v>
      </c>
      <c r="AP686" s="47">
        <f>IFERROR(AO686/AL686,"")</f>
        <v/>
      </c>
      <c r="AQ686" s="119">
        <f>IFERROR(R686/AO686,"")</f>
        <v/>
      </c>
      <c r="AR686" s="116" t="n">
        <v>0</v>
      </c>
      <c r="AS686" s="116" t="n">
        <v>0</v>
      </c>
      <c r="AT686" s="116">
        <f>AL686+AR686</f>
        <v/>
      </c>
      <c r="AU686" s="119">
        <f>IFERROR(AO686*Assumptions!$C$26*Assumptions!$C$27*INDEX(Assumptions!$C$18:$C$21,MATCH(H686,Assumptions!$B$18:$B$21,0)),0)</f>
        <v/>
      </c>
    </row>
    <row r="687">
      <c r="A687" s="114" t="n">
        <v>46246</v>
      </c>
      <c r="B687" s="42" t="inlineStr">
        <is>
          <t>Wk 33</t>
        </is>
      </c>
      <c r="C687" s="42" t="inlineStr">
        <is>
          <t>Wed</t>
        </is>
      </c>
      <c r="D687" s="42" t="inlineStr">
        <is>
          <t>Meta (FB/IG)</t>
        </is>
      </c>
      <c r="E687" s="42" t="inlineStr">
        <is>
          <t>Facebook + Instagram</t>
        </is>
      </c>
      <c r="F687" s="42" t="inlineStr">
        <is>
          <t>LEP_ZA_AUG26_META_TD_PANTERA_CONV</t>
        </is>
      </c>
      <c r="G687" s="42" t="inlineStr">
        <is>
          <t>Leads - Website Conversions</t>
        </is>
      </c>
      <c r="H687" s="42" t="inlineStr">
        <is>
          <t>PANTERA</t>
        </is>
      </c>
      <c r="I687" s="42" t="inlineStr">
        <is>
          <t>0% Deposit</t>
        </is>
      </c>
      <c r="J687" s="42" t="inlineStr">
        <is>
          <t>MET_PANTERA_INT_PREMIUM_ZA</t>
        </is>
      </c>
      <c r="K687" s="42" t="inlineStr">
        <is>
          <t>Interest</t>
        </is>
      </c>
      <c r="L687" s="42" t="inlineStr">
        <is>
          <t>PANTERA_CAR_5card_Premium_v1</t>
        </is>
      </c>
      <c r="M687" s="42" t="inlineStr">
        <is>
          <t>Carousel</t>
        </is>
      </c>
      <c r="N687" s="42" t="inlineStr">
        <is>
          <t>Five things that surprise PANTERA drivers</t>
        </is>
      </c>
      <c r="O687" s="42" t="inlineStr">
        <is>
          <t>Auction - Cost Cap</t>
        </is>
      </c>
      <c r="P687" s="42" t="inlineStr">
        <is>
          <t>Offsite Conversions</t>
        </is>
      </c>
      <c r="Q687" s="42" t="inlineStr">
        <is>
          <t>https://www.lepas-sa.co.za/offers/pantera</t>
        </is>
      </c>
      <c r="R687" s="115" t="n">
        <v>136.57</v>
      </c>
      <c r="S687" s="116" t="n">
        <v>1526</v>
      </c>
      <c r="T687" s="116" t="n">
        <v>931</v>
      </c>
      <c r="U687" s="117">
        <f>IFERROR(S687/T687,"")</f>
        <v/>
      </c>
      <c r="V687" s="116" t="n">
        <v>20</v>
      </c>
      <c r="W687" s="116" t="n">
        <v>15</v>
      </c>
      <c r="X687" s="118">
        <f>IFERROR(W687/S687,"")</f>
        <v/>
      </c>
      <c r="Y687" s="115">
        <f>IFERROR(R687/W687,"")</f>
        <v/>
      </c>
      <c r="Z687" s="115">
        <f>IFERROR(R687/S687*1000,"")</f>
        <v/>
      </c>
      <c r="AA687" s="116" t="n">
        <v>12</v>
      </c>
      <c r="AB687" s="47">
        <f>IFERROR(AA687/W687,"")</f>
        <v/>
      </c>
      <c r="AC687" s="116" t="n">
        <v>0</v>
      </c>
      <c r="AD687" s="116" t="n">
        <v>0</v>
      </c>
      <c r="AE687" s="116" t="n">
        <v>0</v>
      </c>
      <c r="AF687" s="116" t="n">
        <v>0</v>
      </c>
      <c r="AG687" s="116" t="n">
        <v>0</v>
      </c>
      <c r="AH687" s="116" t="n">
        <v>0</v>
      </c>
      <c r="AI687" s="47">
        <f>IFERROR(AC687/S687,"")</f>
        <v/>
      </c>
      <c r="AJ687" s="47">
        <f>IFERROR(AH687/S687,"")</f>
        <v/>
      </c>
      <c r="AK687" s="116" t="n">
        <v>21</v>
      </c>
      <c r="AL687" s="116" t="n">
        <v>0</v>
      </c>
      <c r="AM687" s="118">
        <f>IFERROR(AL687/AA687,"")</f>
        <v/>
      </c>
      <c r="AN687" s="119">
        <f>IFERROR(R687/AL687,"")</f>
        <v/>
      </c>
      <c r="AO687" s="116" t="n">
        <v>0</v>
      </c>
      <c r="AP687" s="47">
        <f>IFERROR(AO687/AL687,"")</f>
        <v/>
      </c>
      <c r="AQ687" s="119">
        <f>IFERROR(R687/AO687,"")</f>
        <v/>
      </c>
      <c r="AR687" s="116" t="n">
        <v>0</v>
      </c>
      <c r="AS687" s="116" t="n">
        <v>0</v>
      </c>
      <c r="AT687" s="116">
        <f>AL687+AR687</f>
        <v/>
      </c>
      <c r="AU687" s="119">
        <f>IFERROR(AO687*Assumptions!$C$26*Assumptions!$C$27*INDEX(Assumptions!$C$18:$C$21,MATCH(H687,Assumptions!$B$18:$B$21,0)),0)</f>
        <v/>
      </c>
    </row>
    <row r="688">
      <c r="A688" s="114" t="n">
        <v>46247</v>
      </c>
      <c r="B688" s="42" t="inlineStr">
        <is>
          <t>Wk 33</t>
        </is>
      </c>
      <c r="C688" s="42" t="inlineStr">
        <is>
          <t>Thu</t>
        </is>
      </c>
      <c r="D688" s="42" t="inlineStr">
        <is>
          <t>Meta (FB/IG)</t>
        </is>
      </c>
      <c r="E688" s="42" t="inlineStr">
        <is>
          <t>Facebook + Instagram</t>
        </is>
      </c>
      <c r="F688" s="42" t="inlineStr">
        <is>
          <t>LEP_ZA_AUG26_META_TD_PANTERA_CONV</t>
        </is>
      </c>
      <c r="G688" s="42" t="inlineStr">
        <is>
          <t>Leads - Website Conversions</t>
        </is>
      </c>
      <c r="H688" s="42" t="inlineStr">
        <is>
          <t>PANTERA</t>
        </is>
      </c>
      <c r="I688" s="42" t="inlineStr">
        <is>
          <t>0% Deposit</t>
        </is>
      </c>
      <c r="J688" s="42" t="inlineStr">
        <is>
          <t>MET_PANTERA_INT_PREMIUM_ZA</t>
        </is>
      </c>
      <c r="K688" s="42" t="inlineStr">
        <is>
          <t>Interest</t>
        </is>
      </c>
      <c r="L688" s="42" t="inlineStr">
        <is>
          <t>PANTERA_CAR_5card_Premium_v1</t>
        </is>
      </c>
      <c r="M688" s="42" t="inlineStr">
        <is>
          <t>Carousel</t>
        </is>
      </c>
      <c r="N688" s="42" t="inlineStr">
        <is>
          <t>Five things that surprise PANTERA drivers</t>
        </is>
      </c>
      <c r="O688" s="42" t="inlineStr">
        <is>
          <t>Auction - Cost Cap</t>
        </is>
      </c>
      <c r="P688" s="42" t="inlineStr">
        <is>
          <t>Offsite Conversions</t>
        </is>
      </c>
      <c r="Q688" s="42" t="inlineStr">
        <is>
          <t>https://www.lepas-sa.co.za/offers/pantera</t>
        </is>
      </c>
      <c r="R688" s="115" t="n">
        <v>157.37</v>
      </c>
      <c r="S688" s="116" t="n">
        <v>2454</v>
      </c>
      <c r="T688" s="116" t="n">
        <v>1558</v>
      </c>
      <c r="U688" s="117">
        <f>IFERROR(S688/T688,"")</f>
        <v/>
      </c>
      <c r="V688" s="116" t="n">
        <v>54</v>
      </c>
      <c r="W688" s="116" t="n">
        <v>38</v>
      </c>
      <c r="X688" s="118">
        <f>IFERROR(W688/S688,"")</f>
        <v/>
      </c>
      <c r="Y688" s="115">
        <f>IFERROR(R688/W688,"")</f>
        <v/>
      </c>
      <c r="Z688" s="115">
        <f>IFERROR(R688/S688*1000,"")</f>
        <v/>
      </c>
      <c r="AA688" s="116" t="n">
        <v>33</v>
      </c>
      <c r="AB688" s="47">
        <f>IFERROR(AA688/W688,"")</f>
        <v/>
      </c>
      <c r="AC688" s="116" t="n">
        <v>0</v>
      </c>
      <c r="AD688" s="116" t="n">
        <v>0</v>
      </c>
      <c r="AE688" s="116" t="n">
        <v>0</v>
      </c>
      <c r="AF688" s="116" t="n">
        <v>0</v>
      </c>
      <c r="AG688" s="116" t="n">
        <v>0</v>
      </c>
      <c r="AH688" s="116" t="n">
        <v>0</v>
      </c>
      <c r="AI688" s="47">
        <f>IFERROR(AC688/S688,"")</f>
        <v/>
      </c>
      <c r="AJ688" s="47">
        <f>IFERROR(AH688/S688,"")</f>
        <v/>
      </c>
      <c r="AK688" s="116" t="n">
        <v>73</v>
      </c>
      <c r="AL688" s="116" t="n">
        <v>1</v>
      </c>
      <c r="AM688" s="118">
        <f>IFERROR(AL688/AA688,"")</f>
        <v/>
      </c>
      <c r="AN688" s="119">
        <f>IFERROR(R688/AL688,"")</f>
        <v/>
      </c>
      <c r="AO688" s="116" t="n">
        <v>0</v>
      </c>
      <c r="AP688" s="47">
        <f>IFERROR(AO688/AL688,"")</f>
        <v/>
      </c>
      <c r="AQ688" s="119">
        <f>IFERROR(R688/AO688,"")</f>
        <v/>
      </c>
      <c r="AR688" s="116" t="n">
        <v>0</v>
      </c>
      <c r="AS688" s="116" t="n">
        <v>0</v>
      </c>
      <c r="AT688" s="116">
        <f>AL688+AR688</f>
        <v/>
      </c>
      <c r="AU688" s="119">
        <f>IFERROR(AO688*Assumptions!$C$26*Assumptions!$C$27*INDEX(Assumptions!$C$18:$C$21,MATCH(H688,Assumptions!$B$18:$B$21,0)),0)</f>
        <v/>
      </c>
    </row>
    <row r="689">
      <c r="A689" s="114" t="n">
        <v>46248</v>
      </c>
      <c r="B689" s="42" t="inlineStr">
        <is>
          <t>Wk 33</t>
        </is>
      </c>
      <c r="C689" s="42" t="inlineStr">
        <is>
          <t>Fri</t>
        </is>
      </c>
      <c r="D689" s="42" t="inlineStr">
        <is>
          <t>Meta (FB/IG)</t>
        </is>
      </c>
      <c r="E689" s="42" t="inlineStr">
        <is>
          <t>Facebook + Instagram</t>
        </is>
      </c>
      <c r="F689" s="42" t="inlineStr">
        <is>
          <t>LEP_ZA_AUG26_META_TD_PANTERA_CONV</t>
        </is>
      </c>
      <c r="G689" s="42" t="inlineStr">
        <is>
          <t>Leads - Website Conversions</t>
        </is>
      </c>
      <c r="H689" s="42" t="inlineStr">
        <is>
          <t>PANTERA</t>
        </is>
      </c>
      <c r="I689" s="42" t="inlineStr">
        <is>
          <t>0% Deposit</t>
        </is>
      </c>
      <c r="J689" s="42" t="inlineStr">
        <is>
          <t>MET_PANTERA_INT_PREMIUM_ZA</t>
        </is>
      </c>
      <c r="K689" s="42" t="inlineStr">
        <is>
          <t>Interest</t>
        </is>
      </c>
      <c r="L689" s="42" t="inlineStr">
        <is>
          <t>PANTERA_CAR_5card_Premium_v1</t>
        </is>
      </c>
      <c r="M689" s="42" t="inlineStr">
        <is>
          <t>Carousel</t>
        </is>
      </c>
      <c r="N689" s="42" t="inlineStr">
        <is>
          <t>Five things that surprise PANTERA drivers</t>
        </is>
      </c>
      <c r="O689" s="42" t="inlineStr">
        <is>
          <t>Auction - Cost Cap</t>
        </is>
      </c>
      <c r="P689" s="42" t="inlineStr">
        <is>
          <t>Offsite Conversions</t>
        </is>
      </c>
      <c r="Q689" s="42" t="inlineStr">
        <is>
          <t>https://www.lepas-sa.co.za/offers/pantera</t>
        </is>
      </c>
      <c r="R689" s="115" t="n">
        <v>133.06</v>
      </c>
      <c r="S689" s="116" t="n">
        <v>1545</v>
      </c>
      <c r="T689" s="116" t="n">
        <v>1188</v>
      </c>
      <c r="U689" s="117">
        <f>IFERROR(S689/T689,"")</f>
        <v/>
      </c>
      <c r="V689" s="116" t="n">
        <v>14</v>
      </c>
      <c r="W689" s="116" t="n">
        <v>11</v>
      </c>
      <c r="X689" s="118">
        <f>IFERROR(W689/S689,"")</f>
        <v/>
      </c>
      <c r="Y689" s="115">
        <f>IFERROR(R689/W689,"")</f>
        <v/>
      </c>
      <c r="Z689" s="115">
        <f>IFERROR(R689/S689*1000,"")</f>
        <v/>
      </c>
      <c r="AA689" s="116" t="n">
        <v>9</v>
      </c>
      <c r="AB689" s="47">
        <f>IFERROR(AA689/W689,"")</f>
        <v/>
      </c>
      <c r="AC689" s="116" t="n">
        <v>0</v>
      </c>
      <c r="AD689" s="116" t="n">
        <v>0</v>
      </c>
      <c r="AE689" s="116" t="n">
        <v>0</v>
      </c>
      <c r="AF689" s="116" t="n">
        <v>0</v>
      </c>
      <c r="AG689" s="116" t="n">
        <v>0</v>
      </c>
      <c r="AH689" s="116" t="n">
        <v>0</v>
      </c>
      <c r="AI689" s="47">
        <f>IFERROR(AC689/S689,"")</f>
        <v/>
      </c>
      <c r="AJ689" s="47">
        <f>IFERROR(AH689/S689,"")</f>
        <v/>
      </c>
      <c r="AK689" s="116" t="n">
        <v>28</v>
      </c>
      <c r="AL689" s="116" t="n">
        <v>0</v>
      </c>
      <c r="AM689" s="118">
        <f>IFERROR(AL689/AA689,"")</f>
        <v/>
      </c>
      <c r="AN689" s="119">
        <f>IFERROR(R689/AL689,"")</f>
        <v/>
      </c>
      <c r="AO689" s="116" t="n">
        <v>0</v>
      </c>
      <c r="AP689" s="47">
        <f>IFERROR(AO689/AL689,"")</f>
        <v/>
      </c>
      <c r="AQ689" s="119">
        <f>IFERROR(R689/AO689,"")</f>
        <v/>
      </c>
      <c r="AR689" s="116" t="n">
        <v>0</v>
      </c>
      <c r="AS689" s="116" t="n">
        <v>0</v>
      </c>
      <c r="AT689" s="116">
        <f>AL689+AR689</f>
        <v/>
      </c>
      <c r="AU689" s="119">
        <f>IFERROR(AO689*Assumptions!$C$26*Assumptions!$C$27*INDEX(Assumptions!$C$18:$C$21,MATCH(H689,Assumptions!$B$18:$B$21,0)),0)</f>
        <v/>
      </c>
    </row>
    <row r="690">
      <c r="A690" s="114" t="n">
        <v>46249</v>
      </c>
      <c r="B690" s="42" t="inlineStr">
        <is>
          <t>Wk 33</t>
        </is>
      </c>
      <c r="C690" s="42" t="inlineStr">
        <is>
          <t>Sat</t>
        </is>
      </c>
      <c r="D690" s="42" t="inlineStr">
        <is>
          <t>Meta (FB/IG)</t>
        </is>
      </c>
      <c r="E690" s="42" t="inlineStr">
        <is>
          <t>Facebook + Instagram</t>
        </is>
      </c>
      <c r="F690" s="42" t="inlineStr">
        <is>
          <t>LEP_ZA_AUG26_META_TD_PANTERA_CONV</t>
        </is>
      </c>
      <c r="G690" s="42" t="inlineStr">
        <is>
          <t>Leads - Website Conversions</t>
        </is>
      </c>
      <c r="H690" s="42" t="inlineStr">
        <is>
          <t>PANTERA</t>
        </is>
      </c>
      <c r="I690" s="42" t="inlineStr">
        <is>
          <t>0% Deposit</t>
        </is>
      </c>
      <c r="J690" s="42" t="inlineStr">
        <is>
          <t>MET_PANTERA_INT_PREMIUM_ZA</t>
        </is>
      </c>
      <c r="K690" s="42" t="inlineStr">
        <is>
          <t>Interest</t>
        </is>
      </c>
      <c r="L690" s="42" t="inlineStr">
        <is>
          <t>PANTERA_CAR_5card_Premium_v1</t>
        </is>
      </c>
      <c r="M690" s="42" t="inlineStr">
        <is>
          <t>Carousel</t>
        </is>
      </c>
      <c r="N690" s="42" t="inlineStr">
        <is>
          <t>Five things that surprise PANTERA drivers</t>
        </is>
      </c>
      <c r="O690" s="42" t="inlineStr">
        <is>
          <t>Auction - Cost Cap</t>
        </is>
      </c>
      <c r="P690" s="42" t="inlineStr">
        <is>
          <t>Offsite Conversions</t>
        </is>
      </c>
      <c r="Q690" s="42" t="inlineStr">
        <is>
          <t>https://www.lepas-sa.co.za/offers/pantera</t>
        </is>
      </c>
      <c r="R690" s="115" t="n">
        <v>161.78</v>
      </c>
      <c r="S690" s="116" t="n">
        <v>2824</v>
      </c>
      <c r="T690" s="116" t="n">
        <v>1566</v>
      </c>
      <c r="U690" s="117">
        <f>IFERROR(S690/T690,"")</f>
        <v/>
      </c>
      <c r="V690" s="116" t="n">
        <v>47</v>
      </c>
      <c r="W690" s="116" t="n">
        <v>38</v>
      </c>
      <c r="X690" s="118">
        <f>IFERROR(W690/S690,"")</f>
        <v/>
      </c>
      <c r="Y690" s="115">
        <f>IFERROR(R690/W690,"")</f>
        <v/>
      </c>
      <c r="Z690" s="115">
        <f>IFERROR(R690/S690*1000,"")</f>
        <v/>
      </c>
      <c r="AA690" s="116" t="n">
        <v>33</v>
      </c>
      <c r="AB690" s="47">
        <f>IFERROR(AA690/W690,"")</f>
        <v/>
      </c>
      <c r="AC690" s="116" t="n">
        <v>0</v>
      </c>
      <c r="AD690" s="116" t="n">
        <v>0</v>
      </c>
      <c r="AE690" s="116" t="n">
        <v>0</v>
      </c>
      <c r="AF690" s="116" t="n">
        <v>0</v>
      </c>
      <c r="AG690" s="116" t="n">
        <v>0</v>
      </c>
      <c r="AH690" s="116" t="n">
        <v>0</v>
      </c>
      <c r="AI690" s="47">
        <f>IFERROR(AC690/S690,"")</f>
        <v/>
      </c>
      <c r="AJ690" s="47">
        <f>IFERROR(AH690/S690,"")</f>
        <v/>
      </c>
      <c r="AK690" s="116" t="n">
        <v>40</v>
      </c>
      <c r="AL690" s="116" t="n">
        <v>1</v>
      </c>
      <c r="AM690" s="118">
        <f>IFERROR(AL690/AA690,"")</f>
        <v/>
      </c>
      <c r="AN690" s="119">
        <f>IFERROR(R690/AL690,"")</f>
        <v/>
      </c>
      <c r="AO690" s="116" t="n">
        <v>1</v>
      </c>
      <c r="AP690" s="47">
        <f>IFERROR(AO690/AL690,"")</f>
        <v/>
      </c>
      <c r="AQ690" s="119">
        <f>IFERROR(R690/AO690,"")</f>
        <v/>
      </c>
      <c r="AR690" s="116" t="n">
        <v>0</v>
      </c>
      <c r="AS690" s="116" t="n">
        <v>0</v>
      </c>
      <c r="AT690" s="116">
        <f>AL690+AR690</f>
        <v/>
      </c>
      <c r="AU690" s="119">
        <f>IFERROR(AO690*Assumptions!$C$26*Assumptions!$C$27*INDEX(Assumptions!$C$18:$C$21,MATCH(H690,Assumptions!$B$18:$B$21,0)),0)</f>
        <v/>
      </c>
    </row>
    <row r="691">
      <c r="A691" s="114" t="n">
        <v>46250</v>
      </c>
      <c r="B691" s="42" t="inlineStr">
        <is>
          <t>Wk 33</t>
        </is>
      </c>
      <c r="C691" s="42" t="inlineStr">
        <is>
          <t>Sun</t>
        </is>
      </c>
      <c r="D691" s="42" t="inlineStr">
        <is>
          <t>Meta (FB/IG)</t>
        </is>
      </c>
      <c r="E691" s="42" t="inlineStr">
        <is>
          <t>Facebook + Instagram</t>
        </is>
      </c>
      <c r="F691" s="42" t="inlineStr">
        <is>
          <t>LEP_ZA_AUG26_META_TD_PANTERA_CONV</t>
        </is>
      </c>
      <c r="G691" s="42" t="inlineStr">
        <is>
          <t>Leads - Website Conversions</t>
        </is>
      </c>
      <c r="H691" s="42" t="inlineStr">
        <is>
          <t>PANTERA</t>
        </is>
      </c>
      <c r="I691" s="42" t="inlineStr">
        <is>
          <t>0% Deposit</t>
        </is>
      </c>
      <c r="J691" s="42" t="inlineStr">
        <is>
          <t>MET_PANTERA_INT_PREMIUM_ZA</t>
        </is>
      </c>
      <c r="K691" s="42" t="inlineStr">
        <is>
          <t>Interest</t>
        </is>
      </c>
      <c r="L691" s="42" t="inlineStr">
        <is>
          <t>PANTERA_CAR_5card_Premium_v1</t>
        </is>
      </c>
      <c r="M691" s="42" t="inlineStr">
        <is>
          <t>Carousel</t>
        </is>
      </c>
      <c r="N691" s="42" t="inlineStr">
        <is>
          <t>Five things that surprise PANTERA drivers</t>
        </is>
      </c>
      <c r="O691" s="42" t="inlineStr">
        <is>
          <t>Auction - Cost Cap</t>
        </is>
      </c>
      <c r="P691" s="42" t="inlineStr">
        <is>
          <t>Offsite Conversions</t>
        </is>
      </c>
      <c r="Q691" s="42" t="inlineStr">
        <is>
          <t>https://www.lepas-sa.co.za/offers/pantera</t>
        </is>
      </c>
      <c r="R691" s="115" t="n">
        <v>103.18</v>
      </c>
      <c r="S691" s="116" t="n">
        <v>1799</v>
      </c>
      <c r="T691" s="116" t="n">
        <v>1009</v>
      </c>
      <c r="U691" s="117">
        <f>IFERROR(S691/T691,"")</f>
        <v/>
      </c>
      <c r="V691" s="116" t="n">
        <v>28</v>
      </c>
      <c r="W691" s="116" t="n">
        <v>20</v>
      </c>
      <c r="X691" s="118">
        <f>IFERROR(W691/S691,"")</f>
        <v/>
      </c>
      <c r="Y691" s="115">
        <f>IFERROR(R691/W691,"")</f>
        <v/>
      </c>
      <c r="Z691" s="115">
        <f>IFERROR(R691/S691*1000,"")</f>
        <v/>
      </c>
      <c r="AA691" s="116" t="n">
        <v>16</v>
      </c>
      <c r="AB691" s="47">
        <f>IFERROR(AA691/W691,"")</f>
        <v/>
      </c>
      <c r="AC691" s="116" t="n">
        <v>0</v>
      </c>
      <c r="AD691" s="116" t="n">
        <v>0</v>
      </c>
      <c r="AE691" s="116" t="n">
        <v>0</v>
      </c>
      <c r="AF691" s="116" t="n">
        <v>0</v>
      </c>
      <c r="AG691" s="116" t="n">
        <v>0</v>
      </c>
      <c r="AH691" s="116" t="n">
        <v>0</v>
      </c>
      <c r="AI691" s="47">
        <f>IFERROR(AC691/S691,"")</f>
        <v/>
      </c>
      <c r="AJ691" s="47">
        <f>IFERROR(AH691/S691,"")</f>
        <v/>
      </c>
      <c r="AK691" s="116" t="n">
        <v>48</v>
      </c>
      <c r="AL691" s="116" t="n">
        <v>1</v>
      </c>
      <c r="AM691" s="118">
        <f>IFERROR(AL691/AA691,"")</f>
        <v/>
      </c>
      <c r="AN691" s="119">
        <f>IFERROR(R691/AL691,"")</f>
        <v/>
      </c>
      <c r="AO691" s="116" t="n">
        <v>0</v>
      </c>
      <c r="AP691" s="47">
        <f>IFERROR(AO691/AL691,"")</f>
        <v/>
      </c>
      <c r="AQ691" s="119">
        <f>IFERROR(R691/AO691,"")</f>
        <v/>
      </c>
      <c r="AR691" s="116" t="n">
        <v>0</v>
      </c>
      <c r="AS691" s="116" t="n">
        <v>1</v>
      </c>
      <c r="AT691" s="116">
        <f>AL691+AR691</f>
        <v/>
      </c>
      <c r="AU691" s="119">
        <f>IFERROR(AO691*Assumptions!$C$26*Assumptions!$C$27*INDEX(Assumptions!$C$18:$C$21,MATCH(H691,Assumptions!$B$18:$B$21,0)),0)</f>
        <v/>
      </c>
    </row>
    <row r="692">
      <c r="A692" s="114" t="n">
        <v>46251</v>
      </c>
      <c r="B692" s="42" t="inlineStr">
        <is>
          <t>Wk 34</t>
        </is>
      </c>
      <c r="C692" s="42" t="inlineStr">
        <is>
          <t>Mon</t>
        </is>
      </c>
      <c r="D692" s="42" t="inlineStr">
        <is>
          <t>Meta (FB/IG)</t>
        </is>
      </c>
      <c r="E692" s="42" t="inlineStr">
        <is>
          <t>Facebook + Instagram</t>
        </is>
      </c>
      <c r="F692" s="42" t="inlineStr">
        <is>
          <t>LEP_ZA_AUG26_META_TD_PANTERA_CONV</t>
        </is>
      </c>
      <c r="G692" s="42" t="inlineStr">
        <is>
          <t>Leads - Website Conversions</t>
        </is>
      </c>
      <c r="H692" s="42" t="inlineStr">
        <is>
          <t>PANTERA</t>
        </is>
      </c>
      <c r="I692" s="42" t="inlineStr">
        <is>
          <t>0% Deposit</t>
        </is>
      </c>
      <c r="J692" s="42" t="inlineStr">
        <is>
          <t>MET_PANTERA_INT_PREMIUM_ZA</t>
        </is>
      </c>
      <c r="K692" s="42" t="inlineStr">
        <is>
          <t>Interest</t>
        </is>
      </c>
      <c r="L692" s="42" t="inlineStr">
        <is>
          <t>PANTERA_CAR_5card_Premium_v1</t>
        </is>
      </c>
      <c r="M692" s="42" t="inlineStr">
        <is>
          <t>Carousel</t>
        </is>
      </c>
      <c r="N692" s="42" t="inlineStr">
        <is>
          <t>Five things that surprise PANTERA drivers</t>
        </is>
      </c>
      <c r="O692" s="42" t="inlineStr">
        <is>
          <t>Auction - Cost Cap</t>
        </is>
      </c>
      <c r="P692" s="42" t="inlineStr">
        <is>
          <t>Offsite Conversions</t>
        </is>
      </c>
      <c r="Q692" s="42" t="inlineStr">
        <is>
          <t>https://www.lepas-sa.co.za/offers/pantera</t>
        </is>
      </c>
      <c r="R692" s="115" t="n">
        <v>117.01</v>
      </c>
      <c r="S692" s="116" t="n">
        <v>2108</v>
      </c>
      <c r="T692" s="116" t="n">
        <v>1222</v>
      </c>
      <c r="U692" s="117">
        <f>IFERROR(S692/T692,"")</f>
        <v/>
      </c>
      <c r="V692" s="116" t="n">
        <v>49</v>
      </c>
      <c r="W692" s="116" t="n">
        <v>35</v>
      </c>
      <c r="X692" s="118">
        <f>IFERROR(W692/S692,"")</f>
        <v/>
      </c>
      <c r="Y692" s="115">
        <f>IFERROR(R692/W692,"")</f>
        <v/>
      </c>
      <c r="Z692" s="115">
        <f>IFERROR(R692/S692*1000,"")</f>
        <v/>
      </c>
      <c r="AA692" s="116" t="n">
        <v>29</v>
      </c>
      <c r="AB692" s="47">
        <f>IFERROR(AA692/W692,"")</f>
        <v/>
      </c>
      <c r="AC692" s="116" t="n">
        <v>0</v>
      </c>
      <c r="AD692" s="116" t="n">
        <v>0</v>
      </c>
      <c r="AE692" s="116" t="n">
        <v>0</v>
      </c>
      <c r="AF692" s="116" t="n">
        <v>0</v>
      </c>
      <c r="AG692" s="116" t="n">
        <v>0</v>
      </c>
      <c r="AH692" s="116" t="n">
        <v>0</v>
      </c>
      <c r="AI692" s="47">
        <f>IFERROR(AC692/S692,"")</f>
        <v/>
      </c>
      <c r="AJ692" s="47">
        <f>IFERROR(AH692/S692,"")</f>
        <v/>
      </c>
      <c r="AK692" s="116" t="n">
        <v>57</v>
      </c>
      <c r="AL692" s="116" t="n">
        <v>1</v>
      </c>
      <c r="AM692" s="118">
        <f>IFERROR(AL692/AA692,"")</f>
        <v/>
      </c>
      <c r="AN692" s="119">
        <f>IFERROR(R692/AL692,"")</f>
        <v/>
      </c>
      <c r="AO692" s="116" t="n">
        <v>0</v>
      </c>
      <c r="AP692" s="47">
        <f>IFERROR(AO692/AL692,"")</f>
        <v/>
      </c>
      <c r="AQ692" s="119">
        <f>IFERROR(R692/AO692,"")</f>
        <v/>
      </c>
      <c r="AR692" s="116" t="n">
        <v>0</v>
      </c>
      <c r="AS692" s="116" t="n">
        <v>0</v>
      </c>
      <c r="AT692" s="116">
        <f>AL692+AR692</f>
        <v/>
      </c>
      <c r="AU692" s="119">
        <f>IFERROR(AO692*Assumptions!$C$26*Assumptions!$C$27*INDEX(Assumptions!$C$18:$C$21,MATCH(H692,Assumptions!$B$18:$B$21,0)),0)</f>
        <v/>
      </c>
    </row>
    <row r="693">
      <c r="A693" s="114" t="n">
        <v>46252</v>
      </c>
      <c r="B693" s="42" t="inlineStr">
        <is>
          <t>Wk 34</t>
        </is>
      </c>
      <c r="C693" s="42" t="inlineStr">
        <is>
          <t>Tue</t>
        </is>
      </c>
      <c r="D693" s="42" t="inlineStr">
        <is>
          <t>Meta (FB/IG)</t>
        </is>
      </c>
      <c r="E693" s="42" t="inlineStr">
        <is>
          <t>Facebook + Instagram</t>
        </is>
      </c>
      <c r="F693" s="42" t="inlineStr">
        <is>
          <t>LEP_ZA_AUG26_META_TD_PANTERA_CONV</t>
        </is>
      </c>
      <c r="G693" s="42" t="inlineStr">
        <is>
          <t>Leads - Website Conversions</t>
        </is>
      </c>
      <c r="H693" s="42" t="inlineStr">
        <is>
          <t>PANTERA</t>
        </is>
      </c>
      <c r="I693" s="42" t="inlineStr">
        <is>
          <t>0% Deposit</t>
        </is>
      </c>
      <c r="J693" s="42" t="inlineStr">
        <is>
          <t>MET_PANTERA_INT_PREMIUM_ZA</t>
        </is>
      </c>
      <c r="K693" s="42" t="inlineStr">
        <is>
          <t>Interest</t>
        </is>
      </c>
      <c r="L693" s="42" t="inlineStr">
        <is>
          <t>PANTERA_CAR_5card_Premium_v1</t>
        </is>
      </c>
      <c r="M693" s="42" t="inlineStr">
        <is>
          <t>Carousel</t>
        </is>
      </c>
      <c r="N693" s="42" t="inlineStr">
        <is>
          <t>Five things that surprise PANTERA drivers</t>
        </is>
      </c>
      <c r="O693" s="42" t="inlineStr">
        <is>
          <t>Auction - Cost Cap</t>
        </is>
      </c>
      <c r="P693" s="42" t="inlineStr">
        <is>
          <t>Offsite Conversions</t>
        </is>
      </c>
      <c r="Q693" s="42" t="inlineStr">
        <is>
          <t>https://www.lepas-sa.co.za/offers/pantera</t>
        </is>
      </c>
      <c r="R693" s="115" t="n">
        <v>110.26</v>
      </c>
      <c r="S693" s="116" t="n">
        <v>1413</v>
      </c>
      <c r="T693" s="116" t="n">
        <v>777</v>
      </c>
      <c r="U693" s="117">
        <f>IFERROR(S693/T693,"")</f>
        <v/>
      </c>
      <c r="V693" s="116" t="n">
        <v>11</v>
      </c>
      <c r="W693" s="116" t="n">
        <v>9</v>
      </c>
      <c r="X693" s="118">
        <f>IFERROR(W693/S693,"")</f>
        <v/>
      </c>
      <c r="Y693" s="115">
        <f>IFERROR(R693/W693,"")</f>
        <v/>
      </c>
      <c r="Z693" s="115">
        <f>IFERROR(R693/S693*1000,"")</f>
        <v/>
      </c>
      <c r="AA693" s="116" t="n">
        <v>7</v>
      </c>
      <c r="AB693" s="47">
        <f>IFERROR(AA693/W693,"")</f>
        <v/>
      </c>
      <c r="AC693" s="116" t="n">
        <v>0</v>
      </c>
      <c r="AD693" s="116" t="n">
        <v>0</v>
      </c>
      <c r="AE693" s="116" t="n">
        <v>0</v>
      </c>
      <c r="AF693" s="116" t="n">
        <v>0</v>
      </c>
      <c r="AG693" s="116" t="n">
        <v>0</v>
      </c>
      <c r="AH693" s="116" t="n">
        <v>0</v>
      </c>
      <c r="AI693" s="47">
        <f>IFERROR(AC693/S693,"")</f>
        <v/>
      </c>
      <c r="AJ693" s="47">
        <f>IFERROR(AH693/S693,"")</f>
        <v/>
      </c>
      <c r="AK693" s="116" t="n">
        <v>36</v>
      </c>
      <c r="AL693" s="116" t="n">
        <v>0</v>
      </c>
      <c r="AM693" s="118">
        <f>IFERROR(AL693/AA693,"")</f>
        <v/>
      </c>
      <c r="AN693" s="119">
        <f>IFERROR(R693/AL693,"")</f>
        <v/>
      </c>
      <c r="AO693" s="116" t="n">
        <v>0</v>
      </c>
      <c r="AP693" s="47">
        <f>IFERROR(AO693/AL693,"")</f>
        <v/>
      </c>
      <c r="AQ693" s="119">
        <f>IFERROR(R693/AO693,"")</f>
        <v/>
      </c>
      <c r="AR693" s="116" t="n">
        <v>0</v>
      </c>
      <c r="AS693" s="116" t="n">
        <v>0</v>
      </c>
      <c r="AT693" s="116">
        <f>AL693+AR693</f>
        <v/>
      </c>
      <c r="AU693" s="119">
        <f>IFERROR(AO693*Assumptions!$C$26*Assumptions!$C$27*INDEX(Assumptions!$C$18:$C$21,MATCH(H693,Assumptions!$B$18:$B$21,0)),0)</f>
        <v/>
      </c>
    </row>
    <row r="694">
      <c r="A694" s="114" t="n">
        <v>46253</v>
      </c>
      <c r="B694" s="42" t="inlineStr">
        <is>
          <t>Wk 34</t>
        </is>
      </c>
      <c r="C694" s="42" t="inlineStr">
        <is>
          <t>Wed</t>
        </is>
      </c>
      <c r="D694" s="42" t="inlineStr">
        <is>
          <t>Meta (FB/IG)</t>
        </is>
      </c>
      <c r="E694" s="42" t="inlineStr">
        <is>
          <t>Facebook + Instagram</t>
        </is>
      </c>
      <c r="F694" s="42" t="inlineStr">
        <is>
          <t>LEP_ZA_AUG26_META_TD_PANTERA_CONV</t>
        </is>
      </c>
      <c r="G694" s="42" t="inlineStr">
        <is>
          <t>Leads - Website Conversions</t>
        </is>
      </c>
      <c r="H694" s="42" t="inlineStr">
        <is>
          <t>PANTERA</t>
        </is>
      </c>
      <c r="I694" s="42" t="inlineStr">
        <is>
          <t>0% Deposit</t>
        </is>
      </c>
      <c r="J694" s="42" t="inlineStr">
        <is>
          <t>MET_PANTERA_INT_PREMIUM_ZA</t>
        </is>
      </c>
      <c r="K694" s="42" t="inlineStr">
        <is>
          <t>Interest</t>
        </is>
      </c>
      <c r="L694" s="42" t="inlineStr">
        <is>
          <t>PANTERA_CAR_5card_Premium_v1</t>
        </is>
      </c>
      <c r="M694" s="42" t="inlineStr">
        <is>
          <t>Carousel</t>
        </is>
      </c>
      <c r="N694" s="42" t="inlineStr">
        <is>
          <t>Five things that surprise PANTERA drivers</t>
        </is>
      </c>
      <c r="O694" s="42" t="inlineStr">
        <is>
          <t>Auction - Cost Cap</t>
        </is>
      </c>
      <c r="P694" s="42" t="inlineStr">
        <is>
          <t>Offsite Conversions</t>
        </is>
      </c>
      <c r="Q694" s="42" t="inlineStr">
        <is>
          <t>https://www.lepas-sa.co.za/offers/pantera</t>
        </is>
      </c>
      <c r="R694" s="115" t="n">
        <v>124.27</v>
      </c>
      <c r="S694" s="116" t="n">
        <v>1394</v>
      </c>
      <c r="T694" s="116" t="n">
        <v>753</v>
      </c>
      <c r="U694" s="117">
        <f>IFERROR(S694/T694,"")</f>
        <v/>
      </c>
      <c r="V694" s="116" t="n">
        <v>28</v>
      </c>
      <c r="W694" s="116" t="n">
        <v>20</v>
      </c>
      <c r="X694" s="118">
        <f>IFERROR(W694/S694,"")</f>
        <v/>
      </c>
      <c r="Y694" s="115">
        <f>IFERROR(R694/W694,"")</f>
        <v/>
      </c>
      <c r="Z694" s="115">
        <f>IFERROR(R694/S694*1000,"")</f>
        <v/>
      </c>
      <c r="AA694" s="116" t="n">
        <v>17</v>
      </c>
      <c r="AB694" s="47">
        <f>IFERROR(AA694/W694,"")</f>
        <v/>
      </c>
      <c r="AC694" s="116" t="n">
        <v>0</v>
      </c>
      <c r="AD694" s="116" t="n">
        <v>0</v>
      </c>
      <c r="AE694" s="116" t="n">
        <v>0</v>
      </c>
      <c r="AF694" s="116" t="n">
        <v>0</v>
      </c>
      <c r="AG694" s="116" t="n">
        <v>0</v>
      </c>
      <c r="AH694" s="116" t="n">
        <v>0</v>
      </c>
      <c r="AI694" s="47">
        <f>IFERROR(AC694/S694,"")</f>
        <v/>
      </c>
      <c r="AJ694" s="47">
        <f>IFERROR(AH694/S694,"")</f>
        <v/>
      </c>
      <c r="AK694" s="116" t="n">
        <v>47</v>
      </c>
      <c r="AL694" s="116" t="n">
        <v>0</v>
      </c>
      <c r="AM694" s="118">
        <f>IFERROR(AL694/AA694,"")</f>
        <v/>
      </c>
      <c r="AN694" s="119">
        <f>IFERROR(R694/AL694,"")</f>
        <v/>
      </c>
      <c r="AO694" s="116" t="n">
        <v>0</v>
      </c>
      <c r="AP694" s="47">
        <f>IFERROR(AO694/AL694,"")</f>
        <v/>
      </c>
      <c r="AQ694" s="119">
        <f>IFERROR(R694/AO694,"")</f>
        <v/>
      </c>
      <c r="AR694" s="116" t="n">
        <v>0</v>
      </c>
      <c r="AS694" s="116" t="n">
        <v>0</v>
      </c>
      <c r="AT694" s="116">
        <f>AL694+AR694</f>
        <v/>
      </c>
      <c r="AU694" s="119">
        <f>IFERROR(AO694*Assumptions!$C$26*Assumptions!$C$27*INDEX(Assumptions!$C$18:$C$21,MATCH(H694,Assumptions!$B$18:$B$21,0)),0)</f>
        <v/>
      </c>
    </row>
    <row r="695">
      <c r="A695" s="114" t="n">
        <v>46254</v>
      </c>
      <c r="B695" s="42" t="inlineStr">
        <is>
          <t>Wk 34</t>
        </is>
      </c>
      <c r="C695" s="42" t="inlineStr">
        <is>
          <t>Thu</t>
        </is>
      </c>
      <c r="D695" s="42" t="inlineStr">
        <is>
          <t>Meta (FB/IG)</t>
        </is>
      </c>
      <c r="E695" s="42" t="inlineStr">
        <is>
          <t>Facebook + Instagram</t>
        </is>
      </c>
      <c r="F695" s="42" t="inlineStr">
        <is>
          <t>LEP_ZA_AUG26_META_TD_PANTERA_CONV</t>
        </is>
      </c>
      <c r="G695" s="42" t="inlineStr">
        <is>
          <t>Leads - Website Conversions</t>
        </is>
      </c>
      <c r="H695" s="42" t="inlineStr">
        <is>
          <t>PANTERA</t>
        </is>
      </c>
      <c r="I695" s="42" t="inlineStr">
        <is>
          <t>0% Deposit</t>
        </is>
      </c>
      <c r="J695" s="42" t="inlineStr">
        <is>
          <t>MET_PANTERA_INT_PREMIUM_ZA</t>
        </is>
      </c>
      <c r="K695" s="42" t="inlineStr">
        <is>
          <t>Interest</t>
        </is>
      </c>
      <c r="L695" s="42" t="inlineStr">
        <is>
          <t>PANTERA_CAR_5card_Premium_v1</t>
        </is>
      </c>
      <c r="M695" s="42" t="inlineStr">
        <is>
          <t>Carousel</t>
        </is>
      </c>
      <c r="N695" s="42" t="inlineStr">
        <is>
          <t>Five things that surprise PANTERA drivers</t>
        </is>
      </c>
      <c r="O695" s="42" t="inlineStr">
        <is>
          <t>Auction - Cost Cap</t>
        </is>
      </c>
      <c r="P695" s="42" t="inlineStr">
        <is>
          <t>Offsite Conversions</t>
        </is>
      </c>
      <c r="Q695" s="42" t="inlineStr">
        <is>
          <t>https://www.lepas-sa.co.za/offers/pantera</t>
        </is>
      </c>
      <c r="R695" s="115" t="n">
        <v>155.55</v>
      </c>
      <c r="S695" s="116" t="n">
        <v>1793</v>
      </c>
      <c r="T695" s="116" t="n">
        <v>1250</v>
      </c>
      <c r="U695" s="117">
        <f>IFERROR(S695/T695,"")</f>
        <v/>
      </c>
      <c r="V695" s="116" t="n">
        <v>36</v>
      </c>
      <c r="W695" s="116" t="n">
        <v>27</v>
      </c>
      <c r="X695" s="118">
        <f>IFERROR(W695/S695,"")</f>
        <v/>
      </c>
      <c r="Y695" s="115">
        <f>IFERROR(R695/W695,"")</f>
        <v/>
      </c>
      <c r="Z695" s="115">
        <f>IFERROR(R695/S695*1000,"")</f>
        <v/>
      </c>
      <c r="AA695" s="116" t="n">
        <v>23</v>
      </c>
      <c r="AB695" s="47">
        <f>IFERROR(AA695/W695,"")</f>
        <v/>
      </c>
      <c r="AC695" s="116" t="n">
        <v>0</v>
      </c>
      <c r="AD695" s="116" t="n">
        <v>0</v>
      </c>
      <c r="AE695" s="116" t="n">
        <v>0</v>
      </c>
      <c r="AF695" s="116" t="n">
        <v>0</v>
      </c>
      <c r="AG695" s="116" t="n">
        <v>0</v>
      </c>
      <c r="AH695" s="116" t="n">
        <v>0</v>
      </c>
      <c r="AI695" s="47">
        <f>IFERROR(AC695/S695,"")</f>
        <v/>
      </c>
      <c r="AJ695" s="47">
        <f>IFERROR(AH695/S695,"")</f>
        <v/>
      </c>
      <c r="AK695" s="116" t="n">
        <v>54</v>
      </c>
      <c r="AL695" s="116" t="n">
        <v>0</v>
      </c>
      <c r="AM695" s="118">
        <f>IFERROR(AL695/AA695,"")</f>
        <v/>
      </c>
      <c r="AN695" s="119">
        <f>IFERROR(R695/AL695,"")</f>
        <v/>
      </c>
      <c r="AO695" s="116" t="n">
        <v>0</v>
      </c>
      <c r="AP695" s="47">
        <f>IFERROR(AO695/AL695,"")</f>
        <v/>
      </c>
      <c r="AQ695" s="119">
        <f>IFERROR(R695/AO695,"")</f>
        <v/>
      </c>
      <c r="AR695" s="116" t="n">
        <v>0</v>
      </c>
      <c r="AS695" s="116" t="n">
        <v>0</v>
      </c>
      <c r="AT695" s="116">
        <f>AL695+AR695</f>
        <v/>
      </c>
      <c r="AU695" s="119">
        <f>IFERROR(AO695*Assumptions!$C$26*Assumptions!$C$27*INDEX(Assumptions!$C$18:$C$21,MATCH(H695,Assumptions!$B$18:$B$21,0)),0)</f>
        <v/>
      </c>
    </row>
    <row r="696">
      <c r="A696" s="114" t="n">
        <v>46255</v>
      </c>
      <c r="B696" s="42" t="inlineStr">
        <is>
          <t>Wk 34</t>
        </is>
      </c>
      <c r="C696" s="42" t="inlineStr">
        <is>
          <t>Fri</t>
        </is>
      </c>
      <c r="D696" s="42" t="inlineStr">
        <is>
          <t>Meta (FB/IG)</t>
        </is>
      </c>
      <c r="E696" s="42" t="inlineStr">
        <is>
          <t>Facebook + Instagram</t>
        </is>
      </c>
      <c r="F696" s="42" t="inlineStr">
        <is>
          <t>LEP_ZA_AUG26_META_TD_PANTERA_CONV</t>
        </is>
      </c>
      <c r="G696" s="42" t="inlineStr">
        <is>
          <t>Leads - Website Conversions</t>
        </is>
      </c>
      <c r="H696" s="42" t="inlineStr">
        <is>
          <t>PANTERA</t>
        </is>
      </c>
      <c r="I696" s="42" t="inlineStr">
        <is>
          <t>0% Deposit</t>
        </is>
      </c>
      <c r="J696" s="42" t="inlineStr">
        <is>
          <t>MET_PANTERA_INT_PREMIUM_ZA</t>
        </is>
      </c>
      <c r="K696" s="42" t="inlineStr">
        <is>
          <t>Interest</t>
        </is>
      </c>
      <c r="L696" s="42" t="inlineStr">
        <is>
          <t>PANTERA_CAR_5card_Premium_v1</t>
        </is>
      </c>
      <c r="M696" s="42" t="inlineStr">
        <is>
          <t>Carousel</t>
        </is>
      </c>
      <c r="N696" s="42" t="inlineStr">
        <is>
          <t>Five things that surprise PANTERA drivers</t>
        </is>
      </c>
      <c r="O696" s="42" t="inlineStr">
        <is>
          <t>Auction - Cost Cap</t>
        </is>
      </c>
      <c r="P696" s="42" t="inlineStr">
        <is>
          <t>Offsite Conversions</t>
        </is>
      </c>
      <c r="Q696" s="42" t="inlineStr">
        <is>
          <t>https://www.lepas-sa.co.za/offers/pantera</t>
        </is>
      </c>
      <c r="R696" s="115" t="n">
        <v>146.37</v>
      </c>
      <c r="S696" s="116" t="n">
        <v>2233</v>
      </c>
      <c r="T696" s="116" t="n">
        <v>1227</v>
      </c>
      <c r="U696" s="117">
        <f>IFERROR(S696/T696,"")</f>
        <v/>
      </c>
      <c r="V696" s="116" t="n">
        <v>24</v>
      </c>
      <c r="W696" s="116" t="n">
        <v>18</v>
      </c>
      <c r="X696" s="118">
        <f>IFERROR(W696/S696,"")</f>
        <v/>
      </c>
      <c r="Y696" s="115">
        <f>IFERROR(R696/W696,"")</f>
        <v/>
      </c>
      <c r="Z696" s="115">
        <f>IFERROR(R696/S696*1000,"")</f>
        <v/>
      </c>
      <c r="AA696" s="116" t="n">
        <v>15</v>
      </c>
      <c r="AB696" s="47">
        <f>IFERROR(AA696/W696,"")</f>
        <v/>
      </c>
      <c r="AC696" s="116" t="n">
        <v>0</v>
      </c>
      <c r="AD696" s="116" t="n">
        <v>0</v>
      </c>
      <c r="AE696" s="116" t="n">
        <v>0</v>
      </c>
      <c r="AF696" s="116" t="n">
        <v>0</v>
      </c>
      <c r="AG696" s="116" t="n">
        <v>0</v>
      </c>
      <c r="AH696" s="116" t="n">
        <v>0</v>
      </c>
      <c r="AI696" s="47">
        <f>IFERROR(AC696/S696,"")</f>
        <v/>
      </c>
      <c r="AJ696" s="47">
        <f>IFERROR(AH696/S696,"")</f>
        <v/>
      </c>
      <c r="AK696" s="116" t="n">
        <v>45</v>
      </c>
      <c r="AL696" s="116" t="n">
        <v>0</v>
      </c>
      <c r="AM696" s="118">
        <f>IFERROR(AL696/AA696,"")</f>
        <v/>
      </c>
      <c r="AN696" s="119">
        <f>IFERROR(R696/AL696,"")</f>
        <v/>
      </c>
      <c r="AO696" s="116" t="n">
        <v>0</v>
      </c>
      <c r="AP696" s="47">
        <f>IFERROR(AO696/AL696,"")</f>
        <v/>
      </c>
      <c r="AQ696" s="119">
        <f>IFERROR(R696/AO696,"")</f>
        <v/>
      </c>
      <c r="AR696" s="116" t="n">
        <v>0</v>
      </c>
      <c r="AS696" s="116" t="n">
        <v>0</v>
      </c>
      <c r="AT696" s="116">
        <f>AL696+AR696</f>
        <v/>
      </c>
      <c r="AU696" s="119">
        <f>IFERROR(AO696*Assumptions!$C$26*Assumptions!$C$27*INDEX(Assumptions!$C$18:$C$21,MATCH(H696,Assumptions!$B$18:$B$21,0)),0)</f>
        <v/>
      </c>
    </row>
    <row r="697">
      <c r="A697" s="114" t="n">
        <v>46256</v>
      </c>
      <c r="B697" s="42" t="inlineStr">
        <is>
          <t>Wk 34</t>
        </is>
      </c>
      <c r="C697" s="42" t="inlineStr">
        <is>
          <t>Sat</t>
        </is>
      </c>
      <c r="D697" s="42" t="inlineStr">
        <is>
          <t>Meta (FB/IG)</t>
        </is>
      </c>
      <c r="E697" s="42" t="inlineStr">
        <is>
          <t>Facebook + Instagram</t>
        </is>
      </c>
      <c r="F697" s="42" t="inlineStr">
        <is>
          <t>LEP_ZA_AUG26_META_TD_PANTERA_CONV</t>
        </is>
      </c>
      <c r="G697" s="42" t="inlineStr">
        <is>
          <t>Leads - Website Conversions</t>
        </is>
      </c>
      <c r="H697" s="42" t="inlineStr">
        <is>
          <t>PANTERA</t>
        </is>
      </c>
      <c r="I697" s="42" t="inlineStr">
        <is>
          <t>0% Deposit</t>
        </is>
      </c>
      <c r="J697" s="42" t="inlineStr">
        <is>
          <t>MET_PANTERA_INT_PREMIUM_ZA</t>
        </is>
      </c>
      <c r="K697" s="42" t="inlineStr">
        <is>
          <t>Interest</t>
        </is>
      </c>
      <c r="L697" s="42" t="inlineStr">
        <is>
          <t>PANTERA_CAR_5card_Premium_v1</t>
        </is>
      </c>
      <c r="M697" s="42" t="inlineStr">
        <is>
          <t>Carousel</t>
        </is>
      </c>
      <c r="N697" s="42" t="inlineStr">
        <is>
          <t>Five things that surprise PANTERA drivers</t>
        </is>
      </c>
      <c r="O697" s="42" t="inlineStr">
        <is>
          <t>Auction - Cost Cap</t>
        </is>
      </c>
      <c r="P697" s="42" t="inlineStr">
        <is>
          <t>Offsite Conversions</t>
        </is>
      </c>
      <c r="Q697" s="42" t="inlineStr">
        <is>
          <t>https://www.lepas-sa.co.za/offers/pantera</t>
        </is>
      </c>
      <c r="R697" s="115" t="n">
        <v>140.47</v>
      </c>
      <c r="S697" s="116" t="n">
        <v>1646</v>
      </c>
      <c r="T697" s="116" t="n">
        <v>965</v>
      </c>
      <c r="U697" s="117">
        <f>IFERROR(S697/T697,"")</f>
        <v/>
      </c>
      <c r="V697" s="116" t="n">
        <v>18</v>
      </c>
      <c r="W697" s="116" t="n">
        <v>15</v>
      </c>
      <c r="X697" s="118">
        <f>IFERROR(W697/S697,"")</f>
        <v/>
      </c>
      <c r="Y697" s="115">
        <f>IFERROR(R697/W697,"")</f>
        <v/>
      </c>
      <c r="Z697" s="115">
        <f>IFERROR(R697/S697*1000,"")</f>
        <v/>
      </c>
      <c r="AA697" s="116" t="n">
        <v>13</v>
      </c>
      <c r="AB697" s="47">
        <f>IFERROR(AA697/W697,"")</f>
        <v/>
      </c>
      <c r="AC697" s="116" t="n">
        <v>0</v>
      </c>
      <c r="AD697" s="116" t="n">
        <v>0</v>
      </c>
      <c r="AE697" s="116" t="n">
        <v>0</v>
      </c>
      <c r="AF697" s="116" t="n">
        <v>0</v>
      </c>
      <c r="AG697" s="116" t="n">
        <v>0</v>
      </c>
      <c r="AH697" s="116" t="n">
        <v>0</v>
      </c>
      <c r="AI697" s="47">
        <f>IFERROR(AC697/S697,"")</f>
        <v/>
      </c>
      <c r="AJ697" s="47">
        <f>IFERROR(AH697/S697,"")</f>
        <v/>
      </c>
      <c r="AK697" s="116" t="n">
        <v>39</v>
      </c>
      <c r="AL697" s="116" t="n">
        <v>0</v>
      </c>
      <c r="AM697" s="118">
        <f>IFERROR(AL697/AA697,"")</f>
        <v/>
      </c>
      <c r="AN697" s="119">
        <f>IFERROR(R697/AL697,"")</f>
        <v/>
      </c>
      <c r="AO697" s="116" t="n">
        <v>0</v>
      </c>
      <c r="AP697" s="47">
        <f>IFERROR(AO697/AL697,"")</f>
        <v/>
      </c>
      <c r="AQ697" s="119">
        <f>IFERROR(R697/AO697,"")</f>
        <v/>
      </c>
      <c r="AR697" s="116" t="n">
        <v>0</v>
      </c>
      <c r="AS697" s="116" t="n">
        <v>0</v>
      </c>
      <c r="AT697" s="116">
        <f>AL697+AR697</f>
        <v/>
      </c>
      <c r="AU697" s="119">
        <f>IFERROR(AO697*Assumptions!$C$26*Assumptions!$C$27*INDEX(Assumptions!$C$18:$C$21,MATCH(H697,Assumptions!$B$18:$B$21,0)),0)</f>
        <v/>
      </c>
    </row>
    <row r="698">
      <c r="A698" s="114" t="n">
        <v>46257</v>
      </c>
      <c r="B698" s="42" t="inlineStr">
        <is>
          <t>Wk 34</t>
        </is>
      </c>
      <c r="C698" s="42" t="inlineStr">
        <is>
          <t>Sun</t>
        </is>
      </c>
      <c r="D698" s="42" t="inlineStr">
        <is>
          <t>Meta (FB/IG)</t>
        </is>
      </c>
      <c r="E698" s="42" t="inlineStr">
        <is>
          <t>Facebook + Instagram</t>
        </is>
      </c>
      <c r="F698" s="42" t="inlineStr">
        <is>
          <t>LEP_ZA_AUG26_META_TD_PANTERA_CONV</t>
        </is>
      </c>
      <c r="G698" s="42" t="inlineStr">
        <is>
          <t>Leads - Website Conversions</t>
        </is>
      </c>
      <c r="H698" s="42" t="inlineStr">
        <is>
          <t>PANTERA</t>
        </is>
      </c>
      <c r="I698" s="42" t="inlineStr">
        <is>
          <t>0% Deposit</t>
        </is>
      </c>
      <c r="J698" s="42" t="inlineStr">
        <is>
          <t>MET_PANTERA_INT_PREMIUM_ZA</t>
        </is>
      </c>
      <c r="K698" s="42" t="inlineStr">
        <is>
          <t>Interest</t>
        </is>
      </c>
      <c r="L698" s="42" t="inlineStr">
        <is>
          <t>PANTERA_CAR_5card_Premium_v1</t>
        </is>
      </c>
      <c r="M698" s="42" t="inlineStr">
        <is>
          <t>Carousel</t>
        </is>
      </c>
      <c r="N698" s="42" t="inlineStr">
        <is>
          <t>Five things that surprise PANTERA drivers</t>
        </is>
      </c>
      <c r="O698" s="42" t="inlineStr">
        <is>
          <t>Auction - Cost Cap</t>
        </is>
      </c>
      <c r="P698" s="42" t="inlineStr">
        <is>
          <t>Offsite Conversions</t>
        </is>
      </c>
      <c r="Q698" s="42" t="inlineStr">
        <is>
          <t>https://www.lepas-sa.co.za/offers/pantera</t>
        </is>
      </c>
      <c r="R698" s="115" t="n">
        <v>110.94</v>
      </c>
      <c r="S698" s="116" t="n">
        <v>1510</v>
      </c>
      <c r="T698" s="116" t="n">
        <v>748</v>
      </c>
      <c r="U698" s="117">
        <f>IFERROR(S698/T698,"")</f>
        <v/>
      </c>
      <c r="V698" s="116" t="n">
        <v>30</v>
      </c>
      <c r="W698" s="116" t="n">
        <v>22</v>
      </c>
      <c r="X698" s="118">
        <f>IFERROR(W698/S698,"")</f>
        <v/>
      </c>
      <c r="Y698" s="115">
        <f>IFERROR(R698/W698,"")</f>
        <v/>
      </c>
      <c r="Z698" s="115">
        <f>IFERROR(R698/S698*1000,"")</f>
        <v/>
      </c>
      <c r="AA698" s="116" t="n">
        <v>18</v>
      </c>
      <c r="AB698" s="47">
        <f>IFERROR(AA698/W698,"")</f>
        <v/>
      </c>
      <c r="AC698" s="116" t="n">
        <v>0</v>
      </c>
      <c r="AD698" s="116" t="n">
        <v>0</v>
      </c>
      <c r="AE698" s="116" t="n">
        <v>0</v>
      </c>
      <c r="AF698" s="116" t="n">
        <v>0</v>
      </c>
      <c r="AG698" s="116" t="n">
        <v>0</v>
      </c>
      <c r="AH698" s="116" t="n">
        <v>0</v>
      </c>
      <c r="AI698" s="47">
        <f>IFERROR(AC698/S698,"")</f>
        <v/>
      </c>
      <c r="AJ698" s="47">
        <f>IFERROR(AH698/S698,"")</f>
        <v/>
      </c>
      <c r="AK698" s="116" t="n">
        <v>23</v>
      </c>
      <c r="AL698" s="116" t="n">
        <v>0</v>
      </c>
      <c r="AM698" s="118">
        <f>IFERROR(AL698/AA698,"")</f>
        <v/>
      </c>
      <c r="AN698" s="119">
        <f>IFERROR(R698/AL698,"")</f>
        <v/>
      </c>
      <c r="AO698" s="116" t="n">
        <v>0</v>
      </c>
      <c r="AP698" s="47">
        <f>IFERROR(AO698/AL698,"")</f>
        <v/>
      </c>
      <c r="AQ698" s="119">
        <f>IFERROR(R698/AO698,"")</f>
        <v/>
      </c>
      <c r="AR698" s="116" t="n">
        <v>0</v>
      </c>
      <c r="AS698" s="116" t="n">
        <v>0</v>
      </c>
      <c r="AT698" s="116">
        <f>AL698+AR698</f>
        <v/>
      </c>
      <c r="AU698" s="119">
        <f>IFERROR(AO698*Assumptions!$C$26*Assumptions!$C$27*INDEX(Assumptions!$C$18:$C$21,MATCH(H698,Assumptions!$B$18:$B$21,0)),0)</f>
        <v/>
      </c>
    </row>
    <row r="699">
      <c r="A699" s="114" t="n">
        <v>46258</v>
      </c>
      <c r="B699" s="42" t="inlineStr">
        <is>
          <t>Wk 35</t>
        </is>
      </c>
      <c r="C699" s="42" t="inlineStr">
        <is>
          <t>Mon</t>
        </is>
      </c>
      <c r="D699" s="42" t="inlineStr">
        <is>
          <t>Meta (FB/IG)</t>
        </is>
      </c>
      <c r="E699" s="42" t="inlineStr">
        <is>
          <t>Facebook + Instagram</t>
        </is>
      </c>
      <c r="F699" s="42" t="inlineStr">
        <is>
          <t>LEP_ZA_AUG26_META_TD_PANTERA_CONV</t>
        </is>
      </c>
      <c r="G699" s="42" t="inlineStr">
        <is>
          <t>Leads - Website Conversions</t>
        </is>
      </c>
      <c r="H699" s="42" t="inlineStr">
        <is>
          <t>PANTERA</t>
        </is>
      </c>
      <c r="I699" s="42" t="inlineStr">
        <is>
          <t>0% Deposit</t>
        </is>
      </c>
      <c r="J699" s="42" t="inlineStr">
        <is>
          <t>MET_PANTERA_INT_PREMIUM_ZA</t>
        </is>
      </c>
      <c r="K699" s="42" t="inlineStr">
        <is>
          <t>Interest</t>
        </is>
      </c>
      <c r="L699" s="42" t="inlineStr">
        <is>
          <t>PANTERA_CAR_5card_Premium_v1</t>
        </is>
      </c>
      <c r="M699" s="42" t="inlineStr">
        <is>
          <t>Carousel</t>
        </is>
      </c>
      <c r="N699" s="42" t="inlineStr">
        <is>
          <t>Five things that surprise PANTERA drivers</t>
        </is>
      </c>
      <c r="O699" s="42" t="inlineStr">
        <is>
          <t>Auction - Cost Cap</t>
        </is>
      </c>
      <c r="P699" s="42" t="inlineStr">
        <is>
          <t>Offsite Conversions</t>
        </is>
      </c>
      <c r="Q699" s="42" t="inlineStr">
        <is>
          <t>https://www.lepas-sa.co.za/offers/pantera</t>
        </is>
      </c>
      <c r="R699" s="115" t="n">
        <v>112.52</v>
      </c>
      <c r="S699" s="116" t="n">
        <v>1182</v>
      </c>
      <c r="T699" s="116" t="n">
        <v>803</v>
      </c>
      <c r="U699" s="117">
        <f>IFERROR(S699/T699,"")</f>
        <v/>
      </c>
      <c r="V699" s="116" t="n">
        <v>22</v>
      </c>
      <c r="W699" s="116" t="n">
        <v>18</v>
      </c>
      <c r="X699" s="118">
        <f>IFERROR(W699/S699,"")</f>
        <v/>
      </c>
      <c r="Y699" s="115">
        <f>IFERROR(R699/W699,"")</f>
        <v/>
      </c>
      <c r="Z699" s="115">
        <f>IFERROR(R699/S699*1000,"")</f>
        <v/>
      </c>
      <c r="AA699" s="116" t="n">
        <v>16</v>
      </c>
      <c r="AB699" s="47">
        <f>IFERROR(AA699/W699,"")</f>
        <v/>
      </c>
      <c r="AC699" s="116" t="n">
        <v>0</v>
      </c>
      <c r="AD699" s="116" t="n">
        <v>0</v>
      </c>
      <c r="AE699" s="116" t="n">
        <v>0</v>
      </c>
      <c r="AF699" s="116" t="n">
        <v>0</v>
      </c>
      <c r="AG699" s="116" t="n">
        <v>0</v>
      </c>
      <c r="AH699" s="116" t="n">
        <v>0</v>
      </c>
      <c r="AI699" s="47">
        <f>IFERROR(AC699/S699,"")</f>
        <v/>
      </c>
      <c r="AJ699" s="47">
        <f>IFERROR(AH699/S699,"")</f>
        <v/>
      </c>
      <c r="AK699" s="116" t="n">
        <v>24</v>
      </c>
      <c r="AL699" s="116" t="n">
        <v>0</v>
      </c>
      <c r="AM699" s="118">
        <f>IFERROR(AL699/AA699,"")</f>
        <v/>
      </c>
      <c r="AN699" s="119">
        <f>IFERROR(R699/AL699,"")</f>
        <v/>
      </c>
      <c r="AO699" s="116" t="n">
        <v>0</v>
      </c>
      <c r="AP699" s="47">
        <f>IFERROR(AO699/AL699,"")</f>
        <v/>
      </c>
      <c r="AQ699" s="119">
        <f>IFERROR(R699/AO699,"")</f>
        <v/>
      </c>
      <c r="AR699" s="116" t="n">
        <v>0</v>
      </c>
      <c r="AS699" s="116" t="n">
        <v>0</v>
      </c>
      <c r="AT699" s="116">
        <f>AL699+AR699</f>
        <v/>
      </c>
      <c r="AU699" s="119">
        <f>IFERROR(AO699*Assumptions!$C$26*Assumptions!$C$27*INDEX(Assumptions!$C$18:$C$21,MATCH(H699,Assumptions!$B$18:$B$21,0)),0)</f>
        <v/>
      </c>
    </row>
    <row r="700">
      <c r="A700" s="114" t="n">
        <v>46259</v>
      </c>
      <c r="B700" s="42" t="inlineStr">
        <is>
          <t>Wk 35</t>
        </is>
      </c>
      <c r="C700" s="42" t="inlineStr">
        <is>
          <t>Tue</t>
        </is>
      </c>
      <c r="D700" s="42" t="inlineStr">
        <is>
          <t>Meta (FB/IG)</t>
        </is>
      </c>
      <c r="E700" s="42" t="inlineStr">
        <is>
          <t>Facebook + Instagram</t>
        </is>
      </c>
      <c r="F700" s="42" t="inlineStr">
        <is>
          <t>LEP_ZA_AUG26_META_TD_PANTERA_CONV</t>
        </is>
      </c>
      <c r="G700" s="42" t="inlineStr">
        <is>
          <t>Leads - Website Conversions</t>
        </is>
      </c>
      <c r="H700" s="42" t="inlineStr">
        <is>
          <t>PANTERA</t>
        </is>
      </c>
      <c r="I700" s="42" t="inlineStr">
        <is>
          <t>0% Deposit</t>
        </is>
      </c>
      <c r="J700" s="42" t="inlineStr">
        <is>
          <t>MET_PANTERA_INT_PREMIUM_ZA</t>
        </is>
      </c>
      <c r="K700" s="42" t="inlineStr">
        <is>
          <t>Interest</t>
        </is>
      </c>
      <c r="L700" s="42" t="inlineStr">
        <is>
          <t>PANTERA_CAR_5card_Premium_v1</t>
        </is>
      </c>
      <c r="M700" s="42" t="inlineStr">
        <is>
          <t>Carousel</t>
        </is>
      </c>
      <c r="N700" s="42" t="inlineStr">
        <is>
          <t>Five things that surprise PANTERA drivers</t>
        </is>
      </c>
      <c r="O700" s="42" t="inlineStr">
        <is>
          <t>Auction - Cost Cap</t>
        </is>
      </c>
      <c r="P700" s="42" t="inlineStr">
        <is>
          <t>Offsite Conversions</t>
        </is>
      </c>
      <c r="Q700" s="42" t="inlineStr">
        <is>
          <t>https://www.lepas-sa.co.za/offers/pantera</t>
        </is>
      </c>
      <c r="R700" s="115" t="n">
        <v>122.07</v>
      </c>
      <c r="S700" s="116" t="n">
        <v>1670</v>
      </c>
      <c r="T700" s="116" t="n">
        <v>953</v>
      </c>
      <c r="U700" s="117">
        <f>IFERROR(S700/T700,"")</f>
        <v/>
      </c>
      <c r="V700" s="116" t="n">
        <v>14</v>
      </c>
      <c r="W700" s="116" t="n">
        <v>12</v>
      </c>
      <c r="X700" s="118">
        <f>IFERROR(W700/S700,"")</f>
        <v/>
      </c>
      <c r="Y700" s="115">
        <f>IFERROR(R700/W700,"")</f>
        <v/>
      </c>
      <c r="Z700" s="115">
        <f>IFERROR(R700/S700*1000,"")</f>
        <v/>
      </c>
      <c r="AA700" s="116" t="n">
        <v>10</v>
      </c>
      <c r="AB700" s="47">
        <f>IFERROR(AA700/W700,"")</f>
        <v/>
      </c>
      <c r="AC700" s="116" t="n">
        <v>0</v>
      </c>
      <c r="AD700" s="116" t="n">
        <v>0</v>
      </c>
      <c r="AE700" s="116" t="n">
        <v>0</v>
      </c>
      <c r="AF700" s="116" t="n">
        <v>0</v>
      </c>
      <c r="AG700" s="116" t="n">
        <v>0</v>
      </c>
      <c r="AH700" s="116" t="n">
        <v>0</v>
      </c>
      <c r="AI700" s="47">
        <f>IFERROR(AC700/S700,"")</f>
        <v/>
      </c>
      <c r="AJ700" s="47">
        <f>IFERROR(AH700/S700,"")</f>
        <v/>
      </c>
      <c r="AK700" s="116" t="n">
        <v>35</v>
      </c>
      <c r="AL700" s="116" t="n">
        <v>0</v>
      </c>
      <c r="AM700" s="118">
        <f>IFERROR(AL700/AA700,"")</f>
        <v/>
      </c>
      <c r="AN700" s="119">
        <f>IFERROR(R700/AL700,"")</f>
        <v/>
      </c>
      <c r="AO700" s="116" t="n">
        <v>0</v>
      </c>
      <c r="AP700" s="47">
        <f>IFERROR(AO700/AL700,"")</f>
        <v/>
      </c>
      <c r="AQ700" s="119">
        <f>IFERROR(R700/AO700,"")</f>
        <v/>
      </c>
      <c r="AR700" s="116" t="n">
        <v>0</v>
      </c>
      <c r="AS700" s="116" t="n">
        <v>0</v>
      </c>
      <c r="AT700" s="116">
        <f>AL700+AR700</f>
        <v/>
      </c>
      <c r="AU700" s="119">
        <f>IFERROR(AO700*Assumptions!$C$26*Assumptions!$C$27*INDEX(Assumptions!$C$18:$C$21,MATCH(H700,Assumptions!$B$18:$B$21,0)),0)</f>
        <v/>
      </c>
    </row>
    <row r="701">
      <c r="A701" s="114" t="n">
        <v>46260</v>
      </c>
      <c r="B701" s="42" t="inlineStr">
        <is>
          <t>Wk 35</t>
        </is>
      </c>
      <c r="C701" s="42" t="inlineStr">
        <is>
          <t>Wed</t>
        </is>
      </c>
      <c r="D701" s="42" t="inlineStr">
        <is>
          <t>Meta (FB/IG)</t>
        </is>
      </c>
      <c r="E701" s="42" t="inlineStr">
        <is>
          <t>Facebook + Instagram</t>
        </is>
      </c>
      <c r="F701" s="42" t="inlineStr">
        <is>
          <t>LEP_ZA_AUG26_META_TD_PANTERA_CONV</t>
        </is>
      </c>
      <c r="G701" s="42" t="inlineStr">
        <is>
          <t>Leads - Website Conversions</t>
        </is>
      </c>
      <c r="H701" s="42" t="inlineStr">
        <is>
          <t>PANTERA</t>
        </is>
      </c>
      <c r="I701" s="42" t="inlineStr">
        <is>
          <t>0% Deposit</t>
        </is>
      </c>
      <c r="J701" s="42" t="inlineStr">
        <is>
          <t>MET_PANTERA_INT_PREMIUM_ZA</t>
        </is>
      </c>
      <c r="K701" s="42" t="inlineStr">
        <is>
          <t>Interest</t>
        </is>
      </c>
      <c r="L701" s="42" t="inlineStr">
        <is>
          <t>PANTERA_CAR_5card_Premium_v1</t>
        </is>
      </c>
      <c r="M701" s="42" t="inlineStr">
        <is>
          <t>Carousel</t>
        </is>
      </c>
      <c r="N701" s="42" t="inlineStr">
        <is>
          <t>Five things that surprise PANTERA drivers</t>
        </is>
      </c>
      <c r="O701" s="42" t="inlineStr">
        <is>
          <t>Auction - Cost Cap</t>
        </is>
      </c>
      <c r="P701" s="42" t="inlineStr">
        <is>
          <t>Offsite Conversions</t>
        </is>
      </c>
      <c r="Q701" s="42" t="inlineStr">
        <is>
          <t>https://www.lepas-sa.co.za/offers/pantera</t>
        </is>
      </c>
      <c r="R701" s="115" t="n">
        <v>118.26</v>
      </c>
      <c r="S701" s="116" t="n">
        <v>1568</v>
      </c>
      <c r="T701" s="116" t="n">
        <v>754</v>
      </c>
      <c r="U701" s="117">
        <f>IFERROR(S701/T701,"")</f>
        <v/>
      </c>
      <c r="V701" s="116" t="n">
        <v>17</v>
      </c>
      <c r="W701" s="116" t="n">
        <v>12</v>
      </c>
      <c r="X701" s="118">
        <f>IFERROR(W701/S701,"")</f>
        <v/>
      </c>
      <c r="Y701" s="115">
        <f>IFERROR(R701/W701,"")</f>
        <v/>
      </c>
      <c r="Z701" s="115">
        <f>IFERROR(R701/S701*1000,"")</f>
        <v/>
      </c>
      <c r="AA701" s="116" t="n">
        <v>10</v>
      </c>
      <c r="AB701" s="47">
        <f>IFERROR(AA701/W701,"")</f>
        <v/>
      </c>
      <c r="AC701" s="116" t="n">
        <v>0</v>
      </c>
      <c r="AD701" s="116" t="n">
        <v>0</v>
      </c>
      <c r="AE701" s="116" t="n">
        <v>0</v>
      </c>
      <c r="AF701" s="116" t="n">
        <v>0</v>
      </c>
      <c r="AG701" s="116" t="n">
        <v>0</v>
      </c>
      <c r="AH701" s="116" t="n">
        <v>0</v>
      </c>
      <c r="AI701" s="47">
        <f>IFERROR(AC701/S701,"")</f>
        <v/>
      </c>
      <c r="AJ701" s="47">
        <f>IFERROR(AH701/S701,"")</f>
        <v/>
      </c>
      <c r="AK701" s="116" t="n">
        <v>41</v>
      </c>
      <c r="AL701" s="116" t="n">
        <v>1</v>
      </c>
      <c r="AM701" s="118">
        <f>IFERROR(AL701/AA701,"")</f>
        <v/>
      </c>
      <c r="AN701" s="119">
        <f>IFERROR(R701/AL701,"")</f>
        <v/>
      </c>
      <c r="AO701" s="116" t="n">
        <v>1</v>
      </c>
      <c r="AP701" s="47">
        <f>IFERROR(AO701/AL701,"")</f>
        <v/>
      </c>
      <c r="AQ701" s="119">
        <f>IFERROR(R701/AO701,"")</f>
        <v/>
      </c>
      <c r="AR701" s="116" t="n">
        <v>0</v>
      </c>
      <c r="AS701" s="116" t="n">
        <v>0</v>
      </c>
      <c r="AT701" s="116">
        <f>AL701+AR701</f>
        <v/>
      </c>
      <c r="AU701" s="119">
        <f>IFERROR(AO701*Assumptions!$C$26*Assumptions!$C$27*INDEX(Assumptions!$C$18:$C$21,MATCH(H701,Assumptions!$B$18:$B$21,0)),0)</f>
        <v/>
      </c>
    </row>
    <row r="702">
      <c r="A702" s="114" t="n">
        <v>46261</v>
      </c>
      <c r="B702" s="42" t="inlineStr">
        <is>
          <t>Wk 35</t>
        </is>
      </c>
      <c r="C702" s="42" t="inlineStr">
        <is>
          <t>Thu</t>
        </is>
      </c>
      <c r="D702" s="42" t="inlineStr">
        <is>
          <t>Meta (FB/IG)</t>
        </is>
      </c>
      <c r="E702" s="42" t="inlineStr">
        <is>
          <t>Facebook + Instagram</t>
        </is>
      </c>
      <c r="F702" s="42" t="inlineStr">
        <is>
          <t>LEP_ZA_AUG26_META_TD_PANTERA_CONV</t>
        </is>
      </c>
      <c r="G702" s="42" t="inlineStr">
        <is>
          <t>Leads - Website Conversions</t>
        </is>
      </c>
      <c r="H702" s="42" t="inlineStr">
        <is>
          <t>PANTERA</t>
        </is>
      </c>
      <c r="I702" s="42" t="inlineStr">
        <is>
          <t>0% Deposit</t>
        </is>
      </c>
      <c r="J702" s="42" t="inlineStr">
        <is>
          <t>MET_PANTERA_INT_PREMIUM_ZA</t>
        </is>
      </c>
      <c r="K702" s="42" t="inlineStr">
        <is>
          <t>Interest</t>
        </is>
      </c>
      <c r="L702" s="42" t="inlineStr">
        <is>
          <t>PANTERA_CAR_5card_Premium_v1</t>
        </is>
      </c>
      <c r="M702" s="42" t="inlineStr">
        <is>
          <t>Carousel</t>
        </is>
      </c>
      <c r="N702" s="42" t="inlineStr">
        <is>
          <t>Five things that surprise PANTERA drivers</t>
        </is>
      </c>
      <c r="O702" s="42" t="inlineStr">
        <is>
          <t>Auction - Cost Cap</t>
        </is>
      </c>
      <c r="P702" s="42" t="inlineStr">
        <is>
          <t>Offsite Conversions</t>
        </is>
      </c>
      <c r="Q702" s="42" t="inlineStr">
        <is>
          <t>https://www.lepas-sa.co.za/offers/pantera</t>
        </is>
      </c>
      <c r="R702" s="115" t="n">
        <v>178.27</v>
      </c>
      <c r="S702" s="116" t="n">
        <v>2265</v>
      </c>
      <c r="T702" s="116" t="n">
        <v>1185</v>
      </c>
      <c r="U702" s="117">
        <f>IFERROR(S702/T702,"")</f>
        <v/>
      </c>
      <c r="V702" s="116" t="n">
        <v>42</v>
      </c>
      <c r="W702" s="116" t="n">
        <v>31</v>
      </c>
      <c r="X702" s="118">
        <f>IFERROR(W702/S702,"")</f>
        <v/>
      </c>
      <c r="Y702" s="115">
        <f>IFERROR(R702/W702,"")</f>
        <v/>
      </c>
      <c r="Z702" s="115">
        <f>IFERROR(R702/S702*1000,"")</f>
        <v/>
      </c>
      <c r="AA702" s="116" t="n">
        <v>28</v>
      </c>
      <c r="AB702" s="47">
        <f>IFERROR(AA702/W702,"")</f>
        <v/>
      </c>
      <c r="AC702" s="116" t="n">
        <v>0</v>
      </c>
      <c r="AD702" s="116" t="n">
        <v>0</v>
      </c>
      <c r="AE702" s="116" t="n">
        <v>0</v>
      </c>
      <c r="AF702" s="116" t="n">
        <v>0</v>
      </c>
      <c r="AG702" s="116" t="n">
        <v>0</v>
      </c>
      <c r="AH702" s="116" t="n">
        <v>0</v>
      </c>
      <c r="AI702" s="47">
        <f>IFERROR(AC702/S702,"")</f>
        <v/>
      </c>
      <c r="AJ702" s="47">
        <f>IFERROR(AH702/S702,"")</f>
        <v/>
      </c>
      <c r="AK702" s="116" t="n">
        <v>32</v>
      </c>
      <c r="AL702" s="116" t="n">
        <v>0</v>
      </c>
      <c r="AM702" s="118">
        <f>IFERROR(AL702/AA702,"")</f>
        <v/>
      </c>
      <c r="AN702" s="119">
        <f>IFERROR(R702/AL702,"")</f>
        <v/>
      </c>
      <c r="AO702" s="116" t="n">
        <v>0</v>
      </c>
      <c r="AP702" s="47">
        <f>IFERROR(AO702/AL702,"")</f>
        <v/>
      </c>
      <c r="AQ702" s="119">
        <f>IFERROR(R702/AO702,"")</f>
        <v/>
      </c>
      <c r="AR702" s="116" t="n">
        <v>0</v>
      </c>
      <c r="AS702" s="116" t="n">
        <v>0</v>
      </c>
      <c r="AT702" s="116">
        <f>AL702+AR702</f>
        <v/>
      </c>
      <c r="AU702" s="119">
        <f>IFERROR(AO702*Assumptions!$C$26*Assumptions!$C$27*INDEX(Assumptions!$C$18:$C$21,MATCH(H702,Assumptions!$B$18:$B$21,0)),0)</f>
        <v/>
      </c>
    </row>
    <row r="703">
      <c r="A703" s="114" t="n">
        <v>46262</v>
      </c>
      <c r="B703" s="42" t="inlineStr">
        <is>
          <t>Wk 35</t>
        </is>
      </c>
      <c r="C703" s="42" t="inlineStr">
        <is>
          <t>Fri</t>
        </is>
      </c>
      <c r="D703" s="42" t="inlineStr">
        <is>
          <t>Meta (FB/IG)</t>
        </is>
      </c>
      <c r="E703" s="42" t="inlineStr">
        <is>
          <t>Facebook + Instagram</t>
        </is>
      </c>
      <c r="F703" s="42" t="inlineStr">
        <is>
          <t>LEP_ZA_AUG26_META_TD_PANTERA_CONV</t>
        </is>
      </c>
      <c r="G703" s="42" t="inlineStr">
        <is>
          <t>Leads - Website Conversions</t>
        </is>
      </c>
      <c r="H703" s="42" t="inlineStr">
        <is>
          <t>PANTERA</t>
        </is>
      </c>
      <c r="I703" s="42" t="inlineStr">
        <is>
          <t>0% Deposit</t>
        </is>
      </c>
      <c r="J703" s="42" t="inlineStr">
        <is>
          <t>MET_PANTERA_INT_PREMIUM_ZA</t>
        </is>
      </c>
      <c r="K703" s="42" t="inlineStr">
        <is>
          <t>Interest</t>
        </is>
      </c>
      <c r="L703" s="42" t="inlineStr">
        <is>
          <t>PANTERA_CAR_5card_Premium_v1</t>
        </is>
      </c>
      <c r="M703" s="42" t="inlineStr">
        <is>
          <t>Carousel</t>
        </is>
      </c>
      <c r="N703" s="42" t="inlineStr">
        <is>
          <t>Five things that surprise PANTERA drivers</t>
        </is>
      </c>
      <c r="O703" s="42" t="inlineStr">
        <is>
          <t>Auction - Cost Cap</t>
        </is>
      </c>
      <c r="P703" s="42" t="inlineStr">
        <is>
          <t>Offsite Conversions</t>
        </is>
      </c>
      <c r="Q703" s="42" t="inlineStr">
        <is>
          <t>https://www.lepas-sa.co.za/offers/pantera</t>
        </is>
      </c>
      <c r="R703" s="115" t="n">
        <v>173.1</v>
      </c>
      <c r="S703" s="116" t="n">
        <v>2601</v>
      </c>
      <c r="T703" s="116" t="n">
        <v>1633</v>
      </c>
      <c r="U703" s="117">
        <f>IFERROR(S703/T703,"")</f>
        <v/>
      </c>
      <c r="V703" s="116" t="n">
        <v>32</v>
      </c>
      <c r="W703" s="116" t="n">
        <v>25</v>
      </c>
      <c r="X703" s="118">
        <f>IFERROR(W703/S703,"")</f>
        <v/>
      </c>
      <c r="Y703" s="115">
        <f>IFERROR(R703/W703,"")</f>
        <v/>
      </c>
      <c r="Z703" s="115">
        <f>IFERROR(R703/S703*1000,"")</f>
        <v/>
      </c>
      <c r="AA703" s="116" t="n">
        <v>22</v>
      </c>
      <c r="AB703" s="47">
        <f>IFERROR(AA703/W703,"")</f>
        <v/>
      </c>
      <c r="AC703" s="116" t="n">
        <v>0</v>
      </c>
      <c r="AD703" s="116" t="n">
        <v>0</v>
      </c>
      <c r="AE703" s="116" t="n">
        <v>0</v>
      </c>
      <c r="AF703" s="116" t="n">
        <v>0</v>
      </c>
      <c r="AG703" s="116" t="n">
        <v>0</v>
      </c>
      <c r="AH703" s="116" t="n">
        <v>0</v>
      </c>
      <c r="AI703" s="47">
        <f>IFERROR(AC703/S703,"")</f>
        <v/>
      </c>
      <c r="AJ703" s="47">
        <f>IFERROR(AH703/S703,"")</f>
        <v/>
      </c>
      <c r="AK703" s="116" t="n">
        <v>87</v>
      </c>
      <c r="AL703" s="116" t="n">
        <v>0</v>
      </c>
      <c r="AM703" s="118">
        <f>IFERROR(AL703/AA703,"")</f>
        <v/>
      </c>
      <c r="AN703" s="119">
        <f>IFERROR(R703/AL703,"")</f>
        <v/>
      </c>
      <c r="AO703" s="116" t="n">
        <v>0</v>
      </c>
      <c r="AP703" s="47">
        <f>IFERROR(AO703/AL703,"")</f>
        <v/>
      </c>
      <c r="AQ703" s="119">
        <f>IFERROR(R703/AO703,"")</f>
        <v/>
      </c>
      <c r="AR703" s="116" t="n">
        <v>0</v>
      </c>
      <c r="AS703" s="116" t="n">
        <v>0</v>
      </c>
      <c r="AT703" s="116">
        <f>AL703+AR703</f>
        <v/>
      </c>
      <c r="AU703" s="119">
        <f>IFERROR(AO703*Assumptions!$C$26*Assumptions!$C$27*INDEX(Assumptions!$C$18:$C$21,MATCH(H703,Assumptions!$B$18:$B$21,0)),0)</f>
        <v/>
      </c>
    </row>
    <row r="704">
      <c r="A704" s="114" t="n">
        <v>46263</v>
      </c>
      <c r="B704" s="42" t="inlineStr">
        <is>
          <t>Wk 35</t>
        </is>
      </c>
      <c r="C704" s="42" t="inlineStr">
        <is>
          <t>Sat</t>
        </is>
      </c>
      <c r="D704" s="42" t="inlineStr">
        <is>
          <t>Meta (FB/IG)</t>
        </is>
      </c>
      <c r="E704" s="42" t="inlineStr">
        <is>
          <t>Facebook + Instagram</t>
        </is>
      </c>
      <c r="F704" s="42" t="inlineStr">
        <is>
          <t>LEP_ZA_AUG26_META_TD_PANTERA_CONV</t>
        </is>
      </c>
      <c r="G704" s="42" t="inlineStr">
        <is>
          <t>Leads - Website Conversions</t>
        </is>
      </c>
      <c r="H704" s="42" t="inlineStr">
        <is>
          <t>PANTERA</t>
        </is>
      </c>
      <c r="I704" s="42" t="inlineStr">
        <is>
          <t>0% Deposit</t>
        </is>
      </c>
      <c r="J704" s="42" t="inlineStr">
        <is>
          <t>MET_PANTERA_INT_PREMIUM_ZA</t>
        </is>
      </c>
      <c r="K704" s="42" t="inlineStr">
        <is>
          <t>Interest</t>
        </is>
      </c>
      <c r="L704" s="42" t="inlineStr">
        <is>
          <t>PANTERA_CAR_5card_Premium_v1</t>
        </is>
      </c>
      <c r="M704" s="42" t="inlineStr">
        <is>
          <t>Carousel</t>
        </is>
      </c>
      <c r="N704" s="42" t="inlineStr">
        <is>
          <t>Five things that surprise PANTERA drivers</t>
        </is>
      </c>
      <c r="O704" s="42" t="inlineStr">
        <is>
          <t>Auction - Cost Cap</t>
        </is>
      </c>
      <c r="P704" s="42" t="inlineStr">
        <is>
          <t>Offsite Conversions</t>
        </is>
      </c>
      <c r="Q704" s="42" t="inlineStr">
        <is>
          <t>https://www.lepas-sa.co.za/offers/pantera</t>
        </is>
      </c>
      <c r="R704" s="115" t="n">
        <v>146.38</v>
      </c>
      <c r="S704" s="116" t="n">
        <v>2086</v>
      </c>
      <c r="T704" s="116" t="n">
        <v>969</v>
      </c>
      <c r="U704" s="117">
        <f>IFERROR(S704/T704,"")</f>
        <v/>
      </c>
      <c r="V704" s="116" t="n">
        <v>22</v>
      </c>
      <c r="W704" s="116" t="n">
        <v>17</v>
      </c>
      <c r="X704" s="118">
        <f>IFERROR(W704/S704,"")</f>
        <v/>
      </c>
      <c r="Y704" s="115">
        <f>IFERROR(R704/W704,"")</f>
        <v/>
      </c>
      <c r="Z704" s="115">
        <f>IFERROR(R704/S704*1000,"")</f>
        <v/>
      </c>
      <c r="AA704" s="116" t="n">
        <v>14</v>
      </c>
      <c r="AB704" s="47">
        <f>IFERROR(AA704/W704,"")</f>
        <v/>
      </c>
      <c r="AC704" s="116" t="n">
        <v>0</v>
      </c>
      <c r="AD704" s="116" t="n">
        <v>0</v>
      </c>
      <c r="AE704" s="116" t="n">
        <v>0</v>
      </c>
      <c r="AF704" s="116" t="n">
        <v>0</v>
      </c>
      <c r="AG704" s="116" t="n">
        <v>0</v>
      </c>
      <c r="AH704" s="116" t="n">
        <v>0</v>
      </c>
      <c r="AI704" s="47">
        <f>IFERROR(AC704/S704,"")</f>
        <v/>
      </c>
      <c r="AJ704" s="47">
        <f>IFERROR(AH704/S704,"")</f>
        <v/>
      </c>
      <c r="AK704" s="116" t="n">
        <v>23</v>
      </c>
      <c r="AL704" s="116" t="n">
        <v>0</v>
      </c>
      <c r="AM704" s="118">
        <f>IFERROR(AL704/AA704,"")</f>
        <v/>
      </c>
      <c r="AN704" s="119">
        <f>IFERROR(R704/AL704,"")</f>
        <v/>
      </c>
      <c r="AO704" s="116" t="n">
        <v>0</v>
      </c>
      <c r="AP704" s="47">
        <f>IFERROR(AO704/AL704,"")</f>
        <v/>
      </c>
      <c r="AQ704" s="119">
        <f>IFERROR(R704/AO704,"")</f>
        <v/>
      </c>
      <c r="AR704" s="116" t="n">
        <v>0</v>
      </c>
      <c r="AS704" s="116" t="n">
        <v>0</v>
      </c>
      <c r="AT704" s="116">
        <f>AL704+AR704</f>
        <v/>
      </c>
      <c r="AU704" s="119">
        <f>IFERROR(AO704*Assumptions!$C$26*Assumptions!$C$27*INDEX(Assumptions!$C$18:$C$21,MATCH(H704,Assumptions!$B$18:$B$21,0)),0)</f>
        <v/>
      </c>
    </row>
    <row r="705">
      <c r="A705" s="114" t="n">
        <v>46264</v>
      </c>
      <c r="B705" s="42" t="inlineStr">
        <is>
          <t>Wk 35</t>
        </is>
      </c>
      <c r="C705" s="42" t="inlineStr">
        <is>
          <t>Sun</t>
        </is>
      </c>
      <c r="D705" s="42" t="inlineStr">
        <is>
          <t>Meta (FB/IG)</t>
        </is>
      </c>
      <c r="E705" s="42" t="inlineStr">
        <is>
          <t>Facebook + Instagram</t>
        </is>
      </c>
      <c r="F705" s="42" t="inlineStr">
        <is>
          <t>LEP_ZA_AUG26_META_TD_PANTERA_CONV</t>
        </is>
      </c>
      <c r="G705" s="42" t="inlineStr">
        <is>
          <t>Leads - Website Conversions</t>
        </is>
      </c>
      <c r="H705" s="42" t="inlineStr">
        <is>
          <t>PANTERA</t>
        </is>
      </c>
      <c r="I705" s="42" t="inlineStr">
        <is>
          <t>0% Deposit</t>
        </is>
      </c>
      <c r="J705" s="42" t="inlineStr">
        <is>
          <t>MET_PANTERA_INT_PREMIUM_ZA</t>
        </is>
      </c>
      <c r="K705" s="42" t="inlineStr">
        <is>
          <t>Interest</t>
        </is>
      </c>
      <c r="L705" s="42" t="inlineStr">
        <is>
          <t>PANTERA_CAR_5card_Premium_v1</t>
        </is>
      </c>
      <c r="M705" s="42" t="inlineStr">
        <is>
          <t>Carousel</t>
        </is>
      </c>
      <c r="N705" s="42" t="inlineStr">
        <is>
          <t>Five things that surprise PANTERA drivers</t>
        </is>
      </c>
      <c r="O705" s="42" t="inlineStr">
        <is>
          <t>Auction - Cost Cap</t>
        </is>
      </c>
      <c r="P705" s="42" t="inlineStr">
        <is>
          <t>Offsite Conversions</t>
        </is>
      </c>
      <c r="Q705" s="42" t="inlineStr">
        <is>
          <t>https://www.lepas-sa.co.za/offers/pantera</t>
        </is>
      </c>
      <c r="R705" s="115" t="n">
        <v>137.13</v>
      </c>
      <c r="S705" s="116" t="n">
        <v>1572</v>
      </c>
      <c r="T705" s="116" t="n">
        <v>845</v>
      </c>
      <c r="U705" s="117">
        <f>IFERROR(S705/T705,"")</f>
        <v/>
      </c>
      <c r="V705" s="116" t="n">
        <v>21</v>
      </c>
      <c r="W705" s="116" t="n">
        <v>16</v>
      </c>
      <c r="X705" s="118">
        <f>IFERROR(W705/S705,"")</f>
        <v/>
      </c>
      <c r="Y705" s="115">
        <f>IFERROR(R705/W705,"")</f>
        <v/>
      </c>
      <c r="Z705" s="115">
        <f>IFERROR(R705/S705*1000,"")</f>
        <v/>
      </c>
      <c r="AA705" s="116" t="n">
        <v>14</v>
      </c>
      <c r="AB705" s="47">
        <f>IFERROR(AA705/W705,"")</f>
        <v/>
      </c>
      <c r="AC705" s="116" t="n">
        <v>0</v>
      </c>
      <c r="AD705" s="116" t="n">
        <v>0</v>
      </c>
      <c r="AE705" s="116" t="n">
        <v>0</v>
      </c>
      <c r="AF705" s="116" t="n">
        <v>0</v>
      </c>
      <c r="AG705" s="116" t="n">
        <v>0</v>
      </c>
      <c r="AH705" s="116" t="n">
        <v>0</v>
      </c>
      <c r="AI705" s="47">
        <f>IFERROR(AC705/S705,"")</f>
        <v/>
      </c>
      <c r="AJ705" s="47">
        <f>IFERROR(AH705/S705,"")</f>
        <v/>
      </c>
      <c r="AK705" s="116" t="n">
        <v>24</v>
      </c>
      <c r="AL705" s="116" t="n">
        <v>0</v>
      </c>
      <c r="AM705" s="118">
        <f>IFERROR(AL705/AA705,"")</f>
        <v/>
      </c>
      <c r="AN705" s="119">
        <f>IFERROR(R705/AL705,"")</f>
        <v/>
      </c>
      <c r="AO705" s="116" t="n">
        <v>0</v>
      </c>
      <c r="AP705" s="47">
        <f>IFERROR(AO705/AL705,"")</f>
        <v/>
      </c>
      <c r="AQ705" s="119">
        <f>IFERROR(R705/AO705,"")</f>
        <v/>
      </c>
      <c r="AR705" s="116" t="n">
        <v>0</v>
      </c>
      <c r="AS705" s="116" t="n">
        <v>0</v>
      </c>
      <c r="AT705" s="116">
        <f>AL705+AR705</f>
        <v/>
      </c>
      <c r="AU705" s="119">
        <f>IFERROR(AO705*Assumptions!$C$26*Assumptions!$C$27*INDEX(Assumptions!$C$18:$C$21,MATCH(H705,Assumptions!$B$18:$B$21,0)),0)</f>
        <v/>
      </c>
    </row>
    <row r="706">
      <c r="A706" s="114" t="n">
        <v>46265</v>
      </c>
      <c r="B706" s="42" t="inlineStr">
        <is>
          <t>Wk 36</t>
        </is>
      </c>
      <c r="C706" s="42" t="inlineStr">
        <is>
          <t>Mon</t>
        </is>
      </c>
      <c r="D706" s="42" t="inlineStr">
        <is>
          <t>Meta (FB/IG)</t>
        </is>
      </c>
      <c r="E706" s="42" t="inlineStr">
        <is>
          <t>Facebook + Instagram</t>
        </is>
      </c>
      <c r="F706" s="42" t="inlineStr">
        <is>
          <t>LEP_ZA_AUG26_META_TD_PANTERA_CONV</t>
        </is>
      </c>
      <c r="G706" s="42" t="inlineStr">
        <is>
          <t>Leads - Website Conversions</t>
        </is>
      </c>
      <c r="H706" s="42" t="inlineStr">
        <is>
          <t>PANTERA</t>
        </is>
      </c>
      <c r="I706" s="42" t="inlineStr">
        <is>
          <t>0% Deposit</t>
        </is>
      </c>
      <c r="J706" s="42" t="inlineStr">
        <is>
          <t>MET_PANTERA_INT_PREMIUM_ZA</t>
        </is>
      </c>
      <c r="K706" s="42" t="inlineStr">
        <is>
          <t>Interest</t>
        </is>
      </c>
      <c r="L706" s="42" t="inlineStr">
        <is>
          <t>PANTERA_CAR_5card_Premium_v1</t>
        </is>
      </c>
      <c r="M706" s="42" t="inlineStr">
        <is>
          <t>Carousel</t>
        </is>
      </c>
      <c r="N706" s="42" t="inlineStr">
        <is>
          <t>Five things that surprise PANTERA drivers</t>
        </is>
      </c>
      <c r="O706" s="42" t="inlineStr">
        <is>
          <t>Auction - Cost Cap</t>
        </is>
      </c>
      <c r="P706" s="42" t="inlineStr">
        <is>
          <t>Offsite Conversions</t>
        </is>
      </c>
      <c r="Q706" s="42" t="inlineStr">
        <is>
          <t>https://www.lepas-sa.co.za/offers/pantera</t>
        </is>
      </c>
      <c r="R706" s="115" t="n">
        <v>158.05</v>
      </c>
      <c r="S706" s="116" t="n">
        <v>1742</v>
      </c>
      <c r="T706" s="116" t="n">
        <v>801</v>
      </c>
      <c r="U706" s="117">
        <f>IFERROR(S706/T706,"")</f>
        <v/>
      </c>
      <c r="V706" s="116" t="n">
        <v>21</v>
      </c>
      <c r="W706" s="116" t="n">
        <v>15</v>
      </c>
      <c r="X706" s="118">
        <f>IFERROR(W706/S706,"")</f>
        <v/>
      </c>
      <c r="Y706" s="115">
        <f>IFERROR(R706/W706,"")</f>
        <v/>
      </c>
      <c r="Z706" s="115">
        <f>IFERROR(R706/S706*1000,"")</f>
        <v/>
      </c>
      <c r="AA706" s="116" t="n">
        <v>12</v>
      </c>
      <c r="AB706" s="47">
        <f>IFERROR(AA706/W706,"")</f>
        <v/>
      </c>
      <c r="AC706" s="116" t="n">
        <v>0</v>
      </c>
      <c r="AD706" s="116" t="n">
        <v>0</v>
      </c>
      <c r="AE706" s="116" t="n">
        <v>0</v>
      </c>
      <c r="AF706" s="116" t="n">
        <v>0</v>
      </c>
      <c r="AG706" s="116" t="n">
        <v>0</v>
      </c>
      <c r="AH706" s="116" t="n">
        <v>0</v>
      </c>
      <c r="AI706" s="47">
        <f>IFERROR(AC706/S706,"")</f>
        <v/>
      </c>
      <c r="AJ706" s="47">
        <f>IFERROR(AH706/S706,"")</f>
        <v/>
      </c>
      <c r="AK706" s="116" t="n">
        <v>46</v>
      </c>
      <c r="AL706" s="116" t="n">
        <v>0</v>
      </c>
      <c r="AM706" s="118">
        <f>IFERROR(AL706/AA706,"")</f>
        <v/>
      </c>
      <c r="AN706" s="119">
        <f>IFERROR(R706/AL706,"")</f>
        <v/>
      </c>
      <c r="AO706" s="116" t="n">
        <v>0</v>
      </c>
      <c r="AP706" s="47">
        <f>IFERROR(AO706/AL706,"")</f>
        <v/>
      </c>
      <c r="AQ706" s="119">
        <f>IFERROR(R706/AO706,"")</f>
        <v/>
      </c>
      <c r="AR706" s="116" t="n">
        <v>0</v>
      </c>
      <c r="AS706" s="116" t="n">
        <v>0</v>
      </c>
      <c r="AT706" s="116">
        <f>AL706+AR706</f>
        <v/>
      </c>
      <c r="AU706" s="119">
        <f>IFERROR(AO706*Assumptions!$C$26*Assumptions!$C$27*INDEX(Assumptions!$C$18:$C$21,MATCH(H706,Assumptions!$B$18:$B$21,0)),0)</f>
        <v/>
      </c>
    </row>
    <row r="707">
      <c r="A707" s="114" t="n">
        <v>46239</v>
      </c>
      <c r="B707" s="42" t="inlineStr">
        <is>
          <t>Wk 32</t>
        </is>
      </c>
      <c r="C707" s="42" t="inlineStr">
        <is>
          <t>Wed</t>
        </is>
      </c>
      <c r="D707" s="42" t="inlineStr">
        <is>
          <t>Meta (FB/IG)</t>
        </is>
      </c>
      <c r="E707" s="42" t="inlineStr">
        <is>
          <t>Facebook + Instagram</t>
        </is>
      </c>
      <c r="F707" s="42" t="inlineStr">
        <is>
          <t>LEP_ZA_AUG26_META_TD_PANTERA_CONV</t>
        </is>
      </c>
      <c r="G707" s="42" t="inlineStr">
        <is>
          <t>Leads - Website Conversions</t>
        </is>
      </c>
      <c r="H707" s="42" t="inlineStr">
        <is>
          <t>PANTERA</t>
        </is>
      </c>
      <c r="I707" s="42" t="inlineStr">
        <is>
          <t>0% Deposit</t>
        </is>
      </c>
      <c r="J707" s="42" t="inlineStr">
        <is>
          <t>MET_PANTERA_INT_PREMIUM_ZA</t>
        </is>
      </c>
      <c r="K707" s="42" t="inlineStr">
        <is>
          <t>Interest</t>
        </is>
      </c>
      <c r="L707" s="42" t="inlineStr">
        <is>
          <t>PANTERA_STA_Compare_Premium_v1</t>
        </is>
      </c>
      <c r="M707" s="42" t="inlineStr">
        <is>
          <t>Static 4:5</t>
        </is>
      </c>
      <c r="N707" s="42" t="inlineStr">
        <is>
          <t>Premium spec. Mid-market money.</t>
        </is>
      </c>
      <c r="O707" s="42" t="inlineStr">
        <is>
          <t>Auction - Cost Cap</t>
        </is>
      </c>
      <c r="P707" s="42" t="inlineStr">
        <is>
          <t>Offsite Conversions</t>
        </is>
      </c>
      <c r="Q707" s="42" t="inlineStr">
        <is>
          <t>https://www.lepas-sa.co.za/offers/pantera</t>
        </is>
      </c>
      <c r="R707" s="115" t="n">
        <v>112.77</v>
      </c>
      <c r="S707" s="116" t="n">
        <v>1945</v>
      </c>
      <c r="T707" s="116" t="n">
        <v>1499</v>
      </c>
      <c r="U707" s="117">
        <f>IFERROR(S707/T707,"")</f>
        <v/>
      </c>
      <c r="V707" s="116" t="n">
        <v>46</v>
      </c>
      <c r="W707" s="116" t="n">
        <v>36</v>
      </c>
      <c r="X707" s="118">
        <f>IFERROR(W707/S707,"")</f>
        <v/>
      </c>
      <c r="Y707" s="115">
        <f>IFERROR(R707/W707,"")</f>
        <v/>
      </c>
      <c r="Z707" s="115">
        <f>IFERROR(R707/S707*1000,"")</f>
        <v/>
      </c>
      <c r="AA707" s="116" t="n">
        <v>30</v>
      </c>
      <c r="AB707" s="47">
        <f>IFERROR(AA707/W707,"")</f>
        <v/>
      </c>
      <c r="AC707" s="116" t="n">
        <v>0</v>
      </c>
      <c r="AD707" s="116" t="n">
        <v>0</v>
      </c>
      <c r="AE707" s="116" t="n">
        <v>0</v>
      </c>
      <c r="AF707" s="116" t="n">
        <v>0</v>
      </c>
      <c r="AG707" s="116" t="n">
        <v>0</v>
      </c>
      <c r="AH707" s="116" t="n">
        <v>0</v>
      </c>
      <c r="AI707" s="47">
        <f>IFERROR(AC707/S707,"")</f>
        <v/>
      </c>
      <c r="AJ707" s="47">
        <f>IFERROR(AH707/S707,"")</f>
        <v/>
      </c>
      <c r="AK707" s="116" t="n">
        <v>64</v>
      </c>
      <c r="AL707" s="116" t="n">
        <v>1</v>
      </c>
      <c r="AM707" s="118">
        <f>IFERROR(AL707/AA707,"")</f>
        <v/>
      </c>
      <c r="AN707" s="119">
        <f>IFERROR(R707/AL707,"")</f>
        <v/>
      </c>
      <c r="AO707" s="116" t="n">
        <v>1</v>
      </c>
      <c r="AP707" s="47">
        <f>IFERROR(AO707/AL707,"")</f>
        <v/>
      </c>
      <c r="AQ707" s="119">
        <f>IFERROR(R707/AO707,"")</f>
        <v/>
      </c>
      <c r="AR707" s="116" t="n">
        <v>0</v>
      </c>
      <c r="AS707" s="116" t="n">
        <v>0</v>
      </c>
      <c r="AT707" s="116">
        <f>AL707+AR707</f>
        <v/>
      </c>
      <c r="AU707" s="119">
        <f>IFERROR(AO707*Assumptions!$C$26*Assumptions!$C$27*INDEX(Assumptions!$C$18:$C$21,MATCH(H707,Assumptions!$B$18:$B$21,0)),0)</f>
        <v/>
      </c>
    </row>
    <row r="708">
      <c r="A708" s="114" t="n">
        <v>46240</v>
      </c>
      <c r="B708" s="42" t="inlineStr">
        <is>
          <t>Wk 32</t>
        </is>
      </c>
      <c r="C708" s="42" t="inlineStr">
        <is>
          <t>Thu</t>
        </is>
      </c>
      <c r="D708" s="42" t="inlineStr">
        <is>
          <t>Meta (FB/IG)</t>
        </is>
      </c>
      <c r="E708" s="42" t="inlineStr">
        <is>
          <t>Facebook + Instagram</t>
        </is>
      </c>
      <c r="F708" s="42" t="inlineStr">
        <is>
          <t>LEP_ZA_AUG26_META_TD_PANTERA_CONV</t>
        </is>
      </c>
      <c r="G708" s="42" t="inlineStr">
        <is>
          <t>Leads - Website Conversions</t>
        </is>
      </c>
      <c r="H708" s="42" t="inlineStr">
        <is>
          <t>PANTERA</t>
        </is>
      </c>
      <c r="I708" s="42" t="inlineStr">
        <is>
          <t>0% Deposit</t>
        </is>
      </c>
      <c r="J708" s="42" t="inlineStr">
        <is>
          <t>MET_PANTERA_INT_PREMIUM_ZA</t>
        </is>
      </c>
      <c r="K708" s="42" t="inlineStr">
        <is>
          <t>Interest</t>
        </is>
      </c>
      <c r="L708" s="42" t="inlineStr">
        <is>
          <t>PANTERA_STA_Compare_Premium_v1</t>
        </is>
      </c>
      <c r="M708" s="42" t="inlineStr">
        <is>
          <t>Static 4:5</t>
        </is>
      </c>
      <c r="N708" s="42" t="inlineStr">
        <is>
          <t>Premium spec. Mid-market money.</t>
        </is>
      </c>
      <c r="O708" s="42" t="inlineStr">
        <is>
          <t>Auction - Cost Cap</t>
        </is>
      </c>
      <c r="P708" s="42" t="inlineStr">
        <is>
          <t>Offsite Conversions</t>
        </is>
      </c>
      <c r="Q708" s="42" t="inlineStr">
        <is>
          <t>https://www.lepas-sa.co.za/offers/pantera</t>
        </is>
      </c>
      <c r="R708" s="115" t="n">
        <v>118.17</v>
      </c>
      <c r="S708" s="116" t="n">
        <v>1490</v>
      </c>
      <c r="T708" s="116" t="n">
        <v>1024</v>
      </c>
      <c r="U708" s="117">
        <f>IFERROR(S708/T708,"")</f>
        <v/>
      </c>
      <c r="V708" s="116" t="n">
        <v>46</v>
      </c>
      <c r="W708" s="116" t="n">
        <v>35</v>
      </c>
      <c r="X708" s="118">
        <f>IFERROR(W708/S708,"")</f>
        <v/>
      </c>
      <c r="Y708" s="115">
        <f>IFERROR(R708/W708,"")</f>
        <v/>
      </c>
      <c r="Z708" s="115">
        <f>IFERROR(R708/S708*1000,"")</f>
        <v/>
      </c>
      <c r="AA708" s="116" t="n">
        <v>29</v>
      </c>
      <c r="AB708" s="47">
        <f>IFERROR(AA708/W708,"")</f>
        <v/>
      </c>
      <c r="AC708" s="116" t="n">
        <v>0</v>
      </c>
      <c r="AD708" s="116" t="n">
        <v>0</v>
      </c>
      <c r="AE708" s="116" t="n">
        <v>0</v>
      </c>
      <c r="AF708" s="116" t="n">
        <v>0</v>
      </c>
      <c r="AG708" s="116" t="n">
        <v>0</v>
      </c>
      <c r="AH708" s="116" t="n">
        <v>0</v>
      </c>
      <c r="AI708" s="47">
        <f>IFERROR(AC708/S708,"")</f>
        <v/>
      </c>
      <c r="AJ708" s="47">
        <f>IFERROR(AH708/S708,"")</f>
        <v/>
      </c>
      <c r="AK708" s="116" t="n">
        <v>18</v>
      </c>
      <c r="AL708" s="116" t="n">
        <v>1</v>
      </c>
      <c r="AM708" s="118">
        <f>IFERROR(AL708/AA708,"")</f>
        <v/>
      </c>
      <c r="AN708" s="119">
        <f>IFERROR(R708/AL708,"")</f>
        <v/>
      </c>
      <c r="AO708" s="116" t="n">
        <v>1</v>
      </c>
      <c r="AP708" s="47">
        <f>IFERROR(AO708/AL708,"")</f>
        <v/>
      </c>
      <c r="AQ708" s="119">
        <f>IFERROR(R708/AO708,"")</f>
        <v/>
      </c>
      <c r="AR708" s="116" t="n">
        <v>0</v>
      </c>
      <c r="AS708" s="116" t="n">
        <v>1</v>
      </c>
      <c r="AT708" s="116">
        <f>AL708+AR708</f>
        <v/>
      </c>
      <c r="AU708" s="119">
        <f>IFERROR(AO708*Assumptions!$C$26*Assumptions!$C$27*INDEX(Assumptions!$C$18:$C$21,MATCH(H708,Assumptions!$B$18:$B$21,0)),0)</f>
        <v/>
      </c>
    </row>
    <row r="709">
      <c r="A709" s="114" t="n">
        <v>46241</v>
      </c>
      <c r="B709" s="42" t="inlineStr">
        <is>
          <t>Wk 32</t>
        </is>
      </c>
      <c r="C709" s="42" t="inlineStr">
        <is>
          <t>Fri</t>
        </is>
      </c>
      <c r="D709" s="42" t="inlineStr">
        <is>
          <t>Meta (FB/IG)</t>
        </is>
      </c>
      <c r="E709" s="42" t="inlineStr">
        <is>
          <t>Facebook + Instagram</t>
        </is>
      </c>
      <c r="F709" s="42" t="inlineStr">
        <is>
          <t>LEP_ZA_AUG26_META_TD_PANTERA_CONV</t>
        </is>
      </c>
      <c r="G709" s="42" t="inlineStr">
        <is>
          <t>Leads - Website Conversions</t>
        </is>
      </c>
      <c r="H709" s="42" t="inlineStr">
        <is>
          <t>PANTERA</t>
        </is>
      </c>
      <c r="I709" s="42" t="inlineStr">
        <is>
          <t>0% Deposit</t>
        </is>
      </c>
      <c r="J709" s="42" t="inlineStr">
        <is>
          <t>MET_PANTERA_INT_PREMIUM_ZA</t>
        </is>
      </c>
      <c r="K709" s="42" t="inlineStr">
        <is>
          <t>Interest</t>
        </is>
      </c>
      <c r="L709" s="42" t="inlineStr">
        <is>
          <t>PANTERA_STA_Compare_Premium_v1</t>
        </is>
      </c>
      <c r="M709" s="42" t="inlineStr">
        <is>
          <t>Static 4:5</t>
        </is>
      </c>
      <c r="N709" s="42" t="inlineStr">
        <is>
          <t>Premium spec. Mid-market money.</t>
        </is>
      </c>
      <c r="O709" s="42" t="inlineStr">
        <is>
          <t>Auction - Cost Cap</t>
        </is>
      </c>
      <c r="P709" s="42" t="inlineStr">
        <is>
          <t>Offsite Conversions</t>
        </is>
      </c>
      <c r="Q709" s="42" t="inlineStr">
        <is>
          <t>https://www.lepas-sa.co.za/offers/pantera</t>
        </is>
      </c>
      <c r="R709" s="115" t="n">
        <v>130.18</v>
      </c>
      <c r="S709" s="116" t="n">
        <v>1489</v>
      </c>
      <c r="T709" s="116" t="n">
        <v>919</v>
      </c>
      <c r="U709" s="117">
        <f>IFERROR(S709/T709,"")</f>
        <v/>
      </c>
      <c r="V709" s="116" t="n">
        <v>14</v>
      </c>
      <c r="W709" s="116" t="n">
        <v>12</v>
      </c>
      <c r="X709" s="118">
        <f>IFERROR(W709/S709,"")</f>
        <v/>
      </c>
      <c r="Y709" s="115">
        <f>IFERROR(R709/W709,"")</f>
        <v/>
      </c>
      <c r="Z709" s="115">
        <f>IFERROR(R709/S709*1000,"")</f>
        <v/>
      </c>
      <c r="AA709" s="116" t="n">
        <v>10</v>
      </c>
      <c r="AB709" s="47">
        <f>IFERROR(AA709/W709,"")</f>
        <v/>
      </c>
      <c r="AC709" s="116" t="n">
        <v>0</v>
      </c>
      <c r="AD709" s="116" t="n">
        <v>0</v>
      </c>
      <c r="AE709" s="116" t="n">
        <v>0</v>
      </c>
      <c r="AF709" s="116" t="n">
        <v>0</v>
      </c>
      <c r="AG709" s="116" t="n">
        <v>0</v>
      </c>
      <c r="AH709" s="116" t="n">
        <v>0</v>
      </c>
      <c r="AI709" s="47">
        <f>IFERROR(AC709/S709,"")</f>
        <v/>
      </c>
      <c r="AJ709" s="47">
        <f>IFERROR(AH709/S709,"")</f>
        <v/>
      </c>
      <c r="AK709" s="116" t="n">
        <v>49</v>
      </c>
      <c r="AL709" s="116" t="n">
        <v>0</v>
      </c>
      <c r="AM709" s="118">
        <f>IFERROR(AL709/AA709,"")</f>
        <v/>
      </c>
      <c r="AN709" s="119">
        <f>IFERROR(R709/AL709,"")</f>
        <v/>
      </c>
      <c r="AO709" s="116" t="n">
        <v>0</v>
      </c>
      <c r="AP709" s="47">
        <f>IFERROR(AO709/AL709,"")</f>
        <v/>
      </c>
      <c r="AQ709" s="119">
        <f>IFERROR(R709/AO709,"")</f>
        <v/>
      </c>
      <c r="AR709" s="116" t="n">
        <v>0</v>
      </c>
      <c r="AS709" s="116" t="n">
        <v>0</v>
      </c>
      <c r="AT709" s="116">
        <f>AL709+AR709</f>
        <v/>
      </c>
      <c r="AU709" s="119">
        <f>IFERROR(AO709*Assumptions!$C$26*Assumptions!$C$27*INDEX(Assumptions!$C$18:$C$21,MATCH(H709,Assumptions!$B$18:$B$21,0)),0)</f>
        <v/>
      </c>
    </row>
    <row r="710">
      <c r="A710" s="114" t="n">
        <v>46242</v>
      </c>
      <c r="B710" s="42" t="inlineStr">
        <is>
          <t>Wk 32</t>
        </is>
      </c>
      <c r="C710" s="42" t="inlineStr">
        <is>
          <t>Sat</t>
        </is>
      </c>
      <c r="D710" s="42" t="inlineStr">
        <is>
          <t>Meta (FB/IG)</t>
        </is>
      </c>
      <c r="E710" s="42" t="inlineStr">
        <is>
          <t>Facebook + Instagram</t>
        </is>
      </c>
      <c r="F710" s="42" t="inlineStr">
        <is>
          <t>LEP_ZA_AUG26_META_TD_PANTERA_CONV</t>
        </is>
      </c>
      <c r="G710" s="42" t="inlineStr">
        <is>
          <t>Leads - Website Conversions</t>
        </is>
      </c>
      <c r="H710" s="42" t="inlineStr">
        <is>
          <t>PANTERA</t>
        </is>
      </c>
      <c r="I710" s="42" t="inlineStr">
        <is>
          <t>0% Deposit</t>
        </is>
      </c>
      <c r="J710" s="42" t="inlineStr">
        <is>
          <t>MET_PANTERA_INT_PREMIUM_ZA</t>
        </is>
      </c>
      <c r="K710" s="42" t="inlineStr">
        <is>
          <t>Interest</t>
        </is>
      </c>
      <c r="L710" s="42" t="inlineStr">
        <is>
          <t>PANTERA_STA_Compare_Premium_v1</t>
        </is>
      </c>
      <c r="M710" s="42" t="inlineStr">
        <is>
          <t>Static 4:5</t>
        </is>
      </c>
      <c r="N710" s="42" t="inlineStr">
        <is>
          <t>Premium spec. Mid-market money.</t>
        </is>
      </c>
      <c r="O710" s="42" t="inlineStr">
        <is>
          <t>Auction - Cost Cap</t>
        </is>
      </c>
      <c r="P710" s="42" t="inlineStr">
        <is>
          <t>Offsite Conversions</t>
        </is>
      </c>
      <c r="Q710" s="42" t="inlineStr">
        <is>
          <t>https://www.lepas-sa.co.za/offers/pantera</t>
        </is>
      </c>
      <c r="R710" s="115" t="n">
        <v>121.07</v>
      </c>
      <c r="S710" s="116" t="n">
        <v>1840</v>
      </c>
      <c r="T710" s="116" t="n">
        <v>1542</v>
      </c>
      <c r="U710" s="117">
        <f>IFERROR(S710/T710,"")</f>
        <v/>
      </c>
      <c r="V710" s="116" t="n">
        <v>39</v>
      </c>
      <c r="W710" s="116" t="n">
        <v>33</v>
      </c>
      <c r="X710" s="118">
        <f>IFERROR(W710/S710,"")</f>
        <v/>
      </c>
      <c r="Y710" s="115">
        <f>IFERROR(R710/W710,"")</f>
        <v/>
      </c>
      <c r="Z710" s="115">
        <f>IFERROR(R710/S710*1000,"")</f>
        <v/>
      </c>
      <c r="AA710" s="116" t="n">
        <v>29</v>
      </c>
      <c r="AB710" s="47">
        <f>IFERROR(AA710/W710,"")</f>
        <v/>
      </c>
      <c r="AC710" s="116" t="n">
        <v>0</v>
      </c>
      <c r="AD710" s="116" t="n">
        <v>0</v>
      </c>
      <c r="AE710" s="116" t="n">
        <v>0</v>
      </c>
      <c r="AF710" s="116" t="n">
        <v>0</v>
      </c>
      <c r="AG710" s="116" t="n">
        <v>0</v>
      </c>
      <c r="AH710" s="116" t="n">
        <v>0</v>
      </c>
      <c r="AI710" s="47">
        <f>IFERROR(AC710/S710,"")</f>
        <v/>
      </c>
      <c r="AJ710" s="47">
        <f>IFERROR(AH710/S710,"")</f>
        <v/>
      </c>
      <c r="AK710" s="116" t="n">
        <v>48</v>
      </c>
      <c r="AL710" s="116" t="n">
        <v>1</v>
      </c>
      <c r="AM710" s="118">
        <f>IFERROR(AL710/AA710,"")</f>
        <v/>
      </c>
      <c r="AN710" s="119">
        <f>IFERROR(R710/AL710,"")</f>
        <v/>
      </c>
      <c r="AO710" s="116" t="n">
        <v>1</v>
      </c>
      <c r="AP710" s="47">
        <f>IFERROR(AO710/AL710,"")</f>
        <v/>
      </c>
      <c r="AQ710" s="119">
        <f>IFERROR(R710/AO710,"")</f>
        <v/>
      </c>
      <c r="AR710" s="116" t="n">
        <v>1</v>
      </c>
      <c r="AS710" s="116" t="n">
        <v>0</v>
      </c>
      <c r="AT710" s="116">
        <f>AL710+AR710</f>
        <v/>
      </c>
      <c r="AU710" s="119">
        <f>IFERROR(AO710*Assumptions!$C$26*Assumptions!$C$27*INDEX(Assumptions!$C$18:$C$21,MATCH(H710,Assumptions!$B$18:$B$21,0)),0)</f>
        <v/>
      </c>
    </row>
    <row r="711">
      <c r="A711" s="114" t="n">
        <v>46243</v>
      </c>
      <c r="B711" s="42" t="inlineStr">
        <is>
          <t>Wk 32</t>
        </is>
      </c>
      <c r="C711" s="42" t="inlineStr">
        <is>
          <t>Sun</t>
        </is>
      </c>
      <c r="D711" s="42" t="inlineStr">
        <is>
          <t>Meta (FB/IG)</t>
        </is>
      </c>
      <c r="E711" s="42" t="inlineStr">
        <is>
          <t>Facebook + Instagram</t>
        </is>
      </c>
      <c r="F711" s="42" t="inlineStr">
        <is>
          <t>LEP_ZA_AUG26_META_TD_PANTERA_CONV</t>
        </is>
      </c>
      <c r="G711" s="42" t="inlineStr">
        <is>
          <t>Leads - Website Conversions</t>
        </is>
      </c>
      <c r="H711" s="42" t="inlineStr">
        <is>
          <t>PANTERA</t>
        </is>
      </c>
      <c r="I711" s="42" t="inlineStr">
        <is>
          <t>0% Deposit</t>
        </is>
      </c>
      <c r="J711" s="42" t="inlineStr">
        <is>
          <t>MET_PANTERA_INT_PREMIUM_ZA</t>
        </is>
      </c>
      <c r="K711" s="42" t="inlineStr">
        <is>
          <t>Interest</t>
        </is>
      </c>
      <c r="L711" s="42" t="inlineStr">
        <is>
          <t>PANTERA_STA_Compare_Premium_v1</t>
        </is>
      </c>
      <c r="M711" s="42" t="inlineStr">
        <is>
          <t>Static 4:5</t>
        </is>
      </c>
      <c r="N711" s="42" t="inlineStr">
        <is>
          <t>Premium spec. Mid-market money.</t>
        </is>
      </c>
      <c r="O711" s="42" t="inlineStr">
        <is>
          <t>Auction - Cost Cap</t>
        </is>
      </c>
      <c r="P711" s="42" t="inlineStr">
        <is>
          <t>Offsite Conversions</t>
        </is>
      </c>
      <c r="Q711" s="42" t="inlineStr">
        <is>
          <t>https://www.lepas-sa.co.za/offers/pantera</t>
        </is>
      </c>
      <c r="R711" s="115" t="n">
        <v>93.3</v>
      </c>
      <c r="S711" s="116" t="n">
        <v>1350</v>
      </c>
      <c r="T711" s="116" t="n">
        <v>814</v>
      </c>
      <c r="U711" s="117">
        <f>IFERROR(S711/T711,"")</f>
        <v/>
      </c>
      <c r="V711" s="116" t="n">
        <v>28</v>
      </c>
      <c r="W711" s="116" t="n">
        <v>23</v>
      </c>
      <c r="X711" s="118">
        <f>IFERROR(W711/S711,"")</f>
        <v/>
      </c>
      <c r="Y711" s="115">
        <f>IFERROR(R711/W711,"")</f>
        <v/>
      </c>
      <c r="Z711" s="115">
        <f>IFERROR(R711/S711*1000,"")</f>
        <v/>
      </c>
      <c r="AA711" s="116" t="n">
        <v>19</v>
      </c>
      <c r="AB711" s="47">
        <f>IFERROR(AA711/W711,"")</f>
        <v/>
      </c>
      <c r="AC711" s="116" t="n">
        <v>0</v>
      </c>
      <c r="AD711" s="116" t="n">
        <v>0</v>
      </c>
      <c r="AE711" s="116" t="n">
        <v>0</v>
      </c>
      <c r="AF711" s="116" t="n">
        <v>0</v>
      </c>
      <c r="AG711" s="116" t="n">
        <v>0</v>
      </c>
      <c r="AH711" s="116" t="n">
        <v>0</v>
      </c>
      <c r="AI711" s="47">
        <f>IFERROR(AC711/S711,"")</f>
        <v/>
      </c>
      <c r="AJ711" s="47">
        <f>IFERROR(AH711/S711,"")</f>
        <v/>
      </c>
      <c r="AK711" s="116" t="n">
        <v>40</v>
      </c>
      <c r="AL711" s="116" t="n">
        <v>1</v>
      </c>
      <c r="AM711" s="118">
        <f>IFERROR(AL711/AA711,"")</f>
        <v/>
      </c>
      <c r="AN711" s="119">
        <f>IFERROR(R711/AL711,"")</f>
        <v/>
      </c>
      <c r="AO711" s="116" t="n">
        <v>1</v>
      </c>
      <c r="AP711" s="47">
        <f>IFERROR(AO711/AL711,"")</f>
        <v/>
      </c>
      <c r="AQ711" s="119">
        <f>IFERROR(R711/AO711,"")</f>
        <v/>
      </c>
      <c r="AR711" s="116" t="n">
        <v>0</v>
      </c>
      <c r="AS711" s="116" t="n">
        <v>1</v>
      </c>
      <c r="AT711" s="116">
        <f>AL711+AR711</f>
        <v/>
      </c>
      <c r="AU711" s="119">
        <f>IFERROR(AO711*Assumptions!$C$26*Assumptions!$C$27*INDEX(Assumptions!$C$18:$C$21,MATCH(H711,Assumptions!$B$18:$B$21,0)),0)</f>
        <v/>
      </c>
    </row>
    <row r="712">
      <c r="A712" s="114" t="n">
        <v>46244</v>
      </c>
      <c r="B712" s="42" t="inlineStr">
        <is>
          <t>Wk 33</t>
        </is>
      </c>
      <c r="C712" s="42" t="inlineStr">
        <is>
          <t>Mon</t>
        </is>
      </c>
      <c r="D712" s="42" t="inlineStr">
        <is>
          <t>Meta (FB/IG)</t>
        </is>
      </c>
      <c r="E712" s="42" t="inlineStr">
        <is>
          <t>Facebook + Instagram</t>
        </is>
      </c>
      <c r="F712" s="42" t="inlineStr">
        <is>
          <t>LEP_ZA_AUG26_META_TD_PANTERA_CONV</t>
        </is>
      </c>
      <c r="G712" s="42" t="inlineStr">
        <is>
          <t>Leads - Website Conversions</t>
        </is>
      </c>
      <c r="H712" s="42" t="inlineStr">
        <is>
          <t>PANTERA</t>
        </is>
      </c>
      <c r="I712" s="42" t="inlineStr">
        <is>
          <t>0% Deposit</t>
        </is>
      </c>
      <c r="J712" s="42" t="inlineStr">
        <is>
          <t>MET_PANTERA_INT_PREMIUM_ZA</t>
        </is>
      </c>
      <c r="K712" s="42" t="inlineStr">
        <is>
          <t>Interest</t>
        </is>
      </c>
      <c r="L712" s="42" t="inlineStr">
        <is>
          <t>PANTERA_STA_Compare_Premium_v1</t>
        </is>
      </c>
      <c r="M712" s="42" t="inlineStr">
        <is>
          <t>Static 4:5</t>
        </is>
      </c>
      <c r="N712" s="42" t="inlineStr">
        <is>
          <t>Premium spec. Mid-market money.</t>
        </is>
      </c>
      <c r="O712" s="42" t="inlineStr">
        <is>
          <t>Auction - Cost Cap</t>
        </is>
      </c>
      <c r="P712" s="42" t="inlineStr">
        <is>
          <t>Offsite Conversions</t>
        </is>
      </c>
      <c r="Q712" s="42" t="inlineStr">
        <is>
          <t>https://www.lepas-sa.co.za/offers/pantera</t>
        </is>
      </c>
      <c r="R712" s="115" t="n">
        <v>94.79000000000001</v>
      </c>
      <c r="S712" s="116" t="n">
        <v>1198</v>
      </c>
      <c r="T712" s="116" t="n">
        <v>712</v>
      </c>
      <c r="U712" s="117">
        <f>IFERROR(S712/T712,"")</f>
        <v/>
      </c>
      <c r="V712" s="116" t="n">
        <v>27</v>
      </c>
      <c r="W712" s="116" t="n">
        <v>23</v>
      </c>
      <c r="X712" s="118">
        <f>IFERROR(W712/S712,"")</f>
        <v/>
      </c>
      <c r="Y712" s="115">
        <f>IFERROR(R712/W712,"")</f>
        <v/>
      </c>
      <c r="Z712" s="115">
        <f>IFERROR(R712/S712*1000,"")</f>
        <v/>
      </c>
      <c r="AA712" s="116" t="n">
        <v>20</v>
      </c>
      <c r="AB712" s="47">
        <f>IFERROR(AA712/W712,"")</f>
        <v/>
      </c>
      <c r="AC712" s="116" t="n">
        <v>0</v>
      </c>
      <c r="AD712" s="116" t="n">
        <v>0</v>
      </c>
      <c r="AE712" s="116" t="n">
        <v>0</v>
      </c>
      <c r="AF712" s="116" t="n">
        <v>0</v>
      </c>
      <c r="AG712" s="116" t="n">
        <v>0</v>
      </c>
      <c r="AH712" s="116" t="n">
        <v>0</v>
      </c>
      <c r="AI712" s="47">
        <f>IFERROR(AC712/S712,"")</f>
        <v/>
      </c>
      <c r="AJ712" s="47">
        <f>IFERROR(AH712/S712,"")</f>
        <v/>
      </c>
      <c r="AK712" s="116" t="n">
        <v>29</v>
      </c>
      <c r="AL712" s="116" t="n">
        <v>1</v>
      </c>
      <c r="AM712" s="118">
        <f>IFERROR(AL712/AA712,"")</f>
        <v/>
      </c>
      <c r="AN712" s="119">
        <f>IFERROR(R712/AL712,"")</f>
        <v/>
      </c>
      <c r="AO712" s="116" t="n">
        <v>0</v>
      </c>
      <c r="AP712" s="47">
        <f>IFERROR(AO712/AL712,"")</f>
        <v/>
      </c>
      <c r="AQ712" s="119">
        <f>IFERROR(R712/AO712,"")</f>
        <v/>
      </c>
      <c r="AR712" s="116" t="n">
        <v>0</v>
      </c>
      <c r="AS712" s="116" t="n">
        <v>0</v>
      </c>
      <c r="AT712" s="116">
        <f>AL712+AR712</f>
        <v/>
      </c>
      <c r="AU712" s="119">
        <f>IFERROR(AO712*Assumptions!$C$26*Assumptions!$C$27*INDEX(Assumptions!$C$18:$C$21,MATCH(H712,Assumptions!$B$18:$B$21,0)),0)</f>
        <v/>
      </c>
    </row>
    <row r="713">
      <c r="A713" s="114" t="n">
        <v>46245</v>
      </c>
      <c r="B713" s="42" t="inlineStr">
        <is>
          <t>Wk 33</t>
        </is>
      </c>
      <c r="C713" s="42" t="inlineStr">
        <is>
          <t>Tue</t>
        </is>
      </c>
      <c r="D713" s="42" t="inlineStr">
        <is>
          <t>Meta (FB/IG)</t>
        </is>
      </c>
      <c r="E713" s="42" t="inlineStr">
        <is>
          <t>Facebook + Instagram</t>
        </is>
      </c>
      <c r="F713" s="42" t="inlineStr">
        <is>
          <t>LEP_ZA_AUG26_META_TD_PANTERA_CONV</t>
        </is>
      </c>
      <c r="G713" s="42" t="inlineStr">
        <is>
          <t>Leads - Website Conversions</t>
        </is>
      </c>
      <c r="H713" s="42" t="inlineStr">
        <is>
          <t>PANTERA</t>
        </is>
      </c>
      <c r="I713" s="42" t="inlineStr">
        <is>
          <t>0% Deposit</t>
        </is>
      </c>
      <c r="J713" s="42" t="inlineStr">
        <is>
          <t>MET_PANTERA_INT_PREMIUM_ZA</t>
        </is>
      </c>
      <c r="K713" s="42" t="inlineStr">
        <is>
          <t>Interest</t>
        </is>
      </c>
      <c r="L713" s="42" t="inlineStr">
        <is>
          <t>PANTERA_STA_Compare_Premium_v1</t>
        </is>
      </c>
      <c r="M713" s="42" t="inlineStr">
        <is>
          <t>Static 4:5</t>
        </is>
      </c>
      <c r="N713" s="42" t="inlineStr">
        <is>
          <t>Premium spec. Mid-market money.</t>
        </is>
      </c>
      <c r="O713" s="42" t="inlineStr">
        <is>
          <t>Auction - Cost Cap</t>
        </is>
      </c>
      <c r="P713" s="42" t="inlineStr">
        <is>
          <t>Offsite Conversions</t>
        </is>
      </c>
      <c r="Q713" s="42" t="inlineStr">
        <is>
          <t>https://www.lepas-sa.co.za/offers/pantera</t>
        </is>
      </c>
      <c r="R713" s="115" t="n">
        <v>82.73</v>
      </c>
      <c r="S713" s="116" t="n">
        <v>1247</v>
      </c>
      <c r="T713" s="116" t="n">
        <v>734</v>
      </c>
      <c r="U713" s="117">
        <f>IFERROR(S713/T713,"")</f>
        <v/>
      </c>
      <c r="V713" s="116" t="n">
        <v>33</v>
      </c>
      <c r="W713" s="116" t="n">
        <v>25</v>
      </c>
      <c r="X713" s="118">
        <f>IFERROR(W713/S713,"")</f>
        <v/>
      </c>
      <c r="Y713" s="115">
        <f>IFERROR(R713/W713,"")</f>
        <v/>
      </c>
      <c r="Z713" s="115">
        <f>IFERROR(R713/S713*1000,"")</f>
        <v/>
      </c>
      <c r="AA713" s="116" t="n">
        <v>23</v>
      </c>
      <c r="AB713" s="47">
        <f>IFERROR(AA713/W713,"")</f>
        <v/>
      </c>
      <c r="AC713" s="116" t="n">
        <v>0</v>
      </c>
      <c r="AD713" s="116" t="n">
        <v>0</v>
      </c>
      <c r="AE713" s="116" t="n">
        <v>0</v>
      </c>
      <c r="AF713" s="116" t="n">
        <v>0</v>
      </c>
      <c r="AG713" s="116" t="n">
        <v>0</v>
      </c>
      <c r="AH713" s="116" t="n">
        <v>0</v>
      </c>
      <c r="AI713" s="47">
        <f>IFERROR(AC713/S713,"")</f>
        <v/>
      </c>
      <c r="AJ713" s="47">
        <f>IFERROR(AH713/S713,"")</f>
        <v/>
      </c>
      <c r="AK713" s="116" t="n">
        <v>22</v>
      </c>
      <c r="AL713" s="116" t="n">
        <v>0</v>
      </c>
      <c r="AM713" s="118">
        <f>IFERROR(AL713/AA713,"")</f>
        <v/>
      </c>
      <c r="AN713" s="119">
        <f>IFERROR(R713/AL713,"")</f>
        <v/>
      </c>
      <c r="AO713" s="116" t="n">
        <v>0</v>
      </c>
      <c r="AP713" s="47">
        <f>IFERROR(AO713/AL713,"")</f>
        <v/>
      </c>
      <c r="AQ713" s="119">
        <f>IFERROR(R713/AO713,"")</f>
        <v/>
      </c>
      <c r="AR713" s="116" t="n">
        <v>0</v>
      </c>
      <c r="AS713" s="116" t="n">
        <v>0</v>
      </c>
      <c r="AT713" s="116">
        <f>AL713+AR713</f>
        <v/>
      </c>
      <c r="AU713" s="119">
        <f>IFERROR(AO713*Assumptions!$C$26*Assumptions!$C$27*INDEX(Assumptions!$C$18:$C$21,MATCH(H713,Assumptions!$B$18:$B$21,0)),0)</f>
        <v/>
      </c>
    </row>
    <row r="714">
      <c r="A714" s="114" t="n">
        <v>46246</v>
      </c>
      <c r="B714" s="42" t="inlineStr">
        <is>
          <t>Wk 33</t>
        </is>
      </c>
      <c r="C714" s="42" t="inlineStr">
        <is>
          <t>Wed</t>
        </is>
      </c>
      <c r="D714" s="42" t="inlineStr">
        <is>
          <t>Meta (FB/IG)</t>
        </is>
      </c>
      <c r="E714" s="42" t="inlineStr">
        <is>
          <t>Facebook + Instagram</t>
        </is>
      </c>
      <c r="F714" s="42" t="inlineStr">
        <is>
          <t>LEP_ZA_AUG26_META_TD_PANTERA_CONV</t>
        </is>
      </c>
      <c r="G714" s="42" t="inlineStr">
        <is>
          <t>Leads - Website Conversions</t>
        </is>
      </c>
      <c r="H714" s="42" t="inlineStr">
        <is>
          <t>PANTERA</t>
        </is>
      </c>
      <c r="I714" s="42" t="inlineStr">
        <is>
          <t>0% Deposit</t>
        </is>
      </c>
      <c r="J714" s="42" t="inlineStr">
        <is>
          <t>MET_PANTERA_INT_PREMIUM_ZA</t>
        </is>
      </c>
      <c r="K714" s="42" t="inlineStr">
        <is>
          <t>Interest</t>
        </is>
      </c>
      <c r="L714" s="42" t="inlineStr">
        <is>
          <t>PANTERA_STA_Compare_Premium_v1</t>
        </is>
      </c>
      <c r="M714" s="42" t="inlineStr">
        <is>
          <t>Static 4:5</t>
        </is>
      </c>
      <c r="N714" s="42" t="inlineStr">
        <is>
          <t>Premium spec. Mid-market money.</t>
        </is>
      </c>
      <c r="O714" s="42" t="inlineStr">
        <is>
          <t>Auction - Cost Cap</t>
        </is>
      </c>
      <c r="P714" s="42" t="inlineStr">
        <is>
          <t>Offsite Conversions</t>
        </is>
      </c>
      <c r="Q714" s="42" t="inlineStr">
        <is>
          <t>https://www.lepas-sa.co.za/offers/pantera</t>
        </is>
      </c>
      <c r="R714" s="115" t="n">
        <v>96.27</v>
      </c>
      <c r="S714" s="116" t="n">
        <v>1020</v>
      </c>
      <c r="T714" s="116" t="n">
        <v>814</v>
      </c>
      <c r="U714" s="117">
        <f>IFERROR(S714/T714,"")</f>
        <v/>
      </c>
      <c r="V714" s="116" t="n">
        <v>14</v>
      </c>
      <c r="W714" s="116" t="n">
        <v>11</v>
      </c>
      <c r="X714" s="118">
        <f>IFERROR(W714/S714,"")</f>
        <v/>
      </c>
      <c r="Y714" s="115">
        <f>IFERROR(R714/W714,"")</f>
        <v/>
      </c>
      <c r="Z714" s="115">
        <f>IFERROR(R714/S714*1000,"")</f>
        <v/>
      </c>
      <c r="AA714" s="116" t="n">
        <v>10</v>
      </c>
      <c r="AB714" s="47">
        <f>IFERROR(AA714/W714,"")</f>
        <v/>
      </c>
      <c r="AC714" s="116" t="n">
        <v>0</v>
      </c>
      <c r="AD714" s="116" t="n">
        <v>0</v>
      </c>
      <c r="AE714" s="116" t="n">
        <v>0</v>
      </c>
      <c r="AF714" s="116" t="n">
        <v>0</v>
      </c>
      <c r="AG714" s="116" t="n">
        <v>0</v>
      </c>
      <c r="AH714" s="116" t="n">
        <v>0</v>
      </c>
      <c r="AI714" s="47">
        <f>IFERROR(AC714/S714,"")</f>
        <v/>
      </c>
      <c r="AJ714" s="47">
        <f>IFERROR(AH714/S714,"")</f>
        <v/>
      </c>
      <c r="AK714" s="116" t="n">
        <v>21</v>
      </c>
      <c r="AL714" s="116" t="n">
        <v>0</v>
      </c>
      <c r="AM714" s="118">
        <f>IFERROR(AL714/AA714,"")</f>
        <v/>
      </c>
      <c r="AN714" s="119">
        <f>IFERROR(R714/AL714,"")</f>
        <v/>
      </c>
      <c r="AO714" s="116" t="n">
        <v>0</v>
      </c>
      <c r="AP714" s="47">
        <f>IFERROR(AO714/AL714,"")</f>
        <v/>
      </c>
      <c r="AQ714" s="119">
        <f>IFERROR(R714/AO714,"")</f>
        <v/>
      </c>
      <c r="AR714" s="116" t="n">
        <v>0</v>
      </c>
      <c r="AS714" s="116" t="n">
        <v>0</v>
      </c>
      <c r="AT714" s="116">
        <f>AL714+AR714</f>
        <v/>
      </c>
      <c r="AU714" s="119">
        <f>IFERROR(AO714*Assumptions!$C$26*Assumptions!$C$27*INDEX(Assumptions!$C$18:$C$21,MATCH(H714,Assumptions!$B$18:$B$21,0)),0)</f>
        <v/>
      </c>
    </row>
    <row r="715">
      <c r="A715" s="114" t="n">
        <v>46247</v>
      </c>
      <c r="B715" s="42" t="inlineStr">
        <is>
          <t>Wk 33</t>
        </is>
      </c>
      <c r="C715" s="42" t="inlineStr">
        <is>
          <t>Thu</t>
        </is>
      </c>
      <c r="D715" s="42" t="inlineStr">
        <is>
          <t>Meta (FB/IG)</t>
        </is>
      </c>
      <c r="E715" s="42" t="inlineStr">
        <is>
          <t>Facebook + Instagram</t>
        </is>
      </c>
      <c r="F715" s="42" t="inlineStr">
        <is>
          <t>LEP_ZA_AUG26_META_TD_PANTERA_CONV</t>
        </is>
      </c>
      <c r="G715" s="42" t="inlineStr">
        <is>
          <t>Leads - Website Conversions</t>
        </is>
      </c>
      <c r="H715" s="42" t="inlineStr">
        <is>
          <t>PANTERA</t>
        </is>
      </c>
      <c r="I715" s="42" t="inlineStr">
        <is>
          <t>0% Deposit</t>
        </is>
      </c>
      <c r="J715" s="42" t="inlineStr">
        <is>
          <t>MET_PANTERA_INT_PREMIUM_ZA</t>
        </is>
      </c>
      <c r="K715" s="42" t="inlineStr">
        <is>
          <t>Interest</t>
        </is>
      </c>
      <c r="L715" s="42" t="inlineStr">
        <is>
          <t>PANTERA_STA_Compare_Premium_v1</t>
        </is>
      </c>
      <c r="M715" s="42" t="inlineStr">
        <is>
          <t>Static 4:5</t>
        </is>
      </c>
      <c r="N715" s="42" t="inlineStr">
        <is>
          <t>Premium spec. Mid-market money.</t>
        </is>
      </c>
      <c r="O715" s="42" t="inlineStr">
        <is>
          <t>Auction - Cost Cap</t>
        </is>
      </c>
      <c r="P715" s="42" t="inlineStr">
        <is>
          <t>Offsite Conversions</t>
        </is>
      </c>
      <c r="Q715" s="42" t="inlineStr">
        <is>
          <t>https://www.lepas-sa.co.za/offers/pantera</t>
        </is>
      </c>
      <c r="R715" s="115" t="n">
        <v>93.98999999999999</v>
      </c>
      <c r="S715" s="116" t="n">
        <v>1008</v>
      </c>
      <c r="T715" s="116" t="n">
        <v>634</v>
      </c>
      <c r="U715" s="117">
        <f>IFERROR(S715/T715,"")</f>
        <v/>
      </c>
      <c r="V715" s="116" t="n">
        <v>11</v>
      </c>
      <c r="W715" s="116" t="n">
        <v>8</v>
      </c>
      <c r="X715" s="118">
        <f>IFERROR(W715/S715,"")</f>
        <v/>
      </c>
      <c r="Y715" s="115">
        <f>IFERROR(R715/W715,"")</f>
        <v/>
      </c>
      <c r="Z715" s="115">
        <f>IFERROR(R715/S715*1000,"")</f>
        <v/>
      </c>
      <c r="AA715" s="116" t="n">
        <v>7</v>
      </c>
      <c r="AB715" s="47">
        <f>IFERROR(AA715/W715,"")</f>
        <v/>
      </c>
      <c r="AC715" s="116" t="n">
        <v>0</v>
      </c>
      <c r="AD715" s="116" t="n">
        <v>0</v>
      </c>
      <c r="AE715" s="116" t="n">
        <v>0</v>
      </c>
      <c r="AF715" s="116" t="n">
        <v>0</v>
      </c>
      <c r="AG715" s="116" t="n">
        <v>0</v>
      </c>
      <c r="AH715" s="116" t="n">
        <v>0</v>
      </c>
      <c r="AI715" s="47">
        <f>IFERROR(AC715/S715,"")</f>
        <v/>
      </c>
      <c r="AJ715" s="47">
        <f>IFERROR(AH715/S715,"")</f>
        <v/>
      </c>
      <c r="AK715" s="116" t="n">
        <v>14</v>
      </c>
      <c r="AL715" s="116" t="n">
        <v>0</v>
      </c>
      <c r="AM715" s="118">
        <f>IFERROR(AL715/AA715,"")</f>
        <v/>
      </c>
      <c r="AN715" s="119">
        <f>IFERROR(R715/AL715,"")</f>
        <v/>
      </c>
      <c r="AO715" s="116" t="n">
        <v>0</v>
      </c>
      <c r="AP715" s="47">
        <f>IFERROR(AO715/AL715,"")</f>
        <v/>
      </c>
      <c r="AQ715" s="119">
        <f>IFERROR(R715/AO715,"")</f>
        <v/>
      </c>
      <c r="AR715" s="116" t="n">
        <v>0</v>
      </c>
      <c r="AS715" s="116" t="n">
        <v>0</v>
      </c>
      <c r="AT715" s="116">
        <f>AL715+AR715</f>
        <v/>
      </c>
      <c r="AU715" s="119">
        <f>IFERROR(AO715*Assumptions!$C$26*Assumptions!$C$27*INDEX(Assumptions!$C$18:$C$21,MATCH(H715,Assumptions!$B$18:$B$21,0)),0)</f>
        <v/>
      </c>
    </row>
    <row r="716">
      <c r="A716" s="114" t="n">
        <v>46248</v>
      </c>
      <c r="B716" s="42" t="inlineStr">
        <is>
          <t>Wk 33</t>
        </is>
      </c>
      <c r="C716" s="42" t="inlineStr">
        <is>
          <t>Fri</t>
        </is>
      </c>
      <c r="D716" s="42" t="inlineStr">
        <is>
          <t>Meta (FB/IG)</t>
        </is>
      </c>
      <c r="E716" s="42" t="inlineStr">
        <is>
          <t>Facebook + Instagram</t>
        </is>
      </c>
      <c r="F716" s="42" t="inlineStr">
        <is>
          <t>LEP_ZA_AUG26_META_TD_PANTERA_CONV</t>
        </is>
      </c>
      <c r="G716" s="42" t="inlineStr">
        <is>
          <t>Leads - Website Conversions</t>
        </is>
      </c>
      <c r="H716" s="42" t="inlineStr">
        <is>
          <t>PANTERA</t>
        </is>
      </c>
      <c r="I716" s="42" t="inlineStr">
        <is>
          <t>0% Deposit</t>
        </is>
      </c>
      <c r="J716" s="42" t="inlineStr">
        <is>
          <t>MET_PANTERA_INT_PREMIUM_ZA</t>
        </is>
      </c>
      <c r="K716" s="42" t="inlineStr">
        <is>
          <t>Interest</t>
        </is>
      </c>
      <c r="L716" s="42" t="inlineStr">
        <is>
          <t>PANTERA_STA_Compare_Premium_v1</t>
        </is>
      </c>
      <c r="M716" s="42" t="inlineStr">
        <is>
          <t>Static 4:5</t>
        </is>
      </c>
      <c r="N716" s="42" t="inlineStr">
        <is>
          <t>Premium spec. Mid-market money.</t>
        </is>
      </c>
      <c r="O716" s="42" t="inlineStr">
        <is>
          <t>Auction - Cost Cap</t>
        </is>
      </c>
      <c r="P716" s="42" t="inlineStr">
        <is>
          <t>Offsite Conversions</t>
        </is>
      </c>
      <c r="Q716" s="42" t="inlineStr">
        <is>
          <t>https://www.lepas-sa.co.za/offers/pantera</t>
        </is>
      </c>
      <c r="R716" s="115" t="n">
        <v>121.96</v>
      </c>
      <c r="S716" s="116" t="n">
        <v>1863</v>
      </c>
      <c r="T716" s="116" t="n">
        <v>1204</v>
      </c>
      <c r="U716" s="117">
        <f>IFERROR(S716/T716,"")</f>
        <v/>
      </c>
      <c r="V716" s="116" t="n">
        <v>38</v>
      </c>
      <c r="W716" s="116" t="n">
        <v>31</v>
      </c>
      <c r="X716" s="118">
        <f>IFERROR(W716/S716,"")</f>
        <v/>
      </c>
      <c r="Y716" s="115">
        <f>IFERROR(R716/W716,"")</f>
        <v/>
      </c>
      <c r="Z716" s="115">
        <f>IFERROR(R716/S716*1000,"")</f>
        <v/>
      </c>
      <c r="AA716" s="116" t="n">
        <v>28</v>
      </c>
      <c r="AB716" s="47">
        <f>IFERROR(AA716/W716,"")</f>
        <v/>
      </c>
      <c r="AC716" s="116" t="n">
        <v>0</v>
      </c>
      <c r="AD716" s="116" t="n">
        <v>0</v>
      </c>
      <c r="AE716" s="116" t="n">
        <v>0</v>
      </c>
      <c r="AF716" s="116" t="n">
        <v>0</v>
      </c>
      <c r="AG716" s="116" t="n">
        <v>0</v>
      </c>
      <c r="AH716" s="116" t="n">
        <v>0</v>
      </c>
      <c r="AI716" s="47">
        <f>IFERROR(AC716/S716,"")</f>
        <v/>
      </c>
      <c r="AJ716" s="47">
        <f>IFERROR(AH716/S716,"")</f>
        <v/>
      </c>
      <c r="AK716" s="116" t="n">
        <v>39</v>
      </c>
      <c r="AL716" s="116" t="n">
        <v>0</v>
      </c>
      <c r="AM716" s="118">
        <f>IFERROR(AL716/AA716,"")</f>
        <v/>
      </c>
      <c r="AN716" s="119">
        <f>IFERROR(R716/AL716,"")</f>
        <v/>
      </c>
      <c r="AO716" s="116" t="n">
        <v>0</v>
      </c>
      <c r="AP716" s="47">
        <f>IFERROR(AO716/AL716,"")</f>
        <v/>
      </c>
      <c r="AQ716" s="119">
        <f>IFERROR(R716/AO716,"")</f>
        <v/>
      </c>
      <c r="AR716" s="116" t="n">
        <v>0</v>
      </c>
      <c r="AS716" s="116" t="n">
        <v>0</v>
      </c>
      <c r="AT716" s="116">
        <f>AL716+AR716</f>
        <v/>
      </c>
      <c r="AU716" s="119">
        <f>IFERROR(AO716*Assumptions!$C$26*Assumptions!$C$27*INDEX(Assumptions!$C$18:$C$21,MATCH(H716,Assumptions!$B$18:$B$21,0)),0)</f>
        <v/>
      </c>
    </row>
    <row r="717">
      <c r="A717" s="114" t="n">
        <v>46249</v>
      </c>
      <c r="B717" s="42" t="inlineStr">
        <is>
          <t>Wk 33</t>
        </is>
      </c>
      <c r="C717" s="42" t="inlineStr">
        <is>
          <t>Sat</t>
        </is>
      </c>
      <c r="D717" s="42" t="inlineStr">
        <is>
          <t>Meta (FB/IG)</t>
        </is>
      </c>
      <c r="E717" s="42" t="inlineStr">
        <is>
          <t>Facebook + Instagram</t>
        </is>
      </c>
      <c r="F717" s="42" t="inlineStr">
        <is>
          <t>LEP_ZA_AUG26_META_TD_PANTERA_CONV</t>
        </is>
      </c>
      <c r="G717" s="42" t="inlineStr">
        <is>
          <t>Leads - Website Conversions</t>
        </is>
      </c>
      <c r="H717" s="42" t="inlineStr">
        <is>
          <t>PANTERA</t>
        </is>
      </c>
      <c r="I717" s="42" t="inlineStr">
        <is>
          <t>0% Deposit</t>
        </is>
      </c>
      <c r="J717" s="42" t="inlineStr">
        <is>
          <t>MET_PANTERA_INT_PREMIUM_ZA</t>
        </is>
      </c>
      <c r="K717" s="42" t="inlineStr">
        <is>
          <t>Interest</t>
        </is>
      </c>
      <c r="L717" s="42" t="inlineStr">
        <is>
          <t>PANTERA_STA_Compare_Premium_v1</t>
        </is>
      </c>
      <c r="M717" s="42" t="inlineStr">
        <is>
          <t>Static 4:5</t>
        </is>
      </c>
      <c r="N717" s="42" t="inlineStr">
        <is>
          <t>Premium spec. Mid-market money.</t>
        </is>
      </c>
      <c r="O717" s="42" t="inlineStr">
        <is>
          <t>Auction - Cost Cap</t>
        </is>
      </c>
      <c r="P717" s="42" t="inlineStr">
        <is>
          <t>Offsite Conversions</t>
        </is>
      </c>
      <c r="Q717" s="42" t="inlineStr">
        <is>
          <t>https://www.lepas-sa.co.za/offers/pantera</t>
        </is>
      </c>
      <c r="R717" s="115" t="n">
        <v>104.99</v>
      </c>
      <c r="S717" s="116" t="n">
        <v>1872</v>
      </c>
      <c r="T717" s="116" t="n">
        <v>1419</v>
      </c>
      <c r="U717" s="117">
        <f>IFERROR(S717/T717,"")</f>
        <v/>
      </c>
      <c r="V717" s="116" t="n">
        <v>42</v>
      </c>
      <c r="W717" s="116" t="n">
        <v>32</v>
      </c>
      <c r="X717" s="118">
        <f>IFERROR(W717/S717,"")</f>
        <v/>
      </c>
      <c r="Y717" s="115">
        <f>IFERROR(R717/W717,"")</f>
        <v/>
      </c>
      <c r="Z717" s="115">
        <f>IFERROR(R717/S717*1000,"")</f>
        <v/>
      </c>
      <c r="AA717" s="116" t="n">
        <v>27</v>
      </c>
      <c r="AB717" s="47">
        <f>IFERROR(AA717/W717,"")</f>
        <v/>
      </c>
      <c r="AC717" s="116" t="n">
        <v>0</v>
      </c>
      <c r="AD717" s="116" t="n">
        <v>0</v>
      </c>
      <c r="AE717" s="116" t="n">
        <v>0</v>
      </c>
      <c r="AF717" s="116" t="n">
        <v>0</v>
      </c>
      <c r="AG717" s="116" t="n">
        <v>0</v>
      </c>
      <c r="AH717" s="116" t="n">
        <v>0</v>
      </c>
      <c r="AI717" s="47">
        <f>IFERROR(AC717/S717,"")</f>
        <v/>
      </c>
      <c r="AJ717" s="47">
        <f>IFERROR(AH717/S717,"")</f>
        <v/>
      </c>
      <c r="AK717" s="116" t="n">
        <v>57</v>
      </c>
      <c r="AL717" s="116" t="n">
        <v>0</v>
      </c>
      <c r="AM717" s="118">
        <f>IFERROR(AL717/AA717,"")</f>
        <v/>
      </c>
      <c r="AN717" s="119">
        <f>IFERROR(R717/AL717,"")</f>
        <v/>
      </c>
      <c r="AO717" s="116" t="n">
        <v>0</v>
      </c>
      <c r="AP717" s="47">
        <f>IFERROR(AO717/AL717,"")</f>
        <v/>
      </c>
      <c r="AQ717" s="119">
        <f>IFERROR(R717/AO717,"")</f>
        <v/>
      </c>
      <c r="AR717" s="116" t="n">
        <v>0</v>
      </c>
      <c r="AS717" s="116" t="n">
        <v>0</v>
      </c>
      <c r="AT717" s="116">
        <f>AL717+AR717</f>
        <v/>
      </c>
      <c r="AU717" s="119">
        <f>IFERROR(AO717*Assumptions!$C$26*Assumptions!$C$27*INDEX(Assumptions!$C$18:$C$21,MATCH(H717,Assumptions!$B$18:$B$21,0)),0)</f>
        <v/>
      </c>
    </row>
    <row r="718">
      <c r="A718" s="114" t="n">
        <v>46250</v>
      </c>
      <c r="B718" s="42" t="inlineStr">
        <is>
          <t>Wk 33</t>
        </is>
      </c>
      <c r="C718" s="42" t="inlineStr">
        <is>
          <t>Sun</t>
        </is>
      </c>
      <c r="D718" s="42" t="inlineStr">
        <is>
          <t>Meta (FB/IG)</t>
        </is>
      </c>
      <c r="E718" s="42" t="inlineStr">
        <is>
          <t>Facebook + Instagram</t>
        </is>
      </c>
      <c r="F718" s="42" t="inlineStr">
        <is>
          <t>LEP_ZA_AUG26_META_TD_PANTERA_CONV</t>
        </is>
      </c>
      <c r="G718" s="42" t="inlineStr">
        <is>
          <t>Leads - Website Conversions</t>
        </is>
      </c>
      <c r="H718" s="42" t="inlineStr">
        <is>
          <t>PANTERA</t>
        </is>
      </c>
      <c r="I718" s="42" t="inlineStr">
        <is>
          <t>0% Deposit</t>
        </is>
      </c>
      <c r="J718" s="42" t="inlineStr">
        <is>
          <t>MET_PANTERA_INT_PREMIUM_ZA</t>
        </is>
      </c>
      <c r="K718" s="42" t="inlineStr">
        <is>
          <t>Interest</t>
        </is>
      </c>
      <c r="L718" s="42" t="inlineStr">
        <is>
          <t>PANTERA_STA_Compare_Premium_v1</t>
        </is>
      </c>
      <c r="M718" s="42" t="inlineStr">
        <is>
          <t>Static 4:5</t>
        </is>
      </c>
      <c r="N718" s="42" t="inlineStr">
        <is>
          <t>Premium spec. Mid-market money.</t>
        </is>
      </c>
      <c r="O718" s="42" t="inlineStr">
        <is>
          <t>Auction - Cost Cap</t>
        </is>
      </c>
      <c r="P718" s="42" t="inlineStr">
        <is>
          <t>Offsite Conversions</t>
        </is>
      </c>
      <c r="Q718" s="42" t="inlineStr">
        <is>
          <t>https://www.lepas-sa.co.za/offers/pantera</t>
        </is>
      </c>
      <c r="R718" s="115" t="n">
        <v>88.27</v>
      </c>
      <c r="S718" s="116" t="n">
        <v>977</v>
      </c>
      <c r="T718" s="116" t="n">
        <v>568</v>
      </c>
      <c r="U718" s="117">
        <f>IFERROR(S718/T718,"")</f>
        <v/>
      </c>
      <c r="V718" s="116" t="n">
        <v>19</v>
      </c>
      <c r="W718" s="116" t="n">
        <v>15</v>
      </c>
      <c r="X718" s="118">
        <f>IFERROR(W718/S718,"")</f>
        <v/>
      </c>
      <c r="Y718" s="115">
        <f>IFERROR(R718/W718,"")</f>
        <v/>
      </c>
      <c r="Z718" s="115">
        <f>IFERROR(R718/S718*1000,"")</f>
        <v/>
      </c>
      <c r="AA718" s="116" t="n">
        <v>12</v>
      </c>
      <c r="AB718" s="47">
        <f>IFERROR(AA718/W718,"")</f>
        <v/>
      </c>
      <c r="AC718" s="116" t="n">
        <v>0</v>
      </c>
      <c r="AD718" s="116" t="n">
        <v>0</v>
      </c>
      <c r="AE718" s="116" t="n">
        <v>0</v>
      </c>
      <c r="AF718" s="116" t="n">
        <v>0</v>
      </c>
      <c r="AG718" s="116" t="n">
        <v>0</v>
      </c>
      <c r="AH718" s="116" t="n">
        <v>0</v>
      </c>
      <c r="AI718" s="47">
        <f>IFERROR(AC718/S718,"")</f>
        <v/>
      </c>
      <c r="AJ718" s="47">
        <f>IFERROR(AH718/S718,"")</f>
        <v/>
      </c>
      <c r="AK718" s="116" t="n">
        <v>32</v>
      </c>
      <c r="AL718" s="116" t="n">
        <v>1</v>
      </c>
      <c r="AM718" s="118">
        <f>IFERROR(AL718/AA718,"")</f>
        <v/>
      </c>
      <c r="AN718" s="119">
        <f>IFERROR(R718/AL718,"")</f>
        <v/>
      </c>
      <c r="AO718" s="116" t="n">
        <v>1</v>
      </c>
      <c r="AP718" s="47">
        <f>IFERROR(AO718/AL718,"")</f>
        <v/>
      </c>
      <c r="AQ718" s="119">
        <f>IFERROR(R718/AO718,"")</f>
        <v/>
      </c>
      <c r="AR718" s="116" t="n">
        <v>1</v>
      </c>
      <c r="AS718" s="116" t="n">
        <v>0</v>
      </c>
      <c r="AT718" s="116">
        <f>AL718+AR718</f>
        <v/>
      </c>
      <c r="AU718" s="119">
        <f>IFERROR(AO718*Assumptions!$C$26*Assumptions!$C$27*INDEX(Assumptions!$C$18:$C$21,MATCH(H718,Assumptions!$B$18:$B$21,0)),0)</f>
        <v/>
      </c>
    </row>
    <row r="719">
      <c r="A719" s="114" t="n">
        <v>46251</v>
      </c>
      <c r="B719" s="42" t="inlineStr">
        <is>
          <t>Wk 34</t>
        </is>
      </c>
      <c r="C719" s="42" t="inlineStr">
        <is>
          <t>Mon</t>
        </is>
      </c>
      <c r="D719" s="42" t="inlineStr">
        <is>
          <t>Meta (FB/IG)</t>
        </is>
      </c>
      <c r="E719" s="42" t="inlineStr">
        <is>
          <t>Facebook + Instagram</t>
        </is>
      </c>
      <c r="F719" s="42" t="inlineStr">
        <is>
          <t>LEP_ZA_AUG26_META_TD_PANTERA_CONV</t>
        </is>
      </c>
      <c r="G719" s="42" t="inlineStr">
        <is>
          <t>Leads - Website Conversions</t>
        </is>
      </c>
      <c r="H719" s="42" t="inlineStr">
        <is>
          <t>PANTERA</t>
        </is>
      </c>
      <c r="I719" s="42" t="inlineStr">
        <is>
          <t>0% Deposit</t>
        </is>
      </c>
      <c r="J719" s="42" t="inlineStr">
        <is>
          <t>MET_PANTERA_INT_PREMIUM_ZA</t>
        </is>
      </c>
      <c r="K719" s="42" t="inlineStr">
        <is>
          <t>Interest</t>
        </is>
      </c>
      <c r="L719" s="42" t="inlineStr">
        <is>
          <t>PANTERA_STA_Compare_Premium_v1</t>
        </is>
      </c>
      <c r="M719" s="42" t="inlineStr">
        <is>
          <t>Static 4:5</t>
        </is>
      </c>
      <c r="N719" s="42" t="inlineStr">
        <is>
          <t>Premium spec. Mid-market money.</t>
        </is>
      </c>
      <c r="O719" s="42" t="inlineStr">
        <is>
          <t>Auction - Cost Cap</t>
        </is>
      </c>
      <c r="P719" s="42" t="inlineStr">
        <is>
          <t>Offsite Conversions</t>
        </is>
      </c>
      <c r="Q719" s="42" t="inlineStr">
        <is>
          <t>https://www.lepas-sa.co.za/offers/pantera</t>
        </is>
      </c>
      <c r="R719" s="115" t="n">
        <v>94.56999999999999</v>
      </c>
      <c r="S719" s="116" t="n">
        <v>1185</v>
      </c>
      <c r="T719" s="116" t="n">
        <v>641</v>
      </c>
      <c r="U719" s="117">
        <f>IFERROR(S719/T719,"")</f>
        <v/>
      </c>
      <c r="V719" s="116" t="n">
        <v>23</v>
      </c>
      <c r="W719" s="116" t="n">
        <v>18</v>
      </c>
      <c r="X719" s="118">
        <f>IFERROR(W719/S719,"")</f>
        <v/>
      </c>
      <c r="Y719" s="115">
        <f>IFERROR(R719/W719,"")</f>
        <v/>
      </c>
      <c r="Z719" s="115">
        <f>IFERROR(R719/S719*1000,"")</f>
        <v/>
      </c>
      <c r="AA719" s="116" t="n">
        <v>15</v>
      </c>
      <c r="AB719" s="47">
        <f>IFERROR(AA719/W719,"")</f>
        <v/>
      </c>
      <c r="AC719" s="116" t="n">
        <v>0</v>
      </c>
      <c r="AD719" s="116" t="n">
        <v>0</v>
      </c>
      <c r="AE719" s="116" t="n">
        <v>0</v>
      </c>
      <c r="AF719" s="116" t="n">
        <v>0</v>
      </c>
      <c r="AG719" s="116" t="n">
        <v>0</v>
      </c>
      <c r="AH719" s="116" t="n">
        <v>0</v>
      </c>
      <c r="AI719" s="47">
        <f>IFERROR(AC719/S719,"")</f>
        <v/>
      </c>
      <c r="AJ719" s="47">
        <f>IFERROR(AH719/S719,"")</f>
        <v/>
      </c>
      <c r="AK719" s="116" t="n">
        <v>33</v>
      </c>
      <c r="AL719" s="116" t="n">
        <v>1</v>
      </c>
      <c r="AM719" s="118">
        <f>IFERROR(AL719/AA719,"")</f>
        <v/>
      </c>
      <c r="AN719" s="119">
        <f>IFERROR(R719/AL719,"")</f>
        <v/>
      </c>
      <c r="AO719" s="116" t="n">
        <v>1</v>
      </c>
      <c r="AP719" s="47">
        <f>IFERROR(AO719/AL719,"")</f>
        <v/>
      </c>
      <c r="AQ719" s="119">
        <f>IFERROR(R719/AO719,"")</f>
        <v/>
      </c>
      <c r="AR719" s="116" t="n">
        <v>0</v>
      </c>
      <c r="AS719" s="116" t="n">
        <v>0</v>
      </c>
      <c r="AT719" s="116">
        <f>AL719+AR719</f>
        <v/>
      </c>
      <c r="AU719" s="119">
        <f>IFERROR(AO719*Assumptions!$C$26*Assumptions!$C$27*INDEX(Assumptions!$C$18:$C$21,MATCH(H719,Assumptions!$B$18:$B$21,0)),0)</f>
        <v/>
      </c>
    </row>
    <row r="720">
      <c r="A720" s="114" t="n">
        <v>46252</v>
      </c>
      <c r="B720" s="42" t="inlineStr">
        <is>
          <t>Wk 34</t>
        </is>
      </c>
      <c r="C720" s="42" t="inlineStr">
        <is>
          <t>Tue</t>
        </is>
      </c>
      <c r="D720" s="42" t="inlineStr">
        <is>
          <t>Meta (FB/IG)</t>
        </is>
      </c>
      <c r="E720" s="42" t="inlineStr">
        <is>
          <t>Facebook + Instagram</t>
        </is>
      </c>
      <c r="F720" s="42" t="inlineStr">
        <is>
          <t>LEP_ZA_AUG26_META_TD_PANTERA_CONV</t>
        </is>
      </c>
      <c r="G720" s="42" t="inlineStr">
        <is>
          <t>Leads - Website Conversions</t>
        </is>
      </c>
      <c r="H720" s="42" t="inlineStr">
        <is>
          <t>PANTERA</t>
        </is>
      </c>
      <c r="I720" s="42" t="inlineStr">
        <is>
          <t>0% Deposit</t>
        </is>
      </c>
      <c r="J720" s="42" t="inlineStr">
        <is>
          <t>MET_PANTERA_INT_PREMIUM_ZA</t>
        </is>
      </c>
      <c r="K720" s="42" t="inlineStr">
        <is>
          <t>Interest</t>
        </is>
      </c>
      <c r="L720" s="42" t="inlineStr">
        <is>
          <t>PANTERA_STA_Compare_Premium_v1</t>
        </is>
      </c>
      <c r="M720" s="42" t="inlineStr">
        <is>
          <t>Static 4:5</t>
        </is>
      </c>
      <c r="N720" s="42" t="inlineStr">
        <is>
          <t>Premium spec. Mid-market money.</t>
        </is>
      </c>
      <c r="O720" s="42" t="inlineStr">
        <is>
          <t>Auction - Cost Cap</t>
        </is>
      </c>
      <c r="P720" s="42" t="inlineStr">
        <is>
          <t>Offsite Conversions</t>
        </is>
      </c>
      <c r="Q720" s="42" t="inlineStr">
        <is>
          <t>https://www.lepas-sa.co.za/offers/pantera</t>
        </is>
      </c>
      <c r="R720" s="115" t="n">
        <v>104.38</v>
      </c>
      <c r="S720" s="116" t="n">
        <v>1206</v>
      </c>
      <c r="T720" s="116" t="n">
        <v>824</v>
      </c>
      <c r="U720" s="117">
        <f>IFERROR(S720/T720,"")</f>
        <v/>
      </c>
      <c r="V720" s="116" t="n">
        <v>22</v>
      </c>
      <c r="W720" s="116" t="n">
        <v>16</v>
      </c>
      <c r="X720" s="118">
        <f>IFERROR(W720/S720,"")</f>
        <v/>
      </c>
      <c r="Y720" s="115">
        <f>IFERROR(R720/W720,"")</f>
        <v/>
      </c>
      <c r="Z720" s="115">
        <f>IFERROR(R720/S720*1000,"")</f>
        <v/>
      </c>
      <c r="AA720" s="116" t="n">
        <v>12</v>
      </c>
      <c r="AB720" s="47">
        <f>IFERROR(AA720/W720,"")</f>
        <v/>
      </c>
      <c r="AC720" s="116" t="n">
        <v>0</v>
      </c>
      <c r="AD720" s="116" t="n">
        <v>0</v>
      </c>
      <c r="AE720" s="116" t="n">
        <v>0</v>
      </c>
      <c r="AF720" s="116" t="n">
        <v>0</v>
      </c>
      <c r="AG720" s="116" t="n">
        <v>0</v>
      </c>
      <c r="AH720" s="116" t="n">
        <v>0</v>
      </c>
      <c r="AI720" s="47">
        <f>IFERROR(AC720/S720,"")</f>
        <v/>
      </c>
      <c r="AJ720" s="47">
        <f>IFERROR(AH720/S720,"")</f>
        <v/>
      </c>
      <c r="AK720" s="116" t="n">
        <v>21</v>
      </c>
      <c r="AL720" s="116" t="n">
        <v>0</v>
      </c>
      <c r="AM720" s="118">
        <f>IFERROR(AL720/AA720,"")</f>
        <v/>
      </c>
      <c r="AN720" s="119">
        <f>IFERROR(R720/AL720,"")</f>
        <v/>
      </c>
      <c r="AO720" s="116" t="n">
        <v>0</v>
      </c>
      <c r="AP720" s="47">
        <f>IFERROR(AO720/AL720,"")</f>
        <v/>
      </c>
      <c r="AQ720" s="119">
        <f>IFERROR(R720/AO720,"")</f>
        <v/>
      </c>
      <c r="AR720" s="116" t="n">
        <v>0</v>
      </c>
      <c r="AS720" s="116" t="n">
        <v>0</v>
      </c>
      <c r="AT720" s="116">
        <f>AL720+AR720</f>
        <v/>
      </c>
      <c r="AU720" s="119">
        <f>IFERROR(AO720*Assumptions!$C$26*Assumptions!$C$27*INDEX(Assumptions!$C$18:$C$21,MATCH(H720,Assumptions!$B$18:$B$21,0)),0)</f>
        <v/>
      </c>
    </row>
    <row r="721">
      <c r="A721" s="114" t="n">
        <v>46253</v>
      </c>
      <c r="B721" s="42" t="inlineStr">
        <is>
          <t>Wk 34</t>
        </is>
      </c>
      <c r="C721" s="42" t="inlineStr">
        <is>
          <t>Wed</t>
        </is>
      </c>
      <c r="D721" s="42" t="inlineStr">
        <is>
          <t>Meta (FB/IG)</t>
        </is>
      </c>
      <c r="E721" s="42" t="inlineStr">
        <is>
          <t>Facebook + Instagram</t>
        </is>
      </c>
      <c r="F721" s="42" t="inlineStr">
        <is>
          <t>LEP_ZA_AUG26_META_TD_PANTERA_CONV</t>
        </is>
      </c>
      <c r="G721" s="42" t="inlineStr">
        <is>
          <t>Leads - Website Conversions</t>
        </is>
      </c>
      <c r="H721" s="42" t="inlineStr">
        <is>
          <t>PANTERA</t>
        </is>
      </c>
      <c r="I721" s="42" t="inlineStr">
        <is>
          <t>0% Deposit</t>
        </is>
      </c>
      <c r="J721" s="42" t="inlineStr">
        <is>
          <t>MET_PANTERA_INT_PREMIUM_ZA</t>
        </is>
      </c>
      <c r="K721" s="42" t="inlineStr">
        <is>
          <t>Interest</t>
        </is>
      </c>
      <c r="L721" s="42" t="inlineStr">
        <is>
          <t>PANTERA_STA_Compare_Premium_v1</t>
        </is>
      </c>
      <c r="M721" s="42" t="inlineStr">
        <is>
          <t>Static 4:5</t>
        </is>
      </c>
      <c r="N721" s="42" t="inlineStr">
        <is>
          <t>Premium spec. Mid-market money.</t>
        </is>
      </c>
      <c r="O721" s="42" t="inlineStr">
        <is>
          <t>Auction - Cost Cap</t>
        </is>
      </c>
      <c r="P721" s="42" t="inlineStr">
        <is>
          <t>Offsite Conversions</t>
        </is>
      </c>
      <c r="Q721" s="42" t="inlineStr">
        <is>
          <t>https://www.lepas-sa.co.za/offers/pantera</t>
        </is>
      </c>
      <c r="R721" s="115" t="n">
        <v>102.33</v>
      </c>
      <c r="S721" s="116" t="n">
        <v>1167</v>
      </c>
      <c r="T721" s="116" t="n">
        <v>623</v>
      </c>
      <c r="U721" s="117">
        <f>IFERROR(S721/T721,"")</f>
        <v/>
      </c>
      <c r="V721" s="116" t="n">
        <v>18</v>
      </c>
      <c r="W721" s="116" t="n">
        <v>14</v>
      </c>
      <c r="X721" s="118">
        <f>IFERROR(W721/S721,"")</f>
        <v/>
      </c>
      <c r="Y721" s="115">
        <f>IFERROR(R721/W721,"")</f>
        <v/>
      </c>
      <c r="Z721" s="115">
        <f>IFERROR(R721/S721*1000,"")</f>
        <v/>
      </c>
      <c r="AA721" s="116" t="n">
        <v>11</v>
      </c>
      <c r="AB721" s="47">
        <f>IFERROR(AA721/W721,"")</f>
        <v/>
      </c>
      <c r="AC721" s="116" t="n">
        <v>0</v>
      </c>
      <c r="AD721" s="116" t="n">
        <v>0</v>
      </c>
      <c r="AE721" s="116" t="n">
        <v>0</v>
      </c>
      <c r="AF721" s="116" t="n">
        <v>0</v>
      </c>
      <c r="AG721" s="116" t="n">
        <v>0</v>
      </c>
      <c r="AH721" s="116" t="n">
        <v>0</v>
      </c>
      <c r="AI721" s="47">
        <f>IFERROR(AC721/S721,"")</f>
        <v/>
      </c>
      <c r="AJ721" s="47">
        <f>IFERROR(AH721/S721,"")</f>
        <v/>
      </c>
      <c r="AK721" s="116" t="n">
        <v>41</v>
      </c>
      <c r="AL721" s="116" t="n">
        <v>0</v>
      </c>
      <c r="AM721" s="118">
        <f>IFERROR(AL721/AA721,"")</f>
        <v/>
      </c>
      <c r="AN721" s="119">
        <f>IFERROR(R721/AL721,"")</f>
        <v/>
      </c>
      <c r="AO721" s="116" t="n">
        <v>0</v>
      </c>
      <c r="AP721" s="47">
        <f>IFERROR(AO721/AL721,"")</f>
        <v/>
      </c>
      <c r="AQ721" s="119">
        <f>IFERROR(R721/AO721,"")</f>
        <v/>
      </c>
      <c r="AR721" s="116" t="n">
        <v>0</v>
      </c>
      <c r="AS721" s="116" t="n">
        <v>0</v>
      </c>
      <c r="AT721" s="116">
        <f>AL721+AR721</f>
        <v/>
      </c>
      <c r="AU721" s="119">
        <f>IFERROR(AO721*Assumptions!$C$26*Assumptions!$C$27*INDEX(Assumptions!$C$18:$C$21,MATCH(H721,Assumptions!$B$18:$B$21,0)),0)</f>
        <v/>
      </c>
    </row>
    <row r="722">
      <c r="A722" s="114" t="n">
        <v>46254</v>
      </c>
      <c r="B722" s="42" t="inlineStr">
        <is>
          <t>Wk 34</t>
        </is>
      </c>
      <c r="C722" s="42" t="inlineStr">
        <is>
          <t>Thu</t>
        </is>
      </c>
      <c r="D722" s="42" t="inlineStr">
        <is>
          <t>Meta (FB/IG)</t>
        </is>
      </c>
      <c r="E722" s="42" t="inlineStr">
        <is>
          <t>Facebook + Instagram</t>
        </is>
      </c>
      <c r="F722" s="42" t="inlineStr">
        <is>
          <t>LEP_ZA_AUG26_META_TD_PANTERA_CONV</t>
        </is>
      </c>
      <c r="G722" s="42" t="inlineStr">
        <is>
          <t>Leads - Website Conversions</t>
        </is>
      </c>
      <c r="H722" s="42" t="inlineStr">
        <is>
          <t>PANTERA</t>
        </is>
      </c>
      <c r="I722" s="42" t="inlineStr">
        <is>
          <t>0% Deposit</t>
        </is>
      </c>
      <c r="J722" s="42" t="inlineStr">
        <is>
          <t>MET_PANTERA_INT_PREMIUM_ZA</t>
        </is>
      </c>
      <c r="K722" s="42" t="inlineStr">
        <is>
          <t>Interest</t>
        </is>
      </c>
      <c r="L722" s="42" t="inlineStr">
        <is>
          <t>PANTERA_STA_Compare_Premium_v1</t>
        </is>
      </c>
      <c r="M722" s="42" t="inlineStr">
        <is>
          <t>Static 4:5</t>
        </is>
      </c>
      <c r="N722" s="42" t="inlineStr">
        <is>
          <t>Premium spec. Mid-market money.</t>
        </is>
      </c>
      <c r="O722" s="42" t="inlineStr">
        <is>
          <t>Auction - Cost Cap</t>
        </is>
      </c>
      <c r="P722" s="42" t="inlineStr">
        <is>
          <t>Offsite Conversions</t>
        </is>
      </c>
      <c r="Q722" s="42" t="inlineStr">
        <is>
          <t>https://www.lepas-sa.co.za/offers/pantera</t>
        </is>
      </c>
      <c r="R722" s="115" t="n">
        <v>119.88</v>
      </c>
      <c r="S722" s="116" t="n">
        <v>1786</v>
      </c>
      <c r="T722" s="116" t="n">
        <v>924</v>
      </c>
      <c r="U722" s="117">
        <f>IFERROR(S722/T722,"")</f>
        <v/>
      </c>
      <c r="V722" s="116" t="n">
        <v>24</v>
      </c>
      <c r="W722" s="116" t="n">
        <v>18</v>
      </c>
      <c r="X722" s="118">
        <f>IFERROR(W722/S722,"")</f>
        <v/>
      </c>
      <c r="Y722" s="115">
        <f>IFERROR(R722/W722,"")</f>
        <v/>
      </c>
      <c r="Z722" s="115">
        <f>IFERROR(R722/S722*1000,"")</f>
        <v/>
      </c>
      <c r="AA722" s="116" t="n">
        <v>15</v>
      </c>
      <c r="AB722" s="47">
        <f>IFERROR(AA722/W722,"")</f>
        <v/>
      </c>
      <c r="AC722" s="116" t="n">
        <v>0</v>
      </c>
      <c r="AD722" s="116" t="n">
        <v>0</v>
      </c>
      <c r="AE722" s="116" t="n">
        <v>0</v>
      </c>
      <c r="AF722" s="116" t="n">
        <v>0</v>
      </c>
      <c r="AG722" s="116" t="n">
        <v>0</v>
      </c>
      <c r="AH722" s="116" t="n">
        <v>0</v>
      </c>
      <c r="AI722" s="47">
        <f>IFERROR(AC722/S722,"")</f>
        <v/>
      </c>
      <c r="AJ722" s="47">
        <f>IFERROR(AH722/S722,"")</f>
        <v/>
      </c>
      <c r="AK722" s="116" t="n">
        <v>37</v>
      </c>
      <c r="AL722" s="116" t="n">
        <v>0</v>
      </c>
      <c r="AM722" s="118">
        <f>IFERROR(AL722/AA722,"")</f>
        <v/>
      </c>
      <c r="AN722" s="119">
        <f>IFERROR(R722/AL722,"")</f>
        <v/>
      </c>
      <c r="AO722" s="116" t="n">
        <v>0</v>
      </c>
      <c r="AP722" s="47">
        <f>IFERROR(AO722/AL722,"")</f>
        <v/>
      </c>
      <c r="AQ722" s="119">
        <f>IFERROR(R722/AO722,"")</f>
        <v/>
      </c>
      <c r="AR722" s="116" t="n">
        <v>0</v>
      </c>
      <c r="AS722" s="116" t="n">
        <v>0</v>
      </c>
      <c r="AT722" s="116">
        <f>AL722+AR722</f>
        <v/>
      </c>
      <c r="AU722" s="119">
        <f>IFERROR(AO722*Assumptions!$C$26*Assumptions!$C$27*INDEX(Assumptions!$C$18:$C$21,MATCH(H722,Assumptions!$B$18:$B$21,0)),0)</f>
        <v/>
      </c>
    </row>
    <row r="723">
      <c r="A723" s="114" t="n">
        <v>46255</v>
      </c>
      <c r="B723" s="42" t="inlineStr">
        <is>
          <t>Wk 34</t>
        </is>
      </c>
      <c r="C723" s="42" t="inlineStr">
        <is>
          <t>Fri</t>
        </is>
      </c>
      <c r="D723" s="42" t="inlineStr">
        <is>
          <t>Meta (FB/IG)</t>
        </is>
      </c>
      <c r="E723" s="42" t="inlineStr">
        <is>
          <t>Facebook + Instagram</t>
        </is>
      </c>
      <c r="F723" s="42" t="inlineStr">
        <is>
          <t>LEP_ZA_AUG26_META_TD_PANTERA_CONV</t>
        </is>
      </c>
      <c r="G723" s="42" t="inlineStr">
        <is>
          <t>Leads - Website Conversions</t>
        </is>
      </c>
      <c r="H723" s="42" t="inlineStr">
        <is>
          <t>PANTERA</t>
        </is>
      </c>
      <c r="I723" s="42" t="inlineStr">
        <is>
          <t>0% Deposit</t>
        </is>
      </c>
      <c r="J723" s="42" t="inlineStr">
        <is>
          <t>MET_PANTERA_INT_PREMIUM_ZA</t>
        </is>
      </c>
      <c r="K723" s="42" t="inlineStr">
        <is>
          <t>Interest</t>
        </is>
      </c>
      <c r="L723" s="42" t="inlineStr">
        <is>
          <t>PANTERA_STA_Compare_Premium_v1</t>
        </is>
      </c>
      <c r="M723" s="42" t="inlineStr">
        <is>
          <t>Static 4:5</t>
        </is>
      </c>
      <c r="N723" s="42" t="inlineStr">
        <is>
          <t>Premium spec. Mid-market money.</t>
        </is>
      </c>
      <c r="O723" s="42" t="inlineStr">
        <is>
          <t>Auction - Cost Cap</t>
        </is>
      </c>
      <c r="P723" s="42" t="inlineStr">
        <is>
          <t>Offsite Conversions</t>
        </is>
      </c>
      <c r="Q723" s="42" t="inlineStr">
        <is>
          <t>https://www.lepas-sa.co.za/offers/pantera</t>
        </is>
      </c>
      <c r="R723" s="115" t="n">
        <v>98.91</v>
      </c>
      <c r="S723" s="116" t="n">
        <v>1772</v>
      </c>
      <c r="T723" s="116" t="n">
        <v>1092</v>
      </c>
      <c r="U723" s="117">
        <f>IFERROR(S723/T723,"")</f>
        <v/>
      </c>
      <c r="V723" s="116" t="n">
        <v>16</v>
      </c>
      <c r="W723" s="116" t="n">
        <v>14</v>
      </c>
      <c r="X723" s="118">
        <f>IFERROR(W723/S723,"")</f>
        <v/>
      </c>
      <c r="Y723" s="115">
        <f>IFERROR(R723/W723,"")</f>
        <v/>
      </c>
      <c r="Z723" s="115">
        <f>IFERROR(R723/S723*1000,"")</f>
        <v/>
      </c>
      <c r="AA723" s="116" t="n">
        <v>12</v>
      </c>
      <c r="AB723" s="47">
        <f>IFERROR(AA723/W723,"")</f>
        <v/>
      </c>
      <c r="AC723" s="116" t="n">
        <v>0</v>
      </c>
      <c r="AD723" s="116" t="n">
        <v>0</v>
      </c>
      <c r="AE723" s="116" t="n">
        <v>0</v>
      </c>
      <c r="AF723" s="116" t="n">
        <v>0</v>
      </c>
      <c r="AG723" s="116" t="n">
        <v>0</v>
      </c>
      <c r="AH723" s="116" t="n">
        <v>0</v>
      </c>
      <c r="AI723" s="47">
        <f>IFERROR(AC723/S723,"")</f>
        <v/>
      </c>
      <c r="AJ723" s="47">
        <f>IFERROR(AH723/S723,"")</f>
        <v/>
      </c>
      <c r="AK723" s="116" t="n">
        <v>27</v>
      </c>
      <c r="AL723" s="116" t="n">
        <v>0</v>
      </c>
      <c r="AM723" s="118">
        <f>IFERROR(AL723/AA723,"")</f>
        <v/>
      </c>
      <c r="AN723" s="119">
        <f>IFERROR(R723/AL723,"")</f>
        <v/>
      </c>
      <c r="AO723" s="116" t="n">
        <v>0</v>
      </c>
      <c r="AP723" s="47">
        <f>IFERROR(AO723/AL723,"")</f>
        <v/>
      </c>
      <c r="AQ723" s="119">
        <f>IFERROR(R723/AO723,"")</f>
        <v/>
      </c>
      <c r="AR723" s="116" t="n">
        <v>0</v>
      </c>
      <c r="AS723" s="116" t="n">
        <v>0</v>
      </c>
      <c r="AT723" s="116">
        <f>AL723+AR723</f>
        <v/>
      </c>
      <c r="AU723" s="119">
        <f>IFERROR(AO723*Assumptions!$C$26*Assumptions!$C$27*INDEX(Assumptions!$C$18:$C$21,MATCH(H723,Assumptions!$B$18:$B$21,0)),0)</f>
        <v/>
      </c>
    </row>
    <row r="724">
      <c r="A724" s="114" t="n">
        <v>46256</v>
      </c>
      <c r="B724" s="42" t="inlineStr">
        <is>
          <t>Wk 34</t>
        </is>
      </c>
      <c r="C724" s="42" t="inlineStr">
        <is>
          <t>Sat</t>
        </is>
      </c>
      <c r="D724" s="42" t="inlineStr">
        <is>
          <t>Meta (FB/IG)</t>
        </is>
      </c>
      <c r="E724" s="42" t="inlineStr">
        <is>
          <t>Facebook + Instagram</t>
        </is>
      </c>
      <c r="F724" s="42" t="inlineStr">
        <is>
          <t>LEP_ZA_AUG26_META_TD_PANTERA_CONV</t>
        </is>
      </c>
      <c r="G724" s="42" t="inlineStr">
        <is>
          <t>Leads - Website Conversions</t>
        </is>
      </c>
      <c r="H724" s="42" t="inlineStr">
        <is>
          <t>PANTERA</t>
        </is>
      </c>
      <c r="I724" s="42" t="inlineStr">
        <is>
          <t>0% Deposit</t>
        </is>
      </c>
      <c r="J724" s="42" t="inlineStr">
        <is>
          <t>MET_PANTERA_INT_PREMIUM_ZA</t>
        </is>
      </c>
      <c r="K724" s="42" t="inlineStr">
        <is>
          <t>Interest</t>
        </is>
      </c>
      <c r="L724" s="42" t="inlineStr">
        <is>
          <t>PANTERA_STA_Compare_Premium_v1</t>
        </is>
      </c>
      <c r="M724" s="42" t="inlineStr">
        <is>
          <t>Static 4:5</t>
        </is>
      </c>
      <c r="N724" s="42" t="inlineStr">
        <is>
          <t>Premium spec. Mid-market money.</t>
        </is>
      </c>
      <c r="O724" s="42" t="inlineStr">
        <is>
          <t>Auction - Cost Cap</t>
        </is>
      </c>
      <c r="P724" s="42" t="inlineStr">
        <is>
          <t>Offsite Conversions</t>
        </is>
      </c>
      <c r="Q724" s="42" t="inlineStr">
        <is>
          <t>https://www.lepas-sa.co.za/offers/pantera</t>
        </is>
      </c>
      <c r="R724" s="115" t="n">
        <v>119.17</v>
      </c>
      <c r="S724" s="116" t="n">
        <v>1490</v>
      </c>
      <c r="T724" s="116" t="n">
        <v>879</v>
      </c>
      <c r="U724" s="117">
        <f>IFERROR(S724/T724,"")</f>
        <v/>
      </c>
      <c r="V724" s="116" t="n">
        <v>30</v>
      </c>
      <c r="W724" s="116" t="n">
        <v>23</v>
      </c>
      <c r="X724" s="118">
        <f>IFERROR(W724/S724,"")</f>
        <v/>
      </c>
      <c r="Y724" s="115">
        <f>IFERROR(R724/W724,"")</f>
        <v/>
      </c>
      <c r="Z724" s="115">
        <f>IFERROR(R724/S724*1000,"")</f>
        <v/>
      </c>
      <c r="AA724" s="116" t="n">
        <v>19</v>
      </c>
      <c r="AB724" s="47">
        <f>IFERROR(AA724/W724,"")</f>
        <v/>
      </c>
      <c r="AC724" s="116" t="n">
        <v>0</v>
      </c>
      <c r="AD724" s="116" t="n">
        <v>0</v>
      </c>
      <c r="AE724" s="116" t="n">
        <v>0</v>
      </c>
      <c r="AF724" s="116" t="n">
        <v>0</v>
      </c>
      <c r="AG724" s="116" t="n">
        <v>0</v>
      </c>
      <c r="AH724" s="116" t="n">
        <v>0</v>
      </c>
      <c r="AI724" s="47">
        <f>IFERROR(AC724/S724,"")</f>
        <v/>
      </c>
      <c r="AJ724" s="47">
        <f>IFERROR(AH724/S724,"")</f>
        <v/>
      </c>
      <c r="AK724" s="116" t="n">
        <v>29</v>
      </c>
      <c r="AL724" s="116" t="n">
        <v>0</v>
      </c>
      <c r="AM724" s="118">
        <f>IFERROR(AL724/AA724,"")</f>
        <v/>
      </c>
      <c r="AN724" s="119">
        <f>IFERROR(R724/AL724,"")</f>
        <v/>
      </c>
      <c r="AO724" s="116" t="n">
        <v>0</v>
      </c>
      <c r="AP724" s="47">
        <f>IFERROR(AO724/AL724,"")</f>
        <v/>
      </c>
      <c r="AQ724" s="119">
        <f>IFERROR(R724/AO724,"")</f>
        <v/>
      </c>
      <c r="AR724" s="116" t="n">
        <v>0</v>
      </c>
      <c r="AS724" s="116" t="n">
        <v>0</v>
      </c>
      <c r="AT724" s="116">
        <f>AL724+AR724</f>
        <v/>
      </c>
      <c r="AU724" s="119">
        <f>IFERROR(AO724*Assumptions!$C$26*Assumptions!$C$27*INDEX(Assumptions!$C$18:$C$21,MATCH(H724,Assumptions!$B$18:$B$21,0)),0)</f>
        <v/>
      </c>
    </row>
    <row r="725">
      <c r="A725" s="114" t="n">
        <v>46257</v>
      </c>
      <c r="B725" s="42" t="inlineStr">
        <is>
          <t>Wk 34</t>
        </is>
      </c>
      <c r="C725" s="42" t="inlineStr">
        <is>
          <t>Sun</t>
        </is>
      </c>
      <c r="D725" s="42" t="inlineStr">
        <is>
          <t>Meta (FB/IG)</t>
        </is>
      </c>
      <c r="E725" s="42" t="inlineStr">
        <is>
          <t>Facebook + Instagram</t>
        </is>
      </c>
      <c r="F725" s="42" t="inlineStr">
        <is>
          <t>LEP_ZA_AUG26_META_TD_PANTERA_CONV</t>
        </is>
      </c>
      <c r="G725" s="42" t="inlineStr">
        <is>
          <t>Leads - Website Conversions</t>
        </is>
      </c>
      <c r="H725" s="42" t="inlineStr">
        <is>
          <t>PANTERA</t>
        </is>
      </c>
      <c r="I725" s="42" t="inlineStr">
        <is>
          <t>0% Deposit</t>
        </is>
      </c>
      <c r="J725" s="42" t="inlineStr">
        <is>
          <t>MET_PANTERA_INT_PREMIUM_ZA</t>
        </is>
      </c>
      <c r="K725" s="42" t="inlineStr">
        <is>
          <t>Interest</t>
        </is>
      </c>
      <c r="L725" s="42" t="inlineStr">
        <is>
          <t>PANTERA_STA_Compare_Premium_v1</t>
        </is>
      </c>
      <c r="M725" s="42" t="inlineStr">
        <is>
          <t>Static 4:5</t>
        </is>
      </c>
      <c r="N725" s="42" t="inlineStr">
        <is>
          <t>Premium spec. Mid-market money.</t>
        </is>
      </c>
      <c r="O725" s="42" t="inlineStr">
        <is>
          <t>Auction - Cost Cap</t>
        </is>
      </c>
      <c r="P725" s="42" t="inlineStr">
        <is>
          <t>Offsite Conversions</t>
        </is>
      </c>
      <c r="Q725" s="42" t="inlineStr">
        <is>
          <t>https://www.lepas-sa.co.za/offers/pantera</t>
        </is>
      </c>
      <c r="R725" s="115" t="n">
        <v>80.03</v>
      </c>
      <c r="S725" s="116" t="n">
        <v>980</v>
      </c>
      <c r="T725" s="116" t="n">
        <v>610</v>
      </c>
      <c r="U725" s="117">
        <f>IFERROR(S725/T725,"")</f>
        <v/>
      </c>
      <c r="V725" s="116" t="n">
        <v>14</v>
      </c>
      <c r="W725" s="116" t="n">
        <v>11</v>
      </c>
      <c r="X725" s="118">
        <f>IFERROR(W725/S725,"")</f>
        <v/>
      </c>
      <c r="Y725" s="115">
        <f>IFERROR(R725/W725,"")</f>
        <v/>
      </c>
      <c r="Z725" s="115">
        <f>IFERROR(R725/S725*1000,"")</f>
        <v/>
      </c>
      <c r="AA725" s="116" t="n">
        <v>9</v>
      </c>
      <c r="AB725" s="47">
        <f>IFERROR(AA725/W725,"")</f>
        <v/>
      </c>
      <c r="AC725" s="116" t="n">
        <v>0</v>
      </c>
      <c r="AD725" s="116" t="n">
        <v>0</v>
      </c>
      <c r="AE725" s="116" t="n">
        <v>0</v>
      </c>
      <c r="AF725" s="116" t="n">
        <v>0</v>
      </c>
      <c r="AG725" s="116" t="n">
        <v>0</v>
      </c>
      <c r="AH725" s="116" t="n">
        <v>0</v>
      </c>
      <c r="AI725" s="47">
        <f>IFERROR(AC725/S725,"")</f>
        <v/>
      </c>
      <c r="AJ725" s="47">
        <f>IFERROR(AH725/S725,"")</f>
        <v/>
      </c>
      <c r="AK725" s="116" t="n">
        <v>11</v>
      </c>
      <c r="AL725" s="116" t="n">
        <v>0</v>
      </c>
      <c r="AM725" s="118">
        <f>IFERROR(AL725/AA725,"")</f>
        <v/>
      </c>
      <c r="AN725" s="119">
        <f>IFERROR(R725/AL725,"")</f>
        <v/>
      </c>
      <c r="AO725" s="116" t="n">
        <v>0</v>
      </c>
      <c r="AP725" s="47">
        <f>IFERROR(AO725/AL725,"")</f>
        <v/>
      </c>
      <c r="AQ725" s="119">
        <f>IFERROR(R725/AO725,"")</f>
        <v/>
      </c>
      <c r="AR725" s="116" t="n">
        <v>0</v>
      </c>
      <c r="AS725" s="116" t="n">
        <v>0</v>
      </c>
      <c r="AT725" s="116">
        <f>AL725+AR725</f>
        <v/>
      </c>
      <c r="AU725" s="119">
        <f>IFERROR(AO725*Assumptions!$C$26*Assumptions!$C$27*INDEX(Assumptions!$C$18:$C$21,MATCH(H725,Assumptions!$B$18:$B$21,0)),0)</f>
        <v/>
      </c>
    </row>
    <row r="726">
      <c r="A726" s="114" t="n">
        <v>46258</v>
      </c>
      <c r="B726" s="42" t="inlineStr">
        <is>
          <t>Wk 35</t>
        </is>
      </c>
      <c r="C726" s="42" t="inlineStr">
        <is>
          <t>Mon</t>
        </is>
      </c>
      <c r="D726" s="42" t="inlineStr">
        <is>
          <t>Meta (FB/IG)</t>
        </is>
      </c>
      <c r="E726" s="42" t="inlineStr">
        <is>
          <t>Facebook + Instagram</t>
        </is>
      </c>
      <c r="F726" s="42" t="inlineStr">
        <is>
          <t>LEP_ZA_AUG26_META_TD_PANTERA_CONV</t>
        </is>
      </c>
      <c r="G726" s="42" t="inlineStr">
        <is>
          <t>Leads - Website Conversions</t>
        </is>
      </c>
      <c r="H726" s="42" t="inlineStr">
        <is>
          <t>PANTERA</t>
        </is>
      </c>
      <c r="I726" s="42" t="inlineStr">
        <is>
          <t>0% Deposit</t>
        </is>
      </c>
      <c r="J726" s="42" t="inlineStr">
        <is>
          <t>MET_PANTERA_INT_PREMIUM_ZA</t>
        </is>
      </c>
      <c r="K726" s="42" t="inlineStr">
        <is>
          <t>Interest</t>
        </is>
      </c>
      <c r="L726" s="42" t="inlineStr">
        <is>
          <t>PANTERA_STA_Compare_Premium_v1</t>
        </is>
      </c>
      <c r="M726" s="42" t="inlineStr">
        <is>
          <t>Static 4:5</t>
        </is>
      </c>
      <c r="N726" s="42" t="inlineStr">
        <is>
          <t>Premium spec. Mid-market money.</t>
        </is>
      </c>
      <c r="O726" s="42" t="inlineStr">
        <is>
          <t>Auction - Cost Cap</t>
        </is>
      </c>
      <c r="P726" s="42" t="inlineStr">
        <is>
          <t>Offsite Conversions</t>
        </is>
      </c>
      <c r="Q726" s="42" t="inlineStr">
        <is>
          <t>https://www.lepas-sa.co.za/offers/pantera</t>
        </is>
      </c>
      <c r="R726" s="115" t="n">
        <v>96.09</v>
      </c>
      <c r="S726" s="116" t="n">
        <v>1361</v>
      </c>
      <c r="T726" s="116" t="n">
        <v>706</v>
      </c>
      <c r="U726" s="117">
        <f>IFERROR(S726/T726,"")</f>
        <v/>
      </c>
      <c r="V726" s="116" t="n">
        <v>20</v>
      </c>
      <c r="W726" s="116" t="n">
        <v>14</v>
      </c>
      <c r="X726" s="118">
        <f>IFERROR(W726/S726,"")</f>
        <v/>
      </c>
      <c r="Y726" s="115">
        <f>IFERROR(R726/W726,"")</f>
        <v/>
      </c>
      <c r="Z726" s="115">
        <f>IFERROR(R726/S726*1000,"")</f>
        <v/>
      </c>
      <c r="AA726" s="116" t="n">
        <v>12</v>
      </c>
      <c r="AB726" s="47">
        <f>IFERROR(AA726/W726,"")</f>
        <v/>
      </c>
      <c r="AC726" s="116" t="n">
        <v>0</v>
      </c>
      <c r="AD726" s="116" t="n">
        <v>0</v>
      </c>
      <c r="AE726" s="116" t="n">
        <v>0</v>
      </c>
      <c r="AF726" s="116" t="n">
        <v>0</v>
      </c>
      <c r="AG726" s="116" t="n">
        <v>0</v>
      </c>
      <c r="AH726" s="116" t="n">
        <v>0</v>
      </c>
      <c r="AI726" s="47">
        <f>IFERROR(AC726/S726,"")</f>
        <v/>
      </c>
      <c r="AJ726" s="47">
        <f>IFERROR(AH726/S726,"")</f>
        <v/>
      </c>
      <c r="AK726" s="116" t="n">
        <v>46</v>
      </c>
      <c r="AL726" s="116" t="n">
        <v>0</v>
      </c>
      <c r="AM726" s="118">
        <f>IFERROR(AL726/AA726,"")</f>
        <v/>
      </c>
      <c r="AN726" s="119">
        <f>IFERROR(R726/AL726,"")</f>
        <v/>
      </c>
      <c r="AO726" s="116" t="n">
        <v>0</v>
      </c>
      <c r="AP726" s="47">
        <f>IFERROR(AO726/AL726,"")</f>
        <v/>
      </c>
      <c r="AQ726" s="119">
        <f>IFERROR(R726/AO726,"")</f>
        <v/>
      </c>
      <c r="AR726" s="116" t="n">
        <v>0</v>
      </c>
      <c r="AS726" s="116" t="n">
        <v>0</v>
      </c>
      <c r="AT726" s="116">
        <f>AL726+AR726</f>
        <v/>
      </c>
      <c r="AU726" s="119">
        <f>IFERROR(AO726*Assumptions!$C$26*Assumptions!$C$27*INDEX(Assumptions!$C$18:$C$21,MATCH(H726,Assumptions!$B$18:$B$21,0)),0)</f>
        <v/>
      </c>
    </row>
    <row r="727">
      <c r="A727" s="114" t="n">
        <v>46259</v>
      </c>
      <c r="B727" s="42" t="inlineStr">
        <is>
          <t>Wk 35</t>
        </is>
      </c>
      <c r="C727" s="42" t="inlineStr">
        <is>
          <t>Tue</t>
        </is>
      </c>
      <c r="D727" s="42" t="inlineStr">
        <is>
          <t>Meta (FB/IG)</t>
        </is>
      </c>
      <c r="E727" s="42" t="inlineStr">
        <is>
          <t>Facebook + Instagram</t>
        </is>
      </c>
      <c r="F727" s="42" t="inlineStr">
        <is>
          <t>LEP_ZA_AUG26_META_TD_PANTERA_CONV</t>
        </is>
      </c>
      <c r="G727" s="42" t="inlineStr">
        <is>
          <t>Leads - Website Conversions</t>
        </is>
      </c>
      <c r="H727" s="42" t="inlineStr">
        <is>
          <t>PANTERA</t>
        </is>
      </c>
      <c r="I727" s="42" t="inlineStr">
        <is>
          <t>0% Deposit</t>
        </is>
      </c>
      <c r="J727" s="42" t="inlineStr">
        <is>
          <t>MET_PANTERA_INT_PREMIUM_ZA</t>
        </is>
      </c>
      <c r="K727" s="42" t="inlineStr">
        <is>
          <t>Interest</t>
        </is>
      </c>
      <c r="L727" s="42" t="inlineStr">
        <is>
          <t>PANTERA_STA_Compare_Premium_v1</t>
        </is>
      </c>
      <c r="M727" s="42" t="inlineStr">
        <is>
          <t>Static 4:5</t>
        </is>
      </c>
      <c r="N727" s="42" t="inlineStr">
        <is>
          <t>Premium spec. Mid-market money.</t>
        </is>
      </c>
      <c r="O727" s="42" t="inlineStr">
        <is>
          <t>Auction - Cost Cap</t>
        </is>
      </c>
      <c r="P727" s="42" t="inlineStr">
        <is>
          <t>Offsite Conversions</t>
        </is>
      </c>
      <c r="Q727" s="42" t="inlineStr">
        <is>
          <t>https://www.lepas-sa.co.za/offers/pantera</t>
        </is>
      </c>
      <c r="R727" s="115" t="n">
        <v>107.6</v>
      </c>
      <c r="S727" s="116" t="n">
        <v>1162</v>
      </c>
      <c r="T727" s="116" t="n">
        <v>598</v>
      </c>
      <c r="U727" s="117">
        <f>IFERROR(S727/T727,"")</f>
        <v/>
      </c>
      <c r="V727" s="116" t="n">
        <v>11</v>
      </c>
      <c r="W727" s="116" t="n">
        <v>8</v>
      </c>
      <c r="X727" s="118">
        <f>IFERROR(W727/S727,"")</f>
        <v/>
      </c>
      <c r="Y727" s="115">
        <f>IFERROR(R727/W727,"")</f>
        <v/>
      </c>
      <c r="Z727" s="115">
        <f>IFERROR(R727/S727*1000,"")</f>
        <v/>
      </c>
      <c r="AA727" s="116" t="n">
        <v>7</v>
      </c>
      <c r="AB727" s="47">
        <f>IFERROR(AA727/W727,"")</f>
        <v/>
      </c>
      <c r="AC727" s="116" t="n">
        <v>0</v>
      </c>
      <c r="AD727" s="116" t="n">
        <v>0</v>
      </c>
      <c r="AE727" s="116" t="n">
        <v>0</v>
      </c>
      <c r="AF727" s="116" t="n">
        <v>0</v>
      </c>
      <c r="AG727" s="116" t="n">
        <v>0</v>
      </c>
      <c r="AH727" s="116" t="n">
        <v>0</v>
      </c>
      <c r="AI727" s="47">
        <f>IFERROR(AC727/S727,"")</f>
        <v/>
      </c>
      <c r="AJ727" s="47">
        <f>IFERROR(AH727/S727,"")</f>
        <v/>
      </c>
      <c r="AK727" s="116" t="n">
        <v>16</v>
      </c>
      <c r="AL727" s="116" t="n">
        <v>0</v>
      </c>
      <c r="AM727" s="118">
        <f>IFERROR(AL727/AA727,"")</f>
        <v/>
      </c>
      <c r="AN727" s="119">
        <f>IFERROR(R727/AL727,"")</f>
        <v/>
      </c>
      <c r="AO727" s="116" t="n">
        <v>0</v>
      </c>
      <c r="AP727" s="47">
        <f>IFERROR(AO727/AL727,"")</f>
        <v/>
      </c>
      <c r="AQ727" s="119">
        <f>IFERROR(R727/AO727,"")</f>
        <v/>
      </c>
      <c r="AR727" s="116" t="n">
        <v>0</v>
      </c>
      <c r="AS727" s="116" t="n">
        <v>0</v>
      </c>
      <c r="AT727" s="116">
        <f>AL727+AR727</f>
        <v/>
      </c>
      <c r="AU727" s="119">
        <f>IFERROR(AO727*Assumptions!$C$26*Assumptions!$C$27*INDEX(Assumptions!$C$18:$C$21,MATCH(H727,Assumptions!$B$18:$B$21,0)),0)</f>
        <v/>
      </c>
    </row>
    <row r="728">
      <c r="A728" s="114" t="n">
        <v>46260</v>
      </c>
      <c r="B728" s="42" t="inlineStr">
        <is>
          <t>Wk 35</t>
        </is>
      </c>
      <c r="C728" s="42" t="inlineStr">
        <is>
          <t>Wed</t>
        </is>
      </c>
      <c r="D728" s="42" t="inlineStr">
        <is>
          <t>Meta (FB/IG)</t>
        </is>
      </c>
      <c r="E728" s="42" t="inlineStr">
        <is>
          <t>Facebook + Instagram</t>
        </is>
      </c>
      <c r="F728" s="42" t="inlineStr">
        <is>
          <t>LEP_ZA_AUG26_META_TD_PANTERA_CONV</t>
        </is>
      </c>
      <c r="G728" s="42" t="inlineStr">
        <is>
          <t>Leads - Website Conversions</t>
        </is>
      </c>
      <c r="H728" s="42" t="inlineStr">
        <is>
          <t>PANTERA</t>
        </is>
      </c>
      <c r="I728" s="42" t="inlineStr">
        <is>
          <t>0% Deposit</t>
        </is>
      </c>
      <c r="J728" s="42" t="inlineStr">
        <is>
          <t>MET_PANTERA_INT_PREMIUM_ZA</t>
        </is>
      </c>
      <c r="K728" s="42" t="inlineStr">
        <is>
          <t>Interest</t>
        </is>
      </c>
      <c r="L728" s="42" t="inlineStr">
        <is>
          <t>PANTERA_STA_Compare_Premium_v1</t>
        </is>
      </c>
      <c r="M728" s="42" t="inlineStr">
        <is>
          <t>Static 4:5</t>
        </is>
      </c>
      <c r="N728" s="42" t="inlineStr">
        <is>
          <t>Premium spec. Mid-market money.</t>
        </is>
      </c>
      <c r="O728" s="42" t="inlineStr">
        <is>
          <t>Auction - Cost Cap</t>
        </is>
      </c>
      <c r="P728" s="42" t="inlineStr">
        <is>
          <t>Offsite Conversions</t>
        </is>
      </c>
      <c r="Q728" s="42" t="inlineStr">
        <is>
          <t>https://www.lepas-sa.co.za/offers/pantera</t>
        </is>
      </c>
      <c r="R728" s="115" t="n">
        <v>86.42</v>
      </c>
      <c r="S728" s="116" t="n">
        <v>1473</v>
      </c>
      <c r="T728" s="116" t="n">
        <v>846</v>
      </c>
      <c r="U728" s="117">
        <f>IFERROR(S728/T728,"")</f>
        <v/>
      </c>
      <c r="V728" s="116" t="n">
        <v>29</v>
      </c>
      <c r="W728" s="116" t="n">
        <v>20</v>
      </c>
      <c r="X728" s="118">
        <f>IFERROR(W728/S728,"")</f>
        <v/>
      </c>
      <c r="Y728" s="115">
        <f>IFERROR(R728/W728,"")</f>
        <v/>
      </c>
      <c r="Z728" s="115">
        <f>IFERROR(R728/S728*1000,"")</f>
        <v/>
      </c>
      <c r="AA728" s="116" t="n">
        <v>17</v>
      </c>
      <c r="AB728" s="47">
        <f>IFERROR(AA728/W728,"")</f>
        <v/>
      </c>
      <c r="AC728" s="116" t="n">
        <v>0</v>
      </c>
      <c r="AD728" s="116" t="n">
        <v>0</v>
      </c>
      <c r="AE728" s="116" t="n">
        <v>0</v>
      </c>
      <c r="AF728" s="116" t="n">
        <v>0</v>
      </c>
      <c r="AG728" s="116" t="n">
        <v>0</v>
      </c>
      <c r="AH728" s="116" t="n">
        <v>0</v>
      </c>
      <c r="AI728" s="47">
        <f>IFERROR(AC728/S728,"")</f>
        <v/>
      </c>
      <c r="AJ728" s="47">
        <f>IFERROR(AH728/S728,"")</f>
        <v/>
      </c>
      <c r="AK728" s="116" t="n">
        <v>32</v>
      </c>
      <c r="AL728" s="116" t="n">
        <v>1</v>
      </c>
      <c r="AM728" s="118">
        <f>IFERROR(AL728/AA728,"")</f>
        <v/>
      </c>
      <c r="AN728" s="119">
        <f>IFERROR(R728/AL728,"")</f>
        <v/>
      </c>
      <c r="AO728" s="116" t="n">
        <v>1</v>
      </c>
      <c r="AP728" s="47">
        <f>IFERROR(AO728/AL728,"")</f>
        <v/>
      </c>
      <c r="AQ728" s="119">
        <f>IFERROR(R728/AO728,"")</f>
        <v/>
      </c>
      <c r="AR728" s="116" t="n">
        <v>0</v>
      </c>
      <c r="AS728" s="116" t="n">
        <v>0</v>
      </c>
      <c r="AT728" s="116">
        <f>AL728+AR728</f>
        <v/>
      </c>
      <c r="AU728" s="119">
        <f>IFERROR(AO728*Assumptions!$C$26*Assumptions!$C$27*INDEX(Assumptions!$C$18:$C$21,MATCH(H728,Assumptions!$B$18:$B$21,0)),0)</f>
        <v/>
      </c>
    </row>
    <row r="729">
      <c r="A729" s="114" t="n">
        <v>46261</v>
      </c>
      <c r="B729" s="42" t="inlineStr">
        <is>
          <t>Wk 35</t>
        </is>
      </c>
      <c r="C729" s="42" t="inlineStr">
        <is>
          <t>Thu</t>
        </is>
      </c>
      <c r="D729" s="42" t="inlineStr">
        <is>
          <t>Meta (FB/IG)</t>
        </is>
      </c>
      <c r="E729" s="42" t="inlineStr">
        <is>
          <t>Facebook + Instagram</t>
        </is>
      </c>
      <c r="F729" s="42" t="inlineStr">
        <is>
          <t>LEP_ZA_AUG26_META_TD_PANTERA_CONV</t>
        </is>
      </c>
      <c r="G729" s="42" t="inlineStr">
        <is>
          <t>Leads - Website Conversions</t>
        </is>
      </c>
      <c r="H729" s="42" t="inlineStr">
        <is>
          <t>PANTERA</t>
        </is>
      </c>
      <c r="I729" s="42" t="inlineStr">
        <is>
          <t>0% Deposit</t>
        </is>
      </c>
      <c r="J729" s="42" t="inlineStr">
        <is>
          <t>MET_PANTERA_INT_PREMIUM_ZA</t>
        </is>
      </c>
      <c r="K729" s="42" t="inlineStr">
        <is>
          <t>Interest</t>
        </is>
      </c>
      <c r="L729" s="42" t="inlineStr">
        <is>
          <t>PANTERA_STA_Compare_Premium_v1</t>
        </is>
      </c>
      <c r="M729" s="42" t="inlineStr">
        <is>
          <t>Static 4:5</t>
        </is>
      </c>
      <c r="N729" s="42" t="inlineStr">
        <is>
          <t>Premium spec. Mid-market money.</t>
        </is>
      </c>
      <c r="O729" s="42" t="inlineStr">
        <is>
          <t>Auction - Cost Cap</t>
        </is>
      </c>
      <c r="P729" s="42" t="inlineStr">
        <is>
          <t>Offsite Conversions</t>
        </is>
      </c>
      <c r="Q729" s="42" t="inlineStr">
        <is>
          <t>https://www.lepas-sa.co.za/offers/pantera</t>
        </is>
      </c>
      <c r="R729" s="115" t="n">
        <v>133.56</v>
      </c>
      <c r="S729" s="116" t="n">
        <v>1524</v>
      </c>
      <c r="T729" s="116" t="n">
        <v>825</v>
      </c>
      <c r="U729" s="117">
        <f>IFERROR(S729/T729,"")</f>
        <v/>
      </c>
      <c r="V729" s="116" t="n">
        <v>16</v>
      </c>
      <c r="W729" s="116" t="n">
        <v>13</v>
      </c>
      <c r="X729" s="118">
        <f>IFERROR(W729/S729,"")</f>
        <v/>
      </c>
      <c r="Y729" s="115">
        <f>IFERROR(R729/W729,"")</f>
        <v/>
      </c>
      <c r="Z729" s="115">
        <f>IFERROR(R729/S729*1000,"")</f>
        <v/>
      </c>
      <c r="AA729" s="116" t="n">
        <v>11</v>
      </c>
      <c r="AB729" s="47">
        <f>IFERROR(AA729/W729,"")</f>
        <v/>
      </c>
      <c r="AC729" s="116" t="n">
        <v>0</v>
      </c>
      <c r="AD729" s="116" t="n">
        <v>0</v>
      </c>
      <c r="AE729" s="116" t="n">
        <v>0</v>
      </c>
      <c r="AF729" s="116" t="n">
        <v>0</v>
      </c>
      <c r="AG729" s="116" t="n">
        <v>0</v>
      </c>
      <c r="AH729" s="116" t="n">
        <v>0</v>
      </c>
      <c r="AI729" s="47">
        <f>IFERROR(AC729/S729,"")</f>
        <v/>
      </c>
      <c r="AJ729" s="47">
        <f>IFERROR(AH729/S729,"")</f>
        <v/>
      </c>
      <c r="AK729" s="116" t="n">
        <v>44</v>
      </c>
      <c r="AL729" s="116" t="n">
        <v>0</v>
      </c>
      <c r="AM729" s="118">
        <f>IFERROR(AL729/AA729,"")</f>
        <v/>
      </c>
      <c r="AN729" s="119">
        <f>IFERROR(R729/AL729,"")</f>
        <v/>
      </c>
      <c r="AO729" s="116" t="n">
        <v>0</v>
      </c>
      <c r="AP729" s="47">
        <f>IFERROR(AO729/AL729,"")</f>
        <v/>
      </c>
      <c r="AQ729" s="119">
        <f>IFERROR(R729/AO729,"")</f>
        <v/>
      </c>
      <c r="AR729" s="116" t="n">
        <v>0</v>
      </c>
      <c r="AS729" s="116" t="n">
        <v>0</v>
      </c>
      <c r="AT729" s="116">
        <f>AL729+AR729</f>
        <v/>
      </c>
      <c r="AU729" s="119">
        <f>IFERROR(AO729*Assumptions!$C$26*Assumptions!$C$27*INDEX(Assumptions!$C$18:$C$21,MATCH(H729,Assumptions!$B$18:$B$21,0)),0)</f>
        <v/>
      </c>
    </row>
    <row r="730">
      <c r="A730" s="114" t="n">
        <v>46262</v>
      </c>
      <c r="B730" s="42" t="inlineStr">
        <is>
          <t>Wk 35</t>
        </is>
      </c>
      <c r="C730" s="42" t="inlineStr">
        <is>
          <t>Fri</t>
        </is>
      </c>
      <c r="D730" s="42" t="inlineStr">
        <is>
          <t>Meta (FB/IG)</t>
        </is>
      </c>
      <c r="E730" s="42" t="inlineStr">
        <is>
          <t>Facebook + Instagram</t>
        </is>
      </c>
      <c r="F730" s="42" t="inlineStr">
        <is>
          <t>LEP_ZA_AUG26_META_TD_PANTERA_CONV</t>
        </is>
      </c>
      <c r="G730" s="42" t="inlineStr">
        <is>
          <t>Leads - Website Conversions</t>
        </is>
      </c>
      <c r="H730" s="42" t="inlineStr">
        <is>
          <t>PANTERA</t>
        </is>
      </c>
      <c r="I730" s="42" t="inlineStr">
        <is>
          <t>0% Deposit</t>
        </is>
      </c>
      <c r="J730" s="42" t="inlineStr">
        <is>
          <t>MET_PANTERA_INT_PREMIUM_ZA</t>
        </is>
      </c>
      <c r="K730" s="42" t="inlineStr">
        <is>
          <t>Interest</t>
        </is>
      </c>
      <c r="L730" s="42" t="inlineStr">
        <is>
          <t>PANTERA_STA_Compare_Premium_v1</t>
        </is>
      </c>
      <c r="M730" s="42" t="inlineStr">
        <is>
          <t>Static 4:5</t>
        </is>
      </c>
      <c r="N730" s="42" t="inlineStr">
        <is>
          <t>Premium spec. Mid-market money.</t>
        </is>
      </c>
      <c r="O730" s="42" t="inlineStr">
        <is>
          <t>Auction - Cost Cap</t>
        </is>
      </c>
      <c r="P730" s="42" t="inlineStr">
        <is>
          <t>Offsite Conversions</t>
        </is>
      </c>
      <c r="Q730" s="42" t="inlineStr">
        <is>
          <t>https://www.lepas-sa.co.za/offers/pantera</t>
        </is>
      </c>
      <c r="R730" s="115" t="n">
        <v>117.36</v>
      </c>
      <c r="S730" s="116" t="n">
        <v>1773</v>
      </c>
      <c r="T730" s="116" t="n">
        <v>1145</v>
      </c>
      <c r="U730" s="117">
        <f>IFERROR(S730/T730,"")</f>
        <v/>
      </c>
      <c r="V730" s="116" t="n">
        <v>31</v>
      </c>
      <c r="W730" s="116" t="n">
        <v>23</v>
      </c>
      <c r="X730" s="118">
        <f>IFERROR(W730/S730,"")</f>
        <v/>
      </c>
      <c r="Y730" s="115">
        <f>IFERROR(R730/W730,"")</f>
        <v/>
      </c>
      <c r="Z730" s="115">
        <f>IFERROR(R730/S730*1000,"")</f>
        <v/>
      </c>
      <c r="AA730" s="116" t="n">
        <v>19</v>
      </c>
      <c r="AB730" s="47">
        <f>IFERROR(AA730/W730,"")</f>
        <v/>
      </c>
      <c r="AC730" s="116" t="n">
        <v>0</v>
      </c>
      <c r="AD730" s="116" t="n">
        <v>0</v>
      </c>
      <c r="AE730" s="116" t="n">
        <v>0</v>
      </c>
      <c r="AF730" s="116" t="n">
        <v>0</v>
      </c>
      <c r="AG730" s="116" t="n">
        <v>0</v>
      </c>
      <c r="AH730" s="116" t="n">
        <v>0</v>
      </c>
      <c r="AI730" s="47">
        <f>IFERROR(AC730/S730,"")</f>
        <v/>
      </c>
      <c r="AJ730" s="47">
        <f>IFERROR(AH730/S730,"")</f>
        <v/>
      </c>
      <c r="AK730" s="116" t="n">
        <v>25</v>
      </c>
      <c r="AL730" s="116" t="n">
        <v>1</v>
      </c>
      <c r="AM730" s="118">
        <f>IFERROR(AL730/AA730,"")</f>
        <v/>
      </c>
      <c r="AN730" s="119">
        <f>IFERROR(R730/AL730,"")</f>
        <v/>
      </c>
      <c r="AO730" s="116" t="n">
        <v>1</v>
      </c>
      <c r="AP730" s="47">
        <f>IFERROR(AO730/AL730,"")</f>
        <v/>
      </c>
      <c r="AQ730" s="119">
        <f>IFERROR(R730/AO730,"")</f>
        <v/>
      </c>
      <c r="AR730" s="116" t="n">
        <v>0</v>
      </c>
      <c r="AS730" s="116" t="n">
        <v>0</v>
      </c>
      <c r="AT730" s="116">
        <f>AL730+AR730</f>
        <v/>
      </c>
      <c r="AU730" s="119">
        <f>IFERROR(AO730*Assumptions!$C$26*Assumptions!$C$27*INDEX(Assumptions!$C$18:$C$21,MATCH(H730,Assumptions!$B$18:$B$21,0)),0)</f>
        <v/>
      </c>
    </row>
    <row r="731">
      <c r="A731" s="114" t="n">
        <v>46263</v>
      </c>
      <c r="B731" s="42" t="inlineStr">
        <is>
          <t>Wk 35</t>
        </is>
      </c>
      <c r="C731" s="42" t="inlineStr">
        <is>
          <t>Sat</t>
        </is>
      </c>
      <c r="D731" s="42" t="inlineStr">
        <is>
          <t>Meta (FB/IG)</t>
        </is>
      </c>
      <c r="E731" s="42" t="inlineStr">
        <is>
          <t>Facebook + Instagram</t>
        </is>
      </c>
      <c r="F731" s="42" t="inlineStr">
        <is>
          <t>LEP_ZA_AUG26_META_TD_PANTERA_CONV</t>
        </is>
      </c>
      <c r="G731" s="42" t="inlineStr">
        <is>
          <t>Leads - Website Conversions</t>
        </is>
      </c>
      <c r="H731" s="42" t="inlineStr">
        <is>
          <t>PANTERA</t>
        </is>
      </c>
      <c r="I731" s="42" t="inlineStr">
        <is>
          <t>0% Deposit</t>
        </is>
      </c>
      <c r="J731" s="42" t="inlineStr">
        <is>
          <t>MET_PANTERA_INT_PREMIUM_ZA</t>
        </is>
      </c>
      <c r="K731" s="42" t="inlineStr">
        <is>
          <t>Interest</t>
        </is>
      </c>
      <c r="L731" s="42" t="inlineStr">
        <is>
          <t>PANTERA_STA_Compare_Premium_v1</t>
        </is>
      </c>
      <c r="M731" s="42" t="inlineStr">
        <is>
          <t>Static 4:5</t>
        </is>
      </c>
      <c r="N731" s="42" t="inlineStr">
        <is>
          <t>Premium spec. Mid-market money.</t>
        </is>
      </c>
      <c r="O731" s="42" t="inlineStr">
        <is>
          <t>Auction - Cost Cap</t>
        </is>
      </c>
      <c r="P731" s="42" t="inlineStr">
        <is>
          <t>Offsite Conversions</t>
        </is>
      </c>
      <c r="Q731" s="42" t="inlineStr">
        <is>
          <t>https://www.lepas-sa.co.za/offers/pantera</t>
        </is>
      </c>
      <c r="R731" s="115" t="n">
        <v>135.94</v>
      </c>
      <c r="S731" s="116" t="n">
        <v>1930</v>
      </c>
      <c r="T731" s="116" t="n">
        <v>1091</v>
      </c>
      <c r="U731" s="117">
        <f>IFERROR(S731/T731,"")</f>
        <v/>
      </c>
      <c r="V731" s="116" t="n">
        <v>31</v>
      </c>
      <c r="W731" s="116" t="n">
        <v>22</v>
      </c>
      <c r="X731" s="118">
        <f>IFERROR(W731/S731,"")</f>
        <v/>
      </c>
      <c r="Y731" s="115">
        <f>IFERROR(R731/W731,"")</f>
        <v/>
      </c>
      <c r="Z731" s="115">
        <f>IFERROR(R731/S731*1000,"")</f>
        <v/>
      </c>
      <c r="AA731" s="116" t="n">
        <v>18</v>
      </c>
      <c r="AB731" s="47">
        <f>IFERROR(AA731/W731,"")</f>
        <v/>
      </c>
      <c r="AC731" s="116" t="n">
        <v>0</v>
      </c>
      <c r="AD731" s="116" t="n">
        <v>0</v>
      </c>
      <c r="AE731" s="116" t="n">
        <v>0</v>
      </c>
      <c r="AF731" s="116" t="n">
        <v>0</v>
      </c>
      <c r="AG731" s="116" t="n">
        <v>0</v>
      </c>
      <c r="AH731" s="116" t="n">
        <v>0</v>
      </c>
      <c r="AI731" s="47">
        <f>IFERROR(AC731/S731,"")</f>
        <v/>
      </c>
      <c r="AJ731" s="47">
        <f>IFERROR(AH731/S731,"")</f>
        <v/>
      </c>
      <c r="AK731" s="116" t="n">
        <v>52</v>
      </c>
      <c r="AL731" s="116" t="n">
        <v>0</v>
      </c>
      <c r="AM731" s="118">
        <f>IFERROR(AL731/AA731,"")</f>
        <v/>
      </c>
      <c r="AN731" s="119">
        <f>IFERROR(R731/AL731,"")</f>
        <v/>
      </c>
      <c r="AO731" s="116" t="n">
        <v>0</v>
      </c>
      <c r="AP731" s="47">
        <f>IFERROR(AO731/AL731,"")</f>
        <v/>
      </c>
      <c r="AQ731" s="119">
        <f>IFERROR(R731/AO731,"")</f>
        <v/>
      </c>
      <c r="AR731" s="116" t="n">
        <v>0</v>
      </c>
      <c r="AS731" s="116" t="n">
        <v>0</v>
      </c>
      <c r="AT731" s="116">
        <f>AL731+AR731</f>
        <v/>
      </c>
      <c r="AU731" s="119">
        <f>IFERROR(AO731*Assumptions!$C$26*Assumptions!$C$27*INDEX(Assumptions!$C$18:$C$21,MATCH(H731,Assumptions!$B$18:$B$21,0)),0)</f>
        <v/>
      </c>
    </row>
    <row r="732">
      <c r="A732" s="114" t="n">
        <v>46264</v>
      </c>
      <c r="B732" s="42" t="inlineStr">
        <is>
          <t>Wk 35</t>
        </is>
      </c>
      <c r="C732" s="42" t="inlineStr">
        <is>
          <t>Sun</t>
        </is>
      </c>
      <c r="D732" s="42" t="inlineStr">
        <is>
          <t>Meta (FB/IG)</t>
        </is>
      </c>
      <c r="E732" s="42" t="inlineStr">
        <is>
          <t>Facebook + Instagram</t>
        </is>
      </c>
      <c r="F732" s="42" t="inlineStr">
        <is>
          <t>LEP_ZA_AUG26_META_TD_PANTERA_CONV</t>
        </is>
      </c>
      <c r="G732" s="42" t="inlineStr">
        <is>
          <t>Leads - Website Conversions</t>
        </is>
      </c>
      <c r="H732" s="42" t="inlineStr">
        <is>
          <t>PANTERA</t>
        </is>
      </c>
      <c r="I732" s="42" t="inlineStr">
        <is>
          <t>0% Deposit</t>
        </is>
      </c>
      <c r="J732" s="42" t="inlineStr">
        <is>
          <t>MET_PANTERA_INT_PREMIUM_ZA</t>
        </is>
      </c>
      <c r="K732" s="42" t="inlineStr">
        <is>
          <t>Interest</t>
        </is>
      </c>
      <c r="L732" s="42" t="inlineStr">
        <is>
          <t>PANTERA_STA_Compare_Premium_v1</t>
        </is>
      </c>
      <c r="M732" s="42" t="inlineStr">
        <is>
          <t>Static 4:5</t>
        </is>
      </c>
      <c r="N732" s="42" t="inlineStr">
        <is>
          <t>Premium spec. Mid-market money.</t>
        </is>
      </c>
      <c r="O732" s="42" t="inlineStr">
        <is>
          <t>Auction - Cost Cap</t>
        </is>
      </c>
      <c r="P732" s="42" t="inlineStr">
        <is>
          <t>Offsite Conversions</t>
        </is>
      </c>
      <c r="Q732" s="42" t="inlineStr">
        <is>
          <t>https://www.lepas-sa.co.za/offers/pantera</t>
        </is>
      </c>
      <c r="R732" s="115" t="n">
        <v>106.95</v>
      </c>
      <c r="S732" s="116" t="n">
        <v>1549</v>
      </c>
      <c r="T732" s="116" t="n">
        <v>927</v>
      </c>
      <c r="U732" s="117">
        <f>IFERROR(S732/T732,"")</f>
        <v/>
      </c>
      <c r="V732" s="116" t="n">
        <v>15</v>
      </c>
      <c r="W732" s="116" t="n">
        <v>11</v>
      </c>
      <c r="X732" s="118">
        <f>IFERROR(W732/S732,"")</f>
        <v/>
      </c>
      <c r="Y732" s="115">
        <f>IFERROR(R732/W732,"")</f>
        <v/>
      </c>
      <c r="Z732" s="115">
        <f>IFERROR(R732/S732*1000,"")</f>
        <v/>
      </c>
      <c r="AA732" s="116" t="n">
        <v>10</v>
      </c>
      <c r="AB732" s="47">
        <f>IFERROR(AA732/W732,"")</f>
        <v/>
      </c>
      <c r="AC732" s="116" t="n">
        <v>0</v>
      </c>
      <c r="AD732" s="116" t="n">
        <v>0</v>
      </c>
      <c r="AE732" s="116" t="n">
        <v>0</v>
      </c>
      <c r="AF732" s="116" t="n">
        <v>0</v>
      </c>
      <c r="AG732" s="116" t="n">
        <v>0</v>
      </c>
      <c r="AH732" s="116" t="n">
        <v>0</v>
      </c>
      <c r="AI732" s="47">
        <f>IFERROR(AC732/S732,"")</f>
        <v/>
      </c>
      <c r="AJ732" s="47">
        <f>IFERROR(AH732/S732,"")</f>
        <v/>
      </c>
      <c r="AK732" s="116" t="n">
        <v>48</v>
      </c>
      <c r="AL732" s="116" t="n">
        <v>0</v>
      </c>
      <c r="AM732" s="118">
        <f>IFERROR(AL732/AA732,"")</f>
        <v/>
      </c>
      <c r="AN732" s="119">
        <f>IFERROR(R732/AL732,"")</f>
        <v/>
      </c>
      <c r="AO732" s="116" t="n">
        <v>0</v>
      </c>
      <c r="AP732" s="47">
        <f>IFERROR(AO732/AL732,"")</f>
        <v/>
      </c>
      <c r="AQ732" s="119">
        <f>IFERROR(R732/AO732,"")</f>
        <v/>
      </c>
      <c r="AR732" s="116" t="n">
        <v>0</v>
      </c>
      <c r="AS732" s="116" t="n">
        <v>0</v>
      </c>
      <c r="AT732" s="116">
        <f>AL732+AR732</f>
        <v/>
      </c>
      <c r="AU732" s="119">
        <f>IFERROR(AO732*Assumptions!$C$26*Assumptions!$C$27*INDEX(Assumptions!$C$18:$C$21,MATCH(H732,Assumptions!$B$18:$B$21,0)),0)</f>
        <v/>
      </c>
    </row>
    <row r="733">
      <c r="A733" s="114" t="n">
        <v>46265</v>
      </c>
      <c r="B733" s="42" t="inlineStr">
        <is>
          <t>Wk 36</t>
        </is>
      </c>
      <c r="C733" s="42" t="inlineStr">
        <is>
          <t>Mon</t>
        </is>
      </c>
      <c r="D733" s="42" t="inlineStr">
        <is>
          <t>Meta (FB/IG)</t>
        </is>
      </c>
      <c r="E733" s="42" t="inlineStr">
        <is>
          <t>Facebook + Instagram</t>
        </is>
      </c>
      <c r="F733" s="42" t="inlineStr">
        <is>
          <t>LEP_ZA_AUG26_META_TD_PANTERA_CONV</t>
        </is>
      </c>
      <c r="G733" s="42" t="inlineStr">
        <is>
          <t>Leads - Website Conversions</t>
        </is>
      </c>
      <c r="H733" s="42" t="inlineStr">
        <is>
          <t>PANTERA</t>
        </is>
      </c>
      <c r="I733" s="42" t="inlineStr">
        <is>
          <t>0% Deposit</t>
        </is>
      </c>
      <c r="J733" s="42" t="inlineStr">
        <is>
          <t>MET_PANTERA_INT_PREMIUM_ZA</t>
        </is>
      </c>
      <c r="K733" s="42" t="inlineStr">
        <is>
          <t>Interest</t>
        </is>
      </c>
      <c r="L733" s="42" t="inlineStr">
        <is>
          <t>PANTERA_STA_Compare_Premium_v1</t>
        </is>
      </c>
      <c r="M733" s="42" t="inlineStr">
        <is>
          <t>Static 4:5</t>
        </is>
      </c>
      <c r="N733" s="42" t="inlineStr">
        <is>
          <t>Premium spec. Mid-market money.</t>
        </is>
      </c>
      <c r="O733" s="42" t="inlineStr">
        <is>
          <t>Auction - Cost Cap</t>
        </is>
      </c>
      <c r="P733" s="42" t="inlineStr">
        <is>
          <t>Offsite Conversions</t>
        </is>
      </c>
      <c r="Q733" s="42" t="inlineStr">
        <is>
          <t>https://www.lepas-sa.co.za/offers/pantera</t>
        </is>
      </c>
      <c r="R733" s="115" t="n">
        <v>102.25</v>
      </c>
      <c r="S733" s="116" t="n">
        <v>1104</v>
      </c>
      <c r="T733" s="116" t="n">
        <v>701</v>
      </c>
      <c r="U733" s="117">
        <f>IFERROR(S733/T733,"")</f>
        <v/>
      </c>
      <c r="V733" s="116" t="n">
        <v>18</v>
      </c>
      <c r="W733" s="116" t="n">
        <v>13</v>
      </c>
      <c r="X733" s="118">
        <f>IFERROR(W733/S733,"")</f>
        <v/>
      </c>
      <c r="Y733" s="115">
        <f>IFERROR(R733/W733,"")</f>
        <v/>
      </c>
      <c r="Z733" s="115">
        <f>IFERROR(R733/S733*1000,"")</f>
        <v/>
      </c>
      <c r="AA733" s="116" t="n">
        <v>11</v>
      </c>
      <c r="AB733" s="47">
        <f>IFERROR(AA733/W733,"")</f>
        <v/>
      </c>
      <c r="AC733" s="116" t="n">
        <v>0</v>
      </c>
      <c r="AD733" s="116" t="n">
        <v>0</v>
      </c>
      <c r="AE733" s="116" t="n">
        <v>0</v>
      </c>
      <c r="AF733" s="116" t="n">
        <v>0</v>
      </c>
      <c r="AG733" s="116" t="n">
        <v>0</v>
      </c>
      <c r="AH733" s="116" t="n">
        <v>0</v>
      </c>
      <c r="AI733" s="47">
        <f>IFERROR(AC733/S733,"")</f>
        <v/>
      </c>
      <c r="AJ733" s="47">
        <f>IFERROR(AH733/S733,"")</f>
        <v/>
      </c>
      <c r="AK733" s="116" t="n">
        <v>36</v>
      </c>
      <c r="AL733" s="116" t="n">
        <v>0</v>
      </c>
      <c r="AM733" s="118">
        <f>IFERROR(AL733/AA733,"")</f>
        <v/>
      </c>
      <c r="AN733" s="119">
        <f>IFERROR(R733/AL733,"")</f>
        <v/>
      </c>
      <c r="AO733" s="116" t="n">
        <v>0</v>
      </c>
      <c r="AP733" s="47">
        <f>IFERROR(AO733/AL733,"")</f>
        <v/>
      </c>
      <c r="AQ733" s="119">
        <f>IFERROR(R733/AO733,"")</f>
        <v/>
      </c>
      <c r="AR733" s="116" t="n">
        <v>0</v>
      </c>
      <c r="AS733" s="116" t="n">
        <v>0</v>
      </c>
      <c r="AT733" s="116">
        <f>AL733+AR733</f>
        <v/>
      </c>
      <c r="AU733" s="119">
        <f>IFERROR(AO733*Assumptions!$C$26*Assumptions!$C$27*INDEX(Assumptions!$C$18:$C$21,MATCH(H733,Assumptions!$B$18:$B$21,0)),0)</f>
        <v/>
      </c>
    </row>
    <row r="734">
      <c r="A734" s="114" t="n">
        <v>46235</v>
      </c>
      <c r="B734" s="42" t="inlineStr">
        <is>
          <t>Wk 31</t>
        </is>
      </c>
      <c r="C734" s="42" t="inlineStr">
        <is>
          <t>Sat</t>
        </is>
      </c>
      <c r="D734" s="42" t="inlineStr">
        <is>
          <t>Meta (FB/IG)</t>
        </is>
      </c>
      <c r="E734" s="42" t="inlineStr">
        <is>
          <t>Facebook + Instagram</t>
        </is>
      </c>
      <c r="F734" s="42" t="inlineStr">
        <is>
          <t>LEP_ZA_AUG26_META_RMKT_ALL_CONV</t>
        </is>
      </c>
      <c r="G734" s="42" t="inlineStr">
        <is>
          <t>Leads - Website Conversions</t>
        </is>
      </c>
      <c r="H734" s="42" t="inlineStr">
        <is>
          <t>Range</t>
        </is>
      </c>
      <c r="I734" s="42" t="inlineStr">
        <is>
          <t>Range Offer</t>
        </is>
      </c>
      <c r="J734" s="42" t="inlineStr">
        <is>
          <t>MET_RMKT_SITE30D_ZA</t>
        </is>
      </c>
      <c r="K734" s="42" t="inlineStr">
        <is>
          <t>Retargeting</t>
        </is>
      </c>
      <c r="L734" s="42" t="inlineStr">
        <is>
          <t>RMKT_DYN_ModelSeen_v1</t>
        </is>
      </c>
      <c r="M734" s="42" t="inlineStr">
        <is>
          <t>Dynamic Carousel</t>
        </is>
      </c>
      <c r="N734" s="42" t="inlineStr">
        <is>
          <t>Still thinking about it?</t>
        </is>
      </c>
      <c r="O734" s="42" t="inlineStr">
        <is>
          <t>Auction - Lowest Cost</t>
        </is>
      </c>
      <c r="P734" s="42" t="inlineStr">
        <is>
          <t>Offsite Conversions</t>
        </is>
      </c>
      <c r="Q734" s="42" t="inlineStr">
        <is>
          <t>https://www.lepas-sa.co.za/book-a-test-drive</t>
        </is>
      </c>
      <c r="R734" s="115" t="n">
        <v>183.05</v>
      </c>
      <c r="S734" s="116" t="n">
        <v>2718</v>
      </c>
      <c r="T734" s="116" t="n">
        <v>2164</v>
      </c>
      <c r="U734" s="117">
        <f>IFERROR(S734/T734,"")</f>
        <v/>
      </c>
      <c r="V734" s="116" t="n">
        <v>78</v>
      </c>
      <c r="W734" s="116" t="n">
        <v>59</v>
      </c>
      <c r="X734" s="118">
        <f>IFERROR(W734/S734,"")</f>
        <v/>
      </c>
      <c r="Y734" s="115">
        <f>IFERROR(R734/W734,"")</f>
        <v/>
      </c>
      <c r="Z734" s="115">
        <f>IFERROR(R734/S734*1000,"")</f>
        <v/>
      </c>
      <c r="AA734" s="116" t="n">
        <v>50</v>
      </c>
      <c r="AB734" s="47">
        <f>IFERROR(AA734/W734,"")</f>
        <v/>
      </c>
      <c r="AC734" s="116" t="n">
        <v>0</v>
      </c>
      <c r="AD734" s="116" t="n">
        <v>0</v>
      </c>
      <c r="AE734" s="116" t="n">
        <v>0</v>
      </c>
      <c r="AF734" s="116" t="n">
        <v>0</v>
      </c>
      <c r="AG734" s="116" t="n">
        <v>0</v>
      </c>
      <c r="AH734" s="116" t="n">
        <v>0</v>
      </c>
      <c r="AI734" s="47">
        <f>IFERROR(AC734/S734,"")</f>
        <v/>
      </c>
      <c r="AJ734" s="47">
        <f>IFERROR(AH734/S734,"")</f>
        <v/>
      </c>
      <c r="AK734" s="116" t="n">
        <v>93</v>
      </c>
      <c r="AL734" s="116" t="n">
        <v>2</v>
      </c>
      <c r="AM734" s="118">
        <f>IFERROR(AL734/AA734,"")</f>
        <v/>
      </c>
      <c r="AN734" s="119">
        <f>IFERROR(R734/AL734,"")</f>
        <v/>
      </c>
      <c r="AO734" s="116" t="n">
        <v>2</v>
      </c>
      <c r="AP734" s="47">
        <f>IFERROR(AO734/AL734,"")</f>
        <v/>
      </c>
      <c r="AQ734" s="119">
        <f>IFERROR(R734/AO734,"")</f>
        <v/>
      </c>
      <c r="AR734" s="116" t="n">
        <v>1</v>
      </c>
      <c r="AS734" s="116" t="n">
        <v>1</v>
      </c>
      <c r="AT734" s="116">
        <f>AL734+AR734</f>
        <v/>
      </c>
      <c r="AU734" s="119">
        <f>IFERROR(AO734*Assumptions!$C$26*Assumptions!$C$27*INDEX(Assumptions!$C$18:$C$21,MATCH(H734,Assumptions!$B$18:$B$21,0)),0)</f>
        <v/>
      </c>
    </row>
    <row r="735">
      <c r="A735" s="114" t="n">
        <v>46236</v>
      </c>
      <c r="B735" s="42" t="inlineStr">
        <is>
          <t>Wk 31</t>
        </is>
      </c>
      <c r="C735" s="42" t="inlineStr">
        <is>
          <t>Sun</t>
        </is>
      </c>
      <c r="D735" s="42" t="inlineStr">
        <is>
          <t>Meta (FB/IG)</t>
        </is>
      </c>
      <c r="E735" s="42" t="inlineStr">
        <is>
          <t>Facebook + Instagram</t>
        </is>
      </c>
      <c r="F735" s="42" t="inlineStr">
        <is>
          <t>LEP_ZA_AUG26_META_RMKT_ALL_CONV</t>
        </is>
      </c>
      <c r="G735" s="42" t="inlineStr">
        <is>
          <t>Leads - Website Conversions</t>
        </is>
      </c>
      <c r="H735" s="42" t="inlineStr">
        <is>
          <t>Range</t>
        </is>
      </c>
      <c r="I735" s="42" t="inlineStr">
        <is>
          <t>Range Offer</t>
        </is>
      </c>
      <c r="J735" s="42" t="inlineStr">
        <is>
          <t>MET_RMKT_SITE30D_ZA</t>
        </is>
      </c>
      <c r="K735" s="42" t="inlineStr">
        <is>
          <t>Retargeting</t>
        </is>
      </c>
      <c r="L735" s="42" t="inlineStr">
        <is>
          <t>RMKT_DYN_ModelSeen_v1</t>
        </is>
      </c>
      <c r="M735" s="42" t="inlineStr">
        <is>
          <t>Dynamic Carousel</t>
        </is>
      </c>
      <c r="N735" s="42" t="inlineStr">
        <is>
          <t>Still thinking about it?</t>
        </is>
      </c>
      <c r="O735" s="42" t="inlineStr">
        <is>
          <t>Auction - Lowest Cost</t>
        </is>
      </c>
      <c r="P735" s="42" t="inlineStr">
        <is>
          <t>Offsite Conversions</t>
        </is>
      </c>
      <c r="Q735" s="42" t="inlineStr">
        <is>
          <t>https://www.lepas-sa.co.za/book-a-test-drive</t>
        </is>
      </c>
      <c r="R735" s="115" t="n">
        <v>134.65</v>
      </c>
      <c r="S735" s="116" t="n">
        <v>1235</v>
      </c>
      <c r="T735" s="116" t="n">
        <v>908</v>
      </c>
      <c r="U735" s="117">
        <f>IFERROR(S735/T735,"")</f>
        <v/>
      </c>
      <c r="V735" s="116" t="n">
        <v>49</v>
      </c>
      <c r="W735" s="116" t="n">
        <v>35</v>
      </c>
      <c r="X735" s="118">
        <f>IFERROR(W735/S735,"")</f>
        <v/>
      </c>
      <c r="Y735" s="115">
        <f>IFERROR(R735/W735,"")</f>
        <v/>
      </c>
      <c r="Z735" s="115">
        <f>IFERROR(R735/S735*1000,"")</f>
        <v/>
      </c>
      <c r="AA735" s="116" t="n">
        <v>29</v>
      </c>
      <c r="AB735" s="47">
        <f>IFERROR(AA735/W735,"")</f>
        <v/>
      </c>
      <c r="AC735" s="116" t="n">
        <v>0</v>
      </c>
      <c r="AD735" s="116" t="n">
        <v>0</v>
      </c>
      <c r="AE735" s="116" t="n">
        <v>0</v>
      </c>
      <c r="AF735" s="116" t="n">
        <v>0</v>
      </c>
      <c r="AG735" s="116" t="n">
        <v>0</v>
      </c>
      <c r="AH735" s="116" t="n">
        <v>0</v>
      </c>
      <c r="AI735" s="47">
        <f>IFERROR(AC735/S735,"")</f>
        <v/>
      </c>
      <c r="AJ735" s="47">
        <f>IFERROR(AH735/S735,"")</f>
        <v/>
      </c>
      <c r="AK735" s="116" t="n">
        <v>24</v>
      </c>
      <c r="AL735" s="116" t="n">
        <v>1</v>
      </c>
      <c r="AM735" s="118">
        <f>IFERROR(AL735/AA735,"")</f>
        <v/>
      </c>
      <c r="AN735" s="119">
        <f>IFERROR(R735/AL735,"")</f>
        <v/>
      </c>
      <c r="AO735" s="116" t="n">
        <v>1</v>
      </c>
      <c r="AP735" s="47">
        <f>IFERROR(AO735/AL735,"")</f>
        <v/>
      </c>
      <c r="AQ735" s="119">
        <f>IFERROR(R735/AO735,"")</f>
        <v/>
      </c>
      <c r="AR735" s="116" t="n">
        <v>1</v>
      </c>
      <c r="AS735" s="116" t="n">
        <v>1</v>
      </c>
      <c r="AT735" s="116">
        <f>AL735+AR735</f>
        <v/>
      </c>
      <c r="AU735" s="119">
        <f>IFERROR(AO735*Assumptions!$C$26*Assumptions!$C$27*INDEX(Assumptions!$C$18:$C$21,MATCH(H735,Assumptions!$B$18:$B$21,0)),0)</f>
        <v/>
      </c>
    </row>
    <row r="736">
      <c r="A736" s="114" t="n">
        <v>46237</v>
      </c>
      <c r="B736" s="42" t="inlineStr">
        <is>
          <t>Wk 32</t>
        </is>
      </c>
      <c r="C736" s="42" t="inlineStr">
        <is>
          <t>Mon</t>
        </is>
      </c>
      <c r="D736" s="42" t="inlineStr">
        <is>
          <t>Meta (FB/IG)</t>
        </is>
      </c>
      <c r="E736" s="42" t="inlineStr">
        <is>
          <t>Facebook + Instagram</t>
        </is>
      </c>
      <c r="F736" s="42" t="inlineStr">
        <is>
          <t>LEP_ZA_AUG26_META_RMKT_ALL_CONV</t>
        </is>
      </c>
      <c r="G736" s="42" t="inlineStr">
        <is>
          <t>Leads - Website Conversions</t>
        </is>
      </c>
      <c r="H736" s="42" t="inlineStr">
        <is>
          <t>Range</t>
        </is>
      </c>
      <c r="I736" s="42" t="inlineStr">
        <is>
          <t>Range Offer</t>
        </is>
      </c>
      <c r="J736" s="42" t="inlineStr">
        <is>
          <t>MET_RMKT_SITE30D_ZA</t>
        </is>
      </c>
      <c r="K736" s="42" t="inlineStr">
        <is>
          <t>Retargeting</t>
        </is>
      </c>
      <c r="L736" s="42" t="inlineStr">
        <is>
          <t>RMKT_DYN_ModelSeen_v1</t>
        </is>
      </c>
      <c r="M736" s="42" t="inlineStr">
        <is>
          <t>Dynamic Carousel</t>
        </is>
      </c>
      <c r="N736" s="42" t="inlineStr">
        <is>
          <t>Still thinking about it?</t>
        </is>
      </c>
      <c r="O736" s="42" t="inlineStr">
        <is>
          <t>Auction - Lowest Cost</t>
        </is>
      </c>
      <c r="P736" s="42" t="inlineStr">
        <is>
          <t>Offsite Conversions</t>
        </is>
      </c>
      <c r="Q736" s="42" t="inlineStr">
        <is>
          <t>https://www.lepas-sa.co.za/book-a-test-drive</t>
        </is>
      </c>
      <c r="R736" s="115" t="n">
        <v>145.82</v>
      </c>
      <c r="S736" s="116" t="n">
        <v>1543</v>
      </c>
      <c r="T736" s="116" t="n">
        <v>1049</v>
      </c>
      <c r="U736" s="117">
        <f>IFERROR(S736/T736,"")</f>
        <v/>
      </c>
      <c r="V736" s="116" t="n">
        <v>81</v>
      </c>
      <c r="W736" s="116" t="n">
        <v>62</v>
      </c>
      <c r="X736" s="118">
        <f>IFERROR(W736/S736,"")</f>
        <v/>
      </c>
      <c r="Y736" s="115">
        <f>IFERROR(R736/W736,"")</f>
        <v/>
      </c>
      <c r="Z736" s="115">
        <f>IFERROR(R736/S736*1000,"")</f>
        <v/>
      </c>
      <c r="AA736" s="116" t="n">
        <v>49</v>
      </c>
      <c r="AB736" s="47">
        <f>IFERROR(AA736/W736,"")</f>
        <v/>
      </c>
      <c r="AC736" s="116" t="n">
        <v>0</v>
      </c>
      <c r="AD736" s="116" t="n">
        <v>0</v>
      </c>
      <c r="AE736" s="116" t="n">
        <v>0</v>
      </c>
      <c r="AF736" s="116" t="n">
        <v>0</v>
      </c>
      <c r="AG736" s="116" t="n">
        <v>0</v>
      </c>
      <c r="AH736" s="116" t="n">
        <v>0</v>
      </c>
      <c r="AI736" s="47">
        <f>IFERROR(AC736/S736,"")</f>
        <v/>
      </c>
      <c r="AJ736" s="47">
        <f>IFERROR(AH736/S736,"")</f>
        <v/>
      </c>
      <c r="AK736" s="116" t="n">
        <v>34</v>
      </c>
      <c r="AL736" s="116" t="n">
        <v>2</v>
      </c>
      <c r="AM736" s="118">
        <f>IFERROR(AL736/AA736,"")</f>
        <v/>
      </c>
      <c r="AN736" s="119">
        <f>IFERROR(R736/AL736,"")</f>
        <v/>
      </c>
      <c r="AO736" s="116" t="n">
        <v>1</v>
      </c>
      <c r="AP736" s="47">
        <f>IFERROR(AO736/AL736,"")</f>
        <v/>
      </c>
      <c r="AQ736" s="119">
        <f>IFERROR(R736/AO736,"")</f>
        <v/>
      </c>
      <c r="AR736" s="116" t="n">
        <v>1</v>
      </c>
      <c r="AS736" s="116" t="n">
        <v>1</v>
      </c>
      <c r="AT736" s="116">
        <f>AL736+AR736</f>
        <v/>
      </c>
      <c r="AU736" s="119">
        <f>IFERROR(AO736*Assumptions!$C$26*Assumptions!$C$27*INDEX(Assumptions!$C$18:$C$21,MATCH(H736,Assumptions!$B$18:$B$21,0)),0)</f>
        <v/>
      </c>
    </row>
    <row r="737">
      <c r="A737" s="114" t="n">
        <v>46238</v>
      </c>
      <c r="B737" s="42" t="inlineStr">
        <is>
          <t>Wk 32</t>
        </is>
      </c>
      <c r="C737" s="42" t="inlineStr">
        <is>
          <t>Tue</t>
        </is>
      </c>
      <c r="D737" s="42" t="inlineStr">
        <is>
          <t>Meta (FB/IG)</t>
        </is>
      </c>
      <c r="E737" s="42" t="inlineStr">
        <is>
          <t>Facebook + Instagram</t>
        </is>
      </c>
      <c r="F737" s="42" t="inlineStr">
        <is>
          <t>LEP_ZA_AUG26_META_RMKT_ALL_CONV</t>
        </is>
      </c>
      <c r="G737" s="42" t="inlineStr">
        <is>
          <t>Leads - Website Conversions</t>
        </is>
      </c>
      <c r="H737" s="42" t="inlineStr">
        <is>
          <t>Range</t>
        </is>
      </c>
      <c r="I737" s="42" t="inlineStr">
        <is>
          <t>Range Offer</t>
        </is>
      </c>
      <c r="J737" s="42" t="inlineStr">
        <is>
          <t>MET_RMKT_SITE30D_ZA</t>
        </is>
      </c>
      <c r="K737" s="42" t="inlineStr">
        <is>
          <t>Retargeting</t>
        </is>
      </c>
      <c r="L737" s="42" t="inlineStr">
        <is>
          <t>RMKT_DYN_ModelSeen_v1</t>
        </is>
      </c>
      <c r="M737" s="42" t="inlineStr">
        <is>
          <t>Dynamic Carousel</t>
        </is>
      </c>
      <c r="N737" s="42" t="inlineStr">
        <is>
          <t>Still thinking about it?</t>
        </is>
      </c>
      <c r="O737" s="42" t="inlineStr">
        <is>
          <t>Auction - Lowest Cost</t>
        </is>
      </c>
      <c r="P737" s="42" t="inlineStr">
        <is>
          <t>Offsite Conversions</t>
        </is>
      </c>
      <c r="Q737" s="42" t="inlineStr">
        <is>
          <t>https://www.lepas-sa.co.za/book-a-test-drive</t>
        </is>
      </c>
      <c r="R737" s="115" t="n">
        <v>157.13</v>
      </c>
      <c r="S737" s="116" t="n">
        <v>2488</v>
      </c>
      <c r="T737" s="116" t="n">
        <v>1878</v>
      </c>
      <c r="U737" s="117">
        <f>IFERROR(S737/T737,"")</f>
        <v/>
      </c>
      <c r="V737" s="116" t="n">
        <v>79</v>
      </c>
      <c r="W737" s="116" t="n">
        <v>64</v>
      </c>
      <c r="X737" s="118">
        <f>IFERROR(W737/S737,"")</f>
        <v/>
      </c>
      <c r="Y737" s="115">
        <f>IFERROR(R737/W737,"")</f>
        <v/>
      </c>
      <c r="Z737" s="115">
        <f>IFERROR(R737/S737*1000,"")</f>
        <v/>
      </c>
      <c r="AA737" s="116" t="n">
        <v>55</v>
      </c>
      <c r="AB737" s="47">
        <f>IFERROR(AA737/W737,"")</f>
        <v/>
      </c>
      <c r="AC737" s="116" t="n">
        <v>0</v>
      </c>
      <c r="AD737" s="116" t="n">
        <v>0</v>
      </c>
      <c r="AE737" s="116" t="n">
        <v>0</v>
      </c>
      <c r="AF737" s="116" t="n">
        <v>0</v>
      </c>
      <c r="AG737" s="116" t="n">
        <v>0</v>
      </c>
      <c r="AH737" s="116" t="n">
        <v>0</v>
      </c>
      <c r="AI737" s="47">
        <f>IFERROR(AC737/S737,"")</f>
        <v/>
      </c>
      <c r="AJ737" s="47">
        <f>IFERROR(AH737/S737,"")</f>
        <v/>
      </c>
      <c r="AK737" s="116" t="n">
        <v>84</v>
      </c>
      <c r="AL737" s="116" t="n">
        <v>1</v>
      </c>
      <c r="AM737" s="118">
        <f>IFERROR(AL737/AA737,"")</f>
        <v/>
      </c>
      <c r="AN737" s="119">
        <f>IFERROR(R737/AL737,"")</f>
        <v/>
      </c>
      <c r="AO737" s="116" t="n">
        <v>1</v>
      </c>
      <c r="AP737" s="47">
        <f>IFERROR(AO737/AL737,"")</f>
        <v/>
      </c>
      <c r="AQ737" s="119">
        <f>IFERROR(R737/AO737,"")</f>
        <v/>
      </c>
      <c r="AR737" s="116" t="n">
        <v>0</v>
      </c>
      <c r="AS737" s="116" t="n">
        <v>0</v>
      </c>
      <c r="AT737" s="116">
        <f>AL737+AR737</f>
        <v/>
      </c>
      <c r="AU737" s="119">
        <f>IFERROR(AO737*Assumptions!$C$26*Assumptions!$C$27*INDEX(Assumptions!$C$18:$C$21,MATCH(H737,Assumptions!$B$18:$B$21,0)),0)</f>
        <v/>
      </c>
    </row>
    <row r="738">
      <c r="A738" s="114" t="n">
        <v>46239</v>
      </c>
      <c r="B738" s="42" t="inlineStr">
        <is>
          <t>Wk 32</t>
        </is>
      </c>
      <c r="C738" s="42" t="inlineStr">
        <is>
          <t>Wed</t>
        </is>
      </c>
      <c r="D738" s="42" t="inlineStr">
        <is>
          <t>Meta (FB/IG)</t>
        </is>
      </c>
      <c r="E738" s="42" t="inlineStr">
        <is>
          <t>Facebook + Instagram</t>
        </is>
      </c>
      <c r="F738" s="42" t="inlineStr">
        <is>
          <t>LEP_ZA_AUG26_META_RMKT_ALL_CONV</t>
        </is>
      </c>
      <c r="G738" s="42" t="inlineStr">
        <is>
          <t>Leads - Website Conversions</t>
        </is>
      </c>
      <c r="H738" s="42" t="inlineStr">
        <is>
          <t>Range</t>
        </is>
      </c>
      <c r="I738" s="42" t="inlineStr">
        <is>
          <t>Range Offer</t>
        </is>
      </c>
      <c r="J738" s="42" t="inlineStr">
        <is>
          <t>MET_RMKT_SITE30D_ZA</t>
        </is>
      </c>
      <c r="K738" s="42" t="inlineStr">
        <is>
          <t>Retargeting</t>
        </is>
      </c>
      <c r="L738" s="42" t="inlineStr">
        <is>
          <t>RMKT_DYN_ModelSeen_v1</t>
        </is>
      </c>
      <c r="M738" s="42" t="inlineStr">
        <is>
          <t>Dynamic Carousel</t>
        </is>
      </c>
      <c r="N738" s="42" t="inlineStr">
        <is>
          <t>Still thinking about it?</t>
        </is>
      </c>
      <c r="O738" s="42" t="inlineStr">
        <is>
          <t>Auction - Lowest Cost</t>
        </is>
      </c>
      <c r="P738" s="42" t="inlineStr">
        <is>
          <t>Offsite Conversions</t>
        </is>
      </c>
      <c r="Q738" s="42" t="inlineStr">
        <is>
          <t>https://www.lepas-sa.co.za/book-a-test-drive</t>
        </is>
      </c>
      <c r="R738" s="115" t="n">
        <v>199.36</v>
      </c>
      <c r="S738" s="116" t="n">
        <v>2030</v>
      </c>
      <c r="T738" s="116" t="n">
        <v>1244</v>
      </c>
      <c r="U738" s="117">
        <f>IFERROR(S738/T738,"")</f>
        <v/>
      </c>
      <c r="V738" s="116" t="n">
        <v>71</v>
      </c>
      <c r="W738" s="116" t="n">
        <v>53</v>
      </c>
      <c r="X738" s="118">
        <f>IFERROR(W738/S738,"")</f>
        <v/>
      </c>
      <c r="Y738" s="115">
        <f>IFERROR(R738/W738,"")</f>
        <v/>
      </c>
      <c r="Z738" s="115">
        <f>IFERROR(R738/S738*1000,"")</f>
        <v/>
      </c>
      <c r="AA738" s="116" t="n">
        <v>46</v>
      </c>
      <c r="AB738" s="47">
        <f>IFERROR(AA738/W738,"")</f>
        <v/>
      </c>
      <c r="AC738" s="116" t="n">
        <v>0</v>
      </c>
      <c r="AD738" s="116" t="n">
        <v>0</v>
      </c>
      <c r="AE738" s="116" t="n">
        <v>0</v>
      </c>
      <c r="AF738" s="116" t="n">
        <v>0</v>
      </c>
      <c r="AG738" s="116" t="n">
        <v>0</v>
      </c>
      <c r="AH738" s="116" t="n">
        <v>0</v>
      </c>
      <c r="AI738" s="47">
        <f>IFERROR(AC738/S738,"")</f>
        <v/>
      </c>
      <c r="AJ738" s="47">
        <f>IFERROR(AH738/S738,"")</f>
        <v/>
      </c>
      <c r="AK738" s="116" t="n">
        <v>40</v>
      </c>
      <c r="AL738" s="116" t="n">
        <v>3</v>
      </c>
      <c r="AM738" s="118">
        <f>IFERROR(AL738/AA738,"")</f>
        <v/>
      </c>
      <c r="AN738" s="119">
        <f>IFERROR(R738/AL738,"")</f>
        <v/>
      </c>
      <c r="AO738" s="116" t="n">
        <v>2</v>
      </c>
      <c r="AP738" s="47">
        <f>IFERROR(AO738/AL738,"")</f>
        <v/>
      </c>
      <c r="AQ738" s="119">
        <f>IFERROR(R738/AO738,"")</f>
        <v/>
      </c>
      <c r="AR738" s="116" t="n">
        <v>1</v>
      </c>
      <c r="AS738" s="116" t="n">
        <v>0</v>
      </c>
      <c r="AT738" s="116">
        <f>AL738+AR738</f>
        <v/>
      </c>
      <c r="AU738" s="119">
        <f>IFERROR(AO738*Assumptions!$C$26*Assumptions!$C$27*INDEX(Assumptions!$C$18:$C$21,MATCH(H738,Assumptions!$B$18:$B$21,0)),0)</f>
        <v/>
      </c>
    </row>
    <row r="739">
      <c r="A739" s="114" t="n">
        <v>46240</v>
      </c>
      <c r="B739" s="42" t="inlineStr">
        <is>
          <t>Wk 32</t>
        </is>
      </c>
      <c r="C739" s="42" t="inlineStr">
        <is>
          <t>Thu</t>
        </is>
      </c>
      <c r="D739" s="42" t="inlineStr">
        <is>
          <t>Meta (FB/IG)</t>
        </is>
      </c>
      <c r="E739" s="42" t="inlineStr">
        <is>
          <t>Facebook + Instagram</t>
        </is>
      </c>
      <c r="F739" s="42" t="inlineStr">
        <is>
          <t>LEP_ZA_AUG26_META_RMKT_ALL_CONV</t>
        </is>
      </c>
      <c r="G739" s="42" t="inlineStr">
        <is>
          <t>Leads - Website Conversions</t>
        </is>
      </c>
      <c r="H739" s="42" t="inlineStr">
        <is>
          <t>Range</t>
        </is>
      </c>
      <c r="I739" s="42" t="inlineStr">
        <is>
          <t>Range Offer</t>
        </is>
      </c>
      <c r="J739" s="42" t="inlineStr">
        <is>
          <t>MET_RMKT_SITE30D_ZA</t>
        </is>
      </c>
      <c r="K739" s="42" t="inlineStr">
        <is>
          <t>Retargeting</t>
        </is>
      </c>
      <c r="L739" s="42" t="inlineStr">
        <is>
          <t>RMKT_DYN_ModelSeen_v1</t>
        </is>
      </c>
      <c r="M739" s="42" t="inlineStr">
        <is>
          <t>Dynamic Carousel</t>
        </is>
      </c>
      <c r="N739" s="42" t="inlineStr">
        <is>
          <t>Still thinking about it?</t>
        </is>
      </c>
      <c r="O739" s="42" t="inlineStr">
        <is>
          <t>Auction - Lowest Cost</t>
        </is>
      </c>
      <c r="P739" s="42" t="inlineStr">
        <is>
          <t>Offsite Conversions</t>
        </is>
      </c>
      <c r="Q739" s="42" t="inlineStr">
        <is>
          <t>https://www.lepas-sa.co.za/book-a-test-drive</t>
        </is>
      </c>
      <c r="R739" s="115" t="n">
        <v>212.95</v>
      </c>
      <c r="S739" s="116" t="n">
        <v>1951</v>
      </c>
      <c r="T739" s="116" t="n">
        <v>1366</v>
      </c>
      <c r="U739" s="117">
        <f>IFERROR(S739/T739,"")</f>
        <v/>
      </c>
      <c r="V739" s="116" t="n">
        <v>60</v>
      </c>
      <c r="W739" s="116" t="n">
        <v>45</v>
      </c>
      <c r="X739" s="118">
        <f>IFERROR(W739/S739,"")</f>
        <v/>
      </c>
      <c r="Y739" s="115">
        <f>IFERROR(R739/W739,"")</f>
        <v/>
      </c>
      <c r="Z739" s="115">
        <f>IFERROR(R739/S739*1000,"")</f>
        <v/>
      </c>
      <c r="AA739" s="116" t="n">
        <v>39</v>
      </c>
      <c r="AB739" s="47">
        <f>IFERROR(AA739/W739,"")</f>
        <v/>
      </c>
      <c r="AC739" s="116" t="n">
        <v>0</v>
      </c>
      <c r="AD739" s="116" t="n">
        <v>0</v>
      </c>
      <c r="AE739" s="116" t="n">
        <v>0</v>
      </c>
      <c r="AF739" s="116" t="n">
        <v>0</v>
      </c>
      <c r="AG739" s="116" t="n">
        <v>0</v>
      </c>
      <c r="AH739" s="116" t="n">
        <v>0</v>
      </c>
      <c r="AI739" s="47">
        <f>IFERROR(AC739/S739,"")</f>
        <v/>
      </c>
      <c r="AJ739" s="47">
        <f>IFERROR(AH739/S739,"")</f>
        <v/>
      </c>
      <c r="AK739" s="116" t="n">
        <v>28</v>
      </c>
      <c r="AL739" s="116" t="n">
        <v>2</v>
      </c>
      <c r="AM739" s="118">
        <f>IFERROR(AL739/AA739,"")</f>
        <v/>
      </c>
      <c r="AN739" s="119">
        <f>IFERROR(R739/AL739,"")</f>
        <v/>
      </c>
      <c r="AO739" s="116" t="n">
        <v>1</v>
      </c>
      <c r="AP739" s="47">
        <f>IFERROR(AO739/AL739,"")</f>
        <v/>
      </c>
      <c r="AQ739" s="119">
        <f>IFERROR(R739/AO739,"")</f>
        <v/>
      </c>
      <c r="AR739" s="116" t="n">
        <v>0</v>
      </c>
      <c r="AS739" s="116" t="n">
        <v>1</v>
      </c>
      <c r="AT739" s="116">
        <f>AL739+AR739</f>
        <v/>
      </c>
      <c r="AU739" s="119">
        <f>IFERROR(AO739*Assumptions!$C$26*Assumptions!$C$27*INDEX(Assumptions!$C$18:$C$21,MATCH(H739,Assumptions!$B$18:$B$21,0)),0)</f>
        <v/>
      </c>
    </row>
    <row r="740">
      <c r="A740" s="114" t="n">
        <v>46241</v>
      </c>
      <c r="B740" s="42" t="inlineStr">
        <is>
          <t>Wk 32</t>
        </is>
      </c>
      <c r="C740" s="42" t="inlineStr">
        <is>
          <t>Fri</t>
        </is>
      </c>
      <c r="D740" s="42" t="inlineStr">
        <is>
          <t>Meta (FB/IG)</t>
        </is>
      </c>
      <c r="E740" s="42" t="inlineStr">
        <is>
          <t>Facebook + Instagram</t>
        </is>
      </c>
      <c r="F740" s="42" t="inlineStr">
        <is>
          <t>LEP_ZA_AUG26_META_RMKT_ALL_CONV</t>
        </is>
      </c>
      <c r="G740" s="42" t="inlineStr">
        <is>
          <t>Leads - Website Conversions</t>
        </is>
      </c>
      <c r="H740" s="42" t="inlineStr">
        <is>
          <t>Range</t>
        </is>
      </c>
      <c r="I740" s="42" t="inlineStr">
        <is>
          <t>Range Offer</t>
        </is>
      </c>
      <c r="J740" s="42" t="inlineStr">
        <is>
          <t>MET_RMKT_SITE30D_ZA</t>
        </is>
      </c>
      <c r="K740" s="42" t="inlineStr">
        <is>
          <t>Retargeting</t>
        </is>
      </c>
      <c r="L740" s="42" t="inlineStr">
        <is>
          <t>RMKT_DYN_ModelSeen_v1</t>
        </is>
      </c>
      <c r="M740" s="42" t="inlineStr">
        <is>
          <t>Dynamic Carousel</t>
        </is>
      </c>
      <c r="N740" s="42" t="inlineStr">
        <is>
          <t>Still thinking about it?</t>
        </is>
      </c>
      <c r="O740" s="42" t="inlineStr">
        <is>
          <t>Auction - Lowest Cost</t>
        </is>
      </c>
      <c r="P740" s="42" t="inlineStr">
        <is>
          <t>Offsite Conversions</t>
        </is>
      </c>
      <c r="Q740" s="42" t="inlineStr">
        <is>
          <t>https://www.lepas-sa.co.za/book-a-test-drive</t>
        </is>
      </c>
      <c r="R740" s="115" t="n">
        <v>191.63</v>
      </c>
      <c r="S740" s="116" t="n">
        <v>1711</v>
      </c>
      <c r="T740" s="116" t="n">
        <v>1041</v>
      </c>
      <c r="U740" s="117">
        <f>IFERROR(S740/T740,"")</f>
        <v/>
      </c>
      <c r="V740" s="116" t="n">
        <v>76</v>
      </c>
      <c r="W740" s="116" t="n">
        <v>62</v>
      </c>
      <c r="X740" s="118">
        <f>IFERROR(W740/S740,"")</f>
        <v/>
      </c>
      <c r="Y740" s="115">
        <f>IFERROR(R740/W740,"")</f>
        <v/>
      </c>
      <c r="Z740" s="115">
        <f>IFERROR(R740/S740*1000,"")</f>
        <v/>
      </c>
      <c r="AA740" s="116" t="n">
        <v>50</v>
      </c>
      <c r="AB740" s="47">
        <f>IFERROR(AA740/W740,"")</f>
        <v/>
      </c>
      <c r="AC740" s="116" t="n">
        <v>0</v>
      </c>
      <c r="AD740" s="116" t="n">
        <v>0</v>
      </c>
      <c r="AE740" s="116" t="n">
        <v>0</v>
      </c>
      <c r="AF740" s="116" t="n">
        <v>0</v>
      </c>
      <c r="AG740" s="116" t="n">
        <v>0</v>
      </c>
      <c r="AH740" s="116" t="n">
        <v>0</v>
      </c>
      <c r="AI740" s="47">
        <f>IFERROR(AC740/S740,"")</f>
        <v/>
      </c>
      <c r="AJ740" s="47">
        <f>IFERROR(AH740/S740,"")</f>
        <v/>
      </c>
      <c r="AK740" s="116" t="n">
        <v>50</v>
      </c>
      <c r="AL740" s="116" t="n">
        <v>2</v>
      </c>
      <c r="AM740" s="118">
        <f>IFERROR(AL740/AA740,"")</f>
        <v/>
      </c>
      <c r="AN740" s="119">
        <f>IFERROR(R740/AL740,"")</f>
        <v/>
      </c>
      <c r="AO740" s="116" t="n">
        <v>1</v>
      </c>
      <c r="AP740" s="47">
        <f>IFERROR(AO740/AL740,"")</f>
        <v/>
      </c>
      <c r="AQ740" s="119">
        <f>IFERROR(R740/AO740,"")</f>
        <v/>
      </c>
      <c r="AR740" s="116" t="n">
        <v>1</v>
      </c>
      <c r="AS740" s="116" t="n">
        <v>1</v>
      </c>
      <c r="AT740" s="116">
        <f>AL740+AR740</f>
        <v/>
      </c>
      <c r="AU740" s="119">
        <f>IFERROR(AO740*Assumptions!$C$26*Assumptions!$C$27*INDEX(Assumptions!$C$18:$C$21,MATCH(H740,Assumptions!$B$18:$B$21,0)),0)</f>
        <v/>
      </c>
    </row>
    <row r="741">
      <c r="A741" s="114" t="n">
        <v>46242</v>
      </c>
      <c r="B741" s="42" t="inlineStr">
        <is>
          <t>Wk 32</t>
        </is>
      </c>
      <c r="C741" s="42" t="inlineStr">
        <is>
          <t>Sat</t>
        </is>
      </c>
      <c r="D741" s="42" t="inlineStr">
        <is>
          <t>Meta (FB/IG)</t>
        </is>
      </c>
      <c r="E741" s="42" t="inlineStr">
        <is>
          <t>Facebook + Instagram</t>
        </is>
      </c>
      <c r="F741" s="42" t="inlineStr">
        <is>
          <t>LEP_ZA_AUG26_META_RMKT_ALL_CONV</t>
        </is>
      </c>
      <c r="G741" s="42" t="inlineStr">
        <is>
          <t>Leads - Website Conversions</t>
        </is>
      </c>
      <c r="H741" s="42" t="inlineStr">
        <is>
          <t>Range</t>
        </is>
      </c>
      <c r="I741" s="42" t="inlineStr">
        <is>
          <t>Range Offer</t>
        </is>
      </c>
      <c r="J741" s="42" t="inlineStr">
        <is>
          <t>MET_RMKT_SITE30D_ZA</t>
        </is>
      </c>
      <c r="K741" s="42" t="inlineStr">
        <is>
          <t>Retargeting</t>
        </is>
      </c>
      <c r="L741" s="42" t="inlineStr">
        <is>
          <t>RMKT_DYN_ModelSeen_v1</t>
        </is>
      </c>
      <c r="M741" s="42" t="inlineStr">
        <is>
          <t>Dynamic Carousel</t>
        </is>
      </c>
      <c r="N741" s="42" t="inlineStr">
        <is>
          <t>Still thinking about it?</t>
        </is>
      </c>
      <c r="O741" s="42" t="inlineStr">
        <is>
          <t>Auction - Lowest Cost</t>
        </is>
      </c>
      <c r="P741" s="42" t="inlineStr">
        <is>
          <t>Offsite Conversions</t>
        </is>
      </c>
      <c r="Q741" s="42" t="inlineStr">
        <is>
          <t>https://www.lepas-sa.co.za/book-a-test-drive</t>
        </is>
      </c>
      <c r="R741" s="115" t="n">
        <v>231.25</v>
      </c>
      <c r="S741" s="116" t="n">
        <v>1926</v>
      </c>
      <c r="T741" s="116" t="n">
        <v>1511</v>
      </c>
      <c r="U741" s="117">
        <f>IFERROR(S741/T741,"")</f>
        <v/>
      </c>
      <c r="V741" s="116" t="n">
        <v>62</v>
      </c>
      <c r="W741" s="116" t="n">
        <v>45</v>
      </c>
      <c r="X741" s="118">
        <f>IFERROR(W741/S741,"")</f>
        <v/>
      </c>
      <c r="Y741" s="115">
        <f>IFERROR(R741/W741,"")</f>
        <v/>
      </c>
      <c r="Z741" s="115">
        <f>IFERROR(R741/S741*1000,"")</f>
        <v/>
      </c>
      <c r="AA741" s="116" t="n">
        <v>36</v>
      </c>
      <c r="AB741" s="47">
        <f>IFERROR(AA741/W741,"")</f>
        <v/>
      </c>
      <c r="AC741" s="116" t="n">
        <v>0</v>
      </c>
      <c r="AD741" s="116" t="n">
        <v>0</v>
      </c>
      <c r="AE741" s="116" t="n">
        <v>0</v>
      </c>
      <c r="AF741" s="116" t="n">
        <v>0</v>
      </c>
      <c r="AG741" s="116" t="n">
        <v>0</v>
      </c>
      <c r="AH741" s="116" t="n">
        <v>0</v>
      </c>
      <c r="AI741" s="47">
        <f>IFERROR(AC741/S741,"")</f>
        <v/>
      </c>
      <c r="AJ741" s="47">
        <f>IFERROR(AH741/S741,"")</f>
        <v/>
      </c>
      <c r="AK741" s="116" t="n">
        <v>60</v>
      </c>
      <c r="AL741" s="116" t="n">
        <v>1</v>
      </c>
      <c r="AM741" s="118">
        <f>IFERROR(AL741/AA741,"")</f>
        <v/>
      </c>
      <c r="AN741" s="119">
        <f>IFERROR(R741/AL741,"")</f>
        <v/>
      </c>
      <c r="AO741" s="116" t="n">
        <v>1</v>
      </c>
      <c r="AP741" s="47">
        <f>IFERROR(AO741/AL741,"")</f>
        <v/>
      </c>
      <c r="AQ741" s="119">
        <f>IFERROR(R741/AO741,"")</f>
        <v/>
      </c>
      <c r="AR741" s="116" t="n">
        <v>0</v>
      </c>
      <c r="AS741" s="116" t="n">
        <v>0</v>
      </c>
      <c r="AT741" s="116">
        <f>AL741+AR741</f>
        <v/>
      </c>
      <c r="AU741" s="119">
        <f>IFERROR(AO741*Assumptions!$C$26*Assumptions!$C$27*INDEX(Assumptions!$C$18:$C$21,MATCH(H741,Assumptions!$B$18:$B$21,0)),0)</f>
        <v/>
      </c>
    </row>
    <row r="742">
      <c r="A742" s="114" t="n">
        <v>46243</v>
      </c>
      <c r="B742" s="42" t="inlineStr">
        <is>
          <t>Wk 32</t>
        </is>
      </c>
      <c r="C742" s="42" t="inlineStr">
        <is>
          <t>Sun</t>
        </is>
      </c>
      <c r="D742" s="42" t="inlineStr">
        <is>
          <t>Meta (FB/IG)</t>
        </is>
      </c>
      <c r="E742" s="42" t="inlineStr">
        <is>
          <t>Facebook + Instagram</t>
        </is>
      </c>
      <c r="F742" s="42" t="inlineStr">
        <is>
          <t>LEP_ZA_AUG26_META_RMKT_ALL_CONV</t>
        </is>
      </c>
      <c r="G742" s="42" t="inlineStr">
        <is>
          <t>Leads - Website Conversions</t>
        </is>
      </c>
      <c r="H742" s="42" t="inlineStr">
        <is>
          <t>Range</t>
        </is>
      </c>
      <c r="I742" s="42" t="inlineStr">
        <is>
          <t>Range Offer</t>
        </is>
      </c>
      <c r="J742" s="42" t="inlineStr">
        <is>
          <t>MET_RMKT_SITE30D_ZA</t>
        </is>
      </c>
      <c r="K742" s="42" t="inlineStr">
        <is>
          <t>Retargeting</t>
        </is>
      </c>
      <c r="L742" s="42" t="inlineStr">
        <is>
          <t>RMKT_DYN_ModelSeen_v1</t>
        </is>
      </c>
      <c r="M742" s="42" t="inlineStr">
        <is>
          <t>Dynamic Carousel</t>
        </is>
      </c>
      <c r="N742" s="42" t="inlineStr">
        <is>
          <t>Still thinking about it?</t>
        </is>
      </c>
      <c r="O742" s="42" t="inlineStr">
        <is>
          <t>Auction - Lowest Cost</t>
        </is>
      </c>
      <c r="P742" s="42" t="inlineStr">
        <is>
          <t>Offsite Conversions</t>
        </is>
      </c>
      <c r="Q742" s="42" t="inlineStr">
        <is>
          <t>https://www.lepas-sa.co.za/book-a-test-drive</t>
        </is>
      </c>
      <c r="R742" s="115" t="n">
        <v>180.5</v>
      </c>
      <c r="S742" s="116" t="n">
        <v>1791</v>
      </c>
      <c r="T742" s="116" t="n">
        <v>1128</v>
      </c>
      <c r="U742" s="117">
        <f>IFERROR(S742/T742,"")</f>
        <v/>
      </c>
      <c r="V742" s="116" t="n">
        <v>59</v>
      </c>
      <c r="W742" s="116" t="n">
        <v>45</v>
      </c>
      <c r="X742" s="118">
        <f>IFERROR(W742/S742,"")</f>
        <v/>
      </c>
      <c r="Y742" s="115">
        <f>IFERROR(R742/W742,"")</f>
        <v/>
      </c>
      <c r="Z742" s="115">
        <f>IFERROR(R742/S742*1000,"")</f>
        <v/>
      </c>
      <c r="AA742" s="116" t="n">
        <v>38</v>
      </c>
      <c r="AB742" s="47">
        <f>IFERROR(AA742/W742,"")</f>
        <v/>
      </c>
      <c r="AC742" s="116" t="n">
        <v>0</v>
      </c>
      <c r="AD742" s="116" t="n">
        <v>0</v>
      </c>
      <c r="AE742" s="116" t="n">
        <v>0</v>
      </c>
      <c r="AF742" s="116" t="n">
        <v>0</v>
      </c>
      <c r="AG742" s="116" t="n">
        <v>0</v>
      </c>
      <c r="AH742" s="116" t="n">
        <v>0</v>
      </c>
      <c r="AI742" s="47">
        <f>IFERROR(AC742/S742,"")</f>
        <v/>
      </c>
      <c r="AJ742" s="47">
        <f>IFERROR(AH742/S742,"")</f>
        <v/>
      </c>
      <c r="AK742" s="116" t="n">
        <v>51</v>
      </c>
      <c r="AL742" s="116" t="n">
        <v>1</v>
      </c>
      <c r="AM742" s="118">
        <f>IFERROR(AL742/AA742,"")</f>
        <v/>
      </c>
      <c r="AN742" s="119">
        <f>IFERROR(R742/AL742,"")</f>
        <v/>
      </c>
      <c r="AO742" s="116" t="n">
        <v>0</v>
      </c>
      <c r="AP742" s="47">
        <f>IFERROR(AO742/AL742,"")</f>
        <v/>
      </c>
      <c r="AQ742" s="119">
        <f>IFERROR(R742/AO742,"")</f>
        <v/>
      </c>
      <c r="AR742" s="116" t="n">
        <v>0</v>
      </c>
      <c r="AS742" s="116" t="n">
        <v>1</v>
      </c>
      <c r="AT742" s="116">
        <f>AL742+AR742</f>
        <v/>
      </c>
      <c r="AU742" s="119">
        <f>IFERROR(AO742*Assumptions!$C$26*Assumptions!$C$27*INDEX(Assumptions!$C$18:$C$21,MATCH(H742,Assumptions!$B$18:$B$21,0)),0)</f>
        <v/>
      </c>
    </row>
    <row r="743">
      <c r="A743" s="114" t="n">
        <v>46244</v>
      </c>
      <c r="B743" s="42" t="inlineStr">
        <is>
          <t>Wk 33</t>
        </is>
      </c>
      <c r="C743" s="42" t="inlineStr">
        <is>
          <t>Mon</t>
        </is>
      </c>
      <c r="D743" s="42" t="inlineStr">
        <is>
          <t>Meta (FB/IG)</t>
        </is>
      </c>
      <c r="E743" s="42" t="inlineStr">
        <is>
          <t>Facebook + Instagram</t>
        </is>
      </c>
      <c r="F743" s="42" t="inlineStr">
        <is>
          <t>LEP_ZA_AUG26_META_RMKT_ALL_CONV</t>
        </is>
      </c>
      <c r="G743" s="42" t="inlineStr">
        <is>
          <t>Leads - Website Conversions</t>
        </is>
      </c>
      <c r="H743" s="42" t="inlineStr">
        <is>
          <t>Range</t>
        </is>
      </c>
      <c r="I743" s="42" t="inlineStr">
        <is>
          <t>Range Offer</t>
        </is>
      </c>
      <c r="J743" s="42" t="inlineStr">
        <is>
          <t>MET_RMKT_SITE30D_ZA</t>
        </is>
      </c>
      <c r="K743" s="42" t="inlineStr">
        <is>
          <t>Retargeting</t>
        </is>
      </c>
      <c r="L743" s="42" t="inlineStr">
        <is>
          <t>RMKT_DYN_ModelSeen_v1</t>
        </is>
      </c>
      <c r="M743" s="42" t="inlineStr">
        <is>
          <t>Dynamic Carousel</t>
        </is>
      </c>
      <c r="N743" s="42" t="inlineStr">
        <is>
          <t>Still thinking about it?</t>
        </is>
      </c>
      <c r="O743" s="42" t="inlineStr">
        <is>
          <t>Auction - Lowest Cost</t>
        </is>
      </c>
      <c r="P743" s="42" t="inlineStr">
        <is>
          <t>Offsite Conversions</t>
        </is>
      </c>
      <c r="Q743" s="42" t="inlineStr">
        <is>
          <t>https://www.lepas-sa.co.za/book-a-test-drive</t>
        </is>
      </c>
      <c r="R743" s="115" t="n">
        <v>216.94</v>
      </c>
      <c r="S743" s="116" t="n">
        <v>2032</v>
      </c>
      <c r="T743" s="116" t="n">
        <v>1494</v>
      </c>
      <c r="U743" s="117">
        <f>IFERROR(S743/T743,"")</f>
        <v/>
      </c>
      <c r="V743" s="116" t="n">
        <v>51</v>
      </c>
      <c r="W743" s="116" t="n">
        <v>42</v>
      </c>
      <c r="X743" s="118">
        <f>IFERROR(W743/S743,"")</f>
        <v/>
      </c>
      <c r="Y743" s="115">
        <f>IFERROR(R743/W743,"")</f>
        <v/>
      </c>
      <c r="Z743" s="115">
        <f>IFERROR(R743/S743*1000,"")</f>
        <v/>
      </c>
      <c r="AA743" s="116" t="n">
        <v>36</v>
      </c>
      <c r="AB743" s="47">
        <f>IFERROR(AA743/W743,"")</f>
        <v/>
      </c>
      <c r="AC743" s="116" t="n">
        <v>0</v>
      </c>
      <c r="AD743" s="116" t="n">
        <v>0</v>
      </c>
      <c r="AE743" s="116" t="n">
        <v>0</v>
      </c>
      <c r="AF743" s="116" t="n">
        <v>0</v>
      </c>
      <c r="AG743" s="116" t="n">
        <v>0</v>
      </c>
      <c r="AH743" s="116" t="n">
        <v>0</v>
      </c>
      <c r="AI743" s="47">
        <f>IFERROR(AC743/S743,"")</f>
        <v/>
      </c>
      <c r="AJ743" s="47">
        <f>IFERROR(AH743/S743,"")</f>
        <v/>
      </c>
      <c r="AK743" s="116" t="n">
        <v>51</v>
      </c>
      <c r="AL743" s="116" t="n">
        <v>1</v>
      </c>
      <c r="AM743" s="118">
        <f>IFERROR(AL743/AA743,"")</f>
        <v/>
      </c>
      <c r="AN743" s="119">
        <f>IFERROR(R743/AL743,"")</f>
        <v/>
      </c>
      <c r="AO743" s="116" t="n">
        <v>1</v>
      </c>
      <c r="AP743" s="47">
        <f>IFERROR(AO743/AL743,"")</f>
        <v/>
      </c>
      <c r="AQ743" s="119">
        <f>IFERROR(R743/AO743,"")</f>
        <v/>
      </c>
      <c r="AR743" s="116" t="n">
        <v>0</v>
      </c>
      <c r="AS743" s="116" t="n">
        <v>1</v>
      </c>
      <c r="AT743" s="116">
        <f>AL743+AR743</f>
        <v/>
      </c>
      <c r="AU743" s="119">
        <f>IFERROR(AO743*Assumptions!$C$26*Assumptions!$C$27*INDEX(Assumptions!$C$18:$C$21,MATCH(H743,Assumptions!$B$18:$B$21,0)),0)</f>
        <v/>
      </c>
    </row>
    <row r="744">
      <c r="A744" s="114" t="n">
        <v>46245</v>
      </c>
      <c r="B744" s="42" t="inlineStr">
        <is>
          <t>Wk 33</t>
        </is>
      </c>
      <c r="C744" s="42" t="inlineStr">
        <is>
          <t>Tue</t>
        </is>
      </c>
      <c r="D744" s="42" t="inlineStr">
        <is>
          <t>Meta (FB/IG)</t>
        </is>
      </c>
      <c r="E744" s="42" t="inlineStr">
        <is>
          <t>Facebook + Instagram</t>
        </is>
      </c>
      <c r="F744" s="42" t="inlineStr">
        <is>
          <t>LEP_ZA_AUG26_META_RMKT_ALL_CONV</t>
        </is>
      </c>
      <c r="G744" s="42" t="inlineStr">
        <is>
          <t>Leads - Website Conversions</t>
        </is>
      </c>
      <c r="H744" s="42" t="inlineStr">
        <is>
          <t>Range</t>
        </is>
      </c>
      <c r="I744" s="42" t="inlineStr">
        <is>
          <t>Range Offer</t>
        </is>
      </c>
      <c r="J744" s="42" t="inlineStr">
        <is>
          <t>MET_RMKT_SITE30D_ZA</t>
        </is>
      </c>
      <c r="K744" s="42" t="inlineStr">
        <is>
          <t>Retargeting</t>
        </is>
      </c>
      <c r="L744" s="42" t="inlineStr">
        <is>
          <t>RMKT_DYN_ModelSeen_v1</t>
        </is>
      </c>
      <c r="M744" s="42" t="inlineStr">
        <is>
          <t>Dynamic Carousel</t>
        </is>
      </c>
      <c r="N744" s="42" t="inlineStr">
        <is>
          <t>Still thinking about it?</t>
        </is>
      </c>
      <c r="O744" s="42" t="inlineStr">
        <is>
          <t>Auction - Lowest Cost</t>
        </is>
      </c>
      <c r="P744" s="42" t="inlineStr">
        <is>
          <t>Offsite Conversions</t>
        </is>
      </c>
      <c r="Q744" s="42" t="inlineStr">
        <is>
          <t>https://www.lepas-sa.co.za/book-a-test-drive</t>
        </is>
      </c>
      <c r="R744" s="115" t="n">
        <v>187.27</v>
      </c>
      <c r="S744" s="116" t="n">
        <v>2482</v>
      </c>
      <c r="T744" s="116" t="n">
        <v>1675</v>
      </c>
      <c r="U744" s="117">
        <f>IFERROR(S744/T744,"")</f>
        <v/>
      </c>
      <c r="V744" s="116" t="n">
        <v>76</v>
      </c>
      <c r="W744" s="116" t="n">
        <v>59</v>
      </c>
      <c r="X744" s="118">
        <f>IFERROR(W744/S744,"")</f>
        <v/>
      </c>
      <c r="Y744" s="115">
        <f>IFERROR(R744/W744,"")</f>
        <v/>
      </c>
      <c r="Z744" s="115">
        <f>IFERROR(R744/S744*1000,"")</f>
        <v/>
      </c>
      <c r="AA744" s="116" t="n">
        <v>52</v>
      </c>
      <c r="AB744" s="47">
        <f>IFERROR(AA744/W744,"")</f>
        <v/>
      </c>
      <c r="AC744" s="116" t="n">
        <v>0</v>
      </c>
      <c r="AD744" s="116" t="n">
        <v>0</v>
      </c>
      <c r="AE744" s="116" t="n">
        <v>0</v>
      </c>
      <c r="AF744" s="116" t="n">
        <v>0</v>
      </c>
      <c r="AG744" s="116" t="n">
        <v>0</v>
      </c>
      <c r="AH744" s="116" t="n">
        <v>0</v>
      </c>
      <c r="AI744" s="47">
        <f>IFERROR(AC744/S744,"")</f>
        <v/>
      </c>
      <c r="AJ744" s="47">
        <f>IFERROR(AH744/S744,"")</f>
        <v/>
      </c>
      <c r="AK744" s="116" t="n">
        <v>28</v>
      </c>
      <c r="AL744" s="116" t="n">
        <v>2</v>
      </c>
      <c r="AM744" s="118">
        <f>IFERROR(AL744/AA744,"")</f>
        <v/>
      </c>
      <c r="AN744" s="119">
        <f>IFERROR(R744/AL744,"")</f>
        <v/>
      </c>
      <c r="AO744" s="116" t="n">
        <v>2</v>
      </c>
      <c r="AP744" s="47">
        <f>IFERROR(AO744/AL744,"")</f>
        <v/>
      </c>
      <c r="AQ744" s="119">
        <f>IFERROR(R744/AO744,"")</f>
        <v/>
      </c>
      <c r="AR744" s="116" t="n">
        <v>1</v>
      </c>
      <c r="AS744" s="116" t="n">
        <v>1</v>
      </c>
      <c r="AT744" s="116">
        <f>AL744+AR744</f>
        <v/>
      </c>
      <c r="AU744" s="119">
        <f>IFERROR(AO744*Assumptions!$C$26*Assumptions!$C$27*INDEX(Assumptions!$C$18:$C$21,MATCH(H744,Assumptions!$B$18:$B$21,0)),0)</f>
        <v/>
      </c>
    </row>
    <row r="745">
      <c r="A745" s="114" t="n">
        <v>46246</v>
      </c>
      <c r="B745" s="42" t="inlineStr">
        <is>
          <t>Wk 33</t>
        </is>
      </c>
      <c r="C745" s="42" t="inlineStr">
        <is>
          <t>Wed</t>
        </is>
      </c>
      <c r="D745" s="42" t="inlineStr">
        <is>
          <t>Meta (FB/IG)</t>
        </is>
      </c>
      <c r="E745" s="42" t="inlineStr">
        <is>
          <t>Facebook + Instagram</t>
        </is>
      </c>
      <c r="F745" s="42" t="inlineStr">
        <is>
          <t>LEP_ZA_AUG26_META_RMKT_ALL_CONV</t>
        </is>
      </c>
      <c r="G745" s="42" t="inlineStr">
        <is>
          <t>Leads - Website Conversions</t>
        </is>
      </c>
      <c r="H745" s="42" t="inlineStr">
        <is>
          <t>Range</t>
        </is>
      </c>
      <c r="I745" s="42" t="inlineStr">
        <is>
          <t>Range Offer</t>
        </is>
      </c>
      <c r="J745" s="42" t="inlineStr">
        <is>
          <t>MET_RMKT_SITE30D_ZA</t>
        </is>
      </c>
      <c r="K745" s="42" t="inlineStr">
        <is>
          <t>Retargeting</t>
        </is>
      </c>
      <c r="L745" s="42" t="inlineStr">
        <is>
          <t>RMKT_DYN_ModelSeen_v1</t>
        </is>
      </c>
      <c r="M745" s="42" t="inlineStr">
        <is>
          <t>Dynamic Carousel</t>
        </is>
      </c>
      <c r="N745" s="42" t="inlineStr">
        <is>
          <t>Still thinking about it?</t>
        </is>
      </c>
      <c r="O745" s="42" t="inlineStr">
        <is>
          <t>Auction - Lowest Cost</t>
        </is>
      </c>
      <c r="P745" s="42" t="inlineStr">
        <is>
          <t>Offsite Conversions</t>
        </is>
      </c>
      <c r="Q745" s="42" t="inlineStr">
        <is>
          <t>https://www.lepas-sa.co.za/book-a-test-drive</t>
        </is>
      </c>
      <c r="R745" s="115" t="n">
        <v>216.35</v>
      </c>
      <c r="S745" s="116" t="n">
        <v>2704</v>
      </c>
      <c r="T745" s="116" t="n">
        <v>1618</v>
      </c>
      <c r="U745" s="117">
        <f>IFERROR(S745/T745,"")</f>
        <v/>
      </c>
      <c r="V745" s="116" t="n">
        <v>115</v>
      </c>
      <c r="W745" s="116" t="n">
        <v>82</v>
      </c>
      <c r="X745" s="118">
        <f>IFERROR(W745/S745,"")</f>
        <v/>
      </c>
      <c r="Y745" s="115">
        <f>IFERROR(R745/W745,"")</f>
        <v/>
      </c>
      <c r="Z745" s="115">
        <f>IFERROR(R745/S745*1000,"")</f>
        <v/>
      </c>
      <c r="AA745" s="116" t="n">
        <v>75</v>
      </c>
      <c r="AB745" s="47">
        <f>IFERROR(AA745/W745,"")</f>
        <v/>
      </c>
      <c r="AC745" s="116" t="n">
        <v>0</v>
      </c>
      <c r="AD745" s="116" t="n">
        <v>0</v>
      </c>
      <c r="AE745" s="116" t="n">
        <v>0</v>
      </c>
      <c r="AF745" s="116" t="n">
        <v>0</v>
      </c>
      <c r="AG745" s="116" t="n">
        <v>0</v>
      </c>
      <c r="AH745" s="116" t="n">
        <v>0</v>
      </c>
      <c r="AI745" s="47">
        <f>IFERROR(AC745/S745,"")</f>
        <v/>
      </c>
      <c r="AJ745" s="47">
        <f>IFERROR(AH745/S745,"")</f>
        <v/>
      </c>
      <c r="AK745" s="116" t="n">
        <v>46</v>
      </c>
      <c r="AL745" s="116" t="n">
        <v>4</v>
      </c>
      <c r="AM745" s="118">
        <f>IFERROR(AL745/AA745,"")</f>
        <v/>
      </c>
      <c r="AN745" s="119">
        <f>IFERROR(R745/AL745,"")</f>
        <v/>
      </c>
      <c r="AO745" s="116" t="n">
        <v>3</v>
      </c>
      <c r="AP745" s="47">
        <f>IFERROR(AO745/AL745,"")</f>
        <v/>
      </c>
      <c r="AQ745" s="119">
        <f>IFERROR(R745/AO745,"")</f>
        <v/>
      </c>
      <c r="AR745" s="116" t="n">
        <v>1</v>
      </c>
      <c r="AS745" s="116" t="n">
        <v>1</v>
      </c>
      <c r="AT745" s="116">
        <f>AL745+AR745</f>
        <v/>
      </c>
      <c r="AU745" s="119">
        <f>IFERROR(AO745*Assumptions!$C$26*Assumptions!$C$27*INDEX(Assumptions!$C$18:$C$21,MATCH(H745,Assumptions!$B$18:$B$21,0)),0)</f>
        <v/>
      </c>
    </row>
    <row r="746">
      <c r="A746" s="114" t="n">
        <v>46247</v>
      </c>
      <c r="B746" s="42" t="inlineStr">
        <is>
          <t>Wk 33</t>
        </is>
      </c>
      <c r="C746" s="42" t="inlineStr">
        <is>
          <t>Thu</t>
        </is>
      </c>
      <c r="D746" s="42" t="inlineStr">
        <is>
          <t>Meta (FB/IG)</t>
        </is>
      </c>
      <c r="E746" s="42" t="inlineStr">
        <is>
          <t>Facebook + Instagram</t>
        </is>
      </c>
      <c r="F746" s="42" t="inlineStr">
        <is>
          <t>LEP_ZA_AUG26_META_RMKT_ALL_CONV</t>
        </is>
      </c>
      <c r="G746" s="42" t="inlineStr">
        <is>
          <t>Leads - Website Conversions</t>
        </is>
      </c>
      <c r="H746" s="42" t="inlineStr">
        <is>
          <t>Range</t>
        </is>
      </c>
      <c r="I746" s="42" t="inlineStr">
        <is>
          <t>Range Offer</t>
        </is>
      </c>
      <c r="J746" s="42" t="inlineStr">
        <is>
          <t>MET_RMKT_SITE30D_ZA</t>
        </is>
      </c>
      <c r="K746" s="42" t="inlineStr">
        <is>
          <t>Retargeting</t>
        </is>
      </c>
      <c r="L746" s="42" t="inlineStr">
        <is>
          <t>RMKT_DYN_ModelSeen_v1</t>
        </is>
      </c>
      <c r="M746" s="42" t="inlineStr">
        <is>
          <t>Dynamic Carousel</t>
        </is>
      </c>
      <c r="N746" s="42" t="inlineStr">
        <is>
          <t>Still thinking about it?</t>
        </is>
      </c>
      <c r="O746" s="42" t="inlineStr">
        <is>
          <t>Auction - Lowest Cost</t>
        </is>
      </c>
      <c r="P746" s="42" t="inlineStr">
        <is>
          <t>Offsite Conversions</t>
        </is>
      </c>
      <c r="Q746" s="42" t="inlineStr">
        <is>
          <t>https://www.lepas-sa.co.za/book-a-test-drive</t>
        </is>
      </c>
      <c r="R746" s="115" t="n">
        <v>196.34</v>
      </c>
      <c r="S746" s="116" t="n">
        <v>2817</v>
      </c>
      <c r="T746" s="116" t="n">
        <v>1850</v>
      </c>
      <c r="U746" s="117">
        <f>IFERROR(S746/T746,"")</f>
        <v/>
      </c>
      <c r="V746" s="116" t="n">
        <v>69</v>
      </c>
      <c r="W746" s="116" t="n">
        <v>51</v>
      </c>
      <c r="X746" s="118">
        <f>IFERROR(W746/S746,"")</f>
        <v/>
      </c>
      <c r="Y746" s="115">
        <f>IFERROR(R746/W746,"")</f>
        <v/>
      </c>
      <c r="Z746" s="115">
        <f>IFERROR(R746/S746*1000,"")</f>
        <v/>
      </c>
      <c r="AA746" s="116" t="n">
        <v>42</v>
      </c>
      <c r="AB746" s="47">
        <f>IFERROR(AA746/W746,"")</f>
        <v/>
      </c>
      <c r="AC746" s="116" t="n">
        <v>0</v>
      </c>
      <c r="AD746" s="116" t="n">
        <v>0</v>
      </c>
      <c r="AE746" s="116" t="n">
        <v>0</v>
      </c>
      <c r="AF746" s="116" t="n">
        <v>0</v>
      </c>
      <c r="AG746" s="116" t="n">
        <v>0</v>
      </c>
      <c r="AH746" s="116" t="n">
        <v>0</v>
      </c>
      <c r="AI746" s="47">
        <f>IFERROR(AC746/S746,"")</f>
        <v/>
      </c>
      <c r="AJ746" s="47">
        <f>IFERROR(AH746/S746,"")</f>
        <v/>
      </c>
      <c r="AK746" s="116" t="n">
        <v>91</v>
      </c>
      <c r="AL746" s="116" t="n">
        <v>1</v>
      </c>
      <c r="AM746" s="118">
        <f>IFERROR(AL746/AA746,"")</f>
        <v/>
      </c>
      <c r="AN746" s="119">
        <f>IFERROR(R746/AL746,"")</f>
        <v/>
      </c>
      <c r="AO746" s="116" t="n">
        <v>1</v>
      </c>
      <c r="AP746" s="47">
        <f>IFERROR(AO746/AL746,"")</f>
        <v/>
      </c>
      <c r="AQ746" s="119">
        <f>IFERROR(R746/AO746,"")</f>
        <v/>
      </c>
      <c r="AR746" s="116" t="n">
        <v>0</v>
      </c>
      <c r="AS746" s="116" t="n">
        <v>0</v>
      </c>
      <c r="AT746" s="116">
        <f>AL746+AR746</f>
        <v/>
      </c>
      <c r="AU746" s="119">
        <f>IFERROR(AO746*Assumptions!$C$26*Assumptions!$C$27*INDEX(Assumptions!$C$18:$C$21,MATCH(H746,Assumptions!$B$18:$B$21,0)),0)</f>
        <v/>
      </c>
    </row>
    <row r="747">
      <c r="A747" s="114" t="n">
        <v>46248</v>
      </c>
      <c r="B747" s="42" t="inlineStr">
        <is>
          <t>Wk 33</t>
        </is>
      </c>
      <c r="C747" s="42" t="inlineStr">
        <is>
          <t>Fri</t>
        </is>
      </c>
      <c r="D747" s="42" t="inlineStr">
        <is>
          <t>Meta (FB/IG)</t>
        </is>
      </c>
      <c r="E747" s="42" t="inlineStr">
        <is>
          <t>Facebook + Instagram</t>
        </is>
      </c>
      <c r="F747" s="42" t="inlineStr">
        <is>
          <t>LEP_ZA_AUG26_META_RMKT_ALL_CONV</t>
        </is>
      </c>
      <c r="G747" s="42" t="inlineStr">
        <is>
          <t>Leads - Website Conversions</t>
        </is>
      </c>
      <c r="H747" s="42" t="inlineStr">
        <is>
          <t>Range</t>
        </is>
      </c>
      <c r="I747" s="42" t="inlineStr">
        <is>
          <t>Range Offer</t>
        </is>
      </c>
      <c r="J747" s="42" t="inlineStr">
        <is>
          <t>MET_RMKT_SITE30D_ZA</t>
        </is>
      </c>
      <c r="K747" s="42" t="inlineStr">
        <is>
          <t>Retargeting</t>
        </is>
      </c>
      <c r="L747" s="42" t="inlineStr">
        <is>
          <t>RMKT_DYN_ModelSeen_v1</t>
        </is>
      </c>
      <c r="M747" s="42" t="inlineStr">
        <is>
          <t>Dynamic Carousel</t>
        </is>
      </c>
      <c r="N747" s="42" t="inlineStr">
        <is>
          <t>Still thinking about it?</t>
        </is>
      </c>
      <c r="O747" s="42" t="inlineStr">
        <is>
          <t>Auction - Lowest Cost</t>
        </is>
      </c>
      <c r="P747" s="42" t="inlineStr">
        <is>
          <t>Offsite Conversions</t>
        </is>
      </c>
      <c r="Q747" s="42" t="inlineStr">
        <is>
          <t>https://www.lepas-sa.co.za/book-a-test-drive</t>
        </is>
      </c>
      <c r="R747" s="115" t="n">
        <v>243.41</v>
      </c>
      <c r="S747" s="116" t="n">
        <v>3334</v>
      </c>
      <c r="T747" s="116" t="n">
        <v>2170</v>
      </c>
      <c r="U747" s="117">
        <f>IFERROR(S747/T747,"")</f>
        <v/>
      </c>
      <c r="V747" s="116" t="n">
        <v>57</v>
      </c>
      <c r="W747" s="116" t="n">
        <v>46</v>
      </c>
      <c r="X747" s="118">
        <f>IFERROR(W747/S747,"")</f>
        <v/>
      </c>
      <c r="Y747" s="115">
        <f>IFERROR(R747/W747,"")</f>
        <v/>
      </c>
      <c r="Z747" s="115">
        <f>IFERROR(R747/S747*1000,"")</f>
        <v/>
      </c>
      <c r="AA747" s="116" t="n">
        <v>42</v>
      </c>
      <c r="AB747" s="47">
        <f>IFERROR(AA747/W747,"")</f>
        <v/>
      </c>
      <c r="AC747" s="116" t="n">
        <v>0</v>
      </c>
      <c r="AD747" s="116" t="n">
        <v>0</v>
      </c>
      <c r="AE747" s="116" t="n">
        <v>0</v>
      </c>
      <c r="AF747" s="116" t="n">
        <v>0</v>
      </c>
      <c r="AG747" s="116" t="n">
        <v>0</v>
      </c>
      <c r="AH747" s="116" t="n">
        <v>0</v>
      </c>
      <c r="AI747" s="47">
        <f>IFERROR(AC747/S747,"")</f>
        <v/>
      </c>
      <c r="AJ747" s="47">
        <f>IFERROR(AH747/S747,"")</f>
        <v/>
      </c>
      <c r="AK747" s="116" t="n">
        <v>75</v>
      </c>
      <c r="AL747" s="116" t="n">
        <v>1</v>
      </c>
      <c r="AM747" s="118">
        <f>IFERROR(AL747/AA747,"")</f>
        <v/>
      </c>
      <c r="AN747" s="119">
        <f>IFERROR(R747/AL747,"")</f>
        <v/>
      </c>
      <c r="AO747" s="116" t="n">
        <v>0</v>
      </c>
      <c r="AP747" s="47">
        <f>IFERROR(AO747/AL747,"")</f>
        <v/>
      </c>
      <c r="AQ747" s="119">
        <f>IFERROR(R747/AO747,"")</f>
        <v/>
      </c>
      <c r="AR747" s="116" t="n">
        <v>0</v>
      </c>
      <c r="AS747" s="116" t="n">
        <v>1</v>
      </c>
      <c r="AT747" s="116">
        <f>AL747+AR747</f>
        <v/>
      </c>
      <c r="AU747" s="119">
        <f>IFERROR(AO747*Assumptions!$C$26*Assumptions!$C$27*INDEX(Assumptions!$C$18:$C$21,MATCH(H747,Assumptions!$B$18:$B$21,0)),0)</f>
        <v/>
      </c>
    </row>
    <row r="748">
      <c r="A748" s="114" t="n">
        <v>46249</v>
      </c>
      <c r="B748" s="42" t="inlineStr">
        <is>
          <t>Wk 33</t>
        </is>
      </c>
      <c r="C748" s="42" t="inlineStr">
        <is>
          <t>Sat</t>
        </is>
      </c>
      <c r="D748" s="42" t="inlineStr">
        <is>
          <t>Meta (FB/IG)</t>
        </is>
      </c>
      <c r="E748" s="42" t="inlineStr">
        <is>
          <t>Facebook + Instagram</t>
        </is>
      </c>
      <c r="F748" s="42" t="inlineStr">
        <is>
          <t>LEP_ZA_AUG26_META_RMKT_ALL_CONV</t>
        </is>
      </c>
      <c r="G748" s="42" t="inlineStr">
        <is>
          <t>Leads - Website Conversions</t>
        </is>
      </c>
      <c r="H748" s="42" t="inlineStr">
        <is>
          <t>Range</t>
        </is>
      </c>
      <c r="I748" s="42" t="inlineStr">
        <is>
          <t>Range Offer</t>
        </is>
      </c>
      <c r="J748" s="42" t="inlineStr">
        <is>
          <t>MET_RMKT_SITE30D_ZA</t>
        </is>
      </c>
      <c r="K748" s="42" t="inlineStr">
        <is>
          <t>Retargeting</t>
        </is>
      </c>
      <c r="L748" s="42" t="inlineStr">
        <is>
          <t>RMKT_DYN_ModelSeen_v1</t>
        </is>
      </c>
      <c r="M748" s="42" t="inlineStr">
        <is>
          <t>Dynamic Carousel</t>
        </is>
      </c>
      <c r="N748" s="42" t="inlineStr">
        <is>
          <t>Still thinking about it?</t>
        </is>
      </c>
      <c r="O748" s="42" t="inlineStr">
        <is>
          <t>Auction - Lowest Cost</t>
        </is>
      </c>
      <c r="P748" s="42" t="inlineStr">
        <is>
          <t>Offsite Conversions</t>
        </is>
      </c>
      <c r="Q748" s="42" t="inlineStr">
        <is>
          <t>https://www.lepas-sa.co.za/book-a-test-drive</t>
        </is>
      </c>
      <c r="R748" s="115" t="n">
        <v>213.78</v>
      </c>
      <c r="S748" s="116" t="n">
        <v>2270</v>
      </c>
      <c r="T748" s="116" t="n">
        <v>1719</v>
      </c>
      <c r="U748" s="117">
        <f>IFERROR(S748/T748,"")</f>
        <v/>
      </c>
      <c r="V748" s="116" t="n">
        <v>58</v>
      </c>
      <c r="W748" s="116" t="n">
        <v>41</v>
      </c>
      <c r="X748" s="118">
        <f>IFERROR(W748/S748,"")</f>
        <v/>
      </c>
      <c r="Y748" s="115">
        <f>IFERROR(R748/W748,"")</f>
        <v/>
      </c>
      <c r="Z748" s="115">
        <f>IFERROR(R748/S748*1000,"")</f>
        <v/>
      </c>
      <c r="AA748" s="116" t="n">
        <v>36</v>
      </c>
      <c r="AB748" s="47">
        <f>IFERROR(AA748/W748,"")</f>
        <v/>
      </c>
      <c r="AC748" s="116" t="n">
        <v>0</v>
      </c>
      <c r="AD748" s="116" t="n">
        <v>0</v>
      </c>
      <c r="AE748" s="116" t="n">
        <v>0</v>
      </c>
      <c r="AF748" s="116" t="n">
        <v>0</v>
      </c>
      <c r="AG748" s="116" t="n">
        <v>0</v>
      </c>
      <c r="AH748" s="116" t="n">
        <v>0</v>
      </c>
      <c r="AI748" s="47">
        <f>IFERROR(AC748/S748,"")</f>
        <v/>
      </c>
      <c r="AJ748" s="47">
        <f>IFERROR(AH748/S748,"")</f>
        <v/>
      </c>
      <c r="AK748" s="116" t="n">
        <v>29</v>
      </c>
      <c r="AL748" s="116" t="n">
        <v>1</v>
      </c>
      <c r="AM748" s="118">
        <f>IFERROR(AL748/AA748,"")</f>
        <v/>
      </c>
      <c r="AN748" s="119">
        <f>IFERROR(R748/AL748,"")</f>
        <v/>
      </c>
      <c r="AO748" s="116" t="n">
        <v>1</v>
      </c>
      <c r="AP748" s="47">
        <f>IFERROR(AO748/AL748,"")</f>
        <v/>
      </c>
      <c r="AQ748" s="119">
        <f>IFERROR(R748/AO748,"")</f>
        <v/>
      </c>
      <c r="AR748" s="116" t="n">
        <v>0</v>
      </c>
      <c r="AS748" s="116" t="n">
        <v>0</v>
      </c>
      <c r="AT748" s="116">
        <f>AL748+AR748</f>
        <v/>
      </c>
      <c r="AU748" s="119">
        <f>IFERROR(AO748*Assumptions!$C$26*Assumptions!$C$27*INDEX(Assumptions!$C$18:$C$21,MATCH(H748,Assumptions!$B$18:$B$21,0)),0)</f>
        <v/>
      </c>
    </row>
    <row r="749">
      <c r="A749" s="114" t="n">
        <v>46250</v>
      </c>
      <c r="B749" s="42" t="inlineStr">
        <is>
          <t>Wk 33</t>
        </is>
      </c>
      <c r="C749" s="42" t="inlineStr">
        <is>
          <t>Sun</t>
        </is>
      </c>
      <c r="D749" s="42" t="inlineStr">
        <is>
          <t>Meta (FB/IG)</t>
        </is>
      </c>
      <c r="E749" s="42" t="inlineStr">
        <is>
          <t>Facebook + Instagram</t>
        </is>
      </c>
      <c r="F749" s="42" t="inlineStr">
        <is>
          <t>LEP_ZA_AUG26_META_RMKT_ALL_CONV</t>
        </is>
      </c>
      <c r="G749" s="42" t="inlineStr">
        <is>
          <t>Leads - Website Conversions</t>
        </is>
      </c>
      <c r="H749" s="42" t="inlineStr">
        <is>
          <t>Range</t>
        </is>
      </c>
      <c r="I749" s="42" t="inlineStr">
        <is>
          <t>Range Offer</t>
        </is>
      </c>
      <c r="J749" s="42" t="inlineStr">
        <is>
          <t>MET_RMKT_SITE30D_ZA</t>
        </is>
      </c>
      <c r="K749" s="42" t="inlineStr">
        <is>
          <t>Retargeting</t>
        </is>
      </c>
      <c r="L749" s="42" t="inlineStr">
        <is>
          <t>RMKT_DYN_ModelSeen_v1</t>
        </is>
      </c>
      <c r="M749" s="42" t="inlineStr">
        <is>
          <t>Dynamic Carousel</t>
        </is>
      </c>
      <c r="N749" s="42" t="inlineStr">
        <is>
          <t>Still thinking about it?</t>
        </is>
      </c>
      <c r="O749" s="42" t="inlineStr">
        <is>
          <t>Auction - Lowest Cost</t>
        </is>
      </c>
      <c r="P749" s="42" t="inlineStr">
        <is>
          <t>Offsite Conversions</t>
        </is>
      </c>
      <c r="Q749" s="42" t="inlineStr">
        <is>
          <t>https://www.lepas-sa.co.za/book-a-test-drive</t>
        </is>
      </c>
      <c r="R749" s="115" t="n">
        <v>165.59</v>
      </c>
      <c r="S749" s="116" t="n">
        <v>2228</v>
      </c>
      <c r="T749" s="116" t="n">
        <v>1290</v>
      </c>
      <c r="U749" s="117">
        <f>IFERROR(S749/T749,"")</f>
        <v/>
      </c>
      <c r="V749" s="116" t="n">
        <v>72</v>
      </c>
      <c r="W749" s="116" t="n">
        <v>55</v>
      </c>
      <c r="X749" s="118">
        <f>IFERROR(W749/S749,"")</f>
        <v/>
      </c>
      <c r="Y749" s="115">
        <f>IFERROR(R749/W749,"")</f>
        <v/>
      </c>
      <c r="Z749" s="115">
        <f>IFERROR(R749/S749*1000,"")</f>
        <v/>
      </c>
      <c r="AA749" s="116" t="n">
        <v>46</v>
      </c>
      <c r="AB749" s="47">
        <f>IFERROR(AA749/W749,"")</f>
        <v/>
      </c>
      <c r="AC749" s="116" t="n">
        <v>0</v>
      </c>
      <c r="AD749" s="116" t="n">
        <v>0</v>
      </c>
      <c r="AE749" s="116" t="n">
        <v>0</v>
      </c>
      <c r="AF749" s="116" t="n">
        <v>0</v>
      </c>
      <c r="AG749" s="116" t="n">
        <v>0</v>
      </c>
      <c r="AH749" s="116" t="n">
        <v>0</v>
      </c>
      <c r="AI749" s="47">
        <f>IFERROR(AC749/S749,"")</f>
        <v/>
      </c>
      <c r="AJ749" s="47">
        <f>IFERROR(AH749/S749,"")</f>
        <v/>
      </c>
      <c r="AK749" s="116" t="n">
        <v>55</v>
      </c>
      <c r="AL749" s="116" t="n">
        <v>2</v>
      </c>
      <c r="AM749" s="118">
        <f>IFERROR(AL749/AA749,"")</f>
        <v/>
      </c>
      <c r="AN749" s="119">
        <f>IFERROR(R749/AL749,"")</f>
        <v/>
      </c>
      <c r="AO749" s="116" t="n">
        <v>1</v>
      </c>
      <c r="AP749" s="47">
        <f>IFERROR(AO749/AL749,"")</f>
        <v/>
      </c>
      <c r="AQ749" s="119">
        <f>IFERROR(R749/AO749,"")</f>
        <v/>
      </c>
      <c r="AR749" s="116" t="n">
        <v>1</v>
      </c>
      <c r="AS749" s="116" t="n">
        <v>1</v>
      </c>
      <c r="AT749" s="116">
        <f>AL749+AR749</f>
        <v/>
      </c>
      <c r="AU749" s="119">
        <f>IFERROR(AO749*Assumptions!$C$26*Assumptions!$C$27*INDEX(Assumptions!$C$18:$C$21,MATCH(H749,Assumptions!$B$18:$B$21,0)),0)</f>
        <v/>
      </c>
    </row>
    <row r="750">
      <c r="A750" s="114" t="n">
        <v>46251</v>
      </c>
      <c r="B750" s="42" t="inlineStr">
        <is>
          <t>Wk 34</t>
        </is>
      </c>
      <c r="C750" s="42" t="inlineStr">
        <is>
          <t>Mon</t>
        </is>
      </c>
      <c r="D750" s="42" t="inlineStr">
        <is>
          <t>Meta (FB/IG)</t>
        </is>
      </c>
      <c r="E750" s="42" t="inlineStr">
        <is>
          <t>Facebook + Instagram</t>
        </is>
      </c>
      <c r="F750" s="42" t="inlineStr">
        <is>
          <t>LEP_ZA_AUG26_META_RMKT_ALL_CONV</t>
        </is>
      </c>
      <c r="G750" s="42" t="inlineStr">
        <is>
          <t>Leads - Website Conversions</t>
        </is>
      </c>
      <c r="H750" s="42" t="inlineStr">
        <is>
          <t>Range</t>
        </is>
      </c>
      <c r="I750" s="42" t="inlineStr">
        <is>
          <t>Range Offer</t>
        </is>
      </c>
      <c r="J750" s="42" t="inlineStr">
        <is>
          <t>MET_RMKT_SITE30D_ZA</t>
        </is>
      </c>
      <c r="K750" s="42" t="inlineStr">
        <is>
          <t>Retargeting</t>
        </is>
      </c>
      <c r="L750" s="42" t="inlineStr">
        <is>
          <t>RMKT_DYN_ModelSeen_v1</t>
        </is>
      </c>
      <c r="M750" s="42" t="inlineStr">
        <is>
          <t>Dynamic Carousel</t>
        </is>
      </c>
      <c r="N750" s="42" t="inlineStr">
        <is>
          <t>Still thinking about it?</t>
        </is>
      </c>
      <c r="O750" s="42" t="inlineStr">
        <is>
          <t>Auction - Lowest Cost</t>
        </is>
      </c>
      <c r="P750" s="42" t="inlineStr">
        <is>
          <t>Offsite Conversions</t>
        </is>
      </c>
      <c r="Q750" s="42" t="inlineStr">
        <is>
          <t>https://www.lepas-sa.co.za/book-a-test-drive</t>
        </is>
      </c>
      <c r="R750" s="115" t="n">
        <v>188.89</v>
      </c>
      <c r="S750" s="116" t="n">
        <v>1863</v>
      </c>
      <c r="T750" s="116" t="n">
        <v>1123</v>
      </c>
      <c r="U750" s="117">
        <f>IFERROR(S750/T750,"")</f>
        <v/>
      </c>
      <c r="V750" s="116" t="n">
        <v>41</v>
      </c>
      <c r="W750" s="116" t="n">
        <v>34</v>
      </c>
      <c r="X750" s="118">
        <f>IFERROR(W750/S750,"")</f>
        <v/>
      </c>
      <c r="Y750" s="115">
        <f>IFERROR(R750/W750,"")</f>
        <v/>
      </c>
      <c r="Z750" s="115">
        <f>IFERROR(R750/S750*1000,"")</f>
        <v/>
      </c>
      <c r="AA750" s="116" t="n">
        <v>30</v>
      </c>
      <c r="AB750" s="47">
        <f>IFERROR(AA750/W750,"")</f>
        <v/>
      </c>
      <c r="AC750" s="116" t="n">
        <v>0</v>
      </c>
      <c r="AD750" s="116" t="n">
        <v>0</v>
      </c>
      <c r="AE750" s="116" t="n">
        <v>0</v>
      </c>
      <c r="AF750" s="116" t="n">
        <v>0</v>
      </c>
      <c r="AG750" s="116" t="n">
        <v>0</v>
      </c>
      <c r="AH750" s="116" t="n">
        <v>0</v>
      </c>
      <c r="AI750" s="47">
        <f>IFERROR(AC750/S750,"")</f>
        <v/>
      </c>
      <c r="AJ750" s="47">
        <f>IFERROR(AH750/S750,"")</f>
        <v/>
      </c>
      <c r="AK750" s="116" t="n">
        <v>30</v>
      </c>
      <c r="AL750" s="116" t="n">
        <v>1</v>
      </c>
      <c r="AM750" s="118">
        <f>IFERROR(AL750/AA750,"")</f>
        <v/>
      </c>
      <c r="AN750" s="119">
        <f>IFERROR(R750/AL750,"")</f>
        <v/>
      </c>
      <c r="AO750" s="116" t="n">
        <v>1</v>
      </c>
      <c r="AP750" s="47">
        <f>IFERROR(AO750/AL750,"")</f>
        <v/>
      </c>
      <c r="AQ750" s="119">
        <f>IFERROR(R750/AO750,"")</f>
        <v/>
      </c>
      <c r="AR750" s="116" t="n">
        <v>0</v>
      </c>
      <c r="AS750" s="116" t="n">
        <v>1</v>
      </c>
      <c r="AT750" s="116">
        <f>AL750+AR750</f>
        <v/>
      </c>
      <c r="AU750" s="119">
        <f>IFERROR(AO750*Assumptions!$C$26*Assumptions!$C$27*INDEX(Assumptions!$C$18:$C$21,MATCH(H750,Assumptions!$B$18:$B$21,0)),0)</f>
        <v/>
      </c>
    </row>
    <row r="751">
      <c r="A751" s="114" t="n">
        <v>46252</v>
      </c>
      <c r="B751" s="42" t="inlineStr">
        <is>
          <t>Wk 34</t>
        </is>
      </c>
      <c r="C751" s="42" t="inlineStr">
        <is>
          <t>Tue</t>
        </is>
      </c>
      <c r="D751" s="42" t="inlineStr">
        <is>
          <t>Meta (FB/IG)</t>
        </is>
      </c>
      <c r="E751" s="42" t="inlineStr">
        <is>
          <t>Facebook + Instagram</t>
        </is>
      </c>
      <c r="F751" s="42" t="inlineStr">
        <is>
          <t>LEP_ZA_AUG26_META_RMKT_ALL_CONV</t>
        </is>
      </c>
      <c r="G751" s="42" t="inlineStr">
        <is>
          <t>Leads - Website Conversions</t>
        </is>
      </c>
      <c r="H751" s="42" t="inlineStr">
        <is>
          <t>Range</t>
        </is>
      </c>
      <c r="I751" s="42" t="inlineStr">
        <is>
          <t>Range Offer</t>
        </is>
      </c>
      <c r="J751" s="42" t="inlineStr">
        <is>
          <t>MET_RMKT_SITE30D_ZA</t>
        </is>
      </c>
      <c r="K751" s="42" t="inlineStr">
        <is>
          <t>Retargeting</t>
        </is>
      </c>
      <c r="L751" s="42" t="inlineStr">
        <is>
          <t>RMKT_DYN_ModelSeen_v1</t>
        </is>
      </c>
      <c r="M751" s="42" t="inlineStr">
        <is>
          <t>Dynamic Carousel</t>
        </is>
      </c>
      <c r="N751" s="42" t="inlineStr">
        <is>
          <t>Still thinking about it?</t>
        </is>
      </c>
      <c r="O751" s="42" t="inlineStr">
        <is>
          <t>Auction - Lowest Cost</t>
        </is>
      </c>
      <c r="P751" s="42" t="inlineStr">
        <is>
          <t>Offsite Conversions</t>
        </is>
      </c>
      <c r="Q751" s="42" t="inlineStr">
        <is>
          <t>https://www.lepas-sa.co.za/book-a-test-drive</t>
        </is>
      </c>
      <c r="R751" s="115" t="n">
        <v>191.64</v>
      </c>
      <c r="S751" s="116" t="n">
        <v>1761</v>
      </c>
      <c r="T751" s="116" t="n">
        <v>994</v>
      </c>
      <c r="U751" s="117">
        <f>IFERROR(S751/T751,"")</f>
        <v/>
      </c>
      <c r="V751" s="116" t="n">
        <v>45</v>
      </c>
      <c r="W751" s="116" t="n">
        <v>32</v>
      </c>
      <c r="X751" s="118">
        <f>IFERROR(W751/S751,"")</f>
        <v/>
      </c>
      <c r="Y751" s="115">
        <f>IFERROR(R751/W751,"")</f>
        <v/>
      </c>
      <c r="Z751" s="115">
        <f>IFERROR(R751/S751*1000,"")</f>
        <v/>
      </c>
      <c r="AA751" s="116" t="n">
        <v>28</v>
      </c>
      <c r="AB751" s="47">
        <f>IFERROR(AA751/W751,"")</f>
        <v/>
      </c>
      <c r="AC751" s="116" t="n">
        <v>0</v>
      </c>
      <c r="AD751" s="116" t="n">
        <v>0</v>
      </c>
      <c r="AE751" s="116" t="n">
        <v>0</v>
      </c>
      <c r="AF751" s="116" t="n">
        <v>0</v>
      </c>
      <c r="AG751" s="116" t="n">
        <v>0</v>
      </c>
      <c r="AH751" s="116" t="n">
        <v>0</v>
      </c>
      <c r="AI751" s="47">
        <f>IFERROR(AC751/S751,"")</f>
        <v/>
      </c>
      <c r="AJ751" s="47">
        <f>IFERROR(AH751/S751,"")</f>
        <v/>
      </c>
      <c r="AK751" s="116" t="n">
        <v>53</v>
      </c>
      <c r="AL751" s="116" t="n">
        <v>1</v>
      </c>
      <c r="AM751" s="118">
        <f>IFERROR(AL751/AA751,"")</f>
        <v/>
      </c>
      <c r="AN751" s="119">
        <f>IFERROR(R751/AL751,"")</f>
        <v/>
      </c>
      <c r="AO751" s="116" t="n">
        <v>1</v>
      </c>
      <c r="AP751" s="47">
        <f>IFERROR(AO751/AL751,"")</f>
        <v/>
      </c>
      <c r="AQ751" s="119">
        <f>IFERROR(R751/AO751,"")</f>
        <v/>
      </c>
      <c r="AR751" s="116" t="n">
        <v>0</v>
      </c>
      <c r="AS751" s="116" t="n">
        <v>0</v>
      </c>
      <c r="AT751" s="116">
        <f>AL751+AR751</f>
        <v/>
      </c>
      <c r="AU751" s="119">
        <f>IFERROR(AO751*Assumptions!$C$26*Assumptions!$C$27*INDEX(Assumptions!$C$18:$C$21,MATCH(H751,Assumptions!$B$18:$B$21,0)),0)</f>
        <v/>
      </c>
    </row>
    <row r="752">
      <c r="A752" s="114" t="n">
        <v>46253</v>
      </c>
      <c r="B752" s="42" t="inlineStr">
        <is>
          <t>Wk 34</t>
        </is>
      </c>
      <c r="C752" s="42" t="inlineStr">
        <is>
          <t>Wed</t>
        </is>
      </c>
      <c r="D752" s="42" t="inlineStr">
        <is>
          <t>Meta (FB/IG)</t>
        </is>
      </c>
      <c r="E752" s="42" t="inlineStr">
        <is>
          <t>Facebook + Instagram</t>
        </is>
      </c>
      <c r="F752" s="42" t="inlineStr">
        <is>
          <t>LEP_ZA_AUG26_META_RMKT_ALL_CONV</t>
        </is>
      </c>
      <c r="G752" s="42" t="inlineStr">
        <is>
          <t>Leads - Website Conversions</t>
        </is>
      </c>
      <c r="H752" s="42" t="inlineStr">
        <is>
          <t>Range</t>
        </is>
      </c>
      <c r="I752" s="42" t="inlineStr">
        <is>
          <t>Range Offer</t>
        </is>
      </c>
      <c r="J752" s="42" t="inlineStr">
        <is>
          <t>MET_RMKT_SITE30D_ZA</t>
        </is>
      </c>
      <c r="K752" s="42" t="inlineStr">
        <is>
          <t>Retargeting</t>
        </is>
      </c>
      <c r="L752" s="42" t="inlineStr">
        <is>
          <t>RMKT_DYN_ModelSeen_v1</t>
        </is>
      </c>
      <c r="M752" s="42" t="inlineStr">
        <is>
          <t>Dynamic Carousel</t>
        </is>
      </c>
      <c r="N752" s="42" t="inlineStr">
        <is>
          <t>Still thinking about it?</t>
        </is>
      </c>
      <c r="O752" s="42" t="inlineStr">
        <is>
          <t>Auction - Lowest Cost</t>
        </is>
      </c>
      <c r="P752" s="42" t="inlineStr">
        <is>
          <t>Offsite Conversions</t>
        </is>
      </c>
      <c r="Q752" s="42" t="inlineStr">
        <is>
          <t>https://www.lepas-sa.co.za/book-a-test-drive</t>
        </is>
      </c>
      <c r="R752" s="115" t="n">
        <v>169.33</v>
      </c>
      <c r="S752" s="116" t="n">
        <v>2300</v>
      </c>
      <c r="T752" s="116" t="n">
        <v>1504</v>
      </c>
      <c r="U752" s="117">
        <f>IFERROR(S752/T752,"")</f>
        <v/>
      </c>
      <c r="V752" s="116" t="n">
        <v>76</v>
      </c>
      <c r="W752" s="116" t="n">
        <v>60</v>
      </c>
      <c r="X752" s="118">
        <f>IFERROR(W752/S752,"")</f>
        <v/>
      </c>
      <c r="Y752" s="115">
        <f>IFERROR(R752/W752,"")</f>
        <v/>
      </c>
      <c r="Z752" s="115">
        <f>IFERROR(R752/S752*1000,"")</f>
        <v/>
      </c>
      <c r="AA752" s="116" t="n">
        <v>51</v>
      </c>
      <c r="AB752" s="47">
        <f>IFERROR(AA752/W752,"")</f>
        <v/>
      </c>
      <c r="AC752" s="116" t="n">
        <v>0</v>
      </c>
      <c r="AD752" s="116" t="n">
        <v>0</v>
      </c>
      <c r="AE752" s="116" t="n">
        <v>0</v>
      </c>
      <c r="AF752" s="116" t="n">
        <v>0</v>
      </c>
      <c r="AG752" s="116" t="n">
        <v>0</v>
      </c>
      <c r="AH752" s="116" t="n">
        <v>0</v>
      </c>
      <c r="AI752" s="47">
        <f>IFERROR(AC752/S752,"")</f>
        <v/>
      </c>
      <c r="AJ752" s="47">
        <f>IFERROR(AH752/S752,"")</f>
        <v/>
      </c>
      <c r="AK752" s="116" t="n">
        <v>29</v>
      </c>
      <c r="AL752" s="116" t="n">
        <v>1</v>
      </c>
      <c r="AM752" s="118">
        <f>IFERROR(AL752/AA752,"")</f>
        <v/>
      </c>
      <c r="AN752" s="119">
        <f>IFERROR(R752/AL752,"")</f>
        <v/>
      </c>
      <c r="AO752" s="116" t="n">
        <v>0</v>
      </c>
      <c r="AP752" s="47">
        <f>IFERROR(AO752/AL752,"")</f>
        <v/>
      </c>
      <c r="AQ752" s="119">
        <f>IFERROR(R752/AO752,"")</f>
        <v/>
      </c>
      <c r="AR752" s="116" t="n">
        <v>0</v>
      </c>
      <c r="AS752" s="116" t="n">
        <v>0</v>
      </c>
      <c r="AT752" s="116">
        <f>AL752+AR752</f>
        <v/>
      </c>
      <c r="AU752" s="119">
        <f>IFERROR(AO752*Assumptions!$C$26*Assumptions!$C$27*INDEX(Assumptions!$C$18:$C$21,MATCH(H752,Assumptions!$B$18:$B$21,0)),0)</f>
        <v/>
      </c>
    </row>
    <row r="753">
      <c r="A753" s="114" t="n">
        <v>46254</v>
      </c>
      <c r="B753" s="42" t="inlineStr">
        <is>
          <t>Wk 34</t>
        </is>
      </c>
      <c r="C753" s="42" t="inlineStr">
        <is>
          <t>Thu</t>
        </is>
      </c>
      <c r="D753" s="42" t="inlineStr">
        <is>
          <t>Meta (FB/IG)</t>
        </is>
      </c>
      <c r="E753" s="42" t="inlineStr">
        <is>
          <t>Facebook + Instagram</t>
        </is>
      </c>
      <c r="F753" s="42" t="inlineStr">
        <is>
          <t>LEP_ZA_AUG26_META_RMKT_ALL_CONV</t>
        </is>
      </c>
      <c r="G753" s="42" t="inlineStr">
        <is>
          <t>Leads - Website Conversions</t>
        </is>
      </c>
      <c r="H753" s="42" t="inlineStr">
        <is>
          <t>Range</t>
        </is>
      </c>
      <c r="I753" s="42" t="inlineStr">
        <is>
          <t>Range Offer</t>
        </is>
      </c>
      <c r="J753" s="42" t="inlineStr">
        <is>
          <t>MET_RMKT_SITE30D_ZA</t>
        </is>
      </c>
      <c r="K753" s="42" t="inlineStr">
        <is>
          <t>Retargeting</t>
        </is>
      </c>
      <c r="L753" s="42" t="inlineStr">
        <is>
          <t>RMKT_DYN_ModelSeen_v1</t>
        </is>
      </c>
      <c r="M753" s="42" t="inlineStr">
        <is>
          <t>Dynamic Carousel</t>
        </is>
      </c>
      <c r="N753" s="42" t="inlineStr">
        <is>
          <t>Still thinking about it?</t>
        </is>
      </c>
      <c r="O753" s="42" t="inlineStr">
        <is>
          <t>Auction - Lowest Cost</t>
        </is>
      </c>
      <c r="P753" s="42" t="inlineStr">
        <is>
          <t>Offsite Conversions</t>
        </is>
      </c>
      <c r="Q753" s="42" t="inlineStr">
        <is>
          <t>https://www.lepas-sa.co.za/book-a-test-drive</t>
        </is>
      </c>
      <c r="R753" s="115" t="n">
        <v>206.6</v>
      </c>
      <c r="S753" s="116" t="n">
        <v>2130</v>
      </c>
      <c r="T753" s="116" t="n">
        <v>1104</v>
      </c>
      <c r="U753" s="117">
        <f>IFERROR(S753/T753,"")</f>
        <v/>
      </c>
      <c r="V753" s="116" t="n">
        <v>70</v>
      </c>
      <c r="W753" s="116" t="n">
        <v>52</v>
      </c>
      <c r="X753" s="118">
        <f>IFERROR(W753/S753,"")</f>
        <v/>
      </c>
      <c r="Y753" s="115">
        <f>IFERROR(R753/W753,"")</f>
        <v/>
      </c>
      <c r="Z753" s="115">
        <f>IFERROR(R753/S753*1000,"")</f>
        <v/>
      </c>
      <c r="AA753" s="116" t="n">
        <v>43</v>
      </c>
      <c r="AB753" s="47">
        <f>IFERROR(AA753/W753,"")</f>
        <v/>
      </c>
      <c r="AC753" s="116" t="n">
        <v>0</v>
      </c>
      <c r="AD753" s="116" t="n">
        <v>0</v>
      </c>
      <c r="AE753" s="116" t="n">
        <v>0</v>
      </c>
      <c r="AF753" s="116" t="n">
        <v>0</v>
      </c>
      <c r="AG753" s="116" t="n">
        <v>0</v>
      </c>
      <c r="AH753" s="116" t="n">
        <v>0</v>
      </c>
      <c r="AI753" s="47">
        <f>IFERROR(AC753/S753,"")</f>
        <v/>
      </c>
      <c r="AJ753" s="47">
        <f>IFERROR(AH753/S753,"")</f>
        <v/>
      </c>
      <c r="AK753" s="116" t="n">
        <v>38</v>
      </c>
      <c r="AL753" s="116" t="n">
        <v>2</v>
      </c>
      <c r="AM753" s="118">
        <f>IFERROR(AL753/AA753,"")</f>
        <v/>
      </c>
      <c r="AN753" s="119">
        <f>IFERROR(R753/AL753,"")</f>
        <v/>
      </c>
      <c r="AO753" s="116" t="n">
        <v>1</v>
      </c>
      <c r="AP753" s="47">
        <f>IFERROR(AO753/AL753,"")</f>
        <v/>
      </c>
      <c r="AQ753" s="119">
        <f>IFERROR(R753/AO753,"")</f>
        <v/>
      </c>
      <c r="AR753" s="116" t="n">
        <v>1</v>
      </c>
      <c r="AS753" s="116" t="n">
        <v>0</v>
      </c>
      <c r="AT753" s="116">
        <f>AL753+AR753</f>
        <v/>
      </c>
      <c r="AU753" s="119">
        <f>IFERROR(AO753*Assumptions!$C$26*Assumptions!$C$27*INDEX(Assumptions!$C$18:$C$21,MATCH(H753,Assumptions!$B$18:$B$21,0)),0)</f>
        <v/>
      </c>
    </row>
    <row r="754">
      <c r="A754" s="114" t="n">
        <v>46255</v>
      </c>
      <c r="B754" s="42" t="inlineStr">
        <is>
          <t>Wk 34</t>
        </is>
      </c>
      <c r="C754" s="42" t="inlineStr">
        <is>
          <t>Fri</t>
        </is>
      </c>
      <c r="D754" s="42" t="inlineStr">
        <is>
          <t>Meta (FB/IG)</t>
        </is>
      </c>
      <c r="E754" s="42" t="inlineStr">
        <is>
          <t>Facebook + Instagram</t>
        </is>
      </c>
      <c r="F754" s="42" t="inlineStr">
        <is>
          <t>LEP_ZA_AUG26_META_RMKT_ALL_CONV</t>
        </is>
      </c>
      <c r="G754" s="42" t="inlineStr">
        <is>
          <t>Leads - Website Conversions</t>
        </is>
      </c>
      <c r="H754" s="42" t="inlineStr">
        <is>
          <t>Range</t>
        </is>
      </c>
      <c r="I754" s="42" t="inlineStr">
        <is>
          <t>Range Offer</t>
        </is>
      </c>
      <c r="J754" s="42" t="inlineStr">
        <is>
          <t>MET_RMKT_SITE30D_ZA</t>
        </is>
      </c>
      <c r="K754" s="42" t="inlineStr">
        <is>
          <t>Retargeting</t>
        </is>
      </c>
      <c r="L754" s="42" t="inlineStr">
        <is>
          <t>RMKT_DYN_ModelSeen_v1</t>
        </is>
      </c>
      <c r="M754" s="42" t="inlineStr">
        <is>
          <t>Dynamic Carousel</t>
        </is>
      </c>
      <c r="N754" s="42" t="inlineStr">
        <is>
          <t>Still thinking about it?</t>
        </is>
      </c>
      <c r="O754" s="42" t="inlineStr">
        <is>
          <t>Auction - Lowest Cost</t>
        </is>
      </c>
      <c r="P754" s="42" t="inlineStr">
        <is>
          <t>Offsite Conversions</t>
        </is>
      </c>
      <c r="Q754" s="42" t="inlineStr">
        <is>
          <t>https://www.lepas-sa.co.za/book-a-test-drive</t>
        </is>
      </c>
      <c r="R754" s="115" t="n">
        <v>228.03</v>
      </c>
      <c r="S754" s="116" t="n">
        <v>3149</v>
      </c>
      <c r="T754" s="116" t="n">
        <v>1802</v>
      </c>
      <c r="U754" s="117">
        <f>IFERROR(S754/T754,"")</f>
        <v/>
      </c>
      <c r="V754" s="116" t="n">
        <v>65</v>
      </c>
      <c r="W754" s="116" t="n">
        <v>46</v>
      </c>
      <c r="X754" s="118">
        <f>IFERROR(W754/S754,"")</f>
        <v/>
      </c>
      <c r="Y754" s="115">
        <f>IFERROR(R754/W754,"")</f>
        <v/>
      </c>
      <c r="Z754" s="115">
        <f>IFERROR(R754/S754*1000,"")</f>
        <v/>
      </c>
      <c r="AA754" s="116" t="n">
        <v>40</v>
      </c>
      <c r="AB754" s="47">
        <f>IFERROR(AA754/W754,"")</f>
        <v/>
      </c>
      <c r="AC754" s="116" t="n">
        <v>0</v>
      </c>
      <c r="AD754" s="116" t="n">
        <v>0</v>
      </c>
      <c r="AE754" s="116" t="n">
        <v>0</v>
      </c>
      <c r="AF754" s="116" t="n">
        <v>0</v>
      </c>
      <c r="AG754" s="116" t="n">
        <v>0</v>
      </c>
      <c r="AH754" s="116" t="n">
        <v>0</v>
      </c>
      <c r="AI754" s="47">
        <f>IFERROR(AC754/S754,"")</f>
        <v/>
      </c>
      <c r="AJ754" s="47">
        <f>IFERROR(AH754/S754,"")</f>
        <v/>
      </c>
      <c r="AK754" s="116" t="n">
        <v>70</v>
      </c>
      <c r="AL754" s="116" t="n">
        <v>1</v>
      </c>
      <c r="AM754" s="118">
        <f>IFERROR(AL754/AA754,"")</f>
        <v/>
      </c>
      <c r="AN754" s="119">
        <f>IFERROR(R754/AL754,"")</f>
        <v/>
      </c>
      <c r="AO754" s="116" t="n">
        <v>1</v>
      </c>
      <c r="AP754" s="47">
        <f>IFERROR(AO754/AL754,"")</f>
        <v/>
      </c>
      <c r="AQ754" s="119">
        <f>IFERROR(R754/AO754,"")</f>
        <v/>
      </c>
      <c r="AR754" s="116" t="n">
        <v>1</v>
      </c>
      <c r="AS754" s="116" t="n">
        <v>0</v>
      </c>
      <c r="AT754" s="116">
        <f>AL754+AR754</f>
        <v/>
      </c>
      <c r="AU754" s="119">
        <f>IFERROR(AO754*Assumptions!$C$26*Assumptions!$C$27*INDEX(Assumptions!$C$18:$C$21,MATCH(H754,Assumptions!$B$18:$B$21,0)),0)</f>
        <v/>
      </c>
    </row>
    <row r="755">
      <c r="A755" s="114" t="n">
        <v>46256</v>
      </c>
      <c r="B755" s="42" t="inlineStr">
        <is>
          <t>Wk 34</t>
        </is>
      </c>
      <c r="C755" s="42" t="inlineStr">
        <is>
          <t>Sat</t>
        </is>
      </c>
      <c r="D755" s="42" t="inlineStr">
        <is>
          <t>Meta (FB/IG)</t>
        </is>
      </c>
      <c r="E755" s="42" t="inlineStr">
        <is>
          <t>Facebook + Instagram</t>
        </is>
      </c>
      <c r="F755" s="42" t="inlineStr">
        <is>
          <t>LEP_ZA_AUG26_META_RMKT_ALL_CONV</t>
        </is>
      </c>
      <c r="G755" s="42" t="inlineStr">
        <is>
          <t>Leads - Website Conversions</t>
        </is>
      </c>
      <c r="H755" s="42" t="inlineStr">
        <is>
          <t>Range</t>
        </is>
      </c>
      <c r="I755" s="42" t="inlineStr">
        <is>
          <t>Range Offer</t>
        </is>
      </c>
      <c r="J755" s="42" t="inlineStr">
        <is>
          <t>MET_RMKT_SITE30D_ZA</t>
        </is>
      </c>
      <c r="K755" s="42" t="inlineStr">
        <is>
          <t>Retargeting</t>
        </is>
      </c>
      <c r="L755" s="42" t="inlineStr">
        <is>
          <t>RMKT_DYN_ModelSeen_v1</t>
        </is>
      </c>
      <c r="M755" s="42" t="inlineStr">
        <is>
          <t>Dynamic Carousel</t>
        </is>
      </c>
      <c r="N755" s="42" t="inlineStr">
        <is>
          <t>Still thinking about it?</t>
        </is>
      </c>
      <c r="O755" s="42" t="inlineStr">
        <is>
          <t>Auction - Lowest Cost</t>
        </is>
      </c>
      <c r="P755" s="42" t="inlineStr">
        <is>
          <t>Offsite Conversions</t>
        </is>
      </c>
      <c r="Q755" s="42" t="inlineStr">
        <is>
          <t>https://www.lepas-sa.co.za/book-a-test-drive</t>
        </is>
      </c>
      <c r="R755" s="115" t="n">
        <v>237.72</v>
      </c>
      <c r="S755" s="116" t="n">
        <v>2711</v>
      </c>
      <c r="T755" s="116" t="n">
        <v>1475</v>
      </c>
      <c r="U755" s="117">
        <f>IFERROR(S755/T755,"")</f>
        <v/>
      </c>
      <c r="V755" s="116" t="n">
        <v>55</v>
      </c>
      <c r="W755" s="116" t="n">
        <v>42</v>
      </c>
      <c r="X755" s="118">
        <f>IFERROR(W755/S755,"")</f>
        <v/>
      </c>
      <c r="Y755" s="115">
        <f>IFERROR(R755/W755,"")</f>
        <v/>
      </c>
      <c r="Z755" s="115">
        <f>IFERROR(R755/S755*1000,"")</f>
        <v/>
      </c>
      <c r="AA755" s="116" t="n">
        <v>35</v>
      </c>
      <c r="AB755" s="47">
        <f>IFERROR(AA755/W755,"")</f>
        <v/>
      </c>
      <c r="AC755" s="116" t="n">
        <v>0</v>
      </c>
      <c r="AD755" s="116" t="n">
        <v>0</v>
      </c>
      <c r="AE755" s="116" t="n">
        <v>0</v>
      </c>
      <c r="AF755" s="116" t="n">
        <v>0</v>
      </c>
      <c r="AG755" s="116" t="n">
        <v>0</v>
      </c>
      <c r="AH755" s="116" t="n">
        <v>0</v>
      </c>
      <c r="AI755" s="47">
        <f>IFERROR(AC755/S755,"")</f>
        <v/>
      </c>
      <c r="AJ755" s="47">
        <f>IFERROR(AH755/S755,"")</f>
        <v/>
      </c>
      <c r="AK755" s="116" t="n">
        <v>69</v>
      </c>
      <c r="AL755" s="116" t="n">
        <v>1</v>
      </c>
      <c r="AM755" s="118">
        <f>IFERROR(AL755/AA755,"")</f>
        <v/>
      </c>
      <c r="AN755" s="119">
        <f>IFERROR(R755/AL755,"")</f>
        <v/>
      </c>
      <c r="AO755" s="116" t="n">
        <v>1</v>
      </c>
      <c r="AP755" s="47">
        <f>IFERROR(AO755/AL755,"")</f>
        <v/>
      </c>
      <c r="AQ755" s="119">
        <f>IFERROR(R755/AO755,"")</f>
        <v/>
      </c>
      <c r="AR755" s="116" t="n">
        <v>0</v>
      </c>
      <c r="AS755" s="116" t="n">
        <v>0</v>
      </c>
      <c r="AT755" s="116">
        <f>AL755+AR755</f>
        <v/>
      </c>
      <c r="AU755" s="119">
        <f>IFERROR(AO755*Assumptions!$C$26*Assumptions!$C$27*INDEX(Assumptions!$C$18:$C$21,MATCH(H755,Assumptions!$B$18:$B$21,0)),0)</f>
        <v/>
      </c>
    </row>
    <row r="756">
      <c r="A756" s="114" t="n">
        <v>46257</v>
      </c>
      <c r="B756" s="42" t="inlineStr">
        <is>
          <t>Wk 34</t>
        </is>
      </c>
      <c r="C756" s="42" t="inlineStr">
        <is>
          <t>Sun</t>
        </is>
      </c>
      <c r="D756" s="42" t="inlineStr">
        <is>
          <t>Meta (FB/IG)</t>
        </is>
      </c>
      <c r="E756" s="42" t="inlineStr">
        <is>
          <t>Facebook + Instagram</t>
        </is>
      </c>
      <c r="F756" s="42" t="inlineStr">
        <is>
          <t>LEP_ZA_AUG26_META_RMKT_ALL_CONV</t>
        </is>
      </c>
      <c r="G756" s="42" t="inlineStr">
        <is>
          <t>Leads - Website Conversions</t>
        </is>
      </c>
      <c r="H756" s="42" t="inlineStr">
        <is>
          <t>Range</t>
        </is>
      </c>
      <c r="I756" s="42" t="inlineStr">
        <is>
          <t>Range Offer</t>
        </is>
      </c>
      <c r="J756" s="42" t="inlineStr">
        <is>
          <t>MET_RMKT_SITE30D_ZA</t>
        </is>
      </c>
      <c r="K756" s="42" t="inlineStr">
        <is>
          <t>Retargeting</t>
        </is>
      </c>
      <c r="L756" s="42" t="inlineStr">
        <is>
          <t>RMKT_DYN_ModelSeen_v1</t>
        </is>
      </c>
      <c r="M756" s="42" t="inlineStr">
        <is>
          <t>Dynamic Carousel</t>
        </is>
      </c>
      <c r="N756" s="42" t="inlineStr">
        <is>
          <t>Still thinking about it?</t>
        </is>
      </c>
      <c r="O756" s="42" t="inlineStr">
        <is>
          <t>Auction - Lowest Cost</t>
        </is>
      </c>
      <c r="P756" s="42" t="inlineStr">
        <is>
          <t>Offsite Conversions</t>
        </is>
      </c>
      <c r="Q756" s="42" t="inlineStr">
        <is>
          <t>https://www.lepas-sa.co.za/book-a-test-drive</t>
        </is>
      </c>
      <c r="R756" s="115" t="n">
        <v>160.46</v>
      </c>
      <c r="S756" s="116" t="n">
        <v>1330</v>
      </c>
      <c r="T756" s="116" t="n">
        <v>752</v>
      </c>
      <c r="U756" s="117">
        <f>IFERROR(S756/T756,"")</f>
        <v/>
      </c>
      <c r="V756" s="116" t="n">
        <v>22</v>
      </c>
      <c r="W756" s="116" t="n">
        <v>16</v>
      </c>
      <c r="X756" s="118">
        <f>IFERROR(W756/S756,"")</f>
        <v/>
      </c>
      <c r="Y756" s="115">
        <f>IFERROR(R756/W756,"")</f>
        <v/>
      </c>
      <c r="Z756" s="115">
        <f>IFERROR(R756/S756*1000,"")</f>
        <v/>
      </c>
      <c r="AA756" s="116" t="n">
        <v>14</v>
      </c>
      <c r="AB756" s="47">
        <f>IFERROR(AA756/W756,"")</f>
        <v/>
      </c>
      <c r="AC756" s="116" t="n">
        <v>0</v>
      </c>
      <c r="AD756" s="116" t="n">
        <v>0</v>
      </c>
      <c r="AE756" s="116" t="n">
        <v>0</v>
      </c>
      <c r="AF756" s="116" t="n">
        <v>0</v>
      </c>
      <c r="AG756" s="116" t="n">
        <v>0</v>
      </c>
      <c r="AH756" s="116" t="n">
        <v>0</v>
      </c>
      <c r="AI756" s="47">
        <f>IFERROR(AC756/S756,"")</f>
        <v/>
      </c>
      <c r="AJ756" s="47">
        <f>IFERROR(AH756/S756,"")</f>
        <v/>
      </c>
      <c r="AK756" s="116" t="n">
        <v>26</v>
      </c>
      <c r="AL756" s="116" t="n">
        <v>0</v>
      </c>
      <c r="AM756" s="118">
        <f>IFERROR(AL756/AA756,"")</f>
        <v/>
      </c>
      <c r="AN756" s="119">
        <f>IFERROR(R756/AL756,"")</f>
        <v/>
      </c>
      <c r="AO756" s="116" t="n">
        <v>0</v>
      </c>
      <c r="AP756" s="47">
        <f>IFERROR(AO756/AL756,"")</f>
        <v/>
      </c>
      <c r="AQ756" s="119">
        <f>IFERROR(R756/AO756,"")</f>
        <v/>
      </c>
      <c r="AR756" s="116" t="n">
        <v>0</v>
      </c>
      <c r="AS756" s="116" t="n">
        <v>0</v>
      </c>
      <c r="AT756" s="116">
        <f>AL756+AR756</f>
        <v/>
      </c>
      <c r="AU756" s="119">
        <f>IFERROR(AO756*Assumptions!$C$26*Assumptions!$C$27*INDEX(Assumptions!$C$18:$C$21,MATCH(H756,Assumptions!$B$18:$B$21,0)),0)</f>
        <v/>
      </c>
    </row>
    <row r="757">
      <c r="A757" s="114" t="n">
        <v>46258</v>
      </c>
      <c r="B757" s="42" t="inlineStr">
        <is>
          <t>Wk 35</t>
        </is>
      </c>
      <c r="C757" s="42" t="inlineStr">
        <is>
          <t>Mon</t>
        </is>
      </c>
      <c r="D757" s="42" t="inlineStr">
        <is>
          <t>Meta (FB/IG)</t>
        </is>
      </c>
      <c r="E757" s="42" t="inlineStr">
        <is>
          <t>Facebook + Instagram</t>
        </is>
      </c>
      <c r="F757" s="42" t="inlineStr">
        <is>
          <t>LEP_ZA_AUG26_META_RMKT_ALL_CONV</t>
        </is>
      </c>
      <c r="G757" s="42" t="inlineStr">
        <is>
          <t>Leads - Website Conversions</t>
        </is>
      </c>
      <c r="H757" s="42" t="inlineStr">
        <is>
          <t>Range</t>
        </is>
      </c>
      <c r="I757" s="42" t="inlineStr">
        <is>
          <t>Range Offer</t>
        </is>
      </c>
      <c r="J757" s="42" t="inlineStr">
        <is>
          <t>MET_RMKT_SITE30D_ZA</t>
        </is>
      </c>
      <c r="K757" s="42" t="inlineStr">
        <is>
          <t>Retargeting</t>
        </is>
      </c>
      <c r="L757" s="42" t="inlineStr">
        <is>
          <t>RMKT_DYN_ModelSeen_v1</t>
        </is>
      </c>
      <c r="M757" s="42" t="inlineStr">
        <is>
          <t>Dynamic Carousel</t>
        </is>
      </c>
      <c r="N757" s="42" t="inlineStr">
        <is>
          <t>Still thinking about it?</t>
        </is>
      </c>
      <c r="O757" s="42" t="inlineStr">
        <is>
          <t>Auction - Lowest Cost</t>
        </is>
      </c>
      <c r="P757" s="42" t="inlineStr">
        <is>
          <t>Offsite Conversions</t>
        </is>
      </c>
      <c r="Q757" s="42" t="inlineStr">
        <is>
          <t>https://www.lepas-sa.co.za/book-a-test-drive</t>
        </is>
      </c>
      <c r="R757" s="115" t="n">
        <v>181</v>
      </c>
      <c r="S757" s="116" t="n">
        <v>1732</v>
      </c>
      <c r="T757" s="116" t="n">
        <v>909</v>
      </c>
      <c r="U757" s="117">
        <f>IFERROR(S757/T757,"")</f>
        <v/>
      </c>
      <c r="V757" s="116" t="n">
        <v>60</v>
      </c>
      <c r="W757" s="116" t="n">
        <v>43</v>
      </c>
      <c r="X757" s="118">
        <f>IFERROR(W757/S757,"")</f>
        <v/>
      </c>
      <c r="Y757" s="115">
        <f>IFERROR(R757/W757,"")</f>
        <v/>
      </c>
      <c r="Z757" s="115">
        <f>IFERROR(R757/S757*1000,"")</f>
        <v/>
      </c>
      <c r="AA757" s="116" t="n">
        <v>37</v>
      </c>
      <c r="AB757" s="47">
        <f>IFERROR(AA757/W757,"")</f>
        <v/>
      </c>
      <c r="AC757" s="116" t="n">
        <v>0</v>
      </c>
      <c r="AD757" s="116" t="n">
        <v>0</v>
      </c>
      <c r="AE757" s="116" t="n">
        <v>0</v>
      </c>
      <c r="AF757" s="116" t="n">
        <v>0</v>
      </c>
      <c r="AG757" s="116" t="n">
        <v>0</v>
      </c>
      <c r="AH757" s="116" t="n">
        <v>0</v>
      </c>
      <c r="AI757" s="47">
        <f>IFERROR(AC757/S757,"")</f>
        <v/>
      </c>
      <c r="AJ757" s="47">
        <f>IFERROR(AH757/S757,"")</f>
        <v/>
      </c>
      <c r="AK757" s="116" t="n">
        <v>26</v>
      </c>
      <c r="AL757" s="116" t="n">
        <v>1</v>
      </c>
      <c r="AM757" s="118">
        <f>IFERROR(AL757/AA757,"")</f>
        <v/>
      </c>
      <c r="AN757" s="119">
        <f>IFERROR(R757/AL757,"")</f>
        <v/>
      </c>
      <c r="AO757" s="116" t="n">
        <v>1</v>
      </c>
      <c r="AP757" s="47">
        <f>IFERROR(AO757/AL757,"")</f>
        <v/>
      </c>
      <c r="AQ757" s="119">
        <f>IFERROR(R757/AO757,"")</f>
        <v/>
      </c>
      <c r="AR757" s="116" t="n">
        <v>0</v>
      </c>
      <c r="AS757" s="116" t="n">
        <v>0</v>
      </c>
      <c r="AT757" s="116">
        <f>AL757+AR757</f>
        <v/>
      </c>
      <c r="AU757" s="119">
        <f>IFERROR(AO757*Assumptions!$C$26*Assumptions!$C$27*INDEX(Assumptions!$C$18:$C$21,MATCH(H757,Assumptions!$B$18:$B$21,0)),0)</f>
        <v/>
      </c>
    </row>
    <row r="758">
      <c r="A758" s="114" t="n">
        <v>46259</v>
      </c>
      <c r="B758" s="42" t="inlineStr">
        <is>
          <t>Wk 35</t>
        </is>
      </c>
      <c r="C758" s="42" t="inlineStr">
        <is>
          <t>Tue</t>
        </is>
      </c>
      <c r="D758" s="42" t="inlineStr">
        <is>
          <t>Meta (FB/IG)</t>
        </is>
      </c>
      <c r="E758" s="42" t="inlineStr">
        <is>
          <t>Facebook + Instagram</t>
        </is>
      </c>
      <c r="F758" s="42" t="inlineStr">
        <is>
          <t>LEP_ZA_AUG26_META_RMKT_ALL_CONV</t>
        </is>
      </c>
      <c r="G758" s="42" t="inlineStr">
        <is>
          <t>Leads - Website Conversions</t>
        </is>
      </c>
      <c r="H758" s="42" t="inlineStr">
        <is>
          <t>Range</t>
        </is>
      </c>
      <c r="I758" s="42" t="inlineStr">
        <is>
          <t>Range Offer</t>
        </is>
      </c>
      <c r="J758" s="42" t="inlineStr">
        <is>
          <t>MET_RMKT_SITE30D_ZA</t>
        </is>
      </c>
      <c r="K758" s="42" t="inlineStr">
        <is>
          <t>Retargeting</t>
        </is>
      </c>
      <c r="L758" s="42" t="inlineStr">
        <is>
          <t>RMKT_DYN_ModelSeen_v1</t>
        </is>
      </c>
      <c r="M758" s="42" t="inlineStr">
        <is>
          <t>Dynamic Carousel</t>
        </is>
      </c>
      <c r="N758" s="42" t="inlineStr">
        <is>
          <t>Still thinking about it?</t>
        </is>
      </c>
      <c r="O758" s="42" t="inlineStr">
        <is>
          <t>Auction - Lowest Cost</t>
        </is>
      </c>
      <c r="P758" s="42" t="inlineStr">
        <is>
          <t>Offsite Conversions</t>
        </is>
      </c>
      <c r="Q758" s="42" t="inlineStr">
        <is>
          <t>https://www.lepas-sa.co.za/book-a-test-drive</t>
        </is>
      </c>
      <c r="R758" s="115" t="n">
        <v>200.23</v>
      </c>
      <c r="S758" s="116" t="n">
        <v>2745</v>
      </c>
      <c r="T758" s="116" t="n">
        <v>1619</v>
      </c>
      <c r="U758" s="117">
        <f>IFERROR(S758/T758,"")</f>
        <v/>
      </c>
      <c r="V758" s="116" t="n">
        <v>44</v>
      </c>
      <c r="W758" s="116" t="n">
        <v>32</v>
      </c>
      <c r="X758" s="118">
        <f>IFERROR(W758/S758,"")</f>
        <v/>
      </c>
      <c r="Y758" s="115">
        <f>IFERROR(R758/W758,"")</f>
        <v/>
      </c>
      <c r="Z758" s="115">
        <f>IFERROR(R758/S758*1000,"")</f>
        <v/>
      </c>
      <c r="AA758" s="116" t="n">
        <v>28</v>
      </c>
      <c r="AB758" s="47">
        <f>IFERROR(AA758/W758,"")</f>
        <v/>
      </c>
      <c r="AC758" s="116" t="n">
        <v>0</v>
      </c>
      <c r="AD758" s="116" t="n">
        <v>0</v>
      </c>
      <c r="AE758" s="116" t="n">
        <v>0</v>
      </c>
      <c r="AF758" s="116" t="n">
        <v>0</v>
      </c>
      <c r="AG758" s="116" t="n">
        <v>0</v>
      </c>
      <c r="AH758" s="116" t="n">
        <v>0</v>
      </c>
      <c r="AI758" s="47">
        <f>IFERROR(AC758/S758,"")</f>
        <v/>
      </c>
      <c r="AJ758" s="47">
        <f>IFERROR(AH758/S758,"")</f>
        <v/>
      </c>
      <c r="AK758" s="116" t="n">
        <v>52</v>
      </c>
      <c r="AL758" s="116" t="n">
        <v>1</v>
      </c>
      <c r="AM758" s="118">
        <f>IFERROR(AL758/AA758,"")</f>
        <v/>
      </c>
      <c r="AN758" s="119">
        <f>IFERROR(R758/AL758,"")</f>
        <v/>
      </c>
      <c r="AO758" s="116" t="n">
        <v>1</v>
      </c>
      <c r="AP758" s="47">
        <f>IFERROR(AO758/AL758,"")</f>
        <v/>
      </c>
      <c r="AQ758" s="119">
        <f>IFERROR(R758/AO758,"")</f>
        <v/>
      </c>
      <c r="AR758" s="116" t="n">
        <v>0</v>
      </c>
      <c r="AS758" s="116" t="n">
        <v>1</v>
      </c>
      <c r="AT758" s="116">
        <f>AL758+AR758</f>
        <v/>
      </c>
      <c r="AU758" s="119">
        <f>IFERROR(AO758*Assumptions!$C$26*Assumptions!$C$27*INDEX(Assumptions!$C$18:$C$21,MATCH(H758,Assumptions!$B$18:$B$21,0)),0)</f>
        <v/>
      </c>
    </row>
    <row r="759">
      <c r="A759" s="114" t="n">
        <v>46260</v>
      </c>
      <c r="B759" s="42" t="inlineStr">
        <is>
          <t>Wk 35</t>
        </is>
      </c>
      <c r="C759" s="42" t="inlineStr">
        <is>
          <t>Wed</t>
        </is>
      </c>
      <c r="D759" s="42" t="inlineStr">
        <is>
          <t>Meta (FB/IG)</t>
        </is>
      </c>
      <c r="E759" s="42" t="inlineStr">
        <is>
          <t>Facebook + Instagram</t>
        </is>
      </c>
      <c r="F759" s="42" t="inlineStr">
        <is>
          <t>LEP_ZA_AUG26_META_RMKT_ALL_CONV</t>
        </is>
      </c>
      <c r="G759" s="42" t="inlineStr">
        <is>
          <t>Leads - Website Conversions</t>
        </is>
      </c>
      <c r="H759" s="42" t="inlineStr">
        <is>
          <t>Range</t>
        </is>
      </c>
      <c r="I759" s="42" t="inlineStr">
        <is>
          <t>Range Offer</t>
        </is>
      </c>
      <c r="J759" s="42" t="inlineStr">
        <is>
          <t>MET_RMKT_SITE30D_ZA</t>
        </is>
      </c>
      <c r="K759" s="42" t="inlineStr">
        <is>
          <t>Retargeting</t>
        </is>
      </c>
      <c r="L759" s="42" t="inlineStr">
        <is>
          <t>RMKT_DYN_ModelSeen_v1</t>
        </is>
      </c>
      <c r="M759" s="42" t="inlineStr">
        <is>
          <t>Dynamic Carousel</t>
        </is>
      </c>
      <c r="N759" s="42" t="inlineStr">
        <is>
          <t>Still thinking about it?</t>
        </is>
      </c>
      <c r="O759" s="42" t="inlineStr">
        <is>
          <t>Auction - Lowest Cost</t>
        </is>
      </c>
      <c r="P759" s="42" t="inlineStr">
        <is>
          <t>Offsite Conversions</t>
        </is>
      </c>
      <c r="Q759" s="42" t="inlineStr">
        <is>
          <t>https://www.lepas-sa.co.za/book-a-test-drive</t>
        </is>
      </c>
      <c r="R759" s="115" t="n">
        <v>169.69</v>
      </c>
      <c r="S759" s="116" t="n">
        <v>1984</v>
      </c>
      <c r="T759" s="116" t="n">
        <v>997</v>
      </c>
      <c r="U759" s="117">
        <f>IFERROR(S759/T759,"")</f>
        <v/>
      </c>
      <c r="V759" s="116" t="n">
        <v>44</v>
      </c>
      <c r="W759" s="116" t="n">
        <v>35</v>
      </c>
      <c r="X759" s="118">
        <f>IFERROR(W759/S759,"")</f>
        <v/>
      </c>
      <c r="Y759" s="115">
        <f>IFERROR(R759/W759,"")</f>
        <v/>
      </c>
      <c r="Z759" s="115">
        <f>IFERROR(R759/S759*1000,"")</f>
        <v/>
      </c>
      <c r="AA759" s="116" t="n">
        <v>30</v>
      </c>
      <c r="AB759" s="47">
        <f>IFERROR(AA759/W759,"")</f>
        <v/>
      </c>
      <c r="AC759" s="116" t="n">
        <v>0</v>
      </c>
      <c r="AD759" s="116" t="n">
        <v>0</v>
      </c>
      <c r="AE759" s="116" t="n">
        <v>0</v>
      </c>
      <c r="AF759" s="116" t="n">
        <v>0</v>
      </c>
      <c r="AG759" s="116" t="n">
        <v>0</v>
      </c>
      <c r="AH759" s="116" t="n">
        <v>0</v>
      </c>
      <c r="AI759" s="47">
        <f>IFERROR(AC759/S759,"")</f>
        <v/>
      </c>
      <c r="AJ759" s="47">
        <f>IFERROR(AH759/S759,"")</f>
        <v/>
      </c>
      <c r="AK759" s="116" t="n">
        <v>50</v>
      </c>
      <c r="AL759" s="116" t="n">
        <v>1</v>
      </c>
      <c r="AM759" s="118">
        <f>IFERROR(AL759/AA759,"")</f>
        <v/>
      </c>
      <c r="AN759" s="119">
        <f>IFERROR(R759/AL759,"")</f>
        <v/>
      </c>
      <c r="AO759" s="116" t="n">
        <v>0</v>
      </c>
      <c r="AP759" s="47">
        <f>IFERROR(AO759/AL759,"")</f>
        <v/>
      </c>
      <c r="AQ759" s="119">
        <f>IFERROR(R759/AO759,"")</f>
        <v/>
      </c>
      <c r="AR759" s="116" t="n">
        <v>0</v>
      </c>
      <c r="AS759" s="116" t="n">
        <v>0</v>
      </c>
      <c r="AT759" s="116">
        <f>AL759+AR759</f>
        <v/>
      </c>
      <c r="AU759" s="119">
        <f>IFERROR(AO759*Assumptions!$C$26*Assumptions!$C$27*INDEX(Assumptions!$C$18:$C$21,MATCH(H759,Assumptions!$B$18:$B$21,0)),0)</f>
        <v/>
      </c>
    </row>
    <row r="760">
      <c r="A760" s="114" t="n">
        <v>46261</v>
      </c>
      <c r="B760" s="42" t="inlineStr">
        <is>
          <t>Wk 35</t>
        </is>
      </c>
      <c r="C760" s="42" t="inlineStr">
        <is>
          <t>Thu</t>
        </is>
      </c>
      <c r="D760" s="42" t="inlineStr">
        <is>
          <t>Meta (FB/IG)</t>
        </is>
      </c>
      <c r="E760" s="42" t="inlineStr">
        <is>
          <t>Facebook + Instagram</t>
        </is>
      </c>
      <c r="F760" s="42" t="inlineStr">
        <is>
          <t>LEP_ZA_AUG26_META_RMKT_ALL_CONV</t>
        </is>
      </c>
      <c r="G760" s="42" t="inlineStr">
        <is>
          <t>Leads - Website Conversions</t>
        </is>
      </c>
      <c r="H760" s="42" t="inlineStr">
        <is>
          <t>Range</t>
        </is>
      </c>
      <c r="I760" s="42" t="inlineStr">
        <is>
          <t>Range Offer</t>
        </is>
      </c>
      <c r="J760" s="42" t="inlineStr">
        <is>
          <t>MET_RMKT_SITE30D_ZA</t>
        </is>
      </c>
      <c r="K760" s="42" t="inlineStr">
        <is>
          <t>Retargeting</t>
        </is>
      </c>
      <c r="L760" s="42" t="inlineStr">
        <is>
          <t>RMKT_DYN_ModelSeen_v1</t>
        </is>
      </c>
      <c r="M760" s="42" t="inlineStr">
        <is>
          <t>Dynamic Carousel</t>
        </is>
      </c>
      <c r="N760" s="42" t="inlineStr">
        <is>
          <t>Still thinking about it?</t>
        </is>
      </c>
      <c r="O760" s="42" t="inlineStr">
        <is>
          <t>Auction - Lowest Cost</t>
        </is>
      </c>
      <c r="P760" s="42" t="inlineStr">
        <is>
          <t>Offsite Conversions</t>
        </is>
      </c>
      <c r="Q760" s="42" t="inlineStr">
        <is>
          <t>https://www.lepas-sa.co.za/book-a-test-drive</t>
        </is>
      </c>
      <c r="R760" s="115" t="n">
        <v>277.38</v>
      </c>
      <c r="S760" s="116" t="n">
        <v>2707</v>
      </c>
      <c r="T760" s="116" t="n">
        <v>1555</v>
      </c>
      <c r="U760" s="117">
        <f>IFERROR(S760/T760,"")</f>
        <v/>
      </c>
      <c r="V760" s="116" t="n">
        <v>56</v>
      </c>
      <c r="W760" s="116" t="n">
        <v>45</v>
      </c>
      <c r="X760" s="118">
        <f>IFERROR(W760/S760,"")</f>
        <v/>
      </c>
      <c r="Y760" s="115">
        <f>IFERROR(R760/W760,"")</f>
        <v/>
      </c>
      <c r="Z760" s="115">
        <f>IFERROR(R760/S760*1000,"")</f>
        <v/>
      </c>
      <c r="AA760" s="116" t="n">
        <v>40</v>
      </c>
      <c r="AB760" s="47">
        <f>IFERROR(AA760/W760,"")</f>
        <v/>
      </c>
      <c r="AC760" s="116" t="n">
        <v>0</v>
      </c>
      <c r="AD760" s="116" t="n">
        <v>0</v>
      </c>
      <c r="AE760" s="116" t="n">
        <v>0</v>
      </c>
      <c r="AF760" s="116" t="n">
        <v>0</v>
      </c>
      <c r="AG760" s="116" t="n">
        <v>0</v>
      </c>
      <c r="AH760" s="116" t="n">
        <v>0</v>
      </c>
      <c r="AI760" s="47">
        <f>IFERROR(AC760/S760,"")</f>
        <v/>
      </c>
      <c r="AJ760" s="47">
        <f>IFERROR(AH760/S760,"")</f>
        <v/>
      </c>
      <c r="AK760" s="116" t="n">
        <v>70</v>
      </c>
      <c r="AL760" s="116" t="n">
        <v>2</v>
      </c>
      <c r="AM760" s="118">
        <f>IFERROR(AL760/AA760,"")</f>
        <v/>
      </c>
      <c r="AN760" s="119">
        <f>IFERROR(R760/AL760,"")</f>
        <v/>
      </c>
      <c r="AO760" s="116" t="n">
        <v>1</v>
      </c>
      <c r="AP760" s="47">
        <f>IFERROR(AO760/AL760,"")</f>
        <v/>
      </c>
      <c r="AQ760" s="119">
        <f>IFERROR(R760/AO760,"")</f>
        <v/>
      </c>
      <c r="AR760" s="116" t="n">
        <v>0</v>
      </c>
      <c r="AS760" s="116" t="n">
        <v>1</v>
      </c>
      <c r="AT760" s="116">
        <f>AL760+AR760</f>
        <v/>
      </c>
      <c r="AU760" s="119">
        <f>IFERROR(AO760*Assumptions!$C$26*Assumptions!$C$27*INDEX(Assumptions!$C$18:$C$21,MATCH(H760,Assumptions!$B$18:$B$21,0)),0)</f>
        <v/>
      </c>
    </row>
    <row r="761">
      <c r="A761" s="114" t="n">
        <v>46262</v>
      </c>
      <c r="B761" s="42" t="inlineStr">
        <is>
          <t>Wk 35</t>
        </is>
      </c>
      <c r="C761" s="42" t="inlineStr">
        <is>
          <t>Fri</t>
        </is>
      </c>
      <c r="D761" s="42" t="inlineStr">
        <is>
          <t>Meta (FB/IG)</t>
        </is>
      </c>
      <c r="E761" s="42" t="inlineStr">
        <is>
          <t>Facebook + Instagram</t>
        </is>
      </c>
      <c r="F761" s="42" t="inlineStr">
        <is>
          <t>LEP_ZA_AUG26_META_RMKT_ALL_CONV</t>
        </is>
      </c>
      <c r="G761" s="42" t="inlineStr">
        <is>
          <t>Leads - Website Conversions</t>
        </is>
      </c>
      <c r="H761" s="42" t="inlineStr">
        <is>
          <t>Range</t>
        </is>
      </c>
      <c r="I761" s="42" t="inlineStr">
        <is>
          <t>Range Offer</t>
        </is>
      </c>
      <c r="J761" s="42" t="inlineStr">
        <is>
          <t>MET_RMKT_SITE30D_ZA</t>
        </is>
      </c>
      <c r="K761" s="42" t="inlineStr">
        <is>
          <t>Retargeting</t>
        </is>
      </c>
      <c r="L761" s="42" t="inlineStr">
        <is>
          <t>RMKT_DYN_ModelSeen_v1</t>
        </is>
      </c>
      <c r="M761" s="42" t="inlineStr">
        <is>
          <t>Dynamic Carousel</t>
        </is>
      </c>
      <c r="N761" s="42" t="inlineStr">
        <is>
          <t>Still thinking about it?</t>
        </is>
      </c>
      <c r="O761" s="42" t="inlineStr">
        <is>
          <t>Auction - Lowest Cost</t>
        </is>
      </c>
      <c r="P761" s="42" t="inlineStr">
        <is>
          <t>Offsite Conversions</t>
        </is>
      </c>
      <c r="Q761" s="42" t="inlineStr">
        <is>
          <t>https://www.lepas-sa.co.za/book-a-test-drive</t>
        </is>
      </c>
      <c r="R761" s="115" t="n">
        <v>219.58</v>
      </c>
      <c r="S761" s="116" t="n">
        <v>2593</v>
      </c>
      <c r="T761" s="116" t="n">
        <v>1704</v>
      </c>
      <c r="U761" s="117">
        <f>IFERROR(S761/T761,"")</f>
        <v/>
      </c>
      <c r="V761" s="116" t="n">
        <v>71</v>
      </c>
      <c r="W761" s="116" t="n">
        <v>55</v>
      </c>
      <c r="X761" s="118">
        <f>IFERROR(W761/S761,"")</f>
        <v/>
      </c>
      <c r="Y761" s="115">
        <f>IFERROR(R761/W761,"")</f>
        <v/>
      </c>
      <c r="Z761" s="115">
        <f>IFERROR(R761/S761*1000,"")</f>
        <v/>
      </c>
      <c r="AA761" s="116" t="n">
        <v>47</v>
      </c>
      <c r="AB761" s="47">
        <f>IFERROR(AA761/W761,"")</f>
        <v/>
      </c>
      <c r="AC761" s="116" t="n">
        <v>0</v>
      </c>
      <c r="AD761" s="116" t="n">
        <v>0</v>
      </c>
      <c r="AE761" s="116" t="n">
        <v>0</v>
      </c>
      <c r="AF761" s="116" t="n">
        <v>0</v>
      </c>
      <c r="AG761" s="116" t="n">
        <v>0</v>
      </c>
      <c r="AH761" s="116" t="n">
        <v>0</v>
      </c>
      <c r="AI761" s="47">
        <f>IFERROR(AC761/S761,"")</f>
        <v/>
      </c>
      <c r="AJ761" s="47">
        <f>IFERROR(AH761/S761,"")</f>
        <v/>
      </c>
      <c r="AK761" s="116" t="n">
        <v>58</v>
      </c>
      <c r="AL761" s="116" t="n">
        <v>2</v>
      </c>
      <c r="AM761" s="118">
        <f>IFERROR(AL761/AA761,"")</f>
        <v/>
      </c>
      <c r="AN761" s="119">
        <f>IFERROR(R761/AL761,"")</f>
        <v/>
      </c>
      <c r="AO761" s="116" t="n">
        <v>1</v>
      </c>
      <c r="AP761" s="47">
        <f>IFERROR(AO761/AL761,"")</f>
        <v/>
      </c>
      <c r="AQ761" s="119">
        <f>IFERROR(R761/AO761,"")</f>
        <v/>
      </c>
      <c r="AR761" s="116" t="n">
        <v>1</v>
      </c>
      <c r="AS761" s="116" t="n">
        <v>1</v>
      </c>
      <c r="AT761" s="116">
        <f>AL761+AR761</f>
        <v/>
      </c>
      <c r="AU761" s="119">
        <f>IFERROR(AO761*Assumptions!$C$26*Assumptions!$C$27*INDEX(Assumptions!$C$18:$C$21,MATCH(H761,Assumptions!$B$18:$B$21,0)),0)</f>
        <v/>
      </c>
    </row>
    <row r="762">
      <c r="A762" s="114" t="n">
        <v>46263</v>
      </c>
      <c r="B762" s="42" t="inlineStr">
        <is>
          <t>Wk 35</t>
        </is>
      </c>
      <c r="C762" s="42" t="inlineStr">
        <is>
          <t>Sat</t>
        </is>
      </c>
      <c r="D762" s="42" t="inlineStr">
        <is>
          <t>Meta (FB/IG)</t>
        </is>
      </c>
      <c r="E762" s="42" t="inlineStr">
        <is>
          <t>Facebook + Instagram</t>
        </is>
      </c>
      <c r="F762" s="42" t="inlineStr">
        <is>
          <t>LEP_ZA_AUG26_META_RMKT_ALL_CONV</t>
        </is>
      </c>
      <c r="G762" s="42" t="inlineStr">
        <is>
          <t>Leads - Website Conversions</t>
        </is>
      </c>
      <c r="H762" s="42" t="inlineStr">
        <is>
          <t>Range</t>
        </is>
      </c>
      <c r="I762" s="42" t="inlineStr">
        <is>
          <t>Range Offer</t>
        </is>
      </c>
      <c r="J762" s="42" t="inlineStr">
        <is>
          <t>MET_RMKT_SITE30D_ZA</t>
        </is>
      </c>
      <c r="K762" s="42" t="inlineStr">
        <is>
          <t>Retargeting</t>
        </is>
      </c>
      <c r="L762" s="42" t="inlineStr">
        <is>
          <t>RMKT_DYN_ModelSeen_v1</t>
        </is>
      </c>
      <c r="M762" s="42" t="inlineStr">
        <is>
          <t>Dynamic Carousel</t>
        </is>
      </c>
      <c r="N762" s="42" t="inlineStr">
        <is>
          <t>Still thinking about it?</t>
        </is>
      </c>
      <c r="O762" s="42" t="inlineStr">
        <is>
          <t>Auction - Lowest Cost</t>
        </is>
      </c>
      <c r="P762" s="42" t="inlineStr">
        <is>
          <t>Offsite Conversions</t>
        </is>
      </c>
      <c r="Q762" s="42" t="inlineStr">
        <is>
          <t>https://www.lepas-sa.co.za/book-a-test-drive</t>
        </is>
      </c>
      <c r="R762" s="115" t="n">
        <v>249.61</v>
      </c>
      <c r="S762" s="116" t="n">
        <v>2824</v>
      </c>
      <c r="T762" s="116" t="n">
        <v>1800</v>
      </c>
      <c r="U762" s="117">
        <f>IFERROR(S762/T762,"")</f>
        <v/>
      </c>
      <c r="V762" s="116" t="n">
        <v>32</v>
      </c>
      <c r="W762" s="116" t="n">
        <v>27</v>
      </c>
      <c r="X762" s="118">
        <f>IFERROR(W762/S762,"")</f>
        <v/>
      </c>
      <c r="Y762" s="115">
        <f>IFERROR(R762/W762,"")</f>
        <v/>
      </c>
      <c r="Z762" s="115">
        <f>IFERROR(R762/S762*1000,"")</f>
        <v/>
      </c>
      <c r="AA762" s="116" t="n">
        <v>21</v>
      </c>
      <c r="AB762" s="47">
        <f>IFERROR(AA762/W762,"")</f>
        <v/>
      </c>
      <c r="AC762" s="116" t="n">
        <v>0</v>
      </c>
      <c r="AD762" s="116" t="n">
        <v>0</v>
      </c>
      <c r="AE762" s="116" t="n">
        <v>0</v>
      </c>
      <c r="AF762" s="116" t="n">
        <v>0</v>
      </c>
      <c r="AG762" s="116" t="n">
        <v>0</v>
      </c>
      <c r="AH762" s="116" t="n">
        <v>0</v>
      </c>
      <c r="AI762" s="47">
        <f>IFERROR(AC762/S762,"")</f>
        <v/>
      </c>
      <c r="AJ762" s="47">
        <f>IFERROR(AH762/S762,"")</f>
        <v/>
      </c>
      <c r="AK762" s="116" t="n">
        <v>58</v>
      </c>
      <c r="AL762" s="116" t="n">
        <v>1</v>
      </c>
      <c r="AM762" s="118">
        <f>IFERROR(AL762/AA762,"")</f>
        <v/>
      </c>
      <c r="AN762" s="119">
        <f>IFERROR(R762/AL762,"")</f>
        <v/>
      </c>
      <c r="AO762" s="116" t="n">
        <v>0</v>
      </c>
      <c r="AP762" s="47">
        <f>IFERROR(AO762/AL762,"")</f>
        <v/>
      </c>
      <c r="AQ762" s="119">
        <f>IFERROR(R762/AO762,"")</f>
        <v/>
      </c>
      <c r="AR762" s="116" t="n">
        <v>0</v>
      </c>
      <c r="AS762" s="116" t="n">
        <v>1</v>
      </c>
      <c r="AT762" s="116">
        <f>AL762+AR762</f>
        <v/>
      </c>
      <c r="AU762" s="119">
        <f>IFERROR(AO762*Assumptions!$C$26*Assumptions!$C$27*INDEX(Assumptions!$C$18:$C$21,MATCH(H762,Assumptions!$B$18:$B$21,0)),0)</f>
        <v/>
      </c>
    </row>
    <row r="763">
      <c r="A763" s="114" t="n">
        <v>46264</v>
      </c>
      <c r="B763" s="42" t="inlineStr">
        <is>
          <t>Wk 35</t>
        </is>
      </c>
      <c r="C763" s="42" t="inlineStr">
        <is>
          <t>Sun</t>
        </is>
      </c>
      <c r="D763" s="42" t="inlineStr">
        <is>
          <t>Meta (FB/IG)</t>
        </is>
      </c>
      <c r="E763" s="42" t="inlineStr">
        <is>
          <t>Facebook + Instagram</t>
        </is>
      </c>
      <c r="F763" s="42" t="inlineStr">
        <is>
          <t>LEP_ZA_AUG26_META_RMKT_ALL_CONV</t>
        </is>
      </c>
      <c r="G763" s="42" t="inlineStr">
        <is>
          <t>Leads - Website Conversions</t>
        </is>
      </c>
      <c r="H763" s="42" t="inlineStr">
        <is>
          <t>Range</t>
        </is>
      </c>
      <c r="I763" s="42" t="inlineStr">
        <is>
          <t>Range Offer</t>
        </is>
      </c>
      <c r="J763" s="42" t="inlineStr">
        <is>
          <t>MET_RMKT_SITE30D_ZA</t>
        </is>
      </c>
      <c r="K763" s="42" t="inlineStr">
        <is>
          <t>Retargeting</t>
        </is>
      </c>
      <c r="L763" s="42" t="inlineStr">
        <is>
          <t>RMKT_DYN_ModelSeen_v1</t>
        </is>
      </c>
      <c r="M763" s="42" t="inlineStr">
        <is>
          <t>Dynamic Carousel</t>
        </is>
      </c>
      <c r="N763" s="42" t="inlineStr">
        <is>
          <t>Still thinking about it?</t>
        </is>
      </c>
      <c r="O763" s="42" t="inlineStr">
        <is>
          <t>Auction - Lowest Cost</t>
        </is>
      </c>
      <c r="P763" s="42" t="inlineStr">
        <is>
          <t>Offsite Conversions</t>
        </is>
      </c>
      <c r="Q763" s="42" t="inlineStr">
        <is>
          <t>https://www.lepas-sa.co.za/book-a-test-drive</t>
        </is>
      </c>
      <c r="R763" s="115" t="n">
        <v>180.74</v>
      </c>
      <c r="S763" s="116" t="n">
        <v>1906</v>
      </c>
      <c r="T763" s="116" t="n">
        <v>963</v>
      </c>
      <c r="U763" s="117">
        <f>IFERROR(S763/T763,"")</f>
        <v/>
      </c>
      <c r="V763" s="116" t="n">
        <v>28</v>
      </c>
      <c r="W763" s="116" t="n">
        <v>21</v>
      </c>
      <c r="X763" s="118">
        <f>IFERROR(W763/S763,"")</f>
        <v/>
      </c>
      <c r="Y763" s="115">
        <f>IFERROR(R763/W763,"")</f>
        <v/>
      </c>
      <c r="Z763" s="115">
        <f>IFERROR(R763/S763*1000,"")</f>
        <v/>
      </c>
      <c r="AA763" s="116" t="n">
        <v>18</v>
      </c>
      <c r="AB763" s="47">
        <f>IFERROR(AA763/W763,"")</f>
        <v/>
      </c>
      <c r="AC763" s="116" t="n">
        <v>0</v>
      </c>
      <c r="AD763" s="116" t="n">
        <v>0</v>
      </c>
      <c r="AE763" s="116" t="n">
        <v>0</v>
      </c>
      <c r="AF763" s="116" t="n">
        <v>0</v>
      </c>
      <c r="AG763" s="116" t="n">
        <v>0</v>
      </c>
      <c r="AH763" s="116" t="n">
        <v>0</v>
      </c>
      <c r="AI763" s="47">
        <f>IFERROR(AC763/S763,"")</f>
        <v/>
      </c>
      <c r="AJ763" s="47">
        <f>IFERROR(AH763/S763,"")</f>
        <v/>
      </c>
      <c r="AK763" s="116" t="n">
        <v>32</v>
      </c>
      <c r="AL763" s="116" t="n">
        <v>0</v>
      </c>
      <c r="AM763" s="118">
        <f>IFERROR(AL763/AA763,"")</f>
        <v/>
      </c>
      <c r="AN763" s="119">
        <f>IFERROR(R763/AL763,"")</f>
        <v/>
      </c>
      <c r="AO763" s="116" t="n">
        <v>0</v>
      </c>
      <c r="AP763" s="47">
        <f>IFERROR(AO763/AL763,"")</f>
        <v/>
      </c>
      <c r="AQ763" s="119">
        <f>IFERROR(R763/AO763,"")</f>
        <v/>
      </c>
      <c r="AR763" s="116" t="n">
        <v>0</v>
      </c>
      <c r="AS763" s="116" t="n">
        <v>0</v>
      </c>
      <c r="AT763" s="116">
        <f>AL763+AR763</f>
        <v/>
      </c>
      <c r="AU763" s="119">
        <f>IFERROR(AO763*Assumptions!$C$26*Assumptions!$C$27*INDEX(Assumptions!$C$18:$C$21,MATCH(H763,Assumptions!$B$18:$B$21,0)),0)</f>
        <v/>
      </c>
    </row>
    <row r="764">
      <c r="A764" s="114" t="n">
        <v>46265</v>
      </c>
      <c r="B764" s="42" t="inlineStr">
        <is>
          <t>Wk 36</t>
        </is>
      </c>
      <c r="C764" s="42" t="inlineStr">
        <is>
          <t>Mon</t>
        </is>
      </c>
      <c r="D764" s="42" t="inlineStr">
        <is>
          <t>Meta (FB/IG)</t>
        </is>
      </c>
      <c r="E764" s="42" t="inlineStr">
        <is>
          <t>Facebook + Instagram</t>
        </is>
      </c>
      <c r="F764" s="42" t="inlineStr">
        <is>
          <t>LEP_ZA_AUG26_META_RMKT_ALL_CONV</t>
        </is>
      </c>
      <c r="G764" s="42" t="inlineStr">
        <is>
          <t>Leads - Website Conversions</t>
        </is>
      </c>
      <c r="H764" s="42" t="inlineStr">
        <is>
          <t>Range</t>
        </is>
      </c>
      <c r="I764" s="42" t="inlineStr">
        <is>
          <t>Range Offer</t>
        </is>
      </c>
      <c r="J764" s="42" t="inlineStr">
        <is>
          <t>MET_RMKT_SITE30D_ZA</t>
        </is>
      </c>
      <c r="K764" s="42" t="inlineStr">
        <is>
          <t>Retargeting</t>
        </is>
      </c>
      <c r="L764" s="42" t="inlineStr">
        <is>
          <t>RMKT_DYN_ModelSeen_v1</t>
        </is>
      </c>
      <c r="M764" s="42" t="inlineStr">
        <is>
          <t>Dynamic Carousel</t>
        </is>
      </c>
      <c r="N764" s="42" t="inlineStr">
        <is>
          <t>Still thinking about it?</t>
        </is>
      </c>
      <c r="O764" s="42" t="inlineStr">
        <is>
          <t>Auction - Lowest Cost</t>
        </is>
      </c>
      <c r="P764" s="42" t="inlineStr">
        <is>
          <t>Offsite Conversions</t>
        </is>
      </c>
      <c r="Q764" s="42" t="inlineStr">
        <is>
          <t>https://www.lepas-sa.co.za/book-a-test-drive</t>
        </is>
      </c>
      <c r="R764" s="115" t="n">
        <v>205.88</v>
      </c>
      <c r="S764" s="116" t="n">
        <v>2654</v>
      </c>
      <c r="T764" s="116" t="n">
        <v>1346</v>
      </c>
      <c r="U764" s="117">
        <f>IFERROR(S764/T764,"")</f>
        <v/>
      </c>
      <c r="V764" s="116" t="n">
        <v>50</v>
      </c>
      <c r="W764" s="116" t="n">
        <v>40</v>
      </c>
      <c r="X764" s="118">
        <f>IFERROR(W764/S764,"")</f>
        <v/>
      </c>
      <c r="Y764" s="115">
        <f>IFERROR(R764/W764,"")</f>
        <v/>
      </c>
      <c r="Z764" s="115">
        <f>IFERROR(R764/S764*1000,"")</f>
        <v/>
      </c>
      <c r="AA764" s="116" t="n">
        <v>35</v>
      </c>
      <c r="AB764" s="47">
        <f>IFERROR(AA764/W764,"")</f>
        <v/>
      </c>
      <c r="AC764" s="116" t="n">
        <v>0</v>
      </c>
      <c r="AD764" s="116" t="n">
        <v>0</v>
      </c>
      <c r="AE764" s="116" t="n">
        <v>0</v>
      </c>
      <c r="AF764" s="116" t="n">
        <v>0</v>
      </c>
      <c r="AG764" s="116" t="n">
        <v>0</v>
      </c>
      <c r="AH764" s="116" t="n">
        <v>0</v>
      </c>
      <c r="AI764" s="47">
        <f>IFERROR(AC764/S764,"")</f>
        <v/>
      </c>
      <c r="AJ764" s="47">
        <f>IFERROR(AH764/S764,"")</f>
        <v/>
      </c>
      <c r="AK764" s="116" t="n">
        <v>48</v>
      </c>
      <c r="AL764" s="116" t="n">
        <v>1</v>
      </c>
      <c r="AM764" s="118">
        <f>IFERROR(AL764/AA764,"")</f>
        <v/>
      </c>
      <c r="AN764" s="119">
        <f>IFERROR(R764/AL764,"")</f>
        <v/>
      </c>
      <c r="AO764" s="116" t="n">
        <v>0</v>
      </c>
      <c r="AP764" s="47">
        <f>IFERROR(AO764/AL764,"")</f>
        <v/>
      </c>
      <c r="AQ764" s="119">
        <f>IFERROR(R764/AO764,"")</f>
        <v/>
      </c>
      <c r="AR764" s="116" t="n">
        <v>0</v>
      </c>
      <c r="AS764" s="116" t="n">
        <v>0</v>
      </c>
      <c r="AT764" s="116">
        <f>AL764+AR764</f>
        <v/>
      </c>
      <c r="AU764" s="119">
        <f>IFERROR(AO764*Assumptions!$C$26*Assumptions!$C$27*INDEX(Assumptions!$C$18:$C$21,MATCH(H764,Assumptions!$B$18:$B$21,0)),0)</f>
        <v/>
      </c>
    </row>
    <row r="765">
      <c r="A765" s="114" t="n">
        <v>46235</v>
      </c>
      <c r="B765" s="42" t="inlineStr">
        <is>
          <t>Wk 31</t>
        </is>
      </c>
      <c r="C765" s="42" t="inlineStr">
        <is>
          <t>Sat</t>
        </is>
      </c>
      <c r="D765" s="42" t="inlineStr">
        <is>
          <t>Meta (FB/IG)</t>
        </is>
      </c>
      <c r="E765" s="42" t="inlineStr">
        <is>
          <t>Facebook + Instagram</t>
        </is>
      </c>
      <c r="F765" s="42" t="inlineStr">
        <is>
          <t>LEP_ZA_AUG26_META_RMKT_ALL_CONV</t>
        </is>
      </c>
      <c r="G765" s="42" t="inlineStr">
        <is>
          <t>Leads - Website Conversions</t>
        </is>
      </c>
      <c r="H765" s="42" t="inlineStr">
        <is>
          <t>Range</t>
        </is>
      </c>
      <c r="I765" s="42" t="inlineStr">
        <is>
          <t>Range Offer</t>
        </is>
      </c>
      <c r="J765" s="42" t="inlineStr">
        <is>
          <t>MET_RMKT_SITE30D_ZA</t>
        </is>
      </c>
      <c r="K765" s="42" t="inlineStr">
        <is>
          <t>Retargeting</t>
        </is>
      </c>
      <c r="L765" s="42" t="inlineStr">
        <is>
          <t>RMKT_STA_BookNow_v1</t>
        </is>
      </c>
      <c r="M765" s="42" t="inlineStr">
        <is>
          <t>Static 1:1</t>
        </is>
      </c>
      <c r="N765" s="42" t="inlineStr">
        <is>
          <t>Your test drive is 2 minutes away</t>
        </is>
      </c>
      <c r="O765" s="42" t="inlineStr">
        <is>
          <t>Auction - Lowest Cost</t>
        </is>
      </c>
      <c r="P765" s="42" t="inlineStr">
        <is>
          <t>Offsite Conversions</t>
        </is>
      </c>
      <c r="Q765" s="42" t="inlineStr">
        <is>
          <t>https://www.lepas-sa.co.za/book-a-test-drive</t>
        </is>
      </c>
      <c r="R765" s="115" t="n">
        <v>151.81</v>
      </c>
      <c r="S765" s="116" t="n">
        <v>2232</v>
      </c>
      <c r="T765" s="116" t="n">
        <v>1762</v>
      </c>
      <c r="U765" s="117">
        <f>IFERROR(S765/T765,"")</f>
        <v/>
      </c>
      <c r="V765" s="116" t="n">
        <v>47</v>
      </c>
      <c r="W765" s="116" t="n">
        <v>38</v>
      </c>
      <c r="X765" s="118">
        <f>IFERROR(W765/S765,"")</f>
        <v/>
      </c>
      <c r="Y765" s="115">
        <f>IFERROR(R765/W765,"")</f>
        <v/>
      </c>
      <c r="Z765" s="115">
        <f>IFERROR(R765/S765*1000,"")</f>
        <v/>
      </c>
      <c r="AA765" s="116" t="n">
        <v>31</v>
      </c>
      <c r="AB765" s="47">
        <f>IFERROR(AA765/W765,"")</f>
        <v/>
      </c>
      <c r="AC765" s="116" t="n">
        <v>0</v>
      </c>
      <c r="AD765" s="116" t="n">
        <v>0</v>
      </c>
      <c r="AE765" s="116" t="n">
        <v>0</v>
      </c>
      <c r="AF765" s="116" t="n">
        <v>0</v>
      </c>
      <c r="AG765" s="116" t="n">
        <v>0</v>
      </c>
      <c r="AH765" s="116" t="n">
        <v>0</v>
      </c>
      <c r="AI765" s="47">
        <f>IFERROR(AC765/S765,"")</f>
        <v/>
      </c>
      <c r="AJ765" s="47">
        <f>IFERROR(AH765/S765,"")</f>
        <v/>
      </c>
      <c r="AK765" s="116" t="n">
        <v>48</v>
      </c>
      <c r="AL765" s="116" t="n">
        <v>1</v>
      </c>
      <c r="AM765" s="118">
        <f>IFERROR(AL765/AA765,"")</f>
        <v/>
      </c>
      <c r="AN765" s="119">
        <f>IFERROR(R765/AL765,"")</f>
        <v/>
      </c>
      <c r="AO765" s="116" t="n">
        <v>0</v>
      </c>
      <c r="AP765" s="47">
        <f>IFERROR(AO765/AL765,"")</f>
        <v/>
      </c>
      <c r="AQ765" s="119">
        <f>IFERROR(R765/AO765,"")</f>
        <v/>
      </c>
      <c r="AR765" s="116" t="n">
        <v>1</v>
      </c>
      <c r="AS765" s="116" t="n">
        <v>1</v>
      </c>
      <c r="AT765" s="116">
        <f>AL765+AR765</f>
        <v/>
      </c>
      <c r="AU765" s="119">
        <f>IFERROR(AO765*Assumptions!$C$26*Assumptions!$C$27*INDEX(Assumptions!$C$18:$C$21,MATCH(H765,Assumptions!$B$18:$B$21,0)),0)</f>
        <v/>
      </c>
    </row>
    <row r="766">
      <c r="A766" s="114" t="n">
        <v>46236</v>
      </c>
      <c r="B766" s="42" t="inlineStr">
        <is>
          <t>Wk 31</t>
        </is>
      </c>
      <c r="C766" s="42" t="inlineStr">
        <is>
          <t>Sun</t>
        </is>
      </c>
      <c r="D766" s="42" t="inlineStr">
        <is>
          <t>Meta (FB/IG)</t>
        </is>
      </c>
      <c r="E766" s="42" t="inlineStr">
        <is>
          <t>Facebook + Instagram</t>
        </is>
      </c>
      <c r="F766" s="42" t="inlineStr">
        <is>
          <t>LEP_ZA_AUG26_META_RMKT_ALL_CONV</t>
        </is>
      </c>
      <c r="G766" s="42" t="inlineStr">
        <is>
          <t>Leads - Website Conversions</t>
        </is>
      </c>
      <c r="H766" s="42" t="inlineStr">
        <is>
          <t>Range</t>
        </is>
      </c>
      <c r="I766" s="42" t="inlineStr">
        <is>
          <t>Range Offer</t>
        </is>
      </c>
      <c r="J766" s="42" t="inlineStr">
        <is>
          <t>MET_RMKT_SITE30D_ZA</t>
        </is>
      </c>
      <c r="K766" s="42" t="inlineStr">
        <is>
          <t>Retargeting</t>
        </is>
      </c>
      <c r="L766" s="42" t="inlineStr">
        <is>
          <t>RMKT_STA_BookNow_v1</t>
        </is>
      </c>
      <c r="M766" s="42" t="inlineStr">
        <is>
          <t>Static 1:1</t>
        </is>
      </c>
      <c r="N766" s="42" t="inlineStr">
        <is>
          <t>Your test drive is 2 minutes away</t>
        </is>
      </c>
      <c r="O766" s="42" t="inlineStr">
        <is>
          <t>Auction - Lowest Cost</t>
        </is>
      </c>
      <c r="P766" s="42" t="inlineStr">
        <is>
          <t>Offsite Conversions</t>
        </is>
      </c>
      <c r="Q766" s="42" t="inlineStr">
        <is>
          <t>https://www.lepas-sa.co.za/book-a-test-drive</t>
        </is>
      </c>
      <c r="R766" s="115" t="n">
        <v>127.53</v>
      </c>
      <c r="S766" s="116" t="n">
        <v>1608</v>
      </c>
      <c r="T766" s="116" t="n">
        <v>1202</v>
      </c>
      <c r="U766" s="117">
        <f>IFERROR(S766/T766,"")</f>
        <v/>
      </c>
      <c r="V766" s="116" t="n">
        <v>65</v>
      </c>
      <c r="W766" s="116" t="n">
        <v>52</v>
      </c>
      <c r="X766" s="118">
        <f>IFERROR(W766/S766,"")</f>
        <v/>
      </c>
      <c r="Y766" s="115">
        <f>IFERROR(R766/W766,"")</f>
        <v/>
      </c>
      <c r="Z766" s="115">
        <f>IFERROR(R766/S766*1000,"")</f>
        <v/>
      </c>
      <c r="AA766" s="116" t="n">
        <v>42</v>
      </c>
      <c r="AB766" s="47">
        <f>IFERROR(AA766/W766,"")</f>
        <v/>
      </c>
      <c r="AC766" s="116" t="n">
        <v>0</v>
      </c>
      <c r="AD766" s="116" t="n">
        <v>0</v>
      </c>
      <c r="AE766" s="116" t="n">
        <v>0</v>
      </c>
      <c r="AF766" s="116" t="n">
        <v>0</v>
      </c>
      <c r="AG766" s="116" t="n">
        <v>0</v>
      </c>
      <c r="AH766" s="116" t="n">
        <v>0</v>
      </c>
      <c r="AI766" s="47">
        <f>IFERROR(AC766/S766,"")</f>
        <v/>
      </c>
      <c r="AJ766" s="47">
        <f>IFERROR(AH766/S766,"")</f>
        <v/>
      </c>
      <c r="AK766" s="116" t="n">
        <v>40</v>
      </c>
      <c r="AL766" s="116" t="n">
        <v>1</v>
      </c>
      <c r="AM766" s="118">
        <f>IFERROR(AL766/AA766,"")</f>
        <v/>
      </c>
      <c r="AN766" s="119">
        <f>IFERROR(R766/AL766,"")</f>
        <v/>
      </c>
      <c r="AO766" s="116" t="n">
        <v>1</v>
      </c>
      <c r="AP766" s="47">
        <f>IFERROR(AO766/AL766,"")</f>
        <v/>
      </c>
      <c r="AQ766" s="119">
        <f>IFERROR(R766/AO766,"")</f>
        <v/>
      </c>
      <c r="AR766" s="116" t="n">
        <v>1</v>
      </c>
      <c r="AS766" s="116" t="n">
        <v>0</v>
      </c>
      <c r="AT766" s="116">
        <f>AL766+AR766</f>
        <v/>
      </c>
      <c r="AU766" s="119">
        <f>IFERROR(AO766*Assumptions!$C$26*Assumptions!$C$27*INDEX(Assumptions!$C$18:$C$21,MATCH(H766,Assumptions!$B$18:$B$21,0)),0)</f>
        <v/>
      </c>
    </row>
    <row r="767">
      <c r="A767" s="114" t="n">
        <v>46237</v>
      </c>
      <c r="B767" s="42" t="inlineStr">
        <is>
          <t>Wk 32</t>
        </is>
      </c>
      <c r="C767" s="42" t="inlineStr">
        <is>
          <t>Mon</t>
        </is>
      </c>
      <c r="D767" s="42" t="inlineStr">
        <is>
          <t>Meta (FB/IG)</t>
        </is>
      </c>
      <c r="E767" s="42" t="inlineStr">
        <is>
          <t>Facebook + Instagram</t>
        </is>
      </c>
      <c r="F767" s="42" t="inlineStr">
        <is>
          <t>LEP_ZA_AUG26_META_RMKT_ALL_CONV</t>
        </is>
      </c>
      <c r="G767" s="42" t="inlineStr">
        <is>
          <t>Leads - Website Conversions</t>
        </is>
      </c>
      <c r="H767" s="42" t="inlineStr">
        <is>
          <t>Range</t>
        </is>
      </c>
      <c r="I767" s="42" t="inlineStr">
        <is>
          <t>Range Offer</t>
        </is>
      </c>
      <c r="J767" s="42" t="inlineStr">
        <is>
          <t>MET_RMKT_SITE30D_ZA</t>
        </is>
      </c>
      <c r="K767" s="42" t="inlineStr">
        <is>
          <t>Retargeting</t>
        </is>
      </c>
      <c r="L767" s="42" t="inlineStr">
        <is>
          <t>RMKT_STA_BookNow_v1</t>
        </is>
      </c>
      <c r="M767" s="42" t="inlineStr">
        <is>
          <t>Static 1:1</t>
        </is>
      </c>
      <c r="N767" s="42" t="inlineStr">
        <is>
          <t>Your test drive is 2 minutes away</t>
        </is>
      </c>
      <c r="O767" s="42" t="inlineStr">
        <is>
          <t>Auction - Lowest Cost</t>
        </is>
      </c>
      <c r="P767" s="42" t="inlineStr">
        <is>
          <t>Offsite Conversions</t>
        </is>
      </c>
      <c r="Q767" s="42" t="inlineStr">
        <is>
          <t>https://www.lepas-sa.co.za/book-a-test-drive</t>
        </is>
      </c>
      <c r="R767" s="115" t="n">
        <v>128.09</v>
      </c>
      <c r="S767" s="116" t="n">
        <v>1283</v>
      </c>
      <c r="T767" s="116" t="n">
        <v>820</v>
      </c>
      <c r="U767" s="117">
        <f>IFERROR(S767/T767,"")</f>
        <v/>
      </c>
      <c r="V767" s="116" t="n">
        <v>25</v>
      </c>
      <c r="W767" s="116" t="n">
        <v>21</v>
      </c>
      <c r="X767" s="118">
        <f>IFERROR(W767/S767,"")</f>
        <v/>
      </c>
      <c r="Y767" s="115">
        <f>IFERROR(R767/W767,"")</f>
        <v/>
      </c>
      <c r="Z767" s="115">
        <f>IFERROR(R767/S767*1000,"")</f>
        <v/>
      </c>
      <c r="AA767" s="116" t="n">
        <v>18</v>
      </c>
      <c r="AB767" s="47">
        <f>IFERROR(AA767/W767,"")</f>
        <v/>
      </c>
      <c r="AC767" s="116" t="n">
        <v>0</v>
      </c>
      <c r="AD767" s="116" t="n">
        <v>0</v>
      </c>
      <c r="AE767" s="116" t="n">
        <v>0</v>
      </c>
      <c r="AF767" s="116" t="n">
        <v>0</v>
      </c>
      <c r="AG767" s="116" t="n">
        <v>0</v>
      </c>
      <c r="AH767" s="116" t="n">
        <v>0</v>
      </c>
      <c r="AI767" s="47">
        <f>IFERROR(AC767/S767,"")</f>
        <v/>
      </c>
      <c r="AJ767" s="47">
        <f>IFERROR(AH767/S767,"")</f>
        <v/>
      </c>
      <c r="AK767" s="116" t="n">
        <v>21</v>
      </c>
      <c r="AL767" s="116" t="n">
        <v>1</v>
      </c>
      <c r="AM767" s="118">
        <f>IFERROR(AL767/AA767,"")</f>
        <v/>
      </c>
      <c r="AN767" s="119">
        <f>IFERROR(R767/AL767,"")</f>
        <v/>
      </c>
      <c r="AO767" s="116" t="n">
        <v>0</v>
      </c>
      <c r="AP767" s="47">
        <f>IFERROR(AO767/AL767,"")</f>
        <v/>
      </c>
      <c r="AQ767" s="119">
        <f>IFERROR(R767/AO767,"")</f>
        <v/>
      </c>
      <c r="AR767" s="116" t="n">
        <v>0</v>
      </c>
      <c r="AS767" s="116" t="n">
        <v>1</v>
      </c>
      <c r="AT767" s="116">
        <f>AL767+AR767</f>
        <v/>
      </c>
      <c r="AU767" s="119">
        <f>IFERROR(AO767*Assumptions!$C$26*Assumptions!$C$27*INDEX(Assumptions!$C$18:$C$21,MATCH(H767,Assumptions!$B$18:$B$21,0)),0)</f>
        <v/>
      </c>
    </row>
    <row r="768">
      <c r="A768" s="114" t="n">
        <v>46238</v>
      </c>
      <c r="B768" s="42" t="inlineStr">
        <is>
          <t>Wk 32</t>
        </is>
      </c>
      <c r="C768" s="42" t="inlineStr">
        <is>
          <t>Tue</t>
        </is>
      </c>
      <c r="D768" s="42" t="inlineStr">
        <is>
          <t>Meta (FB/IG)</t>
        </is>
      </c>
      <c r="E768" s="42" t="inlineStr">
        <is>
          <t>Facebook + Instagram</t>
        </is>
      </c>
      <c r="F768" s="42" t="inlineStr">
        <is>
          <t>LEP_ZA_AUG26_META_RMKT_ALL_CONV</t>
        </is>
      </c>
      <c r="G768" s="42" t="inlineStr">
        <is>
          <t>Leads - Website Conversions</t>
        </is>
      </c>
      <c r="H768" s="42" t="inlineStr">
        <is>
          <t>Range</t>
        </is>
      </c>
      <c r="I768" s="42" t="inlineStr">
        <is>
          <t>Range Offer</t>
        </is>
      </c>
      <c r="J768" s="42" t="inlineStr">
        <is>
          <t>MET_RMKT_SITE30D_ZA</t>
        </is>
      </c>
      <c r="K768" s="42" t="inlineStr">
        <is>
          <t>Retargeting</t>
        </is>
      </c>
      <c r="L768" s="42" t="inlineStr">
        <is>
          <t>RMKT_STA_BookNow_v1</t>
        </is>
      </c>
      <c r="M768" s="42" t="inlineStr">
        <is>
          <t>Static 1:1</t>
        </is>
      </c>
      <c r="N768" s="42" t="inlineStr">
        <is>
          <t>Your test drive is 2 minutes away</t>
        </is>
      </c>
      <c r="O768" s="42" t="inlineStr">
        <is>
          <t>Auction - Lowest Cost</t>
        </is>
      </c>
      <c r="P768" s="42" t="inlineStr">
        <is>
          <t>Offsite Conversions</t>
        </is>
      </c>
      <c r="Q768" s="42" t="inlineStr">
        <is>
          <t>https://www.lepas-sa.co.za/book-a-test-drive</t>
        </is>
      </c>
      <c r="R768" s="115" t="n">
        <v>161.49</v>
      </c>
      <c r="S768" s="116" t="n">
        <v>1423</v>
      </c>
      <c r="T768" s="116" t="n">
        <v>1162</v>
      </c>
      <c r="U768" s="117">
        <f>IFERROR(S768/T768,"")</f>
        <v/>
      </c>
      <c r="V768" s="116" t="n">
        <v>63</v>
      </c>
      <c r="W768" s="116" t="n">
        <v>51</v>
      </c>
      <c r="X768" s="118">
        <f>IFERROR(W768/S768,"")</f>
        <v/>
      </c>
      <c r="Y768" s="115">
        <f>IFERROR(R768/W768,"")</f>
        <v/>
      </c>
      <c r="Z768" s="115">
        <f>IFERROR(R768/S768*1000,"")</f>
        <v/>
      </c>
      <c r="AA768" s="116" t="n">
        <v>44</v>
      </c>
      <c r="AB768" s="47">
        <f>IFERROR(AA768/W768,"")</f>
        <v/>
      </c>
      <c r="AC768" s="116" t="n">
        <v>0</v>
      </c>
      <c r="AD768" s="116" t="n">
        <v>0</v>
      </c>
      <c r="AE768" s="116" t="n">
        <v>0</v>
      </c>
      <c r="AF768" s="116" t="n">
        <v>0</v>
      </c>
      <c r="AG768" s="116" t="n">
        <v>0</v>
      </c>
      <c r="AH768" s="116" t="n">
        <v>0</v>
      </c>
      <c r="AI768" s="47">
        <f>IFERROR(AC768/S768,"")</f>
        <v/>
      </c>
      <c r="AJ768" s="47">
        <f>IFERROR(AH768/S768,"")</f>
        <v/>
      </c>
      <c r="AK768" s="116" t="n">
        <v>39</v>
      </c>
      <c r="AL768" s="116" t="n">
        <v>2</v>
      </c>
      <c r="AM768" s="118">
        <f>IFERROR(AL768/AA768,"")</f>
        <v/>
      </c>
      <c r="AN768" s="119">
        <f>IFERROR(R768/AL768,"")</f>
        <v/>
      </c>
      <c r="AO768" s="116" t="n">
        <v>2</v>
      </c>
      <c r="AP768" s="47">
        <f>IFERROR(AO768/AL768,"")</f>
        <v/>
      </c>
      <c r="AQ768" s="119">
        <f>IFERROR(R768/AO768,"")</f>
        <v/>
      </c>
      <c r="AR768" s="116" t="n">
        <v>1</v>
      </c>
      <c r="AS768" s="116" t="n">
        <v>0</v>
      </c>
      <c r="AT768" s="116">
        <f>AL768+AR768</f>
        <v/>
      </c>
      <c r="AU768" s="119">
        <f>IFERROR(AO768*Assumptions!$C$26*Assumptions!$C$27*INDEX(Assumptions!$C$18:$C$21,MATCH(H768,Assumptions!$B$18:$B$21,0)),0)</f>
        <v/>
      </c>
    </row>
    <row r="769">
      <c r="A769" s="114" t="n">
        <v>46239</v>
      </c>
      <c r="B769" s="42" t="inlineStr">
        <is>
          <t>Wk 32</t>
        </is>
      </c>
      <c r="C769" s="42" t="inlineStr">
        <is>
          <t>Wed</t>
        </is>
      </c>
      <c r="D769" s="42" t="inlineStr">
        <is>
          <t>Meta (FB/IG)</t>
        </is>
      </c>
      <c r="E769" s="42" t="inlineStr">
        <is>
          <t>Facebook + Instagram</t>
        </is>
      </c>
      <c r="F769" s="42" t="inlineStr">
        <is>
          <t>LEP_ZA_AUG26_META_RMKT_ALL_CONV</t>
        </is>
      </c>
      <c r="G769" s="42" t="inlineStr">
        <is>
          <t>Leads - Website Conversions</t>
        </is>
      </c>
      <c r="H769" s="42" t="inlineStr">
        <is>
          <t>Range</t>
        </is>
      </c>
      <c r="I769" s="42" t="inlineStr">
        <is>
          <t>Range Offer</t>
        </is>
      </c>
      <c r="J769" s="42" t="inlineStr">
        <is>
          <t>MET_RMKT_SITE30D_ZA</t>
        </is>
      </c>
      <c r="K769" s="42" t="inlineStr">
        <is>
          <t>Retargeting</t>
        </is>
      </c>
      <c r="L769" s="42" t="inlineStr">
        <is>
          <t>RMKT_STA_BookNow_v1</t>
        </is>
      </c>
      <c r="M769" s="42" t="inlineStr">
        <is>
          <t>Static 1:1</t>
        </is>
      </c>
      <c r="N769" s="42" t="inlineStr">
        <is>
          <t>Your test drive is 2 minutes away</t>
        </is>
      </c>
      <c r="O769" s="42" t="inlineStr">
        <is>
          <t>Auction - Lowest Cost</t>
        </is>
      </c>
      <c r="P769" s="42" t="inlineStr">
        <is>
          <t>Offsite Conversions</t>
        </is>
      </c>
      <c r="Q769" s="42" t="inlineStr">
        <is>
          <t>https://www.lepas-sa.co.za/book-a-test-drive</t>
        </is>
      </c>
      <c r="R769" s="115" t="n">
        <v>153.15</v>
      </c>
      <c r="S769" s="116" t="n">
        <v>2215</v>
      </c>
      <c r="T769" s="116" t="n">
        <v>1749</v>
      </c>
      <c r="U769" s="117">
        <f>IFERROR(S769/T769,"")</f>
        <v/>
      </c>
      <c r="V769" s="116" t="n">
        <v>95</v>
      </c>
      <c r="W769" s="116" t="n">
        <v>69</v>
      </c>
      <c r="X769" s="118">
        <f>IFERROR(W769/S769,"")</f>
        <v/>
      </c>
      <c r="Y769" s="115">
        <f>IFERROR(R769/W769,"")</f>
        <v/>
      </c>
      <c r="Z769" s="115">
        <f>IFERROR(R769/S769*1000,"")</f>
        <v/>
      </c>
      <c r="AA769" s="116" t="n">
        <v>60</v>
      </c>
      <c r="AB769" s="47">
        <f>IFERROR(AA769/W769,"")</f>
        <v/>
      </c>
      <c r="AC769" s="116" t="n">
        <v>0</v>
      </c>
      <c r="AD769" s="116" t="n">
        <v>0</v>
      </c>
      <c r="AE769" s="116" t="n">
        <v>0</v>
      </c>
      <c r="AF769" s="116" t="n">
        <v>0</v>
      </c>
      <c r="AG769" s="116" t="n">
        <v>0</v>
      </c>
      <c r="AH769" s="116" t="n">
        <v>0</v>
      </c>
      <c r="AI769" s="47">
        <f>IFERROR(AC769/S769,"")</f>
        <v/>
      </c>
      <c r="AJ769" s="47">
        <f>IFERROR(AH769/S769,"")</f>
        <v/>
      </c>
      <c r="AK769" s="116" t="n">
        <v>30</v>
      </c>
      <c r="AL769" s="116" t="n">
        <v>2</v>
      </c>
      <c r="AM769" s="118">
        <f>IFERROR(AL769/AA769,"")</f>
        <v/>
      </c>
      <c r="AN769" s="119">
        <f>IFERROR(R769/AL769,"")</f>
        <v/>
      </c>
      <c r="AO769" s="116" t="n">
        <v>1</v>
      </c>
      <c r="AP769" s="47">
        <f>IFERROR(AO769/AL769,"")</f>
        <v/>
      </c>
      <c r="AQ769" s="119">
        <f>IFERROR(R769/AO769,"")</f>
        <v/>
      </c>
      <c r="AR769" s="116" t="n">
        <v>0</v>
      </c>
      <c r="AS769" s="116" t="n">
        <v>0</v>
      </c>
      <c r="AT769" s="116">
        <f>AL769+AR769</f>
        <v/>
      </c>
      <c r="AU769" s="119">
        <f>IFERROR(AO769*Assumptions!$C$26*Assumptions!$C$27*INDEX(Assumptions!$C$18:$C$21,MATCH(H769,Assumptions!$B$18:$B$21,0)),0)</f>
        <v/>
      </c>
    </row>
    <row r="770">
      <c r="A770" s="114" t="n">
        <v>46240</v>
      </c>
      <c r="B770" s="42" t="inlineStr">
        <is>
          <t>Wk 32</t>
        </is>
      </c>
      <c r="C770" s="42" t="inlineStr">
        <is>
          <t>Thu</t>
        </is>
      </c>
      <c r="D770" s="42" t="inlineStr">
        <is>
          <t>Meta (FB/IG)</t>
        </is>
      </c>
      <c r="E770" s="42" t="inlineStr">
        <is>
          <t>Facebook + Instagram</t>
        </is>
      </c>
      <c r="F770" s="42" t="inlineStr">
        <is>
          <t>LEP_ZA_AUG26_META_RMKT_ALL_CONV</t>
        </is>
      </c>
      <c r="G770" s="42" t="inlineStr">
        <is>
          <t>Leads - Website Conversions</t>
        </is>
      </c>
      <c r="H770" s="42" t="inlineStr">
        <is>
          <t>Range</t>
        </is>
      </c>
      <c r="I770" s="42" t="inlineStr">
        <is>
          <t>Range Offer</t>
        </is>
      </c>
      <c r="J770" s="42" t="inlineStr">
        <is>
          <t>MET_RMKT_SITE30D_ZA</t>
        </is>
      </c>
      <c r="K770" s="42" t="inlineStr">
        <is>
          <t>Retargeting</t>
        </is>
      </c>
      <c r="L770" s="42" t="inlineStr">
        <is>
          <t>RMKT_STA_BookNow_v1</t>
        </is>
      </c>
      <c r="M770" s="42" t="inlineStr">
        <is>
          <t>Static 1:1</t>
        </is>
      </c>
      <c r="N770" s="42" t="inlineStr">
        <is>
          <t>Your test drive is 2 minutes away</t>
        </is>
      </c>
      <c r="O770" s="42" t="inlineStr">
        <is>
          <t>Auction - Lowest Cost</t>
        </is>
      </c>
      <c r="P770" s="42" t="inlineStr">
        <is>
          <t>Offsite Conversions</t>
        </is>
      </c>
      <c r="Q770" s="42" t="inlineStr">
        <is>
          <t>https://www.lepas-sa.co.za/book-a-test-drive</t>
        </is>
      </c>
      <c r="R770" s="115" t="n">
        <v>156.73</v>
      </c>
      <c r="S770" s="116" t="n">
        <v>1589</v>
      </c>
      <c r="T770" s="116" t="n">
        <v>1128</v>
      </c>
      <c r="U770" s="117">
        <f>IFERROR(S770/T770,"")</f>
        <v/>
      </c>
      <c r="V770" s="116" t="n">
        <v>63</v>
      </c>
      <c r="W770" s="116" t="n">
        <v>49</v>
      </c>
      <c r="X770" s="118">
        <f>IFERROR(W770/S770,"")</f>
        <v/>
      </c>
      <c r="Y770" s="115">
        <f>IFERROR(R770/W770,"")</f>
        <v/>
      </c>
      <c r="Z770" s="115">
        <f>IFERROR(R770/S770*1000,"")</f>
        <v/>
      </c>
      <c r="AA770" s="116" t="n">
        <v>43</v>
      </c>
      <c r="AB770" s="47">
        <f>IFERROR(AA770/W770,"")</f>
        <v/>
      </c>
      <c r="AC770" s="116" t="n">
        <v>0</v>
      </c>
      <c r="AD770" s="116" t="n">
        <v>0</v>
      </c>
      <c r="AE770" s="116" t="n">
        <v>0</v>
      </c>
      <c r="AF770" s="116" t="n">
        <v>0</v>
      </c>
      <c r="AG770" s="116" t="n">
        <v>0</v>
      </c>
      <c r="AH770" s="116" t="n">
        <v>0</v>
      </c>
      <c r="AI770" s="47">
        <f>IFERROR(AC770/S770,"")</f>
        <v/>
      </c>
      <c r="AJ770" s="47">
        <f>IFERROR(AH770/S770,"")</f>
        <v/>
      </c>
      <c r="AK770" s="116" t="n">
        <v>25</v>
      </c>
      <c r="AL770" s="116" t="n">
        <v>1</v>
      </c>
      <c r="AM770" s="118">
        <f>IFERROR(AL770/AA770,"")</f>
        <v/>
      </c>
      <c r="AN770" s="119">
        <f>IFERROR(R770/AL770,"")</f>
        <v/>
      </c>
      <c r="AO770" s="116" t="n">
        <v>1</v>
      </c>
      <c r="AP770" s="47">
        <f>IFERROR(AO770/AL770,"")</f>
        <v/>
      </c>
      <c r="AQ770" s="119">
        <f>IFERROR(R770/AO770,"")</f>
        <v/>
      </c>
      <c r="AR770" s="116" t="n">
        <v>1</v>
      </c>
      <c r="AS770" s="116" t="n">
        <v>1</v>
      </c>
      <c r="AT770" s="116">
        <f>AL770+AR770</f>
        <v/>
      </c>
      <c r="AU770" s="119">
        <f>IFERROR(AO770*Assumptions!$C$26*Assumptions!$C$27*INDEX(Assumptions!$C$18:$C$21,MATCH(H770,Assumptions!$B$18:$B$21,0)),0)</f>
        <v/>
      </c>
    </row>
    <row r="771">
      <c r="A771" s="114" t="n">
        <v>46241</v>
      </c>
      <c r="B771" s="42" t="inlineStr">
        <is>
          <t>Wk 32</t>
        </is>
      </c>
      <c r="C771" s="42" t="inlineStr">
        <is>
          <t>Fri</t>
        </is>
      </c>
      <c r="D771" s="42" t="inlineStr">
        <is>
          <t>Meta (FB/IG)</t>
        </is>
      </c>
      <c r="E771" s="42" t="inlineStr">
        <is>
          <t>Facebook + Instagram</t>
        </is>
      </c>
      <c r="F771" s="42" t="inlineStr">
        <is>
          <t>LEP_ZA_AUG26_META_RMKT_ALL_CONV</t>
        </is>
      </c>
      <c r="G771" s="42" t="inlineStr">
        <is>
          <t>Leads - Website Conversions</t>
        </is>
      </c>
      <c r="H771" s="42" t="inlineStr">
        <is>
          <t>Range</t>
        </is>
      </c>
      <c r="I771" s="42" t="inlineStr">
        <is>
          <t>Range Offer</t>
        </is>
      </c>
      <c r="J771" s="42" t="inlineStr">
        <is>
          <t>MET_RMKT_SITE30D_ZA</t>
        </is>
      </c>
      <c r="K771" s="42" t="inlineStr">
        <is>
          <t>Retargeting</t>
        </is>
      </c>
      <c r="L771" s="42" t="inlineStr">
        <is>
          <t>RMKT_STA_BookNow_v1</t>
        </is>
      </c>
      <c r="M771" s="42" t="inlineStr">
        <is>
          <t>Static 1:1</t>
        </is>
      </c>
      <c r="N771" s="42" t="inlineStr">
        <is>
          <t>Your test drive is 2 minutes away</t>
        </is>
      </c>
      <c r="O771" s="42" t="inlineStr">
        <is>
          <t>Auction - Lowest Cost</t>
        </is>
      </c>
      <c r="P771" s="42" t="inlineStr">
        <is>
          <t>Offsite Conversions</t>
        </is>
      </c>
      <c r="Q771" s="42" t="inlineStr">
        <is>
          <t>https://www.lepas-sa.co.za/book-a-test-drive</t>
        </is>
      </c>
      <c r="R771" s="115" t="n">
        <v>158.53</v>
      </c>
      <c r="S771" s="116" t="n">
        <v>1566</v>
      </c>
      <c r="T771" s="116" t="n">
        <v>961</v>
      </c>
      <c r="U771" s="117">
        <f>IFERROR(S771/T771,"")</f>
        <v/>
      </c>
      <c r="V771" s="116" t="n">
        <v>41</v>
      </c>
      <c r="W771" s="116" t="n">
        <v>31</v>
      </c>
      <c r="X771" s="118">
        <f>IFERROR(W771/S771,"")</f>
        <v/>
      </c>
      <c r="Y771" s="115">
        <f>IFERROR(R771/W771,"")</f>
        <v/>
      </c>
      <c r="Z771" s="115">
        <f>IFERROR(R771/S771*1000,"")</f>
        <v/>
      </c>
      <c r="AA771" s="116" t="n">
        <v>26</v>
      </c>
      <c r="AB771" s="47">
        <f>IFERROR(AA771/W771,"")</f>
        <v/>
      </c>
      <c r="AC771" s="116" t="n">
        <v>0</v>
      </c>
      <c r="AD771" s="116" t="n">
        <v>0</v>
      </c>
      <c r="AE771" s="116" t="n">
        <v>0</v>
      </c>
      <c r="AF771" s="116" t="n">
        <v>0</v>
      </c>
      <c r="AG771" s="116" t="n">
        <v>0</v>
      </c>
      <c r="AH771" s="116" t="n">
        <v>0</v>
      </c>
      <c r="AI771" s="47">
        <f>IFERROR(AC771/S771,"")</f>
        <v/>
      </c>
      <c r="AJ771" s="47">
        <f>IFERROR(AH771/S771,"")</f>
        <v/>
      </c>
      <c r="AK771" s="116" t="n">
        <v>50</v>
      </c>
      <c r="AL771" s="116" t="n">
        <v>1</v>
      </c>
      <c r="AM771" s="118">
        <f>IFERROR(AL771/AA771,"")</f>
        <v/>
      </c>
      <c r="AN771" s="119">
        <f>IFERROR(R771/AL771,"")</f>
        <v/>
      </c>
      <c r="AO771" s="116" t="n">
        <v>1</v>
      </c>
      <c r="AP771" s="47">
        <f>IFERROR(AO771/AL771,"")</f>
        <v/>
      </c>
      <c r="AQ771" s="119">
        <f>IFERROR(R771/AO771,"")</f>
        <v/>
      </c>
      <c r="AR771" s="116" t="n">
        <v>0</v>
      </c>
      <c r="AS771" s="116" t="n">
        <v>0</v>
      </c>
      <c r="AT771" s="116">
        <f>AL771+AR771</f>
        <v/>
      </c>
      <c r="AU771" s="119">
        <f>IFERROR(AO771*Assumptions!$C$26*Assumptions!$C$27*INDEX(Assumptions!$C$18:$C$21,MATCH(H771,Assumptions!$B$18:$B$21,0)),0)</f>
        <v/>
      </c>
    </row>
    <row r="772">
      <c r="A772" s="114" t="n">
        <v>46242</v>
      </c>
      <c r="B772" s="42" t="inlineStr">
        <is>
          <t>Wk 32</t>
        </is>
      </c>
      <c r="C772" s="42" t="inlineStr">
        <is>
          <t>Sat</t>
        </is>
      </c>
      <c r="D772" s="42" t="inlineStr">
        <is>
          <t>Meta (FB/IG)</t>
        </is>
      </c>
      <c r="E772" s="42" t="inlineStr">
        <is>
          <t>Facebook + Instagram</t>
        </is>
      </c>
      <c r="F772" s="42" t="inlineStr">
        <is>
          <t>LEP_ZA_AUG26_META_RMKT_ALL_CONV</t>
        </is>
      </c>
      <c r="G772" s="42" t="inlineStr">
        <is>
          <t>Leads - Website Conversions</t>
        </is>
      </c>
      <c r="H772" s="42" t="inlineStr">
        <is>
          <t>Range</t>
        </is>
      </c>
      <c r="I772" s="42" t="inlineStr">
        <is>
          <t>Range Offer</t>
        </is>
      </c>
      <c r="J772" s="42" t="inlineStr">
        <is>
          <t>MET_RMKT_SITE30D_ZA</t>
        </is>
      </c>
      <c r="K772" s="42" t="inlineStr">
        <is>
          <t>Retargeting</t>
        </is>
      </c>
      <c r="L772" s="42" t="inlineStr">
        <is>
          <t>RMKT_STA_BookNow_v1</t>
        </is>
      </c>
      <c r="M772" s="42" t="inlineStr">
        <is>
          <t>Static 1:1</t>
        </is>
      </c>
      <c r="N772" s="42" t="inlineStr">
        <is>
          <t>Your test drive is 2 minutes away</t>
        </is>
      </c>
      <c r="O772" s="42" t="inlineStr">
        <is>
          <t>Auction - Lowest Cost</t>
        </is>
      </c>
      <c r="P772" s="42" t="inlineStr">
        <is>
          <t>Offsite Conversions</t>
        </is>
      </c>
      <c r="Q772" s="42" t="inlineStr">
        <is>
          <t>https://www.lepas-sa.co.za/book-a-test-drive</t>
        </is>
      </c>
      <c r="R772" s="115" t="n">
        <v>150.8</v>
      </c>
      <c r="S772" s="116" t="n">
        <v>2150</v>
      </c>
      <c r="T772" s="116" t="n">
        <v>1498</v>
      </c>
      <c r="U772" s="117">
        <f>IFERROR(S772/T772,"")</f>
        <v/>
      </c>
      <c r="V772" s="116" t="n">
        <v>79</v>
      </c>
      <c r="W772" s="116" t="n">
        <v>60</v>
      </c>
      <c r="X772" s="118">
        <f>IFERROR(W772/S772,"")</f>
        <v/>
      </c>
      <c r="Y772" s="115">
        <f>IFERROR(R772/W772,"")</f>
        <v/>
      </c>
      <c r="Z772" s="115">
        <f>IFERROR(R772/S772*1000,"")</f>
        <v/>
      </c>
      <c r="AA772" s="116" t="n">
        <v>52</v>
      </c>
      <c r="AB772" s="47">
        <f>IFERROR(AA772/W772,"")</f>
        <v/>
      </c>
      <c r="AC772" s="116" t="n">
        <v>0</v>
      </c>
      <c r="AD772" s="116" t="n">
        <v>0</v>
      </c>
      <c r="AE772" s="116" t="n">
        <v>0</v>
      </c>
      <c r="AF772" s="116" t="n">
        <v>0</v>
      </c>
      <c r="AG772" s="116" t="n">
        <v>0</v>
      </c>
      <c r="AH772" s="116" t="n">
        <v>0</v>
      </c>
      <c r="AI772" s="47">
        <f>IFERROR(AC772/S772,"")</f>
        <v/>
      </c>
      <c r="AJ772" s="47">
        <f>IFERROR(AH772/S772,"")</f>
        <v/>
      </c>
      <c r="AK772" s="116" t="n">
        <v>59</v>
      </c>
      <c r="AL772" s="116" t="n">
        <v>1</v>
      </c>
      <c r="AM772" s="118">
        <f>IFERROR(AL772/AA772,"")</f>
        <v/>
      </c>
      <c r="AN772" s="119">
        <f>IFERROR(R772/AL772,"")</f>
        <v/>
      </c>
      <c r="AO772" s="116" t="n">
        <v>0</v>
      </c>
      <c r="AP772" s="47">
        <f>IFERROR(AO772/AL772,"")</f>
        <v/>
      </c>
      <c r="AQ772" s="119">
        <f>IFERROR(R772/AO772,"")</f>
        <v/>
      </c>
      <c r="AR772" s="116" t="n">
        <v>1</v>
      </c>
      <c r="AS772" s="116" t="n">
        <v>1</v>
      </c>
      <c r="AT772" s="116">
        <f>AL772+AR772</f>
        <v/>
      </c>
      <c r="AU772" s="119">
        <f>IFERROR(AO772*Assumptions!$C$26*Assumptions!$C$27*INDEX(Assumptions!$C$18:$C$21,MATCH(H772,Assumptions!$B$18:$B$21,0)),0)</f>
        <v/>
      </c>
    </row>
    <row r="773">
      <c r="A773" s="114" t="n">
        <v>46243</v>
      </c>
      <c r="B773" s="42" t="inlineStr">
        <is>
          <t>Wk 32</t>
        </is>
      </c>
      <c r="C773" s="42" t="inlineStr">
        <is>
          <t>Sun</t>
        </is>
      </c>
      <c r="D773" s="42" t="inlineStr">
        <is>
          <t>Meta (FB/IG)</t>
        </is>
      </c>
      <c r="E773" s="42" t="inlineStr">
        <is>
          <t>Facebook + Instagram</t>
        </is>
      </c>
      <c r="F773" s="42" t="inlineStr">
        <is>
          <t>LEP_ZA_AUG26_META_RMKT_ALL_CONV</t>
        </is>
      </c>
      <c r="G773" s="42" t="inlineStr">
        <is>
          <t>Leads - Website Conversions</t>
        </is>
      </c>
      <c r="H773" s="42" t="inlineStr">
        <is>
          <t>Range</t>
        </is>
      </c>
      <c r="I773" s="42" t="inlineStr">
        <is>
          <t>Range Offer</t>
        </is>
      </c>
      <c r="J773" s="42" t="inlineStr">
        <is>
          <t>MET_RMKT_SITE30D_ZA</t>
        </is>
      </c>
      <c r="K773" s="42" t="inlineStr">
        <is>
          <t>Retargeting</t>
        </is>
      </c>
      <c r="L773" s="42" t="inlineStr">
        <is>
          <t>RMKT_STA_BookNow_v1</t>
        </is>
      </c>
      <c r="M773" s="42" t="inlineStr">
        <is>
          <t>Static 1:1</t>
        </is>
      </c>
      <c r="N773" s="42" t="inlineStr">
        <is>
          <t>Your test drive is 2 minutes away</t>
        </is>
      </c>
      <c r="O773" s="42" t="inlineStr">
        <is>
          <t>Auction - Lowest Cost</t>
        </is>
      </c>
      <c r="P773" s="42" t="inlineStr">
        <is>
          <t>Offsite Conversions</t>
        </is>
      </c>
      <c r="Q773" s="42" t="inlineStr">
        <is>
          <t>https://www.lepas-sa.co.za/book-a-test-drive</t>
        </is>
      </c>
      <c r="R773" s="115" t="n">
        <v>135.36</v>
      </c>
      <c r="S773" s="116" t="n">
        <v>1389</v>
      </c>
      <c r="T773" s="116" t="n">
        <v>943</v>
      </c>
      <c r="U773" s="117">
        <f>IFERROR(S773/T773,"")</f>
        <v/>
      </c>
      <c r="V773" s="116" t="n">
        <v>39</v>
      </c>
      <c r="W773" s="116" t="n">
        <v>32</v>
      </c>
      <c r="X773" s="118">
        <f>IFERROR(W773/S773,"")</f>
        <v/>
      </c>
      <c r="Y773" s="115">
        <f>IFERROR(R773/W773,"")</f>
        <v/>
      </c>
      <c r="Z773" s="115">
        <f>IFERROR(R773/S773*1000,"")</f>
        <v/>
      </c>
      <c r="AA773" s="116" t="n">
        <v>26</v>
      </c>
      <c r="AB773" s="47">
        <f>IFERROR(AA773/W773,"")</f>
        <v/>
      </c>
      <c r="AC773" s="116" t="n">
        <v>0</v>
      </c>
      <c r="AD773" s="116" t="n">
        <v>0</v>
      </c>
      <c r="AE773" s="116" t="n">
        <v>0</v>
      </c>
      <c r="AF773" s="116" t="n">
        <v>0</v>
      </c>
      <c r="AG773" s="116" t="n">
        <v>0</v>
      </c>
      <c r="AH773" s="116" t="n">
        <v>0</v>
      </c>
      <c r="AI773" s="47">
        <f>IFERROR(AC773/S773,"")</f>
        <v/>
      </c>
      <c r="AJ773" s="47">
        <f>IFERROR(AH773/S773,"")</f>
        <v/>
      </c>
      <c r="AK773" s="116" t="n">
        <v>45</v>
      </c>
      <c r="AL773" s="116" t="n">
        <v>1</v>
      </c>
      <c r="AM773" s="118">
        <f>IFERROR(AL773/AA773,"")</f>
        <v/>
      </c>
      <c r="AN773" s="119">
        <f>IFERROR(R773/AL773,"")</f>
        <v/>
      </c>
      <c r="AO773" s="116" t="n">
        <v>1</v>
      </c>
      <c r="AP773" s="47">
        <f>IFERROR(AO773/AL773,"")</f>
        <v/>
      </c>
      <c r="AQ773" s="119">
        <f>IFERROR(R773/AO773,"")</f>
        <v/>
      </c>
      <c r="AR773" s="116" t="n">
        <v>0</v>
      </c>
      <c r="AS773" s="116" t="n">
        <v>0</v>
      </c>
      <c r="AT773" s="116">
        <f>AL773+AR773</f>
        <v/>
      </c>
      <c r="AU773" s="119">
        <f>IFERROR(AO773*Assumptions!$C$26*Assumptions!$C$27*INDEX(Assumptions!$C$18:$C$21,MATCH(H773,Assumptions!$B$18:$B$21,0)),0)</f>
        <v/>
      </c>
    </row>
    <row r="774">
      <c r="A774" s="114" t="n">
        <v>46244</v>
      </c>
      <c r="B774" s="42" t="inlineStr">
        <is>
          <t>Wk 33</t>
        </is>
      </c>
      <c r="C774" s="42" t="inlineStr">
        <is>
          <t>Mon</t>
        </is>
      </c>
      <c r="D774" s="42" t="inlineStr">
        <is>
          <t>Meta (FB/IG)</t>
        </is>
      </c>
      <c r="E774" s="42" t="inlineStr">
        <is>
          <t>Facebook + Instagram</t>
        </is>
      </c>
      <c r="F774" s="42" t="inlineStr">
        <is>
          <t>LEP_ZA_AUG26_META_RMKT_ALL_CONV</t>
        </is>
      </c>
      <c r="G774" s="42" t="inlineStr">
        <is>
          <t>Leads - Website Conversions</t>
        </is>
      </c>
      <c r="H774" s="42" t="inlineStr">
        <is>
          <t>Range</t>
        </is>
      </c>
      <c r="I774" s="42" t="inlineStr">
        <is>
          <t>Range Offer</t>
        </is>
      </c>
      <c r="J774" s="42" t="inlineStr">
        <is>
          <t>MET_RMKT_SITE30D_ZA</t>
        </is>
      </c>
      <c r="K774" s="42" t="inlineStr">
        <is>
          <t>Retargeting</t>
        </is>
      </c>
      <c r="L774" s="42" t="inlineStr">
        <is>
          <t>RMKT_STA_BookNow_v1</t>
        </is>
      </c>
      <c r="M774" s="42" t="inlineStr">
        <is>
          <t>Static 1:1</t>
        </is>
      </c>
      <c r="N774" s="42" t="inlineStr">
        <is>
          <t>Your test drive is 2 minutes away</t>
        </is>
      </c>
      <c r="O774" s="42" t="inlineStr">
        <is>
          <t>Auction - Lowest Cost</t>
        </is>
      </c>
      <c r="P774" s="42" t="inlineStr">
        <is>
          <t>Offsite Conversions</t>
        </is>
      </c>
      <c r="Q774" s="42" t="inlineStr">
        <is>
          <t>https://www.lepas-sa.co.za/book-a-test-drive</t>
        </is>
      </c>
      <c r="R774" s="115" t="n">
        <v>178.13</v>
      </c>
      <c r="S774" s="116" t="n">
        <v>2395</v>
      </c>
      <c r="T774" s="116" t="n">
        <v>1600</v>
      </c>
      <c r="U774" s="117">
        <f>IFERROR(S774/T774,"")</f>
        <v/>
      </c>
      <c r="V774" s="116" t="n">
        <v>45</v>
      </c>
      <c r="W774" s="116" t="n">
        <v>34</v>
      </c>
      <c r="X774" s="118">
        <f>IFERROR(W774/S774,"")</f>
        <v/>
      </c>
      <c r="Y774" s="115">
        <f>IFERROR(R774/W774,"")</f>
        <v/>
      </c>
      <c r="Z774" s="115">
        <f>IFERROR(R774/S774*1000,"")</f>
        <v/>
      </c>
      <c r="AA774" s="116" t="n">
        <v>30</v>
      </c>
      <c r="AB774" s="47">
        <f>IFERROR(AA774/W774,"")</f>
        <v/>
      </c>
      <c r="AC774" s="116" t="n">
        <v>0</v>
      </c>
      <c r="AD774" s="116" t="n">
        <v>0</v>
      </c>
      <c r="AE774" s="116" t="n">
        <v>0</v>
      </c>
      <c r="AF774" s="116" t="n">
        <v>0</v>
      </c>
      <c r="AG774" s="116" t="n">
        <v>0</v>
      </c>
      <c r="AH774" s="116" t="n">
        <v>0</v>
      </c>
      <c r="AI774" s="47">
        <f>IFERROR(AC774/S774,"")</f>
        <v/>
      </c>
      <c r="AJ774" s="47">
        <f>IFERROR(AH774/S774,"")</f>
        <v/>
      </c>
      <c r="AK774" s="116" t="n">
        <v>82</v>
      </c>
      <c r="AL774" s="116" t="n">
        <v>2</v>
      </c>
      <c r="AM774" s="118">
        <f>IFERROR(AL774/AA774,"")</f>
        <v/>
      </c>
      <c r="AN774" s="119">
        <f>IFERROR(R774/AL774,"")</f>
        <v/>
      </c>
      <c r="AO774" s="116" t="n">
        <v>1</v>
      </c>
      <c r="AP774" s="47">
        <f>IFERROR(AO774/AL774,"")</f>
        <v/>
      </c>
      <c r="AQ774" s="119">
        <f>IFERROR(R774/AO774,"")</f>
        <v/>
      </c>
      <c r="AR774" s="116" t="n">
        <v>0</v>
      </c>
      <c r="AS774" s="116" t="n">
        <v>1</v>
      </c>
      <c r="AT774" s="116">
        <f>AL774+AR774</f>
        <v/>
      </c>
      <c r="AU774" s="119">
        <f>IFERROR(AO774*Assumptions!$C$26*Assumptions!$C$27*INDEX(Assumptions!$C$18:$C$21,MATCH(H774,Assumptions!$B$18:$B$21,0)),0)</f>
        <v/>
      </c>
    </row>
    <row r="775">
      <c r="A775" s="114" t="n">
        <v>46245</v>
      </c>
      <c r="B775" s="42" t="inlineStr">
        <is>
          <t>Wk 33</t>
        </is>
      </c>
      <c r="C775" s="42" t="inlineStr">
        <is>
          <t>Tue</t>
        </is>
      </c>
      <c r="D775" s="42" t="inlineStr">
        <is>
          <t>Meta (FB/IG)</t>
        </is>
      </c>
      <c r="E775" s="42" t="inlineStr">
        <is>
          <t>Facebook + Instagram</t>
        </is>
      </c>
      <c r="F775" s="42" t="inlineStr">
        <is>
          <t>LEP_ZA_AUG26_META_RMKT_ALL_CONV</t>
        </is>
      </c>
      <c r="G775" s="42" t="inlineStr">
        <is>
          <t>Leads - Website Conversions</t>
        </is>
      </c>
      <c r="H775" s="42" t="inlineStr">
        <is>
          <t>Range</t>
        </is>
      </c>
      <c r="I775" s="42" t="inlineStr">
        <is>
          <t>Range Offer</t>
        </is>
      </c>
      <c r="J775" s="42" t="inlineStr">
        <is>
          <t>MET_RMKT_SITE30D_ZA</t>
        </is>
      </c>
      <c r="K775" s="42" t="inlineStr">
        <is>
          <t>Retargeting</t>
        </is>
      </c>
      <c r="L775" s="42" t="inlineStr">
        <is>
          <t>RMKT_STA_BookNow_v1</t>
        </is>
      </c>
      <c r="M775" s="42" t="inlineStr">
        <is>
          <t>Static 1:1</t>
        </is>
      </c>
      <c r="N775" s="42" t="inlineStr">
        <is>
          <t>Your test drive is 2 minutes away</t>
        </is>
      </c>
      <c r="O775" s="42" t="inlineStr">
        <is>
          <t>Auction - Lowest Cost</t>
        </is>
      </c>
      <c r="P775" s="42" t="inlineStr">
        <is>
          <t>Offsite Conversions</t>
        </is>
      </c>
      <c r="Q775" s="42" t="inlineStr">
        <is>
          <t>https://www.lepas-sa.co.za/book-a-test-drive</t>
        </is>
      </c>
      <c r="R775" s="115" t="n">
        <v>159.47</v>
      </c>
      <c r="S775" s="116" t="n">
        <v>1453</v>
      </c>
      <c r="T775" s="116" t="n">
        <v>1134</v>
      </c>
      <c r="U775" s="117">
        <f>IFERROR(S775/T775,"")</f>
        <v/>
      </c>
      <c r="V775" s="116" t="n">
        <v>45</v>
      </c>
      <c r="W775" s="116" t="n">
        <v>32</v>
      </c>
      <c r="X775" s="118">
        <f>IFERROR(W775/S775,"")</f>
        <v/>
      </c>
      <c r="Y775" s="115">
        <f>IFERROR(R775/W775,"")</f>
        <v/>
      </c>
      <c r="Z775" s="115">
        <f>IFERROR(R775/S775*1000,"")</f>
        <v/>
      </c>
      <c r="AA775" s="116" t="n">
        <v>29</v>
      </c>
      <c r="AB775" s="47">
        <f>IFERROR(AA775/W775,"")</f>
        <v/>
      </c>
      <c r="AC775" s="116" t="n">
        <v>0</v>
      </c>
      <c r="AD775" s="116" t="n">
        <v>0</v>
      </c>
      <c r="AE775" s="116" t="n">
        <v>0</v>
      </c>
      <c r="AF775" s="116" t="n">
        <v>0</v>
      </c>
      <c r="AG775" s="116" t="n">
        <v>0</v>
      </c>
      <c r="AH775" s="116" t="n">
        <v>0</v>
      </c>
      <c r="AI775" s="47">
        <f>IFERROR(AC775/S775,"")</f>
        <v/>
      </c>
      <c r="AJ775" s="47">
        <f>IFERROR(AH775/S775,"")</f>
        <v/>
      </c>
      <c r="AK775" s="116" t="n">
        <v>49</v>
      </c>
      <c r="AL775" s="116" t="n">
        <v>1</v>
      </c>
      <c r="AM775" s="118">
        <f>IFERROR(AL775/AA775,"")</f>
        <v/>
      </c>
      <c r="AN775" s="119">
        <f>IFERROR(R775/AL775,"")</f>
        <v/>
      </c>
      <c r="AO775" s="116" t="n">
        <v>1</v>
      </c>
      <c r="AP775" s="47">
        <f>IFERROR(AO775/AL775,"")</f>
        <v/>
      </c>
      <c r="AQ775" s="119">
        <f>IFERROR(R775/AO775,"")</f>
        <v/>
      </c>
      <c r="AR775" s="116" t="n">
        <v>1</v>
      </c>
      <c r="AS775" s="116" t="n">
        <v>1</v>
      </c>
      <c r="AT775" s="116">
        <f>AL775+AR775</f>
        <v/>
      </c>
      <c r="AU775" s="119">
        <f>IFERROR(AO775*Assumptions!$C$26*Assumptions!$C$27*INDEX(Assumptions!$C$18:$C$21,MATCH(H775,Assumptions!$B$18:$B$21,0)),0)</f>
        <v/>
      </c>
    </row>
    <row r="776">
      <c r="A776" s="114" t="n">
        <v>46246</v>
      </c>
      <c r="B776" s="42" t="inlineStr">
        <is>
          <t>Wk 33</t>
        </is>
      </c>
      <c r="C776" s="42" t="inlineStr">
        <is>
          <t>Wed</t>
        </is>
      </c>
      <c r="D776" s="42" t="inlineStr">
        <is>
          <t>Meta (FB/IG)</t>
        </is>
      </c>
      <c r="E776" s="42" t="inlineStr">
        <is>
          <t>Facebook + Instagram</t>
        </is>
      </c>
      <c r="F776" s="42" t="inlineStr">
        <is>
          <t>LEP_ZA_AUG26_META_RMKT_ALL_CONV</t>
        </is>
      </c>
      <c r="G776" s="42" t="inlineStr">
        <is>
          <t>Leads - Website Conversions</t>
        </is>
      </c>
      <c r="H776" s="42" t="inlineStr">
        <is>
          <t>Range</t>
        </is>
      </c>
      <c r="I776" s="42" t="inlineStr">
        <is>
          <t>Range Offer</t>
        </is>
      </c>
      <c r="J776" s="42" t="inlineStr">
        <is>
          <t>MET_RMKT_SITE30D_ZA</t>
        </is>
      </c>
      <c r="K776" s="42" t="inlineStr">
        <is>
          <t>Retargeting</t>
        </is>
      </c>
      <c r="L776" s="42" t="inlineStr">
        <is>
          <t>RMKT_STA_BookNow_v1</t>
        </is>
      </c>
      <c r="M776" s="42" t="inlineStr">
        <is>
          <t>Static 1:1</t>
        </is>
      </c>
      <c r="N776" s="42" t="inlineStr">
        <is>
          <t>Your test drive is 2 minutes away</t>
        </is>
      </c>
      <c r="O776" s="42" t="inlineStr">
        <is>
          <t>Auction - Lowest Cost</t>
        </is>
      </c>
      <c r="P776" s="42" t="inlineStr">
        <is>
          <t>Offsite Conversions</t>
        </is>
      </c>
      <c r="Q776" s="42" t="inlineStr">
        <is>
          <t>https://www.lepas-sa.co.za/book-a-test-drive</t>
        </is>
      </c>
      <c r="R776" s="115" t="n">
        <v>128.86</v>
      </c>
      <c r="S776" s="116" t="n">
        <v>1366</v>
      </c>
      <c r="T776" s="116" t="n">
        <v>978</v>
      </c>
      <c r="U776" s="117">
        <f>IFERROR(S776/T776,"")</f>
        <v/>
      </c>
      <c r="V776" s="116" t="n">
        <v>33</v>
      </c>
      <c r="W776" s="116" t="n">
        <v>24</v>
      </c>
      <c r="X776" s="118">
        <f>IFERROR(W776/S776,"")</f>
        <v/>
      </c>
      <c r="Y776" s="115">
        <f>IFERROR(R776/W776,"")</f>
        <v/>
      </c>
      <c r="Z776" s="115">
        <f>IFERROR(R776/S776*1000,"")</f>
        <v/>
      </c>
      <c r="AA776" s="116" t="n">
        <v>20</v>
      </c>
      <c r="AB776" s="47">
        <f>IFERROR(AA776/W776,"")</f>
        <v/>
      </c>
      <c r="AC776" s="116" t="n">
        <v>0</v>
      </c>
      <c r="AD776" s="116" t="n">
        <v>0</v>
      </c>
      <c r="AE776" s="116" t="n">
        <v>0</v>
      </c>
      <c r="AF776" s="116" t="n">
        <v>0</v>
      </c>
      <c r="AG776" s="116" t="n">
        <v>0</v>
      </c>
      <c r="AH776" s="116" t="n">
        <v>0</v>
      </c>
      <c r="AI776" s="47">
        <f>IFERROR(AC776/S776,"")</f>
        <v/>
      </c>
      <c r="AJ776" s="47">
        <f>IFERROR(AH776/S776,"")</f>
        <v/>
      </c>
      <c r="AK776" s="116" t="n">
        <v>18</v>
      </c>
      <c r="AL776" s="116" t="n">
        <v>1</v>
      </c>
      <c r="AM776" s="118">
        <f>IFERROR(AL776/AA776,"")</f>
        <v/>
      </c>
      <c r="AN776" s="119">
        <f>IFERROR(R776/AL776,"")</f>
        <v/>
      </c>
      <c r="AO776" s="116" t="n">
        <v>1</v>
      </c>
      <c r="AP776" s="47">
        <f>IFERROR(AO776/AL776,"")</f>
        <v/>
      </c>
      <c r="AQ776" s="119">
        <f>IFERROR(R776/AO776,"")</f>
        <v/>
      </c>
      <c r="AR776" s="116" t="n">
        <v>1</v>
      </c>
      <c r="AS776" s="116" t="n">
        <v>0</v>
      </c>
      <c r="AT776" s="116">
        <f>AL776+AR776</f>
        <v/>
      </c>
      <c r="AU776" s="119">
        <f>IFERROR(AO776*Assumptions!$C$26*Assumptions!$C$27*INDEX(Assumptions!$C$18:$C$21,MATCH(H776,Assumptions!$B$18:$B$21,0)),0)</f>
        <v/>
      </c>
    </row>
    <row r="777">
      <c r="A777" s="114" t="n">
        <v>46247</v>
      </c>
      <c r="B777" s="42" t="inlineStr">
        <is>
          <t>Wk 33</t>
        </is>
      </c>
      <c r="C777" s="42" t="inlineStr">
        <is>
          <t>Thu</t>
        </is>
      </c>
      <c r="D777" s="42" t="inlineStr">
        <is>
          <t>Meta (FB/IG)</t>
        </is>
      </c>
      <c r="E777" s="42" t="inlineStr">
        <is>
          <t>Facebook + Instagram</t>
        </is>
      </c>
      <c r="F777" s="42" t="inlineStr">
        <is>
          <t>LEP_ZA_AUG26_META_RMKT_ALL_CONV</t>
        </is>
      </c>
      <c r="G777" s="42" t="inlineStr">
        <is>
          <t>Leads - Website Conversions</t>
        </is>
      </c>
      <c r="H777" s="42" t="inlineStr">
        <is>
          <t>Range</t>
        </is>
      </c>
      <c r="I777" s="42" t="inlineStr">
        <is>
          <t>Range Offer</t>
        </is>
      </c>
      <c r="J777" s="42" t="inlineStr">
        <is>
          <t>MET_RMKT_SITE30D_ZA</t>
        </is>
      </c>
      <c r="K777" s="42" t="inlineStr">
        <is>
          <t>Retargeting</t>
        </is>
      </c>
      <c r="L777" s="42" t="inlineStr">
        <is>
          <t>RMKT_STA_BookNow_v1</t>
        </is>
      </c>
      <c r="M777" s="42" t="inlineStr">
        <is>
          <t>Static 1:1</t>
        </is>
      </c>
      <c r="N777" s="42" t="inlineStr">
        <is>
          <t>Your test drive is 2 minutes away</t>
        </is>
      </c>
      <c r="O777" s="42" t="inlineStr">
        <is>
          <t>Auction - Lowest Cost</t>
        </is>
      </c>
      <c r="P777" s="42" t="inlineStr">
        <is>
          <t>Offsite Conversions</t>
        </is>
      </c>
      <c r="Q777" s="42" t="inlineStr">
        <is>
          <t>https://www.lepas-sa.co.za/book-a-test-drive</t>
        </is>
      </c>
      <c r="R777" s="115" t="n">
        <v>150.49</v>
      </c>
      <c r="S777" s="116" t="n">
        <v>2135</v>
      </c>
      <c r="T777" s="116" t="n">
        <v>1300</v>
      </c>
      <c r="U777" s="117">
        <f>IFERROR(S777/T777,"")</f>
        <v/>
      </c>
      <c r="V777" s="116" t="n">
        <v>67</v>
      </c>
      <c r="W777" s="116" t="n">
        <v>49</v>
      </c>
      <c r="X777" s="118">
        <f>IFERROR(W777/S777,"")</f>
        <v/>
      </c>
      <c r="Y777" s="115">
        <f>IFERROR(R777/W777,"")</f>
        <v/>
      </c>
      <c r="Z777" s="115">
        <f>IFERROR(R777/S777*1000,"")</f>
        <v/>
      </c>
      <c r="AA777" s="116" t="n">
        <v>41</v>
      </c>
      <c r="AB777" s="47">
        <f>IFERROR(AA777/W777,"")</f>
        <v/>
      </c>
      <c r="AC777" s="116" t="n">
        <v>0</v>
      </c>
      <c r="AD777" s="116" t="n">
        <v>0</v>
      </c>
      <c r="AE777" s="116" t="n">
        <v>0</v>
      </c>
      <c r="AF777" s="116" t="n">
        <v>0</v>
      </c>
      <c r="AG777" s="116" t="n">
        <v>0</v>
      </c>
      <c r="AH777" s="116" t="n">
        <v>0</v>
      </c>
      <c r="AI777" s="47">
        <f>IFERROR(AC777/S777,"")</f>
        <v/>
      </c>
      <c r="AJ777" s="47">
        <f>IFERROR(AH777/S777,"")</f>
        <v/>
      </c>
      <c r="AK777" s="116" t="n">
        <v>39</v>
      </c>
      <c r="AL777" s="116" t="n">
        <v>1</v>
      </c>
      <c r="AM777" s="118">
        <f>IFERROR(AL777/AA777,"")</f>
        <v/>
      </c>
      <c r="AN777" s="119">
        <f>IFERROR(R777/AL777,"")</f>
        <v/>
      </c>
      <c r="AO777" s="116" t="n">
        <v>0</v>
      </c>
      <c r="AP777" s="47">
        <f>IFERROR(AO777/AL777,"")</f>
        <v/>
      </c>
      <c r="AQ777" s="119">
        <f>IFERROR(R777/AO777,"")</f>
        <v/>
      </c>
      <c r="AR777" s="116" t="n">
        <v>0</v>
      </c>
      <c r="AS777" s="116" t="n">
        <v>0</v>
      </c>
      <c r="AT777" s="116">
        <f>AL777+AR777</f>
        <v/>
      </c>
      <c r="AU777" s="119">
        <f>IFERROR(AO777*Assumptions!$C$26*Assumptions!$C$27*INDEX(Assumptions!$C$18:$C$21,MATCH(H777,Assumptions!$B$18:$B$21,0)),0)</f>
        <v/>
      </c>
    </row>
    <row r="778">
      <c r="A778" s="114" t="n">
        <v>46248</v>
      </c>
      <c r="B778" s="42" t="inlineStr">
        <is>
          <t>Wk 33</t>
        </is>
      </c>
      <c r="C778" s="42" t="inlineStr">
        <is>
          <t>Fri</t>
        </is>
      </c>
      <c r="D778" s="42" t="inlineStr">
        <is>
          <t>Meta (FB/IG)</t>
        </is>
      </c>
      <c r="E778" s="42" t="inlineStr">
        <is>
          <t>Facebook + Instagram</t>
        </is>
      </c>
      <c r="F778" s="42" t="inlineStr">
        <is>
          <t>LEP_ZA_AUG26_META_RMKT_ALL_CONV</t>
        </is>
      </c>
      <c r="G778" s="42" t="inlineStr">
        <is>
          <t>Leads - Website Conversions</t>
        </is>
      </c>
      <c r="H778" s="42" t="inlineStr">
        <is>
          <t>Range</t>
        </is>
      </c>
      <c r="I778" s="42" t="inlineStr">
        <is>
          <t>Range Offer</t>
        </is>
      </c>
      <c r="J778" s="42" t="inlineStr">
        <is>
          <t>MET_RMKT_SITE30D_ZA</t>
        </is>
      </c>
      <c r="K778" s="42" t="inlineStr">
        <is>
          <t>Retargeting</t>
        </is>
      </c>
      <c r="L778" s="42" t="inlineStr">
        <is>
          <t>RMKT_STA_BookNow_v1</t>
        </is>
      </c>
      <c r="M778" s="42" t="inlineStr">
        <is>
          <t>Static 1:1</t>
        </is>
      </c>
      <c r="N778" s="42" t="inlineStr">
        <is>
          <t>Your test drive is 2 minutes away</t>
        </is>
      </c>
      <c r="O778" s="42" t="inlineStr">
        <is>
          <t>Auction - Lowest Cost</t>
        </is>
      </c>
      <c r="P778" s="42" t="inlineStr">
        <is>
          <t>Offsite Conversions</t>
        </is>
      </c>
      <c r="Q778" s="42" t="inlineStr">
        <is>
          <t>https://www.lepas-sa.co.za/book-a-test-drive</t>
        </is>
      </c>
      <c r="R778" s="115" t="n">
        <v>180.23</v>
      </c>
      <c r="S778" s="116" t="n">
        <v>2268</v>
      </c>
      <c r="T778" s="116" t="n">
        <v>1451</v>
      </c>
      <c r="U778" s="117">
        <f>IFERROR(S778/T778,"")</f>
        <v/>
      </c>
      <c r="V778" s="116" t="n">
        <v>87</v>
      </c>
      <c r="W778" s="116" t="n">
        <v>65</v>
      </c>
      <c r="X778" s="118">
        <f>IFERROR(W778/S778,"")</f>
        <v/>
      </c>
      <c r="Y778" s="115">
        <f>IFERROR(R778/W778,"")</f>
        <v/>
      </c>
      <c r="Z778" s="115">
        <f>IFERROR(R778/S778*1000,"")</f>
        <v/>
      </c>
      <c r="AA778" s="116" t="n">
        <v>51</v>
      </c>
      <c r="AB778" s="47">
        <f>IFERROR(AA778/W778,"")</f>
        <v/>
      </c>
      <c r="AC778" s="116" t="n">
        <v>0</v>
      </c>
      <c r="AD778" s="116" t="n">
        <v>0</v>
      </c>
      <c r="AE778" s="116" t="n">
        <v>0</v>
      </c>
      <c r="AF778" s="116" t="n">
        <v>0</v>
      </c>
      <c r="AG778" s="116" t="n">
        <v>0</v>
      </c>
      <c r="AH778" s="116" t="n">
        <v>0</v>
      </c>
      <c r="AI778" s="47">
        <f>IFERROR(AC778/S778,"")</f>
        <v/>
      </c>
      <c r="AJ778" s="47">
        <f>IFERROR(AH778/S778,"")</f>
        <v/>
      </c>
      <c r="AK778" s="116" t="n">
        <v>73</v>
      </c>
      <c r="AL778" s="116" t="n">
        <v>1</v>
      </c>
      <c r="AM778" s="118">
        <f>IFERROR(AL778/AA778,"")</f>
        <v/>
      </c>
      <c r="AN778" s="119">
        <f>IFERROR(R778/AL778,"")</f>
        <v/>
      </c>
      <c r="AO778" s="116" t="n">
        <v>1</v>
      </c>
      <c r="AP778" s="47">
        <f>IFERROR(AO778/AL778,"")</f>
        <v/>
      </c>
      <c r="AQ778" s="119">
        <f>IFERROR(R778/AO778,"")</f>
        <v/>
      </c>
      <c r="AR778" s="116" t="n">
        <v>0</v>
      </c>
      <c r="AS778" s="116" t="n">
        <v>1</v>
      </c>
      <c r="AT778" s="116">
        <f>AL778+AR778</f>
        <v/>
      </c>
      <c r="AU778" s="119">
        <f>IFERROR(AO778*Assumptions!$C$26*Assumptions!$C$27*INDEX(Assumptions!$C$18:$C$21,MATCH(H778,Assumptions!$B$18:$B$21,0)),0)</f>
        <v/>
      </c>
    </row>
    <row r="779">
      <c r="A779" s="114" t="n">
        <v>46249</v>
      </c>
      <c r="B779" s="42" t="inlineStr">
        <is>
          <t>Wk 33</t>
        </is>
      </c>
      <c r="C779" s="42" t="inlineStr">
        <is>
          <t>Sat</t>
        </is>
      </c>
      <c r="D779" s="42" t="inlineStr">
        <is>
          <t>Meta (FB/IG)</t>
        </is>
      </c>
      <c r="E779" s="42" t="inlineStr">
        <is>
          <t>Facebook + Instagram</t>
        </is>
      </c>
      <c r="F779" s="42" t="inlineStr">
        <is>
          <t>LEP_ZA_AUG26_META_RMKT_ALL_CONV</t>
        </is>
      </c>
      <c r="G779" s="42" t="inlineStr">
        <is>
          <t>Leads - Website Conversions</t>
        </is>
      </c>
      <c r="H779" s="42" t="inlineStr">
        <is>
          <t>Range</t>
        </is>
      </c>
      <c r="I779" s="42" t="inlineStr">
        <is>
          <t>Range Offer</t>
        </is>
      </c>
      <c r="J779" s="42" t="inlineStr">
        <is>
          <t>MET_RMKT_SITE30D_ZA</t>
        </is>
      </c>
      <c r="K779" s="42" t="inlineStr">
        <is>
          <t>Retargeting</t>
        </is>
      </c>
      <c r="L779" s="42" t="inlineStr">
        <is>
          <t>RMKT_STA_BookNow_v1</t>
        </is>
      </c>
      <c r="M779" s="42" t="inlineStr">
        <is>
          <t>Static 1:1</t>
        </is>
      </c>
      <c r="N779" s="42" t="inlineStr">
        <is>
          <t>Your test drive is 2 minutes away</t>
        </is>
      </c>
      <c r="O779" s="42" t="inlineStr">
        <is>
          <t>Auction - Lowest Cost</t>
        </is>
      </c>
      <c r="P779" s="42" t="inlineStr">
        <is>
          <t>Offsite Conversions</t>
        </is>
      </c>
      <c r="Q779" s="42" t="inlineStr">
        <is>
          <t>https://www.lepas-sa.co.za/book-a-test-drive</t>
        </is>
      </c>
      <c r="R779" s="115" t="n">
        <v>159.33</v>
      </c>
      <c r="S779" s="116" t="n">
        <v>1775</v>
      </c>
      <c r="T779" s="116" t="n">
        <v>1036</v>
      </c>
      <c r="U779" s="117">
        <f>IFERROR(S779/T779,"")</f>
        <v/>
      </c>
      <c r="V779" s="116" t="n">
        <v>60</v>
      </c>
      <c r="W779" s="116" t="n">
        <v>45</v>
      </c>
      <c r="X779" s="118">
        <f>IFERROR(W779/S779,"")</f>
        <v/>
      </c>
      <c r="Y779" s="115">
        <f>IFERROR(R779/W779,"")</f>
        <v/>
      </c>
      <c r="Z779" s="115">
        <f>IFERROR(R779/S779*1000,"")</f>
        <v/>
      </c>
      <c r="AA779" s="116" t="n">
        <v>38</v>
      </c>
      <c r="AB779" s="47">
        <f>IFERROR(AA779/W779,"")</f>
        <v/>
      </c>
      <c r="AC779" s="116" t="n">
        <v>0</v>
      </c>
      <c r="AD779" s="116" t="n">
        <v>0</v>
      </c>
      <c r="AE779" s="116" t="n">
        <v>0</v>
      </c>
      <c r="AF779" s="116" t="n">
        <v>0</v>
      </c>
      <c r="AG779" s="116" t="n">
        <v>0</v>
      </c>
      <c r="AH779" s="116" t="n">
        <v>0</v>
      </c>
      <c r="AI779" s="47">
        <f>IFERROR(AC779/S779,"")</f>
        <v/>
      </c>
      <c r="AJ779" s="47">
        <f>IFERROR(AH779/S779,"")</f>
        <v/>
      </c>
      <c r="AK779" s="116" t="n">
        <v>23</v>
      </c>
      <c r="AL779" s="116" t="n">
        <v>1</v>
      </c>
      <c r="AM779" s="118">
        <f>IFERROR(AL779/AA779,"")</f>
        <v/>
      </c>
      <c r="AN779" s="119">
        <f>IFERROR(R779/AL779,"")</f>
        <v/>
      </c>
      <c r="AO779" s="116" t="n">
        <v>1</v>
      </c>
      <c r="AP779" s="47">
        <f>IFERROR(AO779/AL779,"")</f>
        <v/>
      </c>
      <c r="AQ779" s="119">
        <f>IFERROR(R779/AO779,"")</f>
        <v/>
      </c>
      <c r="AR779" s="116" t="n">
        <v>0</v>
      </c>
      <c r="AS779" s="116" t="n">
        <v>0</v>
      </c>
      <c r="AT779" s="116">
        <f>AL779+AR779</f>
        <v/>
      </c>
      <c r="AU779" s="119">
        <f>IFERROR(AO779*Assumptions!$C$26*Assumptions!$C$27*INDEX(Assumptions!$C$18:$C$21,MATCH(H779,Assumptions!$B$18:$B$21,0)),0)</f>
        <v/>
      </c>
    </row>
    <row r="780">
      <c r="A780" s="114" t="n">
        <v>46250</v>
      </c>
      <c r="B780" s="42" t="inlineStr">
        <is>
          <t>Wk 33</t>
        </is>
      </c>
      <c r="C780" s="42" t="inlineStr">
        <is>
          <t>Sun</t>
        </is>
      </c>
      <c r="D780" s="42" t="inlineStr">
        <is>
          <t>Meta (FB/IG)</t>
        </is>
      </c>
      <c r="E780" s="42" t="inlineStr">
        <is>
          <t>Facebook + Instagram</t>
        </is>
      </c>
      <c r="F780" s="42" t="inlineStr">
        <is>
          <t>LEP_ZA_AUG26_META_RMKT_ALL_CONV</t>
        </is>
      </c>
      <c r="G780" s="42" t="inlineStr">
        <is>
          <t>Leads - Website Conversions</t>
        </is>
      </c>
      <c r="H780" s="42" t="inlineStr">
        <is>
          <t>Range</t>
        </is>
      </c>
      <c r="I780" s="42" t="inlineStr">
        <is>
          <t>Range Offer</t>
        </is>
      </c>
      <c r="J780" s="42" t="inlineStr">
        <is>
          <t>MET_RMKT_SITE30D_ZA</t>
        </is>
      </c>
      <c r="K780" s="42" t="inlineStr">
        <is>
          <t>Retargeting</t>
        </is>
      </c>
      <c r="L780" s="42" t="inlineStr">
        <is>
          <t>RMKT_STA_BookNow_v1</t>
        </is>
      </c>
      <c r="M780" s="42" t="inlineStr">
        <is>
          <t>Static 1:1</t>
        </is>
      </c>
      <c r="N780" s="42" t="inlineStr">
        <is>
          <t>Your test drive is 2 minutes away</t>
        </is>
      </c>
      <c r="O780" s="42" t="inlineStr">
        <is>
          <t>Auction - Lowest Cost</t>
        </is>
      </c>
      <c r="P780" s="42" t="inlineStr">
        <is>
          <t>Offsite Conversions</t>
        </is>
      </c>
      <c r="Q780" s="42" t="inlineStr">
        <is>
          <t>https://www.lepas-sa.co.za/book-a-test-drive</t>
        </is>
      </c>
      <c r="R780" s="115" t="n">
        <v>122.99</v>
      </c>
      <c r="S780" s="116" t="n">
        <v>1200</v>
      </c>
      <c r="T780" s="116" t="n">
        <v>644</v>
      </c>
      <c r="U780" s="117">
        <f>IFERROR(S780/T780,"")</f>
        <v/>
      </c>
      <c r="V780" s="116" t="n">
        <v>27</v>
      </c>
      <c r="W780" s="116" t="n">
        <v>19</v>
      </c>
      <c r="X780" s="118">
        <f>IFERROR(W780/S780,"")</f>
        <v/>
      </c>
      <c r="Y780" s="115">
        <f>IFERROR(R780/W780,"")</f>
        <v/>
      </c>
      <c r="Z780" s="115">
        <f>IFERROR(R780/S780*1000,"")</f>
        <v/>
      </c>
      <c r="AA780" s="116" t="n">
        <v>16</v>
      </c>
      <c r="AB780" s="47">
        <f>IFERROR(AA780/W780,"")</f>
        <v/>
      </c>
      <c r="AC780" s="116" t="n">
        <v>0</v>
      </c>
      <c r="AD780" s="116" t="n">
        <v>0</v>
      </c>
      <c r="AE780" s="116" t="n">
        <v>0</v>
      </c>
      <c r="AF780" s="116" t="n">
        <v>0</v>
      </c>
      <c r="AG780" s="116" t="n">
        <v>0</v>
      </c>
      <c r="AH780" s="116" t="n">
        <v>0</v>
      </c>
      <c r="AI780" s="47">
        <f>IFERROR(AC780/S780,"")</f>
        <v/>
      </c>
      <c r="AJ780" s="47">
        <f>IFERROR(AH780/S780,"")</f>
        <v/>
      </c>
      <c r="AK780" s="116" t="n">
        <v>40</v>
      </c>
      <c r="AL780" s="116" t="n">
        <v>0</v>
      </c>
      <c r="AM780" s="118">
        <f>IFERROR(AL780/AA780,"")</f>
        <v/>
      </c>
      <c r="AN780" s="119">
        <f>IFERROR(R780/AL780,"")</f>
        <v/>
      </c>
      <c r="AO780" s="116" t="n">
        <v>0</v>
      </c>
      <c r="AP780" s="47">
        <f>IFERROR(AO780/AL780,"")</f>
        <v/>
      </c>
      <c r="AQ780" s="119">
        <f>IFERROR(R780/AO780,"")</f>
        <v/>
      </c>
      <c r="AR780" s="116" t="n">
        <v>0</v>
      </c>
      <c r="AS780" s="116" t="n">
        <v>0</v>
      </c>
      <c r="AT780" s="116">
        <f>AL780+AR780</f>
        <v/>
      </c>
      <c r="AU780" s="119">
        <f>IFERROR(AO780*Assumptions!$C$26*Assumptions!$C$27*INDEX(Assumptions!$C$18:$C$21,MATCH(H780,Assumptions!$B$18:$B$21,0)),0)</f>
        <v/>
      </c>
    </row>
    <row r="781">
      <c r="A781" s="114" t="n">
        <v>46251</v>
      </c>
      <c r="B781" s="42" t="inlineStr">
        <is>
          <t>Wk 34</t>
        </is>
      </c>
      <c r="C781" s="42" t="inlineStr">
        <is>
          <t>Mon</t>
        </is>
      </c>
      <c r="D781" s="42" t="inlineStr">
        <is>
          <t>Meta (FB/IG)</t>
        </is>
      </c>
      <c r="E781" s="42" t="inlineStr">
        <is>
          <t>Facebook + Instagram</t>
        </is>
      </c>
      <c r="F781" s="42" t="inlineStr">
        <is>
          <t>LEP_ZA_AUG26_META_RMKT_ALL_CONV</t>
        </is>
      </c>
      <c r="G781" s="42" t="inlineStr">
        <is>
          <t>Leads - Website Conversions</t>
        </is>
      </c>
      <c r="H781" s="42" t="inlineStr">
        <is>
          <t>Range</t>
        </is>
      </c>
      <c r="I781" s="42" t="inlineStr">
        <is>
          <t>Range Offer</t>
        </is>
      </c>
      <c r="J781" s="42" t="inlineStr">
        <is>
          <t>MET_RMKT_SITE30D_ZA</t>
        </is>
      </c>
      <c r="K781" s="42" t="inlineStr">
        <is>
          <t>Retargeting</t>
        </is>
      </c>
      <c r="L781" s="42" t="inlineStr">
        <is>
          <t>RMKT_STA_BookNow_v1</t>
        </is>
      </c>
      <c r="M781" s="42" t="inlineStr">
        <is>
          <t>Static 1:1</t>
        </is>
      </c>
      <c r="N781" s="42" t="inlineStr">
        <is>
          <t>Your test drive is 2 minutes away</t>
        </is>
      </c>
      <c r="O781" s="42" t="inlineStr">
        <is>
          <t>Auction - Lowest Cost</t>
        </is>
      </c>
      <c r="P781" s="42" t="inlineStr">
        <is>
          <t>Offsite Conversions</t>
        </is>
      </c>
      <c r="Q781" s="42" t="inlineStr">
        <is>
          <t>https://www.lepas-sa.co.za/book-a-test-drive</t>
        </is>
      </c>
      <c r="R781" s="115" t="n">
        <v>139.78</v>
      </c>
      <c r="S781" s="116" t="n">
        <v>1719</v>
      </c>
      <c r="T781" s="116" t="n">
        <v>1068</v>
      </c>
      <c r="U781" s="117">
        <f>IFERROR(S781/T781,"")</f>
        <v/>
      </c>
      <c r="V781" s="116" t="n">
        <v>53</v>
      </c>
      <c r="W781" s="116" t="n">
        <v>41</v>
      </c>
      <c r="X781" s="118">
        <f>IFERROR(W781/S781,"")</f>
        <v/>
      </c>
      <c r="Y781" s="115">
        <f>IFERROR(R781/W781,"")</f>
        <v/>
      </c>
      <c r="Z781" s="115">
        <f>IFERROR(R781/S781*1000,"")</f>
        <v/>
      </c>
      <c r="AA781" s="116" t="n">
        <v>36</v>
      </c>
      <c r="AB781" s="47">
        <f>IFERROR(AA781/W781,"")</f>
        <v/>
      </c>
      <c r="AC781" s="116" t="n">
        <v>0</v>
      </c>
      <c r="AD781" s="116" t="n">
        <v>0</v>
      </c>
      <c r="AE781" s="116" t="n">
        <v>0</v>
      </c>
      <c r="AF781" s="116" t="n">
        <v>0</v>
      </c>
      <c r="AG781" s="116" t="n">
        <v>0</v>
      </c>
      <c r="AH781" s="116" t="n">
        <v>0</v>
      </c>
      <c r="AI781" s="47">
        <f>IFERROR(AC781/S781,"")</f>
        <v/>
      </c>
      <c r="AJ781" s="47">
        <f>IFERROR(AH781/S781,"")</f>
        <v/>
      </c>
      <c r="AK781" s="116" t="n">
        <v>47</v>
      </c>
      <c r="AL781" s="116" t="n">
        <v>0</v>
      </c>
      <c r="AM781" s="118">
        <f>IFERROR(AL781/AA781,"")</f>
        <v/>
      </c>
      <c r="AN781" s="119">
        <f>IFERROR(R781/AL781,"")</f>
        <v/>
      </c>
      <c r="AO781" s="116" t="n">
        <v>0</v>
      </c>
      <c r="AP781" s="47">
        <f>IFERROR(AO781/AL781,"")</f>
        <v/>
      </c>
      <c r="AQ781" s="119">
        <f>IFERROR(R781/AO781,"")</f>
        <v/>
      </c>
      <c r="AR781" s="116" t="n">
        <v>0</v>
      </c>
      <c r="AS781" s="116" t="n">
        <v>0</v>
      </c>
      <c r="AT781" s="116">
        <f>AL781+AR781</f>
        <v/>
      </c>
      <c r="AU781" s="119">
        <f>IFERROR(AO781*Assumptions!$C$26*Assumptions!$C$27*INDEX(Assumptions!$C$18:$C$21,MATCH(H781,Assumptions!$B$18:$B$21,0)),0)</f>
        <v/>
      </c>
    </row>
    <row r="782">
      <c r="A782" s="114" t="n">
        <v>46252</v>
      </c>
      <c r="B782" s="42" t="inlineStr">
        <is>
          <t>Wk 34</t>
        </is>
      </c>
      <c r="C782" s="42" t="inlineStr">
        <is>
          <t>Tue</t>
        </is>
      </c>
      <c r="D782" s="42" t="inlineStr">
        <is>
          <t>Meta (FB/IG)</t>
        </is>
      </c>
      <c r="E782" s="42" t="inlineStr">
        <is>
          <t>Facebook + Instagram</t>
        </is>
      </c>
      <c r="F782" s="42" t="inlineStr">
        <is>
          <t>LEP_ZA_AUG26_META_RMKT_ALL_CONV</t>
        </is>
      </c>
      <c r="G782" s="42" t="inlineStr">
        <is>
          <t>Leads - Website Conversions</t>
        </is>
      </c>
      <c r="H782" s="42" t="inlineStr">
        <is>
          <t>Range</t>
        </is>
      </c>
      <c r="I782" s="42" t="inlineStr">
        <is>
          <t>Range Offer</t>
        </is>
      </c>
      <c r="J782" s="42" t="inlineStr">
        <is>
          <t>MET_RMKT_SITE30D_ZA</t>
        </is>
      </c>
      <c r="K782" s="42" t="inlineStr">
        <is>
          <t>Retargeting</t>
        </is>
      </c>
      <c r="L782" s="42" t="inlineStr">
        <is>
          <t>RMKT_STA_BookNow_v1</t>
        </is>
      </c>
      <c r="M782" s="42" t="inlineStr">
        <is>
          <t>Static 1:1</t>
        </is>
      </c>
      <c r="N782" s="42" t="inlineStr">
        <is>
          <t>Your test drive is 2 minutes away</t>
        </is>
      </c>
      <c r="O782" s="42" t="inlineStr">
        <is>
          <t>Auction - Lowest Cost</t>
        </is>
      </c>
      <c r="P782" s="42" t="inlineStr">
        <is>
          <t>Offsite Conversions</t>
        </is>
      </c>
      <c r="Q782" s="42" t="inlineStr">
        <is>
          <t>https://www.lepas-sa.co.za/book-a-test-drive</t>
        </is>
      </c>
      <c r="R782" s="115" t="n">
        <v>162.24</v>
      </c>
      <c r="S782" s="116" t="n">
        <v>2177</v>
      </c>
      <c r="T782" s="116" t="n">
        <v>1287</v>
      </c>
      <c r="U782" s="117">
        <f>IFERROR(S782/T782,"")</f>
        <v/>
      </c>
      <c r="V782" s="116" t="n">
        <v>37</v>
      </c>
      <c r="W782" s="116" t="n">
        <v>28</v>
      </c>
      <c r="X782" s="118">
        <f>IFERROR(W782/S782,"")</f>
        <v/>
      </c>
      <c r="Y782" s="115">
        <f>IFERROR(R782/W782,"")</f>
        <v/>
      </c>
      <c r="Z782" s="115">
        <f>IFERROR(R782/S782*1000,"")</f>
        <v/>
      </c>
      <c r="AA782" s="116" t="n">
        <v>24</v>
      </c>
      <c r="AB782" s="47">
        <f>IFERROR(AA782/W782,"")</f>
        <v/>
      </c>
      <c r="AC782" s="116" t="n">
        <v>0</v>
      </c>
      <c r="AD782" s="116" t="n">
        <v>0</v>
      </c>
      <c r="AE782" s="116" t="n">
        <v>0</v>
      </c>
      <c r="AF782" s="116" t="n">
        <v>0</v>
      </c>
      <c r="AG782" s="116" t="n">
        <v>0</v>
      </c>
      <c r="AH782" s="116" t="n">
        <v>0</v>
      </c>
      <c r="AI782" s="47">
        <f>IFERROR(AC782/S782,"")</f>
        <v/>
      </c>
      <c r="AJ782" s="47">
        <f>IFERROR(AH782/S782,"")</f>
        <v/>
      </c>
      <c r="AK782" s="116" t="n">
        <v>42</v>
      </c>
      <c r="AL782" s="116" t="n">
        <v>0</v>
      </c>
      <c r="AM782" s="118">
        <f>IFERROR(AL782/AA782,"")</f>
        <v/>
      </c>
      <c r="AN782" s="119">
        <f>IFERROR(R782/AL782,"")</f>
        <v/>
      </c>
      <c r="AO782" s="116" t="n">
        <v>0</v>
      </c>
      <c r="AP782" s="47">
        <f>IFERROR(AO782/AL782,"")</f>
        <v/>
      </c>
      <c r="AQ782" s="119">
        <f>IFERROR(R782/AO782,"")</f>
        <v/>
      </c>
      <c r="AR782" s="116" t="n">
        <v>0</v>
      </c>
      <c r="AS782" s="116" t="n">
        <v>0</v>
      </c>
      <c r="AT782" s="116">
        <f>AL782+AR782</f>
        <v/>
      </c>
      <c r="AU782" s="119">
        <f>IFERROR(AO782*Assumptions!$C$26*Assumptions!$C$27*INDEX(Assumptions!$C$18:$C$21,MATCH(H782,Assumptions!$B$18:$B$21,0)),0)</f>
        <v/>
      </c>
    </row>
    <row r="783">
      <c r="A783" s="114" t="n">
        <v>46253</v>
      </c>
      <c r="B783" s="42" t="inlineStr">
        <is>
          <t>Wk 34</t>
        </is>
      </c>
      <c r="C783" s="42" t="inlineStr">
        <is>
          <t>Wed</t>
        </is>
      </c>
      <c r="D783" s="42" t="inlineStr">
        <is>
          <t>Meta (FB/IG)</t>
        </is>
      </c>
      <c r="E783" s="42" t="inlineStr">
        <is>
          <t>Facebook + Instagram</t>
        </is>
      </c>
      <c r="F783" s="42" t="inlineStr">
        <is>
          <t>LEP_ZA_AUG26_META_RMKT_ALL_CONV</t>
        </is>
      </c>
      <c r="G783" s="42" t="inlineStr">
        <is>
          <t>Leads - Website Conversions</t>
        </is>
      </c>
      <c r="H783" s="42" t="inlineStr">
        <is>
          <t>Range</t>
        </is>
      </c>
      <c r="I783" s="42" t="inlineStr">
        <is>
          <t>Range Offer</t>
        </is>
      </c>
      <c r="J783" s="42" t="inlineStr">
        <is>
          <t>MET_RMKT_SITE30D_ZA</t>
        </is>
      </c>
      <c r="K783" s="42" t="inlineStr">
        <is>
          <t>Retargeting</t>
        </is>
      </c>
      <c r="L783" s="42" t="inlineStr">
        <is>
          <t>RMKT_STA_BookNow_v1</t>
        </is>
      </c>
      <c r="M783" s="42" t="inlineStr">
        <is>
          <t>Static 1:1</t>
        </is>
      </c>
      <c r="N783" s="42" t="inlineStr">
        <is>
          <t>Your test drive is 2 minutes away</t>
        </is>
      </c>
      <c r="O783" s="42" t="inlineStr">
        <is>
          <t>Auction - Lowest Cost</t>
        </is>
      </c>
      <c r="P783" s="42" t="inlineStr">
        <is>
          <t>Offsite Conversions</t>
        </is>
      </c>
      <c r="Q783" s="42" t="inlineStr">
        <is>
          <t>https://www.lepas-sa.co.za/book-a-test-drive</t>
        </is>
      </c>
      <c r="R783" s="115" t="n">
        <v>158.79</v>
      </c>
      <c r="S783" s="116" t="n">
        <v>2017</v>
      </c>
      <c r="T783" s="116" t="n">
        <v>1282</v>
      </c>
      <c r="U783" s="117">
        <f>IFERROR(S783/T783,"")</f>
        <v/>
      </c>
      <c r="V783" s="116" t="n">
        <v>41</v>
      </c>
      <c r="W783" s="116" t="n">
        <v>34</v>
      </c>
      <c r="X783" s="118">
        <f>IFERROR(W783/S783,"")</f>
        <v/>
      </c>
      <c r="Y783" s="115">
        <f>IFERROR(R783/W783,"")</f>
        <v/>
      </c>
      <c r="Z783" s="115">
        <f>IFERROR(R783/S783*1000,"")</f>
        <v/>
      </c>
      <c r="AA783" s="116" t="n">
        <v>27</v>
      </c>
      <c r="AB783" s="47">
        <f>IFERROR(AA783/W783,"")</f>
        <v/>
      </c>
      <c r="AC783" s="116" t="n">
        <v>0</v>
      </c>
      <c r="AD783" s="116" t="n">
        <v>0</v>
      </c>
      <c r="AE783" s="116" t="n">
        <v>0</v>
      </c>
      <c r="AF783" s="116" t="n">
        <v>0</v>
      </c>
      <c r="AG783" s="116" t="n">
        <v>0</v>
      </c>
      <c r="AH783" s="116" t="n">
        <v>0</v>
      </c>
      <c r="AI783" s="47">
        <f>IFERROR(AC783/S783,"")</f>
        <v/>
      </c>
      <c r="AJ783" s="47">
        <f>IFERROR(AH783/S783,"")</f>
        <v/>
      </c>
      <c r="AK783" s="116" t="n">
        <v>53</v>
      </c>
      <c r="AL783" s="116" t="n">
        <v>1</v>
      </c>
      <c r="AM783" s="118">
        <f>IFERROR(AL783/AA783,"")</f>
        <v/>
      </c>
      <c r="AN783" s="119">
        <f>IFERROR(R783/AL783,"")</f>
        <v/>
      </c>
      <c r="AO783" s="116" t="n">
        <v>1</v>
      </c>
      <c r="AP783" s="47">
        <f>IFERROR(AO783/AL783,"")</f>
        <v/>
      </c>
      <c r="AQ783" s="119">
        <f>IFERROR(R783/AO783,"")</f>
        <v/>
      </c>
      <c r="AR783" s="116" t="n">
        <v>1</v>
      </c>
      <c r="AS783" s="116" t="n">
        <v>0</v>
      </c>
      <c r="AT783" s="116">
        <f>AL783+AR783</f>
        <v/>
      </c>
      <c r="AU783" s="119">
        <f>IFERROR(AO783*Assumptions!$C$26*Assumptions!$C$27*INDEX(Assumptions!$C$18:$C$21,MATCH(H783,Assumptions!$B$18:$B$21,0)),0)</f>
        <v/>
      </c>
    </row>
    <row r="784">
      <c r="A784" s="114" t="n">
        <v>46254</v>
      </c>
      <c r="B784" s="42" t="inlineStr">
        <is>
          <t>Wk 34</t>
        </is>
      </c>
      <c r="C784" s="42" t="inlineStr">
        <is>
          <t>Thu</t>
        </is>
      </c>
      <c r="D784" s="42" t="inlineStr">
        <is>
          <t>Meta (FB/IG)</t>
        </is>
      </c>
      <c r="E784" s="42" t="inlineStr">
        <is>
          <t>Facebook + Instagram</t>
        </is>
      </c>
      <c r="F784" s="42" t="inlineStr">
        <is>
          <t>LEP_ZA_AUG26_META_RMKT_ALL_CONV</t>
        </is>
      </c>
      <c r="G784" s="42" t="inlineStr">
        <is>
          <t>Leads - Website Conversions</t>
        </is>
      </c>
      <c r="H784" s="42" t="inlineStr">
        <is>
          <t>Range</t>
        </is>
      </c>
      <c r="I784" s="42" t="inlineStr">
        <is>
          <t>Range Offer</t>
        </is>
      </c>
      <c r="J784" s="42" t="inlineStr">
        <is>
          <t>MET_RMKT_SITE30D_ZA</t>
        </is>
      </c>
      <c r="K784" s="42" t="inlineStr">
        <is>
          <t>Retargeting</t>
        </is>
      </c>
      <c r="L784" s="42" t="inlineStr">
        <is>
          <t>RMKT_STA_BookNow_v1</t>
        </is>
      </c>
      <c r="M784" s="42" t="inlineStr">
        <is>
          <t>Static 1:1</t>
        </is>
      </c>
      <c r="N784" s="42" t="inlineStr">
        <is>
          <t>Your test drive is 2 minutes away</t>
        </is>
      </c>
      <c r="O784" s="42" t="inlineStr">
        <is>
          <t>Auction - Lowest Cost</t>
        </is>
      </c>
      <c r="P784" s="42" t="inlineStr">
        <is>
          <t>Offsite Conversions</t>
        </is>
      </c>
      <c r="Q784" s="42" t="inlineStr">
        <is>
          <t>https://www.lepas-sa.co.za/book-a-test-drive</t>
        </is>
      </c>
      <c r="R784" s="115" t="n">
        <v>150.27</v>
      </c>
      <c r="S784" s="116" t="n">
        <v>1728</v>
      </c>
      <c r="T784" s="116" t="n">
        <v>883</v>
      </c>
      <c r="U784" s="117">
        <f>IFERROR(S784/T784,"")</f>
        <v/>
      </c>
      <c r="V784" s="116" t="n">
        <v>49</v>
      </c>
      <c r="W784" s="116" t="n">
        <v>36</v>
      </c>
      <c r="X784" s="118">
        <f>IFERROR(W784/S784,"")</f>
        <v/>
      </c>
      <c r="Y784" s="115">
        <f>IFERROR(R784/W784,"")</f>
        <v/>
      </c>
      <c r="Z784" s="115">
        <f>IFERROR(R784/S784*1000,"")</f>
        <v/>
      </c>
      <c r="AA784" s="116" t="n">
        <v>33</v>
      </c>
      <c r="AB784" s="47">
        <f>IFERROR(AA784/W784,"")</f>
        <v/>
      </c>
      <c r="AC784" s="116" t="n">
        <v>0</v>
      </c>
      <c r="AD784" s="116" t="n">
        <v>0</v>
      </c>
      <c r="AE784" s="116" t="n">
        <v>0</v>
      </c>
      <c r="AF784" s="116" t="n">
        <v>0</v>
      </c>
      <c r="AG784" s="116" t="n">
        <v>0</v>
      </c>
      <c r="AH784" s="116" t="n">
        <v>0</v>
      </c>
      <c r="AI784" s="47">
        <f>IFERROR(AC784/S784,"")</f>
        <v/>
      </c>
      <c r="AJ784" s="47">
        <f>IFERROR(AH784/S784,"")</f>
        <v/>
      </c>
      <c r="AK784" s="116" t="n">
        <v>27</v>
      </c>
      <c r="AL784" s="116" t="n">
        <v>1</v>
      </c>
      <c r="AM784" s="118">
        <f>IFERROR(AL784/AA784,"")</f>
        <v/>
      </c>
      <c r="AN784" s="119">
        <f>IFERROR(R784/AL784,"")</f>
        <v/>
      </c>
      <c r="AO784" s="116" t="n">
        <v>1</v>
      </c>
      <c r="AP784" s="47">
        <f>IFERROR(AO784/AL784,"")</f>
        <v/>
      </c>
      <c r="AQ784" s="119">
        <f>IFERROR(R784/AO784,"")</f>
        <v/>
      </c>
      <c r="AR784" s="116" t="n">
        <v>0</v>
      </c>
      <c r="AS784" s="116" t="n">
        <v>0</v>
      </c>
      <c r="AT784" s="116">
        <f>AL784+AR784</f>
        <v/>
      </c>
      <c r="AU784" s="119">
        <f>IFERROR(AO784*Assumptions!$C$26*Assumptions!$C$27*INDEX(Assumptions!$C$18:$C$21,MATCH(H784,Assumptions!$B$18:$B$21,0)),0)</f>
        <v/>
      </c>
    </row>
    <row r="785">
      <c r="A785" s="114" t="n">
        <v>46255</v>
      </c>
      <c r="B785" s="42" t="inlineStr">
        <is>
          <t>Wk 34</t>
        </is>
      </c>
      <c r="C785" s="42" t="inlineStr">
        <is>
          <t>Fri</t>
        </is>
      </c>
      <c r="D785" s="42" t="inlineStr">
        <is>
          <t>Meta (FB/IG)</t>
        </is>
      </c>
      <c r="E785" s="42" t="inlineStr">
        <is>
          <t>Facebook + Instagram</t>
        </is>
      </c>
      <c r="F785" s="42" t="inlineStr">
        <is>
          <t>LEP_ZA_AUG26_META_RMKT_ALL_CONV</t>
        </is>
      </c>
      <c r="G785" s="42" t="inlineStr">
        <is>
          <t>Leads - Website Conversions</t>
        </is>
      </c>
      <c r="H785" s="42" t="inlineStr">
        <is>
          <t>Range</t>
        </is>
      </c>
      <c r="I785" s="42" t="inlineStr">
        <is>
          <t>Range Offer</t>
        </is>
      </c>
      <c r="J785" s="42" t="inlineStr">
        <is>
          <t>MET_RMKT_SITE30D_ZA</t>
        </is>
      </c>
      <c r="K785" s="42" t="inlineStr">
        <is>
          <t>Retargeting</t>
        </is>
      </c>
      <c r="L785" s="42" t="inlineStr">
        <is>
          <t>RMKT_STA_BookNow_v1</t>
        </is>
      </c>
      <c r="M785" s="42" t="inlineStr">
        <is>
          <t>Static 1:1</t>
        </is>
      </c>
      <c r="N785" s="42" t="inlineStr">
        <is>
          <t>Your test drive is 2 minutes away</t>
        </is>
      </c>
      <c r="O785" s="42" t="inlineStr">
        <is>
          <t>Auction - Lowest Cost</t>
        </is>
      </c>
      <c r="P785" s="42" t="inlineStr">
        <is>
          <t>Offsite Conversions</t>
        </is>
      </c>
      <c r="Q785" s="42" t="inlineStr">
        <is>
          <t>https://www.lepas-sa.co.za/book-a-test-drive</t>
        </is>
      </c>
      <c r="R785" s="115" t="n">
        <v>167.91</v>
      </c>
      <c r="S785" s="116" t="n">
        <v>1767</v>
      </c>
      <c r="T785" s="116" t="n">
        <v>962</v>
      </c>
      <c r="U785" s="117">
        <f>IFERROR(S785/T785,"")</f>
        <v/>
      </c>
      <c r="V785" s="116" t="n">
        <v>46</v>
      </c>
      <c r="W785" s="116" t="n">
        <v>34</v>
      </c>
      <c r="X785" s="118">
        <f>IFERROR(W785/S785,"")</f>
        <v/>
      </c>
      <c r="Y785" s="115">
        <f>IFERROR(R785/W785,"")</f>
        <v/>
      </c>
      <c r="Z785" s="115">
        <f>IFERROR(R785/S785*1000,"")</f>
        <v/>
      </c>
      <c r="AA785" s="116" t="n">
        <v>28</v>
      </c>
      <c r="AB785" s="47">
        <f>IFERROR(AA785/W785,"")</f>
        <v/>
      </c>
      <c r="AC785" s="116" t="n">
        <v>0</v>
      </c>
      <c r="AD785" s="116" t="n">
        <v>0</v>
      </c>
      <c r="AE785" s="116" t="n">
        <v>0</v>
      </c>
      <c r="AF785" s="116" t="n">
        <v>0</v>
      </c>
      <c r="AG785" s="116" t="n">
        <v>0</v>
      </c>
      <c r="AH785" s="116" t="n">
        <v>0</v>
      </c>
      <c r="AI785" s="47">
        <f>IFERROR(AC785/S785,"")</f>
        <v/>
      </c>
      <c r="AJ785" s="47">
        <f>IFERROR(AH785/S785,"")</f>
        <v/>
      </c>
      <c r="AK785" s="116" t="n">
        <v>54</v>
      </c>
      <c r="AL785" s="116" t="n">
        <v>1</v>
      </c>
      <c r="AM785" s="118">
        <f>IFERROR(AL785/AA785,"")</f>
        <v/>
      </c>
      <c r="AN785" s="119">
        <f>IFERROR(R785/AL785,"")</f>
        <v/>
      </c>
      <c r="AO785" s="116" t="n">
        <v>1</v>
      </c>
      <c r="AP785" s="47">
        <f>IFERROR(AO785/AL785,"")</f>
        <v/>
      </c>
      <c r="AQ785" s="119">
        <f>IFERROR(R785/AO785,"")</f>
        <v/>
      </c>
      <c r="AR785" s="116" t="n">
        <v>0</v>
      </c>
      <c r="AS785" s="116" t="n">
        <v>0</v>
      </c>
      <c r="AT785" s="116">
        <f>AL785+AR785</f>
        <v/>
      </c>
      <c r="AU785" s="119">
        <f>IFERROR(AO785*Assumptions!$C$26*Assumptions!$C$27*INDEX(Assumptions!$C$18:$C$21,MATCH(H785,Assumptions!$B$18:$B$21,0)),0)</f>
        <v/>
      </c>
    </row>
    <row r="786">
      <c r="A786" s="114" t="n">
        <v>46256</v>
      </c>
      <c r="B786" s="42" t="inlineStr">
        <is>
          <t>Wk 34</t>
        </is>
      </c>
      <c r="C786" s="42" t="inlineStr">
        <is>
          <t>Sat</t>
        </is>
      </c>
      <c r="D786" s="42" t="inlineStr">
        <is>
          <t>Meta (FB/IG)</t>
        </is>
      </c>
      <c r="E786" s="42" t="inlineStr">
        <is>
          <t>Facebook + Instagram</t>
        </is>
      </c>
      <c r="F786" s="42" t="inlineStr">
        <is>
          <t>LEP_ZA_AUG26_META_RMKT_ALL_CONV</t>
        </is>
      </c>
      <c r="G786" s="42" t="inlineStr">
        <is>
          <t>Leads - Website Conversions</t>
        </is>
      </c>
      <c r="H786" s="42" t="inlineStr">
        <is>
          <t>Range</t>
        </is>
      </c>
      <c r="I786" s="42" t="inlineStr">
        <is>
          <t>Range Offer</t>
        </is>
      </c>
      <c r="J786" s="42" t="inlineStr">
        <is>
          <t>MET_RMKT_SITE30D_ZA</t>
        </is>
      </c>
      <c r="K786" s="42" t="inlineStr">
        <is>
          <t>Retargeting</t>
        </is>
      </c>
      <c r="L786" s="42" t="inlineStr">
        <is>
          <t>RMKT_STA_BookNow_v1</t>
        </is>
      </c>
      <c r="M786" s="42" t="inlineStr">
        <is>
          <t>Static 1:1</t>
        </is>
      </c>
      <c r="N786" s="42" t="inlineStr">
        <is>
          <t>Your test drive is 2 minutes away</t>
        </is>
      </c>
      <c r="O786" s="42" t="inlineStr">
        <is>
          <t>Auction - Lowest Cost</t>
        </is>
      </c>
      <c r="P786" s="42" t="inlineStr">
        <is>
          <t>Offsite Conversions</t>
        </is>
      </c>
      <c r="Q786" s="42" t="inlineStr">
        <is>
          <t>https://www.lepas-sa.co.za/book-a-test-drive</t>
        </is>
      </c>
      <c r="R786" s="115" t="n">
        <v>151.51</v>
      </c>
      <c r="S786" s="116" t="n">
        <v>2050</v>
      </c>
      <c r="T786" s="116" t="n">
        <v>1451</v>
      </c>
      <c r="U786" s="117">
        <f>IFERROR(S786/T786,"")</f>
        <v/>
      </c>
      <c r="V786" s="116" t="n">
        <v>36</v>
      </c>
      <c r="W786" s="116" t="n">
        <v>29</v>
      </c>
      <c r="X786" s="118">
        <f>IFERROR(W786/S786,"")</f>
        <v/>
      </c>
      <c r="Y786" s="115">
        <f>IFERROR(R786/W786,"")</f>
        <v/>
      </c>
      <c r="Z786" s="115">
        <f>IFERROR(R786/S786*1000,"")</f>
        <v/>
      </c>
      <c r="AA786" s="116" t="n">
        <v>25</v>
      </c>
      <c r="AB786" s="47">
        <f>IFERROR(AA786/W786,"")</f>
        <v/>
      </c>
      <c r="AC786" s="116" t="n">
        <v>0</v>
      </c>
      <c r="AD786" s="116" t="n">
        <v>0</v>
      </c>
      <c r="AE786" s="116" t="n">
        <v>0</v>
      </c>
      <c r="AF786" s="116" t="n">
        <v>0</v>
      </c>
      <c r="AG786" s="116" t="n">
        <v>0</v>
      </c>
      <c r="AH786" s="116" t="n">
        <v>0</v>
      </c>
      <c r="AI786" s="47">
        <f>IFERROR(AC786/S786,"")</f>
        <v/>
      </c>
      <c r="AJ786" s="47">
        <f>IFERROR(AH786/S786,"")</f>
        <v/>
      </c>
      <c r="AK786" s="116" t="n">
        <v>35</v>
      </c>
      <c r="AL786" s="116" t="n">
        <v>0</v>
      </c>
      <c r="AM786" s="118">
        <f>IFERROR(AL786/AA786,"")</f>
        <v/>
      </c>
      <c r="AN786" s="119">
        <f>IFERROR(R786/AL786,"")</f>
        <v/>
      </c>
      <c r="AO786" s="116" t="n">
        <v>0</v>
      </c>
      <c r="AP786" s="47">
        <f>IFERROR(AO786/AL786,"")</f>
        <v/>
      </c>
      <c r="AQ786" s="119">
        <f>IFERROR(R786/AO786,"")</f>
        <v/>
      </c>
      <c r="AR786" s="116" t="n">
        <v>0</v>
      </c>
      <c r="AS786" s="116" t="n">
        <v>0</v>
      </c>
      <c r="AT786" s="116">
        <f>AL786+AR786</f>
        <v/>
      </c>
      <c r="AU786" s="119">
        <f>IFERROR(AO786*Assumptions!$C$26*Assumptions!$C$27*INDEX(Assumptions!$C$18:$C$21,MATCH(H786,Assumptions!$B$18:$B$21,0)),0)</f>
        <v/>
      </c>
    </row>
    <row r="787">
      <c r="A787" s="114" t="n">
        <v>46257</v>
      </c>
      <c r="B787" s="42" t="inlineStr">
        <is>
          <t>Wk 34</t>
        </is>
      </c>
      <c r="C787" s="42" t="inlineStr">
        <is>
          <t>Sun</t>
        </is>
      </c>
      <c r="D787" s="42" t="inlineStr">
        <is>
          <t>Meta (FB/IG)</t>
        </is>
      </c>
      <c r="E787" s="42" t="inlineStr">
        <is>
          <t>Facebook + Instagram</t>
        </is>
      </c>
      <c r="F787" s="42" t="inlineStr">
        <is>
          <t>LEP_ZA_AUG26_META_RMKT_ALL_CONV</t>
        </is>
      </c>
      <c r="G787" s="42" t="inlineStr">
        <is>
          <t>Leads - Website Conversions</t>
        </is>
      </c>
      <c r="H787" s="42" t="inlineStr">
        <is>
          <t>Range</t>
        </is>
      </c>
      <c r="I787" s="42" t="inlineStr">
        <is>
          <t>Range Offer</t>
        </is>
      </c>
      <c r="J787" s="42" t="inlineStr">
        <is>
          <t>MET_RMKT_SITE30D_ZA</t>
        </is>
      </c>
      <c r="K787" s="42" t="inlineStr">
        <is>
          <t>Retargeting</t>
        </is>
      </c>
      <c r="L787" s="42" t="inlineStr">
        <is>
          <t>RMKT_STA_BookNow_v1</t>
        </is>
      </c>
      <c r="M787" s="42" t="inlineStr">
        <is>
          <t>Static 1:1</t>
        </is>
      </c>
      <c r="N787" s="42" t="inlineStr">
        <is>
          <t>Your test drive is 2 minutes away</t>
        </is>
      </c>
      <c r="O787" s="42" t="inlineStr">
        <is>
          <t>Auction - Lowest Cost</t>
        </is>
      </c>
      <c r="P787" s="42" t="inlineStr">
        <is>
          <t>Offsite Conversions</t>
        </is>
      </c>
      <c r="Q787" s="42" t="inlineStr">
        <is>
          <t>https://www.lepas-sa.co.za/book-a-test-drive</t>
        </is>
      </c>
      <c r="R787" s="115" t="n">
        <v>131.85</v>
      </c>
      <c r="S787" s="116" t="n">
        <v>1288</v>
      </c>
      <c r="T787" s="116" t="n">
        <v>845</v>
      </c>
      <c r="U787" s="117">
        <f>IFERROR(S787/T787,"")</f>
        <v/>
      </c>
      <c r="V787" s="116" t="n">
        <v>44</v>
      </c>
      <c r="W787" s="116" t="n">
        <v>32</v>
      </c>
      <c r="X787" s="118">
        <f>IFERROR(W787/S787,"")</f>
        <v/>
      </c>
      <c r="Y787" s="115">
        <f>IFERROR(R787/W787,"")</f>
        <v/>
      </c>
      <c r="Z787" s="115">
        <f>IFERROR(R787/S787*1000,"")</f>
        <v/>
      </c>
      <c r="AA787" s="116" t="n">
        <v>27</v>
      </c>
      <c r="AB787" s="47">
        <f>IFERROR(AA787/W787,"")</f>
        <v/>
      </c>
      <c r="AC787" s="116" t="n">
        <v>0</v>
      </c>
      <c r="AD787" s="116" t="n">
        <v>0</v>
      </c>
      <c r="AE787" s="116" t="n">
        <v>0</v>
      </c>
      <c r="AF787" s="116" t="n">
        <v>0</v>
      </c>
      <c r="AG787" s="116" t="n">
        <v>0</v>
      </c>
      <c r="AH787" s="116" t="n">
        <v>0</v>
      </c>
      <c r="AI787" s="47">
        <f>IFERROR(AC787/S787,"")</f>
        <v/>
      </c>
      <c r="AJ787" s="47">
        <f>IFERROR(AH787/S787,"")</f>
        <v/>
      </c>
      <c r="AK787" s="116" t="n">
        <v>18</v>
      </c>
      <c r="AL787" s="116" t="n">
        <v>1</v>
      </c>
      <c r="AM787" s="118">
        <f>IFERROR(AL787/AA787,"")</f>
        <v/>
      </c>
      <c r="AN787" s="119">
        <f>IFERROR(R787/AL787,"")</f>
        <v/>
      </c>
      <c r="AO787" s="116" t="n">
        <v>1</v>
      </c>
      <c r="AP787" s="47">
        <f>IFERROR(AO787/AL787,"")</f>
        <v/>
      </c>
      <c r="AQ787" s="119">
        <f>IFERROR(R787/AO787,"")</f>
        <v/>
      </c>
      <c r="AR787" s="116" t="n">
        <v>1</v>
      </c>
      <c r="AS787" s="116" t="n">
        <v>1</v>
      </c>
      <c r="AT787" s="116">
        <f>AL787+AR787</f>
        <v/>
      </c>
      <c r="AU787" s="119">
        <f>IFERROR(AO787*Assumptions!$C$26*Assumptions!$C$27*INDEX(Assumptions!$C$18:$C$21,MATCH(H787,Assumptions!$B$18:$B$21,0)),0)</f>
        <v/>
      </c>
    </row>
    <row r="788">
      <c r="A788" s="114" t="n">
        <v>46258</v>
      </c>
      <c r="B788" s="42" t="inlineStr">
        <is>
          <t>Wk 35</t>
        </is>
      </c>
      <c r="C788" s="42" t="inlineStr">
        <is>
          <t>Mon</t>
        </is>
      </c>
      <c r="D788" s="42" t="inlineStr">
        <is>
          <t>Meta (FB/IG)</t>
        </is>
      </c>
      <c r="E788" s="42" t="inlineStr">
        <is>
          <t>Facebook + Instagram</t>
        </is>
      </c>
      <c r="F788" s="42" t="inlineStr">
        <is>
          <t>LEP_ZA_AUG26_META_RMKT_ALL_CONV</t>
        </is>
      </c>
      <c r="G788" s="42" t="inlineStr">
        <is>
          <t>Leads - Website Conversions</t>
        </is>
      </c>
      <c r="H788" s="42" t="inlineStr">
        <is>
          <t>Range</t>
        </is>
      </c>
      <c r="I788" s="42" t="inlineStr">
        <is>
          <t>Range Offer</t>
        </is>
      </c>
      <c r="J788" s="42" t="inlineStr">
        <is>
          <t>MET_RMKT_SITE30D_ZA</t>
        </is>
      </c>
      <c r="K788" s="42" t="inlineStr">
        <is>
          <t>Retargeting</t>
        </is>
      </c>
      <c r="L788" s="42" t="inlineStr">
        <is>
          <t>RMKT_STA_BookNow_v1</t>
        </is>
      </c>
      <c r="M788" s="42" t="inlineStr">
        <is>
          <t>Static 1:1</t>
        </is>
      </c>
      <c r="N788" s="42" t="inlineStr">
        <is>
          <t>Your test drive is 2 minutes away</t>
        </is>
      </c>
      <c r="O788" s="42" t="inlineStr">
        <is>
          <t>Auction - Lowest Cost</t>
        </is>
      </c>
      <c r="P788" s="42" t="inlineStr">
        <is>
          <t>Offsite Conversions</t>
        </is>
      </c>
      <c r="Q788" s="42" t="inlineStr">
        <is>
          <t>https://www.lepas-sa.co.za/book-a-test-drive</t>
        </is>
      </c>
      <c r="R788" s="115" t="n">
        <v>130.29</v>
      </c>
      <c r="S788" s="116" t="n">
        <v>1167</v>
      </c>
      <c r="T788" s="116" t="n">
        <v>807</v>
      </c>
      <c r="U788" s="117">
        <f>IFERROR(S788/T788,"")</f>
        <v/>
      </c>
      <c r="V788" s="116" t="n">
        <v>33</v>
      </c>
      <c r="W788" s="116" t="n">
        <v>27</v>
      </c>
      <c r="X788" s="118">
        <f>IFERROR(W788/S788,"")</f>
        <v/>
      </c>
      <c r="Y788" s="115">
        <f>IFERROR(R788/W788,"")</f>
        <v/>
      </c>
      <c r="Z788" s="115">
        <f>IFERROR(R788/S788*1000,"")</f>
        <v/>
      </c>
      <c r="AA788" s="116" t="n">
        <v>25</v>
      </c>
      <c r="AB788" s="47">
        <f>IFERROR(AA788/W788,"")</f>
        <v/>
      </c>
      <c r="AC788" s="116" t="n">
        <v>0</v>
      </c>
      <c r="AD788" s="116" t="n">
        <v>0</v>
      </c>
      <c r="AE788" s="116" t="n">
        <v>0</v>
      </c>
      <c r="AF788" s="116" t="n">
        <v>0</v>
      </c>
      <c r="AG788" s="116" t="n">
        <v>0</v>
      </c>
      <c r="AH788" s="116" t="n">
        <v>0</v>
      </c>
      <c r="AI788" s="47">
        <f>IFERROR(AC788/S788,"")</f>
        <v/>
      </c>
      <c r="AJ788" s="47">
        <f>IFERROR(AH788/S788,"")</f>
        <v/>
      </c>
      <c r="AK788" s="116" t="n">
        <v>30</v>
      </c>
      <c r="AL788" s="116" t="n">
        <v>1</v>
      </c>
      <c r="AM788" s="118">
        <f>IFERROR(AL788/AA788,"")</f>
        <v/>
      </c>
      <c r="AN788" s="119">
        <f>IFERROR(R788/AL788,"")</f>
        <v/>
      </c>
      <c r="AO788" s="116" t="n">
        <v>0</v>
      </c>
      <c r="AP788" s="47">
        <f>IFERROR(AO788/AL788,"")</f>
        <v/>
      </c>
      <c r="AQ788" s="119">
        <f>IFERROR(R788/AO788,"")</f>
        <v/>
      </c>
      <c r="AR788" s="116" t="n">
        <v>1</v>
      </c>
      <c r="AS788" s="116" t="n">
        <v>1</v>
      </c>
      <c r="AT788" s="116">
        <f>AL788+AR788</f>
        <v/>
      </c>
      <c r="AU788" s="119">
        <f>IFERROR(AO788*Assumptions!$C$26*Assumptions!$C$27*INDEX(Assumptions!$C$18:$C$21,MATCH(H788,Assumptions!$B$18:$B$21,0)),0)</f>
        <v/>
      </c>
    </row>
    <row r="789">
      <c r="A789" s="114" t="n">
        <v>46259</v>
      </c>
      <c r="B789" s="42" t="inlineStr">
        <is>
          <t>Wk 35</t>
        </is>
      </c>
      <c r="C789" s="42" t="inlineStr">
        <is>
          <t>Tue</t>
        </is>
      </c>
      <c r="D789" s="42" t="inlineStr">
        <is>
          <t>Meta (FB/IG)</t>
        </is>
      </c>
      <c r="E789" s="42" t="inlineStr">
        <is>
          <t>Facebook + Instagram</t>
        </is>
      </c>
      <c r="F789" s="42" t="inlineStr">
        <is>
          <t>LEP_ZA_AUG26_META_RMKT_ALL_CONV</t>
        </is>
      </c>
      <c r="G789" s="42" t="inlineStr">
        <is>
          <t>Leads - Website Conversions</t>
        </is>
      </c>
      <c r="H789" s="42" t="inlineStr">
        <is>
          <t>Range</t>
        </is>
      </c>
      <c r="I789" s="42" t="inlineStr">
        <is>
          <t>Range Offer</t>
        </is>
      </c>
      <c r="J789" s="42" t="inlineStr">
        <is>
          <t>MET_RMKT_SITE30D_ZA</t>
        </is>
      </c>
      <c r="K789" s="42" t="inlineStr">
        <is>
          <t>Retargeting</t>
        </is>
      </c>
      <c r="L789" s="42" t="inlineStr">
        <is>
          <t>RMKT_STA_BookNow_v1</t>
        </is>
      </c>
      <c r="M789" s="42" t="inlineStr">
        <is>
          <t>Static 1:1</t>
        </is>
      </c>
      <c r="N789" s="42" t="inlineStr">
        <is>
          <t>Your test drive is 2 minutes away</t>
        </is>
      </c>
      <c r="O789" s="42" t="inlineStr">
        <is>
          <t>Auction - Lowest Cost</t>
        </is>
      </c>
      <c r="P789" s="42" t="inlineStr">
        <is>
          <t>Offsite Conversions</t>
        </is>
      </c>
      <c r="Q789" s="42" t="inlineStr">
        <is>
          <t>https://www.lepas-sa.co.za/book-a-test-drive</t>
        </is>
      </c>
      <c r="R789" s="115" t="n">
        <v>131.9</v>
      </c>
      <c r="S789" s="116" t="n">
        <v>1604</v>
      </c>
      <c r="T789" s="116" t="n">
        <v>1052</v>
      </c>
      <c r="U789" s="117">
        <f>IFERROR(S789/T789,"")</f>
        <v/>
      </c>
      <c r="V789" s="116" t="n">
        <v>50</v>
      </c>
      <c r="W789" s="116" t="n">
        <v>37</v>
      </c>
      <c r="X789" s="118">
        <f>IFERROR(W789/S789,"")</f>
        <v/>
      </c>
      <c r="Y789" s="115">
        <f>IFERROR(R789/W789,"")</f>
        <v/>
      </c>
      <c r="Z789" s="115">
        <f>IFERROR(R789/S789*1000,"")</f>
        <v/>
      </c>
      <c r="AA789" s="116" t="n">
        <v>32</v>
      </c>
      <c r="AB789" s="47">
        <f>IFERROR(AA789/W789,"")</f>
        <v/>
      </c>
      <c r="AC789" s="116" t="n">
        <v>0</v>
      </c>
      <c r="AD789" s="116" t="n">
        <v>0</v>
      </c>
      <c r="AE789" s="116" t="n">
        <v>0</v>
      </c>
      <c r="AF789" s="116" t="n">
        <v>0</v>
      </c>
      <c r="AG789" s="116" t="n">
        <v>0</v>
      </c>
      <c r="AH789" s="116" t="n">
        <v>0</v>
      </c>
      <c r="AI789" s="47">
        <f>IFERROR(AC789/S789,"")</f>
        <v/>
      </c>
      <c r="AJ789" s="47">
        <f>IFERROR(AH789/S789,"")</f>
        <v/>
      </c>
      <c r="AK789" s="116" t="n">
        <v>33</v>
      </c>
      <c r="AL789" s="116" t="n">
        <v>1</v>
      </c>
      <c r="AM789" s="118">
        <f>IFERROR(AL789/AA789,"")</f>
        <v/>
      </c>
      <c r="AN789" s="119">
        <f>IFERROR(R789/AL789,"")</f>
        <v/>
      </c>
      <c r="AO789" s="116" t="n">
        <v>1</v>
      </c>
      <c r="AP789" s="47">
        <f>IFERROR(AO789/AL789,"")</f>
        <v/>
      </c>
      <c r="AQ789" s="119">
        <f>IFERROR(R789/AO789,"")</f>
        <v/>
      </c>
      <c r="AR789" s="116" t="n">
        <v>0</v>
      </c>
      <c r="AS789" s="116" t="n">
        <v>0</v>
      </c>
      <c r="AT789" s="116">
        <f>AL789+AR789</f>
        <v/>
      </c>
      <c r="AU789" s="119">
        <f>IFERROR(AO789*Assumptions!$C$26*Assumptions!$C$27*INDEX(Assumptions!$C$18:$C$21,MATCH(H789,Assumptions!$B$18:$B$21,0)),0)</f>
        <v/>
      </c>
    </row>
    <row r="790">
      <c r="A790" s="114" t="n">
        <v>46260</v>
      </c>
      <c r="B790" s="42" t="inlineStr">
        <is>
          <t>Wk 35</t>
        </is>
      </c>
      <c r="C790" s="42" t="inlineStr">
        <is>
          <t>Wed</t>
        </is>
      </c>
      <c r="D790" s="42" t="inlineStr">
        <is>
          <t>Meta (FB/IG)</t>
        </is>
      </c>
      <c r="E790" s="42" t="inlineStr">
        <is>
          <t>Facebook + Instagram</t>
        </is>
      </c>
      <c r="F790" s="42" t="inlineStr">
        <is>
          <t>LEP_ZA_AUG26_META_RMKT_ALL_CONV</t>
        </is>
      </c>
      <c r="G790" s="42" t="inlineStr">
        <is>
          <t>Leads - Website Conversions</t>
        </is>
      </c>
      <c r="H790" s="42" t="inlineStr">
        <is>
          <t>Range</t>
        </is>
      </c>
      <c r="I790" s="42" t="inlineStr">
        <is>
          <t>Range Offer</t>
        </is>
      </c>
      <c r="J790" s="42" t="inlineStr">
        <is>
          <t>MET_RMKT_SITE30D_ZA</t>
        </is>
      </c>
      <c r="K790" s="42" t="inlineStr">
        <is>
          <t>Retargeting</t>
        </is>
      </c>
      <c r="L790" s="42" t="inlineStr">
        <is>
          <t>RMKT_STA_BookNow_v1</t>
        </is>
      </c>
      <c r="M790" s="42" t="inlineStr">
        <is>
          <t>Static 1:1</t>
        </is>
      </c>
      <c r="N790" s="42" t="inlineStr">
        <is>
          <t>Your test drive is 2 minutes away</t>
        </is>
      </c>
      <c r="O790" s="42" t="inlineStr">
        <is>
          <t>Auction - Lowest Cost</t>
        </is>
      </c>
      <c r="P790" s="42" t="inlineStr">
        <is>
          <t>Offsite Conversions</t>
        </is>
      </c>
      <c r="Q790" s="42" t="inlineStr">
        <is>
          <t>https://www.lepas-sa.co.za/book-a-test-drive</t>
        </is>
      </c>
      <c r="R790" s="115" t="n">
        <v>168.76</v>
      </c>
      <c r="S790" s="116" t="n">
        <v>1604</v>
      </c>
      <c r="T790" s="116" t="n">
        <v>985</v>
      </c>
      <c r="U790" s="117">
        <f>IFERROR(S790/T790,"")</f>
        <v/>
      </c>
      <c r="V790" s="116" t="n">
        <v>49</v>
      </c>
      <c r="W790" s="116" t="n">
        <v>37</v>
      </c>
      <c r="X790" s="118">
        <f>IFERROR(W790/S790,"")</f>
        <v/>
      </c>
      <c r="Y790" s="115">
        <f>IFERROR(R790/W790,"")</f>
        <v/>
      </c>
      <c r="Z790" s="115">
        <f>IFERROR(R790/S790*1000,"")</f>
        <v/>
      </c>
      <c r="AA790" s="116" t="n">
        <v>29</v>
      </c>
      <c r="AB790" s="47">
        <f>IFERROR(AA790/W790,"")</f>
        <v/>
      </c>
      <c r="AC790" s="116" t="n">
        <v>0</v>
      </c>
      <c r="AD790" s="116" t="n">
        <v>0</v>
      </c>
      <c r="AE790" s="116" t="n">
        <v>0</v>
      </c>
      <c r="AF790" s="116" t="n">
        <v>0</v>
      </c>
      <c r="AG790" s="116" t="n">
        <v>0</v>
      </c>
      <c r="AH790" s="116" t="n">
        <v>0</v>
      </c>
      <c r="AI790" s="47">
        <f>IFERROR(AC790/S790,"")</f>
        <v/>
      </c>
      <c r="AJ790" s="47">
        <f>IFERROR(AH790/S790,"")</f>
        <v/>
      </c>
      <c r="AK790" s="116" t="n">
        <v>28</v>
      </c>
      <c r="AL790" s="116" t="n">
        <v>0</v>
      </c>
      <c r="AM790" s="118">
        <f>IFERROR(AL790/AA790,"")</f>
        <v/>
      </c>
      <c r="AN790" s="119">
        <f>IFERROR(R790/AL790,"")</f>
        <v/>
      </c>
      <c r="AO790" s="116" t="n">
        <v>0</v>
      </c>
      <c r="AP790" s="47">
        <f>IFERROR(AO790/AL790,"")</f>
        <v/>
      </c>
      <c r="AQ790" s="119">
        <f>IFERROR(R790/AO790,"")</f>
        <v/>
      </c>
      <c r="AR790" s="116" t="n">
        <v>0</v>
      </c>
      <c r="AS790" s="116" t="n">
        <v>0</v>
      </c>
      <c r="AT790" s="116">
        <f>AL790+AR790</f>
        <v/>
      </c>
      <c r="AU790" s="119">
        <f>IFERROR(AO790*Assumptions!$C$26*Assumptions!$C$27*INDEX(Assumptions!$C$18:$C$21,MATCH(H790,Assumptions!$B$18:$B$21,0)),0)</f>
        <v/>
      </c>
    </row>
    <row r="791">
      <c r="A791" s="114" t="n">
        <v>46261</v>
      </c>
      <c r="B791" s="42" t="inlineStr">
        <is>
          <t>Wk 35</t>
        </is>
      </c>
      <c r="C791" s="42" t="inlineStr">
        <is>
          <t>Thu</t>
        </is>
      </c>
      <c r="D791" s="42" t="inlineStr">
        <is>
          <t>Meta (FB/IG)</t>
        </is>
      </c>
      <c r="E791" s="42" t="inlineStr">
        <is>
          <t>Facebook + Instagram</t>
        </is>
      </c>
      <c r="F791" s="42" t="inlineStr">
        <is>
          <t>LEP_ZA_AUG26_META_RMKT_ALL_CONV</t>
        </is>
      </c>
      <c r="G791" s="42" t="inlineStr">
        <is>
          <t>Leads - Website Conversions</t>
        </is>
      </c>
      <c r="H791" s="42" t="inlineStr">
        <is>
          <t>Range</t>
        </is>
      </c>
      <c r="I791" s="42" t="inlineStr">
        <is>
          <t>Range Offer</t>
        </is>
      </c>
      <c r="J791" s="42" t="inlineStr">
        <is>
          <t>MET_RMKT_SITE30D_ZA</t>
        </is>
      </c>
      <c r="K791" s="42" t="inlineStr">
        <is>
          <t>Retargeting</t>
        </is>
      </c>
      <c r="L791" s="42" t="inlineStr">
        <is>
          <t>RMKT_STA_BookNow_v1</t>
        </is>
      </c>
      <c r="M791" s="42" t="inlineStr">
        <is>
          <t>Static 1:1</t>
        </is>
      </c>
      <c r="N791" s="42" t="inlineStr">
        <is>
          <t>Your test drive is 2 minutes away</t>
        </is>
      </c>
      <c r="O791" s="42" t="inlineStr">
        <is>
          <t>Auction - Lowest Cost</t>
        </is>
      </c>
      <c r="P791" s="42" t="inlineStr">
        <is>
          <t>Offsite Conversions</t>
        </is>
      </c>
      <c r="Q791" s="42" t="inlineStr">
        <is>
          <t>https://www.lepas-sa.co.za/book-a-test-drive</t>
        </is>
      </c>
      <c r="R791" s="115" t="n">
        <v>185.56</v>
      </c>
      <c r="S791" s="116" t="n">
        <v>1624</v>
      </c>
      <c r="T791" s="116" t="n">
        <v>821</v>
      </c>
      <c r="U791" s="117">
        <f>IFERROR(S791/T791,"")</f>
        <v/>
      </c>
      <c r="V791" s="116" t="n">
        <v>25</v>
      </c>
      <c r="W791" s="116" t="n">
        <v>19</v>
      </c>
      <c r="X791" s="118">
        <f>IFERROR(W791/S791,"")</f>
        <v/>
      </c>
      <c r="Y791" s="115">
        <f>IFERROR(R791/W791,"")</f>
        <v/>
      </c>
      <c r="Z791" s="115">
        <f>IFERROR(R791/S791*1000,"")</f>
        <v/>
      </c>
      <c r="AA791" s="116" t="n">
        <v>17</v>
      </c>
      <c r="AB791" s="47">
        <f>IFERROR(AA791/W791,"")</f>
        <v/>
      </c>
      <c r="AC791" s="116" t="n">
        <v>0</v>
      </c>
      <c r="AD791" s="116" t="n">
        <v>0</v>
      </c>
      <c r="AE791" s="116" t="n">
        <v>0</v>
      </c>
      <c r="AF791" s="116" t="n">
        <v>0</v>
      </c>
      <c r="AG791" s="116" t="n">
        <v>0</v>
      </c>
      <c r="AH791" s="116" t="n">
        <v>0</v>
      </c>
      <c r="AI791" s="47">
        <f>IFERROR(AC791/S791,"")</f>
        <v/>
      </c>
      <c r="AJ791" s="47">
        <f>IFERROR(AH791/S791,"")</f>
        <v/>
      </c>
      <c r="AK791" s="116" t="n">
        <v>21</v>
      </c>
      <c r="AL791" s="116" t="n">
        <v>1</v>
      </c>
      <c r="AM791" s="118">
        <f>IFERROR(AL791/AA791,"")</f>
        <v/>
      </c>
      <c r="AN791" s="119">
        <f>IFERROR(R791/AL791,"")</f>
        <v/>
      </c>
      <c r="AO791" s="116" t="n">
        <v>1</v>
      </c>
      <c r="AP791" s="47">
        <f>IFERROR(AO791/AL791,"")</f>
        <v/>
      </c>
      <c r="AQ791" s="119">
        <f>IFERROR(R791/AO791,"")</f>
        <v/>
      </c>
      <c r="AR791" s="116" t="n">
        <v>0</v>
      </c>
      <c r="AS791" s="116" t="n">
        <v>0</v>
      </c>
      <c r="AT791" s="116">
        <f>AL791+AR791</f>
        <v/>
      </c>
      <c r="AU791" s="119">
        <f>IFERROR(AO791*Assumptions!$C$26*Assumptions!$C$27*INDEX(Assumptions!$C$18:$C$21,MATCH(H791,Assumptions!$B$18:$B$21,0)),0)</f>
        <v/>
      </c>
    </row>
    <row r="792">
      <c r="A792" s="114" t="n">
        <v>46262</v>
      </c>
      <c r="B792" s="42" t="inlineStr">
        <is>
          <t>Wk 35</t>
        </is>
      </c>
      <c r="C792" s="42" t="inlineStr">
        <is>
          <t>Fri</t>
        </is>
      </c>
      <c r="D792" s="42" t="inlineStr">
        <is>
          <t>Meta (FB/IG)</t>
        </is>
      </c>
      <c r="E792" s="42" t="inlineStr">
        <is>
          <t>Facebook + Instagram</t>
        </is>
      </c>
      <c r="F792" s="42" t="inlineStr">
        <is>
          <t>LEP_ZA_AUG26_META_RMKT_ALL_CONV</t>
        </is>
      </c>
      <c r="G792" s="42" t="inlineStr">
        <is>
          <t>Leads - Website Conversions</t>
        </is>
      </c>
      <c r="H792" s="42" t="inlineStr">
        <is>
          <t>Range</t>
        </is>
      </c>
      <c r="I792" s="42" t="inlineStr">
        <is>
          <t>Range Offer</t>
        </is>
      </c>
      <c r="J792" s="42" t="inlineStr">
        <is>
          <t>MET_RMKT_SITE30D_ZA</t>
        </is>
      </c>
      <c r="K792" s="42" t="inlineStr">
        <is>
          <t>Retargeting</t>
        </is>
      </c>
      <c r="L792" s="42" t="inlineStr">
        <is>
          <t>RMKT_STA_BookNow_v1</t>
        </is>
      </c>
      <c r="M792" s="42" t="inlineStr">
        <is>
          <t>Static 1:1</t>
        </is>
      </c>
      <c r="N792" s="42" t="inlineStr">
        <is>
          <t>Your test drive is 2 minutes away</t>
        </is>
      </c>
      <c r="O792" s="42" t="inlineStr">
        <is>
          <t>Auction - Lowest Cost</t>
        </is>
      </c>
      <c r="P792" s="42" t="inlineStr">
        <is>
          <t>Offsite Conversions</t>
        </is>
      </c>
      <c r="Q792" s="42" t="inlineStr">
        <is>
          <t>https://www.lepas-sa.co.za/book-a-test-drive</t>
        </is>
      </c>
      <c r="R792" s="115" t="n">
        <v>214.17</v>
      </c>
      <c r="S792" s="116" t="n">
        <v>2566</v>
      </c>
      <c r="T792" s="116" t="n">
        <v>1204</v>
      </c>
      <c r="U792" s="117">
        <f>IFERROR(S792/T792,"")</f>
        <v/>
      </c>
      <c r="V792" s="116" t="n">
        <v>61</v>
      </c>
      <c r="W792" s="116" t="n">
        <v>51</v>
      </c>
      <c r="X792" s="118">
        <f>IFERROR(W792/S792,"")</f>
        <v/>
      </c>
      <c r="Y792" s="115">
        <f>IFERROR(R792/W792,"")</f>
        <v/>
      </c>
      <c r="Z792" s="115">
        <f>IFERROR(R792/S792*1000,"")</f>
        <v/>
      </c>
      <c r="AA792" s="116" t="n">
        <v>46</v>
      </c>
      <c r="AB792" s="47">
        <f>IFERROR(AA792/W792,"")</f>
        <v/>
      </c>
      <c r="AC792" s="116" t="n">
        <v>0</v>
      </c>
      <c r="AD792" s="116" t="n">
        <v>0</v>
      </c>
      <c r="AE792" s="116" t="n">
        <v>0</v>
      </c>
      <c r="AF792" s="116" t="n">
        <v>0</v>
      </c>
      <c r="AG792" s="116" t="n">
        <v>0</v>
      </c>
      <c r="AH792" s="116" t="n">
        <v>0</v>
      </c>
      <c r="AI792" s="47">
        <f>IFERROR(AC792/S792,"")</f>
        <v/>
      </c>
      <c r="AJ792" s="47">
        <f>IFERROR(AH792/S792,"")</f>
        <v/>
      </c>
      <c r="AK792" s="116" t="n">
        <v>51</v>
      </c>
      <c r="AL792" s="116" t="n">
        <v>1</v>
      </c>
      <c r="AM792" s="118">
        <f>IFERROR(AL792/AA792,"")</f>
        <v/>
      </c>
      <c r="AN792" s="119">
        <f>IFERROR(R792/AL792,"")</f>
        <v/>
      </c>
      <c r="AO792" s="116" t="n">
        <v>1</v>
      </c>
      <c r="AP792" s="47">
        <f>IFERROR(AO792/AL792,"")</f>
        <v/>
      </c>
      <c r="AQ792" s="119">
        <f>IFERROR(R792/AO792,"")</f>
        <v/>
      </c>
      <c r="AR792" s="116" t="n">
        <v>0</v>
      </c>
      <c r="AS792" s="116" t="n">
        <v>1</v>
      </c>
      <c r="AT792" s="116">
        <f>AL792+AR792</f>
        <v/>
      </c>
      <c r="AU792" s="119">
        <f>IFERROR(AO792*Assumptions!$C$26*Assumptions!$C$27*INDEX(Assumptions!$C$18:$C$21,MATCH(H792,Assumptions!$B$18:$B$21,0)),0)</f>
        <v/>
      </c>
    </row>
    <row r="793">
      <c r="A793" s="114" t="n">
        <v>46263</v>
      </c>
      <c r="B793" s="42" t="inlineStr">
        <is>
          <t>Wk 35</t>
        </is>
      </c>
      <c r="C793" s="42" t="inlineStr">
        <is>
          <t>Sat</t>
        </is>
      </c>
      <c r="D793" s="42" t="inlineStr">
        <is>
          <t>Meta (FB/IG)</t>
        </is>
      </c>
      <c r="E793" s="42" t="inlineStr">
        <is>
          <t>Facebook + Instagram</t>
        </is>
      </c>
      <c r="F793" s="42" t="inlineStr">
        <is>
          <t>LEP_ZA_AUG26_META_RMKT_ALL_CONV</t>
        </is>
      </c>
      <c r="G793" s="42" t="inlineStr">
        <is>
          <t>Leads - Website Conversions</t>
        </is>
      </c>
      <c r="H793" s="42" t="inlineStr">
        <is>
          <t>Range</t>
        </is>
      </c>
      <c r="I793" s="42" t="inlineStr">
        <is>
          <t>Range Offer</t>
        </is>
      </c>
      <c r="J793" s="42" t="inlineStr">
        <is>
          <t>MET_RMKT_SITE30D_ZA</t>
        </is>
      </c>
      <c r="K793" s="42" t="inlineStr">
        <is>
          <t>Retargeting</t>
        </is>
      </c>
      <c r="L793" s="42" t="inlineStr">
        <is>
          <t>RMKT_STA_BookNow_v1</t>
        </is>
      </c>
      <c r="M793" s="42" t="inlineStr">
        <is>
          <t>Static 1:1</t>
        </is>
      </c>
      <c r="N793" s="42" t="inlineStr">
        <is>
          <t>Your test drive is 2 minutes away</t>
        </is>
      </c>
      <c r="O793" s="42" t="inlineStr">
        <is>
          <t>Auction - Lowest Cost</t>
        </is>
      </c>
      <c r="P793" s="42" t="inlineStr">
        <is>
          <t>Offsite Conversions</t>
        </is>
      </c>
      <c r="Q793" s="42" t="inlineStr">
        <is>
          <t>https://www.lepas-sa.co.za/book-a-test-drive</t>
        </is>
      </c>
      <c r="R793" s="115" t="n">
        <v>222.79</v>
      </c>
      <c r="S793" s="116" t="n">
        <v>2661</v>
      </c>
      <c r="T793" s="116" t="n">
        <v>1545</v>
      </c>
      <c r="U793" s="117">
        <f>IFERROR(S793/T793,"")</f>
        <v/>
      </c>
      <c r="V793" s="116" t="n">
        <v>79</v>
      </c>
      <c r="W793" s="116" t="n">
        <v>58</v>
      </c>
      <c r="X793" s="118">
        <f>IFERROR(W793/S793,"")</f>
        <v/>
      </c>
      <c r="Y793" s="115">
        <f>IFERROR(R793/W793,"")</f>
        <v/>
      </c>
      <c r="Z793" s="115">
        <f>IFERROR(R793/S793*1000,"")</f>
        <v/>
      </c>
      <c r="AA793" s="116" t="n">
        <v>49</v>
      </c>
      <c r="AB793" s="47">
        <f>IFERROR(AA793/W793,"")</f>
        <v/>
      </c>
      <c r="AC793" s="116" t="n">
        <v>0</v>
      </c>
      <c r="AD793" s="116" t="n">
        <v>0</v>
      </c>
      <c r="AE793" s="116" t="n">
        <v>0</v>
      </c>
      <c r="AF793" s="116" t="n">
        <v>0</v>
      </c>
      <c r="AG793" s="116" t="n">
        <v>0</v>
      </c>
      <c r="AH793" s="116" t="n">
        <v>0</v>
      </c>
      <c r="AI793" s="47">
        <f>IFERROR(AC793/S793,"")</f>
        <v/>
      </c>
      <c r="AJ793" s="47">
        <f>IFERROR(AH793/S793,"")</f>
        <v/>
      </c>
      <c r="AK793" s="116" t="n">
        <v>73</v>
      </c>
      <c r="AL793" s="116" t="n">
        <v>1</v>
      </c>
      <c r="AM793" s="118">
        <f>IFERROR(AL793/AA793,"")</f>
        <v/>
      </c>
      <c r="AN793" s="119">
        <f>IFERROR(R793/AL793,"")</f>
        <v/>
      </c>
      <c r="AO793" s="116" t="n">
        <v>0</v>
      </c>
      <c r="AP793" s="47">
        <f>IFERROR(AO793/AL793,"")</f>
        <v/>
      </c>
      <c r="AQ793" s="119">
        <f>IFERROR(R793/AO793,"")</f>
        <v/>
      </c>
      <c r="AR793" s="116" t="n">
        <v>1</v>
      </c>
      <c r="AS793" s="116" t="n">
        <v>0</v>
      </c>
      <c r="AT793" s="116">
        <f>AL793+AR793</f>
        <v/>
      </c>
      <c r="AU793" s="119">
        <f>IFERROR(AO793*Assumptions!$C$26*Assumptions!$C$27*INDEX(Assumptions!$C$18:$C$21,MATCH(H793,Assumptions!$B$18:$B$21,0)),0)</f>
        <v/>
      </c>
    </row>
    <row r="794">
      <c r="A794" s="114" t="n">
        <v>46264</v>
      </c>
      <c r="B794" s="42" t="inlineStr">
        <is>
          <t>Wk 35</t>
        </is>
      </c>
      <c r="C794" s="42" t="inlineStr">
        <is>
          <t>Sun</t>
        </is>
      </c>
      <c r="D794" s="42" t="inlineStr">
        <is>
          <t>Meta (FB/IG)</t>
        </is>
      </c>
      <c r="E794" s="42" t="inlineStr">
        <is>
          <t>Facebook + Instagram</t>
        </is>
      </c>
      <c r="F794" s="42" t="inlineStr">
        <is>
          <t>LEP_ZA_AUG26_META_RMKT_ALL_CONV</t>
        </is>
      </c>
      <c r="G794" s="42" t="inlineStr">
        <is>
          <t>Leads - Website Conversions</t>
        </is>
      </c>
      <c r="H794" s="42" t="inlineStr">
        <is>
          <t>Range</t>
        </is>
      </c>
      <c r="I794" s="42" t="inlineStr">
        <is>
          <t>Range Offer</t>
        </is>
      </c>
      <c r="J794" s="42" t="inlineStr">
        <is>
          <t>MET_RMKT_SITE30D_ZA</t>
        </is>
      </c>
      <c r="K794" s="42" t="inlineStr">
        <is>
          <t>Retargeting</t>
        </is>
      </c>
      <c r="L794" s="42" t="inlineStr">
        <is>
          <t>RMKT_STA_BookNow_v1</t>
        </is>
      </c>
      <c r="M794" s="42" t="inlineStr">
        <is>
          <t>Static 1:1</t>
        </is>
      </c>
      <c r="N794" s="42" t="inlineStr">
        <is>
          <t>Your test drive is 2 minutes away</t>
        </is>
      </c>
      <c r="O794" s="42" t="inlineStr">
        <is>
          <t>Auction - Lowest Cost</t>
        </is>
      </c>
      <c r="P794" s="42" t="inlineStr">
        <is>
          <t>Offsite Conversions</t>
        </is>
      </c>
      <c r="Q794" s="42" t="inlineStr">
        <is>
          <t>https://www.lepas-sa.co.za/book-a-test-drive</t>
        </is>
      </c>
      <c r="R794" s="115" t="n">
        <v>165.67</v>
      </c>
      <c r="S794" s="116" t="n">
        <v>1764</v>
      </c>
      <c r="T794" s="116" t="n">
        <v>1020</v>
      </c>
      <c r="U794" s="117">
        <f>IFERROR(S794/T794,"")</f>
        <v/>
      </c>
      <c r="V794" s="116" t="n">
        <v>30</v>
      </c>
      <c r="W794" s="116" t="n">
        <v>22</v>
      </c>
      <c r="X794" s="118">
        <f>IFERROR(W794/S794,"")</f>
        <v/>
      </c>
      <c r="Y794" s="115">
        <f>IFERROR(R794/W794,"")</f>
        <v/>
      </c>
      <c r="Z794" s="115">
        <f>IFERROR(R794/S794*1000,"")</f>
        <v/>
      </c>
      <c r="AA794" s="116" t="n">
        <v>18</v>
      </c>
      <c r="AB794" s="47">
        <f>IFERROR(AA794/W794,"")</f>
        <v/>
      </c>
      <c r="AC794" s="116" t="n">
        <v>0</v>
      </c>
      <c r="AD794" s="116" t="n">
        <v>0</v>
      </c>
      <c r="AE794" s="116" t="n">
        <v>0</v>
      </c>
      <c r="AF794" s="116" t="n">
        <v>0</v>
      </c>
      <c r="AG794" s="116" t="n">
        <v>0</v>
      </c>
      <c r="AH794" s="116" t="n">
        <v>0</v>
      </c>
      <c r="AI794" s="47">
        <f>IFERROR(AC794/S794,"")</f>
        <v/>
      </c>
      <c r="AJ794" s="47">
        <f>IFERROR(AH794/S794,"")</f>
        <v/>
      </c>
      <c r="AK794" s="116" t="n">
        <v>37</v>
      </c>
      <c r="AL794" s="116" t="n">
        <v>0</v>
      </c>
      <c r="AM794" s="118">
        <f>IFERROR(AL794/AA794,"")</f>
        <v/>
      </c>
      <c r="AN794" s="119">
        <f>IFERROR(R794/AL794,"")</f>
        <v/>
      </c>
      <c r="AO794" s="116" t="n">
        <v>0</v>
      </c>
      <c r="AP794" s="47">
        <f>IFERROR(AO794/AL794,"")</f>
        <v/>
      </c>
      <c r="AQ794" s="119">
        <f>IFERROR(R794/AO794,"")</f>
        <v/>
      </c>
      <c r="AR794" s="116" t="n">
        <v>0</v>
      </c>
      <c r="AS794" s="116" t="n">
        <v>0</v>
      </c>
      <c r="AT794" s="116">
        <f>AL794+AR794</f>
        <v/>
      </c>
      <c r="AU794" s="119">
        <f>IFERROR(AO794*Assumptions!$C$26*Assumptions!$C$27*INDEX(Assumptions!$C$18:$C$21,MATCH(H794,Assumptions!$B$18:$B$21,0)),0)</f>
        <v/>
      </c>
    </row>
    <row r="795">
      <c r="A795" s="114" t="n">
        <v>46265</v>
      </c>
      <c r="B795" s="42" t="inlineStr">
        <is>
          <t>Wk 36</t>
        </is>
      </c>
      <c r="C795" s="42" t="inlineStr">
        <is>
          <t>Mon</t>
        </is>
      </c>
      <c r="D795" s="42" t="inlineStr">
        <is>
          <t>Meta (FB/IG)</t>
        </is>
      </c>
      <c r="E795" s="42" t="inlineStr">
        <is>
          <t>Facebook + Instagram</t>
        </is>
      </c>
      <c r="F795" s="42" t="inlineStr">
        <is>
          <t>LEP_ZA_AUG26_META_RMKT_ALL_CONV</t>
        </is>
      </c>
      <c r="G795" s="42" t="inlineStr">
        <is>
          <t>Leads - Website Conversions</t>
        </is>
      </c>
      <c r="H795" s="42" t="inlineStr">
        <is>
          <t>Range</t>
        </is>
      </c>
      <c r="I795" s="42" t="inlineStr">
        <is>
          <t>Range Offer</t>
        </is>
      </c>
      <c r="J795" s="42" t="inlineStr">
        <is>
          <t>MET_RMKT_SITE30D_ZA</t>
        </is>
      </c>
      <c r="K795" s="42" t="inlineStr">
        <is>
          <t>Retargeting</t>
        </is>
      </c>
      <c r="L795" s="42" t="inlineStr">
        <is>
          <t>RMKT_STA_BookNow_v1</t>
        </is>
      </c>
      <c r="M795" s="42" t="inlineStr">
        <is>
          <t>Static 1:1</t>
        </is>
      </c>
      <c r="N795" s="42" t="inlineStr">
        <is>
          <t>Your test drive is 2 minutes away</t>
        </is>
      </c>
      <c r="O795" s="42" t="inlineStr">
        <is>
          <t>Auction - Lowest Cost</t>
        </is>
      </c>
      <c r="P795" s="42" t="inlineStr">
        <is>
          <t>Offsite Conversions</t>
        </is>
      </c>
      <c r="Q795" s="42" t="inlineStr">
        <is>
          <t>https://www.lepas-sa.co.za/book-a-test-drive</t>
        </is>
      </c>
      <c r="R795" s="115" t="n">
        <v>169.28</v>
      </c>
      <c r="S795" s="116" t="n">
        <v>2112</v>
      </c>
      <c r="T795" s="116" t="n">
        <v>1049</v>
      </c>
      <c r="U795" s="117">
        <f>IFERROR(S795/T795,"")</f>
        <v/>
      </c>
      <c r="V795" s="116" t="n">
        <v>39</v>
      </c>
      <c r="W795" s="116" t="n">
        <v>28</v>
      </c>
      <c r="X795" s="118">
        <f>IFERROR(W795/S795,"")</f>
        <v/>
      </c>
      <c r="Y795" s="115">
        <f>IFERROR(R795/W795,"")</f>
        <v/>
      </c>
      <c r="Z795" s="115">
        <f>IFERROR(R795/S795*1000,"")</f>
        <v/>
      </c>
      <c r="AA795" s="116" t="n">
        <v>23</v>
      </c>
      <c r="AB795" s="47">
        <f>IFERROR(AA795/W795,"")</f>
        <v/>
      </c>
      <c r="AC795" s="116" t="n">
        <v>0</v>
      </c>
      <c r="AD795" s="116" t="n">
        <v>0</v>
      </c>
      <c r="AE795" s="116" t="n">
        <v>0</v>
      </c>
      <c r="AF795" s="116" t="n">
        <v>0</v>
      </c>
      <c r="AG795" s="116" t="n">
        <v>0</v>
      </c>
      <c r="AH795" s="116" t="n">
        <v>0</v>
      </c>
      <c r="AI795" s="47">
        <f>IFERROR(AC795/S795,"")</f>
        <v/>
      </c>
      <c r="AJ795" s="47">
        <f>IFERROR(AH795/S795,"")</f>
        <v/>
      </c>
      <c r="AK795" s="116" t="n">
        <v>63</v>
      </c>
      <c r="AL795" s="116" t="n">
        <v>1</v>
      </c>
      <c r="AM795" s="118">
        <f>IFERROR(AL795/AA795,"")</f>
        <v/>
      </c>
      <c r="AN795" s="119">
        <f>IFERROR(R795/AL795,"")</f>
        <v/>
      </c>
      <c r="AO795" s="116" t="n">
        <v>1</v>
      </c>
      <c r="AP795" s="47">
        <f>IFERROR(AO795/AL795,"")</f>
        <v/>
      </c>
      <c r="AQ795" s="119">
        <f>IFERROR(R795/AO795,"")</f>
        <v/>
      </c>
      <c r="AR795" s="116" t="n">
        <v>0</v>
      </c>
      <c r="AS795" s="116" t="n">
        <v>0</v>
      </c>
      <c r="AT795" s="116">
        <f>AL795+AR795</f>
        <v/>
      </c>
      <c r="AU795" s="119">
        <f>IFERROR(AO795*Assumptions!$C$26*Assumptions!$C$27*INDEX(Assumptions!$C$18:$C$21,MATCH(H795,Assumptions!$B$18:$B$21,0)),0)</f>
        <v/>
      </c>
    </row>
    <row r="796">
      <c r="A796" s="114" t="n">
        <v>46235</v>
      </c>
      <c r="B796" s="42" t="inlineStr">
        <is>
          <t>Wk 31</t>
        </is>
      </c>
      <c r="C796" s="42" t="inlineStr">
        <is>
          <t>Sat</t>
        </is>
      </c>
      <c r="D796" s="42" t="inlineStr">
        <is>
          <t>Meta (FB/IG)</t>
        </is>
      </c>
      <c r="E796" s="42" t="inlineStr">
        <is>
          <t>Facebook + Instagram</t>
        </is>
      </c>
      <c r="F796" s="42" t="inlineStr">
        <is>
          <t>LEP_ZA_AUG26_META_RMKT_ALL_CONV</t>
        </is>
      </c>
      <c r="G796" s="42" t="inlineStr">
        <is>
          <t>Leads - Website Conversions</t>
        </is>
      </c>
      <c r="H796" s="42" t="inlineStr">
        <is>
          <t>Range</t>
        </is>
      </c>
      <c r="I796" s="42" t="inlineStr">
        <is>
          <t>Range Offer</t>
        </is>
      </c>
      <c r="J796" s="42" t="inlineStr">
        <is>
          <t>MET_RMKT_SITE30D_ZA</t>
        </is>
      </c>
      <c r="K796" s="42" t="inlineStr">
        <is>
          <t>Retargeting</t>
        </is>
      </c>
      <c r="L796" s="42" t="inlineStr">
        <is>
          <t>RMKT_VID_10s_Recap_v1</t>
        </is>
      </c>
      <c r="M796" s="42" t="inlineStr">
        <is>
          <t>Video 9:16</t>
        </is>
      </c>
      <c r="N796" s="42" t="inlineStr">
        <is>
          <t>10 seconds. Then book.</t>
        </is>
      </c>
      <c r="O796" s="42" t="inlineStr">
        <is>
          <t>Auction - Lowest Cost</t>
        </is>
      </c>
      <c r="P796" s="42" t="inlineStr">
        <is>
          <t>Offsite Conversions</t>
        </is>
      </c>
      <c r="Q796" s="42" t="inlineStr">
        <is>
          <t>https://www.lepas-sa.co.za/book-a-test-drive</t>
        </is>
      </c>
      <c r="R796" s="115" t="n">
        <v>105.72</v>
      </c>
      <c r="S796" s="116" t="n">
        <v>1190</v>
      </c>
      <c r="T796" s="116" t="n">
        <v>817</v>
      </c>
      <c r="U796" s="117">
        <f>IFERROR(S796/T796,"")</f>
        <v/>
      </c>
      <c r="V796" s="116" t="n">
        <v>35</v>
      </c>
      <c r="W796" s="116" t="n">
        <v>29</v>
      </c>
      <c r="X796" s="118">
        <f>IFERROR(W796/S796,"")</f>
        <v/>
      </c>
      <c r="Y796" s="115">
        <f>IFERROR(R796/W796,"")</f>
        <v/>
      </c>
      <c r="Z796" s="115">
        <f>IFERROR(R796/S796*1000,"")</f>
        <v/>
      </c>
      <c r="AA796" s="116" t="n">
        <v>27</v>
      </c>
      <c r="AB796" s="47">
        <f>IFERROR(AA796/W796,"")</f>
        <v/>
      </c>
      <c r="AC796" s="116" t="n">
        <v>399</v>
      </c>
      <c r="AD796" s="116" t="n">
        <v>204</v>
      </c>
      <c r="AE796" s="116" t="n">
        <v>197</v>
      </c>
      <c r="AF796" s="116" t="n">
        <v>109</v>
      </c>
      <c r="AG796" s="116" t="n">
        <v>72</v>
      </c>
      <c r="AH796" s="116" t="n">
        <v>50</v>
      </c>
      <c r="AI796" s="47">
        <f>IFERROR(AC796/S796,"")</f>
        <v/>
      </c>
      <c r="AJ796" s="47">
        <f>IFERROR(AH796/S796,"")</f>
        <v/>
      </c>
      <c r="AK796" s="116" t="n">
        <v>41</v>
      </c>
      <c r="AL796" s="116" t="n">
        <v>2</v>
      </c>
      <c r="AM796" s="118">
        <f>IFERROR(AL796/AA796,"")</f>
        <v/>
      </c>
      <c r="AN796" s="119">
        <f>IFERROR(R796/AL796,"")</f>
        <v/>
      </c>
      <c r="AO796" s="116" t="n">
        <v>1</v>
      </c>
      <c r="AP796" s="47">
        <f>IFERROR(AO796/AL796,"")</f>
        <v/>
      </c>
      <c r="AQ796" s="119">
        <f>IFERROR(R796/AO796,"")</f>
        <v/>
      </c>
      <c r="AR796" s="116" t="n">
        <v>1</v>
      </c>
      <c r="AS796" s="116" t="n">
        <v>1</v>
      </c>
      <c r="AT796" s="116">
        <f>AL796+AR796</f>
        <v/>
      </c>
      <c r="AU796" s="119">
        <f>IFERROR(AO796*Assumptions!$C$26*Assumptions!$C$27*INDEX(Assumptions!$C$18:$C$21,MATCH(H796,Assumptions!$B$18:$B$21,0)),0)</f>
        <v/>
      </c>
    </row>
    <row r="797">
      <c r="A797" s="114" t="n">
        <v>46236</v>
      </c>
      <c r="B797" s="42" t="inlineStr">
        <is>
          <t>Wk 31</t>
        </is>
      </c>
      <c r="C797" s="42" t="inlineStr">
        <is>
          <t>Sun</t>
        </is>
      </c>
      <c r="D797" s="42" t="inlineStr">
        <is>
          <t>Meta (FB/IG)</t>
        </is>
      </c>
      <c r="E797" s="42" t="inlineStr">
        <is>
          <t>Facebook + Instagram</t>
        </is>
      </c>
      <c r="F797" s="42" t="inlineStr">
        <is>
          <t>LEP_ZA_AUG26_META_RMKT_ALL_CONV</t>
        </is>
      </c>
      <c r="G797" s="42" t="inlineStr">
        <is>
          <t>Leads - Website Conversions</t>
        </is>
      </c>
      <c r="H797" s="42" t="inlineStr">
        <is>
          <t>Range</t>
        </is>
      </c>
      <c r="I797" s="42" t="inlineStr">
        <is>
          <t>Range Offer</t>
        </is>
      </c>
      <c r="J797" s="42" t="inlineStr">
        <is>
          <t>MET_RMKT_SITE30D_ZA</t>
        </is>
      </c>
      <c r="K797" s="42" t="inlineStr">
        <is>
          <t>Retargeting</t>
        </is>
      </c>
      <c r="L797" s="42" t="inlineStr">
        <is>
          <t>RMKT_VID_10s_Recap_v1</t>
        </is>
      </c>
      <c r="M797" s="42" t="inlineStr">
        <is>
          <t>Video 9:16</t>
        </is>
      </c>
      <c r="N797" s="42" t="inlineStr">
        <is>
          <t>10 seconds. Then book.</t>
        </is>
      </c>
      <c r="O797" s="42" t="inlineStr">
        <is>
          <t>Auction - Lowest Cost</t>
        </is>
      </c>
      <c r="P797" s="42" t="inlineStr">
        <is>
          <t>Offsite Conversions</t>
        </is>
      </c>
      <c r="Q797" s="42" t="inlineStr">
        <is>
          <t>https://www.lepas-sa.co.za/book-a-test-drive</t>
        </is>
      </c>
      <c r="R797" s="115" t="n">
        <v>85.47</v>
      </c>
      <c r="S797" s="116" t="n">
        <v>1186</v>
      </c>
      <c r="T797" s="116" t="n">
        <v>1010</v>
      </c>
      <c r="U797" s="117">
        <f>IFERROR(S797/T797,"")</f>
        <v/>
      </c>
      <c r="V797" s="116" t="n">
        <v>26</v>
      </c>
      <c r="W797" s="116" t="n">
        <v>21</v>
      </c>
      <c r="X797" s="118">
        <f>IFERROR(W797/S797,"")</f>
        <v/>
      </c>
      <c r="Y797" s="115">
        <f>IFERROR(R797/W797,"")</f>
        <v/>
      </c>
      <c r="Z797" s="115">
        <f>IFERROR(R797/S797*1000,"")</f>
        <v/>
      </c>
      <c r="AA797" s="116" t="n">
        <v>18</v>
      </c>
      <c r="AB797" s="47">
        <f>IFERROR(AA797/W797,"")</f>
        <v/>
      </c>
      <c r="AC797" s="116" t="n">
        <v>304</v>
      </c>
      <c r="AD797" s="116" t="n">
        <v>166</v>
      </c>
      <c r="AE797" s="116" t="n">
        <v>149</v>
      </c>
      <c r="AF797" s="116" t="n">
        <v>103</v>
      </c>
      <c r="AG797" s="116" t="n">
        <v>80</v>
      </c>
      <c r="AH797" s="116" t="n">
        <v>51</v>
      </c>
      <c r="AI797" s="47">
        <f>IFERROR(AC797/S797,"")</f>
        <v/>
      </c>
      <c r="AJ797" s="47">
        <f>IFERROR(AH797/S797,"")</f>
        <v/>
      </c>
      <c r="AK797" s="116" t="n">
        <v>31</v>
      </c>
      <c r="AL797" s="116" t="n">
        <v>1</v>
      </c>
      <c r="AM797" s="118">
        <f>IFERROR(AL797/AA797,"")</f>
        <v/>
      </c>
      <c r="AN797" s="119">
        <f>IFERROR(R797/AL797,"")</f>
        <v/>
      </c>
      <c r="AO797" s="116" t="n">
        <v>1</v>
      </c>
      <c r="AP797" s="47">
        <f>IFERROR(AO797/AL797,"")</f>
        <v/>
      </c>
      <c r="AQ797" s="119">
        <f>IFERROR(R797/AO797,"")</f>
        <v/>
      </c>
      <c r="AR797" s="116" t="n">
        <v>0</v>
      </c>
      <c r="AS797" s="116" t="n">
        <v>1</v>
      </c>
      <c r="AT797" s="116">
        <f>AL797+AR797</f>
        <v/>
      </c>
      <c r="AU797" s="119">
        <f>IFERROR(AO797*Assumptions!$C$26*Assumptions!$C$27*INDEX(Assumptions!$C$18:$C$21,MATCH(H797,Assumptions!$B$18:$B$21,0)),0)</f>
        <v/>
      </c>
    </row>
    <row r="798">
      <c r="A798" s="114" t="n">
        <v>46237</v>
      </c>
      <c r="B798" s="42" t="inlineStr">
        <is>
          <t>Wk 32</t>
        </is>
      </c>
      <c r="C798" s="42" t="inlineStr">
        <is>
          <t>Mon</t>
        </is>
      </c>
      <c r="D798" s="42" t="inlineStr">
        <is>
          <t>Meta (FB/IG)</t>
        </is>
      </c>
      <c r="E798" s="42" t="inlineStr">
        <is>
          <t>Facebook + Instagram</t>
        </is>
      </c>
      <c r="F798" s="42" t="inlineStr">
        <is>
          <t>LEP_ZA_AUG26_META_RMKT_ALL_CONV</t>
        </is>
      </c>
      <c r="G798" s="42" t="inlineStr">
        <is>
          <t>Leads - Website Conversions</t>
        </is>
      </c>
      <c r="H798" s="42" t="inlineStr">
        <is>
          <t>Range</t>
        </is>
      </c>
      <c r="I798" s="42" t="inlineStr">
        <is>
          <t>Range Offer</t>
        </is>
      </c>
      <c r="J798" s="42" t="inlineStr">
        <is>
          <t>MET_RMKT_SITE30D_ZA</t>
        </is>
      </c>
      <c r="K798" s="42" t="inlineStr">
        <is>
          <t>Retargeting</t>
        </is>
      </c>
      <c r="L798" s="42" t="inlineStr">
        <is>
          <t>RMKT_VID_10s_Recap_v1</t>
        </is>
      </c>
      <c r="M798" s="42" t="inlineStr">
        <is>
          <t>Video 9:16</t>
        </is>
      </c>
      <c r="N798" s="42" t="inlineStr">
        <is>
          <t>10 seconds. Then book.</t>
        </is>
      </c>
      <c r="O798" s="42" t="inlineStr">
        <is>
          <t>Auction - Lowest Cost</t>
        </is>
      </c>
      <c r="P798" s="42" t="inlineStr">
        <is>
          <t>Offsite Conversions</t>
        </is>
      </c>
      <c r="Q798" s="42" t="inlineStr">
        <is>
          <t>https://www.lepas-sa.co.za/book-a-test-drive</t>
        </is>
      </c>
      <c r="R798" s="115" t="n">
        <v>100.95</v>
      </c>
      <c r="S798" s="116" t="n">
        <v>1097</v>
      </c>
      <c r="T798" s="116" t="n">
        <v>965</v>
      </c>
      <c r="U798" s="117">
        <f>IFERROR(S798/T798,"")</f>
        <v/>
      </c>
      <c r="V798" s="116" t="n">
        <v>47</v>
      </c>
      <c r="W798" s="116" t="n">
        <v>35</v>
      </c>
      <c r="X798" s="118">
        <f>IFERROR(W798/S798,"")</f>
        <v/>
      </c>
      <c r="Y798" s="115">
        <f>IFERROR(R798/W798,"")</f>
        <v/>
      </c>
      <c r="Z798" s="115">
        <f>IFERROR(R798/S798*1000,"")</f>
        <v/>
      </c>
      <c r="AA798" s="116" t="n">
        <v>29</v>
      </c>
      <c r="AB798" s="47">
        <f>IFERROR(AA798/W798,"")</f>
        <v/>
      </c>
      <c r="AC798" s="116" t="n">
        <v>307</v>
      </c>
      <c r="AD798" s="116" t="n">
        <v>193</v>
      </c>
      <c r="AE798" s="116" t="n">
        <v>151</v>
      </c>
      <c r="AF798" s="116" t="n">
        <v>85</v>
      </c>
      <c r="AG798" s="116" t="n">
        <v>64</v>
      </c>
      <c r="AH798" s="116" t="n">
        <v>38</v>
      </c>
      <c r="AI798" s="47">
        <f>IFERROR(AC798/S798,"")</f>
        <v/>
      </c>
      <c r="AJ798" s="47">
        <f>IFERROR(AH798/S798,"")</f>
        <v/>
      </c>
      <c r="AK798" s="116" t="n">
        <v>23</v>
      </c>
      <c r="AL798" s="116" t="n">
        <v>1</v>
      </c>
      <c r="AM798" s="118">
        <f>IFERROR(AL798/AA798,"")</f>
        <v/>
      </c>
      <c r="AN798" s="119">
        <f>IFERROR(R798/AL798,"")</f>
        <v/>
      </c>
      <c r="AO798" s="116" t="n">
        <v>1</v>
      </c>
      <c r="AP798" s="47">
        <f>IFERROR(AO798/AL798,"")</f>
        <v/>
      </c>
      <c r="AQ798" s="119">
        <f>IFERROR(R798/AO798,"")</f>
        <v/>
      </c>
      <c r="AR798" s="116" t="n">
        <v>0</v>
      </c>
      <c r="AS798" s="116" t="n">
        <v>0</v>
      </c>
      <c r="AT798" s="116">
        <f>AL798+AR798</f>
        <v/>
      </c>
      <c r="AU798" s="119">
        <f>IFERROR(AO798*Assumptions!$C$26*Assumptions!$C$27*INDEX(Assumptions!$C$18:$C$21,MATCH(H798,Assumptions!$B$18:$B$21,0)),0)</f>
        <v/>
      </c>
    </row>
    <row r="799">
      <c r="A799" s="114" t="n">
        <v>46238</v>
      </c>
      <c r="B799" s="42" t="inlineStr">
        <is>
          <t>Wk 32</t>
        </is>
      </c>
      <c r="C799" s="42" t="inlineStr">
        <is>
          <t>Tue</t>
        </is>
      </c>
      <c r="D799" s="42" t="inlineStr">
        <is>
          <t>Meta (FB/IG)</t>
        </is>
      </c>
      <c r="E799" s="42" t="inlineStr">
        <is>
          <t>Facebook + Instagram</t>
        </is>
      </c>
      <c r="F799" s="42" t="inlineStr">
        <is>
          <t>LEP_ZA_AUG26_META_RMKT_ALL_CONV</t>
        </is>
      </c>
      <c r="G799" s="42" t="inlineStr">
        <is>
          <t>Leads - Website Conversions</t>
        </is>
      </c>
      <c r="H799" s="42" t="inlineStr">
        <is>
          <t>Range</t>
        </is>
      </c>
      <c r="I799" s="42" t="inlineStr">
        <is>
          <t>Range Offer</t>
        </is>
      </c>
      <c r="J799" s="42" t="inlineStr">
        <is>
          <t>MET_RMKT_SITE30D_ZA</t>
        </is>
      </c>
      <c r="K799" s="42" t="inlineStr">
        <is>
          <t>Retargeting</t>
        </is>
      </c>
      <c r="L799" s="42" t="inlineStr">
        <is>
          <t>RMKT_VID_10s_Recap_v1</t>
        </is>
      </c>
      <c r="M799" s="42" t="inlineStr">
        <is>
          <t>Video 9:16</t>
        </is>
      </c>
      <c r="N799" s="42" t="inlineStr">
        <is>
          <t>10 seconds. Then book.</t>
        </is>
      </c>
      <c r="O799" s="42" t="inlineStr">
        <is>
          <t>Auction - Lowest Cost</t>
        </is>
      </c>
      <c r="P799" s="42" t="inlineStr">
        <is>
          <t>Offsite Conversions</t>
        </is>
      </c>
      <c r="Q799" s="42" t="inlineStr">
        <is>
          <t>https://www.lepas-sa.co.za/book-a-test-drive</t>
        </is>
      </c>
      <c r="R799" s="115" t="n">
        <v>109.17</v>
      </c>
      <c r="S799" s="116" t="n">
        <v>1294</v>
      </c>
      <c r="T799" s="116" t="n">
        <v>853</v>
      </c>
      <c r="U799" s="117">
        <f>IFERROR(S799/T799,"")</f>
        <v/>
      </c>
      <c r="V799" s="116" t="n">
        <v>47</v>
      </c>
      <c r="W799" s="116" t="n">
        <v>36</v>
      </c>
      <c r="X799" s="118">
        <f>IFERROR(W799/S799,"")</f>
        <v/>
      </c>
      <c r="Y799" s="115">
        <f>IFERROR(R799/W799,"")</f>
        <v/>
      </c>
      <c r="Z799" s="115">
        <f>IFERROR(R799/S799*1000,"")</f>
        <v/>
      </c>
      <c r="AA799" s="116" t="n">
        <v>32</v>
      </c>
      <c r="AB799" s="47">
        <f>IFERROR(AA799/W799,"")</f>
        <v/>
      </c>
      <c r="AC799" s="116" t="n">
        <v>347</v>
      </c>
      <c r="AD799" s="116" t="n">
        <v>186</v>
      </c>
      <c r="AE799" s="116" t="n">
        <v>154</v>
      </c>
      <c r="AF799" s="116" t="n">
        <v>97</v>
      </c>
      <c r="AG799" s="116" t="n">
        <v>76</v>
      </c>
      <c r="AH799" s="116" t="n">
        <v>52</v>
      </c>
      <c r="AI799" s="47">
        <f>IFERROR(AC799/S799,"")</f>
        <v/>
      </c>
      <c r="AJ799" s="47">
        <f>IFERROR(AH799/S799,"")</f>
        <v/>
      </c>
      <c r="AK799" s="116" t="n">
        <v>15</v>
      </c>
      <c r="AL799" s="116" t="n">
        <v>1</v>
      </c>
      <c r="AM799" s="118">
        <f>IFERROR(AL799/AA799,"")</f>
        <v/>
      </c>
      <c r="AN799" s="119">
        <f>IFERROR(R799/AL799,"")</f>
        <v/>
      </c>
      <c r="AO799" s="116" t="n">
        <v>1</v>
      </c>
      <c r="AP799" s="47">
        <f>IFERROR(AO799/AL799,"")</f>
        <v/>
      </c>
      <c r="AQ799" s="119">
        <f>IFERROR(R799/AO799,"")</f>
        <v/>
      </c>
      <c r="AR799" s="116" t="n">
        <v>0</v>
      </c>
      <c r="AS799" s="116" t="n">
        <v>0</v>
      </c>
      <c r="AT799" s="116">
        <f>AL799+AR799</f>
        <v/>
      </c>
      <c r="AU799" s="119">
        <f>IFERROR(AO799*Assumptions!$C$26*Assumptions!$C$27*INDEX(Assumptions!$C$18:$C$21,MATCH(H799,Assumptions!$B$18:$B$21,0)),0)</f>
        <v/>
      </c>
    </row>
    <row r="800">
      <c r="A800" s="114" t="n">
        <v>46239</v>
      </c>
      <c r="B800" s="42" t="inlineStr">
        <is>
          <t>Wk 32</t>
        </is>
      </c>
      <c r="C800" s="42" t="inlineStr">
        <is>
          <t>Wed</t>
        </is>
      </c>
      <c r="D800" s="42" t="inlineStr">
        <is>
          <t>Meta (FB/IG)</t>
        </is>
      </c>
      <c r="E800" s="42" t="inlineStr">
        <is>
          <t>Facebook + Instagram</t>
        </is>
      </c>
      <c r="F800" s="42" t="inlineStr">
        <is>
          <t>LEP_ZA_AUG26_META_RMKT_ALL_CONV</t>
        </is>
      </c>
      <c r="G800" s="42" t="inlineStr">
        <is>
          <t>Leads - Website Conversions</t>
        </is>
      </c>
      <c r="H800" s="42" t="inlineStr">
        <is>
          <t>Range</t>
        </is>
      </c>
      <c r="I800" s="42" t="inlineStr">
        <is>
          <t>Range Offer</t>
        </is>
      </c>
      <c r="J800" s="42" t="inlineStr">
        <is>
          <t>MET_RMKT_SITE30D_ZA</t>
        </is>
      </c>
      <c r="K800" s="42" t="inlineStr">
        <is>
          <t>Retargeting</t>
        </is>
      </c>
      <c r="L800" s="42" t="inlineStr">
        <is>
          <t>RMKT_VID_10s_Recap_v1</t>
        </is>
      </c>
      <c r="M800" s="42" t="inlineStr">
        <is>
          <t>Video 9:16</t>
        </is>
      </c>
      <c r="N800" s="42" t="inlineStr">
        <is>
          <t>10 seconds. Then book.</t>
        </is>
      </c>
      <c r="O800" s="42" t="inlineStr">
        <is>
          <t>Auction - Lowest Cost</t>
        </is>
      </c>
      <c r="P800" s="42" t="inlineStr">
        <is>
          <t>Offsite Conversions</t>
        </is>
      </c>
      <c r="Q800" s="42" t="inlineStr">
        <is>
          <t>https://www.lepas-sa.co.za/book-a-test-drive</t>
        </is>
      </c>
      <c r="R800" s="115" t="n">
        <v>102.2</v>
      </c>
      <c r="S800" s="116" t="n">
        <v>918</v>
      </c>
      <c r="T800" s="116" t="n">
        <v>799</v>
      </c>
      <c r="U800" s="117">
        <f>IFERROR(S800/T800,"")</f>
        <v/>
      </c>
      <c r="V800" s="116" t="n">
        <v>28</v>
      </c>
      <c r="W800" s="116" t="n">
        <v>20</v>
      </c>
      <c r="X800" s="118">
        <f>IFERROR(W800/S800,"")</f>
        <v/>
      </c>
      <c r="Y800" s="115">
        <f>IFERROR(R800/W800,"")</f>
        <v/>
      </c>
      <c r="Z800" s="115">
        <f>IFERROR(R800/S800*1000,"")</f>
        <v/>
      </c>
      <c r="AA800" s="116" t="n">
        <v>17</v>
      </c>
      <c r="AB800" s="47">
        <f>IFERROR(AA800/W800,"")</f>
        <v/>
      </c>
      <c r="AC800" s="116" t="n">
        <v>348</v>
      </c>
      <c r="AD800" s="116" t="n">
        <v>206</v>
      </c>
      <c r="AE800" s="116" t="n">
        <v>159</v>
      </c>
      <c r="AF800" s="116" t="n">
        <v>99</v>
      </c>
      <c r="AG800" s="116" t="n">
        <v>71</v>
      </c>
      <c r="AH800" s="116" t="n">
        <v>47</v>
      </c>
      <c r="AI800" s="47">
        <f>IFERROR(AC800/S800,"")</f>
        <v/>
      </c>
      <c r="AJ800" s="47">
        <f>IFERROR(AH800/S800,"")</f>
        <v/>
      </c>
      <c r="AK800" s="116" t="n">
        <v>18</v>
      </c>
      <c r="AL800" s="116" t="n">
        <v>0</v>
      </c>
      <c r="AM800" s="118">
        <f>IFERROR(AL800/AA800,"")</f>
        <v/>
      </c>
      <c r="AN800" s="119">
        <f>IFERROR(R800/AL800,"")</f>
        <v/>
      </c>
      <c r="AO800" s="116" t="n">
        <v>0</v>
      </c>
      <c r="AP800" s="47">
        <f>IFERROR(AO800/AL800,"")</f>
        <v/>
      </c>
      <c r="AQ800" s="119">
        <f>IFERROR(R800/AO800,"")</f>
        <v/>
      </c>
      <c r="AR800" s="116" t="n">
        <v>0</v>
      </c>
      <c r="AS800" s="116" t="n">
        <v>0</v>
      </c>
      <c r="AT800" s="116">
        <f>AL800+AR800</f>
        <v/>
      </c>
      <c r="AU800" s="119">
        <f>IFERROR(AO800*Assumptions!$C$26*Assumptions!$C$27*INDEX(Assumptions!$C$18:$C$21,MATCH(H800,Assumptions!$B$18:$B$21,0)),0)</f>
        <v/>
      </c>
    </row>
    <row r="801">
      <c r="A801" s="114" t="n">
        <v>46240</v>
      </c>
      <c r="B801" s="42" t="inlineStr">
        <is>
          <t>Wk 32</t>
        </is>
      </c>
      <c r="C801" s="42" t="inlineStr">
        <is>
          <t>Thu</t>
        </is>
      </c>
      <c r="D801" s="42" t="inlineStr">
        <is>
          <t>Meta (FB/IG)</t>
        </is>
      </c>
      <c r="E801" s="42" t="inlineStr">
        <is>
          <t>Facebook + Instagram</t>
        </is>
      </c>
      <c r="F801" s="42" t="inlineStr">
        <is>
          <t>LEP_ZA_AUG26_META_RMKT_ALL_CONV</t>
        </is>
      </c>
      <c r="G801" s="42" t="inlineStr">
        <is>
          <t>Leads - Website Conversions</t>
        </is>
      </c>
      <c r="H801" s="42" t="inlineStr">
        <is>
          <t>Range</t>
        </is>
      </c>
      <c r="I801" s="42" t="inlineStr">
        <is>
          <t>Range Offer</t>
        </is>
      </c>
      <c r="J801" s="42" t="inlineStr">
        <is>
          <t>MET_RMKT_SITE30D_ZA</t>
        </is>
      </c>
      <c r="K801" s="42" t="inlineStr">
        <is>
          <t>Retargeting</t>
        </is>
      </c>
      <c r="L801" s="42" t="inlineStr">
        <is>
          <t>RMKT_VID_10s_Recap_v1</t>
        </is>
      </c>
      <c r="M801" s="42" t="inlineStr">
        <is>
          <t>Video 9:16</t>
        </is>
      </c>
      <c r="N801" s="42" t="inlineStr">
        <is>
          <t>10 seconds. Then book.</t>
        </is>
      </c>
      <c r="O801" s="42" t="inlineStr">
        <is>
          <t>Auction - Lowest Cost</t>
        </is>
      </c>
      <c r="P801" s="42" t="inlineStr">
        <is>
          <t>Offsite Conversions</t>
        </is>
      </c>
      <c r="Q801" s="42" t="inlineStr">
        <is>
          <t>https://www.lepas-sa.co.za/book-a-test-drive</t>
        </is>
      </c>
      <c r="R801" s="115" t="n">
        <v>134.88</v>
      </c>
      <c r="S801" s="116" t="n">
        <v>1566</v>
      </c>
      <c r="T801" s="116" t="n">
        <v>945</v>
      </c>
      <c r="U801" s="117">
        <f>IFERROR(S801/T801,"")</f>
        <v/>
      </c>
      <c r="V801" s="116" t="n">
        <v>32</v>
      </c>
      <c r="W801" s="116" t="n">
        <v>26</v>
      </c>
      <c r="X801" s="118">
        <f>IFERROR(W801/S801,"")</f>
        <v/>
      </c>
      <c r="Y801" s="115">
        <f>IFERROR(R801/W801,"")</f>
        <v/>
      </c>
      <c r="Z801" s="115">
        <f>IFERROR(R801/S801*1000,"")</f>
        <v/>
      </c>
      <c r="AA801" s="116" t="n">
        <v>23</v>
      </c>
      <c r="AB801" s="47">
        <f>IFERROR(AA801/W801,"")</f>
        <v/>
      </c>
      <c r="AC801" s="116" t="n">
        <v>636</v>
      </c>
      <c r="AD801" s="116" t="n">
        <v>304</v>
      </c>
      <c r="AE801" s="116" t="n">
        <v>290</v>
      </c>
      <c r="AF801" s="116" t="n">
        <v>201</v>
      </c>
      <c r="AG801" s="116" t="n">
        <v>135</v>
      </c>
      <c r="AH801" s="116" t="n">
        <v>77</v>
      </c>
      <c r="AI801" s="47">
        <f>IFERROR(AC801/S801,"")</f>
        <v/>
      </c>
      <c r="AJ801" s="47">
        <f>IFERROR(AH801/S801,"")</f>
        <v/>
      </c>
      <c r="AK801" s="116" t="n">
        <v>55</v>
      </c>
      <c r="AL801" s="116" t="n">
        <v>1</v>
      </c>
      <c r="AM801" s="118">
        <f>IFERROR(AL801/AA801,"")</f>
        <v/>
      </c>
      <c r="AN801" s="119">
        <f>IFERROR(R801/AL801,"")</f>
        <v/>
      </c>
      <c r="AO801" s="116" t="n">
        <v>1</v>
      </c>
      <c r="AP801" s="47">
        <f>IFERROR(AO801/AL801,"")</f>
        <v/>
      </c>
      <c r="AQ801" s="119">
        <f>IFERROR(R801/AO801,"")</f>
        <v/>
      </c>
      <c r="AR801" s="116" t="n">
        <v>0</v>
      </c>
      <c r="AS801" s="116" t="n">
        <v>1</v>
      </c>
      <c r="AT801" s="116">
        <f>AL801+AR801</f>
        <v/>
      </c>
      <c r="AU801" s="119">
        <f>IFERROR(AO801*Assumptions!$C$26*Assumptions!$C$27*INDEX(Assumptions!$C$18:$C$21,MATCH(H801,Assumptions!$B$18:$B$21,0)),0)</f>
        <v/>
      </c>
    </row>
    <row r="802">
      <c r="A802" s="114" t="n">
        <v>46241</v>
      </c>
      <c r="B802" s="42" t="inlineStr">
        <is>
          <t>Wk 32</t>
        </is>
      </c>
      <c r="C802" s="42" t="inlineStr">
        <is>
          <t>Fri</t>
        </is>
      </c>
      <c r="D802" s="42" t="inlineStr">
        <is>
          <t>Meta (FB/IG)</t>
        </is>
      </c>
      <c r="E802" s="42" t="inlineStr">
        <is>
          <t>Facebook + Instagram</t>
        </is>
      </c>
      <c r="F802" s="42" t="inlineStr">
        <is>
          <t>LEP_ZA_AUG26_META_RMKT_ALL_CONV</t>
        </is>
      </c>
      <c r="G802" s="42" t="inlineStr">
        <is>
          <t>Leads - Website Conversions</t>
        </is>
      </c>
      <c r="H802" s="42" t="inlineStr">
        <is>
          <t>Range</t>
        </is>
      </c>
      <c r="I802" s="42" t="inlineStr">
        <is>
          <t>Range Offer</t>
        </is>
      </c>
      <c r="J802" s="42" t="inlineStr">
        <is>
          <t>MET_RMKT_SITE30D_ZA</t>
        </is>
      </c>
      <c r="K802" s="42" t="inlineStr">
        <is>
          <t>Retargeting</t>
        </is>
      </c>
      <c r="L802" s="42" t="inlineStr">
        <is>
          <t>RMKT_VID_10s_Recap_v1</t>
        </is>
      </c>
      <c r="M802" s="42" t="inlineStr">
        <is>
          <t>Video 9:16</t>
        </is>
      </c>
      <c r="N802" s="42" t="inlineStr">
        <is>
          <t>10 seconds. Then book.</t>
        </is>
      </c>
      <c r="O802" s="42" t="inlineStr">
        <is>
          <t>Auction - Lowest Cost</t>
        </is>
      </c>
      <c r="P802" s="42" t="inlineStr">
        <is>
          <t>Offsite Conversions</t>
        </is>
      </c>
      <c r="Q802" s="42" t="inlineStr">
        <is>
          <t>https://www.lepas-sa.co.za/book-a-test-drive</t>
        </is>
      </c>
      <c r="R802" s="115" t="n">
        <v>124.33</v>
      </c>
      <c r="S802" s="116" t="n">
        <v>1228</v>
      </c>
      <c r="T802" s="116" t="n">
        <v>878</v>
      </c>
      <c r="U802" s="117">
        <f>IFERROR(S802/T802,"")</f>
        <v/>
      </c>
      <c r="V802" s="116" t="n">
        <v>54</v>
      </c>
      <c r="W802" s="116" t="n">
        <v>43</v>
      </c>
      <c r="X802" s="118">
        <f>IFERROR(W802/S802,"")</f>
        <v/>
      </c>
      <c r="Y802" s="115">
        <f>IFERROR(R802/W802,"")</f>
        <v/>
      </c>
      <c r="Z802" s="115">
        <f>IFERROR(R802/S802*1000,"")</f>
        <v/>
      </c>
      <c r="AA802" s="116" t="n">
        <v>34</v>
      </c>
      <c r="AB802" s="47">
        <f>IFERROR(AA802/W802,"")</f>
        <v/>
      </c>
      <c r="AC802" s="116" t="n">
        <v>456</v>
      </c>
      <c r="AD802" s="116" t="n">
        <v>220</v>
      </c>
      <c r="AE802" s="116" t="n">
        <v>222</v>
      </c>
      <c r="AF802" s="116" t="n">
        <v>154</v>
      </c>
      <c r="AG802" s="116" t="n">
        <v>101</v>
      </c>
      <c r="AH802" s="116" t="n">
        <v>64</v>
      </c>
      <c r="AI802" s="47">
        <f>IFERROR(AC802/S802,"")</f>
        <v/>
      </c>
      <c r="AJ802" s="47">
        <f>IFERROR(AH802/S802,"")</f>
        <v/>
      </c>
      <c r="AK802" s="116" t="n">
        <v>34</v>
      </c>
      <c r="AL802" s="116" t="n">
        <v>1</v>
      </c>
      <c r="AM802" s="118">
        <f>IFERROR(AL802/AA802,"")</f>
        <v/>
      </c>
      <c r="AN802" s="119">
        <f>IFERROR(R802/AL802,"")</f>
        <v/>
      </c>
      <c r="AO802" s="116" t="n">
        <v>1</v>
      </c>
      <c r="AP802" s="47">
        <f>IFERROR(AO802/AL802,"")</f>
        <v/>
      </c>
      <c r="AQ802" s="119">
        <f>IFERROR(R802/AO802,"")</f>
        <v/>
      </c>
      <c r="AR802" s="116" t="n">
        <v>0</v>
      </c>
      <c r="AS802" s="116" t="n">
        <v>0</v>
      </c>
      <c r="AT802" s="116">
        <f>AL802+AR802</f>
        <v/>
      </c>
      <c r="AU802" s="119">
        <f>IFERROR(AO802*Assumptions!$C$26*Assumptions!$C$27*INDEX(Assumptions!$C$18:$C$21,MATCH(H802,Assumptions!$B$18:$B$21,0)),0)</f>
        <v/>
      </c>
    </row>
    <row r="803">
      <c r="A803" s="114" t="n">
        <v>46242</v>
      </c>
      <c r="B803" s="42" t="inlineStr">
        <is>
          <t>Wk 32</t>
        </is>
      </c>
      <c r="C803" s="42" t="inlineStr">
        <is>
          <t>Sat</t>
        </is>
      </c>
      <c r="D803" s="42" t="inlineStr">
        <is>
          <t>Meta (FB/IG)</t>
        </is>
      </c>
      <c r="E803" s="42" t="inlineStr">
        <is>
          <t>Facebook + Instagram</t>
        </is>
      </c>
      <c r="F803" s="42" t="inlineStr">
        <is>
          <t>LEP_ZA_AUG26_META_RMKT_ALL_CONV</t>
        </is>
      </c>
      <c r="G803" s="42" t="inlineStr">
        <is>
          <t>Leads - Website Conversions</t>
        </is>
      </c>
      <c r="H803" s="42" t="inlineStr">
        <is>
          <t>Range</t>
        </is>
      </c>
      <c r="I803" s="42" t="inlineStr">
        <is>
          <t>Range Offer</t>
        </is>
      </c>
      <c r="J803" s="42" t="inlineStr">
        <is>
          <t>MET_RMKT_SITE30D_ZA</t>
        </is>
      </c>
      <c r="K803" s="42" t="inlineStr">
        <is>
          <t>Retargeting</t>
        </is>
      </c>
      <c r="L803" s="42" t="inlineStr">
        <is>
          <t>RMKT_VID_10s_Recap_v1</t>
        </is>
      </c>
      <c r="M803" s="42" t="inlineStr">
        <is>
          <t>Video 9:16</t>
        </is>
      </c>
      <c r="N803" s="42" t="inlineStr">
        <is>
          <t>10 seconds. Then book.</t>
        </is>
      </c>
      <c r="O803" s="42" t="inlineStr">
        <is>
          <t>Auction - Lowest Cost</t>
        </is>
      </c>
      <c r="P803" s="42" t="inlineStr">
        <is>
          <t>Offsite Conversions</t>
        </is>
      </c>
      <c r="Q803" s="42" t="inlineStr">
        <is>
          <t>https://www.lepas-sa.co.za/book-a-test-drive</t>
        </is>
      </c>
      <c r="R803" s="115" t="n">
        <v>130.89</v>
      </c>
      <c r="S803" s="116" t="n">
        <v>1641</v>
      </c>
      <c r="T803" s="116" t="n">
        <v>1234</v>
      </c>
      <c r="U803" s="117">
        <f>IFERROR(S803/T803,"")</f>
        <v/>
      </c>
      <c r="V803" s="116" t="n">
        <v>47</v>
      </c>
      <c r="W803" s="116" t="n">
        <v>38</v>
      </c>
      <c r="X803" s="118">
        <f>IFERROR(W803/S803,"")</f>
        <v/>
      </c>
      <c r="Y803" s="115">
        <f>IFERROR(R803/W803,"")</f>
        <v/>
      </c>
      <c r="Z803" s="115">
        <f>IFERROR(R803/S803*1000,"")</f>
        <v/>
      </c>
      <c r="AA803" s="116" t="n">
        <v>34</v>
      </c>
      <c r="AB803" s="47">
        <f>IFERROR(AA803/W803,"")</f>
        <v/>
      </c>
      <c r="AC803" s="116" t="n">
        <v>387</v>
      </c>
      <c r="AD803" s="116" t="n">
        <v>188</v>
      </c>
      <c r="AE803" s="116" t="n">
        <v>185</v>
      </c>
      <c r="AF803" s="116" t="n">
        <v>129</v>
      </c>
      <c r="AG803" s="116" t="n">
        <v>89</v>
      </c>
      <c r="AH803" s="116" t="n">
        <v>54</v>
      </c>
      <c r="AI803" s="47">
        <f>IFERROR(AC803/S803,"")</f>
        <v/>
      </c>
      <c r="AJ803" s="47">
        <f>IFERROR(AH803/S803,"")</f>
        <v/>
      </c>
      <c r="AK803" s="116" t="n">
        <v>40</v>
      </c>
      <c r="AL803" s="116" t="n">
        <v>1</v>
      </c>
      <c r="AM803" s="118">
        <f>IFERROR(AL803/AA803,"")</f>
        <v/>
      </c>
      <c r="AN803" s="119">
        <f>IFERROR(R803/AL803,"")</f>
        <v/>
      </c>
      <c r="AO803" s="116" t="n">
        <v>1</v>
      </c>
      <c r="AP803" s="47">
        <f>IFERROR(AO803/AL803,"")</f>
        <v/>
      </c>
      <c r="AQ803" s="119">
        <f>IFERROR(R803/AO803,"")</f>
        <v/>
      </c>
      <c r="AR803" s="116" t="n">
        <v>0</v>
      </c>
      <c r="AS803" s="116" t="n">
        <v>0</v>
      </c>
      <c r="AT803" s="116">
        <f>AL803+AR803</f>
        <v/>
      </c>
      <c r="AU803" s="119">
        <f>IFERROR(AO803*Assumptions!$C$26*Assumptions!$C$27*INDEX(Assumptions!$C$18:$C$21,MATCH(H803,Assumptions!$B$18:$B$21,0)),0)</f>
        <v/>
      </c>
    </row>
    <row r="804">
      <c r="A804" s="114" t="n">
        <v>46243</v>
      </c>
      <c r="B804" s="42" t="inlineStr">
        <is>
          <t>Wk 32</t>
        </is>
      </c>
      <c r="C804" s="42" t="inlineStr">
        <is>
          <t>Sun</t>
        </is>
      </c>
      <c r="D804" s="42" t="inlineStr">
        <is>
          <t>Meta (FB/IG)</t>
        </is>
      </c>
      <c r="E804" s="42" t="inlineStr">
        <is>
          <t>Facebook + Instagram</t>
        </is>
      </c>
      <c r="F804" s="42" t="inlineStr">
        <is>
          <t>LEP_ZA_AUG26_META_RMKT_ALL_CONV</t>
        </is>
      </c>
      <c r="G804" s="42" t="inlineStr">
        <is>
          <t>Leads - Website Conversions</t>
        </is>
      </c>
      <c r="H804" s="42" t="inlineStr">
        <is>
          <t>Range</t>
        </is>
      </c>
      <c r="I804" s="42" t="inlineStr">
        <is>
          <t>Range Offer</t>
        </is>
      </c>
      <c r="J804" s="42" t="inlineStr">
        <is>
          <t>MET_RMKT_SITE30D_ZA</t>
        </is>
      </c>
      <c r="K804" s="42" t="inlineStr">
        <is>
          <t>Retargeting</t>
        </is>
      </c>
      <c r="L804" s="42" t="inlineStr">
        <is>
          <t>RMKT_VID_10s_Recap_v1</t>
        </is>
      </c>
      <c r="M804" s="42" t="inlineStr">
        <is>
          <t>Video 9:16</t>
        </is>
      </c>
      <c r="N804" s="42" t="inlineStr">
        <is>
          <t>10 seconds. Then book.</t>
        </is>
      </c>
      <c r="O804" s="42" t="inlineStr">
        <is>
          <t>Auction - Lowest Cost</t>
        </is>
      </c>
      <c r="P804" s="42" t="inlineStr">
        <is>
          <t>Offsite Conversions</t>
        </is>
      </c>
      <c r="Q804" s="42" t="inlineStr">
        <is>
          <t>https://www.lepas-sa.co.za/book-a-test-drive</t>
        </is>
      </c>
      <c r="R804" s="115" t="n">
        <v>100.62</v>
      </c>
      <c r="S804" s="116" t="n">
        <v>1234</v>
      </c>
      <c r="T804" s="116" t="n">
        <v>986</v>
      </c>
      <c r="U804" s="117">
        <f>IFERROR(S804/T804,"")</f>
        <v/>
      </c>
      <c r="V804" s="116" t="n">
        <v>20</v>
      </c>
      <c r="W804" s="116" t="n">
        <v>17</v>
      </c>
      <c r="X804" s="118">
        <f>IFERROR(W804/S804,"")</f>
        <v/>
      </c>
      <c r="Y804" s="115">
        <f>IFERROR(R804/W804,"")</f>
        <v/>
      </c>
      <c r="Z804" s="115">
        <f>IFERROR(R804/S804*1000,"")</f>
        <v/>
      </c>
      <c r="AA804" s="116" t="n">
        <v>15</v>
      </c>
      <c r="AB804" s="47">
        <f>IFERROR(AA804/W804,"")</f>
        <v/>
      </c>
      <c r="AC804" s="116" t="n">
        <v>407</v>
      </c>
      <c r="AD804" s="116" t="n">
        <v>183</v>
      </c>
      <c r="AE804" s="116" t="n">
        <v>174</v>
      </c>
      <c r="AF804" s="116" t="n">
        <v>100</v>
      </c>
      <c r="AG804" s="116" t="n">
        <v>77</v>
      </c>
      <c r="AH804" s="116" t="n">
        <v>57</v>
      </c>
      <c r="AI804" s="47">
        <f>IFERROR(AC804/S804,"")</f>
        <v/>
      </c>
      <c r="AJ804" s="47">
        <f>IFERROR(AH804/S804,"")</f>
        <v/>
      </c>
      <c r="AK804" s="116" t="n">
        <v>27</v>
      </c>
      <c r="AL804" s="116" t="n">
        <v>1</v>
      </c>
      <c r="AM804" s="118">
        <f>IFERROR(AL804/AA804,"")</f>
        <v/>
      </c>
      <c r="AN804" s="119">
        <f>IFERROR(R804/AL804,"")</f>
        <v/>
      </c>
      <c r="AO804" s="116" t="n">
        <v>0</v>
      </c>
      <c r="AP804" s="47">
        <f>IFERROR(AO804/AL804,"")</f>
        <v/>
      </c>
      <c r="AQ804" s="119">
        <f>IFERROR(R804/AO804,"")</f>
        <v/>
      </c>
      <c r="AR804" s="116" t="n">
        <v>0</v>
      </c>
      <c r="AS804" s="116" t="n">
        <v>1</v>
      </c>
      <c r="AT804" s="116">
        <f>AL804+AR804</f>
        <v/>
      </c>
      <c r="AU804" s="119">
        <f>IFERROR(AO804*Assumptions!$C$26*Assumptions!$C$27*INDEX(Assumptions!$C$18:$C$21,MATCH(H804,Assumptions!$B$18:$B$21,0)),0)</f>
        <v/>
      </c>
    </row>
    <row r="805">
      <c r="A805" s="114" t="n">
        <v>46244</v>
      </c>
      <c r="B805" s="42" t="inlineStr">
        <is>
          <t>Wk 33</t>
        </is>
      </c>
      <c r="C805" s="42" t="inlineStr">
        <is>
          <t>Mon</t>
        </is>
      </c>
      <c r="D805" s="42" t="inlineStr">
        <is>
          <t>Meta (FB/IG)</t>
        </is>
      </c>
      <c r="E805" s="42" t="inlineStr">
        <is>
          <t>Facebook + Instagram</t>
        </is>
      </c>
      <c r="F805" s="42" t="inlineStr">
        <is>
          <t>LEP_ZA_AUG26_META_RMKT_ALL_CONV</t>
        </is>
      </c>
      <c r="G805" s="42" t="inlineStr">
        <is>
          <t>Leads - Website Conversions</t>
        </is>
      </c>
      <c r="H805" s="42" t="inlineStr">
        <is>
          <t>Range</t>
        </is>
      </c>
      <c r="I805" s="42" t="inlineStr">
        <is>
          <t>Range Offer</t>
        </is>
      </c>
      <c r="J805" s="42" t="inlineStr">
        <is>
          <t>MET_RMKT_SITE30D_ZA</t>
        </is>
      </c>
      <c r="K805" s="42" t="inlineStr">
        <is>
          <t>Retargeting</t>
        </is>
      </c>
      <c r="L805" s="42" t="inlineStr">
        <is>
          <t>RMKT_VID_10s_Recap_v1</t>
        </is>
      </c>
      <c r="M805" s="42" t="inlineStr">
        <is>
          <t>Video 9:16</t>
        </is>
      </c>
      <c r="N805" s="42" t="inlineStr">
        <is>
          <t>10 seconds. Then book.</t>
        </is>
      </c>
      <c r="O805" s="42" t="inlineStr">
        <is>
          <t>Auction - Lowest Cost</t>
        </is>
      </c>
      <c r="P805" s="42" t="inlineStr">
        <is>
          <t>Offsite Conversions</t>
        </is>
      </c>
      <c r="Q805" s="42" t="inlineStr">
        <is>
          <t>https://www.lepas-sa.co.za/book-a-test-drive</t>
        </is>
      </c>
      <c r="R805" s="115" t="n">
        <v>122.95</v>
      </c>
      <c r="S805" s="116" t="n">
        <v>1538</v>
      </c>
      <c r="T805" s="116" t="n">
        <v>1166</v>
      </c>
      <c r="U805" s="117">
        <f>IFERROR(S805/T805,"")</f>
        <v/>
      </c>
      <c r="V805" s="116" t="n">
        <v>36</v>
      </c>
      <c r="W805" s="116" t="n">
        <v>26</v>
      </c>
      <c r="X805" s="118">
        <f>IFERROR(W805/S805,"")</f>
        <v/>
      </c>
      <c r="Y805" s="115">
        <f>IFERROR(R805/W805,"")</f>
        <v/>
      </c>
      <c r="Z805" s="115">
        <f>IFERROR(R805/S805*1000,"")</f>
        <v/>
      </c>
      <c r="AA805" s="116" t="n">
        <v>21</v>
      </c>
      <c r="AB805" s="47">
        <f>IFERROR(AA805/W805,"")</f>
        <v/>
      </c>
      <c r="AC805" s="116" t="n">
        <v>522</v>
      </c>
      <c r="AD805" s="116" t="n">
        <v>286</v>
      </c>
      <c r="AE805" s="116" t="n">
        <v>244</v>
      </c>
      <c r="AF805" s="116" t="n">
        <v>142</v>
      </c>
      <c r="AG805" s="116" t="n">
        <v>103</v>
      </c>
      <c r="AH805" s="116" t="n">
        <v>76</v>
      </c>
      <c r="AI805" s="47">
        <f>IFERROR(AC805/S805,"")</f>
        <v/>
      </c>
      <c r="AJ805" s="47">
        <f>IFERROR(AH805/S805,"")</f>
        <v/>
      </c>
      <c r="AK805" s="116" t="n">
        <v>31</v>
      </c>
      <c r="AL805" s="116" t="n">
        <v>1</v>
      </c>
      <c r="AM805" s="118">
        <f>IFERROR(AL805/AA805,"")</f>
        <v/>
      </c>
      <c r="AN805" s="119">
        <f>IFERROR(R805/AL805,"")</f>
        <v/>
      </c>
      <c r="AO805" s="116" t="n">
        <v>1</v>
      </c>
      <c r="AP805" s="47">
        <f>IFERROR(AO805/AL805,"")</f>
        <v/>
      </c>
      <c r="AQ805" s="119">
        <f>IFERROR(R805/AO805,"")</f>
        <v/>
      </c>
      <c r="AR805" s="116" t="n">
        <v>0</v>
      </c>
      <c r="AS805" s="116" t="n">
        <v>1</v>
      </c>
      <c r="AT805" s="116">
        <f>AL805+AR805</f>
        <v/>
      </c>
      <c r="AU805" s="119">
        <f>IFERROR(AO805*Assumptions!$C$26*Assumptions!$C$27*INDEX(Assumptions!$C$18:$C$21,MATCH(H805,Assumptions!$B$18:$B$21,0)),0)</f>
        <v/>
      </c>
    </row>
    <row r="806">
      <c r="A806" s="114" t="n">
        <v>46245</v>
      </c>
      <c r="B806" s="42" t="inlineStr">
        <is>
          <t>Wk 33</t>
        </is>
      </c>
      <c r="C806" s="42" t="inlineStr">
        <is>
          <t>Tue</t>
        </is>
      </c>
      <c r="D806" s="42" t="inlineStr">
        <is>
          <t>Meta (FB/IG)</t>
        </is>
      </c>
      <c r="E806" s="42" t="inlineStr">
        <is>
          <t>Facebook + Instagram</t>
        </is>
      </c>
      <c r="F806" s="42" t="inlineStr">
        <is>
          <t>LEP_ZA_AUG26_META_RMKT_ALL_CONV</t>
        </is>
      </c>
      <c r="G806" s="42" t="inlineStr">
        <is>
          <t>Leads - Website Conversions</t>
        </is>
      </c>
      <c r="H806" s="42" t="inlineStr">
        <is>
          <t>Range</t>
        </is>
      </c>
      <c r="I806" s="42" t="inlineStr">
        <is>
          <t>Range Offer</t>
        </is>
      </c>
      <c r="J806" s="42" t="inlineStr">
        <is>
          <t>MET_RMKT_SITE30D_ZA</t>
        </is>
      </c>
      <c r="K806" s="42" t="inlineStr">
        <is>
          <t>Retargeting</t>
        </is>
      </c>
      <c r="L806" s="42" t="inlineStr">
        <is>
          <t>RMKT_VID_10s_Recap_v1</t>
        </is>
      </c>
      <c r="M806" s="42" t="inlineStr">
        <is>
          <t>Video 9:16</t>
        </is>
      </c>
      <c r="N806" s="42" t="inlineStr">
        <is>
          <t>10 seconds. Then book.</t>
        </is>
      </c>
      <c r="O806" s="42" t="inlineStr">
        <is>
          <t>Auction - Lowest Cost</t>
        </is>
      </c>
      <c r="P806" s="42" t="inlineStr">
        <is>
          <t>Offsite Conversions</t>
        </is>
      </c>
      <c r="Q806" s="42" t="inlineStr">
        <is>
          <t>https://www.lepas-sa.co.za/book-a-test-drive</t>
        </is>
      </c>
      <c r="R806" s="115" t="n">
        <v>114.32</v>
      </c>
      <c r="S806" s="116" t="n">
        <v>1174</v>
      </c>
      <c r="T806" s="116" t="n">
        <v>672</v>
      </c>
      <c r="U806" s="117">
        <f>IFERROR(S806/T806,"")</f>
        <v/>
      </c>
      <c r="V806" s="116" t="n">
        <v>43</v>
      </c>
      <c r="W806" s="116" t="n">
        <v>34</v>
      </c>
      <c r="X806" s="118">
        <f>IFERROR(W806/S806,"")</f>
        <v/>
      </c>
      <c r="Y806" s="115">
        <f>IFERROR(R806/W806,"")</f>
        <v/>
      </c>
      <c r="Z806" s="115">
        <f>IFERROR(R806/S806*1000,"")</f>
        <v/>
      </c>
      <c r="AA806" s="116" t="n">
        <v>30</v>
      </c>
      <c r="AB806" s="47">
        <f>IFERROR(AA806/W806,"")</f>
        <v/>
      </c>
      <c r="AC806" s="116" t="n">
        <v>422</v>
      </c>
      <c r="AD806" s="116" t="n">
        <v>249</v>
      </c>
      <c r="AE806" s="116" t="n">
        <v>194</v>
      </c>
      <c r="AF806" s="116" t="n">
        <v>134</v>
      </c>
      <c r="AG806" s="116" t="n">
        <v>90</v>
      </c>
      <c r="AH806" s="116" t="n">
        <v>63</v>
      </c>
      <c r="AI806" s="47">
        <f>IFERROR(AC806/S806,"")</f>
        <v/>
      </c>
      <c r="AJ806" s="47">
        <f>IFERROR(AH806/S806,"")</f>
        <v/>
      </c>
      <c r="AK806" s="116" t="n">
        <v>35</v>
      </c>
      <c r="AL806" s="116" t="n">
        <v>1</v>
      </c>
      <c r="AM806" s="118">
        <f>IFERROR(AL806/AA806,"")</f>
        <v/>
      </c>
      <c r="AN806" s="119">
        <f>IFERROR(R806/AL806,"")</f>
        <v/>
      </c>
      <c r="AO806" s="116" t="n">
        <v>1</v>
      </c>
      <c r="AP806" s="47">
        <f>IFERROR(AO806/AL806,"")</f>
        <v/>
      </c>
      <c r="AQ806" s="119">
        <f>IFERROR(R806/AO806,"")</f>
        <v/>
      </c>
      <c r="AR806" s="116" t="n">
        <v>0</v>
      </c>
      <c r="AS806" s="116" t="n">
        <v>1</v>
      </c>
      <c r="AT806" s="116">
        <f>AL806+AR806</f>
        <v/>
      </c>
      <c r="AU806" s="119">
        <f>IFERROR(AO806*Assumptions!$C$26*Assumptions!$C$27*INDEX(Assumptions!$C$18:$C$21,MATCH(H806,Assumptions!$B$18:$B$21,0)),0)</f>
        <v/>
      </c>
    </row>
    <row r="807">
      <c r="A807" s="114" t="n">
        <v>46246</v>
      </c>
      <c r="B807" s="42" t="inlineStr">
        <is>
          <t>Wk 33</t>
        </is>
      </c>
      <c r="C807" s="42" t="inlineStr">
        <is>
          <t>Wed</t>
        </is>
      </c>
      <c r="D807" s="42" t="inlineStr">
        <is>
          <t>Meta (FB/IG)</t>
        </is>
      </c>
      <c r="E807" s="42" t="inlineStr">
        <is>
          <t>Facebook + Instagram</t>
        </is>
      </c>
      <c r="F807" s="42" t="inlineStr">
        <is>
          <t>LEP_ZA_AUG26_META_RMKT_ALL_CONV</t>
        </is>
      </c>
      <c r="G807" s="42" t="inlineStr">
        <is>
          <t>Leads - Website Conversions</t>
        </is>
      </c>
      <c r="H807" s="42" t="inlineStr">
        <is>
          <t>Range</t>
        </is>
      </c>
      <c r="I807" s="42" t="inlineStr">
        <is>
          <t>Range Offer</t>
        </is>
      </c>
      <c r="J807" s="42" t="inlineStr">
        <is>
          <t>MET_RMKT_SITE30D_ZA</t>
        </is>
      </c>
      <c r="K807" s="42" t="inlineStr">
        <is>
          <t>Retargeting</t>
        </is>
      </c>
      <c r="L807" s="42" t="inlineStr">
        <is>
          <t>RMKT_VID_10s_Recap_v1</t>
        </is>
      </c>
      <c r="M807" s="42" t="inlineStr">
        <is>
          <t>Video 9:16</t>
        </is>
      </c>
      <c r="N807" s="42" t="inlineStr">
        <is>
          <t>10 seconds. Then book.</t>
        </is>
      </c>
      <c r="O807" s="42" t="inlineStr">
        <is>
          <t>Auction - Lowest Cost</t>
        </is>
      </c>
      <c r="P807" s="42" t="inlineStr">
        <is>
          <t>Offsite Conversions</t>
        </is>
      </c>
      <c r="Q807" s="42" t="inlineStr">
        <is>
          <t>https://www.lepas-sa.co.za/book-a-test-drive</t>
        </is>
      </c>
      <c r="R807" s="115" t="n">
        <v>115.23</v>
      </c>
      <c r="S807" s="116" t="n">
        <v>1299</v>
      </c>
      <c r="T807" s="116" t="n">
        <v>792</v>
      </c>
      <c r="U807" s="117">
        <f>IFERROR(S807/T807,"")</f>
        <v/>
      </c>
      <c r="V807" s="116" t="n">
        <v>25</v>
      </c>
      <c r="W807" s="116" t="n">
        <v>20</v>
      </c>
      <c r="X807" s="118">
        <f>IFERROR(W807/S807,"")</f>
        <v/>
      </c>
      <c r="Y807" s="115">
        <f>IFERROR(R807/W807,"")</f>
        <v/>
      </c>
      <c r="Z807" s="115">
        <f>IFERROR(R807/S807*1000,"")</f>
        <v/>
      </c>
      <c r="AA807" s="116" t="n">
        <v>18</v>
      </c>
      <c r="AB807" s="47">
        <f>IFERROR(AA807/W807,"")</f>
        <v/>
      </c>
      <c r="AC807" s="116" t="n">
        <v>290</v>
      </c>
      <c r="AD807" s="116" t="n">
        <v>176</v>
      </c>
      <c r="AE807" s="116" t="n">
        <v>123</v>
      </c>
      <c r="AF807" s="116" t="n">
        <v>71</v>
      </c>
      <c r="AG807" s="116" t="n">
        <v>54</v>
      </c>
      <c r="AH807" s="116" t="n">
        <v>33</v>
      </c>
      <c r="AI807" s="47">
        <f>IFERROR(AC807/S807,"")</f>
        <v/>
      </c>
      <c r="AJ807" s="47">
        <f>IFERROR(AH807/S807,"")</f>
        <v/>
      </c>
      <c r="AK807" s="116" t="n">
        <v>14</v>
      </c>
      <c r="AL807" s="116" t="n">
        <v>0</v>
      </c>
      <c r="AM807" s="118">
        <f>IFERROR(AL807/AA807,"")</f>
        <v/>
      </c>
      <c r="AN807" s="119">
        <f>IFERROR(R807/AL807,"")</f>
        <v/>
      </c>
      <c r="AO807" s="116" t="n">
        <v>0</v>
      </c>
      <c r="AP807" s="47">
        <f>IFERROR(AO807/AL807,"")</f>
        <v/>
      </c>
      <c r="AQ807" s="119">
        <f>IFERROR(R807/AO807,"")</f>
        <v/>
      </c>
      <c r="AR807" s="116" t="n">
        <v>0</v>
      </c>
      <c r="AS807" s="116" t="n">
        <v>0</v>
      </c>
      <c r="AT807" s="116">
        <f>AL807+AR807</f>
        <v/>
      </c>
      <c r="AU807" s="119">
        <f>IFERROR(AO807*Assumptions!$C$26*Assumptions!$C$27*INDEX(Assumptions!$C$18:$C$21,MATCH(H807,Assumptions!$B$18:$B$21,0)),0)</f>
        <v/>
      </c>
    </row>
    <row r="808">
      <c r="A808" s="114" t="n">
        <v>46247</v>
      </c>
      <c r="B808" s="42" t="inlineStr">
        <is>
          <t>Wk 33</t>
        </is>
      </c>
      <c r="C808" s="42" t="inlineStr">
        <is>
          <t>Thu</t>
        </is>
      </c>
      <c r="D808" s="42" t="inlineStr">
        <is>
          <t>Meta (FB/IG)</t>
        </is>
      </c>
      <c r="E808" s="42" t="inlineStr">
        <is>
          <t>Facebook + Instagram</t>
        </is>
      </c>
      <c r="F808" s="42" t="inlineStr">
        <is>
          <t>LEP_ZA_AUG26_META_RMKT_ALL_CONV</t>
        </is>
      </c>
      <c r="G808" s="42" t="inlineStr">
        <is>
          <t>Leads - Website Conversions</t>
        </is>
      </c>
      <c r="H808" s="42" t="inlineStr">
        <is>
          <t>Range</t>
        </is>
      </c>
      <c r="I808" s="42" t="inlineStr">
        <is>
          <t>Range Offer</t>
        </is>
      </c>
      <c r="J808" s="42" t="inlineStr">
        <is>
          <t>MET_RMKT_SITE30D_ZA</t>
        </is>
      </c>
      <c r="K808" s="42" t="inlineStr">
        <is>
          <t>Retargeting</t>
        </is>
      </c>
      <c r="L808" s="42" t="inlineStr">
        <is>
          <t>RMKT_VID_10s_Recap_v1</t>
        </is>
      </c>
      <c r="M808" s="42" t="inlineStr">
        <is>
          <t>Video 9:16</t>
        </is>
      </c>
      <c r="N808" s="42" t="inlineStr">
        <is>
          <t>10 seconds. Then book.</t>
        </is>
      </c>
      <c r="O808" s="42" t="inlineStr">
        <is>
          <t>Auction - Lowest Cost</t>
        </is>
      </c>
      <c r="P808" s="42" t="inlineStr">
        <is>
          <t>Offsite Conversions</t>
        </is>
      </c>
      <c r="Q808" s="42" t="inlineStr">
        <is>
          <t>https://www.lepas-sa.co.za/book-a-test-drive</t>
        </is>
      </c>
      <c r="R808" s="115" t="n">
        <v>119.08</v>
      </c>
      <c r="S808" s="116" t="n">
        <v>1003</v>
      </c>
      <c r="T808" s="116" t="n">
        <v>557</v>
      </c>
      <c r="U808" s="117">
        <f>IFERROR(S808/T808,"")</f>
        <v/>
      </c>
      <c r="V808" s="116" t="n">
        <v>32</v>
      </c>
      <c r="W808" s="116" t="n">
        <v>23</v>
      </c>
      <c r="X808" s="118">
        <f>IFERROR(W808/S808,"")</f>
        <v/>
      </c>
      <c r="Y808" s="115">
        <f>IFERROR(R808/W808,"")</f>
        <v/>
      </c>
      <c r="Z808" s="115">
        <f>IFERROR(R808/S808*1000,"")</f>
        <v/>
      </c>
      <c r="AA808" s="116" t="n">
        <v>18</v>
      </c>
      <c r="AB808" s="47">
        <f>IFERROR(AA808/W808,"")</f>
        <v/>
      </c>
      <c r="AC808" s="116" t="n">
        <v>329</v>
      </c>
      <c r="AD808" s="116" t="n">
        <v>152</v>
      </c>
      <c r="AE808" s="116" t="n">
        <v>121</v>
      </c>
      <c r="AF808" s="116" t="n">
        <v>79</v>
      </c>
      <c r="AG808" s="116" t="n">
        <v>61</v>
      </c>
      <c r="AH808" s="116" t="n">
        <v>34</v>
      </c>
      <c r="AI808" s="47">
        <f>IFERROR(AC808/S808,"")</f>
        <v/>
      </c>
      <c r="AJ808" s="47">
        <f>IFERROR(AH808/S808,"")</f>
        <v/>
      </c>
      <c r="AK808" s="116" t="n">
        <v>18</v>
      </c>
      <c r="AL808" s="116" t="n">
        <v>1</v>
      </c>
      <c r="AM808" s="118">
        <f>IFERROR(AL808/AA808,"")</f>
        <v/>
      </c>
      <c r="AN808" s="119">
        <f>IFERROR(R808/AL808,"")</f>
        <v/>
      </c>
      <c r="AO808" s="116" t="n">
        <v>1</v>
      </c>
      <c r="AP808" s="47">
        <f>IFERROR(AO808/AL808,"")</f>
        <v/>
      </c>
      <c r="AQ808" s="119">
        <f>IFERROR(R808/AO808,"")</f>
        <v/>
      </c>
      <c r="AR808" s="116" t="n">
        <v>0</v>
      </c>
      <c r="AS808" s="116" t="n">
        <v>0</v>
      </c>
      <c r="AT808" s="116">
        <f>AL808+AR808</f>
        <v/>
      </c>
      <c r="AU808" s="119">
        <f>IFERROR(AO808*Assumptions!$C$26*Assumptions!$C$27*INDEX(Assumptions!$C$18:$C$21,MATCH(H808,Assumptions!$B$18:$B$21,0)),0)</f>
        <v/>
      </c>
    </row>
    <row r="809">
      <c r="A809" s="114" t="n">
        <v>46248</v>
      </c>
      <c r="B809" s="42" t="inlineStr">
        <is>
          <t>Wk 33</t>
        </is>
      </c>
      <c r="C809" s="42" t="inlineStr">
        <is>
          <t>Fri</t>
        </is>
      </c>
      <c r="D809" s="42" t="inlineStr">
        <is>
          <t>Meta (FB/IG)</t>
        </is>
      </c>
      <c r="E809" s="42" t="inlineStr">
        <is>
          <t>Facebook + Instagram</t>
        </is>
      </c>
      <c r="F809" s="42" t="inlineStr">
        <is>
          <t>LEP_ZA_AUG26_META_RMKT_ALL_CONV</t>
        </is>
      </c>
      <c r="G809" s="42" t="inlineStr">
        <is>
          <t>Leads - Website Conversions</t>
        </is>
      </c>
      <c r="H809" s="42" t="inlineStr">
        <is>
          <t>Range</t>
        </is>
      </c>
      <c r="I809" s="42" t="inlineStr">
        <is>
          <t>Range Offer</t>
        </is>
      </c>
      <c r="J809" s="42" t="inlineStr">
        <is>
          <t>MET_RMKT_SITE30D_ZA</t>
        </is>
      </c>
      <c r="K809" s="42" t="inlineStr">
        <is>
          <t>Retargeting</t>
        </is>
      </c>
      <c r="L809" s="42" t="inlineStr">
        <is>
          <t>RMKT_VID_10s_Recap_v1</t>
        </is>
      </c>
      <c r="M809" s="42" t="inlineStr">
        <is>
          <t>Video 9:16</t>
        </is>
      </c>
      <c r="N809" s="42" t="inlineStr">
        <is>
          <t>10 seconds. Then book.</t>
        </is>
      </c>
      <c r="O809" s="42" t="inlineStr">
        <is>
          <t>Auction - Lowest Cost</t>
        </is>
      </c>
      <c r="P809" s="42" t="inlineStr">
        <is>
          <t>Offsite Conversions</t>
        </is>
      </c>
      <c r="Q809" s="42" t="inlineStr">
        <is>
          <t>https://www.lepas-sa.co.za/book-a-test-drive</t>
        </is>
      </c>
      <c r="R809" s="115" t="n">
        <v>124.24</v>
      </c>
      <c r="S809" s="116" t="n">
        <v>1355</v>
      </c>
      <c r="T809" s="116" t="n">
        <v>770</v>
      </c>
      <c r="U809" s="117">
        <f>IFERROR(S809/T809,"")</f>
        <v/>
      </c>
      <c r="V809" s="116" t="n">
        <v>48</v>
      </c>
      <c r="W809" s="116" t="n">
        <v>37</v>
      </c>
      <c r="X809" s="118">
        <f>IFERROR(W809/S809,"")</f>
        <v/>
      </c>
      <c r="Y809" s="115">
        <f>IFERROR(R809/W809,"")</f>
        <v/>
      </c>
      <c r="Z809" s="115">
        <f>IFERROR(R809/S809*1000,"")</f>
        <v/>
      </c>
      <c r="AA809" s="116" t="n">
        <v>33</v>
      </c>
      <c r="AB809" s="47">
        <f>IFERROR(AA809/W809,"")</f>
        <v/>
      </c>
      <c r="AC809" s="116" t="n">
        <v>541</v>
      </c>
      <c r="AD809" s="116" t="n">
        <v>294</v>
      </c>
      <c r="AE809" s="116" t="n">
        <v>255</v>
      </c>
      <c r="AF809" s="116" t="n">
        <v>155</v>
      </c>
      <c r="AG809" s="116" t="n">
        <v>117</v>
      </c>
      <c r="AH809" s="116" t="n">
        <v>79</v>
      </c>
      <c r="AI809" s="47">
        <f>IFERROR(AC809/S809,"")</f>
        <v/>
      </c>
      <c r="AJ809" s="47">
        <f>IFERROR(AH809/S809,"")</f>
        <v/>
      </c>
      <c r="AK809" s="116" t="n">
        <v>42</v>
      </c>
      <c r="AL809" s="116" t="n">
        <v>1</v>
      </c>
      <c r="AM809" s="118">
        <f>IFERROR(AL809/AA809,"")</f>
        <v/>
      </c>
      <c r="AN809" s="119">
        <f>IFERROR(R809/AL809,"")</f>
        <v/>
      </c>
      <c r="AO809" s="116" t="n">
        <v>0</v>
      </c>
      <c r="AP809" s="47">
        <f>IFERROR(AO809/AL809,"")</f>
        <v/>
      </c>
      <c r="AQ809" s="119">
        <f>IFERROR(R809/AO809,"")</f>
        <v/>
      </c>
      <c r="AR809" s="116" t="n">
        <v>0</v>
      </c>
      <c r="AS809" s="116" t="n">
        <v>0</v>
      </c>
      <c r="AT809" s="116">
        <f>AL809+AR809</f>
        <v/>
      </c>
      <c r="AU809" s="119">
        <f>IFERROR(AO809*Assumptions!$C$26*Assumptions!$C$27*INDEX(Assumptions!$C$18:$C$21,MATCH(H809,Assumptions!$B$18:$B$21,0)),0)</f>
        <v/>
      </c>
    </row>
    <row r="810">
      <c r="A810" s="114" t="n">
        <v>46249</v>
      </c>
      <c r="B810" s="42" t="inlineStr">
        <is>
          <t>Wk 33</t>
        </is>
      </c>
      <c r="C810" s="42" t="inlineStr">
        <is>
          <t>Sat</t>
        </is>
      </c>
      <c r="D810" s="42" t="inlineStr">
        <is>
          <t>Meta (FB/IG)</t>
        </is>
      </c>
      <c r="E810" s="42" t="inlineStr">
        <is>
          <t>Facebook + Instagram</t>
        </is>
      </c>
      <c r="F810" s="42" t="inlineStr">
        <is>
          <t>LEP_ZA_AUG26_META_RMKT_ALL_CONV</t>
        </is>
      </c>
      <c r="G810" s="42" t="inlineStr">
        <is>
          <t>Leads - Website Conversions</t>
        </is>
      </c>
      <c r="H810" s="42" t="inlineStr">
        <is>
          <t>Range</t>
        </is>
      </c>
      <c r="I810" s="42" t="inlineStr">
        <is>
          <t>Range Offer</t>
        </is>
      </c>
      <c r="J810" s="42" t="inlineStr">
        <is>
          <t>MET_RMKT_SITE30D_ZA</t>
        </is>
      </c>
      <c r="K810" s="42" t="inlineStr">
        <is>
          <t>Retargeting</t>
        </is>
      </c>
      <c r="L810" s="42" t="inlineStr">
        <is>
          <t>RMKT_VID_10s_Recap_v1</t>
        </is>
      </c>
      <c r="M810" s="42" t="inlineStr">
        <is>
          <t>Video 9:16</t>
        </is>
      </c>
      <c r="N810" s="42" t="inlineStr">
        <is>
          <t>10 seconds. Then book.</t>
        </is>
      </c>
      <c r="O810" s="42" t="inlineStr">
        <is>
          <t>Auction - Lowest Cost</t>
        </is>
      </c>
      <c r="P810" s="42" t="inlineStr">
        <is>
          <t>Offsite Conversions</t>
        </is>
      </c>
      <c r="Q810" s="42" t="inlineStr">
        <is>
          <t>https://www.lepas-sa.co.za/book-a-test-drive</t>
        </is>
      </c>
      <c r="R810" s="115" t="n">
        <v>144.39</v>
      </c>
      <c r="S810" s="116" t="n">
        <v>1384</v>
      </c>
      <c r="T810" s="116" t="n">
        <v>800</v>
      </c>
      <c r="U810" s="117">
        <f>IFERROR(S810/T810,"")</f>
        <v/>
      </c>
      <c r="V810" s="116" t="n">
        <v>28</v>
      </c>
      <c r="W810" s="116" t="n">
        <v>20</v>
      </c>
      <c r="X810" s="118">
        <f>IFERROR(W810/S810,"")</f>
        <v/>
      </c>
      <c r="Y810" s="115">
        <f>IFERROR(R810/W810,"")</f>
        <v/>
      </c>
      <c r="Z810" s="115">
        <f>IFERROR(R810/S810*1000,"")</f>
        <v/>
      </c>
      <c r="AA810" s="116" t="n">
        <v>17</v>
      </c>
      <c r="AB810" s="47">
        <f>IFERROR(AA810/W810,"")</f>
        <v/>
      </c>
      <c r="AC810" s="116" t="n">
        <v>312</v>
      </c>
      <c r="AD810" s="116" t="n">
        <v>164</v>
      </c>
      <c r="AE810" s="116" t="n">
        <v>124</v>
      </c>
      <c r="AF810" s="116" t="n">
        <v>79</v>
      </c>
      <c r="AG810" s="116" t="n">
        <v>56</v>
      </c>
      <c r="AH810" s="116" t="n">
        <v>40</v>
      </c>
      <c r="AI810" s="47">
        <f>IFERROR(AC810/S810,"")</f>
        <v/>
      </c>
      <c r="AJ810" s="47">
        <f>IFERROR(AH810/S810,"")</f>
        <v/>
      </c>
      <c r="AK810" s="116" t="n">
        <v>41</v>
      </c>
      <c r="AL810" s="116" t="n">
        <v>1</v>
      </c>
      <c r="AM810" s="118">
        <f>IFERROR(AL810/AA810,"")</f>
        <v/>
      </c>
      <c r="AN810" s="119">
        <f>IFERROR(R810/AL810,"")</f>
        <v/>
      </c>
      <c r="AO810" s="116" t="n">
        <v>1</v>
      </c>
      <c r="AP810" s="47">
        <f>IFERROR(AO810/AL810,"")</f>
        <v/>
      </c>
      <c r="AQ810" s="119">
        <f>IFERROR(R810/AO810,"")</f>
        <v/>
      </c>
      <c r="AR810" s="116" t="n">
        <v>0</v>
      </c>
      <c r="AS810" s="116" t="n">
        <v>1</v>
      </c>
      <c r="AT810" s="116">
        <f>AL810+AR810</f>
        <v/>
      </c>
      <c r="AU810" s="119">
        <f>IFERROR(AO810*Assumptions!$C$26*Assumptions!$C$27*INDEX(Assumptions!$C$18:$C$21,MATCH(H810,Assumptions!$B$18:$B$21,0)),0)</f>
        <v/>
      </c>
    </row>
    <row r="811">
      <c r="A811" s="114" t="n">
        <v>46250</v>
      </c>
      <c r="B811" s="42" t="inlineStr">
        <is>
          <t>Wk 33</t>
        </is>
      </c>
      <c r="C811" s="42" t="inlineStr">
        <is>
          <t>Sun</t>
        </is>
      </c>
      <c r="D811" s="42" t="inlineStr">
        <is>
          <t>Meta (FB/IG)</t>
        </is>
      </c>
      <c r="E811" s="42" t="inlineStr">
        <is>
          <t>Facebook + Instagram</t>
        </is>
      </c>
      <c r="F811" s="42" t="inlineStr">
        <is>
          <t>LEP_ZA_AUG26_META_RMKT_ALL_CONV</t>
        </is>
      </c>
      <c r="G811" s="42" t="inlineStr">
        <is>
          <t>Leads - Website Conversions</t>
        </is>
      </c>
      <c r="H811" s="42" t="inlineStr">
        <is>
          <t>Range</t>
        </is>
      </c>
      <c r="I811" s="42" t="inlineStr">
        <is>
          <t>Range Offer</t>
        </is>
      </c>
      <c r="J811" s="42" t="inlineStr">
        <is>
          <t>MET_RMKT_SITE30D_ZA</t>
        </is>
      </c>
      <c r="K811" s="42" t="inlineStr">
        <is>
          <t>Retargeting</t>
        </is>
      </c>
      <c r="L811" s="42" t="inlineStr">
        <is>
          <t>RMKT_VID_10s_Recap_v1</t>
        </is>
      </c>
      <c r="M811" s="42" t="inlineStr">
        <is>
          <t>Video 9:16</t>
        </is>
      </c>
      <c r="N811" s="42" t="inlineStr">
        <is>
          <t>10 seconds. Then book.</t>
        </is>
      </c>
      <c r="O811" s="42" t="inlineStr">
        <is>
          <t>Auction - Lowest Cost</t>
        </is>
      </c>
      <c r="P811" s="42" t="inlineStr">
        <is>
          <t>Offsite Conversions</t>
        </is>
      </c>
      <c r="Q811" s="42" t="inlineStr">
        <is>
          <t>https://www.lepas-sa.co.za/book-a-test-drive</t>
        </is>
      </c>
      <c r="R811" s="115" t="n">
        <v>108.06</v>
      </c>
      <c r="S811" s="116" t="n">
        <v>1329</v>
      </c>
      <c r="T811" s="116" t="n">
        <v>771</v>
      </c>
      <c r="U811" s="117">
        <f>IFERROR(S811/T811,"")</f>
        <v/>
      </c>
      <c r="V811" s="116" t="n">
        <v>39</v>
      </c>
      <c r="W811" s="116" t="n">
        <v>32</v>
      </c>
      <c r="X811" s="118">
        <f>IFERROR(W811/S811,"")</f>
        <v/>
      </c>
      <c r="Y811" s="115">
        <f>IFERROR(R811/W811,"")</f>
        <v/>
      </c>
      <c r="Z811" s="115">
        <f>IFERROR(R811/S811*1000,"")</f>
        <v/>
      </c>
      <c r="AA811" s="116" t="n">
        <v>28</v>
      </c>
      <c r="AB811" s="47">
        <f>IFERROR(AA811/W811,"")</f>
        <v/>
      </c>
      <c r="AC811" s="116" t="n">
        <v>496</v>
      </c>
      <c r="AD811" s="116" t="n">
        <v>251</v>
      </c>
      <c r="AE811" s="116" t="n">
        <v>256</v>
      </c>
      <c r="AF811" s="116" t="n">
        <v>154</v>
      </c>
      <c r="AG811" s="116" t="n">
        <v>108</v>
      </c>
      <c r="AH811" s="116" t="n">
        <v>64</v>
      </c>
      <c r="AI811" s="47">
        <f>IFERROR(AC811/S811,"")</f>
        <v/>
      </c>
      <c r="AJ811" s="47">
        <f>IFERROR(AH811/S811,"")</f>
        <v/>
      </c>
      <c r="AK811" s="116" t="n">
        <v>31</v>
      </c>
      <c r="AL811" s="116" t="n">
        <v>1</v>
      </c>
      <c r="AM811" s="118">
        <f>IFERROR(AL811/AA811,"")</f>
        <v/>
      </c>
      <c r="AN811" s="119">
        <f>IFERROR(R811/AL811,"")</f>
        <v/>
      </c>
      <c r="AO811" s="116" t="n">
        <v>1</v>
      </c>
      <c r="AP811" s="47">
        <f>IFERROR(AO811/AL811,"")</f>
        <v/>
      </c>
      <c r="AQ811" s="119">
        <f>IFERROR(R811/AO811,"")</f>
        <v/>
      </c>
      <c r="AR811" s="116" t="n">
        <v>0</v>
      </c>
      <c r="AS811" s="116" t="n">
        <v>0</v>
      </c>
      <c r="AT811" s="116">
        <f>AL811+AR811</f>
        <v/>
      </c>
      <c r="AU811" s="119">
        <f>IFERROR(AO811*Assumptions!$C$26*Assumptions!$C$27*INDEX(Assumptions!$C$18:$C$21,MATCH(H811,Assumptions!$B$18:$B$21,0)),0)</f>
        <v/>
      </c>
    </row>
    <row r="812">
      <c r="A812" s="114" t="n">
        <v>46251</v>
      </c>
      <c r="B812" s="42" t="inlineStr">
        <is>
          <t>Wk 34</t>
        </is>
      </c>
      <c r="C812" s="42" t="inlineStr">
        <is>
          <t>Mon</t>
        </is>
      </c>
      <c r="D812" s="42" t="inlineStr">
        <is>
          <t>Meta (FB/IG)</t>
        </is>
      </c>
      <c r="E812" s="42" t="inlineStr">
        <is>
          <t>Facebook + Instagram</t>
        </is>
      </c>
      <c r="F812" s="42" t="inlineStr">
        <is>
          <t>LEP_ZA_AUG26_META_RMKT_ALL_CONV</t>
        </is>
      </c>
      <c r="G812" s="42" t="inlineStr">
        <is>
          <t>Leads - Website Conversions</t>
        </is>
      </c>
      <c r="H812" s="42" t="inlineStr">
        <is>
          <t>Range</t>
        </is>
      </c>
      <c r="I812" s="42" t="inlineStr">
        <is>
          <t>Range Offer</t>
        </is>
      </c>
      <c r="J812" s="42" t="inlineStr">
        <is>
          <t>MET_RMKT_SITE30D_ZA</t>
        </is>
      </c>
      <c r="K812" s="42" t="inlineStr">
        <is>
          <t>Retargeting</t>
        </is>
      </c>
      <c r="L812" s="42" t="inlineStr">
        <is>
          <t>RMKT_VID_10s_Recap_v1</t>
        </is>
      </c>
      <c r="M812" s="42" t="inlineStr">
        <is>
          <t>Video 9:16</t>
        </is>
      </c>
      <c r="N812" s="42" t="inlineStr">
        <is>
          <t>10 seconds. Then book.</t>
        </is>
      </c>
      <c r="O812" s="42" t="inlineStr">
        <is>
          <t>Auction - Lowest Cost</t>
        </is>
      </c>
      <c r="P812" s="42" t="inlineStr">
        <is>
          <t>Offsite Conversions</t>
        </is>
      </c>
      <c r="Q812" s="42" t="inlineStr">
        <is>
          <t>https://www.lepas-sa.co.za/book-a-test-drive</t>
        </is>
      </c>
      <c r="R812" s="115" t="n">
        <v>108.87</v>
      </c>
      <c r="S812" s="116" t="n">
        <v>976</v>
      </c>
      <c r="T812" s="116" t="n">
        <v>715</v>
      </c>
      <c r="U812" s="117">
        <f>IFERROR(S812/T812,"")</f>
        <v/>
      </c>
      <c r="V812" s="116" t="n">
        <v>19</v>
      </c>
      <c r="W812" s="116" t="n">
        <v>15</v>
      </c>
      <c r="X812" s="118">
        <f>IFERROR(W812/S812,"")</f>
        <v/>
      </c>
      <c r="Y812" s="115">
        <f>IFERROR(R812/W812,"")</f>
        <v/>
      </c>
      <c r="Z812" s="115">
        <f>IFERROR(R812/S812*1000,"")</f>
        <v/>
      </c>
      <c r="AA812" s="116" t="n">
        <v>13</v>
      </c>
      <c r="AB812" s="47">
        <f>IFERROR(AA812/W812,"")</f>
        <v/>
      </c>
      <c r="AC812" s="116" t="n">
        <v>346</v>
      </c>
      <c r="AD812" s="116" t="n">
        <v>157</v>
      </c>
      <c r="AE812" s="116" t="n">
        <v>148</v>
      </c>
      <c r="AF812" s="116" t="n">
        <v>86</v>
      </c>
      <c r="AG812" s="116" t="n">
        <v>54</v>
      </c>
      <c r="AH812" s="116" t="n">
        <v>38</v>
      </c>
      <c r="AI812" s="47">
        <f>IFERROR(AC812/S812,"")</f>
        <v/>
      </c>
      <c r="AJ812" s="47">
        <f>IFERROR(AH812/S812,"")</f>
        <v/>
      </c>
      <c r="AK812" s="116" t="n">
        <v>26</v>
      </c>
      <c r="AL812" s="116" t="n">
        <v>1</v>
      </c>
      <c r="AM812" s="118">
        <f>IFERROR(AL812/AA812,"")</f>
        <v/>
      </c>
      <c r="AN812" s="119">
        <f>IFERROR(R812/AL812,"")</f>
        <v/>
      </c>
      <c r="AO812" s="116" t="n">
        <v>0</v>
      </c>
      <c r="AP812" s="47">
        <f>IFERROR(AO812/AL812,"")</f>
        <v/>
      </c>
      <c r="AQ812" s="119">
        <f>IFERROR(R812/AO812,"")</f>
        <v/>
      </c>
      <c r="AR812" s="116" t="n">
        <v>1</v>
      </c>
      <c r="AS812" s="116" t="n">
        <v>0</v>
      </c>
      <c r="AT812" s="116">
        <f>AL812+AR812</f>
        <v/>
      </c>
      <c r="AU812" s="119">
        <f>IFERROR(AO812*Assumptions!$C$26*Assumptions!$C$27*INDEX(Assumptions!$C$18:$C$21,MATCH(H812,Assumptions!$B$18:$B$21,0)),0)</f>
        <v/>
      </c>
    </row>
    <row r="813">
      <c r="A813" s="114" t="n">
        <v>46252</v>
      </c>
      <c r="B813" s="42" t="inlineStr">
        <is>
          <t>Wk 34</t>
        </is>
      </c>
      <c r="C813" s="42" t="inlineStr">
        <is>
          <t>Tue</t>
        </is>
      </c>
      <c r="D813" s="42" t="inlineStr">
        <is>
          <t>Meta (FB/IG)</t>
        </is>
      </c>
      <c r="E813" s="42" t="inlineStr">
        <is>
          <t>Facebook + Instagram</t>
        </is>
      </c>
      <c r="F813" s="42" t="inlineStr">
        <is>
          <t>LEP_ZA_AUG26_META_RMKT_ALL_CONV</t>
        </is>
      </c>
      <c r="G813" s="42" t="inlineStr">
        <is>
          <t>Leads - Website Conversions</t>
        </is>
      </c>
      <c r="H813" s="42" t="inlineStr">
        <is>
          <t>Range</t>
        </is>
      </c>
      <c r="I813" s="42" t="inlineStr">
        <is>
          <t>Range Offer</t>
        </is>
      </c>
      <c r="J813" s="42" t="inlineStr">
        <is>
          <t>MET_RMKT_SITE30D_ZA</t>
        </is>
      </c>
      <c r="K813" s="42" t="inlineStr">
        <is>
          <t>Retargeting</t>
        </is>
      </c>
      <c r="L813" s="42" t="inlineStr">
        <is>
          <t>RMKT_VID_10s_Recap_v1</t>
        </is>
      </c>
      <c r="M813" s="42" t="inlineStr">
        <is>
          <t>Video 9:16</t>
        </is>
      </c>
      <c r="N813" s="42" t="inlineStr">
        <is>
          <t>10 seconds. Then book.</t>
        </is>
      </c>
      <c r="O813" s="42" t="inlineStr">
        <is>
          <t>Auction - Lowest Cost</t>
        </is>
      </c>
      <c r="P813" s="42" t="inlineStr">
        <is>
          <t>Offsite Conversions</t>
        </is>
      </c>
      <c r="Q813" s="42" t="inlineStr">
        <is>
          <t>https://www.lepas-sa.co.za/book-a-test-drive</t>
        </is>
      </c>
      <c r="R813" s="115" t="n">
        <v>120.96</v>
      </c>
      <c r="S813" s="116" t="n">
        <v>1079</v>
      </c>
      <c r="T813" s="116" t="n">
        <v>652</v>
      </c>
      <c r="U813" s="117">
        <f>IFERROR(S813/T813,"")</f>
        <v/>
      </c>
      <c r="V813" s="116" t="n">
        <v>40</v>
      </c>
      <c r="W813" s="116" t="n">
        <v>31</v>
      </c>
      <c r="X813" s="118">
        <f>IFERROR(W813/S813,"")</f>
        <v/>
      </c>
      <c r="Y813" s="115">
        <f>IFERROR(R813/W813,"")</f>
        <v/>
      </c>
      <c r="Z813" s="115">
        <f>IFERROR(R813/S813*1000,"")</f>
        <v/>
      </c>
      <c r="AA813" s="116" t="n">
        <v>26</v>
      </c>
      <c r="AB813" s="47">
        <f>IFERROR(AA813/W813,"")</f>
        <v/>
      </c>
      <c r="AC813" s="116" t="n">
        <v>283</v>
      </c>
      <c r="AD813" s="116" t="n">
        <v>167</v>
      </c>
      <c r="AE813" s="116" t="n">
        <v>147</v>
      </c>
      <c r="AF813" s="116" t="n">
        <v>98</v>
      </c>
      <c r="AG813" s="116" t="n">
        <v>65</v>
      </c>
      <c r="AH813" s="116" t="n">
        <v>48</v>
      </c>
      <c r="AI813" s="47">
        <f>IFERROR(AC813/S813,"")</f>
        <v/>
      </c>
      <c r="AJ813" s="47">
        <f>IFERROR(AH813/S813,"")</f>
        <v/>
      </c>
      <c r="AK813" s="116" t="n">
        <v>30</v>
      </c>
      <c r="AL813" s="116" t="n">
        <v>0</v>
      </c>
      <c r="AM813" s="118">
        <f>IFERROR(AL813/AA813,"")</f>
        <v/>
      </c>
      <c r="AN813" s="119">
        <f>IFERROR(R813/AL813,"")</f>
        <v/>
      </c>
      <c r="AO813" s="116" t="n">
        <v>0</v>
      </c>
      <c r="AP813" s="47">
        <f>IFERROR(AO813/AL813,"")</f>
        <v/>
      </c>
      <c r="AQ813" s="119">
        <f>IFERROR(R813/AO813,"")</f>
        <v/>
      </c>
      <c r="AR813" s="116" t="n">
        <v>0</v>
      </c>
      <c r="AS813" s="116" t="n">
        <v>0</v>
      </c>
      <c r="AT813" s="116">
        <f>AL813+AR813</f>
        <v/>
      </c>
      <c r="AU813" s="119">
        <f>IFERROR(AO813*Assumptions!$C$26*Assumptions!$C$27*INDEX(Assumptions!$C$18:$C$21,MATCH(H813,Assumptions!$B$18:$B$21,0)),0)</f>
        <v/>
      </c>
    </row>
    <row r="814">
      <c r="A814" s="114" t="n">
        <v>46253</v>
      </c>
      <c r="B814" s="42" t="inlineStr">
        <is>
          <t>Wk 34</t>
        </is>
      </c>
      <c r="C814" s="42" t="inlineStr">
        <is>
          <t>Wed</t>
        </is>
      </c>
      <c r="D814" s="42" t="inlineStr">
        <is>
          <t>Meta (FB/IG)</t>
        </is>
      </c>
      <c r="E814" s="42" t="inlineStr">
        <is>
          <t>Facebook + Instagram</t>
        </is>
      </c>
      <c r="F814" s="42" t="inlineStr">
        <is>
          <t>LEP_ZA_AUG26_META_RMKT_ALL_CONV</t>
        </is>
      </c>
      <c r="G814" s="42" t="inlineStr">
        <is>
          <t>Leads - Website Conversions</t>
        </is>
      </c>
      <c r="H814" s="42" t="inlineStr">
        <is>
          <t>Range</t>
        </is>
      </c>
      <c r="I814" s="42" t="inlineStr">
        <is>
          <t>Range Offer</t>
        </is>
      </c>
      <c r="J814" s="42" t="inlineStr">
        <is>
          <t>MET_RMKT_SITE30D_ZA</t>
        </is>
      </c>
      <c r="K814" s="42" t="inlineStr">
        <is>
          <t>Retargeting</t>
        </is>
      </c>
      <c r="L814" s="42" t="inlineStr">
        <is>
          <t>RMKT_VID_10s_Recap_v1</t>
        </is>
      </c>
      <c r="M814" s="42" t="inlineStr">
        <is>
          <t>Video 9:16</t>
        </is>
      </c>
      <c r="N814" s="42" t="inlineStr">
        <is>
          <t>10 seconds. Then book.</t>
        </is>
      </c>
      <c r="O814" s="42" t="inlineStr">
        <is>
          <t>Auction - Lowest Cost</t>
        </is>
      </c>
      <c r="P814" s="42" t="inlineStr">
        <is>
          <t>Offsite Conversions</t>
        </is>
      </c>
      <c r="Q814" s="42" t="inlineStr">
        <is>
          <t>https://www.lepas-sa.co.za/book-a-test-drive</t>
        </is>
      </c>
      <c r="R814" s="115" t="n">
        <v>113.46</v>
      </c>
      <c r="S814" s="116" t="n">
        <v>1580</v>
      </c>
      <c r="T814" s="116" t="n">
        <v>1084</v>
      </c>
      <c r="U814" s="117">
        <f>IFERROR(S814/T814,"")</f>
        <v/>
      </c>
      <c r="V814" s="116" t="n">
        <v>33</v>
      </c>
      <c r="W814" s="116" t="n">
        <v>25</v>
      </c>
      <c r="X814" s="118">
        <f>IFERROR(W814/S814,"")</f>
        <v/>
      </c>
      <c r="Y814" s="115">
        <f>IFERROR(R814/W814,"")</f>
        <v/>
      </c>
      <c r="Z814" s="115">
        <f>IFERROR(R814/S814*1000,"")</f>
        <v/>
      </c>
      <c r="AA814" s="116" t="n">
        <v>22</v>
      </c>
      <c r="AB814" s="47">
        <f>IFERROR(AA814/W814,"")</f>
        <v/>
      </c>
      <c r="AC814" s="116" t="n">
        <v>537</v>
      </c>
      <c r="AD814" s="116" t="n">
        <v>276</v>
      </c>
      <c r="AE814" s="116" t="n">
        <v>266</v>
      </c>
      <c r="AF814" s="116" t="n">
        <v>150</v>
      </c>
      <c r="AG814" s="116" t="n">
        <v>112</v>
      </c>
      <c r="AH814" s="116" t="n">
        <v>66</v>
      </c>
      <c r="AI814" s="47">
        <f>IFERROR(AC814/S814,"")</f>
        <v/>
      </c>
      <c r="AJ814" s="47">
        <f>IFERROR(AH814/S814,"")</f>
        <v/>
      </c>
      <c r="AK814" s="116" t="n">
        <v>19</v>
      </c>
      <c r="AL814" s="116" t="n">
        <v>1</v>
      </c>
      <c r="AM814" s="118">
        <f>IFERROR(AL814/AA814,"")</f>
        <v/>
      </c>
      <c r="AN814" s="119">
        <f>IFERROR(R814/AL814,"")</f>
        <v/>
      </c>
      <c r="AO814" s="116" t="n">
        <v>1</v>
      </c>
      <c r="AP814" s="47">
        <f>IFERROR(AO814/AL814,"")</f>
        <v/>
      </c>
      <c r="AQ814" s="119">
        <f>IFERROR(R814/AO814,"")</f>
        <v/>
      </c>
      <c r="AR814" s="116" t="n">
        <v>0</v>
      </c>
      <c r="AS814" s="116" t="n">
        <v>0</v>
      </c>
      <c r="AT814" s="116">
        <f>AL814+AR814</f>
        <v/>
      </c>
      <c r="AU814" s="119">
        <f>IFERROR(AO814*Assumptions!$C$26*Assumptions!$C$27*INDEX(Assumptions!$C$18:$C$21,MATCH(H814,Assumptions!$B$18:$B$21,0)),0)</f>
        <v/>
      </c>
    </row>
    <row r="815">
      <c r="A815" s="114" t="n">
        <v>46254</v>
      </c>
      <c r="B815" s="42" t="inlineStr">
        <is>
          <t>Wk 34</t>
        </is>
      </c>
      <c r="C815" s="42" t="inlineStr">
        <is>
          <t>Thu</t>
        </is>
      </c>
      <c r="D815" s="42" t="inlineStr">
        <is>
          <t>Meta (FB/IG)</t>
        </is>
      </c>
      <c r="E815" s="42" t="inlineStr">
        <is>
          <t>Facebook + Instagram</t>
        </is>
      </c>
      <c r="F815" s="42" t="inlineStr">
        <is>
          <t>LEP_ZA_AUG26_META_RMKT_ALL_CONV</t>
        </is>
      </c>
      <c r="G815" s="42" t="inlineStr">
        <is>
          <t>Leads - Website Conversions</t>
        </is>
      </c>
      <c r="H815" s="42" t="inlineStr">
        <is>
          <t>Range</t>
        </is>
      </c>
      <c r="I815" s="42" t="inlineStr">
        <is>
          <t>Range Offer</t>
        </is>
      </c>
      <c r="J815" s="42" t="inlineStr">
        <is>
          <t>MET_RMKT_SITE30D_ZA</t>
        </is>
      </c>
      <c r="K815" s="42" t="inlineStr">
        <is>
          <t>Retargeting</t>
        </is>
      </c>
      <c r="L815" s="42" t="inlineStr">
        <is>
          <t>RMKT_VID_10s_Recap_v1</t>
        </is>
      </c>
      <c r="M815" s="42" t="inlineStr">
        <is>
          <t>Video 9:16</t>
        </is>
      </c>
      <c r="N815" s="42" t="inlineStr">
        <is>
          <t>10 seconds. Then book.</t>
        </is>
      </c>
      <c r="O815" s="42" t="inlineStr">
        <is>
          <t>Auction - Lowest Cost</t>
        </is>
      </c>
      <c r="P815" s="42" t="inlineStr">
        <is>
          <t>Offsite Conversions</t>
        </is>
      </c>
      <c r="Q815" s="42" t="inlineStr">
        <is>
          <t>https://www.lepas-sa.co.za/book-a-test-drive</t>
        </is>
      </c>
      <c r="R815" s="115" t="n">
        <v>118.92</v>
      </c>
      <c r="S815" s="116" t="n">
        <v>1186</v>
      </c>
      <c r="T815" s="116" t="n">
        <v>775</v>
      </c>
      <c r="U815" s="117">
        <f>IFERROR(S815/T815,"")</f>
        <v/>
      </c>
      <c r="V815" s="116" t="n">
        <v>39</v>
      </c>
      <c r="W815" s="116" t="n">
        <v>30</v>
      </c>
      <c r="X815" s="118">
        <f>IFERROR(W815/S815,"")</f>
        <v/>
      </c>
      <c r="Y815" s="115">
        <f>IFERROR(R815/W815,"")</f>
        <v/>
      </c>
      <c r="Z815" s="115">
        <f>IFERROR(R815/S815*1000,"")</f>
        <v/>
      </c>
      <c r="AA815" s="116" t="n">
        <v>26</v>
      </c>
      <c r="AB815" s="47">
        <f>IFERROR(AA815/W815,"")</f>
        <v/>
      </c>
      <c r="AC815" s="116" t="n">
        <v>346</v>
      </c>
      <c r="AD815" s="116" t="n">
        <v>177</v>
      </c>
      <c r="AE815" s="116" t="n">
        <v>130</v>
      </c>
      <c r="AF815" s="116" t="n">
        <v>89</v>
      </c>
      <c r="AG815" s="116" t="n">
        <v>68</v>
      </c>
      <c r="AH815" s="116" t="n">
        <v>39</v>
      </c>
      <c r="AI815" s="47">
        <f>IFERROR(AC815/S815,"")</f>
        <v/>
      </c>
      <c r="AJ815" s="47">
        <f>IFERROR(AH815/S815,"")</f>
        <v/>
      </c>
      <c r="AK815" s="116" t="n">
        <v>39</v>
      </c>
      <c r="AL815" s="116" t="n">
        <v>1</v>
      </c>
      <c r="AM815" s="118">
        <f>IFERROR(AL815/AA815,"")</f>
        <v/>
      </c>
      <c r="AN815" s="119">
        <f>IFERROR(R815/AL815,"")</f>
        <v/>
      </c>
      <c r="AO815" s="116" t="n">
        <v>1</v>
      </c>
      <c r="AP815" s="47">
        <f>IFERROR(AO815/AL815,"")</f>
        <v/>
      </c>
      <c r="AQ815" s="119">
        <f>IFERROR(R815/AO815,"")</f>
        <v/>
      </c>
      <c r="AR815" s="116" t="n">
        <v>1</v>
      </c>
      <c r="AS815" s="116" t="n">
        <v>0</v>
      </c>
      <c r="AT815" s="116">
        <f>AL815+AR815</f>
        <v/>
      </c>
      <c r="AU815" s="119">
        <f>IFERROR(AO815*Assumptions!$C$26*Assumptions!$C$27*INDEX(Assumptions!$C$18:$C$21,MATCH(H815,Assumptions!$B$18:$B$21,0)),0)</f>
        <v/>
      </c>
    </row>
    <row r="816">
      <c r="A816" s="114" t="n">
        <v>46255</v>
      </c>
      <c r="B816" s="42" t="inlineStr">
        <is>
          <t>Wk 34</t>
        </is>
      </c>
      <c r="C816" s="42" t="inlineStr">
        <is>
          <t>Fri</t>
        </is>
      </c>
      <c r="D816" s="42" t="inlineStr">
        <is>
          <t>Meta (FB/IG)</t>
        </is>
      </c>
      <c r="E816" s="42" t="inlineStr">
        <is>
          <t>Facebook + Instagram</t>
        </is>
      </c>
      <c r="F816" s="42" t="inlineStr">
        <is>
          <t>LEP_ZA_AUG26_META_RMKT_ALL_CONV</t>
        </is>
      </c>
      <c r="G816" s="42" t="inlineStr">
        <is>
          <t>Leads - Website Conversions</t>
        </is>
      </c>
      <c r="H816" s="42" t="inlineStr">
        <is>
          <t>Range</t>
        </is>
      </c>
      <c r="I816" s="42" t="inlineStr">
        <is>
          <t>Range Offer</t>
        </is>
      </c>
      <c r="J816" s="42" t="inlineStr">
        <is>
          <t>MET_RMKT_SITE30D_ZA</t>
        </is>
      </c>
      <c r="K816" s="42" t="inlineStr">
        <is>
          <t>Retargeting</t>
        </is>
      </c>
      <c r="L816" s="42" t="inlineStr">
        <is>
          <t>RMKT_VID_10s_Recap_v1</t>
        </is>
      </c>
      <c r="M816" s="42" t="inlineStr">
        <is>
          <t>Video 9:16</t>
        </is>
      </c>
      <c r="N816" s="42" t="inlineStr">
        <is>
          <t>10 seconds. Then book.</t>
        </is>
      </c>
      <c r="O816" s="42" t="inlineStr">
        <is>
          <t>Auction - Lowest Cost</t>
        </is>
      </c>
      <c r="P816" s="42" t="inlineStr">
        <is>
          <t>Offsite Conversions</t>
        </is>
      </c>
      <c r="Q816" s="42" t="inlineStr">
        <is>
          <t>https://www.lepas-sa.co.za/book-a-test-drive</t>
        </is>
      </c>
      <c r="R816" s="115" t="n">
        <v>145.19</v>
      </c>
      <c r="S816" s="116" t="n">
        <v>1682</v>
      </c>
      <c r="T816" s="116" t="n">
        <v>1182</v>
      </c>
      <c r="U816" s="117">
        <f>IFERROR(S816/T816,"")</f>
        <v/>
      </c>
      <c r="V816" s="116" t="n">
        <v>25</v>
      </c>
      <c r="W816" s="116" t="n">
        <v>21</v>
      </c>
      <c r="X816" s="118">
        <f>IFERROR(W816/S816,"")</f>
        <v/>
      </c>
      <c r="Y816" s="115">
        <f>IFERROR(R816/W816,"")</f>
        <v/>
      </c>
      <c r="Z816" s="115">
        <f>IFERROR(R816/S816*1000,"")</f>
        <v/>
      </c>
      <c r="AA816" s="116" t="n">
        <v>18</v>
      </c>
      <c r="AB816" s="47">
        <f>IFERROR(AA816/W816,"")</f>
        <v/>
      </c>
      <c r="AC816" s="116" t="n">
        <v>621</v>
      </c>
      <c r="AD816" s="116" t="n">
        <v>292</v>
      </c>
      <c r="AE816" s="116" t="n">
        <v>257</v>
      </c>
      <c r="AF816" s="116" t="n">
        <v>177</v>
      </c>
      <c r="AG816" s="116" t="n">
        <v>123</v>
      </c>
      <c r="AH816" s="116" t="n">
        <v>75</v>
      </c>
      <c r="AI816" s="47">
        <f>IFERROR(AC816/S816,"")</f>
        <v/>
      </c>
      <c r="AJ816" s="47">
        <f>IFERROR(AH816/S816,"")</f>
        <v/>
      </c>
      <c r="AK816" s="116" t="n">
        <v>23</v>
      </c>
      <c r="AL816" s="116" t="n">
        <v>1</v>
      </c>
      <c r="AM816" s="118">
        <f>IFERROR(AL816/AA816,"")</f>
        <v/>
      </c>
      <c r="AN816" s="119">
        <f>IFERROR(R816/AL816,"")</f>
        <v/>
      </c>
      <c r="AO816" s="116" t="n">
        <v>1</v>
      </c>
      <c r="AP816" s="47">
        <f>IFERROR(AO816/AL816,"")</f>
        <v/>
      </c>
      <c r="AQ816" s="119">
        <f>IFERROR(R816/AO816,"")</f>
        <v/>
      </c>
      <c r="AR816" s="116" t="n">
        <v>0</v>
      </c>
      <c r="AS816" s="116" t="n">
        <v>0</v>
      </c>
      <c r="AT816" s="116">
        <f>AL816+AR816</f>
        <v/>
      </c>
      <c r="AU816" s="119">
        <f>IFERROR(AO816*Assumptions!$C$26*Assumptions!$C$27*INDEX(Assumptions!$C$18:$C$21,MATCH(H816,Assumptions!$B$18:$B$21,0)),0)</f>
        <v/>
      </c>
    </row>
    <row r="817">
      <c r="A817" s="114" t="n">
        <v>46256</v>
      </c>
      <c r="B817" s="42" t="inlineStr">
        <is>
          <t>Wk 34</t>
        </is>
      </c>
      <c r="C817" s="42" t="inlineStr">
        <is>
          <t>Sat</t>
        </is>
      </c>
      <c r="D817" s="42" t="inlineStr">
        <is>
          <t>Meta (FB/IG)</t>
        </is>
      </c>
      <c r="E817" s="42" t="inlineStr">
        <is>
          <t>Facebook + Instagram</t>
        </is>
      </c>
      <c r="F817" s="42" t="inlineStr">
        <is>
          <t>LEP_ZA_AUG26_META_RMKT_ALL_CONV</t>
        </is>
      </c>
      <c r="G817" s="42" t="inlineStr">
        <is>
          <t>Leads - Website Conversions</t>
        </is>
      </c>
      <c r="H817" s="42" t="inlineStr">
        <is>
          <t>Range</t>
        </is>
      </c>
      <c r="I817" s="42" t="inlineStr">
        <is>
          <t>Range Offer</t>
        </is>
      </c>
      <c r="J817" s="42" t="inlineStr">
        <is>
          <t>MET_RMKT_SITE30D_ZA</t>
        </is>
      </c>
      <c r="K817" s="42" t="inlineStr">
        <is>
          <t>Retargeting</t>
        </is>
      </c>
      <c r="L817" s="42" t="inlineStr">
        <is>
          <t>RMKT_VID_10s_Recap_v1</t>
        </is>
      </c>
      <c r="M817" s="42" t="inlineStr">
        <is>
          <t>Video 9:16</t>
        </is>
      </c>
      <c r="N817" s="42" t="inlineStr">
        <is>
          <t>10 seconds. Then book.</t>
        </is>
      </c>
      <c r="O817" s="42" t="inlineStr">
        <is>
          <t>Auction - Lowest Cost</t>
        </is>
      </c>
      <c r="P817" s="42" t="inlineStr">
        <is>
          <t>Offsite Conversions</t>
        </is>
      </c>
      <c r="Q817" s="42" t="inlineStr">
        <is>
          <t>https://www.lepas-sa.co.za/book-a-test-drive</t>
        </is>
      </c>
      <c r="R817" s="115" t="n">
        <v>130.59</v>
      </c>
      <c r="S817" s="116" t="n">
        <v>1601</v>
      </c>
      <c r="T817" s="116" t="n">
        <v>822</v>
      </c>
      <c r="U817" s="117">
        <f>IFERROR(S817/T817,"")</f>
        <v/>
      </c>
      <c r="V817" s="116" t="n">
        <v>50</v>
      </c>
      <c r="W817" s="116" t="n">
        <v>40</v>
      </c>
      <c r="X817" s="118">
        <f>IFERROR(W817/S817,"")</f>
        <v/>
      </c>
      <c r="Y817" s="115">
        <f>IFERROR(R817/W817,"")</f>
        <v/>
      </c>
      <c r="Z817" s="115">
        <f>IFERROR(R817/S817*1000,"")</f>
        <v/>
      </c>
      <c r="AA817" s="116" t="n">
        <v>32</v>
      </c>
      <c r="AB817" s="47">
        <f>IFERROR(AA817/W817,"")</f>
        <v/>
      </c>
      <c r="AC817" s="116" t="n">
        <v>558</v>
      </c>
      <c r="AD817" s="116" t="n">
        <v>258</v>
      </c>
      <c r="AE817" s="116" t="n">
        <v>270</v>
      </c>
      <c r="AF817" s="116" t="n">
        <v>186</v>
      </c>
      <c r="AG817" s="116" t="n">
        <v>128</v>
      </c>
      <c r="AH817" s="116" t="n">
        <v>82</v>
      </c>
      <c r="AI817" s="47">
        <f>IFERROR(AC817/S817,"")</f>
        <v/>
      </c>
      <c r="AJ817" s="47">
        <f>IFERROR(AH817/S817,"")</f>
        <v/>
      </c>
      <c r="AK817" s="116" t="n">
        <v>16</v>
      </c>
      <c r="AL817" s="116" t="n">
        <v>1</v>
      </c>
      <c r="AM817" s="118">
        <f>IFERROR(AL817/AA817,"")</f>
        <v/>
      </c>
      <c r="AN817" s="119">
        <f>IFERROR(R817/AL817,"")</f>
        <v/>
      </c>
      <c r="AO817" s="116" t="n">
        <v>1</v>
      </c>
      <c r="AP817" s="47">
        <f>IFERROR(AO817/AL817,"")</f>
        <v/>
      </c>
      <c r="AQ817" s="119">
        <f>IFERROR(R817/AO817,"")</f>
        <v/>
      </c>
      <c r="AR817" s="116" t="n">
        <v>0</v>
      </c>
      <c r="AS817" s="116" t="n">
        <v>0</v>
      </c>
      <c r="AT817" s="116">
        <f>AL817+AR817</f>
        <v/>
      </c>
      <c r="AU817" s="119">
        <f>IFERROR(AO817*Assumptions!$C$26*Assumptions!$C$27*INDEX(Assumptions!$C$18:$C$21,MATCH(H817,Assumptions!$B$18:$B$21,0)),0)</f>
        <v/>
      </c>
    </row>
    <row r="818">
      <c r="A818" s="114" t="n">
        <v>46257</v>
      </c>
      <c r="B818" s="42" t="inlineStr">
        <is>
          <t>Wk 34</t>
        </is>
      </c>
      <c r="C818" s="42" t="inlineStr">
        <is>
          <t>Sun</t>
        </is>
      </c>
      <c r="D818" s="42" t="inlineStr">
        <is>
          <t>Meta (FB/IG)</t>
        </is>
      </c>
      <c r="E818" s="42" t="inlineStr">
        <is>
          <t>Facebook + Instagram</t>
        </is>
      </c>
      <c r="F818" s="42" t="inlineStr">
        <is>
          <t>LEP_ZA_AUG26_META_RMKT_ALL_CONV</t>
        </is>
      </c>
      <c r="G818" s="42" t="inlineStr">
        <is>
          <t>Leads - Website Conversions</t>
        </is>
      </c>
      <c r="H818" s="42" t="inlineStr">
        <is>
          <t>Range</t>
        </is>
      </c>
      <c r="I818" s="42" t="inlineStr">
        <is>
          <t>Range Offer</t>
        </is>
      </c>
      <c r="J818" s="42" t="inlineStr">
        <is>
          <t>MET_RMKT_SITE30D_ZA</t>
        </is>
      </c>
      <c r="K818" s="42" t="inlineStr">
        <is>
          <t>Retargeting</t>
        </is>
      </c>
      <c r="L818" s="42" t="inlineStr">
        <is>
          <t>RMKT_VID_10s_Recap_v1</t>
        </is>
      </c>
      <c r="M818" s="42" t="inlineStr">
        <is>
          <t>Video 9:16</t>
        </is>
      </c>
      <c r="N818" s="42" t="inlineStr">
        <is>
          <t>10 seconds. Then book.</t>
        </is>
      </c>
      <c r="O818" s="42" t="inlineStr">
        <is>
          <t>Auction - Lowest Cost</t>
        </is>
      </c>
      <c r="P818" s="42" t="inlineStr">
        <is>
          <t>Offsite Conversions</t>
        </is>
      </c>
      <c r="Q818" s="42" t="inlineStr">
        <is>
          <t>https://www.lepas-sa.co.za/book-a-test-drive</t>
        </is>
      </c>
      <c r="R818" s="115" t="n">
        <v>100.97</v>
      </c>
      <c r="S818" s="116" t="n">
        <v>1205</v>
      </c>
      <c r="T818" s="116" t="n">
        <v>669</v>
      </c>
      <c r="U818" s="117">
        <f>IFERROR(S818/T818,"")</f>
        <v/>
      </c>
      <c r="V818" s="116" t="n">
        <v>25</v>
      </c>
      <c r="W818" s="116" t="n">
        <v>21</v>
      </c>
      <c r="X818" s="118">
        <f>IFERROR(W818/S818,"")</f>
        <v/>
      </c>
      <c r="Y818" s="115">
        <f>IFERROR(R818/W818,"")</f>
        <v/>
      </c>
      <c r="Z818" s="115">
        <f>IFERROR(R818/S818*1000,"")</f>
        <v/>
      </c>
      <c r="AA818" s="116" t="n">
        <v>17</v>
      </c>
      <c r="AB818" s="47">
        <f>IFERROR(AA818/W818,"")</f>
        <v/>
      </c>
      <c r="AC818" s="116" t="n">
        <v>451</v>
      </c>
      <c r="AD818" s="116" t="n">
        <v>233</v>
      </c>
      <c r="AE818" s="116" t="n">
        <v>228</v>
      </c>
      <c r="AF818" s="116" t="n">
        <v>130</v>
      </c>
      <c r="AG818" s="116" t="n">
        <v>83</v>
      </c>
      <c r="AH818" s="116" t="n">
        <v>53</v>
      </c>
      <c r="AI818" s="47">
        <f>IFERROR(AC818/S818,"")</f>
        <v/>
      </c>
      <c r="AJ818" s="47">
        <f>IFERROR(AH818/S818,"")</f>
        <v/>
      </c>
      <c r="AK818" s="116" t="n">
        <v>27</v>
      </c>
      <c r="AL818" s="116" t="n">
        <v>1</v>
      </c>
      <c r="AM818" s="118">
        <f>IFERROR(AL818/AA818,"")</f>
        <v/>
      </c>
      <c r="AN818" s="119">
        <f>IFERROR(R818/AL818,"")</f>
        <v/>
      </c>
      <c r="AO818" s="116" t="n">
        <v>1</v>
      </c>
      <c r="AP818" s="47">
        <f>IFERROR(AO818/AL818,"")</f>
        <v/>
      </c>
      <c r="AQ818" s="119">
        <f>IFERROR(R818/AO818,"")</f>
        <v/>
      </c>
      <c r="AR818" s="116" t="n">
        <v>1</v>
      </c>
      <c r="AS818" s="116" t="n">
        <v>0</v>
      </c>
      <c r="AT818" s="116">
        <f>AL818+AR818</f>
        <v/>
      </c>
      <c r="AU818" s="119">
        <f>IFERROR(AO818*Assumptions!$C$26*Assumptions!$C$27*INDEX(Assumptions!$C$18:$C$21,MATCH(H818,Assumptions!$B$18:$B$21,0)),0)</f>
        <v/>
      </c>
    </row>
    <row r="819">
      <c r="A819" s="114" t="n">
        <v>46258</v>
      </c>
      <c r="B819" s="42" t="inlineStr">
        <is>
          <t>Wk 35</t>
        </is>
      </c>
      <c r="C819" s="42" t="inlineStr">
        <is>
          <t>Mon</t>
        </is>
      </c>
      <c r="D819" s="42" t="inlineStr">
        <is>
          <t>Meta (FB/IG)</t>
        </is>
      </c>
      <c r="E819" s="42" t="inlineStr">
        <is>
          <t>Facebook + Instagram</t>
        </is>
      </c>
      <c r="F819" s="42" t="inlineStr">
        <is>
          <t>LEP_ZA_AUG26_META_RMKT_ALL_CONV</t>
        </is>
      </c>
      <c r="G819" s="42" t="inlineStr">
        <is>
          <t>Leads - Website Conversions</t>
        </is>
      </c>
      <c r="H819" s="42" t="inlineStr">
        <is>
          <t>Range</t>
        </is>
      </c>
      <c r="I819" s="42" t="inlineStr">
        <is>
          <t>Range Offer</t>
        </is>
      </c>
      <c r="J819" s="42" t="inlineStr">
        <is>
          <t>MET_RMKT_SITE30D_ZA</t>
        </is>
      </c>
      <c r="K819" s="42" t="inlineStr">
        <is>
          <t>Retargeting</t>
        </is>
      </c>
      <c r="L819" s="42" t="inlineStr">
        <is>
          <t>RMKT_VID_10s_Recap_v1</t>
        </is>
      </c>
      <c r="M819" s="42" t="inlineStr">
        <is>
          <t>Video 9:16</t>
        </is>
      </c>
      <c r="N819" s="42" t="inlineStr">
        <is>
          <t>10 seconds. Then book.</t>
        </is>
      </c>
      <c r="O819" s="42" t="inlineStr">
        <is>
          <t>Auction - Lowest Cost</t>
        </is>
      </c>
      <c r="P819" s="42" t="inlineStr">
        <is>
          <t>Offsite Conversions</t>
        </is>
      </c>
      <c r="Q819" s="42" t="inlineStr">
        <is>
          <t>https://www.lepas-sa.co.za/book-a-test-drive</t>
        </is>
      </c>
      <c r="R819" s="115" t="n">
        <v>118.3</v>
      </c>
      <c r="S819" s="116" t="n">
        <v>1305</v>
      </c>
      <c r="T819" s="116" t="n">
        <v>742</v>
      </c>
      <c r="U819" s="117">
        <f>IFERROR(S819/T819,"")</f>
        <v/>
      </c>
      <c r="V819" s="116" t="n">
        <v>32</v>
      </c>
      <c r="W819" s="116" t="n">
        <v>24</v>
      </c>
      <c r="X819" s="118">
        <f>IFERROR(W819/S819,"")</f>
        <v/>
      </c>
      <c r="Y819" s="115">
        <f>IFERROR(R819/W819,"")</f>
        <v/>
      </c>
      <c r="Z819" s="115">
        <f>IFERROR(R819/S819*1000,"")</f>
        <v/>
      </c>
      <c r="AA819" s="116" t="n">
        <v>20</v>
      </c>
      <c r="AB819" s="47">
        <f>IFERROR(AA819/W819,"")</f>
        <v/>
      </c>
      <c r="AC819" s="116" t="n">
        <v>299</v>
      </c>
      <c r="AD819" s="116" t="n">
        <v>152</v>
      </c>
      <c r="AE819" s="116" t="n">
        <v>160</v>
      </c>
      <c r="AF819" s="116" t="n">
        <v>97</v>
      </c>
      <c r="AG819" s="116" t="n">
        <v>70</v>
      </c>
      <c r="AH819" s="116" t="n">
        <v>48</v>
      </c>
      <c r="AI819" s="47">
        <f>IFERROR(AC819/S819,"")</f>
        <v/>
      </c>
      <c r="AJ819" s="47">
        <f>IFERROR(AH819/S819,"")</f>
        <v/>
      </c>
      <c r="AK819" s="116" t="n">
        <v>38</v>
      </c>
      <c r="AL819" s="116" t="n">
        <v>1</v>
      </c>
      <c r="AM819" s="118">
        <f>IFERROR(AL819/AA819,"")</f>
        <v/>
      </c>
      <c r="AN819" s="119">
        <f>IFERROR(R819/AL819,"")</f>
        <v/>
      </c>
      <c r="AO819" s="116" t="n">
        <v>1</v>
      </c>
      <c r="AP819" s="47">
        <f>IFERROR(AO819/AL819,"")</f>
        <v/>
      </c>
      <c r="AQ819" s="119">
        <f>IFERROR(R819/AO819,"")</f>
        <v/>
      </c>
      <c r="AR819" s="116" t="n">
        <v>1</v>
      </c>
      <c r="AS819" s="116" t="n">
        <v>1</v>
      </c>
      <c r="AT819" s="116">
        <f>AL819+AR819</f>
        <v/>
      </c>
      <c r="AU819" s="119">
        <f>IFERROR(AO819*Assumptions!$C$26*Assumptions!$C$27*INDEX(Assumptions!$C$18:$C$21,MATCH(H819,Assumptions!$B$18:$B$21,0)),0)</f>
        <v/>
      </c>
    </row>
    <row r="820">
      <c r="A820" s="114" t="n">
        <v>46259</v>
      </c>
      <c r="B820" s="42" t="inlineStr">
        <is>
          <t>Wk 35</t>
        </is>
      </c>
      <c r="C820" s="42" t="inlineStr">
        <is>
          <t>Tue</t>
        </is>
      </c>
      <c r="D820" s="42" t="inlineStr">
        <is>
          <t>Meta (FB/IG)</t>
        </is>
      </c>
      <c r="E820" s="42" t="inlineStr">
        <is>
          <t>Facebook + Instagram</t>
        </is>
      </c>
      <c r="F820" s="42" t="inlineStr">
        <is>
          <t>LEP_ZA_AUG26_META_RMKT_ALL_CONV</t>
        </is>
      </c>
      <c r="G820" s="42" t="inlineStr">
        <is>
          <t>Leads - Website Conversions</t>
        </is>
      </c>
      <c r="H820" s="42" t="inlineStr">
        <is>
          <t>Range</t>
        </is>
      </c>
      <c r="I820" s="42" t="inlineStr">
        <is>
          <t>Range Offer</t>
        </is>
      </c>
      <c r="J820" s="42" t="inlineStr">
        <is>
          <t>MET_RMKT_SITE30D_ZA</t>
        </is>
      </c>
      <c r="K820" s="42" t="inlineStr">
        <is>
          <t>Retargeting</t>
        </is>
      </c>
      <c r="L820" s="42" t="inlineStr">
        <is>
          <t>RMKT_VID_10s_Recap_v1</t>
        </is>
      </c>
      <c r="M820" s="42" t="inlineStr">
        <is>
          <t>Video 9:16</t>
        </is>
      </c>
      <c r="N820" s="42" t="inlineStr">
        <is>
          <t>10 seconds. Then book.</t>
        </is>
      </c>
      <c r="O820" s="42" t="inlineStr">
        <is>
          <t>Auction - Lowest Cost</t>
        </is>
      </c>
      <c r="P820" s="42" t="inlineStr">
        <is>
          <t>Offsite Conversions</t>
        </is>
      </c>
      <c r="Q820" s="42" t="inlineStr">
        <is>
          <t>https://www.lepas-sa.co.za/book-a-test-drive</t>
        </is>
      </c>
      <c r="R820" s="115" t="n">
        <v>98.84</v>
      </c>
      <c r="S820" s="116" t="n">
        <v>1080</v>
      </c>
      <c r="T820" s="116" t="n">
        <v>645</v>
      </c>
      <c r="U820" s="117">
        <f>IFERROR(S820/T820,"")</f>
        <v/>
      </c>
      <c r="V820" s="116" t="n">
        <v>36</v>
      </c>
      <c r="W820" s="116" t="n">
        <v>28</v>
      </c>
      <c r="X820" s="118">
        <f>IFERROR(W820/S820,"")</f>
        <v/>
      </c>
      <c r="Y820" s="115">
        <f>IFERROR(R820/W820,"")</f>
        <v/>
      </c>
      <c r="Z820" s="115">
        <f>IFERROR(R820/S820*1000,"")</f>
        <v/>
      </c>
      <c r="AA820" s="116" t="n">
        <v>25</v>
      </c>
      <c r="AB820" s="47">
        <f>IFERROR(AA820/W820,"")</f>
        <v/>
      </c>
      <c r="AC820" s="116" t="n">
        <v>398</v>
      </c>
      <c r="AD820" s="116" t="n">
        <v>199</v>
      </c>
      <c r="AE820" s="116" t="n">
        <v>184</v>
      </c>
      <c r="AF820" s="116" t="n">
        <v>122</v>
      </c>
      <c r="AG820" s="116" t="n">
        <v>93</v>
      </c>
      <c r="AH820" s="116" t="n">
        <v>55</v>
      </c>
      <c r="AI820" s="47">
        <f>IFERROR(AC820/S820,"")</f>
        <v/>
      </c>
      <c r="AJ820" s="47">
        <f>IFERROR(AH820/S820,"")</f>
        <v/>
      </c>
      <c r="AK820" s="116" t="n">
        <v>29</v>
      </c>
      <c r="AL820" s="116" t="n">
        <v>1</v>
      </c>
      <c r="AM820" s="118">
        <f>IFERROR(AL820/AA820,"")</f>
        <v/>
      </c>
      <c r="AN820" s="119">
        <f>IFERROR(R820/AL820,"")</f>
        <v/>
      </c>
      <c r="AO820" s="116" t="n">
        <v>1</v>
      </c>
      <c r="AP820" s="47">
        <f>IFERROR(AO820/AL820,"")</f>
        <v/>
      </c>
      <c r="AQ820" s="119">
        <f>IFERROR(R820/AO820,"")</f>
        <v/>
      </c>
      <c r="AR820" s="116" t="n">
        <v>0</v>
      </c>
      <c r="AS820" s="116" t="n">
        <v>0</v>
      </c>
      <c r="AT820" s="116">
        <f>AL820+AR820</f>
        <v/>
      </c>
      <c r="AU820" s="119">
        <f>IFERROR(AO820*Assumptions!$C$26*Assumptions!$C$27*INDEX(Assumptions!$C$18:$C$21,MATCH(H820,Assumptions!$B$18:$B$21,0)),0)</f>
        <v/>
      </c>
    </row>
    <row r="821">
      <c r="A821" s="114" t="n">
        <v>46260</v>
      </c>
      <c r="B821" s="42" t="inlineStr">
        <is>
          <t>Wk 35</t>
        </is>
      </c>
      <c r="C821" s="42" t="inlineStr">
        <is>
          <t>Wed</t>
        </is>
      </c>
      <c r="D821" s="42" t="inlineStr">
        <is>
          <t>Meta (FB/IG)</t>
        </is>
      </c>
      <c r="E821" s="42" t="inlineStr">
        <is>
          <t>Facebook + Instagram</t>
        </is>
      </c>
      <c r="F821" s="42" t="inlineStr">
        <is>
          <t>LEP_ZA_AUG26_META_RMKT_ALL_CONV</t>
        </is>
      </c>
      <c r="G821" s="42" t="inlineStr">
        <is>
          <t>Leads - Website Conversions</t>
        </is>
      </c>
      <c r="H821" s="42" t="inlineStr">
        <is>
          <t>Range</t>
        </is>
      </c>
      <c r="I821" s="42" t="inlineStr">
        <is>
          <t>Range Offer</t>
        </is>
      </c>
      <c r="J821" s="42" t="inlineStr">
        <is>
          <t>MET_RMKT_SITE30D_ZA</t>
        </is>
      </c>
      <c r="K821" s="42" t="inlineStr">
        <is>
          <t>Retargeting</t>
        </is>
      </c>
      <c r="L821" s="42" t="inlineStr">
        <is>
          <t>RMKT_VID_10s_Recap_v1</t>
        </is>
      </c>
      <c r="M821" s="42" t="inlineStr">
        <is>
          <t>Video 9:16</t>
        </is>
      </c>
      <c r="N821" s="42" t="inlineStr">
        <is>
          <t>10 seconds. Then book.</t>
        </is>
      </c>
      <c r="O821" s="42" t="inlineStr">
        <is>
          <t>Auction - Lowest Cost</t>
        </is>
      </c>
      <c r="P821" s="42" t="inlineStr">
        <is>
          <t>Offsite Conversions</t>
        </is>
      </c>
      <c r="Q821" s="42" t="inlineStr">
        <is>
          <t>https://www.lepas-sa.co.za/book-a-test-drive</t>
        </is>
      </c>
      <c r="R821" s="115" t="n">
        <v>114.26</v>
      </c>
      <c r="S821" s="116" t="n">
        <v>1015</v>
      </c>
      <c r="T821" s="116" t="n">
        <v>549</v>
      </c>
      <c r="U821" s="117">
        <f>IFERROR(S821/T821,"")</f>
        <v/>
      </c>
      <c r="V821" s="116" t="n">
        <v>17</v>
      </c>
      <c r="W821" s="116" t="n">
        <v>13</v>
      </c>
      <c r="X821" s="118">
        <f>IFERROR(W821/S821,"")</f>
        <v/>
      </c>
      <c r="Y821" s="115">
        <f>IFERROR(R821/W821,"")</f>
        <v/>
      </c>
      <c r="Z821" s="115">
        <f>IFERROR(R821/S821*1000,"")</f>
        <v/>
      </c>
      <c r="AA821" s="116" t="n">
        <v>11</v>
      </c>
      <c r="AB821" s="47">
        <f>IFERROR(AA821/W821,"")</f>
        <v/>
      </c>
      <c r="AC821" s="116" t="n">
        <v>250</v>
      </c>
      <c r="AD821" s="116" t="n">
        <v>142</v>
      </c>
      <c r="AE821" s="116" t="n">
        <v>119</v>
      </c>
      <c r="AF821" s="116" t="n">
        <v>82</v>
      </c>
      <c r="AG821" s="116" t="n">
        <v>64</v>
      </c>
      <c r="AH821" s="116" t="n">
        <v>36</v>
      </c>
      <c r="AI821" s="47">
        <f>IFERROR(AC821/S821,"")</f>
        <v/>
      </c>
      <c r="AJ821" s="47">
        <f>IFERROR(AH821/S821,"")</f>
        <v/>
      </c>
      <c r="AK821" s="116" t="n">
        <v>15</v>
      </c>
      <c r="AL821" s="116" t="n">
        <v>0</v>
      </c>
      <c r="AM821" s="118">
        <f>IFERROR(AL821/AA821,"")</f>
        <v/>
      </c>
      <c r="AN821" s="119">
        <f>IFERROR(R821/AL821,"")</f>
        <v/>
      </c>
      <c r="AO821" s="116" t="n">
        <v>0</v>
      </c>
      <c r="AP821" s="47">
        <f>IFERROR(AO821/AL821,"")</f>
        <v/>
      </c>
      <c r="AQ821" s="119">
        <f>IFERROR(R821/AO821,"")</f>
        <v/>
      </c>
      <c r="AR821" s="116" t="n">
        <v>0</v>
      </c>
      <c r="AS821" s="116" t="n">
        <v>0</v>
      </c>
      <c r="AT821" s="116">
        <f>AL821+AR821</f>
        <v/>
      </c>
      <c r="AU821" s="119">
        <f>IFERROR(AO821*Assumptions!$C$26*Assumptions!$C$27*INDEX(Assumptions!$C$18:$C$21,MATCH(H821,Assumptions!$B$18:$B$21,0)),0)</f>
        <v/>
      </c>
    </row>
    <row r="822">
      <c r="A822" s="114" t="n">
        <v>46261</v>
      </c>
      <c r="B822" s="42" t="inlineStr">
        <is>
          <t>Wk 35</t>
        </is>
      </c>
      <c r="C822" s="42" t="inlineStr">
        <is>
          <t>Thu</t>
        </is>
      </c>
      <c r="D822" s="42" t="inlineStr">
        <is>
          <t>Meta (FB/IG)</t>
        </is>
      </c>
      <c r="E822" s="42" t="inlineStr">
        <is>
          <t>Facebook + Instagram</t>
        </is>
      </c>
      <c r="F822" s="42" t="inlineStr">
        <is>
          <t>LEP_ZA_AUG26_META_RMKT_ALL_CONV</t>
        </is>
      </c>
      <c r="G822" s="42" t="inlineStr">
        <is>
          <t>Leads - Website Conversions</t>
        </is>
      </c>
      <c r="H822" s="42" t="inlineStr">
        <is>
          <t>Range</t>
        </is>
      </c>
      <c r="I822" s="42" t="inlineStr">
        <is>
          <t>Range Offer</t>
        </is>
      </c>
      <c r="J822" s="42" t="inlineStr">
        <is>
          <t>MET_RMKT_SITE30D_ZA</t>
        </is>
      </c>
      <c r="K822" s="42" t="inlineStr">
        <is>
          <t>Retargeting</t>
        </is>
      </c>
      <c r="L822" s="42" t="inlineStr">
        <is>
          <t>RMKT_VID_10s_Recap_v1</t>
        </is>
      </c>
      <c r="M822" s="42" t="inlineStr">
        <is>
          <t>Video 9:16</t>
        </is>
      </c>
      <c r="N822" s="42" t="inlineStr">
        <is>
          <t>10 seconds. Then book.</t>
        </is>
      </c>
      <c r="O822" s="42" t="inlineStr">
        <is>
          <t>Auction - Lowest Cost</t>
        </is>
      </c>
      <c r="P822" s="42" t="inlineStr">
        <is>
          <t>Offsite Conversions</t>
        </is>
      </c>
      <c r="Q822" s="42" t="inlineStr">
        <is>
          <t>https://www.lepas-sa.co.za/book-a-test-drive</t>
        </is>
      </c>
      <c r="R822" s="115" t="n">
        <v>128.21</v>
      </c>
      <c r="S822" s="116" t="n">
        <v>1335</v>
      </c>
      <c r="T822" s="116" t="n">
        <v>859</v>
      </c>
      <c r="U822" s="117">
        <f>IFERROR(S822/T822,"")</f>
        <v/>
      </c>
      <c r="V822" s="116" t="n">
        <v>21</v>
      </c>
      <c r="W822" s="116" t="n">
        <v>15</v>
      </c>
      <c r="X822" s="118">
        <f>IFERROR(W822/S822,"")</f>
        <v/>
      </c>
      <c r="Y822" s="115">
        <f>IFERROR(R822/W822,"")</f>
        <v/>
      </c>
      <c r="Z822" s="115">
        <f>IFERROR(R822/S822*1000,"")</f>
        <v/>
      </c>
      <c r="AA822" s="116" t="n">
        <v>13</v>
      </c>
      <c r="AB822" s="47">
        <f>IFERROR(AA822/W822,"")</f>
        <v/>
      </c>
      <c r="AC822" s="116" t="n">
        <v>524</v>
      </c>
      <c r="AD822" s="116" t="n">
        <v>302</v>
      </c>
      <c r="AE822" s="116" t="n">
        <v>248</v>
      </c>
      <c r="AF822" s="116" t="n">
        <v>171</v>
      </c>
      <c r="AG822" s="116" t="n">
        <v>120</v>
      </c>
      <c r="AH822" s="116" t="n">
        <v>73</v>
      </c>
      <c r="AI822" s="47">
        <f>IFERROR(AC822/S822,"")</f>
        <v/>
      </c>
      <c r="AJ822" s="47">
        <f>IFERROR(AH822/S822,"")</f>
        <v/>
      </c>
      <c r="AK822" s="116" t="n">
        <v>20</v>
      </c>
      <c r="AL822" s="116" t="n">
        <v>0</v>
      </c>
      <c r="AM822" s="118">
        <f>IFERROR(AL822/AA822,"")</f>
        <v/>
      </c>
      <c r="AN822" s="119">
        <f>IFERROR(R822/AL822,"")</f>
        <v/>
      </c>
      <c r="AO822" s="116" t="n">
        <v>0</v>
      </c>
      <c r="AP822" s="47">
        <f>IFERROR(AO822/AL822,"")</f>
        <v/>
      </c>
      <c r="AQ822" s="119">
        <f>IFERROR(R822/AO822,"")</f>
        <v/>
      </c>
      <c r="AR822" s="116" t="n">
        <v>0</v>
      </c>
      <c r="AS822" s="116" t="n">
        <v>0</v>
      </c>
      <c r="AT822" s="116">
        <f>AL822+AR822</f>
        <v/>
      </c>
      <c r="AU822" s="119">
        <f>IFERROR(AO822*Assumptions!$C$26*Assumptions!$C$27*INDEX(Assumptions!$C$18:$C$21,MATCH(H822,Assumptions!$B$18:$B$21,0)),0)</f>
        <v/>
      </c>
    </row>
    <row r="823">
      <c r="A823" s="114" t="n">
        <v>46262</v>
      </c>
      <c r="B823" s="42" t="inlineStr">
        <is>
          <t>Wk 35</t>
        </is>
      </c>
      <c r="C823" s="42" t="inlineStr">
        <is>
          <t>Fri</t>
        </is>
      </c>
      <c r="D823" s="42" t="inlineStr">
        <is>
          <t>Meta (FB/IG)</t>
        </is>
      </c>
      <c r="E823" s="42" t="inlineStr">
        <is>
          <t>Facebook + Instagram</t>
        </is>
      </c>
      <c r="F823" s="42" t="inlineStr">
        <is>
          <t>LEP_ZA_AUG26_META_RMKT_ALL_CONV</t>
        </is>
      </c>
      <c r="G823" s="42" t="inlineStr">
        <is>
          <t>Leads - Website Conversions</t>
        </is>
      </c>
      <c r="H823" s="42" t="inlineStr">
        <is>
          <t>Range</t>
        </is>
      </c>
      <c r="I823" s="42" t="inlineStr">
        <is>
          <t>Range Offer</t>
        </is>
      </c>
      <c r="J823" s="42" t="inlineStr">
        <is>
          <t>MET_RMKT_SITE30D_ZA</t>
        </is>
      </c>
      <c r="K823" s="42" t="inlineStr">
        <is>
          <t>Retargeting</t>
        </is>
      </c>
      <c r="L823" s="42" t="inlineStr">
        <is>
          <t>RMKT_VID_10s_Recap_v1</t>
        </is>
      </c>
      <c r="M823" s="42" t="inlineStr">
        <is>
          <t>Video 9:16</t>
        </is>
      </c>
      <c r="N823" s="42" t="inlineStr">
        <is>
          <t>10 seconds. Then book.</t>
        </is>
      </c>
      <c r="O823" s="42" t="inlineStr">
        <is>
          <t>Auction - Lowest Cost</t>
        </is>
      </c>
      <c r="P823" s="42" t="inlineStr">
        <is>
          <t>Offsite Conversions</t>
        </is>
      </c>
      <c r="Q823" s="42" t="inlineStr">
        <is>
          <t>https://www.lepas-sa.co.za/book-a-test-drive</t>
        </is>
      </c>
      <c r="R823" s="115" t="n">
        <v>169.09</v>
      </c>
      <c r="S823" s="116" t="n">
        <v>1495</v>
      </c>
      <c r="T823" s="116" t="n">
        <v>799</v>
      </c>
      <c r="U823" s="117">
        <f>IFERROR(S823/T823,"")</f>
        <v/>
      </c>
      <c r="V823" s="116" t="n">
        <v>29</v>
      </c>
      <c r="W823" s="116" t="n">
        <v>24</v>
      </c>
      <c r="X823" s="118">
        <f>IFERROR(W823/S823,"")</f>
        <v/>
      </c>
      <c r="Y823" s="115">
        <f>IFERROR(R823/W823,"")</f>
        <v/>
      </c>
      <c r="Z823" s="115">
        <f>IFERROR(R823/S823*1000,"")</f>
        <v/>
      </c>
      <c r="AA823" s="116" t="n">
        <v>21</v>
      </c>
      <c r="AB823" s="47">
        <f>IFERROR(AA823/W823,"")</f>
        <v/>
      </c>
      <c r="AC823" s="116" t="n">
        <v>553</v>
      </c>
      <c r="AD823" s="116" t="n">
        <v>282</v>
      </c>
      <c r="AE823" s="116" t="n">
        <v>302</v>
      </c>
      <c r="AF823" s="116" t="n">
        <v>192</v>
      </c>
      <c r="AG823" s="116" t="n">
        <v>121</v>
      </c>
      <c r="AH823" s="116" t="n">
        <v>82</v>
      </c>
      <c r="AI823" s="47">
        <f>IFERROR(AC823/S823,"")</f>
        <v/>
      </c>
      <c r="AJ823" s="47">
        <f>IFERROR(AH823/S823,"")</f>
        <v/>
      </c>
      <c r="AK823" s="116" t="n">
        <v>21</v>
      </c>
      <c r="AL823" s="116" t="n">
        <v>0</v>
      </c>
      <c r="AM823" s="118">
        <f>IFERROR(AL823/AA823,"")</f>
        <v/>
      </c>
      <c r="AN823" s="119">
        <f>IFERROR(R823/AL823,"")</f>
        <v/>
      </c>
      <c r="AO823" s="116" t="n">
        <v>0</v>
      </c>
      <c r="AP823" s="47">
        <f>IFERROR(AO823/AL823,"")</f>
        <v/>
      </c>
      <c r="AQ823" s="119">
        <f>IFERROR(R823/AO823,"")</f>
        <v/>
      </c>
      <c r="AR823" s="116" t="n">
        <v>0</v>
      </c>
      <c r="AS823" s="116" t="n">
        <v>0</v>
      </c>
      <c r="AT823" s="116">
        <f>AL823+AR823</f>
        <v/>
      </c>
      <c r="AU823" s="119">
        <f>IFERROR(AO823*Assumptions!$C$26*Assumptions!$C$27*INDEX(Assumptions!$C$18:$C$21,MATCH(H823,Assumptions!$B$18:$B$21,0)),0)</f>
        <v/>
      </c>
    </row>
    <row r="824">
      <c r="A824" s="114" t="n">
        <v>46263</v>
      </c>
      <c r="B824" s="42" t="inlineStr">
        <is>
          <t>Wk 35</t>
        </is>
      </c>
      <c r="C824" s="42" t="inlineStr">
        <is>
          <t>Sat</t>
        </is>
      </c>
      <c r="D824" s="42" t="inlineStr">
        <is>
          <t>Meta (FB/IG)</t>
        </is>
      </c>
      <c r="E824" s="42" t="inlineStr">
        <is>
          <t>Facebook + Instagram</t>
        </is>
      </c>
      <c r="F824" s="42" t="inlineStr">
        <is>
          <t>LEP_ZA_AUG26_META_RMKT_ALL_CONV</t>
        </is>
      </c>
      <c r="G824" s="42" t="inlineStr">
        <is>
          <t>Leads - Website Conversions</t>
        </is>
      </c>
      <c r="H824" s="42" t="inlineStr">
        <is>
          <t>Range</t>
        </is>
      </c>
      <c r="I824" s="42" t="inlineStr">
        <is>
          <t>Range Offer</t>
        </is>
      </c>
      <c r="J824" s="42" t="inlineStr">
        <is>
          <t>MET_RMKT_SITE30D_ZA</t>
        </is>
      </c>
      <c r="K824" s="42" t="inlineStr">
        <is>
          <t>Retargeting</t>
        </is>
      </c>
      <c r="L824" s="42" t="inlineStr">
        <is>
          <t>RMKT_VID_10s_Recap_v1</t>
        </is>
      </c>
      <c r="M824" s="42" t="inlineStr">
        <is>
          <t>Video 9:16</t>
        </is>
      </c>
      <c r="N824" s="42" t="inlineStr">
        <is>
          <t>10 seconds. Then book.</t>
        </is>
      </c>
      <c r="O824" s="42" t="inlineStr">
        <is>
          <t>Auction - Lowest Cost</t>
        </is>
      </c>
      <c r="P824" s="42" t="inlineStr">
        <is>
          <t>Offsite Conversions</t>
        </is>
      </c>
      <c r="Q824" s="42" t="inlineStr">
        <is>
          <t>https://www.lepas-sa.co.za/book-a-test-drive</t>
        </is>
      </c>
      <c r="R824" s="115" t="n">
        <v>169.67</v>
      </c>
      <c r="S824" s="116" t="n">
        <v>2213</v>
      </c>
      <c r="T824" s="116" t="n">
        <v>1311</v>
      </c>
      <c r="U824" s="117">
        <f>IFERROR(S824/T824,"")</f>
        <v/>
      </c>
      <c r="V824" s="116" t="n">
        <v>81</v>
      </c>
      <c r="W824" s="116" t="n">
        <v>58</v>
      </c>
      <c r="X824" s="118">
        <f>IFERROR(W824/S824,"")</f>
        <v/>
      </c>
      <c r="Y824" s="115">
        <f>IFERROR(R824/W824,"")</f>
        <v/>
      </c>
      <c r="Z824" s="115">
        <f>IFERROR(R824/S824*1000,"")</f>
        <v/>
      </c>
      <c r="AA824" s="116" t="n">
        <v>47</v>
      </c>
      <c r="AB824" s="47">
        <f>IFERROR(AA824/W824,"")</f>
        <v/>
      </c>
      <c r="AC824" s="116" t="n">
        <v>789</v>
      </c>
      <c r="AD824" s="116" t="n">
        <v>384</v>
      </c>
      <c r="AE824" s="116" t="n">
        <v>384</v>
      </c>
      <c r="AF824" s="116" t="n">
        <v>239</v>
      </c>
      <c r="AG824" s="116" t="n">
        <v>162</v>
      </c>
      <c r="AH824" s="116" t="n">
        <v>104</v>
      </c>
      <c r="AI824" s="47">
        <f>IFERROR(AC824/S824,"")</f>
        <v/>
      </c>
      <c r="AJ824" s="47">
        <f>IFERROR(AH824/S824,"")</f>
        <v/>
      </c>
      <c r="AK824" s="116" t="n">
        <v>68</v>
      </c>
      <c r="AL824" s="116" t="n">
        <v>1</v>
      </c>
      <c r="AM824" s="118">
        <f>IFERROR(AL824/AA824,"")</f>
        <v/>
      </c>
      <c r="AN824" s="119">
        <f>IFERROR(R824/AL824,"")</f>
        <v/>
      </c>
      <c r="AO824" s="116" t="n">
        <v>1</v>
      </c>
      <c r="AP824" s="47">
        <f>IFERROR(AO824/AL824,"")</f>
        <v/>
      </c>
      <c r="AQ824" s="119">
        <f>IFERROR(R824/AO824,"")</f>
        <v/>
      </c>
      <c r="AR824" s="116" t="n">
        <v>0</v>
      </c>
      <c r="AS824" s="116" t="n">
        <v>0</v>
      </c>
      <c r="AT824" s="116">
        <f>AL824+AR824</f>
        <v/>
      </c>
      <c r="AU824" s="119">
        <f>IFERROR(AO824*Assumptions!$C$26*Assumptions!$C$27*INDEX(Assumptions!$C$18:$C$21,MATCH(H824,Assumptions!$B$18:$B$21,0)),0)</f>
        <v/>
      </c>
    </row>
    <row r="825">
      <c r="A825" s="114" t="n">
        <v>46264</v>
      </c>
      <c r="B825" s="42" t="inlineStr">
        <is>
          <t>Wk 35</t>
        </is>
      </c>
      <c r="C825" s="42" t="inlineStr">
        <is>
          <t>Sun</t>
        </is>
      </c>
      <c r="D825" s="42" t="inlineStr">
        <is>
          <t>Meta (FB/IG)</t>
        </is>
      </c>
      <c r="E825" s="42" t="inlineStr">
        <is>
          <t>Facebook + Instagram</t>
        </is>
      </c>
      <c r="F825" s="42" t="inlineStr">
        <is>
          <t>LEP_ZA_AUG26_META_RMKT_ALL_CONV</t>
        </is>
      </c>
      <c r="G825" s="42" t="inlineStr">
        <is>
          <t>Leads - Website Conversions</t>
        </is>
      </c>
      <c r="H825" s="42" t="inlineStr">
        <is>
          <t>Range</t>
        </is>
      </c>
      <c r="I825" s="42" t="inlineStr">
        <is>
          <t>Range Offer</t>
        </is>
      </c>
      <c r="J825" s="42" t="inlineStr">
        <is>
          <t>MET_RMKT_SITE30D_ZA</t>
        </is>
      </c>
      <c r="K825" s="42" t="inlineStr">
        <is>
          <t>Retargeting</t>
        </is>
      </c>
      <c r="L825" s="42" t="inlineStr">
        <is>
          <t>RMKT_VID_10s_Recap_v1</t>
        </is>
      </c>
      <c r="M825" s="42" t="inlineStr">
        <is>
          <t>Video 9:16</t>
        </is>
      </c>
      <c r="N825" s="42" t="inlineStr">
        <is>
          <t>10 seconds. Then book.</t>
        </is>
      </c>
      <c r="O825" s="42" t="inlineStr">
        <is>
          <t>Auction - Lowest Cost</t>
        </is>
      </c>
      <c r="P825" s="42" t="inlineStr">
        <is>
          <t>Offsite Conversions</t>
        </is>
      </c>
      <c r="Q825" s="42" t="inlineStr">
        <is>
          <t>https://www.lepas-sa.co.za/book-a-test-drive</t>
        </is>
      </c>
      <c r="R825" s="115" t="n">
        <v>109.47</v>
      </c>
      <c r="S825" s="116" t="n">
        <v>1433</v>
      </c>
      <c r="T825" s="116" t="n">
        <v>839</v>
      </c>
      <c r="U825" s="117">
        <f>IFERROR(S825/T825,"")</f>
        <v/>
      </c>
      <c r="V825" s="116" t="n">
        <v>47</v>
      </c>
      <c r="W825" s="116" t="n">
        <v>36</v>
      </c>
      <c r="X825" s="118">
        <f>IFERROR(W825/S825,"")</f>
        <v/>
      </c>
      <c r="Y825" s="115">
        <f>IFERROR(R825/W825,"")</f>
        <v/>
      </c>
      <c r="Z825" s="115">
        <f>IFERROR(R825/S825*1000,"")</f>
        <v/>
      </c>
      <c r="AA825" s="116" t="n">
        <v>31</v>
      </c>
      <c r="AB825" s="47">
        <f>IFERROR(AA825/W825,"")</f>
        <v/>
      </c>
      <c r="AC825" s="116" t="n">
        <v>540</v>
      </c>
      <c r="AD825" s="116" t="n">
        <v>320</v>
      </c>
      <c r="AE825" s="116" t="n">
        <v>281</v>
      </c>
      <c r="AF825" s="116" t="n">
        <v>162</v>
      </c>
      <c r="AG825" s="116" t="n">
        <v>126</v>
      </c>
      <c r="AH825" s="116" t="n">
        <v>76</v>
      </c>
      <c r="AI825" s="47">
        <f>IFERROR(AC825/S825,"")</f>
        <v/>
      </c>
      <c r="AJ825" s="47">
        <f>IFERROR(AH825/S825,"")</f>
        <v/>
      </c>
      <c r="AK825" s="116" t="n">
        <v>45</v>
      </c>
      <c r="AL825" s="116" t="n">
        <v>1</v>
      </c>
      <c r="AM825" s="118">
        <f>IFERROR(AL825/AA825,"")</f>
        <v/>
      </c>
      <c r="AN825" s="119">
        <f>IFERROR(R825/AL825,"")</f>
        <v/>
      </c>
      <c r="AO825" s="116" t="n">
        <v>0</v>
      </c>
      <c r="AP825" s="47">
        <f>IFERROR(AO825/AL825,"")</f>
        <v/>
      </c>
      <c r="AQ825" s="119">
        <f>IFERROR(R825/AO825,"")</f>
        <v/>
      </c>
      <c r="AR825" s="116" t="n">
        <v>0</v>
      </c>
      <c r="AS825" s="116" t="n">
        <v>1</v>
      </c>
      <c r="AT825" s="116">
        <f>AL825+AR825</f>
        <v/>
      </c>
      <c r="AU825" s="119">
        <f>IFERROR(AO825*Assumptions!$C$26*Assumptions!$C$27*INDEX(Assumptions!$C$18:$C$21,MATCH(H825,Assumptions!$B$18:$B$21,0)),0)</f>
        <v/>
      </c>
    </row>
    <row r="826">
      <c r="A826" s="114" t="n">
        <v>46265</v>
      </c>
      <c r="B826" s="42" t="inlineStr">
        <is>
          <t>Wk 36</t>
        </is>
      </c>
      <c r="C826" s="42" t="inlineStr">
        <is>
          <t>Mon</t>
        </is>
      </c>
      <c r="D826" s="42" t="inlineStr">
        <is>
          <t>Meta (FB/IG)</t>
        </is>
      </c>
      <c r="E826" s="42" t="inlineStr">
        <is>
          <t>Facebook + Instagram</t>
        </is>
      </c>
      <c r="F826" s="42" t="inlineStr">
        <is>
          <t>LEP_ZA_AUG26_META_RMKT_ALL_CONV</t>
        </is>
      </c>
      <c r="G826" s="42" t="inlineStr">
        <is>
          <t>Leads - Website Conversions</t>
        </is>
      </c>
      <c r="H826" s="42" t="inlineStr">
        <is>
          <t>Range</t>
        </is>
      </c>
      <c r="I826" s="42" t="inlineStr">
        <is>
          <t>Range Offer</t>
        </is>
      </c>
      <c r="J826" s="42" t="inlineStr">
        <is>
          <t>MET_RMKT_SITE30D_ZA</t>
        </is>
      </c>
      <c r="K826" s="42" t="inlineStr">
        <is>
          <t>Retargeting</t>
        </is>
      </c>
      <c r="L826" s="42" t="inlineStr">
        <is>
          <t>RMKT_VID_10s_Recap_v1</t>
        </is>
      </c>
      <c r="M826" s="42" t="inlineStr">
        <is>
          <t>Video 9:16</t>
        </is>
      </c>
      <c r="N826" s="42" t="inlineStr">
        <is>
          <t>10 seconds. Then book.</t>
        </is>
      </c>
      <c r="O826" s="42" t="inlineStr">
        <is>
          <t>Auction - Lowest Cost</t>
        </is>
      </c>
      <c r="P826" s="42" t="inlineStr">
        <is>
          <t>Offsite Conversions</t>
        </is>
      </c>
      <c r="Q826" s="42" t="inlineStr">
        <is>
          <t>https://www.lepas-sa.co.za/book-a-test-drive</t>
        </is>
      </c>
      <c r="R826" s="115" t="n">
        <v>129.17</v>
      </c>
      <c r="S826" s="116" t="n">
        <v>1385</v>
      </c>
      <c r="T826" s="116" t="n">
        <v>843</v>
      </c>
      <c r="U826" s="117">
        <f>IFERROR(S826/T826,"")</f>
        <v/>
      </c>
      <c r="V826" s="116" t="n">
        <v>27</v>
      </c>
      <c r="W826" s="116" t="n">
        <v>19</v>
      </c>
      <c r="X826" s="118">
        <f>IFERROR(W826/S826,"")</f>
        <v/>
      </c>
      <c r="Y826" s="115">
        <f>IFERROR(R826/W826,"")</f>
        <v/>
      </c>
      <c r="Z826" s="115">
        <f>IFERROR(R826/S826*1000,"")</f>
        <v/>
      </c>
      <c r="AA826" s="116" t="n">
        <v>16</v>
      </c>
      <c r="AB826" s="47">
        <f>IFERROR(AA826/W826,"")</f>
        <v/>
      </c>
      <c r="AC826" s="116" t="n">
        <v>427</v>
      </c>
      <c r="AD826" s="116" t="n">
        <v>202</v>
      </c>
      <c r="AE826" s="116" t="n">
        <v>234</v>
      </c>
      <c r="AF826" s="116" t="n">
        <v>147</v>
      </c>
      <c r="AG826" s="116" t="n">
        <v>109</v>
      </c>
      <c r="AH826" s="116" t="n">
        <v>64</v>
      </c>
      <c r="AI826" s="47">
        <f>IFERROR(AC826/S826,"")</f>
        <v/>
      </c>
      <c r="AJ826" s="47">
        <f>IFERROR(AH826/S826,"")</f>
        <v/>
      </c>
      <c r="AK826" s="116" t="n">
        <v>26</v>
      </c>
      <c r="AL826" s="116" t="n">
        <v>0</v>
      </c>
      <c r="AM826" s="118">
        <f>IFERROR(AL826/AA826,"")</f>
        <v/>
      </c>
      <c r="AN826" s="119">
        <f>IFERROR(R826/AL826,"")</f>
        <v/>
      </c>
      <c r="AO826" s="116" t="n">
        <v>0</v>
      </c>
      <c r="AP826" s="47">
        <f>IFERROR(AO826/AL826,"")</f>
        <v/>
      </c>
      <c r="AQ826" s="119">
        <f>IFERROR(R826/AO826,"")</f>
        <v/>
      </c>
      <c r="AR826" s="116" t="n">
        <v>0</v>
      </c>
      <c r="AS826" s="116" t="n">
        <v>0</v>
      </c>
      <c r="AT826" s="116">
        <f>AL826+AR826</f>
        <v/>
      </c>
      <c r="AU826" s="119">
        <f>IFERROR(AO826*Assumptions!$C$26*Assumptions!$C$27*INDEX(Assumptions!$C$18:$C$21,MATCH(H826,Assumptions!$B$18:$B$21,0)),0)</f>
        <v/>
      </c>
    </row>
    <row r="827">
      <c r="A827" s="114" t="n">
        <v>46235</v>
      </c>
      <c r="B827" s="42" t="inlineStr">
        <is>
          <t>Wk 31</t>
        </is>
      </c>
      <c r="C827" s="42" t="inlineStr">
        <is>
          <t>Sat</t>
        </is>
      </c>
      <c r="D827" s="42" t="inlineStr">
        <is>
          <t>Meta (FB/IG)</t>
        </is>
      </c>
      <c r="E827" s="42" t="inlineStr">
        <is>
          <t>Facebook + Instagram</t>
        </is>
      </c>
      <c r="F827" s="42" t="inlineStr">
        <is>
          <t>LEP_ZA_AUG26_META_RMKT_ALL_CONV</t>
        </is>
      </c>
      <c r="G827" s="42" t="inlineStr">
        <is>
          <t>Leads - Website Conversions</t>
        </is>
      </c>
      <c r="H827" s="42" t="inlineStr">
        <is>
          <t>Range</t>
        </is>
      </c>
      <c r="I827" s="42" t="inlineStr">
        <is>
          <t>Range Offer</t>
        </is>
      </c>
      <c r="J827" s="42" t="inlineStr">
        <is>
          <t>MET_RMKT_VIDVIEW75_ZA</t>
        </is>
      </c>
      <c r="K827" s="42" t="inlineStr">
        <is>
          <t>Retargeting</t>
        </is>
      </c>
      <c r="L827" s="42" t="inlineStr">
        <is>
          <t>RMKT_VID_10s_Recap_v1</t>
        </is>
      </c>
      <c r="M827" s="42" t="inlineStr">
        <is>
          <t>Video 9:16</t>
        </is>
      </c>
      <c r="N827" s="42" t="inlineStr">
        <is>
          <t>10 seconds. Then book.</t>
        </is>
      </c>
      <c r="O827" s="42" t="inlineStr">
        <is>
          <t>Auction - Lowest Cost</t>
        </is>
      </c>
      <c r="P827" s="42" t="inlineStr">
        <is>
          <t>Offsite Conversions</t>
        </is>
      </c>
      <c r="Q827" s="42" t="inlineStr">
        <is>
          <t>https://www.lepas-sa.co.za/book-a-test-drive</t>
        </is>
      </c>
      <c r="R827" s="115" t="n">
        <v>134.71</v>
      </c>
      <c r="S827" s="116" t="n">
        <v>1648</v>
      </c>
      <c r="T827" s="116" t="n">
        <v>1130</v>
      </c>
      <c r="U827" s="117">
        <f>IFERROR(S827/T827,"")</f>
        <v/>
      </c>
      <c r="V827" s="116" t="n">
        <v>64</v>
      </c>
      <c r="W827" s="116" t="n">
        <v>46</v>
      </c>
      <c r="X827" s="118">
        <f>IFERROR(W827/S827,"")</f>
        <v/>
      </c>
      <c r="Y827" s="115">
        <f>IFERROR(R827/W827,"")</f>
        <v/>
      </c>
      <c r="Z827" s="115">
        <f>IFERROR(R827/S827*1000,"")</f>
        <v/>
      </c>
      <c r="AA827" s="116" t="n">
        <v>40</v>
      </c>
      <c r="AB827" s="47">
        <f>IFERROR(AA827/W827,"")</f>
        <v/>
      </c>
      <c r="AC827" s="116" t="n">
        <v>598</v>
      </c>
      <c r="AD827" s="116" t="n">
        <v>323</v>
      </c>
      <c r="AE827" s="116" t="n">
        <v>241</v>
      </c>
      <c r="AF827" s="116" t="n">
        <v>158</v>
      </c>
      <c r="AG827" s="116" t="n">
        <v>115</v>
      </c>
      <c r="AH827" s="116" t="n">
        <v>68</v>
      </c>
      <c r="AI827" s="47">
        <f>IFERROR(AC827/S827,"")</f>
        <v/>
      </c>
      <c r="AJ827" s="47">
        <f>IFERROR(AH827/S827,"")</f>
        <v/>
      </c>
      <c r="AK827" s="116" t="n">
        <v>30</v>
      </c>
      <c r="AL827" s="116" t="n">
        <v>1</v>
      </c>
      <c r="AM827" s="118">
        <f>IFERROR(AL827/AA827,"")</f>
        <v/>
      </c>
      <c r="AN827" s="119">
        <f>IFERROR(R827/AL827,"")</f>
        <v/>
      </c>
      <c r="AO827" s="116" t="n">
        <v>1</v>
      </c>
      <c r="AP827" s="47">
        <f>IFERROR(AO827/AL827,"")</f>
        <v/>
      </c>
      <c r="AQ827" s="119">
        <f>IFERROR(R827/AO827,"")</f>
        <v/>
      </c>
      <c r="AR827" s="116" t="n">
        <v>0</v>
      </c>
      <c r="AS827" s="116" t="n">
        <v>1</v>
      </c>
      <c r="AT827" s="116">
        <f>AL827+AR827</f>
        <v/>
      </c>
      <c r="AU827" s="119">
        <f>IFERROR(AO827*Assumptions!$C$26*Assumptions!$C$27*INDEX(Assumptions!$C$18:$C$21,MATCH(H827,Assumptions!$B$18:$B$21,0)),0)</f>
        <v/>
      </c>
    </row>
    <row r="828">
      <c r="A828" s="114" t="n">
        <v>46236</v>
      </c>
      <c r="B828" s="42" t="inlineStr">
        <is>
          <t>Wk 31</t>
        </is>
      </c>
      <c r="C828" s="42" t="inlineStr">
        <is>
          <t>Sun</t>
        </is>
      </c>
      <c r="D828" s="42" t="inlineStr">
        <is>
          <t>Meta (FB/IG)</t>
        </is>
      </c>
      <c r="E828" s="42" t="inlineStr">
        <is>
          <t>Facebook + Instagram</t>
        </is>
      </c>
      <c r="F828" s="42" t="inlineStr">
        <is>
          <t>LEP_ZA_AUG26_META_RMKT_ALL_CONV</t>
        </is>
      </c>
      <c r="G828" s="42" t="inlineStr">
        <is>
          <t>Leads - Website Conversions</t>
        </is>
      </c>
      <c r="H828" s="42" t="inlineStr">
        <is>
          <t>Range</t>
        </is>
      </c>
      <c r="I828" s="42" t="inlineStr">
        <is>
          <t>Range Offer</t>
        </is>
      </c>
      <c r="J828" s="42" t="inlineStr">
        <is>
          <t>MET_RMKT_VIDVIEW75_ZA</t>
        </is>
      </c>
      <c r="K828" s="42" t="inlineStr">
        <is>
          <t>Retargeting</t>
        </is>
      </c>
      <c r="L828" s="42" t="inlineStr">
        <is>
          <t>RMKT_VID_10s_Recap_v1</t>
        </is>
      </c>
      <c r="M828" s="42" t="inlineStr">
        <is>
          <t>Video 9:16</t>
        </is>
      </c>
      <c r="N828" s="42" t="inlineStr">
        <is>
          <t>10 seconds. Then book.</t>
        </is>
      </c>
      <c r="O828" s="42" t="inlineStr">
        <is>
          <t>Auction - Lowest Cost</t>
        </is>
      </c>
      <c r="P828" s="42" t="inlineStr">
        <is>
          <t>Offsite Conversions</t>
        </is>
      </c>
      <c r="Q828" s="42" t="inlineStr">
        <is>
          <t>https://www.lepas-sa.co.za/book-a-test-drive</t>
        </is>
      </c>
      <c r="R828" s="115" t="n">
        <v>94.73999999999999</v>
      </c>
      <c r="S828" s="116" t="n">
        <v>828</v>
      </c>
      <c r="T828" s="116" t="n">
        <v>592</v>
      </c>
      <c r="U828" s="117">
        <f>IFERROR(S828/T828,"")</f>
        <v/>
      </c>
      <c r="V828" s="116" t="n">
        <v>43</v>
      </c>
      <c r="W828" s="116" t="n">
        <v>31</v>
      </c>
      <c r="X828" s="118">
        <f>IFERROR(W828/S828,"")</f>
        <v/>
      </c>
      <c r="Y828" s="115">
        <f>IFERROR(R828/W828,"")</f>
        <v/>
      </c>
      <c r="Z828" s="115">
        <f>IFERROR(R828/S828*1000,"")</f>
        <v/>
      </c>
      <c r="AA828" s="116" t="n">
        <v>26</v>
      </c>
      <c r="AB828" s="47">
        <f>IFERROR(AA828/W828,"")</f>
        <v/>
      </c>
      <c r="AC828" s="116" t="n">
        <v>264</v>
      </c>
      <c r="AD828" s="116" t="n">
        <v>161</v>
      </c>
      <c r="AE828" s="116" t="n">
        <v>123</v>
      </c>
      <c r="AF828" s="116" t="n">
        <v>74</v>
      </c>
      <c r="AG828" s="116" t="n">
        <v>51</v>
      </c>
      <c r="AH828" s="116" t="n">
        <v>33</v>
      </c>
      <c r="AI828" s="47">
        <f>IFERROR(AC828/S828,"")</f>
        <v/>
      </c>
      <c r="AJ828" s="47">
        <f>IFERROR(AH828/S828,"")</f>
        <v/>
      </c>
      <c r="AK828" s="116" t="n">
        <v>29</v>
      </c>
      <c r="AL828" s="116" t="n">
        <v>1</v>
      </c>
      <c r="AM828" s="118">
        <f>IFERROR(AL828/AA828,"")</f>
        <v/>
      </c>
      <c r="AN828" s="119">
        <f>IFERROR(R828/AL828,"")</f>
        <v/>
      </c>
      <c r="AO828" s="116" t="n">
        <v>1</v>
      </c>
      <c r="AP828" s="47">
        <f>IFERROR(AO828/AL828,"")</f>
        <v/>
      </c>
      <c r="AQ828" s="119">
        <f>IFERROR(R828/AO828,"")</f>
        <v/>
      </c>
      <c r="AR828" s="116" t="n">
        <v>0</v>
      </c>
      <c r="AS828" s="116" t="n">
        <v>0</v>
      </c>
      <c r="AT828" s="116">
        <f>AL828+AR828</f>
        <v/>
      </c>
      <c r="AU828" s="119">
        <f>IFERROR(AO828*Assumptions!$C$26*Assumptions!$C$27*INDEX(Assumptions!$C$18:$C$21,MATCH(H828,Assumptions!$B$18:$B$21,0)),0)</f>
        <v/>
      </c>
    </row>
    <row r="829">
      <c r="A829" s="114" t="n">
        <v>46237</v>
      </c>
      <c r="B829" s="42" t="inlineStr">
        <is>
          <t>Wk 32</t>
        </is>
      </c>
      <c r="C829" s="42" t="inlineStr">
        <is>
          <t>Mon</t>
        </is>
      </c>
      <c r="D829" s="42" t="inlineStr">
        <is>
          <t>Meta (FB/IG)</t>
        </is>
      </c>
      <c r="E829" s="42" t="inlineStr">
        <is>
          <t>Facebook + Instagram</t>
        </is>
      </c>
      <c r="F829" s="42" t="inlineStr">
        <is>
          <t>LEP_ZA_AUG26_META_RMKT_ALL_CONV</t>
        </is>
      </c>
      <c r="G829" s="42" t="inlineStr">
        <is>
          <t>Leads - Website Conversions</t>
        </is>
      </c>
      <c r="H829" s="42" t="inlineStr">
        <is>
          <t>Range</t>
        </is>
      </c>
      <c r="I829" s="42" t="inlineStr">
        <is>
          <t>Range Offer</t>
        </is>
      </c>
      <c r="J829" s="42" t="inlineStr">
        <is>
          <t>MET_RMKT_VIDVIEW75_ZA</t>
        </is>
      </c>
      <c r="K829" s="42" t="inlineStr">
        <is>
          <t>Retargeting</t>
        </is>
      </c>
      <c r="L829" s="42" t="inlineStr">
        <is>
          <t>RMKT_VID_10s_Recap_v1</t>
        </is>
      </c>
      <c r="M829" s="42" t="inlineStr">
        <is>
          <t>Video 9:16</t>
        </is>
      </c>
      <c r="N829" s="42" t="inlineStr">
        <is>
          <t>10 seconds. Then book.</t>
        </is>
      </c>
      <c r="O829" s="42" t="inlineStr">
        <is>
          <t>Auction - Lowest Cost</t>
        </is>
      </c>
      <c r="P829" s="42" t="inlineStr">
        <is>
          <t>Offsite Conversions</t>
        </is>
      </c>
      <c r="Q829" s="42" t="inlineStr">
        <is>
          <t>https://www.lepas-sa.co.za/book-a-test-drive</t>
        </is>
      </c>
      <c r="R829" s="115" t="n">
        <v>120.21</v>
      </c>
      <c r="S829" s="116" t="n">
        <v>1182</v>
      </c>
      <c r="T829" s="116" t="n">
        <v>853</v>
      </c>
      <c r="U829" s="117">
        <f>IFERROR(S829/T829,"")</f>
        <v/>
      </c>
      <c r="V829" s="116" t="n">
        <v>24</v>
      </c>
      <c r="W829" s="116" t="n">
        <v>18</v>
      </c>
      <c r="X829" s="118">
        <f>IFERROR(W829/S829,"")</f>
        <v/>
      </c>
      <c r="Y829" s="115">
        <f>IFERROR(R829/W829,"")</f>
        <v/>
      </c>
      <c r="Z829" s="115">
        <f>IFERROR(R829/S829*1000,"")</f>
        <v/>
      </c>
      <c r="AA829" s="116" t="n">
        <v>15</v>
      </c>
      <c r="AB829" s="47">
        <f>IFERROR(AA829/W829,"")</f>
        <v/>
      </c>
      <c r="AC829" s="116" t="n">
        <v>330</v>
      </c>
      <c r="AD829" s="116" t="n">
        <v>189</v>
      </c>
      <c r="AE829" s="116" t="n">
        <v>137</v>
      </c>
      <c r="AF829" s="116" t="n">
        <v>76</v>
      </c>
      <c r="AG829" s="116" t="n">
        <v>49</v>
      </c>
      <c r="AH829" s="116" t="n">
        <v>29</v>
      </c>
      <c r="AI829" s="47">
        <f>IFERROR(AC829/S829,"")</f>
        <v/>
      </c>
      <c r="AJ829" s="47">
        <f>IFERROR(AH829/S829,"")</f>
        <v/>
      </c>
      <c r="AK829" s="116" t="n">
        <v>34</v>
      </c>
      <c r="AL829" s="116" t="n">
        <v>0</v>
      </c>
      <c r="AM829" s="118">
        <f>IFERROR(AL829/AA829,"")</f>
        <v/>
      </c>
      <c r="AN829" s="119">
        <f>IFERROR(R829/AL829,"")</f>
        <v/>
      </c>
      <c r="AO829" s="116" t="n">
        <v>0</v>
      </c>
      <c r="AP829" s="47">
        <f>IFERROR(AO829/AL829,"")</f>
        <v/>
      </c>
      <c r="AQ829" s="119">
        <f>IFERROR(R829/AO829,"")</f>
        <v/>
      </c>
      <c r="AR829" s="116" t="n">
        <v>0</v>
      </c>
      <c r="AS829" s="116" t="n">
        <v>0</v>
      </c>
      <c r="AT829" s="116">
        <f>AL829+AR829</f>
        <v/>
      </c>
      <c r="AU829" s="119">
        <f>IFERROR(AO829*Assumptions!$C$26*Assumptions!$C$27*INDEX(Assumptions!$C$18:$C$21,MATCH(H829,Assumptions!$B$18:$B$21,0)),0)</f>
        <v/>
      </c>
    </row>
    <row r="830">
      <c r="A830" s="114" t="n">
        <v>46238</v>
      </c>
      <c r="B830" s="42" t="inlineStr">
        <is>
          <t>Wk 32</t>
        </is>
      </c>
      <c r="C830" s="42" t="inlineStr">
        <is>
          <t>Tue</t>
        </is>
      </c>
      <c r="D830" s="42" t="inlineStr">
        <is>
          <t>Meta (FB/IG)</t>
        </is>
      </c>
      <c r="E830" s="42" t="inlineStr">
        <is>
          <t>Facebook + Instagram</t>
        </is>
      </c>
      <c r="F830" s="42" t="inlineStr">
        <is>
          <t>LEP_ZA_AUG26_META_RMKT_ALL_CONV</t>
        </is>
      </c>
      <c r="G830" s="42" t="inlineStr">
        <is>
          <t>Leads - Website Conversions</t>
        </is>
      </c>
      <c r="H830" s="42" t="inlineStr">
        <is>
          <t>Range</t>
        </is>
      </c>
      <c r="I830" s="42" t="inlineStr">
        <is>
          <t>Range Offer</t>
        </is>
      </c>
      <c r="J830" s="42" t="inlineStr">
        <is>
          <t>MET_RMKT_VIDVIEW75_ZA</t>
        </is>
      </c>
      <c r="K830" s="42" t="inlineStr">
        <is>
          <t>Retargeting</t>
        </is>
      </c>
      <c r="L830" s="42" t="inlineStr">
        <is>
          <t>RMKT_VID_10s_Recap_v1</t>
        </is>
      </c>
      <c r="M830" s="42" t="inlineStr">
        <is>
          <t>Video 9:16</t>
        </is>
      </c>
      <c r="N830" s="42" t="inlineStr">
        <is>
          <t>10 seconds. Then book.</t>
        </is>
      </c>
      <c r="O830" s="42" t="inlineStr">
        <is>
          <t>Auction - Lowest Cost</t>
        </is>
      </c>
      <c r="P830" s="42" t="inlineStr">
        <is>
          <t>Offsite Conversions</t>
        </is>
      </c>
      <c r="Q830" s="42" t="inlineStr">
        <is>
          <t>https://www.lepas-sa.co.za/book-a-test-drive</t>
        </is>
      </c>
      <c r="R830" s="115" t="n">
        <v>124.04</v>
      </c>
      <c r="S830" s="116" t="n">
        <v>1718</v>
      </c>
      <c r="T830" s="116" t="n">
        <v>1505</v>
      </c>
      <c r="U830" s="117">
        <f>IFERROR(S830/T830,"")</f>
        <v/>
      </c>
      <c r="V830" s="116" t="n">
        <v>85</v>
      </c>
      <c r="W830" s="116" t="n">
        <v>60</v>
      </c>
      <c r="X830" s="118">
        <f>IFERROR(W830/S830,"")</f>
        <v/>
      </c>
      <c r="Y830" s="115">
        <f>IFERROR(R830/W830,"")</f>
        <v/>
      </c>
      <c r="Z830" s="115">
        <f>IFERROR(R830/S830*1000,"")</f>
        <v/>
      </c>
      <c r="AA830" s="116" t="n">
        <v>53</v>
      </c>
      <c r="AB830" s="47">
        <f>IFERROR(AA830/W830,"")</f>
        <v/>
      </c>
      <c r="AC830" s="116" t="n">
        <v>430</v>
      </c>
      <c r="AD830" s="116" t="n">
        <v>249</v>
      </c>
      <c r="AE830" s="116" t="n">
        <v>200</v>
      </c>
      <c r="AF830" s="116" t="n">
        <v>115</v>
      </c>
      <c r="AG830" s="116" t="n">
        <v>87</v>
      </c>
      <c r="AH830" s="116" t="n">
        <v>57</v>
      </c>
      <c r="AI830" s="47">
        <f>IFERROR(AC830/S830,"")</f>
        <v/>
      </c>
      <c r="AJ830" s="47">
        <f>IFERROR(AH830/S830,"")</f>
        <v/>
      </c>
      <c r="AK830" s="116" t="n">
        <v>51</v>
      </c>
      <c r="AL830" s="116" t="n">
        <v>3</v>
      </c>
      <c r="AM830" s="118">
        <f>IFERROR(AL830/AA830,"")</f>
        <v/>
      </c>
      <c r="AN830" s="119">
        <f>IFERROR(R830/AL830,"")</f>
        <v/>
      </c>
      <c r="AO830" s="116" t="n">
        <v>2</v>
      </c>
      <c r="AP830" s="47">
        <f>IFERROR(AO830/AL830,"")</f>
        <v/>
      </c>
      <c r="AQ830" s="119">
        <f>IFERROR(R830/AO830,"")</f>
        <v/>
      </c>
      <c r="AR830" s="116" t="n">
        <v>1</v>
      </c>
      <c r="AS830" s="116" t="n">
        <v>1</v>
      </c>
      <c r="AT830" s="116">
        <f>AL830+AR830</f>
        <v/>
      </c>
      <c r="AU830" s="119">
        <f>IFERROR(AO830*Assumptions!$C$26*Assumptions!$C$27*INDEX(Assumptions!$C$18:$C$21,MATCH(H830,Assumptions!$B$18:$B$21,0)),0)</f>
        <v/>
      </c>
    </row>
    <row r="831">
      <c r="A831" s="114" t="n">
        <v>46239</v>
      </c>
      <c r="B831" s="42" t="inlineStr">
        <is>
          <t>Wk 32</t>
        </is>
      </c>
      <c r="C831" s="42" t="inlineStr">
        <is>
          <t>Wed</t>
        </is>
      </c>
      <c r="D831" s="42" t="inlineStr">
        <is>
          <t>Meta (FB/IG)</t>
        </is>
      </c>
      <c r="E831" s="42" t="inlineStr">
        <is>
          <t>Facebook + Instagram</t>
        </is>
      </c>
      <c r="F831" s="42" t="inlineStr">
        <is>
          <t>LEP_ZA_AUG26_META_RMKT_ALL_CONV</t>
        </is>
      </c>
      <c r="G831" s="42" t="inlineStr">
        <is>
          <t>Leads - Website Conversions</t>
        </is>
      </c>
      <c r="H831" s="42" t="inlineStr">
        <is>
          <t>Range</t>
        </is>
      </c>
      <c r="I831" s="42" t="inlineStr">
        <is>
          <t>Range Offer</t>
        </is>
      </c>
      <c r="J831" s="42" t="inlineStr">
        <is>
          <t>MET_RMKT_VIDVIEW75_ZA</t>
        </is>
      </c>
      <c r="K831" s="42" t="inlineStr">
        <is>
          <t>Retargeting</t>
        </is>
      </c>
      <c r="L831" s="42" t="inlineStr">
        <is>
          <t>RMKT_VID_10s_Recap_v1</t>
        </is>
      </c>
      <c r="M831" s="42" t="inlineStr">
        <is>
          <t>Video 9:16</t>
        </is>
      </c>
      <c r="N831" s="42" t="inlineStr">
        <is>
          <t>10 seconds. Then book.</t>
        </is>
      </c>
      <c r="O831" s="42" t="inlineStr">
        <is>
          <t>Auction - Lowest Cost</t>
        </is>
      </c>
      <c r="P831" s="42" t="inlineStr">
        <is>
          <t>Offsite Conversions</t>
        </is>
      </c>
      <c r="Q831" s="42" t="inlineStr">
        <is>
          <t>https://www.lepas-sa.co.za/book-a-test-drive</t>
        </is>
      </c>
      <c r="R831" s="115" t="n">
        <v>152.49</v>
      </c>
      <c r="S831" s="116" t="n">
        <v>1409</v>
      </c>
      <c r="T831" s="116" t="n">
        <v>881</v>
      </c>
      <c r="U831" s="117">
        <f>IFERROR(S831/T831,"")</f>
        <v/>
      </c>
      <c r="V831" s="116" t="n">
        <v>51</v>
      </c>
      <c r="W831" s="116" t="n">
        <v>40</v>
      </c>
      <c r="X831" s="118">
        <f>IFERROR(W831/S831,"")</f>
        <v/>
      </c>
      <c r="Y831" s="115">
        <f>IFERROR(R831/W831,"")</f>
        <v/>
      </c>
      <c r="Z831" s="115">
        <f>IFERROR(R831/S831*1000,"")</f>
        <v/>
      </c>
      <c r="AA831" s="116" t="n">
        <v>34</v>
      </c>
      <c r="AB831" s="47">
        <f>IFERROR(AA831/W831,"")</f>
        <v/>
      </c>
      <c r="AC831" s="116" t="n">
        <v>391</v>
      </c>
      <c r="AD831" s="116" t="n">
        <v>226</v>
      </c>
      <c r="AE831" s="116" t="n">
        <v>185</v>
      </c>
      <c r="AF831" s="116" t="n">
        <v>120</v>
      </c>
      <c r="AG831" s="116" t="n">
        <v>93</v>
      </c>
      <c r="AH831" s="116" t="n">
        <v>57</v>
      </c>
      <c r="AI831" s="47">
        <f>IFERROR(AC831/S831,"")</f>
        <v/>
      </c>
      <c r="AJ831" s="47">
        <f>IFERROR(AH831/S831,"")</f>
        <v/>
      </c>
      <c r="AK831" s="116" t="n">
        <v>28</v>
      </c>
      <c r="AL831" s="116" t="n">
        <v>2</v>
      </c>
      <c r="AM831" s="118">
        <f>IFERROR(AL831/AA831,"")</f>
        <v/>
      </c>
      <c r="AN831" s="119">
        <f>IFERROR(R831/AL831,"")</f>
        <v/>
      </c>
      <c r="AO831" s="116" t="n">
        <v>1</v>
      </c>
      <c r="AP831" s="47">
        <f>IFERROR(AO831/AL831,"")</f>
        <v/>
      </c>
      <c r="AQ831" s="119">
        <f>IFERROR(R831/AO831,"")</f>
        <v/>
      </c>
      <c r="AR831" s="116" t="n">
        <v>0</v>
      </c>
      <c r="AS831" s="116" t="n">
        <v>1</v>
      </c>
      <c r="AT831" s="116">
        <f>AL831+AR831</f>
        <v/>
      </c>
      <c r="AU831" s="119">
        <f>IFERROR(AO831*Assumptions!$C$26*Assumptions!$C$27*INDEX(Assumptions!$C$18:$C$21,MATCH(H831,Assumptions!$B$18:$B$21,0)),0)</f>
        <v/>
      </c>
    </row>
    <row r="832">
      <c r="A832" s="114" t="n">
        <v>46240</v>
      </c>
      <c r="B832" s="42" t="inlineStr">
        <is>
          <t>Wk 32</t>
        </is>
      </c>
      <c r="C832" s="42" t="inlineStr">
        <is>
          <t>Thu</t>
        </is>
      </c>
      <c r="D832" s="42" t="inlineStr">
        <is>
          <t>Meta (FB/IG)</t>
        </is>
      </c>
      <c r="E832" s="42" t="inlineStr">
        <is>
          <t>Facebook + Instagram</t>
        </is>
      </c>
      <c r="F832" s="42" t="inlineStr">
        <is>
          <t>LEP_ZA_AUG26_META_RMKT_ALL_CONV</t>
        </is>
      </c>
      <c r="G832" s="42" t="inlineStr">
        <is>
          <t>Leads - Website Conversions</t>
        </is>
      </c>
      <c r="H832" s="42" t="inlineStr">
        <is>
          <t>Range</t>
        </is>
      </c>
      <c r="I832" s="42" t="inlineStr">
        <is>
          <t>Range Offer</t>
        </is>
      </c>
      <c r="J832" s="42" t="inlineStr">
        <is>
          <t>MET_RMKT_VIDVIEW75_ZA</t>
        </is>
      </c>
      <c r="K832" s="42" t="inlineStr">
        <is>
          <t>Retargeting</t>
        </is>
      </c>
      <c r="L832" s="42" t="inlineStr">
        <is>
          <t>RMKT_VID_10s_Recap_v1</t>
        </is>
      </c>
      <c r="M832" s="42" t="inlineStr">
        <is>
          <t>Video 9:16</t>
        </is>
      </c>
      <c r="N832" s="42" t="inlineStr">
        <is>
          <t>10 seconds. Then book.</t>
        </is>
      </c>
      <c r="O832" s="42" t="inlineStr">
        <is>
          <t>Auction - Lowest Cost</t>
        </is>
      </c>
      <c r="P832" s="42" t="inlineStr">
        <is>
          <t>Offsite Conversions</t>
        </is>
      </c>
      <c r="Q832" s="42" t="inlineStr">
        <is>
          <t>https://www.lepas-sa.co.za/book-a-test-drive</t>
        </is>
      </c>
      <c r="R832" s="115" t="n">
        <v>134.63</v>
      </c>
      <c r="S832" s="116" t="n">
        <v>1778</v>
      </c>
      <c r="T832" s="116" t="n">
        <v>1530</v>
      </c>
      <c r="U832" s="117">
        <f>IFERROR(S832/T832,"")</f>
        <v/>
      </c>
      <c r="V832" s="116" t="n">
        <v>76</v>
      </c>
      <c r="W832" s="116" t="n">
        <v>57</v>
      </c>
      <c r="X832" s="118">
        <f>IFERROR(W832/S832,"")</f>
        <v/>
      </c>
      <c r="Y832" s="115">
        <f>IFERROR(R832/W832,"")</f>
        <v/>
      </c>
      <c r="Z832" s="115">
        <f>IFERROR(R832/S832*1000,"")</f>
        <v/>
      </c>
      <c r="AA832" s="116" t="n">
        <v>49</v>
      </c>
      <c r="AB832" s="47">
        <f>IFERROR(AA832/W832,"")</f>
        <v/>
      </c>
      <c r="AC832" s="116" t="n">
        <v>592</v>
      </c>
      <c r="AD832" s="116" t="n">
        <v>337</v>
      </c>
      <c r="AE832" s="116" t="n">
        <v>300</v>
      </c>
      <c r="AF832" s="116" t="n">
        <v>159</v>
      </c>
      <c r="AG832" s="116" t="n">
        <v>104</v>
      </c>
      <c r="AH832" s="116" t="n">
        <v>61</v>
      </c>
      <c r="AI832" s="47">
        <f>IFERROR(AC832/S832,"")</f>
        <v/>
      </c>
      <c r="AJ832" s="47">
        <f>IFERROR(AH832/S832,"")</f>
        <v/>
      </c>
      <c r="AK832" s="116" t="n">
        <v>35</v>
      </c>
      <c r="AL832" s="116" t="n">
        <v>2</v>
      </c>
      <c r="AM832" s="118">
        <f>IFERROR(AL832/AA832,"")</f>
        <v/>
      </c>
      <c r="AN832" s="119">
        <f>IFERROR(R832/AL832,"")</f>
        <v/>
      </c>
      <c r="AO832" s="116" t="n">
        <v>2</v>
      </c>
      <c r="AP832" s="47">
        <f>IFERROR(AO832/AL832,"")</f>
        <v/>
      </c>
      <c r="AQ832" s="119">
        <f>IFERROR(R832/AO832,"")</f>
        <v/>
      </c>
      <c r="AR832" s="116" t="n">
        <v>1</v>
      </c>
      <c r="AS832" s="116" t="n">
        <v>1</v>
      </c>
      <c r="AT832" s="116">
        <f>AL832+AR832</f>
        <v/>
      </c>
      <c r="AU832" s="119">
        <f>IFERROR(AO832*Assumptions!$C$26*Assumptions!$C$27*INDEX(Assumptions!$C$18:$C$21,MATCH(H832,Assumptions!$B$18:$B$21,0)),0)</f>
        <v/>
      </c>
    </row>
    <row r="833">
      <c r="A833" s="114" t="n">
        <v>46241</v>
      </c>
      <c r="B833" s="42" t="inlineStr">
        <is>
          <t>Wk 32</t>
        </is>
      </c>
      <c r="C833" s="42" t="inlineStr">
        <is>
          <t>Fri</t>
        </is>
      </c>
      <c r="D833" s="42" t="inlineStr">
        <is>
          <t>Meta (FB/IG)</t>
        </is>
      </c>
      <c r="E833" s="42" t="inlineStr">
        <is>
          <t>Facebook + Instagram</t>
        </is>
      </c>
      <c r="F833" s="42" t="inlineStr">
        <is>
          <t>LEP_ZA_AUG26_META_RMKT_ALL_CONV</t>
        </is>
      </c>
      <c r="G833" s="42" t="inlineStr">
        <is>
          <t>Leads - Website Conversions</t>
        </is>
      </c>
      <c r="H833" s="42" t="inlineStr">
        <is>
          <t>Range</t>
        </is>
      </c>
      <c r="I833" s="42" t="inlineStr">
        <is>
          <t>Range Offer</t>
        </is>
      </c>
      <c r="J833" s="42" t="inlineStr">
        <is>
          <t>MET_RMKT_VIDVIEW75_ZA</t>
        </is>
      </c>
      <c r="K833" s="42" t="inlineStr">
        <is>
          <t>Retargeting</t>
        </is>
      </c>
      <c r="L833" s="42" t="inlineStr">
        <is>
          <t>RMKT_VID_10s_Recap_v1</t>
        </is>
      </c>
      <c r="M833" s="42" t="inlineStr">
        <is>
          <t>Video 9:16</t>
        </is>
      </c>
      <c r="N833" s="42" t="inlineStr">
        <is>
          <t>10 seconds. Then book.</t>
        </is>
      </c>
      <c r="O833" s="42" t="inlineStr">
        <is>
          <t>Auction - Lowest Cost</t>
        </is>
      </c>
      <c r="P833" s="42" t="inlineStr">
        <is>
          <t>Offsite Conversions</t>
        </is>
      </c>
      <c r="Q833" s="42" t="inlineStr">
        <is>
          <t>https://www.lepas-sa.co.za/book-a-test-drive</t>
        </is>
      </c>
      <c r="R833" s="115" t="n">
        <v>135</v>
      </c>
      <c r="S833" s="116" t="n">
        <v>1859</v>
      </c>
      <c r="T833" s="116" t="n">
        <v>1372</v>
      </c>
      <c r="U833" s="117">
        <f>IFERROR(S833/T833,"")</f>
        <v/>
      </c>
      <c r="V833" s="116" t="n">
        <v>42</v>
      </c>
      <c r="W833" s="116" t="n">
        <v>35</v>
      </c>
      <c r="X833" s="118">
        <f>IFERROR(W833/S833,"")</f>
        <v/>
      </c>
      <c r="Y833" s="115">
        <f>IFERROR(R833/W833,"")</f>
        <v/>
      </c>
      <c r="Z833" s="115">
        <f>IFERROR(R833/S833*1000,"")</f>
        <v/>
      </c>
      <c r="AA833" s="116" t="n">
        <v>30</v>
      </c>
      <c r="AB833" s="47">
        <f>IFERROR(AA833/W833,"")</f>
        <v/>
      </c>
      <c r="AC833" s="116" t="n">
        <v>711</v>
      </c>
      <c r="AD833" s="116" t="n">
        <v>323</v>
      </c>
      <c r="AE833" s="116" t="n">
        <v>313</v>
      </c>
      <c r="AF833" s="116" t="n">
        <v>187</v>
      </c>
      <c r="AG833" s="116" t="n">
        <v>147</v>
      </c>
      <c r="AH833" s="116" t="n">
        <v>90</v>
      </c>
      <c r="AI833" s="47">
        <f>IFERROR(AC833/S833,"")</f>
        <v/>
      </c>
      <c r="AJ833" s="47">
        <f>IFERROR(AH833/S833,"")</f>
        <v/>
      </c>
      <c r="AK833" s="116" t="n">
        <v>63</v>
      </c>
      <c r="AL833" s="116" t="n">
        <v>2</v>
      </c>
      <c r="AM833" s="118">
        <f>IFERROR(AL833/AA833,"")</f>
        <v/>
      </c>
      <c r="AN833" s="119">
        <f>IFERROR(R833/AL833,"")</f>
        <v/>
      </c>
      <c r="AO833" s="116" t="n">
        <v>1</v>
      </c>
      <c r="AP833" s="47">
        <f>IFERROR(AO833/AL833,"")</f>
        <v/>
      </c>
      <c r="AQ833" s="119">
        <f>IFERROR(R833/AO833,"")</f>
        <v/>
      </c>
      <c r="AR833" s="116" t="n">
        <v>1</v>
      </c>
      <c r="AS833" s="116" t="n">
        <v>1</v>
      </c>
      <c r="AT833" s="116">
        <f>AL833+AR833</f>
        <v/>
      </c>
      <c r="AU833" s="119">
        <f>IFERROR(AO833*Assumptions!$C$26*Assumptions!$C$27*INDEX(Assumptions!$C$18:$C$21,MATCH(H833,Assumptions!$B$18:$B$21,0)),0)</f>
        <v/>
      </c>
    </row>
    <row r="834">
      <c r="A834" s="114" t="n">
        <v>46242</v>
      </c>
      <c r="B834" s="42" t="inlineStr">
        <is>
          <t>Wk 32</t>
        </is>
      </c>
      <c r="C834" s="42" t="inlineStr">
        <is>
          <t>Sat</t>
        </is>
      </c>
      <c r="D834" s="42" t="inlineStr">
        <is>
          <t>Meta (FB/IG)</t>
        </is>
      </c>
      <c r="E834" s="42" t="inlineStr">
        <is>
          <t>Facebook + Instagram</t>
        </is>
      </c>
      <c r="F834" s="42" t="inlineStr">
        <is>
          <t>LEP_ZA_AUG26_META_RMKT_ALL_CONV</t>
        </is>
      </c>
      <c r="G834" s="42" t="inlineStr">
        <is>
          <t>Leads - Website Conversions</t>
        </is>
      </c>
      <c r="H834" s="42" t="inlineStr">
        <is>
          <t>Range</t>
        </is>
      </c>
      <c r="I834" s="42" t="inlineStr">
        <is>
          <t>Range Offer</t>
        </is>
      </c>
      <c r="J834" s="42" t="inlineStr">
        <is>
          <t>MET_RMKT_VIDVIEW75_ZA</t>
        </is>
      </c>
      <c r="K834" s="42" t="inlineStr">
        <is>
          <t>Retargeting</t>
        </is>
      </c>
      <c r="L834" s="42" t="inlineStr">
        <is>
          <t>RMKT_VID_10s_Recap_v1</t>
        </is>
      </c>
      <c r="M834" s="42" t="inlineStr">
        <is>
          <t>Video 9:16</t>
        </is>
      </c>
      <c r="N834" s="42" t="inlineStr">
        <is>
          <t>10 seconds. Then book.</t>
        </is>
      </c>
      <c r="O834" s="42" t="inlineStr">
        <is>
          <t>Auction - Lowest Cost</t>
        </is>
      </c>
      <c r="P834" s="42" t="inlineStr">
        <is>
          <t>Offsite Conversions</t>
        </is>
      </c>
      <c r="Q834" s="42" t="inlineStr">
        <is>
          <t>https://www.lepas-sa.co.za/book-a-test-drive</t>
        </is>
      </c>
      <c r="R834" s="115" t="n">
        <v>152.65</v>
      </c>
      <c r="S834" s="116" t="n">
        <v>1636</v>
      </c>
      <c r="T834" s="116" t="n">
        <v>1122</v>
      </c>
      <c r="U834" s="117">
        <f>IFERROR(S834/T834,"")</f>
        <v/>
      </c>
      <c r="V834" s="116" t="n">
        <v>34</v>
      </c>
      <c r="W834" s="116" t="n">
        <v>26</v>
      </c>
      <c r="X834" s="118">
        <f>IFERROR(W834/S834,"")</f>
        <v/>
      </c>
      <c r="Y834" s="115">
        <f>IFERROR(R834/W834,"")</f>
        <v/>
      </c>
      <c r="Z834" s="115">
        <f>IFERROR(R834/S834*1000,"")</f>
        <v/>
      </c>
      <c r="AA834" s="116" t="n">
        <v>22</v>
      </c>
      <c r="AB834" s="47">
        <f>IFERROR(AA834/W834,"")</f>
        <v/>
      </c>
      <c r="AC834" s="116" t="n">
        <v>613</v>
      </c>
      <c r="AD834" s="116" t="n">
        <v>337</v>
      </c>
      <c r="AE834" s="116" t="n">
        <v>258</v>
      </c>
      <c r="AF834" s="116" t="n">
        <v>141</v>
      </c>
      <c r="AG834" s="116" t="n">
        <v>99</v>
      </c>
      <c r="AH834" s="116" t="n">
        <v>69</v>
      </c>
      <c r="AI834" s="47">
        <f>IFERROR(AC834/S834,"")</f>
        <v/>
      </c>
      <c r="AJ834" s="47">
        <f>IFERROR(AH834/S834,"")</f>
        <v/>
      </c>
      <c r="AK834" s="116" t="n">
        <v>45</v>
      </c>
      <c r="AL834" s="116" t="n">
        <v>1</v>
      </c>
      <c r="AM834" s="118">
        <f>IFERROR(AL834/AA834,"")</f>
        <v/>
      </c>
      <c r="AN834" s="119">
        <f>IFERROR(R834/AL834,"")</f>
        <v/>
      </c>
      <c r="AO834" s="116" t="n">
        <v>1</v>
      </c>
      <c r="AP834" s="47">
        <f>IFERROR(AO834/AL834,"")</f>
        <v/>
      </c>
      <c r="AQ834" s="119">
        <f>IFERROR(R834/AO834,"")</f>
        <v/>
      </c>
      <c r="AR834" s="116" t="n">
        <v>1</v>
      </c>
      <c r="AS834" s="116" t="n">
        <v>0</v>
      </c>
      <c r="AT834" s="116">
        <f>AL834+AR834</f>
        <v/>
      </c>
      <c r="AU834" s="119">
        <f>IFERROR(AO834*Assumptions!$C$26*Assumptions!$C$27*INDEX(Assumptions!$C$18:$C$21,MATCH(H834,Assumptions!$B$18:$B$21,0)),0)</f>
        <v/>
      </c>
    </row>
    <row r="835">
      <c r="A835" s="114" t="n">
        <v>46243</v>
      </c>
      <c r="B835" s="42" t="inlineStr">
        <is>
          <t>Wk 32</t>
        </is>
      </c>
      <c r="C835" s="42" t="inlineStr">
        <is>
          <t>Sun</t>
        </is>
      </c>
      <c r="D835" s="42" t="inlineStr">
        <is>
          <t>Meta (FB/IG)</t>
        </is>
      </c>
      <c r="E835" s="42" t="inlineStr">
        <is>
          <t>Facebook + Instagram</t>
        </is>
      </c>
      <c r="F835" s="42" t="inlineStr">
        <is>
          <t>LEP_ZA_AUG26_META_RMKT_ALL_CONV</t>
        </is>
      </c>
      <c r="G835" s="42" t="inlineStr">
        <is>
          <t>Leads - Website Conversions</t>
        </is>
      </c>
      <c r="H835" s="42" t="inlineStr">
        <is>
          <t>Range</t>
        </is>
      </c>
      <c r="I835" s="42" t="inlineStr">
        <is>
          <t>Range Offer</t>
        </is>
      </c>
      <c r="J835" s="42" t="inlineStr">
        <is>
          <t>MET_RMKT_VIDVIEW75_ZA</t>
        </is>
      </c>
      <c r="K835" s="42" t="inlineStr">
        <is>
          <t>Retargeting</t>
        </is>
      </c>
      <c r="L835" s="42" t="inlineStr">
        <is>
          <t>RMKT_VID_10s_Recap_v1</t>
        </is>
      </c>
      <c r="M835" s="42" t="inlineStr">
        <is>
          <t>Video 9:16</t>
        </is>
      </c>
      <c r="N835" s="42" t="inlineStr">
        <is>
          <t>10 seconds. Then book.</t>
        </is>
      </c>
      <c r="O835" s="42" t="inlineStr">
        <is>
          <t>Auction - Lowest Cost</t>
        </is>
      </c>
      <c r="P835" s="42" t="inlineStr">
        <is>
          <t>Offsite Conversions</t>
        </is>
      </c>
      <c r="Q835" s="42" t="inlineStr">
        <is>
          <t>https://www.lepas-sa.co.za/book-a-test-drive</t>
        </is>
      </c>
      <c r="R835" s="115" t="n">
        <v>122.54</v>
      </c>
      <c r="S835" s="116" t="n">
        <v>1791</v>
      </c>
      <c r="T835" s="116" t="n">
        <v>1152</v>
      </c>
      <c r="U835" s="117">
        <f>IFERROR(S835/T835,"")</f>
        <v/>
      </c>
      <c r="V835" s="116" t="n">
        <v>44</v>
      </c>
      <c r="W835" s="116" t="n">
        <v>33</v>
      </c>
      <c r="X835" s="118">
        <f>IFERROR(W835/S835,"")</f>
        <v/>
      </c>
      <c r="Y835" s="115">
        <f>IFERROR(R835/W835,"")</f>
        <v/>
      </c>
      <c r="Z835" s="115">
        <f>IFERROR(R835/S835*1000,"")</f>
        <v/>
      </c>
      <c r="AA835" s="116" t="n">
        <v>28</v>
      </c>
      <c r="AB835" s="47">
        <f>IFERROR(AA835/W835,"")</f>
        <v/>
      </c>
      <c r="AC835" s="116" t="n">
        <v>667</v>
      </c>
      <c r="AD835" s="116" t="n">
        <v>297</v>
      </c>
      <c r="AE835" s="116" t="n">
        <v>282</v>
      </c>
      <c r="AF835" s="116" t="n">
        <v>158</v>
      </c>
      <c r="AG835" s="116" t="n">
        <v>105</v>
      </c>
      <c r="AH835" s="116" t="n">
        <v>64</v>
      </c>
      <c r="AI835" s="47">
        <f>IFERROR(AC835/S835,"")</f>
        <v/>
      </c>
      <c r="AJ835" s="47">
        <f>IFERROR(AH835/S835,"")</f>
        <v/>
      </c>
      <c r="AK835" s="116" t="n">
        <v>39</v>
      </c>
      <c r="AL835" s="116" t="n">
        <v>0</v>
      </c>
      <c r="AM835" s="118">
        <f>IFERROR(AL835/AA835,"")</f>
        <v/>
      </c>
      <c r="AN835" s="119">
        <f>IFERROR(R835/AL835,"")</f>
        <v/>
      </c>
      <c r="AO835" s="116" t="n">
        <v>0</v>
      </c>
      <c r="AP835" s="47">
        <f>IFERROR(AO835/AL835,"")</f>
        <v/>
      </c>
      <c r="AQ835" s="119">
        <f>IFERROR(R835/AO835,"")</f>
        <v/>
      </c>
      <c r="AR835" s="116" t="n">
        <v>0</v>
      </c>
      <c r="AS835" s="116" t="n">
        <v>0</v>
      </c>
      <c r="AT835" s="116">
        <f>AL835+AR835</f>
        <v/>
      </c>
      <c r="AU835" s="119">
        <f>IFERROR(AO835*Assumptions!$C$26*Assumptions!$C$27*INDEX(Assumptions!$C$18:$C$21,MATCH(H835,Assumptions!$B$18:$B$21,0)),0)</f>
        <v/>
      </c>
    </row>
    <row r="836">
      <c r="A836" s="114" t="n">
        <v>46244</v>
      </c>
      <c r="B836" s="42" t="inlineStr">
        <is>
          <t>Wk 33</t>
        </is>
      </c>
      <c r="C836" s="42" t="inlineStr">
        <is>
          <t>Mon</t>
        </is>
      </c>
      <c r="D836" s="42" t="inlineStr">
        <is>
          <t>Meta (FB/IG)</t>
        </is>
      </c>
      <c r="E836" s="42" t="inlineStr">
        <is>
          <t>Facebook + Instagram</t>
        </is>
      </c>
      <c r="F836" s="42" t="inlineStr">
        <is>
          <t>LEP_ZA_AUG26_META_RMKT_ALL_CONV</t>
        </is>
      </c>
      <c r="G836" s="42" t="inlineStr">
        <is>
          <t>Leads - Website Conversions</t>
        </is>
      </c>
      <c r="H836" s="42" t="inlineStr">
        <is>
          <t>Range</t>
        </is>
      </c>
      <c r="I836" s="42" t="inlineStr">
        <is>
          <t>Range Offer</t>
        </is>
      </c>
      <c r="J836" s="42" t="inlineStr">
        <is>
          <t>MET_RMKT_VIDVIEW75_ZA</t>
        </is>
      </c>
      <c r="K836" s="42" t="inlineStr">
        <is>
          <t>Retargeting</t>
        </is>
      </c>
      <c r="L836" s="42" t="inlineStr">
        <is>
          <t>RMKT_VID_10s_Recap_v1</t>
        </is>
      </c>
      <c r="M836" s="42" t="inlineStr">
        <is>
          <t>Video 9:16</t>
        </is>
      </c>
      <c r="N836" s="42" t="inlineStr">
        <is>
          <t>10 seconds. Then book.</t>
        </is>
      </c>
      <c r="O836" s="42" t="inlineStr">
        <is>
          <t>Auction - Lowest Cost</t>
        </is>
      </c>
      <c r="P836" s="42" t="inlineStr">
        <is>
          <t>Offsite Conversions</t>
        </is>
      </c>
      <c r="Q836" s="42" t="inlineStr">
        <is>
          <t>https://www.lepas-sa.co.za/book-a-test-drive</t>
        </is>
      </c>
      <c r="R836" s="115" t="n">
        <v>144.02</v>
      </c>
      <c r="S836" s="116" t="n">
        <v>1664</v>
      </c>
      <c r="T836" s="116" t="n">
        <v>1165</v>
      </c>
      <c r="U836" s="117">
        <f>IFERROR(S836/T836,"")</f>
        <v/>
      </c>
      <c r="V836" s="116" t="n">
        <v>45</v>
      </c>
      <c r="W836" s="116" t="n">
        <v>35</v>
      </c>
      <c r="X836" s="118">
        <f>IFERROR(W836/S836,"")</f>
        <v/>
      </c>
      <c r="Y836" s="115">
        <f>IFERROR(R836/W836,"")</f>
        <v/>
      </c>
      <c r="Z836" s="115">
        <f>IFERROR(R836/S836*1000,"")</f>
        <v/>
      </c>
      <c r="AA836" s="116" t="n">
        <v>31</v>
      </c>
      <c r="AB836" s="47">
        <f>IFERROR(AA836/W836,"")</f>
        <v/>
      </c>
      <c r="AC836" s="116" t="n">
        <v>568</v>
      </c>
      <c r="AD836" s="116" t="n">
        <v>356</v>
      </c>
      <c r="AE836" s="116" t="n">
        <v>207</v>
      </c>
      <c r="AF836" s="116" t="n">
        <v>113</v>
      </c>
      <c r="AG836" s="116" t="n">
        <v>87</v>
      </c>
      <c r="AH836" s="116" t="n">
        <v>51</v>
      </c>
      <c r="AI836" s="47">
        <f>IFERROR(AC836/S836,"")</f>
        <v/>
      </c>
      <c r="AJ836" s="47">
        <f>IFERROR(AH836/S836,"")</f>
        <v/>
      </c>
      <c r="AK836" s="116" t="n">
        <v>46</v>
      </c>
      <c r="AL836" s="116" t="n">
        <v>1</v>
      </c>
      <c r="AM836" s="118">
        <f>IFERROR(AL836/AA836,"")</f>
        <v/>
      </c>
      <c r="AN836" s="119">
        <f>IFERROR(R836/AL836,"")</f>
        <v/>
      </c>
      <c r="AO836" s="116" t="n">
        <v>1</v>
      </c>
      <c r="AP836" s="47">
        <f>IFERROR(AO836/AL836,"")</f>
        <v/>
      </c>
      <c r="AQ836" s="119">
        <f>IFERROR(R836/AO836,"")</f>
        <v/>
      </c>
      <c r="AR836" s="116" t="n">
        <v>0</v>
      </c>
      <c r="AS836" s="116" t="n">
        <v>0</v>
      </c>
      <c r="AT836" s="116">
        <f>AL836+AR836</f>
        <v/>
      </c>
      <c r="AU836" s="119">
        <f>IFERROR(AO836*Assumptions!$C$26*Assumptions!$C$27*INDEX(Assumptions!$C$18:$C$21,MATCH(H836,Assumptions!$B$18:$B$21,0)),0)</f>
        <v/>
      </c>
    </row>
    <row r="837">
      <c r="A837" s="114" t="n">
        <v>46245</v>
      </c>
      <c r="B837" s="42" t="inlineStr">
        <is>
          <t>Wk 33</t>
        </is>
      </c>
      <c r="C837" s="42" t="inlineStr">
        <is>
          <t>Tue</t>
        </is>
      </c>
      <c r="D837" s="42" t="inlineStr">
        <is>
          <t>Meta (FB/IG)</t>
        </is>
      </c>
      <c r="E837" s="42" t="inlineStr">
        <is>
          <t>Facebook + Instagram</t>
        </is>
      </c>
      <c r="F837" s="42" t="inlineStr">
        <is>
          <t>LEP_ZA_AUG26_META_RMKT_ALL_CONV</t>
        </is>
      </c>
      <c r="G837" s="42" t="inlineStr">
        <is>
          <t>Leads - Website Conversions</t>
        </is>
      </c>
      <c r="H837" s="42" t="inlineStr">
        <is>
          <t>Range</t>
        </is>
      </c>
      <c r="I837" s="42" t="inlineStr">
        <is>
          <t>Range Offer</t>
        </is>
      </c>
      <c r="J837" s="42" t="inlineStr">
        <is>
          <t>MET_RMKT_VIDVIEW75_ZA</t>
        </is>
      </c>
      <c r="K837" s="42" t="inlineStr">
        <is>
          <t>Retargeting</t>
        </is>
      </c>
      <c r="L837" s="42" t="inlineStr">
        <is>
          <t>RMKT_VID_10s_Recap_v1</t>
        </is>
      </c>
      <c r="M837" s="42" t="inlineStr">
        <is>
          <t>Video 9:16</t>
        </is>
      </c>
      <c r="N837" s="42" t="inlineStr">
        <is>
          <t>10 seconds. Then book.</t>
        </is>
      </c>
      <c r="O837" s="42" t="inlineStr">
        <is>
          <t>Auction - Lowest Cost</t>
        </is>
      </c>
      <c r="P837" s="42" t="inlineStr">
        <is>
          <t>Offsite Conversions</t>
        </is>
      </c>
      <c r="Q837" s="42" t="inlineStr">
        <is>
          <t>https://www.lepas-sa.co.za/book-a-test-drive</t>
        </is>
      </c>
      <c r="R837" s="115" t="n">
        <v>148.37</v>
      </c>
      <c r="S837" s="116" t="n">
        <v>1799</v>
      </c>
      <c r="T837" s="116" t="n">
        <v>1127</v>
      </c>
      <c r="U837" s="117">
        <f>IFERROR(S837/T837,"")</f>
        <v/>
      </c>
      <c r="V837" s="116" t="n">
        <v>29</v>
      </c>
      <c r="W837" s="116" t="n">
        <v>23</v>
      </c>
      <c r="X837" s="118">
        <f>IFERROR(W837/S837,"")</f>
        <v/>
      </c>
      <c r="Y837" s="115">
        <f>IFERROR(R837/W837,"")</f>
        <v/>
      </c>
      <c r="Z837" s="115">
        <f>IFERROR(R837/S837*1000,"")</f>
        <v/>
      </c>
      <c r="AA837" s="116" t="n">
        <v>20</v>
      </c>
      <c r="AB837" s="47">
        <f>IFERROR(AA837/W837,"")</f>
        <v/>
      </c>
      <c r="AC837" s="116" t="n">
        <v>428</v>
      </c>
      <c r="AD837" s="116" t="n">
        <v>250</v>
      </c>
      <c r="AE837" s="116" t="n">
        <v>227</v>
      </c>
      <c r="AF837" s="116" t="n">
        <v>154</v>
      </c>
      <c r="AG837" s="116" t="n">
        <v>97</v>
      </c>
      <c r="AH837" s="116" t="n">
        <v>55</v>
      </c>
      <c r="AI837" s="47">
        <f>IFERROR(AC837/S837,"")</f>
        <v/>
      </c>
      <c r="AJ837" s="47">
        <f>IFERROR(AH837/S837,"")</f>
        <v/>
      </c>
      <c r="AK837" s="116" t="n">
        <v>37</v>
      </c>
      <c r="AL837" s="116" t="n">
        <v>1</v>
      </c>
      <c r="AM837" s="118">
        <f>IFERROR(AL837/AA837,"")</f>
        <v/>
      </c>
      <c r="AN837" s="119">
        <f>IFERROR(R837/AL837,"")</f>
        <v/>
      </c>
      <c r="AO837" s="116" t="n">
        <v>0</v>
      </c>
      <c r="AP837" s="47">
        <f>IFERROR(AO837/AL837,"")</f>
        <v/>
      </c>
      <c r="AQ837" s="119">
        <f>IFERROR(R837/AO837,"")</f>
        <v/>
      </c>
      <c r="AR837" s="116" t="n">
        <v>0</v>
      </c>
      <c r="AS837" s="116" t="n">
        <v>0</v>
      </c>
      <c r="AT837" s="116">
        <f>AL837+AR837</f>
        <v/>
      </c>
      <c r="AU837" s="119">
        <f>IFERROR(AO837*Assumptions!$C$26*Assumptions!$C$27*INDEX(Assumptions!$C$18:$C$21,MATCH(H837,Assumptions!$B$18:$B$21,0)),0)</f>
        <v/>
      </c>
    </row>
    <row r="838">
      <c r="A838" s="114" t="n">
        <v>46246</v>
      </c>
      <c r="B838" s="42" t="inlineStr">
        <is>
          <t>Wk 33</t>
        </is>
      </c>
      <c r="C838" s="42" t="inlineStr">
        <is>
          <t>Wed</t>
        </is>
      </c>
      <c r="D838" s="42" t="inlineStr">
        <is>
          <t>Meta (FB/IG)</t>
        </is>
      </c>
      <c r="E838" s="42" t="inlineStr">
        <is>
          <t>Facebook + Instagram</t>
        </is>
      </c>
      <c r="F838" s="42" t="inlineStr">
        <is>
          <t>LEP_ZA_AUG26_META_RMKT_ALL_CONV</t>
        </is>
      </c>
      <c r="G838" s="42" t="inlineStr">
        <is>
          <t>Leads - Website Conversions</t>
        </is>
      </c>
      <c r="H838" s="42" t="inlineStr">
        <is>
          <t>Range</t>
        </is>
      </c>
      <c r="I838" s="42" t="inlineStr">
        <is>
          <t>Range Offer</t>
        </is>
      </c>
      <c r="J838" s="42" t="inlineStr">
        <is>
          <t>MET_RMKT_VIDVIEW75_ZA</t>
        </is>
      </c>
      <c r="K838" s="42" t="inlineStr">
        <is>
          <t>Retargeting</t>
        </is>
      </c>
      <c r="L838" s="42" t="inlineStr">
        <is>
          <t>RMKT_VID_10s_Recap_v1</t>
        </is>
      </c>
      <c r="M838" s="42" t="inlineStr">
        <is>
          <t>Video 9:16</t>
        </is>
      </c>
      <c r="N838" s="42" t="inlineStr">
        <is>
          <t>10 seconds. Then book.</t>
        </is>
      </c>
      <c r="O838" s="42" t="inlineStr">
        <is>
          <t>Auction - Lowest Cost</t>
        </is>
      </c>
      <c r="P838" s="42" t="inlineStr">
        <is>
          <t>Offsite Conversions</t>
        </is>
      </c>
      <c r="Q838" s="42" t="inlineStr">
        <is>
          <t>https://www.lepas-sa.co.za/book-a-test-drive</t>
        </is>
      </c>
      <c r="R838" s="115" t="n">
        <v>141.72</v>
      </c>
      <c r="S838" s="116" t="n">
        <v>1248</v>
      </c>
      <c r="T838" s="116" t="n">
        <v>879</v>
      </c>
      <c r="U838" s="117">
        <f>IFERROR(S838/T838,"")</f>
        <v/>
      </c>
      <c r="V838" s="116" t="n">
        <v>41</v>
      </c>
      <c r="W838" s="116" t="n">
        <v>34</v>
      </c>
      <c r="X838" s="118">
        <f>IFERROR(W838/S838,"")</f>
        <v/>
      </c>
      <c r="Y838" s="115">
        <f>IFERROR(R838/W838,"")</f>
        <v/>
      </c>
      <c r="Z838" s="115">
        <f>IFERROR(R838/S838*1000,"")</f>
        <v/>
      </c>
      <c r="AA838" s="116" t="n">
        <v>30</v>
      </c>
      <c r="AB838" s="47">
        <f>IFERROR(AA838/W838,"")</f>
        <v/>
      </c>
      <c r="AC838" s="116" t="n">
        <v>378</v>
      </c>
      <c r="AD838" s="116" t="n">
        <v>226</v>
      </c>
      <c r="AE838" s="116" t="n">
        <v>144</v>
      </c>
      <c r="AF838" s="116" t="n">
        <v>77</v>
      </c>
      <c r="AG838" s="116" t="n">
        <v>58</v>
      </c>
      <c r="AH838" s="116" t="n">
        <v>39</v>
      </c>
      <c r="AI838" s="47">
        <f>IFERROR(AC838/S838,"")</f>
        <v/>
      </c>
      <c r="AJ838" s="47">
        <f>IFERROR(AH838/S838,"")</f>
        <v/>
      </c>
      <c r="AK838" s="116" t="n">
        <v>22</v>
      </c>
      <c r="AL838" s="116" t="n">
        <v>2</v>
      </c>
      <c r="AM838" s="118">
        <f>IFERROR(AL838/AA838,"")</f>
        <v/>
      </c>
      <c r="AN838" s="119">
        <f>IFERROR(R838/AL838,"")</f>
        <v/>
      </c>
      <c r="AO838" s="116" t="n">
        <v>2</v>
      </c>
      <c r="AP838" s="47">
        <f>IFERROR(AO838/AL838,"")</f>
        <v/>
      </c>
      <c r="AQ838" s="119">
        <f>IFERROR(R838/AO838,"")</f>
        <v/>
      </c>
      <c r="AR838" s="116" t="n">
        <v>0</v>
      </c>
      <c r="AS838" s="116" t="n">
        <v>0</v>
      </c>
      <c r="AT838" s="116">
        <f>AL838+AR838</f>
        <v/>
      </c>
      <c r="AU838" s="119">
        <f>IFERROR(AO838*Assumptions!$C$26*Assumptions!$C$27*INDEX(Assumptions!$C$18:$C$21,MATCH(H838,Assumptions!$B$18:$B$21,0)),0)</f>
        <v/>
      </c>
    </row>
    <row r="839">
      <c r="A839" s="114" t="n">
        <v>46247</v>
      </c>
      <c r="B839" s="42" t="inlineStr">
        <is>
          <t>Wk 33</t>
        </is>
      </c>
      <c r="C839" s="42" t="inlineStr">
        <is>
          <t>Thu</t>
        </is>
      </c>
      <c r="D839" s="42" t="inlineStr">
        <is>
          <t>Meta (FB/IG)</t>
        </is>
      </c>
      <c r="E839" s="42" t="inlineStr">
        <is>
          <t>Facebook + Instagram</t>
        </is>
      </c>
      <c r="F839" s="42" t="inlineStr">
        <is>
          <t>LEP_ZA_AUG26_META_RMKT_ALL_CONV</t>
        </is>
      </c>
      <c r="G839" s="42" t="inlineStr">
        <is>
          <t>Leads - Website Conversions</t>
        </is>
      </c>
      <c r="H839" s="42" t="inlineStr">
        <is>
          <t>Range</t>
        </is>
      </c>
      <c r="I839" s="42" t="inlineStr">
        <is>
          <t>Range Offer</t>
        </is>
      </c>
      <c r="J839" s="42" t="inlineStr">
        <is>
          <t>MET_RMKT_VIDVIEW75_ZA</t>
        </is>
      </c>
      <c r="K839" s="42" t="inlineStr">
        <is>
          <t>Retargeting</t>
        </is>
      </c>
      <c r="L839" s="42" t="inlineStr">
        <is>
          <t>RMKT_VID_10s_Recap_v1</t>
        </is>
      </c>
      <c r="M839" s="42" t="inlineStr">
        <is>
          <t>Video 9:16</t>
        </is>
      </c>
      <c r="N839" s="42" t="inlineStr">
        <is>
          <t>10 seconds. Then book.</t>
        </is>
      </c>
      <c r="O839" s="42" t="inlineStr">
        <is>
          <t>Auction - Lowest Cost</t>
        </is>
      </c>
      <c r="P839" s="42" t="inlineStr">
        <is>
          <t>Offsite Conversions</t>
        </is>
      </c>
      <c r="Q839" s="42" t="inlineStr">
        <is>
          <t>https://www.lepas-sa.co.za/book-a-test-drive</t>
        </is>
      </c>
      <c r="R839" s="115" t="n">
        <v>151.15</v>
      </c>
      <c r="S839" s="116" t="n">
        <v>1557</v>
      </c>
      <c r="T839" s="116" t="n">
        <v>1072</v>
      </c>
      <c r="U839" s="117">
        <f>IFERROR(S839/T839,"")</f>
        <v/>
      </c>
      <c r="V839" s="116" t="n">
        <v>43</v>
      </c>
      <c r="W839" s="116" t="n">
        <v>32</v>
      </c>
      <c r="X839" s="118">
        <f>IFERROR(W839/S839,"")</f>
        <v/>
      </c>
      <c r="Y839" s="115">
        <f>IFERROR(R839/W839,"")</f>
        <v/>
      </c>
      <c r="Z839" s="115">
        <f>IFERROR(R839/S839*1000,"")</f>
        <v/>
      </c>
      <c r="AA839" s="116" t="n">
        <v>28</v>
      </c>
      <c r="AB839" s="47">
        <f>IFERROR(AA839/W839,"")</f>
        <v/>
      </c>
      <c r="AC839" s="116" t="n">
        <v>494</v>
      </c>
      <c r="AD839" s="116" t="n">
        <v>269</v>
      </c>
      <c r="AE839" s="116" t="n">
        <v>200</v>
      </c>
      <c r="AF839" s="116" t="n">
        <v>122</v>
      </c>
      <c r="AG839" s="116" t="n">
        <v>95</v>
      </c>
      <c r="AH839" s="116" t="n">
        <v>65</v>
      </c>
      <c r="AI839" s="47">
        <f>IFERROR(AC839/S839,"")</f>
        <v/>
      </c>
      <c r="AJ839" s="47">
        <f>IFERROR(AH839/S839,"")</f>
        <v/>
      </c>
      <c r="AK839" s="116" t="n">
        <v>24</v>
      </c>
      <c r="AL839" s="116" t="n">
        <v>1</v>
      </c>
      <c r="AM839" s="118">
        <f>IFERROR(AL839/AA839,"")</f>
        <v/>
      </c>
      <c r="AN839" s="119">
        <f>IFERROR(R839/AL839,"")</f>
        <v/>
      </c>
      <c r="AO839" s="116" t="n">
        <v>1</v>
      </c>
      <c r="AP839" s="47">
        <f>IFERROR(AO839/AL839,"")</f>
        <v/>
      </c>
      <c r="AQ839" s="119">
        <f>IFERROR(R839/AO839,"")</f>
        <v/>
      </c>
      <c r="AR839" s="116" t="n">
        <v>0</v>
      </c>
      <c r="AS839" s="116" t="n">
        <v>1</v>
      </c>
      <c r="AT839" s="116">
        <f>AL839+AR839</f>
        <v/>
      </c>
      <c r="AU839" s="119">
        <f>IFERROR(AO839*Assumptions!$C$26*Assumptions!$C$27*INDEX(Assumptions!$C$18:$C$21,MATCH(H839,Assumptions!$B$18:$B$21,0)),0)</f>
        <v/>
      </c>
    </row>
    <row r="840">
      <c r="A840" s="114" t="n">
        <v>46248</v>
      </c>
      <c r="B840" s="42" t="inlineStr">
        <is>
          <t>Wk 33</t>
        </is>
      </c>
      <c r="C840" s="42" t="inlineStr">
        <is>
          <t>Fri</t>
        </is>
      </c>
      <c r="D840" s="42" t="inlineStr">
        <is>
          <t>Meta (FB/IG)</t>
        </is>
      </c>
      <c r="E840" s="42" t="inlineStr">
        <is>
          <t>Facebook + Instagram</t>
        </is>
      </c>
      <c r="F840" s="42" t="inlineStr">
        <is>
          <t>LEP_ZA_AUG26_META_RMKT_ALL_CONV</t>
        </is>
      </c>
      <c r="G840" s="42" t="inlineStr">
        <is>
          <t>Leads - Website Conversions</t>
        </is>
      </c>
      <c r="H840" s="42" t="inlineStr">
        <is>
          <t>Range</t>
        </is>
      </c>
      <c r="I840" s="42" t="inlineStr">
        <is>
          <t>Range Offer</t>
        </is>
      </c>
      <c r="J840" s="42" t="inlineStr">
        <is>
          <t>MET_RMKT_VIDVIEW75_ZA</t>
        </is>
      </c>
      <c r="K840" s="42" t="inlineStr">
        <is>
          <t>Retargeting</t>
        </is>
      </c>
      <c r="L840" s="42" t="inlineStr">
        <is>
          <t>RMKT_VID_10s_Recap_v1</t>
        </is>
      </c>
      <c r="M840" s="42" t="inlineStr">
        <is>
          <t>Video 9:16</t>
        </is>
      </c>
      <c r="N840" s="42" t="inlineStr">
        <is>
          <t>10 seconds. Then book.</t>
        </is>
      </c>
      <c r="O840" s="42" t="inlineStr">
        <is>
          <t>Auction - Lowest Cost</t>
        </is>
      </c>
      <c r="P840" s="42" t="inlineStr">
        <is>
          <t>Offsite Conversions</t>
        </is>
      </c>
      <c r="Q840" s="42" t="inlineStr">
        <is>
          <t>https://www.lepas-sa.co.za/book-a-test-drive</t>
        </is>
      </c>
      <c r="R840" s="115" t="n">
        <v>174.14</v>
      </c>
      <c r="S840" s="116" t="n">
        <v>1552</v>
      </c>
      <c r="T840" s="116" t="n">
        <v>909</v>
      </c>
      <c r="U840" s="117">
        <f>IFERROR(S840/T840,"")</f>
        <v/>
      </c>
      <c r="V840" s="116" t="n">
        <v>38</v>
      </c>
      <c r="W840" s="116" t="n">
        <v>27</v>
      </c>
      <c r="X840" s="118">
        <f>IFERROR(W840/S840,"")</f>
        <v/>
      </c>
      <c r="Y840" s="115">
        <f>IFERROR(R840/W840,"")</f>
        <v/>
      </c>
      <c r="Z840" s="115">
        <f>IFERROR(R840/S840*1000,"")</f>
        <v/>
      </c>
      <c r="AA840" s="116" t="n">
        <v>24</v>
      </c>
      <c r="AB840" s="47">
        <f>IFERROR(AA840/W840,"")</f>
        <v/>
      </c>
      <c r="AC840" s="116" t="n">
        <v>359</v>
      </c>
      <c r="AD840" s="116" t="n">
        <v>195</v>
      </c>
      <c r="AE840" s="116" t="n">
        <v>149</v>
      </c>
      <c r="AF840" s="116" t="n">
        <v>85</v>
      </c>
      <c r="AG840" s="116" t="n">
        <v>62</v>
      </c>
      <c r="AH840" s="116" t="n">
        <v>37</v>
      </c>
      <c r="AI840" s="47">
        <f>IFERROR(AC840/S840,"")</f>
        <v/>
      </c>
      <c r="AJ840" s="47">
        <f>IFERROR(AH840/S840,"")</f>
        <v/>
      </c>
      <c r="AK840" s="116" t="n">
        <v>24</v>
      </c>
      <c r="AL840" s="116" t="n">
        <v>0</v>
      </c>
      <c r="AM840" s="118">
        <f>IFERROR(AL840/AA840,"")</f>
        <v/>
      </c>
      <c r="AN840" s="119">
        <f>IFERROR(R840/AL840,"")</f>
        <v/>
      </c>
      <c r="AO840" s="116" t="n">
        <v>0</v>
      </c>
      <c r="AP840" s="47">
        <f>IFERROR(AO840/AL840,"")</f>
        <v/>
      </c>
      <c r="AQ840" s="119">
        <f>IFERROR(R840/AO840,"")</f>
        <v/>
      </c>
      <c r="AR840" s="116" t="n">
        <v>0</v>
      </c>
      <c r="AS840" s="116" t="n">
        <v>0</v>
      </c>
      <c r="AT840" s="116">
        <f>AL840+AR840</f>
        <v/>
      </c>
      <c r="AU840" s="119">
        <f>IFERROR(AO840*Assumptions!$C$26*Assumptions!$C$27*INDEX(Assumptions!$C$18:$C$21,MATCH(H840,Assumptions!$B$18:$B$21,0)),0)</f>
        <v/>
      </c>
    </row>
    <row r="841">
      <c r="A841" s="114" t="n">
        <v>46249</v>
      </c>
      <c r="B841" s="42" t="inlineStr">
        <is>
          <t>Wk 33</t>
        </is>
      </c>
      <c r="C841" s="42" t="inlineStr">
        <is>
          <t>Sat</t>
        </is>
      </c>
      <c r="D841" s="42" t="inlineStr">
        <is>
          <t>Meta (FB/IG)</t>
        </is>
      </c>
      <c r="E841" s="42" t="inlineStr">
        <is>
          <t>Facebook + Instagram</t>
        </is>
      </c>
      <c r="F841" s="42" t="inlineStr">
        <is>
          <t>LEP_ZA_AUG26_META_RMKT_ALL_CONV</t>
        </is>
      </c>
      <c r="G841" s="42" t="inlineStr">
        <is>
          <t>Leads - Website Conversions</t>
        </is>
      </c>
      <c r="H841" s="42" t="inlineStr">
        <is>
          <t>Range</t>
        </is>
      </c>
      <c r="I841" s="42" t="inlineStr">
        <is>
          <t>Range Offer</t>
        </is>
      </c>
      <c r="J841" s="42" t="inlineStr">
        <is>
          <t>MET_RMKT_VIDVIEW75_ZA</t>
        </is>
      </c>
      <c r="K841" s="42" t="inlineStr">
        <is>
          <t>Retargeting</t>
        </is>
      </c>
      <c r="L841" s="42" t="inlineStr">
        <is>
          <t>RMKT_VID_10s_Recap_v1</t>
        </is>
      </c>
      <c r="M841" s="42" t="inlineStr">
        <is>
          <t>Video 9:16</t>
        </is>
      </c>
      <c r="N841" s="42" t="inlineStr">
        <is>
          <t>10 seconds. Then book.</t>
        </is>
      </c>
      <c r="O841" s="42" t="inlineStr">
        <is>
          <t>Auction - Lowest Cost</t>
        </is>
      </c>
      <c r="P841" s="42" t="inlineStr">
        <is>
          <t>Offsite Conversions</t>
        </is>
      </c>
      <c r="Q841" s="42" t="inlineStr">
        <is>
          <t>https://www.lepas-sa.co.za/book-a-test-drive</t>
        </is>
      </c>
      <c r="R841" s="115" t="n">
        <v>162.62</v>
      </c>
      <c r="S841" s="116" t="n">
        <v>1435</v>
      </c>
      <c r="T841" s="116" t="n">
        <v>916</v>
      </c>
      <c r="U841" s="117">
        <f>IFERROR(S841/T841,"")</f>
        <v/>
      </c>
      <c r="V841" s="116" t="n">
        <v>50</v>
      </c>
      <c r="W841" s="116" t="n">
        <v>38</v>
      </c>
      <c r="X841" s="118">
        <f>IFERROR(W841/S841,"")</f>
        <v/>
      </c>
      <c r="Y841" s="115">
        <f>IFERROR(R841/W841,"")</f>
        <v/>
      </c>
      <c r="Z841" s="115">
        <f>IFERROR(R841/S841*1000,"")</f>
        <v/>
      </c>
      <c r="AA841" s="116" t="n">
        <v>31</v>
      </c>
      <c r="AB841" s="47">
        <f>IFERROR(AA841/W841,"")</f>
        <v/>
      </c>
      <c r="AC841" s="116" t="n">
        <v>465</v>
      </c>
      <c r="AD841" s="116" t="n">
        <v>264</v>
      </c>
      <c r="AE841" s="116" t="n">
        <v>212</v>
      </c>
      <c r="AF841" s="116" t="n">
        <v>117</v>
      </c>
      <c r="AG841" s="116" t="n">
        <v>86</v>
      </c>
      <c r="AH841" s="116" t="n">
        <v>62</v>
      </c>
      <c r="AI841" s="47">
        <f>IFERROR(AC841/S841,"")</f>
        <v/>
      </c>
      <c r="AJ841" s="47">
        <f>IFERROR(AH841/S841,"")</f>
        <v/>
      </c>
      <c r="AK841" s="116" t="n">
        <v>47</v>
      </c>
      <c r="AL841" s="116" t="n">
        <v>1</v>
      </c>
      <c r="AM841" s="118">
        <f>IFERROR(AL841/AA841,"")</f>
        <v/>
      </c>
      <c r="AN841" s="119">
        <f>IFERROR(R841/AL841,"")</f>
        <v/>
      </c>
      <c r="AO841" s="116" t="n">
        <v>0</v>
      </c>
      <c r="AP841" s="47">
        <f>IFERROR(AO841/AL841,"")</f>
        <v/>
      </c>
      <c r="AQ841" s="119">
        <f>IFERROR(R841/AO841,"")</f>
        <v/>
      </c>
      <c r="AR841" s="116" t="n">
        <v>0</v>
      </c>
      <c r="AS841" s="116" t="n">
        <v>0</v>
      </c>
      <c r="AT841" s="116">
        <f>AL841+AR841</f>
        <v/>
      </c>
      <c r="AU841" s="119">
        <f>IFERROR(AO841*Assumptions!$C$26*Assumptions!$C$27*INDEX(Assumptions!$C$18:$C$21,MATCH(H841,Assumptions!$B$18:$B$21,0)),0)</f>
        <v/>
      </c>
    </row>
    <row r="842">
      <c r="A842" s="114" t="n">
        <v>46250</v>
      </c>
      <c r="B842" s="42" t="inlineStr">
        <is>
          <t>Wk 33</t>
        </is>
      </c>
      <c r="C842" s="42" t="inlineStr">
        <is>
          <t>Sun</t>
        </is>
      </c>
      <c r="D842" s="42" t="inlineStr">
        <is>
          <t>Meta (FB/IG)</t>
        </is>
      </c>
      <c r="E842" s="42" t="inlineStr">
        <is>
          <t>Facebook + Instagram</t>
        </is>
      </c>
      <c r="F842" s="42" t="inlineStr">
        <is>
          <t>LEP_ZA_AUG26_META_RMKT_ALL_CONV</t>
        </is>
      </c>
      <c r="G842" s="42" t="inlineStr">
        <is>
          <t>Leads - Website Conversions</t>
        </is>
      </c>
      <c r="H842" s="42" t="inlineStr">
        <is>
          <t>Range</t>
        </is>
      </c>
      <c r="I842" s="42" t="inlineStr">
        <is>
          <t>Range Offer</t>
        </is>
      </c>
      <c r="J842" s="42" t="inlineStr">
        <is>
          <t>MET_RMKT_VIDVIEW75_ZA</t>
        </is>
      </c>
      <c r="K842" s="42" t="inlineStr">
        <is>
          <t>Retargeting</t>
        </is>
      </c>
      <c r="L842" s="42" t="inlineStr">
        <is>
          <t>RMKT_VID_10s_Recap_v1</t>
        </is>
      </c>
      <c r="M842" s="42" t="inlineStr">
        <is>
          <t>Video 9:16</t>
        </is>
      </c>
      <c r="N842" s="42" t="inlineStr">
        <is>
          <t>10 seconds. Then book.</t>
        </is>
      </c>
      <c r="O842" s="42" t="inlineStr">
        <is>
          <t>Auction - Lowest Cost</t>
        </is>
      </c>
      <c r="P842" s="42" t="inlineStr">
        <is>
          <t>Offsite Conversions</t>
        </is>
      </c>
      <c r="Q842" s="42" t="inlineStr">
        <is>
          <t>https://www.lepas-sa.co.za/book-a-test-drive</t>
        </is>
      </c>
      <c r="R842" s="115" t="n">
        <v>113.04</v>
      </c>
      <c r="S842" s="116" t="n">
        <v>988</v>
      </c>
      <c r="T842" s="116" t="n">
        <v>564</v>
      </c>
      <c r="U842" s="117">
        <f>IFERROR(S842/T842,"")</f>
        <v/>
      </c>
      <c r="V842" s="116" t="n">
        <v>33</v>
      </c>
      <c r="W842" s="116" t="n">
        <v>25</v>
      </c>
      <c r="X842" s="118">
        <f>IFERROR(W842/S842,"")</f>
        <v/>
      </c>
      <c r="Y842" s="115">
        <f>IFERROR(R842/W842,"")</f>
        <v/>
      </c>
      <c r="Z842" s="115">
        <f>IFERROR(R842/S842*1000,"")</f>
        <v/>
      </c>
      <c r="AA842" s="116" t="n">
        <v>21</v>
      </c>
      <c r="AB842" s="47">
        <f>IFERROR(AA842/W842,"")</f>
        <v/>
      </c>
      <c r="AC842" s="116" t="n">
        <v>374</v>
      </c>
      <c r="AD842" s="116" t="n">
        <v>228</v>
      </c>
      <c r="AE842" s="116" t="n">
        <v>173</v>
      </c>
      <c r="AF842" s="116" t="n">
        <v>110</v>
      </c>
      <c r="AG842" s="116" t="n">
        <v>74</v>
      </c>
      <c r="AH842" s="116" t="n">
        <v>42</v>
      </c>
      <c r="AI842" s="47">
        <f>IFERROR(AC842/S842,"")</f>
        <v/>
      </c>
      <c r="AJ842" s="47">
        <f>IFERROR(AH842/S842,"")</f>
        <v/>
      </c>
      <c r="AK842" s="116" t="n">
        <v>31</v>
      </c>
      <c r="AL842" s="116" t="n">
        <v>1</v>
      </c>
      <c r="AM842" s="118">
        <f>IFERROR(AL842/AA842,"")</f>
        <v/>
      </c>
      <c r="AN842" s="119">
        <f>IFERROR(R842/AL842,"")</f>
        <v/>
      </c>
      <c r="AO842" s="116" t="n">
        <v>1</v>
      </c>
      <c r="AP842" s="47">
        <f>IFERROR(AO842/AL842,"")</f>
        <v/>
      </c>
      <c r="AQ842" s="119">
        <f>IFERROR(R842/AO842,"")</f>
        <v/>
      </c>
      <c r="AR842" s="116" t="n">
        <v>0</v>
      </c>
      <c r="AS842" s="116" t="n">
        <v>1</v>
      </c>
      <c r="AT842" s="116">
        <f>AL842+AR842</f>
        <v/>
      </c>
      <c r="AU842" s="119">
        <f>IFERROR(AO842*Assumptions!$C$26*Assumptions!$C$27*INDEX(Assumptions!$C$18:$C$21,MATCH(H842,Assumptions!$B$18:$B$21,0)),0)</f>
        <v/>
      </c>
    </row>
    <row r="843">
      <c r="A843" s="114" t="n">
        <v>46251</v>
      </c>
      <c r="B843" s="42" t="inlineStr">
        <is>
          <t>Wk 34</t>
        </is>
      </c>
      <c r="C843" s="42" t="inlineStr">
        <is>
          <t>Mon</t>
        </is>
      </c>
      <c r="D843" s="42" t="inlineStr">
        <is>
          <t>Meta (FB/IG)</t>
        </is>
      </c>
      <c r="E843" s="42" t="inlineStr">
        <is>
          <t>Facebook + Instagram</t>
        </is>
      </c>
      <c r="F843" s="42" t="inlineStr">
        <is>
          <t>LEP_ZA_AUG26_META_RMKT_ALL_CONV</t>
        </is>
      </c>
      <c r="G843" s="42" t="inlineStr">
        <is>
          <t>Leads - Website Conversions</t>
        </is>
      </c>
      <c r="H843" s="42" t="inlineStr">
        <is>
          <t>Range</t>
        </is>
      </c>
      <c r="I843" s="42" t="inlineStr">
        <is>
          <t>Range Offer</t>
        </is>
      </c>
      <c r="J843" s="42" t="inlineStr">
        <is>
          <t>MET_RMKT_VIDVIEW75_ZA</t>
        </is>
      </c>
      <c r="K843" s="42" t="inlineStr">
        <is>
          <t>Retargeting</t>
        </is>
      </c>
      <c r="L843" s="42" t="inlineStr">
        <is>
          <t>RMKT_VID_10s_Recap_v1</t>
        </is>
      </c>
      <c r="M843" s="42" t="inlineStr">
        <is>
          <t>Video 9:16</t>
        </is>
      </c>
      <c r="N843" s="42" t="inlineStr">
        <is>
          <t>10 seconds. Then book.</t>
        </is>
      </c>
      <c r="O843" s="42" t="inlineStr">
        <is>
          <t>Auction - Lowest Cost</t>
        </is>
      </c>
      <c r="P843" s="42" t="inlineStr">
        <is>
          <t>Offsite Conversions</t>
        </is>
      </c>
      <c r="Q843" s="42" t="inlineStr">
        <is>
          <t>https://www.lepas-sa.co.za/book-a-test-drive</t>
        </is>
      </c>
      <c r="R843" s="115" t="n">
        <v>123.12</v>
      </c>
      <c r="S843" s="116" t="n">
        <v>1265</v>
      </c>
      <c r="T843" s="116" t="n">
        <v>694</v>
      </c>
      <c r="U843" s="117">
        <f>IFERROR(S843/T843,"")</f>
        <v/>
      </c>
      <c r="V843" s="116" t="n">
        <v>22</v>
      </c>
      <c r="W843" s="116" t="n">
        <v>16</v>
      </c>
      <c r="X843" s="118">
        <f>IFERROR(W843/S843,"")</f>
        <v/>
      </c>
      <c r="Y843" s="115">
        <f>IFERROR(R843/W843,"")</f>
        <v/>
      </c>
      <c r="Z843" s="115">
        <f>IFERROR(R843/S843*1000,"")</f>
        <v/>
      </c>
      <c r="AA843" s="116" t="n">
        <v>14</v>
      </c>
      <c r="AB843" s="47">
        <f>IFERROR(AA843/W843,"")</f>
        <v/>
      </c>
      <c r="AC843" s="116" t="n">
        <v>390</v>
      </c>
      <c r="AD843" s="116" t="n">
        <v>212</v>
      </c>
      <c r="AE843" s="116" t="n">
        <v>151</v>
      </c>
      <c r="AF843" s="116" t="n">
        <v>104</v>
      </c>
      <c r="AG843" s="116" t="n">
        <v>71</v>
      </c>
      <c r="AH843" s="116" t="n">
        <v>43</v>
      </c>
      <c r="AI843" s="47">
        <f>IFERROR(AC843/S843,"")</f>
        <v/>
      </c>
      <c r="AJ843" s="47">
        <f>IFERROR(AH843/S843,"")</f>
        <v/>
      </c>
      <c r="AK843" s="116" t="n">
        <v>24</v>
      </c>
      <c r="AL843" s="116" t="n">
        <v>1</v>
      </c>
      <c r="AM843" s="118">
        <f>IFERROR(AL843/AA843,"")</f>
        <v/>
      </c>
      <c r="AN843" s="119">
        <f>IFERROR(R843/AL843,"")</f>
        <v/>
      </c>
      <c r="AO843" s="116" t="n">
        <v>1</v>
      </c>
      <c r="AP843" s="47">
        <f>IFERROR(AO843/AL843,"")</f>
        <v/>
      </c>
      <c r="AQ843" s="119">
        <f>IFERROR(R843/AO843,"")</f>
        <v/>
      </c>
      <c r="AR843" s="116" t="n">
        <v>0</v>
      </c>
      <c r="AS843" s="116" t="n">
        <v>1</v>
      </c>
      <c r="AT843" s="116">
        <f>AL843+AR843</f>
        <v/>
      </c>
      <c r="AU843" s="119">
        <f>IFERROR(AO843*Assumptions!$C$26*Assumptions!$C$27*INDEX(Assumptions!$C$18:$C$21,MATCH(H843,Assumptions!$B$18:$B$21,0)),0)</f>
        <v/>
      </c>
    </row>
    <row r="844">
      <c r="A844" s="114" t="n">
        <v>46252</v>
      </c>
      <c r="B844" s="42" t="inlineStr">
        <is>
          <t>Wk 34</t>
        </is>
      </c>
      <c r="C844" s="42" t="inlineStr">
        <is>
          <t>Tue</t>
        </is>
      </c>
      <c r="D844" s="42" t="inlineStr">
        <is>
          <t>Meta (FB/IG)</t>
        </is>
      </c>
      <c r="E844" s="42" t="inlineStr">
        <is>
          <t>Facebook + Instagram</t>
        </is>
      </c>
      <c r="F844" s="42" t="inlineStr">
        <is>
          <t>LEP_ZA_AUG26_META_RMKT_ALL_CONV</t>
        </is>
      </c>
      <c r="G844" s="42" t="inlineStr">
        <is>
          <t>Leads - Website Conversions</t>
        </is>
      </c>
      <c r="H844" s="42" t="inlineStr">
        <is>
          <t>Range</t>
        </is>
      </c>
      <c r="I844" s="42" t="inlineStr">
        <is>
          <t>Range Offer</t>
        </is>
      </c>
      <c r="J844" s="42" t="inlineStr">
        <is>
          <t>MET_RMKT_VIDVIEW75_ZA</t>
        </is>
      </c>
      <c r="K844" s="42" t="inlineStr">
        <is>
          <t>Retargeting</t>
        </is>
      </c>
      <c r="L844" s="42" t="inlineStr">
        <is>
          <t>RMKT_VID_10s_Recap_v1</t>
        </is>
      </c>
      <c r="M844" s="42" t="inlineStr">
        <is>
          <t>Video 9:16</t>
        </is>
      </c>
      <c r="N844" s="42" t="inlineStr">
        <is>
          <t>10 seconds. Then book.</t>
        </is>
      </c>
      <c r="O844" s="42" t="inlineStr">
        <is>
          <t>Auction - Lowest Cost</t>
        </is>
      </c>
      <c r="P844" s="42" t="inlineStr">
        <is>
          <t>Offsite Conversions</t>
        </is>
      </c>
      <c r="Q844" s="42" t="inlineStr">
        <is>
          <t>https://www.lepas-sa.co.za/book-a-test-drive</t>
        </is>
      </c>
      <c r="R844" s="115" t="n">
        <v>129.81</v>
      </c>
      <c r="S844" s="116" t="n">
        <v>1129</v>
      </c>
      <c r="T844" s="116" t="n">
        <v>635</v>
      </c>
      <c r="U844" s="117">
        <f>IFERROR(S844/T844,"")</f>
        <v/>
      </c>
      <c r="V844" s="116" t="n">
        <v>20</v>
      </c>
      <c r="W844" s="116" t="n">
        <v>16</v>
      </c>
      <c r="X844" s="118">
        <f>IFERROR(W844/S844,"")</f>
        <v/>
      </c>
      <c r="Y844" s="115">
        <f>IFERROR(R844/W844,"")</f>
        <v/>
      </c>
      <c r="Z844" s="115">
        <f>IFERROR(R844/S844*1000,"")</f>
        <v/>
      </c>
      <c r="AA844" s="116" t="n">
        <v>15</v>
      </c>
      <c r="AB844" s="47">
        <f>IFERROR(AA844/W844,"")</f>
        <v/>
      </c>
      <c r="AC844" s="116" t="n">
        <v>430</v>
      </c>
      <c r="AD844" s="116" t="n">
        <v>223</v>
      </c>
      <c r="AE844" s="116" t="n">
        <v>169</v>
      </c>
      <c r="AF844" s="116" t="n">
        <v>90</v>
      </c>
      <c r="AG844" s="116" t="n">
        <v>68</v>
      </c>
      <c r="AH844" s="116" t="n">
        <v>49</v>
      </c>
      <c r="AI844" s="47">
        <f>IFERROR(AC844/S844,"")</f>
        <v/>
      </c>
      <c r="AJ844" s="47">
        <f>IFERROR(AH844/S844,"")</f>
        <v/>
      </c>
      <c r="AK844" s="116" t="n">
        <v>33</v>
      </c>
      <c r="AL844" s="116" t="n">
        <v>0</v>
      </c>
      <c r="AM844" s="118">
        <f>IFERROR(AL844/AA844,"")</f>
        <v/>
      </c>
      <c r="AN844" s="119">
        <f>IFERROR(R844/AL844,"")</f>
        <v/>
      </c>
      <c r="AO844" s="116" t="n">
        <v>0</v>
      </c>
      <c r="AP844" s="47">
        <f>IFERROR(AO844/AL844,"")</f>
        <v/>
      </c>
      <c r="AQ844" s="119">
        <f>IFERROR(R844/AO844,"")</f>
        <v/>
      </c>
      <c r="AR844" s="116" t="n">
        <v>0</v>
      </c>
      <c r="AS844" s="116" t="n">
        <v>0</v>
      </c>
      <c r="AT844" s="116">
        <f>AL844+AR844</f>
        <v/>
      </c>
      <c r="AU844" s="119">
        <f>IFERROR(AO844*Assumptions!$C$26*Assumptions!$C$27*INDEX(Assumptions!$C$18:$C$21,MATCH(H844,Assumptions!$B$18:$B$21,0)),0)</f>
        <v/>
      </c>
    </row>
    <row r="845">
      <c r="A845" s="114" t="n">
        <v>46253</v>
      </c>
      <c r="B845" s="42" t="inlineStr">
        <is>
          <t>Wk 34</t>
        </is>
      </c>
      <c r="C845" s="42" t="inlineStr">
        <is>
          <t>Wed</t>
        </is>
      </c>
      <c r="D845" s="42" t="inlineStr">
        <is>
          <t>Meta (FB/IG)</t>
        </is>
      </c>
      <c r="E845" s="42" t="inlineStr">
        <is>
          <t>Facebook + Instagram</t>
        </is>
      </c>
      <c r="F845" s="42" t="inlineStr">
        <is>
          <t>LEP_ZA_AUG26_META_RMKT_ALL_CONV</t>
        </is>
      </c>
      <c r="G845" s="42" t="inlineStr">
        <is>
          <t>Leads - Website Conversions</t>
        </is>
      </c>
      <c r="H845" s="42" t="inlineStr">
        <is>
          <t>Range</t>
        </is>
      </c>
      <c r="I845" s="42" t="inlineStr">
        <is>
          <t>Range Offer</t>
        </is>
      </c>
      <c r="J845" s="42" t="inlineStr">
        <is>
          <t>MET_RMKT_VIDVIEW75_ZA</t>
        </is>
      </c>
      <c r="K845" s="42" t="inlineStr">
        <is>
          <t>Retargeting</t>
        </is>
      </c>
      <c r="L845" s="42" t="inlineStr">
        <is>
          <t>RMKT_VID_10s_Recap_v1</t>
        </is>
      </c>
      <c r="M845" s="42" t="inlineStr">
        <is>
          <t>Video 9:16</t>
        </is>
      </c>
      <c r="N845" s="42" t="inlineStr">
        <is>
          <t>10 seconds. Then book.</t>
        </is>
      </c>
      <c r="O845" s="42" t="inlineStr">
        <is>
          <t>Auction - Lowest Cost</t>
        </is>
      </c>
      <c r="P845" s="42" t="inlineStr">
        <is>
          <t>Offsite Conversions</t>
        </is>
      </c>
      <c r="Q845" s="42" t="inlineStr">
        <is>
          <t>https://www.lepas-sa.co.za/book-a-test-drive</t>
        </is>
      </c>
      <c r="R845" s="115" t="n">
        <v>140.79</v>
      </c>
      <c r="S845" s="116" t="n">
        <v>2172</v>
      </c>
      <c r="T845" s="116" t="n">
        <v>1186</v>
      </c>
      <c r="U845" s="117">
        <f>IFERROR(S845/T845,"")</f>
        <v/>
      </c>
      <c r="V845" s="116" t="n">
        <v>56</v>
      </c>
      <c r="W845" s="116" t="n">
        <v>43</v>
      </c>
      <c r="X845" s="118">
        <f>IFERROR(W845/S845,"")</f>
        <v/>
      </c>
      <c r="Y845" s="115">
        <f>IFERROR(R845/W845,"")</f>
        <v/>
      </c>
      <c r="Z845" s="115">
        <f>IFERROR(R845/S845*1000,"")</f>
        <v/>
      </c>
      <c r="AA845" s="116" t="n">
        <v>36</v>
      </c>
      <c r="AB845" s="47">
        <f>IFERROR(AA845/W845,"")</f>
        <v/>
      </c>
      <c r="AC845" s="116" t="n">
        <v>520</v>
      </c>
      <c r="AD845" s="116" t="n">
        <v>231</v>
      </c>
      <c r="AE845" s="116" t="n">
        <v>279</v>
      </c>
      <c r="AF845" s="116" t="n">
        <v>171</v>
      </c>
      <c r="AG845" s="116" t="n">
        <v>120</v>
      </c>
      <c r="AH845" s="116" t="n">
        <v>82</v>
      </c>
      <c r="AI845" s="47">
        <f>IFERROR(AC845/S845,"")</f>
        <v/>
      </c>
      <c r="AJ845" s="47">
        <f>IFERROR(AH845/S845,"")</f>
        <v/>
      </c>
      <c r="AK845" s="116" t="n">
        <v>22</v>
      </c>
      <c r="AL845" s="116" t="n">
        <v>1</v>
      </c>
      <c r="AM845" s="118">
        <f>IFERROR(AL845/AA845,"")</f>
        <v/>
      </c>
      <c r="AN845" s="119">
        <f>IFERROR(R845/AL845,"")</f>
        <v/>
      </c>
      <c r="AO845" s="116" t="n">
        <v>0</v>
      </c>
      <c r="AP845" s="47">
        <f>IFERROR(AO845/AL845,"")</f>
        <v/>
      </c>
      <c r="AQ845" s="119">
        <f>IFERROR(R845/AO845,"")</f>
        <v/>
      </c>
      <c r="AR845" s="116" t="n">
        <v>1</v>
      </c>
      <c r="AS845" s="116" t="n">
        <v>0</v>
      </c>
      <c r="AT845" s="116">
        <f>AL845+AR845</f>
        <v/>
      </c>
      <c r="AU845" s="119">
        <f>IFERROR(AO845*Assumptions!$C$26*Assumptions!$C$27*INDEX(Assumptions!$C$18:$C$21,MATCH(H845,Assumptions!$B$18:$B$21,0)),0)</f>
        <v/>
      </c>
    </row>
    <row r="846">
      <c r="A846" s="114" t="n">
        <v>46254</v>
      </c>
      <c r="B846" s="42" t="inlineStr">
        <is>
          <t>Wk 34</t>
        </is>
      </c>
      <c r="C846" s="42" t="inlineStr">
        <is>
          <t>Thu</t>
        </is>
      </c>
      <c r="D846" s="42" t="inlineStr">
        <is>
          <t>Meta (FB/IG)</t>
        </is>
      </c>
      <c r="E846" s="42" t="inlineStr">
        <is>
          <t>Facebook + Instagram</t>
        </is>
      </c>
      <c r="F846" s="42" t="inlineStr">
        <is>
          <t>LEP_ZA_AUG26_META_RMKT_ALL_CONV</t>
        </is>
      </c>
      <c r="G846" s="42" t="inlineStr">
        <is>
          <t>Leads - Website Conversions</t>
        </is>
      </c>
      <c r="H846" s="42" t="inlineStr">
        <is>
          <t>Range</t>
        </is>
      </c>
      <c r="I846" s="42" t="inlineStr">
        <is>
          <t>Range Offer</t>
        </is>
      </c>
      <c r="J846" s="42" t="inlineStr">
        <is>
          <t>MET_RMKT_VIDVIEW75_ZA</t>
        </is>
      </c>
      <c r="K846" s="42" t="inlineStr">
        <is>
          <t>Retargeting</t>
        </is>
      </c>
      <c r="L846" s="42" t="inlineStr">
        <is>
          <t>RMKT_VID_10s_Recap_v1</t>
        </is>
      </c>
      <c r="M846" s="42" t="inlineStr">
        <is>
          <t>Video 9:16</t>
        </is>
      </c>
      <c r="N846" s="42" t="inlineStr">
        <is>
          <t>10 seconds. Then book.</t>
        </is>
      </c>
      <c r="O846" s="42" t="inlineStr">
        <is>
          <t>Auction - Lowest Cost</t>
        </is>
      </c>
      <c r="P846" s="42" t="inlineStr">
        <is>
          <t>Offsite Conversions</t>
        </is>
      </c>
      <c r="Q846" s="42" t="inlineStr">
        <is>
          <t>https://www.lepas-sa.co.za/book-a-test-drive</t>
        </is>
      </c>
      <c r="R846" s="115" t="n">
        <v>145.6</v>
      </c>
      <c r="S846" s="116" t="n">
        <v>1679</v>
      </c>
      <c r="T846" s="116" t="n">
        <v>1025</v>
      </c>
      <c r="U846" s="117">
        <f>IFERROR(S846/T846,"")</f>
        <v/>
      </c>
      <c r="V846" s="116" t="n">
        <v>42</v>
      </c>
      <c r="W846" s="116" t="n">
        <v>33</v>
      </c>
      <c r="X846" s="118">
        <f>IFERROR(W846/S846,"")</f>
        <v/>
      </c>
      <c r="Y846" s="115">
        <f>IFERROR(R846/W846,"")</f>
        <v/>
      </c>
      <c r="Z846" s="115">
        <f>IFERROR(R846/S846*1000,"")</f>
        <v/>
      </c>
      <c r="AA846" s="116" t="n">
        <v>30</v>
      </c>
      <c r="AB846" s="47">
        <f>IFERROR(AA846/W846,"")</f>
        <v/>
      </c>
      <c r="AC846" s="116" t="n">
        <v>457</v>
      </c>
      <c r="AD846" s="116" t="n">
        <v>233</v>
      </c>
      <c r="AE846" s="116" t="n">
        <v>187</v>
      </c>
      <c r="AF846" s="116" t="n">
        <v>116</v>
      </c>
      <c r="AG846" s="116" t="n">
        <v>76</v>
      </c>
      <c r="AH846" s="116" t="n">
        <v>49</v>
      </c>
      <c r="AI846" s="47">
        <f>IFERROR(AC846/S846,"")</f>
        <v/>
      </c>
      <c r="AJ846" s="47">
        <f>IFERROR(AH846/S846,"")</f>
        <v/>
      </c>
      <c r="AK846" s="116" t="n">
        <v>40</v>
      </c>
      <c r="AL846" s="116" t="n">
        <v>1</v>
      </c>
      <c r="AM846" s="118">
        <f>IFERROR(AL846/AA846,"")</f>
        <v/>
      </c>
      <c r="AN846" s="119">
        <f>IFERROR(R846/AL846,"")</f>
        <v/>
      </c>
      <c r="AO846" s="116" t="n">
        <v>1</v>
      </c>
      <c r="AP846" s="47">
        <f>IFERROR(AO846/AL846,"")</f>
        <v/>
      </c>
      <c r="AQ846" s="119">
        <f>IFERROR(R846/AO846,"")</f>
        <v/>
      </c>
      <c r="AR846" s="116" t="n">
        <v>0</v>
      </c>
      <c r="AS846" s="116" t="n">
        <v>0</v>
      </c>
      <c r="AT846" s="116">
        <f>AL846+AR846</f>
        <v/>
      </c>
      <c r="AU846" s="119">
        <f>IFERROR(AO846*Assumptions!$C$26*Assumptions!$C$27*INDEX(Assumptions!$C$18:$C$21,MATCH(H846,Assumptions!$B$18:$B$21,0)),0)</f>
        <v/>
      </c>
    </row>
    <row r="847">
      <c r="A847" s="114" t="n">
        <v>46255</v>
      </c>
      <c r="B847" s="42" t="inlineStr">
        <is>
          <t>Wk 34</t>
        </is>
      </c>
      <c r="C847" s="42" t="inlineStr">
        <is>
          <t>Fri</t>
        </is>
      </c>
      <c r="D847" s="42" t="inlineStr">
        <is>
          <t>Meta (FB/IG)</t>
        </is>
      </c>
      <c r="E847" s="42" t="inlineStr">
        <is>
          <t>Facebook + Instagram</t>
        </is>
      </c>
      <c r="F847" s="42" t="inlineStr">
        <is>
          <t>LEP_ZA_AUG26_META_RMKT_ALL_CONV</t>
        </is>
      </c>
      <c r="G847" s="42" t="inlineStr">
        <is>
          <t>Leads - Website Conversions</t>
        </is>
      </c>
      <c r="H847" s="42" t="inlineStr">
        <is>
          <t>Range</t>
        </is>
      </c>
      <c r="I847" s="42" t="inlineStr">
        <is>
          <t>Range Offer</t>
        </is>
      </c>
      <c r="J847" s="42" t="inlineStr">
        <is>
          <t>MET_RMKT_VIDVIEW75_ZA</t>
        </is>
      </c>
      <c r="K847" s="42" t="inlineStr">
        <is>
          <t>Retargeting</t>
        </is>
      </c>
      <c r="L847" s="42" t="inlineStr">
        <is>
          <t>RMKT_VID_10s_Recap_v1</t>
        </is>
      </c>
      <c r="M847" s="42" t="inlineStr">
        <is>
          <t>Video 9:16</t>
        </is>
      </c>
      <c r="N847" s="42" t="inlineStr">
        <is>
          <t>10 seconds. Then book.</t>
        </is>
      </c>
      <c r="O847" s="42" t="inlineStr">
        <is>
          <t>Auction - Lowest Cost</t>
        </is>
      </c>
      <c r="P847" s="42" t="inlineStr">
        <is>
          <t>Offsite Conversions</t>
        </is>
      </c>
      <c r="Q847" s="42" t="inlineStr">
        <is>
          <t>https://www.lepas-sa.co.za/book-a-test-drive</t>
        </is>
      </c>
      <c r="R847" s="115" t="n">
        <v>177.38</v>
      </c>
      <c r="S847" s="116" t="n">
        <v>2495</v>
      </c>
      <c r="T847" s="116" t="n">
        <v>1804</v>
      </c>
      <c r="U847" s="117">
        <f>IFERROR(S847/T847,"")</f>
        <v/>
      </c>
      <c r="V847" s="116" t="n">
        <v>86</v>
      </c>
      <c r="W847" s="116" t="n">
        <v>63</v>
      </c>
      <c r="X847" s="118">
        <f>IFERROR(W847/S847,"")</f>
        <v/>
      </c>
      <c r="Y847" s="115">
        <f>IFERROR(R847/W847,"")</f>
        <v/>
      </c>
      <c r="Z847" s="115">
        <f>IFERROR(R847/S847*1000,"")</f>
        <v/>
      </c>
      <c r="AA847" s="116" t="n">
        <v>52</v>
      </c>
      <c r="AB847" s="47">
        <f>IFERROR(AA847/W847,"")</f>
        <v/>
      </c>
      <c r="AC847" s="116" t="n">
        <v>731</v>
      </c>
      <c r="AD847" s="116" t="n">
        <v>417</v>
      </c>
      <c r="AE847" s="116" t="n">
        <v>292</v>
      </c>
      <c r="AF847" s="116" t="n">
        <v>178</v>
      </c>
      <c r="AG847" s="116" t="n">
        <v>121</v>
      </c>
      <c r="AH847" s="116" t="n">
        <v>86</v>
      </c>
      <c r="AI847" s="47">
        <f>IFERROR(AC847/S847,"")</f>
        <v/>
      </c>
      <c r="AJ847" s="47">
        <f>IFERROR(AH847/S847,"")</f>
        <v/>
      </c>
      <c r="AK847" s="116" t="n">
        <v>57</v>
      </c>
      <c r="AL847" s="116" t="n">
        <v>1</v>
      </c>
      <c r="AM847" s="118">
        <f>IFERROR(AL847/AA847,"")</f>
        <v/>
      </c>
      <c r="AN847" s="119">
        <f>IFERROR(R847/AL847,"")</f>
        <v/>
      </c>
      <c r="AO847" s="116" t="n">
        <v>1</v>
      </c>
      <c r="AP847" s="47">
        <f>IFERROR(AO847/AL847,"")</f>
        <v/>
      </c>
      <c r="AQ847" s="119">
        <f>IFERROR(R847/AO847,"")</f>
        <v/>
      </c>
      <c r="AR847" s="116" t="n">
        <v>0</v>
      </c>
      <c r="AS847" s="116" t="n">
        <v>0</v>
      </c>
      <c r="AT847" s="116">
        <f>AL847+AR847</f>
        <v/>
      </c>
      <c r="AU847" s="119">
        <f>IFERROR(AO847*Assumptions!$C$26*Assumptions!$C$27*INDEX(Assumptions!$C$18:$C$21,MATCH(H847,Assumptions!$B$18:$B$21,0)),0)</f>
        <v/>
      </c>
    </row>
    <row r="848">
      <c r="A848" s="114" t="n">
        <v>46256</v>
      </c>
      <c r="B848" s="42" t="inlineStr">
        <is>
          <t>Wk 34</t>
        </is>
      </c>
      <c r="C848" s="42" t="inlineStr">
        <is>
          <t>Sat</t>
        </is>
      </c>
      <c r="D848" s="42" t="inlineStr">
        <is>
          <t>Meta (FB/IG)</t>
        </is>
      </c>
      <c r="E848" s="42" t="inlineStr">
        <is>
          <t>Facebook + Instagram</t>
        </is>
      </c>
      <c r="F848" s="42" t="inlineStr">
        <is>
          <t>LEP_ZA_AUG26_META_RMKT_ALL_CONV</t>
        </is>
      </c>
      <c r="G848" s="42" t="inlineStr">
        <is>
          <t>Leads - Website Conversions</t>
        </is>
      </c>
      <c r="H848" s="42" t="inlineStr">
        <is>
          <t>Range</t>
        </is>
      </c>
      <c r="I848" s="42" t="inlineStr">
        <is>
          <t>Range Offer</t>
        </is>
      </c>
      <c r="J848" s="42" t="inlineStr">
        <is>
          <t>MET_RMKT_VIDVIEW75_ZA</t>
        </is>
      </c>
      <c r="K848" s="42" t="inlineStr">
        <is>
          <t>Retargeting</t>
        </is>
      </c>
      <c r="L848" s="42" t="inlineStr">
        <is>
          <t>RMKT_VID_10s_Recap_v1</t>
        </is>
      </c>
      <c r="M848" s="42" t="inlineStr">
        <is>
          <t>Video 9:16</t>
        </is>
      </c>
      <c r="N848" s="42" t="inlineStr">
        <is>
          <t>10 seconds. Then book.</t>
        </is>
      </c>
      <c r="O848" s="42" t="inlineStr">
        <is>
          <t>Auction - Lowest Cost</t>
        </is>
      </c>
      <c r="P848" s="42" t="inlineStr">
        <is>
          <t>Offsite Conversions</t>
        </is>
      </c>
      <c r="Q848" s="42" t="inlineStr">
        <is>
          <t>https://www.lepas-sa.co.za/book-a-test-drive</t>
        </is>
      </c>
      <c r="R848" s="115" t="n">
        <v>135.94</v>
      </c>
      <c r="S848" s="116" t="n">
        <v>1857</v>
      </c>
      <c r="T848" s="116" t="n">
        <v>1147</v>
      </c>
      <c r="U848" s="117">
        <f>IFERROR(S848/T848,"")</f>
        <v/>
      </c>
      <c r="V848" s="116" t="n">
        <v>37</v>
      </c>
      <c r="W848" s="116" t="n">
        <v>29</v>
      </c>
      <c r="X848" s="118">
        <f>IFERROR(W848/S848,"")</f>
        <v/>
      </c>
      <c r="Y848" s="115">
        <f>IFERROR(R848/W848,"")</f>
        <v/>
      </c>
      <c r="Z848" s="115">
        <f>IFERROR(R848/S848*1000,"")</f>
        <v/>
      </c>
      <c r="AA848" s="116" t="n">
        <v>25</v>
      </c>
      <c r="AB848" s="47">
        <f>IFERROR(AA848/W848,"")</f>
        <v/>
      </c>
      <c r="AC848" s="116" t="n">
        <v>447</v>
      </c>
      <c r="AD848" s="116" t="n">
        <v>224</v>
      </c>
      <c r="AE848" s="116" t="n">
        <v>219</v>
      </c>
      <c r="AF848" s="116" t="n">
        <v>142</v>
      </c>
      <c r="AG848" s="116" t="n">
        <v>97</v>
      </c>
      <c r="AH848" s="116" t="n">
        <v>69</v>
      </c>
      <c r="AI848" s="47">
        <f>IFERROR(AC848/S848,"")</f>
        <v/>
      </c>
      <c r="AJ848" s="47">
        <f>IFERROR(AH848/S848,"")</f>
        <v/>
      </c>
      <c r="AK848" s="116" t="n">
        <v>58</v>
      </c>
      <c r="AL848" s="116" t="n">
        <v>0</v>
      </c>
      <c r="AM848" s="118">
        <f>IFERROR(AL848/AA848,"")</f>
        <v/>
      </c>
      <c r="AN848" s="119">
        <f>IFERROR(R848/AL848,"")</f>
        <v/>
      </c>
      <c r="AO848" s="116" t="n">
        <v>0</v>
      </c>
      <c r="AP848" s="47">
        <f>IFERROR(AO848/AL848,"")</f>
        <v/>
      </c>
      <c r="AQ848" s="119">
        <f>IFERROR(R848/AO848,"")</f>
        <v/>
      </c>
      <c r="AR848" s="116" t="n">
        <v>0</v>
      </c>
      <c r="AS848" s="116" t="n">
        <v>0</v>
      </c>
      <c r="AT848" s="116">
        <f>AL848+AR848</f>
        <v/>
      </c>
      <c r="AU848" s="119">
        <f>IFERROR(AO848*Assumptions!$C$26*Assumptions!$C$27*INDEX(Assumptions!$C$18:$C$21,MATCH(H848,Assumptions!$B$18:$B$21,0)),0)</f>
        <v/>
      </c>
    </row>
    <row r="849">
      <c r="A849" s="114" t="n">
        <v>46257</v>
      </c>
      <c r="B849" s="42" t="inlineStr">
        <is>
          <t>Wk 34</t>
        </is>
      </c>
      <c r="C849" s="42" t="inlineStr">
        <is>
          <t>Sun</t>
        </is>
      </c>
      <c r="D849" s="42" t="inlineStr">
        <is>
          <t>Meta (FB/IG)</t>
        </is>
      </c>
      <c r="E849" s="42" t="inlineStr">
        <is>
          <t>Facebook + Instagram</t>
        </is>
      </c>
      <c r="F849" s="42" t="inlineStr">
        <is>
          <t>LEP_ZA_AUG26_META_RMKT_ALL_CONV</t>
        </is>
      </c>
      <c r="G849" s="42" t="inlineStr">
        <is>
          <t>Leads - Website Conversions</t>
        </is>
      </c>
      <c r="H849" s="42" t="inlineStr">
        <is>
          <t>Range</t>
        </is>
      </c>
      <c r="I849" s="42" t="inlineStr">
        <is>
          <t>Range Offer</t>
        </is>
      </c>
      <c r="J849" s="42" t="inlineStr">
        <is>
          <t>MET_RMKT_VIDVIEW75_ZA</t>
        </is>
      </c>
      <c r="K849" s="42" t="inlineStr">
        <is>
          <t>Retargeting</t>
        </is>
      </c>
      <c r="L849" s="42" t="inlineStr">
        <is>
          <t>RMKT_VID_10s_Recap_v1</t>
        </is>
      </c>
      <c r="M849" s="42" t="inlineStr">
        <is>
          <t>Video 9:16</t>
        </is>
      </c>
      <c r="N849" s="42" t="inlineStr">
        <is>
          <t>10 seconds. Then book.</t>
        </is>
      </c>
      <c r="O849" s="42" t="inlineStr">
        <is>
          <t>Auction - Lowest Cost</t>
        </is>
      </c>
      <c r="P849" s="42" t="inlineStr">
        <is>
          <t>Offsite Conversions</t>
        </is>
      </c>
      <c r="Q849" s="42" t="inlineStr">
        <is>
          <t>https://www.lepas-sa.co.za/book-a-test-drive</t>
        </is>
      </c>
      <c r="R849" s="115" t="n">
        <v>123.78</v>
      </c>
      <c r="S849" s="116" t="n">
        <v>1290</v>
      </c>
      <c r="T849" s="116" t="n">
        <v>750</v>
      </c>
      <c r="U849" s="117">
        <f>IFERROR(S849/T849,"")</f>
        <v/>
      </c>
      <c r="V849" s="116" t="n">
        <v>19</v>
      </c>
      <c r="W849" s="116" t="n">
        <v>15</v>
      </c>
      <c r="X849" s="118">
        <f>IFERROR(W849/S849,"")</f>
        <v/>
      </c>
      <c r="Y849" s="115">
        <f>IFERROR(R849/W849,"")</f>
        <v/>
      </c>
      <c r="Z849" s="115">
        <f>IFERROR(R849/S849*1000,"")</f>
        <v/>
      </c>
      <c r="AA849" s="116" t="n">
        <v>13</v>
      </c>
      <c r="AB849" s="47">
        <f>IFERROR(AA849/W849,"")</f>
        <v/>
      </c>
      <c r="AC849" s="116" t="n">
        <v>379</v>
      </c>
      <c r="AD849" s="116" t="n">
        <v>215</v>
      </c>
      <c r="AE849" s="116" t="n">
        <v>181</v>
      </c>
      <c r="AF849" s="116" t="n">
        <v>123</v>
      </c>
      <c r="AG849" s="116" t="n">
        <v>84</v>
      </c>
      <c r="AH849" s="116" t="n">
        <v>54</v>
      </c>
      <c r="AI849" s="47">
        <f>IFERROR(AC849/S849,"")</f>
        <v/>
      </c>
      <c r="AJ849" s="47">
        <f>IFERROR(AH849/S849,"")</f>
        <v/>
      </c>
      <c r="AK849" s="116" t="n">
        <v>18</v>
      </c>
      <c r="AL849" s="116" t="n">
        <v>1</v>
      </c>
      <c r="AM849" s="118">
        <f>IFERROR(AL849/AA849,"")</f>
        <v/>
      </c>
      <c r="AN849" s="119">
        <f>IFERROR(R849/AL849,"")</f>
        <v/>
      </c>
      <c r="AO849" s="116" t="n">
        <v>1</v>
      </c>
      <c r="AP849" s="47">
        <f>IFERROR(AO849/AL849,"")</f>
        <v/>
      </c>
      <c r="AQ849" s="119">
        <f>IFERROR(R849/AO849,"")</f>
        <v/>
      </c>
      <c r="AR849" s="116" t="n">
        <v>1</v>
      </c>
      <c r="AS849" s="116" t="n">
        <v>0</v>
      </c>
      <c r="AT849" s="116">
        <f>AL849+AR849</f>
        <v/>
      </c>
      <c r="AU849" s="119">
        <f>IFERROR(AO849*Assumptions!$C$26*Assumptions!$C$27*INDEX(Assumptions!$C$18:$C$21,MATCH(H849,Assumptions!$B$18:$B$21,0)),0)</f>
        <v/>
      </c>
    </row>
    <row r="850">
      <c r="A850" s="114" t="n">
        <v>46258</v>
      </c>
      <c r="B850" s="42" t="inlineStr">
        <is>
          <t>Wk 35</t>
        </is>
      </c>
      <c r="C850" s="42" t="inlineStr">
        <is>
          <t>Mon</t>
        </is>
      </c>
      <c r="D850" s="42" t="inlineStr">
        <is>
          <t>Meta (FB/IG)</t>
        </is>
      </c>
      <c r="E850" s="42" t="inlineStr">
        <is>
          <t>Facebook + Instagram</t>
        </is>
      </c>
      <c r="F850" s="42" t="inlineStr">
        <is>
          <t>LEP_ZA_AUG26_META_RMKT_ALL_CONV</t>
        </is>
      </c>
      <c r="G850" s="42" t="inlineStr">
        <is>
          <t>Leads - Website Conversions</t>
        </is>
      </c>
      <c r="H850" s="42" t="inlineStr">
        <is>
          <t>Range</t>
        </is>
      </c>
      <c r="I850" s="42" t="inlineStr">
        <is>
          <t>Range Offer</t>
        </is>
      </c>
      <c r="J850" s="42" t="inlineStr">
        <is>
          <t>MET_RMKT_VIDVIEW75_ZA</t>
        </is>
      </c>
      <c r="K850" s="42" t="inlineStr">
        <is>
          <t>Retargeting</t>
        </is>
      </c>
      <c r="L850" s="42" t="inlineStr">
        <is>
          <t>RMKT_VID_10s_Recap_v1</t>
        </is>
      </c>
      <c r="M850" s="42" t="inlineStr">
        <is>
          <t>Video 9:16</t>
        </is>
      </c>
      <c r="N850" s="42" t="inlineStr">
        <is>
          <t>10 seconds. Then book.</t>
        </is>
      </c>
      <c r="O850" s="42" t="inlineStr">
        <is>
          <t>Auction - Lowest Cost</t>
        </is>
      </c>
      <c r="P850" s="42" t="inlineStr">
        <is>
          <t>Offsite Conversions</t>
        </is>
      </c>
      <c r="Q850" s="42" t="inlineStr">
        <is>
          <t>https://www.lepas-sa.co.za/book-a-test-drive</t>
        </is>
      </c>
      <c r="R850" s="115" t="n">
        <v>142.82</v>
      </c>
      <c r="S850" s="116" t="n">
        <v>1342</v>
      </c>
      <c r="T850" s="116" t="n">
        <v>924</v>
      </c>
      <c r="U850" s="117">
        <f>IFERROR(S850/T850,"")</f>
        <v/>
      </c>
      <c r="V850" s="116" t="n">
        <v>27</v>
      </c>
      <c r="W850" s="116" t="n">
        <v>23</v>
      </c>
      <c r="X850" s="118">
        <f>IFERROR(W850/S850,"")</f>
        <v/>
      </c>
      <c r="Y850" s="115">
        <f>IFERROR(R850/W850,"")</f>
        <v/>
      </c>
      <c r="Z850" s="115">
        <f>IFERROR(R850/S850*1000,"")</f>
        <v/>
      </c>
      <c r="AA850" s="116" t="n">
        <v>19</v>
      </c>
      <c r="AB850" s="47">
        <f>IFERROR(AA850/W850,"")</f>
        <v/>
      </c>
      <c r="AC850" s="116" t="n">
        <v>363</v>
      </c>
      <c r="AD850" s="116" t="n">
        <v>178</v>
      </c>
      <c r="AE850" s="116" t="n">
        <v>197</v>
      </c>
      <c r="AF850" s="116" t="n">
        <v>140</v>
      </c>
      <c r="AG850" s="116" t="n">
        <v>93</v>
      </c>
      <c r="AH850" s="116" t="n">
        <v>61</v>
      </c>
      <c r="AI850" s="47">
        <f>IFERROR(AC850/S850,"")</f>
        <v/>
      </c>
      <c r="AJ850" s="47">
        <f>IFERROR(AH850/S850,"")</f>
        <v/>
      </c>
      <c r="AK850" s="116" t="n">
        <v>23</v>
      </c>
      <c r="AL850" s="116" t="n">
        <v>0</v>
      </c>
      <c r="AM850" s="118">
        <f>IFERROR(AL850/AA850,"")</f>
        <v/>
      </c>
      <c r="AN850" s="119">
        <f>IFERROR(R850/AL850,"")</f>
        <v/>
      </c>
      <c r="AO850" s="116" t="n">
        <v>0</v>
      </c>
      <c r="AP850" s="47">
        <f>IFERROR(AO850/AL850,"")</f>
        <v/>
      </c>
      <c r="AQ850" s="119">
        <f>IFERROR(R850/AO850,"")</f>
        <v/>
      </c>
      <c r="AR850" s="116" t="n">
        <v>0</v>
      </c>
      <c r="AS850" s="116" t="n">
        <v>0</v>
      </c>
      <c r="AT850" s="116">
        <f>AL850+AR850</f>
        <v/>
      </c>
      <c r="AU850" s="119">
        <f>IFERROR(AO850*Assumptions!$C$26*Assumptions!$C$27*INDEX(Assumptions!$C$18:$C$21,MATCH(H850,Assumptions!$B$18:$B$21,0)),0)</f>
        <v/>
      </c>
    </row>
    <row r="851">
      <c r="A851" s="114" t="n">
        <v>46259</v>
      </c>
      <c r="B851" s="42" t="inlineStr">
        <is>
          <t>Wk 35</t>
        </is>
      </c>
      <c r="C851" s="42" t="inlineStr">
        <is>
          <t>Tue</t>
        </is>
      </c>
      <c r="D851" s="42" t="inlineStr">
        <is>
          <t>Meta (FB/IG)</t>
        </is>
      </c>
      <c r="E851" s="42" t="inlineStr">
        <is>
          <t>Facebook + Instagram</t>
        </is>
      </c>
      <c r="F851" s="42" t="inlineStr">
        <is>
          <t>LEP_ZA_AUG26_META_RMKT_ALL_CONV</t>
        </is>
      </c>
      <c r="G851" s="42" t="inlineStr">
        <is>
          <t>Leads - Website Conversions</t>
        </is>
      </c>
      <c r="H851" s="42" t="inlineStr">
        <is>
          <t>Range</t>
        </is>
      </c>
      <c r="I851" s="42" t="inlineStr">
        <is>
          <t>Range Offer</t>
        </is>
      </c>
      <c r="J851" s="42" t="inlineStr">
        <is>
          <t>MET_RMKT_VIDVIEW75_ZA</t>
        </is>
      </c>
      <c r="K851" s="42" t="inlineStr">
        <is>
          <t>Retargeting</t>
        </is>
      </c>
      <c r="L851" s="42" t="inlineStr">
        <is>
          <t>RMKT_VID_10s_Recap_v1</t>
        </is>
      </c>
      <c r="M851" s="42" t="inlineStr">
        <is>
          <t>Video 9:16</t>
        </is>
      </c>
      <c r="N851" s="42" t="inlineStr">
        <is>
          <t>10 seconds. Then book.</t>
        </is>
      </c>
      <c r="O851" s="42" t="inlineStr">
        <is>
          <t>Auction - Lowest Cost</t>
        </is>
      </c>
      <c r="P851" s="42" t="inlineStr">
        <is>
          <t>Offsite Conversions</t>
        </is>
      </c>
      <c r="Q851" s="42" t="inlineStr">
        <is>
          <t>https://www.lepas-sa.co.za/book-a-test-drive</t>
        </is>
      </c>
      <c r="R851" s="115" t="n">
        <v>129.73</v>
      </c>
      <c r="S851" s="116" t="n">
        <v>1735</v>
      </c>
      <c r="T851" s="116" t="n">
        <v>954</v>
      </c>
      <c r="U851" s="117">
        <f>IFERROR(S851/T851,"")</f>
        <v/>
      </c>
      <c r="V851" s="116" t="n">
        <v>38</v>
      </c>
      <c r="W851" s="116" t="n">
        <v>29</v>
      </c>
      <c r="X851" s="118">
        <f>IFERROR(W851/S851,"")</f>
        <v/>
      </c>
      <c r="Y851" s="115">
        <f>IFERROR(R851/W851,"")</f>
        <v/>
      </c>
      <c r="Z851" s="115">
        <f>IFERROR(R851/S851*1000,"")</f>
        <v/>
      </c>
      <c r="AA851" s="116" t="n">
        <v>23</v>
      </c>
      <c r="AB851" s="47">
        <f>IFERROR(AA851/W851,"")</f>
        <v/>
      </c>
      <c r="AC851" s="116" t="n">
        <v>435</v>
      </c>
      <c r="AD851" s="116" t="n">
        <v>214</v>
      </c>
      <c r="AE851" s="116" t="n">
        <v>176</v>
      </c>
      <c r="AF851" s="116" t="n">
        <v>105</v>
      </c>
      <c r="AG851" s="116" t="n">
        <v>67</v>
      </c>
      <c r="AH851" s="116" t="n">
        <v>47</v>
      </c>
      <c r="AI851" s="47">
        <f>IFERROR(AC851/S851,"")</f>
        <v/>
      </c>
      <c r="AJ851" s="47">
        <f>IFERROR(AH851/S851,"")</f>
        <v/>
      </c>
      <c r="AK851" s="116" t="n">
        <v>23</v>
      </c>
      <c r="AL851" s="116" t="n">
        <v>0</v>
      </c>
      <c r="AM851" s="118">
        <f>IFERROR(AL851/AA851,"")</f>
        <v/>
      </c>
      <c r="AN851" s="119">
        <f>IFERROR(R851/AL851,"")</f>
        <v/>
      </c>
      <c r="AO851" s="116" t="n">
        <v>0</v>
      </c>
      <c r="AP851" s="47">
        <f>IFERROR(AO851/AL851,"")</f>
        <v/>
      </c>
      <c r="AQ851" s="119">
        <f>IFERROR(R851/AO851,"")</f>
        <v/>
      </c>
      <c r="AR851" s="116" t="n">
        <v>0</v>
      </c>
      <c r="AS851" s="116" t="n">
        <v>0</v>
      </c>
      <c r="AT851" s="116">
        <f>AL851+AR851</f>
        <v/>
      </c>
      <c r="AU851" s="119">
        <f>IFERROR(AO851*Assumptions!$C$26*Assumptions!$C$27*INDEX(Assumptions!$C$18:$C$21,MATCH(H851,Assumptions!$B$18:$B$21,0)),0)</f>
        <v/>
      </c>
    </row>
    <row r="852">
      <c r="A852" s="114" t="n">
        <v>46260</v>
      </c>
      <c r="B852" s="42" t="inlineStr">
        <is>
          <t>Wk 35</t>
        </is>
      </c>
      <c r="C852" s="42" t="inlineStr">
        <is>
          <t>Wed</t>
        </is>
      </c>
      <c r="D852" s="42" t="inlineStr">
        <is>
          <t>Meta (FB/IG)</t>
        </is>
      </c>
      <c r="E852" s="42" t="inlineStr">
        <is>
          <t>Facebook + Instagram</t>
        </is>
      </c>
      <c r="F852" s="42" t="inlineStr">
        <is>
          <t>LEP_ZA_AUG26_META_RMKT_ALL_CONV</t>
        </is>
      </c>
      <c r="G852" s="42" t="inlineStr">
        <is>
          <t>Leads - Website Conversions</t>
        </is>
      </c>
      <c r="H852" s="42" t="inlineStr">
        <is>
          <t>Range</t>
        </is>
      </c>
      <c r="I852" s="42" t="inlineStr">
        <is>
          <t>Range Offer</t>
        </is>
      </c>
      <c r="J852" s="42" t="inlineStr">
        <is>
          <t>MET_RMKT_VIDVIEW75_ZA</t>
        </is>
      </c>
      <c r="K852" s="42" t="inlineStr">
        <is>
          <t>Retargeting</t>
        </is>
      </c>
      <c r="L852" s="42" t="inlineStr">
        <is>
          <t>RMKT_VID_10s_Recap_v1</t>
        </is>
      </c>
      <c r="M852" s="42" t="inlineStr">
        <is>
          <t>Video 9:16</t>
        </is>
      </c>
      <c r="N852" s="42" t="inlineStr">
        <is>
          <t>10 seconds. Then book.</t>
        </is>
      </c>
      <c r="O852" s="42" t="inlineStr">
        <is>
          <t>Auction - Lowest Cost</t>
        </is>
      </c>
      <c r="P852" s="42" t="inlineStr">
        <is>
          <t>Offsite Conversions</t>
        </is>
      </c>
      <c r="Q852" s="42" t="inlineStr">
        <is>
          <t>https://www.lepas-sa.co.za/book-a-test-drive</t>
        </is>
      </c>
      <c r="R852" s="115" t="n">
        <v>125.43</v>
      </c>
      <c r="S852" s="116" t="n">
        <v>1195</v>
      </c>
      <c r="T852" s="116" t="n">
        <v>740</v>
      </c>
      <c r="U852" s="117">
        <f>IFERROR(S852/T852,"")</f>
        <v/>
      </c>
      <c r="V852" s="116" t="n">
        <v>39</v>
      </c>
      <c r="W852" s="116" t="n">
        <v>28</v>
      </c>
      <c r="X852" s="118">
        <f>IFERROR(W852/S852,"")</f>
        <v/>
      </c>
      <c r="Y852" s="115">
        <f>IFERROR(R852/W852,"")</f>
        <v/>
      </c>
      <c r="Z852" s="115">
        <f>IFERROR(R852/S852*1000,"")</f>
        <v/>
      </c>
      <c r="AA852" s="116" t="n">
        <v>25</v>
      </c>
      <c r="AB852" s="47">
        <f>IFERROR(AA852/W852,"")</f>
        <v/>
      </c>
      <c r="AC852" s="116" t="n">
        <v>310</v>
      </c>
      <c r="AD852" s="116" t="n">
        <v>151</v>
      </c>
      <c r="AE852" s="116" t="n">
        <v>157</v>
      </c>
      <c r="AF852" s="116" t="n">
        <v>83</v>
      </c>
      <c r="AG852" s="116" t="n">
        <v>66</v>
      </c>
      <c r="AH852" s="116" t="n">
        <v>40</v>
      </c>
      <c r="AI852" s="47">
        <f>IFERROR(AC852/S852,"")</f>
        <v/>
      </c>
      <c r="AJ852" s="47">
        <f>IFERROR(AH852/S852,"")</f>
        <v/>
      </c>
      <c r="AK852" s="116" t="n">
        <v>30</v>
      </c>
      <c r="AL852" s="116" t="n">
        <v>1</v>
      </c>
      <c r="AM852" s="118">
        <f>IFERROR(AL852/AA852,"")</f>
        <v/>
      </c>
      <c r="AN852" s="119">
        <f>IFERROR(R852/AL852,"")</f>
        <v/>
      </c>
      <c r="AO852" s="116" t="n">
        <v>1</v>
      </c>
      <c r="AP852" s="47">
        <f>IFERROR(AO852/AL852,"")</f>
        <v/>
      </c>
      <c r="AQ852" s="119">
        <f>IFERROR(R852/AO852,"")</f>
        <v/>
      </c>
      <c r="AR852" s="116" t="n">
        <v>0</v>
      </c>
      <c r="AS852" s="116" t="n">
        <v>0</v>
      </c>
      <c r="AT852" s="116">
        <f>AL852+AR852</f>
        <v/>
      </c>
      <c r="AU852" s="119">
        <f>IFERROR(AO852*Assumptions!$C$26*Assumptions!$C$27*INDEX(Assumptions!$C$18:$C$21,MATCH(H852,Assumptions!$B$18:$B$21,0)),0)</f>
        <v/>
      </c>
    </row>
    <row r="853">
      <c r="A853" s="114" t="n">
        <v>46261</v>
      </c>
      <c r="B853" s="42" t="inlineStr">
        <is>
          <t>Wk 35</t>
        </is>
      </c>
      <c r="C853" s="42" t="inlineStr">
        <is>
          <t>Thu</t>
        </is>
      </c>
      <c r="D853" s="42" t="inlineStr">
        <is>
          <t>Meta (FB/IG)</t>
        </is>
      </c>
      <c r="E853" s="42" t="inlineStr">
        <is>
          <t>Facebook + Instagram</t>
        </is>
      </c>
      <c r="F853" s="42" t="inlineStr">
        <is>
          <t>LEP_ZA_AUG26_META_RMKT_ALL_CONV</t>
        </is>
      </c>
      <c r="G853" s="42" t="inlineStr">
        <is>
          <t>Leads - Website Conversions</t>
        </is>
      </c>
      <c r="H853" s="42" t="inlineStr">
        <is>
          <t>Range</t>
        </is>
      </c>
      <c r="I853" s="42" t="inlineStr">
        <is>
          <t>Range Offer</t>
        </is>
      </c>
      <c r="J853" s="42" t="inlineStr">
        <is>
          <t>MET_RMKT_VIDVIEW75_ZA</t>
        </is>
      </c>
      <c r="K853" s="42" t="inlineStr">
        <is>
          <t>Retargeting</t>
        </is>
      </c>
      <c r="L853" s="42" t="inlineStr">
        <is>
          <t>RMKT_VID_10s_Recap_v1</t>
        </is>
      </c>
      <c r="M853" s="42" t="inlineStr">
        <is>
          <t>Video 9:16</t>
        </is>
      </c>
      <c r="N853" s="42" t="inlineStr">
        <is>
          <t>10 seconds. Then book.</t>
        </is>
      </c>
      <c r="O853" s="42" t="inlineStr">
        <is>
          <t>Auction - Lowest Cost</t>
        </is>
      </c>
      <c r="P853" s="42" t="inlineStr">
        <is>
          <t>Offsite Conversions</t>
        </is>
      </c>
      <c r="Q853" s="42" t="inlineStr">
        <is>
          <t>https://www.lepas-sa.co.za/book-a-test-drive</t>
        </is>
      </c>
      <c r="R853" s="115" t="n">
        <v>182.22</v>
      </c>
      <c r="S853" s="116" t="n">
        <v>1907</v>
      </c>
      <c r="T853" s="116" t="n">
        <v>1007</v>
      </c>
      <c r="U853" s="117">
        <f>IFERROR(S853/T853,"")</f>
        <v/>
      </c>
      <c r="V853" s="116" t="n">
        <v>42</v>
      </c>
      <c r="W853" s="116" t="n">
        <v>33</v>
      </c>
      <c r="X853" s="118">
        <f>IFERROR(W853/S853,"")</f>
        <v/>
      </c>
      <c r="Y853" s="115">
        <f>IFERROR(R853/W853,"")</f>
        <v/>
      </c>
      <c r="Z853" s="115">
        <f>IFERROR(R853/S853*1000,"")</f>
        <v/>
      </c>
      <c r="AA853" s="116" t="n">
        <v>29</v>
      </c>
      <c r="AB853" s="47">
        <f>IFERROR(AA853/W853,"")</f>
        <v/>
      </c>
      <c r="AC853" s="116" t="n">
        <v>649</v>
      </c>
      <c r="AD853" s="116" t="n">
        <v>324</v>
      </c>
      <c r="AE853" s="116" t="n">
        <v>252</v>
      </c>
      <c r="AF853" s="116" t="n">
        <v>155</v>
      </c>
      <c r="AG853" s="116" t="n">
        <v>111</v>
      </c>
      <c r="AH853" s="116" t="n">
        <v>76</v>
      </c>
      <c r="AI853" s="47">
        <f>IFERROR(AC853/S853,"")</f>
        <v/>
      </c>
      <c r="AJ853" s="47">
        <f>IFERROR(AH853/S853,"")</f>
        <v/>
      </c>
      <c r="AK853" s="116" t="n">
        <v>35</v>
      </c>
      <c r="AL853" s="116" t="n">
        <v>1</v>
      </c>
      <c r="AM853" s="118">
        <f>IFERROR(AL853/AA853,"")</f>
        <v/>
      </c>
      <c r="AN853" s="119">
        <f>IFERROR(R853/AL853,"")</f>
        <v/>
      </c>
      <c r="AO853" s="116" t="n">
        <v>0</v>
      </c>
      <c r="AP853" s="47">
        <f>IFERROR(AO853/AL853,"")</f>
        <v/>
      </c>
      <c r="AQ853" s="119">
        <f>IFERROR(R853/AO853,"")</f>
        <v/>
      </c>
      <c r="AR853" s="116" t="n">
        <v>0</v>
      </c>
      <c r="AS853" s="116" t="n">
        <v>0</v>
      </c>
      <c r="AT853" s="116">
        <f>AL853+AR853</f>
        <v/>
      </c>
      <c r="AU853" s="119">
        <f>IFERROR(AO853*Assumptions!$C$26*Assumptions!$C$27*INDEX(Assumptions!$C$18:$C$21,MATCH(H853,Assumptions!$B$18:$B$21,0)),0)</f>
        <v/>
      </c>
    </row>
    <row r="854">
      <c r="A854" s="114" t="n">
        <v>46262</v>
      </c>
      <c r="B854" s="42" t="inlineStr">
        <is>
          <t>Wk 35</t>
        </is>
      </c>
      <c r="C854" s="42" t="inlineStr">
        <is>
          <t>Fri</t>
        </is>
      </c>
      <c r="D854" s="42" t="inlineStr">
        <is>
          <t>Meta (FB/IG)</t>
        </is>
      </c>
      <c r="E854" s="42" t="inlineStr">
        <is>
          <t>Facebook + Instagram</t>
        </is>
      </c>
      <c r="F854" s="42" t="inlineStr">
        <is>
          <t>LEP_ZA_AUG26_META_RMKT_ALL_CONV</t>
        </is>
      </c>
      <c r="G854" s="42" t="inlineStr">
        <is>
          <t>Leads - Website Conversions</t>
        </is>
      </c>
      <c r="H854" s="42" t="inlineStr">
        <is>
          <t>Range</t>
        </is>
      </c>
      <c r="I854" s="42" t="inlineStr">
        <is>
          <t>Range Offer</t>
        </is>
      </c>
      <c r="J854" s="42" t="inlineStr">
        <is>
          <t>MET_RMKT_VIDVIEW75_ZA</t>
        </is>
      </c>
      <c r="K854" s="42" t="inlineStr">
        <is>
          <t>Retargeting</t>
        </is>
      </c>
      <c r="L854" s="42" t="inlineStr">
        <is>
          <t>RMKT_VID_10s_Recap_v1</t>
        </is>
      </c>
      <c r="M854" s="42" t="inlineStr">
        <is>
          <t>Video 9:16</t>
        </is>
      </c>
      <c r="N854" s="42" t="inlineStr">
        <is>
          <t>10 seconds. Then book.</t>
        </is>
      </c>
      <c r="O854" s="42" t="inlineStr">
        <is>
          <t>Auction - Lowest Cost</t>
        </is>
      </c>
      <c r="P854" s="42" t="inlineStr">
        <is>
          <t>Offsite Conversions</t>
        </is>
      </c>
      <c r="Q854" s="42" t="inlineStr">
        <is>
          <t>https://www.lepas-sa.co.za/book-a-test-drive</t>
        </is>
      </c>
      <c r="R854" s="115" t="n">
        <v>200.54</v>
      </c>
      <c r="S854" s="116" t="n">
        <v>1808</v>
      </c>
      <c r="T854" s="116" t="n">
        <v>1043</v>
      </c>
      <c r="U854" s="117">
        <f>IFERROR(S854/T854,"")</f>
        <v/>
      </c>
      <c r="V854" s="116" t="n">
        <v>54</v>
      </c>
      <c r="W854" s="116" t="n">
        <v>39</v>
      </c>
      <c r="X854" s="118">
        <f>IFERROR(W854/S854,"")</f>
        <v/>
      </c>
      <c r="Y854" s="115">
        <f>IFERROR(R854/W854,"")</f>
        <v/>
      </c>
      <c r="Z854" s="115">
        <f>IFERROR(R854/S854*1000,"")</f>
        <v/>
      </c>
      <c r="AA854" s="116" t="n">
        <v>33</v>
      </c>
      <c r="AB854" s="47">
        <f>IFERROR(AA854/W854,"")</f>
        <v/>
      </c>
      <c r="AC854" s="116" t="n">
        <v>468</v>
      </c>
      <c r="AD854" s="116" t="n">
        <v>236</v>
      </c>
      <c r="AE854" s="116" t="n">
        <v>196</v>
      </c>
      <c r="AF854" s="116" t="n">
        <v>135</v>
      </c>
      <c r="AG854" s="116" t="n">
        <v>87</v>
      </c>
      <c r="AH854" s="116" t="n">
        <v>62</v>
      </c>
      <c r="AI854" s="47">
        <f>IFERROR(AC854/S854,"")</f>
        <v/>
      </c>
      <c r="AJ854" s="47">
        <f>IFERROR(AH854/S854,"")</f>
        <v/>
      </c>
      <c r="AK854" s="116" t="n">
        <v>28</v>
      </c>
      <c r="AL854" s="116" t="n">
        <v>1</v>
      </c>
      <c r="AM854" s="118">
        <f>IFERROR(AL854/AA854,"")</f>
        <v/>
      </c>
      <c r="AN854" s="119">
        <f>IFERROR(R854/AL854,"")</f>
        <v/>
      </c>
      <c r="AO854" s="116" t="n">
        <v>1</v>
      </c>
      <c r="AP854" s="47">
        <f>IFERROR(AO854/AL854,"")</f>
        <v/>
      </c>
      <c r="AQ854" s="119">
        <f>IFERROR(R854/AO854,"")</f>
        <v/>
      </c>
      <c r="AR854" s="116" t="n">
        <v>0</v>
      </c>
      <c r="AS854" s="116" t="n">
        <v>1</v>
      </c>
      <c r="AT854" s="116">
        <f>AL854+AR854</f>
        <v/>
      </c>
      <c r="AU854" s="119">
        <f>IFERROR(AO854*Assumptions!$C$26*Assumptions!$C$27*INDEX(Assumptions!$C$18:$C$21,MATCH(H854,Assumptions!$B$18:$B$21,0)),0)</f>
        <v/>
      </c>
    </row>
    <row r="855">
      <c r="A855" s="114" t="n">
        <v>46263</v>
      </c>
      <c r="B855" s="42" t="inlineStr">
        <is>
          <t>Wk 35</t>
        </is>
      </c>
      <c r="C855" s="42" t="inlineStr">
        <is>
          <t>Sat</t>
        </is>
      </c>
      <c r="D855" s="42" t="inlineStr">
        <is>
          <t>Meta (FB/IG)</t>
        </is>
      </c>
      <c r="E855" s="42" t="inlineStr">
        <is>
          <t>Facebook + Instagram</t>
        </is>
      </c>
      <c r="F855" s="42" t="inlineStr">
        <is>
          <t>LEP_ZA_AUG26_META_RMKT_ALL_CONV</t>
        </is>
      </c>
      <c r="G855" s="42" t="inlineStr">
        <is>
          <t>Leads - Website Conversions</t>
        </is>
      </c>
      <c r="H855" s="42" t="inlineStr">
        <is>
          <t>Range</t>
        </is>
      </c>
      <c r="I855" s="42" t="inlineStr">
        <is>
          <t>Range Offer</t>
        </is>
      </c>
      <c r="J855" s="42" t="inlineStr">
        <is>
          <t>MET_RMKT_VIDVIEW75_ZA</t>
        </is>
      </c>
      <c r="K855" s="42" t="inlineStr">
        <is>
          <t>Retargeting</t>
        </is>
      </c>
      <c r="L855" s="42" t="inlineStr">
        <is>
          <t>RMKT_VID_10s_Recap_v1</t>
        </is>
      </c>
      <c r="M855" s="42" t="inlineStr">
        <is>
          <t>Video 9:16</t>
        </is>
      </c>
      <c r="N855" s="42" t="inlineStr">
        <is>
          <t>10 seconds. Then book.</t>
        </is>
      </c>
      <c r="O855" s="42" t="inlineStr">
        <is>
          <t>Auction - Lowest Cost</t>
        </is>
      </c>
      <c r="P855" s="42" t="inlineStr">
        <is>
          <t>Offsite Conversions</t>
        </is>
      </c>
      <c r="Q855" s="42" t="inlineStr">
        <is>
          <t>https://www.lepas-sa.co.za/book-a-test-drive</t>
        </is>
      </c>
      <c r="R855" s="115" t="n">
        <v>196.75</v>
      </c>
      <c r="S855" s="116" t="n">
        <v>1650</v>
      </c>
      <c r="T855" s="116" t="n">
        <v>871</v>
      </c>
      <c r="U855" s="117">
        <f>IFERROR(S855/T855,"")</f>
        <v/>
      </c>
      <c r="V855" s="116" t="n">
        <v>53</v>
      </c>
      <c r="W855" s="116" t="n">
        <v>42</v>
      </c>
      <c r="X855" s="118">
        <f>IFERROR(W855/S855,"")</f>
        <v/>
      </c>
      <c r="Y855" s="115">
        <f>IFERROR(R855/W855,"")</f>
        <v/>
      </c>
      <c r="Z855" s="115">
        <f>IFERROR(R855/S855*1000,"")</f>
        <v/>
      </c>
      <c r="AA855" s="116" t="n">
        <v>34</v>
      </c>
      <c r="AB855" s="47">
        <f>IFERROR(AA855/W855,"")</f>
        <v/>
      </c>
      <c r="AC855" s="116" t="n">
        <v>379</v>
      </c>
      <c r="AD855" s="116" t="n">
        <v>238</v>
      </c>
      <c r="AE855" s="116" t="n">
        <v>158</v>
      </c>
      <c r="AF855" s="116" t="n">
        <v>88</v>
      </c>
      <c r="AG855" s="116" t="n">
        <v>59</v>
      </c>
      <c r="AH855" s="116" t="n">
        <v>35</v>
      </c>
      <c r="AI855" s="47">
        <f>IFERROR(AC855/S855,"")</f>
        <v/>
      </c>
      <c r="AJ855" s="47">
        <f>IFERROR(AH855/S855,"")</f>
        <v/>
      </c>
      <c r="AK855" s="116" t="n">
        <v>21</v>
      </c>
      <c r="AL855" s="116" t="n">
        <v>1</v>
      </c>
      <c r="AM855" s="118">
        <f>IFERROR(AL855/AA855,"")</f>
        <v/>
      </c>
      <c r="AN855" s="119">
        <f>IFERROR(R855/AL855,"")</f>
        <v/>
      </c>
      <c r="AO855" s="116" t="n">
        <v>1</v>
      </c>
      <c r="AP855" s="47">
        <f>IFERROR(AO855/AL855,"")</f>
        <v/>
      </c>
      <c r="AQ855" s="119">
        <f>IFERROR(R855/AO855,"")</f>
        <v/>
      </c>
      <c r="AR855" s="116" t="n">
        <v>0</v>
      </c>
      <c r="AS855" s="116" t="n">
        <v>0</v>
      </c>
      <c r="AT855" s="116">
        <f>AL855+AR855</f>
        <v/>
      </c>
      <c r="AU855" s="119">
        <f>IFERROR(AO855*Assumptions!$C$26*Assumptions!$C$27*INDEX(Assumptions!$C$18:$C$21,MATCH(H855,Assumptions!$B$18:$B$21,0)),0)</f>
        <v/>
      </c>
    </row>
    <row r="856">
      <c r="A856" s="114" t="n">
        <v>46264</v>
      </c>
      <c r="B856" s="42" t="inlineStr">
        <is>
          <t>Wk 35</t>
        </is>
      </c>
      <c r="C856" s="42" t="inlineStr">
        <is>
          <t>Sun</t>
        </is>
      </c>
      <c r="D856" s="42" t="inlineStr">
        <is>
          <t>Meta (FB/IG)</t>
        </is>
      </c>
      <c r="E856" s="42" t="inlineStr">
        <is>
          <t>Facebook + Instagram</t>
        </is>
      </c>
      <c r="F856" s="42" t="inlineStr">
        <is>
          <t>LEP_ZA_AUG26_META_RMKT_ALL_CONV</t>
        </is>
      </c>
      <c r="G856" s="42" t="inlineStr">
        <is>
          <t>Leads - Website Conversions</t>
        </is>
      </c>
      <c r="H856" s="42" t="inlineStr">
        <is>
          <t>Range</t>
        </is>
      </c>
      <c r="I856" s="42" t="inlineStr">
        <is>
          <t>Range Offer</t>
        </is>
      </c>
      <c r="J856" s="42" t="inlineStr">
        <is>
          <t>MET_RMKT_VIDVIEW75_ZA</t>
        </is>
      </c>
      <c r="K856" s="42" t="inlineStr">
        <is>
          <t>Retargeting</t>
        </is>
      </c>
      <c r="L856" s="42" t="inlineStr">
        <is>
          <t>RMKT_VID_10s_Recap_v1</t>
        </is>
      </c>
      <c r="M856" s="42" t="inlineStr">
        <is>
          <t>Video 9:16</t>
        </is>
      </c>
      <c r="N856" s="42" t="inlineStr">
        <is>
          <t>10 seconds. Then book.</t>
        </is>
      </c>
      <c r="O856" s="42" t="inlineStr">
        <is>
          <t>Auction - Lowest Cost</t>
        </is>
      </c>
      <c r="P856" s="42" t="inlineStr">
        <is>
          <t>Offsite Conversions</t>
        </is>
      </c>
      <c r="Q856" s="42" t="inlineStr">
        <is>
          <t>https://www.lepas-sa.co.za/book-a-test-drive</t>
        </is>
      </c>
      <c r="R856" s="115" t="n">
        <v>142.78</v>
      </c>
      <c r="S856" s="116" t="n">
        <v>1226</v>
      </c>
      <c r="T856" s="116" t="n">
        <v>623</v>
      </c>
      <c r="U856" s="117">
        <f>IFERROR(S856/T856,"")</f>
        <v/>
      </c>
      <c r="V856" s="116" t="n">
        <v>31</v>
      </c>
      <c r="W856" s="116" t="n">
        <v>22</v>
      </c>
      <c r="X856" s="118">
        <f>IFERROR(W856/S856,"")</f>
        <v/>
      </c>
      <c r="Y856" s="115">
        <f>IFERROR(R856/W856,"")</f>
        <v/>
      </c>
      <c r="Z856" s="115">
        <f>IFERROR(R856/S856*1000,"")</f>
        <v/>
      </c>
      <c r="AA856" s="116" t="n">
        <v>17</v>
      </c>
      <c r="AB856" s="47">
        <f>IFERROR(AA856/W856,"")</f>
        <v/>
      </c>
      <c r="AC856" s="116" t="n">
        <v>315</v>
      </c>
      <c r="AD856" s="116" t="n">
        <v>174</v>
      </c>
      <c r="AE856" s="116" t="n">
        <v>134</v>
      </c>
      <c r="AF856" s="116" t="n">
        <v>69</v>
      </c>
      <c r="AG856" s="116" t="n">
        <v>54</v>
      </c>
      <c r="AH856" s="116" t="n">
        <v>40</v>
      </c>
      <c r="AI856" s="47">
        <f>IFERROR(AC856/S856,"")</f>
        <v/>
      </c>
      <c r="AJ856" s="47">
        <f>IFERROR(AH856/S856,"")</f>
        <v/>
      </c>
      <c r="AK856" s="116" t="n">
        <v>34</v>
      </c>
      <c r="AL856" s="116" t="n">
        <v>0</v>
      </c>
      <c r="AM856" s="118">
        <f>IFERROR(AL856/AA856,"")</f>
        <v/>
      </c>
      <c r="AN856" s="119">
        <f>IFERROR(R856/AL856,"")</f>
        <v/>
      </c>
      <c r="AO856" s="116" t="n">
        <v>0</v>
      </c>
      <c r="AP856" s="47">
        <f>IFERROR(AO856/AL856,"")</f>
        <v/>
      </c>
      <c r="AQ856" s="119">
        <f>IFERROR(R856/AO856,"")</f>
        <v/>
      </c>
      <c r="AR856" s="116" t="n">
        <v>0</v>
      </c>
      <c r="AS856" s="116" t="n">
        <v>0</v>
      </c>
      <c r="AT856" s="116">
        <f>AL856+AR856</f>
        <v/>
      </c>
      <c r="AU856" s="119">
        <f>IFERROR(AO856*Assumptions!$C$26*Assumptions!$C$27*INDEX(Assumptions!$C$18:$C$21,MATCH(H856,Assumptions!$B$18:$B$21,0)),0)</f>
        <v/>
      </c>
    </row>
    <row r="857">
      <c r="A857" s="114" t="n">
        <v>46265</v>
      </c>
      <c r="B857" s="42" t="inlineStr">
        <is>
          <t>Wk 36</t>
        </is>
      </c>
      <c r="C857" s="42" t="inlineStr">
        <is>
          <t>Mon</t>
        </is>
      </c>
      <c r="D857" s="42" t="inlineStr">
        <is>
          <t>Meta (FB/IG)</t>
        </is>
      </c>
      <c r="E857" s="42" t="inlineStr">
        <is>
          <t>Facebook + Instagram</t>
        </is>
      </c>
      <c r="F857" s="42" t="inlineStr">
        <is>
          <t>LEP_ZA_AUG26_META_RMKT_ALL_CONV</t>
        </is>
      </c>
      <c r="G857" s="42" t="inlineStr">
        <is>
          <t>Leads - Website Conversions</t>
        </is>
      </c>
      <c r="H857" s="42" t="inlineStr">
        <is>
          <t>Range</t>
        </is>
      </c>
      <c r="I857" s="42" t="inlineStr">
        <is>
          <t>Range Offer</t>
        </is>
      </c>
      <c r="J857" s="42" t="inlineStr">
        <is>
          <t>MET_RMKT_VIDVIEW75_ZA</t>
        </is>
      </c>
      <c r="K857" s="42" t="inlineStr">
        <is>
          <t>Retargeting</t>
        </is>
      </c>
      <c r="L857" s="42" t="inlineStr">
        <is>
          <t>RMKT_VID_10s_Recap_v1</t>
        </is>
      </c>
      <c r="M857" s="42" t="inlineStr">
        <is>
          <t>Video 9:16</t>
        </is>
      </c>
      <c r="N857" s="42" t="inlineStr">
        <is>
          <t>10 seconds. Then book.</t>
        </is>
      </c>
      <c r="O857" s="42" t="inlineStr">
        <is>
          <t>Auction - Lowest Cost</t>
        </is>
      </c>
      <c r="P857" s="42" t="inlineStr">
        <is>
          <t>Offsite Conversions</t>
        </is>
      </c>
      <c r="Q857" s="42" t="inlineStr">
        <is>
          <t>https://www.lepas-sa.co.za/book-a-test-drive</t>
        </is>
      </c>
      <c r="R857" s="115" t="n">
        <v>125.71</v>
      </c>
      <c r="S857" s="116" t="n">
        <v>1323</v>
      </c>
      <c r="T857" s="116" t="n">
        <v>645</v>
      </c>
      <c r="U857" s="117">
        <f>IFERROR(S857/T857,"")</f>
        <v/>
      </c>
      <c r="V857" s="116" t="n">
        <v>35</v>
      </c>
      <c r="W857" s="116" t="n">
        <v>28</v>
      </c>
      <c r="X857" s="118">
        <f>IFERROR(W857/S857,"")</f>
        <v/>
      </c>
      <c r="Y857" s="115">
        <f>IFERROR(R857/W857,"")</f>
        <v/>
      </c>
      <c r="Z857" s="115">
        <f>IFERROR(R857/S857*1000,"")</f>
        <v/>
      </c>
      <c r="AA857" s="116" t="n">
        <v>23</v>
      </c>
      <c r="AB857" s="47">
        <f>IFERROR(AA857/W857,"")</f>
        <v/>
      </c>
      <c r="AC857" s="116" t="n">
        <v>328</v>
      </c>
      <c r="AD857" s="116" t="n">
        <v>177</v>
      </c>
      <c r="AE857" s="116" t="n">
        <v>130</v>
      </c>
      <c r="AF857" s="116" t="n">
        <v>88</v>
      </c>
      <c r="AG857" s="116" t="n">
        <v>63</v>
      </c>
      <c r="AH857" s="116" t="n">
        <v>45</v>
      </c>
      <c r="AI857" s="47">
        <f>IFERROR(AC857/S857,"")</f>
        <v/>
      </c>
      <c r="AJ857" s="47">
        <f>IFERROR(AH857/S857,"")</f>
        <v/>
      </c>
      <c r="AK857" s="116" t="n">
        <v>22</v>
      </c>
      <c r="AL857" s="116" t="n">
        <v>0</v>
      </c>
      <c r="AM857" s="118">
        <f>IFERROR(AL857/AA857,"")</f>
        <v/>
      </c>
      <c r="AN857" s="119">
        <f>IFERROR(R857/AL857,"")</f>
        <v/>
      </c>
      <c r="AO857" s="116" t="n">
        <v>0</v>
      </c>
      <c r="AP857" s="47">
        <f>IFERROR(AO857/AL857,"")</f>
        <v/>
      </c>
      <c r="AQ857" s="119">
        <f>IFERROR(R857/AO857,"")</f>
        <v/>
      </c>
      <c r="AR857" s="116" t="n">
        <v>0</v>
      </c>
      <c r="AS857" s="116" t="n">
        <v>0</v>
      </c>
      <c r="AT857" s="116">
        <f>AL857+AR857</f>
        <v/>
      </c>
      <c r="AU857" s="119">
        <f>IFERROR(AO857*Assumptions!$C$26*Assumptions!$C$27*INDEX(Assumptions!$C$18:$C$21,MATCH(H857,Assumptions!$B$18:$B$21,0)),0)</f>
        <v/>
      </c>
    </row>
    <row r="858">
      <c r="A858" s="114" t="n">
        <v>46235</v>
      </c>
      <c r="B858" s="42" t="inlineStr">
        <is>
          <t>Wk 31</t>
        </is>
      </c>
      <c r="C858" s="42" t="inlineStr">
        <is>
          <t>Sat</t>
        </is>
      </c>
      <c r="D858" s="42" t="inlineStr">
        <is>
          <t>Meta (FB/IG)</t>
        </is>
      </c>
      <c r="E858" s="42" t="inlineStr">
        <is>
          <t>Facebook + Instagram</t>
        </is>
      </c>
      <c r="F858" s="42" t="inlineStr">
        <is>
          <t>LEP_ZA_AUG26_META_RMKT_ALL_CONV</t>
        </is>
      </c>
      <c r="G858" s="42" t="inlineStr">
        <is>
          <t>Leads - Website Conversions</t>
        </is>
      </c>
      <c r="H858" s="42" t="inlineStr">
        <is>
          <t>Range</t>
        </is>
      </c>
      <c r="I858" s="42" t="inlineStr">
        <is>
          <t>Range Offer</t>
        </is>
      </c>
      <c r="J858" s="42" t="inlineStr">
        <is>
          <t>MET_RMKT_VIDVIEW75_ZA</t>
        </is>
      </c>
      <c r="K858" s="42" t="inlineStr">
        <is>
          <t>Retargeting</t>
        </is>
      </c>
      <c r="L858" s="42" t="inlineStr">
        <is>
          <t>RMKT_STA_BookNow_v1</t>
        </is>
      </c>
      <c r="M858" s="42" t="inlineStr">
        <is>
          <t>Static 1:1</t>
        </is>
      </c>
      <c r="N858" s="42" t="inlineStr">
        <is>
          <t>Your test drive is 2 minutes away</t>
        </is>
      </c>
      <c r="O858" s="42" t="inlineStr">
        <is>
          <t>Auction - Lowest Cost</t>
        </is>
      </c>
      <c r="P858" s="42" t="inlineStr">
        <is>
          <t>Offsite Conversions</t>
        </is>
      </c>
      <c r="Q858" s="42" t="inlineStr">
        <is>
          <t>https://www.lepas-sa.co.za/book-a-test-drive</t>
        </is>
      </c>
      <c r="R858" s="115" t="n">
        <v>113</v>
      </c>
      <c r="S858" s="116" t="n">
        <v>1414</v>
      </c>
      <c r="T858" s="116" t="n">
        <v>1169</v>
      </c>
      <c r="U858" s="117">
        <f>IFERROR(S858/T858,"")</f>
        <v/>
      </c>
      <c r="V858" s="116" t="n">
        <v>44</v>
      </c>
      <c r="W858" s="116" t="n">
        <v>31</v>
      </c>
      <c r="X858" s="118">
        <f>IFERROR(W858/S858,"")</f>
        <v/>
      </c>
      <c r="Y858" s="115">
        <f>IFERROR(R858/W858,"")</f>
        <v/>
      </c>
      <c r="Z858" s="115">
        <f>IFERROR(R858/S858*1000,"")</f>
        <v/>
      </c>
      <c r="AA858" s="116" t="n">
        <v>26</v>
      </c>
      <c r="AB858" s="47">
        <f>IFERROR(AA858/W858,"")</f>
        <v/>
      </c>
      <c r="AC858" s="116" t="n">
        <v>0</v>
      </c>
      <c r="AD858" s="116" t="n">
        <v>0</v>
      </c>
      <c r="AE858" s="116" t="n">
        <v>0</v>
      </c>
      <c r="AF858" s="116" t="n">
        <v>0</v>
      </c>
      <c r="AG858" s="116" t="n">
        <v>0</v>
      </c>
      <c r="AH858" s="116" t="n">
        <v>0</v>
      </c>
      <c r="AI858" s="47">
        <f>IFERROR(AC858/S858,"")</f>
        <v/>
      </c>
      <c r="AJ858" s="47">
        <f>IFERROR(AH858/S858,"")</f>
        <v/>
      </c>
      <c r="AK858" s="116" t="n">
        <v>37</v>
      </c>
      <c r="AL858" s="116" t="n">
        <v>1</v>
      </c>
      <c r="AM858" s="118">
        <f>IFERROR(AL858/AA858,"")</f>
        <v/>
      </c>
      <c r="AN858" s="119">
        <f>IFERROR(R858/AL858,"")</f>
        <v/>
      </c>
      <c r="AO858" s="116" t="n">
        <v>1</v>
      </c>
      <c r="AP858" s="47">
        <f>IFERROR(AO858/AL858,"")</f>
        <v/>
      </c>
      <c r="AQ858" s="119">
        <f>IFERROR(R858/AO858,"")</f>
        <v/>
      </c>
      <c r="AR858" s="116" t="n">
        <v>0</v>
      </c>
      <c r="AS858" s="116" t="n">
        <v>0</v>
      </c>
      <c r="AT858" s="116">
        <f>AL858+AR858</f>
        <v/>
      </c>
      <c r="AU858" s="119">
        <f>IFERROR(AO858*Assumptions!$C$26*Assumptions!$C$27*INDEX(Assumptions!$C$18:$C$21,MATCH(H858,Assumptions!$B$18:$B$21,0)),0)</f>
        <v/>
      </c>
    </row>
    <row r="859">
      <c r="A859" s="114" t="n">
        <v>46236</v>
      </c>
      <c r="B859" s="42" t="inlineStr">
        <is>
          <t>Wk 31</t>
        </is>
      </c>
      <c r="C859" s="42" t="inlineStr">
        <is>
          <t>Sun</t>
        </is>
      </c>
      <c r="D859" s="42" t="inlineStr">
        <is>
          <t>Meta (FB/IG)</t>
        </is>
      </c>
      <c r="E859" s="42" t="inlineStr">
        <is>
          <t>Facebook + Instagram</t>
        </is>
      </c>
      <c r="F859" s="42" t="inlineStr">
        <is>
          <t>LEP_ZA_AUG26_META_RMKT_ALL_CONV</t>
        </is>
      </c>
      <c r="G859" s="42" t="inlineStr">
        <is>
          <t>Leads - Website Conversions</t>
        </is>
      </c>
      <c r="H859" s="42" t="inlineStr">
        <is>
          <t>Range</t>
        </is>
      </c>
      <c r="I859" s="42" t="inlineStr">
        <is>
          <t>Range Offer</t>
        </is>
      </c>
      <c r="J859" s="42" t="inlineStr">
        <is>
          <t>MET_RMKT_VIDVIEW75_ZA</t>
        </is>
      </c>
      <c r="K859" s="42" t="inlineStr">
        <is>
          <t>Retargeting</t>
        </is>
      </c>
      <c r="L859" s="42" t="inlineStr">
        <is>
          <t>RMKT_STA_BookNow_v1</t>
        </is>
      </c>
      <c r="M859" s="42" t="inlineStr">
        <is>
          <t>Static 1:1</t>
        </is>
      </c>
      <c r="N859" s="42" t="inlineStr">
        <is>
          <t>Your test drive is 2 minutes away</t>
        </is>
      </c>
      <c r="O859" s="42" t="inlineStr">
        <is>
          <t>Auction - Lowest Cost</t>
        </is>
      </c>
      <c r="P859" s="42" t="inlineStr">
        <is>
          <t>Offsite Conversions</t>
        </is>
      </c>
      <c r="Q859" s="42" t="inlineStr">
        <is>
          <t>https://www.lepas-sa.co.za/book-a-test-drive</t>
        </is>
      </c>
      <c r="R859" s="115" t="n">
        <v>71.62</v>
      </c>
      <c r="S859" s="116" t="n">
        <v>705</v>
      </c>
      <c r="T859" s="116" t="n">
        <v>551</v>
      </c>
      <c r="U859" s="117">
        <f>IFERROR(S859/T859,"")</f>
        <v/>
      </c>
      <c r="V859" s="116" t="n">
        <v>29</v>
      </c>
      <c r="W859" s="116" t="n">
        <v>21</v>
      </c>
      <c r="X859" s="118">
        <f>IFERROR(W859/S859,"")</f>
        <v/>
      </c>
      <c r="Y859" s="115">
        <f>IFERROR(R859/W859,"")</f>
        <v/>
      </c>
      <c r="Z859" s="115">
        <f>IFERROR(R859/S859*1000,"")</f>
        <v/>
      </c>
      <c r="AA859" s="116" t="n">
        <v>19</v>
      </c>
      <c r="AB859" s="47">
        <f>IFERROR(AA859/W859,"")</f>
        <v/>
      </c>
      <c r="AC859" s="116" t="n">
        <v>0</v>
      </c>
      <c r="AD859" s="116" t="n">
        <v>0</v>
      </c>
      <c r="AE859" s="116" t="n">
        <v>0</v>
      </c>
      <c r="AF859" s="116" t="n">
        <v>0</v>
      </c>
      <c r="AG859" s="116" t="n">
        <v>0</v>
      </c>
      <c r="AH859" s="116" t="n">
        <v>0</v>
      </c>
      <c r="AI859" s="47">
        <f>IFERROR(AC859/S859,"")</f>
        <v/>
      </c>
      <c r="AJ859" s="47">
        <f>IFERROR(AH859/S859,"")</f>
        <v/>
      </c>
      <c r="AK859" s="116" t="n">
        <v>10</v>
      </c>
      <c r="AL859" s="116" t="n">
        <v>1</v>
      </c>
      <c r="AM859" s="118">
        <f>IFERROR(AL859/AA859,"")</f>
        <v/>
      </c>
      <c r="AN859" s="119">
        <f>IFERROR(R859/AL859,"")</f>
        <v/>
      </c>
      <c r="AO859" s="116" t="n">
        <v>1</v>
      </c>
      <c r="AP859" s="47">
        <f>IFERROR(AO859/AL859,"")</f>
        <v/>
      </c>
      <c r="AQ859" s="119">
        <f>IFERROR(R859/AO859,"")</f>
        <v/>
      </c>
      <c r="AR859" s="116" t="n">
        <v>0</v>
      </c>
      <c r="AS859" s="116" t="n">
        <v>1</v>
      </c>
      <c r="AT859" s="116">
        <f>AL859+AR859</f>
        <v/>
      </c>
      <c r="AU859" s="119">
        <f>IFERROR(AO859*Assumptions!$C$26*Assumptions!$C$27*INDEX(Assumptions!$C$18:$C$21,MATCH(H859,Assumptions!$B$18:$B$21,0)),0)</f>
        <v/>
      </c>
    </row>
    <row r="860">
      <c r="A860" s="114" t="n">
        <v>46237</v>
      </c>
      <c r="B860" s="42" t="inlineStr">
        <is>
          <t>Wk 32</t>
        </is>
      </c>
      <c r="C860" s="42" t="inlineStr">
        <is>
          <t>Mon</t>
        </is>
      </c>
      <c r="D860" s="42" t="inlineStr">
        <is>
          <t>Meta (FB/IG)</t>
        </is>
      </c>
      <c r="E860" s="42" t="inlineStr">
        <is>
          <t>Facebook + Instagram</t>
        </is>
      </c>
      <c r="F860" s="42" t="inlineStr">
        <is>
          <t>LEP_ZA_AUG26_META_RMKT_ALL_CONV</t>
        </is>
      </c>
      <c r="G860" s="42" t="inlineStr">
        <is>
          <t>Leads - Website Conversions</t>
        </is>
      </c>
      <c r="H860" s="42" t="inlineStr">
        <is>
          <t>Range</t>
        </is>
      </c>
      <c r="I860" s="42" t="inlineStr">
        <is>
          <t>Range Offer</t>
        </is>
      </c>
      <c r="J860" s="42" t="inlineStr">
        <is>
          <t>MET_RMKT_VIDVIEW75_ZA</t>
        </is>
      </c>
      <c r="K860" s="42" t="inlineStr">
        <is>
          <t>Retargeting</t>
        </is>
      </c>
      <c r="L860" s="42" t="inlineStr">
        <is>
          <t>RMKT_STA_BookNow_v1</t>
        </is>
      </c>
      <c r="M860" s="42" t="inlineStr">
        <is>
          <t>Static 1:1</t>
        </is>
      </c>
      <c r="N860" s="42" t="inlineStr">
        <is>
          <t>Your test drive is 2 minutes away</t>
        </is>
      </c>
      <c r="O860" s="42" t="inlineStr">
        <is>
          <t>Auction - Lowest Cost</t>
        </is>
      </c>
      <c r="P860" s="42" t="inlineStr">
        <is>
          <t>Offsite Conversions</t>
        </is>
      </c>
      <c r="Q860" s="42" t="inlineStr">
        <is>
          <t>https://www.lepas-sa.co.za/book-a-test-drive</t>
        </is>
      </c>
      <c r="R860" s="115" t="n">
        <v>96.22</v>
      </c>
      <c r="S860" s="116" t="n">
        <v>1240</v>
      </c>
      <c r="T860" s="116" t="n">
        <v>893</v>
      </c>
      <c r="U860" s="117">
        <f>IFERROR(S860/T860,"")</f>
        <v/>
      </c>
      <c r="V860" s="116" t="n">
        <v>39</v>
      </c>
      <c r="W860" s="116" t="n">
        <v>31</v>
      </c>
      <c r="X860" s="118">
        <f>IFERROR(W860/S860,"")</f>
        <v/>
      </c>
      <c r="Y860" s="115">
        <f>IFERROR(R860/W860,"")</f>
        <v/>
      </c>
      <c r="Z860" s="115">
        <f>IFERROR(R860/S860*1000,"")</f>
        <v/>
      </c>
      <c r="AA860" s="116" t="n">
        <v>26</v>
      </c>
      <c r="AB860" s="47">
        <f>IFERROR(AA860/W860,"")</f>
        <v/>
      </c>
      <c r="AC860" s="116" t="n">
        <v>0</v>
      </c>
      <c r="AD860" s="116" t="n">
        <v>0</v>
      </c>
      <c r="AE860" s="116" t="n">
        <v>0</v>
      </c>
      <c r="AF860" s="116" t="n">
        <v>0</v>
      </c>
      <c r="AG860" s="116" t="n">
        <v>0</v>
      </c>
      <c r="AH860" s="116" t="n">
        <v>0</v>
      </c>
      <c r="AI860" s="47">
        <f>IFERROR(AC860/S860,"")</f>
        <v/>
      </c>
      <c r="AJ860" s="47">
        <f>IFERROR(AH860/S860,"")</f>
        <v/>
      </c>
      <c r="AK860" s="116" t="n">
        <v>24</v>
      </c>
      <c r="AL860" s="116" t="n">
        <v>1</v>
      </c>
      <c r="AM860" s="118">
        <f>IFERROR(AL860/AA860,"")</f>
        <v/>
      </c>
      <c r="AN860" s="119">
        <f>IFERROR(R860/AL860,"")</f>
        <v/>
      </c>
      <c r="AO860" s="116" t="n">
        <v>1</v>
      </c>
      <c r="AP860" s="47">
        <f>IFERROR(AO860/AL860,"")</f>
        <v/>
      </c>
      <c r="AQ860" s="119">
        <f>IFERROR(R860/AO860,"")</f>
        <v/>
      </c>
      <c r="AR860" s="116" t="n">
        <v>0</v>
      </c>
      <c r="AS860" s="116" t="n">
        <v>0</v>
      </c>
      <c r="AT860" s="116">
        <f>AL860+AR860</f>
        <v/>
      </c>
      <c r="AU860" s="119">
        <f>IFERROR(AO860*Assumptions!$C$26*Assumptions!$C$27*INDEX(Assumptions!$C$18:$C$21,MATCH(H860,Assumptions!$B$18:$B$21,0)),0)</f>
        <v/>
      </c>
    </row>
    <row r="861">
      <c r="A861" s="114" t="n">
        <v>46238</v>
      </c>
      <c r="B861" s="42" t="inlineStr">
        <is>
          <t>Wk 32</t>
        </is>
      </c>
      <c r="C861" s="42" t="inlineStr">
        <is>
          <t>Tue</t>
        </is>
      </c>
      <c r="D861" s="42" t="inlineStr">
        <is>
          <t>Meta (FB/IG)</t>
        </is>
      </c>
      <c r="E861" s="42" t="inlineStr">
        <is>
          <t>Facebook + Instagram</t>
        </is>
      </c>
      <c r="F861" s="42" t="inlineStr">
        <is>
          <t>LEP_ZA_AUG26_META_RMKT_ALL_CONV</t>
        </is>
      </c>
      <c r="G861" s="42" t="inlineStr">
        <is>
          <t>Leads - Website Conversions</t>
        </is>
      </c>
      <c r="H861" s="42" t="inlineStr">
        <is>
          <t>Range</t>
        </is>
      </c>
      <c r="I861" s="42" t="inlineStr">
        <is>
          <t>Range Offer</t>
        </is>
      </c>
      <c r="J861" s="42" t="inlineStr">
        <is>
          <t>MET_RMKT_VIDVIEW75_ZA</t>
        </is>
      </c>
      <c r="K861" s="42" t="inlineStr">
        <is>
          <t>Retargeting</t>
        </is>
      </c>
      <c r="L861" s="42" t="inlineStr">
        <is>
          <t>RMKT_STA_BookNow_v1</t>
        </is>
      </c>
      <c r="M861" s="42" t="inlineStr">
        <is>
          <t>Static 1:1</t>
        </is>
      </c>
      <c r="N861" s="42" t="inlineStr">
        <is>
          <t>Your test drive is 2 minutes away</t>
        </is>
      </c>
      <c r="O861" s="42" t="inlineStr">
        <is>
          <t>Auction - Lowest Cost</t>
        </is>
      </c>
      <c r="P861" s="42" t="inlineStr">
        <is>
          <t>Offsite Conversions</t>
        </is>
      </c>
      <c r="Q861" s="42" t="inlineStr">
        <is>
          <t>https://www.lepas-sa.co.za/book-a-test-drive</t>
        </is>
      </c>
      <c r="R861" s="115" t="n">
        <v>110.47</v>
      </c>
      <c r="S861" s="116" t="n">
        <v>1065</v>
      </c>
      <c r="T861" s="116" t="n">
        <v>690</v>
      </c>
      <c r="U861" s="117">
        <f>IFERROR(S861/T861,"")</f>
        <v/>
      </c>
      <c r="V861" s="116" t="n">
        <v>36</v>
      </c>
      <c r="W861" s="116" t="n">
        <v>27</v>
      </c>
      <c r="X861" s="118">
        <f>IFERROR(W861/S861,"")</f>
        <v/>
      </c>
      <c r="Y861" s="115">
        <f>IFERROR(R861/W861,"")</f>
        <v/>
      </c>
      <c r="Z861" s="115">
        <f>IFERROR(R861/S861*1000,"")</f>
        <v/>
      </c>
      <c r="AA861" s="116" t="n">
        <v>23</v>
      </c>
      <c r="AB861" s="47">
        <f>IFERROR(AA861/W861,"")</f>
        <v/>
      </c>
      <c r="AC861" s="116" t="n">
        <v>0</v>
      </c>
      <c r="AD861" s="116" t="n">
        <v>0</v>
      </c>
      <c r="AE861" s="116" t="n">
        <v>0</v>
      </c>
      <c r="AF861" s="116" t="n">
        <v>0</v>
      </c>
      <c r="AG861" s="116" t="n">
        <v>0</v>
      </c>
      <c r="AH861" s="116" t="n">
        <v>0</v>
      </c>
      <c r="AI861" s="47">
        <f>IFERROR(AC861/S861,"")</f>
        <v/>
      </c>
      <c r="AJ861" s="47">
        <f>IFERROR(AH861/S861,"")</f>
        <v/>
      </c>
      <c r="AK861" s="116" t="n">
        <v>13</v>
      </c>
      <c r="AL861" s="116" t="n">
        <v>2</v>
      </c>
      <c r="AM861" s="118">
        <f>IFERROR(AL861/AA861,"")</f>
        <v/>
      </c>
      <c r="AN861" s="119">
        <f>IFERROR(R861/AL861,"")</f>
        <v/>
      </c>
      <c r="AO861" s="116" t="n">
        <v>1</v>
      </c>
      <c r="AP861" s="47">
        <f>IFERROR(AO861/AL861,"")</f>
        <v/>
      </c>
      <c r="AQ861" s="119">
        <f>IFERROR(R861/AO861,"")</f>
        <v/>
      </c>
      <c r="AR861" s="116" t="n">
        <v>0</v>
      </c>
      <c r="AS861" s="116" t="n">
        <v>0</v>
      </c>
      <c r="AT861" s="116">
        <f>AL861+AR861</f>
        <v/>
      </c>
      <c r="AU861" s="119">
        <f>IFERROR(AO861*Assumptions!$C$26*Assumptions!$C$27*INDEX(Assumptions!$C$18:$C$21,MATCH(H861,Assumptions!$B$18:$B$21,0)),0)</f>
        <v/>
      </c>
    </row>
    <row r="862">
      <c r="A862" s="114" t="n">
        <v>46239</v>
      </c>
      <c r="B862" s="42" t="inlineStr">
        <is>
          <t>Wk 32</t>
        </is>
      </c>
      <c r="C862" s="42" t="inlineStr">
        <is>
          <t>Wed</t>
        </is>
      </c>
      <c r="D862" s="42" t="inlineStr">
        <is>
          <t>Meta (FB/IG)</t>
        </is>
      </c>
      <c r="E862" s="42" t="inlineStr">
        <is>
          <t>Facebook + Instagram</t>
        </is>
      </c>
      <c r="F862" s="42" t="inlineStr">
        <is>
          <t>LEP_ZA_AUG26_META_RMKT_ALL_CONV</t>
        </is>
      </c>
      <c r="G862" s="42" t="inlineStr">
        <is>
          <t>Leads - Website Conversions</t>
        </is>
      </c>
      <c r="H862" s="42" t="inlineStr">
        <is>
          <t>Range</t>
        </is>
      </c>
      <c r="I862" s="42" t="inlineStr">
        <is>
          <t>Range Offer</t>
        </is>
      </c>
      <c r="J862" s="42" t="inlineStr">
        <is>
          <t>MET_RMKT_VIDVIEW75_ZA</t>
        </is>
      </c>
      <c r="K862" s="42" t="inlineStr">
        <is>
          <t>Retargeting</t>
        </is>
      </c>
      <c r="L862" s="42" t="inlineStr">
        <is>
          <t>RMKT_STA_BookNow_v1</t>
        </is>
      </c>
      <c r="M862" s="42" t="inlineStr">
        <is>
          <t>Static 1:1</t>
        </is>
      </c>
      <c r="N862" s="42" t="inlineStr">
        <is>
          <t>Your test drive is 2 minutes away</t>
        </is>
      </c>
      <c r="O862" s="42" t="inlineStr">
        <is>
          <t>Auction - Lowest Cost</t>
        </is>
      </c>
      <c r="P862" s="42" t="inlineStr">
        <is>
          <t>Offsite Conversions</t>
        </is>
      </c>
      <c r="Q862" s="42" t="inlineStr">
        <is>
          <t>https://www.lepas-sa.co.za/book-a-test-drive</t>
        </is>
      </c>
      <c r="R862" s="115" t="n">
        <v>96.69</v>
      </c>
      <c r="S862" s="116" t="n">
        <v>1221</v>
      </c>
      <c r="T862" s="116" t="n">
        <v>771</v>
      </c>
      <c r="U862" s="117">
        <f>IFERROR(S862/T862,"")</f>
        <v/>
      </c>
      <c r="V862" s="116" t="n">
        <v>37</v>
      </c>
      <c r="W862" s="116" t="n">
        <v>27</v>
      </c>
      <c r="X862" s="118">
        <f>IFERROR(W862/S862,"")</f>
        <v/>
      </c>
      <c r="Y862" s="115">
        <f>IFERROR(R862/W862,"")</f>
        <v/>
      </c>
      <c r="Z862" s="115">
        <f>IFERROR(R862/S862*1000,"")</f>
        <v/>
      </c>
      <c r="AA862" s="116" t="n">
        <v>23</v>
      </c>
      <c r="AB862" s="47">
        <f>IFERROR(AA862/W862,"")</f>
        <v/>
      </c>
      <c r="AC862" s="116" t="n">
        <v>0</v>
      </c>
      <c r="AD862" s="116" t="n">
        <v>0</v>
      </c>
      <c r="AE862" s="116" t="n">
        <v>0</v>
      </c>
      <c r="AF862" s="116" t="n">
        <v>0</v>
      </c>
      <c r="AG862" s="116" t="n">
        <v>0</v>
      </c>
      <c r="AH862" s="116" t="n">
        <v>0</v>
      </c>
      <c r="AI862" s="47">
        <f>IFERROR(AC862/S862,"")</f>
        <v/>
      </c>
      <c r="AJ862" s="47">
        <f>IFERROR(AH862/S862,"")</f>
        <v/>
      </c>
      <c r="AK862" s="116" t="n">
        <v>33</v>
      </c>
      <c r="AL862" s="116" t="n">
        <v>1</v>
      </c>
      <c r="AM862" s="118">
        <f>IFERROR(AL862/AA862,"")</f>
        <v/>
      </c>
      <c r="AN862" s="119">
        <f>IFERROR(R862/AL862,"")</f>
        <v/>
      </c>
      <c r="AO862" s="116" t="n">
        <v>0</v>
      </c>
      <c r="AP862" s="47">
        <f>IFERROR(AO862/AL862,"")</f>
        <v/>
      </c>
      <c r="AQ862" s="119">
        <f>IFERROR(R862/AO862,"")</f>
        <v/>
      </c>
      <c r="AR862" s="116" t="n">
        <v>1</v>
      </c>
      <c r="AS862" s="116" t="n">
        <v>1</v>
      </c>
      <c r="AT862" s="116">
        <f>AL862+AR862</f>
        <v/>
      </c>
      <c r="AU862" s="119">
        <f>IFERROR(AO862*Assumptions!$C$26*Assumptions!$C$27*INDEX(Assumptions!$C$18:$C$21,MATCH(H862,Assumptions!$B$18:$B$21,0)),0)</f>
        <v/>
      </c>
    </row>
    <row r="863">
      <c r="A863" s="114" t="n">
        <v>46240</v>
      </c>
      <c r="B863" s="42" t="inlineStr">
        <is>
          <t>Wk 32</t>
        </is>
      </c>
      <c r="C863" s="42" t="inlineStr">
        <is>
          <t>Thu</t>
        </is>
      </c>
      <c r="D863" s="42" t="inlineStr">
        <is>
          <t>Meta (FB/IG)</t>
        </is>
      </c>
      <c r="E863" s="42" t="inlineStr">
        <is>
          <t>Facebook + Instagram</t>
        </is>
      </c>
      <c r="F863" s="42" t="inlineStr">
        <is>
          <t>LEP_ZA_AUG26_META_RMKT_ALL_CONV</t>
        </is>
      </c>
      <c r="G863" s="42" t="inlineStr">
        <is>
          <t>Leads - Website Conversions</t>
        </is>
      </c>
      <c r="H863" s="42" t="inlineStr">
        <is>
          <t>Range</t>
        </is>
      </c>
      <c r="I863" s="42" t="inlineStr">
        <is>
          <t>Range Offer</t>
        </is>
      </c>
      <c r="J863" s="42" t="inlineStr">
        <is>
          <t>MET_RMKT_VIDVIEW75_ZA</t>
        </is>
      </c>
      <c r="K863" s="42" t="inlineStr">
        <is>
          <t>Retargeting</t>
        </is>
      </c>
      <c r="L863" s="42" t="inlineStr">
        <is>
          <t>RMKT_STA_BookNow_v1</t>
        </is>
      </c>
      <c r="M863" s="42" t="inlineStr">
        <is>
          <t>Static 1:1</t>
        </is>
      </c>
      <c r="N863" s="42" t="inlineStr">
        <is>
          <t>Your test drive is 2 minutes away</t>
        </is>
      </c>
      <c r="O863" s="42" t="inlineStr">
        <is>
          <t>Auction - Lowest Cost</t>
        </is>
      </c>
      <c r="P863" s="42" t="inlineStr">
        <is>
          <t>Offsite Conversions</t>
        </is>
      </c>
      <c r="Q863" s="42" t="inlineStr">
        <is>
          <t>https://www.lepas-sa.co.za/book-a-test-drive</t>
        </is>
      </c>
      <c r="R863" s="115" t="n">
        <v>130.4</v>
      </c>
      <c r="S863" s="116" t="n">
        <v>1248</v>
      </c>
      <c r="T863" s="116" t="n">
        <v>803</v>
      </c>
      <c r="U863" s="117">
        <f>IFERROR(S863/T863,"")</f>
        <v/>
      </c>
      <c r="V863" s="116" t="n">
        <v>28</v>
      </c>
      <c r="W863" s="116" t="n">
        <v>24</v>
      </c>
      <c r="X863" s="118">
        <f>IFERROR(W863/S863,"")</f>
        <v/>
      </c>
      <c r="Y863" s="115">
        <f>IFERROR(R863/W863,"")</f>
        <v/>
      </c>
      <c r="Z863" s="115">
        <f>IFERROR(R863/S863*1000,"")</f>
        <v/>
      </c>
      <c r="AA863" s="116" t="n">
        <v>21</v>
      </c>
      <c r="AB863" s="47">
        <f>IFERROR(AA863/W863,"")</f>
        <v/>
      </c>
      <c r="AC863" s="116" t="n">
        <v>0</v>
      </c>
      <c r="AD863" s="116" t="n">
        <v>0</v>
      </c>
      <c r="AE863" s="116" t="n">
        <v>0</v>
      </c>
      <c r="AF863" s="116" t="n">
        <v>0</v>
      </c>
      <c r="AG863" s="116" t="n">
        <v>0</v>
      </c>
      <c r="AH863" s="116" t="n">
        <v>0</v>
      </c>
      <c r="AI863" s="47">
        <f>IFERROR(AC863/S863,"")</f>
        <v/>
      </c>
      <c r="AJ863" s="47">
        <f>IFERROR(AH863/S863,"")</f>
        <v/>
      </c>
      <c r="AK863" s="116" t="n">
        <v>21</v>
      </c>
      <c r="AL863" s="116" t="n">
        <v>0</v>
      </c>
      <c r="AM863" s="118">
        <f>IFERROR(AL863/AA863,"")</f>
        <v/>
      </c>
      <c r="AN863" s="119">
        <f>IFERROR(R863/AL863,"")</f>
        <v/>
      </c>
      <c r="AO863" s="116" t="n">
        <v>0</v>
      </c>
      <c r="AP863" s="47">
        <f>IFERROR(AO863/AL863,"")</f>
        <v/>
      </c>
      <c r="AQ863" s="119">
        <f>IFERROR(R863/AO863,"")</f>
        <v/>
      </c>
      <c r="AR863" s="116" t="n">
        <v>0</v>
      </c>
      <c r="AS863" s="116" t="n">
        <v>0</v>
      </c>
      <c r="AT863" s="116">
        <f>AL863+AR863</f>
        <v/>
      </c>
      <c r="AU863" s="119">
        <f>IFERROR(AO863*Assumptions!$C$26*Assumptions!$C$27*INDEX(Assumptions!$C$18:$C$21,MATCH(H863,Assumptions!$B$18:$B$21,0)),0)</f>
        <v/>
      </c>
    </row>
    <row r="864">
      <c r="A864" s="114" t="n">
        <v>46241</v>
      </c>
      <c r="B864" s="42" t="inlineStr">
        <is>
          <t>Wk 32</t>
        </is>
      </c>
      <c r="C864" s="42" t="inlineStr">
        <is>
          <t>Fri</t>
        </is>
      </c>
      <c r="D864" s="42" t="inlineStr">
        <is>
          <t>Meta (FB/IG)</t>
        </is>
      </c>
      <c r="E864" s="42" t="inlineStr">
        <is>
          <t>Facebook + Instagram</t>
        </is>
      </c>
      <c r="F864" s="42" t="inlineStr">
        <is>
          <t>LEP_ZA_AUG26_META_RMKT_ALL_CONV</t>
        </is>
      </c>
      <c r="G864" s="42" t="inlineStr">
        <is>
          <t>Leads - Website Conversions</t>
        </is>
      </c>
      <c r="H864" s="42" t="inlineStr">
        <is>
          <t>Range</t>
        </is>
      </c>
      <c r="I864" s="42" t="inlineStr">
        <is>
          <t>Range Offer</t>
        </is>
      </c>
      <c r="J864" s="42" t="inlineStr">
        <is>
          <t>MET_RMKT_VIDVIEW75_ZA</t>
        </is>
      </c>
      <c r="K864" s="42" t="inlineStr">
        <is>
          <t>Retargeting</t>
        </is>
      </c>
      <c r="L864" s="42" t="inlineStr">
        <is>
          <t>RMKT_STA_BookNow_v1</t>
        </is>
      </c>
      <c r="M864" s="42" t="inlineStr">
        <is>
          <t>Static 1:1</t>
        </is>
      </c>
      <c r="N864" s="42" t="inlineStr">
        <is>
          <t>Your test drive is 2 minutes away</t>
        </is>
      </c>
      <c r="O864" s="42" t="inlineStr">
        <is>
          <t>Auction - Lowest Cost</t>
        </is>
      </c>
      <c r="P864" s="42" t="inlineStr">
        <is>
          <t>Offsite Conversions</t>
        </is>
      </c>
      <c r="Q864" s="42" t="inlineStr">
        <is>
          <t>https://www.lepas-sa.co.za/book-a-test-drive</t>
        </is>
      </c>
      <c r="R864" s="115" t="n">
        <v>135.83</v>
      </c>
      <c r="S864" s="116" t="n">
        <v>1913</v>
      </c>
      <c r="T864" s="116" t="n">
        <v>1210</v>
      </c>
      <c r="U864" s="117">
        <f>IFERROR(S864/T864,"")</f>
        <v/>
      </c>
      <c r="V864" s="116" t="n">
        <v>50</v>
      </c>
      <c r="W864" s="116" t="n">
        <v>35</v>
      </c>
      <c r="X864" s="118">
        <f>IFERROR(W864/S864,"")</f>
        <v/>
      </c>
      <c r="Y864" s="115">
        <f>IFERROR(R864/W864,"")</f>
        <v/>
      </c>
      <c r="Z864" s="115">
        <f>IFERROR(R864/S864*1000,"")</f>
        <v/>
      </c>
      <c r="AA864" s="116" t="n">
        <v>32</v>
      </c>
      <c r="AB864" s="47">
        <f>IFERROR(AA864/W864,"")</f>
        <v/>
      </c>
      <c r="AC864" s="116" t="n">
        <v>0</v>
      </c>
      <c r="AD864" s="116" t="n">
        <v>0</v>
      </c>
      <c r="AE864" s="116" t="n">
        <v>0</v>
      </c>
      <c r="AF864" s="116" t="n">
        <v>0</v>
      </c>
      <c r="AG864" s="116" t="n">
        <v>0</v>
      </c>
      <c r="AH864" s="116" t="n">
        <v>0</v>
      </c>
      <c r="AI864" s="47">
        <f>IFERROR(AC864/S864,"")</f>
        <v/>
      </c>
      <c r="AJ864" s="47">
        <f>IFERROR(AH864/S864,"")</f>
        <v/>
      </c>
      <c r="AK864" s="116" t="n">
        <v>22</v>
      </c>
      <c r="AL864" s="116" t="n">
        <v>1</v>
      </c>
      <c r="AM864" s="118">
        <f>IFERROR(AL864/AA864,"")</f>
        <v/>
      </c>
      <c r="AN864" s="119">
        <f>IFERROR(R864/AL864,"")</f>
        <v/>
      </c>
      <c r="AO864" s="116" t="n">
        <v>0</v>
      </c>
      <c r="AP864" s="47">
        <f>IFERROR(AO864/AL864,"")</f>
        <v/>
      </c>
      <c r="AQ864" s="119">
        <f>IFERROR(R864/AO864,"")</f>
        <v/>
      </c>
      <c r="AR864" s="116" t="n">
        <v>0</v>
      </c>
      <c r="AS864" s="116" t="n">
        <v>1</v>
      </c>
      <c r="AT864" s="116">
        <f>AL864+AR864</f>
        <v/>
      </c>
      <c r="AU864" s="119">
        <f>IFERROR(AO864*Assumptions!$C$26*Assumptions!$C$27*INDEX(Assumptions!$C$18:$C$21,MATCH(H864,Assumptions!$B$18:$B$21,0)),0)</f>
        <v/>
      </c>
    </row>
    <row r="865">
      <c r="A865" s="114" t="n">
        <v>46242</v>
      </c>
      <c r="B865" s="42" t="inlineStr">
        <is>
          <t>Wk 32</t>
        </is>
      </c>
      <c r="C865" s="42" t="inlineStr">
        <is>
          <t>Sat</t>
        </is>
      </c>
      <c r="D865" s="42" t="inlineStr">
        <is>
          <t>Meta (FB/IG)</t>
        </is>
      </c>
      <c r="E865" s="42" t="inlineStr">
        <is>
          <t>Facebook + Instagram</t>
        </is>
      </c>
      <c r="F865" s="42" t="inlineStr">
        <is>
          <t>LEP_ZA_AUG26_META_RMKT_ALL_CONV</t>
        </is>
      </c>
      <c r="G865" s="42" t="inlineStr">
        <is>
          <t>Leads - Website Conversions</t>
        </is>
      </c>
      <c r="H865" s="42" t="inlineStr">
        <is>
          <t>Range</t>
        </is>
      </c>
      <c r="I865" s="42" t="inlineStr">
        <is>
          <t>Range Offer</t>
        </is>
      </c>
      <c r="J865" s="42" t="inlineStr">
        <is>
          <t>MET_RMKT_VIDVIEW75_ZA</t>
        </is>
      </c>
      <c r="K865" s="42" t="inlineStr">
        <is>
          <t>Retargeting</t>
        </is>
      </c>
      <c r="L865" s="42" t="inlineStr">
        <is>
          <t>RMKT_STA_BookNow_v1</t>
        </is>
      </c>
      <c r="M865" s="42" t="inlineStr">
        <is>
          <t>Static 1:1</t>
        </is>
      </c>
      <c r="N865" s="42" t="inlineStr">
        <is>
          <t>Your test drive is 2 minutes away</t>
        </is>
      </c>
      <c r="O865" s="42" t="inlineStr">
        <is>
          <t>Auction - Lowest Cost</t>
        </is>
      </c>
      <c r="P865" s="42" t="inlineStr">
        <is>
          <t>Offsite Conversions</t>
        </is>
      </c>
      <c r="Q865" s="42" t="inlineStr">
        <is>
          <t>https://www.lepas-sa.co.za/book-a-test-drive</t>
        </is>
      </c>
      <c r="R865" s="115" t="n">
        <v>124</v>
      </c>
      <c r="S865" s="116" t="n">
        <v>1309</v>
      </c>
      <c r="T865" s="116" t="n">
        <v>940</v>
      </c>
      <c r="U865" s="117">
        <f>IFERROR(S865/T865,"")</f>
        <v/>
      </c>
      <c r="V865" s="116" t="n">
        <v>52</v>
      </c>
      <c r="W865" s="116" t="n">
        <v>39</v>
      </c>
      <c r="X865" s="118">
        <f>IFERROR(W865/S865,"")</f>
        <v/>
      </c>
      <c r="Y865" s="115">
        <f>IFERROR(R865/W865,"")</f>
        <v/>
      </c>
      <c r="Z865" s="115">
        <f>IFERROR(R865/S865*1000,"")</f>
        <v/>
      </c>
      <c r="AA865" s="116" t="n">
        <v>32</v>
      </c>
      <c r="AB865" s="47">
        <f>IFERROR(AA865/W865,"")</f>
        <v/>
      </c>
      <c r="AC865" s="116" t="n">
        <v>0</v>
      </c>
      <c r="AD865" s="116" t="n">
        <v>0</v>
      </c>
      <c r="AE865" s="116" t="n">
        <v>0</v>
      </c>
      <c r="AF865" s="116" t="n">
        <v>0</v>
      </c>
      <c r="AG865" s="116" t="n">
        <v>0</v>
      </c>
      <c r="AH865" s="116" t="n">
        <v>0</v>
      </c>
      <c r="AI865" s="47">
        <f>IFERROR(AC865/S865,"")</f>
        <v/>
      </c>
      <c r="AJ865" s="47">
        <f>IFERROR(AH865/S865,"")</f>
        <v/>
      </c>
      <c r="AK865" s="116" t="n">
        <v>34</v>
      </c>
      <c r="AL865" s="116" t="n">
        <v>1</v>
      </c>
      <c r="AM865" s="118">
        <f>IFERROR(AL865/AA865,"")</f>
        <v/>
      </c>
      <c r="AN865" s="119">
        <f>IFERROR(R865/AL865,"")</f>
        <v/>
      </c>
      <c r="AO865" s="116" t="n">
        <v>0</v>
      </c>
      <c r="AP865" s="47">
        <f>IFERROR(AO865/AL865,"")</f>
        <v/>
      </c>
      <c r="AQ865" s="119">
        <f>IFERROR(R865/AO865,"")</f>
        <v/>
      </c>
      <c r="AR865" s="116" t="n">
        <v>0</v>
      </c>
      <c r="AS865" s="116" t="n">
        <v>0</v>
      </c>
      <c r="AT865" s="116">
        <f>AL865+AR865</f>
        <v/>
      </c>
      <c r="AU865" s="119">
        <f>IFERROR(AO865*Assumptions!$C$26*Assumptions!$C$27*INDEX(Assumptions!$C$18:$C$21,MATCH(H865,Assumptions!$B$18:$B$21,0)),0)</f>
        <v/>
      </c>
    </row>
    <row r="866">
      <c r="A866" s="114" t="n">
        <v>46243</v>
      </c>
      <c r="B866" s="42" t="inlineStr">
        <is>
          <t>Wk 32</t>
        </is>
      </c>
      <c r="C866" s="42" t="inlineStr">
        <is>
          <t>Sun</t>
        </is>
      </c>
      <c r="D866" s="42" t="inlineStr">
        <is>
          <t>Meta (FB/IG)</t>
        </is>
      </c>
      <c r="E866" s="42" t="inlineStr">
        <is>
          <t>Facebook + Instagram</t>
        </is>
      </c>
      <c r="F866" s="42" t="inlineStr">
        <is>
          <t>LEP_ZA_AUG26_META_RMKT_ALL_CONV</t>
        </is>
      </c>
      <c r="G866" s="42" t="inlineStr">
        <is>
          <t>Leads - Website Conversions</t>
        </is>
      </c>
      <c r="H866" s="42" t="inlineStr">
        <is>
          <t>Range</t>
        </is>
      </c>
      <c r="I866" s="42" t="inlineStr">
        <is>
          <t>Range Offer</t>
        </is>
      </c>
      <c r="J866" s="42" t="inlineStr">
        <is>
          <t>MET_RMKT_VIDVIEW75_ZA</t>
        </is>
      </c>
      <c r="K866" s="42" t="inlineStr">
        <is>
          <t>Retargeting</t>
        </is>
      </c>
      <c r="L866" s="42" t="inlineStr">
        <is>
          <t>RMKT_STA_BookNow_v1</t>
        </is>
      </c>
      <c r="M866" s="42" t="inlineStr">
        <is>
          <t>Static 1:1</t>
        </is>
      </c>
      <c r="N866" s="42" t="inlineStr">
        <is>
          <t>Your test drive is 2 minutes away</t>
        </is>
      </c>
      <c r="O866" s="42" t="inlineStr">
        <is>
          <t>Auction - Lowest Cost</t>
        </is>
      </c>
      <c r="P866" s="42" t="inlineStr">
        <is>
          <t>Offsite Conversions</t>
        </is>
      </c>
      <c r="Q866" s="42" t="inlineStr">
        <is>
          <t>https://www.lepas-sa.co.za/book-a-test-drive</t>
        </is>
      </c>
      <c r="R866" s="115" t="n">
        <v>80.39</v>
      </c>
      <c r="S866" s="116" t="n">
        <v>820</v>
      </c>
      <c r="T866" s="116" t="n">
        <v>556</v>
      </c>
      <c r="U866" s="117">
        <f>IFERROR(S866/T866,"")</f>
        <v/>
      </c>
      <c r="V866" s="116" t="n">
        <v>23</v>
      </c>
      <c r="W866" s="116" t="n">
        <v>18</v>
      </c>
      <c r="X866" s="118">
        <f>IFERROR(W866/S866,"")</f>
        <v/>
      </c>
      <c r="Y866" s="115">
        <f>IFERROR(R866/W866,"")</f>
        <v/>
      </c>
      <c r="Z866" s="115">
        <f>IFERROR(R866/S866*1000,"")</f>
        <v/>
      </c>
      <c r="AA866" s="116" t="n">
        <v>16</v>
      </c>
      <c r="AB866" s="47">
        <f>IFERROR(AA866/W866,"")</f>
        <v/>
      </c>
      <c r="AC866" s="116" t="n">
        <v>0</v>
      </c>
      <c r="AD866" s="116" t="n">
        <v>0</v>
      </c>
      <c r="AE866" s="116" t="n">
        <v>0</v>
      </c>
      <c r="AF866" s="116" t="n">
        <v>0</v>
      </c>
      <c r="AG866" s="116" t="n">
        <v>0</v>
      </c>
      <c r="AH866" s="116" t="n">
        <v>0</v>
      </c>
      <c r="AI866" s="47">
        <f>IFERROR(AC866/S866,"")</f>
        <v/>
      </c>
      <c r="AJ866" s="47">
        <f>IFERROR(AH866/S866,"")</f>
        <v/>
      </c>
      <c r="AK866" s="116" t="n">
        <v>10</v>
      </c>
      <c r="AL866" s="116" t="n">
        <v>1</v>
      </c>
      <c r="AM866" s="118">
        <f>IFERROR(AL866/AA866,"")</f>
        <v/>
      </c>
      <c r="AN866" s="119">
        <f>IFERROR(R866/AL866,"")</f>
        <v/>
      </c>
      <c r="AO866" s="116" t="n">
        <v>1</v>
      </c>
      <c r="AP866" s="47">
        <f>IFERROR(AO866/AL866,"")</f>
        <v/>
      </c>
      <c r="AQ866" s="119">
        <f>IFERROR(R866/AO866,"")</f>
        <v/>
      </c>
      <c r="AR866" s="116" t="n">
        <v>0</v>
      </c>
      <c r="AS866" s="116" t="n">
        <v>0</v>
      </c>
      <c r="AT866" s="116">
        <f>AL866+AR866</f>
        <v/>
      </c>
      <c r="AU866" s="119">
        <f>IFERROR(AO866*Assumptions!$C$26*Assumptions!$C$27*INDEX(Assumptions!$C$18:$C$21,MATCH(H866,Assumptions!$B$18:$B$21,0)),0)</f>
        <v/>
      </c>
    </row>
    <row r="867">
      <c r="A867" s="114" t="n">
        <v>46244</v>
      </c>
      <c r="B867" s="42" t="inlineStr">
        <is>
          <t>Wk 33</t>
        </is>
      </c>
      <c r="C867" s="42" t="inlineStr">
        <is>
          <t>Mon</t>
        </is>
      </c>
      <c r="D867" s="42" t="inlineStr">
        <is>
          <t>Meta (FB/IG)</t>
        </is>
      </c>
      <c r="E867" s="42" t="inlineStr">
        <is>
          <t>Facebook + Instagram</t>
        </is>
      </c>
      <c r="F867" s="42" t="inlineStr">
        <is>
          <t>LEP_ZA_AUG26_META_RMKT_ALL_CONV</t>
        </is>
      </c>
      <c r="G867" s="42" t="inlineStr">
        <is>
          <t>Leads - Website Conversions</t>
        </is>
      </c>
      <c r="H867" s="42" t="inlineStr">
        <is>
          <t>Range</t>
        </is>
      </c>
      <c r="I867" s="42" t="inlineStr">
        <is>
          <t>Range Offer</t>
        </is>
      </c>
      <c r="J867" s="42" t="inlineStr">
        <is>
          <t>MET_RMKT_VIDVIEW75_ZA</t>
        </is>
      </c>
      <c r="K867" s="42" t="inlineStr">
        <is>
          <t>Retargeting</t>
        </is>
      </c>
      <c r="L867" s="42" t="inlineStr">
        <is>
          <t>RMKT_STA_BookNow_v1</t>
        </is>
      </c>
      <c r="M867" s="42" t="inlineStr">
        <is>
          <t>Static 1:1</t>
        </is>
      </c>
      <c r="N867" s="42" t="inlineStr">
        <is>
          <t>Your test drive is 2 minutes away</t>
        </is>
      </c>
      <c r="O867" s="42" t="inlineStr">
        <is>
          <t>Auction - Lowest Cost</t>
        </is>
      </c>
      <c r="P867" s="42" t="inlineStr">
        <is>
          <t>Offsite Conversions</t>
        </is>
      </c>
      <c r="Q867" s="42" t="inlineStr">
        <is>
          <t>https://www.lepas-sa.co.za/book-a-test-drive</t>
        </is>
      </c>
      <c r="R867" s="115" t="n">
        <v>126.79</v>
      </c>
      <c r="S867" s="116" t="n">
        <v>1673</v>
      </c>
      <c r="T867" s="116" t="n">
        <v>981</v>
      </c>
      <c r="U867" s="117">
        <f>IFERROR(S867/T867,"")</f>
        <v/>
      </c>
      <c r="V867" s="116" t="n">
        <v>35</v>
      </c>
      <c r="W867" s="116" t="n">
        <v>26</v>
      </c>
      <c r="X867" s="118">
        <f>IFERROR(W867/S867,"")</f>
        <v/>
      </c>
      <c r="Y867" s="115">
        <f>IFERROR(R867/W867,"")</f>
        <v/>
      </c>
      <c r="Z867" s="115">
        <f>IFERROR(R867/S867*1000,"")</f>
        <v/>
      </c>
      <c r="AA867" s="116" t="n">
        <v>21</v>
      </c>
      <c r="AB867" s="47">
        <f>IFERROR(AA867/W867,"")</f>
        <v/>
      </c>
      <c r="AC867" s="116" t="n">
        <v>0</v>
      </c>
      <c r="AD867" s="116" t="n">
        <v>0</v>
      </c>
      <c r="AE867" s="116" t="n">
        <v>0</v>
      </c>
      <c r="AF867" s="116" t="n">
        <v>0</v>
      </c>
      <c r="AG867" s="116" t="n">
        <v>0</v>
      </c>
      <c r="AH867" s="116" t="n">
        <v>0</v>
      </c>
      <c r="AI867" s="47">
        <f>IFERROR(AC867/S867,"")</f>
        <v/>
      </c>
      <c r="AJ867" s="47">
        <f>IFERROR(AH867/S867,"")</f>
        <v/>
      </c>
      <c r="AK867" s="116" t="n">
        <v>26</v>
      </c>
      <c r="AL867" s="116" t="n">
        <v>1</v>
      </c>
      <c r="AM867" s="118">
        <f>IFERROR(AL867/AA867,"")</f>
        <v/>
      </c>
      <c r="AN867" s="119">
        <f>IFERROR(R867/AL867,"")</f>
        <v/>
      </c>
      <c r="AO867" s="116" t="n">
        <v>0</v>
      </c>
      <c r="AP867" s="47">
        <f>IFERROR(AO867/AL867,"")</f>
        <v/>
      </c>
      <c r="AQ867" s="119">
        <f>IFERROR(R867/AO867,"")</f>
        <v/>
      </c>
      <c r="AR867" s="116" t="n">
        <v>0</v>
      </c>
      <c r="AS867" s="116" t="n">
        <v>0</v>
      </c>
      <c r="AT867" s="116">
        <f>AL867+AR867</f>
        <v/>
      </c>
      <c r="AU867" s="119">
        <f>IFERROR(AO867*Assumptions!$C$26*Assumptions!$C$27*INDEX(Assumptions!$C$18:$C$21,MATCH(H867,Assumptions!$B$18:$B$21,0)),0)</f>
        <v/>
      </c>
    </row>
    <row r="868">
      <c r="A868" s="114" t="n">
        <v>46245</v>
      </c>
      <c r="B868" s="42" t="inlineStr">
        <is>
          <t>Wk 33</t>
        </is>
      </c>
      <c r="C868" s="42" t="inlineStr">
        <is>
          <t>Tue</t>
        </is>
      </c>
      <c r="D868" s="42" t="inlineStr">
        <is>
          <t>Meta (FB/IG)</t>
        </is>
      </c>
      <c r="E868" s="42" t="inlineStr">
        <is>
          <t>Facebook + Instagram</t>
        </is>
      </c>
      <c r="F868" s="42" t="inlineStr">
        <is>
          <t>LEP_ZA_AUG26_META_RMKT_ALL_CONV</t>
        </is>
      </c>
      <c r="G868" s="42" t="inlineStr">
        <is>
          <t>Leads - Website Conversions</t>
        </is>
      </c>
      <c r="H868" s="42" t="inlineStr">
        <is>
          <t>Range</t>
        </is>
      </c>
      <c r="I868" s="42" t="inlineStr">
        <is>
          <t>Range Offer</t>
        </is>
      </c>
      <c r="J868" s="42" t="inlineStr">
        <is>
          <t>MET_RMKT_VIDVIEW75_ZA</t>
        </is>
      </c>
      <c r="K868" s="42" t="inlineStr">
        <is>
          <t>Retargeting</t>
        </is>
      </c>
      <c r="L868" s="42" t="inlineStr">
        <is>
          <t>RMKT_STA_BookNow_v1</t>
        </is>
      </c>
      <c r="M868" s="42" t="inlineStr">
        <is>
          <t>Static 1:1</t>
        </is>
      </c>
      <c r="N868" s="42" t="inlineStr">
        <is>
          <t>Your test drive is 2 minutes away</t>
        </is>
      </c>
      <c r="O868" s="42" t="inlineStr">
        <is>
          <t>Auction - Lowest Cost</t>
        </is>
      </c>
      <c r="P868" s="42" t="inlineStr">
        <is>
          <t>Offsite Conversions</t>
        </is>
      </c>
      <c r="Q868" s="42" t="inlineStr">
        <is>
          <t>https://www.lepas-sa.co.za/book-a-test-drive</t>
        </is>
      </c>
      <c r="R868" s="115" t="n">
        <v>115.74</v>
      </c>
      <c r="S868" s="116" t="n">
        <v>1286</v>
      </c>
      <c r="T868" s="116" t="n">
        <v>1030</v>
      </c>
      <c r="U868" s="117">
        <f>IFERROR(S868/T868,"")</f>
        <v/>
      </c>
      <c r="V868" s="116" t="n">
        <v>44</v>
      </c>
      <c r="W868" s="116" t="n">
        <v>32</v>
      </c>
      <c r="X868" s="118">
        <f>IFERROR(W868/S868,"")</f>
        <v/>
      </c>
      <c r="Y868" s="115">
        <f>IFERROR(R868/W868,"")</f>
        <v/>
      </c>
      <c r="Z868" s="115">
        <f>IFERROR(R868/S868*1000,"")</f>
        <v/>
      </c>
      <c r="AA868" s="116" t="n">
        <v>26</v>
      </c>
      <c r="AB868" s="47">
        <f>IFERROR(AA868/W868,"")</f>
        <v/>
      </c>
      <c r="AC868" s="116" t="n">
        <v>0</v>
      </c>
      <c r="AD868" s="116" t="n">
        <v>0</v>
      </c>
      <c r="AE868" s="116" t="n">
        <v>0</v>
      </c>
      <c r="AF868" s="116" t="n">
        <v>0</v>
      </c>
      <c r="AG868" s="116" t="n">
        <v>0</v>
      </c>
      <c r="AH868" s="116" t="n">
        <v>0</v>
      </c>
      <c r="AI868" s="47">
        <f>IFERROR(AC868/S868,"")</f>
        <v/>
      </c>
      <c r="AJ868" s="47">
        <f>IFERROR(AH868/S868,"")</f>
        <v/>
      </c>
      <c r="AK868" s="116" t="n">
        <v>26</v>
      </c>
      <c r="AL868" s="116" t="n">
        <v>1</v>
      </c>
      <c r="AM868" s="118">
        <f>IFERROR(AL868/AA868,"")</f>
        <v/>
      </c>
      <c r="AN868" s="119">
        <f>IFERROR(R868/AL868,"")</f>
        <v/>
      </c>
      <c r="AO868" s="116" t="n">
        <v>1</v>
      </c>
      <c r="AP868" s="47">
        <f>IFERROR(AO868/AL868,"")</f>
        <v/>
      </c>
      <c r="AQ868" s="119">
        <f>IFERROR(R868/AO868,"")</f>
        <v/>
      </c>
      <c r="AR868" s="116" t="n">
        <v>1</v>
      </c>
      <c r="AS868" s="116" t="n">
        <v>1</v>
      </c>
      <c r="AT868" s="116">
        <f>AL868+AR868</f>
        <v/>
      </c>
      <c r="AU868" s="119">
        <f>IFERROR(AO868*Assumptions!$C$26*Assumptions!$C$27*INDEX(Assumptions!$C$18:$C$21,MATCH(H868,Assumptions!$B$18:$B$21,0)),0)</f>
        <v/>
      </c>
    </row>
    <row r="869">
      <c r="A869" s="114" t="n">
        <v>46246</v>
      </c>
      <c r="B869" s="42" t="inlineStr">
        <is>
          <t>Wk 33</t>
        </is>
      </c>
      <c r="C869" s="42" t="inlineStr">
        <is>
          <t>Wed</t>
        </is>
      </c>
      <c r="D869" s="42" t="inlineStr">
        <is>
          <t>Meta (FB/IG)</t>
        </is>
      </c>
      <c r="E869" s="42" t="inlineStr">
        <is>
          <t>Facebook + Instagram</t>
        </is>
      </c>
      <c r="F869" s="42" t="inlineStr">
        <is>
          <t>LEP_ZA_AUG26_META_RMKT_ALL_CONV</t>
        </is>
      </c>
      <c r="G869" s="42" t="inlineStr">
        <is>
          <t>Leads - Website Conversions</t>
        </is>
      </c>
      <c r="H869" s="42" t="inlineStr">
        <is>
          <t>Range</t>
        </is>
      </c>
      <c r="I869" s="42" t="inlineStr">
        <is>
          <t>Range Offer</t>
        </is>
      </c>
      <c r="J869" s="42" t="inlineStr">
        <is>
          <t>MET_RMKT_VIDVIEW75_ZA</t>
        </is>
      </c>
      <c r="K869" s="42" t="inlineStr">
        <is>
          <t>Retargeting</t>
        </is>
      </c>
      <c r="L869" s="42" t="inlineStr">
        <is>
          <t>RMKT_STA_BookNow_v1</t>
        </is>
      </c>
      <c r="M869" s="42" t="inlineStr">
        <is>
          <t>Static 1:1</t>
        </is>
      </c>
      <c r="N869" s="42" t="inlineStr">
        <is>
          <t>Your test drive is 2 minutes away</t>
        </is>
      </c>
      <c r="O869" s="42" t="inlineStr">
        <is>
          <t>Auction - Lowest Cost</t>
        </is>
      </c>
      <c r="P869" s="42" t="inlineStr">
        <is>
          <t>Offsite Conversions</t>
        </is>
      </c>
      <c r="Q869" s="42" t="inlineStr">
        <is>
          <t>https://www.lepas-sa.co.za/book-a-test-drive</t>
        </is>
      </c>
      <c r="R869" s="115" t="n">
        <v>112.12</v>
      </c>
      <c r="S869" s="116" t="n">
        <v>1457</v>
      </c>
      <c r="T869" s="116" t="n">
        <v>858</v>
      </c>
      <c r="U869" s="117">
        <f>IFERROR(S869/T869,"")</f>
        <v/>
      </c>
      <c r="V869" s="116" t="n">
        <v>56</v>
      </c>
      <c r="W869" s="116" t="n">
        <v>44</v>
      </c>
      <c r="X869" s="118">
        <f>IFERROR(W869/S869,"")</f>
        <v/>
      </c>
      <c r="Y869" s="115">
        <f>IFERROR(R869/W869,"")</f>
        <v/>
      </c>
      <c r="Z869" s="115">
        <f>IFERROR(R869/S869*1000,"")</f>
        <v/>
      </c>
      <c r="AA869" s="116" t="n">
        <v>38</v>
      </c>
      <c r="AB869" s="47">
        <f>IFERROR(AA869/W869,"")</f>
        <v/>
      </c>
      <c r="AC869" s="116" t="n">
        <v>0</v>
      </c>
      <c r="AD869" s="116" t="n">
        <v>0</v>
      </c>
      <c r="AE869" s="116" t="n">
        <v>0</v>
      </c>
      <c r="AF869" s="116" t="n">
        <v>0</v>
      </c>
      <c r="AG869" s="116" t="n">
        <v>0</v>
      </c>
      <c r="AH869" s="116" t="n">
        <v>0</v>
      </c>
      <c r="AI869" s="47">
        <f>IFERROR(AC869/S869,"")</f>
        <v/>
      </c>
      <c r="AJ869" s="47">
        <f>IFERROR(AH869/S869,"")</f>
        <v/>
      </c>
      <c r="AK869" s="116" t="n">
        <v>16</v>
      </c>
      <c r="AL869" s="116" t="n">
        <v>1</v>
      </c>
      <c r="AM869" s="118">
        <f>IFERROR(AL869/AA869,"")</f>
        <v/>
      </c>
      <c r="AN869" s="119">
        <f>IFERROR(R869/AL869,"")</f>
        <v/>
      </c>
      <c r="AO869" s="116" t="n">
        <v>1</v>
      </c>
      <c r="AP869" s="47">
        <f>IFERROR(AO869/AL869,"")</f>
        <v/>
      </c>
      <c r="AQ869" s="119">
        <f>IFERROR(R869/AO869,"")</f>
        <v/>
      </c>
      <c r="AR869" s="116" t="n">
        <v>0</v>
      </c>
      <c r="AS869" s="116" t="n">
        <v>0</v>
      </c>
      <c r="AT869" s="116">
        <f>AL869+AR869</f>
        <v/>
      </c>
      <c r="AU869" s="119">
        <f>IFERROR(AO869*Assumptions!$C$26*Assumptions!$C$27*INDEX(Assumptions!$C$18:$C$21,MATCH(H869,Assumptions!$B$18:$B$21,0)),0)</f>
        <v/>
      </c>
    </row>
    <row r="870">
      <c r="A870" s="114" t="n">
        <v>46247</v>
      </c>
      <c r="B870" s="42" t="inlineStr">
        <is>
          <t>Wk 33</t>
        </is>
      </c>
      <c r="C870" s="42" t="inlineStr">
        <is>
          <t>Thu</t>
        </is>
      </c>
      <c r="D870" s="42" t="inlineStr">
        <is>
          <t>Meta (FB/IG)</t>
        </is>
      </c>
      <c r="E870" s="42" t="inlineStr">
        <is>
          <t>Facebook + Instagram</t>
        </is>
      </c>
      <c r="F870" s="42" t="inlineStr">
        <is>
          <t>LEP_ZA_AUG26_META_RMKT_ALL_CONV</t>
        </is>
      </c>
      <c r="G870" s="42" t="inlineStr">
        <is>
          <t>Leads - Website Conversions</t>
        </is>
      </c>
      <c r="H870" s="42" t="inlineStr">
        <is>
          <t>Range</t>
        </is>
      </c>
      <c r="I870" s="42" t="inlineStr">
        <is>
          <t>Range Offer</t>
        </is>
      </c>
      <c r="J870" s="42" t="inlineStr">
        <is>
          <t>MET_RMKT_VIDVIEW75_ZA</t>
        </is>
      </c>
      <c r="K870" s="42" t="inlineStr">
        <is>
          <t>Retargeting</t>
        </is>
      </c>
      <c r="L870" s="42" t="inlineStr">
        <is>
          <t>RMKT_STA_BookNow_v1</t>
        </is>
      </c>
      <c r="M870" s="42" t="inlineStr">
        <is>
          <t>Static 1:1</t>
        </is>
      </c>
      <c r="N870" s="42" t="inlineStr">
        <is>
          <t>Your test drive is 2 minutes away</t>
        </is>
      </c>
      <c r="O870" s="42" t="inlineStr">
        <is>
          <t>Auction - Lowest Cost</t>
        </is>
      </c>
      <c r="P870" s="42" t="inlineStr">
        <is>
          <t>Offsite Conversions</t>
        </is>
      </c>
      <c r="Q870" s="42" t="inlineStr">
        <is>
          <t>https://www.lepas-sa.co.za/book-a-test-drive</t>
        </is>
      </c>
      <c r="R870" s="115" t="n">
        <v>131.11</v>
      </c>
      <c r="S870" s="116" t="n">
        <v>1714</v>
      </c>
      <c r="T870" s="116" t="n">
        <v>1128</v>
      </c>
      <c r="U870" s="117">
        <f>IFERROR(S870/T870,"")</f>
        <v/>
      </c>
      <c r="V870" s="116" t="n">
        <v>37</v>
      </c>
      <c r="W870" s="116" t="n">
        <v>27</v>
      </c>
      <c r="X870" s="118">
        <f>IFERROR(W870/S870,"")</f>
        <v/>
      </c>
      <c r="Y870" s="115">
        <f>IFERROR(R870/W870,"")</f>
        <v/>
      </c>
      <c r="Z870" s="115">
        <f>IFERROR(R870/S870*1000,"")</f>
        <v/>
      </c>
      <c r="AA870" s="116" t="n">
        <v>23</v>
      </c>
      <c r="AB870" s="47">
        <f>IFERROR(AA870/W870,"")</f>
        <v/>
      </c>
      <c r="AC870" s="116" t="n">
        <v>0</v>
      </c>
      <c r="AD870" s="116" t="n">
        <v>0</v>
      </c>
      <c r="AE870" s="116" t="n">
        <v>0</v>
      </c>
      <c r="AF870" s="116" t="n">
        <v>0</v>
      </c>
      <c r="AG870" s="116" t="n">
        <v>0</v>
      </c>
      <c r="AH870" s="116" t="n">
        <v>0</v>
      </c>
      <c r="AI870" s="47">
        <f>IFERROR(AC870/S870,"")</f>
        <v/>
      </c>
      <c r="AJ870" s="47">
        <f>IFERROR(AH870/S870,"")</f>
        <v/>
      </c>
      <c r="AK870" s="116" t="n">
        <v>50</v>
      </c>
      <c r="AL870" s="116" t="n">
        <v>1</v>
      </c>
      <c r="AM870" s="118">
        <f>IFERROR(AL870/AA870,"")</f>
        <v/>
      </c>
      <c r="AN870" s="119">
        <f>IFERROR(R870/AL870,"")</f>
        <v/>
      </c>
      <c r="AO870" s="116" t="n">
        <v>0</v>
      </c>
      <c r="AP870" s="47">
        <f>IFERROR(AO870/AL870,"")</f>
        <v/>
      </c>
      <c r="AQ870" s="119">
        <f>IFERROR(R870/AO870,"")</f>
        <v/>
      </c>
      <c r="AR870" s="116" t="n">
        <v>1</v>
      </c>
      <c r="AS870" s="116" t="n">
        <v>0</v>
      </c>
      <c r="AT870" s="116">
        <f>AL870+AR870</f>
        <v/>
      </c>
      <c r="AU870" s="119">
        <f>IFERROR(AO870*Assumptions!$C$26*Assumptions!$C$27*INDEX(Assumptions!$C$18:$C$21,MATCH(H870,Assumptions!$B$18:$B$21,0)),0)</f>
        <v/>
      </c>
    </row>
    <row r="871">
      <c r="A871" s="114" t="n">
        <v>46248</v>
      </c>
      <c r="B871" s="42" t="inlineStr">
        <is>
          <t>Wk 33</t>
        </is>
      </c>
      <c r="C871" s="42" t="inlineStr">
        <is>
          <t>Fri</t>
        </is>
      </c>
      <c r="D871" s="42" t="inlineStr">
        <is>
          <t>Meta (FB/IG)</t>
        </is>
      </c>
      <c r="E871" s="42" t="inlineStr">
        <is>
          <t>Facebook + Instagram</t>
        </is>
      </c>
      <c r="F871" s="42" t="inlineStr">
        <is>
          <t>LEP_ZA_AUG26_META_RMKT_ALL_CONV</t>
        </is>
      </c>
      <c r="G871" s="42" t="inlineStr">
        <is>
          <t>Leads - Website Conversions</t>
        </is>
      </c>
      <c r="H871" s="42" t="inlineStr">
        <is>
          <t>Range</t>
        </is>
      </c>
      <c r="I871" s="42" t="inlineStr">
        <is>
          <t>Range Offer</t>
        </is>
      </c>
      <c r="J871" s="42" t="inlineStr">
        <is>
          <t>MET_RMKT_VIDVIEW75_ZA</t>
        </is>
      </c>
      <c r="K871" s="42" t="inlineStr">
        <is>
          <t>Retargeting</t>
        </is>
      </c>
      <c r="L871" s="42" t="inlineStr">
        <is>
          <t>RMKT_STA_BookNow_v1</t>
        </is>
      </c>
      <c r="M871" s="42" t="inlineStr">
        <is>
          <t>Static 1:1</t>
        </is>
      </c>
      <c r="N871" s="42" t="inlineStr">
        <is>
          <t>Your test drive is 2 minutes away</t>
        </is>
      </c>
      <c r="O871" s="42" t="inlineStr">
        <is>
          <t>Auction - Lowest Cost</t>
        </is>
      </c>
      <c r="P871" s="42" t="inlineStr">
        <is>
          <t>Offsite Conversions</t>
        </is>
      </c>
      <c r="Q871" s="42" t="inlineStr">
        <is>
          <t>https://www.lepas-sa.co.za/book-a-test-drive</t>
        </is>
      </c>
      <c r="R871" s="115" t="n">
        <v>135.1</v>
      </c>
      <c r="S871" s="116" t="n">
        <v>1486</v>
      </c>
      <c r="T871" s="116" t="n">
        <v>1115</v>
      </c>
      <c r="U871" s="117">
        <f>IFERROR(S871/T871,"")</f>
        <v/>
      </c>
      <c r="V871" s="116" t="n">
        <v>28</v>
      </c>
      <c r="W871" s="116" t="n">
        <v>20</v>
      </c>
      <c r="X871" s="118">
        <f>IFERROR(W871/S871,"")</f>
        <v/>
      </c>
      <c r="Y871" s="115">
        <f>IFERROR(R871/W871,"")</f>
        <v/>
      </c>
      <c r="Z871" s="115">
        <f>IFERROR(R871/S871*1000,"")</f>
        <v/>
      </c>
      <c r="AA871" s="116" t="n">
        <v>17</v>
      </c>
      <c r="AB871" s="47">
        <f>IFERROR(AA871/W871,"")</f>
        <v/>
      </c>
      <c r="AC871" s="116" t="n">
        <v>0</v>
      </c>
      <c r="AD871" s="116" t="n">
        <v>0</v>
      </c>
      <c r="AE871" s="116" t="n">
        <v>0</v>
      </c>
      <c r="AF871" s="116" t="n">
        <v>0</v>
      </c>
      <c r="AG871" s="116" t="n">
        <v>0</v>
      </c>
      <c r="AH871" s="116" t="n">
        <v>0</v>
      </c>
      <c r="AI871" s="47">
        <f>IFERROR(AC871/S871,"")</f>
        <v/>
      </c>
      <c r="AJ871" s="47">
        <f>IFERROR(AH871/S871,"")</f>
        <v/>
      </c>
      <c r="AK871" s="116" t="n">
        <v>27</v>
      </c>
      <c r="AL871" s="116" t="n">
        <v>1</v>
      </c>
      <c r="AM871" s="118">
        <f>IFERROR(AL871/AA871,"")</f>
        <v/>
      </c>
      <c r="AN871" s="119">
        <f>IFERROR(R871/AL871,"")</f>
        <v/>
      </c>
      <c r="AO871" s="116" t="n">
        <v>1</v>
      </c>
      <c r="AP871" s="47">
        <f>IFERROR(AO871/AL871,"")</f>
        <v/>
      </c>
      <c r="AQ871" s="119">
        <f>IFERROR(R871/AO871,"")</f>
        <v/>
      </c>
      <c r="AR871" s="116" t="n">
        <v>1</v>
      </c>
      <c r="AS871" s="116" t="n">
        <v>0</v>
      </c>
      <c r="AT871" s="116">
        <f>AL871+AR871</f>
        <v/>
      </c>
      <c r="AU871" s="119">
        <f>IFERROR(AO871*Assumptions!$C$26*Assumptions!$C$27*INDEX(Assumptions!$C$18:$C$21,MATCH(H871,Assumptions!$B$18:$B$21,0)),0)</f>
        <v/>
      </c>
    </row>
    <row r="872">
      <c r="A872" s="114" t="n">
        <v>46249</v>
      </c>
      <c r="B872" s="42" t="inlineStr">
        <is>
          <t>Wk 33</t>
        </is>
      </c>
      <c r="C872" s="42" t="inlineStr">
        <is>
          <t>Sat</t>
        </is>
      </c>
      <c r="D872" s="42" t="inlineStr">
        <is>
          <t>Meta (FB/IG)</t>
        </is>
      </c>
      <c r="E872" s="42" t="inlineStr">
        <is>
          <t>Facebook + Instagram</t>
        </is>
      </c>
      <c r="F872" s="42" t="inlineStr">
        <is>
          <t>LEP_ZA_AUG26_META_RMKT_ALL_CONV</t>
        </is>
      </c>
      <c r="G872" s="42" t="inlineStr">
        <is>
          <t>Leads - Website Conversions</t>
        </is>
      </c>
      <c r="H872" s="42" t="inlineStr">
        <is>
          <t>Range</t>
        </is>
      </c>
      <c r="I872" s="42" t="inlineStr">
        <is>
          <t>Range Offer</t>
        </is>
      </c>
      <c r="J872" s="42" t="inlineStr">
        <is>
          <t>MET_RMKT_VIDVIEW75_ZA</t>
        </is>
      </c>
      <c r="K872" s="42" t="inlineStr">
        <is>
          <t>Retargeting</t>
        </is>
      </c>
      <c r="L872" s="42" t="inlineStr">
        <is>
          <t>RMKT_STA_BookNow_v1</t>
        </is>
      </c>
      <c r="M872" s="42" t="inlineStr">
        <is>
          <t>Static 1:1</t>
        </is>
      </c>
      <c r="N872" s="42" t="inlineStr">
        <is>
          <t>Your test drive is 2 minutes away</t>
        </is>
      </c>
      <c r="O872" s="42" t="inlineStr">
        <is>
          <t>Auction - Lowest Cost</t>
        </is>
      </c>
      <c r="P872" s="42" t="inlineStr">
        <is>
          <t>Offsite Conversions</t>
        </is>
      </c>
      <c r="Q872" s="42" t="inlineStr">
        <is>
          <t>https://www.lepas-sa.co.za/book-a-test-drive</t>
        </is>
      </c>
      <c r="R872" s="115" t="n">
        <v>123.53</v>
      </c>
      <c r="S872" s="116" t="n">
        <v>1695</v>
      </c>
      <c r="T872" s="116" t="n">
        <v>1165</v>
      </c>
      <c r="U872" s="117">
        <f>IFERROR(S872/T872,"")</f>
        <v/>
      </c>
      <c r="V872" s="116" t="n">
        <v>66</v>
      </c>
      <c r="W872" s="116" t="n">
        <v>54</v>
      </c>
      <c r="X872" s="118">
        <f>IFERROR(W872/S872,"")</f>
        <v/>
      </c>
      <c r="Y872" s="115">
        <f>IFERROR(R872/W872,"")</f>
        <v/>
      </c>
      <c r="Z872" s="115">
        <f>IFERROR(R872/S872*1000,"")</f>
        <v/>
      </c>
      <c r="AA872" s="116" t="n">
        <v>46</v>
      </c>
      <c r="AB872" s="47">
        <f>IFERROR(AA872/W872,"")</f>
        <v/>
      </c>
      <c r="AC872" s="116" t="n">
        <v>0</v>
      </c>
      <c r="AD872" s="116" t="n">
        <v>0</v>
      </c>
      <c r="AE872" s="116" t="n">
        <v>0</v>
      </c>
      <c r="AF872" s="116" t="n">
        <v>0</v>
      </c>
      <c r="AG872" s="116" t="n">
        <v>0</v>
      </c>
      <c r="AH872" s="116" t="n">
        <v>0</v>
      </c>
      <c r="AI872" s="47">
        <f>IFERROR(AC872/S872,"")</f>
        <v/>
      </c>
      <c r="AJ872" s="47">
        <f>IFERROR(AH872/S872,"")</f>
        <v/>
      </c>
      <c r="AK872" s="116" t="n">
        <v>27</v>
      </c>
      <c r="AL872" s="116" t="n">
        <v>1</v>
      </c>
      <c r="AM872" s="118">
        <f>IFERROR(AL872/AA872,"")</f>
        <v/>
      </c>
      <c r="AN872" s="119">
        <f>IFERROR(R872/AL872,"")</f>
        <v/>
      </c>
      <c r="AO872" s="116" t="n">
        <v>0</v>
      </c>
      <c r="AP872" s="47">
        <f>IFERROR(AO872/AL872,"")</f>
        <v/>
      </c>
      <c r="AQ872" s="119">
        <f>IFERROR(R872/AO872,"")</f>
        <v/>
      </c>
      <c r="AR872" s="116" t="n">
        <v>0</v>
      </c>
      <c r="AS872" s="116" t="n">
        <v>0</v>
      </c>
      <c r="AT872" s="116">
        <f>AL872+AR872</f>
        <v/>
      </c>
      <c r="AU872" s="119">
        <f>IFERROR(AO872*Assumptions!$C$26*Assumptions!$C$27*INDEX(Assumptions!$C$18:$C$21,MATCH(H872,Assumptions!$B$18:$B$21,0)),0)</f>
        <v/>
      </c>
    </row>
    <row r="873">
      <c r="A873" s="114" t="n">
        <v>46250</v>
      </c>
      <c r="B873" s="42" t="inlineStr">
        <is>
          <t>Wk 33</t>
        </is>
      </c>
      <c r="C873" s="42" t="inlineStr">
        <is>
          <t>Sun</t>
        </is>
      </c>
      <c r="D873" s="42" t="inlineStr">
        <is>
          <t>Meta (FB/IG)</t>
        </is>
      </c>
      <c r="E873" s="42" t="inlineStr">
        <is>
          <t>Facebook + Instagram</t>
        </is>
      </c>
      <c r="F873" s="42" t="inlineStr">
        <is>
          <t>LEP_ZA_AUG26_META_RMKT_ALL_CONV</t>
        </is>
      </c>
      <c r="G873" s="42" t="inlineStr">
        <is>
          <t>Leads - Website Conversions</t>
        </is>
      </c>
      <c r="H873" s="42" t="inlineStr">
        <is>
          <t>Range</t>
        </is>
      </c>
      <c r="I873" s="42" t="inlineStr">
        <is>
          <t>Range Offer</t>
        </is>
      </c>
      <c r="J873" s="42" t="inlineStr">
        <is>
          <t>MET_RMKT_VIDVIEW75_ZA</t>
        </is>
      </c>
      <c r="K873" s="42" t="inlineStr">
        <is>
          <t>Retargeting</t>
        </is>
      </c>
      <c r="L873" s="42" t="inlineStr">
        <is>
          <t>RMKT_STA_BookNow_v1</t>
        </is>
      </c>
      <c r="M873" s="42" t="inlineStr">
        <is>
          <t>Static 1:1</t>
        </is>
      </c>
      <c r="N873" s="42" t="inlineStr">
        <is>
          <t>Your test drive is 2 minutes away</t>
        </is>
      </c>
      <c r="O873" s="42" t="inlineStr">
        <is>
          <t>Auction - Lowest Cost</t>
        </is>
      </c>
      <c r="P873" s="42" t="inlineStr">
        <is>
          <t>Offsite Conversions</t>
        </is>
      </c>
      <c r="Q873" s="42" t="inlineStr">
        <is>
          <t>https://www.lepas-sa.co.za/book-a-test-drive</t>
        </is>
      </c>
      <c r="R873" s="115" t="n">
        <v>102.51</v>
      </c>
      <c r="S873" s="116" t="n">
        <v>1004</v>
      </c>
      <c r="T873" s="116" t="n">
        <v>739</v>
      </c>
      <c r="U873" s="117">
        <f>IFERROR(S873/T873,"")</f>
        <v/>
      </c>
      <c r="V873" s="116" t="n">
        <v>31</v>
      </c>
      <c r="W873" s="116" t="n">
        <v>23</v>
      </c>
      <c r="X873" s="118">
        <f>IFERROR(W873/S873,"")</f>
        <v/>
      </c>
      <c r="Y873" s="115">
        <f>IFERROR(R873/W873,"")</f>
        <v/>
      </c>
      <c r="Z873" s="115">
        <f>IFERROR(R873/S873*1000,"")</f>
        <v/>
      </c>
      <c r="AA873" s="116" t="n">
        <v>18</v>
      </c>
      <c r="AB873" s="47">
        <f>IFERROR(AA873/W873,"")</f>
        <v/>
      </c>
      <c r="AC873" s="116" t="n">
        <v>0</v>
      </c>
      <c r="AD873" s="116" t="n">
        <v>0</v>
      </c>
      <c r="AE873" s="116" t="n">
        <v>0</v>
      </c>
      <c r="AF873" s="116" t="n">
        <v>0</v>
      </c>
      <c r="AG873" s="116" t="n">
        <v>0</v>
      </c>
      <c r="AH873" s="116" t="n">
        <v>0</v>
      </c>
      <c r="AI873" s="47">
        <f>IFERROR(AC873/S873,"")</f>
        <v/>
      </c>
      <c r="AJ873" s="47">
        <f>IFERROR(AH873/S873,"")</f>
        <v/>
      </c>
      <c r="AK873" s="116" t="n">
        <v>18</v>
      </c>
      <c r="AL873" s="116" t="n">
        <v>0</v>
      </c>
      <c r="AM873" s="118">
        <f>IFERROR(AL873/AA873,"")</f>
        <v/>
      </c>
      <c r="AN873" s="119">
        <f>IFERROR(R873/AL873,"")</f>
        <v/>
      </c>
      <c r="AO873" s="116" t="n">
        <v>0</v>
      </c>
      <c r="AP873" s="47">
        <f>IFERROR(AO873/AL873,"")</f>
        <v/>
      </c>
      <c r="AQ873" s="119">
        <f>IFERROR(R873/AO873,"")</f>
        <v/>
      </c>
      <c r="AR873" s="116" t="n">
        <v>0</v>
      </c>
      <c r="AS873" s="116" t="n">
        <v>0</v>
      </c>
      <c r="AT873" s="116">
        <f>AL873+AR873</f>
        <v/>
      </c>
      <c r="AU873" s="119">
        <f>IFERROR(AO873*Assumptions!$C$26*Assumptions!$C$27*INDEX(Assumptions!$C$18:$C$21,MATCH(H873,Assumptions!$B$18:$B$21,0)),0)</f>
        <v/>
      </c>
    </row>
    <row r="874">
      <c r="A874" s="114" t="n">
        <v>46251</v>
      </c>
      <c r="B874" s="42" t="inlineStr">
        <is>
          <t>Wk 34</t>
        </is>
      </c>
      <c r="C874" s="42" t="inlineStr">
        <is>
          <t>Mon</t>
        </is>
      </c>
      <c r="D874" s="42" t="inlineStr">
        <is>
          <t>Meta (FB/IG)</t>
        </is>
      </c>
      <c r="E874" s="42" t="inlineStr">
        <is>
          <t>Facebook + Instagram</t>
        </is>
      </c>
      <c r="F874" s="42" t="inlineStr">
        <is>
          <t>LEP_ZA_AUG26_META_RMKT_ALL_CONV</t>
        </is>
      </c>
      <c r="G874" s="42" t="inlineStr">
        <is>
          <t>Leads - Website Conversions</t>
        </is>
      </c>
      <c r="H874" s="42" t="inlineStr">
        <is>
          <t>Range</t>
        </is>
      </c>
      <c r="I874" s="42" t="inlineStr">
        <is>
          <t>Range Offer</t>
        </is>
      </c>
      <c r="J874" s="42" t="inlineStr">
        <is>
          <t>MET_RMKT_VIDVIEW75_ZA</t>
        </is>
      </c>
      <c r="K874" s="42" t="inlineStr">
        <is>
          <t>Retargeting</t>
        </is>
      </c>
      <c r="L874" s="42" t="inlineStr">
        <is>
          <t>RMKT_STA_BookNow_v1</t>
        </is>
      </c>
      <c r="M874" s="42" t="inlineStr">
        <is>
          <t>Static 1:1</t>
        </is>
      </c>
      <c r="N874" s="42" t="inlineStr">
        <is>
          <t>Your test drive is 2 minutes away</t>
        </is>
      </c>
      <c r="O874" s="42" t="inlineStr">
        <is>
          <t>Auction - Lowest Cost</t>
        </is>
      </c>
      <c r="P874" s="42" t="inlineStr">
        <is>
          <t>Offsite Conversions</t>
        </is>
      </c>
      <c r="Q874" s="42" t="inlineStr">
        <is>
          <t>https://www.lepas-sa.co.za/book-a-test-drive</t>
        </is>
      </c>
      <c r="R874" s="115" t="n">
        <v>108.94</v>
      </c>
      <c r="S874" s="116" t="n">
        <v>979</v>
      </c>
      <c r="T874" s="116" t="n">
        <v>692</v>
      </c>
      <c r="U874" s="117">
        <f>IFERROR(S874/T874,"")</f>
        <v/>
      </c>
      <c r="V874" s="116" t="n">
        <v>32</v>
      </c>
      <c r="W874" s="116" t="n">
        <v>25</v>
      </c>
      <c r="X874" s="118">
        <f>IFERROR(W874/S874,"")</f>
        <v/>
      </c>
      <c r="Y874" s="115">
        <f>IFERROR(R874/W874,"")</f>
        <v/>
      </c>
      <c r="Z874" s="115">
        <f>IFERROR(R874/S874*1000,"")</f>
        <v/>
      </c>
      <c r="AA874" s="116" t="n">
        <v>21</v>
      </c>
      <c r="AB874" s="47">
        <f>IFERROR(AA874/W874,"")</f>
        <v/>
      </c>
      <c r="AC874" s="116" t="n">
        <v>0</v>
      </c>
      <c r="AD874" s="116" t="n">
        <v>0</v>
      </c>
      <c r="AE874" s="116" t="n">
        <v>0</v>
      </c>
      <c r="AF874" s="116" t="n">
        <v>0</v>
      </c>
      <c r="AG874" s="116" t="n">
        <v>0</v>
      </c>
      <c r="AH874" s="116" t="n">
        <v>0</v>
      </c>
      <c r="AI874" s="47">
        <f>IFERROR(AC874/S874,"")</f>
        <v/>
      </c>
      <c r="AJ874" s="47">
        <f>IFERROR(AH874/S874,"")</f>
        <v/>
      </c>
      <c r="AK874" s="116" t="n">
        <v>34</v>
      </c>
      <c r="AL874" s="116" t="n">
        <v>1</v>
      </c>
      <c r="AM874" s="118">
        <f>IFERROR(AL874/AA874,"")</f>
        <v/>
      </c>
      <c r="AN874" s="119">
        <f>IFERROR(R874/AL874,"")</f>
        <v/>
      </c>
      <c r="AO874" s="116" t="n">
        <v>1</v>
      </c>
      <c r="AP874" s="47">
        <f>IFERROR(AO874/AL874,"")</f>
        <v/>
      </c>
      <c r="AQ874" s="119">
        <f>IFERROR(R874/AO874,"")</f>
        <v/>
      </c>
      <c r="AR874" s="116" t="n">
        <v>0</v>
      </c>
      <c r="AS874" s="116" t="n">
        <v>1</v>
      </c>
      <c r="AT874" s="116">
        <f>AL874+AR874</f>
        <v/>
      </c>
      <c r="AU874" s="119">
        <f>IFERROR(AO874*Assumptions!$C$26*Assumptions!$C$27*INDEX(Assumptions!$C$18:$C$21,MATCH(H874,Assumptions!$B$18:$B$21,0)),0)</f>
        <v/>
      </c>
    </row>
    <row r="875">
      <c r="A875" s="114" t="n">
        <v>46252</v>
      </c>
      <c r="B875" s="42" t="inlineStr">
        <is>
          <t>Wk 34</t>
        </is>
      </c>
      <c r="C875" s="42" t="inlineStr">
        <is>
          <t>Tue</t>
        </is>
      </c>
      <c r="D875" s="42" t="inlineStr">
        <is>
          <t>Meta (FB/IG)</t>
        </is>
      </c>
      <c r="E875" s="42" t="inlineStr">
        <is>
          <t>Facebook + Instagram</t>
        </is>
      </c>
      <c r="F875" s="42" t="inlineStr">
        <is>
          <t>LEP_ZA_AUG26_META_RMKT_ALL_CONV</t>
        </is>
      </c>
      <c r="G875" s="42" t="inlineStr">
        <is>
          <t>Leads - Website Conversions</t>
        </is>
      </c>
      <c r="H875" s="42" t="inlineStr">
        <is>
          <t>Range</t>
        </is>
      </c>
      <c r="I875" s="42" t="inlineStr">
        <is>
          <t>Range Offer</t>
        </is>
      </c>
      <c r="J875" s="42" t="inlineStr">
        <is>
          <t>MET_RMKT_VIDVIEW75_ZA</t>
        </is>
      </c>
      <c r="K875" s="42" t="inlineStr">
        <is>
          <t>Retargeting</t>
        </is>
      </c>
      <c r="L875" s="42" t="inlineStr">
        <is>
          <t>RMKT_STA_BookNow_v1</t>
        </is>
      </c>
      <c r="M875" s="42" t="inlineStr">
        <is>
          <t>Static 1:1</t>
        </is>
      </c>
      <c r="N875" s="42" t="inlineStr">
        <is>
          <t>Your test drive is 2 minutes away</t>
        </is>
      </c>
      <c r="O875" s="42" t="inlineStr">
        <is>
          <t>Auction - Lowest Cost</t>
        </is>
      </c>
      <c r="P875" s="42" t="inlineStr">
        <is>
          <t>Offsite Conversions</t>
        </is>
      </c>
      <c r="Q875" s="42" t="inlineStr">
        <is>
          <t>https://www.lepas-sa.co.za/book-a-test-drive</t>
        </is>
      </c>
      <c r="R875" s="115" t="n">
        <v>113.35</v>
      </c>
      <c r="S875" s="116" t="n">
        <v>980</v>
      </c>
      <c r="T875" s="116" t="n">
        <v>526</v>
      </c>
      <c r="U875" s="117">
        <f>IFERROR(S875/T875,"")</f>
        <v/>
      </c>
      <c r="V875" s="116" t="n">
        <v>21</v>
      </c>
      <c r="W875" s="116" t="n">
        <v>16</v>
      </c>
      <c r="X875" s="118">
        <f>IFERROR(W875/S875,"")</f>
        <v/>
      </c>
      <c r="Y875" s="115">
        <f>IFERROR(R875/W875,"")</f>
        <v/>
      </c>
      <c r="Z875" s="115">
        <f>IFERROR(R875/S875*1000,"")</f>
        <v/>
      </c>
      <c r="AA875" s="116" t="n">
        <v>15</v>
      </c>
      <c r="AB875" s="47">
        <f>IFERROR(AA875/W875,"")</f>
        <v/>
      </c>
      <c r="AC875" s="116" t="n">
        <v>0</v>
      </c>
      <c r="AD875" s="116" t="n">
        <v>0</v>
      </c>
      <c r="AE875" s="116" t="n">
        <v>0</v>
      </c>
      <c r="AF875" s="116" t="n">
        <v>0</v>
      </c>
      <c r="AG875" s="116" t="n">
        <v>0</v>
      </c>
      <c r="AH875" s="116" t="n">
        <v>0</v>
      </c>
      <c r="AI875" s="47">
        <f>IFERROR(AC875/S875,"")</f>
        <v/>
      </c>
      <c r="AJ875" s="47">
        <f>IFERROR(AH875/S875,"")</f>
        <v/>
      </c>
      <c r="AK875" s="116" t="n">
        <v>14</v>
      </c>
      <c r="AL875" s="116" t="n">
        <v>0</v>
      </c>
      <c r="AM875" s="118">
        <f>IFERROR(AL875/AA875,"")</f>
        <v/>
      </c>
      <c r="AN875" s="119">
        <f>IFERROR(R875/AL875,"")</f>
        <v/>
      </c>
      <c r="AO875" s="116" t="n">
        <v>0</v>
      </c>
      <c r="AP875" s="47">
        <f>IFERROR(AO875/AL875,"")</f>
        <v/>
      </c>
      <c r="AQ875" s="119">
        <f>IFERROR(R875/AO875,"")</f>
        <v/>
      </c>
      <c r="AR875" s="116" t="n">
        <v>0</v>
      </c>
      <c r="AS875" s="116" t="n">
        <v>0</v>
      </c>
      <c r="AT875" s="116">
        <f>AL875+AR875</f>
        <v/>
      </c>
      <c r="AU875" s="119">
        <f>IFERROR(AO875*Assumptions!$C$26*Assumptions!$C$27*INDEX(Assumptions!$C$18:$C$21,MATCH(H875,Assumptions!$B$18:$B$21,0)),0)</f>
        <v/>
      </c>
    </row>
    <row r="876">
      <c r="A876" s="114" t="n">
        <v>46253</v>
      </c>
      <c r="B876" s="42" t="inlineStr">
        <is>
          <t>Wk 34</t>
        </is>
      </c>
      <c r="C876" s="42" t="inlineStr">
        <is>
          <t>Wed</t>
        </is>
      </c>
      <c r="D876" s="42" t="inlineStr">
        <is>
          <t>Meta (FB/IG)</t>
        </is>
      </c>
      <c r="E876" s="42" t="inlineStr">
        <is>
          <t>Facebook + Instagram</t>
        </is>
      </c>
      <c r="F876" s="42" t="inlineStr">
        <is>
          <t>LEP_ZA_AUG26_META_RMKT_ALL_CONV</t>
        </is>
      </c>
      <c r="G876" s="42" t="inlineStr">
        <is>
          <t>Leads - Website Conversions</t>
        </is>
      </c>
      <c r="H876" s="42" t="inlineStr">
        <is>
          <t>Range</t>
        </is>
      </c>
      <c r="I876" s="42" t="inlineStr">
        <is>
          <t>Range Offer</t>
        </is>
      </c>
      <c r="J876" s="42" t="inlineStr">
        <is>
          <t>MET_RMKT_VIDVIEW75_ZA</t>
        </is>
      </c>
      <c r="K876" s="42" t="inlineStr">
        <is>
          <t>Retargeting</t>
        </is>
      </c>
      <c r="L876" s="42" t="inlineStr">
        <is>
          <t>RMKT_STA_BookNow_v1</t>
        </is>
      </c>
      <c r="M876" s="42" t="inlineStr">
        <is>
          <t>Static 1:1</t>
        </is>
      </c>
      <c r="N876" s="42" t="inlineStr">
        <is>
          <t>Your test drive is 2 minutes away</t>
        </is>
      </c>
      <c r="O876" s="42" t="inlineStr">
        <is>
          <t>Auction - Lowest Cost</t>
        </is>
      </c>
      <c r="P876" s="42" t="inlineStr">
        <is>
          <t>Offsite Conversions</t>
        </is>
      </c>
      <c r="Q876" s="42" t="inlineStr">
        <is>
          <t>https://www.lepas-sa.co.za/book-a-test-drive</t>
        </is>
      </c>
      <c r="R876" s="115" t="n">
        <v>103.09</v>
      </c>
      <c r="S876" s="116" t="n">
        <v>997</v>
      </c>
      <c r="T876" s="116" t="n">
        <v>563</v>
      </c>
      <c r="U876" s="117">
        <f>IFERROR(S876/T876,"")</f>
        <v/>
      </c>
      <c r="V876" s="116" t="n">
        <v>36</v>
      </c>
      <c r="W876" s="116" t="n">
        <v>28</v>
      </c>
      <c r="X876" s="118">
        <f>IFERROR(W876/S876,"")</f>
        <v/>
      </c>
      <c r="Y876" s="115">
        <f>IFERROR(R876/W876,"")</f>
        <v/>
      </c>
      <c r="Z876" s="115">
        <f>IFERROR(R876/S876*1000,"")</f>
        <v/>
      </c>
      <c r="AA876" s="116" t="n">
        <v>24</v>
      </c>
      <c r="AB876" s="47">
        <f>IFERROR(AA876/W876,"")</f>
        <v/>
      </c>
      <c r="AC876" s="116" t="n">
        <v>0</v>
      </c>
      <c r="AD876" s="116" t="n">
        <v>0</v>
      </c>
      <c r="AE876" s="116" t="n">
        <v>0</v>
      </c>
      <c r="AF876" s="116" t="n">
        <v>0</v>
      </c>
      <c r="AG876" s="116" t="n">
        <v>0</v>
      </c>
      <c r="AH876" s="116" t="n">
        <v>0</v>
      </c>
      <c r="AI876" s="47">
        <f>IFERROR(AC876/S876,"")</f>
        <v/>
      </c>
      <c r="AJ876" s="47">
        <f>IFERROR(AH876/S876,"")</f>
        <v/>
      </c>
      <c r="AK876" s="116" t="n">
        <v>29</v>
      </c>
      <c r="AL876" s="116" t="n">
        <v>0</v>
      </c>
      <c r="AM876" s="118">
        <f>IFERROR(AL876/AA876,"")</f>
        <v/>
      </c>
      <c r="AN876" s="119">
        <f>IFERROR(R876/AL876,"")</f>
        <v/>
      </c>
      <c r="AO876" s="116" t="n">
        <v>0</v>
      </c>
      <c r="AP876" s="47">
        <f>IFERROR(AO876/AL876,"")</f>
        <v/>
      </c>
      <c r="AQ876" s="119">
        <f>IFERROR(R876/AO876,"")</f>
        <v/>
      </c>
      <c r="AR876" s="116" t="n">
        <v>0</v>
      </c>
      <c r="AS876" s="116" t="n">
        <v>0</v>
      </c>
      <c r="AT876" s="116">
        <f>AL876+AR876</f>
        <v/>
      </c>
      <c r="AU876" s="119">
        <f>IFERROR(AO876*Assumptions!$C$26*Assumptions!$C$27*INDEX(Assumptions!$C$18:$C$21,MATCH(H876,Assumptions!$B$18:$B$21,0)),0)</f>
        <v/>
      </c>
    </row>
    <row r="877">
      <c r="A877" s="114" t="n">
        <v>46254</v>
      </c>
      <c r="B877" s="42" t="inlineStr">
        <is>
          <t>Wk 34</t>
        </is>
      </c>
      <c r="C877" s="42" t="inlineStr">
        <is>
          <t>Thu</t>
        </is>
      </c>
      <c r="D877" s="42" t="inlineStr">
        <is>
          <t>Meta (FB/IG)</t>
        </is>
      </c>
      <c r="E877" s="42" t="inlineStr">
        <is>
          <t>Facebook + Instagram</t>
        </is>
      </c>
      <c r="F877" s="42" t="inlineStr">
        <is>
          <t>LEP_ZA_AUG26_META_RMKT_ALL_CONV</t>
        </is>
      </c>
      <c r="G877" s="42" t="inlineStr">
        <is>
          <t>Leads - Website Conversions</t>
        </is>
      </c>
      <c r="H877" s="42" t="inlineStr">
        <is>
          <t>Range</t>
        </is>
      </c>
      <c r="I877" s="42" t="inlineStr">
        <is>
          <t>Range Offer</t>
        </is>
      </c>
      <c r="J877" s="42" t="inlineStr">
        <is>
          <t>MET_RMKT_VIDVIEW75_ZA</t>
        </is>
      </c>
      <c r="K877" s="42" t="inlineStr">
        <is>
          <t>Retargeting</t>
        </is>
      </c>
      <c r="L877" s="42" t="inlineStr">
        <is>
          <t>RMKT_STA_BookNow_v1</t>
        </is>
      </c>
      <c r="M877" s="42" t="inlineStr">
        <is>
          <t>Static 1:1</t>
        </is>
      </c>
      <c r="N877" s="42" t="inlineStr">
        <is>
          <t>Your test drive is 2 minutes away</t>
        </is>
      </c>
      <c r="O877" s="42" t="inlineStr">
        <is>
          <t>Auction - Lowest Cost</t>
        </is>
      </c>
      <c r="P877" s="42" t="inlineStr">
        <is>
          <t>Offsite Conversions</t>
        </is>
      </c>
      <c r="Q877" s="42" t="inlineStr">
        <is>
          <t>https://www.lepas-sa.co.za/book-a-test-drive</t>
        </is>
      </c>
      <c r="R877" s="115" t="n">
        <v>109.65</v>
      </c>
      <c r="S877" s="116" t="n">
        <v>1658</v>
      </c>
      <c r="T877" s="116" t="n">
        <v>872</v>
      </c>
      <c r="U877" s="117">
        <f>IFERROR(S877/T877,"")</f>
        <v/>
      </c>
      <c r="V877" s="116" t="n">
        <v>31</v>
      </c>
      <c r="W877" s="116" t="n">
        <v>22</v>
      </c>
      <c r="X877" s="118">
        <f>IFERROR(W877/S877,"")</f>
        <v/>
      </c>
      <c r="Y877" s="115">
        <f>IFERROR(R877/W877,"")</f>
        <v/>
      </c>
      <c r="Z877" s="115">
        <f>IFERROR(R877/S877*1000,"")</f>
        <v/>
      </c>
      <c r="AA877" s="116" t="n">
        <v>20</v>
      </c>
      <c r="AB877" s="47">
        <f>IFERROR(AA877/W877,"")</f>
        <v/>
      </c>
      <c r="AC877" s="116" t="n">
        <v>0</v>
      </c>
      <c r="AD877" s="116" t="n">
        <v>0</v>
      </c>
      <c r="AE877" s="116" t="n">
        <v>0</v>
      </c>
      <c r="AF877" s="116" t="n">
        <v>0</v>
      </c>
      <c r="AG877" s="116" t="n">
        <v>0</v>
      </c>
      <c r="AH877" s="116" t="n">
        <v>0</v>
      </c>
      <c r="AI877" s="47">
        <f>IFERROR(AC877/S877,"")</f>
        <v/>
      </c>
      <c r="AJ877" s="47">
        <f>IFERROR(AH877/S877,"")</f>
        <v/>
      </c>
      <c r="AK877" s="116" t="n">
        <v>27</v>
      </c>
      <c r="AL877" s="116" t="n">
        <v>1</v>
      </c>
      <c r="AM877" s="118">
        <f>IFERROR(AL877/AA877,"")</f>
        <v/>
      </c>
      <c r="AN877" s="119">
        <f>IFERROR(R877/AL877,"")</f>
        <v/>
      </c>
      <c r="AO877" s="116" t="n">
        <v>0</v>
      </c>
      <c r="AP877" s="47">
        <f>IFERROR(AO877/AL877,"")</f>
        <v/>
      </c>
      <c r="AQ877" s="119">
        <f>IFERROR(R877/AO877,"")</f>
        <v/>
      </c>
      <c r="AR877" s="116" t="n">
        <v>0</v>
      </c>
      <c r="AS877" s="116" t="n">
        <v>1</v>
      </c>
      <c r="AT877" s="116">
        <f>AL877+AR877</f>
        <v/>
      </c>
      <c r="AU877" s="119">
        <f>IFERROR(AO877*Assumptions!$C$26*Assumptions!$C$27*INDEX(Assumptions!$C$18:$C$21,MATCH(H877,Assumptions!$B$18:$B$21,0)),0)</f>
        <v/>
      </c>
    </row>
    <row r="878">
      <c r="A878" s="114" t="n">
        <v>46255</v>
      </c>
      <c r="B878" s="42" t="inlineStr">
        <is>
          <t>Wk 34</t>
        </is>
      </c>
      <c r="C878" s="42" t="inlineStr">
        <is>
          <t>Fri</t>
        </is>
      </c>
      <c r="D878" s="42" t="inlineStr">
        <is>
          <t>Meta (FB/IG)</t>
        </is>
      </c>
      <c r="E878" s="42" t="inlineStr">
        <is>
          <t>Facebook + Instagram</t>
        </is>
      </c>
      <c r="F878" s="42" t="inlineStr">
        <is>
          <t>LEP_ZA_AUG26_META_RMKT_ALL_CONV</t>
        </is>
      </c>
      <c r="G878" s="42" t="inlineStr">
        <is>
          <t>Leads - Website Conversions</t>
        </is>
      </c>
      <c r="H878" s="42" t="inlineStr">
        <is>
          <t>Range</t>
        </is>
      </c>
      <c r="I878" s="42" t="inlineStr">
        <is>
          <t>Range Offer</t>
        </is>
      </c>
      <c r="J878" s="42" t="inlineStr">
        <is>
          <t>MET_RMKT_VIDVIEW75_ZA</t>
        </is>
      </c>
      <c r="K878" s="42" t="inlineStr">
        <is>
          <t>Retargeting</t>
        </is>
      </c>
      <c r="L878" s="42" t="inlineStr">
        <is>
          <t>RMKT_STA_BookNow_v1</t>
        </is>
      </c>
      <c r="M878" s="42" t="inlineStr">
        <is>
          <t>Static 1:1</t>
        </is>
      </c>
      <c r="N878" s="42" t="inlineStr">
        <is>
          <t>Your test drive is 2 minutes away</t>
        </is>
      </c>
      <c r="O878" s="42" t="inlineStr">
        <is>
          <t>Auction - Lowest Cost</t>
        </is>
      </c>
      <c r="P878" s="42" t="inlineStr">
        <is>
          <t>Offsite Conversions</t>
        </is>
      </c>
      <c r="Q878" s="42" t="inlineStr">
        <is>
          <t>https://www.lepas-sa.co.za/book-a-test-drive</t>
        </is>
      </c>
      <c r="R878" s="115" t="n">
        <v>111.15</v>
      </c>
      <c r="S878" s="116" t="n">
        <v>1130</v>
      </c>
      <c r="T878" s="116" t="n">
        <v>814</v>
      </c>
      <c r="U878" s="117">
        <f>IFERROR(S878/T878,"")</f>
        <v/>
      </c>
      <c r="V878" s="116" t="n">
        <v>26</v>
      </c>
      <c r="W878" s="116" t="n">
        <v>21</v>
      </c>
      <c r="X878" s="118">
        <f>IFERROR(W878/S878,"")</f>
        <v/>
      </c>
      <c r="Y878" s="115">
        <f>IFERROR(R878/W878,"")</f>
        <v/>
      </c>
      <c r="Z878" s="115">
        <f>IFERROR(R878/S878*1000,"")</f>
        <v/>
      </c>
      <c r="AA878" s="116" t="n">
        <v>17</v>
      </c>
      <c r="AB878" s="47">
        <f>IFERROR(AA878/W878,"")</f>
        <v/>
      </c>
      <c r="AC878" s="116" t="n">
        <v>0</v>
      </c>
      <c r="AD878" s="116" t="n">
        <v>0</v>
      </c>
      <c r="AE878" s="116" t="n">
        <v>0</v>
      </c>
      <c r="AF878" s="116" t="n">
        <v>0</v>
      </c>
      <c r="AG878" s="116" t="n">
        <v>0</v>
      </c>
      <c r="AH878" s="116" t="n">
        <v>0</v>
      </c>
      <c r="AI878" s="47">
        <f>IFERROR(AC878/S878,"")</f>
        <v/>
      </c>
      <c r="AJ878" s="47">
        <f>IFERROR(AH878/S878,"")</f>
        <v/>
      </c>
      <c r="AK878" s="116" t="n">
        <v>12</v>
      </c>
      <c r="AL878" s="116" t="n">
        <v>0</v>
      </c>
      <c r="AM878" s="118">
        <f>IFERROR(AL878/AA878,"")</f>
        <v/>
      </c>
      <c r="AN878" s="119">
        <f>IFERROR(R878/AL878,"")</f>
        <v/>
      </c>
      <c r="AO878" s="116" t="n">
        <v>0</v>
      </c>
      <c r="AP878" s="47">
        <f>IFERROR(AO878/AL878,"")</f>
        <v/>
      </c>
      <c r="AQ878" s="119">
        <f>IFERROR(R878/AO878,"")</f>
        <v/>
      </c>
      <c r="AR878" s="116" t="n">
        <v>0</v>
      </c>
      <c r="AS878" s="116" t="n">
        <v>0</v>
      </c>
      <c r="AT878" s="116">
        <f>AL878+AR878</f>
        <v/>
      </c>
      <c r="AU878" s="119">
        <f>IFERROR(AO878*Assumptions!$C$26*Assumptions!$C$27*INDEX(Assumptions!$C$18:$C$21,MATCH(H878,Assumptions!$B$18:$B$21,0)),0)</f>
        <v/>
      </c>
    </row>
    <row r="879">
      <c r="A879" s="114" t="n">
        <v>46256</v>
      </c>
      <c r="B879" s="42" t="inlineStr">
        <is>
          <t>Wk 34</t>
        </is>
      </c>
      <c r="C879" s="42" t="inlineStr">
        <is>
          <t>Sat</t>
        </is>
      </c>
      <c r="D879" s="42" t="inlineStr">
        <is>
          <t>Meta (FB/IG)</t>
        </is>
      </c>
      <c r="E879" s="42" t="inlineStr">
        <is>
          <t>Facebook + Instagram</t>
        </is>
      </c>
      <c r="F879" s="42" t="inlineStr">
        <is>
          <t>LEP_ZA_AUG26_META_RMKT_ALL_CONV</t>
        </is>
      </c>
      <c r="G879" s="42" t="inlineStr">
        <is>
          <t>Leads - Website Conversions</t>
        </is>
      </c>
      <c r="H879" s="42" t="inlineStr">
        <is>
          <t>Range</t>
        </is>
      </c>
      <c r="I879" s="42" t="inlineStr">
        <is>
          <t>Range Offer</t>
        </is>
      </c>
      <c r="J879" s="42" t="inlineStr">
        <is>
          <t>MET_RMKT_VIDVIEW75_ZA</t>
        </is>
      </c>
      <c r="K879" s="42" t="inlineStr">
        <is>
          <t>Retargeting</t>
        </is>
      </c>
      <c r="L879" s="42" t="inlineStr">
        <is>
          <t>RMKT_STA_BookNow_v1</t>
        </is>
      </c>
      <c r="M879" s="42" t="inlineStr">
        <is>
          <t>Static 1:1</t>
        </is>
      </c>
      <c r="N879" s="42" t="inlineStr">
        <is>
          <t>Your test drive is 2 minutes away</t>
        </is>
      </c>
      <c r="O879" s="42" t="inlineStr">
        <is>
          <t>Auction - Lowest Cost</t>
        </is>
      </c>
      <c r="P879" s="42" t="inlineStr">
        <is>
          <t>Offsite Conversions</t>
        </is>
      </c>
      <c r="Q879" s="42" t="inlineStr">
        <is>
          <t>https://www.lepas-sa.co.za/book-a-test-drive</t>
        </is>
      </c>
      <c r="R879" s="115" t="n">
        <v>109.41</v>
      </c>
      <c r="S879" s="116" t="n">
        <v>1258</v>
      </c>
      <c r="T879" s="116" t="n">
        <v>690</v>
      </c>
      <c r="U879" s="117">
        <f>IFERROR(S879/T879,"")</f>
        <v/>
      </c>
      <c r="V879" s="116" t="n">
        <v>38</v>
      </c>
      <c r="W879" s="116" t="n">
        <v>30</v>
      </c>
      <c r="X879" s="118">
        <f>IFERROR(W879/S879,"")</f>
        <v/>
      </c>
      <c r="Y879" s="115">
        <f>IFERROR(R879/W879,"")</f>
        <v/>
      </c>
      <c r="Z879" s="115">
        <f>IFERROR(R879/S879*1000,"")</f>
        <v/>
      </c>
      <c r="AA879" s="116" t="n">
        <v>26</v>
      </c>
      <c r="AB879" s="47">
        <f>IFERROR(AA879/W879,"")</f>
        <v/>
      </c>
      <c r="AC879" s="116" t="n">
        <v>0</v>
      </c>
      <c r="AD879" s="116" t="n">
        <v>0</v>
      </c>
      <c r="AE879" s="116" t="n">
        <v>0</v>
      </c>
      <c r="AF879" s="116" t="n">
        <v>0</v>
      </c>
      <c r="AG879" s="116" t="n">
        <v>0</v>
      </c>
      <c r="AH879" s="116" t="n">
        <v>0</v>
      </c>
      <c r="AI879" s="47">
        <f>IFERROR(AC879/S879,"")</f>
        <v/>
      </c>
      <c r="AJ879" s="47">
        <f>IFERROR(AH879/S879,"")</f>
        <v/>
      </c>
      <c r="AK879" s="116" t="n">
        <v>43</v>
      </c>
      <c r="AL879" s="116" t="n">
        <v>1</v>
      </c>
      <c r="AM879" s="118">
        <f>IFERROR(AL879/AA879,"")</f>
        <v/>
      </c>
      <c r="AN879" s="119">
        <f>IFERROR(R879/AL879,"")</f>
        <v/>
      </c>
      <c r="AO879" s="116" t="n">
        <v>1</v>
      </c>
      <c r="AP879" s="47">
        <f>IFERROR(AO879/AL879,"")</f>
        <v/>
      </c>
      <c r="AQ879" s="119">
        <f>IFERROR(R879/AO879,"")</f>
        <v/>
      </c>
      <c r="AR879" s="116" t="n">
        <v>0</v>
      </c>
      <c r="AS879" s="116" t="n">
        <v>1</v>
      </c>
      <c r="AT879" s="116">
        <f>AL879+AR879</f>
        <v/>
      </c>
      <c r="AU879" s="119">
        <f>IFERROR(AO879*Assumptions!$C$26*Assumptions!$C$27*INDEX(Assumptions!$C$18:$C$21,MATCH(H879,Assumptions!$B$18:$B$21,0)),0)</f>
        <v/>
      </c>
    </row>
    <row r="880">
      <c r="A880" s="114" t="n">
        <v>46257</v>
      </c>
      <c r="B880" s="42" t="inlineStr">
        <is>
          <t>Wk 34</t>
        </is>
      </c>
      <c r="C880" s="42" t="inlineStr">
        <is>
          <t>Sun</t>
        </is>
      </c>
      <c r="D880" s="42" t="inlineStr">
        <is>
          <t>Meta (FB/IG)</t>
        </is>
      </c>
      <c r="E880" s="42" t="inlineStr">
        <is>
          <t>Facebook + Instagram</t>
        </is>
      </c>
      <c r="F880" s="42" t="inlineStr">
        <is>
          <t>LEP_ZA_AUG26_META_RMKT_ALL_CONV</t>
        </is>
      </c>
      <c r="G880" s="42" t="inlineStr">
        <is>
          <t>Leads - Website Conversions</t>
        </is>
      </c>
      <c r="H880" s="42" t="inlineStr">
        <is>
          <t>Range</t>
        </is>
      </c>
      <c r="I880" s="42" t="inlineStr">
        <is>
          <t>Range Offer</t>
        </is>
      </c>
      <c r="J880" s="42" t="inlineStr">
        <is>
          <t>MET_RMKT_VIDVIEW75_ZA</t>
        </is>
      </c>
      <c r="K880" s="42" t="inlineStr">
        <is>
          <t>Retargeting</t>
        </is>
      </c>
      <c r="L880" s="42" t="inlineStr">
        <is>
          <t>RMKT_STA_BookNow_v1</t>
        </is>
      </c>
      <c r="M880" s="42" t="inlineStr">
        <is>
          <t>Static 1:1</t>
        </is>
      </c>
      <c r="N880" s="42" t="inlineStr">
        <is>
          <t>Your test drive is 2 minutes away</t>
        </is>
      </c>
      <c r="O880" s="42" t="inlineStr">
        <is>
          <t>Auction - Lowest Cost</t>
        </is>
      </c>
      <c r="P880" s="42" t="inlineStr">
        <is>
          <t>Offsite Conversions</t>
        </is>
      </c>
      <c r="Q880" s="42" t="inlineStr">
        <is>
          <t>https://www.lepas-sa.co.za/book-a-test-drive</t>
        </is>
      </c>
      <c r="R880" s="115" t="n">
        <v>98.23</v>
      </c>
      <c r="S880" s="116" t="n">
        <v>1335</v>
      </c>
      <c r="T880" s="116" t="n">
        <v>762</v>
      </c>
      <c r="U880" s="117">
        <f>IFERROR(S880/T880,"")</f>
        <v/>
      </c>
      <c r="V880" s="116" t="n">
        <v>32</v>
      </c>
      <c r="W880" s="116" t="n">
        <v>24</v>
      </c>
      <c r="X880" s="118">
        <f>IFERROR(W880/S880,"")</f>
        <v/>
      </c>
      <c r="Y880" s="115">
        <f>IFERROR(R880/W880,"")</f>
        <v/>
      </c>
      <c r="Z880" s="115">
        <f>IFERROR(R880/S880*1000,"")</f>
        <v/>
      </c>
      <c r="AA880" s="116" t="n">
        <v>20</v>
      </c>
      <c r="AB880" s="47">
        <f>IFERROR(AA880/W880,"")</f>
        <v/>
      </c>
      <c r="AC880" s="116" t="n">
        <v>0</v>
      </c>
      <c r="AD880" s="116" t="n">
        <v>0</v>
      </c>
      <c r="AE880" s="116" t="n">
        <v>0</v>
      </c>
      <c r="AF880" s="116" t="n">
        <v>0</v>
      </c>
      <c r="AG880" s="116" t="n">
        <v>0</v>
      </c>
      <c r="AH880" s="116" t="n">
        <v>0</v>
      </c>
      <c r="AI880" s="47">
        <f>IFERROR(AC880/S880,"")</f>
        <v/>
      </c>
      <c r="AJ880" s="47">
        <f>IFERROR(AH880/S880,"")</f>
        <v/>
      </c>
      <c r="AK880" s="116" t="n">
        <v>33</v>
      </c>
      <c r="AL880" s="116" t="n">
        <v>1</v>
      </c>
      <c r="AM880" s="118">
        <f>IFERROR(AL880/AA880,"")</f>
        <v/>
      </c>
      <c r="AN880" s="119">
        <f>IFERROR(R880/AL880,"")</f>
        <v/>
      </c>
      <c r="AO880" s="116" t="n">
        <v>0</v>
      </c>
      <c r="AP880" s="47">
        <f>IFERROR(AO880/AL880,"")</f>
        <v/>
      </c>
      <c r="AQ880" s="119">
        <f>IFERROR(R880/AO880,"")</f>
        <v/>
      </c>
      <c r="AR880" s="116" t="n">
        <v>0</v>
      </c>
      <c r="AS880" s="116" t="n">
        <v>0</v>
      </c>
      <c r="AT880" s="116">
        <f>AL880+AR880</f>
        <v/>
      </c>
      <c r="AU880" s="119">
        <f>IFERROR(AO880*Assumptions!$C$26*Assumptions!$C$27*INDEX(Assumptions!$C$18:$C$21,MATCH(H880,Assumptions!$B$18:$B$21,0)),0)</f>
        <v/>
      </c>
    </row>
    <row r="881">
      <c r="A881" s="114" t="n">
        <v>46258</v>
      </c>
      <c r="B881" s="42" t="inlineStr">
        <is>
          <t>Wk 35</t>
        </is>
      </c>
      <c r="C881" s="42" t="inlineStr">
        <is>
          <t>Mon</t>
        </is>
      </c>
      <c r="D881" s="42" t="inlineStr">
        <is>
          <t>Meta (FB/IG)</t>
        </is>
      </c>
      <c r="E881" s="42" t="inlineStr">
        <is>
          <t>Facebook + Instagram</t>
        </is>
      </c>
      <c r="F881" s="42" t="inlineStr">
        <is>
          <t>LEP_ZA_AUG26_META_RMKT_ALL_CONV</t>
        </is>
      </c>
      <c r="G881" s="42" t="inlineStr">
        <is>
          <t>Leads - Website Conversions</t>
        </is>
      </c>
      <c r="H881" s="42" t="inlineStr">
        <is>
          <t>Range</t>
        </is>
      </c>
      <c r="I881" s="42" t="inlineStr">
        <is>
          <t>Range Offer</t>
        </is>
      </c>
      <c r="J881" s="42" t="inlineStr">
        <is>
          <t>MET_RMKT_VIDVIEW75_ZA</t>
        </is>
      </c>
      <c r="K881" s="42" t="inlineStr">
        <is>
          <t>Retargeting</t>
        </is>
      </c>
      <c r="L881" s="42" t="inlineStr">
        <is>
          <t>RMKT_STA_BookNow_v1</t>
        </is>
      </c>
      <c r="M881" s="42" t="inlineStr">
        <is>
          <t>Static 1:1</t>
        </is>
      </c>
      <c r="N881" s="42" t="inlineStr">
        <is>
          <t>Your test drive is 2 minutes away</t>
        </is>
      </c>
      <c r="O881" s="42" t="inlineStr">
        <is>
          <t>Auction - Lowest Cost</t>
        </is>
      </c>
      <c r="P881" s="42" t="inlineStr">
        <is>
          <t>Offsite Conversions</t>
        </is>
      </c>
      <c r="Q881" s="42" t="inlineStr">
        <is>
          <t>https://www.lepas-sa.co.za/book-a-test-drive</t>
        </is>
      </c>
      <c r="R881" s="115" t="n">
        <v>99.95</v>
      </c>
      <c r="S881" s="116" t="n">
        <v>1101</v>
      </c>
      <c r="T881" s="116" t="n">
        <v>567</v>
      </c>
      <c r="U881" s="117">
        <f>IFERROR(S881/T881,"")</f>
        <v/>
      </c>
      <c r="V881" s="116" t="n">
        <v>39</v>
      </c>
      <c r="W881" s="116" t="n">
        <v>30</v>
      </c>
      <c r="X881" s="118">
        <f>IFERROR(W881/S881,"")</f>
        <v/>
      </c>
      <c r="Y881" s="115">
        <f>IFERROR(R881/W881,"")</f>
        <v/>
      </c>
      <c r="Z881" s="115">
        <f>IFERROR(R881/S881*1000,"")</f>
        <v/>
      </c>
      <c r="AA881" s="116" t="n">
        <v>26</v>
      </c>
      <c r="AB881" s="47">
        <f>IFERROR(AA881/W881,"")</f>
        <v/>
      </c>
      <c r="AC881" s="116" t="n">
        <v>0</v>
      </c>
      <c r="AD881" s="116" t="n">
        <v>0</v>
      </c>
      <c r="AE881" s="116" t="n">
        <v>0</v>
      </c>
      <c r="AF881" s="116" t="n">
        <v>0</v>
      </c>
      <c r="AG881" s="116" t="n">
        <v>0</v>
      </c>
      <c r="AH881" s="116" t="n">
        <v>0</v>
      </c>
      <c r="AI881" s="47">
        <f>IFERROR(AC881/S881,"")</f>
        <v/>
      </c>
      <c r="AJ881" s="47">
        <f>IFERROR(AH881/S881,"")</f>
        <v/>
      </c>
      <c r="AK881" s="116" t="n">
        <v>12</v>
      </c>
      <c r="AL881" s="116" t="n">
        <v>0</v>
      </c>
      <c r="AM881" s="118">
        <f>IFERROR(AL881/AA881,"")</f>
        <v/>
      </c>
      <c r="AN881" s="119">
        <f>IFERROR(R881/AL881,"")</f>
        <v/>
      </c>
      <c r="AO881" s="116" t="n">
        <v>0</v>
      </c>
      <c r="AP881" s="47">
        <f>IFERROR(AO881/AL881,"")</f>
        <v/>
      </c>
      <c r="AQ881" s="119">
        <f>IFERROR(R881/AO881,"")</f>
        <v/>
      </c>
      <c r="AR881" s="116" t="n">
        <v>0</v>
      </c>
      <c r="AS881" s="116" t="n">
        <v>0</v>
      </c>
      <c r="AT881" s="116">
        <f>AL881+AR881</f>
        <v/>
      </c>
      <c r="AU881" s="119">
        <f>IFERROR(AO881*Assumptions!$C$26*Assumptions!$C$27*INDEX(Assumptions!$C$18:$C$21,MATCH(H881,Assumptions!$B$18:$B$21,0)),0)</f>
        <v/>
      </c>
    </row>
    <row r="882">
      <c r="A882" s="114" t="n">
        <v>46259</v>
      </c>
      <c r="B882" s="42" t="inlineStr">
        <is>
          <t>Wk 35</t>
        </is>
      </c>
      <c r="C882" s="42" t="inlineStr">
        <is>
          <t>Tue</t>
        </is>
      </c>
      <c r="D882" s="42" t="inlineStr">
        <is>
          <t>Meta (FB/IG)</t>
        </is>
      </c>
      <c r="E882" s="42" t="inlineStr">
        <is>
          <t>Facebook + Instagram</t>
        </is>
      </c>
      <c r="F882" s="42" t="inlineStr">
        <is>
          <t>LEP_ZA_AUG26_META_RMKT_ALL_CONV</t>
        </is>
      </c>
      <c r="G882" s="42" t="inlineStr">
        <is>
          <t>Leads - Website Conversions</t>
        </is>
      </c>
      <c r="H882" s="42" t="inlineStr">
        <is>
          <t>Range</t>
        </is>
      </c>
      <c r="I882" s="42" t="inlineStr">
        <is>
          <t>Range Offer</t>
        </is>
      </c>
      <c r="J882" s="42" t="inlineStr">
        <is>
          <t>MET_RMKT_VIDVIEW75_ZA</t>
        </is>
      </c>
      <c r="K882" s="42" t="inlineStr">
        <is>
          <t>Retargeting</t>
        </is>
      </c>
      <c r="L882" s="42" t="inlineStr">
        <is>
          <t>RMKT_STA_BookNow_v1</t>
        </is>
      </c>
      <c r="M882" s="42" t="inlineStr">
        <is>
          <t>Static 1:1</t>
        </is>
      </c>
      <c r="N882" s="42" t="inlineStr">
        <is>
          <t>Your test drive is 2 minutes away</t>
        </is>
      </c>
      <c r="O882" s="42" t="inlineStr">
        <is>
          <t>Auction - Lowest Cost</t>
        </is>
      </c>
      <c r="P882" s="42" t="inlineStr">
        <is>
          <t>Offsite Conversions</t>
        </is>
      </c>
      <c r="Q882" s="42" t="inlineStr">
        <is>
          <t>https://www.lepas-sa.co.za/book-a-test-drive</t>
        </is>
      </c>
      <c r="R882" s="115" t="n">
        <v>93.59</v>
      </c>
      <c r="S882" s="116" t="n">
        <v>1132</v>
      </c>
      <c r="T882" s="116" t="n">
        <v>625</v>
      </c>
      <c r="U882" s="117">
        <f>IFERROR(S882/T882,"")</f>
        <v/>
      </c>
      <c r="V882" s="116" t="n">
        <v>25</v>
      </c>
      <c r="W882" s="116" t="n">
        <v>20</v>
      </c>
      <c r="X882" s="118">
        <f>IFERROR(W882/S882,"")</f>
        <v/>
      </c>
      <c r="Y882" s="115">
        <f>IFERROR(R882/W882,"")</f>
        <v/>
      </c>
      <c r="Z882" s="115">
        <f>IFERROR(R882/S882*1000,"")</f>
        <v/>
      </c>
      <c r="AA882" s="116" t="n">
        <v>17</v>
      </c>
      <c r="AB882" s="47">
        <f>IFERROR(AA882/W882,"")</f>
        <v/>
      </c>
      <c r="AC882" s="116" t="n">
        <v>0</v>
      </c>
      <c r="AD882" s="116" t="n">
        <v>0</v>
      </c>
      <c r="AE882" s="116" t="n">
        <v>0</v>
      </c>
      <c r="AF882" s="116" t="n">
        <v>0</v>
      </c>
      <c r="AG882" s="116" t="n">
        <v>0</v>
      </c>
      <c r="AH882" s="116" t="n">
        <v>0</v>
      </c>
      <c r="AI882" s="47">
        <f>IFERROR(AC882/S882,"")</f>
        <v/>
      </c>
      <c r="AJ882" s="47">
        <f>IFERROR(AH882/S882,"")</f>
        <v/>
      </c>
      <c r="AK882" s="116" t="n">
        <v>30</v>
      </c>
      <c r="AL882" s="116" t="n">
        <v>0</v>
      </c>
      <c r="AM882" s="118">
        <f>IFERROR(AL882/AA882,"")</f>
        <v/>
      </c>
      <c r="AN882" s="119">
        <f>IFERROR(R882/AL882,"")</f>
        <v/>
      </c>
      <c r="AO882" s="116" t="n">
        <v>0</v>
      </c>
      <c r="AP882" s="47">
        <f>IFERROR(AO882/AL882,"")</f>
        <v/>
      </c>
      <c r="AQ882" s="119">
        <f>IFERROR(R882/AO882,"")</f>
        <v/>
      </c>
      <c r="AR882" s="116" t="n">
        <v>0</v>
      </c>
      <c r="AS882" s="116" t="n">
        <v>0</v>
      </c>
      <c r="AT882" s="116">
        <f>AL882+AR882</f>
        <v/>
      </c>
      <c r="AU882" s="119">
        <f>IFERROR(AO882*Assumptions!$C$26*Assumptions!$C$27*INDEX(Assumptions!$C$18:$C$21,MATCH(H882,Assumptions!$B$18:$B$21,0)),0)</f>
        <v/>
      </c>
    </row>
    <row r="883">
      <c r="A883" s="114" t="n">
        <v>46260</v>
      </c>
      <c r="B883" s="42" t="inlineStr">
        <is>
          <t>Wk 35</t>
        </is>
      </c>
      <c r="C883" s="42" t="inlineStr">
        <is>
          <t>Wed</t>
        </is>
      </c>
      <c r="D883" s="42" t="inlineStr">
        <is>
          <t>Meta (FB/IG)</t>
        </is>
      </c>
      <c r="E883" s="42" t="inlineStr">
        <is>
          <t>Facebook + Instagram</t>
        </is>
      </c>
      <c r="F883" s="42" t="inlineStr">
        <is>
          <t>LEP_ZA_AUG26_META_RMKT_ALL_CONV</t>
        </is>
      </c>
      <c r="G883" s="42" t="inlineStr">
        <is>
          <t>Leads - Website Conversions</t>
        </is>
      </c>
      <c r="H883" s="42" t="inlineStr">
        <is>
          <t>Range</t>
        </is>
      </c>
      <c r="I883" s="42" t="inlineStr">
        <is>
          <t>Range Offer</t>
        </is>
      </c>
      <c r="J883" s="42" t="inlineStr">
        <is>
          <t>MET_RMKT_VIDVIEW75_ZA</t>
        </is>
      </c>
      <c r="K883" s="42" t="inlineStr">
        <is>
          <t>Retargeting</t>
        </is>
      </c>
      <c r="L883" s="42" t="inlineStr">
        <is>
          <t>RMKT_STA_BookNow_v1</t>
        </is>
      </c>
      <c r="M883" s="42" t="inlineStr">
        <is>
          <t>Static 1:1</t>
        </is>
      </c>
      <c r="N883" s="42" t="inlineStr">
        <is>
          <t>Your test drive is 2 minutes away</t>
        </is>
      </c>
      <c r="O883" s="42" t="inlineStr">
        <is>
          <t>Auction - Lowest Cost</t>
        </is>
      </c>
      <c r="P883" s="42" t="inlineStr">
        <is>
          <t>Offsite Conversions</t>
        </is>
      </c>
      <c r="Q883" s="42" t="inlineStr">
        <is>
          <t>https://www.lepas-sa.co.za/book-a-test-drive</t>
        </is>
      </c>
      <c r="R883" s="115" t="n">
        <v>105.51</v>
      </c>
      <c r="S883" s="116" t="n">
        <v>1228</v>
      </c>
      <c r="T883" s="116" t="n">
        <v>752</v>
      </c>
      <c r="U883" s="117">
        <f>IFERROR(S883/T883,"")</f>
        <v/>
      </c>
      <c r="V883" s="116" t="n">
        <v>26</v>
      </c>
      <c r="W883" s="116" t="n">
        <v>22</v>
      </c>
      <c r="X883" s="118">
        <f>IFERROR(W883/S883,"")</f>
        <v/>
      </c>
      <c r="Y883" s="115">
        <f>IFERROR(R883/W883,"")</f>
        <v/>
      </c>
      <c r="Z883" s="115">
        <f>IFERROR(R883/S883*1000,"")</f>
        <v/>
      </c>
      <c r="AA883" s="116" t="n">
        <v>18</v>
      </c>
      <c r="AB883" s="47">
        <f>IFERROR(AA883/W883,"")</f>
        <v/>
      </c>
      <c r="AC883" s="116" t="n">
        <v>0</v>
      </c>
      <c r="AD883" s="116" t="n">
        <v>0</v>
      </c>
      <c r="AE883" s="116" t="n">
        <v>0</v>
      </c>
      <c r="AF883" s="116" t="n">
        <v>0</v>
      </c>
      <c r="AG883" s="116" t="n">
        <v>0</v>
      </c>
      <c r="AH883" s="116" t="n">
        <v>0</v>
      </c>
      <c r="AI883" s="47">
        <f>IFERROR(AC883/S883,"")</f>
        <v/>
      </c>
      <c r="AJ883" s="47">
        <f>IFERROR(AH883/S883,"")</f>
        <v/>
      </c>
      <c r="AK883" s="116" t="n">
        <v>31</v>
      </c>
      <c r="AL883" s="116" t="n">
        <v>0</v>
      </c>
      <c r="AM883" s="118">
        <f>IFERROR(AL883/AA883,"")</f>
        <v/>
      </c>
      <c r="AN883" s="119">
        <f>IFERROR(R883/AL883,"")</f>
        <v/>
      </c>
      <c r="AO883" s="116" t="n">
        <v>0</v>
      </c>
      <c r="AP883" s="47">
        <f>IFERROR(AO883/AL883,"")</f>
        <v/>
      </c>
      <c r="AQ883" s="119">
        <f>IFERROR(R883/AO883,"")</f>
        <v/>
      </c>
      <c r="AR883" s="116" t="n">
        <v>0</v>
      </c>
      <c r="AS883" s="116" t="n">
        <v>0</v>
      </c>
      <c r="AT883" s="116">
        <f>AL883+AR883</f>
        <v/>
      </c>
      <c r="AU883" s="119">
        <f>IFERROR(AO883*Assumptions!$C$26*Assumptions!$C$27*INDEX(Assumptions!$C$18:$C$21,MATCH(H883,Assumptions!$B$18:$B$21,0)),0)</f>
        <v/>
      </c>
    </row>
    <row r="884">
      <c r="A884" s="114" t="n">
        <v>46261</v>
      </c>
      <c r="B884" s="42" t="inlineStr">
        <is>
          <t>Wk 35</t>
        </is>
      </c>
      <c r="C884" s="42" t="inlineStr">
        <is>
          <t>Thu</t>
        </is>
      </c>
      <c r="D884" s="42" t="inlineStr">
        <is>
          <t>Meta (FB/IG)</t>
        </is>
      </c>
      <c r="E884" s="42" t="inlineStr">
        <is>
          <t>Facebook + Instagram</t>
        </is>
      </c>
      <c r="F884" s="42" t="inlineStr">
        <is>
          <t>LEP_ZA_AUG26_META_RMKT_ALL_CONV</t>
        </is>
      </c>
      <c r="G884" s="42" t="inlineStr">
        <is>
          <t>Leads - Website Conversions</t>
        </is>
      </c>
      <c r="H884" s="42" t="inlineStr">
        <is>
          <t>Range</t>
        </is>
      </c>
      <c r="I884" s="42" t="inlineStr">
        <is>
          <t>Range Offer</t>
        </is>
      </c>
      <c r="J884" s="42" t="inlineStr">
        <is>
          <t>MET_RMKT_VIDVIEW75_ZA</t>
        </is>
      </c>
      <c r="K884" s="42" t="inlineStr">
        <is>
          <t>Retargeting</t>
        </is>
      </c>
      <c r="L884" s="42" t="inlineStr">
        <is>
          <t>RMKT_STA_BookNow_v1</t>
        </is>
      </c>
      <c r="M884" s="42" t="inlineStr">
        <is>
          <t>Static 1:1</t>
        </is>
      </c>
      <c r="N884" s="42" t="inlineStr">
        <is>
          <t>Your test drive is 2 minutes away</t>
        </is>
      </c>
      <c r="O884" s="42" t="inlineStr">
        <is>
          <t>Auction - Lowest Cost</t>
        </is>
      </c>
      <c r="P884" s="42" t="inlineStr">
        <is>
          <t>Offsite Conversions</t>
        </is>
      </c>
      <c r="Q884" s="42" t="inlineStr">
        <is>
          <t>https://www.lepas-sa.co.za/book-a-test-drive</t>
        </is>
      </c>
      <c r="R884" s="115" t="n">
        <v>152</v>
      </c>
      <c r="S884" s="116" t="n">
        <v>1666</v>
      </c>
      <c r="T884" s="116" t="n">
        <v>897</v>
      </c>
      <c r="U884" s="117">
        <f>IFERROR(S884/T884,"")</f>
        <v/>
      </c>
      <c r="V884" s="116" t="n">
        <v>34</v>
      </c>
      <c r="W884" s="116" t="n">
        <v>28</v>
      </c>
      <c r="X884" s="118">
        <f>IFERROR(W884/S884,"")</f>
        <v/>
      </c>
      <c r="Y884" s="115">
        <f>IFERROR(R884/W884,"")</f>
        <v/>
      </c>
      <c r="Z884" s="115">
        <f>IFERROR(R884/S884*1000,"")</f>
        <v/>
      </c>
      <c r="AA884" s="116" t="n">
        <v>22</v>
      </c>
      <c r="AB884" s="47">
        <f>IFERROR(AA884/W884,"")</f>
        <v/>
      </c>
      <c r="AC884" s="116" t="n">
        <v>0</v>
      </c>
      <c r="AD884" s="116" t="n">
        <v>0</v>
      </c>
      <c r="AE884" s="116" t="n">
        <v>0</v>
      </c>
      <c r="AF884" s="116" t="n">
        <v>0</v>
      </c>
      <c r="AG884" s="116" t="n">
        <v>0</v>
      </c>
      <c r="AH884" s="116" t="n">
        <v>0</v>
      </c>
      <c r="AI884" s="47">
        <f>IFERROR(AC884/S884,"")</f>
        <v/>
      </c>
      <c r="AJ884" s="47">
        <f>IFERROR(AH884/S884,"")</f>
        <v/>
      </c>
      <c r="AK884" s="116" t="n">
        <v>27</v>
      </c>
      <c r="AL884" s="116" t="n">
        <v>0</v>
      </c>
      <c r="AM884" s="118">
        <f>IFERROR(AL884/AA884,"")</f>
        <v/>
      </c>
      <c r="AN884" s="119">
        <f>IFERROR(R884/AL884,"")</f>
        <v/>
      </c>
      <c r="AO884" s="116" t="n">
        <v>0</v>
      </c>
      <c r="AP884" s="47">
        <f>IFERROR(AO884/AL884,"")</f>
        <v/>
      </c>
      <c r="AQ884" s="119">
        <f>IFERROR(R884/AO884,"")</f>
        <v/>
      </c>
      <c r="AR884" s="116" t="n">
        <v>0</v>
      </c>
      <c r="AS884" s="116" t="n">
        <v>0</v>
      </c>
      <c r="AT884" s="116">
        <f>AL884+AR884</f>
        <v/>
      </c>
      <c r="AU884" s="119">
        <f>IFERROR(AO884*Assumptions!$C$26*Assumptions!$C$27*INDEX(Assumptions!$C$18:$C$21,MATCH(H884,Assumptions!$B$18:$B$21,0)),0)</f>
        <v/>
      </c>
    </row>
    <row r="885">
      <c r="A885" s="114" t="n">
        <v>46262</v>
      </c>
      <c r="B885" s="42" t="inlineStr">
        <is>
          <t>Wk 35</t>
        </is>
      </c>
      <c r="C885" s="42" t="inlineStr">
        <is>
          <t>Fri</t>
        </is>
      </c>
      <c r="D885" s="42" t="inlineStr">
        <is>
          <t>Meta (FB/IG)</t>
        </is>
      </c>
      <c r="E885" s="42" t="inlineStr">
        <is>
          <t>Facebook + Instagram</t>
        </is>
      </c>
      <c r="F885" s="42" t="inlineStr">
        <is>
          <t>LEP_ZA_AUG26_META_RMKT_ALL_CONV</t>
        </is>
      </c>
      <c r="G885" s="42" t="inlineStr">
        <is>
          <t>Leads - Website Conversions</t>
        </is>
      </c>
      <c r="H885" s="42" t="inlineStr">
        <is>
          <t>Range</t>
        </is>
      </c>
      <c r="I885" s="42" t="inlineStr">
        <is>
          <t>Range Offer</t>
        </is>
      </c>
      <c r="J885" s="42" t="inlineStr">
        <is>
          <t>MET_RMKT_VIDVIEW75_ZA</t>
        </is>
      </c>
      <c r="K885" s="42" t="inlineStr">
        <is>
          <t>Retargeting</t>
        </is>
      </c>
      <c r="L885" s="42" t="inlineStr">
        <is>
          <t>RMKT_STA_BookNow_v1</t>
        </is>
      </c>
      <c r="M885" s="42" t="inlineStr">
        <is>
          <t>Static 1:1</t>
        </is>
      </c>
      <c r="N885" s="42" t="inlineStr">
        <is>
          <t>Your test drive is 2 minutes away</t>
        </is>
      </c>
      <c r="O885" s="42" t="inlineStr">
        <is>
          <t>Auction - Lowest Cost</t>
        </is>
      </c>
      <c r="P885" s="42" t="inlineStr">
        <is>
          <t>Offsite Conversions</t>
        </is>
      </c>
      <c r="Q885" s="42" t="inlineStr">
        <is>
          <t>https://www.lepas-sa.co.za/book-a-test-drive</t>
        </is>
      </c>
      <c r="R885" s="115" t="n">
        <v>139.89</v>
      </c>
      <c r="S885" s="116" t="n">
        <v>1380</v>
      </c>
      <c r="T885" s="116" t="n">
        <v>647</v>
      </c>
      <c r="U885" s="117">
        <f>IFERROR(S885/T885,"")</f>
        <v/>
      </c>
      <c r="V885" s="116" t="n">
        <v>34</v>
      </c>
      <c r="W885" s="116" t="n">
        <v>24</v>
      </c>
      <c r="X885" s="118">
        <f>IFERROR(W885/S885,"")</f>
        <v/>
      </c>
      <c r="Y885" s="115">
        <f>IFERROR(R885/W885,"")</f>
        <v/>
      </c>
      <c r="Z885" s="115">
        <f>IFERROR(R885/S885*1000,"")</f>
        <v/>
      </c>
      <c r="AA885" s="116" t="n">
        <v>21</v>
      </c>
      <c r="AB885" s="47">
        <f>IFERROR(AA885/W885,"")</f>
        <v/>
      </c>
      <c r="AC885" s="116" t="n">
        <v>0</v>
      </c>
      <c r="AD885" s="116" t="n">
        <v>0</v>
      </c>
      <c r="AE885" s="116" t="n">
        <v>0</v>
      </c>
      <c r="AF885" s="116" t="n">
        <v>0</v>
      </c>
      <c r="AG885" s="116" t="n">
        <v>0</v>
      </c>
      <c r="AH885" s="116" t="n">
        <v>0</v>
      </c>
      <c r="AI885" s="47">
        <f>IFERROR(AC885/S885,"")</f>
        <v/>
      </c>
      <c r="AJ885" s="47">
        <f>IFERROR(AH885/S885,"")</f>
        <v/>
      </c>
      <c r="AK885" s="116" t="n">
        <v>19</v>
      </c>
      <c r="AL885" s="116" t="n">
        <v>1</v>
      </c>
      <c r="AM885" s="118">
        <f>IFERROR(AL885/AA885,"")</f>
        <v/>
      </c>
      <c r="AN885" s="119">
        <f>IFERROR(R885/AL885,"")</f>
        <v/>
      </c>
      <c r="AO885" s="116" t="n">
        <v>1</v>
      </c>
      <c r="AP885" s="47">
        <f>IFERROR(AO885/AL885,"")</f>
        <v/>
      </c>
      <c r="AQ885" s="119">
        <f>IFERROR(R885/AO885,"")</f>
        <v/>
      </c>
      <c r="AR885" s="116" t="n">
        <v>1</v>
      </c>
      <c r="AS885" s="116" t="n">
        <v>0</v>
      </c>
      <c r="AT885" s="116">
        <f>AL885+AR885</f>
        <v/>
      </c>
      <c r="AU885" s="119">
        <f>IFERROR(AO885*Assumptions!$C$26*Assumptions!$C$27*INDEX(Assumptions!$C$18:$C$21,MATCH(H885,Assumptions!$B$18:$B$21,0)),0)</f>
        <v/>
      </c>
    </row>
    <row r="886">
      <c r="A886" s="114" t="n">
        <v>46263</v>
      </c>
      <c r="B886" s="42" t="inlineStr">
        <is>
          <t>Wk 35</t>
        </is>
      </c>
      <c r="C886" s="42" t="inlineStr">
        <is>
          <t>Sat</t>
        </is>
      </c>
      <c r="D886" s="42" t="inlineStr">
        <is>
          <t>Meta (FB/IG)</t>
        </is>
      </c>
      <c r="E886" s="42" t="inlineStr">
        <is>
          <t>Facebook + Instagram</t>
        </is>
      </c>
      <c r="F886" s="42" t="inlineStr">
        <is>
          <t>LEP_ZA_AUG26_META_RMKT_ALL_CONV</t>
        </is>
      </c>
      <c r="G886" s="42" t="inlineStr">
        <is>
          <t>Leads - Website Conversions</t>
        </is>
      </c>
      <c r="H886" s="42" t="inlineStr">
        <is>
          <t>Range</t>
        </is>
      </c>
      <c r="I886" s="42" t="inlineStr">
        <is>
          <t>Range Offer</t>
        </is>
      </c>
      <c r="J886" s="42" t="inlineStr">
        <is>
          <t>MET_RMKT_VIDVIEW75_ZA</t>
        </is>
      </c>
      <c r="K886" s="42" t="inlineStr">
        <is>
          <t>Retargeting</t>
        </is>
      </c>
      <c r="L886" s="42" t="inlineStr">
        <is>
          <t>RMKT_STA_BookNow_v1</t>
        </is>
      </c>
      <c r="M886" s="42" t="inlineStr">
        <is>
          <t>Static 1:1</t>
        </is>
      </c>
      <c r="N886" s="42" t="inlineStr">
        <is>
          <t>Your test drive is 2 minutes away</t>
        </is>
      </c>
      <c r="O886" s="42" t="inlineStr">
        <is>
          <t>Auction - Lowest Cost</t>
        </is>
      </c>
      <c r="P886" s="42" t="inlineStr">
        <is>
          <t>Offsite Conversions</t>
        </is>
      </c>
      <c r="Q886" s="42" t="inlineStr">
        <is>
          <t>https://www.lepas-sa.co.za/book-a-test-drive</t>
        </is>
      </c>
      <c r="R886" s="115" t="n">
        <v>158.41</v>
      </c>
      <c r="S886" s="116" t="n">
        <v>1922</v>
      </c>
      <c r="T886" s="116" t="n">
        <v>1072</v>
      </c>
      <c r="U886" s="117">
        <f>IFERROR(S886/T886,"")</f>
        <v/>
      </c>
      <c r="V886" s="116" t="n">
        <v>23</v>
      </c>
      <c r="W886" s="116" t="n">
        <v>19</v>
      </c>
      <c r="X886" s="118">
        <f>IFERROR(W886/S886,"")</f>
        <v/>
      </c>
      <c r="Y886" s="115">
        <f>IFERROR(R886/W886,"")</f>
        <v/>
      </c>
      <c r="Z886" s="115">
        <f>IFERROR(R886/S886*1000,"")</f>
        <v/>
      </c>
      <c r="AA886" s="116" t="n">
        <v>16</v>
      </c>
      <c r="AB886" s="47">
        <f>IFERROR(AA886/W886,"")</f>
        <v/>
      </c>
      <c r="AC886" s="116" t="n">
        <v>0</v>
      </c>
      <c r="AD886" s="116" t="n">
        <v>0</v>
      </c>
      <c r="AE886" s="116" t="n">
        <v>0</v>
      </c>
      <c r="AF886" s="116" t="n">
        <v>0</v>
      </c>
      <c r="AG886" s="116" t="n">
        <v>0</v>
      </c>
      <c r="AH886" s="116" t="n">
        <v>0</v>
      </c>
      <c r="AI886" s="47">
        <f>IFERROR(AC886/S886,"")</f>
        <v/>
      </c>
      <c r="AJ886" s="47">
        <f>IFERROR(AH886/S886,"")</f>
        <v/>
      </c>
      <c r="AK886" s="116" t="n">
        <v>53</v>
      </c>
      <c r="AL886" s="116" t="n">
        <v>0</v>
      </c>
      <c r="AM886" s="118">
        <f>IFERROR(AL886/AA886,"")</f>
        <v/>
      </c>
      <c r="AN886" s="119">
        <f>IFERROR(R886/AL886,"")</f>
        <v/>
      </c>
      <c r="AO886" s="116" t="n">
        <v>0</v>
      </c>
      <c r="AP886" s="47">
        <f>IFERROR(AO886/AL886,"")</f>
        <v/>
      </c>
      <c r="AQ886" s="119">
        <f>IFERROR(R886/AO886,"")</f>
        <v/>
      </c>
      <c r="AR886" s="116" t="n">
        <v>0</v>
      </c>
      <c r="AS886" s="116" t="n">
        <v>0</v>
      </c>
      <c r="AT886" s="116">
        <f>AL886+AR886</f>
        <v/>
      </c>
      <c r="AU886" s="119">
        <f>IFERROR(AO886*Assumptions!$C$26*Assumptions!$C$27*INDEX(Assumptions!$C$18:$C$21,MATCH(H886,Assumptions!$B$18:$B$21,0)),0)</f>
        <v/>
      </c>
    </row>
    <row r="887">
      <c r="A887" s="114" t="n">
        <v>46264</v>
      </c>
      <c r="B887" s="42" t="inlineStr">
        <is>
          <t>Wk 35</t>
        </is>
      </c>
      <c r="C887" s="42" t="inlineStr">
        <is>
          <t>Sun</t>
        </is>
      </c>
      <c r="D887" s="42" t="inlineStr">
        <is>
          <t>Meta (FB/IG)</t>
        </is>
      </c>
      <c r="E887" s="42" t="inlineStr">
        <is>
          <t>Facebook + Instagram</t>
        </is>
      </c>
      <c r="F887" s="42" t="inlineStr">
        <is>
          <t>LEP_ZA_AUG26_META_RMKT_ALL_CONV</t>
        </is>
      </c>
      <c r="G887" s="42" t="inlineStr">
        <is>
          <t>Leads - Website Conversions</t>
        </is>
      </c>
      <c r="H887" s="42" t="inlineStr">
        <is>
          <t>Range</t>
        </is>
      </c>
      <c r="I887" s="42" t="inlineStr">
        <is>
          <t>Range Offer</t>
        </is>
      </c>
      <c r="J887" s="42" t="inlineStr">
        <is>
          <t>MET_RMKT_VIDVIEW75_ZA</t>
        </is>
      </c>
      <c r="K887" s="42" t="inlineStr">
        <is>
          <t>Retargeting</t>
        </is>
      </c>
      <c r="L887" s="42" t="inlineStr">
        <is>
          <t>RMKT_STA_BookNow_v1</t>
        </is>
      </c>
      <c r="M887" s="42" t="inlineStr">
        <is>
          <t>Static 1:1</t>
        </is>
      </c>
      <c r="N887" s="42" t="inlineStr">
        <is>
          <t>Your test drive is 2 minutes away</t>
        </is>
      </c>
      <c r="O887" s="42" t="inlineStr">
        <is>
          <t>Auction - Lowest Cost</t>
        </is>
      </c>
      <c r="P887" s="42" t="inlineStr">
        <is>
          <t>Offsite Conversions</t>
        </is>
      </c>
      <c r="Q887" s="42" t="inlineStr">
        <is>
          <t>https://www.lepas-sa.co.za/book-a-test-drive</t>
        </is>
      </c>
      <c r="R887" s="115" t="n">
        <v>113.82</v>
      </c>
      <c r="S887" s="116" t="n">
        <v>1149</v>
      </c>
      <c r="T887" s="116" t="n">
        <v>592</v>
      </c>
      <c r="U887" s="117">
        <f>IFERROR(S887/T887,"")</f>
        <v/>
      </c>
      <c r="V887" s="116" t="n">
        <v>22</v>
      </c>
      <c r="W887" s="116" t="n">
        <v>17</v>
      </c>
      <c r="X887" s="118">
        <f>IFERROR(W887/S887,"")</f>
        <v/>
      </c>
      <c r="Y887" s="115">
        <f>IFERROR(R887/W887,"")</f>
        <v/>
      </c>
      <c r="Z887" s="115">
        <f>IFERROR(R887/S887*1000,"")</f>
        <v/>
      </c>
      <c r="AA887" s="116" t="n">
        <v>13</v>
      </c>
      <c r="AB887" s="47">
        <f>IFERROR(AA887/W887,"")</f>
        <v/>
      </c>
      <c r="AC887" s="116" t="n">
        <v>0</v>
      </c>
      <c r="AD887" s="116" t="n">
        <v>0</v>
      </c>
      <c r="AE887" s="116" t="n">
        <v>0</v>
      </c>
      <c r="AF887" s="116" t="n">
        <v>0</v>
      </c>
      <c r="AG887" s="116" t="n">
        <v>0</v>
      </c>
      <c r="AH887" s="116" t="n">
        <v>0</v>
      </c>
      <c r="AI887" s="47">
        <f>IFERROR(AC887/S887,"")</f>
        <v/>
      </c>
      <c r="AJ887" s="47">
        <f>IFERROR(AH887/S887,"")</f>
        <v/>
      </c>
      <c r="AK887" s="116" t="n">
        <v>33</v>
      </c>
      <c r="AL887" s="116" t="n">
        <v>1</v>
      </c>
      <c r="AM887" s="118">
        <f>IFERROR(AL887/AA887,"")</f>
        <v/>
      </c>
      <c r="AN887" s="119">
        <f>IFERROR(R887/AL887,"")</f>
        <v/>
      </c>
      <c r="AO887" s="116" t="n">
        <v>0</v>
      </c>
      <c r="AP887" s="47">
        <f>IFERROR(AO887/AL887,"")</f>
        <v/>
      </c>
      <c r="AQ887" s="119">
        <f>IFERROR(R887/AO887,"")</f>
        <v/>
      </c>
      <c r="AR887" s="116" t="n">
        <v>0</v>
      </c>
      <c r="AS887" s="116" t="n">
        <v>0</v>
      </c>
      <c r="AT887" s="116">
        <f>AL887+AR887</f>
        <v/>
      </c>
      <c r="AU887" s="119">
        <f>IFERROR(AO887*Assumptions!$C$26*Assumptions!$C$27*INDEX(Assumptions!$C$18:$C$21,MATCH(H887,Assumptions!$B$18:$B$21,0)),0)</f>
        <v/>
      </c>
    </row>
    <row r="888">
      <c r="A888" s="114" t="n">
        <v>46265</v>
      </c>
      <c r="B888" s="42" t="inlineStr">
        <is>
          <t>Wk 36</t>
        </is>
      </c>
      <c r="C888" s="42" t="inlineStr">
        <is>
          <t>Mon</t>
        </is>
      </c>
      <c r="D888" s="42" t="inlineStr">
        <is>
          <t>Meta (FB/IG)</t>
        </is>
      </c>
      <c r="E888" s="42" t="inlineStr">
        <is>
          <t>Facebook + Instagram</t>
        </is>
      </c>
      <c r="F888" s="42" t="inlineStr">
        <is>
          <t>LEP_ZA_AUG26_META_RMKT_ALL_CONV</t>
        </is>
      </c>
      <c r="G888" s="42" t="inlineStr">
        <is>
          <t>Leads - Website Conversions</t>
        </is>
      </c>
      <c r="H888" s="42" t="inlineStr">
        <is>
          <t>Range</t>
        </is>
      </c>
      <c r="I888" s="42" t="inlineStr">
        <is>
          <t>Range Offer</t>
        </is>
      </c>
      <c r="J888" s="42" t="inlineStr">
        <is>
          <t>MET_RMKT_VIDVIEW75_ZA</t>
        </is>
      </c>
      <c r="K888" s="42" t="inlineStr">
        <is>
          <t>Retargeting</t>
        </is>
      </c>
      <c r="L888" s="42" t="inlineStr">
        <is>
          <t>RMKT_STA_BookNow_v1</t>
        </is>
      </c>
      <c r="M888" s="42" t="inlineStr">
        <is>
          <t>Static 1:1</t>
        </is>
      </c>
      <c r="N888" s="42" t="inlineStr">
        <is>
          <t>Your test drive is 2 minutes away</t>
        </is>
      </c>
      <c r="O888" s="42" t="inlineStr">
        <is>
          <t>Auction - Lowest Cost</t>
        </is>
      </c>
      <c r="P888" s="42" t="inlineStr">
        <is>
          <t>Offsite Conversions</t>
        </is>
      </c>
      <c r="Q888" s="42" t="inlineStr">
        <is>
          <t>https://www.lepas-sa.co.za/book-a-test-drive</t>
        </is>
      </c>
      <c r="R888" s="115" t="n">
        <v>102.25</v>
      </c>
      <c r="S888" s="116" t="n">
        <v>1134</v>
      </c>
      <c r="T888" s="116" t="n">
        <v>597</v>
      </c>
      <c r="U888" s="117">
        <f>IFERROR(S888/T888,"")</f>
        <v/>
      </c>
      <c r="V888" s="116" t="n">
        <v>39</v>
      </c>
      <c r="W888" s="116" t="n">
        <v>28</v>
      </c>
      <c r="X888" s="118">
        <f>IFERROR(W888/S888,"")</f>
        <v/>
      </c>
      <c r="Y888" s="115">
        <f>IFERROR(R888/W888,"")</f>
        <v/>
      </c>
      <c r="Z888" s="115">
        <f>IFERROR(R888/S888*1000,"")</f>
        <v/>
      </c>
      <c r="AA888" s="116" t="n">
        <v>22</v>
      </c>
      <c r="AB888" s="47">
        <f>IFERROR(AA888/W888,"")</f>
        <v/>
      </c>
      <c r="AC888" s="116" t="n">
        <v>0</v>
      </c>
      <c r="AD888" s="116" t="n">
        <v>0</v>
      </c>
      <c r="AE888" s="116" t="n">
        <v>0</v>
      </c>
      <c r="AF888" s="116" t="n">
        <v>0</v>
      </c>
      <c r="AG888" s="116" t="n">
        <v>0</v>
      </c>
      <c r="AH888" s="116" t="n">
        <v>0</v>
      </c>
      <c r="AI888" s="47">
        <f>IFERROR(AC888/S888,"")</f>
        <v/>
      </c>
      <c r="AJ888" s="47">
        <f>IFERROR(AH888/S888,"")</f>
        <v/>
      </c>
      <c r="AK888" s="116" t="n">
        <v>31</v>
      </c>
      <c r="AL888" s="116" t="n">
        <v>1</v>
      </c>
      <c r="AM888" s="118">
        <f>IFERROR(AL888/AA888,"")</f>
        <v/>
      </c>
      <c r="AN888" s="119">
        <f>IFERROR(R888/AL888,"")</f>
        <v/>
      </c>
      <c r="AO888" s="116" t="n">
        <v>0</v>
      </c>
      <c r="AP888" s="47">
        <f>IFERROR(AO888/AL888,"")</f>
        <v/>
      </c>
      <c r="AQ888" s="119">
        <f>IFERROR(R888/AO888,"")</f>
        <v/>
      </c>
      <c r="AR888" s="116" t="n">
        <v>0</v>
      </c>
      <c r="AS888" s="116" t="n">
        <v>0</v>
      </c>
      <c r="AT888" s="116">
        <f>AL888+AR888</f>
        <v/>
      </c>
      <c r="AU888" s="119">
        <f>IFERROR(AO888*Assumptions!$C$26*Assumptions!$C$27*INDEX(Assumptions!$C$18:$C$21,MATCH(H888,Assumptions!$B$18:$B$21,0)),0)</f>
        <v/>
      </c>
    </row>
    <row r="889">
      <c r="A889" s="114" t="n">
        <v>46241</v>
      </c>
      <c r="B889" s="42" t="inlineStr">
        <is>
          <t>Wk 32</t>
        </is>
      </c>
      <c r="C889" s="42" t="inlineStr">
        <is>
          <t>Fri</t>
        </is>
      </c>
      <c r="D889" s="42" t="inlineStr">
        <is>
          <t>Meta (FB/IG)</t>
        </is>
      </c>
      <c r="E889" s="42" t="inlineStr">
        <is>
          <t>Facebook + Instagram</t>
        </is>
      </c>
      <c r="F889" s="42" t="inlineStr">
        <is>
          <t>LEP_ZA_AUG26_META_RMKT_ALL_CONV</t>
        </is>
      </c>
      <c r="G889" s="42" t="inlineStr">
        <is>
          <t>Leads - Website Conversions</t>
        </is>
      </c>
      <c r="H889" s="42" t="inlineStr">
        <is>
          <t>Range</t>
        </is>
      </c>
      <c r="I889" s="42" t="inlineStr">
        <is>
          <t>Range Offer</t>
        </is>
      </c>
      <c r="J889" s="42" t="inlineStr">
        <is>
          <t>MET_RMKT_VIDVIEW75_ZA</t>
        </is>
      </c>
      <c r="K889" s="42" t="inlineStr">
        <is>
          <t>Retargeting</t>
        </is>
      </c>
      <c r="L889" s="42" t="inlineStr">
        <is>
          <t>RMKT_CAR_3card_Offers_v1</t>
        </is>
      </c>
      <c r="M889" s="42" t="inlineStr">
        <is>
          <t>Carousel</t>
        </is>
      </c>
      <c r="N889" s="42" t="inlineStr">
        <is>
          <t>All three. One test drive slot.</t>
        </is>
      </c>
      <c r="O889" s="42" t="inlineStr">
        <is>
          <t>Auction - Lowest Cost</t>
        </is>
      </c>
      <c r="P889" s="42" t="inlineStr">
        <is>
          <t>Offsite Conversions</t>
        </is>
      </c>
      <c r="Q889" s="42" t="inlineStr">
        <is>
          <t>https://www.lepas-sa.co.za/book-a-test-drive</t>
        </is>
      </c>
      <c r="R889" s="115" t="n">
        <v>90.11</v>
      </c>
      <c r="S889" s="116" t="n">
        <v>1175</v>
      </c>
      <c r="T889" s="116" t="n">
        <v>711</v>
      </c>
      <c r="U889" s="117">
        <f>IFERROR(S889/T889,"")</f>
        <v/>
      </c>
      <c r="V889" s="116" t="n">
        <v>52</v>
      </c>
      <c r="W889" s="116" t="n">
        <v>38</v>
      </c>
      <c r="X889" s="118">
        <f>IFERROR(W889/S889,"")</f>
        <v/>
      </c>
      <c r="Y889" s="115">
        <f>IFERROR(R889/W889,"")</f>
        <v/>
      </c>
      <c r="Z889" s="115">
        <f>IFERROR(R889/S889*1000,"")</f>
        <v/>
      </c>
      <c r="AA889" s="116" t="n">
        <v>35</v>
      </c>
      <c r="AB889" s="47">
        <f>IFERROR(AA889/W889,"")</f>
        <v/>
      </c>
      <c r="AC889" s="116" t="n">
        <v>0</v>
      </c>
      <c r="AD889" s="116" t="n">
        <v>0</v>
      </c>
      <c r="AE889" s="116" t="n">
        <v>0</v>
      </c>
      <c r="AF889" s="116" t="n">
        <v>0</v>
      </c>
      <c r="AG889" s="116" t="n">
        <v>0</v>
      </c>
      <c r="AH889" s="116" t="n">
        <v>0</v>
      </c>
      <c r="AI889" s="47">
        <f>IFERROR(AC889/S889,"")</f>
        <v/>
      </c>
      <c r="AJ889" s="47">
        <f>IFERROR(AH889/S889,"")</f>
        <v/>
      </c>
      <c r="AK889" s="116" t="n">
        <v>39</v>
      </c>
      <c r="AL889" s="116" t="n">
        <v>1</v>
      </c>
      <c r="AM889" s="118">
        <f>IFERROR(AL889/AA889,"")</f>
        <v/>
      </c>
      <c r="AN889" s="119">
        <f>IFERROR(R889/AL889,"")</f>
        <v/>
      </c>
      <c r="AO889" s="116" t="n">
        <v>1</v>
      </c>
      <c r="AP889" s="47">
        <f>IFERROR(AO889/AL889,"")</f>
        <v/>
      </c>
      <c r="AQ889" s="119">
        <f>IFERROR(R889/AO889,"")</f>
        <v/>
      </c>
      <c r="AR889" s="116" t="n">
        <v>0</v>
      </c>
      <c r="AS889" s="116" t="n">
        <v>0</v>
      </c>
      <c r="AT889" s="116">
        <f>AL889+AR889</f>
        <v/>
      </c>
      <c r="AU889" s="119">
        <f>IFERROR(AO889*Assumptions!$C$26*Assumptions!$C$27*INDEX(Assumptions!$C$18:$C$21,MATCH(H889,Assumptions!$B$18:$B$21,0)),0)</f>
        <v/>
      </c>
    </row>
    <row r="890">
      <c r="A890" s="114" t="n">
        <v>46242</v>
      </c>
      <c r="B890" s="42" t="inlineStr">
        <is>
          <t>Wk 32</t>
        </is>
      </c>
      <c r="C890" s="42" t="inlineStr">
        <is>
          <t>Sat</t>
        </is>
      </c>
      <c r="D890" s="42" t="inlineStr">
        <is>
          <t>Meta (FB/IG)</t>
        </is>
      </c>
      <c r="E890" s="42" t="inlineStr">
        <is>
          <t>Facebook + Instagram</t>
        </is>
      </c>
      <c r="F890" s="42" t="inlineStr">
        <is>
          <t>LEP_ZA_AUG26_META_RMKT_ALL_CONV</t>
        </is>
      </c>
      <c r="G890" s="42" t="inlineStr">
        <is>
          <t>Leads - Website Conversions</t>
        </is>
      </c>
      <c r="H890" s="42" t="inlineStr">
        <is>
          <t>Range</t>
        </is>
      </c>
      <c r="I890" s="42" t="inlineStr">
        <is>
          <t>Range Offer</t>
        </is>
      </c>
      <c r="J890" s="42" t="inlineStr">
        <is>
          <t>MET_RMKT_VIDVIEW75_ZA</t>
        </is>
      </c>
      <c r="K890" s="42" t="inlineStr">
        <is>
          <t>Retargeting</t>
        </is>
      </c>
      <c r="L890" s="42" t="inlineStr">
        <is>
          <t>RMKT_CAR_3card_Offers_v1</t>
        </is>
      </c>
      <c r="M890" s="42" t="inlineStr">
        <is>
          <t>Carousel</t>
        </is>
      </c>
      <c r="N890" s="42" t="inlineStr">
        <is>
          <t>All three. One test drive slot.</t>
        </is>
      </c>
      <c r="O890" s="42" t="inlineStr">
        <is>
          <t>Auction - Lowest Cost</t>
        </is>
      </c>
      <c r="P890" s="42" t="inlineStr">
        <is>
          <t>Offsite Conversions</t>
        </is>
      </c>
      <c r="Q890" s="42" t="inlineStr">
        <is>
          <t>https://www.lepas-sa.co.za/book-a-test-drive</t>
        </is>
      </c>
      <c r="R890" s="115" t="n">
        <v>96.02</v>
      </c>
      <c r="S890" s="116" t="n">
        <v>1146</v>
      </c>
      <c r="T890" s="116" t="n">
        <v>803</v>
      </c>
      <c r="U890" s="117">
        <f>IFERROR(S890/T890,"")</f>
        <v/>
      </c>
      <c r="V890" s="116" t="n">
        <v>36</v>
      </c>
      <c r="W890" s="116" t="n">
        <v>28</v>
      </c>
      <c r="X890" s="118">
        <f>IFERROR(W890/S890,"")</f>
        <v/>
      </c>
      <c r="Y890" s="115">
        <f>IFERROR(R890/W890,"")</f>
        <v/>
      </c>
      <c r="Z890" s="115">
        <f>IFERROR(R890/S890*1000,"")</f>
        <v/>
      </c>
      <c r="AA890" s="116" t="n">
        <v>22</v>
      </c>
      <c r="AB890" s="47">
        <f>IFERROR(AA890/W890,"")</f>
        <v/>
      </c>
      <c r="AC890" s="116" t="n">
        <v>0</v>
      </c>
      <c r="AD890" s="116" t="n">
        <v>0</v>
      </c>
      <c r="AE890" s="116" t="n">
        <v>0</v>
      </c>
      <c r="AF890" s="116" t="n">
        <v>0</v>
      </c>
      <c r="AG890" s="116" t="n">
        <v>0</v>
      </c>
      <c r="AH890" s="116" t="n">
        <v>0</v>
      </c>
      <c r="AI890" s="47">
        <f>IFERROR(AC890/S890,"")</f>
        <v/>
      </c>
      <c r="AJ890" s="47">
        <f>IFERROR(AH890/S890,"")</f>
        <v/>
      </c>
      <c r="AK890" s="116" t="n">
        <v>27</v>
      </c>
      <c r="AL890" s="116" t="n">
        <v>1</v>
      </c>
      <c r="AM890" s="118">
        <f>IFERROR(AL890/AA890,"")</f>
        <v/>
      </c>
      <c r="AN890" s="119">
        <f>IFERROR(R890/AL890,"")</f>
        <v/>
      </c>
      <c r="AO890" s="116" t="n">
        <v>0</v>
      </c>
      <c r="AP890" s="47">
        <f>IFERROR(AO890/AL890,"")</f>
        <v/>
      </c>
      <c r="AQ890" s="119">
        <f>IFERROR(R890/AO890,"")</f>
        <v/>
      </c>
      <c r="AR890" s="116" t="n">
        <v>1</v>
      </c>
      <c r="AS890" s="116" t="n">
        <v>0</v>
      </c>
      <c r="AT890" s="116">
        <f>AL890+AR890</f>
        <v/>
      </c>
      <c r="AU890" s="119">
        <f>IFERROR(AO890*Assumptions!$C$26*Assumptions!$C$27*INDEX(Assumptions!$C$18:$C$21,MATCH(H890,Assumptions!$B$18:$B$21,0)),0)</f>
        <v/>
      </c>
    </row>
    <row r="891">
      <c r="A891" s="114" t="n">
        <v>46243</v>
      </c>
      <c r="B891" s="42" t="inlineStr">
        <is>
          <t>Wk 32</t>
        </is>
      </c>
      <c r="C891" s="42" t="inlineStr">
        <is>
          <t>Sun</t>
        </is>
      </c>
      <c r="D891" s="42" t="inlineStr">
        <is>
          <t>Meta (FB/IG)</t>
        </is>
      </c>
      <c r="E891" s="42" t="inlineStr">
        <is>
          <t>Facebook + Instagram</t>
        </is>
      </c>
      <c r="F891" s="42" t="inlineStr">
        <is>
          <t>LEP_ZA_AUG26_META_RMKT_ALL_CONV</t>
        </is>
      </c>
      <c r="G891" s="42" t="inlineStr">
        <is>
          <t>Leads - Website Conversions</t>
        </is>
      </c>
      <c r="H891" s="42" t="inlineStr">
        <is>
          <t>Range</t>
        </is>
      </c>
      <c r="I891" s="42" t="inlineStr">
        <is>
          <t>Range Offer</t>
        </is>
      </c>
      <c r="J891" s="42" t="inlineStr">
        <is>
          <t>MET_RMKT_VIDVIEW75_ZA</t>
        </is>
      </c>
      <c r="K891" s="42" t="inlineStr">
        <is>
          <t>Retargeting</t>
        </is>
      </c>
      <c r="L891" s="42" t="inlineStr">
        <is>
          <t>RMKT_CAR_3card_Offers_v1</t>
        </is>
      </c>
      <c r="M891" s="42" t="inlineStr">
        <is>
          <t>Carousel</t>
        </is>
      </c>
      <c r="N891" s="42" t="inlineStr">
        <is>
          <t>All three. One test drive slot.</t>
        </is>
      </c>
      <c r="O891" s="42" t="inlineStr">
        <is>
          <t>Auction - Lowest Cost</t>
        </is>
      </c>
      <c r="P891" s="42" t="inlineStr">
        <is>
          <t>Offsite Conversions</t>
        </is>
      </c>
      <c r="Q891" s="42" t="inlineStr">
        <is>
          <t>https://www.lepas-sa.co.za/book-a-test-drive</t>
        </is>
      </c>
      <c r="R891" s="115" t="n">
        <v>67.43000000000001</v>
      </c>
      <c r="S891" s="116" t="n">
        <v>779</v>
      </c>
      <c r="T891" s="116" t="n">
        <v>484</v>
      </c>
      <c r="U891" s="117">
        <f>IFERROR(S891/T891,"")</f>
        <v/>
      </c>
      <c r="V891" s="116" t="n">
        <v>31</v>
      </c>
      <c r="W891" s="116" t="n">
        <v>25</v>
      </c>
      <c r="X891" s="118">
        <f>IFERROR(W891/S891,"")</f>
        <v/>
      </c>
      <c r="Y891" s="115">
        <f>IFERROR(R891/W891,"")</f>
        <v/>
      </c>
      <c r="Z891" s="115">
        <f>IFERROR(R891/S891*1000,"")</f>
        <v/>
      </c>
      <c r="AA891" s="116" t="n">
        <v>20</v>
      </c>
      <c r="AB891" s="47">
        <f>IFERROR(AA891/W891,"")</f>
        <v/>
      </c>
      <c r="AC891" s="116" t="n">
        <v>0</v>
      </c>
      <c r="AD891" s="116" t="n">
        <v>0</v>
      </c>
      <c r="AE891" s="116" t="n">
        <v>0</v>
      </c>
      <c r="AF891" s="116" t="n">
        <v>0</v>
      </c>
      <c r="AG891" s="116" t="n">
        <v>0</v>
      </c>
      <c r="AH891" s="116" t="n">
        <v>0</v>
      </c>
      <c r="AI891" s="47">
        <f>IFERROR(AC891/S891,"")</f>
        <v/>
      </c>
      <c r="AJ891" s="47">
        <f>IFERROR(AH891/S891,"")</f>
        <v/>
      </c>
      <c r="AK891" s="116" t="n">
        <v>26</v>
      </c>
      <c r="AL891" s="116" t="n">
        <v>1</v>
      </c>
      <c r="AM891" s="118">
        <f>IFERROR(AL891/AA891,"")</f>
        <v/>
      </c>
      <c r="AN891" s="119">
        <f>IFERROR(R891/AL891,"")</f>
        <v/>
      </c>
      <c r="AO891" s="116" t="n">
        <v>1</v>
      </c>
      <c r="AP891" s="47">
        <f>IFERROR(AO891/AL891,"")</f>
        <v/>
      </c>
      <c r="AQ891" s="119">
        <f>IFERROR(R891/AO891,"")</f>
        <v/>
      </c>
      <c r="AR891" s="116" t="n">
        <v>0</v>
      </c>
      <c r="AS891" s="116" t="n">
        <v>0</v>
      </c>
      <c r="AT891" s="116">
        <f>AL891+AR891</f>
        <v/>
      </c>
      <c r="AU891" s="119">
        <f>IFERROR(AO891*Assumptions!$C$26*Assumptions!$C$27*INDEX(Assumptions!$C$18:$C$21,MATCH(H891,Assumptions!$B$18:$B$21,0)),0)</f>
        <v/>
      </c>
    </row>
    <row r="892">
      <c r="A892" s="114" t="n">
        <v>46244</v>
      </c>
      <c r="B892" s="42" t="inlineStr">
        <is>
          <t>Wk 33</t>
        </is>
      </c>
      <c r="C892" s="42" t="inlineStr">
        <is>
          <t>Mon</t>
        </is>
      </c>
      <c r="D892" s="42" t="inlineStr">
        <is>
          <t>Meta (FB/IG)</t>
        </is>
      </c>
      <c r="E892" s="42" t="inlineStr">
        <is>
          <t>Facebook + Instagram</t>
        </is>
      </c>
      <c r="F892" s="42" t="inlineStr">
        <is>
          <t>LEP_ZA_AUG26_META_RMKT_ALL_CONV</t>
        </is>
      </c>
      <c r="G892" s="42" t="inlineStr">
        <is>
          <t>Leads - Website Conversions</t>
        </is>
      </c>
      <c r="H892" s="42" t="inlineStr">
        <is>
          <t>Range</t>
        </is>
      </c>
      <c r="I892" s="42" t="inlineStr">
        <is>
          <t>Range Offer</t>
        </is>
      </c>
      <c r="J892" s="42" t="inlineStr">
        <is>
          <t>MET_RMKT_VIDVIEW75_ZA</t>
        </is>
      </c>
      <c r="K892" s="42" t="inlineStr">
        <is>
          <t>Retargeting</t>
        </is>
      </c>
      <c r="L892" s="42" t="inlineStr">
        <is>
          <t>RMKT_CAR_3card_Offers_v1</t>
        </is>
      </c>
      <c r="M892" s="42" t="inlineStr">
        <is>
          <t>Carousel</t>
        </is>
      </c>
      <c r="N892" s="42" t="inlineStr">
        <is>
          <t>All three. One test drive slot.</t>
        </is>
      </c>
      <c r="O892" s="42" t="inlineStr">
        <is>
          <t>Auction - Lowest Cost</t>
        </is>
      </c>
      <c r="P892" s="42" t="inlineStr">
        <is>
          <t>Offsite Conversions</t>
        </is>
      </c>
      <c r="Q892" s="42" t="inlineStr">
        <is>
          <t>https://www.lepas-sa.co.za/book-a-test-drive</t>
        </is>
      </c>
      <c r="R892" s="115" t="n">
        <v>86.33</v>
      </c>
      <c r="S892" s="116" t="n">
        <v>1058</v>
      </c>
      <c r="T892" s="116" t="n">
        <v>760</v>
      </c>
      <c r="U892" s="117">
        <f>IFERROR(S892/T892,"")</f>
        <v/>
      </c>
      <c r="V892" s="116" t="n">
        <v>39</v>
      </c>
      <c r="W892" s="116" t="n">
        <v>28</v>
      </c>
      <c r="X892" s="118">
        <f>IFERROR(W892/S892,"")</f>
        <v/>
      </c>
      <c r="Y892" s="115">
        <f>IFERROR(R892/W892,"")</f>
        <v/>
      </c>
      <c r="Z892" s="115">
        <f>IFERROR(R892/S892*1000,"")</f>
        <v/>
      </c>
      <c r="AA892" s="116" t="n">
        <v>24</v>
      </c>
      <c r="AB892" s="47">
        <f>IFERROR(AA892/W892,"")</f>
        <v/>
      </c>
      <c r="AC892" s="116" t="n">
        <v>0</v>
      </c>
      <c r="AD892" s="116" t="n">
        <v>0</v>
      </c>
      <c r="AE892" s="116" t="n">
        <v>0</v>
      </c>
      <c r="AF892" s="116" t="n">
        <v>0</v>
      </c>
      <c r="AG892" s="116" t="n">
        <v>0</v>
      </c>
      <c r="AH892" s="116" t="n">
        <v>0</v>
      </c>
      <c r="AI892" s="47">
        <f>IFERROR(AC892/S892,"")</f>
        <v/>
      </c>
      <c r="AJ892" s="47">
        <f>IFERROR(AH892/S892,"")</f>
        <v/>
      </c>
      <c r="AK892" s="116" t="n">
        <v>14</v>
      </c>
      <c r="AL892" s="116" t="n">
        <v>1</v>
      </c>
      <c r="AM892" s="118">
        <f>IFERROR(AL892/AA892,"")</f>
        <v/>
      </c>
      <c r="AN892" s="119">
        <f>IFERROR(R892/AL892,"")</f>
        <v/>
      </c>
      <c r="AO892" s="116" t="n">
        <v>0</v>
      </c>
      <c r="AP892" s="47">
        <f>IFERROR(AO892/AL892,"")</f>
        <v/>
      </c>
      <c r="AQ892" s="119">
        <f>IFERROR(R892/AO892,"")</f>
        <v/>
      </c>
      <c r="AR892" s="116" t="n">
        <v>1</v>
      </c>
      <c r="AS892" s="116" t="n">
        <v>0</v>
      </c>
      <c r="AT892" s="116">
        <f>AL892+AR892</f>
        <v/>
      </c>
      <c r="AU892" s="119">
        <f>IFERROR(AO892*Assumptions!$C$26*Assumptions!$C$27*INDEX(Assumptions!$C$18:$C$21,MATCH(H892,Assumptions!$B$18:$B$21,0)),0)</f>
        <v/>
      </c>
    </row>
    <row r="893">
      <c r="A893" s="114" t="n">
        <v>46245</v>
      </c>
      <c r="B893" s="42" t="inlineStr">
        <is>
          <t>Wk 33</t>
        </is>
      </c>
      <c r="C893" s="42" t="inlineStr">
        <is>
          <t>Tue</t>
        </is>
      </c>
      <c r="D893" s="42" t="inlineStr">
        <is>
          <t>Meta (FB/IG)</t>
        </is>
      </c>
      <c r="E893" s="42" t="inlineStr">
        <is>
          <t>Facebook + Instagram</t>
        </is>
      </c>
      <c r="F893" s="42" t="inlineStr">
        <is>
          <t>LEP_ZA_AUG26_META_RMKT_ALL_CONV</t>
        </is>
      </c>
      <c r="G893" s="42" t="inlineStr">
        <is>
          <t>Leads - Website Conversions</t>
        </is>
      </c>
      <c r="H893" s="42" t="inlineStr">
        <is>
          <t>Range</t>
        </is>
      </c>
      <c r="I893" s="42" t="inlineStr">
        <is>
          <t>Range Offer</t>
        </is>
      </c>
      <c r="J893" s="42" t="inlineStr">
        <is>
          <t>MET_RMKT_VIDVIEW75_ZA</t>
        </is>
      </c>
      <c r="K893" s="42" t="inlineStr">
        <is>
          <t>Retargeting</t>
        </is>
      </c>
      <c r="L893" s="42" t="inlineStr">
        <is>
          <t>RMKT_CAR_3card_Offers_v1</t>
        </is>
      </c>
      <c r="M893" s="42" t="inlineStr">
        <is>
          <t>Carousel</t>
        </is>
      </c>
      <c r="N893" s="42" t="inlineStr">
        <is>
          <t>All three. One test drive slot.</t>
        </is>
      </c>
      <c r="O893" s="42" t="inlineStr">
        <is>
          <t>Auction - Lowest Cost</t>
        </is>
      </c>
      <c r="P893" s="42" t="inlineStr">
        <is>
          <t>Offsite Conversions</t>
        </is>
      </c>
      <c r="Q893" s="42" t="inlineStr">
        <is>
          <t>https://www.lepas-sa.co.za/book-a-test-drive</t>
        </is>
      </c>
      <c r="R893" s="115" t="n">
        <v>71.18000000000001</v>
      </c>
      <c r="S893" s="116" t="n">
        <v>782</v>
      </c>
      <c r="T893" s="116" t="n">
        <v>586</v>
      </c>
      <c r="U893" s="117">
        <f>IFERROR(S893/T893,"")</f>
        <v/>
      </c>
      <c r="V893" s="116" t="n">
        <v>30</v>
      </c>
      <c r="W893" s="116" t="n">
        <v>24</v>
      </c>
      <c r="X893" s="118">
        <f>IFERROR(W893/S893,"")</f>
        <v/>
      </c>
      <c r="Y893" s="115">
        <f>IFERROR(R893/W893,"")</f>
        <v/>
      </c>
      <c r="Z893" s="115">
        <f>IFERROR(R893/S893*1000,"")</f>
        <v/>
      </c>
      <c r="AA893" s="116" t="n">
        <v>21</v>
      </c>
      <c r="AB893" s="47">
        <f>IFERROR(AA893/W893,"")</f>
        <v/>
      </c>
      <c r="AC893" s="116" t="n">
        <v>0</v>
      </c>
      <c r="AD893" s="116" t="n">
        <v>0</v>
      </c>
      <c r="AE893" s="116" t="n">
        <v>0</v>
      </c>
      <c r="AF893" s="116" t="n">
        <v>0</v>
      </c>
      <c r="AG893" s="116" t="n">
        <v>0</v>
      </c>
      <c r="AH893" s="116" t="n">
        <v>0</v>
      </c>
      <c r="AI893" s="47">
        <f>IFERROR(AC893/S893,"")</f>
        <v/>
      </c>
      <c r="AJ893" s="47">
        <f>IFERROR(AH893/S893,"")</f>
        <v/>
      </c>
      <c r="AK893" s="116" t="n">
        <v>8</v>
      </c>
      <c r="AL893" s="116" t="n">
        <v>1</v>
      </c>
      <c r="AM893" s="118">
        <f>IFERROR(AL893/AA893,"")</f>
        <v/>
      </c>
      <c r="AN893" s="119">
        <f>IFERROR(R893/AL893,"")</f>
        <v/>
      </c>
      <c r="AO893" s="116" t="n">
        <v>1</v>
      </c>
      <c r="AP893" s="47">
        <f>IFERROR(AO893/AL893,"")</f>
        <v/>
      </c>
      <c r="AQ893" s="119">
        <f>IFERROR(R893/AO893,"")</f>
        <v/>
      </c>
      <c r="AR893" s="116" t="n">
        <v>1</v>
      </c>
      <c r="AS893" s="116" t="n">
        <v>1</v>
      </c>
      <c r="AT893" s="116">
        <f>AL893+AR893</f>
        <v/>
      </c>
      <c r="AU893" s="119">
        <f>IFERROR(AO893*Assumptions!$C$26*Assumptions!$C$27*INDEX(Assumptions!$C$18:$C$21,MATCH(H893,Assumptions!$B$18:$B$21,0)),0)</f>
        <v/>
      </c>
    </row>
    <row r="894">
      <c r="A894" s="114" t="n">
        <v>46246</v>
      </c>
      <c r="B894" s="42" t="inlineStr">
        <is>
          <t>Wk 33</t>
        </is>
      </c>
      <c r="C894" s="42" t="inlineStr">
        <is>
          <t>Wed</t>
        </is>
      </c>
      <c r="D894" s="42" t="inlineStr">
        <is>
          <t>Meta (FB/IG)</t>
        </is>
      </c>
      <c r="E894" s="42" t="inlineStr">
        <is>
          <t>Facebook + Instagram</t>
        </is>
      </c>
      <c r="F894" s="42" t="inlineStr">
        <is>
          <t>LEP_ZA_AUG26_META_RMKT_ALL_CONV</t>
        </is>
      </c>
      <c r="G894" s="42" t="inlineStr">
        <is>
          <t>Leads - Website Conversions</t>
        </is>
      </c>
      <c r="H894" s="42" t="inlineStr">
        <is>
          <t>Range</t>
        </is>
      </c>
      <c r="I894" s="42" t="inlineStr">
        <is>
          <t>Range Offer</t>
        </is>
      </c>
      <c r="J894" s="42" t="inlineStr">
        <is>
          <t>MET_RMKT_VIDVIEW75_ZA</t>
        </is>
      </c>
      <c r="K894" s="42" t="inlineStr">
        <is>
          <t>Retargeting</t>
        </is>
      </c>
      <c r="L894" s="42" t="inlineStr">
        <is>
          <t>RMKT_CAR_3card_Offers_v1</t>
        </is>
      </c>
      <c r="M894" s="42" t="inlineStr">
        <is>
          <t>Carousel</t>
        </is>
      </c>
      <c r="N894" s="42" t="inlineStr">
        <is>
          <t>All three. One test drive slot.</t>
        </is>
      </c>
      <c r="O894" s="42" t="inlineStr">
        <is>
          <t>Auction - Lowest Cost</t>
        </is>
      </c>
      <c r="P894" s="42" t="inlineStr">
        <is>
          <t>Offsite Conversions</t>
        </is>
      </c>
      <c r="Q894" s="42" t="inlineStr">
        <is>
          <t>https://www.lepas-sa.co.za/book-a-test-drive</t>
        </is>
      </c>
      <c r="R894" s="115" t="n">
        <v>92.53</v>
      </c>
      <c r="S894" s="116" t="n">
        <v>930</v>
      </c>
      <c r="T894" s="116" t="n">
        <v>667</v>
      </c>
      <c r="U894" s="117">
        <f>IFERROR(S894/T894,"")</f>
        <v/>
      </c>
      <c r="V894" s="116" t="n">
        <v>25</v>
      </c>
      <c r="W894" s="116" t="n">
        <v>18</v>
      </c>
      <c r="X894" s="118">
        <f>IFERROR(W894/S894,"")</f>
        <v/>
      </c>
      <c r="Y894" s="115">
        <f>IFERROR(R894/W894,"")</f>
        <v/>
      </c>
      <c r="Z894" s="115">
        <f>IFERROR(R894/S894*1000,"")</f>
        <v/>
      </c>
      <c r="AA894" s="116" t="n">
        <v>16</v>
      </c>
      <c r="AB894" s="47">
        <f>IFERROR(AA894/W894,"")</f>
        <v/>
      </c>
      <c r="AC894" s="116" t="n">
        <v>0</v>
      </c>
      <c r="AD894" s="116" t="n">
        <v>0</v>
      </c>
      <c r="AE894" s="116" t="n">
        <v>0</v>
      </c>
      <c r="AF894" s="116" t="n">
        <v>0</v>
      </c>
      <c r="AG894" s="116" t="n">
        <v>0</v>
      </c>
      <c r="AH894" s="116" t="n">
        <v>0</v>
      </c>
      <c r="AI894" s="47">
        <f>IFERROR(AC894/S894,"")</f>
        <v/>
      </c>
      <c r="AJ894" s="47">
        <f>IFERROR(AH894/S894,"")</f>
        <v/>
      </c>
      <c r="AK894" s="116" t="n">
        <v>16</v>
      </c>
      <c r="AL894" s="116" t="n">
        <v>1</v>
      </c>
      <c r="AM894" s="118">
        <f>IFERROR(AL894/AA894,"")</f>
        <v/>
      </c>
      <c r="AN894" s="119">
        <f>IFERROR(R894/AL894,"")</f>
        <v/>
      </c>
      <c r="AO894" s="116" t="n">
        <v>1</v>
      </c>
      <c r="AP894" s="47">
        <f>IFERROR(AO894/AL894,"")</f>
        <v/>
      </c>
      <c r="AQ894" s="119">
        <f>IFERROR(R894/AO894,"")</f>
        <v/>
      </c>
      <c r="AR894" s="116" t="n">
        <v>1</v>
      </c>
      <c r="AS894" s="116" t="n">
        <v>0</v>
      </c>
      <c r="AT894" s="116">
        <f>AL894+AR894</f>
        <v/>
      </c>
      <c r="AU894" s="119">
        <f>IFERROR(AO894*Assumptions!$C$26*Assumptions!$C$27*INDEX(Assumptions!$C$18:$C$21,MATCH(H894,Assumptions!$B$18:$B$21,0)),0)</f>
        <v/>
      </c>
    </row>
    <row r="895">
      <c r="A895" s="114" t="n">
        <v>46247</v>
      </c>
      <c r="B895" s="42" t="inlineStr">
        <is>
          <t>Wk 33</t>
        </is>
      </c>
      <c r="C895" s="42" t="inlineStr">
        <is>
          <t>Thu</t>
        </is>
      </c>
      <c r="D895" s="42" t="inlineStr">
        <is>
          <t>Meta (FB/IG)</t>
        </is>
      </c>
      <c r="E895" s="42" t="inlineStr">
        <is>
          <t>Facebook + Instagram</t>
        </is>
      </c>
      <c r="F895" s="42" t="inlineStr">
        <is>
          <t>LEP_ZA_AUG26_META_RMKT_ALL_CONV</t>
        </is>
      </c>
      <c r="G895" s="42" t="inlineStr">
        <is>
          <t>Leads - Website Conversions</t>
        </is>
      </c>
      <c r="H895" s="42" t="inlineStr">
        <is>
          <t>Range</t>
        </is>
      </c>
      <c r="I895" s="42" t="inlineStr">
        <is>
          <t>Range Offer</t>
        </is>
      </c>
      <c r="J895" s="42" t="inlineStr">
        <is>
          <t>MET_RMKT_VIDVIEW75_ZA</t>
        </is>
      </c>
      <c r="K895" s="42" t="inlineStr">
        <is>
          <t>Retargeting</t>
        </is>
      </c>
      <c r="L895" s="42" t="inlineStr">
        <is>
          <t>RMKT_CAR_3card_Offers_v1</t>
        </is>
      </c>
      <c r="M895" s="42" t="inlineStr">
        <is>
          <t>Carousel</t>
        </is>
      </c>
      <c r="N895" s="42" t="inlineStr">
        <is>
          <t>All three. One test drive slot.</t>
        </is>
      </c>
      <c r="O895" s="42" t="inlineStr">
        <is>
          <t>Auction - Lowest Cost</t>
        </is>
      </c>
      <c r="P895" s="42" t="inlineStr">
        <is>
          <t>Offsite Conversions</t>
        </is>
      </c>
      <c r="Q895" s="42" t="inlineStr">
        <is>
          <t>https://www.lepas-sa.co.za/book-a-test-drive</t>
        </is>
      </c>
      <c r="R895" s="115" t="n">
        <v>95.55</v>
      </c>
      <c r="S895" s="116" t="n">
        <v>822</v>
      </c>
      <c r="T895" s="116" t="n">
        <v>536</v>
      </c>
      <c r="U895" s="117">
        <f>IFERROR(S895/T895,"")</f>
        <v/>
      </c>
      <c r="V895" s="116" t="n">
        <v>40</v>
      </c>
      <c r="W895" s="116" t="n">
        <v>31</v>
      </c>
      <c r="X895" s="118">
        <f>IFERROR(W895/S895,"")</f>
        <v/>
      </c>
      <c r="Y895" s="115">
        <f>IFERROR(R895/W895,"")</f>
        <v/>
      </c>
      <c r="Z895" s="115">
        <f>IFERROR(R895/S895*1000,"")</f>
        <v/>
      </c>
      <c r="AA895" s="116" t="n">
        <v>27</v>
      </c>
      <c r="AB895" s="47">
        <f>IFERROR(AA895/W895,"")</f>
        <v/>
      </c>
      <c r="AC895" s="116" t="n">
        <v>0</v>
      </c>
      <c r="AD895" s="116" t="n">
        <v>0</v>
      </c>
      <c r="AE895" s="116" t="n">
        <v>0</v>
      </c>
      <c r="AF895" s="116" t="n">
        <v>0</v>
      </c>
      <c r="AG895" s="116" t="n">
        <v>0</v>
      </c>
      <c r="AH895" s="116" t="n">
        <v>0</v>
      </c>
      <c r="AI895" s="47">
        <f>IFERROR(AC895/S895,"")</f>
        <v/>
      </c>
      <c r="AJ895" s="47">
        <f>IFERROR(AH895/S895,"")</f>
        <v/>
      </c>
      <c r="AK895" s="116" t="n">
        <v>28</v>
      </c>
      <c r="AL895" s="116" t="n">
        <v>1</v>
      </c>
      <c r="AM895" s="118">
        <f>IFERROR(AL895/AA895,"")</f>
        <v/>
      </c>
      <c r="AN895" s="119">
        <f>IFERROR(R895/AL895,"")</f>
        <v/>
      </c>
      <c r="AO895" s="116" t="n">
        <v>1</v>
      </c>
      <c r="AP895" s="47">
        <f>IFERROR(AO895/AL895,"")</f>
        <v/>
      </c>
      <c r="AQ895" s="119">
        <f>IFERROR(R895/AO895,"")</f>
        <v/>
      </c>
      <c r="AR895" s="116" t="n">
        <v>0</v>
      </c>
      <c r="AS895" s="116" t="n">
        <v>1</v>
      </c>
      <c r="AT895" s="116">
        <f>AL895+AR895</f>
        <v/>
      </c>
      <c r="AU895" s="119">
        <f>IFERROR(AO895*Assumptions!$C$26*Assumptions!$C$27*INDEX(Assumptions!$C$18:$C$21,MATCH(H895,Assumptions!$B$18:$B$21,0)),0)</f>
        <v/>
      </c>
    </row>
    <row r="896">
      <c r="A896" s="114" t="n">
        <v>46248</v>
      </c>
      <c r="B896" s="42" t="inlineStr">
        <is>
          <t>Wk 33</t>
        </is>
      </c>
      <c r="C896" s="42" t="inlineStr">
        <is>
          <t>Fri</t>
        </is>
      </c>
      <c r="D896" s="42" t="inlineStr">
        <is>
          <t>Meta (FB/IG)</t>
        </is>
      </c>
      <c r="E896" s="42" t="inlineStr">
        <is>
          <t>Facebook + Instagram</t>
        </is>
      </c>
      <c r="F896" s="42" t="inlineStr">
        <is>
          <t>LEP_ZA_AUG26_META_RMKT_ALL_CONV</t>
        </is>
      </c>
      <c r="G896" s="42" t="inlineStr">
        <is>
          <t>Leads - Website Conversions</t>
        </is>
      </c>
      <c r="H896" s="42" t="inlineStr">
        <is>
          <t>Range</t>
        </is>
      </c>
      <c r="I896" s="42" t="inlineStr">
        <is>
          <t>Range Offer</t>
        </is>
      </c>
      <c r="J896" s="42" t="inlineStr">
        <is>
          <t>MET_RMKT_VIDVIEW75_ZA</t>
        </is>
      </c>
      <c r="K896" s="42" t="inlineStr">
        <is>
          <t>Retargeting</t>
        </is>
      </c>
      <c r="L896" s="42" t="inlineStr">
        <is>
          <t>RMKT_CAR_3card_Offers_v1</t>
        </is>
      </c>
      <c r="M896" s="42" t="inlineStr">
        <is>
          <t>Carousel</t>
        </is>
      </c>
      <c r="N896" s="42" t="inlineStr">
        <is>
          <t>All three. One test drive slot.</t>
        </is>
      </c>
      <c r="O896" s="42" t="inlineStr">
        <is>
          <t>Auction - Lowest Cost</t>
        </is>
      </c>
      <c r="P896" s="42" t="inlineStr">
        <is>
          <t>Offsite Conversions</t>
        </is>
      </c>
      <c r="Q896" s="42" t="inlineStr">
        <is>
          <t>https://www.lepas-sa.co.za/book-a-test-drive</t>
        </is>
      </c>
      <c r="R896" s="115" t="n">
        <v>93.31999999999999</v>
      </c>
      <c r="S896" s="116" t="n">
        <v>762</v>
      </c>
      <c r="T896" s="116" t="n">
        <v>463</v>
      </c>
      <c r="U896" s="117">
        <f>IFERROR(S896/T896,"")</f>
        <v/>
      </c>
      <c r="V896" s="116" t="n">
        <v>31</v>
      </c>
      <c r="W896" s="116" t="n">
        <v>25</v>
      </c>
      <c r="X896" s="118">
        <f>IFERROR(W896/S896,"")</f>
        <v/>
      </c>
      <c r="Y896" s="115">
        <f>IFERROR(R896/W896,"")</f>
        <v/>
      </c>
      <c r="Z896" s="115">
        <f>IFERROR(R896/S896*1000,"")</f>
        <v/>
      </c>
      <c r="AA896" s="116" t="n">
        <v>22</v>
      </c>
      <c r="AB896" s="47">
        <f>IFERROR(AA896/W896,"")</f>
        <v/>
      </c>
      <c r="AC896" s="116" t="n">
        <v>0</v>
      </c>
      <c r="AD896" s="116" t="n">
        <v>0</v>
      </c>
      <c r="AE896" s="116" t="n">
        <v>0</v>
      </c>
      <c r="AF896" s="116" t="n">
        <v>0</v>
      </c>
      <c r="AG896" s="116" t="n">
        <v>0</v>
      </c>
      <c r="AH896" s="116" t="n">
        <v>0</v>
      </c>
      <c r="AI896" s="47">
        <f>IFERROR(AC896/S896,"")</f>
        <v/>
      </c>
      <c r="AJ896" s="47">
        <f>IFERROR(AH896/S896,"")</f>
        <v/>
      </c>
      <c r="AK896" s="116" t="n">
        <v>24</v>
      </c>
      <c r="AL896" s="116" t="n">
        <v>1</v>
      </c>
      <c r="AM896" s="118">
        <f>IFERROR(AL896/AA896,"")</f>
        <v/>
      </c>
      <c r="AN896" s="119">
        <f>IFERROR(R896/AL896,"")</f>
        <v/>
      </c>
      <c r="AO896" s="116" t="n">
        <v>1</v>
      </c>
      <c r="AP896" s="47">
        <f>IFERROR(AO896/AL896,"")</f>
        <v/>
      </c>
      <c r="AQ896" s="119">
        <f>IFERROR(R896/AO896,"")</f>
        <v/>
      </c>
      <c r="AR896" s="116" t="n">
        <v>0</v>
      </c>
      <c r="AS896" s="116" t="n">
        <v>0</v>
      </c>
      <c r="AT896" s="116">
        <f>AL896+AR896</f>
        <v/>
      </c>
      <c r="AU896" s="119">
        <f>IFERROR(AO896*Assumptions!$C$26*Assumptions!$C$27*INDEX(Assumptions!$C$18:$C$21,MATCH(H896,Assumptions!$B$18:$B$21,0)),0)</f>
        <v/>
      </c>
    </row>
    <row r="897">
      <c r="A897" s="114" t="n">
        <v>46249</v>
      </c>
      <c r="B897" s="42" t="inlineStr">
        <is>
          <t>Wk 33</t>
        </is>
      </c>
      <c r="C897" s="42" t="inlineStr">
        <is>
          <t>Sat</t>
        </is>
      </c>
      <c r="D897" s="42" t="inlineStr">
        <is>
          <t>Meta (FB/IG)</t>
        </is>
      </c>
      <c r="E897" s="42" t="inlineStr">
        <is>
          <t>Facebook + Instagram</t>
        </is>
      </c>
      <c r="F897" s="42" t="inlineStr">
        <is>
          <t>LEP_ZA_AUG26_META_RMKT_ALL_CONV</t>
        </is>
      </c>
      <c r="G897" s="42" t="inlineStr">
        <is>
          <t>Leads - Website Conversions</t>
        </is>
      </c>
      <c r="H897" s="42" t="inlineStr">
        <is>
          <t>Range</t>
        </is>
      </c>
      <c r="I897" s="42" t="inlineStr">
        <is>
          <t>Range Offer</t>
        </is>
      </c>
      <c r="J897" s="42" t="inlineStr">
        <is>
          <t>MET_RMKT_VIDVIEW75_ZA</t>
        </is>
      </c>
      <c r="K897" s="42" t="inlineStr">
        <is>
          <t>Retargeting</t>
        </is>
      </c>
      <c r="L897" s="42" t="inlineStr">
        <is>
          <t>RMKT_CAR_3card_Offers_v1</t>
        </is>
      </c>
      <c r="M897" s="42" t="inlineStr">
        <is>
          <t>Carousel</t>
        </is>
      </c>
      <c r="N897" s="42" t="inlineStr">
        <is>
          <t>All three. One test drive slot.</t>
        </is>
      </c>
      <c r="O897" s="42" t="inlineStr">
        <is>
          <t>Auction - Lowest Cost</t>
        </is>
      </c>
      <c r="P897" s="42" t="inlineStr">
        <is>
          <t>Offsite Conversions</t>
        </is>
      </c>
      <c r="Q897" s="42" t="inlineStr">
        <is>
          <t>https://www.lepas-sa.co.za/book-a-test-drive</t>
        </is>
      </c>
      <c r="R897" s="115" t="n">
        <v>104.97</v>
      </c>
      <c r="S897" s="116" t="n">
        <v>1056</v>
      </c>
      <c r="T897" s="116" t="n">
        <v>574</v>
      </c>
      <c r="U897" s="117">
        <f>IFERROR(S897/T897,"")</f>
        <v/>
      </c>
      <c r="V897" s="116" t="n">
        <v>44</v>
      </c>
      <c r="W897" s="116" t="n">
        <v>36</v>
      </c>
      <c r="X897" s="118">
        <f>IFERROR(W897/S897,"")</f>
        <v/>
      </c>
      <c r="Y897" s="115">
        <f>IFERROR(R897/W897,"")</f>
        <v/>
      </c>
      <c r="Z897" s="115">
        <f>IFERROR(R897/S897*1000,"")</f>
        <v/>
      </c>
      <c r="AA897" s="116" t="n">
        <v>32</v>
      </c>
      <c r="AB897" s="47">
        <f>IFERROR(AA897/W897,"")</f>
        <v/>
      </c>
      <c r="AC897" s="116" t="n">
        <v>0</v>
      </c>
      <c r="AD897" s="116" t="n">
        <v>0</v>
      </c>
      <c r="AE897" s="116" t="n">
        <v>0</v>
      </c>
      <c r="AF897" s="116" t="n">
        <v>0</v>
      </c>
      <c r="AG897" s="116" t="n">
        <v>0</v>
      </c>
      <c r="AH897" s="116" t="n">
        <v>0</v>
      </c>
      <c r="AI897" s="47">
        <f>IFERROR(AC897/S897,"")</f>
        <v/>
      </c>
      <c r="AJ897" s="47">
        <f>IFERROR(AH897/S897,"")</f>
        <v/>
      </c>
      <c r="AK897" s="116" t="n">
        <v>28</v>
      </c>
      <c r="AL897" s="116" t="n">
        <v>1</v>
      </c>
      <c r="AM897" s="118">
        <f>IFERROR(AL897/AA897,"")</f>
        <v/>
      </c>
      <c r="AN897" s="119">
        <f>IFERROR(R897/AL897,"")</f>
        <v/>
      </c>
      <c r="AO897" s="116" t="n">
        <v>1</v>
      </c>
      <c r="AP897" s="47">
        <f>IFERROR(AO897/AL897,"")</f>
        <v/>
      </c>
      <c r="AQ897" s="119">
        <f>IFERROR(R897/AO897,"")</f>
        <v/>
      </c>
      <c r="AR897" s="116" t="n">
        <v>0</v>
      </c>
      <c r="AS897" s="116" t="n">
        <v>0</v>
      </c>
      <c r="AT897" s="116">
        <f>AL897+AR897</f>
        <v/>
      </c>
      <c r="AU897" s="119">
        <f>IFERROR(AO897*Assumptions!$C$26*Assumptions!$C$27*INDEX(Assumptions!$C$18:$C$21,MATCH(H897,Assumptions!$B$18:$B$21,0)),0)</f>
        <v/>
      </c>
    </row>
    <row r="898">
      <c r="A898" s="114" t="n">
        <v>46250</v>
      </c>
      <c r="B898" s="42" t="inlineStr">
        <is>
          <t>Wk 33</t>
        </is>
      </c>
      <c r="C898" s="42" t="inlineStr">
        <is>
          <t>Sun</t>
        </is>
      </c>
      <c r="D898" s="42" t="inlineStr">
        <is>
          <t>Meta (FB/IG)</t>
        </is>
      </c>
      <c r="E898" s="42" t="inlineStr">
        <is>
          <t>Facebook + Instagram</t>
        </is>
      </c>
      <c r="F898" s="42" t="inlineStr">
        <is>
          <t>LEP_ZA_AUG26_META_RMKT_ALL_CONV</t>
        </is>
      </c>
      <c r="G898" s="42" t="inlineStr">
        <is>
          <t>Leads - Website Conversions</t>
        </is>
      </c>
      <c r="H898" s="42" t="inlineStr">
        <is>
          <t>Range</t>
        </is>
      </c>
      <c r="I898" s="42" t="inlineStr">
        <is>
          <t>Range Offer</t>
        </is>
      </c>
      <c r="J898" s="42" t="inlineStr">
        <is>
          <t>MET_RMKT_VIDVIEW75_ZA</t>
        </is>
      </c>
      <c r="K898" s="42" t="inlineStr">
        <is>
          <t>Retargeting</t>
        </is>
      </c>
      <c r="L898" s="42" t="inlineStr">
        <is>
          <t>RMKT_CAR_3card_Offers_v1</t>
        </is>
      </c>
      <c r="M898" s="42" t="inlineStr">
        <is>
          <t>Carousel</t>
        </is>
      </c>
      <c r="N898" s="42" t="inlineStr">
        <is>
          <t>All three. One test drive slot.</t>
        </is>
      </c>
      <c r="O898" s="42" t="inlineStr">
        <is>
          <t>Auction - Lowest Cost</t>
        </is>
      </c>
      <c r="P898" s="42" t="inlineStr">
        <is>
          <t>Offsite Conversions</t>
        </is>
      </c>
      <c r="Q898" s="42" t="inlineStr">
        <is>
          <t>https://www.lepas-sa.co.za/book-a-test-drive</t>
        </is>
      </c>
      <c r="R898" s="115" t="n">
        <v>69.45</v>
      </c>
      <c r="S898" s="116" t="n">
        <v>743</v>
      </c>
      <c r="T898" s="116" t="n">
        <v>454</v>
      </c>
      <c r="U898" s="117">
        <f>IFERROR(S898/T898,"")</f>
        <v/>
      </c>
      <c r="V898" s="116" t="n">
        <v>26</v>
      </c>
      <c r="W898" s="116" t="n">
        <v>22</v>
      </c>
      <c r="X898" s="118">
        <f>IFERROR(W898/S898,"")</f>
        <v/>
      </c>
      <c r="Y898" s="115">
        <f>IFERROR(R898/W898,"")</f>
        <v/>
      </c>
      <c r="Z898" s="115">
        <f>IFERROR(R898/S898*1000,"")</f>
        <v/>
      </c>
      <c r="AA898" s="116" t="n">
        <v>18</v>
      </c>
      <c r="AB898" s="47">
        <f>IFERROR(AA898/W898,"")</f>
        <v/>
      </c>
      <c r="AC898" s="116" t="n">
        <v>0</v>
      </c>
      <c r="AD898" s="116" t="n">
        <v>0</v>
      </c>
      <c r="AE898" s="116" t="n">
        <v>0</v>
      </c>
      <c r="AF898" s="116" t="n">
        <v>0</v>
      </c>
      <c r="AG898" s="116" t="n">
        <v>0</v>
      </c>
      <c r="AH898" s="116" t="n">
        <v>0</v>
      </c>
      <c r="AI898" s="47">
        <f>IFERROR(AC898/S898,"")</f>
        <v/>
      </c>
      <c r="AJ898" s="47">
        <f>IFERROR(AH898/S898,"")</f>
        <v/>
      </c>
      <c r="AK898" s="116" t="n">
        <v>13</v>
      </c>
      <c r="AL898" s="116" t="n">
        <v>1</v>
      </c>
      <c r="AM898" s="118">
        <f>IFERROR(AL898/AA898,"")</f>
        <v/>
      </c>
      <c r="AN898" s="119">
        <f>IFERROR(R898/AL898,"")</f>
        <v/>
      </c>
      <c r="AO898" s="116" t="n">
        <v>1</v>
      </c>
      <c r="AP898" s="47">
        <f>IFERROR(AO898/AL898,"")</f>
        <v/>
      </c>
      <c r="AQ898" s="119">
        <f>IFERROR(R898/AO898,"")</f>
        <v/>
      </c>
      <c r="AR898" s="116" t="n">
        <v>0</v>
      </c>
      <c r="AS898" s="116" t="n">
        <v>0</v>
      </c>
      <c r="AT898" s="116">
        <f>AL898+AR898</f>
        <v/>
      </c>
      <c r="AU898" s="119">
        <f>IFERROR(AO898*Assumptions!$C$26*Assumptions!$C$27*INDEX(Assumptions!$C$18:$C$21,MATCH(H898,Assumptions!$B$18:$B$21,0)),0)</f>
        <v/>
      </c>
    </row>
    <row r="899">
      <c r="A899" s="114" t="n">
        <v>46251</v>
      </c>
      <c r="B899" s="42" t="inlineStr">
        <is>
          <t>Wk 34</t>
        </is>
      </c>
      <c r="C899" s="42" t="inlineStr">
        <is>
          <t>Mon</t>
        </is>
      </c>
      <c r="D899" s="42" t="inlineStr">
        <is>
          <t>Meta (FB/IG)</t>
        </is>
      </c>
      <c r="E899" s="42" t="inlineStr">
        <is>
          <t>Facebook + Instagram</t>
        </is>
      </c>
      <c r="F899" s="42" t="inlineStr">
        <is>
          <t>LEP_ZA_AUG26_META_RMKT_ALL_CONV</t>
        </is>
      </c>
      <c r="G899" s="42" t="inlineStr">
        <is>
          <t>Leads - Website Conversions</t>
        </is>
      </c>
      <c r="H899" s="42" t="inlineStr">
        <is>
          <t>Range</t>
        </is>
      </c>
      <c r="I899" s="42" t="inlineStr">
        <is>
          <t>Range Offer</t>
        </is>
      </c>
      <c r="J899" s="42" t="inlineStr">
        <is>
          <t>MET_RMKT_VIDVIEW75_ZA</t>
        </is>
      </c>
      <c r="K899" s="42" t="inlineStr">
        <is>
          <t>Retargeting</t>
        </is>
      </c>
      <c r="L899" s="42" t="inlineStr">
        <is>
          <t>RMKT_CAR_3card_Offers_v1</t>
        </is>
      </c>
      <c r="M899" s="42" t="inlineStr">
        <is>
          <t>Carousel</t>
        </is>
      </c>
      <c r="N899" s="42" t="inlineStr">
        <is>
          <t>All three. One test drive slot.</t>
        </is>
      </c>
      <c r="O899" s="42" t="inlineStr">
        <is>
          <t>Auction - Lowest Cost</t>
        </is>
      </c>
      <c r="P899" s="42" t="inlineStr">
        <is>
          <t>Offsite Conversions</t>
        </is>
      </c>
      <c r="Q899" s="42" t="inlineStr">
        <is>
          <t>https://www.lepas-sa.co.za/book-a-test-drive</t>
        </is>
      </c>
      <c r="R899" s="115" t="n">
        <v>85.23999999999999</v>
      </c>
      <c r="S899" s="116" t="n">
        <v>782</v>
      </c>
      <c r="T899" s="116" t="n">
        <v>468</v>
      </c>
      <c r="U899" s="117">
        <f>IFERROR(S899/T899,"")</f>
        <v/>
      </c>
      <c r="V899" s="116" t="n">
        <v>17</v>
      </c>
      <c r="W899" s="116" t="n">
        <v>12</v>
      </c>
      <c r="X899" s="118">
        <f>IFERROR(W899/S899,"")</f>
        <v/>
      </c>
      <c r="Y899" s="115">
        <f>IFERROR(R899/W899,"")</f>
        <v/>
      </c>
      <c r="Z899" s="115">
        <f>IFERROR(R899/S899*1000,"")</f>
        <v/>
      </c>
      <c r="AA899" s="116" t="n">
        <v>10</v>
      </c>
      <c r="AB899" s="47">
        <f>IFERROR(AA899/W899,"")</f>
        <v/>
      </c>
      <c r="AC899" s="116" t="n">
        <v>0</v>
      </c>
      <c r="AD899" s="116" t="n">
        <v>0</v>
      </c>
      <c r="AE899" s="116" t="n">
        <v>0</v>
      </c>
      <c r="AF899" s="116" t="n">
        <v>0</v>
      </c>
      <c r="AG899" s="116" t="n">
        <v>0</v>
      </c>
      <c r="AH899" s="116" t="n">
        <v>0</v>
      </c>
      <c r="AI899" s="47">
        <f>IFERROR(AC899/S899,"")</f>
        <v/>
      </c>
      <c r="AJ899" s="47">
        <f>IFERROR(AH899/S899,"")</f>
        <v/>
      </c>
      <c r="AK899" s="116" t="n">
        <v>9</v>
      </c>
      <c r="AL899" s="116" t="n">
        <v>0</v>
      </c>
      <c r="AM899" s="118">
        <f>IFERROR(AL899/AA899,"")</f>
        <v/>
      </c>
      <c r="AN899" s="119">
        <f>IFERROR(R899/AL899,"")</f>
        <v/>
      </c>
      <c r="AO899" s="116" t="n">
        <v>0</v>
      </c>
      <c r="AP899" s="47">
        <f>IFERROR(AO899/AL899,"")</f>
        <v/>
      </c>
      <c r="AQ899" s="119">
        <f>IFERROR(R899/AO899,"")</f>
        <v/>
      </c>
      <c r="AR899" s="116" t="n">
        <v>0</v>
      </c>
      <c r="AS899" s="116" t="n">
        <v>0</v>
      </c>
      <c r="AT899" s="116">
        <f>AL899+AR899</f>
        <v/>
      </c>
      <c r="AU899" s="119">
        <f>IFERROR(AO899*Assumptions!$C$26*Assumptions!$C$27*INDEX(Assumptions!$C$18:$C$21,MATCH(H899,Assumptions!$B$18:$B$21,0)),0)</f>
        <v/>
      </c>
    </row>
    <row r="900">
      <c r="A900" s="114" t="n">
        <v>46252</v>
      </c>
      <c r="B900" s="42" t="inlineStr">
        <is>
          <t>Wk 34</t>
        </is>
      </c>
      <c r="C900" s="42" t="inlineStr">
        <is>
          <t>Tue</t>
        </is>
      </c>
      <c r="D900" s="42" t="inlineStr">
        <is>
          <t>Meta (FB/IG)</t>
        </is>
      </c>
      <c r="E900" s="42" t="inlineStr">
        <is>
          <t>Facebook + Instagram</t>
        </is>
      </c>
      <c r="F900" s="42" t="inlineStr">
        <is>
          <t>LEP_ZA_AUG26_META_RMKT_ALL_CONV</t>
        </is>
      </c>
      <c r="G900" s="42" t="inlineStr">
        <is>
          <t>Leads - Website Conversions</t>
        </is>
      </c>
      <c r="H900" s="42" t="inlineStr">
        <is>
          <t>Range</t>
        </is>
      </c>
      <c r="I900" s="42" t="inlineStr">
        <is>
          <t>Range Offer</t>
        </is>
      </c>
      <c r="J900" s="42" t="inlineStr">
        <is>
          <t>MET_RMKT_VIDVIEW75_ZA</t>
        </is>
      </c>
      <c r="K900" s="42" t="inlineStr">
        <is>
          <t>Retargeting</t>
        </is>
      </c>
      <c r="L900" s="42" t="inlineStr">
        <is>
          <t>RMKT_CAR_3card_Offers_v1</t>
        </is>
      </c>
      <c r="M900" s="42" t="inlineStr">
        <is>
          <t>Carousel</t>
        </is>
      </c>
      <c r="N900" s="42" t="inlineStr">
        <is>
          <t>All three. One test drive slot.</t>
        </is>
      </c>
      <c r="O900" s="42" t="inlineStr">
        <is>
          <t>Auction - Lowest Cost</t>
        </is>
      </c>
      <c r="P900" s="42" t="inlineStr">
        <is>
          <t>Offsite Conversions</t>
        </is>
      </c>
      <c r="Q900" s="42" t="inlineStr">
        <is>
          <t>https://www.lepas-sa.co.za/book-a-test-drive</t>
        </is>
      </c>
      <c r="R900" s="115" t="n">
        <v>71.97</v>
      </c>
      <c r="S900" s="116" t="n">
        <v>794</v>
      </c>
      <c r="T900" s="116" t="n">
        <v>592</v>
      </c>
      <c r="U900" s="117">
        <f>IFERROR(S900/T900,"")</f>
        <v/>
      </c>
      <c r="V900" s="116" t="n">
        <v>20</v>
      </c>
      <c r="W900" s="116" t="n">
        <v>14</v>
      </c>
      <c r="X900" s="118">
        <f>IFERROR(W900/S900,"")</f>
        <v/>
      </c>
      <c r="Y900" s="115">
        <f>IFERROR(R900/W900,"")</f>
        <v/>
      </c>
      <c r="Z900" s="115">
        <f>IFERROR(R900/S900*1000,"")</f>
        <v/>
      </c>
      <c r="AA900" s="116" t="n">
        <v>12</v>
      </c>
      <c r="AB900" s="47">
        <f>IFERROR(AA900/W900,"")</f>
        <v/>
      </c>
      <c r="AC900" s="116" t="n">
        <v>0</v>
      </c>
      <c r="AD900" s="116" t="n">
        <v>0</v>
      </c>
      <c r="AE900" s="116" t="n">
        <v>0</v>
      </c>
      <c r="AF900" s="116" t="n">
        <v>0</v>
      </c>
      <c r="AG900" s="116" t="n">
        <v>0</v>
      </c>
      <c r="AH900" s="116" t="n">
        <v>0</v>
      </c>
      <c r="AI900" s="47">
        <f>IFERROR(AC900/S900,"")</f>
        <v/>
      </c>
      <c r="AJ900" s="47">
        <f>IFERROR(AH900/S900,"")</f>
        <v/>
      </c>
      <c r="AK900" s="116" t="n">
        <v>23</v>
      </c>
      <c r="AL900" s="116" t="n">
        <v>1</v>
      </c>
      <c r="AM900" s="118">
        <f>IFERROR(AL900/AA900,"")</f>
        <v/>
      </c>
      <c r="AN900" s="119">
        <f>IFERROR(R900/AL900,"")</f>
        <v/>
      </c>
      <c r="AO900" s="116" t="n">
        <v>1</v>
      </c>
      <c r="AP900" s="47">
        <f>IFERROR(AO900/AL900,"")</f>
        <v/>
      </c>
      <c r="AQ900" s="119">
        <f>IFERROR(R900/AO900,"")</f>
        <v/>
      </c>
      <c r="AR900" s="116" t="n">
        <v>0</v>
      </c>
      <c r="AS900" s="116" t="n">
        <v>0</v>
      </c>
      <c r="AT900" s="116">
        <f>AL900+AR900</f>
        <v/>
      </c>
      <c r="AU900" s="119">
        <f>IFERROR(AO900*Assumptions!$C$26*Assumptions!$C$27*INDEX(Assumptions!$C$18:$C$21,MATCH(H900,Assumptions!$B$18:$B$21,0)),0)</f>
        <v/>
      </c>
    </row>
    <row r="901">
      <c r="A901" s="114" t="n">
        <v>46253</v>
      </c>
      <c r="B901" s="42" t="inlineStr">
        <is>
          <t>Wk 34</t>
        </is>
      </c>
      <c r="C901" s="42" t="inlineStr">
        <is>
          <t>Wed</t>
        </is>
      </c>
      <c r="D901" s="42" t="inlineStr">
        <is>
          <t>Meta (FB/IG)</t>
        </is>
      </c>
      <c r="E901" s="42" t="inlineStr">
        <is>
          <t>Facebook + Instagram</t>
        </is>
      </c>
      <c r="F901" s="42" t="inlineStr">
        <is>
          <t>LEP_ZA_AUG26_META_RMKT_ALL_CONV</t>
        </is>
      </c>
      <c r="G901" s="42" t="inlineStr">
        <is>
          <t>Leads - Website Conversions</t>
        </is>
      </c>
      <c r="H901" s="42" t="inlineStr">
        <is>
          <t>Range</t>
        </is>
      </c>
      <c r="I901" s="42" t="inlineStr">
        <is>
          <t>Range Offer</t>
        </is>
      </c>
      <c r="J901" s="42" t="inlineStr">
        <is>
          <t>MET_RMKT_VIDVIEW75_ZA</t>
        </is>
      </c>
      <c r="K901" s="42" t="inlineStr">
        <is>
          <t>Retargeting</t>
        </is>
      </c>
      <c r="L901" s="42" t="inlineStr">
        <is>
          <t>RMKT_CAR_3card_Offers_v1</t>
        </is>
      </c>
      <c r="M901" s="42" t="inlineStr">
        <is>
          <t>Carousel</t>
        </is>
      </c>
      <c r="N901" s="42" t="inlineStr">
        <is>
          <t>All three. One test drive slot.</t>
        </is>
      </c>
      <c r="O901" s="42" t="inlineStr">
        <is>
          <t>Auction - Lowest Cost</t>
        </is>
      </c>
      <c r="P901" s="42" t="inlineStr">
        <is>
          <t>Offsite Conversions</t>
        </is>
      </c>
      <c r="Q901" s="42" t="inlineStr">
        <is>
          <t>https://www.lepas-sa.co.za/book-a-test-drive</t>
        </is>
      </c>
      <c r="R901" s="115" t="n">
        <v>86.87</v>
      </c>
      <c r="S901" s="116" t="n">
        <v>1270</v>
      </c>
      <c r="T901" s="116" t="n">
        <v>934</v>
      </c>
      <c r="U901" s="117">
        <f>IFERROR(S901/T901,"")</f>
        <v/>
      </c>
      <c r="V901" s="116" t="n">
        <v>45</v>
      </c>
      <c r="W901" s="116" t="n">
        <v>37</v>
      </c>
      <c r="X901" s="118">
        <f>IFERROR(W901/S901,"")</f>
        <v/>
      </c>
      <c r="Y901" s="115">
        <f>IFERROR(R901/W901,"")</f>
        <v/>
      </c>
      <c r="Z901" s="115">
        <f>IFERROR(R901/S901*1000,"")</f>
        <v/>
      </c>
      <c r="AA901" s="116" t="n">
        <v>31</v>
      </c>
      <c r="AB901" s="47">
        <f>IFERROR(AA901/W901,"")</f>
        <v/>
      </c>
      <c r="AC901" s="116" t="n">
        <v>0</v>
      </c>
      <c r="AD901" s="116" t="n">
        <v>0</v>
      </c>
      <c r="AE901" s="116" t="n">
        <v>0</v>
      </c>
      <c r="AF901" s="116" t="n">
        <v>0</v>
      </c>
      <c r="AG901" s="116" t="n">
        <v>0</v>
      </c>
      <c r="AH901" s="116" t="n">
        <v>0</v>
      </c>
      <c r="AI901" s="47">
        <f>IFERROR(AC901/S901,"")</f>
        <v/>
      </c>
      <c r="AJ901" s="47">
        <f>IFERROR(AH901/S901,"")</f>
        <v/>
      </c>
      <c r="AK901" s="116" t="n">
        <v>34</v>
      </c>
      <c r="AL901" s="116" t="n">
        <v>1</v>
      </c>
      <c r="AM901" s="118">
        <f>IFERROR(AL901/AA901,"")</f>
        <v/>
      </c>
      <c r="AN901" s="119">
        <f>IFERROR(R901/AL901,"")</f>
        <v/>
      </c>
      <c r="AO901" s="116" t="n">
        <v>1</v>
      </c>
      <c r="AP901" s="47">
        <f>IFERROR(AO901/AL901,"")</f>
        <v/>
      </c>
      <c r="AQ901" s="119">
        <f>IFERROR(R901/AO901,"")</f>
        <v/>
      </c>
      <c r="AR901" s="116" t="n">
        <v>0</v>
      </c>
      <c r="AS901" s="116" t="n">
        <v>0</v>
      </c>
      <c r="AT901" s="116">
        <f>AL901+AR901</f>
        <v/>
      </c>
      <c r="AU901" s="119">
        <f>IFERROR(AO901*Assumptions!$C$26*Assumptions!$C$27*INDEX(Assumptions!$C$18:$C$21,MATCH(H901,Assumptions!$B$18:$B$21,0)),0)</f>
        <v/>
      </c>
    </row>
    <row r="902">
      <c r="A902" s="114" t="n">
        <v>46254</v>
      </c>
      <c r="B902" s="42" t="inlineStr">
        <is>
          <t>Wk 34</t>
        </is>
      </c>
      <c r="C902" s="42" t="inlineStr">
        <is>
          <t>Thu</t>
        </is>
      </c>
      <c r="D902" s="42" t="inlineStr">
        <is>
          <t>Meta (FB/IG)</t>
        </is>
      </c>
      <c r="E902" s="42" t="inlineStr">
        <is>
          <t>Facebook + Instagram</t>
        </is>
      </c>
      <c r="F902" s="42" t="inlineStr">
        <is>
          <t>LEP_ZA_AUG26_META_RMKT_ALL_CONV</t>
        </is>
      </c>
      <c r="G902" s="42" t="inlineStr">
        <is>
          <t>Leads - Website Conversions</t>
        </is>
      </c>
      <c r="H902" s="42" t="inlineStr">
        <is>
          <t>Range</t>
        </is>
      </c>
      <c r="I902" s="42" t="inlineStr">
        <is>
          <t>Range Offer</t>
        </is>
      </c>
      <c r="J902" s="42" t="inlineStr">
        <is>
          <t>MET_RMKT_VIDVIEW75_ZA</t>
        </is>
      </c>
      <c r="K902" s="42" t="inlineStr">
        <is>
          <t>Retargeting</t>
        </is>
      </c>
      <c r="L902" s="42" t="inlineStr">
        <is>
          <t>RMKT_CAR_3card_Offers_v1</t>
        </is>
      </c>
      <c r="M902" s="42" t="inlineStr">
        <is>
          <t>Carousel</t>
        </is>
      </c>
      <c r="N902" s="42" t="inlineStr">
        <is>
          <t>All three. One test drive slot.</t>
        </is>
      </c>
      <c r="O902" s="42" t="inlineStr">
        <is>
          <t>Auction - Lowest Cost</t>
        </is>
      </c>
      <c r="P902" s="42" t="inlineStr">
        <is>
          <t>Offsite Conversions</t>
        </is>
      </c>
      <c r="Q902" s="42" t="inlineStr">
        <is>
          <t>https://www.lepas-sa.co.za/book-a-test-drive</t>
        </is>
      </c>
      <c r="R902" s="115" t="n">
        <v>84.97</v>
      </c>
      <c r="S902" s="116" t="n">
        <v>817</v>
      </c>
      <c r="T902" s="116" t="n">
        <v>476</v>
      </c>
      <c r="U902" s="117">
        <f>IFERROR(S902/T902,"")</f>
        <v/>
      </c>
      <c r="V902" s="116" t="n">
        <v>27</v>
      </c>
      <c r="W902" s="116" t="n">
        <v>23</v>
      </c>
      <c r="X902" s="118">
        <f>IFERROR(W902/S902,"")</f>
        <v/>
      </c>
      <c r="Y902" s="115">
        <f>IFERROR(R902/W902,"")</f>
        <v/>
      </c>
      <c r="Z902" s="115">
        <f>IFERROR(R902/S902*1000,"")</f>
        <v/>
      </c>
      <c r="AA902" s="116" t="n">
        <v>20</v>
      </c>
      <c r="AB902" s="47">
        <f>IFERROR(AA902/W902,"")</f>
        <v/>
      </c>
      <c r="AC902" s="116" t="n">
        <v>0</v>
      </c>
      <c r="AD902" s="116" t="n">
        <v>0</v>
      </c>
      <c r="AE902" s="116" t="n">
        <v>0</v>
      </c>
      <c r="AF902" s="116" t="n">
        <v>0</v>
      </c>
      <c r="AG902" s="116" t="n">
        <v>0</v>
      </c>
      <c r="AH902" s="116" t="n">
        <v>0</v>
      </c>
      <c r="AI902" s="47">
        <f>IFERROR(AC902/S902,"")</f>
        <v/>
      </c>
      <c r="AJ902" s="47">
        <f>IFERROR(AH902/S902,"")</f>
        <v/>
      </c>
      <c r="AK902" s="116" t="n">
        <v>21</v>
      </c>
      <c r="AL902" s="116" t="n">
        <v>1</v>
      </c>
      <c r="AM902" s="118">
        <f>IFERROR(AL902/AA902,"")</f>
        <v/>
      </c>
      <c r="AN902" s="119">
        <f>IFERROR(R902/AL902,"")</f>
        <v/>
      </c>
      <c r="AO902" s="116" t="n">
        <v>0</v>
      </c>
      <c r="AP902" s="47">
        <f>IFERROR(AO902/AL902,"")</f>
        <v/>
      </c>
      <c r="AQ902" s="119">
        <f>IFERROR(R902/AO902,"")</f>
        <v/>
      </c>
      <c r="AR902" s="116" t="n">
        <v>0</v>
      </c>
      <c r="AS902" s="116" t="n">
        <v>0</v>
      </c>
      <c r="AT902" s="116">
        <f>AL902+AR902</f>
        <v/>
      </c>
      <c r="AU902" s="119">
        <f>IFERROR(AO902*Assumptions!$C$26*Assumptions!$C$27*INDEX(Assumptions!$C$18:$C$21,MATCH(H902,Assumptions!$B$18:$B$21,0)),0)</f>
        <v/>
      </c>
    </row>
    <row r="903">
      <c r="A903" s="114" t="n">
        <v>46255</v>
      </c>
      <c r="B903" s="42" t="inlineStr">
        <is>
          <t>Wk 34</t>
        </is>
      </c>
      <c r="C903" s="42" t="inlineStr">
        <is>
          <t>Fri</t>
        </is>
      </c>
      <c r="D903" s="42" t="inlineStr">
        <is>
          <t>Meta (FB/IG)</t>
        </is>
      </c>
      <c r="E903" s="42" t="inlineStr">
        <is>
          <t>Facebook + Instagram</t>
        </is>
      </c>
      <c r="F903" s="42" t="inlineStr">
        <is>
          <t>LEP_ZA_AUG26_META_RMKT_ALL_CONV</t>
        </is>
      </c>
      <c r="G903" s="42" t="inlineStr">
        <is>
          <t>Leads - Website Conversions</t>
        </is>
      </c>
      <c r="H903" s="42" t="inlineStr">
        <is>
          <t>Range</t>
        </is>
      </c>
      <c r="I903" s="42" t="inlineStr">
        <is>
          <t>Range Offer</t>
        </is>
      </c>
      <c r="J903" s="42" t="inlineStr">
        <is>
          <t>MET_RMKT_VIDVIEW75_ZA</t>
        </is>
      </c>
      <c r="K903" s="42" t="inlineStr">
        <is>
          <t>Retargeting</t>
        </is>
      </c>
      <c r="L903" s="42" t="inlineStr">
        <is>
          <t>RMKT_CAR_3card_Offers_v1</t>
        </is>
      </c>
      <c r="M903" s="42" t="inlineStr">
        <is>
          <t>Carousel</t>
        </is>
      </c>
      <c r="N903" s="42" t="inlineStr">
        <is>
          <t>All three. One test drive slot.</t>
        </is>
      </c>
      <c r="O903" s="42" t="inlineStr">
        <is>
          <t>Auction - Lowest Cost</t>
        </is>
      </c>
      <c r="P903" s="42" t="inlineStr">
        <is>
          <t>Offsite Conversions</t>
        </is>
      </c>
      <c r="Q903" s="42" t="inlineStr">
        <is>
          <t>https://www.lepas-sa.co.za/book-a-test-drive</t>
        </is>
      </c>
      <c r="R903" s="115" t="n">
        <v>84.84999999999999</v>
      </c>
      <c r="S903" s="116" t="n">
        <v>1228</v>
      </c>
      <c r="T903" s="116" t="n">
        <v>629</v>
      </c>
      <c r="U903" s="117">
        <f>IFERROR(S903/T903,"")</f>
        <v/>
      </c>
      <c r="V903" s="116" t="n">
        <v>19</v>
      </c>
      <c r="W903" s="116" t="n">
        <v>16</v>
      </c>
      <c r="X903" s="118">
        <f>IFERROR(W903/S903,"")</f>
        <v/>
      </c>
      <c r="Y903" s="115">
        <f>IFERROR(R903/W903,"")</f>
        <v/>
      </c>
      <c r="Z903" s="115">
        <f>IFERROR(R903/S903*1000,"")</f>
        <v/>
      </c>
      <c r="AA903" s="116" t="n">
        <v>13</v>
      </c>
      <c r="AB903" s="47">
        <f>IFERROR(AA903/W903,"")</f>
        <v/>
      </c>
      <c r="AC903" s="116" t="n">
        <v>0</v>
      </c>
      <c r="AD903" s="116" t="n">
        <v>0</v>
      </c>
      <c r="AE903" s="116" t="n">
        <v>0</v>
      </c>
      <c r="AF903" s="116" t="n">
        <v>0</v>
      </c>
      <c r="AG903" s="116" t="n">
        <v>0</v>
      </c>
      <c r="AH903" s="116" t="n">
        <v>0</v>
      </c>
      <c r="AI903" s="47">
        <f>IFERROR(AC903/S903,"")</f>
        <v/>
      </c>
      <c r="AJ903" s="47">
        <f>IFERROR(AH903/S903,"")</f>
        <v/>
      </c>
      <c r="AK903" s="116" t="n">
        <v>43</v>
      </c>
      <c r="AL903" s="116" t="n">
        <v>0</v>
      </c>
      <c r="AM903" s="118">
        <f>IFERROR(AL903/AA903,"")</f>
        <v/>
      </c>
      <c r="AN903" s="119">
        <f>IFERROR(R903/AL903,"")</f>
        <v/>
      </c>
      <c r="AO903" s="116" t="n">
        <v>0</v>
      </c>
      <c r="AP903" s="47">
        <f>IFERROR(AO903/AL903,"")</f>
        <v/>
      </c>
      <c r="AQ903" s="119">
        <f>IFERROR(R903/AO903,"")</f>
        <v/>
      </c>
      <c r="AR903" s="116" t="n">
        <v>0</v>
      </c>
      <c r="AS903" s="116" t="n">
        <v>0</v>
      </c>
      <c r="AT903" s="116">
        <f>AL903+AR903</f>
        <v/>
      </c>
      <c r="AU903" s="119">
        <f>IFERROR(AO903*Assumptions!$C$26*Assumptions!$C$27*INDEX(Assumptions!$C$18:$C$21,MATCH(H903,Assumptions!$B$18:$B$21,0)),0)</f>
        <v/>
      </c>
    </row>
    <row r="904">
      <c r="A904" s="114" t="n">
        <v>46256</v>
      </c>
      <c r="B904" s="42" t="inlineStr">
        <is>
          <t>Wk 34</t>
        </is>
      </c>
      <c r="C904" s="42" t="inlineStr">
        <is>
          <t>Sat</t>
        </is>
      </c>
      <c r="D904" s="42" t="inlineStr">
        <is>
          <t>Meta (FB/IG)</t>
        </is>
      </c>
      <c r="E904" s="42" t="inlineStr">
        <is>
          <t>Facebook + Instagram</t>
        </is>
      </c>
      <c r="F904" s="42" t="inlineStr">
        <is>
          <t>LEP_ZA_AUG26_META_RMKT_ALL_CONV</t>
        </is>
      </c>
      <c r="G904" s="42" t="inlineStr">
        <is>
          <t>Leads - Website Conversions</t>
        </is>
      </c>
      <c r="H904" s="42" t="inlineStr">
        <is>
          <t>Range</t>
        </is>
      </c>
      <c r="I904" s="42" t="inlineStr">
        <is>
          <t>Range Offer</t>
        </is>
      </c>
      <c r="J904" s="42" t="inlineStr">
        <is>
          <t>MET_RMKT_VIDVIEW75_ZA</t>
        </is>
      </c>
      <c r="K904" s="42" t="inlineStr">
        <is>
          <t>Retargeting</t>
        </is>
      </c>
      <c r="L904" s="42" t="inlineStr">
        <is>
          <t>RMKT_CAR_3card_Offers_v1</t>
        </is>
      </c>
      <c r="M904" s="42" t="inlineStr">
        <is>
          <t>Carousel</t>
        </is>
      </c>
      <c r="N904" s="42" t="inlineStr">
        <is>
          <t>All three. One test drive slot.</t>
        </is>
      </c>
      <c r="O904" s="42" t="inlineStr">
        <is>
          <t>Auction - Lowest Cost</t>
        </is>
      </c>
      <c r="P904" s="42" t="inlineStr">
        <is>
          <t>Offsite Conversions</t>
        </is>
      </c>
      <c r="Q904" s="42" t="inlineStr">
        <is>
          <t>https://www.lepas-sa.co.za/book-a-test-drive</t>
        </is>
      </c>
      <c r="R904" s="115" t="n">
        <v>102.73</v>
      </c>
      <c r="S904" s="116" t="n">
        <v>868</v>
      </c>
      <c r="T904" s="116" t="n">
        <v>573</v>
      </c>
      <c r="U904" s="117">
        <f>IFERROR(S904/T904,"")</f>
        <v/>
      </c>
      <c r="V904" s="116" t="n">
        <v>22</v>
      </c>
      <c r="W904" s="116" t="n">
        <v>17</v>
      </c>
      <c r="X904" s="118">
        <f>IFERROR(W904/S904,"")</f>
        <v/>
      </c>
      <c r="Y904" s="115">
        <f>IFERROR(R904/W904,"")</f>
        <v/>
      </c>
      <c r="Z904" s="115">
        <f>IFERROR(R904/S904*1000,"")</f>
        <v/>
      </c>
      <c r="AA904" s="116" t="n">
        <v>15</v>
      </c>
      <c r="AB904" s="47">
        <f>IFERROR(AA904/W904,"")</f>
        <v/>
      </c>
      <c r="AC904" s="116" t="n">
        <v>0</v>
      </c>
      <c r="AD904" s="116" t="n">
        <v>0</v>
      </c>
      <c r="AE904" s="116" t="n">
        <v>0</v>
      </c>
      <c r="AF904" s="116" t="n">
        <v>0</v>
      </c>
      <c r="AG904" s="116" t="n">
        <v>0</v>
      </c>
      <c r="AH904" s="116" t="n">
        <v>0</v>
      </c>
      <c r="AI904" s="47">
        <f>IFERROR(AC904/S904,"")</f>
        <v/>
      </c>
      <c r="AJ904" s="47">
        <f>IFERROR(AH904/S904,"")</f>
        <v/>
      </c>
      <c r="AK904" s="116" t="n">
        <v>9</v>
      </c>
      <c r="AL904" s="116" t="n">
        <v>1</v>
      </c>
      <c r="AM904" s="118">
        <f>IFERROR(AL904/AA904,"")</f>
        <v/>
      </c>
      <c r="AN904" s="119">
        <f>IFERROR(R904/AL904,"")</f>
        <v/>
      </c>
      <c r="AO904" s="116" t="n">
        <v>1</v>
      </c>
      <c r="AP904" s="47">
        <f>IFERROR(AO904/AL904,"")</f>
        <v/>
      </c>
      <c r="AQ904" s="119">
        <f>IFERROR(R904/AO904,"")</f>
        <v/>
      </c>
      <c r="AR904" s="116" t="n">
        <v>0</v>
      </c>
      <c r="AS904" s="116" t="n">
        <v>1</v>
      </c>
      <c r="AT904" s="116">
        <f>AL904+AR904</f>
        <v/>
      </c>
      <c r="AU904" s="119">
        <f>IFERROR(AO904*Assumptions!$C$26*Assumptions!$C$27*INDEX(Assumptions!$C$18:$C$21,MATCH(H904,Assumptions!$B$18:$B$21,0)),0)</f>
        <v/>
      </c>
    </row>
    <row r="905">
      <c r="A905" s="114" t="n">
        <v>46257</v>
      </c>
      <c r="B905" s="42" t="inlineStr">
        <is>
          <t>Wk 34</t>
        </is>
      </c>
      <c r="C905" s="42" t="inlineStr">
        <is>
          <t>Sun</t>
        </is>
      </c>
      <c r="D905" s="42" t="inlineStr">
        <is>
          <t>Meta (FB/IG)</t>
        </is>
      </c>
      <c r="E905" s="42" t="inlineStr">
        <is>
          <t>Facebook + Instagram</t>
        </is>
      </c>
      <c r="F905" s="42" t="inlineStr">
        <is>
          <t>LEP_ZA_AUG26_META_RMKT_ALL_CONV</t>
        </is>
      </c>
      <c r="G905" s="42" t="inlineStr">
        <is>
          <t>Leads - Website Conversions</t>
        </is>
      </c>
      <c r="H905" s="42" t="inlineStr">
        <is>
          <t>Range</t>
        </is>
      </c>
      <c r="I905" s="42" t="inlineStr">
        <is>
          <t>Range Offer</t>
        </is>
      </c>
      <c r="J905" s="42" t="inlineStr">
        <is>
          <t>MET_RMKT_VIDVIEW75_ZA</t>
        </is>
      </c>
      <c r="K905" s="42" t="inlineStr">
        <is>
          <t>Retargeting</t>
        </is>
      </c>
      <c r="L905" s="42" t="inlineStr">
        <is>
          <t>RMKT_CAR_3card_Offers_v1</t>
        </is>
      </c>
      <c r="M905" s="42" t="inlineStr">
        <is>
          <t>Carousel</t>
        </is>
      </c>
      <c r="N905" s="42" t="inlineStr">
        <is>
          <t>All three. One test drive slot.</t>
        </is>
      </c>
      <c r="O905" s="42" t="inlineStr">
        <is>
          <t>Auction - Lowest Cost</t>
        </is>
      </c>
      <c r="P905" s="42" t="inlineStr">
        <is>
          <t>Offsite Conversions</t>
        </is>
      </c>
      <c r="Q905" s="42" t="inlineStr">
        <is>
          <t>https://www.lepas-sa.co.za/book-a-test-drive</t>
        </is>
      </c>
      <c r="R905" s="115" t="n">
        <v>69.34</v>
      </c>
      <c r="S905" s="116" t="n">
        <v>742</v>
      </c>
      <c r="T905" s="116" t="n">
        <v>387</v>
      </c>
      <c r="U905" s="117">
        <f>IFERROR(S905/T905,"")</f>
        <v/>
      </c>
      <c r="V905" s="116" t="n">
        <v>27</v>
      </c>
      <c r="W905" s="116" t="n">
        <v>20</v>
      </c>
      <c r="X905" s="118">
        <f>IFERROR(W905/S905,"")</f>
        <v/>
      </c>
      <c r="Y905" s="115">
        <f>IFERROR(R905/W905,"")</f>
        <v/>
      </c>
      <c r="Z905" s="115">
        <f>IFERROR(R905/S905*1000,"")</f>
        <v/>
      </c>
      <c r="AA905" s="116" t="n">
        <v>18</v>
      </c>
      <c r="AB905" s="47">
        <f>IFERROR(AA905/W905,"")</f>
        <v/>
      </c>
      <c r="AC905" s="116" t="n">
        <v>0</v>
      </c>
      <c r="AD905" s="116" t="n">
        <v>0</v>
      </c>
      <c r="AE905" s="116" t="n">
        <v>0</v>
      </c>
      <c r="AF905" s="116" t="n">
        <v>0</v>
      </c>
      <c r="AG905" s="116" t="n">
        <v>0</v>
      </c>
      <c r="AH905" s="116" t="n">
        <v>0</v>
      </c>
      <c r="AI905" s="47">
        <f>IFERROR(AC905/S905,"")</f>
        <v/>
      </c>
      <c r="AJ905" s="47">
        <f>IFERROR(AH905/S905,"")</f>
        <v/>
      </c>
      <c r="AK905" s="116" t="n">
        <v>16</v>
      </c>
      <c r="AL905" s="116" t="n">
        <v>0</v>
      </c>
      <c r="AM905" s="118">
        <f>IFERROR(AL905/AA905,"")</f>
        <v/>
      </c>
      <c r="AN905" s="119">
        <f>IFERROR(R905/AL905,"")</f>
        <v/>
      </c>
      <c r="AO905" s="116" t="n">
        <v>0</v>
      </c>
      <c r="AP905" s="47">
        <f>IFERROR(AO905/AL905,"")</f>
        <v/>
      </c>
      <c r="AQ905" s="119">
        <f>IFERROR(R905/AO905,"")</f>
        <v/>
      </c>
      <c r="AR905" s="116" t="n">
        <v>0</v>
      </c>
      <c r="AS905" s="116" t="n">
        <v>0</v>
      </c>
      <c r="AT905" s="116">
        <f>AL905+AR905</f>
        <v/>
      </c>
      <c r="AU905" s="119">
        <f>IFERROR(AO905*Assumptions!$C$26*Assumptions!$C$27*INDEX(Assumptions!$C$18:$C$21,MATCH(H905,Assumptions!$B$18:$B$21,0)),0)</f>
        <v/>
      </c>
    </row>
    <row r="906">
      <c r="A906" s="114" t="n">
        <v>46258</v>
      </c>
      <c r="B906" s="42" t="inlineStr">
        <is>
          <t>Wk 35</t>
        </is>
      </c>
      <c r="C906" s="42" t="inlineStr">
        <is>
          <t>Mon</t>
        </is>
      </c>
      <c r="D906" s="42" t="inlineStr">
        <is>
          <t>Meta (FB/IG)</t>
        </is>
      </c>
      <c r="E906" s="42" t="inlineStr">
        <is>
          <t>Facebook + Instagram</t>
        </is>
      </c>
      <c r="F906" s="42" t="inlineStr">
        <is>
          <t>LEP_ZA_AUG26_META_RMKT_ALL_CONV</t>
        </is>
      </c>
      <c r="G906" s="42" t="inlineStr">
        <is>
          <t>Leads - Website Conversions</t>
        </is>
      </c>
      <c r="H906" s="42" t="inlineStr">
        <is>
          <t>Range</t>
        </is>
      </c>
      <c r="I906" s="42" t="inlineStr">
        <is>
          <t>Range Offer</t>
        </is>
      </c>
      <c r="J906" s="42" t="inlineStr">
        <is>
          <t>MET_RMKT_VIDVIEW75_ZA</t>
        </is>
      </c>
      <c r="K906" s="42" t="inlineStr">
        <is>
          <t>Retargeting</t>
        </is>
      </c>
      <c r="L906" s="42" t="inlineStr">
        <is>
          <t>RMKT_CAR_3card_Offers_v1</t>
        </is>
      </c>
      <c r="M906" s="42" t="inlineStr">
        <is>
          <t>Carousel</t>
        </is>
      </c>
      <c r="N906" s="42" t="inlineStr">
        <is>
          <t>All three. One test drive slot.</t>
        </is>
      </c>
      <c r="O906" s="42" t="inlineStr">
        <is>
          <t>Auction - Lowest Cost</t>
        </is>
      </c>
      <c r="P906" s="42" t="inlineStr">
        <is>
          <t>Offsite Conversions</t>
        </is>
      </c>
      <c r="Q906" s="42" t="inlineStr">
        <is>
          <t>https://www.lepas-sa.co.za/book-a-test-drive</t>
        </is>
      </c>
      <c r="R906" s="115" t="n">
        <v>75.90000000000001</v>
      </c>
      <c r="S906" s="116" t="n">
        <v>820</v>
      </c>
      <c r="T906" s="116" t="n">
        <v>413</v>
      </c>
      <c r="U906" s="117">
        <f>IFERROR(S906/T906,"")</f>
        <v/>
      </c>
      <c r="V906" s="116" t="n">
        <v>20</v>
      </c>
      <c r="W906" s="116" t="n">
        <v>17</v>
      </c>
      <c r="X906" s="118">
        <f>IFERROR(W906/S906,"")</f>
        <v/>
      </c>
      <c r="Y906" s="115">
        <f>IFERROR(R906/W906,"")</f>
        <v/>
      </c>
      <c r="Z906" s="115">
        <f>IFERROR(R906/S906*1000,"")</f>
        <v/>
      </c>
      <c r="AA906" s="116" t="n">
        <v>15</v>
      </c>
      <c r="AB906" s="47">
        <f>IFERROR(AA906/W906,"")</f>
        <v/>
      </c>
      <c r="AC906" s="116" t="n">
        <v>0</v>
      </c>
      <c r="AD906" s="116" t="n">
        <v>0</v>
      </c>
      <c r="AE906" s="116" t="n">
        <v>0</v>
      </c>
      <c r="AF906" s="116" t="n">
        <v>0</v>
      </c>
      <c r="AG906" s="116" t="n">
        <v>0</v>
      </c>
      <c r="AH906" s="116" t="n">
        <v>0</v>
      </c>
      <c r="AI906" s="47">
        <f>IFERROR(AC906/S906,"")</f>
        <v/>
      </c>
      <c r="AJ906" s="47">
        <f>IFERROR(AH906/S906,"")</f>
        <v/>
      </c>
      <c r="AK906" s="116" t="n">
        <v>23</v>
      </c>
      <c r="AL906" s="116" t="n">
        <v>1</v>
      </c>
      <c r="AM906" s="118">
        <f>IFERROR(AL906/AA906,"")</f>
        <v/>
      </c>
      <c r="AN906" s="119">
        <f>IFERROR(R906/AL906,"")</f>
        <v/>
      </c>
      <c r="AO906" s="116" t="n">
        <v>0</v>
      </c>
      <c r="AP906" s="47">
        <f>IFERROR(AO906/AL906,"")</f>
        <v/>
      </c>
      <c r="AQ906" s="119">
        <f>IFERROR(R906/AO906,"")</f>
        <v/>
      </c>
      <c r="AR906" s="116" t="n">
        <v>0</v>
      </c>
      <c r="AS906" s="116" t="n">
        <v>0</v>
      </c>
      <c r="AT906" s="116">
        <f>AL906+AR906</f>
        <v/>
      </c>
      <c r="AU906" s="119">
        <f>IFERROR(AO906*Assumptions!$C$26*Assumptions!$C$27*INDEX(Assumptions!$C$18:$C$21,MATCH(H906,Assumptions!$B$18:$B$21,0)),0)</f>
        <v/>
      </c>
    </row>
    <row r="907">
      <c r="A907" s="114" t="n">
        <v>46259</v>
      </c>
      <c r="B907" s="42" t="inlineStr">
        <is>
          <t>Wk 35</t>
        </is>
      </c>
      <c r="C907" s="42" t="inlineStr">
        <is>
          <t>Tue</t>
        </is>
      </c>
      <c r="D907" s="42" t="inlineStr">
        <is>
          <t>Meta (FB/IG)</t>
        </is>
      </c>
      <c r="E907" s="42" t="inlineStr">
        <is>
          <t>Facebook + Instagram</t>
        </is>
      </c>
      <c r="F907" s="42" t="inlineStr">
        <is>
          <t>LEP_ZA_AUG26_META_RMKT_ALL_CONV</t>
        </is>
      </c>
      <c r="G907" s="42" t="inlineStr">
        <is>
          <t>Leads - Website Conversions</t>
        </is>
      </c>
      <c r="H907" s="42" t="inlineStr">
        <is>
          <t>Range</t>
        </is>
      </c>
      <c r="I907" s="42" t="inlineStr">
        <is>
          <t>Range Offer</t>
        </is>
      </c>
      <c r="J907" s="42" t="inlineStr">
        <is>
          <t>MET_RMKT_VIDVIEW75_ZA</t>
        </is>
      </c>
      <c r="K907" s="42" t="inlineStr">
        <is>
          <t>Retargeting</t>
        </is>
      </c>
      <c r="L907" s="42" t="inlineStr">
        <is>
          <t>RMKT_CAR_3card_Offers_v1</t>
        </is>
      </c>
      <c r="M907" s="42" t="inlineStr">
        <is>
          <t>Carousel</t>
        </is>
      </c>
      <c r="N907" s="42" t="inlineStr">
        <is>
          <t>All three. One test drive slot.</t>
        </is>
      </c>
      <c r="O907" s="42" t="inlineStr">
        <is>
          <t>Auction - Lowest Cost</t>
        </is>
      </c>
      <c r="P907" s="42" t="inlineStr">
        <is>
          <t>Offsite Conversions</t>
        </is>
      </c>
      <c r="Q907" s="42" t="inlineStr">
        <is>
          <t>https://www.lepas-sa.co.za/book-a-test-drive</t>
        </is>
      </c>
      <c r="R907" s="115" t="n">
        <v>70.7</v>
      </c>
      <c r="S907" s="116" t="n">
        <v>967</v>
      </c>
      <c r="T907" s="116" t="n">
        <v>587</v>
      </c>
      <c r="U907" s="117">
        <f>IFERROR(S907/T907,"")</f>
        <v/>
      </c>
      <c r="V907" s="116" t="n">
        <v>28</v>
      </c>
      <c r="W907" s="116" t="n">
        <v>22</v>
      </c>
      <c r="X907" s="118">
        <f>IFERROR(W907/S907,"")</f>
        <v/>
      </c>
      <c r="Y907" s="115">
        <f>IFERROR(R907/W907,"")</f>
        <v/>
      </c>
      <c r="Z907" s="115">
        <f>IFERROR(R907/S907*1000,"")</f>
        <v/>
      </c>
      <c r="AA907" s="116" t="n">
        <v>20</v>
      </c>
      <c r="AB907" s="47">
        <f>IFERROR(AA907/W907,"")</f>
        <v/>
      </c>
      <c r="AC907" s="116" t="n">
        <v>0</v>
      </c>
      <c r="AD907" s="116" t="n">
        <v>0</v>
      </c>
      <c r="AE907" s="116" t="n">
        <v>0</v>
      </c>
      <c r="AF907" s="116" t="n">
        <v>0</v>
      </c>
      <c r="AG907" s="116" t="n">
        <v>0</v>
      </c>
      <c r="AH907" s="116" t="n">
        <v>0</v>
      </c>
      <c r="AI907" s="47">
        <f>IFERROR(AC907/S907,"")</f>
        <v/>
      </c>
      <c r="AJ907" s="47">
        <f>IFERROR(AH907/S907,"")</f>
        <v/>
      </c>
      <c r="AK907" s="116" t="n">
        <v>33</v>
      </c>
      <c r="AL907" s="116" t="n">
        <v>0</v>
      </c>
      <c r="AM907" s="118">
        <f>IFERROR(AL907/AA907,"")</f>
        <v/>
      </c>
      <c r="AN907" s="119">
        <f>IFERROR(R907/AL907,"")</f>
        <v/>
      </c>
      <c r="AO907" s="116" t="n">
        <v>0</v>
      </c>
      <c r="AP907" s="47">
        <f>IFERROR(AO907/AL907,"")</f>
        <v/>
      </c>
      <c r="AQ907" s="119">
        <f>IFERROR(R907/AO907,"")</f>
        <v/>
      </c>
      <c r="AR907" s="116" t="n">
        <v>0</v>
      </c>
      <c r="AS907" s="116" t="n">
        <v>0</v>
      </c>
      <c r="AT907" s="116">
        <f>AL907+AR907</f>
        <v/>
      </c>
      <c r="AU907" s="119">
        <f>IFERROR(AO907*Assumptions!$C$26*Assumptions!$C$27*INDEX(Assumptions!$C$18:$C$21,MATCH(H907,Assumptions!$B$18:$B$21,0)),0)</f>
        <v/>
      </c>
    </row>
    <row r="908">
      <c r="A908" s="114" t="n">
        <v>46260</v>
      </c>
      <c r="B908" s="42" t="inlineStr">
        <is>
          <t>Wk 35</t>
        </is>
      </c>
      <c r="C908" s="42" t="inlineStr">
        <is>
          <t>Wed</t>
        </is>
      </c>
      <c r="D908" s="42" t="inlineStr">
        <is>
          <t>Meta (FB/IG)</t>
        </is>
      </c>
      <c r="E908" s="42" t="inlineStr">
        <is>
          <t>Facebook + Instagram</t>
        </is>
      </c>
      <c r="F908" s="42" t="inlineStr">
        <is>
          <t>LEP_ZA_AUG26_META_RMKT_ALL_CONV</t>
        </is>
      </c>
      <c r="G908" s="42" t="inlineStr">
        <is>
          <t>Leads - Website Conversions</t>
        </is>
      </c>
      <c r="H908" s="42" t="inlineStr">
        <is>
          <t>Range</t>
        </is>
      </c>
      <c r="I908" s="42" t="inlineStr">
        <is>
          <t>Range Offer</t>
        </is>
      </c>
      <c r="J908" s="42" t="inlineStr">
        <is>
          <t>MET_RMKT_VIDVIEW75_ZA</t>
        </is>
      </c>
      <c r="K908" s="42" t="inlineStr">
        <is>
          <t>Retargeting</t>
        </is>
      </c>
      <c r="L908" s="42" t="inlineStr">
        <is>
          <t>RMKT_CAR_3card_Offers_v1</t>
        </is>
      </c>
      <c r="M908" s="42" t="inlineStr">
        <is>
          <t>Carousel</t>
        </is>
      </c>
      <c r="N908" s="42" t="inlineStr">
        <is>
          <t>All three. One test drive slot.</t>
        </is>
      </c>
      <c r="O908" s="42" t="inlineStr">
        <is>
          <t>Auction - Lowest Cost</t>
        </is>
      </c>
      <c r="P908" s="42" t="inlineStr">
        <is>
          <t>Offsite Conversions</t>
        </is>
      </c>
      <c r="Q908" s="42" t="inlineStr">
        <is>
          <t>https://www.lepas-sa.co.za/book-a-test-drive</t>
        </is>
      </c>
      <c r="R908" s="115" t="n">
        <v>75.39</v>
      </c>
      <c r="S908" s="116" t="n">
        <v>708</v>
      </c>
      <c r="T908" s="116" t="n">
        <v>369</v>
      </c>
      <c r="U908" s="117">
        <f>IFERROR(S908/T908,"")</f>
        <v/>
      </c>
      <c r="V908" s="116" t="n">
        <v>20</v>
      </c>
      <c r="W908" s="116" t="n">
        <v>14</v>
      </c>
      <c r="X908" s="118">
        <f>IFERROR(W908/S908,"")</f>
        <v/>
      </c>
      <c r="Y908" s="115">
        <f>IFERROR(R908/W908,"")</f>
        <v/>
      </c>
      <c r="Z908" s="115">
        <f>IFERROR(R908/S908*1000,"")</f>
        <v/>
      </c>
      <c r="AA908" s="116" t="n">
        <v>13</v>
      </c>
      <c r="AB908" s="47">
        <f>IFERROR(AA908/W908,"")</f>
        <v/>
      </c>
      <c r="AC908" s="116" t="n">
        <v>0</v>
      </c>
      <c r="AD908" s="116" t="n">
        <v>0</v>
      </c>
      <c r="AE908" s="116" t="n">
        <v>0</v>
      </c>
      <c r="AF908" s="116" t="n">
        <v>0</v>
      </c>
      <c r="AG908" s="116" t="n">
        <v>0</v>
      </c>
      <c r="AH908" s="116" t="n">
        <v>0</v>
      </c>
      <c r="AI908" s="47">
        <f>IFERROR(AC908/S908,"")</f>
        <v/>
      </c>
      <c r="AJ908" s="47">
        <f>IFERROR(AH908/S908,"")</f>
        <v/>
      </c>
      <c r="AK908" s="116" t="n">
        <v>8</v>
      </c>
      <c r="AL908" s="116" t="n">
        <v>0</v>
      </c>
      <c r="AM908" s="118">
        <f>IFERROR(AL908/AA908,"")</f>
        <v/>
      </c>
      <c r="AN908" s="119">
        <f>IFERROR(R908/AL908,"")</f>
        <v/>
      </c>
      <c r="AO908" s="116" t="n">
        <v>0</v>
      </c>
      <c r="AP908" s="47">
        <f>IFERROR(AO908/AL908,"")</f>
        <v/>
      </c>
      <c r="AQ908" s="119">
        <f>IFERROR(R908/AO908,"")</f>
        <v/>
      </c>
      <c r="AR908" s="116" t="n">
        <v>0</v>
      </c>
      <c r="AS908" s="116" t="n">
        <v>0</v>
      </c>
      <c r="AT908" s="116">
        <f>AL908+AR908</f>
        <v/>
      </c>
      <c r="AU908" s="119">
        <f>IFERROR(AO908*Assumptions!$C$26*Assumptions!$C$27*INDEX(Assumptions!$C$18:$C$21,MATCH(H908,Assumptions!$B$18:$B$21,0)),0)</f>
        <v/>
      </c>
    </row>
    <row r="909">
      <c r="A909" s="114" t="n">
        <v>46261</v>
      </c>
      <c r="B909" s="42" t="inlineStr">
        <is>
          <t>Wk 35</t>
        </is>
      </c>
      <c r="C909" s="42" t="inlineStr">
        <is>
          <t>Thu</t>
        </is>
      </c>
      <c r="D909" s="42" t="inlineStr">
        <is>
          <t>Meta (FB/IG)</t>
        </is>
      </c>
      <c r="E909" s="42" t="inlineStr">
        <is>
          <t>Facebook + Instagram</t>
        </is>
      </c>
      <c r="F909" s="42" t="inlineStr">
        <is>
          <t>LEP_ZA_AUG26_META_RMKT_ALL_CONV</t>
        </is>
      </c>
      <c r="G909" s="42" t="inlineStr">
        <is>
          <t>Leads - Website Conversions</t>
        </is>
      </c>
      <c r="H909" s="42" t="inlineStr">
        <is>
          <t>Range</t>
        </is>
      </c>
      <c r="I909" s="42" t="inlineStr">
        <is>
          <t>Range Offer</t>
        </is>
      </c>
      <c r="J909" s="42" t="inlineStr">
        <is>
          <t>MET_RMKT_VIDVIEW75_ZA</t>
        </is>
      </c>
      <c r="K909" s="42" t="inlineStr">
        <is>
          <t>Retargeting</t>
        </is>
      </c>
      <c r="L909" s="42" t="inlineStr">
        <is>
          <t>RMKT_CAR_3card_Offers_v1</t>
        </is>
      </c>
      <c r="M909" s="42" t="inlineStr">
        <is>
          <t>Carousel</t>
        </is>
      </c>
      <c r="N909" s="42" t="inlineStr">
        <is>
          <t>All three. One test drive slot.</t>
        </is>
      </c>
      <c r="O909" s="42" t="inlineStr">
        <is>
          <t>Auction - Lowest Cost</t>
        </is>
      </c>
      <c r="P909" s="42" t="inlineStr">
        <is>
          <t>Offsite Conversions</t>
        </is>
      </c>
      <c r="Q909" s="42" t="inlineStr">
        <is>
          <t>https://www.lepas-sa.co.za/book-a-test-drive</t>
        </is>
      </c>
      <c r="R909" s="115" t="n">
        <v>98.94</v>
      </c>
      <c r="S909" s="116" t="n">
        <v>843</v>
      </c>
      <c r="T909" s="116" t="n">
        <v>404</v>
      </c>
      <c r="U909" s="117">
        <f>IFERROR(S909/T909,"")</f>
        <v/>
      </c>
      <c r="V909" s="116" t="n">
        <v>18</v>
      </c>
      <c r="W909" s="116" t="n">
        <v>14</v>
      </c>
      <c r="X909" s="118">
        <f>IFERROR(W909/S909,"")</f>
        <v/>
      </c>
      <c r="Y909" s="115">
        <f>IFERROR(R909/W909,"")</f>
        <v/>
      </c>
      <c r="Z909" s="115">
        <f>IFERROR(R909/S909*1000,"")</f>
        <v/>
      </c>
      <c r="AA909" s="116" t="n">
        <v>12</v>
      </c>
      <c r="AB909" s="47">
        <f>IFERROR(AA909/W909,"")</f>
        <v/>
      </c>
      <c r="AC909" s="116" t="n">
        <v>0</v>
      </c>
      <c r="AD909" s="116" t="n">
        <v>0</v>
      </c>
      <c r="AE909" s="116" t="n">
        <v>0</v>
      </c>
      <c r="AF909" s="116" t="n">
        <v>0</v>
      </c>
      <c r="AG909" s="116" t="n">
        <v>0</v>
      </c>
      <c r="AH909" s="116" t="n">
        <v>0</v>
      </c>
      <c r="AI909" s="47">
        <f>IFERROR(AC909/S909,"")</f>
        <v/>
      </c>
      <c r="AJ909" s="47">
        <f>IFERROR(AH909/S909,"")</f>
        <v/>
      </c>
      <c r="AK909" s="116" t="n">
        <v>13</v>
      </c>
      <c r="AL909" s="116" t="n">
        <v>0</v>
      </c>
      <c r="AM909" s="118">
        <f>IFERROR(AL909/AA909,"")</f>
        <v/>
      </c>
      <c r="AN909" s="119">
        <f>IFERROR(R909/AL909,"")</f>
        <v/>
      </c>
      <c r="AO909" s="116" t="n">
        <v>0</v>
      </c>
      <c r="AP909" s="47">
        <f>IFERROR(AO909/AL909,"")</f>
        <v/>
      </c>
      <c r="AQ909" s="119">
        <f>IFERROR(R909/AO909,"")</f>
        <v/>
      </c>
      <c r="AR909" s="116" t="n">
        <v>0</v>
      </c>
      <c r="AS909" s="116" t="n">
        <v>0</v>
      </c>
      <c r="AT909" s="116">
        <f>AL909+AR909</f>
        <v/>
      </c>
      <c r="AU909" s="119">
        <f>IFERROR(AO909*Assumptions!$C$26*Assumptions!$C$27*INDEX(Assumptions!$C$18:$C$21,MATCH(H909,Assumptions!$B$18:$B$21,0)),0)</f>
        <v/>
      </c>
    </row>
    <row r="910">
      <c r="A910" s="114" t="n">
        <v>46262</v>
      </c>
      <c r="B910" s="42" t="inlineStr">
        <is>
          <t>Wk 35</t>
        </is>
      </c>
      <c r="C910" s="42" t="inlineStr">
        <is>
          <t>Fri</t>
        </is>
      </c>
      <c r="D910" s="42" t="inlineStr">
        <is>
          <t>Meta (FB/IG)</t>
        </is>
      </c>
      <c r="E910" s="42" t="inlineStr">
        <is>
          <t>Facebook + Instagram</t>
        </is>
      </c>
      <c r="F910" s="42" t="inlineStr">
        <is>
          <t>LEP_ZA_AUG26_META_RMKT_ALL_CONV</t>
        </is>
      </c>
      <c r="G910" s="42" t="inlineStr">
        <is>
          <t>Leads - Website Conversions</t>
        </is>
      </c>
      <c r="H910" s="42" t="inlineStr">
        <is>
          <t>Range</t>
        </is>
      </c>
      <c r="I910" s="42" t="inlineStr">
        <is>
          <t>Range Offer</t>
        </is>
      </c>
      <c r="J910" s="42" t="inlineStr">
        <is>
          <t>MET_RMKT_VIDVIEW75_ZA</t>
        </is>
      </c>
      <c r="K910" s="42" t="inlineStr">
        <is>
          <t>Retargeting</t>
        </is>
      </c>
      <c r="L910" s="42" t="inlineStr">
        <is>
          <t>RMKT_CAR_3card_Offers_v1</t>
        </is>
      </c>
      <c r="M910" s="42" t="inlineStr">
        <is>
          <t>Carousel</t>
        </is>
      </c>
      <c r="N910" s="42" t="inlineStr">
        <is>
          <t>All three. One test drive slot.</t>
        </is>
      </c>
      <c r="O910" s="42" t="inlineStr">
        <is>
          <t>Auction - Lowest Cost</t>
        </is>
      </c>
      <c r="P910" s="42" t="inlineStr">
        <is>
          <t>Offsite Conversions</t>
        </is>
      </c>
      <c r="Q910" s="42" t="inlineStr">
        <is>
          <t>https://www.lepas-sa.co.za/book-a-test-drive</t>
        </is>
      </c>
      <c r="R910" s="115" t="n">
        <v>107.57</v>
      </c>
      <c r="S910" s="116" t="n">
        <v>1169</v>
      </c>
      <c r="T910" s="116" t="n">
        <v>593</v>
      </c>
      <c r="U910" s="117">
        <f>IFERROR(S910/T910,"")</f>
        <v/>
      </c>
      <c r="V910" s="116" t="n">
        <v>31</v>
      </c>
      <c r="W910" s="116" t="n">
        <v>23</v>
      </c>
      <c r="X910" s="118">
        <f>IFERROR(W910/S910,"")</f>
        <v/>
      </c>
      <c r="Y910" s="115">
        <f>IFERROR(R910/W910,"")</f>
        <v/>
      </c>
      <c r="Z910" s="115">
        <f>IFERROR(R910/S910*1000,"")</f>
        <v/>
      </c>
      <c r="AA910" s="116" t="n">
        <v>20</v>
      </c>
      <c r="AB910" s="47">
        <f>IFERROR(AA910/W910,"")</f>
        <v/>
      </c>
      <c r="AC910" s="116" t="n">
        <v>0</v>
      </c>
      <c r="AD910" s="116" t="n">
        <v>0</v>
      </c>
      <c r="AE910" s="116" t="n">
        <v>0</v>
      </c>
      <c r="AF910" s="116" t="n">
        <v>0</v>
      </c>
      <c r="AG910" s="116" t="n">
        <v>0</v>
      </c>
      <c r="AH910" s="116" t="n">
        <v>0</v>
      </c>
      <c r="AI910" s="47">
        <f>IFERROR(AC910/S910,"")</f>
        <v/>
      </c>
      <c r="AJ910" s="47">
        <f>IFERROR(AH910/S910,"")</f>
        <v/>
      </c>
      <c r="AK910" s="116" t="n">
        <v>35</v>
      </c>
      <c r="AL910" s="116" t="n">
        <v>0</v>
      </c>
      <c r="AM910" s="118">
        <f>IFERROR(AL910/AA910,"")</f>
        <v/>
      </c>
      <c r="AN910" s="119">
        <f>IFERROR(R910/AL910,"")</f>
        <v/>
      </c>
      <c r="AO910" s="116" t="n">
        <v>0</v>
      </c>
      <c r="AP910" s="47">
        <f>IFERROR(AO910/AL910,"")</f>
        <v/>
      </c>
      <c r="AQ910" s="119">
        <f>IFERROR(R910/AO910,"")</f>
        <v/>
      </c>
      <c r="AR910" s="116" t="n">
        <v>0</v>
      </c>
      <c r="AS910" s="116" t="n">
        <v>0</v>
      </c>
      <c r="AT910" s="116">
        <f>AL910+AR910</f>
        <v/>
      </c>
      <c r="AU910" s="119">
        <f>IFERROR(AO910*Assumptions!$C$26*Assumptions!$C$27*INDEX(Assumptions!$C$18:$C$21,MATCH(H910,Assumptions!$B$18:$B$21,0)),0)</f>
        <v/>
      </c>
    </row>
    <row r="911">
      <c r="A911" s="114" t="n">
        <v>46263</v>
      </c>
      <c r="B911" s="42" t="inlineStr">
        <is>
          <t>Wk 35</t>
        </is>
      </c>
      <c r="C911" s="42" t="inlineStr">
        <is>
          <t>Sat</t>
        </is>
      </c>
      <c r="D911" s="42" t="inlineStr">
        <is>
          <t>Meta (FB/IG)</t>
        </is>
      </c>
      <c r="E911" s="42" t="inlineStr">
        <is>
          <t>Facebook + Instagram</t>
        </is>
      </c>
      <c r="F911" s="42" t="inlineStr">
        <is>
          <t>LEP_ZA_AUG26_META_RMKT_ALL_CONV</t>
        </is>
      </c>
      <c r="G911" s="42" t="inlineStr">
        <is>
          <t>Leads - Website Conversions</t>
        </is>
      </c>
      <c r="H911" s="42" t="inlineStr">
        <is>
          <t>Range</t>
        </is>
      </c>
      <c r="I911" s="42" t="inlineStr">
        <is>
          <t>Range Offer</t>
        </is>
      </c>
      <c r="J911" s="42" t="inlineStr">
        <is>
          <t>MET_RMKT_VIDVIEW75_ZA</t>
        </is>
      </c>
      <c r="K911" s="42" t="inlineStr">
        <is>
          <t>Retargeting</t>
        </is>
      </c>
      <c r="L911" s="42" t="inlineStr">
        <is>
          <t>RMKT_CAR_3card_Offers_v1</t>
        </is>
      </c>
      <c r="M911" s="42" t="inlineStr">
        <is>
          <t>Carousel</t>
        </is>
      </c>
      <c r="N911" s="42" t="inlineStr">
        <is>
          <t>All three. One test drive slot.</t>
        </is>
      </c>
      <c r="O911" s="42" t="inlineStr">
        <is>
          <t>Auction - Lowest Cost</t>
        </is>
      </c>
      <c r="P911" s="42" t="inlineStr">
        <is>
          <t>Offsite Conversions</t>
        </is>
      </c>
      <c r="Q911" s="42" t="inlineStr">
        <is>
          <t>https://www.lepas-sa.co.za/book-a-test-drive</t>
        </is>
      </c>
      <c r="R911" s="115" t="n">
        <v>110.21</v>
      </c>
      <c r="S911" s="116" t="n">
        <v>1111</v>
      </c>
      <c r="T911" s="116" t="n">
        <v>665</v>
      </c>
      <c r="U911" s="117">
        <f>IFERROR(S911/T911,"")</f>
        <v/>
      </c>
      <c r="V911" s="116" t="n">
        <v>42</v>
      </c>
      <c r="W911" s="116" t="n">
        <v>30</v>
      </c>
      <c r="X911" s="118">
        <f>IFERROR(W911/S911,"")</f>
        <v/>
      </c>
      <c r="Y911" s="115">
        <f>IFERROR(R911/W911,"")</f>
        <v/>
      </c>
      <c r="Z911" s="115">
        <f>IFERROR(R911/S911*1000,"")</f>
        <v/>
      </c>
      <c r="AA911" s="116" t="n">
        <v>25</v>
      </c>
      <c r="AB911" s="47">
        <f>IFERROR(AA911/W911,"")</f>
        <v/>
      </c>
      <c r="AC911" s="116" t="n">
        <v>0</v>
      </c>
      <c r="AD911" s="116" t="n">
        <v>0</v>
      </c>
      <c r="AE911" s="116" t="n">
        <v>0</v>
      </c>
      <c r="AF911" s="116" t="n">
        <v>0</v>
      </c>
      <c r="AG911" s="116" t="n">
        <v>0</v>
      </c>
      <c r="AH911" s="116" t="n">
        <v>0</v>
      </c>
      <c r="AI911" s="47">
        <f>IFERROR(AC911/S911,"")</f>
        <v/>
      </c>
      <c r="AJ911" s="47">
        <f>IFERROR(AH911/S911,"")</f>
        <v/>
      </c>
      <c r="AK911" s="116" t="n">
        <v>26</v>
      </c>
      <c r="AL911" s="116" t="n">
        <v>1</v>
      </c>
      <c r="AM911" s="118">
        <f>IFERROR(AL911/AA911,"")</f>
        <v/>
      </c>
      <c r="AN911" s="119">
        <f>IFERROR(R911/AL911,"")</f>
        <v/>
      </c>
      <c r="AO911" s="116" t="n">
        <v>0</v>
      </c>
      <c r="AP911" s="47">
        <f>IFERROR(AO911/AL911,"")</f>
        <v/>
      </c>
      <c r="AQ911" s="119">
        <f>IFERROR(R911/AO911,"")</f>
        <v/>
      </c>
      <c r="AR911" s="116" t="n">
        <v>0</v>
      </c>
      <c r="AS911" s="116" t="n">
        <v>0</v>
      </c>
      <c r="AT911" s="116">
        <f>AL911+AR911</f>
        <v/>
      </c>
      <c r="AU911" s="119">
        <f>IFERROR(AO911*Assumptions!$C$26*Assumptions!$C$27*INDEX(Assumptions!$C$18:$C$21,MATCH(H911,Assumptions!$B$18:$B$21,0)),0)</f>
        <v/>
      </c>
    </row>
    <row r="912">
      <c r="A912" s="114" t="n">
        <v>46264</v>
      </c>
      <c r="B912" s="42" t="inlineStr">
        <is>
          <t>Wk 35</t>
        </is>
      </c>
      <c r="C912" s="42" t="inlineStr">
        <is>
          <t>Sun</t>
        </is>
      </c>
      <c r="D912" s="42" t="inlineStr">
        <is>
          <t>Meta (FB/IG)</t>
        </is>
      </c>
      <c r="E912" s="42" t="inlineStr">
        <is>
          <t>Facebook + Instagram</t>
        </is>
      </c>
      <c r="F912" s="42" t="inlineStr">
        <is>
          <t>LEP_ZA_AUG26_META_RMKT_ALL_CONV</t>
        </is>
      </c>
      <c r="G912" s="42" t="inlineStr">
        <is>
          <t>Leads - Website Conversions</t>
        </is>
      </c>
      <c r="H912" s="42" t="inlineStr">
        <is>
          <t>Range</t>
        </is>
      </c>
      <c r="I912" s="42" t="inlineStr">
        <is>
          <t>Range Offer</t>
        </is>
      </c>
      <c r="J912" s="42" t="inlineStr">
        <is>
          <t>MET_RMKT_VIDVIEW75_ZA</t>
        </is>
      </c>
      <c r="K912" s="42" t="inlineStr">
        <is>
          <t>Retargeting</t>
        </is>
      </c>
      <c r="L912" s="42" t="inlineStr">
        <is>
          <t>RMKT_CAR_3card_Offers_v1</t>
        </is>
      </c>
      <c r="M912" s="42" t="inlineStr">
        <is>
          <t>Carousel</t>
        </is>
      </c>
      <c r="N912" s="42" t="inlineStr">
        <is>
          <t>All three. One test drive slot.</t>
        </is>
      </c>
      <c r="O912" s="42" t="inlineStr">
        <is>
          <t>Auction - Lowest Cost</t>
        </is>
      </c>
      <c r="P912" s="42" t="inlineStr">
        <is>
          <t>Offsite Conversions</t>
        </is>
      </c>
      <c r="Q912" s="42" t="inlineStr">
        <is>
          <t>https://www.lepas-sa.co.za/book-a-test-drive</t>
        </is>
      </c>
      <c r="R912" s="115" t="n">
        <v>91.13</v>
      </c>
      <c r="S912" s="116" t="n">
        <v>936</v>
      </c>
      <c r="T912" s="116" t="n">
        <v>515</v>
      </c>
      <c r="U912" s="117">
        <f>IFERROR(S912/T912,"")</f>
        <v/>
      </c>
      <c r="V912" s="116" t="n">
        <v>25</v>
      </c>
      <c r="W912" s="116" t="n">
        <v>20</v>
      </c>
      <c r="X912" s="118">
        <f>IFERROR(W912/S912,"")</f>
        <v/>
      </c>
      <c r="Y912" s="115">
        <f>IFERROR(R912/W912,"")</f>
        <v/>
      </c>
      <c r="Z912" s="115">
        <f>IFERROR(R912/S912*1000,"")</f>
        <v/>
      </c>
      <c r="AA912" s="116" t="n">
        <v>16</v>
      </c>
      <c r="AB912" s="47">
        <f>IFERROR(AA912/W912,"")</f>
        <v/>
      </c>
      <c r="AC912" s="116" t="n">
        <v>0</v>
      </c>
      <c r="AD912" s="116" t="n">
        <v>0</v>
      </c>
      <c r="AE912" s="116" t="n">
        <v>0</v>
      </c>
      <c r="AF912" s="116" t="n">
        <v>0</v>
      </c>
      <c r="AG912" s="116" t="n">
        <v>0</v>
      </c>
      <c r="AH912" s="116" t="n">
        <v>0</v>
      </c>
      <c r="AI912" s="47">
        <f>IFERROR(AC912/S912,"")</f>
        <v/>
      </c>
      <c r="AJ912" s="47">
        <f>IFERROR(AH912/S912,"")</f>
        <v/>
      </c>
      <c r="AK912" s="116" t="n">
        <v>13</v>
      </c>
      <c r="AL912" s="116" t="n">
        <v>1</v>
      </c>
      <c r="AM912" s="118">
        <f>IFERROR(AL912/AA912,"")</f>
        <v/>
      </c>
      <c r="AN912" s="119">
        <f>IFERROR(R912/AL912,"")</f>
        <v/>
      </c>
      <c r="AO912" s="116" t="n">
        <v>1</v>
      </c>
      <c r="AP912" s="47">
        <f>IFERROR(AO912/AL912,"")</f>
        <v/>
      </c>
      <c r="AQ912" s="119">
        <f>IFERROR(R912/AO912,"")</f>
        <v/>
      </c>
      <c r="AR912" s="116" t="n">
        <v>0</v>
      </c>
      <c r="AS912" s="116" t="n">
        <v>0</v>
      </c>
      <c r="AT912" s="116">
        <f>AL912+AR912</f>
        <v/>
      </c>
      <c r="AU912" s="119">
        <f>IFERROR(AO912*Assumptions!$C$26*Assumptions!$C$27*INDEX(Assumptions!$C$18:$C$21,MATCH(H912,Assumptions!$B$18:$B$21,0)),0)</f>
        <v/>
      </c>
    </row>
    <row r="913">
      <c r="A913" s="114" t="n">
        <v>46265</v>
      </c>
      <c r="B913" s="42" t="inlineStr">
        <is>
          <t>Wk 36</t>
        </is>
      </c>
      <c r="C913" s="42" t="inlineStr">
        <is>
          <t>Mon</t>
        </is>
      </c>
      <c r="D913" s="42" t="inlineStr">
        <is>
          <t>Meta (FB/IG)</t>
        </is>
      </c>
      <c r="E913" s="42" t="inlineStr">
        <is>
          <t>Facebook + Instagram</t>
        </is>
      </c>
      <c r="F913" s="42" t="inlineStr">
        <is>
          <t>LEP_ZA_AUG26_META_RMKT_ALL_CONV</t>
        </is>
      </c>
      <c r="G913" s="42" t="inlineStr">
        <is>
          <t>Leads - Website Conversions</t>
        </is>
      </c>
      <c r="H913" s="42" t="inlineStr">
        <is>
          <t>Range</t>
        </is>
      </c>
      <c r="I913" s="42" t="inlineStr">
        <is>
          <t>Range Offer</t>
        </is>
      </c>
      <c r="J913" s="42" t="inlineStr">
        <is>
          <t>MET_RMKT_VIDVIEW75_ZA</t>
        </is>
      </c>
      <c r="K913" s="42" t="inlineStr">
        <is>
          <t>Retargeting</t>
        </is>
      </c>
      <c r="L913" s="42" t="inlineStr">
        <is>
          <t>RMKT_CAR_3card_Offers_v1</t>
        </is>
      </c>
      <c r="M913" s="42" t="inlineStr">
        <is>
          <t>Carousel</t>
        </is>
      </c>
      <c r="N913" s="42" t="inlineStr">
        <is>
          <t>All three. One test drive slot.</t>
        </is>
      </c>
      <c r="O913" s="42" t="inlineStr">
        <is>
          <t>Auction - Lowest Cost</t>
        </is>
      </c>
      <c r="P913" s="42" t="inlineStr">
        <is>
          <t>Offsite Conversions</t>
        </is>
      </c>
      <c r="Q913" s="42" t="inlineStr">
        <is>
          <t>https://www.lepas-sa.co.za/book-a-test-drive</t>
        </is>
      </c>
      <c r="R913" s="115" t="n">
        <v>100.04</v>
      </c>
      <c r="S913" s="116" t="n">
        <v>1115</v>
      </c>
      <c r="T913" s="116" t="n">
        <v>641</v>
      </c>
      <c r="U913" s="117">
        <f>IFERROR(S913/T913,"")</f>
        <v/>
      </c>
      <c r="V913" s="116" t="n">
        <v>14</v>
      </c>
      <c r="W913" s="116" t="n">
        <v>12</v>
      </c>
      <c r="X913" s="118">
        <f>IFERROR(W913/S913,"")</f>
        <v/>
      </c>
      <c r="Y913" s="115">
        <f>IFERROR(R913/W913,"")</f>
        <v/>
      </c>
      <c r="Z913" s="115">
        <f>IFERROR(R913/S913*1000,"")</f>
        <v/>
      </c>
      <c r="AA913" s="116" t="n">
        <v>10</v>
      </c>
      <c r="AB913" s="47">
        <f>IFERROR(AA913/W913,"")</f>
        <v/>
      </c>
      <c r="AC913" s="116" t="n">
        <v>0</v>
      </c>
      <c r="AD913" s="116" t="n">
        <v>0</v>
      </c>
      <c r="AE913" s="116" t="n">
        <v>0</v>
      </c>
      <c r="AF913" s="116" t="n">
        <v>0</v>
      </c>
      <c r="AG913" s="116" t="n">
        <v>0</v>
      </c>
      <c r="AH913" s="116" t="n">
        <v>0</v>
      </c>
      <c r="AI913" s="47">
        <f>IFERROR(AC913/S913,"")</f>
        <v/>
      </c>
      <c r="AJ913" s="47">
        <f>IFERROR(AH913/S913,"")</f>
        <v/>
      </c>
      <c r="AK913" s="116" t="n">
        <v>15</v>
      </c>
      <c r="AL913" s="116" t="n">
        <v>1</v>
      </c>
      <c r="AM913" s="118">
        <f>IFERROR(AL913/AA913,"")</f>
        <v/>
      </c>
      <c r="AN913" s="119">
        <f>IFERROR(R913/AL913,"")</f>
        <v/>
      </c>
      <c r="AO913" s="116" t="n">
        <v>1</v>
      </c>
      <c r="AP913" s="47">
        <f>IFERROR(AO913/AL913,"")</f>
        <v/>
      </c>
      <c r="AQ913" s="119">
        <f>IFERROR(R913/AO913,"")</f>
        <v/>
      </c>
      <c r="AR913" s="116" t="n">
        <v>0</v>
      </c>
      <c r="AS913" s="116" t="n">
        <v>0</v>
      </c>
      <c r="AT913" s="116">
        <f>AL913+AR913</f>
        <v/>
      </c>
      <c r="AU913" s="119">
        <f>IFERROR(AO913*Assumptions!$C$26*Assumptions!$C$27*INDEX(Assumptions!$C$18:$C$21,MATCH(H913,Assumptions!$B$18:$B$21,0)),0)</f>
        <v/>
      </c>
    </row>
    <row r="914">
      <c r="A914" s="114" t="n">
        <v>46235</v>
      </c>
      <c r="B914" s="42" t="inlineStr">
        <is>
          <t>Wk 31</t>
        </is>
      </c>
      <c r="C914" s="42" t="inlineStr">
        <is>
          <t>Sat</t>
        </is>
      </c>
      <c r="D914" s="42" t="inlineStr">
        <is>
          <t>Meta (FB/IG)</t>
        </is>
      </c>
      <c r="E914" s="42" t="inlineStr">
        <is>
          <t>Facebook + Instagram</t>
        </is>
      </c>
      <c r="F914" s="42" t="inlineStr">
        <is>
          <t>LEP_ZA_AUG26_META_RMKT_ALL_CONV</t>
        </is>
      </c>
      <c r="G914" s="42" t="inlineStr">
        <is>
          <t>Leads - Website Conversions</t>
        </is>
      </c>
      <c r="H914" s="42" t="inlineStr">
        <is>
          <t>Range</t>
        </is>
      </c>
      <c r="I914" s="42" t="inlineStr">
        <is>
          <t>Range Offer</t>
        </is>
      </c>
      <c r="J914" s="42" t="inlineStr">
        <is>
          <t>MET_RMKT_FORMABANDON_ZA</t>
        </is>
      </c>
      <c r="K914" s="42" t="inlineStr">
        <is>
          <t>Retargeting</t>
        </is>
      </c>
      <c r="L914" s="42" t="inlineStr">
        <is>
          <t>RMKT_STA_FinishBooking_v1</t>
        </is>
      </c>
      <c r="M914" s="42" t="inlineStr">
        <is>
          <t>Static 1:1</t>
        </is>
      </c>
      <c r="N914" s="42" t="inlineStr">
        <is>
          <t>You left one field empty</t>
        </is>
      </c>
      <c r="O914" s="42" t="inlineStr">
        <is>
          <t>Auction - Lowest Cost</t>
        </is>
      </c>
      <c r="P914" s="42" t="inlineStr">
        <is>
          <t>Offsite Conversions</t>
        </is>
      </c>
      <c r="Q914" s="42" t="inlineStr">
        <is>
          <t>https://www.lepas-sa.co.za/book-a-test-drive</t>
        </is>
      </c>
      <c r="R914" s="115" t="n">
        <v>118.57</v>
      </c>
      <c r="S914" s="116" t="n">
        <v>1366</v>
      </c>
      <c r="T914" s="116" t="n">
        <v>1184</v>
      </c>
      <c r="U914" s="117">
        <f>IFERROR(S914/T914,"")</f>
        <v/>
      </c>
      <c r="V914" s="116" t="n">
        <v>57</v>
      </c>
      <c r="W914" s="116" t="n">
        <v>48</v>
      </c>
      <c r="X914" s="118">
        <f>IFERROR(W914/S914,"")</f>
        <v/>
      </c>
      <c r="Y914" s="115">
        <f>IFERROR(R914/W914,"")</f>
        <v/>
      </c>
      <c r="Z914" s="115">
        <f>IFERROR(R914/S914*1000,"")</f>
        <v/>
      </c>
      <c r="AA914" s="116" t="n">
        <v>41</v>
      </c>
      <c r="AB914" s="47">
        <f>IFERROR(AA914/W914,"")</f>
        <v/>
      </c>
      <c r="AC914" s="116" t="n">
        <v>0</v>
      </c>
      <c r="AD914" s="116" t="n">
        <v>0</v>
      </c>
      <c r="AE914" s="116" t="n">
        <v>0</v>
      </c>
      <c r="AF914" s="116" t="n">
        <v>0</v>
      </c>
      <c r="AG914" s="116" t="n">
        <v>0</v>
      </c>
      <c r="AH914" s="116" t="n">
        <v>0</v>
      </c>
      <c r="AI914" s="47">
        <f>IFERROR(AC914/S914,"")</f>
        <v/>
      </c>
      <c r="AJ914" s="47">
        <f>IFERROR(AH914/S914,"")</f>
        <v/>
      </c>
      <c r="AK914" s="116" t="n">
        <v>39</v>
      </c>
      <c r="AL914" s="116" t="n">
        <v>2</v>
      </c>
      <c r="AM914" s="118">
        <f>IFERROR(AL914/AA914,"")</f>
        <v/>
      </c>
      <c r="AN914" s="119">
        <f>IFERROR(R914/AL914,"")</f>
        <v/>
      </c>
      <c r="AO914" s="116" t="n">
        <v>1</v>
      </c>
      <c r="AP914" s="47">
        <f>IFERROR(AO914/AL914,"")</f>
        <v/>
      </c>
      <c r="AQ914" s="119">
        <f>IFERROR(R914/AO914,"")</f>
        <v/>
      </c>
      <c r="AR914" s="116" t="n">
        <v>0</v>
      </c>
      <c r="AS914" s="116" t="n">
        <v>0</v>
      </c>
      <c r="AT914" s="116">
        <f>AL914+AR914</f>
        <v/>
      </c>
      <c r="AU914" s="119">
        <f>IFERROR(AO914*Assumptions!$C$26*Assumptions!$C$27*INDEX(Assumptions!$C$18:$C$21,MATCH(H914,Assumptions!$B$18:$B$21,0)),0)</f>
        <v/>
      </c>
    </row>
    <row r="915">
      <c r="A915" s="114" t="n">
        <v>46236</v>
      </c>
      <c r="B915" s="42" t="inlineStr">
        <is>
          <t>Wk 31</t>
        </is>
      </c>
      <c r="C915" s="42" t="inlineStr">
        <is>
          <t>Sun</t>
        </is>
      </c>
      <c r="D915" s="42" t="inlineStr">
        <is>
          <t>Meta (FB/IG)</t>
        </is>
      </c>
      <c r="E915" s="42" t="inlineStr">
        <is>
          <t>Facebook + Instagram</t>
        </is>
      </c>
      <c r="F915" s="42" t="inlineStr">
        <is>
          <t>LEP_ZA_AUG26_META_RMKT_ALL_CONV</t>
        </is>
      </c>
      <c r="G915" s="42" t="inlineStr">
        <is>
          <t>Leads - Website Conversions</t>
        </is>
      </c>
      <c r="H915" s="42" t="inlineStr">
        <is>
          <t>Range</t>
        </is>
      </c>
      <c r="I915" s="42" t="inlineStr">
        <is>
          <t>Range Offer</t>
        </is>
      </c>
      <c r="J915" s="42" t="inlineStr">
        <is>
          <t>MET_RMKT_FORMABANDON_ZA</t>
        </is>
      </c>
      <c r="K915" s="42" t="inlineStr">
        <is>
          <t>Retargeting</t>
        </is>
      </c>
      <c r="L915" s="42" t="inlineStr">
        <is>
          <t>RMKT_STA_FinishBooking_v1</t>
        </is>
      </c>
      <c r="M915" s="42" t="inlineStr">
        <is>
          <t>Static 1:1</t>
        </is>
      </c>
      <c r="N915" s="42" t="inlineStr">
        <is>
          <t>You left one field empty</t>
        </is>
      </c>
      <c r="O915" s="42" t="inlineStr">
        <is>
          <t>Auction - Lowest Cost</t>
        </is>
      </c>
      <c r="P915" s="42" t="inlineStr">
        <is>
          <t>Offsite Conversions</t>
        </is>
      </c>
      <c r="Q915" s="42" t="inlineStr">
        <is>
          <t>https://www.lepas-sa.co.za/book-a-test-drive</t>
        </is>
      </c>
      <c r="R915" s="115" t="n">
        <v>71.06</v>
      </c>
      <c r="S915" s="116" t="n">
        <v>636</v>
      </c>
      <c r="T915" s="116" t="n">
        <v>488</v>
      </c>
      <c r="U915" s="117">
        <f>IFERROR(S915/T915,"")</f>
        <v/>
      </c>
      <c r="V915" s="116" t="n">
        <v>28</v>
      </c>
      <c r="W915" s="116" t="n">
        <v>21</v>
      </c>
      <c r="X915" s="118">
        <f>IFERROR(W915/S915,"")</f>
        <v/>
      </c>
      <c r="Y915" s="115">
        <f>IFERROR(R915/W915,"")</f>
        <v/>
      </c>
      <c r="Z915" s="115">
        <f>IFERROR(R915/S915*1000,"")</f>
        <v/>
      </c>
      <c r="AA915" s="116" t="n">
        <v>17</v>
      </c>
      <c r="AB915" s="47">
        <f>IFERROR(AA915/W915,"")</f>
        <v/>
      </c>
      <c r="AC915" s="116" t="n">
        <v>0</v>
      </c>
      <c r="AD915" s="116" t="n">
        <v>0</v>
      </c>
      <c r="AE915" s="116" t="n">
        <v>0</v>
      </c>
      <c r="AF915" s="116" t="n">
        <v>0</v>
      </c>
      <c r="AG915" s="116" t="n">
        <v>0</v>
      </c>
      <c r="AH915" s="116" t="n">
        <v>0</v>
      </c>
      <c r="AI915" s="47">
        <f>IFERROR(AC915/S915,"")</f>
        <v/>
      </c>
      <c r="AJ915" s="47">
        <f>IFERROR(AH915/S915,"")</f>
        <v/>
      </c>
      <c r="AK915" s="116" t="n">
        <v>6</v>
      </c>
      <c r="AL915" s="116" t="n">
        <v>1</v>
      </c>
      <c r="AM915" s="118">
        <f>IFERROR(AL915/AA915,"")</f>
        <v/>
      </c>
      <c r="AN915" s="119">
        <f>IFERROR(R915/AL915,"")</f>
        <v/>
      </c>
      <c r="AO915" s="116" t="n">
        <v>1</v>
      </c>
      <c r="AP915" s="47">
        <f>IFERROR(AO915/AL915,"")</f>
        <v/>
      </c>
      <c r="AQ915" s="119">
        <f>IFERROR(R915/AO915,"")</f>
        <v/>
      </c>
      <c r="AR915" s="116" t="n">
        <v>0</v>
      </c>
      <c r="AS915" s="116" t="n">
        <v>1</v>
      </c>
      <c r="AT915" s="116">
        <f>AL915+AR915</f>
        <v/>
      </c>
      <c r="AU915" s="119">
        <f>IFERROR(AO915*Assumptions!$C$26*Assumptions!$C$27*INDEX(Assumptions!$C$18:$C$21,MATCH(H915,Assumptions!$B$18:$B$21,0)),0)</f>
        <v/>
      </c>
    </row>
    <row r="916">
      <c r="A916" s="114" t="n">
        <v>46237</v>
      </c>
      <c r="B916" s="42" t="inlineStr">
        <is>
          <t>Wk 32</t>
        </is>
      </c>
      <c r="C916" s="42" t="inlineStr">
        <is>
          <t>Mon</t>
        </is>
      </c>
      <c r="D916" s="42" t="inlineStr">
        <is>
          <t>Meta (FB/IG)</t>
        </is>
      </c>
      <c r="E916" s="42" t="inlineStr">
        <is>
          <t>Facebook + Instagram</t>
        </is>
      </c>
      <c r="F916" s="42" t="inlineStr">
        <is>
          <t>LEP_ZA_AUG26_META_RMKT_ALL_CONV</t>
        </is>
      </c>
      <c r="G916" s="42" t="inlineStr">
        <is>
          <t>Leads - Website Conversions</t>
        </is>
      </c>
      <c r="H916" s="42" t="inlineStr">
        <is>
          <t>Range</t>
        </is>
      </c>
      <c r="I916" s="42" t="inlineStr">
        <is>
          <t>Range Offer</t>
        </is>
      </c>
      <c r="J916" s="42" t="inlineStr">
        <is>
          <t>MET_RMKT_FORMABANDON_ZA</t>
        </is>
      </c>
      <c r="K916" s="42" t="inlineStr">
        <is>
          <t>Retargeting</t>
        </is>
      </c>
      <c r="L916" s="42" t="inlineStr">
        <is>
          <t>RMKT_STA_FinishBooking_v1</t>
        </is>
      </c>
      <c r="M916" s="42" t="inlineStr">
        <is>
          <t>Static 1:1</t>
        </is>
      </c>
      <c r="N916" s="42" t="inlineStr">
        <is>
          <t>You left one field empty</t>
        </is>
      </c>
      <c r="O916" s="42" t="inlineStr">
        <is>
          <t>Auction - Lowest Cost</t>
        </is>
      </c>
      <c r="P916" s="42" t="inlineStr">
        <is>
          <t>Offsite Conversions</t>
        </is>
      </c>
      <c r="Q916" s="42" t="inlineStr">
        <is>
          <t>https://www.lepas-sa.co.za/book-a-test-drive</t>
        </is>
      </c>
      <c r="R916" s="115" t="n">
        <v>94.23999999999999</v>
      </c>
      <c r="S916" s="116" t="n">
        <v>1132</v>
      </c>
      <c r="T916" s="116" t="n">
        <v>834</v>
      </c>
      <c r="U916" s="117">
        <f>IFERROR(S916/T916,"")</f>
        <v/>
      </c>
      <c r="V916" s="116" t="n">
        <v>36</v>
      </c>
      <c r="W916" s="116" t="n">
        <v>29</v>
      </c>
      <c r="X916" s="118">
        <f>IFERROR(W916/S916,"")</f>
        <v/>
      </c>
      <c r="Y916" s="115">
        <f>IFERROR(R916/W916,"")</f>
        <v/>
      </c>
      <c r="Z916" s="115">
        <f>IFERROR(R916/S916*1000,"")</f>
        <v/>
      </c>
      <c r="AA916" s="116" t="n">
        <v>26</v>
      </c>
      <c r="AB916" s="47">
        <f>IFERROR(AA916/W916,"")</f>
        <v/>
      </c>
      <c r="AC916" s="116" t="n">
        <v>0</v>
      </c>
      <c r="AD916" s="116" t="n">
        <v>0</v>
      </c>
      <c r="AE916" s="116" t="n">
        <v>0</v>
      </c>
      <c r="AF916" s="116" t="n">
        <v>0</v>
      </c>
      <c r="AG916" s="116" t="n">
        <v>0</v>
      </c>
      <c r="AH916" s="116" t="n">
        <v>0</v>
      </c>
      <c r="AI916" s="47">
        <f>IFERROR(AC916/S916,"")</f>
        <v/>
      </c>
      <c r="AJ916" s="47">
        <f>IFERROR(AH916/S916,"")</f>
        <v/>
      </c>
      <c r="AK916" s="116" t="n">
        <v>26</v>
      </c>
      <c r="AL916" s="116" t="n">
        <v>0</v>
      </c>
      <c r="AM916" s="118">
        <f>IFERROR(AL916/AA916,"")</f>
        <v/>
      </c>
      <c r="AN916" s="119">
        <f>IFERROR(R916/AL916,"")</f>
        <v/>
      </c>
      <c r="AO916" s="116" t="n">
        <v>0</v>
      </c>
      <c r="AP916" s="47">
        <f>IFERROR(AO916/AL916,"")</f>
        <v/>
      </c>
      <c r="AQ916" s="119">
        <f>IFERROR(R916/AO916,"")</f>
        <v/>
      </c>
      <c r="AR916" s="116" t="n">
        <v>0</v>
      </c>
      <c r="AS916" s="116" t="n">
        <v>0</v>
      </c>
      <c r="AT916" s="116">
        <f>AL916+AR916</f>
        <v/>
      </c>
      <c r="AU916" s="119">
        <f>IFERROR(AO916*Assumptions!$C$26*Assumptions!$C$27*INDEX(Assumptions!$C$18:$C$21,MATCH(H916,Assumptions!$B$18:$B$21,0)),0)</f>
        <v/>
      </c>
    </row>
    <row r="917">
      <c r="A917" s="114" t="n">
        <v>46238</v>
      </c>
      <c r="B917" s="42" t="inlineStr">
        <is>
          <t>Wk 32</t>
        </is>
      </c>
      <c r="C917" s="42" t="inlineStr">
        <is>
          <t>Tue</t>
        </is>
      </c>
      <c r="D917" s="42" t="inlineStr">
        <is>
          <t>Meta (FB/IG)</t>
        </is>
      </c>
      <c r="E917" s="42" t="inlineStr">
        <is>
          <t>Facebook + Instagram</t>
        </is>
      </c>
      <c r="F917" s="42" t="inlineStr">
        <is>
          <t>LEP_ZA_AUG26_META_RMKT_ALL_CONV</t>
        </is>
      </c>
      <c r="G917" s="42" t="inlineStr">
        <is>
          <t>Leads - Website Conversions</t>
        </is>
      </c>
      <c r="H917" s="42" t="inlineStr">
        <is>
          <t>Range</t>
        </is>
      </c>
      <c r="I917" s="42" t="inlineStr">
        <is>
          <t>Range Offer</t>
        </is>
      </c>
      <c r="J917" s="42" t="inlineStr">
        <is>
          <t>MET_RMKT_FORMABANDON_ZA</t>
        </is>
      </c>
      <c r="K917" s="42" t="inlineStr">
        <is>
          <t>Retargeting</t>
        </is>
      </c>
      <c r="L917" s="42" t="inlineStr">
        <is>
          <t>RMKT_STA_FinishBooking_v1</t>
        </is>
      </c>
      <c r="M917" s="42" t="inlineStr">
        <is>
          <t>Static 1:1</t>
        </is>
      </c>
      <c r="N917" s="42" t="inlineStr">
        <is>
          <t>You left one field empty</t>
        </is>
      </c>
      <c r="O917" s="42" t="inlineStr">
        <is>
          <t>Auction - Lowest Cost</t>
        </is>
      </c>
      <c r="P917" s="42" t="inlineStr">
        <is>
          <t>Offsite Conversions</t>
        </is>
      </c>
      <c r="Q917" s="42" t="inlineStr">
        <is>
          <t>https://www.lepas-sa.co.za/book-a-test-drive</t>
        </is>
      </c>
      <c r="R917" s="115" t="n">
        <v>95.12</v>
      </c>
      <c r="S917" s="116" t="n">
        <v>1206</v>
      </c>
      <c r="T917" s="116" t="n">
        <v>909</v>
      </c>
      <c r="U917" s="117">
        <f>IFERROR(S917/T917,"")</f>
        <v/>
      </c>
      <c r="V917" s="116" t="n">
        <v>50</v>
      </c>
      <c r="W917" s="116" t="n">
        <v>40</v>
      </c>
      <c r="X917" s="118">
        <f>IFERROR(W917/S917,"")</f>
        <v/>
      </c>
      <c r="Y917" s="115">
        <f>IFERROR(R917/W917,"")</f>
        <v/>
      </c>
      <c r="Z917" s="115">
        <f>IFERROR(R917/S917*1000,"")</f>
        <v/>
      </c>
      <c r="AA917" s="116" t="n">
        <v>36</v>
      </c>
      <c r="AB917" s="47">
        <f>IFERROR(AA917/W917,"")</f>
        <v/>
      </c>
      <c r="AC917" s="116" t="n">
        <v>0</v>
      </c>
      <c r="AD917" s="116" t="n">
        <v>0</v>
      </c>
      <c r="AE917" s="116" t="n">
        <v>0</v>
      </c>
      <c r="AF917" s="116" t="n">
        <v>0</v>
      </c>
      <c r="AG917" s="116" t="n">
        <v>0</v>
      </c>
      <c r="AH917" s="116" t="n">
        <v>0</v>
      </c>
      <c r="AI917" s="47">
        <f>IFERROR(AC917/S917,"")</f>
        <v/>
      </c>
      <c r="AJ917" s="47">
        <f>IFERROR(AH917/S917,"")</f>
        <v/>
      </c>
      <c r="AK917" s="116" t="n">
        <v>16</v>
      </c>
      <c r="AL917" s="116" t="n">
        <v>1</v>
      </c>
      <c r="AM917" s="118">
        <f>IFERROR(AL917/AA917,"")</f>
        <v/>
      </c>
      <c r="AN917" s="119">
        <f>IFERROR(R917/AL917,"")</f>
        <v/>
      </c>
      <c r="AO917" s="116" t="n">
        <v>0</v>
      </c>
      <c r="AP917" s="47">
        <f>IFERROR(AO917/AL917,"")</f>
        <v/>
      </c>
      <c r="AQ917" s="119">
        <f>IFERROR(R917/AO917,"")</f>
        <v/>
      </c>
      <c r="AR917" s="116" t="n">
        <v>0</v>
      </c>
      <c r="AS917" s="116" t="n">
        <v>0</v>
      </c>
      <c r="AT917" s="116">
        <f>AL917+AR917</f>
        <v/>
      </c>
      <c r="AU917" s="119">
        <f>IFERROR(AO917*Assumptions!$C$26*Assumptions!$C$27*INDEX(Assumptions!$C$18:$C$21,MATCH(H917,Assumptions!$B$18:$B$21,0)),0)</f>
        <v/>
      </c>
    </row>
    <row r="918">
      <c r="A918" s="114" t="n">
        <v>46239</v>
      </c>
      <c r="B918" s="42" t="inlineStr">
        <is>
          <t>Wk 32</t>
        </is>
      </c>
      <c r="C918" s="42" t="inlineStr">
        <is>
          <t>Wed</t>
        </is>
      </c>
      <c r="D918" s="42" t="inlineStr">
        <is>
          <t>Meta (FB/IG)</t>
        </is>
      </c>
      <c r="E918" s="42" t="inlineStr">
        <is>
          <t>Facebook + Instagram</t>
        </is>
      </c>
      <c r="F918" s="42" t="inlineStr">
        <is>
          <t>LEP_ZA_AUG26_META_RMKT_ALL_CONV</t>
        </is>
      </c>
      <c r="G918" s="42" t="inlineStr">
        <is>
          <t>Leads - Website Conversions</t>
        </is>
      </c>
      <c r="H918" s="42" t="inlineStr">
        <is>
          <t>Range</t>
        </is>
      </c>
      <c r="I918" s="42" t="inlineStr">
        <is>
          <t>Range Offer</t>
        </is>
      </c>
      <c r="J918" s="42" t="inlineStr">
        <is>
          <t>MET_RMKT_FORMABANDON_ZA</t>
        </is>
      </c>
      <c r="K918" s="42" t="inlineStr">
        <is>
          <t>Retargeting</t>
        </is>
      </c>
      <c r="L918" s="42" t="inlineStr">
        <is>
          <t>RMKT_STA_FinishBooking_v1</t>
        </is>
      </c>
      <c r="M918" s="42" t="inlineStr">
        <is>
          <t>Static 1:1</t>
        </is>
      </c>
      <c r="N918" s="42" t="inlineStr">
        <is>
          <t>You left one field empty</t>
        </is>
      </c>
      <c r="O918" s="42" t="inlineStr">
        <is>
          <t>Auction - Lowest Cost</t>
        </is>
      </c>
      <c r="P918" s="42" t="inlineStr">
        <is>
          <t>Offsite Conversions</t>
        </is>
      </c>
      <c r="Q918" s="42" t="inlineStr">
        <is>
          <t>https://www.lepas-sa.co.za/book-a-test-drive</t>
        </is>
      </c>
      <c r="R918" s="115" t="n">
        <v>109.47</v>
      </c>
      <c r="S918" s="116" t="n">
        <v>1683</v>
      </c>
      <c r="T918" s="116" t="n">
        <v>1242</v>
      </c>
      <c r="U918" s="117">
        <f>IFERROR(S918/T918,"")</f>
        <v/>
      </c>
      <c r="V918" s="116" t="n">
        <v>68</v>
      </c>
      <c r="W918" s="116" t="n">
        <v>49</v>
      </c>
      <c r="X918" s="118">
        <f>IFERROR(W918/S918,"")</f>
        <v/>
      </c>
      <c r="Y918" s="115">
        <f>IFERROR(R918/W918,"")</f>
        <v/>
      </c>
      <c r="Z918" s="115">
        <f>IFERROR(R918/S918*1000,"")</f>
        <v/>
      </c>
      <c r="AA918" s="116" t="n">
        <v>40</v>
      </c>
      <c r="AB918" s="47">
        <f>IFERROR(AA918/W918,"")</f>
        <v/>
      </c>
      <c r="AC918" s="116" t="n">
        <v>0</v>
      </c>
      <c r="AD918" s="116" t="n">
        <v>0</v>
      </c>
      <c r="AE918" s="116" t="n">
        <v>0</v>
      </c>
      <c r="AF918" s="116" t="n">
        <v>0</v>
      </c>
      <c r="AG918" s="116" t="n">
        <v>0</v>
      </c>
      <c r="AH918" s="116" t="n">
        <v>0</v>
      </c>
      <c r="AI918" s="47">
        <f>IFERROR(AC918/S918,"")</f>
        <v/>
      </c>
      <c r="AJ918" s="47">
        <f>IFERROR(AH918/S918,"")</f>
        <v/>
      </c>
      <c r="AK918" s="116" t="n">
        <v>51</v>
      </c>
      <c r="AL918" s="116" t="n">
        <v>1</v>
      </c>
      <c r="AM918" s="118">
        <f>IFERROR(AL918/AA918,"")</f>
        <v/>
      </c>
      <c r="AN918" s="119">
        <f>IFERROR(R918/AL918,"")</f>
        <v/>
      </c>
      <c r="AO918" s="116" t="n">
        <v>0</v>
      </c>
      <c r="AP918" s="47">
        <f>IFERROR(AO918/AL918,"")</f>
        <v/>
      </c>
      <c r="AQ918" s="119">
        <f>IFERROR(R918/AO918,"")</f>
        <v/>
      </c>
      <c r="AR918" s="116" t="n">
        <v>0</v>
      </c>
      <c r="AS918" s="116" t="n">
        <v>0</v>
      </c>
      <c r="AT918" s="116">
        <f>AL918+AR918</f>
        <v/>
      </c>
      <c r="AU918" s="119">
        <f>IFERROR(AO918*Assumptions!$C$26*Assumptions!$C$27*INDEX(Assumptions!$C$18:$C$21,MATCH(H918,Assumptions!$B$18:$B$21,0)),0)</f>
        <v/>
      </c>
    </row>
    <row r="919">
      <c r="A919" s="114" t="n">
        <v>46240</v>
      </c>
      <c r="B919" s="42" t="inlineStr">
        <is>
          <t>Wk 32</t>
        </is>
      </c>
      <c r="C919" s="42" t="inlineStr">
        <is>
          <t>Thu</t>
        </is>
      </c>
      <c r="D919" s="42" t="inlineStr">
        <is>
          <t>Meta (FB/IG)</t>
        </is>
      </c>
      <c r="E919" s="42" t="inlineStr">
        <is>
          <t>Facebook + Instagram</t>
        </is>
      </c>
      <c r="F919" s="42" t="inlineStr">
        <is>
          <t>LEP_ZA_AUG26_META_RMKT_ALL_CONV</t>
        </is>
      </c>
      <c r="G919" s="42" t="inlineStr">
        <is>
          <t>Leads - Website Conversions</t>
        </is>
      </c>
      <c r="H919" s="42" t="inlineStr">
        <is>
          <t>Range</t>
        </is>
      </c>
      <c r="I919" s="42" t="inlineStr">
        <is>
          <t>Range Offer</t>
        </is>
      </c>
      <c r="J919" s="42" t="inlineStr">
        <is>
          <t>MET_RMKT_FORMABANDON_ZA</t>
        </is>
      </c>
      <c r="K919" s="42" t="inlineStr">
        <is>
          <t>Retargeting</t>
        </is>
      </c>
      <c r="L919" s="42" t="inlineStr">
        <is>
          <t>RMKT_STA_FinishBooking_v1</t>
        </is>
      </c>
      <c r="M919" s="42" t="inlineStr">
        <is>
          <t>Static 1:1</t>
        </is>
      </c>
      <c r="N919" s="42" t="inlineStr">
        <is>
          <t>You left one field empty</t>
        </is>
      </c>
      <c r="O919" s="42" t="inlineStr">
        <is>
          <t>Auction - Lowest Cost</t>
        </is>
      </c>
      <c r="P919" s="42" t="inlineStr">
        <is>
          <t>Offsite Conversions</t>
        </is>
      </c>
      <c r="Q919" s="42" t="inlineStr">
        <is>
          <t>https://www.lepas-sa.co.za/book-a-test-drive</t>
        </is>
      </c>
      <c r="R919" s="115" t="n">
        <v>129.6</v>
      </c>
      <c r="S919" s="116" t="n">
        <v>1622</v>
      </c>
      <c r="T919" s="116" t="n">
        <v>1352</v>
      </c>
      <c r="U919" s="117">
        <f>IFERROR(S919/T919,"")</f>
        <v/>
      </c>
      <c r="V919" s="116" t="n">
        <v>48</v>
      </c>
      <c r="W919" s="116" t="n">
        <v>34</v>
      </c>
      <c r="X919" s="118">
        <f>IFERROR(W919/S919,"")</f>
        <v/>
      </c>
      <c r="Y919" s="115">
        <f>IFERROR(R919/W919,"")</f>
        <v/>
      </c>
      <c r="Z919" s="115">
        <f>IFERROR(R919/S919*1000,"")</f>
        <v/>
      </c>
      <c r="AA919" s="116" t="n">
        <v>30</v>
      </c>
      <c r="AB919" s="47">
        <f>IFERROR(AA919/W919,"")</f>
        <v/>
      </c>
      <c r="AC919" s="116" t="n">
        <v>0</v>
      </c>
      <c r="AD919" s="116" t="n">
        <v>0</v>
      </c>
      <c r="AE919" s="116" t="n">
        <v>0</v>
      </c>
      <c r="AF919" s="116" t="n">
        <v>0</v>
      </c>
      <c r="AG919" s="116" t="n">
        <v>0</v>
      </c>
      <c r="AH919" s="116" t="n">
        <v>0</v>
      </c>
      <c r="AI919" s="47">
        <f>IFERROR(AC919/S919,"")</f>
        <v/>
      </c>
      <c r="AJ919" s="47">
        <f>IFERROR(AH919/S919,"")</f>
        <v/>
      </c>
      <c r="AK919" s="116" t="n">
        <v>29</v>
      </c>
      <c r="AL919" s="116" t="n">
        <v>1</v>
      </c>
      <c r="AM919" s="118">
        <f>IFERROR(AL919/AA919,"")</f>
        <v/>
      </c>
      <c r="AN919" s="119">
        <f>IFERROR(R919/AL919,"")</f>
        <v/>
      </c>
      <c r="AO919" s="116" t="n">
        <v>0</v>
      </c>
      <c r="AP919" s="47">
        <f>IFERROR(AO919/AL919,"")</f>
        <v/>
      </c>
      <c r="AQ919" s="119">
        <f>IFERROR(R919/AO919,"")</f>
        <v/>
      </c>
      <c r="AR919" s="116" t="n">
        <v>0</v>
      </c>
      <c r="AS919" s="116" t="n">
        <v>0</v>
      </c>
      <c r="AT919" s="116">
        <f>AL919+AR919</f>
        <v/>
      </c>
      <c r="AU919" s="119">
        <f>IFERROR(AO919*Assumptions!$C$26*Assumptions!$C$27*INDEX(Assumptions!$C$18:$C$21,MATCH(H919,Assumptions!$B$18:$B$21,0)),0)</f>
        <v/>
      </c>
    </row>
    <row r="920">
      <c r="A920" s="114" t="n">
        <v>46241</v>
      </c>
      <c r="B920" s="42" t="inlineStr">
        <is>
          <t>Wk 32</t>
        </is>
      </c>
      <c r="C920" s="42" t="inlineStr">
        <is>
          <t>Fri</t>
        </is>
      </c>
      <c r="D920" s="42" t="inlineStr">
        <is>
          <t>Meta (FB/IG)</t>
        </is>
      </c>
      <c r="E920" s="42" t="inlineStr">
        <is>
          <t>Facebook + Instagram</t>
        </is>
      </c>
      <c r="F920" s="42" t="inlineStr">
        <is>
          <t>LEP_ZA_AUG26_META_RMKT_ALL_CONV</t>
        </is>
      </c>
      <c r="G920" s="42" t="inlineStr">
        <is>
          <t>Leads - Website Conversions</t>
        </is>
      </c>
      <c r="H920" s="42" t="inlineStr">
        <is>
          <t>Range</t>
        </is>
      </c>
      <c r="I920" s="42" t="inlineStr">
        <is>
          <t>Range Offer</t>
        </is>
      </c>
      <c r="J920" s="42" t="inlineStr">
        <is>
          <t>MET_RMKT_FORMABANDON_ZA</t>
        </is>
      </c>
      <c r="K920" s="42" t="inlineStr">
        <is>
          <t>Retargeting</t>
        </is>
      </c>
      <c r="L920" s="42" t="inlineStr">
        <is>
          <t>RMKT_STA_FinishBooking_v1</t>
        </is>
      </c>
      <c r="M920" s="42" t="inlineStr">
        <is>
          <t>Static 1:1</t>
        </is>
      </c>
      <c r="N920" s="42" t="inlineStr">
        <is>
          <t>You left one field empty</t>
        </is>
      </c>
      <c r="O920" s="42" t="inlineStr">
        <is>
          <t>Auction - Lowest Cost</t>
        </is>
      </c>
      <c r="P920" s="42" t="inlineStr">
        <is>
          <t>Offsite Conversions</t>
        </is>
      </c>
      <c r="Q920" s="42" t="inlineStr">
        <is>
          <t>https://www.lepas-sa.co.za/book-a-test-drive</t>
        </is>
      </c>
      <c r="R920" s="115" t="n">
        <v>131.15</v>
      </c>
      <c r="S920" s="116" t="n">
        <v>1317</v>
      </c>
      <c r="T920" s="116" t="n">
        <v>833</v>
      </c>
      <c r="U920" s="117">
        <f>IFERROR(S920/T920,"")</f>
        <v/>
      </c>
      <c r="V920" s="116" t="n">
        <v>58</v>
      </c>
      <c r="W920" s="116" t="n">
        <v>42</v>
      </c>
      <c r="X920" s="118">
        <f>IFERROR(W920/S920,"")</f>
        <v/>
      </c>
      <c r="Y920" s="115">
        <f>IFERROR(R920/W920,"")</f>
        <v/>
      </c>
      <c r="Z920" s="115">
        <f>IFERROR(R920/S920*1000,"")</f>
        <v/>
      </c>
      <c r="AA920" s="116" t="n">
        <v>36</v>
      </c>
      <c r="AB920" s="47">
        <f>IFERROR(AA920/W920,"")</f>
        <v/>
      </c>
      <c r="AC920" s="116" t="n">
        <v>0</v>
      </c>
      <c r="AD920" s="116" t="n">
        <v>0</v>
      </c>
      <c r="AE920" s="116" t="n">
        <v>0</v>
      </c>
      <c r="AF920" s="116" t="n">
        <v>0</v>
      </c>
      <c r="AG920" s="116" t="n">
        <v>0</v>
      </c>
      <c r="AH920" s="116" t="n">
        <v>0</v>
      </c>
      <c r="AI920" s="47">
        <f>IFERROR(AC920/S920,"")</f>
        <v/>
      </c>
      <c r="AJ920" s="47">
        <f>IFERROR(AH920/S920,"")</f>
        <v/>
      </c>
      <c r="AK920" s="116" t="n">
        <v>31</v>
      </c>
      <c r="AL920" s="116" t="n">
        <v>1</v>
      </c>
      <c r="AM920" s="118">
        <f>IFERROR(AL920/AA920,"")</f>
        <v/>
      </c>
      <c r="AN920" s="119">
        <f>IFERROR(R920/AL920,"")</f>
        <v/>
      </c>
      <c r="AO920" s="116" t="n">
        <v>1</v>
      </c>
      <c r="AP920" s="47">
        <f>IFERROR(AO920/AL920,"")</f>
        <v/>
      </c>
      <c r="AQ920" s="119">
        <f>IFERROR(R920/AO920,"")</f>
        <v/>
      </c>
      <c r="AR920" s="116" t="n">
        <v>0</v>
      </c>
      <c r="AS920" s="116" t="n">
        <v>1</v>
      </c>
      <c r="AT920" s="116">
        <f>AL920+AR920</f>
        <v/>
      </c>
      <c r="AU920" s="119">
        <f>IFERROR(AO920*Assumptions!$C$26*Assumptions!$C$27*INDEX(Assumptions!$C$18:$C$21,MATCH(H920,Assumptions!$B$18:$B$21,0)),0)</f>
        <v/>
      </c>
    </row>
    <row r="921">
      <c r="A921" s="114" t="n">
        <v>46242</v>
      </c>
      <c r="B921" s="42" t="inlineStr">
        <is>
          <t>Wk 32</t>
        </is>
      </c>
      <c r="C921" s="42" t="inlineStr">
        <is>
          <t>Sat</t>
        </is>
      </c>
      <c r="D921" s="42" t="inlineStr">
        <is>
          <t>Meta (FB/IG)</t>
        </is>
      </c>
      <c r="E921" s="42" t="inlineStr">
        <is>
          <t>Facebook + Instagram</t>
        </is>
      </c>
      <c r="F921" s="42" t="inlineStr">
        <is>
          <t>LEP_ZA_AUG26_META_RMKT_ALL_CONV</t>
        </is>
      </c>
      <c r="G921" s="42" t="inlineStr">
        <is>
          <t>Leads - Website Conversions</t>
        </is>
      </c>
      <c r="H921" s="42" t="inlineStr">
        <is>
          <t>Range</t>
        </is>
      </c>
      <c r="I921" s="42" t="inlineStr">
        <is>
          <t>Range Offer</t>
        </is>
      </c>
      <c r="J921" s="42" t="inlineStr">
        <is>
          <t>MET_RMKT_FORMABANDON_ZA</t>
        </is>
      </c>
      <c r="K921" s="42" t="inlineStr">
        <is>
          <t>Retargeting</t>
        </is>
      </c>
      <c r="L921" s="42" t="inlineStr">
        <is>
          <t>RMKT_STA_FinishBooking_v1</t>
        </is>
      </c>
      <c r="M921" s="42" t="inlineStr">
        <is>
          <t>Static 1:1</t>
        </is>
      </c>
      <c r="N921" s="42" t="inlineStr">
        <is>
          <t>You left one field empty</t>
        </is>
      </c>
      <c r="O921" s="42" t="inlineStr">
        <is>
          <t>Auction - Lowest Cost</t>
        </is>
      </c>
      <c r="P921" s="42" t="inlineStr">
        <is>
          <t>Offsite Conversions</t>
        </is>
      </c>
      <c r="Q921" s="42" t="inlineStr">
        <is>
          <t>https://www.lepas-sa.co.za/book-a-test-drive</t>
        </is>
      </c>
      <c r="R921" s="115" t="n">
        <v>133.37</v>
      </c>
      <c r="S921" s="116" t="n">
        <v>1408</v>
      </c>
      <c r="T921" s="116" t="n">
        <v>950</v>
      </c>
      <c r="U921" s="117">
        <f>IFERROR(S921/T921,"")</f>
        <v/>
      </c>
      <c r="V921" s="116" t="n">
        <v>44</v>
      </c>
      <c r="W921" s="116" t="n">
        <v>32</v>
      </c>
      <c r="X921" s="118">
        <f>IFERROR(W921/S921,"")</f>
        <v/>
      </c>
      <c r="Y921" s="115">
        <f>IFERROR(R921/W921,"")</f>
        <v/>
      </c>
      <c r="Z921" s="115">
        <f>IFERROR(R921/S921*1000,"")</f>
        <v/>
      </c>
      <c r="AA921" s="116" t="n">
        <v>28</v>
      </c>
      <c r="AB921" s="47">
        <f>IFERROR(AA921/W921,"")</f>
        <v/>
      </c>
      <c r="AC921" s="116" t="n">
        <v>0</v>
      </c>
      <c r="AD921" s="116" t="n">
        <v>0</v>
      </c>
      <c r="AE921" s="116" t="n">
        <v>0</v>
      </c>
      <c r="AF921" s="116" t="n">
        <v>0</v>
      </c>
      <c r="AG921" s="116" t="n">
        <v>0</v>
      </c>
      <c r="AH921" s="116" t="n">
        <v>0</v>
      </c>
      <c r="AI921" s="47">
        <f>IFERROR(AC921/S921,"")</f>
        <v/>
      </c>
      <c r="AJ921" s="47">
        <f>IFERROR(AH921/S921,"")</f>
        <v/>
      </c>
      <c r="AK921" s="116" t="n">
        <v>49</v>
      </c>
      <c r="AL921" s="116" t="n">
        <v>1</v>
      </c>
      <c r="AM921" s="118">
        <f>IFERROR(AL921/AA921,"")</f>
        <v/>
      </c>
      <c r="AN921" s="119">
        <f>IFERROR(R921/AL921,"")</f>
        <v/>
      </c>
      <c r="AO921" s="116" t="n">
        <v>1</v>
      </c>
      <c r="AP921" s="47">
        <f>IFERROR(AO921/AL921,"")</f>
        <v/>
      </c>
      <c r="AQ921" s="119">
        <f>IFERROR(R921/AO921,"")</f>
        <v/>
      </c>
      <c r="AR921" s="116" t="n">
        <v>0</v>
      </c>
      <c r="AS921" s="116" t="n">
        <v>0</v>
      </c>
      <c r="AT921" s="116">
        <f>AL921+AR921</f>
        <v/>
      </c>
      <c r="AU921" s="119">
        <f>IFERROR(AO921*Assumptions!$C$26*Assumptions!$C$27*INDEX(Assumptions!$C$18:$C$21,MATCH(H921,Assumptions!$B$18:$B$21,0)),0)</f>
        <v/>
      </c>
    </row>
    <row r="922">
      <c r="A922" s="114" t="n">
        <v>46243</v>
      </c>
      <c r="B922" s="42" t="inlineStr">
        <is>
          <t>Wk 32</t>
        </is>
      </c>
      <c r="C922" s="42" t="inlineStr">
        <is>
          <t>Sun</t>
        </is>
      </c>
      <c r="D922" s="42" t="inlineStr">
        <is>
          <t>Meta (FB/IG)</t>
        </is>
      </c>
      <c r="E922" s="42" t="inlineStr">
        <is>
          <t>Facebook + Instagram</t>
        </is>
      </c>
      <c r="F922" s="42" t="inlineStr">
        <is>
          <t>LEP_ZA_AUG26_META_RMKT_ALL_CONV</t>
        </is>
      </c>
      <c r="G922" s="42" t="inlineStr">
        <is>
          <t>Leads - Website Conversions</t>
        </is>
      </c>
      <c r="H922" s="42" t="inlineStr">
        <is>
          <t>Range</t>
        </is>
      </c>
      <c r="I922" s="42" t="inlineStr">
        <is>
          <t>Range Offer</t>
        </is>
      </c>
      <c r="J922" s="42" t="inlineStr">
        <is>
          <t>MET_RMKT_FORMABANDON_ZA</t>
        </is>
      </c>
      <c r="K922" s="42" t="inlineStr">
        <is>
          <t>Retargeting</t>
        </is>
      </c>
      <c r="L922" s="42" t="inlineStr">
        <is>
          <t>RMKT_STA_FinishBooking_v1</t>
        </is>
      </c>
      <c r="M922" s="42" t="inlineStr">
        <is>
          <t>Static 1:1</t>
        </is>
      </c>
      <c r="N922" s="42" t="inlineStr">
        <is>
          <t>You left one field empty</t>
        </is>
      </c>
      <c r="O922" s="42" t="inlineStr">
        <is>
          <t>Auction - Lowest Cost</t>
        </is>
      </c>
      <c r="P922" s="42" t="inlineStr">
        <is>
          <t>Offsite Conversions</t>
        </is>
      </c>
      <c r="Q922" s="42" t="inlineStr">
        <is>
          <t>https://www.lepas-sa.co.za/book-a-test-drive</t>
        </is>
      </c>
      <c r="R922" s="115" t="n">
        <v>90.73</v>
      </c>
      <c r="S922" s="116" t="n">
        <v>952</v>
      </c>
      <c r="T922" s="116" t="n">
        <v>572</v>
      </c>
      <c r="U922" s="117">
        <f>IFERROR(S922/T922,"")</f>
        <v/>
      </c>
      <c r="V922" s="116" t="n">
        <v>31</v>
      </c>
      <c r="W922" s="116" t="n">
        <v>23</v>
      </c>
      <c r="X922" s="118">
        <f>IFERROR(W922/S922,"")</f>
        <v/>
      </c>
      <c r="Y922" s="115">
        <f>IFERROR(R922/W922,"")</f>
        <v/>
      </c>
      <c r="Z922" s="115">
        <f>IFERROR(R922/S922*1000,"")</f>
        <v/>
      </c>
      <c r="AA922" s="116" t="n">
        <v>18</v>
      </c>
      <c r="AB922" s="47">
        <f>IFERROR(AA922/W922,"")</f>
        <v/>
      </c>
      <c r="AC922" s="116" t="n">
        <v>0</v>
      </c>
      <c r="AD922" s="116" t="n">
        <v>0</v>
      </c>
      <c r="AE922" s="116" t="n">
        <v>0</v>
      </c>
      <c r="AF922" s="116" t="n">
        <v>0</v>
      </c>
      <c r="AG922" s="116" t="n">
        <v>0</v>
      </c>
      <c r="AH922" s="116" t="n">
        <v>0</v>
      </c>
      <c r="AI922" s="47">
        <f>IFERROR(AC922/S922,"")</f>
        <v/>
      </c>
      <c r="AJ922" s="47">
        <f>IFERROR(AH922/S922,"")</f>
        <v/>
      </c>
      <c r="AK922" s="116" t="n">
        <v>16</v>
      </c>
      <c r="AL922" s="116" t="n">
        <v>1</v>
      </c>
      <c r="AM922" s="118">
        <f>IFERROR(AL922/AA922,"")</f>
        <v/>
      </c>
      <c r="AN922" s="119">
        <f>IFERROR(R922/AL922,"")</f>
        <v/>
      </c>
      <c r="AO922" s="116" t="n">
        <v>1</v>
      </c>
      <c r="AP922" s="47">
        <f>IFERROR(AO922/AL922,"")</f>
        <v/>
      </c>
      <c r="AQ922" s="119">
        <f>IFERROR(R922/AO922,"")</f>
        <v/>
      </c>
      <c r="AR922" s="116" t="n">
        <v>0</v>
      </c>
      <c r="AS922" s="116" t="n">
        <v>0</v>
      </c>
      <c r="AT922" s="116">
        <f>AL922+AR922</f>
        <v/>
      </c>
      <c r="AU922" s="119">
        <f>IFERROR(AO922*Assumptions!$C$26*Assumptions!$C$27*INDEX(Assumptions!$C$18:$C$21,MATCH(H922,Assumptions!$B$18:$B$21,0)),0)</f>
        <v/>
      </c>
    </row>
    <row r="923">
      <c r="A923" s="114" t="n">
        <v>46244</v>
      </c>
      <c r="B923" s="42" t="inlineStr">
        <is>
          <t>Wk 33</t>
        </is>
      </c>
      <c r="C923" s="42" t="inlineStr">
        <is>
          <t>Mon</t>
        </is>
      </c>
      <c r="D923" s="42" t="inlineStr">
        <is>
          <t>Meta (FB/IG)</t>
        </is>
      </c>
      <c r="E923" s="42" t="inlineStr">
        <is>
          <t>Facebook + Instagram</t>
        </is>
      </c>
      <c r="F923" s="42" t="inlineStr">
        <is>
          <t>LEP_ZA_AUG26_META_RMKT_ALL_CONV</t>
        </is>
      </c>
      <c r="G923" s="42" t="inlineStr">
        <is>
          <t>Leads - Website Conversions</t>
        </is>
      </c>
      <c r="H923" s="42" t="inlineStr">
        <is>
          <t>Range</t>
        </is>
      </c>
      <c r="I923" s="42" t="inlineStr">
        <is>
          <t>Range Offer</t>
        </is>
      </c>
      <c r="J923" s="42" t="inlineStr">
        <is>
          <t>MET_RMKT_FORMABANDON_ZA</t>
        </is>
      </c>
      <c r="K923" s="42" t="inlineStr">
        <is>
          <t>Retargeting</t>
        </is>
      </c>
      <c r="L923" s="42" t="inlineStr">
        <is>
          <t>RMKT_STA_FinishBooking_v1</t>
        </is>
      </c>
      <c r="M923" s="42" t="inlineStr">
        <is>
          <t>Static 1:1</t>
        </is>
      </c>
      <c r="N923" s="42" t="inlineStr">
        <is>
          <t>You left one field empty</t>
        </is>
      </c>
      <c r="O923" s="42" t="inlineStr">
        <is>
          <t>Auction - Lowest Cost</t>
        </is>
      </c>
      <c r="P923" s="42" t="inlineStr">
        <is>
          <t>Offsite Conversions</t>
        </is>
      </c>
      <c r="Q923" s="42" t="inlineStr">
        <is>
          <t>https://www.lepas-sa.co.za/book-a-test-drive</t>
        </is>
      </c>
      <c r="R923" s="115" t="n">
        <v>127.36</v>
      </c>
      <c r="S923" s="116" t="n">
        <v>1703</v>
      </c>
      <c r="T923" s="116" t="n">
        <v>1336</v>
      </c>
      <c r="U923" s="117">
        <f>IFERROR(S923/T923,"")</f>
        <v/>
      </c>
      <c r="V923" s="116" t="n">
        <v>40</v>
      </c>
      <c r="W923" s="116" t="n">
        <v>32</v>
      </c>
      <c r="X923" s="118">
        <f>IFERROR(W923/S923,"")</f>
        <v/>
      </c>
      <c r="Y923" s="115">
        <f>IFERROR(R923/W923,"")</f>
        <v/>
      </c>
      <c r="Z923" s="115">
        <f>IFERROR(R923/S923*1000,"")</f>
        <v/>
      </c>
      <c r="AA923" s="116" t="n">
        <v>27</v>
      </c>
      <c r="AB923" s="47">
        <f>IFERROR(AA923/W923,"")</f>
        <v/>
      </c>
      <c r="AC923" s="116" t="n">
        <v>0</v>
      </c>
      <c r="AD923" s="116" t="n">
        <v>0</v>
      </c>
      <c r="AE923" s="116" t="n">
        <v>0</v>
      </c>
      <c r="AF923" s="116" t="n">
        <v>0</v>
      </c>
      <c r="AG923" s="116" t="n">
        <v>0</v>
      </c>
      <c r="AH923" s="116" t="n">
        <v>0</v>
      </c>
      <c r="AI923" s="47">
        <f>IFERROR(AC923/S923,"")</f>
        <v/>
      </c>
      <c r="AJ923" s="47">
        <f>IFERROR(AH923/S923,"")</f>
        <v/>
      </c>
      <c r="AK923" s="116" t="n">
        <v>32</v>
      </c>
      <c r="AL923" s="116" t="n">
        <v>1</v>
      </c>
      <c r="AM923" s="118">
        <f>IFERROR(AL923/AA923,"")</f>
        <v/>
      </c>
      <c r="AN923" s="119">
        <f>IFERROR(R923/AL923,"")</f>
        <v/>
      </c>
      <c r="AO923" s="116" t="n">
        <v>1</v>
      </c>
      <c r="AP923" s="47">
        <f>IFERROR(AO923/AL923,"")</f>
        <v/>
      </c>
      <c r="AQ923" s="119">
        <f>IFERROR(R923/AO923,"")</f>
        <v/>
      </c>
      <c r="AR923" s="116" t="n">
        <v>1</v>
      </c>
      <c r="AS923" s="116" t="n">
        <v>1</v>
      </c>
      <c r="AT923" s="116">
        <f>AL923+AR923</f>
        <v/>
      </c>
      <c r="AU923" s="119">
        <f>IFERROR(AO923*Assumptions!$C$26*Assumptions!$C$27*INDEX(Assumptions!$C$18:$C$21,MATCH(H923,Assumptions!$B$18:$B$21,0)),0)</f>
        <v/>
      </c>
    </row>
    <row r="924">
      <c r="A924" s="114" t="n">
        <v>46245</v>
      </c>
      <c r="B924" s="42" t="inlineStr">
        <is>
          <t>Wk 33</t>
        </is>
      </c>
      <c r="C924" s="42" t="inlineStr">
        <is>
          <t>Tue</t>
        </is>
      </c>
      <c r="D924" s="42" t="inlineStr">
        <is>
          <t>Meta (FB/IG)</t>
        </is>
      </c>
      <c r="E924" s="42" t="inlineStr">
        <is>
          <t>Facebook + Instagram</t>
        </is>
      </c>
      <c r="F924" s="42" t="inlineStr">
        <is>
          <t>LEP_ZA_AUG26_META_RMKT_ALL_CONV</t>
        </is>
      </c>
      <c r="G924" s="42" t="inlineStr">
        <is>
          <t>Leads - Website Conversions</t>
        </is>
      </c>
      <c r="H924" s="42" t="inlineStr">
        <is>
          <t>Range</t>
        </is>
      </c>
      <c r="I924" s="42" t="inlineStr">
        <is>
          <t>Range Offer</t>
        </is>
      </c>
      <c r="J924" s="42" t="inlineStr">
        <is>
          <t>MET_RMKT_FORMABANDON_ZA</t>
        </is>
      </c>
      <c r="K924" s="42" t="inlineStr">
        <is>
          <t>Retargeting</t>
        </is>
      </c>
      <c r="L924" s="42" t="inlineStr">
        <is>
          <t>RMKT_STA_FinishBooking_v1</t>
        </is>
      </c>
      <c r="M924" s="42" t="inlineStr">
        <is>
          <t>Static 1:1</t>
        </is>
      </c>
      <c r="N924" s="42" t="inlineStr">
        <is>
          <t>You left one field empty</t>
        </is>
      </c>
      <c r="O924" s="42" t="inlineStr">
        <is>
          <t>Auction - Lowest Cost</t>
        </is>
      </c>
      <c r="P924" s="42" t="inlineStr">
        <is>
          <t>Offsite Conversions</t>
        </is>
      </c>
      <c r="Q924" s="42" t="inlineStr">
        <is>
          <t>https://www.lepas-sa.co.za/book-a-test-drive</t>
        </is>
      </c>
      <c r="R924" s="115" t="n">
        <v>87.33</v>
      </c>
      <c r="S924" s="116" t="n">
        <v>861</v>
      </c>
      <c r="T924" s="116" t="n">
        <v>659</v>
      </c>
      <c r="U924" s="117">
        <f>IFERROR(S924/T924,"")</f>
        <v/>
      </c>
      <c r="V924" s="116" t="n">
        <v>26</v>
      </c>
      <c r="W924" s="116" t="n">
        <v>22</v>
      </c>
      <c r="X924" s="118">
        <f>IFERROR(W924/S924,"")</f>
        <v/>
      </c>
      <c r="Y924" s="115">
        <f>IFERROR(R924/W924,"")</f>
        <v/>
      </c>
      <c r="Z924" s="115">
        <f>IFERROR(R924/S924*1000,"")</f>
        <v/>
      </c>
      <c r="AA924" s="116" t="n">
        <v>17</v>
      </c>
      <c r="AB924" s="47">
        <f>IFERROR(AA924/W924,"")</f>
        <v/>
      </c>
      <c r="AC924" s="116" t="n">
        <v>0</v>
      </c>
      <c r="AD924" s="116" t="n">
        <v>0</v>
      </c>
      <c r="AE924" s="116" t="n">
        <v>0</v>
      </c>
      <c r="AF924" s="116" t="n">
        <v>0</v>
      </c>
      <c r="AG924" s="116" t="n">
        <v>0</v>
      </c>
      <c r="AH924" s="116" t="n">
        <v>0</v>
      </c>
      <c r="AI924" s="47">
        <f>IFERROR(AC924/S924,"")</f>
        <v/>
      </c>
      <c r="AJ924" s="47">
        <f>IFERROR(AH924/S924,"")</f>
        <v/>
      </c>
      <c r="AK924" s="116" t="n">
        <v>17</v>
      </c>
      <c r="AL924" s="116" t="n">
        <v>1</v>
      </c>
      <c r="AM924" s="118">
        <f>IFERROR(AL924/AA924,"")</f>
        <v/>
      </c>
      <c r="AN924" s="119">
        <f>IFERROR(R924/AL924,"")</f>
        <v/>
      </c>
      <c r="AO924" s="116" t="n">
        <v>1</v>
      </c>
      <c r="AP924" s="47">
        <f>IFERROR(AO924/AL924,"")</f>
        <v/>
      </c>
      <c r="AQ924" s="119">
        <f>IFERROR(R924/AO924,"")</f>
        <v/>
      </c>
      <c r="AR924" s="116" t="n">
        <v>0</v>
      </c>
      <c r="AS924" s="116" t="n">
        <v>0</v>
      </c>
      <c r="AT924" s="116">
        <f>AL924+AR924</f>
        <v/>
      </c>
      <c r="AU924" s="119">
        <f>IFERROR(AO924*Assumptions!$C$26*Assumptions!$C$27*INDEX(Assumptions!$C$18:$C$21,MATCH(H924,Assumptions!$B$18:$B$21,0)),0)</f>
        <v/>
      </c>
    </row>
    <row r="925">
      <c r="A925" s="114" t="n">
        <v>46246</v>
      </c>
      <c r="B925" s="42" t="inlineStr">
        <is>
          <t>Wk 33</t>
        </is>
      </c>
      <c r="C925" s="42" t="inlineStr">
        <is>
          <t>Wed</t>
        </is>
      </c>
      <c r="D925" s="42" t="inlineStr">
        <is>
          <t>Meta (FB/IG)</t>
        </is>
      </c>
      <c r="E925" s="42" t="inlineStr">
        <is>
          <t>Facebook + Instagram</t>
        </is>
      </c>
      <c r="F925" s="42" t="inlineStr">
        <is>
          <t>LEP_ZA_AUG26_META_RMKT_ALL_CONV</t>
        </is>
      </c>
      <c r="G925" s="42" t="inlineStr">
        <is>
          <t>Leads - Website Conversions</t>
        </is>
      </c>
      <c r="H925" s="42" t="inlineStr">
        <is>
          <t>Range</t>
        </is>
      </c>
      <c r="I925" s="42" t="inlineStr">
        <is>
          <t>Range Offer</t>
        </is>
      </c>
      <c r="J925" s="42" t="inlineStr">
        <is>
          <t>MET_RMKT_FORMABANDON_ZA</t>
        </is>
      </c>
      <c r="K925" s="42" t="inlineStr">
        <is>
          <t>Retargeting</t>
        </is>
      </c>
      <c r="L925" s="42" t="inlineStr">
        <is>
          <t>RMKT_STA_FinishBooking_v1</t>
        </is>
      </c>
      <c r="M925" s="42" t="inlineStr">
        <is>
          <t>Static 1:1</t>
        </is>
      </c>
      <c r="N925" s="42" t="inlineStr">
        <is>
          <t>You left one field empty</t>
        </is>
      </c>
      <c r="O925" s="42" t="inlineStr">
        <is>
          <t>Auction - Lowest Cost</t>
        </is>
      </c>
      <c r="P925" s="42" t="inlineStr">
        <is>
          <t>Offsite Conversions</t>
        </is>
      </c>
      <c r="Q925" s="42" t="inlineStr">
        <is>
          <t>https://www.lepas-sa.co.za/book-a-test-drive</t>
        </is>
      </c>
      <c r="R925" s="115" t="n">
        <v>96.17</v>
      </c>
      <c r="S925" s="116" t="n">
        <v>965</v>
      </c>
      <c r="T925" s="116" t="n">
        <v>601</v>
      </c>
      <c r="U925" s="117">
        <f>IFERROR(S925/T925,"")</f>
        <v/>
      </c>
      <c r="V925" s="116" t="n">
        <v>31</v>
      </c>
      <c r="W925" s="116" t="n">
        <v>23</v>
      </c>
      <c r="X925" s="118">
        <f>IFERROR(W925/S925,"")</f>
        <v/>
      </c>
      <c r="Y925" s="115">
        <f>IFERROR(R925/W925,"")</f>
        <v/>
      </c>
      <c r="Z925" s="115">
        <f>IFERROR(R925/S925*1000,"")</f>
        <v/>
      </c>
      <c r="AA925" s="116" t="n">
        <v>21</v>
      </c>
      <c r="AB925" s="47">
        <f>IFERROR(AA925/W925,"")</f>
        <v/>
      </c>
      <c r="AC925" s="116" t="n">
        <v>0</v>
      </c>
      <c r="AD925" s="116" t="n">
        <v>0</v>
      </c>
      <c r="AE925" s="116" t="n">
        <v>0</v>
      </c>
      <c r="AF925" s="116" t="n">
        <v>0</v>
      </c>
      <c r="AG925" s="116" t="n">
        <v>0</v>
      </c>
      <c r="AH925" s="116" t="n">
        <v>0</v>
      </c>
      <c r="AI925" s="47">
        <f>IFERROR(AC925/S925,"")</f>
        <v/>
      </c>
      <c r="AJ925" s="47">
        <f>IFERROR(AH925/S925,"")</f>
        <v/>
      </c>
      <c r="AK925" s="116" t="n">
        <v>20</v>
      </c>
      <c r="AL925" s="116" t="n">
        <v>1</v>
      </c>
      <c r="AM925" s="118">
        <f>IFERROR(AL925/AA925,"")</f>
        <v/>
      </c>
      <c r="AN925" s="119">
        <f>IFERROR(R925/AL925,"")</f>
        <v/>
      </c>
      <c r="AO925" s="116" t="n">
        <v>0</v>
      </c>
      <c r="AP925" s="47">
        <f>IFERROR(AO925/AL925,"")</f>
        <v/>
      </c>
      <c r="AQ925" s="119">
        <f>IFERROR(R925/AO925,"")</f>
        <v/>
      </c>
      <c r="AR925" s="116" t="n">
        <v>0</v>
      </c>
      <c r="AS925" s="116" t="n">
        <v>0</v>
      </c>
      <c r="AT925" s="116">
        <f>AL925+AR925</f>
        <v/>
      </c>
      <c r="AU925" s="119">
        <f>IFERROR(AO925*Assumptions!$C$26*Assumptions!$C$27*INDEX(Assumptions!$C$18:$C$21,MATCH(H925,Assumptions!$B$18:$B$21,0)),0)</f>
        <v/>
      </c>
    </row>
    <row r="926">
      <c r="A926" s="114" t="n">
        <v>46247</v>
      </c>
      <c r="B926" s="42" t="inlineStr">
        <is>
          <t>Wk 33</t>
        </is>
      </c>
      <c r="C926" s="42" t="inlineStr">
        <is>
          <t>Thu</t>
        </is>
      </c>
      <c r="D926" s="42" t="inlineStr">
        <is>
          <t>Meta (FB/IG)</t>
        </is>
      </c>
      <c r="E926" s="42" t="inlineStr">
        <is>
          <t>Facebook + Instagram</t>
        </is>
      </c>
      <c r="F926" s="42" t="inlineStr">
        <is>
          <t>LEP_ZA_AUG26_META_RMKT_ALL_CONV</t>
        </is>
      </c>
      <c r="G926" s="42" t="inlineStr">
        <is>
          <t>Leads - Website Conversions</t>
        </is>
      </c>
      <c r="H926" s="42" t="inlineStr">
        <is>
          <t>Range</t>
        </is>
      </c>
      <c r="I926" s="42" t="inlineStr">
        <is>
          <t>Range Offer</t>
        </is>
      </c>
      <c r="J926" s="42" t="inlineStr">
        <is>
          <t>MET_RMKT_FORMABANDON_ZA</t>
        </is>
      </c>
      <c r="K926" s="42" t="inlineStr">
        <is>
          <t>Retargeting</t>
        </is>
      </c>
      <c r="L926" s="42" t="inlineStr">
        <is>
          <t>RMKT_STA_FinishBooking_v1</t>
        </is>
      </c>
      <c r="M926" s="42" t="inlineStr">
        <is>
          <t>Static 1:1</t>
        </is>
      </c>
      <c r="N926" s="42" t="inlineStr">
        <is>
          <t>You left one field empty</t>
        </is>
      </c>
      <c r="O926" s="42" t="inlineStr">
        <is>
          <t>Auction - Lowest Cost</t>
        </is>
      </c>
      <c r="P926" s="42" t="inlineStr">
        <is>
          <t>Offsite Conversions</t>
        </is>
      </c>
      <c r="Q926" s="42" t="inlineStr">
        <is>
          <t>https://www.lepas-sa.co.za/book-a-test-drive</t>
        </is>
      </c>
      <c r="R926" s="115" t="n">
        <v>127.79</v>
      </c>
      <c r="S926" s="116" t="n">
        <v>1215</v>
      </c>
      <c r="T926" s="116" t="n">
        <v>768</v>
      </c>
      <c r="U926" s="117">
        <f>IFERROR(S926/T926,"")</f>
        <v/>
      </c>
      <c r="V926" s="116" t="n">
        <v>28</v>
      </c>
      <c r="W926" s="116" t="n">
        <v>23</v>
      </c>
      <c r="X926" s="118">
        <f>IFERROR(W926/S926,"")</f>
        <v/>
      </c>
      <c r="Y926" s="115">
        <f>IFERROR(R926/W926,"")</f>
        <v/>
      </c>
      <c r="Z926" s="115">
        <f>IFERROR(R926/S926*1000,"")</f>
        <v/>
      </c>
      <c r="AA926" s="116" t="n">
        <v>20</v>
      </c>
      <c r="AB926" s="47">
        <f>IFERROR(AA926/W926,"")</f>
        <v/>
      </c>
      <c r="AC926" s="116" t="n">
        <v>0</v>
      </c>
      <c r="AD926" s="116" t="n">
        <v>0</v>
      </c>
      <c r="AE926" s="116" t="n">
        <v>0</v>
      </c>
      <c r="AF926" s="116" t="n">
        <v>0</v>
      </c>
      <c r="AG926" s="116" t="n">
        <v>0</v>
      </c>
      <c r="AH926" s="116" t="n">
        <v>0</v>
      </c>
      <c r="AI926" s="47">
        <f>IFERROR(AC926/S926,"")</f>
        <v/>
      </c>
      <c r="AJ926" s="47">
        <f>IFERROR(AH926/S926,"")</f>
        <v/>
      </c>
      <c r="AK926" s="116" t="n">
        <v>23</v>
      </c>
      <c r="AL926" s="116" t="n">
        <v>1</v>
      </c>
      <c r="AM926" s="118">
        <f>IFERROR(AL926/AA926,"")</f>
        <v/>
      </c>
      <c r="AN926" s="119">
        <f>IFERROR(R926/AL926,"")</f>
        <v/>
      </c>
      <c r="AO926" s="116" t="n">
        <v>1</v>
      </c>
      <c r="AP926" s="47">
        <f>IFERROR(AO926/AL926,"")</f>
        <v/>
      </c>
      <c r="AQ926" s="119">
        <f>IFERROR(R926/AO926,"")</f>
        <v/>
      </c>
      <c r="AR926" s="116" t="n">
        <v>0</v>
      </c>
      <c r="AS926" s="116" t="n">
        <v>0</v>
      </c>
      <c r="AT926" s="116">
        <f>AL926+AR926</f>
        <v/>
      </c>
      <c r="AU926" s="119">
        <f>IFERROR(AO926*Assumptions!$C$26*Assumptions!$C$27*INDEX(Assumptions!$C$18:$C$21,MATCH(H926,Assumptions!$B$18:$B$21,0)),0)</f>
        <v/>
      </c>
    </row>
    <row r="927">
      <c r="A927" s="114" t="n">
        <v>46248</v>
      </c>
      <c r="B927" s="42" t="inlineStr">
        <is>
          <t>Wk 33</t>
        </is>
      </c>
      <c r="C927" s="42" t="inlineStr">
        <is>
          <t>Fri</t>
        </is>
      </c>
      <c r="D927" s="42" t="inlineStr">
        <is>
          <t>Meta (FB/IG)</t>
        </is>
      </c>
      <c r="E927" s="42" t="inlineStr">
        <is>
          <t>Facebook + Instagram</t>
        </is>
      </c>
      <c r="F927" s="42" t="inlineStr">
        <is>
          <t>LEP_ZA_AUG26_META_RMKT_ALL_CONV</t>
        </is>
      </c>
      <c r="G927" s="42" t="inlineStr">
        <is>
          <t>Leads - Website Conversions</t>
        </is>
      </c>
      <c r="H927" s="42" t="inlineStr">
        <is>
          <t>Range</t>
        </is>
      </c>
      <c r="I927" s="42" t="inlineStr">
        <is>
          <t>Range Offer</t>
        </is>
      </c>
      <c r="J927" s="42" t="inlineStr">
        <is>
          <t>MET_RMKT_FORMABANDON_ZA</t>
        </is>
      </c>
      <c r="K927" s="42" t="inlineStr">
        <is>
          <t>Retargeting</t>
        </is>
      </c>
      <c r="L927" s="42" t="inlineStr">
        <is>
          <t>RMKT_STA_FinishBooking_v1</t>
        </is>
      </c>
      <c r="M927" s="42" t="inlineStr">
        <is>
          <t>Static 1:1</t>
        </is>
      </c>
      <c r="N927" s="42" t="inlineStr">
        <is>
          <t>You left one field empty</t>
        </is>
      </c>
      <c r="O927" s="42" t="inlineStr">
        <is>
          <t>Auction - Lowest Cost</t>
        </is>
      </c>
      <c r="P927" s="42" t="inlineStr">
        <is>
          <t>Offsite Conversions</t>
        </is>
      </c>
      <c r="Q927" s="42" t="inlineStr">
        <is>
          <t>https://www.lepas-sa.co.za/book-a-test-drive</t>
        </is>
      </c>
      <c r="R927" s="115" t="n">
        <v>124.79</v>
      </c>
      <c r="S927" s="116" t="n">
        <v>1522</v>
      </c>
      <c r="T927" s="116" t="n">
        <v>1139</v>
      </c>
      <c r="U927" s="117">
        <f>IFERROR(S927/T927,"")</f>
        <v/>
      </c>
      <c r="V927" s="116" t="n">
        <v>53</v>
      </c>
      <c r="W927" s="116" t="n">
        <v>42</v>
      </c>
      <c r="X927" s="118">
        <f>IFERROR(W927/S927,"")</f>
        <v/>
      </c>
      <c r="Y927" s="115">
        <f>IFERROR(R927/W927,"")</f>
        <v/>
      </c>
      <c r="Z927" s="115">
        <f>IFERROR(R927/S927*1000,"")</f>
        <v/>
      </c>
      <c r="AA927" s="116" t="n">
        <v>36</v>
      </c>
      <c r="AB927" s="47">
        <f>IFERROR(AA927/W927,"")</f>
        <v/>
      </c>
      <c r="AC927" s="116" t="n">
        <v>0</v>
      </c>
      <c r="AD927" s="116" t="n">
        <v>0</v>
      </c>
      <c r="AE927" s="116" t="n">
        <v>0</v>
      </c>
      <c r="AF927" s="116" t="n">
        <v>0</v>
      </c>
      <c r="AG927" s="116" t="n">
        <v>0</v>
      </c>
      <c r="AH927" s="116" t="n">
        <v>0</v>
      </c>
      <c r="AI927" s="47">
        <f>IFERROR(AC927/S927,"")</f>
        <v/>
      </c>
      <c r="AJ927" s="47">
        <f>IFERROR(AH927/S927,"")</f>
        <v/>
      </c>
      <c r="AK927" s="116" t="n">
        <v>20</v>
      </c>
      <c r="AL927" s="116" t="n">
        <v>1</v>
      </c>
      <c r="AM927" s="118">
        <f>IFERROR(AL927/AA927,"")</f>
        <v/>
      </c>
      <c r="AN927" s="119">
        <f>IFERROR(R927/AL927,"")</f>
        <v/>
      </c>
      <c r="AO927" s="116" t="n">
        <v>1</v>
      </c>
      <c r="AP927" s="47">
        <f>IFERROR(AO927/AL927,"")</f>
        <v/>
      </c>
      <c r="AQ927" s="119">
        <f>IFERROR(R927/AO927,"")</f>
        <v/>
      </c>
      <c r="AR927" s="116" t="n">
        <v>0</v>
      </c>
      <c r="AS927" s="116" t="n">
        <v>1</v>
      </c>
      <c r="AT927" s="116">
        <f>AL927+AR927</f>
        <v/>
      </c>
      <c r="AU927" s="119">
        <f>IFERROR(AO927*Assumptions!$C$26*Assumptions!$C$27*INDEX(Assumptions!$C$18:$C$21,MATCH(H927,Assumptions!$B$18:$B$21,0)),0)</f>
        <v/>
      </c>
    </row>
    <row r="928">
      <c r="A928" s="114" t="n">
        <v>46249</v>
      </c>
      <c r="B928" s="42" t="inlineStr">
        <is>
          <t>Wk 33</t>
        </is>
      </c>
      <c r="C928" s="42" t="inlineStr">
        <is>
          <t>Sat</t>
        </is>
      </c>
      <c r="D928" s="42" t="inlineStr">
        <is>
          <t>Meta (FB/IG)</t>
        </is>
      </c>
      <c r="E928" s="42" t="inlineStr">
        <is>
          <t>Facebook + Instagram</t>
        </is>
      </c>
      <c r="F928" s="42" t="inlineStr">
        <is>
          <t>LEP_ZA_AUG26_META_RMKT_ALL_CONV</t>
        </is>
      </c>
      <c r="G928" s="42" t="inlineStr">
        <is>
          <t>Leads - Website Conversions</t>
        </is>
      </c>
      <c r="H928" s="42" t="inlineStr">
        <is>
          <t>Range</t>
        </is>
      </c>
      <c r="I928" s="42" t="inlineStr">
        <is>
          <t>Range Offer</t>
        </is>
      </c>
      <c r="J928" s="42" t="inlineStr">
        <is>
          <t>MET_RMKT_FORMABANDON_ZA</t>
        </is>
      </c>
      <c r="K928" s="42" t="inlineStr">
        <is>
          <t>Retargeting</t>
        </is>
      </c>
      <c r="L928" s="42" t="inlineStr">
        <is>
          <t>RMKT_STA_FinishBooking_v1</t>
        </is>
      </c>
      <c r="M928" s="42" t="inlineStr">
        <is>
          <t>Static 1:1</t>
        </is>
      </c>
      <c r="N928" s="42" t="inlineStr">
        <is>
          <t>You left one field empty</t>
        </is>
      </c>
      <c r="O928" s="42" t="inlineStr">
        <is>
          <t>Auction - Lowest Cost</t>
        </is>
      </c>
      <c r="P928" s="42" t="inlineStr">
        <is>
          <t>Offsite Conversions</t>
        </is>
      </c>
      <c r="Q928" s="42" t="inlineStr">
        <is>
          <t>https://www.lepas-sa.co.za/book-a-test-drive</t>
        </is>
      </c>
      <c r="R928" s="115" t="n">
        <v>101.07</v>
      </c>
      <c r="S928" s="116" t="n">
        <v>1355</v>
      </c>
      <c r="T928" s="116" t="n">
        <v>830</v>
      </c>
      <c r="U928" s="117">
        <f>IFERROR(S928/T928,"")</f>
        <v/>
      </c>
      <c r="V928" s="116" t="n">
        <v>57</v>
      </c>
      <c r="W928" s="116" t="n">
        <v>43</v>
      </c>
      <c r="X928" s="118">
        <f>IFERROR(W928/S928,"")</f>
        <v/>
      </c>
      <c r="Y928" s="115">
        <f>IFERROR(R928/W928,"")</f>
        <v/>
      </c>
      <c r="Z928" s="115">
        <f>IFERROR(R928/S928*1000,"")</f>
        <v/>
      </c>
      <c r="AA928" s="116" t="n">
        <v>37</v>
      </c>
      <c r="AB928" s="47">
        <f>IFERROR(AA928/W928,"")</f>
        <v/>
      </c>
      <c r="AC928" s="116" t="n">
        <v>0</v>
      </c>
      <c r="AD928" s="116" t="n">
        <v>0</v>
      </c>
      <c r="AE928" s="116" t="n">
        <v>0</v>
      </c>
      <c r="AF928" s="116" t="n">
        <v>0</v>
      </c>
      <c r="AG928" s="116" t="n">
        <v>0</v>
      </c>
      <c r="AH928" s="116" t="n">
        <v>0</v>
      </c>
      <c r="AI928" s="47">
        <f>IFERROR(AC928/S928,"")</f>
        <v/>
      </c>
      <c r="AJ928" s="47">
        <f>IFERROR(AH928/S928,"")</f>
        <v/>
      </c>
      <c r="AK928" s="116" t="n">
        <v>37</v>
      </c>
      <c r="AL928" s="116" t="n">
        <v>2</v>
      </c>
      <c r="AM928" s="118">
        <f>IFERROR(AL928/AA928,"")</f>
        <v/>
      </c>
      <c r="AN928" s="119">
        <f>IFERROR(R928/AL928,"")</f>
        <v/>
      </c>
      <c r="AO928" s="116" t="n">
        <v>2</v>
      </c>
      <c r="AP928" s="47">
        <f>IFERROR(AO928/AL928,"")</f>
        <v/>
      </c>
      <c r="AQ928" s="119">
        <f>IFERROR(R928/AO928,"")</f>
        <v/>
      </c>
      <c r="AR928" s="116" t="n">
        <v>0</v>
      </c>
      <c r="AS928" s="116" t="n">
        <v>1</v>
      </c>
      <c r="AT928" s="116">
        <f>AL928+AR928</f>
        <v/>
      </c>
      <c r="AU928" s="119">
        <f>IFERROR(AO928*Assumptions!$C$26*Assumptions!$C$27*INDEX(Assumptions!$C$18:$C$21,MATCH(H928,Assumptions!$B$18:$B$21,0)),0)</f>
        <v/>
      </c>
    </row>
    <row r="929">
      <c r="A929" s="114" t="n">
        <v>46250</v>
      </c>
      <c r="B929" s="42" t="inlineStr">
        <is>
          <t>Wk 33</t>
        </is>
      </c>
      <c r="C929" s="42" t="inlineStr">
        <is>
          <t>Sun</t>
        </is>
      </c>
      <c r="D929" s="42" t="inlineStr">
        <is>
          <t>Meta (FB/IG)</t>
        </is>
      </c>
      <c r="E929" s="42" t="inlineStr">
        <is>
          <t>Facebook + Instagram</t>
        </is>
      </c>
      <c r="F929" s="42" t="inlineStr">
        <is>
          <t>LEP_ZA_AUG26_META_RMKT_ALL_CONV</t>
        </is>
      </c>
      <c r="G929" s="42" t="inlineStr">
        <is>
          <t>Leads - Website Conversions</t>
        </is>
      </c>
      <c r="H929" s="42" t="inlineStr">
        <is>
          <t>Range</t>
        </is>
      </c>
      <c r="I929" s="42" t="inlineStr">
        <is>
          <t>Range Offer</t>
        </is>
      </c>
      <c r="J929" s="42" t="inlineStr">
        <is>
          <t>MET_RMKT_FORMABANDON_ZA</t>
        </is>
      </c>
      <c r="K929" s="42" t="inlineStr">
        <is>
          <t>Retargeting</t>
        </is>
      </c>
      <c r="L929" s="42" t="inlineStr">
        <is>
          <t>RMKT_STA_FinishBooking_v1</t>
        </is>
      </c>
      <c r="M929" s="42" t="inlineStr">
        <is>
          <t>Static 1:1</t>
        </is>
      </c>
      <c r="N929" s="42" t="inlineStr">
        <is>
          <t>You left one field empty</t>
        </is>
      </c>
      <c r="O929" s="42" t="inlineStr">
        <is>
          <t>Auction - Lowest Cost</t>
        </is>
      </c>
      <c r="P929" s="42" t="inlineStr">
        <is>
          <t>Offsite Conversions</t>
        </is>
      </c>
      <c r="Q929" s="42" t="inlineStr">
        <is>
          <t>https://www.lepas-sa.co.za/book-a-test-drive</t>
        </is>
      </c>
      <c r="R929" s="115" t="n">
        <v>94.12</v>
      </c>
      <c r="S929" s="116" t="n">
        <v>874</v>
      </c>
      <c r="T929" s="116" t="n">
        <v>551</v>
      </c>
      <c r="U929" s="117">
        <f>IFERROR(S929/T929,"")</f>
        <v/>
      </c>
      <c r="V929" s="116" t="n">
        <v>14</v>
      </c>
      <c r="W929" s="116" t="n">
        <v>11</v>
      </c>
      <c r="X929" s="118">
        <f>IFERROR(W929/S929,"")</f>
        <v/>
      </c>
      <c r="Y929" s="115">
        <f>IFERROR(R929/W929,"")</f>
        <v/>
      </c>
      <c r="Z929" s="115">
        <f>IFERROR(R929/S929*1000,"")</f>
        <v/>
      </c>
      <c r="AA929" s="116" t="n">
        <v>9</v>
      </c>
      <c r="AB929" s="47">
        <f>IFERROR(AA929/W929,"")</f>
        <v/>
      </c>
      <c r="AC929" s="116" t="n">
        <v>0</v>
      </c>
      <c r="AD929" s="116" t="n">
        <v>0</v>
      </c>
      <c r="AE929" s="116" t="n">
        <v>0</v>
      </c>
      <c r="AF929" s="116" t="n">
        <v>0</v>
      </c>
      <c r="AG929" s="116" t="n">
        <v>0</v>
      </c>
      <c r="AH929" s="116" t="n">
        <v>0</v>
      </c>
      <c r="AI929" s="47">
        <f>IFERROR(AC929/S929,"")</f>
        <v/>
      </c>
      <c r="AJ929" s="47">
        <f>IFERROR(AH929/S929,"")</f>
        <v/>
      </c>
      <c r="AK929" s="116" t="n">
        <v>24</v>
      </c>
      <c r="AL929" s="116" t="n">
        <v>1</v>
      </c>
      <c r="AM929" s="118">
        <f>IFERROR(AL929/AA929,"")</f>
        <v/>
      </c>
      <c r="AN929" s="119">
        <f>IFERROR(R929/AL929,"")</f>
        <v/>
      </c>
      <c r="AO929" s="116" t="n">
        <v>1</v>
      </c>
      <c r="AP929" s="47">
        <f>IFERROR(AO929/AL929,"")</f>
        <v/>
      </c>
      <c r="AQ929" s="119">
        <f>IFERROR(R929/AO929,"")</f>
        <v/>
      </c>
      <c r="AR929" s="116" t="n">
        <v>0</v>
      </c>
      <c r="AS929" s="116" t="n">
        <v>1</v>
      </c>
      <c r="AT929" s="116">
        <f>AL929+AR929</f>
        <v/>
      </c>
      <c r="AU929" s="119">
        <f>IFERROR(AO929*Assumptions!$C$26*Assumptions!$C$27*INDEX(Assumptions!$C$18:$C$21,MATCH(H929,Assumptions!$B$18:$B$21,0)),0)</f>
        <v/>
      </c>
    </row>
    <row r="930">
      <c r="A930" s="114" t="n">
        <v>46251</v>
      </c>
      <c r="B930" s="42" t="inlineStr">
        <is>
          <t>Wk 34</t>
        </is>
      </c>
      <c r="C930" s="42" t="inlineStr">
        <is>
          <t>Mon</t>
        </is>
      </c>
      <c r="D930" s="42" t="inlineStr">
        <is>
          <t>Meta (FB/IG)</t>
        </is>
      </c>
      <c r="E930" s="42" t="inlineStr">
        <is>
          <t>Facebook + Instagram</t>
        </is>
      </c>
      <c r="F930" s="42" t="inlineStr">
        <is>
          <t>LEP_ZA_AUG26_META_RMKT_ALL_CONV</t>
        </is>
      </c>
      <c r="G930" s="42" t="inlineStr">
        <is>
          <t>Leads - Website Conversions</t>
        </is>
      </c>
      <c r="H930" s="42" t="inlineStr">
        <is>
          <t>Range</t>
        </is>
      </c>
      <c r="I930" s="42" t="inlineStr">
        <is>
          <t>Range Offer</t>
        </is>
      </c>
      <c r="J930" s="42" t="inlineStr">
        <is>
          <t>MET_RMKT_FORMABANDON_ZA</t>
        </is>
      </c>
      <c r="K930" s="42" t="inlineStr">
        <is>
          <t>Retargeting</t>
        </is>
      </c>
      <c r="L930" s="42" t="inlineStr">
        <is>
          <t>RMKT_STA_FinishBooking_v1</t>
        </is>
      </c>
      <c r="M930" s="42" t="inlineStr">
        <is>
          <t>Static 1:1</t>
        </is>
      </c>
      <c r="N930" s="42" t="inlineStr">
        <is>
          <t>You left one field empty</t>
        </is>
      </c>
      <c r="O930" s="42" t="inlineStr">
        <is>
          <t>Auction - Lowest Cost</t>
        </is>
      </c>
      <c r="P930" s="42" t="inlineStr">
        <is>
          <t>Offsite Conversions</t>
        </is>
      </c>
      <c r="Q930" s="42" t="inlineStr">
        <is>
          <t>https://www.lepas-sa.co.za/book-a-test-drive</t>
        </is>
      </c>
      <c r="R930" s="115" t="n">
        <v>100.28</v>
      </c>
      <c r="S930" s="116" t="n">
        <v>1033</v>
      </c>
      <c r="T930" s="116" t="n">
        <v>621</v>
      </c>
      <c r="U930" s="117">
        <f>IFERROR(S930/T930,"")</f>
        <v/>
      </c>
      <c r="V930" s="116" t="n">
        <v>31</v>
      </c>
      <c r="W930" s="116" t="n">
        <v>26</v>
      </c>
      <c r="X930" s="118">
        <f>IFERROR(W930/S930,"")</f>
        <v/>
      </c>
      <c r="Y930" s="115">
        <f>IFERROR(R930/W930,"")</f>
        <v/>
      </c>
      <c r="Z930" s="115">
        <f>IFERROR(R930/S930*1000,"")</f>
        <v/>
      </c>
      <c r="AA930" s="116" t="n">
        <v>22</v>
      </c>
      <c r="AB930" s="47">
        <f>IFERROR(AA930/W930,"")</f>
        <v/>
      </c>
      <c r="AC930" s="116" t="n">
        <v>0</v>
      </c>
      <c r="AD930" s="116" t="n">
        <v>0</v>
      </c>
      <c r="AE930" s="116" t="n">
        <v>0</v>
      </c>
      <c r="AF930" s="116" t="n">
        <v>0</v>
      </c>
      <c r="AG930" s="116" t="n">
        <v>0</v>
      </c>
      <c r="AH930" s="116" t="n">
        <v>0</v>
      </c>
      <c r="AI930" s="47">
        <f>IFERROR(AC930/S930,"")</f>
        <v/>
      </c>
      <c r="AJ930" s="47">
        <f>IFERROR(AH930/S930,"")</f>
        <v/>
      </c>
      <c r="AK930" s="116" t="n">
        <v>23</v>
      </c>
      <c r="AL930" s="116" t="n">
        <v>1</v>
      </c>
      <c r="AM930" s="118">
        <f>IFERROR(AL930/AA930,"")</f>
        <v/>
      </c>
      <c r="AN930" s="119">
        <f>IFERROR(R930/AL930,"")</f>
        <v/>
      </c>
      <c r="AO930" s="116" t="n">
        <v>0</v>
      </c>
      <c r="AP930" s="47">
        <f>IFERROR(AO930/AL930,"")</f>
        <v/>
      </c>
      <c r="AQ930" s="119">
        <f>IFERROR(R930/AO930,"")</f>
        <v/>
      </c>
      <c r="AR930" s="116" t="n">
        <v>0</v>
      </c>
      <c r="AS930" s="116" t="n">
        <v>0</v>
      </c>
      <c r="AT930" s="116">
        <f>AL930+AR930</f>
        <v/>
      </c>
      <c r="AU930" s="119">
        <f>IFERROR(AO930*Assumptions!$C$26*Assumptions!$C$27*INDEX(Assumptions!$C$18:$C$21,MATCH(H930,Assumptions!$B$18:$B$21,0)),0)</f>
        <v/>
      </c>
    </row>
    <row r="931">
      <c r="A931" s="114" t="n">
        <v>46252</v>
      </c>
      <c r="B931" s="42" t="inlineStr">
        <is>
          <t>Wk 34</t>
        </is>
      </c>
      <c r="C931" s="42" t="inlineStr">
        <is>
          <t>Tue</t>
        </is>
      </c>
      <c r="D931" s="42" t="inlineStr">
        <is>
          <t>Meta (FB/IG)</t>
        </is>
      </c>
      <c r="E931" s="42" t="inlineStr">
        <is>
          <t>Facebook + Instagram</t>
        </is>
      </c>
      <c r="F931" s="42" t="inlineStr">
        <is>
          <t>LEP_ZA_AUG26_META_RMKT_ALL_CONV</t>
        </is>
      </c>
      <c r="G931" s="42" t="inlineStr">
        <is>
          <t>Leads - Website Conversions</t>
        </is>
      </c>
      <c r="H931" s="42" t="inlineStr">
        <is>
          <t>Range</t>
        </is>
      </c>
      <c r="I931" s="42" t="inlineStr">
        <is>
          <t>Range Offer</t>
        </is>
      </c>
      <c r="J931" s="42" t="inlineStr">
        <is>
          <t>MET_RMKT_FORMABANDON_ZA</t>
        </is>
      </c>
      <c r="K931" s="42" t="inlineStr">
        <is>
          <t>Retargeting</t>
        </is>
      </c>
      <c r="L931" s="42" t="inlineStr">
        <is>
          <t>RMKT_STA_FinishBooking_v1</t>
        </is>
      </c>
      <c r="M931" s="42" t="inlineStr">
        <is>
          <t>Static 1:1</t>
        </is>
      </c>
      <c r="N931" s="42" t="inlineStr">
        <is>
          <t>You left one field empty</t>
        </is>
      </c>
      <c r="O931" s="42" t="inlineStr">
        <is>
          <t>Auction - Lowest Cost</t>
        </is>
      </c>
      <c r="P931" s="42" t="inlineStr">
        <is>
          <t>Offsite Conversions</t>
        </is>
      </c>
      <c r="Q931" s="42" t="inlineStr">
        <is>
          <t>https://www.lepas-sa.co.za/book-a-test-drive</t>
        </is>
      </c>
      <c r="R931" s="115" t="n">
        <v>108.92</v>
      </c>
      <c r="S931" s="116" t="n">
        <v>1356</v>
      </c>
      <c r="T931" s="116" t="n">
        <v>837</v>
      </c>
      <c r="U931" s="117">
        <f>IFERROR(S931/T931,"")</f>
        <v/>
      </c>
      <c r="V931" s="116" t="n">
        <v>29</v>
      </c>
      <c r="W931" s="116" t="n">
        <v>22</v>
      </c>
      <c r="X931" s="118">
        <f>IFERROR(W931/S931,"")</f>
        <v/>
      </c>
      <c r="Y931" s="115">
        <f>IFERROR(R931/W931,"")</f>
        <v/>
      </c>
      <c r="Z931" s="115">
        <f>IFERROR(R931/S931*1000,"")</f>
        <v/>
      </c>
      <c r="AA931" s="116" t="n">
        <v>18</v>
      </c>
      <c r="AB931" s="47">
        <f>IFERROR(AA931/W931,"")</f>
        <v/>
      </c>
      <c r="AC931" s="116" t="n">
        <v>0</v>
      </c>
      <c r="AD931" s="116" t="n">
        <v>0</v>
      </c>
      <c r="AE931" s="116" t="n">
        <v>0</v>
      </c>
      <c r="AF931" s="116" t="n">
        <v>0</v>
      </c>
      <c r="AG931" s="116" t="n">
        <v>0</v>
      </c>
      <c r="AH931" s="116" t="n">
        <v>0</v>
      </c>
      <c r="AI931" s="47">
        <f>IFERROR(AC931/S931,"")</f>
        <v/>
      </c>
      <c r="AJ931" s="47">
        <f>IFERROR(AH931/S931,"")</f>
        <v/>
      </c>
      <c r="AK931" s="116" t="n">
        <v>48</v>
      </c>
      <c r="AL931" s="116" t="n">
        <v>0</v>
      </c>
      <c r="AM931" s="118">
        <f>IFERROR(AL931/AA931,"")</f>
        <v/>
      </c>
      <c r="AN931" s="119">
        <f>IFERROR(R931/AL931,"")</f>
        <v/>
      </c>
      <c r="AO931" s="116" t="n">
        <v>0</v>
      </c>
      <c r="AP931" s="47">
        <f>IFERROR(AO931/AL931,"")</f>
        <v/>
      </c>
      <c r="AQ931" s="119">
        <f>IFERROR(R931/AO931,"")</f>
        <v/>
      </c>
      <c r="AR931" s="116" t="n">
        <v>0</v>
      </c>
      <c r="AS931" s="116" t="n">
        <v>0</v>
      </c>
      <c r="AT931" s="116">
        <f>AL931+AR931</f>
        <v/>
      </c>
      <c r="AU931" s="119">
        <f>IFERROR(AO931*Assumptions!$C$26*Assumptions!$C$27*INDEX(Assumptions!$C$18:$C$21,MATCH(H931,Assumptions!$B$18:$B$21,0)),0)</f>
        <v/>
      </c>
    </row>
    <row r="932">
      <c r="A932" s="114" t="n">
        <v>46253</v>
      </c>
      <c r="B932" s="42" t="inlineStr">
        <is>
          <t>Wk 34</t>
        </is>
      </c>
      <c r="C932" s="42" t="inlineStr">
        <is>
          <t>Wed</t>
        </is>
      </c>
      <c r="D932" s="42" t="inlineStr">
        <is>
          <t>Meta (FB/IG)</t>
        </is>
      </c>
      <c r="E932" s="42" t="inlineStr">
        <is>
          <t>Facebook + Instagram</t>
        </is>
      </c>
      <c r="F932" s="42" t="inlineStr">
        <is>
          <t>LEP_ZA_AUG26_META_RMKT_ALL_CONV</t>
        </is>
      </c>
      <c r="G932" s="42" t="inlineStr">
        <is>
          <t>Leads - Website Conversions</t>
        </is>
      </c>
      <c r="H932" s="42" t="inlineStr">
        <is>
          <t>Range</t>
        </is>
      </c>
      <c r="I932" s="42" t="inlineStr">
        <is>
          <t>Range Offer</t>
        </is>
      </c>
      <c r="J932" s="42" t="inlineStr">
        <is>
          <t>MET_RMKT_FORMABANDON_ZA</t>
        </is>
      </c>
      <c r="K932" s="42" t="inlineStr">
        <is>
          <t>Retargeting</t>
        </is>
      </c>
      <c r="L932" s="42" t="inlineStr">
        <is>
          <t>RMKT_STA_FinishBooking_v1</t>
        </is>
      </c>
      <c r="M932" s="42" t="inlineStr">
        <is>
          <t>Static 1:1</t>
        </is>
      </c>
      <c r="N932" s="42" t="inlineStr">
        <is>
          <t>You left one field empty</t>
        </is>
      </c>
      <c r="O932" s="42" t="inlineStr">
        <is>
          <t>Auction - Lowest Cost</t>
        </is>
      </c>
      <c r="P932" s="42" t="inlineStr">
        <is>
          <t>Offsite Conversions</t>
        </is>
      </c>
      <c r="Q932" s="42" t="inlineStr">
        <is>
          <t>https://www.lepas-sa.co.za/book-a-test-drive</t>
        </is>
      </c>
      <c r="R932" s="115" t="n">
        <v>104.26</v>
      </c>
      <c r="S932" s="116" t="n">
        <v>985</v>
      </c>
      <c r="T932" s="116" t="n">
        <v>627</v>
      </c>
      <c r="U932" s="117">
        <f>IFERROR(S932/T932,"")</f>
        <v/>
      </c>
      <c r="V932" s="116" t="n">
        <v>36</v>
      </c>
      <c r="W932" s="116" t="n">
        <v>28</v>
      </c>
      <c r="X932" s="118">
        <f>IFERROR(W932/S932,"")</f>
        <v/>
      </c>
      <c r="Y932" s="115">
        <f>IFERROR(R932/W932,"")</f>
        <v/>
      </c>
      <c r="Z932" s="115">
        <f>IFERROR(R932/S932*1000,"")</f>
        <v/>
      </c>
      <c r="AA932" s="116" t="n">
        <v>24</v>
      </c>
      <c r="AB932" s="47">
        <f>IFERROR(AA932/W932,"")</f>
        <v/>
      </c>
      <c r="AC932" s="116" t="n">
        <v>0</v>
      </c>
      <c r="AD932" s="116" t="n">
        <v>0</v>
      </c>
      <c r="AE932" s="116" t="n">
        <v>0</v>
      </c>
      <c r="AF932" s="116" t="n">
        <v>0</v>
      </c>
      <c r="AG932" s="116" t="n">
        <v>0</v>
      </c>
      <c r="AH932" s="116" t="n">
        <v>0</v>
      </c>
      <c r="AI932" s="47">
        <f>IFERROR(AC932/S932,"")</f>
        <v/>
      </c>
      <c r="AJ932" s="47">
        <f>IFERROR(AH932/S932,"")</f>
        <v/>
      </c>
      <c r="AK932" s="116" t="n">
        <v>31</v>
      </c>
      <c r="AL932" s="116" t="n">
        <v>1</v>
      </c>
      <c r="AM932" s="118">
        <f>IFERROR(AL932/AA932,"")</f>
        <v/>
      </c>
      <c r="AN932" s="119">
        <f>IFERROR(R932/AL932,"")</f>
        <v/>
      </c>
      <c r="AO932" s="116" t="n">
        <v>1</v>
      </c>
      <c r="AP932" s="47">
        <f>IFERROR(AO932/AL932,"")</f>
        <v/>
      </c>
      <c r="AQ932" s="119">
        <f>IFERROR(R932/AO932,"")</f>
        <v/>
      </c>
      <c r="AR932" s="116" t="n">
        <v>0</v>
      </c>
      <c r="AS932" s="116" t="n">
        <v>0</v>
      </c>
      <c r="AT932" s="116">
        <f>AL932+AR932</f>
        <v/>
      </c>
      <c r="AU932" s="119">
        <f>IFERROR(AO932*Assumptions!$C$26*Assumptions!$C$27*INDEX(Assumptions!$C$18:$C$21,MATCH(H932,Assumptions!$B$18:$B$21,0)),0)</f>
        <v/>
      </c>
    </row>
    <row r="933">
      <c r="A933" s="114" t="n">
        <v>46254</v>
      </c>
      <c r="B933" s="42" t="inlineStr">
        <is>
          <t>Wk 34</t>
        </is>
      </c>
      <c r="C933" s="42" t="inlineStr">
        <is>
          <t>Thu</t>
        </is>
      </c>
      <c r="D933" s="42" t="inlineStr">
        <is>
          <t>Meta (FB/IG)</t>
        </is>
      </c>
      <c r="E933" s="42" t="inlineStr">
        <is>
          <t>Facebook + Instagram</t>
        </is>
      </c>
      <c r="F933" s="42" t="inlineStr">
        <is>
          <t>LEP_ZA_AUG26_META_RMKT_ALL_CONV</t>
        </is>
      </c>
      <c r="G933" s="42" t="inlineStr">
        <is>
          <t>Leads - Website Conversions</t>
        </is>
      </c>
      <c r="H933" s="42" t="inlineStr">
        <is>
          <t>Range</t>
        </is>
      </c>
      <c r="I933" s="42" t="inlineStr">
        <is>
          <t>Range Offer</t>
        </is>
      </c>
      <c r="J933" s="42" t="inlineStr">
        <is>
          <t>MET_RMKT_FORMABANDON_ZA</t>
        </is>
      </c>
      <c r="K933" s="42" t="inlineStr">
        <is>
          <t>Retargeting</t>
        </is>
      </c>
      <c r="L933" s="42" t="inlineStr">
        <is>
          <t>RMKT_STA_FinishBooking_v1</t>
        </is>
      </c>
      <c r="M933" s="42" t="inlineStr">
        <is>
          <t>Static 1:1</t>
        </is>
      </c>
      <c r="N933" s="42" t="inlineStr">
        <is>
          <t>You left one field empty</t>
        </is>
      </c>
      <c r="O933" s="42" t="inlineStr">
        <is>
          <t>Auction - Lowest Cost</t>
        </is>
      </c>
      <c r="P933" s="42" t="inlineStr">
        <is>
          <t>Offsite Conversions</t>
        </is>
      </c>
      <c r="Q933" s="42" t="inlineStr">
        <is>
          <t>https://www.lepas-sa.co.za/book-a-test-drive</t>
        </is>
      </c>
      <c r="R933" s="115" t="n">
        <v>106.62</v>
      </c>
      <c r="S933" s="116" t="n">
        <v>960</v>
      </c>
      <c r="T933" s="116" t="n">
        <v>605</v>
      </c>
      <c r="U933" s="117">
        <f>IFERROR(S933/T933,"")</f>
        <v/>
      </c>
      <c r="V933" s="116" t="n">
        <v>17</v>
      </c>
      <c r="W933" s="116" t="n">
        <v>14</v>
      </c>
      <c r="X933" s="118">
        <f>IFERROR(W933/S933,"")</f>
        <v/>
      </c>
      <c r="Y933" s="115">
        <f>IFERROR(R933/W933,"")</f>
        <v/>
      </c>
      <c r="Z933" s="115">
        <f>IFERROR(R933/S933*1000,"")</f>
        <v/>
      </c>
      <c r="AA933" s="116" t="n">
        <v>12</v>
      </c>
      <c r="AB933" s="47">
        <f>IFERROR(AA933/W933,"")</f>
        <v/>
      </c>
      <c r="AC933" s="116" t="n">
        <v>0</v>
      </c>
      <c r="AD933" s="116" t="n">
        <v>0</v>
      </c>
      <c r="AE933" s="116" t="n">
        <v>0</v>
      </c>
      <c r="AF933" s="116" t="n">
        <v>0</v>
      </c>
      <c r="AG933" s="116" t="n">
        <v>0</v>
      </c>
      <c r="AH933" s="116" t="n">
        <v>0</v>
      </c>
      <c r="AI933" s="47">
        <f>IFERROR(AC933/S933,"")</f>
        <v/>
      </c>
      <c r="AJ933" s="47">
        <f>IFERROR(AH933/S933,"")</f>
        <v/>
      </c>
      <c r="AK933" s="116" t="n">
        <v>12</v>
      </c>
      <c r="AL933" s="116" t="n">
        <v>0</v>
      </c>
      <c r="AM933" s="118">
        <f>IFERROR(AL933/AA933,"")</f>
        <v/>
      </c>
      <c r="AN933" s="119">
        <f>IFERROR(R933/AL933,"")</f>
        <v/>
      </c>
      <c r="AO933" s="116" t="n">
        <v>0</v>
      </c>
      <c r="AP933" s="47">
        <f>IFERROR(AO933/AL933,"")</f>
        <v/>
      </c>
      <c r="AQ933" s="119">
        <f>IFERROR(R933/AO933,"")</f>
        <v/>
      </c>
      <c r="AR933" s="116" t="n">
        <v>0</v>
      </c>
      <c r="AS933" s="116" t="n">
        <v>0</v>
      </c>
      <c r="AT933" s="116">
        <f>AL933+AR933</f>
        <v/>
      </c>
      <c r="AU933" s="119">
        <f>IFERROR(AO933*Assumptions!$C$26*Assumptions!$C$27*INDEX(Assumptions!$C$18:$C$21,MATCH(H933,Assumptions!$B$18:$B$21,0)),0)</f>
        <v/>
      </c>
    </row>
    <row r="934">
      <c r="A934" s="114" t="n">
        <v>46255</v>
      </c>
      <c r="B934" s="42" t="inlineStr">
        <is>
          <t>Wk 34</t>
        </is>
      </c>
      <c r="C934" s="42" t="inlineStr">
        <is>
          <t>Fri</t>
        </is>
      </c>
      <c r="D934" s="42" t="inlineStr">
        <is>
          <t>Meta (FB/IG)</t>
        </is>
      </c>
      <c r="E934" s="42" t="inlineStr">
        <is>
          <t>Facebook + Instagram</t>
        </is>
      </c>
      <c r="F934" s="42" t="inlineStr">
        <is>
          <t>LEP_ZA_AUG26_META_RMKT_ALL_CONV</t>
        </is>
      </c>
      <c r="G934" s="42" t="inlineStr">
        <is>
          <t>Leads - Website Conversions</t>
        </is>
      </c>
      <c r="H934" s="42" t="inlineStr">
        <is>
          <t>Range</t>
        </is>
      </c>
      <c r="I934" s="42" t="inlineStr">
        <is>
          <t>Range Offer</t>
        </is>
      </c>
      <c r="J934" s="42" t="inlineStr">
        <is>
          <t>MET_RMKT_FORMABANDON_ZA</t>
        </is>
      </c>
      <c r="K934" s="42" t="inlineStr">
        <is>
          <t>Retargeting</t>
        </is>
      </c>
      <c r="L934" s="42" t="inlineStr">
        <is>
          <t>RMKT_STA_FinishBooking_v1</t>
        </is>
      </c>
      <c r="M934" s="42" t="inlineStr">
        <is>
          <t>Static 1:1</t>
        </is>
      </c>
      <c r="N934" s="42" t="inlineStr">
        <is>
          <t>You left one field empty</t>
        </is>
      </c>
      <c r="O934" s="42" t="inlineStr">
        <is>
          <t>Auction - Lowest Cost</t>
        </is>
      </c>
      <c r="P934" s="42" t="inlineStr">
        <is>
          <t>Offsite Conversions</t>
        </is>
      </c>
      <c r="Q934" s="42" t="inlineStr">
        <is>
          <t>https://www.lepas-sa.co.za/book-a-test-drive</t>
        </is>
      </c>
      <c r="R934" s="115" t="n">
        <v>120.4</v>
      </c>
      <c r="S934" s="116" t="n">
        <v>1686</v>
      </c>
      <c r="T934" s="116" t="n">
        <v>1091</v>
      </c>
      <c r="U934" s="117">
        <f>IFERROR(S934/T934,"")</f>
        <v/>
      </c>
      <c r="V934" s="116" t="n">
        <v>39</v>
      </c>
      <c r="W934" s="116" t="n">
        <v>28</v>
      </c>
      <c r="X934" s="118">
        <f>IFERROR(W934/S934,"")</f>
        <v/>
      </c>
      <c r="Y934" s="115">
        <f>IFERROR(R934/W934,"")</f>
        <v/>
      </c>
      <c r="Z934" s="115">
        <f>IFERROR(R934/S934*1000,"")</f>
        <v/>
      </c>
      <c r="AA934" s="116" t="n">
        <v>24</v>
      </c>
      <c r="AB934" s="47">
        <f>IFERROR(AA934/W934,"")</f>
        <v/>
      </c>
      <c r="AC934" s="116" t="n">
        <v>0</v>
      </c>
      <c r="AD934" s="116" t="n">
        <v>0</v>
      </c>
      <c r="AE934" s="116" t="n">
        <v>0</v>
      </c>
      <c r="AF934" s="116" t="n">
        <v>0</v>
      </c>
      <c r="AG934" s="116" t="n">
        <v>0</v>
      </c>
      <c r="AH934" s="116" t="n">
        <v>0</v>
      </c>
      <c r="AI934" s="47">
        <f>IFERROR(AC934/S934,"")</f>
        <v/>
      </c>
      <c r="AJ934" s="47">
        <f>IFERROR(AH934/S934,"")</f>
        <v/>
      </c>
      <c r="AK934" s="116" t="n">
        <v>50</v>
      </c>
      <c r="AL934" s="116" t="n">
        <v>1</v>
      </c>
      <c r="AM934" s="118">
        <f>IFERROR(AL934/AA934,"")</f>
        <v/>
      </c>
      <c r="AN934" s="119">
        <f>IFERROR(R934/AL934,"")</f>
        <v/>
      </c>
      <c r="AO934" s="116" t="n">
        <v>0</v>
      </c>
      <c r="AP934" s="47">
        <f>IFERROR(AO934/AL934,"")</f>
        <v/>
      </c>
      <c r="AQ934" s="119">
        <f>IFERROR(R934/AO934,"")</f>
        <v/>
      </c>
      <c r="AR934" s="116" t="n">
        <v>0</v>
      </c>
      <c r="AS934" s="116" t="n">
        <v>1</v>
      </c>
      <c r="AT934" s="116">
        <f>AL934+AR934</f>
        <v/>
      </c>
      <c r="AU934" s="119">
        <f>IFERROR(AO934*Assumptions!$C$26*Assumptions!$C$27*INDEX(Assumptions!$C$18:$C$21,MATCH(H934,Assumptions!$B$18:$B$21,0)),0)</f>
        <v/>
      </c>
    </row>
    <row r="935">
      <c r="A935" s="114" t="n">
        <v>46256</v>
      </c>
      <c r="B935" s="42" t="inlineStr">
        <is>
          <t>Wk 34</t>
        </is>
      </c>
      <c r="C935" s="42" t="inlineStr">
        <is>
          <t>Sat</t>
        </is>
      </c>
      <c r="D935" s="42" t="inlineStr">
        <is>
          <t>Meta (FB/IG)</t>
        </is>
      </c>
      <c r="E935" s="42" t="inlineStr">
        <is>
          <t>Facebook + Instagram</t>
        </is>
      </c>
      <c r="F935" s="42" t="inlineStr">
        <is>
          <t>LEP_ZA_AUG26_META_RMKT_ALL_CONV</t>
        </is>
      </c>
      <c r="G935" s="42" t="inlineStr">
        <is>
          <t>Leads - Website Conversions</t>
        </is>
      </c>
      <c r="H935" s="42" t="inlineStr">
        <is>
          <t>Range</t>
        </is>
      </c>
      <c r="I935" s="42" t="inlineStr">
        <is>
          <t>Range Offer</t>
        </is>
      </c>
      <c r="J935" s="42" t="inlineStr">
        <is>
          <t>MET_RMKT_FORMABANDON_ZA</t>
        </is>
      </c>
      <c r="K935" s="42" t="inlineStr">
        <is>
          <t>Retargeting</t>
        </is>
      </c>
      <c r="L935" s="42" t="inlineStr">
        <is>
          <t>RMKT_STA_FinishBooking_v1</t>
        </is>
      </c>
      <c r="M935" s="42" t="inlineStr">
        <is>
          <t>Static 1:1</t>
        </is>
      </c>
      <c r="N935" s="42" t="inlineStr">
        <is>
          <t>You left one field empty</t>
        </is>
      </c>
      <c r="O935" s="42" t="inlineStr">
        <is>
          <t>Auction - Lowest Cost</t>
        </is>
      </c>
      <c r="P935" s="42" t="inlineStr">
        <is>
          <t>Offsite Conversions</t>
        </is>
      </c>
      <c r="Q935" s="42" t="inlineStr">
        <is>
          <t>https://www.lepas-sa.co.za/book-a-test-drive</t>
        </is>
      </c>
      <c r="R935" s="115" t="n">
        <v>130.47</v>
      </c>
      <c r="S935" s="116" t="n">
        <v>1207</v>
      </c>
      <c r="T935" s="116" t="n">
        <v>709</v>
      </c>
      <c r="U935" s="117">
        <f>IFERROR(S935/T935,"")</f>
        <v/>
      </c>
      <c r="V935" s="116" t="n">
        <v>21</v>
      </c>
      <c r="W935" s="116" t="n">
        <v>15</v>
      </c>
      <c r="X935" s="118">
        <f>IFERROR(W935/S935,"")</f>
        <v/>
      </c>
      <c r="Y935" s="115">
        <f>IFERROR(R935/W935,"")</f>
        <v/>
      </c>
      <c r="Z935" s="115">
        <f>IFERROR(R935/S935*1000,"")</f>
        <v/>
      </c>
      <c r="AA935" s="116" t="n">
        <v>13</v>
      </c>
      <c r="AB935" s="47">
        <f>IFERROR(AA935/W935,"")</f>
        <v/>
      </c>
      <c r="AC935" s="116" t="n">
        <v>0</v>
      </c>
      <c r="AD935" s="116" t="n">
        <v>0</v>
      </c>
      <c r="AE935" s="116" t="n">
        <v>0</v>
      </c>
      <c r="AF935" s="116" t="n">
        <v>0</v>
      </c>
      <c r="AG935" s="116" t="n">
        <v>0</v>
      </c>
      <c r="AH935" s="116" t="n">
        <v>0</v>
      </c>
      <c r="AI935" s="47">
        <f>IFERROR(AC935/S935,"")</f>
        <v/>
      </c>
      <c r="AJ935" s="47">
        <f>IFERROR(AH935/S935,"")</f>
        <v/>
      </c>
      <c r="AK935" s="116" t="n">
        <v>24</v>
      </c>
      <c r="AL935" s="116" t="n">
        <v>1</v>
      </c>
      <c r="AM935" s="118">
        <f>IFERROR(AL935/AA935,"")</f>
        <v/>
      </c>
      <c r="AN935" s="119">
        <f>IFERROR(R935/AL935,"")</f>
        <v/>
      </c>
      <c r="AO935" s="116" t="n">
        <v>0</v>
      </c>
      <c r="AP935" s="47">
        <f>IFERROR(AO935/AL935,"")</f>
        <v/>
      </c>
      <c r="AQ935" s="119">
        <f>IFERROR(R935/AO935,"")</f>
        <v/>
      </c>
      <c r="AR935" s="116" t="n">
        <v>0</v>
      </c>
      <c r="AS935" s="116" t="n">
        <v>0</v>
      </c>
      <c r="AT935" s="116">
        <f>AL935+AR935</f>
        <v/>
      </c>
      <c r="AU935" s="119">
        <f>IFERROR(AO935*Assumptions!$C$26*Assumptions!$C$27*INDEX(Assumptions!$C$18:$C$21,MATCH(H935,Assumptions!$B$18:$B$21,0)),0)</f>
        <v/>
      </c>
    </row>
    <row r="936">
      <c r="A936" s="114" t="n">
        <v>46257</v>
      </c>
      <c r="B936" s="42" t="inlineStr">
        <is>
          <t>Wk 34</t>
        </is>
      </c>
      <c r="C936" s="42" t="inlineStr">
        <is>
          <t>Sun</t>
        </is>
      </c>
      <c r="D936" s="42" t="inlineStr">
        <is>
          <t>Meta (FB/IG)</t>
        </is>
      </c>
      <c r="E936" s="42" t="inlineStr">
        <is>
          <t>Facebook + Instagram</t>
        </is>
      </c>
      <c r="F936" s="42" t="inlineStr">
        <is>
          <t>LEP_ZA_AUG26_META_RMKT_ALL_CONV</t>
        </is>
      </c>
      <c r="G936" s="42" t="inlineStr">
        <is>
          <t>Leads - Website Conversions</t>
        </is>
      </c>
      <c r="H936" s="42" t="inlineStr">
        <is>
          <t>Range</t>
        </is>
      </c>
      <c r="I936" s="42" t="inlineStr">
        <is>
          <t>Range Offer</t>
        </is>
      </c>
      <c r="J936" s="42" t="inlineStr">
        <is>
          <t>MET_RMKT_FORMABANDON_ZA</t>
        </is>
      </c>
      <c r="K936" s="42" t="inlineStr">
        <is>
          <t>Retargeting</t>
        </is>
      </c>
      <c r="L936" s="42" t="inlineStr">
        <is>
          <t>RMKT_STA_FinishBooking_v1</t>
        </is>
      </c>
      <c r="M936" s="42" t="inlineStr">
        <is>
          <t>Static 1:1</t>
        </is>
      </c>
      <c r="N936" s="42" t="inlineStr">
        <is>
          <t>You left one field empty</t>
        </is>
      </c>
      <c r="O936" s="42" t="inlineStr">
        <is>
          <t>Auction - Lowest Cost</t>
        </is>
      </c>
      <c r="P936" s="42" t="inlineStr">
        <is>
          <t>Offsite Conversions</t>
        </is>
      </c>
      <c r="Q936" s="42" t="inlineStr">
        <is>
          <t>https://www.lepas-sa.co.za/book-a-test-drive</t>
        </is>
      </c>
      <c r="R936" s="115" t="n">
        <v>87.86</v>
      </c>
      <c r="S936" s="116" t="n">
        <v>991</v>
      </c>
      <c r="T936" s="116" t="n">
        <v>686</v>
      </c>
      <c r="U936" s="117">
        <f>IFERROR(S936/T936,"")</f>
        <v/>
      </c>
      <c r="V936" s="116" t="n">
        <v>21</v>
      </c>
      <c r="W936" s="116" t="n">
        <v>15</v>
      </c>
      <c r="X936" s="118">
        <f>IFERROR(W936/S936,"")</f>
        <v/>
      </c>
      <c r="Y936" s="115">
        <f>IFERROR(R936/W936,"")</f>
        <v/>
      </c>
      <c r="Z936" s="115">
        <f>IFERROR(R936/S936*1000,"")</f>
        <v/>
      </c>
      <c r="AA936" s="116" t="n">
        <v>14</v>
      </c>
      <c r="AB936" s="47">
        <f>IFERROR(AA936/W936,"")</f>
        <v/>
      </c>
      <c r="AC936" s="116" t="n">
        <v>0</v>
      </c>
      <c r="AD936" s="116" t="n">
        <v>0</v>
      </c>
      <c r="AE936" s="116" t="n">
        <v>0</v>
      </c>
      <c r="AF936" s="116" t="n">
        <v>0</v>
      </c>
      <c r="AG936" s="116" t="n">
        <v>0</v>
      </c>
      <c r="AH936" s="116" t="n">
        <v>0</v>
      </c>
      <c r="AI936" s="47">
        <f>IFERROR(AC936/S936,"")</f>
        <v/>
      </c>
      <c r="AJ936" s="47">
        <f>IFERROR(AH936/S936,"")</f>
        <v/>
      </c>
      <c r="AK936" s="116" t="n">
        <v>10</v>
      </c>
      <c r="AL936" s="116" t="n">
        <v>0</v>
      </c>
      <c r="AM936" s="118">
        <f>IFERROR(AL936/AA936,"")</f>
        <v/>
      </c>
      <c r="AN936" s="119">
        <f>IFERROR(R936/AL936,"")</f>
        <v/>
      </c>
      <c r="AO936" s="116" t="n">
        <v>0</v>
      </c>
      <c r="AP936" s="47">
        <f>IFERROR(AO936/AL936,"")</f>
        <v/>
      </c>
      <c r="AQ936" s="119">
        <f>IFERROR(R936/AO936,"")</f>
        <v/>
      </c>
      <c r="AR936" s="116" t="n">
        <v>0</v>
      </c>
      <c r="AS936" s="116" t="n">
        <v>0</v>
      </c>
      <c r="AT936" s="116">
        <f>AL936+AR936</f>
        <v/>
      </c>
      <c r="AU936" s="119">
        <f>IFERROR(AO936*Assumptions!$C$26*Assumptions!$C$27*INDEX(Assumptions!$C$18:$C$21,MATCH(H936,Assumptions!$B$18:$B$21,0)),0)</f>
        <v/>
      </c>
    </row>
    <row r="937">
      <c r="A937" s="114" t="n">
        <v>46258</v>
      </c>
      <c r="B937" s="42" t="inlineStr">
        <is>
          <t>Wk 35</t>
        </is>
      </c>
      <c r="C937" s="42" t="inlineStr">
        <is>
          <t>Mon</t>
        </is>
      </c>
      <c r="D937" s="42" t="inlineStr">
        <is>
          <t>Meta (FB/IG)</t>
        </is>
      </c>
      <c r="E937" s="42" t="inlineStr">
        <is>
          <t>Facebook + Instagram</t>
        </is>
      </c>
      <c r="F937" s="42" t="inlineStr">
        <is>
          <t>LEP_ZA_AUG26_META_RMKT_ALL_CONV</t>
        </is>
      </c>
      <c r="G937" s="42" t="inlineStr">
        <is>
          <t>Leads - Website Conversions</t>
        </is>
      </c>
      <c r="H937" s="42" t="inlineStr">
        <is>
          <t>Range</t>
        </is>
      </c>
      <c r="I937" s="42" t="inlineStr">
        <is>
          <t>Range Offer</t>
        </is>
      </c>
      <c r="J937" s="42" t="inlineStr">
        <is>
          <t>MET_RMKT_FORMABANDON_ZA</t>
        </is>
      </c>
      <c r="K937" s="42" t="inlineStr">
        <is>
          <t>Retargeting</t>
        </is>
      </c>
      <c r="L937" s="42" t="inlineStr">
        <is>
          <t>RMKT_STA_FinishBooking_v1</t>
        </is>
      </c>
      <c r="M937" s="42" t="inlineStr">
        <is>
          <t>Static 1:1</t>
        </is>
      </c>
      <c r="N937" s="42" t="inlineStr">
        <is>
          <t>You left one field empty</t>
        </is>
      </c>
      <c r="O937" s="42" t="inlineStr">
        <is>
          <t>Auction - Lowest Cost</t>
        </is>
      </c>
      <c r="P937" s="42" t="inlineStr">
        <is>
          <t>Offsite Conversions</t>
        </is>
      </c>
      <c r="Q937" s="42" t="inlineStr">
        <is>
          <t>https://www.lepas-sa.co.za/book-a-test-drive</t>
        </is>
      </c>
      <c r="R937" s="115" t="n">
        <v>106.51</v>
      </c>
      <c r="S937" s="116" t="n">
        <v>991</v>
      </c>
      <c r="T937" s="116" t="n">
        <v>508</v>
      </c>
      <c r="U937" s="117">
        <f>IFERROR(S937/T937,"")</f>
        <v/>
      </c>
      <c r="V937" s="116" t="n">
        <v>16</v>
      </c>
      <c r="W937" s="116" t="n">
        <v>13</v>
      </c>
      <c r="X937" s="118">
        <f>IFERROR(W937/S937,"")</f>
        <v/>
      </c>
      <c r="Y937" s="115">
        <f>IFERROR(R937/W937,"")</f>
        <v/>
      </c>
      <c r="Z937" s="115">
        <f>IFERROR(R937/S937*1000,"")</f>
        <v/>
      </c>
      <c r="AA937" s="116" t="n">
        <v>11</v>
      </c>
      <c r="AB937" s="47">
        <f>IFERROR(AA937/W937,"")</f>
        <v/>
      </c>
      <c r="AC937" s="116" t="n">
        <v>0</v>
      </c>
      <c r="AD937" s="116" t="n">
        <v>0</v>
      </c>
      <c r="AE937" s="116" t="n">
        <v>0</v>
      </c>
      <c r="AF937" s="116" t="n">
        <v>0</v>
      </c>
      <c r="AG937" s="116" t="n">
        <v>0</v>
      </c>
      <c r="AH937" s="116" t="n">
        <v>0</v>
      </c>
      <c r="AI937" s="47">
        <f>IFERROR(AC937/S937,"")</f>
        <v/>
      </c>
      <c r="AJ937" s="47">
        <f>IFERROR(AH937/S937,"")</f>
        <v/>
      </c>
      <c r="AK937" s="116" t="n">
        <v>33</v>
      </c>
      <c r="AL937" s="116" t="n">
        <v>0</v>
      </c>
      <c r="AM937" s="118">
        <f>IFERROR(AL937/AA937,"")</f>
        <v/>
      </c>
      <c r="AN937" s="119">
        <f>IFERROR(R937/AL937,"")</f>
        <v/>
      </c>
      <c r="AO937" s="116" t="n">
        <v>0</v>
      </c>
      <c r="AP937" s="47">
        <f>IFERROR(AO937/AL937,"")</f>
        <v/>
      </c>
      <c r="AQ937" s="119">
        <f>IFERROR(R937/AO937,"")</f>
        <v/>
      </c>
      <c r="AR937" s="116" t="n">
        <v>0</v>
      </c>
      <c r="AS937" s="116" t="n">
        <v>0</v>
      </c>
      <c r="AT937" s="116">
        <f>AL937+AR937</f>
        <v/>
      </c>
      <c r="AU937" s="119">
        <f>IFERROR(AO937*Assumptions!$C$26*Assumptions!$C$27*INDEX(Assumptions!$C$18:$C$21,MATCH(H937,Assumptions!$B$18:$B$21,0)),0)</f>
        <v/>
      </c>
    </row>
    <row r="938">
      <c r="A938" s="114" t="n">
        <v>46259</v>
      </c>
      <c r="B938" s="42" t="inlineStr">
        <is>
          <t>Wk 35</t>
        </is>
      </c>
      <c r="C938" s="42" t="inlineStr">
        <is>
          <t>Tue</t>
        </is>
      </c>
      <c r="D938" s="42" t="inlineStr">
        <is>
          <t>Meta (FB/IG)</t>
        </is>
      </c>
      <c r="E938" s="42" t="inlineStr">
        <is>
          <t>Facebook + Instagram</t>
        </is>
      </c>
      <c r="F938" s="42" t="inlineStr">
        <is>
          <t>LEP_ZA_AUG26_META_RMKT_ALL_CONV</t>
        </is>
      </c>
      <c r="G938" s="42" t="inlineStr">
        <is>
          <t>Leads - Website Conversions</t>
        </is>
      </c>
      <c r="H938" s="42" t="inlineStr">
        <is>
          <t>Range</t>
        </is>
      </c>
      <c r="I938" s="42" t="inlineStr">
        <is>
          <t>Range Offer</t>
        </is>
      </c>
      <c r="J938" s="42" t="inlineStr">
        <is>
          <t>MET_RMKT_FORMABANDON_ZA</t>
        </is>
      </c>
      <c r="K938" s="42" t="inlineStr">
        <is>
          <t>Retargeting</t>
        </is>
      </c>
      <c r="L938" s="42" t="inlineStr">
        <is>
          <t>RMKT_STA_FinishBooking_v1</t>
        </is>
      </c>
      <c r="M938" s="42" t="inlineStr">
        <is>
          <t>Static 1:1</t>
        </is>
      </c>
      <c r="N938" s="42" t="inlineStr">
        <is>
          <t>You left one field empty</t>
        </is>
      </c>
      <c r="O938" s="42" t="inlineStr">
        <is>
          <t>Auction - Lowest Cost</t>
        </is>
      </c>
      <c r="P938" s="42" t="inlineStr">
        <is>
          <t>Offsite Conversions</t>
        </is>
      </c>
      <c r="Q938" s="42" t="inlineStr">
        <is>
          <t>https://www.lepas-sa.co.za/book-a-test-drive</t>
        </is>
      </c>
      <c r="R938" s="115" t="n">
        <v>92.89</v>
      </c>
      <c r="S938" s="116" t="n">
        <v>1074</v>
      </c>
      <c r="T938" s="116" t="n">
        <v>718</v>
      </c>
      <c r="U938" s="117">
        <f>IFERROR(S938/T938,"")</f>
        <v/>
      </c>
      <c r="V938" s="116" t="n">
        <v>27</v>
      </c>
      <c r="W938" s="116" t="n">
        <v>19</v>
      </c>
      <c r="X938" s="118">
        <f>IFERROR(W938/S938,"")</f>
        <v/>
      </c>
      <c r="Y938" s="115">
        <f>IFERROR(R938/W938,"")</f>
        <v/>
      </c>
      <c r="Z938" s="115">
        <f>IFERROR(R938/S938*1000,"")</f>
        <v/>
      </c>
      <c r="AA938" s="116" t="n">
        <v>17</v>
      </c>
      <c r="AB938" s="47">
        <f>IFERROR(AA938/W938,"")</f>
        <v/>
      </c>
      <c r="AC938" s="116" t="n">
        <v>0</v>
      </c>
      <c r="AD938" s="116" t="n">
        <v>0</v>
      </c>
      <c r="AE938" s="116" t="n">
        <v>0</v>
      </c>
      <c r="AF938" s="116" t="n">
        <v>0</v>
      </c>
      <c r="AG938" s="116" t="n">
        <v>0</v>
      </c>
      <c r="AH938" s="116" t="n">
        <v>0</v>
      </c>
      <c r="AI938" s="47">
        <f>IFERROR(AC938/S938,"")</f>
        <v/>
      </c>
      <c r="AJ938" s="47">
        <f>IFERROR(AH938/S938,"")</f>
        <v/>
      </c>
      <c r="AK938" s="116" t="n">
        <v>29</v>
      </c>
      <c r="AL938" s="116" t="n">
        <v>1</v>
      </c>
      <c r="AM938" s="118">
        <f>IFERROR(AL938/AA938,"")</f>
        <v/>
      </c>
      <c r="AN938" s="119">
        <f>IFERROR(R938/AL938,"")</f>
        <v/>
      </c>
      <c r="AO938" s="116" t="n">
        <v>1</v>
      </c>
      <c r="AP938" s="47">
        <f>IFERROR(AO938/AL938,"")</f>
        <v/>
      </c>
      <c r="AQ938" s="119">
        <f>IFERROR(R938/AO938,"")</f>
        <v/>
      </c>
      <c r="AR938" s="116" t="n">
        <v>0</v>
      </c>
      <c r="AS938" s="116" t="n">
        <v>0</v>
      </c>
      <c r="AT938" s="116">
        <f>AL938+AR938</f>
        <v/>
      </c>
      <c r="AU938" s="119">
        <f>IFERROR(AO938*Assumptions!$C$26*Assumptions!$C$27*INDEX(Assumptions!$C$18:$C$21,MATCH(H938,Assumptions!$B$18:$B$21,0)),0)</f>
        <v/>
      </c>
    </row>
    <row r="939">
      <c r="A939" s="114" t="n">
        <v>46260</v>
      </c>
      <c r="B939" s="42" t="inlineStr">
        <is>
          <t>Wk 35</t>
        </is>
      </c>
      <c r="C939" s="42" t="inlineStr">
        <is>
          <t>Wed</t>
        </is>
      </c>
      <c r="D939" s="42" t="inlineStr">
        <is>
          <t>Meta (FB/IG)</t>
        </is>
      </c>
      <c r="E939" s="42" t="inlineStr">
        <is>
          <t>Facebook + Instagram</t>
        </is>
      </c>
      <c r="F939" s="42" t="inlineStr">
        <is>
          <t>LEP_ZA_AUG26_META_RMKT_ALL_CONV</t>
        </is>
      </c>
      <c r="G939" s="42" t="inlineStr">
        <is>
          <t>Leads - Website Conversions</t>
        </is>
      </c>
      <c r="H939" s="42" t="inlineStr">
        <is>
          <t>Range</t>
        </is>
      </c>
      <c r="I939" s="42" t="inlineStr">
        <is>
          <t>Range Offer</t>
        </is>
      </c>
      <c r="J939" s="42" t="inlineStr">
        <is>
          <t>MET_RMKT_FORMABANDON_ZA</t>
        </is>
      </c>
      <c r="K939" s="42" t="inlineStr">
        <is>
          <t>Retargeting</t>
        </is>
      </c>
      <c r="L939" s="42" t="inlineStr">
        <is>
          <t>RMKT_STA_FinishBooking_v1</t>
        </is>
      </c>
      <c r="M939" s="42" t="inlineStr">
        <is>
          <t>Static 1:1</t>
        </is>
      </c>
      <c r="N939" s="42" t="inlineStr">
        <is>
          <t>You left one field empty</t>
        </is>
      </c>
      <c r="O939" s="42" t="inlineStr">
        <is>
          <t>Auction - Lowest Cost</t>
        </is>
      </c>
      <c r="P939" s="42" t="inlineStr">
        <is>
          <t>Offsite Conversions</t>
        </is>
      </c>
      <c r="Q939" s="42" t="inlineStr">
        <is>
          <t>https://www.lepas-sa.co.za/book-a-test-drive</t>
        </is>
      </c>
      <c r="R939" s="115" t="n">
        <v>109.9</v>
      </c>
      <c r="S939" s="116" t="n">
        <v>1252</v>
      </c>
      <c r="T939" s="116" t="n">
        <v>717</v>
      </c>
      <c r="U939" s="117">
        <f>IFERROR(S939/T939,"")</f>
        <v/>
      </c>
      <c r="V939" s="116" t="n">
        <v>40</v>
      </c>
      <c r="W939" s="116" t="n">
        <v>32</v>
      </c>
      <c r="X939" s="118">
        <f>IFERROR(W939/S939,"")</f>
        <v/>
      </c>
      <c r="Y939" s="115">
        <f>IFERROR(R939/W939,"")</f>
        <v/>
      </c>
      <c r="Z939" s="115">
        <f>IFERROR(R939/S939*1000,"")</f>
        <v/>
      </c>
      <c r="AA939" s="116" t="n">
        <v>26</v>
      </c>
      <c r="AB939" s="47">
        <f>IFERROR(AA939/W939,"")</f>
        <v/>
      </c>
      <c r="AC939" s="116" t="n">
        <v>0</v>
      </c>
      <c r="AD939" s="116" t="n">
        <v>0</v>
      </c>
      <c r="AE939" s="116" t="n">
        <v>0</v>
      </c>
      <c r="AF939" s="116" t="n">
        <v>0</v>
      </c>
      <c r="AG939" s="116" t="n">
        <v>0</v>
      </c>
      <c r="AH939" s="116" t="n">
        <v>0</v>
      </c>
      <c r="AI939" s="47">
        <f>IFERROR(AC939/S939,"")</f>
        <v/>
      </c>
      <c r="AJ939" s="47">
        <f>IFERROR(AH939/S939,"")</f>
        <v/>
      </c>
      <c r="AK939" s="116" t="n">
        <v>41</v>
      </c>
      <c r="AL939" s="116" t="n">
        <v>1</v>
      </c>
      <c r="AM939" s="118">
        <f>IFERROR(AL939/AA939,"")</f>
        <v/>
      </c>
      <c r="AN939" s="119">
        <f>IFERROR(R939/AL939,"")</f>
        <v/>
      </c>
      <c r="AO939" s="116" t="n">
        <v>1</v>
      </c>
      <c r="AP939" s="47">
        <f>IFERROR(AO939/AL939,"")</f>
        <v/>
      </c>
      <c r="AQ939" s="119">
        <f>IFERROR(R939/AO939,"")</f>
        <v/>
      </c>
      <c r="AR939" s="116" t="n">
        <v>0</v>
      </c>
      <c r="AS939" s="116" t="n">
        <v>0</v>
      </c>
      <c r="AT939" s="116">
        <f>AL939+AR939</f>
        <v/>
      </c>
      <c r="AU939" s="119">
        <f>IFERROR(AO939*Assumptions!$C$26*Assumptions!$C$27*INDEX(Assumptions!$C$18:$C$21,MATCH(H939,Assumptions!$B$18:$B$21,0)),0)</f>
        <v/>
      </c>
    </row>
    <row r="940">
      <c r="A940" s="114" t="n">
        <v>46261</v>
      </c>
      <c r="B940" s="42" t="inlineStr">
        <is>
          <t>Wk 35</t>
        </is>
      </c>
      <c r="C940" s="42" t="inlineStr">
        <is>
          <t>Thu</t>
        </is>
      </c>
      <c r="D940" s="42" t="inlineStr">
        <is>
          <t>Meta (FB/IG)</t>
        </is>
      </c>
      <c r="E940" s="42" t="inlineStr">
        <is>
          <t>Facebook + Instagram</t>
        </is>
      </c>
      <c r="F940" s="42" t="inlineStr">
        <is>
          <t>LEP_ZA_AUG26_META_RMKT_ALL_CONV</t>
        </is>
      </c>
      <c r="G940" s="42" t="inlineStr">
        <is>
          <t>Leads - Website Conversions</t>
        </is>
      </c>
      <c r="H940" s="42" t="inlineStr">
        <is>
          <t>Range</t>
        </is>
      </c>
      <c r="I940" s="42" t="inlineStr">
        <is>
          <t>Range Offer</t>
        </is>
      </c>
      <c r="J940" s="42" t="inlineStr">
        <is>
          <t>MET_RMKT_FORMABANDON_ZA</t>
        </is>
      </c>
      <c r="K940" s="42" t="inlineStr">
        <is>
          <t>Retargeting</t>
        </is>
      </c>
      <c r="L940" s="42" t="inlineStr">
        <is>
          <t>RMKT_STA_FinishBooking_v1</t>
        </is>
      </c>
      <c r="M940" s="42" t="inlineStr">
        <is>
          <t>Static 1:1</t>
        </is>
      </c>
      <c r="N940" s="42" t="inlineStr">
        <is>
          <t>You left one field empty</t>
        </is>
      </c>
      <c r="O940" s="42" t="inlineStr">
        <is>
          <t>Auction - Lowest Cost</t>
        </is>
      </c>
      <c r="P940" s="42" t="inlineStr">
        <is>
          <t>Offsite Conversions</t>
        </is>
      </c>
      <c r="Q940" s="42" t="inlineStr">
        <is>
          <t>https://www.lepas-sa.co.za/book-a-test-drive</t>
        </is>
      </c>
      <c r="R940" s="115" t="n">
        <v>136.79</v>
      </c>
      <c r="S940" s="116" t="n">
        <v>1451</v>
      </c>
      <c r="T940" s="116" t="n">
        <v>881</v>
      </c>
      <c r="U940" s="117">
        <f>IFERROR(S940/T940,"")</f>
        <v/>
      </c>
      <c r="V940" s="116" t="n">
        <v>36</v>
      </c>
      <c r="W940" s="116" t="n">
        <v>26</v>
      </c>
      <c r="X940" s="118">
        <f>IFERROR(W940/S940,"")</f>
        <v/>
      </c>
      <c r="Y940" s="115">
        <f>IFERROR(R940/W940,"")</f>
        <v/>
      </c>
      <c r="Z940" s="115">
        <f>IFERROR(R940/S940*1000,"")</f>
        <v/>
      </c>
      <c r="AA940" s="116" t="n">
        <v>21</v>
      </c>
      <c r="AB940" s="47">
        <f>IFERROR(AA940/W940,"")</f>
        <v/>
      </c>
      <c r="AC940" s="116" t="n">
        <v>0</v>
      </c>
      <c r="AD940" s="116" t="n">
        <v>0</v>
      </c>
      <c r="AE940" s="116" t="n">
        <v>0</v>
      </c>
      <c r="AF940" s="116" t="n">
        <v>0</v>
      </c>
      <c r="AG940" s="116" t="n">
        <v>0</v>
      </c>
      <c r="AH940" s="116" t="n">
        <v>0</v>
      </c>
      <c r="AI940" s="47">
        <f>IFERROR(AC940/S940,"")</f>
        <v/>
      </c>
      <c r="AJ940" s="47">
        <f>IFERROR(AH940/S940,"")</f>
        <v/>
      </c>
      <c r="AK940" s="116" t="n">
        <v>15</v>
      </c>
      <c r="AL940" s="116" t="n">
        <v>1</v>
      </c>
      <c r="AM940" s="118">
        <f>IFERROR(AL940/AA940,"")</f>
        <v/>
      </c>
      <c r="AN940" s="119">
        <f>IFERROR(R940/AL940,"")</f>
        <v/>
      </c>
      <c r="AO940" s="116" t="n">
        <v>0</v>
      </c>
      <c r="AP940" s="47">
        <f>IFERROR(AO940/AL940,"")</f>
        <v/>
      </c>
      <c r="AQ940" s="119">
        <f>IFERROR(R940/AO940,"")</f>
        <v/>
      </c>
      <c r="AR940" s="116" t="n">
        <v>0</v>
      </c>
      <c r="AS940" s="116" t="n">
        <v>0</v>
      </c>
      <c r="AT940" s="116">
        <f>AL940+AR940</f>
        <v/>
      </c>
      <c r="AU940" s="119">
        <f>IFERROR(AO940*Assumptions!$C$26*Assumptions!$C$27*INDEX(Assumptions!$C$18:$C$21,MATCH(H940,Assumptions!$B$18:$B$21,0)),0)</f>
        <v/>
      </c>
    </row>
    <row r="941">
      <c r="A941" s="114" t="n">
        <v>46262</v>
      </c>
      <c r="B941" s="42" t="inlineStr">
        <is>
          <t>Wk 35</t>
        </is>
      </c>
      <c r="C941" s="42" t="inlineStr">
        <is>
          <t>Fri</t>
        </is>
      </c>
      <c r="D941" s="42" t="inlineStr">
        <is>
          <t>Meta (FB/IG)</t>
        </is>
      </c>
      <c r="E941" s="42" t="inlineStr">
        <is>
          <t>Facebook + Instagram</t>
        </is>
      </c>
      <c r="F941" s="42" t="inlineStr">
        <is>
          <t>LEP_ZA_AUG26_META_RMKT_ALL_CONV</t>
        </is>
      </c>
      <c r="G941" s="42" t="inlineStr">
        <is>
          <t>Leads - Website Conversions</t>
        </is>
      </c>
      <c r="H941" s="42" t="inlineStr">
        <is>
          <t>Range</t>
        </is>
      </c>
      <c r="I941" s="42" t="inlineStr">
        <is>
          <t>Range Offer</t>
        </is>
      </c>
      <c r="J941" s="42" t="inlineStr">
        <is>
          <t>MET_RMKT_FORMABANDON_ZA</t>
        </is>
      </c>
      <c r="K941" s="42" t="inlineStr">
        <is>
          <t>Retargeting</t>
        </is>
      </c>
      <c r="L941" s="42" t="inlineStr">
        <is>
          <t>RMKT_STA_FinishBooking_v1</t>
        </is>
      </c>
      <c r="M941" s="42" t="inlineStr">
        <is>
          <t>Static 1:1</t>
        </is>
      </c>
      <c r="N941" s="42" t="inlineStr">
        <is>
          <t>You left one field empty</t>
        </is>
      </c>
      <c r="O941" s="42" t="inlineStr">
        <is>
          <t>Auction - Lowest Cost</t>
        </is>
      </c>
      <c r="P941" s="42" t="inlineStr">
        <is>
          <t>Offsite Conversions</t>
        </is>
      </c>
      <c r="Q941" s="42" t="inlineStr">
        <is>
          <t>https://www.lepas-sa.co.za/book-a-test-drive</t>
        </is>
      </c>
      <c r="R941" s="115" t="n">
        <v>131.11</v>
      </c>
      <c r="S941" s="116" t="n">
        <v>1294</v>
      </c>
      <c r="T941" s="116" t="n">
        <v>764</v>
      </c>
      <c r="U941" s="117">
        <f>IFERROR(S941/T941,"")</f>
        <v/>
      </c>
      <c r="V941" s="116" t="n">
        <v>27</v>
      </c>
      <c r="W941" s="116" t="n">
        <v>20</v>
      </c>
      <c r="X941" s="118">
        <f>IFERROR(W941/S941,"")</f>
        <v/>
      </c>
      <c r="Y941" s="115">
        <f>IFERROR(R941/W941,"")</f>
        <v/>
      </c>
      <c r="Z941" s="115">
        <f>IFERROR(R941/S941*1000,"")</f>
        <v/>
      </c>
      <c r="AA941" s="116" t="n">
        <v>17</v>
      </c>
      <c r="AB941" s="47">
        <f>IFERROR(AA941/W941,"")</f>
        <v/>
      </c>
      <c r="AC941" s="116" t="n">
        <v>0</v>
      </c>
      <c r="AD941" s="116" t="n">
        <v>0</v>
      </c>
      <c r="AE941" s="116" t="n">
        <v>0</v>
      </c>
      <c r="AF941" s="116" t="n">
        <v>0</v>
      </c>
      <c r="AG941" s="116" t="n">
        <v>0</v>
      </c>
      <c r="AH941" s="116" t="n">
        <v>0</v>
      </c>
      <c r="AI941" s="47">
        <f>IFERROR(AC941/S941,"")</f>
        <v/>
      </c>
      <c r="AJ941" s="47">
        <f>IFERROR(AH941/S941,"")</f>
        <v/>
      </c>
      <c r="AK941" s="116" t="n">
        <v>24</v>
      </c>
      <c r="AL941" s="116" t="n">
        <v>0</v>
      </c>
      <c r="AM941" s="118">
        <f>IFERROR(AL941/AA941,"")</f>
        <v/>
      </c>
      <c r="AN941" s="119">
        <f>IFERROR(R941/AL941,"")</f>
        <v/>
      </c>
      <c r="AO941" s="116" t="n">
        <v>0</v>
      </c>
      <c r="AP941" s="47">
        <f>IFERROR(AO941/AL941,"")</f>
        <v/>
      </c>
      <c r="AQ941" s="119">
        <f>IFERROR(R941/AO941,"")</f>
        <v/>
      </c>
      <c r="AR941" s="116" t="n">
        <v>0</v>
      </c>
      <c r="AS941" s="116" t="n">
        <v>0</v>
      </c>
      <c r="AT941" s="116">
        <f>AL941+AR941</f>
        <v/>
      </c>
      <c r="AU941" s="119">
        <f>IFERROR(AO941*Assumptions!$C$26*Assumptions!$C$27*INDEX(Assumptions!$C$18:$C$21,MATCH(H941,Assumptions!$B$18:$B$21,0)),0)</f>
        <v/>
      </c>
    </row>
    <row r="942">
      <c r="A942" s="114" t="n">
        <v>46263</v>
      </c>
      <c r="B942" s="42" t="inlineStr">
        <is>
          <t>Wk 35</t>
        </is>
      </c>
      <c r="C942" s="42" t="inlineStr">
        <is>
          <t>Sat</t>
        </is>
      </c>
      <c r="D942" s="42" t="inlineStr">
        <is>
          <t>Meta (FB/IG)</t>
        </is>
      </c>
      <c r="E942" s="42" t="inlineStr">
        <is>
          <t>Facebook + Instagram</t>
        </is>
      </c>
      <c r="F942" s="42" t="inlineStr">
        <is>
          <t>LEP_ZA_AUG26_META_RMKT_ALL_CONV</t>
        </is>
      </c>
      <c r="G942" s="42" t="inlineStr">
        <is>
          <t>Leads - Website Conversions</t>
        </is>
      </c>
      <c r="H942" s="42" t="inlineStr">
        <is>
          <t>Range</t>
        </is>
      </c>
      <c r="I942" s="42" t="inlineStr">
        <is>
          <t>Range Offer</t>
        </is>
      </c>
      <c r="J942" s="42" t="inlineStr">
        <is>
          <t>MET_RMKT_FORMABANDON_ZA</t>
        </is>
      </c>
      <c r="K942" s="42" t="inlineStr">
        <is>
          <t>Retargeting</t>
        </is>
      </c>
      <c r="L942" s="42" t="inlineStr">
        <is>
          <t>RMKT_STA_FinishBooking_v1</t>
        </is>
      </c>
      <c r="M942" s="42" t="inlineStr">
        <is>
          <t>Static 1:1</t>
        </is>
      </c>
      <c r="N942" s="42" t="inlineStr">
        <is>
          <t>You left one field empty</t>
        </is>
      </c>
      <c r="O942" s="42" t="inlineStr">
        <is>
          <t>Auction - Lowest Cost</t>
        </is>
      </c>
      <c r="P942" s="42" t="inlineStr">
        <is>
          <t>Offsite Conversions</t>
        </is>
      </c>
      <c r="Q942" s="42" t="inlineStr">
        <is>
          <t>https://www.lepas-sa.co.za/book-a-test-drive</t>
        </is>
      </c>
      <c r="R942" s="115" t="n">
        <v>137.33</v>
      </c>
      <c r="S942" s="116" t="n">
        <v>1523</v>
      </c>
      <c r="T942" s="116" t="n">
        <v>796</v>
      </c>
      <c r="U942" s="117">
        <f>IFERROR(S942/T942,"")</f>
        <v/>
      </c>
      <c r="V942" s="116" t="n">
        <v>39</v>
      </c>
      <c r="W942" s="116" t="n">
        <v>30</v>
      </c>
      <c r="X942" s="118">
        <f>IFERROR(W942/S942,"")</f>
        <v/>
      </c>
      <c r="Y942" s="115">
        <f>IFERROR(R942/W942,"")</f>
        <v/>
      </c>
      <c r="Z942" s="115">
        <f>IFERROR(R942/S942*1000,"")</f>
        <v/>
      </c>
      <c r="AA942" s="116" t="n">
        <v>26</v>
      </c>
      <c r="AB942" s="47">
        <f>IFERROR(AA942/W942,"")</f>
        <v/>
      </c>
      <c r="AC942" s="116" t="n">
        <v>0</v>
      </c>
      <c r="AD942" s="116" t="n">
        <v>0</v>
      </c>
      <c r="AE942" s="116" t="n">
        <v>0</v>
      </c>
      <c r="AF942" s="116" t="n">
        <v>0</v>
      </c>
      <c r="AG942" s="116" t="n">
        <v>0</v>
      </c>
      <c r="AH942" s="116" t="n">
        <v>0</v>
      </c>
      <c r="AI942" s="47">
        <f>IFERROR(AC942/S942,"")</f>
        <v/>
      </c>
      <c r="AJ942" s="47">
        <f>IFERROR(AH942/S942,"")</f>
        <v/>
      </c>
      <c r="AK942" s="116" t="n">
        <v>37</v>
      </c>
      <c r="AL942" s="116" t="n">
        <v>1</v>
      </c>
      <c r="AM942" s="118">
        <f>IFERROR(AL942/AA942,"")</f>
        <v/>
      </c>
      <c r="AN942" s="119">
        <f>IFERROR(R942/AL942,"")</f>
        <v/>
      </c>
      <c r="AO942" s="116" t="n">
        <v>1</v>
      </c>
      <c r="AP942" s="47">
        <f>IFERROR(AO942/AL942,"")</f>
        <v/>
      </c>
      <c r="AQ942" s="119">
        <f>IFERROR(R942/AO942,"")</f>
        <v/>
      </c>
      <c r="AR942" s="116" t="n">
        <v>0</v>
      </c>
      <c r="AS942" s="116" t="n">
        <v>0</v>
      </c>
      <c r="AT942" s="116">
        <f>AL942+AR942</f>
        <v/>
      </c>
      <c r="AU942" s="119">
        <f>IFERROR(AO942*Assumptions!$C$26*Assumptions!$C$27*INDEX(Assumptions!$C$18:$C$21,MATCH(H942,Assumptions!$B$18:$B$21,0)),0)</f>
        <v/>
      </c>
    </row>
    <row r="943">
      <c r="A943" s="114" t="n">
        <v>46264</v>
      </c>
      <c r="B943" s="42" t="inlineStr">
        <is>
          <t>Wk 35</t>
        </is>
      </c>
      <c r="C943" s="42" t="inlineStr">
        <is>
          <t>Sun</t>
        </is>
      </c>
      <c r="D943" s="42" t="inlineStr">
        <is>
          <t>Meta (FB/IG)</t>
        </is>
      </c>
      <c r="E943" s="42" t="inlineStr">
        <is>
          <t>Facebook + Instagram</t>
        </is>
      </c>
      <c r="F943" s="42" t="inlineStr">
        <is>
          <t>LEP_ZA_AUG26_META_RMKT_ALL_CONV</t>
        </is>
      </c>
      <c r="G943" s="42" t="inlineStr">
        <is>
          <t>Leads - Website Conversions</t>
        </is>
      </c>
      <c r="H943" s="42" t="inlineStr">
        <is>
          <t>Range</t>
        </is>
      </c>
      <c r="I943" s="42" t="inlineStr">
        <is>
          <t>Range Offer</t>
        </is>
      </c>
      <c r="J943" s="42" t="inlineStr">
        <is>
          <t>MET_RMKT_FORMABANDON_ZA</t>
        </is>
      </c>
      <c r="K943" s="42" t="inlineStr">
        <is>
          <t>Retargeting</t>
        </is>
      </c>
      <c r="L943" s="42" t="inlineStr">
        <is>
          <t>RMKT_STA_FinishBooking_v1</t>
        </is>
      </c>
      <c r="M943" s="42" t="inlineStr">
        <is>
          <t>Static 1:1</t>
        </is>
      </c>
      <c r="N943" s="42" t="inlineStr">
        <is>
          <t>You left one field empty</t>
        </is>
      </c>
      <c r="O943" s="42" t="inlineStr">
        <is>
          <t>Auction - Lowest Cost</t>
        </is>
      </c>
      <c r="P943" s="42" t="inlineStr">
        <is>
          <t>Offsite Conversions</t>
        </is>
      </c>
      <c r="Q943" s="42" t="inlineStr">
        <is>
          <t>https://www.lepas-sa.co.za/book-a-test-drive</t>
        </is>
      </c>
      <c r="R943" s="115" t="n">
        <v>102.11</v>
      </c>
      <c r="S943" s="116" t="n">
        <v>1123</v>
      </c>
      <c r="T943" s="116" t="n">
        <v>578</v>
      </c>
      <c r="U943" s="117">
        <f>IFERROR(S943/T943,"")</f>
        <v/>
      </c>
      <c r="V943" s="116" t="n">
        <v>26</v>
      </c>
      <c r="W943" s="116" t="n">
        <v>21</v>
      </c>
      <c r="X943" s="118">
        <f>IFERROR(W943/S943,"")</f>
        <v/>
      </c>
      <c r="Y943" s="115">
        <f>IFERROR(R943/W943,"")</f>
        <v/>
      </c>
      <c r="Z943" s="115">
        <f>IFERROR(R943/S943*1000,"")</f>
        <v/>
      </c>
      <c r="AA943" s="116" t="n">
        <v>16</v>
      </c>
      <c r="AB943" s="47">
        <f>IFERROR(AA943/W943,"")</f>
        <v/>
      </c>
      <c r="AC943" s="116" t="n">
        <v>0</v>
      </c>
      <c r="AD943" s="116" t="n">
        <v>0</v>
      </c>
      <c r="AE943" s="116" t="n">
        <v>0</v>
      </c>
      <c r="AF943" s="116" t="n">
        <v>0</v>
      </c>
      <c r="AG943" s="116" t="n">
        <v>0</v>
      </c>
      <c r="AH943" s="116" t="n">
        <v>0</v>
      </c>
      <c r="AI943" s="47">
        <f>IFERROR(AC943/S943,"")</f>
        <v/>
      </c>
      <c r="AJ943" s="47">
        <f>IFERROR(AH943/S943,"")</f>
        <v/>
      </c>
      <c r="AK943" s="116" t="n">
        <v>22</v>
      </c>
      <c r="AL943" s="116" t="n">
        <v>1</v>
      </c>
      <c r="AM943" s="118">
        <f>IFERROR(AL943/AA943,"")</f>
        <v/>
      </c>
      <c r="AN943" s="119">
        <f>IFERROR(R943/AL943,"")</f>
        <v/>
      </c>
      <c r="AO943" s="116" t="n">
        <v>1</v>
      </c>
      <c r="AP943" s="47">
        <f>IFERROR(AO943/AL943,"")</f>
        <v/>
      </c>
      <c r="AQ943" s="119">
        <f>IFERROR(R943/AO943,"")</f>
        <v/>
      </c>
      <c r="AR943" s="116" t="n">
        <v>0</v>
      </c>
      <c r="AS943" s="116" t="n">
        <v>0</v>
      </c>
      <c r="AT943" s="116">
        <f>AL943+AR943</f>
        <v/>
      </c>
      <c r="AU943" s="119">
        <f>IFERROR(AO943*Assumptions!$C$26*Assumptions!$C$27*INDEX(Assumptions!$C$18:$C$21,MATCH(H943,Assumptions!$B$18:$B$21,0)),0)</f>
        <v/>
      </c>
    </row>
    <row r="944">
      <c r="A944" s="114" t="n">
        <v>46265</v>
      </c>
      <c r="B944" s="42" t="inlineStr">
        <is>
          <t>Wk 36</t>
        </is>
      </c>
      <c r="C944" s="42" t="inlineStr">
        <is>
          <t>Mon</t>
        </is>
      </c>
      <c r="D944" s="42" t="inlineStr">
        <is>
          <t>Meta (FB/IG)</t>
        </is>
      </c>
      <c r="E944" s="42" t="inlineStr">
        <is>
          <t>Facebook + Instagram</t>
        </is>
      </c>
      <c r="F944" s="42" t="inlineStr">
        <is>
          <t>LEP_ZA_AUG26_META_RMKT_ALL_CONV</t>
        </is>
      </c>
      <c r="G944" s="42" t="inlineStr">
        <is>
          <t>Leads - Website Conversions</t>
        </is>
      </c>
      <c r="H944" s="42" t="inlineStr">
        <is>
          <t>Range</t>
        </is>
      </c>
      <c r="I944" s="42" t="inlineStr">
        <is>
          <t>Range Offer</t>
        </is>
      </c>
      <c r="J944" s="42" t="inlineStr">
        <is>
          <t>MET_RMKT_FORMABANDON_ZA</t>
        </is>
      </c>
      <c r="K944" s="42" t="inlineStr">
        <is>
          <t>Retargeting</t>
        </is>
      </c>
      <c r="L944" s="42" t="inlineStr">
        <is>
          <t>RMKT_STA_FinishBooking_v1</t>
        </is>
      </c>
      <c r="M944" s="42" t="inlineStr">
        <is>
          <t>Static 1:1</t>
        </is>
      </c>
      <c r="N944" s="42" t="inlineStr">
        <is>
          <t>You left one field empty</t>
        </is>
      </c>
      <c r="O944" s="42" t="inlineStr">
        <is>
          <t>Auction - Lowest Cost</t>
        </is>
      </c>
      <c r="P944" s="42" t="inlineStr">
        <is>
          <t>Offsite Conversions</t>
        </is>
      </c>
      <c r="Q944" s="42" t="inlineStr">
        <is>
          <t>https://www.lepas-sa.co.za/book-a-test-drive</t>
        </is>
      </c>
      <c r="R944" s="115" t="n">
        <v>118.98</v>
      </c>
      <c r="S944" s="116" t="n">
        <v>1605</v>
      </c>
      <c r="T944" s="116" t="n">
        <v>910</v>
      </c>
      <c r="U944" s="117">
        <f>IFERROR(S944/T944,"")</f>
        <v/>
      </c>
      <c r="V944" s="116" t="n">
        <v>58</v>
      </c>
      <c r="W944" s="116" t="n">
        <v>45</v>
      </c>
      <c r="X944" s="118">
        <f>IFERROR(W944/S944,"")</f>
        <v/>
      </c>
      <c r="Y944" s="115">
        <f>IFERROR(R944/W944,"")</f>
        <v/>
      </c>
      <c r="Z944" s="115">
        <f>IFERROR(R944/S944*1000,"")</f>
        <v/>
      </c>
      <c r="AA944" s="116" t="n">
        <v>37</v>
      </c>
      <c r="AB944" s="47">
        <f>IFERROR(AA944/W944,"")</f>
        <v/>
      </c>
      <c r="AC944" s="116" t="n">
        <v>0</v>
      </c>
      <c r="AD944" s="116" t="n">
        <v>0</v>
      </c>
      <c r="AE944" s="116" t="n">
        <v>0</v>
      </c>
      <c r="AF944" s="116" t="n">
        <v>0</v>
      </c>
      <c r="AG944" s="116" t="n">
        <v>0</v>
      </c>
      <c r="AH944" s="116" t="n">
        <v>0</v>
      </c>
      <c r="AI944" s="47">
        <f>IFERROR(AC944/S944,"")</f>
        <v/>
      </c>
      <c r="AJ944" s="47">
        <f>IFERROR(AH944/S944,"")</f>
        <v/>
      </c>
      <c r="AK944" s="116" t="n">
        <v>40</v>
      </c>
      <c r="AL944" s="116" t="n">
        <v>1</v>
      </c>
      <c r="AM944" s="118">
        <f>IFERROR(AL944/AA944,"")</f>
        <v/>
      </c>
      <c r="AN944" s="119">
        <f>IFERROR(R944/AL944,"")</f>
        <v/>
      </c>
      <c r="AO944" s="116" t="n">
        <v>1</v>
      </c>
      <c r="AP944" s="47">
        <f>IFERROR(AO944/AL944,"")</f>
        <v/>
      </c>
      <c r="AQ944" s="119">
        <f>IFERROR(R944/AO944,"")</f>
        <v/>
      </c>
      <c r="AR944" s="116" t="n">
        <v>0</v>
      </c>
      <c r="AS944" s="116" t="n">
        <v>0</v>
      </c>
      <c r="AT944" s="116">
        <f>AL944+AR944</f>
        <v/>
      </c>
      <c r="AU944" s="119">
        <f>IFERROR(AO944*Assumptions!$C$26*Assumptions!$C$27*INDEX(Assumptions!$C$18:$C$21,MATCH(H944,Assumptions!$B$18:$B$21,0)),0)</f>
        <v/>
      </c>
    </row>
    <row r="945">
      <c r="A945" s="114" t="n">
        <v>46235</v>
      </c>
      <c r="B945" s="42" t="inlineStr">
        <is>
          <t>Wk 31</t>
        </is>
      </c>
      <c r="C945" s="42" t="inlineStr">
        <is>
          <t>Sat</t>
        </is>
      </c>
      <c r="D945" s="42" t="inlineStr">
        <is>
          <t>Meta (FB/IG)</t>
        </is>
      </c>
      <c r="E945" s="42" t="inlineStr">
        <is>
          <t>Facebook + Instagram</t>
        </is>
      </c>
      <c r="F945" s="42" t="inlineStr">
        <is>
          <t>LEP_ZA_AUG26_META_RMKT_ALL_CONV</t>
        </is>
      </c>
      <c r="G945" s="42" t="inlineStr">
        <is>
          <t>Leads - Website Conversions</t>
        </is>
      </c>
      <c r="H945" s="42" t="inlineStr">
        <is>
          <t>Range</t>
        </is>
      </c>
      <c r="I945" s="42" t="inlineStr">
        <is>
          <t>Range Offer</t>
        </is>
      </c>
      <c r="J945" s="42" t="inlineStr">
        <is>
          <t>MET_RMKT_FORMABANDON_ZA</t>
        </is>
      </c>
      <c r="K945" s="42" t="inlineStr">
        <is>
          <t>Retargeting</t>
        </is>
      </c>
      <c r="L945" s="42" t="inlineStr">
        <is>
          <t>RMKT_DYN_ModelSeen_v1</t>
        </is>
      </c>
      <c r="M945" s="42" t="inlineStr">
        <is>
          <t>Dynamic Carousel</t>
        </is>
      </c>
      <c r="N945" s="42" t="inlineStr">
        <is>
          <t>Still thinking about it?</t>
        </is>
      </c>
      <c r="O945" s="42" t="inlineStr">
        <is>
          <t>Auction - Lowest Cost</t>
        </is>
      </c>
      <c r="P945" s="42" t="inlineStr">
        <is>
          <t>Offsite Conversions</t>
        </is>
      </c>
      <c r="Q945" s="42" t="inlineStr">
        <is>
          <t>https://www.lepas-sa.co.za/book-a-test-drive</t>
        </is>
      </c>
      <c r="R945" s="115" t="n">
        <v>77.05</v>
      </c>
      <c r="S945" s="116" t="n">
        <v>904</v>
      </c>
      <c r="T945" s="116" t="n">
        <v>731</v>
      </c>
      <c r="U945" s="117">
        <f>IFERROR(S945/T945,"")</f>
        <v/>
      </c>
      <c r="V945" s="116" t="n">
        <v>21</v>
      </c>
      <c r="W945" s="116" t="n">
        <v>17</v>
      </c>
      <c r="X945" s="118">
        <f>IFERROR(W945/S945,"")</f>
        <v/>
      </c>
      <c r="Y945" s="115">
        <f>IFERROR(R945/W945,"")</f>
        <v/>
      </c>
      <c r="Z945" s="115">
        <f>IFERROR(R945/S945*1000,"")</f>
        <v/>
      </c>
      <c r="AA945" s="116" t="n">
        <v>15</v>
      </c>
      <c r="AB945" s="47">
        <f>IFERROR(AA945/W945,"")</f>
        <v/>
      </c>
      <c r="AC945" s="116" t="n">
        <v>0</v>
      </c>
      <c r="AD945" s="116" t="n">
        <v>0</v>
      </c>
      <c r="AE945" s="116" t="n">
        <v>0</v>
      </c>
      <c r="AF945" s="116" t="n">
        <v>0</v>
      </c>
      <c r="AG945" s="116" t="n">
        <v>0</v>
      </c>
      <c r="AH945" s="116" t="n">
        <v>0</v>
      </c>
      <c r="AI945" s="47">
        <f>IFERROR(AC945/S945,"")</f>
        <v/>
      </c>
      <c r="AJ945" s="47">
        <f>IFERROR(AH945/S945,"")</f>
        <v/>
      </c>
      <c r="AK945" s="116" t="n">
        <v>26</v>
      </c>
      <c r="AL945" s="116" t="n">
        <v>0</v>
      </c>
      <c r="AM945" s="118">
        <f>IFERROR(AL945/AA945,"")</f>
        <v/>
      </c>
      <c r="AN945" s="119">
        <f>IFERROR(R945/AL945,"")</f>
        <v/>
      </c>
      <c r="AO945" s="116" t="n">
        <v>0</v>
      </c>
      <c r="AP945" s="47">
        <f>IFERROR(AO945/AL945,"")</f>
        <v/>
      </c>
      <c r="AQ945" s="119">
        <f>IFERROR(R945/AO945,"")</f>
        <v/>
      </c>
      <c r="AR945" s="116" t="n">
        <v>0</v>
      </c>
      <c r="AS945" s="116" t="n">
        <v>0</v>
      </c>
      <c r="AT945" s="116">
        <f>AL945+AR945</f>
        <v/>
      </c>
      <c r="AU945" s="119">
        <f>IFERROR(AO945*Assumptions!$C$26*Assumptions!$C$27*INDEX(Assumptions!$C$18:$C$21,MATCH(H945,Assumptions!$B$18:$B$21,0)),0)</f>
        <v/>
      </c>
    </row>
    <row r="946">
      <c r="A946" s="114" t="n">
        <v>46236</v>
      </c>
      <c r="B946" s="42" t="inlineStr">
        <is>
          <t>Wk 31</t>
        </is>
      </c>
      <c r="C946" s="42" t="inlineStr">
        <is>
          <t>Sun</t>
        </is>
      </c>
      <c r="D946" s="42" t="inlineStr">
        <is>
          <t>Meta (FB/IG)</t>
        </is>
      </c>
      <c r="E946" s="42" t="inlineStr">
        <is>
          <t>Facebook + Instagram</t>
        </is>
      </c>
      <c r="F946" s="42" t="inlineStr">
        <is>
          <t>LEP_ZA_AUG26_META_RMKT_ALL_CONV</t>
        </is>
      </c>
      <c r="G946" s="42" t="inlineStr">
        <is>
          <t>Leads - Website Conversions</t>
        </is>
      </c>
      <c r="H946" s="42" t="inlineStr">
        <is>
          <t>Range</t>
        </is>
      </c>
      <c r="I946" s="42" t="inlineStr">
        <is>
          <t>Range Offer</t>
        </is>
      </c>
      <c r="J946" s="42" t="inlineStr">
        <is>
          <t>MET_RMKT_FORMABANDON_ZA</t>
        </is>
      </c>
      <c r="K946" s="42" t="inlineStr">
        <is>
          <t>Retargeting</t>
        </is>
      </c>
      <c r="L946" s="42" t="inlineStr">
        <is>
          <t>RMKT_DYN_ModelSeen_v1</t>
        </is>
      </c>
      <c r="M946" s="42" t="inlineStr">
        <is>
          <t>Dynamic Carousel</t>
        </is>
      </c>
      <c r="N946" s="42" t="inlineStr">
        <is>
          <t>Still thinking about it?</t>
        </is>
      </c>
      <c r="O946" s="42" t="inlineStr">
        <is>
          <t>Auction - Lowest Cost</t>
        </is>
      </c>
      <c r="P946" s="42" t="inlineStr">
        <is>
          <t>Offsite Conversions</t>
        </is>
      </c>
      <c r="Q946" s="42" t="inlineStr">
        <is>
          <t>https://www.lepas-sa.co.za/book-a-test-drive</t>
        </is>
      </c>
      <c r="R946" s="115" t="n">
        <v>56.08</v>
      </c>
      <c r="S946" s="116" t="n">
        <v>796</v>
      </c>
      <c r="T946" s="116" t="n">
        <v>604</v>
      </c>
      <c r="U946" s="117">
        <f>IFERROR(S946/T946,"")</f>
        <v/>
      </c>
      <c r="V946" s="116" t="n">
        <v>24</v>
      </c>
      <c r="W946" s="116" t="n">
        <v>20</v>
      </c>
      <c r="X946" s="118">
        <f>IFERROR(W946/S946,"")</f>
        <v/>
      </c>
      <c r="Y946" s="115">
        <f>IFERROR(R946/W946,"")</f>
        <v/>
      </c>
      <c r="Z946" s="115">
        <f>IFERROR(R946/S946*1000,"")</f>
        <v/>
      </c>
      <c r="AA946" s="116" t="n">
        <v>17</v>
      </c>
      <c r="AB946" s="47">
        <f>IFERROR(AA946/W946,"")</f>
        <v/>
      </c>
      <c r="AC946" s="116" t="n">
        <v>0</v>
      </c>
      <c r="AD946" s="116" t="n">
        <v>0</v>
      </c>
      <c r="AE946" s="116" t="n">
        <v>0</v>
      </c>
      <c r="AF946" s="116" t="n">
        <v>0</v>
      </c>
      <c r="AG946" s="116" t="n">
        <v>0</v>
      </c>
      <c r="AH946" s="116" t="n">
        <v>0</v>
      </c>
      <c r="AI946" s="47">
        <f>IFERROR(AC946/S946,"")</f>
        <v/>
      </c>
      <c r="AJ946" s="47">
        <f>IFERROR(AH946/S946,"")</f>
        <v/>
      </c>
      <c r="AK946" s="116" t="n">
        <v>16</v>
      </c>
      <c r="AL946" s="116" t="n">
        <v>0</v>
      </c>
      <c r="AM946" s="118">
        <f>IFERROR(AL946/AA946,"")</f>
        <v/>
      </c>
      <c r="AN946" s="119">
        <f>IFERROR(R946/AL946,"")</f>
        <v/>
      </c>
      <c r="AO946" s="116" t="n">
        <v>0</v>
      </c>
      <c r="AP946" s="47">
        <f>IFERROR(AO946/AL946,"")</f>
        <v/>
      </c>
      <c r="AQ946" s="119">
        <f>IFERROR(R946/AO946,"")</f>
        <v/>
      </c>
      <c r="AR946" s="116" t="n">
        <v>0</v>
      </c>
      <c r="AS946" s="116" t="n">
        <v>0</v>
      </c>
      <c r="AT946" s="116">
        <f>AL946+AR946</f>
        <v/>
      </c>
      <c r="AU946" s="119">
        <f>IFERROR(AO946*Assumptions!$C$26*Assumptions!$C$27*INDEX(Assumptions!$C$18:$C$21,MATCH(H946,Assumptions!$B$18:$B$21,0)),0)</f>
        <v/>
      </c>
    </row>
    <row r="947">
      <c r="A947" s="114" t="n">
        <v>46237</v>
      </c>
      <c r="B947" s="42" t="inlineStr">
        <is>
          <t>Wk 32</t>
        </is>
      </c>
      <c r="C947" s="42" t="inlineStr">
        <is>
          <t>Mon</t>
        </is>
      </c>
      <c r="D947" s="42" t="inlineStr">
        <is>
          <t>Meta (FB/IG)</t>
        </is>
      </c>
      <c r="E947" s="42" t="inlineStr">
        <is>
          <t>Facebook + Instagram</t>
        </is>
      </c>
      <c r="F947" s="42" t="inlineStr">
        <is>
          <t>LEP_ZA_AUG26_META_RMKT_ALL_CONV</t>
        </is>
      </c>
      <c r="G947" s="42" t="inlineStr">
        <is>
          <t>Leads - Website Conversions</t>
        </is>
      </c>
      <c r="H947" s="42" t="inlineStr">
        <is>
          <t>Range</t>
        </is>
      </c>
      <c r="I947" s="42" t="inlineStr">
        <is>
          <t>Range Offer</t>
        </is>
      </c>
      <c r="J947" s="42" t="inlineStr">
        <is>
          <t>MET_RMKT_FORMABANDON_ZA</t>
        </is>
      </c>
      <c r="K947" s="42" t="inlineStr">
        <is>
          <t>Retargeting</t>
        </is>
      </c>
      <c r="L947" s="42" t="inlineStr">
        <is>
          <t>RMKT_DYN_ModelSeen_v1</t>
        </is>
      </c>
      <c r="M947" s="42" t="inlineStr">
        <is>
          <t>Dynamic Carousel</t>
        </is>
      </c>
      <c r="N947" s="42" t="inlineStr">
        <is>
          <t>Still thinking about it?</t>
        </is>
      </c>
      <c r="O947" s="42" t="inlineStr">
        <is>
          <t>Auction - Lowest Cost</t>
        </is>
      </c>
      <c r="P947" s="42" t="inlineStr">
        <is>
          <t>Offsite Conversions</t>
        </is>
      </c>
      <c r="Q947" s="42" t="inlineStr">
        <is>
          <t>https://www.lepas-sa.co.za/book-a-test-drive</t>
        </is>
      </c>
      <c r="R947" s="115" t="n">
        <v>68.72</v>
      </c>
      <c r="S947" s="116" t="n">
        <v>951</v>
      </c>
      <c r="T947" s="116" t="n">
        <v>801</v>
      </c>
      <c r="U947" s="117">
        <f>IFERROR(S947/T947,"")</f>
        <v/>
      </c>
      <c r="V947" s="116" t="n">
        <v>27</v>
      </c>
      <c r="W947" s="116" t="n">
        <v>22</v>
      </c>
      <c r="X947" s="118">
        <f>IFERROR(W947/S947,"")</f>
        <v/>
      </c>
      <c r="Y947" s="115">
        <f>IFERROR(R947/W947,"")</f>
        <v/>
      </c>
      <c r="Z947" s="115">
        <f>IFERROR(R947/S947*1000,"")</f>
        <v/>
      </c>
      <c r="AA947" s="116" t="n">
        <v>19</v>
      </c>
      <c r="AB947" s="47">
        <f>IFERROR(AA947/W947,"")</f>
        <v/>
      </c>
      <c r="AC947" s="116" t="n">
        <v>0</v>
      </c>
      <c r="AD947" s="116" t="n">
        <v>0</v>
      </c>
      <c r="AE947" s="116" t="n">
        <v>0</v>
      </c>
      <c r="AF947" s="116" t="n">
        <v>0</v>
      </c>
      <c r="AG947" s="116" t="n">
        <v>0</v>
      </c>
      <c r="AH947" s="116" t="n">
        <v>0</v>
      </c>
      <c r="AI947" s="47">
        <f>IFERROR(AC947/S947,"")</f>
        <v/>
      </c>
      <c r="AJ947" s="47">
        <f>IFERROR(AH947/S947,"")</f>
        <v/>
      </c>
      <c r="AK947" s="116" t="n">
        <v>18</v>
      </c>
      <c r="AL947" s="116" t="n">
        <v>1</v>
      </c>
      <c r="AM947" s="118">
        <f>IFERROR(AL947/AA947,"")</f>
        <v/>
      </c>
      <c r="AN947" s="119">
        <f>IFERROR(R947/AL947,"")</f>
        <v/>
      </c>
      <c r="AO947" s="116" t="n">
        <v>0</v>
      </c>
      <c r="AP947" s="47">
        <f>IFERROR(AO947/AL947,"")</f>
        <v/>
      </c>
      <c r="AQ947" s="119">
        <f>IFERROR(R947/AO947,"")</f>
        <v/>
      </c>
      <c r="AR947" s="116" t="n">
        <v>0</v>
      </c>
      <c r="AS947" s="116" t="n">
        <v>0</v>
      </c>
      <c r="AT947" s="116">
        <f>AL947+AR947</f>
        <v/>
      </c>
      <c r="AU947" s="119">
        <f>IFERROR(AO947*Assumptions!$C$26*Assumptions!$C$27*INDEX(Assumptions!$C$18:$C$21,MATCH(H947,Assumptions!$B$18:$B$21,0)),0)</f>
        <v/>
      </c>
    </row>
    <row r="948">
      <c r="A948" s="114" t="n">
        <v>46238</v>
      </c>
      <c r="B948" s="42" t="inlineStr">
        <is>
          <t>Wk 32</t>
        </is>
      </c>
      <c r="C948" s="42" t="inlineStr">
        <is>
          <t>Tue</t>
        </is>
      </c>
      <c r="D948" s="42" t="inlineStr">
        <is>
          <t>Meta (FB/IG)</t>
        </is>
      </c>
      <c r="E948" s="42" t="inlineStr">
        <is>
          <t>Facebook + Instagram</t>
        </is>
      </c>
      <c r="F948" s="42" t="inlineStr">
        <is>
          <t>LEP_ZA_AUG26_META_RMKT_ALL_CONV</t>
        </is>
      </c>
      <c r="G948" s="42" t="inlineStr">
        <is>
          <t>Leads - Website Conversions</t>
        </is>
      </c>
      <c r="H948" s="42" t="inlineStr">
        <is>
          <t>Range</t>
        </is>
      </c>
      <c r="I948" s="42" t="inlineStr">
        <is>
          <t>Range Offer</t>
        </is>
      </c>
      <c r="J948" s="42" t="inlineStr">
        <is>
          <t>MET_RMKT_FORMABANDON_ZA</t>
        </is>
      </c>
      <c r="K948" s="42" t="inlineStr">
        <is>
          <t>Retargeting</t>
        </is>
      </c>
      <c r="L948" s="42" t="inlineStr">
        <is>
          <t>RMKT_DYN_ModelSeen_v1</t>
        </is>
      </c>
      <c r="M948" s="42" t="inlineStr">
        <is>
          <t>Dynamic Carousel</t>
        </is>
      </c>
      <c r="N948" s="42" t="inlineStr">
        <is>
          <t>Still thinking about it?</t>
        </is>
      </c>
      <c r="O948" s="42" t="inlineStr">
        <is>
          <t>Auction - Lowest Cost</t>
        </is>
      </c>
      <c r="P948" s="42" t="inlineStr">
        <is>
          <t>Offsite Conversions</t>
        </is>
      </c>
      <c r="Q948" s="42" t="inlineStr">
        <is>
          <t>https://www.lepas-sa.co.za/book-a-test-drive</t>
        </is>
      </c>
      <c r="R948" s="115" t="n">
        <v>78.67</v>
      </c>
      <c r="S948" s="116" t="n">
        <v>686</v>
      </c>
      <c r="T948" s="116" t="n">
        <v>454</v>
      </c>
      <c r="U948" s="117">
        <f>IFERROR(S948/T948,"")</f>
        <v/>
      </c>
      <c r="V948" s="116" t="n">
        <v>18</v>
      </c>
      <c r="W948" s="116" t="n">
        <v>14</v>
      </c>
      <c r="X948" s="118">
        <f>IFERROR(W948/S948,"")</f>
        <v/>
      </c>
      <c r="Y948" s="115">
        <f>IFERROR(R948/W948,"")</f>
        <v/>
      </c>
      <c r="Z948" s="115">
        <f>IFERROR(R948/S948*1000,"")</f>
        <v/>
      </c>
      <c r="AA948" s="116" t="n">
        <v>11</v>
      </c>
      <c r="AB948" s="47">
        <f>IFERROR(AA948/W948,"")</f>
        <v/>
      </c>
      <c r="AC948" s="116" t="n">
        <v>0</v>
      </c>
      <c r="AD948" s="116" t="n">
        <v>0</v>
      </c>
      <c r="AE948" s="116" t="n">
        <v>0</v>
      </c>
      <c r="AF948" s="116" t="n">
        <v>0</v>
      </c>
      <c r="AG948" s="116" t="n">
        <v>0</v>
      </c>
      <c r="AH948" s="116" t="n">
        <v>0</v>
      </c>
      <c r="AI948" s="47">
        <f>IFERROR(AC948/S948,"")</f>
        <v/>
      </c>
      <c r="AJ948" s="47">
        <f>IFERROR(AH948/S948,"")</f>
        <v/>
      </c>
      <c r="AK948" s="116" t="n">
        <v>15</v>
      </c>
      <c r="AL948" s="116" t="n">
        <v>1</v>
      </c>
      <c r="AM948" s="118">
        <f>IFERROR(AL948/AA948,"")</f>
        <v/>
      </c>
      <c r="AN948" s="119">
        <f>IFERROR(R948/AL948,"")</f>
        <v/>
      </c>
      <c r="AO948" s="116" t="n">
        <v>0</v>
      </c>
      <c r="AP948" s="47">
        <f>IFERROR(AO948/AL948,"")</f>
        <v/>
      </c>
      <c r="AQ948" s="119">
        <f>IFERROR(R948/AO948,"")</f>
        <v/>
      </c>
      <c r="AR948" s="116" t="n">
        <v>0</v>
      </c>
      <c r="AS948" s="116" t="n">
        <v>0</v>
      </c>
      <c r="AT948" s="116">
        <f>AL948+AR948</f>
        <v/>
      </c>
      <c r="AU948" s="119">
        <f>IFERROR(AO948*Assumptions!$C$26*Assumptions!$C$27*INDEX(Assumptions!$C$18:$C$21,MATCH(H948,Assumptions!$B$18:$B$21,0)),0)</f>
        <v/>
      </c>
    </row>
    <row r="949">
      <c r="A949" s="114" t="n">
        <v>46239</v>
      </c>
      <c r="B949" s="42" t="inlineStr">
        <is>
          <t>Wk 32</t>
        </is>
      </c>
      <c r="C949" s="42" t="inlineStr">
        <is>
          <t>Wed</t>
        </is>
      </c>
      <c r="D949" s="42" t="inlineStr">
        <is>
          <t>Meta (FB/IG)</t>
        </is>
      </c>
      <c r="E949" s="42" t="inlineStr">
        <is>
          <t>Facebook + Instagram</t>
        </is>
      </c>
      <c r="F949" s="42" t="inlineStr">
        <is>
          <t>LEP_ZA_AUG26_META_RMKT_ALL_CONV</t>
        </is>
      </c>
      <c r="G949" s="42" t="inlineStr">
        <is>
          <t>Leads - Website Conversions</t>
        </is>
      </c>
      <c r="H949" s="42" t="inlineStr">
        <is>
          <t>Range</t>
        </is>
      </c>
      <c r="I949" s="42" t="inlineStr">
        <is>
          <t>Range Offer</t>
        </is>
      </c>
      <c r="J949" s="42" t="inlineStr">
        <is>
          <t>MET_RMKT_FORMABANDON_ZA</t>
        </is>
      </c>
      <c r="K949" s="42" t="inlineStr">
        <is>
          <t>Retargeting</t>
        </is>
      </c>
      <c r="L949" s="42" t="inlineStr">
        <is>
          <t>RMKT_DYN_ModelSeen_v1</t>
        </is>
      </c>
      <c r="M949" s="42" t="inlineStr">
        <is>
          <t>Dynamic Carousel</t>
        </is>
      </c>
      <c r="N949" s="42" t="inlineStr">
        <is>
          <t>Still thinking about it?</t>
        </is>
      </c>
      <c r="O949" s="42" t="inlineStr">
        <is>
          <t>Auction - Lowest Cost</t>
        </is>
      </c>
      <c r="P949" s="42" t="inlineStr">
        <is>
          <t>Offsite Conversions</t>
        </is>
      </c>
      <c r="Q949" s="42" t="inlineStr">
        <is>
          <t>https://www.lepas-sa.co.za/book-a-test-drive</t>
        </is>
      </c>
      <c r="R949" s="115" t="n">
        <v>88.29000000000001</v>
      </c>
      <c r="S949" s="116" t="n">
        <v>816</v>
      </c>
      <c r="T949" s="116" t="n">
        <v>621</v>
      </c>
      <c r="U949" s="117">
        <f>IFERROR(S949/T949,"")</f>
        <v/>
      </c>
      <c r="V949" s="116" t="n">
        <v>33</v>
      </c>
      <c r="W949" s="116" t="n">
        <v>25</v>
      </c>
      <c r="X949" s="118">
        <f>IFERROR(W949/S949,"")</f>
        <v/>
      </c>
      <c r="Y949" s="115">
        <f>IFERROR(R949/W949,"")</f>
        <v/>
      </c>
      <c r="Z949" s="115">
        <f>IFERROR(R949/S949*1000,"")</f>
        <v/>
      </c>
      <c r="AA949" s="116" t="n">
        <v>22</v>
      </c>
      <c r="AB949" s="47">
        <f>IFERROR(AA949/W949,"")</f>
        <v/>
      </c>
      <c r="AC949" s="116" t="n">
        <v>0</v>
      </c>
      <c r="AD949" s="116" t="n">
        <v>0</v>
      </c>
      <c r="AE949" s="116" t="n">
        <v>0</v>
      </c>
      <c r="AF949" s="116" t="n">
        <v>0</v>
      </c>
      <c r="AG949" s="116" t="n">
        <v>0</v>
      </c>
      <c r="AH949" s="116" t="n">
        <v>0</v>
      </c>
      <c r="AI949" s="47">
        <f>IFERROR(AC949/S949,"")</f>
        <v/>
      </c>
      <c r="AJ949" s="47">
        <f>IFERROR(AH949/S949,"")</f>
        <v/>
      </c>
      <c r="AK949" s="116" t="n">
        <v>11</v>
      </c>
      <c r="AL949" s="116" t="n">
        <v>1</v>
      </c>
      <c r="AM949" s="118">
        <f>IFERROR(AL949/AA949,"")</f>
        <v/>
      </c>
      <c r="AN949" s="119">
        <f>IFERROR(R949/AL949,"")</f>
        <v/>
      </c>
      <c r="AO949" s="116" t="n">
        <v>0</v>
      </c>
      <c r="AP949" s="47">
        <f>IFERROR(AO949/AL949,"")</f>
        <v/>
      </c>
      <c r="AQ949" s="119">
        <f>IFERROR(R949/AO949,"")</f>
        <v/>
      </c>
      <c r="AR949" s="116" t="n">
        <v>1</v>
      </c>
      <c r="AS949" s="116" t="n">
        <v>0</v>
      </c>
      <c r="AT949" s="116">
        <f>AL949+AR949</f>
        <v/>
      </c>
      <c r="AU949" s="119">
        <f>IFERROR(AO949*Assumptions!$C$26*Assumptions!$C$27*INDEX(Assumptions!$C$18:$C$21,MATCH(H949,Assumptions!$B$18:$B$21,0)),0)</f>
        <v/>
      </c>
    </row>
    <row r="950">
      <c r="A950" s="114" t="n">
        <v>46240</v>
      </c>
      <c r="B950" s="42" t="inlineStr">
        <is>
          <t>Wk 32</t>
        </is>
      </c>
      <c r="C950" s="42" t="inlineStr">
        <is>
          <t>Thu</t>
        </is>
      </c>
      <c r="D950" s="42" t="inlineStr">
        <is>
          <t>Meta (FB/IG)</t>
        </is>
      </c>
      <c r="E950" s="42" t="inlineStr">
        <is>
          <t>Facebook + Instagram</t>
        </is>
      </c>
      <c r="F950" s="42" t="inlineStr">
        <is>
          <t>LEP_ZA_AUG26_META_RMKT_ALL_CONV</t>
        </is>
      </c>
      <c r="G950" s="42" t="inlineStr">
        <is>
          <t>Leads - Website Conversions</t>
        </is>
      </c>
      <c r="H950" s="42" t="inlineStr">
        <is>
          <t>Range</t>
        </is>
      </c>
      <c r="I950" s="42" t="inlineStr">
        <is>
          <t>Range Offer</t>
        </is>
      </c>
      <c r="J950" s="42" t="inlineStr">
        <is>
          <t>MET_RMKT_FORMABANDON_ZA</t>
        </is>
      </c>
      <c r="K950" s="42" t="inlineStr">
        <is>
          <t>Retargeting</t>
        </is>
      </c>
      <c r="L950" s="42" t="inlineStr">
        <is>
          <t>RMKT_DYN_ModelSeen_v1</t>
        </is>
      </c>
      <c r="M950" s="42" t="inlineStr">
        <is>
          <t>Dynamic Carousel</t>
        </is>
      </c>
      <c r="N950" s="42" t="inlineStr">
        <is>
          <t>Still thinking about it?</t>
        </is>
      </c>
      <c r="O950" s="42" t="inlineStr">
        <is>
          <t>Auction - Lowest Cost</t>
        </is>
      </c>
      <c r="P950" s="42" t="inlineStr">
        <is>
          <t>Offsite Conversions</t>
        </is>
      </c>
      <c r="Q950" s="42" t="inlineStr">
        <is>
          <t>https://www.lepas-sa.co.za/book-a-test-drive</t>
        </is>
      </c>
      <c r="R950" s="115" t="n">
        <v>82.23</v>
      </c>
      <c r="S950" s="116" t="n">
        <v>728</v>
      </c>
      <c r="T950" s="116" t="n">
        <v>439</v>
      </c>
      <c r="U950" s="117">
        <f>IFERROR(S950/T950,"")</f>
        <v/>
      </c>
      <c r="V950" s="116" t="n">
        <v>31</v>
      </c>
      <c r="W950" s="116" t="n">
        <v>25</v>
      </c>
      <c r="X950" s="118">
        <f>IFERROR(W950/S950,"")</f>
        <v/>
      </c>
      <c r="Y950" s="115">
        <f>IFERROR(R950/W950,"")</f>
        <v/>
      </c>
      <c r="Z950" s="115">
        <f>IFERROR(R950/S950*1000,"")</f>
        <v/>
      </c>
      <c r="AA950" s="116" t="n">
        <v>22</v>
      </c>
      <c r="AB950" s="47">
        <f>IFERROR(AA950/W950,"")</f>
        <v/>
      </c>
      <c r="AC950" s="116" t="n">
        <v>0</v>
      </c>
      <c r="AD950" s="116" t="n">
        <v>0</v>
      </c>
      <c r="AE950" s="116" t="n">
        <v>0</v>
      </c>
      <c r="AF950" s="116" t="n">
        <v>0</v>
      </c>
      <c r="AG950" s="116" t="n">
        <v>0</v>
      </c>
      <c r="AH950" s="116" t="n">
        <v>0</v>
      </c>
      <c r="AI950" s="47">
        <f>IFERROR(AC950/S950,"")</f>
        <v/>
      </c>
      <c r="AJ950" s="47">
        <f>IFERROR(AH950/S950,"")</f>
        <v/>
      </c>
      <c r="AK950" s="116" t="n">
        <v>24</v>
      </c>
      <c r="AL950" s="116" t="n">
        <v>1</v>
      </c>
      <c r="AM950" s="118">
        <f>IFERROR(AL950/AA950,"")</f>
        <v/>
      </c>
      <c r="AN950" s="119">
        <f>IFERROR(R950/AL950,"")</f>
        <v/>
      </c>
      <c r="AO950" s="116" t="n">
        <v>1</v>
      </c>
      <c r="AP950" s="47">
        <f>IFERROR(AO950/AL950,"")</f>
        <v/>
      </c>
      <c r="AQ950" s="119">
        <f>IFERROR(R950/AO950,"")</f>
        <v/>
      </c>
      <c r="AR950" s="116" t="n">
        <v>0</v>
      </c>
      <c r="AS950" s="116" t="n">
        <v>0</v>
      </c>
      <c r="AT950" s="116">
        <f>AL950+AR950</f>
        <v/>
      </c>
      <c r="AU950" s="119">
        <f>IFERROR(AO950*Assumptions!$C$26*Assumptions!$C$27*INDEX(Assumptions!$C$18:$C$21,MATCH(H950,Assumptions!$B$18:$B$21,0)),0)</f>
        <v/>
      </c>
    </row>
    <row r="951">
      <c r="A951" s="114" t="n">
        <v>46241</v>
      </c>
      <c r="B951" s="42" t="inlineStr">
        <is>
          <t>Wk 32</t>
        </is>
      </c>
      <c r="C951" s="42" t="inlineStr">
        <is>
          <t>Fri</t>
        </is>
      </c>
      <c r="D951" s="42" t="inlineStr">
        <is>
          <t>Meta (FB/IG)</t>
        </is>
      </c>
      <c r="E951" s="42" t="inlineStr">
        <is>
          <t>Facebook + Instagram</t>
        </is>
      </c>
      <c r="F951" s="42" t="inlineStr">
        <is>
          <t>LEP_ZA_AUG26_META_RMKT_ALL_CONV</t>
        </is>
      </c>
      <c r="G951" s="42" t="inlineStr">
        <is>
          <t>Leads - Website Conversions</t>
        </is>
      </c>
      <c r="H951" s="42" t="inlineStr">
        <is>
          <t>Range</t>
        </is>
      </c>
      <c r="I951" s="42" t="inlineStr">
        <is>
          <t>Range Offer</t>
        </is>
      </c>
      <c r="J951" s="42" t="inlineStr">
        <is>
          <t>MET_RMKT_FORMABANDON_ZA</t>
        </is>
      </c>
      <c r="K951" s="42" t="inlineStr">
        <is>
          <t>Retargeting</t>
        </is>
      </c>
      <c r="L951" s="42" t="inlineStr">
        <is>
          <t>RMKT_DYN_ModelSeen_v1</t>
        </is>
      </c>
      <c r="M951" s="42" t="inlineStr">
        <is>
          <t>Dynamic Carousel</t>
        </is>
      </c>
      <c r="N951" s="42" t="inlineStr">
        <is>
          <t>Still thinking about it?</t>
        </is>
      </c>
      <c r="O951" s="42" t="inlineStr">
        <is>
          <t>Auction - Lowest Cost</t>
        </is>
      </c>
      <c r="P951" s="42" t="inlineStr">
        <is>
          <t>Offsite Conversions</t>
        </is>
      </c>
      <c r="Q951" s="42" t="inlineStr">
        <is>
          <t>https://www.lepas-sa.co.za/book-a-test-drive</t>
        </is>
      </c>
      <c r="R951" s="115" t="n">
        <v>105.93</v>
      </c>
      <c r="S951" s="116" t="n">
        <v>1100</v>
      </c>
      <c r="T951" s="116" t="n">
        <v>750</v>
      </c>
      <c r="U951" s="117">
        <f>IFERROR(S951/T951,"")</f>
        <v/>
      </c>
      <c r="V951" s="116" t="n">
        <v>33</v>
      </c>
      <c r="W951" s="116" t="n">
        <v>24</v>
      </c>
      <c r="X951" s="118">
        <f>IFERROR(W951/S951,"")</f>
        <v/>
      </c>
      <c r="Y951" s="115">
        <f>IFERROR(R951/W951,"")</f>
        <v/>
      </c>
      <c r="Z951" s="115">
        <f>IFERROR(R951/S951*1000,"")</f>
        <v/>
      </c>
      <c r="AA951" s="116" t="n">
        <v>21</v>
      </c>
      <c r="AB951" s="47">
        <f>IFERROR(AA951/W951,"")</f>
        <v/>
      </c>
      <c r="AC951" s="116" t="n">
        <v>0</v>
      </c>
      <c r="AD951" s="116" t="n">
        <v>0</v>
      </c>
      <c r="AE951" s="116" t="n">
        <v>0</v>
      </c>
      <c r="AF951" s="116" t="n">
        <v>0</v>
      </c>
      <c r="AG951" s="116" t="n">
        <v>0</v>
      </c>
      <c r="AH951" s="116" t="n">
        <v>0</v>
      </c>
      <c r="AI951" s="47">
        <f>IFERROR(AC951/S951,"")</f>
        <v/>
      </c>
      <c r="AJ951" s="47">
        <f>IFERROR(AH951/S951,"")</f>
        <v/>
      </c>
      <c r="AK951" s="116" t="n">
        <v>28</v>
      </c>
      <c r="AL951" s="116" t="n">
        <v>1</v>
      </c>
      <c r="AM951" s="118">
        <f>IFERROR(AL951/AA951,"")</f>
        <v/>
      </c>
      <c r="AN951" s="119">
        <f>IFERROR(R951/AL951,"")</f>
        <v/>
      </c>
      <c r="AO951" s="116" t="n">
        <v>0</v>
      </c>
      <c r="AP951" s="47">
        <f>IFERROR(AO951/AL951,"")</f>
        <v/>
      </c>
      <c r="AQ951" s="119">
        <f>IFERROR(R951/AO951,"")</f>
        <v/>
      </c>
      <c r="AR951" s="116" t="n">
        <v>0</v>
      </c>
      <c r="AS951" s="116" t="n">
        <v>0</v>
      </c>
      <c r="AT951" s="116">
        <f>AL951+AR951</f>
        <v/>
      </c>
      <c r="AU951" s="119">
        <f>IFERROR(AO951*Assumptions!$C$26*Assumptions!$C$27*INDEX(Assumptions!$C$18:$C$21,MATCH(H951,Assumptions!$B$18:$B$21,0)),0)</f>
        <v/>
      </c>
    </row>
    <row r="952">
      <c r="A952" s="114" t="n">
        <v>46242</v>
      </c>
      <c r="B952" s="42" t="inlineStr">
        <is>
          <t>Wk 32</t>
        </is>
      </c>
      <c r="C952" s="42" t="inlineStr">
        <is>
          <t>Sat</t>
        </is>
      </c>
      <c r="D952" s="42" t="inlineStr">
        <is>
          <t>Meta (FB/IG)</t>
        </is>
      </c>
      <c r="E952" s="42" t="inlineStr">
        <is>
          <t>Facebook + Instagram</t>
        </is>
      </c>
      <c r="F952" s="42" t="inlineStr">
        <is>
          <t>LEP_ZA_AUG26_META_RMKT_ALL_CONV</t>
        </is>
      </c>
      <c r="G952" s="42" t="inlineStr">
        <is>
          <t>Leads - Website Conversions</t>
        </is>
      </c>
      <c r="H952" s="42" t="inlineStr">
        <is>
          <t>Range</t>
        </is>
      </c>
      <c r="I952" s="42" t="inlineStr">
        <is>
          <t>Range Offer</t>
        </is>
      </c>
      <c r="J952" s="42" t="inlineStr">
        <is>
          <t>MET_RMKT_FORMABANDON_ZA</t>
        </is>
      </c>
      <c r="K952" s="42" t="inlineStr">
        <is>
          <t>Retargeting</t>
        </is>
      </c>
      <c r="L952" s="42" t="inlineStr">
        <is>
          <t>RMKT_DYN_ModelSeen_v1</t>
        </is>
      </c>
      <c r="M952" s="42" t="inlineStr">
        <is>
          <t>Dynamic Carousel</t>
        </is>
      </c>
      <c r="N952" s="42" t="inlineStr">
        <is>
          <t>Still thinking about it?</t>
        </is>
      </c>
      <c r="O952" s="42" t="inlineStr">
        <is>
          <t>Auction - Lowest Cost</t>
        </is>
      </c>
      <c r="P952" s="42" t="inlineStr">
        <is>
          <t>Offsite Conversions</t>
        </is>
      </c>
      <c r="Q952" s="42" t="inlineStr">
        <is>
          <t>https://www.lepas-sa.co.za/book-a-test-drive</t>
        </is>
      </c>
      <c r="R952" s="115" t="n">
        <v>99.26000000000001</v>
      </c>
      <c r="S952" s="116" t="n">
        <v>928</v>
      </c>
      <c r="T952" s="116" t="n">
        <v>743</v>
      </c>
      <c r="U952" s="117">
        <f>IFERROR(S952/T952,"")</f>
        <v/>
      </c>
      <c r="V952" s="116" t="n">
        <v>28</v>
      </c>
      <c r="W952" s="116" t="n">
        <v>21</v>
      </c>
      <c r="X952" s="118">
        <f>IFERROR(W952/S952,"")</f>
        <v/>
      </c>
      <c r="Y952" s="115">
        <f>IFERROR(R952/W952,"")</f>
        <v/>
      </c>
      <c r="Z952" s="115">
        <f>IFERROR(R952/S952*1000,"")</f>
        <v/>
      </c>
      <c r="AA952" s="116" t="n">
        <v>17</v>
      </c>
      <c r="AB952" s="47">
        <f>IFERROR(AA952/W952,"")</f>
        <v/>
      </c>
      <c r="AC952" s="116" t="n">
        <v>0</v>
      </c>
      <c r="AD952" s="116" t="n">
        <v>0</v>
      </c>
      <c r="AE952" s="116" t="n">
        <v>0</v>
      </c>
      <c r="AF952" s="116" t="n">
        <v>0</v>
      </c>
      <c r="AG952" s="116" t="n">
        <v>0</v>
      </c>
      <c r="AH952" s="116" t="n">
        <v>0</v>
      </c>
      <c r="AI952" s="47">
        <f>IFERROR(AC952/S952,"")</f>
        <v/>
      </c>
      <c r="AJ952" s="47">
        <f>IFERROR(AH952/S952,"")</f>
        <v/>
      </c>
      <c r="AK952" s="116" t="n">
        <v>26</v>
      </c>
      <c r="AL952" s="116" t="n">
        <v>1</v>
      </c>
      <c r="AM952" s="118">
        <f>IFERROR(AL952/AA952,"")</f>
        <v/>
      </c>
      <c r="AN952" s="119">
        <f>IFERROR(R952/AL952,"")</f>
        <v/>
      </c>
      <c r="AO952" s="116" t="n">
        <v>1</v>
      </c>
      <c r="AP952" s="47">
        <f>IFERROR(AO952/AL952,"")</f>
        <v/>
      </c>
      <c r="AQ952" s="119">
        <f>IFERROR(R952/AO952,"")</f>
        <v/>
      </c>
      <c r="AR952" s="116" t="n">
        <v>0</v>
      </c>
      <c r="AS952" s="116" t="n">
        <v>0</v>
      </c>
      <c r="AT952" s="116">
        <f>AL952+AR952</f>
        <v/>
      </c>
      <c r="AU952" s="119">
        <f>IFERROR(AO952*Assumptions!$C$26*Assumptions!$C$27*INDEX(Assumptions!$C$18:$C$21,MATCH(H952,Assumptions!$B$18:$B$21,0)),0)</f>
        <v/>
      </c>
    </row>
    <row r="953">
      <c r="A953" s="114" t="n">
        <v>46243</v>
      </c>
      <c r="B953" s="42" t="inlineStr">
        <is>
          <t>Wk 32</t>
        </is>
      </c>
      <c r="C953" s="42" t="inlineStr">
        <is>
          <t>Sun</t>
        </is>
      </c>
      <c r="D953" s="42" t="inlineStr">
        <is>
          <t>Meta (FB/IG)</t>
        </is>
      </c>
      <c r="E953" s="42" t="inlineStr">
        <is>
          <t>Facebook + Instagram</t>
        </is>
      </c>
      <c r="F953" s="42" t="inlineStr">
        <is>
          <t>LEP_ZA_AUG26_META_RMKT_ALL_CONV</t>
        </is>
      </c>
      <c r="G953" s="42" t="inlineStr">
        <is>
          <t>Leads - Website Conversions</t>
        </is>
      </c>
      <c r="H953" s="42" t="inlineStr">
        <is>
          <t>Range</t>
        </is>
      </c>
      <c r="I953" s="42" t="inlineStr">
        <is>
          <t>Range Offer</t>
        </is>
      </c>
      <c r="J953" s="42" t="inlineStr">
        <is>
          <t>MET_RMKT_FORMABANDON_ZA</t>
        </is>
      </c>
      <c r="K953" s="42" t="inlineStr">
        <is>
          <t>Retargeting</t>
        </is>
      </c>
      <c r="L953" s="42" t="inlineStr">
        <is>
          <t>RMKT_DYN_ModelSeen_v1</t>
        </is>
      </c>
      <c r="M953" s="42" t="inlineStr">
        <is>
          <t>Dynamic Carousel</t>
        </is>
      </c>
      <c r="N953" s="42" t="inlineStr">
        <is>
          <t>Still thinking about it?</t>
        </is>
      </c>
      <c r="O953" s="42" t="inlineStr">
        <is>
          <t>Auction - Lowest Cost</t>
        </is>
      </c>
      <c r="P953" s="42" t="inlineStr">
        <is>
          <t>Offsite Conversions</t>
        </is>
      </c>
      <c r="Q953" s="42" t="inlineStr">
        <is>
          <t>https://www.lepas-sa.co.za/book-a-test-drive</t>
        </is>
      </c>
      <c r="R953" s="115" t="n">
        <v>73.53</v>
      </c>
      <c r="S953" s="116" t="n">
        <v>810</v>
      </c>
      <c r="T953" s="116" t="n">
        <v>550</v>
      </c>
      <c r="U953" s="117">
        <f>IFERROR(S953/T953,"")</f>
        <v/>
      </c>
      <c r="V953" s="116" t="n">
        <v>23</v>
      </c>
      <c r="W953" s="116" t="n">
        <v>17</v>
      </c>
      <c r="X953" s="118">
        <f>IFERROR(W953/S953,"")</f>
        <v/>
      </c>
      <c r="Y953" s="115">
        <f>IFERROR(R953/W953,"")</f>
        <v/>
      </c>
      <c r="Z953" s="115">
        <f>IFERROR(R953/S953*1000,"")</f>
        <v/>
      </c>
      <c r="AA953" s="116" t="n">
        <v>14</v>
      </c>
      <c r="AB953" s="47">
        <f>IFERROR(AA953/W953,"")</f>
        <v/>
      </c>
      <c r="AC953" s="116" t="n">
        <v>0</v>
      </c>
      <c r="AD953" s="116" t="n">
        <v>0</v>
      </c>
      <c r="AE953" s="116" t="n">
        <v>0</v>
      </c>
      <c r="AF953" s="116" t="n">
        <v>0</v>
      </c>
      <c r="AG953" s="116" t="n">
        <v>0</v>
      </c>
      <c r="AH953" s="116" t="n">
        <v>0</v>
      </c>
      <c r="AI953" s="47">
        <f>IFERROR(AC953/S953,"")</f>
        <v/>
      </c>
      <c r="AJ953" s="47">
        <f>IFERROR(AH953/S953,"")</f>
        <v/>
      </c>
      <c r="AK953" s="116" t="n">
        <v>13</v>
      </c>
      <c r="AL953" s="116" t="n">
        <v>1</v>
      </c>
      <c r="AM953" s="118">
        <f>IFERROR(AL953/AA953,"")</f>
        <v/>
      </c>
      <c r="AN953" s="119">
        <f>IFERROR(R953/AL953,"")</f>
        <v/>
      </c>
      <c r="AO953" s="116" t="n">
        <v>1</v>
      </c>
      <c r="AP953" s="47">
        <f>IFERROR(AO953/AL953,"")</f>
        <v/>
      </c>
      <c r="AQ953" s="119">
        <f>IFERROR(R953/AO953,"")</f>
        <v/>
      </c>
      <c r="AR953" s="116" t="n">
        <v>0</v>
      </c>
      <c r="AS953" s="116" t="n">
        <v>0</v>
      </c>
      <c r="AT953" s="116">
        <f>AL953+AR953</f>
        <v/>
      </c>
      <c r="AU953" s="119">
        <f>IFERROR(AO953*Assumptions!$C$26*Assumptions!$C$27*INDEX(Assumptions!$C$18:$C$21,MATCH(H953,Assumptions!$B$18:$B$21,0)),0)</f>
        <v/>
      </c>
    </row>
    <row r="954">
      <c r="A954" s="114" t="n">
        <v>46244</v>
      </c>
      <c r="B954" s="42" t="inlineStr">
        <is>
          <t>Wk 33</t>
        </is>
      </c>
      <c r="C954" s="42" t="inlineStr">
        <is>
          <t>Mon</t>
        </is>
      </c>
      <c r="D954" s="42" t="inlineStr">
        <is>
          <t>Meta (FB/IG)</t>
        </is>
      </c>
      <c r="E954" s="42" t="inlineStr">
        <is>
          <t>Facebook + Instagram</t>
        </is>
      </c>
      <c r="F954" s="42" t="inlineStr">
        <is>
          <t>LEP_ZA_AUG26_META_RMKT_ALL_CONV</t>
        </is>
      </c>
      <c r="G954" s="42" t="inlineStr">
        <is>
          <t>Leads - Website Conversions</t>
        </is>
      </c>
      <c r="H954" s="42" t="inlineStr">
        <is>
          <t>Range</t>
        </is>
      </c>
      <c r="I954" s="42" t="inlineStr">
        <is>
          <t>Range Offer</t>
        </is>
      </c>
      <c r="J954" s="42" t="inlineStr">
        <is>
          <t>MET_RMKT_FORMABANDON_ZA</t>
        </is>
      </c>
      <c r="K954" s="42" t="inlineStr">
        <is>
          <t>Retargeting</t>
        </is>
      </c>
      <c r="L954" s="42" t="inlineStr">
        <is>
          <t>RMKT_DYN_ModelSeen_v1</t>
        </is>
      </c>
      <c r="M954" s="42" t="inlineStr">
        <is>
          <t>Dynamic Carousel</t>
        </is>
      </c>
      <c r="N954" s="42" t="inlineStr">
        <is>
          <t>Still thinking about it?</t>
        </is>
      </c>
      <c r="O954" s="42" t="inlineStr">
        <is>
          <t>Auction - Lowest Cost</t>
        </is>
      </c>
      <c r="P954" s="42" t="inlineStr">
        <is>
          <t>Offsite Conversions</t>
        </is>
      </c>
      <c r="Q954" s="42" t="inlineStr">
        <is>
          <t>https://www.lepas-sa.co.za/book-a-test-drive</t>
        </is>
      </c>
      <c r="R954" s="115" t="n">
        <v>84.41</v>
      </c>
      <c r="S954" s="116" t="n">
        <v>986</v>
      </c>
      <c r="T954" s="116" t="n">
        <v>688</v>
      </c>
      <c r="U954" s="117">
        <f>IFERROR(S954/T954,"")</f>
        <v/>
      </c>
      <c r="V954" s="116" t="n">
        <v>25</v>
      </c>
      <c r="W954" s="116" t="n">
        <v>18</v>
      </c>
      <c r="X954" s="118">
        <f>IFERROR(W954/S954,"")</f>
        <v/>
      </c>
      <c r="Y954" s="115">
        <f>IFERROR(R954/W954,"")</f>
        <v/>
      </c>
      <c r="Z954" s="115">
        <f>IFERROR(R954/S954*1000,"")</f>
        <v/>
      </c>
      <c r="AA954" s="116" t="n">
        <v>16</v>
      </c>
      <c r="AB954" s="47">
        <f>IFERROR(AA954/W954,"")</f>
        <v/>
      </c>
      <c r="AC954" s="116" t="n">
        <v>0</v>
      </c>
      <c r="AD954" s="116" t="n">
        <v>0</v>
      </c>
      <c r="AE954" s="116" t="n">
        <v>0</v>
      </c>
      <c r="AF954" s="116" t="n">
        <v>0</v>
      </c>
      <c r="AG954" s="116" t="n">
        <v>0</v>
      </c>
      <c r="AH954" s="116" t="n">
        <v>0</v>
      </c>
      <c r="AI954" s="47">
        <f>IFERROR(AC954/S954,"")</f>
        <v/>
      </c>
      <c r="AJ954" s="47">
        <f>IFERROR(AH954/S954,"")</f>
        <v/>
      </c>
      <c r="AK954" s="116" t="n">
        <v>13</v>
      </c>
      <c r="AL954" s="116" t="n">
        <v>0</v>
      </c>
      <c r="AM954" s="118">
        <f>IFERROR(AL954/AA954,"")</f>
        <v/>
      </c>
      <c r="AN954" s="119">
        <f>IFERROR(R954/AL954,"")</f>
        <v/>
      </c>
      <c r="AO954" s="116" t="n">
        <v>0</v>
      </c>
      <c r="AP954" s="47">
        <f>IFERROR(AO954/AL954,"")</f>
        <v/>
      </c>
      <c r="AQ954" s="119">
        <f>IFERROR(R954/AO954,"")</f>
        <v/>
      </c>
      <c r="AR954" s="116" t="n">
        <v>0</v>
      </c>
      <c r="AS954" s="116" t="n">
        <v>0</v>
      </c>
      <c r="AT954" s="116">
        <f>AL954+AR954</f>
        <v/>
      </c>
      <c r="AU954" s="119">
        <f>IFERROR(AO954*Assumptions!$C$26*Assumptions!$C$27*INDEX(Assumptions!$C$18:$C$21,MATCH(H954,Assumptions!$B$18:$B$21,0)),0)</f>
        <v/>
      </c>
    </row>
    <row r="955">
      <c r="A955" s="114" t="n">
        <v>46245</v>
      </c>
      <c r="B955" s="42" t="inlineStr">
        <is>
          <t>Wk 33</t>
        </is>
      </c>
      <c r="C955" s="42" t="inlineStr">
        <is>
          <t>Tue</t>
        </is>
      </c>
      <c r="D955" s="42" t="inlineStr">
        <is>
          <t>Meta (FB/IG)</t>
        </is>
      </c>
      <c r="E955" s="42" t="inlineStr">
        <is>
          <t>Facebook + Instagram</t>
        </is>
      </c>
      <c r="F955" s="42" t="inlineStr">
        <is>
          <t>LEP_ZA_AUG26_META_RMKT_ALL_CONV</t>
        </is>
      </c>
      <c r="G955" s="42" t="inlineStr">
        <is>
          <t>Leads - Website Conversions</t>
        </is>
      </c>
      <c r="H955" s="42" t="inlineStr">
        <is>
          <t>Range</t>
        </is>
      </c>
      <c r="I955" s="42" t="inlineStr">
        <is>
          <t>Range Offer</t>
        </is>
      </c>
      <c r="J955" s="42" t="inlineStr">
        <is>
          <t>MET_RMKT_FORMABANDON_ZA</t>
        </is>
      </c>
      <c r="K955" s="42" t="inlineStr">
        <is>
          <t>Retargeting</t>
        </is>
      </c>
      <c r="L955" s="42" t="inlineStr">
        <is>
          <t>RMKT_DYN_ModelSeen_v1</t>
        </is>
      </c>
      <c r="M955" s="42" t="inlineStr">
        <is>
          <t>Dynamic Carousel</t>
        </is>
      </c>
      <c r="N955" s="42" t="inlineStr">
        <is>
          <t>Still thinking about it?</t>
        </is>
      </c>
      <c r="O955" s="42" t="inlineStr">
        <is>
          <t>Auction - Lowest Cost</t>
        </is>
      </c>
      <c r="P955" s="42" t="inlineStr">
        <is>
          <t>Offsite Conversions</t>
        </is>
      </c>
      <c r="Q955" s="42" t="inlineStr">
        <is>
          <t>https://www.lepas-sa.co.za/book-a-test-drive</t>
        </is>
      </c>
      <c r="R955" s="115" t="n">
        <v>81.3</v>
      </c>
      <c r="S955" s="116" t="n">
        <v>735</v>
      </c>
      <c r="T955" s="116" t="n">
        <v>559</v>
      </c>
      <c r="U955" s="117">
        <f>IFERROR(S955/T955,"")</f>
        <v/>
      </c>
      <c r="V955" s="116" t="n">
        <v>21</v>
      </c>
      <c r="W955" s="116" t="n">
        <v>17</v>
      </c>
      <c r="X955" s="118">
        <f>IFERROR(W955/S955,"")</f>
        <v/>
      </c>
      <c r="Y955" s="115">
        <f>IFERROR(R955/W955,"")</f>
        <v/>
      </c>
      <c r="Z955" s="115">
        <f>IFERROR(R955/S955*1000,"")</f>
        <v/>
      </c>
      <c r="AA955" s="116" t="n">
        <v>14</v>
      </c>
      <c r="AB955" s="47">
        <f>IFERROR(AA955/W955,"")</f>
        <v/>
      </c>
      <c r="AC955" s="116" t="n">
        <v>0</v>
      </c>
      <c r="AD955" s="116" t="n">
        <v>0</v>
      </c>
      <c r="AE955" s="116" t="n">
        <v>0</v>
      </c>
      <c r="AF955" s="116" t="n">
        <v>0</v>
      </c>
      <c r="AG955" s="116" t="n">
        <v>0</v>
      </c>
      <c r="AH955" s="116" t="n">
        <v>0</v>
      </c>
      <c r="AI955" s="47">
        <f>IFERROR(AC955/S955,"")</f>
        <v/>
      </c>
      <c r="AJ955" s="47">
        <f>IFERROR(AH955/S955,"")</f>
        <v/>
      </c>
      <c r="AK955" s="116" t="n">
        <v>18</v>
      </c>
      <c r="AL955" s="116" t="n">
        <v>0</v>
      </c>
      <c r="AM955" s="118">
        <f>IFERROR(AL955/AA955,"")</f>
        <v/>
      </c>
      <c r="AN955" s="119">
        <f>IFERROR(R955/AL955,"")</f>
        <v/>
      </c>
      <c r="AO955" s="116" t="n">
        <v>0</v>
      </c>
      <c r="AP955" s="47">
        <f>IFERROR(AO955/AL955,"")</f>
        <v/>
      </c>
      <c r="AQ955" s="119">
        <f>IFERROR(R955/AO955,"")</f>
        <v/>
      </c>
      <c r="AR955" s="116" t="n">
        <v>0</v>
      </c>
      <c r="AS955" s="116" t="n">
        <v>0</v>
      </c>
      <c r="AT955" s="116">
        <f>AL955+AR955</f>
        <v/>
      </c>
      <c r="AU955" s="119">
        <f>IFERROR(AO955*Assumptions!$C$26*Assumptions!$C$27*INDEX(Assumptions!$C$18:$C$21,MATCH(H955,Assumptions!$B$18:$B$21,0)),0)</f>
        <v/>
      </c>
    </row>
    <row r="956">
      <c r="A956" s="114" t="n">
        <v>46246</v>
      </c>
      <c r="B956" s="42" t="inlineStr">
        <is>
          <t>Wk 33</t>
        </is>
      </c>
      <c r="C956" s="42" t="inlineStr">
        <is>
          <t>Wed</t>
        </is>
      </c>
      <c r="D956" s="42" t="inlineStr">
        <is>
          <t>Meta (FB/IG)</t>
        </is>
      </c>
      <c r="E956" s="42" t="inlineStr">
        <is>
          <t>Facebook + Instagram</t>
        </is>
      </c>
      <c r="F956" s="42" t="inlineStr">
        <is>
          <t>LEP_ZA_AUG26_META_RMKT_ALL_CONV</t>
        </is>
      </c>
      <c r="G956" s="42" t="inlineStr">
        <is>
          <t>Leads - Website Conversions</t>
        </is>
      </c>
      <c r="H956" s="42" t="inlineStr">
        <is>
          <t>Range</t>
        </is>
      </c>
      <c r="I956" s="42" t="inlineStr">
        <is>
          <t>Range Offer</t>
        </is>
      </c>
      <c r="J956" s="42" t="inlineStr">
        <is>
          <t>MET_RMKT_FORMABANDON_ZA</t>
        </is>
      </c>
      <c r="K956" s="42" t="inlineStr">
        <is>
          <t>Retargeting</t>
        </is>
      </c>
      <c r="L956" s="42" t="inlineStr">
        <is>
          <t>RMKT_DYN_ModelSeen_v1</t>
        </is>
      </c>
      <c r="M956" s="42" t="inlineStr">
        <is>
          <t>Dynamic Carousel</t>
        </is>
      </c>
      <c r="N956" s="42" t="inlineStr">
        <is>
          <t>Still thinking about it?</t>
        </is>
      </c>
      <c r="O956" s="42" t="inlineStr">
        <is>
          <t>Auction - Lowest Cost</t>
        </is>
      </c>
      <c r="P956" s="42" t="inlineStr">
        <is>
          <t>Offsite Conversions</t>
        </is>
      </c>
      <c r="Q956" s="42" t="inlineStr">
        <is>
          <t>https://www.lepas-sa.co.za/book-a-test-drive</t>
        </is>
      </c>
      <c r="R956" s="115" t="n">
        <v>82.25</v>
      </c>
      <c r="S956" s="116" t="n">
        <v>859</v>
      </c>
      <c r="T956" s="116" t="n">
        <v>512</v>
      </c>
      <c r="U956" s="117">
        <f>IFERROR(S956/T956,"")</f>
        <v/>
      </c>
      <c r="V956" s="116" t="n">
        <v>23</v>
      </c>
      <c r="W956" s="116" t="n">
        <v>19</v>
      </c>
      <c r="X956" s="118">
        <f>IFERROR(W956/S956,"")</f>
        <v/>
      </c>
      <c r="Y956" s="115">
        <f>IFERROR(R956/W956,"")</f>
        <v/>
      </c>
      <c r="Z956" s="115">
        <f>IFERROR(R956/S956*1000,"")</f>
        <v/>
      </c>
      <c r="AA956" s="116" t="n">
        <v>17</v>
      </c>
      <c r="AB956" s="47">
        <f>IFERROR(AA956/W956,"")</f>
        <v/>
      </c>
      <c r="AC956" s="116" t="n">
        <v>0</v>
      </c>
      <c r="AD956" s="116" t="n">
        <v>0</v>
      </c>
      <c r="AE956" s="116" t="n">
        <v>0</v>
      </c>
      <c r="AF956" s="116" t="n">
        <v>0</v>
      </c>
      <c r="AG956" s="116" t="n">
        <v>0</v>
      </c>
      <c r="AH956" s="116" t="n">
        <v>0</v>
      </c>
      <c r="AI956" s="47">
        <f>IFERROR(AC956/S956,"")</f>
        <v/>
      </c>
      <c r="AJ956" s="47">
        <f>IFERROR(AH956/S956,"")</f>
        <v/>
      </c>
      <c r="AK956" s="116" t="n">
        <v>29</v>
      </c>
      <c r="AL956" s="116" t="n">
        <v>1</v>
      </c>
      <c r="AM956" s="118">
        <f>IFERROR(AL956/AA956,"")</f>
        <v/>
      </c>
      <c r="AN956" s="119">
        <f>IFERROR(R956/AL956,"")</f>
        <v/>
      </c>
      <c r="AO956" s="116" t="n">
        <v>1</v>
      </c>
      <c r="AP956" s="47">
        <f>IFERROR(AO956/AL956,"")</f>
        <v/>
      </c>
      <c r="AQ956" s="119">
        <f>IFERROR(R956/AO956,"")</f>
        <v/>
      </c>
      <c r="AR956" s="116" t="n">
        <v>1</v>
      </c>
      <c r="AS956" s="116" t="n">
        <v>1</v>
      </c>
      <c r="AT956" s="116">
        <f>AL956+AR956</f>
        <v/>
      </c>
      <c r="AU956" s="119">
        <f>IFERROR(AO956*Assumptions!$C$26*Assumptions!$C$27*INDEX(Assumptions!$C$18:$C$21,MATCH(H956,Assumptions!$B$18:$B$21,0)),0)</f>
        <v/>
      </c>
    </row>
    <row r="957">
      <c r="A957" s="114" t="n">
        <v>46247</v>
      </c>
      <c r="B957" s="42" t="inlineStr">
        <is>
          <t>Wk 33</t>
        </is>
      </c>
      <c r="C957" s="42" t="inlineStr">
        <is>
          <t>Thu</t>
        </is>
      </c>
      <c r="D957" s="42" t="inlineStr">
        <is>
          <t>Meta (FB/IG)</t>
        </is>
      </c>
      <c r="E957" s="42" t="inlineStr">
        <is>
          <t>Facebook + Instagram</t>
        </is>
      </c>
      <c r="F957" s="42" t="inlineStr">
        <is>
          <t>LEP_ZA_AUG26_META_RMKT_ALL_CONV</t>
        </is>
      </c>
      <c r="G957" s="42" t="inlineStr">
        <is>
          <t>Leads - Website Conversions</t>
        </is>
      </c>
      <c r="H957" s="42" t="inlineStr">
        <is>
          <t>Range</t>
        </is>
      </c>
      <c r="I957" s="42" t="inlineStr">
        <is>
          <t>Range Offer</t>
        </is>
      </c>
      <c r="J957" s="42" t="inlineStr">
        <is>
          <t>MET_RMKT_FORMABANDON_ZA</t>
        </is>
      </c>
      <c r="K957" s="42" t="inlineStr">
        <is>
          <t>Retargeting</t>
        </is>
      </c>
      <c r="L957" s="42" t="inlineStr">
        <is>
          <t>RMKT_DYN_ModelSeen_v1</t>
        </is>
      </c>
      <c r="M957" s="42" t="inlineStr">
        <is>
          <t>Dynamic Carousel</t>
        </is>
      </c>
      <c r="N957" s="42" t="inlineStr">
        <is>
          <t>Still thinking about it?</t>
        </is>
      </c>
      <c r="O957" s="42" t="inlineStr">
        <is>
          <t>Auction - Lowest Cost</t>
        </is>
      </c>
      <c r="P957" s="42" t="inlineStr">
        <is>
          <t>Offsite Conversions</t>
        </is>
      </c>
      <c r="Q957" s="42" t="inlineStr">
        <is>
          <t>https://www.lepas-sa.co.za/book-a-test-drive</t>
        </is>
      </c>
      <c r="R957" s="115" t="n">
        <v>90.43000000000001</v>
      </c>
      <c r="S957" s="116" t="n">
        <v>758</v>
      </c>
      <c r="T957" s="116" t="n">
        <v>439</v>
      </c>
      <c r="U957" s="117">
        <f>IFERROR(S957/T957,"")</f>
        <v/>
      </c>
      <c r="V957" s="116" t="n">
        <v>20</v>
      </c>
      <c r="W957" s="116" t="n">
        <v>14</v>
      </c>
      <c r="X957" s="118">
        <f>IFERROR(W957/S957,"")</f>
        <v/>
      </c>
      <c r="Y957" s="115">
        <f>IFERROR(R957/W957,"")</f>
        <v/>
      </c>
      <c r="Z957" s="115">
        <f>IFERROR(R957/S957*1000,"")</f>
        <v/>
      </c>
      <c r="AA957" s="116" t="n">
        <v>11</v>
      </c>
      <c r="AB957" s="47">
        <f>IFERROR(AA957/W957,"")</f>
        <v/>
      </c>
      <c r="AC957" s="116" t="n">
        <v>0</v>
      </c>
      <c r="AD957" s="116" t="n">
        <v>0</v>
      </c>
      <c r="AE957" s="116" t="n">
        <v>0</v>
      </c>
      <c r="AF957" s="116" t="n">
        <v>0</v>
      </c>
      <c r="AG957" s="116" t="n">
        <v>0</v>
      </c>
      <c r="AH957" s="116" t="n">
        <v>0</v>
      </c>
      <c r="AI957" s="47">
        <f>IFERROR(AC957/S957,"")</f>
        <v/>
      </c>
      <c r="AJ957" s="47">
        <f>IFERROR(AH957/S957,"")</f>
        <v/>
      </c>
      <c r="AK957" s="116" t="n">
        <v>8</v>
      </c>
      <c r="AL957" s="116" t="n">
        <v>0</v>
      </c>
      <c r="AM957" s="118">
        <f>IFERROR(AL957/AA957,"")</f>
        <v/>
      </c>
      <c r="AN957" s="119">
        <f>IFERROR(R957/AL957,"")</f>
        <v/>
      </c>
      <c r="AO957" s="116" t="n">
        <v>0</v>
      </c>
      <c r="AP957" s="47">
        <f>IFERROR(AO957/AL957,"")</f>
        <v/>
      </c>
      <c r="AQ957" s="119">
        <f>IFERROR(R957/AO957,"")</f>
        <v/>
      </c>
      <c r="AR957" s="116" t="n">
        <v>0</v>
      </c>
      <c r="AS957" s="116" t="n">
        <v>0</v>
      </c>
      <c r="AT957" s="116">
        <f>AL957+AR957</f>
        <v/>
      </c>
      <c r="AU957" s="119">
        <f>IFERROR(AO957*Assumptions!$C$26*Assumptions!$C$27*INDEX(Assumptions!$C$18:$C$21,MATCH(H957,Assumptions!$B$18:$B$21,0)),0)</f>
        <v/>
      </c>
    </row>
    <row r="958">
      <c r="A958" s="114" t="n">
        <v>46248</v>
      </c>
      <c r="B958" s="42" t="inlineStr">
        <is>
          <t>Wk 33</t>
        </is>
      </c>
      <c r="C958" s="42" t="inlineStr">
        <is>
          <t>Fri</t>
        </is>
      </c>
      <c r="D958" s="42" t="inlineStr">
        <is>
          <t>Meta (FB/IG)</t>
        </is>
      </c>
      <c r="E958" s="42" t="inlineStr">
        <is>
          <t>Facebook + Instagram</t>
        </is>
      </c>
      <c r="F958" s="42" t="inlineStr">
        <is>
          <t>LEP_ZA_AUG26_META_RMKT_ALL_CONV</t>
        </is>
      </c>
      <c r="G958" s="42" t="inlineStr">
        <is>
          <t>Leads - Website Conversions</t>
        </is>
      </c>
      <c r="H958" s="42" t="inlineStr">
        <is>
          <t>Range</t>
        </is>
      </c>
      <c r="I958" s="42" t="inlineStr">
        <is>
          <t>Range Offer</t>
        </is>
      </c>
      <c r="J958" s="42" t="inlineStr">
        <is>
          <t>MET_RMKT_FORMABANDON_ZA</t>
        </is>
      </c>
      <c r="K958" s="42" t="inlineStr">
        <is>
          <t>Retargeting</t>
        </is>
      </c>
      <c r="L958" s="42" t="inlineStr">
        <is>
          <t>RMKT_DYN_ModelSeen_v1</t>
        </is>
      </c>
      <c r="M958" s="42" t="inlineStr">
        <is>
          <t>Dynamic Carousel</t>
        </is>
      </c>
      <c r="N958" s="42" t="inlineStr">
        <is>
          <t>Still thinking about it?</t>
        </is>
      </c>
      <c r="O958" s="42" t="inlineStr">
        <is>
          <t>Auction - Lowest Cost</t>
        </is>
      </c>
      <c r="P958" s="42" t="inlineStr">
        <is>
          <t>Offsite Conversions</t>
        </is>
      </c>
      <c r="Q958" s="42" t="inlineStr">
        <is>
          <t>https://www.lepas-sa.co.za/book-a-test-drive</t>
        </is>
      </c>
      <c r="R958" s="115" t="n">
        <v>90.98999999999999</v>
      </c>
      <c r="S958" s="116" t="n">
        <v>986</v>
      </c>
      <c r="T958" s="116" t="n">
        <v>659</v>
      </c>
      <c r="U958" s="117">
        <f>IFERROR(S958/T958,"")</f>
        <v/>
      </c>
      <c r="V958" s="116" t="n">
        <v>30</v>
      </c>
      <c r="W958" s="116" t="n">
        <v>24</v>
      </c>
      <c r="X958" s="118">
        <f>IFERROR(W958/S958,"")</f>
        <v/>
      </c>
      <c r="Y958" s="115">
        <f>IFERROR(R958/W958,"")</f>
        <v/>
      </c>
      <c r="Z958" s="115">
        <f>IFERROR(R958/S958*1000,"")</f>
        <v/>
      </c>
      <c r="AA958" s="116" t="n">
        <v>20</v>
      </c>
      <c r="AB958" s="47">
        <f>IFERROR(AA958/W958,"")</f>
        <v/>
      </c>
      <c r="AC958" s="116" t="n">
        <v>0</v>
      </c>
      <c r="AD958" s="116" t="n">
        <v>0</v>
      </c>
      <c r="AE958" s="116" t="n">
        <v>0</v>
      </c>
      <c r="AF958" s="116" t="n">
        <v>0</v>
      </c>
      <c r="AG958" s="116" t="n">
        <v>0</v>
      </c>
      <c r="AH958" s="116" t="n">
        <v>0</v>
      </c>
      <c r="AI958" s="47">
        <f>IFERROR(AC958/S958,"")</f>
        <v/>
      </c>
      <c r="AJ958" s="47">
        <f>IFERROR(AH958/S958,"")</f>
        <v/>
      </c>
      <c r="AK958" s="116" t="n">
        <v>22</v>
      </c>
      <c r="AL958" s="116" t="n">
        <v>0</v>
      </c>
      <c r="AM958" s="118">
        <f>IFERROR(AL958/AA958,"")</f>
        <v/>
      </c>
      <c r="AN958" s="119">
        <f>IFERROR(R958/AL958,"")</f>
        <v/>
      </c>
      <c r="AO958" s="116" t="n">
        <v>0</v>
      </c>
      <c r="AP958" s="47">
        <f>IFERROR(AO958/AL958,"")</f>
        <v/>
      </c>
      <c r="AQ958" s="119">
        <f>IFERROR(R958/AO958,"")</f>
        <v/>
      </c>
      <c r="AR958" s="116" t="n">
        <v>0</v>
      </c>
      <c r="AS958" s="116" t="n">
        <v>0</v>
      </c>
      <c r="AT958" s="116">
        <f>AL958+AR958</f>
        <v/>
      </c>
      <c r="AU958" s="119">
        <f>IFERROR(AO958*Assumptions!$C$26*Assumptions!$C$27*INDEX(Assumptions!$C$18:$C$21,MATCH(H958,Assumptions!$B$18:$B$21,0)),0)</f>
        <v/>
      </c>
    </row>
    <row r="959">
      <c r="A959" s="114" t="n">
        <v>46249</v>
      </c>
      <c r="B959" s="42" t="inlineStr">
        <is>
          <t>Wk 33</t>
        </is>
      </c>
      <c r="C959" s="42" t="inlineStr">
        <is>
          <t>Sat</t>
        </is>
      </c>
      <c r="D959" s="42" t="inlineStr">
        <is>
          <t>Meta (FB/IG)</t>
        </is>
      </c>
      <c r="E959" s="42" t="inlineStr">
        <is>
          <t>Facebook + Instagram</t>
        </is>
      </c>
      <c r="F959" s="42" t="inlineStr">
        <is>
          <t>LEP_ZA_AUG26_META_RMKT_ALL_CONV</t>
        </is>
      </c>
      <c r="G959" s="42" t="inlineStr">
        <is>
          <t>Leads - Website Conversions</t>
        </is>
      </c>
      <c r="H959" s="42" t="inlineStr">
        <is>
          <t>Range</t>
        </is>
      </c>
      <c r="I959" s="42" t="inlineStr">
        <is>
          <t>Range Offer</t>
        </is>
      </c>
      <c r="J959" s="42" t="inlineStr">
        <is>
          <t>MET_RMKT_FORMABANDON_ZA</t>
        </is>
      </c>
      <c r="K959" s="42" t="inlineStr">
        <is>
          <t>Retargeting</t>
        </is>
      </c>
      <c r="L959" s="42" t="inlineStr">
        <is>
          <t>RMKT_DYN_ModelSeen_v1</t>
        </is>
      </c>
      <c r="M959" s="42" t="inlineStr">
        <is>
          <t>Dynamic Carousel</t>
        </is>
      </c>
      <c r="N959" s="42" t="inlineStr">
        <is>
          <t>Still thinking about it?</t>
        </is>
      </c>
      <c r="O959" s="42" t="inlineStr">
        <is>
          <t>Auction - Lowest Cost</t>
        </is>
      </c>
      <c r="P959" s="42" t="inlineStr">
        <is>
          <t>Offsite Conversions</t>
        </is>
      </c>
      <c r="Q959" s="42" t="inlineStr">
        <is>
          <t>https://www.lepas-sa.co.za/book-a-test-drive</t>
        </is>
      </c>
      <c r="R959" s="115" t="n">
        <v>83.81</v>
      </c>
      <c r="S959" s="116" t="n">
        <v>768</v>
      </c>
      <c r="T959" s="116" t="n">
        <v>465</v>
      </c>
      <c r="U959" s="117">
        <f>IFERROR(S959/T959,"")</f>
        <v/>
      </c>
      <c r="V959" s="116" t="n">
        <v>26</v>
      </c>
      <c r="W959" s="116" t="n">
        <v>20</v>
      </c>
      <c r="X959" s="118">
        <f>IFERROR(W959/S959,"")</f>
        <v/>
      </c>
      <c r="Y959" s="115">
        <f>IFERROR(R959/W959,"")</f>
        <v/>
      </c>
      <c r="Z959" s="115">
        <f>IFERROR(R959/S959*1000,"")</f>
        <v/>
      </c>
      <c r="AA959" s="116" t="n">
        <v>16</v>
      </c>
      <c r="AB959" s="47">
        <f>IFERROR(AA959/W959,"")</f>
        <v/>
      </c>
      <c r="AC959" s="116" t="n">
        <v>0</v>
      </c>
      <c r="AD959" s="116" t="n">
        <v>0</v>
      </c>
      <c r="AE959" s="116" t="n">
        <v>0</v>
      </c>
      <c r="AF959" s="116" t="n">
        <v>0</v>
      </c>
      <c r="AG959" s="116" t="n">
        <v>0</v>
      </c>
      <c r="AH959" s="116" t="n">
        <v>0</v>
      </c>
      <c r="AI959" s="47">
        <f>IFERROR(AC959/S959,"")</f>
        <v/>
      </c>
      <c r="AJ959" s="47">
        <f>IFERROR(AH959/S959,"")</f>
        <v/>
      </c>
      <c r="AK959" s="116" t="n">
        <v>19</v>
      </c>
      <c r="AL959" s="116" t="n">
        <v>0</v>
      </c>
      <c r="AM959" s="118">
        <f>IFERROR(AL959/AA959,"")</f>
        <v/>
      </c>
      <c r="AN959" s="119">
        <f>IFERROR(R959/AL959,"")</f>
        <v/>
      </c>
      <c r="AO959" s="116" t="n">
        <v>0</v>
      </c>
      <c r="AP959" s="47">
        <f>IFERROR(AO959/AL959,"")</f>
        <v/>
      </c>
      <c r="AQ959" s="119">
        <f>IFERROR(R959/AO959,"")</f>
        <v/>
      </c>
      <c r="AR959" s="116" t="n">
        <v>0</v>
      </c>
      <c r="AS959" s="116" t="n">
        <v>0</v>
      </c>
      <c r="AT959" s="116">
        <f>AL959+AR959</f>
        <v/>
      </c>
      <c r="AU959" s="119">
        <f>IFERROR(AO959*Assumptions!$C$26*Assumptions!$C$27*INDEX(Assumptions!$C$18:$C$21,MATCH(H959,Assumptions!$B$18:$B$21,0)),0)</f>
        <v/>
      </c>
    </row>
    <row r="960">
      <c r="A960" s="114" t="n">
        <v>46250</v>
      </c>
      <c r="B960" s="42" t="inlineStr">
        <is>
          <t>Wk 33</t>
        </is>
      </c>
      <c r="C960" s="42" t="inlineStr">
        <is>
          <t>Sun</t>
        </is>
      </c>
      <c r="D960" s="42" t="inlineStr">
        <is>
          <t>Meta (FB/IG)</t>
        </is>
      </c>
      <c r="E960" s="42" t="inlineStr">
        <is>
          <t>Facebook + Instagram</t>
        </is>
      </c>
      <c r="F960" s="42" t="inlineStr">
        <is>
          <t>LEP_ZA_AUG26_META_RMKT_ALL_CONV</t>
        </is>
      </c>
      <c r="G960" s="42" t="inlineStr">
        <is>
          <t>Leads - Website Conversions</t>
        </is>
      </c>
      <c r="H960" s="42" t="inlineStr">
        <is>
          <t>Range</t>
        </is>
      </c>
      <c r="I960" s="42" t="inlineStr">
        <is>
          <t>Range Offer</t>
        </is>
      </c>
      <c r="J960" s="42" t="inlineStr">
        <is>
          <t>MET_RMKT_FORMABANDON_ZA</t>
        </is>
      </c>
      <c r="K960" s="42" t="inlineStr">
        <is>
          <t>Retargeting</t>
        </is>
      </c>
      <c r="L960" s="42" t="inlineStr">
        <is>
          <t>RMKT_DYN_ModelSeen_v1</t>
        </is>
      </c>
      <c r="M960" s="42" t="inlineStr">
        <is>
          <t>Dynamic Carousel</t>
        </is>
      </c>
      <c r="N960" s="42" t="inlineStr">
        <is>
          <t>Still thinking about it?</t>
        </is>
      </c>
      <c r="O960" s="42" t="inlineStr">
        <is>
          <t>Auction - Lowest Cost</t>
        </is>
      </c>
      <c r="P960" s="42" t="inlineStr">
        <is>
          <t>Offsite Conversions</t>
        </is>
      </c>
      <c r="Q960" s="42" t="inlineStr">
        <is>
          <t>https://www.lepas-sa.co.za/book-a-test-drive</t>
        </is>
      </c>
      <c r="R960" s="115" t="n">
        <v>63.94</v>
      </c>
      <c r="S960" s="116" t="n">
        <v>604</v>
      </c>
      <c r="T960" s="116" t="n">
        <v>395</v>
      </c>
      <c r="U960" s="117">
        <f>IFERROR(S960/T960,"")</f>
        <v/>
      </c>
      <c r="V960" s="116" t="n">
        <v>22</v>
      </c>
      <c r="W960" s="116" t="n">
        <v>17</v>
      </c>
      <c r="X960" s="118">
        <f>IFERROR(W960/S960,"")</f>
        <v/>
      </c>
      <c r="Y960" s="115">
        <f>IFERROR(R960/W960,"")</f>
        <v/>
      </c>
      <c r="Z960" s="115">
        <f>IFERROR(R960/S960*1000,"")</f>
        <v/>
      </c>
      <c r="AA960" s="116" t="n">
        <v>14</v>
      </c>
      <c r="AB960" s="47">
        <f>IFERROR(AA960/W960,"")</f>
        <v/>
      </c>
      <c r="AC960" s="116" t="n">
        <v>0</v>
      </c>
      <c r="AD960" s="116" t="n">
        <v>0</v>
      </c>
      <c r="AE960" s="116" t="n">
        <v>0</v>
      </c>
      <c r="AF960" s="116" t="n">
        <v>0</v>
      </c>
      <c r="AG960" s="116" t="n">
        <v>0</v>
      </c>
      <c r="AH960" s="116" t="n">
        <v>0</v>
      </c>
      <c r="AI960" s="47">
        <f>IFERROR(AC960/S960,"")</f>
        <v/>
      </c>
      <c r="AJ960" s="47">
        <f>IFERROR(AH960/S960,"")</f>
        <v/>
      </c>
      <c r="AK960" s="116" t="n">
        <v>8</v>
      </c>
      <c r="AL960" s="116" t="n">
        <v>0</v>
      </c>
      <c r="AM960" s="118">
        <f>IFERROR(AL960/AA960,"")</f>
        <v/>
      </c>
      <c r="AN960" s="119">
        <f>IFERROR(R960/AL960,"")</f>
        <v/>
      </c>
      <c r="AO960" s="116" t="n">
        <v>0</v>
      </c>
      <c r="AP960" s="47">
        <f>IFERROR(AO960/AL960,"")</f>
        <v/>
      </c>
      <c r="AQ960" s="119">
        <f>IFERROR(R960/AO960,"")</f>
        <v/>
      </c>
      <c r="AR960" s="116" t="n">
        <v>0</v>
      </c>
      <c r="AS960" s="116" t="n">
        <v>0</v>
      </c>
      <c r="AT960" s="116">
        <f>AL960+AR960</f>
        <v/>
      </c>
      <c r="AU960" s="119">
        <f>IFERROR(AO960*Assumptions!$C$26*Assumptions!$C$27*INDEX(Assumptions!$C$18:$C$21,MATCH(H960,Assumptions!$B$18:$B$21,0)),0)</f>
        <v/>
      </c>
    </row>
    <row r="961">
      <c r="A961" s="114" t="n">
        <v>46251</v>
      </c>
      <c r="B961" s="42" t="inlineStr">
        <is>
          <t>Wk 34</t>
        </is>
      </c>
      <c r="C961" s="42" t="inlineStr">
        <is>
          <t>Mon</t>
        </is>
      </c>
      <c r="D961" s="42" t="inlineStr">
        <is>
          <t>Meta (FB/IG)</t>
        </is>
      </c>
      <c r="E961" s="42" t="inlineStr">
        <is>
          <t>Facebook + Instagram</t>
        </is>
      </c>
      <c r="F961" s="42" t="inlineStr">
        <is>
          <t>LEP_ZA_AUG26_META_RMKT_ALL_CONV</t>
        </is>
      </c>
      <c r="G961" s="42" t="inlineStr">
        <is>
          <t>Leads - Website Conversions</t>
        </is>
      </c>
      <c r="H961" s="42" t="inlineStr">
        <is>
          <t>Range</t>
        </is>
      </c>
      <c r="I961" s="42" t="inlineStr">
        <is>
          <t>Range Offer</t>
        </is>
      </c>
      <c r="J961" s="42" t="inlineStr">
        <is>
          <t>MET_RMKT_FORMABANDON_ZA</t>
        </is>
      </c>
      <c r="K961" s="42" t="inlineStr">
        <is>
          <t>Retargeting</t>
        </is>
      </c>
      <c r="L961" s="42" t="inlineStr">
        <is>
          <t>RMKT_DYN_ModelSeen_v1</t>
        </is>
      </c>
      <c r="M961" s="42" t="inlineStr">
        <is>
          <t>Dynamic Carousel</t>
        </is>
      </c>
      <c r="N961" s="42" t="inlineStr">
        <is>
          <t>Still thinking about it?</t>
        </is>
      </c>
      <c r="O961" s="42" t="inlineStr">
        <is>
          <t>Auction - Lowest Cost</t>
        </is>
      </c>
      <c r="P961" s="42" t="inlineStr">
        <is>
          <t>Offsite Conversions</t>
        </is>
      </c>
      <c r="Q961" s="42" t="inlineStr">
        <is>
          <t>https://www.lepas-sa.co.za/book-a-test-drive</t>
        </is>
      </c>
      <c r="R961" s="115" t="n">
        <v>74.77</v>
      </c>
      <c r="S961" s="116" t="n">
        <v>901</v>
      </c>
      <c r="T961" s="116" t="n">
        <v>552</v>
      </c>
      <c r="U961" s="117">
        <f>IFERROR(S961/T961,"")</f>
        <v/>
      </c>
      <c r="V961" s="116" t="n">
        <v>22</v>
      </c>
      <c r="W961" s="116" t="n">
        <v>18</v>
      </c>
      <c r="X961" s="118">
        <f>IFERROR(W961/S961,"")</f>
        <v/>
      </c>
      <c r="Y961" s="115">
        <f>IFERROR(R961/W961,"")</f>
        <v/>
      </c>
      <c r="Z961" s="115">
        <f>IFERROR(R961/S961*1000,"")</f>
        <v/>
      </c>
      <c r="AA961" s="116" t="n">
        <v>16</v>
      </c>
      <c r="AB961" s="47">
        <f>IFERROR(AA961/W961,"")</f>
        <v/>
      </c>
      <c r="AC961" s="116" t="n">
        <v>0</v>
      </c>
      <c r="AD961" s="116" t="n">
        <v>0</v>
      </c>
      <c r="AE961" s="116" t="n">
        <v>0</v>
      </c>
      <c r="AF961" s="116" t="n">
        <v>0</v>
      </c>
      <c r="AG961" s="116" t="n">
        <v>0</v>
      </c>
      <c r="AH961" s="116" t="n">
        <v>0</v>
      </c>
      <c r="AI961" s="47">
        <f>IFERROR(AC961/S961,"")</f>
        <v/>
      </c>
      <c r="AJ961" s="47">
        <f>IFERROR(AH961/S961,"")</f>
        <v/>
      </c>
      <c r="AK961" s="116" t="n">
        <v>18</v>
      </c>
      <c r="AL961" s="116" t="n">
        <v>0</v>
      </c>
      <c r="AM961" s="118">
        <f>IFERROR(AL961/AA961,"")</f>
        <v/>
      </c>
      <c r="AN961" s="119">
        <f>IFERROR(R961/AL961,"")</f>
        <v/>
      </c>
      <c r="AO961" s="116" t="n">
        <v>0</v>
      </c>
      <c r="AP961" s="47">
        <f>IFERROR(AO961/AL961,"")</f>
        <v/>
      </c>
      <c r="AQ961" s="119">
        <f>IFERROR(R961/AO961,"")</f>
        <v/>
      </c>
      <c r="AR961" s="116" t="n">
        <v>0</v>
      </c>
      <c r="AS961" s="116" t="n">
        <v>0</v>
      </c>
      <c r="AT961" s="116">
        <f>AL961+AR961</f>
        <v/>
      </c>
      <c r="AU961" s="119">
        <f>IFERROR(AO961*Assumptions!$C$26*Assumptions!$C$27*INDEX(Assumptions!$C$18:$C$21,MATCH(H961,Assumptions!$B$18:$B$21,0)),0)</f>
        <v/>
      </c>
    </row>
    <row r="962">
      <c r="A962" s="114" t="n">
        <v>46252</v>
      </c>
      <c r="B962" s="42" t="inlineStr">
        <is>
          <t>Wk 34</t>
        </is>
      </c>
      <c r="C962" s="42" t="inlineStr">
        <is>
          <t>Tue</t>
        </is>
      </c>
      <c r="D962" s="42" t="inlineStr">
        <is>
          <t>Meta (FB/IG)</t>
        </is>
      </c>
      <c r="E962" s="42" t="inlineStr">
        <is>
          <t>Facebook + Instagram</t>
        </is>
      </c>
      <c r="F962" s="42" t="inlineStr">
        <is>
          <t>LEP_ZA_AUG26_META_RMKT_ALL_CONV</t>
        </is>
      </c>
      <c r="G962" s="42" t="inlineStr">
        <is>
          <t>Leads - Website Conversions</t>
        </is>
      </c>
      <c r="H962" s="42" t="inlineStr">
        <is>
          <t>Range</t>
        </is>
      </c>
      <c r="I962" s="42" t="inlineStr">
        <is>
          <t>Range Offer</t>
        </is>
      </c>
      <c r="J962" s="42" t="inlineStr">
        <is>
          <t>MET_RMKT_FORMABANDON_ZA</t>
        </is>
      </c>
      <c r="K962" s="42" t="inlineStr">
        <is>
          <t>Retargeting</t>
        </is>
      </c>
      <c r="L962" s="42" t="inlineStr">
        <is>
          <t>RMKT_DYN_ModelSeen_v1</t>
        </is>
      </c>
      <c r="M962" s="42" t="inlineStr">
        <is>
          <t>Dynamic Carousel</t>
        </is>
      </c>
      <c r="N962" s="42" t="inlineStr">
        <is>
          <t>Still thinking about it?</t>
        </is>
      </c>
      <c r="O962" s="42" t="inlineStr">
        <is>
          <t>Auction - Lowest Cost</t>
        </is>
      </c>
      <c r="P962" s="42" t="inlineStr">
        <is>
          <t>Offsite Conversions</t>
        </is>
      </c>
      <c r="Q962" s="42" t="inlineStr">
        <is>
          <t>https://www.lepas-sa.co.za/book-a-test-drive</t>
        </is>
      </c>
      <c r="R962" s="115" t="n">
        <v>67.73999999999999</v>
      </c>
      <c r="S962" s="116" t="n">
        <v>621</v>
      </c>
      <c r="T962" s="116" t="n">
        <v>360</v>
      </c>
      <c r="U962" s="117">
        <f>IFERROR(S962/T962,"")</f>
        <v/>
      </c>
      <c r="V962" s="116" t="n">
        <v>19</v>
      </c>
      <c r="W962" s="116" t="n">
        <v>15</v>
      </c>
      <c r="X962" s="118">
        <f>IFERROR(W962/S962,"")</f>
        <v/>
      </c>
      <c r="Y962" s="115">
        <f>IFERROR(R962/W962,"")</f>
        <v/>
      </c>
      <c r="Z962" s="115">
        <f>IFERROR(R962/S962*1000,"")</f>
        <v/>
      </c>
      <c r="AA962" s="116" t="n">
        <v>13</v>
      </c>
      <c r="AB962" s="47">
        <f>IFERROR(AA962/W962,"")</f>
        <v/>
      </c>
      <c r="AC962" s="116" t="n">
        <v>0</v>
      </c>
      <c r="AD962" s="116" t="n">
        <v>0</v>
      </c>
      <c r="AE962" s="116" t="n">
        <v>0</v>
      </c>
      <c r="AF962" s="116" t="n">
        <v>0</v>
      </c>
      <c r="AG962" s="116" t="n">
        <v>0</v>
      </c>
      <c r="AH962" s="116" t="n">
        <v>0</v>
      </c>
      <c r="AI962" s="47">
        <f>IFERROR(AC962/S962,"")</f>
        <v/>
      </c>
      <c r="AJ962" s="47">
        <f>IFERROR(AH962/S962,"")</f>
        <v/>
      </c>
      <c r="AK962" s="116" t="n">
        <v>11</v>
      </c>
      <c r="AL962" s="116" t="n">
        <v>0</v>
      </c>
      <c r="AM962" s="118">
        <f>IFERROR(AL962/AA962,"")</f>
        <v/>
      </c>
      <c r="AN962" s="119">
        <f>IFERROR(R962/AL962,"")</f>
        <v/>
      </c>
      <c r="AO962" s="116" t="n">
        <v>0</v>
      </c>
      <c r="AP962" s="47">
        <f>IFERROR(AO962/AL962,"")</f>
        <v/>
      </c>
      <c r="AQ962" s="119">
        <f>IFERROR(R962/AO962,"")</f>
        <v/>
      </c>
      <c r="AR962" s="116" t="n">
        <v>0</v>
      </c>
      <c r="AS962" s="116" t="n">
        <v>0</v>
      </c>
      <c r="AT962" s="116">
        <f>AL962+AR962</f>
        <v/>
      </c>
      <c r="AU962" s="119">
        <f>IFERROR(AO962*Assumptions!$C$26*Assumptions!$C$27*INDEX(Assumptions!$C$18:$C$21,MATCH(H962,Assumptions!$B$18:$B$21,0)),0)</f>
        <v/>
      </c>
    </row>
    <row r="963">
      <c r="A963" s="114" t="n">
        <v>46253</v>
      </c>
      <c r="B963" s="42" t="inlineStr">
        <is>
          <t>Wk 34</t>
        </is>
      </c>
      <c r="C963" s="42" t="inlineStr">
        <is>
          <t>Wed</t>
        </is>
      </c>
      <c r="D963" s="42" t="inlineStr">
        <is>
          <t>Meta (FB/IG)</t>
        </is>
      </c>
      <c r="E963" s="42" t="inlineStr">
        <is>
          <t>Facebook + Instagram</t>
        </is>
      </c>
      <c r="F963" s="42" t="inlineStr">
        <is>
          <t>LEP_ZA_AUG26_META_RMKT_ALL_CONV</t>
        </is>
      </c>
      <c r="G963" s="42" t="inlineStr">
        <is>
          <t>Leads - Website Conversions</t>
        </is>
      </c>
      <c r="H963" s="42" t="inlineStr">
        <is>
          <t>Range</t>
        </is>
      </c>
      <c r="I963" s="42" t="inlineStr">
        <is>
          <t>Range Offer</t>
        </is>
      </c>
      <c r="J963" s="42" t="inlineStr">
        <is>
          <t>MET_RMKT_FORMABANDON_ZA</t>
        </is>
      </c>
      <c r="K963" s="42" t="inlineStr">
        <is>
          <t>Retargeting</t>
        </is>
      </c>
      <c r="L963" s="42" t="inlineStr">
        <is>
          <t>RMKT_DYN_ModelSeen_v1</t>
        </is>
      </c>
      <c r="M963" s="42" t="inlineStr">
        <is>
          <t>Dynamic Carousel</t>
        </is>
      </c>
      <c r="N963" s="42" t="inlineStr">
        <is>
          <t>Still thinking about it?</t>
        </is>
      </c>
      <c r="O963" s="42" t="inlineStr">
        <is>
          <t>Auction - Lowest Cost</t>
        </is>
      </c>
      <c r="P963" s="42" t="inlineStr">
        <is>
          <t>Offsite Conversions</t>
        </is>
      </c>
      <c r="Q963" s="42" t="inlineStr">
        <is>
          <t>https://www.lepas-sa.co.za/book-a-test-drive</t>
        </is>
      </c>
      <c r="R963" s="115" t="n">
        <v>94.44</v>
      </c>
      <c r="S963" s="116" t="n">
        <v>896</v>
      </c>
      <c r="T963" s="116" t="n">
        <v>638</v>
      </c>
      <c r="U963" s="117">
        <f>IFERROR(S963/T963,"")</f>
        <v/>
      </c>
      <c r="V963" s="116" t="n">
        <v>15</v>
      </c>
      <c r="W963" s="116" t="n">
        <v>12</v>
      </c>
      <c r="X963" s="118">
        <f>IFERROR(W963/S963,"")</f>
        <v/>
      </c>
      <c r="Y963" s="115">
        <f>IFERROR(R963/W963,"")</f>
        <v/>
      </c>
      <c r="Z963" s="115">
        <f>IFERROR(R963/S963*1000,"")</f>
        <v/>
      </c>
      <c r="AA963" s="116" t="n">
        <v>10</v>
      </c>
      <c r="AB963" s="47">
        <f>IFERROR(AA963/W963,"")</f>
        <v/>
      </c>
      <c r="AC963" s="116" t="n">
        <v>0</v>
      </c>
      <c r="AD963" s="116" t="n">
        <v>0</v>
      </c>
      <c r="AE963" s="116" t="n">
        <v>0</v>
      </c>
      <c r="AF963" s="116" t="n">
        <v>0</v>
      </c>
      <c r="AG963" s="116" t="n">
        <v>0</v>
      </c>
      <c r="AH963" s="116" t="n">
        <v>0</v>
      </c>
      <c r="AI963" s="47">
        <f>IFERROR(AC963/S963,"")</f>
        <v/>
      </c>
      <c r="AJ963" s="47">
        <f>IFERROR(AH963/S963,"")</f>
        <v/>
      </c>
      <c r="AK963" s="116" t="n">
        <v>20</v>
      </c>
      <c r="AL963" s="116" t="n">
        <v>1</v>
      </c>
      <c r="AM963" s="118">
        <f>IFERROR(AL963/AA963,"")</f>
        <v/>
      </c>
      <c r="AN963" s="119">
        <f>IFERROR(R963/AL963,"")</f>
        <v/>
      </c>
      <c r="AO963" s="116" t="n">
        <v>0</v>
      </c>
      <c r="AP963" s="47">
        <f>IFERROR(AO963/AL963,"")</f>
        <v/>
      </c>
      <c r="AQ963" s="119">
        <f>IFERROR(R963/AO963,"")</f>
        <v/>
      </c>
      <c r="AR963" s="116" t="n">
        <v>0</v>
      </c>
      <c r="AS963" s="116" t="n">
        <v>1</v>
      </c>
      <c r="AT963" s="116">
        <f>AL963+AR963</f>
        <v/>
      </c>
      <c r="AU963" s="119">
        <f>IFERROR(AO963*Assumptions!$C$26*Assumptions!$C$27*INDEX(Assumptions!$C$18:$C$21,MATCH(H963,Assumptions!$B$18:$B$21,0)),0)</f>
        <v/>
      </c>
    </row>
    <row r="964">
      <c r="A964" s="114" t="n">
        <v>46254</v>
      </c>
      <c r="B964" s="42" t="inlineStr">
        <is>
          <t>Wk 34</t>
        </is>
      </c>
      <c r="C964" s="42" t="inlineStr">
        <is>
          <t>Thu</t>
        </is>
      </c>
      <c r="D964" s="42" t="inlineStr">
        <is>
          <t>Meta (FB/IG)</t>
        </is>
      </c>
      <c r="E964" s="42" t="inlineStr">
        <is>
          <t>Facebook + Instagram</t>
        </is>
      </c>
      <c r="F964" s="42" t="inlineStr">
        <is>
          <t>LEP_ZA_AUG26_META_RMKT_ALL_CONV</t>
        </is>
      </c>
      <c r="G964" s="42" t="inlineStr">
        <is>
          <t>Leads - Website Conversions</t>
        </is>
      </c>
      <c r="H964" s="42" t="inlineStr">
        <is>
          <t>Range</t>
        </is>
      </c>
      <c r="I964" s="42" t="inlineStr">
        <is>
          <t>Range Offer</t>
        </is>
      </c>
      <c r="J964" s="42" t="inlineStr">
        <is>
          <t>MET_RMKT_FORMABANDON_ZA</t>
        </is>
      </c>
      <c r="K964" s="42" t="inlineStr">
        <is>
          <t>Retargeting</t>
        </is>
      </c>
      <c r="L964" s="42" t="inlineStr">
        <is>
          <t>RMKT_DYN_ModelSeen_v1</t>
        </is>
      </c>
      <c r="M964" s="42" t="inlineStr">
        <is>
          <t>Dynamic Carousel</t>
        </is>
      </c>
      <c r="N964" s="42" t="inlineStr">
        <is>
          <t>Still thinking about it?</t>
        </is>
      </c>
      <c r="O964" s="42" t="inlineStr">
        <is>
          <t>Auction - Lowest Cost</t>
        </is>
      </c>
      <c r="P964" s="42" t="inlineStr">
        <is>
          <t>Offsite Conversions</t>
        </is>
      </c>
      <c r="Q964" s="42" t="inlineStr">
        <is>
          <t>https://www.lepas-sa.co.za/book-a-test-drive</t>
        </is>
      </c>
      <c r="R964" s="115" t="n">
        <v>93.31</v>
      </c>
      <c r="S964" s="116" t="n">
        <v>789</v>
      </c>
      <c r="T964" s="116" t="n">
        <v>538</v>
      </c>
      <c r="U964" s="117">
        <f>IFERROR(S964/T964,"")</f>
        <v/>
      </c>
      <c r="V964" s="116" t="n">
        <v>19</v>
      </c>
      <c r="W964" s="116" t="n">
        <v>15</v>
      </c>
      <c r="X964" s="118">
        <f>IFERROR(W964/S964,"")</f>
        <v/>
      </c>
      <c r="Y964" s="115">
        <f>IFERROR(R964/W964,"")</f>
        <v/>
      </c>
      <c r="Z964" s="115">
        <f>IFERROR(R964/S964*1000,"")</f>
        <v/>
      </c>
      <c r="AA964" s="116" t="n">
        <v>13</v>
      </c>
      <c r="AB964" s="47">
        <f>IFERROR(AA964/W964,"")</f>
        <v/>
      </c>
      <c r="AC964" s="116" t="n">
        <v>0</v>
      </c>
      <c r="AD964" s="116" t="n">
        <v>0</v>
      </c>
      <c r="AE964" s="116" t="n">
        <v>0</v>
      </c>
      <c r="AF964" s="116" t="n">
        <v>0</v>
      </c>
      <c r="AG964" s="116" t="n">
        <v>0</v>
      </c>
      <c r="AH964" s="116" t="n">
        <v>0</v>
      </c>
      <c r="AI964" s="47">
        <f>IFERROR(AC964/S964,"")</f>
        <v/>
      </c>
      <c r="AJ964" s="47">
        <f>IFERROR(AH964/S964,"")</f>
        <v/>
      </c>
      <c r="AK964" s="116" t="n">
        <v>19</v>
      </c>
      <c r="AL964" s="116" t="n">
        <v>1</v>
      </c>
      <c r="AM964" s="118">
        <f>IFERROR(AL964/AA964,"")</f>
        <v/>
      </c>
      <c r="AN964" s="119">
        <f>IFERROR(R964/AL964,"")</f>
        <v/>
      </c>
      <c r="AO964" s="116" t="n">
        <v>1</v>
      </c>
      <c r="AP964" s="47">
        <f>IFERROR(AO964/AL964,"")</f>
        <v/>
      </c>
      <c r="AQ964" s="119">
        <f>IFERROR(R964/AO964,"")</f>
        <v/>
      </c>
      <c r="AR964" s="116" t="n">
        <v>1</v>
      </c>
      <c r="AS964" s="116" t="n">
        <v>0</v>
      </c>
      <c r="AT964" s="116">
        <f>AL964+AR964</f>
        <v/>
      </c>
      <c r="AU964" s="119">
        <f>IFERROR(AO964*Assumptions!$C$26*Assumptions!$C$27*INDEX(Assumptions!$C$18:$C$21,MATCH(H964,Assumptions!$B$18:$B$21,0)),0)</f>
        <v/>
      </c>
    </row>
    <row r="965">
      <c r="A965" s="114" t="n">
        <v>46255</v>
      </c>
      <c r="B965" s="42" t="inlineStr">
        <is>
          <t>Wk 34</t>
        </is>
      </c>
      <c r="C965" s="42" t="inlineStr">
        <is>
          <t>Fri</t>
        </is>
      </c>
      <c r="D965" s="42" t="inlineStr">
        <is>
          <t>Meta (FB/IG)</t>
        </is>
      </c>
      <c r="E965" s="42" t="inlineStr">
        <is>
          <t>Facebook + Instagram</t>
        </is>
      </c>
      <c r="F965" s="42" t="inlineStr">
        <is>
          <t>LEP_ZA_AUG26_META_RMKT_ALL_CONV</t>
        </is>
      </c>
      <c r="G965" s="42" t="inlineStr">
        <is>
          <t>Leads - Website Conversions</t>
        </is>
      </c>
      <c r="H965" s="42" t="inlineStr">
        <is>
          <t>Range</t>
        </is>
      </c>
      <c r="I965" s="42" t="inlineStr">
        <is>
          <t>Range Offer</t>
        </is>
      </c>
      <c r="J965" s="42" t="inlineStr">
        <is>
          <t>MET_RMKT_FORMABANDON_ZA</t>
        </is>
      </c>
      <c r="K965" s="42" t="inlineStr">
        <is>
          <t>Retargeting</t>
        </is>
      </c>
      <c r="L965" s="42" t="inlineStr">
        <is>
          <t>RMKT_DYN_ModelSeen_v1</t>
        </is>
      </c>
      <c r="M965" s="42" t="inlineStr">
        <is>
          <t>Dynamic Carousel</t>
        </is>
      </c>
      <c r="N965" s="42" t="inlineStr">
        <is>
          <t>Still thinking about it?</t>
        </is>
      </c>
      <c r="O965" s="42" t="inlineStr">
        <is>
          <t>Auction - Lowest Cost</t>
        </is>
      </c>
      <c r="P965" s="42" t="inlineStr">
        <is>
          <t>Offsite Conversions</t>
        </is>
      </c>
      <c r="Q965" s="42" t="inlineStr">
        <is>
          <t>https://www.lepas-sa.co.za/book-a-test-drive</t>
        </is>
      </c>
      <c r="R965" s="115" t="n">
        <v>83.58</v>
      </c>
      <c r="S965" s="116" t="n">
        <v>991</v>
      </c>
      <c r="T965" s="116" t="n">
        <v>609</v>
      </c>
      <c r="U965" s="117">
        <f>IFERROR(S965/T965,"")</f>
        <v/>
      </c>
      <c r="V965" s="116" t="n">
        <v>25</v>
      </c>
      <c r="W965" s="116" t="n">
        <v>21</v>
      </c>
      <c r="X965" s="118">
        <f>IFERROR(W965/S965,"")</f>
        <v/>
      </c>
      <c r="Y965" s="115">
        <f>IFERROR(R965/W965,"")</f>
        <v/>
      </c>
      <c r="Z965" s="115">
        <f>IFERROR(R965/S965*1000,"")</f>
        <v/>
      </c>
      <c r="AA965" s="116" t="n">
        <v>18</v>
      </c>
      <c r="AB965" s="47">
        <f>IFERROR(AA965/W965,"")</f>
        <v/>
      </c>
      <c r="AC965" s="116" t="n">
        <v>0</v>
      </c>
      <c r="AD965" s="116" t="n">
        <v>0</v>
      </c>
      <c r="AE965" s="116" t="n">
        <v>0</v>
      </c>
      <c r="AF965" s="116" t="n">
        <v>0</v>
      </c>
      <c r="AG965" s="116" t="n">
        <v>0</v>
      </c>
      <c r="AH965" s="116" t="n">
        <v>0</v>
      </c>
      <c r="AI965" s="47">
        <f>IFERROR(AC965/S965,"")</f>
        <v/>
      </c>
      <c r="AJ965" s="47">
        <f>IFERROR(AH965/S965,"")</f>
        <v/>
      </c>
      <c r="AK965" s="116" t="n">
        <v>25</v>
      </c>
      <c r="AL965" s="116" t="n">
        <v>0</v>
      </c>
      <c r="AM965" s="118">
        <f>IFERROR(AL965/AA965,"")</f>
        <v/>
      </c>
      <c r="AN965" s="119">
        <f>IFERROR(R965/AL965,"")</f>
        <v/>
      </c>
      <c r="AO965" s="116" t="n">
        <v>0</v>
      </c>
      <c r="AP965" s="47">
        <f>IFERROR(AO965/AL965,"")</f>
        <v/>
      </c>
      <c r="AQ965" s="119">
        <f>IFERROR(R965/AO965,"")</f>
        <v/>
      </c>
      <c r="AR965" s="116" t="n">
        <v>0</v>
      </c>
      <c r="AS965" s="116" t="n">
        <v>0</v>
      </c>
      <c r="AT965" s="116">
        <f>AL965+AR965</f>
        <v/>
      </c>
      <c r="AU965" s="119">
        <f>IFERROR(AO965*Assumptions!$C$26*Assumptions!$C$27*INDEX(Assumptions!$C$18:$C$21,MATCH(H965,Assumptions!$B$18:$B$21,0)),0)</f>
        <v/>
      </c>
    </row>
    <row r="966">
      <c r="A966" s="114" t="n">
        <v>46256</v>
      </c>
      <c r="B966" s="42" t="inlineStr">
        <is>
          <t>Wk 34</t>
        </is>
      </c>
      <c r="C966" s="42" t="inlineStr">
        <is>
          <t>Sat</t>
        </is>
      </c>
      <c r="D966" s="42" t="inlineStr">
        <is>
          <t>Meta (FB/IG)</t>
        </is>
      </c>
      <c r="E966" s="42" t="inlineStr">
        <is>
          <t>Facebook + Instagram</t>
        </is>
      </c>
      <c r="F966" s="42" t="inlineStr">
        <is>
          <t>LEP_ZA_AUG26_META_RMKT_ALL_CONV</t>
        </is>
      </c>
      <c r="G966" s="42" t="inlineStr">
        <is>
          <t>Leads - Website Conversions</t>
        </is>
      </c>
      <c r="H966" s="42" t="inlineStr">
        <is>
          <t>Range</t>
        </is>
      </c>
      <c r="I966" s="42" t="inlineStr">
        <is>
          <t>Range Offer</t>
        </is>
      </c>
      <c r="J966" s="42" t="inlineStr">
        <is>
          <t>MET_RMKT_FORMABANDON_ZA</t>
        </is>
      </c>
      <c r="K966" s="42" t="inlineStr">
        <is>
          <t>Retargeting</t>
        </is>
      </c>
      <c r="L966" s="42" t="inlineStr">
        <is>
          <t>RMKT_DYN_ModelSeen_v1</t>
        </is>
      </c>
      <c r="M966" s="42" t="inlineStr">
        <is>
          <t>Dynamic Carousel</t>
        </is>
      </c>
      <c r="N966" s="42" t="inlineStr">
        <is>
          <t>Still thinking about it?</t>
        </is>
      </c>
      <c r="O966" s="42" t="inlineStr">
        <is>
          <t>Auction - Lowest Cost</t>
        </is>
      </c>
      <c r="P966" s="42" t="inlineStr">
        <is>
          <t>Offsite Conversions</t>
        </is>
      </c>
      <c r="Q966" s="42" t="inlineStr">
        <is>
          <t>https://www.lepas-sa.co.za/book-a-test-drive</t>
        </is>
      </c>
      <c r="R966" s="115" t="n">
        <v>80.70999999999999</v>
      </c>
      <c r="S966" s="116" t="n">
        <v>746</v>
      </c>
      <c r="T966" s="116" t="n">
        <v>440</v>
      </c>
      <c r="U966" s="117">
        <f>IFERROR(S966/T966,"")</f>
        <v/>
      </c>
      <c r="V966" s="116" t="n">
        <v>25</v>
      </c>
      <c r="W966" s="116" t="n">
        <v>18</v>
      </c>
      <c r="X966" s="118">
        <f>IFERROR(W966/S966,"")</f>
        <v/>
      </c>
      <c r="Y966" s="115">
        <f>IFERROR(R966/W966,"")</f>
        <v/>
      </c>
      <c r="Z966" s="115">
        <f>IFERROR(R966/S966*1000,"")</f>
        <v/>
      </c>
      <c r="AA966" s="116" t="n">
        <v>15</v>
      </c>
      <c r="AB966" s="47">
        <f>IFERROR(AA966/W966,"")</f>
        <v/>
      </c>
      <c r="AC966" s="116" t="n">
        <v>0</v>
      </c>
      <c r="AD966" s="116" t="n">
        <v>0</v>
      </c>
      <c r="AE966" s="116" t="n">
        <v>0</v>
      </c>
      <c r="AF966" s="116" t="n">
        <v>0</v>
      </c>
      <c r="AG966" s="116" t="n">
        <v>0</v>
      </c>
      <c r="AH966" s="116" t="n">
        <v>0</v>
      </c>
      <c r="AI966" s="47">
        <f>IFERROR(AC966/S966,"")</f>
        <v/>
      </c>
      <c r="AJ966" s="47">
        <f>IFERROR(AH966/S966,"")</f>
        <v/>
      </c>
      <c r="AK966" s="116" t="n">
        <v>23</v>
      </c>
      <c r="AL966" s="116" t="n">
        <v>0</v>
      </c>
      <c r="AM966" s="118">
        <f>IFERROR(AL966/AA966,"")</f>
        <v/>
      </c>
      <c r="AN966" s="119">
        <f>IFERROR(R966/AL966,"")</f>
        <v/>
      </c>
      <c r="AO966" s="116" t="n">
        <v>0</v>
      </c>
      <c r="AP966" s="47">
        <f>IFERROR(AO966/AL966,"")</f>
        <v/>
      </c>
      <c r="AQ966" s="119">
        <f>IFERROR(R966/AO966,"")</f>
        <v/>
      </c>
      <c r="AR966" s="116" t="n">
        <v>0</v>
      </c>
      <c r="AS966" s="116" t="n">
        <v>0</v>
      </c>
      <c r="AT966" s="116">
        <f>AL966+AR966</f>
        <v/>
      </c>
      <c r="AU966" s="119">
        <f>IFERROR(AO966*Assumptions!$C$26*Assumptions!$C$27*INDEX(Assumptions!$C$18:$C$21,MATCH(H966,Assumptions!$B$18:$B$21,0)),0)</f>
        <v/>
      </c>
    </row>
    <row r="967">
      <c r="A967" s="114" t="n">
        <v>46257</v>
      </c>
      <c r="B967" s="42" t="inlineStr">
        <is>
          <t>Wk 34</t>
        </is>
      </c>
      <c r="C967" s="42" t="inlineStr">
        <is>
          <t>Sun</t>
        </is>
      </c>
      <c r="D967" s="42" t="inlineStr">
        <is>
          <t>Meta (FB/IG)</t>
        </is>
      </c>
      <c r="E967" s="42" t="inlineStr">
        <is>
          <t>Facebook + Instagram</t>
        </is>
      </c>
      <c r="F967" s="42" t="inlineStr">
        <is>
          <t>LEP_ZA_AUG26_META_RMKT_ALL_CONV</t>
        </is>
      </c>
      <c r="G967" s="42" t="inlineStr">
        <is>
          <t>Leads - Website Conversions</t>
        </is>
      </c>
      <c r="H967" s="42" t="inlineStr">
        <is>
          <t>Range</t>
        </is>
      </c>
      <c r="I967" s="42" t="inlineStr">
        <is>
          <t>Range Offer</t>
        </is>
      </c>
      <c r="J967" s="42" t="inlineStr">
        <is>
          <t>MET_RMKT_FORMABANDON_ZA</t>
        </is>
      </c>
      <c r="K967" s="42" t="inlineStr">
        <is>
          <t>Retargeting</t>
        </is>
      </c>
      <c r="L967" s="42" t="inlineStr">
        <is>
          <t>RMKT_DYN_ModelSeen_v1</t>
        </is>
      </c>
      <c r="M967" s="42" t="inlineStr">
        <is>
          <t>Dynamic Carousel</t>
        </is>
      </c>
      <c r="N967" s="42" t="inlineStr">
        <is>
          <t>Still thinking about it?</t>
        </is>
      </c>
      <c r="O967" s="42" t="inlineStr">
        <is>
          <t>Auction - Lowest Cost</t>
        </is>
      </c>
      <c r="P967" s="42" t="inlineStr">
        <is>
          <t>Offsite Conversions</t>
        </is>
      </c>
      <c r="Q967" s="42" t="inlineStr">
        <is>
          <t>https://www.lepas-sa.co.za/book-a-test-drive</t>
        </is>
      </c>
      <c r="R967" s="115" t="n">
        <v>65.44</v>
      </c>
      <c r="S967" s="116" t="n">
        <v>865</v>
      </c>
      <c r="T967" s="116" t="n">
        <v>455</v>
      </c>
      <c r="U967" s="117">
        <f>IFERROR(S967/T967,"")</f>
        <v/>
      </c>
      <c r="V967" s="116" t="n">
        <v>18</v>
      </c>
      <c r="W967" s="116" t="n">
        <v>14</v>
      </c>
      <c r="X967" s="118">
        <f>IFERROR(W967/S967,"")</f>
        <v/>
      </c>
      <c r="Y967" s="115">
        <f>IFERROR(R967/W967,"")</f>
        <v/>
      </c>
      <c r="Z967" s="115">
        <f>IFERROR(R967/S967*1000,"")</f>
        <v/>
      </c>
      <c r="AA967" s="116" t="n">
        <v>12</v>
      </c>
      <c r="AB967" s="47">
        <f>IFERROR(AA967/W967,"")</f>
        <v/>
      </c>
      <c r="AC967" s="116" t="n">
        <v>0</v>
      </c>
      <c r="AD967" s="116" t="n">
        <v>0</v>
      </c>
      <c r="AE967" s="116" t="n">
        <v>0</v>
      </c>
      <c r="AF967" s="116" t="n">
        <v>0</v>
      </c>
      <c r="AG967" s="116" t="n">
        <v>0</v>
      </c>
      <c r="AH967" s="116" t="n">
        <v>0</v>
      </c>
      <c r="AI967" s="47">
        <f>IFERROR(AC967/S967,"")</f>
        <v/>
      </c>
      <c r="AJ967" s="47">
        <f>IFERROR(AH967/S967,"")</f>
        <v/>
      </c>
      <c r="AK967" s="116" t="n">
        <v>28</v>
      </c>
      <c r="AL967" s="116" t="n">
        <v>1</v>
      </c>
      <c r="AM967" s="118">
        <f>IFERROR(AL967/AA967,"")</f>
        <v/>
      </c>
      <c r="AN967" s="119">
        <f>IFERROR(R967/AL967,"")</f>
        <v/>
      </c>
      <c r="AO967" s="116" t="n">
        <v>0</v>
      </c>
      <c r="AP967" s="47">
        <f>IFERROR(AO967/AL967,"")</f>
        <v/>
      </c>
      <c r="AQ967" s="119">
        <f>IFERROR(R967/AO967,"")</f>
        <v/>
      </c>
      <c r="AR967" s="116" t="n">
        <v>0</v>
      </c>
      <c r="AS967" s="116" t="n">
        <v>1</v>
      </c>
      <c r="AT967" s="116">
        <f>AL967+AR967</f>
        <v/>
      </c>
      <c r="AU967" s="119">
        <f>IFERROR(AO967*Assumptions!$C$26*Assumptions!$C$27*INDEX(Assumptions!$C$18:$C$21,MATCH(H967,Assumptions!$B$18:$B$21,0)),0)</f>
        <v/>
      </c>
    </row>
    <row r="968">
      <c r="A968" s="114" t="n">
        <v>46258</v>
      </c>
      <c r="B968" s="42" t="inlineStr">
        <is>
          <t>Wk 35</t>
        </is>
      </c>
      <c r="C968" s="42" t="inlineStr">
        <is>
          <t>Mon</t>
        </is>
      </c>
      <c r="D968" s="42" t="inlineStr">
        <is>
          <t>Meta (FB/IG)</t>
        </is>
      </c>
      <c r="E968" s="42" t="inlineStr">
        <is>
          <t>Facebook + Instagram</t>
        </is>
      </c>
      <c r="F968" s="42" t="inlineStr">
        <is>
          <t>LEP_ZA_AUG26_META_RMKT_ALL_CONV</t>
        </is>
      </c>
      <c r="G968" s="42" t="inlineStr">
        <is>
          <t>Leads - Website Conversions</t>
        </is>
      </c>
      <c r="H968" s="42" t="inlineStr">
        <is>
          <t>Range</t>
        </is>
      </c>
      <c r="I968" s="42" t="inlineStr">
        <is>
          <t>Range Offer</t>
        </is>
      </c>
      <c r="J968" s="42" t="inlineStr">
        <is>
          <t>MET_RMKT_FORMABANDON_ZA</t>
        </is>
      </c>
      <c r="K968" s="42" t="inlineStr">
        <is>
          <t>Retargeting</t>
        </is>
      </c>
      <c r="L968" s="42" t="inlineStr">
        <is>
          <t>RMKT_DYN_ModelSeen_v1</t>
        </is>
      </c>
      <c r="M968" s="42" t="inlineStr">
        <is>
          <t>Dynamic Carousel</t>
        </is>
      </c>
      <c r="N968" s="42" t="inlineStr">
        <is>
          <t>Still thinking about it?</t>
        </is>
      </c>
      <c r="O968" s="42" t="inlineStr">
        <is>
          <t>Auction - Lowest Cost</t>
        </is>
      </c>
      <c r="P968" s="42" t="inlineStr">
        <is>
          <t>Offsite Conversions</t>
        </is>
      </c>
      <c r="Q968" s="42" t="inlineStr">
        <is>
          <t>https://www.lepas-sa.co.za/book-a-test-drive</t>
        </is>
      </c>
      <c r="R968" s="115" t="n">
        <v>74.84</v>
      </c>
      <c r="S968" s="116" t="n">
        <v>964</v>
      </c>
      <c r="T968" s="116" t="n">
        <v>491</v>
      </c>
      <c r="U968" s="117">
        <f>IFERROR(S968/T968,"")</f>
        <v/>
      </c>
      <c r="V968" s="116" t="n">
        <v>37</v>
      </c>
      <c r="W968" s="116" t="n">
        <v>26</v>
      </c>
      <c r="X968" s="118">
        <f>IFERROR(W968/S968,"")</f>
        <v/>
      </c>
      <c r="Y968" s="115">
        <f>IFERROR(R968/W968,"")</f>
        <v/>
      </c>
      <c r="Z968" s="115">
        <f>IFERROR(R968/S968*1000,"")</f>
        <v/>
      </c>
      <c r="AA968" s="116" t="n">
        <v>23</v>
      </c>
      <c r="AB968" s="47">
        <f>IFERROR(AA968/W968,"")</f>
        <v/>
      </c>
      <c r="AC968" s="116" t="n">
        <v>0</v>
      </c>
      <c r="AD968" s="116" t="n">
        <v>0</v>
      </c>
      <c r="AE968" s="116" t="n">
        <v>0</v>
      </c>
      <c r="AF968" s="116" t="n">
        <v>0</v>
      </c>
      <c r="AG968" s="116" t="n">
        <v>0</v>
      </c>
      <c r="AH968" s="116" t="n">
        <v>0</v>
      </c>
      <c r="AI968" s="47">
        <f>IFERROR(AC968/S968,"")</f>
        <v/>
      </c>
      <c r="AJ968" s="47">
        <f>IFERROR(AH968/S968,"")</f>
        <v/>
      </c>
      <c r="AK968" s="116" t="n">
        <v>26</v>
      </c>
      <c r="AL968" s="116" t="n">
        <v>1</v>
      </c>
      <c r="AM968" s="118">
        <f>IFERROR(AL968/AA968,"")</f>
        <v/>
      </c>
      <c r="AN968" s="119">
        <f>IFERROR(R968/AL968,"")</f>
        <v/>
      </c>
      <c r="AO968" s="116" t="n">
        <v>1</v>
      </c>
      <c r="AP968" s="47">
        <f>IFERROR(AO968/AL968,"")</f>
        <v/>
      </c>
      <c r="AQ968" s="119">
        <f>IFERROR(R968/AO968,"")</f>
        <v/>
      </c>
      <c r="AR968" s="116" t="n">
        <v>0</v>
      </c>
      <c r="AS968" s="116" t="n">
        <v>0</v>
      </c>
      <c r="AT968" s="116">
        <f>AL968+AR968</f>
        <v/>
      </c>
      <c r="AU968" s="119">
        <f>IFERROR(AO968*Assumptions!$C$26*Assumptions!$C$27*INDEX(Assumptions!$C$18:$C$21,MATCH(H968,Assumptions!$B$18:$B$21,0)),0)</f>
        <v/>
      </c>
    </row>
    <row r="969">
      <c r="A969" s="114" t="n">
        <v>46259</v>
      </c>
      <c r="B969" s="42" t="inlineStr">
        <is>
          <t>Wk 35</t>
        </is>
      </c>
      <c r="C969" s="42" t="inlineStr">
        <is>
          <t>Tue</t>
        </is>
      </c>
      <c r="D969" s="42" t="inlineStr">
        <is>
          <t>Meta (FB/IG)</t>
        </is>
      </c>
      <c r="E969" s="42" t="inlineStr">
        <is>
          <t>Facebook + Instagram</t>
        </is>
      </c>
      <c r="F969" s="42" t="inlineStr">
        <is>
          <t>LEP_ZA_AUG26_META_RMKT_ALL_CONV</t>
        </is>
      </c>
      <c r="G969" s="42" t="inlineStr">
        <is>
          <t>Leads - Website Conversions</t>
        </is>
      </c>
      <c r="H969" s="42" t="inlineStr">
        <is>
          <t>Range</t>
        </is>
      </c>
      <c r="I969" s="42" t="inlineStr">
        <is>
          <t>Range Offer</t>
        </is>
      </c>
      <c r="J969" s="42" t="inlineStr">
        <is>
          <t>MET_RMKT_FORMABANDON_ZA</t>
        </is>
      </c>
      <c r="K969" s="42" t="inlineStr">
        <is>
          <t>Retargeting</t>
        </is>
      </c>
      <c r="L969" s="42" t="inlineStr">
        <is>
          <t>RMKT_DYN_ModelSeen_v1</t>
        </is>
      </c>
      <c r="M969" s="42" t="inlineStr">
        <is>
          <t>Dynamic Carousel</t>
        </is>
      </c>
      <c r="N969" s="42" t="inlineStr">
        <is>
          <t>Still thinking about it?</t>
        </is>
      </c>
      <c r="O969" s="42" t="inlineStr">
        <is>
          <t>Auction - Lowest Cost</t>
        </is>
      </c>
      <c r="P969" s="42" t="inlineStr">
        <is>
          <t>Offsite Conversions</t>
        </is>
      </c>
      <c r="Q969" s="42" t="inlineStr">
        <is>
          <t>https://www.lepas-sa.co.za/book-a-test-drive</t>
        </is>
      </c>
      <c r="R969" s="115" t="n">
        <v>67.89</v>
      </c>
      <c r="S969" s="116" t="n">
        <v>669</v>
      </c>
      <c r="T969" s="116" t="n">
        <v>428</v>
      </c>
      <c r="U969" s="117">
        <f>IFERROR(S969/T969,"")</f>
        <v/>
      </c>
      <c r="V969" s="116" t="n">
        <v>10</v>
      </c>
      <c r="W969" s="116" t="n">
        <v>8</v>
      </c>
      <c r="X969" s="118">
        <f>IFERROR(W969/S969,"")</f>
        <v/>
      </c>
      <c r="Y969" s="115">
        <f>IFERROR(R969/W969,"")</f>
        <v/>
      </c>
      <c r="Z969" s="115">
        <f>IFERROR(R969/S969*1000,"")</f>
        <v/>
      </c>
      <c r="AA969" s="116" t="n">
        <v>7</v>
      </c>
      <c r="AB969" s="47">
        <f>IFERROR(AA969/W969,"")</f>
        <v/>
      </c>
      <c r="AC969" s="116" t="n">
        <v>0</v>
      </c>
      <c r="AD969" s="116" t="n">
        <v>0</v>
      </c>
      <c r="AE969" s="116" t="n">
        <v>0</v>
      </c>
      <c r="AF969" s="116" t="n">
        <v>0</v>
      </c>
      <c r="AG969" s="116" t="n">
        <v>0</v>
      </c>
      <c r="AH969" s="116" t="n">
        <v>0</v>
      </c>
      <c r="AI969" s="47">
        <f>IFERROR(AC969/S969,"")</f>
        <v/>
      </c>
      <c r="AJ969" s="47">
        <f>IFERROR(AH969/S969,"")</f>
        <v/>
      </c>
      <c r="AK969" s="116" t="n">
        <v>11</v>
      </c>
      <c r="AL969" s="116" t="n">
        <v>1</v>
      </c>
      <c r="AM969" s="118">
        <f>IFERROR(AL969/AA969,"")</f>
        <v/>
      </c>
      <c r="AN969" s="119">
        <f>IFERROR(R969/AL969,"")</f>
        <v/>
      </c>
      <c r="AO969" s="116" t="n">
        <v>0</v>
      </c>
      <c r="AP969" s="47">
        <f>IFERROR(AO969/AL969,"")</f>
        <v/>
      </c>
      <c r="AQ969" s="119">
        <f>IFERROR(R969/AO969,"")</f>
        <v/>
      </c>
      <c r="AR969" s="116" t="n">
        <v>1</v>
      </c>
      <c r="AS969" s="116" t="n">
        <v>0</v>
      </c>
      <c r="AT969" s="116">
        <f>AL969+AR969</f>
        <v/>
      </c>
      <c r="AU969" s="119">
        <f>IFERROR(AO969*Assumptions!$C$26*Assumptions!$C$27*INDEX(Assumptions!$C$18:$C$21,MATCH(H969,Assumptions!$B$18:$B$21,0)),0)</f>
        <v/>
      </c>
    </row>
    <row r="970">
      <c r="A970" s="114" t="n">
        <v>46260</v>
      </c>
      <c r="B970" s="42" t="inlineStr">
        <is>
          <t>Wk 35</t>
        </is>
      </c>
      <c r="C970" s="42" t="inlineStr">
        <is>
          <t>Wed</t>
        </is>
      </c>
      <c r="D970" s="42" t="inlineStr">
        <is>
          <t>Meta (FB/IG)</t>
        </is>
      </c>
      <c r="E970" s="42" t="inlineStr">
        <is>
          <t>Facebook + Instagram</t>
        </is>
      </c>
      <c r="F970" s="42" t="inlineStr">
        <is>
          <t>LEP_ZA_AUG26_META_RMKT_ALL_CONV</t>
        </is>
      </c>
      <c r="G970" s="42" t="inlineStr">
        <is>
          <t>Leads - Website Conversions</t>
        </is>
      </c>
      <c r="H970" s="42" t="inlineStr">
        <is>
          <t>Range</t>
        </is>
      </c>
      <c r="I970" s="42" t="inlineStr">
        <is>
          <t>Range Offer</t>
        </is>
      </c>
      <c r="J970" s="42" t="inlineStr">
        <is>
          <t>MET_RMKT_FORMABANDON_ZA</t>
        </is>
      </c>
      <c r="K970" s="42" t="inlineStr">
        <is>
          <t>Retargeting</t>
        </is>
      </c>
      <c r="L970" s="42" t="inlineStr">
        <is>
          <t>RMKT_DYN_ModelSeen_v1</t>
        </is>
      </c>
      <c r="M970" s="42" t="inlineStr">
        <is>
          <t>Dynamic Carousel</t>
        </is>
      </c>
      <c r="N970" s="42" t="inlineStr">
        <is>
          <t>Still thinking about it?</t>
        </is>
      </c>
      <c r="O970" s="42" t="inlineStr">
        <is>
          <t>Auction - Lowest Cost</t>
        </is>
      </c>
      <c r="P970" s="42" t="inlineStr">
        <is>
          <t>Offsite Conversions</t>
        </is>
      </c>
      <c r="Q970" s="42" t="inlineStr">
        <is>
          <t>https://www.lepas-sa.co.za/book-a-test-drive</t>
        </is>
      </c>
      <c r="R970" s="115" t="n">
        <v>86</v>
      </c>
      <c r="S970" s="116" t="n">
        <v>801</v>
      </c>
      <c r="T970" s="116" t="n">
        <v>445</v>
      </c>
      <c r="U970" s="117">
        <f>IFERROR(S970/T970,"")</f>
        <v/>
      </c>
      <c r="V970" s="116" t="n">
        <v>25</v>
      </c>
      <c r="W970" s="116" t="n">
        <v>19</v>
      </c>
      <c r="X970" s="118">
        <f>IFERROR(W970/S970,"")</f>
        <v/>
      </c>
      <c r="Y970" s="115">
        <f>IFERROR(R970/W970,"")</f>
        <v/>
      </c>
      <c r="Z970" s="115">
        <f>IFERROR(R970/S970*1000,"")</f>
        <v/>
      </c>
      <c r="AA970" s="116" t="n">
        <v>17</v>
      </c>
      <c r="AB970" s="47">
        <f>IFERROR(AA970/W970,"")</f>
        <v/>
      </c>
      <c r="AC970" s="116" t="n">
        <v>0</v>
      </c>
      <c r="AD970" s="116" t="n">
        <v>0</v>
      </c>
      <c r="AE970" s="116" t="n">
        <v>0</v>
      </c>
      <c r="AF970" s="116" t="n">
        <v>0</v>
      </c>
      <c r="AG970" s="116" t="n">
        <v>0</v>
      </c>
      <c r="AH970" s="116" t="n">
        <v>0</v>
      </c>
      <c r="AI970" s="47">
        <f>IFERROR(AC970/S970,"")</f>
        <v/>
      </c>
      <c r="AJ970" s="47">
        <f>IFERROR(AH970/S970,"")</f>
        <v/>
      </c>
      <c r="AK970" s="116" t="n">
        <v>18</v>
      </c>
      <c r="AL970" s="116" t="n">
        <v>0</v>
      </c>
      <c r="AM970" s="118">
        <f>IFERROR(AL970/AA970,"")</f>
        <v/>
      </c>
      <c r="AN970" s="119">
        <f>IFERROR(R970/AL970,"")</f>
        <v/>
      </c>
      <c r="AO970" s="116" t="n">
        <v>0</v>
      </c>
      <c r="AP970" s="47">
        <f>IFERROR(AO970/AL970,"")</f>
        <v/>
      </c>
      <c r="AQ970" s="119">
        <f>IFERROR(R970/AO970,"")</f>
        <v/>
      </c>
      <c r="AR970" s="116" t="n">
        <v>0</v>
      </c>
      <c r="AS970" s="116" t="n">
        <v>0</v>
      </c>
      <c r="AT970" s="116">
        <f>AL970+AR970</f>
        <v/>
      </c>
      <c r="AU970" s="119">
        <f>IFERROR(AO970*Assumptions!$C$26*Assumptions!$C$27*INDEX(Assumptions!$C$18:$C$21,MATCH(H970,Assumptions!$B$18:$B$21,0)),0)</f>
        <v/>
      </c>
    </row>
    <row r="971">
      <c r="A971" s="114" t="n">
        <v>46261</v>
      </c>
      <c r="B971" s="42" t="inlineStr">
        <is>
          <t>Wk 35</t>
        </is>
      </c>
      <c r="C971" s="42" t="inlineStr">
        <is>
          <t>Thu</t>
        </is>
      </c>
      <c r="D971" s="42" t="inlineStr">
        <is>
          <t>Meta (FB/IG)</t>
        </is>
      </c>
      <c r="E971" s="42" t="inlineStr">
        <is>
          <t>Facebook + Instagram</t>
        </is>
      </c>
      <c r="F971" s="42" t="inlineStr">
        <is>
          <t>LEP_ZA_AUG26_META_RMKT_ALL_CONV</t>
        </is>
      </c>
      <c r="G971" s="42" t="inlineStr">
        <is>
          <t>Leads - Website Conversions</t>
        </is>
      </c>
      <c r="H971" s="42" t="inlineStr">
        <is>
          <t>Range</t>
        </is>
      </c>
      <c r="I971" s="42" t="inlineStr">
        <is>
          <t>Range Offer</t>
        </is>
      </c>
      <c r="J971" s="42" t="inlineStr">
        <is>
          <t>MET_RMKT_FORMABANDON_ZA</t>
        </is>
      </c>
      <c r="K971" s="42" t="inlineStr">
        <is>
          <t>Retargeting</t>
        </is>
      </c>
      <c r="L971" s="42" t="inlineStr">
        <is>
          <t>RMKT_DYN_ModelSeen_v1</t>
        </is>
      </c>
      <c r="M971" s="42" t="inlineStr">
        <is>
          <t>Dynamic Carousel</t>
        </is>
      </c>
      <c r="N971" s="42" t="inlineStr">
        <is>
          <t>Still thinking about it?</t>
        </is>
      </c>
      <c r="O971" s="42" t="inlineStr">
        <is>
          <t>Auction - Lowest Cost</t>
        </is>
      </c>
      <c r="P971" s="42" t="inlineStr">
        <is>
          <t>Offsite Conversions</t>
        </is>
      </c>
      <c r="Q971" s="42" t="inlineStr">
        <is>
          <t>https://www.lepas-sa.co.za/book-a-test-drive</t>
        </is>
      </c>
      <c r="R971" s="115" t="n">
        <v>116.34</v>
      </c>
      <c r="S971" s="116" t="n">
        <v>947</v>
      </c>
      <c r="T971" s="116" t="n">
        <v>479</v>
      </c>
      <c r="U971" s="117">
        <f>IFERROR(S971/T971,"")</f>
        <v/>
      </c>
      <c r="V971" s="116" t="n">
        <v>14</v>
      </c>
      <c r="W971" s="116" t="n">
        <v>11</v>
      </c>
      <c r="X971" s="118">
        <f>IFERROR(W971/S971,"")</f>
        <v/>
      </c>
      <c r="Y971" s="115">
        <f>IFERROR(R971/W971,"")</f>
        <v/>
      </c>
      <c r="Z971" s="115">
        <f>IFERROR(R971/S971*1000,"")</f>
        <v/>
      </c>
      <c r="AA971" s="116" t="n">
        <v>10</v>
      </c>
      <c r="AB971" s="47">
        <f>IFERROR(AA971/W971,"")</f>
        <v/>
      </c>
      <c r="AC971" s="116" t="n">
        <v>0</v>
      </c>
      <c r="AD971" s="116" t="n">
        <v>0</v>
      </c>
      <c r="AE971" s="116" t="n">
        <v>0</v>
      </c>
      <c r="AF971" s="116" t="n">
        <v>0</v>
      </c>
      <c r="AG971" s="116" t="n">
        <v>0</v>
      </c>
      <c r="AH971" s="116" t="n">
        <v>0</v>
      </c>
      <c r="AI971" s="47">
        <f>IFERROR(AC971/S971,"")</f>
        <v/>
      </c>
      <c r="AJ971" s="47">
        <f>IFERROR(AH971/S971,"")</f>
        <v/>
      </c>
      <c r="AK971" s="116" t="n">
        <v>18</v>
      </c>
      <c r="AL971" s="116" t="n">
        <v>0</v>
      </c>
      <c r="AM971" s="118">
        <f>IFERROR(AL971/AA971,"")</f>
        <v/>
      </c>
      <c r="AN971" s="119">
        <f>IFERROR(R971/AL971,"")</f>
        <v/>
      </c>
      <c r="AO971" s="116" t="n">
        <v>0</v>
      </c>
      <c r="AP971" s="47">
        <f>IFERROR(AO971/AL971,"")</f>
        <v/>
      </c>
      <c r="AQ971" s="119">
        <f>IFERROR(R971/AO971,"")</f>
        <v/>
      </c>
      <c r="AR971" s="116" t="n">
        <v>0</v>
      </c>
      <c r="AS971" s="116" t="n">
        <v>0</v>
      </c>
      <c r="AT971" s="116">
        <f>AL971+AR971</f>
        <v/>
      </c>
      <c r="AU971" s="119">
        <f>IFERROR(AO971*Assumptions!$C$26*Assumptions!$C$27*INDEX(Assumptions!$C$18:$C$21,MATCH(H971,Assumptions!$B$18:$B$21,0)),0)</f>
        <v/>
      </c>
    </row>
    <row r="972">
      <c r="A972" s="114" t="n">
        <v>46262</v>
      </c>
      <c r="B972" s="42" t="inlineStr">
        <is>
          <t>Wk 35</t>
        </is>
      </c>
      <c r="C972" s="42" t="inlineStr">
        <is>
          <t>Fri</t>
        </is>
      </c>
      <c r="D972" s="42" t="inlineStr">
        <is>
          <t>Meta (FB/IG)</t>
        </is>
      </c>
      <c r="E972" s="42" t="inlineStr">
        <is>
          <t>Facebook + Instagram</t>
        </is>
      </c>
      <c r="F972" s="42" t="inlineStr">
        <is>
          <t>LEP_ZA_AUG26_META_RMKT_ALL_CONV</t>
        </is>
      </c>
      <c r="G972" s="42" t="inlineStr">
        <is>
          <t>Leads - Website Conversions</t>
        </is>
      </c>
      <c r="H972" s="42" t="inlineStr">
        <is>
          <t>Range</t>
        </is>
      </c>
      <c r="I972" s="42" t="inlineStr">
        <is>
          <t>Range Offer</t>
        </is>
      </c>
      <c r="J972" s="42" t="inlineStr">
        <is>
          <t>MET_RMKT_FORMABANDON_ZA</t>
        </is>
      </c>
      <c r="K972" s="42" t="inlineStr">
        <is>
          <t>Retargeting</t>
        </is>
      </c>
      <c r="L972" s="42" t="inlineStr">
        <is>
          <t>RMKT_DYN_ModelSeen_v1</t>
        </is>
      </c>
      <c r="M972" s="42" t="inlineStr">
        <is>
          <t>Dynamic Carousel</t>
        </is>
      </c>
      <c r="N972" s="42" t="inlineStr">
        <is>
          <t>Still thinking about it?</t>
        </is>
      </c>
      <c r="O972" s="42" t="inlineStr">
        <is>
          <t>Auction - Lowest Cost</t>
        </is>
      </c>
      <c r="P972" s="42" t="inlineStr">
        <is>
          <t>Offsite Conversions</t>
        </is>
      </c>
      <c r="Q972" s="42" t="inlineStr">
        <is>
          <t>https://www.lepas-sa.co.za/book-a-test-drive</t>
        </is>
      </c>
      <c r="R972" s="115" t="n">
        <v>97.42</v>
      </c>
      <c r="S972" s="116" t="n">
        <v>1153</v>
      </c>
      <c r="T972" s="116" t="n">
        <v>655</v>
      </c>
      <c r="U972" s="117">
        <f>IFERROR(S972/T972,"")</f>
        <v/>
      </c>
      <c r="V972" s="116" t="n">
        <v>16</v>
      </c>
      <c r="W972" s="116" t="n">
        <v>12</v>
      </c>
      <c r="X972" s="118">
        <f>IFERROR(W972/S972,"")</f>
        <v/>
      </c>
      <c r="Y972" s="115">
        <f>IFERROR(R972/W972,"")</f>
        <v/>
      </c>
      <c r="Z972" s="115">
        <f>IFERROR(R972/S972*1000,"")</f>
        <v/>
      </c>
      <c r="AA972" s="116" t="n">
        <v>10</v>
      </c>
      <c r="AB972" s="47">
        <f>IFERROR(AA972/W972,"")</f>
        <v/>
      </c>
      <c r="AC972" s="116" t="n">
        <v>0</v>
      </c>
      <c r="AD972" s="116" t="n">
        <v>0</v>
      </c>
      <c r="AE972" s="116" t="n">
        <v>0</v>
      </c>
      <c r="AF972" s="116" t="n">
        <v>0</v>
      </c>
      <c r="AG972" s="116" t="n">
        <v>0</v>
      </c>
      <c r="AH972" s="116" t="n">
        <v>0</v>
      </c>
      <c r="AI972" s="47">
        <f>IFERROR(AC972/S972,"")</f>
        <v/>
      </c>
      <c r="AJ972" s="47">
        <f>IFERROR(AH972/S972,"")</f>
        <v/>
      </c>
      <c r="AK972" s="116" t="n">
        <v>28</v>
      </c>
      <c r="AL972" s="116" t="n">
        <v>1</v>
      </c>
      <c r="AM972" s="118">
        <f>IFERROR(AL972/AA972,"")</f>
        <v/>
      </c>
      <c r="AN972" s="119">
        <f>IFERROR(R972/AL972,"")</f>
        <v/>
      </c>
      <c r="AO972" s="116" t="n">
        <v>0</v>
      </c>
      <c r="AP972" s="47">
        <f>IFERROR(AO972/AL972,"")</f>
        <v/>
      </c>
      <c r="AQ972" s="119">
        <f>IFERROR(R972/AO972,"")</f>
        <v/>
      </c>
      <c r="AR972" s="116" t="n">
        <v>0</v>
      </c>
      <c r="AS972" s="116" t="n">
        <v>1</v>
      </c>
      <c r="AT972" s="116">
        <f>AL972+AR972</f>
        <v/>
      </c>
      <c r="AU972" s="119">
        <f>IFERROR(AO972*Assumptions!$C$26*Assumptions!$C$27*INDEX(Assumptions!$C$18:$C$21,MATCH(H972,Assumptions!$B$18:$B$21,0)),0)</f>
        <v/>
      </c>
    </row>
    <row r="973">
      <c r="A973" s="114" t="n">
        <v>46263</v>
      </c>
      <c r="B973" s="42" t="inlineStr">
        <is>
          <t>Wk 35</t>
        </is>
      </c>
      <c r="C973" s="42" t="inlineStr">
        <is>
          <t>Sat</t>
        </is>
      </c>
      <c r="D973" s="42" t="inlineStr">
        <is>
          <t>Meta (FB/IG)</t>
        </is>
      </c>
      <c r="E973" s="42" t="inlineStr">
        <is>
          <t>Facebook + Instagram</t>
        </is>
      </c>
      <c r="F973" s="42" t="inlineStr">
        <is>
          <t>LEP_ZA_AUG26_META_RMKT_ALL_CONV</t>
        </is>
      </c>
      <c r="G973" s="42" t="inlineStr">
        <is>
          <t>Leads - Website Conversions</t>
        </is>
      </c>
      <c r="H973" s="42" t="inlineStr">
        <is>
          <t>Range</t>
        </is>
      </c>
      <c r="I973" s="42" t="inlineStr">
        <is>
          <t>Range Offer</t>
        </is>
      </c>
      <c r="J973" s="42" t="inlineStr">
        <is>
          <t>MET_RMKT_FORMABANDON_ZA</t>
        </is>
      </c>
      <c r="K973" s="42" t="inlineStr">
        <is>
          <t>Retargeting</t>
        </is>
      </c>
      <c r="L973" s="42" t="inlineStr">
        <is>
          <t>RMKT_DYN_ModelSeen_v1</t>
        </is>
      </c>
      <c r="M973" s="42" t="inlineStr">
        <is>
          <t>Dynamic Carousel</t>
        </is>
      </c>
      <c r="N973" s="42" t="inlineStr">
        <is>
          <t>Still thinking about it?</t>
        </is>
      </c>
      <c r="O973" s="42" t="inlineStr">
        <is>
          <t>Auction - Lowest Cost</t>
        </is>
      </c>
      <c r="P973" s="42" t="inlineStr">
        <is>
          <t>Offsite Conversions</t>
        </is>
      </c>
      <c r="Q973" s="42" t="inlineStr">
        <is>
          <t>https://www.lepas-sa.co.za/book-a-test-drive</t>
        </is>
      </c>
      <c r="R973" s="115" t="n">
        <v>108.61</v>
      </c>
      <c r="S973" s="116" t="n">
        <v>1067</v>
      </c>
      <c r="T973" s="116" t="n">
        <v>653</v>
      </c>
      <c r="U973" s="117">
        <f>IFERROR(S973/T973,"")</f>
        <v/>
      </c>
      <c r="V973" s="116" t="n">
        <v>31</v>
      </c>
      <c r="W973" s="116" t="n">
        <v>24</v>
      </c>
      <c r="X973" s="118">
        <f>IFERROR(W973/S973,"")</f>
        <v/>
      </c>
      <c r="Y973" s="115">
        <f>IFERROR(R973/W973,"")</f>
        <v/>
      </c>
      <c r="Z973" s="115">
        <f>IFERROR(R973/S973*1000,"")</f>
        <v/>
      </c>
      <c r="AA973" s="116" t="n">
        <v>19</v>
      </c>
      <c r="AB973" s="47">
        <f>IFERROR(AA973/W973,"")</f>
        <v/>
      </c>
      <c r="AC973" s="116" t="n">
        <v>0</v>
      </c>
      <c r="AD973" s="116" t="n">
        <v>0</v>
      </c>
      <c r="AE973" s="116" t="n">
        <v>0</v>
      </c>
      <c r="AF973" s="116" t="n">
        <v>0</v>
      </c>
      <c r="AG973" s="116" t="n">
        <v>0</v>
      </c>
      <c r="AH973" s="116" t="n">
        <v>0</v>
      </c>
      <c r="AI973" s="47">
        <f>IFERROR(AC973/S973,"")</f>
        <v/>
      </c>
      <c r="AJ973" s="47">
        <f>IFERROR(AH973/S973,"")</f>
        <v/>
      </c>
      <c r="AK973" s="116" t="n">
        <v>24</v>
      </c>
      <c r="AL973" s="116" t="n">
        <v>1</v>
      </c>
      <c r="AM973" s="118">
        <f>IFERROR(AL973/AA973,"")</f>
        <v/>
      </c>
      <c r="AN973" s="119">
        <f>IFERROR(R973/AL973,"")</f>
        <v/>
      </c>
      <c r="AO973" s="116" t="n">
        <v>1</v>
      </c>
      <c r="AP973" s="47">
        <f>IFERROR(AO973/AL973,"")</f>
        <v/>
      </c>
      <c r="AQ973" s="119">
        <f>IFERROR(R973/AO973,"")</f>
        <v/>
      </c>
      <c r="AR973" s="116" t="n">
        <v>1</v>
      </c>
      <c r="AS973" s="116" t="n">
        <v>0</v>
      </c>
      <c r="AT973" s="116">
        <f>AL973+AR973</f>
        <v/>
      </c>
      <c r="AU973" s="119">
        <f>IFERROR(AO973*Assumptions!$C$26*Assumptions!$C$27*INDEX(Assumptions!$C$18:$C$21,MATCH(H973,Assumptions!$B$18:$B$21,0)),0)</f>
        <v/>
      </c>
    </row>
    <row r="974">
      <c r="A974" s="114" t="n">
        <v>46264</v>
      </c>
      <c r="B974" s="42" t="inlineStr">
        <is>
          <t>Wk 35</t>
        </is>
      </c>
      <c r="C974" s="42" t="inlineStr">
        <is>
          <t>Sun</t>
        </is>
      </c>
      <c r="D974" s="42" t="inlineStr">
        <is>
          <t>Meta (FB/IG)</t>
        </is>
      </c>
      <c r="E974" s="42" t="inlineStr">
        <is>
          <t>Facebook + Instagram</t>
        </is>
      </c>
      <c r="F974" s="42" t="inlineStr">
        <is>
          <t>LEP_ZA_AUG26_META_RMKT_ALL_CONV</t>
        </is>
      </c>
      <c r="G974" s="42" t="inlineStr">
        <is>
          <t>Leads - Website Conversions</t>
        </is>
      </c>
      <c r="H974" s="42" t="inlineStr">
        <is>
          <t>Range</t>
        </is>
      </c>
      <c r="I974" s="42" t="inlineStr">
        <is>
          <t>Range Offer</t>
        </is>
      </c>
      <c r="J974" s="42" t="inlineStr">
        <is>
          <t>MET_RMKT_FORMABANDON_ZA</t>
        </is>
      </c>
      <c r="K974" s="42" t="inlineStr">
        <is>
          <t>Retargeting</t>
        </is>
      </c>
      <c r="L974" s="42" t="inlineStr">
        <is>
          <t>RMKT_DYN_ModelSeen_v1</t>
        </is>
      </c>
      <c r="M974" s="42" t="inlineStr">
        <is>
          <t>Dynamic Carousel</t>
        </is>
      </c>
      <c r="N974" s="42" t="inlineStr">
        <is>
          <t>Still thinking about it?</t>
        </is>
      </c>
      <c r="O974" s="42" t="inlineStr">
        <is>
          <t>Auction - Lowest Cost</t>
        </is>
      </c>
      <c r="P974" s="42" t="inlineStr">
        <is>
          <t>Offsite Conversions</t>
        </is>
      </c>
      <c r="Q974" s="42" t="inlineStr">
        <is>
          <t>https://www.lepas-sa.co.za/book-a-test-drive</t>
        </is>
      </c>
      <c r="R974" s="115" t="n">
        <v>94.08</v>
      </c>
      <c r="S974" s="116" t="n">
        <v>864</v>
      </c>
      <c r="T974" s="116" t="n">
        <v>559</v>
      </c>
      <c r="U974" s="117">
        <f>IFERROR(S974/T974,"")</f>
        <v/>
      </c>
      <c r="V974" s="116" t="n">
        <v>24</v>
      </c>
      <c r="W974" s="116" t="n">
        <v>18</v>
      </c>
      <c r="X974" s="118">
        <f>IFERROR(W974/S974,"")</f>
        <v/>
      </c>
      <c r="Y974" s="115">
        <f>IFERROR(R974/W974,"")</f>
        <v/>
      </c>
      <c r="Z974" s="115">
        <f>IFERROR(R974/S974*1000,"")</f>
        <v/>
      </c>
      <c r="AA974" s="116" t="n">
        <v>15</v>
      </c>
      <c r="AB974" s="47">
        <f>IFERROR(AA974/W974,"")</f>
        <v/>
      </c>
      <c r="AC974" s="116" t="n">
        <v>0</v>
      </c>
      <c r="AD974" s="116" t="n">
        <v>0</v>
      </c>
      <c r="AE974" s="116" t="n">
        <v>0</v>
      </c>
      <c r="AF974" s="116" t="n">
        <v>0</v>
      </c>
      <c r="AG974" s="116" t="n">
        <v>0</v>
      </c>
      <c r="AH974" s="116" t="n">
        <v>0</v>
      </c>
      <c r="AI974" s="47">
        <f>IFERROR(AC974/S974,"")</f>
        <v/>
      </c>
      <c r="AJ974" s="47">
        <f>IFERROR(AH974/S974,"")</f>
        <v/>
      </c>
      <c r="AK974" s="116" t="n">
        <v>24</v>
      </c>
      <c r="AL974" s="116" t="n">
        <v>1</v>
      </c>
      <c r="AM974" s="118">
        <f>IFERROR(AL974/AA974,"")</f>
        <v/>
      </c>
      <c r="AN974" s="119">
        <f>IFERROR(R974/AL974,"")</f>
        <v/>
      </c>
      <c r="AO974" s="116" t="n">
        <v>1</v>
      </c>
      <c r="AP974" s="47">
        <f>IFERROR(AO974/AL974,"")</f>
        <v/>
      </c>
      <c r="AQ974" s="119">
        <f>IFERROR(R974/AO974,"")</f>
        <v/>
      </c>
      <c r="AR974" s="116" t="n">
        <v>0</v>
      </c>
      <c r="AS974" s="116" t="n">
        <v>1</v>
      </c>
      <c r="AT974" s="116">
        <f>AL974+AR974</f>
        <v/>
      </c>
      <c r="AU974" s="119">
        <f>IFERROR(AO974*Assumptions!$C$26*Assumptions!$C$27*INDEX(Assumptions!$C$18:$C$21,MATCH(H974,Assumptions!$B$18:$B$21,0)),0)</f>
        <v/>
      </c>
    </row>
    <row r="975">
      <c r="A975" s="114" t="n">
        <v>46265</v>
      </c>
      <c r="B975" s="42" t="inlineStr">
        <is>
          <t>Wk 36</t>
        </is>
      </c>
      <c r="C975" s="42" t="inlineStr">
        <is>
          <t>Mon</t>
        </is>
      </c>
      <c r="D975" s="42" t="inlineStr">
        <is>
          <t>Meta (FB/IG)</t>
        </is>
      </c>
      <c r="E975" s="42" t="inlineStr">
        <is>
          <t>Facebook + Instagram</t>
        </is>
      </c>
      <c r="F975" s="42" t="inlineStr">
        <is>
          <t>LEP_ZA_AUG26_META_RMKT_ALL_CONV</t>
        </is>
      </c>
      <c r="G975" s="42" t="inlineStr">
        <is>
          <t>Leads - Website Conversions</t>
        </is>
      </c>
      <c r="H975" s="42" t="inlineStr">
        <is>
          <t>Range</t>
        </is>
      </c>
      <c r="I975" s="42" t="inlineStr">
        <is>
          <t>Range Offer</t>
        </is>
      </c>
      <c r="J975" s="42" t="inlineStr">
        <is>
          <t>MET_RMKT_FORMABANDON_ZA</t>
        </is>
      </c>
      <c r="K975" s="42" t="inlineStr">
        <is>
          <t>Retargeting</t>
        </is>
      </c>
      <c r="L975" s="42" t="inlineStr">
        <is>
          <t>RMKT_DYN_ModelSeen_v1</t>
        </is>
      </c>
      <c r="M975" s="42" t="inlineStr">
        <is>
          <t>Dynamic Carousel</t>
        </is>
      </c>
      <c r="N975" s="42" t="inlineStr">
        <is>
          <t>Still thinking about it?</t>
        </is>
      </c>
      <c r="O975" s="42" t="inlineStr">
        <is>
          <t>Auction - Lowest Cost</t>
        </is>
      </c>
      <c r="P975" s="42" t="inlineStr">
        <is>
          <t>Offsite Conversions</t>
        </is>
      </c>
      <c r="Q975" s="42" t="inlineStr">
        <is>
          <t>https://www.lepas-sa.co.za/book-a-test-drive</t>
        </is>
      </c>
      <c r="R975" s="115" t="n">
        <v>87.78</v>
      </c>
      <c r="S975" s="116" t="n">
        <v>834</v>
      </c>
      <c r="T975" s="116" t="n">
        <v>421</v>
      </c>
      <c r="U975" s="117">
        <f>IFERROR(S975/T975,"")</f>
        <v/>
      </c>
      <c r="V975" s="116" t="n">
        <v>27</v>
      </c>
      <c r="W975" s="116" t="n">
        <v>21</v>
      </c>
      <c r="X975" s="118">
        <f>IFERROR(W975/S975,"")</f>
        <v/>
      </c>
      <c r="Y975" s="115">
        <f>IFERROR(R975/W975,"")</f>
        <v/>
      </c>
      <c r="Z975" s="115">
        <f>IFERROR(R975/S975*1000,"")</f>
        <v/>
      </c>
      <c r="AA975" s="116" t="n">
        <v>19</v>
      </c>
      <c r="AB975" s="47">
        <f>IFERROR(AA975/W975,"")</f>
        <v/>
      </c>
      <c r="AC975" s="116" t="n">
        <v>0</v>
      </c>
      <c r="AD975" s="116" t="n">
        <v>0</v>
      </c>
      <c r="AE975" s="116" t="n">
        <v>0</v>
      </c>
      <c r="AF975" s="116" t="n">
        <v>0</v>
      </c>
      <c r="AG975" s="116" t="n">
        <v>0</v>
      </c>
      <c r="AH975" s="116" t="n">
        <v>0</v>
      </c>
      <c r="AI975" s="47">
        <f>IFERROR(AC975/S975,"")</f>
        <v/>
      </c>
      <c r="AJ975" s="47">
        <f>IFERROR(AH975/S975,"")</f>
        <v/>
      </c>
      <c r="AK975" s="116" t="n">
        <v>23</v>
      </c>
      <c r="AL975" s="116" t="n">
        <v>0</v>
      </c>
      <c r="AM975" s="118">
        <f>IFERROR(AL975/AA975,"")</f>
        <v/>
      </c>
      <c r="AN975" s="119">
        <f>IFERROR(R975/AL975,"")</f>
        <v/>
      </c>
      <c r="AO975" s="116" t="n">
        <v>0</v>
      </c>
      <c r="AP975" s="47">
        <f>IFERROR(AO975/AL975,"")</f>
        <v/>
      </c>
      <c r="AQ975" s="119">
        <f>IFERROR(R975/AO975,"")</f>
        <v/>
      </c>
      <c r="AR975" s="116" t="n">
        <v>0</v>
      </c>
      <c r="AS975" s="116" t="n">
        <v>0</v>
      </c>
      <c r="AT975" s="116">
        <f>AL975+AR975</f>
        <v/>
      </c>
      <c r="AU975" s="119">
        <f>IFERROR(AO975*Assumptions!$C$26*Assumptions!$C$27*INDEX(Assumptions!$C$18:$C$21,MATCH(H975,Assumptions!$B$18:$B$21,0)),0)</f>
        <v/>
      </c>
    </row>
    <row r="976">
      <c r="A976" s="114" t="n">
        <v>46241</v>
      </c>
      <c r="B976" s="42" t="inlineStr">
        <is>
          <t>Wk 32</t>
        </is>
      </c>
      <c r="C976" s="42" t="inlineStr">
        <is>
          <t>Fri</t>
        </is>
      </c>
      <c r="D976" s="42" t="inlineStr">
        <is>
          <t>Meta (FB/IG)</t>
        </is>
      </c>
      <c r="E976" s="42" t="inlineStr">
        <is>
          <t>Facebook + Instagram</t>
        </is>
      </c>
      <c r="F976" s="42" t="inlineStr">
        <is>
          <t>LEP_ZA_AUG26_META_RMKT_ALL_CONV</t>
        </is>
      </c>
      <c r="G976" s="42" t="inlineStr">
        <is>
          <t>Leads - Website Conversions</t>
        </is>
      </c>
      <c r="H976" s="42" t="inlineStr">
        <is>
          <t>Range</t>
        </is>
      </c>
      <c r="I976" s="42" t="inlineStr">
        <is>
          <t>Range Offer</t>
        </is>
      </c>
      <c r="J976" s="42" t="inlineStr">
        <is>
          <t>MET_RMKT_FORMABANDON_ZA</t>
        </is>
      </c>
      <c r="K976" s="42" t="inlineStr">
        <is>
          <t>Retargeting</t>
        </is>
      </c>
      <c r="L976" s="42" t="inlineStr">
        <is>
          <t>RMKT_CAR_3card_Offers_v1</t>
        </is>
      </c>
      <c r="M976" s="42" t="inlineStr">
        <is>
          <t>Carousel</t>
        </is>
      </c>
      <c r="N976" s="42" t="inlineStr">
        <is>
          <t>All three. One test drive slot.</t>
        </is>
      </c>
      <c r="O976" s="42" t="inlineStr">
        <is>
          <t>Auction - Lowest Cost</t>
        </is>
      </c>
      <c r="P976" s="42" t="inlineStr">
        <is>
          <t>Offsite Conversions</t>
        </is>
      </c>
      <c r="Q976" s="42" t="inlineStr">
        <is>
          <t>https://www.lepas-sa.co.za/book-a-test-drive</t>
        </is>
      </c>
      <c r="R976" s="115" t="n">
        <v>64.91</v>
      </c>
      <c r="S976" s="116" t="n">
        <v>862</v>
      </c>
      <c r="T976" s="116" t="n">
        <v>523</v>
      </c>
      <c r="U976" s="117">
        <f>IFERROR(S976/T976,"")</f>
        <v/>
      </c>
      <c r="V976" s="116" t="n">
        <v>18</v>
      </c>
      <c r="W976" s="116" t="n">
        <v>13</v>
      </c>
      <c r="X976" s="118">
        <f>IFERROR(W976/S976,"")</f>
        <v/>
      </c>
      <c r="Y976" s="115">
        <f>IFERROR(R976/W976,"")</f>
        <v/>
      </c>
      <c r="Z976" s="115">
        <f>IFERROR(R976/S976*1000,"")</f>
        <v/>
      </c>
      <c r="AA976" s="116" t="n">
        <v>12</v>
      </c>
      <c r="AB976" s="47">
        <f>IFERROR(AA976/W976,"")</f>
        <v/>
      </c>
      <c r="AC976" s="116" t="n">
        <v>0</v>
      </c>
      <c r="AD976" s="116" t="n">
        <v>0</v>
      </c>
      <c r="AE976" s="116" t="n">
        <v>0</v>
      </c>
      <c r="AF976" s="116" t="n">
        <v>0</v>
      </c>
      <c r="AG976" s="116" t="n">
        <v>0</v>
      </c>
      <c r="AH976" s="116" t="n">
        <v>0</v>
      </c>
      <c r="AI976" s="47">
        <f>IFERROR(AC976/S976,"")</f>
        <v/>
      </c>
      <c r="AJ976" s="47">
        <f>IFERROR(AH976/S976,"")</f>
        <v/>
      </c>
      <c r="AK976" s="116" t="n">
        <v>22</v>
      </c>
      <c r="AL976" s="116" t="n">
        <v>0</v>
      </c>
      <c r="AM976" s="118">
        <f>IFERROR(AL976/AA976,"")</f>
        <v/>
      </c>
      <c r="AN976" s="119">
        <f>IFERROR(R976/AL976,"")</f>
        <v/>
      </c>
      <c r="AO976" s="116" t="n">
        <v>0</v>
      </c>
      <c r="AP976" s="47">
        <f>IFERROR(AO976/AL976,"")</f>
        <v/>
      </c>
      <c r="AQ976" s="119">
        <f>IFERROR(R976/AO976,"")</f>
        <v/>
      </c>
      <c r="AR976" s="116" t="n">
        <v>0</v>
      </c>
      <c r="AS976" s="116" t="n">
        <v>0</v>
      </c>
      <c r="AT976" s="116">
        <f>AL976+AR976</f>
        <v/>
      </c>
      <c r="AU976" s="119">
        <f>IFERROR(AO976*Assumptions!$C$26*Assumptions!$C$27*INDEX(Assumptions!$C$18:$C$21,MATCH(H976,Assumptions!$B$18:$B$21,0)),0)</f>
        <v/>
      </c>
    </row>
    <row r="977">
      <c r="A977" s="114" t="n">
        <v>46242</v>
      </c>
      <c r="B977" s="42" t="inlineStr">
        <is>
          <t>Wk 32</t>
        </is>
      </c>
      <c r="C977" s="42" t="inlineStr">
        <is>
          <t>Sat</t>
        </is>
      </c>
      <c r="D977" s="42" t="inlineStr">
        <is>
          <t>Meta (FB/IG)</t>
        </is>
      </c>
      <c r="E977" s="42" t="inlineStr">
        <is>
          <t>Facebook + Instagram</t>
        </is>
      </c>
      <c r="F977" s="42" t="inlineStr">
        <is>
          <t>LEP_ZA_AUG26_META_RMKT_ALL_CONV</t>
        </is>
      </c>
      <c r="G977" s="42" t="inlineStr">
        <is>
          <t>Leads - Website Conversions</t>
        </is>
      </c>
      <c r="H977" s="42" t="inlineStr">
        <is>
          <t>Range</t>
        </is>
      </c>
      <c r="I977" s="42" t="inlineStr">
        <is>
          <t>Range Offer</t>
        </is>
      </c>
      <c r="J977" s="42" t="inlineStr">
        <is>
          <t>MET_RMKT_FORMABANDON_ZA</t>
        </is>
      </c>
      <c r="K977" s="42" t="inlineStr">
        <is>
          <t>Retargeting</t>
        </is>
      </c>
      <c r="L977" s="42" t="inlineStr">
        <is>
          <t>RMKT_CAR_3card_Offers_v1</t>
        </is>
      </c>
      <c r="M977" s="42" t="inlineStr">
        <is>
          <t>Carousel</t>
        </is>
      </c>
      <c r="N977" s="42" t="inlineStr">
        <is>
          <t>All three. One test drive slot.</t>
        </is>
      </c>
      <c r="O977" s="42" t="inlineStr">
        <is>
          <t>Auction - Lowest Cost</t>
        </is>
      </c>
      <c r="P977" s="42" t="inlineStr">
        <is>
          <t>Offsite Conversions</t>
        </is>
      </c>
      <c r="Q977" s="42" t="inlineStr">
        <is>
          <t>https://www.lepas-sa.co.za/book-a-test-drive</t>
        </is>
      </c>
      <c r="R977" s="115" t="n">
        <v>63.17</v>
      </c>
      <c r="S977" s="116" t="n">
        <v>664</v>
      </c>
      <c r="T977" s="116" t="n">
        <v>488</v>
      </c>
      <c r="U977" s="117">
        <f>IFERROR(S977/T977,"")</f>
        <v/>
      </c>
      <c r="V977" s="116" t="n">
        <v>17</v>
      </c>
      <c r="W977" s="116" t="n">
        <v>13</v>
      </c>
      <c r="X977" s="118">
        <f>IFERROR(W977/S977,"")</f>
        <v/>
      </c>
      <c r="Y977" s="115">
        <f>IFERROR(R977/W977,"")</f>
        <v/>
      </c>
      <c r="Z977" s="115">
        <f>IFERROR(R977/S977*1000,"")</f>
        <v/>
      </c>
      <c r="AA977" s="116" t="n">
        <v>12</v>
      </c>
      <c r="AB977" s="47">
        <f>IFERROR(AA977/W977,"")</f>
        <v/>
      </c>
      <c r="AC977" s="116" t="n">
        <v>0</v>
      </c>
      <c r="AD977" s="116" t="n">
        <v>0</v>
      </c>
      <c r="AE977" s="116" t="n">
        <v>0</v>
      </c>
      <c r="AF977" s="116" t="n">
        <v>0</v>
      </c>
      <c r="AG977" s="116" t="n">
        <v>0</v>
      </c>
      <c r="AH977" s="116" t="n">
        <v>0</v>
      </c>
      <c r="AI977" s="47">
        <f>IFERROR(AC977/S977,"")</f>
        <v/>
      </c>
      <c r="AJ977" s="47">
        <f>IFERROR(AH977/S977,"")</f>
        <v/>
      </c>
      <c r="AK977" s="116" t="n">
        <v>13</v>
      </c>
      <c r="AL977" s="116" t="n">
        <v>0</v>
      </c>
      <c r="AM977" s="118">
        <f>IFERROR(AL977/AA977,"")</f>
        <v/>
      </c>
      <c r="AN977" s="119">
        <f>IFERROR(R977/AL977,"")</f>
        <v/>
      </c>
      <c r="AO977" s="116" t="n">
        <v>0</v>
      </c>
      <c r="AP977" s="47">
        <f>IFERROR(AO977/AL977,"")</f>
        <v/>
      </c>
      <c r="AQ977" s="119">
        <f>IFERROR(R977/AO977,"")</f>
        <v/>
      </c>
      <c r="AR977" s="116" t="n">
        <v>0</v>
      </c>
      <c r="AS977" s="116" t="n">
        <v>0</v>
      </c>
      <c r="AT977" s="116">
        <f>AL977+AR977</f>
        <v/>
      </c>
      <c r="AU977" s="119">
        <f>IFERROR(AO977*Assumptions!$C$26*Assumptions!$C$27*INDEX(Assumptions!$C$18:$C$21,MATCH(H977,Assumptions!$B$18:$B$21,0)),0)</f>
        <v/>
      </c>
    </row>
    <row r="978">
      <c r="A978" s="114" t="n">
        <v>46243</v>
      </c>
      <c r="B978" s="42" t="inlineStr">
        <is>
          <t>Wk 32</t>
        </is>
      </c>
      <c r="C978" s="42" t="inlineStr">
        <is>
          <t>Sun</t>
        </is>
      </c>
      <c r="D978" s="42" t="inlineStr">
        <is>
          <t>Meta (FB/IG)</t>
        </is>
      </c>
      <c r="E978" s="42" t="inlineStr">
        <is>
          <t>Facebook + Instagram</t>
        </is>
      </c>
      <c r="F978" s="42" t="inlineStr">
        <is>
          <t>LEP_ZA_AUG26_META_RMKT_ALL_CONV</t>
        </is>
      </c>
      <c r="G978" s="42" t="inlineStr">
        <is>
          <t>Leads - Website Conversions</t>
        </is>
      </c>
      <c r="H978" s="42" t="inlineStr">
        <is>
          <t>Range</t>
        </is>
      </c>
      <c r="I978" s="42" t="inlineStr">
        <is>
          <t>Range Offer</t>
        </is>
      </c>
      <c r="J978" s="42" t="inlineStr">
        <is>
          <t>MET_RMKT_FORMABANDON_ZA</t>
        </is>
      </c>
      <c r="K978" s="42" t="inlineStr">
        <is>
          <t>Retargeting</t>
        </is>
      </c>
      <c r="L978" s="42" t="inlineStr">
        <is>
          <t>RMKT_CAR_3card_Offers_v1</t>
        </is>
      </c>
      <c r="M978" s="42" t="inlineStr">
        <is>
          <t>Carousel</t>
        </is>
      </c>
      <c r="N978" s="42" t="inlineStr">
        <is>
          <t>All three. One test drive slot.</t>
        </is>
      </c>
      <c r="O978" s="42" t="inlineStr">
        <is>
          <t>Auction - Lowest Cost</t>
        </is>
      </c>
      <c r="P978" s="42" t="inlineStr">
        <is>
          <t>Offsite Conversions</t>
        </is>
      </c>
      <c r="Q978" s="42" t="inlineStr">
        <is>
          <t>https://www.lepas-sa.co.za/book-a-test-drive</t>
        </is>
      </c>
      <c r="R978" s="115" t="n">
        <v>60.88</v>
      </c>
      <c r="S978" s="116" t="n">
        <v>667</v>
      </c>
      <c r="T978" s="116" t="n">
        <v>473</v>
      </c>
      <c r="U978" s="117">
        <f>IFERROR(S978/T978,"")</f>
        <v/>
      </c>
      <c r="V978" s="116" t="n">
        <v>36</v>
      </c>
      <c r="W978" s="116" t="n">
        <v>28</v>
      </c>
      <c r="X978" s="118">
        <f>IFERROR(W978/S978,"")</f>
        <v/>
      </c>
      <c r="Y978" s="115">
        <f>IFERROR(R978/W978,"")</f>
        <v/>
      </c>
      <c r="Z978" s="115">
        <f>IFERROR(R978/S978*1000,"")</f>
        <v/>
      </c>
      <c r="AA978" s="116" t="n">
        <v>25</v>
      </c>
      <c r="AB978" s="47">
        <f>IFERROR(AA978/W978,"")</f>
        <v/>
      </c>
      <c r="AC978" s="116" t="n">
        <v>0</v>
      </c>
      <c r="AD978" s="116" t="n">
        <v>0</v>
      </c>
      <c r="AE978" s="116" t="n">
        <v>0</v>
      </c>
      <c r="AF978" s="116" t="n">
        <v>0</v>
      </c>
      <c r="AG978" s="116" t="n">
        <v>0</v>
      </c>
      <c r="AH978" s="116" t="n">
        <v>0</v>
      </c>
      <c r="AI978" s="47">
        <f>IFERROR(AC978/S978,"")</f>
        <v/>
      </c>
      <c r="AJ978" s="47">
        <f>IFERROR(AH978/S978,"")</f>
        <v/>
      </c>
      <c r="AK978" s="116" t="n">
        <v>7</v>
      </c>
      <c r="AL978" s="116" t="n">
        <v>1</v>
      </c>
      <c r="AM978" s="118">
        <f>IFERROR(AL978/AA978,"")</f>
        <v/>
      </c>
      <c r="AN978" s="119">
        <f>IFERROR(R978/AL978,"")</f>
        <v/>
      </c>
      <c r="AO978" s="116" t="n">
        <v>0</v>
      </c>
      <c r="AP978" s="47">
        <f>IFERROR(AO978/AL978,"")</f>
        <v/>
      </c>
      <c r="AQ978" s="119">
        <f>IFERROR(R978/AO978,"")</f>
        <v/>
      </c>
      <c r="AR978" s="116" t="n">
        <v>1</v>
      </c>
      <c r="AS978" s="116" t="n">
        <v>0</v>
      </c>
      <c r="AT978" s="116">
        <f>AL978+AR978</f>
        <v/>
      </c>
      <c r="AU978" s="119">
        <f>IFERROR(AO978*Assumptions!$C$26*Assumptions!$C$27*INDEX(Assumptions!$C$18:$C$21,MATCH(H978,Assumptions!$B$18:$B$21,0)),0)</f>
        <v/>
      </c>
    </row>
    <row r="979">
      <c r="A979" s="114" t="n">
        <v>46244</v>
      </c>
      <c r="B979" s="42" t="inlineStr">
        <is>
          <t>Wk 33</t>
        </is>
      </c>
      <c r="C979" s="42" t="inlineStr">
        <is>
          <t>Mon</t>
        </is>
      </c>
      <c r="D979" s="42" t="inlineStr">
        <is>
          <t>Meta (FB/IG)</t>
        </is>
      </c>
      <c r="E979" s="42" t="inlineStr">
        <is>
          <t>Facebook + Instagram</t>
        </is>
      </c>
      <c r="F979" s="42" t="inlineStr">
        <is>
          <t>LEP_ZA_AUG26_META_RMKT_ALL_CONV</t>
        </is>
      </c>
      <c r="G979" s="42" t="inlineStr">
        <is>
          <t>Leads - Website Conversions</t>
        </is>
      </c>
      <c r="H979" s="42" t="inlineStr">
        <is>
          <t>Range</t>
        </is>
      </c>
      <c r="I979" s="42" t="inlineStr">
        <is>
          <t>Range Offer</t>
        </is>
      </c>
      <c r="J979" s="42" t="inlineStr">
        <is>
          <t>MET_RMKT_FORMABANDON_ZA</t>
        </is>
      </c>
      <c r="K979" s="42" t="inlineStr">
        <is>
          <t>Retargeting</t>
        </is>
      </c>
      <c r="L979" s="42" t="inlineStr">
        <is>
          <t>RMKT_CAR_3card_Offers_v1</t>
        </is>
      </c>
      <c r="M979" s="42" t="inlineStr">
        <is>
          <t>Carousel</t>
        </is>
      </c>
      <c r="N979" s="42" t="inlineStr">
        <is>
          <t>All three. One test drive slot.</t>
        </is>
      </c>
      <c r="O979" s="42" t="inlineStr">
        <is>
          <t>Auction - Lowest Cost</t>
        </is>
      </c>
      <c r="P979" s="42" t="inlineStr">
        <is>
          <t>Offsite Conversions</t>
        </is>
      </c>
      <c r="Q979" s="42" t="inlineStr">
        <is>
          <t>https://www.lepas-sa.co.za/book-a-test-drive</t>
        </is>
      </c>
      <c r="R979" s="115" t="n">
        <v>72.58</v>
      </c>
      <c r="S979" s="116" t="n">
        <v>715</v>
      </c>
      <c r="T979" s="116" t="n">
        <v>434</v>
      </c>
      <c r="U979" s="117">
        <f>IFERROR(S979/T979,"")</f>
        <v/>
      </c>
      <c r="V979" s="116" t="n">
        <v>34</v>
      </c>
      <c r="W979" s="116" t="n">
        <v>24</v>
      </c>
      <c r="X979" s="118">
        <f>IFERROR(W979/S979,"")</f>
        <v/>
      </c>
      <c r="Y979" s="115">
        <f>IFERROR(R979/W979,"")</f>
        <v/>
      </c>
      <c r="Z979" s="115">
        <f>IFERROR(R979/S979*1000,"")</f>
        <v/>
      </c>
      <c r="AA979" s="116" t="n">
        <v>21</v>
      </c>
      <c r="AB979" s="47">
        <f>IFERROR(AA979/W979,"")</f>
        <v/>
      </c>
      <c r="AC979" s="116" t="n">
        <v>0</v>
      </c>
      <c r="AD979" s="116" t="n">
        <v>0</v>
      </c>
      <c r="AE979" s="116" t="n">
        <v>0</v>
      </c>
      <c r="AF979" s="116" t="n">
        <v>0</v>
      </c>
      <c r="AG979" s="116" t="n">
        <v>0</v>
      </c>
      <c r="AH979" s="116" t="n">
        <v>0</v>
      </c>
      <c r="AI979" s="47">
        <f>IFERROR(AC979/S979,"")</f>
        <v/>
      </c>
      <c r="AJ979" s="47">
        <f>IFERROR(AH979/S979,"")</f>
        <v/>
      </c>
      <c r="AK979" s="116" t="n">
        <v>15</v>
      </c>
      <c r="AL979" s="116" t="n">
        <v>1</v>
      </c>
      <c r="AM979" s="118">
        <f>IFERROR(AL979/AA979,"")</f>
        <v/>
      </c>
      <c r="AN979" s="119">
        <f>IFERROR(R979/AL979,"")</f>
        <v/>
      </c>
      <c r="AO979" s="116" t="n">
        <v>1</v>
      </c>
      <c r="AP979" s="47">
        <f>IFERROR(AO979/AL979,"")</f>
        <v/>
      </c>
      <c r="AQ979" s="119">
        <f>IFERROR(R979/AO979,"")</f>
        <v/>
      </c>
      <c r="AR979" s="116" t="n">
        <v>0</v>
      </c>
      <c r="AS979" s="116" t="n">
        <v>0</v>
      </c>
      <c r="AT979" s="116">
        <f>AL979+AR979</f>
        <v/>
      </c>
      <c r="AU979" s="119">
        <f>IFERROR(AO979*Assumptions!$C$26*Assumptions!$C$27*INDEX(Assumptions!$C$18:$C$21,MATCH(H979,Assumptions!$B$18:$B$21,0)),0)</f>
        <v/>
      </c>
    </row>
    <row r="980">
      <c r="A980" s="114" t="n">
        <v>46245</v>
      </c>
      <c r="B980" s="42" t="inlineStr">
        <is>
          <t>Wk 33</t>
        </is>
      </c>
      <c r="C980" s="42" t="inlineStr">
        <is>
          <t>Tue</t>
        </is>
      </c>
      <c r="D980" s="42" t="inlineStr">
        <is>
          <t>Meta (FB/IG)</t>
        </is>
      </c>
      <c r="E980" s="42" t="inlineStr">
        <is>
          <t>Facebook + Instagram</t>
        </is>
      </c>
      <c r="F980" s="42" t="inlineStr">
        <is>
          <t>LEP_ZA_AUG26_META_RMKT_ALL_CONV</t>
        </is>
      </c>
      <c r="G980" s="42" t="inlineStr">
        <is>
          <t>Leads - Website Conversions</t>
        </is>
      </c>
      <c r="H980" s="42" t="inlineStr">
        <is>
          <t>Range</t>
        </is>
      </c>
      <c r="I980" s="42" t="inlineStr">
        <is>
          <t>Range Offer</t>
        </is>
      </c>
      <c r="J980" s="42" t="inlineStr">
        <is>
          <t>MET_RMKT_FORMABANDON_ZA</t>
        </is>
      </c>
      <c r="K980" s="42" t="inlineStr">
        <is>
          <t>Retargeting</t>
        </is>
      </c>
      <c r="L980" s="42" t="inlineStr">
        <is>
          <t>RMKT_CAR_3card_Offers_v1</t>
        </is>
      </c>
      <c r="M980" s="42" t="inlineStr">
        <is>
          <t>Carousel</t>
        </is>
      </c>
      <c r="N980" s="42" t="inlineStr">
        <is>
          <t>All three. One test drive slot.</t>
        </is>
      </c>
      <c r="O980" s="42" t="inlineStr">
        <is>
          <t>Auction - Lowest Cost</t>
        </is>
      </c>
      <c r="P980" s="42" t="inlineStr">
        <is>
          <t>Offsite Conversions</t>
        </is>
      </c>
      <c r="Q980" s="42" t="inlineStr">
        <is>
          <t>https://www.lepas-sa.co.za/book-a-test-drive</t>
        </is>
      </c>
      <c r="R980" s="115" t="n">
        <v>60.39</v>
      </c>
      <c r="S980" s="116" t="n">
        <v>637</v>
      </c>
      <c r="T980" s="116" t="n">
        <v>476</v>
      </c>
      <c r="U980" s="117">
        <f>IFERROR(S980/T980,"")</f>
        <v/>
      </c>
      <c r="V980" s="116" t="n">
        <v>17</v>
      </c>
      <c r="W980" s="116" t="n">
        <v>14</v>
      </c>
      <c r="X980" s="118">
        <f>IFERROR(W980/S980,"")</f>
        <v/>
      </c>
      <c r="Y980" s="115">
        <f>IFERROR(R980/W980,"")</f>
        <v/>
      </c>
      <c r="Z980" s="115">
        <f>IFERROR(R980/S980*1000,"")</f>
        <v/>
      </c>
      <c r="AA980" s="116" t="n">
        <v>12</v>
      </c>
      <c r="AB980" s="47">
        <f>IFERROR(AA980/W980,"")</f>
        <v/>
      </c>
      <c r="AC980" s="116" t="n">
        <v>0</v>
      </c>
      <c r="AD980" s="116" t="n">
        <v>0</v>
      </c>
      <c r="AE980" s="116" t="n">
        <v>0</v>
      </c>
      <c r="AF980" s="116" t="n">
        <v>0</v>
      </c>
      <c r="AG980" s="116" t="n">
        <v>0</v>
      </c>
      <c r="AH980" s="116" t="n">
        <v>0</v>
      </c>
      <c r="AI980" s="47">
        <f>IFERROR(AC980/S980,"")</f>
        <v/>
      </c>
      <c r="AJ980" s="47">
        <f>IFERROR(AH980/S980,"")</f>
        <v/>
      </c>
      <c r="AK980" s="116" t="n">
        <v>12</v>
      </c>
      <c r="AL980" s="116" t="n">
        <v>0</v>
      </c>
      <c r="AM980" s="118">
        <f>IFERROR(AL980/AA980,"")</f>
        <v/>
      </c>
      <c r="AN980" s="119">
        <f>IFERROR(R980/AL980,"")</f>
        <v/>
      </c>
      <c r="AO980" s="116" t="n">
        <v>0</v>
      </c>
      <c r="AP980" s="47">
        <f>IFERROR(AO980/AL980,"")</f>
        <v/>
      </c>
      <c r="AQ980" s="119">
        <f>IFERROR(R980/AO980,"")</f>
        <v/>
      </c>
      <c r="AR980" s="116" t="n">
        <v>0</v>
      </c>
      <c r="AS980" s="116" t="n">
        <v>0</v>
      </c>
      <c r="AT980" s="116">
        <f>AL980+AR980</f>
        <v/>
      </c>
      <c r="AU980" s="119">
        <f>IFERROR(AO980*Assumptions!$C$26*Assumptions!$C$27*INDEX(Assumptions!$C$18:$C$21,MATCH(H980,Assumptions!$B$18:$B$21,0)),0)</f>
        <v/>
      </c>
    </row>
    <row r="981">
      <c r="A981" s="114" t="n">
        <v>46246</v>
      </c>
      <c r="B981" s="42" t="inlineStr">
        <is>
          <t>Wk 33</t>
        </is>
      </c>
      <c r="C981" s="42" t="inlineStr">
        <is>
          <t>Wed</t>
        </is>
      </c>
      <c r="D981" s="42" t="inlineStr">
        <is>
          <t>Meta (FB/IG)</t>
        </is>
      </c>
      <c r="E981" s="42" t="inlineStr">
        <is>
          <t>Facebook + Instagram</t>
        </is>
      </c>
      <c r="F981" s="42" t="inlineStr">
        <is>
          <t>LEP_ZA_AUG26_META_RMKT_ALL_CONV</t>
        </is>
      </c>
      <c r="G981" s="42" t="inlineStr">
        <is>
          <t>Leads - Website Conversions</t>
        </is>
      </c>
      <c r="H981" s="42" t="inlineStr">
        <is>
          <t>Range</t>
        </is>
      </c>
      <c r="I981" s="42" t="inlineStr">
        <is>
          <t>Range Offer</t>
        </is>
      </c>
      <c r="J981" s="42" t="inlineStr">
        <is>
          <t>MET_RMKT_FORMABANDON_ZA</t>
        </is>
      </c>
      <c r="K981" s="42" t="inlineStr">
        <is>
          <t>Retargeting</t>
        </is>
      </c>
      <c r="L981" s="42" t="inlineStr">
        <is>
          <t>RMKT_CAR_3card_Offers_v1</t>
        </is>
      </c>
      <c r="M981" s="42" t="inlineStr">
        <is>
          <t>Carousel</t>
        </is>
      </c>
      <c r="N981" s="42" t="inlineStr">
        <is>
          <t>All three. One test drive slot.</t>
        </is>
      </c>
      <c r="O981" s="42" t="inlineStr">
        <is>
          <t>Auction - Lowest Cost</t>
        </is>
      </c>
      <c r="P981" s="42" t="inlineStr">
        <is>
          <t>Offsite Conversions</t>
        </is>
      </c>
      <c r="Q981" s="42" t="inlineStr">
        <is>
          <t>https://www.lepas-sa.co.za/book-a-test-drive</t>
        </is>
      </c>
      <c r="R981" s="115" t="n">
        <v>69.81999999999999</v>
      </c>
      <c r="S981" s="116" t="n">
        <v>1022</v>
      </c>
      <c r="T981" s="116" t="n">
        <v>597</v>
      </c>
      <c r="U981" s="117">
        <f>IFERROR(S981/T981,"")</f>
        <v/>
      </c>
      <c r="V981" s="116" t="n">
        <v>19</v>
      </c>
      <c r="W981" s="116" t="n">
        <v>16</v>
      </c>
      <c r="X981" s="118">
        <f>IFERROR(W981/S981,"")</f>
        <v/>
      </c>
      <c r="Y981" s="115">
        <f>IFERROR(R981/W981,"")</f>
        <v/>
      </c>
      <c r="Z981" s="115">
        <f>IFERROR(R981/S981*1000,"")</f>
        <v/>
      </c>
      <c r="AA981" s="116" t="n">
        <v>13</v>
      </c>
      <c r="AB981" s="47">
        <f>IFERROR(AA981/W981,"")</f>
        <v/>
      </c>
      <c r="AC981" s="116" t="n">
        <v>0</v>
      </c>
      <c r="AD981" s="116" t="n">
        <v>0</v>
      </c>
      <c r="AE981" s="116" t="n">
        <v>0</v>
      </c>
      <c r="AF981" s="116" t="n">
        <v>0</v>
      </c>
      <c r="AG981" s="116" t="n">
        <v>0</v>
      </c>
      <c r="AH981" s="116" t="n">
        <v>0</v>
      </c>
      <c r="AI981" s="47">
        <f>IFERROR(AC981/S981,"")</f>
        <v/>
      </c>
      <c r="AJ981" s="47">
        <f>IFERROR(AH981/S981,"")</f>
        <v/>
      </c>
      <c r="AK981" s="116" t="n">
        <v>11</v>
      </c>
      <c r="AL981" s="116" t="n">
        <v>1</v>
      </c>
      <c r="AM981" s="118">
        <f>IFERROR(AL981/AA981,"")</f>
        <v/>
      </c>
      <c r="AN981" s="119">
        <f>IFERROR(R981/AL981,"")</f>
        <v/>
      </c>
      <c r="AO981" s="116" t="n">
        <v>1</v>
      </c>
      <c r="AP981" s="47">
        <f>IFERROR(AO981/AL981,"")</f>
        <v/>
      </c>
      <c r="AQ981" s="119">
        <f>IFERROR(R981/AO981,"")</f>
        <v/>
      </c>
      <c r="AR981" s="116" t="n">
        <v>0</v>
      </c>
      <c r="AS981" s="116" t="n">
        <v>0</v>
      </c>
      <c r="AT981" s="116">
        <f>AL981+AR981</f>
        <v/>
      </c>
      <c r="AU981" s="119">
        <f>IFERROR(AO981*Assumptions!$C$26*Assumptions!$C$27*INDEX(Assumptions!$C$18:$C$21,MATCH(H981,Assumptions!$B$18:$B$21,0)),0)</f>
        <v/>
      </c>
    </row>
    <row r="982">
      <c r="A982" s="114" t="n">
        <v>46247</v>
      </c>
      <c r="B982" s="42" t="inlineStr">
        <is>
          <t>Wk 33</t>
        </is>
      </c>
      <c r="C982" s="42" t="inlineStr">
        <is>
          <t>Thu</t>
        </is>
      </c>
      <c r="D982" s="42" t="inlineStr">
        <is>
          <t>Meta (FB/IG)</t>
        </is>
      </c>
      <c r="E982" s="42" t="inlineStr">
        <is>
          <t>Facebook + Instagram</t>
        </is>
      </c>
      <c r="F982" s="42" t="inlineStr">
        <is>
          <t>LEP_ZA_AUG26_META_RMKT_ALL_CONV</t>
        </is>
      </c>
      <c r="G982" s="42" t="inlineStr">
        <is>
          <t>Leads - Website Conversions</t>
        </is>
      </c>
      <c r="H982" s="42" t="inlineStr">
        <is>
          <t>Range</t>
        </is>
      </c>
      <c r="I982" s="42" t="inlineStr">
        <is>
          <t>Range Offer</t>
        </is>
      </c>
      <c r="J982" s="42" t="inlineStr">
        <is>
          <t>MET_RMKT_FORMABANDON_ZA</t>
        </is>
      </c>
      <c r="K982" s="42" t="inlineStr">
        <is>
          <t>Retargeting</t>
        </is>
      </c>
      <c r="L982" s="42" t="inlineStr">
        <is>
          <t>RMKT_CAR_3card_Offers_v1</t>
        </is>
      </c>
      <c r="M982" s="42" t="inlineStr">
        <is>
          <t>Carousel</t>
        </is>
      </c>
      <c r="N982" s="42" t="inlineStr">
        <is>
          <t>All three. One test drive slot.</t>
        </is>
      </c>
      <c r="O982" s="42" t="inlineStr">
        <is>
          <t>Auction - Lowest Cost</t>
        </is>
      </c>
      <c r="P982" s="42" t="inlineStr">
        <is>
          <t>Offsite Conversions</t>
        </is>
      </c>
      <c r="Q982" s="42" t="inlineStr">
        <is>
          <t>https://www.lepas-sa.co.za/book-a-test-drive</t>
        </is>
      </c>
      <c r="R982" s="115" t="n">
        <v>73.23</v>
      </c>
      <c r="S982" s="116" t="n">
        <v>679</v>
      </c>
      <c r="T982" s="116" t="n">
        <v>411</v>
      </c>
      <c r="U982" s="117">
        <f>IFERROR(S982/T982,"")</f>
        <v/>
      </c>
      <c r="V982" s="116" t="n">
        <v>29</v>
      </c>
      <c r="W982" s="116" t="n">
        <v>21</v>
      </c>
      <c r="X982" s="118">
        <f>IFERROR(W982/S982,"")</f>
        <v/>
      </c>
      <c r="Y982" s="115">
        <f>IFERROR(R982/W982,"")</f>
        <v/>
      </c>
      <c r="Z982" s="115">
        <f>IFERROR(R982/S982*1000,"")</f>
        <v/>
      </c>
      <c r="AA982" s="116" t="n">
        <v>18</v>
      </c>
      <c r="AB982" s="47">
        <f>IFERROR(AA982/W982,"")</f>
        <v/>
      </c>
      <c r="AC982" s="116" t="n">
        <v>0</v>
      </c>
      <c r="AD982" s="116" t="n">
        <v>0</v>
      </c>
      <c r="AE982" s="116" t="n">
        <v>0</v>
      </c>
      <c r="AF982" s="116" t="n">
        <v>0</v>
      </c>
      <c r="AG982" s="116" t="n">
        <v>0</v>
      </c>
      <c r="AH982" s="116" t="n">
        <v>0</v>
      </c>
      <c r="AI982" s="47">
        <f>IFERROR(AC982/S982,"")</f>
        <v/>
      </c>
      <c r="AJ982" s="47">
        <f>IFERROR(AH982/S982,"")</f>
        <v/>
      </c>
      <c r="AK982" s="116" t="n">
        <v>9</v>
      </c>
      <c r="AL982" s="116" t="n">
        <v>1</v>
      </c>
      <c r="AM982" s="118">
        <f>IFERROR(AL982/AA982,"")</f>
        <v/>
      </c>
      <c r="AN982" s="119">
        <f>IFERROR(R982/AL982,"")</f>
        <v/>
      </c>
      <c r="AO982" s="116" t="n">
        <v>1</v>
      </c>
      <c r="AP982" s="47">
        <f>IFERROR(AO982/AL982,"")</f>
        <v/>
      </c>
      <c r="AQ982" s="119">
        <f>IFERROR(R982/AO982,"")</f>
        <v/>
      </c>
      <c r="AR982" s="116" t="n">
        <v>0</v>
      </c>
      <c r="AS982" s="116" t="n">
        <v>0</v>
      </c>
      <c r="AT982" s="116">
        <f>AL982+AR982</f>
        <v/>
      </c>
      <c r="AU982" s="119">
        <f>IFERROR(AO982*Assumptions!$C$26*Assumptions!$C$27*INDEX(Assumptions!$C$18:$C$21,MATCH(H982,Assumptions!$B$18:$B$21,0)),0)</f>
        <v/>
      </c>
    </row>
    <row r="983">
      <c r="A983" s="114" t="n">
        <v>46248</v>
      </c>
      <c r="B983" s="42" t="inlineStr">
        <is>
          <t>Wk 33</t>
        </is>
      </c>
      <c r="C983" s="42" t="inlineStr">
        <is>
          <t>Fri</t>
        </is>
      </c>
      <c r="D983" s="42" t="inlineStr">
        <is>
          <t>Meta (FB/IG)</t>
        </is>
      </c>
      <c r="E983" s="42" t="inlineStr">
        <is>
          <t>Facebook + Instagram</t>
        </is>
      </c>
      <c r="F983" s="42" t="inlineStr">
        <is>
          <t>LEP_ZA_AUG26_META_RMKT_ALL_CONV</t>
        </is>
      </c>
      <c r="G983" s="42" t="inlineStr">
        <is>
          <t>Leads - Website Conversions</t>
        </is>
      </c>
      <c r="H983" s="42" t="inlineStr">
        <is>
          <t>Range</t>
        </is>
      </c>
      <c r="I983" s="42" t="inlineStr">
        <is>
          <t>Range Offer</t>
        </is>
      </c>
      <c r="J983" s="42" t="inlineStr">
        <is>
          <t>MET_RMKT_FORMABANDON_ZA</t>
        </is>
      </c>
      <c r="K983" s="42" t="inlineStr">
        <is>
          <t>Retargeting</t>
        </is>
      </c>
      <c r="L983" s="42" t="inlineStr">
        <is>
          <t>RMKT_CAR_3card_Offers_v1</t>
        </is>
      </c>
      <c r="M983" s="42" t="inlineStr">
        <is>
          <t>Carousel</t>
        </is>
      </c>
      <c r="N983" s="42" t="inlineStr">
        <is>
          <t>All three. One test drive slot.</t>
        </is>
      </c>
      <c r="O983" s="42" t="inlineStr">
        <is>
          <t>Auction - Lowest Cost</t>
        </is>
      </c>
      <c r="P983" s="42" t="inlineStr">
        <is>
          <t>Offsite Conversions</t>
        </is>
      </c>
      <c r="Q983" s="42" t="inlineStr">
        <is>
          <t>https://www.lepas-sa.co.za/book-a-test-drive</t>
        </is>
      </c>
      <c r="R983" s="115" t="n">
        <v>82.19</v>
      </c>
      <c r="S983" s="116" t="n">
        <v>1167</v>
      </c>
      <c r="T983" s="116" t="n">
        <v>652</v>
      </c>
      <c r="U983" s="117">
        <f>IFERROR(S983/T983,"")</f>
        <v/>
      </c>
      <c r="V983" s="116" t="n">
        <v>35</v>
      </c>
      <c r="W983" s="116" t="n">
        <v>27</v>
      </c>
      <c r="X983" s="118">
        <f>IFERROR(W983/S983,"")</f>
        <v/>
      </c>
      <c r="Y983" s="115">
        <f>IFERROR(R983/W983,"")</f>
        <v/>
      </c>
      <c r="Z983" s="115">
        <f>IFERROR(R983/S983*1000,"")</f>
        <v/>
      </c>
      <c r="AA983" s="116" t="n">
        <v>23</v>
      </c>
      <c r="AB983" s="47">
        <f>IFERROR(AA983/W983,"")</f>
        <v/>
      </c>
      <c r="AC983" s="116" t="n">
        <v>0</v>
      </c>
      <c r="AD983" s="116" t="n">
        <v>0</v>
      </c>
      <c r="AE983" s="116" t="n">
        <v>0</v>
      </c>
      <c r="AF983" s="116" t="n">
        <v>0</v>
      </c>
      <c r="AG983" s="116" t="n">
        <v>0</v>
      </c>
      <c r="AH983" s="116" t="n">
        <v>0</v>
      </c>
      <c r="AI983" s="47">
        <f>IFERROR(AC983/S983,"")</f>
        <v/>
      </c>
      <c r="AJ983" s="47">
        <f>IFERROR(AH983/S983,"")</f>
        <v/>
      </c>
      <c r="AK983" s="116" t="n">
        <v>31</v>
      </c>
      <c r="AL983" s="116" t="n">
        <v>0</v>
      </c>
      <c r="AM983" s="118">
        <f>IFERROR(AL983/AA983,"")</f>
        <v/>
      </c>
      <c r="AN983" s="119">
        <f>IFERROR(R983/AL983,"")</f>
        <v/>
      </c>
      <c r="AO983" s="116" t="n">
        <v>0</v>
      </c>
      <c r="AP983" s="47">
        <f>IFERROR(AO983/AL983,"")</f>
        <v/>
      </c>
      <c r="AQ983" s="119">
        <f>IFERROR(R983/AO983,"")</f>
        <v/>
      </c>
      <c r="AR983" s="116" t="n">
        <v>0</v>
      </c>
      <c r="AS983" s="116" t="n">
        <v>0</v>
      </c>
      <c r="AT983" s="116">
        <f>AL983+AR983</f>
        <v/>
      </c>
      <c r="AU983" s="119">
        <f>IFERROR(AO983*Assumptions!$C$26*Assumptions!$C$27*INDEX(Assumptions!$C$18:$C$21,MATCH(H983,Assumptions!$B$18:$B$21,0)),0)</f>
        <v/>
      </c>
    </row>
    <row r="984">
      <c r="A984" s="114" t="n">
        <v>46249</v>
      </c>
      <c r="B984" s="42" t="inlineStr">
        <is>
          <t>Wk 33</t>
        </is>
      </c>
      <c r="C984" s="42" t="inlineStr">
        <is>
          <t>Sat</t>
        </is>
      </c>
      <c r="D984" s="42" t="inlineStr">
        <is>
          <t>Meta (FB/IG)</t>
        </is>
      </c>
      <c r="E984" s="42" t="inlineStr">
        <is>
          <t>Facebook + Instagram</t>
        </is>
      </c>
      <c r="F984" s="42" t="inlineStr">
        <is>
          <t>LEP_ZA_AUG26_META_RMKT_ALL_CONV</t>
        </is>
      </c>
      <c r="G984" s="42" t="inlineStr">
        <is>
          <t>Leads - Website Conversions</t>
        </is>
      </c>
      <c r="H984" s="42" t="inlineStr">
        <is>
          <t>Range</t>
        </is>
      </c>
      <c r="I984" s="42" t="inlineStr">
        <is>
          <t>Range Offer</t>
        </is>
      </c>
      <c r="J984" s="42" t="inlineStr">
        <is>
          <t>MET_RMKT_FORMABANDON_ZA</t>
        </is>
      </c>
      <c r="K984" s="42" t="inlineStr">
        <is>
          <t>Retargeting</t>
        </is>
      </c>
      <c r="L984" s="42" t="inlineStr">
        <is>
          <t>RMKT_CAR_3card_Offers_v1</t>
        </is>
      </c>
      <c r="M984" s="42" t="inlineStr">
        <is>
          <t>Carousel</t>
        </is>
      </c>
      <c r="N984" s="42" t="inlineStr">
        <is>
          <t>All three. One test drive slot.</t>
        </is>
      </c>
      <c r="O984" s="42" t="inlineStr">
        <is>
          <t>Auction - Lowest Cost</t>
        </is>
      </c>
      <c r="P984" s="42" t="inlineStr">
        <is>
          <t>Offsite Conversions</t>
        </is>
      </c>
      <c r="Q984" s="42" t="inlineStr">
        <is>
          <t>https://www.lepas-sa.co.za/book-a-test-drive</t>
        </is>
      </c>
      <c r="R984" s="115" t="n">
        <v>70.91</v>
      </c>
      <c r="S984" s="116" t="n">
        <v>607</v>
      </c>
      <c r="T984" s="116" t="n">
        <v>442</v>
      </c>
      <c r="U984" s="117">
        <f>IFERROR(S984/T984,"")</f>
        <v/>
      </c>
      <c r="V984" s="116" t="n">
        <v>22</v>
      </c>
      <c r="W984" s="116" t="n">
        <v>16</v>
      </c>
      <c r="X984" s="118">
        <f>IFERROR(W984/S984,"")</f>
        <v/>
      </c>
      <c r="Y984" s="115">
        <f>IFERROR(R984/W984,"")</f>
        <v/>
      </c>
      <c r="Z984" s="115">
        <f>IFERROR(R984/S984*1000,"")</f>
        <v/>
      </c>
      <c r="AA984" s="116" t="n">
        <v>13</v>
      </c>
      <c r="AB984" s="47">
        <f>IFERROR(AA984/W984,"")</f>
        <v/>
      </c>
      <c r="AC984" s="116" t="n">
        <v>0</v>
      </c>
      <c r="AD984" s="116" t="n">
        <v>0</v>
      </c>
      <c r="AE984" s="116" t="n">
        <v>0</v>
      </c>
      <c r="AF984" s="116" t="n">
        <v>0</v>
      </c>
      <c r="AG984" s="116" t="n">
        <v>0</v>
      </c>
      <c r="AH984" s="116" t="n">
        <v>0</v>
      </c>
      <c r="AI984" s="47">
        <f>IFERROR(AC984/S984,"")</f>
        <v/>
      </c>
      <c r="AJ984" s="47">
        <f>IFERROR(AH984/S984,"")</f>
        <v/>
      </c>
      <c r="AK984" s="116" t="n">
        <v>9</v>
      </c>
      <c r="AL984" s="116" t="n">
        <v>0</v>
      </c>
      <c r="AM984" s="118">
        <f>IFERROR(AL984/AA984,"")</f>
        <v/>
      </c>
      <c r="AN984" s="119">
        <f>IFERROR(R984/AL984,"")</f>
        <v/>
      </c>
      <c r="AO984" s="116" t="n">
        <v>0</v>
      </c>
      <c r="AP984" s="47">
        <f>IFERROR(AO984/AL984,"")</f>
        <v/>
      </c>
      <c r="AQ984" s="119">
        <f>IFERROR(R984/AO984,"")</f>
        <v/>
      </c>
      <c r="AR984" s="116" t="n">
        <v>0</v>
      </c>
      <c r="AS984" s="116" t="n">
        <v>0</v>
      </c>
      <c r="AT984" s="116">
        <f>AL984+AR984</f>
        <v/>
      </c>
      <c r="AU984" s="119">
        <f>IFERROR(AO984*Assumptions!$C$26*Assumptions!$C$27*INDEX(Assumptions!$C$18:$C$21,MATCH(H984,Assumptions!$B$18:$B$21,0)),0)</f>
        <v/>
      </c>
    </row>
    <row r="985">
      <c r="A985" s="114" t="n">
        <v>46250</v>
      </c>
      <c r="B985" s="42" t="inlineStr">
        <is>
          <t>Wk 33</t>
        </is>
      </c>
      <c r="C985" s="42" t="inlineStr">
        <is>
          <t>Sun</t>
        </is>
      </c>
      <c r="D985" s="42" t="inlineStr">
        <is>
          <t>Meta (FB/IG)</t>
        </is>
      </c>
      <c r="E985" s="42" t="inlineStr">
        <is>
          <t>Facebook + Instagram</t>
        </is>
      </c>
      <c r="F985" s="42" t="inlineStr">
        <is>
          <t>LEP_ZA_AUG26_META_RMKT_ALL_CONV</t>
        </is>
      </c>
      <c r="G985" s="42" t="inlineStr">
        <is>
          <t>Leads - Website Conversions</t>
        </is>
      </c>
      <c r="H985" s="42" t="inlineStr">
        <is>
          <t>Range</t>
        </is>
      </c>
      <c r="I985" s="42" t="inlineStr">
        <is>
          <t>Range Offer</t>
        </is>
      </c>
      <c r="J985" s="42" t="inlineStr">
        <is>
          <t>MET_RMKT_FORMABANDON_ZA</t>
        </is>
      </c>
      <c r="K985" s="42" t="inlineStr">
        <is>
          <t>Retargeting</t>
        </is>
      </c>
      <c r="L985" s="42" t="inlineStr">
        <is>
          <t>RMKT_CAR_3card_Offers_v1</t>
        </is>
      </c>
      <c r="M985" s="42" t="inlineStr">
        <is>
          <t>Carousel</t>
        </is>
      </c>
      <c r="N985" s="42" t="inlineStr">
        <is>
          <t>All three. One test drive slot.</t>
        </is>
      </c>
      <c r="O985" s="42" t="inlineStr">
        <is>
          <t>Auction - Lowest Cost</t>
        </is>
      </c>
      <c r="P985" s="42" t="inlineStr">
        <is>
          <t>Offsite Conversions</t>
        </is>
      </c>
      <c r="Q985" s="42" t="inlineStr">
        <is>
          <t>https://www.lepas-sa.co.za/book-a-test-drive</t>
        </is>
      </c>
      <c r="R985" s="115" t="n">
        <v>62.09</v>
      </c>
      <c r="S985" s="116" t="n">
        <v>609</v>
      </c>
      <c r="T985" s="116" t="n">
        <v>353</v>
      </c>
      <c r="U985" s="117">
        <f>IFERROR(S985/T985,"")</f>
        <v/>
      </c>
      <c r="V985" s="116" t="n">
        <v>17</v>
      </c>
      <c r="W985" s="116" t="n">
        <v>13</v>
      </c>
      <c r="X985" s="118">
        <f>IFERROR(W985/S985,"")</f>
        <v/>
      </c>
      <c r="Y985" s="115">
        <f>IFERROR(R985/W985,"")</f>
        <v/>
      </c>
      <c r="Z985" s="115">
        <f>IFERROR(R985/S985*1000,"")</f>
        <v/>
      </c>
      <c r="AA985" s="116" t="n">
        <v>11</v>
      </c>
      <c r="AB985" s="47">
        <f>IFERROR(AA985/W985,"")</f>
        <v/>
      </c>
      <c r="AC985" s="116" t="n">
        <v>0</v>
      </c>
      <c r="AD985" s="116" t="n">
        <v>0</v>
      </c>
      <c r="AE985" s="116" t="n">
        <v>0</v>
      </c>
      <c r="AF985" s="116" t="n">
        <v>0</v>
      </c>
      <c r="AG985" s="116" t="n">
        <v>0</v>
      </c>
      <c r="AH985" s="116" t="n">
        <v>0</v>
      </c>
      <c r="AI985" s="47">
        <f>IFERROR(AC985/S985,"")</f>
        <v/>
      </c>
      <c r="AJ985" s="47">
        <f>IFERROR(AH985/S985,"")</f>
        <v/>
      </c>
      <c r="AK985" s="116" t="n">
        <v>19</v>
      </c>
      <c r="AL985" s="116" t="n">
        <v>0</v>
      </c>
      <c r="AM985" s="118">
        <f>IFERROR(AL985/AA985,"")</f>
        <v/>
      </c>
      <c r="AN985" s="119">
        <f>IFERROR(R985/AL985,"")</f>
        <v/>
      </c>
      <c r="AO985" s="116" t="n">
        <v>0</v>
      </c>
      <c r="AP985" s="47">
        <f>IFERROR(AO985/AL985,"")</f>
        <v/>
      </c>
      <c r="AQ985" s="119">
        <f>IFERROR(R985/AO985,"")</f>
        <v/>
      </c>
      <c r="AR985" s="116" t="n">
        <v>0</v>
      </c>
      <c r="AS985" s="116" t="n">
        <v>0</v>
      </c>
      <c r="AT985" s="116">
        <f>AL985+AR985</f>
        <v/>
      </c>
      <c r="AU985" s="119">
        <f>IFERROR(AO985*Assumptions!$C$26*Assumptions!$C$27*INDEX(Assumptions!$C$18:$C$21,MATCH(H985,Assumptions!$B$18:$B$21,0)),0)</f>
        <v/>
      </c>
    </row>
    <row r="986">
      <c r="A986" s="114" t="n">
        <v>46251</v>
      </c>
      <c r="B986" s="42" t="inlineStr">
        <is>
          <t>Wk 34</t>
        </is>
      </c>
      <c r="C986" s="42" t="inlineStr">
        <is>
          <t>Mon</t>
        </is>
      </c>
      <c r="D986" s="42" t="inlineStr">
        <is>
          <t>Meta (FB/IG)</t>
        </is>
      </c>
      <c r="E986" s="42" t="inlineStr">
        <is>
          <t>Facebook + Instagram</t>
        </is>
      </c>
      <c r="F986" s="42" t="inlineStr">
        <is>
          <t>LEP_ZA_AUG26_META_RMKT_ALL_CONV</t>
        </is>
      </c>
      <c r="G986" s="42" t="inlineStr">
        <is>
          <t>Leads - Website Conversions</t>
        </is>
      </c>
      <c r="H986" s="42" t="inlineStr">
        <is>
          <t>Range</t>
        </is>
      </c>
      <c r="I986" s="42" t="inlineStr">
        <is>
          <t>Range Offer</t>
        </is>
      </c>
      <c r="J986" s="42" t="inlineStr">
        <is>
          <t>MET_RMKT_FORMABANDON_ZA</t>
        </is>
      </c>
      <c r="K986" s="42" t="inlineStr">
        <is>
          <t>Retargeting</t>
        </is>
      </c>
      <c r="L986" s="42" t="inlineStr">
        <is>
          <t>RMKT_CAR_3card_Offers_v1</t>
        </is>
      </c>
      <c r="M986" s="42" t="inlineStr">
        <is>
          <t>Carousel</t>
        </is>
      </c>
      <c r="N986" s="42" t="inlineStr">
        <is>
          <t>All three. One test drive slot.</t>
        </is>
      </c>
      <c r="O986" s="42" t="inlineStr">
        <is>
          <t>Auction - Lowest Cost</t>
        </is>
      </c>
      <c r="P986" s="42" t="inlineStr">
        <is>
          <t>Offsite Conversions</t>
        </is>
      </c>
      <c r="Q986" s="42" t="inlineStr">
        <is>
          <t>https://www.lepas-sa.co.za/book-a-test-drive</t>
        </is>
      </c>
      <c r="R986" s="115" t="n">
        <v>64.68000000000001</v>
      </c>
      <c r="S986" s="116" t="n">
        <v>671</v>
      </c>
      <c r="T986" s="116" t="n">
        <v>498</v>
      </c>
      <c r="U986" s="117">
        <f>IFERROR(S986/T986,"")</f>
        <v/>
      </c>
      <c r="V986" s="116" t="n">
        <v>15</v>
      </c>
      <c r="W986" s="116" t="n">
        <v>12</v>
      </c>
      <c r="X986" s="118">
        <f>IFERROR(W986/S986,"")</f>
        <v/>
      </c>
      <c r="Y986" s="115">
        <f>IFERROR(R986/W986,"")</f>
        <v/>
      </c>
      <c r="Z986" s="115">
        <f>IFERROR(R986/S986*1000,"")</f>
        <v/>
      </c>
      <c r="AA986" s="116" t="n">
        <v>10</v>
      </c>
      <c r="AB986" s="47">
        <f>IFERROR(AA986/W986,"")</f>
        <v/>
      </c>
      <c r="AC986" s="116" t="n">
        <v>0</v>
      </c>
      <c r="AD986" s="116" t="n">
        <v>0</v>
      </c>
      <c r="AE986" s="116" t="n">
        <v>0</v>
      </c>
      <c r="AF986" s="116" t="n">
        <v>0</v>
      </c>
      <c r="AG986" s="116" t="n">
        <v>0</v>
      </c>
      <c r="AH986" s="116" t="n">
        <v>0</v>
      </c>
      <c r="AI986" s="47">
        <f>IFERROR(AC986/S986,"")</f>
        <v/>
      </c>
      <c r="AJ986" s="47">
        <f>IFERROR(AH986/S986,"")</f>
        <v/>
      </c>
      <c r="AK986" s="116" t="n">
        <v>10</v>
      </c>
      <c r="AL986" s="116" t="n">
        <v>0</v>
      </c>
      <c r="AM986" s="118">
        <f>IFERROR(AL986/AA986,"")</f>
        <v/>
      </c>
      <c r="AN986" s="119">
        <f>IFERROR(R986/AL986,"")</f>
        <v/>
      </c>
      <c r="AO986" s="116" t="n">
        <v>0</v>
      </c>
      <c r="AP986" s="47">
        <f>IFERROR(AO986/AL986,"")</f>
        <v/>
      </c>
      <c r="AQ986" s="119">
        <f>IFERROR(R986/AO986,"")</f>
        <v/>
      </c>
      <c r="AR986" s="116" t="n">
        <v>0</v>
      </c>
      <c r="AS986" s="116" t="n">
        <v>0</v>
      </c>
      <c r="AT986" s="116">
        <f>AL986+AR986</f>
        <v/>
      </c>
      <c r="AU986" s="119">
        <f>IFERROR(AO986*Assumptions!$C$26*Assumptions!$C$27*INDEX(Assumptions!$C$18:$C$21,MATCH(H986,Assumptions!$B$18:$B$21,0)),0)</f>
        <v/>
      </c>
    </row>
    <row r="987">
      <c r="A987" s="114" t="n">
        <v>46252</v>
      </c>
      <c r="B987" s="42" t="inlineStr">
        <is>
          <t>Wk 34</t>
        </is>
      </c>
      <c r="C987" s="42" t="inlineStr">
        <is>
          <t>Tue</t>
        </is>
      </c>
      <c r="D987" s="42" t="inlineStr">
        <is>
          <t>Meta (FB/IG)</t>
        </is>
      </c>
      <c r="E987" s="42" t="inlineStr">
        <is>
          <t>Facebook + Instagram</t>
        </is>
      </c>
      <c r="F987" s="42" t="inlineStr">
        <is>
          <t>LEP_ZA_AUG26_META_RMKT_ALL_CONV</t>
        </is>
      </c>
      <c r="G987" s="42" t="inlineStr">
        <is>
          <t>Leads - Website Conversions</t>
        </is>
      </c>
      <c r="H987" s="42" t="inlineStr">
        <is>
          <t>Range</t>
        </is>
      </c>
      <c r="I987" s="42" t="inlineStr">
        <is>
          <t>Range Offer</t>
        </is>
      </c>
      <c r="J987" s="42" t="inlineStr">
        <is>
          <t>MET_RMKT_FORMABANDON_ZA</t>
        </is>
      </c>
      <c r="K987" s="42" t="inlineStr">
        <is>
          <t>Retargeting</t>
        </is>
      </c>
      <c r="L987" s="42" t="inlineStr">
        <is>
          <t>RMKT_CAR_3card_Offers_v1</t>
        </is>
      </c>
      <c r="M987" s="42" t="inlineStr">
        <is>
          <t>Carousel</t>
        </is>
      </c>
      <c r="N987" s="42" t="inlineStr">
        <is>
          <t>All three. One test drive slot.</t>
        </is>
      </c>
      <c r="O987" s="42" t="inlineStr">
        <is>
          <t>Auction - Lowest Cost</t>
        </is>
      </c>
      <c r="P987" s="42" t="inlineStr">
        <is>
          <t>Offsite Conversions</t>
        </is>
      </c>
      <c r="Q987" s="42" t="inlineStr">
        <is>
          <t>https://www.lepas-sa.co.za/book-a-test-drive</t>
        </is>
      </c>
      <c r="R987" s="115" t="n">
        <v>59.28</v>
      </c>
      <c r="S987" s="116" t="n">
        <v>800</v>
      </c>
      <c r="T987" s="116" t="n">
        <v>436</v>
      </c>
      <c r="U987" s="117">
        <f>IFERROR(S987/T987,"")</f>
        <v/>
      </c>
      <c r="V987" s="116" t="n">
        <v>23</v>
      </c>
      <c r="W987" s="116" t="n">
        <v>18</v>
      </c>
      <c r="X987" s="118">
        <f>IFERROR(W987/S987,"")</f>
        <v/>
      </c>
      <c r="Y987" s="115">
        <f>IFERROR(R987/W987,"")</f>
        <v/>
      </c>
      <c r="Z987" s="115">
        <f>IFERROR(R987/S987*1000,"")</f>
        <v/>
      </c>
      <c r="AA987" s="116" t="n">
        <v>15</v>
      </c>
      <c r="AB987" s="47">
        <f>IFERROR(AA987/W987,"")</f>
        <v/>
      </c>
      <c r="AC987" s="116" t="n">
        <v>0</v>
      </c>
      <c r="AD987" s="116" t="n">
        <v>0</v>
      </c>
      <c r="AE987" s="116" t="n">
        <v>0</v>
      </c>
      <c r="AF987" s="116" t="n">
        <v>0</v>
      </c>
      <c r="AG987" s="116" t="n">
        <v>0</v>
      </c>
      <c r="AH987" s="116" t="n">
        <v>0</v>
      </c>
      <c r="AI987" s="47">
        <f>IFERROR(AC987/S987,"")</f>
        <v/>
      </c>
      <c r="AJ987" s="47">
        <f>IFERROR(AH987/S987,"")</f>
        <v/>
      </c>
      <c r="AK987" s="116" t="n">
        <v>21</v>
      </c>
      <c r="AL987" s="116" t="n">
        <v>0</v>
      </c>
      <c r="AM987" s="118">
        <f>IFERROR(AL987/AA987,"")</f>
        <v/>
      </c>
      <c r="AN987" s="119">
        <f>IFERROR(R987/AL987,"")</f>
        <v/>
      </c>
      <c r="AO987" s="116" t="n">
        <v>0</v>
      </c>
      <c r="AP987" s="47">
        <f>IFERROR(AO987/AL987,"")</f>
        <v/>
      </c>
      <c r="AQ987" s="119">
        <f>IFERROR(R987/AO987,"")</f>
        <v/>
      </c>
      <c r="AR987" s="116" t="n">
        <v>0</v>
      </c>
      <c r="AS987" s="116" t="n">
        <v>0</v>
      </c>
      <c r="AT987" s="116">
        <f>AL987+AR987</f>
        <v/>
      </c>
      <c r="AU987" s="119">
        <f>IFERROR(AO987*Assumptions!$C$26*Assumptions!$C$27*INDEX(Assumptions!$C$18:$C$21,MATCH(H987,Assumptions!$B$18:$B$21,0)),0)</f>
        <v/>
      </c>
    </row>
    <row r="988">
      <c r="A988" s="114" t="n">
        <v>46253</v>
      </c>
      <c r="B988" s="42" t="inlineStr">
        <is>
          <t>Wk 34</t>
        </is>
      </c>
      <c r="C988" s="42" t="inlineStr">
        <is>
          <t>Wed</t>
        </is>
      </c>
      <c r="D988" s="42" t="inlineStr">
        <is>
          <t>Meta (FB/IG)</t>
        </is>
      </c>
      <c r="E988" s="42" t="inlineStr">
        <is>
          <t>Facebook + Instagram</t>
        </is>
      </c>
      <c r="F988" s="42" t="inlineStr">
        <is>
          <t>LEP_ZA_AUG26_META_RMKT_ALL_CONV</t>
        </is>
      </c>
      <c r="G988" s="42" t="inlineStr">
        <is>
          <t>Leads - Website Conversions</t>
        </is>
      </c>
      <c r="H988" s="42" t="inlineStr">
        <is>
          <t>Range</t>
        </is>
      </c>
      <c r="I988" s="42" t="inlineStr">
        <is>
          <t>Range Offer</t>
        </is>
      </c>
      <c r="J988" s="42" t="inlineStr">
        <is>
          <t>MET_RMKT_FORMABANDON_ZA</t>
        </is>
      </c>
      <c r="K988" s="42" t="inlineStr">
        <is>
          <t>Retargeting</t>
        </is>
      </c>
      <c r="L988" s="42" t="inlineStr">
        <is>
          <t>RMKT_CAR_3card_Offers_v1</t>
        </is>
      </c>
      <c r="M988" s="42" t="inlineStr">
        <is>
          <t>Carousel</t>
        </is>
      </c>
      <c r="N988" s="42" t="inlineStr">
        <is>
          <t>All three. One test drive slot.</t>
        </is>
      </c>
      <c r="O988" s="42" t="inlineStr">
        <is>
          <t>Auction - Lowest Cost</t>
        </is>
      </c>
      <c r="P988" s="42" t="inlineStr">
        <is>
          <t>Offsite Conversions</t>
        </is>
      </c>
      <c r="Q988" s="42" t="inlineStr">
        <is>
          <t>https://www.lepas-sa.co.za/book-a-test-drive</t>
        </is>
      </c>
      <c r="R988" s="115" t="n">
        <v>64.12</v>
      </c>
      <c r="S988" s="116" t="n">
        <v>655</v>
      </c>
      <c r="T988" s="116" t="n">
        <v>385</v>
      </c>
      <c r="U988" s="117">
        <f>IFERROR(S988/T988,"")</f>
        <v/>
      </c>
      <c r="V988" s="116" t="n">
        <v>17</v>
      </c>
      <c r="W988" s="116" t="n">
        <v>13</v>
      </c>
      <c r="X988" s="118">
        <f>IFERROR(W988/S988,"")</f>
        <v/>
      </c>
      <c r="Y988" s="115">
        <f>IFERROR(R988/W988,"")</f>
        <v/>
      </c>
      <c r="Z988" s="115">
        <f>IFERROR(R988/S988*1000,"")</f>
        <v/>
      </c>
      <c r="AA988" s="116" t="n">
        <v>11</v>
      </c>
      <c r="AB988" s="47">
        <f>IFERROR(AA988/W988,"")</f>
        <v/>
      </c>
      <c r="AC988" s="116" t="n">
        <v>0</v>
      </c>
      <c r="AD988" s="116" t="n">
        <v>0</v>
      </c>
      <c r="AE988" s="116" t="n">
        <v>0</v>
      </c>
      <c r="AF988" s="116" t="n">
        <v>0</v>
      </c>
      <c r="AG988" s="116" t="n">
        <v>0</v>
      </c>
      <c r="AH988" s="116" t="n">
        <v>0</v>
      </c>
      <c r="AI988" s="47">
        <f>IFERROR(AC988/S988,"")</f>
        <v/>
      </c>
      <c r="AJ988" s="47">
        <f>IFERROR(AH988/S988,"")</f>
        <v/>
      </c>
      <c r="AK988" s="116" t="n">
        <v>15</v>
      </c>
      <c r="AL988" s="116" t="n">
        <v>0</v>
      </c>
      <c r="AM988" s="118">
        <f>IFERROR(AL988/AA988,"")</f>
        <v/>
      </c>
      <c r="AN988" s="119">
        <f>IFERROR(R988/AL988,"")</f>
        <v/>
      </c>
      <c r="AO988" s="116" t="n">
        <v>0</v>
      </c>
      <c r="AP988" s="47">
        <f>IFERROR(AO988/AL988,"")</f>
        <v/>
      </c>
      <c r="AQ988" s="119">
        <f>IFERROR(R988/AO988,"")</f>
        <v/>
      </c>
      <c r="AR988" s="116" t="n">
        <v>0</v>
      </c>
      <c r="AS988" s="116" t="n">
        <v>0</v>
      </c>
      <c r="AT988" s="116">
        <f>AL988+AR988</f>
        <v/>
      </c>
      <c r="AU988" s="119">
        <f>IFERROR(AO988*Assumptions!$C$26*Assumptions!$C$27*INDEX(Assumptions!$C$18:$C$21,MATCH(H988,Assumptions!$B$18:$B$21,0)),0)</f>
        <v/>
      </c>
    </row>
    <row r="989">
      <c r="A989" s="114" t="n">
        <v>46254</v>
      </c>
      <c r="B989" s="42" t="inlineStr">
        <is>
          <t>Wk 34</t>
        </is>
      </c>
      <c r="C989" s="42" t="inlineStr">
        <is>
          <t>Thu</t>
        </is>
      </c>
      <c r="D989" s="42" t="inlineStr">
        <is>
          <t>Meta (FB/IG)</t>
        </is>
      </c>
      <c r="E989" s="42" t="inlineStr">
        <is>
          <t>Facebook + Instagram</t>
        </is>
      </c>
      <c r="F989" s="42" t="inlineStr">
        <is>
          <t>LEP_ZA_AUG26_META_RMKT_ALL_CONV</t>
        </is>
      </c>
      <c r="G989" s="42" t="inlineStr">
        <is>
          <t>Leads - Website Conversions</t>
        </is>
      </c>
      <c r="H989" s="42" t="inlineStr">
        <is>
          <t>Range</t>
        </is>
      </c>
      <c r="I989" s="42" t="inlineStr">
        <is>
          <t>Range Offer</t>
        </is>
      </c>
      <c r="J989" s="42" t="inlineStr">
        <is>
          <t>MET_RMKT_FORMABANDON_ZA</t>
        </is>
      </c>
      <c r="K989" s="42" t="inlineStr">
        <is>
          <t>Retargeting</t>
        </is>
      </c>
      <c r="L989" s="42" t="inlineStr">
        <is>
          <t>RMKT_CAR_3card_Offers_v1</t>
        </is>
      </c>
      <c r="M989" s="42" t="inlineStr">
        <is>
          <t>Carousel</t>
        </is>
      </c>
      <c r="N989" s="42" t="inlineStr">
        <is>
          <t>All three. One test drive slot.</t>
        </is>
      </c>
      <c r="O989" s="42" t="inlineStr">
        <is>
          <t>Auction - Lowest Cost</t>
        </is>
      </c>
      <c r="P989" s="42" t="inlineStr">
        <is>
          <t>Offsite Conversions</t>
        </is>
      </c>
      <c r="Q989" s="42" t="inlineStr">
        <is>
          <t>https://www.lepas-sa.co.za/book-a-test-drive</t>
        </is>
      </c>
      <c r="R989" s="115" t="n">
        <v>70.37</v>
      </c>
      <c r="S989" s="116" t="n">
        <v>891</v>
      </c>
      <c r="T989" s="116" t="n">
        <v>629</v>
      </c>
      <c r="U989" s="117">
        <f>IFERROR(S989/T989,"")</f>
        <v/>
      </c>
      <c r="V989" s="116" t="n">
        <v>23</v>
      </c>
      <c r="W989" s="116" t="n">
        <v>18</v>
      </c>
      <c r="X989" s="118">
        <f>IFERROR(W989/S989,"")</f>
        <v/>
      </c>
      <c r="Y989" s="115">
        <f>IFERROR(R989/W989,"")</f>
        <v/>
      </c>
      <c r="Z989" s="115">
        <f>IFERROR(R989/S989*1000,"")</f>
        <v/>
      </c>
      <c r="AA989" s="116" t="n">
        <v>15</v>
      </c>
      <c r="AB989" s="47">
        <f>IFERROR(AA989/W989,"")</f>
        <v/>
      </c>
      <c r="AC989" s="116" t="n">
        <v>0</v>
      </c>
      <c r="AD989" s="116" t="n">
        <v>0</v>
      </c>
      <c r="AE989" s="116" t="n">
        <v>0</v>
      </c>
      <c r="AF989" s="116" t="n">
        <v>0</v>
      </c>
      <c r="AG989" s="116" t="n">
        <v>0</v>
      </c>
      <c r="AH989" s="116" t="n">
        <v>0</v>
      </c>
      <c r="AI989" s="47">
        <f>IFERROR(AC989/S989,"")</f>
        <v/>
      </c>
      <c r="AJ989" s="47">
        <f>IFERROR(AH989/S989,"")</f>
        <v/>
      </c>
      <c r="AK989" s="116" t="n">
        <v>22</v>
      </c>
      <c r="AL989" s="116" t="n">
        <v>1</v>
      </c>
      <c r="AM989" s="118">
        <f>IFERROR(AL989/AA989,"")</f>
        <v/>
      </c>
      <c r="AN989" s="119">
        <f>IFERROR(R989/AL989,"")</f>
        <v/>
      </c>
      <c r="AO989" s="116" t="n">
        <v>1</v>
      </c>
      <c r="AP989" s="47">
        <f>IFERROR(AO989/AL989,"")</f>
        <v/>
      </c>
      <c r="AQ989" s="119">
        <f>IFERROR(R989/AO989,"")</f>
        <v/>
      </c>
      <c r="AR989" s="116" t="n">
        <v>0</v>
      </c>
      <c r="AS989" s="116" t="n">
        <v>0</v>
      </c>
      <c r="AT989" s="116">
        <f>AL989+AR989</f>
        <v/>
      </c>
      <c r="AU989" s="119">
        <f>IFERROR(AO989*Assumptions!$C$26*Assumptions!$C$27*INDEX(Assumptions!$C$18:$C$21,MATCH(H989,Assumptions!$B$18:$B$21,0)),0)</f>
        <v/>
      </c>
    </row>
    <row r="990">
      <c r="A990" s="114" t="n">
        <v>46255</v>
      </c>
      <c r="B990" s="42" t="inlineStr">
        <is>
          <t>Wk 34</t>
        </is>
      </c>
      <c r="C990" s="42" t="inlineStr">
        <is>
          <t>Fri</t>
        </is>
      </c>
      <c r="D990" s="42" t="inlineStr">
        <is>
          <t>Meta (FB/IG)</t>
        </is>
      </c>
      <c r="E990" s="42" t="inlineStr">
        <is>
          <t>Facebook + Instagram</t>
        </is>
      </c>
      <c r="F990" s="42" t="inlineStr">
        <is>
          <t>LEP_ZA_AUG26_META_RMKT_ALL_CONV</t>
        </is>
      </c>
      <c r="G990" s="42" t="inlineStr">
        <is>
          <t>Leads - Website Conversions</t>
        </is>
      </c>
      <c r="H990" s="42" t="inlineStr">
        <is>
          <t>Range</t>
        </is>
      </c>
      <c r="I990" s="42" t="inlineStr">
        <is>
          <t>Range Offer</t>
        </is>
      </c>
      <c r="J990" s="42" t="inlineStr">
        <is>
          <t>MET_RMKT_FORMABANDON_ZA</t>
        </is>
      </c>
      <c r="K990" s="42" t="inlineStr">
        <is>
          <t>Retargeting</t>
        </is>
      </c>
      <c r="L990" s="42" t="inlineStr">
        <is>
          <t>RMKT_CAR_3card_Offers_v1</t>
        </is>
      </c>
      <c r="M990" s="42" t="inlineStr">
        <is>
          <t>Carousel</t>
        </is>
      </c>
      <c r="N990" s="42" t="inlineStr">
        <is>
          <t>All three. One test drive slot.</t>
        </is>
      </c>
      <c r="O990" s="42" t="inlineStr">
        <is>
          <t>Auction - Lowest Cost</t>
        </is>
      </c>
      <c r="P990" s="42" t="inlineStr">
        <is>
          <t>Offsite Conversions</t>
        </is>
      </c>
      <c r="Q990" s="42" t="inlineStr">
        <is>
          <t>https://www.lepas-sa.co.za/book-a-test-drive</t>
        </is>
      </c>
      <c r="R990" s="115" t="n">
        <v>76.25</v>
      </c>
      <c r="S990" s="116" t="n">
        <v>654</v>
      </c>
      <c r="T990" s="116" t="n">
        <v>356</v>
      </c>
      <c r="U990" s="117">
        <f>IFERROR(S990/T990,"")</f>
        <v/>
      </c>
      <c r="V990" s="116" t="n">
        <v>22</v>
      </c>
      <c r="W990" s="116" t="n">
        <v>17</v>
      </c>
      <c r="X990" s="118">
        <f>IFERROR(W990/S990,"")</f>
        <v/>
      </c>
      <c r="Y990" s="115">
        <f>IFERROR(R990/W990,"")</f>
        <v/>
      </c>
      <c r="Z990" s="115">
        <f>IFERROR(R990/S990*1000,"")</f>
        <v/>
      </c>
      <c r="AA990" s="116" t="n">
        <v>14</v>
      </c>
      <c r="AB990" s="47">
        <f>IFERROR(AA990/W990,"")</f>
        <v/>
      </c>
      <c r="AC990" s="116" t="n">
        <v>0</v>
      </c>
      <c r="AD990" s="116" t="n">
        <v>0</v>
      </c>
      <c r="AE990" s="116" t="n">
        <v>0</v>
      </c>
      <c r="AF990" s="116" t="n">
        <v>0</v>
      </c>
      <c r="AG990" s="116" t="n">
        <v>0</v>
      </c>
      <c r="AH990" s="116" t="n">
        <v>0</v>
      </c>
      <c r="AI990" s="47">
        <f>IFERROR(AC990/S990,"")</f>
        <v/>
      </c>
      <c r="AJ990" s="47">
        <f>IFERROR(AH990/S990,"")</f>
        <v/>
      </c>
      <c r="AK990" s="116" t="n">
        <v>22</v>
      </c>
      <c r="AL990" s="116" t="n">
        <v>0</v>
      </c>
      <c r="AM990" s="118">
        <f>IFERROR(AL990/AA990,"")</f>
        <v/>
      </c>
      <c r="AN990" s="119">
        <f>IFERROR(R990/AL990,"")</f>
        <v/>
      </c>
      <c r="AO990" s="116" t="n">
        <v>0</v>
      </c>
      <c r="AP990" s="47">
        <f>IFERROR(AO990/AL990,"")</f>
        <v/>
      </c>
      <c r="AQ990" s="119">
        <f>IFERROR(R990/AO990,"")</f>
        <v/>
      </c>
      <c r="AR990" s="116" t="n">
        <v>0</v>
      </c>
      <c r="AS990" s="116" t="n">
        <v>0</v>
      </c>
      <c r="AT990" s="116">
        <f>AL990+AR990</f>
        <v/>
      </c>
      <c r="AU990" s="119">
        <f>IFERROR(AO990*Assumptions!$C$26*Assumptions!$C$27*INDEX(Assumptions!$C$18:$C$21,MATCH(H990,Assumptions!$B$18:$B$21,0)),0)</f>
        <v/>
      </c>
    </row>
    <row r="991">
      <c r="A991" s="114" t="n">
        <v>46256</v>
      </c>
      <c r="B991" s="42" t="inlineStr">
        <is>
          <t>Wk 34</t>
        </is>
      </c>
      <c r="C991" s="42" t="inlineStr">
        <is>
          <t>Sat</t>
        </is>
      </c>
      <c r="D991" s="42" t="inlineStr">
        <is>
          <t>Meta (FB/IG)</t>
        </is>
      </c>
      <c r="E991" s="42" t="inlineStr">
        <is>
          <t>Facebook + Instagram</t>
        </is>
      </c>
      <c r="F991" s="42" t="inlineStr">
        <is>
          <t>LEP_ZA_AUG26_META_RMKT_ALL_CONV</t>
        </is>
      </c>
      <c r="G991" s="42" t="inlineStr">
        <is>
          <t>Leads - Website Conversions</t>
        </is>
      </c>
      <c r="H991" s="42" t="inlineStr">
        <is>
          <t>Range</t>
        </is>
      </c>
      <c r="I991" s="42" t="inlineStr">
        <is>
          <t>Range Offer</t>
        </is>
      </c>
      <c r="J991" s="42" t="inlineStr">
        <is>
          <t>MET_RMKT_FORMABANDON_ZA</t>
        </is>
      </c>
      <c r="K991" s="42" t="inlineStr">
        <is>
          <t>Retargeting</t>
        </is>
      </c>
      <c r="L991" s="42" t="inlineStr">
        <is>
          <t>RMKT_CAR_3card_Offers_v1</t>
        </is>
      </c>
      <c r="M991" s="42" t="inlineStr">
        <is>
          <t>Carousel</t>
        </is>
      </c>
      <c r="N991" s="42" t="inlineStr">
        <is>
          <t>All three. One test drive slot.</t>
        </is>
      </c>
      <c r="O991" s="42" t="inlineStr">
        <is>
          <t>Auction - Lowest Cost</t>
        </is>
      </c>
      <c r="P991" s="42" t="inlineStr">
        <is>
          <t>Offsite Conversions</t>
        </is>
      </c>
      <c r="Q991" s="42" t="inlineStr">
        <is>
          <t>https://www.lepas-sa.co.za/book-a-test-drive</t>
        </is>
      </c>
      <c r="R991" s="115" t="n">
        <v>63</v>
      </c>
      <c r="S991" s="116" t="n">
        <v>706</v>
      </c>
      <c r="T991" s="116" t="n">
        <v>437</v>
      </c>
      <c r="U991" s="117">
        <f>IFERROR(S991/T991,"")</f>
        <v/>
      </c>
      <c r="V991" s="116" t="n">
        <v>12</v>
      </c>
      <c r="W991" s="116" t="n">
        <v>9</v>
      </c>
      <c r="X991" s="118">
        <f>IFERROR(W991/S991,"")</f>
        <v/>
      </c>
      <c r="Y991" s="115">
        <f>IFERROR(R991/W991,"")</f>
        <v/>
      </c>
      <c r="Z991" s="115">
        <f>IFERROR(R991/S991*1000,"")</f>
        <v/>
      </c>
      <c r="AA991" s="116" t="n">
        <v>9</v>
      </c>
      <c r="AB991" s="47">
        <f>IFERROR(AA991/W991,"")</f>
        <v/>
      </c>
      <c r="AC991" s="116" t="n">
        <v>0</v>
      </c>
      <c r="AD991" s="116" t="n">
        <v>0</v>
      </c>
      <c r="AE991" s="116" t="n">
        <v>0</v>
      </c>
      <c r="AF991" s="116" t="n">
        <v>0</v>
      </c>
      <c r="AG991" s="116" t="n">
        <v>0</v>
      </c>
      <c r="AH991" s="116" t="n">
        <v>0</v>
      </c>
      <c r="AI991" s="47">
        <f>IFERROR(AC991/S991,"")</f>
        <v/>
      </c>
      <c r="AJ991" s="47">
        <f>IFERROR(AH991/S991,"")</f>
        <v/>
      </c>
      <c r="AK991" s="116" t="n">
        <v>7</v>
      </c>
      <c r="AL991" s="116" t="n">
        <v>0</v>
      </c>
      <c r="AM991" s="118">
        <f>IFERROR(AL991/AA991,"")</f>
        <v/>
      </c>
      <c r="AN991" s="119">
        <f>IFERROR(R991/AL991,"")</f>
        <v/>
      </c>
      <c r="AO991" s="116" t="n">
        <v>0</v>
      </c>
      <c r="AP991" s="47">
        <f>IFERROR(AO991/AL991,"")</f>
        <v/>
      </c>
      <c r="AQ991" s="119">
        <f>IFERROR(R991/AO991,"")</f>
        <v/>
      </c>
      <c r="AR991" s="116" t="n">
        <v>0</v>
      </c>
      <c r="AS991" s="116" t="n">
        <v>0</v>
      </c>
      <c r="AT991" s="116">
        <f>AL991+AR991</f>
        <v/>
      </c>
      <c r="AU991" s="119">
        <f>IFERROR(AO991*Assumptions!$C$26*Assumptions!$C$27*INDEX(Assumptions!$C$18:$C$21,MATCH(H991,Assumptions!$B$18:$B$21,0)),0)</f>
        <v/>
      </c>
    </row>
    <row r="992">
      <c r="A992" s="114" t="n">
        <v>46257</v>
      </c>
      <c r="B992" s="42" t="inlineStr">
        <is>
          <t>Wk 34</t>
        </is>
      </c>
      <c r="C992" s="42" t="inlineStr">
        <is>
          <t>Sun</t>
        </is>
      </c>
      <c r="D992" s="42" t="inlineStr">
        <is>
          <t>Meta (FB/IG)</t>
        </is>
      </c>
      <c r="E992" s="42" t="inlineStr">
        <is>
          <t>Facebook + Instagram</t>
        </is>
      </c>
      <c r="F992" s="42" t="inlineStr">
        <is>
          <t>LEP_ZA_AUG26_META_RMKT_ALL_CONV</t>
        </is>
      </c>
      <c r="G992" s="42" t="inlineStr">
        <is>
          <t>Leads - Website Conversions</t>
        </is>
      </c>
      <c r="H992" s="42" t="inlineStr">
        <is>
          <t>Range</t>
        </is>
      </c>
      <c r="I992" s="42" t="inlineStr">
        <is>
          <t>Range Offer</t>
        </is>
      </c>
      <c r="J992" s="42" t="inlineStr">
        <is>
          <t>MET_RMKT_FORMABANDON_ZA</t>
        </is>
      </c>
      <c r="K992" s="42" t="inlineStr">
        <is>
          <t>Retargeting</t>
        </is>
      </c>
      <c r="L992" s="42" t="inlineStr">
        <is>
          <t>RMKT_CAR_3card_Offers_v1</t>
        </is>
      </c>
      <c r="M992" s="42" t="inlineStr">
        <is>
          <t>Carousel</t>
        </is>
      </c>
      <c r="N992" s="42" t="inlineStr">
        <is>
          <t>All three. One test drive slot.</t>
        </is>
      </c>
      <c r="O992" s="42" t="inlineStr">
        <is>
          <t>Auction - Lowest Cost</t>
        </is>
      </c>
      <c r="P992" s="42" t="inlineStr">
        <is>
          <t>Offsite Conversions</t>
        </is>
      </c>
      <c r="Q992" s="42" t="inlineStr">
        <is>
          <t>https://www.lepas-sa.co.za/book-a-test-drive</t>
        </is>
      </c>
      <c r="R992" s="115" t="n">
        <v>60.67</v>
      </c>
      <c r="S992" s="116" t="n">
        <v>780</v>
      </c>
      <c r="T992" s="116" t="n">
        <v>390</v>
      </c>
      <c r="U992" s="117">
        <f>IFERROR(S992/T992,"")</f>
        <v/>
      </c>
      <c r="V992" s="116" t="n">
        <v>14</v>
      </c>
      <c r="W992" s="116" t="n">
        <v>11</v>
      </c>
      <c r="X992" s="118">
        <f>IFERROR(W992/S992,"")</f>
        <v/>
      </c>
      <c r="Y992" s="115">
        <f>IFERROR(R992/W992,"")</f>
        <v/>
      </c>
      <c r="Z992" s="115">
        <f>IFERROR(R992/S992*1000,"")</f>
        <v/>
      </c>
      <c r="AA992" s="116" t="n">
        <v>9</v>
      </c>
      <c r="AB992" s="47">
        <f>IFERROR(AA992/W992,"")</f>
        <v/>
      </c>
      <c r="AC992" s="116" t="n">
        <v>0</v>
      </c>
      <c r="AD992" s="116" t="n">
        <v>0</v>
      </c>
      <c r="AE992" s="116" t="n">
        <v>0</v>
      </c>
      <c r="AF992" s="116" t="n">
        <v>0</v>
      </c>
      <c r="AG992" s="116" t="n">
        <v>0</v>
      </c>
      <c r="AH992" s="116" t="n">
        <v>0</v>
      </c>
      <c r="AI992" s="47">
        <f>IFERROR(AC992/S992,"")</f>
        <v/>
      </c>
      <c r="AJ992" s="47">
        <f>IFERROR(AH992/S992,"")</f>
        <v/>
      </c>
      <c r="AK992" s="116" t="n">
        <v>18</v>
      </c>
      <c r="AL992" s="116" t="n">
        <v>0</v>
      </c>
      <c r="AM992" s="118">
        <f>IFERROR(AL992/AA992,"")</f>
        <v/>
      </c>
      <c r="AN992" s="119">
        <f>IFERROR(R992/AL992,"")</f>
        <v/>
      </c>
      <c r="AO992" s="116" t="n">
        <v>0</v>
      </c>
      <c r="AP992" s="47">
        <f>IFERROR(AO992/AL992,"")</f>
        <v/>
      </c>
      <c r="AQ992" s="119">
        <f>IFERROR(R992/AO992,"")</f>
        <v/>
      </c>
      <c r="AR992" s="116" t="n">
        <v>0</v>
      </c>
      <c r="AS992" s="116" t="n">
        <v>0</v>
      </c>
      <c r="AT992" s="116">
        <f>AL992+AR992</f>
        <v/>
      </c>
      <c r="AU992" s="119">
        <f>IFERROR(AO992*Assumptions!$C$26*Assumptions!$C$27*INDEX(Assumptions!$C$18:$C$21,MATCH(H992,Assumptions!$B$18:$B$21,0)),0)</f>
        <v/>
      </c>
    </row>
    <row r="993">
      <c r="A993" s="114" t="n">
        <v>46258</v>
      </c>
      <c r="B993" s="42" t="inlineStr">
        <is>
          <t>Wk 35</t>
        </is>
      </c>
      <c r="C993" s="42" t="inlineStr">
        <is>
          <t>Mon</t>
        </is>
      </c>
      <c r="D993" s="42" t="inlineStr">
        <is>
          <t>Meta (FB/IG)</t>
        </is>
      </c>
      <c r="E993" s="42" t="inlineStr">
        <is>
          <t>Facebook + Instagram</t>
        </is>
      </c>
      <c r="F993" s="42" t="inlineStr">
        <is>
          <t>LEP_ZA_AUG26_META_RMKT_ALL_CONV</t>
        </is>
      </c>
      <c r="G993" s="42" t="inlineStr">
        <is>
          <t>Leads - Website Conversions</t>
        </is>
      </c>
      <c r="H993" s="42" t="inlineStr">
        <is>
          <t>Range</t>
        </is>
      </c>
      <c r="I993" s="42" t="inlineStr">
        <is>
          <t>Range Offer</t>
        </is>
      </c>
      <c r="J993" s="42" t="inlineStr">
        <is>
          <t>MET_RMKT_FORMABANDON_ZA</t>
        </is>
      </c>
      <c r="K993" s="42" t="inlineStr">
        <is>
          <t>Retargeting</t>
        </is>
      </c>
      <c r="L993" s="42" t="inlineStr">
        <is>
          <t>RMKT_CAR_3card_Offers_v1</t>
        </is>
      </c>
      <c r="M993" s="42" t="inlineStr">
        <is>
          <t>Carousel</t>
        </is>
      </c>
      <c r="N993" s="42" t="inlineStr">
        <is>
          <t>All three. One test drive slot.</t>
        </is>
      </c>
      <c r="O993" s="42" t="inlineStr">
        <is>
          <t>Auction - Lowest Cost</t>
        </is>
      </c>
      <c r="P993" s="42" t="inlineStr">
        <is>
          <t>Offsite Conversions</t>
        </is>
      </c>
      <c r="Q993" s="42" t="inlineStr">
        <is>
          <t>https://www.lepas-sa.co.za/book-a-test-drive</t>
        </is>
      </c>
      <c r="R993" s="115" t="n">
        <v>64.48999999999999</v>
      </c>
      <c r="S993" s="116" t="n">
        <v>530</v>
      </c>
      <c r="T993" s="116" t="n">
        <v>279</v>
      </c>
      <c r="U993" s="117">
        <f>IFERROR(S993/T993,"")</f>
        <v/>
      </c>
      <c r="V993" s="116" t="n">
        <v>14</v>
      </c>
      <c r="W993" s="116" t="n">
        <v>10</v>
      </c>
      <c r="X993" s="118">
        <f>IFERROR(W993/S993,"")</f>
        <v/>
      </c>
      <c r="Y993" s="115">
        <f>IFERROR(R993/W993,"")</f>
        <v/>
      </c>
      <c r="Z993" s="115">
        <f>IFERROR(R993/S993*1000,"")</f>
        <v/>
      </c>
      <c r="AA993" s="116" t="n">
        <v>9</v>
      </c>
      <c r="AB993" s="47">
        <f>IFERROR(AA993/W993,"")</f>
        <v/>
      </c>
      <c r="AC993" s="116" t="n">
        <v>0</v>
      </c>
      <c r="AD993" s="116" t="n">
        <v>0</v>
      </c>
      <c r="AE993" s="116" t="n">
        <v>0</v>
      </c>
      <c r="AF993" s="116" t="n">
        <v>0</v>
      </c>
      <c r="AG993" s="116" t="n">
        <v>0</v>
      </c>
      <c r="AH993" s="116" t="n">
        <v>0</v>
      </c>
      <c r="AI993" s="47">
        <f>IFERROR(AC993/S993,"")</f>
        <v/>
      </c>
      <c r="AJ993" s="47">
        <f>IFERROR(AH993/S993,"")</f>
        <v/>
      </c>
      <c r="AK993" s="116" t="n">
        <v>12</v>
      </c>
      <c r="AL993" s="116" t="n">
        <v>0</v>
      </c>
      <c r="AM993" s="118">
        <f>IFERROR(AL993/AA993,"")</f>
        <v/>
      </c>
      <c r="AN993" s="119">
        <f>IFERROR(R993/AL993,"")</f>
        <v/>
      </c>
      <c r="AO993" s="116" t="n">
        <v>0</v>
      </c>
      <c r="AP993" s="47">
        <f>IFERROR(AO993/AL993,"")</f>
        <v/>
      </c>
      <c r="AQ993" s="119">
        <f>IFERROR(R993/AO993,"")</f>
        <v/>
      </c>
      <c r="AR993" s="116" t="n">
        <v>0</v>
      </c>
      <c r="AS993" s="116" t="n">
        <v>0</v>
      </c>
      <c r="AT993" s="116">
        <f>AL993+AR993</f>
        <v/>
      </c>
      <c r="AU993" s="119">
        <f>IFERROR(AO993*Assumptions!$C$26*Assumptions!$C$27*INDEX(Assumptions!$C$18:$C$21,MATCH(H993,Assumptions!$B$18:$B$21,0)),0)</f>
        <v/>
      </c>
    </row>
    <row r="994">
      <c r="A994" s="114" t="n">
        <v>46259</v>
      </c>
      <c r="B994" s="42" t="inlineStr">
        <is>
          <t>Wk 35</t>
        </is>
      </c>
      <c r="C994" s="42" t="inlineStr">
        <is>
          <t>Tue</t>
        </is>
      </c>
      <c r="D994" s="42" t="inlineStr">
        <is>
          <t>Meta (FB/IG)</t>
        </is>
      </c>
      <c r="E994" s="42" t="inlineStr">
        <is>
          <t>Facebook + Instagram</t>
        </is>
      </c>
      <c r="F994" s="42" t="inlineStr">
        <is>
          <t>LEP_ZA_AUG26_META_RMKT_ALL_CONV</t>
        </is>
      </c>
      <c r="G994" s="42" t="inlineStr">
        <is>
          <t>Leads - Website Conversions</t>
        </is>
      </c>
      <c r="H994" s="42" t="inlineStr">
        <is>
          <t>Range</t>
        </is>
      </c>
      <c r="I994" s="42" t="inlineStr">
        <is>
          <t>Range Offer</t>
        </is>
      </c>
      <c r="J994" s="42" t="inlineStr">
        <is>
          <t>MET_RMKT_FORMABANDON_ZA</t>
        </is>
      </c>
      <c r="K994" s="42" t="inlineStr">
        <is>
          <t>Retargeting</t>
        </is>
      </c>
      <c r="L994" s="42" t="inlineStr">
        <is>
          <t>RMKT_CAR_3card_Offers_v1</t>
        </is>
      </c>
      <c r="M994" s="42" t="inlineStr">
        <is>
          <t>Carousel</t>
        </is>
      </c>
      <c r="N994" s="42" t="inlineStr">
        <is>
          <t>All three. One test drive slot.</t>
        </is>
      </c>
      <c r="O994" s="42" t="inlineStr">
        <is>
          <t>Auction - Lowest Cost</t>
        </is>
      </c>
      <c r="P994" s="42" t="inlineStr">
        <is>
          <t>Offsite Conversions</t>
        </is>
      </c>
      <c r="Q994" s="42" t="inlineStr">
        <is>
          <t>https://www.lepas-sa.co.za/book-a-test-drive</t>
        </is>
      </c>
      <c r="R994" s="115" t="n">
        <v>60.2</v>
      </c>
      <c r="S994" s="116" t="n">
        <v>565</v>
      </c>
      <c r="T994" s="116" t="n">
        <v>287</v>
      </c>
      <c r="U994" s="117">
        <f>IFERROR(S994/T994,"")</f>
        <v/>
      </c>
      <c r="V994" s="116" t="n">
        <v>15</v>
      </c>
      <c r="W994" s="116" t="n">
        <v>12</v>
      </c>
      <c r="X994" s="118">
        <f>IFERROR(W994/S994,"")</f>
        <v/>
      </c>
      <c r="Y994" s="115">
        <f>IFERROR(R994/W994,"")</f>
        <v/>
      </c>
      <c r="Z994" s="115">
        <f>IFERROR(R994/S994*1000,"")</f>
        <v/>
      </c>
      <c r="AA994" s="116" t="n">
        <v>10</v>
      </c>
      <c r="AB994" s="47">
        <f>IFERROR(AA994/W994,"")</f>
        <v/>
      </c>
      <c r="AC994" s="116" t="n">
        <v>0</v>
      </c>
      <c r="AD994" s="116" t="n">
        <v>0</v>
      </c>
      <c r="AE994" s="116" t="n">
        <v>0</v>
      </c>
      <c r="AF994" s="116" t="n">
        <v>0</v>
      </c>
      <c r="AG994" s="116" t="n">
        <v>0</v>
      </c>
      <c r="AH994" s="116" t="n">
        <v>0</v>
      </c>
      <c r="AI994" s="47">
        <f>IFERROR(AC994/S994,"")</f>
        <v/>
      </c>
      <c r="AJ994" s="47">
        <f>IFERROR(AH994/S994,"")</f>
        <v/>
      </c>
      <c r="AK994" s="116" t="n">
        <v>7</v>
      </c>
      <c r="AL994" s="116" t="n">
        <v>0</v>
      </c>
      <c r="AM994" s="118">
        <f>IFERROR(AL994/AA994,"")</f>
        <v/>
      </c>
      <c r="AN994" s="119">
        <f>IFERROR(R994/AL994,"")</f>
        <v/>
      </c>
      <c r="AO994" s="116" t="n">
        <v>0</v>
      </c>
      <c r="AP994" s="47">
        <f>IFERROR(AO994/AL994,"")</f>
        <v/>
      </c>
      <c r="AQ994" s="119">
        <f>IFERROR(R994/AO994,"")</f>
        <v/>
      </c>
      <c r="AR994" s="116" t="n">
        <v>0</v>
      </c>
      <c r="AS994" s="116" t="n">
        <v>0</v>
      </c>
      <c r="AT994" s="116">
        <f>AL994+AR994</f>
        <v/>
      </c>
      <c r="AU994" s="119">
        <f>IFERROR(AO994*Assumptions!$C$26*Assumptions!$C$27*INDEX(Assumptions!$C$18:$C$21,MATCH(H994,Assumptions!$B$18:$B$21,0)),0)</f>
        <v/>
      </c>
    </row>
    <row r="995">
      <c r="A995" s="114" t="n">
        <v>46260</v>
      </c>
      <c r="B995" s="42" t="inlineStr">
        <is>
          <t>Wk 35</t>
        </is>
      </c>
      <c r="C995" s="42" t="inlineStr">
        <is>
          <t>Wed</t>
        </is>
      </c>
      <c r="D995" s="42" t="inlineStr">
        <is>
          <t>Meta (FB/IG)</t>
        </is>
      </c>
      <c r="E995" s="42" t="inlineStr">
        <is>
          <t>Facebook + Instagram</t>
        </is>
      </c>
      <c r="F995" s="42" t="inlineStr">
        <is>
          <t>LEP_ZA_AUG26_META_RMKT_ALL_CONV</t>
        </is>
      </c>
      <c r="G995" s="42" t="inlineStr">
        <is>
          <t>Leads - Website Conversions</t>
        </is>
      </c>
      <c r="H995" s="42" t="inlineStr">
        <is>
          <t>Range</t>
        </is>
      </c>
      <c r="I995" s="42" t="inlineStr">
        <is>
          <t>Range Offer</t>
        </is>
      </c>
      <c r="J995" s="42" t="inlineStr">
        <is>
          <t>MET_RMKT_FORMABANDON_ZA</t>
        </is>
      </c>
      <c r="K995" s="42" t="inlineStr">
        <is>
          <t>Retargeting</t>
        </is>
      </c>
      <c r="L995" s="42" t="inlineStr">
        <is>
          <t>RMKT_CAR_3card_Offers_v1</t>
        </is>
      </c>
      <c r="M995" s="42" t="inlineStr">
        <is>
          <t>Carousel</t>
        </is>
      </c>
      <c r="N995" s="42" t="inlineStr">
        <is>
          <t>All three. One test drive slot.</t>
        </is>
      </c>
      <c r="O995" s="42" t="inlineStr">
        <is>
          <t>Auction - Lowest Cost</t>
        </is>
      </c>
      <c r="P995" s="42" t="inlineStr">
        <is>
          <t>Offsite Conversions</t>
        </is>
      </c>
      <c r="Q995" s="42" t="inlineStr">
        <is>
          <t>https://www.lepas-sa.co.za/book-a-test-drive</t>
        </is>
      </c>
      <c r="R995" s="115" t="n">
        <v>62.29</v>
      </c>
      <c r="S995" s="116" t="n">
        <v>671</v>
      </c>
      <c r="T995" s="116" t="n">
        <v>340</v>
      </c>
      <c r="U995" s="117">
        <f>IFERROR(S995/T995,"")</f>
        <v/>
      </c>
      <c r="V995" s="116" t="n">
        <v>13</v>
      </c>
      <c r="W995" s="116" t="n">
        <v>10</v>
      </c>
      <c r="X995" s="118">
        <f>IFERROR(W995/S995,"")</f>
        <v/>
      </c>
      <c r="Y995" s="115">
        <f>IFERROR(R995/W995,"")</f>
        <v/>
      </c>
      <c r="Z995" s="115">
        <f>IFERROR(R995/S995*1000,"")</f>
        <v/>
      </c>
      <c r="AA995" s="116" t="n">
        <v>8</v>
      </c>
      <c r="AB995" s="47">
        <f>IFERROR(AA995/W995,"")</f>
        <v/>
      </c>
      <c r="AC995" s="116" t="n">
        <v>0</v>
      </c>
      <c r="AD995" s="116" t="n">
        <v>0</v>
      </c>
      <c r="AE995" s="116" t="n">
        <v>0</v>
      </c>
      <c r="AF995" s="116" t="n">
        <v>0</v>
      </c>
      <c r="AG995" s="116" t="n">
        <v>0</v>
      </c>
      <c r="AH995" s="116" t="n">
        <v>0</v>
      </c>
      <c r="AI995" s="47">
        <f>IFERROR(AC995/S995,"")</f>
        <v/>
      </c>
      <c r="AJ995" s="47">
        <f>IFERROR(AH995/S995,"")</f>
        <v/>
      </c>
      <c r="AK995" s="116" t="n">
        <v>9</v>
      </c>
      <c r="AL995" s="116" t="n">
        <v>0</v>
      </c>
      <c r="AM995" s="118">
        <f>IFERROR(AL995/AA995,"")</f>
        <v/>
      </c>
      <c r="AN995" s="119">
        <f>IFERROR(R995/AL995,"")</f>
        <v/>
      </c>
      <c r="AO995" s="116" t="n">
        <v>0</v>
      </c>
      <c r="AP995" s="47">
        <f>IFERROR(AO995/AL995,"")</f>
        <v/>
      </c>
      <c r="AQ995" s="119">
        <f>IFERROR(R995/AO995,"")</f>
        <v/>
      </c>
      <c r="AR995" s="116" t="n">
        <v>0</v>
      </c>
      <c r="AS995" s="116" t="n">
        <v>0</v>
      </c>
      <c r="AT995" s="116">
        <f>AL995+AR995</f>
        <v/>
      </c>
      <c r="AU995" s="119">
        <f>IFERROR(AO995*Assumptions!$C$26*Assumptions!$C$27*INDEX(Assumptions!$C$18:$C$21,MATCH(H995,Assumptions!$B$18:$B$21,0)),0)</f>
        <v/>
      </c>
    </row>
    <row r="996">
      <c r="A996" s="114" t="n">
        <v>46261</v>
      </c>
      <c r="B996" s="42" t="inlineStr">
        <is>
          <t>Wk 35</t>
        </is>
      </c>
      <c r="C996" s="42" t="inlineStr">
        <is>
          <t>Thu</t>
        </is>
      </c>
      <c r="D996" s="42" t="inlineStr">
        <is>
          <t>Meta (FB/IG)</t>
        </is>
      </c>
      <c r="E996" s="42" t="inlineStr">
        <is>
          <t>Facebook + Instagram</t>
        </is>
      </c>
      <c r="F996" s="42" t="inlineStr">
        <is>
          <t>LEP_ZA_AUG26_META_RMKT_ALL_CONV</t>
        </is>
      </c>
      <c r="G996" s="42" t="inlineStr">
        <is>
          <t>Leads - Website Conversions</t>
        </is>
      </c>
      <c r="H996" s="42" t="inlineStr">
        <is>
          <t>Range</t>
        </is>
      </c>
      <c r="I996" s="42" t="inlineStr">
        <is>
          <t>Range Offer</t>
        </is>
      </c>
      <c r="J996" s="42" t="inlineStr">
        <is>
          <t>MET_RMKT_FORMABANDON_ZA</t>
        </is>
      </c>
      <c r="K996" s="42" t="inlineStr">
        <is>
          <t>Retargeting</t>
        </is>
      </c>
      <c r="L996" s="42" t="inlineStr">
        <is>
          <t>RMKT_CAR_3card_Offers_v1</t>
        </is>
      </c>
      <c r="M996" s="42" t="inlineStr">
        <is>
          <t>Carousel</t>
        </is>
      </c>
      <c r="N996" s="42" t="inlineStr">
        <is>
          <t>All three. One test drive slot.</t>
        </is>
      </c>
      <c r="O996" s="42" t="inlineStr">
        <is>
          <t>Auction - Lowest Cost</t>
        </is>
      </c>
      <c r="P996" s="42" t="inlineStr">
        <is>
          <t>Offsite Conversions</t>
        </is>
      </c>
      <c r="Q996" s="42" t="inlineStr">
        <is>
          <t>https://www.lepas-sa.co.za/book-a-test-drive</t>
        </is>
      </c>
      <c r="R996" s="115" t="n">
        <v>75.15000000000001</v>
      </c>
      <c r="S996" s="116" t="n">
        <v>773</v>
      </c>
      <c r="T996" s="116" t="n">
        <v>447</v>
      </c>
      <c r="U996" s="117">
        <f>IFERROR(S996/T996,"")</f>
        <v/>
      </c>
      <c r="V996" s="116" t="n">
        <v>24</v>
      </c>
      <c r="W996" s="116" t="n">
        <v>18</v>
      </c>
      <c r="X996" s="118">
        <f>IFERROR(W996/S996,"")</f>
        <v/>
      </c>
      <c r="Y996" s="115">
        <f>IFERROR(R996/W996,"")</f>
        <v/>
      </c>
      <c r="Z996" s="115">
        <f>IFERROR(R996/S996*1000,"")</f>
        <v/>
      </c>
      <c r="AA996" s="116" t="n">
        <v>15</v>
      </c>
      <c r="AB996" s="47">
        <f>IFERROR(AA996/W996,"")</f>
        <v/>
      </c>
      <c r="AC996" s="116" t="n">
        <v>0</v>
      </c>
      <c r="AD996" s="116" t="n">
        <v>0</v>
      </c>
      <c r="AE996" s="116" t="n">
        <v>0</v>
      </c>
      <c r="AF996" s="116" t="n">
        <v>0</v>
      </c>
      <c r="AG996" s="116" t="n">
        <v>0</v>
      </c>
      <c r="AH996" s="116" t="n">
        <v>0</v>
      </c>
      <c r="AI996" s="47">
        <f>IFERROR(AC996/S996,"")</f>
        <v/>
      </c>
      <c r="AJ996" s="47">
        <f>IFERROR(AH996/S996,"")</f>
        <v/>
      </c>
      <c r="AK996" s="116" t="n">
        <v>15</v>
      </c>
      <c r="AL996" s="116" t="n">
        <v>1</v>
      </c>
      <c r="AM996" s="118">
        <f>IFERROR(AL996/AA996,"")</f>
        <v/>
      </c>
      <c r="AN996" s="119">
        <f>IFERROR(R996/AL996,"")</f>
        <v/>
      </c>
      <c r="AO996" s="116" t="n">
        <v>1</v>
      </c>
      <c r="AP996" s="47">
        <f>IFERROR(AO996/AL996,"")</f>
        <v/>
      </c>
      <c r="AQ996" s="119">
        <f>IFERROR(R996/AO996,"")</f>
        <v/>
      </c>
      <c r="AR996" s="116" t="n">
        <v>0</v>
      </c>
      <c r="AS996" s="116" t="n">
        <v>0</v>
      </c>
      <c r="AT996" s="116">
        <f>AL996+AR996</f>
        <v/>
      </c>
      <c r="AU996" s="119">
        <f>IFERROR(AO996*Assumptions!$C$26*Assumptions!$C$27*INDEX(Assumptions!$C$18:$C$21,MATCH(H996,Assumptions!$B$18:$B$21,0)),0)</f>
        <v/>
      </c>
    </row>
    <row r="997">
      <c r="A997" s="114" t="n">
        <v>46262</v>
      </c>
      <c r="B997" s="42" t="inlineStr">
        <is>
          <t>Wk 35</t>
        </is>
      </c>
      <c r="C997" s="42" t="inlineStr">
        <is>
          <t>Fri</t>
        </is>
      </c>
      <c r="D997" s="42" t="inlineStr">
        <is>
          <t>Meta (FB/IG)</t>
        </is>
      </c>
      <c r="E997" s="42" t="inlineStr">
        <is>
          <t>Facebook + Instagram</t>
        </is>
      </c>
      <c r="F997" s="42" t="inlineStr">
        <is>
          <t>LEP_ZA_AUG26_META_RMKT_ALL_CONV</t>
        </is>
      </c>
      <c r="G997" s="42" t="inlineStr">
        <is>
          <t>Leads - Website Conversions</t>
        </is>
      </c>
      <c r="H997" s="42" t="inlineStr">
        <is>
          <t>Range</t>
        </is>
      </c>
      <c r="I997" s="42" t="inlineStr">
        <is>
          <t>Range Offer</t>
        </is>
      </c>
      <c r="J997" s="42" t="inlineStr">
        <is>
          <t>MET_RMKT_FORMABANDON_ZA</t>
        </is>
      </c>
      <c r="K997" s="42" t="inlineStr">
        <is>
          <t>Retargeting</t>
        </is>
      </c>
      <c r="L997" s="42" t="inlineStr">
        <is>
          <t>RMKT_CAR_3card_Offers_v1</t>
        </is>
      </c>
      <c r="M997" s="42" t="inlineStr">
        <is>
          <t>Carousel</t>
        </is>
      </c>
      <c r="N997" s="42" t="inlineStr">
        <is>
          <t>All three. One test drive slot.</t>
        </is>
      </c>
      <c r="O997" s="42" t="inlineStr">
        <is>
          <t>Auction - Lowest Cost</t>
        </is>
      </c>
      <c r="P997" s="42" t="inlineStr">
        <is>
          <t>Offsite Conversions</t>
        </is>
      </c>
      <c r="Q997" s="42" t="inlineStr">
        <is>
          <t>https://www.lepas-sa.co.za/book-a-test-drive</t>
        </is>
      </c>
      <c r="R997" s="115" t="n">
        <v>91.33</v>
      </c>
      <c r="S997" s="116" t="n">
        <v>1197</v>
      </c>
      <c r="T997" s="116" t="n">
        <v>577</v>
      </c>
      <c r="U997" s="117">
        <f>IFERROR(S997/T997,"")</f>
        <v/>
      </c>
      <c r="V997" s="116" t="n">
        <v>19</v>
      </c>
      <c r="W997" s="116" t="n">
        <v>15</v>
      </c>
      <c r="X997" s="118">
        <f>IFERROR(W997/S997,"")</f>
        <v/>
      </c>
      <c r="Y997" s="115">
        <f>IFERROR(R997/W997,"")</f>
        <v/>
      </c>
      <c r="Z997" s="115">
        <f>IFERROR(R997/S997*1000,"")</f>
        <v/>
      </c>
      <c r="AA997" s="116" t="n">
        <v>14</v>
      </c>
      <c r="AB997" s="47">
        <f>IFERROR(AA997/W997,"")</f>
        <v/>
      </c>
      <c r="AC997" s="116" t="n">
        <v>0</v>
      </c>
      <c r="AD997" s="116" t="n">
        <v>0</v>
      </c>
      <c r="AE997" s="116" t="n">
        <v>0</v>
      </c>
      <c r="AF997" s="116" t="n">
        <v>0</v>
      </c>
      <c r="AG997" s="116" t="n">
        <v>0</v>
      </c>
      <c r="AH997" s="116" t="n">
        <v>0</v>
      </c>
      <c r="AI997" s="47">
        <f>IFERROR(AC997/S997,"")</f>
        <v/>
      </c>
      <c r="AJ997" s="47">
        <f>IFERROR(AH997/S997,"")</f>
        <v/>
      </c>
      <c r="AK997" s="116" t="n">
        <v>27</v>
      </c>
      <c r="AL997" s="116" t="n">
        <v>0</v>
      </c>
      <c r="AM997" s="118">
        <f>IFERROR(AL997/AA997,"")</f>
        <v/>
      </c>
      <c r="AN997" s="119">
        <f>IFERROR(R997/AL997,"")</f>
        <v/>
      </c>
      <c r="AO997" s="116" t="n">
        <v>0</v>
      </c>
      <c r="AP997" s="47">
        <f>IFERROR(AO997/AL997,"")</f>
        <v/>
      </c>
      <c r="AQ997" s="119">
        <f>IFERROR(R997/AO997,"")</f>
        <v/>
      </c>
      <c r="AR997" s="116" t="n">
        <v>0</v>
      </c>
      <c r="AS997" s="116" t="n">
        <v>0</v>
      </c>
      <c r="AT997" s="116">
        <f>AL997+AR997</f>
        <v/>
      </c>
      <c r="AU997" s="119">
        <f>IFERROR(AO997*Assumptions!$C$26*Assumptions!$C$27*INDEX(Assumptions!$C$18:$C$21,MATCH(H997,Assumptions!$B$18:$B$21,0)),0)</f>
        <v/>
      </c>
    </row>
    <row r="998">
      <c r="A998" s="114" t="n">
        <v>46263</v>
      </c>
      <c r="B998" s="42" t="inlineStr">
        <is>
          <t>Wk 35</t>
        </is>
      </c>
      <c r="C998" s="42" t="inlineStr">
        <is>
          <t>Sat</t>
        </is>
      </c>
      <c r="D998" s="42" t="inlineStr">
        <is>
          <t>Meta (FB/IG)</t>
        </is>
      </c>
      <c r="E998" s="42" t="inlineStr">
        <is>
          <t>Facebook + Instagram</t>
        </is>
      </c>
      <c r="F998" s="42" t="inlineStr">
        <is>
          <t>LEP_ZA_AUG26_META_RMKT_ALL_CONV</t>
        </is>
      </c>
      <c r="G998" s="42" t="inlineStr">
        <is>
          <t>Leads - Website Conversions</t>
        </is>
      </c>
      <c r="H998" s="42" t="inlineStr">
        <is>
          <t>Range</t>
        </is>
      </c>
      <c r="I998" s="42" t="inlineStr">
        <is>
          <t>Range Offer</t>
        </is>
      </c>
      <c r="J998" s="42" t="inlineStr">
        <is>
          <t>MET_RMKT_FORMABANDON_ZA</t>
        </is>
      </c>
      <c r="K998" s="42" t="inlineStr">
        <is>
          <t>Retargeting</t>
        </is>
      </c>
      <c r="L998" s="42" t="inlineStr">
        <is>
          <t>RMKT_CAR_3card_Offers_v1</t>
        </is>
      </c>
      <c r="M998" s="42" t="inlineStr">
        <is>
          <t>Carousel</t>
        </is>
      </c>
      <c r="N998" s="42" t="inlineStr">
        <is>
          <t>All three. One test drive slot.</t>
        </is>
      </c>
      <c r="O998" s="42" t="inlineStr">
        <is>
          <t>Auction - Lowest Cost</t>
        </is>
      </c>
      <c r="P998" s="42" t="inlineStr">
        <is>
          <t>Offsite Conversions</t>
        </is>
      </c>
      <c r="Q998" s="42" t="inlineStr">
        <is>
          <t>https://www.lepas-sa.co.za/book-a-test-drive</t>
        </is>
      </c>
      <c r="R998" s="115" t="n">
        <v>79.86</v>
      </c>
      <c r="S998" s="116" t="n">
        <v>1123</v>
      </c>
      <c r="T998" s="116" t="n">
        <v>697</v>
      </c>
      <c r="U998" s="117">
        <f>IFERROR(S998/T998,"")</f>
        <v/>
      </c>
      <c r="V998" s="116" t="n">
        <v>17</v>
      </c>
      <c r="W998" s="116" t="n">
        <v>13</v>
      </c>
      <c r="X998" s="118">
        <f>IFERROR(W998/S998,"")</f>
        <v/>
      </c>
      <c r="Y998" s="115">
        <f>IFERROR(R998/W998,"")</f>
        <v/>
      </c>
      <c r="Z998" s="115">
        <f>IFERROR(R998/S998*1000,"")</f>
        <v/>
      </c>
      <c r="AA998" s="116" t="n">
        <v>11</v>
      </c>
      <c r="AB998" s="47">
        <f>IFERROR(AA998/W998,"")</f>
        <v/>
      </c>
      <c r="AC998" s="116" t="n">
        <v>0</v>
      </c>
      <c r="AD998" s="116" t="n">
        <v>0</v>
      </c>
      <c r="AE998" s="116" t="n">
        <v>0</v>
      </c>
      <c r="AF998" s="116" t="n">
        <v>0</v>
      </c>
      <c r="AG998" s="116" t="n">
        <v>0</v>
      </c>
      <c r="AH998" s="116" t="n">
        <v>0</v>
      </c>
      <c r="AI998" s="47">
        <f>IFERROR(AC998/S998,"")</f>
        <v/>
      </c>
      <c r="AJ998" s="47">
        <f>IFERROR(AH998/S998,"")</f>
        <v/>
      </c>
      <c r="AK998" s="116" t="n">
        <v>30</v>
      </c>
      <c r="AL998" s="116" t="n">
        <v>0</v>
      </c>
      <c r="AM998" s="118">
        <f>IFERROR(AL998/AA998,"")</f>
        <v/>
      </c>
      <c r="AN998" s="119">
        <f>IFERROR(R998/AL998,"")</f>
        <v/>
      </c>
      <c r="AO998" s="116" t="n">
        <v>0</v>
      </c>
      <c r="AP998" s="47">
        <f>IFERROR(AO998/AL998,"")</f>
        <v/>
      </c>
      <c r="AQ998" s="119">
        <f>IFERROR(R998/AO998,"")</f>
        <v/>
      </c>
      <c r="AR998" s="116" t="n">
        <v>0</v>
      </c>
      <c r="AS998" s="116" t="n">
        <v>0</v>
      </c>
      <c r="AT998" s="116">
        <f>AL998+AR998</f>
        <v/>
      </c>
      <c r="AU998" s="119">
        <f>IFERROR(AO998*Assumptions!$C$26*Assumptions!$C$27*INDEX(Assumptions!$C$18:$C$21,MATCH(H998,Assumptions!$B$18:$B$21,0)),0)</f>
        <v/>
      </c>
    </row>
    <row r="999">
      <c r="A999" s="114" t="n">
        <v>46264</v>
      </c>
      <c r="B999" s="42" t="inlineStr">
        <is>
          <t>Wk 35</t>
        </is>
      </c>
      <c r="C999" s="42" t="inlineStr">
        <is>
          <t>Sun</t>
        </is>
      </c>
      <c r="D999" s="42" t="inlineStr">
        <is>
          <t>Meta (FB/IG)</t>
        </is>
      </c>
      <c r="E999" s="42" t="inlineStr">
        <is>
          <t>Facebook + Instagram</t>
        </is>
      </c>
      <c r="F999" s="42" t="inlineStr">
        <is>
          <t>LEP_ZA_AUG26_META_RMKT_ALL_CONV</t>
        </is>
      </c>
      <c r="G999" s="42" t="inlineStr">
        <is>
          <t>Leads - Website Conversions</t>
        </is>
      </c>
      <c r="H999" s="42" t="inlineStr">
        <is>
          <t>Range</t>
        </is>
      </c>
      <c r="I999" s="42" t="inlineStr">
        <is>
          <t>Range Offer</t>
        </is>
      </c>
      <c r="J999" s="42" t="inlineStr">
        <is>
          <t>MET_RMKT_FORMABANDON_ZA</t>
        </is>
      </c>
      <c r="K999" s="42" t="inlineStr">
        <is>
          <t>Retargeting</t>
        </is>
      </c>
      <c r="L999" s="42" t="inlineStr">
        <is>
          <t>RMKT_CAR_3card_Offers_v1</t>
        </is>
      </c>
      <c r="M999" s="42" t="inlineStr">
        <is>
          <t>Carousel</t>
        </is>
      </c>
      <c r="N999" s="42" t="inlineStr">
        <is>
          <t>All three. One test drive slot.</t>
        </is>
      </c>
      <c r="O999" s="42" t="inlineStr">
        <is>
          <t>Auction - Lowest Cost</t>
        </is>
      </c>
      <c r="P999" s="42" t="inlineStr">
        <is>
          <t>Offsite Conversions</t>
        </is>
      </c>
      <c r="Q999" s="42" t="inlineStr">
        <is>
          <t>https://www.lepas-sa.co.za/book-a-test-drive</t>
        </is>
      </c>
      <c r="R999" s="115" t="n">
        <v>55.42</v>
      </c>
      <c r="S999" s="116" t="n">
        <v>657</v>
      </c>
      <c r="T999" s="116" t="n">
        <v>333</v>
      </c>
      <c r="U999" s="117">
        <f>IFERROR(S999/T999,"")</f>
        <v/>
      </c>
      <c r="V999" s="116" t="n">
        <v>13</v>
      </c>
      <c r="W999" s="116" t="n">
        <v>9</v>
      </c>
      <c r="X999" s="118">
        <f>IFERROR(W999/S999,"")</f>
        <v/>
      </c>
      <c r="Y999" s="115">
        <f>IFERROR(R999/W999,"")</f>
        <v/>
      </c>
      <c r="Z999" s="115">
        <f>IFERROR(R999/S999*1000,"")</f>
        <v/>
      </c>
      <c r="AA999" s="116" t="n">
        <v>8</v>
      </c>
      <c r="AB999" s="47">
        <f>IFERROR(AA999/W999,"")</f>
        <v/>
      </c>
      <c r="AC999" s="116" t="n">
        <v>0</v>
      </c>
      <c r="AD999" s="116" t="n">
        <v>0</v>
      </c>
      <c r="AE999" s="116" t="n">
        <v>0</v>
      </c>
      <c r="AF999" s="116" t="n">
        <v>0</v>
      </c>
      <c r="AG999" s="116" t="n">
        <v>0</v>
      </c>
      <c r="AH999" s="116" t="n">
        <v>0</v>
      </c>
      <c r="AI999" s="47">
        <f>IFERROR(AC999/S999,"")</f>
        <v/>
      </c>
      <c r="AJ999" s="47">
        <f>IFERROR(AH999/S999,"")</f>
        <v/>
      </c>
      <c r="AK999" s="116" t="n">
        <v>21</v>
      </c>
      <c r="AL999" s="116" t="n">
        <v>0</v>
      </c>
      <c r="AM999" s="118">
        <f>IFERROR(AL999/AA999,"")</f>
        <v/>
      </c>
      <c r="AN999" s="119">
        <f>IFERROR(R999/AL999,"")</f>
        <v/>
      </c>
      <c r="AO999" s="116" t="n">
        <v>0</v>
      </c>
      <c r="AP999" s="47">
        <f>IFERROR(AO999/AL999,"")</f>
        <v/>
      </c>
      <c r="AQ999" s="119">
        <f>IFERROR(R999/AO999,"")</f>
        <v/>
      </c>
      <c r="AR999" s="116" t="n">
        <v>0</v>
      </c>
      <c r="AS999" s="116" t="n">
        <v>0</v>
      </c>
      <c r="AT999" s="116">
        <f>AL999+AR999</f>
        <v/>
      </c>
      <c r="AU999" s="119">
        <f>IFERROR(AO999*Assumptions!$C$26*Assumptions!$C$27*INDEX(Assumptions!$C$18:$C$21,MATCH(H999,Assumptions!$B$18:$B$21,0)),0)</f>
        <v/>
      </c>
    </row>
    <row r="1000">
      <c r="A1000" s="114" t="n">
        <v>46265</v>
      </c>
      <c r="B1000" s="42" t="inlineStr">
        <is>
          <t>Wk 36</t>
        </is>
      </c>
      <c r="C1000" s="42" t="inlineStr">
        <is>
          <t>Mon</t>
        </is>
      </c>
      <c r="D1000" s="42" t="inlineStr">
        <is>
          <t>Meta (FB/IG)</t>
        </is>
      </c>
      <c r="E1000" s="42" t="inlineStr">
        <is>
          <t>Facebook + Instagram</t>
        </is>
      </c>
      <c r="F1000" s="42" t="inlineStr">
        <is>
          <t>LEP_ZA_AUG26_META_RMKT_ALL_CONV</t>
        </is>
      </c>
      <c r="G1000" s="42" t="inlineStr">
        <is>
          <t>Leads - Website Conversions</t>
        </is>
      </c>
      <c r="H1000" s="42" t="inlineStr">
        <is>
          <t>Range</t>
        </is>
      </c>
      <c r="I1000" s="42" t="inlineStr">
        <is>
          <t>Range Offer</t>
        </is>
      </c>
      <c r="J1000" s="42" t="inlineStr">
        <is>
          <t>MET_RMKT_FORMABANDON_ZA</t>
        </is>
      </c>
      <c r="K1000" s="42" t="inlineStr">
        <is>
          <t>Retargeting</t>
        </is>
      </c>
      <c r="L1000" s="42" t="inlineStr">
        <is>
          <t>RMKT_CAR_3card_Offers_v1</t>
        </is>
      </c>
      <c r="M1000" s="42" t="inlineStr">
        <is>
          <t>Carousel</t>
        </is>
      </c>
      <c r="N1000" s="42" t="inlineStr">
        <is>
          <t>All three. One test drive slot.</t>
        </is>
      </c>
      <c r="O1000" s="42" t="inlineStr">
        <is>
          <t>Auction - Lowest Cost</t>
        </is>
      </c>
      <c r="P1000" s="42" t="inlineStr">
        <is>
          <t>Offsite Conversions</t>
        </is>
      </c>
      <c r="Q1000" s="42" t="inlineStr">
        <is>
          <t>https://www.lepas-sa.co.za/book-a-test-drive</t>
        </is>
      </c>
      <c r="R1000" s="115" t="n">
        <v>74.84999999999999</v>
      </c>
      <c r="S1000" s="116" t="n">
        <v>1094</v>
      </c>
      <c r="T1000" s="116" t="n">
        <v>627</v>
      </c>
      <c r="U1000" s="117">
        <f>IFERROR(S1000/T1000,"")</f>
        <v/>
      </c>
      <c r="V1000" s="116" t="n">
        <v>23</v>
      </c>
      <c r="W1000" s="116" t="n">
        <v>20</v>
      </c>
      <c r="X1000" s="118">
        <f>IFERROR(W1000/S1000,"")</f>
        <v/>
      </c>
      <c r="Y1000" s="115">
        <f>IFERROR(R1000/W1000,"")</f>
        <v/>
      </c>
      <c r="Z1000" s="115">
        <f>IFERROR(R1000/S1000*1000,"")</f>
        <v/>
      </c>
      <c r="AA1000" s="116" t="n">
        <v>18</v>
      </c>
      <c r="AB1000" s="47">
        <f>IFERROR(AA1000/W1000,"")</f>
        <v/>
      </c>
      <c r="AC1000" s="116" t="n">
        <v>0</v>
      </c>
      <c r="AD1000" s="116" t="n">
        <v>0</v>
      </c>
      <c r="AE1000" s="116" t="n">
        <v>0</v>
      </c>
      <c r="AF1000" s="116" t="n">
        <v>0</v>
      </c>
      <c r="AG1000" s="116" t="n">
        <v>0</v>
      </c>
      <c r="AH1000" s="116" t="n">
        <v>0</v>
      </c>
      <c r="AI1000" s="47">
        <f>IFERROR(AC1000/S1000,"")</f>
        <v/>
      </c>
      <c r="AJ1000" s="47">
        <f>IFERROR(AH1000/S1000,"")</f>
        <v/>
      </c>
      <c r="AK1000" s="116" t="n">
        <v>29</v>
      </c>
      <c r="AL1000" s="116" t="n">
        <v>0</v>
      </c>
      <c r="AM1000" s="118">
        <f>IFERROR(AL1000/AA1000,"")</f>
        <v/>
      </c>
      <c r="AN1000" s="119">
        <f>IFERROR(R1000/AL1000,"")</f>
        <v/>
      </c>
      <c r="AO1000" s="116" t="n">
        <v>0</v>
      </c>
      <c r="AP1000" s="47">
        <f>IFERROR(AO1000/AL1000,"")</f>
        <v/>
      </c>
      <c r="AQ1000" s="119">
        <f>IFERROR(R1000/AO1000,"")</f>
        <v/>
      </c>
      <c r="AR1000" s="116" t="n">
        <v>0</v>
      </c>
      <c r="AS1000" s="116" t="n">
        <v>0</v>
      </c>
      <c r="AT1000" s="116">
        <f>AL1000+AR1000</f>
        <v/>
      </c>
      <c r="AU1000" s="119">
        <f>IFERROR(AO1000*Assumptions!$C$26*Assumptions!$C$27*INDEX(Assumptions!$C$18:$C$21,MATCH(H1000,Assumptions!$B$18:$B$21,0)),0)</f>
        <v/>
      </c>
    </row>
    <row r="1001">
      <c r="A1001" s="120" t="n">
        <v>46235</v>
      </c>
      <c r="B1001" s="66" t="inlineStr">
        <is>
          <t>Wk 31</t>
        </is>
      </c>
      <c r="C1001" s="66" t="inlineStr">
        <is>
          <t>Sat</t>
        </is>
      </c>
      <c r="D1001" s="66" t="inlineStr">
        <is>
          <t>TikTok</t>
        </is>
      </c>
      <c r="E1001" s="66" t="inlineStr">
        <is>
          <t>TikTok</t>
        </is>
      </c>
      <c r="F1001" s="66" t="inlineStr">
        <is>
          <t>LEP_ZA_AUG26_TT_TD_AMUR_CONV</t>
        </is>
      </c>
      <c r="G1001" s="66" t="inlineStr">
        <is>
          <t>Website Conversions</t>
        </is>
      </c>
      <c r="H1001" s="66" t="inlineStr">
        <is>
          <t>AMUR</t>
        </is>
      </c>
      <c r="I1001" s="66" t="inlineStr">
        <is>
          <t>0% Deposit</t>
        </is>
      </c>
      <c r="J1001" s="66" t="inlineStr">
        <is>
          <t>TT_AMUR_AUTOTGT_18-34_ZA</t>
        </is>
      </c>
      <c r="K1001" s="66" t="inlineStr">
        <is>
          <t>Prospecting</t>
        </is>
      </c>
      <c r="L1001" s="66" t="inlineStr">
        <is>
          <t>TT_AMUR_UGC_15s_FirstCar_v1</t>
        </is>
      </c>
      <c r="M1001" s="66" t="inlineStr">
        <is>
          <t>Video 9:16</t>
        </is>
      </c>
      <c r="N1001" s="66" t="inlineStr">
        <is>
          <t>POV: your first car isn't second-hand</t>
        </is>
      </c>
      <c r="O1001" s="66" t="inlineStr">
        <is>
          <t>Auction - Lowest Cost</t>
        </is>
      </c>
      <c r="P1001" s="66" t="inlineStr">
        <is>
          <t>Complete Payment / Lead</t>
        </is>
      </c>
      <c r="Q1001" s="66" t="inlineStr">
        <is>
          <t>https://www.lepas-sa.co.za/offers/amur</t>
        </is>
      </c>
      <c r="R1001" s="121" t="n">
        <v>286.25</v>
      </c>
      <c r="S1001" s="122" t="n">
        <v>9847</v>
      </c>
      <c r="T1001" s="122" t="n">
        <v>7006</v>
      </c>
      <c r="U1001" s="123">
        <f>IFERROR(S1001/T1001,"")</f>
        <v/>
      </c>
      <c r="V1001" s="122" t="n">
        <v>149</v>
      </c>
      <c r="W1001" s="122" t="n">
        <v>121</v>
      </c>
      <c r="X1001" s="124">
        <f>IFERROR(W1001/S1001,"")</f>
        <v/>
      </c>
      <c r="Y1001" s="121">
        <f>IFERROR(R1001/W1001,"")</f>
        <v/>
      </c>
      <c r="Z1001" s="121">
        <f>IFERROR(R1001/S1001*1000,"")</f>
        <v/>
      </c>
      <c r="AA1001" s="122" t="n">
        <v>81</v>
      </c>
      <c r="AB1001" s="54">
        <f>IFERROR(AA1001/W1001,"")</f>
        <v/>
      </c>
      <c r="AC1001" s="122" t="n">
        <v>2347</v>
      </c>
      <c r="AD1001" s="122" t="n">
        <v>1415</v>
      </c>
      <c r="AE1001" s="122" t="n">
        <v>1237</v>
      </c>
      <c r="AF1001" s="122" t="n">
        <v>800</v>
      </c>
      <c r="AG1001" s="122" t="n">
        <v>516</v>
      </c>
      <c r="AH1001" s="122" t="n">
        <v>368</v>
      </c>
      <c r="AI1001" s="54">
        <f>IFERROR(AC1001/S1001,"")</f>
        <v/>
      </c>
      <c r="AJ1001" s="54">
        <f>IFERROR(AH1001/S1001,"")</f>
        <v/>
      </c>
      <c r="AK1001" s="122" t="n">
        <v>252</v>
      </c>
      <c r="AL1001" s="122" t="n">
        <v>1</v>
      </c>
      <c r="AM1001" s="124">
        <f>IFERROR(AL1001/AA1001,"")</f>
        <v/>
      </c>
      <c r="AN1001" s="125">
        <f>IFERROR(R1001/AL1001,"")</f>
        <v/>
      </c>
      <c r="AO1001" s="122" t="n">
        <v>0</v>
      </c>
      <c r="AP1001" s="54">
        <f>IFERROR(AO1001/AL1001,"")</f>
        <v/>
      </c>
      <c r="AQ1001" s="125">
        <f>IFERROR(R1001/AO1001,"")</f>
        <v/>
      </c>
      <c r="AR1001" s="122" t="n">
        <v>0</v>
      </c>
      <c r="AS1001" s="122" t="n">
        <v>0</v>
      </c>
      <c r="AT1001" s="122">
        <f>AL1001+AR1001</f>
        <v/>
      </c>
      <c r="AU1001" s="125">
        <f>IFERROR(AO1001*Assumptions!$C$26*Assumptions!$C$27*INDEX(Assumptions!$C$18:$C$21,MATCH(H1001,Assumptions!$B$18:$B$21,0)),0)</f>
        <v/>
      </c>
    </row>
    <row r="1002">
      <c r="A1002" s="120" t="n">
        <v>46236</v>
      </c>
      <c r="B1002" s="66" t="inlineStr">
        <is>
          <t>Wk 31</t>
        </is>
      </c>
      <c r="C1002" s="66" t="inlineStr">
        <is>
          <t>Sun</t>
        </is>
      </c>
      <c r="D1002" s="66" t="inlineStr">
        <is>
          <t>TikTok</t>
        </is>
      </c>
      <c r="E1002" s="66" t="inlineStr">
        <is>
          <t>TikTok</t>
        </is>
      </c>
      <c r="F1002" s="66" t="inlineStr">
        <is>
          <t>LEP_ZA_AUG26_TT_TD_AMUR_CONV</t>
        </is>
      </c>
      <c r="G1002" s="66" t="inlineStr">
        <is>
          <t>Website Conversions</t>
        </is>
      </c>
      <c r="H1002" s="66" t="inlineStr">
        <is>
          <t>AMUR</t>
        </is>
      </c>
      <c r="I1002" s="66" t="inlineStr">
        <is>
          <t>0% Deposit</t>
        </is>
      </c>
      <c r="J1002" s="66" t="inlineStr">
        <is>
          <t>TT_AMUR_AUTOTGT_18-34_ZA</t>
        </is>
      </c>
      <c r="K1002" s="66" t="inlineStr">
        <is>
          <t>Prospecting</t>
        </is>
      </c>
      <c r="L1002" s="66" t="inlineStr">
        <is>
          <t>TT_AMUR_UGC_15s_FirstCar_v1</t>
        </is>
      </c>
      <c r="M1002" s="66" t="inlineStr">
        <is>
          <t>Video 9:16</t>
        </is>
      </c>
      <c r="N1002" s="66" t="inlineStr">
        <is>
          <t>POV: your first car isn't second-hand</t>
        </is>
      </c>
      <c r="O1002" s="66" t="inlineStr">
        <is>
          <t>Auction - Lowest Cost</t>
        </is>
      </c>
      <c r="P1002" s="66" t="inlineStr">
        <is>
          <t>Complete Payment / Lead</t>
        </is>
      </c>
      <c r="Q1002" s="66" t="inlineStr">
        <is>
          <t>https://www.lepas-sa.co.za/offers/amur</t>
        </is>
      </c>
      <c r="R1002" s="121" t="n">
        <v>249.8</v>
      </c>
      <c r="S1002" s="122" t="n">
        <v>7697</v>
      </c>
      <c r="T1002" s="122" t="n">
        <v>4846</v>
      </c>
      <c r="U1002" s="123">
        <f>IFERROR(S1002/T1002,"")</f>
        <v/>
      </c>
      <c r="V1002" s="122" t="n">
        <v>122</v>
      </c>
      <c r="W1002" s="122" t="n">
        <v>91</v>
      </c>
      <c r="X1002" s="124">
        <f>IFERROR(W1002/S1002,"")</f>
        <v/>
      </c>
      <c r="Y1002" s="121">
        <f>IFERROR(R1002/W1002,"")</f>
        <v/>
      </c>
      <c r="Z1002" s="121">
        <f>IFERROR(R1002/S1002*1000,"")</f>
        <v/>
      </c>
      <c r="AA1002" s="122" t="n">
        <v>57</v>
      </c>
      <c r="AB1002" s="54">
        <f>IFERROR(AA1002/W1002,"")</f>
        <v/>
      </c>
      <c r="AC1002" s="122" t="n">
        <v>1887</v>
      </c>
      <c r="AD1002" s="122" t="n">
        <v>1131</v>
      </c>
      <c r="AE1002" s="122" t="n">
        <v>964</v>
      </c>
      <c r="AF1002" s="122" t="n">
        <v>630</v>
      </c>
      <c r="AG1002" s="122" t="n">
        <v>477</v>
      </c>
      <c r="AH1002" s="122" t="n">
        <v>312</v>
      </c>
      <c r="AI1002" s="54">
        <f>IFERROR(AC1002/S1002,"")</f>
        <v/>
      </c>
      <c r="AJ1002" s="54">
        <f>IFERROR(AH1002/S1002,"")</f>
        <v/>
      </c>
      <c r="AK1002" s="122" t="n">
        <v>387</v>
      </c>
      <c r="AL1002" s="122" t="n">
        <v>0</v>
      </c>
      <c r="AM1002" s="124">
        <f>IFERROR(AL1002/AA1002,"")</f>
        <v/>
      </c>
      <c r="AN1002" s="125">
        <f>IFERROR(R1002/AL1002,"")</f>
        <v/>
      </c>
      <c r="AO1002" s="122" t="n">
        <v>0</v>
      </c>
      <c r="AP1002" s="54">
        <f>IFERROR(AO1002/AL1002,"")</f>
        <v/>
      </c>
      <c r="AQ1002" s="125">
        <f>IFERROR(R1002/AO1002,"")</f>
        <v/>
      </c>
      <c r="AR1002" s="122" t="n">
        <v>0</v>
      </c>
      <c r="AS1002" s="122" t="n">
        <v>0</v>
      </c>
      <c r="AT1002" s="122">
        <f>AL1002+AR1002</f>
        <v/>
      </c>
      <c r="AU1002" s="125">
        <f>IFERROR(AO1002*Assumptions!$C$26*Assumptions!$C$27*INDEX(Assumptions!$C$18:$C$21,MATCH(H1002,Assumptions!$B$18:$B$21,0)),0)</f>
        <v/>
      </c>
    </row>
    <row r="1003">
      <c r="A1003" s="120" t="n">
        <v>46237</v>
      </c>
      <c r="B1003" s="66" t="inlineStr">
        <is>
          <t>Wk 32</t>
        </is>
      </c>
      <c r="C1003" s="66" t="inlineStr">
        <is>
          <t>Mon</t>
        </is>
      </c>
      <c r="D1003" s="66" t="inlineStr">
        <is>
          <t>TikTok</t>
        </is>
      </c>
      <c r="E1003" s="66" t="inlineStr">
        <is>
          <t>TikTok</t>
        </is>
      </c>
      <c r="F1003" s="66" t="inlineStr">
        <is>
          <t>LEP_ZA_AUG26_TT_TD_AMUR_CONV</t>
        </is>
      </c>
      <c r="G1003" s="66" t="inlineStr">
        <is>
          <t>Website Conversions</t>
        </is>
      </c>
      <c r="H1003" s="66" t="inlineStr">
        <is>
          <t>AMUR</t>
        </is>
      </c>
      <c r="I1003" s="66" t="inlineStr">
        <is>
          <t>0% Deposit</t>
        </is>
      </c>
      <c r="J1003" s="66" t="inlineStr">
        <is>
          <t>TT_AMUR_AUTOTGT_18-34_ZA</t>
        </is>
      </c>
      <c r="K1003" s="66" t="inlineStr">
        <is>
          <t>Prospecting</t>
        </is>
      </c>
      <c r="L1003" s="66" t="inlineStr">
        <is>
          <t>TT_AMUR_UGC_15s_FirstCar_v1</t>
        </is>
      </c>
      <c r="M1003" s="66" t="inlineStr">
        <is>
          <t>Video 9:16</t>
        </is>
      </c>
      <c r="N1003" s="66" t="inlineStr">
        <is>
          <t>POV: your first car isn't second-hand</t>
        </is>
      </c>
      <c r="O1003" s="66" t="inlineStr">
        <is>
          <t>Auction - Lowest Cost</t>
        </is>
      </c>
      <c r="P1003" s="66" t="inlineStr">
        <is>
          <t>Complete Payment / Lead</t>
        </is>
      </c>
      <c r="Q1003" s="66" t="inlineStr">
        <is>
          <t>https://www.lepas-sa.co.za/offers/amur</t>
        </is>
      </c>
      <c r="R1003" s="121" t="n">
        <v>284.13</v>
      </c>
      <c r="S1003" s="122" t="n">
        <v>6608</v>
      </c>
      <c r="T1003" s="122" t="n">
        <v>4344</v>
      </c>
      <c r="U1003" s="123">
        <f>IFERROR(S1003/T1003,"")</f>
        <v/>
      </c>
      <c r="V1003" s="122" t="n">
        <v>116</v>
      </c>
      <c r="W1003" s="122" t="n">
        <v>92</v>
      </c>
      <c r="X1003" s="124">
        <f>IFERROR(W1003/S1003,"")</f>
        <v/>
      </c>
      <c r="Y1003" s="121">
        <f>IFERROR(R1003/W1003,"")</f>
        <v/>
      </c>
      <c r="Z1003" s="121">
        <f>IFERROR(R1003/S1003*1000,"")</f>
        <v/>
      </c>
      <c r="AA1003" s="122" t="n">
        <v>56</v>
      </c>
      <c r="AB1003" s="54">
        <f>IFERROR(AA1003/W1003,"")</f>
        <v/>
      </c>
      <c r="AC1003" s="122" t="n">
        <v>2280</v>
      </c>
      <c r="AD1003" s="122" t="n">
        <v>1427</v>
      </c>
      <c r="AE1003" s="122" t="n">
        <v>910</v>
      </c>
      <c r="AF1003" s="122" t="n">
        <v>593</v>
      </c>
      <c r="AG1003" s="122" t="n">
        <v>443</v>
      </c>
      <c r="AH1003" s="122" t="n">
        <v>313</v>
      </c>
      <c r="AI1003" s="54">
        <f>IFERROR(AC1003/S1003,"")</f>
        <v/>
      </c>
      <c r="AJ1003" s="54">
        <f>IFERROR(AH1003/S1003,"")</f>
        <v/>
      </c>
      <c r="AK1003" s="122" t="n">
        <v>381</v>
      </c>
      <c r="AL1003" s="122" t="n">
        <v>0</v>
      </c>
      <c r="AM1003" s="124">
        <f>IFERROR(AL1003/AA1003,"")</f>
        <v/>
      </c>
      <c r="AN1003" s="125">
        <f>IFERROR(R1003/AL1003,"")</f>
        <v/>
      </c>
      <c r="AO1003" s="122" t="n">
        <v>0</v>
      </c>
      <c r="AP1003" s="54">
        <f>IFERROR(AO1003/AL1003,"")</f>
        <v/>
      </c>
      <c r="AQ1003" s="125">
        <f>IFERROR(R1003/AO1003,"")</f>
        <v/>
      </c>
      <c r="AR1003" s="122" t="n">
        <v>0</v>
      </c>
      <c r="AS1003" s="122" t="n">
        <v>0</v>
      </c>
      <c r="AT1003" s="122">
        <f>AL1003+AR1003</f>
        <v/>
      </c>
      <c r="AU1003" s="125">
        <f>IFERROR(AO1003*Assumptions!$C$26*Assumptions!$C$27*INDEX(Assumptions!$C$18:$C$21,MATCH(H1003,Assumptions!$B$18:$B$21,0)),0)</f>
        <v/>
      </c>
    </row>
    <row r="1004">
      <c r="A1004" s="120" t="n">
        <v>46238</v>
      </c>
      <c r="B1004" s="66" t="inlineStr">
        <is>
          <t>Wk 32</t>
        </is>
      </c>
      <c r="C1004" s="66" t="inlineStr">
        <is>
          <t>Tue</t>
        </is>
      </c>
      <c r="D1004" s="66" t="inlineStr">
        <is>
          <t>TikTok</t>
        </is>
      </c>
      <c r="E1004" s="66" t="inlineStr">
        <is>
          <t>TikTok</t>
        </is>
      </c>
      <c r="F1004" s="66" t="inlineStr">
        <is>
          <t>LEP_ZA_AUG26_TT_TD_AMUR_CONV</t>
        </is>
      </c>
      <c r="G1004" s="66" t="inlineStr">
        <is>
          <t>Website Conversions</t>
        </is>
      </c>
      <c r="H1004" s="66" t="inlineStr">
        <is>
          <t>AMUR</t>
        </is>
      </c>
      <c r="I1004" s="66" t="inlineStr">
        <is>
          <t>0% Deposit</t>
        </is>
      </c>
      <c r="J1004" s="66" t="inlineStr">
        <is>
          <t>TT_AMUR_AUTOTGT_18-34_ZA</t>
        </is>
      </c>
      <c r="K1004" s="66" t="inlineStr">
        <is>
          <t>Prospecting</t>
        </is>
      </c>
      <c r="L1004" s="66" t="inlineStr">
        <is>
          <t>TT_AMUR_UGC_15s_FirstCar_v1</t>
        </is>
      </c>
      <c r="M1004" s="66" t="inlineStr">
        <is>
          <t>Video 9:16</t>
        </is>
      </c>
      <c r="N1004" s="66" t="inlineStr">
        <is>
          <t>POV: your first car isn't second-hand</t>
        </is>
      </c>
      <c r="O1004" s="66" t="inlineStr">
        <is>
          <t>Auction - Lowest Cost</t>
        </is>
      </c>
      <c r="P1004" s="66" t="inlineStr">
        <is>
          <t>Complete Payment / Lead</t>
        </is>
      </c>
      <c r="Q1004" s="66" t="inlineStr">
        <is>
          <t>https://www.lepas-sa.co.za/offers/amur</t>
        </is>
      </c>
      <c r="R1004" s="121" t="n">
        <v>270.02</v>
      </c>
      <c r="S1004" s="122" t="n">
        <v>7062</v>
      </c>
      <c r="T1004" s="122" t="n">
        <v>4770</v>
      </c>
      <c r="U1004" s="123">
        <f>IFERROR(S1004/T1004,"")</f>
        <v/>
      </c>
      <c r="V1004" s="122" t="n">
        <v>112</v>
      </c>
      <c r="W1004" s="122" t="n">
        <v>93</v>
      </c>
      <c r="X1004" s="124">
        <f>IFERROR(W1004/S1004,"")</f>
        <v/>
      </c>
      <c r="Y1004" s="121">
        <f>IFERROR(R1004/W1004,"")</f>
        <v/>
      </c>
      <c r="Z1004" s="121">
        <f>IFERROR(R1004/S1004*1000,"")</f>
        <v/>
      </c>
      <c r="AA1004" s="122" t="n">
        <v>67</v>
      </c>
      <c r="AB1004" s="54">
        <f>IFERROR(AA1004/W1004,"")</f>
        <v/>
      </c>
      <c r="AC1004" s="122" t="n">
        <v>2356</v>
      </c>
      <c r="AD1004" s="122" t="n">
        <v>1297</v>
      </c>
      <c r="AE1004" s="122" t="n">
        <v>940</v>
      </c>
      <c r="AF1004" s="122" t="n">
        <v>604</v>
      </c>
      <c r="AG1004" s="122" t="n">
        <v>446</v>
      </c>
      <c r="AH1004" s="122" t="n">
        <v>312</v>
      </c>
      <c r="AI1004" s="54">
        <f>IFERROR(AC1004/S1004,"")</f>
        <v/>
      </c>
      <c r="AJ1004" s="54">
        <f>IFERROR(AH1004/S1004,"")</f>
        <v/>
      </c>
      <c r="AK1004" s="122" t="n">
        <v>183</v>
      </c>
      <c r="AL1004" s="122" t="n">
        <v>0</v>
      </c>
      <c r="AM1004" s="124">
        <f>IFERROR(AL1004/AA1004,"")</f>
        <v/>
      </c>
      <c r="AN1004" s="125">
        <f>IFERROR(R1004/AL1004,"")</f>
        <v/>
      </c>
      <c r="AO1004" s="122" t="n">
        <v>0</v>
      </c>
      <c r="AP1004" s="54">
        <f>IFERROR(AO1004/AL1004,"")</f>
        <v/>
      </c>
      <c r="AQ1004" s="125">
        <f>IFERROR(R1004/AO1004,"")</f>
        <v/>
      </c>
      <c r="AR1004" s="122" t="n">
        <v>0</v>
      </c>
      <c r="AS1004" s="122" t="n">
        <v>0</v>
      </c>
      <c r="AT1004" s="122">
        <f>AL1004+AR1004</f>
        <v/>
      </c>
      <c r="AU1004" s="125">
        <f>IFERROR(AO1004*Assumptions!$C$26*Assumptions!$C$27*INDEX(Assumptions!$C$18:$C$21,MATCH(H1004,Assumptions!$B$18:$B$21,0)),0)</f>
        <v/>
      </c>
    </row>
    <row r="1005">
      <c r="A1005" s="120" t="n">
        <v>46239</v>
      </c>
      <c r="B1005" s="66" t="inlineStr">
        <is>
          <t>Wk 32</t>
        </is>
      </c>
      <c r="C1005" s="66" t="inlineStr">
        <is>
          <t>Wed</t>
        </is>
      </c>
      <c r="D1005" s="66" t="inlineStr">
        <is>
          <t>TikTok</t>
        </is>
      </c>
      <c r="E1005" s="66" t="inlineStr">
        <is>
          <t>TikTok</t>
        </is>
      </c>
      <c r="F1005" s="66" t="inlineStr">
        <is>
          <t>LEP_ZA_AUG26_TT_TD_AMUR_CONV</t>
        </is>
      </c>
      <c r="G1005" s="66" t="inlineStr">
        <is>
          <t>Website Conversions</t>
        </is>
      </c>
      <c r="H1005" s="66" t="inlineStr">
        <is>
          <t>AMUR</t>
        </is>
      </c>
      <c r="I1005" s="66" t="inlineStr">
        <is>
          <t>0% Deposit</t>
        </is>
      </c>
      <c r="J1005" s="66" t="inlineStr">
        <is>
          <t>TT_AMUR_AUTOTGT_18-34_ZA</t>
        </is>
      </c>
      <c r="K1005" s="66" t="inlineStr">
        <is>
          <t>Prospecting</t>
        </is>
      </c>
      <c r="L1005" s="66" t="inlineStr">
        <is>
          <t>TT_AMUR_UGC_15s_FirstCar_v1</t>
        </is>
      </c>
      <c r="M1005" s="66" t="inlineStr">
        <is>
          <t>Video 9:16</t>
        </is>
      </c>
      <c r="N1005" s="66" t="inlineStr">
        <is>
          <t>POV: your first car isn't second-hand</t>
        </is>
      </c>
      <c r="O1005" s="66" t="inlineStr">
        <is>
          <t>Auction - Lowest Cost</t>
        </is>
      </c>
      <c r="P1005" s="66" t="inlineStr">
        <is>
          <t>Complete Payment / Lead</t>
        </is>
      </c>
      <c r="Q1005" s="66" t="inlineStr">
        <is>
          <t>https://www.lepas-sa.co.za/offers/amur</t>
        </is>
      </c>
      <c r="R1005" s="121" t="n">
        <v>331.45</v>
      </c>
      <c r="S1005" s="122" t="n">
        <v>9010</v>
      </c>
      <c r="T1005" s="122" t="n">
        <v>5130</v>
      </c>
      <c r="U1005" s="123">
        <f>IFERROR(S1005/T1005,"")</f>
        <v/>
      </c>
      <c r="V1005" s="122" t="n">
        <v>123</v>
      </c>
      <c r="W1005" s="122" t="n">
        <v>90</v>
      </c>
      <c r="X1005" s="124">
        <f>IFERROR(W1005/S1005,"")</f>
        <v/>
      </c>
      <c r="Y1005" s="121">
        <f>IFERROR(R1005/W1005,"")</f>
        <v/>
      </c>
      <c r="Z1005" s="121">
        <f>IFERROR(R1005/S1005*1000,"")</f>
        <v/>
      </c>
      <c r="AA1005" s="122" t="n">
        <v>59</v>
      </c>
      <c r="AB1005" s="54">
        <f>IFERROR(AA1005/W1005,"")</f>
        <v/>
      </c>
      <c r="AC1005" s="122" t="n">
        <v>3002</v>
      </c>
      <c r="AD1005" s="122" t="n">
        <v>1638</v>
      </c>
      <c r="AE1005" s="122" t="n">
        <v>1595</v>
      </c>
      <c r="AF1005" s="122" t="n">
        <v>1049</v>
      </c>
      <c r="AG1005" s="122" t="n">
        <v>743</v>
      </c>
      <c r="AH1005" s="122" t="n">
        <v>477</v>
      </c>
      <c r="AI1005" s="54">
        <f>IFERROR(AC1005/S1005,"")</f>
        <v/>
      </c>
      <c r="AJ1005" s="54">
        <f>IFERROR(AH1005/S1005,"")</f>
        <v/>
      </c>
      <c r="AK1005" s="122" t="n">
        <v>478</v>
      </c>
      <c r="AL1005" s="122" t="n">
        <v>1</v>
      </c>
      <c r="AM1005" s="124">
        <f>IFERROR(AL1005/AA1005,"")</f>
        <v/>
      </c>
      <c r="AN1005" s="125">
        <f>IFERROR(R1005/AL1005,"")</f>
        <v/>
      </c>
      <c r="AO1005" s="122" t="n">
        <v>0</v>
      </c>
      <c r="AP1005" s="54">
        <f>IFERROR(AO1005/AL1005,"")</f>
        <v/>
      </c>
      <c r="AQ1005" s="125">
        <f>IFERROR(R1005/AO1005,"")</f>
        <v/>
      </c>
      <c r="AR1005" s="122" t="n">
        <v>0</v>
      </c>
      <c r="AS1005" s="122" t="n">
        <v>0</v>
      </c>
      <c r="AT1005" s="122">
        <f>AL1005+AR1005</f>
        <v/>
      </c>
      <c r="AU1005" s="125">
        <f>IFERROR(AO1005*Assumptions!$C$26*Assumptions!$C$27*INDEX(Assumptions!$C$18:$C$21,MATCH(H1005,Assumptions!$B$18:$B$21,0)),0)</f>
        <v/>
      </c>
    </row>
    <row r="1006">
      <c r="A1006" s="120" t="n">
        <v>46240</v>
      </c>
      <c r="B1006" s="66" t="inlineStr">
        <is>
          <t>Wk 32</t>
        </is>
      </c>
      <c r="C1006" s="66" t="inlineStr">
        <is>
          <t>Thu</t>
        </is>
      </c>
      <c r="D1006" s="66" t="inlineStr">
        <is>
          <t>TikTok</t>
        </is>
      </c>
      <c r="E1006" s="66" t="inlineStr">
        <is>
          <t>TikTok</t>
        </is>
      </c>
      <c r="F1006" s="66" t="inlineStr">
        <is>
          <t>LEP_ZA_AUG26_TT_TD_AMUR_CONV</t>
        </is>
      </c>
      <c r="G1006" s="66" t="inlineStr">
        <is>
          <t>Website Conversions</t>
        </is>
      </c>
      <c r="H1006" s="66" t="inlineStr">
        <is>
          <t>AMUR</t>
        </is>
      </c>
      <c r="I1006" s="66" t="inlineStr">
        <is>
          <t>0% Deposit</t>
        </is>
      </c>
      <c r="J1006" s="66" t="inlineStr">
        <is>
          <t>TT_AMUR_AUTOTGT_18-34_ZA</t>
        </is>
      </c>
      <c r="K1006" s="66" t="inlineStr">
        <is>
          <t>Prospecting</t>
        </is>
      </c>
      <c r="L1006" s="66" t="inlineStr">
        <is>
          <t>TT_AMUR_UGC_15s_FirstCar_v1</t>
        </is>
      </c>
      <c r="M1006" s="66" t="inlineStr">
        <is>
          <t>Video 9:16</t>
        </is>
      </c>
      <c r="N1006" s="66" t="inlineStr">
        <is>
          <t>POV: your first car isn't second-hand</t>
        </is>
      </c>
      <c r="O1006" s="66" t="inlineStr">
        <is>
          <t>Auction - Lowest Cost</t>
        </is>
      </c>
      <c r="P1006" s="66" t="inlineStr">
        <is>
          <t>Complete Payment / Lead</t>
        </is>
      </c>
      <c r="Q1006" s="66" t="inlineStr">
        <is>
          <t>https://www.lepas-sa.co.za/offers/amur</t>
        </is>
      </c>
      <c r="R1006" s="121" t="n">
        <v>311.69</v>
      </c>
      <c r="S1006" s="122" t="n">
        <v>8834</v>
      </c>
      <c r="T1006" s="122" t="n">
        <v>6035</v>
      </c>
      <c r="U1006" s="123">
        <f>IFERROR(S1006/T1006,"")</f>
        <v/>
      </c>
      <c r="V1006" s="122" t="n">
        <v>143</v>
      </c>
      <c r="W1006" s="122" t="n">
        <v>110</v>
      </c>
      <c r="X1006" s="124">
        <f>IFERROR(W1006/S1006,"")</f>
        <v/>
      </c>
      <c r="Y1006" s="121">
        <f>IFERROR(R1006/W1006,"")</f>
        <v/>
      </c>
      <c r="Z1006" s="121">
        <f>IFERROR(R1006/S1006*1000,"")</f>
        <v/>
      </c>
      <c r="AA1006" s="122" t="n">
        <v>75</v>
      </c>
      <c r="AB1006" s="54">
        <f>IFERROR(AA1006/W1006,"")</f>
        <v/>
      </c>
      <c r="AC1006" s="122" t="n">
        <v>3164</v>
      </c>
      <c r="AD1006" s="122" t="n">
        <v>1868</v>
      </c>
      <c r="AE1006" s="122" t="n">
        <v>1737</v>
      </c>
      <c r="AF1006" s="122" t="n">
        <v>1196</v>
      </c>
      <c r="AG1006" s="122" t="n">
        <v>943</v>
      </c>
      <c r="AH1006" s="122" t="n">
        <v>637</v>
      </c>
      <c r="AI1006" s="54">
        <f>IFERROR(AC1006/S1006,"")</f>
        <v/>
      </c>
      <c r="AJ1006" s="54">
        <f>IFERROR(AH1006/S1006,"")</f>
        <v/>
      </c>
      <c r="AK1006" s="122" t="n">
        <v>328</v>
      </c>
      <c r="AL1006" s="122" t="n">
        <v>1</v>
      </c>
      <c r="AM1006" s="124">
        <f>IFERROR(AL1006/AA1006,"")</f>
        <v/>
      </c>
      <c r="AN1006" s="125">
        <f>IFERROR(R1006/AL1006,"")</f>
        <v/>
      </c>
      <c r="AO1006" s="122" t="n">
        <v>1</v>
      </c>
      <c r="AP1006" s="54">
        <f>IFERROR(AO1006/AL1006,"")</f>
        <v/>
      </c>
      <c r="AQ1006" s="125">
        <f>IFERROR(R1006/AO1006,"")</f>
        <v/>
      </c>
      <c r="AR1006" s="122" t="n">
        <v>0</v>
      </c>
      <c r="AS1006" s="122" t="n">
        <v>0</v>
      </c>
      <c r="AT1006" s="122">
        <f>AL1006+AR1006</f>
        <v/>
      </c>
      <c r="AU1006" s="125">
        <f>IFERROR(AO1006*Assumptions!$C$26*Assumptions!$C$27*INDEX(Assumptions!$C$18:$C$21,MATCH(H1006,Assumptions!$B$18:$B$21,0)),0)</f>
        <v/>
      </c>
    </row>
    <row r="1007">
      <c r="A1007" s="120" t="n">
        <v>46241</v>
      </c>
      <c r="B1007" s="66" t="inlineStr">
        <is>
          <t>Wk 32</t>
        </is>
      </c>
      <c r="C1007" s="66" t="inlineStr">
        <is>
          <t>Fri</t>
        </is>
      </c>
      <c r="D1007" s="66" t="inlineStr">
        <is>
          <t>TikTok</t>
        </is>
      </c>
      <c r="E1007" s="66" t="inlineStr">
        <is>
          <t>TikTok</t>
        </is>
      </c>
      <c r="F1007" s="66" t="inlineStr">
        <is>
          <t>LEP_ZA_AUG26_TT_TD_AMUR_CONV</t>
        </is>
      </c>
      <c r="G1007" s="66" t="inlineStr">
        <is>
          <t>Website Conversions</t>
        </is>
      </c>
      <c r="H1007" s="66" t="inlineStr">
        <is>
          <t>AMUR</t>
        </is>
      </c>
      <c r="I1007" s="66" t="inlineStr">
        <is>
          <t>0% Deposit</t>
        </is>
      </c>
      <c r="J1007" s="66" t="inlineStr">
        <is>
          <t>TT_AMUR_AUTOTGT_18-34_ZA</t>
        </is>
      </c>
      <c r="K1007" s="66" t="inlineStr">
        <is>
          <t>Prospecting</t>
        </is>
      </c>
      <c r="L1007" s="66" t="inlineStr">
        <is>
          <t>TT_AMUR_UGC_15s_FirstCar_v1</t>
        </is>
      </c>
      <c r="M1007" s="66" t="inlineStr">
        <is>
          <t>Video 9:16</t>
        </is>
      </c>
      <c r="N1007" s="66" t="inlineStr">
        <is>
          <t>POV: your first car isn't second-hand</t>
        </is>
      </c>
      <c r="O1007" s="66" t="inlineStr">
        <is>
          <t>Auction - Lowest Cost</t>
        </is>
      </c>
      <c r="P1007" s="66" t="inlineStr">
        <is>
          <t>Complete Payment / Lead</t>
        </is>
      </c>
      <c r="Q1007" s="66" t="inlineStr">
        <is>
          <t>https://www.lepas-sa.co.za/offers/amur</t>
        </is>
      </c>
      <c r="R1007" s="121" t="n">
        <v>343.59</v>
      </c>
      <c r="S1007" s="122" t="n">
        <v>9598</v>
      </c>
      <c r="T1007" s="122" t="n">
        <v>5777</v>
      </c>
      <c r="U1007" s="123">
        <f>IFERROR(S1007/T1007,"")</f>
        <v/>
      </c>
      <c r="V1007" s="122" t="n">
        <v>133</v>
      </c>
      <c r="W1007" s="122" t="n">
        <v>97</v>
      </c>
      <c r="X1007" s="124">
        <f>IFERROR(W1007/S1007,"")</f>
        <v/>
      </c>
      <c r="Y1007" s="121">
        <f>IFERROR(R1007/W1007,"")</f>
        <v/>
      </c>
      <c r="Z1007" s="121">
        <f>IFERROR(R1007/S1007*1000,"")</f>
        <v/>
      </c>
      <c r="AA1007" s="122" t="n">
        <v>69</v>
      </c>
      <c r="AB1007" s="54">
        <f>IFERROR(AA1007/W1007,"")</f>
        <v/>
      </c>
      <c r="AC1007" s="122" t="n">
        <v>2248</v>
      </c>
      <c r="AD1007" s="122" t="n">
        <v>1190</v>
      </c>
      <c r="AE1007" s="122" t="n">
        <v>1011</v>
      </c>
      <c r="AF1007" s="122" t="n">
        <v>615</v>
      </c>
      <c r="AG1007" s="122" t="n">
        <v>454</v>
      </c>
      <c r="AH1007" s="122" t="n">
        <v>269</v>
      </c>
      <c r="AI1007" s="54">
        <f>IFERROR(AC1007/S1007,"")</f>
        <v/>
      </c>
      <c r="AJ1007" s="54">
        <f>IFERROR(AH1007/S1007,"")</f>
        <v/>
      </c>
      <c r="AK1007" s="122" t="n">
        <v>348</v>
      </c>
      <c r="AL1007" s="122" t="n">
        <v>0</v>
      </c>
      <c r="AM1007" s="124">
        <f>IFERROR(AL1007/AA1007,"")</f>
        <v/>
      </c>
      <c r="AN1007" s="125">
        <f>IFERROR(R1007/AL1007,"")</f>
        <v/>
      </c>
      <c r="AO1007" s="122" t="n">
        <v>0</v>
      </c>
      <c r="AP1007" s="54">
        <f>IFERROR(AO1007/AL1007,"")</f>
        <v/>
      </c>
      <c r="AQ1007" s="125">
        <f>IFERROR(R1007/AO1007,"")</f>
        <v/>
      </c>
      <c r="AR1007" s="122" t="n">
        <v>0</v>
      </c>
      <c r="AS1007" s="122" t="n">
        <v>0</v>
      </c>
      <c r="AT1007" s="122">
        <f>AL1007+AR1007</f>
        <v/>
      </c>
      <c r="AU1007" s="125">
        <f>IFERROR(AO1007*Assumptions!$C$26*Assumptions!$C$27*INDEX(Assumptions!$C$18:$C$21,MATCH(H1007,Assumptions!$B$18:$B$21,0)),0)</f>
        <v/>
      </c>
    </row>
    <row r="1008">
      <c r="A1008" s="120" t="n">
        <v>46242</v>
      </c>
      <c r="B1008" s="66" t="inlineStr">
        <is>
          <t>Wk 32</t>
        </is>
      </c>
      <c r="C1008" s="66" t="inlineStr">
        <is>
          <t>Sat</t>
        </is>
      </c>
      <c r="D1008" s="66" t="inlineStr">
        <is>
          <t>TikTok</t>
        </is>
      </c>
      <c r="E1008" s="66" t="inlineStr">
        <is>
          <t>TikTok</t>
        </is>
      </c>
      <c r="F1008" s="66" t="inlineStr">
        <is>
          <t>LEP_ZA_AUG26_TT_TD_AMUR_CONV</t>
        </is>
      </c>
      <c r="G1008" s="66" t="inlineStr">
        <is>
          <t>Website Conversions</t>
        </is>
      </c>
      <c r="H1008" s="66" t="inlineStr">
        <is>
          <t>AMUR</t>
        </is>
      </c>
      <c r="I1008" s="66" t="inlineStr">
        <is>
          <t>0% Deposit</t>
        </is>
      </c>
      <c r="J1008" s="66" t="inlineStr">
        <is>
          <t>TT_AMUR_AUTOTGT_18-34_ZA</t>
        </is>
      </c>
      <c r="K1008" s="66" t="inlineStr">
        <is>
          <t>Prospecting</t>
        </is>
      </c>
      <c r="L1008" s="66" t="inlineStr">
        <is>
          <t>TT_AMUR_UGC_15s_FirstCar_v1</t>
        </is>
      </c>
      <c r="M1008" s="66" t="inlineStr">
        <is>
          <t>Video 9:16</t>
        </is>
      </c>
      <c r="N1008" s="66" t="inlineStr">
        <is>
          <t>POV: your first car isn't second-hand</t>
        </is>
      </c>
      <c r="O1008" s="66" t="inlineStr">
        <is>
          <t>Auction - Lowest Cost</t>
        </is>
      </c>
      <c r="P1008" s="66" t="inlineStr">
        <is>
          <t>Complete Payment / Lead</t>
        </is>
      </c>
      <c r="Q1008" s="66" t="inlineStr">
        <is>
          <t>https://www.lepas-sa.co.za/offers/amur</t>
        </is>
      </c>
      <c r="R1008" s="121" t="n">
        <v>353.13</v>
      </c>
      <c r="S1008" s="122" t="n">
        <v>9702</v>
      </c>
      <c r="T1008" s="122" t="n">
        <v>7305</v>
      </c>
      <c r="U1008" s="123">
        <f>IFERROR(S1008/T1008,"")</f>
        <v/>
      </c>
      <c r="V1008" s="122" t="n">
        <v>129</v>
      </c>
      <c r="W1008" s="122" t="n">
        <v>95</v>
      </c>
      <c r="X1008" s="124">
        <f>IFERROR(W1008/S1008,"")</f>
        <v/>
      </c>
      <c r="Y1008" s="121">
        <f>IFERROR(R1008/W1008,"")</f>
        <v/>
      </c>
      <c r="Z1008" s="121">
        <f>IFERROR(R1008/S1008*1000,"")</f>
        <v/>
      </c>
      <c r="AA1008" s="122" t="n">
        <v>66</v>
      </c>
      <c r="AB1008" s="54">
        <f>IFERROR(AA1008/W1008,"")</f>
        <v/>
      </c>
      <c r="AC1008" s="122" t="n">
        <v>3582</v>
      </c>
      <c r="AD1008" s="122" t="n">
        <v>1794</v>
      </c>
      <c r="AE1008" s="122" t="n">
        <v>1533</v>
      </c>
      <c r="AF1008" s="122" t="n">
        <v>908</v>
      </c>
      <c r="AG1008" s="122" t="n">
        <v>661</v>
      </c>
      <c r="AH1008" s="122" t="n">
        <v>374</v>
      </c>
      <c r="AI1008" s="54">
        <f>IFERROR(AC1008/S1008,"")</f>
        <v/>
      </c>
      <c r="AJ1008" s="54">
        <f>IFERROR(AH1008/S1008,"")</f>
        <v/>
      </c>
      <c r="AK1008" s="122" t="n">
        <v>211</v>
      </c>
      <c r="AL1008" s="122" t="n">
        <v>1</v>
      </c>
      <c r="AM1008" s="124">
        <f>IFERROR(AL1008/AA1008,"")</f>
        <v/>
      </c>
      <c r="AN1008" s="125">
        <f>IFERROR(R1008/AL1008,"")</f>
        <v/>
      </c>
      <c r="AO1008" s="122" t="n">
        <v>0</v>
      </c>
      <c r="AP1008" s="54">
        <f>IFERROR(AO1008/AL1008,"")</f>
        <v/>
      </c>
      <c r="AQ1008" s="125">
        <f>IFERROR(R1008/AO1008,"")</f>
        <v/>
      </c>
      <c r="AR1008" s="122" t="n">
        <v>0</v>
      </c>
      <c r="AS1008" s="122" t="n">
        <v>0</v>
      </c>
      <c r="AT1008" s="122">
        <f>AL1008+AR1008</f>
        <v/>
      </c>
      <c r="AU1008" s="125">
        <f>IFERROR(AO1008*Assumptions!$C$26*Assumptions!$C$27*INDEX(Assumptions!$C$18:$C$21,MATCH(H1008,Assumptions!$B$18:$B$21,0)),0)</f>
        <v/>
      </c>
    </row>
    <row r="1009">
      <c r="A1009" s="120" t="n">
        <v>46243</v>
      </c>
      <c r="B1009" s="66" t="inlineStr">
        <is>
          <t>Wk 32</t>
        </is>
      </c>
      <c r="C1009" s="66" t="inlineStr">
        <is>
          <t>Sun</t>
        </is>
      </c>
      <c r="D1009" s="66" t="inlineStr">
        <is>
          <t>TikTok</t>
        </is>
      </c>
      <c r="E1009" s="66" t="inlineStr">
        <is>
          <t>TikTok</t>
        </is>
      </c>
      <c r="F1009" s="66" t="inlineStr">
        <is>
          <t>LEP_ZA_AUG26_TT_TD_AMUR_CONV</t>
        </is>
      </c>
      <c r="G1009" s="66" t="inlineStr">
        <is>
          <t>Website Conversions</t>
        </is>
      </c>
      <c r="H1009" s="66" t="inlineStr">
        <is>
          <t>AMUR</t>
        </is>
      </c>
      <c r="I1009" s="66" t="inlineStr">
        <is>
          <t>0% Deposit</t>
        </is>
      </c>
      <c r="J1009" s="66" t="inlineStr">
        <is>
          <t>TT_AMUR_AUTOTGT_18-34_ZA</t>
        </is>
      </c>
      <c r="K1009" s="66" t="inlineStr">
        <is>
          <t>Prospecting</t>
        </is>
      </c>
      <c r="L1009" s="66" t="inlineStr">
        <is>
          <t>TT_AMUR_UGC_15s_FirstCar_v1</t>
        </is>
      </c>
      <c r="M1009" s="66" t="inlineStr">
        <is>
          <t>Video 9:16</t>
        </is>
      </c>
      <c r="N1009" s="66" t="inlineStr">
        <is>
          <t>POV: your first car isn't second-hand</t>
        </is>
      </c>
      <c r="O1009" s="66" t="inlineStr">
        <is>
          <t>Auction - Lowest Cost</t>
        </is>
      </c>
      <c r="P1009" s="66" t="inlineStr">
        <is>
          <t>Complete Payment / Lead</t>
        </is>
      </c>
      <c r="Q1009" s="66" t="inlineStr">
        <is>
          <t>https://www.lepas-sa.co.za/offers/amur</t>
        </is>
      </c>
      <c r="R1009" s="121" t="n">
        <v>284.32</v>
      </c>
      <c r="S1009" s="122" t="n">
        <v>6533</v>
      </c>
      <c r="T1009" s="122" t="n">
        <v>4280</v>
      </c>
      <c r="U1009" s="123">
        <f>IFERROR(S1009/T1009,"")</f>
        <v/>
      </c>
      <c r="V1009" s="122" t="n">
        <v>52</v>
      </c>
      <c r="W1009" s="122" t="n">
        <v>42</v>
      </c>
      <c r="X1009" s="124">
        <f>IFERROR(W1009/S1009,"")</f>
        <v/>
      </c>
      <c r="Y1009" s="121">
        <f>IFERROR(R1009/W1009,"")</f>
        <v/>
      </c>
      <c r="Z1009" s="121">
        <f>IFERROR(R1009/S1009*1000,"")</f>
        <v/>
      </c>
      <c r="AA1009" s="122" t="n">
        <v>28</v>
      </c>
      <c r="AB1009" s="54">
        <f>IFERROR(AA1009/W1009,"")</f>
        <v/>
      </c>
      <c r="AC1009" s="122" t="n">
        <v>1570</v>
      </c>
      <c r="AD1009" s="122" t="n">
        <v>933</v>
      </c>
      <c r="AE1009" s="122" t="n">
        <v>613</v>
      </c>
      <c r="AF1009" s="122" t="n">
        <v>396</v>
      </c>
      <c r="AG1009" s="122" t="n">
        <v>252</v>
      </c>
      <c r="AH1009" s="122" t="n">
        <v>164</v>
      </c>
      <c r="AI1009" s="54">
        <f>IFERROR(AC1009/S1009,"")</f>
        <v/>
      </c>
      <c r="AJ1009" s="54">
        <f>IFERROR(AH1009/S1009,"")</f>
        <v/>
      </c>
      <c r="AK1009" s="122" t="n">
        <v>373</v>
      </c>
      <c r="AL1009" s="122" t="n">
        <v>0</v>
      </c>
      <c r="AM1009" s="124">
        <f>IFERROR(AL1009/AA1009,"")</f>
        <v/>
      </c>
      <c r="AN1009" s="125">
        <f>IFERROR(R1009/AL1009,"")</f>
        <v/>
      </c>
      <c r="AO1009" s="122" t="n">
        <v>0</v>
      </c>
      <c r="AP1009" s="54">
        <f>IFERROR(AO1009/AL1009,"")</f>
        <v/>
      </c>
      <c r="AQ1009" s="125">
        <f>IFERROR(R1009/AO1009,"")</f>
        <v/>
      </c>
      <c r="AR1009" s="122" t="n">
        <v>0</v>
      </c>
      <c r="AS1009" s="122" t="n">
        <v>0</v>
      </c>
      <c r="AT1009" s="122">
        <f>AL1009+AR1009</f>
        <v/>
      </c>
      <c r="AU1009" s="125">
        <f>IFERROR(AO1009*Assumptions!$C$26*Assumptions!$C$27*INDEX(Assumptions!$C$18:$C$21,MATCH(H1009,Assumptions!$B$18:$B$21,0)),0)</f>
        <v/>
      </c>
    </row>
    <row r="1010">
      <c r="A1010" s="120" t="n">
        <v>46244</v>
      </c>
      <c r="B1010" s="66" t="inlineStr">
        <is>
          <t>Wk 33</t>
        </is>
      </c>
      <c r="C1010" s="66" t="inlineStr">
        <is>
          <t>Mon</t>
        </is>
      </c>
      <c r="D1010" s="66" t="inlineStr">
        <is>
          <t>TikTok</t>
        </is>
      </c>
      <c r="E1010" s="66" t="inlineStr">
        <is>
          <t>TikTok</t>
        </is>
      </c>
      <c r="F1010" s="66" t="inlineStr">
        <is>
          <t>LEP_ZA_AUG26_TT_TD_AMUR_CONV</t>
        </is>
      </c>
      <c r="G1010" s="66" t="inlineStr">
        <is>
          <t>Website Conversions</t>
        </is>
      </c>
      <c r="H1010" s="66" t="inlineStr">
        <is>
          <t>AMUR</t>
        </is>
      </c>
      <c r="I1010" s="66" t="inlineStr">
        <is>
          <t>0% Deposit</t>
        </is>
      </c>
      <c r="J1010" s="66" t="inlineStr">
        <is>
          <t>TT_AMUR_AUTOTGT_18-34_ZA</t>
        </is>
      </c>
      <c r="K1010" s="66" t="inlineStr">
        <is>
          <t>Prospecting</t>
        </is>
      </c>
      <c r="L1010" s="66" t="inlineStr">
        <is>
          <t>TT_AMUR_UGC_15s_FirstCar_v1</t>
        </is>
      </c>
      <c r="M1010" s="66" t="inlineStr">
        <is>
          <t>Video 9:16</t>
        </is>
      </c>
      <c r="N1010" s="66" t="inlineStr">
        <is>
          <t>POV: your first car isn't second-hand</t>
        </is>
      </c>
      <c r="O1010" s="66" t="inlineStr">
        <is>
          <t>Auction - Lowest Cost</t>
        </is>
      </c>
      <c r="P1010" s="66" t="inlineStr">
        <is>
          <t>Complete Payment / Lead</t>
        </is>
      </c>
      <c r="Q1010" s="66" t="inlineStr">
        <is>
          <t>https://www.lepas-sa.co.za/offers/amur</t>
        </is>
      </c>
      <c r="R1010" s="121" t="n">
        <v>336.7</v>
      </c>
      <c r="S1010" s="122" t="n">
        <v>11287</v>
      </c>
      <c r="T1010" s="122" t="n">
        <v>6824</v>
      </c>
      <c r="U1010" s="123">
        <f>IFERROR(S1010/T1010,"")</f>
        <v/>
      </c>
      <c r="V1010" s="122" t="n">
        <v>150</v>
      </c>
      <c r="W1010" s="122" t="n">
        <v>111</v>
      </c>
      <c r="X1010" s="124">
        <f>IFERROR(W1010/S1010,"")</f>
        <v/>
      </c>
      <c r="Y1010" s="121">
        <f>IFERROR(R1010/W1010,"")</f>
        <v/>
      </c>
      <c r="Z1010" s="121">
        <f>IFERROR(R1010/S1010*1000,"")</f>
        <v/>
      </c>
      <c r="AA1010" s="122" t="n">
        <v>72</v>
      </c>
      <c r="AB1010" s="54">
        <f>IFERROR(AA1010/W1010,"")</f>
        <v/>
      </c>
      <c r="AC1010" s="122" t="n">
        <v>2871</v>
      </c>
      <c r="AD1010" s="122" t="n">
        <v>1453</v>
      </c>
      <c r="AE1010" s="122" t="n">
        <v>1224</v>
      </c>
      <c r="AF1010" s="122" t="n">
        <v>689</v>
      </c>
      <c r="AG1010" s="122" t="n">
        <v>497</v>
      </c>
      <c r="AH1010" s="122" t="n">
        <v>306</v>
      </c>
      <c r="AI1010" s="54">
        <f>IFERROR(AC1010/S1010,"")</f>
        <v/>
      </c>
      <c r="AJ1010" s="54">
        <f>IFERROR(AH1010/S1010,"")</f>
        <v/>
      </c>
      <c r="AK1010" s="122" t="n">
        <v>465</v>
      </c>
      <c r="AL1010" s="122" t="n">
        <v>1</v>
      </c>
      <c r="AM1010" s="124">
        <f>IFERROR(AL1010/AA1010,"")</f>
        <v/>
      </c>
      <c r="AN1010" s="125">
        <f>IFERROR(R1010/AL1010,"")</f>
        <v/>
      </c>
      <c r="AO1010" s="122" t="n">
        <v>0</v>
      </c>
      <c r="AP1010" s="54">
        <f>IFERROR(AO1010/AL1010,"")</f>
        <v/>
      </c>
      <c r="AQ1010" s="125">
        <f>IFERROR(R1010/AO1010,"")</f>
        <v/>
      </c>
      <c r="AR1010" s="122" t="n">
        <v>0</v>
      </c>
      <c r="AS1010" s="122" t="n">
        <v>1</v>
      </c>
      <c r="AT1010" s="122">
        <f>AL1010+AR1010</f>
        <v/>
      </c>
      <c r="AU1010" s="125">
        <f>IFERROR(AO1010*Assumptions!$C$26*Assumptions!$C$27*INDEX(Assumptions!$C$18:$C$21,MATCH(H1010,Assumptions!$B$18:$B$21,0)),0)</f>
        <v/>
      </c>
    </row>
    <row r="1011">
      <c r="A1011" s="120" t="n">
        <v>46245</v>
      </c>
      <c r="B1011" s="66" t="inlineStr">
        <is>
          <t>Wk 33</t>
        </is>
      </c>
      <c r="C1011" s="66" t="inlineStr">
        <is>
          <t>Tue</t>
        </is>
      </c>
      <c r="D1011" s="66" t="inlineStr">
        <is>
          <t>TikTok</t>
        </is>
      </c>
      <c r="E1011" s="66" t="inlineStr">
        <is>
          <t>TikTok</t>
        </is>
      </c>
      <c r="F1011" s="66" t="inlineStr">
        <is>
          <t>LEP_ZA_AUG26_TT_TD_AMUR_CONV</t>
        </is>
      </c>
      <c r="G1011" s="66" t="inlineStr">
        <is>
          <t>Website Conversions</t>
        </is>
      </c>
      <c r="H1011" s="66" t="inlineStr">
        <is>
          <t>AMUR</t>
        </is>
      </c>
      <c r="I1011" s="66" t="inlineStr">
        <is>
          <t>0% Deposit</t>
        </is>
      </c>
      <c r="J1011" s="66" t="inlineStr">
        <is>
          <t>TT_AMUR_AUTOTGT_18-34_ZA</t>
        </is>
      </c>
      <c r="K1011" s="66" t="inlineStr">
        <is>
          <t>Prospecting</t>
        </is>
      </c>
      <c r="L1011" s="66" t="inlineStr">
        <is>
          <t>TT_AMUR_UGC_15s_FirstCar_v1</t>
        </is>
      </c>
      <c r="M1011" s="66" t="inlineStr">
        <is>
          <t>Video 9:16</t>
        </is>
      </c>
      <c r="N1011" s="66" t="inlineStr">
        <is>
          <t>POV: your first car isn't second-hand</t>
        </is>
      </c>
      <c r="O1011" s="66" t="inlineStr">
        <is>
          <t>Auction - Lowest Cost</t>
        </is>
      </c>
      <c r="P1011" s="66" t="inlineStr">
        <is>
          <t>Complete Payment / Lead</t>
        </is>
      </c>
      <c r="Q1011" s="66" t="inlineStr">
        <is>
          <t>https://www.lepas-sa.co.za/offers/amur</t>
        </is>
      </c>
      <c r="R1011" s="121" t="n">
        <v>296.42</v>
      </c>
      <c r="S1011" s="122" t="n">
        <v>9481</v>
      </c>
      <c r="T1011" s="122" t="n">
        <v>6453</v>
      </c>
      <c r="U1011" s="123">
        <f>IFERROR(S1011/T1011,"")</f>
        <v/>
      </c>
      <c r="V1011" s="122" t="n">
        <v>151</v>
      </c>
      <c r="W1011" s="122" t="n">
        <v>107</v>
      </c>
      <c r="X1011" s="124">
        <f>IFERROR(W1011/S1011,"")</f>
        <v/>
      </c>
      <c r="Y1011" s="121">
        <f>IFERROR(R1011/W1011,"")</f>
        <v/>
      </c>
      <c r="Z1011" s="121">
        <f>IFERROR(R1011/S1011*1000,"")</f>
        <v/>
      </c>
      <c r="AA1011" s="122" t="n">
        <v>69</v>
      </c>
      <c r="AB1011" s="54">
        <f>IFERROR(AA1011/W1011,"")</f>
        <v/>
      </c>
      <c r="AC1011" s="122" t="n">
        <v>3251</v>
      </c>
      <c r="AD1011" s="122" t="n">
        <v>2033</v>
      </c>
      <c r="AE1011" s="122" t="n">
        <v>1727</v>
      </c>
      <c r="AF1011" s="122" t="n">
        <v>1169</v>
      </c>
      <c r="AG1011" s="122" t="n">
        <v>883</v>
      </c>
      <c r="AH1011" s="122" t="n">
        <v>653</v>
      </c>
      <c r="AI1011" s="54">
        <f>IFERROR(AC1011/S1011,"")</f>
        <v/>
      </c>
      <c r="AJ1011" s="54">
        <f>IFERROR(AH1011/S1011,"")</f>
        <v/>
      </c>
      <c r="AK1011" s="122" t="n">
        <v>388</v>
      </c>
      <c r="AL1011" s="122" t="n">
        <v>1</v>
      </c>
      <c r="AM1011" s="124">
        <f>IFERROR(AL1011/AA1011,"")</f>
        <v/>
      </c>
      <c r="AN1011" s="125">
        <f>IFERROR(R1011/AL1011,"")</f>
        <v/>
      </c>
      <c r="AO1011" s="122" t="n">
        <v>1</v>
      </c>
      <c r="AP1011" s="54">
        <f>IFERROR(AO1011/AL1011,"")</f>
        <v/>
      </c>
      <c r="AQ1011" s="125">
        <f>IFERROR(R1011/AO1011,"")</f>
        <v/>
      </c>
      <c r="AR1011" s="122" t="n">
        <v>0</v>
      </c>
      <c r="AS1011" s="122" t="n">
        <v>1</v>
      </c>
      <c r="AT1011" s="122">
        <f>AL1011+AR1011</f>
        <v/>
      </c>
      <c r="AU1011" s="125">
        <f>IFERROR(AO1011*Assumptions!$C$26*Assumptions!$C$27*INDEX(Assumptions!$C$18:$C$21,MATCH(H1011,Assumptions!$B$18:$B$21,0)),0)</f>
        <v/>
      </c>
    </row>
    <row r="1012">
      <c r="A1012" s="120" t="n">
        <v>46246</v>
      </c>
      <c r="B1012" s="66" t="inlineStr">
        <is>
          <t>Wk 33</t>
        </is>
      </c>
      <c r="C1012" s="66" t="inlineStr">
        <is>
          <t>Wed</t>
        </is>
      </c>
      <c r="D1012" s="66" t="inlineStr">
        <is>
          <t>TikTok</t>
        </is>
      </c>
      <c r="E1012" s="66" t="inlineStr">
        <is>
          <t>TikTok</t>
        </is>
      </c>
      <c r="F1012" s="66" t="inlineStr">
        <is>
          <t>LEP_ZA_AUG26_TT_TD_AMUR_CONV</t>
        </is>
      </c>
      <c r="G1012" s="66" t="inlineStr">
        <is>
          <t>Website Conversions</t>
        </is>
      </c>
      <c r="H1012" s="66" t="inlineStr">
        <is>
          <t>AMUR</t>
        </is>
      </c>
      <c r="I1012" s="66" t="inlineStr">
        <is>
          <t>0% Deposit</t>
        </is>
      </c>
      <c r="J1012" s="66" t="inlineStr">
        <is>
          <t>TT_AMUR_AUTOTGT_18-34_ZA</t>
        </is>
      </c>
      <c r="K1012" s="66" t="inlineStr">
        <is>
          <t>Prospecting</t>
        </is>
      </c>
      <c r="L1012" s="66" t="inlineStr">
        <is>
          <t>TT_AMUR_UGC_15s_FirstCar_v1</t>
        </is>
      </c>
      <c r="M1012" s="66" t="inlineStr">
        <is>
          <t>Video 9:16</t>
        </is>
      </c>
      <c r="N1012" s="66" t="inlineStr">
        <is>
          <t>POV: your first car isn't second-hand</t>
        </is>
      </c>
      <c r="O1012" s="66" t="inlineStr">
        <is>
          <t>Auction - Lowest Cost</t>
        </is>
      </c>
      <c r="P1012" s="66" t="inlineStr">
        <is>
          <t>Complete Payment / Lead</t>
        </is>
      </c>
      <c r="Q1012" s="66" t="inlineStr">
        <is>
          <t>https://www.lepas-sa.co.za/offers/amur</t>
        </is>
      </c>
      <c r="R1012" s="121" t="n">
        <v>342.12</v>
      </c>
      <c r="S1012" s="122" t="n">
        <v>8021</v>
      </c>
      <c r="T1012" s="122" t="n">
        <v>5077</v>
      </c>
      <c r="U1012" s="123">
        <f>IFERROR(S1012/T1012,"")</f>
        <v/>
      </c>
      <c r="V1012" s="122" t="n">
        <v>95</v>
      </c>
      <c r="W1012" s="122" t="n">
        <v>72</v>
      </c>
      <c r="X1012" s="124">
        <f>IFERROR(W1012/S1012,"")</f>
        <v/>
      </c>
      <c r="Y1012" s="121">
        <f>IFERROR(R1012/W1012,"")</f>
        <v/>
      </c>
      <c r="Z1012" s="121">
        <f>IFERROR(R1012/S1012*1000,"")</f>
        <v/>
      </c>
      <c r="AA1012" s="122" t="n">
        <v>54</v>
      </c>
      <c r="AB1012" s="54">
        <f>IFERROR(AA1012/W1012,"")</f>
        <v/>
      </c>
      <c r="AC1012" s="122" t="n">
        <v>2942</v>
      </c>
      <c r="AD1012" s="122" t="n">
        <v>1314</v>
      </c>
      <c r="AE1012" s="122" t="n">
        <v>1569</v>
      </c>
      <c r="AF1012" s="122" t="n">
        <v>1084</v>
      </c>
      <c r="AG1012" s="122" t="n">
        <v>852</v>
      </c>
      <c r="AH1012" s="122" t="n">
        <v>511</v>
      </c>
      <c r="AI1012" s="54">
        <f>IFERROR(AC1012/S1012,"")</f>
        <v/>
      </c>
      <c r="AJ1012" s="54">
        <f>IFERROR(AH1012/S1012,"")</f>
        <v/>
      </c>
      <c r="AK1012" s="122" t="n">
        <v>255</v>
      </c>
      <c r="AL1012" s="122" t="n">
        <v>1</v>
      </c>
      <c r="AM1012" s="124">
        <f>IFERROR(AL1012/AA1012,"")</f>
        <v/>
      </c>
      <c r="AN1012" s="125">
        <f>IFERROR(R1012/AL1012,"")</f>
        <v/>
      </c>
      <c r="AO1012" s="122" t="n">
        <v>1</v>
      </c>
      <c r="AP1012" s="54">
        <f>IFERROR(AO1012/AL1012,"")</f>
        <v/>
      </c>
      <c r="AQ1012" s="125">
        <f>IFERROR(R1012/AO1012,"")</f>
        <v/>
      </c>
      <c r="AR1012" s="122" t="n">
        <v>0</v>
      </c>
      <c r="AS1012" s="122" t="n">
        <v>0</v>
      </c>
      <c r="AT1012" s="122">
        <f>AL1012+AR1012</f>
        <v/>
      </c>
      <c r="AU1012" s="125">
        <f>IFERROR(AO1012*Assumptions!$C$26*Assumptions!$C$27*INDEX(Assumptions!$C$18:$C$21,MATCH(H1012,Assumptions!$B$18:$B$21,0)),0)</f>
        <v/>
      </c>
    </row>
    <row r="1013">
      <c r="A1013" s="120" t="n">
        <v>46247</v>
      </c>
      <c r="B1013" s="66" t="inlineStr">
        <is>
          <t>Wk 33</t>
        </is>
      </c>
      <c r="C1013" s="66" t="inlineStr">
        <is>
          <t>Thu</t>
        </is>
      </c>
      <c r="D1013" s="66" t="inlineStr">
        <is>
          <t>TikTok</t>
        </is>
      </c>
      <c r="E1013" s="66" t="inlineStr">
        <is>
          <t>TikTok</t>
        </is>
      </c>
      <c r="F1013" s="66" t="inlineStr">
        <is>
          <t>LEP_ZA_AUG26_TT_TD_AMUR_CONV</t>
        </is>
      </c>
      <c r="G1013" s="66" t="inlineStr">
        <is>
          <t>Website Conversions</t>
        </is>
      </c>
      <c r="H1013" s="66" t="inlineStr">
        <is>
          <t>AMUR</t>
        </is>
      </c>
      <c r="I1013" s="66" t="inlineStr">
        <is>
          <t>0% Deposit</t>
        </is>
      </c>
      <c r="J1013" s="66" t="inlineStr">
        <is>
          <t>TT_AMUR_AUTOTGT_18-34_ZA</t>
        </is>
      </c>
      <c r="K1013" s="66" t="inlineStr">
        <is>
          <t>Prospecting</t>
        </is>
      </c>
      <c r="L1013" s="66" t="inlineStr">
        <is>
          <t>TT_AMUR_UGC_15s_FirstCar_v1</t>
        </is>
      </c>
      <c r="M1013" s="66" t="inlineStr">
        <is>
          <t>Video 9:16</t>
        </is>
      </c>
      <c r="N1013" s="66" t="inlineStr">
        <is>
          <t>POV: your first car isn't second-hand</t>
        </is>
      </c>
      <c r="O1013" s="66" t="inlineStr">
        <is>
          <t>Auction - Lowest Cost</t>
        </is>
      </c>
      <c r="P1013" s="66" t="inlineStr">
        <is>
          <t>Complete Payment / Lead</t>
        </is>
      </c>
      <c r="Q1013" s="66" t="inlineStr">
        <is>
          <t>https://www.lepas-sa.co.za/offers/amur</t>
        </is>
      </c>
      <c r="R1013" s="121" t="n">
        <v>321.41</v>
      </c>
      <c r="S1013" s="122" t="n">
        <v>9062</v>
      </c>
      <c r="T1013" s="122" t="n">
        <v>5155</v>
      </c>
      <c r="U1013" s="123">
        <f>IFERROR(S1013/T1013,"")</f>
        <v/>
      </c>
      <c r="V1013" s="122" t="n">
        <v>84</v>
      </c>
      <c r="W1013" s="122" t="n">
        <v>69</v>
      </c>
      <c r="X1013" s="124">
        <f>IFERROR(W1013/S1013,"")</f>
        <v/>
      </c>
      <c r="Y1013" s="121">
        <f>IFERROR(R1013/W1013,"")</f>
        <v/>
      </c>
      <c r="Z1013" s="121">
        <f>IFERROR(R1013/S1013*1000,"")</f>
        <v/>
      </c>
      <c r="AA1013" s="122" t="n">
        <v>51</v>
      </c>
      <c r="AB1013" s="54">
        <f>IFERROR(AA1013/W1013,"")</f>
        <v/>
      </c>
      <c r="AC1013" s="122" t="n">
        <v>2165</v>
      </c>
      <c r="AD1013" s="122" t="n">
        <v>1045</v>
      </c>
      <c r="AE1013" s="122" t="n">
        <v>884</v>
      </c>
      <c r="AF1013" s="122" t="n">
        <v>607</v>
      </c>
      <c r="AG1013" s="122" t="n">
        <v>477</v>
      </c>
      <c r="AH1013" s="122" t="n">
        <v>324</v>
      </c>
      <c r="AI1013" s="54">
        <f>IFERROR(AC1013/S1013,"")</f>
        <v/>
      </c>
      <c r="AJ1013" s="54">
        <f>IFERROR(AH1013/S1013,"")</f>
        <v/>
      </c>
      <c r="AK1013" s="122" t="n">
        <v>201</v>
      </c>
      <c r="AL1013" s="122" t="n">
        <v>0</v>
      </c>
      <c r="AM1013" s="124">
        <f>IFERROR(AL1013/AA1013,"")</f>
        <v/>
      </c>
      <c r="AN1013" s="125">
        <f>IFERROR(R1013/AL1013,"")</f>
        <v/>
      </c>
      <c r="AO1013" s="122" t="n">
        <v>0</v>
      </c>
      <c r="AP1013" s="54">
        <f>IFERROR(AO1013/AL1013,"")</f>
        <v/>
      </c>
      <c r="AQ1013" s="125">
        <f>IFERROR(R1013/AO1013,"")</f>
        <v/>
      </c>
      <c r="AR1013" s="122" t="n">
        <v>0</v>
      </c>
      <c r="AS1013" s="122" t="n">
        <v>0</v>
      </c>
      <c r="AT1013" s="122">
        <f>AL1013+AR1013</f>
        <v/>
      </c>
      <c r="AU1013" s="125">
        <f>IFERROR(AO1013*Assumptions!$C$26*Assumptions!$C$27*INDEX(Assumptions!$C$18:$C$21,MATCH(H1013,Assumptions!$B$18:$B$21,0)),0)</f>
        <v/>
      </c>
    </row>
    <row r="1014">
      <c r="A1014" s="120" t="n">
        <v>46248</v>
      </c>
      <c r="B1014" s="66" t="inlineStr">
        <is>
          <t>Wk 33</t>
        </is>
      </c>
      <c r="C1014" s="66" t="inlineStr">
        <is>
          <t>Fri</t>
        </is>
      </c>
      <c r="D1014" s="66" t="inlineStr">
        <is>
          <t>TikTok</t>
        </is>
      </c>
      <c r="E1014" s="66" t="inlineStr">
        <is>
          <t>TikTok</t>
        </is>
      </c>
      <c r="F1014" s="66" t="inlineStr">
        <is>
          <t>LEP_ZA_AUG26_TT_TD_AMUR_CONV</t>
        </is>
      </c>
      <c r="G1014" s="66" t="inlineStr">
        <is>
          <t>Website Conversions</t>
        </is>
      </c>
      <c r="H1014" s="66" t="inlineStr">
        <is>
          <t>AMUR</t>
        </is>
      </c>
      <c r="I1014" s="66" t="inlineStr">
        <is>
          <t>0% Deposit</t>
        </is>
      </c>
      <c r="J1014" s="66" t="inlineStr">
        <is>
          <t>TT_AMUR_AUTOTGT_18-34_ZA</t>
        </is>
      </c>
      <c r="K1014" s="66" t="inlineStr">
        <is>
          <t>Prospecting</t>
        </is>
      </c>
      <c r="L1014" s="66" t="inlineStr">
        <is>
          <t>TT_AMUR_UGC_15s_FirstCar_v1</t>
        </is>
      </c>
      <c r="M1014" s="66" t="inlineStr">
        <is>
          <t>Video 9:16</t>
        </is>
      </c>
      <c r="N1014" s="66" t="inlineStr">
        <is>
          <t>POV: your first car isn't second-hand</t>
        </is>
      </c>
      <c r="O1014" s="66" t="inlineStr">
        <is>
          <t>Auction - Lowest Cost</t>
        </is>
      </c>
      <c r="P1014" s="66" t="inlineStr">
        <is>
          <t>Complete Payment / Lead</t>
        </is>
      </c>
      <c r="Q1014" s="66" t="inlineStr">
        <is>
          <t>https://www.lepas-sa.co.za/offers/amur</t>
        </is>
      </c>
      <c r="R1014" s="121" t="n">
        <v>360.07</v>
      </c>
      <c r="S1014" s="122" t="n">
        <v>12903</v>
      </c>
      <c r="T1014" s="122" t="n">
        <v>9210</v>
      </c>
      <c r="U1014" s="123">
        <f>IFERROR(S1014/T1014,"")</f>
        <v/>
      </c>
      <c r="V1014" s="122" t="n">
        <v>115</v>
      </c>
      <c r="W1014" s="122" t="n">
        <v>96</v>
      </c>
      <c r="X1014" s="124">
        <f>IFERROR(W1014/S1014,"")</f>
        <v/>
      </c>
      <c r="Y1014" s="121">
        <f>IFERROR(R1014/W1014,"")</f>
        <v/>
      </c>
      <c r="Z1014" s="121">
        <f>IFERROR(R1014/S1014*1000,"")</f>
        <v/>
      </c>
      <c r="AA1014" s="122" t="n">
        <v>61</v>
      </c>
      <c r="AB1014" s="54">
        <f>IFERROR(AA1014/W1014,"")</f>
        <v/>
      </c>
      <c r="AC1014" s="122" t="n">
        <v>3788</v>
      </c>
      <c r="AD1014" s="122" t="n">
        <v>1927</v>
      </c>
      <c r="AE1014" s="122" t="n">
        <v>1927</v>
      </c>
      <c r="AF1014" s="122" t="n">
        <v>1112</v>
      </c>
      <c r="AG1014" s="122" t="n">
        <v>812</v>
      </c>
      <c r="AH1014" s="122" t="n">
        <v>482</v>
      </c>
      <c r="AI1014" s="54">
        <f>IFERROR(AC1014/S1014,"")</f>
        <v/>
      </c>
      <c r="AJ1014" s="54">
        <f>IFERROR(AH1014/S1014,"")</f>
        <v/>
      </c>
      <c r="AK1014" s="122" t="n">
        <v>524</v>
      </c>
      <c r="AL1014" s="122" t="n">
        <v>1</v>
      </c>
      <c r="AM1014" s="124">
        <f>IFERROR(AL1014/AA1014,"")</f>
        <v/>
      </c>
      <c r="AN1014" s="125">
        <f>IFERROR(R1014/AL1014,"")</f>
        <v/>
      </c>
      <c r="AO1014" s="122" t="n">
        <v>0</v>
      </c>
      <c r="AP1014" s="54">
        <f>IFERROR(AO1014/AL1014,"")</f>
        <v/>
      </c>
      <c r="AQ1014" s="125">
        <f>IFERROR(R1014/AO1014,"")</f>
        <v/>
      </c>
      <c r="AR1014" s="122" t="n">
        <v>0</v>
      </c>
      <c r="AS1014" s="122" t="n">
        <v>0</v>
      </c>
      <c r="AT1014" s="122">
        <f>AL1014+AR1014</f>
        <v/>
      </c>
      <c r="AU1014" s="125">
        <f>IFERROR(AO1014*Assumptions!$C$26*Assumptions!$C$27*INDEX(Assumptions!$C$18:$C$21,MATCH(H1014,Assumptions!$B$18:$B$21,0)),0)</f>
        <v/>
      </c>
    </row>
    <row r="1015">
      <c r="A1015" s="120" t="n">
        <v>46249</v>
      </c>
      <c r="B1015" s="66" t="inlineStr">
        <is>
          <t>Wk 33</t>
        </is>
      </c>
      <c r="C1015" s="66" t="inlineStr">
        <is>
          <t>Sat</t>
        </is>
      </c>
      <c r="D1015" s="66" t="inlineStr">
        <is>
          <t>TikTok</t>
        </is>
      </c>
      <c r="E1015" s="66" t="inlineStr">
        <is>
          <t>TikTok</t>
        </is>
      </c>
      <c r="F1015" s="66" t="inlineStr">
        <is>
          <t>LEP_ZA_AUG26_TT_TD_AMUR_CONV</t>
        </is>
      </c>
      <c r="G1015" s="66" t="inlineStr">
        <is>
          <t>Website Conversions</t>
        </is>
      </c>
      <c r="H1015" s="66" t="inlineStr">
        <is>
          <t>AMUR</t>
        </is>
      </c>
      <c r="I1015" s="66" t="inlineStr">
        <is>
          <t>0% Deposit</t>
        </is>
      </c>
      <c r="J1015" s="66" t="inlineStr">
        <is>
          <t>TT_AMUR_AUTOTGT_18-34_ZA</t>
        </is>
      </c>
      <c r="K1015" s="66" t="inlineStr">
        <is>
          <t>Prospecting</t>
        </is>
      </c>
      <c r="L1015" s="66" t="inlineStr">
        <is>
          <t>TT_AMUR_UGC_15s_FirstCar_v1</t>
        </is>
      </c>
      <c r="M1015" s="66" t="inlineStr">
        <is>
          <t>Video 9:16</t>
        </is>
      </c>
      <c r="N1015" s="66" t="inlineStr">
        <is>
          <t>POV: your first car isn't second-hand</t>
        </is>
      </c>
      <c r="O1015" s="66" t="inlineStr">
        <is>
          <t>Auction - Lowest Cost</t>
        </is>
      </c>
      <c r="P1015" s="66" t="inlineStr">
        <is>
          <t>Complete Payment / Lead</t>
        </is>
      </c>
      <c r="Q1015" s="66" t="inlineStr">
        <is>
          <t>https://www.lepas-sa.co.za/offers/amur</t>
        </is>
      </c>
      <c r="R1015" s="121" t="n">
        <v>388.72</v>
      </c>
      <c r="S1015" s="122" t="n">
        <v>9900</v>
      </c>
      <c r="T1015" s="122" t="n">
        <v>5853</v>
      </c>
      <c r="U1015" s="123">
        <f>IFERROR(S1015/T1015,"")</f>
        <v/>
      </c>
      <c r="V1015" s="122" t="n">
        <v>138</v>
      </c>
      <c r="W1015" s="122" t="n">
        <v>98</v>
      </c>
      <c r="X1015" s="124">
        <f>IFERROR(W1015/S1015,"")</f>
        <v/>
      </c>
      <c r="Y1015" s="121">
        <f>IFERROR(R1015/W1015,"")</f>
        <v/>
      </c>
      <c r="Z1015" s="121">
        <f>IFERROR(R1015/S1015*1000,"")</f>
        <v/>
      </c>
      <c r="AA1015" s="122" t="n">
        <v>72</v>
      </c>
      <c r="AB1015" s="54">
        <f>IFERROR(AA1015/W1015,"")</f>
        <v/>
      </c>
      <c r="AC1015" s="122" t="n">
        <v>3999</v>
      </c>
      <c r="AD1015" s="122" t="n">
        <v>2503</v>
      </c>
      <c r="AE1015" s="122" t="n">
        <v>1888</v>
      </c>
      <c r="AF1015" s="122" t="n">
        <v>989</v>
      </c>
      <c r="AG1015" s="122" t="n">
        <v>692</v>
      </c>
      <c r="AH1015" s="122" t="n">
        <v>472</v>
      </c>
      <c r="AI1015" s="54">
        <f>IFERROR(AC1015/S1015,"")</f>
        <v/>
      </c>
      <c r="AJ1015" s="54">
        <f>IFERROR(AH1015/S1015,"")</f>
        <v/>
      </c>
      <c r="AK1015" s="122" t="n">
        <v>563</v>
      </c>
      <c r="AL1015" s="122" t="n">
        <v>0</v>
      </c>
      <c r="AM1015" s="124">
        <f>IFERROR(AL1015/AA1015,"")</f>
        <v/>
      </c>
      <c r="AN1015" s="125">
        <f>IFERROR(R1015/AL1015,"")</f>
        <v/>
      </c>
      <c r="AO1015" s="122" t="n">
        <v>0</v>
      </c>
      <c r="AP1015" s="54">
        <f>IFERROR(AO1015/AL1015,"")</f>
        <v/>
      </c>
      <c r="AQ1015" s="125">
        <f>IFERROR(R1015/AO1015,"")</f>
        <v/>
      </c>
      <c r="AR1015" s="122" t="n">
        <v>0</v>
      </c>
      <c r="AS1015" s="122" t="n">
        <v>0</v>
      </c>
      <c r="AT1015" s="122">
        <f>AL1015+AR1015</f>
        <v/>
      </c>
      <c r="AU1015" s="125">
        <f>IFERROR(AO1015*Assumptions!$C$26*Assumptions!$C$27*INDEX(Assumptions!$C$18:$C$21,MATCH(H1015,Assumptions!$B$18:$B$21,0)),0)</f>
        <v/>
      </c>
    </row>
    <row r="1016">
      <c r="A1016" s="120" t="n">
        <v>46250</v>
      </c>
      <c r="B1016" s="66" t="inlineStr">
        <is>
          <t>Wk 33</t>
        </is>
      </c>
      <c r="C1016" s="66" t="inlineStr">
        <is>
          <t>Sun</t>
        </is>
      </c>
      <c r="D1016" s="66" t="inlineStr">
        <is>
          <t>TikTok</t>
        </is>
      </c>
      <c r="E1016" s="66" t="inlineStr">
        <is>
          <t>TikTok</t>
        </is>
      </c>
      <c r="F1016" s="66" t="inlineStr">
        <is>
          <t>LEP_ZA_AUG26_TT_TD_AMUR_CONV</t>
        </is>
      </c>
      <c r="G1016" s="66" t="inlineStr">
        <is>
          <t>Website Conversions</t>
        </is>
      </c>
      <c r="H1016" s="66" t="inlineStr">
        <is>
          <t>AMUR</t>
        </is>
      </c>
      <c r="I1016" s="66" t="inlineStr">
        <is>
          <t>0% Deposit</t>
        </is>
      </c>
      <c r="J1016" s="66" t="inlineStr">
        <is>
          <t>TT_AMUR_AUTOTGT_18-34_ZA</t>
        </is>
      </c>
      <c r="K1016" s="66" t="inlineStr">
        <is>
          <t>Prospecting</t>
        </is>
      </c>
      <c r="L1016" s="66" t="inlineStr">
        <is>
          <t>TT_AMUR_UGC_15s_FirstCar_v1</t>
        </is>
      </c>
      <c r="M1016" s="66" t="inlineStr">
        <is>
          <t>Video 9:16</t>
        </is>
      </c>
      <c r="N1016" s="66" t="inlineStr">
        <is>
          <t>POV: your first car isn't second-hand</t>
        </is>
      </c>
      <c r="O1016" s="66" t="inlineStr">
        <is>
          <t>Auction - Lowest Cost</t>
        </is>
      </c>
      <c r="P1016" s="66" t="inlineStr">
        <is>
          <t>Complete Payment / Lead</t>
        </is>
      </c>
      <c r="Q1016" s="66" t="inlineStr">
        <is>
          <t>https://www.lepas-sa.co.za/offers/amur</t>
        </is>
      </c>
      <c r="R1016" s="121" t="n">
        <v>296.59</v>
      </c>
      <c r="S1016" s="122" t="n">
        <v>6763</v>
      </c>
      <c r="T1016" s="122" t="n">
        <v>3987</v>
      </c>
      <c r="U1016" s="123">
        <f>IFERROR(S1016/T1016,"")</f>
        <v/>
      </c>
      <c r="V1016" s="122" t="n">
        <v>72</v>
      </c>
      <c r="W1016" s="122" t="n">
        <v>52</v>
      </c>
      <c r="X1016" s="124">
        <f>IFERROR(W1016/S1016,"")</f>
        <v/>
      </c>
      <c r="Y1016" s="121">
        <f>IFERROR(R1016/W1016,"")</f>
        <v/>
      </c>
      <c r="Z1016" s="121">
        <f>IFERROR(R1016/S1016*1000,"")</f>
        <v/>
      </c>
      <c r="AA1016" s="122" t="n">
        <v>39</v>
      </c>
      <c r="AB1016" s="54">
        <f>IFERROR(AA1016/W1016,"")</f>
        <v/>
      </c>
      <c r="AC1016" s="122" t="n">
        <v>2031</v>
      </c>
      <c r="AD1016" s="122" t="n">
        <v>1048</v>
      </c>
      <c r="AE1016" s="122" t="n">
        <v>901</v>
      </c>
      <c r="AF1016" s="122" t="n">
        <v>608</v>
      </c>
      <c r="AG1016" s="122" t="n">
        <v>399</v>
      </c>
      <c r="AH1016" s="122" t="n">
        <v>263</v>
      </c>
      <c r="AI1016" s="54">
        <f>IFERROR(AC1016/S1016,"")</f>
        <v/>
      </c>
      <c r="AJ1016" s="54">
        <f>IFERROR(AH1016/S1016,"")</f>
        <v/>
      </c>
      <c r="AK1016" s="122" t="n">
        <v>271</v>
      </c>
      <c r="AL1016" s="122" t="n">
        <v>1</v>
      </c>
      <c r="AM1016" s="124">
        <f>IFERROR(AL1016/AA1016,"")</f>
        <v/>
      </c>
      <c r="AN1016" s="125">
        <f>IFERROR(R1016/AL1016,"")</f>
        <v/>
      </c>
      <c r="AO1016" s="122" t="n">
        <v>1</v>
      </c>
      <c r="AP1016" s="54">
        <f>IFERROR(AO1016/AL1016,"")</f>
        <v/>
      </c>
      <c r="AQ1016" s="125">
        <f>IFERROR(R1016/AO1016,"")</f>
        <v/>
      </c>
      <c r="AR1016" s="122" t="n">
        <v>1</v>
      </c>
      <c r="AS1016" s="122" t="n">
        <v>1</v>
      </c>
      <c r="AT1016" s="122">
        <f>AL1016+AR1016</f>
        <v/>
      </c>
      <c r="AU1016" s="125">
        <f>IFERROR(AO1016*Assumptions!$C$26*Assumptions!$C$27*INDEX(Assumptions!$C$18:$C$21,MATCH(H1016,Assumptions!$B$18:$B$21,0)),0)</f>
        <v/>
      </c>
    </row>
    <row r="1017">
      <c r="A1017" s="120" t="n">
        <v>46251</v>
      </c>
      <c r="B1017" s="66" t="inlineStr">
        <is>
          <t>Wk 34</t>
        </is>
      </c>
      <c r="C1017" s="66" t="inlineStr">
        <is>
          <t>Mon</t>
        </is>
      </c>
      <c r="D1017" s="66" t="inlineStr">
        <is>
          <t>TikTok</t>
        </is>
      </c>
      <c r="E1017" s="66" t="inlineStr">
        <is>
          <t>TikTok</t>
        </is>
      </c>
      <c r="F1017" s="66" t="inlineStr">
        <is>
          <t>LEP_ZA_AUG26_TT_TD_AMUR_CONV</t>
        </is>
      </c>
      <c r="G1017" s="66" t="inlineStr">
        <is>
          <t>Website Conversions</t>
        </is>
      </c>
      <c r="H1017" s="66" t="inlineStr">
        <is>
          <t>AMUR</t>
        </is>
      </c>
      <c r="I1017" s="66" t="inlineStr">
        <is>
          <t>0% Deposit</t>
        </is>
      </c>
      <c r="J1017" s="66" t="inlineStr">
        <is>
          <t>TT_AMUR_AUTOTGT_18-34_ZA</t>
        </is>
      </c>
      <c r="K1017" s="66" t="inlineStr">
        <is>
          <t>Prospecting</t>
        </is>
      </c>
      <c r="L1017" s="66" t="inlineStr">
        <is>
          <t>TT_AMUR_UGC_15s_FirstCar_v1</t>
        </is>
      </c>
      <c r="M1017" s="66" t="inlineStr">
        <is>
          <t>Video 9:16</t>
        </is>
      </c>
      <c r="N1017" s="66" t="inlineStr">
        <is>
          <t>POV: your first car isn't second-hand</t>
        </is>
      </c>
      <c r="O1017" s="66" t="inlineStr">
        <is>
          <t>Auction - Lowest Cost</t>
        </is>
      </c>
      <c r="P1017" s="66" t="inlineStr">
        <is>
          <t>Complete Payment / Lead</t>
        </is>
      </c>
      <c r="Q1017" s="66" t="inlineStr">
        <is>
          <t>https://www.lepas-sa.co.za/offers/amur</t>
        </is>
      </c>
      <c r="R1017" s="121" t="n">
        <v>310.42</v>
      </c>
      <c r="S1017" s="122" t="n">
        <v>10310</v>
      </c>
      <c r="T1017" s="122" t="n">
        <v>6831</v>
      </c>
      <c r="U1017" s="123">
        <f>IFERROR(S1017/T1017,"")</f>
        <v/>
      </c>
      <c r="V1017" s="122" t="n">
        <v>117</v>
      </c>
      <c r="W1017" s="122" t="n">
        <v>87</v>
      </c>
      <c r="X1017" s="124">
        <f>IFERROR(W1017/S1017,"")</f>
        <v/>
      </c>
      <c r="Y1017" s="121">
        <f>IFERROR(R1017/W1017,"")</f>
        <v/>
      </c>
      <c r="Z1017" s="121">
        <f>IFERROR(R1017/S1017*1000,"")</f>
        <v/>
      </c>
      <c r="AA1017" s="122" t="n">
        <v>62</v>
      </c>
      <c r="AB1017" s="54">
        <f>IFERROR(AA1017/W1017,"")</f>
        <v/>
      </c>
      <c r="AC1017" s="122" t="n">
        <v>3644</v>
      </c>
      <c r="AD1017" s="122" t="n">
        <v>1962</v>
      </c>
      <c r="AE1017" s="122" t="n">
        <v>1337</v>
      </c>
      <c r="AF1017" s="122" t="n">
        <v>741</v>
      </c>
      <c r="AG1017" s="122" t="n">
        <v>532</v>
      </c>
      <c r="AH1017" s="122" t="n">
        <v>375</v>
      </c>
      <c r="AI1017" s="54">
        <f>IFERROR(AC1017/S1017,"")</f>
        <v/>
      </c>
      <c r="AJ1017" s="54">
        <f>IFERROR(AH1017/S1017,"")</f>
        <v/>
      </c>
      <c r="AK1017" s="122" t="n">
        <v>310</v>
      </c>
      <c r="AL1017" s="122" t="n">
        <v>1</v>
      </c>
      <c r="AM1017" s="124">
        <f>IFERROR(AL1017/AA1017,"")</f>
        <v/>
      </c>
      <c r="AN1017" s="125">
        <f>IFERROR(R1017/AL1017,"")</f>
        <v/>
      </c>
      <c r="AO1017" s="122" t="n">
        <v>1</v>
      </c>
      <c r="AP1017" s="54">
        <f>IFERROR(AO1017/AL1017,"")</f>
        <v/>
      </c>
      <c r="AQ1017" s="125">
        <f>IFERROR(R1017/AO1017,"")</f>
        <v/>
      </c>
      <c r="AR1017" s="122" t="n">
        <v>0</v>
      </c>
      <c r="AS1017" s="122" t="n">
        <v>1</v>
      </c>
      <c r="AT1017" s="122">
        <f>AL1017+AR1017</f>
        <v/>
      </c>
      <c r="AU1017" s="125">
        <f>IFERROR(AO1017*Assumptions!$C$26*Assumptions!$C$27*INDEX(Assumptions!$C$18:$C$21,MATCH(H1017,Assumptions!$B$18:$B$21,0)),0)</f>
        <v/>
      </c>
    </row>
    <row r="1018">
      <c r="A1018" s="120" t="n">
        <v>46252</v>
      </c>
      <c r="B1018" s="66" t="inlineStr">
        <is>
          <t>Wk 34</t>
        </is>
      </c>
      <c r="C1018" s="66" t="inlineStr">
        <is>
          <t>Tue</t>
        </is>
      </c>
      <c r="D1018" s="66" t="inlineStr">
        <is>
          <t>TikTok</t>
        </is>
      </c>
      <c r="E1018" s="66" t="inlineStr">
        <is>
          <t>TikTok</t>
        </is>
      </c>
      <c r="F1018" s="66" t="inlineStr">
        <is>
          <t>LEP_ZA_AUG26_TT_TD_AMUR_CONV</t>
        </is>
      </c>
      <c r="G1018" s="66" t="inlineStr">
        <is>
          <t>Website Conversions</t>
        </is>
      </c>
      <c r="H1018" s="66" t="inlineStr">
        <is>
          <t>AMUR</t>
        </is>
      </c>
      <c r="I1018" s="66" t="inlineStr">
        <is>
          <t>0% Deposit</t>
        </is>
      </c>
      <c r="J1018" s="66" t="inlineStr">
        <is>
          <t>TT_AMUR_AUTOTGT_18-34_ZA</t>
        </is>
      </c>
      <c r="K1018" s="66" t="inlineStr">
        <is>
          <t>Prospecting</t>
        </is>
      </c>
      <c r="L1018" s="66" t="inlineStr">
        <is>
          <t>TT_AMUR_UGC_15s_FirstCar_v1</t>
        </is>
      </c>
      <c r="M1018" s="66" t="inlineStr">
        <is>
          <t>Video 9:16</t>
        </is>
      </c>
      <c r="N1018" s="66" t="inlineStr">
        <is>
          <t>POV: your first car isn't second-hand</t>
        </is>
      </c>
      <c r="O1018" s="66" t="inlineStr">
        <is>
          <t>Auction - Lowest Cost</t>
        </is>
      </c>
      <c r="P1018" s="66" t="inlineStr">
        <is>
          <t>Complete Payment / Lead</t>
        </is>
      </c>
      <c r="Q1018" s="66" t="inlineStr">
        <is>
          <t>https://www.lepas-sa.co.za/offers/amur</t>
        </is>
      </c>
      <c r="R1018" s="121" t="n">
        <v>321.51</v>
      </c>
      <c r="S1018" s="122" t="n">
        <v>8869</v>
      </c>
      <c r="T1018" s="122" t="n">
        <v>6019</v>
      </c>
      <c r="U1018" s="123">
        <f>IFERROR(S1018/T1018,"")</f>
        <v/>
      </c>
      <c r="V1018" s="122" t="n">
        <v>49</v>
      </c>
      <c r="W1018" s="122" t="n">
        <v>41</v>
      </c>
      <c r="X1018" s="124">
        <f>IFERROR(W1018/S1018,"")</f>
        <v/>
      </c>
      <c r="Y1018" s="121">
        <f>IFERROR(R1018/W1018,"")</f>
        <v/>
      </c>
      <c r="Z1018" s="121">
        <f>IFERROR(R1018/S1018*1000,"")</f>
        <v/>
      </c>
      <c r="AA1018" s="122" t="n">
        <v>26</v>
      </c>
      <c r="AB1018" s="54">
        <f>IFERROR(AA1018/W1018,"")</f>
        <v/>
      </c>
      <c r="AC1018" s="122" t="n">
        <v>2894</v>
      </c>
      <c r="AD1018" s="122" t="n">
        <v>1474</v>
      </c>
      <c r="AE1018" s="122" t="n">
        <v>1257</v>
      </c>
      <c r="AF1018" s="122" t="n">
        <v>702</v>
      </c>
      <c r="AG1018" s="122" t="n">
        <v>518</v>
      </c>
      <c r="AH1018" s="122" t="n">
        <v>352</v>
      </c>
      <c r="AI1018" s="54">
        <f>IFERROR(AC1018/S1018,"")</f>
        <v/>
      </c>
      <c r="AJ1018" s="54">
        <f>IFERROR(AH1018/S1018,"")</f>
        <v/>
      </c>
      <c r="AK1018" s="122" t="n">
        <v>254</v>
      </c>
      <c r="AL1018" s="122" t="n">
        <v>0</v>
      </c>
      <c r="AM1018" s="124">
        <f>IFERROR(AL1018/AA1018,"")</f>
        <v/>
      </c>
      <c r="AN1018" s="125">
        <f>IFERROR(R1018/AL1018,"")</f>
        <v/>
      </c>
      <c r="AO1018" s="122" t="n">
        <v>0</v>
      </c>
      <c r="AP1018" s="54">
        <f>IFERROR(AO1018/AL1018,"")</f>
        <v/>
      </c>
      <c r="AQ1018" s="125">
        <f>IFERROR(R1018/AO1018,"")</f>
        <v/>
      </c>
      <c r="AR1018" s="122" t="n">
        <v>0</v>
      </c>
      <c r="AS1018" s="122" t="n">
        <v>0</v>
      </c>
      <c r="AT1018" s="122">
        <f>AL1018+AR1018</f>
        <v/>
      </c>
      <c r="AU1018" s="125">
        <f>IFERROR(AO1018*Assumptions!$C$26*Assumptions!$C$27*INDEX(Assumptions!$C$18:$C$21,MATCH(H1018,Assumptions!$B$18:$B$21,0)),0)</f>
        <v/>
      </c>
    </row>
    <row r="1019">
      <c r="A1019" s="120" t="n">
        <v>46253</v>
      </c>
      <c r="B1019" s="66" t="inlineStr">
        <is>
          <t>Wk 34</t>
        </is>
      </c>
      <c r="C1019" s="66" t="inlineStr">
        <is>
          <t>Wed</t>
        </is>
      </c>
      <c r="D1019" s="66" t="inlineStr">
        <is>
          <t>TikTok</t>
        </is>
      </c>
      <c r="E1019" s="66" t="inlineStr">
        <is>
          <t>TikTok</t>
        </is>
      </c>
      <c r="F1019" s="66" t="inlineStr">
        <is>
          <t>LEP_ZA_AUG26_TT_TD_AMUR_CONV</t>
        </is>
      </c>
      <c r="G1019" s="66" t="inlineStr">
        <is>
          <t>Website Conversions</t>
        </is>
      </c>
      <c r="H1019" s="66" t="inlineStr">
        <is>
          <t>AMUR</t>
        </is>
      </c>
      <c r="I1019" s="66" t="inlineStr">
        <is>
          <t>0% Deposit</t>
        </is>
      </c>
      <c r="J1019" s="66" t="inlineStr">
        <is>
          <t>TT_AMUR_AUTOTGT_18-34_ZA</t>
        </is>
      </c>
      <c r="K1019" s="66" t="inlineStr">
        <is>
          <t>Prospecting</t>
        </is>
      </c>
      <c r="L1019" s="66" t="inlineStr">
        <is>
          <t>TT_AMUR_UGC_15s_FirstCar_v1</t>
        </is>
      </c>
      <c r="M1019" s="66" t="inlineStr">
        <is>
          <t>Video 9:16</t>
        </is>
      </c>
      <c r="N1019" s="66" t="inlineStr">
        <is>
          <t>POV: your first car isn't second-hand</t>
        </is>
      </c>
      <c r="O1019" s="66" t="inlineStr">
        <is>
          <t>Auction - Lowest Cost</t>
        </is>
      </c>
      <c r="P1019" s="66" t="inlineStr">
        <is>
          <t>Complete Payment / Lead</t>
        </is>
      </c>
      <c r="Q1019" s="66" t="inlineStr">
        <is>
          <t>https://www.lepas-sa.co.za/offers/amur</t>
        </is>
      </c>
      <c r="R1019" s="121" t="n">
        <v>352.23</v>
      </c>
      <c r="S1019" s="122" t="n">
        <v>8159</v>
      </c>
      <c r="T1019" s="122" t="n">
        <v>4118</v>
      </c>
      <c r="U1019" s="123">
        <f>IFERROR(S1019/T1019,"")</f>
        <v/>
      </c>
      <c r="V1019" s="122" t="n">
        <v>63</v>
      </c>
      <c r="W1019" s="122" t="n">
        <v>53</v>
      </c>
      <c r="X1019" s="124">
        <f>IFERROR(W1019/S1019,"")</f>
        <v/>
      </c>
      <c r="Y1019" s="121">
        <f>IFERROR(R1019/W1019,"")</f>
        <v/>
      </c>
      <c r="Z1019" s="121">
        <f>IFERROR(R1019/S1019*1000,"")</f>
        <v/>
      </c>
      <c r="AA1019" s="122" t="n">
        <v>34</v>
      </c>
      <c r="AB1019" s="54">
        <f>IFERROR(AA1019/W1019,"")</f>
        <v/>
      </c>
      <c r="AC1019" s="122" t="n">
        <v>2468</v>
      </c>
      <c r="AD1019" s="122" t="n">
        <v>1264</v>
      </c>
      <c r="AE1019" s="122" t="n">
        <v>1336</v>
      </c>
      <c r="AF1019" s="122" t="n">
        <v>780</v>
      </c>
      <c r="AG1019" s="122" t="n">
        <v>566</v>
      </c>
      <c r="AH1019" s="122" t="n">
        <v>345</v>
      </c>
      <c r="AI1019" s="54">
        <f>IFERROR(AC1019/S1019,"")</f>
        <v/>
      </c>
      <c r="AJ1019" s="54">
        <f>IFERROR(AH1019/S1019,"")</f>
        <v/>
      </c>
      <c r="AK1019" s="122" t="n">
        <v>225</v>
      </c>
      <c r="AL1019" s="122" t="n">
        <v>0</v>
      </c>
      <c r="AM1019" s="124">
        <f>IFERROR(AL1019/AA1019,"")</f>
        <v/>
      </c>
      <c r="AN1019" s="125">
        <f>IFERROR(R1019/AL1019,"")</f>
        <v/>
      </c>
      <c r="AO1019" s="122" t="n">
        <v>0</v>
      </c>
      <c r="AP1019" s="54">
        <f>IFERROR(AO1019/AL1019,"")</f>
        <v/>
      </c>
      <c r="AQ1019" s="125">
        <f>IFERROR(R1019/AO1019,"")</f>
        <v/>
      </c>
      <c r="AR1019" s="122" t="n">
        <v>0</v>
      </c>
      <c r="AS1019" s="122" t="n">
        <v>0</v>
      </c>
      <c r="AT1019" s="122">
        <f>AL1019+AR1019</f>
        <v/>
      </c>
      <c r="AU1019" s="125">
        <f>IFERROR(AO1019*Assumptions!$C$26*Assumptions!$C$27*INDEX(Assumptions!$C$18:$C$21,MATCH(H1019,Assumptions!$B$18:$B$21,0)),0)</f>
        <v/>
      </c>
    </row>
    <row r="1020">
      <c r="A1020" s="120" t="n">
        <v>46254</v>
      </c>
      <c r="B1020" s="66" t="inlineStr">
        <is>
          <t>Wk 34</t>
        </is>
      </c>
      <c r="C1020" s="66" t="inlineStr">
        <is>
          <t>Thu</t>
        </is>
      </c>
      <c r="D1020" s="66" t="inlineStr">
        <is>
          <t>TikTok</t>
        </is>
      </c>
      <c r="E1020" s="66" t="inlineStr">
        <is>
          <t>TikTok</t>
        </is>
      </c>
      <c r="F1020" s="66" t="inlineStr">
        <is>
          <t>LEP_ZA_AUG26_TT_TD_AMUR_CONV</t>
        </is>
      </c>
      <c r="G1020" s="66" t="inlineStr">
        <is>
          <t>Website Conversions</t>
        </is>
      </c>
      <c r="H1020" s="66" t="inlineStr">
        <is>
          <t>AMUR</t>
        </is>
      </c>
      <c r="I1020" s="66" t="inlineStr">
        <is>
          <t>0% Deposit</t>
        </is>
      </c>
      <c r="J1020" s="66" t="inlineStr">
        <is>
          <t>TT_AMUR_AUTOTGT_18-34_ZA</t>
        </is>
      </c>
      <c r="K1020" s="66" t="inlineStr">
        <is>
          <t>Prospecting</t>
        </is>
      </c>
      <c r="L1020" s="66" t="inlineStr">
        <is>
          <t>TT_AMUR_UGC_15s_FirstCar_v1</t>
        </is>
      </c>
      <c r="M1020" s="66" t="inlineStr">
        <is>
          <t>Video 9:16</t>
        </is>
      </c>
      <c r="N1020" s="66" t="inlineStr">
        <is>
          <t>POV: your first car isn't second-hand</t>
        </is>
      </c>
      <c r="O1020" s="66" t="inlineStr">
        <is>
          <t>Auction - Lowest Cost</t>
        </is>
      </c>
      <c r="P1020" s="66" t="inlineStr">
        <is>
          <t>Complete Payment / Lead</t>
        </is>
      </c>
      <c r="Q1020" s="66" t="inlineStr">
        <is>
          <t>https://www.lepas-sa.co.za/offers/amur</t>
        </is>
      </c>
      <c r="R1020" s="121" t="n">
        <v>380.79</v>
      </c>
      <c r="S1020" s="122" t="n">
        <v>11347</v>
      </c>
      <c r="T1020" s="122" t="n">
        <v>5915</v>
      </c>
      <c r="U1020" s="123">
        <f>IFERROR(S1020/T1020,"")</f>
        <v/>
      </c>
      <c r="V1020" s="122" t="n">
        <v>99</v>
      </c>
      <c r="W1020" s="122" t="n">
        <v>78</v>
      </c>
      <c r="X1020" s="124">
        <f>IFERROR(W1020/S1020,"")</f>
        <v/>
      </c>
      <c r="Y1020" s="121">
        <f>IFERROR(R1020/W1020,"")</f>
        <v/>
      </c>
      <c r="Z1020" s="121">
        <f>IFERROR(R1020/S1020*1000,"")</f>
        <v/>
      </c>
      <c r="AA1020" s="122" t="n">
        <v>56</v>
      </c>
      <c r="AB1020" s="54">
        <f>IFERROR(AA1020/W1020,"")</f>
        <v/>
      </c>
      <c r="AC1020" s="122" t="n">
        <v>3314</v>
      </c>
      <c r="AD1020" s="122" t="n">
        <v>1756</v>
      </c>
      <c r="AE1020" s="122" t="n">
        <v>1460</v>
      </c>
      <c r="AF1020" s="122" t="n">
        <v>810</v>
      </c>
      <c r="AG1020" s="122" t="n">
        <v>626</v>
      </c>
      <c r="AH1020" s="122" t="n">
        <v>420</v>
      </c>
      <c r="AI1020" s="54">
        <f>IFERROR(AC1020/S1020,"")</f>
        <v/>
      </c>
      <c r="AJ1020" s="54">
        <f>IFERROR(AH1020/S1020,"")</f>
        <v/>
      </c>
      <c r="AK1020" s="122" t="n">
        <v>286</v>
      </c>
      <c r="AL1020" s="122" t="n">
        <v>0</v>
      </c>
      <c r="AM1020" s="124">
        <f>IFERROR(AL1020/AA1020,"")</f>
        <v/>
      </c>
      <c r="AN1020" s="125">
        <f>IFERROR(R1020/AL1020,"")</f>
        <v/>
      </c>
      <c r="AO1020" s="122" t="n">
        <v>0</v>
      </c>
      <c r="AP1020" s="54">
        <f>IFERROR(AO1020/AL1020,"")</f>
        <v/>
      </c>
      <c r="AQ1020" s="125">
        <f>IFERROR(R1020/AO1020,"")</f>
        <v/>
      </c>
      <c r="AR1020" s="122" t="n">
        <v>0</v>
      </c>
      <c r="AS1020" s="122" t="n">
        <v>0</v>
      </c>
      <c r="AT1020" s="122">
        <f>AL1020+AR1020</f>
        <v/>
      </c>
      <c r="AU1020" s="125">
        <f>IFERROR(AO1020*Assumptions!$C$26*Assumptions!$C$27*INDEX(Assumptions!$C$18:$C$21,MATCH(H1020,Assumptions!$B$18:$B$21,0)),0)</f>
        <v/>
      </c>
    </row>
    <row r="1021">
      <c r="A1021" s="120" t="n">
        <v>46255</v>
      </c>
      <c r="B1021" s="66" t="inlineStr">
        <is>
          <t>Wk 34</t>
        </is>
      </c>
      <c r="C1021" s="66" t="inlineStr">
        <is>
          <t>Fri</t>
        </is>
      </c>
      <c r="D1021" s="66" t="inlineStr">
        <is>
          <t>TikTok</t>
        </is>
      </c>
      <c r="E1021" s="66" t="inlineStr">
        <is>
          <t>TikTok</t>
        </is>
      </c>
      <c r="F1021" s="66" t="inlineStr">
        <is>
          <t>LEP_ZA_AUG26_TT_TD_AMUR_CONV</t>
        </is>
      </c>
      <c r="G1021" s="66" t="inlineStr">
        <is>
          <t>Website Conversions</t>
        </is>
      </c>
      <c r="H1021" s="66" t="inlineStr">
        <is>
          <t>AMUR</t>
        </is>
      </c>
      <c r="I1021" s="66" t="inlineStr">
        <is>
          <t>0% Deposit</t>
        </is>
      </c>
      <c r="J1021" s="66" t="inlineStr">
        <is>
          <t>TT_AMUR_AUTOTGT_18-34_ZA</t>
        </is>
      </c>
      <c r="K1021" s="66" t="inlineStr">
        <is>
          <t>Prospecting</t>
        </is>
      </c>
      <c r="L1021" s="66" t="inlineStr">
        <is>
          <t>TT_AMUR_UGC_15s_FirstCar_v1</t>
        </is>
      </c>
      <c r="M1021" s="66" t="inlineStr">
        <is>
          <t>Video 9:16</t>
        </is>
      </c>
      <c r="N1021" s="66" t="inlineStr">
        <is>
          <t>POV: your first car isn't second-hand</t>
        </is>
      </c>
      <c r="O1021" s="66" t="inlineStr">
        <is>
          <t>Auction - Lowest Cost</t>
        </is>
      </c>
      <c r="P1021" s="66" t="inlineStr">
        <is>
          <t>Complete Payment / Lead</t>
        </is>
      </c>
      <c r="Q1021" s="66" t="inlineStr">
        <is>
          <t>https://www.lepas-sa.co.za/offers/amur</t>
        </is>
      </c>
      <c r="R1021" s="121" t="n">
        <v>346.59</v>
      </c>
      <c r="S1021" s="122" t="n">
        <v>10993</v>
      </c>
      <c r="T1021" s="122" t="n">
        <v>6242</v>
      </c>
      <c r="U1021" s="123">
        <f>IFERROR(S1021/T1021,"")</f>
        <v/>
      </c>
      <c r="V1021" s="122" t="n">
        <v>140</v>
      </c>
      <c r="W1021" s="122" t="n">
        <v>110</v>
      </c>
      <c r="X1021" s="124">
        <f>IFERROR(W1021/S1021,"")</f>
        <v/>
      </c>
      <c r="Y1021" s="121">
        <f>IFERROR(R1021/W1021,"")</f>
        <v/>
      </c>
      <c r="Z1021" s="121">
        <f>IFERROR(R1021/S1021*1000,"")</f>
        <v/>
      </c>
      <c r="AA1021" s="122" t="n">
        <v>78</v>
      </c>
      <c r="AB1021" s="54">
        <f>IFERROR(AA1021/W1021,"")</f>
        <v/>
      </c>
      <c r="AC1021" s="122" t="n">
        <v>2438</v>
      </c>
      <c r="AD1021" s="122" t="n">
        <v>1136</v>
      </c>
      <c r="AE1021" s="122" t="n">
        <v>1102</v>
      </c>
      <c r="AF1021" s="122" t="n">
        <v>743</v>
      </c>
      <c r="AG1021" s="122" t="n">
        <v>493</v>
      </c>
      <c r="AH1021" s="122" t="n">
        <v>361</v>
      </c>
      <c r="AI1021" s="54">
        <f>IFERROR(AC1021/S1021,"")</f>
        <v/>
      </c>
      <c r="AJ1021" s="54">
        <f>IFERROR(AH1021/S1021,"")</f>
        <v/>
      </c>
      <c r="AK1021" s="122" t="n">
        <v>300</v>
      </c>
      <c r="AL1021" s="122" t="n">
        <v>0</v>
      </c>
      <c r="AM1021" s="124">
        <f>IFERROR(AL1021/AA1021,"")</f>
        <v/>
      </c>
      <c r="AN1021" s="125">
        <f>IFERROR(R1021/AL1021,"")</f>
        <v/>
      </c>
      <c r="AO1021" s="122" t="n">
        <v>0</v>
      </c>
      <c r="AP1021" s="54">
        <f>IFERROR(AO1021/AL1021,"")</f>
        <v/>
      </c>
      <c r="AQ1021" s="125">
        <f>IFERROR(R1021/AO1021,"")</f>
        <v/>
      </c>
      <c r="AR1021" s="122" t="n">
        <v>0</v>
      </c>
      <c r="AS1021" s="122" t="n">
        <v>0</v>
      </c>
      <c r="AT1021" s="122">
        <f>AL1021+AR1021</f>
        <v/>
      </c>
      <c r="AU1021" s="125">
        <f>IFERROR(AO1021*Assumptions!$C$26*Assumptions!$C$27*INDEX(Assumptions!$C$18:$C$21,MATCH(H1021,Assumptions!$B$18:$B$21,0)),0)</f>
        <v/>
      </c>
    </row>
    <row r="1022">
      <c r="A1022" s="120" t="n">
        <v>46256</v>
      </c>
      <c r="B1022" s="66" t="inlineStr">
        <is>
          <t>Wk 34</t>
        </is>
      </c>
      <c r="C1022" s="66" t="inlineStr">
        <is>
          <t>Sat</t>
        </is>
      </c>
      <c r="D1022" s="66" t="inlineStr">
        <is>
          <t>TikTok</t>
        </is>
      </c>
      <c r="E1022" s="66" t="inlineStr">
        <is>
          <t>TikTok</t>
        </is>
      </c>
      <c r="F1022" s="66" t="inlineStr">
        <is>
          <t>LEP_ZA_AUG26_TT_TD_AMUR_CONV</t>
        </is>
      </c>
      <c r="G1022" s="66" t="inlineStr">
        <is>
          <t>Website Conversions</t>
        </is>
      </c>
      <c r="H1022" s="66" t="inlineStr">
        <is>
          <t>AMUR</t>
        </is>
      </c>
      <c r="I1022" s="66" t="inlineStr">
        <is>
          <t>0% Deposit</t>
        </is>
      </c>
      <c r="J1022" s="66" t="inlineStr">
        <is>
          <t>TT_AMUR_AUTOTGT_18-34_ZA</t>
        </is>
      </c>
      <c r="K1022" s="66" t="inlineStr">
        <is>
          <t>Prospecting</t>
        </is>
      </c>
      <c r="L1022" s="66" t="inlineStr">
        <is>
          <t>TT_AMUR_UGC_15s_FirstCar_v1</t>
        </is>
      </c>
      <c r="M1022" s="66" t="inlineStr">
        <is>
          <t>Video 9:16</t>
        </is>
      </c>
      <c r="N1022" s="66" t="inlineStr">
        <is>
          <t>POV: your first car isn't second-hand</t>
        </is>
      </c>
      <c r="O1022" s="66" t="inlineStr">
        <is>
          <t>Auction - Lowest Cost</t>
        </is>
      </c>
      <c r="P1022" s="66" t="inlineStr">
        <is>
          <t>Complete Payment / Lead</t>
        </is>
      </c>
      <c r="Q1022" s="66" t="inlineStr">
        <is>
          <t>https://www.lepas-sa.co.za/offers/amur</t>
        </is>
      </c>
      <c r="R1022" s="121" t="n">
        <v>388.75</v>
      </c>
      <c r="S1022" s="122" t="n">
        <v>10934</v>
      </c>
      <c r="T1022" s="122" t="n">
        <v>5400</v>
      </c>
      <c r="U1022" s="123">
        <f>IFERROR(S1022/T1022,"")</f>
        <v/>
      </c>
      <c r="V1022" s="122" t="n">
        <v>109</v>
      </c>
      <c r="W1022" s="122" t="n">
        <v>81</v>
      </c>
      <c r="X1022" s="124">
        <f>IFERROR(W1022/S1022,"")</f>
        <v/>
      </c>
      <c r="Y1022" s="121">
        <f>IFERROR(R1022/W1022,"")</f>
        <v/>
      </c>
      <c r="Z1022" s="121">
        <f>IFERROR(R1022/S1022*1000,"")</f>
        <v/>
      </c>
      <c r="AA1022" s="122" t="n">
        <v>53</v>
      </c>
      <c r="AB1022" s="54">
        <f>IFERROR(AA1022/W1022,"")</f>
        <v/>
      </c>
      <c r="AC1022" s="122" t="n">
        <v>4322</v>
      </c>
      <c r="AD1022" s="122" t="n">
        <v>2085</v>
      </c>
      <c r="AE1022" s="122" t="n">
        <v>2163</v>
      </c>
      <c r="AF1022" s="122" t="n">
        <v>1250</v>
      </c>
      <c r="AG1022" s="122" t="n">
        <v>880</v>
      </c>
      <c r="AH1022" s="122" t="n">
        <v>540</v>
      </c>
      <c r="AI1022" s="54">
        <f>IFERROR(AC1022/S1022,"")</f>
        <v/>
      </c>
      <c r="AJ1022" s="54">
        <f>IFERROR(AH1022/S1022,"")</f>
        <v/>
      </c>
      <c r="AK1022" s="122" t="n">
        <v>310</v>
      </c>
      <c r="AL1022" s="122" t="n">
        <v>0</v>
      </c>
      <c r="AM1022" s="124">
        <f>IFERROR(AL1022/AA1022,"")</f>
        <v/>
      </c>
      <c r="AN1022" s="125">
        <f>IFERROR(R1022/AL1022,"")</f>
        <v/>
      </c>
      <c r="AO1022" s="122" t="n">
        <v>0</v>
      </c>
      <c r="AP1022" s="54">
        <f>IFERROR(AO1022/AL1022,"")</f>
        <v/>
      </c>
      <c r="AQ1022" s="125">
        <f>IFERROR(R1022/AO1022,"")</f>
        <v/>
      </c>
      <c r="AR1022" s="122" t="n">
        <v>0</v>
      </c>
      <c r="AS1022" s="122" t="n">
        <v>0</v>
      </c>
      <c r="AT1022" s="122">
        <f>AL1022+AR1022</f>
        <v/>
      </c>
      <c r="AU1022" s="125">
        <f>IFERROR(AO1022*Assumptions!$C$26*Assumptions!$C$27*INDEX(Assumptions!$C$18:$C$21,MATCH(H1022,Assumptions!$B$18:$B$21,0)),0)</f>
        <v/>
      </c>
    </row>
    <row r="1023">
      <c r="A1023" s="120" t="n">
        <v>46257</v>
      </c>
      <c r="B1023" s="66" t="inlineStr">
        <is>
          <t>Wk 34</t>
        </is>
      </c>
      <c r="C1023" s="66" t="inlineStr">
        <is>
          <t>Sun</t>
        </is>
      </c>
      <c r="D1023" s="66" t="inlineStr">
        <is>
          <t>TikTok</t>
        </is>
      </c>
      <c r="E1023" s="66" t="inlineStr">
        <is>
          <t>TikTok</t>
        </is>
      </c>
      <c r="F1023" s="66" t="inlineStr">
        <is>
          <t>LEP_ZA_AUG26_TT_TD_AMUR_CONV</t>
        </is>
      </c>
      <c r="G1023" s="66" t="inlineStr">
        <is>
          <t>Website Conversions</t>
        </is>
      </c>
      <c r="H1023" s="66" t="inlineStr">
        <is>
          <t>AMUR</t>
        </is>
      </c>
      <c r="I1023" s="66" t="inlineStr">
        <is>
          <t>0% Deposit</t>
        </is>
      </c>
      <c r="J1023" s="66" t="inlineStr">
        <is>
          <t>TT_AMUR_AUTOTGT_18-34_ZA</t>
        </is>
      </c>
      <c r="K1023" s="66" t="inlineStr">
        <is>
          <t>Prospecting</t>
        </is>
      </c>
      <c r="L1023" s="66" t="inlineStr">
        <is>
          <t>TT_AMUR_UGC_15s_FirstCar_v1</t>
        </is>
      </c>
      <c r="M1023" s="66" t="inlineStr">
        <is>
          <t>Video 9:16</t>
        </is>
      </c>
      <c r="N1023" s="66" t="inlineStr">
        <is>
          <t>POV: your first car isn't second-hand</t>
        </is>
      </c>
      <c r="O1023" s="66" t="inlineStr">
        <is>
          <t>Auction - Lowest Cost</t>
        </is>
      </c>
      <c r="P1023" s="66" t="inlineStr">
        <is>
          <t>Complete Payment / Lead</t>
        </is>
      </c>
      <c r="Q1023" s="66" t="inlineStr">
        <is>
          <t>https://www.lepas-sa.co.za/offers/amur</t>
        </is>
      </c>
      <c r="R1023" s="121" t="n">
        <v>256.94</v>
      </c>
      <c r="S1023" s="122" t="n">
        <v>8133</v>
      </c>
      <c r="T1023" s="122" t="n">
        <v>5302</v>
      </c>
      <c r="U1023" s="123">
        <f>IFERROR(S1023/T1023,"")</f>
        <v/>
      </c>
      <c r="V1023" s="122" t="n">
        <v>74</v>
      </c>
      <c r="W1023" s="122" t="n">
        <v>61</v>
      </c>
      <c r="X1023" s="124">
        <f>IFERROR(W1023/S1023,"")</f>
        <v/>
      </c>
      <c r="Y1023" s="121">
        <f>IFERROR(R1023/W1023,"")</f>
        <v/>
      </c>
      <c r="Z1023" s="121">
        <f>IFERROR(R1023/S1023*1000,"")</f>
        <v/>
      </c>
      <c r="AA1023" s="122" t="n">
        <v>40</v>
      </c>
      <c r="AB1023" s="54">
        <f>IFERROR(AA1023/W1023,"")</f>
        <v/>
      </c>
      <c r="AC1023" s="122" t="n">
        <v>1820</v>
      </c>
      <c r="AD1023" s="122" t="n">
        <v>1025</v>
      </c>
      <c r="AE1023" s="122" t="n">
        <v>926</v>
      </c>
      <c r="AF1023" s="122" t="n">
        <v>650</v>
      </c>
      <c r="AG1023" s="122" t="n">
        <v>431</v>
      </c>
      <c r="AH1023" s="122" t="n">
        <v>249</v>
      </c>
      <c r="AI1023" s="54">
        <f>IFERROR(AC1023/S1023,"")</f>
        <v/>
      </c>
      <c r="AJ1023" s="54">
        <f>IFERROR(AH1023/S1023,"")</f>
        <v/>
      </c>
      <c r="AK1023" s="122" t="n">
        <v>353</v>
      </c>
      <c r="AL1023" s="122" t="n">
        <v>0</v>
      </c>
      <c r="AM1023" s="124">
        <f>IFERROR(AL1023/AA1023,"")</f>
        <v/>
      </c>
      <c r="AN1023" s="125">
        <f>IFERROR(R1023/AL1023,"")</f>
        <v/>
      </c>
      <c r="AO1023" s="122" t="n">
        <v>0</v>
      </c>
      <c r="AP1023" s="54">
        <f>IFERROR(AO1023/AL1023,"")</f>
        <v/>
      </c>
      <c r="AQ1023" s="125">
        <f>IFERROR(R1023/AO1023,"")</f>
        <v/>
      </c>
      <c r="AR1023" s="122" t="n">
        <v>0</v>
      </c>
      <c r="AS1023" s="122" t="n">
        <v>0</v>
      </c>
      <c r="AT1023" s="122">
        <f>AL1023+AR1023</f>
        <v/>
      </c>
      <c r="AU1023" s="125">
        <f>IFERROR(AO1023*Assumptions!$C$26*Assumptions!$C$27*INDEX(Assumptions!$C$18:$C$21,MATCH(H1023,Assumptions!$B$18:$B$21,0)),0)</f>
        <v/>
      </c>
    </row>
    <row r="1024">
      <c r="A1024" s="120" t="n">
        <v>46258</v>
      </c>
      <c r="B1024" s="66" t="inlineStr">
        <is>
          <t>Wk 35</t>
        </is>
      </c>
      <c r="C1024" s="66" t="inlineStr">
        <is>
          <t>Mon</t>
        </is>
      </c>
      <c r="D1024" s="66" t="inlineStr">
        <is>
          <t>TikTok</t>
        </is>
      </c>
      <c r="E1024" s="66" t="inlineStr">
        <is>
          <t>TikTok</t>
        </is>
      </c>
      <c r="F1024" s="66" t="inlineStr">
        <is>
          <t>LEP_ZA_AUG26_TT_TD_AMUR_CONV</t>
        </is>
      </c>
      <c r="G1024" s="66" t="inlineStr">
        <is>
          <t>Website Conversions</t>
        </is>
      </c>
      <c r="H1024" s="66" t="inlineStr">
        <is>
          <t>AMUR</t>
        </is>
      </c>
      <c r="I1024" s="66" t="inlineStr">
        <is>
          <t>0% Deposit</t>
        </is>
      </c>
      <c r="J1024" s="66" t="inlineStr">
        <is>
          <t>TT_AMUR_AUTOTGT_18-34_ZA</t>
        </is>
      </c>
      <c r="K1024" s="66" t="inlineStr">
        <is>
          <t>Prospecting</t>
        </is>
      </c>
      <c r="L1024" s="66" t="inlineStr">
        <is>
          <t>TT_AMUR_UGC_15s_FirstCar_v1</t>
        </is>
      </c>
      <c r="M1024" s="66" t="inlineStr">
        <is>
          <t>Video 9:16</t>
        </is>
      </c>
      <c r="N1024" s="66" t="inlineStr">
        <is>
          <t>POV: your first car isn't second-hand</t>
        </is>
      </c>
      <c r="O1024" s="66" t="inlineStr">
        <is>
          <t>Auction - Lowest Cost</t>
        </is>
      </c>
      <c r="P1024" s="66" t="inlineStr">
        <is>
          <t>Complete Payment / Lead</t>
        </is>
      </c>
      <c r="Q1024" s="66" t="inlineStr">
        <is>
          <t>https://www.lepas-sa.co.za/offers/amur</t>
        </is>
      </c>
      <c r="R1024" s="121" t="n">
        <v>319.83</v>
      </c>
      <c r="S1024" s="122" t="n">
        <v>10316</v>
      </c>
      <c r="T1024" s="122" t="n">
        <v>5084</v>
      </c>
      <c r="U1024" s="123">
        <f>IFERROR(S1024/T1024,"")</f>
        <v/>
      </c>
      <c r="V1024" s="122" t="n">
        <v>117</v>
      </c>
      <c r="W1024" s="122" t="n">
        <v>86</v>
      </c>
      <c r="X1024" s="124">
        <f>IFERROR(W1024/S1024,"")</f>
        <v/>
      </c>
      <c r="Y1024" s="121">
        <f>IFERROR(R1024/W1024,"")</f>
        <v/>
      </c>
      <c r="Z1024" s="121">
        <f>IFERROR(R1024/S1024*1000,"")</f>
        <v/>
      </c>
      <c r="AA1024" s="122" t="n">
        <v>63</v>
      </c>
      <c r="AB1024" s="54">
        <f>IFERROR(AA1024/W1024,"")</f>
        <v/>
      </c>
      <c r="AC1024" s="122" t="n">
        <v>2787</v>
      </c>
      <c r="AD1024" s="122" t="n">
        <v>1407</v>
      </c>
      <c r="AE1024" s="122" t="n">
        <v>1499</v>
      </c>
      <c r="AF1024" s="122" t="n">
        <v>796</v>
      </c>
      <c r="AG1024" s="122" t="n">
        <v>562</v>
      </c>
      <c r="AH1024" s="122" t="n">
        <v>377</v>
      </c>
      <c r="AI1024" s="54">
        <f>IFERROR(AC1024/S1024,"")</f>
        <v/>
      </c>
      <c r="AJ1024" s="54">
        <f>IFERROR(AH1024/S1024,"")</f>
        <v/>
      </c>
      <c r="AK1024" s="122" t="n">
        <v>491</v>
      </c>
      <c r="AL1024" s="122" t="n">
        <v>0</v>
      </c>
      <c r="AM1024" s="124">
        <f>IFERROR(AL1024/AA1024,"")</f>
        <v/>
      </c>
      <c r="AN1024" s="125">
        <f>IFERROR(R1024/AL1024,"")</f>
        <v/>
      </c>
      <c r="AO1024" s="122" t="n">
        <v>0</v>
      </c>
      <c r="AP1024" s="54">
        <f>IFERROR(AO1024/AL1024,"")</f>
        <v/>
      </c>
      <c r="AQ1024" s="125">
        <f>IFERROR(R1024/AO1024,"")</f>
        <v/>
      </c>
      <c r="AR1024" s="122" t="n">
        <v>0</v>
      </c>
      <c r="AS1024" s="122" t="n">
        <v>0</v>
      </c>
      <c r="AT1024" s="122">
        <f>AL1024+AR1024</f>
        <v/>
      </c>
      <c r="AU1024" s="125">
        <f>IFERROR(AO1024*Assumptions!$C$26*Assumptions!$C$27*INDEX(Assumptions!$C$18:$C$21,MATCH(H1024,Assumptions!$B$18:$B$21,0)),0)</f>
        <v/>
      </c>
    </row>
    <row r="1025">
      <c r="A1025" s="120" t="n">
        <v>46259</v>
      </c>
      <c r="B1025" s="66" t="inlineStr">
        <is>
          <t>Wk 35</t>
        </is>
      </c>
      <c r="C1025" s="66" t="inlineStr">
        <is>
          <t>Tue</t>
        </is>
      </c>
      <c r="D1025" s="66" t="inlineStr">
        <is>
          <t>TikTok</t>
        </is>
      </c>
      <c r="E1025" s="66" t="inlineStr">
        <is>
          <t>TikTok</t>
        </is>
      </c>
      <c r="F1025" s="66" t="inlineStr">
        <is>
          <t>LEP_ZA_AUG26_TT_TD_AMUR_CONV</t>
        </is>
      </c>
      <c r="G1025" s="66" t="inlineStr">
        <is>
          <t>Website Conversions</t>
        </is>
      </c>
      <c r="H1025" s="66" t="inlineStr">
        <is>
          <t>AMUR</t>
        </is>
      </c>
      <c r="I1025" s="66" t="inlineStr">
        <is>
          <t>0% Deposit</t>
        </is>
      </c>
      <c r="J1025" s="66" t="inlineStr">
        <is>
          <t>TT_AMUR_AUTOTGT_18-34_ZA</t>
        </is>
      </c>
      <c r="K1025" s="66" t="inlineStr">
        <is>
          <t>Prospecting</t>
        </is>
      </c>
      <c r="L1025" s="66" t="inlineStr">
        <is>
          <t>TT_AMUR_UGC_15s_FirstCar_v1</t>
        </is>
      </c>
      <c r="M1025" s="66" t="inlineStr">
        <is>
          <t>Video 9:16</t>
        </is>
      </c>
      <c r="N1025" s="66" t="inlineStr">
        <is>
          <t>POV: your first car isn't second-hand</t>
        </is>
      </c>
      <c r="O1025" s="66" t="inlineStr">
        <is>
          <t>Auction - Lowest Cost</t>
        </is>
      </c>
      <c r="P1025" s="66" t="inlineStr">
        <is>
          <t>Complete Payment / Lead</t>
        </is>
      </c>
      <c r="Q1025" s="66" t="inlineStr">
        <is>
          <t>https://www.lepas-sa.co.za/offers/amur</t>
        </is>
      </c>
      <c r="R1025" s="121" t="n">
        <v>310.42</v>
      </c>
      <c r="S1025" s="122" t="n">
        <v>9955</v>
      </c>
      <c r="T1025" s="122" t="n">
        <v>4627</v>
      </c>
      <c r="U1025" s="123">
        <f>IFERROR(S1025/T1025,"")</f>
        <v/>
      </c>
      <c r="V1025" s="122" t="n">
        <v>96</v>
      </c>
      <c r="W1025" s="122" t="n">
        <v>78</v>
      </c>
      <c r="X1025" s="124">
        <f>IFERROR(W1025/S1025,"")</f>
        <v/>
      </c>
      <c r="Y1025" s="121">
        <f>IFERROR(R1025/W1025,"")</f>
        <v/>
      </c>
      <c r="Z1025" s="121">
        <f>IFERROR(R1025/S1025*1000,"")</f>
        <v/>
      </c>
      <c r="AA1025" s="122" t="n">
        <v>56</v>
      </c>
      <c r="AB1025" s="54">
        <f>IFERROR(AA1025/W1025,"")</f>
        <v/>
      </c>
      <c r="AC1025" s="122" t="n">
        <v>2678</v>
      </c>
      <c r="AD1025" s="122" t="n">
        <v>1631</v>
      </c>
      <c r="AE1025" s="122" t="n">
        <v>1395</v>
      </c>
      <c r="AF1025" s="122" t="n">
        <v>883</v>
      </c>
      <c r="AG1025" s="122" t="n">
        <v>694</v>
      </c>
      <c r="AH1025" s="122" t="n">
        <v>470</v>
      </c>
      <c r="AI1025" s="54">
        <f>IFERROR(AC1025/S1025,"")</f>
        <v/>
      </c>
      <c r="AJ1025" s="54">
        <f>IFERROR(AH1025/S1025,"")</f>
        <v/>
      </c>
      <c r="AK1025" s="122" t="n">
        <v>370</v>
      </c>
      <c r="AL1025" s="122" t="n">
        <v>1</v>
      </c>
      <c r="AM1025" s="124">
        <f>IFERROR(AL1025/AA1025,"")</f>
        <v/>
      </c>
      <c r="AN1025" s="125">
        <f>IFERROR(R1025/AL1025,"")</f>
        <v/>
      </c>
      <c r="AO1025" s="122" t="n">
        <v>1</v>
      </c>
      <c r="AP1025" s="54">
        <f>IFERROR(AO1025/AL1025,"")</f>
        <v/>
      </c>
      <c r="AQ1025" s="125">
        <f>IFERROR(R1025/AO1025,"")</f>
        <v/>
      </c>
      <c r="AR1025" s="122" t="n">
        <v>0</v>
      </c>
      <c r="AS1025" s="122" t="n">
        <v>0</v>
      </c>
      <c r="AT1025" s="122">
        <f>AL1025+AR1025</f>
        <v/>
      </c>
      <c r="AU1025" s="125">
        <f>IFERROR(AO1025*Assumptions!$C$26*Assumptions!$C$27*INDEX(Assumptions!$C$18:$C$21,MATCH(H1025,Assumptions!$B$18:$B$21,0)),0)</f>
        <v/>
      </c>
    </row>
    <row r="1026">
      <c r="A1026" s="120" t="n">
        <v>46260</v>
      </c>
      <c r="B1026" s="66" t="inlineStr">
        <is>
          <t>Wk 35</t>
        </is>
      </c>
      <c r="C1026" s="66" t="inlineStr">
        <is>
          <t>Wed</t>
        </is>
      </c>
      <c r="D1026" s="66" t="inlineStr">
        <is>
          <t>TikTok</t>
        </is>
      </c>
      <c r="E1026" s="66" t="inlineStr">
        <is>
          <t>TikTok</t>
        </is>
      </c>
      <c r="F1026" s="66" t="inlineStr">
        <is>
          <t>LEP_ZA_AUG26_TT_TD_AMUR_CONV</t>
        </is>
      </c>
      <c r="G1026" s="66" t="inlineStr">
        <is>
          <t>Website Conversions</t>
        </is>
      </c>
      <c r="H1026" s="66" t="inlineStr">
        <is>
          <t>AMUR</t>
        </is>
      </c>
      <c r="I1026" s="66" t="inlineStr">
        <is>
          <t>0% Deposit</t>
        </is>
      </c>
      <c r="J1026" s="66" t="inlineStr">
        <is>
          <t>TT_AMUR_AUTOTGT_18-34_ZA</t>
        </is>
      </c>
      <c r="K1026" s="66" t="inlineStr">
        <is>
          <t>Prospecting</t>
        </is>
      </c>
      <c r="L1026" s="66" t="inlineStr">
        <is>
          <t>TT_AMUR_UGC_15s_FirstCar_v1</t>
        </is>
      </c>
      <c r="M1026" s="66" t="inlineStr">
        <is>
          <t>Video 9:16</t>
        </is>
      </c>
      <c r="N1026" s="66" t="inlineStr">
        <is>
          <t>POV: your first car isn't second-hand</t>
        </is>
      </c>
      <c r="O1026" s="66" t="inlineStr">
        <is>
          <t>Auction - Lowest Cost</t>
        </is>
      </c>
      <c r="P1026" s="66" t="inlineStr">
        <is>
          <t>Complete Payment / Lead</t>
        </is>
      </c>
      <c r="Q1026" s="66" t="inlineStr">
        <is>
          <t>https://www.lepas-sa.co.za/offers/amur</t>
        </is>
      </c>
      <c r="R1026" s="121" t="n">
        <v>341.98</v>
      </c>
      <c r="S1026" s="122" t="n">
        <v>11994</v>
      </c>
      <c r="T1026" s="122" t="n">
        <v>5995</v>
      </c>
      <c r="U1026" s="123">
        <f>IFERROR(S1026/T1026,"")</f>
        <v/>
      </c>
      <c r="V1026" s="122" t="n">
        <v>111</v>
      </c>
      <c r="W1026" s="122" t="n">
        <v>83</v>
      </c>
      <c r="X1026" s="124">
        <f>IFERROR(W1026/S1026,"")</f>
        <v/>
      </c>
      <c r="Y1026" s="121">
        <f>IFERROR(R1026/W1026,"")</f>
        <v/>
      </c>
      <c r="Z1026" s="121">
        <f>IFERROR(R1026/S1026*1000,"")</f>
        <v/>
      </c>
      <c r="AA1026" s="122" t="n">
        <v>53</v>
      </c>
      <c r="AB1026" s="54">
        <f>IFERROR(AA1026/W1026,"")</f>
        <v/>
      </c>
      <c r="AC1026" s="122" t="n">
        <v>4607</v>
      </c>
      <c r="AD1026" s="122" t="n">
        <v>2341</v>
      </c>
      <c r="AE1026" s="122" t="n">
        <v>1732</v>
      </c>
      <c r="AF1026" s="122" t="n">
        <v>953</v>
      </c>
      <c r="AG1026" s="122" t="n">
        <v>703</v>
      </c>
      <c r="AH1026" s="122" t="n">
        <v>499</v>
      </c>
      <c r="AI1026" s="54">
        <f>IFERROR(AC1026/S1026,"")</f>
        <v/>
      </c>
      <c r="AJ1026" s="54">
        <f>IFERROR(AH1026/S1026,"")</f>
        <v/>
      </c>
      <c r="AK1026" s="122" t="n">
        <v>348</v>
      </c>
      <c r="AL1026" s="122" t="n">
        <v>0</v>
      </c>
      <c r="AM1026" s="124">
        <f>IFERROR(AL1026/AA1026,"")</f>
        <v/>
      </c>
      <c r="AN1026" s="125">
        <f>IFERROR(R1026/AL1026,"")</f>
        <v/>
      </c>
      <c r="AO1026" s="122" t="n">
        <v>0</v>
      </c>
      <c r="AP1026" s="54">
        <f>IFERROR(AO1026/AL1026,"")</f>
        <v/>
      </c>
      <c r="AQ1026" s="125">
        <f>IFERROR(R1026/AO1026,"")</f>
        <v/>
      </c>
      <c r="AR1026" s="122" t="n">
        <v>0</v>
      </c>
      <c r="AS1026" s="122" t="n">
        <v>0</v>
      </c>
      <c r="AT1026" s="122">
        <f>AL1026+AR1026</f>
        <v/>
      </c>
      <c r="AU1026" s="125">
        <f>IFERROR(AO1026*Assumptions!$C$26*Assumptions!$C$27*INDEX(Assumptions!$C$18:$C$21,MATCH(H1026,Assumptions!$B$18:$B$21,0)),0)</f>
        <v/>
      </c>
    </row>
    <row r="1027">
      <c r="A1027" s="120" t="n">
        <v>46261</v>
      </c>
      <c r="B1027" s="66" t="inlineStr">
        <is>
          <t>Wk 35</t>
        </is>
      </c>
      <c r="C1027" s="66" t="inlineStr">
        <is>
          <t>Thu</t>
        </is>
      </c>
      <c r="D1027" s="66" t="inlineStr">
        <is>
          <t>TikTok</t>
        </is>
      </c>
      <c r="E1027" s="66" t="inlineStr">
        <is>
          <t>TikTok</t>
        </is>
      </c>
      <c r="F1027" s="66" t="inlineStr">
        <is>
          <t>LEP_ZA_AUG26_TT_TD_AMUR_CONV</t>
        </is>
      </c>
      <c r="G1027" s="66" t="inlineStr">
        <is>
          <t>Website Conversions</t>
        </is>
      </c>
      <c r="H1027" s="66" t="inlineStr">
        <is>
          <t>AMUR</t>
        </is>
      </c>
      <c r="I1027" s="66" t="inlineStr">
        <is>
          <t>0% Deposit</t>
        </is>
      </c>
      <c r="J1027" s="66" t="inlineStr">
        <is>
          <t>TT_AMUR_AUTOTGT_18-34_ZA</t>
        </is>
      </c>
      <c r="K1027" s="66" t="inlineStr">
        <is>
          <t>Prospecting</t>
        </is>
      </c>
      <c r="L1027" s="66" t="inlineStr">
        <is>
          <t>TT_AMUR_UGC_15s_FirstCar_v1</t>
        </is>
      </c>
      <c r="M1027" s="66" t="inlineStr">
        <is>
          <t>Video 9:16</t>
        </is>
      </c>
      <c r="N1027" s="66" t="inlineStr">
        <is>
          <t>POV: your first car isn't second-hand</t>
        </is>
      </c>
      <c r="O1027" s="66" t="inlineStr">
        <is>
          <t>Auction - Lowest Cost</t>
        </is>
      </c>
      <c r="P1027" s="66" t="inlineStr">
        <is>
          <t>Complete Payment / Lead</t>
        </is>
      </c>
      <c r="Q1027" s="66" t="inlineStr">
        <is>
          <t>https://www.lepas-sa.co.za/offers/amur</t>
        </is>
      </c>
      <c r="R1027" s="121" t="n">
        <v>411.07</v>
      </c>
      <c r="S1027" s="122" t="n">
        <v>10336</v>
      </c>
      <c r="T1027" s="122" t="n">
        <v>5255</v>
      </c>
      <c r="U1027" s="123">
        <f>IFERROR(S1027/T1027,"")</f>
        <v/>
      </c>
      <c r="V1027" s="122" t="n">
        <v>101</v>
      </c>
      <c r="W1027" s="122" t="n">
        <v>73</v>
      </c>
      <c r="X1027" s="124">
        <f>IFERROR(W1027/S1027,"")</f>
        <v/>
      </c>
      <c r="Y1027" s="121">
        <f>IFERROR(R1027/W1027,"")</f>
        <v/>
      </c>
      <c r="Z1027" s="121">
        <f>IFERROR(R1027/S1027*1000,"")</f>
        <v/>
      </c>
      <c r="AA1027" s="122" t="n">
        <v>45</v>
      </c>
      <c r="AB1027" s="54">
        <f>IFERROR(AA1027/W1027,"")</f>
        <v/>
      </c>
      <c r="AC1027" s="122" t="n">
        <v>4168</v>
      </c>
      <c r="AD1027" s="122" t="n">
        <v>1861</v>
      </c>
      <c r="AE1027" s="122" t="n">
        <v>1802</v>
      </c>
      <c r="AF1027" s="122" t="n">
        <v>1007</v>
      </c>
      <c r="AG1027" s="122" t="n">
        <v>676</v>
      </c>
      <c r="AH1027" s="122" t="n">
        <v>452</v>
      </c>
      <c r="AI1027" s="54">
        <f>IFERROR(AC1027/S1027,"")</f>
        <v/>
      </c>
      <c r="AJ1027" s="54">
        <f>IFERROR(AH1027/S1027,"")</f>
        <v/>
      </c>
      <c r="AK1027" s="122" t="n">
        <v>218</v>
      </c>
      <c r="AL1027" s="122" t="n">
        <v>0</v>
      </c>
      <c r="AM1027" s="124">
        <f>IFERROR(AL1027/AA1027,"")</f>
        <v/>
      </c>
      <c r="AN1027" s="125">
        <f>IFERROR(R1027/AL1027,"")</f>
        <v/>
      </c>
      <c r="AO1027" s="122" t="n">
        <v>0</v>
      </c>
      <c r="AP1027" s="54">
        <f>IFERROR(AO1027/AL1027,"")</f>
        <v/>
      </c>
      <c r="AQ1027" s="125">
        <f>IFERROR(R1027/AO1027,"")</f>
        <v/>
      </c>
      <c r="AR1027" s="122" t="n">
        <v>0</v>
      </c>
      <c r="AS1027" s="122" t="n">
        <v>0</v>
      </c>
      <c r="AT1027" s="122">
        <f>AL1027+AR1027</f>
        <v/>
      </c>
      <c r="AU1027" s="125">
        <f>IFERROR(AO1027*Assumptions!$C$26*Assumptions!$C$27*INDEX(Assumptions!$C$18:$C$21,MATCH(H1027,Assumptions!$B$18:$B$21,0)),0)</f>
        <v/>
      </c>
    </row>
    <row r="1028">
      <c r="A1028" s="120" t="n">
        <v>46262</v>
      </c>
      <c r="B1028" s="66" t="inlineStr">
        <is>
          <t>Wk 35</t>
        </is>
      </c>
      <c r="C1028" s="66" t="inlineStr">
        <is>
          <t>Fri</t>
        </is>
      </c>
      <c r="D1028" s="66" t="inlineStr">
        <is>
          <t>TikTok</t>
        </is>
      </c>
      <c r="E1028" s="66" t="inlineStr">
        <is>
          <t>TikTok</t>
        </is>
      </c>
      <c r="F1028" s="66" t="inlineStr">
        <is>
          <t>LEP_ZA_AUG26_TT_TD_AMUR_CONV</t>
        </is>
      </c>
      <c r="G1028" s="66" t="inlineStr">
        <is>
          <t>Website Conversions</t>
        </is>
      </c>
      <c r="H1028" s="66" t="inlineStr">
        <is>
          <t>AMUR</t>
        </is>
      </c>
      <c r="I1028" s="66" t="inlineStr">
        <is>
          <t>0% Deposit</t>
        </is>
      </c>
      <c r="J1028" s="66" t="inlineStr">
        <is>
          <t>TT_AMUR_AUTOTGT_18-34_ZA</t>
        </is>
      </c>
      <c r="K1028" s="66" t="inlineStr">
        <is>
          <t>Prospecting</t>
        </is>
      </c>
      <c r="L1028" s="66" t="inlineStr">
        <is>
          <t>TT_AMUR_UGC_15s_FirstCar_v1</t>
        </is>
      </c>
      <c r="M1028" s="66" t="inlineStr">
        <is>
          <t>Video 9:16</t>
        </is>
      </c>
      <c r="N1028" s="66" t="inlineStr">
        <is>
          <t>POV: your first car isn't second-hand</t>
        </is>
      </c>
      <c r="O1028" s="66" t="inlineStr">
        <is>
          <t>Auction - Lowest Cost</t>
        </is>
      </c>
      <c r="P1028" s="66" t="inlineStr">
        <is>
          <t>Complete Payment / Lead</t>
        </is>
      </c>
      <c r="Q1028" s="66" t="inlineStr">
        <is>
          <t>https://www.lepas-sa.co.za/offers/amur</t>
        </is>
      </c>
      <c r="R1028" s="121" t="n">
        <v>399.58</v>
      </c>
      <c r="S1028" s="122" t="n">
        <v>13538</v>
      </c>
      <c r="T1028" s="122" t="n">
        <v>6393</v>
      </c>
      <c r="U1028" s="123">
        <f>IFERROR(S1028/T1028,"")</f>
        <v/>
      </c>
      <c r="V1028" s="122" t="n">
        <v>106</v>
      </c>
      <c r="W1028" s="122" t="n">
        <v>89</v>
      </c>
      <c r="X1028" s="124">
        <f>IFERROR(W1028/S1028,"")</f>
        <v/>
      </c>
      <c r="Y1028" s="121">
        <f>IFERROR(R1028/W1028,"")</f>
        <v/>
      </c>
      <c r="Z1028" s="121">
        <f>IFERROR(R1028/S1028*1000,"")</f>
        <v/>
      </c>
      <c r="AA1028" s="122" t="n">
        <v>63</v>
      </c>
      <c r="AB1028" s="54">
        <f>IFERROR(AA1028/W1028,"")</f>
        <v/>
      </c>
      <c r="AC1028" s="122" t="n">
        <v>3365</v>
      </c>
      <c r="AD1028" s="122" t="n">
        <v>1680</v>
      </c>
      <c r="AE1028" s="122" t="n">
        <v>1478</v>
      </c>
      <c r="AF1028" s="122" t="n">
        <v>806</v>
      </c>
      <c r="AG1028" s="122" t="n">
        <v>511</v>
      </c>
      <c r="AH1028" s="122" t="n">
        <v>314</v>
      </c>
      <c r="AI1028" s="54">
        <f>IFERROR(AC1028/S1028,"")</f>
        <v/>
      </c>
      <c r="AJ1028" s="54">
        <f>IFERROR(AH1028/S1028,"")</f>
        <v/>
      </c>
      <c r="AK1028" s="122" t="n">
        <v>355</v>
      </c>
      <c r="AL1028" s="122" t="n">
        <v>0</v>
      </c>
      <c r="AM1028" s="124">
        <f>IFERROR(AL1028/AA1028,"")</f>
        <v/>
      </c>
      <c r="AN1028" s="125">
        <f>IFERROR(R1028/AL1028,"")</f>
        <v/>
      </c>
      <c r="AO1028" s="122" t="n">
        <v>0</v>
      </c>
      <c r="AP1028" s="54">
        <f>IFERROR(AO1028/AL1028,"")</f>
        <v/>
      </c>
      <c r="AQ1028" s="125">
        <f>IFERROR(R1028/AO1028,"")</f>
        <v/>
      </c>
      <c r="AR1028" s="122" t="n">
        <v>0</v>
      </c>
      <c r="AS1028" s="122" t="n">
        <v>0</v>
      </c>
      <c r="AT1028" s="122">
        <f>AL1028+AR1028</f>
        <v/>
      </c>
      <c r="AU1028" s="125">
        <f>IFERROR(AO1028*Assumptions!$C$26*Assumptions!$C$27*INDEX(Assumptions!$C$18:$C$21,MATCH(H1028,Assumptions!$B$18:$B$21,0)),0)</f>
        <v/>
      </c>
    </row>
    <row r="1029">
      <c r="A1029" s="120" t="n">
        <v>46263</v>
      </c>
      <c r="B1029" s="66" t="inlineStr">
        <is>
          <t>Wk 35</t>
        </is>
      </c>
      <c r="C1029" s="66" t="inlineStr">
        <is>
          <t>Sat</t>
        </is>
      </c>
      <c r="D1029" s="66" t="inlineStr">
        <is>
          <t>TikTok</t>
        </is>
      </c>
      <c r="E1029" s="66" t="inlineStr">
        <is>
          <t>TikTok</t>
        </is>
      </c>
      <c r="F1029" s="66" t="inlineStr">
        <is>
          <t>LEP_ZA_AUG26_TT_TD_AMUR_CONV</t>
        </is>
      </c>
      <c r="G1029" s="66" t="inlineStr">
        <is>
          <t>Website Conversions</t>
        </is>
      </c>
      <c r="H1029" s="66" t="inlineStr">
        <is>
          <t>AMUR</t>
        </is>
      </c>
      <c r="I1029" s="66" t="inlineStr">
        <is>
          <t>0% Deposit</t>
        </is>
      </c>
      <c r="J1029" s="66" t="inlineStr">
        <is>
          <t>TT_AMUR_AUTOTGT_18-34_ZA</t>
        </is>
      </c>
      <c r="K1029" s="66" t="inlineStr">
        <is>
          <t>Prospecting</t>
        </is>
      </c>
      <c r="L1029" s="66" t="inlineStr">
        <is>
          <t>TT_AMUR_UGC_15s_FirstCar_v1</t>
        </is>
      </c>
      <c r="M1029" s="66" t="inlineStr">
        <is>
          <t>Video 9:16</t>
        </is>
      </c>
      <c r="N1029" s="66" t="inlineStr">
        <is>
          <t>POV: your first car isn't second-hand</t>
        </is>
      </c>
      <c r="O1029" s="66" t="inlineStr">
        <is>
          <t>Auction - Lowest Cost</t>
        </is>
      </c>
      <c r="P1029" s="66" t="inlineStr">
        <is>
          <t>Complete Payment / Lead</t>
        </is>
      </c>
      <c r="Q1029" s="66" t="inlineStr">
        <is>
          <t>https://www.lepas-sa.co.za/offers/amur</t>
        </is>
      </c>
      <c r="R1029" s="121" t="n">
        <v>397.82</v>
      </c>
      <c r="S1029" s="122" t="n">
        <v>9112</v>
      </c>
      <c r="T1029" s="122" t="n">
        <v>4197</v>
      </c>
      <c r="U1029" s="123">
        <f>IFERROR(S1029/T1029,"")</f>
        <v/>
      </c>
      <c r="V1029" s="122" t="n">
        <v>58</v>
      </c>
      <c r="W1029" s="122" t="n">
        <v>45</v>
      </c>
      <c r="X1029" s="124">
        <f>IFERROR(W1029/S1029,"")</f>
        <v/>
      </c>
      <c r="Y1029" s="121">
        <f>IFERROR(R1029/W1029,"")</f>
        <v/>
      </c>
      <c r="Z1029" s="121">
        <f>IFERROR(R1029/S1029*1000,"")</f>
        <v/>
      </c>
      <c r="AA1029" s="122" t="n">
        <v>32</v>
      </c>
      <c r="AB1029" s="54">
        <f>IFERROR(AA1029/W1029,"")</f>
        <v/>
      </c>
      <c r="AC1029" s="122" t="n">
        <v>2448</v>
      </c>
      <c r="AD1029" s="122" t="n">
        <v>1177</v>
      </c>
      <c r="AE1029" s="122" t="n">
        <v>952</v>
      </c>
      <c r="AF1029" s="122" t="n">
        <v>588</v>
      </c>
      <c r="AG1029" s="122" t="n">
        <v>400</v>
      </c>
      <c r="AH1029" s="122" t="n">
        <v>233</v>
      </c>
      <c r="AI1029" s="54">
        <f>IFERROR(AC1029/S1029,"")</f>
        <v/>
      </c>
      <c r="AJ1029" s="54">
        <f>IFERROR(AH1029/S1029,"")</f>
        <v/>
      </c>
      <c r="AK1029" s="122" t="n">
        <v>303</v>
      </c>
      <c r="AL1029" s="122" t="n">
        <v>0</v>
      </c>
      <c r="AM1029" s="124">
        <f>IFERROR(AL1029/AA1029,"")</f>
        <v/>
      </c>
      <c r="AN1029" s="125">
        <f>IFERROR(R1029/AL1029,"")</f>
        <v/>
      </c>
      <c r="AO1029" s="122" t="n">
        <v>0</v>
      </c>
      <c r="AP1029" s="54">
        <f>IFERROR(AO1029/AL1029,"")</f>
        <v/>
      </c>
      <c r="AQ1029" s="125">
        <f>IFERROR(R1029/AO1029,"")</f>
        <v/>
      </c>
      <c r="AR1029" s="122" t="n">
        <v>0</v>
      </c>
      <c r="AS1029" s="122" t="n">
        <v>0</v>
      </c>
      <c r="AT1029" s="122">
        <f>AL1029+AR1029</f>
        <v/>
      </c>
      <c r="AU1029" s="125">
        <f>IFERROR(AO1029*Assumptions!$C$26*Assumptions!$C$27*INDEX(Assumptions!$C$18:$C$21,MATCH(H1029,Assumptions!$B$18:$B$21,0)),0)</f>
        <v/>
      </c>
    </row>
    <row r="1030">
      <c r="A1030" s="120" t="n">
        <v>46264</v>
      </c>
      <c r="B1030" s="66" t="inlineStr">
        <is>
          <t>Wk 35</t>
        </is>
      </c>
      <c r="C1030" s="66" t="inlineStr">
        <is>
          <t>Sun</t>
        </is>
      </c>
      <c r="D1030" s="66" t="inlineStr">
        <is>
          <t>TikTok</t>
        </is>
      </c>
      <c r="E1030" s="66" t="inlineStr">
        <is>
          <t>TikTok</t>
        </is>
      </c>
      <c r="F1030" s="66" t="inlineStr">
        <is>
          <t>LEP_ZA_AUG26_TT_TD_AMUR_CONV</t>
        </is>
      </c>
      <c r="G1030" s="66" t="inlineStr">
        <is>
          <t>Website Conversions</t>
        </is>
      </c>
      <c r="H1030" s="66" t="inlineStr">
        <is>
          <t>AMUR</t>
        </is>
      </c>
      <c r="I1030" s="66" t="inlineStr">
        <is>
          <t>0% Deposit</t>
        </is>
      </c>
      <c r="J1030" s="66" t="inlineStr">
        <is>
          <t>TT_AMUR_AUTOTGT_18-34_ZA</t>
        </is>
      </c>
      <c r="K1030" s="66" t="inlineStr">
        <is>
          <t>Prospecting</t>
        </is>
      </c>
      <c r="L1030" s="66" t="inlineStr">
        <is>
          <t>TT_AMUR_UGC_15s_FirstCar_v1</t>
        </is>
      </c>
      <c r="M1030" s="66" t="inlineStr">
        <is>
          <t>Video 9:16</t>
        </is>
      </c>
      <c r="N1030" s="66" t="inlineStr">
        <is>
          <t>POV: your first car isn't second-hand</t>
        </is>
      </c>
      <c r="O1030" s="66" t="inlineStr">
        <is>
          <t>Auction - Lowest Cost</t>
        </is>
      </c>
      <c r="P1030" s="66" t="inlineStr">
        <is>
          <t>Complete Payment / Lead</t>
        </is>
      </c>
      <c r="Q1030" s="66" t="inlineStr">
        <is>
          <t>https://www.lepas-sa.co.za/offers/amur</t>
        </is>
      </c>
      <c r="R1030" s="121" t="n">
        <v>309.08</v>
      </c>
      <c r="S1030" s="122" t="n">
        <v>8158</v>
      </c>
      <c r="T1030" s="122" t="n">
        <v>4695</v>
      </c>
      <c r="U1030" s="123">
        <f>IFERROR(S1030/T1030,"")</f>
        <v/>
      </c>
      <c r="V1030" s="122" t="n">
        <v>90</v>
      </c>
      <c r="W1030" s="122" t="n">
        <v>69</v>
      </c>
      <c r="X1030" s="124">
        <f>IFERROR(W1030/S1030,"")</f>
        <v/>
      </c>
      <c r="Y1030" s="121">
        <f>IFERROR(R1030/W1030,"")</f>
        <v/>
      </c>
      <c r="Z1030" s="121">
        <f>IFERROR(R1030/S1030*1000,"")</f>
        <v/>
      </c>
      <c r="AA1030" s="122" t="n">
        <v>52</v>
      </c>
      <c r="AB1030" s="54">
        <f>IFERROR(AA1030/W1030,"")</f>
        <v/>
      </c>
      <c r="AC1030" s="122" t="n">
        <v>2602</v>
      </c>
      <c r="AD1030" s="122" t="n">
        <v>1227</v>
      </c>
      <c r="AE1030" s="122" t="n">
        <v>1174</v>
      </c>
      <c r="AF1030" s="122" t="n">
        <v>712</v>
      </c>
      <c r="AG1030" s="122" t="n">
        <v>489</v>
      </c>
      <c r="AH1030" s="122" t="n">
        <v>292</v>
      </c>
      <c r="AI1030" s="54">
        <f>IFERROR(AC1030/S1030,"")</f>
        <v/>
      </c>
      <c r="AJ1030" s="54">
        <f>IFERROR(AH1030/S1030,"")</f>
        <v/>
      </c>
      <c r="AK1030" s="122" t="n">
        <v>399</v>
      </c>
      <c r="AL1030" s="122" t="n">
        <v>0</v>
      </c>
      <c r="AM1030" s="124">
        <f>IFERROR(AL1030/AA1030,"")</f>
        <v/>
      </c>
      <c r="AN1030" s="125">
        <f>IFERROR(R1030/AL1030,"")</f>
        <v/>
      </c>
      <c r="AO1030" s="122" t="n">
        <v>0</v>
      </c>
      <c r="AP1030" s="54">
        <f>IFERROR(AO1030/AL1030,"")</f>
        <v/>
      </c>
      <c r="AQ1030" s="125">
        <f>IFERROR(R1030/AO1030,"")</f>
        <v/>
      </c>
      <c r="AR1030" s="122" t="n">
        <v>0</v>
      </c>
      <c r="AS1030" s="122" t="n">
        <v>0</v>
      </c>
      <c r="AT1030" s="122">
        <f>AL1030+AR1030</f>
        <v/>
      </c>
      <c r="AU1030" s="125">
        <f>IFERROR(AO1030*Assumptions!$C$26*Assumptions!$C$27*INDEX(Assumptions!$C$18:$C$21,MATCH(H1030,Assumptions!$B$18:$B$21,0)),0)</f>
        <v/>
      </c>
    </row>
    <row r="1031">
      <c r="A1031" s="120" t="n">
        <v>46265</v>
      </c>
      <c r="B1031" s="66" t="inlineStr">
        <is>
          <t>Wk 36</t>
        </is>
      </c>
      <c r="C1031" s="66" t="inlineStr">
        <is>
          <t>Mon</t>
        </is>
      </c>
      <c r="D1031" s="66" t="inlineStr">
        <is>
          <t>TikTok</t>
        </is>
      </c>
      <c r="E1031" s="66" t="inlineStr">
        <is>
          <t>TikTok</t>
        </is>
      </c>
      <c r="F1031" s="66" t="inlineStr">
        <is>
          <t>LEP_ZA_AUG26_TT_TD_AMUR_CONV</t>
        </is>
      </c>
      <c r="G1031" s="66" t="inlineStr">
        <is>
          <t>Website Conversions</t>
        </is>
      </c>
      <c r="H1031" s="66" t="inlineStr">
        <is>
          <t>AMUR</t>
        </is>
      </c>
      <c r="I1031" s="66" t="inlineStr">
        <is>
          <t>0% Deposit</t>
        </is>
      </c>
      <c r="J1031" s="66" t="inlineStr">
        <is>
          <t>TT_AMUR_AUTOTGT_18-34_ZA</t>
        </is>
      </c>
      <c r="K1031" s="66" t="inlineStr">
        <is>
          <t>Prospecting</t>
        </is>
      </c>
      <c r="L1031" s="66" t="inlineStr">
        <is>
          <t>TT_AMUR_UGC_15s_FirstCar_v1</t>
        </is>
      </c>
      <c r="M1031" s="66" t="inlineStr">
        <is>
          <t>Video 9:16</t>
        </is>
      </c>
      <c r="N1031" s="66" t="inlineStr">
        <is>
          <t>POV: your first car isn't second-hand</t>
        </is>
      </c>
      <c r="O1031" s="66" t="inlineStr">
        <is>
          <t>Auction - Lowest Cost</t>
        </is>
      </c>
      <c r="P1031" s="66" t="inlineStr">
        <is>
          <t>Complete Payment / Lead</t>
        </is>
      </c>
      <c r="Q1031" s="66" t="inlineStr">
        <is>
          <t>https://www.lepas-sa.co.za/offers/amur</t>
        </is>
      </c>
      <c r="R1031" s="121" t="n">
        <v>296.43</v>
      </c>
      <c r="S1031" s="122" t="n">
        <v>8619</v>
      </c>
      <c r="T1031" s="122" t="n">
        <v>5067</v>
      </c>
      <c r="U1031" s="123">
        <f>IFERROR(S1031/T1031,"")</f>
        <v/>
      </c>
      <c r="V1031" s="122" t="n">
        <v>51</v>
      </c>
      <c r="W1031" s="122" t="n">
        <v>42</v>
      </c>
      <c r="X1031" s="124">
        <f>IFERROR(W1031/S1031,"")</f>
        <v/>
      </c>
      <c r="Y1031" s="121">
        <f>IFERROR(R1031/W1031,"")</f>
        <v/>
      </c>
      <c r="Z1031" s="121">
        <f>IFERROR(R1031/S1031*1000,"")</f>
        <v/>
      </c>
      <c r="AA1031" s="122" t="n">
        <v>30</v>
      </c>
      <c r="AB1031" s="54">
        <f>IFERROR(AA1031/W1031,"")</f>
        <v/>
      </c>
      <c r="AC1031" s="122" t="n">
        <v>3370</v>
      </c>
      <c r="AD1031" s="122" t="n">
        <v>1786</v>
      </c>
      <c r="AE1031" s="122" t="n">
        <v>1787</v>
      </c>
      <c r="AF1031" s="122" t="n">
        <v>1062</v>
      </c>
      <c r="AG1031" s="122" t="n">
        <v>733</v>
      </c>
      <c r="AH1031" s="122" t="n">
        <v>416</v>
      </c>
      <c r="AI1031" s="54">
        <f>IFERROR(AC1031/S1031,"")</f>
        <v/>
      </c>
      <c r="AJ1031" s="54">
        <f>IFERROR(AH1031/S1031,"")</f>
        <v/>
      </c>
      <c r="AK1031" s="122" t="n">
        <v>349</v>
      </c>
      <c r="AL1031" s="122" t="n">
        <v>0</v>
      </c>
      <c r="AM1031" s="124">
        <f>IFERROR(AL1031/AA1031,"")</f>
        <v/>
      </c>
      <c r="AN1031" s="125">
        <f>IFERROR(R1031/AL1031,"")</f>
        <v/>
      </c>
      <c r="AO1031" s="122" t="n">
        <v>0</v>
      </c>
      <c r="AP1031" s="54">
        <f>IFERROR(AO1031/AL1031,"")</f>
        <v/>
      </c>
      <c r="AQ1031" s="125">
        <f>IFERROR(R1031/AO1031,"")</f>
        <v/>
      </c>
      <c r="AR1031" s="122" t="n">
        <v>0</v>
      </c>
      <c r="AS1031" s="122" t="n">
        <v>0</v>
      </c>
      <c r="AT1031" s="122">
        <f>AL1031+AR1031</f>
        <v/>
      </c>
      <c r="AU1031" s="125">
        <f>IFERROR(AO1031*Assumptions!$C$26*Assumptions!$C$27*INDEX(Assumptions!$C$18:$C$21,MATCH(H1031,Assumptions!$B$18:$B$21,0)),0)</f>
        <v/>
      </c>
    </row>
    <row r="1032">
      <c r="A1032" s="120" t="n">
        <v>46235</v>
      </c>
      <c r="B1032" s="66" t="inlineStr">
        <is>
          <t>Wk 31</t>
        </is>
      </c>
      <c r="C1032" s="66" t="inlineStr">
        <is>
          <t>Sat</t>
        </is>
      </c>
      <c r="D1032" s="66" t="inlineStr">
        <is>
          <t>TikTok</t>
        </is>
      </c>
      <c r="E1032" s="66" t="inlineStr">
        <is>
          <t>TikTok</t>
        </is>
      </c>
      <c r="F1032" s="66" t="inlineStr">
        <is>
          <t>LEP_ZA_AUG26_TT_TD_AMUR_CONV</t>
        </is>
      </c>
      <c r="G1032" s="66" t="inlineStr">
        <is>
          <t>Website Conversions</t>
        </is>
      </c>
      <c r="H1032" s="66" t="inlineStr">
        <is>
          <t>AMUR</t>
        </is>
      </c>
      <c r="I1032" s="66" t="inlineStr">
        <is>
          <t>0% Deposit</t>
        </is>
      </c>
      <c r="J1032" s="66" t="inlineStr">
        <is>
          <t>TT_AMUR_AUTOTGT_18-34_ZA</t>
        </is>
      </c>
      <c r="K1032" s="66" t="inlineStr">
        <is>
          <t>Prospecting</t>
        </is>
      </c>
      <c r="L1032" s="66" t="inlineStr">
        <is>
          <t>TT_AMUR_TREND_12s_Reveal_v1</t>
        </is>
      </c>
      <c r="M1032" s="66" t="inlineStr">
        <is>
          <t>Video 9:16</t>
        </is>
      </c>
      <c r="N1032" s="66" t="inlineStr">
        <is>
          <t>Cover reveal trend - AMUR edition</t>
        </is>
      </c>
      <c r="O1032" s="66" t="inlineStr">
        <is>
          <t>Auction - Lowest Cost</t>
        </is>
      </c>
      <c r="P1032" s="66" t="inlineStr">
        <is>
          <t>Complete Payment / Lead</t>
        </is>
      </c>
      <c r="Q1032" s="66" t="inlineStr">
        <is>
          <t>https://www.lepas-sa.co.za/offers/amur</t>
        </is>
      </c>
      <c r="R1032" s="121" t="n">
        <v>260.77</v>
      </c>
      <c r="S1032" s="122" t="n">
        <v>5964</v>
      </c>
      <c r="T1032" s="122" t="n">
        <v>4252</v>
      </c>
      <c r="U1032" s="123">
        <f>IFERROR(S1032/T1032,"")</f>
        <v/>
      </c>
      <c r="V1032" s="122" t="n">
        <v>76</v>
      </c>
      <c r="W1032" s="122" t="n">
        <v>59</v>
      </c>
      <c r="X1032" s="124">
        <f>IFERROR(W1032/S1032,"")</f>
        <v/>
      </c>
      <c r="Y1032" s="121">
        <f>IFERROR(R1032/W1032,"")</f>
        <v/>
      </c>
      <c r="Z1032" s="121">
        <f>IFERROR(R1032/S1032*1000,"")</f>
        <v/>
      </c>
      <c r="AA1032" s="122" t="n">
        <v>38</v>
      </c>
      <c r="AB1032" s="54">
        <f>IFERROR(AA1032/W1032,"")</f>
        <v/>
      </c>
      <c r="AC1032" s="122" t="n">
        <v>1363</v>
      </c>
      <c r="AD1032" s="122" t="n">
        <v>722</v>
      </c>
      <c r="AE1032" s="122" t="n">
        <v>510</v>
      </c>
      <c r="AF1032" s="122" t="n">
        <v>346</v>
      </c>
      <c r="AG1032" s="122" t="n">
        <v>265</v>
      </c>
      <c r="AH1032" s="122" t="n">
        <v>150</v>
      </c>
      <c r="AI1032" s="54">
        <f>IFERROR(AC1032/S1032,"")</f>
        <v/>
      </c>
      <c r="AJ1032" s="54">
        <f>IFERROR(AH1032/S1032,"")</f>
        <v/>
      </c>
      <c r="AK1032" s="122" t="n">
        <v>120</v>
      </c>
      <c r="AL1032" s="122" t="n">
        <v>1</v>
      </c>
      <c r="AM1032" s="124">
        <f>IFERROR(AL1032/AA1032,"")</f>
        <v/>
      </c>
      <c r="AN1032" s="125">
        <f>IFERROR(R1032/AL1032,"")</f>
        <v/>
      </c>
      <c r="AO1032" s="122" t="n">
        <v>0</v>
      </c>
      <c r="AP1032" s="54">
        <f>IFERROR(AO1032/AL1032,"")</f>
        <v/>
      </c>
      <c r="AQ1032" s="125">
        <f>IFERROR(R1032/AO1032,"")</f>
        <v/>
      </c>
      <c r="AR1032" s="122" t="n">
        <v>1</v>
      </c>
      <c r="AS1032" s="122" t="n">
        <v>0</v>
      </c>
      <c r="AT1032" s="122">
        <f>AL1032+AR1032</f>
        <v/>
      </c>
      <c r="AU1032" s="125">
        <f>IFERROR(AO1032*Assumptions!$C$26*Assumptions!$C$27*INDEX(Assumptions!$C$18:$C$21,MATCH(H1032,Assumptions!$B$18:$B$21,0)),0)</f>
        <v/>
      </c>
    </row>
    <row r="1033">
      <c r="A1033" s="120" t="n">
        <v>46236</v>
      </c>
      <c r="B1033" s="66" t="inlineStr">
        <is>
          <t>Wk 31</t>
        </is>
      </c>
      <c r="C1033" s="66" t="inlineStr">
        <is>
          <t>Sun</t>
        </is>
      </c>
      <c r="D1033" s="66" t="inlineStr">
        <is>
          <t>TikTok</t>
        </is>
      </c>
      <c r="E1033" s="66" t="inlineStr">
        <is>
          <t>TikTok</t>
        </is>
      </c>
      <c r="F1033" s="66" t="inlineStr">
        <is>
          <t>LEP_ZA_AUG26_TT_TD_AMUR_CONV</t>
        </is>
      </c>
      <c r="G1033" s="66" t="inlineStr">
        <is>
          <t>Website Conversions</t>
        </is>
      </c>
      <c r="H1033" s="66" t="inlineStr">
        <is>
          <t>AMUR</t>
        </is>
      </c>
      <c r="I1033" s="66" t="inlineStr">
        <is>
          <t>0% Deposit</t>
        </is>
      </c>
      <c r="J1033" s="66" t="inlineStr">
        <is>
          <t>TT_AMUR_AUTOTGT_18-34_ZA</t>
        </is>
      </c>
      <c r="K1033" s="66" t="inlineStr">
        <is>
          <t>Prospecting</t>
        </is>
      </c>
      <c r="L1033" s="66" t="inlineStr">
        <is>
          <t>TT_AMUR_TREND_12s_Reveal_v1</t>
        </is>
      </c>
      <c r="M1033" s="66" t="inlineStr">
        <is>
          <t>Video 9:16</t>
        </is>
      </c>
      <c r="N1033" s="66" t="inlineStr">
        <is>
          <t>Cover reveal trend - AMUR edition</t>
        </is>
      </c>
      <c r="O1033" s="66" t="inlineStr">
        <is>
          <t>Auction - Lowest Cost</t>
        </is>
      </c>
      <c r="P1033" s="66" t="inlineStr">
        <is>
          <t>Complete Payment / Lead</t>
        </is>
      </c>
      <c r="Q1033" s="66" t="inlineStr">
        <is>
          <t>https://www.lepas-sa.co.za/offers/amur</t>
        </is>
      </c>
      <c r="R1033" s="121" t="n">
        <v>195.29</v>
      </c>
      <c r="S1033" s="122" t="n">
        <v>6220</v>
      </c>
      <c r="T1033" s="122" t="n">
        <v>4509</v>
      </c>
      <c r="U1033" s="123">
        <f>IFERROR(S1033/T1033,"")</f>
        <v/>
      </c>
      <c r="V1033" s="122" t="n">
        <v>120</v>
      </c>
      <c r="W1033" s="122" t="n">
        <v>89</v>
      </c>
      <c r="X1033" s="124">
        <f>IFERROR(W1033/S1033,"")</f>
        <v/>
      </c>
      <c r="Y1033" s="121">
        <f>IFERROR(R1033/W1033,"")</f>
        <v/>
      </c>
      <c r="Z1033" s="121">
        <f>IFERROR(R1033/S1033*1000,"")</f>
        <v/>
      </c>
      <c r="AA1033" s="122" t="n">
        <v>60</v>
      </c>
      <c r="AB1033" s="54">
        <f>IFERROR(AA1033/W1033,"")</f>
        <v/>
      </c>
      <c r="AC1033" s="122" t="n">
        <v>2210</v>
      </c>
      <c r="AD1033" s="122" t="n">
        <v>1357</v>
      </c>
      <c r="AE1033" s="122" t="n">
        <v>1045</v>
      </c>
      <c r="AF1033" s="122" t="n">
        <v>736</v>
      </c>
      <c r="AG1033" s="122" t="n">
        <v>480</v>
      </c>
      <c r="AH1033" s="122" t="n">
        <v>280</v>
      </c>
      <c r="AI1033" s="54">
        <f>IFERROR(AC1033/S1033,"")</f>
        <v/>
      </c>
      <c r="AJ1033" s="54">
        <f>IFERROR(AH1033/S1033,"")</f>
        <v/>
      </c>
      <c r="AK1033" s="122" t="n">
        <v>242</v>
      </c>
      <c r="AL1033" s="122" t="n">
        <v>0</v>
      </c>
      <c r="AM1033" s="124">
        <f>IFERROR(AL1033/AA1033,"")</f>
        <v/>
      </c>
      <c r="AN1033" s="125">
        <f>IFERROR(R1033/AL1033,"")</f>
        <v/>
      </c>
      <c r="AO1033" s="122" t="n">
        <v>0</v>
      </c>
      <c r="AP1033" s="54">
        <f>IFERROR(AO1033/AL1033,"")</f>
        <v/>
      </c>
      <c r="AQ1033" s="125">
        <f>IFERROR(R1033/AO1033,"")</f>
        <v/>
      </c>
      <c r="AR1033" s="122" t="n">
        <v>0</v>
      </c>
      <c r="AS1033" s="122" t="n">
        <v>0</v>
      </c>
      <c r="AT1033" s="122">
        <f>AL1033+AR1033</f>
        <v/>
      </c>
      <c r="AU1033" s="125">
        <f>IFERROR(AO1033*Assumptions!$C$26*Assumptions!$C$27*INDEX(Assumptions!$C$18:$C$21,MATCH(H1033,Assumptions!$B$18:$B$21,0)),0)</f>
        <v/>
      </c>
    </row>
    <row r="1034">
      <c r="A1034" s="120" t="n">
        <v>46237</v>
      </c>
      <c r="B1034" s="66" t="inlineStr">
        <is>
          <t>Wk 32</t>
        </is>
      </c>
      <c r="C1034" s="66" t="inlineStr">
        <is>
          <t>Mon</t>
        </is>
      </c>
      <c r="D1034" s="66" t="inlineStr">
        <is>
          <t>TikTok</t>
        </is>
      </c>
      <c r="E1034" s="66" t="inlineStr">
        <is>
          <t>TikTok</t>
        </is>
      </c>
      <c r="F1034" s="66" t="inlineStr">
        <is>
          <t>LEP_ZA_AUG26_TT_TD_AMUR_CONV</t>
        </is>
      </c>
      <c r="G1034" s="66" t="inlineStr">
        <is>
          <t>Website Conversions</t>
        </is>
      </c>
      <c r="H1034" s="66" t="inlineStr">
        <is>
          <t>AMUR</t>
        </is>
      </c>
      <c r="I1034" s="66" t="inlineStr">
        <is>
          <t>0% Deposit</t>
        </is>
      </c>
      <c r="J1034" s="66" t="inlineStr">
        <is>
          <t>TT_AMUR_AUTOTGT_18-34_ZA</t>
        </is>
      </c>
      <c r="K1034" s="66" t="inlineStr">
        <is>
          <t>Prospecting</t>
        </is>
      </c>
      <c r="L1034" s="66" t="inlineStr">
        <is>
          <t>TT_AMUR_TREND_12s_Reveal_v1</t>
        </is>
      </c>
      <c r="M1034" s="66" t="inlineStr">
        <is>
          <t>Video 9:16</t>
        </is>
      </c>
      <c r="N1034" s="66" t="inlineStr">
        <is>
          <t>Cover reveal trend - AMUR edition</t>
        </is>
      </c>
      <c r="O1034" s="66" t="inlineStr">
        <is>
          <t>Auction - Lowest Cost</t>
        </is>
      </c>
      <c r="P1034" s="66" t="inlineStr">
        <is>
          <t>Complete Payment / Lead</t>
        </is>
      </c>
      <c r="Q1034" s="66" t="inlineStr">
        <is>
          <t>https://www.lepas-sa.co.za/offers/amur</t>
        </is>
      </c>
      <c r="R1034" s="121" t="n">
        <v>216.6</v>
      </c>
      <c r="S1034" s="122" t="n">
        <v>4777</v>
      </c>
      <c r="T1034" s="122" t="n">
        <v>3286</v>
      </c>
      <c r="U1034" s="123">
        <f>IFERROR(S1034/T1034,"")</f>
        <v/>
      </c>
      <c r="V1034" s="122" t="n">
        <v>72</v>
      </c>
      <c r="W1034" s="122" t="n">
        <v>53</v>
      </c>
      <c r="X1034" s="124">
        <f>IFERROR(W1034/S1034,"")</f>
        <v/>
      </c>
      <c r="Y1034" s="121">
        <f>IFERROR(R1034/W1034,"")</f>
        <v/>
      </c>
      <c r="Z1034" s="121">
        <f>IFERROR(R1034/S1034*1000,"")</f>
        <v/>
      </c>
      <c r="AA1034" s="122" t="n">
        <v>36</v>
      </c>
      <c r="AB1034" s="54">
        <f>IFERROR(AA1034/W1034,"")</f>
        <v/>
      </c>
      <c r="AC1034" s="122" t="n">
        <v>1834</v>
      </c>
      <c r="AD1034" s="122" t="n">
        <v>959</v>
      </c>
      <c r="AE1034" s="122" t="n">
        <v>764</v>
      </c>
      <c r="AF1034" s="122" t="n">
        <v>525</v>
      </c>
      <c r="AG1034" s="122" t="n">
        <v>413</v>
      </c>
      <c r="AH1034" s="122" t="n">
        <v>290</v>
      </c>
      <c r="AI1034" s="54">
        <f>IFERROR(AC1034/S1034,"")</f>
        <v/>
      </c>
      <c r="AJ1034" s="54">
        <f>IFERROR(AH1034/S1034,"")</f>
        <v/>
      </c>
      <c r="AK1034" s="122" t="n">
        <v>261</v>
      </c>
      <c r="AL1034" s="122" t="n">
        <v>1</v>
      </c>
      <c r="AM1034" s="124">
        <f>IFERROR(AL1034/AA1034,"")</f>
        <v/>
      </c>
      <c r="AN1034" s="125">
        <f>IFERROR(R1034/AL1034,"")</f>
        <v/>
      </c>
      <c r="AO1034" s="122" t="n">
        <v>1</v>
      </c>
      <c r="AP1034" s="54">
        <f>IFERROR(AO1034/AL1034,"")</f>
        <v/>
      </c>
      <c r="AQ1034" s="125">
        <f>IFERROR(R1034/AO1034,"")</f>
        <v/>
      </c>
      <c r="AR1034" s="122" t="n">
        <v>0</v>
      </c>
      <c r="AS1034" s="122" t="n">
        <v>0</v>
      </c>
      <c r="AT1034" s="122">
        <f>AL1034+AR1034</f>
        <v/>
      </c>
      <c r="AU1034" s="125">
        <f>IFERROR(AO1034*Assumptions!$C$26*Assumptions!$C$27*INDEX(Assumptions!$C$18:$C$21,MATCH(H1034,Assumptions!$B$18:$B$21,0)),0)</f>
        <v/>
      </c>
    </row>
    <row r="1035">
      <c r="A1035" s="120" t="n">
        <v>46238</v>
      </c>
      <c r="B1035" s="66" t="inlineStr">
        <is>
          <t>Wk 32</t>
        </is>
      </c>
      <c r="C1035" s="66" t="inlineStr">
        <is>
          <t>Tue</t>
        </is>
      </c>
      <c r="D1035" s="66" t="inlineStr">
        <is>
          <t>TikTok</t>
        </is>
      </c>
      <c r="E1035" s="66" t="inlineStr">
        <is>
          <t>TikTok</t>
        </is>
      </c>
      <c r="F1035" s="66" t="inlineStr">
        <is>
          <t>LEP_ZA_AUG26_TT_TD_AMUR_CONV</t>
        </is>
      </c>
      <c r="G1035" s="66" t="inlineStr">
        <is>
          <t>Website Conversions</t>
        </is>
      </c>
      <c r="H1035" s="66" t="inlineStr">
        <is>
          <t>AMUR</t>
        </is>
      </c>
      <c r="I1035" s="66" t="inlineStr">
        <is>
          <t>0% Deposit</t>
        </is>
      </c>
      <c r="J1035" s="66" t="inlineStr">
        <is>
          <t>TT_AMUR_AUTOTGT_18-34_ZA</t>
        </is>
      </c>
      <c r="K1035" s="66" t="inlineStr">
        <is>
          <t>Prospecting</t>
        </is>
      </c>
      <c r="L1035" s="66" t="inlineStr">
        <is>
          <t>TT_AMUR_TREND_12s_Reveal_v1</t>
        </is>
      </c>
      <c r="M1035" s="66" t="inlineStr">
        <is>
          <t>Video 9:16</t>
        </is>
      </c>
      <c r="N1035" s="66" t="inlineStr">
        <is>
          <t>Cover reveal trend - AMUR edition</t>
        </is>
      </c>
      <c r="O1035" s="66" t="inlineStr">
        <is>
          <t>Auction - Lowest Cost</t>
        </is>
      </c>
      <c r="P1035" s="66" t="inlineStr">
        <is>
          <t>Complete Payment / Lead</t>
        </is>
      </c>
      <c r="Q1035" s="66" t="inlineStr">
        <is>
          <t>https://www.lepas-sa.co.za/offers/amur</t>
        </is>
      </c>
      <c r="R1035" s="121" t="n">
        <v>215.71</v>
      </c>
      <c r="S1035" s="122" t="n">
        <v>6865</v>
      </c>
      <c r="T1035" s="122" t="n">
        <v>4566</v>
      </c>
      <c r="U1035" s="123">
        <f>IFERROR(S1035/T1035,"")</f>
        <v/>
      </c>
      <c r="V1035" s="122" t="n">
        <v>91</v>
      </c>
      <c r="W1035" s="122" t="n">
        <v>76</v>
      </c>
      <c r="X1035" s="124">
        <f>IFERROR(W1035/S1035,"")</f>
        <v/>
      </c>
      <c r="Y1035" s="121">
        <f>IFERROR(R1035/W1035,"")</f>
        <v/>
      </c>
      <c r="Z1035" s="121">
        <f>IFERROR(R1035/S1035*1000,"")</f>
        <v/>
      </c>
      <c r="AA1035" s="122" t="n">
        <v>52</v>
      </c>
      <c r="AB1035" s="54">
        <f>IFERROR(AA1035/W1035,"")</f>
        <v/>
      </c>
      <c r="AC1035" s="122" t="n">
        <v>2072</v>
      </c>
      <c r="AD1035" s="122" t="n">
        <v>959</v>
      </c>
      <c r="AE1035" s="122" t="n">
        <v>1027</v>
      </c>
      <c r="AF1035" s="122" t="n">
        <v>716</v>
      </c>
      <c r="AG1035" s="122" t="n">
        <v>568</v>
      </c>
      <c r="AH1035" s="122" t="n">
        <v>377</v>
      </c>
      <c r="AI1035" s="54">
        <f>IFERROR(AC1035/S1035,"")</f>
        <v/>
      </c>
      <c r="AJ1035" s="54">
        <f>IFERROR(AH1035/S1035,"")</f>
        <v/>
      </c>
      <c r="AK1035" s="122" t="n">
        <v>216</v>
      </c>
      <c r="AL1035" s="122" t="n">
        <v>0</v>
      </c>
      <c r="AM1035" s="124">
        <f>IFERROR(AL1035/AA1035,"")</f>
        <v/>
      </c>
      <c r="AN1035" s="125">
        <f>IFERROR(R1035/AL1035,"")</f>
        <v/>
      </c>
      <c r="AO1035" s="122" t="n">
        <v>0</v>
      </c>
      <c r="AP1035" s="54">
        <f>IFERROR(AO1035/AL1035,"")</f>
        <v/>
      </c>
      <c r="AQ1035" s="125">
        <f>IFERROR(R1035/AO1035,"")</f>
        <v/>
      </c>
      <c r="AR1035" s="122" t="n">
        <v>0</v>
      </c>
      <c r="AS1035" s="122" t="n">
        <v>0</v>
      </c>
      <c r="AT1035" s="122">
        <f>AL1035+AR1035</f>
        <v/>
      </c>
      <c r="AU1035" s="125">
        <f>IFERROR(AO1035*Assumptions!$C$26*Assumptions!$C$27*INDEX(Assumptions!$C$18:$C$21,MATCH(H1035,Assumptions!$B$18:$B$21,0)),0)</f>
        <v/>
      </c>
    </row>
    <row r="1036">
      <c r="A1036" s="120" t="n">
        <v>46239</v>
      </c>
      <c r="B1036" s="66" t="inlineStr">
        <is>
          <t>Wk 32</t>
        </is>
      </c>
      <c r="C1036" s="66" t="inlineStr">
        <is>
          <t>Wed</t>
        </is>
      </c>
      <c r="D1036" s="66" t="inlineStr">
        <is>
          <t>TikTok</t>
        </is>
      </c>
      <c r="E1036" s="66" t="inlineStr">
        <is>
          <t>TikTok</t>
        </is>
      </c>
      <c r="F1036" s="66" t="inlineStr">
        <is>
          <t>LEP_ZA_AUG26_TT_TD_AMUR_CONV</t>
        </is>
      </c>
      <c r="G1036" s="66" t="inlineStr">
        <is>
          <t>Website Conversions</t>
        </is>
      </c>
      <c r="H1036" s="66" t="inlineStr">
        <is>
          <t>AMUR</t>
        </is>
      </c>
      <c r="I1036" s="66" t="inlineStr">
        <is>
          <t>0% Deposit</t>
        </is>
      </c>
      <c r="J1036" s="66" t="inlineStr">
        <is>
          <t>TT_AMUR_AUTOTGT_18-34_ZA</t>
        </is>
      </c>
      <c r="K1036" s="66" t="inlineStr">
        <is>
          <t>Prospecting</t>
        </is>
      </c>
      <c r="L1036" s="66" t="inlineStr">
        <is>
          <t>TT_AMUR_TREND_12s_Reveal_v1</t>
        </is>
      </c>
      <c r="M1036" s="66" t="inlineStr">
        <is>
          <t>Video 9:16</t>
        </is>
      </c>
      <c r="N1036" s="66" t="inlineStr">
        <is>
          <t>Cover reveal trend - AMUR edition</t>
        </is>
      </c>
      <c r="O1036" s="66" t="inlineStr">
        <is>
          <t>Auction - Lowest Cost</t>
        </is>
      </c>
      <c r="P1036" s="66" t="inlineStr">
        <is>
          <t>Complete Payment / Lead</t>
        </is>
      </c>
      <c r="Q1036" s="66" t="inlineStr">
        <is>
          <t>https://www.lepas-sa.co.za/offers/amur</t>
        </is>
      </c>
      <c r="R1036" s="121" t="n">
        <v>220.93</v>
      </c>
      <c r="S1036" s="122" t="n">
        <v>5327</v>
      </c>
      <c r="T1036" s="122" t="n">
        <v>4347</v>
      </c>
      <c r="U1036" s="123">
        <f>IFERROR(S1036/T1036,"")</f>
        <v/>
      </c>
      <c r="V1036" s="122" t="n">
        <v>55</v>
      </c>
      <c r="W1036" s="122" t="n">
        <v>42</v>
      </c>
      <c r="X1036" s="124">
        <f>IFERROR(W1036/S1036,"")</f>
        <v/>
      </c>
      <c r="Y1036" s="121">
        <f>IFERROR(R1036/W1036,"")</f>
        <v/>
      </c>
      <c r="Z1036" s="121">
        <f>IFERROR(R1036/S1036*1000,"")</f>
        <v/>
      </c>
      <c r="AA1036" s="122" t="n">
        <v>28</v>
      </c>
      <c r="AB1036" s="54">
        <f>IFERROR(AA1036/W1036,"")</f>
        <v/>
      </c>
      <c r="AC1036" s="122" t="n">
        <v>1270</v>
      </c>
      <c r="AD1036" s="122" t="n">
        <v>607</v>
      </c>
      <c r="AE1036" s="122" t="n">
        <v>642</v>
      </c>
      <c r="AF1036" s="122" t="n">
        <v>454</v>
      </c>
      <c r="AG1036" s="122" t="n">
        <v>327</v>
      </c>
      <c r="AH1036" s="122" t="n">
        <v>192</v>
      </c>
      <c r="AI1036" s="54">
        <f>IFERROR(AC1036/S1036,"")</f>
        <v/>
      </c>
      <c r="AJ1036" s="54">
        <f>IFERROR(AH1036/S1036,"")</f>
        <v/>
      </c>
      <c r="AK1036" s="122" t="n">
        <v>191</v>
      </c>
      <c r="AL1036" s="122" t="n">
        <v>1</v>
      </c>
      <c r="AM1036" s="124">
        <f>IFERROR(AL1036/AA1036,"")</f>
        <v/>
      </c>
      <c r="AN1036" s="125">
        <f>IFERROR(R1036/AL1036,"")</f>
        <v/>
      </c>
      <c r="AO1036" s="122" t="n">
        <v>1</v>
      </c>
      <c r="AP1036" s="54">
        <f>IFERROR(AO1036/AL1036,"")</f>
        <v/>
      </c>
      <c r="AQ1036" s="125">
        <f>IFERROR(R1036/AO1036,"")</f>
        <v/>
      </c>
      <c r="AR1036" s="122" t="n">
        <v>1</v>
      </c>
      <c r="AS1036" s="122" t="n">
        <v>0</v>
      </c>
      <c r="AT1036" s="122">
        <f>AL1036+AR1036</f>
        <v/>
      </c>
      <c r="AU1036" s="125">
        <f>IFERROR(AO1036*Assumptions!$C$26*Assumptions!$C$27*INDEX(Assumptions!$C$18:$C$21,MATCH(H1036,Assumptions!$B$18:$B$21,0)),0)</f>
        <v/>
      </c>
    </row>
    <row r="1037">
      <c r="A1037" s="120" t="n">
        <v>46240</v>
      </c>
      <c r="B1037" s="66" t="inlineStr">
        <is>
          <t>Wk 32</t>
        </is>
      </c>
      <c r="C1037" s="66" t="inlineStr">
        <is>
          <t>Thu</t>
        </is>
      </c>
      <c r="D1037" s="66" t="inlineStr">
        <is>
          <t>TikTok</t>
        </is>
      </c>
      <c r="E1037" s="66" t="inlineStr">
        <is>
          <t>TikTok</t>
        </is>
      </c>
      <c r="F1037" s="66" t="inlineStr">
        <is>
          <t>LEP_ZA_AUG26_TT_TD_AMUR_CONV</t>
        </is>
      </c>
      <c r="G1037" s="66" t="inlineStr">
        <is>
          <t>Website Conversions</t>
        </is>
      </c>
      <c r="H1037" s="66" t="inlineStr">
        <is>
          <t>AMUR</t>
        </is>
      </c>
      <c r="I1037" s="66" t="inlineStr">
        <is>
          <t>0% Deposit</t>
        </is>
      </c>
      <c r="J1037" s="66" t="inlineStr">
        <is>
          <t>TT_AMUR_AUTOTGT_18-34_ZA</t>
        </is>
      </c>
      <c r="K1037" s="66" t="inlineStr">
        <is>
          <t>Prospecting</t>
        </is>
      </c>
      <c r="L1037" s="66" t="inlineStr">
        <is>
          <t>TT_AMUR_TREND_12s_Reveal_v1</t>
        </is>
      </c>
      <c r="M1037" s="66" t="inlineStr">
        <is>
          <t>Video 9:16</t>
        </is>
      </c>
      <c r="N1037" s="66" t="inlineStr">
        <is>
          <t>Cover reveal trend - AMUR edition</t>
        </is>
      </c>
      <c r="O1037" s="66" t="inlineStr">
        <is>
          <t>Auction - Lowest Cost</t>
        </is>
      </c>
      <c r="P1037" s="66" t="inlineStr">
        <is>
          <t>Complete Payment / Lead</t>
        </is>
      </c>
      <c r="Q1037" s="66" t="inlineStr">
        <is>
          <t>https://www.lepas-sa.co.za/offers/amur</t>
        </is>
      </c>
      <c r="R1037" s="121" t="n">
        <v>256.53</v>
      </c>
      <c r="S1037" s="122" t="n">
        <v>6753</v>
      </c>
      <c r="T1037" s="122" t="n">
        <v>4828</v>
      </c>
      <c r="U1037" s="123">
        <f>IFERROR(S1037/T1037,"")</f>
        <v/>
      </c>
      <c r="V1037" s="122" t="n">
        <v>105</v>
      </c>
      <c r="W1037" s="122" t="n">
        <v>79</v>
      </c>
      <c r="X1037" s="124">
        <f>IFERROR(W1037/S1037,"")</f>
        <v/>
      </c>
      <c r="Y1037" s="121">
        <f>IFERROR(R1037/W1037,"")</f>
        <v/>
      </c>
      <c r="Z1037" s="121">
        <f>IFERROR(R1037/S1037*1000,"")</f>
        <v/>
      </c>
      <c r="AA1037" s="122" t="n">
        <v>54</v>
      </c>
      <c r="AB1037" s="54">
        <f>IFERROR(AA1037/W1037,"")</f>
        <v/>
      </c>
      <c r="AC1037" s="122" t="n">
        <v>2723</v>
      </c>
      <c r="AD1037" s="122" t="n">
        <v>1669</v>
      </c>
      <c r="AE1037" s="122" t="n">
        <v>1366</v>
      </c>
      <c r="AF1037" s="122" t="n">
        <v>856</v>
      </c>
      <c r="AG1037" s="122" t="n">
        <v>568</v>
      </c>
      <c r="AH1037" s="122" t="n">
        <v>372</v>
      </c>
      <c r="AI1037" s="54">
        <f>IFERROR(AC1037/S1037,"")</f>
        <v/>
      </c>
      <c r="AJ1037" s="54">
        <f>IFERROR(AH1037/S1037,"")</f>
        <v/>
      </c>
      <c r="AK1037" s="122" t="n">
        <v>183</v>
      </c>
      <c r="AL1037" s="122" t="n">
        <v>0</v>
      </c>
      <c r="AM1037" s="124">
        <f>IFERROR(AL1037/AA1037,"")</f>
        <v/>
      </c>
      <c r="AN1037" s="125">
        <f>IFERROR(R1037/AL1037,"")</f>
        <v/>
      </c>
      <c r="AO1037" s="122" t="n">
        <v>0</v>
      </c>
      <c r="AP1037" s="54">
        <f>IFERROR(AO1037/AL1037,"")</f>
        <v/>
      </c>
      <c r="AQ1037" s="125">
        <f>IFERROR(R1037/AO1037,"")</f>
        <v/>
      </c>
      <c r="AR1037" s="122" t="n">
        <v>0</v>
      </c>
      <c r="AS1037" s="122" t="n">
        <v>0</v>
      </c>
      <c r="AT1037" s="122">
        <f>AL1037+AR1037</f>
        <v/>
      </c>
      <c r="AU1037" s="125">
        <f>IFERROR(AO1037*Assumptions!$C$26*Assumptions!$C$27*INDEX(Assumptions!$C$18:$C$21,MATCH(H1037,Assumptions!$B$18:$B$21,0)),0)</f>
        <v/>
      </c>
    </row>
    <row r="1038">
      <c r="A1038" s="120" t="n">
        <v>46241</v>
      </c>
      <c r="B1038" s="66" t="inlineStr">
        <is>
          <t>Wk 32</t>
        </is>
      </c>
      <c r="C1038" s="66" t="inlineStr">
        <is>
          <t>Fri</t>
        </is>
      </c>
      <c r="D1038" s="66" t="inlineStr">
        <is>
          <t>TikTok</t>
        </is>
      </c>
      <c r="E1038" s="66" t="inlineStr">
        <is>
          <t>TikTok</t>
        </is>
      </c>
      <c r="F1038" s="66" t="inlineStr">
        <is>
          <t>LEP_ZA_AUG26_TT_TD_AMUR_CONV</t>
        </is>
      </c>
      <c r="G1038" s="66" t="inlineStr">
        <is>
          <t>Website Conversions</t>
        </is>
      </c>
      <c r="H1038" s="66" t="inlineStr">
        <is>
          <t>AMUR</t>
        </is>
      </c>
      <c r="I1038" s="66" t="inlineStr">
        <is>
          <t>0% Deposit</t>
        </is>
      </c>
      <c r="J1038" s="66" t="inlineStr">
        <is>
          <t>TT_AMUR_AUTOTGT_18-34_ZA</t>
        </is>
      </c>
      <c r="K1038" s="66" t="inlineStr">
        <is>
          <t>Prospecting</t>
        </is>
      </c>
      <c r="L1038" s="66" t="inlineStr">
        <is>
          <t>TT_AMUR_TREND_12s_Reveal_v1</t>
        </is>
      </c>
      <c r="M1038" s="66" t="inlineStr">
        <is>
          <t>Video 9:16</t>
        </is>
      </c>
      <c r="N1038" s="66" t="inlineStr">
        <is>
          <t>Cover reveal trend - AMUR edition</t>
        </is>
      </c>
      <c r="O1038" s="66" t="inlineStr">
        <is>
          <t>Auction - Lowest Cost</t>
        </is>
      </c>
      <c r="P1038" s="66" t="inlineStr">
        <is>
          <t>Complete Payment / Lead</t>
        </is>
      </c>
      <c r="Q1038" s="66" t="inlineStr">
        <is>
          <t>https://www.lepas-sa.co.za/offers/amur</t>
        </is>
      </c>
      <c r="R1038" s="121" t="n">
        <v>236.37</v>
      </c>
      <c r="S1038" s="122" t="n">
        <v>5478</v>
      </c>
      <c r="T1038" s="122" t="n">
        <v>3077</v>
      </c>
      <c r="U1038" s="123">
        <f>IFERROR(S1038/T1038,"")</f>
        <v/>
      </c>
      <c r="V1038" s="122" t="n">
        <v>64</v>
      </c>
      <c r="W1038" s="122" t="n">
        <v>48</v>
      </c>
      <c r="X1038" s="124">
        <f>IFERROR(W1038/S1038,"")</f>
        <v/>
      </c>
      <c r="Y1038" s="121">
        <f>IFERROR(R1038/W1038,"")</f>
        <v/>
      </c>
      <c r="Z1038" s="121">
        <f>IFERROR(R1038/S1038*1000,"")</f>
        <v/>
      </c>
      <c r="AA1038" s="122" t="n">
        <v>35</v>
      </c>
      <c r="AB1038" s="54">
        <f>IFERROR(AA1038/W1038,"")</f>
        <v/>
      </c>
      <c r="AC1038" s="122" t="n">
        <v>2029</v>
      </c>
      <c r="AD1038" s="122" t="n">
        <v>1265</v>
      </c>
      <c r="AE1038" s="122" t="n">
        <v>1057</v>
      </c>
      <c r="AF1038" s="122" t="n">
        <v>722</v>
      </c>
      <c r="AG1038" s="122" t="n">
        <v>528</v>
      </c>
      <c r="AH1038" s="122" t="n">
        <v>295</v>
      </c>
      <c r="AI1038" s="54">
        <f>IFERROR(AC1038/S1038,"")</f>
        <v/>
      </c>
      <c r="AJ1038" s="54">
        <f>IFERROR(AH1038/S1038,"")</f>
        <v/>
      </c>
      <c r="AK1038" s="122" t="n">
        <v>151</v>
      </c>
      <c r="AL1038" s="122" t="n">
        <v>1</v>
      </c>
      <c r="AM1038" s="124">
        <f>IFERROR(AL1038/AA1038,"")</f>
        <v/>
      </c>
      <c r="AN1038" s="125">
        <f>IFERROR(R1038/AL1038,"")</f>
        <v/>
      </c>
      <c r="AO1038" s="122" t="n">
        <v>1</v>
      </c>
      <c r="AP1038" s="54">
        <f>IFERROR(AO1038/AL1038,"")</f>
        <v/>
      </c>
      <c r="AQ1038" s="125">
        <f>IFERROR(R1038/AO1038,"")</f>
        <v/>
      </c>
      <c r="AR1038" s="122" t="n">
        <v>0</v>
      </c>
      <c r="AS1038" s="122" t="n">
        <v>1</v>
      </c>
      <c r="AT1038" s="122">
        <f>AL1038+AR1038</f>
        <v/>
      </c>
      <c r="AU1038" s="125">
        <f>IFERROR(AO1038*Assumptions!$C$26*Assumptions!$C$27*INDEX(Assumptions!$C$18:$C$21,MATCH(H1038,Assumptions!$B$18:$B$21,0)),0)</f>
        <v/>
      </c>
    </row>
    <row r="1039">
      <c r="A1039" s="120" t="n">
        <v>46242</v>
      </c>
      <c r="B1039" s="66" t="inlineStr">
        <is>
          <t>Wk 32</t>
        </is>
      </c>
      <c r="C1039" s="66" t="inlineStr">
        <is>
          <t>Sat</t>
        </is>
      </c>
      <c r="D1039" s="66" t="inlineStr">
        <is>
          <t>TikTok</t>
        </is>
      </c>
      <c r="E1039" s="66" t="inlineStr">
        <is>
          <t>TikTok</t>
        </is>
      </c>
      <c r="F1039" s="66" t="inlineStr">
        <is>
          <t>LEP_ZA_AUG26_TT_TD_AMUR_CONV</t>
        </is>
      </c>
      <c r="G1039" s="66" t="inlineStr">
        <is>
          <t>Website Conversions</t>
        </is>
      </c>
      <c r="H1039" s="66" t="inlineStr">
        <is>
          <t>AMUR</t>
        </is>
      </c>
      <c r="I1039" s="66" t="inlineStr">
        <is>
          <t>0% Deposit</t>
        </is>
      </c>
      <c r="J1039" s="66" t="inlineStr">
        <is>
          <t>TT_AMUR_AUTOTGT_18-34_ZA</t>
        </is>
      </c>
      <c r="K1039" s="66" t="inlineStr">
        <is>
          <t>Prospecting</t>
        </is>
      </c>
      <c r="L1039" s="66" t="inlineStr">
        <is>
          <t>TT_AMUR_TREND_12s_Reveal_v1</t>
        </is>
      </c>
      <c r="M1039" s="66" t="inlineStr">
        <is>
          <t>Video 9:16</t>
        </is>
      </c>
      <c r="N1039" s="66" t="inlineStr">
        <is>
          <t>Cover reveal trend - AMUR edition</t>
        </is>
      </c>
      <c r="O1039" s="66" t="inlineStr">
        <is>
          <t>Auction - Lowest Cost</t>
        </is>
      </c>
      <c r="P1039" s="66" t="inlineStr">
        <is>
          <t>Complete Payment / Lead</t>
        </is>
      </c>
      <c r="Q1039" s="66" t="inlineStr">
        <is>
          <t>https://www.lepas-sa.co.za/offers/amur</t>
        </is>
      </c>
      <c r="R1039" s="121" t="n">
        <v>306.73</v>
      </c>
      <c r="S1039" s="122" t="n">
        <v>9026</v>
      </c>
      <c r="T1039" s="122" t="n">
        <v>5190</v>
      </c>
      <c r="U1039" s="123">
        <f>IFERROR(S1039/T1039,"")</f>
        <v/>
      </c>
      <c r="V1039" s="122" t="n">
        <v>95</v>
      </c>
      <c r="W1039" s="122" t="n">
        <v>73</v>
      </c>
      <c r="X1039" s="124">
        <f>IFERROR(W1039/S1039,"")</f>
        <v/>
      </c>
      <c r="Y1039" s="121">
        <f>IFERROR(R1039/W1039,"")</f>
        <v/>
      </c>
      <c r="Z1039" s="121">
        <f>IFERROR(R1039/S1039*1000,"")</f>
        <v/>
      </c>
      <c r="AA1039" s="122" t="n">
        <v>46</v>
      </c>
      <c r="AB1039" s="54">
        <f>IFERROR(AA1039/W1039,"")</f>
        <v/>
      </c>
      <c r="AC1039" s="122" t="n">
        <v>2525</v>
      </c>
      <c r="AD1039" s="122" t="n">
        <v>1250</v>
      </c>
      <c r="AE1039" s="122" t="n">
        <v>1364</v>
      </c>
      <c r="AF1039" s="122" t="n">
        <v>873</v>
      </c>
      <c r="AG1039" s="122" t="n">
        <v>613</v>
      </c>
      <c r="AH1039" s="122" t="n">
        <v>372</v>
      </c>
      <c r="AI1039" s="54">
        <f>IFERROR(AC1039/S1039,"")</f>
        <v/>
      </c>
      <c r="AJ1039" s="54">
        <f>IFERROR(AH1039/S1039,"")</f>
        <v/>
      </c>
      <c r="AK1039" s="122" t="n">
        <v>395</v>
      </c>
      <c r="AL1039" s="122" t="n">
        <v>1</v>
      </c>
      <c r="AM1039" s="124">
        <f>IFERROR(AL1039/AA1039,"")</f>
        <v/>
      </c>
      <c r="AN1039" s="125">
        <f>IFERROR(R1039/AL1039,"")</f>
        <v/>
      </c>
      <c r="AO1039" s="122" t="n">
        <v>1</v>
      </c>
      <c r="AP1039" s="54">
        <f>IFERROR(AO1039/AL1039,"")</f>
        <v/>
      </c>
      <c r="AQ1039" s="125">
        <f>IFERROR(R1039/AO1039,"")</f>
        <v/>
      </c>
      <c r="AR1039" s="122" t="n">
        <v>1</v>
      </c>
      <c r="AS1039" s="122" t="n">
        <v>0</v>
      </c>
      <c r="AT1039" s="122">
        <f>AL1039+AR1039</f>
        <v/>
      </c>
      <c r="AU1039" s="125">
        <f>IFERROR(AO1039*Assumptions!$C$26*Assumptions!$C$27*INDEX(Assumptions!$C$18:$C$21,MATCH(H1039,Assumptions!$B$18:$B$21,0)),0)</f>
        <v/>
      </c>
    </row>
    <row r="1040">
      <c r="A1040" s="120" t="n">
        <v>46243</v>
      </c>
      <c r="B1040" s="66" t="inlineStr">
        <is>
          <t>Wk 32</t>
        </is>
      </c>
      <c r="C1040" s="66" t="inlineStr">
        <is>
          <t>Sun</t>
        </is>
      </c>
      <c r="D1040" s="66" t="inlineStr">
        <is>
          <t>TikTok</t>
        </is>
      </c>
      <c r="E1040" s="66" t="inlineStr">
        <is>
          <t>TikTok</t>
        </is>
      </c>
      <c r="F1040" s="66" t="inlineStr">
        <is>
          <t>LEP_ZA_AUG26_TT_TD_AMUR_CONV</t>
        </is>
      </c>
      <c r="G1040" s="66" t="inlineStr">
        <is>
          <t>Website Conversions</t>
        </is>
      </c>
      <c r="H1040" s="66" t="inlineStr">
        <is>
          <t>AMUR</t>
        </is>
      </c>
      <c r="I1040" s="66" t="inlineStr">
        <is>
          <t>0% Deposit</t>
        </is>
      </c>
      <c r="J1040" s="66" t="inlineStr">
        <is>
          <t>TT_AMUR_AUTOTGT_18-34_ZA</t>
        </is>
      </c>
      <c r="K1040" s="66" t="inlineStr">
        <is>
          <t>Prospecting</t>
        </is>
      </c>
      <c r="L1040" s="66" t="inlineStr">
        <is>
          <t>TT_AMUR_TREND_12s_Reveal_v1</t>
        </is>
      </c>
      <c r="M1040" s="66" t="inlineStr">
        <is>
          <t>Video 9:16</t>
        </is>
      </c>
      <c r="N1040" s="66" t="inlineStr">
        <is>
          <t>Cover reveal trend - AMUR edition</t>
        </is>
      </c>
      <c r="O1040" s="66" t="inlineStr">
        <is>
          <t>Auction - Lowest Cost</t>
        </is>
      </c>
      <c r="P1040" s="66" t="inlineStr">
        <is>
          <t>Complete Payment / Lead</t>
        </is>
      </c>
      <c r="Q1040" s="66" t="inlineStr">
        <is>
          <t>https://www.lepas-sa.co.za/offers/amur</t>
        </is>
      </c>
      <c r="R1040" s="121" t="n">
        <v>203.57</v>
      </c>
      <c r="S1040" s="122" t="n">
        <v>4629</v>
      </c>
      <c r="T1040" s="122" t="n">
        <v>2918</v>
      </c>
      <c r="U1040" s="123">
        <f>IFERROR(S1040/T1040,"")</f>
        <v/>
      </c>
      <c r="V1040" s="122" t="n">
        <v>69</v>
      </c>
      <c r="W1040" s="122" t="n">
        <v>50</v>
      </c>
      <c r="X1040" s="124">
        <f>IFERROR(W1040/S1040,"")</f>
        <v/>
      </c>
      <c r="Y1040" s="121">
        <f>IFERROR(R1040/W1040,"")</f>
        <v/>
      </c>
      <c r="Z1040" s="121">
        <f>IFERROR(R1040/S1040*1000,"")</f>
        <v/>
      </c>
      <c r="AA1040" s="122" t="n">
        <v>34</v>
      </c>
      <c r="AB1040" s="54">
        <f>IFERROR(AA1040/W1040,"")</f>
        <v/>
      </c>
      <c r="AC1040" s="122" t="n">
        <v>1634</v>
      </c>
      <c r="AD1040" s="122" t="n">
        <v>852</v>
      </c>
      <c r="AE1040" s="122" t="n">
        <v>686</v>
      </c>
      <c r="AF1040" s="122" t="n">
        <v>396</v>
      </c>
      <c r="AG1040" s="122" t="n">
        <v>291</v>
      </c>
      <c r="AH1040" s="122" t="n">
        <v>169</v>
      </c>
      <c r="AI1040" s="54">
        <f>IFERROR(AC1040/S1040,"")</f>
        <v/>
      </c>
      <c r="AJ1040" s="54">
        <f>IFERROR(AH1040/S1040,"")</f>
        <v/>
      </c>
      <c r="AK1040" s="122" t="n">
        <v>208</v>
      </c>
      <c r="AL1040" s="122" t="n">
        <v>0</v>
      </c>
      <c r="AM1040" s="124">
        <f>IFERROR(AL1040/AA1040,"")</f>
        <v/>
      </c>
      <c r="AN1040" s="125">
        <f>IFERROR(R1040/AL1040,"")</f>
        <v/>
      </c>
      <c r="AO1040" s="122" t="n">
        <v>0</v>
      </c>
      <c r="AP1040" s="54">
        <f>IFERROR(AO1040/AL1040,"")</f>
        <v/>
      </c>
      <c r="AQ1040" s="125">
        <f>IFERROR(R1040/AO1040,"")</f>
        <v/>
      </c>
      <c r="AR1040" s="122" t="n">
        <v>0</v>
      </c>
      <c r="AS1040" s="122" t="n">
        <v>0</v>
      </c>
      <c r="AT1040" s="122">
        <f>AL1040+AR1040</f>
        <v/>
      </c>
      <c r="AU1040" s="125">
        <f>IFERROR(AO1040*Assumptions!$C$26*Assumptions!$C$27*INDEX(Assumptions!$C$18:$C$21,MATCH(H1040,Assumptions!$B$18:$B$21,0)),0)</f>
        <v/>
      </c>
    </row>
    <row r="1041">
      <c r="A1041" s="120" t="n">
        <v>46244</v>
      </c>
      <c r="B1041" s="66" t="inlineStr">
        <is>
          <t>Wk 33</t>
        </is>
      </c>
      <c r="C1041" s="66" t="inlineStr">
        <is>
          <t>Mon</t>
        </is>
      </c>
      <c r="D1041" s="66" t="inlineStr">
        <is>
          <t>TikTok</t>
        </is>
      </c>
      <c r="E1041" s="66" t="inlineStr">
        <is>
          <t>TikTok</t>
        </is>
      </c>
      <c r="F1041" s="66" t="inlineStr">
        <is>
          <t>LEP_ZA_AUG26_TT_TD_AMUR_CONV</t>
        </is>
      </c>
      <c r="G1041" s="66" t="inlineStr">
        <is>
          <t>Website Conversions</t>
        </is>
      </c>
      <c r="H1041" s="66" t="inlineStr">
        <is>
          <t>AMUR</t>
        </is>
      </c>
      <c r="I1041" s="66" t="inlineStr">
        <is>
          <t>0% Deposit</t>
        </is>
      </c>
      <c r="J1041" s="66" t="inlineStr">
        <is>
          <t>TT_AMUR_AUTOTGT_18-34_ZA</t>
        </is>
      </c>
      <c r="K1041" s="66" t="inlineStr">
        <is>
          <t>Prospecting</t>
        </is>
      </c>
      <c r="L1041" s="66" t="inlineStr">
        <is>
          <t>TT_AMUR_TREND_12s_Reveal_v1</t>
        </is>
      </c>
      <c r="M1041" s="66" t="inlineStr">
        <is>
          <t>Video 9:16</t>
        </is>
      </c>
      <c r="N1041" s="66" t="inlineStr">
        <is>
          <t>Cover reveal trend - AMUR edition</t>
        </is>
      </c>
      <c r="O1041" s="66" t="inlineStr">
        <is>
          <t>Auction - Lowest Cost</t>
        </is>
      </c>
      <c r="P1041" s="66" t="inlineStr">
        <is>
          <t>Complete Payment / Lead</t>
        </is>
      </c>
      <c r="Q1041" s="66" t="inlineStr">
        <is>
          <t>https://www.lepas-sa.co.za/offers/amur</t>
        </is>
      </c>
      <c r="R1041" s="121" t="n">
        <v>236.06</v>
      </c>
      <c r="S1041" s="122" t="n">
        <v>7400</v>
      </c>
      <c r="T1041" s="122" t="n">
        <v>4624</v>
      </c>
      <c r="U1041" s="123">
        <f>IFERROR(S1041/T1041,"")</f>
        <v/>
      </c>
      <c r="V1041" s="122" t="n">
        <v>68</v>
      </c>
      <c r="W1041" s="122" t="n">
        <v>56</v>
      </c>
      <c r="X1041" s="124">
        <f>IFERROR(W1041/S1041,"")</f>
        <v/>
      </c>
      <c r="Y1041" s="121">
        <f>IFERROR(R1041/W1041,"")</f>
        <v/>
      </c>
      <c r="Z1041" s="121">
        <f>IFERROR(R1041/S1041*1000,"")</f>
        <v/>
      </c>
      <c r="AA1041" s="122" t="n">
        <v>35</v>
      </c>
      <c r="AB1041" s="54">
        <f>IFERROR(AA1041/W1041,"")</f>
        <v/>
      </c>
      <c r="AC1041" s="122" t="n">
        <v>2765</v>
      </c>
      <c r="AD1041" s="122" t="n">
        <v>1396</v>
      </c>
      <c r="AE1041" s="122" t="n">
        <v>1274</v>
      </c>
      <c r="AF1041" s="122" t="n">
        <v>771</v>
      </c>
      <c r="AG1041" s="122" t="n">
        <v>531</v>
      </c>
      <c r="AH1041" s="122" t="n">
        <v>335</v>
      </c>
      <c r="AI1041" s="54">
        <f>IFERROR(AC1041/S1041,"")</f>
        <v/>
      </c>
      <c r="AJ1041" s="54">
        <f>IFERROR(AH1041/S1041,"")</f>
        <v/>
      </c>
      <c r="AK1041" s="122" t="n">
        <v>152</v>
      </c>
      <c r="AL1041" s="122" t="n">
        <v>1</v>
      </c>
      <c r="AM1041" s="124">
        <f>IFERROR(AL1041/AA1041,"")</f>
        <v/>
      </c>
      <c r="AN1041" s="125">
        <f>IFERROR(R1041/AL1041,"")</f>
        <v/>
      </c>
      <c r="AO1041" s="122" t="n">
        <v>0</v>
      </c>
      <c r="AP1041" s="54">
        <f>IFERROR(AO1041/AL1041,"")</f>
        <v/>
      </c>
      <c r="AQ1041" s="125">
        <f>IFERROR(R1041/AO1041,"")</f>
        <v/>
      </c>
      <c r="AR1041" s="122" t="n">
        <v>0</v>
      </c>
      <c r="AS1041" s="122" t="n">
        <v>1</v>
      </c>
      <c r="AT1041" s="122">
        <f>AL1041+AR1041</f>
        <v/>
      </c>
      <c r="AU1041" s="125">
        <f>IFERROR(AO1041*Assumptions!$C$26*Assumptions!$C$27*INDEX(Assumptions!$C$18:$C$21,MATCH(H1041,Assumptions!$B$18:$B$21,0)),0)</f>
        <v/>
      </c>
    </row>
    <row r="1042">
      <c r="A1042" s="120" t="n">
        <v>46245</v>
      </c>
      <c r="B1042" s="66" t="inlineStr">
        <is>
          <t>Wk 33</t>
        </is>
      </c>
      <c r="C1042" s="66" t="inlineStr">
        <is>
          <t>Tue</t>
        </is>
      </c>
      <c r="D1042" s="66" t="inlineStr">
        <is>
          <t>TikTok</t>
        </is>
      </c>
      <c r="E1042" s="66" t="inlineStr">
        <is>
          <t>TikTok</t>
        </is>
      </c>
      <c r="F1042" s="66" t="inlineStr">
        <is>
          <t>LEP_ZA_AUG26_TT_TD_AMUR_CONV</t>
        </is>
      </c>
      <c r="G1042" s="66" t="inlineStr">
        <is>
          <t>Website Conversions</t>
        </is>
      </c>
      <c r="H1042" s="66" t="inlineStr">
        <is>
          <t>AMUR</t>
        </is>
      </c>
      <c r="I1042" s="66" t="inlineStr">
        <is>
          <t>0% Deposit</t>
        </is>
      </c>
      <c r="J1042" s="66" t="inlineStr">
        <is>
          <t>TT_AMUR_AUTOTGT_18-34_ZA</t>
        </is>
      </c>
      <c r="K1042" s="66" t="inlineStr">
        <is>
          <t>Prospecting</t>
        </is>
      </c>
      <c r="L1042" s="66" t="inlineStr">
        <is>
          <t>TT_AMUR_TREND_12s_Reveal_v1</t>
        </is>
      </c>
      <c r="M1042" s="66" t="inlineStr">
        <is>
          <t>Video 9:16</t>
        </is>
      </c>
      <c r="N1042" s="66" t="inlineStr">
        <is>
          <t>Cover reveal trend - AMUR edition</t>
        </is>
      </c>
      <c r="O1042" s="66" t="inlineStr">
        <is>
          <t>Auction - Lowest Cost</t>
        </is>
      </c>
      <c r="P1042" s="66" t="inlineStr">
        <is>
          <t>Complete Payment / Lead</t>
        </is>
      </c>
      <c r="Q1042" s="66" t="inlineStr">
        <is>
          <t>https://www.lepas-sa.co.za/offers/amur</t>
        </is>
      </c>
      <c r="R1042" s="121" t="n">
        <v>229.78</v>
      </c>
      <c r="S1042" s="122" t="n">
        <v>6160</v>
      </c>
      <c r="T1042" s="122" t="n">
        <v>3506</v>
      </c>
      <c r="U1042" s="123">
        <f>IFERROR(S1042/T1042,"")</f>
        <v/>
      </c>
      <c r="V1042" s="122" t="n">
        <v>75</v>
      </c>
      <c r="W1042" s="122" t="n">
        <v>61</v>
      </c>
      <c r="X1042" s="124">
        <f>IFERROR(W1042/S1042,"")</f>
        <v/>
      </c>
      <c r="Y1042" s="121">
        <f>IFERROR(R1042/W1042,"")</f>
        <v/>
      </c>
      <c r="Z1042" s="121">
        <f>IFERROR(R1042/S1042*1000,"")</f>
        <v/>
      </c>
      <c r="AA1042" s="122" t="n">
        <v>44</v>
      </c>
      <c r="AB1042" s="54">
        <f>IFERROR(AA1042/W1042,"")</f>
        <v/>
      </c>
      <c r="AC1042" s="122" t="n">
        <v>1831</v>
      </c>
      <c r="AD1042" s="122" t="n">
        <v>807</v>
      </c>
      <c r="AE1042" s="122" t="n">
        <v>881</v>
      </c>
      <c r="AF1042" s="122" t="n">
        <v>598</v>
      </c>
      <c r="AG1042" s="122" t="n">
        <v>388</v>
      </c>
      <c r="AH1042" s="122" t="n">
        <v>273</v>
      </c>
      <c r="AI1042" s="54">
        <f>IFERROR(AC1042/S1042,"")</f>
        <v/>
      </c>
      <c r="AJ1042" s="54">
        <f>IFERROR(AH1042/S1042,"")</f>
        <v/>
      </c>
      <c r="AK1042" s="122" t="n">
        <v>139</v>
      </c>
      <c r="AL1042" s="122" t="n">
        <v>0</v>
      </c>
      <c r="AM1042" s="124">
        <f>IFERROR(AL1042/AA1042,"")</f>
        <v/>
      </c>
      <c r="AN1042" s="125">
        <f>IFERROR(R1042/AL1042,"")</f>
        <v/>
      </c>
      <c r="AO1042" s="122" t="n">
        <v>0</v>
      </c>
      <c r="AP1042" s="54">
        <f>IFERROR(AO1042/AL1042,"")</f>
        <v/>
      </c>
      <c r="AQ1042" s="125">
        <f>IFERROR(R1042/AO1042,"")</f>
        <v/>
      </c>
      <c r="AR1042" s="122" t="n">
        <v>0</v>
      </c>
      <c r="AS1042" s="122" t="n">
        <v>0</v>
      </c>
      <c r="AT1042" s="122">
        <f>AL1042+AR1042</f>
        <v/>
      </c>
      <c r="AU1042" s="125">
        <f>IFERROR(AO1042*Assumptions!$C$26*Assumptions!$C$27*INDEX(Assumptions!$C$18:$C$21,MATCH(H1042,Assumptions!$B$18:$B$21,0)),0)</f>
        <v/>
      </c>
    </row>
    <row r="1043">
      <c r="A1043" s="120" t="n">
        <v>46246</v>
      </c>
      <c r="B1043" s="66" t="inlineStr">
        <is>
          <t>Wk 33</t>
        </is>
      </c>
      <c r="C1043" s="66" t="inlineStr">
        <is>
          <t>Wed</t>
        </is>
      </c>
      <c r="D1043" s="66" t="inlineStr">
        <is>
          <t>TikTok</t>
        </is>
      </c>
      <c r="E1043" s="66" t="inlineStr">
        <is>
          <t>TikTok</t>
        </is>
      </c>
      <c r="F1043" s="66" t="inlineStr">
        <is>
          <t>LEP_ZA_AUG26_TT_TD_AMUR_CONV</t>
        </is>
      </c>
      <c r="G1043" s="66" t="inlineStr">
        <is>
          <t>Website Conversions</t>
        </is>
      </c>
      <c r="H1043" s="66" t="inlineStr">
        <is>
          <t>AMUR</t>
        </is>
      </c>
      <c r="I1043" s="66" t="inlineStr">
        <is>
          <t>0% Deposit</t>
        </is>
      </c>
      <c r="J1043" s="66" t="inlineStr">
        <is>
          <t>TT_AMUR_AUTOTGT_18-34_ZA</t>
        </is>
      </c>
      <c r="K1043" s="66" t="inlineStr">
        <is>
          <t>Prospecting</t>
        </is>
      </c>
      <c r="L1043" s="66" t="inlineStr">
        <is>
          <t>TT_AMUR_TREND_12s_Reveal_v1</t>
        </is>
      </c>
      <c r="M1043" s="66" t="inlineStr">
        <is>
          <t>Video 9:16</t>
        </is>
      </c>
      <c r="N1043" s="66" t="inlineStr">
        <is>
          <t>Cover reveal trend - AMUR edition</t>
        </is>
      </c>
      <c r="O1043" s="66" t="inlineStr">
        <is>
          <t>Auction - Lowest Cost</t>
        </is>
      </c>
      <c r="P1043" s="66" t="inlineStr">
        <is>
          <t>Complete Payment / Lead</t>
        </is>
      </c>
      <c r="Q1043" s="66" t="inlineStr">
        <is>
          <t>https://www.lepas-sa.co.za/offers/amur</t>
        </is>
      </c>
      <c r="R1043" s="121" t="n">
        <v>247.6</v>
      </c>
      <c r="S1043" s="122" t="n">
        <v>8493</v>
      </c>
      <c r="T1043" s="122" t="n">
        <v>5919</v>
      </c>
      <c r="U1043" s="123">
        <f>IFERROR(S1043/T1043,"")</f>
        <v/>
      </c>
      <c r="V1043" s="122" t="n">
        <v>99</v>
      </c>
      <c r="W1043" s="122" t="n">
        <v>75</v>
      </c>
      <c r="X1043" s="124">
        <f>IFERROR(W1043/S1043,"")</f>
        <v/>
      </c>
      <c r="Y1043" s="121">
        <f>IFERROR(R1043/W1043,"")</f>
        <v/>
      </c>
      <c r="Z1043" s="121">
        <f>IFERROR(R1043/S1043*1000,"")</f>
        <v/>
      </c>
      <c r="AA1043" s="122" t="n">
        <v>52</v>
      </c>
      <c r="AB1043" s="54">
        <f>IFERROR(AA1043/W1043,"")</f>
        <v/>
      </c>
      <c r="AC1043" s="122" t="n">
        <v>2893</v>
      </c>
      <c r="AD1043" s="122" t="n">
        <v>1474</v>
      </c>
      <c r="AE1043" s="122" t="n">
        <v>1116</v>
      </c>
      <c r="AF1043" s="122" t="n">
        <v>706</v>
      </c>
      <c r="AG1043" s="122" t="n">
        <v>562</v>
      </c>
      <c r="AH1043" s="122" t="n">
        <v>333</v>
      </c>
      <c r="AI1043" s="54">
        <f>IFERROR(AC1043/S1043,"")</f>
        <v/>
      </c>
      <c r="AJ1043" s="54">
        <f>IFERROR(AH1043/S1043,"")</f>
        <v/>
      </c>
      <c r="AK1043" s="122" t="n">
        <v>455</v>
      </c>
      <c r="AL1043" s="122" t="n">
        <v>1</v>
      </c>
      <c r="AM1043" s="124">
        <f>IFERROR(AL1043/AA1043,"")</f>
        <v/>
      </c>
      <c r="AN1043" s="125">
        <f>IFERROR(R1043/AL1043,"")</f>
        <v/>
      </c>
      <c r="AO1043" s="122" t="n">
        <v>1</v>
      </c>
      <c r="AP1043" s="54">
        <f>IFERROR(AO1043/AL1043,"")</f>
        <v/>
      </c>
      <c r="AQ1043" s="125">
        <f>IFERROR(R1043/AO1043,"")</f>
        <v/>
      </c>
      <c r="AR1043" s="122" t="n">
        <v>1</v>
      </c>
      <c r="AS1043" s="122" t="n">
        <v>0</v>
      </c>
      <c r="AT1043" s="122">
        <f>AL1043+AR1043</f>
        <v/>
      </c>
      <c r="AU1043" s="125">
        <f>IFERROR(AO1043*Assumptions!$C$26*Assumptions!$C$27*INDEX(Assumptions!$C$18:$C$21,MATCH(H1043,Assumptions!$B$18:$B$21,0)),0)</f>
        <v/>
      </c>
    </row>
    <row r="1044">
      <c r="A1044" s="120" t="n">
        <v>46247</v>
      </c>
      <c r="B1044" s="66" t="inlineStr">
        <is>
          <t>Wk 33</t>
        </is>
      </c>
      <c r="C1044" s="66" t="inlineStr">
        <is>
          <t>Thu</t>
        </is>
      </c>
      <c r="D1044" s="66" t="inlineStr">
        <is>
          <t>TikTok</t>
        </is>
      </c>
      <c r="E1044" s="66" t="inlineStr">
        <is>
          <t>TikTok</t>
        </is>
      </c>
      <c r="F1044" s="66" t="inlineStr">
        <is>
          <t>LEP_ZA_AUG26_TT_TD_AMUR_CONV</t>
        </is>
      </c>
      <c r="G1044" s="66" t="inlineStr">
        <is>
          <t>Website Conversions</t>
        </is>
      </c>
      <c r="H1044" s="66" t="inlineStr">
        <is>
          <t>AMUR</t>
        </is>
      </c>
      <c r="I1044" s="66" t="inlineStr">
        <is>
          <t>0% Deposit</t>
        </is>
      </c>
      <c r="J1044" s="66" t="inlineStr">
        <is>
          <t>TT_AMUR_AUTOTGT_18-34_ZA</t>
        </is>
      </c>
      <c r="K1044" s="66" t="inlineStr">
        <is>
          <t>Prospecting</t>
        </is>
      </c>
      <c r="L1044" s="66" t="inlineStr">
        <is>
          <t>TT_AMUR_TREND_12s_Reveal_v1</t>
        </is>
      </c>
      <c r="M1044" s="66" t="inlineStr">
        <is>
          <t>Video 9:16</t>
        </is>
      </c>
      <c r="N1044" s="66" t="inlineStr">
        <is>
          <t>Cover reveal trend - AMUR edition</t>
        </is>
      </c>
      <c r="O1044" s="66" t="inlineStr">
        <is>
          <t>Auction - Lowest Cost</t>
        </is>
      </c>
      <c r="P1044" s="66" t="inlineStr">
        <is>
          <t>Complete Payment / Lead</t>
        </is>
      </c>
      <c r="Q1044" s="66" t="inlineStr">
        <is>
          <t>https://www.lepas-sa.co.za/offers/amur</t>
        </is>
      </c>
      <c r="R1044" s="121" t="n">
        <v>291.64</v>
      </c>
      <c r="S1044" s="122" t="n">
        <v>7245</v>
      </c>
      <c r="T1044" s="122" t="n">
        <v>3824</v>
      </c>
      <c r="U1044" s="123">
        <f>IFERROR(S1044/T1044,"")</f>
        <v/>
      </c>
      <c r="V1044" s="122" t="n">
        <v>99</v>
      </c>
      <c r="W1044" s="122" t="n">
        <v>83</v>
      </c>
      <c r="X1044" s="124">
        <f>IFERROR(W1044/S1044,"")</f>
        <v/>
      </c>
      <c r="Y1044" s="121">
        <f>IFERROR(R1044/W1044,"")</f>
        <v/>
      </c>
      <c r="Z1044" s="121">
        <f>IFERROR(R1044/S1044*1000,"")</f>
        <v/>
      </c>
      <c r="AA1044" s="122" t="n">
        <v>51</v>
      </c>
      <c r="AB1044" s="54">
        <f>IFERROR(AA1044/W1044,"")</f>
        <v/>
      </c>
      <c r="AC1044" s="122" t="n">
        <v>2793</v>
      </c>
      <c r="AD1044" s="122" t="n">
        <v>1567</v>
      </c>
      <c r="AE1044" s="122" t="n">
        <v>1330</v>
      </c>
      <c r="AF1044" s="122" t="n">
        <v>830</v>
      </c>
      <c r="AG1044" s="122" t="n">
        <v>634</v>
      </c>
      <c r="AH1044" s="122" t="n">
        <v>403</v>
      </c>
      <c r="AI1044" s="54">
        <f>IFERROR(AC1044/S1044,"")</f>
        <v/>
      </c>
      <c r="AJ1044" s="54">
        <f>IFERROR(AH1044/S1044,"")</f>
        <v/>
      </c>
      <c r="AK1044" s="122" t="n">
        <v>409</v>
      </c>
      <c r="AL1044" s="122" t="n">
        <v>1</v>
      </c>
      <c r="AM1044" s="124">
        <f>IFERROR(AL1044/AA1044,"")</f>
        <v/>
      </c>
      <c r="AN1044" s="125">
        <f>IFERROR(R1044/AL1044,"")</f>
        <v/>
      </c>
      <c r="AO1044" s="122" t="n">
        <v>1</v>
      </c>
      <c r="AP1044" s="54">
        <f>IFERROR(AO1044/AL1044,"")</f>
        <v/>
      </c>
      <c r="AQ1044" s="125">
        <f>IFERROR(R1044/AO1044,"")</f>
        <v/>
      </c>
      <c r="AR1044" s="122" t="n">
        <v>1</v>
      </c>
      <c r="AS1044" s="122" t="n">
        <v>0</v>
      </c>
      <c r="AT1044" s="122">
        <f>AL1044+AR1044</f>
        <v/>
      </c>
      <c r="AU1044" s="125">
        <f>IFERROR(AO1044*Assumptions!$C$26*Assumptions!$C$27*INDEX(Assumptions!$C$18:$C$21,MATCH(H1044,Assumptions!$B$18:$B$21,0)),0)</f>
        <v/>
      </c>
    </row>
    <row r="1045">
      <c r="A1045" s="120" t="n">
        <v>46248</v>
      </c>
      <c r="B1045" s="66" t="inlineStr">
        <is>
          <t>Wk 33</t>
        </is>
      </c>
      <c r="C1045" s="66" t="inlineStr">
        <is>
          <t>Fri</t>
        </is>
      </c>
      <c r="D1045" s="66" t="inlineStr">
        <is>
          <t>TikTok</t>
        </is>
      </c>
      <c r="E1045" s="66" t="inlineStr">
        <is>
          <t>TikTok</t>
        </is>
      </c>
      <c r="F1045" s="66" t="inlineStr">
        <is>
          <t>LEP_ZA_AUG26_TT_TD_AMUR_CONV</t>
        </is>
      </c>
      <c r="G1045" s="66" t="inlineStr">
        <is>
          <t>Website Conversions</t>
        </is>
      </c>
      <c r="H1045" s="66" t="inlineStr">
        <is>
          <t>AMUR</t>
        </is>
      </c>
      <c r="I1045" s="66" t="inlineStr">
        <is>
          <t>0% Deposit</t>
        </is>
      </c>
      <c r="J1045" s="66" t="inlineStr">
        <is>
          <t>TT_AMUR_AUTOTGT_18-34_ZA</t>
        </is>
      </c>
      <c r="K1045" s="66" t="inlineStr">
        <is>
          <t>Prospecting</t>
        </is>
      </c>
      <c r="L1045" s="66" t="inlineStr">
        <is>
          <t>TT_AMUR_TREND_12s_Reveal_v1</t>
        </is>
      </c>
      <c r="M1045" s="66" t="inlineStr">
        <is>
          <t>Video 9:16</t>
        </is>
      </c>
      <c r="N1045" s="66" t="inlineStr">
        <is>
          <t>Cover reveal trend - AMUR edition</t>
        </is>
      </c>
      <c r="O1045" s="66" t="inlineStr">
        <is>
          <t>Auction - Lowest Cost</t>
        </is>
      </c>
      <c r="P1045" s="66" t="inlineStr">
        <is>
          <t>Complete Payment / Lead</t>
        </is>
      </c>
      <c r="Q1045" s="66" t="inlineStr">
        <is>
          <t>https://www.lepas-sa.co.za/offers/amur</t>
        </is>
      </c>
      <c r="R1045" s="121" t="n">
        <v>305.15</v>
      </c>
      <c r="S1045" s="122" t="n">
        <v>8773</v>
      </c>
      <c r="T1045" s="122" t="n">
        <v>4909</v>
      </c>
      <c r="U1045" s="123">
        <f>IFERROR(S1045/T1045,"")</f>
        <v/>
      </c>
      <c r="V1045" s="122" t="n">
        <v>63</v>
      </c>
      <c r="W1045" s="122" t="n">
        <v>53</v>
      </c>
      <c r="X1045" s="124">
        <f>IFERROR(W1045/S1045,"")</f>
        <v/>
      </c>
      <c r="Y1045" s="121">
        <f>IFERROR(R1045/W1045,"")</f>
        <v/>
      </c>
      <c r="Z1045" s="121">
        <f>IFERROR(R1045/S1045*1000,"")</f>
        <v/>
      </c>
      <c r="AA1045" s="122" t="n">
        <v>38</v>
      </c>
      <c r="AB1045" s="54">
        <f>IFERROR(AA1045/W1045,"")</f>
        <v/>
      </c>
      <c r="AC1045" s="122" t="n">
        <v>2810</v>
      </c>
      <c r="AD1045" s="122" t="n">
        <v>1704</v>
      </c>
      <c r="AE1045" s="122" t="n">
        <v>1513</v>
      </c>
      <c r="AF1045" s="122" t="n">
        <v>973</v>
      </c>
      <c r="AG1045" s="122" t="n">
        <v>724</v>
      </c>
      <c r="AH1045" s="122" t="n">
        <v>445</v>
      </c>
      <c r="AI1045" s="54">
        <f>IFERROR(AC1045/S1045,"")</f>
        <v/>
      </c>
      <c r="AJ1045" s="54">
        <f>IFERROR(AH1045/S1045,"")</f>
        <v/>
      </c>
      <c r="AK1045" s="122" t="n">
        <v>457</v>
      </c>
      <c r="AL1045" s="122" t="n">
        <v>0</v>
      </c>
      <c r="AM1045" s="124">
        <f>IFERROR(AL1045/AA1045,"")</f>
        <v/>
      </c>
      <c r="AN1045" s="125">
        <f>IFERROR(R1045/AL1045,"")</f>
        <v/>
      </c>
      <c r="AO1045" s="122" t="n">
        <v>0</v>
      </c>
      <c r="AP1045" s="54">
        <f>IFERROR(AO1045/AL1045,"")</f>
        <v/>
      </c>
      <c r="AQ1045" s="125">
        <f>IFERROR(R1045/AO1045,"")</f>
        <v/>
      </c>
      <c r="AR1045" s="122" t="n">
        <v>0</v>
      </c>
      <c r="AS1045" s="122" t="n">
        <v>0</v>
      </c>
      <c r="AT1045" s="122">
        <f>AL1045+AR1045</f>
        <v/>
      </c>
      <c r="AU1045" s="125">
        <f>IFERROR(AO1045*Assumptions!$C$26*Assumptions!$C$27*INDEX(Assumptions!$C$18:$C$21,MATCH(H1045,Assumptions!$B$18:$B$21,0)),0)</f>
        <v/>
      </c>
    </row>
    <row r="1046">
      <c r="A1046" s="120" t="n">
        <v>46249</v>
      </c>
      <c r="B1046" s="66" t="inlineStr">
        <is>
          <t>Wk 33</t>
        </is>
      </c>
      <c r="C1046" s="66" t="inlineStr">
        <is>
          <t>Sat</t>
        </is>
      </c>
      <c r="D1046" s="66" t="inlineStr">
        <is>
          <t>TikTok</t>
        </is>
      </c>
      <c r="E1046" s="66" t="inlineStr">
        <is>
          <t>TikTok</t>
        </is>
      </c>
      <c r="F1046" s="66" t="inlineStr">
        <is>
          <t>LEP_ZA_AUG26_TT_TD_AMUR_CONV</t>
        </is>
      </c>
      <c r="G1046" s="66" t="inlineStr">
        <is>
          <t>Website Conversions</t>
        </is>
      </c>
      <c r="H1046" s="66" t="inlineStr">
        <is>
          <t>AMUR</t>
        </is>
      </c>
      <c r="I1046" s="66" t="inlineStr">
        <is>
          <t>0% Deposit</t>
        </is>
      </c>
      <c r="J1046" s="66" t="inlineStr">
        <is>
          <t>TT_AMUR_AUTOTGT_18-34_ZA</t>
        </is>
      </c>
      <c r="K1046" s="66" t="inlineStr">
        <is>
          <t>Prospecting</t>
        </is>
      </c>
      <c r="L1046" s="66" t="inlineStr">
        <is>
          <t>TT_AMUR_TREND_12s_Reveal_v1</t>
        </is>
      </c>
      <c r="M1046" s="66" t="inlineStr">
        <is>
          <t>Video 9:16</t>
        </is>
      </c>
      <c r="N1046" s="66" t="inlineStr">
        <is>
          <t>Cover reveal trend - AMUR edition</t>
        </is>
      </c>
      <c r="O1046" s="66" t="inlineStr">
        <is>
          <t>Auction - Lowest Cost</t>
        </is>
      </c>
      <c r="P1046" s="66" t="inlineStr">
        <is>
          <t>Complete Payment / Lead</t>
        </is>
      </c>
      <c r="Q1046" s="66" t="inlineStr">
        <is>
          <t>https://www.lepas-sa.co.za/offers/amur</t>
        </is>
      </c>
      <c r="R1046" s="121" t="n">
        <v>266.2</v>
      </c>
      <c r="S1046" s="122" t="n">
        <v>6875</v>
      </c>
      <c r="T1046" s="122" t="n">
        <v>3423</v>
      </c>
      <c r="U1046" s="123">
        <f>IFERROR(S1046/T1046,"")</f>
        <v/>
      </c>
      <c r="V1046" s="122" t="n">
        <v>72</v>
      </c>
      <c r="W1046" s="122" t="n">
        <v>55</v>
      </c>
      <c r="X1046" s="124">
        <f>IFERROR(W1046/S1046,"")</f>
        <v/>
      </c>
      <c r="Y1046" s="121">
        <f>IFERROR(R1046/W1046,"")</f>
        <v/>
      </c>
      <c r="Z1046" s="121">
        <f>IFERROR(R1046/S1046*1000,"")</f>
        <v/>
      </c>
      <c r="AA1046" s="122" t="n">
        <v>40</v>
      </c>
      <c r="AB1046" s="54">
        <f>IFERROR(AA1046/W1046,"")</f>
        <v/>
      </c>
      <c r="AC1046" s="122" t="n">
        <v>1793</v>
      </c>
      <c r="AD1046" s="122" t="n">
        <v>840</v>
      </c>
      <c r="AE1046" s="122" t="n">
        <v>747</v>
      </c>
      <c r="AF1046" s="122" t="n">
        <v>490</v>
      </c>
      <c r="AG1046" s="122" t="n">
        <v>380</v>
      </c>
      <c r="AH1046" s="122" t="n">
        <v>221</v>
      </c>
      <c r="AI1046" s="54">
        <f>IFERROR(AC1046/S1046,"")</f>
        <v/>
      </c>
      <c r="AJ1046" s="54">
        <f>IFERROR(AH1046/S1046,"")</f>
        <v/>
      </c>
      <c r="AK1046" s="122" t="n">
        <v>339</v>
      </c>
      <c r="AL1046" s="122" t="n">
        <v>0</v>
      </c>
      <c r="AM1046" s="124">
        <f>IFERROR(AL1046/AA1046,"")</f>
        <v/>
      </c>
      <c r="AN1046" s="125">
        <f>IFERROR(R1046/AL1046,"")</f>
        <v/>
      </c>
      <c r="AO1046" s="122" t="n">
        <v>0</v>
      </c>
      <c r="AP1046" s="54">
        <f>IFERROR(AO1046/AL1046,"")</f>
        <v/>
      </c>
      <c r="AQ1046" s="125">
        <f>IFERROR(R1046/AO1046,"")</f>
        <v/>
      </c>
      <c r="AR1046" s="122" t="n">
        <v>0</v>
      </c>
      <c r="AS1046" s="122" t="n">
        <v>0</v>
      </c>
      <c r="AT1046" s="122">
        <f>AL1046+AR1046</f>
        <v/>
      </c>
      <c r="AU1046" s="125">
        <f>IFERROR(AO1046*Assumptions!$C$26*Assumptions!$C$27*INDEX(Assumptions!$C$18:$C$21,MATCH(H1046,Assumptions!$B$18:$B$21,0)),0)</f>
        <v/>
      </c>
    </row>
    <row r="1047">
      <c r="A1047" s="120" t="n">
        <v>46250</v>
      </c>
      <c r="B1047" s="66" t="inlineStr">
        <is>
          <t>Wk 33</t>
        </is>
      </c>
      <c r="C1047" s="66" t="inlineStr">
        <is>
          <t>Sun</t>
        </is>
      </c>
      <c r="D1047" s="66" t="inlineStr">
        <is>
          <t>TikTok</t>
        </is>
      </c>
      <c r="E1047" s="66" t="inlineStr">
        <is>
          <t>TikTok</t>
        </is>
      </c>
      <c r="F1047" s="66" t="inlineStr">
        <is>
          <t>LEP_ZA_AUG26_TT_TD_AMUR_CONV</t>
        </is>
      </c>
      <c r="G1047" s="66" t="inlineStr">
        <is>
          <t>Website Conversions</t>
        </is>
      </c>
      <c r="H1047" s="66" t="inlineStr">
        <is>
          <t>AMUR</t>
        </is>
      </c>
      <c r="I1047" s="66" t="inlineStr">
        <is>
          <t>0% Deposit</t>
        </is>
      </c>
      <c r="J1047" s="66" t="inlineStr">
        <is>
          <t>TT_AMUR_AUTOTGT_18-34_ZA</t>
        </is>
      </c>
      <c r="K1047" s="66" t="inlineStr">
        <is>
          <t>Prospecting</t>
        </is>
      </c>
      <c r="L1047" s="66" t="inlineStr">
        <is>
          <t>TT_AMUR_TREND_12s_Reveal_v1</t>
        </is>
      </c>
      <c r="M1047" s="66" t="inlineStr">
        <is>
          <t>Video 9:16</t>
        </is>
      </c>
      <c r="N1047" s="66" t="inlineStr">
        <is>
          <t>Cover reveal trend - AMUR edition</t>
        </is>
      </c>
      <c r="O1047" s="66" t="inlineStr">
        <is>
          <t>Auction - Lowest Cost</t>
        </is>
      </c>
      <c r="P1047" s="66" t="inlineStr">
        <is>
          <t>Complete Payment / Lead</t>
        </is>
      </c>
      <c r="Q1047" s="66" t="inlineStr">
        <is>
          <t>https://www.lepas-sa.co.za/offers/amur</t>
        </is>
      </c>
      <c r="R1047" s="121" t="n">
        <v>236.82</v>
      </c>
      <c r="S1047" s="122" t="n">
        <v>8503</v>
      </c>
      <c r="T1047" s="122" t="n">
        <v>5552</v>
      </c>
      <c r="U1047" s="123">
        <f>IFERROR(S1047/T1047,"")</f>
        <v/>
      </c>
      <c r="V1047" s="122" t="n">
        <v>60</v>
      </c>
      <c r="W1047" s="122" t="n">
        <v>47</v>
      </c>
      <c r="X1047" s="124">
        <f>IFERROR(W1047/S1047,"")</f>
        <v/>
      </c>
      <c r="Y1047" s="121">
        <f>IFERROR(R1047/W1047,"")</f>
        <v/>
      </c>
      <c r="Z1047" s="121">
        <f>IFERROR(R1047/S1047*1000,"")</f>
        <v/>
      </c>
      <c r="AA1047" s="122" t="n">
        <v>32</v>
      </c>
      <c r="AB1047" s="54">
        <f>IFERROR(AA1047/W1047,"")</f>
        <v/>
      </c>
      <c r="AC1047" s="122" t="n">
        <v>3298</v>
      </c>
      <c r="AD1047" s="122" t="n">
        <v>1763</v>
      </c>
      <c r="AE1047" s="122" t="n">
        <v>1749</v>
      </c>
      <c r="AF1047" s="122" t="n">
        <v>955</v>
      </c>
      <c r="AG1047" s="122" t="n">
        <v>603</v>
      </c>
      <c r="AH1047" s="122" t="n">
        <v>419</v>
      </c>
      <c r="AI1047" s="54">
        <f>IFERROR(AC1047/S1047,"")</f>
        <v/>
      </c>
      <c r="AJ1047" s="54">
        <f>IFERROR(AH1047/S1047,"")</f>
        <v/>
      </c>
      <c r="AK1047" s="122" t="n">
        <v>304</v>
      </c>
      <c r="AL1047" s="122" t="n">
        <v>0</v>
      </c>
      <c r="AM1047" s="124">
        <f>IFERROR(AL1047/AA1047,"")</f>
        <v/>
      </c>
      <c r="AN1047" s="125">
        <f>IFERROR(R1047/AL1047,"")</f>
        <v/>
      </c>
      <c r="AO1047" s="122" t="n">
        <v>0</v>
      </c>
      <c r="AP1047" s="54">
        <f>IFERROR(AO1047/AL1047,"")</f>
        <v/>
      </c>
      <c r="AQ1047" s="125">
        <f>IFERROR(R1047/AO1047,"")</f>
        <v/>
      </c>
      <c r="AR1047" s="122" t="n">
        <v>0</v>
      </c>
      <c r="AS1047" s="122" t="n">
        <v>0</v>
      </c>
      <c r="AT1047" s="122">
        <f>AL1047+AR1047</f>
        <v/>
      </c>
      <c r="AU1047" s="125">
        <f>IFERROR(AO1047*Assumptions!$C$26*Assumptions!$C$27*INDEX(Assumptions!$C$18:$C$21,MATCH(H1047,Assumptions!$B$18:$B$21,0)),0)</f>
        <v/>
      </c>
    </row>
    <row r="1048">
      <c r="A1048" s="120" t="n">
        <v>46251</v>
      </c>
      <c r="B1048" s="66" t="inlineStr">
        <is>
          <t>Wk 34</t>
        </is>
      </c>
      <c r="C1048" s="66" t="inlineStr">
        <is>
          <t>Mon</t>
        </is>
      </c>
      <c r="D1048" s="66" t="inlineStr">
        <is>
          <t>TikTok</t>
        </is>
      </c>
      <c r="E1048" s="66" t="inlineStr">
        <is>
          <t>TikTok</t>
        </is>
      </c>
      <c r="F1048" s="66" t="inlineStr">
        <is>
          <t>LEP_ZA_AUG26_TT_TD_AMUR_CONV</t>
        </is>
      </c>
      <c r="G1048" s="66" t="inlineStr">
        <is>
          <t>Website Conversions</t>
        </is>
      </c>
      <c r="H1048" s="66" t="inlineStr">
        <is>
          <t>AMUR</t>
        </is>
      </c>
      <c r="I1048" s="66" t="inlineStr">
        <is>
          <t>0% Deposit</t>
        </is>
      </c>
      <c r="J1048" s="66" t="inlineStr">
        <is>
          <t>TT_AMUR_AUTOTGT_18-34_ZA</t>
        </is>
      </c>
      <c r="K1048" s="66" t="inlineStr">
        <is>
          <t>Prospecting</t>
        </is>
      </c>
      <c r="L1048" s="66" t="inlineStr">
        <is>
          <t>TT_AMUR_TREND_12s_Reveal_v1</t>
        </is>
      </c>
      <c r="M1048" s="66" t="inlineStr">
        <is>
          <t>Video 9:16</t>
        </is>
      </c>
      <c r="N1048" s="66" t="inlineStr">
        <is>
          <t>Cover reveal trend - AMUR edition</t>
        </is>
      </c>
      <c r="O1048" s="66" t="inlineStr">
        <is>
          <t>Auction - Lowest Cost</t>
        </is>
      </c>
      <c r="P1048" s="66" t="inlineStr">
        <is>
          <t>Complete Payment / Lead</t>
        </is>
      </c>
      <c r="Q1048" s="66" t="inlineStr">
        <is>
          <t>https://www.lepas-sa.co.za/offers/amur</t>
        </is>
      </c>
      <c r="R1048" s="121" t="n">
        <v>226.82</v>
      </c>
      <c r="S1048" s="122" t="n">
        <v>5558</v>
      </c>
      <c r="T1048" s="122" t="n">
        <v>3328</v>
      </c>
      <c r="U1048" s="123">
        <f>IFERROR(S1048/T1048,"")</f>
        <v/>
      </c>
      <c r="V1048" s="122" t="n">
        <v>69</v>
      </c>
      <c r="W1048" s="122" t="n">
        <v>52</v>
      </c>
      <c r="X1048" s="124">
        <f>IFERROR(W1048/S1048,"")</f>
        <v/>
      </c>
      <c r="Y1048" s="121">
        <f>IFERROR(R1048/W1048,"")</f>
        <v/>
      </c>
      <c r="Z1048" s="121">
        <f>IFERROR(R1048/S1048*1000,"")</f>
        <v/>
      </c>
      <c r="AA1048" s="122" t="n">
        <v>32</v>
      </c>
      <c r="AB1048" s="54">
        <f>IFERROR(AA1048/W1048,"")</f>
        <v/>
      </c>
      <c r="AC1048" s="122" t="n">
        <v>1433</v>
      </c>
      <c r="AD1048" s="122" t="n">
        <v>864</v>
      </c>
      <c r="AE1048" s="122" t="n">
        <v>564</v>
      </c>
      <c r="AF1048" s="122" t="n">
        <v>390</v>
      </c>
      <c r="AG1048" s="122" t="n">
        <v>311</v>
      </c>
      <c r="AH1048" s="122" t="n">
        <v>224</v>
      </c>
      <c r="AI1048" s="54">
        <f>IFERROR(AC1048/S1048,"")</f>
        <v/>
      </c>
      <c r="AJ1048" s="54">
        <f>IFERROR(AH1048/S1048,"")</f>
        <v/>
      </c>
      <c r="AK1048" s="122" t="n">
        <v>284</v>
      </c>
      <c r="AL1048" s="122" t="n">
        <v>0</v>
      </c>
      <c r="AM1048" s="124">
        <f>IFERROR(AL1048/AA1048,"")</f>
        <v/>
      </c>
      <c r="AN1048" s="125">
        <f>IFERROR(R1048/AL1048,"")</f>
        <v/>
      </c>
      <c r="AO1048" s="122" t="n">
        <v>0</v>
      </c>
      <c r="AP1048" s="54">
        <f>IFERROR(AO1048/AL1048,"")</f>
        <v/>
      </c>
      <c r="AQ1048" s="125">
        <f>IFERROR(R1048/AO1048,"")</f>
        <v/>
      </c>
      <c r="AR1048" s="122" t="n">
        <v>0</v>
      </c>
      <c r="AS1048" s="122" t="n">
        <v>0</v>
      </c>
      <c r="AT1048" s="122">
        <f>AL1048+AR1048</f>
        <v/>
      </c>
      <c r="AU1048" s="125">
        <f>IFERROR(AO1048*Assumptions!$C$26*Assumptions!$C$27*INDEX(Assumptions!$C$18:$C$21,MATCH(H1048,Assumptions!$B$18:$B$21,0)),0)</f>
        <v/>
      </c>
    </row>
    <row r="1049">
      <c r="A1049" s="120" t="n">
        <v>46249</v>
      </c>
      <c r="B1049" s="66" t="inlineStr">
        <is>
          <t>Wk 33</t>
        </is>
      </c>
      <c r="C1049" s="66" t="inlineStr">
        <is>
          <t>Sat</t>
        </is>
      </c>
      <c r="D1049" s="66" t="inlineStr">
        <is>
          <t>TikTok</t>
        </is>
      </c>
      <c r="E1049" s="66" t="inlineStr">
        <is>
          <t>TikTok</t>
        </is>
      </c>
      <c r="F1049" s="66" t="inlineStr">
        <is>
          <t>LEP_ZA_AUG26_TT_TD_AMUR_CONV</t>
        </is>
      </c>
      <c r="G1049" s="66" t="inlineStr">
        <is>
          <t>Website Conversions</t>
        </is>
      </c>
      <c r="H1049" s="66" t="inlineStr">
        <is>
          <t>AMUR</t>
        </is>
      </c>
      <c r="I1049" s="66" t="inlineStr">
        <is>
          <t>0% Deposit</t>
        </is>
      </c>
      <c r="J1049" s="66" t="inlineStr">
        <is>
          <t>TT_AMUR_AUTOTGT_18-34_ZA</t>
        </is>
      </c>
      <c r="K1049" s="66" t="inlineStr">
        <is>
          <t>Prospecting</t>
        </is>
      </c>
      <c r="L1049" s="66" t="inlineStr">
        <is>
          <t>TT_AMUR_TREND_12s_Reveal_v2</t>
        </is>
      </c>
      <c r="M1049" s="66" t="inlineStr">
        <is>
          <t>Video 9:16</t>
        </is>
      </c>
      <c r="N1049" s="66" t="inlineStr">
        <is>
          <t>Do it for the R3 599</t>
        </is>
      </c>
      <c r="O1049" s="66" t="inlineStr">
        <is>
          <t>Auction - Lowest Cost</t>
        </is>
      </c>
      <c r="P1049" s="66" t="inlineStr">
        <is>
          <t>Complete Payment / Lead</t>
        </is>
      </c>
      <c r="Q1049" s="66" t="inlineStr">
        <is>
          <t>https://www.lepas-sa.co.za/offers/amur</t>
        </is>
      </c>
      <c r="R1049" s="121" t="n">
        <v>220.27</v>
      </c>
      <c r="S1049" s="122" t="n">
        <v>5047</v>
      </c>
      <c r="T1049" s="122" t="n">
        <v>3435</v>
      </c>
      <c r="U1049" s="123">
        <f>IFERROR(S1049/T1049,"")</f>
        <v/>
      </c>
      <c r="V1049" s="122" t="n">
        <v>77</v>
      </c>
      <c r="W1049" s="122" t="n">
        <v>65</v>
      </c>
      <c r="X1049" s="124">
        <f>IFERROR(W1049/S1049,"")</f>
        <v/>
      </c>
      <c r="Y1049" s="121">
        <f>IFERROR(R1049/W1049,"")</f>
        <v/>
      </c>
      <c r="Z1049" s="121">
        <f>IFERROR(R1049/S1049*1000,"")</f>
        <v/>
      </c>
      <c r="AA1049" s="122" t="n">
        <v>47</v>
      </c>
      <c r="AB1049" s="54">
        <f>IFERROR(AA1049/W1049,"")</f>
        <v/>
      </c>
      <c r="AC1049" s="122" t="n">
        <v>1793</v>
      </c>
      <c r="AD1049" s="122" t="n">
        <v>797</v>
      </c>
      <c r="AE1049" s="122" t="n">
        <v>776</v>
      </c>
      <c r="AF1049" s="122" t="n">
        <v>499</v>
      </c>
      <c r="AG1049" s="122" t="n">
        <v>342</v>
      </c>
      <c r="AH1049" s="122" t="n">
        <v>243</v>
      </c>
      <c r="AI1049" s="54">
        <f>IFERROR(AC1049/S1049,"")</f>
        <v/>
      </c>
      <c r="AJ1049" s="54">
        <f>IFERROR(AH1049/S1049,"")</f>
        <v/>
      </c>
      <c r="AK1049" s="122" t="n">
        <v>205</v>
      </c>
      <c r="AL1049" s="122" t="n">
        <v>0</v>
      </c>
      <c r="AM1049" s="124">
        <f>IFERROR(AL1049/AA1049,"")</f>
        <v/>
      </c>
      <c r="AN1049" s="125">
        <f>IFERROR(R1049/AL1049,"")</f>
        <v/>
      </c>
      <c r="AO1049" s="122" t="n">
        <v>0</v>
      </c>
      <c r="AP1049" s="54">
        <f>IFERROR(AO1049/AL1049,"")</f>
        <v/>
      </c>
      <c r="AQ1049" s="125">
        <f>IFERROR(R1049/AO1049,"")</f>
        <v/>
      </c>
      <c r="AR1049" s="122" t="n">
        <v>0</v>
      </c>
      <c r="AS1049" s="122" t="n">
        <v>0</v>
      </c>
      <c r="AT1049" s="122">
        <f>AL1049+AR1049</f>
        <v/>
      </c>
      <c r="AU1049" s="125">
        <f>IFERROR(AO1049*Assumptions!$C$26*Assumptions!$C$27*INDEX(Assumptions!$C$18:$C$21,MATCH(H1049,Assumptions!$B$18:$B$21,0)),0)</f>
        <v/>
      </c>
    </row>
    <row r="1050">
      <c r="A1050" s="120" t="n">
        <v>46250</v>
      </c>
      <c r="B1050" s="66" t="inlineStr">
        <is>
          <t>Wk 33</t>
        </is>
      </c>
      <c r="C1050" s="66" t="inlineStr">
        <is>
          <t>Sun</t>
        </is>
      </c>
      <c r="D1050" s="66" t="inlineStr">
        <is>
          <t>TikTok</t>
        </is>
      </c>
      <c r="E1050" s="66" t="inlineStr">
        <is>
          <t>TikTok</t>
        </is>
      </c>
      <c r="F1050" s="66" t="inlineStr">
        <is>
          <t>LEP_ZA_AUG26_TT_TD_AMUR_CONV</t>
        </is>
      </c>
      <c r="G1050" s="66" t="inlineStr">
        <is>
          <t>Website Conversions</t>
        </is>
      </c>
      <c r="H1050" s="66" t="inlineStr">
        <is>
          <t>AMUR</t>
        </is>
      </c>
      <c r="I1050" s="66" t="inlineStr">
        <is>
          <t>0% Deposit</t>
        </is>
      </c>
      <c r="J1050" s="66" t="inlineStr">
        <is>
          <t>TT_AMUR_AUTOTGT_18-34_ZA</t>
        </is>
      </c>
      <c r="K1050" s="66" t="inlineStr">
        <is>
          <t>Prospecting</t>
        </is>
      </c>
      <c r="L1050" s="66" t="inlineStr">
        <is>
          <t>TT_AMUR_TREND_12s_Reveal_v2</t>
        </is>
      </c>
      <c r="M1050" s="66" t="inlineStr">
        <is>
          <t>Video 9:16</t>
        </is>
      </c>
      <c r="N1050" s="66" t="inlineStr">
        <is>
          <t>Do it for the R3 599</t>
        </is>
      </c>
      <c r="O1050" s="66" t="inlineStr">
        <is>
          <t>Auction - Lowest Cost</t>
        </is>
      </c>
      <c r="P1050" s="66" t="inlineStr">
        <is>
          <t>Complete Payment / Lead</t>
        </is>
      </c>
      <c r="Q1050" s="66" t="inlineStr">
        <is>
          <t>https://www.lepas-sa.co.za/offers/amur</t>
        </is>
      </c>
      <c r="R1050" s="121" t="n">
        <v>148.94</v>
      </c>
      <c r="S1050" s="122" t="n">
        <v>3702</v>
      </c>
      <c r="T1050" s="122" t="n">
        <v>1958</v>
      </c>
      <c r="U1050" s="123">
        <f>IFERROR(S1050/T1050,"")</f>
        <v/>
      </c>
      <c r="V1050" s="122" t="n">
        <v>34</v>
      </c>
      <c r="W1050" s="122" t="n">
        <v>28</v>
      </c>
      <c r="X1050" s="124">
        <f>IFERROR(W1050/S1050,"")</f>
        <v/>
      </c>
      <c r="Y1050" s="121">
        <f>IFERROR(R1050/W1050,"")</f>
        <v/>
      </c>
      <c r="Z1050" s="121">
        <f>IFERROR(R1050/S1050*1000,"")</f>
        <v/>
      </c>
      <c r="AA1050" s="122" t="n">
        <v>18</v>
      </c>
      <c r="AB1050" s="54">
        <f>IFERROR(AA1050/W1050,"")</f>
        <v/>
      </c>
      <c r="AC1050" s="122" t="n">
        <v>991</v>
      </c>
      <c r="AD1050" s="122" t="n">
        <v>540</v>
      </c>
      <c r="AE1050" s="122" t="n">
        <v>503</v>
      </c>
      <c r="AF1050" s="122" t="n">
        <v>340</v>
      </c>
      <c r="AG1050" s="122" t="n">
        <v>235</v>
      </c>
      <c r="AH1050" s="122" t="n">
        <v>169</v>
      </c>
      <c r="AI1050" s="54">
        <f>IFERROR(AC1050/S1050,"")</f>
        <v/>
      </c>
      <c r="AJ1050" s="54">
        <f>IFERROR(AH1050/S1050,"")</f>
        <v/>
      </c>
      <c r="AK1050" s="122" t="n">
        <v>101</v>
      </c>
      <c r="AL1050" s="122" t="n">
        <v>1</v>
      </c>
      <c r="AM1050" s="124">
        <f>IFERROR(AL1050/AA1050,"")</f>
        <v/>
      </c>
      <c r="AN1050" s="125">
        <f>IFERROR(R1050/AL1050,"")</f>
        <v/>
      </c>
      <c r="AO1050" s="122" t="n">
        <v>1</v>
      </c>
      <c r="AP1050" s="54">
        <f>IFERROR(AO1050/AL1050,"")</f>
        <v/>
      </c>
      <c r="AQ1050" s="125">
        <f>IFERROR(R1050/AO1050,"")</f>
        <v/>
      </c>
      <c r="AR1050" s="122" t="n">
        <v>0</v>
      </c>
      <c r="AS1050" s="122" t="n">
        <v>0</v>
      </c>
      <c r="AT1050" s="122">
        <f>AL1050+AR1050</f>
        <v/>
      </c>
      <c r="AU1050" s="125">
        <f>IFERROR(AO1050*Assumptions!$C$26*Assumptions!$C$27*INDEX(Assumptions!$C$18:$C$21,MATCH(H1050,Assumptions!$B$18:$B$21,0)),0)</f>
        <v/>
      </c>
    </row>
    <row r="1051">
      <c r="A1051" s="120" t="n">
        <v>46251</v>
      </c>
      <c r="B1051" s="66" t="inlineStr">
        <is>
          <t>Wk 34</t>
        </is>
      </c>
      <c r="C1051" s="66" t="inlineStr">
        <is>
          <t>Mon</t>
        </is>
      </c>
      <c r="D1051" s="66" t="inlineStr">
        <is>
          <t>TikTok</t>
        </is>
      </c>
      <c r="E1051" s="66" t="inlineStr">
        <is>
          <t>TikTok</t>
        </is>
      </c>
      <c r="F1051" s="66" t="inlineStr">
        <is>
          <t>LEP_ZA_AUG26_TT_TD_AMUR_CONV</t>
        </is>
      </c>
      <c r="G1051" s="66" t="inlineStr">
        <is>
          <t>Website Conversions</t>
        </is>
      </c>
      <c r="H1051" s="66" t="inlineStr">
        <is>
          <t>AMUR</t>
        </is>
      </c>
      <c r="I1051" s="66" t="inlineStr">
        <is>
          <t>0% Deposit</t>
        </is>
      </c>
      <c r="J1051" s="66" t="inlineStr">
        <is>
          <t>TT_AMUR_AUTOTGT_18-34_ZA</t>
        </is>
      </c>
      <c r="K1051" s="66" t="inlineStr">
        <is>
          <t>Prospecting</t>
        </is>
      </c>
      <c r="L1051" s="66" t="inlineStr">
        <is>
          <t>TT_AMUR_TREND_12s_Reveal_v2</t>
        </is>
      </c>
      <c r="M1051" s="66" t="inlineStr">
        <is>
          <t>Video 9:16</t>
        </is>
      </c>
      <c r="N1051" s="66" t="inlineStr">
        <is>
          <t>Do it for the R3 599</t>
        </is>
      </c>
      <c r="O1051" s="66" t="inlineStr">
        <is>
          <t>Auction - Lowest Cost</t>
        </is>
      </c>
      <c r="P1051" s="66" t="inlineStr">
        <is>
          <t>Complete Payment / Lead</t>
        </is>
      </c>
      <c r="Q1051" s="66" t="inlineStr">
        <is>
          <t>https://www.lepas-sa.co.za/offers/amur</t>
        </is>
      </c>
      <c r="R1051" s="121" t="n">
        <v>162.97</v>
      </c>
      <c r="S1051" s="122" t="n">
        <v>4321</v>
      </c>
      <c r="T1051" s="122" t="n">
        <v>2354</v>
      </c>
      <c r="U1051" s="123">
        <f>IFERROR(S1051/T1051,"")</f>
        <v/>
      </c>
      <c r="V1051" s="122" t="n">
        <v>69</v>
      </c>
      <c r="W1051" s="122" t="n">
        <v>51</v>
      </c>
      <c r="X1051" s="124">
        <f>IFERROR(W1051/S1051,"")</f>
        <v/>
      </c>
      <c r="Y1051" s="121">
        <f>IFERROR(R1051/W1051,"")</f>
        <v/>
      </c>
      <c r="Z1051" s="121">
        <f>IFERROR(R1051/S1051*1000,"")</f>
        <v/>
      </c>
      <c r="AA1051" s="122" t="n">
        <v>36</v>
      </c>
      <c r="AB1051" s="54">
        <f>IFERROR(AA1051/W1051,"")</f>
        <v/>
      </c>
      <c r="AC1051" s="122" t="n">
        <v>1490</v>
      </c>
      <c r="AD1051" s="122" t="n">
        <v>676</v>
      </c>
      <c r="AE1051" s="122" t="n">
        <v>652</v>
      </c>
      <c r="AF1051" s="122" t="n">
        <v>354</v>
      </c>
      <c r="AG1051" s="122" t="n">
        <v>275</v>
      </c>
      <c r="AH1051" s="122" t="n">
        <v>167</v>
      </c>
      <c r="AI1051" s="54">
        <f>IFERROR(AC1051/S1051,"")</f>
        <v/>
      </c>
      <c r="AJ1051" s="54">
        <f>IFERROR(AH1051/S1051,"")</f>
        <v/>
      </c>
      <c r="AK1051" s="122" t="n">
        <v>142</v>
      </c>
      <c r="AL1051" s="122" t="n">
        <v>1</v>
      </c>
      <c r="AM1051" s="124">
        <f>IFERROR(AL1051/AA1051,"")</f>
        <v/>
      </c>
      <c r="AN1051" s="125">
        <f>IFERROR(R1051/AL1051,"")</f>
        <v/>
      </c>
      <c r="AO1051" s="122" t="n">
        <v>0</v>
      </c>
      <c r="AP1051" s="54">
        <f>IFERROR(AO1051/AL1051,"")</f>
        <v/>
      </c>
      <c r="AQ1051" s="125">
        <f>IFERROR(R1051/AO1051,"")</f>
        <v/>
      </c>
      <c r="AR1051" s="122" t="n">
        <v>1</v>
      </c>
      <c r="AS1051" s="122" t="n">
        <v>0</v>
      </c>
      <c r="AT1051" s="122">
        <f>AL1051+AR1051</f>
        <v/>
      </c>
      <c r="AU1051" s="125">
        <f>IFERROR(AO1051*Assumptions!$C$26*Assumptions!$C$27*INDEX(Assumptions!$C$18:$C$21,MATCH(H1051,Assumptions!$B$18:$B$21,0)),0)</f>
        <v/>
      </c>
    </row>
    <row r="1052">
      <c r="A1052" s="120" t="n">
        <v>46252</v>
      </c>
      <c r="B1052" s="66" t="inlineStr">
        <is>
          <t>Wk 34</t>
        </is>
      </c>
      <c r="C1052" s="66" t="inlineStr">
        <is>
          <t>Tue</t>
        </is>
      </c>
      <c r="D1052" s="66" t="inlineStr">
        <is>
          <t>TikTok</t>
        </is>
      </c>
      <c r="E1052" s="66" t="inlineStr">
        <is>
          <t>TikTok</t>
        </is>
      </c>
      <c r="F1052" s="66" t="inlineStr">
        <is>
          <t>LEP_ZA_AUG26_TT_TD_AMUR_CONV</t>
        </is>
      </c>
      <c r="G1052" s="66" t="inlineStr">
        <is>
          <t>Website Conversions</t>
        </is>
      </c>
      <c r="H1052" s="66" t="inlineStr">
        <is>
          <t>AMUR</t>
        </is>
      </c>
      <c r="I1052" s="66" t="inlineStr">
        <is>
          <t>0% Deposit</t>
        </is>
      </c>
      <c r="J1052" s="66" t="inlineStr">
        <is>
          <t>TT_AMUR_AUTOTGT_18-34_ZA</t>
        </is>
      </c>
      <c r="K1052" s="66" t="inlineStr">
        <is>
          <t>Prospecting</t>
        </is>
      </c>
      <c r="L1052" s="66" t="inlineStr">
        <is>
          <t>TT_AMUR_TREND_12s_Reveal_v2</t>
        </is>
      </c>
      <c r="M1052" s="66" t="inlineStr">
        <is>
          <t>Video 9:16</t>
        </is>
      </c>
      <c r="N1052" s="66" t="inlineStr">
        <is>
          <t>Do it for the R3 599</t>
        </is>
      </c>
      <c r="O1052" s="66" t="inlineStr">
        <is>
          <t>Auction - Lowest Cost</t>
        </is>
      </c>
      <c r="P1052" s="66" t="inlineStr">
        <is>
          <t>Complete Payment / Lead</t>
        </is>
      </c>
      <c r="Q1052" s="66" t="inlineStr">
        <is>
          <t>https://www.lepas-sa.co.za/offers/amur</t>
        </is>
      </c>
      <c r="R1052" s="121" t="n">
        <v>154.86</v>
      </c>
      <c r="S1052" s="122" t="n">
        <v>4606</v>
      </c>
      <c r="T1052" s="122" t="n">
        <v>2705</v>
      </c>
      <c r="U1052" s="123">
        <f>IFERROR(S1052/T1052,"")</f>
        <v/>
      </c>
      <c r="V1052" s="122" t="n">
        <v>47</v>
      </c>
      <c r="W1052" s="122" t="n">
        <v>33</v>
      </c>
      <c r="X1052" s="124">
        <f>IFERROR(W1052/S1052,"")</f>
        <v/>
      </c>
      <c r="Y1052" s="121">
        <f>IFERROR(R1052/W1052,"")</f>
        <v/>
      </c>
      <c r="Z1052" s="121">
        <f>IFERROR(R1052/S1052*1000,"")</f>
        <v/>
      </c>
      <c r="AA1052" s="122" t="n">
        <v>25</v>
      </c>
      <c r="AB1052" s="54">
        <f>IFERROR(AA1052/W1052,"")</f>
        <v/>
      </c>
      <c r="AC1052" s="122" t="n">
        <v>1382</v>
      </c>
      <c r="AD1052" s="122" t="n">
        <v>786</v>
      </c>
      <c r="AE1052" s="122" t="n">
        <v>608</v>
      </c>
      <c r="AF1052" s="122" t="n">
        <v>324</v>
      </c>
      <c r="AG1052" s="122" t="n">
        <v>252</v>
      </c>
      <c r="AH1052" s="122" t="n">
        <v>139</v>
      </c>
      <c r="AI1052" s="54">
        <f>IFERROR(AC1052/S1052,"")</f>
        <v/>
      </c>
      <c r="AJ1052" s="54">
        <f>IFERROR(AH1052/S1052,"")</f>
        <v/>
      </c>
      <c r="AK1052" s="122" t="n">
        <v>197</v>
      </c>
      <c r="AL1052" s="122" t="n">
        <v>1</v>
      </c>
      <c r="AM1052" s="124">
        <f>IFERROR(AL1052/AA1052,"")</f>
        <v/>
      </c>
      <c r="AN1052" s="125">
        <f>IFERROR(R1052/AL1052,"")</f>
        <v/>
      </c>
      <c r="AO1052" s="122" t="n">
        <v>1</v>
      </c>
      <c r="AP1052" s="54">
        <f>IFERROR(AO1052/AL1052,"")</f>
        <v/>
      </c>
      <c r="AQ1052" s="125">
        <f>IFERROR(R1052/AO1052,"")</f>
        <v/>
      </c>
      <c r="AR1052" s="122" t="n">
        <v>0</v>
      </c>
      <c r="AS1052" s="122" t="n">
        <v>1</v>
      </c>
      <c r="AT1052" s="122">
        <f>AL1052+AR1052</f>
        <v/>
      </c>
      <c r="AU1052" s="125">
        <f>IFERROR(AO1052*Assumptions!$C$26*Assumptions!$C$27*INDEX(Assumptions!$C$18:$C$21,MATCH(H1052,Assumptions!$B$18:$B$21,0)),0)</f>
        <v/>
      </c>
    </row>
    <row r="1053">
      <c r="A1053" s="120" t="n">
        <v>46253</v>
      </c>
      <c r="B1053" s="66" t="inlineStr">
        <is>
          <t>Wk 34</t>
        </is>
      </c>
      <c r="C1053" s="66" t="inlineStr">
        <is>
          <t>Wed</t>
        </is>
      </c>
      <c r="D1053" s="66" t="inlineStr">
        <is>
          <t>TikTok</t>
        </is>
      </c>
      <c r="E1053" s="66" t="inlineStr">
        <is>
          <t>TikTok</t>
        </is>
      </c>
      <c r="F1053" s="66" t="inlineStr">
        <is>
          <t>LEP_ZA_AUG26_TT_TD_AMUR_CONV</t>
        </is>
      </c>
      <c r="G1053" s="66" t="inlineStr">
        <is>
          <t>Website Conversions</t>
        </is>
      </c>
      <c r="H1053" s="66" t="inlineStr">
        <is>
          <t>AMUR</t>
        </is>
      </c>
      <c r="I1053" s="66" t="inlineStr">
        <is>
          <t>0% Deposit</t>
        </is>
      </c>
      <c r="J1053" s="66" t="inlineStr">
        <is>
          <t>TT_AMUR_AUTOTGT_18-34_ZA</t>
        </is>
      </c>
      <c r="K1053" s="66" t="inlineStr">
        <is>
          <t>Prospecting</t>
        </is>
      </c>
      <c r="L1053" s="66" t="inlineStr">
        <is>
          <t>TT_AMUR_TREND_12s_Reveal_v2</t>
        </is>
      </c>
      <c r="M1053" s="66" t="inlineStr">
        <is>
          <t>Video 9:16</t>
        </is>
      </c>
      <c r="N1053" s="66" t="inlineStr">
        <is>
          <t>Do it for the R3 599</t>
        </is>
      </c>
      <c r="O1053" s="66" t="inlineStr">
        <is>
          <t>Auction - Lowest Cost</t>
        </is>
      </c>
      <c r="P1053" s="66" t="inlineStr">
        <is>
          <t>Complete Payment / Lead</t>
        </is>
      </c>
      <c r="Q1053" s="66" t="inlineStr">
        <is>
          <t>https://www.lepas-sa.co.za/offers/amur</t>
        </is>
      </c>
      <c r="R1053" s="121" t="n">
        <v>197.25</v>
      </c>
      <c r="S1053" s="122" t="n">
        <v>6500</v>
      </c>
      <c r="T1053" s="122" t="n">
        <v>3957</v>
      </c>
      <c r="U1053" s="123">
        <f>IFERROR(S1053/T1053,"")</f>
        <v/>
      </c>
      <c r="V1053" s="122" t="n">
        <v>99</v>
      </c>
      <c r="W1053" s="122" t="n">
        <v>81</v>
      </c>
      <c r="X1053" s="124">
        <f>IFERROR(W1053/S1053,"")</f>
        <v/>
      </c>
      <c r="Y1053" s="121">
        <f>IFERROR(R1053/W1053,"")</f>
        <v/>
      </c>
      <c r="Z1053" s="121">
        <f>IFERROR(R1053/S1053*1000,"")</f>
        <v/>
      </c>
      <c r="AA1053" s="122" t="n">
        <v>54</v>
      </c>
      <c r="AB1053" s="54">
        <f>IFERROR(AA1053/W1053,"")</f>
        <v/>
      </c>
      <c r="AC1053" s="122" t="n">
        <v>1481</v>
      </c>
      <c r="AD1053" s="122" t="n">
        <v>841</v>
      </c>
      <c r="AE1053" s="122" t="n">
        <v>594</v>
      </c>
      <c r="AF1053" s="122" t="n">
        <v>416</v>
      </c>
      <c r="AG1053" s="122" t="n">
        <v>291</v>
      </c>
      <c r="AH1053" s="122" t="n">
        <v>205</v>
      </c>
      <c r="AI1053" s="54">
        <f>IFERROR(AC1053/S1053,"")</f>
        <v/>
      </c>
      <c r="AJ1053" s="54">
        <f>IFERROR(AH1053/S1053,"")</f>
        <v/>
      </c>
      <c r="AK1053" s="122" t="n">
        <v>265</v>
      </c>
      <c r="AL1053" s="122" t="n">
        <v>0</v>
      </c>
      <c r="AM1053" s="124">
        <f>IFERROR(AL1053/AA1053,"")</f>
        <v/>
      </c>
      <c r="AN1053" s="125">
        <f>IFERROR(R1053/AL1053,"")</f>
        <v/>
      </c>
      <c r="AO1053" s="122" t="n">
        <v>0</v>
      </c>
      <c r="AP1053" s="54">
        <f>IFERROR(AO1053/AL1053,"")</f>
        <v/>
      </c>
      <c r="AQ1053" s="125">
        <f>IFERROR(R1053/AO1053,"")</f>
        <v/>
      </c>
      <c r="AR1053" s="122" t="n">
        <v>0</v>
      </c>
      <c r="AS1053" s="122" t="n">
        <v>0</v>
      </c>
      <c r="AT1053" s="122">
        <f>AL1053+AR1053</f>
        <v/>
      </c>
      <c r="AU1053" s="125">
        <f>IFERROR(AO1053*Assumptions!$C$26*Assumptions!$C$27*INDEX(Assumptions!$C$18:$C$21,MATCH(H1053,Assumptions!$B$18:$B$21,0)),0)</f>
        <v/>
      </c>
    </row>
    <row r="1054">
      <c r="A1054" s="120" t="n">
        <v>46254</v>
      </c>
      <c r="B1054" s="66" t="inlineStr">
        <is>
          <t>Wk 34</t>
        </is>
      </c>
      <c r="C1054" s="66" t="inlineStr">
        <is>
          <t>Thu</t>
        </is>
      </c>
      <c r="D1054" s="66" t="inlineStr">
        <is>
          <t>TikTok</t>
        </is>
      </c>
      <c r="E1054" s="66" t="inlineStr">
        <is>
          <t>TikTok</t>
        </is>
      </c>
      <c r="F1054" s="66" t="inlineStr">
        <is>
          <t>LEP_ZA_AUG26_TT_TD_AMUR_CONV</t>
        </is>
      </c>
      <c r="G1054" s="66" t="inlineStr">
        <is>
          <t>Website Conversions</t>
        </is>
      </c>
      <c r="H1054" s="66" t="inlineStr">
        <is>
          <t>AMUR</t>
        </is>
      </c>
      <c r="I1054" s="66" t="inlineStr">
        <is>
          <t>0% Deposit</t>
        </is>
      </c>
      <c r="J1054" s="66" t="inlineStr">
        <is>
          <t>TT_AMUR_AUTOTGT_18-34_ZA</t>
        </is>
      </c>
      <c r="K1054" s="66" t="inlineStr">
        <is>
          <t>Prospecting</t>
        </is>
      </c>
      <c r="L1054" s="66" t="inlineStr">
        <is>
          <t>TT_AMUR_TREND_12s_Reveal_v2</t>
        </is>
      </c>
      <c r="M1054" s="66" t="inlineStr">
        <is>
          <t>Video 9:16</t>
        </is>
      </c>
      <c r="N1054" s="66" t="inlineStr">
        <is>
          <t>Do it for the R3 599</t>
        </is>
      </c>
      <c r="O1054" s="66" t="inlineStr">
        <is>
          <t>Auction - Lowest Cost</t>
        </is>
      </c>
      <c r="P1054" s="66" t="inlineStr">
        <is>
          <t>Complete Payment / Lead</t>
        </is>
      </c>
      <c r="Q1054" s="66" t="inlineStr">
        <is>
          <t>https://www.lepas-sa.co.za/offers/amur</t>
        </is>
      </c>
      <c r="R1054" s="121" t="n">
        <v>223.55</v>
      </c>
      <c r="S1054" s="122" t="n">
        <v>7453</v>
      </c>
      <c r="T1054" s="122" t="n">
        <v>5090</v>
      </c>
      <c r="U1054" s="123">
        <f>IFERROR(S1054/T1054,"")</f>
        <v/>
      </c>
      <c r="V1054" s="122" t="n">
        <v>71</v>
      </c>
      <c r="W1054" s="122" t="n">
        <v>55</v>
      </c>
      <c r="X1054" s="124">
        <f>IFERROR(W1054/S1054,"")</f>
        <v/>
      </c>
      <c r="Y1054" s="121">
        <f>IFERROR(R1054/W1054,"")</f>
        <v/>
      </c>
      <c r="Z1054" s="121">
        <f>IFERROR(R1054/S1054*1000,"")</f>
        <v/>
      </c>
      <c r="AA1054" s="122" t="n">
        <v>40</v>
      </c>
      <c r="AB1054" s="54">
        <f>IFERROR(AA1054/W1054,"")</f>
        <v/>
      </c>
      <c r="AC1054" s="122" t="n">
        <v>1785</v>
      </c>
      <c r="AD1054" s="122" t="n">
        <v>794</v>
      </c>
      <c r="AE1054" s="122" t="n">
        <v>765</v>
      </c>
      <c r="AF1054" s="122" t="n">
        <v>503</v>
      </c>
      <c r="AG1054" s="122" t="n">
        <v>396</v>
      </c>
      <c r="AH1054" s="122" t="n">
        <v>256</v>
      </c>
      <c r="AI1054" s="54">
        <f>IFERROR(AC1054/S1054,"")</f>
        <v/>
      </c>
      <c r="AJ1054" s="54">
        <f>IFERROR(AH1054/S1054,"")</f>
        <v/>
      </c>
      <c r="AK1054" s="122" t="n">
        <v>299</v>
      </c>
      <c r="AL1054" s="122" t="n">
        <v>1</v>
      </c>
      <c r="AM1054" s="124">
        <f>IFERROR(AL1054/AA1054,"")</f>
        <v/>
      </c>
      <c r="AN1054" s="125">
        <f>IFERROR(R1054/AL1054,"")</f>
        <v/>
      </c>
      <c r="AO1054" s="122" t="n">
        <v>1</v>
      </c>
      <c r="AP1054" s="54">
        <f>IFERROR(AO1054/AL1054,"")</f>
        <v/>
      </c>
      <c r="AQ1054" s="125">
        <f>IFERROR(R1054/AO1054,"")</f>
        <v/>
      </c>
      <c r="AR1054" s="122" t="n">
        <v>0</v>
      </c>
      <c r="AS1054" s="122" t="n">
        <v>0</v>
      </c>
      <c r="AT1054" s="122">
        <f>AL1054+AR1054</f>
        <v/>
      </c>
      <c r="AU1054" s="125">
        <f>IFERROR(AO1054*Assumptions!$C$26*Assumptions!$C$27*INDEX(Assumptions!$C$18:$C$21,MATCH(H1054,Assumptions!$B$18:$B$21,0)),0)</f>
        <v/>
      </c>
    </row>
    <row r="1055">
      <c r="A1055" s="120" t="n">
        <v>46255</v>
      </c>
      <c r="B1055" s="66" t="inlineStr">
        <is>
          <t>Wk 34</t>
        </is>
      </c>
      <c r="C1055" s="66" t="inlineStr">
        <is>
          <t>Fri</t>
        </is>
      </c>
      <c r="D1055" s="66" t="inlineStr">
        <is>
          <t>TikTok</t>
        </is>
      </c>
      <c r="E1055" s="66" t="inlineStr">
        <is>
          <t>TikTok</t>
        </is>
      </c>
      <c r="F1055" s="66" t="inlineStr">
        <is>
          <t>LEP_ZA_AUG26_TT_TD_AMUR_CONV</t>
        </is>
      </c>
      <c r="G1055" s="66" t="inlineStr">
        <is>
          <t>Website Conversions</t>
        </is>
      </c>
      <c r="H1055" s="66" t="inlineStr">
        <is>
          <t>AMUR</t>
        </is>
      </c>
      <c r="I1055" s="66" t="inlineStr">
        <is>
          <t>0% Deposit</t>
        </is>
      </c>
      <c r="J1055" s="66" t="inlineStr">
        <is>
          <t>TT_AMUR_AUTOTGT_18-34_ZA</t>
        </is>
      </c>
      <c r="K1055" s="66" t="inlineStr">
        <is>
          <t>Prospecting</t>
        </is>
      </c>
      <c r="L1055" s="66" t="inlineStr">
        <is>
          <t>TT_AMUR_TREND_12s_Reveal_v2</t>
        </is>
      </c>
      <c r="M1055" s="66" t="inlineStr">
        <is>
          <t>Video 9:16</t>
        </is>
      </c>
      <c r="N1055" s="66" t="inlineStr">
        <is>
          <t>Do it for the R3 599</t>
        </is>
      </c>
      <c r="O1055" s="66" t="inlineStr">
        <is>
          <t>Auction - Lowest Cost</t>
        </is>
      </c>
      <c r="P1055" s="66" t="inlineStr">
        <is>
          <t>Complete Payment / Lead</t>
        </is>
      </c>
      <c r="Q1055" s="66" t="inlineStr">
        <is>
          <t>https://www.lepas-sa.co.za/offers/amur</t>
        </is>
      </c>
      <c r="R1055" s="121" t="n">
        <v>184.38</v>
      </c>
      <c r="S1055" s="122" t="n">
        <v>4519</v>
      </c>
      <c r="T1055" s="122" t="n">
        <v>2352</v>
      </c>
      <c r="U1055" s="123">
        <f>IFERROR(S1055/T1055,"")</f>
        <v/>
      </c>
      <c r="V1055" s="122" t="n">
        <v>41</v>
      </c>
      <c r="W1055" s="122" t="n">
        <v>33</v>
      </c>
      <c r="X1055" s="124">
        <f>IFERROR(W1055/S1055,"")</f>
        <v/>
      </c>
      <c r="Y1055" s="121">
        <f>IFERROR(R1055/W1055,"")</f>
        <v/>
      </c>
      <c r="Z1055" s="121">
        <f>IFERROR(R1055/S1055*1000,"")</f>
        <v/>
      </c>
      <c r="AA1055" s="122" t="n">
        <v>25</v>
      </c>
      <c r="AB1055" s="54">
        <f>IFERROR(AA1055/W1055,"")</f>
        <v/>
      </c>
      <c r="AC1055" s="122" t="n">
        <v>1076</v>
      </c>
      <c r="AD1055" s="122" t="n">
        <v>674</v>
      </c>
      <c r="AE1055" s="122" t="n">
        <v>412</v>
      </c>
      <c r="AF1055" s="122" t="n">
        <v>276</v>
      </c>
      <c r="AG1055" s="122" t="n">
        <v>216</v>
      </c>
      <c r="AH1055" s="122" t="n">
        <v>148</v>
      </c>
      <c r="AI1055" s="54">
        <f>IFERROR(AC1055/S1055,"")</f>
        <v/>
      </c>
      <c r="AJ1055" s="54">
        <f>IFERROR(AH1055/S1055,"")</f>
        <v/>
      </c>
      <c r="AK1055" s="122" t="n">
        <v>124</v>
      </c>
      <c r="AL1055" s="122" t="n">
        <v>1</v>
      </c>
      <c r="AM1055" s="124">
        <f>IFERROR(AL1055/AA1055,"")</f>
        <v/>
      </c>
      <c r="AN1055" s="125">
        <f>IFERROR(R1055/AL1055,"")</f>
        <v/>
      </c>
      <c r="AO1055" s="122" t="n">
        <v>1</v>
      </c>
      <c r="AP1055" s="54">
        <f>IFERROR(AO1055/AL1055,"")</f>
        <v/>
      </c>
      <c r="AQ1055" s="125">
        <f>IFERROR(R1055/AO1055,"")</f>
        <v/>
      </c>
      <c r="AR1055" s="122" t="n">
        <v>0</v>
      </c>
      <c r="AS1055" s="122" t="n">
        <v>1</v>
      </c>
      <c r="AT1055" s="122">
        <f>AL1055+AR1055</f>
        <v/>
      </c>
      <c r="AU1055" s="125">
        <f>IFERROR(AO1055*Assumptions!$C$26*Assumptions!$C$27*INDEX(Assumptions!$C$18:$C$21,MATCH(H1055,Assumptions!$B$18:$B$21,0)),0)</f>
        <v/>
      </c>
    </row>
    <row r="1056">
      <c r="A1056" s="120" t="n">
        <v>46256</v>
      </c>
      <c r="B1056" s="66" t="inlineStr">
        <is>
          <t>Wk 34</t>
        </is>
      </c>
      <c r="C1056" s="66" t="inlineStr">
        <is>
          <t>Sat</t>
        </is>
      </c>
      <c r="D1056" s="66" t="inlineStr">
        <is>
          <t>TikTok</t>
        </is>
      </c>
      <c r="E1056" s="66" t="inlineStr">
        <is>
          <t>TikTok</t>
        </is>
      </c>
      <c r="F1056" s="66" t="inlineStr">
        <is>
          <t>LEP_ZA_AUG26_TT_TD_AMUR_CONV</t>
        </is>
      </c>
      <c r="G1056" s="66" t="inlineStr">
        <is>
          <t>Website Conversions</t>
        </is>
      </c>
      <c r="H1056" s="66" t="inlineStr">
        <is>
          <t>AMUR</t>
        </is>
      </c>
      <c r="I1056" s="66" t="inlineStr">
        <is>
          <t>0% Deposit</t>
        </is>
      </c>
      <c r="J1056" s="66" t="inlineStr">
        <is>
          <t>TT_AMUR_AUTOTGT_18-34_ZA</t>
        </is>
      </c>
      <c r="K1056" s="66" t="inlineStr">
        <is>
          <t>Prospecting</t>
        </is>
      </c>
      <c r="L1056" s="66" t="inlineStr">
        <is>
          <t>TT_AMUR_TREND_12s_Reveal_v2</t>
        </is>
      </c>
      <c r="M1056" s="66" t="inlineStr">
        <is>
          <t>Video 9:16</t>
        </is>
      </c>
      <c r="N1056" s="66" t="inlineStr">
        <is>
          <t>Do it for the R3 599</t>
        </is>
      </c>
      <c r="O1056" s="66" t="inlineStr">
        <is>
          <t>Auction - Lowest Cost</t>
        </is>
      </c>
      <c r="P1056" s="66" t="inlineStr">
        <is>
          <t>Complete Payment / Lead</t>
        </is>
      </c>
      <c r="Q1056" s="66" t="inlineStr">
        <is>
          <t>https://www.lepas-sa.co.za/offers/amur</t>
        </is>
      </c>
      <c r="R1056" s="121" t="n">
        <v>212.49</v>
      </c>
      <c r="S1056" s="122" t="n">
        <v>6444</v>
      </c>
      <c r="T1056" s="122" t="n">
        <v>3824</v>
      </c>
      <c r="U1056" s="123">
        <f>IFERROR(S1056/T1056,"")</f>
        <v/>
      </c>
      <c r="V1056" s="122" t="n">
        <v>93</v>
      </c>
      <c r="W1056" s="122" t="n">
        <v>73</v>
      </c>
      <c r="X1056" s="124">
        <f>IFERROR(W1056/S1056,"")</f>
        <v/>
      </c>
      <c r="Y1056" s="121">
        <f>IFERROR(R1056/W1056,"")</f>
        <v/>
      </c>
      <c r="Z1056" s="121">
        <f>IFERROR(R1056/S1056*1000,"")</f>
        <v/>
      </c>
      <c r="AA1056" s="122" t="n">
        <v>46</v>
      </c>
      <c r="AB1056" s="54">
        <f>IFERROR(AA1056/W1056,"")</f>
        <v/>
      </c>
      <c r="AC1056" s="122" t="n">
        <v>2203</v>
      </c>
      <c r="AD1056" s="122" t="n">
        <v>1351</v>
      </c>
      <c r="AE1056" s="122" t="n">
        <v>885</v>
      </c>
      <c r="AF1056" s="122" t="n">
        <v>522</v>
      </c>
      <c r="AG1056" s="122" t="n">
        <v>369</v>
      </c>
      <c r="AH1056" s="122" t="n">
        <v>216</v>
      </c>
      <c r="AI1056" s="54">
        <f>IFERROR(AC1056/S1056,"")</f>
        <v/>
      </c>
      <c r="AJ1056" s="54">
        <f>IFERROR(AH1056/S1056,"")</f>
        <v/>
      </c>
      <c r="AK1056" s="122" t="n">
        <v>206</v>
      </c>
      <c r="AL1056" s="122" t="n">
        <v>1</v>
      </c>
      <c r="AM1056" s="124">
        <f>IFERROR(AL1056/AA1056,"")</f>
        <v/>
      </c>
      <c r="AN1056" s="125">
        <f>IFERROR(R1056/AL1056,"")</f>
        <v/>
      </c>
      <c r="AO1056" s="122" t="n">
        <v>0</v>
      </c>
      <c r="AP1056" s="54">
        <f>IFERROR(AO1056/AL1056,"")</f>
        <v/>
      </c>
      <c r="AQ1056" s="125">
        <f>IFERROR(R1056/AO1056,"")</f>
        <v/>
      </c>
      <c r="AR1056" s="122" t="n">
        <v>0</v>
      </c>
      <c r="AS1056" s="122" t="n">
        <v>1</v>
      </c>
      <c r="AT1056" s="122">
        <f>AL1056+AR1056</f>
        <v/>
      </c>
      <c r="AU1056" s="125">
        <f>IFERROR(AO1056*Assumptions!$C$26*Assumptions!$C$27*INDEX(Assumptions!$C$18:$C$21,MATCH(H1056,Assumptions!$B$18:$B$21,0)),0)</f>
        <v/>
      </c>
    </row>
    <row r="1057">
      <c r="A1057" s="120" t="n">
        <v>46257</v>
      </c>
      <c r="B1057" s="66" t="inlineStr">
        <is>
          <t>Wk 34</t>
        </is>
      </c>
      <c r="C1057" s="66" t="inlineStr">
        <is>
          <t>Sun</t>
        </is>
      </c>
      <c r="D1057" s="66" t="inlineStr">
        <is>
          <t>TikTok</t>
        </is>
      </c>
      <c r="E1057" s="66" t="inlineStr">
        <is>
          <t>TikTok</t>
        </is>
      </c>
      <c r="F1057" s="66" t="inlineStr">
        <is>
          <t>LEP_ZA_AUG26_TT_TD_AMUR_CONV</t>
        </is>
      </c>
      <c r="G1057" s="66" t="inlineStr">
        <is>
          <t>Website Conversions</t>
        </is>
      </c>
      <c r="H1057" s="66" t="inlineStr">
        <is>
          <t>AMUR</t>
        </is>
      </c>
      <c r="I1057" s="66" t="inlineStr">
        <is>
          <t>0% Deposit</t>
        </is>
      </c>
      <c r="J1057" s="66" t="inlineStr">
        <is>
          <t>TT_AMUR_AUTOTGT_18-34_ZA</t>
        </is>
      </c>
      <c r="K1057" s="66" t="inlineStr">
        <is>
          <t>Prospecting</t>
        </is>
      </c>
      <c r="L1057" s="66" t="inlineStr">
        <is>
          <t>TT_AMUR_TREND_12s_Reveal_v2</t>
        </is>
      </c>
      <c r="M1057" s="66" t="inlineStr">
        <is>
          <t>Video 9:16</t>
        </is>
      </c>
      <c r="N1057" s="66" t="inlineStr">
        <is>
          <t>Do it for the R3 599</t>
        </is>
      </c>
      <c r="O1057" s="66" t="inlineStr">
        <is>
          <t>Auction - Lowest Cost</t>
        </is>
      </c>
      <c r="P1057" s="66" t="inlineStr">
        <is>
          <t>Complete Payment / Lead</t>
        </is>
      </c>
      <c r="Q1057" s="66" t="inlineStr">
        <is>
          <t>https://www.lepas-sa.co.za/offers/amur</t>
        </is>
      </c>
      <c r="R1057" s="121" t="n">
        <v>158.04</v>
      </c>
      <c r="S1057" s="122" t="n">
        <v>3598</v>
      </c>
      <c r="T1057" s="122" t="n">
        <v>1992</v>
      </c>
      <c r="U1057" s="123">
        <f>IFERROR(S1057/T1057,"")</f>
        <v/>
      </c>
      <c r="V1057" s="122" t="n">
        <v>59</v>
      </c>
      <c r="W1057" s="122" t="n">
        <v>43</v>
      </c>
      <c r="X1057" s="124">
        <f>IFERROR(W1057/S1057,"")</f>
        <v/>
      </c>
      <c r="Y1057" s="121">
        <f>IFERROR(R1057/W1057,"")</f>
        <v/>
      </c>
      <c r="Z1057" s="121">
        <f>IFERROR(R1057/S1057*1000,"")</f>
        <v/>
      </c>
      <c r="AA1057" s="122" t="n">
        <v>30</v>
      </c>
      <c r="AB1057" s="54">
        <f>IFERROR(AA1057/W1057,"")</f>
        <v/>
      </c>
      <c r="AC1057" s="122" t="n">
        <v>890</v>
      </c>
      <c r="AD1057" s="122" t="n">
        <v>410</v>
      </c>
      <c r="AE1057" s="122" t="n">
        <v>389</v>
      </c>
      <c r="AF1057" s="122" t="n">
        <v>236</v>
      </c>
      <c r="AG1057" s="122" t="n">
        <v>157</v>
      </c>
      <c r="AH1057" s="122" t="n">
        <v>92</v>
      </c>
      <c r="AI1057" s="54">
        <f>IFERROR(AC1057/S1057,"")</f>
        <v/>
      </c>
      <c r="AJ1057" s="54">
        <f>IFERROR(AH1057/S1057,"")</f>
        <v/>
      </c>
      <c r="AK1057" s="122" t="n">
        <v>195</v>
      </c>
      <c r="AL1057" s="122" t="n">
        <v>0</v>
      </c>
      <c r="AM1057" s="124">
        <f>IFERROR(AL1057/AA1057,"")</f>
        <v/>
      </c>
      <c r="AN1057" s="125">
        <f>IFERROR(R1057/AL1057,"")</f>
        <v/>
      </c>
      <c r="AO1057" s="122" t="n">
        <v>0</v>
      </c>
      <c r="AP1057" s="54">
        <f>IFERROR(AO1057/AL1057,"")</f>
        <v/>
      </c>
      <c r="AQ1057" s="125">
        <f>IFERROR(R1057/AO1057,"")</f>
        <v/>
      </c>
      <c r="AR1057" s="122" t="n">
        <v>0</v>
      </c>
      <c r="AS1057" s="122" t="n">
        <v>0</v>
      </c>
      <c r="AT1057" s="122">
        <f>AL1057+AR1057</f>
        <v/>
      </c>
      <c r="AU1057" s="125">
        <f>IFERROR(AO1057*Assumptions!$C$26*Assumptions!$C$27*INDEX(Assumptions!$C$18:$C$21,MATCH(H1057,Assumptions!$B$18:$B$21,0)),0)</f>
        <v/>
      </c>
    </row>
    <row r="1058">
      <c r="A1058" s="120" t="n">
        <v>46258</v>
      </c>
      <c r="B1058" s="66" t="inlineStr">
        <is>
          <t>Wk 35</t>
        </is>
      </c>
      <c r="C1058" s="66" t="inlineStr">
        <is>
          <t>Mon</t>
        </is>
      </c>
      <c r="D1058" s="66" t="inlineStr">
        <is>
          <t>TikTok</t>
        </is>
      </c>
      <c r="E1058" s="66" t="inlineStr">
        <is>
          <t>TikTok</t>
        </is>
      </c>
      <c r="F1058" s="66" t="inlineStr">
        <is>
          <t>LEP_ZA_AUG26_TT_TD_AMUR_CONV</t>
        </is>
      </c>
      <c r="G1058" s="66" t="inlineStr">
        <is>
          <t>Website Conversions</t>
        </is>
      </c>
      <c r="H1058" s="66" t="inlineStr">
        <is>
          <t>AMUR</t>
        </is>
      </c>
      <c r="I1058" s="66" t="inlineStr">
        <is>
          <t>0% Deposit</t>
        </is>
      </c>
      <c r="J1058" s="66" t="inlineStr">
        <is>
          <t>TT_AMUR_AUTOTGT_18-34_ZA</t>
        </is>
      </c>
      <c r="K1058" s="66" t="inlineStr">
        <is>
          <t>Prospecting</t>
        </is>
      </c>
      <c r="L1058" s="66" t="inlineStr">
        <is>
          <t>TT_AMUR_TREND_12s_Reveal_v2</t>
        </is>
      </c>
      <c r="M1058" s="66" t="inlineStr">
        <is>
          <t>Video 9:16</t>
        </is>
      </c>
      <c r="N1058" s="66" t="inlineStr">
        <is>
          <t>Do it for the R3 599</t>
        </is>
      </c>
      <c r="O1058" s="66" t="inlineStr">
        <is>
          <t>Auction - Lowest Cost</t>
        </is>
      </c>
      <c r="P1058" s="66" t="inlineStr">
        <is>
          <t>Complete Payment / Lead</t>
        </is>
      </c>
      <c r="Q1058" s="66" t="inlineStr">
        <is>
          <t>https://www.lepas-sa.co.za/offers/amur</t>
        </is>
      </c>
      <c r="R1058" s="121" t="n">
        <v>176.07</v>
      </c>
      <c r="S1058" s="122" t="n">
        <v>4336</v>
      </c>
      <c r="T1058" s="122" t="n">
        <v>2474</v>
      </c>
      <c r="U1058" s="123">
        <f>IFERROR(S1058/T1058,"")</f>
        <v/>
      </c>
      <c r="V1058" s="122" t="n">
        <v>55</v>
      </c>
      <c r="W1058" s="122" t="n">
        <v>41</v>
      </c>
      <c r="X1058" s="124">
        <f>IFERROR(W1058/S1058,"")</f>
        <v/>
      </c>
      <c r="Y1058" s="121">
        <f>IFERROR(R1058/W1058,"")</f>
        <v/>
      </c>
      <c r="Z1058" s="121">
        <f>IFERROR(R1058/S1058*1000,"")</f>
        <v/>
      </c>
      <c r="AA1058" s="122" t="n">
        <v>26</v>
      </c>
      <c r="AB1058" s="54">
        <f>IFERROR(AA1058/W1058,"")</f>
        <v/>
      </c>
      <c r="AC1058" s="122" t="n">
        <v>1407</v>
      </c>
      <c r="AD1058" s="122" t="n">
        <v>681</v>
      </c>
      <c r="AE1058" s="122" t="n">
        <v>554</v>
      </c>
      <c r="AF1058" s="122" t="n">
        <v>332</v>
      </c>
      <c r="AG1058" s="122" t="n">
        <v>232</v>
      </c>
      <c r="AH1058" s="122" t="n">
        <v>141</v>
      </c>
      <c r="AI1058" s="54">
        <f>IFERROR(AC1058/S1058,"")</f>
        <v/>
      </c>
      <c r="AJ1058" s="54">
        <f>IFERROR(AH1058/S1058,"")</f>
        <v/>
      </c>
      <c r="AK1058" s="122" t="n">
        <v>193</v>
      </c>
      <c r="AL1058" s="122" t="n">
        <v>0</v>
      </c>
      <c r="AM1058" s="124">
        <f>IFERROR(AL1058/AA1058,"")</f>
        <v/>
      </c>
      <c r="AN1058" s="125">
        <f>IFERROR(R1058/AL1058,"")</f>
        <v/>
      </c>
      <c r="AO1058" s="122" t="n">
        <v>0</v>
      </c>
      <c r="AP1058" s="54">
        <f>IFERROR(AO1058/AL1058,"")</f>
        <v/>
      </c>
      <c r="AQ1058" s="125">
        <f>IFERROR(R1058/AO1058,"")</f>
        <v/>
      </c>
      <c r="AR1058" s="122" t="n">
        <v>0</v>
      </c>
      <c r="AS1058" s="122" t="n">
        <v>0</v>
      </c>
      <c r="AT1058" s="122">
        <f>AL1058+AR1058</f>
        <v/>
      </c>
      <c r="AU1058" s="125">
        <f>IFERROR(AO1058*Assumptions!$C$26*Assumptions!$C$27*INDEX(Assumptions!$C$18:$C$21,MATCH(H1058,Assumptions!$B$18:$B$21,0)),0)</f>
        <v/>
      </c>
    </row>
    <row r="1059">
      <c r="A1059" s="120" t="n">
        <v>46259</v>
      </c>
      <c r="B1059" s="66" t="inlineStr">
        <is>
          <t>Wk 35</t>
        </is>
      </c>
      <c r="C1059" s="66" t="inlineStr">
        <is>
          <t>Tue</t>
        </is>
      </c>
      <c r="D1059" s="66" t="inlineStr">
        <is>
          <t>TikTok</t>
        </is>
      </c>
      <c r="E1059" s="66" t="inlineStr">
        <is>
          <t>TikTok</t>
        </is>
      </c>
      <c r="F1059" s="66" t="inlineStr">
        <is>
          <t>LEP_ZA_AUG26_TT_TD_AMUR_CONV</t>
        </is>
      </c>
      <c r="G1059" s="66" t="inlineStr">
        <is>
          <t>Website Conversions</t>
        </is>
      </c>
      <c r="H1059" s="66" t="inlineStr">
        <is>
          <t>AMUR</t>
        </is>
      </c>
      <c r="I1059" s="66" t="inlineStr">
        <is>
          <t>0% Deposit</t>
        </is>
      </c>
      <c r="J1059" s="66" t="inlineStr">
        <is>
          <t>TT_AMUR_AUTOTGT_18-34_ZA</t>
        </is>
      </c>
      <c r="K1059" s="66" t="inlineStr">
        <is>
          <t>Prospecting</t>
        </is>
      </c>
      <c r="L1059" s="66" t="inlineStr">
        <is>
          <t>TT_AMUR_TREND_12s_Reveal_v2</t>
        </is>
      </c>
      <c r="M1059" s="66" t="inlineStr">
        <is>
          <t>Video 9:16</t>
        </is>
      </c>
      <c r="N1059" s="66" t="inlineStr">
        <is>
          <t>Do it for the R3 599</t>
        </is>
      </c>
      <c r="O1059" s="66" t="inlineStr">
        <is>
          <t>Auction - Lowest Cost</t>
        </is>
      </c>
      <c r="P1059" s="66" t="inlineStr">
        <is>
          <t>Complete Payment / Lead</t>
        </is>
      </c>
      <c r="Q1059" s="66" t="inlineStr">
        <is>
          <t>https://www.lepas-sa.co.za/offers/amur</t>
        </is>
      </c>
      <c r="R1059" s="121" t="n">
        <v>177.86</v>
      </c>
      <c r="S1059" s="122" t="n">
        <v>6912</v>
      </c>
      <c r="T1059" s="122" t="n">
        <v>3860</v>
      </c>
      <c r="U1059" s="123">
        <f>IFERROR(S1059/T1059,"")</f>
        <v/>
      </c>
      <c r="V1059" s="122" t="n">
        <v>89</v>
      </c>
      <c r="W1059" s="122" t="n">
        <v>68</v>
      </c>
      <c r="X1059" s="124">
        <f>IFERROR(W1059/S1059,"")</f>
        <v/>
      </c>
      <c r="Y1059" s="121">
        <f>IFERROR(R1059/W1059,"")</f>
        <v/>
      </c>
      <c r="Z1059" s="121">
        <f>IFERROR(R1059/S1059*1000,"")</f>
        <v/>
      </c>
      <c r="AA1059" s="122" t="n">
        <v>49</v>
      </c>
      <c r="AB1059" s="54">
        <f>IFERROR(AA1059/W1059,"")</f>
        <v/>
      </c>
      <c r="AC1059" s="122" t="n">
        <v>2000</v>
      </c>
      <c r="AD1059" s="122" t="n">
        <v>1148</v>
      </c>
      <c r="AE1059" s="122" t="n">
        <v>1077</v>
      </c>
      <c r="AF1059" s="122" t="n">
        <v>763</v>
      </c>
      <c r="AG1059" s="122" t="n">
        <v>608</v>
      </c>
      <c r="AH1059" s="122" t="n">
        <v>361</v>
      </c>
      <c r="AI1059" s="54">
        <f>IFERROR(AC1059/S1059,"")</f>
        <v/>
      </c>
      <c r="AJ1059" s="54">
        <f>IFERROR(AH1059/S1059,"")</f>
        <v/>
      </c>
      <c r="AK1059" s="122" t="n">
        <v>251</v>
      </c>
      <c r="AL1059" s="122" t="n">
        <v>0</v>
      </c>
      <c r="AM1059" s="124">
        <f>IFERROR(AL1059/AA1059,"")</f>
        <v/>
      </c>
      <c r="AN1059" s="125">
        <f>IFERROR(R1059/AL1059,"")</f>
        <v/>
      </c>
      <c r="AO1059" s="122" t="n">
        <v>0</v>
      </c>
      <c r="AP1059" s="54">
        <f>IFERROR(AO1059/AL1059,"")</f>
        <v/>
      </c>
      <c r="AQ1059" s="125">
        <f>IFERROR(R1059/AO1059,"")</f>
        <v/>
      </c>
      <c r="AR1059" s="122" t="n">
        <v>0</v>
      </c>
      <c r="AS1059" s="122" t="n">
        <v>0</v>
      </c>
      <c r="AT1059" s="122">
        <f>AL1059+AR1059</f>
        <v/>
      </c>
      <c r="AU1059" s="125">
        <f>IFERROR(AO1059*Assumptions!$C$26*Assumptions!$C$27*INDEX(Assumptions!$C$18:$C$21,MATCH(H1059,Assumptions!$B$18:$B$21,0)),0)</f>
        <v/>
      </c>
    </row>
    <row r="1060">
      <c r="A1060" s="120" t="n">
        <v>46260</v>
      </c>
      <c r="B1060" s="66" t="inlineStr">
        <is>
          <t>Wk 35</t>
        </is>
      </c>
      <c r="C1060" s="66" t="inlineStr">
        <is>
          <t>Wed</t>
        </is>
      </c>
      <c r="D1060" s="66" t="inlineStr">
        <is>
          <t>TikTok</t>
        </is>
      </c>
      <c r="E1060" s="66" t="inlineStr">
        <is>
          <t>TikTok</t>
        </is>
      </c>
      <c r="F1060" s="66" t="inlineStr">
        <is>
          <t>LEP_ZA_AUG26_TT_TD_AMUR_CONV</t>
        </is>
      </c>
      <c r="G1060" s="66" t="inlineStr">
        <is>
          <t>Website Conversions</t>
        </is>
      </c>
      <c r="H1060" s="66" t="inlineStr">
        <is>
          <t>AMUR</t>
        </is>
      </c>
      <c r="I1060" s="66" t="inlineStr">
        <is>
          <t>0% Deposit</t>
        </is>
      </c>
      <c r="J1060" s="66" t="inlineStr">
        <is>
          <t>TT_AMUR_AUTOTGT_18-34_ZA</t>
        </is>
      </c>
      <c r="K1060" s="66" t="inlineStr">
        <is>
          <t>Prospecting</t>
        </is>
      </c>
      <c r="L1060" s="66" t="inlineStr">
        <is>
          <t>TT_AMUR_TREND_12s_Reveal_v2</t>
        </is>
      </c>
      <c r="M1060" s="66" t="inlineStr">
        <is>
          <t>Video 9:16</t>
        </is>
      </c>
      <c r="N1060" s="66" t="inlineStr">
        <is>
          <t>Do it for the R3 599</t>
        </is>
      </c>
      <c r="O1060" s="66" t="inlineStr">
        <is>
          <t>Auction - Lowest Cost</t>
        </is>
      </c>
      <c r="P1060" s="66" t="inlineStr">
        <is>
          <t>Complete Payment / Lead</t>
        </is>
      </c>
      <c r="Q1060" s="66" t="inlineStr">
        <is>
          <t>https://www.lepas-sa.co.za/offers/amur</t>
        </is>
      </c>
      <c r="R1060" s="121" t="n">
        <v>210.71</v>
      </c>
      <c r="S1060" s="122" t="n">
        <v>5771</v>
      </c>
      <c r="T1060" s="122" t="n">
        <v>3266</v>
      </c>
      <c r="U1060" s="123">
        <f>IFERROR(S1060/T1060,"")</f>
        <v/>
      </c>
      <c r="V1060" s="122" t="n">
        <v>68</v>
      </c>
      <c r="W1060" s="122" t="n">
        <v>56</v>
      </c>
      <c r="X1060" s="124">
        <f>IFERROR(W1060/S1060,"")</f>
        <v/>
      </c>
      <c r="Y1060" s="121">
        <f>IFERROR(R1060/W1060,"")</f>
        <v/>
      </c>
      <c r="Z1060" s="121">
        <f>IFERROR(R1060/S1060*1000,"")</f>
        <v/>
      </c>
      <c r="AA1060" s="122" t="n">
        <v>37</v>
      </c>
      <c r="AB1060" s="54">
        <f>IFERROR(AA1060/W1060,"")</f>
        <v/>
      </c>
      <c r="AC1060" s="122" t="n">
        <v>2352</v>
      </c>
      <c r="AD1060" s="122" t="n">
        <v>1149</v>
      </c>
      <c r="AE1060" s="122" t="n">
        <v>941</v>
      </c>
      <c r="AF1060" s="122" t="n">
        <v>652</v>
      </c>
      <c r="AG1060" s="122" t="n">
        <v>478</v>
      </c>
      <c r="AH1060" s="122" t="n">
        <v>340</v>
      </c>
      <c r="AI1060" s="54">
        <f>IFERROR(AC1060/S1060,"")</f>
        <v/>
      </c>
      <c r="AJ1060" s="54">
        <f>IFERROR(AH1060/S1060,"")</f>
        <v/>
      </c>
      <c r="AK1060" s="122" t="n">
        <v>313</v>
      </c>
      <c r="AL1060" s="122" t="n">
        <v>0</v>
      </c>
      <c r="AM1060" s="124">
        <f>IFERROR(AL1060/AA1060,"")</f>
        <v/>
      </c>
      <c r="AN1060" s="125">
        <f>IFERROR(R1060/AL1060,"")</f>
        <v/>
      </c>
      <c r="AO1060" s="122" t="n">
        <v>0</v>
      </c>
      <c r="AP1060" s="54">
        <f>IFERROR(AO1060/AL1060,"")</f>
        <v/>
      </c>
      <c r="AQ1060" s="125">
        <f>IFERROR(R1060/AO1060,"")</f>
        <v/>
      </c>
      <c r="AR1060" s="122" t="n">
        <v>0</v>
      </c>
      <c r="AS1060" s="122" t="n">
        <v>0</v>
      </c>
      <c r="AT1060" s="122">
        <f>AL1060+AR1060</f>
        <v/>
      </c>
      <c r="AU1060" s="125">
        <f>IFERROR(AO1060*Assumptions!$C$26*Assumptions!$C$27*INDEX(Assumptions!$C$18:$C$21,MATCH(H1060,Assumptions!$B$18:$B$21,0)),0)</f>
        <v/>
      </c>
    </row>
    <row r="1061">
      <c r="A1061" s="120" t="n">
        <v>46261</v>
      </c>
      <c r="B1061" s="66" t="inlineStr">
        <is>
          <t>Wk 35</t>
        </is>
      </c>
      <c r="C1061" s="66" t="inlineStr">
        <is>
          <t>Thu</t>
        </is>
      </c>
      <c r="D1061" s="66" t="inlineStr">
        <is>
          <t>TikTok</t>
        </is>
      </c>
      <c r="E1061" s="66" t="inlineStr">
        <is>
          <t>TikTok</t>
        </is>
      </c>
      <c r="F1061" s="66" t="inlineStr">
        <is>
          <t>LEP_ZA_AUG26_TT_TD_AMUR_CONV</t>
        </is>
      </c>
      <c r="G1061" s="66" t="inlineStr">
        <is>
          <t>Website Conversions</t>
        </is>
      </c>
      <c r="H1061" s="66" t="inlineStr">
        <is>
          <t>AMUR</t>
        </is>
      </c>
      <c r="I1061" s="66" t="inlineStr">
        <is>
          <t>0% Deposit</t>
        </is>
      </c>
      <c r="J1061" s="66" t="inlineStr">
        <is>
          <t>TT_AMUR_AUTOTGT_18-34_ZA</t>
        </is>
      </c>
      <c r="K1061" s="66" t="inlineStr">
        <is>
          <t>Prospecting</t>
        </is>
      </c>
      <c r="L1061" s="66" t="inlineStr">
        <is>
          <t>TT_AMUR_TREND_12s_Reveal_v2</t>
        </is>
      </c>
      <c r="M1061" s="66" t="inlineStr">
        <is>
          <t>Video 9:16</t>
        </is>
      </c>
      <c r="N1061" s="66" t="inlineStr">
        <is>
          <t>Do it for the R3 599</t>
        </is>
      </c>
      <c r="O1061" s="66" t="inlineStr">
        <is>
          <t>Auction - Lowest Cost</t>
        </is>
      </c>
      <c r="P1061" s="66" t="inlineStr">
        <is>
          <t>Complete Payment / Lead</t>
        </is>
      </c>
      <c r="Q1061" s="66" t="inlineStr">
        <is>
          <t>https://www.lepas-sa.co.za/offers/amur</t>
        </is>
      </c>
      <c r="R1061" s="121" t="n">
        <v>248.74</v>
      </c>
      <c r="S1061" s="122" t="n">
        <v>7766</v>
      </c>
      <c r="T1061" s="122" t="n">
        <v>3677</v>
      </c>
      <c r="U1061" s="123">
        <f>IFERROR(S1061/T1061,"")</f>
        <v/>
      </c>
      <c r="V1061" s="122" t="n">
        <v>75</v>
      </c>
      <c r="W1061" s="122" t="n">
        <v>56</v>
      </c>
      <c r="X1061" s="124">
        <f>IFERROR(W1061/S1061,"")</f>
        <v/>
      </c>
      <c r="Y1061" s="121">
        <f>IFERROR(R1061/W1061,"")</f>
        <v/>
      </c>
      <c r="Z1061" s="121">
        <f>IFERROR(R1061/S1061*1000,"")</f>
        <v/>
      </c>
      <c r="AA1061" s="122" t="n">
        <v>39</v>
      </c>
      <c r="AB1061" s="54">
        <f>IFERROR(AA1061/W1061,"")</f>
        <v/>
      </c>
      <c r="AC1061" s="122" t="n">
        <v>1815</v>
      </c>
      <c r="AD1061" s="122" t="n">
        <v>816</v>
      </c>
      <c r="AE1061" s="122" t="n">
        <v>717</v>
      </c>
      <c r="AF1061" s="122" t="n">
        <v>432</v>
      </c>
      <c r="AG1061" s="122" t="n">
        <v>277</v>
      </c>
      <c r="AH1061" s="122" t="n">
        <v>177</v>
      </c>
      <c r="AI1061" s="54">
        <f>IFERROR(AC1061/S1061,"")</f>
        <v/>
      </c>
      <c r="AJ1061" s="54">
        <f>IFERROR(AH1061/S1061,"")</f>
        <v/>
      </c>
      <c r="AK1061" s="122" t="n">
        <v>335</v>
      </c>
      <c r="AL1061" s="122" t="n">
        <v>0</v>
      </c>
      <c r="AM1061" s="124">
        <f>IFERROR(AL1061/AA1061,"")</f>
        <v/>
      </c>
      <c r="AN1061" s="125">
        <f>IFERROR(R1061/AL1061,"")</f>
        <v/>
      </c>
      <c r="AO1061" s="122" t="n">
        <v>0</v>
      </c>
      <c r="AP1061" s="54">
        <f>IFERROR(AO1061/AL1061,"")</f>
        <v/>
      </c>
      <c r="AQ1061" s="125">
        <f>IFERROR(R1061/AO1061,"")</f>
        <v/>
      </c>
      <c r="AR1061" s="122" t="n">
        <v>0</v>
      </c>
      <c r="AS1061" s="122" t="n">
        <v>0</v>
      </c>
      <c r="AT1061" s="122">
        <f>AL1061+AR1061</f>
        <v/>
      </c>
      <c r="AU1061" s="125">
        <f>IFERROR(AO1061*Assumptions!$C$26*Assumptions!$C$27*INDEX(Assumptions!$C$18:$C$21,MATCH(H1061,Assumptions!$B$18:$B$21,0)),0)</f>
        <v/>
      </c>
    </row>
    <row r="1062">
      <c r="A1062" s="120" t="n">
        <v>46262</v>
      </c>
      <c r="B1062" s="66" t="inlineStr">
        <is>
          <t>Wk 35</t>
        </is>
      </c>
      <c r="C1062" s="66" t="inlineStr">
        <is>
          <t>Fri</t>
        </is>
      </c>
      <c r="D1062" s="66" t="inlineStr">
        <is>
          <t>TikTok</t>
        </is>
      </c>
      <c r="E1062" s="66" t="inlineStr">
        <is>
          <t>TikTok</t>
        </is>
      </c>
      <c r="F1062" s="66" t="inlineStr">
        <is>
          <t>LEP_ZA_AUG26_TT_TD_AMUR_CONV</t>
        </is>
      </c>
      <c r="G1062" s="66" t="inlineStr">
        <is>
          <t>Website Conversions</t>
        </is>
      </c>
      <c r="H1062" s="66" t="inlineStr">
        <is>
          <t>AMUR</t>
        </is>
      </c>
      <c r="I1062" s="66" t="inlineStr">
        <is>
          <t>0% Deposit</t>
        </is>
      </c>
      <c r="J1062" s="66" t="inlineStr">
        <is>
          <t>TT_AMUR_AUTOTGT_18-34_ZA</t>
        </is>
      </c>
      <c r="K1062" s="66" t="inlineStr">
        <is>
          <t>Prospecting</t>
        </is>
      </c>
      <c r="L1062" s="66" t="inlineStr">
        <is>
          <t>TT_AMUR_TREND_12s_Reveal_v2</t>
        </is>
      </c>
      <c r="M1062" s="66" t="inlineStr">
        <is>
          <t>Video 9:16</t>
        </is>
      </c>
      <c r="N1062" s="66" t="inlineStr">
        <is>
          <t>Do it for the R3 599</t>
        </is>
      </c>
      <c r="O1062" s="66" t="inlineStr">
        <is>
          <t>Auction - Lowest Cost</t>
        </is>
      </c>
      <c r="P1062" s="66" t="inlineStr">
        <is>
          <t>Complete Payment / Lead</t>
        </is>
      </c>
      <c r="Q1062" s="66" t="inlineStr">
        <is>
          <t>https://www.lepas-sa.co.za/offers/amur</t>
        </is>
      </c>
      <c r="R1062" s="121" t="n">
        <v>241.07</v>
      </c>
      <c r="S1062" s="122" t="n">
        <v>5737</v>
      </c>
      <c r="T1062" s="122" t="n">
        <v>3327</v>
      </c>
      <c r="U1062" s="123">
        <f>IFERROR(S1062/T1062,"")</f>
        <v/>
      </c>
      <c r="V1062" s="122" t="n">
        <v>72</v>
      </c>
      <c r="W1062" s="122" t="n">
        <v>55</v>
      </c>
      <c r="X1062" s="124">
        <f>IFERROR(W1062/S1062,"")</f>
        <v/>
      </c>
      <c r="Y1062" s="121">
        <f>IFERROR(R1062/W1062,"")</f>
        <v/>
      </c>
      <c r="Z1062" s="121">
        <f>IFERROR(R1062/S1062*1000,"")</f>
        <v/>
      </c>
      <c r="AA1062" s="122" t="n">
        <v>34</v>
      </c>
      <c r="AB1062" s="54">
        <f>IFERROR(AA1062/W1062,"")</f>
        <v/>
      </c>
      <c r="AC1062" s="122" t="n">
        <v>2007</v>
      </c>
      <c r="AD1062" s="122" t="n">
        <v>934</v>
      </c>
      <c r="AE1062" s="122" t="n">
        <v>968</v>
      </c>
      <c r="AF1062" s="122" t="n">
        <v>633</v>
      </c>
      <c r="AG1062" s="122" t="n">
        <v>473</v>
      </c>
      <c r="AH1062" s="122" t="n">
        <v>320</v>
      </c>
      <c r="AI1062" s="54">
        <f>IFERROR(AC1062/S1062,"")</f>
        <v/>
      </c>
      <c r="AJ1062" s="54">
        <f>IFERROR(AH1062/S1062,"")</f>
        <v/>
      </c>
      <c r="AK1062" s="122" t="n">
        <v>246</v>
      </c>
      <c r="AL1062" s="122" t="n">
        <v>0</v>
      </c>
      <c r="AM1062" s="124">
        <f>IFERROR(AL1062/AA1062,"")</f>
        <v/>
      </c>
      <c r="AN1062" s="125">
        <f>IFERROR(R1062/AL1062,"")</f>
        <v/>
      </c>
      <c r="AO1062" s="122" t="n">
        <v>0</v>
      </c>
      <c r="AP1062" s="54">
        <f>IFERROR(AO1062/AL1062,"")</f>
        <v/>
      </c>
      <c r="AQ1062" s="125">
        <f>IFERROR(R1062/AO1062,"")</f>
        <v/>
      </c>
      <c r="AR1062" s="122" t="n">
        <v>0</v>
      </c>
      <c r="AS1062" s="122" t="n">
        <v>0</v>
      </c>
      <c r="AT1062" s="122">
        <f>AL1062+AR1062</f>
        <v/>
      </c>
      <c r="AU1062" s="125">
        <f>IFERROR(AO1062*Assumptions!$C$26*Assumptions!$C$27*INDEX(Assumptions!$C$18:$C$21,MATCH(H1062,Assumptions!$B$18:$B$21,0)),0)</f>
        <v/>
      </c>
    </row>
    <row r="1063">
      <c r="A1063" s="120" t="n">
        <v>46263</v>
      </c>
      <c r="B1063" s="66" t="inlineStr">
        <is>
          <t>Wk 35</t>
        </is>
      </c>
      <c r="C1063" s="66" t="inlineStr">
        <is>
          <t>Sat</t>
        </is>
      </c>
      <c r="D1063" s="66" t="inlineStr">
        <is>
          <t>TikTok</t>
        </is>
      </c>
      <c r="E1063" s="66" t="inlineStr">
        <is>
          <t>TikTok</t>
        </is>
      </c>
      <c r="F1063" s="66" t="inlineStr">
        <is>
          <t>LEP_ZA_AUG26_TT_TD_AMUR_CONV</t>
        </is>
      </c>
      <c r="G1063" s="66" t="inlineStr">
        <is>
          <t>Website Conversions</t>
        </is>
      </c>
      <c r="H1063" s="66" t="inlineStr">
        <is>
          <t>AMUR</t>
        </is>
      </c>
      <c r="I1063" s="66" t="inlineStr">
        <is>
          <t>0% Deposit</t>
        </is>
      </c>
      <c r="J1063" s="66" t="inlineStr">
        <is>
          <t>TT_AMUR_AUTOTGT_18-34_ZA</t>
        </is>
      </c>
      <c r="K1063" s="66" t="inlineStr">
        <is>
          <t>Prospecting</t>
        </is>
      </c>
      <c r="L1063" s="66" t="inlineStr">
        <is>
          <t>TT_AMUR_TREND_12s_Reveal_v2</t>
        </is>
      </c>
      <c r="M1063" s="66" t="inlineStr">
        <is>
          <t>Video 9:16</t>
        </is>
      </c>
      <c r="N1063" s="66" t="inlineStr">
        <is>
          <t>Do it for the R3 599</t>
        </is>
      </c>
      <c r="O1063" s="66" t="inlineStr">
        <is>
          <t>Auction - Lowest Cost</t>
        </is>
      </c>
      <c r="P1063" s="66" t="inlineStr">
        <is>
          <t>Complete Payment / Lead</t>
        </is>
      </c>
      <c r="Q1063" s="66" t="inlineStr">
        <is>
          <t>https://www.lepas-sa.co.za/offers/amur</t>
        </is>
      </c>
      <c r="R1063" s="121" t="n">
        <v>258.77</v>
      </c>
      <c r="S1063" s="122" t="n">
        <v>7035</v>
      </c>
      <c r="T1063" s="122" t="n">
        <v>3280</v>
      </c>
      <c r="U1063" s="123">
        <f>IFERROR(S1063/T1063,"")</f>
        <v/>
      </c>
      <c r="V1063" s="122" t="n">
        <v>90</v>
      </c>
      <c r="W1063" s="122" t="n">
        <v>73</v>
      </c>
      <c r="X1063" s="124">
        <f>IFERROR(W1063/S1063,"")</f>
        <v/>
      </c>
      <c r="Y1063" s="121">
        <f>IFERROR(R1063/W1063,"")</f>
        <v/>
      </c>
      <c r="Z1063" s="121">
        <f>IFERROR(R1063/S1063*1000,"")</f>
        <v/>
      </c>
      <c r="AA1063" s="122" t="n">
        <v>47</v>
      </c>
      <c r="AB1063" s="54">
        <f>IFERROR(AA1063/W1063,"")</f>
        <v/>
      </c>
      <c r="AC1063" s="122" t="n">
        <v>2255</v>
      </c>
      <c r="AD1063" s="122" t="n">
        <v>1281</v>
      </c>
      <c r="AE1063" s="122" t="n">
        <v>1001</v>
      </c>
      <c r="AF1063" s="122" t="n">
        <v>562</v>
      </c>
      <c r="AG1063" s="122" t="n">
        <v>389</v>
      </c>
      <c r="AH1063" s="122" t="n">
        <v>230</v>
      </c>
      <c r="AI1063" s="54">
        <f>IFERROR(AC1063/S1063,"")</f>
        <v/>
      </c>
      <c r="AJ1063" s="54">
        <f>IFERROR(AH1063/S1063,"")</f>
        <v/>
      </c>
      <c r="AK1063" s="122" t="n">
        <v>336</v>
      </c>
      <c r="AL1063" s="122" t="n">
        <v>1</v>
      </c>
      <c r="AM1063" s="124">
        <f>IFERROR(AL1063/AA1063,"")</f>
        <v/>
      </c>
      <c r="AN1063" s="125">
        <f>IFERROR(R1063/AL1063,"")</f>
        <v/>
      </c>
      <c r="AO1063" s="122" t="n">
        <v>0</v>
      </c>
      <c r="AP1063" s="54">
        <f>IFERROR(AO1063/AL1063,"")</f>
        <v/>
      </c>
      <c r="AQ1063" s="125">
        <f>IFERROR(R1063/AO1063,"")</f>
        <v/>
      </c>
      <c r="AR1063" s="122" t="n">
        <v>0</v>
      </c>
      <c r="AS1063" s="122" t="n">
        <v>0</v>
      </c>
      <c r="AT1063" s="122">
        <f>AL1063+AR1063</f>
        <v/>
      </c>
      <c r="AU1063" s="125">
        <f>IFERROR(AO1063*Assumptions!$C$26*Assumptions!$C$27*INDEX(Assumptions!$C$18:$C$21,MATCH(H1063,Assumptions!$B$18:$B$21,0)),0)</f>
        <v/>
      </c>
    </row>
    <row r="1064">
      <c r="A1064" s="120" t="n">
        <v>46264</v>
      </c>
      <c r="B1064" s="66" t="inlineStr">
        <is>
          <t>Wk 35</t>
        </is>
      </c>
      <c r="C1064" s="66" t="inlineStr">
        <is>
          <t>Sun</t>
        </is>
      </c>
      <c r="D1064" s="66" t="inlineStr">
        <is>
          <t>TikTok</t>
        </is>
      </c>
      <c r="E1064" s="66" t="inlineStr">
        <is>
          <t>TikTok</t>
        </is>
      </c>
      <c r="F1064" s="66" t="inlineStr">
        <is>
          <t>LEP_ZA_AUG26_TT_TD_AMUR_CONV</t>
        </is>
      </c>
      <c r="G1064" s="66" t="inlineStr">
        <is>
          <t>Website Conversions</t>
        </is>
      </c>
      <c r="H1064" s="66" t="inlineStr">
        <is>
          <t>AMUR</t>
        </is>
      </c>
      <c r="I1064" s="66" t="inlineStr">
        <is>
          <t>0% Deposit</t>
        </is>
      </c>
      <c r="J1064" s="66" t="inlineStr">
        <is>
          <t>TT_AMUR_AUTOTGT_18-34_ZA</t>
        </is>
      </c>
      <c r="K1064" s="66" t="inlineStr">
        <is>
          <t>Prospecting</t>
        </is>
      </c>
      <c r="L1064" s="66" t="inlineStr">
        <is>
          <t>TT_AMUR_TREND_12s_Reveal_v2</t>
        </is>
      </c>
      <c r="M1064" s="66" t="inlineStr">
        <is>
          <t>Video 9:16</t>
        </is>
      </c>
      <c r="N1064" s="66" t="inlineStr">
        <is>
          <t>Do it for the R3 599</t>
        </is>
      </c>
      <c r="O1064" s="66" t="inlineStr">
        <is>
          <t>Auction - Lowest Cost</t>
        </is>
      </c>
      <c r="P1064" s="66" t="inlineStr">
        <is>
          <t>Complete Payment / Lead</t>
        </is>
      </c>
      <c r="Q1064" s="66" t="inlineStr">
        <is>
          <t>https://www.lepas-sa.co.za/offers/amur</t>
        </is>
      </c>
      <c r="R1064" s="121" t="n">
        <v>166.08</v>
      </c>
      <c r="S1064" s="122" t="n">
        <v>4441</v>
      </c>
      <c r="T1064" s="122" t="n">
        <v>2419</v>
      </c>
      <c r="U1064" s="123">
        <f>IFERROR(S1064/T1064,"")</f>
        <v/>
      </c>
      <c r="V1064" s="122" t="n">
        <v>53</v>
      </c>
      <c r="W1064" s="122" t="n">
        <v>42</v>
      </c>
      <c r="X1064" s="124">
        <f>IFERROR(W1064/S1064,"")</f>
        <v/>
      </c>
      <c r="Y1064" s="121">
        <f>IFERROR(R1064/W1064,"")</f>
        <v/>
      </c>
      <c r="Z1064" s="121">
        <f>IFERROR(R1064/S1064*1000,"")</f>
        <v/>
      </c>
      <c r="AA1064" s="122" t="n">
        <v>29</v>
      </c>
      <c r="AB1064" s="54">
        <f>IFERROR(AA1064/W1064,"")</f>
        <v/>
      </c>
      <c r="AC1064" s="122" t="n">
        <v>1514</v>
      </c>
      <c r="AD1064" s="122" t="n">
        <v>726</v>
      </c>
      <c r="AE1064" s="122" t="n">
        <v>805</v>
      </c>
      <c r="AF1064" s="122" t="n">
        <v>515</v>
      </c>
      <c r="AG1064" s="122" t="n">
        <v>335</v>
      </c>
      <c r="AH1064" s="122" t="n">
        <v>220</v>
      </c>
      <c r="AI1064" s="54">
        <f>IFERROR(AC1064/S1064,"")</f>
        <v/>
      </c>
      <c r="AJ1064" s="54">
        <f>IFERROR(AH1064/S1064,"")</f>
        <v/>
      </c>
      <c r="AK1064" s="122" t="n">
        <v>265</v>
      </c>
      <c r="AL1064" s="122" t="n">
        <v>0</v>
      </c>
      <c r="AM1064" s="124">
        <f>IFERROR(AL1064/AA1064,"")</f>
        <v/>
      </c>
      <c r="AN1064" s="125">
        <f>IFERROR(R1064/AL1064,"")</f>
        <v/>
      </c>
      <c r="AO1064" s="122" t="n">
        <v>0</v>
      </c>
      <c r="AP1064" s="54">
        <f>IFERROR(AO1064/AL1064,"")</f>
        <v/>
      </c>
      <c r="AQ1064" s="125">
        <f>IFERROR(R1064/AO1064,"")</f>
        <v/>
      </c>
      <c r="AR1064" s="122" t="n">
        <v>0</v>
      </c>
      <c r="AS1064" s="122" t="n">
        <v>0</v>
      </c>
      <c r="AT1064" s="122">
        <f>AL1064+AR1064</f>
        <v/>
      </c>
      <c r="AU1064" s="125">
        <f>IFERROR(AO1064*Assumptions!$C$26*Assumptions!$C$27*INDEX(Assumptions!$C$18:$C$21,MATCH(H1064,Assumptions!$B$18:$B$21,0)),0)</f>
        <v/>
      </c>
    </row>
    <row r="1065">
      <c r="A1065" s="120" t="n">
        <v>46265</v>
      </c>
      <c r="B1065" s="66" t="inlineStr">
        <is>
          <t>Wk 36</t>
        </is>
      </c>
      <c r="C1065" s="66" t="inlineStr">
        <is>
          <t>Mon</t>
        </is>
      </c>
      <c r="D1065" s="66" t="inlineStr">
        <is>
          <t>TikTok</t>
        </is>
      </c>
      <c r="E1065" s="66" t="inlineStr">
        <is>
          <t>TikTok</t>
        </is>
      </c>
      <c r="F1065" s="66" t="inlineStr">
        <is>
          <t>LEP_ZA_AUG26_TT_TD_AMUR_CONV</t>
        </is>
      </c>
      <c r="G1065" s="66" t="inlineStr">
        <is>
          <t>Website Conversions</t>
        </is>
      </c>
      <c r="H1065" s="66" t="inlineStr">
        <is>
          <t>AMUR</t>
        </is>
      </c>
      <c r="I1065" s="66" t="inlineStr">
        <is>
          <t>0% Deposit</t>
        </is>
      </c>
      <c r="J1065" s="66" t="inlineStr">
        <is>
          <t>TT_AMUR_AUTOTGT_18-34_ZA</t>
        </is>
      </c>
      <c r="K1065" s="66" t="inlineStr">
        <is>
          <t>Prospecting</t>
        </is>
      </c>
      <c r="L1065" s="66" t="inlineStr">
        <is>
          <t>TT_AMUR_TREND_12s_Reveal_v2</t>
        </is>
      </c>
      <c r="M1065" s="66" t="inlineStr">
        <is>
          <t>Video 9:16</t>
        </is>
      </c>
      <c r="N1065" s="66" t="inlineStr">
        <is>
          <t>Do it for the R3 599</t>
        </is>
      </c>
      <c r="O1065" s="66" t="inlineStr">
        <is>
          <t>Auction - Lowest Cost</t>
        </is>
      </c>
      <c r="P1065" s="66" t="inlineStr">
        <is>
          <t>Complete Payment / Lead</t>
        </is>
      </c>
      <c r="Q1065" s="66" t="inlineStr">
        <is>
          <t>https://www.lepas-sa.co.za/offers/amur</t>
        </is>
      </c>
      <c r="R1065" s="121" t="n">
        <v>209.77</v>
      </c>
      <c r="S1065" s="122" t="n">
        <v>5828</v>
      </c>
      <c r="T1065" s="122" t="n">
        <v>2625</v>
      </c>
      <c r="U1065" s="123">
        <f>IFERROR(S1065/T1065,"")</f>
        <v/>
      </c>
      <c r="V1065" s="122" t="n">
        <v>52</v>
      </c>
      <c r="W1065" s="122" t="n">
        <v>42</v>
      </c>
      <c r="X1065" s="124">
        <f>IFERROR(W1065/S1065,"")</f>
        <v/>
      </c>
      <c r="Y1065" s="121">
        <f>IFERROR(R1065/W1065,"")</f>
        <v/>
      </c>
      <c r="Z1065" s="121">
        <f>IFERROR(R1065/S1065*1000,"")</f>
        <v/>
      </c>
      <c r="AA1065" s="122" t="n">
        <v>27</v>
      </c>
      <c r="AB1065" s="54">
        <f>IFERROR(AA1065/W1065,"")</f>
        <v/>
      </c>
      <c r="AC1065" s="122" t="n">
        <v>2145</v>
      </c>
      <c r="AD1065" s="122" t="n">
        <v>1194</v>
      </c>
      <c r="AE1065" s="122" t="n">
        <v>1164</v>
      </c>
      <c r="AF1065" s="122" t="n">
        <v>733</v>
      </c>
      <c r="AG1065" s="122" t="n">
        <v>521</v>
      </c>
      <c r="AH1065" s="122" t="n">
        <v>327</v>
      </c>
      <c r="AI1065" s="54">
        <f>IFERROR(AC1065/S1065,"")</f>
        <v/>
      </c>
      <c r="AJ1065" s="54">
        <f>IFERROR(AH1065/S1065,"")</f>
        <v/>
      </c>
      <c r="AK1065" s="122" t="n">
        <v>139</v>
      </c>
      <c r="AL1065" s="122" t="n">
        <v>0</v>
      </c>
      <c r="AM1065" s="124">
        <f>IFERROR(AL1065/AA1065,"")</f>
        <v/>
      </c>
      <c r="AN1065" s="125">
        <f>IFERROR(R1065/AL1065,"")</f>
        <v/>
      </c>
      <c r="AO1065" s="122" t="n">
        <v>0</v>
      </c>
      <c r="AP1065" s="54">
        <f>IFERROR(AO1065/AL1065,"")</f>
        <v/>
      </c>
      <c r="AQ1065" s="125">
        <f>IFERROR(R1065/AO1065,"")</f>
        <v/>
      </c>
      <c r="AR1065" s="122" t="n">
        <v>0</v>
      </c>
      <c r="AS1065" s="122" t="n">
        <v>0</v>
      </c>
      <c r="AT1065" s="122">
        <f>AL1065+AR1065</f>
        <v/>
      </c>
      <c r="AU1065" s="125">
        <f>IFERROR(AO1065*Assumptions!$C$26*Assumptions!$C$27*INDEX(Assumptions!$C$18:$C$21,MATCH(H1065,Assumptions!$B$18:$B$21,0)),0)</f>
        <v/>
      </c>
    </row>
    <row r="1066">
      <c r="A1066" s="120" t="n">
        <v>46235</v>
      </c>
      <c r="B1066" s="66" t="inlineStr">
        <is>
          <t>Wk 31</t>
        </is>
      </c>
      <c r="C1066" s="66" t="inlineStr">
        <is>
          <t>Sat</t>
        </is>
      </c>
      <c r="D1066" s="66" t="inlineStr">
        <is>
          <t>TikTok</t>
        </is>
      </c>
      <c r="E1066" s="66" t="inlineStr">
        <is>
          <t>TikTok</t>
        </is>
      </c>
      <c r="F1066" s="66" t="inlineStr">
        <is>
          <t>LEP_ZA_AUG26_TT_TD_AMUR_CONV</t>
        </is>
      </c>
      <c r="G1066" s="66" t="inlineStr">
        <is>
          <t>Website Conversions</t>
        </is>
      </c>
      <c r="H1066" s="66" t="inlineStr">
        <is>
          <t>AMUR</t>
        </is>
      </c>
      <c r="I1066" s="66" t="inlineStr">
        <is>
          <t>0% Deposit</t>
        </is>
      </c>
      <c r="J1066" s="66" t="inlineStr">
        <is>
          <t>TT_AMUR_INT_AUTO_ZA</t>
        </is>
      </c>
      <c r="K1066" s="66" t="inlineStr">
        <is>
          <t>Interest</t>
        </is>
      </c>
      <c r="L1066" s="66" t="inlineStr">
        <is>
          <t>TT_AMUR_UGC_20s_Walkthrough_v1</t>
        </is>
      </c>
      <c r="M1066" s="66" t="inlineStr">
        <is>
          <t>Video 9:16</t>
        </is>
      </c>
      <c r="N1066" s="66" t="inlineStr">
        <is>
          <t>Full walkaround, no filter</t>
        </is>
      </c>
      <c r="O1066" s="66" t="inlineStr">
        <is>
          <t>Auction - Lowest Cost</t>
        </is>
      </c>
      <c r="P1066" s="66" t="inlineStr">
        <is>
          <t>Complete Payment / Lead</t>
        </is>
      </c>
      <c r="Q1066" s="66" t="inlineStr">
        <is>
          <t>https://www.lepas-sa.co.za/offers/amur</t>
        </is>
      </c>
      <c r="R1066" s="121" t="n">
        <v>240.44</v>
      </c>
      <c r="S1066" s="122" t="n">
        <v>6395</v>
      </c>
      <c r="T1066" s="122" t="n">
        <v>5416</v>
      </c>
      <c r="U1066" s="123">
        <f>IFERROR(S1066/T1066,"")</f>
        <v/>
      </c>
      <c r="V1066" s="122" t="n">
        <v>82</v>
      </c>
      <c r="W1066" s="122" t="n">
        <v>62</v>
      </c>
      <c r="X1066" s="124">
        <f>IFERROR(W1066/S1066,"")</f>
        <v/>
      </c>
      <c r="Y1066" s="121">
        <f>IFERROR(R1066/W1066,"")</f>
        <v/>
      </c>
      <c r="Z1066" s="121">
        <f>IFERROR(R1066/S1066*1000,"")</f>
        <v/>
      </c>
      <c r="AA1066" s="122" t="n">
        <v>38</v>
      </c>
      <c r="AB1066" s="54">
        <f>IFERROR(AA1066/W1066,"")</f>
        <v/>
      </c>
      <c r="AC1066" s="122" t="n">
        <v>2232</v>
      </c>
      <c r="AD1066" s="122" t="n">
        <v>1248</v>
      </c>
      <c r="AE1066" s="122" t="n">
        <v>939</v>
      </c>
      <c r="AF1066" s="122" t="n">
        <v>653</v>
      </c>
      <c r="AG1066" s="122" t="n">
        <v>450</v>
      </c>
      <c r="AH1066" s="122" t="n">
        <v>279</v>
      </c>
      <c r="AI1066" s="54">
        <f>IFERROR(AC1066/S1066,"")</f>
        <v/>
      </c>
      <c r="AJ1066" s="54">
        <f>IFERROR(AH1066/S1066,"")</f>
        <v/>
      </c>
      <c r="AK1066" s="122" t="n">
        <v>270</v>
      </c>
      <c r="AL1066" s="122" t="n">
        <v>0</v>
      </c>
      <c r="AM1066" s="124">
        <f>IFERROR(AL1066/AA1066,"")</f>
        <v/>
      </c>
      <c r="AN1066" s="125">
        <f>IFERROR(R1066/AL1066,"")</f>
        <v/>
      </c>
      <c r="AO1066" s="122" t="n">
        <v>0</v>
      </c>
      <c r="AP1066" s="54">
        <f>IFERROR(AO1066/AL1066,"")</f>
        <v/>
      </c>
      <c r="AQ1066" s="125">
        <f>IFERROR(R1066/AO1066,"")</f>
        <v/>
      </c>
      <c r="AR1066" s="122" t="n">
        <v>0</v>
      </c>
      <c r="AS1066" s="122" t="n">
        <v>0</v>
      </c>
      <c r="AT1066" s="122">
        <f>AL1066+AR1066</f>
        <v/>
      </c>
      <c r="AU1066" s="125">
        <f>IFERROR(AO1066*Assumptions!$C$26*Assumptions!$C$27*INDEX(Assumptions!$C$18:$C$21,MATCH(H1066,Assumptions!$B$18:$B$21,0)),0)</f>
        <v/>
      </c>
    </row>
    <row r="1067">
      <c r="A1067" s="120" t="n">
        <v>46236</v>
      </c>
      <c r="B1067" s="66" t="inlineStr">
        <is>
          <t>Wk 31</t>
        </is>
      </c>
      <c r="C1067" s="66" t="inlineStr">
        <is>
          <t>Sun</t>
        </is>
      </c>
      <c r="D1067" s="66" t="inlineStr">
        <is>
          <t>TikTok</t>
        </is>
      </c>
      <c r="E1067" s="66" t="inlineStr">
        <is>
          <t>TikTok</t>
        </is>
      </c>
      <c r="F1067" s="66" t="inlineStr">
        <is>
          <t>LEP_ZA_AUG26_TT_TD_AMUR_CONV</t>
        </is>
      </c>
      <c r="G1067" s="66" t="inlineStr">
        <is>
          <t>Website Conversions</t>
        </is>
      </c>
      <c r="H1067" s="66" t="inlineStr">
        <is>
          <t>AMUR</t>
        </is>
      </c>
      <c r="I1067" s="66" t="inlineStr">
        <is>
          <t>0% Deposit</t>
        </is>
      </c>
      <c r="J1067" s="66" t="inlineStr">
        <is>
          <t>TT_AMUR_INT_AUTO_ZA</t>
        </is>
      </c>
      <c r="K1067" s="66" t="inlineStr">
        <is>
          <t>Interest</t>
        </is>
      </c>
      <c r="L1067" s="66" t="inlineStr">
        <is>
          <t>TT_AMUR_UGC_20s_Walkthrough_v1</t>
        </is>
      </c>
      <c r="M1067" s="66" t="inlineStr">
        <is>
          <t>Video 9:16</t>
        </is>
      </c>
      <c r="N1067" s="66" t="inlineStr">
        <is>
          <t>Full walkaround, no filter</t>
        </is>
      </c>
      <c r="O1067" s="66" t="inlineStr">
        <is>
          <t>Auction - Lowest Cost</t>
        </is>
      </c>
      <c r="P1067" s="66" t="inlineStr">
        <is>
          <t>Complete Payment / Lead</t>
        </is>
      </c>
      <c r="Q1067" s="66" t="inlineStr">
        <is>
          <t>https://www.lepas-sa.co.za/offers/amur</t>
        </is>
      </c>
      <c r="R1067" s="121" t="n">
        <v>179.14</v>
      </c>
      <c r="S1067" s="122" t="n">
        <v>4460</v>
      </c>
      <c r="T1067" s="122" t="n">
        <v>2893</v>
      </c>
      <c r="U1067" s="123">
        <f>IFERROR(S1067/T1067,"")</f>
        <v/>
      </c>
      <c r="V1067" s="122" t="n">
        <v>67</v>
      </c>
      <c r="W1067" s="122" t="n">
        <v>56</v>
      </c>
      <c r="X1067" s="124">
        <f>IFERROR(W1067/S1067,"")</f>
        <v/>
      </c>
      <c r="Y1067" s="121">
        <f>IFERROR(R1067/W1067,"")</f>
        <v/>
      </c>
      <c r="Z1067" s="121">
        <f>IFERROR(R1067/S1067*1000,"")</f>
        <v/>
      </c>
      <c r="AA1067" s="122" t="n">
        <v>38</v>
      </c>
      <c r="AB1067" s="54">
        <f>IFERROR(AA1067/W1067,"")</f>
        <v/>
      </c>
      <c r="AC1067" s="122" t="n">
        <v>1662</v>
      </c>
      <c r="AD1067" s="122" t="n">
        <v>816</v>
      </c>
      <c r="AE1067" s="122" t="n">
        <v>763</v>
      </c>
      <c r="AF1067" s="122" t="n">
        <v>511</v>
      </c>
      <c r="AG1067" s="122" t="n">
        <v>378</v>
      </c>
      <c r="AH1067" s="122" t="n">
        <v>270</v>
      </c>
      <c r="AI1067" s="54">
        <f>IFERROR(AC1067/S1067,"")</f>
        <v/>
      </c>
      <c r="AJ1067" s="54">
        <f>IFERROR(AH1067/S1067,"")</f>
        <v/>
      </c>
      <c r="AK1067" s="122" t="n">
        <v>265</v>
      </c>
      <c r="AL1067" s="122" t="n">
        <v>1</v>
      </c>
      <c r="AM1067" s="124">
        <f>IFERROR(AL1067/AA1067,"")</f>
        <v/>
      </c>
      <c r="AN1067" s="125">
        <f>IFERROR(R1067/AL1067,"")</f>
        <v/>
      </c>
      <c r="AO1067" s="122" t="n">
        <v>1</v>
      </c>
      <c r="AP1067" s="54">
        <f>IFERROR(AO1067/AL1067,"")</f>
        <v/>
      </c>
      <c r="AQ1067" s="125">
        <f>IFERROR(R1067/AO1067,"")</f>
        <v/>
      </c>
      <c r="AR1067" s="122" t="n">
        <v>1</v>
      </c>
      <c r="AS1067" s="122" t="n">
        <v>0</v>
      </c>
      <c r="AT1067" s="122">
        <f>AL1067+AR1067</f>
        <v/>
      </c>
      <c r="AU1067" s="125">
        <f>IFERROR(AO1067*Assumptions!$C$26*Assumptions!$C$27*INDEX(Assumptions!$C$18:$C$21,MATCH(H1067,Assumptions!$B$18:$B$21,0)),0)</f>
        <v/>
      </c>
    </row>
    <row r="1068">
      <c r="A1068" s="120" t="n">
        <v>46237</v>
      </c>
      <c r="B1068" s="66" t="inlineStr">
        <is>
          <t>Wk 32</t>
        </is>
      </c>
      <c r="C1068" s="66" t="inlineStr">
        <is>
          <t>Mon</t>
        </is>
      </c>
      <c r="D1068" s="66" t="inlineStr">
        <is>
          <t>TikTok</t>
        </is>
      </c>
      <c r="E1068" s="66" t="inlineStr">
        <is>
          <t>TikTok</t>
        </is>
      </c>
      <c r="F1068" s="66" t="inlineStr">
        <is>
          <t>LEP_ZA_AUG26_TT_TD_AMUR_CONV</t>
        </is>
      </c>
      <c r="G1068" s="66" t="inlineStr">
        <is>
          <t>Website Conversions</t>
        </is>
      </c>
      <c r="H1068" s="66" t="inlineStr">
        <is>
          <t>AMUR</t>
        </is>
      </c>
      <c r="I1068" s="66" t="inlineStr">
        <is>
          <t>0% Deposit</t>
        </is>
      </c>
      <c r="J1068" s="66" t="inlineStr">
        <is>
          <t>TT_AMUR_INT_AUTO_ZA</t>
        </is>
      </c>
      <c r="K1068" s="66" t="inlineStr">
        <is>
          <t>Interest</t>
        </is>
      </c>
      <c r="L1068" s="66" t="inlineStr">
        <is>
          <t>TT_AMUR_UGC_20s_Walkthrough_v1</t>
        </is>
      </c>
      <c r="M1068" s="66" t="inlineStr">
        <is>
          <t>Video 9:16</t>
        </is>
      </c>
      <c r="N1068" s="66" t="inlineStr">
        <is>
          <t>Full walkaround, no filter</t>
        </is>
      </c>
      <c r="O1068" s="66" t="inlineStr">
        <is>
          <t>Auction - Lowest Cost</t>
        </is>
      </c>
      <c r="P1068" s="66" t="inlineStr">
        <is>
          <t>Complete Payment / Lead</t>
        </is>
      </c>
      <c r="Q1068" s="66" t="inlineStr">
        <is>
          <t>https://www.lepas-sa.co.za/offers/amur</t>
        </is>
      </c>
      <c r="R1068" s="121" t="n">
        <v>179.35</v>
      </c>
      <c r="S1068" s="122" t="n">
        <v>5790</v>
      </c>
      <c r="T1068" s="122" t="n">
        <v>3621</v>
      </c>
      <c r="U1068" s="123">
        <f>IFERROR(S1068/T1068,"")</f>
        <v/>
      </c>
      <c r="V1068" s="122" t="n">
        <v>75</v>
      </c>
      <c r="W1068" s="122" t="n">
        <v>62</v>
      </c>
      <c r="X1068" s="124">
        <f>IFERROR(W1068/S1068,"")</f>
        <v/>
      </c>
      <c r="Y1068" s="121">
        <f>IFERROR(R1068/W1068,"")</f>
        <v/>
      </c>
      <c r="Z1068" s="121">
        <f>IFERROR(R1068/S1068*1000,"")</f>
        <v/>
      </c>
      <c r="AA1068" s="122" t="n">
        <v>42</v>
      </c>
      <c r="AB1068" s="54">
        <f>IFERROR(AA1068/W1068,"")</f>
        <v/>
      </c>
      <c r="AC1068" s="122" t="n">
        <v>1510</v>
      </c>
      <c r="AD1068" s="122" t="n">
        <v>825</v>
      </c>
      <c r="AE1068" s="122" t="n">
        <v>563</v>
      </c>
      <c r="AF1068" s="122" t="n">
        <v>382</v>
      </c>
      <c r="AG1068" s="122" t="n">
        <v>262</v>
      </c>
      <c r="AH1068" s="122" t="n">
        <v>169</v>
      </c>
      <c r="AI1068" s="54">
        <f>IFERROR(AC1068/S1068,"")</f>
        <v/>
      </c>
      <c r="AJ1068" s="54">
        <f>IFERROR(AH1068/S1068,"")</f>
        <v/>
      </c>
      <c r="AK1068" s="122" t="n">
        <v>319</v>
      </c>
      <c r="AL1068" s="122" t="n">
        <v>1</v>
      </c>
      <c r="AM1068" s="124">
        <f>IFERROR(AL1068/AA1068,"")</f>
        <v/>
      </c>
      <c r="AN1068" s="125">
        <f>IFERROR(R1068/AL1068,"")</f>
        <v/>
      </c>
      <c r="AO1068" s="122" t="n">
        <v>0</v>
      </c>
      <c r="AP1068" s="54">
        <f>IFERROR(AO1068/AL1068,"")</f>
        <v/>
      </c>
      <c r="AQ1068" s="125">
        <f>IFERROR(R1068/AO1068,"")</f>
        <v/>
      </c>
      <c r="AR1068" s="122" t="n">
        <v>0</v>
      </c>
      <c r="AS1068" s="122" t="n">
        <v>0</v>
      </c>
      <c r="AT1068" s="122">
        <f>AL1068+AR1068</f>
        <v/>
      </c>
      <c r="AU1068" s="125">
        <f>IFERROR(AO1068*Assumptions!$C$26*Assumptions!$C$27*INDEX(Assumptions!$C$18:$C$21,MATCH(H1068,Assumptions!$B$18:$B$21,0)),0)</f>
        <v/>
      </c>
    </row>
    <row r="1069">
      <c r="A1069" s="120" t="n">
        <v>46238</v>
      </c>
      <c r="B1069" s="66" t="inlineStr">
        <is>
          <t>Wk 32</t>
        </is>
      </c>
      <c r="C1069" s="66" t="inlineStr">
        <is>
          <t>Tue</t>
        </is>
      </c>
      <c r="D1069" s="66" t="inlineStr">
        <is>
          <t>TikTok</t>
        </is>
      </c>
      <c r="E1069" s="66" t="inlineStr">
        <is>
          <t>TikTok</t>
        </is>
      </c>
      <c r="F1069" s="66" t="inlineStr">
        <is>
          <t>LEP_ZA_AUG26_TT_TD_AMUR_CONV</t>
        </is>
      </c>
      <c r="G1069" s="66" t="inlineStr">
        <is>
          <t>Website Conversions</t>
        </is>
      </c>
      <c r="H1069" s="66" t="inlineStr">
        <is>
          <t>AMUR</t>
        </is>
      </c>
      <c r="I1069" s="66" t="inlineStr">
        <is>
          <t>0% Deposit</t>
        </is>
      </c>
      <c r="J1069" s="66" t="inlineStr">
        <is>
          <t>TT_AMUR_INT_AUTO_ZA</t>
        </is>
      </c>
      <c r="K1069" s="66" t="inlineStr">
        <is>
          <t>Interest</t>
        </is>
      </c>
      <c r="L1069" s="66" t="inlineStr">
        <is>
          <t>TT_AMUR_UGC_20s_Walkthrough_v1</t>
        </is>
      </c>
      <c r="M1069" s="66" t="inlineStr">
        <is>
          <t>Video 9:16</t>
        </is>
      </c>
      <c r="N1069" s="66" t="inlineStr">
        <is>
          <t>Full walkaround, no filter</t>
        </is>
      </c>
      <c r="O1069" s="66" t="inlineStr">
        <is>
          <t>Auction - Lowest Cost</t>
        </is>
      </c>
      <c r="P1069" s="66" t="inlineStr">
        <is>
          <t>Complete Payment / Lead</t>
        </is>
      </c>
      <c r="Q1069" s="66" t="inlineStr">
        <is>
          <t>https://www.lepas-sa.co.za/offers/amur</t>
        </is>
      </c>
      <c r="R1069" s="121" t="n">
        <v>235.24</v>
      </c>
      <c r="S1069" s="122" t="n">
        <v>5222</v>
      </c>
      <c r="T1069" s="122" t="n">
        <v>3144</v>
      </c>
      <c r="U1069" s="123">
        <f>IFERROR(S1069/T1069,"")</f>
        <v/>
      </c>
      <c r="V1069" s="122" t="n">
        <v>47</v>
      </c>
      <c r="W1069" s="122" t="n">
        <v>39</v>
      </c>
      <c r="X1069" s="124">
        <f>IFERROR(W1069/S1069,"")</f>
        <v/>
      </c>
      <c r="Y1069" s="121">
        <f>IFERROR(R1069/W1069,"")</f>
        <v/>
      </c>
      <c r="Z1069" s="121">
        <f>IFERROR(R1069/S1069*1000,"")</f>
        <v/>
      </c>
      <c r="AA1069" s="122" t="n">
        <v>30</v>
      </c>
      <c r="AB1069" s="54">
        <f>IFERROR(AA1069/W1069,"")</f>
        <v/>
      </c>
      <c r="AC1069" s="122" t="n">
        <v>1385</v>
      </c>
      <c r="AD1069" s="122" t="n">
        <v>694</v>
      </c>
      <c r="AE1069" s="122" t="n">
        <v>754</v>
      </c>
      <c r="AF1069" s="122" t="n">
        <v>496</v>
      </c>
      <c r="AG1069" s="122" t="n">
        <v>367</v>
      </c>
      <c r="AH1069" s="122" t="n">
        <v>241</v>
      </c>
      <c r="AI1069" s="54">
        <f>IFERROR(AC1069/S1069,"")</f>
        <v/>
      </c>
      <c r="AJ1069" s="54">
        <f>IFERROR(AH1069/S1069,"")</f>
        <v/>
      </c>
      <c r="AK1069" s="122" t="n">
        <v>243</v>
      </c>
      <c r="AL1069" s="122" t="n">
        <v>1</v>
      </c>
      <c r="AM1069" s="124">
        <f>IFERROR(AL1069/AA1069,"")</f>
        <v/>
      </c>
      <c r="AN1069" s="125">
        <f>IFERROR(R1069/AL1069,"")</f>
        <v/>
      </c>
      <c r="AO1069" s="122" t="n">
        <v>0</v>
      </c>
      <c r="AP1069" s="54">
        <f>IFERROR(AO1069/AL1069,"")</f>
        <v/>
      </c>
      <c r="AQ1069" s="125">
        <f>IFERROR(R1069/AO1069,"")</f>
        <v/>
      </c>
      <c r="AR1069" s="122" t="n">
        <v>0</v>
      </c>
      <c r="AS1069" s="122" t="n">
        <v>1</v>
      </c>
      <c r="AT1069" s="122">
        <f>AL1069+AR1069</f>
        <v/>
      </c>
      <c r="AU1069" s="125">
        <f>IFERROR(AO1069*Assumptions!$C$26*Assumptions!$C$27*INDEX(Assumptions!$C$18:$C$21,MATCH(H1069,Assumptions!$B$18:$B$21,0)),0)</f>
        <v/>
      </c>
    </row>
    <row r="1070">
      <c r="A1070" s="120" t="n">
        <v>46239</v>
      </c>
      <c r="B1070" s="66" t="inlineStr">
        <is>
          <t>Wk 32</t>
        </is>
      </c>
      <c r="C1070" s="66" t="inlineStr">
        <is>
          <t>Wed</t>
        </is>
      </c>
      <c r="D1070" s="66" t="inlineStr">
        <is>
          <t>TikTok</t>
        </is>
      </c>
      <c r="E1070" s="66" t="inlineStr">
        <is>
          <t>TikTok</t>
        </is>
      </c>
      <c r="F1070" s="66" t="inlineStr">
        <is>
          <t>LEP_ZA_AUG26_TT_TD_AMUR_CONV</t>
        </is>
      </c>
      <c r="G1070" s="66" t="inlineStr">
        <is>
          <t>Website Conversions</t>
        </is>
      </c>
      <c r="H1070" s="66" t="inlineStr">
        <is>
          <t>AMUR</t>
        </is>
      </c>
      <c r="I1070" s="66" t="inlineStr">
        <is>
          <t>0% Deposit</t>
        </is>
      </c>
      <c r="J1070" s="66" t="inlineStr">
        <is>
          <t>TT_AMUR_INT_AUTO_ZA</t>
        </is>
      </c>
      <c r="K1070" s="66" t="inlineStr">
        <is>
          <t>Interest</t>
        </is>
      </c>
      <c r="L1070" s="66" t="inlineStr">
        <is>
          <t>TT_AMUR_UGC_20s_Walkthrough_v1</t>
        </is>
      </c>
      <c r="M1070" s="66" t="inlineStr">
        <is>
          <t>Video 9:16</t>
        </is>
      </c>
      <c r="N1070" s="66" t="inlineStr">
        <is>
          <t>Full walkaround, no filter</t>
        </is>
      </c>
      <c r="O1070" s="66" t="inlineStr">
        <is>
          <t>Auction - Lowest Cost</t>
        </is>
      </c>
      <c r="P1070" s="66" t="inlineStr">
        <is>
          <t>Complete Payment / Lead</t>
        </is>
      </c>
      <c r="Q1070" s="66" t="inlineStr">
        <is>
          <t>https://www.lepas-sa.co.za/offers/amur</t>
        </is>
      </c>
      <c r="R1070" s="121" t="n">
        <v>236.71</v>
      </c>
      <c r="S1070" s="122" t="n">
        <v>5010</v>
      </c>
      <c r="T1070" s="122" t="n">
        <v>3031</v>
      </c>
      <c r="U1070" s="123">
        <f>IFERROR(S1070/T1070,"")</f>
        <v/>
      </c>
      <c r="V1070" s="122" t="n">
        <v>81</v>
      </c>
      <c r="W1070" s="122" t="n">
        <v>57</v>
      </c>
      <c r="X1070" s="124">
        <f>IFERROR(W1070/S1070,"")</f>
        <v/>
      </c>
      <c r="Y1070" s="121">
        <f>IFERROR(R1070/W1070,"")</f>
        <v/>
      </c>
      <c r="Z1070" s="121">
        <f>IFERROR(R1070/S1070*1000,"")</f>
        <v/>
      </c>
      <c r="AA1070" s="122" t="n">
        <v>41</v>
      </c>
      <c r="AB1070" s="54">
        <f>IFERROR(AA1070/W1070,"")</f>
        <v/>
      </c>
      <c r="AC1070" s="122" t="n">
        <v>1122</v>
      </c>
      <c r="AD1070" s="122" t="n">
        <v>674</v>
      </c>
      <c r="AE1070" s="122" t="n">
        <v>511</v>
      </c>
      <c r="AF1070" s="122" t="n">
        <v>302</v>
      </c>
      <c r="AG1070" s="122" t="n">
        <v>225</v>
      </c>
      <c r="AH1070" s="122" t="n">
        <v>149</v>
      </c>
      <c r="AI1070" s="54">
        <f>IFERROR(AC1070/S1070,"")</f>
        <v/>
      </c>
      <c r="AJ1070" s="54">
        <f>IFERROR(AH1070/S1070,"")</f>
        <v/>
      </c>
      <c r="AK1070" s="122" t="n">
        <v>210</v>
      </c>
      <c r="AL1070" s="122" t="n">
        <v>0</v>
      </c>
      <c r="AM1070" s="124">
        <f>IFERROR(AL1070/AA1070,"")</f>
        <v/>
      </c>
      <c r="AN1070" s="125">
        <f>IFERROR(R1070/AL1070,"")</f>
        <v/>
      </c>
      <c r="AO1070" s="122" t="n">
        <v>0</v>
      </c>
      <c r="AP1070" s="54">
        <f>IFERROR(AO1070/AL1070,"")</f>
        <v/>
      </c>
      <c r="AQ1070" s="125">
        <f>IFERROR(R1070/AO1070,"")</f>
        <v/>
      </c>
      <c r="AR1070" s="122" t="n">
        <v>0</v>
      </c>
      <c r="AS1070" s="122" t="n">
        <v>0</v>
      </c>
      <c r="AT1070" s="122">
        <f>AL1070+AR1070</f>
        <v/>
      </c>
      <c r="AU1070" s="125">
        <f>IFERROR(AO1070*Assumptions!$C$26*Assumptions!$C$27*INDEX(Assumptions!$C$18:$C$21,MATCH(H1070,Assumptions!$B$18:$B$21,0)),0)</f>
        <v/>
      </c>
    </row>
    <row r="1071">
      <c r="A1071" s="120" t="n">
        <v>46240</v>
      </c>
      <c r="B1071" s="66" t="inlineStr">
        <is>
          <t>Wk 32</t>
        </is>
      </c>
      <c r="C1071" s="66" t="inlineStr">
        <is>
          <t>Thu</t>
        </is>
      </c>
      <c r="D1071" s="66" t="inlineStr">
        <is>
          <t>TikTok</t>
        </is>
      </c>
      <c r="E1071" s="66" t="inlineStr">
        <is>
          <t>TikTok</t>
        </is>
      </c>
      <c r="F1071" s="66" t="inlineStr">
        <is>
          <t>LEP_ZA_AUG26_TT_TD_AMUR_CONV</t>
        </is>
      </c>
      <c r="G1071" s="66" t="inlineStr">
        <is>
          <t>Website Conversions</t>
        </is>
      </c>
      <c r="H1071" s="66" t="inlineStr">
        <is>
          <t>AMUR</t>
        </is>
      </c>
      <c r="I1071" s="66" t="inlineStr">
        <is>
          <t>0% Deposit</t>
        </is>
      </c>
      <c r="J1071" s="66" t="inlineStr">
        <is>
          <t>TT_AMUR_INT_AUTO_ZA</t>
        </is>
      </c>
      <c r="K1071" s="66" t="inlineStr">
        <is>
          <t>Interest</t>
        </is>
      </c>
      <c r="L1071" s="66" t="inlineStr">
        <is>
          <t>TT_AMUR_UGC_20s_Walkthrough_v1</t>
        </is>
      </c>
      <c r="M1071" s="66" t="inlineStr">
        <is>
          <t>Video 9:16</t>
        </is>
      </c>
      <c r="N1071" s="66" t="inlineStr">
        <is>
          <t>Full walkaround, no filter</t>
        </is>
      </c>
      <c r="O1071" s="66" t="inlineStr">
        <is>
          <t>Auction - Lowest Cost</t>
        </is>
      </c>
      <c r="P1071" s="66" t="inlineStr">
        <is>
          <t>Complete Payment / Lead</t>
        </is>
      </c>
      <c r="Q1071" s="66" t="inlineStr">
        <is>
          <t>https://www.lepas-sa.co.za/offers/amur</t>
        </is>
      </c>
      <c r="R1071" s="121" t="n">
        <v>222.92</v>
      </c>
      <c r="S1071" s="122" t="n">
        <v>5494</v>
      </c>
      <c r="T1071" s="122" t="n">
        <v>3109</v>
      </c>
      <c r="U1071" s="123">
        <f>IFERROR(S1071/T1071,"")</f>
        <v/>
      </c>
      <c r="V1071" s="122" t="n">
        <v>74</v>
      </c>
      <c r="W1071" s="122" t="n">
        <v>54</v>
      </c>
      <c r="X1071" s="124">
        <f>IFERROR(W1071/S1071,"")</f>
        <v/>
      </c>
      <c r="Y1071" s="121">
        <f>IFERROR(R1071/W1071,"")</f>
        <v/>
      </c>
      <c r="Z1071" s="121">
        <f>IFERROR(R1071/S1071*1000,"")</f>
        <v/>
      </c>
      <c r="AA1071" s="122" t="n">
        <v>37</v>
      </c>
      <c r="AB1071" s="54">
        <f>IFERROR(AA1071/W1071,"")</f>
        <v/>
      </c>
      <c r="AC1071" s="122" t="n">
        <v>1486</v>
      </c>
      <c r="AD1071" s="122" t="n">
        <v>740</v>
      </c>
      <c r="AE1071" s="122" t="n">
        <v>584</v>
      </c>
      <c r="AF1071" s="122" t="n">
        <v>367</v>
      </c>
      <c r="AG1071" s="122" t="n">
        <v>265</v>
      </c>
      <c r="AH1071" s="122" t="n">
        <v>175</v>
      </c>
      <c r="AI1071" s="54">
        <f>IFERROR(AC1071/S1071,"")</f>
        <v/>
      </c>
      <c r="AJ1071" s="54">
        <f>IFERROR(AH1071/S1071,"")</f>
        <v/>
      </c>
      <c r="AK1071" s="122" t="n">
        <v>315</v>
      </c>
      <c r="AL1071" s="122" t="n">
        <v>0</v>
      </c>
      <c r="AM1071" s="124">
        <f>IFERROR(AL1071/AA1071,"")</f>
        <v/>
      </c>
      <c r="AN1071" s="125">
        <f>IFERROR(R1071/AL1071,"")</f>
        <v/>
      </c>
      <c r="AO1071" s="122" t="n">
        <v>0</v>
      </c>
      <c r="AP1071" s="54">
        <f>IFERROR(AO1071/AL1071,"")</f>
        <v/>
      </c>
      <c r="AQ1071" s="125">
        <f>IFERROR(R1071/AO1071,"")</f>
        <v/>
      </c>
      <c r="AR1071" s="122" t="n">
        <v>0</v>
      </c>
      <c r="AS1071" s="122" t="n">
        <v>0</v>
      </c>
      <c r="AT1071" s="122">
        <f>AL1071+AR1071</f>
        <v/>
      </c>
      <c r="AU1071" s="125">
        <f>IFERROR(AO1071*Assumptions!$C$26*Assumptions!$C$27*INDEX(Assumptions!$C$18:$C$21,MATCH(H1071,Assumptions!$B$18:$B$21,0)),0)</f>
        <v/>
      </c>
    </row>
    <row r="1072">
      <c r="A1072" s="120" t="n">
        <v>46241</v>
      </c>
      <c r="B1072" s="66" t="inlineStr">
        <is>
          <t>Wk 32</t>
        </is>
      </c>
      <c r="C1072" s="66" t="inlineStr">
        <is>
          <t>Fri</t>
        </is>
      </c>
      <c r="D1072" s="66" t="inlineStr">
        <is>
          <t>TikTok</t>
        </is>
      </c>
      <c r="E1072" s="66" t="inlineStr">
        <is>
          <t>TikTok</t>
        </is>
      </c>
      <c r="F1072" s="66" t="inlineStr">
        <is>
          <t>LEP_ZA_AUG26_TT_TD_AMUR_CONV</t>
        </is>
      </c>
      <c r="G1072" s="66" t="inlineStr">
        <is>
          <t>Website Conversions</t>
        </is>
      </c>
      <c r="H1072" s="66" t="inlineStr">
        <is>
          <t>AMUR</t>
        </is>
      </c>
      <c r="I1072" s="66" t="inlineStr">
        <is>
          <t>0% Deposit</t>
        </is>
      </c>
      <c r="J1072" s="66" t="inlineStr">
        <is>
          <t>TT_AMUR_INT_AUTO_ZA</t>
        </is>
      </c>
      <c r="K1072" s="66" t="inlineStr">
        <is>
          <t>Interest</t>
        </is>
      </c>
      <c r="L1072" s="66" t="inlineStr">
        <is>
          <t>TT_AMUR_UGC_20s_Walkthrough_v1</t>
        </is>
      </c>
      <c r="M1072" s="66" t="inlineStr">
        <is>
          <t>Video 9:16</t>
        </is>
      </c>
      <c r="N1072" s="66" t="inlineStr">
        <is>
          <t>Full walkaround, no filter</t>
        </is>
      </c>
      <c r="O1072" s="66" t="inlineStr">
        <is>
          <t>Auction - Lowest Cost</t>
        </is>
      </c>
      <c r="P1072" s="66" t="inlineStr">
        <is>
          <t>Complete Payment / Lead</t>
        </is>
      </c>
      <c r="Q1072" s="66" t="inlineStr">
        <is>
          <t>https://www.lepas-sa.co.za/offers/amur</t>
        </is>
      </c>
      <c r="R1072" s="121" t="n">
        <v>257.47</v>
      </c>
      <c r="S1072" s="122" t="n">
        <v>8018</v>
      </c>
      <c r="T1072" s="122" t="n">
        <v>4471</v>
      </c>
      <c r="U1072" s="123">
        <f>IFERROR(S1072/T1072,"")</f>
        <v/>
      </c>
      <c r="V1072" s="122" t="n">
        <v>85</v>
      </c>
      <c r="W1072" s="122" t="n">
        <v>67</v>
      </c>
      <c r="X1072" s="124">
        <f>IFERROR(W1072/S1072,"")</f>
        <v/>
      </c>
      <c r="Y1072" s="121">
        <f>IFERROR(R1072/W1072,"")</f>
        <v/>
      </c>
      <c r="Z1072" s="121">
        <f>IFERROR(R1072/S1072*1000,"")</f>
        <v/>
      </c>
      <c r="AA1072" s="122" t="n">
        <v>44</v>
      </c>
      <c r="AB1072" s="54">
        <f>IFERROR(AA1072/W1072,"")</f>
        <v/>
      </c>
      <c r="AC1072" s="122" t="n">
        <v>3161</v>
      </c>
      <c r="AD1072" s="122" t="n">
        <v>1698</v>
      </c>
      <c r="AE1072" s="122" t="n">
        <v>1677</v>
      </c>
      <c r="AF1072" s="122" t="n">
        <v>1128</v>
      </c>
      <c r="AG1072" s="122" t="n">
        <v>859</v>
      </c>
      <c r="AH1072" s="122" t="n">
        <v>519</v>
      </c>
      <c r="AI1072" s="54">
        <f>IFERROR(AC1072/S1072,"")</f>
        <v/>
      </c>
      <c r="AJ1072" s="54">
        <f>IFERROR(AH1072/S1072,"")</f>
        <v/>
      </c>
      <c r="AK1072" s="122" t="n">
        <v>317</v>
      </c>
      <c r="AL1072" s="122" t="n">
        <v>1</v>
      </c>
      <c r="AM1072" s="124">
        <f>IFERROR(AL1072/AA1072,"")</f>
        <v/>
      </c>
      <c r="AN1072" s="125">
        <f>IFERROR(R1072/AL1072,"")</f>
        <v/>
      </c>
      <c r="AO1072" s="122" t="n">
        <v>1</v>
      </c>
      <c r="AP1072" s="54">
        <f>IFERROR(AO1072/AL1072,"")</f>
        <v/>
      </c>
      <c r="AQ1072" s="125">
        <f>IFERROR(R1072/AO1072,"")</f>
        <v/>
      </c>
      <c r="AR1072" s="122" t="n">
        <v>0</v>
      </c>
      <c r="AS1072" s="122" t="n">
        <v>1</v>
      </c>
      <c r="AT1072" s="122">
        <f>AL1072+AR1072</f>
        <v/>
      </c>
      <c r="AU1072" s="125">
        <f>IFERROR(AO1072*Assumptions!$C$26*Assumptions!$C$27*INDEX(Assumptions!$C$18:$C$21,MATCH(H1072,Assumptions!$B$18:$B$21,0)),0)</f>
        <v/>
      </c>
    </row>
    <row r="1073">
      <c r="A1073" s="120" t="n">
        <v>46242</v>
      </c>
      <c r="B1073" s="66" t="inlineStr">
        <is>
          <t>Wk 32</t>
        </is>
      </c>
      <c r="C1073" s="66" t="inlineStr">
        <is>
          <t>Sat</t>
        </is>
      </c>
      <c r="D1073" s="66" t="inlineStr">
        <is>
          <t>TikTok</t>
        </is>
      </c>
      <c r="E1073" s="66" t="inlineStr">
        <is>
          <t>TikTok</t>
        </is>
      </c>
      <c r="F1073" s="66" t="inlineStr">
        <is>
          <t>LEP_ZA_AUG26_TT_TD_AMUR_CONV</t>
        </is>
      </c>
      <c r="G1073" s="66" t="inlineStr">
        <is>
          <t>Website Conversions</t>
        </is>
      </c>
      <c r="H1073" s="66" t="inlineStr">
        <is>
          <t>AMUR</t>
        </is>
      </c>
      <c r="I1073" s="66" t="inlineStr">
        <is>
          <t>0% Deposit</t>
        </is>
      </c>
      <c r="J1073" s="66" t="inlineStr">
        <is>
          <t>TT_AMUR_INT_AUTO_ZA</t>
        </is>
      </c>
      <c r="K1073" s="66" t="inlineStr">
        <is>
          <t>Interest</t>
        </is>
      </c>
      <c r="L1073" s="66" t="inlineStr">
        <is>
          <t>TT_AMUR_UGC_20s_Walkthrough_v1</t>
        </is>
      </c>
      <c r="M1073" s="66" t="inlineStr">
        <is>
          <t>Video 9:16</t>
        </is>
      </c>
      <c r="N1073" s="66" t="inlineStr">
        <is>
          <t>Full walkaround, no filter</t>
        </is>
      </c>
      <c r="O1073" s="66" t="inlineStr">
        <is>
          <t>Auction - Lowest Cost</t>
        </is>
      </c>
      <c r="P1073" s="66" t="inlineStr">
        <is>
          <t>Complete Payment / Lead</t>
        </is>
      </c>
      <c r="Q1073" s="66" t="inlineStr">
        <is>
          <t>https://www.lepas-sa.co.za/offers/amur</t>
        </is>
      </c>
      <c r="R1073" s="121" t="n">
        <v>240.55</v>
      </c>
      <c r="S1073" s="122" t="n">
        <v>6475</v>
      </c>
      <c r="T1073" s="122" t="n">
        <v>5112</v>
      </c>
      <c r="U1073" s="123">
        <f>IFERROR(S1073/T1073,"")</f>
        <v/>
      </c>
      <c r="V1073" s="122" t="n">
        <v>56</v>
      </c>
      <c r="W1073" s="122" t="n">
        <v>41</v>
      </c>
      <c r="X1073" s="124">
        <f>IFERROR(W1073/S1073,"")</f>
        <v/>
      </c>
      <c r="Y1073" s="121">
        <f>IFERROR(R1073/W1073,"")</f>
        <v/>
      </c>
      <c r="Z1073" s="121">
        <f>IFERROR(R1073/S1073*1000,"")</f>
        <v/>
      </c>
      <c r="AA1073" s="122" t="n">
        <v>27</v>
      </c>
      <c r="AB1073" s="54">
        <f>IFERROR(AA1073/W1073,"")</f>
        <v/>
      </c>
      <c r="AC1073" s="122" t="n">
        <v>1771</v>
      </c>
      <c r="AD1073" s="122" t="n">
        <v>829</v>
      </c>
      <c r="AE1073" s="122" t="n">
        <v>720</v>
      </c>
      <c r="AF1073" s="122" t="n">
        <v>404</v>
      </c>
      <c r="AG1073" s="122" t="n">
        <v>290</v>
      </c>
      <c r="AH1073" s="122" t="n">
        <v>195</v>
      </c>
      <c r="AI1073" s="54">
        <f>IFERROR(AC1073/S1073,"")</f>
        <v/>
      </c>
      <c r="AJ1073" s="54">
        <f>IFERROR(AH1073/S1073,"")</f>
        <v/>
      </c>
      <c r="AK1073" s="122" t="n">
        <v>371</v>
      </c>
      <c r="AL1073" s="122" t="n">
        <v>0</v>
      </c>
      <c r="AM1073" s="124">
        <f>IFERROR(AL1073/AA1073,"")</f>
        <v/>
      </c>
      <c r="AN1073" s="125">
        <f>IFERROR(R1073/AL1073,"")</f>
        <v/>
      </c>
      <c r="AO1073" s="122" t="n">
        <v>0</v>
      </c>
      <c r="AP1073" s="54">
        <f>IFERROR(AO1073/AL1073,"")</f>
        <v/>
      </c>
      <c r="AQ1073" s="125">
        <f>IFERROR(R1073/AO1073,"")</f>
        <v/>
      </c>
      <c r="AR1073" s="122" t="n">
        <v>0</v>
      </c>
      <c r="AS1073" s="122" t="n">
        <v>0</v>
      </c>
      <c r="AT1073" s="122">
        <f>AL1073+AR1073</f>
        <v/>
      </c>
      <c r="AU1073" s="125">
        <f>IFERROR(AO1073*Assumptions!$C$26*Assumptions!$C$27*INDEX(Assumptions!$C$18:$C$21,MATCH(H1073,Assumptions!$B$18:$B$21,0)),0)</f>
        <v/>
      </c>
    </row>
    <row r="1074">
      <c r="A1074" s="120" t="n">
        <v>46243</v>
      </c>
      <c r="B1074" s="66" t="inlineStr">
        <is>
          <t>Wk 32</t>
        </is>
      </c>
      <c r="C1074" s="66" t="inlineStr">
        <is>
          <t>Sun</t>
        </is>
      </c>
      <c r="D1074" s="66" t="inlineStr">
        <is>
          <t>TikTok</t>
        </is>
      </c>
      <c r="E1074" s="66" t="inlineStr">
        <is>
          <t>TikTok</t>
        </is>
      </c>
      <c r="F1074" s="66" t="inlineStr">
        <is>
          <t>LEP_ZA_AUG26_TT_TD_AMUR_CONV</t>
        </is>
      </c>
      <c r="G1074" s="66" t="inlineStr">
        <is>
          <t>Website Conversions</t>
        </is>
      </c>
      <c r="H1074" s="66" t="inlineStr">
        <is>
          <t>AMUR</t>
        </is>
      </c>
      <c r="I1074" s="66" t="inlineStr">
        <is>
          <t>0% Deposit</t>
        </is>
      </c>
      <c r="J1074" s="66" t="inlineStr">
        <is>
          <t>TT_AMUR_INT_AUTO_ZA</t>
        </is>
      </c>
      <c r="K1074" s="66" t="inlineStr">
        <is>
          <t>Interest</t>
        </is>
      </c>
      <c r="L1074" s="66" t="inlineStr">
        <is>
          <t>TT_AMUR_UGC_20s_Walkthrough_v1</t>
        </is>
      </c>
      <c r="M1074" s="66" t="inlineStr">
        <is>
          <t>Video 9:16</t>
        </is>
      </c>
      <c r="N1074" s="66" t="inlineStr">
        <is>
          <t>Full walkaround, no filter</t>
        </is>
      </c>
      <c r="O1074" s="66" t="inlineStr">
        <is>
          <t>Auction - Lowest Cost</t>
        </is>
      </c>
      <c r="P1074" s="66" t="inlineStr">
        <is>
          <t>Complete Payment / Lead</t>
        </is>
      </c>
      <c r="Q1074" s="66" t="inlineStr">
        <is>
          <t>https://www.lepas-sa.co.za/offers/amur</t>
        </is>
      </c>
      <c r="R1074" s="121" t="n">
        <v>211.33</v>
      </c>
      <c r="S1074" s="122" t="n">
        <v>5250</v>
      </c>
      <c r="T1074" s="122" t="n">
        <v>3684</v>
      </c>
      <c r="U1074" s="123">
        <f>IFERROR(S1074/T1074,"")</f>
        <v/>
      </c>
      <c r="V1074" s="122" t="n">
        <v>82</v>
      </c>
      <c r="W1074" s="122" t="n">
        <v>58</v>
      </c>
      <c r="X1074" s="124">
        <f>IFERROR(W1074/S1074,"")</f>
        <v/>
      </c>
      <c r="Y1074" s="121">
        <f>IFERROR(R1074/W1074,"")</f>
        <v/>
      </c>
      <c r="Z1074" s="121">
        <f>IFERROR(R1074/S1074*1000,"")</f>
        <v/>
      </c>
      <c r="AA1074" s="122" t="n">
        <v>41</v>
      </c>
      <c r="AB1074" s="54">
        <f>IFERROR(AA1074/W1074,"")</f>
        <v/>
      </c>
      <c r="AC1074" s="122" t="n">
        <v>2150</v>
      </c>
      <c r="AD1074" s="122" t="n">
        <v>1123</v>
      </c>
      <c r="AE1074" s="122" t="n">
        <v>970</v>
      </c>
      <c r="AF1074" s="122" t="n">
        <v>528</v>
      </c>
      <c r="AG1074" s="122" t="n">
        <v>417</v>
      </c>
      <c r="AH1074" s="122" t="n">
        <v>289</v>
      </c>
      <c r="AI1074" s="54">
        <f>IFERROR(AC1074/S1074,"")</f>
        <v/>
      </c>
      <c r="AJ1074" s="54">
        <f>IFERROR(AH1074/S1074,"")</f>
        <v/>
      </c>
      <c r="AK1074" s="122" t="n">
        <v>271</v>
      </c>
      <c r="AL1074" s="122" t="n">
        <v>0</v>
      </c>
      <c r="AM1074" s="124">
        <f>IFERROR(AL1074/AA1074,"")</f>
        <v/>
      </c>
      <c r="AN1074" s="125">
        <f>IFERROR(R1074/AL1074,"")</f>
        <v/>
      </c>
      <c r="AO1074" s="122" t="n">
        <v>0</v>
      </c>
      <c r="AP1074" s="54">
        <f>IFERROR(AO1074/AL1074,"")</f>
        <v/>
      </c>
      <c r="AQ1074" s="125">
        <f>IFERROR(R1074/AO1074,"")</f>
        <v/>
      </c>
      <c r="AR1074" s="122" t="n">
        <v>0</v>
      </c>
      <c r="AS1074" s="122" t="n">
        <v>0</v>
      </c>
      <c r="AT1074" s="122">
        <f>AL1074+AR1074</f>
        <v/>
      </c>
      <c r="AU1074" s="125">
        <f>IFERROR(AO1074*Assumptions!$C$26*Assumptions!$C$27*INDEX(Assumptions!$C$18:$C$21,MATCH(H1074,Assumptions!$B$18:$B$21,0)),0)</f>
        <v/>
      </c>
    </row>
    <row r="1075">
      <c r="A1075" s="120" t="n">
        <v>46244</v>
      </c>
      <c r="B1075" s="66" t="inlineStr">
        <is>
          <t>Wk 33</t>
        </is>
      </c>
      <c r="C1075" s="66" t="inlineStr">
        <is>
          <t>Mon</t>
        </is>
      </c>
      <c r="D1075" s="66" t="inlineStr">
        <is>
          <t>TikTok</t>
        </is>
      </c>
      <c r="E1075" s="66" t="inlineStr">
        <is>
          <t>TikTok</t>
        </is>
      </c>
      <c r="F1075" s="66" t="inlineStr">
        <is>
          <t>LEP_ZA_AUG26_TT_TD_AMUR_CONV</t>
        </is>
      </c>
      <c r="G1075" s="66" t="inlineStr">
        <is>
          <t>Website Conversions</t>
        </is>
      </c>
      <c r="H1075" s="66" t="inlineStr">
        <is>
          <t>AMUR</t>
        </is>
      </c>
      <c r="I1075" s="66" t="inlineStr">
        <is>
          <t>0% Deposit</t>
        </is>
      </c>
      <c r="J1075" s="66" t="inlineStr">
        <is>
          <t>TT_AMUR_INT_AUTO_ZA</t>
        </is>
      </c>
      <c r="K1075" s="66" t="inlineStr">
        <is>
          <t>Interest</t>
        </is>
      </c>
      <c r="L1075" s="66" t="inlineStr">
        <is>
          <t>TT_AMUR_UGC_20s_Walkthrough_v1</t>
        </is>
      </c>
      <c r="M1075" s="66" t="inlineStr">
        <is>
          <t>Video 9:16</t>
        </is>
      </c>
      <c r="N1075" s="66" t="inlineStr">
        <is>
          <t>Full walkaround, no filter</t>
        </is>
      </c>
      <c r="O1075" s="66" t="inlineStr">
        <is>
          <t>Auction - Lowest Cost</t>
        </is>
      </c>
      <c r="P1075" s="66" t="inlineStr">
        <is>
          <t>Complete Payment / Lead</t>
        </is>
      </c>
      <c r="Q1075" s="66" t="inlineStr">
        <is>
          <t>https://www.lepas-sa.co.za/offers/amur</t>
        </is>
      </c>
      <c r="R1075" s="121" t="n">
        <v>264.21</v>
      </c>
      <c r="S1075" s="122" t="n">
        <v>8850</v>
      </c>
      <c r="T1075" s="122" t="n">
        <v>5423</v>
      </c>
      <c r="U1075" s="123">
        <f>IFERROR(S1075/T1075,"")</f>
        <v/>
      </c>
      <c r="V1075" s="122" t="n">
        <v>144</v>
      </c>
      <c r="W1075" s="122" t="n">
        <v>105</v>
      </c>
      <c r="X1075" s="124">
        <f>IFERROR(W1075/S1075,"")</f>
        <v/>
      </c>
      <c r="Y1075" s="121">
        <f>IFERROR(R1075/W1075,"")</f>
        <v/>
      </c>
      <c r="Z1075" s="121">
        <f>IFERROR(R1075/S1075*1000,"")</f>
        <v/>
      </c>
      <c r="AA1075" s="122" t="n">
        <v>65</v>
      </c>
      <c r="AB1075" s="54">
        <f>IFERROR(AA1075/W1075,"")</f>
        <v/>
      </c>
      <c r="AC1075" s="122" t="n">
        <v>3526</v>
      </c>
      <c r="AD1075" s="122" t="n">
        <v>2192</v>
      </c>
      <c r="AE1075" s="122" t="n">
        <v>1553</v>
      </c>
      <c r="AF1075" s="122" t="n">
        <v>867</v>
      </c>
      <c r="AG1075" s="122" t="n">
        <v>673</v>
      </c>
      <c r="AH1075" s="122" t="n">
        <v>429</v>
      </c>
      <c r="AI1075" s="54">
        <f>IFERROR(AC1075/S1075,"")</f>
        <v/>
      </c>
      <c r="AJ1075" s="54">
        <f>IFERROR(AH1075/S1075,"")</f>
        <v/>
      </c>
      <c r="AK1075" s="122" t="n">
        <v>475</v>
      </c>
      <c r="AL1075" s="122" t="n">
        <v>1</v>
      </c>
      <c r="AM1075" s="124">
        <f>IFERROR(AL1075/AA1075,"")</f>
        <v/>
      </c>
      <c r="AN1075" s="125">
        <f>IFERROR(R1075/AL1075,"")</f>
        <v/>
      </c>
      <c r="AO1075" s="122" t="n">
        <v>0</v>
      </c>
      <c r="AP1075" s="54">
        <f>IFERROR(AO1075/AL1075,"")</f>
        <v/>
      </c>
      <c r="AQ1075" s="125">
        <f>IFERROR(R1075/AO1075,"")</f>
        <v/>
      </c>
      <c r="AR1075" s="122" t="n">
        <v>0</v>
      </c>
      <c r="AS1075" s="122" t="n">
        <v>1</v>
      </c>
      <c r="AT1075" s="122">
        <f>AL1075+AR1075</f>
        <v/>
      </c>
      <c r="AU1075" s="125">
        <f>IFERROR(AO1075*Assumptions!$C$26*Assumptions!$C$27*INDEX(Assumptions!$C$18:$C$21,MATCH(H1075,Assumptions!$B$18:$B$21,0)),0)</f>
        <v/>
      </c>
    </row>
    <row r="1076">
      <c r="A1076" s="120" t="n">
        <v>46245</v>
      </c>
      <c r="B1076" s="66" t="inlineStr">
        <is>
          <t>Wk 33</t>
        </is>
      </c>
      <c r="C1076" s="66" t="inlineStr">
        <is>
          <t>Tue</t>
        </is>
      </c>
      <c r="D1076" s="66" t="inlineStr">
        <is>
          <t>TikTok</t>
        </is>
      </c>
      <c r="E1076" s="66" t="inlineStr">
        <is>
          <t>TikTok</t>
        </is>
      </c>
      <c r="F1076" s="66" t="inlineStr">
        <is>
          <t>LEP_ZA_AUG26_TT_TD_AMUR_CONV</t>
        </is>
      </c>
      <c r="G1076" s="66" t="inlineStr">
        <is>
          <t>Website Conversions</t>
        </is>
      </c>
      <c r="H1076" s="66" t="inlineStr">
        <is>
          <t>AMUR</t>
        </is>
      </c>
      <c r="I1076" s="66" t="inlineStr">
        <is>
          <t>0% Deposit</t>
        </is>
      </c>
      <c r="J1076" s="66" t="inlineStr">
        <is>
          <t>TT_AMUR_INT_AUTO_ZA</t>
        </is>
      </c>
      <c r="K1076" s="66" t="inlineStr">
        <is>
          <t>Interest</t>
        </is>
      </c>
      <c r="L1076" s="66" t="inlineStr">
        <is>
          <t>TT_AMUR_UGC_20s_Walkthrough_v1</t>
        </is>
      </c>
      <c r="M1076" s="66" t="inlineStr">
        <is>
          <t>Video 9:16</t>
        </is>
      </c>
      <c r="N1076" s="66" t="inlineStr">
        <is>
          <t>Full walkaround, no filter</t>
        </is>
      </c>
      <c r="O1076" s="66" t="inlineStr">
        <is>
          <t>Auction - Lowest Cost</t>
        </is>
      </c>
      <c r="P1076" s="66" t="inlineStr">
        <is>
          <t>Complete Payment / Lead</t>
        </is>
      </c>
      <c r="Q1076" s="66" t="inlineStr">
        <is>
          <t>https://www.lepas-sa.co.za/offers/amur</t>
        </is>
      </c>
      <c r="R1076" s="121" t="n">
        <v>216.53</v>
      </c>
      <c r="S1076" s="122" t="n">
        <v>5878</v>
      </c>
      <c r="T1076" s="122" t="n">
        <v>3588</v>
      </c>
      <c r="U1076" s="123">
        <f>IFERROR(S1076/T1076,"")</f>
        <v/>
      </c>
      <c r="V1076" s="122" t="n">
        <v>40</v>
      </c>
      <c r="W1076" s="122" t="n">
        <v>28</v>
      </c>
      <c r="X1076" s="124">
        <f>IFERROR(W1076/S1076,"")</f>
        <v/>
      </c>
      <c r="Y1076" s="121">
        <f>IFERROR(R1076/W1076,"")</f>
        <v/>
      </c>
      <c r="Z1076" s="121">
        <f>IFERROR(R1076/S1076*1000,"")</f>
        <v/>
      </c>
      <c r="AA1076" s="122" t="n">
        <v>18</v>
      </c>
      <c r="AB1076" s="54">
        <f>IFERROR(AA1076/W1076,"")</f>
        <v/>
      </c>
      <c r="AC1076" s="122" t="n">
        <v>2346</v>
      </c>
      <c r="AD1076" s="122" t="n">
        <v>1466</v>
      </c>
      <c r="AE1076" s="122" t="n">
        <v>940</v>
      </c>
      <c r="AF1076" s="122" t="n">
        <v>629</v>
      </c>
      <c r="AG1076" s="122" t="n">
        <v>479</v>
      </c>
      <c r="AH1076" s="122" t="n">
        <v>351</v>
      </c>
      <c r="AI1076" s="54">
        <f>IFERROR(AC1076/S1076,"")</f>
        <v/>
      </c>
      <c r="AJ1076" s="54">
        <f>IFERROR(AH1076/S1076,"")</f>
        <v/>
      </c>
      <c r="AK1076" s="122" t="n">
        <v>274</v>
      </c>
      <c r="AL1076" s="122" t="n">
        <v>0</v>
      </c>
      <c r="AM1076" s="124">
        <f>IFERROR(AL1076/AA1076,"")</f>
        <v/>
      </c>
      <c r="AN1076" s="125">
        <f>IFERROR(R1076/AL1076,"")</f>
        <v/>
      </c>
      <c r="AO1076" s="122" t="n">
        <v>0</v>
      </c>
      <c r="AP1076" s="54">
        <f>IFERROR(AO1076/AL1076,"")</f>
        <v/>
      </c>
      <c r="AQ1076" s="125">
        <f>IFERROR(R1076/AO1076,"")</f>
        <v/>
      </c>
      <c r="AR1076" s="122" t="n">
        <v>0</v>
      </c>
      <c r="AS1076" s="122" t="n">
        <v>0</v>
      </c>
      <c r="AT1076" s="122">
        <f>AL1076+AR1076</f>
        <v/>
      </c>
      <c r="AU1076" s="125">
        <f>IFERROR(AO1076*Assumptions!$C$26*Assumptions!$C$27*INDEX(Assumptions!$C$18:$C$21,MATCH(H1076,Assumptions!$B$18:$B$21,0)),0)</f>
        <v/>
      </c>
    </row>
    <row r="1077">
      <c r="A1077" s="120" t="n">
        <v>46246</v>
      </c>
      <c r="B1077" s="66" t="inlineStr">
        <is>
          <t>Wk 33</t>
        </is>
      </c>
      <c r="C1077" s="66" t="inlineStr">
        <is>
          <t>Wed</t>
        </is>
      </c>
      <c r="D1077" s="66" t="inlineStr">
        <is>
          <t>TikTok</t>
        </is>
      </c>
      <c r="E1077" s="66" t="inlineStr">
        <is>
          <t>TikTok</t>
        </is>
      </c>
      <c r="F1077" s="66" t="inlineStr">
        <is>
          <t>LEP_ZA_AUG26_TT_TD_AMUR_CONV</t>
        </is>
      </c>
      <c r="G1077" s="66" t="inlineStr">
        <is>
          <t>Website Conversions</t>
        </is>
      </c>
      <c r="H1077" s="66" t="inlineStr">
        <is>
          <t>AMUR</t>
        </is>
      </c>
      <c r="I1077" s="66" t="inlineStr">
        <is>
          <t>0% Deposit</t>
        </is>
      </c>
      <c r="J1077" s="66" t="inlineStr">
        <is>
          <t>TT_AMUR_INT_AUTO_ZA</t>
        </is>
      </c>
      <c r="K1077" s="66" t="inlineStr">
        <is>
          <t>Interest</t>
        </is>
      </c>
      <c r="L1077" s="66" t="inlineStr">
        <is>
          <t>TT_AMUR_UGC_20s_Walkthrough_v1</t>
        </is>
      </c>
      <c r="M1077" s="66" t="inlineStr">
        <is>
          <t>Video 9:16</t>
        </is>
      </c>
      <c r="N1077" s="66" t="inlineStr">
        <is>
          <t>Full walkaround, no filter</t>
        </is>
      </c>
      <c r="O1077" s="66" t="inlineStr">
        <is>
          <t>Auction - Lowest Cost</t>
        </is>
      </c>
      <c r="P1077" s="66" t="inlineStr">
        <is>
          <t>Complete Payment / Lead</t>
        </is>
      </c>
      <c r="Q1077" s="66" t="inlineStr">
        <is>
          <t>https://www.lepas-sa.co.za/offers/amur</t>
        </is>
      </c>
      <c r="R1077" s="121" t="n">
        <v>197.89</v>
      </c>
      <c r="S1077" s="122" t="n">
        <v>6518</v>
      </c>
      <c r="T1077" s="122" t="n">
        <v>4733</v>
      </c>
      <c r="U1077" s="123">
        <f>IFERROR(S1077/T1077,"")</f>
        <v/>
      </c>
      <c r="V1077" s="122" t="n">
        <v>56</v>
      </c>
      <c r="W1077" s="122" t="n">
        <v>41</v>
      </c>
      <c r="X1077" s="124">
        <f>IFERROR(W1077/S1077,"")</f>
        <v/>
      </c>
      <c r="Y1077" s="121">
        <f>IFERROR(R1077/W1077,"")</f>
        <v/>
      </c>
      <c r="Z1077" s="121">
        <f>IFERROR(R1077/S1077*1000,"")</f>
        <v/>
      </c>
      <c r="AA1077" s="122" t="n">
        <v>28</v>
      </c>
      <c r="AB1077" s="54">
        <f>IFERROR(AA1077/W1077,"")</f>
        <v/>
      </c>
      <c r="AC1077" s="122" t="n">
        <v>2199</v>
      </c>
      <c r="AD1077" s="122" t="n">
        <v>1253</v>
      </c>
      <c r="AE1077" s="122" t="n">
        <v>1080</v>
      </c>
      <c r="AF1077" s="122" t="n">
        <v>589</v>
      </c>
      <c r="AG1077" s="122" t="n">
        <v>448</v>
      </c>
      <c r="AH1077" s="122" t="n">
        <v>319</v>
      </c>
      <c r="AI1077" s="54">
        <f>IFERROR(AC1077/S1077,"")</f>
        <v/>
      </c>
      <c r="AJ1077" s="54">
        <f>IFERROR(AH1077/S1077,"")</f>
        <v/>
      </c>
      <c r="AK1077" s="122" t="n">
        <v>233</v>
      </c>
      <c r="AL1077" s="122" t="n">
        <v>1</v>
      </c>
      <c r="AM1077" s="124">
        <f>IFERROR(AL1077/AA1077,"")</f>
        <v/>
      </c>
      <c r="AN1077" s="125">
        <f>IFERROR(R1077/AL1077,"")</f>
        <v/>
      </c>
      <c r="AO1077" s="122" t="n">
        <v>1</v>
      </c>
      <c r="AP1077" s="54">
        <f>IFERROR(AO1077/AL1077,"")</f>
        <v/>
      </c>
      <c r="AQ1077" s="125">
        <f>IFERROR(R1077/AO1077,"")</f>
        <v/>
      </c>
      <c r="AR1077" s="122" t="n">
        <v>0</v>
      </c>
      <c r="AS1077" s="122" t="n">
        <v>1</v>
      </c>
      <c r="AT1077" s="122">
        <f>AL1077+AR1077</f>
        <v/>
      </c>
      <c r="AU1077" s="125">
        <f>IFERROR(AO1077*Assumptions!$C$26*Assumptions!$C$27*INDEX(Assumptions!$C$18:$C$21,MATCH(H1077,Assumptions!$B$18:$B$21,0)),0)</f>
        <v/>
      </c>
    </row>
    <row r="1078">
      <c r="A1078" s="120" t="n">
        <v>46247</v>
      </c>
      <c r="B1078" s="66" t="inlineStr">
        <is>
          <t>Wk 33</t>
        </is>
      </c>
      <c r="C1078" s="66" t="inlineStr">
        <is>
          <t>Thu</t>
        </is>
      </c>
      <c r="D1078" s="66" t="inlineStr">
        <is>
          <t>TikTok</t>
        </is>
      </c>
      <c r="E1078" s="66" t="inlineStr">
        <is>
          <t>TikTok</t>
        </is>
      </c>
      <c r="F1078" s="66" t="inlineStr">
        <is>
          <t>LEP_ZA_AUG26_TT_TD_AMUR_CONV</t>
        </is>
      </c>
      <c r="G1078" s="66" t="inlineStr">
        <is>
          <t>Website Conversions</t>
        </is>
      </c>
      <c r="H1078" s="66" t="inlineStr">
        <is>
          <t>AMUR</t>
        </is>
      </c>
      <c r="I1078" s="66" t="inlineStr">
        <is>
          <t>0% Deposit</t>
        </is>
      </c>
      <c r="J1078" s="66" t="inlineStr">
        <is>
          <t>TT_AMUR_INT_AUTO_ZA</t>
        </is>
      </c>
      <c r="K1078" s="66" t="inlineStr">
        <is>
          <t>Interest</t>
        </is>
      </c>
      <c r="L1078" s="66" t="inlineStr">
        <is>
          <t>TT_AMUR_UGC_20s_Walkthrough_v1</t>
        </is>
      </c>
      <c r="M1078" s="66" t="inlineStr">
        <is>
          <t>Video 9:16</t>
        </is>
      </c>
      <c r="N1078" s="66" t="inlineStr">
        <is>
          <t>Full walkaround, no filter</t>
        </is>
      </c>
      <c r="O1078" s="66" t="inlineStr">
        <is>
          <t>Auction - Lowest Cost</t>
        </is>
      </c>
      <c r="P1078" s="66" t="inlineStr">
        <is>
          <t>Complete Payment / Lead</t>
        </is>
      </c>
      <c r="Q1078" s="66" t="inlineStr">
        <is>
          <t>https://www.lepas-sa.co.za/offers/amur</t>
        </is>
      </c>
      <c r="R1078" s="121" t="n">
        <v>281.41</v>
      </c>
      <c r="S1078" s="122" t="n">
        <v>9508</v>
      </c>
      <c r="T1078" s="122" t="n">
        <v>6760</v>
      </c>
      <c r="U1078" s="123">
        <f>IFERROR(S1078/T1078,"")</f>
        <v/>
      </c>
      <c r="V1078" s="122" t="n">
        <v>58</v>
      </c>
      <c r="W1078" s="122" t="n">
        <v>48</v>
      </c>
      <c r="X1078" s="124">
        <f>IFERROR(W1078/S1078,"")</f>
        <v/>
      </c>
      <c r="Y1078" s="121">
        <f>IFERROR(R1078/W1078,"")</f>
        <v/>
      </c>
      <c r="Z1078" s="121">
        <f>IFERROR(R1078/S1078*1000,"")</f>
        <v/>
      </c>
      <c r="AA1078" s="122" t="n">
        <v>33</v>
      </c>
      <c r="AB1078" s="54">
        <f>IFERROR(AA1078/W1078,"")</f>
        <v/>
      </c>
      <c r="AC1078" s="122" t="n">
        <v>2547</v>
      </c>
      <c r="AD1078" s="122" t="n">
        <v>1302</v>
      </c>
      <c r="AE1078" s="122" t="n">
        <v>1192</v>
      </c>
      <c r="AF1078" s="122" t="n">
        <v>623</v>
      </c>
      <c r="AG1078" s="122" t="n">
        <v>396</v>
      </c>
      <c r="AH1078" s="122" t="n">
        <v>264</v>
      </c>
      <c r="AI1078" s="54">
        <f>IFERROR(AC1078/S1078,"")</f>
        <v/>
      </c>
      <c r="AJ1078" s="54">
        <f>IFERROR(AH1078/S1078,"")</f>
        <v/>
      </c>
      <c r="AK1078" s="122" t="n">
        <v>329</v>
      </c>
      <c r="AL1078" s="122" t="n">
        <v>1</v>
      </c>
      <c r="AM1078" s="124">
        <f>IFERROR(AL1078/AA1078,"")</f>
        <v/>
      </c>
      <c r="AN1078" s="125">
        <f>IFERROR(R1078/AL1078,"")</f>
        <v/>
      </c>
      <c r="AO1078" s="122" t="n">
        <v>1</v>
      </c>
      <c r="AP1078" s="54">
        <f>IFERROR(AO1078/AL1078,"")</f>
        <v/>
      </c>
      <c r="AQ1078" s="125">
        <f>IFERROR(R1078/AO1078,"")</f>
        <v/>
      </c>
      <c r="AR1078" s="122" t="n">
        <v>1</v>
      </c>
      <c r="AS1078" s="122" t="n">
        <v>0</v>
      </c>
      <c r="AT1078" s="122">
        <f>AL1078+AR1078</f>
        <v/>
      </c>
      <c r="AU1078" s="125">
        <f>IFERROR(AO1078*Assumptions!$C$26*Assumptions!$C$27*INDEX(Assumptions!$C$18:$C$21,MATCH(H1078,Assumptions!$B$18:$B$21,0)),0)</f>
        <v/>
      </c>
    </row>
    <row r="1079">
      <c r="A1079" s="120" t="n">
        <v>46248</v>
      </c>
      <c r="B1079" s="66" t="inlineStr">
        <is>
          <t>Wk 33</t>
        </is>
      </c>
      <c r="C1079" s="66" t="inlineStr">
        <is>
          <t>Fri</t>
        </is>
      </c>
      <c r="D1079" s="66" t="inlineStr">
        <is>
          <t>TikTok</t>
        </is>
      </c>
      <c r="E1079" s="66" t="inlineStr">
        <is>
          <t>TikTok</t>
        </is>
      </c>
      <c r="F1079" s="66" t="inlineStr">
        <is>
          <t>LEP_ZA_AUG26_TT_TD_AMUR_CONV</t>
        </is>
      </c>
      <c r="G1079" s="66" t="inlineStr">
        <is>
          <t>Website Conversions</t>
        </is>
      </c>
      <c r="H1079" s="66" t="inlineStr">
        <is>
          <t>AMUR</t>
        </is>
      </c>
      <c r="I1079" s="66" t="inlineStr">
        <is>
          <t>0% Deposit</t>
        </is>
      </c>
      <c r="J1079" s="66" t="inlineStr">
        <is>
          <t>TT_AMUR_INT_AUTO_ZA</t>
        </is>
      </c>
      <c r="K1079" s="66" t="inlineStr">
        <is>
          <t>Interest</t>
        </is>
      </c>
      <c r="L1079" s="66" t="inlineStr">
        <is>
          <t>TT_AMUR_UGC_20s_Walkthrough_v1</t>
        </is>
      </c>
      <c r="M1079" s="66" t="inlineStr">
        <is>
          <t>Video 9:16</t>
        </is>
      </c>
      <c r="N1079" s="66" t="inlineStr">
        <is>
          <t>Full walkaround, no filter</t>
        </is>
      </c>
      <c r="O1079" s="66" t="inlineStr">
        <is>
          <t>Auction - Lowest Cost</t>
        </is>
      </c>
      <c r="P1079" s="66" t="inlineStr">
        <is>
          <t>Complete Payment / Lead</t>
        </is>
      </c>
      <c r="Q1079" s="66" t="inlineStr">
        <is>
          <t>https://www.lepas-sa.co.za/offers/amur</t>
        </is>
      </c>
      <c r="R1079" s="121" t="n">
        <v>262.41</v>
      </c>
      <c r="S1079" s="122" t="n">
        <v>5969</v>
      </c>
      <c r="T1079" s="122" t="n">
        <v>3486</v>
      </c>
      <c r="U1079" s="123">
        <f>IFERROR(S1079/T1079,"")</f>
        <v/>
      </c>
      <c r="V1079" s="122" t="n">
        <v>61</v>
      </c>
      <c r="W1079" s="122" t="n">
        <v>48</v>
      </c>
      <c r="X1079" s="124">
        <f>IFERROR(W1079/S1079,"")</f>
        <v/>
      </c>
      <c r="Y1079" s="121">
        <f>IFERROR(R1079/W1079,"")</f>
        <v/>
      </c>
      <c r="Z1079" s="121">
        <f>IFERROR(R1079/S1079*1000,"")</f>
        <v/>
      </c>
      <c r="AA1079" s="122" t="n">
        <v>30</v>
      </c>
      <c r="AB1079" s="54">
        <f>IFERROR(AA1079/W1079,"")</f>
        <v/>
      </c>
      <c r="AC1079" s="122" t="n">
        <v>1529</v>
      </c>
      <c r="AD1079" s="122" t="n">
        <v>859</v>
      </c>
      <c r="AE1079" s="122" t="n">
        <v>750</v>
      </c>
      <c r="AF1079" s="122" t="n">
        <v>440</v>
      </c>
      <c r="AG1079" s="122" t="n">
        <v>350</v>
      </c>
      <c r="AH1079" s="122" t="n">
        <v>223</v>
      </c>
      <c r="AI1079" s="54">
        <f>IFERROR(AC1079/S1079,"")</f>
        <v/>
      </c>
      <c r="AJ1079" s="54">
        <f>IFERROR(AH1079/S1079,"")</f>
        <v/>
      </c>
      <c r="AK1079" s="122" t="n">
        <v>245</v>
      </c>
      <c r="AL1079" s="122" t="n">
        <v>1</v>
      </c>
      <c r="AM1079" s="124">
        <f>IFERROR(AL1079/AA1079,"")</f>
        <v/>
      </c>
      <c r="AN1079" s="125">
        <f>IFERROR(R1079/AL1079,"")</f>
        <v/>
      </c>
      <c r="AO1079" s="122" t="n">
        <v>1</v>
      </c>
      <c r="AP1079" s="54">
        <f>IFERROR(AO1079/AL1079,"")</f>
        <v/>
      </c>
      <c r="AQ1079" s="125">
        <f>IFERROR(R1079/AO1079,"")</f>
        <v/>
      </c>
      <c r="AR1079" s="122" t="n">
        <v>0</v>
      </c>
      <c r="AS1079" s="122" t="n">
        <v>1</v>
      </c>
      <c r="AT1079" s="122">
        <f>AL1079+AR1079</f>
        <v/>
      </c>
      <c r="AU1079" s="125">
        <f>IFERROR(AO1079*Assumptions!$C$26*Assumptions!$C$27*INDEX(Assumptions!$C$18:$C$21,MATCH(H1079,Assumptions!$B$18:$B$21,0)),0)</f>
        <v/>
      </c>
    </row>
    <row r="1080">
      <c r="A1080" s="120" t="n">
        <v>46249</v>
      </c>
      <c r="B1080" s="66" t="inlineStr">
        <is>
          <t>Wk 33</t>
        </is>
      </c>
      <c r="C1080" s="66" t="inlineStr">
        <is>
          <t>Sat</t>
        </is>
      </c>
      <c r="D1080" s="66" t="inlineStr">
        <is>
          <t>TikTok</t>
        </is>
      </c>
      <c r="E1080" s="66" t="inlineStr">
        <is>
          <t>TikTok</t>
        </is>
      </c>
      <c r="F1080" s="66" t="inlineStr">
        <is>
          <t>LEP_ZA_AUG26_TT_TD_AMUR_CONV</t>
        </is>
      </c>
      <c r="G1080" s="66" t="inlineStr">
        <is>
          <t>Website Conversions</t>
        </is>
      </c>
      <c r="H1080" s="66" t="inlineStr">
        <is>
          <t>AMUR</t>
        </is>
      </c>
      <c r="I1080" s="66" t="inlineStr">
        <is>
          <t>0% Deposit</t>
        </is>
      </c>
      <c r="J1080" s="66" t="inlineStr">
        <is>
          <t>TT_AMUR_INT_AUTO_ZA</t>
        </is>
      </c>
      <c r="K1080" s="66" t="inlineStr">
        <is>
          <t>Interest</t>
        </is>
      </c>
      <c r="L1080" s="66" t="inlineStr">
        <is>
          <t>TT_AMUR_UGC_20s_Walkthrough_v1</t>
        </is>
      </c>
      <c r="M1080" s="66" t="inlineStr">
        <is>
          <t>Video 9:16</t>
        </is>
      </c>
      <c r="N1080" s="66" t="inlineStr">
        <is>
          <t>Full walkaround, no filter</t>
        </is>
      </c>
      <c r="O1080" s="66" t="inlineStr">
        <is>
          <t>Auction - Lowest Cost</t>
        </is>
      </c>
      <c r="P1080" s="66" t="inlineStr">
        <is>
          <t>Complete Payment / Lead</t>
        </is>
      </c>
      <c r="Q1080" s="66" t="inlineStr">
        <is>
          <t>https://www.lepas-sa.co.za/offers/amur</t>
        </is>
      </c>
      <c r="R1080" s="121" t="n">
        <v>291.08</v>
      </c>
      <c r="S1080" s="122" t="n">
        <v>10315</v>
      </c>
      <c r="T1080" s="122" t="n">
        <v>5306</v>
      </c>
      <c r="U1080" s="123">
        <f>IFERROR(S1080/T1080,"")</f>
        <v/>
      </c>
      <c r="V1080" s="122" t="n">
        <v>127</v>
      </c>
      <c r="W1080" s="122" t="n">
        <v>96</v>
      </c>
      <c r="X1080" s="124">
        <f>IFERROR(W1080/S1080,"")</f>
        <v/>
      </c>
      <c r="Y1080" s="121">
        <f>IFERROR(R1080/W1080,"")</f>
        <v/>
      </c>
      <c r="Z1080" s="121">
        <f>IFERROR(R1080/S1080*1000,"")</f>
        <v/>
      </c>
      <c r="AA1080" s="122" t="n">
        <v>66</v>
      </c>
      <c r="AB1080" s="54">
        <f>IFERROR(AA1080/W1080,"")</f>
        <v/>
      </c>
      <c r="AC1080" s="122" t="n">
        <v>4153</v>
      </c>
      <c r="AD1080" s="122" t="n">
        <v>1872</v>
      </c>
      <c r="AE1080" s="122" t="n">
        <v>1812</v>
      </c>
      <c r="AF1080" s="122" t="n">
        <v>960</v>
      </c>
      <c r="AG1080" s="122" t="n">
        <v>672</v>
      </c>
      <c r="AH1080" s="122" t="n">
        <v>492</v>
      </c>
      <c r="AI1080" s="54">
        <f>IFERROR(AC1080/S1080,"")</f>
        <v/>
      </c>
      <c r="AJ1080" s="54">
        <f>IFERROR(AH1080/S1080,"")</f>
        <v/>
      </c>
      <c r="AK1080" s="122" t="n">
        <v>572</v>
      </c>
      <c r="AL1080" s="122" t="n">
        <v>1</v>
      </c>
      <c r="AM1080" s="124">
        <f>IFERROR(AL1080/AA1080,"")</f>
        <v/>
      </c>
      <c r="AN1080" s="125">
        <f>IFERROR(R1080/AL1080,"")</f>
        <v/>
      </c>
      <c r="AO1080" s="122" t="n">
        <v>1</v>
      </c>
      <c r="AP1080" s="54">
        <f>IFERROR(AO1080/AL1080,"")</f>
        <v/>
      </c>
      <c r="AQ1080" s="125">
        <f>IFERROR(R1080/AO1080,"")</f>
        <v/>
      </c>
      <c r="AR1080" s="122" t="n">
        <v>0</v>
      </c>
      <c r="AS1080" s="122" t="n">
        <v>0</v>
      </c>
      <c r="AT1080" s="122">
        <f>AL1080+AR1080</f>
        <v/>
      </c>
      <c r="AU1080" s="125">
        <f>IFERROR(AO1080*Assumptions!$C$26*Assumptions!$C$27*INDEX(Assumptions!$C$18:$C$21,MATCH(H1080,Assumptions!$B$18:$B$21,0)),0)</f>
        <v/>
      </c>
    </row>
    <row r="1081">
      <c r="A1081" s="120" t="n">
        <v>46250</v>
      </c>
      <c r="B1081" s="66" t="inlineStr">
        <is>
          <t>Wk 33</t>
        </is>
      </c>
      <c r="C1081" s="66" t="inlineStr">
        <is>
          <t>Sun</t>
        </is>
      </c>
      <c r="D1081" s="66" t="inlineStr">
        <is>
          <t>TikTok</t>
        </is>
      </c>
      <c r="E1081" s="66" t="inlineStr">
        <is>
          <t>TikTok</t>
        </is>
      </c>
      <c r="F1081" s="66" t="inlineStr">
        <is>
          <t>LEP_ZA_AUG26_TT_TD_AMUR_CONV</t>
        </is>
      </c>
      <c r="G1081" s="66" t="inlineStr">
        <is>
          <t>Website Conversions</t>
        </is>
      </c>
      <c r="H1081" s="66" t="inlineStr">
        <is>
          <t>AMUR</t>
        </is>
      </c>
      <c r="I1081" s="66" t="inlineStr">
        <is>
          <t>0% Deposit</t>
        </is>
      </c>
      <c r="J1081" s="66" t="inlineStr">
        <is>
          <t>TT_AMUR_INT_AUTO_ZA</t>
        </is>
      </c>
      <c r="K1081" s="66" t="inlineStr">
        <is>
          <t>Interest</t>
        </is>
      </c>
      <c r="L1081" s="66" t="inlineStr">
        <is>
          <t>TT_AMUR_UGC_20s_Walkthrough_v1</t>
        </is>
      </c>
      <c r="M1081" s="66" t="inlineStr">
        <is>
          <t>Video 9:16</t>
        </is>
      </c>
      <c r="N1081" s="66" t="inlineStr">
        <is>
          <t>Full walkaround, no filter</t>
        </is>
      </c>
      <c r="O1081" s="66" t="inlineStr">
        <is>
          <t>Auction - Lowest Cost</t>
        </is>
      </c>
      <c r="P1081" s="66" t="inlineStr">
        <is>
          <t>Complete Payment / Lead</t>
        </is>
      </c>
      <c r="Q1081" s="66" t="inlineStr">
        <is>
          <t>https://www.lepas-sa.co.za/offers/amur</t>
        </is>
      </c>
      <c r="R1081" s="121" t="n">
        <v>168.57</v>
      </c>
      <c r="S1081" s="122" t="n">
        <v>6021</v>
      </c>
      <c r="T1081" s="122" t="n">
        <v>4206</v>
      </c>
      <c r="U1081" s="123">
        <f>IFERROR(S1081/T1081,"")</f>
        <v/>
      </c>
      <c r="V1081" s="122" t="n">
        <v>93</v>
      </c>
      <c r="W1081" s="122" t="n">
        <v>70</v>
      </c>
      <c r="X1081" s="124">
        <f>IFERROR(W1081/S1081,"")</f>
        <v/>
      </c>
      <c r="Y1081" s="121">
        <f>IFERROR(R1081/W1081,"")</f>
        <v/>
      </c>
      <c r="Z1081" s="121">
        <f>IFERROR(R1081/S1081*1000,"")</f>
        <v/>
      </c>
      <c r="AA1081" s="122" t="n">
        <v>46</v>
      </c>
      <c r="AB1081" s="54">
        <f>IFERROR(AA1081/W1081,"")</f>
        <v/>
      </c>
      <c r="AC1081" s="122" t="n">
        <v>2220</v>
      </c>
      <c r="AD1081" s="122" t="n">
        <v>1115</v>
      </c>
      <c r="AE1081" s="122" t="n">
        <v>1095</v>
      </c>
      <c r="AF1081" s="122" t="n">
        <v>654</v>
      </c>
      <c r="AG1081" s="122" t="n">
        <v>502</v>
      </c>
      <c r="AH1081" s="122" t="n">
        <v>301</v>
      </c>
      <c r="AI1081" s="54">
        <f>IFERROR(AC1081/S1081,"")</f>
        <v/>
      </c>
      <c r="AJ1081" s="54">
        <f>IFERROR(AH1081/S1081,"")</f>
        <v/>
      </c>
      <c r="AK1081" s="122" t="n">
        <v>290</v>
      </c>
      <c r="AL1081" s="122" t="n">
        <v>1</v>
      </c>
      <c r="AM1081" s="124">
        <f>IFERROR(AL1081/AA1081,"")</f>
        <v/>
      </c>
      <c r="AN1081" s="125">
        <f>IFERROR(R1081/AL1081,"")</f>
        <v/>
      </c>
      <c r="AO1081" s="122" t="n">
        <v>0</v>
      </c>
      <c r="AP1081" s="54">
        <f>IFERROR(AO1081/AL1081,"")</f>
        <v/>
      </c>
      <c r="AQ1081" s="125">
        <f>IFERROR(R1081/AO1081,"")</f>
        <v/>
      </c>
      <c r="AR1081" s="122" t="n">
        <v>1</v>
      </c>
      <c r="AS1081" s="122" t="n">
        <v>1</v>
      </c>
      <c r="AT1081" s="122">
        <f>AL1081+AR1081</f>
        <v/>
      </c>
      <c r="AU1081" s="125">
        <f>IFERROR(AO1081*Assumptions!$C$26*Assumptions!$C$27*INDEX(Assumptions!$C$18:$C$21,MATCH(H1081,Assumptions!$B$18:$B$21,0)),0)</f>
        <v/>
      </c>
    </row>
    <row r="1082">
      <c r="A1082" s="120" t="n">
        <v>46251</v>
      </c>
      <c r="B1082" s="66" t="inlineStr">
        <is>
          <t>Wk 34</t>
        </is>
      </c>
      <c r="C1082" s="66" t="inlineStr">
        <is>
          <t>Mon</t>
        </is>
      </c>
      <c r="D1082" s="66" t="inlineStr">
        <is>
          <t>TikTok</t>
        </is>
      </c>
      <c r="E1082" s="66" t="inlineStr">
        <is>
          <t>TikTok</t>
        </is>
      </c>
      <c r="F1082" s="66" t="inlineStr">
        <is>
          <t>LEP_ZA_AUG26_TT_TD_AMUR_CONV</t>
        </is>
      </c>
      <c r="G1082" s="66" t="inlineStr">
        <is>
          <t>Website Conversions</t>
        </is>
      </c>
      <c r="H1082" s="66" t="inlineStr">
        <is>
          <t>AMUR</t>
        </is>
      </c>
      <c r="I1082" s="66" t="inlineStr">
        <is>
          <t>0% Deposit</t>
        </is>
      </c>
      <c r="J1082" s="66" t="inlineStr">
        <is>
          <t>TT_AMUR_INT_AUTO_ZA</t>
        </is>
      </c>
      <c r="K1082" s="66" t="inlineStr">
        <is>
          <t>Interest</t>
        </is>
      </c>
      <c r="L1082" s="66" t="inlineStr">
        <is>
          <t>TT_AMUR_UGC_20s_Walkthrough_v1</t>
        </is>
      </c>
      <c r="M1082" s="66" t="inlineStr">
        <is>
          <t>Video 9:16</t>
        </is>
      </c>
      <c r="N1082" s="66" t="inlineStr">
        <is>
          <t>Full walkaround, no filter</t>
        </is>
      </c>
      <c r="O1082" s="66" t="inlineStr">
        <is>
          <t>Auction - Lowest Cost</t>
        </is>
      </c>
      <c r="P1082" s="66" t="inlineStr">
        <is>
          <t>Complete Payment / Lead</t>
        </is>
      </c>
      <c r="Q1082" s="66" t="inlineStr">
        <is>
          <t>https://www.lepas-sa.co.za/offers/amur</t>
        </is>
      </c>
      <c r="R1082" s="121" t="n">
        <v>233.54</v>
      </c>
      <c r="S1082" s="122" t="n">
        <v>5462</v>
      </c>
      <c r="T1082" s="122" t="n">
        <v>3440</v>
      </c>
      <c r="U1082" s="123">
        <f>IFERROR(S1082/T1082,"")</f>
        <v/>
      </c>
      <c r="V1082" s="122" t="n">
        <v>64</v>
      </c>
      <c r="W1082" s="122" t="n">
        <v>47</v>
      </c>
      <c r="X1082" s="124">
        <f>IFERROR(W1082/S1082,"")</f>
        <v/>
      </c>
      <c r="Y1082" s="121">
        <f>IFERROR(R1082/W1082,"")</f>
        <v/>
      </c>
      <c r="Z1082" s="121">
        <f>IFERROR(R1082/S1082*1000,"")</f>
        <v/>
      </c>
      <c r="AA1082" s="122" t="n">
        <v>30</v>
      </c>
      <c r="AB1082" s="54">
        <f>IFERROR(AA1082/W1082,"")</f>
        <v/>
      </c>
      <c r="AC1082" s="122" t="n">
        <v>1933</v>
      </c>
      <c r="AD1082" s="122" t="n">
        <v>903</v>
      </c>
      <c r="AE1082" s="122" t="n">
        <v>853</v>
      </c>
      <c r="AF1082" s="122" t="n">
        <v>605</v>
      </c>
      <c r="AG1082" s="122" t="n">
        <v>468</v>
      </c>
      <c r="AH1082" s="122" t="n">
        <v>259</v>
      </c>
      <c r="AI1082" s="54">
        <f>IFERROR(AC1082/S1082,"")</f>
        <v/>
      </c>
      <c r="AJ1082" s="54">
        <f>IFERROR(AH1082/S1082,"")</f>
        <v/>
      </c>
      <c r="AK1082" s="122" t="n">
        <v>222</v>
      </c>
      <c r="AL1082" s="122" t="n">
        <v>0</v>
      </c>
      <c r="AM1082" s="124">
        <f>IFERROR(AL1082/AA1082,"")</f>
        <v/>
      </c>
      <c r="AN1082" s="125">
        <f>IFERROR(R1082/AL1082,"")</f>
        <v/>
      </c>
      <c r="AO1082" s="122" t="n">
        <v>0</v>
      </c>
      <c r="AP1082" s="54">
        <f>IFERROR(AO1082/AL1082,"")</f>
        <v/>
      </c>
      <c r="AQ1082" s="125">
        <f>IFERROR(R1082/AO1082,"")</f>
        <v/>
      </c>
      <c r="AR1082" s="122" t="n">
        <v>0</v>
      </c>
      <c r="AS1082" s="122" t="n">
        <v>0</v>
      </c>
      <c r="AT1082" s="122">
        <f>AL1082+AR1082</f>
        <v/>
      </c>
      <c r="AU1082" s="125">
        <f>IFERROR(AO1082*Assumptions!$C$26*Assumptions!$C$27*INDEX(Assumptions!$C$18:$C$21,MATCH(H1082,Assumptions!$B$18:$B$21,0)),0)</f>
        <v/>
      </c>
    </row>
    <row r="1083">
      <c r="A1083" s="120" t="n">
        <v>46252</v>
      </c>
      <c r="B1083" s="66" t="inlineStr">
        <is>
          <t>Wk 34</t>
        </is>
      </c>
      <c r="C1083" s="66" t="inlineStr">
        <is>
          <t>Tue</t>
        </is>
      </c>
      <c r="D1083" s="66" t="inlineStr">
        <is>
          <t>TikTok</t>
        </is>
      </c>
      <c r="E1083" s="66" t="inlineStr">
        <is>
          <t>TikTok</t>
        </is>
      </c>
      <c r="F1083" s="66" t="inlineStr">
        <is>
          <t>LEP_ZA_AUG26_TT_TD_AMUR_CONV</t>
        </is>
      </c>
      <c r="G1083" s="66" t="inlineStr">
        <is>
          <t>Website Conversions</t>
        </is>
      </c>
      <c r="H1083" s="66" t="inlineStr">
        <is>
          <t>AMUR</t>
        </is>
      </c>
      <c r="I1083" s="66" t="inlineStr">
        <is>
          <t>0% Deposit</t>
        </is>
      </c>
      <c r="J1083" s="66" t="inlineStr">
        <is>
          <t>TT_AMUR_INT_AUTO_ZA</t>
        </is>
      </c>
      <c r="K1083" s="66" t="inlineStr">
        <is>
          <t>Interest</t>
        </is>
      </c>
      <c r="L1083" s="66" t="inlineStr">
        <is>
          <t>TT_AMUR_UGC_20s_Walkthrough_v1</t>
        </is>
      </c>
      <c r="M1083" s="66" t="inlineStr">
        <is>
          <t>Video 9:16</t>
        </is>
      </c>
      <c r="N1083" s="66" t="inlineStr">
        <is>
          <t>Full walkaround, no filter</t>
        </is>
      </c>
      <c r="O1083" s="66" t="inlineStr">
        <is>
          <t>Auction - Lowest Cost</t>
        </is>
      </c>
      <c r="P1083" s="66" t="inlineStr">
        <is>
          <t>Complete Payment / Lead</t>
        </is>
      </c>
      <c r="Q1083" s="66" t="inlineStr">
        <is>
          <t>https://www.lepas-sa.co.za/offers/amur</t>
        </is>
      </c>
      <c r="R1083" s="121" t="n">
        <v>232.44</v>
      </c>
      <c r="S1083" s="122" t="n">
        <v>5446</v>
      </c>
      <c r="T1083" s="122" t="n">
        <v>2628</v>
      </c>
      <c r="U1083" s="123">
        <f>IFERROR(S1083/T1083,"")</f>
        <v/>
      </c>
      <c r="V1083" s="122" t="n">
        <v>50</v>
      </c>
      <c r="W1083" s="122" t="n">
        <v>42</v>
      </c>
      <c r="X1083" s="124">
        <f>IFERROR(W1083/S1083,"")</f>
        <v/>
      </c>
      <c r="Y1083" s="121">
        <f>IFERROR(R1083/W1083,"")</f>
        <v/>
      </c>
      <c r="Z1083" s="121">
        <f>IFERROR(R1083/S1083*1000,"")</f>
        <v/>
      </c>
      <c r="AA1083" s="122" t="n">
        <v>29</v>
      </c>
      <c r="AB1083" s="54">
        <f>IFERROR(AA1083/W1083,"")</f>
        <v/>
      </c>
      <c r="AC1083" s="122" t="n">
        <v>1365</v>
      </c>
      <c r="AD1083" s="122" t="n">
        <v>760</v>
      </c>
      <c r="AE1083" s="122" t="n">
        <v>500</v>
      </c>
      <c r="AF1083" s="122" t="n">
        <v>338</v>
      </c>
      <c r="AG1083" s="122" t="n">
        <v>244</v>
      </c>
      <c r="AH1083" s="122" t="n">
        <v>170</v>
      </c>
      <c r="AI1083" s="54">
        <f>IFERROR(AC1083/S1083,"")</f>
        <v/>
      </c>
      <c r="AJ1083" s="54">
        <f>IFERROR(AH1083/S1083,"")</f>
        <v/>
      </c>
      <c r="AK1083" s="122" t="n">
        <v>176</v>
      </c>
      <c r="AL1083" s="122" t="n">
        <v>0</v>
      </c>
      <c r="AM1083" s="124">
        <f>IFERROR(AL1083/AA1083,"")</f>
        <v/>
      </c>
      <c r="AN1083" s="125">
        <f>IFERROR(R1083/AL1083,"")</f>
        <v/>
      </c>
      <c r="AO1083" s="122" t="n">
        <v>0</v>
      </c>
      <c r="AP1083" s="54">
        <f>IFERROR(AO1083/AL1083,"")</f>
        <v/>
      </c>
      <c r="AQ1083" s="125">
        <f>IFERROR(R1083/AO1083,"")</f>
        <v/>
      </c>
      <c r="AR1083" s="122" t="n">
        <v>0</v>
      </c>
      <c r="AS1083" s="122" t="n">
        <v>0</v>
      </c>
      <c r="AT1083" s="122">
        <f>AL1083+AR1083</f>
        <v/>
      </c>
      <c r="AU1083" s="125">
        <f>IFERROR(AO1083*Assumptions!$C$26*Assumptions!$C$27*INDEX(Assumptions!$C$18:$C$21,MATCH(H1083,Assumptions!$B$18:$B$21,0)),0)</f>
        <v/>
      </c>
    </row>
    <row r="1084">
      <c r="A1084" s="120" t="n">
        <v>46253</v>
      </c>
      <c r="B1084" s="66" t="inlineStr">
        <is>
          <t>Wk 34</t>
        </is>
      </c>
      <c r="C1084" s="66" t="inlineStr">
        <is>
          <t>Wed</t>
        </is>
      </c>
      <c r="D1084" s="66" t="inlineStr">
        <is>
          <t>TikTok</t>
        </is>
      </c>
      <c r="E1084" s="66" t="inlineStr">
        <is>
          <t>TikTok</t>
        </is>
      </c>
      <c r="F1084" s="66" t="inlineStr">
        <is>
          <t>LEP_ZA_AUG26_TT_TD_AMUR_CONV</t>
        </is>
      </c>
      <c r="G1084" s="66" t="inlineStr">
        <is>
          <t>Website Conversions</t>
        </is>
      </c>
      <c r="H1084" s="66" t="inlineStr">
        <is>
          <t>AMUR</t>
        </is>
      </c>
      <c r="I1084" s="66" t="inlineStr">
        <is>
          <t>0% Deposit</t>
        </is>
      </c>
      <c r="J1084" s="66" t="inlineStr">
        <is>
          <t>TT_AMUR_INT_AUTO_ZA</t>
        </is>
      </c>
      <c r="K1084" s="66" t="inlineStr">
        <is>
          <t>Interest</t>
        </is>
      </c>
      <c r="L1084" s="66" t="inlineStr">
        <is>
          <t>TT_AMUR_UGC_20s_Walkthrough_v1</t>
        </is>
      </c>
      <c r="M1084" s="66" t="inlineStr">
        <is>
          <t>Video 9:16</t>
        </is>
      </c>
      <c r="N1084" s="66" t="inlineStr">
        <is>
          <t>Full walkaround, no filter</t>
        </is>
      </c>
      <c r="O1084" s="66" t="inlineStr">
        <is>
          <t>Auction - Lowest Cost</t>
        </is>
      </c>
      <c r="P1084" s="66" t="inlineStr">
        <is>
          <t>Complete Payment / Lead</t>
        </is>
      </c>
      <c r="Q1084" s="66" t="inlineStr">
        <is>
          <t>https://www.lepas-sa.co.za/offers/amur</t>
        </is>
      </c>
      <c r="R1084" s="121" t="n">
        <v>228.34</v>
      </c>
      <c r="S1084" s="122" t="n">
        <v>5532</v>
      </c>
      <c r="T1084" s="122" t="n">
        <v>3055</v>
      </c>
      <c r="U1084" s="123">
        <f>IFERROR(S1084/T1084,"")</f>
        <v/>
      </c>
      <c r="V1084" s="122" t="n">
        <v>59</v>
      </c>
      <c r="W1084" s="122" t="n">
        <v>48</v>
      </c>
      <c r="X1084" s="124">
        <f>IFERROR(W1084/S1084,"")</f>
        <v/>
      </c>
      <c r="Y1084" s="121">
        <f>IFERROR(R1084/W1084,"")</f>
        <v/>
      </c>
      <c r="Z1084" s="121">
        <f>IFERROR(R1084/S1084*1000,"")</f>
        <v/>
      </c>
      <c r="AA1084" s="122" t="n">
        <v>32</v>
      </c>
      <c r="AB1084" s="54">
        <f>IFERROR(AA1084/W1084,"")</f>
        <v/>
      </c>
      <c r="AC1084" s="122" t="n">
        <v>1218</v>
      </c>
      <c r="AD1084" s="122" t="n">
        <v>752</v>
      </c>
      <c r="AE1084" s="122" t="n">
        <v>547</v>
      </c>
      <c r="AF1084" s="122" t="n">
        <v>350</v>
      </c>
      <c r="AG1084" s="122" t="n">
        <v>229</v>
      </c>
      <c r="AH1084" s="122" t="n">
        <v>156</v>
      </c>
      <c r="AI1084" s="54">
        <f>IFERROR(AC1084/S1084,"")</f>
        <v/>
      </c>
      <c r="AJ1084" s="54">
        <f>IFERROR(AH1084/S1084,"")</f>
        <v/>
      </c>
      <c r="AK1084" s="122" t="n">
        <v>166</v>
      </c>
      <c r="AL1084" s="122" t="n">
        <v>0</v>
      </c>
      <c r="AM1084" s="124">
        <f>IFERROR(AL1084/AA1084,"")</f>
        <v/>
      </c>
      <c r="AN1084" s="125">
        <f>IFERROR(R1084/AL1084,"")</f>
        <v/>
      </c>
      <c r="AO1084" s="122" t="n">
        <v>0</v>
      </c>
      <c r="AP1084" s="54">
        <f>IFERROR(AO1084/AL1084,"")</f>
        <v/>
      </c>
      <c r="AQ1084" s="125">
        <f>IFERROR(R1084/AO1084,"")</f>
        <v/>
      </c>
      <c r="AR1084" s="122" t="n">
        <v>0</v>
      </c>
      <c r="AS1084" s="122" t="n">
        <v>0</v>
      </c>
      <c r="AT1084" s="122">
        <f>AL1084+AR1084</f>
        <v/>
      </c>
      <c r="AU1084" s="125">
        <f>IFERROR(AO1084*Assumptions!$C$26*Assumptions!$C$27*INDEX(Assumptions!$C$18:$C$21,MATCH(H1084,Assumptions!$B$18:$B$21,0)),0)</f>
        <v/>
      </c>
    </row>
    <row r="1085">
      <c r="A1085" s="120" t="n">
        <v>46254</v>
      </c>
      <c r="B1085" s="66" t="inlineStr">
        <is>
          <t>Wk 34</t>
        </is>
      </c>
      <c r="C1085" s="66" t="inlineStr">
        <is>
          <t>Thu</t>
        </is>
      </c>
      <c r="D1085" s="66" t="inlineStr">
        <is>
          <t>TikTok</t>
        </is>
      </c>
      <c r="E1085" s="66" t="inlineStr">
        <is>
          <t>TikTok</t>
        </is>
      </c>
      <c r="F1085" s="66" t="inlineStr">
        <is>
          <t>LEP_ZA_AUG26_TT_TD_AMUR_CONV</t>
        </is>
      </c>
      <c r="G1085" s="66" t="inlineStr">
        <is>
          <t>Website Conversions</t>
        </is>
      </c>
      <c r="H1085" s="66" t="inlineStr">
        <is>
          <t>AMUR</t>
        </is>
      </c>
      <c r="I1085" s="66" t="inlineStr">
        <is>
          <t>0% Deposit</t>
        </is>
      </c>
      <c r="J1085" s="66" t="inlineStr">
        <is>
          <t>TT_AMUR_INT_AUTO_ZA</t>
        </is>
      </c>
      <c r="K1085" s="66" t="inlineStr">
        <is>
          <t>Interest</t>
        </is>
      </c>
      <c r="L1085" s="66" t="inlineStr">
        <is>
          <t>TT_AMUR_UGC_20s_Walkthrough_v1</t>
        </is>
      </c>
      <c r="M1085" s="66" t="inlineStr">
        <is>
          <t>Video 9:16</t>
        </is>
      </c>
      <c r="N1085" s="66" t="inlineStr">
        <is>
          <t>Full walkaround, no filter</t>
        </is>
      </c>
      <c r="O1085" s="66" t="inlineStr">
        <is>
          <t>Auction - Lowest Cost</t>
        </is>
      </c>
      <c r="P1085" s="66" t="inlineStr">
        <is>
          <t>Complete Payment / Lead</t>
        </is>
      </c>
      <c r="Q1085" s="66" t="inlineStr">
        <is>
          <t>https://www.lepas-sa.co.za/offers/amur</t>
        </is>
      </c>
      <c r="R1085" s="121" t="n">
        <v>253.79</v>
      </c>
      <c r="S1085" s="122" t="n">
        <v>8072</v>
      </c>
      <c r="T1085" s="122" t="n">
        <v>4570</v>
      </c>
      <c r="U1085" s="123">
        <f>IFERROR(S1085/T1085,"")</f>
        <v/>
      </c>
      <c r="V1085" s="122" t="n">
        <v>57</v>
      </c>
      <c r="W1085" s="122" t="n">
        <v>41</v>
      </c>
      <c r="X1085" s="124">
        <f>IFERROR(W1085/S1085,"")</f>
        <v/>
      </c>
      <c r="Y1085" s="121">
        <f>IFERROR(R1085/W1085,"")</f>
        <v/>
      </c>
      <c r="Z1085" s="121">
        <f>IFERROR(R1085/S1085*1000,"")</f>
        <v/>
      </c>
      <c r="AA1085" s="122" t="n">
        <v>29</v>
      </c>
      <c r="AB1085" s="54">
        <f>IFERROR(AA1085/W1085,"")</f>
        <v/>
      </c>
      <c r="AC1085" s="122" t="n">
        <v>2019</v>
      </c>
      <c r="AD1085" s="122" t="n">
        <v>898</v>
      </c>
      <c r="AE1085" s="122" t="n">
        <v>842</v>
      </c>
      <c r="AF1085" s="122" t="n">
        <v>490</v>
      </c>
      <c r="AG1085" s="122" t="n">
        <v>354</v>
      </c>
      <c r="AH1085" s="122" t="n">
        <v>246</v>
      </c>
      <c r="AI1085" s="54">
        <f>IFERROR(AC1085/S1085,"")</f>
        <v/>
      </c>
      <c r="AJ1085" s="54">
        <f>IFERROR(AH1085/S1085,"")</f>
        <v/>
      </c>
      <c r="AK1085" s="122" t="n">
        <v>302</v>
      </c>
      <c r="AL1085" s="122" t="n">
        <v>0</v>
      </c>
      <c r="AM1085" s="124">
        <f>IFERROR(AL1085/AA1085,"")</f>
        <v/>
      </c>
      <c r="AN1085" s="125">
        <f>IFERROR(R1085/AL1085,"")</f>
        <v/>
      </c>
      <c r="AO1085" s="122" t="n">
        <v>0</v>
      </c>
      <c r="AP1085" s="54">
        <f>IFERROR(AO1085/AL1085,"")</f>
        <v/>
      </c>
      <c r="AQ1085" s="125">
        <f>IFERROR(R1085/AO1085,"")</f>
        <v/>
      </c>
      <c r="AR1085" s="122" t="n">
        <v>0</v>
      </c>
      <c r="AS1085" s="122" t="n">
        <v>0</v>
      </c>
      <c r="AT1085" s="122">
        <f>AL1085+AR1085</f>
        <v/>
      </c>
      <c r="AU1085" s="125">
        <f>IFERROR(AO1085*Assumptions!$C$26*Assumptions!$C$27*INDEX(Assumptions!$C$18:$C$21,MATCH(H1085,Assumptions!$B$18:$B$21,0)),0)</f>
        <v/>
      </c>
    </row>
    <row r="1086">
      <c r="A1086" s="120" t="n">
        <v>46255</v>
      </c>
      <c r="B1086" s="66" t="inlineStr">
        <is>
          <t>Wk 34</t>
        </is>
      </c>
      <c r="C1086" s="66" t="inlineStr">
        <is>
          <t>Fri</t>
        </is>
      </c>
      <c r="D1086" s="66" t="inlineStr">
        <is>
          <t>TikTok</t>
        </is>
      </c>
      <c r="E1086" s="66" t="inlineStr">
        <is>
          <t>TikTok</t>
        </is>
      </c>
      <c r="F1086" s="66" t="inlineStr">
        <is>
          <t>LEP_ZA_AUG26_TT_TD_AMUR_CONV</t>
        </is>
      </c>
      <c r="G1086" s="66" t="inlineStr">
        <is>
          <t>Website Conversions</t>
        </is>
      </c>
      <c r="H1086" s="66" t="inlineStr">
        <is>
          <t>AMUR</t>
        </is>
      </c>
      <c r="I1086" s="66" t="inlineStr">
        <is>
          <t>0% Deposit</t>
        </is>
      </c>
      <c r="J1086" s="66" t="inlineStr">
        <is>
          <t>TT_AMUR_INT_AUTO_ZA</t>
        </is>
      </c>
      <c r="K1086" s="66" t="inlineStr">
        <is>
          <t>Interest</t>
        </is>
      </c>
      <c r="L1086" s="66" t="inlineStr">
        <is>
          <t>TT_AMUR_UGC_20s_Walkthrough_v1</t>
        </is>
      </c>
      <c r="M1086" s="66" t="inlineStr">
        <is>
          <t>Video 9:16</t>
        </is>
      </c>
      <c r="N1086" s="66" t="inlineStr">
        <is>
          <t>Full walkaround, no filter</t>
        </is>
      </c>
      <c r="O1086" s="66" t="inlineStr">
        <is>
          <t>Auction - Lowest Cost</t>
        </is>
      </c>
      <c r="P1086" s="66" t="inlineStr">
        <is>
          <t>Complete Payment / Lead</t>
        </is>
      </c>
      <c r="Q1086" s="66" t="inlineStr">
        <is>
          <t>https://www.lepas-sa.co.za/offers/amur</t>
        </is>
      </c>
      <c r="R1086" s="121" t="n">
        <v>236.47</v>
      </c>
      <c r="S1086" s="122" t="n">
        <v>7601</v>
      </c>
      <c r="T1086" s="122" t="n">
        <v>3922</v>
      </c>
      <c r="U1086" s="123">
        <f>IFERROR(S1086/T1086,"")</f>
        <v/>
      </c>
      <c r="V1086" s="122" t="n">
        <v>83</v>
      </c>
      <c r="W1086" s="122" t="n">
        <v>70</v>
      </c>
      <c r="X1086" s="124">
        <f>IFERROR(W1086/S1086,"")</f>
        <v/>
      </c>
      <c r="Y1086" s="121">
        <f>IFERROR(R1086/W1086,"")</f>
        <v/>
      </c>
      <c r="Z1086" s="121">
        <f>IFERROR(R1086/S1086*1000,"")</f>
        <v/>
      </c>
      <c r="AA1086" s="122" t="n">
        <v>48</v>
      </c>
      <c r="AB1086" s="54">
        <f>IFERROR(AA1086/W1086,"")</f>
        <v/>
      </c>
      <c r="AC1086" s="122" t="n">
        <v>2401</v>
      </c>
      <c r="AD1086" s="122" t="n">
        <v>1506</v>
      </c>
      <c r="AE1086" s="122" t="n">
        <v>903</v>
      </c>
      <c r="AF1086" s="122" t="n">
        <v>577</v>
      </c>
      <c r="AG1086" s="122" t="n">
        <v>391</v>
      </c>
      <c r="AH1086" s="122" t="n">
        <v>222</v>
      </c>
      <c r="AI1086" s="54">
        <f>IFERROR(AC1086/S1086,"")</f>
        <v/>
      </c>
      <c r="AJ1086" s="54">
        <f>IFERROR(AH1086/S1086,"")</f>
        <v/>
      </c>
      <c r="AK1086" s="122" t="n">
        <v>321</v>
      </c>
      <c r="AL1086" s="122" t="n">
        <v>0</v>
      </c>
      <c r="AM1086" s="124">
        <f>IFERROR(AL1086/AA1086,"")</f>
        <v/>
      </c>
      <c r="AN1086" s="125">
        <f>IFERROR(R1086/AL1086,"")</f>
        <v/>
      </c>
      <c r="AO1086" s="122" t="n">
        <v>0</v>
      </c>
      <c r="AP1086" s="54">
        <f>IFERROR(AO1086/AL1086,"")</f>
        <v/>
      </c>
      <c r="AQ1086" s="125">
        <f>IFERROR(R1086/AO1086,"")</f>
        <v/>
      </c>
      <c r="AR1086" s="122" t="n">
        <v>0</v>
      </c>
      <c r="AS1086" s="122" t="n">
        <v>0</v>
      </c>
      <c r="AT1086" s="122">
        <f>AL1086+AR1086</f>
        <v/>
      </c>
      <c r="AU1086" s="125">
        <f>IFERROR(AO1086*Assumptions!$C$26*Assumptions!$C$27*INDEX(Assumptions!$C$18:$C$21,MATCH(H1086,Assumptions!$B$18:$B$21,0)),0)</f>
        <v/>
      </c>
    </row>
    <row r="1087">
      <c r="A1087" s="120" t="n">
        <v>46256</v>
      </c>
      <c r="B1087" s="66" t="inlineStr">
        <is>
          <t>Wk 34</t>
        </is>
      </c>
      <c r="C1087" s="66" t="inlineStr">
        <is>
          <t>Sat</t>
        </is>
      </c>
      <c r="D1087" s="66" t="inlineStr">
        <is>
          <t>TikTok</t>
        </is>
      </c>
      <c r="E1087" s="66" t="inlineStr">
        <is>
          <t>TikTok</t>
        </is>
      </c>
      <c r="F1087" s="66" t="inlineStr">
        <is>
          <t>LEP_ZA_AUG26_TT_TD_AMUR_CONV</t>
        </is>
      </c>
      <c r="G1087" s="66" t="inlineStr">
        <is>
          <t>Website Conversions</t>
        </is>
      </c>
      <c r="H1087" s="66" t="inlineStr">
        <is>
          <t>AMUR</t>
        </is>
      </c>
      <c r="I1087" s="66" t="inlineStr">
        <is>
          <t>0% Deposit</t>
        </is>
      </c>
      <c r="J1087" s="66" t="inlineStr">
        <is>
          <t>TT_AMUR_INT_AUTO_ZA</t>
        </is>
      </c>
      <c r="K1087" s="66" t="inlineStr">
        <is>
          <t>Interest</t>
        </is>
      </c>
      <c r="L1087" s="66" t="inlineStr">
        <is>
          <t>TT_AMUR_UGC_20s_Walkthrough_v1</t>
        </is>
      </c>
      <c r="M1087" s="66" t="inlineStr">
        <is>
          <t>Video 9:16</t>
        </is>
      </c>
      <c r="N1087" s="66" t="inlineStr">
        <is>
          <t>Full walkaround, no filter</t>
        </is>
      </c>
      <c r="O1087" s="66" t="inlineStr">
        <is>
          <t>Auction - Lowest Cost</t>
        </is>
      </c>
      <c r="P1087" s="66" t="inlineStr">
        <is>
          <t>Complete Payment / Lead</t>
        </is>
      </c>
      <c r="Q1087" s="66" t="inlineStr">
        <is>
          <t>https://www.lepas-sa.co.za/offers/amur</t>
        </is>
      </c>
      <c r="R1087" s="121" t="n">
        <v>269.57</v>
      </c>
      <c r="S1087" s="122" t="n">
        <v>7221</v>
      </c>
      <c r="T1087" s="122" t="n">
        <v>4767</v>
      </c>
      <c r="U1087" s="123">
        <f>IFERROR(S1087/T1087,"")</f>
        <v/>
      </c>
      <c r="V1087" s="122" t="n">
        <v>49</v>
      </c>
      <c r="W1087" s="122" t="n">
        <v>40</v>
      </c>
      <c r="X1087" s="124">
        <f>IFERROR(W1087/S1087,"")</f>
        <v/>
      </c>
      <c r="Y1087" s="121">
        <f>IFERROR(R1087/W1087,"")</f>
        <v/>
      </c>
      <c r="Z1087" s="121">
        <f>IFERROR(R1087/S1087*1000,"")</f>
        <v/>
      </c>
      <c r="AA1087" s="122" t="n">
        <v>28</v>
      </c>
      <c r="AB1087" s="54">
        <f>IFERROR(AA1087/W1087,"")</f>
        <v/>
      </c>
      <c r="AC1087" s="122" t="n">
        <v>1724</v>
      </c>
      <c r="AD1087" s="122" t="n">
        <v>861</v>
      </c>
      <c r="AE1087" s="122" t="n">
        <v>674</v>
      </c>
      <c r="AF1087" s="122" t="n">
        <v>372</v>
      </c>
      <c r="AG1087" s="122" t="n">
        <v>256</v>
      </c>
      <c r="AH1087" s="122" t="n">
        <v>144</v>
      </c>
      <c r="AI1087" s="54">
        <f>IFERROR(AC1087/S1087,"")</f>
        <v/>
      </c>
      <c r="AJ1087" s="54">
        <f>IFERROR(AH1087/S1087,"")</f>
        <v/>
      </c>
      <c r="AK1087" s="122" t="n">
        <v>403</v>
      </c>
      <c r="AL1087" s="122" t="n">
        <v>0</v>
      </c>
      <c r="AM1087" s="124">
        <f>IFERROR(AL1087/AA1087,"")</f>
        <v/>
      </c>
      <c r="AN1087" s="125">
        <f>IFERROR(R1087/AL1087,"")</f>
        <v/>
      </c>
      <c r="AO1087" s="122" t="n">
        <v>0</v>
      </c>
      <c r="AP1087" s="54">
        <f>IFERROR(AO1087/AL1087,"")</f>
        <v/>
      </c>
      <c r="AQ1087" s="125">
        <f>IFERROR(R1087/AO1087,"")</f>
        <v/>
      </c>
      <c r="AR1087" s="122" t="n">
        <v>0</v>
      </c>
      <c r="AS1087" s="122" t="n">
        <v>0</v>
      </c>
      <c r="AT1087" s="122">
        <f>AL1087+AR1087</f>
        <v/>
      </c>
      <c r="AU1087" s="125">
        <f>IFERROR(AO1087*Assumptions!$C$26*Assumptions!$C$27*INDEX(Assumptions!$C$18:$C$21,MATCH(H1087,Assumptions!$B$18:$B$21,0)),0)</f>
        <v/>
      </c>
    </row>
    <row r="1088">
      <c r="A1088" s="120" t="n">
        <v>46257</v>
      </c>
      <c r="B1088" s="66" t="inlineStr">
        <is>
          <t>Wk 34</t>
        </is>
      </c>
      <c r="C1088" s="66" t="inlineStr">
        <is>
          <t>Sun</t>
        </is>
      </c>
      <c r="D1088" s="66" t="inlineStr">
        <is>
          <t>TikTok</t>
        </is>
      </c>
      <c r="E1088" s="66" t="inlineStr">
        <is>
          <t>TikTok</t>
        </is>
      </c>
      <c r="F1088" s="66" t="inlineStr">
        <is>
          <t>LEP_ZA_AUG26_TT_TD_AMUR_CONV</t>
        </is>
      </c>
      <c r="G1088" s="66" t="inlineStr">
        <is>
          <t>Website Conversions</t>
        </is>
      </c>
      <c r="H1088" s="66" t="inlineStr">
        <is>
          <t>AMUR</t>
        </is>
      </c>
      <c r="I1088" s="66" t="inlineStr">
        <is>
          <t>0% Deposit</t>
        </is>
      </c>
      <c r="J1088" s="66" t="inlineStr">
        <is>
          <t>TT_AMUR_INT_AUTO_ZA</t>
        </is>
      </c>
      <c r="K1088" s="66" t="inlineStr">
        <is>
          <t>Interest</t>
        </is>
      </c>
      <c r="L1088" s="66" t="inlineStr">
        <is>
          <t>TT_AMUR_UGC_20s_Walkthrough_v1</t>
        </is>
      </c>
      <c r="M1088" s="66" t="inlineStr">
        <is>
          <t>Video 9:16</t>
        </is>
      </c>
      <c r="N1088" s="66" t="inlineStr">
        <is>
          <t>Full walkaround, no filter</t>
        </is>
      </c>
      <c r="O1088" s="66" t="inlineStr">
        <is>
          <t>Auction - Lowest Cost</t>
        </is>
      </c>
      <c r="P1088" s="66" t="inlineStr">
        <is>
          <t>Complete Payment / Lead</t>
        </is>
      </c>
      <c r="Q1088" s="66" t="inlineStr">
        <is>
          <t>https://www.lepas-sa.co.za/offers/amur</t>
        </is>
      </c>
      <c r="R1088" s="121" t="n">
        <v>212.8</v>
      </c>
      <c r="S1088" s="122" t="n">
        <v>5393</v>
      </c>
      <c r="T1088" s="122" t="n">
        <v>3554</v>
      </c>
      <c r="U1088" s="123">
        <f>IFERROR(S1088/T1088,"")</f>
        <v/>
      </c>
      <c r="V1088" s="122" t="n">
        <v>53</v>
      </c>
      <c r="W1088" s="122" t="n">
        <v>44</v>
      </c>
      <c r="X1088" s="124">
        <f>IFERROR(W1088/S1088,"")</f>
        <v/>
      </c>
      <c r="Y1088" s="121">
        <f>IFERROR(R1088/W1088,"")</f>
        <v/>
      </c>
      <c r="Z1088" s="121">
        <f>IFERROR(R1088/S1088*1000,"")</f>
        <v/>
      </c>
      <c r="AA1088" s="122" t="n">
        <v>31</v>
      </c>
      <c r="AB1088" s="54">
        <f>IFERROR(AA1088/W1088,"")</f>
        <v/>
      </c>
      <c r="AC1088" s="122" t="n">
        <v>2102</v>
      </c>
      <c r="AD1088" s="122" t="n">
        <v>1128</v>
      </c>
      <c r="AE1088" s="122" t="n">
        <v>1026</v>
      </c>
      <c r="AF1088" s="122" t="n">
        <v>566</v>
      </c>
      <c r="AG1088" s="122" t="n">
        <v>430</v>
      </c>
      <c r="AH1088" s="122" t="n">
        <v>254</v>
      </c>
      <c r="AI1088" s="54">
        <f>IFERROR(AC1088/S1088,"")</f>
        <v/>
      </c>
      <c r="AJ1088" s="54">
        <f>IFERROR(AH1088/S1088,"")</f>
        <v/>
      </c>
      <c r="AK1088" s="122" t="n">
        <v>201</v>
      </c>
      <c r="AL1088" s="122" t="n">
        <v>1</v>
      </c>
      <c r="AM1088" s="124">
        <f>IFERROR(AL1088/AA1088,"")</f>
        <v/>
      </c>
      <c r="AN1088" s="125">
        <f>IFERROR(R1088/AL1088,"")</f>
        <v/>
      </c>
      <c r="AO1088" s="122" t="n">
        <v>0</v>
      </c>
      <c r="AP1088" s="54">
        <f>IFERROR(AO1088/AL1088,"")</f>
        <v/>
      </c>
      <c r="AQ1088" s="125">
        <f>IFERROR(R1088/AO1088,"")</f>
        <v/>
      </c>
      <c r="AR1088" s="122" t="n">
        <v>0</v>
      </c>
      <c r="AS1088" s="122" t="n">
        <v>0</v>
      </c>
      <c r="AT1088" s="122">
        <f>AL1088+AR1088</f>
        <v/>
      </c>
      <c r="AU1088" s="125">
        <f>IFERROR(AO1088*Assumptions!$C$26*Assumptions!$C$27*INDEX(Assumptions!$C$18:$C$21,MATCH(H1088,Assumptions!$B$18:$B$21,0)),0)</f>
        <v/>
      </c>
    </row>
    <row r="1089">
      <c r="A1089" s="120" t="n">
        <v>46258</v>
      </c>
      <c r="B1089" s="66" t="inlineStr">
        <is>
          <t>Wk 35</t>
        </is>
      </c>
      <c r="C1089" s="66" t="inlineStr">
        <is>
          <t>Mon</t>
        </is>
      </c>
      <c r="D1089" s="66" t="inlineStr">
        <is>
          <t>TikTok</t>
        </is>
      </c>
      <c r="E1089" s="66" t="inlineStr">
        <is>
          <t>TikTok</t>
        </is>
      </c>
      <c r="F1089" s="66" t="inlineStr">
        <is>
          <t>LEP_ZA_AUG26_TT_TD_AMUR_CONV</t>
        </is>
      </c>
      <c r="G1089" s="66" t="inlineStr">
        <is>
          <t>Website Conversions</t>
        </is>
      </c>
      <c r="H1089" s="66" t="inlineStr">
        <is>
          <t>AMUR</t>
        </is>
      </c>
      <c r="I1089" s="66" t="inlineStr">
        <is>
          <t>0% Deposit</t>
        </is>
      </c>
      <c r="J1089" s="66" t="inlineStr">
        <is>
          <t>TT_AMUR_INT_AUTO_ZA</t>
        </is>
      </c>
      <c r="K1089" s="66" t="inlineStr">
        <is>
          <t>Interest</t>
        </is>
      </c>
      <c r="L1089" s="66" t="inlineStr">
        <is>
          <t>TT_AMUR_UGC_20s_Walkthrough_v1</t>
        </is>
      </c>
      <c r="M1089" s="66" t="inlineStr">
        <is>
          <t>Video 9:16</t>
        </is>
      </c>
      <c r="N1089" s="66" t="inlineStr">
        <is>
          <t>Full walkaround, no filter</t>
        </is>
      </c>
      <c r="O1089" s="66" t="inlineStr">
        <is>
          <t>Auction - Lowest Cost</t>
        </is>
      </c>
      <c r="P1089" s="66" t="inlineStr">
        <is>
          <t>Complete Payment / Lead</t>
        </is>
      </c>
      <c r="Q1089" s="66" t="inlineStr">
        <is>
          <t>https://www.lepas-sa.co.za/offers/amur</t>
        </is>
      </c>
      <c r="R1089" s="121" t="n">
        <v>181.9</v>
      </c>
      <c r="S1089" s="122" t="n">
        <v>5132</v>
      </c>
      <c r="T1089" s="122" t="n">
        <v>2620</v>
      </c>
      <c r="U1089" s="123">
        <f>IFERROR(S1089/T1089,"")</f>
        <v/>
      </c>
      <c r="V1089" s="122" t="n">
        <v>37</v>
      </c>
      <c r="W1089" s="122" t="n">
        <v>27</v>
      </c>
      <c r="X1089" s="124">
        <f>IFERROR(W1089/S1089,"")</f>
        <v/>
      </c>
      <c r="Y1089" s="121">
        <f>IFERROR(R1089/W1089,"")</f>
        <v/>
      </c>
      <c r="Z1089" s="121">
        <f>IFERROR(R1089/S1089*1000,"")</f>
        <v/>
      </c>
      <c r="AA1089" s="122" t="n">
        <v>18</v>
      </c>
      <c r="AB1089" s="54">
        <f>IFERROR(AA1089/W1089,"")</f>
        <v/>
      </c>
      <c r="AC1089" s="122" t="n">
        <v>1724</v>
      </c>
      <c r="AD1089" s="122" t="n">
        <v>853</v>
      </c>
      <c r="AE1089" s="122" t="n">
        <v>656</v>
      </c>
      <c r="AF1089" s="122" t="n">
        <v>387</v>
      </c>
      <c r="AG1089" s="122" t="n">
        <v>301</v>
      </c>
      <c r="AH1089" s="122" t="n">
        <v>177</v>
      </c>
      <c r="AI1089" s="54">
        <f>IFERROR(AC1089/S1089,"")</f>
        <v/>
      </c>
      <c r="AJ1089" s="54">
        <f>IFERROR(AH1089/S1089,"")</f>
        <v/>
      </c>
      <c r="AK1089" s="122" t="n">
        <v>143</v>
      </c>
      <c r="AL1089" s="122" t="n">
        <v>0</v>
      </c>
      <c r="AM1089" s="124">
        <f>IFERROR(AL1089/AA1089,"")</f>
        <v/>
      </c>
      <c r="AN1089" s="125">
        <f>IFERROR(R1089/AL1089,"")</f>
        <v/>
      </c>
      <c r="AO1089" s="122" t="n">
        <v>0</v>
      </c>
      <c r="AP1089" s="54">
        <f>IFERROR(AO1089/AL1089,"")</f>
        <v/>
      </c>
      <c r="AQ1089" s="125">
        <f>IFERROR(R1089/AO1089,"")</f>
        <v/>
      </c>
      <c r="AR1089" s="122" t="n">
        <v>0</v>
      </c>
      <c r="AS1089" s="122" t="n">
        <v>0</v>
      </c>
      <c r="AT1089" s="122">
        <f>AL1089+AR1089</f>
        <v/>
      </c>
      <c r="AU1089" s="125">
        <f>IFERROR(AO1089*Assumptions!$C$26*Assumptions!$C$27*INDEX(Assumptions!$C$18:$C$21,MATCH(H1089,Assumptions!$B$18:$B$21,0)),0)</f>
        <v/>
      </c>
    </row>
    <row r="1090">
      <c r="A1090" s="120" t="n">
        <v>46259</v>
      </c>
      <c r="B1090" s="66" t="inlineStr">
        <is>
          <t>Wk 35</t>
        </is>
      </c>
      <c r="C1090" s="66" t="inlineStr">
        <is>
          <t>Tue</t>
        </is>
      </c>
      <c r="D1090" s="66" t="inlineStr">
        <is>
          <t>TikTok</t>
        </is>
      </c>
      <c r="E1090" s="66" t="inlineStr">
        <is>
          <t>TikTok</t>
        </is>
      </c>
      <c r="F1090" s="66" t="inlineStr">
        <is>
          <t>LEP_ZA_AUG26_TT_TD_AMUR_CONV</t>
        </is>
      </c>
      <c r="G1090" s="66" t="inlineStr">
        <is>
          <t>Website Conversions</t>
        </is>
      </c>
      <c r="H1090" s="66" t="inlineStr">
        <is>
          <t>AMUR</t>
        </is>
      </c>
      <c r="I1090" s="66" t="inlineStr">
        <is>
          <t>0% Deposit</t>
        </is>
      </c>
      <c r="J1090" s="66" t="inlineStr">
        <is>
          <t>TT_AMUR_INT_AUTO_ZA</t>
        </is>
      </c>
      <c r="K1090" s="66" t="inlineStr">
        <is>
          <t>Interest</t>
        </is>
      </c>
      <c r="L1090" s="66" t="inlineStr">
        <is>
          <t>TT_AMUR_UGC_20s_Walkthrough_v1</t>
        </is>
      </c>
      <c r="M1090" s="66" t="inlineStr">
        <is>
          <t>Video 9:16</t>
        </is>
      </c>
      <c r="N1090" s="66" t="inlineStr">
        <is>
          <t>Full walkaround, no filter</t>
        </is>
      </c>
      <c r="O1090" s="66" t="inlineStr">
        <is>
          <t>Auction - Lowest Cost</t>
        </is>
      </c>
      <c r="P1090" s="66" t="inlineStr">
        <is>
          <t>Complete Payment / Lead</t>
        </is>
      </c>
      <c r="Q1090" s="66" t="inlineStr">
        <is>
          <t>https://www.lepas-sa.co.za/offers/amur</t>
        </is>
      </c>
      <c r="R1090" s="121" t="n">
        <v>195.01</v>
      </c>
      <c r="S1090" s="122" t="n">
        <v>4276</v>
      </c>
      <c r="T1090" s="122" t="n">
        <v>2059</v>
      </c>
      <c r="U1090" s="123">
        <f>IFERROR(S1090/T1090,"")</f>
        <v/>
      </c>
      <c r="V1090" s="122" t="n">
        <v>22</v>
      </c>
      <c r="W1090" s="122" t="n">
        <v>18</v>
      </c>
      <c r="X1090" s="124">
        <f>IFERROR(W1090/S1090,"")</f>
        <v/>
      </c>
      <c r="Y1090" s="121">
        <f>IFERROR(R1090/W1090,"")</f>
        <v/>
      </c>
      <c r="Z1090" s="121">
        <f>IFERROR(R1090/S1090*1000,"")</f>
        <v/>
      </c>
      <c r="AA1090" s="122" t="n">
        <v>12</v>
      </c>
      <c r="AB1090" s="54">
        <f>IFERROR(AA1090/W1090,"")</f>
        <v/>
      </c>
      <c r="AC1090" s="122" t="n">
        <v>1734</v>
      </c>
      <c r="AD1090" s="122" t="n">
        <v>822</v>
      </c>
      <c r="AE1090" s="122" t="n">
        <v>697</v>
      </c>
      <c r="AF1090" s="122" t="n">
        <v>438</v>
      </c>
      <c r="AG1090" s="122" t="n">
        <v>323</v>
      </c>
      <c r="AH1090" s="122" t="n">
        <v>210</v>
      </c>
      <c r="AI1090" s="54">
        <f>IFERROR(AC1090/S1090,"")</f>
        <v/>
      </c>
      <c r="AJ1090" s="54">
        <f>IFERROR(AH1090/S1090,"")</f>
        <v/>
      </c>
      <c r="AK1090" s="122" t="n">
        <v>157</v>
      </c>
      <c r="AL1090" s="122" t="n">
        <v>0</v>
      </c>
      <c r="AM1090" s="124">
        <f>IFERROR(AL1090/AA1090,"")</f>
        <v/>
      </c>
      <c r="AN1090" s="125">
        <f>IFERROR(R1090/AL1090,"")</f>
        <v/>
      </c>
      <c r="AO1090" s="122" t="n">
        <v>0</v>
      </c>
      <c r="AP1090" s="54">
        <f>IFERROR(AO1090/AL1090,"")</f>
        <v/>
      </c>
      <c r="AQ1090" s="125">
        <f>IFERROR(R1090/AO1090,"")</f>
        <v/>
      </c>
      <c r="AR1090" s="122" t="n">
        <v>0</v>
      </c>
      <c r="AS1090" s="122" t="n">
        <v>0</v>
      </c>
      <c r="AT1090" s="122">
        <f>AL1090+AR1090</f>
        <v/>
      </c>
      <c r="AU1090" s="125">
        <f>IFERROR(AO1090*Assumptions!$C$26*Assumptions!$C$27*INDEX(Assumptions!$C$18:$C$21,MATCH(H1090,Assumptions!$B$18:$B$21,0)),0)</f>
        <v/>
      </c>
    </row>
    <row r="1091">
      <c r="A1091" s="120" t="n">
        <v>46260</v>
      </c>
      <c r="B1091" s="66" t="inlineStr">
        <is>
          <t>Wk 35</t>
        </is>
      </c>
      <c r="C1091" s="66" t="inlineStr">
        <is>
          <t>Wed</t>
        </is>
      </c>
      <c r="D1091" s="66" t="inlineStr">
        <is>
          <t>TikTok</t>
        </is>
      </c>
      <c r="E1091" s="66" t="inlineStr">
        <is>
          <t>TikTok</t>
        </is>
      </c>
      <c r="F1091" s="66" t="inlineStr">
        <is>
          <t>LEP_ZA_AUG26_TT_TD_AMUR_CONV</t>
        </is>
      </c>
      <c r="G1091" s="66" t="inlineStr">
        <is>
          <t>Website Conversions</t>
        </is>
      </c>
      <c r="H1091" s="66" t="inlineStr">
        <is>
          <t>AMUR</t>
        </is>
      </c>
      <c r="I1091" s="66" t="inlineStr">
        <is>
          <t>0% Deposit</t>
        </is>
      </c>
      <c r="J1091" s="66" t="inlineStr">
        <is>
          <t>TT_AMUR_INT_AUTO_ZA</t>
        </is>
      </c>
      <c r="K1091" s="66" t="inlineStr">
        <is>
          <t>Interest</t>
        </is>
      </c>
      <c r="L1091" s="66" t="inlineStr">
        <is>
          <t>TT_AMUR_UGC_20s_Walkthrough_v1</t>
        </is>
      </c>
      <c r="M1091" s="66" t="inlineStr">
        <is>
          <t>Video 9:16</t>
        </is>
      </c>
      <c r="N1091" s="66" t="inlineStr">
        <is>
          <t>Full walkaround, no filter</t>
        </is>
      </c>
      <c r="O1091" s="66" t="inlineStr">
        <is>
          <t>Auction - Lowest Cost</t>
        </is>
      </c>
      <c r="P1091" s="66" t="inlineStr">
        <is>
          <t>Complete Payment / Lead</t>
        </is>
      </c>
      <c r="Q1091" s="66" t="inlineStr">
        <is>
          <t>https://www.lepas-sa.co.za/offers/amur</t>
        </is>
      </c>
      <c r="R1091" s="121" t="n">
        <v>237.56</v>
      </c>
      <c r="S1091" s="122" t="n">
        <v>5192</v>
      </c>
      <c r="T1091" s="122" t="n">
        <v>2334</v>
      </c>
      <c r="U1091" s="123">
        <f>IFERROR(S1091/T1091,"")</f>
        <v/>
      </c>
      <c r="V1091" s="122" t="n">
        <v>45</v>
      </c>
      <c r="W1091" s="122" t="n">
        <v>37</v>
      </c>
      <c r="X1091" s="124">
        <f>IFERROR(W1091/S1091,"")</f>
        <v/>
      </c>
      <c r="Y1091" s="121">
        <f>IFERROR(R1091/W1091,"")</f>
        <v/>
      </c>
      <c r="Z1091" s="121">
        <f>IFERROR(R1091/S1091*1000,"")</f>
        <v/>
      </c>
      <c r="AA1091" s="122" t="n">
        <v>26</v>
      </c>
      <c r="AB1091" s="54">
        <f>IFERROR(AA1091/W1091,"")</f>
        <v/>
      </c>
      <c r="AC1091" s="122" t="n">
        <v>1457</v>
      </c>
      <c r="AD1091" s="122" t="n">
        <v>775</v>
      </c>
      <c r="AE1091" s="122" t="n">
        <v>661</v>
      </c>
      <c r="AF1091" s="122" t="n">
        <v>379</v>
      </c>
      <c r="AG1091" s="122" t="n">
        <v>267</v>
      </c>
      <c r="AH1091" s="122" t="n">
        <v>159</v>
      </c>
      <c r="AI1091" s="54">
        <f>IFERROR(AC1091/S1091,"")</f>
        <v/>
      </c>
      <c r="AJ1091" s="54">
        <f>IFERROR(AH1091/S1091,"")</f>
        <v/>
      </c>
      <c r="AK1091" s="122" t="n">
        <v>277</v>
      </c>
      <c r="AL1091" s="122" t="n">
        <v>1</v>
      </c>
      <c r="AM1091" s="124">
        <f>IFERROR(AL1091/AA1091,"")</f>
        <v/>
      </c>
      <c r="AN1091" s="125">
        <f>IFERROR(R1091/AL1091,"")</f>
        <v/>
      </c>
      <c r="AO1091" s="122" t="n">
        <v>1</v>
      </c>
      <c r="AP1091" s="54">
        <f>IFERROR(AO1091/AL1091,"")</f>
        <v/>
      </c>
      <c r="AQ1091" s="125">
        <f>IFERROR(R1091/AO1091,"")</f>
        <v/>
      </c>
      <c r="AR1091" s="122" t="n">
        <v>0</v>
      </c>
      <c r="AS1091" s="122" t="n">
        <v>0</v>
      </c>
      <c r="AT1091" s="122">
        <f>AL1091+AR1091</f>
        <v/>
      </c>
      <c r="AU1091" s="125">
        <f>IFERROR(AO1091*Assumptions!$C$26*Assumptions!$C$27*INDEX(Assumptions!$C$18:$C$21,MATCH(H1091,Assumptions!$B$18:$B$21,0)),0)</f>
        <v/>
      </c>
    </row>
    <row r="1092">
      <c r="A1092" s="120" t="n">
        <v>46261</v>
      </c>
      <c r="B1092" s="66" t="inlineStr">
        <is>
          <t>Wk 35</t>
        </is>
      </c>
      <c r="C1092" s="66" t="inlineStr">
        <is>
          <t>Thu</t>
        </is>
      </c>
      <c r="D1092" s="66" t="inlineStr">
        <is>
          <t>TikTok</t>
        </is>
      </c>
      <c r="E1092" s="66" t="inlineStr">
        <is>
          <t>TikTok</t>
        </is>
      </c>
      <c r="F1092" s="66" t="inlineStr">
        <is>
          <t>LEP_ZA_AUG26_TT_TD_AMUR_CONV</t>
        </is>
      </c>
      <c r="G1092" s="66" t="inlineStr">
        <is>
          <t>Website Conversions</t>
        </is>
      </c>
      <c r="H1092" s="66" t="inlineStr">
        <is>
          <t>AMUR</t>
        </is>
      </c>
      <c r="I1092" s="66" t="inlineStr">
        <is>
          <t>0% Deposit</t>
        </is>
      </c>
      <c r="J1092" s="66" t="inlineStr">
        <is>
          <t>TT_AMUR_INT_AUTO_ZA</t>
        </is>
      </c>
      <c r="K1092" s="66" t="inlineStr">
        <is>
          <t>Interest</t>
        </is>
      </c>
      <c r="L1092" s="66" t="inlineStr">
        <is>
          <t>TT_AMUR_UGC_20s_Walkthrough_v1</t>
        </is>
      </c>
      <c r="M1092" s="66" t="inlineStr">
        <is>
          <t>Video 9:16</t>
        </is>
      </c>
      <c r="N1092" s="66" t="inlineStr">
        <is>
          <t>Full walkaround, no filter</t>
        </is>
      </c>
      <c r="O1092" s="66" t="inlineStr">
        <is>
          <t>Auction - Lowest Cost</t>
        </is>
      </c>
      <c r="P1092" s="66" t="inlineStr">
        <is>
          <t>Complete Payment / Lead</t>
        </is>
      </c>
      <c r="Q1092" s="66" t="inlineStr">
        <is>
          <t>https://www.lepas-sa.co.za/offers/amur</t>
        </is>
      </c>
      <c r="R1092" s="121" t="n">
        <v>266.48</v>
      </c>
      <c r="S1092" s="122" t="n">
        <v>5701</v>
      </c>
      <c r="T1092" s="122" t="n">
        <v>3438</v>
      </c>
      <c r="U1092" s="123">
        <f>IFERROR(S1092/T1092,"")</f>
        <v/>
      </c>
      <c r="V1092" s="122" t="n">
        <v>40</v>
      </c>
      <c r="W1092" s="122" t="n">
        <v>33</v>
      </c>
      <c r="X1092" s="124">
        <f>IFERROR(W1092/S1092,"")</f>
        <v/>
      </c>
      <c r="Y1092" s="121">
        <f>IFERROR(R1092/W1092,"")</f>
        <v/>
      </c>
      <c r="Z1092" s="121">
        <f>IFERROR(R1092/S1092*1000,"")</f>
        <v/>
      </c>
      <c r="AA1092" s="122" t="n">
        <v>22</v>
      </c>
      <c r="AB1092" s="54">
        <f>IFERROR(AA1092/W1092,"")</f>
        <v/>
      </c>
      <c r="AC1092" s="122" t="n">
        <v>2316</v>
      </c>
      <c r="AD1092" s="122" t="n">
        <v>1277</v>
      </c>
      <c r="AE1092" s="122" t="n">
        <v>1106</v>
      </c>
      <c r="AF1092" s="122" t="n">
        <v>697</v>
      </c>
      <c r="AG1092" s="122" t="n">
        <v>473</v>
      </c>
      <c r="AH1092" s="122" t="n">
        <v>288</v>
      </c>
      <c r="AI1092" s="54">
        <f>IFERROR(AC1092/S1092,"")</f>
        <v/>
      </c>
      <c r="AJ1092" s="54">
        <f>IFERROR(AH1092/S1092,"")</f>
        <v/>
      </c>
      <c r="AK1092" s="122" t="n">
        <v>220</v>
      </c>
      <c r="AL1092" s="122" t="n">
        <v>0</v>
      </c>
      <c r="AM1092" s="124">
        <f>IFERROR(AL1092/AA1092,"")</f>
        <v/>
      </c>
      <c r="AN1092" s="125">
        <f>IFERROR(R1092/AL1092,"")</f>
        <v/>
      </c>
      <c r="AO1092" s="122" t="n">
        <v>0</v>
      </c>
      <c r="AP1092" s="54">
        <f>IFERROR(AO1092/AL1092,"")</f>
        <v/>
      </c>
      <c r="AQ1092" s="125">
        <f>IFERROR(R1092/AO1092,"")</f>
        <v/>
      </c>
      <c r="AR1092" s="122" t="n">
        <v>0</v>
      </c>
      <c r="AS1092" s="122" t="n">
        <v>0</v>
      </c>
      <c r="AT1092" s="122">
        <f>AL1092+AR1092</f>
        <v/>
      </c>
      <c r="AU1092" s="125">
        <f>IFERROR(AO1092*Assumptions!$C$26*Assumptions!$C$27*INDEX(Assumptions!$C$18:$C$21,MATCH(H1092,Assumptions!$B$18:$B$21,0)),0)</f>
        <v/>
      </c>
    </row>
    <row r="1093">
      <c r="A1093" s="120" t="n">
        <v>46262</v>
      </c>
      <c r="B1093" s="66" t="inlineStr">
        <is>
          <t>Wk 35</t>
        </is>
      </c>
      <c r="C1093" s="66" t="inlineStr">
        <is>
          <t>Fri</t>
        </is>
      </c>
      <c r="D1093" s="66" t="inlineStr">
        <is>
          <t>TikTok</t>
        </is>
      </c>
      <c r="E1093" s="66" t="inlineStr">
        <is>
          <t>TikTok</t>
        </is>
      </c>
      <c r="F1093" s="66" t="inlineStr">
        <is>
          <t>LEP_ZA_AUG26_TT_TD_AMUR_CONV</t>
        </is>
      </c>
      <c r="G1093" s="66" t="inlineStr">
        <is>
          <t>Website Conversions</t>
        </is>
      </c>
      <c r="H1093" s="66" t="inlineStr">
        <is>
          <t>AMUR</t>
        </is>
      </c>
      <c r="I1093" s="66" t="inlineStr">
        <is>
          <t>0% Deposit</t>
        </is>
      </c>
      <c r="J1093" s="66" t="inlineStr">
        <is>
          <t>TT_AMUR_INT_AUTO_ZA</t>
        </is>
      </c>
      <c r="K1093" s="66" t="inlineStr">
        <is>
          <t>Interest</t>
        </is>
      </c>
      <c r="L1093" s="66" t="inlineStr">
        <is>
          <t>TT_AMUR_UGC_20s_Walkthrough_v1</t>
        </is>
      </c>
      <c r="M1093" s="66" t="inlineStr">
        <is>
          <t>Video 9:16</t>
        </is>
      </c>
      <c r="N1093" s="66" t="inlineStr">
        <is>
          <t>Full walkaround, no filter</t>
        </is>
      </c>
      <c r="O1093" s="66" t="inlineStr">
        <is>
          <t>Auction - Lowest Cost</t>
        </is>
      </c>
      <c r="P1093" s="66" t="inlineStr">
        <is>
          <t>Complete Payment / Lead</t>
        </is>
      </c>
      <c r="Q1093" s="66" t="inlineStr">
        <is>
          <t>https://www.lepas-sa.co.za/offers/amur</t>
        </is>
      </c>
      <c r="R1093" s="121" t="n">
        <v>341.52</v>
      </c>
      <c r="S1093" s="122" t="n">
        <v>8640</v>
      </c>
      <c r="T1093" s="122" t="n">
        <v>4890</v>
      </c>
      <c r="U1093" s="123">
        <f>IFERROR(S1093/T1093,"")</f>
        <v/>
      </c>
      <c r="V1093" s="122" t="n">
        <v>65</v>
      </c>
      <c r="W1093" s="122" t="n">
        <v>52</v>
      </c>
      <c r="X1093" s="124">
        <f>IFERROR(W1093/S1093,"")</f>
        <v/>
      </c>
      <c r="Y1093" s="121">
        <f>IFERROR(R1093/W1093,"")</f>
        <v/>
      </c>
      <c r="Z1093" s="121">
        <f>IFERROR(R1093/S1093*1000,"")</f>
        <v/>
      </c>
      <c r="AA1093" s="122" t="n">
        <v>36</v>
      </c>
      <c r="AB1093" s="54">
        <f>IFERROR(AA1093/W1093,"")</f>
        <v/>
      </c>
      <c r="AC1093" s="122" t="n">
        <v>2140</v>
      </c>
      <c r="AD1093" s="122" t="n">
        <v>1143</v>
      </c>
      <c r="AE1093" s="122" t="n">
        <v>1055</v>
      </c>
      <c r="AF1093" s="122" t="n">
        <v>637</v>
      </c>
      <c r="AG1093" s="122" t="n">
        <v>424</v>
      </c>
      <c r="AH1093" s="122" t="n">
        <v>258</v>
      </c>
      <c r="AI1093" s="54">
        <f>IFERROR(AC1093/S1093,"")</f>
        <v/>
      </c>
      <c r="AJ1093" s="54">
        <f>IFERROR(AH1093/S1093,"")</f>
        <v/>
      </c>
      <c r="AK1093" s="122" t="n">
        <v>198</v>
      </c>
      <c r="AL1093" s="122" t="n">
        <v>0</v>
      </c>
      <c r="AM1093" s="124">
        <f>IFERROR(AL1093/AA1093,"")</f>
        <v/>
      </c>
      <c r="AN1093" s="125">
        <f>IFERROR(R1093/AL1093,"")</f>
        <v/>
      </c>
      <c r="AO1093" s="122" t="n">
        <v>0</v>
      </c>
      <c r="AP1093" s="54">
        <f>IFERROR(AO1093/AL1093,"")</f>
        <v/>
      </c>
      <c r="AQ1093" s="125">
        <f>IFERROR(R1093/AO1093,"")</f>
        <v/>
      </c>
      <c r="AR1093" s="122" t="n">
        <v>0</v>
      </c>
      <c r="AS1093" s="122" t="n">
        <v>0</v>
      </c>
      <c r="AT1093" s="122">
        <f>AL1093+AR1093</f>
        <v/>
      </c>
      <c r="AU1093" s="125">
        <f>IFERROR(AO1093*Assumptions!$C$26*Assumptions!$C$27*INDEX(Assumptions!$C$18:$C$21,MATCH(H1093,Assumptions!$B$18:$B$21,0)),0)</f>
        <v/>
      </c>
    </row>
    <row r="1094">
      <c r="A1094" s="120" t="n">
        <v>46263</v>
      </c>
      <c r="B1094" s="66" t="inlineStr">
        <is>
          <t>Wk 35</t>
        </is>
      </c>
      <c r="C1094" s="66" t="inlineStr">
        <is>
          <t>Sat</t>
        </is>
      </c>
      <c r="D1094" s="66" t="inlineStr">
        <is>
          <t>TikTok</t>
        </is>
      </c>
      <c r="E1094" s="66" t="inlineStr">
        <is>
          <t>TikTok</t>
        </is>
      </c>
      <c r="F1094" s="66" t="inlineStr">
        <is>
          <t>LEP_ZA_AUG26_TT_TD_AMUR_CONV</t>
        </is>
      </c>
      <c r="G1094" s="66" t="inlineStr">
        <is>
          <t>Website Conversions</t>
        </is>
      </c>
      <c r="H1094" s="66" t="inlineStr">
        <is>
          <t>AMUR</t>
        </is>
      </c>
      <c r="I1094" s="66" t="inlineStr">
        <is>
          <t>0% Deposit</t>
        </is>
      </c>
      <c r="J1094" s="66" t="inlineStr">
        <is>
          <t>TT_AMUR_INT_AUTO_ZA</t>
        </is>
      </c>
      <c r="K1094" s="66" t="inlineStr">
        <is>
          <t>Interest</t>
        </is>
      </c>
      <c r="L1094" s="66" t="inlineStr">
        <is>
          <t>TT_AMUR_UGC_20s_Walkthrough_v1</t>
        </is>
      </c>
      <c r="M1094" s="66" t="inlineStr">
        <is>
          <t>Video 9:16</t>
        </is>
      </c>
      <c r="N1094" s="66" t="inlineStr">
        <is>
          <t>Full walkaround, no filter</t>
        </is>
      </c>
      <c r="O1094" s="66" t="inlineStr">
        <is>
          <t>Auction - Lowest Cost</t>
        </is>
      </c>
      <c r="P1094" s="66" t="inlineStr">
        <is>
          <t>Complete Payment / Lead</t>
        </is>
      </c>
      <c r="Q1094" s="66" t="inlineStr">
        <is>
          <t>https://www.lepas-sa.co.za/offers/amur</t>
        </is>
      </c>
      <c r="R1094" s="121" t="n">
        <v>270.69</v>
      </c>
      <c r="S1094" s="122" t="n">
        <v>5672</v>
      </c>
      <c r="T1094" s="122" t="n">
        <v>2598</v>
      </c>
      <c r="U1094" s="123">
        <f>IFERROR(S1094/T1094,"")</f>
        <v/>
      </c>
      <c r="V1094" s="122" t="n">
        <v>31</v>
      </c>
      <c r="W1094" s="122" t="n">
        <v>26</v>
      </c>
      <c r="X1094" s="124">
        <f>IFERROR(W1094/S1094,"")</f>
        <v/>
      </c>
      <c r="Y1094" s="121">
        <f>IFERROR(R1094/W1094,"")</f>
        <v/>
      </c>
      <c r="Z1094" s="121">
        <f>IFERROR(R1094/S1094*1000,"")</f>
        <v/>
      </c>
      <c r="AA1094" s="122" t="n">
        <v>17</v>
      </c>
      <c r="AB1094" s="54">
        <f>IFERROR(AA1094/W1094,"")</f>
        <v/>
      </c>
      <c r="AC1094" s="122" t="n">
        <v>2179</v>
      </c>
      <c r="AD1094" s="122" t="n">
        <v>1007</v>
      </c>
      <c r="AE1094" s="122" t="n">
        <v>984</v>
      </c>
      <c r="AF1094" s="122" t="n">
        <v>574</v>
      </c>
      <c r="AG1094" s="122" t="n">
        <v>434</v>
      </c>
      <c r="AH1094" s="122" t="n">
        <v>278</v>
      </c>
      <c r="AI1094" s="54">
        <f>IFERROR(AC1094/S1094,"")</f>
        <v/>
      </c>
      <c r="AJ1094" s="54">
        <f>IFERROR(AH1094/S1094,"")</f>
        <v/>
      </c>
      <c r="AK1094" s="122" t="n">
        <v>281</v>
      </c>
      <c r="AL1094" s="122" t="n">
        <v>0</v>
      </c>
      <c r="AM1094" s="124">
        <f>IFERROR(AL1094/AA1094,"")</f>
        <v/>
      </c>
      <c r="AN1094" s="125">
        <f>IFERROR(R1094/AL1094,"")</f>
        <v/>
      </c>
      <c r="AO1094" s="122" t="n">
        <v>0</v>
      </c>
      <c r="AP1094" s="54">
        <f>IFERROR(AO1094/AL1094,"")</f>
        <v/>
      </c>
      <c r="AQ1094" s="125">
        <f>IFERROR(R1094/AO1094,"")</f>
        <v/>
      </c>
      <c r="AR1094" s="122" t="n">
        <v>0</v>
      </c>
      <c r="AS1094" s="122" t="n">
        <v>0</v>
      </c>
      <c r="AT1094" s="122">
        <f>AL1094+AR1094</f>
        <v/>
      </c>
      <c r="AU1094" s="125">
        <f>IFERROR(AO1094*Assumptions!$C$26*Assumptions!$C$27*INDEX(Assumptions!$C$18:$C$21,MATCH(H1094,Assumptions!$B$18:$B$21,0)),0)</f>
        <v/>
      </c>
    </row>
    <row r="1095">
      <c r="A1095" s="120" t="n">
        <v>46264</v>
      </c>
      <c r="B1095" s="66" t="inlineStr">
        <is>
          <t>Wk 35</t>
        </is>
      </c>
      <c r="C1095" s="66" t="inlineStr">
        <is>
          <t>Sun</t>
        </is>
      </c>
      <c r="D1095" s="66" t="inlineStr">
        <is>
          <t>TikTok</t>
        </is>
      </c>
      <c r="E1095" s="66" t="inlineStr">
        <is>
          <t>TikTok</t>
        </is>
      </c>
      <c r="F1095" s="66" t="inlineStr">
        <is>
          <t>LEP_ZA_AUG26_TT_TD_AMUR_CONV</t>
        </is>
      </c>
      <c r="G1095" s="66" t="inlineStr">
        <is>
          <t>Website Conversions</t>
        </is>
      </c>
      <c r="H1095" s="66" t="inlineStr">
        <is>
          <t>AMUR</t>
        </is>
      </c>
      <c r="I1095" s="66" t="inlineStr">
        <is>
          <t>0% Deposit</t>
        </is>
      </c>
      <c r="J1095" s="66" t="inlineStr">
        <is>
          <t>TT_AMUR_INT_AUTO_ZA</t>
        </is>
      </c>
      <c r="K1095" s="66" t="inlineStr">
        <is>
          <t>Interest</t>
        </is>
      </c>
      <c r="L1095" s="66" t="inlineStr">
        <is>
          <t>TT_AMUR_UGC_20s_Walkthrough_v1</t>
        </is>
      </c>
      <c r="M1095" s="66" t="inlineStr">
        <is>
          <t>Video 9:16</t>
        </is>
      </c>
      <c r="N1095" s="66" t="inlineStr">
        <is>
          <t>Full walkaround, no filter</t>
        </is>
      </c>
      <c r="O1095" s="66" t="inlineStr">
        <is>
          <t>Auction - Lowest Cost</t>
        </is>
      </c>
      <c r="P1095" s="66" t="inlineStr">
        <is>
          <t>Complete Payment / Lead</t>
        </is>
      </c>
      <c r="Q1095" s="66" t="inlineStr">
        <is>
          <t>https://www.lepas-sa.co.za/offers/amur</t>
        </is>
      </c>
      <c r="R1095" s="121" t="n">
        <v>211.19</v>
      </c>
      <c r="S1095" s="122" t="n">
        <v>5158</v>
      </c>
      <c r="T1095" s="122" t="n">
        <v>2915</v>
      </c>
      <c r="U1095" s="123">
        <f>IFERROR(S1095/T1095,"")</f>
        <v/>
      </c>
      <c r="V1095" s="122" t="n">
        <v>30</v>
      </c>
      <c r="W1095" s="122" t="n">
        <v>22</v>
      </c>
      <c r="X1095" s="124">
        <f>IFERROR(W1095/S1095,"")</f>
        <v/>
      </c>
      <c r="Y1095" s="121">
        <f>IFERROR(R1095/W1095,"")</f>
        <v/>
      </c>
      <c r="Z1095" s="121">
        <f>IFERROR(R1095/S1095*1000,"")</f>
        <v/>
      </c>
      <c r="AA1095" s="122" t="n">
        <v>16</v>
      </c>
      <c r="AB1095" s="54">
        <f>IFERROR(AA1095/W1095,"")</f>
        <v/>
      </c>
      <c r="AC1095" s="122" t="n">
        <v>2052</v>
      </c>
      <c r="AD1095" s="122" t="n">
        <v>1245</v>
      </c>
      <c r="AE1095" s="122" t="n">
        <v>960</v>
      </c>
      <c r="AF1095" s="122" t="n">
        <v>564</v>
      </c>
      <c r="AG1095" s="122" t="n">
        <v>377</v>
      </c>
      <c r="AH1095" s="122" t="n">
        <v>212</v>
      </c>
      <c r="AI1095" s="54">
        <f>IFERROR(AC1095/S1095,"")</f>
        <v/>
      </c>
      <c r="AJ1095" s="54">
        <f>IFERROR(AH1095/S1095,"")</f>
        <v/>
      </c>
      <c r="AK1095" s="122" t="n">
        <v>168</v>
      </c>
      <c r="AL1095" s="122" t="n">
        <v>1</v>
      </c>
      <c r="AM1095" s="124">
        <f>IFERROR(AL1095/AA1095,"")</f>
        <v/>
      </c>
      <c r="AN1095" s="125">
        <f>IFERROR(R1095/AL1095,"")</f>
        <v/>
      </c>
      <c r="AO1095" s="122" t="n">
        <v>0</v>
      </c>
      <c r="AP1095" s="54">
        <f>IFERROR(AO1095/AL1095,"")</f>
        <v/>
      </c>
      <c r="AQ1095" s="125">
        <f>IFERROR(R1095/AO1095,"")</f>
        <v/>
      </c>
      <c r="AR1095" s="122" t="n">
        <v>0</v>
      </c>
      <c r="AS1095" s="122" t="n">
        <v>0</v>
      </c>
      <c r="AT1095" s="122">
        <f>AL1095+AR1095</f>
        <v/>
      </c>
      <c r="AU1095" s="125">
        <f>IFERROR(AO1095*Assumptions!$C$26*Assumptions!$C$27*INDEX(Assumptions!$C$18:$C$21,MATCH(H1095,Assumptions!$B$18:$B$21,0)),0)</f>
        <v/>
      </c>
    </row>
    <row r="1096">
      <c r="A1096" s="120" t="n">
        <v>46265</v>
      </c>
      <c r="B1096" s="66" t="inlineStr">
        <is>
          <t>Wk 36</t>
        </is>
      </c>
      <c r="C1096" s="66" t="inlineStr">
        <is>
          <t>Mon</t>
        </is>
      </c>
      <c r="D1096" s="66" t="inlineStr">
        <is>
          <t>TikTok</t>
        </is>
      </c>
      <c r="E1096" s="66" t="inlineStr">
        <is>
          <t>TikTok</t>
        </is>
      </c>
      <c r="F1096" s="66" t="inlineStr">
        <is>
          <t>LEP_ZA_AUG26_TT_TD_AMUR_CONV</t>
        </is>
      </c>
      <c r="G1096" s="66" t="inlineStr">
        <is>
          <t>Website Conversions</t>
        </is>
      </c>
      <c r="H1096" s="66" t="inlineStr">
        <is>
          <t>AMUR</t>
        </is>
      </c>
      <c r="I1096" s="66" t="inlineStr">
        <is>
          <t>0% Deposit</t>
        </is>
      </c>
      <c r="J1096" s="66" t="inlineStr">
        <is>
          <t>TT_AMUR_INT_AUTO_ZA</t>
        </is>
      </c>
      <c r="K1096" s="66" t="inlineStr">
        <is>
          <t>Interest</t>
        </is>
      </c>
      <c r="L1096" s="66" t="inlineStr">
        <is>
          <t>TT_AMUR_UGC_20s_Walkthrough_v1</t>
        </is>
      </c>
      <c r="M1096" s="66" t="inlineStr">
        <is>
          <t>Video 9:16</t>
        </is>
      </c>
      <c r="N1096" s="66" t="inlineStr">
        <is>
          <t>Full walkaround, no filter</t>
        </is>
      </c>
      <c r="O1096" s="66" t="inlineStr">
        <is>
          <t>Auction - Lowest Cost</t>
        </is>
      </c>
      <c r="P1096" s="66" t="inlineStr">
        <is>
          <t>Complete Payment / Lead</t>
        </is>
      </c>
      <c r="Q1096" s="66" t="inlineStr">
        <is>
          <t>https://www.lepas-sa.co.za/offers/amur</t>
        </is>
      </c>
      <c r="R1096" s="121" t="n">
        <v>276.02</v>
      </c>
      <c r="S1096" s="122" t="n">
        <v>6896</v>
      </c>
      <c r="T1096" s="122" t="n">
        <v>3817</v>
      </c>
      <c r="U1096" s="123">
        <f>IFERROR(S1096/T1096,"")</f>
        <v/>
      </c>
      <c r="V1096" s="122" t="n">
        <v>70</v>
      </c>
      <c r="W1096" s="122" t="n">
        <v>52</v>
      </c>
      <c r="X1096" s="124">
        <f>IFERROR(W1096/S1096,"")</f>
        <v/>
      </c>
      <c r="Y1096" s="121">
        <f>IFERROR(R1096/W1096,"")</f>
        <v/>
      </c>
      <c r="Z1096" s="121">
        <f>IFERROR(R1096/S1096*1000,"")</f>
        <v/>
      </c>
      <c r="AA1096" s="122" t="n">
        <v>36</v>
      </c>
      <c r="AB1096" s="54">
        <f>IFERROR(AA1096/W1096,"")</f>
        <v/>
      </c>
      <c r="AC1096" s="122" t="n">
        <v>2745</v>
      </c>
      <c r="AD1096" s="122" t="n">
        <v>1704</v>
      </c>
      <c r="AE1096" s="122" t="n">
        <v>1149</v>
      </c>
      <c r="AF1096" s="122" t="n">
        <v>600</v>
      </c>
      <c r="AG1096" s="122" t="n">
        <v>392</v>
      </c>
      <c r="AH1096" s="122" t="n">
        <v>223</v>
      </c>
      <c r="AI1096" s="54">
        <f>IFERROR(AC1096/S1096,"")</f>
        <v/>
      </c>
      <c r="AJ1096" s="54">
        <f>IFERROR(AH1096/S1096,"")</f>
        <v/>
      </c>
      <c r="AK1096" s="122" t="n">
        <v>352</v>
      </c>
      <c r="AL1096" s="122" t="n">
        <v>0</v>
      </c>
      <c r="AM1096" s="124">
        <f>IFERROR(AL1096/AA1096,"")</f>
        <v/>
      </c>
      <c r="AN1096" s="125">
        <f>IFERROR(R1096/AL1096,"")</f>
        <v/>
      </c>
      <c r="AO1096" s="122" t="n">
        <v>0</v>
      </c>
      <c r="AP1096" s="54">
        <f>IFERROR(AO1096/AL1096,"")</f>
        <v/>
      </c>
      <c r="AQ1096" s="125">
        <f>IFERROR(R1096/AO1096,"")</f>
        <v/>
      </c>
      <c r="AR1096" s="122" t="n">
        <v>0</v>
      </c>
      <c r="AS1096" s="122" t="n">
        <v>0</v>
      </c>
      <c r="AT1096" s="122">
        <f>AL1096+AR1096</f>
        <v/>
      </c>
      <c r="AU1096" s="125">
        <f>IFERROR(AO1096*Assumptions!$C$26*Assumptions!$C$27*INDEX(Assumptions!$C$18:$C$21,MATCH(H1096,Assumptions!$B$18:$B$21,0)),0)</f>
        <v/>
      </c>
    </row>
    <row r="1097">
      <c r="A1097" s="120" t="n">
        <v>46235</v>
      </c>
      <c r="B1097" s="66" t="inlineStr">
        <is>
          <t>Wk 31</t>
        </is>
      </c>
      <c r="C1097" s="66" t="inlineStr">
        <is>
          <t>Sat</t>
        </is>
      </c>
      <c r="D1097" s="66" t="inlineStr">
        <is>
          <t>TikTok</t>
        </is>
      </c>
      <c r="E1097" s="66" t="inlineStr">
        <is>
          <t>TikTok</t>
        </is>
      </c>
      <c r="F1097" s="66" t="inlineStr">
        <is>
          <t>LEP_ZA_AUG26_TT_TD_AMUR_CONV</t>
        </is>
      </c>
      <c r="G1097" s="66" t="inlineStr">
        <is>
          <t>Website Conversions</t>
        </is>
      </c>
      <c r="H1097" s="66" t="inlineStr">
        <is>
          <t>AMUR</t>
        </is>
      </c>
      <c r="I1097" s="66" t="inlineStr">
        <is>
          <t>0% Deposit</t>
        </is>
      </c>
      <c r="J1097" s="66" t="inlineStr">
        <is>
          <t>TT_AMUR_INT_AUTO_ZA</t>
        </is>
      </c>
      <c r="K1097" s="66" t="inlineStr">
        <is>
          <t>Interest</t>
        </is>
      </c>
      <c r="L1097" s="66" t="inlineStr">
        <is>
          <t>TT_AMUR_UGC_15s_FirstCar_v1</t>
        </is>
      </c>
      <c r="M1097" s="66" t="inlineStr">
        <is>
          <t>Video 9:16</t>
        </is>
      </c>
      <c r="N1097" s="66" t="inlineStr">
        <is>
          <t>POV: your first car isn't second-hand</t>
        </is>
      </c>
      <c r="O1097" s="66" t="inlineStr">
        <is>
          <t>Auction - Lowest Cost</t>
        </is>
      </c>
      <c r="P1097" s="66" t="inlineStr">
        <is>
          <t>Complete Payment / Lead</t>
        </is>
      </c>
      <c r="Q1097" s="66" t="inlineStr">
        <is>
          <t>https://www.lepas-sa.co.za/offers/amur</t>
        </is>
      </c>
      <c r="R1097" s="121" t="n">
        <v>186.07</v>
      </c>
      <c r="S1097" s="122" t="n">
        <v>4291</v>
      </c>
      <c r="T1097" s="122" t="n">
        <v>2799</v>
      </c>
      <c r="U1097" s="123">
        <f>IFERROR(S1097/T1097,"")</f>
        <v/>
      </c>
      <c r="V1097" s="122" t="n">
        <v>40</v>
      </c>
      <c r="W1097" s="122" t="n">
        <v>31</v>
      </c>
      <c r="X1097" s="124">
        <f>IFERROR(W1097/S1097,"")</f>
        <v/>
      </c>
      <c r="Y1097" s="121">
        <f>IFERROR(R1097/W1097,"")</f>
        <v/>
      </c>
      <c r="Z1097" s="121">
        <f>IFERROR(R1097/S1097*1000,"")</f>
        <v/>
      </c>
      <c r="AA1097" s="122" t="n">
        <v>21</v>
      </c>
      <c r="AB1097" s="54">
        <f>IFERROR(AA1097/W1097,"")</f>
        <v/>
      </c>
      <c r="AC1097" s="122" t="n">
        <v>1430</v>
      </c>
      <c r="AD1097" s="122" t="n">
        <v>635</v>
      </c>
      <c r="AE1097" s="122" t="n">
        <v>609</v>
      </c>
      <c r="AF1097" s="122" t="n">
        <v>338</v>
      </c>
      <c r="AG1097" s="122" t="n">
        <v>245</v>
      </c>
      <c r="AH1097" s="122" t="n">
        <v>175</v>
      </c>
      <c r="AI1097" s="54">
        <f>IFERROR(AC1097/S1097,"")</f>
        <v/>
      </c>
      <c r="AJ1097" s="54">
        <f>IFERROR(AH1097/S1097,"")</f>
        <v/>
      </c>
      <c r="AK1097" s="122" t="n">
        <v>144</v>
      </c>
      <c r="AL1097" s="122" t="n">
        <v>0</v>
      </c>
      <c r="AM1097" s="124">
        <f>IFERROR(AL1097/AA1097,"")</f>
        <v/>
      </c>
      <c r="AN1097" s="125">
        <f>IFERROR(R1097/AL1097,"")</f>
        <v/>
      </c>
      <c r="AO1097" s="122" t="n">
        <v>0</v>
      </c>
      <c r="AP1097" s="54">
        <f>IFERROR(AO1097/AL1097,"")</f>
        <v/>
      </c>
      <c r="AQ1097" s="125">
        <f>IFERROR(R1097/AO1097,"")</f>
        <v/>
      </c>
      <c r="AR1097" s="122" t="n">
        <v>0</v>
      </c>
      <c r="AS1097" s="122" t="n">
        <v>0</v>
      </c>
      <c r="AT1097" s="122">
        <f>AL1097+AR1097</f>
        <v/>
      </c>
      <c r="AU1097" s="125">
        <f>IFERROR(AO1097*Assumptions!$C$26*Assumptions!$C$27*INDEX(Assumptions!$C$18:$C$21,MATCH(H1097,Assumptions!$B$18:$B$21,0)),0)</f>
        <v/>
      </c>
    </row>
    <row r="1098">
      <c r="A1098" s="120" t="n">
        <v>46236</v>
      </c>
      <c r="B1098" s="66" t="inlineStr">
        <is>
          <t>Wk 31</t>
        </is>
      </c>
      <c r="C1098" s="66" t="inlineStr">
        <is>
          <t>Sun</t>
        </is>
      </c>
      <c r="D1098" s="66" t="inlineStr">
        <is>
          <t>TikTok</t>
        </is>
      </c>
      <c r="E1098" s="66" t="inlineStr">
        <is>
          <t>TikTok</t>
        </is>
      </c>
      <c r="F1098" s="66" t="inlineStr">
        <is>
          <t>LEP_ZA_AUG26_TT_TD_AMUR_CONV</t>
        </is>
      </c>
      <c r="G1098" s="66" t="inlineStr">
        <is>
          <t>Website Conversions</t>
        </is>
      </c>
      <c r="H1098" s="66" t="inlineStr">
        <is>
          <t>AMUR</t>
        </is>
      </c>
      <c r="I1098" s="66" t="inlineStr">
        <is>
          <t>0% Deposit</t>
        </is>
      </c>
      <c r="J1098" s="66" t="inlineStr">
        <is>
          <t>TT_AMUR_INT_AUTO_ZA</t>
        </is>
      </c>
      <c r="K1098" s="66" t="inlineStr">
        <is>
          <t>Interest</t>
        </is>
      </c>
      <c r="L1098" s="66" t="inlineStr">
        <is>
          <t>TT_AMUR_UGC_15s_FirstCar_v1</t>
        </is>
      </c>
      <c r="M1098" s="66" t="inlineStr">
        <is>
          <t>Video 9:16</t>
        </is>
      </c>
      <c r="N1098" s="66" t="inlineStr">
        <is>
          <t>POV: your first car isn't second-hand</t>
        </is>
      </c>
      <c r="O1098" s="66" t="inlineStr">
        <is>
          <t>Auction - Lowest Cost</t>
        </is>
      </c>
      <c r="P1098" s="66" t="inlineStr">
        <is>
          <t>Complete Payment / Lead</t>
        </is>
      </c>
      <c r="Q1098" s="66" t="inlineStr">
        <is>
          <t>https://www.lepas-sa.co.za/offers/amur</t>
        </is>
      </c>
      <c r="R1098" s="121" t="n">
        <v>126.63</v>
      </c>
      <c r="S1098" s="122" t="n">
        <v>3314</v>
      </c>
      <c r="T1098" s="122" t="n">
        <v>2121</v>
      </c>
      <c r="U1098" s="123">
        <f>IFERROR(S1098/T1098,"")</f>
        <v/>
      </c>
      <c r="V1098" s="122" t="n">
        <v>50</v>
      </c>
      <c r="W1098" s="122" t="n">
        <v>37</v>
      </c>
      <c r="X1098" s="124">
        <f>IFERROR(W1098/S1098,"")</f>
        <v/>
      </c>
      <c r="Y1098" s="121">
        <f>IFERROR(R1098/W1098,"")</f>
        <v/>
      </c>
      <c r="Z1098" s="121">
        <f>IFERROR(R1098/S1098*1000,"")</f>
        <v/>
      </c>
      <c r="AA1098" s="122" t="n">
        <v>24</v>
      </c>
      <c r="AB1098" s="54">
        <f>IFERROR(AA1098/W1098,"")</f>
        <v/>
      </c>
      <c r="AC1098" s="122" t="n">
        <v>1346</v>
      </c>
      <c r="AD1098" s="122" t="n">
        <v>822</v>
      </c>
      <c r="AE1098" s="122" t="n">
        <v>511</v>
      </c>
      <c r="AF1098" s="122" t="n">
        <v>310</v>
      </c>
      <c r="AG1098" s="122" t="n">
        <v>212</v>
      </c>
      <c r="AH1098" s="122" t="n">
        <v>130</v>
      </c>
      <c r="AI1098" s="54">
        <f>IFERROR(AC1098/S1098,"")</f>
        <v/>
      </c>
      <c r="AJ1098" s="54">
        <f>IFERROR(AH1098/S1098,"")</f>
        <v/>
      </c>
      <c r="AK1098" s="122" t="n">
        <v>140</v>
      </c>
      <c r="AL1098" s="122" t="n">
        <v>1</v>
      </c>
      <c r="AM1098" s="124">
        <f>IFERROR(AL1098/AA1098,"")</f>
        <v/>
      </c>
      <c r="AN1098" s="125">
        <f>IFERROR(R1098/AL1098,"")</f>
        <v/>
      </c>
      <c r="AO1098" s="122" t="n">
        <v>0</v>
      </c>
      <c r="AP1098" s="54">
        <f>IFERROR(AO1098/AL1098,"")</f>
        <v/>
      </c>
      <c r="AQ1098" s="125">
        <f>IFERROR(R1098/AO1098,"")</f>
        <v/>
      </c>
      <c r="AR1098" s="122" t="n">
        <v>0</v>
      </c>
      <c r="AS1098" s="122" t="n">
        <v>0</v>
      </c>
      <c r="AT1098" s="122">
        <f>AL1098+AR1098</f>
        <v/>
      </c>
      <c r="AU1098" s="125">
        <f>IFERROR(AO1098*Assumptions!$C$26*Assumptions!$C$27*INDEX(Assumptions!$C$18:$C$21,MATCH(H1098,Assumptions!$B$18:$B$21,0)),0)</f>
        <v/>
      </c>
    </row>
    <row r="1099">
      <c r="A1099" s="120" t="n">
        <v>46237</v>
      </c>
      <c r="B1099" s="66" t="inlineStr">
        <is>
          <t>Wk 32</t>
        </is>
      </c>
      <c r="C1099" s="66" t="inlineStr">
        <is>
          <t>Mon</t>
        </is>
      </c>
      <c r="D1099" s="66" t="inlineStr">
        <is>
          <t>TikTok</t>
        </is>
      </c>
      <c r="E1099" s="66" t="inlineStr">
        <is>
          <t>TikTok</t>
        </is>
      </c>
      <c r="F1099" s="66" t="inlineStr">
        <is>
          <t>LEP_ZA_AUG26_TT_TD_AMUR_CONV</t>
        </is>
      </c>
      <c r="G1099" s="66" t="inlineStr">
        <is>
          <t>Website Conversions</t>
        </is>
      </c>
      <c r="H1099" s="66" t="inlineStr">
        <is>
          <t>AMUR</t>
        </is>
      </c>
      <c r="I1099" s="66" t="inlineStr">
        <is>
          <t>0% Deposit</t>
        </is>
      </c>
      <c r="J1099" s="66" t="inlineStr">
        <is>
          <t>TT_AMUR_INT_AUTO_ZA</t>
        </is>
      </c>
      <c r="K1099" s="66" t="inlineStr">
        <is>
          <t>Interest</t>
        </is>
      </c>
      <c r="L1099" s="66" t="inlineStr">
        <is>
          <t>TT_AMUR_UGC_15s_FirstCar_v1</t>
        </is>
      </c>
      <c r="M1099" s="66" t="inlineStr">
        <is>
          <t>Video 9:16</t>
        </is>
      </c>
      <c r="N1099" s="66" t="inlineStr">
        <is>
          <t>POV: your first car isn't second-hand</t>
        </is>
      </c>
      <c r="O1099" s="66" t="inlineStr">
        <is>
          <t>Auction - Lowest Cost</t>
        </is>
      </c>
      <c r="P1099" s="66" t="inlineStr">
        <is>
          <t>Complete Payment / Lead</t>
        </is>
      </c>
      <c r="Q1099" s="66" t="inlineStr">
        <is>
          <t>https://www.lepas-sa.co.za/offers/amur</t>
        </is>
      </c>
      <c r="R1099" s="121" t="n">
        <v>145.02</v>
      </c>
      <c r="S1099" s="122" t="n">
        <v>3177</v>
      </c>
      <c r="T1099" s="122" t="n">
        <v>1862</v>
      </c>
      <c r="U1099" s="123">
        <f>IFERROR(S1099/T1099,"")</f>
        <v/>
      </c>
      <c r="V1099" s="122" t="n">
        <v>46</v>
      </c>
      <c r="W1099" s="122" t="n">
        <v>33</v>
      </c>
      <c r="X1099" s="124">
        <f>IFERROR(W1099/S1099,"")</f>
        <v/>
      </c>
      <c r="Y1099" s="121">
        <f>IFERROR(R1099/W1099,"")</f>
        <v/>
      </c>
      <c r="Z1099" s="121">
        <f>IFERROR(R1099/S1099*1000,"")</f>
        <v/>
      </c>
      <c r="AA1099" s="122" t="n">
        <v>20</v>
      </c>
      <c r="AB1099" s="54">
        <f>IFERROR(AA1099/W1099,"")</f>
        <v/>
      </c>
      <c r="AC1099" s="122" t="n">
        <v>1289</v>
      </c>
      <c r="AD1099" s="122" t="n">
        <v>675</v>
      </c>
      <c r="AE1099" s="122" t="n">
        <v>532</v>
      </c>
      <c r="AF1099" s="122" t="n">
        <v>335</v>
      </c>
      <c r="AG1099" s="122" t="n">
        <v>256</v>
      </c>
      <c r="AH1099" s="122" t="n">
        <v>176</v>
      </c>
      <c r="AI1099" s="54">
        <f>IFERROR(AC1099/S1099,"")</f>
        <v/>
      </c>
      <c r="AJ1099" s="54">
        <f>IFERROR(AH1099/S1099,"")</f>
        <v/>
      </c>
      <c r="AK1099" s="122" t="n">
        <v>133</v>
      </c>
      <c r="AL1099" s="122" t="n">
        <v>0</v>
      </c>
      <c r="AM1099" s="124">
        <f>IFERROR(AL1099/AA1099,"")</f>
        <v/>
      </c>
      <c r="AN1099" s="125">
        <f>IFERROR(R1099/AL1099,"")</f>
        <v/>
      </c>
      <c r="AO1099" s="122" t="n">
        <v>0</v>
      </c>
      <c r="AP1099" s="54">
        <f>IFERROR(AO1099/AL1099,"")</f>
        <v/>
      </c>
      <c r="AQ1099" s="125">
        <f>IFERROR(R1099/AO1099,"")</f>
        <v/>
      </c>
      <c r="AR1099" s="122" t="n">
        <v>0</v>
      </c>
      <c r="AS1099" s="122" t="n">
        <v>0</v>
      </c>
      <c r="AT1099" s="122">
        <f>AL1099+AR1099</f>
        <v/>
      </c>
      <c r="AU1099" s="125">
        <f>IFERROR(AO1099*Assumptions!$C$26*Assumptions!$C$27*INDEX(Assumptions!$C$18:$C$21,MATCH(H1099,Assumptions!$B$18:$B$21,0)),0)</f>
        <v/>
      </c>
    </row>
    <row r="1100">
      <c r="A1100" s="120" t="n">
        <v>46238</v>
      </c>
      <c r="B1100" s="66" t="inlineStr">
        <is>
          <t>Wk 32</t>
        </is>
      </c>
      <c r="C1100" s="66" t="inlineStr">
        <is>
          <t>Tue</t>
        </is>
      </c>
      <c r="D1100" s="66" t="inlineStr">
        <is>
          <t>TikTok</t>
        </is>
      </c>
      <c r="E1100" s="66" t="inlineStr">
        <is>
          <t>TikTok</t>
        </is>
      </c>
      <c r="F1100" s="66" t="inlineStr">
        <is>
          <t>LEP_ZA_AUG26_TT_TD_AMUR_CONV</t>
        </is>
      </c>
      <c r="G1100" s="66" t="inlineStr">
        <is>
          <t>Website Conversions</t>
        </is>
      </c>
      <c r="H1100" s="66" t="inlineStr">
        <is>
          <t>AMUR</t>
        </is>
      </c>
      <c r="I1100" s="66" t="inlineStr">
        <is>
          <t>0% Deposit</t>
        </is>
      </c>
      <c r="J1100" s="66" t="inlineStr">
        <is>
          <t>TT_AMUR_INT_AUTO_ZA</t>
        </is>
      </c>
      <c r="K1100" s="66" t="inlineStr">
        <is>
          <t>Interest</t>
        </is>
      </c>
      <c r="L1100" s="66" t="inlineStr">
        <is>
          <t>TT_AMUR_UGC_15s_FirstCar_v1</t>
        </is>
      </c>
      <c r="M1100" s="66" t="inlineStr">
        <is>
          <t>Video 9:16</t>
        </is>
      </c>
      <c r="N1100" s="66" t="inlineStr">
        <is>
          <t>POV: your first car isn't second-hand</t>
        </is>
      </c>
      <c r="O1100" s="66" t="inlineStr">
        <is>
          <t>Auction - Lowest Cost</t>
        </is>
      </c>
      <c r="P1100" s="66" t="inlineStr">
        <is>
          <t>Complete Payment / Lead</t>
        </is>
      </c>
      <c r="Q1100" s="66" t="inlineStr">
        <is>
          <t>https://www.lepas-sa.co.za/offers/amur</t>
        </is>
      </c>
      <c r="R1100" s="121" t="n">
        <v>146.2</v>
      </c>
      <c r="S1100" s="122" t="n">
        <v>3849</v>
      </c>
      <c r="T1100" s="122" t="n">
        <v>3083</v>
      </c>
      <c r="U1100" s="123">
        <f>IFERROR(S1100/T1100,"")</f>
        <v/>
      </c>
      <c r="V1100" s="122" t="n">
        <v>55</v>
      </c>
      <c r="W1100" s="122" t="n">
        <v>40</v>
      </c>
      <c r="X1100" s="124">
        <f>IFERROR(W1100/S1100,"")</f>
        <v/>
      </c>
      <c r="Y1100" s="121">
        <f>IFERROR(R1100/W1100,"")</f>
        <v/>
      </c>
      <c r="Z1100" s="121">
        <f>IFERROR(R1100/S1100*1000,"")</f>
        <v/>
      </c>
      <c r="AA1100" s="122" t="n">
        <v>27</v>
      </c>
      <c r="AB1100" s="54">
        <f>IFERROR(AA1100/W1100,"")</f>
        <v/>
      </c>
      <c r="AC1100" s="122" t="n">
        <v>1051</v>
      </c>
      <c r="AD1100" s="122" t="n">
        <v>572</v>
      </c>
      <c r="AE1100" s="122" t="n">
        <v>436</v>
      </c>
      <c r="AF1100" s="122" t="n">
        <v>250</v>
      </c>
      <c r="AG1100" s="122" t="n">
        <v>183</v>
      </c>
      <c r="AH1100" s="122" t="n">
        <v>135</v>
      </c>
      <c r="AI1100" s="54">
        <f>IFERROR(AC1100/S1100,"")</f>
        <v/>
      </c>
      <c r="AJ1100" s="54">
        <f>IFERROR(AH1100/S1100,"")</f>
        <v/>
      </c>
      <c r="AK1100" s="122" t="n">
        <v>208</v>
      </c>
      <c r="AL1100" s="122" t="n">
        <v>0</v>
      </c>
      <c r="AM1100" s="124">
        <f>IFERROR(AL1100/AA1100,"")</f>
        <v/>
      </c>
      <c r="AN1100" s="125">
        <f>IFERROR(R1100/AL1100,"")</f>
        <v/>
      </c>
      <c r="AO1100" s="122" t="n">
        <v>0</v>
      </c>
      <c r="AP1100" s="54">
        <f>IFERROR(AO1100/AL1100,"")</f>
        <v/>
      </c>
      <c r="AQ1100" s="125">
        <f>IFERROR(R1100/AO1100,"")</f>
        <v/>
      </c>
      <c r="AR1100" s="122" t="n">
        <v>0</v>
      </c>
      <c r="AS1100" s="122" t="n">
        <v>0</v>
      </c>
      <c r="AT1100" s="122">
        <f>AL1100+AR1100</f>
        <v/>
      </c>
      <c r="AU1100" s="125">
        <f>IFERROR(AO1100*Assumptions!$C$26*Assumptions!$C$27*INDEX(Assumptions!$C$18:$C$21,MATCH(H1100,Assumptions!$B$18:$B$21,0)),0)</f>
        <v/>
      </c>
    </row>
    <row r="1101">
      <c r="A1101" s="120" t="n">
        <v>46239</v>
      </c>
      <c r="B1101" s="66" t="inlineStr">
        <is>
          <t>Wk 32</t>
        </is>
      </c>
      <c r="C1101" s="66" t="inlineStr">
        <is>
          <t>Wed</t>
        </is>
      </c>
      <c r="D1101" s="66" t="inlineStr">
        <is>
          <t>TikTok</t>
        </is>
      </c>
      <c r="E1101" s="66" t="inlineStr">
        <is>
          <t>TikTok</t>
        </is>
      </c>
      <c r="F1101" s="66" t="inlineStr">
        <is>
          <t>LEP_ZA_AUG26_TT_TD_AMUR_CONV</t>
        </is>
      </c>
      <c r="G1101" s="66" t="inlineStr">
        <is>
          <t>Website Conversions</t>
        </is>
      </c>
      <c r="H1101" s="66" t="inlineStr">
        <is>
          <t>AMUR</t>
        </is>
      </c>
      <c r="I1101" s="66" t="inlineStr">
        <is>
          <t>0% Deposit</t>
        </is>
      </c>
      <c r="J1101" s="66" t="inlineStr">
        <is>
          <t>TT_AMUR_INT_AUTO_ZA</t>
        </is>
      </c>
      <c r="K1101" s="66" t="inlineStr">
        <is>
          <t>Interest</t>
        </is>
      </c>
      <c r="L1101" s="66" t="inlineStr">
        <is>
          <t>TT_AMUR_UGC_15s_FirstCar_v1</t>
        </is>
      </c>
      <c r="M1101" s="66" t="inlineStr">
        <is>
          <t>Video 9:16</t>
        </is>
      </c>
      <c r="N1101" s="66" t="inlineStr">
        <is>
          <t>POV: your first car isn't second-hand</t>
        </is>
      </c>
      <c r="O1101" s="66" t="inlineStr">
        <is>
          <t>Auction - Lowest Cost</t>
        </is>
      </c>
      <c r="P1101" s="66" t="inlineStr">
        <is>
          <t>Complete Payment / Lead</t>
        </is>
      </c>
      <c r="Q1101" s="66" t="inlineStr">
        <is>
          <t>https://www.lepas-sa.co.za/offers/amur</t>
        </is>
      </c>
      <c r="R1101" s="121" t="n">
        <v>202.57</v>
      </c>
      <c r="S1101" s="122" t="n">
        <v>6575</v>
      </c>
      <c r="T1101" s="122" t="n">
        <v>3760</v>
      </c>
      <c r="U1101" s="123">
        <f>IFERROR(S1101/T1101,"")</f>
        <v/>
      </c>
      <c r="V1101" s="122" t="n">
        <v>77</v>
      </c>
      <c r="W1101" s="122" t="n">
        <v>59</v>
      </c>
      <c r="X1101" s="124">
        <f>IFERROR(W1101/S1101,"")</f>
        <v/>
      </c>
      <c r="Y1101" s="121">
        <f>IFERROR(R1101/W1101,"")</f>
        <v/>
      </c>
      <c r="Z1101" s="121">
        <f>IFERROR(R1101/S1101*1000,"")</f>
        <v/>
      </c>
      <c r="AA1101" s="122" t="n">
        <v>43</v>
      </c>
      <c r="AB1101" s="54">
        <f>IFERROR(AA1101/W1101,"")</f>
        <v/>
      </c>
      <c r="AC1101" s="122" t="n">
        <v>1999</v>
      </c>
      <c r="AD1101" s="122" t="n">
        <v>1155</v>
      </c>
      <c r="AE1101" s="122" t="n">
        <v>936</v>
      </c>
      <c r="AF1101" s="122" t="n">
        <v>635</v>
      </c>
      <c r="AG1101" s="122" t="n">
        <v>507</v>
      </c>
      <c r="AH1101" s="122" t="n">
        <v>347</v>
      </c>
      <c r="AI1101" s="54">
        <f>IFERROR(AC1101/S1101,"")</f>
        <v/>
      </c>
      <c r="AJ1101" s="54">
        <f>IFERROR(AH1101/S1101,"")</f>
        <v/>
      </c>
      <c r="AK1101" s="122" t="n">
        <v>160</v>
      </c>
      <c r="AL1101" s="122" t="n">
        <v>0</v>
      </c>
      <c r="AM1101" s="124">
        <f>IFERROR(AL1101/AA1101,"")</f>
        <v/>
      </c>
      <c r="AN1101" s="125">
        <f>IFERROR(R1101/AL1101,"")</f>
        <v/>
      </c>
      <c r="AO1101" s="122" t="n">
        <v>0</v>
      </c>
      <c r="AP1101" s="54">
        <f>IFERROR(AO1101/AL1101,"")</f>
        <v/>
      </c>
      <c r="AQ1101" s="125">
        <f>IFERROR(R1101/AO1101,"")</f>
        <v/>
      </c>
      <c r="AR1101" s="122" t="n">
        <v>0</v>
      </c>
      <c r="AS1101" s="122" t="n">
        <v>0</v>
      </c>
      <c r="AT1101" s="122">
        <f>AL1101+AR1101</f>
        <v/>
      </c>
      <c r="AU1101" s="125">
        <f>IFERROR(AO1101*Assumptions!$C$26*Assumptions!$C$27*INDEX(Assumptions!$C$18:$C$21,MATCH(H1101,Assumptions!$B$18:$B$21,0)),0)</f>
        <v/>
      </c>
    </row>
    <row r="1102">
      <c r="A1102" s="120" t="n">
        <v>46240</v>
      </c>
      <c r="B1102" s="66" t="inlineStr">
        <is>
          <t>Wk 32</t>
        </is>
      </c>
      <c r="C1102" s="66" t="inlineStr">
        <is>
          <t>Thu</t>
        </is>
      </c>
      <c r="D1102" s="66" t="inlineStr">
        <is>
          <t>TikTok</t>
        </is>
      </c>
      <c r="E1102" s="66" t="inlineStr">
        <is>
          <t>TikTok</t>
        </is>
      </c>
      <c r="F1102" s="66" t="inlineStr">
        <is>
          <t>LEP_ZA_AUG26_TT_TD_AMUR_CONV</t>
        </is>
      </c>
      <c r="G1102" s="66" t="inlineStr">
        <is>
          <t>Website Conversions</t>
        </is>
      </c>
      <c r="H1102" s="66" t="inlineStr">
        <is>
          <t>AMUR</t>
        </is>
      </c>
      <c r="I1102" s="66" t="inlineStr">
        <is>
          <t>0% Deposit</t>
        </is>
      </c>
      <c r="J1102" s="66" t="inlineStr">
        <is>
          <t>TT_AMUR_INT_AUTO_ZA</t>
        </is>
      </c>
      <c r="K1102" s="66" t="inlineStr">
        <is>
          <t>Interest</t>
        </is>
      </c>
      <c r="L1102" s="66" t="inlineStr">
        <is>
          <t>TT_AMUR_UGC_15s_FirstCar_v1</t>
        </is>
      </c>
      <c r="M1102" s="66" t="inlineStr">
        <is>
          <t>Video 9:16</t>
        </is>
      </c>
      <c r="N1102" s="66" t="inlineStr">
        <is>
          <t>POV: your first car isn't second-hand</t>
        </is>
      </c>
      <c r="O1102" s="66" t="inlineStr">
        <is>
          <t>Auction - Lowest Cost</t>
        </is>
      </c>
      <c r="P1102" s="66" t="inlineStr">
        <is>
          <t>Complete Payment / Lead</t>
        </is>
      </c>
      <c r="Q1102" s="66" t="inlineStr">
        <is>
          <t>https://www.lepas-sa.co.za/offers/amur</t>
        </is>
      </c>
      <c r="R1102" s="121" t="n">
        <v>182.83</v>
      </c>
      <c r="S1102" s="122" t="n">
        <v>5644</v>
      </c>
      <c r="T1102" s="122" t="n">
        <v>4486</v>
      </c>
      <c r="U1102" s="123">
        <f>IFERROR(S1102/T1102,"")</f>
        <v/>
      </c>
      <c r="V1102" s="122" t="n">
        <v>82</v>
      </c>
      <c r="W1102" s="122" t="n">
        <v>64</v>
      </c>
      <c r="X1102" s="124">
        <f>IFERROR(W1102/S1102,"")</f>
        <v/>
      </c>
      <c r="Y1102" s="121">
        <f>IFERROR(R1102/W1102,"")</f>
        <v/>
      </c>
      <c r="Z1102" s="121">
        <f>IFERROR(R1102/S1102*1000,"")</f>
        <v/>
      </c>
      <c r="AA1102" s="122" t="n">
        <v>44</v>
      </c>
      <c r="AB1102" s="54">
        <f>IFERROR(AA1102/W1102,"")</f>
        <v/>
      </c>
      <c r="AC1102" s="122" t="n">
        <v>1867</v>
      </c>
      <c r="AD1102" s="122" t="n">
        <v>1018</v>
      </c>
      <c r="AE1102" s="122" t="n">
        <v>783</v>
      </c>
      <c r="AF1102" s="122" t="n">
        <v>551</v>
      </c>
      <c r="AG1102" s="122" t="n">
        <v>366</v>
      </c>
      <c r="AH1102" s="122" t="n">
        <v>253</v>
      </c>
      <c r="AI1102" s="54">
        <f>IFERROR(AC1102/S1102,"")</f>
        <v/>
      </c>
      <c r="AJ1102" s="54">
        <f>IFERROR(AH1102/S1102,"")</f>
        <v/>
      </c>
      <c r="AK1102" s="122" t="n">
        <v>289</v>
      </c>
      <c r="AL1102" s="122" t="n">
        <v>0</v>
      </c>
      <c r="AM1102" s="124">
        <f>IFERROR(AL1102/AA1102,"")</f>
        <v/>
      </c>
      <c r="AN1102" s="125">
        <f>IFERROR(R1102/AL1102,"")</f>
        <v/>
      </c>
      <c r="AO1102" s="122" t="n">
        <v>0</v>
      </c>
      <c r="AP1102" s="54">
        <f>IFERROR(AO1102/AL1102,"")</f>
        <v/>
      </c>
      <c r="AQ1102" s="125">
        <f>IFERROR(R1102/AO1102,"")</f>
        <v/>
      </c>
      <c r="AR1102" s="122" t="n">
        <v>0</v>
      </c>
      <c r="AS1102" s="122" t="n">
        <v>0</v>
      </c>
      <c r="AT1102" s="122">
        <f>AL1102+AR1102</f>
        <v/>
      </c>
      <c r="AU1102" s="125">
        <f>IFERROR(AO1102*Assumptions!$C$26*Assumptions!$C$27*INDEX(Assumptions!$C$18:$C$21,MATCH(H1102,Assumptions!$B$18:$B$21,0)),0)</f>
        <v/>
      </c>
    </row>
    <row r="1103">
      <c r="A1103" s="120" t="n">
        <v>46241</v>
      </c>
      <c r="B1103" s="66" t="inlineStr">
        <is>
          <t>Wk 32</t>
        </is>
      </c>
      <c r="C1103" s="66" t="inlineStr">
        <is>
          <t>Fri</t>
        </is>
      </c>
      <c r="D1103" s="66" t="inlineStr">
        <is>
          <t>TikTok</t>
        </is>
      </c>
      <c r="E1103" s="66" t="inlineStr">
        <is>
          <t>TikTok</t>
        </is>
      </c>
      <c r="F1103" s="66" t="inlineStr">
        <is>
          <t>LEP_ZA_AUG26_TT_TD_AMUR_CONV</t>
        </is>
      </c>
      <c r="G1103" s="66" t="inlineStr">
        <is>
          <t>Website Conversions</t>
        </is>
      </c>
      <c r="H1103" s="66" t="inlineStr">
        <is>
          <t>AMUR</t>
        </is>
      </c>
      <c r="I1103" s="66" t="inlineStr">
        <is>
          <t>0% Deposit</t>
        </is>
      </c>
      <c r="J1103" s="66" t="inlineStr">
        <is>
          <t>TT_AMUR_INT_AUTO_ZA</t>
        </is>
      </c>
      <c r="K1103" s="66" t="inlineStr">
        <is>
          <t>Interest</t>
        </is>
      </c>
      <c r="L1103" s="66" t="inlineStr">
        <is>
          <t>TT_AMUR_UGC_15s_FirstCar_v1</t>
        </is>
      </c>
      <c r="M1103" s="66" t="inlineStr">
        <is>
          <t>Video 9:16</t>
        </is>
      </c>
      <c r="N1103" s="66" t="inlineStr">
        <is>
          <t>POV: your first car isn't second-hand</t>
        </is>
      </c>
      <c r="O1103" s="66" t="inlineStr">
        <is>
          <t>Auction - Lowest Cost</t>
        </is>
      </c>
      <c r="P1103" s="66" t="inlineStr">
        <is>
          <t>Complete Payment / Lead</t>
        </is>
      </c>
      <c r="Q1103" s="66" t="inlineStr">
        <is>
          <t>https://www.lepas-sa.co.za/offers/amur</t>
        </is>
      </c>
      <c r="R1103" s="121" t="n">
        <v>205.4</v>
      </c>
      <c r="S1103" s="122" t="n">
        <v>6360</v>
      </c>
      <c r="T1103" s="122" t="n">
        <v>3529</v>
      </c>
      <c r="U1103" s="123">
        <f>IFERROR(S1103/T1103,"")</f>
        <v/>
      </c>
      <c r="V1103" s="122" t="n">
        <v>102</v>
      </c>
      <c r="W1103" s="122" t="n">
        <v>81</v>
      </c>
      <c r="X1103" s="124">
        <f>IFERROR(W1103/S1103,"")</f>
        <v/>
      </c>
      <c r="Y1103" s="121">
        <f>IFERROR(R1103/W1103,"")</f>
        <v/>
      </c>
      <c r="Z1103" s="121">
        <f>IFERROR(R1103/S1103*1000,"")</f>
        <v/>
      </c>
      <c r="AA1103" s="122" t="n">
        <v>59</v>
      </c>
      <c r="AB1103" s="54">
        <f>IFERROR(AA1103/W1103,"")</f>
        <v/>
      </c>
      <c r="AC1103" s="122" t="n">
        <v>2178</v>
      </c>
      <c r="AD1103" s="122" t="n">
        <v>995</v>
      </c>
      <c r="AE1103" s="122" t="n">
        <v>797</v>
      </c>
      <c r="AF1103" s="122" t="n">
        <v>492</v>
      </c>
      <c r="AG1103" s="122" t="n">
        <v>355</v>
      </c>
      <c r="AH1103" s="122" t="n">
        <v>256</v>
      </c>
      <c r="AI1103" s="54">
        <f>IFERROR(AC1103/S1103,"")</f>
        <v/>
      </c>
      <c r="AJ1103" s="54">
        <f>IFERROR(AH1103/S1103,"")</f>
        <v/>
      </c>
      <c r="AK1103" s="122" t="n">
        <v>231</v>
      </c>
      <c r="AL1103" s="122" t="n">
        <v>1</v>
      </c>
      <c r="AM1103" s="124">
        <f>IFERROR(AL1103/AA1103,"")</f>
        <v/>
      </c>
      <c r="AN1103" s="125">
        <f>IFERROR(R1103/AL1103,"")</f>
        <v/>
      </c>
      <c r="AO1103" s="122" t="n">
        <v>1</v>
      </c>
      <c r="AP1103" s="54">
        <f>IFERROR(AO1103/AL1103,"")</f>
        <v/>
      </c>
      <c r="AQ1103" s="125">
        <f>IFERROR(R1103/AO1103,"")</f>
        <v/>
      </c>
      <c r="AR1103" s="122" t="n">
        <v>1</v>
      </c>
      <c r="AS1103" s="122" t="n">
        <v>0</v>
      </c>
      <c r="AT1103" s="122">
        <f>AL1103+AR1103</f>
        <v/>
      </c>
      <c r="AU1103" s="125">
        <f>IFERROR(AO1103*Assumptions!$C$26*Assumptions!$C$27*INDEX(Assumptions!$C$18:$C$21,MATCH(H1103,Assumptions!$B$18:$B$21,0)),0)</f>
        <v/>
      </c>
    </row>
    <row r="1104">
      <c r="A1104" s="120" t="n">
        <v>46242</v>
      </c>
      <c r="B1104" s="66" t="inlineStr">
        <is>
          <t>Wk 32</t>
        </is>
      </c>
      <c r="C1104" s="66" t="inlineStr">
        <is>
          <t>Sat</t>
        </is>
      </c>
      <c r="D1104" s="66" t="inlineStr">
        <is>
          <t>TikTok</t>
        </is>
      </c>
      <c r="E1104" s="66" t="inlineStr">
        <is>
          <t>TikTok</t>
        </is>
      </c>
      <c r="F1104" s="66" t="inlineStr">
        <is>
          <t>LEP_ZA_AUG26_TT_TD_AMUR_CONV</t>
        </is>
      </c>
      <c r="G1104" s="66" t="inlineStr">
        <is>
          <t>Website Conversions</t>
        </is>
      </c>
      <c r="H1104" s="66" t="inlineStr">
        <is>
          <t>AMUR</t>
        </is>
      </c>
      <c r="I1104" s="66" t="inlineStr">
        <is>
          <t>0% Deposit</t>
        </is>
      </c>
      <c r="J1104" s="66" t="inlineStr">
        <is>
          <t>TT_AMUR_INT_AUTO_ZA</t>
        </is>
      </c>
      <c r="K1104" s="66" t="inlineStr">
        <is>
          <t>Interest</t>
        </is>
      </c>
      <c r="L1104" s="66" t="inlineStr">
        <is>
          <t>TT_AMUR_UGC_15s_FirstCar_v1</t>
        </is>
      </c>
      <c r="M1104" s="66" t="inlineStr">
        <is>
          <t>Video 9:16</t>
        </is>
      </c>
      <c r="N1104" s="66" t="inlineStr">
        <is>
          <t>POV: your first car isn't second-hand</t>
        </is>
      </c>
      <c r="O1104" s="66" t="inlineStr">
        <is>
          <t>Auction - Lowest Cost</t>
        </is>
      </c>
      <c r="P1104" s="66" t="inlineStr">
        <is>
          <t>Complete Payment / Lead</t>
        </is>
      </c>
      <c r="Q1104" s="66" t="inlineStr">
        <is>
          <t>https://www.lepas-sa.co.za/offers/amur</t>
        </is>
      </c>
      <c r="R1104" s="121" t="n">
        <v>204.63</v>
      </c>
      <c r="S1104" s="122" t="n">
        <v>4800</v>
      </c>
      <c r="T1104" s="122" t="n">
        <v>3203</v>
      </c>
      <c r="U1104" s="123">
        <f>IFERROR(S1104/T1104,"")</f>
        <v/>
      </c>
      <c r="V1104" s="122" t="n">
        <v>65</v>
      </c>
      <c r="W1104" s="122" t="n">
        <v>54</v>
      </c>
      <c r="X1104" s="124">
        <f>IFERROR(W1104/S1104,"")</f>
        <v/>
      </c>
      <c r="Y1104" s="121">
        <f>IFERROR(R1104/W1104,"")</f>
        <v/>
      </c>
      <c r="Z1104" s="121">
        <f>IFERROR(R1104/S1104*1000,"")</f>
        <v/>
      </c>
      <c r="AA1104" s="122" t="n">
        <v>40</v>
      </c>
      <c r="AB1104" s="54">
        <f>IFERROR(AA1104/W1104,"")</f>
        <v/>
      </c>
      <c r="AC1104" s="122" t="n">
        <v>1252</v>
      </c>
      <c r="AD1104" s="122" t="n">
        <v>683</v>
      </c>
      <c r="AE1104" s="122" t="n">
        <v>641</v>
      </c>
      <c r="AF1104" s="122" t="n">
        <v>411</v>
      </c>
      <c r="AG1104" s="122" t="n">
        <v>285</v>
      </c>
      <c r="AH1104" s="122" t="n">
        <v>170</v>
      </c>
      <c r="AI1104" s="54">
        <f>IFERROR(AC1104/S1104,"")</f>
        <v/>
      </c>
      <c r="AJ1104" s="54">
        <f>IFERROR(AH1104/S1104,"")</f>
        <v/>
      </c>
      <c r="AK1104" s="122" t="n">
        <v>219</v>
      </c>
      <c r="AL1104" s="122" t="n">
        <v>1</v>
      </c>
      <c r="AM1104" s="124">
        <f>IFERROR(AL1104/AA1104,"")</f>
        <v/>
      </c>
      <c r="AN1104" s="125">
        <f>IFERROR(R1104/AL1104,"")</f>
        <v/>
      </c>
      <c r="AO1104" s="122" t="n">
        <v>0</v>
      </c>
      <c r="AP1104" s="54">
        <f>IFERROR(AO1104/AL1104,"")</f>
        <v/>
      </c>
      <c r="AQ1104" s="125">
        <f>IFERROR(R1104/AO1104,"")</f>
        <v/>
      </c>
      <c r="AR1104" s="122" t="n">
        <v>1</v>
      </c>
      <c r="AS1104" s="122" t="n">
        <v>0</v>
      </c>
      <c r="AT1104" s="122">
        <f>AL1104+AR1104</f>
        <v/>
      </c>
      <c r="AU1104" s="125">
        <f>IFERROR(AO1104*Assumptions!$C$26*Assumptions!$C$27*INDEX(Assumptions!$C$18:$C$21,MATCH(H1104,Assumptions!$B$18:$B$21,0)),0)</f>
        <v/>
      </c>
    </row>
    <row r="1105">
      <c r="A1105" s="120" t="n">
        <v>46243</v>
      </c>
      <c r="B1105" s="66" t="inlineStr">
        <is>
          <t>Wk 32</t>
        </is>
      </c>
      <c r="C1105" s="66" t="inlineStr">
        <is>
          <t>Sun</t>
        </is>
      </c>
      <c r="D1105" s="66" t="inlineStr">
        <is>
          <t>TikTok</t>
        </is>
      </c>
      <c r="E1105" s="66" t="inlineStr">
        <is>
          <t>TikTok</t>
        </is>
      </c>
      <c r="F1105" s="66" t="inlineStr">
        <is>
          <t>LEP_ZA_AUG26_TT_TD_AMUR_CONV</t>
        </is>
      </c>
      <c r="G1105" s="66" t="inlineStr">
        <is>
          <t>Website Conversions</t>
        </is>
      </c>
      <c r="H1105" s="66" t="inlineStr">
        <is>
          <t>AMUR</t>
        </is>
      </c>
      <c r="I1105" s="66" t="inlineStr">
        <is>
          <t>0% Deposit</t>
        </is>
      </c>
      <c r="J1105" s="66" t="inlineStr">
        <is>
          <t>TT_AMUR_INT_AUTO_ZA</t>
        </is>
      </c>
      <c r="K1105" s="66" t="inlineStr">
        <is>
          <t>Interest</t>
        </is>
      </c>
      <c r="L1105" s="66" t="inlineStr">
        <is>
          <t>TT_AMUR_UGC_15s_FirstCar_v1</t>
        </is>
      </c>
      <c r="M1105" s="66" t="inlineStr">
        <is>
          <t>Video 9:16</t>
        </is>
      </c>
      <c r="N1105" s="66" t="inlineStr">
        <is>
          <t>POV: your first car isn't second-hand</t>
        </is>
      </c>
      <c r="O1105" s="66" t="inlineStr">
        <is>
          <t>Auction - Lowest Cost</t>
        </is>
      </c>
      <c r="P1105" s="66" t="inlineStr">
        <is>
          <t>Complete Payment / Lead</t>
        </is>
      </c>
      <c r="Q1105" s="66" t="inlineStr">
        <is>
          <t>https://www.lepas-sa.co.za/offers/amur</t>
        </is>
      </c>
      <c r="R1105" s="121" t="n">
        <v>133.61</v>
      </c>
      <c r="S1105" s="122" t="n">
        <v>3110</v>
      </c>
      <c r="T1105" s="122" t="n">
        <v>2417</v>
      </c>
      <c r="U1105" s="123">
        <f>IFERROR(S1105/T1105,"")</f>
        <v/>
      </c>
      <c r="V1105" s="122" t="n">
        <v>43</v>
      </c>
      <c r="W1105" s="122" t="n">
        <v>36</v>
      </c>
      <c r="X1105" s="124">
        <f>IFERROR(W1105/S1105,"")</f>
        <v/>
      </c>
      <c r="Y1105" s="121">
        <f>IFERROR(R1105/W1105,"")</f>
        <v/>
      </c>
      <c r="Z1105" s="121">
        <f>IFERROR(R1105/S1105*1000,"")</f>
        <v/>
      </c>
      <c r="AA1105" s="122" t="n">
        <v>26</v>
      </c>
      <c r="AB1105" s="54">
        <f>IFERROR(AA1105/W1105,"")</f>
        <v/>
      </c>
      <c r="AC1105" s="122" t="n">
        <v>740</v>
      </c>
      <c r="AD1105" s="122" t="n">
        <v>366</v>
      </c>
      <c r="AE1105" s="122" t="n">
        <v>397</v>
      </c>
      <c r="AF1105" s="122" t="n">
        <v>254</v>
      </c>
      <c r="AG1105" s="122" t="n">
        <v>199</v>
      </c>
      <c r="AH1105" s="122" t="n">
        <v>138</v>
      </c>
      <c r="AI1105" s="54">
        <f>IFERROR(AC1105/S1105,"")</f>
        <v/>
      </c>
      <c r="AJ1105" s="54">
        <f>IFERROR(AH1105/S1105,"")</f>
        <v/>
      </c>
      <c r="AK1105" s="122" t="n">
        <v>101</v>
      </c>
      <c r="AL1105" s="122" t="n">
        <v>1</v>
      </c>
      <c r="AM1105" s="124">
        <f>IFERROR(AL1105/AA1105,"")</f>
        <v/>
      </c>
      <c r="AN1105" s="125">
        <f>IFERROR(R1105/AL1105,"")</f>
        <v/>
      </c>
      <c r="AO1105" s="122" t="n">
        <v>1</v>
      </c>
      <c r="AP1105" s="54">
        <f>IFERROR(AO1105/AL1105,"")</f>
        <v/>
      </c>
      <c r="AQ1105" s="125">
        <f>IFERROR(R1105/AO1105,"")</f>
        <v/>
      </c>
      <c r="AR1105" s="122" t="n">
        <v>0</v>
      </c>
      <c r="AS1105" s="122" t="n">
        <v>0</v>
      </c>
      <c r="AT1105" s="122">
        <f>AL1105+AR1105</f>
        <v/>
      </c>
      <c r="AU1105" s="125">
        <f>IFERROR(AO1105*Assumptions!$C$26*Assumptions!$C$27*INDEX(Assumptions!$C$18:$C$21,MATCH(H1105,Assumptions!$B$18:$B$21,0)),0)</f>
        <v/>
      </c>
    </row>
    <row r="1106">
      <c r="A1106" s="120" t="n">
        <v>46244</v>
      </c>
      <c r="B1106" s="66" t="inlineStr">
        <is>
          <t>Wk 33</t>
        </is>
      </c>
      <c r="C1106" s="66" t="inlineStr">
        <is>
          <t>Mon</t>
        </is>
      </c>
      <c r="D1106" s="66" t="inlineStr">
        <is>
          <t>TikTok</t>
        </is>
      </c>
      <c r="E1106" s="66" t="inlineStr">
        <is>
          <t>TikTok</t>
        </is>
      </c>
      <c r="F1106" s="66" t="inlineStr">
        <is>
          <t>LEP_ZA_AUG26_TT_TD_AMUR_CONV</t>
        </is>
      </c>
      <c r="G1106" s="66" t="inlineStr">
        <is>
          <t>Website Conversions</t>
        </is>
      </c>
      <c r="H1106" s="66" t="inlineStr">
        <is>
          <t>AMUR</t>
        </is>
      </c>
      <c r="I1106" s="66" t="inlineStr">
        <is>
          <t>0% Deposit</t>
        </is>
      </c>
      <c r="J1106" s="66" t="inlineStr">
        <is>
          <t>TT_AMUR_INT_AUTO_ZA</t>
        </is>
      </c>
      <c r="K1106" s="66" t="inlineStr">
        <is>
          <t>Interest</t>
        </is>
      </c>
      <c r="L1106" s="66" t="inlineStr">
        <is>
          <t>TT_AMUR_UGC_15s_FirstCar_v1</t>
        </is>
      </c>
      <c r="M1106" s="66" t="inlineStr">
        <is>
          <t>Video 9:16</t>
        </is>
      </c>
      <c r="N1106" s="66" t="inlineStr">
        <is>
          <t>POV: your first car isn't second-hand</t>
        </is>
      </c>
      <c r="O1106" s="66" t="inlineStr">
        <is>
          <t>Auction - Lowest Cost</t>
        </is>
      </c>
      <c r="P1106" s="66" t="inlineStr">
        <is>
          <t>Complete Payment / Lead</t>
        </is>
      </c>
      <c r="Q1106" s="66" t="inlineStr">
        <is>
          <t>https://www.lepas-sa.co.za/offers/amur</t>
        </is>
      </c>
      <c r="R1106" s="121" t="n">
        <v>205.68</v>
      </c>
      <c r="S1106" s="122" t="n">
        <v>5196</v>
      </c>
      <c r="T1106" s="122" t="n">
        <v>3923</v>
      </c>
      <c r="U1106" s="123">
        <f>IFERROR(S1106/T1106,"")</f>
        <v/>
      </c>
      <c r="V1106" s="122" t="n">
        <v>77</v>
      </c>
      <c r="W1106" s="122" t="n">
        <v>61</v>
      </c>
      <c r="X1106" s="124">
        <f>IFERROR(W1106/S1106,"")</f>
        <v/>
      </c>
      <c r="Y1106" s="121">
        <f>IFERROR(R1106/W1106,"")</f>
        <v/>
      </c>
      <c r="Z1106" s="121">
        <f>IFERROR(R1106/S1106*1000,"")</f>
        <v/>
      </c>
      <c r="AA1106" s="122" t="n">
        <v>38</v>
      </c>
      <c r="AB1106" s="54">
        <f>IFERROR(AA1106/W1106,"")</f>
        <v/>
      </c>
      <c r="AC1106" s="122" t="n">
        <v>1642</v>
      </c>
      <c r="AD1106" s="122" t="n">
        <v>1005</v>
      </c>
      <c r="AE1106" s="122" t="n">
        <v>748</v>
      </c>
      <c r="AF1106" s="122" t="n">
        <v>477</v>
      </c>
      <c r="AG1106" s="122" t="n">
        <v>301</v>
      </c>
      <c r="AH1106" s="122" t="n">
        <v>183</v>
      </c>
      <c r="AI1106" s="54">
        <f>IFERROR(AC1106/S1106,"")</f>
        <v/>
      </c>
      <c r="AJ1106" s="54">
        <f>IFERROR(AH1106/S1106,"")</f>
        <v/>
      </c>
      <c r="AK1106" s="122" t="n">
        <v>119</v>
      </c>
      <c r="AL1106" s="122" t="n">
        <v>0</v>
      </c>
      <c r="AM1106" s="124">
        <f>IFERROR(AL1106/AA1106,"")</f>
        <v/>
      </c>
      <c r="AN1106" s="125">
        <f>IFERROR(R1106/AL1106,"")</f>
        <v/>
      </c>
      <c r="AO1106" s="122" t="n">
        <v>0</v>
      </c>
      <c r="AP1106" s="54">
        <f>IFERROR(AO1106/AL1106,"")</f>
        <v/>
      </c>
      <c r="AQ1106" s="125">
        <f>IFERROR(R1106/AO1106,"")</f>
        <v/>
      </c>
      <c r="AR1106" s="122" t="n">
        <v>0</v>
      </c>
      <c r="AS1106" s="122" t="n">
        <v>0</v>
      </c>
      <c r="AT1106" s="122">
        <f>AL1106+AR1106</f>
        <v/>
      </c>
      <c r="AU1106" s="125">
        <f>IFERROR(AO1106*Assumptions!$C$26*Assumptions!$C$27*INDEX(Assumptions!$C$18:$C$21,MATCH(H1106,Assumptions!$B$18:$B$21,0)),0)</f>
        <v/>
      </c>
    </row>
    <row r="1107">
      <c r="A1107" s="120" t="n">
        <v>46245</v>
      </c>
      <c r="B1107" s="66" t="inlineStr">
        <is>
          <t>Wk 33</t>
        </is>
      </c>
      <c r="C1107" s="66" t="inlineStr">
        <is>
          <t>Tue</t>
        </is>
      </c>
      <c r="D1107" s="66" t="inlineStr">
        <is>
          <t>TikTok</t>
        </is>
      </c>
      <c r="E1107" s="66" t="inlineStr">
        <is>
          <t>TikTok</t>
        </is>
      </c>
      <c r="F1107" s="66" t="inlineStr">
        <is>
          <t>LEP_ZA_AUG26_TT_TD_AMUR_CONV</t>
        </is>
      </c>
      <c r="G1107" s="66" t="inlineStr">
        <is>
          <t>Website Conversions</t>
        </is>
      </c>
      <c r="H1107" s="66" t="inlineStr">
        <is>
          <t>AMUR</t>
        </is>
      </c>
      <c r="I1107" s="66" t="inlineStr">
        <is>
          <t>0% Deposit</t>
        </is>
      </c>
      <c r="J1107" s="66" t="inlineStr">
        <is>
          <t>TT_AMUR_INT_AUTO_ZA</t>
        </is>
      </c>
      <c r="K1107" s="66" t="inlineStr">
        <is>
          <t>Interest</t>
        </is>
      </c>
      <c r="L1107" s="66" t="inlineStr">
        <is>
          <t>TT_AMUR_UGC_15s_FirstCar_v1</t>
        </is>
      </c>
      <c r="M1107" s="66" t="inlineStr">
        <is>
          <t>Video 9:16</t>
        </is>
      </c>
      <c r="N1107" s="66" t="inlineStr">
        <is>
          <t>POV: your first car isn't second-hand</t>
        </is>
      </c>
      <c r="O1107" s="66" t="inlineStr">
        <is>
          <t>Auction - Lowest Cost</t>
        </is>
      </c>
      <c r="P1107" s="66" t="inlineStr">
        <is>
          <t>Complete Payment / Lead</t>
        </is>
      </c>
      <c r="Q1107" s="66" t="inlineStr">
        <is>
          <t>https://www.lepas-sa.co.za/offers/amur</t>
        </is>
      </c>
      <c r="R1107" s="121" t="n">
        <v>182.38</v>
      </c>
      <c r="S1107" s="122" t="n">
        <v>5012</v>
      </c>
      <c r="T1107" s="122" t="n">
        <v>2728</v>
      </c>
      <c r="U1107" s="123">
        <f>IFERROR(S1107/T1107,"")</f>
        <v/>
      </c>
      <c r="V1107" s="122" t="n">
        <v>30</v>
      </c>
      <c r="W1107" s="122" t="n">
        <v>25</v>
      </c>
      <c r="X1107" s="124">
        <f>IFERROR(W1107/S1107,"")</f>
        <v/>
      </c>
      <c r="Y1107" s="121">
        <f>IFERROR(R1107/W1107,"")</f>
        <v/>
      </c>
      <c r="Z1107" s="121">
        <f>IFERROR(R1107/S1107*1000,"")</f>
        <v/>
      </c>
      <c r="AA1107" s="122" t="n">
        <v>19</v>
      </c>
      <c r="AB1107" s="54">
        <f>IFERROR(AA1107/W1107,"")</f>
        <v/>
      </c>
      <c r="AC1107" s="122" t="n">
        <v>1832</v>
      </c>
      <c r="AD1107" s="122" t="n">
        <v>934</v>
      </c>
      <c r="AE1107" s="122" t="n">
        <v>704</v>
      </c>
      <c r="AF1107" s="122" t="n">
        <v>488</v>
      </c>
      <c r="AG1107" s="122" t="n">
        <v>309</v>
      </c>
      <c r="AH1107" s="122" t="n">
        <v>206</v>
      </c>
      <c r="AI1107" s="54">
        <f>IFERROR(AC1107/S1107,"")</f>
        <v/>
      </c>
      <c r="AJ1107" s="54">
        <f>IFERROR(AH1107/S1107,"")</f>
        <v/>
      </c>
      <c r="AK1107" s="122" t="n">
        <v>195</v>
      </c>
      <c r="AL1107" s="122" t="n">
        <v>1</v>
      </c>
      <c r="AM1107" s="124">
        <f>IFERROR(AL1107/AA1107,"")</f>
        <v/>
      </c>
      <c r="AN1107" s="125">
        <f>IFERROR(R1107/AL1107,"")</f>
        <v/>
      </c>
      <c r="AO1107" s="122" t="n">
        <v>1</v>
      </c>
      <c r="AP1107" s="54">
        <f>IFERROR(AO1107/AL1107,"")</f>
        <v/>
      </c>
      <c r="AQ1107" s="125">
        <f>IFERROR(R1107/AO1107,"")</f>
        <v/>
      </c>
      <c r="AR1107" s="122" t="n">
        <v>1</v>
      </c>
      <c r="AS1107" s="122" t="n">
        <v>0</v>
      </c>
      <c r="AT1107" s="122">
        <f>AL1107+AR1107</f>
        <v/>
      </c>
      <c r="AU1107" s="125">
        <f>IFERROR(AO1107*Assumptions!$C$26*Assumptions!$C$27*INDEX(Assumptions!$C$18:$C$21,MATCH(H1107,Assumptions!$B$18:$B$21,0)),0)</f>
        <v/>
      </c>
    </row>
    <row r="1108">
      <c r="A1108" s="120" t="n">
        <v>46246</v>
      </c>
      <c r="B1108" s="66" t="inlineStr">
        <is>
          <t>Wk 33</t>
        </is>
      </c>
      <c r="C1108" s="66" t="inlineStr">
        <is>
          <t>Wed</t>
        </is>
      </c>
      <c r="D1108" s="66" t="inlineStr">
        <is>
          <t>TikTok</t>
        </is>
      </c>
      <c r="E1108" s="66" t="inlineStr">
        <is>
          <t>TikTok</t>
        </is>
      </c>
      <c r="F1108" s="66" t="inlineStr">
        <is>
          <t>LEP_ZA_AUG26_TT_TD_AMUR_CONV</t>
        </is>
      </c>
      <c r="G1108" s="66" t="inlineStr">
        <is>
          <t>Website Conversions</t>
        </is>
      </c>
      <c r="H1108" s="66" t="inlineStr">
        <is>
          <t>AMUR</t>
        </is>
      </c>
      <c r="I1108" s="66" t="inlineStr">
        <is>
          <t>0% Deposit</t>
        </is>
      </c>
      <c r="J1108" s="66" t="inlineStr">
        <is>
          <t>TT_AMUR_INT_AUTO_ZA</t>
        </is>
      </c>
      <c r="K1108" s="66" t="inlineStr">
        <is>
          <t>Interest</t>
        </is>
      </c>
      <c r="L1108" s="66" t="inlineStr">
        <is>
          <t>TT_AMUR_UGC_15s_FirstCar_v1</t>
        </is>
      </c>
      <c r="M1108" s="66" t="inlineStr">
        <is>
          <t>Video 9:16</t>
        </is>
      </c>
      <c r="N1108" s="66" t="inlineStr">
        <is>
          <t>POV: your first car isn't second-hand</t>
        </is>
      </c>
      <c r="O1108" s="66" t="inlineStr">
        <is>
          <t>Auction - Lowest Cost</t>
        </is>
      </c>
      <c r="P1108" s="66" t="inlineStr">
        <is>
          <t>Complete Payment / Lead</t>
        </is>
      </c>
      <c r="Q1108" s="66" t="inlineStr">
        <is>
          <t>https://www.lepas-sa.co.za/offers/amur</t>
        </is>
      </c>
      <c r="R1108" s="121" t="n">
        <v>183.89</v>
      </c>
      <c r="S1108" s="122" t="n">
        <v>4542</v>
      </c>
      <c r="T1108" s="122" t="n">
        <v>2719</v>
      </c>
      <c r="U1108" s="123">
        <f>IFERROR(S1108/T1108,"")</f>
        <v/>
      </c>
      <c r="V1108" s="122" t="n">
        <v>65</v>
      </c>
      <c r="W1108" s="122" t="n">
        <v>50</v>
      </c>
      <c r="X1108" s="124">
        <f>IFERROR(W1108/S1108,"")</f>
        <v/>
      </c>
      <c r="Y1108" s="121">
        <f>IFERROR(R1108/W1108,"")</f>
        <v/>
      </c>
      <c r="Z1108" s="121">
        <f>IFERROR(R1108/S1108*1000,"")</f>
        <v/>
      </c>
      <c r="AA1108" s="122" t="n">
        <v>32</v>
      </c>
      <c r="AB1108" s="54">
        <f>IFERROR(AA1108/W1108,"")</f>
        <v/>
      </c>
      <c r="AC1108" s="122" t="n">
        <v>1193</v>
      </c>
      <c r="AD1108" s="122" t="n">
        <v>722</v>
      </c>
      <c r="AE1108" s="122" t="n">
        <v>450</v>
      </c>
      <c r="AF1108" s="122" t="n">
        <v>234</v>
      </c>
      <c r="AG1108" s="122" t="n">
        <v>158</v>
      </c>
      <c r="AH1108" s="122" t="n">
        <v>105</v>
      </c>
      <c r="AI1108" s="54">
        <f>IFERROR(AC1108/S1108,"")</f>
        <v/>
      </c>
      <c r="AJ1108" s="54">
        <f>IFERROR(AH1108/S1108,"")</f>
        <v/>
      </c>
      <c r="AK1108" s="122" t="n">
        <v>252</v>
      </c>
      <c r="AL1108" s="122" t="n">
        <v>0</v>
      </c>
      <c r="AM1108" s="124">
        <f>IFERROR(AL1108/AA1108,"")</f>
        <v/>
      </c>
      <c r="AN1108" s="125">
        <f>IFERROR(R1108/AL1108,"")</f>
        <v/>
      </c>
      <c r="AO1108" s="122" t="n">
        <v>0</v>
      </c>
      <c r="AP1108" s="54">
        <f>IFERROR(AO1108/AL1108,"")</f>
        <v/>
      </c>
      <c r="AQ1108" s="125">
        <f>IFERROR(R1108/AO1108,"")</f>
        <v/>
      </c>
      <c r="AR1108" s="122" t="n">
        <v>0</v>
      </c>
      <c r="AS1108" s="122" t="n">
        <v>0</v>
      </c>
      <c r="AT1108" s="122">
        <f>AL1108+AR1108</f>
        <v/>
      </c>
      <c r="AU1108" s="125">
        <f>IFERROR(AO1108*Assumptions!$C$26*Assumptions!$C$27*INDEX(Assumptions!$C$18:$C$21,MATCH(H1108,Assumptions!$B$18:$B$21,0)),0)</f>
        <v/>
      </c>
    </row>
    <row r="1109">
      <c r="A1109" s="120" t="n">
        <v>46247</v>
      </c>
      <c r="B1109" s="66" t="inlineStr">
        <is>
          <t>Wk 33</t>
        </is>
      </c>
      <c r="C1109" s="66" t="inlineStr">
        <is>
          <t>Thu</t>
        </is>
      </c>
      <c r="D1109" s="66" t="inlineStr">
        <is>
          <t>TikTok</t>
        </is>
      </c>
      <c r="E1109" s="66" t="inlineStr">
        <is>
          <t>TikTok</t>
        </is>
      </c>
      <c r="F1109" s="66" t="inlineStr">
        <is>
          <t>LEP_ZA_AUG26_TT_TD_AMUR_CONV</t>
        </is>
      </c>
      <c r="G1109" s="66" t="inlineStr">
        <is>
          <t>Website Conversions</t>
        </is>
      </c>
      <c r="H1109" s="66" t="inlineStr">
        <is>
          <t>AMUR</t>
        </is>
      </c>
      <c r="I1109" s="66" t="inlineStr">
        <is>
          <t>0% Deposit</t>
        </is>
      </c>
      <c r="J1109" s="66" t="inlineStr">
        <is>
          <t>TT_AMUR_INT_AUTO_ZA</t>
        </is>
      </c>
      <c r="K1109" s="66" t="inlineStr">
        <is>
          <t>Interest</t>
        </is>
      </c>
      <c r="L1109" s="66" t="inlineStr">
        <is>
          <t>TT_AMUR_UGC_15s_FirstCar_v1</t>
        </is>
      </c>
      <c r="M1109" s="66" t="inlineStr">
        <is>
          <t>Video 9:16</t>
        </is>
      </c>
      <c r="N1109" s="66" t="inlineStr">
        <is>
          <t>POV: your first car isn't second-hand</t>
        </is>
      </c>
      <c r="O1109" s="66" t="inlineStr">
        <is>
          <t>Auction - Lowest Cost</t>
        </is>
      </c>
      <c r="P1109" s="66" t="inlineStr">
        <is>
          <t>Complete Payment / Lead</t>
        </is>
      </c>
      <c r="Q1109" s="66" t="inlineStr">
        <is>
          <t>https://www.lepas-sa.co.za/offers/amur</t>
        </is>
      </c>
      <c r="R1109" s="121" t="n">
        <v>221.62</v>
      </c>
      <c r="S1109" s="122" t="n">
        <v>6625</v>
      </c>
      <c r="T1109" s="122" t="n">
        <v>3557</v>
      </c>
      <c r="U1109" s="123">
        <f>IFERROR(S1109/T1109,"")</f>
        <v/>
      </c>
      <c r="V1109" s="122" t="n">
        <v>53</v>
      </c>
      <c r="W1109" s="122" t="n">
        <v>44</v>
      </c>
      <c r="X1109" s="124">
        <f>IFERROR(W1109/S1109,"")</f>
        <v/>
      </c>
      <c r="Y1109" s="121">
        <f>IFERROR(R1109/W1109,"")</f>
        <v/>
      </c>
      <c r="Z1109" s="121">
        <f>IFERROR(R1109/S1109*1000,"")</f>
        <v/>
      </c>
      <c r="AA1109" s="122" t="n">
        <v>31</v>
      </c>
      <c r="AB1109" s="54">
        <f>IFERROR(AA1109/W1109,"")</f>
        <v/>
      </c>
      <c r="AC1109" s="122" t="n">
        <v>2076</v>
      </c>
      <c r="AD1109" s="122" t="n">
        <v>969</v>
      </c>
      <c r="AE1109" s="122" t="n">
        <v>859</v>
      </c>
      <c r="AF1109" s="122" t="n">
        <v>598</v>
      </c>
      <c r="AG1109" s="122" t="n">
        <v>473</v>
      </c>
      <c r="AH1109" s="122" t="n">
        <v>310</v>
      </c>
      <c r="AI1109" s="54">
        <f>IFERROR(AC1109/S1109,"")</f>
        <v/>
      </c>
      <c r="AJ1109" s="54">
        <f>IFERROR(AH1109/S1109,"")</f>
        <v/>
      </c>
      <c r="AK1109" s="122" t="n">
        <v>354</v>
      </c>
      <c r="AL1109" s="122" t="n">
        <v>0</v>
      </c>
      <c r="AM1109" s="124">
        <f>IFERROR(AL1109/AA1109,"")</f>
        <v/>
      </c>
      <c r="AN1109" s="125">
        <f>IFERROR(R1109/AL1109,"")</f>
        <v/>
      </c>
      <c r="AO1109" s="122" t="n">
        <v>0</v>
      </c>
      <c r="AP1109" s="54">
        <f>IFERROR(AO1109/AL1109,"")</f>
        <v/>
      </c>
      <c r="AQ1109" s="125">
        <f>IFERROR(R1109/AO1109,"")</f>
        <v/>
      </c>
      <c r="AR1109" s="122" t="n">
        <v>0</v>
      </c>
      <c r="AS1109" s="122" t="n">
        <v>0</v>
      </c>
      <c r="AT1109" s="122">
        <f>AL1109+AR1109</f>
        <v/>
      </c>
      <c r="AU1109" s="125">
        <f>IFERROR(AO1109*Assumptions!$C$26*Assumptions!$C$27*INDEX(Assumptions!$C$18:$C$21,MATCH(H1109,Assumptions!$B$18:$B$21,0)),0)</f>
        <v/>
      </c>
    </row>
    <row r="1110">
      <c r="A1110" s="120" t="n">
        <v>46248</v>
      </c>
      <c r="B1110" s="66" t="inlineStr">
        <is>
          <t>Wk 33</t>
        </is>
      </c>
      <c r="C1110" s="66" t="inlineStr">
        <is>
          <t>Fri</t>
        </is>
      </c>
      <c r="D1110" s="66" t="inlineStr">
        <is>
          <t>TikTok</t>
        </is>
      </c>
      <c r="E1110" s="66" t="inlineStr">
        <is>
          <t>TikTok</t>
        </is>
      </c>
      <c r="F1110" s="66" t="inlineStr">
        <is>
          <t>LEP_ZA_AUG26_TT_TD_AMUR_CONV</t>
        </is>
      </c>
      <c r="G1110" s="66" t="inlineStr">
        <is>
          <t>Website Conversions</t>
        </is>
      </c>
      <c r="H1110" s="66" t="inlineStr">
        <is>
          <t>AMUR</t>
        </is>
      </c>
      <c r="I1110" s="66" t="inlineStr">
        <is>
          <t>0% Deposit</t>
        </is>
      </c>
      <c r="J1110" s="66" t="inlineStr">
        <is>
          <t>TT_AMUR_INT_AUTO_ZA</t>
        </is>
      </c>
      <c r="K1110" s="66" t="inlineStr">
        <is>
          <t>Interest</t>
        </is>
      </c>
      <c r="L1110" s="66" t="inlineStr">
        <is>
          <t>TT_AMUR_UGC_15s_FirstCar_v1</t>
        </is>
      </c>
      <c r="M1110" s="66" t="inlineStr">
        <is>
          <t>Video 9:16</t>
        </is>
      </c>
      <c r="N1110" s="66" t="inlineStr">
        <is>
          <t>POV: your first car isn't second-hand</t>
        </is>
      </c>
      <c r="O1110" s="66" t="inlineStr">
        <is>
          <t>Auction - Lowest Cost</t>
        </is>
      </c>
      <c r="P1110" s="66" t="inlineStr">
        <is>
          <t>Complete Payment / Lead</t>
        </is>
      </c>
      <c r="Q1110" s="66" t="inlineStr">
        <is>
          <t>https://www.lepas-sa.co.za/offers/amur</t>
        </is>
      </c>
      <c r="R1110" s="121" t="n">
        <v>178.45</v>
      </c>
      <c r="S1110" s="122" t="n">
        <v>4295</v>
      </c>
      <c r="T1110" s="122" t="n">
        <v>2975</v>
      </c>
      <c r="U1110" s="123">
        <f>IFERROR(S1110/T1110,"")</f>
        <v/>
      </c>
      <c r="V1110" s="122" t="n">
        <v>52</v>
      </c>
      <c r="W1110" s="122" t="n">
        <v>38</v>
      </c>
      <c r="X1110" s="124">
        <f>IFERROR(W1110/S1110,"")</f>
        <v/>
      </c>
      <c r="Y1110" s="121">
        <f>IFERROR(R1110/W1110,"")</f>
        <v/>
      </c>
      <c r="Z1110" s="121">
        <f>IFERROR(R1110/S1110*1000,"")</f>
        <v/>
      </c>
      <c r="AA1110" s="122" t="n">
        <v>23</v>
      </c>
      <c r="AB1110" s="54">
        <f>IFERROR(AA1110/W1110,"")</f>
        <v/>
      </c>
      <c r="AC1110" s="122" t="n">
        <v>1199</v>
      </c>
      <c r="AD1110" s="122" t="n">
        <v>618</v>
      </c>
      <c r="AE1110" s="122" t="n">
        <v>579</v>
      </c>
      <c r="AF1110" s="122" t="n">
        <v>375</v>
      </c>
      <c r="AG1110" s="122" t="n">
        <v>268</v>
      </c>
      <c r="AH1110" s="122" t="n">
        <v>183</v>
      </c>
      <c r="AI1110" s="54">
        <f>IFERROR(AC1110/S1110,"")</f>
        <v/>
      </c>
      <c r="AJ1110" s="54">
        <f>IFERROR(AH1110/S1110,"")</f>
        <v/>
      </c>
      <c r="AK1110" s="122" t="n">
        <v>109</v>
      </c>
      <c r="AL1110" s="122" t="n">
        <v>0</v>
      </c>
      <c r="AM1110" s="124">
        <f>IFERROR(AL1110/AA1110,"")</f>
        <v/>
      </c>
      <c r="AN1110" s="125">
        <f>IFERROR(R1110/AL1110,"")</f>
        <v/>
      </c>
      <c r="AO1110" s="122" t="n">
        <v>0</v>
      </c>
      <c r="AP1110" s="54">
        <f>IFERROR(AO1110/AL1110,"")</f>
        <v/>
      </c>
      <c r="AQ1110" s="125">
        <f>IFERROR(R1110/AO1110,"")</f>
        <v/>
      </c>
      <c r="AR1110" s="122" t="n">
        <v>0</v>
      </c>
      <c r="AS1110" s="122" t="n">
        <v>0</v>
      </c>
      <c r="AT1110" s="122">
        <f>AL1110+AR1110</f>
        <v/>
      </c>
      <c r="AU1110" s="125">
        <f>IFERROR(AO1110*Assumptions!$C$26*Assumptions!$C$27*INDEX(Assumptions!$C$18:$C$21,MATCH(H1110,Assumptions!$B$18:$B$21,0)),0)</f>
        <v/>
      </c>
    </row>
    <row r="1111">
      <c r="A1111" s="120" t="n">
        <v>46249</v>
      </c>
      <c r="B1111" s="66" t="inlineStr">
        <is>
          <t>Wk 33</t>
        </is>
      </c>
      <c r="C1111" s="66" t="inlineStr">
        <is>
          <t>Sat</t>
        </is>
      </c>
      <c r="D1111" s="66" t="inlineStr">
        <is>
          <t>TikTok</t>
        </is>
      </c>
      <c r="E1111" s="66" t="inlineStr">
        <is>
          <t>TikTok</t>
        </is>
      </c>
      <c r="F1111" s="66" t="inlineStr">
        <is>
          <t>LEP_ZA_AUG26_TT_TD_AMUR_CONV</t>
        </is>
      </c>
      <c r="G1111" s="66" t="inlineStr">
        <is>
          <t>Website Conversions</t>
        </is>
      </c>
      <c r="H1111" s="66" t="inlineStr">
        <is>
          <t>AMUR</t>
        </is>
      </c>
      <c r="I1111" s="66" t="inlineStr">
        <is>
          <t>0% Deposit</t>
        </is>
      </c>
      <c r="J1111" s="66" t="inlineStr">
        <is>
          <t>TT_AMUR_INT_AUTO_ZA</t>
        </is>
      </c>
      <c r="K1111" s="66" t="inlineStr">
        <is>
          <t>Interest</t>
        </is>
      </c>
      <c r="L1111" s="66" t="inlineStr">
        <is>
          <t>TT_AMUR_UGC_15s_FirstCar_v1</t>
        </is>
      </c>
      <c r="M1111" s="66" t="inlineStr">
        <is>
          <t>Video 9:16</t>
        </is>
      </c>
      <c r="N1111" s="66" t="inlineStr">
        <is>
          <t>POV: your first car isn't second-hand</t>
        </is>
      </c>
      <c r="O1111" s="66" t="inlineStr">
        <is>
          <t>Auction - Lowest Cost</t>
        </is>
      </c>
      <c r="P1111" s="66" t="inlineStr">
        <is>
          <t>Complete Payment / Lead</t>
        </is>
      </c>
      <c r="Q1111" s="66" t="inlineStr">
        <is>
          <t>https://www.lepas-sa.co.za/offers/amur</t>
        </is>
      </c>
      <c r="R1111" s="121" t="n">
        <v>212.72</v>
      </c>
      <c r="S1111" s="122" t="n">
        <v>7664</v>
      </c>
      <c r="T1111" s="122" t="n">
        <v>5105</v>
      </c>
      <c r="U1111" s="123">
        <f>IFERROR(S1111/T1111,"")</f>
        <v/>
      </c>
      <c r="V1111" s="122" t="n">
        <v>126</v>
      </c>
      <c r="W1111" s="122" t="n">
        <v>91</v>
      </c>
      <c r="X1111" s="124">
        <f>IFERROR(W1111/S1111,"")</f>
        <v/>
      </c>
      <c r="Y1111" s="121">
        <f>IFERROR(R1111/W1111,"")</f>
        <v/>
      </c>
      <c r="Z1111" s="121">
        <f>IFERROR(R1111/S1111*1000,"")</f>
        <v/>
      </c>
      <c r="AA1111" s="122" t="n">
        <v>56</v>
      </c>
      <c r="AB1111" s="54">
        <f>IFERROR(AA1111/W1111,"")</f>
        <v/>
      </c>
      <c r="AC1111" s="122" t="n">
        <v>2519</v>
      </c>
      <c r="AD1111" s="122" t="n">
        <v>1438</v>
      </c>
      <c r="AE1111" s="122" t="n">
        <v>1335</v>
      </c>
      <c r="AF1111" s="122" t="n">
        <v>784</v>
      </c>
      <c r="AG1111" s="122" t="n">
        <v>566</v>
      </c>
      <c r="AH1111" s="122" t="n">
        <v>354</v>
      </c>
      <c r="AI1111" s="54">
        <f>IFERROR(AC1111/S1111,"")</f>
        <v/>
      </c>
      <c r="AJ1111" s="54">
        <f>IFERROR(AH1111/S1111,"")</f>
        <v/>
      </c>
      <c r="AK1111" s="122" t="n">
        <v>327</v>
      </c>
      <c r="AL1111" s="122" t="n">
        <v>1</v>
      </c>
      <c r="AM1111" s="124">
        <f>IFERROR(AL1111/AA1111,"")</f>
        <v/>
      </c>
      <c r="AN1111" s="125">
        <f>IFERROR(R1111/AL1111,"")</f>
        <v/>
      </c>
      <c r="AO1111" s="122" t="n">
        <v>1</v>
      </c>
      <c r="AP1111" s="54">
        <f>IFERROR(AO1111/AL1111,"")</f>
        <v/>
      </c>
      <c r="AQ1111" s="125">
        <f>IFERROR(R1111/AO1111,"")</f>
        <v/>
      </c>
      <c r="AR1111" s="122" t="n">
        <v>1</v>
      </c>
      <c r="AS1111" s="122" t="n">
        <v>0</v>
      </c>
      <c r="AT1111" s="122">
        <f>AL1111+AR1111</f>
        <v/>
      </c>
      <c r="AU1111" s="125">
        <f>IFERROR(AO1111*Assumptions!$C$26*Assumptions!$C$27*INDEX(Assumptions!$C$18:$C$21,MATCH(H1111,Assumptions!$B$18:$B$21,0)),0)</f>
        <v/>
      </c>
    </row>
    <row r="1112">
      <c r="A1112" s="120" t="n">
        <v>46250</v>
      </c>
      <c r="B1112" s="66" t="inlineStr">
        <is>
          <t>Wk 33</t>
        </is>
      </c>
      <c r="C1112" s="66" t="inlineStr">
        <is>
          <t>Sun</t>
        </is>
      </c>
      <c r="D1112" s="66" t="inlineStr">
        <is>
          <t>TikTok</t>
        </is>
      </c>
      <c r="E1112" s="66" t="inlineStr">
        <is>
          <t>TikTok</t>
        </is>
      </c>
      <c r="F1112" s="66" t="inlineStr">
        <is>
          <t>LEP_ZA_AUG26_TT_TD_AMUR_CONV</t>
        </is>
      </c>
      <c r="G1112" s="66" t="inlineStr">
        <is>
          <t>Website Conversions</t>
        </is>
      </c>
      <c r="H1112" s="66" t="inlineStr">
        <is>
          <t>AMUR</t>
        </is>
      </c>
      <c r="I1112" s="66" t="inlineStr">
        <is>
          <t>0% Deposit</t>
        </is>
      </c>
      <c r="J1112" s="66" t="inlineStr">
        <is>
          <t>TT_AMUR_INT_AUTO_ZA</t>
        </is>
      </c>
      <c r="K1112" s="66" t="inlineStr">
        <is>
          <t>Interest</t>
        </is>
      </c>
      <c r="L1112" s="66" t="inlineStr">
        <is>
          <t>TT_AMUR_UGC_15s_FirstCar_v1</t>
        </is>
      </c>
      <c r="M1112" s="66" t="inlineStr">
        <is>
          <t>Video 9:16</t>
        </is>
      </c>
      <c r="N1112" s="66" t="inlineStr">
        <is>
          <t>POV: your first car isn't second-hand</t>
        </is>
      </c>
      <c r="O1112" s="66" t="inlineStr">
        <is>
          <t>Auction - Lowest Cost</t>
        </is>
      </c>
      <c r="P1112" s="66" t="inlineStr">
        <is>
          <t>Complete Payment / Lead</t>
        </is>
      </c>
      <c r="Q1112" s="66" t="inlineStr">
        <is>
          <t>https://www.lepas-sa.co.za/offers/amur</t>
        </is>
      </c>
      <c r="R1112" s="121" t="n">
        <v>155.34</v>
      </c>
      <c r="S1112" s="122" t="n">
        <v>3975</v>
      </c>
      <c r="T1112" s="122" t="n">
        <v>1933</v>
      </c>
      <c r="U1112" s="123">
        <f>IFERROR(S1112/T1112,"")</f>
        <v/>
      </c>
      <c r="V1112" s="122" t="n">
        <v>52</v>
      </c>
      <c r="W1112" s="122" t="n">
        <v>38</v>
      </c>
      <c r="X1112" s="124">
        <f>IFERROR(W1112/S1112,"")</f>
        <v/>
      </c>
      <c r="Y1112" s="121">
        <f>IFERROR(R1112/W1112,"")</f>
        <v/>
      </c>
      <c r="Z1112" s="121">
        <f>IFERROR(R1112/S1112*1000,"")</f>
        <v/>
      </c>
      <c r="AA1112" s="122" t="n">
        <v>29</v>
      </c>
      <c r="AB1112" s="54">
        <f>IFERROR(AA1112/W1112,"")</f>
        <v/>
      </c>
      <c r="AC1112" s="122" t="n">
        <v>1621</v>
      </c>
      <c r="AD1112" s="122" t="n">
        <v>877</v>
      </c>
      <c r="AE1112" s="122" t="n">
        <v>601</v>
      </c>
      <c r="AF1112" s="122" t="n">
        <v>343</v>
      </c>
      <c r="AG1112" s="122" t="n">
        <v>221</v>
      </c>
      <c r="AH1112" s="122" t="n">
        <v>152</v>
      </c>
      <c r="AI1112" s="54">
        <f>IFERROR(AC1112/S1112,"")</f>
        <v/>
      </c>
      <c r="AJ1112" s="54">
        <f>IFERROR(AH1112/S1112,"")</f>
        <v/>
      </c>
      <c r="AK1112" s="122" t="n">
        <v>106</v>
      </c>
      <c r="AL1112" s="122" t="n">
        <v>0</v>
      </c>
      <c r="AM1112" s="124">
        <f>IFERROR(AL1112/AA1112,"")</f>
        <v/>
      </c>
      <c r="AN1112" s="125">
        <f>IFERROR(R1112/AL1112,"")</f>
        <v/>
      </c>
      <c r="AO1112" s="122" t="n">
        <v>0</v>
      </c>
      <c r="AP1112" s="54">
        <f>IFERROR(AO1112/AL1112,"")</f>
        <v/>
      </c>
      <c r="AQ1112" s="125">
        <f>IFERROR(R1112/AO1112,"")</f>
        <v/>
      </c>
      <c r="AR1112" s="122" t="n">
        <v>0</v>
      </c>
      <c r="AS1112" s="122" t="n">
        <v>0</v>
      </c>
      <c r="AT1112" s="122">
        <f>AL1112+AR1112</f>
        <v/>
      </c>
      <c r="AU1112" s="125">
        <f>IFERROR(AO1112*Assumptions!$C$26*Assumptions!$C$27*INDEX(Assumptions!$C$18:$C$21,MATCH(H1112,Assumptions!$B$18:$B$21,0)),0)</f>
        <v/>
      </c>
    </row>
    <row r="1113">
      <c r="A1113" s="120" t="n">
        <v>46251</v>
      </c>
      <c r="B1113" s="66" t="inlineStr">
        <is>
          <t>Wk 34</t>
        </is>
      </c>
      <c r="C1113" s="66" t="inlineStr">
        <is>
          <t>Mon</t>
        </is>
      </c>
      <c r="D1113" s="66" t="inlineStr">
        <is>
          <t>TikTok</t>
        </is>
      </c>
      <c r="E1113" s="66" t="inlineStr">
        <is>
          <t>TikTok</t>
        </is>
      </c>
      <c r="F1113" s="66" t="inlineStr">
        <is>
          <t>LEP_ZA_AUG26_TT_TD_AMUR_CONV</t>
        </is>
      </c>
      <c r="G1113" s="66" t="inlineStr">
        <is>
          <t>Website Conversions</t>
        </is>
      </c>
      <c r="H1113" s="66" t="inlineStr">
        <is>
          <t>AMUR</t>
        </is>
      </c>
      <c r="I1113" s="66" t="inlineStr">
        <is>
          <t>0% Deposit</t>
        </is>
      </c>
      <c r="J1113" s="66" t="inlineStr">
        <is>
          <t>TT_AMUR_INT_AUTO_ZA</t>
        </is>
      </c>
      <c r="K1113" s="66" t="inlineStr">
        <is>
          <t>Interest</t>
        </is>
      </c>
      <c r="L1113" s="66" t="inlineStr">
        <is>
          <t>TT_AMUR_UGC_15s_FirstCar_v1</t>
        </is>
      </c>
      <c r="M1113" s="66" t="inlineStr">
        <is>
          <t>Video 9:16</t>
        </is>
      </c>
      <c r="N1113" s="66" t="inlineStr">
        <is>
          <t>POV: your first car isn't second-hand</t>
        </is>
      </c>
      <c r="O1113" s="66" t="inlineStr">
        <is>
          <t>Auction - Lowest Cost</t>
        </is>
      </c>
      <c r="P1113" s="66" t="inlineStr">
        <is>
          <t>Complete Payment / Lead</t>
        </is>
      </c>
      <c r="Q1113" s="66" t="inlineStr">
        <is>
          <t>https://www.lepas-sa.co.za/offers/amur</t>
        </is>
      </c>
      <c r="R1113" s="121" t="n">
        <v>168.28</v>
      </c>
      <c r="S1113" s="122" t="n">
        <v>6119</v>
      </c>
      <c r="T1113" s="122" t="n">
        <v>3935</v>
      </c>
      <c r="U1113" s="123">
        <f>IFERROR(S1113/T1113,"")</f>
        <v/>
      </c>
      <c r="V1113" s="122" t="n">
        <v>52</v>
      </c>
      <c r="W1113" s="122" t="n">
        <v>40</v>
      </c>
      <c r="X1113" s="124">
        <f>IFERROR(W1113/S1113,"")</f>
        <v/>
      </c>
      <c r="Y1113" s="121">
        <f>IFERROR(R1113/W1113,"")</f>
        <v/>
      </c>
      <c r="Z1113" s="121">
        <f>IFERROR(R1113/S1113*1000,"")</f>
        <v/>
      </c>
      <c r="AA1113" s="122" t="n">
        <v>27</v>
      </c>
      <c r="AB1113" s="54">
        <f>IFERROR(AA1113/W1113,"")</f>
        <v/>
      </c>
      <c r="AC1113" s="122" t="n">
        <v>1583</v>
      </c>
      <c r="AD1113" s="122" t="n">
        <v>938</v>
      </c>
      <c r="AE1113" s="122" t="n">
        <v>764</v>
      </c>
      <c r="AF1113" s="122" t="n">
        <v>461</v>
      </c>
      <c r="AG1113" s="122" t="n">
        <v>296</v>
      </c>
      <c r="AH1113" s="122" t="n">
        <v>204</v>
      </c>
      <c r="AI1113" s="54">
        <f>IFERROR(AC1113/S1113,"")</f>
        <v/>
      </c>
      <c r="AJ1113" s="54">
        <f>IFERROR(AH1113/S1113,"")</f>
        <v/>
      </c>
      <c r="AK1113" s="122" t="n">
        <v>301</v>
      </c>
      <c r="AL1113" s="122" t="n">
        <v>1</v>
      </c>
      <c r="AM1113" s="124">
        <f>IFERROR(AL1113/AA1113,"")</f>
        <v/>
      </c>
      <c r="AN1113" s="125">
        <f>IFERROR(R1113/AL1113,"")</f>
        <v/>
      </c>
      <c r="AO1113" s="122" t="n">
        <v>0</v>
      </c>
      <c r="AP1113" s="54">
        <f>IFERROR(AO1113/AL1113,"")</f>
        <v/>
      </c>
      <c r="AQ1113" s="125">
        <f>IFERROR(R1113/AO1113,"")</f>
        <v/>
      </c>
      <c r="AR1113" s="122" t="n">
        <v>0</v>
      </c>
      <c r="AS1113" s="122" t="n">
        <v>0</v>
      </c>
      <c r="AT1113" s="122">
        <f>AL1113+AR1113</f>
        <v/>
      </c>
      <c r="AU1113" s="125">
        <f>IFERROR(AO1113*Assumptions!$C$26*Assumptions!$C$27*INDEX(Assumptions!$C$18:$C$21,MATCH(H1113,Assumptions!$B$18:$B$21,0)),0)</f>
        <v/>
      </c>
    </row>
    <row r="1114">
      <c r="A1114" s="120" t="n">
        <v>46252</v>
      </c>
      <c r="B1114" s="66" t="inlineStr">
        <is>
          <t>Wk 34</t>
        </is>
      </c>
      <c r="C1114" s="66" t="inlineStr">
        <is>
          <t>Tue</t>
        </is>
      </c>
      <c r="D1114" s="66" t="inlineStr">
        <is>
          <t>TikTok</t>
        </is>
      </c>
      <c r="E1114" s="66" t="inlineStr">
        <is>
          <t>TikTok</t>
        </is>
      </c>
      <c r="F1114" s="66" t="inlineStr">
        <is>
          <t>LEP_ZA_AUG26_TT_TD_AMUR_CONV</t>
        </is>
      </c>
      <c r="G1114" s="66" t="inlineStr">
        <is>
          <t>Website Conversions</t>
        </is>
      </c>
      <c r="H1114" s="66" t="inlineStr">
        <is>
          <t>AMUR</t>
        </is>
      </c>
      <c r="I1114" s="66" t="inlineStr">
        <is>
          <t>0% Deposit</t>
        </is>
      </c>
      <c r="J1114" s="66" t="inlineStr">
        <is>
          <t>TT_AMUR_INT_AUTO_ZA</t>
        </is>
      </c>
      <c r="K1114" s="66" t="inlineStr">
        <is>
          <t>Interest</t>
        </is>
      </c>
      <c r="L1114" s="66" t="inlineStr">
        <is>
          <t>TT_AMUR_UGC_15s_FirstCar_v1</t>
        </is>
      </c>
      <c r="M1114" s="66" t="inlineStr">
        <is>
          <t>Video 9:16</t>
        </is>
      </c>
      <c r="N1114" s="66" t="inlineStr">
        <is>
          <t>POV: your first car isn't second-hand</t>
        </is>
      </c>
      <c r="O1114" s="66" t="inlineStr">
        <is>
          <t>Auction - Lowest Cost</t>
        </is>
      </c>
      <c r="P1114" s="66" t="inlineStr">
        <is>
          <t>Complete Payment / Lead</t>
        </is>
      </c>
      <c r="Q1114" s="66" t="inlineStr">
        <is>
          <t>https://www.lepas-sa.co.za/offers/amur</t>
        </is>
      </c>
      <c r="R1114" s="121" t="n">
        <v>155.95</v>
      </c>
      <c r="S1114" s="122" t="n">
        <v>5079</v>
      </c>
      <c r="T1114" s="122" t="n">
        <v>2733</v>
      </c>
      <c r="U1114" s="123">
        <f>IFERROR(S1114/T1114,"")</f>
        <v/>
      </c>
      <c r="V1114" s="122" t="n">
        <v>43</v>
      </c>
      <c r="W1114" s="122" t="n">
        <v>35</v>
      </c>
      <c r="X1114" s="124">
        <f>IFERROR(W1114/S1114,"")</f>
        <v/>
      </c>
      <c r="Y1114" s="121">
        <f>IFERROR(R1114/W1114,"")</f>
        <v/>
      </c>
      <c r="Z1114" s="121">
        <f>IFERROR(R1114/S1114*1000,"")</f>
        <v/>
      </c>
      <c r="AA1114" s="122" t="n">
        <v>24</v>
      </c>
      <c r="AB1114" s="54">
        <f>IFERROR(AA1114/W1114,"")</f>
        <v/>
      </c>
      <c r="AC1114" s="122" t="n">
        <v>1237</v>
      </c>
      <c r="AD1114" s="122" t="n">
        <v>700</v>
      </c>
      <c r="AE1114" s="122" t="n">
        <v>519</v>
      </c>
      <c r="AF1114" s="122" t="n">
        <v>286</v>
      </c>
      <c r="AG1114" s="122" t="n">
        <v>224</v>
      </c>
      <c r="AH1114" s="122" t="n">
        <v>163</v>
      </c>
      <c r="AI1114" s="54">
        <f>IFERROR(AC1114/S1114,"")</f>
        <v/>
      </c>
      <c r="AJ1114" s="54">
        <f>IFERROR(AH1114/S1114,"")</f>
        <v/>
      </c>
      <c r="AK1114" s="122" t="n">
        <v>275</v>
      </c>
      <c r="AL1114" s="122" t="n">
        <v>0</v>
      </c>
      <c r="AM1114" s="124">
        <f>IFERROR(AL1114/AA1114,"")</f>
        <v/>
      </c>
      <c r="AN1114" s="125">
        <f>IFERROR(R1114/AL1114,"")</f>
        <v/>
      </c>
      <c r="AO1114" s="122" t="n">
        <v>0</v>
      </c>
      <c r="AP1114" s="54">
        <f>IFERROR(AO1114/AL1114,"")</f>
        <v/>
      </c>
      <c r="AQ1114" s="125">
        <f>IFERROR(R1114/AO1114,"")</f>
        <v/>
      </c>
      <c r="AR1114" s="122" t="n">
        <v>0</v>
      </c>
      <c r="AS1114" s="122" t="n">
        <v>0</v>
      </c>
      <c r="AT1114" s="122">
        <f>AL1114+AR1114</f>
        <v/>
      </c>
      <c r="AU1114" s="125">
        <f>IFERROR(AO1114*Assumptions!$C$26*Assumptions!$C$27*INDEX(Assumptions!$C$18:$C$21,MATCH(H1114,Assumptions!$B$18:$B$21,0)),0)</f>
        <v/>
      </c>
    </row>
    <row r="1115">
      <c r="A1115" s="120" t="n">
        <v>46253</v>
      </c>
      <c r="B1115" s="66" t="inlineStr">
        <is>
          <t>Wk 34</t>
        </is>
      </c>
      <c r="C1115" s="66" t="inlineStr">
        <is>
          <t>Wed</t>
        </is>
      </c>
      <c r="D1115" s="66" t="inlineStr">
        <is>
          <t>TikTok</t>
        </is>
      </c>
      <c r="E1115" s="66" t="inlineStr">
        <is>
          <t>TikTok</t>
        </is>
      </c>
      <c r="F1115" s="66" t="inlineStr">
        <is>
          <t>LEP_ZA_AUG26_TT_TD_AMUR_CONV</t>
        </is>
      </c>
      <c r="G1115" s="66" t="inlineStr">
        <is>
          <t>Website Conversions</t>
        </is>
      </c>
      <c r="H1115" s="66" t="inlineStr">
        <is>
          <t>AMUR</t>
        </is>
      </c>
      <c r="I1115" s="66" t="inlineStr">
        <is>
          <t>0% Deposit</t>
        </is>
      </c>
      <c r="J1115" s="66" t="inlineStr">
        <is>
          <t>TT_AMUR_INT_AUTO_ZA</t>
        </is>
      </c>
      <c r="K1115" s="66" t="inlineStr">
        <is>
          <t>Interest</t>
        </is>
      </c>
      <c r="L1115" s="66" t="inlineStr">
        <is>
          <t>TT_AMUR_UGC_15s_FirstCar_v1</t>
        </is>
      </c>
      <c r="M1115" s="66" t="inlineStr">
        <is>
          <t>Video 9:16</t>
        </is>
      </c>
      <c r="N1115" s="66" t="inlineStr">
        <is>
          <t>POV: your first car isn't second-hand</t>
        </is>
      </c>
      <c r="O1115" s="66" t="inlineStr">
        <is>
          <t>Auction - Lowest Cost</t>
        </is>
      </c>
      <c r="P1115" s="66" t="inlineStr">
        <is>
          <t>Complete Payment / Lead</t>
        </is>
      </c>
      <c r="Q1115" s="66" t="inlineStr">
        <is>
          <t>https://www.lepas-sa.co.za/offers/amur</t>
        </is>
      </c>
      <c r="R1115" s="121" t="n">
        <v>159.08</v>
      </c>
      <c r="S1115" s="122" t="n">
        <v>5435</v>
      </c>
      <c r="T1115" s="122" t="n">
        <v>2970</v>
      </c>
      <c r="U1115" s="123">
        <f>IFERROR(S1115/T1115,"")</f>
        <v/>
      </c>
      <c r="V1115" s="122" t="n">
        <v>80</v>
      </c>
      <c r="W1115" s="122" t="n">
        <v>58</v>
      </c>
      <c r="X1115" s="124">
        <f>IFERROR(W1115/S1115,"")</f>
        <v/>
      </c>
      <c r="Y1115" s="121">
        <f>IFERROR(R1115/W1115,"")</f>
        <v/>
      </c>
      <c r="Z1115" s="121">
        <f>IFERROR(R1115/S1115*1000,"")</f>
        <v/>
      </c>
      <c r="AA1115" s="122" t="n">
        <v>38</v>
      </c>
      <c r="AB1115" s="54">
        <f>IFERROR(AA1115/W1115,"")</f>
        <v/>
      </c>
      <c r="AC1115" s="122" t="n">
        <v>2083</v>
      </c>
      <c r="AD1115" s="122" t="n">
        <v>968</v>
      </c>
      <c r="AE1115" s="122" t="n">
        <v>990</v>
      </c>
      <c r="AF1115" s="122" t="n">
        <v>542</v>
      </c>
      <c r="AG1115" s="122" t="n">
        <v>351</v>
      </c>
      <c r="AH1115" s="122" t="n">
        <v>232</v>
      </c>
      <c r="AI1115" s="54">
        <f>IFERROR(AC1115/S1115,"")</f>
        <v/>
      </c>
      <c r="AJ1115" s="54">
        <f>IFERROR(AH1115/S1115,"")</f>
        <v/>
      </c>
      <c r="AK1115" s="122" t="n">
        <v>319</v>
      </c>
      <c r="AL1115" s="122" t="n">
        <v>1</v>
      </c>
      <c r="AM1115" s="124">
        <f>IFERROR(AL1115/AA1115,"")</f>
        <v/>
      </c>
      <c r="AN1115" s="125">
        <f>IFERROR(R1115/AL1115,"")</f>
        <v/>
      </c>
      <c r="AO1115" s="122" t="n">
        <v>1</v>
      </c>
      <c r="AP1115" s="54">
        <f>IFERROR(AO1115/AL1115,"")</f>
        <v/>
      </c>
      <c r="AQ1115" s="125">
        <f>IFERROR(R1115/AO1115,"")</f>
        <v/>
      </c>
      <c r="AR1115" s="122" t="n">
        <v>0</v>
      </c>
      <c r="AS1115" s="122" t="n">
        <v>0</v>
      </c>
      <c r="AT1115" s="122">
        <f>AL1115+AR1115</f>
        <v/>
      </c>
      <c r="AU1115" s="125">
        <f>IFERROR(AO1115*Assumptions!$C$26*Assumptions!$C$27*INDEX(Assumptions!$C$18:$C$21,MATCH(H1115,Assumptions!$B$18:$B$21,0)),0)</f>
        <v/>
      </c>
    </row>
    <row r="1116">
      <c r="A1116" s="120" t="n">
        <v>46254</v>
      </c>
      <c r="B1116" s="66" t="inlineStr">
        <is>
          <t>Wk 34</t>
        </is>
      </c>
      <c r="C1116" s="66" t="inlineStr">
        <is>
          <t>Thu</t>
        </is>
      </c>
      <c r="D1116" s="66" t="inlineStr">
        <is>
          <t>TikTok</t>
        </is>
      </c>
      <c r="E1116" s="66" t="inlineStr">
        <is>
          <t>TikTok</t>
        </is>
      </c>
      <c r="F1116" s="66" t="inlineStr">
        <is>
          <t>LEP_ZA_AUG26_TT_TD_AMUR_CONV</t>
        </is>
      </c>
      <c r="G1116" s="66" t="inlineStr">
        <is>
          <t>Website Conversions</t>
        </is>
      </c>
      <c r="H1116" s="66" t="inlineStr">
        <is>
          <t>AMUR</t>
        </is>
      </c>
      <c r="I1116" s="66" t="inlineStr">
        <is>
          <t>0% Deposit</t>
        </is>
      </c>
      <c r="J1116" s="66" t="inlineStr">
        <is>
          <t>TT_AMUR_INT_AUTO_ZA</t>
        </is>
      </c>
      <c r="K1116" s="66" t="inlineStr">
        <is>
          <t>Interest</t>
        </is>
      </c>
      <c r="L1116" s="66" t="inlineStr">
        <is>
          <t>TT_AMUR_UGC_15s_FirstCar_v1</t>
        </is>
      </c>
      <c r="M1116" s="66" t="inlineStr">
        <is>
          <t>Video 9:16</t>
        </is>
      </c>
      <c r="N1116" s="66" t="inlineStr">
        <is>
          <t>POV: your first car isn't second-hand</t>
        </is>
      </c>
      <c r="O1116" s="66" t="inlineStr">
        <is>
          <t>Auction - Lowest Cost</t>
        </is>
      </c>
      <c r="P1116" s="66" t="inlineStr">
        <is>
          <t>Complete Payment / Lead</t>
        </is>
      </c>
      <c r="Q1116" s="66" t="inlineStr">
        <is>
          <t>https://www.lepas-sa.co.za/offers/amur</t>
        </is>
      </c>
      <c r="R1116" s="121" t="n">
        <v>180.52</v>
      </c>
      <c r="S1116" s="122" t="n">
        <v>5160</v>
      </c>
      <c r="T1116" s="122" t="n">
        <v>3333</v>
      </c>
      <c r="U1116" s="123">
        <f>IFERROR(S1116/T1116,"")</f>
        <v/>
      </c>
      <c r="V1116" s="122" t="n">
        <v>80</v>
      </c>
      <c r="W1116" s="122" t="n">
        <v>57</v>
      </c>
      <c r="X1116" s="124">
        <f>IFERROR(W1116/S1116,"")</f>
        <v/>
      </c>
      <c r="Y1116" s="121">
        <f>IFERROR(R1116/W1116,"")</f>
        <v/>
      </c>
      <c r="Z1116" s="121">
        <f>IFERROR(R1116/S1116*1000,"")</f>
        <v/>
      </c>
      <c r="AA1116" s="122" t="n">
        <v>37</v>
      </c>
      <c r="AB1116" s="54">
        <f>IFERROR(AA1116/W1116,"")</f>
        <v/>
      </c>
      <c r="AC1116" s="122" t="n">
        <v>1162</v>
      </c>
      <c r="AD1116" s="122" t="n">
        <v>575</v>
      </c>
      <c r="AE1116" s="122" t="n">
        <v>561</v>
      </c>
      <c r="AF1116" s="122" t="n">
        <v>396</v>
      </c>
      <c r="AG1116" s="122" t="n">
        <v>316</v>
      </c>
      <c r="AH1116" s="122" t="n">
        <v>198</v>
      </c>
      <c r="AI1116" s="54">
        <f>IFERROR(AC1116/S1116,"")</f>
        <v/>
      </c>
      <c r="AJ1116" s="54">
        <f>IFERROR(AH1116/S1116,"")</f>
        <v/>
      </c>
      <c r="AK1116" s="122" t="n">
        <v>211</v>
      </c>
      <c r="AL1116" s="122" t="n">
        <v>0</v>
      </c>
      <c r="AM1116" s="124">
        <f>IFERROR(AL1116/AA1116,"")</f>
        <v/>
      </c>
      <c r="AN1116" s="125">
        <f>IFERROR(R1116/AL1116,"")</f>
        <v/>
      </c>
      <c r="AO1116" s="122" t="n">
        <v>0</v>
      </c>
      <c r="AP1116" s="54">
        <f>IFERROR(AO1116/AL1116,"")</f>
        <v/>
      </c>
      <c r="AQ1116" s="125">
        <f>IFERROR(R1116/AO1116,"")</f>
        <v/>
      </c>
      <c r="AR1116" s="122" t="n">
        <v>0</v>
      </c>
      <c r="AS1116" s="122" t="n">
        <v>0</v>
      </c>
      <c r="AT1116" s="122">
        <f>AL1116+AR1116</f>
        <v/>
      </c>
      <c r="AU1116" s="125">
        <f>IFERROR(AO1116*Assumptions!$C$26*Assumptions!$C$27*INDEX(Assumptions!$C$18:$C$21,MATCH(H1116,Assumptions!$B$18:$B$21,0)),0)</f>
        <v/>
      </c>
    </row>
    <row r="1117">
      <c r="A1117" s="120" t="n">
        <v>46255</v>
      </c>
      <c r="B1117" s="66" t="inlineStr">
        <is>
          <t>Wk 34</t>
        </is>
      </c>
      <c r="C1117" s="66" t="inlineStr">
        <is>
          <t>Fri</t>
        </is>
      </c>
      <c r="D1117" s="66" t="inlineStr">
        <is>
          <t>TikTok</t>
        </is>
      </c>
      <c r="E1117" s="66" t="inlineStr">
        <is>
          <t>TikTok</t>
        </is>
      </c>
      <c r="F1117" s="66" t="inlineStr">
        <is>
          <t>LEP_ZA_AUG26_TT_TD_AMUR_CONV</t>
        </is>
      </c>
      <c r="G1117" s="66" t="inlineStr">
        <is>
          <t>Website Conversions</t>
        </is>
      </c>
      <c r="H1117" s="66" t="inlineStr">
        <is>
          <t>AMUR</t>
        </is>
      </c>
      <c r="I1117" s="66" t="inlineStr">
        <is>
          <t>0% Deposit</t>
        </is>
      </c>
      <c r="J1117" s="66" t="inlineStr">
        <is>
          <t>TT_AMUR_INT_AUTO_ZA</t>
        </is>
      </c>
      <c r="K1117" s="66" t="inlineStr">
        <is>
          <t>Interest</t>
        </is>
      </c>
      <c r="L1117" s="66" t="inlineStr">
        <is>
          <t>TT_AMUR_UGC_15s_FirstCar_v1</t>
        </is>
      </c>
      <c r="M1117" s="66" t="inlineStr">
        <is>
          <t>Video 9:16</t>
        </is>
      </c>
      <c r="N1117" s="66" t="inlineStr">
        <is>
          <t>POV: your first car isn't second-hand</t>
        </is>
      </c>
      <c r="O1117" s="66" t="inlineStr">
        <is>
          <t>Auction - Lowest Cost</t>
        </is>
      </c>
      <c r="P1117" s="66" t="inlineStr">
        <is>
          <t>Complete Payment / Lead</t>
        </is>
      </c>
      <c r="Q1117" s="66" t="inlineStr">
        <is>
          <t>https://www.lepas-sa.co.za/offers/amur</t>
        </is>
      </c>
      <c r="R1117" s="121" t="n">
        <v>186.39</v>
      </c>
      <c r="S1117" s="122" t="n">
        <v>4048</v>
      </c>
      <c r="T1117" s="122" t="n">
        <v>2575</v>
      </c>
      <c r="U1117" s="123">
        <f>IFERROR(S1117/T1117,"")</f>
        <v/>
      </c>
      <c r="V1117" s="122" t="n">
        <v>24</v>
      </c>
      <c r="W1117" s="122" t="n">
        <v>18</v>
      </c>
      <c r="X1117" s="124">
        <f>IFERROR(W1117/S1117,"")</f>
        <v/>
      </c>
      <c r="Y1117" s="121">
        <f>IFERROR(R1117/W1117,"")</f>
        <v/>
      </c>
      <c r="Z1117" s="121">
        <f>IFERROR(R1117/S1117*1000,"")</f>
        <v/>
      </c>
      <c r="AA1117" s="122" t="n">
        <v>12</v>
      </c>
      <c r="AB1117" s="54">
        <f>IFERROR(AA1117/W1117,"")</f>
        <v/>
      </c>
      <c r="AC1117" s="122" t="n">
        <v>1532</v>
      </c>
      <c r="AD1117" s="122" t="n">
        <v>682</v>
      </c>
      <c r="AE1117" s="122" t="n">
        <v>576</v>
      </c>
      <c r="AF1117" s="122" t="n">
        <v>362</v>
      </c>
      <c r="AG1117" s="122" t="n">
        <v>266</v>
      </c>
      <c r="AH1117" s="122" t="n">
        <v>186</v>
      </c>
      <c r="AI1117" s="54">
        <f>IFERROR(AC1117/S1117,"")</f>
        <v/>
      </c>
      <c r="AJ1117" s="54">
        <f>IFERROR(AH1117/S1117,"")</f>
        <v/>
      </c>
      <c r="AK1117" s="122" t="n">
        <v>185</v>
      </c>
      <c r="AL1117" s="122" t="n">
        <v>0</v>
      </c>
      <c r="AM1117" s="124">
        <f>IFERROR(AL1117/AA1117,"")</f>
        <v/>
      </c>
      <c r="AN1117" s="125">
        <f>IFERROR(R1117/AL1117,"")</f>
        <v/>
      </c>
      <c r="AO1117" s="122" t="n">
        <v>0</v>
      </c>
      <c r="AP1117" s="54">
        <f>IFERROR(AO1117/AL1117,"")</f>
        <v/>
      </c>
      <c r="AQ1117" s="125">
        <f>IFERROR(R1117/AO1117,"")</f>
        <v/>
      </c>
      <c r="AR1117" s="122" t="n">
        <v>0</v>
      </c>
      <c r="AS1117" s="122" t="n">
        <v>0</v>
      </c>
      <c r="AT1117" s="122">
        <f>AL1117+AR1117</f>
        <v/>
      </c>
      <c r="AU1117" s="125">
        <f>IFERROR(AO1117*Assumptions!$C$26*Assumptions!$C$27*INDEX(Assumptions!$C$18:$C$21,MATCH(H1117,Assumptions!$B$18:$B$21,0)),0)</f>
        <v/>
      </c>
    </row>
    <row r="1118">
      <c r="A1118" s="120" t="n">
        <v>46256</v>
      </c>
      <c r="B1118" s="66" t="inlineStr">
        <is>
          <t>Wk 34</t>
        </is>
      </c>
      <c r="C1118" s="66" t="inlineStr">
        <is>
          <t>Sat</t>
        </is>
      </c>
      <c r="D1118" s="66" t="inlineStr">
        <is>
          <t>TikTok</t>
        </is>
      </c>
      <c r="E1118" s="66" t="inlineStr">
        <is>
          <t>TikTok</t>
        </is>
      </c>
      <c r="F1118" s="66" t="inlineStr">
        <is>
          <t>LEP_ZA_AUG26_TT_TD_AMUR_CONV</t>
        </is>
      </c>
      <c r="G1118" s="66" t="inlineStr">
        <is>
          <t>Website Conversions</t>
        </is>
      </c>
      <c r="H1118" s="66" t="inlineStr">
        <is>
          <t>AMUR</t>
        </is>
      </c>
      <c r="I1118" s="66" t="inlineStr">
        <is>
          <t>0% Deposit</t>
        </is>
      </c>
      <c r="J1118" s="66" t="inlineStr">
        <is>
          <t>TT_AMUR_INT_AUTO_ZA</t>
        </is>
      </c>
      <c r="K1118" s="66" t="inlineStr">
        <is>
          <t>Interest</t>
        </is>
      </c>
      <c r="L1118" s="66" t="inlineStr">
        <is>
          <t>TT_AMUR_UGC_15s_FirstCar_v1</t>
        </is>
      </c>
      <c r="M1118" s="66" t="inlineStr">
        <is>
          <t>Video 9:16</t>
        </is>
      </c>
      <c r="N1118" s="66" t="inlineStr">
        <is>
          <t>POV: your first car isn't second-hand</t>
        </is>
      </c>
      <c r="O1118" s="66" t="inlineStr">
        <is>
          <t>Auction - Lowest Cost</t>
        </is>
      </c>
      <c r="P1118" s="66" t="inlineStr">
        <is>
          <t>Complete Payment / Lead</t>
        </is>
      </c>
      <c r="Q1118" s="66" t="inlineStr">
        <is>
          <t>https://www.lepas-sa.co.za/offers/amur</t>
        </is>
      </c>
      <c r="R1118" s="121" t="n">
        <v>170.87</v>
      </c>
      <c r="S1118" s="122" t="n">
        <v>5591</v>
      </c>
      <c r="T1118" s="122" t="n">
        <v>2596</v>
      </c>
      <c r="U1118" s="123">
        <f>IFERROR(S1118/T1118,"")</f>
        <v/>
      </c>
      <c r="V1118" s="122" t="n">
        <v>43</v>
      </c>
      <c r="W1118" s="122" t="n">
        <v>31</v>
      </c>
      <c r="X1118" s="124">
        <f>IFERROR(W1118/S1118,"")</f>
        <v/>
      </c>
      <c r="Y1118" s="121">
        <f>IFERROR(R1118/W1118,"")</f>
        <v/>
      </c>
      <c r="Z1118" s="121">
        <f>IFERROR(R1118/S1118*1000,"")</f>
        <v/>
      </c>
      <c r="AA1118" s="122" t="n">
        <v>20</v>
      </c>
      <c r="AB1118" s="54">
        <f>IFERROR(AA1118/W1118,"")</f>
        <v/>
      </c>
      <c r="AC1118" s="122" t="n">
        <v>1897</v>
      </c>
      <c r="AD1118" s="122" t="n">
        <v>1035</v>
      </c>
      <c r="AE1118" s="122" t="n">
        <v>902</v>
      </c>
      <c r="AF1118" s="122" t="n">
        <v>610</v>
      </c>
      <c r="AG1118" s="122" t="n">
        <v>469</v>
      </c>
      <c r="AH1118" s="122" t="n">
        <v>293</v>
      </c>
      <c r="AI1118" s="54">
        <f>IFERROR(AC1118/S1118,"")</f>
        <v/>
      </c>
      <c r="AJ1118" s="54">
        <f>IFERROR(AH1118/S1118,"")</f>
        <v/>
      </c>
      <c r="AK1118" s="122" t="n">
        <v>131</v>
      </c>
      <c r="AL1118" s="122" t="n">
        <v>0</v>
      </c>
      <c r="AM1118" s="124">
        <f>IFERROR(AL1118/AA1118,"")</f>
        <v/>
      </c>
      <c r="AN1118" s="125">
        <f>IFERROR(R1118/AL1118,"")</f>
        <v/>
      </c>
      <c r="AO1118" s="122" t="n">
        <v>0</v>
      </c>
      <c r="AP1118" s="54">
        <f>IFERROR(AO1118/AL1118,"")</f>
        <v/>
      </c>
      <c r="AQ1118" s="125">
        <f>IFERROR(R1118/AO1118,"")</f>
        <v/>
      </c>
      <c r="AR1118" s="122" t="n">
        <v>0</v>
      </c>
      <c r="AS1118" s="122" t="n">
        <v>0</v>
      </c>
      <c r="AT1118" s="122">
        <f>AL1118+AR1118</f>
        <v/>
      </c>
      <c r="AU1118" s="125">
        <f>IFERROR(AO1118*Assumptions!$C$26*Assumptions!$C$27*INDEX(Assumptions!$C$18:$C$21,MATCH(H1118,Assumptions!$B$18:$B$21,0)),0)</f>
        <v/>
      </c>
    </row>
    <row r="1119">
      <c r="A1119" s="120" t="n">
        <v>46257</v>
      </c>
      <c r="B1119" s="66" t="inlineStr">
        <is>
          <t>Wk 34</t>
        </is>
      </c>
      <c r="C1119" s="66" t="inlineStr">
        <is>
          <t>Sun</t>
        </is>
      </c>
      <c r="D1119" s="66" t="inlineStr">
        <is>
          <t>TikTok</t>
        </is>
      </c>
      <c r="E1119" s="66" t="inlineStr">
        <is>
          <t>TikTok</t>
        </is>
      </c>
      <c r="F1119" s="66" t="inlineStr">
        <is>
          <t>LEP_ZA_AUG26_TT_TD_AMUR_CONV</t>
        </is>
      </c>
      <c r="G1119" s="66" t="inlineStr">
        <is>
          <t>Website Conversions</t>
        </is>
      </c>
      <c r="H1119" s="66" t="inlineStr">
        <is>
          <t>AMUR</t>
        </is>
      </c>
      <c r="I1119" s="66" t="inlineStr">
        <is>
          <t>0% Deposit</t>
        </is>
      </c>
      <c r="J1119" s="66" t="inlineStr">
        <is>
          <t>TT_AMUR_INT_AUTO_ZA</t>
        </is>
      </c>
      <c r="K1119" s="66" t="inlineStr">
        <is>
          <t>Interest</t>
        </is>
      </c>
      <c r="L1119" s="66" t="inlineStr">
        <is>
          <t>TT_AMUR_UGC_15s_FirstCar_v1</t>
        </is>
      </c>
      <c r="M1119" s="66" t="inlineStr">
        <is>
          <t>Video 9:16</t>
        </is>
      </c>
      <c r="N1119" s="66" t="inlineStr">
        <is>
          <t>POV: your first car isn't second-hand</t>
        </is>
      </c>
      <c r="O1119" s="66" t="inlineStr">
        <is>
          <t>Auction - Lowest Cost</t>
        </is>
      </c>
      <c r="P1119" s="66" t="inlineStr">
        <is>
          <t>Complete Payment / Lead</t>
        </is>
      </c>
      <c r="Q1119" s="66" t="inlineStr">
        <is>
          <t>https://www.lepas-sa.co.za/offers/amur</t>
        </is>
      </c>
      <c r="R1119" s="121" t="n">
        <v>162.97</v>
      </c>
      <c r="S1119" s="122" t="n">
        <v>4294</v>
      </c>
      <c r="T1119" s="122" t="n">
        <v>1951</v>
      </c>
      <c r="U1119" s="123">
        <f>IFERROR(S1119/T1119,"")</f>
        <v/>
      </c>
      <c r="V1119" s="122" t="n">
        <v>25</v>
      </c>
      <c r="W1119" s="122" t="n">
        <v>20</v>
      </c>
      <c r="X1119" s="124">
        <f>IFERROR(W1119/S1119,"")</f>
        <v/>
      </c>
      <c r="Y1119" s="121">
        <f>IFERROR(R1119/W1119,"")</f>
        <v/>
      </c>
      <c r="Z1119" s="121">
        <f>IFERROR(R1119/S1119*1000,"")</f>
        <v/>
      </c>
      <c r="AA1119" s="122" t="n">
        <v>13</v>
      </c>
      <c r="AB1119" s="54">
        <f>IFERROR(AA1119/W1119,"")</f>
        <v/>
      </c>
      <c r="AC1119" s="122" t="n">
        <v>1051</v>
      </c>
      <c r="AD1119" s="122" t="n">
        <v>599</v>
      </c>
      <c r="AE1119" s="122" t="n">
        <v>438</v>
      </c>
      <c r="AF1119" s="122" t="n">
        <v>286</v>
      </c>
      <c r="AG1119" s="122" t="n">
        <v>220</v>
      </c>
      <c r="AH1119" s="122" t="n">
        <v>139</v>
      </c>
      <c r="AI1119" s="54">
        <f>IFERROR(AC1119/S1119,"")</f>
        <v/>
      </c>
      <c r="AJ1119" s="54">
        <f>IFERROR(AH1119/S1119,"")</f>
        <v/>
      </c>
      <c r="AK1119" s="122" t="n">
        <v>167</v>
      </c>
      <c r="AL1119" s="122" t="n">
        <v>0</v>
      </c>
      <c r="AM1119" s="124">
        <f>IFERROR(AL1119/AA1119,"")</f>
        <v/>
      </c>
      <c r="AN1119" s="125">
        <f>IFERROR(R1119/AL1119,"")</f>
        <v/>
      </c>
      <c r="AO1119" s="122" t="n">
        <v>0</v>
      </c>
      <c r="AP1119" s="54">
        <f>IFERROR(AO1119/AL1119,"")</f>
        <v/>
      </c>
      <c r="AQ1119" s="125">
        <f>IFERROR(R1119/AO1119,"")</f>
        <v/>
      </c>
      <c r="AR1119" s="122" t="n">
        <v>0</v>
      </c>
      <c r="AS1119" s="122" t="n">
        <v>0</v>
      </c>
      <c r="AT1119" s="122">
        <f>AL1119+AR1119</f>
        <v/>
      </c>
      <c r="AU1119" s="125">
        <f>IFERROR(AO1119*Assumptions!$C$26*Assumptions!$C$27*INDEX(Assumptions!$C$18:$C$21,MATCH(H1119,Assumptions!$B$18:$B$21,0)),0)</f>
        <v/>
      </c>
    </row>
    <row r="1120">
      <c r="A1120" s="120" t="n">
        <v>46258</v>
      </c>
      <c r="B1120" s="66" t="inlineStr">
        <is>
          <t>Wk 35</t>
        </is>
      </c>
      <c r="C1120" s="66" t="inlineStr">
        <is>
          <t>Mon</t>
        </is>
      </c>
      <c r="D1120" s="66" t="inlineStr">
        <is>
          <t>TikTok</t>
        </is>
      </c>
      <c r="E1120" s="66" t="inlineStr">
        <is>
          <t>TikTok</t>
        </is>
      </c>
      <c r="F1120" s="66" t="inlineStr">
        <is>
          <t>LEP_ZA_AUG26_TT_TD_AMUR_CONV</t>
        </is>
      </c>
      <c r="G1120" s="66" t="inlineStr">
        <is>
          <t>Website Conversions</t>
        </is>
      </c>
      <c r="H1120" s="66" t="inlineStr">
        <is>
          <t>AMUR</t>
        </is>
      </c>
      <c r="I1120" s="66" t="inlineStr">
        <is>
          <t>0% Deposit</t>
        </is>
      </c>
      <c r="J1120" s="66" t="inlineStr">
        <is>
          <t>TT_AMUR_INT_AUTO_ZA</t>
        </is>
      </c>
      <c r="K1120" s="66" t="inlineStr">
        <is>
          <t>Interest</t>
        </is>
      </c>
      <c r="L1120" s="66" t="inlineStr">
        <is>
          <t>TT_AMUR_UGC_15s_FirstCar_v1</t>
        </is>
      </c>
      <c r="M1120" s="66" t="inlineStr">
        <is>
          <t>Video 9:16</t>
        </is>
      </c>
      <c r="N1120" s="66" t="inlineStr">
        <is>
          <t>POV: your first car isn't second-hand</t>
        </is>
      </c>
      <c r="O1120" s="66" t="inlineStr">
        <is>
          <t>Auction - Lowest Cost</t>
        </is>
      </c>
      <c r="P1120" s="66" t="inlineStr">
        <is>
          <t>Complete Payment / Lead</t>
        </is>
      </c>
      <c r="Q1120" s="66" t="inlineStr">
        <is>
          <t>https://www.lepas-sa.co.za/offers/amur</t>
        </is>
      </c>
      <c r="R1120" s="121" t="n">
        <v>170.53</v>
      </c>
      <c r="S1120" s="122" t="n">
        <v>5955</v>
      </c>
      <c r="T1120" s="122" t="n">
        <v>2747</v>
      </c>
      <c r="U1120" s="123">
        <f>IFERROR(S1120/T1120,"")</f>
        <v/>
      </c>
      <c r="V1120" s="122" t="n">
        <v>61</v>
      </c>
      <c r="W1120" s="122" t="n">
        <v>50</v>
      </c>
      <c r="X1120" s="124">
        <f>IFERROR(W1120/S1120,"")</f>
        <v/>
      </c>
      <c r="Y1120" s="121">
        <f>IFERROR(R1120/W1120,"")</f>
        <v/>
      </c>
      <c r="Z1120" s="121">
        <f>IFERROR(R1120/S1120*1000,"")</f>
        <v/>
      </c>
      <c r="AA1120" s="122" t="n">
        <v>34</v>
      </c>
      <c r="AB1120" s="54">
        <f>IFERROR(AA1120/W1120,"")</f>
        <v/>
      </c>
      <c r="AC1120" s="122" t="n">
        <v>2225</v>
      </c>
      <c r="AD1120" s="122" t="n">
        <v>1191</v>
      </c>
      <c r="AE1120" s="122" t="n">
        <v>1195</v>
      </c>
      <c r="AF1120" s="122" t="n">
        <v>643</v>
      </c>
      <c r="AG1120" s="122" t="n">
        <v>434</v>
      </c>
      <c r="AH1120" s="122" t="n">
        <v>316</v>
      </c>
      <c r="AI1120" s="54">
        <f>IFERROR(AC1120/S1120,"")</f>
        <v/>
      </c>
      <c r="AJ1120" s="54">
        <f>IFERROR(AH1120/S1120,"")</f>
        <v/>
      </c>
      <c r="AK1120" s="122" t="n">
        <v>338</v>
      </c>
      <c r="AL1120" s="122" t="n">
        <v>0</v>
      </c>
      <c r="AM1120" s="124">
        <f>IFERROR(AL1120/AA1120,"")</f>
        <v/>
      </c>
      <c r="AN1120" s="125">
        <f>IFERROR(R1120/AL1120,"")</f>
        <v/>
      </c>
      <c r="AO1120" s="122" t="n">
        <v>0</v>
      </c>
      <c r="AP1120" s="54">
        <f>IFERROR(AO1120/AL1120,"")</f>
        <v/>
      </c>
      <c r="AQ1120" s="125">
        <f>IFERROR(R1120/AO1120,"")</f>
        <v/>
      </c>
      <c r="AR1120" s="122" t="n">
        <v>0</v>
      </c>
      <c r="AS1120" s="122" t="n">
        <v>0</v>
      </c>
      <c r="AT1120" s="122">
        <f>AL1120+AR1120</f>
        <v/>
      </c>
      <c r="AU1120" s="125">
        <f>IFERROR(AO1120*Assumptions!$C$26*Assumptions!$C$27*INDEX(Assumptions!$C$18:$C$21,MATCH(H1120,Assumptions!$B$18:$B$21,0)),0)</f>
        <v/>
      </c>
    </row>
    <row r="1121">
      <c r="A1121" s="120" t="n">
        <v>46259</v>
      </c>
      <c r="B1121" s="66" t="inlineStr">
        <is>
          <t>Wk 35</t>
        </is>
      </c>
      <c r="C1121" s="66" t="inlineStr">
        <is>
          <t>Tue</t>
        </is>
      </c>
      <c r="D1121" s="66" t="inlineStr">
        <is>
          <t>TikTok</t>
        </is>
      </c>
      <c r="E1121" s="66" t="inlineStr">
        <is>
          <t>TikTok</t>
        </is>
      </c>
      <c r="F1121" s="66" t="inlineStr">
        <is>
          <t>LEP_ZA_AUG26_TT_TD_AMUR_CONV</t>
        </is>
      </c>
      <c r="G1121" s="66" t="inlineStr">
        <is>
          <t>Website Conversions</t>
        </is>
      </c>
      <c r="H1121" s="66" t="inlineStr">
        <is>
          <t>AMUR</t>
        </is>
      </c>
      <c r="I1121" s="66" t="inlineStr">
        <is>
          <t>0% Deposit</t>
        </is>
      </c>
      <c r="J1121" s="66" t="inlineStr">
        <is>
          <t>TT_AMUR_INT_AUTO_ZA</t>
        </is>
      </c>
      <c r="K1121" s="66" t="inlineStr">
        <is>
          <t>Interest</t>
        </is>
      </c>
      <c r="L1121" s="66" t="inlineStr">
        <is>
          <t>TT_AMUR_UGC_15s_FirstCar_v1</t>
        </is>
      </c>
      <c r="M1121" s="66" t="inlineStr">
        <is>
          <t>Video 9:16</t>
        </is>
      </c>
      <c r="N1121" s="66" t="inlineStr">
        <is>
          <t>POV: your first car isn't second-hand</t>
        </is>
      </c>
      <c r="O1121" s="66" t="inlineStr">
        <is>
          <t>Auction - Lowest Cost</t>
        </is>
      </c>
      <c r="P1121" s="66" t="inlineStr">
        <is>
          <t>Complete Payment / Lead</t>
        </is>
      </c>
      <c r="Q1121" s="66" t="inlineStr">
        <is>
          <t>https://www.lepas-sa.co.za/offers/amur</t>
        </is>
      </c>
      <c r="R1121" s="121" t="n">
        <v>182</v>
      </c>
      <c r="S1121" s="122" t="n">
        <v>5978</v>
      </c>
      <c r="T1121" s="122" t="n">
        <v>3407</v>
      </c>
      <c r="U1121" s="123">
        <f>IFERROR(S1121/T1121,"")</f>
        <v/>
      </c>
      <c r="V1121" s="122" t="n">
        <v>75</v>
      </c>
      <c r="W1121" s="122" t="n">
        <v>59</v>
      </c>
      <c r="X1121" s="124">
        <f>IFERROR(W1121/S1121,"")</f>
        <v/>
      </c>
      <c r="Y1121" s="121">
        <f>IFERROR(R1121/W1121,"")</f>
        <v/>
      </c>
      <c r="Z1121" s="121">
        <f>IFERROR(R1121/S1121*1000,"")</f>
        <v/>
      </c>
      <c r="AA1121" s="122" t="n">
        <v>38</v>
      </c>
      <c r="AB1121" s="54">
        <f>IFERROR(AA1121/W1121,"")</f>
        <v/>
      </c>
      <c r="AC1121" s="122" t="n">
        <v>1835</v>
      </c>
      <c r="AD1121" s="122" t="n">
        <v>842</v>
      </c>
      <c r="AE1121" s="122" t="n">
        <v>717</v>
      </c>
      <c r="AF1121" s="122" t="n">
        <v>407</v>
      </c>
      <c r="AG1121" s="122" t="n">
        <v>323</v>
      </c>
      <c r="AH1121" s="122" t="n">
        <v>223</v>
      </c>
      <c r="AI1121" s="54">
        <f>IFERROR(AC1121/S1121,"")</f>
        <v/>
      </c>
      <c r="AJ1121" s="54">
        <f>IFERROR(AH1121/S1121,"")</f>
        <v/>
      </c>
      <c r="AK1121" s="122" t="n">
        <v>197</v>
      </c>
      <c r="AL1121" s="122" t="n">
        <v>0</v>
      </c>
      <c r="AM1121" s="124">
        <f>IFERROR(AL1121/AA1121,"")</f>
        <v/>
      </c>
      <c r="AN1121" s="125">
        <f>IFERROR(R1121/AL1121,"")</f>
        <v/>
      </c>
      <c r="AO1121" s="122" t="n">
        <v>0</v>
      </c>
      <c r="AP1121" s="54">
        <f>IFERROR(AO1121/AL1121,"")</f>
        <v/>
      </c>
      <c r="AQ1121" s="125">
        <f>IFERROR(R1121/AO1121,"")</f>
        <v/>
      </c>
      <c r="AR1121" s="122" t="n">
        <v>0</v>
      </c>
      <c r="AS1121" s="122" t="n">
        <v>0</v>
      </c>
      <c r="AT1121" s="122">
        <f>AL1121+AR1121</f>
        <v/>
      </c>
      <c r="AU1121" s="125">
        <f>IFERROR(AO1121*Assumptions!$C$26*Assumptions!$C$27*INDEX(Assumptions!$C$18:$C$21,MATCH(H1121,Assumptions!$B$18:$B$21,0)),0)</f>
        <v/>
      </c>
    </row>
    <row r="1122">
      <c r="A1122" s="120" t="n">
        <v>46260</v>
      </c>
      <c r="B1122" s="66" t="inlineStr">
        <is>
          <t>Wk 35</t>
        </is>
      </c>
      <c r="C1122" s="66" t="inlineStr">
        <is>
          <t>Wed</t>
        </is>
      </c>
      <c r="D1122" s="66" t="inlineStr">
        <is>
          <t>TikTok</t>
        </is>
      </c>
      <c r="E1122" s="66" t="inlineStr">
        <is>
          <t>TikTok</t>
        </is>
      </c>
      <c r="F1122" s="66" t="inlineStr">
        <is>
          <t>LEP_ZA_AUG26_TT_TD_AMUR_CONV</t>
        </is>
      </c>
      <c r="G1122" s="66" t="inlineStr">
        <is>
          <t>Website Conversions</t>
        </is>
      </c>
      <c r="H1122" s="66" t="inlineStr">
        <is>
          <t>AMUR</t>
        </is>
      </c>
      <c r="I1122" s="66" t="inlineStr">
        <is>
          <t>0% Deposit</t>
        </is>
      </c>
      <c r="J1122" s="66" t="inlineStr">
        <is>
          <t>TT_AMUR_INT_AUTO_ZA</t>
        </is>
      </c>
      <c r="K1122" s="66" t="inlineStr">
        <is>
          <t>Interest</t>
        </is>
      </c>
      <c r="L1122" s="66" t="inlineStr">
        <is>
          <t>TT_AMUR_UGC_15s_FirstCar_v1</t>
        </is>
      </c>
      <c r="M1122" s="66" t="inlineStr">
        <is>
          <t>Video 9:16</t>
        </is>
      </c>
      <c r="N1122" s="66" t="inlineStr">
        <is>
          <t>POV: your first car isn't second-hand</t>
        </is>
      </c>
      <c r="O1122" s="66" t="inlineStr">
        <is>
          <t>Auction - Lowest Cost</t>
        </is>
      </c>
      <c r="P1122" s="66" t="inlineStr">
        <is>
          <t>Complete Payment / Lead</t>
        </is>
      </c>
      <c r="Q1122" s="66" t="inlineStr">
        <is>
          <t>https://www.lepas-sa.co.za/offers/amur</t>
        </is>
      </c>
      <c r="R1122" s="121" t="n">
        <v>169.79</v>
      </c>
      <c r="S1122" s="122" t="n">
        <v>3905</v>
      </c>
      <c r="T1122" s="122" t="n">
        <v>1966</v>
      </c>
      <c r="U1122" s="123">
        <f>IFERROR(S1122/T1122,"")</f>
        <v/>
      </c>
      <c r="V1122" s="122" t="n">
        <v>35</v>
      </c>
      <c r="W1122" s="122" t="n">
        <v>27</v>
      </c>
      <c r="X1122" s="124">
        <f>IFERROR(W1122/S1122,"")</f>
        <v/>
      </c>
      <c r="Y1122" s="121">
        <f>IFERROR(R1122/W1122,"")</f>
        <v/>
      </c>
      <c r="Z1122" s="121">
        <f>IFERROR(R1122/S1122*1000,"")</f>
        <v/>
      </c>
      <c r="AA1122" s="122" t="n">
        <v>17</v>
      </c>
      <c r="AB1122" s="54">
        <f>IFERROR(AA1122/W1122,"")</f>
        <v/>
      </c>
      <c r="AC1122" s="122" t="n">
        <v>987</v>
      </c>
      <c r="AD1122" s="122" t="n">
        <v>499</v>
      </c>
      <c r="AE1122" s="122" t="n">
        <v>509</v>
      </c>
      <c r="AF1122" s="122" t="n">
        <v>326</v>
      </c>
      <c r="AG1122" s="122" t="n">
        <v>250</v>
      </c>
      <c r="AH1122" s="122" t="n">
        <v>167</v>
      </c>
      <c r="AI1122" s="54">
        <f>IFERROR(AC1122/S1122,"")</f>
        <v/>
      </c>
      <c r="AJ1122" s="54">
        <f>IFERROR(AH1122/S1122,"")</f>
        <v/>
      </c>
      <c r="AK1122" s="122" t="n">
        <v>160</v>
      </c>
      <c r="AL1122" s="122" t="n">
        <v>0</v>
      </c>
      <c r="AM1122" s="124">
        <f>IFERROR(AL1122/AA1122,"")</f>
        <v/>
      </c>
      <c r="AN1122" s="125">
        <f>IFERROR(R1122/AL1122,"")</f>
        <v/>
      </c>
      <c r="AO1122" s="122" t="n">
        <v>0</v>
      </c>
      <c r="AP1122" s="54">
        <f>IFERROR(AO1122/AL1122,"")</f>
        <v/>
      </c>
      <c r="AQ1122" s="125">
        <f>IFERROR(R1122/AO1122,"")</f>
        <v/>
      </c>
      <c r="AR1122" s="122" t="n">
        <v>0</v>
      </c>
      <c r="AS1122" s="122" t="n">
        <v>0</v>
      </c>
      <c r="AT1122" s="122">
        <f>AL1122+AR1122</f>
        <v/>
      </c>
      <c r="AU1122" s="125">
        <f>IFERROR(AO1122*Assumptions!$C$26*Assumptions!$C$27*INDEX(Assumptions!$C$18:$C$21,MATCH(H1122,Assumptions!$B$18:$B$21,0)),0)</f>
        <v/>
      </c>
    </row>
    <row r="1123">
      <c r="A1123" s="120" t="n">
        <v>46261</v>
      </c>
      <c r="B1123" s="66" t="inlineStr">
        <is>
          <t>Wk 35</t>
        </is>
      </c>
      <c r="C1123" s="66" t="inlineStr">
        <is>
          <t>Thu</t>
        </is>
      </c>
      <c r="D1123" s="66" t="inlineStr">
        <is>
          <t>TikTok</t>
        </is>
      </c>
      <c r="E1123" s="66" t="inlineStr">
        <is>
          <t>TikTok</t>
        </is>
      </c>
      <c r="F1123" s="66" t="inlineStr">
        <is>
          <t>LEP_ZA_AUG26_TT_TD_AMUR_CONV</t>
        </is>
      </c>
      <c r="G1123" s="66" t="inlineStr">
        <is>
          <t>Website Conversions</t>
        </is>
      </c>
      <c r="H1123" s="66" t="inlineStr">
        <is>
          <t>AMUR</t>
        </is>
      </c>
      <c r="I1123" s="66" t="inlineStr">
        <is>
          <t>0% Deposit</t>
        </is>
      </c>
      <c r="J1123" s="66" t="inlineStr">
        <is>
          <t>TT_AMUR_INT_AUTO_ZA</t>
        </is>
      </c>
      <c r="K1123" s="66" t="inlineStr">
        <is>
          <t>Interest</t>
        </is>
      </c>
      <c r="L1123" s="66" t="inlineStr">
        <is>
          <t>TT_AMUR_UGC_15s_FirstCar_v1</t>
        </is>
      </c>
      <c r="M1123" s="66" t="inlineStr">
        <is>
          <t>Video 9:16</t>
        </is>
      </c>
      <c r="N1123" s="66" t="inlineStr">
        <is>
          <t>POV: your first car isn't second-hand</t>
        </is>
      </c>
      <c r="O1123" s="66" t="inlineStr">
        <is>
          <t>Auction - Lowest Cost</t>
        </is>
      </c>
      <c r="P1123" s="66" t="inlineStr">
        <is>
          <t>Complete Payment / Lead</t>
        </is>
      </c>
      <c r="Q1123" s="66" t="inlineStr">
        <is>
          <t>https://www.lepas-sa.co.za/offers/amur</t>
        </is>
      </c>
      <c r="R1123" s="121" t="n">
        <v>195.44</v>
      </c>
      <c r="S1123" s="122" t="n">
        <v>3823</v>
      </c>
      <c r="T1123" s="122" t="n">
        <v>2004</v>
      </c>
      <c r="U1123" s="123">
        <f>IFERROR(S1123/T1123,"")</f>
        <v/>
      </c>
      <c r="V1123" s="122" t="n">
        <v>20</v>
      </c>
      <c r="W1123" s="122" t="n">
        <v>16</v>
      </c>
      <c r="X1123" s="124">
        <f>IFERROR(W1123/S1123,"")</f>
        <v/>
      </c>
      <c r="Y1123" s="121">
        <f>IFERROR(R1123/W1123,"")</f>
        <v/>
      </c>
      <c r="Z1123" s="121">
        <f>IFERROR(R1123/S1123*1000,"")</f>
        <v/>
      </c>
      <c r="AA1123" s="122" t="n">
        <v>11</v>
      </c>
      <c r="AB1123" s="54">
        <f>IFERROR(AA1123/W1123,"")</f>
        <v/>
      </c>
      <c r="AC1123" s="122" t="n">
        <v>919</v>
      </c>
      <c r="AD1123" s="122" t="n">
        <v>505</v>
      </c>
      <c r="AE1123" s="122" t="n">
        <v>404</v>
      </c>
      <c r="AF1123" s="122" t="n">
        <v>280</v>
      </c>
      <c r="AG1123" s="122" t="n">
        <v>178</v>
      </c>
      <c r="AH1123" s="122" t="n">
        <v>128</v>
      </c>
      <c r="AI1123" s="54">
        <f>IFERROR(AC1123/S1123,"")</f>
        <v/>
      </c>
      <c r="AJ1123" s="54">
        <f>IFERROR(AH1123/S1123,"")</f>
        <v/>
      </c>
      <c r="AK1123" s="122" t="n">
        <v>156</v>
      </c>
      <c r="AL1123" s="122" t="n">
        <v>0</v>
      </c>
      <c r="AM1123" s="124">
        <f>IFERROR(AL1123/AA1123,"")</f>
        <v/>
      </c>
      <c r="AN1123" s="125">
        <f>IFERROR(R1123/AL1123,"")</f>
        <v/>
      </c>
      <c r="AO1123" s="122" t="n">
        <v>0</v>
      </c>
      <c r="AP1123" s="54">
        <f>IFERROR(AO1123/AL1123,"")</f>
        <v/>
      </c>
      <c r="AQ1123" s="125">
        <f>IFERROR(R1123/AO1123,"")</f>
        <v/>
      </c>
      <c r="AR1123" s="122" t="n">
        <v>0</v>
      </c>
      <c r="AS1123" s="122" t="n">
        <v>0</v>
      </c>
      <c r="AT1123" s="122">
        <f>AL1123+AR1123</f>
        <v/>
      </c>
      <c r="AU1123" s="125">
        <f>IFERROR(AO1123*Assumptions!$C$26*Assumptions!$C$27*INDEX(Assumptions!$C$18:$C$21,MATCH(H1123,Assumptions!$B$18:$B$21,0)),0)</f>
        <v/>
      </c>
    </row>
    <row r="1124">
      <c r="A1124" s="120" t="n">
        <v>46262</v>
      </c>
      <c r="B1124" s="66" t="inlineStr">
        <is>
          <t>Wk 35</t>
        </is>
      </c>
      <c r="C1124" s="66" t="inlineStr">
        <is>
          <t>Fri</t>
        </is>
      </c>
      <c r="D1124" s="66" t="inlineStr">
        <is>
          <t>TikTok</t>
        </is>
      </c>
      <c r="E1124" s="66" t="inlineStr">
        <is>
          <t>TikTok</t>
        </is>
      </c>
      <c r="F1124" s="66" t="inlineStr">
        <is>
          <t>LEP_ZA_AUG26_TT_TD_AMUR_CONV</t>
        </is>
      </c>
      <c r="G1124" s="66" t="inlineStr">
        <is>
          <t>Website Conversions</t>
        </is>
      </c>
      <c r="H1124" s="66" t="inlineStr">
        <is>
          <t>AMUR</t>
        </is>
      </c>
      <c r="I1124" s="66" t="inlineStr">
        <is>
          <t>0% Deposit</t>
        </is>
      </c>
      <c r="J1124" s="66" t="inlineStr">
        <is>
          <t>TT_AMUR_INT_AUTO_ZA</t>
        </is>
      </c>
      <c r="K1124" s="66" t="inlineStr">
        <is>
          <t>Interest</t>
        </is>
      </c>
      <c r="L1124" s="66" t="inlineStr">
        <is>
          <t>TT_AMUR_UGC_15s_FirstCar_v1</t>
        </is>
      </c>
      <c r="M1124" s="66" t="inlineStr">
        <is>
          <t>Video 9:16</t>
        </is>
      </c>
      <c r="N1124" s="66" t="inlineStr">
        <is>
          <t>POV: your first car isn't second-hand</t>
        </is>
      </c>
      <c r="O1124" s="66" t="inlineStr">
        <is>
          <t>Auction - Lowest Cost</t>
        </is>
      </c>
      <c r="P1124" s="66" t="inlineStr">
        <is>
          <t>Complete Payment / Lead</t>
        </is>
      </c>
      <c r="Q1124" s="66" t="inlineStr">
        <is>
          <t>https://www.lepas-sa.co.za/offers/amur</t>
        </is>
      </c>
      <c r="R1124" s="121" t="n">
        <v>261.96</v>
      </c>
      <c r="S1124" s="122" t="n">
        <v>6978</v>
      </c>
      <c r="T1124" s="122" t="n">
        <v>4391</v>
      </c>
      <c r="U1124" s="123">
        <f>IFERROR(S1124/T1124,"")</f>
        <v/>
      </c>
      <c r="V1124" s="122" t="n">
        <v>72</v>
      </c>
      <c r="W1124" s="122" t="n">
        <v>53</v>
      </c>
      <c r="X1124" s="124">
        <f>IFERROR(W1124/S1124,"")</f>
        <v/>
      </c>
      <c r="Y1124" s="121">
        <f>IFERROR(R1124/W1124,"")</f>
        <v/>
      </c>
      <c r="Z1124" s="121">
        <f>IFERROR(R1124/S1124*1000,"")</f>
        <v/>
      </c>
      <c r="AA1124" s="122" t="n">
        <v>35</v>
      </c>
      <c r="AB1124" s="54">
        <f>IFERROR(AA1124/W1124,"")</f>
        <v/>
      </c>
      <c r="AC1124" s="122" t="n">
        <v>2222</v>
      </c>
      <c r="AD1124" s="122" t="n">
        <v>1248</v>
      </c>
      <c r="AE1124" s="122" t="n">
        <v>1000</v>
      </c>
      <c r="AF1124" s="122" t="n">
        <v>568</v>
      </c>
      <c r="AG1124" s="122" t="n">
        <v>419</v>
      </c>
      <c r="AH1124" s="122" t="n">
        <v>249</v>
      </c>
      <c r="AI1124" s="54">
        <f>IFERROR(AC1124/S1124,"")</f>
        <v/>
      </c>
      <c r="AJ1124" s="54">
        <f>IFERROR(AH1124/S1124,"")</f>
        <v/>
      </c>
      <c r="AK1124" s="122" t="n">
        <v>265</v>
      </c>
      <c r="AL1124" s="122" t="n">
        <v>0</v>
      </c>
      <c r="AM1124" s="124">
        <f>IFERROR(AL1124/AA1124,"")</f>
        <v/>
      </c>
      <c r="AN1124" s="125">
        <f>IFERROR(R1124/AL1124,"")</f>
        <v/>
      </c>
      <c r="AO1124" s="122" t="n">
        <v>0</v>
      </c>
      <c r="AP1124" s="54">
        <f>IFERROR(AO1124/AL1124,"")</f>
        <v/>
      </c>
      <c r="AQ1124" s="125">
        <f>IFERROR(R1124/AO1124,"")</f>
        <v/>
      </c>
      <c r="AR1124" s="122" t="n">
        <v>0</v>
      </c>
      <c r="AS1124" s="122" t="n">
        <v>0</v>
      </c>
      <c r="AT1124" s="122">
        <f>AL1124+AR1124</f>
        <v/>
      </c>
      <c r="AU1124" s="125">
        <f>IFERROR(AO1124*Assumptions!$C$26*Assumptions!$C$27*INDEX(Assumptions!$C$18:$C$21,MATCH(H1124,Assumptions!$B$18:$B$21,0)),0)</f>
        <v/>
      </c>
    </row>
    <row r="1125">
      <c r="A1125" s="120" t="n">
        <v>46263</v>
      </c>
      <c r="B1125" s="66" t="inlineStr">
        <is>
          <t>Wk 35</t>
        </is>
      </c>
      <c r="C1125" s="66" t="inlineStr">
        <is>
          <t>Sat</t>
        </is>
      </c>
      <c r="D1125" s="66" t="inlineStr">
        <is>
          <t>TikTok</t>
        </is>
      </c>
      <c r="E1125" s="66" t="inlineStr">
        <is>
          <t>TikTok</t>
        </is>
      </c>
      <c r="F1125" s="66" t="inlineStr">
        <is>
          <t>LEP_ZA_AUG26_TT_TD_AMUR_CONV</t>
        </is>
      </c>
      <c r="G1125" s="66" t="inlineStr">
        <is>
          <t>Website Conversions</t>
        </is>
      </c>
      <c r="H1125" s="66" t="inlineStr">
        <is>
          <t>AMUR</t>
        </is>
      </c>
      <c r="I1125" s="66" t="inlineStr">
        <is>
          <t>0% Deposit</t>
        </is>
      </c>
      <c r="J1125" s="66" t="inlineStr">
        <is>
          <t>TT_AMUR_INT_AUTO_ZA</t>
        </is>
      </c>
      <c r="K1125" s="66" t="inlineStr">
        <is>
          <t>Interest</t>
        </is>
      </c>
      <c r="L1125" s="66" t="inlineStr">
        <is>
          <t>TT_AMUR_UGC_15s_FirstCar_v1</t>
        </is>
      </c>
      <c r="M1125" s="66" t="inlineStr">
        <is>
          <t>Video 9:16</t>
        </is>
      </c>
      <c r="N1125" s="66" t="inlineStr">
        <is>
          <t>POV: your first car isn't second-hand</t>
        </is>
      </c>
      <c r="O1125" s="66" t="inlineStr">
        <is>
          <t>Auction - Lowest Cost</t>
        </is>
      </c>
      <c r="P1125" s="66" t="inlineStr">
        <is>
          <t>Complete Payment / Lead</t>
        </is>
      </c>
      <c r="Q1125" s="66" t="inlineStr">
        <is>
          <t>https://www.lepas-sa.co.za/offers/amur</t>
        </is>
      </c>
      <c r="R1125" s="121" t="n">
        <v>198.35</v>
      </c>
      <c r="S1125" s="122" t="n">
        <v>4284</v>
      </c>
      <c r="T1125" s="122" t="n">
        <v>2383</v>
      </c>
      <c r="U1125" s="123">
        <f>IFERROR(S1125/T1125,"")</f>
        <v/>
      </c>
      <c r="V1125" s="122" t="n">
        <v>33</v>
      </c>
      <c r="W1125" s="122" t="n">
        <v>26</v>
      </c>
      <c r="X1125" s="124">
        <f>IFERROR(W1125/S1125,"")</f>
        <v/>
      </c>
      <c r="Y1125" s="121">
        <f>IFERROR(R1125/W1125,"")</f>
        <v/>
      </c>
      <c r="Z1125" s="121">
        <f>IFERROR(R1125/S1125*1000,"")</f>
        <v/>
      </c>
      <c r="AA1125" s="122" t="n">
        <v>19</v>
      </c>
      <c r="AB1125" s="54">
        <f>IFERROR(AA1125/W1125,"")</f>
        <v/>
      </c>
      <c r="AC1125" s="122" t="n">
        <v>1499</v>
      </c>
      <c r="AD1125" s="122" t="n">
        <v>902</v>
      </c>
      <c r="AE1125" s="122" t="n">
        <v>774</v>
      </c>
      <c r="AF1125" s="122" t="n">
        <v>403</v>
      </c>
      <c r="AG1125" s="122" t="n">
        <v>278</v>
      </c>
      <c r="AH1125" s="122" t="n">
        <v>195</v>
      </c>
      <c r="AI1125" s="54">
        <f>IFERROR(AC1125/S1125,"")</f>
        <v/>
      </c>
      <c r="AJ1125" s="54">
        <f>IFERROR(AH1125/S1125,"")</f>
        <v/>
      </c>
      <c r="AK1125" s="122" t="n">
        <v>190</v>
      </c>
      <c r="AL1125" s="122" t="n">
        <v>0</v>
      </c>
      <c r="AM1125" s="124">
        <f>IFERROR(AL1125/AA1125,"")</f>
        <v/>
      </c>
      <c r="AN1125" s="125">
        <f>IFERROR(R1125/AL1125,"")</f>
        <v/>
      </c>
      <c r="AO1125" s="122" t="n">
        <v>0</v>
      </c>
      <c r="AP1125" s="54">
        <f>IFERROR(AO1125/AL1125,"")</f>
        <v/>
      </c>
      <c r="AQ1125" s="125">
        <f>IFERROR(R1125/AO1125,"")</f>
        <v/>
      </c>
      <c r="AR1125" s="122" t="n">
        <v>0</v>
      </c>
      <c r="AS1125" s="122" t="n">
        <v>0</v>
      </c>
      <c r="AT1125" s="122">
        <f>AL1125+AR1125</f>
        <v/>
      </c>
      <c r="AU1125" s="125">
        <f>IFERROR(AO1125*Assumptions!$C$26*Assumptions!$C$27*INDEX(Assumptions!$C$18:$C$21,MATCH(H1125,Assumptions!$B$18:$B$21,0)),0)</f>
        <v/>
      </c>
    </row>
    <row r="1126">
      <c r="A1126" s="120" t="n">
        <v>46264</v>
      </c>
      <c r="B1126" s="66" t="inlineStr">
        <is>
          <t>Wk 35</t>
        </is>
      </c>
      <c r="C1126" s="66" t="inlineStr">
        <is>
          <t>Sun</t>
        </is>
      </c>
      <c r="D1126" s="66" t="inlineStr">
        <is>
          <t>TikTok</t>
        </is>
      </c>
      <c r="E1126" s="66" t="inlineStr">
        <is>
          <t>TikTok</t>
        </is>
      </c>
      <c r="F1126" s="66" t="inlineStr">
        <is>
          <t>LEP_ZA_AUG26_TT_TD_AMUR_CONV</t>
        </is>
      </c>
      <c r="G1126" s="66" t="inlineStr">
        <is>
          <t>Website Conversions</t>
        </is>
      </c>
      <c r="H1126" s="66" t="inlineStr">
        <is>
          <t>AMUR</t>
        </is>
      </c>
      <c r="I1126" s="66" t="inlineStr">
        <is>
          <t>0% Deposit</t>
        </is>
      </c>
      <c r="J1126" s="66" t="inlineStr">
        <is>
          <t>TT_AMUR_INT_AUTO_ZA</t>
        </is>
      </c>
      <c r="K1126" s="66" t="inlineStr">
        <is>
          <t>Interest</t>
        </is>
      </c>
      <c r="L1126" s="66" t="inlineStr">
        <is>
          <t>TT_AMUR_UGC_15s_FirstCar_v1</t>
        </is>
      </c>
      <c r="M1126" s="66" t="inlineStr">
        <is>
          <t>Video 9:16</t>
        </is>
      </c>
      <c r="N1126" s="66" t="inlineStr">
        <is>
          <t>POV: your first car isn't second-hand</t>
        </is>
      </c>
      <c r="O1126" s="66" t="inlineStr">
        <is>
          <t>Auction - Lowest Cost</t>
        </is>
      </c>
      <c r="P1126" s="66" t="inlineStr">
        <is>
          <t>Complete Payment / Lead</t>
        </is>
      </c>
      <c r="Q1126" s="66" t="inlineStr">
        <is>
          <t>https://www.lepas-sa.co.za/offers/amur</t>
        </is>
      </c>
      <c r="R1126" s="121" t="n">
        <v>161.99</v>
      </c>
      <c r="S1126" s="122" t="n">
        <v>3920</v>
      </c>
      <c r="T1126" s="122" t="n">
        <v>1937</v>
      </c>
      <c r="U1126" s="123">
        <f>IFERROR(S1126/T1126,"")</f>
        <v/>
      </c>
      <c r="V1126" s="122" t="n">
        <v>37</v>
      </c>
      <c r="W1126" s="122" t="n">
        <v>31</v>
      </c>
      <c r="X1126" s="124">
        <f>IFERROR(W1126/S1126,"")</f>
        <v/>
      </c>
      <c r="Y1126" s="121">
        <f>IFERROR(R1126/W1126,"")</f>
        <v/>
      </c>
      <c r="Z1126" s="121">
        <f>IFERROR(R1126/S1126*1000,"")</f>
        <v/>
      </c>
      <c r="AA1126" s="122" t="n">
        <v>21</v>
      </c>
      <c r="AB1126" s="54">
        <f>IFERROR(AA1126/W1126,"")</f>
        <v/>
      </c>
      <c r="AC1126" s="122" t="n">
        <v>1078</v>
      </c>
      <c r="AD1126" s="122" t="n">
        <v>550</v>
      </c>
      <c r="AE1126" s="122" t="n">
        <v>499</v>
      </c>
      <c r="AF1126" s="122" t="n">
        <v>342</v>
      </c>
      <c r="AG1126" s="122" t="n">
        <v>216</v>
      </c>
      <c r="AH1126" s="122" t="n">
        <v>153</v>
      </c>
      <c r="AI1126" s="54">
        <f>IFERROR(AC1126/S1126,"")</f>
        <v/>
      </c>
      <c r="AJ1126" s="54">
        <f>IFERROR(AH1126/S1126,"")</f>
        <v/>
      </c>
      <c r="AK1126" s="122" t="n">
        <v>191</v>
      </c>
      <c r="AL1126" s="122" t="n">
        <v>0</v>
      </c>
      <c r="AM1126" s="124">
        <f>IFERROR(AL1126/AA1126,"")</f>
        <v/>
      </c>
      <c r="AN1126" s="125">
        <f>IFERROR(R1126/AL1126,"")</f>
        <v/>
      </c>
      <c r="AO1126" s="122" t="n">
        <v>0</v>
      </c>
      <c r="AP1126" s="54">
        <f>IFERROR(AO1126/AL1126,"")</f>
        <v/>
      </c>
      <c r="AQ1126" s="125">
        <f>IFERROR(R1126/AO1126,"")</f>
        <v/>
      </c>
      <c r="AR1126" s="122" t="n">
        <v>0</v>
      </c>
      <c r="AS1126" s="122" t="n">
        <v>0</v>
      </c>
      <c r="AT1126" s="122">
        <f>AL1126+AR1126</f>
        <v/>
      </c>
      <c r="AU1126" s="125">
        <f>IFERROR(AO1126*Assumptions!$C$26*Assumptions!$C$27*INDEX(Assumptions!$C$18:$C$21,MATCH(H1126,Assumptions!$B$18:$B$21,0)),0)</f>
        <v/>
      </c>
    </row>
    <row r="1127">
      <c r="A1127" s="120" t="n">
        <v>46265</v>
      </c>
      <c r="B1127" s="66" t="inlineStr">
        <is>
          <t>Wk 36</t>
        </is>
      </c>
      <c r="C1127" s="66" t="inlineStr">
        <is>
          <t>Mon</t>
        </is>
      </c>
      <c r="D1127" s="66" t="inlineStr">
        <is>
          <t>TikTok</t>
        </is>
      </c>
      <c r="E1127" s="66" t="inlineStr">
        <is>
          <t>TikTok</t>
        </is>
      </c>
      <c r="F1127" s="66" t="inlineStr">
        <is>
          <t>LEP_ZA_AUG26_TT_TD_AMUR_CONV</t>
        </is>
      </c>
      <c r="G1127" s="66" t="inlineStr">
        <is>
          <t>Website Conversions</t>
        </is>
      </c>
      <c r="H1127" s="66" t="inlineStr">
        <is>
          <t>AMUR</t>
        </is>
      </c>
      <c r="I1127" s="66" t="inlineStr">
        <is>
          <t>0% Deposit</t>
        </is>
      </c>
      <c r="J1127" s="66" t="inlineStr">
        <is>
          <t>TT_AMUR_INT_AUTO_ZA</t>
        </is>
      </c>
      <c r="K1127" s="66" t="inlineStr">
        <is>
          <t>Interest</t>
        </is>
      </c>
      <c r="L1127" s="66" t="inlineStr">
        <is>
          <t>TT_AMUR_UGC_15s_FirstCar_v1</t>
        </is>
      </c>
      <c r="M1127" s="66" t="inlineStr">
        <is>
          <t>Video 9:16</t>
        </is>
      </c>
      <c r="N1127" s="66" t="inlineStr">
        <is>
          <t>POV: your first car isn't second-hand</t>
        </is>
      </c>
      <c r="O1127" s="66" t="inlineStr">
        <is>
          <t>Auction - Lowest Cost</t>
        </is>
      </c>
      <c r="P1127" s="66" t="inlineStr">
        <is>
          <t>Complete Payment / Lead</t>
        </is>
      </c>
      <c r="Q1127" s="66" t="inlineStr">
        <is>
          <t>https://www.lepas-sa.co.za/offers/amur</t>
        </is>
      </c>
      <c r="R1127" s="121" t="n">
        <v>216.93</v>
      </c>
      <c r="S1127" s="122" t="n">
        <v>6205</v>
      </c>
      <c r="T1127" s="122" t="n">
        <v>3019</v>
      </c>
      <c r="U1127" s="123">
        <f>IFERROR(S1127/T1127,"")</f>
        <v/>
      </c>
      <c r="V1127" s="122" t="n">
        <v>53</v>
      </c>
      <c r="W1127" s="122" t="n">
        <v>41</v>
      </c>
      <c r="X1127" s="124">
        <f>IFERROR(W1127/S1127,"")</f>
        <v/>
      </c>
      <c r="Y1127" s="121">
        <f>IFERROR(R1127/W1127,"")</f>
        <v/>
      </c>
      <c r="Z1127" s="121">
        <f>IFERROR(R1127/S1127*1000,"")</f>
        <v/>
      </c>
      <c r="AA1127" s="122" t="n">
        <v>30</v>
      </c>
      <c r="AB1127" s="54">
        <f>IFERROR(AA1127/W1127,"")</f>
        <v/>
      </c>
      <c r="AC1127" s="122" t="n">
        <v>1481</v>
      </c>
      <c r="AD1127" s="122" t="n">
        <v>703</v>
      </c>
      <c r="AE1127" s="122" t="n">
        <v>782</v>
      </c>
      <c r="AF1127" s="122" t="n">
        <v>488</v>
      </c>
      <c r="AG1127" s="122" t="n">
        <v>339</v>
      </c>
      <c r="AH1127" s="122" t="n">
        <v>232</v>
      </c>
      <c r="AI1127" s="54">
        <f>IFERROR(AC1127/S1127,"")</f>
        <v/>
      </c>
      <c r="AJ1127" s="54">
        <f>IFERROR(AH1127/S1127,"")</f>
        <v/>
      </c>
      <c r="AK1127" s="122" t="n">
        <v>212</v>
      </c>
      <c r="AL1127" s="122" t="n">
        <v>0</v>
      </c>
      <c r="AM1127" s="124">
        <f>IFERROR(AL1127/AA1127,"")</f>
        <v/>
      </c>
      <c r="AN1127" s="125">
        <f>IFERROR(R1127/AL1127,"")</f>
        <v/>
      </c>
      <c r="AO1127" s="122" t="n">
        <v>0</v>
      </c>
      <c r="AP1127" s="54">
        <f>IFERROR(AO1127/AL1127,"")</f>
        <v/>
      </c>
      <c r="AQ1127" s="125">
        <f>IFERROR(R1127/AO1127,"")</f>
        <v/>
      </c>
      <c r="AR1127" s="122" t="n">
        <v>0</v>
      </c>
      <c r="AS1127" s="122" t="n">
        <v>0</v>
      </c>
      <c r="AT1127" s="122">
        <f>AL1127+AR1127</f>
        <v/>
      </c>
      <c r="AU1127" s="125">
        <f>IFERROR(AO1127*Assumptions!$C$26*Assumptions!$C$27*INDEX(Assumptions!$C$18:$C$21,MATCH(H1127,Assumptions!$B$18:$B$21,0)),0)</f>
        <v/>
      </c>
    </row>
    <row r="1128">
      <c r="A1128" s="120" t="n">
        <v>46249</v>
      </c>
      <c r="B1128" s="66" t="inlineStr">
        <is>
          <t>Wk 33</t>
        </is>
      </c>
      <c r="C1128" s="66" t="inlineStr">
        <is>
          <t>Sat</t>
        </is>
      </c>
      <c r="D1128" s="66" t="inlineStr">
        <is>
          <t>TikTok</t>
        </is>
      </c>
      <c r="E1128" s="66" t="inlineStr">
        <is>
          <t>TikTok</t>
        </is>
      </c>
      <c r="F1128" s="66" t="inlineStr">
        <is>
          <t>LEP_ZA_AUG26_TT_TD_AMUR_CONV</t>
        </is>
      </c>
      <c r="G1128" s="66" t="inlineStr">
        <is>
          <t>Website Conversions</t>
        </is>
      </c>
      <c r="H1128" s="66" t="inlineStr">
        <is>
          <t>AMUR</t>
        </is>
      </c>
      <c r="I1128" s="66" t="inlineStr">
        <is>
          <t>0% Deposit</t>
        </is>
      </c>
      <c r="J1128" s="66" t="inlineStr">
        <is>
          <t>TT_AMUR_INT_AUTO_ZA</t>
        </is>
      </c>
      <c r="K1128" s="66" t="inlineStr">
        <is>
          <t>Interest</t>
        </is>
      </c>
      <c r="L1128" s="66" t="inlineStr">
        <is>
          <t>TT_AMUR_TREND_12s_Reveal_v2</t>
        </is>
      </c>
      <c r="M1128" s="66" t="inlineStr">
        <is>
          <t>Video 9:16</t>
        </is>
      </c>
      <c r="N1128" s="66" t="inlineStr">
        <is>
          <t>Do it for the R3 599</t>
        </is>
      </c>
      <c r="O1128" s="66" t="inlineStr">
        <is>
          <t>Auction - Lowest Cost</t>
        </is>
      </c>
      <c r="P1128" s="66" t="inlineStr">
        <is>
          <t>Complete Payment / Lead</t>
        </is>
      </c>
      <c r="Q1128" s="66" t="inlineStr">
        <is>
          <t>https://www.lepas-sa.co.za/offers/amur</t>
        </is>
      </c>
      <c r="R1128" s="121" t="n">
        <v>142.03</v>
      </c>
      <c r="S1128" s="122" t="n">
        <v>2931</v>
      </c>
      <c r="T1128" s="122" t="n">
        <v>1715</v>
      </c>
      <c r="U1128" s="123">
        <f>IFERROR(S1128/T1128,"")</f>
        <v/>
      </c>
      <c r="V1128" s="122" t="n">
        <v>38</v>
      </c>
      <c r="W1128" s="122" t="n">
        <v>29</v>
      </c>
      <c r="X1128" s="124">
        <f>IFERROR(W1128/S1128,"")</f>
        <v/>
      </c>
      <c r="Y1128" s="121">
        <f>IFERROR(R1128/W1128,"")</f>
        <v/>
      </c>
      <c r="Z1128" s="121">
        <f>IFERROR(R1128/S1128*1000,"")</f>
        <v/>
      </c>
      <c r="AA1128" s="122" t="n">
        <v>20</v>
      </c>
      <c r="AB1128" s="54">
        <f>IFERROR(AA1128/W1128,"")</f>
        <v/>
      </c>
      <c r="AC1128" s="122" t="n">
        <v>958</v>
      </c>
      <c r="AD1128" s="122" t="n">
        <v>427</v>
      </c>
      <c r="AE1128" s="122" t="n">
        <v>416</v>
      </c>
      <c r="AF1128" s="122" t="n">
        <v>257</v>
      </c>
      <c r="AG1128" s="122" t="n">
        <v>168</v>
      </c>
      <c r="AH1128" s="122" t="n">
        <v>110</v>
      </c>
      <c r="AI1128" s="54">
        <f>IFERROR(AC1128/S1128,"")</f>
        <v/>
      </c>
      <c r="AJ1128" s="54">
        <f>IFERROR(AH1128/S1128,"")</f>
        <v/>
      </c>
      <c r="AK1128" s="122" t="n">
        <v>105</v>
      </c>
      <c r="AL1128" s="122" t="n">
        <v>1</v>
      </c>
      <c r="AM1128" s="124">
        <f>IFERROR(AL1128/AA1128,"")</f>
        <v/>
      </c>
      <c r="AN1128" s="125">
        <f>IFERROR(R1128/AL1128,"")</f>
        <v/>
      </c>
      <c r="AO1128" s="122" t="n">
        <v>1</v>
      </c>
      <c r="AP1128" s="54">
        <f>IFERROR(AO1128/AL1128,"")</f>
        <v/>
      </c>
      <c r="AQ1128" s="125">
        <f>IFERROR(R1128/AO1128,"")</f>
        <v/>
      </c>
      <c r="AR1128" s="122" t="n">
        <v>0</v>
      </c>
      <c r="AS1128" s="122" t="n">
        <v>0</v>
      </c>
      <c r="AT1128" s="122">
        <f>AL1128+AR1128</f>
        <v/>
      </c>
      <c r="AU1128" s="125">
        <f>IFERROR(AO1128*Assumptions!$C$26*Assumptions!$C$27*INDEX(Assumptions!$C$18:$C$21,MATCH(H1128,Assumptions!$B$18:$B$21,0)),0)</f>
        <v/>
      </c>
    </row>
    <row r="1129">
      <c r="A1129" s="120" t="n">
        <v>46250</v>
      </c>
      <c r="B1129" s="66" t="inlineStr">
        <is>
          <t>Wk 33</t>
        </is>
      </c>
      <c r="C1129" s="66" t="inlineStr">
        <is>
          <t>Sun</t>
        </is>
      </c>
      <c r="D1129" s="66" t="inlineStr">
        <is>
          <t>TikTok</t>
        </is>
      </c>
      <c r="E1129" s="66" t="inlineStr">
        <is>
          <t>TikTok</t>
        </is>
      </c>
      <c r="F1129" s="66" t="inlineStr">
        <is>
          <t>LEP_ZA_AUG26_TT_TD_AMUR_CONV</t>
        </is>
      </c>
      <c r="G1129" s="66" t="inlineStr">
        <is>
          <t>Website Conversions</t>
        </is>
      </c>
      <c r="H1129" s="66" t="inlineStr">
        <is>
          <t>AMUR</t>
        </is>
      </c>
      <c r="I1129" s="66" t="inlineStr">
        <is>
          <t>0% Deposit</t>
        </is>
      </c>
      <c r="J1129" s="66" t="inlineStr">
        <is>
          <t>TT_AMUR_INT_AUTO_ZA</t>
        </is>
      </c>
      <c r="K1129" s="66" t="inlineStr">
        <is>
          <t>Interest</t>
        </is>
      </c>
      <c r="L1129" s="66" t="inlineStr">
        <is>
          <t>TT_AMUR_TREND_12s_Reveal_v2</t>
        </is>
      </c>
      <c r="M1129" s="66" t="inlineStr">
        <is>
          <t>Video 9:16</t>
        </is>
      </c>
      <c r="N1129" s="66" t="inlineStr">
        <is>
          <t>Do it for the R3 599</t>
        </is>
      </c>
      <c r="O1129" s="66" t="inlineStr">
        <is>
          <t>Auction - Lowest Cost</t>
        </is>
      </c>
      <c r="P1129" s="66" t="inlineStr">
        <is>
          <t>Complete Payment / Lead</t>
        </is>
      </c>
      <c r="Q1129" s="66" t="inlineStr">
        <is>
          <t>https://www.lepas-sa.co.za/offers/amur</t>
        </is>
      </c>
      <c r="R1129" s="121" t="n">
        <v>112.05</v>
      </c>
      <c r="S1129" s="122" t="n">
        <v>3089</v>
      </c>
      <c r="T1129" s="122" t="n">
        <v>1855</v>
      </c>
      <c r="U1129" s="123">
        <f>IFERROR(S1129/T1129,"")</f>
        <v/>
      </c>
      <c r="V1129" s="122" t="n">
        <v>54</v>
      </c>
      <c r="W1129" s="122" t="n">
        <v>42</v>
      </c>
      <c r="X1129" s="124">
        <f>IFERROR(W1129/S1129,"")</f>
        <v/>
      </c>
      <c r="Y1129" s="121">
        <f>IFERROR(R1129/W1129,"")</f>
        <v/>
      </c>
      <c r="Z1129" s="121">
        <f>IFERROR(R1129/S1129*1000,"")</f>
        <v/>
      </c>
      <c r="AA1129" s="122" t="n">
        <v>28</v>
      </c>
      <c r="AB1129" s="54">
        <f>IFERROR(AA1129/W1129,"")</f>
        <v/>
      </c>
      <c r="AC1129" s="122" t="n">
        <v>719</v>
      </c>
      <c r="AD1129" s="122" t="n">
        <v>321</v>
      </c>
      <c r="AE1129" s="122" t="n">
        <v>283</v>
      </c>
      <c r="AF1129" s="122" t="n">
        <v>149</v>
      </c>
      <c r="AG1129" s="122" t="n">
        <v>96</v>
      </c>
      <c r="AH1129" s="122" t="n">
        <v>54</v>
      </c>
      <c r="AI1129" s="54">
        <f>IFERROR(AC1129/S1129,"")</f>
        <v/>
      </c>
      <c r="AJ1129" s="54">
        <f>IFERROR(AH1129/S1129,"")</f>
        <v/>
      </c>
      <c r="AK1129" s="122" t="n">
        <v>144</v>
      </c>
      <c r="AL1129" s="122" t="n">
        <v>1</v>
      </c>
      <c r="AM1129" s="124">
        <f>IFERROR(AL1129/AA1129,"")</f>
        <v/>
      </c>
      <c r="AN1129" s="125">
        <f>IFERROR(R1129/AL1129,"")</f>
        <v/>
      </c>
      <c r="AO1129" s="122" t="n">
        <v>1</v>
      </c>
      <c r="AP1129" s="54">
        <f>IFERROR(AO1129/AL1129,"")</f>
        <v/>
      </c>
      <c r="AQ1129" s="125">
        <f>IFERROR(R1129/AO1129,"")</f>
        <v/>
      </c>
      <c r="AR1129" s="122" t="n">
        <v>1</v>
      </c>
      <c r="AS1129" s="122" t="n">
        <v>0</v>
      </c>
      <c r="AT1129" s="122">
        <f>AL1129+AR1129</f>
        <v/>
      </c>
      <c r="AU1129" s="125">
        <f>IFERROR(AO1129*Assumptions!$C$26*Assumptions!$C$27*INDEX(Assumptions!$C$18:$C$21,MATCH(H1129,Assumptions!$B$18:$B$21,0)),0)</f>
        <v/>
      </c>
    </row>
    <row r="1130">
      <c r="A1130" s="120" t="n">
        <v>46251</v>
      </c>
      <c r="B1130" s="66" t="inlineStr">
        <is>
          <t>Wk 34</t>
        </is>
      </c>
      <c r="C1130" s="66" t="inlineStr">
        <is>
          <t>Mon</t>
        </is>
      </c>
      <c r="D1130" s="66" t="inlineStr">
        <is>
          <t>TikTok</t>
        </is>
      </c>
      <c r="E1130" s="66" t="inlineStr">
        <is>
          <t>TikTok</t>
        </is>
      </c>
      <c r="F1130" s="66" t="inlineStr">
        <is>
          <t>LEP_ZA_AUG26_TT_TD_AMUR_CONV</t>
        </is>
      </c>
      <c r="G1130" s="66" t="inlineStr">
        <is>
          <t>Website Conversions</t>
        </is>
      </c>
      <c r="H1130" s="66" t="inlineStr">
        <is>
          <t>AMUR</t>
        </is>
      </c>
      <c r="I1130" s="66" t="inlineStr">
        <is>
          <t>0% Deposit</t>
        </is>
      </c>
      <c r="J1130" s="66" t="inlineStr">
        <is>
          <t>TT_AMUR_INT_AUTO_ZA</t>
        </is>
      </c>
      <c r="K1130" s="66" t="inlineStr">
        <is>
          <t>Interest</t>
        </is>
      </c>
      <c r="L1130" s="66" t="inlineStr">
        <is>
          <t>TT_AMUR_TREND_12s_Reveal_v2</t>
        </is>
      </c>
      <c r="M1130" s="66" t="inlineStr">
        <is>
          <t>Video 9:16</t>
        </is>
      </c>
      <c r="N1130" s="66" t="inlineStr">
        <is>
          <t>Do it for the R3 599</t>
        </is>
      </c>
      <c r="O1130" s="66" t="inlineStr">
        <is>
          <t>Auction - Lowest Cost</t>
        </is>
      </c>
      <c r="P1130" s="66" t="inlineStr">
        <is>
          <t>Complete Payment / Lead</t>
        </is>
      </c>
      <c r="Q1130" s="66" t="inlineStr">
        <is>
          <t>https://www.lepas-sa.co.za/offers/amur</t>
        </is>
      </c>
      <c r="R1130" s="121" t="n">
        <v>139.76</v>
      </c>
      <c r="S1130" s="122" t="n">
        <v>3084</v>
      </c>
      <c r="T1130" s="122" t="n">
        <v>1697</v>
      </c>
      <c r="U1130" s="123">
        <f>IFERROR(S1130/T1130,"")</f>
        <v/>
      </c>
      <c r="V1130" s="122" t="n">
        <v>42</v>
      </c>
      <c r="W1130" s="122" t="n">
        <v>31</v>
      </c>
      <c r="X1130" s="124">
        <f>IFERROR(W1130/S1130,"")</f>
        <v/>
      </c>
      <c r="Y1130" s="121">
        <f>IFERROR(R1130/W1130,"")</f>
        <v/>
      </c>
      <c r="Z1130" s="121">
        <f>IFERROR(R1130/S1130*1000,"")</f>
        <v/>
      </c>
      <c r="AA1130" s="122" t="n">
        <v>23</v>
      </c>
      <c r="AB1130" s="54">
        <f>IFERROR(AA1130/W1130,"")</f>
        <v/>
      </c>
      <c r="AC1130" s="122" t="n">
        <v>925</v>
      </c>
      <c r="AD1130" s="122" t="n">
        <v>542</v>
      </c>
      <c r="AE1130" s="122" t="n">
        <v>388</v>
      </c>
      <c r="AF1130" s="122" t="n">
        <v>272</v>
      </c>
      <c r="AG1130" s="122" t="n">
        <v>194</v>
      </c>
      <c r="AH1130" s="122" t="n">
        <v>129</v>
      </c>
      <c r="AI1130" s="54">
        <f>IFERROR(AC1130/S1130,"")</f>
        <v/>
      </c>
      <c r="AJ1130" s="54">
        <f>IFERROR(AH1130/S1130,"")</f>
        <v/>
      </c>
      <c r="AK1130" s="122" t="n">
        <v>66</v>
      </c>
      <c r="AL1130" s="122" t="n">
        <v>0</v>
      </c>
      <c r="AM1130" s="124">
        <f>IFERROR(AL1130/AA1130,"")</f>
        <v/>
      </c>
      <c r="AN1130" s="125">
        <f>IFERROR(R1130/AL1130,"")</f>
        <v/>
      </c>
      <c r="AO1130" s="122" t="n">
        <v>0</v>
      </c>
      <c r="AP1130" s="54">
        <f>IFERROR(AO1130/AL1130,"")</f>
        <v/>
      </c>
      <c r="AQ1130" s="125">
        <f>IFERROR(R1130/AO1130,"")</f>
        <v/>
      </c>
      <c r="AR1130" s="122" t="n">
        <v>0</v>
      </c>
      <c r="AS1130" s="122" t="n">
        <v>0</v>
      </c>
      <c r="AT1130" s="122">
        <f>AL1130+AR1130</f>
        <v/>
      </c>
      <c r="AU1130" s="125">
        <f>IFERROR(AO1130*Assumptions!$C$26*Assumptions!$C$27*INDEX(Assumptions!$C$18:$C$21,MATCH(H1130,Assumptions!$B$18:$B$21,0)),0)</f>
        <v/>
      </c>
    </row>
    <row r="1131">
      <c r="A1131" s="120" t="n">
        <v>46252</v>
      </c>
      <c r="B1131" s="66" t="inlineStr">
        <is>
          <t>Wk 34</t>
        </is>
      </c>
      <c r="C1131" s="66" t="inlineStr">
        <is>
          <t>Tue</t>
        </is>
      </c>
      <c r="D1131" s="66" t="inlineStr">
        <is>
          <t>TikTok</t>
        </is>
      </c>
      <c r="E1131" s="66" t="inlineStr">
        <is>
          <t>TikTok</t>
        </is>
      </c>
      <c r="F1131" s="66" t="inlineStr">
        <is>
          <t>LEP_ZA_AUG26_TT_TD_AMUR_CONV</t>
        </is>
      </c>
      <c r="G1131" s="66" t="inlineStr">
        <is>
          <t>Website Conversions</t>
        </is>
      </c>
      <c r="H1131" s="66" t="inlineStr">
        <is>
          <t>AMUR</t>
        </is>
      </c>
      <c r="I1131" s="66" t="inlineStr">
        <is>
          <t>0% Deposit</t>
        </is>
      </c>
      <c r="J1131" s="66" t="inlineStr">
        <is>
          <t>TT_AMUR_INT_AUTO_ZA</t>
        </is>
      </c>
      <c r="K1131" s="66" t="inlineStr">
        <is>
          <t>Interest</t>
        </is>
      </c>
      <c r="L1131" s="66" t="inlineStr">
        <is>
          <t>TT_AMUR_TREND_12s_Reveal_v2</t>
        </is>
      </c>
      <c r="M1131" s="66" t="inlineStr">
        <is>
          <t>Video 9:16</t>
        </is>
      </c>
      <c r="N1131" s="66" t="inlineStr">
        <is>
          <t>Do it for the R3 599</t>
        </is>
      </c>
      <c r="O1131" s="66" t="inlineStr">
        <is>
          <t>Auction - Lowest Cost</t>
        </is>
      </c>
      <c r="P1131" s="66" t="inlineStr">
        <is>
          <t>Complete Payment / Lead</t>
        </is>
      </c>
      <c r="Q1131" s="66" t="inlineStr">
        <is>
          <t>https://www.lepas-sa.co.za/offers/amur</t>
        </is>
      </c>
      <c r="R1131" s="121" t="n">
        <v>118.27</v>
      </c>
      <c r="S1131" s="122" t="n">
        <v>4034</v>
      </c>
      <c r="T1131" s="122" t="n">
        <v>2174</v>
      </c>
      <c r="U1131" s="123">
        <f>IFERROR(S1131/T1131,"")</f>
        <v/>
      </c>
      <c r="V1131" s="122" t="n">
        <v>52</v>
      </c>
      <c r="W1131" s="122" t="n">
        <v>37</v>
      </c>
      <c r="X1131" s="124">
        <f>IFERROR(W1131/S1131,"")</f>
        <v/>
      </c>
      <c r="Y1131" s="121">
        <f>IFERROR(R1131/W1131,"")</f>
        <v/>
      </c>
      <c r="Z1131" s="121">
        <f>IFERROR(R1131/S1131*1000,"")</f>
        <v/>
      </c>
      <c r="AA1131" s="122" t="n">
        <v>26</v>
      </c>
      <c r="AB1131" s="54">
        <f>IFERROR(AA1131/W1131,"")</f>
        <v/>
      </c>
      <c r="AC1131" s="122" t="n">
        <v>1650</v>
      </c>
      <c r="AD1131" s="122" t="n">
        <v>797</v>
      </c>
      <c r="AE1131" s="122" t="n">
        <v>841</v>
      </c>
      <c r="AF1131" s="122" t="n">
        <v>493</v>
      </c>
      <c r="AG1131" s="122" t="n">
        <v>342</v>
      </c>
      <c r="AH1131" s="122" t="n">
        <v>232</v>
      </c>
      <c r="AI1131" s="54">
        <f>IFERROR(AC1131/S1131,"")</f>
        <v/>
      </c>
      <c r="AJ1131" s="54">
        <f>IFERROR(AH1131/S1131,"")</f>
        <v/>
      </c>
      <c r="AK1131" s="122" t="n">
        <v>223</v>
      </c>
      <c r="AL1131" s="122" t="n">
        <v>1</v>
      </c>
      <c r="AM1131" s="124">
        <f>IFERROR(AL1131/AA1131,"")</f>
        <v/>
      </c>
      <c r="AN1131" s="125">
        <f>IFERROR(R1131/AL1131,"")</f>
        <v/>
      </c>
      <c r="AO1131" s="122" t="n">
        <v>1</v>
      </c>
      <c r="AP1131" s="54">
        <f>IFERROR(AO1131/AL1131,"")</f>
        <v/>
      </c>
      <c r="AQ1131" s="125">
        <f>IFERROR(R1131/AO1131,"")</f>
        <v/>
      </c>
      <c r="AR1131" s="122" t="n">
        <v>0</v>
      </c>
      <c r="AS1131" s="122" t="n">
        <v>1</v>
      </c>
      <c r="AT1131" s="122">
        <f>AL1131+AR1131</f>
        <v/>
      </c>
      <c r="AU1131" s="125">
        <f>IFERROR(AO1131*Assumptions!$C$26*Assumptions!$C$27*INDEX(Assumptions!$C$18:$C$21,MATCH(H1131,Assumptions!$B$18:$B$21,0)),0)</f>
        <v/>
      </c>
    </row>
    <row r="1132">
      <c r="A1132" s="120" t="n">
        <v>46253</v>
      </c>
      <c r="B1132" s="66" t="inlineStr">
        <is>
          <t>Wk 34</t>
        </is>
      </c>
      <c r="C1132" s="66" t="inlineStr">
        <is>
          <t>Wed</t>
        </is>
      </c>
      <c r="D1132" s="66" t="inlineStr">
        <is>
          <t>TikTok</t>
        </is>
      </c>
      <c r="E1132" s="66" t="inlineStr">
        <is>
          <t>TikTok</t>
        </is>
      </c>
      <c r="F1132" s="66" t="inlineStr">
        <is>
          <t>LEP_ZA_AUG26_TT_TD_AMUR_CONV</t>
        </is>
      </c>
      <c r="G1132" s="66" t="inlineStr">
        <is>
          <t>Website Conversions</t>
        </is>
      </c>
      <c r="H1132" s="66" t="inlineStr">
        <is>
          <t>AMUR</t>
        </is>
      </c>
      <c r="I1132" s="66" t="inlineStr">
        <is>
          <t>0% Deposit</t>
        </is>
      </c>
      <c r="J1132" s="66" t="inlineStr">
        <is>
          <t>TT_AMUR_INT_AUTO_ZA</t>
        </is>
      </c>
      <c r="K1132" s="66" t="inlineStr">
        <is>
          <t>Interest</t>
        </is>
      </c>
      <c r="L1132" s="66" t="inlineStr">
        <is>
          <t>TT_AMUR_TREND_12s_Reveal_v2</t>
        </is>
      </c>
      <c r="M1132" s="66" t="inlineStr">
        <is>
          <t>Video 9:16</t>
        </is>
      </c>
      <c r="N1132" s="66" t="inlineStr">
        <is>
          <t>Do it for the R3 599</t>
        </is>
      </c>
      <c r="O1132" s="66" t="inlineStr">
        <is>
          <t>Auction - Lowest Cost</t>
        </is>
      </c>
      <c r="P1132" s="66" t="inlineStr">
        <is>
          <t>Complete Payment / Lead</t>
        </is>
      </c>
      <c r="Q1132" s="66" t="inlineStr">
        <is>
          <t>https://www.lepas-sa.co.za/offers/amur</t>
        </is>
      </c>
      <c r="R1132" s="121" t="n">
        <v>154.94</v>
      </c>
      <c r="S1132" s="122" t="n">
        <v>3968</v>
      </c>
      <c r="T1132" s="122" t="n">
        <v>2677</v>
      </c>
      <c r="U1132" s="123">
        <f>IFERROR(S1132/T1132,"")</f>
        <v/>
      </c>
      <c r="V1132" s="122" t="n">
        <v>42</v>
      </c>
      <c r="W1132" s="122" t="n">
        <v>33</v>
      </c>
      <c r="X1132" s="124">
        <f>IFERROR(W1132/S1132,"")</f>
        <v/>
      </c>
      <c r="Y1132" s="121">
        <f>IFERROR(R1132/W1132,"")</f>
        <v/>
      </c>
      <c r="Z1132" s="121">
        <f>IFERROR(R1132/S1132*1000,"")</f>
        <v/>
      </c>
      <c r="AA1132" s="122" t="n">
        <v>23</v>
      </c>
      <c r="AB1132" s="54">
        <f>IFERROR(AA1132/W1132,"")</f>
        <v/>
      </c>
      <c r="AC1132" s="122" t="n">
        <v>1581</v>
      </c>
      <c r="AD1132" s="122" t="n">
        <v>952</v>
      </c>
      <c r="AE1132" s="122" t="n">
        <v>616</v>
      </c>
      <c r="AF1132" s="122" t="n">
        <v>388</v>
      </c>
      <c r="AG1132" s="122" t="n">
        <v>253</v>
      </c>
      <c r="AH1132" s="122" t="n">
        <v>162</v>
      </c>
      <c r="AI1132" s="54">
        <f>IFERROR(AC1132/S1132,"")</f>
        <v/>
      </c>
      <c r="AJ1132" s="54">
        <f>IFERROR(AH1132/S1132,"")</f>
        <v/>
      </c>
      <c r="AK1132" s="122" t="n">
        <v>189</v>
      </c>
      <c r="AL1132" s="122" t="n">
        <v>0</v>
      </c>
      <c r="AM1132" s="124">
        <f>IFERROR(AL1132/AA1132,"")</f>
        <v/>
      </c>
      <c r="AN1132" s="125">
        <f>IFERROR(R1132/AL1132,"")</f>
        <v/>
      </c>
      <c r="AO1132" s="122" t="n">
        <v>0</v>
      </c>
      <c r="AP1132" s="54">
        <f>IFERROR(AO1132/AL1132,"")</f>
        <v/>
      </c>
      <c r="AQ1132" s="125">
        <f>IFERROR(R1132/AO1132,"")</f>
        <v/>
      </c>
      <c r="AR1132" s="122" t="n">
        <v>0</v>
      </c>
      <c r="AS1132" s="122" t="n">
        <v>0</v>
      </c>
      <c r="AT1132" s="122">
        <f>AL1132+AR1132</f>
        <v/>
      </c>
      <c r="AU1132" s="125">
        <f>IFERROR(AO1132*Assumptions!$C$26*Assumptions!$C$27*INDEX(Assumptions!$C$18:$C$21,MATCH(H1132,Assumptions!$B$18:$B$21,0)),0)</f>
        <v/>
      </c>
    </row>
    <row r="1133">
      <c r="A1133" s="120" t="n">
        <v>46254</v>
      </c>
      <c r="B1133" s="66" t="inlineStr">
        <is>
          <t>Wk 34</t>
        </is>
      </c>
      <c r="C1133" s="66" t="inlineStr">
        <is>
          <t>Thu</t>
        </is>
      </c>
      <c r="D1133" s="66" t="inlineStr">
        <is>
          <t>TikTok</t>
        </is>
      </c>
      <c r="E1133" s="66" t="inlineStr">
        <is>
          <t>TikTok</t>
        </is>
      </c>
      <c r="F1133" s="66" t="inlineStr">
        <is>
          <t>LEP_ZA_AUG26_TT_TD_AMUR_CONV</t>
        </is>
      </c>
      <c r="G1133" s="66" t="inlineStr">
        <is>
          <t>Website Conversions</t>
        </is>
      </c>
      <c r="H1133" s="66" t="inlineStr">
        <is>
          <t>AMUR</t>
        </is>
      </c>
      <c r="I1133" s="66" t="inlineStr">
        <is>
          <t>0% Deposit</t>
        </is>
      </c>
      <c r="J1133" s="66" t="inlineStr">
        <is>
          <t>TT_AMUR_INT_AUTO_ZA</t>
        </is>
      </c>
      <c r="K1133" s="66" t="inlineStr">
        <is>
          <t>Interest</t>
        </is>
      </c>
      <c r="L1133" s="66" t="inlineStr">
        <is>
          <t>TT_AMUR_TREND_12s_Reveal_v2</t>
        </is>
      </c>
      <c r="M1133" s="66" t="inlineStr">
        <is>
          <t>Video 9:16</t>
        </is>
      </c>
      <c r="N1133" s="66" t="inlineStr">
        <is>
          <t>Do it for the R3 599</t>
        </is>
      </c>
      <c r="O1133" s="66" t="inlineStr">
        <is>
          <t>Auction - Lowest Cost</t>
        </is>
      </c>
      <c r="P1133" s="66" t="inlineStr">
        <is>
          <t>Complete Payment / Lead</t>
        </is>
      </c>
      <c r="Q1133" s="66" t="inlineStr">
        <is>
          <t>https://www.lepas-sa.co.za/offers/amur</t>
        </is>
      </c>
      <c r="R1133" s="121" t="n">
        <v>157.53</v>
      </c>
      <c r="S1133" s="122" t="n">
        <v>3756</v>
      </c>
      <c r="T1133" s="122" t="n">
        <v>1835</v>
      </c>
      <c r="U1133" s="123">
        <f>IFERROR(S1133/T1133,"")</f>
        <v/>
      </c>
      <c r="V1133" s="122" t="n">
        <v>40</v>
      </c>
      <c r="W1133" s="122" t="n">
        <v>33</v>
      </c>
      <c r="X1133" s="124">
        <f>IFERROR(W1133/S1133,"")</f>
        <v/>
      </c>
      <c r="Y1133" s="121">
        <f>IFERROR(R1133/W1133,"")</f>
        <v/>
      </c>
      <c r="Z1133" s="121">
        <f>IFERROR(R1133/S1133*1000,"")</f>
        <v/>
      </c>
      <c r="AA1133" s="122" t="n">
        <v>21</v>
      </c>
      <c r="AB1133" s="54">
        <f>IFERROR(AA1133/W1133,"")</f>
        <v/>
      </c>
      <c r="AC1133" s="122" t="n">
        <v>1140</v>
      </c>
      <c r="AD1133" s="122" t="n">
        <v>597</v>
      </c>
      <c r="AE1133" s="122" t="n">
        <v>605</v>
      </c>
      <c r="AF1133" s="122" t="n">
        <v>388</v>
      </c>
      <c r="AG1133" s="122" t="n">
        <v>284</v>
      </c>
      <c r="AH1133" s="122" t="n">
        <v>201</v>
      </c>
      <c r="AI1133" s="54">
        <f>IFERROR(AC1133/S1133,"")</f>
        <v/>
      </c>
      <c r="AJ1133" s="54">
        <f>IFERROR(AH1133/S1133,"")</f>
        <v/>
      </c>
      <c r="AK1133" s="122" t="n">
        <v>82</v>
      </c>
      <c r="AL1133" s="122" t="n">
        <v>1</v>
      </c>
      <c r="AM1133" s="124">
        <f>IFERROR(AL1133/AA1133,"")</f>
        <v/>
      </c>
      <c r="AN1133" s="125">
        <f>IFERROR(R1133/AL1133,"")</f>
        <v/>
      </c>
      <c r="AO1133" s="122" t="n">
        <v>1</v>
      </c>
      <c r="AP1133" s="54">
        <f>IFERROR(AO1133/AL1133,"")</f>
        <v/>
      </c>
      <c r="AQ1133" s="125">
        <f>IFERROR(R1133/AO1133,"")</f>
        <v/>
      </c>
      <c r="AR1133" s="122" t="n">
        <v>0</v>
      </c>
      <c r="AS1133" s="122" t="n">
        <v>0</v>
      </c>
      <c r="AT1133" s="122">
        <f>AL1133+AR1133</f>
        <v/>
      </c>
      <c r="AU1133" s="125">
        <f>IFERROR(AO1133*Assumptions!$C$26*Assumptions!$C$27*INDEX(Assumptions!$C$18:$C$21,MATCH(H1133,Assumptions!$B$18:$B$21,0)),0)</f>
        <v/>
      </c>
    </row>
    <row r="1134">
      <c r="A1134" s="120" t="n">
        <v>46255</v>
      </c>
      <c r="B1134" s="66" t="inlineStr">
        <is>
          <t>Wk 34</t>
        </is>
      </c>
      <c r="C1134" s="66" t="inlineStr">
        <is>
          <t>Fri</t>
        </is>
      </c>
      <c r="D1134" s="66" t="inlineStr">
        <is>
          <t>TikTok</t>
        </is>
      </c>
      <c r="E1134" s="66" t="inlineStr">
        <is>
          <t>TikTok</t>
        </is>
      </c>
      <c r="F1134" s="66" t="inlineStr">
        <is>
          <t>LEP_ZA_AUG26_TT_TD_AMUR_CONV</t>
        </is>
      </c>
      <c r="G1134" s="66" t="inlineStr">
        <is>
          <t>Website Conversions</t>
        </is>
      </c>
      <c r="H1134" s="66" t="inlineStr">
        <is>
          <t>AMUR</t>
        </is>
      </c>
      <c r="I1134" s="66" t="inlineStr">
        <is>
          <t>0% Deposit</t>
        </is>
      </c>
      <c r="J1134" s="66" t="inlineStr">
        <is>
          <t>TT_AMUR_INT_AUTO_ZA</t>
        </is>
      </c>
      <c r="K1134" s="66" t="inlineStr">
        <is>
          <t>Interest</t>
        </is>
      </c>
      <c r="L1134" s="66" t="inlineStr">
        <is>
          <t>TT_AMUR_TREND_12s_Reveal_v2</t>
        </is>
      </c>
      <c r="M1134" s="66" t="inlineStr">
        <is>
          <t>Video 9:16</t>
        </is>
      </c>
      <c r="N1134" s="66" t="inlineStr">
        <is>
          <t>Do it for the R3 599</t>
        </is>
      </c>
      <c r="O1134" s="66" t="inlineStr">
        <is>
          <t>Auction - Lowest Cost</t>
        </is>
      </c>
      <c r="P1134" s="66" t="inlineStr">
        <is>
          <t>Complete Payment / Lead</t>
        </is>
      </c>
      <c r="Q1134" s="66" t="inlineStr">
        <is>
          <t>https://www.lepas-sa.co.za/offers/amur</t>
        </is>
      </c>
      <c r="R1134" s="121" t="n">
        <v>176.52</v>
      </c>
      <c r="S1134" s="122" t="n">
        <v>3873</v>
      </c>
      <c r="T1134" s="122" t="n">
        <v>2044</v>
      </c>
      <c r="U1134" s="123">
        <f>IFERROR(S1134/T1134,"")</f>
        <v/>
      </c>
      <c r="V1134" s="122" t="n">
        <v>57</v>
      </c>
      <c r="W1134" s="122" t="n">
        <v>45</v>
      </c>
      <c r="X1134" s="124">
        <f>IFERROR(W1134/S1134,"")</f>
        <v/>
      </c>
      <c r="Y1134" s="121">
        <f>IFERROR(R1134/W1134,"")</f>
        <v/>
      </c>
      <c r="Z1134" s="121">
        <f>IFERROR(R1134/S1134*1000,"")</f>
        <v/>
      </c>
      <c r="AA1134" s="122" t="n">
        <v>30</v>
      </c>
      <c r="AB1134" s="54">
        <f>IFERROR(AA1134/W1134,"")</f>
        <v/>
      </c>
      <c r="AC1134" s="122" t="n">
        <v>1136</v>
      </c>
      <c r="AD1134" s="122" t="n">
        <v>682</v>
      </c>
      <c r="AE1134" s="122" t="n">
        <v>422</v>
      </c>
      <c r="AF1134" s="122" t="n">
        <v>277</v>
      </c>
      <c r="AG1134" s="122" t="n">
        <v>199</v>
      </c>
      <c r="AH1134" s="122" t="n">
        <v>133</v>
      </c>
      <c r="AI1134" s="54">
        <f>IFERROR(AC1134/S1134,"")</f>
        <v/>
      </c>
      <c r="AJ1134" s="54">
        <f>IFERROR(AH1134/S1134,"")</f>
        <v/>
      </c>
      <c r="AK1134" s="122" t="n">
        <v>131</v>
      </c>
      <c r="AL1134" s="122" t="n">
        <v>1</v>
      </c>
      <c r="AM1134" s="124">
        <f>IFERROR(AL1134/AA1134,"")</f>
        <v/>
      </c>
      <c r="AN1134" s="125">
        <f>IFERROR(R1134/AL1134,"")</f>
        <v/>
      </c>
      <c r="AO1134" s="122" t="n">
        <v>0</v>
      </c>
      <c r="AP1134" s="54">
        <f>IFERROR(AO1134/AL1134,"")</f>
        <v/>
      </c>
      <c r="AQ1134" s="125">
        <f>IFERROR(R1134/AO1134,"")</f>
        <v/>
      </c>
      <c r="AR1134" s="122" t="n">
        <v>0</v>
      </c>
      <c r="AS1134" s="122" t="n">
        <v>1</v>
      </c>
      <c r="AT1134" s="122">
        <f>AL1134+AR1134</f>
        <v/>
      </c>
      <c r="AU1134" s="125">
        <f>IFERROR(AO1134*Assumptions!$C$26*Assumptions!$C$27*INDEX(Assumptions!$C$18:$C$21,MATCH(H1134,Assumptions!$B$18:$B$21,0)),0)</f>
        <v/>
      </c>
    </row>
    <row r="1135">
      <c r="A1135" s="120" t="n">
        <v>46256</v>
      </c>
      <c r="B1135" s="66" t="inlineStr">
        <is>
          <t>Wk 34</t>
        </is>
      </c>
      <c r="C1135" s="66" t="inlineStr">
        <is>
          <t>Sat</t>
        </is>
      </c>
      <c r="D1135" s="66" t="inlineStr">
        <is>
          <t>TikTok</t>
        </is>
      </c>
      <c r="E1135" s="66" t="inlineStr">
        <is>
          <t>TikTok</t>
        </is>
      </c>
      <c r="F1135" s="66" t="inlineStr">
        <is>
          <t>LEP_ZA_AUG26_TT_TD_AMUR_CONV</t>
        </is>
      </c>
      <c r="G1135" s="66" t="inlineStr">
        <is>
          <t>Website Conversions</t>
        </is>
      </c>
      <c r="H1135" s="66" t="inlineStr">
        <is>
          <t>AMUR</t>
        </is>
      </c>
      <c r="I1135" s="66" t="inlineStr">
        <is>
          <t>0% Deposit</t>
        </is>
      </c>
      <c r="J1135" s="66" t="inlineStr">
        <is>
          <t>TT_AMUR_INT_AUTO_ZA</t>
        </is>
      </c>
      <c r="K1135" s="66" t="inlineStr">
        <is>
          <t>Interest</t>
        </is>
      </c>
      <c r="L1135" s="66" t="inlineStr">
        <is>
          <t>TT_AMUR_TREND_12s_Reveal_v2</t>
        </is>
      </c>
      <c r="M1135" s="66" t="inlineStr">
        <is>
          <t>Video 9:16</t>
        </is>
      </c>
      <c r="N1135" s="66" t="inlineStr">
        <is>
          <t>Do it for the R3 599</t>
        </is>
      </c>
      <c r="O1135" s="66" t="inlineStr">
        <is>
          <t>Auction - Lowest Cost</t>
        </is>
      </c>
      <c r="P1135" s="66" t="inlineStr">
        <is>
          <t>Complete Payment / Lead</t>
        </is>
      </c>
      <c r="Q1135" s="66" t="inlineStr">
        <is>
          <t>https://www.lepas-sa.co.za/offers/amur</t>
        </is>
      </c>
      <c r="R1135" s="121" t="n">
        <v>153.7</v>
      </c>
      <c r="S1135" s="122" t="n">
        <v>5176</v>
      </c>
      <c r="T1135" s="122" t="n">
        <v>2971</v>
      </c>
      <c r="U1135" s="123">
        <f>IFERROR(S1135/T1135,"")</f>
        <v/>
      </c>
      <c r="V1135" s="122" t="n">
        <v>76</v>
      </c>
      <c r="W1135" s="122" t="n">
        <v>59</v>
      </c>
      <c r="X1135" s="124">
        <f>IFERROR(W1135/S1135,"")</f>
        <v/>
      </c>
      <c r="Y1135" s="121">
        <f>IFERROR(R1135/W1135,"")</f>
        <v/>
      </c>
      <c r="Z1135" s="121">
        <f>IFERROR(R1135/S1135*1000,"")</f>
        <v/>
      </c>
      <c r="AA1135" s="122" t="n">
        <v>39</v>
      </c>
      <c r="AB1135" s="54">
        <f>IFERROR(AA1135/W1135,"")</f>
        <v/>
      </c>
      <c r="AC1135" s="122" t="n">
        <v>1815</v>
      </c>
      <c r="AD1135" s="122" t="n">
        <v>1082</v>
      </c>
      <c r="AE1135" s="122" t="n">
        <v>784</v>
      </c>
      <c r="AF1135" s="122" t="n">
        <v>515</v>
      </c>
      <c r="AG1135" s="122" t="n">
        <v>386</v>
      </c>
      <c r="AH1135" s="122" t="n">
        <v>247</v>
      </c>
      <c r="AI1135" s="54">
        <f>IFERROR(AC1135/S1135,"")</f>
        <v/>
      </c>
      <c r="AJ1135" s="54">
        <f>IFERROR(AH1135/S1135,"")</f>
        <v/>
      </c>
      <c r="AK1135" s="122" t="n">
        <v>148</v>
      </c>
      <c r="AL1135" s="122" t="n">
        <v>0</v>
      </c>
      <c r="AM1135" s="124">
        <f>IFERROR(AL1135/AA1135,"")</f>
        <v/>
      </c>
      <c r="AN1135" s="125">
        <f>IFERROR(R1135/AL1135,"")</f>
        <v/>
      </c>
      <c r="AO1135" s="122" t="n">
        <v>0</v>
      </c>
      <c r="AP1135" s="54">
        <f>IFERROR(AO1135/AL1135,"")</f>
        <v/>
      </c>
      <c r="AQ1135" s="125">
        <f>IFERROR(R1135/AO1135,"")</f>
        <v/>
      </c>
      <c r="AR1135" s="122" t="n">
        <v>0</v>
      </c>
      <c r="AS1135" s="122" t="n">
        <v>0</v>
      </c>
      <c r="AT1135" s="122">
        <f>AL1135+AR1135</f>
        <v/>
      </c>
      <c r="AU1135" s="125">
        <f>IFERROR(AO1135*Assumptions!$C$26*Assumptions!$C$27*INDEX(Assumptions!$C$18:$C$21,MATCH(H1135,Assumptions!$B$18:$B$21,0)),0)</f>
        <v/>
      </c>
    </row>
    <row r="1136">
      <c r="A1136" s="120" t="n">
        <v>46257</v>
      </c>
      <c r="B1136" s="66" t="inlineStr">
        <is>
          <t>Wk 34</t>
        </is>
      </c>
      <c r="C1136" s="66" t="inlineStr">
        <is>
          <t>Sun</t>
        </is>
      </c>
      <c r="D1136" s="66" t="inlineStr">
        <is>
          <t>TikTok</t>
        </is>
      </c>
      <c r="E1136" s="66" t="inlineStr">
        <is>
          <t>TikTok</t>
        </is>
      </c>
      <c r="F1136" s="66" t="inlineStr">
        <is>
          <t>LEP_ZA_AUG26_TT_TD_AMUR_CONV</t>
        </is>
      </c>
      <c r="G1136" s="66" t="inlineStr">
        <is>
          <t>Website Conversions</t>
        </is>
      </c>
      <c r="H1136" s="66" t="inlineStr">
        <is>
          <t>AMUR</t>
        </is>
      </c>
      <c r="I1136" s="66" t="inlineStr">
        <is>
          <t>0% Deposit</t>
        </is>
      </c>
      <c r="J1136" s="66" t="inlineStr">
        <is>
          <t>TT_AMUR_INT_AUTO_ZA</t>
        </is>
      </c>
      <c r="K1136" s="66" t="inlineStr">
        <is>
          <t>Interest</t>
        </is>
      </c>
      <c r="L1136" s="66" t="inlineStr">
        <is>
          <t>TT_AMUR_TREND_12s_Reveal_v2</t>
        </is>
      </c>
      <c r="M1136" s="66" t="inlineStr">
        <is>
          <t>Video 9:16</t>
        </is>
      </c>
      <c r="N1136" s="66" t="inlineStr">
        <is>
          <t>Do it for the R3 599</t>
        </is>
      </c>
      <c r="O1136" s="66" t="inlineStr">
        <is>
          <t>Auction - Lowest Cost</t>
        </is>
      </c>
      <c r="P1136" s="66" t="inlineStr">
        <is>
          <t>Complete Payment / Lead</t>
        </is>
      </c>
      <c r="Q1136" s="66" t="inlineStr">
        <is>
          <t>https://www.lepas-sa.co.za/offers/amur</t>
        </is>
      </c>
      <c r="R1136" s="121" t="n">
        <v>113.78</v>
      </c>
      <c r="S1136" s="122" t="n">
        <v>2594</v>
      </c>
      <c r="T1136" s="122" t="n">
        <v>1290</v>
      </c>
      <c r="U1136" s="123">
        <f>IFERROR(S1136/T1136,"")</f>
        <v/>
      </c>
      <c r="V1136" s="122" t="n">
        <v>35</v>
      </c>
      <c r="W1136" s="122" t="n">
        <v>29</v>
      </c>
      <c r="X1136" s="124">
        <f>IFERROR(W1136/S1136,"")</f>
        <v/>
      </c>
      <c r="Y1136" s="121">
        <f>IFERROR(R1136/W1136,"")</f>
        <v/>
      </c>
      <c r="Z1136" s="121">
        <f>IFERROR(R1136/S1136*1000,"")</f>
        <v/>
      </c>
      <c r="AA1136" s="122" t="n">
        <v>21</v>
      </c>
      <c r="AB1136" s="54">
        <f>IFERROR(AA1136/W1136,"")</f>
        <v/>
      </c>
      <c r="AC1136" s="122" t="n">
        <v>858</v>
      </c>
      <c r="AD1136" s="122" t="n">
        <v>492</v>
      </c>
      <c r="AE1136" s="122" t="n">
        <v>407</v>
      </c>
      <c r="AF1136" s="122" t="n">
        <v>236</v>
      </c>
      <c r="AG1136" s="122" t="n">
        <v>175</v>
      </c>
      <c r="AH1136" s="122" t="n">
        <v>110</v>
      </c>
      <c r="AI1136" s="54">
        <f>IFERROR(AC1136/S1136,"")</f>
        <v/>
      </c>
      <c r="AJ1136" s="54">
        <f>IFERROR(AH1136/S1136,"")</f>
        <v/>
      </c>
      <c r="AK1136" s="122" t="n">
        <v>81</v>
      </c>
      <c r="AL1136" s="122" t="n">
        <v>0</v>
      </c>
      <c r="AM1136" s="124">
        <f>IFERROR(AL1136/AA1136,"")</f>
        <v/>
      </c>
      <c r="AN1136" s="125">
        <f>IFERROR(R1136/AL1136,"")</f>
        <v/>
      </c>
      <c r="AO1136" s="122" t="n">
        <v>0</v>
      </c>
      <c r="AP1136" s="54">
        <f>IFERROR(AO1136/AL1136,"")</f>
        <v/>
      </c>
      <c r="AQ1136" s="125">
        <f>IFERROR(R1136/AO1136,"")</f>
        <v/>
      </c>
      <c r="AR1136" s="122" t="n">
        <v>0</v>
      </c>
      <c r="AS1136" s="122" t="n">
        <v>0</v>
      </c>
      <c r="AT1136" s="122">
        <f>AL1136+AR1136</f>
        <v/>
      </c>
      <c r="AU1136" s="125">
        <f>IFERROR(AO1136*Assumptions!$C$26*Assumptions!$C$27*INDEX(Assumptions!$C$18:$C$21,MATCH(H1136,Assumptions!$B$18:$B$21,0)),0)</f>
        <v/>
      </c>
    </row>
    <row r="1137">
      <c r="A1137" s="120" t="n">
        <v>46258</v>
      </c>
      <c r="B1137" s="66" t="inlineStr">
        <is>
          <t>Wk 35</t>
        </is>
      </c>
      <c r="C1137" s="66" t="inlineStr">
        <is>
          <t>Mon</t>
        </is>
      </c>
      <c r="D1137" s="66" t="inlineStr">
        <is>
          <t>TikTok</t>
        </is>
      </c>
      <c r="E1137" s="66" t="inlineStr">
        <is>
          <t>TikTok</t>
        </is>
      </c>
      <c r="F1137" s="66" t="inlineStr">
        <is>
          <t>LEP_ZA_AUG26_TT_TD_AMUR_CONV</t>
        </is>
      </c>
      <c r="G1137" s="66" t="inlineStr">
        <is>
          <t>Website Conversions</t>
        </is>
      </c>
      <c r="H1137" s="66" t="inlineStr">
        <is>
          <t>AMUR</t>
        </is>
      </c>
      <c r="I1137" s="66" t="inlineStr">
        <is>
          <t>0% Deposit</t>
        </is>
      </c>
      <c r="J1137" s="66" t="inlineStr">
        <is>
          <t>TT_AMUR_INT_AUTO_ZA</t>
        </is>
      </c>
      <c r="K1137" s="66" t="inlineStr">
        <is>
          <t>Interest</t>
        </is>
      </c>
      <c r="L1137" s="66" t="inlineStr">
        <is>
          <t>TT_AMUR_TREND_12s_Reveal_v2</t>
        </is>
      </c>
      <c r="M1137" s="66" t="inlineStr">
        <is>
          <t>Video 9:16</t>
        </is>
      </c>
      <c r="N1137" s="66" t="inlineStr">
        <is>
          <t>Do it for the R3 599</t>
        </is>
      </c>
      <c r="O1137" s="66" t="inlineStr">
        <is>
          <t>Auction - Lowest Cost</t>
        </is>
      </c>
      <c r="P1137" s="66" t="inlineStr">
        <is>
          <t>Complete Payment / Lead</t>
        </is>
      </c>
      <c r="Q1137" s="66" t="inlineStr">
        <is>
          <t>https://www.lepas-sa.co.za/offers/amur</t>
        </is>
      </c>
      <c r="R1137" s="121" t="n">
        <v>107.98</v>
      </c>
      <c r="S1137" s="122" t="n">
        <v>3078</v>
      </c>
      <c r="T1137" s="122" t="n">
        <v>1630</v>
      </c>
      <c r="U1137" s="123">
        <f>IFERROR(S1137/T1137,"")</f>
        <v/>
      </c>
      <c r="V1137" s="122" t="n">
        <v>26</v>
      </c>
      <c r="W1137" s="122" t="n">
        <v>20</v>
      </c>
      <c r="X1137" s="124">
        <f>IFERROR(W1137/S1137,"")</f>
        <v/>
      </c>
      <c r="Y1137" s="121">
        <f>IFERROR(R1137/W1137,"")</f>
        <v/>
      </c>
      <c r="Z1137" s="121">
        <f>IFERROR(R1137/S1137*1000,"")</f>
        <v/>
      </c>
      <c r="AA1137" s="122" t="n">
        <v>13</v>
      </c>
      <c r="AB1137" s="54">
        <f>IFERROR(AA1137/W1137,"")</f>
        <v/>
      </c>
      <c r="AC1137" s="122" t="n">
        <v>1154</v>
      </c>
      <c r="AD1137" s="122" t="n">
        <v>510</v>
      </c>
      <c r="AE1137" s="122" t="n">
        <v>612</v>
      </c>
      <c r="AF1137" s="122" t="n">
        <v>366</v>
      </c>
      <c r="AG1137" s="122" t="n">
        <v>271</v>
      </c>
      <c r="AH1137" s="122" t="n">
        <v>199</v>
      </c>
      <c r="AI1137" s="54">
        <f>IFERROR(AC1137/S1137,"")</f>
        <v/>
      </c>
      <c r="AJ1137" s="54">
        <f>IFERROR(AH1137/S1137,"")</f>
        <v/>
      </c>
      <c r="AK1137" s="122" t="n">
        <v>91</v>
      </c>
      <c r="AL1137" s="122" t="n">
        <v>0</v>
      </c>
      <c r="AM1137" s="124">
        <f>IFERROR(AL1137/AA1137,"")</f>
        <v/>
      </c>
      <c r="AN1137" s="125">
        <f>IFERROR(R1137/AL1137,"")</f>
        <v/>
      </c>
      <c r="AO1137" s="122" t="n">
        <v>0</v>
      </c>
      <c r="AP1137" s="54">
        <f>IFERROR(AO1137/AL1137,"")</f>
        <v/>
      </c>
      <c r="AQ1137" s="125">
        <f>IFERROR(R1137/AO1137,"")</f>
        <v/>
      </c>
      <c r="AR1137" s="122" t="n">
        <v>0</v>
      </c>
      <c r="AS1137" s="122" t="n">
        <v>0</v>
      </c>
      <c r="AT1137" s="122">
        <f>AL1137+AR1137</f>
        <v/>
      </c>
      <c r="AU1137" s="125">
        <f>IFERROR(AO1137*Assumptions!$C$26*Assumptions!$C$27*INDEX(Assumptions!$C$18:$C$21,MATCH(H1137,Assumptions!$B$18:$B$21,0)),0)</f>
        <v/>
      </c>
    </row>
    <row r="1138">
      <c r="A1138" s="120" t="n">
        <v>46259</v>
      </c>
      <c r="B1138" s="66" t="inlineStr">
        <is>
          <t>Wk 35</t>
        </is>
      </c>
      <c r="C1138" s="66" t="inlineStr">
        <is>
          <t>Tue</t>
        </is>
      </c>
      <c r="D1138" s="66" t="inlineStr">
        <is>
          <t>TikTok</t>
        </is>
      </c>
      <c r="E1138" s="66" t="inlineStr">
        <is>
          <t>TikTok</t>
        </is>
      </c>
      <c r="F1138" s="66" t="inlineStr">
        <is>
          <t>LEP_ZA_AUG26_TT_TD_AMUR_CONV</t>
        </is>
      </c>
      <c r="G1138" s="66" t="inlineStr">
        <is>
          <t>Website Conversions</t>
        </is>
      </c>
      <c r="H1138" s="66" t="inlineStr">
        <is>
          <t>AMUR</t>
        </is>
      </c>
      <c r="I1138" s="66" t="inlineStr">
        <is>
          <t>0% Deposit</t>
        </is>
      </c>
      <c r="J1138" s="66" t="inlineStr">
        <is>
          <t>TT_AMUR_INT_AUTO_ZA</t>
        </is>
      </c>
      <c r="K1138" s="66" t="inlineStr">
        <is>
          <t>Interest</t>
        </is>
      </c>
      <c r="L1138" s="66" t="inlineStr">
        <is>
          <t>TT_AMUR_TREND_12s_Reveal_v2</t>
        </is>
      </c>
      <c r="M1138" s="66" t="inlineStr">
        <is>
          <t>Video 9:16</t>
        </is>
      </c>
      <c r="N1138" s="66" t="inlineStr">
        <is>
          <t>Do it for the R3 599</t>
        </is>
      </c>
      <c r="O1138" s="66" t="inlineStr">
        <is>
          <t>Auction - Lowest Cost</t>
        </is>
      </c>
      <c r="P1138" s="66" t="inlineStr">
        <is>
          <t>Complete Payment / Lead</t>
        </is>
      </c>
      <c r="Q1138" s="66" t="inlineStr">
        <is>
          <t>https://www.lepas-sa.co.za/offers/amur</t>
        </is>
      </c>
      <c r="R1138" s="121" t="n">
        <v>113.07</v>
      </c>
      <c r="S1138" s="122" t="n">
        <v>2494</v>
      </c>
      <c r="T1138" s="122" t="n">
        <v>1253</v>
      </c>
      <c r="U1138" s="123">
        <f>IFERROR(S1138/T1138,"")</f>
        <v/>
      </c>
      <c r="V1138" s="122" t="n">
        <v>20</v>
      </c>
      <c r="W1138" s="122" t="n">
        <v>15</v>
      </c>
      <c r="X1138" s="124">
        <f>IFERROR(W1138/S1138,"")</f>
        <v/>
      </c>
      <c r="Y1138" s="121">
        <f>IFERROR(R1138/W1138,"")</f>
        <v/>
      </c>
      <c r="Z1138" s="121">
        <f>IFERROR(R1138/S1138*1000,"")</f>
        <v/>
      </c>
      <c r="AA1138" s="122" t="n">
        <v>10</v>
      </c>
      <c r="AB1138" s="54">
        <f>IFERROR(AA1138/W1138,"")</f>
        <v/>
      </c>
      <c r="AC1138" s="122" t="n">
        <v>789</v>
      </c>
      <c r="AD1138" s="122" t="n">
        <v>450</v>
      </c>
      <c r="AE1138" s="122" t="n">
        <v>372</v>
      </c>
      <c r="AF1138" s="122" t="n">
        <v>259</v>
      </c>
      <c r="AG1138" s="122" t="n">
        <v>180</v>
      </c>
      <c r="AH1138" s="122" t="n">
        <v>115</v>
      </c>
      <c r="AI1138" s="54">
        <f>IFERROR(AC1138/S1138,"")</f>
        <v/>
      </c>
      <c r="AJ1138" s="54">
        <f>IFERROR(AH1138/S1138,"")</f>
        <v/>
      </c>
      <c r="AK1138" s="122" t="n">
        <v>124</v>
      </c>
      <c r="AL1138" s="122" t="n">
        <v>1</v>
      </c>
      <c r="AM1138" s="124">
        <f>IFERROR(AL1138/AA1138,"")</f>
        <v/>
      </c>
      <c r="AN1138" s="125">
        <f>IFERROR(R1138/AL1138,"")</f>
        <v/>
      </c>
      <c r="AO1138" s="122" t="n">
        <v>0</v>
      </c>
      <c r="AP1138" s="54">
        <f>IFERROR(AO1138/AL1138,"")</f>
        <v/>
      </c>
      <c r="AQ1138" s="125">
        <f>IFERROR(R1138/AO1138,"")</f>
        <v/>
      </c>
      <c r="AR1138" s="122" t="n">
        <v>1</v>
      </c>
      <c r="AS1138" s="122" t="n">
        <v>0</v>
      </c>
      <c r="AT1138" s="122">
        <f>AL1138+AR1138</f>
        <v/>
      </c>
      <c r="AU1138" s="125">
        <f>IFERROR(AO1138*Assumptions!$C$26*Assumptions!$C$27*INDEX(Assumptions!$C$18:$C$21,MATCH(H1138,Assumptions!$B$18:$B$21,0)),0)</f>
        <v/>
      </c>
    </row>
    <row r="1139">
      <c r="A1139" s="120" t="n">
        <v>46260</v>
      </c>
      <c r="B1139" s="66" t="inlineStr">
        <is>
          <t>Wk 35</t>
        </is>
      </c>
      <c r="C1139" s="66" t="inlineStr">
        <is>
          <t>Wed</t>
        </is>
      </c>
      <c r="D1139" s="66" t="inlineStr">
        <is>
          <t>TikTok</t>
        </is>
      </c>
      <c r="E1139" s="66" t="inlineStr">
        <is>
          <t>TikTok</t>
        </is>
      </c>
      <c r="F1139" s="66" t="inlineStr">
        <is>
          <t>LEP_ZA_AUG26_TT_TD_AMUR_CONV</t>
        </is>
      </c>
      <c r="G1139" s="66" t="inlineStr">
        <is>
          <t>Website Conversions</t>
        </is>
      </c>
      <c r="H1139" s="66" t="inlineStr">
        <is>
          <t>AMUR</t>
        </is>
      </c>
      <c r="I1139" s="66" t="inlineStr">
        <is>
          <t>0% Deposit</t>
        </is>
      </c>
      <c r="J1139" s="66" t="inlineStr">
        <is>
          <t>TT_AMUR_INT_AUTO_ZA</t>
        </is>
      </c>
      <c r="K1139" s="66" t="inlineStr">
        <is>
          <t>Interest</t>
        </is>
      </c>
      <c r="L1139" s="66" t="inlineStr">
        <is>
          <t>TT_AMUR_TREND_12s_Reveal_v2</t>
        </is>
      </c>
      <c r="M1139" s="66" t="inlineStr">
        <is>
          <t>Video 9:16</t>
        </is>
      </c>
      <c r="N1139" s="66" t="inlineStr">
        <is>
          <t>Do it for the R3 599</t>
        </is>
      </c>
      <c r="O1139" s="66" t="inlineStr">
        <is>
          <t>Auction - Lowest Cost</t>
        </is>
      </c>
      <c r="P1139" s="66" t="inlineStr">
        <is>
          <t>Complete Payment / Lead</t>
        </is>
      </c>
      <c r="Q1139" s="66" t="inlineStr">
        <is>
          <t>https://www.lepas-sa.co.za/offers/amur</t>
        </is>
      </c>
      <c r="R1139" s="121" t="n">
        <v>154.2</v>
      </c>
      <c r="S1139" s="122" t="n">
        <v>5257</v>
      </c>
      <c r="T1139" s="122" t="n">
        <v>2944</v>
      </c>
      <c r="U1139" s="123">
        <f>IFERROR(S1139/T1139,"")</f>
        <v/>
      </c>
      <c r="V1139" s="122" t="n">
        <v>67</v>
      </c>
      <c r="W1139" s="122" t="n">
        <v>48</v>
      </c>
      <c r="X1139" s="124">
        <f>IFERROR(W1139/S1139,"")</f>
        <v/>
      </c>
      <c r="Y1139" s="121">
        <f>IFERROR(R1139/W1139,"")</f>
        <v/>
      </c>
      <c r="Z1139" s="121">
        <f>IFERROR(R1139/S1139*1000,"")</f>
        <v/>
      </c>
      <c r="AA1139" s="122" t="n">
        <v>33</v>
      </c>
      <c r="AB1139" s="54">
        <f>IFERROR(AA1139/W1139,"")</f>
        <v/>
      </c>
      <c r="AC1139" s="122" t="n">
        <v>2137</v>
      </c>
      <c r="AD1139" s="122" t="n">
        <v>1090</v>
      </c>
      <c r="AE1139" s="122" t="n">
        <v>913</v>
      </c>
      <c r="AF1139" s="122" t="n">
        <v>519</v>
      </c>
      <c r="AG1139" s="122" t="n">
        <v>368</v>
      </c>
      <c r="AH1139" s="122" t="n">
        <v>243</v>
      </c>
      <c r="AI1139" s="54">
        <f>IFERROR(AC1139/S1139,"")</f>
        <v/>
      </c>
      <c r="AJ1139" s="54">
        <f>IFERROR(AH1139/S1139,"")</f>
        <v/>
      </c>
      <c r="AK1139" s="122" t="n">
        <v>258</v>
      </c>
      <c r="AL1139" s="122" t="n">
        <v>0</v>
      </c>
      <c r="AM1139" s="124">
        <f>IFERROR(AL1139/AA1139,"")</f>
        <v/>
      </c>
      <c r="AN1139" s="125">
        <f>IFERROR(R1139/AL1139,"")</f>
        <v/>
      </c>
      <c r="AO1139" s="122" t="n">
        <v>0</v>
      </c>
      <c r="AP1139" s="54">
        <f>IFERROR(AO1139/AL1139,"")</f>
        <v/>
      </c>
      <c r="AQ1139" s="125">
        <f>IFERROR(R1139/AO1139,"")</f>
        <v/>
      </c>
      <c r="AR1139" s="122" t="n">
        <v>0</v>
      </c>
      <c r="AS1139" s="122" t="n">
        <v>0</v>
      </c>
      <c r="AT1139" s="122">
        <f>AL1139+AR1139</f>
        <v/>
      </c>
      <c r="AU1139" s="125">
        <f>IFERROR(AO1139*Assumptions!$C$26*Assumptions!$C$27*INDEX(Assumptions!$C$18:$C$21,MATCH(H1139,Assumptions!$B$18:$B$21,0)),0)</f>
        <v/>
      </c>
    </row>
    <row r="1140">
      <c r="A1140" s="120" t="n">
        <v>46261</v>
      </c>
      <c r="B1140" s="66" t="inlineStr">
        <is>
          <t>Wk 35</t>
        </is>
      </c>
      <c r="C1140" s="66" t="inlineStr">
        <is>
          <t>Thu</t>
        </is>
      </c>
      <c r="D1140" s="66" t="inlineStr">
        <is>
          <t>TikTok</t>
        </is>
      </c>
      <c r="E1140" s="66" t="inlineStr">
        <is>
          <t>TikTok</t>
        </is>
      </c>
      <c r="F1140" s="66" t="inlineStr">
        <is>
          <t>LEP_ZA_AUG26_TT_TD_AMUR_CONV</t>
        </is>
      </c>
      <c r="G1140" s="66" t="inlineStr">
        <is>
          <t>Website Conversions</t>
        </is>
      </c>
      <c r="H1140" s="66" t="inlineStr">
        <is>
          <t>AMUR</t>
        </is>
      </c>
      <c r="I1140" s="66" t="inlineStr">
        <is>
          <t>0% Deposit</t>
        </is>
      </c>
      <c r="J1140" s="66" t="inlineStr">
        <is>
          <t>TT_AMUR_INT_AUTO_ZA</t>
        </is>
      </c>
      <c r="K1140" s="66" t="inlineStr">
        <is>
          <t>Interest</t>
        </is>
      </c>
      <c r="L1140" s="66" t="inlineStr">
        <is>
          <t>TT_AMUR_TREND_12s_Reveal_v2</t>
        </is>
      </c>
      <c r="M1140" s="66" t="inlineStr">
        <is>
          <t>Video 9:16</t>
        </is>
      </c>
      <c r="N1140" s="66" t="inlineStr">
        <is>
          <t>Do it for the R3 599</t>
        </is>
      </c>
      <c r="O1140" s="66" t="inlineStr">
        <is>
          <t>Auction - Lowest Cost</t>
        </is>
      </c>
      <c r="P1140" s="66" t="inlineStr">
        <is>
          <t>Complete Payment / Lead</t>
        </is>
      </c>
      <c r="Q1140" s="66" t="inlineStr">
        <is>
          <t>https://www.lepas-sa.co.za/offers/amur</t>
        </is>
      </c>
      <c r="R1140" s="121" t="n">
        <v>177.02</v>
      </c>
      <c r="S1140" s="122" t="n">
        <v>4569</v>
      </c>
      <c r="T1140" s="122" t="n">
        <v>2109</v>
      </c>
      <c r="U1140" s="123">
        <f>IFERROR(S1140/T1140,"")</f>
        <v/>
      </c>
      <c r="V1140" s="122" t="n">
        <v>62</v>
      </c>
      <c r="W1140" s="122" t="n">
        <v>48</v>
      </c>
      <c r="X1140" s="124">
        <f>IFERROR(W1140/S1140,"")</f>
        <v/>
      </c>
      <c r="Y1140" s="121">
        <f>IFERROR(R1140/W1140,"")</f>
        <v/>
      </c>
      <c r="Z1140" s="121">
        <f>IFERROR(R1140/S1140*1000,"")</f>
        <v/>
      </c>
      <c r="AA1140" s="122" t="n">
        <v>32</v>
      </c>
      <c r="AB1140" s="54">
        <f>IFERROR(AA1140/W1140,"")</f>
        <v/>
      </c>
      <c r="AC1140" s="122" t="n">
        <v>1537</v>
      </c>
      <c r="AD1140" s="122" t="n">
        <v>678</v>
      </c>
      <c r="AE1140" s="122" t="n">
        <v>627</v>
      </c>
      <c r="AF1140" s="122" t="n">
        <v>408</v>
      </c>
      <c r="AG1140" s="122" t="n">
        <v>285</v>
      </c>
      <c r="AH1140" s="122" t="n">
        <v>167</v>
      </c>
      <c r="AI1140" s="54">
        <f>IFERROR(AC1140/S1140,"")</f>
        <v/>
      </c>
      <c r="AJ1140" s="54">
        <f>IFERROR(AH1140/S1140,"")</f>
        <v/>
      </c>
      <c r="AK1140" s="122" t="n">
        <v>241</v>
      </c>
      <c r="AL1140" s="122" t="n">
        <v>0</v>
      </c>
      <c r="AM1140" s="124">
        <f>IFERROR(AL1140/AA1140,"")</f>
        <v/>
      </c>
      <c r="AN1140" s="125">
        <f>IFERROR(R1140/AL1140,"")</f>
        <v/>
      </c>
      <c r="AO1140" s="122" t="n">
        <v>0</v>
      </c>
      <c r="AP1140" s="54">
        <f>IFERROR(AO1140/AL1140,"")</f>
        <v/>
      </c>
      <c r="AQ1140" s="125">
        <f>IFERROR(R1140/AO1140,"")</f>
        <v/>
      </c>
      <c r="AR1140" s="122" t="n">
        <v>0</v>
      </c>
      <c r="AS1140" s="122" t="n">
        <v>0</v>
      </c>
      <c r="AT1140" s="122">
        <f>AL1140+AR1140</f>
        <v/>
      </c>
      <c r="AU1140" s="125">
        <f>IFERROR(AO1140*Assumptions!$C$26*Assumptions!$C$27*INDEX(Assumptions!$C$18:$C$21,MATCH(H1140,Assumptions!$B$18:$B$21,0)),0)</f>
        <v/>
      </c>
    </row>
    <row r="1141">
      <c r="A1141" s="120" t="n">
        <v>46262</v>
      </c>
      <c r="B1141" s="66" t="inlineStr">
        <is>
          <t>Wk 35</t>
        </is>
      </c>
      <c r="C1141" s="66" t="inlineStr">
        <is>
          <t>Fri</t>
        </is>
      </c>
      <c r="D1141" s="66" t="inlineStr">
        <is>
          <t>TikTok</t>
        </is>
      </c>
      <c r="E1141" s="66" t="inlineStr">
        <is>
          <t>TikTok</t>
        </is>
      </c>
      <c r="F1141" s="66" t="inlineStr">
        <is>
          <t>LEP_ZA_AUG26_TT_TD_AMUR_CONV</t>
        </is>
      </c>
      <c r="G1141" s="66" t="inlineStr">
        <is>
          <t>Website Conversions</t>
        </is>
      </c>
      <c r="H1141" s="66" t="inlineStr">
        <is>
          <t>AMUR</t>
        </is>
      </c>
      <c r="I1141" s="66" t="inlineStr">
        <is>
          <t>0% Deposit</t>
        </is>
      </c>
      <c r="J1141" s="66" t="inlineStr">
        <is>
          <t>TT_AMUR_INT_AUTO_ZA</t>
        </is>
      </c>
      <c r="K1141" s="66" t="inlineStr">
        <is>
          <t>Interest</t>
        </is>
      </c>
      <c r="L1141" s="66" t="inlineStr">
        <is>
          <t>TT_AMUR_TREND_12s_Reveal_v2</t>
        </is>
      </c>
      <c r="M1141" s="66" t="inlineStr">
        <is>
          <t>Video 9:16</t>
        </is>
      </c>
      <c r="N1141" s="66" t="inlineStr">
        <is>
          <t>Do it for the R3 599</t>
        </is>
      </c>
      <c r="O1141" s="66" t="inlineStr">
        <is>
          <t>Auction - Lowest Cost</t>
        </is>
      </c>
      <c r="P1141" s="66" t="inlineStr">
        <is>
          <t>Complete Payment / Lead</t>
        </is>
      </c>
      <c r="Q1141" s="66" t="inlineStr">
        <is>
          <t>https://www.lepas-sa.co.za/offers/amur</t>
        </is>
      </c>
      <c r="R1141" s="121" t="n">
        <v>175.29</v>
      </c>
      <c r="S1141" s="122" t="n">
        <v>5346</v>
      </c>
      <c r="T1141" s="122" t="n">
        <v>2676</v>
      </c>
      <c r="U1141" s="123">
        <f>IFERROR(S1141/T1141,"")</f>
        <v/>
      </c>
      <c r="V1141" s="122" t="n">
        <v>69</v>
      </c>
      <c r="W1141" s="122" t="n">
        <v>50</v>
      </c>
      <c r="X1141" s="124">
        <f>IFERROR(W1141/S1141,"")</f>
        <v/>
      </c>
      <c r="Y1141" s="121">
        <f>IFERROR(R1141/W1141,"")</f>
        <v/>
      </c>
      <c r="Z1141" s="121">
        <f>IFERROR(R1141/S1141*1000,"")</f>
        <v/>
      </c>
      <c r="AA1141" s="122" t="n">
        <v>33</v>
      </c>
      <c r="AB1141" s="54">
        <f>IFERROR(AA1141/W1141,"")</f>
        <v/>
      </c>
      <c r="AC1141" s="122" t="n">
        <v>1872</v>
      </c>
      <c r="AD1141" s="122" t="n">
        <v>901</v>
      </c>
      <c r="AE1141" s="122" t="n">
        <v>861</v>
      </c>
      <c r="AF1141" s="122" t="n">
        <v>456</v>
      </c>
      <c r="AG1141" s="122" t="n">
        <v>351</v>
      </c>
      <c r="AH1141" s="122" t="n">
        <v>236</v>
      </c>
      <c r="AI1141" s="54">
        <f>IFERROR(AC1141/S1141,"")</f>
        <v/>
      </c>
      <c r="AJ1141" s="54">
        <f>IFERROR(AH1141/S1141,"")</f>
        <v/>
      </c>
      <c r="AK1141" s="122" t="n">
        <v>262</v>
      </c>
      <c r="AL1141" s="122" t="n">
        <v>0</v>
      </c>
      <c r="AM1141" s="124">
        <f>IFERROR(AL1141/AA1141,"")</f>
        <v/>
      </c>
      <c r="AN1141" s="125">
        <f>IFERROR(R1141/AL1141,"")</f>
        <v/>
      </c>
      <c r="AO1141" s="122" t="n">
        <v>0</v>
      </c>
      <c r="AP1141" s="54">
        <f>IFERROR(AO1141/AL1141,"")</f>
        <v/>
      </c>
      <c r="AQ1141" s="125">
        <f>IFERROR(R1141/AO1141,"")</f>
        <v/>
      </c>
      <c r="AR1141" s="122" t="n">
        <v>0</v>
      </c>
      <c r="AS1141" s="122" t="n">
        <v>0</v>
      </c>
      <c r="AT1141" s="122">
        <f>AL1141+AR1141</f>
        <v/>
      </c>
      <c r="AU1141" s="125">
        <f>IFERROR(AO1141*Assumptions!$C$26*Assumptions!$C$27*INDEX(Assumptions!$C$18:$C$21,MATCH(H1141,Assumptions!$B$18:$B$21,0)),0)</f>
        <v/>
      </c>
    </row>
    <row r="1142">
      <c r="A1142" s="120" t="n">
        <v>46263</v>
      </c>
      <c r="B1142" s="66" t="inlineStr">
        <is>
          <t>Wk 35</t>
        </is>
      </c>
      <c r="C1142" s="66" t="inlineStr">
        <is>
          <t>Sat</t>
        </is>
      </c>
      <c r="D1142" s="66" t="inlineStr">
        <is>
          <t>TikTok</t>
        </is>
      </c>
      <c r="E1142" s="66" t="inlineStr">
        <is>
          <t>TikTok</t>
        </is>
      </c>
      <c r="F1142" s="66" t="inlineStr">
        <is>
          <t>LEP_ZA_AUG26_TT_TD_AMUR_CONV</t>
        </is>
      </c>
      <c r="G1142" s="66" t="inlineStr">
        <is>
          <t>Website Conversions</t>
        </is>
      </c>
      <c r="H1142" s="66" t="inlineStr">
        <is>
          <t>AMUR</t>
        </is>
      </c>
      <c r="I1142" s="66" t="inlineStr">
        <is>
          <t>0% Deposit</t>
        </is>
      </c>
      <c r="J1142" s="66" t="inlineStr">
        <is>
          <t>TT_AMUR_INT_AUTO_ZA</t>
        </is>
      </c>
      <c r="K1142" s="66" t="inlineStr">
        <is>
          <t>Interest</t>
        </is>
      </c>
      <c r="L1142" s="66" t="inlineStr">
        <is>
          <t>TT_AMUR_TREND_12s_Reveal_v2</t>
        </is>
      </c>
      <c r="M1142" s="66" t="inlineStr">
        <is>
          <t>Video 9:16</t>
        </is>
      </c>
      <c r="N1142" s="66" t="inlineStr">
        <is>
          <t>Do it for the R3 599</t>
        </is>
      </c>
      <c r="O1142" s="66" t="inlineStr">
        <is>
          <t>Auction - Lowest Cost</t>
        </is>
      </c>
      <c r="P1142" s="66" t="inlineStr">
        <is>
          <t>Complete Payment / Lead</t>
        </is>
      </c>
      <c r="Q1142" s="66" t="inlineStr">
        <is>
          <t>https://www.lepas-sa.co.za/offers/amur</t>
        </is>
      </c>
      <c r="R1142" s="121" t="n">
        <v>182.97</v>
      </c>
      <c r="S1142" s="122" t="n">
        <v>5508</v>
      </c>
      <c r="T1142" s="122" t="n">
        <v>2392</v>
      </c>
      <c r="U1142" s="123">
        <f>IFERROR(S1142/T1142,"")</f>
        <v/>
      </c>
      <c r="V1142" s="122" t="n">
        <v>43</v>
      </c>
      <c r="W1142" s="122" t="n">
        <v>34</v>
      </c>
      <c r="X1142" s="124">
        <f>IFERROR(W1142/S1142,"")</f>
        <v/>
      </c>
      <c r="Y1142" s="121">
        <f>IFERROR(R1142/W1142,"")</f>
        <v/>
      </c>
      <c r="Z1142" s="121">
        <f>IFERROR(R1142/S1142*1000,"")</f>
        <v/>
      </c>
      <c r="AA1142" s="122" t="n">
        <v>22</v>
      </c>
      <c r="AB1142" s="54">
        <f>IFERROR(AA1142/W1142,"")</f>
        <v/>
      </c>
      <c r="AC1142" s="122" t="n">
        <v>1801</v>
      </c>
      <c r="AD1142" s="122" t="n">
        <v>1066</v>
      </c>
      <c r="AE1142" s="122" t="n">
        <v>972</v>
      </c>
      <c r="AF1142" s="122" t="n">
        <v>538</v>
      </c>
      <c r="AG1142" s="122" t="n">
        <v>358</v>
      </c>
      <c r="AH1142" s="122" t="n">
        <v>222</v>
      </c>
      <c r="AI1142" s="54">
        <f>IFERROR(AC1142/S1142,"")</f>
        <v/>
      </c>
      <c r="AJ1142" s="54">
        <f>IFERROR(AH1142/S1142,"")</f>
        <v/>
      </c>
      <c r="AK1142" s="122" t="n">
        <v>164</v>
      </c>
      <c r="AL1142" s="122" t="n">
        <v>0</v>
      </c>
      <c r="AM1142" s="124">
        <f>IFERROR(AL1142/AA1142,"")</f>
        <v/>
      </c>
      <c r="AN1142" s="125">
        <f>IFERROR(R1142/AL1142,"")</f>
        <v/>
      </c>
      <c r="AO1142" s="122" t="n">
        <v>0</v>
      </c>
      <c r="AP1142" s="54">
        <f>IFERROR(AO1142/AL1142,"")</f>
        <v/>
      </c>
      <c r="AQ1142" s="125">
        <f>IFERROR(R1142/AO1142,"")</f>
        <v/>
      </c>
      <c r="AR1142" s="122" t="n">
        <v>0</v>
      </c>
      <c r="AS1142" s="122" t="n">
        <v>0</v>
      </c>
      <c r="AT1142" s="122">
        <f>AL1142+AR1142</f>
        <v/>
      </c>
      <c r="AU1142" s="125">
        <f>IFERROR(AO1142*Assumptions!$C$26*Assumptions!$C$27*INDEX(Assumptions!$C$18:$C$21,MATCH(H1142,Assumptions!$B$18:$B$21,0)),0)</f>
        <v/>
      </c>
    </row>
    <row r="1143">
      <c r="A1143" s="120" t="n">
        <v>46264</v>
      </c>
      <c r="B1143" s="66" t="inlineStr">
        <is>
          <t>Wk 35</t>
        </is>
      </c>
      <c r="C1143" s="66" t="inlineStr">
        <is>
          <t>Sun</t>
        </is>
      </c>
      <c r="D1143" s="66" t="inlineStr">
        <is>
          <t>TikTok</t>
        </is>
      </c>
      <c r="E1143" s="66" t="inlineStr">
        <is>
          <t>TikTok</t>
        </is>
      </c>
      <c r="F1143" s="66" t="inlineStr">
        <is>
          <t>LEP_ZA_AUG26_TT_TD_AMUR_CONV</t>
        </is>
      </c>
      <c r="G1143" s="66" t="inlineStr">
        <is>
          <t>Website Conversions</t>
        </is>
      </c>
      <c r="H1143" s="66" t="inlineStr">
        <is>
          <t>AMUR</t>
        </is>
      </c>
      <c r="I1143" s="66" t="inlineStr">
        <is>
          <t>0% Deposit</t>
        </is>
      </c>
      <c r="J1143" s="66" t="inlineStr">
        <is>
          <t>TT_AMUR_INT_AUTO_ZA</t>
        </is>
      </c>
      <c r="K1143" s="66" t="inlineStr">
        <is>
          <t>Interest</t>
        </is>
      </c>
      <c r="L1143" s="66" t="inlineStr">
        <is>
          <t>TT_AMUR_TREND_12s_Reveal_v2</t>
        </is>
      </c>
      <c r="M1143" s="66" t="inlineStr">
        <is>
          <t>Video 9:16</t>
        </is>
      </c>
      <c r="N1143" s="66" t="inlineStr">
        <is>
          <t>Do it for the R3 599</t>
        </is>
      </c>
      <c r="O1143" s="66" t="inlineStr">
        <is>
          <t>Auction - Lowest Cost</t>
        </is>
      </c>
      <c r="P1143" s="66" t="inlineStr">
        <is>
          <t>Complete Payment / Lead</t>
        </is>
      </c>
      <c r="Q1143" s="66" t="inlineStr">
        <is>
          <t>https://www.lepas-sa.co.za/offers/amur</t>
        </is>
      </c>
      <c r="R1143" s="121" t="n">
        <v>135.01</v>
      </c>
      <c r="S1143" s="122" t="n">
        <v>2620</v>
      </c>
      <c r="T1143" s="122" t="n">
        <v>1321</v>
      </c>
      <c r="U1143" s="123">
        <f>IFERROR(S1143/T1143,"")</f>
        <v/>
      </c>
      <c r="V1143" s="122" t="n">
        <v>24</v>
      </c>
      <c r="W1143" s="122" t="n">
        <v>18</v>
      </c>
      <c r="X1143" s="124">
        <f>IFERROR(W1143/S1143,"")</f>
        <v/>
      </c>
      <c r="Y1143" s="121">
        <f>IFERROR(R1143/W1143,"")</f>
        <v/>
      </c>
      <c r="Z1143" s="121">
        <f>IFERROR(R1143/S1143*1000,"")</f>
        <v/>
      </c>
      <c r="AA1143" s="122" t="n">
        <v>14</v>
      </c>
      <c r="AB1143" s="54">
        <f>IFERROR(AA1143/W1143,"")</f>
        <v/>
      </c>
      <c r="AC1143" s="122" t="n">
        <v>665</v>
      </c>
      <c r="AD1143" s="122" t="n">
        <v>396</v>
      </c>
      <c r="AE1143" s="122" t="n">
        <v>298</v>
      </c>
      <c r="AF1143" s="122" t="n">
        <v>196</v>
      </c>
      <c r="AG1143" s="122" t="n">
        <v>144</v>
      </c>
      <c r="AH1143" s="122" t="n">
        <v>105</v>
      </c>
      <c r="AI1143" s="54">
        <f>IFERROR(AC1143/S1143,"")</f>
        <v/>
      </c>
      <c r="AJ1143" s="54">
        <f>IFERROR(AH1143/S1143,"")</f>
        <v/>
      </c>
      <c r="AK1143" s="122" t="n">
        <v>147</v>
      </c>
      <c r="AL1143" s="122" t="n">
        <v>0</v>
      </c>
      <c r="AM1143" s="124">
        <f>IFERROR(AL1143/AA1143,"")</f>
        <v/>
      </c>
      <c r="AN1143" s="125">
        <f>IFERROR(R1143/AL1143,"")</f>
        <v/>
      </c>
      <c r="AO1143" s="122" t="n">
        <v>0</v>
      </c>
      <c r="AP1143" s="54">
        <f>IFERROR(AO1143/AL1143,"")</f>
        <v/>
      </c>
      <c r="AQ1143" s="125">
        <f>IFERROR(R1143/AO1143,"")</f>
        <v/>
      </c>
      <c r="AR1143" s="122" t="n">
        <v>0</v>
      </c>
      <c r="AS1143" s="122" t="n">
        <v>0</v>
      </c>
      <c r="AT1143" s="122">
        <f>AL1143+AR1143</f>
        <v/>
      </c>
      <c r="AU1143" s="125">
        <f>IFERROR(AO1143*Assumptions!$C$26*Assumptions!$C$27*INDEX(Assumptions!$C$18:$C$21,MATCH(H1143,Assumptions!$B$18:$B$21,0)),0)</f>
        <v/>
      </c>
    </row>
    <row r="1144">
      <c r="A1144" s="120" t="n">
        <v>46265</v>
      </c>
      <c r="B1144" s="66" t="inlineStr">
        <is>
          <t>Wk 36</t>
        </is>
      </c>
      <c r="C1144" s="66" t="inlineStr">
        <is>
          <t>Mon</t>
        </is>
      </c>
      <c r="D1144" s="66" t="inlineStr">
        <is>
          <t>TikTok</t>
        </is>
      </c>
      <c r="E1144" s="66" t="inlineStr">
        <is>
          <t>TikTok</t>
        </is>
      </c>
      <c r="F1144" s="66" t="inlineStr">
        <is>
          <t>LEP_ZA_AUG26_TT_TD_AMUR_CONV</t>
        </is>
      </c>
      <c r="G1144" s="66" t="inlineStr">
        <is>
          <t>Website Conversions</t>
        </is>
      </c>
      <c r="H1144" s="66" t="inlineStr">
        <is>
          <t>AMUR</t>
        </is>
      </c>
      <c r="I1144" s="66" t="inlineStr">
        <is>
          <t>0% Deposit</t>
        </is>
      </c>
      <c r="J1144" s="66" t="inlineStr">
        <is>
          <t>TT_AMUR_INT_AUTO_ZA</t>
        </is>
      </c>
      <c r="K1144" s="66" t="inlineStr">
        <is>
          <t>Interest</t>
        </is>
      </c>
      <c r="L1144" s="66" t="inlineStr">
        <is>
          <t>TT_AMUR_TREND_12s_Reveal_v2</t>
        </is>
      </c>
      <c r="M1144" s="66" t="inlineStr">
        <is>
          <t>Video 9:16</t>
        </is>
      </c>
      <c r="N1144" s="66" t="inlineStr">
        <is>
          <t>Do it for the R3 599</t>
        </is>
      </c>
      <c r="O1144" s="66" t="inlineStr">
        <is>
          <t>Auction - Lowest Cost</t>
        </is>
      </c>
      <c r="P1144" s="66" t="inlineStr">
        <is>
          <t>Complete Payment / Lead</t>
        </is>
      </c>
      <c r="Q1144" s="66" t="inlineStr">
        <is>
          <t>https://www.lepas-sa.co.za/offers/amur</t>
        </is>
      </c>
      <c r="R1144" s="121" t="n">
        <v>146.59</v>
      </c>
      <c r="S1144" s="122" t="n">
        <v>3138</v>
      </c>
      <c r="T1144" s="122" t="n">
        <v>1511</v>
      </c>
      <c r="U1144" s="123">
        <f>IFERROR(S1144/T1144,"")</f>
        <v/>
      </c>
      <c r="V1144" s="122" t="n">
        <v>42</v>
      </c>
      <c r="W1144" s="122" t="n">
        <v>30</v>
      </c>
      <c r="X1144" s="124">
        <f>IFERROR(W1144/S1144,"")</f>
        <v/>
      </c>
      <c r="Y1144" s="121">
        <f>IFERROR(R1144/W1144,"")</f>
        <v/>
      </c>
      <c r="Z1144" s="121">
        <f>IFERROR(R1144/S1144*1000,"")</f>
        <v/>
      </c>
      <c r="AA1144" s="122" t="n">
        <v>19</v>
      </c>
      <c r="AB1144" s="54">
        <f>IFERROR(AA1144/W1144,"")</f>
        <v/>
      </c>
      <c r="AC1144" s="122" t="n">
        <v>1145</v>
      </c>
      <c r="AD1144" s="122" t="n">
        <v>584</v>
      </c>
      <c r="AE1144" s="122" t="n">
        <v>509</v>
      </c>
      <c r="AF1144" s="122" t="n">
        <v>323</v>
      </c>
      <c r="AG1144" s="122" t="n">
        <v>253</v>
      </c>
      <c r="AH1144" s="122" t="n">
        <v>173</v>
      </c>
      <c r="AI1144" s="54">
        <f>IFERROR(AC1144/S1144,"")</f>
        <v/>
      </c>
      <c r="AJ1144" s="54">
        <f>IFERROR(AH1144/S1144,"")</f>
        <v/>
      </c>
      <c r="AK1144" s="122" t="n">
        <v>93</v>
      </c>
      <c r="AL1144" s="122" t="n">
        <v>0</v>
      </c>
      <c r="AM1144" s="124">
        <f>IFERROR(AL1144/AA1144,"")</f>
        <v/>
      </c>
      <c r="AN1144" s="125">
        <f>IFERROR(R1144/AL1144,"")</f>
        <v/>
      </c>
      <c r="AO1144" s="122" t="n">
        <v>0</v>
      </c>
      <c r="AP1144" s="54">
        <f>IFERROR(AO1144/AL1144,"")</f>
        <v/>
      </c>
      <c r="AQ1144" s="125">
        <f>IFERROR(R1144/AO1144,"")</f>
        <v/>
      </c>
      <c r="AR1144" s="122" t="n">
        <v>0</v>
      </c>
      <c r="AS1144" s="122" t="n">
        <v>0</v>
      </c>
      <c r="AT1144" s="122">
        <f>AL1144+AR1144</f>
        <v/>
      </c>
      <c r="AU1144" s="125">
        <f>IFERROR(AO1144*Assumptions!$C$26*Assumptions!$C$27*INDEX(Assumptions!$C$18:$C$21,MATCH(H1144,Assumptions!$B$18:$B$21,0)),0)</f>
        <v/>
      </c>
    </row>
    <row r="1145">
      <c r="A1145" s="120" t="n">
        <v>46235</v>
      </c>
      <c r="B1145" s="66" t="inlineStr">
        <is>
          <t>Wk 31</t>
        </is>
      </c>
      <c r="C1145" s="66" t="inlineStr">
        <is>
          <t>Sat</t>
        </is>
      </c>
      <c r="D1145" s="66" t="inlineStr">
        <is>
          <t>TikTok</t>
        </is>
      </c>
      <c r="E1145" s="66" t="inlineStr">
        <is>
          <t>TikTok</t>
        </is>
      </c>
      <c r="F1145" s="66" t="inlineStr">
        <is>
          <t>LEP_ZA_AUG26_TT_TD_PANTERA_CONV</t>
        </is>
      </c>
      <c r="G1145" s="66" t="inlineStr">
        <is>
          <t>Website Conversions</t>
        </is>
      </c>
      <c r="H1145" s="66" t="inlineStr">
        <is>
          <t>PANTERA</t>
        </is>
      </c>
      <c r="I1145" s="66" t="inlineStr">
        <is>
          <t>0% Deposit</t>
        </is>
      </c>
      <c r="J1145" s="66" t="inlineStr">
        <is>
          <t>TT_PANTERA_LAL_ENGAGERS_ZA</t>
        </is>
      </c>
      <c r="K1145" s="66" t="inlineStr">
        <is>
          <t>Lookalike</t>
        </is>
      </c>
      <c r="L1145" s="66" t="inlineStr">
        <is>
          <t>TT_PANTERA_UGC_18s_NightRun_v1</t>
        </is>
      </c>
      <c r="M1145" s="66" t="inlineStr">
        <is>
          <t>Video 9:16</t>
        </is>
      </c>
      <c r="N1145" s="66" t="inlineStr">
        <is>
          <t>Night run in the PANTERA</t>
        </is>
      </c>
      <c r="O1145" s="66" t="inlineStr">
        <is>
          <t>Auction - Cost Cap</t>
        </is>
      </c>
      <c r="P1145" s="66" t="inlineStr">
        <is>
          <t>Complete Payment / Lead</t>
        </is>
      </c>
      <c r="Q1145" s="66" t="inlineStr">
        <is>
          <t>https://www.lepas-sa.co.za/offers/pantera</t>
        </is>
      </c>
      <c r="R1145" s="121" t="n">
        <v>254.73</v>
      </c>
      <c r="S1145" s="122" t="n">
        <v>7754</v>
      </c>
      <c r="T1145" s="122" t="n">
        <v>4601</v>
      </c>
      <c r="U1145" s="123">
        <f>IFERROR(S1145/T1145,"")</f>
        <v/>
      </c>
      <c r="V1145" s="122" t="n">
        <v>75</v>
      </c>
      <c r="W1145" s="122" t="n">
        <v>61</v>
      </c>
      <c r="X1145" s="124">
        <f>IFERROR(W1145/S1145,"")</f>
        <v/>
      </c>
      <c r="Y1145" s="121">
        <f>IFERROR(R1145/W1145,"")</f>
        <v/>
      </c>
      <c r="Z1145" s="121">
        <f>IFERROR(R1145/S1145*1000,"")</f>
        <v/>
      </c>
      <c r="AA1145" s="122" t="n">
        <v>41</v>
      </c>
      <c r="AB1145" s="54">
        <f>IFERROR(AA1145/W1145,"")</f>
        <v/>
      </c>
      <c r="AC1145" s="122" t="n">
        <v>2047</v>
      </c>
      <c r="AD1145" s="122" t="n">
        <v>978</v>
      </c>
      <c r="AE1145" s="122" t="n">
        <v>739</v>
      </c>
      <c r="AF1145" s="122" t="n">
        <v>438</v>
      </c>
      <c r="AG1145" s="122" t="n">
        <v>332</v>
      </c>
      <c r="AH1145" s="122" t="n">
        <v>243</v>
      </c>
      <c r="AI1145" s="54">
        <f>IFERROR(AC1145/S1145,"")</f>
        <v/>
      </c>
      <c r="AJ1145" s="54">
        <f>IFERROR(AH1145/S1145,"")</f>
        <v/>
      </c>
      <c r="AK1145" s="122" t="n">
        <v>174</v>
      </c>
      <c r="AL1145" s="122" t="n">
        <v>0</v>
      </c>
      <c r="AM1145" s="124">
        <f>IFERROR(AL1145/AA1145,"")</f>
        <v/>
      </c>
      <c r="AN1145" s="125">
        <f>IFERROR(R1145/AL1145,"")</f>
        <v/>
      </c>
      <c r="AO1145" s="122" t="n">
        <v>0</v>
      </c>
      <c r="AP1145" s="54">
        <f>IFERROR(AO1145/AL1145,"")</f>
        <v/>
      </c>
      <c r="AQ1145" s="125">
        <f>IFERROR(R1145/AO1145,"")</f>
        <v/>
      </c>
      <c r="AR1145" s="122" t="n">
        <v>0</v>
      </c>
      <c r="AS1145" s="122" t="n">
        <v>0</v>
      </c>
      <c r="AT1145" s="122">
        <f>AL1145+AR1145</f>
        <v/>
      </c>
      <c r="AU1145" s="125">
        <f>IFERROR(AO1145*Assumptions!$C$26*Assumptions!$C$27*INDEX(Assumptions!$C$18:$C$21,MATCH(H1145,Assumptions!$B$18:$B$21,0)),0)</f>
        <v/>
      </c>
    </row>
    <row r="1146">
      <c r="A1146" s="120" t="n">
        <v>46236</v>
      </c>
      <c r="B1146" s="66" t="inlineStr">
        <is>
          <t>Wk 31</t>
        </is>
      </c>
      <c r="C1146" s="66" t="inlineStr">
        <is>
          <t>Sun</t>
        </is>
      </c>
      <c r="D1146" s="66" t="inlineStr">
        <is>
          <t>TikTok</t>
        </is>
      </c>
      <c r="E1146" s="66" t="inlineStr">
        <is>
          <t>TikTok</t>
        </is>
      </c>
      <c r="F1146" s="66" t="inlineStr">
        <is>
          <t>LEP_ZA_AUG26_TT_TD_PANTERA_CONV</t>
        </is>
      </c>
      <c r="G1146" s="66" t="inlineStr">
        <is>
          <t>Website Conversions</t>
        </is>
      </c>
      <c r="H1146" s="66" t="inlineStr">
        <is>
          <t>PANTERA</t>
        </is>
      </c>
      <c r="I1146" s="66" t="inlineStr">
        <is>
          <t>0% Deposit</t>
        </is>
      </c>
      <c r="J1146" s="66" t="inlineStr">
        <is>
          <t>TT_PANTERA_LAL_ENGAGERS_ZA</t>
        </is>
      </c>
      <c r="K1146" s="66" t="inlineStr">
        <is>
          <t>Lookalike</t>
        </is>
      </c>
      <c r="L1146" s="66" t="inlineStr">
        <is>
          <t>TT_PANTERA_UGC_18s_NightRun_v1</t>
        </is>
      </c>
      <c r="M1146" s="66" t="inlineStr">
        <is>
          <t>Video 9:16</t>
        </is>
      </c>
      <c r="N1146" s="66" t="inlineStr">
        <is>
          <t>Night run in the PANTERA</t>
        </is>
      </c>
      <c r="O1146" s="66" t="inlineStr">
        <is>
          <t>Auction - Cost Cap</t>
        </is>
      </c>
      <c r="P1146" s="66" t="inlineStr">
        <is>
          <t>Complete Payment / Lead</t>
        </is>
      </c>
      <c r="Q1146" s="66" t="inlineStr">
        <is>
          <t>https://www.lepas-sa.co.za/offers/pantera</t>
        </is>
      </c>
      <c r="R1146" s="121" t="n">
        <v>204.62</v>
      </c>
      <c r="S1146" s="122" t="n">
        <v>6677</v>
      </c>
      <c r="T1146" s="122" t="n">
        <v>4980</v>
      </c>
      <c r="U1146" s="123">
        <f>IFERROR(S1146/T1146,"")</f>
        <v/>
      </c>
      <c r="V1146" s="122" t="n">
        <v>90</v>
      </c>
      <c r="W1146" s="122" t="n">
        <v>64</v>
      </c>
      <c r="X1146" s="124">
        <f>IFERROR(W1146/S1146,"")</f>
        <v/>
      </c>
      <c r="Y1146" s="121">
        <f>IFERROR(R1146/W1146,"")</f>
        <v/>
      </c>
      <c r="Z1146" s="121">
        <f>IFERROR(R1146/S1146*1000,"")</f>
        <v/>
      </c>
      <c r="AA1146" s="122" t="n">
        <v>47</v>
      </c>
      <c r="AB1146" s="54">
        <f>IFERROR(AA1146/W1146,"")</f>
        <v/>
      </c>
      <c r="AC1146" s="122" t="n">
        <v>1872</v>
      </c>
      <c r="AD1146" s="122" t="n">
        <v>997</v>
      </c>
      <c r="AE1146" s="122" t="n">
        <v>787</v>
      </c>
      <c r="AF1146" s="122" t="n">
        <v>437</v>
      </c>
      <c r="AG1146" s="122" t="n">
        <v>301</v>
      </c>
      <c r="AH1146" s="122" t="n">
        <v>199</v>
      </c>
      <c r="AI1146" s="54">
        <f>IFERROR(AC1146/S1146,"")</f>
        <v/>
      </c>
      <c r="AJ1146" s="54">
        <f>IFERROR(AH1146/S1146,"")</f>
        <v/>
      </c>
      <c r="AK1146" s="122" t="n">
        <v>148</v>
      </c>
      <c r="AL1146" s="122" t="n">
        <v>1</v>
      </c>
      <c r="AM1146" s="124">
        <f>IFERROR(AL1146/AA1146,"")</f>
        <v/>
      </c>
      <c r="AN1146" s="125">
        <f>IFERROR(R1146/AL1146,"")</f>
        <v/>
      </c>
      <c r="AO1146" s="122" t="n">
        <v>1</v>
      </c>
      <c r="AP1146" s="54">
        <f>IFERROR(AO1146/AL1146,"")</f>
        <v/>
      </c>
      <c r="AQ1146" s="125">
        <f>IFERROR(R1146/AO1146,"")</f>
        <v/>
      </c>
      <c r="AR1146" s="122" t="n">
        <v>0</v>
      </c>
      <c r="AS1146" s="122" t="n">
        <v>1</v>
      </c>
      <c r="AT1146" s="122">
        <f>AL1146+AR1146</f>
        <v/>
      </c>
      <c r="AU1146" s="125">
        <f>IFERROR(AO1146*Assumptions!$C$26*Assumptions!$C$27*INDEX(Assumptions!$C$18:$C$21,MATCH(H1146,Assumptions!$B$18:$B$21,0)),0)</f>
        <v/>
      </c>
    </row>
    <row r="1147">
      <c r="A1147" s="120" t="n">
        <v>46237</v>
      </c>
      <c r="B1147" s="66" t="inlineStr">
        <is>
          <t>Wk 32</t>
        </is>
      </c>
      <c r="C1147" s="66" t="inlineStr">
        <is>
          <t>Mon</t>
        </is>
      </c>
      <c r="D1147" s="66" t="inlineStr">
        <is>
          <t>TikTok</t>
        </is>
      </c>
      <c r="E1147" s="66" t="inlineStr">
        <is>
          <t>TikTok</t>
        </is>
      </c>
      <c r="F1147" s="66" t="inlineStr">
        <is>
          <t>LEP_ZA_AUG26_TT_TD_PANTERA_CONV</t>
        </is>
      </c>
      <c r="G1147" s="66" t="inlineStr">
        <is>
          <t>Website Conversions</t>
        </is>
      </c>
      <c r="H1147" s="66" t="inlineStr">
        <is>
          <t>PANTERA</t>
        </is>
      </c>
      <c r="I1147" s="66" t="inlineStr">
        <is>
          <t>0% Deposit</t>
        </is>
      </c>
      <c r="J1147" s="66" t="inlineStr">
        <is>
          <t>TT_PANTERA_LAL_ENGAGERS_ZA</t>
        </is>
      </c>
      <c r="K1147" s="66" t="inlineStr">
        <is>
          <t>Lookalike</t>
        </is>
      </c>
      <c r="L1147" s="66" t="inlineStr">
        <is>
          <t>TT_PANTERA_UGC_18s_NightRun_v1</t>
        </is>
      </c>
      <c r="M1147" s="66" t="inlineStr">
        <is>
          <t>Video 9:16</t>
        </is>
      </c>
      <c r="N1147" s="66" t="inlineStr">
        <is>
          <t>Night run in the PANTERA</t>
        </is>
      </c>
      <c r="O1147" s="66" t="inlineStr">
        <is>
          <t>Auction - Cost Cap</t>
        </is>
      </c>
      <c r="P1147" s="66" t="inlineStr">
        <is>
          <t>Complete Payment / Lead</t>
        </is>
      </c>
      <c r="Q1147" s="66" t="inlineStr">
        <is>
          <t>https://www.lepas-sa.co.za/offers/pantera</t>
        </is>
      </c>
      <c r="R1147" s="121" t="n">
        <v>219.97</v>
      </c>
      <c r="S1147" s="122" t="n">
        <v>4738</v>
      </c>
      <c r="T1147" s="122" t="n">
        <v>3406</v>
      </c>
      <c r="U1147" s="123">
        <f>IFERROR(S1147/T1147,"")</f>
        <v/>
      </c>
      <c r="V1147" s="122" t="n">
        <v>57</v>
      </c>
      <c r="W1147" s="122" t="n">
        <v>45</v>
      </c>
      <c r="X1147" s="124">
        <f>IFERROR(W1147/S1147,"")</f>
        <v/>
      </c>
      <c r="Y1147" s="121">
        <f>IFERROR(R1147/W1147,"")</f>
        <v/>
      </c>
      <c r="Z1147" s="121">
        <f>IFERROR(R1147/S1147*1000,"")</f>
        <v/>
      </c>
      <c r="AA1147" s="122" t="n">
        <v>33</v>
      </c>
      <c r="AB1147" s="54">
        <f>IFERROR(AA1147/W1147,"")</f>
        <v/>
      </c>
      <c r="AC1147" s="122" t="n">
        <v>1111</v>
      </c>
      <c r="AD1147" s="122" t="n">
        <v>528</v>
      </c>
      <c r="AE1147" s="122" t="n">
        <v>602</v>
      </c>
      <c r="AF1147" s="122" t="n">
        <v>348</v>
      </c>
      <c r="AG1147" s="122" t="n">
        <v>252</v>
      </c>
      <c r="AH1147" s="122" t="n">
        <v>176</v>
      </c>
      <c r="AI1147" s="54">
        <f>IFERROR(AC1147/S1147,"")</f>
        <v/>
      </c>
      <c r="AJ1147" s="54">
        <f>IFERROR(AH1147/S1147,"")</f>
        <v/>
      </c>
      <c r="AK1147" s="122" t="n">
        <v>121</v>
      </c>
      <c r="AL1147" s="122" t="n">
        <v>1</v>
      </c>
      <c r="AM1147" s="124">
        <f>IFERROR(AL1147/AA1147,"")</f>
        <v/>
      </c>
      <c r="AN1147" s="125">
        <f>IFERROR(R1147/AL1147,"")</f>
        <v/>
      </c>
      <c r="AO1147" s="122" t="n">
        <v>1</v>
      </c>
      <c r="AP1147" s="54">
        <f>IFERROR(AO1147/AL1147,"")</f>
        <v/>
      </c>
      <c r="AQ1147" s="125">
        <f>IFERROR(R1147/AO1147,"")</f>
        <v/>
      </c>
      <c r="AR1147" s="122" t="n">
        <v>0</v>
      </c>
      <c r="AS1147" s="122" t="n">
        <v>0</v>
      </c>
      <c r="AT1147" s="122">
        <f>AL1147+AR1147</f>
        <v/>
      </c>
      <c r="AU1147" s="125">
        <f>IFERROR(AO1147*Assumptions!$C$26*Assumptions!$C$27*INDEX(Assumptions!$C$18:$C$21,MATCH(H1147,Assumptions!$B$18:$B$21,0)),0)</f>
        <v/>
      </c>
    </row>
    <row r="1148">
      <c r="A1148" s="120" t="n">
        <v>46238</v>
      </c>
      <c r="B1148" s="66" t="inlineStr">
        <is>
          <t>Wk 32</t>
        </is>
      </c>
      <c r="C1148" s="66" t="inlineStr">
        <is>
          <t>Tue</t>
        </is>
      </c>
      <c r="D1148" s="66" t="inlineStr">
        <is>
          <t>TikTok</t>
        </is>
      </c>
      <c r="E1148" s="66" t="inlineStr">
        <is>
          <t>TikTok</t>
        </is>
      </c>
      <c r="F1148" s="66" t="inlineStr">
        <is>
          <t>LEP_ZA_AUG26_TT_TD_PANTERA_CONV</t>
        </is>
      </c>
      <c r="G1148" s="66" t="inlineStr">
        <is>
          <t>Website Conversions</t>
        </is>
      </c>
      <c r="H1148" s="66" t="inlineStr">
        <is>
          <t>PANTERA</t>
        </is>
      </c>
      <c r="I1148" s="66" t="inlineStr">
        <is>
          <t>0% Deposit</t>
        </is>
      </c>
      <c r="J1148" s="66" t="inlineStr">
        <is>
          <t>TT_PANTERA_LAL_ENGAGERS_ZA</t>
        </is>
      </c>
      <c r="K1148" s="66" t="inlineStr">
        <is>
          <t>Lookalike</t>
        </is>
      </c>
      <c r="L1148" s="66" t="inlineStr">
        <is>
          <t>TT_PANTERA_UGC_18s_NightRun_v1</t>
        </is>
      </c>
      <c r="M1148" s="66" t="inlineStr">
        <is>
          <t>Video 9:16</t>
        </is>
      </c>
      <c r="N1148" s="66" t="inlineStr">
        <is>
          <t>Night run in the PANTERA</t>
        </is>
      </c>
      <c r="O1148" s="66" t="inlineStr">
        <is>
          <t>Auction - Cost Cap</t>
        </is>
      </c>
      <c r="P1148" s="66" t="inlineStr">
        <is>
          <t>Complete Payment / Lead</t>
        </is>
      </c>
      <c r="Q1148" s="66" t="inlineStr">
        <is>
          <t>https://www.lepas-sa.co.za/offers/pantera</t>
        </is>
      </c>
      <c r="R1148" s="121" t="n">
        <v>220.37</v>
      </c>
      <c r="S1148" s="122" t="n">
        <v>6004</v>
      </c>
      <c r="T1148" s="122" t="n">
        <v>3496</v>
      </c>
      <c r="U1148" s="123">
        <f>IFERROR(S1148/T1148,"")</f>
        <v/>
      </c>
      <c r="V1148" s="122" t="n">
        <v>115</v>
      </c>
      <c r="W1148" s="122" t="n">
        <v>94</v>
      </c>
      <c r="X1148" s="124">
        <f>IFERROR(W1148/S1148,"")</f>
        <v/>
      </c>
      <c r="Y1148" s="121">
        <f>IFERROR(R1148/W1148,"")</f>
        <v/>
      </c>
      <c r="Z1148" s="121">
        <f>IFERROR(R1148/S1148*1000,"")</f>
        <v/>
      </c>
      <c r="AA1148" s="122" t="n">
        <v>61</v>
      </c>
      <c r="AB1148" s="54">
        <f>IFERROR(AA1148/W1148,"")</f>
        <v/>
      </c>
      <c r="AC1148" s="122" t="n">
        <v>1759</v>
      </c>
      <c r="AD1148" s="122" t="n">
        <v>999</v>
      </c>
      <c r="AE1148" s="122" t="n">
        <v>925</v>
      </c>
      <c r="AF1148" s="122" t="n">
        <v>566</v>
      </c>
      <c r="AG1148" s="122" t="n">
        <v>400</v>
      </c>
      <c r="AH1148" s="122" t="n">
        <v>237</v>
      </c>
      <c r="AI1148" s="54">
        <f>IFERROR(AC1148/S1148,"")</f>
        <v/>
      </c>
      <c r="AJ1148" s="54">
        <f>IFERROR(AH1148/S1148,"")</f>
        <v/>
      </c>
      <c r="AK1148" s="122" t="n">
        <v>333</v>
      </c>
      <c r="AL1148" s="122" t="n">
        <v>1</v>
      </c>
      <c r="AM1148" s="124">
        <f>IFERROR(AL1148/AA1148,"")</f>
        <v/>
      </c>
      <c r="AN1148" s="125">
        <f>IFERROR(R1148/AL1148,"")</f>
        <v/>
      </c>
      <c r="AO1148" s="122" t="n">
        <v>1</v>
      </c>
      <c r="AP1148" s="54">
        <f>IFERROR(AO1148/AL1148,"")</f>
        <v/>
      </c>
      <c r="AQ1148" s="125">
        <f>IFERROR(R1148/AO1148,"")</f>
        <v/>
      </c>
      <c r="AR1148" s="122" t="n">
        <v>1</v>
      </c>
      <c r="AS1148" s="122" t="n">
        <v>0</v>
      </c>
      <c r="AT1148" s="122">
        <f>AL1148+AR1148</f>
        <v/>
      </c>
      <c r="AU1148" s="125">
        <f>IFERROR(AO1148*Assumptions!$C$26*Assumptions!$C$27*INDEX(Assumptions!$C$18:$C$21,MATCH(H1148,Assumptions!$B$18:$B$21,0)),0)</f>
        <v/>
      </c>
    </row>
    <row r="1149">
      <c r="A1149" s="120" t="n">
        <v>46239</v>
      </c>
      <c r="B1149" s="66" t="inlineStr">
        <is>
          <t>Wk 32</t>
        </is>
      </c>
      <c r="C1149" s="66" t="inlineStr">
        <is>
          <t>Wed</t>
        </is>
      </c>
      <c r="D1149" s="66" t="inlineStr">
        <is>
          <t>TikTok</t>
        </is>
      </c>
      <c r="E1149" s="66" t="inlineStr">
        <is>
          <t>TikTok</t>
        </is>
      </c>
      <c r="F1149" s="66" t="inlineStr">
        <is>
          <t>LEP_ZA_AUG26_TT_TD_PANTERA_CONV</t>
        </is>
      </c>
      <c r="G1149" s="66" t="inlineStr">
        <is>
          <t>Website Conversions</t>
        </is>
      </c>
      <c r="H1149" s="66" t="inlineStr">
        <is>
          <t>PANTERA</t>
        </is>
      </c>
      <c r="I1149" s="66" t="inlineStr">
        <is>
          <t>0% Deposit</t>
        </is>
      </c>
      <c r="J1149" s="66" t="inlineStr">
        <is>
          <t>TT_PANTERA_LAL_ENGAGERS_ZA</t>
        </is>
      </c>
      <c r="K1149" s="66" t="inlineStr">
        <is>
          <t>Lookalike</t>
        </is>
      </c>
      <c r="L1149" s="66" t="inlineStr">
        <is>
          <t>TT_PANTERA_UGC_18s_NightRun_v1</t>
        </is>
      </c>
      <c r="M1149" s="66" t="inlineStr">
        <is>
          <t>Video 9:16</t>
        </is>
      </c>
      <c r="N1149" s="66" t="inlineStr">
        <is>
          <t>Night run in the PANTERA</t>
        </is>
      </c>
      <c r="O1149" s="66" t="inlineStr">
        <is>
          <t>Auction - Cost Cap</t>
        </is>
      </c>
      <c r="P1149" s="66" t="inlineStr">
        <is>
          <t>Complete Payment / Lead</t>
        </is>
      </c>
      <c r="Q1149" s="66" t="inlineStr">
        <is>
          <t>https://www.lepas-sa.co.za/offers/pantera</t>
        </is>
      </c>
      <c r="R1149" s="121" t="n">
        <v>249.31</v>
      </c>
      <c r="S1149" s="122" t="n">
        <v>7029</v>
      </c>
      <c r="T1149" s="122" t="n">
        <v>5531</v>
      </c>
      <c r="U1149" s="123">
        <f>IFERROR(S1149/T1149,"")</f>
        <v/>
      </c>
      <c r="V1149" s="122" t="n">
        <v>131</v>
      </c>
      <c r="W1149" s="122" t="n">
        <v>108</v>
      </c>
      <c r="X1149" s="124">
        <f>IFERROR(W1149/S1149,"")</f>
        <v/>
      </c>
      <c r="Y1149" s="121">
        <f>IFERROR(R1149/W1149,"")</f>
        <v/>
      </c>
      <c r="Z1149" s="121">
        <f>IFERROR(R1149/S1149*1000,"")</f>
        <v/>
      </c>
      <c r="AA1149" s="122" t="n">
        <v>75</v>
      </c>
      <c r="AB1149" s="54">
        <f>IFERROR(AA1149/W1149,"")</f>
        <v/>
      </c>
      <c r="AC1149" s="122" t="n">
        <v>1846</v>
      </c>
      <c r="AD1149" s="122" t="n">
        <v>1160</v>
      </c>
      <c r="AE1149" s="122" t="n">
        <v>864</v>
      </c>
      <c r="AF1149" s="122" t="n">
        <v>513</v>
      </c>
      <c r="AG1149" s="122" t="n">
        <v>401</v>
      </c>
      <c r="AH1149" s="122" t="n">
        <v>223</v>
      </c>
      <c r="AI1149" s="54">
        <f>IFERROR(AC1149/S1149,"")</f>
        <v/>
      </c>
      <c r="AJ1149" s="54">
        <f>IFERROR(AH1149/S1149,"")</f>
        <v/>
      </c>
      <c r="AK1149" s="122" t="n">
        <v>339</v>
      </c>
      <c r="AL1149" s="122" t="n">
        <v>2</v>
      </c>
      <c r="AM1149" s="124">
        <f>IFERROR(AL1149/AA1149,"")</f>
        <v/>
      </c>
      <c r="AN1149" s="125">
        <f>IFERROR(R1149/AL1149,"")</f>
        <v/>
      </c>
      <c r="AO1149" s="122" t="n">
        <v>1</v>
      </c>
      <c r="AP1149" s="54">
        <f>IFERROR(AO1149/AL1149,"")</f>
        <v/>
      </c>
      <c r="AQ1149" s="125">
        <f>IFERROR(R1149/AO1149,"")</f>
        <v/>
      </c>
      <c r="AR1149" s="122" t="n">
        <v>1</v>
      </c>
      <c r="AS1149" s="122" t="n">
        <v>1</v>
      </c>
      <c r="AT1149" s="122">
        <f>AL1149+AR1149</f>
        <v/>
      </c>
      <c r="AU1149" s="125">
        <f>IFERROR(AO1149*Assumptions!$C$26*Assumptions!$C$27*INDEX(Assumptions!$C$18:$C$21,MATCH(H1149,Assumptions!$B$18:$B$21,0)),0)</f>
        <v/>
      </c>
    </row>
    <row r="1150">
      <c r="A1150" s="120" t="n">
        <v>46240</v>
      </c>
      <c r="B1150" s="66" t="inlineStr">
        <is>
          <t>Wk 32</t>
        </is>
      </c>
      <c r="C1150" s="66" t="inlineStr">
        <is>
          <t>Thu</t>
        </is>
      </c>
      <c r="D1150" s="66" t="inlineStr">
        <is>
          <t>TikTok</t>
        </is>
      </c>
      <c r="E1150" s="66" t="inlineStr">
        <is>
          <t>TikTok</t>
        </is>
      </c>
      <c r="F1150" s="66" t="inlineStr">
        <is>
          <t>LEP_ZA_AUG26_TT_TD_PANTERA_CONV</t>
        </is>
      </c>
      <c r="G1150" s="66" t="inlineStr">
        <is>
          <t>Website Conversions</t>
        </is>
      </c>
      <c r="H1150" s="66" t="inlineStr">
        <is>
          <t>PANTERA</t>
        </is>
      </c>
      <c r="I1150" s="66" t="inlineStr">
        <is>
          <t>0% Deposit</t>
        </is>
      </c>
      <c r="J1150" s="66" t="inlineStr">
        <is>
          <t>TT_PANTERA_LAL_ENGAGERS_ZA</t>
        </is>
      </c>
      <c r="K1150" s="66" t="inlineStr">
        <is>
          <t>Lookalike</t>
        </is>
      </c>
      <c r="L1150" s="66" t="inlineStr">
        <is>
          <t>TT_PANTERA_UGC_18s_NightRun_v1</t>
        </is>
      </c>
      <c r="M1150" s="66" t="inlineStr">
        <is>
          <t>Video 9:16</t>
        </is>
      </c>
      <c r="N1150" s="66" t="inlineStr">
        <is>
          <t>Night run in the PANTERA</t>
        </is>
      </c>
      <c r="O1150" s="66" t="inlineStr">
        <is>
          <t>Auction - Cost Cap</t>
        </is>
      </c>
      <c r="P1150" s="66" t="inlineStr">
        <is>
          <t>Complete Payment / Lead</t>
        </is>
      </c>
      <c r="Q1150" s="66" t="inlineStr">
        <is>
          <t>https://www.lepas-sa.co.za/offers/pantera</t>
        </is>
      </c>
      <c r="R1150" s="121" t="n">
        <v>260.43</v>
      </c>
      <c r="S1150" s="122" t="n">
        <v>7643</v>
      </c>
      <c r="T1150" s="122" t="n">
        <v>4340</v>
      </c>
      <c r="U1150" s="123">
        <f>IFERROR(S1150/T1150,"")</f>
        <v/>
      </c>
      <c r="V1150" s="122" t="n">
        <v>83</v>
      </c>
      <c r="W1150" s="122" t="n">
        <v>70</v>
      </c>
      <c r="X1150" s="124">
        <f>IFERROR(W1150/S1150,"")</f>
        <v/>
      </c>
      <c r="Y1150" s="121">
        <f>IFERROR(R1150/W1150,"")</f>
        <v/>
      </c>
      <c r="Z1150" s="121">
        <f>IFERROR(R1150/S1150*1000,"")</f>
        <v/>
      </c>
      <c r="AA1150" s="122" t="n">
        <v>50</v>
      </c>
      <c r="AB1150" s="54">
        <f>IFERROR(AA1150/W1150,"")</f>
        <v/>
      </c>
      <c r="AC1150" s="122" t="n">
        <v>1738</v>
      </c>
      <c r="AD1150" s="122" t="n">
        <v>944</v>
      </c>
      <c r="AE1150" s="122" t="n">
        <v>795</v>
      </c>
      <c r="AF1150" s="122" t="n">
        <v>442</v>
      </c>
      <c r="AG1150" s="122" t="n">
        <v>290</v>
      </c>
      <c r="AH1150" s="122" t="n">
        <v>195</v>
      </c>
      <c r="AI1150" s="54">
        <f>IFERROR(AC1150/S1150,"")</f>
        <v/>
      </c>
      <c r="AJ1150" s="54">
        <f>IFERROR(AH1150/S1150,"")</f>
        <v/>
      </c>
      <c r="AK1150" s="122" t="n">
        <v>272</v>
      </c>
      <c r="AL1150" s="122" t="n">
        <v>1</v>
      </c>
      <c r="AM1150" s="124">
        <f>IFERROR(AL1150/AA1150,"")</f>
        <v/>
      </c>
      <c r="AN1150" s="125">
        <f>IFERROR(R1150/AL1150,"")</f>
        <v/>
      </c>
      <c r="AO1150" s="122" t="n">
        <v>1</v>
      </c>
      <c r="AP1150" s="54">
        <f>IFERROR(AO1150/AL1150,"")</f>
        <v/>
      </c>
      <c r="AQ1150" s="125">
        <f>IFERROR(R1150/AO1150,"")</f>
        <v/>
      </c>
      <c r="AR1150" s="122" t="n">
        <v>1</v>
      </c>
      <c r="AS1150" s="122" t="n">
        <v>1</v>
      </c>
      <c r="AT1150" s="122">
        <f>AL1150+AR1150</f>
        <v/>
      </c>
      <c r="AU1150" s="125">
        <f>IFERROR(AO1150*Assumptions!$C$26*Assumptions!$C$27*INDEX(Assumptions!$C$18:$C$21,MATCH(H1150,Assumptions!$B$18:$B$21,0)),0)</f>
        <v/>
      </c>
    </row>
    <row r="1151">
      <c r="A1151" s="120" t="n">
        <v>46241</v>
      </c>
      <c r="B1151" s="66" t="inlineStr">
        <is>
          <t>Wk 32</t>
        </is>
      </c>
      <c r="C1151" s="66" t="inlineStr">
        <is>
          <t>Fri</t>
        </is>
      </c>
      <c r="D1151" s="66" t="inlineStr">
        <is>
          <t>TikTok</t>
        </is>
      </c>
      <c r="E1151" s="66" t="inlineStr">
        <is>
          <t>TikTok</t>
        </is>
      </c>
      <c r="F1151" s="66" t="inlineStr">
        <is>
          <t>LEP_ZA_AUG26_TT_TD_PANTERA_CONV</t>
        </is>
      </c>
      <c r="G1151" s="66" t="inlineStr">
        <is>
          <t>Website Conversions</t>
        </is>
      </c>
      <c r="H1151" s="66" t="inlineStr">
        <is>
          <t>PANTERA</t>
        </is>
      </c>
      <c r="I1151" s="66" t="inlineStr">
        <is>
          <t>0% Deposit</t>
        </is>
      </c>
      <c r="J1151" s="66" t="inlineStr">
        <is>
          <t>TT_PANTERA_LAL_ENGAGERS_ZA</t>
        </is>
      </c>
      <c r="K1151" s="66" t="inlineStr">
        <is>
          <t>Lookalike</t>
        </is>
      </c>
      <c r="L1151" s="66" t="inlineStr">
        <is>
          <t>TT_PANTERA_UGC_18s_NightRun_v1</t>
        </is>
      </c>
      <c r="M1151" s="66" t="inlineStr">
        <is>
          <t>Video 9:16</t>
        </is>
      </c>
      <c r="N1151" s="66" t="inlineStr">
        <is>
          <t>Night run in the PANTERA</t>
        </is>
      </c>
      <c r="O1151" s="66" t="inlineStr">
        <is>
          <t>Auction - Cost Cap</t>
        </is>
      </c>
      <c r="P1151" s="66" t="inlineStr">
        <is>
          <t>Complete Payment / Lead</t>
        </is>
      </c>
      <c r="Q1151" s="66" t="inlineStr">
        <is>
          <t>https://www.lepas-sa.co.za/offers/pantera</t>
        </is>
      </c>
      <c r="R1151" s="121" t="n">
        <v>276.25</v>
      </c>
      <c r="S1151" s="122" t="n">
        <v>6669</v>
      </c>
      <c r="T1151" s="122" t="n">
        <v>4053</v>
      </c>
      <c r="U1151" s="123">
        <f>IFERROR(S1151/T1151,"")</f>
        <v/>
      </c>
      <c r="V1151" s="122" t="n">
        <v>92</v>
      </c>
      <c r="W1151" s="122" t="n">
        <v>74</v>
      </c>
      <c r="X1151" s="124">
        <f>IFERROR(W1151/S1151,"")</f>
        <v/>
      </c>
      <c r="Y1151" s="121">
        <f>IFERROR(R1151/W1151,"")</f>
        <v/>
      </c>
      <c r="Z1151" s="121">
        <f>IFERROR(R1151/S1151*1000,"")</f>
        <v/>
      </c>
      <c r="AA1151" s="122" t="n">
        <v>55</v>
      </c>
      <c r="AB1151" s="54">
        <f>IFERROR(AA1151/W1151,"")</f>
        <v/>
      </c>
      <c r="AC1151" s="122" t="n">
        <v>2124</v>
      </c>
      <c r="AD1151" s="122" t="n">
        <v>1271</v>
      </c>
      <c r="AE1151" s="122" t="n">
        <v>967</v>
      </c>
      <c r="AF1151" s="122" t="n">
        <v>564</v>
      </c>
      <c r="AG1151" s="122" t="n">
        <v>441</v>
      </c>
      <c r="AH1151" s="122" t="n">
        <v>243</v>
      </c>
      <c r="AI1151" s="54">
        <f>IFERROR(AC1151/S1151,"")</f>
        <v/>
      </c>
      <c r="AJ1151" s="54">
        <f>IFERROR(AH1151/S1151,"")</f>
        <v/>
      </c>
      <c r="AK1151" s="122" t="n">
        <v>267</v>
      </c>
      <c r="AL1151" s="122" t="n">
        <v>1</v>
      </c>
      <c r="AM1151" s="124">
        <f>IFERROR(AL1151/AA1151,"")</f>
        <v/>
      </c>
      <c r="AN1151" s="125">
        <f>IFERROR(R1151/AL1151,"")</f>
        <v/>
      </c>
      <c r="AO1151" s="122" t="n">
        <v>1</v>
      </c>
      <c r="AP1151" s="54">
        <f>IFERROR(AO1151/AL1151,"")</f>
        <v/>
      </c>
      <c r="AQ1151" s="125">
        <f>IFERROR(R1151/AO1151,"")</f>
        <v/>
      </c>
      <c r="AR1151" s="122" t="n">
        <v>0</v>
      </c>
      <c r="AS1151" s="122" t="n">
        <v>0</v>
      </c>
      <c r="AT1151" s="122">
        <f>AL1151+AR1151</f>
        <v/>
      </c>
      <c r="AU1151" s="125">
        <f>IFERROR(AO1151*Assumptions!$C$26*Assumptions!$C$27*INDEX(Assumptions!$C$18:$C$21,MATCH(H1151,Assumptions!$B$18:$B$21,0)),0)</f>
        <v/>
      </c>
    </row>
    <row r="1152">
      <c r="A1152" s="120" t="n">
        <v>46242</v>
      </c>
      <c r="B1152" s="66" t="inlineStr">
        <is>
          <t>Wk 32</t>
        </is>
      </c>
      <c r="C1152" s="66" t="inlineStr">
        <is>
          <t>Sat</t>
        </is>
      </c>
      <c r="D1152" s="66" t="inlineStr">
        <is>
          <t>TikTok</t>
        </is>
      </c>
      <c r="E1152" s="66" t="inlineStr">
        <is>
          <t>TikTok</t>
        </is>
      </c>
      <c r="F1152" s="66" t="inlineStr">
        <is>
          <t>LEP_ZA_AUG26_TT_TD_PANTERA_CONV</t>
        </is>
      </c>
      <c r="G1152" s="66" t="inlineStr">
        <is>
          <t>Website Conversions</t>
        </is>
      </c>
      <c r="H1152" s="66" t="inlineStr">
        <is>
          <t>PANTERA</t>
        </is>
      </c>
      <c r="I1152" s="66" t="inlineStr">
        <is>
          <t>0% Deposit</t>
        </is>
      </c>
      <c r="J1152" s="66" t="inlineStr">
        <is>
          <t>TT_PANTERA_LAL_ENGAGERS_ZA</t>
        </is>
      </c>
      <c r="K1152" s="66" t="inlineStr">
        <is>
          <t>Lookalike</t>
        </is>
      </c>
      <c r="L1152" s="66" t="inlineStr">
        <is>
          <t>TT_PANTERA_UGC_18s_NightRun_v1</t>
        </is>
      </c>
      <c r="M1152" s="66" t="inlineStr">
        <is>
          <t>Video 9:16</t>
        </is>
      </c>
      <c r="N1152" s="66" t="inlineStr">
        <is>
          <t>Night run in the PANTERA</t>
        </is>
      </c>
      <c r="O1152" s="66" t="inlineStr">
        <is>
          <t>Auction - Cost Cap</t>
        </is>
      </c>
      <c r="P1152" s="66" t="inlineStr">
        <is>
          <t>Complete Payment / Lead</t>
        </is>
      </c>
      <c r="Q1152" s="66" t="inlineStr">
        <is>
          <t>https://www.lepas-sa.co.za/offers/pantera</t>
        </is>
      </c>
      <c r="R1152" s="121" t="n">
        <v>310.92</v>
      </c>
      <c r="S1152" s="122" t="n">
        <v>6467</v>
      </c>
      <c r="T1152" s="122" t="n">
        <v>3508</v>
      </c>
      <c r="U1152" s="123">
        <f>IFERROR(S1152/T1152,"")</f>
        <v/>
      </c>
      <c r="V1152" s="122" t="n">
        <v>90</v>
      </c>
      <c r="W1152" s="122" t="n">
        <v>67</v>
      </c>
      <c r="X1152" s="124">
        <f>IFERROR(W1152/S1152,"")</f>
        <v/>
      </c>
      <c r="Y1152" s="121">
        <f>IFERROR(R1152/W1152,"")</f>
        <v/>
      </c>
      <c r="Z1152" s="121">
        <f>IFERROR(R1152/S1152*1000,"")</f>
        <v/>
      </c>
      <c r="AA1152" s="122" t="n">
        <v>49</v>
      </c>
      <c r="AB1152" s="54">
        <f>IFERROR(AA1152/W1152,"")</f>
        <v/>
      </c>
      <c r="AC1152" s="122" t="n">
        <v>2357</v>
      </c>
      <c r="AD1152" s="122" t="n">
        <v>1204</v>
      </c>
      <c r="AE1152" s="122" t="n">
        <v>1050</v>
      </c>
      <c r="AF1152" s="122" t="n">
        <v>645</v>
      </c>
      <c r="AG1152" s="122" t="n">
        <v>439</v>
      </c>
      <c r="AH1152" s="122" t="n">
        <v>290</v>
      </c>
      <c r="AI1152" s="54">
        <f>IFERROR(AC1152/S1152,"")</f>
        <v/>
      </c>
      <c r="AJ1152" s="54">
        <f>IFERROR(AH1152/S1152,"")</f>
        <v/>
      </c>
      <c r="AK1152" s="122" t="n">
        <v>251</v>
      </c>
      <c r="AL1152" s="122" t="n">
        <v>0</v>
      </c>
      <c r="AM1152" s="124">
        <f>IFERROR(AL1152/AA1152,"")</f>
        <v/>
      </c>
      <c r="AN1152" s="125">
        <f>IFERROR(R1152/AL1152,"")</f>
        <v/>
      </c>
      <c r="AO1152" s="122" t="n">
        <v>0</v>
      </c>
      <c r="AP1152" s="54">
        <f>IFERROR(AO1152/AL1152,"")</f>
        <v/>
      </c>
      <c r="AQ1152" s="125">
        <f>IFERROR(R1152/AO1152,"")</f>
        <v/>
      </c>
      <c r="AR1152" s="122" t="n">
        <v>0</v>
      </c>
      <c r="AS1152" s="122" t="n">
        <v>0</v>
      </c>
      <c r="AT1152" s="122">
        <f>AL1152+AR1152</f>
        <v/>
      </c>
      <c r="AU1152" s="125">
        <f>IFERROR(AO1152*Assumptions!$C$26*Assumptions!$C$27*INDEX(Assumptions!$C$18:$C$21,MATCH(H1152,Assumptions!$B$18:$B$21,0)),0)</f>
        <v/>
      </c>
    </row>
    <row r="1153">
      <c r="A1153" s="120" t="n">
        <v>46243</v>
      </c>
      <c r="B1153" s="66" t="inlineStr">
        <is>
          <t>Wk 32</t>
        </is>
      </c>
      <c r="C1153" s="66" t="inlineStr">
        <is>
          <t>Sun</t>
        </is>
      </c>
      <c r="D1153" s="66" t="inlineStr">
        <is>
          <t>TikTok</t>
        </is>
      </c>
      <c r="E1153" s="66" t="inlineStr">
        <is>
          <t>TikTok</t>
        </is>
      </c>
      <c r="F1153" s="66" t="inlineStr">
        <is>
          <t>LEP_ZA_AUG26_TT_TD_PANTERA_CONV</t>
        </is>
      </c>
      <c r="G1153" s="66" t="inlineStr">
        <is>
          <t>Website Conversions</t>
        </is>
      </c>
      <c r="H1153" s="66" t="inlineStr">
        <is>
          <t>PANTERA</t>
        </is>
      </c>
      <c r="I1153" s="66" t="inlineStr">
        <is>
          <t>0% Deposit</t>
        </is>
      </c>
      <c r="J1153" s="66" t="inlineStr">
        <is>
          <t>TT_PANTERA_LAL_ENGAGERS_ZA</t>
        </is>
      </c>
      <c r="K1153" s="66" t="inlineStr">
        <is>
          <t>Lookalike</t>
        </is>
      </c>
      <c r="L1153" s="66" t="inlineStr">
        <is>
          <t>TT_PANTERA_UGC_18s_NightRun_v1</t>
        </is>
      </c>
      <c r="M1153" s="66" t="inlineStr">
        <is>
          <t>Video 9:16</t>
        </is>
      </c>
      <c r="N1153" s="66" t="inlineStr">
        <is>
          <t>Night run in the PANTERA</t>
        </is>
      </c>
      <c r="O1153" s="66" t="inlineStr">
        <is>
          <t>Auction - Cost Cap</t>
        </is>
      </c>
      <c r="P1153" s="66" t="inlineStr">
        <is>
          <t>Complete Payment / Lead</t>
        </is>
      </c>
      <c r="Q1153" s="66" t="inlineStr">
        <is>
          <t>https://www.lepas-sa.co.za/offers/pantera</t>
        </is>
      </c>
      <c r="R1153" s="121" t="n">
        <v>206.16</v>
      </c>
      <c r="S1153" s="122" t="n">
        <v>4368</v>
      </c>
      <c r="T1153" s="122" t="n">
        <v>3206</v>
      </c>
      <c r="U1153" s="123">
        <f>IFERROR(S1153/T1153,"")</f>
        <v/>
      </c>
      <c r="V1153" s="122" t="n">
        <v>49</v>
      </c>
      <c r="W1153" s="122" t="n">
        <v>37</v>
      </c>
      <c r="X1153" s="124">
        <f>IFERROR(W1153/S1153,"")</f>
        <v/>
      </c>
      <c r="Y1153" s="121">
        <f>IFERROR(R1153/W1153,"")</f>
        <v/>
      </c>
      <c r="Z1153" s="121">
        <f>IFERROR(R1153/S1153*1000,"")</f>
        <v/>
      </c>
      <c r="AA1153" s="122" t="n">
        <v>26</v>
      </c>
      <c r="AB1153" s="54">
        <f>IFERROR(AA1153/W1153,"")</f>
        <v/>
      </c>
      <c r="AC1153" s="122" t="n">
        <v>1195</v>
      </c>
      <c r="AD1153" s="122" t="n">
        <v>579</v>
      </c>
      <c r="AE1153" s="122" t="n">
        <v>595</v>
      </c>
      <c r="AF1153" s="122" t="n">
        <v>335</v>
      </c>
      <c r="AG1153" s="122" t="n">
        <v>253</v>
      </c>
      <c r="AH1153" s="122" t="n">
        <v>144</v>
      </c>
      <c r="AI1153" s="54">
        <f>IFERROR(AC1153/S1153,"")</f>
        <v/>
      </c>
      <c r="AJ1153" s="54">
        <f>IFERROR(AH1153/S1153,"")</f>
        <v/>
      </c>
      <c r="AK1153" s="122" t="n">
        <v>108</v>
      </c>
      <c r="AL1153" s="122" t="n">
        <v>0</v>
      </c>
      <c r="AM1153" s="124">
        <f>IFERROR(AL1153/AA1153,"")</f>
        <v/>
      </c>
      <c r="AN1153" s="125">
        <f>IFERROR(R1153/AL1153,"")</f>
        <v/>
      </c>
      <c r="AO1153" s="122" t="n">
        <v>0</v>
      </c>
      <c r="AP1153" s="54">
        <f>IFERROR(AO1153/AL1153,"")</f>
        <v/>
      </c>
      <c r="AQ1153" s="125">
        <f>IFERROR(R1153/AO1153,"")</f>
        <v/>
      </c>
      <c r="AR1153" s="122" t="n">
        <v>0</v>
      </c>
      <c r="AS1153" s="122" t="n">
        <v>0</v>
      </c>
      <c r="AT1153" s="122">
        <f>AL1153+AR1153</f>
        <v/>
      </c>
      <c r="AU1153" s="125">
        <f>IFERROR(AO1153*Assumptions!$C$26*Assumptions!$C$27*INDEX(Assumptions!$C$18:$C$21,MATCH(H1153,Assumptions!$B$18:$B$21,0)),0)</f>
        <v/>
      </c>
    </row>
    <row r="1154">
      <c r="A1154" s="120" t="n">
        <v>46244</v>
      </c>
      <c r="B1154" s="66" t="inlineStr">
        <is>
          <t>Wk 33</t>
        </is>
      </c>
      <c r="C1154" s="66" t="inlineStr">
        <is>
          <t>Mon</t>
        </is>
      </c>
      <c r="D1154" s="66" t="inlineStr">
        <is>
          <t>TikTok</t>
        </is>
      </c>
      <c r="E1154" s="66" t="inlineStr">
        <is>
          <t>TikTok</t>
        </is>
      </c>
      <c r="F1154" s="66" t="inlineStr">
        <is>
          <t>LEP_ZA_AUG26_TT_TD_PANTERA_CONV</t>
        </is>
      </c>
      <c r="G1154" s="66" t="inlineStr">
        <is>
          <t>Website Conversions</t>
        </is>
      </c>
      <c r="H1154" s="66" t="inlineStr">
        <is>
          <t>PANTERA</t>
        </is>
      </c>
      <c r="I1154" s="66" t="inlineStr">
        <is>
          <t>0% Deposit</t>
        </is>
      </c>
      <c r="J1154" s="66" t="inlineStr">
        <is>
          <t>TT_PANTERA_LAL_ENGAGERS_ZA</t>
        </is>
      </c>
      <c r="K1154" s="66" t="inlineStr">
        <is>
          <t>Lookalike</t>
        </is>
      </c>
      <c r="L1154" s="66" t="inlineStr">
        <is>
          <t>TT_PANTERA_UGC_18s_NightRun_v1</t>
        </is>
      </c>
      <c r="M1154" s="66" t="inlineStr">
        <is>
          <t>Video 9:16</t>
        </is>
      </c>
      <c r="N1154" s="66" t="inlineStr">
        <is>
          <t>Night run in the PANTERA</t>
        </is>
      </c>
      <c r="O1154" s="66" t="inlineStr">
        <is>
          <t>Auction - Cost Cap</t>
        </is>
      </c>
      <c r="P1154" s="66" t="inlineStr">
        <is>
          <t>Complete Payment / Lead</t>
        </is>
      </c>
      <c r="Q1154" s="66" t="inlineStr">
        <is>
          <t>https://www.lepas-sa.co.za/offers/pantera</t>
        </is>
      </c>
      <c r="R1154" s="121" t="n">
        <v>235.2</v>
      </c>
      <c r="S1154" s="122" t="n">
        <v>5489</v>
      </c>
      <c r="T1154" s="122" t="n">
        <v>3405</v>
      </c>
      <c r="U1154" s="123">
        <f>IFERROR(S1154/T1154,"")</f>
        <v/>
      </c>
      <c r="V1154" s="122" t="n">
        <v>53</v>
      </c>
      <c r="W1154" s="122" t="n">
        <v>38</v>
      </c>
      <c r="X1154" s="124">
        <f>IFERROR(W1154/S1154,"")</f>
        <v/>
      </c>
      <c r="Y1154" s="121">
        <f>IFERROR(R1154/W1154,"")</f>
        <v/>
      </c>
      <c r="Z1154" s="121">
        <f>IFERROR(R1154/S1154*1000,"")</f>
        <v/>
      </c>
      <c r="AA1154" s="122" t="n">
        <v>27</v>
      </c>
      <c r="AB1154" s="54">
        <f>IFERROR(AA1154/W1154,"")</f>
        <v/>
      </c>
      <c r="AC1154" s="122" t="n">
        <v>1363</v>
      </c>
      <c r="AD1154" s="122" t="n">
        <v>692</v>
      </c>
      <c r="AE1154" s="122" t="n">
        <v>592</v>
      </c>
      <c r="AF1154" s="122" t="n">
        <v>337</v>
      </c>
      <c r="AG1154" s="122" t="n">
        <v>217</v>
      </c>
      <c r="AH1154" s="122" t="n">
        <v>150</v>
      </c>
      <c r="AI1154" s="54">
        <f>IFERROR(AC1154/S1154,"")</f>
        <v/>
      </c>
      <c r="AJ1154" s="54">
        <f>IFERROR(AH1154/S1154,"")</f>
        <v/>
      </c>
      <c r="AK1154" s="122" t="n">
        <v>226</v>
      </c>
      <c r="AL1154" s="122" t="n">
        <v>0</v>
      </c>
      <c r="AM1154" s="124">
        <f>IFERROR(AL1154/AA1154,"")</f>
        <v/>
      </c>
      <c r="AN1154" s="125">
        <f>IFERROR(R1154/AL1154,"")</f>
        <v/>
      </c>
      <c r="AO1154" s="122" t="n">
        <v>0</v>
      </c>
      <c r="AP1154" s="54">
        <f>IFERROR(AO1154/AL1154,"")</f>
        <v/>
      </c>
      <c r="AQ1154" s="125">
        <f>IFERROR(R1154/AO1154,"")</f>
        <v/>
      </c>
      <c r="AR1154" s="122" t="n">
        <v>0</v>
      </c>
      <c r="AS1154" s="122" t="n">
        <v>0</v>
      </c>
      <c r="AT1154" s="122">
        <f>AL1154+AR1154</f>
        <v/>
      </c>
      <c r="AU1154" s="125">
        <f>IFERROR(AO1154*Assumptions!$C$26*Assumptions!$C$27*INDEX(Assumptions!$C$18:$C$21,MATCH(H1154,Assumptions!$B$18:$B$21,0)),0)</f>
        <v/>
      </c>
    </row>
    <row r="1155">
      <c r="A1155" s="120" t="n">
        <v>46245</v>
      </c>
      <c r="B1155" s="66" t="inlineStr">
        <is>
          <t>Wk 33</t>
        </is>
      </c>
      <c r="C1155" s="66" t="inlineStr">
        <is>
          <t>Tue</t>
        </is>
      </c>
      <c r="D1155" s="66" t="inlineStr">
        <is>
          <t>TikTok</t>
        </is>
      </c>
      <c r="E1155" s="66" t="inlineStr">
        <is>
          <t>TikTok</t>
        </is>
      </c>
      <c r="F1155" s="66" t="inlineStr">
        <is>
          <t>LEP_ZA_AUG26_TT_TD_PANTERA_CONV</t>
        </is>
      </c>
      <c r="G1155" s="66" t="inlineStr">
        <is>
          <t>Website Conversions</t>
        </is>
      </c>
      <c r="H1155" s="66" t="inlineStr">
        <is>
          <t>PANTERA</t>
        </is>
      </c>
      <c r="I1155" s="66" t="inlineStr">
        <is>
          <t>0% Deposit</t>
        </is>
      </c>
      <c r="J1155" s="66" t="inlineStr">
        <is>
          <t>TT_PANTERA_LAL_ENGAGERS_ZA</t>
        </is>
      </c>
      <c r="K1155" s="66" t="inlineStr">
        <is>
          <t>Lookalike</t>
        </is>
      </c>
      <c r="L1155" s="66" t="inlineStr">
        <is>
          <t>TT_PANTERA_UGC_18s_NightRun_v1</t>
        </is>
      </c>
      <c r="M1155" s="66" t="inlineStr">
        <is>
          <t>Video 9:16</t>
        </is>
      </c>
      <c r="N1155" s="66" t="inlineStr">
        <is>
          <t>Night run in the PANTERA</t>
        </is>
      </c>
      <c r="O1155" s="66" t="inlineStr">
        <is>
          <t>Auction - Cost Cap</t>
        </is>
      </c>
      <c r="P1155" s="66" t="inlineStr">
        <is>
          <t>Complete Payment / Lead</t>
        </is>
      </c>
      <c r="Q1155" s="66" t="inlineStr">
        <is>
          <t>https://www.lepas-sa.co.za/offers/pantera</t>
        </is>
      </c>
      <c r="R1155" s="121" t="n">
        <v>223.04</v>
      </c>
      <c r="S1155" s="122" t="n">
        <v>4610</v>
      </c>
      <c r="T1155" s="122" t="n">
        <v>3440</v>
      </c>
      <c r="U1155" s="123">
        <f>IFERROR(S1155/T1155,"")</f>
        <v/>
      </c>
      <c r="V1155" s="122" t="n">
        <v>83</v>
      </c>
      <c r="W1155" s="122" t="n">
        <v>62</v>
      </c>
      <c r="X1155" s="124">
        <f>IFERROR(W1155/S1155,"")</f>
        <v/>
      </c>
      <c r="Y1155" s="121">
        <f>IFERROR(R1155/W1155,"")</f>
        <v/>
      </c>
      <c r="Z1155" s="121">
        <f>IFERROR(R1155/S1155*1000,"")</f>
        <v/>
      </c>
      <c r="AA1155" s="122" t="n">
        <v>43</v>
      </c>
      <c r="AB1155" s="54">
        <f>IFERROR(AA1155/W1155,"")</f>
        <v/>
      </c>
      <c r="AC1155" s="122" t="n">
        <v>1118</v>
      </c>
      <c r="AD1155" s="122" t="n">
        <v>661</v>
      </c>
      <c r="AE1155" s="122" t="n">
        <v>492</v>
      </c>
      <c r="AF1155" s="122" t="n">
        <v>297</v>
      </c>
      <c r="AG1155" s="122" t="n">
        <v>206</v>
      </c>
      <c r="AH1155" s="122" t="n">
        <v>129</v>
      </c>
      <c r="AI1155" s="54">
        <f>IFERROR(AC1155/S1155,"")</f>
        <v/>
      </c>
      <c r="AJ1155" s="54">
        <f>IFERROR(AH1155/S1155,"")</f>
        <v/>
      </c>
      <c r="AK1155" s="122" t="n">
        <v>150</v>
      </c>
      <c r="AL1155" s="122" t="n">
        <v>1</v>
      </c>
      <c r="AM1155" s="124">
        <f>IFERROR(AL1155/AA1155,"")</f>
        <v/>
      </c>
      <c r="AN1155" s="125">
        <f>IFERROR(R1155/AL1155,"")</f>
        <v/>
      </c>
      <c r="AO1155" s="122" t="n">
        <v>1</v>
      </c>
      <c r="AP1155" s="54">
        <f>IFERROR(AO1155/AL1155,"")</f>
        <v/>
      </c>
      <c r="AQ1155" s="125">
        <f>IFERROR(R1155/AO1155,"")</f>
        <v/>
      </c>
      <c r="AR1155" s="122" t="n">
        <v>0</v>
      </c>
      <c r="AS1155" s="122" t="n">
        <v>0</v>
      </c>
      <c r="AT1155" s="122">
        <f>AL1155+AR1155</f>
        <v/>
      </c>
      <c r="AU1155" s="125">
        <f>IFERROR(AO1155*Assumptions!$C$26*Assumptions!$C$27*INDEX(Assumptions!$C$18:$C$21,MATCH(H1155,Assumptions!$B$18:$B$21,0)),0)</f>
        <v/>
      </c>
    </row>
    <row r="1156">
      <c r="A1156" s="120" t="n">
        <v>46246</v>
      </c>
      <c r="B1156" s="66" t="inlineStr">
        <is>
          <t>Wk 33</t>
        </is>
      </c>
      <c r="C1156" s="66" t="inlineStr">
        <is>
          <t>Wed</t>
        </is>
      </c>
      <c r="D1156" s="66" t="inlineStr">
        <is>
          <t>TikTok</t>
        </is>
      </c>
      <c r="E1156" s="66" t="inlineStr">
        <is>
          <t>TikTok</t>
        </is>
      </c>
      <c r="F1156" s="66" t="inlineStr">
        <is>
          <t>LEP_ZA_AUG26_TT_TD_PANTERA_CONV</t>
        </is>
      </c>
      <c r="G1156" s="66" t="inlineStr">
        <is>
          <t>Website Conversions</t>
        </is>
      </c>
      <c r="H1156" s="66" t="inlineStr">
        <is>
          <t>PANTERA</t>
        </is>
      </c>
      <c r="I1156" s="66" t="inlineStr">
        <is>
          <t>0% Deposit</t>
        </is>
      </c>
      <c r="J1156" s="66" t="inlineStr">
        <is>
          <t>TT_PANTERA_LAL_ENGAGERS_ZA</t>
        </is>
      </c>
      <c r="K1156" s="66" t="inlineStr">
        <is>
          <t>Lookalike</t>
        </is>
      </c>
      <c r="L1156" s="66" t="inlineStr">
        <is>
          <t>TT_PANTERA_UGC_18s_NightRun_v1</t>
        </is>
      </c>
      <c r="M1156" s="66" t="inlineStr">
        <is>
          <t>Video 9:16</t>
        </is>
      </c>
      <c r="N1156" s="66" t="inlineStr">
        <is>
          <t>Night run in the PANTERA</t>
        </is>
      </c>
      <c r="O1156" s="66" t="inlineStr">
        <is>
          <t>Auction - Cost Cap</t>
        </is>
      </c>
      <c r="P1156" s="66" t="inlineStr">
        <is>
          <t>Complete Payment / Lead</t>
        </is>
      </c>
      <c r="Q1156" s="66" t="inlineStr">
        <is>
          <t>https://www.lepas-sa.co.za/offers/pantera</t>
        </is>
      </c>
      <c r="R1156" s="121" t="n">
        <v>212.7</v>
      </c>
      <c r="S1156" s="122" t="n">
        <v>4732</v>
      </c>
      <c r="T1156" s="122" t="n">
        <v>2878</v>
      </c>
      <c r="U1156" s="123">
        <f>IFERROR(S1156/T1156,"")</f>
        <v/>
      </c>
      <c r="V1156" s="122" t="n">
        <v>61</v>
      </c>
      <c r="W1156" s="122" t="n">
        <v>45</v>
      </c>
      <c r="X1156" s="124">
        <f>IFERROR(W1156/S1156,"")</f>
        <v/>
      </c>
      <c r="Y1156" s="121">
        <f>IFERROR(R1156/W1156,"")</f>
        <v/>
      </c>
      <c r="Z1156" s="121">
        <f>IFERROR(R1156/S1156*1000,"")</f>
        <v/>
      </c>
      <c r="AA1156" s="122" t="n">
        <v>31</v>
      </c>
      <c r="AB1156" s="54">
        <f>IFERROR(AA1156/W1156,"")</f>
        <v/>
      </c>
      <c r="AC1156" s="122" t="n">
        <v>1758</v>
      </c>
      <c r="AD1156" s="122" t="n">
        <v>861</v>
      </c>
      <c r="AE1156" s="122" t="n">
        <v>706</v>
      </c>
      <c r="AF1156" s="122" t="n">
        <v>448</v>
      </c>
      <c r="AG1156" s="122" t="n">
        <v>292</v>
      </c>
      <c r="AH1156" s="122" t="n">
        <v>201</v>
      </c>
      <c r="AI1156" s="54">
        <f>IFERROR(AC1156/S1156,"")</f>
        <v/>
      </c>
      <c r="AJ1156" s="54">
        <f>IFERROR(AH1156/S1156,"")</f>
        <v/>
      </c>
      <c r="AK1156" s="122" t="n">
        <v>238</v>
      </c>
      <c r="AL1156" s="122" t="n">
        <v>1</v>
      </c>
      <c r="AM1156" s="124">
        <f>IFERROR(AL1156/AA1156,"")</f>
        <v/>
      </c>
      <c r="AN1156" s="125">
        <f>IFERROR(R1156/AL1156,"")</f>
        <v/>
      </c>
      <c r="AO1156" s="122" t="n">
        <v>1</v>
      </c>
      <c r="AP1156" s="54">
        <f>IFERROR(AO1156/AL1156,"")</f>
        <v/>
      </c>
      <c r="AQ1156" s="125">
        <f>IFERROR(R1156/AO1156,"")</f>
        <v/>
      </c>
      <c r="AR1156" s="122" t="n">
        <v>1</v>
      </c>
      <c r="AS1156" s="122" t="n">
        <v>1</v>
      </c>
      <c r="AT1156" s="122">
        <f>AL1156+AR1156</f>
        <v/>
      </c>
      <c r="AU1156" s="125">
        <f>IFERROR(AO1156*Assumptions!$C$26*Assumptions!$C$27*INDEX(Assumptions!$C$18:$C$21,MATCH(H1156,Assumptions!$B$18:$B$21,0)),0)</f>
        <v/>
      </c>
    </row>
    <row r="1157">
      <c r="A1157" s="120" t="n">
        <v>46247</v>
      </c>
      <c r="B1157" s="66" t="inlineStr">
        <is>
          <t>Wk 33</t>
        </is>
      </c>
      <c r="C1157" s="66" t="inlineStr">
        <is>
          <t>Thu</t>
        </is>
      </c>
      <c r="D1157" s="66" t="inlineStr">
        <is>
          <t>TikTok</t>
        </is>
      </c>
      <c r="E1157" s="66" t="inlineStr">
        <is>
          <t>TikTok</t>
        </is>
      </c>
      <c r="F1157" s="66" t="inlineStr">
        <is>
          <t>LEP_ZA_AUG26_TT_TD_PANTERA_CONV</t>
        </is>
      </c>
      <c r="G1157" s="66" t="inlineStr">
        <is>
          <t>Website Conversions</t>
        </is>
      </c>
      <c r="H1157" s="66" t="inlineStr">
        <is>
          <t>PANTERA</t>
        </is>
      </c>
      <c r="I1157" s="66" t="inlineStr">
        <is>
          <t>0% Deposit</t>
        </is>
      </c>
      <c r="J1157" s="66" t="inlineStr">
        <is>
          <t>TT_PANTERA_LAL_ENGAGERS_ZA</t>
        </is>
      </c>
      <c r="K1157" s="66" t="inlineStr">
        <is>
          <t>Lookalike</t>
        </is>
      </c>
      <c r="L1157" s="66" t="inlineStr">
        <is>
          <t>TT_PANTERA_UGC_18s_NightRun_v1</t>
        </is>
      </c>
      <c r="M1157" s="66" t="inlineStr">
        <is>
          <t>Video 9:16</t>
        </is>
      </c>
      <c r="N1157" s="66" t="inlineStr">
        <is>
          <t>Night run in the PANTERA</t>
        </is>
      </c>
      <c r="O1157" s="66" t="inlineStr">
        <is>
          <t>Auction - Cost Cap</t>
        </is>
      </c>
      <c r="P1157" s="66" t="inlineStr">
        <is>
          <t>Complete Payment / Lead</t>
        </is>
      </c>
      <c r="Q1157" s="66" t="inlineStr">
        <is>
          <t>https://www.lepas-sa.co.za/offers/pantera</t>
        </is>
      </c>
      <c r="R1157" s="121" t="n">
        <v>239.93</v>
      </c>
      <c r="S1157" s="122" t="n">
        <v>6610</v>
      </c>
      <c r="T1157" s="122" t="n">
        <v>3963</v>
      </c>
      <c r="U1157" s="123">
        <f>IFERROR(S1157/T1157,"")</f>
        <v/>
      </c>
      <c r="V1157" s="122" t="n">
        <v>93</v>
      </c>
      <c r="W1157" s="122" t="n">
        <v>72</v>
      </c>
      <c r="X1157" s="124">
        <f>IFERROR(W1157/S1157,"")</f>
        <v/>
      </c>
      <c r="Y1157" s="121">
        <f>IFERROR(R1157/W1157,"")</f>
        <v/>
      </c>
      <c r="Z1157" s="121">
        <f>IFERROR(R1157/S1157*1000,"")</f>
        <v/>
      </c>
      <c r="AA1157" s="122" t="n">
        <v>52</v>
      </c>
      <c r="AB1157" s="54">
        <f>IFERROR(AA1157/W1157,"")</f>
        <v/>
      </c>
      <c r="AC1157" s="122" t="n">
        <v>2329</v>
      </c>
      <c r="AD1157" s="122" t="n">
        <v>1369</v>
      </c>
      <c r="AE1157" s="122" t="n">
        <v>952</v>
      </c>
      <c r="AF1157" s="122" t="n">
        <v>649</v>
      </c>
      <c r="AG1157" s="122" t="n">
        <v>489</v>
      </c>
      <c r="AH1157" s="122" t="n">
        <v>318</v>
      </c>
      <c r="AI1157" s="54">
        <f>IFERROR(AC1157/S1157,"")</f>
        <v/>
      </c>
      <c r="AJ1157" s="54">
        <f>IFERROR(AH1157/S1157,"")</f>
        <v/>
      </c>
      <c r="AK1157" s="122" t="n">
        <v>273</v>
      </c>
      <c r="AL1157" s="122" t="n">
        <v>1</v>
      </c>
      <c r="AM1157" s="124">
        <f>IFERROR(AL1157/AA1157,"")</f>
        <v/>
      </c>
      <c r="AN1157" s="125">
        <f>IFERROR(R1157/AL1157,"")</f>
        <v/>
      </c>
      <c r="AO1157" s="122" t="n">
        <v>1</v>
      </c>
      <c r="AP1157" s="54">
        <f>IFERROR(AO1157/AL1157,"")</f>
        <v/>
      </c>
      <c r="AQ1157" s="125">
        <f>IFERROR(R1157/AO1157,"")</f>
        <v/>
      </c>
      <c r="AR1157" s="122" t="n">
        <v>1</v>
      </c>
      <c r="AS1157" s="122" t="n">
        <v>0</v>
      </c>
      <c r="AT1157" s="122">
        <f>AL1157+AR1157</f>
        <v/>
      </c>
      <c r="AU1157" s="125">
        <f>IFERROR(AO1157*Assumptions!$C$26*Assumptions!$C$27*INDEX(Assumptions!$C$18:$C$21,MATCH(H1157,Assumptions!$B$18:$B$21,0)),0)</f>
        <v/>
      </c>
    </row>
    <row r="1158">
      <c r="A1158" s="120" t="n">
        <v>46248</v>
      </c>
      <c r="B1158" s="66" t="inlineStr">
        <is>
          <t>Wk 33</t>
        </is>
      </c>
      <c r="C1158" s="66" t="inlineStr">
        <is>
          <t>Fri</t>
        </is>
      </c>
      <c r="D1158" s="66" t="inlineStr">
        <is>
          <t>TikTok</t>
        </is>
      </c>
      <c r="E1158" s="66" t="inlineStr">
        <is>
          <t>TikTok</t>
        </is>
      </c>
      <c r="F1158" s="66" t="inlineStr">
        <is>
          <t>LEP_ZA_AUG26_TT_TD_PANTERA_CONV</t>
        </is>
      </c>
      <c r="G1158" s="66" t="inlineStr">
        <is>
          <t>Website Conversions</t>
        </is>
      </c>
      <c r="H1158" s="66" t="inlineStr">
        <is>
          <t>PANTERA</t>
        </is>
      </c>
      <c r="I1158" s="66" t="inlineStr">
        <is>
          <t>0% Deposit</t>
        </is>
      </c>
      <c r="J1158" s="66" t="inlineStr">
        <is>
          <t>TT_PANTERA_LAL_ENGAGERS_ZA</t>
        </is>
      </c>
      <c r="K1158" s="66" t="inlineStr">
        <is>
          <t>Lookalike</t>
        </is>
      </c>
      <c r="L1158" s="66" t="inlineStr">
        <is>
          <t>TT_PANTERA_UGC_18s_NightRun_v1</t>
        </is>
      </c>
      <c r="M1158" s="66" t="inlineStr">
        <is>
          <t>Video 9:16</t>
        </is>
      </c>
      <c r="N1158" s="66" t="inlineStr">
        <is>
          <t>Night run in the PANTERA</t>
        </is>
      </c>
      <c r="O1158" s="66" t="inlineStr">
        <is>
          <t>Auction - Cost Cap</t>
        </is>
      </c>
      <c r="P1158" s="66" t="inlineStr">
        <is>
          <t>Complete Payment / Lead</t>
        </is>
      </c>
      <c r="Q1158" s="66" t="inlineStr">
        <is>
          <t>https://www.lepas-sa.co.za/offers/pantera</t>
        </is>
      </c>
      <c r="R1158" s="121" t="n">
        <v>241.11</v>
      </c>
      <c r="S1158" s="122" t="n">
        <v>5337</v>
      </c>
      <c r="T1158" s="122" t="n">
        <v>3173</v>
      </c>
      <c r="U1158" s="123">
        <f>IFERROR(S1158/T1158,"")</f>
        <v/>
      </c>
      <c r="V1158" s="122" t="n">
        <v>84</v>
      </c>
      <c r="W1158" s="122" t="n">
        <v>71</v>
      </c>
      <c r="X1158" s="124">
        <f>IFERROR(W1158/S1158,"")</f>
        <v/>
      </c>
      <c r="Y1158" s="121">
        <f>IFERROR(R1158/W1158,"")</f>
        <v/>
      </c>
      <c r="Z1158" s="121">
        <f>IFERROR(R1158/S1158*1000,"")</f>
        <v/>
      </c>
      <c r="AA1158" s="122" t="n">
        <v>50</v>
      </c>
      <c r="AB1158" s="54">
        <f>IFERROR(AA1158/W1158,"")</f>
        <v/>
      </c>
      <c r="AC1158" s="122" t="n">
        <v>1485</v>
      </c>
      <c r="AD1158" s="122" t="n">
        <v>804</v>
      </c>
      <c r="AE1158" s="122" t="n">
        <v>566</v>
      </c>
      <c r="AF1158" s="122" t="n">
        <v>295</v>
      </c>
      <c r="AG1158" s="122" t="n">
        <v>216</v>
      </c>
      <c r="AH1158" s="122" t="n">
        <v>141</v>
      </c>
      <c r="AI1158" s="54">
        <f>IFERROR(AC1158/S1158,"")</f>
        <v/>
      </c>
      <c r="AJ1158" s="54">
        <f>IFERROR(AH1158/S1158,"")</f>
        <v/>
      </c>
      <c r="AK1158" s="122" t="n">
        <v>247</v>
      </c>
      <c r="AL1158" s="122" t="n">
        <v>1</v>
      </c>
      <c r="AM1158" s="124">
        <f>IFERROR(AL1158/AA1158,"")</f>
        <v/>
      </c>
      <c r="AN1158" s="125">
        <f>IFERROR(R1158/AL1158,"")</f>
        <v/>
      </c>
      <c r="AO1158" s="122" t="n">
        <v>1</v>
      </c>
      <c r="AP1158" s="54">
        <f>IFERROR(AO1158/AL1158,"")</f>
        <v/>
      </c>
      <c r="AQ1158" s="125">
        <f>IFERROR(R1158/AO1158,"")</f>
        <v/>
      </c>
      <c r="AR1158" s="122" t="n">
        <v>0</v>
      </c>
      <c r="AS1158" s="122" t="n">
        <v>0</v>
      </c>
      <c r="AT1158" s="122">
        <f>AL1158+AR1158</f>
        <v/>
      </c>
      <c r="AU1158" s="125">
        <f>IFERROR(AO1158*Assumptions!$C$26*Assumptions!$C$27*INDEX(Assumptions!$C$18:$C$21,MATCH(H1158,Assumptions!$B$18:$B$21,0)),0)</f>
        <v/>
      </c>
    </row>
    <row r="1159">
      <c r="A1159" s="120" t="n">
        <v>46249</v>
      </c>
      <c r="B1159" s="66" t="inlineStr">
        <is>
          <t>Wk 33</t>
        </is>
      </c>
      <c r="C1159" s="66" t="inlineStr">
        <is>
          <t>Sat</t>
        </is>
      </c>
      <c r="D1159" s="66" t="inlineStr">
        <is>
          <t>TikTok</t>
        </is>
      </c>
      <c r="E1159" s="66" t="inlineStr">
        <is>
          <t>TikTok</t>
        </is>
      </c>
      <c r="F1159" s="66" t="inlineStr">
        <is>
          <t>LEP_ZA_AUG26_TT_TD_PANTERA_CONV</t>
        </is>
      </c>
      <c r="G1159" s="66" t="inlineStr">
        <is>
          <t>Website Conversions</t>
        </is>
      </c>
      <c r="H1159" s="66" t="inlineStr">
        <is>
          <t>PANTERA</t>
        </is>
      </c>
      <c r="I1159" s="66" t="inlineStr">
        <is>
          <t>0% Deposit</t>
        </is>
      </c>
      <c r="J1159" s="66" t="inlineStr">
        <is>
          <t>TT_PANTERA_LAL_ENGAGERS_ZA</t>
        </is>
      </c>
      <c r="K1159" s="66" t="inlineStr">
        <is>
          <t>Lookalike</t>
        </is>
      </c>
      <c r="L1159" s="66" t="inlineStr">
        <is>
          <t>TT_PANTERA_UGC_18s_NightRun_v1</t>
        </is>
      </c>
      <c r="M1159" s="66" t="inlineStr">
        <is>
          <t>Video 9:16</t>
        </is>
      </c>
      <c r="N1159" s="66" t="inlineStr">
        <is>
          <t>Night run in the PANTERA</t>
        </is>
      </c>
      <c r="O1159" s="66" t="inlineStr">
        <is>
          <t>Auction - Cost Cap</t>
        </is>
      </c>
      <c r="P1159" s="66" t="inlineStr">
        <is>
          <t>Complete Payment / Lead</t>
        </is>
      </c>
      <c r="Q1159" s="66" t="inlineStr">
        <is>
          <t>https://www.lepas-sa.co.za/offers/pantera</t>
        </is>
      </c>
      <c r="R1159" s="121" t="n">
        <v>259.52</v>
      </c>
      <c r="S1159" s="122" t="n">
        <v>6398</v>
      </c>
      <c r="T1159" s="122" t="n">
        <v>4170</v>
      </c>
      <c r="U1159" s="123">
        <f>IFERROR(S1159/T1159,"")</f>
        <v/>
      </c>
      <c r="V1159" s="122" t="n">
        <v>122</v>
      </c>
      <c r="W1159" s="122" t="n">
        <v>96</v>
      </c>
      <c r="X1159" s="124">
        <f>IFERROR(W1159/S1159,"")</f>
        <v/>
      </c>
      <c r="Y1159" s="121">
        <f>IFERROR(R1159/W1159,"")</f>
        <v/>
      </c>
      <c r="Z1159" s="121">
        <f>IFERROR(R1159/S1159*1000,"")</f>
        <v/>
      </c>
      <c r="AA1159" s="122" t="n">
        <v>66</v>
      </c>
      <c r="AB1159" s="54">
        <f>IFERROR(AA1159/W1159,"")</f>
        <v/>
      </c>
      <c r="AC1159" s="122" t="n">
        <v>1618</v>
      </c>
      <c r="AD1159" s="122" t="n">
        <v>856</v>
      </c>
      <c r="AE1159" s="122" t="n">
        <v>596</v>
      </c>
      <c r="AF1159" s="122" t="n">
        <v>340</v>
      </c>
      <c r="AG1159" s="122" t="n">
        <v>254</v>
      </c>
      <c r="AH1159" s="122" t="n">
        <v>178</v>
      </c>
      <c r="AI1159" s="54">
        <f>IFERROR(AC1159/S1159,"")</f>
        <v/>
      </c>
      <c r="AJ1159" s="54">
        <f>IFERROR(AH1159/S1159,"")</f>
        <v/>
      </c>
      <c r="AK1159" s="122" t="n">
        <v>356</v>
      </c>
      <c r="AL1159" s="122" t="n">
        <v>1</v>
      </c>
      <c r="AM1159" s="124">
        <f>IFERROR(AL1159/AA1159,"")</f>
        <v/>
      </c>
      <c r="AN1159" s="125">
        <f>IFERROR(R1159/AL1159,"")</f>
        <v/>
      </c>
      <c r="AO1159" s="122" t="n">
        <v>1</v>
      </c>
      <c r="AP1159" s="54">
        <f>IFERROR(AO1159/AL1159,"")</f>
        <v/>
      </c>
      <c r="AQ1159" s="125">
        <f>IFERROR(R1159/AO1159,"")</f>
        <v/>
      </c>
      <c r="AR1159" s="122" t="n">
        <v>1</v>
      </c>
      <c r="AS1159" s="122" t="n">
        <v>1</v>
      </c>
      <c r="AT1159" s="122">
        <f>AL1159+AR1159</f>
        <v/>
      </c>
      <c r="AU1159" s="125">
        <f>IFERROR(AO1159*Assumptions!$C$26*Assumptions!$C$27*INDEX(Assumptions!$C$18:$C$21,MATCH(H1159,Assumptions!$B$18:$B$21,0)),0)</f>
        <v/>
      </c>
    </row>
    <row r="1160">
      <c r="A1160" s="120" t="n">
        <v>46250</v>
      </c>
      <c r="B1160" s="66" t="inlineStr">
        <is>
          <t>Wk 33</t>
        </is>
      </c>
      <c r="C1160" s="66" t="inlineStr">
        <is>
          <t>Sun</t>
        </is>
      </c>
      <c r="D1160" s="66" t="inlineStr">
        <is>
          <t>TikTok</t>
        </is>
      </c>
      <c r="E1160" s="66" t="inlineStr">
        <is>
          <t>TikTok</t>
        </is>
      </c>
      <c r="F1160" s="66" t="inlineStr">
        <is>
          <t>LEP_ZA_AUG26_TT_TD_PANTERA_CONV</t>
        </is>
      </c>
      <c r="G1160" s="66" t="inlineStr">
        <is>
          <t>Website Conversions</t>
        </is>
      </c>
      <c r="H1160" s="66" t="inlineStr">
        <is>
          <t>PANTERA</t>
        </is>
      </c>
      <c r="I1160" s="66" t="inlineStr">
        <is>
          <t>0% Deposit</t>
        </is>
      </c>
      <c r="J1160" s="66" t="inlineStr">
        <is>
          <t>TT_PANTERA_LAL_ENGAGERS_ZA</t>
        </is>
      </c>
      <c r="K1160" s="66" t="inlineStr">
        <is>
          <t>Lookalike</t>
        </is>
      </c>
      <c r="L1160" s="66" t="inlineStr">
        <is>
          <t>TT_PANTERA_UGC_18s_NightRun_v1</t>
        </is>
      </c>
      <c r="M1160" s="66" t="inlineStr">
        <is>
          <t>Video 9:16</t>
        </is>
      </c>
      <c r="N1160" s="66" t="inlineStr">
        <is>
          <t>Night run in the PANTERA</t>
        </is>
      </c>
      <c r="O1160" s="66" t="inlineStr">
        <is>
          <t>Auction - Cost Cap</t>
        </is>
      </c>
      <c r="P1160" s="66" t="inlineStr">
        <is>
          <t>Complete Payment / Lead</t>
        </is>
      </c>
      <c r="Q1160" s="66" t="inlineStr">
        <is>
          <t>https://www.lepas-sa.co.za/offers/pantera</t>
        </is>
      </c>
      <c r="R1160" s="121" t="n">
        <v>217.48</v>
      </c>
      <c r="S1160" s="122" t="n">
        <v>5709</v>
      </c>
      <c r="T1160" s="122" t="n">
        <v>3146</v>
      </c>
      <c r="U1160" s="123">
        <f>IFERROR(S1160/T1160,"")</f>
        <v/>
      </c>
      <c r="V1160" s="122" t="n">
        <v>47</v>
      </c>
      <c r="W1160" s="122" t="n">
        <v>35</v>
      </c>
      <c r="X1160" s="124">
        <f>IFERROR(W1160/S1160,"")</f>
        <v/>
      </c>
      <c r="Y1160" s="121">
        <f>IFERROR(R1160/W1160,"")</f>
        <v/>
      </c>
      <c r="Z1160" s="121">
        <f>IFERROR(R1160/S1160*1000,"")</f>
        <v/>
      </c>
      <c r="AA1160" s="122" t="n">
        <v>25</v>
      </c>
      <c r="AB1160" s="54">
        <f>IFERROR(AA1160/W1160,"")</f>
        <v/>
      </c>
      <c r="AC1160" s="122" t="n">
        <v>1654</v>
      </c>
      <c r="AD1160" s="122" t="n">
        <v>946</v>
      </c>
      <c r="AE1160" s="122" t="n">
        <v>770</v>
      </c>
      <c r="AF1160" s="122" t="n">
        <v>436</v>
      </c>
      <c r="AG1160" s="122" t="n">
        <v>303</v>
      </c>
      <c r="AH1160" s="122" t="n">
        <v>182</v>
      </c>
      <c r="AI1160" s="54">
        <f>IFERROR(AC1160/S1160,"")</f>
        <v/>
      </c>
      <c r="AJ1160" s="54">
        <f>IFERROR(AH1160/S1160,"")</f>
        <v/>
      </c>
      <c r="AK1160" s="122" t="n">
        <v>312</v>
      </c>
      <c r="AL1160" s="122" t="n">
        <v>0</v>
      </c>
      <c r="AM1160" s="124">
        <f>IFERROR(AL1160/AA1160,"")</f>
        <v/>
      </c>
      <c r="AN1160" s="125">
        <f>IFERROR(R1160/AL1160,"")</f>
        <v/>
      </c>
      <c r="AO1160" s="122" t="n">
        <v>0</v>
      </c>
      <c r="AP1160" s="54">
        <f>IFERROR(AO1160/AL1160,"")</f>
        <v/>
      </c>
      <c r="AQ1160" s="125">
        <f>IFERROR(R1160/AO1160,"")</f>
        <v/>
      </c>
      <c r="AR1160" s="122" t="n">
        <v>0</v>
      </c>
      <c r="AS1160" s="122" t="n">
        <v>0</v>
      </c>
      <c r="AT1160" s="122">
        <f>AL1160+AR1160</f>
        <v/>
      </c>
      <c r="AU1160" s="125">
        <f>IFERROR(AO1160*Assumptions!$C$26*Assumptions!$C$27*INDEX(Assumptions!$C$18:$C$21,MATCH(H1160,Assumptions!$B$18:$B$21,0)),0)</f>
        <v/>
      </c>
    </row>
    <row r="1161">
      <c r="A1161" s="120" t="n">
        <v>46251</v>
      </c>
      <c r="B1161" s="66" t="inlineStr">
        <is>
          <t>Wk 34</t>
        </is>
      </c>
      <c r="C1161" s="66" t="inlineStr">
        <is>
          <t>Mon</t>
        </is>
      </c>
      <c r="D1161" s="66" t="inlineStr">
        <is>
          <t>TikTok</t>
        </is>
      </c>
      <c r="E1161" s="66" t="inlineStr">
        <is>
          <t>TikTok</t>
        </is>
      </c>
      <c r="F1161" s="66" t="inlineStr">
        <is>
          <t>LEP_ZA_AUG26_TT_TD_PANTERA_CONV</t>
        </is>
      </c>
      <c r="G1161" s="66" t="inlineStr">
        <is>
          <t>Website Conversions</t>
        </is>
      </c>
      <c r="H1161" s="66" t="inlineStr">
        <is>
          <t>PANTERA</t>
        </is>
      </c>
      <c r="I1161" s="66" t="inlineStr">
        <is>
          <t>0% Deposit</t>
        </is>
      </c>
      <c r="J1161" s="66" t="inlineStr">
        <is>
          <t>TT_PANTERA_LAL_ENGAGERS_ZA</t>
        </is>
      </c>
      <c r="K1161" s="66" t="inlineStr">
        <is>
          <t>Lookalike</t>
        </is>
      </c>
      <c r="L1161" s="66" t="inlineStr">
        <is>
          <t>TT_PANTERA_UGC_18s_NightRun_v1</t>
        </is>
      </c>
      <c r="M1161" s="66" t="inlineStr">
        <is>
          <t>Video 9:16</t>
        </is>
      </c>
      <c r="N1161" s="66" t="inlineStr">
        <is>
          <t>Night run in the PANTERA</t>
        </is>
      </c>
      <c r="O1161" s="66" t="inlineStr">
        <is>
          <t>Auction - Cost Cap</t>
        </is>
      </c>
      <c r="P1161" s="66" t="inlineStr">
        <is>
          <t>Complete Payment / Lead</t>
        </is>
      </c>
      <c r="Q1161" s="66" t="inlineStr">
        <is>
          <t>https://www.lepas-sa.co.za/offers/pantera</t>
        </is>
      </c>
      <c r="R1161" s="121" t="n">
        <v>243.83</v>
      </c>
      <c r="S1161" s="122" t="n">
        <v>7956</v>
      </c>
      <c r="T1161" s="122" t="n">
        <v>4041</v>
      </c>
      <c r="U1161" s="123">
        <f>IFERROR(S1161/T1161,"")</f>
        <v/>
      </c>
      <c r="V1161" s="122" t="n">
        <v>109</v>
      </c>
      <c r="W1161" s="122" t="n">
        <v>79</v>
      </c>
      <c r="X1161" s="124">
        <f>IFERROR(W1161/S1161,"")</f>
        <v/>
      </c>
      <c r="Y1161" s="121">
        <f>IFERROR(R1161/W1161,"")</f>
        <v/>
      </c>
      <c r="Z1161" s="121">
        <f>IFERROR(R1161/S1161*1000,"")</f>
        <v/>
      </c>
      <c r="AA1161" s="122" t="n">
        <v>56</v>
      </c>
      <c r="AB1161" s="54">
        <f>IFERROR(AA1161/W1161,"")</f>
        <v/>
      </c>
      <c r="AC1161" s="122" t="n">
        <v>3077</v>
      </c>
      <c r="AD1161" s="122" t="n">
        <v>1508</v>
      </c>
      <c r="AE1161" s="122" t="n">
        <v>1398</v>
      </c>
      <c r="AF1161" s="122" t="n">
        <v>779</v>
      </c>
      <c r="AG1161" s="122" t="n">
        <v>577</v>
      </c>
      <c r="AH1161" s="122" t="n">
        <v>422</v>
      </c>
      <c r="AI1161" s="54">
        <f>IFERROR(AC1161/S1161,"")</f>
        <v/>
      </c>
      <c r="AJ1161" s="54">
        <f>IFERROR(AH1161/S1161,"")</f>
        <v/>
      </c>
      <c r="AK1161" s="122" t="n">
        <v>252</v>
      </c>
      <c r="AL1161" s="122" t="n">
        <v>1</v>
      </c>
      <c r="AM1161" s="124">
        <f>IFERROR(AL1161/AA1161,"")</f>
        <v/>
      </c>
      <c r="AN1161" s="125">
        <f>IFERROR(R1161/AL1161,"")</f>
        <v/>
      </c>
      <c r="AO1161" s="122" t="n">
        <v>0</v>
      </c>
      <c r="AP1161" s="54">
        <f>IFERROR(AO1161/AL1161,"")</f>
        <v/>
      </c>
      <c r="AQ1161" s="125">
        <f>IFERROR(R1161/AO1161,"")</f>
        <v/>
      </c>
      <c r="AR1161" s="122" t="n">
        <v>1</v>
      </c>
      <c r="AS1161" s="122" t="n">
        <v>1</v>
      </c>
      <c r="AT1161" s="122">
        <f>AL1161+AR1161</f>
        <v/>
      </c>
      <c r="AU1161" s="125">
        <f>IFERROR(AO1161*Assumptions!$C$26*Assumptions!$C$27*INDEX(Assumptions!$C$18:$C$21,MATCH(H1161,Assumptions!$B$18:$B$21,0)),0)</f>
        <v/>
      </c>
    </row>
    <row r="1162">
      <c r="A1162" s="120" t="n">
        <v>46252</v>
      </c>
      <c r="B1162" s="66" t="inlineStr">
        <is>
          <t>Wk 34</t>
        </is>
      </c>
      <c r="C1162" s="66" t="inlineStr">
        <is>
          <t>Tue</t>
        </is>
      </c>
      <c r="D1162" s="66" t="inlineStr">
        <is>
          <t>TikTok</t>
        </is>
      </c>
      <c r="E1162" s="66" t="inlineStr">
        <is>
          <t>TikTok</t>
        </is>
      </c>
      <c r="F1162" s="66" t="inlineStr">
        <is>
          <t>LEP_ZA_AUG26_TT_TD_PANTERA_CONV</t>
        </is>
      </c>
      <c r="G1162" s="66" t="inlineStr">
        <is>
          <t>Website Conversions</t>
        </is>
      </c>
      <c r="H1162" s="66" t="inlineStr">
        <is>
          <t>PANTERA</t>
        </is>
      </c>
      <c r="I1162" s="66" t="inlineStr">
        <is>
          <t>0% Deposit</t>
        </is>
      </c>
      <c r="J1162" s="66" t="inlineStr">
        <is>
          <t>TT_PANTERA_LAL_ENGAGERS_ZA</t>
        </is>
      </c>
      <c r="K1162" s="66" t="inlineStr">
        <is>
          <t>Lookalike</t>
        </is>
      </c>
      <c r="L1162" s="66" t="inlineStr">
        <is>
          <t>TT_PANTERA_UGC_18s_NightRun_v1</t>
        </is>
      </c>
      <c r="M1162" s="66" t="inlineStr">
        <is>
          <t>Video 9:16</t>
        </is>
      </c>
      <c r="N1162" s="66" t="inlineStr">
        <is>
          <t>Night run in the PANTERA</t>
        </is>
      </c>
      <c r="O1162" s="66" t="inlineStr">
        <is>
          <t>Auction - Cost Cap</t>
        </is>
      </c>
      <c r="P1162" s="66" t="inlineStr">
        <is>
          <t>Complete Payment / Lead</t>
        </is>
      </c>
      <c r="Q1162" s="66" t="inlineStr">
        <is>
          <t>https://www.lepas-sa.co.za/offers/pantera</t>
        </is>
      </c>
      <c r="R1162" s="121" t="n">
        <v>239.73</v>
      </c>
      <c r="S1162" s="122" t="n">
        <v>5132</v>
      </c>
      <c r="T1162" s="122" t="n">
        <v>3349</v>
      </c>
      <c r="U1162" s="123">
        <f>IFERROR(S1162/T1162,"")</f>
        <v/>
      </c>
      <c r="V1162" s="122" t="n">
        <v>64</v>
      </c>
      <c r="W1162" s="122" t="n">
        <v>53</v>
      </c>
      <c r="X1162" s="124">
        <f>IFERROR(W1162/S1162,"")</f>
        <v/>
      </c>
      <c r="Y1162" s="121">
        <f>IFERROR(R1162/W1162,"")</f>
        <v/>
      </c>
      <c r="Z1162" s="121">
        <f>IFERROR(R1162/S1162*1000,"")</f>
        <v/>
      </c>
      <c r="AA1162" s="122" t="n">
        <v>40</v>
      </c>
      <c r="AB1162" s="54">
        <f>IFERROR(AA1162/W1162,"")</f>
        <v/>
      </c>
      <c r="AC1162" s="122" t="n">
        <v>1445</v>
      </c>
      <c r="AD1162" s="122" t="n">
        <v>780</v>
      </c>
      <c r="AE1162" s="122" t="n">
        <v>632</v>
      </c>
      <c r="AF1162" s="122" t="n">
        <v>427</v>
      </c>
      <c r="AG1162" s="122" t="n">
        <v>327</v>
      </c>
      <c r="AH1162" s="122" t="n">
        <v>201</v>
      </c>
      <c r="AI1162" s="54">
        <f>IFERROR(AC1162/S1162,"")</f>
        <v/>
      </c>
      <c r="AJ1162" s="54">
        <f>IFERROR(AH1162/S1162,"")</f>
        <v/>
      </c>
      <c r="AK1162" s="122" t="n">
        <v>204</v>
      </c>
      <c r="AL1162" s="122" t="n">
        <v>1</v>
      </c>
      <c r="AM1162" s="124">
        <f>IFERROR(AL1162/AA1162,"")</f>
        <v/>
      </c>
      <c r="AN1162" s="125">
        <f>IFERROR(R1162/AL1162,"")</f>
        <v/>
      </c>
      <c r="AO1162" s="122" t="n">
        <v>1</v>
      </c>
      <c r="AP1162" s="54">
        <f>IFERROR(AO1162/AL1162,"")</f>
        <v/>
      </c>
      <c r="AQ1162" s="125">
        <f>IFERROR(R1162/AO1162,"")</f>
        <v/>
      </c>
      <c r="AR1162" s="122" t="n">
        <v>1</v>
      </c>
      <c r="AS1162" s="122" t="n">
        <v>1</v>
      </c>
      <c r="AT1162" s="122">
        <f>AL1162+AR1162</f>
        <v/>
      </c>
      <c r="AU1162" s="125">
        <f>IFERROR(AO1162*Assumptions!$C$26*Assumptions!$C$27*INDEX(Assumptions!$C$18:$C$21,MATCH(H1162,Assumptions!$B$18:$B$21,0)),0)</f>
        <v/>
      </c>
    </row>
    <row r="1163">
      <c r="A1163" s="120" t="n">
        <v>46253</v>
      </c>
      <c r="B1163" s="66" t="inlineStr">
        <is>
          <t>Wk 34</t>
        </is>
      </c>
      <c r="C1163" s="66" t="inlineStr">
        <is>
          <t>Wed</t>
        </is>
      </c>
      <c r="D1163" s="66" t="inlineStr">
        <is>
          <t>TikTok</t>
        </is>
      </c>
      <c r="E1163" s="66" t="inlineStr">
        <is>
          <t>TikTok</t>
        </is>
      </c>
      <c r="F1163" s="66" t="inlineStr">
        <is>
          <t>LEP_ZA_AUG26_TT_TD_PANTERA_CONV</t>
        </is>
      </c>
      <c r="G1163" s="66" t="inlineStr">
        <is>
          <t>Website Conversions</t>
        </is>
      </c>
      <c r="H1163" s="66" t="inlineStr">
        <is>
          <t>PANTERA</t>
        </is>
      </c>
      <c r="I1163" s="66" t="inlineStr">
        <is>
          <t>0% Deposit</t>
        </is>
      </c>
      <c r="J1163" s="66" t="inlineStr">
        <is>
          <t>TT_PANTERA_LAL_ENGAGERS_ZA</t>
        </is>
      </c>
      <c r="K1163" s="66" t="inlineStr">
        <is>
          <t>Lookalike</t>
        </is>
      </c>
      <c r="L1163" s="66" t="inlineStr">
        <is>
          <t>TT_PANTERA_UGC_18s_NightRun_v1</t>
        </is>
      </c>
      <c r="M1163" s="66" t="inlineStr">
        <is>
          <t>Video 9:16</t>
        </is>
      </c>
      <c r="N1163" s="66" t="inlineStr">
        <is>
          <t>Night run in the PANTERA</t>
        </is>
      </c>
      <c r="O1163" s="66" t="inlineStr">
        <is>
          <t>Auction - Cost Cap</t>
        </is>
      </c>
      <c r="P1163" s="66" t="inlineStr">
        <is>
          <t>Complete Payment / Lead</t>
        </is>
      </c>
      <c r="Q1163" s="66" t="inlineStr">
        <is>
          <t>https://www.lepas-sa.co.za/offers/pantera</t>
        </is>
      </c>
      <c r="R1163" s="121" t="n">
        <v>277.04</v>
      </c>
      <c r="S1163" s="122" t="n">
        <v>8030</v>
      </c>
      <c r="T1163" s="122" t="n">
        <v>4073</v>
      </c>
      <c r="U1163" s="123">
        <f>IFERROR(S1163/T1163,"")</f>
        <v/>
      </c>
      <c r="V1163" s="122" t="n">
        <v>102</v>
      </c>
      <c r="W1163" s="122" t="n">
        <v>78</v>
      </c>
      <c r="X1163" s="124">
        <f>IFERROR(W1163/S1163,"")</f>
        <v/>
      </c>
      <c r="Y1163" s="121">
        <f>IFERROR(R1163/W1163,"")</f>
        <v/>
      </c>
      <c r="Z1163" s="121">
        <f>IFERROR(R1163/S1163*1000,"")</f>
        <v/>
      </c>
      <c r="AA1163" s="122" t="n">
        <v>56</v>
      </c>
      <c r="AB1163" s="54">
        <f>IFERROR(AA1163/W1163,"")</f>
        <v/>
      </c>
      <c r="AC1163" s="122" t="n">
        <v>1854</v>
      </c>
      <c r="AD1163" s="122" t="n">
        <v>1102</v>
      </c>
      <c r="AE1163" s="122" t="n">
        <v>973</v>
      </c>
      <c r="AF1163" s="122" t="n">
        <v>665</v>
      </c>
      <c r="AG1163" s="122" t="n">
        <v>515</v>
      </c>
      <c r="AH1163" s="122" t="n">
        <v>357</v>
      </c>
      <c r="AI1163" s="54">
        <f>IFERROR(AC1163/S1163,"")</f>
        <v/>
      </c>
      <c r="AJ1163" s="54">
        <f>IFERROR(AH1163/S1163,"")</f>
        <v/>
      </c>
      <c r="AK1163" s="122" t="n">
        <v>226</v>
      </c>
      <c r="AL1163" s="122" t="n">
        <v>1</v>
      </c>
      <c r="AM1163" s="124">
        <f>IFERROR(AL1163/AA1163,"")</f>
        <v/>
      </c>
      <c r="AN1163" s="125">
        <f>IFERROR(R1163/AL1163,"")</f>
        <v/>
      </c>
      <c r="AO1163" s="122" t="n">
        <v>1</v>
      </c>
      <c r="AP1163" s="54">
        <f>IFERROR(AO1163/AL1163,"")</f>
        <v/>
      </c>
      <c r="AQ1163" s="125">
        <f>IFERROR(R1163/AO1163,"")</f>
        <v/>
      </c>
      <c r="AR1163" s="122" t="n">
        <v>1</v>
      </c>
      <c r="AS1163" s="122" t="n">
        <v>1</v>
      </c>
      <c r="AT1163" s="122">
        <f>AL1163+AR1163</f>
        <v/>
      </c>
      <c r="AU1163" s="125">
        <f>IFERROR(AO1163*Assumptions!$C$26*Assumptions!$C$27*INDEX(Assumptions!$C$18:$C$21,MATCH(H1163,Assumptions!$B$18:$B$21,0)),0)</f>
        <v/>
      </c>
    </row>
    <row r="1164">
      <c r="A1164" s="120" t="n">
        <v>46254</v>
      </c>
      <c r="B1164" s="66" t="inlineStr">
        <is>
          <t>Wk 34</t>
        </is>
      </c>
      <c r="C1164" s="66" t="inlineStr">
        <is>
          <t>Thu</t>
        </is>
      </c>
      <c r="D1164" s="66" t="inlineStr">
        <is>
          <t>TikTok</t>
        </is>
      </c>
      <c r="E1164" s="66" t="inlineStr">
        <is>
          <t>TikTok</t>
        </is>
      </c>
      <c r="F1164" s="66" t="inlineStr">
        <is>
          <t>LEP_ZA_AUG26_TT_TD_PANTERA_CONV</t>
        </is>
      </c>
      <c r="G1164" s="66" t="inlineStr">
        <is>
          <t>Website Conversions</t>
        </is>
      </c>
      <c r="H1164" s="66" t="inlineStr">
        <is>
          <t>PANTERA</t>
        </is>
      </c>
      <c r="I1164" s="66" t="inlineStr">
        <is>
          <t>0% Deposit</t>
        </is>
      </c>
      <c r="J1164" s="66" t="inlineStr">
        <is>
          <t>TT_PANTERA_LAL_ENGAGERS_ZA</t>
        </is>
      </c>
      <c r="K1164" s="66" t="inlineStr">
        <is>
          <t>Lookalike</t>
        </is>
      </c>
      <c r="L1164" s="66" t="inlineStr">
        <is>
          <t>TT_PANTERA_UGC_18s_NightRun_v1</t>
        </is>
      </c>
      <c r="M1164" s="66" t="inlineStr">
        <is>
          <t>Video 9:16</t>
        </is>
      </c>
      <c r="N1164" s="66" t="inlineStr">
        <is>
          <t>Night run in the PANTERA</t>
        </is>
      </c>
      <c r="O1164" s="66" t="inlineStr">
        <is>
          <t>Auction - Cost Cap</t>
        </is>
      </c>
      <c r="P1164" s="66" t="inlineStr">
        <is>
          <t>Complete Payment / Lead</t>
        </is>
      </c>
      <c r="Q1164" s="66" t="inlineStr">
        <is>
          <t>https://www.lepas-sa.co.za/offers/pantera</t>
        </is>
      </c>
      <c r="R1164" s="121" t="n">
        <v>235.86</v>
      </c>
      <c r="S1164" s="122" t="n">
        <v>5214</v>
      </c>
      <c r="T1164" s="122" t="n">
        <v>2434</v>
      </c>
      <c r="U1164" s="123">
        <f>IFERROR(S1164/T1164,"")</f>
        <v/>
      </c>
      <c r="V1164" s="122" t="n">
        <v>49</v>
      </c>
      <c r="W1164" s="122" t="n">
        <v>36</v>
      </c>
      <c r="X1164" s="124">
        <f>IFERROR(W1164/S1164,"")</f>
        <v/>
      </c>
      <c r="Y1164" s="121">
        <f>IFERROR(R1164/W1164,"")</f>
        <v/>
      </c>
      <c r="Z1164" s="121">
        <f>IFERROR(R1164/S1164*1000,"")</f>
        <v/>
      </c>
      <c r="AA1164" s="122" t="n">
        <v>24</v>
      </c>
      <c r="AB1164" s="54">
        <f>IFERROR(AA1164/W1164,"")</f>
        <v/>
      </c>
      <c r="AC1164" s="122" t="n">
        <v>1535</v>
      </c>
      <c r="AD1164" s="122" t="n">
        <v>785</v>
      </c>
      <c r="AE1164" s="122" t="n">
        <v>797</v>
      </c>
      <c r="AF1164" s="122" t="n">
        <v>516</v>
      </c>
      <c r="AG1164" s="122" t="n">
        <v>357</v>
      </c>
      <c r="AH1164" s="122" t="n">
        <v>211</v>
      </c>
      <c r="AI1164" s="54">
        <f>IFERROR(AC1164/S1164,"")</f>
        <v/>
      </c>
      <c r="AJ1164" s="54">
        <f>IFERROR(AH1164/S1164,"")</f>
        <v/>
      </c>
      <c r="AK1164" s="122" t="n">
        <v>207</v>
      </c>
      <c r="AL1164" s="122" t="n">
        <v>0</v>
      </c>
      <c r="AM1164" s="124">
        <f>IFERROR(AL1164/AA1164,"")</f>
        <v/>
      </c>
      <c r="AN1164" s="125">
        <f>IFERROR(R1164/AL1164,"")</f>
        <v/>
      </c>
      <c r="AO1164" s="122" t="n">
        <v>0</v>
      </c>
      <c r="AP1164" s="54">
        <f>IFERROR(AO1164/AL1164,"")</f>
        <v/>
      </c>
      <c r="AQ1164" s="125">
        <f>IFERROR(R1164/AO1164,"")</f>
        <v/>
      </c>
      <c r="AR1164" s="122" t="n">
        <v>0</v>
      </c>
      <c r="AS1164" s="122" t="n">
        <v>0</v>
      </c>
      <c r="AT1164" s="122">
        <f>AL1164+AR1164</f>
        <v/>
      </c>
      <c r="AU1164" s="125">
        <f>IFERROR(AO1164*Assumptions!$C$26*Assumptions!$C$27*INDEX(Assumptions!$C$18:$C$21,MATCH(H1164,Assumptions!$B$18:$B$21,0)),0)</f>
        <v/>
      </c>
    </row>
    <row r="1165">
      <c r="A1165" s="120" t="n">
        <v>46255</v>
      </c>
      <c r="B1165" s="66" t="inlineStr">
        <is>
          <t>Wk 34</t>
        </is>
      </c>
      <c r="C1165" s="66" t="inlineStr">
        <is>
          <t>Fri</t>
        </is>
      </c>
      <c r="D1165" s="66" t="inlineStr">
        <is>
          <t>TikTok</t>
        </is>
      </c>
      <c r="E1165" s="66" t="inlineStr">
        <is>
          <t>TikTok</t>
        </is>
      </c>
      <c r="F1165" s="66" t="inlineStr">
        <is>
          <t>LEP_ZA_AUG26_TT_TD_PANTERA_CONV</t>
        </is>
      </c>
      <c r="G1165" s="66" t="inlineStr">
        <is>
          <t>Website Conversions</t>
        </is>
      </c>
      <c r="H1165" s="66" t="inlineStr">
        <is>
          <t>PANTERA</t>
        </is>
      </c>
      <c r="I1165" s="66" t="inlineStr">
        <is>
          <t>0% Deposit</t>
        </is>
      </c>
      <c r="J1165" s="66" t="inlineStr">
        <is>
          <t>TT_PANTERA_LAL_ENGAGERS_ZA</t>
        </is>
      </c>
      <c r="K1165" s="66" t="inlineStr">
        <is>
          <t>Lookalike</t>
        </is>
      </c>
      <c r="L1165" s="66" t="inlineStr">
        <is>
          <t>TT_PANTERA_UGC_18s_NightRun_v1</t>
        </is>
      </c>
      <c r="M1165" s="66" t="inlineStr">
        <is>
          <t>Video 9:16</t>
        </is>
      </c>
      <c r="N1165" s="66" t="inlineStr">
        <is>
          <t>Night run in the PANTERA</t>
        </is>
      </c>
      <c r="O1165" s="66" t="inlineStr">
        <is>
          <t>Auction - Cost Cap</t>
        </is>
      </c>
      <c r="P1165" s="66" t="inlineStr">
        <is>
          <t>Complete Payment / Lead</t>
        </is>
      </c>
      <c r="Q1165" s="66" t="inlineStr">
        <is>
          <t>https://www.lepas-sa.co.za/offers/pantera</t>
        </is>
      </c>
      <c r="R1165" s="121" t="n">
        <v>276.56</v>
      </c>
      <c r="S1165" s="122" t="n">
        <v>7909</v>
      </c>
      <c r="T1165" s="122" t="n">
        <v>3652</v>
      </c>
      <c r="U1165" s="123">
        <f>IFERROR(S1165/T1165,"")</f>
        <v/>
      </c>
      <c r="V1165" s="122" t="n">
        <v>109</v>
      </c>
      <c r="W1165" s="122" t="n">
        <v>87</v>
      </c>
      <c r="X1165" s="124">
        <f>IFERROR(W1165/S1165,"")</f>
        <v/>
      </c>
      <c r="Y1165" s="121">
        <f>IFERROR(R1165/W1165,"")</f>
        <v/>
      </c>
      <c r="Z1165" s="121">
        <f>IFERROR(R1165/S1165*1000,"")</f>
        <v/>
      </c>
      <c r="AA1165" s="122" t="n">
        <v>63</v>
      </c>
      <c r="AB1165" s="54">
        <f>IFERROR(AA1165/W1165,"")</f>
        <v/>
      </c>
      <c r="AC1165" s="122" t="n">
        <v>2114</v>
      </c>
      <c r="AD1165" s="122" t="n">
        <v>1267</v>
      </c>
      <c r="AE1165" s="122" t="n">
        <v>1100</v>
      </c>
      <c r="AF1165" s="122" t="n">
        <v>668</v>
      </c>
      <c r="AG1165" s="122" t="n">
        <v>522</v>
      </c>
      <c r="AH1165" s="122" t="n">
        <v>338</v>
      </c>
      <c r="AI1165" s="54">
        <f>IFERROR(AC1165/S1165,"")</f>
        <v/>
      </c>
      <c r="AJ1165" s="54">
        <f>IFERROR(AH1165/S1165,"")</f>
        <v/>
      </c>
      <c r="AK1165" s="122" t="n">
        <v>366</v>
      </c>
      <c r="AL1165" s="122" t="n">
        <v>0</v>
      </c>
      <c r="AM1165" s="124">
        <f>IFERROR(AL1165/AA1165,"")</f>
        <v/>
      </c>
      <c r="AN1165" s="125">
        <f>IFERROR(R1165/AL1165,"")</f>
        <v/>
      </c>
      <c r="AO1165" s="122" t="n">
        <v>0</v>
      </c>
      <c r="AP1165" s="54">
        <f>IFERROR(AO1165/AL1165,"")</f>
        <v/>
      </c>
      <c r="AQ1165" s="125">
        <f>IFERROR(R1165/AO1165,"")</f>
        <v/>
      </c>
      <c r="AR1165" s="122" t="n">
        <v>0</v>
      </c>
      <c r="AS1165" s="122" t="n">
        <v>0</v>
      </c>
      <c r="AT1165" s="122">
        <f>AL1165+AR1165</f>
        <v/>
      </c>
      <c r="AU1165" s="125">
        <f>IFERROR(AO1165*Assumptions!$C$26*Assumptions!$C$27*INDEX(Assumptions!$C$18:$C$21,MATCH(H1165,Assumptions!$B$18:$B$21,0)),0)</f>
        <v/>
      </c>
    </row>
    <row r="1166">
      <c r="A1166" s="120" t="n">
        <v>46256</v>
      </c>
      <c r="B1166" s="66" t="inlineStr">
        <is>
          <t>Wk 34</t>
        </is>
      </c>
      <c r="C1166" s="66" t="inlineStr">
        <is>
          <t>Sat</t>
        </is>
      </c>
      <c r="D1166" s="66" t="inlineStr">
        <is>
          <t>TikTok</t>
        </is>
      </c>
      <c r="E1166" s="66" t="inlineStr">
        <is>
          <t>TikTok</t>
        </is>
      </c>
      <c r="F1166" s="66" t="inlineStr">
        <is>
          <t>LEP_ZA_AUG26_TT_TD_PANTERA_CONV</t>
        </is>
      </c>
      <c r="G1166" s="66" t="inlineStr">
        <is>
          <t>Website Conversions</t>
        </is>
      </c>
      <c r="H1166" s="66" t="inlineStr">
        <is>
          <t>PANTERA</t>
        </is>
      </c>
      <c r="I1166" s="66" t="inlineStr">
        <is>
          <t>0% Deposit</t>
        </is>
      </c>
      <c r="J1166" s="66" t="inlineStr">
        <is>
          <t>TT_PANTERA_LAL_ENGAGERS_ZA</t>
        </is>
      </c>
      <c r="K1166" s="66" t="inlineStr">
        <is>
          <t>Lookalike</t>
        </is>
      </c>
      <c r="L1166" s="66" t="inlineStr">
        <is>
          <t>TT_PANTERA_UGC_18s_NightRun_v1</t>
        </is>
      </c>
      <c r="M1166" s="66" t="inlineStr">
        <is>
          <t>Video 9:16</t>
        </is>
      </c>
      <c r="N1166" s="66" t="inlineStr">
        <is>
          <t>Night run in the PANTERA</t>
        </is>
      </c>
      <c r="O1166" s="66" t="inlineStr">
        <is>
          <t>Auction - Cost Cap</t>
        </is>
      </c>
      <c r="P1166" s="66" t="inlineStr">
        <is>
          <t>Complete Payment / Lead</t>
        </is>
      </c>
      <c r="Q1166" s="66" t="inlineStr">
        <is>
          <t>https://www.lepas-sa.co.za/offers/pantera</t>
        </is>
      </c>
      <c r="R1166" s="121" t="n">
        <v>237.99</v>
      </c>
      <c r="S1166" s="122" t="n">
        <v>4917</v>
      </c>
      <c r="T1166" s="122" t="n">
        <v>2979</v>
      </c>
      <c r="U1166" s="123">
        <f>IFERROR(S1166/T1166,"")</f>
        <v/>
      </c>
      <c r="V1166" s="122" t="n">
        <v>78</v>
      </c>
      <c r="W1166" s="122" t="n">
        <v>57</v>
      </c>
      <c r="X1166" s="124">
        <f>IFERROR(W1166/S1166,"")</f>
        <v/>
      </c>
      <c r="Y1166" s="121">
        <f>IFERROR(R1166/W1166,"")</f>
        <v/>
      </c>
      <c r="Z1166" s="121">
        <f>IFERROR(R1166/S1166*1000,"")</f>
        <v/>
      </c>
      <c r="AA1166" s="122" t="n">
        <v>36</v>
      </c>
      <c r="AB1166" s="54">
        <f>IFERROR(AA1166/W1166,"")</f>
        <v/>
      </c>
      <c r="AC1166" s="122" t="n">
        <v>1767</v>
      </c>
      <c r="AD1166" s="122" t="n">
        <v>874</v>
      </c>
      <c r="AE1166" s="122" t="n">
        <v>748</v>
      </c>
      <c r="AF1166" s="122" t="n">
        <v>405</v>
      </c>
      <c r="AG1166" s="122" t="n">
        <v>281</v>
      </c>
      <c r="AH1166" s="122" t="n">
        <v>155</v>
      </c>
      <c r="AI1166" s="54">
        <f>IFERROR(AC1166/S1166,"")</f>
        <v/>
      </c>
      <c r="AJ1166" s="54">
        <f>IFERROR(AH1166/S1166,"")</f>
        <v/>
      </c>
      <c r="AK1166" s="122" t="n">
        <v>196</v>
      </c>
      <c r="AL1166" s="122" t="n">
        <v>0</v>
      </c>
      <c r="AM1166" s="124">
        <f>IFERROR(AL1166/AA1166,"")</f>
        <v/>
      </c>
      <c r="AN1166" s="125">
        <f>IFERROR(R1166/AL1166,"")</f>
        <v/>
      </c>
      <c r="AO1166" s="122" t="n">
        <v>0</v>
      </c>
      <c r="AP1166" s="54">
        <f>IFERROR(AO1166/AL1166,"")</f>
        <v/>
      </c>
      <c r="AQ1166" s="125">
        <f>IFERROR(R1166/AO1166,"")</f>
        <v/>
      </c>
      <c r="AR1166" s="122" t="n">
        <v>0</v>
      </c>
      <c r="AS1166" s="122" t="n">
        <v>0</v>
      </c>
      <c r="AT1166" s="122">
        <f>AL1166+AR1166</f>
        <v/>
      </c>
      <c r="AU1166" s="125">
        <f>IFERROR(AO1166*Assumptions!$C$26*Assumptions!$C$27*INDEX(Assumptions!$C$18:$C$21,MATCH(H1166,Assumptions!$B$18:$B$21,0)),0)</f>
        <v/>
      </c>
    </row>
    <row r="1167">
      <c r="A1167" s="120" t="n">
        <v>46257</v>
      </c>
      <c r="B1167" s="66" t="inlineStr">
        <is>
          <t>Wk 34</t>
        </is>
      </c>
      <c r="C1167" s="66" t="inlineStr">
        <is>
          <t>Sun</t>
        </is>
      </c>
      <c r="D1167" s="66" t="inlineStr">
        <is>
          <t>TikTok</t>
        </is>
      </c>
      <c r="E1167" s="66" t="inlineStr">
        <is>
          <t>TikTok</t>
        </is>
      </c>
      <c r="F1167" s="66" t="inlineStr">
        <is>
          <t>LEP_ZA_AUG26_TT_TD_PANTERA_CONV</t>
        </is>
      </c>
      <c r="G1167" s="66" t="inlineStr">
        <is>
          <t>Website Conversions</t>
        </is>
      </c>
      <c r="H1167" s="66" t="inlineStr">
        <is>
          <t>PANTERA</t>
        </is>
      </c>
      <c r="I1167" s="66" t="inlineStr">
        <is>
          <t>0% Deposit</t>
        </is>
      </c>
      <c r="J1167" s="66" t="inlineStr">
        <is>
          <t>TT_PANTERA_LAL_ENGAGERS_ZA</t>
        </is>
      </c>
      <c r="K1167" s="66" t="inlineStr">
        <is>
          <t>Lookalike</t>
        </is>
      </c>
      <c r="L1167" s="66" t="inlineStr">
        <is>
          <t>TT_PANTERA_UGC_18s_NightRun_v1</t>
        </is>
      </c>
      <c r="M1167" s="66" t="inlineStr">
        <is>
          <t>Video 9:16</t>
        </is>
      </c>
      <c r="N1167" s="66" t="inlineStr">
        <is>
          <t>Night run in the PANTERA</t>
        </is>
      </c>
      <c r="O1167" s="66" t="inlineStr">
        <is>
          <t>Auction - Cost Cap</t>
        </is>
      </c>
      <c r="P1167" s="66" t="inlineStr">
        <is>
          <t>Complete Payment / Lead</t>
        </is>
      </c>
      <c r="Q1167" s="66" t="inlineStr">
        <is>
          <t>https://www.lepas-sa.co.za/offers/pantera</t>
        </is>
      </c>
      <c r="R1167" s="121" t="n">
        <v>212.32</v>
      </c>
      <c r="S1167" s="122" t="n">
        <v>4291</v>
      </c>
      <c r="T1167" s="122" t="n">
        <v>2696</v>
      </c>
      <c r="U1167" s="123">
        <f>IFERROR(S1167/T1167,"")</f>
        <v/>
      </c>
      <c r="V1167" s="122" t="n">
        <v>64</v>
      </c>
      <c r="W1167" s="122" t="n">
        <v>46</v>
      </c>
      <c r="X1167" s="124">
        <f>IFERROR(W1167/S1167,"")</f>
        <v/>
      </c>
      <c r="Y1167" s="121">
        <f>IFERROR(R1167/W1167,"")</f>
        <v/>
      </c>
      <c r="Z1167" s="121">
        <f>IFERROR(R1167/S1167*1000,"")</f>
        <v/>
      </c>
      <c r="AA1167" s="122" t="n">
        <v>28</v>
      </c>
      <c r="AB1167" s="54">
        <f>IFERROR(AA1167/W1167,"")</f>
        <v/>
      </c>
      <c r="AC1167" s="122" t="n">
        <v>1365</v>
      </c>
      <c r="AD1167" s="122" t="n">
        <v>692</v>
      </c>
      <c r="AE1167" s="122" t="n">
        <v>581</v>
      </c>
      <c r="AF1167" s="122" t="n">
        <v>369</v>
      </c>
      <c r="AG1167" s="122" t="n">
        <v>291</v>
      </c>
      <c r="AH1167" s="122" t="n">
        <v>188</v>
      </c>
      <c r="AI1167" s="54">
        <f>IFERROR(AC1167/S1167,"")</f>
        <v/>
      </c>
      <c r="AJ1167" s="54">
        <f>IFERROR(AH1167/S1167,"")</f>
        <v/>
      </c>
      <c r="AK1167" s="122" t="n">
        <v>113</v>
      </c>
      <c r="AL1167" s="122" t="n">
        <v>1</v>
      </c>
      <c r="AM1167" s="124">
        <f>IFERROR(AL1167/AA1167,"")</f>
        <v/>
      </c>
      <c r="AN1167" s="125">
        <f>IFERROR(R1167/AL1167,"")</f>
        <v/>
      </c>
      <c r="AO1167" s="122" t="n">
        <v>0</v>
      </c>
      <c r="AP1167" s="54">
        <f>IFERROR(AO1167/AL1167,"")</f>
        <v/>
      </c>
      <c r="AQ1167" s="125">
        <f>IFERROR(R1167/AO1167,"")</f>
        <v/>
      </c>
      <c r="AR1167" s="122" t="n">
        <v>0</v>
      </c>
      <c r="AS1167" s="122" t="n">
        <v>1</v>
      </c>
      <c r="AT1167" s="122">
        <f>AL1167+AR1167</f>
        <v/>
      </c>
      <c r="AU1167" s="125">
        <f>IFERROR(AO1167*Assumptions!$C$26*Assumptions!$C$27*INDEX(Assumptions!$C$18:$C$21,MATCH(H1167,Assumptions!$B$18:$B$21,0)),0)</f>
        <v/>
      </c>
    </row>
    <row r="1168">
      <c r="A1168" s="120" t="n">
        <v>46258</v>
      </c>
      <c r="B1168" s="66" t="inlineStr">
        <is>
          <t>Wk 35</t>
        </is>
      </c>
      <c r="C1168" s="66" t="inlineStr">
        <is>
          <t>Mon</t>
        </is>
      </c>
      <c r="D1168" s="66" t="inlineStr">
        <is>
          <t>TikTok</t>
        </is>
      </c>
      <c r="E1168" s="66" t="inlineStr">
        <is>
          <t>TikTok</t>
        </is>
      </c>
      <c r="F1168" s="66" t="inlineStr">
        <is>
          <t>LEP_ZA_AUG26_TT_TD_PANTERA_CONV</t>
        </is>
      </c>
      <c r="G1168" s="66" t="inlineStr">
        <is>
          <t>Website Conversions</t>
        </is>
      </c>
      <c r="H1168" s="66" t="inlineStr">
        <is>
          <t>PANTERA</t>
        </is>
      </c>
      <c r="I1168" s="66" t="inlineStr">
        <is>
          <t>0% Deposit</t>
        </is>
      </c>
      <c r="J1168" s="66" t="inlineStr">
        <is>
          <t>TT_PANTERA_LAL_ENGAGERS_ZA</t>
        </is>
      </c>
      <c r="K1168" s="66" t="inlineStr">
        <is>
          <t>Lookalike</t>
        </is>
      </c>
      <c r="L1168" s="66" t="inlineStr">
        <is>
          <t>TT_PANTERA_UGC_18s_NightRun_v1</t>
        </is>
      </c>
      <c r="M1168" s="66" t="inlineStr">
        <is>
          <t>Video 9:16</t>
        </is>
      </c>
      <c r="N1168" s="66" t="inlineStr">
        <is>
          <t>Night run in the PANTERA</t>
        </is>
      </c>
      <c r="O1168" s="66" t="inlineStr">
        <is>
          <t>Auction - Cost Cap</t>
        </is>
      </c>
      <c r="P1168" s="66" t="inlineStr">
        <is>
          <t>Complete Payment / Lead</t>
        </is>
      </c>
      <c r="Q1168" s="66" t="inlineStr">
        <is>
          <t>https://www.lepas-sa.co.za/offers/pantera</t>
        </is>
      </c>
      <c r="R1168" s="121" t="n">
        <v>195.66</v>
      </c>
      <c r="S1168" s="122" t="n">
        <v>4985</v>
      </c>
      <c r="T1168" s="122" t="n">
        <v>3110</v>
      </c>
      <c r="U1168" s="123">
        <f>IFERROR(S1168/T1168,"")</f>
        <v/>
      </c>
      <c r="V1168" s="122" t="n">
        <v>73</v>
      </c>
      <c r="W1168" s="122" t="n">
        <v>59</v>
      </c>
      <c r="X1168" s="124">
        <f>IFERROR(W1168/S1168,"")</f>
        <v/>
      </c>
      <c r="Y1168" s="121">
        <f>IFERROR(R1168/W1168,"")</f>
        <v/>
      </c>
      <c r="Z1168" s="121">
        <f>IFERROR(R1168/S1168*1000,"")</f>
        <v/>
      </c>
      <c r="AA1168" s="122" t="n">
        <v>38</v>
      </c>
      <c r="AB1168" s="54">
        <f>IFERROR(AA1168/W1168,"")</f>
        <v/>
      </c>
      <c r="AC1168" s="122" t="n">
        <v>1599</v>
      </c>
      <c r="AD1168" s="122" t="n">
        <v>852</v>
      </c>
      <c r="AE1168" s="122" t="n">
        <v>705</v>
      </c>
      <c r="AF1168" s="122" t="n">
        <v>428</v>
      </c>
      <c r="AG1168" s="122" t="n">
        <v>270</v>
      </c>
      <c r="AH1168" s="122" t="n">
        <v>193</v>
      </c>
      <c r="AI1168" s="54">
        <f>IFERROR(AC1168/S1168,"")</f>
        <v/>
      </c>
      <c r="AJ1168" s="54">
        <f>IFERROR(AH1168/S1168,"")</f>
        <v/>
      </c>
      <c r="AK1168" s="122" t="n">
        <v>175</v>
      </c>
      <c r="AL1168" s="122" t="n">
        <v>1</v>
      </c>
      <c r="AM1168" s="124">
        <f>IFERROR(AL1168/AA1168,"")</f>
        <v/>
      </c>
      <c r="AN1168" s="125">
        <f>IFERROR(R1168/AL1168,"")</f>
        <v/>
      </c>
      <c r="AO1168" s="122" t="n">
        <v>1</v>
      </c>
      <c r="AP1168" s="54">
        <f>IFERROR(AO1168/AL1168,"")</f>
        <v/>
      </c>
      <c r="AQ1168" s="125">
        <f>IFERROR(R1168/AO1168,"")</f>
        <v/>
      </c>
      <c r="AR1168" s="122" t="n">
        <v>0</v>
      </c>
      <c r="AS1168" s="122" t="n">
        <v>0</v>
      </c>
      <c r="AT1168" s="122">
        <f>AL1168+AR1168</f>
        <v/>
      </c>
      <c r="AU1168" s="125">
        <f>IFERROR(AO1168*Assumptions!$C$26*Assumptions!$C$27*INDEX(Assumptions!$C$18:$C$21,MATCH(H1168,Assumptions!$B$18:$B$21,0)),0)</f>
        <v/>
      </c>
    </row>
    <row r="1169">
      <c r="A1169" s="120" t="n">
        <v>46259</v>
      </c>
      <c r="B1169" s="66" t="inlineStr">
        <is>
          <t>Wk 35</t>
        </is>
      </c>
      <c r="C1169" s="66" t="inlineStr">
        <is>
          <t>Tue</t>
        </is>
      </c>
      <c r="D1169" s="66" t="inlineStr">
        <is>
          <t>TikTok</t>
        </is>
      </c>
      <c r="E1169" s="66" t="inlineStr">
        <is>
          <t>TikTok</t>
        </is>
      </c>
      <c r="F1169" s="66" t="inlineStr">
        <is>
          <t>LEP_ZA_AUG26_TT_TD_PANTERA_CONV</t>
        </is>
      </c>
      <c r="G1169" s="66" t="inlineStr">
        <is>
          <t>Website Conversions</t>
        </is>
      </c>
      <c r="H1169" s="66" t="inlineStr">
        <is>
          <t>PANTERA</t>
        </is>
      </c>
      <c r="I1169" s="66" t="inlineStr">
        <is>
          <t>0% Deposit</t>
        </is>
      </c>
      <c r="J1169" s="66" t="inlineStr">
        <is>
          <t>TT_PANTERA_LAL_ENGAGERS_ZA</t>
        </is>
      </c>
      <c r="K1169" s="66" t="inlineStr">
        <is>
          <t>Lookalike</t>
        </is>
      </c>
      <c r="L1169" s="66" t="inlineStr">
        <is>
          <t>TT_PANTERA_UGC_18s_NightRun_v1</t>
        </is>
      </c>
      <c r="M1169" s="66" t="inlineStr">
        <is>
          <t>Video 9:16</t>
        </is>
      </c>
      <c r="N1169" s="66" t="inlineStr">
        <is>
          <t>Night run in the PANTERA</t>
        </is>
      </c>
      <c r="O1169" s="66" t="inlineStr">
        <is>
          <t>Auction - Cost Cap</t>
        </is>
      </c>
      <c r="P1169" s="66" t="inlineStr">
        <is>
          <t>Complete Payment / Lead</t>
        </is>
      </c>
      <c r="Q1169" s="66" t="inlineStr">
        <is>
          <t>https://www.lepas-sa.co.za/offers/pantera</t>
        </is>
      </c>
      <c r="R1169" s="121" t="n">
        <v>251.88</v>
      </c>
      <c r="S1169" s="122" t="n">
        <v>5576</v>
      </c>
      <c r="T1169" s="122" t="n">
        <v>2607</v>
      </c>
      <c r="U1169" s="123">
        <f>IFERROR(S1169/T1169,"")</f>
        <v/>
      </c>
      <c r="V1169" s="122" t="n">
        <v>42</v>
      </c>
      <c r="W1169" s="122" t="n">
        <v>30</v>
      </c>
      <c r="X1169" s="124">
        <f>IFERROR(W1169/S1169,"")</f>
        <v/>
      </c>
      <c r="Y1169" s="121">
        <f>IFERROR(R1169/W1169,"")</f>
        <v/>
      </c>
      <c r="Z1169" s="121">
        <f>IFERROR(R1169/S1169*1000,"")</f>
        <v/>
      </c>
      <c r="AA1169" s="122" t="n">
        <v>22</v>
      </c>
      <c r="AB1169" s="54">
        <f>IFERROR(AA1169/W1169,"")</f>
        <v/>
      </c>
      <c r="AC1169" s="122" t="n">
        <v>1328</v>
      </c>
      <c r="AD1169" s="122" t="n">
        <v>755</v>
      </c>
      <c r="AE1169" s="122" t="n">
        <v>566</v>
      </c>
      <c r="AF1169" s="122" t="n">
        <v>369</v>
      </c>
      <c r="AG1169" s="122" t="n">
        <v>238</v>
      </c>
      <c r="AH1169" s="122" t="n">
        <v>150</v>
      </c>
      <c r="AI1169" s="54">
        <f>IFERROR(AC1169/S1169,"")</f>
        <v/>
      </c>
      <c r="AJ1169" s="54">
        <f>IFERROR(AH1169/S1169,"")</f>
        <v/>
      </c>
      <c r="AK1169" s="122" t="n">
        <v>297</v>
      </c>
      <c r="AL1169" s="122" t="n">
        <v>1</v>
      </c>
      <c r="AM1169" s="124">
        <f>IFERROR(AL1169/AA1169,"")</f>
        <v/>
      </c>
      <c r="AN1169" s="125">
        <f>IFERROR(R1169/AL1169,"")</f>
        <v/>
      </c>
      <c r="AO1169" s="122" t="n">
        <v>1</v>
      </c>
      <c r="AP1169" s="54">
        <f>IFERROR(AO1169/AL1169,"")</f>
        <v/>
      </c>
      <c r="AQ1169" s="125">
        <f>IFERROR(R1169/AO1169,"")</f>
        <v/>
      </c>
      <c r="AR1169" s="122" t="n">
        <v>0</v>
      </c>
      <c r="AS1169" s="122" t="n">
        <v>0</v>
      </c>
      <c r="AT1169" s="122">
        <f>AL1169+AR1169</f>
        <v/>
      </c>
      <c r="AU1169" s="125">
        <f>IFERROR(AO1169*Assumptions!$C$26*Assumptions!$C$27*INDEX(Assumptions!$C$18:$C$21,MATCH(H1169,Assumptions!$B$18:$B$21,0)),0)</f>
        <v/>
      </c>
    </row>
    <row r="1170">
      <c r="A1170" s="120" t="n">
        <v>46260</v>
      </c>
      <c r="B1170" s="66" t="inlineStr">
        <is>
          <t>Wk 35</t>
        </is>
      </c>
      <c r="C1170" s="66" t="inlineStr">
        <is>
          <t>Wed</t>
        </is>
      </c>
      <c r="D1170" s="66" t="inlineStr">
        <is>
          <t>TikTok</t>
        </is>
      </c>
      <c r="E1170" s="66" t="inlineStr">
        <is>
          <t>TikTok</t>
        </is>
      </c>
      <c r="F1170" s="66" t="inlineStr">
        <is>
          <t>LEP_ZA_AUG26_TT_TD_PANTERA_CONV</t>
        </is>
      </c>
      <c r="G1170" s="66" t="inlineStr">
        <is>
          <t>Website Conversions</t>
        </is>
      </c>
      <c r="H1170" s="66" t="inlineStr">
        <is>
          <t>PANTERA</t>
        </is>
      </c>
      <c r="I1170" s="66" t="inlineStr">
        <is>
          <t>0% Deposit</t>
        </is>
      </c>
      <c r="J1170" s="66" t="inlineStr">
        <is>
          <t>TT_PANTERA_LAL_ENGAGERS_ZA</t>
        </is>
      </c>
      <c r="K1170" s="66" t="inlineStr">
        <is>
          <t>Lookalike</t>
        </is>
      </c>
      <c r="L1170" s="66" t="inlineStr">
        <is>
          <t>TT_PANTERA_UGC_18s_NightRun_v1</t>
        </is>
      </c>
      <c r="M1170" s="66" t="inlineStr">
        <is>
          <t>Video 9:16</t>
        </is>
      </c>
      <c r="N1170" s="66" t="inlineStr">
        <is>
          <t>Night run in the PANTERA</t>
        </is>
      </c>
      <c r="O1170" s="66" t="inlineStr">
        <is>
          <t>Auction - Cost Cap</t>
        </is>
      </c>
      <c r="P1170" s="66" t="inlineStr">
        <is>
          <t>Complete Payment / Lead</t>
        </is>
      </c>
      <c r="Q1170" s="66" t="inlineStr">
        <is>
          <t>https://www.lepas-sa.co.za/offers/pantera</t>
        </is>
      </c>
      <c r="R1170" s="121" t="n">
        <v>226.95</v>
      </c>
      <c r="S1170" s="122" t="n">
        <v>4206</v>
      </c>
      <c r="T1170" s="122" t="n">
        <v>2337</v>
      </c>
      <c r="U1170" s="123">
        <f>IFERROR(S1170/T1170,"")</f>
        <v/>
      </c>
      <c r="V1170" s="122" t="n">
        <v>48</v>
      </c>
      <c r="W1170" s="122" t="n">
        <v>36</v>
      </c>
      <c r="X1170" s="124">
        <f>IFERROR(W1170/S1170,"")</f>
        <v/>
      </c>
      <c r="Y1170" s="121">
        <f>IFERROR(R1170/W1170,"")</f>
        <v/>
      </c>
      <c r="Z1170" s="121">
        <f>IFERROR(R1170/S1170*1000,"")</f>
        <v/>
      </c>
      <c r="AA1170" s="122" t="n">
        <v>27</v>
      </c>
      <c r="AB1170" s="54">
        <f>IFERROR(AA1170/W1170,"")</f>
        <v/>
      </c>
      <c r="AC1170" s="122" t="n">
        <v>1313</v>
      </c>
      <c r="AD1170" s="122" t="n">
        <v>750</v>
      </c>
      <c r="AE1170" s="122" t="n">
        <v>634</v>
      </c>
      <c r="AF1170" s="122" t="n">
        <v>417</v>
      </c>
      <c r="AG1170" s="122" t="n">
        <v>284</v>
      </c>
      <c r="AH1170" s="122" t="n">
        <v>168</v>
      </c>
      <c r="AI1170" s="54">
        <f>IFERROR(AC1170/S1170,"")</f>
        <v/>
      </c>
      <c r="AJ1170" s="54">
        <f>IFERROR(AH1170/S1170,"")</f>
        <v/>
      </c>
      <c r="AK1170" s="122" t="n">
        <v>190</v>
      </c>
      <c r="AL1170" s="122" t="n">
        <v>1</v>
      </c>
      <c r="AM1170" s="124">
        <f>IFERROR(AL1170/AA1170,"")</f>
        <v/>
      </c>
      <c r="AN1170" s="125">
        <f>IFERROR(R1170/AL1170,"")</f>
        <v/>
      </c>
      <c r="AO1170" s="122" t="n">
        <v>0</v>
      </c>
      <c r="AP1170" s="54">
        <f>IFERROR(AO1170/AL1170,"")</f>
        <v/>
      </c>
      <c r="AQ1170" s="125">
        <f>IFERROR(R1170/AO1170,"")</f>
        <v/>
      </c>
      <c r="AR1170" s="122" t="n">
        <v>0</v>
      </c>
      <c r="AS1170" s="122" t="n">
        <v>1</v>
      </c>
      <c r="AT1170" s="122">
        <f>AL1170+AR1170</f>
        <v/>
      </c>
      <c r="AU1170" s="125">
        <f>IFERROR(AO1170*Assumptions!$C$26*Assumptions!$C$27*INDEX(Assumptions!$C$18:$C$21,MATCH(H1170,Assumptions!$B$18:$B$21,0)),0)</f>
        <v/>
      </c>
    </row>
    <row r="1171">
      <c r="A1171" s="120" t="n">
        <v>46261</v>
      </c>
      <c r="B1171" s="66" t="inlineStr">
        <is>
          <t>Wk 35</t>
        </is>
      </c>
      <c r="C1171" s="66" t="inlineStr">
        <is>
          <t>Thu</t>
        </is>
      </c>
      <c r="D1171" s="66" t="inlineStr">
        <is>
          <t>TikTok</t>
        </is>
      </c>
      <c r="E1171" s="66" t="inlineStr">
        <is>
          <t>TikTok</t>
        </is>
      </c>
      <c r="F1171" s="66" t="inlineStr">
        <is>
          <t>LEP_ZA_AUG26_TT_TD_PANTERA_CONV</t>
        </is>
      </c>
      <c r="G1171" s="66" t="inlineStr">
        <is>
          <t>Website Conversions</t>
        </is>
      </c>
      <c r="H1171" s="66" t="inlineStr">
        <is>
          <t>PANTERA</t>
        </is>
      </c>
      <c r="I1171" s="66" t="inlineStr">
        <is>
          <t>0% Deposit</t>
        </is>
      </c>
      <c r="J1171" s="66" t="inlineStr">
        <is>
          <t>TT_PANTERA_LAL_ENGAGERS_ZA</t>
        </is>
      </c>
      <c r="K1171" s="66" t="inlineStr">
        <is>
          <t>Lookalike</t>
        </is>
      </c>
      <c r="L1171" s="66" t="inlineStr">
        <is>
          <t>TT_PANTERA_UGC_18s_NightRun_v1</t>
        </is>
      </c>
      <c r="M1171" s="66" t="inlineStr">
        <is>
          <t>Video 9:16</t>
        </is>
      </c>
      <c r="N1171" s="66" t="inlineStr">
        <is>
          <t>Night run in the PANTERA</t>
        </is>
      </c>
      <c r="O1171" s="66" t="inlineStr">
        <is>
          <t>Auction - Cost Cap</t>
        </is>
      </c>
      <c r="P1171" s="66" t="inlineStr">
        <is>
          <t>Complete Payment / Lead</t>
        </is>
      </c>
      <c r="Q1171" s="66" t="inlineStr">
        <is>
          <t>https://www.lepas-sa.co.za/offers/pantera</t>
        </is>
      </c>
      <c r="R1171" s="121" t="n">
        <v>343.79</v>
      </c>
      <c r="S1171" s="122" t="n">
        <v>9691</v>
      </c>
      <c r="T1171" s="122" t="n">
        <v>4518</v>
      </c>
      <c r="U1171" s="123">
        <f>IFERROR(S1171/T1171,"")</f>
        <v/>
      </c>
      <c r="V1171" s="122" t="n">
        <v>113</v>
      </c>
      <c r="W1171" s="122" t="n">
        <v>90</v>
      </c>
      <c r="X1171" s="124">
        <f>IFERROR(W1171/S1171,"")</f>
        <v/>
      </c>
      <c r="Y1171" s="121">
        <f>IFERROR(R1171/W1171,"")</f>
        <v/>
      </c>
      <c r="Z1171" s="121">
        <f>IFERROR(R1171/S1171*1000,"")</f>
        <v/>
      </c>
      <c r="AA1171" s="122" t="n">
        <v>57</v>
      </c>
      <c r="AB1171" s="54">
        <f>IFERROR(AA1171/W1171,"")</f>
        <v/>
      </c>
      <c r="AC1171" s="122" t="n">
        <v>2369</v>
      </c>
      <c r="AD1171" s="122" t="n">
        <v>1222</v>
      </c>
      <c r="AE1171" s="122" t="n">
        <v>975</v>
      </c>
      <c r="AF1171" s="122" t="n">
        <v>584</v>
      </c>
      <c r="AG1171" s="122" t="n">
        <v>414</v>
      </c>
      <c r="AH1171" s="122" t="n">
        <v>277</v>
      </c>
      <c r="AI1171" s="54">
        <f>IFERROR(AC1171/S1171,"")</f>
        <v/>
      </c>
      <c r="AJ1171" s="54">
        <f>IFERROR(AH1171/S1171,"")</f>
        <v/>
      </c>
      <c r="AK1171" s="122" t="n">
        <v>333</v>
      </c>
      <c r="AL1171" s="122" t="n">
        <v>0</v>
      </c>
      <c r="AM1171" s="124">
        <f>IFERROR(AL1171/AA1171,"")</f>
        <v/>
      </c>
      <c r="AN1171" s="125">
        <f>IFERROR(R1171/AL1171,"")</f>
        <v/>
      </c>
      <c r="AO1171" s="122" t="n">
        <v>0</v>
      </c>
      <c r="AP1171" s="54">
        <f>IFERROR(AO1171/AL1171,"")</f>
        <v/>
      </c>
      <c r="AQ1171" s="125">
        <f>IFERROR(R1171/AO1171,"")</f>
        <v/>
      </c>
      <c r="AR1171" s="122" t="n">
        <v>0</v>
      </c>
      <c r="AS1171" s="122" t="n">
        <v>0</v>
      </c>
      <c r="AT1171" s="122">
        <f>AL1171+AR1171</f>
        <v/>
      </c>
      <c r="AU1171" s="125">
        <f>IFERROR(AO1171*Assumptions!$C$26*Assumptions!$C$27*INDEX(Assumptions!$C$18:$C$21,MATCH(H1171,Assumptions!$B$18:$B$21,0)),0)</f>
        <v/>
      </c>
    </row>
    <row r="1172">
      <c r="A1172" s="120" t="n">
        <v>46262</v>
      </c>
      <c r="B1172" s="66" t="inlineStr">
        <is>
          <t>Wk 35</t>
        </is>
      </c>
      <c r="C1172" s="66" t="inlineStr">
        <is>
          <t>Fri</t>
        </is>
      </c>
      <c r="D1172" s="66" t="inlineStr">
        <is>
          <t>TikTok</t>
        </is>
      </c>
      <c r="E1172" s="66" t="inlineStr">
        <is>
          <t>TikTok</t>
        </is>
      </c>
      <c r="F1172" s="66" t="inlineStr">
        <is>
          <t>LEP_ZA_AUG26_TT_TD_PANTERA_CONV</t>
        </is>
      </c>
      <c r="G1172" s="66" t="inlineStr">
        <is>
          <t>Website Conversions</t>
        </is>
      </c>
      <c r="H1172" s="66" t="inlineStr">
        <is>
          <t>PANTERA</t>
        </is>
      </c>
      <c r="I1172" s="66" t="inlineStr">
        <is>
          <t>0% Deposit</t>
        </is>
      </c>
      <c r="J1172" s="66" t="inlineStr">
        <is>
          <t>TT_PANTERA_LAL_ENGAGERS_ZA</t>
        </is>
      </c>
      <c r="K1172" s="66" t="inlineStr">
        <is>
          <t>Lookalike</t>
        </is>
      </c>
      <c r="L1172" s="66" t="inlineStr">
        <is>
          <t>TT_PANTERA_UGC_18s_NightRun_v1</t>
        </is>
      </c>
      <c r="M1172" s="66" t="inlineStr">
        <is>
          <t>Video 9:16</t>
        </is>
      </c>
      <c r="N1172" s="66" t="inlineStr">
        <is>
          <t>Night run in the PANTERA</t>
        </is>
      </c>
      <c r="O1172" s="66" t="inlineStr">
        <is>
          <t>Auction - Cost Cap</t>
        </is>
      </c>
      <c r="P1172" s="66" t="inlineStr">
        <is>
          <t>Complete Payment / Lead</t>
        </is>
      </c>
      <c r="Q1172" s="66" t="inlineStr">
        <is>
          <t>https://www.lepas-sa.co.za/offers/pantera</t>
        </is>
      </c>
      <c r="R1172" s="121" t="n">
        <v>308.55</v>
      </c>
      <c r="S1172" s="122" t="n">
        <v>7038</v>
      </c>
      <c r="T1172" s="122" t="n">
        <v>4083</v>
      </c>
      <c r="U1172" s="123">
        <f>IFERROR(S1172/T1172,"")</f>
        <v/>
      </c>
      <c r="V1172" s="122" t="n">
        <v>61</v>
      </c>
      <c r="W1172" s="122" t="n">
        <v>45</v>
      </c>
      <c r="X1172" s="124">
        <f>IFERROR(W1172/S1172,"")</f>
        <v/>
      </c>
      <c r="Y1172" s="121">
        <f>IFERROR(R1172/W1172,"")</f>
        <v/>
      </c>
      <c r="Z1172" s="121">
        <f>IFERROR(R1172/S1172*1000,"")</f>
        <v/>
      </c>
      <c r="AA1172" s="122" t="n">
        <v>30</v>
      </c>
      <c r="AB1172" s="54">
        <f>IFERROR(AA1172/W1172,"")</f>
        <v/>
      </c>
      <c r="AC1172" s="122" t="n">
        <v>1938</v>
      </c>
      <c r="AD1172" s="122" t="n">
        <v>1214</v>
      </c>
      <c r="AE1172" s="122" t="n">
        <v>824</v>
      </c>
      <c r="AF1172" s="122" t="n">
        <v>544</v>
      </c>
      <c r="AG1172" s="122" t="n">
        <v>365</v>
      </c>
      <c r="AH1172" s="122" t="n">
        <v>245</v>
      </c>
      <c r="AI1172" s="54">
        <f>IFERROR(AC1172/S1172,"")</f>
        <v/>
      </c>
      <c r="AJ1172" s="54">
        <f>IFERROR(AH1172/S1172,"")</f>
        <v/>
      </c>
      <c r="AK1172" s="122" t="n">
        <v>260</v>
      </c>
      <c r="AL1172" s="122" t="n">
        <v>1</v>
      </c>
      <c r="AM1172" s="124">
        <f>IFERROR(AL1172/AA1172,"")</f>
        <v/>
      </c>
      <c r="AN1172" s="125">
        <f>IFERROR(R1172/AL1172,"")</f>
        <v/>
      </c>
      <c r="AO1172" s="122" t="n">
        <v>1</v>
      </c>
      <c r="AP1172" s="54">
        <f>IFERROR(AO1172/AL1172,"")</f>
        <v/>
      </c>
      <c r="AQ1172" s="125">
        <f>IFERROR(R1172/AO1172,"")</f>
        <v/>
      </c>
      <c r="AR1172" s="122" t="n">
        <v>1</v>
      </c>
      <c r="AS1172" s="122" t="n">
        <v>0</v>
      </c>
      <c r="AT1172" s="122">
        <f>AL1172+AR1172</f>
        <v/>
      </c>
      <c r="AU1172" s="125">
        <f>IFERROR(AO1172*Assumptions!$C$26*Assumptions!$C$27*INDEX(Assumptions!$C$18:$C$21,MATCH(H1172,Assumptions!$B$18:$B$21,0)),0)</f>
        <v/>
      </c>
    </row>
    <row r="1173">
      <c r="A1173" s="120" t="n">
        <v>46263</v>
      </c>
      <c r="B1173" s="66" t="inlineStr">
        <is>
          <t>Wk 35</t>
        </is>
      </c>
      <c r="C1173" s="66" t="inlineStr">
        <is>
          <t>Sat</t>
        </is>
      </c>
      <c r="D1173" s="66" t="inlineStr">
        <is>
          <t>TikTok</t>
        </is>
      </c>
      <c r="E1173" s="66" t="inlineStr">
        <is>
          <t>TikTok</t>
        </is>
      </c>
      <c r="F1173" s="66" t="inlineStr">
        <is>
          <t>LEP_ZA_AUG26_TT_TD_PANTERA_CONV</t>
        </is>
      </c>
      <c r="G1173" s="66" t="inlineStr">
        <is>
          <t>Website Conversions</t>
        </is>
      </c>
      <c r="H1173" s="66" t="inlineStr">
        <is>
          <t>PANTERA</t>
        </is>
      </c>
      <c r="I1173" s="66" t="inlineStr">
        <is>
          <t>0% Deposit</t>
        </is>
      </c>
      <c r="J1173" s="66" t="inlineStr">
        <is>
          <t>TT_PANTERA_LAL_ENGAGERS_ZA</t>
        </is>
      </c>
      <c r="K1173" s="66" t="inlineStr">
        <is>
          <t>Lookalike</t>
        </is>
      </c>
      <c r="L1173" s="66" t="inlineStr">
        <is>
          <t>TT_PANTERA_UGC_18s_NightRun_v1</t>
        </is>
      </c>
      <c r="M1173" s="66" t="inlineStr">
        <is>
          <t>Video 9:16</t>
        </is>
      </c>
      <c r="N1173" s="66" t="inlineStr">
        <is>
          <t>Night run in the PANTERA</t>
        </is>
      </c>
      <c r="O1173" s="66" t="inlineStr">
        <is>
          <t>Auction - Cost Cap</t>
        </is>
      </c>
      <c r="P1173" s="66" t="inlineStr">
        <is>
          <t>Complete Payment / Lead</t>
        </is>
      </c>
      <c r="Q1173" s="66" t="inlineStr">
        <is>
          <t>https://www.lepas-sa.co.za/offers/pantera</t>
        </is>
      </c>
      <c r="R1173" s="121" t="n">
        <v>268.1</v>
      </c>
      <c r="S1173" s="122" t="n">
        <v>7770</v>
      </c>
      <c r="T1173" s="122" t="n">
        <v>3483</v>
      </c>
      <c r="U1173" s="123">
        <f>IFERROR(S1173/T1173,"")</f>
        <v/>
      </c>
      <c r="V1173" s="122" t="n">
        <v>56</v>
      </c>
      <c r="W1173" s="122" t="n">
        <v>47</v>
      </c>
      <c r="X1173" s="124">
        <f>IFERROR(W1173/S1173,"")</f>
        <v/>
      </c>
      <c r="Y1173" s="121">
        <f>IFERROR(R1173/W1173,"")</f>
        <v/>
      </c>
      <c r="Z1173" s="121">
        <f>IFERROR(R1173/S1173*1000,"")</f>
        <v/>
      </c>
      <c r="AA1173" s="122" t="n">
        <v>32</v>
      </c>
      <c r="AB1173" s="54">
        <f>IFERROR(AA1173/W1173,"")</f>
        <v/>
      </c>
      <c r="AC1173" s="122" t="n">
        <v>2098</v>
      </c>
      <c r="AD1173" s="122" t="n">
        <v>980</v>
      </c>
      <c r="AE1173" s="122" t="n">
        <v>1130</v>
      </c>
      <c r="AF1173" s="122" t="n">
        <v>796</v>
      </c>
      <c r="AG1173" s="122" t="n">
        <v>588</v>
      </c>
      <c r="AH1173" s="122" t="n">
        <v>429</v>
      </c>
      <c r="AI1173" s="54">
        <f>IFERROR(AC1173/S1173,"")</f>
        <v/>
      </c>
      <c r="AJ1173" s="54">
        <f>IFERROR(AH1173/S1173,"")</f>
        <v/>
      </c>
      <c r="AK1173" s="122" t="n">
        <v>227</v>
      </c>
      <c r="AL1173" s="122" t="n">
        <v>1</v>
      </c>
      <c r="AM1173" s="124">
        <f>IFERROR(AL1173/AA1173,"")</f>
        <v/>
      </c>
      <c r="AN1173" s="125">
        <f>IFERROR(R1173/AL1173,"")</f>
        <v/>
      </c>
      <c r="AO1173" s="122" t="n">
        <v>1</v>
      </c>
      <c r="AP1173" s="54">
        <f>IFERROR(AO1173/AL1173,"")</f>
        <v/>
      </c>
      <c r="AQ1173" s="125">
        <f>IFERROR(R1173/AO1173,"")</f>
        <v/>
      </c>
      <c r="AR1173" s="122" t="n">
        <v>0</v>
      </c>
      <c r="AS1173" s="122" t="n">
        <v>0</v>
      </c>
      <c r="AT1173" s="122">
        <f>AL1173+AR1173</f>
        <v/>
      </c>
      <c r="AU1173" s="125">
        <f>IFERROR(AO1173*Assumptions!$C$26*Assumptions!$C$27*INDEX(Assumptions!$C$18:$C$21,MATCH(H1173,Assumptions!$B$18:$B$21,0)),0)</f>
        <v/>
      </c>
    </row>
    <row r="1174">
      <c r="A1174" s="120" t="n">
        <v>46264</v>
      </c>
      <c r="B1174" s="66" t="inlineStr">
        <is>
          <t>Wk 35</t>
        </is>
      </c>
      <c r="C1174" s="66" t="inlineStr">
        <is>
          <t>Sun</t>
        </is>
      </c>
      <c r="D1174" s="66" t="inlineStr">
        <is>
          <t>TikTok</t>
        </is>
      </c>
      <c r="E1174" s="66" t="inlineStr">
        <is>
          <t>TikTok</t>
        </is>
      </c>
      <c r="F1174" s="66" t="inlineStr">
        <is>
          <t>LEP_ZA_AUG26_TT_TD_PANTERA_CONV</t>
        </is>
      </c>
      <c r="G1174" s="66" t="inlineStr">
        <is>
          <t>Website Conversions</t>
        </is>
      </c>
      <c r="H1174" s="66" t="inlineStr">
        <is>
          <t>PANTERA</t>
        </is>
      </c>
      <c r="I1174" s="66" t="inlineStr">
        <is>
          <t>0% Deposit</t>
        </is>
      </c>
      <c r="J1174" s="66" t="inlineStr">
        <is>
          <t>TT_PANTERA_LAL_ENGAGERS_ZA</t>
        </is>
      </c>
      <c r="K1174" s="66" t="inlineStr">
        <is>
          <t>Lookalike</t>
        </is>
      </c>
      <c r="L1174" s="66" t="inlineStr">
        <is>
          <t>TT_PANTERA_UGC_18s_NightRun_v1</t>
        </is>
      </c>
      <c r="M1174" s="66" t="inlineStr">
        <is>
          <t>Video 9:16</t>
        </is>
      </c>
      <c r="N1174" s="66" t="inlineStr">
        <is>
          <t>Night run in the PANTERA</t>
        </is>
      </c>
      <c r="O1174" s="66" t="inlineStr">
        <is>
          <t>Auction - Cost Cap</t>
        </is>
      </c>
      <c r="P1174" s="66" t="inlineStr">
        <is>
          <t>Complete Payment / Lead</t>
        </is>
      </c>
      <c r="Q1174" s="66" t="inlineStr">
        <is>
          <t>https://www.lepas-sa.co.za/offers/pantera</t>
        </is>
      </c>
      <c r="R1174" s="121" t="n">
        <v>221.9</v>
      </c>
      <c r="S1174" s="122" t="n">
        <v>6019</v>
      </c>
      <c r="T1174" s="122" t="n">
        <v>2836</v>
      </c>
      <c r="U1174" s="123">
        <f>IFERROR(S1174/T1174,"")</f>
        <v/>
      </c>
      <c r="V1174" s="122" t="n">
        <v>67</v>
      </c>
      <c r="W1174" s="122" t="n">
        <v>53</v>
      </c>
      <c r="X1174" s="124">
        <f>IFERROR(W1174/S1174,"")</f>
        <v/>
      </c>
      <c r="Y1174" s="121">
        <f>IFERROR(R1174/W1174,"")</f>
        <v/>
      </c>
      <c r="Z1174" s="121">
        <f>IFERROR(R1174/S1174*1000,"")</f>
        <v/>
      </c>
      <c r="AA1174" s="122" t="n">
        <v>37</v>
      </c>
      <c r="AB1174" s="54">
        <f>IFERROR(AA1174/W1174,"")</f>
        <v/>
      </c>
      <c r="AC1174" s="122" t="n">
        <v>1580</v>
      </c>
      <c r="AD1174" s="122" t="n">
        <v>708</v>
      </c>
      <c r="AE1174" s="122" t="n">
        <v>748</v>
      </c>
      <c r="AF1174" s="122" t="n">
        <v>490</v>
      </c>
      <c r="AG1174" s="122" t="n">
        <v>324</v>
      </c>
      <c r="AH1174" s="122" t="n">
        <v>198</v>
      </c>
      <c r="AI1174" s="54">
        <f>IFERROR(AC1174/S1174,"")</f>
        <v/>
      </c>
      <c r="AJ1174" s="54">
        <f>IFERROR(AH1174/S1174,"")</f>
        <v/>
      </c>
      <c r="AK1174" s="122" t="n">
        <v>303</v>
      </c>
      <c r="AL1174" s="122" t="n">
        <v>0</v>
      </c>
      <c r="AM1174" s="124">
        <f>IFERROR(AL1174/AA1174,"")</f>
        <v/>
      </c>
      <c r="AN1174" s="125">
        <f>IFERROR(R1174/AL1174,"")</f>
        <v/>
      </c>
      <c r="AO1174" s="122" t="n">
        <v>0</v>
      </c>
      <c r="AP1174" s="54">
        <f>IFERROR(AO1174/AL1174,"")</f>
        <v/>
      </c>
      <c r="AQ1174" s="125">
        <f>IFERROR(R1174/AO1174,"")</f>
        <v/>
      </c>
      <c r="AR1174" s="122" t="n">
        <v>0</v>
      </c>
      <c r="AS1174" s="122" t="n">
        <v>0</v>
      </c>
      <c r="AT1174" s="122">
        <f>AL1174+AR1174</f>
        <v/>
      </c>
      <c r="AU1174" s="125">
        <f>IFERROR(AO1174*Assumptions!$C$26*Assumptions!$C$27*INDEX(Assumptions!$C$18:$C$21,MATCH(H1174,Assumptions!$B$18:$B$21,0)),0)</f>
        <v/>
      </c>
    </row>
    <row r="1175">
      <c r="A1175" s="120" t="n">
        <v>46265</v>
      </c>
      <c r="B1175" s="66" t="inlineStr">
        <is>
          <t>Wk 36</t>
        </is>
      </c>
      <c r="C1175" s="66" t="inlineStr">
        <is>
          <t>Mon</t>
        </is>
      </c>
      <c r="D1175" s="66" t="inlineStr">
        <is>
          <t>TikTok</t>
        </is>
      </c>
      <c r="E1175" s="66" t="inlineStr">
        <is>
          <t>TikTok</t>
        </is>
      </c>
      <c r="F1175" s="66" t="inlineStr">
        <is>
          <t>LEP_ZA_AUG26_TT_TD_PANTERA_CONV</t>
        </is>
      </c>
      <c r="G1175" s="66" t="inlineStr">
        <is>
          <t>Website Conversions</t>
        </is>
      </c>
      <c r="H1175" s="66" t="inlineStr">
        <is>
          <t>PANTERA</t>
        </is>
      </c>
      <c r="I1175" s="66" t="inlineStr">
        <is>
          <t>0% Deposit</t>
        </is>
      </c>
      <c r="J1175" s="66" t="inlineStr">
        <is>
          <t>TT_PANTERA_LAL_ENGAGERS_ZA</t>
        </is>
      </c>
      <c r="K1175" s="66" t="inlineStr">
        <is>
          <t>Lookalike</t>
        </is>
      </c>
      <c r="L1175" s="66" t="inlineStr">
        <is>
          <t>TT_PANTERA_UGC_18s_NightRun_v1</t>
        </is>
      </c>
      <c r="M1175" s="66" t="inlineStr">
        <is>
          <t>Video 9:16</t>
        </is>
      </c>
      <c r="N1175" s="66" t="inlineStr">
        <is>
          <t>Night run in the PANTERA</t>
        </is>
      </c>
      <c r="O1175" s="66" t="inlineStr">
        <is>
          <t>Auction - Cost Cap</t>
        </is>
      </c>
      <c r="P1175" s="66" t="inlineStr">
        <is>
          <t>Complete Payment / Lead</t>
        </is>
      </c>
      <c r="Q1175" s="66" t="inlineStr">
        <is>
          <t>https://www.lepas-sa.co.za/offers/pantera</t>
        </is>
      </c>
      <c r="R1175" s="121" t="n">
        <v>226.96</v>
      </c>
      <c r="S1175" s="122" t="n">
        <v>4948</v>
      </c>
      <c r="T1175" s="122" t="n">
        <v>2326</v>
      </c>
      <c r="U1175" s="123">
        <f>IFERROR(S1175/T1175,"")</f>
        <v/>
      </c>
      <c r="V1175" s="122" t="n">
        <v>75</v>
      </c>
      <c r="W1175" s="122" t="n">
        <v>54</v>
      </c>
      <c r="X1175" s="124">
        <f>IFERROR(W1175/S1175,"")</f>
        <v/>
      </c>
      <c r="Y1175" s="121">
        <f>IFERROR(R1175/W1175,"")</f>
        <v/>
      </c>
      <c r="Z1175" s="121">
        <f>IFERROR(R1175/S1175*1000,"")</f>
        <v/>
      </c>
      <c r="AA1175" s="122" t="n">
        <v>37</v>
      </c>
      <c r="AB1175" s="54">
        <f>IFERROR(AA1175/W1175,"")</f>
        <v/>
      </c>
      <c r="AC1175" s="122" t="n">
        <v>1888</v>
      </c>
      <c r="AD1175" s="122" t="n">
        <v>1027</v>
      </c>
      <c r="AE1175" s="122" t="n">
        <v>815</v>
      </c>
      <c r="AF1175" s="122" t="n">
        <v>449</v>
      </c>
      <c r="AG1175" s="122" t="n">
        <v>352</v>
      </c>
      <c r="AH1175" s="122" t="n">
        <v>243</v>
      </c>
      <c r="AI1175" s="54">
        <f>IFERROR(AC1175/S1175,"")</f>
        <v/>
      </c>
      <c r="AJ1175" s="54">
        <f>IFERROR(AH1175/S1175,"")</f>
        <v/>
      </c>
      <c r="AK1175" s="122" t="n">
        <v>262</v>
      </c>
      <c r="AL1175" s="122" t="n">
        <v>0</v>
      </c>
      <c r="AM1175" s="124">
        <f>IFERROR(AL1175/AA1175,"")</f>
        <v/>
      </c>
      <c r="AN1175" s="125">
        <f>IFERROR(R1175/AL1175,"")</f>
        <v/>
      </c>
      <c r="AO1175" s="122" t="n">
        <v>0</v>
      </c>
      <c r="AP1175" s="54">
        <f>IFERROR(AO1175/AL1175,"")</f>
        <v/>
      </c>
      <c r="AQ1175" s="125">
        <f>IFERROR(R1175/AO1175,"")</f>
        <v/>
      </c>
      <c r="AR1175" s="122" t="n">
        <v>0</v>
      </c>
      <c r="AS1175" s="122" t="n">
        <v>0</v>
      </c>
      <c r="AT1175" s="122">
        <f>AL1175+AR1175</f>
        <v/>
      </c>
      <c r="AU1175" s="125">
        <f>IFERROR(AO1175*Assumptions!$C$26*Assumptions!$C$27*INDEX(Assumptions!$C$18:$C$21,MATCH(H1175,Assumptions!$B$18:$B$21,0)),0)</f>
        <v/>
      </c>
    </row>
    <row r="1176">
      <c r="A1176" s="120" t="n">
        <v>46235</v>
      </c>
      <c r="B1176" s="66" t="inlineStr">
        <is>
          <t>Wk 31</t>
        </is>
      </c>
      <c r="C1176" s="66" t="inlineStr">
        <is>
          <t>Sat</t>
        </is>
      </c>
      <c r="D1176" s="66" t="inlineStr">
        <is>
          <t>TikTok</t>
        </is>
      </c>
      <c r="E1176" s="66" t="inlineStr">
        <is>
          <t>TikTok</t>
        </is>
      </c>
      <c r="F1176" s="66" t="inlineStr">
        <is>
          <t>LEP_ZA_AUG26_TT_TD_PANTERA_CONV</t>
        </is>
      </c>
      <c r="G1176" s="66" t="inlineStr">
        <is>
          <t>Website Conversions</t>
        </is>
      </c>
      <c r="H1176" s="66" t="inlineStr">
        <is>
          <t>PANTERA</t>
        </is>
      </c>
      <c r="I1176" s="66" t="inlineStr">
        <is>
          <t>0% Deposit</t>
        </is>
      </c>
      <c r="J1176" s="66" t="inlineStr">
        <is>
          <t>TT_PANTERA_LAL_ENGAGERS_ZA</t>
        </is>
      </c>
      <c r="K1176" s="66" t="inlineStr">
        <is>
          <t>Lookalike</t>
        </is>
      </c>
      <c r="L1176" s="66" t="inlineStr">
        <is>
          <t>TT_PANTERA_CREATOR_25s_Review_v1</t>
        </is>
      </c>
      <c r="M1176" s="66" t="inlineStr">
        <is>
          <t>Video 9:16</t>
        </is>
      </c>
      <c r="N1176" s="66" t="inlineStr">
        <is>
          <t>Creator review: is it worth it?</t>
        </is>
      </c>
      <c r="O1176" s="66" t="inlineStr">
        <is>
          <t>Auction - Cost Cap</t>
        </is>
      </c>
      <c r="P1176" s="66" t="inlineStr">
        <is>
          <t>Complete Payment / Lead</t>
        </is>
      </c>
      <c r="Q1176" s="66" t="inlineStr">
        <is>
          <t>https://www.lepas-sa.co.za/offers/pantera</t>
        </is>
      </c>
      <c r="R1176" s="121" t="n">
        <v>184.61</v>
      </c>
      <c r="S1176" s="122" t="n">
        <v>4015</v>
      </c>
      <c r="T1176" s="122" t="n">
        <v>2950</v>
      </c>
      <c r="U1176" s="123">
        <f>IFERROR(S1176/T1176,"")</f>
        <v/>
      </c>
      <c r="V1176" s="122" t="n">
        <v>68</v>
      </c>
      <c r="W1176" s="122" t="n">
        <v>51</v>
      </c>
      <c r="X1176" s="124">
        <f>IFERROR(W1176/S1176,"")</f>
        <v/>
      </c>
      <c r="Y1176" s="121">
        <f>IFERROR(R1176/W1176,"")</f>
        <v/>
      </c>
      <c r="Z1176" s="121">
        <f>IFERROR(R1176/S1176*1000,"")</f>
        <v/>
      </c>
      <c r="AA1176" s="122" t="n">
        <v>36</v>
      </c>
      <c r="AB1176" s="54">
        <f>IFERROR(AA1176/W1176,"")</f>
        <v/>
      </c>
      <c r="AC1176" s="122" t="n">
        <v>1415</v>
      </c>
      <c r="AD1176" s="122" t="n">
        <v>638</v>
      </c>
      <c r="AE1176" s="122" t="n">
        <v>575</v>
      </c>
      <c r="AF1176" s="122" t="n">
        <v>334</v>
      </c>
      <c r="AG1176" s="122" t="n">
        <v>213</v>
      </c>
      <c r="AH1176" s="122" t="n">
        <v>147</v>
      </c>
      <c r="AI1176" s="54">
        <f>IFERROR(AC1176/S1176,"")</f>
        <v/>
      </c>
      <c r="AJ1176" s="54">
        <f>IFERROR(AH1176/S1176,"")</f>
        <v/>
      </c>
      <c r="AK1176" s="122" t="n">
        <v>179</v>
      </c>
      <c r="AL1176" s="122" t="n">
        <v>1</v>
      </c>
      <c r="AM1176" s="124">
        <f>IFERROR(AL1176/AA1176,"")</f>
        <v/>
      </c>
      <c r="AN1176" s="125">
        <f>IFERROR(R1176/AL1176,"")</f>
        <v/>
      </c>
      <c r="AO1176" s="122" t="n">
        <v>1</v>
      </c>
      <c r="AP1176" s="54">
        <f>IFERROR(AO1176/AL1176,"")</f>
        <v/>
      </c>
      <c r="AQ1176" s="125">
        <f>IFERROR(R1176/AO1176,"")</f>
        <v/>
      </c>
      <c r="AR1176" s="122" t="n">
        <v>0</v>
      </c>
      <c r="AS1176" s="122" t="n">
        <v>1</v>
      </c>
      <c r="AT1176" s="122">
        <f>AL1176+AR1176</f>
        <v/>
      </c>
      <c r="AU1176" s="125">
        <f>IFERROR(AO1176*Assumptions!$C$26*Assumptions!$C$27*INDEX(Assumptions!$C$18:$C$21,MATCH(H1176,Assumptions!$B$18:$B$21,0)),0)</f>
        <v/>
      </c>
    </row>
    <row r="1177">
      <c r="A1177" s="120" t="n">
        <v>46236</v>
      </c>
      <c r="B1177" s="66" t="inlineStr">
        <is>
          <t>Wk 31</t>
        </is>
      </c>
      <c r="C1177" s="66" t="inlineStr">
        <is>
          <t>Sun</t>
        </is>
      </c>
      <c r="D1177" s="66" t="inlineStr">
        <is>
          <t>TikTok</t>
        </is>
      </c>
      <c r="E1177" s="66" t="inlineStr">
        <is>
          <t>TikTok</t>
        </is>
      </c>
      <c r="F1177" s="66" t="inlineStr">
        <is>
          <t>LEP_ZA_AUG26_TT_TD_PANTERA_CONV</t>
        </is>
      </c>
      <c r="G1177" s="66" t="inlineStr">
        <is>
          <t>Website Conversions</t>
        </is>
      </c>
      <c r="H1177" s="66" t="inlineStr">
        <is>
          <t>PANTERA</t>
        </is>
      </c>
      <c r="I1177" s="66" t="inlineStr">
        <is>
          <t>0% Deposit</t>
        </is>
      </c>
      <c r="J1177" s="66" t="inlineStr">
        <is>
          <t>TT_PANTERA_LAL_ENGAGERS_ZA</t>
        </is>
      </c>
      <c r="K1177" s="66" t="inlineStr">
        <is>
          <t>Lookalike</t>
        </is>
      </c>
      <c r="L1177" s="66" t="inlineStr">
        <is>
          <t>TT_PANTERA_CREATOR_25s_Review_v1</t>
        </is>
      </c>
      <c r="M1177" s="66" t="inlineStr">
        <is>
          <t>Video 9:16</t>
        </is>
      </c>
      <c r="N1177" s="66" t="inlineStr">
        <is>
          <t>Creator review: is it worth it?</t>
        </is>
      </c>
      <c r="O1177" s="66" t="inlineStr">
        <is>
          <t>Auction - Cost Cap</t>
        </is>
      </c>
      <c r="P1177" s="66" t="inlineStr">
        <is>
          <t>Complete Payment / Lead</t>
        </is>
      </c>
      <c r="Q1177" s="66" t="inlineStr">
        <is>
          <t>https://www.lepas-sa.co.za/offers/pantera</t>
        </is>
      </c>
      <c r="R1177" s="121" t="n">
        <v>131.74</v>
      </c>
      <c r="S1177" s="122" t="n">
        <v>3143</v>
      </c>
      <c r="T1177" s="122" t="n">
        <v>1890</v>
      </c>
      <c r="U1177" s="123">
        <f>IFERROR(S1177/T1177,"")</f>
        <v/>
      </c>
      <c r="V1177" s="122" t="n">
        <v>32</v>
      </c>
      <c r="W1177" s="122" t="n">
        <v>26</v>
      </c>
      <c r="X1177" s="124">
        <f>IFERROR(W1177/S1177,"")</f>
        <v/>
      </c>
      <c r="Y1177" s="121">
        <f>IFERROR(R1177/W1177,"")</f>
        <v/>
      </c>
      <c r="Z1177" s="121">
        <f>IFERROR(R1177/S1177*1000,"")</f>
        <v/>
      </c>
      <c r="AA1177" s="122" t="n">
        <v>17</v>
      </c>
      <c r="AB1177" s="54">
        <f>IFERROR(AA1177/W1177,"")</f>
        <v/>
      </c>
      <c r="AC1177" s="122" t="n">
        <v>1256</v>
      </c>
      <c r="AD1177" s="122" t="n">
        <v>653</v>
      </c>
      <c r="AE1177" s="122" t="n">
        <v>658</v>
      </c>
      <c r="AF1177" s="122" t="n">
        <v>347</v>
      </c>
      <c r="AG1177" s="122" t="n">
        <v>219</v>
      </c>
      <c r="AH1177" s="122" t="n">
        <v>129</v>
      </c>
      <c r="AI1177" s="54">
        <f>IFERROR(AC1177/S1177,"")</f>
        <v/>
      </c>
      <c r="AJ1177" s="54">
        <f>IFERROR(AH1177/S1177,"")</f>
        <v/>
      </c>
      <c r="AK1177" s="122" t="n">
        <v>123</v>
      </c>
      <c r="AL1177" s="122" t="n">
        <v>0</v>
      </c>
      <c r="AM1177" s="124">
        <f>IFERROR(AL1177/AA1177,"")</f>
        <v/>
      </c>
      <c r="AN1177" s="125">
        <f>IFERROR(R1177/AL1177,"")</f>
        <v/>
      </c>
      <c r="AO1177" s="122" t="n">
        <v>0</v>
      </c>
      <c r="AP1177" s="54">
        <f>IFERROR(AO1177/AL1177,"")</f>
        <v/>
      </c>
      <c r="AQ1177" s="125">
        <f>IFERROR(R1177/AO1177,"")</f>
        <v/>
      </c>
      <c r="AR1177" s="122" t="n">
        <v>0</v>
      </c>
      <c r="AS1177" s="122" t="n">
        <v>0</v>
      </c>
      <c r="AT1177" s="122">
        <f>AL1177+AR1177</f>
        <v/>
      </c>
      <c r="AU1177" s="125">
        <f>IFERROR(AO1177*Assumptions!$C$26*Assumptions!$C$27*INDEX(Assumptions!$C$18:$C$21,MATCH(H1177,Assumptions!$B$18:$B$21,0)),0)</f>
        <v/>
      </c>
    </row>
    <row r="1178">
      <c r="A1178" s="120" t="n">
        <v>46237</v>
      </c>
      <c r="B1178" s="66" t="inlineStr">
        <is>
          <t>Wk 32</t>
        </is>
      </c>
      <c r="C1178" s="66" t="inlineStr">
        <is>
          <t>Mon</t>
        </is>
      </c>
      <c r="D1178" s="66" t="inlineStr">
        <is>
          <t>TikTok</t>
        </is>
      </c>
      <c r="E1178" s="66" t="inlineStr">
        <is>
          <t>TikTok</t>
        </is>
      </c>
      <c r="F1178" s="66" t="inlineStr">
        <is>
          <t>LEP_ZA_AUG26_TT_TD_PANTERA_CONV</t>
        </is>
      </c>
      <c r="G1178" s="66" t="inlineStr">
        <is>
          <t>Website Conversions</t>
        </is>
      </c>
      <c r="H1178" s="66" t="inlineStr">
        <is>
          <t>PANTERA</t>
        </is>
      </c>
      <c r="I1178" s="66" t="inlineStr">
        <is>
          <t>0% Deposit</t>
        </is>
      </c>
      <c r="J1178" s="66" t="inlineStr">
        <is>
          <t>TT_PANTERA_LAL_ENGAGERS_ZA</t>
        </is>
      </c>
      <c r="K1178" s="66" t="inlineStr">
        <is>
          <t>Lookalike</t>
        </is>
      </c>
      <c r="L1178" s="66" t="inlineStr">
        <is>
          <t>TT_PANTERA_CREATOR_25s_Review_v1</t>
        </is>
      </c>
      <c r="M1178" s="66" t="inlineStr">
        <is>
          <t>Video 9:16</t>
        </is>
      </c>
      <c r="N1178" s="66" t="inlineStr">
        <is>
          <t>Creator review: is it worth it?</t>
        </is>
      </c>
      <c r="O1178" s="66" t="inlineStr">
        <is>
          <t>Auction - Cost Cap</t>
        </is>
      </c>
      <c r="P1178" s="66" t="inlineStr">
        <is>
          <t>Complete Payment / Lead</t>
        </is>
      </c>
      <c r="Q1178" s="66" t="inlineStr">
        <is>
          <t>https://www.lepas-sa.co.za/offers/pantera</t>
        </is>
      </c>
      <c r="R1178" s="121" t="n">
        <v>167.98</v>
      </c>
      <c r="S1178" s="122" t="n">
        <v>4538</v>
      </c>
      <c r="T1178" s="122" t="n">
        <v>3520</v>
      </c>
      <c r="U1178" s="123">
        <f>IFERROR(S1178/T1178,"")</f>
        <v/>
      </c>
      <c r="V1178" s="122" t="n">
        <v>82</v>
      </c>
      <c r="W1178" s="122" t="n">
        <v>65</v>
      </c>
      <c r="X1178" s="124">
        <f>IFERROR(W1178/S1178,"")</f>
        <v/>
      </c>
      <c r="Y1178" s="121">
        <f>IFERROR(R1178/W1178,"")</f>
        <v/>
      </c>
      <c r="Z1178" s="121">
        <f>IFERROR(R1178/S1178*1000,"")</f>
        <v/>
      </c>
      <c r="AA1178" s="122" t="n">
        <v>43</v>
      </c>
      <c r="AB1178" s="54">
        <f>IFERROR(AA1178/W1178,"")</f>
        <v/>
      </c>
      <c r="AC1178" s="122" t="n">
        <v>1782</v>
      </c>
      <c r="AD1178" s="122" t="n">
        <v>901</v>
      </c>
      <c r="AE1178" s="122" t="n">
        <v>848</v>
      </c>
      <c r="AF1178" s="122" t="n">
        <v>520</v>
      </c>
      <c r="AG1178" s="122" t="n">
        <v>389</v>
      </c>
      <c r="AH1178" s="122" t="n">
        <v>255</v>
      </c>
      <c r="AI1178" s="54">
        <f>IFERROR(AC1178/S1178,"")</f>
        <v/>
      </c>
      <c r="AJ1178" s="54">
        <f>IFERROR(AH1178/S1178,"")</f>
        <v/>
      </c>
      <c r="AK1178" s="122" t="n">
        <v>121</v>
      </c>
      <c r="AL1178" s="122" t="n">
        <v>1</v>
      </c>
      <c r="AM1178" s="124">
        <f>IFERROR(AL1178/AA1178,"")</f>
        <v/>
      </c>
      <c r="AN1178" s="125">
        <f>IFERROR(R1178/AL1178,"")</f>
        <v/>
      </c>
      <c r="AO1178" s="122" t="n">
        <v>1</v>
      </c>
      <c r="AP1178" s="54">
        <f>IFERROR(AO1178/AL1178,"")</f>
        <v/>
      </c>
      <c r="AQ1178" s="125">
        <f>IFERROR(R1178/AO1178,"")</f>
        <v/>
      </c>
      <c r="AR1178" s="122" t="n">
        <v>0</v>
      </c>
      <c r="AS1178" s="122" t="n">
        <v>0</v>
      </c>
      <c r="AT1178" s="122">
        <f>AL1178+AR1178</f>
        <v/>
      </c>
      <c r="AU1178" s="125">
        <f>IFERROR(AO1178*Assumptions!$C$26*Assumptions!$C$27*INDEX(Assumptions!$C$18:$C$21,MATCH(H1178,Assumptions!$B$18:$B$21,0)),0)</f>
        <v/>
      </c>
    </row>
    <row r="1179">
      <c r="A1179" s="120" t="n">
        <v>46238</v>
      </c>
      <c r="B1179" s="66" t="inlineStr">
        <is>
          <t>Wk 32</t>
        </is>
      </c>
      <c r="C1179" s="66" t="inlineStr">
        <is>
          <t>Tue</t>
        </is>
      </c>
      <c r="D1179" s="66" t="inlineStr">
        <is>
          <t>TikTok</t>
        </is>
      </c>
      <c r="E1179" s="66" t="inlineStr">
        <is>
          <t>TikTok</t>
        </is>
      </c>
      <c r="F1179" s="66" t="inlineStr">
        <is>
          <t>LEP_ZA_AUG26_TT_TD_PANTERA_CONV</t>
        </is>
      </c>
      <c r="G1179" s="66" t="inlineStr">
        <is>
          <t>Website Conversions</t>
        </is>
      </c>
      <c r="H1179" s="66" t="inlineStr">
        <is>
          <t>PANTERA</t>
        </is>
      </c>
      <c r="I1179" s="66" t="inlineStr">
        <is>
          <t>0% Deposit</t>
        </is>
      </c>
      <c r="J1179" s="66" t="inlineStr">
        <is>
          <t>TT_PANTERA_LAL_ENGAGERS_ZA</t>
        </is>
      </c>
      <c r="K1179" s="66" t="inlineStr">
        <is>
          <t>Lookalike</t>
        </is>
      </c>
      <c r="L1179" s="66" t="inlineStr">
        <is>
          <t>TT_PANTERA_CREATOR_25s_Review_v1</t>
        </is>
      </c>
      <c r="M1179" s="66" t="inlineStr">
        <is>
          <t>Video 9:16</t>
        </is>
      </c>
      <c r="N1179" s="66" t="inlineStr">
        <is>
          <t>Creator review: is it worth it?</t>
        </is>
      </c>
      <c r="O1179" s="66" t="inlineStr">
        <is>
          <t>Auction - Cost Cap</t>
        </is>
      </c>
      <c r="P1179" s="66" t="inlineStr">
        <is>
          <t>Complete Payment / Lead</t>
        </is>
      </c>
      <c r="Q1179" s="66" t="inlineStr">
        <is>
          <t>https://www.lepas-sa.co.za/offers/pantera</t>
        </is>
      </c>
      <c r="R1179" s="121" t="n">
        <v>177.34</v>
      </c>
      <c r="S1179" s="122" t="n">
        <v>4034</v>
      </c>
      <c r="T1179" s="122" t="n">
        <v>2881</v>
      </c>
      <c r="U1179" s="123">
        <f>IFERROR(S1179/T1179,"")</f>
        <v/>
      </c>
      <c r="V1179" s="122" t="n">
        <v>100</v>
      </c>
      <c r="W1179" s="122" t="n">
        <v>75</v>
      </c>
      <c r="X1179" s="124">
        <f>IFERROR(W1179/S1179,"")</f>
        <v/>
      </c>
      <c r="Y1179" s="121">
        <f>IFERROR(R1179/W1179,"")</f>
        <v/>
      </c>
      <c r="Z1179" s="121">
        <f>IFERROR(R1179/S1179*1000,"")</f>
        <v/>
      </c>
      <c r="AA1179" s="122" t="n">
        <v>51</v>
      </c>
      <c r="AB1179" s="54">
        <f>IFERROR(AA1179/W1179,"")</f>
        <v/>
      </c>
      <c r="AC1179" s="122" t="n">
        <v>1365</v>
      </c>
      <c r="AD1179" s="122" t="n">
        <v>757</v>
      </c>
      <c r="AE1179" s="122" t="n">
        <v>598</v>
      </c>
      <c r="AF1179" s="122" t="n">
        <v>386</v>
      </c>
      <c r="AG1179" s="122" t="n">
        <v>290</v>
      </c>
      <c r="AH1179" s="122" t="n">
        <v>169</v>
      </c>
      <c r="AI1179" s="54">
        <f>IFERROR(AC1179/S1179,"")</f>
        <v/>
      </c>
      <c r="AJ1179" s="54">
        <f>IFERROR(AH1179/S1179,"")</f>
        <v/>
      </c>
      <c r="AK1179" s="122" t="n">
        <v>110</v>
      </c>
      <c r="AL1179" s="122" t="n">
        <v>1</v>
      </c>
      <c r="AM1179" s="124">
        <f>IFERROR(AL1179/AA1179,"")</f>
        <v/>
      </c>
      <c r="AN1179" s="125">
        <f>IFERROR(R1179/AL1179,"")</f>
        <v/>
      </c>
      <c r="AO1179" s="122" t="n">
        <v>1</v>
      </c>
      <c r="AP1179" s="54">
        <f>IFERROR(AO1179/AL1179,"")</f>
        <v/>
      </c>
      <c r="AQ1179" s="125">
        <f>IFERROR(R1179/AO1179,"")</f>
        <v/>
      </c>
      <c r="AR1179" s="122" t="n">
        <v>1</v>
      </c>
      <c r="AS1179" s="122" t="n">
        <v>0</v>
      </c>
      <c r="AT1179" s="122">
        <f>AL1179+AR1179</f>
        <v/>
      </c>
      <c r="AU1179" s="125">
        <f>IFERROR(AO1179*Assumptions!$C$26*Assumptions!$C$27*INDEX(Assumptions!$C$18:$C$21,MATCH(H1179,Assumptions!$B$18:$B$21,0)),0)</f>
        <v/>
      </c>
    </row>
    <row r="1180">
      <c r="A1180" s="120" t="n">
        <v>46239</v>
      </c>
      <c r="B1180" s="66" t="inlineStr">
        <is>
          <t>Wk 32</t>
        </is>
      </c>
      <c r="C1180" s="66" t="inlineStr">
        <is>
          <t>Wed</t>
        </is>
      </c>
      <c r="D1180" s="66" t="inlineStr">
        <is>
          <t>TikTok</t>
        </is>
      </c>
      <c r="E1180" s="66" t="inlineStr">
        <is>
          <t>TikTok</t>
        </is>
      </c>
      <c r="F1180" s="66" t="inlineStr">
        <is>
          <t>LEP_ZA_AUG26_TT_TD_PANTERA_CONV</t>
        </is>
      </c>
      <c r="G1180" s="66" t="inlineStr">
        <is>
          <t>Website Conversions</t>
        </is>
      </c>
      <c r="H1180" s="66" t="inlineStr">
        <is>
          <t>PANTERA</t>
        </is>
      </c>
      <c r="I1180" s="66" t="inlineStr">
        <is>
          <t>0% Deposit</t>
        </is>
      </c>
      <c r="J1180" s="66" t="inlineStr">
        <is>
          <t>TT_PANTERA_LAL_ENGAGERS_ZA</t>
        </is>
      </c>
      <c r="K1180" s="66" t="inlineStr">
        <is>
          <t>Lookalike</t>
        </is>
      </c>
      <c r="L1180" s="66" t="inlineStr">
        <is>
          <t>TT_PANTERA_CREATOR_25s_Review_v1</t>
        </is>
      </c>
      <c r="M1180" s="66" t="inlineStr">
        <is>
          <t>Video 9:16</t>
        </is>
      </c>
      <c r="N1180" s="66" t="inlineStr">
        <is>
          <t>Creator review: is it worth it?</t>
        </is>
      </c>
      <c r="O1180" s="66" t="inlineStr">
        <is>
          <t>Auction - Cost Cap</t>
        </is>
      </c>
      <c r="P1180" s="66" t="inlineStr">
        <is>
          <t>Complete Payment / Lead</t>
        </is>
      </c>
      <c r="Q1180" s="66" t="inlineStr">
        <is>
          <t>https://www.lepas-sa.co.za/offers/pantera</t>
        </is>
      </c>
      <c r="R1180" s="121" t="n">
        <v>161.04</v>
      </c>
      <c r="S1180" s="122" t="n">
        <v>3538</v>
      </c>
      <c r="T1180" s="122" t="n">
        <v>2539</v>
      </c>
      <c r="U1180" s="123">
        <f>IFERROR(S1180/T1180,"")</f>
        <v/>
      </c>
      <c r="V1180" s="122" t="n">
        <v>73</v>
      </c>
      <c r="W1180" s="122" t="n">
        <v>54</v>
      </c>
      <c r="X1180" s="124">
        <f>IFERROR(W1180/S1180,"")</f>
        <v/>
      </c>
      <c r="Y1180" s="121">
        <f>IFERROR(R1180/W1180,"")</f>
        <v/>
      </c>
      <c r="Z1180" s="121">
        <f>IFERROR(R1180/S1180*1000,"")</f>
        <v/>
      </c>
      <c r="AA1180" s="122" t="n">
        <v>39</v>
      </c>
      <c r="AB1180" s="54">
        <f>IFERROR(AA1180/W1180,"")</f>
        <v/>
      </c>
      <c r="AC1180" s="122" t="n">
        <v>1160</v>
      </c>
      <c r="AD1180" s="122" t="n">
        <v>717</v>
      </c>
      <c r="AE1180" s="122" t="n">
        <v>599</v>
      </c>
      <c r="AF1180" s="122" t="n">
        <v>327</v>
      </c>
      <c r="AG1180" s="122" t="n">
        <v>209</v>
      </c>
      <c r="AH1180" s="122" t="n">
        <v>136</v>
      </c>
      <c r="AI1180" s="54">
        <f>IFERROR(AC1180/S1180,"")</f>
        <v/>
      </c>
      <c r="AJ1180" s="54">
        <f>IFERROR(AH1180/S1180,"")</f>
        <v/>
      </c>
      <c r="AK1180" s="122" t="n">
        <v>120</v>
      </c>
      <c r="AL1180" s="122" t="n">
        <v>1</v>
      </c>
      <c r="AM1180" s="124">
        <f>IFERROR(AL1180/AA1180,"")</f>
        <v/>
      </c>
      <c r="AN1180" s="125">
        <f>IFERROR(R1180/AL1180,"")</f>
        <v/>
      </c>
      <c r="AO1180" s="122" t="n">
        <v>0</v>
      </c>
      <c r="AP1180" s="54">
        <f>IFERROR(AO1180/AL1180,"")</f>
        <v/>
      </c>
      <c r="AQ1180" s="125">
        <f>IFERROR(R1180/AO1180,"")</f>
        <v/>
      </c>
      <c r="AR1180" s="122" t="n">
        <v>1</v>
      </c>
      <c r="AS1180" s="122" t="n">
        <v>1</v>
      </c>
      <c r="AT1180" s="122">
        <f>AL1180+AR1180</f>
        <v/>
      </c>
      <c r="AU1180" s="125">
        <f>IFERROR(AO1180*Assumptions!$C$26*Assumptions!$C$27*INDEX(Assumptions!$C$18:$C$21,MATCH(H1180,Assumptions!$B$18:$B$21,0)),0)</f>
        <v/>
      </c>
    </row>
    <row r="1181">
      <c r="A1181" s="120" t="n">
        <v>46240</v>
      </c>
      <c r="B1181" s="66" t="inlineStr">
        <is>
          <t>Wk 32</t>
        </is>
      </c>
      <c r="C1181" s="66" t="inlineStr">
        <is>
          <t>Thu</t>
        </is>
      </c>
      <c r="D1181" s="66" t="inlineStr">
        <is>
          <t>TikTok</t>
        </is>
      </c>
      <c r="E1181" s="66" t="inlineStr">
        <is>
          <t>TikTok</t>
        </is>
      </c>
      <c r="F1181" s="66" t="inlineStr">
        <is>
          <t>LEP_ZA_AUG26_TT_TD_PANTERA_CONV</t>
        </is>
      </c>
      <c r="G1181" s="66" t="inlineStr">
        <is>
          <t>Website Conversions</t>
        </is>
      </c>
      <c r="H1181" s="66" t="inlineStr">
        <is>
          <t>PANTERA</t>
        </is>
      </c>
      <c r="I1181" s="66" t="inlineStr">
        <is>
          <t>0% Deposit</t>
        </is>
      </c>
      <c r="J1181" s="66" t="inlineStr">
        <is>
          <t>TT_PANTERA_LAL_ENGAGERS_ZA</t>
        </is>
      </c>
      <c r="K1181" s="66" t="inlineStr">
        <is>
          <t>Lookalike</t>
        </is>
      </c>
      <c r="L1181" s="66" t="inlineStr">
        <is>
          <t>TT_PANTERA_CREATOR_25s_Review_v1</t>
        </is>
      </c>
      <c r="M1181" s="66" t="inlineStr">
        <is>
          <t>Video 9:16</t>
        </is>
      </c>
      <c r="N1181" s="66" t="inlineStr">
        <is>
          <t>Creator review: is it worth it?</t>
        </is>
      </c>
      <c r="O1181" s="66" t="inlineStr">
        <is>
          <t>Auction - Cost Cap</t>
        </is>
      </c>
      <c r="P1181" s="66" t="inlineStr">
        <is>
          <t>Complete Payment / Lead</t>
        </is>
      </c>
      <c r="Q1181" s="66" t="inlineStr">
        <is>
          <t>https://www.lepas-sa.co.za/offers/pantera</t>
        </is>
      </c>
      <c r="R1181" s="121" t="n">
        <v>190.28</v>
      </c>
      <c r="S1181" s="122" t="n">
        <v>4886</v>
      </c>
      <c r="T1181" s="122" t="n">
        <v>3163</v>
      </c>
      <c r="U1181" s="123">
        <f>IFERROR(S1181/T1181,"")</f>
        <v/>
      </c>
      <c r="V1181" s="122" t="n">
        <v>114</v>
      </c>
      <c r="W1181" s="122" t="n">
        <v>88</v>
      </c>
      <c r="X1181" s="124">
        <f>IFERROR(W1181/S1181,"")</f>
        <v/>
      </c>
      <c r="Y1181" s="121">
        <f>IFERROR(R1181/W1181,"")</f>
        <v/>
      </c>
      <c r="Z1181" s="121">
        <f>IFERROR(R1181/S1181*1000,"")</f>
        <v/>
      </c>
      <c r="AA1181" s="122" t="n">
        <v>59</v>
      </c>
      <c r="AB1181" s="54">
        <f>IFERROR(AA1181/W1181,"")</f>
        <v/>
      </c>
      <c r="AC1181" s="122" t="n">
        <v>1332</v>
      </c>
      <c r="AD1181" s="122" t="n">
        <v>759</v>
      </c>
      <c r="AE1181" s="122" t="n">
        <v>694</v>
      </c>
      <c r="AF1181" s="122" t="n">
        <v>476</v>
      </c>
      <c r="AG1181" s="122" t="n">
        <v>359</v>
      </c>
      <c r="AH1181" s="122" t="n">
        <v>221</v>
      </c>
      <c r="AI1181" s="54">
        <f>IFERROR(AC1181/S1181,"")</f>
        <v/>
      </c>
      <c r="AJ1181" s="54">
        <f>IFERROR(AH1181/S1181,"")</f>
        <v/>
      </c>
      <c r="AK1181" s="122" t="n">
        <v>275</v>
      </c>
      <c r="AL1181" s="122" t="n">
        <v>1</v>
      </c>
      <c r="AM1181" s="124">
        <f>IFERROR(AL1181/AA1181,"")</f>
        <v/>
      </c>
      <c r="AN1181" s="125">
        <f>IFERROR(R1181/AL1181,"")</f>
        <v/>
      </c>
      <c r="AO1181" s="122" t="n">
        <v>1</v>
      </c>
      <c r="AP1181" s="54">
        <f>IFERROR(AO1181/AL1181,"")</f>
        <v/>
      </c>
      <c r="AQ1181" s="125">
        <f>IFERROR(R1181/AO1181,"")</f>
        <v/>
      </c>
      <c r="AR1181" s="122" t="n">
        <v>0</v>
      </c>
      <c r="AS1181" s="122" t="n">
        <v>1</v>
      </c>
      <c r="AT1181" s="122">
        <f>AL1181+AR1181</f>
        <v/>
      </c>
      <c r="AU1181" s="125">
        <f>IFERROR(AO1181*Assumptions!$C$26*Assumptions!$C$27*INDEX(Assumptions!$C$18:$C$21,MATCH(H1181,Assumptions!$B$18:$B$21,0)),0)</f>
        <v/>
      </c>
    </row>
    <row r="1182">
      <c r="A1182" s="120" t="n">
        <v>46241</v>
      </c>
      <c r="B1182" s="66" t="inlineStr">
        <is>
          <t>Wk 32</t>
        </is>
      </c>
      <c r="C1182" s="66" t="inlineStr">
        <is>
          <t>Fri</t>
        </is>
      </c>
      <c r="D1182" s="66" t="inlineStr">
        <is>
          <t>TikTok</t>
        </is>
      </c>
      <c r="E1182" s="66" t="inlineStr">
        <is>
          <t>TikTok</t>
        </is>
      </c>
      <c r="F1182" s="66" t="inlineStr">
        <is>
          <t>LEP_ZA_AUG26_TT_TD_PANTERA_CONV</t>
        </is>
      </c>
      <c r="G1182" s="66" t="inlineStr">
        <is>
          <t>Website Conversions</t>
        </is>
      </c>
      <c r="H1182" s="66" t="inlineStr">
        <is>
          <t>PANTERA</t>
        </is>
      </c>
      <c r="I1182" s="66" t="inlineStr">
        <is>
          <t>0% Deposit</t>
        </is>
      </c>
      <c r="J1182" s="66" t="inlineStr">
        <is>
          <t>TT_PANTERA_LAL_ENGAGERS_ZA</t>
        </is>
      </c>
      <c r="K1182" s="66" t="inlineStr">
        <is>
          <t>Lookalike</t>
        </is>
      </c>
      <c r="L1182" s="66" t="inlineStr">
        <is>
          <t>TT_PANTERA_CREATOR_25s_Review_v1</t>
        </is>
      </c>
      <c r="M1182" s="66" t="inlineStr">
        <is>
          <t>Video 9:16</t>
        </is>
      </c>
      <c r="N1182" s="66" t="inlineStr">
        <is>
          <t>Creator review: is it worth it?</t>
        </is>
      </c>
      <c r="O1182" s="66" t="inlineStr">
        <is>
          <t>Auction - Cost Cap</t>
        </is>
      </c>
      <c r="P1182" s="66" t="inlineStr">
        <is>
          <t>Complete Payment / Lead</t>
        </is>
      </c>
      <c r="Q1182" s="66" t="inlineStr">
        <is>
          <t>https://www.lepas-sa.co.za/offers/pantera</t>
        </is>
      </c>
      <c r="R1182" s="121" t="n">
        <v>227.94</v>
      </c>
      <c r="S1182" s="122" t="n">
        <v>5283</v>
      </c>
      <c r="T1182" s="122" t="n">
        <v>3920</v>
      </c>
      <c r="U1182" s="123">
        <f>IFERROR(S1182/T1182,"")</f>
        <v/>
      </c>
      <c r="V1182" s="122" t="n">
        <v>64</v>
      </c>
      <c r="W1182" s="122" t="n">
        <v>52</v>
      </c>
      <c r="X1182" s="124">
        <f>IFERROR(W1182/S1182,"")</f>
        <v/>
      </c>
      <c r="Y1182" s="121">
        <f>IFERROR(R1182/W1182,"")</f>
        <v/>
      </c>
      <c r="Z1182" s="121">
        <f>IFERROR(R1182/S1182*1000,"")</f>
        <v/>
      </c>
      <c r="AA1182" s="122" t="n">
        <v>32</v>
      </c>
      <c r="AB1182" s="54">
        <f>IFERROR(AA1182/W1182,"")</f>
        <v/>
      </c>
      <c r="AC1182" s="122" t="n">
        <v>1766</v>
      </c>
      <c r="AD1182" s="122" t="n">
        <v>975</v>
      </c>
      <c r="AE1182" s="122" t="n">
        <v>763</v>
      </c>
      <c r="AF1182" s="122" t="n">
        <v>541</v>
      </c>
      <c r="AG1182" s="122" t="n">
        <v>359</v>
      </c>
      <c r="AH1182" s="122" t="n">
        <v>219</v>
      </c>
      <c r="AI1182" s="54">
        <f>IFERROR(AC1182/S1182,"")</f>
        <v/>
      </c>
      <c r="AJ1182" s="54">
        <f>IFERROR(AH1182/S1182,"")</f>
        <v/>
      </c>
      <c r="AK1182" s="122" t="n">
        <v>162</v>
      </c>
      <c r="AL1182" s="122" t="n">
        <v>0</v>
      </c>
      <c r="AM1182" s="124">
        <f>IFERROR(AL1182/AA1182,"")</f>
        <v/>
      </c>
      <c r="AN1182" s="125">
        <f>IFERROR(R1182/AL1182,"")</f>
        <v/>
      </c>
      <c r="AO1182" s="122" t="n">
        <v>0</v>
      </c>
      <c r="AP1182" s="54">
        <f>IFERROR(AO1182/AL1182,"")</f>
        <v/>
      </c>
      <c r="AQ1182" s="125">
        <f>IFERROR(R1182/AO1182,"")</f>
        <v/>
      </c>
      <c r="AR1182" s="122" t="n">
        <v>0</v>
      </c>
      <c r="AS1182" s="122" t="n">
        <v>0</v>
      </c>
      <c r="AT1182" s="122">
        <f>AL1182+AR1182</f>
        <v/>
      </c>
      <c r="AU1182" s="125">
        <f>IFERROR(AO1182*Assumptions!$C$26*Assumptions!$C$27*INDEX(Assumptions!$C$18:$C$21,MATCH(H1182,Assumptions!$B$18:$B$21,0)),0)</f>
        <v/>
      </c>
    </row>
    <row r="1183">
      <c r="A1183" s="120" t="n">
        <v>46242</v>
      </c>
      <c r="B1183" s="66" t="inlineStr">
        <is>
          <t>Wk 32</t>
        </is>
      </c>
      <c r="C1183" s="66" t="inlineStr">
        <is>
          <t>Sat</t>
        </is>
      </c>
      <c r="D1183" s="66" t="inlineStr">
        <is>
          <t>TikTok</t>
        </is>
      </c>
      <c r="E1183" s="66" t="inlineStr">
        <is>
          <t>TikTok</t>
        </is>
      </c>
      <c r="F1183" s="66" t="inlineStr">
        <is>
          <t>LEP_ZA_AUG26_TT_TD_PANTERA_CONV</t>
        </is>
      </c>
      <c r="G1183" s="66" t="inlineStr">
        <is>
          <t>Website Conversions</t>
        </is>
      </c>
      <c r="H1183" s="66" t="inlineStr">
        <is>
          <t>PANTERA</t>
        </is>
      </c>
      <c r="I1183" s="66" t="inlineStr">
        <is>
          <t>0% Deposit</t>
        </is>
      </c>
      <c r="J1183" s="66" t="inlineStr">
        <is>
          <t>TT_PANTERA_LAL_ENGAGERS_ZA</t>
        </is>
      </c>
      <c r="K1183" s="66" t="inlineStr">
        <is>
          <t>Lookalike</t>
        </is>
      </c>
      <c r="L1183" s="66" t="inlineStr">
        <is>
          <t>TT_PANTERA_CREATOR_25s_Review_v1</t>
        </is>
      </c>
      <c r="M1183" s="66" t="inlineStr">
        <is>
          <t>Video 9:16</t>
        </is>
      </c>
      <c r="N1183" s="66" t="inlineStr">
        <is>
          <t>Creator review: is it worth it?</t>
        </is>
      </c>
      <c r="O1183" s="66" t="inlineStr">
        <is>
          <t>Auction - Cost Cap</t>
        </is>
      </c>
      <c r="P1183" s="66" t="inlineStr">
        <is>
          <t>Complete Payment / Lead</t>
        </is>
      </c>
      <c r="Q1183" s="66" t="inlineStr">
        <is>
          <t>https://www.lepas-sa.co.za/offers/pantera</t>
        </is>
      </c>
      <c r="R1183" s="121" t="n">
        <v>232.39</v>
      </c>
      <c r="S1183" s="122" t="n">
        <v>7125</v>
      </c>
      <c r="T1183" s="122" t="n">
        <v>3889</v>
      </c>
      <c r="U1183" s="123">
        <f>IFERROR(S1183/T1183,"")</f>
        <v/>
      </c>
      <c r="V1183" s="122" t="n">
        <v>121</v>
      </c>
      <c r="W1183" s="122" t="n">
        <v>93</v>
      </c>
      <c r="X1183" s="124">
        <f>IFERROR(W1183/S1183,"")</f>
        <v/>
      </c>
      <c r="Y1183" s="121">
        <f>IFERROR(R1183/W1183,"")</f>
        <v/>
      </c>
      <c r="Z1183" s="121">
        <f>IFERROR(R1183/S1183*1000,"")</f>
        <v/>
      </c>
      <c r="AA1183" s="122" t="n">
        <v>61</v>
      </c>
      <c r="AB1183" s="54">
        <f>IFERROR(AA1183/W1183,"")</f>
        <v/>
      </c>
      <c r="AC1183" s="122" t="n">
        <v>1728</v>
      </c>
      <c r="AD1183" s="122" t="n">
        <v>1054</v>
      </c>
      <c r="AE1183" s="122" t="n">
        <v>863</v>
      </c>
      <c r="AF1183" s="122" t="n">
        <v>476</v>
      </c>
      <c r="AG1183" s="122" t="n">
        <v>363</v>
      </c>
      <c r="AH1183" s="122" t="n">
        <v>237</v>
      </c>
      <c r="AI1183" s="54">
        <f>IFERROR(AC1183/S1183,"")</f>
        <v/>
      </c>
      <c r="AJ1183" s="54">
        <f>IFERROR(AH1183/S1183,"")</f>
        <v/>
      </c>
      <c r="AK1183" s="122" t="n">
        <v>372</v>
      </c>
      <c r="AL1183" s="122" t="n">
        <v>2</v>
      </c>
      <c r="AM1183" s="124">
        <f>IFERROR(AL1183/AA1183,"")</f>
        <v/>
      </c>
      <c r="AN1183" s="125">
        <f>IFERROR(R1183/AL1183,"")</f>
        <v/>
      </c>
      <c r="AO1183" s="122" t="n">
        <v>1</v>
      </c>
      <c r="AP1183" s="54">
        <f>IFERROR(AO1183/AL1183,"")</f>
        <v/>
      </c>
      <c r="AQ1183" s="125">
        <f>IFERROR(R1183/AO1183,"")</f>
        <v/>
      </c>
      <c r="AR1183" s="122" t="n">
        <v>0</v>
      </c>
      <c r="AS1183" s="122" t="n">
        <v>0</v>
      </c>
      <c r="AT1183" s="122">
        <f>AL1183+AR1183</f>
        <v/>
      </c>
      <c r="AU1183" s="125">
        <f>IFERROR(AO1183*Assumptions!$C$26*Assumptions!$C$27*INDEX(Assumptions!$C$18:$C$21,MATCH(H1183,Assumptions!$B$18:$B$21,0)),0)</f>
        <v/>
      </c>
    </row>
    <row r="1184">
      <c r="A1184" s="120" t="n">
        <v>46243</v>
      </c>
      <c r="B1184" s="66" t="inlineStr">
        <is>
          <t>Wk 32</t>
        </is>
      </c>
      <c r="C1184" s="66" t="inlineStr">
        <is>
          <t>Sun</t>
        </is>
      </c>
      <c r="D1184" s="66" t="inlineStr">
        <is>
          <t>TikTok</t>
        </is>
      </c>
      <c r="E1184" s="66" t="inlineStr">
        <is>
          <t>TikTok</t>
        </is>
      </c>
      <c r="F1184" s="66" t="inlineStr">
        <is>
          <t>LEP_ZA_AUG26_TT_TD_PANTERA_CONV</t>
        </is>
      </c>
      <c r="G1184" s="66" t="inlineStr">
        <is>
          <t>Website Conversions</t>
        </is>
      </c>
      <c r="H1184" s="66" t="inlineStr">
        <is>
          <t>PANTERA</t>
        </is>
      </c>
      <c r="I1184" s="66" t="inlineStr">
        <is>
          <t>0% Deposit</t>
        </is>
      </c>
      <c r="J1184" s="66" t="inlineStr">
        <is>
          <t>TT_PANTERA_LAL_ENGAGERS_ZA</t>
        </is>
      </c>
      <c r="K1184" s="66" t="inlineStr">
        <is>
          <t>Lookalike</t>
        </is>
      </c>
      <c r="L1184" s="66" t="inlineStr">
        <is>
          <t>TT_PANTERA_CREATOR_25s_Review_v1</t>
        </is>
      </c>
      <c r="M1184" s="66" t="inlineStr">
        <is>
          <t>Video 9:16</t>
        </is>
      </c>
      <c r="N1184" s="66" t="inlineStr">
        <is>
          <t>Creator review: is it worth it?</t>
        </is>
      </c>
      <c r="O1184" s="66" t="inlineStr">
        <is>
          <t>Auction - Cost Cap</t>
        </is>
      </c>
      <c r="P1184" s="66" t="inlineStr">
        <is>
          <t>Complete Payment / Lead</t>
        </is>
      </c>
      <c r="Q1184" s="66" t="inlineStr">
        <is>
          <t>https://www.lepas-sa.co.za/offers/pantera</t>
        </is>
      </c>
      <c r="R1184" s="121" t="n">
        <v>171.08</v>
      </c>
      <c r="S1184" s="122" t="n">
        <v>5005</v>
      </c>
      <c r="T1184" s="122" t="n">
        <v>3120</v>
      </c>
      <c r="U1184" s="123">
        <f>IFERROR(S1184/T1184,"")</f>
        <v/>
      </c>
      <c r="V1184" s="122" t="n">
        <v>79</v>
      </c>
      <c r="W1184" s="122" t="n">
        <v>66</v>
      </c>
      <c r="X1184" s="124">
        <f>IFERROR(W1184/S1184,"")</f>
        <v/>
      </c>
      <c r="Y1184" s="121">
        <f>IFERROR(R1184/W1184,"")</f>
        <v/>
      </c>
      <c r="Z1184" s="121">
        <f>IFERROR(R1184/S1184*1000,"")</f>
        <v/>
      </c>
      <c r="AA1184" s="122" t="n">
        <v>45</v>
      </c>
      <c r="AB1184" s="54">
        <f>IFERROR(AA1184/W1184,"")</f>
        <v/>
      </c>
      <c r="AC1184" s="122" t="n">
        <v>1689</v>
      </c>
      <c r="AD1184" s="122" t="n">
        <v>755</v>
      </c>
      <c r="AE1184" s="122" t="n">
        <v>627</v>
      </c>
      <c r="AF1184" s="122" t="n">
        <v>348</v>
      </c>
      <c r="AG1184" s="122" t="n">
        <v>237</v>
      </c>
      <c r="AH1184" s="122" t="n">
        <v>153</v>
      </c>
      <c r="AI1184" s="54">
        <f>IFERROR(AC1184/S1184,"")</f>
        <v/>
      </c>
      <c r="AJ1184" s="54">
        <f>IFERROR(AH1184/S1184,"")</f>
        <v/>
      </c>
      <c r="AK1184" s="122" t="n">
        <v>260</v>
      </c>
      <c r="AL1184" s="122" t="n">
        <v>1</v>
      </c>
      <c r="AM1184" s="124">
        <f>IFERROR(AL1184/AA1184,"")</f>
        <v/>
      </c>
      <c r="AN1184" s="125">
        <f>IFERROR(R1184/AL1184,"")</f>
        <v/>
      </c>
      <c r="AO1184" s="122" t="n">
        <v>0</v>
      </c>
      <c r="AP1184" s="54">
        <f>IFERROR(AO1184/AL1184,"")</f>
        <v/>
      </c>
      <c r="AQ1184" s="125">
        <f>IFERROR(R1184/AO1184,"")</f>
        <v/>
      </c>
      <c r="AR1184" s="122" t="n">
        <v>0</v>
      </c>
      <c r="AS1184" s="122" t="n">
        <v>0</v>
      </c>
      <c r="AT1184" s="122">
        <f>AL1184+AR1184</f>
        <v/>
      </c>
      <c r="AU1184" s="125">
        <f>IFERROR(AO1184*Assumptions!$C$26*Assumptions!$C$27*INDEX(Assumptions!$C$18:$C$21,MATCH(H1184,Assumptions!$B$18:$B$21,0)),0)</f>
        <v/>
      </c>
    </row>
    <row r="1185">
      <c r="A1185" s="120" t="n">
        <v>46244</v>
      </c>
      <c r="B1185" s="66" t="inlineStr">
        <is>
          <t>Wk 33</t>
        </is>
      </c>
      <c r="C1185" s="66" t="inlineStr">
        <is>
          <t>Mon</t>
        </is>
      </c>
      <c r="D1185" s="66" t="inlineStr">
        <is>
          <t>TikTok</t>
        </is>
      </c>
      <c r="E1185" s="66" t="inlineStr">
        <is>
          <t>TikTok</t>
        </is>
      </c>
      <c r="F1185" s="66" t="inlineStr">
        <is>
          <t>LEP_ZA_AUG26_TT_TD_PANTERA_CONV</t>
        </is>
      </c>
      <c r="G1185" s="66" t="inlineStr">
        <is>
          <t>Website Conversions</t>
        </is>
      </c>
      <c r="H1185" s="66" t="inlineStr">
        <is>
          <t>PANTERA</t>
        </is>
      </c>
      <c r="I1185" s="66" t="inlineStr">
        <is>
          <t>0% Deposit</t>
        </is>
      </c>
      <c r="J1185" s="66" t="inlineStr">
        <is>
          <t>TT_PANTERA_LAL_ENGAGERS_ZA</t>
        </is>
      </c>
      <c r="K1185" s="66" t="inlineStr">
        <is>
          <t>Lookalike</t>
        </is>
      </c>
      <c r="L1185" s="66" t="inlineStr">
        <is>
          <t>TT_PANTERA_CREATOR_25s_Review_v1</t>
        </is>
      </c>
      <c r="M1185" s="66" t="inlineStr">
        <is>
          <t>Video 9:16</t>
        </is>
      </c>
      <c r="N1185" s="66" t="inlineStr">
        <is>
          <t>Creator review: is it worth it?</t>
        </is>
      </c>
      <c r="O1185" s="66" t="inlineStr">
        <is>
          <t>Auction - Cost Cap</t>
        </is>
      </c>
      <c r="P1185" s="66" t="inlineStr">
        <is>
          <t>Complete Payment / Lead</t>
        </is>
      </c>
      <c r="Q1185" s="66" t="inlineStr">
        <is>
          <t>https://www.lepas-sa.co.za/offers/pantera</t>
        </is>
      </c>
      <c r="R1185" s="121" t="n">
        <v>194.16</v>
      </c>
      <c r="S1185" s="122" t="n">
        <v>4738</v>
      </c>
      <c r="T1185" s="122" t="n">
        <v>3416</v>
      </c>
      <c r="U1185" s="123">
        <f>IFERROR(S1185/T1185,"")</f>
        <v/>
      </c>
      <c r="V1185" s="122" t="n">
        <v>87</v>
      </c>
      <c r="W1185" s="122" t="n">
        <v>69</v>
      </c>
      <c r="X1185" s="124">
        <f>IFERROR(W1185/S1185,"")</f>
        <v/>
      </c>
      <c r="Y1185" s="121">
        <f>IFERROR(R1185/W1185,"")</f>
        <v/>
      </c>
      <c r="Z1185" s="121">
        <f>IFERROR(R1185/S1185*1000,"")</f>
        <v/>
      </c>
      <c r="AA1185" s="122" t="n">
        <v>50</v>
      </c>
      <c r="AB1185" s="54">
        <f>IFERROR(AA1185/W1185,"")</f>
        <v/>
      </c>
      <c r="AC1185" s="122" t="n">
        <v>1658</v>
      </c>
      <c r="AD1185" s="122" t="n">
        <v>968</v>
      </c>
      <c r="AE1185" s="122" t="n">
        <v>688</v>
      </c>
      <c r="AF1185" s="122" t="n">
        <v>392</v>
      </c>
      <c r="AG1185" s="122" t="n">
        <v>288</v>
      </c>
      <c r="AH1185" s="122" t="n">
        <v>181</v>
      </c>
      <c r="AI1185" s="54">
        <f>IFERROR(AC1185/S1185,"")</f>
        <v/>
      </c>
      <c r="AJ1185" s="54">
        <f>IFERROR(AH1185/S1185,"")</f>
        <v/>
      </c>
      <c r="AK1185" s="122" t="n">
        <v>241</v>
      </c>
      <c r="AL1185" s="122" t="n">
        <v>1</v>
      </c>
      <c r="AM1185" s="124">
        <f>IFERROR(AL1185/AA1185,"")</f>
        <v/>
      </c>
      <c r="AN1185" s="125">
        <f>IFERROR(R1185/AL1185,"")</f>
        <v/>
      </c>
      <c r="AO1185" s="122" t="n">
        <v>0</v>
      </c>
      <c r="AP1185" s="54">
        <f>IFERROR(AO1185/AL1185,"")</f>
        <v/>
      </c>
      <c r="AQ1185" s="125">
        <f>IFERROR(R1185/AO1185,"")</f>
        <v/>
      </c>
      <c r="AR1185" s="122" t="n">
        <v>0</v>
      </c>
      <c r="AS1185" s="122" t="n">
        <v>1</v>
      </c>
      <c r="AT1185" s="122">
        <f>AL1185+AR1185</f>
        <v/>
      </c>
      <c r="AU1185" s="125">
        <f>IFERROR(AO1185*Assumptions!$C$26*Assumptions!$C$27*INDEX(Assumptions!$C$18:$C$21,MATCH(H1185,Assumptions!$B$18:$B$21,0)),0)</f>
        <v/>
      </c>
    </row>
    <row r="1186">
      <c r="A1186" s="120" t="n">
        <v>46245</v>
      </c>
      <c r="B1186" s="66" t="inlineStr">
        <is>
          <t>Wk 33</t>
        </is>
      </c>
      <c r="C1186" s="66" t="inlineStr">
        <is>
          <t>Tue</t>
        </is>
      </c>
      <c r="D1186" s="66" t="inlineStr">
        <is>
          <t>TikTok</t>
        </is>
      </c>
      <c r="E1186" s="66" t="inlineStr">
        <is>
          <t>TikTok</t>
        </is>
      </c>
      <c r="F1186" s="66" t="inlineStr">
        <is>
          <t>LEP_ZA_AUG26_TT_TD_PANTERA_CONV</t>
        </is>
      </c>
      <c r="G1186" s="66" t="inlineStr">
        <is>
          <t>Website Conversions</t>
        </is>
      </c>
      <c r="H1186" s="66" t="inlineStr">
        <is>
          <t>PANTERA</t>
        </is>
      </c>
      <c r="I1186" s="66" t="inlineStr">
        <is>
          <t>0% Deposit</t>
        </is>
      </c>
      <c r="J1186" s="66" t="inlineStr">
        <is>
          <t>TT_PANTERA_LAL_ENGAGERS_ZA</t>
        </is>
      </c>
      <c r="K1186" s="66" t="inlineStr">
        <is>
          <t>Lookalike</t>
        </is>
      </c>
      <c r="L1186" s="66" t="inlineStr">
        <is>
          <t>TT_PANTERA_CREATOR_25s_Review_v1</t>
        </is>
      </c>
      <c r="M1186" s="66" t="inlineStr">
        <is>
          <t>Video 9:16</t>
        </is>
      </c>
      <c r="N1186" s="66" t="inlineStr">
        <is>
          <t>Creator review: is it worth it?</t>
        </is>
      </c>
      <c r="O1186" s="66" t="inlineStr">
        <is>
          <t>Auction - Cost Cap</t>
        </is>
      </c>
      <c r="P1186" s="66" t="inlineStr">
        <is>
          <t>Complete Payment / Lead</t>
        </is>
      </c>
      <c r="Q1186" s="66" t="inlineStr">
        <is>
          <t>https://www.lepas-sa.co.za/offers/pantera</t>
        </is>
      </c>
      <c r="R1186" s="121" t="n">
        <v>164.03</v>
      </c>
      <c r="S1186" s="122" t="n">
        <v>4001</v>
      </c>
      <c r="T1186" s="122" t="n">
        <v>2675</v>
      </c>
      <c r="U1186" s="123">
        <f>IFERROR(S1186/T1186,"")</f>
        <v/>
      </c>
      <c r="V1186" s="122" t="n">
        <v>58</v>
      </c>
      <c r="W1186" s="122" t="n">
        <v>48</v>
      </c>
      <c r="X1186" s="124">
        <f>IFERROR(W1186/S1186,"")</f>
        <v/>
      </c>
      <c r="Y1186" s="121">
        <f>IFERROR(R1186/W1186,"")</f>
        <v/>
      </c>
      <c r="Z1186" s="121">
        <f>IFERROR(R1186/S1186*1000,"")</f>
        <v/>
      </c>
      <c r="AA1186" s="122" t="n">
        <v>34</v>
      </c>
      <c r="AB1186" s="54">
        <f>IFERROR(AA1186/W1186,"")</f>
        <v/>
      </c>
      <c r="AC1186" s="122" t="n">
        <v>1402</v>
      </c>
      <c r="AD1186" s="122" t="n">
        <v>797</v>
      </c>
      <c r="AE1186" s="122" t="n">
        <v>724</v>
      </c>
      <c r="AF1186" s="122" t="n">
        <v>484</v>
      </c>
      <c r="AG1186" s="122" t="n">
        <v>309</v>
      </c>
      <c r="AH1186" s="122" t="n">
        <v>217</v>
      </c>
      <c r="AI1186" s="54">
        <f>IFERROR(AC1186/S1186,"")</f>
        <v/>
      </c>
      <c r="AJ1186" s="54">
        <f>IFERROR(AH1186/S1186,"")</f>
        <v/>
      </c>
      <c r="AK1186" s="122" t="n">
        <v>130</v>
      </c>
      <c r="AL1186" s="122" t="n">
        <v>0</v>
      </c>
      <c r="AM1186" s="124">
        <f>IFERROR(AL1186/AA1186,"")</f>
        <v/>
      </c>
      <c r="AN1186" s="125">
        <f>IFERROR(R1186/AL1186,"")</f>
        <v/>
      </c>
      <c r="AO1186" s="122" t="n">
        <v>0</v>
      </c>
      <c r="AP1186" s="54">
        <f>IFERROR(AO1186/AL1186,"")</f>
        <v/>
      </c>
      <c r="AQ1186" s="125">
        <f>IFERROR(R1186/AO1186,"")</f>
        <v/>
      </c>
      <c r="AR1186" s="122" t="n">
        <v>0</v>
      </c>
      <c r="AS1186" s="122" t="n">
        <v>0</v>
      </c>
      <c r="AT1186" s="122">
        <f>AL1186+AR1186</f>
        <v/>
      </c>
      <c r="AU1186" s="125">
        <f>IFERROR(AO1186*Assumptions!$C$26*Assumptions!$C$27*INDEX(Assumptions!$C$18:$C$21,MATCH(H1186,Assumptions!$B$18:$B$21,0)),0)</f>
        <v/>
      </c>
    </row>
    <row r="1187">
      <c r="A1187" s="120" t="n">
        <v>46246</v>
      </c>
      <c r="B1187" s="66" t="inlineStr">
        <is>
          <t>Wk 33</t>
        </is>
      </c>
      <c r="C1187" s="66" t="inlineStr">
        <is>
          <t>Wed</t>
        </is>
      </c>
      <c r="D1187" s="66" t="inlineStr">
        <is>
          <t>TikTok</t>
        </is>
      </c>
      <c r="E1187" s="66" t="inlineStr">
        <is>
          <t>TikTok</t>
        </is>
      </c>
      <c r="F1187" s="66" t="inlineStr">
        <is>
          <t>LEP_ZA_AUG26_TT_TD_PANTERA_CONV</t>
        </is>
      </c>
      <c r="G1187" s="66" t="inlineStr">
        <is>
          <t>Website Conversions</t>
        </is>
      </c>
      <c r="H1187" s="66" t="inlineStr">
        <is>
          <t>PANTERA</t>
        </is>
      </c>
      <c r="I1187" s="66" t="inlineStr">
        <is>
          <t>0% Deposit</t>
        </is>
      </c>
      <c r="J1187" s="66" t="inlineStr">
        <is>
          <t>TT_PANTERA_LAL_ENGAGERS_ZA</t>
        </is>
      </c>
      <c r="K1187" s="66" t="inlineStr">
        <is>
          <t>Lookalike</t>
        </is>
      </c>
      <c r="L1187" s="66" t="inlineStr">
        <is>
          <t>TT_PANTERA_CREATOR_25s_Review_v1</t>
        </is>
      </c>
      <c r="M1187" s="66" t="inlineStr">
        <is>
          <t>Video 9:16</t>
        </is>
      </c>
      <c r="N1187" s="66" t="inlineStr">
        <is>
          <t>Creator review: is it worth it?</t>
        </is>
      </c>
      <c r="O1187" s="66" t="inlineStr">
        <is>
          <t>Auction - Cost Cap</t>
        </is>
      </c>
      <c r="P1187" s="66" t="inlineStr">
        <is>
          <t>Complete Payment / Lead</t>
        </is>
      </c>
      <c r="Q1187" s="66" t="inlineStr">
        <is>
          <t>https://www.lepas-sa.co.za/offers/pantera</t>
        </is>
      </c>
      <c r="R1187" s="121" t="n">
        <v>186.89</v>
      </c>
      <c r="S1187" s="122" t="n">
        <v>4440</v>
      </c>
      <c r="T1187" s="122" t="n">
        <v>2431</v>
      </c>
      <c r="U1187" s="123">
        <f>IFERROR(S1187/T1187,"")</f>
        <v/>
      </c>
      <c r="V1187" s="122" t="n">
        <v>80</v>
      </c>
      <c r="W1187" s="122" t="n">
        <v>61</v>
      </c>
      <c r="X1187" s="124">
        <f>IFERROR(W1187/S1187,"")</f>
        <v/>
      </c>
      <c r="Y1187" s="121">
        <f>IFERROR(R1187/W1187,"")</f>
        <v/>
      </c>
      <c r="Z1187" s="121">
        <f>IFERROR(R1187/S1187*1000,"")</f>
        <v/>
      </c>
      <c r="AA1187" s="122" t="n">
        <v>39</v>
      </c>
      <c r="AB1187" s="54">
        <f>IFERROR(AA1187/W1187,"")</f>
        <v/>
      </c>
      <c r="AC1187" s="122" t="n">
        <v>1818</v>
      </c>
      <c r="AD1187" s="122" t="n">
        <v>894</v>
      </c>
      <c r="AE1187" s="122" t="n">
        <v>903</v>
      </c>
      <c r="AF1187" s="122" t="n">
        <v>568</v>
      </c>
      <c r="AG1187" s="122" t="n">
        <v>406</v>
      </c>
      <c r="AH1187" s="122" t="n">
        <v>244</v>
      </c>
      <c r="AI1187" s="54">
        <f>IFERROR(AC1187/S1187,"")</f>
        <v/>
      </c>
      <c r="AJ1187" s="54">
        <f>IFERROR(AH1187/S1187,"")</f>
        <v/>
      </c>
      <c r="AK1187" s="122" t="n">
        <v>113</v>
      </c>
      <c r="AL1187" s="122" t="n">
        <v>0</v>
      </c>
      <c r="AM1187" s="124">
        <f>IFERROR(AL1187/AA1187,"")</f>
        <v/>
      </c>
      <c r="AN1187" s="125">
        <f>IFERROR(R1187/AL1187,"")</f>
        <v/>
      </c>
      <c r="AO1187" s="122" t="n">
        <v>0</v>
      </c>
      <c r="AP1187" s="54">
        <f>IFERROR(AO1187/AL1187,"")</f>
        <v/>
      </c>
      <c r="AQ1187" s="125">
        <f>IFERROR(R1187/AO1187,"")</f>
        <v/>
      </c>
      <c r="AR1187" s="122" t="n">
        <v>0</v>
      </c>
      <c r="AS1187" s="122" t="n">
        <v>0</v>
      </c>
      <c r="AT1187" s="122">
        <f>AL1187+AR1187</f>
        <v/>
      </c>
      <c r="AU1187" s="125">
        <f>IFERROR(AO1187*Assumptions!$C$26*Assumptions!$C$27*INDEX(Assumptions!$C$18:$C$21,MATCH(H1187,Assumptions!$B$18:$B$21,0)),0)</f>
        <v/>
      </c>
    </row>
    <row r="1188">
      <c r="A1188" s="120" t="n">
        <v>46247</v>
      </c>
      <c r="B1188" s="66" t="inlineStr">
        <is>
          <t>Wk 33</t>
        </is>
      </c>
      <c r="C1188" s="66" t="inlineStr">
        <is>
          <t>Thu</t>
        </is>
      </c>
      <c r="D1188" s="66" t="inlineStr">
        <is>
          <t>TikTok</t>
        </is>
      </c>
      <c r="E1188" s="66" t="inlineStr">
        <is>
          <t>TikTok</t>
        </is>
      </c>
      <c r="F1188" s="66" t="inlineStr">
        <is>
          <t>LEP_ZA_AUG26_TT_TD_PANTERA_CONV</t>
        </is>
      </c>
      <c r="G1188" s="66" t="inlineStr">
        <is>
          <t>Website Conversions</t>
        </is>
      </c>
      <c r="H1188" s="66" t="inlineStr">
        <is>
          <t>PANTERA</t>
        </is>
      </c>
      <c r="I1188" s="66" t="inlineStr">
        <is>
          <t>0% Deposit</t>
        </is>
      </c>
      <c r="J1188" s="66" t="inlineStr">
        <is>
          <t>TT_PANTERA_LAL_ENGAGERS_ZA</t>
        </is>
      </c>
      <c r="K1188" s="66" t="inlineStr">
        <is>
          <t>Lookalike</t>
        </is>
      </c>
      <c r="L1188" s="66" t="inlineStr">
        <is>
          <t>TT_PANTERA_CREATOR_25s_Review_v1</t>
        </is>
      </c>
      <c r="M1188" s="66" t="inlineStr">
        <is>
          <t>Video 9:16</t>
        </is>
      </c>
      <c r="N1188" s="66" t="inlineStr">
        <is>
          <t>Creator review: is it worth it?</t>
        </is>
      </c>
      <c r="O1188" s="66" t="inlineStr">
        <is>
          <t>Auction - Cost Cap</t>
        </is>
      </c>
      <c r="P1188" s="66" t="inlineStr">
        <is>
          <t>Complete Payment / Lead</t>
        </is>
      </c>
      <c r="Q1188" s="66" t="inlineStr">
        <is>
          <t>https://www.lepas-sa.co.za/offers/pantera</t>
        </is>
      </c>
      <c r="R1188" s="121" t="n">
        <v>210.86</v>
      </c>
      <c r="S1188" s="122" t="n">
        <v>5138</v>
      </c>
      <c r="T1188" s="122" t="n">
        <v>2765</v>
      </c>
      <c r="U1188" s="123">
        <f>IFERROR(S1188/T1188,"")</f>
        <v/>
      </c>
      <c r="V1188" s="122" t="n">
        <v>66</v>
      </c>
      <c r="W1188" s="122" t="n">
        <v>52</v>
      </c>
      <c r="X1188" s="124">
        <f>IFERROR(W1188/S1188,"")</f>
        <v/>
      </c>
      <c r="Y1188" s="121">
        <f>IFERROR(R1188/W1188,"")</f>
        <v/>
      </c>
      <c r="Z1188" s="121">
        <f>IFERROR(R1188/S1188*1000,"")</f>
        <v/>
      </c>
      <c r="AA1188" s="122" t="n">
        <v>33</v>
      </c>
      <c r="AB1188" s="54">
        <f>IFERROR(AA1188/W1188,"")</f>
        <v/>
      </c>
      <c r="AC1188" s="122" t="n">
        <v>1742</v>
      </c>
      <c r="AD1188" s="122" t="n">
        <v>1067</v>
      </c>
      <c r="AE1188" s="122" t="n">
        <v>931</v>
      </c>
      <c r="AF1188" s="122" t="n">
        <v>616</v>
      </c>
      <c r="AG1188" s="122" t="n">
        <v>402</v>
      </c>
      <c r="AH1188" s="122" t="n">
        <v>240</v>
      </c>
      <c r="AI1188" s="54">
        <f>IFERROR(AC1188/S1188,"")</f>
        <v/>
      </c>
      <c r="AJ1188" s="54">
        <f>IFERROR(AH1188/S1188,"")</f>
        <v/>
      </c>
      <c r="AK1188" s="122" t="n">
        <v>207</v>
      </c>
      <c r="AL1188" s="122" t="n">
        <v>0</v>
      </c>
      <c r="AM1188" s="124">
        <f>IFERROR(AL1188/AA1188,"")</f>
        <v/>
      </c>
      <c r="AN1188" s="125">
        <f>IFERROR(R1188/AL1188,"")</f>
        <v/>
      </c>
      <c r="AO1188" s="122" t="n">
        <v>0</v>
      </c>
      <c r="AP1188" s="54">
        <f>IFERROR(AO1188/AL1188,"")</f>
        <v/>
      </c>
      <c r="AQ1188" s="125">
        <f>IFERROR(R1188/AO1188,"")</f>
        <v/>
      </c>
      <c r="AR1188" s="122" t="n">
        <v>0</v>
      </c>
      <c r="AS1188" s="122" t="n">
        <v>0</v>
      </c>
      <c r="AT1188" s="122">
        <f>AL1188+AR1188</f>
        <v/>
      </c>
      <c r="AU1188" s="125">
        <f>IFERROR(AO1188*Assumptions!$C$26*Assumptions!$C$27*INDEX(Assumptions!$C$18:$C$21,MATCH(H1188,Assumptions!$B$18:$B$21,0)),0)</f>
        <v/>
      </c>
    </row>
    <row r="1189">
      <c r="A1189" s="120" t="n">
        <v>46248</v>
      </c>
      <c r="B1189" s="66" t="inlineStr">
        <is>
          <t>Wk 33</t>
        </is>
      </c>
      <c r="C1189" s="66" t="inlineStr">
        <is>
          <t>Fri</t>
        </is>
      </c>
      <c r="D1189" s="66" t="inlineStr">
        <is>
          <t>TikTok</t>
        </is>
      </c>
      <c r="E1189" s="66" t="inlineStr">
        <is>
          <t>TikTok</t>
        </is>
      </c>
      <c r="F1189" s="66" t="inlineStr">
        <is>
          <t>LEP_ZA_AUG26_TT_TD_PANTERA_CONV</t>
        </is>
      </c>
      <c r="G1189" s="66" t="inlineStr">
        <is>
          <t>Website Conversions</t>
        </is>
      </c>
      <c r="H1189" s="66" t="inlineStr">
        <is>
          <t>PANTERA</t>
        </is>
      </c>
      <c r="I1189" s="66" t="inlineStr">
        <is>
          <t>0% Deposit</t>
        </is>
      </c>
      <c r="J1189" s="66" t="inlineStr">
        <is>
          <t>TT_PANTERA_LAL_ENGAGERS_ZA</t>
        </is>
      </c>
      <c r="K1189" s="66" t="inlineStr">
        <is>
          <t>Lookalike</t>
        </is>
      </c>
      <c r="L1189" s="66" t="inlineStr">
        <is>
          <t>TT_PANTERA_CREATOR_25s_Review_v1</t>
        </is>
      </c>
      <c r="M1189" s="66" t="inlineStr">
        <is>
          <t>Video 9:16</t>
        </is>
      </c>
      <c r="N1189" s="66" t="inlineStr">
        <is>
          <t>Creator review: is it worth it?</t>
        </is>
      </c>
      <c r="O1189" s="66" t="inlineStr">
        <is>
          <t>Auction - Cost Cap</t>
        </is>
      </c>
      <c r="P1189" s="66" t="inlineStr">
        <is>
          <t>Complete Payment / Lead</t>
        </is>
      </c>
      <c r="Q1189" s="66" t="inlineStr">
        <is>
          <t>https://www.lepas-sa.co.za/offers/pantera</t>
        </is>
      </c>
      <c r="R1189" s="121" t="n">
        <v>238.68</v>
      </c>
      <c r="S1189" s="122" t="n">
        <v>5684</v>
      </c>
      <c r="T1189" s="122" t="n">
        <v>3765</v>
      </c>
      <c r="U1189" s="123">
        <f>IFERROR(S1189/T1189,"")</f>
        <v/>
      </c>
      <c r="V1189" s="122" t="n">
        <v>83</v>
      </c>
      <c r="W1189" s="122" t="n">
        <v>68</v>
      </c>
      <c r="X1189" s="124">
        <f>IFERROR(W1189/S1189,"")</f>
        <v/>
      </c>
      <c r="Y1189" s="121">
        <f>IFERROR(R1189/W1189,"")</f>
        <v/>
      </c>
      <c r="Z1189" s="121">
        <f>IFERROR(R1189/S1189*1000,"")</f>
        <v/>
      </c>
      <c r="AA1189" s="122" t="n">
        <v>49</v>
      </c>
      <c r="AB1189" s="54">
        <f>IFERROR(AA1189/W1189,"")</f>
        <v/>
      </c>
      <c r="AC1189" s="122" t="n">
        <v>1905</v>
      </c>
      <c r="AD1189" s="122" t="n">
        <v>913</v>
      </c>
      <c r="AE1189" s="122" t="n">
        <v>914</v>
      </c>
      <c r="AF1189" s="122" t="n">
        <v>555</v>
      </c>
      <c r="AG1189" s="122" t="n">
        <v>441</v>
      </c>
      <c r="AH1189" s="122" t="n">
        <v>245</v>
      </c>
      <c r="AI1189" s="54">
        <f>IFERROR(AC1189/S1189,"")</f>
        <v/>
      </c>
      <c r="AJ1189" s="54">
        <f>IFERROR(AH1189/S1189,"")</f>
        <v/>
      </c>
      <c r="AK1189" s="122" t="n">
        <v>328</v>
      </c>
      <c r="AL1189" s="122" t="n">
        <v>1</v>
      </c>
      <c r="AM1189" s="124">
        <f>IFERROR(AL1189/AA1189,"")</f>
        <v/>
      </c>
      <c r="AN1189" s="125">
        <f>IFERROR(R1189/AL1189,"")</f>
        <v/>
      </c>
      <c r="AO1189" s="122" t="n">
        <v>1</v>
      </c>
      <c r="AP1189" s="54">
        <f>IFERROR(AO1189/AL1189,"")</f>
        <v/>
      </c>
      <c r="AQ1189" s="125">
        <f>IFERROR(R1189/AO1189,"")</f>
        <v/>
      </c>
      <c r="AR1189" s="122" t="n">
        <v>0</v>
      </c>
      <c r="AS1189" s="122" t="n">
        <v>1</v>
      </c>
      <c r="AT1189" s="122">
        <f>AL1189+AR1189</f>
        <v/>
      </c>
      <c r="AU1189" s="125">
        <f>IFERROR(AO1189*Assumptions!$C$26*Assumptions!$C$27*INDEX(Assumptions!$C$18:$C$21,MATCH(H1189,Assumptions!$B$18:$B$21,0)),0)</f>
        <v/>
      </c>
    </row>
    <row r="1190">
      <c r="A1190" s="120" t="n">
        <v>46249</v>
      </c>
      <c r="B1190" s="66" t="inlineStr">
        <is>
          <t>Wk 33</t>
        </is>
      </c>
      <c r="C1190" s="66" t="inlineStr">
        <is>
          <t>Sat</t>
        </is>
      </c>
      <c r="D1190" s="66" t="inlineStr">
        <is>
          <t>TikTok</t>
        </is>
      </c>
      <c r="E1190" s="66" t="inlineStr">
        <is>
          <t>TikTok</t>
        </is>
      </c>
      <c r="F1190" s="66" t="inlineStr">
        <is>
          <t>LEP_ZA_AUG26_TT_TD_PANTERA_CONV</t>
        </is>
      </c>
      <c r="G1190" s="66" t="inlineStr">
        <is>
          <t>Website Conversions</t>
        </is>
      </c>
      <c r="H1190" s="66" t="inlineStr">
        <is>
          <t>PANTERA</t>
        </is>
      </c>
      <c r="I1190" s="66" t="inlineStr">
        <is>
          <t>0% Deposit</t>
        </is>
      </c>
      <c r="J1190" s="66" t="inlineStr">
        <is>
          <t>TT_PANTERA_LAL_ENGAGERS_ZA</t>
        </is>
      </c>
      <c r="K1190" s="66" t="inlineStr">
        <is>
          <t>Lookalike</t>
        </is>
      </c>
      <c r="L1190" s="66" t="inlineStr">
        <is>
          <t>TT_PANTERA_CREATOR_25s_Review_v1</t>
        </is>
      </c>
      <c r="M1190" s="66" t="inlineStr">
        <is>
          <t>Video 9:16</t>
        </is>
      </c>
      <c r="N1190" s="66" t="inlineStr">
        <is>
          <t>Creator review: is it worth it?</t>
        </is>
      </c>
      <c r="O1190" s="66" t="inlineStr">
        <is>
          <t>Auction - Cost Cap</t>
        </is>
      </c>
      <c r="P1190" s="66" t="inlineStr">
        <is>
          <t>Complete Payment / Lead</t>
        </is>
      </c>
      <c r="Q1190" s="66" t="inlineStr">
        <is>
          <t>https://www.lepas-sa.co.za/offers/pantera</t>
        </is>
      </c>
      <c r="R1190" s="121" t="n">
        <v>203.08</v>
      </c>
      <c r="S1190" s="122" t="n">
        <v>6428</v>
      </c>
      <c r="T1190" s="122" t="n">
        <v>3335</v>
      </c>
      <c r="U1190" s="123">
        <f>IFERROR(S1190/T1190,"")</f>
        <v/>
      </c>
      <c r="V1190" s="122" t="n">
        <v>53</v>
      </c>
      <c r="W1190" s="122" t="n">
        <v>42</v>
      </c>
      <c r="X1190" s="124">
        <f>IFERROR(W1190/S1190,"")</f>
        <v/>
      </c>
      <c r="Y1190" s="121">
        <f>IFERROR(R1190/W1190,"")</f>
        <v/>
      </c>
      <c r="Z1190" s="121">
        <f>IFERROR(R1190/S1190*1000,"")</f>
        <v/>
      </c>
      <c r="AA1190" s="122" t="n">
        <v>30</v>
      </c>
      <c r="AB1190" s="54">
        <f>IFERROR(AA1190/W1190,"")</f>
        <v/>
      </c>
      <c r="AC1190" s="122" t="n">
        <v>2387</v>
      </c>
      <c r="AD1190" s="122" t="n">
        <v>1099</v>
      </c>
      <c r="AE1190" s="122" t="n">
        <v>1046</v>
      </c>
      <c r="AF1190" s="122" t="n">
        <v>546</v>
      </c>
      <c r="AG1190" s="122" t="n">
        <v>390</v>
      </c>
      <c r="AH1190" s="122" t="n">
        <v>226</v>
      </c>
      <c r="AI1190" s="54">
        <f>IFERROR(AC1190/S1190,"")</f>
        <v/>
      </c>
      <c r="AJ1190" s="54">
        <f>IFERROR(AH1190/S1190,"")</f>
        <v/>
      </c>
      <c r="AK1190" s="122" t="n">
        <v>179</v>
      </c>
      <c r="AL1190" s="122" t="n">
        <v>0</v>
      </c>
      <c r="AM1190" s="124">
        <f>IFERROR(AL1190/AA1190,"")</f>
        <v/>
      </c>
      <c r="AN1190" s="125">
        <f>IFERROR(R1190/AL1190,"")</f>
        <v/>
      </c>
      <c r="AO1190" s="122" t="n">
        <v>0</v>
      </c>
      <c r="AP1190" s="54">
        <f>IFERROR(AO1190/AL1190,"")</f>
        <v/>
      </c>
      <c r="AQ1190" s="125">
        <f>IFERROR(R1190/AO1190,"")</f>
        <v/>
      </c>
      <c r="AR1190" s="122" t="n">
        <v>0</v>
      </c>
      <c r="AS1190" s="122" t="n">
        <v>0</v>
      </c>
      <c r="AT1190" s="122">
        <f>AL1190+AR1190</f>
        <v/>
      </c>
      <c r="AU1190" s="125">
        <f>IFERROR(AO1190*Assumptions!$C$26*Assumptions!$C$27*INDEX(Assumptions!$C$18:$C$21,MATCH(H1190,Assumptions!$B$18:$B$21,0)),0)</f>
        <v/>
      </c>
    </row>
    <row r="1191">
      <c r="A1191" s="120" t="n">
        <v>46250</v>
      </c>
      <c r="B1191" s="66" t="inlineStr">
        <is>
          <t>Wk 33</t>
        </is>
      </c>
      <c r="C1191" s="66" t="inlineStr">
        <is>
          <t>Sun</t>
        </is>
      </c>
      <c r="D1191" s="66" t="inlineStr">
        <is>
          <t>TikTok</t>
        </is>
      </c>
      <c r="E1191" s="66" t="inlineStr">
        <is>
          <t>TikTok</t>
        </is>
      </c>
      <c r="F1191" s="66" t="inlineStr">
        <is>
          <t>LEP_ZA_AUG26_TT_TD_PANTERA_CONV</t>
        </is>
      </c>
      <c r="G1191" s="66" t="inlineStr">
        <is>
          <t>Website Conversions</t>
        </is>
      </c>
      <c r="H1191" s="66" t="inlineStr">
        <is>
          <t>PANTERA</t>
        </is>
      </c>
      <c r="I1191" s="66" t="inlineStr">
        <is>
          <t>0% Deposit</t>
        </is>
      </c>
      <c r="J1191" s="66" t="inlineStr">
        <is>
          <t>TT_PANTERA_LAL_ENGAGERS_ZA</t>
        </is>
      </c>
      <c r="K1191" s="66" t="inlineStr">
        <is>
          <t>Lookalike</t>
        </is>
      </c>
      <c r="L1191" s="66" t="inlineStr">
        <is>
          <t>TT_PANTERA_CREATOR_25s_Review_v1</t>
        </is>
      </c>
      <c r="M1191" s="66" t="inlineStr">
        <is>
          <t>Video 9:16</t>
        </is>
      </c>
      <c r="N1191" s="66" t="inlineStr">
        <is>
          <t>Creator review: is it worth it?</t>
        </is>
      </c>
      <c r="O1191" s="66" t="inlineStr">
        <is>
          <t>Auction - Cost Cap</t>
        </is>
      </c>
      <c r="P1191" s="66" t="inlineStr">
        <is>
          <t>Complete Payment / Lead</t>
        </is>
      </c>
      <c r="Q1191" s="66" t="inlineStr">
        <is>
          <t>https://www.lepas-sa.co.za/offers/pantera</t>
        </is>
      </c>
      <c r="R1191" s="121" t="n">
        <v>139.44</v>
      </c>
      <c r="S1191" s="122" t="n">
        <v>3520</v>
      </c>
      <c r="T1191" s="122" t="n">
        <v>2476</v>
      </c>
      <c r="U1191" s="123">
        <f>IFERROR(S1191/T1191,"")</f>
        <v/>
      </c>
      <c r="V1191" s="122" t="n">
        <v>36</v>
      </c>
      <c r="W1191" s="122" t="n">
        <v>30</v>
      </c>
      <c r="X1191" s="124">
        <f>IFERROR(W1191/S1191,"")</f>
        <v/>
      </c>
      <c r="Y1191" s="121">
        <f>IFERROR(R1191/W1191,"")</f>
        <v/>
      </c>
      <c r="Z1191" s="121">
        <f>IFERROR(R1191/S1191*1000,"")</f>
        <v/>
      </c>
      <c r="AA1191" s="122" t="n">
        <v>21</v>
      </c>
      <c r="AB1191" s="54">
        <f>IFERROR(AA1191/W1191,"")</f>
        <v/>
      </c>
      <c r="AC1191" s="122" t="n">
        <v>1362</v>
      </c>
      <c r="AD1191" s="122" t="n">
        <v>755</v>
      </c>
      <c r="AE1191" s="122" t="n">
        <v>676</v>
      </c>
      <c r="AF1191" s="122" t="n">
        <v>358</v>
      </c>
      <c r="AG1191" s="122" t="n">
        <v>231</v>
      </c>
      <c r="AH1191" s="122" t="n">
        <v>156</v>
      </c>
      <c r="AI1191" s="54">
        <f>IFERROR(AC1191/S1191,"")</f>
        <v/>
      </c>
      <c r="AJ1191" s="54">
        <f>IFERROR(AH1191/S1191,"")</f>
        <v/>
      </c>
      <c r="AK1191" s="122" t="n">
        <v>86</v>
      </c>
      <c r="AL1191" s="122" t="n">
        <v>0</v>
      </c>
      <c r="AM1191" s="124">
        <f>IFERROR(AL1191/AA1191,"")</f>
        <v/>
      </c>
      <c r="AN1191" s="125">
        <f>IFERROR(R1191/AL1191,"")</f>
        <v/>
      </c>
      <c r="AO1191" s="122" t="n">
        <v>0</v>
      </c>
      <c r="AP1191" s="54">
        <f>IFERROR(AO1191/AL1191,"")</f>
        <v/>
      </c>
      <c r="AQ1191" s="125">
        <f>IFERROR(R1191/AO1191,"")</f>
        <v/>
      </c>
      <c r="AR1191" s="122" t="n">
        <v>0</v>
      </c>
      <c r="AS1191" s="122" t="n">
        <v>0</v>
      </c>
      <c r="AT1191" s="122">
        <f>AL1191+AR1191</f>
        <v/>
      </c>
      <c r="AU1191" s="125">
        <f>IFERROR(AO1191*Assumptions!$C$26*Assumptions!$C$27*INDEX(Assumptions!$C$18:$C$21,MATCH(H1191,Assumptions!$B$18:$B$21,0)),0)</f>
        <v/>
      </c>
    </row>
    <row r="1192">
      <c r="A1192" s="120" t="n">
        <v>46251</v>
      </c>
      <c r="B1192" s="66" t="inlineStr">
        <is>
          <t>Wk 34</t>
        </is>
      </c>
      <c r="C1192" s="66" t="inlineStr">
        <is>
          <t>Mon</t>
        </is>
      </c>
      <c r="D1192" s="66" t="inlineStr">
        <is>
          <t>TikTok</t>
        </is>
      </c>
      <c r="E1192" s="66" t="inlineStr">
        <is>
          <t>TikTok</t>
        </is>
      </c>
      <c r="F1192" s="66" t="inlineStr">
        <is>
          <t>LEP_ZA_AUG26_TT_TD_PANTERA_CONV</t>
        </is>
      </c>
      <c r="G1192" s="66" t="inlineStr">
        <is>
          <t>Website Conversions</t>
        </is>
      </c>
      <c r="H1192" s="66" t="inlineStr">
        <is>
          <t>PANTERA</t>
        </is>
      </c>
      <c r="I1192" s="66" t="inlineStr">
        <is>
          <t>0% Deposit</t>
        </is>
      </c>
      <c r="J1192" s="66" t="inlineStr">
        <is>
          <t>TT_PANTERA_LAL_ENGAGERS_ZA</t>
        </is>
      </c>
      <c r="K1192" s="66" t="inlineStr">
        <is>
          <t>Lookalike</t>
        </is>
      </c>
      <c r="L1192" s="66" t="inlineStr">
        <is>
          <t>TT_PANTERA_CREATOR_25s_Review_v1</t>
        </is>
      </c>
      <c r="M1192" s="66" t="inlineStr">
        <is>
          <t>Video 9:16</t>
        </is>
      </c>
      <c r="N1192" s="66" t="inlineStr">
        <is>
          <t>Creator review: is it worth it?</t>
        </is>
      </c>
      <c r="O1192" s="66" t="inlineStr">
        <is>
          <t>Auction - Cost Cap</t>
        </is>
      </c>
      <c r="P1192" s="66" t="inlineStr">
        <is>
          <t>Complete Payment / Lead</t>
        </is>
      </c>
      <c r="Q1192" s="66" t="inlineStr">
        <is>
          <t>https://www.lepas-sa.co.za/offers/pantera</t>
        </is>
      </c>
      <c r="R1192" s="121" t="n">
        <v>173.49</v>
      </c>
      <c r="S1192" s="122" t="n">
        <v>4588</v>
      </c>
      <c r="T1192" s="122" t="n">
        <v>2225</v>
      </c>
      <c r="U1192" s="123">
        <f>IFERROR(S1192/T1192,"")</f>
        <v/>
      </c>
      <c r="V1192" s="122" t="n">
        <v>63</v>
      </c>
      <c r="W1192" s="122" t="n">
        <v>47</v>
      </c>
      <c r="X1192" s="124">
        <f>IFERROR(W1192/S1192,"")</f>
        <v/>
      </c>
      <c r="Y1192" s="121">
        <f>IFERROR(R1192/W1192,"")</f>
        <v/>
      </c>
      <c r="Z1192" s="121">
        <f>IFERROR(R1192/S1192*1000,"")</f>
        <v/>
      </c>
      <c r="AA1192" s="122" t="n">
        <v>32</v>
      </c>
      <c r="AB1192" s="54">
        <f>IFERROR(AA1192/W1192,"")</f>
        <v/>
      </c>
      <c r="AC1192" s="122" t="n">
        <v>1880</v>
      </c>
      <c r="AD1192" s="122" t="n">
        <v>907</v>
      </c>
      <c r="AE1192" s="122" t="n">
        <v>1034</v>
      </c>
      <c r="AF1192" s="122" t="n">
        <v>662</v>
      </c>
      <c r="AG1192" s="122" t="n">
        <v>424</v>
      </c>
      <c r="AH1192" s="122" t="n">
        <v>303</v>
      </c>
      <c r="AI1192" s="54">
        <f>IFERROR(AC1192/S1192,"")</f>
        <v/>
      </c>
      <c r="AJ1192" s="54">
        <f>IFERROR(AH1192/S1192,"")</f>
        <v/>
      </c>
      <c r="AK1192" s="122" t="n">
        <v>163</v>
      </c>
      <c r="AL1192" s="122" t="n">
        <v>0</v>
      </c>
      <c r="AM1192" s="124">
        <f>IFERROR(AL1192/AA1192,"")</f>
        <v/>
      </c>
      <c r="AN1192" s="125">
        <f>IFERROR(R1192/AL1192,"")</f>
        <v/>
      </c>
      <c r="AO1192" s="122" t="n">
        <v>0</v>
      </c>
      <c r="AP1192" s="54">
        <f>IFERROR(AO1192/AL1192,"")</f>
        <v/>
      </c>
      <c r="AQ1192" s="125">
        <f>IFERROR(R1192/AO1192,"")</f>
        <v/>
      </c>
      <c r="AR1192" s="122" t="n">
        <v>0</v>
      </c>
      <c r="AS1192" s="122" t="n">
        <v>0</v>
      </c>
      <c r="AT1192" s="122">
        <f>AL1192+AR1192</f>
        <v/>
      </c>
      <c r="AU1192" s="125">
        <f>IFERROR(AO1192*Assumptions!$C$26*Assumptions!$C$27*INDEX(Assumptions!$C$18:$C$21,MATCH(H1192,Assumptions!$B$18:$B$21,0)),0)</f>
        <v/>
      </c>
    </row>
    <row r="1193">
      <c r="A1193" s="120" t="n">
        <v>46252</v>
      </c>
      <c r="B1193" s="66" t="inlineStr">
        <is>
          <t>Wk 34</t>
        </is>
      </c>
      <c r="C1193" s="66" t="inlineStr">
        <is>
          <t>Tue</t>
        </is>
      </c>
      <c r="D1193" s="66" t="inlineStr">
        <is>
          <t>TikTok</t>
        </is>
      </c>
      <c r="E1193" s="66" t="inlineStr">
        <is>
          <t>TikTok</t>
        </is>
      </c>
      <c r="F1193" s="66" t="inlineStr">
        <is>
          <t>LEP_ZA_AUG26_TT_TD_PANTERA_CONV</t>
        </is>
      </c>
      <c r="G1193" s="66" t="inlineStr">
        <is>
          <t>Website Conversions</t>
        </is>
      </c>
      <c r="H1193" s="66" t="inlineStr">
        <is>
          <t>PANTERA</t>
        </is>
      </c>
      <c r="I1193" s="66" t="inlineStr">
        <is>
          <t>0% Deposit</t>
        </is>
      </c>
      <c r="J1193" s="66" t="inlineStr">
        <is>
          <t>TT_PANTERA_LAL_ENGAGERS_ZA</t>
        </is>
      </c>
      <c r="K1193" s="66" t="inlineStr">
        <is>
          <t>Lookalike</t>
        </is>
      </c>
      <c r="L1193" s="66" t="inlineStr">
        <is>
          <t>TT_PANTERA_CREATOR_25s_Review_v1</t>
        </is>
      </c>
      <c r="M1193" s="66" t="inlineStr">
        <is>
          <t>Video 9:16</t>
        </is>
      </c>
      <c r="N1193" s="66" t="inlineStr">
        <is>
          <t>Creator review: is it worth it?</t>
        </is>
      </c>
      <c r="O1193" s="66" t="inlineStr">
        <is>
          <t>Auction - Cost Cap</t>
        </is>
      </c>
      <c r="P1193" s="66" t="inlineStr">
        <is>
          <t>Complete Payment / Lead</t>
        </is>
      </c>
      <c r="Q1193" s="66" t="inlineStr">
        <is>
          <t>https://www.lepas-sa.co.za/offers/pantera</t>
        </is>
      </c>
      <c r="R1193" s="121" t="n">
        <v>172.28</v>
      </c>
      <c r="S1193" s="122" t="n">
        <v>5544</v>
      </c>
      <c r="T1193" s="122" t="n">
        <v>3374</v>
      </c>
      <c r="U1193" s="123">
        <f>IFERROR(S1193/T1193,"")</f>
        <v/>
      </c>
      <c r="V1193" s="122" t="n">
        <v>47</v>
      </c>
      <c r="W1193" s="122" t="n">
        <v>40</v>
      </c>
      <c r="X1193" s="124">
        <f>IFERROR(W1193/S1193,"")</f>
        <v/>
      </c>
      <c r="Y1193" s="121">
        <f>IFERROR(R1193/W1193,"")</f>
        <v/>
      </c>
      <c r="Z1193" s="121">
        <f>IFERROR(R1193/S1193*1000,"")</f>
        <v/>
      </c>
      <c r="AA1193" s="122" t="n">
        <v>29</v>
      </c>
      <c r="AB1193" s="54">
        <f>IFERROR(AA1193/W1193,"")</f>
        <v/>
      </c>
      <c r="AC1193" s="122" t="n">
        <v>1652</v>
      </c>
      <c r="AD1193" s="122" t="n">
        <v>829</v>
      </c>
      <c r="AE1193" s="122" t="n">
        <v>605</v>
      </c>
      <c r="AF1193" s="122" t="n">
        <v>416</v>
      </c>
      <c r="AG1193" s="122" t="n">
        <v>263</v>
      </c>
      <c r="AH1193" s="122" t="n">
        <v>160</v>
      </c>
      <c r="AI1193" s="54">
        <f>IFERROR(AC1193/S1193,"")</f>
        <v/>
      </c>
      <c r="AJ1193" s="54">
        <f>IFERROR(AH1193/S1193,"")</f>
        <v/>
      </c>
      <c r="AK1193" s="122" t="n">
        <v>275</v>
      </c>
      <c r="AL1193" s="122" t="n">
        <v>1</v>
      </c>
      <c r="AM1193" s="124">
        <f>IFERROR(AL1193/AA1193,"")</f>
        <v/>
      </c>
      <c r="AN1193" s="125">
        <f>IFERROR(R1193/AL1193,"")</f>
        <v/>
      </c>
      <c r="AO1193" s="122" t="n">
        <v>1</v>
      </c>
      <c r="AP1193" s="54">
        <f>IFERROR(AO1193/AL1193,"")</f>
        <v/>
      </c>
      <c r="AQ1193" s="125">
        <f>IFERROR(R1193/AO1193,"")</f>
        <v/>
      </c>
      <c r="AR1193" s="122" t="n">
        <v>1</v>
      </c>
      <c r="AS1193" s="122" t="n">
        <v>0</v>
      </c>
      <c r="AT1193" s="122">
        <f>AL1193+AR1193</f>
        <v/>
      </c>
      <c r="AU1193" s="125">
        <f>IFERROR(AO1193*Assumptions!$C$26*Assumptions!$C$27*INDEX(Assumptions!$C$18:$C$21,MATCH(H1193,Assumptions!$B$18:$B$21,0)),0)</f>
        <v/>
      </c>
    </row>
    <row r="1194">
      <c r="A1194" s="120" t="n">
        <v>46253</v>
      </c>
      <c r="B1194" s="66" t="inlineStr">
        <is>
          <t>Wk 34</t>
        </is>
      </c>
      <c r="C1194" s="66" t="inlineStr">
        <is>
          <t>Wed</t>
        </is>
      </c>
      <c r="D1194" s="66" t="inlineStr">
        <is>
          <t>TikTok</t>
        </is>
      </c>
      <c r="E1194" s="66" t="inlineStr">
        <is>
          <t>TikTok</t>
        </is>
      </c>
      <c r="F1194" s="66" t="inlineStr">
        <is>
          <t>LEP_ZA_AUG26_TT_TD_PANTERA_CONV</t>
        </is>
      </c>
      <c r="G1194" s="66" t="inlineStr">
        <is>
          <t>Website Conversions</t>
        </is>
      </c>
      <c r="H1194" s="66" t="inlineStr">
        <is>
          <t>PANTERA</t>
        </is>
      </c>
      <c r="I1194" s="66" t="inlineStr">
        <is>
          <t>0% Deposit</t>
        </is>
      </c>
      <c r="J1194" s="66" t="inlineStr">
        <is>
          <t>TT_PANTERA_LAL_ENGAGERS_ZA</t>
        </is>
      </c>
      <c r="K1194" s="66" t="inlineStr">
        <is>
          <t>Lookalike</t>
        </is>
      </c>
      <c r="L1194" s="66" t="inlineStr">
        <is>
          <t>TT_PANTERA_CREATOR_25s_Review_v1</t>
        </is>
      </c>
      <c r="M1194" s="66" t="inlineStr">
        <is>
          <t>Video 9:16</t>
        </is>
      </c>
      <c r="N1194" s="66" t="inlineStr">
        <is>
          <t>Creator review: is it worth it?</t>
        </is>
      </c>
      <c r="O1194" s="66" t="inlineStr">
        <is>
          <t>Auction - Cost Cap</t>
        </is>
      </c>
      <c r="P1194" s="66" t="inlineStr">
        <is>
          <t>Complete Payment / Lead</t>
        </is>
      </c>
      <c r="Q1194" s="66" t="inlineStr">
        <is>
          <t>https://www.lepas-sa.co.za/offers/pantera</t>
        </is>
      </c>
      <c r="R1194" s="121" t="n">
        <v>203.19</v>
      </c>
      <c r="S1194" s="122" t="n">
        <v>3986</v>
      </c>
      <c r="T1194" s="122" t="n">
        <v>2711</v>
      </c>
      <c r="U1194" s="123">
        <f>IFERROR(S1194/T1194,"")</f>
        <v/>
      </c>
      <c r="V1194" s="122" t="n">
        <v>50</v>
      </c>
      <c r="W1194" s="122" t="n">
        <v>37</v>
      </c>
      <c r="X1194" s="124">
        <f>IFERROR(W1194/S1194,"")</f>
        <v/>
      </c>
      <c r="Y1194" s="121">
        <f>IFERROR(R1194/W1194,"")</f>
        <v/>
      </c>
      <c r="Z1194" s="121">
        <f>IFERROR(R1194/S1194*1000,"")</f>
        <v/>
      </c>
      <c r="AA1194" s="122" t="n">
        <v>25</v>
      </c>
      <c r="AB1194" s="54">
        <f>IFERROR(AA1194/W1194,"")</f>
        <v/>
      </c>
      <c r="AC1194" s="122" t="n">
        <v>913</v>
      </c>
      <c r="AD1194" s="122" t="n">
        <v>425</v>
      </c>
      <c r="AE1194" s="122" t="n">
        <v>433</v>
      </c>
      <c r="AF1194" s="122" t="n">
        <v>249</v>
      </c>
      <c r="AG1194" s="122" t="n">
        <v>174</v>
      </c>
      <c r="AH1194" s="122" t="n">
        <v>110</v>
      </c>
      <c r="AI1194" s="54">
        <f>IFERROR(AC1194/S1194,"")</f>
        <v/>
      </c>
      <c r="AJ1194" s="54">
        <f>IFERROR(AH1194/S1194,"")</f>
        <v/>
      </c>
      <c r="AK1194" s="122" t="n">
        <v>103</v>
      </c>
      <c r="AL1194" s="122" t="n">
        <v>0</v>
      </c>
      <c r="AM1194" s="124">
        <f>IFERROR(AL1194/AA1194,"")</f>
        <v/>
      </c>
      <c r="AN1194" s="125">
        <f>IFERROR(R1194/AL1194,"")</f>
        <v/>
      </c>
      <c r="AO1194" s="122" t="n">
        <v>0</v>
      </c>
      <c r="AP1194" s="54">
        <f>IFERROR(AO1194/AL1194,"")</f>
        <v/>
      </c>
      <c r="AQ1194" s="125">
        <f>IFERROR(R1194/AO1194,"")</f>
        <v/>
      </c>
      <c r="AR1194" s="122" t="n">
        <v>0</v>
      </c>
      <c r="AS1194" s="122" t="n">
        <v>0</v>
      </c>
      <c r="AT1194" s="122">
        <f>AL1194+AR1194</f>
        <v/>
      </c>
      <c r="AU1194" s="125">
        <f>IFERROR(AO1194*Assumptions!$C$26*Assumptions!$C$27*INDEX(Assumptions!$C$18:$C$21,MATCH(H1194,Assumptions!$B$18:$B$21,0)),0)</f>
        <v/>
      </c>
    </row>
    <row r="1195">
      <c r="A1195" s="120" t="n">
        <v>46254</v>
      </c>
      <c r="B1195" s="66" t="inlineStr">
        <is>
          <t>Wk 34</t>
        </is>
      </c>
      <c r="C1195" s="66" t="inlineStr">
        <is>
          <t>Thu</t>
        </is>
      </c>
      <c r="D1195" s="66" t="inlineStr">
        <is>
          <t>TikTok</t>
        </is>
      </c>
      <c r="E1195" s="66" t="inlineStr">
        <is>
          <t>TikTok</t>
        </is>
      </c>
      <c r="F1195" s="66" t="inlineStr">
        <is>
          <t>LEP_ZA_AUG26_TT_TD_PANTERA_CONV</t>
        </is>
      </c>
      <c r="G1195" s="66" t="inlineStr">
        <is>
          <t>Website Conversions</t>
        </is>
      </c>
      <c r="H1195" s="66" t="inlineStr">
        <is>
          <t>PANTERA</t>
        </is>
      </c>
      <c r="I1195" s="66" t="inlineStr">
        <is>
          <t>0% Deposit</t>
        </is>
      </c>
      <c r="J1195" s="66" t="inlineStr">
        <is>
          <t>TT_PANTERA_LAL_ENGAGERS_ZA</t>
        </is>
      </c>
      <c r="K1195" s="66" t="inlineStr">
        <is>
          <t>Lookalike</t>
        </is>
      </c>
      <c r="L1195" s="66" t="inlineStr">
        <is>
          <t>TT_PANTERA_CREATOR_25s_Review_v1</t>
        </is>
      </c>
      <c r="M1195" s="66" t="inlineStr">
        <is>
          <t>Video 9:16</t>
        </is>
      </c>
      <c r="N1195" s="66" t="inlineStr">
        <is>
          <t>Creator review: is it worth it?</t>
        </is>
      </c>
      <c r="O1195" s="66" t="inlineStr">
        <is>
          <t>Auction - Cost Cap</t>
        </is>
      </c>
      <c r="P1195" s="66" t="inlineStr">
        <is>
          <t>Complete Payment / Lead</t>
        </is>
      </c>
      <c r="Q1195" s="66" t="inlineStr">
        <is>
          <t>https://www.lepas-sa.co.za/offers/pantera</t>
        </is>
      </c>
      <c r="R1195" s="121" t="n">
        <v>235.94</v>
      </c>
      <c r="S1195" s="122" t="n">
        <v>5808</v>
      </c>
      <c r="T1195" s="122" t="n">
        <v>3741</v>
      </c>
      <c r="U1195" s="123">
        <f>IFERROR(S1195/T1195,"")</f>
        <v/>
      </c>
      <c r="V1195" s="122" t="n">
        <v>94</v>
      </c>
      <c r="W1195" s="122" t="n">
        <v>76</v>
      </c>
      <c r="X1195" s="124">
        <f>IFERROR(W1195/S1195,"")</f>
        <v/>
      </c>
      <c r="Y1195" s="121">
        <f>IFERROR(R1195/W1195,"")</f>
        <v/>
      </c>
      <c r="Z1195" s="121">
        <f>IFERROR(R1195/S1195*1000,"")</f>
        <v/>
      </c>
      <c r="AA1195" s="122" t="n">
        <v>48</v>
      </c>
      <c r="AB1195" s="54">
        <f>IFERROR(AA1195/W1195,"")</f>
        <v/>
      </c>
      <c r="AC1195" s="122" t="n">
        <v>1324</v>
      </c>
      <c r="AD1195" s="122" t="n">
        <v>711</v>
      </c>
      <c r="AE1195" s="122" t="n">
        <v>599</v>
      </c>
      <c r="AF1195" s="122" t="n">
        <v>419</v>
      </c>
      <c r="AG1195" s="122" t="n">
        <v>270</v>
      </c>
      <c r="AH1195" s="122" t="n">
        <v>168</v>
      </c>
      <c r="AI1195" s="54">
        <f>IFERROR(AC1195/S1195,"")</f>
        <v/>
      </c>
      <c r="AJ1195" s="54">
        <f>IFERROR(AH1195/S1195,"")</f>
        <v/>
      </c>
      <c r="AK1195" s="122" t="n">
        <v>123</v>
      </c>
      <c r="AL1195" s="122" t="n">
        <v>1</v>
      </c>
      <c r="AM1195" s="124">
        <f>IFERROR(AL1195/AA1195,"")</f>
        <v/>
      </c>
      <c r="AN1195" s="125">
        <f>IFERROR(R1195/AL1195,"")</f>
        <v/>
      </c>
      <c r="AO1195" s="122" t="n">
        <v>1</v>
      </c>
      <c r="AP1195" s="54">
        <f>IFERROR(AO1195/AL1195,"")</f>
        <v/>
      </c>
      <c r="AQ1195" s="125">
        <f>IFERROR(R1195/AO1195,"")</f>
        <v/>
      </c>
      <c r="AR1195" s="122" t="n">
        <v>0</v>
      </c>
      <c r="AS1195" s="122" t="n">
        <v>0</v>
      </c>
      <c r="AT1195" s="122">
        <f>AL1195+AR1195</f>
        <v/>
      </c>
      <c r="AU1195" s="125">
        <f>IFERROR(AO1195*Assumptions!$C$26*Assumptions!$C$27*INDEX(Assumptions!$C$18:$C$21,MATCH(H1195,Assumptions!$B$18:$B$21,0)),0)</f>
        <v/>
      </c>
    </row>
    <row r="1196">
      <c r="A1196" s="120" t="n">
        <v>46255</v>
      </c>
      <c r="B1196" s="66" t="inlineStr">
        <is>
          <t>Wk 34</t>
        </is>
      </c>
      <c r="C1196" s="66" t="inlineStr">
        <is>
          <t>Fri</t>
        </is>
      </c>
      <c r="D1196" s="66" t="inlineStr">
        <is>
          <t>TikTok</t>
        </is>
      </c>
      <c r="E1196" s="66" t="inlineStr">
        <is>
          <t>TikTok</t>
        </is>
      </c>
      <c r="F1196" s="66" t="inlineStr">
        <is>
          <t>LEP_ZA_AUG26_TT_TD_PANTERA_CONV</t>
        </is>
      </c>
      <c r="G1196" s="66" t="inlineStr">
        <is>
          <t>Website Conversions</t>
        </is>
      </c>
      <c r="H1196" s="66" t="inlineStr">
        <is>
          <t>PANTERA</t>
        </is>
      </c>
      <c r="I1196" s="66" t="inlineStr">
        <is>
          <t>0% Deposit</t>
        </is>
      </c>
      <c r="J1196" s="66" t="inlineStr">
        <is>
          <t>TT_PANTERA_LAL_ENGAGERS_ZA</t>
        </is>
      </c>
      <c r="K1196" s="66" t="inlineStr">
        <is>
          <t>Lookalike</t>
        </is>
      </c>
      <c r="L1196" s="66" t="inlineStr">
        <is>
          <t>TT_PANTERA_CREATOR_25s_Review_v1</t>
        </is>
      </c>
      <c r="M1196" s="66" t="inlineStr">
        <is>
          <t>Video 9:16</t>
        </is>
      </c>
      <c r="N1196" s="66" t="inlineStr">
        <is>
          <t>Creator review: is it worth it?</t>
        </is>
      </c>
      <c r="O1196" s="66" t="inlineStr">
        <is>
          <t>Auction - Cost Cap</t>
        </is>
      </c>
      <c r="P1196" s="66" t="inlineStr">
        <is>
          <t>Complete Payment / Lead</t>
        </is>
      </c>
      <c r="Q1196" s="66" t="inlineStr">
        <is>
          <t>https://www.lepas-sa.co.za/offers/pantera</t>
        </is>
      </c>
      <c r="R1196" s="121" t="n">
        <v>237.79</v>
      </c>
      <c r="S1196" s="122" t="n">
        <v>6369</v>
      </c>
      <c r="T1196" s="122" t="n">
        <v>4297</v>
      </c>
      <c r="U1196" s="123">
        <f>IFERROR(S1196/T1196,"")</f>
        <v/>
      </c>
      <c r="V1196" s="122" t="n">
        <v>69</v>
      </c>
      <c r="W1196" s="122" t="n">
        <v>54</v>
      </c>
      <c r="X1196" s="124">
        <f>IFERROR(W1196/S1196,"")</f>
        <v/>
      </c>
      <c r="Y1196" s="121">
        <f>IFERROR(R1196/W1196,"")</f>
        <v/>
      </c>
      <c r="Z1196" s="121">
        <f>IFERROR(R1196/S1196*1000,"")</f>
        <v/>
      </c>
      <c r="AA1196" s="122" t="n">
        <v>36</v>
      </c>
      <c r="AB1196" s="54">
        <f>IFERROR(AA1196/W1196,"")</f>
        <v/>
      </c>
      <c r="AC1196" s="122" t="n">
        <v>1698</v>
      </c>
      <c r="AD1196" s="122" t="n">
        <v>991</v>
      </c>
      <c r="AE1196" s="122" t="n">
        <v>779</v>
      </c>
      <c r="AF1196" s="122" t="n">
        <v>434</v>
      </c>
      <c r="AG1196" s="122" t="n">
        <v>319</v>
      </c>
      <c r="AH1196" s="122" t="n">
        <v>206</v>
      </c>
      <c r="AI1196" s="54">
        <f>IFERROR(AC1196/S1196,"")</f>
        <v/>
      </c>
      <c r="AJ1196" s="54">
        <f>IFERROR(AH1196/S1196,"")</f>
        <v/>
      </c>
      <c r="AK1196" s="122" t="n">
        <v>325</v>
      </c>
      <c r="AL1196" s="122" t="n">
        <v>1</v>
      </c>
      <c r="AM1196" s="124">
        <f>IFERROR(AL1196/AA1196,"")</f>
        <v/>
      </c>
      <c r="AN1196" s="125">
        <f>IFERROR(R1196/AL1196,"")</f>
        <v/>
      </c>
      <c r="AO1196" s="122" t="n">
        <v>1</v>
      </c>
      <c r="AP1196" s="54">
        <f>IFERROR(AO1196/AL1196,"")</f>
        <v/>
      </c>
      <c r="AQ1196" s="125">
        <f>IFERROR(R1196/AO1196,"")</f>
        <v/>
      </c>
      <c r="AR1196" s="122" t="n">
        <v>1</v>
      </c>
      <c r="AS1196" s="122" t="n">
        <v>0</v>
      </c>
      <c r="AT1196" s="122">
        <f>AL1196+AR1196</f>
        <v/>
      </c>
      <c r="AU1196" s="125">
        <f>IFERROR(AO1196*Assumptions!$C$26*Assumptions!$C$27*INDEX(Assumptions!$C$18:$C$21,MATCH(H1196,Assumptions!$B$18:$B$21,0)),0)</f>
        <v/>
      </c>
    </row>
    <row r="1197">
      <c r="A1197" s="120" t="n">
        <v>46256</v>
      </c>
      <c r="B1197" s="66" t="inlineStr">
        <is>
          <t>Wk 34</t>
        </is>
      </c>
      <c r="C1197" s="66" t="inlineStr">
        <is>
          <t>Sat</t>
        </is>
      </c>
      <c r="D1197" s="66" t="inlineStr">
        <is>
          <t>TikTok</t>
        </is>
      </c>
      <c r="E1197" s="66" t="inlineStr">
        <is>
          <t>TikTok</t>
        </is>
      </c>
      <c r="F1197" s="66" t="inlineStr">
        <is>
          <t>LEP_ZA_AUG26_TT_TD_PANTERA_CONV</t>
        </is>
      </c>
      <c r="G1197" s="66" t="inlineStr">
        <is>
          <t>Website Conversions</t>
        </is>
      </c>
      <c r="H1197" s="66" t="inlineStr">
        <is>
          <t>PANTERA</t>
        </is>
      </c>
      <c r="I1197" s="66" t="inlineStr">
        <is>
          <t>0% Deposit</t>
        </is>
      </c>
      <c r="J1197" s="66" t="inlineStr">
        <is>
          <t>TT_PANTERA_LAL_ENGAGERS_ZA</t>
        </is>
      </c>
      <c r="K1197" s="66" t="inlineStr">
        <is>
          <t>Lookalike</t>
        </is>
      </c>
      <c r="L1197" s="66" t="inlineStr">
        <is>
          <t>TT_PANTERA_CREATOR_25s_Review_v1</t>
        </is>
      </c>
      <c r="M1197" s="66" t="inlineStr">
        <is>
          <t>Video 9:16</t>
        </is>
      </c>
      <c r="N1197" s="66" t="inlineStr">
        <is>
          <t>Creator review: is it worth it?</t>
        </is>
      </c>
      <c r="O1197" s="66" t="inlineStr">
        <is>
          <t>Auction - Cost Cap</t>
        </is>
      </c>
      <c r="P1197" s="66" t="inlineStr">
        <is>
          <t>Complete Payment / Lead</t>
        </is>
      </c>
      <c r="Q1197" s="66" t="inlineStr">
        <is>
          <t>https://www.lepas-sa.co.za/offers/pantera</t>
        </is>
      </c>
      <c r="R1197" s="121" t="n">
        <v>196.79</v>
      </c>
      <c r="S1197" s="122" t="n">
        <v>5442</v>
      </c>
      <c r="T1197" s="122" t="n">
        <v>2868</v>
      </c>
      <c r="U1197" s="123">
        <f>IFERROR(S1197/T1197,"")</f>
        <v/>
      </c>
      <c r="V1197" s="122" t="n">
        <v>46</v>
      </c>
      <c r="W1197" s="122" t="n">
        <v>34</v>
      </c>
      <c r="X1197" s="124">
        <f>IFERROR(W1197/S1197,"")</f>
        <v/>
      </c>
      <c r="Y1197" s="121">
        <f>IFERROR(R1197/W1197,"")</f>
        <v/>
      </c>
      <c r="Z1197" s="121">
        <f>IFERROR(R1197/S1197*1000,"")</f>
        <v/>
      </c>
      <c r="AA1197" s="122" t="n">
        <v>22</v>
      </c>
      <c r="AB1197" s="54">
        <f>IFERROR(AA1197/W1197,"")</f>
        <v/>
      </c>
      <c r="AC1197" s="122" t="n">
        <v>1205</v>
      </c>
      <c r="AD1197" s="122" t="n">
        <v>591</v>
      </c>
      <c r="AE1197" s="122" t="n">
        <v>445</v>
      </c>
      <c r="AF1197" s="122" t="n">
        <v>265</v>
      </c>
      <c r="AG1197" s="122" t="n">
        <v>176</v>
      </c>
      <c r="AH1197" s="122" t="n">
        <v>122</v>
      </c>
      <c r="AI1197" s="54">
        <f>IFERROR(AC1197/S1197,"")</f>
        <v/>
      </c>
      <c r="AJ1197" s="54">
        <f>IFERROR(AH1197/S1197,"")</f>
        <v/>
      </c>
      <c r="AK1197" s="122" t="n">
        <v>193</v>
      </c>
      <c r="AL1197" s="122" t="n">
        <v>0</v>
      </c>
      <c r="AM1197" s="124">
        <f>IFERROR(AL1197/AA1197,"")</f>
        <v/>
      </c>
      <c r="AN1197" s="125">
        <f>IFERROR(R1197/AL1197,"")</f>
        <v/>
      </c>
      <c r="AO1197" s="122" t="n">
        <v>0</v>
      </c>
      <c r="AP1197" s="54">
        <f>IFERROR(AO1197/AL1197,"")</f>
        <v/>
      </c>
      <c r="AQ1197" s="125">
        <f>IFERROR(R1197/AO1197,"")</f>
        <v/>
      </c>
      <c r="AR1197" s="122" t="n">
        <v>0</v>
      </c>
      <c r="AS1197" s="122" t="n">
        <v>0</v>
      </c>
      <c r="AT1197" s="122">
        <f>AL1197+AR1197</f>
        <v/>
      </c>
      <c r="AU1197" s="125">
        <f>IFERROR(AO1197*Assumptions!$C$26*Assumptions!$C$27*INDEX(Assumptions!$C$18:$C$21,MATCH(H1197,Assumptions!$B$18:$B$21,0)),0)</f>
        <v/>
      </c>
    </row>
    <row r="1198">
      <c r="A1198" s="120" t="n">
        <v>46257</v>
      </c>
      <c r="B1198" s="66" t="inlineStr">
        <is>
          <t>Wk 34</t>
        </is>
      </c>
      <c r="C1198" s="66" t="inlineStr">
        <is>
          <t>Sun</t>
        </is>
      </c>
      <c r="D1198" s="66" t="inlineStr">
        <is>
          <t>TikTok</t>
        </is>
      </c>
      <c r="E1198" s="66" t="inlineStr">
        <is>
          <t>TikTok</t>
        </is>
      </c>
      <c r="F1198" s="66" t="inlineStr">
        <is>
          <t>LEP_ZA_AUG26_TT_TD_PANTERA_CONV</t>
        </is>
      </c>
      <c r="G1198" s="66" t="inlineStr">
        <is>
          <t>Website Conversions</t>
        </is>
      </c>
      <c r="H1198" s="66" t="inlineStr">
        <is>
          <t>PANTERA</t>
        </is>
      </c>
      <c r="I1198" s="66" t="inlineStr">
        <is>
          <t>0% Deposit</t>
        </is>
      </c>
      <c r="J1198" s="66" t="inlineStr">
        <is>
          <t>TT_PANTERA_LAL_ENGAGERS_ZA</t>
        </is>
      </c>
      <c r="K1198" s="66" t="inlineStr">
        <is>
          <t>Lookalike</t>
        </is>
      </c>
      <c r="L1198" s="66" t="inlineStr">
        <is>
          <t>TT_PANTERA_CREATOR_25s_Review_v1</t>
        </is>
      </c>
      <c r="M1198" s="66" t="inlineStr">
        <is>
          <t>Video 9:16</t>
        </is>
      </c>
      <c r="N1198" s="66" t="inlineStr">
        <is>
          <t>Creator review: is it worth it?</t>
        </is>
      </c>
      <c r="O1198" s="66" t="inlineStr">
        <is>
          <t>Auction - Cost Cap</t>
        </is>
      </c>
      <c r="P1198" s="66" t="inlineStr">
        <is>
          <t>Complete Payment / Lead</t>
        </is>
      </c>
      <c r="Q1198" s="66" t="inlineStr">
        <is>
          <t>https://www.lepas-sa.co.za/offers/pantera</t>
        </is>
      </c>
      <c r="R1198" s="121" t="n">
        <v>160.03</v>
      </c>
      <c r="S1198" s="122" t="n">
        <v>4038</v>
      </c>
      <c r="T1198" s="122" t="n">
        <v>2244</v>
      </c>
      <c r="U1198" s="123">
        <f>IFERROR(S1198/T1198,"")</f>
        <v/>
      </c>
      <c r="V1198" s="122" t="n">
        <v>34</v>
      </c>
      <c r="W1198" s="122" t="n">
        <v>25</v>
      </c>
      <c r="X1198" s="124">
        <f>IFERROR(W1198/S1198,"")</f>
        <v/>
      </c>
      <c r="Y1198" s="121">
        <f>IFERROR(R1198/W1198,"")</f>
        <v/>
      </c>
      <c r="Z1198" s="121">
        <f>IFERROR(R1198/S1198*1000,"")</f>
        <v/>
      </c>
      <c r="AA1198" s="122" t="n">
        <v>16</v>
      </c>
      <c r="AB1198" s="54">
        <f>IFERROR(AA1198/W1198,"")</f>
        <v/>
      </c>
      <c r="AC1198" s="122" t="n">
        <v>938</v>
      </c>
      <c r="AD1198" s="122" t="n">
        <v>464</v>
      </c>
      <c r="AE1198" s="122" t="n">
        <v>512</v>
      </c>
      <c r="AF1198" s="122" t="n">
        <v>313</v>
      </c>
      <c r="AG1198" s="122" t="n">
        <v>226</v>
      </c>
      <c r="AH1198" s="122" t="n">
        <v>136</v>
      </c>
      <c r="AI1198" s="54">
        <f>IFERROR(AC1198/S1198,"")</f>
        <v/>
      </c>
      <c r="AJ1198" s="54">
        <f>IFERROR(AH1198/S1198,"")</f>
        <v/>
      </c>
      <c r="AK1198" s="122" t="n">
        <v>197</v>
      </c>
      <c r="AL1198" s="122" t="n">
        <v>0</v>
      </c>
      <c r="AM1198" s="124">
        <f>IFERROR(AL1198/AA1198,"")</f>
        <v/>
      </c>
      <c r="AN1198" s="125">
        <f>IFERROR(R1198/AL1198,"")</f>
        <v/>
      </c>
      <c r="AO1198" s="122" t="n">
        <v>0</v>
      </c>
      <c r="AP1198" s="54">
        <f>IFERROR(AO1198/AL1198,"")</f>
        <v/>
      </c>
      <c r="AQ1198" s="125">
        <f>IFERROR(R1198/AO1198,"")</f>
        <v/>
      </c>
      <c r="AR1198" s="122" t="n">
        <v>0</v>
      </c>
      <c r="AS1198" s="122" t="n">
        <v>0</v>
      </c>
      <c r="AT1198" s="122">
        <f>AL1198+AR1198</f>
        <v/>
      </c>
      <c r="AU1198" s="125">
        <f>IFERROR(AO1198*Assumptions!$C$26*Assumptions!$C$27*INDEX(Assumptions!$C$18:$C$21,MATCH(H1198,Assumptions!$B$18:$B$21,0)),0)</f>
        <v/>
      </c>
    </row>
    <row r="1199">
      <c r="A1199" s="120" t="n">
        <v>46258</v>
      </c>
      <c r="B1199" s="66" t="inlineStr">
        <is>
          <t>Wk 35</t>
        </is>
      </c>
      <c r="C1199" s="66" t="inlineStr">
        <is>
          <t>Mon</t>
        </is>
      </c>
      <c r="D1199" s="66" t="inlineStr">
        <is>
          <t>TikTok</t>
        </is>
      </c>
      <c r="E1199" s="66" t="inlineStr">
        <is>
          <t>TikTok</t>
        </is>
      </c>
      <c r="F1199" s="66" t="inlineStr">
        <is>
          <t>LEP_ZA_AUG26_TT_TD_PANTERA_CONV</t>
        </is>
      </c>
      <c r="G1199" s="66" t="inlineStr">
        <is>
          <t>Website Conversions</t>
        </is>
      </c>
      <c r="H1199" s="66" t="inlineStr">
        <is>
          <t>PANTERA</t>
        </is>
      </c>
      <c r="I1199" s="66" t="inlineStr">
        <is>
          <t>0% Deposit</t>
        </is>
      </c>
      <c r="J1199" s="66" t="inlineStr">
        <is>
          <t>TT_PANTERA_LAL_ENGAGERS_ZA</t>
        </is>
      </c>
      <c r="K1199" s="66" t="inlineStr">
        <is>
          <t>Lookalike</t>
        </is>
      </c>
      <c r="L1199" s="66" t="inlineStr">
        <is>
          <t>TT_PANTERA_CREATOR_25s_Review_v1</t>
        </is>
      </c>
      <c r="M1199" s="66" t="inlineStr">
        <is>
          <t>Video 9:16</t>
        </is>
      </c>
      <c r="N1199" s="66" t="inlineStr">
        <is>
          <t>Creator review: is it worth it?</t>
        </is>
      </c>
      <c r="O1199" s="66" t="inlineStr">
        <is>
          <t>Auction - Cost Cap</t>
        </is>
      </c>
      <c r="P1199" s="66" t="inlineStr">
        <is>
          <t>Complete Payment / Lead</t>
        </is>
      </c>
      <c r="Q1199" s="66" t="inlineStr">
        <is>
          <t>https://www.lepas-sa.co.za/offers/pantera</t>
        </is>
      </c>
      <c r="R1199" s="121" t="n">
        <v>171.28</v>
      </c>
      <c r="S1199" s="122" t="n">
        <v>3431</v>
      </c>
      <c r="T1199" s="122" t="n">
        <v>2054</v>
      </c>
      <c r="U1199" s="123">
        <f>IFERROR(S1199/T1199,"")</f>
        <v/>
      </c>
      <c r="V1199" s="122" t="n">
        <v>43</v>
      </c>
      <c r="W1199" s="122" t="n">
        <v>31</v>
      </c>
      <c r="X1199" s="124">
        <f>IFERROR(W1199/S1199,"")</f>
        <v/>
      </c>
      <c r="Y1199" s="121">
        <f>IFERROR(R1199/W1199,"")</f>
        <v/>
      </c>
      <c r="Z1199" s="121">
        <f>IFERROR(R1199/S1199*1000,"")</f>
        <v/>
      </c>
      <c r="AA1199" s="122" t="n">
        <v>21</v>
      </c>
      <c r="AB1199" s="54">
        <f>IFERROR(AA1199/W1199,"")</f>
        <v/>
      </c>
      <c r="AC1199" s="122" t="n">
        <v>1401</v>
      </c>
      <c r="AD1199" s="122" t="n">
        <v>753</v>
      </c>
      <c r="AE1199" s="122" t="n">
        <v>653</v>
      </c>
      <c r="AF1199" s="122" t="n">
        <v>350</v>
      </c>
      <c r="AG1199" s="122" t="n">
        <v>259</v>
      </c>
      <c r="AH1199" s="122" t="n">
        <v>161</v>
      </c>
      <c r="AI1199" s="54">
        <f>IFERROR(AC1199/S1199,"")</f>
        <v/>
      </c>
      <c r="AJ1199" s="54">
        <f>IFERROR(AH1199/S1199,"")</f>
        <v/>
      </c>
      <c r="AK1199" s="122" t="n">
        <v>107</v>
      </c>
      <c r="AL1199" s="122" t="n">
        <v>1</v>
      </c>
      <c r="AM1199" s="124">
        <f>IFERROR(AL1199/AA1199,"")</f>
        <v/>
      </c>
      <c r="AN1199" s="125">
        <f>IFERROR(R1199/AL1199,"")</f>
        <v/>
      </c>
      <c r="AO1199" s="122" t="n">
        <v>0</v>
      </c>
      <c r="AP1199" s="54">
        <f>IFERROR(AO1199/AL1199,"")</f>
        <v/>
      </c>
      <c r="AQ1199" s="125">
        <f>IFERROR(R1199/AO1199,"")</f>
        <v/>
      </c>
      <c r="AR1199" s="122" t="n">
        <v>1</v>
      </c>
      <c r="AS1199" s="122" t="n">
        <v>1</v>
      </c>
      <c r="AT1199" s="122">
        <f>AL1199+AR1199</f>
        <v/>
      </c>
      <c r="AU1199" s="125">
        <f>IFERROR(AO1199*Assumptions!$C$26*Assumptions!$C$27*INDEX(Assumptions!$C$18:$C$21,MATCH(H1199,Assumptions!$B$18:$B$21,0)),0)</f>
        <v/>
      </c>
    </row>
    <row r="1200">
      <c r="A1200" s="120" t="n">
        <v>46259</v>
      </c>
      <c r="B1200" s="66" t="inlineStr">
        <is>
          <t>Wk 35</t>
        </is>
      </c>
      <c r="C1200" s="66" t="inlineStr">
        <is>
          <t>Tue</t>
        </is>
      </c>
      <c r="D1200" s="66" t="inlineStr">
        <is>
          <t>TikTok</t>
        </is>
      </c>
      <c r="E1200" s="66" t="inlineStr">
        <is>
          <t>TikTok</t>
        </is>
      </c>
      <c r="F1200" s="66" t="inlineStr">
        <is>
          <t>LEP_ZA_AUG26_TT_TD_PANTERA_CONV</t>
        </is>
      </c>
      <c r="G1200" s="66" t="inlineStr">
        <is>
          <t>Website Conversions</t>
        </is>
      </c>
      <c r="H1200" s="66" t="inlineStr">
        <is>
          <t>PANTERA</t>
        </is>
      </c>
      <c r="I1200" s="66" t="inlineStr">
        <is>
          <t>0% Deposit</t>
        </is>
      </c>
      <c r="J1200" s="66" t="inlineStr">
        <is>
          <t>TT_PANTERA_LAL_ENGAGERS_ZA</t>
        </is>
      </c>
      <c r="K1200" s="66" t="inlineStr">
        <is>
          <t>Lookalike</t>
        </is>
      </c>
      <c r="L1200" s="66" t="inlineStr">
        <is>
          <t>TT_PANTERA_CREATOR_25s_Review_v1</t>
        </is>
      </c>
      <c r="M1200" s="66" t="inlineStr">
        <is>
          <t>Video 9:16</t>
        </is>
      </c>
      <c r="N1200" s="66" t="inlineStr">
        <is>
          <t>Creator review: is it worth it?</t>
        </is>
      </c>
      <c r="O1200" s="66" t="inlineStr">
        <is>
          <t>Auction - Cost Cap</t>
        </is>
      </c>
      <c r="P1200" s="66" t="inlineStr">
        <is>
          <t>Complete Payment / Lead</t>
        </is>
      </c>
      <c r="Q1200" s="66" t="inlineStr">
        <is>
          <t>https://www.lepas-sa.co.za/offers/pantera</t>
        </is>
      </c>
      <c r="R1200" s="121" t="n">
        <v>153.65</v>
      </c>
      <c r="S1200" s="122" t="n">
        <v>3042</v>
      </c>
      <c r="T1200" s="122" t="n">
        <v>1963</v>
      </c>
      <c r="U1200" s="123">
        <f>IFERROR(S1200/T1200,"")</f>
        <v/>
      </c>
      <c r="V1200" s="122" t="n">
        <v>30</v>
      </c>
      <c r="W1200" s="122" t="n">
        <v>24</v>
      </c>
      <c r="X1200" s="124">
        <f>IFERROR(W1200/S1200,"")</f>
        <v/>
      </c>
      <c r="Y1200" s="121">
        <f>IFERROR(R1200/W1200,"")</f>
        <v/>
      </c>
      <c r="Z1200" s="121">
        <f>IFERROR(R1200/S1200*1000,"")</f>
        <v/>
      </c>
      <c r="AA1200" s="122" t="n">
        <v>16</v>
      </c>
      <c r="AB1200" s="54">
        <f>IFERROR(AA1200/W1200,"")</f>
        <v/>
      </c>
      <c r="AC1200" s="122" t="n">
        <v>763</v>
      </c>
      <c r="AD1200" s="122" t="n">
        <v>404</v>
      </c>
      <c r="AE1200" s="122" t="n">
        <v>375</v>
      </c>
      <c r="AF1200" s="122" t="n">
        <v>218</v>
      </c>
      <c r="AG1200" s="122" t="n">
        <v>165</v>
      </c>
      <c r="AH1200" s="122" t="n">
        <v>113</v>
      </c>
      <c r="AI1200" s="54">
        <f>IFERROR(AC1200/S1200,"")</f>
        <v/>
      </c>
      <c r="AJ1200" s="54">
        <f>IFERROR(AH1200/S1200,"")</f>
        <v/>
      </c>
      <c r="AK1200" s="122" t="n">
        <v>99</v>
      </c>
      <c r="AL1200" s="122" t="n">
        <v>0</v>
      </c>
      <c r="AM1200" s="124">
        <f>IFERROR(AL1200/AA1200,"")</f>
        <v/>
      </c>
      <c r="AN1200" s="125">
        <f>IFERROR(R1200/AL1200,"")</f>
        <v/>
      </c>
      <c r="AO1200" s="122" t="n">
        <v>0</v>
      </c>
      <c r="AP1200" s="54">
        <f>IFERROR(AO1200/AL1200,"")</f>
        <v/>
      </c>
      <c r="AQ1200" s="125">
        <f>IFERROR(R1200/AO1200,"")</f>
        <v/>
      </c>
      <c r="AR1200" s="122" t="n">
        <v>0</v>
      </c>
      <c r="AS1200" s="122" t="n">
        <v>0</v>
      </c>
      <c r="AT1200" s="122">
        <f>AL1200+AR1200</f>
        <v/>
      </c>
      <c r="AU1200" s="125">
        <f>IFERROR(AO1200*Assumptions!$C$26*Assumptions!$C$27*INDEX(Assumptions!$C$18:$C$21,MATCH(H1200,Assumptions!$B$18:$B$21,0)),0)</f>
        <v/>
      </c>
    </row>
    <row r="1201">
      <c r="A1201" s="120" t="n">
        <v>46260</v>
      </c>
      <c r="B1201" s="66" t="inlineStr">
        <is>
          <t>Wk 35</t>
        </is>
      </c>
      <c r="C1201" s="66" t="inlineStr">
        <is>
          <t>Wed</t>
        </is>
      </c>
      <c r="D1201" s="66" t="inlineStr">
        <is>
          <t>TikTok</t>
        </is>
      </c>
      <c r="E1201" s="66" t="inlineStr">
        <is>
          <t>TikTok</t>
        </is>
      </c>
      <c r="F1201" s="66" t="inlineStr">
        <is>
          <t>LEP_ZA_AUG26_TT_TD_PANTERA_CONV</t>
        </is>
      </c>
      <c r="G1201" s="66" t="inlineStr">
        <is>
          <t>Website Conversions</t>
        </is>
      </c>
      <c r="H1201" s="66" t="inlineStr">
        <is>
          <t>PANTERA</t>
        </is>
      </c>
      <c r="I1201" s="66" t="inlineStr">
        <is>
          <t>0% Deposit</t>
        </is>
      </c>
      <c r="J1201" s="66" t="inlineStr">
        <is>
          <t>TT_PANTERA_LAL_ENGAGERS_ZA</t>
        </is>
      </c>
      <c r="K1201" s="66" t="inlineStr">
        <is>
          <t>Lookalike</t>
        </is>
      </c>
      <c r="L1201" s="66" t="inlineStr">
        <is>
          <t>TT_PANTERA_CREATOR_25s_Review_v1</t>
        </is>
      </c>
      <c r="M1201" s="66" t="inlineStr">
        <is>
          <t>Video 9:16</t>
        </is>
      </c>
      <c r="N1201" s="66" t="inlineStr">
        <is>
          <t>Creator review: is it worth it?</t>
        </is>
      </c>
      <c r="O1201" s="66" t="inlineStr">
        <is>
          <t>Auction - Cost Cap</t>
        </is>
      </c>
      <c r="P1201" s="66" t="inlineStr">
        <is>
          <t>Complete Payment / Lead</t>
        </is>
      </c>
      <c r="Q1201" s="66" t="inlineStr">
        <is>
          <t>https://www.lepas-sa.co.za/offers/pantera</t>
        </is>
      </c>
      <c r="R1201" s="121" t="n">
        <v>200.96</v>
      </c>
      <c r="S1201" s="122" t="n">
        <v>3831</v>
      </c>
      <c r="T1201" s="122" t="n">
        <v>2122</v>
      </c>
      <c r="U1201" s="123">
        <f>IFERROR(S1201/T1201,"")</f>
        <v/>
      </c>
      <c r="V1201" s="122" t="n">
        <v>26</v>
      </c>
      <c r="W1201" s="122" t="n">
        <v>21</v>
      </c>
      <c r="X1201" s="124">
        <f>IFERROR(W1201/S1201,"")</f>
        <v/>
      </c>
      <c r="Y1201" s="121">
        <f>IFERROR(R1201/W1201,"")</f>
        <v/>
      </c>
      <c r="Z1201" s="121">
        <f>IFERROR(R1201/S1201*1000,"")</f>
        <v/>
      </c>
      <c r="AA1201" s="122" t="n">
        <v>13</v>
      </c>
      <c r="AB1201" s="54">
        <f>IFERROR(AA1201/W1201,"")</f>
        <v/>
      </c>
      <c r="AC1201" s="122" t="n">
        <v>1400</v>
      </c>
      <c r="AD1201" s="122" t="n">
        <v>827</v>
      </c>
      <c r="AE1201" s="122" t="n">
        <v>631</v>
      </c>
      <c r="AF1201" s="122" t="n">
        <v>332</v>
      </c>
      <c r="AG1201" s="122" t="n">
        <v>245</v>
      </c>
      <c r="AH1201" s="122" t="n">
        <v>153</v>
      </c>
      <c r="AI1201" s="54">
        <f>IFERROR(AC1201/S1201,"")</f>
        <v/>
      </c>
      <c r="AJ1201" s="54">
        <f>IFERROR(AH1201/S1201,"")</f>
        <v/>
      </c>
      <c r="AK1201" s="122" t="n">
        <v>158</v>
      </c>
      <c r="AL1201" s="122" t="n">
        <v>0</v>
      </c>
      <c r="AM1201" s="124">
        <f>IFERROR(AL1201/AA1201,"")</f>
        <v/>
      </c>
      <c r="AN1201" s="125">
        <f>IFERROR(R1201/AL1201,"")</f>
        <v/>
      </c>
      <c r="AO1201" s="122" t="n">
        <v>0</v>
      </c>
      <c r="AP1201" s="54">
        <f>IFERROR(AO1201/AL1201,"")</f>
        <v/>
      </c>
      <c r="AQ1201" s="125">
        <f>IFERROR(R1201/AO1201,"")</f>
        <v/>
      </c>
      <c r="AR1201" s="122" t="n">
        <v>0</v>
      </c>
      <c r="AS1201" s="122" t="n">
        <v>0</v>
      </c>
      <c r="AT1201" s="122">
        <f>AL1201+AR1201</f>
        <v/>
      </c>
      <c r="AU1201" s="125">
        <f>IFERROR(AO1201*Assumptions!$C$26*Assumptions!$C$27*INDEX(Assumptions!$C$18:$C$21,MATCH(H1201,Assumptions!$B$18:$B$21,0)),0)</f>
        <v/>
      </c>
    </row>
    <row r="1202">
      <c r="A1202" s="120" t="n">
        <v>46261</v>
      </c>
      <c r="B1202" s="66" t="inlineStr">
        <is>
          <t>Wk 35</t>
        </is>
      </c>
      <c r="C1202" s="66" t="inlineStr">
        <is>
          <t>Thu</t>
        </is>
      </c>
      <c r="D1202" s="66" t="inlineStr">
        <is>
          <t>TikTok</t>
        </is>
      </c>
      <c r="E1202" s="66" t="inlineStr">
        <is>
          <t>TikTok</t>
        </is>
      </c>
      <c r="F1202" s="66" t="inlineStr">
        <is>
          <t>LEP_ZA_AUG26_TT_TD_PANTERA_CONV</t>
        </is>
      </c>
      <c r="G1202" s="66" t="inlineStr">
        <is>
          <t>Website Conversions</t>
        </is>
      </c>
      <c r="H1202" s="66" t="inlineStr">
        <is>
          <t>PANTERA</t>
        </is>
      </c>
      <c r="I1202" s="66" t="inlineStr">
        <is>
          <t>0% Deposit</t>
        </is>
      </c>
      <c r="J1202" s="66" t="inlineStr">
        <is>
          <t>TT_PANTERA_LAL_ENGAGERS_ZA</t>
        </is>
      </c>
      <c r="K1202" s="66" t="inlineStr">
        <is>
          <t>Lookalike</t>
        </is>
      </c>
      <c r="L1202" s="66" t="inlineStr">
        <is>
          <t>TT_PANTERA_CREATOR_25s_Review_v1</t>
        </is>
      </c>
      <c r="M1202" s="66" t="inlineStr">
        <is>
          <t>Video 9:16</t>
        </is>
      </c>
      <c r="N1202" s="66" t="inlineStr">
        <is>
          <t>Creator review: is it worth it?</t>
        </is>
      </c>
      <c r="O1202" s="66" t="inlineStr">
        <is>
          <t>Auction - Cost Cap</t>
        </is>
      </c>
      <c r="P1202" s="66" t="inlineStr">
        <is>
          <t>Complete Payment / Lead</t>
        </is>
      </c>
      <c r="Q1202" s="66" t="inlineStr">
        <is>
          <t>https://www.lepas-sa.co.za/offers/pantera</t>
        </is>
      </c>
      <c r="R1202" s="121" t="n">
        <v>231.58</v>
      </c>
      <c r="S1202" s="122" t="n">
        <v>5069</v>
      </c>
      <c r="T1202" s="122" t="n">
        <v>2610</v>
      </c>
      <c r="U1202" s="123">
        <f>IFERROR(S1202/T1202,"")</f>
        <v/>
      </c>
      <c r="V1202" s="122" t="n">
        <v>55</v>
      </c>
      <c r="W1202" s="122" t="n">
        <v>42</v>
      </c>
      <c r="X1202" s="124">
        <f>IFERROR(W1202/S1202,"")</f>
        <v/>
      </c>
      <c r="Y1202" s="121">
        <f>IFERROR(R1202/W1202,"")</f>
        <v/>
      </c>
      <c r="Z1202" s="121">
        <f>IFERROR(R1202/S1202*1000,"")</f>
        <v/>
      </c>
      <c r="AA1202" s="122" t="n">
        <v>26</v>
      </c>
      <c r="AB1202" s="54">
        <f>IFERROR(AA1202/W1202,"")</f>
        <v/>
      </c>
      <c r="AC1202" s="122" t="n">
        <v>1992</v>
      </c>
      <c r="AD1202" s="122" t="n">
        <v>879</v>
      </c>
      <c r="AE1202" s="122" t="n">
        <v>829</v>
      </c>
      <c r="AF1202" s="122" t="n">
        <v>473</v>
      </c>
      <c r="AG1202" s="122" t="n">
        <v>323</v>
      </c>
      <c r="AH1202" s="122" t="n">
        <v>224</v>
      </c>
      <c r="AI1202" s="54">
        <f>IFERROR(AC1202/S1202,"")</f>
        <v/>
      </c>
      <c r="AJ1202" s="54">
        <f>IFERROR(AH1202/S1202,"")</f>
        <v/>
      </c>
      <c r="AK1202" s="122" t="n">
        <v>171</v>
      </c>
      <c r="AL1202" s="122" t="n">
        <v>0</v>
      </c>
      <c r="AM1202" s="124">
        <f>IFERROR(AL1202/AA1202,"")</f>
        <v/>
      </c>
      <c r="AN1202" s="125">
        <f>IFERROR(R1202/AL1202,"")</f>
        <v/>
      </c>
      <c r="AO1202" s="122" t="n">
        <v>0</v>
      </c>
      <c r="AP1202" s="54">
        <f>IFERROR(AO1202/AL1202,"")</f>
        <v/>
      </c>
      <c r="AQ1202" s="125">
        <f>IFERROR(R1202/AO1202,"")</f>
        <v/>
      </c>
      <c r="AR1202" s="122" t="n">
        <v>0</v>
      </c>
      <c r="AS1202" s="122" t="n">
        <v>0</v>
      </c>
      <c r="AT1202" s="122">
        <f>AL1202+AR1202</f>
        <v/>
      </c>
      <c r="AU1202" s="125">
        <f>IFERROR(AO1202*Assumptions!$C$26*Assumptions!$C$27*INDEX(Assumptions!$C$18:$C$21,MATCH(H1202,Assumptions!$B$18:$B$21,0)),0)</f>
        <v/>
      </c>
    </row>
    <row r="1203">
      <c r="A1203" s="120" t="n">
        <v>46262</v>
      </c>
      <c r="B1203" s="66" t="inlineStr">
        <is>
          <t>Wk 35</t>
        </is>
      </c>
      <c r="C1203" s="66" t="inlineStr">
        <is>
          <t>Fri</t>
        </is>
      </c>
      <c r="D1203" s="66" t="inlineStr">
        <is>
          <t>TikTok</t>
        </is>
      </c>
      <c r="E1203" s="66" t="inlineStr">
        <is>
          <t>TikTok</t>
        </is>
      </c>
      <c r="F1203" s="66" t="inlineStr">
        <is>
          <t>LEP_ZA_AUG26_TT_TD_PANTERA_CONV</t>
        </is>
      </c>
      <c r="G1203" s="66" t="inlineStr">
        <is>
          <t>Website Conversions</t>
        </is>
      </c>
      <c r="H1203" s="66" t="inlineStr">
        <is>
          <t>PANTERA</t>
        </is>
      </c>
      <c r="I1203" s="66" t="inlineStr">
        <is>
          <t>0% Deposit</t>
        </is>
      </c>
      <c r="J1203" s="66" t="inlineStr">
        <is>
          <t>TT_PANTERA_LAL_ENGAGERS_ZA</t>
        </is>
      </c>
      <c r="K1203" s="66" t="inlineStr">
        <is>
          <t>Lookalike</t>
        </is>
      </c>
      <c r="L1203" s="66" t="inlineStr">
        <is>
          <t>TT_PANTERA_CREATOR_25s_Review_v1</t>
        </is>
      </c>
      <c r="M1203" s="66" t="inlineStr">
        <is>
          <t>Video 9:16</t>
        </is>
      </c>
      <c r="N1203" s="66" t="inlineStr">
        <is>
          <t>Creator review: is it worth it?</t>
        </is>
      </c>
      <c r="O1203" s="66" t="inlineStr">
        <is>
          <t>Auction - Cost Cap</t>
        </is>
      </c>
      <c r="P1203" s="66" t="inlineStr">
        <is>
          <t>Complete Payment / Lead</t>
        </is>
      </c>
      <c r="Q1203" s="66" t="inlineStr">
        <is>
          <t>https://www.lepas-sa.co.za/offers/pantera</t>
        </is>
      </c>
      <c r="R1203" s="121" t="n">
        <v>262.49</v>
      </c>
      <c r="S1203" s="122" t="n">
        <v>7380</v>
      </c>
      <c r="T1203" s="122" t="n">
        <v>3379</v>
      </c>
      <c r="U1203" s="123">
        <f>IFERROR(S1203/T1203,"")</f>
        <v/>
      </c>
      <c r="V1203" s="122" t="n">
        <v>81</v>
      </c>
      <c r="W1203" s="122" t="n">
        <v>66</v>
      </c>
      <c r="X1203" s="124">
        <f>IFERROR(W1203/S1203,"")</f>
        <v/>
      </c>
      <c r="Y1203" s="121">
        <f>IFERROR(R1203/W1203,"")</f>
        <v/>
      </c>
      <c r="Z1203" s="121">
        <f>IFERROR(R1203/S1203*1000,"")</f>
        <v/>
      </c>
      <c r="AA1203" s="122" t="n">
        <v>47</v>
      </c>
      <c r="AB1203" s="54">
        <f>IFERROR(AA1203/W1203,"")</f>
        <v/>
      </c>
      <c r="AC1203" s="122" t="n">
        <v>2436</v>
      </c>
      <c r="AD1203" s="122" t="n">
        <v>1256</v>
      </c>
      <c r="AE1203" s="122" t="n">
        <v>1233</v>
      </c>
      <c r="AF1203" s="122" t="n">
        <v>828</v>
      </c>
      <c r="AG1203" s="122" t="n">
        <v>534</v>
      </c>
      <c r="AH1203" s="122" t="n">
        <v>392</v>
      </c>
      <c r="AI1203" s="54">
        <f>IFERROR(AC1203/S1203,"")</f>
        <v/>
      </c>
      <c r="AJ1203" s="54">
        <f>IFERROR(AH1203/S1203,"")</f>
        <v/>
      </c>
      <c r="AK1203" s="122" t="n">
        <v>248</v>
      </c>
      <c r="AL1203" s="122" t="n">
        <v>1</v>
      </c>
      <c r="AM1203" s="124">
        <f>IFERROR(AL1203/AA1203,"")</f>
        <v/>
      </c>
      <c r="AN1203" s="125">
        <f>IFERROR(R1203/AL1203,"")</f>
        <v/>
      </c>
      <c r="AO1203" s="122" t="n">
        <v>0</v>
      </c>
      <c r="AP1203" s="54">
        <f>IFERROR(AO1203/AL1203,"")</f>
        <v/>
      </c>
      <c r="AQ1203" s="125">
        <f>IFERROR(R1203/AO1203,"")</f>
        <v/>
      </c>
      <c r="AR1203" s="122" t="n">
        <v>1</v>
      </c>
      <c r="AS1203" s="122" t="n">
        <v>1</v>
      </c>
      <c r="AT1203" s="122">
        <f>AL1203+AR1203</f>
        <v/>
      </c>
      <c r="AU1203" s="125">
        <f>IFERROR(AO1203*Assumptions!$C$26*Assumptions!$C$27*INDEX(Assumptions!$C$18:$C$21,MATCH(H1203,Assumptions!$B$18:$B$21,0)),0)</f>
        <v/>
      </c>
    </row>
    <row r="1204">
      <c r="A1204" s="120" t="n">
        <v>46263</v>
      </c>
      <c r="B1204" s="66" t="inlineStr">
        <is>
          <t>Wk 35</t>
        </is>
      </c>
      <c r="C1204" s="66" t="inlineStr">
        <is>
          <t>Sat</t>
        </is>
      </c>
      <c r="D1204" s="66" t="inlineStr">
        <is>
          <t>TikTok</t>
        </is>
      </c>
      <c r="E1204" s="66" t="inlineStr">
        <is>
          <t>TikTok</t>
        </is>
      </c>
      <c r="F1204" s="66" t="inlineStr">
        <is>
          <t>LEP_ZA_AUG26_TT_TD_PANTERA_CONV</t>
        </is>
      </c>
      <c r="G1204" s="66" t="inlineStr">
        <is>
          <t>Website Conversions</t>
        </is>
      </c>
      <c r="H1204" s="66" t="inlineStr">
        <is>
          <t>PANTERA</t>
        </is>
      </c>
      <c r="I1204" s="66" t="inlineStr">
        <is>
          <t>0% Deposit</t>
        </is>
      </c>
      <c r="J1204" s="66" t="inlineStr">
        <is>
          <t>TT_PANTERA_LAL_ENGAGERS_ZA</t>
        </is>
      </c>
      <c r="K1204" s="66" t="inlineStr">
        <is>
          <t>Lookalike</t>
        </is>
      </c>
      <c r="L1204" s="66" t="inlineStr">
        <is>
          <t>TT_PANTERA_CREATOR_25s_Review_v1</t>
        </is>
      </c>
      <c r="M1204" s="66" t="inlineStr">
        <is>
          <t>Video 9:16</t>
        </is>
      </c>
      <c r="N1204" s="66" t="inlineStr">
        <is>
          <t>Creator review: is it worth it?</t>
        </is>
      </c>
      <c r="O1204" s="66" t="inlineStr">
        <is>
          <t>Auction - Cost Cap</t>
        </is>
      </c>
      <c r="P1204" s="66" t="inlineStr">
        <is>
          <t>Complete Payment / Lead</t>
        </is>
      </c>
      <c r="Q1204" s="66" t="inlineStr">
        <is>
          <t>https://www.lepas-sa.co.za/offers/pantera</t>
        </is>
      </c>
      <c r="R1204" s="121" t="n">
        <v>264.91</v>
      </c>
      <c r="S1204" s="122" t="n">
        <v>6394</v>
      </c>
      <c r="T1204" s="122" t="n">
        <v>3248</v>
      </c>
      <c r="U1204" s="123">
        <f>IFERROR(S1204/T1204,"")</f>
        <v/>
      </c>
      <c r="V1204" s="122" t="n">
        <v>72</v>
      </c>
      <c r="W1204" s="122" t="n">
        <v>58</v>
      </c>
      <c r="X1204" s="124">
        <f>IFERROR(W1204/S1204,"")</f>
        <v/>
      </c>
      <c r="Y1204" s="121">
        <f>IFERROR(R1204/W1204,"")</f>
        <v/>
      </c>
      <c r="Z1204" s="121">
        <f>IFERROR(R1204/S1204*1000,"")</f>
        <v/>
      </c>
      <c r="AA1204" s="122" t="n">
        <v>40</v>
      </c>
      <c r="AB1204" s="54">
        <f>IFERROR(AA1204/W1204,"")</f>
        <v/>
      </c>
      <c r="AC1204" s="122" t="n">
        <v>1665</v>
      </c>
      <c r="AD1204" s="122" t="n">
        <v>735</v>
      </c>
      <c r="AE1204" s="122" t="n">
        <v>635</v>
      </c>
      <c r="AF1204" s="122" t="n">
        <v>356</v>
      </c>
      <c r="AG1204" s="122" t="n">
        <v>245</v>
      </c>
      <c r="AH1204" s="122" t="n">
        <v>153</v>
      </c>
      <c r="AI1204" s="54">
        <f>IFERROR(AC1204/S1204,"")</f>
        <v/>
      </c>
      <c r="AJ1204" s="54">
        <f>IFERROR(AH1204/S1204,"")</f>
        <v/>
      </c>
      <c r="AK1204" s="122" t="n">
        <v>144</v>
      </c>
      <c r="AL1204" s="122" t="n">
        <v>0</v>
      </c>
      <c r="AM1204" s="124">
        <f>IFERROR(AL1204/AA1204,"")</f>
        <v/>
      </c>
      <c r="AN1204" s="125">
        <f>IFERROR(R1204/AL1204,"")</f>
        <v/>
      </c>
      <c r="AO1204" s="122" t="n">
        <v>0</v>
      </c>
      <c r="AP1204" s="54">
        <f>IFERROR(AO1204/AL1204,"")</f>
        <v/>
      </c>
      <c r="AQ1204" s="125">
        <f>IFERROR(R1204/AO1204,"")</f>
        <v/>
      </c>
      <c r="AR1204" s="122" t="n">
        <v>0</v>
      </c>
      <c r="AS1204" s="122" t="n">
        <v>0</v>
      </c>
      <c r="AT1204" s="122">
        <f>AL1204+AR1204</f>
        <v/>
      </c>
      <c r="AU1204" s="125">
        <f>IFERROR(AO1204*Assumptions!$C$26*Assumptions!$C$27*INDEX(Assumptions!$C$18:$C$21,MATCH(H1204,Assumptions!$B$18:$B$21,0)),0)</f>
        <v/>
      </c>
    </row>
    <row r="1205">
      <c r="A1205" s="120" t="n">
        <v>46264</v>
      </c>
      <c r="B1205" s="66" t="inlineStr">
        <is>
          <t>Wk 35</t>
        </is>
      </c>
      <c r="C1205" s="66" t="inlineStr">
        <is>
          <t>Sun</t>
        </is>
      </c>
      <c r="D1205" s="66" t="inlineStr">
        <is>
          <t>TikTok</t>
        </is>
      </c>
      <c r="E1205" s="66" t="inlineStr">
        <is>
          <t>TikTok</t>
        </is>
      </c>
      <c r="F1205" s="66" t="inlineStr">
        <is>
          <t>LEP_ZA_AUG26_TT_TD_PANTERA_CONV</t>
        </is>
      </c>
      <c r="G1205" s="66" t="inlineStr">
        <is>
          <t>Website Conversions</t>
        </is>
      </c>
      <c r="H1205" s="66" t="inlineStr">
        <is>
          <t>PANTERA</t>
        </is>
      </c>
      <c r="I1205" s="66" t="inlineStr">
        <is>
          <t>0% Deposit</t>
        </is>
      </c>
      <c r="J1205" s="66" t="inlineStr">
        <is>
          <t>TT_PANTERA_LAL_ENGAGERS_ZA</t>
        </is>
      </c>
      <c r="K1205" s="66" t="inlineStr">
        <is>
          <t>Lookalike</t>
        </is>
      </c>
      <c r="L1205" s="66" t="inlineStr">
        <is>
          <t>TT_PANTERA_CREATOR_25s_Review_v1</t>
        </is>
      </c>
      <c r="M1205" s="66" t="inlineStr">
        <is>
          <t>Video 9:16</t>
        </is>
      </c>
      <c r="N1205" s="66" t="inlineStr">
        <is>
          <t>Creator review: is it worth it?</t>
        </is>
      </c>
      <c r="O1205" s="66" t="inlineStr">
        <is>
          <t>Auction - Cost Cap</t>
        </is>
      </c>
      <c r="P1205" s="66" t="inlineStr">
        <is>
          <t>Complete Payment / Lead</t>
        </is>
      </c>
      <c r="Q1205" s="66" t="inlineStr">
        <is>
          <t>https://www.lepas-sa.co.za/offers/pantera</t>
        </is>
      </c>
      <c r="R1205" s="121" t="n">
        <v>188.03</v>
      </c>
      <c r="S1205" s="122" t="n">
        <v>3783</v>
      </c>
      <c r="T1205" s="122" t="n">
        <v>2257</v>
      </c>
      <c r="U1205" s="123">
        <f>IFERROR(S1205/T1205,"")</f>
        <v/>
      </c>
      <c r="V1205" s="122" t="n">
        <v>44</v>
      </c>
      <c r="W1205" s="122" t="n">
        <v>33</v>
      </c>
      <c r="X1205" s="124">
        <f>IFERROR(W1205/S1205,"")</f>
        <v/>
      </c>
      <c r="Y1205" s="121">
        <f>IFERROR(R1205/W1205,"")</f>
        <v/>
      </c>
      <c r="Z1205" s="121">
        <f>IFERROR(R1205/S1205*1000,"")</f>
        <v/>
      </c>
      <c r="AA1205" s="122" t="n">
        <v>24</v>
      </c>
      <c r="AB1205" s="54">
        <f>IFERROR(AA1205/W1205,"")</f>
        <v/>
      </c>
      <c r="AC1205" s="122" t="n">
        <v>978</v>
      </c>
      <c r="AD1205" s="122" t="n">
        <v>459</v>
      </c>
      <c r="AE1205" s="122" t="n">
        <v>451</v>
      </c>
      <c r="AF1205" s="122" t="n">
        <v>257</v>
      </c>
      <c r="AG1205" s="122" t="n">
        <v>166</v>
      </c>
      <c r="AH1205" s="122" t="n">
        <v>95</v>
      </c>
      <c r="AI1205" s="54">
        <f>IFERROR(AC1205/S1205,"")</f>
        <v/>
      </c>
      <c r="AJ1205" s="54">
        <f>IFERROR(AH1205/S1205,"")</f>
        <v/>
      </c>
      <c r="AK1205" s="122" t="n">
        <v>207</v>
      </c>
      <c r="AL1205" s="122" t="n">
        <v>0</v>
      </c>
      <c r="AM1205" s="124">
        <f>IFERROR(AL1205/AA1205,"")</f>
        <v/>
      </c>
      <c r="AN1205" s="125">
        <f>IFERROR(R1205/AL1205,"")</f>
        <v/>
      </c>
      <c r="AO1205" s="122" t="n">
        <v>0</v>
      </c>
      <c r="AP1205" s="54">
        <f>IFERROR(AO1205/AL1205,"")</f>
        <v/>
      </c>
      <c r="AQ1205" s="125">
        <f>IFERROR(R1205/AO1205,"")</f>
        <v/>
      </c>
      <c r="AR1205" s="122" t="n">
        <v>0</v>
      </c>
      <c r="AS1205" s="122" t="n">
        <v>0</v>
      </c>
      <c r="AT1205" s="122">
        <f>AL1205+AR1205</f>
        <v/>
      </c>
      <c r="AU1205" s="125">
        <f>IFERROR(AO1205*Assumptions!$C$26*Assumptions!$C$27*INDEX(Assumptions!$C$18:$C$21,MATCH(H1205,Assumptions!$B$18:$B$21,0)),0)</f>
        <v/>
      </c>
    </row>
    <row r="1206">
      <c r="A1206" s="120" t="n">
        <v>46265</v>
      </c>
      <c r="B1206" s="66" t="inlineStr">
        <is>
          <t>Wk 36</t>
        </is>
      </c>
      <c r="C1206" s="66" t="inlineStr">
        <is>
          <t>Mon</t>
        </is>
      </c>
      <c r="D1206" s="66" t="inlineStr">
        <is>
          <t>TikTok</t>
        </is>
      </c>
      <c r="E1206" s="66" t="inlineStr">
        <is>
          <t>TikTok</t>
        </is>
      </c>
      <c r="F1206" s="66" t="inlineStr">
        <is>
          <t>LEP_ZA_AUG26_TT_TD_PANTERA_CONV</t>
        </is>
      </c>
      <c r="G1206" s="66" t="inlineStr">
        <is>
          <t>Website Conversions</t>
        </is>
      </c>
      <c r="H1206" s="66" t="inlineStr">
        <is>
          <t>PANTERA</t>
        </is>
      </c>
      <c r="I1206" s="66" t="inlineStr">
        <is>
          <t>0% Deposit</t>
        </is>
      </c>
      <c r="J1206" s="66" t="inlineStr">
        <is>
          <t>TT_PANTERA_LAL_ENGAGERS_ZA</t>
        </is>
      </c>
      <c r="K1206" s="66" t="inlineStr">
        <is>
          <t>Lookalike</t>
        </is>
      </c>
      <c r="L1206" s="66" t="inlineStr">
        <is>
          <t>TT_PANTERA_CREATOR_25s_Review_v1</t>
        </is>
      </c>
      <c r="M1206" s="66" t="inlineStr">
        <is>
          <t>Video 9:16</t>
        </is>
      </c>
      <c r="N1206" s="66" t="inlineStr">
        <is>
          <t>Creator review: is it worth it?</t>
        </is>
      </c>
      <c r="O1206" s="66" t="inlineStr">
        <is>
          <t>Auction - Cost Cap</t>
        </is>
      </c>
      <c r="P1206" s="66" t="inlineStr">
        <is>
          <t>Complete Payment / Lead</t>
        </is>
      </c>
      <c r="Q1206" s="66" t="inlineStr">
        <is>
          <t>https://www.lepas-sa.co.za/offers/pantera</t>
        </is>
      </c>
      <c r="R1206" s="121" t="n">
        <v>173.21</v>
      </c>
      <c r="S1206" s="122" t="n">
        <v>4838</v>
      </c>
      <c r="T1206" s="122" t="n">
        <v>2146</v>
      </c>
      <c r="U1206" s="123">
        <f>IFERROR(S1206/T1206,"")</f>
        <v/>
      </c>
      <c r="V1206" s="122" t="n">
        <v>41</v>
      </c>
      <c r="W1206" s="122" t="n">
        <v>35</v>
      </c>
      <c r="X1206" s="124">
        <f>IFERROR(W1206/S1206,"")</f>
        <v/>
      </c>
      <c r="Y1206" s="121">
        <f>IFERROR(R1206/W1206,"")</f>
        <v/>
      </c>
      <c r="Z1206" s="121">
        <f>IFERROR(R1206/S1206*1000,"")</f>
        <v/>
      </c>
      <c r="AA1206" s="122" t="n">
        <v>24</v>
      </c>
      <c r="AB1206" s="54">
        <f>IFERROR(AA1206/W1206,"")</f>
        <v/>
      </c>
      <c r="AC1206" s="122" t="n">
        <v>1102</v>
      </c>
      <c r="AD1206" s="122" t="n">
        <v>529</v>
      </c>
      <c r="AE1206" s="122" t="n">
        <v>605</v>
      </c>
      <c r="AF1206" s="122" t="n">
        <v>350</v>
      </c>
      <c r="AG1206" s="122" t="n">
        <v>252</v>
      </c>
      <c r="AH1206" s="122" t="n">
        <v>165</v>
      </c>
      <c r="AI1206" s="54">
        <f>IFERROR(AC1206/S1206,"")</f>
        <v/>
      </c>
      <c r="AJ1206" s="54">
        <f>IFERROR(AH1206/S1206,"")</f>
        <v/>
      </c>
      <c r="AK1206" s="122" t="n">
        <v>255</v>
      </c>
      <c r="AL1206" s="122" t="n">
        <v>0</v>
      </c>
      <c r="AM1206" s="124">
        <f>IFERROR(AL1206/AA1206,"")</f>
        <v/>
      </c>
      <c r="AN1206" s="125">
        <f>IFERROR(R1206/AL1206,"")</f>
        <v/>
      </c>
      <c r="AO1206" s="122" t="n">
        <v>0</v>
      </c>
      <c r="AP1206" s="54">
        <f>IFERROR(AO1206/AL1206,"")</f>
        <v/>
      </c>
      <c r="AQ1206" s="125">
        <f>IFERROR(R1206/AO1206,"")</f>
        <v/>
      </c>
      <c r="AR1206" s="122" t="n">
        <v>0</v>
      </c>
      <c r="AS1206" s="122" t="n">
        <v>0</v>
      </c>
      <c r="AT1206" s="122">
        <f>AL1206+AR1206</f>
        <v/>
      </c>
      <c r="AU1206" s="125">
        <f>IFERROR(AO1206*Assumptions!$C$26*Assumptions!$C$27*INDEX(Assumptions!$C$18:$C$21,MATCH(H1206,Assumptions!$B$18:$B$21,0)),0)</f>
        <v/>
      </c>
    </row>
    <row r="1207">
      <c r="A1207" s="120" t="n">
        <v>46243</v>
      </c>
      <c r="B1207" s="66" t="inlineStr">
        <is>
          <t>Wk 32</t>
        </is>
      </c>
      <c r="C1207" s="66" t="inlineStr">
        <is>
          <t>Sun</t>
        </is>
      </c>
      <c r="D1207" s="66" t="inlineStr">
        <is>
          <t>TikTok</t>
        </is>
      </c>
      <c r="E1207" s="66" t="inlineStr">
        <is>
          <t>TikTok</t>
        </is>
      </c>
      <c r="F1207" s="66" t="inlineStr">
        <is>
          <t>LEP_ZA_AUG26_TT_TD_PANTERA_CONV</t>
        </is>
      </c>
      <c r="G1207" s="66" t="inlineStr">
        <is>
          <t>Website Conversions</t>
        </is>
      </c>
      <c r="H1207" s="66" t="inlineStr">
        <is>
          <t>PANTERA</t>
        </is>
      </c>
      <c r="I1207" s="66" t="inlineStr">
        <is>
          <t>0% Deposit</t>
        </is>
      </c>
      <c r="J1207" s="66" t="inlineStr">
        <is>
          <t>TT_PANTERA_LAL_ENGAGERS_ZA</t>
        </is>
      </c>
      <c r="K1207" s="66" t="inlineStr">
        <is>
          <t>Lookalike</t>
        </is>
      </c>
      <c r="L1207" s="66" t="inlineStr">
        <is>
          <t>TT_PANTERA_TREND_10s_Spec_v1</t>
        </is>
      </c>
      <c r="M1207" s="66" t="inlineStr">
        <is>
          <t>Video 9:16</t>
        </is>
      </c>
      <c r="N1207" s="66" t="inlineStr">
        <is>
          <t>Spec check. Guess the price.</t>
        </is>
      </c>
      <c r="O1207" s="66" t="inlineStr">
        <is>
          <t>Auction - Cost Cap</t>
        </is>
      </c>
      <c r="P1207" s="66" t="inlineStr">
        <is>
          <t>Complete Payment / Lead</t>
        </is>
      </c>
      <c r="Q1207" s="66" t="inlineStr">
        <is>
          <t>https://www.lepas-sa.co.za/offers/pantera</t>
        </is>
      </c>
      <c r="R1207" s="121" t="n">
        <v>111.12</v>
      </c>
      <c r="S1207" s="122" t="n">
        <v>2611</v>
      </c>
      <c r="T1207" s="122" t="n">
        <v>1761</v>
      </c>
      <c r="U1207" s="123">
        <f>IFERROR(S1207/T1207,"")</f>
        <v/>
      </c>
      <c r="V1207" s="122" t="n">
        <v>36</v>
      </c>
      <c r="W1207" s="122" t="n">
        <v>26</v>
      </c>
      <c r="X1207" s="124">
        <f>IFERROR(W1207/S1207,"")</f>
        <v/>
      </c>
      <c r="Y1207" s="121">
        <f>IFERROR(R1207/W1207,"")</f>
        <v/>
      </c>
      <c r="Z1207" s="121">
        <f>IFERROR(R1207/S1207*1000,"")</f>
        <v/>
      </c>
      <c r="AA1207" s="122" t="n">
        <v>18</v>
      </c>
      <c r="AB1207" s="54">
        <f>IFERROR(AA1207/W1207,"")</f>
        <v/>
      </c>
      <c r="AC1207" s="122" t="n">
        <v>619</v>
      </c>
      <c r="AD1207" s="122" t="n">
        <v>343</v>
      </c>
      <c r="AE1207" s="122" t="n">
        <v>248</v>
      </c>
      <c r="AF1207" s="122" t="n">
        <v>155</v>
      </c>
      <c r="AG1207" s="122" t="n">
        <v>102</v>
      </c>
      <c r="AH1207" s="122" t="n">
        <v>66</v>
      </c>
      <c r="AI1207" s="54">
        <f>IFERROR(AC1207/S1207,"")</f>
        <v/>
      </c>
      <c r="AJ1207" s="54">
        <f>IFERROR(AH1207/S1207,"")</f>
        <v/>
      </c>
      <c r="AK1207" s="122" t="n">
        <v>90</v>
      </c>
      <c r="AL1207" s="122" t="n">
        <v>0</v>
      </c>
      <c r="AM1207" s="124">
        <f>IFERROR(AL1207/AA1207,"")</f>
        <v/>
      </c>
      <c r="AN1207" s="125">
        <f>IFERROR(R1207/AL1207,"")</f>
        <v/>
      </c>
      <c r="AO1207" s="122" t="n">
        <v>0</v>
      </c>
      <c r="AP1207" s="54">
        <f>IFERROR(AO1207/AL1207,"")</f>
        <v/>
      </c>
      <c r="AQ1207" s="125">
        <f>IFERROR(R1207/AO1207,"")</f>
        <v/>
      </c>
      <c r="AR1207" s="122" t="n">
        <v>0</v>
      </c>
      <c r="AS1207" s="122" t="n">
        <v>0</v>
      </c>
      <c r="AT1207" s="122">
        <f>AL1207+AR1207</f>
        <v/>
      </c>
      <c r="AU1207" s="125">
        <f>IFERROR(AO1207*Assumptions!$C$26*Assumptions!$C$27*INDEX(Assumptions!$C$18:$C$21,MATCH(H1207,Assumptions!$B$18:$B$21,0)),0)</f>
        <v/>
      </c>
    </row>
    <row r="1208">
      <c r="A1208" s="120" t="n">
        <v>46244</v>
      </c>
      <c r="B1208" s="66" t="inlineStr">
        <is>
          <t>Wk 33</t>
        </is>
      </c>
      <c r="C1208" s="66" t="inlineStr">
        <is>
          <t>Mon</t>
        </is>
      </c>
      <c r="D1208" s="66" t="inlineStr">
        <is>
          <t>TikTok</t>
        </is>
      </c>
      <c r="E1208" s="66" t="inlineStr">
        <is>
          <t>TikTok</t>
        </is>
      </c>
      <c r="F1208" s="66" t="inlineStr">
        <is>
          <t>LEP_ZA_AUG26_TT_TD_PANTERA_CONV</t>
        </is>
      </c>
      <c r="G1208" s="66" t="inlineStr">
        <is>
          <t>Website Conversions</t>
        </is>
      </c>
      <c r="H1208" s="66" t="inlineStr">
        <is>
          <t>PANTERA</t>
        </is>
      </c>
      <c r="I1208" s="66" t="inlineStr">
        <is>
          <t>0% Deposit</t>
        </is>
      </c>
      <c r="J1208" s="66" t="inlineStr">
        <is>
          <t>TT_PANTERA_LAL_ENGAGERS_ZA</t>
        </is>
      </c>
      <c r="K1208" s="66" t="inlineStr">
        <is>
          <t>Lookalike</t>
        </is>
      </c>
      <c r="L1208" s="66" t="inlineStr">
        <is>
          <t>TT_PANTERA_TREND_10s_Spec_v1</t>
        </is>
      </c>
      <c r="M1208" s="66" t="inlineStr">
        <is>
          <t>Video 9:16</t>
        </is>
      </c>
      <c r="N1208" s="66" t="inlineStr">
        <is>
          <t>Spec check. Guess the price.</t>
        </is>
      </c>
      <c r="O1208" s="66" t="inlineStr">
        <is>
          <t>Auction - Cost Cap</t>
        </is>
      </c>
      <c r="P1208" s="66" t="inlineStr">
        <is>
          <t>Complete Payment / Lead</t>
        </is>
      </c>
      <c r="Q1208" s="66" t="inlineStr">
        <is>
          <t>https://www.lepas-sa.co.za/offers/pantera</t>
        </is>
      </c>
      <c r="R1208" s="121" t="n">
        <v>154.68</v>
      </c>
      <c r="S1208" s="122" t="n">
        <v>4515</v>
      </c>
      <c r="T1208" s="122" t="n">
        <v>3370</v>
      </c>
      <c r="U1208" s="123">
        <f>IFERROR(S1208/T1208,"")</f>
        <v/>
      </c>
      <c r="V1208" s="122" t="n">
        <v>85</v>
      </c>
      <c r="W1208" s="122" t="n">
        <v>62</v>
      </c>
      <c r="X1208" s="124">
        <f>IFERROR(W1208/S1208,"")</f>
        <v/>
      </c>
      <c r="Y1208" s="121">
        <f>IFERROR(R1208/W1208,"")</f>
        <v/>
      </c>
      <c r="Z1208" s="121">
        <f>IFERROR(R1208/S1208*1000,"")</f>
        <v/>
      </c>
      <c r="AA1208" s="122" t="n">
        <v>47</v>
      </c>
      <c r="AB1208" s="54">
        <f>IFERROR(AA1208/W1208,"")</f>
        <v/>
      </c>
      <c r="AC1208" s="122" t="n">
        <v>1155</v>
      </c>
      <c r="AD1208" s="122" t="n">
        <v>658</v>
      </c>
      <c r="AE1208" s="122" t="n">
        <v>561</v>
      </c>
      <c r="AF1208" s="122" t="n">
        <v>362</v>
      </c>
      <c r="AG1208" s="122" t="n">
        <v>234</v>
      </c>
      <c r="AH1208" s="122" t="n">
        <v>135</v>
      </c>
      <c r="AI1208" s="54">
        <f>IFERROR(AC1208/S1208,"")</f>
        <v/>
      </c>
      <c r="AJ1208" s="54">
        <f>IFERROR(AH1208/S1208,"")</f>
        <v/>
      </c>
      <c r="AK1208" s="122" t="n">
        <v>208</v>
      </c>
      <c r="AL1208" s="122" t="n">
        <v>1</v>
      </c>
      <c r="AM1208" s="124">
        <f>IFERROR(AL1208/AA1208,"")</f>
        <v/>
      </c>
      <c r="AN1208" s="125">
        <f>IFERROR(R1208/AL1208,"")</f>
        <v/>
      </c>
      <c r="AO1208" s="122" t="n">
        <v>1</v>
      </c>
      <c r="AP1208" s="54">
        <f>IFERROR(AO1208/AL1208,"")</f>
        <v/>
      </c>
      <c r="AQ1208" s="125">
        <f>IFERROR(R1208/AO1208,"")</f>
        <v/>
      </c>
      <c r="AR1208" s="122" t="n">
        <v>0</v>
      </c>
      <c r="AS1208" s="122" t="n">
        <v>0</v>
      </c>
      <c r="AT1208" s="122">
        <f>AL1208+AR1208</f>
        <v/>
      </c>
      <c r="AU1208" s="125">
        <f>IFERROR(AO1208*Assumptions!$C$26*Assumptions!$C$27*INDEX(Assumptions!$C$18:$C$21,MATCH(H1208,Assumptions!$B$18:$B$21,0)),0)</f>
        <v/>
      </c>
    </row>
    <row r="1209">
      <c r="A1209" s="120" t="n">
        <v>46245</v>
      </c>
      <c r="B1209" s="66" t="inlineStr">
        <is>
          <t>Wk 33</t>
        </is>
      </c>
      <c r="C1209" s="66" t="inlineStr">
        <is>
          <t>Tue</t>
        </is>
      </c>
      <c r="D1209" s="66" t="inlineStr">
        <is>
          <t>TikTok</t>
        </is>
      </c>
      <c r="E1209" s="66" t="inlineStr">
        <is>
          <t>TikTok</t>
        </is>
      </c>
      <c r="F1209" s="66" t="inlineStr">
        <is>
          <t>LEP_ZA_AUG26_TT_TD_PANTERA_CONV</t>
        </is>
      </c>
      <c r="G1209" s="66" t="inlineStr">
        <is>
          <t>Website Conversions</t>
        </is>
      </c>
      <c r="H1209" s="66" t="inlineStr">
        <is>
          <t>PANTERA</t>
        </is>
      </c>
      <c r="I1209" s="66" t="inlineStr">
        <is>
          <t>0% Deposit</t>
        </is>
      </c>
      <c r="J1209" s="66" t="inlineStr">
        <is>
          <t>TT_PANTERA_LAL_ENGAGERS_ZA</t>
        </is>
      </c>
      <c r="K1209" s="66" t="inlineStr">
        <is>
          <t>Lookalike</t>
        </is>
      </c>
      <c r="L1209" s="66" t="inlineStr">
        <is>
          <t>TT_PANTERA_TREND_10s_Spec_v1</t>
        </is>
      </c>
      <c r="M1209" s="66" t="inlineStr">
        <is>
          <t>Video 9:16</t>
        </is>
      </c>
      <c r="N1209" s="66" t="inlineStr">
        <is>
          <t>Spec check. Guess the price.</t>
        </is>
      </c>
      <c r="O1209" s="66" t="inlineStr">
        <is>
          <t>Auction - Cost Cap</t>
        </is>
      </c>
      <c r="P1209" s="66" t="inlineStr">
        <is>
          <t>Complete Payment / Lead</t>
        </is>
      </c>
      <c r="Q1209" s="66" t="inlineStr">
        <is>
          <t>https://www.lepas-sa.co.za/offers/pantera</t>
        </is>
      </c>
      <c r="R1209" s="121" t="n">
        <v>128.23</v>
      </c>
      <c r="S1209" s="122" t="n">
        <v>3936</v>
      </c>
      <c r="T1209" s="122" t="n">
        <v>2629</v>
      </c>
      <c r="U1209" s="123">
        <f>IFERROR(S1209/T1209,"")</f>
        <v/>
      </c>
      <c r="V1209" s="122" t="n">
        <v>55</v>
      </c>
      <c r="W1209" s="122" t="n">
        <v>44</v>
      </c>
      <c r="X1209" s="124">
        <f>IFERROR(W1209/S1209,"")</f>
        <v/>
      </c>
      <c r="Y1209" s="121">
        <f>IFERROR(R1209/W1209,"")</f>
        <v/>
      </c>
      <c r="Z1209" s="121">
        <f>IFERROR(R1209/S1209*1000,"")</f>
        <v/>
      </c>
      <c r="AA1209" s="122" t="n">
        <v>28</v>
      </c>
      <c r="AB1209" s="54">
        <f>IFERROR(AA1209/W1209,"")</f>
        <v/>
      </c>
      <c r="AC1209" s="122" t="n">
        <v>1357</v>
      </c>
      <c r="AD1209" s="122" t="n">
        <v>610</v>
      </c>
      <c r="AE1209" s="122" t="n">
        <v>548</v>
      </c>
      <c r="AF1209" s="122" t="n">
        <v>322</v>
      </c>
      <c r="AG1209" s="122" t="n">
        <v>215</v>
      </c>
      <c r="AH1209" s="122" t="n">
        <v>135</v>
      </c>
      <c r="AI1209" s="54">
        <f>IFERROR(AC1209/S1209,"")</f>
        <v/>
      </c>
      <c r="AJ1209" s="54">
        <f>IFERROR(AH1209/S1209,"")</f>
        <v/>
      </c>
      <c r="AK1209" s="122" t="n">
        <v>213</v>
      </c>
      <c r="AL1209" s="122" t="n">
        <v>1</v>
      </c>
      <c r="AM1209" s="124">
        <f>IFERROR(AL1209/AA1209,"")</f>
        <v/>
      </c>
      <c r="AN1209" s="125">
        <f>IFERROR(R1209/AL1209,"")</f>
        <v/>
      </c>
      <c r="AO1209" s="122" t="n">
        <v>0</v>
      </c>
      <c r="AP1209" s="54">
        <f>IFERROR(AO1209/AL1209,"")</f>
        <v/>
      </c>
      <c r="AQ1209" s="125">
        <f>IFERROR(R1209/AO1209,"")</f>
        <v/>
      </c>
      <c r="AR1209" s="122" t="n">
        <v>0</v>
      </c>
      <c r="AS1209" s="122" t="n">
        <v>1</v>
      </c>
      <c r="AT1209" s="122">
        <f>AL1209+AR1209</f>
        <v/>
      </c>
      <c r="AU1209" s="125">
        <f>IFERROR(AO1209*Assumptions!$C$26*Assumptions!$C$27*INDEX(Assumptions!$C$18:$C$21,MATCH(H1209,Assumptions!$B$18:$B$21,0)),0)</f>
        <v/>
      </c>
    </row>
    <row r="1210">
      <c r="A1210" s="120" t="n">
        <v>46246</v>
      </c>
      <c r="B1210" s="66" t="inlineStr">
        <is>
          <t>Wk 33</t>
        </is>
      </c>
      <c r="C1210" s="66" t="inlineStr">
        <is>
          <t>Wed</t>
        </is>
      </c>
      <c r="D1210" s="66" t="inlineStr">
        <is>
          <t>TikTok</t>
        </is>
      </c>
      <c r="E1210" s="66" t="inlineStr">
        <is>
          <t>TikTok</t>
        </is>
      </c>
      <c r="F1210" s="66" t="inlineStr">
        <is>
          <t>LEP_ZA_AUG26_TT_TD_PANTERA_CONV</t>
        </is>
      </c>
      <c r="G1210" s="66" t="inlineStr">
        <is>
          <t>Website Conversions</t>
        </is>
      </c>
      <c r="H1210" s="66" t="inlineStr">
        <is>
          <t>PANTERA</t>
        </is>
      </c>
      <c r="I1210" s="66" t="inlineStr">
        <is>
          <t>0% Deposit</t>
        </is>
      </c>
      <c r="J1210" s="66" t="inlineStr">
        <is>
          <t>TT_PANTERA_LAL_ENGAGERS_ZA</t>
        </is>
      </c>
      <c r="K1210" s="66" t="inlineStr">
        <is>
          <t>Lookalike</t>
        </is>
      </c>
      <c r="L1210" s="66" t="inlineStr">
        <is>
          <t>TT_PANTERA_TREND_10s_Spec_v1</t>
        </is>
      </c>
      <c r="M1210" s="66" t="inlineStr">
        <is>
          <t>Video 9:16</t>
        </is>
      </c>
      <c r="N1210" s="66" t="inlineStr">
        <is>
          <t>Spec check. Guess the price.</t>
        </is>
      </c>
      <c r="O1210" s="66" t="inlineStr">
        <is>
          <t>Auction - Cost Cap</t>
        </is>
      </c>
      <c r="P1210" s="66" t="inlineStr">
        <is>
          <t>Complete Payment / Lead</t>
        </is>
      </c>
      <c r="Q1210" s="66" t="inlineStr">
        <is>
          <t>https://www.lepas-sa.co.za/offers/pantera</t>
        </is>
      </c>
      <c r="R1210" s="121" t="n">
        <v>166.32</v>
      </c>
      <c r="S1210" s="122" t="n">
        <v>4028</v>
      </c>
      <c r="T1210" s="122" t="n">
        <v>2258</v>
      </c>
      <c r="U1210" s="123">
        <f>IFERROR(S1210/T1210,"")</f>
        <v/>
      </c>
      <c r="V1210" s="122" t="n">
        <v>72</v>
      </c>
      <c r="W1210" s="122" t="n">
        <v>60</v>
      </c>
      <c r="X1210" s="124">
        <f>IFERROR(W1210/S1210,"")</f>
        <v/>
      </c>
      <c r="Y1210" s="121">
        <f>IFERROR(R1210/W1210,"")</f>
        <v/>
      </c>
      <c r="Z1210" s="121">
        <f>IFERROR(R1210/S1210*1000,"")</f>
        <v/>
      </c>
      <c r="AA1210" s="122" t="n">
        <v>46</v>
      </c>
      <c r="AB1210" s="54">
        <f>IFERROR(AA1210/W1210,"")</f>
        <v/>
      </c>
      <c r="AC1210" s="122" t="n">
        <v>1415</v>
      </c>
      <c r="AD1210" s="122" t="n">
        <v>710</v>
      </c>
      <c r="AE1210" s="122" t="n">
        <v>677</v>
      </c>
      <c r="AF1210" s="122" t="n">
        <v>383</v>
      </c>
      <c r="AG1210" s="122" t="n">
        <v>268</v>
      </c>
      <c r="AH1210" s="122" t="n">
        <v>152</v>
      </c>
      <c r="AI1210" s="54">
        <f>IFERROR(AC1210/S1210,"")</f>
        <v/>
      </c>
      <c r="AJ1210" s="54">
        <f>IFERROR(AH1210/S1210,"")</f>
        <v/>
      </c>
      <c r="AK1210" s="122" t="n">
        <v>232</v>
      </c>
      <c r="AL1210" s="122" t="n">
        <v>1</v>
      </c>
      <c r="AM1210" s="124">
        <f>IFERROR(AL1210/AA1210,"")</f>
        <v/>
      </c>
      <c r="AN1210" s="125">
        <f>IFERROR(R1210/AL1210,"")</f>
        <v/>
      </c>
      <c r="AO1210" s="122" t="n">
        <v>0</v>
      </c>
      <c r="AP1210" s="54">
        <f>IFERROR(AO1210/AL1210,"")</f>
        <v/>
      </c>
      <c r="AQ1210" s="125">
        <f>IFERROR(R1210/AO1210,"")</f>
        <v/>
      </c>
      <c r="AR1210" s="122" t="n">
        <v>0</v>
      </c>
      <c r="AS1210" s="122" t="n">
        <v>1</v>
      </c>
      <c r="AT1210" s="122">
        <f>AL1210+AR1210</f>
        <v/>
      </c>
      <c r="AU1210" s="125">
        <f>IFERROR(AO1210*Assumptions!$C$26*Assumptions!$C$27*INDEX(Assumptions!$C$18:$C$21,MATCH(H1210,Assumptions!$B$18:$B$21,0)),0)</f>
        <v/>
      </c>
    </row>
    <row r="1211">
      <c r="A1211" s="120" t="n">
        <v>46247</v>
      </c>
      <c r="B1211" s="66" t="inlineStr">
        <is>
          <t>Wk 33</t>
        </is>
      </c>
      <c r="C1211" s="66" t="inlineStr">
        <is>
          <t>Thu</t>
        </is>
      </c>
      <c r="D1211" s="66" t="inlineStr">
        <is>
          <t>TikTok</t>
        </is>
      </c>
      <c r="E1211" s="66" t="inlineStr">
        <is>
          <t>TikTok</t>
        </is>
      </c>
      <c r="F1211" s="66" t="inlineStr">
        <is>
          <t>LEP_ZA_AUG26_TT_TD_PANTERA_CONV</t>
        </is>
      </c>
      <c r="G1211" s="66" t="inlineStr">
        <is>
          <t>Website Conversions</t>
        </is>
      </c>
      <c r="H1211" s="66" t="inlineStr">
        <is>
          <t>PANTERA</t>
        </is>
      </c>
      <c r="I1211" s="66" t="inlineStr">
        <is>
          <t>0% Deposit</t>
        </is>
      </c>
      <c r="J1211" s="66" t="inlineStr">
        <is>
          <t>TT_PANTERA_LAL_ENGAGERS_ZA</t>
        </is>
      </c>
      <c r="K1211" s="66" t="inlineStr">
        <is>
          <t>Lookalike</t>
        </is>
      </c>
      <c r="L1211" s="66" t="inlineStr">
        <is>
          <t>TT_PANTERA_TREND_10s_Spec_v1</t>
        </is>
      </c>
      <c r="M1211" s="66" t="inlineStr">
        <is>
          <t>Video 9:16</t>
        </is>
      </c>
      <c r="N1211" s="66" t="inlineStr">
        <is>
          <t>Spec check. Guess the price.</t>
        </is>
      </c>
      <c r="O1211" s="66" t="inlineStr">
        <is>
          <t>Auction - Cost Cap</t>
        </is>
      </c>
      <c r="P1211" s="66" t="inlineStr">
        <is>
          <t>Complete Payment / Lead</t>
        </is>
      </c>
      <c r="Q1211" s="66" t="inlineStr">
        <is>
          <t>https://www.lepas-sa.co.za/offers/pantera</t>
        </is>
      </c>
      <c r="R1211" s="121" t="n">
        <v>160.49</v>
      </c>
      <c r="S1211" s="122" t="n">
        <v>5038</v>
      </c>
      <c r="T1211" s="122" t="n">
        <v>2577</v>
      </c>
      <c r="U1211" s="123">
        <f>IFERROR(S1211/T1211,"")</f>
        <v/>
      </c>
      <c r="V1211" s="122" t="n">
        <v>58</v>
      </c>
      <c r="W1211" s="122" t="n">
        <v>43</v>
      </c>
      <c r="X1211" s="124">
        <f>IFERROR(W1211/S1211,"")</f>
        <v/>
      </c>
      <c r="Y1211" s="121">
        <f>IFERROR(R1211/W1211,"")</f>
        <v/>
      </c>
      <c r="Z1211" s="121">
        <f>IFERROR(R1211/S1211*1000,"")</f>
        <v/>
      </c>
      <c r="AA1211" s="122" t="n">
        <v>27</v>
      </c>
      <c r="AB1211" s="54">
        <f>IFERROR(AA1211/W1211,"")</f>
        <v/>
      </c>
      <c r="AC1211" s="122" t="n">
        <v>2053</v>
      </c>
      <c r="AD1211" s="122" t="n">
        <v>1176</v>
      </c>
      <c r="AE1211" s="122" t="n">
        <v>1122</v>
      </c>
      <c r="AF1211" s="122" t="n">
        <v>675</v>
      </c>
      <c r="AG1211" s="122" t="n">
        <v>524</v>
      </c>
      <c r="AH1211" s="122" t="n">
        <v>326</v>
      </c>
      <c r="AI1211" s="54">
        <f>IFERROR(AC1211/S1211,"")</f>
        <v/>
      </c>
      <c r="AJ1211" s="54">
        <f>IFERROR(AH1211/S1211,"")</f>
        <v/>
      </c>
      <c r="AK1211" s="122" t="n">
        <v>256</v>
      </c>
      <c r="AL1211" s="122" t="n">
        <v>0</v>
      </c>
      <c r="AM1211" s="124">
        <f>IFERROR(AL1211/AA1211,"")</f>
        <v/>
      </c>
      <c r="AN1211" s="125">
        <f>IFERROR(R1211/AL1211,"")</f>
        <v/>
      </c>
      <c r="AO1211" s="122" t="n">
        <v>0</v>
      </c>
      <c r="AP1211" s="54">
        <f>IFERROR(AO1211/AL1211,"")</f>
        <v/>
      </c>
      <c r="AQ1211" s="125">
        <f>IFERROR(R1211/AO1211,"")</f>
        <v/>
      </c>
      <c r="AR1211" s="122" t="n">
        <v>0</v>
      </c>
      <c r="AS1211" s="122" t="n">
        <v>0</v>
      </c>
      <c r="AT1211" s="122">
        <f>AL1211+AR1211</f>
        <v/>
      </c>
      <c r="AU1211" s="125">
        <f>IFERROR(AO1211*Assumptions!$C$26*Assumptions!$C$27*INDEX(Assumptions!$C$18:$C$21,MATCH(H1211,Assumptions!$B$18:$B$21,0)),0)</f>
        <v/>
      </c>
    </row>
    <row r="1212">
      <c r="A1212" s="120" t="n">
        <v>46248</v>
      </c>
      <c r="B1212" s="66" t="inlineStr">
        <is>
          <t>Wk 33</t>
        </is>
      </c>
      <c r="C1212" s="66" t="inlineStr">
        <is>
          <t>Fri</t>
        </is>
      </c>
      <c r="D1212" s="66" t="inlineStr">
        <is>
          <t>TikTok</t>
        </is>
      </c>
      <c r="E1212" s="66" t="inlineStr">
        <is>
          <t>TikTok</t>
        </is>
      </c>
      <c r="F1212" s="66" t="inlineStr">
        <is>
          <t>LEP_ZA_AUG26_TT_TD_PANTERA_CONV</t>
        </is>
      </c>
      <c r="G1212" s="66" t="inlineStr">
        <is>
          <t>Website Conversions</t>
        </is>
      </c>
      <c r="H1212" s="66" t="inlineStr">
        <is>
          <t>PANTERA</t>
        </is>
      </c>
      <c r="I1212" s="66" t="inlineStr">
        <is>
          <t>0% Deposit</t>
        </is>
      </c>
      <c r="J1212" s="66" t="inlineStr">
        <is>
          <t>TT_PANTERA_LAL_ENGAGERS_ZA</t>
        </is>
      </c>
      <c r="K1212" s="66" t="inlineStr">
        <is>
          <t>Lookalike</t>
        </is>
      </c>
      <c r="L1212" s="66" t="inlineStr">
        <is>
          <t>TT_PANTERA_TREND_10s_Spec_v1</t>
        </is>
      </c>
      <c r="M1212" s="66" t="inlineStr">
        <is>
          <t>Video 9:16</t>
        </is>
      </c>
      <c r="N1212" s="66" t="inlineStr">
        <is>
          <t>Spec check. Guess the price.</t>
        </is>
      </c>
      <c r="O1212" s="66" t="inlineStr">
        <is>
          <t>Auction - Cost Cap</t>
        </is>
      </c>
      <c r="P1212" s="66" t="inlineStr">
        <is>
          <t>Complete Payment / Lead</t>
        </is>
      </c>
      <c r="Q1212" s="66" t="inlineStr">
        <is>
          <t>https://www.lepas-sa.co.za/offers/pantera</t>
        </is>
      </c>
      <c r="R1212" s="121" t="n">
        <v>149.2</v>
      </c>
      <c r="S1212" s="122" t="n">
        <v>3723</v>
      </c>
      <c r="T1212" s="122" t="n">
        <v>1934</v>
      </c>
      <c r="U1212" s="123">
        <f>IFERROR(S1212/T1212,"")</f>
        <v/>
      </c>
      <c r="V1212" s="122" t="n">
        <v>61</v>
      </c>
      <c r="W1212" s="122" t="n">
        <v>49</v>
      </c>
      <c r="X1212" s="124">
        <f>IFERROR(W1212/S1212,"")</f>
        <v/>
      </c>
      <c r="Y1212" s="121">
        <f>IFERROR(R1212/W1212,"")</f>
        <v/>
      </c>
      <c r="Z1212" s="121">
        <f>IFERROR(R1212/S1212*1000,"")</f>
        <v/>
      </c>
      <c r="AA1212" s="122" t="n">
        <v>31</v>
      </c>
      <c r="AB1212" s="54">
        <f>IFERROR(AA1212/W1212,"")</f>
        <v/>
      </c>
      <c r="AC1212" s="122" t="n">
        <v>1440</v>
      </c>
      <c r="AD1212" s="122" t="n">
        <v>807</v>
      </c>
      <c r="AE1212" s="122" t="n">
        <v>542</v>
      </c>
      <c r="AF1212" s="122" t="n">
        <v>338</v>
      </c>
      <c r="AG1212" s="122" t="n">
        <v>267</v>
      </c>
      <c r="AH1212" s="122" t="n">
        <v>182</v>
      </c>
      <c r="AI1212" s="54">
        <f>IFERROR(AC1212/S1212,"")</f>
        <v/>
      </c>
      <c r="AJ1212" s="54">
        <f>IFERROR(AH1212/S1212,"")</f>
        <v/>
      </c>
      <c r="AK1212" s="122" t="n">
        <v>142</v>
      </c>
      <c r="AL1212" s="122" t="n">
        <v>1</v>
      </c>
      <c r="AM1212" s="124">
        <f>IFERROR(AL1212/AA1212,"")</f>
        <v/>
      </c>
      <c r="AN1212" s="125">
        <f>IFERROR(R1212/AL1212,"")</f>
        <v/>
      </c>
      <c r="AO1212" s="122" t="n">
        <v>1</v>
      </c>
      <c r="AP1212" s="54">
        <f>IFERROR(AO1212/AL1212,"")</f>
        <v/>
      </c>
      <c r="AQ1212" s="125">
        <f>IFERROR(R1212/AO1212,"")</f>
        <v/>
      </c>
      <c r="AR1212" s="122" t="n">
        <v>1</v>
      </c>
      <c r="AS1212" s="122" t="n">
        <v>1</v>
      </c>
      <c r="AT1212" s="122">
        <f>AL1212+AR1212</f>
        <v/>
      </c>
      <c r="AU1212" s="125">
        <f>IFERROR(AO1212*Assumptions!$C$26*Assumptions!$C$27*INDEX(Assumptions!$C$18:$C$21,MATCH(H1212,Assumptions!$B$18:$B$21,0)),0)</f>
        <v/>
      </c>
    </row>
    <row r="1213">
      <c r="A1213" s="120" t="n">
        <v>46249</v>
      </c>
      <c r="B1213" s="66" t="inlineStr">
        <is>
          <t>Wk 33</t>
        </is>
      </c>
      <c r="C1213" s="66" t="inlineStr">
        <is>
          <t>Sat</t>
        </is>
      </c>
      <c r="D1213" s="66" t="inlineStr">
        <is>
          <t>TikTok</t>
        </is>
      </c>
      <c r="E1213" s="66" t="inlineStr">
        <is>
          <t>TikTok</t>
        </is>
      </c>
      <c r="F1213" s="66" t="inlineStr">
        <is>
          <t>LEP_ZA_AUG26_TT_TD_PANTERA_CONV</t>
        </is>
      </c>
      <c r="G1213" s="66" t="inlineStr">
        <is>
          <t>Website Conversions</t>
        </is>
      </c>
      <c r="H1213" s="66" t="inlineStr">
        <is>
          <t>PANTERA</t>
        </is>
      </c>
      <c r="I1213" s="66" t="inlineStr">
        <is>
          <t>0% Deposit</t>
        </is>
      </c>
      <c r="J1213" s="66" t="inlineStr">
        <is>
          <t>TT_PANTERA_LAL_ENGAGERS_ZA</t>
        </is>
      </c>
      <c r="K1213" s="66" t="inlineStr">
        <is>
          <t>Lookalike</t>
        </is>
      </c>
      <c r="L1213" s="66" t="inlineStr">
        <is>
          <t>TT_PANTERA_TREND_10s_Spec_v1</t>
        </is>
      </c>
      <c r="M1213" s="66" t="inlineStr">
        <is>
          <t>Video 9:16</t>
        </is>
      </c>
      <c r="N1213" s="66" t="inlineStr">
        <is>
          <t>Spec check. Guess the price.</t>
        </is>
      </c>
      <c r="O1213" s="66" t="inlineStr">
        <is>
          <t>Auction - Cost Cap</t>
        </is>
      </c>
      <c r="P1213" s="66" t="inlineStr">
        <is>
          <t>Complete Payment / Lead</t>
        </is>
      </c>
      <c r="Q1213" s="66" t="inlineStr">
        <is>
          <t>https://www.lepas-sa.co.za/offers/pantera</t>
        </is>
      </c>
      <c r="R1213" s="121" t="n">
        <v>181.77</v>
      </c>
      <c r="S1213" s="122" t="n">
        <v>4262</v>
      </c>
      <c r="T1213" s="122" t="n">
        <v>2281</v>
      </c>
      <c r="U1213" s="123">
        <f>IFERROR(S1213/T1213,"")</f>
        <v/>
      </c>
      <c r="V1213" s="122" t="n">
        <v>84</v>
      </c>
      <c r="W1213" s="122" t="n">
        <v>61</v>
      </c>
      <c r="X1213" s="124">
        <f>IFERROR(W1213/S1213,"")</f>
        <v/>
      </c>
      <c r="Y1213" s="121">
        <f>IFERROR(R1213/W1213,"")</f>
        <v/>
      </c>
      <c r="Z1213" s="121">
        <f>IFERROR(R1213/S1213*1000,"")</f>
        <v/>
      </c>
      <c r="AA1213" s="122" t="n">
        <v>39</v>
      </c>
      <c r="AB1213" s="54">
        <f>IFERROR(AA1213/W1213,"")</f>
        <v/>
      </c>
      <c r="AC1213" s="122" t="n">
        <v>1151</v>
      </c>
      <c r="AD1213" s="122" t="n">
        <v>619</v>
      </c>
      <c r="AE1213" s="122" t="n">
        <v>520</v>
      </c>
      <c r="AF1213" s="122" t="n">
        <v>346</v>
      </c>
      <c r="AG1213" s="122" t="n">
        <v>239</v>
      </c>
      <c r="AH1213" s="122" t="n">
        <v>163</v>
      </c>
      <c r="AI1213" s="54">
        <f>IFERROR(AC1213/S1213,"")</f>
        <v/>
      </c>
      <c r="AJ1213" s="54">
        <f>IFERROR(AH1213/S1213,"")</f>
        <v/>
      </c>
      <c r="AK1213" s="122" t="n">
        <v>162</v>
      </c>
      <c r="AL1213" s="122" t="n">
        <v>1</v>
      </c>
      <c r="AM1213" s="124">
        <f>IFERROR(AL1213/AA1213,"")</f>
        <v/>
      </c>
      <c r="AN1213" s="125">
        <f>IFERROR(R1213/AL1213,"")</f>
        <v/>
      </c>
      <c r="AO1213" s="122" t="n">
        <v>0</v>
      </c>
      <c r="AP1213" s="54">
        <f>IFERROR(AO1213/AL1213,"")</f>
        <v/>
      </c>
      <c r="AQ1213" s="125">
        <f>IFERROR(R1213/AO1213,"")</f>
        <v/>
      </c>
      <c r="AR1213" s="122" t="n">
        <v>1</v>
      </c>
      <c r="AS1213" s="122" t="n">
        <v>0</v>
      </c>
      <c r="AT1213" s="122">
        <f>AL1213+AR1213</f>
        <v/>
      </c>
      <c r="AU1213" s="125">
        <f>IFERROR(AO1213*Assumptions!$C$26*Assumptions!$C$27*INDEX(Assumptions!$C$18:$C$21,MATCH(H1213,Assumptions!$B$18:$B$21,0)),0)</f>
        <v/>
      </c>
    </row>
    <row r="1214">
      <c r="A1214" s="120" t="n">
        <v>46250</v>
      </c>
      <c r="B1214" s="66" t="inlineStr">
        <is>
          <t>Wk 33</t>
        </is>
      </c>
      <c r="C1214" s="66" t="inlineStr">
        <is>
          <t>Sun</t>
        </is>
      </c>
      <c r="D1214" s="66" t="inlineStr">
        <is>
          <t>TikTok</t>
        </is>
      </c>
      <c r="E1214" s="66" t="inlineStr">
        <is>
          <t>TikTok</t>
        </is>
      </c>
      <c r="F1214" s="66" t="inlineStr">
        <is>
          <t>LEP_ZA_AUG26_TT_TD_PANTERA_CONV</t>
        </is>
      </c>
      <c r="G1214" s="66" t="inlineStr">
        <is>
          <t>Website Conversions</t>
        </is>
      </c>
      <c r="H1214" s="66" t="inlineStr">
        <is>
          <t>PANTERA</t>
        </is>
      </c>
      <c r="I1214" s="66" t="inlineStr">
        <is>
          <t>0% Deposit</t>
        </is>
      </c>
      <c r="J1214" s="66" t="inlineStr">
        <is>
          <t>TT_PANTERA_LAL_ENGAGERS_ZA</t>
        </is>
      </c>
      <c r="K1214" s="66" t="inlineStr">
        <is>
          <t>Lookalike</t>
        </is>
      </c>
      <c r="L1214" s="66" t="inlineStr">
        <is>
          <t>TT_PANTERA_TREND_10s_Spec_v1</t>
        </is>
      </c>
      <c r="M1214" s="66" t="inlineStr">
        <is>
          <t>Video 9:16</t>
        </is>
      </c>
      <c r="N1214" s="66" t="inlineStr">
        <is>
          <t>Spec check. Guess the price.</t>
        </is>
      </c>
      <c r="O1214" s="66" t="inlineStr">
        <is>
          <t>Auction - Cost Cap</t>
        </is>
      </c>
      <c r="P1214" s="66" t="inlineStr">
        <is>
          <t>Complete Payment / Lead</t>
        </is>
      </c>
      <c r="Q1214" s="66" t="inlineStr">
        <is>
          <t>https://www.lepas-sa.co.za/offers/pantera</t>
        </is>
      </c>
      <c r="R1214" s="121" t="n">
        <v>112.61</v>
      </c>
      <c r="S1214" s="122" t="n">
        <v>2543</v>
      </c>
      <c r="T1214" s="122" t="n">
        <v>1432</v>
      </c>
      <c r="U1214" s="123">
        <f>IFERROR(S1214/T1214,"")</f>
        <v/>
      </c>
      <c r="V1214" s="122" t="n">
        <v>37</v>
      </c>
      <c r="W1214" s="122" t="n">
        <v>31</v>
      </c>
      <c r="X1214" s="124">
        <f>IFERROR(W1214/S1214,"")</f>
        <v/>
      </c>
      <c r="Y1214" s="121">
        <f>IFERROR(R1214/W1214,"")</f>
        <v/>
      </c>
      <c r="Z1214" s="121">
        <f>IFERROR(R1214/S1214*1000,"")</f>
        <v/>
      </c>
      <c r="AA1214" s="122" t="n">
        <v>19</v>
      </c>
      <c r="AB1214" s="54">
        <f>IFERROR(AA1214/W1214,"")</f>
        <v/>
      </c>
      <c r="AC1214" s="122" t="n">
        <v>850</v>
      </c>
      <c r="AD1214" s="122" t="n">
        <v>446</v>
      </c>
      <c r="AE1214" s="122" t="n">
        <v>423</v>
      </c>
      <c r="AF1214" s="122" t="n">
        <v>244</v>
      </c>
      <c r="AG1214" s="122" t="n">
        <v>179</v>
      </c>
      <c r="AH1214" s="122" t="n">
        <v>124</v>
      </c>
      <c r="AI1214" s="54">
        <f>IFERROR(AC1214/S1214,"")</f>
        <v/>
      </c>
      <c r="AJ1214" s="54">
        <f>IFERROR(AH1214/S1214,"")</f>
        <v/>
      </c>
      <c r="AK1214" s="122" t="n">
        <v>127</v>
      </c>
      <c r="AL1214" s="122" t="n">
        <v>0</v>
      </c>
      <c r="AM1214" s="124">
        <f>IFERROR(AL1214/AA1214,"")</f>
        <v/>
      </c>
      <c r="AN1214" s="125">
        <f>IFERROR(R1214/AL1214,"")</f>
        <v/>
      </c>
      <c r="AO1214" s="122" t="n">
        <v>0</v>
      </c>
      <c r="AP1214" s="54">
        <f>IFERROR(AO1214/AL1214,"")</f>
        <v/>
      </c>
      <c r="AQ1214" s="125">
        <f>IFERROR(R1214/AO1214,"")</f>
        <v/>
      </c>
      <c r="AR1214" s="122" t="n">
        <v>0</v>
      </c>
      <c r="AS1214" s="122" t="n">
        <v>0</v>
      </c>
      <c r="AT1214" s="122">
        <f>AL1214+AR1214</f>
        <v/>
      </c>
      <c r="AU1214" s="125">
        <f>IFERROR(AO1214*Assumptions!$C$26*Assumptions!$C$27*INDEX(Assumptions!$C$18:$C$21,MATCH(H1214,Assumptions!$B$18:$B$21,0)),0)</f>
        <v/>
      </c>
    </row>
    <row r="1215">
      <c r="A1215" s="120" t="n">
        <v>46251</v>
      </c>
      <c r="B1215" s="66" t="inlineStr">
        <is>
          <t>Wk 34</t>
        </is>
      </c>
      <c r="C1215" s="66" t="inlineStr">
        <is>
          <t>Mon</t>
        </is>
      </c>
      <c r="D1215" s="66" t="inlineStr">
        <is>
          <t>TikTok</t>
        </is>
      </c>
      <c r="E1215" s="66" t="inlineStr">
        <is>
          <t>TikTok</t>
        </is>
      </c>
      <c r="F1215" s="66" t="inlineStr">
        <is>
          <t>LEP_ZA_AUG26_TT_TD_PANTERA_CONV</t>
        </is>
      </c>
      <c r="G1215" s="66" t="inlineStr">
        <is>
          <t>Website Conversions</t>
        </is>
      </c>
      <c r="H1215" s="66" t="inlineStr">
        <is>
          <t>PANTERA</t>
        </is>
      </c>
      <c r="I1215" s="66" t="inlineStr">
        <is>
          <t>0% Deposit</t>
        </is>
      </c>
      <c r="J1215" s="66" t="inlineStr">
        <is>
          <t>TT_PANTERA_LAL_ENGAGERS_ZA</t>
        </is>
      </c>
      <c r="K1215" s="66" t="inlineStr">
        <is>
          <t>Lookalike</t>
        </is>
      </c>
      <c r="L1215" s="66" t="inlineStr">
        <is>
          <t>TT_PANTERA_TREND_10s_Spec_v1</t>
        </is>
      </c>
      <c r="M1215" s="66" t="inlineStr">
        <is>
          <t>Video 9:16</t>
        </is>
      </c>
      <c r="N1215" s="66" t="inlineStr">
        <is>
          <t>Spec check. Guess the price.</t>
        </is>
      </c>
      <c r="O1215" s="66" t="inlineStr">
        <is>
          <t>Auction - Cost Cap</t>
        </is>
      </c>
      <c r="P1215" s="66" t="inlineStr">
        <is>
          <t>Complete Payment / Lead</t>
        </is>
      </c>
      <c r="Q1215" s="66" t="inlineStr">
        <is>
          <t>https://www.lepas-sa.co.za/offers/pantera</t>
        </is>
      </c>
      <c r="R1215" s="121" t="n">
        <v>143.76</v>
      </c>
      <c r="S1215" s="122" t="n">
        <v>2664</v>
      </c>
      <c r="T1215" s="122" t="n">
        <v>1347</v>
      </c>
      <c r="U1215" s="123">
        <f>IFERROR(S1215/T1215,"")</f>
        <v/>
      </c>
      <c r="V1215" s="122" t="n">
        <v>25</v>
      </c>
      <c r="W1215" s="122" t="n">
        <v>21</v>
      </c>
      <c r="X1215" s="124">
        <f>IFERROR(W1215/S1215,"")</f>
        <v/>
      </c>
      <c r="Y1215" s="121">
        <f>IFERROR(R1215/W1215,"")</f>
        <v/>
      </c>
      <c r="Z1215" s="121">
        <f>IFERROR(R1215/S1215*1000,"")</f>
        <v/>
      </c>
      <c r="AA1215" s="122" t="n">
        <v>15</v>
      </c>
      <c r="AB1215" s="54">
        <f>IFERROR(AA1215/W1215,"")</f>
        <v/>
      </c>
      <c r="AC1215" s="122" t="n">
        <v>812</v>
      </c>
      <c r="AD1215" s="122" t="n">
        <v>452</v>
      </c>
      <c r="AE1215" s="122" t="n">
        <v>302</v>
      </c>
      <c r="AF1215" s="122" t="n">
        <v>192</v>
      </c>
      <c r="AG1215" s="122" t="n">
        <v>142</v>
      </c>
      <c r="AH1215" s="122" t="n">
        <v>81</v>
      </c>
      <c r="AI1215" s="54">
        <f>IFERROR(AC1215/S1215,"")</f>
        <v/>
      </c>
      <c r="AJ1215" s="54">
        <f>IFERROR(AH1215/S1215,"")</f>
        <v/>
      </c>
      <c r="AK1215" s="122" t="n">
        <v>116</v>
      </c>
      <c r="AL1215" s="122" t="n">
        <v>0</v>
      </c>
      <c r="AM1215" s="124">
        <f>IFERROR(AL1215/AA1215,"")</f>
        <v/>
      </c>
      <c r="AN1215" s="125">
        <f>IFERROR(R1215/AL1215,"")</f>
        <v/>
      </c>
      <c r="AO1215" s="122" t="n">
        <v>0</v>
      </c>
      <c r="AP1215" s="54">
        <f>IFERROR(AO1215/AL1215,"")</f>
        <v/>
      </c>
      <c r="AQ1215" s="125">
        <f>IFERROR(R1215/AO1215,"")</f>
        <v/>
      </c>
      <c r="AR1215" s="122" t="n">
        <v>0</v>
      </c>
      <c r="AS1215" s="122" t="n">
        <v>0</v>
      </c>
      <c r="AT1215" s="122">
        <f>AL1215+AR1215</f>
        <v/>
      </c>
      <c r="AU1215" s="125">
        <f>IFERROR(AO1215*Assumptions!$C$26*Assumptions!$C$27*INDEX(Assumptions!$C$18:$C$21,MATCH(H1215,Assumptions!$B$18:$B$21,0)),0)</f>
        <v/>
      </c>
    </row>
    <row r="1216">
      <c r="A1216" s="120" t="n">
        <v>46252</v>
      </c>
      <c r="B1216" s="66" t="inlineStr">
        <is>
          <t>Wk 34</t>
        </is>
      </c>
      <c r="C1216" s="66" t="inlineStr">
        <is>
          <t>Tue</t>
        </is>
      </c>
      <c r="D1216" s="66" t="inlineStr">
        <is>
          <t>TikTok</t>
        </is>
      </c>
      <c r="E1216" s="66" t="inlineStr">
        <is>
          <t>TikTok</t>
        </is>
      </c>
      <c r="F1216" s="66" t="inlineStr">
        <is>
          <t>LEP_ZA_AUG26_TT_TD_PANTERA_CONV</t>
        </is>
      </c>
      <c r="G1216" s="66" t="inlineStr">
        <is>
          <t>Website Conversions</t>
        </is>
      </c>
      <c r="H1216" s="66" t="inlineStr">
        <is>
          <t>PANTERA</t>
        </is>
      </c>
      <c r="I1216" s="66" t="inlineStr">
        <is>
          <t>0% Deposit</t>
        </is>
      </c>
      <c r="J1216" s="66" t="inlineStr">
        <is>
          <t>TT_PANTERA_LAL_ENGAGERS_ZA</t>
        </is>
      </c>
      <c r="K1216" s="66" t="inlineStr">
        <is>
          <t>Lookalike</t>
        </is>
      </c>
      <c r="L1216" s="66" t="inlineStr">
        <is>
          <t>TT_PANTERA_TREND_10s_Spec_v1</t>
        </is>
      </c>
      <c r="M1216" s="66" t="inlineStr">
        <is>
          <t>Video 9:16</t>
        </is>
      </c>
      <c r="N1216" s="66" t="inlineStr">
        <is>
          <t>Spec check. Guess the price.</t>
        </is>
      </c>
      <c r="O1216" s="66" t="inlineStr">
        <is>
          <t>Auction - Cost Cap</t>
        </is>
      </c>
      <c r="P1216" s="66" t="inlineStr">
        <is>
          <t>Complete Payment / Lead</t>
        </is>
      </c>
      <c r="Q1216" s="66" t="inlineStr">
        <is>
          <t>https://www.lepas-sa.co.za/offers/pantera</t>
        </is>
      </c>
      <c r="R1216" s="121" t="n">
        <v>157.64</v>
      </c>
      <c r="S1216" s="122" t="n">
        <v>4608</v>
      </c>
      <c r="T1216" s="122" t="n">
        <v>2934</v>
      </c>
      <c r="U1216" s="123">
        <f>IFERROR(S1216/T1216,"")</f>
        <v/>
      </c>
      <c r="V1216" s="122" t="n">
        <v>52</v>
      </c>
      <c r="W1216" s="122" t="n">
        <v>40</v>
      </c>
      <c r="X1216" s="124">
        <f>IFERROR(W1216/S1216,"")</f>
        <v/>
      </c>
      <c r="Y1216" s="121">
        <f>IFERROR(R1216/W1216,"")</f>
        <v/>
      </c>
      <c r="Z1216" s="121">
        <f>IFERROR(R1216/S1216*1000,"")</f>
        <v/>
      </c>
      <c r="AA1216" s="122" t="n">
        <v>30</v>
      </c>
      <c r="AB1216" s="54">
        <f>IFERROR(AA1216/W1216,"")</f>
        <v/>
      </c>
      <c r="AC1216" s="122" t="n">
        <v>1019</v>
      </c>
      <c r="AD1216" s="122" t="n">
        <v>482</v>
      </c>
      <c r="AE1216" s="122" t="n">
        <v>424</v>
      </c>
      <c r="AF1216" s="122" t="n">
        <v>245</v>
      </c>
      <c r="AG1216" s="122" t="n">
        <v>158</v>
      </c>
      <c r="AH1216" s="122" t="n">
        <v>95</v>
      </c>
      <c r="AI1216" s="54">
        <f>IFERROR(AC1216/S1216,"")</f>
        <v/>
      </c>
      <c r="AJ1216" s="54">
        <f>IFERROR(AH1216/S1216,"")</f>
        <v/>
      </c>
      <c r="AK1216" s="122" t="n">
        <v>260</v>
      </c>
      <c r="AL1216" s="122" t="n">
        <v>1</v>
      </c>
      <c r="AM1216" s="124">
        <f>IFERROR(AL1216/AA1216,"")</f>
        <v/>
      </c>
      <c r="AN1216" s="125">
        <f>IFERROR(R1216/AL1216,"")</f>
        <v/>
      </c>
      <c r="AO1216" s="122" t="n">
        <v>1</v>
      </c>
      <c r="AP1216" s="54">
        <f>IFERROR(AO1216/AL1216,"")</f>
        <v/>
      </c>
      <c r="AQ1216" s="125">
        <f>IFERROR(R1216/AO1216,"")</f>
        <v/>
      </c>
      <c r="AR1216" s="122" t="n">
        <v>1</v>
      </c>
      <c r="AS1216" s="122" t="n">
        <v>0</v>
      </c>
      <c r="AT1216" s="122">
        <f>AL1216+AR1216</f>
        <v/>
      </c>
      <c r="AU1216" s="125">
        <f>IFERROR(AO1216*Assumptions!$C$26*Assumptions!$C$27*INDEX(Assumptions!$C$18:$C$21,MATCH(H1216,Assumptions!$B$18:$B$21,0)),0)</f>
        <v/>
      </c>
    </row>
    <row r="1217">
      <c r="A1217" s="120" t="n">
        <v>46253</v>
      </c>
      <c r="B1217" s="66" t="inlineStr">
        <is>
          <t>Wk 34</t>
        </is>
      </c>
      <c r="C1217" s="66" t="inlineStr">
        <is>
          <t>Wed</t>
        </is>
      </c>
      <c r="D1217" s="66" t="inlineStr">
        <is>
          <t>TikTok</t>
        </is>
      </c>
      <c r="E1217" s="66" t="inlineStr">
        <is>
          <t>TikTok</t>
        </is>
      </c>
      <c r="F1217" s="66" t="inlineStr">
        <is>
          <t>LEP_ZA_AUG26_TT_TD_PANTERA_CONV</t>
        </is>
      </c>
      <c r="G1217" s="66" t="inlineStr">
        <is>
          <t>Website Conversions</t>
        </is>
      </c>
      <c r="H1217" s="66" t="inlineStr">
        <is>
          <t>PANTERA</t>
        </is>
      </c>
      <c r="I1217" s="66" t="inlineStr">
        <is>
          <t>0% Deposit</t>
        </is>
      </c>
      <c r="J1217" s="66" t="inlineStr">
        <is>
          <t>TT_PANTERA_LAL_ENGAGERS_ZA</t>
        </is>
      </c>
      <c r="K1217" s="66" t="inlineStr">
        <is>
          <t>Lookalike</t>
        </is>
      </c>
      <c r="L1217" s="66" t="inlineStr">
        <is>
          <t>TT_PANTERA_TREND_10s_Spec_v1</t>
        </is>
      </c>
      <c r="M1217" s="66" t="inlineStr">
        <is>
          <t>Video 9:16</t>
        </is>
      </c>
      <c r="N1217" s="66" t="inlineStr">
        <is>
          <t>Spec check. Guess the price.</t>
        </is>
      </c>
      <c r="O1217" s="66" t="inlineStr">
        <is>
          <t>Auction - Cost Cap</t>
        </is>
      </c>
      <c r="P1217" s="66" t="inlineStr">
        <is>
          <t>Complete Payment / Lead</t>
        </is>
      </c>
      <c r="Q1217" s="66" t="inlineStr">
        <is>
          <t>https://www.lepas-sa.co.za/offers/pantera</t>
        </is>
      </c>
      <c r="R1217" s="121" t="n">
        <v>125.03</v>
      </c>
      <c r="S1217" s="122" t="n">
        <v>3474</v>
      </c>
      <c r="T1217" s="122" t="n">
        <v>1917</v>
      </c>
      <c r="U1217" s="123">
        <f>IFERROR(S1217/T1217,"")</f>
        <v/>
      </c>
      <c r="V1217" s="122" t="n">
        <v>42</v>
      </c>
      <c r="W1217" s="122" t="n">
        <v>33</v>
      </c>
      <c r="X1217" s="124">
        <f>IFERROR(W1217/S1217,"")</f>
        <v/>
      </c>
      <c r="Y1217" s="121">
        <f>IFERROR(R1217/W1217,"")</f>
        <v/>
      </c>
      <c r="Z1217" s="121">
        <f>IFERROR(R1217/S1217*1000,"")</f>
        <v/>
      </c>
      <c r="AA1217" s="122" t="n">
        <v>21</v>
      </c>
      <c r="AB1217" s="54">
        <f>IFERROR(AA1217/W1217,"")</f>
        <v/>
      </c>
      <c r="AC1217" s="122" t="n">
        <v>1394</v>
      </c>
      <c r="AD1217" s="122" t="n">
        <v>707</v>
      </c>
      <c r="AE1217" s="122" t="n">
        <v>738</v>
      </c>
      <c r="AF1217" s="122" t="n">
        <v>499</v>
      </c>
      <c r="AG1217" s="122" t="n">
        <v>348</v>
      </c>
      <c r="AH1217" s="122" t="n">
        <v>256</v>
      </c>
      <c r="AI1217" s="54">
        <f>IFERROR(AC1217/S1217,"")</f>
        <v/>
      </c>
      <c r="AJ1217" s="54">
        <f>IFERROR(AH1217/S1217,"")</f>
        <v/>
      </c>
      <c r="AK1217" s="122" t="n">
        <v>77</v>
      </c>
      <c r="AL1217" s="122" t="n">
        <v>1</v>
      </c>
      <c r="AM1217" s="124">
        <f>IFERROR(AL1217/AA1217,"")</f>
        <v/>
      </c>
      <c r="AN1217" s="125">
        <f>IFERROR(R1217/AL1217,"")</f>
        <v/>
      </c>
      <c r="AO1217" s="122" t="n">
        <v>0</v>
      </c>
      <c r="AP1217" s="54">
        <f>IFERROR(AO1217/AL1217,"")</f>
        <v/>
      </c>
      <c r="AQ1217" s="125">
        <f>IFERROR(R1217/AO1217,"")</f>
        <v/>
      </c>
      <c r="AR1217" s="122" t="n">
        <v>0</v>
      </c>
      <c r="AS1217" s="122" t="n">
        <v>1</v>
      </c>
      <c r="AT1217" s="122">
        <f>AL1217+AR1217</f>
        <v/>
      </c>
      <c r="AU1217" s="125">
        <f>IFERROR(AO1217*Assumptions!$C$26*Assumptions!$C$27*INDEX(Assumptions!$C$18:$C$21,MATCH(H1217,Assumptions!$B$18:$B$21,0)),0)</f>
        <v/>
      </c>
    </row>
    <row r="1218">
      <c r="A1218" s="120" t="n">
        <v>46254</v>
      </c>
      <c r="B1218" s="66" t="inlineStr">
        <is>
          <t>Wk 34</t>
        </is>
      </c>
      <c r="C1218" s="66" t="inlineStr">
        <is>
          <t>Thu</t>
        </is>
      </c>
      <c r="D1218" s="66" t="inlineStr">
        <is>
          <t>TikTok</t>
        </is>
      </c>
      <c r="E1218" s="66" t="inlineStr">
        <is>
          <t>TikTok</t>
        </is>
      </c>
      <c r="F1218" s="66" t="inlineStr">
        <is>
          <t>LEP_ZA_AUG26_TT_TD_PANTERA_CONV</t>
        </is>
      </c>
      <c r="G1218" s="66" t="inlineStr">
        <is>
          <t>Website Conversions</t>
        </is>
      </c>
      <c r="H1218" s="66" t="inlineStr">
        <is>
          <t>PANTERA</t>
        </is>
      </c>
      <c r="I1218" s="66" t="inlineStr">
        <is>
          <t>0% Deposit</t>
        </is>
      </c>
      <c r="J1218" s="66" t="inlineStr">
        <is>
          <t>TT_PANTERA_LAL_ENGAGERS_ZA</t>
        </is>
      </c>
      <c r="K1218" s="66" t="inlineStr">
        <is>
          <t>Lookalike</t>
        </is>
      </c>
      <c r="L1218" s="66" t="inlineStr">
        <is>
          <t>TT_PANTERA_TREND_10s_Spec_v1</t>
        </is>
      </c>
      <c r="M1218" s="66" t="inlineStr">
        <is>
          <t>Video 9:16</t>
        </is>
      </c>
      <c r="N1218" s="66" t="inlineStr">
        <is>
          <t>Spec check. Guess the price.</t>
        </is>
      </c>
      <c r="O1218" s="66" t="inlineStr">
        <is>
          <t>Auction - Cost Cap</t>
        </is>
      </c>
      <c r="P1218" s="66" t="inlineStr">
        <is>
          <t>Complete Payment / Lead</t>
        </is>
      </c>
      <c r="Q1218" s="66" t="inlineStr">
        <is>
          <t>https://www.lepas-sa.co.za/offers/pantera</t>
        </is>
      </c>
      <c r="R1218" s="121" t="n">
        <v>176.44</v>
      </c>
      <c r="S1218" s="122" t="n">
        <v>5829</v>
      </c>
      <c r="T1218" s="122" t="n">
        <v>2739</v>
      </c>
      <c r="U1218" s="123">
        <f>IFERROR(S1218/T1218,"")</f>
        <v/>
      </c>
      <c r="V1218" s="122" t="n">
        <v>87</v>
      </c>
      <c r="W1218" s="122" t="n">
        <v>65</v>
      </c>
      <c r="X1218" s="124">
        <f>IFERROR(W1218/S1218,"")</f>
        <v/>
      </c>
      <c r="Y1218" s="121">
        <f>IFERROR(R1218/W1218,"")</f>
        <v/>
      </c>
      <c r="Z1218" s="121">
        <f>IFERROR(R1218/S1218*1000,"")</f>
        <v/>
      </c>
      <c r="AA1218" s="122" t="n">
        <v>48</v>
      </c>
      <c r="AB1218" s="54">
        <f>IFERROR(AA1218/W1218,"")</f>
        <v/>
      </c>
      <c r="AC1218" s="122" t="n">
        <v>1919</v>
      </c>
      <c r="AD1218" s="122" t="n">
        <v>1177</v>
      </c>
      <c r="AE1218" s="122" t="n">
        <v>976</v>
      </c>
      <c r="AF1218" s="122" t="n">
        <v>542</v>
      </c>
      <c r="AG1218" s="122" t="n">
        <v>349</v>
      </c>
      <c r="AH1218" s="122" t="n">
        <v>215</v>
      </c>
      <c r="AI1218" s="54">
        <f>IFERROR(AC1218/S1218,"")</f>
        <v/>
      </c>
      <c r="AJ1218" s="54">
        <f>IFERROR(AH1218/S1218,"")</f>
        <v/>
      </c>
      <c r="AK1218" s="122" t="n">
        <v>128</v>
      </c>
      <c r="AL1218" s="122" t="n">
        <v>1</v>
      </c>
      <c r="AM1218" s="124">
        <f>IFERROR(AL1218/AA1218,"")</f>
        <v/>
      </c>
      <c r="AN1218" s="125">
        <f>IFERROR(R1218/AL1218,"")</f>
        <v/>
      </c>
      <c r="AO1218" s="122" t="n">
        <v>1</v>
      </c>
      <c r="AP1218" s="54">
        <f>IFERROR(AO1218/AL1218,"")</f>
        <v/>
      </c>
      <c r="AQ1218" s="125">
        <f>IFERROR(R1218/AO1218,"")</f>
        <v/>
      </c>
      <c r="AR1218" s="122" t="n">
        <v>0</v>
      </c>
      <c r="AS1218" s="122" t="n">
        <v>0</v>
      </c>
      <c r="AT1218" s="122">
        <f>AL1218+AR1218</f>
        <v/>
      </c>
      <c r="AU1218" s="125">
        <f>IFERROR(AO1218*Assumptions!$C$26*Assumptions!$C$27*INDEX(Assumptions!$C$18:$C$21,MATCH(H1218,Assumptions!$B$18:$B$21,0)),0)</f>
        <v/>
      </c>
    </row>
    <row r="1219">
      <c r="A1219" s="120" t="n">
        <v>46255</v>
      </c>
      <c r="B1219" s="66" t="inlineStr">
        <is>
          <t>Wk 34</t>
        </is>
      </c>
      <c r="C1219" s="66" t="inlineStr">
        <is>
          <t>Fri</t>
        </is>
      </c>
      <c r="D1219" s="66" t="inlineStr">
        <is>
          <t>TikTok</t>
        </is>
      </c>
      <c r="E1219" s="66" t="inlineStr">
        <is>
          <t>TikTok</t>
        </is>
      </c>
      <c r="F1219" s="66" t="inlineStr">
        <is>
          <t>LEP_ZA_AUG26_TT_TD_PANTERA_CONV</t>
        </is>
      </c>
      <c r="G1219" s="66" t="inlineStr">
        <is>
          <t>Website Conversions</t>
        </is>
      </c>
      <c r="H1219" s="66" t="inlineStr">
        <is>
          <t>PANTERA</t>
        </is>
      </c>
      <c r="I1219" s="66" t="inlineStr">
        <is>
          <t>0% Deposit</t>
        </is>
      </c>
      <c r="J1219" s="66" t="inlineStr">
        <is>
          <t>TT_PANTERA_LAL_ENGAGERS_ZA</t>
        </is>
      </c>
      <c r="K1219" s="66" t="inlineStr">
        <is>
          <t>Lookalike</t>
        </is>
      </c>
      <c r="L1219" s="66" t="inlineStr">
        <is>
          <t>TT_PANTERA_TREND_10s_Spec_v1</t>
        </is>
      </c>
      <c r="M1219" s="66" t="inlineStr">
        <is>
          <t>Video 9:16</t>
        </is>
      </c>
      <c r="N1219" s="66" t="inlineStr">
        <is>
          <t>Spec check. Guess the price.</t>
        </is>
      </c>
      <c r="O1219" s="66" t="inlineStr">
        <is>
          <t>Auction - Cost Cap</t>
        </is>
      </c>
      <c r="P1219" s="66" t="inlineStr">
        <is>
          <t>Complete Payment / Lead</t>
        </is>
      </c>
      <c r="Q1219" s="66" t="inlineStr">
        <is>
          <t>https://www.lepas-sa.co.za/offers/pantera</t>
        </is>
      </c>
      <c r="R1219" s="121" t="n">
        <v>146.12</v>
      </c>
      <c r="S1219" s="122" t="n">
        <v>4101</v>
      </c>
      <c r="T1219" s="122" t="n">
        <v>2083</v>
      </c>
      <c r="U1219" s="123">
        <f>IFERROR(S1219/T1219,"")</f>
        <v/>
      </c>
      <c r="V1219" s="122" t="n">
        <v>65</v>
      </c>
      <c r="W1219" s="122" t="n">
        <v>48</v>
      </c>
      <c r="X1219" s="124">
        <f>IFERROR(W1219/S1219,"")</f>
        <v/>
      </c>
      <c r="Y1219" s="121">
        <f>IFERROR(R1219/W1219,"")</f>
        <v/>
      </c>
      <c r="Z1219" s="121">
        <f>IFERROR(R1219/S1219*1000,"")</f>
        <v/>
      </c>
      <c r="AA1219" s="122" t="n">
        <v>32</v>
      </c>
      <c r="AB1219" s="54">
        <f>IFERROR(AA1219/W1219,"")</f>
        <v/>
      </c>
      <c r="AC1219" s="122" t="n">
        <v>1224</v>
      </c>
      <c r="AD1219" s="122" t="n">
        <v>708</v>
      </c>
      <c r="AE1219" s="122" t="n">
        <v>467</v>
      </c>
      <c r="AF1219" s="122" t="n">
        <v>314</v>
      </c>
      <c r="AG1219" s="122" t="n">
        <v>246</v>
      </c>
      <c r="AH1219" s="122" t="n">
        <v>143</v>
      </c>
      <c r="AI1219" s="54">
        <f>IFERROR(AC1219/S1219,"")</f>
        <v/>
      </c>
      <c r="AJ1219" s="54">
        <f>IFERROR(AH1219/S1219,"")</f>
        <v/>
      </c>
      <c r="AK1219" s="122" t="n">
        <v>95</v>
      </c>
      <c r="AL1219" s="122" t="n">
        <v>0</v>
      </c>
      <c r="AM1219" s="124">
        <f>IFERROR(AL1219/AA1219,"")</f>
        <v/>
      </c>
      <c r="AN1219" s="125">
        <f>IFERROR(R1219/AL1219,"")</f>
        <v/>
      </c>
      <c r="AO1219" s="122" t="n">
        <v>0</v>
      </c>
      <c r="AP1219" s="54">
        <f>IFERROR(AO1219/AL1219,"")</f>
        <v/>
      </c>
      <c r="AQ1219" s="125">
        <f>IFERROR(R1219/AO1219,"")</f>
        <v/>
      </c>
      <c r="AR1219" s="122" t="n">
        <v>0</v>
      </c>
      <c r="AS1219" s="122" t="n">
        <v>0</v>
      </c>
      <c r="AT1219" s="122">
        <f>AL1219+AR1219</f>
        <v/>
      </c>
      <c r="AU1219" s="125">
        <f>IFERROR(AO1219*Assumptions!$C$26*Assumptions!$C$27*INDEX(Assumptions!$C$18:$C$21,MATCH(H1219,Assumptions!$B$18:$B$21,0)),0)</f>
        <v/>
      </c>
    </row>
    <row r="1220">
      <c r="A1220" s="120" t="n">
        <v>46256</v>
      </c>
      <c r="B1220" s="66" t="inlineStr">
        <is>
          <t>Wk 34</t>
        </is>
      </c>
      <c r="C1220" s="66" t="inlineStr">
        <is>
          <t>Sat</t>
        </is>
      </c>
      <c r="D1220" s="66" t="inlineStr">
        <is>
          <t>TikTok</t>
        </is>
      </c>
      <c r="E1220" s="66" t="inlineStr">
        <is>
          <t>TikTok</t>
        </is>
      </c>
      <c r="F1220" s="66" t="inlineStr">
        <is>
          <t>LEP_ZA_AUG26_TT_TD_PANTERA_CONV</t>
        </is>
      </c>
      <c r="G1220" s="66" t="inlineStr">
        <is>
          <t>Website Conversions</t>
        </is>
      </c>
      <c r="H1220" s="66" t="inlineStr">
        <is>
          <t>PANTERA</t>
        </is>
      </c>
      <c r="I1220" s="66" t="inlineStr">
        <is>
          <t>0% Deposit</t>
        </is>
      </c>
      <c r="J1220" s="66" t="inlineStr">
        <is>
          <t>TT_PANTERA_LAL_ENGAGERS_ZA</t>
        </is>
      </c>
      <c r="K1220" s="66" t="inlineStr">
        <is>
          <t>Lookalike</t>
        </is>
      </c>
      <c r="L1220" s="66" t="inlineStr">
        <is>
          <t>TT_PANTERA_TREND_10s_Spec_v1</t>
        </is>
      </c>
      <c r="M1220" s="66" t="inlineStr">
        <is>
          <t>Video 9:16</t>
        </is>
      </c>
      <c r="N1220" s="66" t="inlineStr">
        <is>
          <t>Spec check. Guess the price.</t>
        </is>
      </c>
      <c r="O1220" s="66" t="inlineStr">
        <is>
          <t>Auction - Cost Cap</t>
        </is>
      </c>
      <c r="P1220" s="66" t="inlineStr">
        <is>
          <t>Complete Payment / Lead</t>
        </is>
      </c>
      <c r="Q1220" s="66" t="inlineStr">
        <is>
          <t>https://www.lepas-sa.co.za/offers/pantera</t>
        </is>
      </c>
      <c r="R1220" s="121" t="n">
        <v>165.92</v>
      </c>
      <c r="S1220" s="122" t="n">
        <v>4490</v>
      </c>
      <c r="T1220" s="122" t="n">
        <v>2251</v>
      </c>
      <c r="U1220" s="123">
        <f>IFERROR(S1220/T1220,"")</f>
        <v/>
      </c>
      <c r="V1220" s="122" t="n">
        <v>34</v>
      </c>
      <c r="W1220" s="122" t="n">
        <v>26</v>
      </c>
      <c r="X1220" s="124">
        <f>IFERROR(W1220/S1220,"")</f>
        <v/>
      </c>
      <c r="Y1220" s="121">
        <f>IFERROR(R1220/W1220,"")</f>
        <v/>
      </c>
      <c r="Z1220" s="121">
        <f>IFERROR(R1220/S1220*1000,"")</f>
        <v/>
      </c>
      <c r="AA1220" s="122" t="n">
        <v>17</v>
      </c>
      <c r="AB1220" s="54">
        <f>IFERROR(AA1220/W1220,"")</f>
        <v/>
      </c>
      <c r="AC1220" s="122" t="n">
        <v>1080</v>
      </c>
      <c r="AD1220" s="122" t="n">
        <v>568</v>
      </c>
      <c r="AE1220" s="122" t="n">
        <v>475</v>
      </c>
      <c r="AF1220" s="122" t="n">
        <v>293</v>
      </c>
      <c r="AG1220" s="122" t="n">
        <v>189</v>
      </c>
      <c r="AH1220" s="122" t="n">
        <v>105</v>
      </c>
      <c r="AI1220" s="54">
        <f>IFERROR(AC1220/S1220,"")</f>
        <v/>
      </c>
      <c r="AJ1220" s="54">
        <f>IFERROR(AH1220/S1220,"")</f>
        <v/>
      </c>
      <c r="AK1220" s="122" t="n">
        <v>133</v>
      </c>
      <c r="AL1220" s="122" t="n">
        <v>0</v>
      </c>
      <c r="AM1220" s="124">
        <f>IFERROR(AL1220/AA1220,"")</f>
        <v/>
      </c>
      <c r="AN1220" s="125">
        <f>IFERROR(R1220/AL1220,"")</f>
        <v/>
      </c>
      <c r="AO1220" s="122" t="n">
        <v>0</v>
      </c>
      <c r="AP1220" s="54">
        <f>IFERROR(AO1220/AL1220,"")</f>
        <v/>
      </c>
      <c r="AQ1220" s="125">
        <f>IFERROR(R1220/AO1220,"")</f>
        <v/>
      </c>
      <c r="AR1220" s="122" t="n">
        <v>0</v>
      </c>
      <c r="AS1220" s="122" t="n">
        <v>0</v>
      </c>
      <c r="AT1220" s="122">
        <f>AL1220+AR1220</f>
        <v/>
      </c>
      <c r="AU1220" s="125">
        <f>IFERROR(AO1220*Assumptions!$C$26*Assumptions!$C$27*INDEX(Assumptions!$C$18:$C$21,MATCH(H1220,Assumptions!$B$18:$B$21,0)),0)</f>
        <v/>
      </c>
    </row>
    <row r="1221">
      <c r="A1221" s="120" t="n">
        <v>46257</v>
      </c>
      <c r="B1221" s="66" t="inlineStr">
        <is>
          <t>Wk 34</t>
        </is>
      </c>
      <c r="C1221" s="66" t="inlineStr">
        <is>
          <t>Sun</t>
        </is>
      </c>
      <c r="D1221" s="66" t="inlineStr">
        <is>
          <t>TikTok</t>
        </is>
      </c>
      <c r="E1221" s="66" t="inlineStr">
        <is>
          <t>TikTok</t>
        </is>
      </c>
      <c r="F1221" s="66" t="inlineStr">
        <is>
          <t>LEP_ZA_AUG26_TT_TD_PANTERA_CONV</t>
        </is>
      </c>
      <c r="G1221" s="66" t="inlineStr">
        <is>
          <t>Website Conversions</t>
        </is>
      </c>
      <c r="H1221" s="66" t="inlineStr">
        <is>
          <t>PANTERA</t>
        </is>
      </c>
      <c r="I1221" s="66" t="inlineStr">
        <is>
          <t>0% Deposit</t>
        </is>
      </c>
      <c r="J1221" s="66" t="inlineStr">
        <is>
          <t>TT_PANTERA_LAL_ENGAGERS_ZA</t>
        </is>
      </c>
      <c r="K1221" s="66" t="inlineStr">
        <is>
          <t>Lookalike</t>
        </is>
      </c>
      <c r="L1221" s="66" t="inlineStr">
        <is>
          <t>TT_PANTERA_TREND_10s_Spec_v1</t>
        </is>
      </c>
      <c r="M1221" s="66" t="inlineStr">
        <is>
          <t>Video 9:16</t>
        </is>
      </c>
      <c r="N1221" s="66" t="inlineStr">
        <is>
          <t>Spec check. Guess the price.</t>
        </is>
      </c>
      <c r="O1221" s="66" t="inlineStr">
        <is>
          <t>Auction - Cost Cap</t>
        </is>
      </c>
      <c r="P1221" s="66" t="inlineStr">
        <is>
          <t>Complete Payment / Lead</t>
        </is>
      </c>
      <c r="Q1221" s="66" t="inlineStr">
        <is>
          <t>https://www.lepas-sa.co.za/offers/pantera</t>
        </is>
      </c>
      <c r="R1221" s="121" t="n">
        <v>111.92</v>
      </c>
      <c r="S1221" s="122" t="n">
        <v>3442</v>
      </c>
      <c r="T1221" s="122" t="n">
        <v>1638</v>
      </c>
      <c r="U1221" s="123">
        <f>IFERROR(S1221/T1221,"")</f>
        <v/>
      </c>
      <c r="V1221" s="122" t="n">
        <v>44</v>
      </c>
      <c r="W1221" s="122" t="n">
        <v>34</v>
      </c>
      <c r="X1221" s="124">
        <f>IFERROR(W1221/S1221,"")</f>
        <v/>
      </c>
      <c r="Y1221" s="121">
        <f>IFERROR(R1221/W1221,"")</f>
        <v/>
      </c>
      <c r="Z1221" s="121">
        <f>IFERROR(R1221/S1221*1000,"")</f>
        <v/>
      </c>
      <c r="AA1221" s="122" t="n">
        <v>23</v>
      </c>
      <c r="AB1221" s="54">
        <f>IFERROR(AA1221/W1221,"")</f>
        <v/>
      </c>
      <c r="AC1221" s="122" t="n">
        <v>864</v>
      </c>
      <c r="AD1221" s="122" t="n">
        <v>449</v>
      </c>
      <c r="AE1221" s="122" t="n">
        <v>428</v>
      </c>
      <c r="AF1221" s="122" t="n">
        <v>285</v>
      </c>
      <c r="AG1221" s="122" t="n">
        <v>185</v>
      </c>
      <c r="AH1221" s="122" t="n">
        <v>120</v>
      </c>
      <c r="AI1221" s="54">
        <f>IFERROR(AC1221/S1221,"")</f>
        <v/>
      </c>
      <c r="AJ1221" s="54">
        <f>IFERROR(AH1221/S1221,"")</f>
        <v/>
      </c>
      <c r="AK1221" s="122" t="n">
        <v>123</v>
      </c>
      <c r="AL1221" s="122" t="n">
        <v>0</v>
      </c>
      <c r="AM1221" s="124">
        <f>IFERROR(AL1221/AA1221,"")</f>
        <v/>
      </c>
      <c r="AN1221" s="125">
        <f>IFERROR(R1221/AL1221,"")</f>
        <v/>
      </c>
      <c r="AO1221" s="122" t="n">
        <v>0</v>
      </c>
      <c r="AP1221" s="54">
        <f>IFERROR(AO1221/AL1221,"")</f>
        <v/>
      </c>
      <c r="AQ1221" s="125">
        <f>IFERROR(R1221/AO1221,"")</f>
        <v/>
      </c>
      <c r="AR1221" s="122" t="n">
        <v>0</v>
      </c>
      <c r="AS1221" s="122" t="n">
        <v>0</v>
      </c>
      <c r="AT1221" s="122">
        <f>AL1221+AR1221</f>
        <v/>
      </c>
      <c r="AU1221" s="125">
        <f>IFERROR(AO1221*Assumptions!$C$26*Assumptions!$C$27*INDEX(Assumptions!$C$18:$C$21,MATCH(H1221,Assumptions!$B$18:$B$21,0)),0)</f>
        <v/>
      </c>
    </row>
    <row r="1222">
      <c r="A1222" s="120" t="n">
        <v>46258</v>
      </c>
      <c r="B1222" s="66" t="inlineStr">
        <is>
          <t>Wk 35</t>
        </is>
      </c>
      <c r="C1222" s="66" t="inlineStr">
        <is>
          <t>Mon</t>
        </is>
      </c>
      <c r="D1222" s="66" t="inlineStr">
        <is>
          <t>TikTok</t>
        </is>
      </c>
      <c r="E1222" s="66" t="inlineStr">
        <is>
          <t>TikTok</t>
        </is>
      </c>
      <c r="F1222" s="66" t="inlineStr">
        <is>
          <t>LEP_ZA_AUG26_TT_TD_PANTERA_CONV</t>
        </is>
      </c>
      <c r="G1222" s="66" t="inlineStr">
        <is>
          <t>Website Conversions</t>
        </is>
      </c>
      <c r="H1222" s="66" t="inlineStr">
        <is>
          <t>PANTERA</t>
        </is>
      </c>
      <c r="I1222" s="66" t="inlineStr">
        <is>
          <t>0% Deposit</t>
        </is>
      </c>
      <c r="J1222" s="66" t="inlineStr">
        <is>
          <t>TT_PANTERA_LAL_ENGAGERS_ZA</t>
        </is>
      </c>
      <c r="K1222" s="66" t="inlineStr">
        <is>
          <t>Lookalike</t>
        </is>
      </c>
      <c r="L1222" s="66" t="inlineStr">
        <is>
          <t>TT_PANTERA_TREND_10s_Spec_v1</t>
        </is>
      </c>
      <c r="M1222" s="66" t="inlineStr">
        <is>
          <t>Video 9:16</t>
        </is>
      </c>
      <c r="N1222" s="66" t="inlineStr">
        <is>
          <t>Spec check. Guess the price.</t>
        </is>
      </c>
      <c r="O1222" s="66" t="inlineStr">
        <is>
          <t>Auction - Cost Cap</t>
        </is>
      </c>
      <c r="P1222" s="66" t="inlineStr">
        <is>
          <t>Complete Payment / Lead</t>
        </is>
      </c>
      <c r="Q1222" s="66" t="inlineStr">
        <is>
          <t>https://www.lepas-sa.co.za/offers/pantera</t>
        </is>
      </c>
      <c r="R1222" s="121" t="n">
        <v>140.34</v>
      </c>
      <c r="S1222" s="122" t="n">
        <v>3598</v>
      </c>
      <c r="T1222" s="122" t="n">
        <v>2075</v>
      </c>
      <c r="U1222" s="123">
        <f>IFERROR(S1222/T1222,"")</f>
        <v/>
      </c>
      <c r="V1222" s="122" t="n">
        <v>49</v>
      </c>
      <c r="W1222" s="122" t="n">
        <v>39</v>
      </c>
      <c r="X1222" s="124">
        <f>IFERROR(W1222/S1222,"")</f>
        <v/>
      </c>
      <c r="Y1222" s="121">
        <f>IFERROR(R1222/W1222,"")</f>
        <v/>
      </c>
      <c r="Z1222" s="121">
        <f>IFERROR(R1222/S1222*1000,"")</f>
        <v/>
      </c>
      <c r="AA1222" s="122" t="n">
        <v>26</v>
      </c>
      <c r="AB1222" s="54">
        <f>IFERROR(AA1222/W1222,"")</f>
        <v/>
      </c>
      <c r="AC1222" s="122" t="n">
        <v>877</v>
      </c>
      <c r="AD1222" s="122" t="n">
        <v>453</v>
      </c>
      <c r="AE1222" s="122" t="n">
        <v>354</v>
      </c>
      <c r="AF1222" s="122" t="n">
        <v>204</v>
      </c>
      <c r="AG1222" s="122" t="n">
        <v>158</v>
      </c>
      <c r="AH1222" s="122" t="n">
        <v>88</v>
      </c>
      <c r="AI1222" s="54">
        <f>IFERROR(AC1222/S1222,"")</f>
        <v/>
      </c>
      <c r="AJ1222" s="54">
        <f>IFERROR(AH1222/S1222,"")</f>
        <v/>
      </c>
      <c r="AK1222" s="122" t="n">
        <v>91</v>
      </c>
      <c r="AL1222" s="122" t="n">
        <v>0</v>
      </c>
      <c r="AM1222" s="124">
        <f>IFERROR(AL1222/AA1222,"")</f>
        <v/>
      </c>
      <c r="AN1222" s="125">
        <f>IFERROR(R1222/AL1222,"")</f>
        <v/>
      </c>
      <c r="AO1222" s="122" t="n">
        <v>0</v>
      </c>
      <c r="AP1222" s="54">
        <f>IFERROR(AO1222/AL1222,"")</f>
        <v/>
      </c>
      <c r="AQ1222" s="125">
        <f>IFERROR(R1222/AO1222,"")</f>
        <v/>
      </c>
      <c r="AR1222" s="122" t="n">
        <v>0</v>
      </c>
      <c r="AS1222" s="122" t="n">
        <v>0</v>
      </c>
      <c r="AT1222" s="122">
        <f>AL1222+AR1222</f>
        <v/>
      </c>
      <c r="AU1222" s="125">
        <f>IFERROR(AO1222*Assumptions!$C$26*Assumptions!$C$27*INDEX(Assumptions!$C$18:$C$21,MATCH(H1222,Assumptions!$B$18:$B$21,0)),0)</f>
        <v/>
      </c>
    </row>
    <row r="1223">
      <c r="A1223" s="120" t="n">
        <v>46259</v>
      </c>
      <c r="B1223" s="66" t="inlineStr">
        <is>
          <t>Wk 35</t>
        </is>
      </c>
      <c r="C1223" s="66" t="inlineStr">
        <is>
          <t>Tue</t>
        </is>
      </c>
      <c r="D1223" s="66" t="inlineStr">
        <is>
          <t>TikTok</t>
        </is>
      </c>
      <c r="E1223" s="66" t="inlineStr">
        <is>
          <t>TikTok</t>
        </is>
      </c>
      <c r="F1223" s="66" t="inlineStr">
        <is>
          <t>LEP_ZA_AUG26_TT_TD_PANTERA_CONV</t>
        </is>
      </c>
      <c r="G1223" s="66" t="inlineStr">
        <is>
          <t>Website Conversions</t>
        </is>
      </c>
      <c r="H1223" s="66" t="inlineStr">
        <is>
          <t>PANTERA</t>
        </is>
      </c>
      <c r="I1223" s="66" t="inlineStr">
        <is>
          <t>0% Deposit</t>
        </is>
      </c>
      <c r="J1223" s="66" t="inlineStr">
        <is>
          <t>TT_PANTERA_LAL_ENGAGERS_ZA</t>
        </is>
      </c>
      <c r="K1223" s="66" t="inlineStr">
        <is>
          <t>Lookalike</t>
        </is>
      </c>
      <c r="L1223" s="66" t="inlineStr">
        <is>
          <t>TT_PANTERA_TREND_10s_Spec_v1</t>
        </is>
      </c>
      <c r="M1223" s="66" t="inlineStr">
        <is>
          <t>Video 9:16</t>
        </is>
      </c>
      <c r="N1223" s="66" t="inlineStr">
        <is>
          <t>Spec check. Guess the price.</t>
        </is>
      </c>
      <c r="O1223" s="66" t="inlineStr">
        <is>
          <t>Auction - Cost Cap</t>
        </is>
      </c>
      <c r="P1223" s="66" t="inlineStr">
        <is>
          <t>Complete Payment / Lead</t>
        </is>
      </c>
      <c r="Q1223" s="66" t="inlineStr">
        <is>
          <t>https://www.lepas-sa.co.za/offers/pantera</t>
        </is>
      </c>
      <c r="R1223" s="121" t="n">
        <v>152.71</v>
      </c>
      <c r="S1223" s="122" t="n">
        <v>4326</v>
      </c>
      <c r="T1223" s="122" t="n">
        <v>2360</v>
      </c>
      <c r="U1223" s="123">
        <f>IFERROR(S1223/T1223,"")</f>
        <v/>
      </c>
      <c r="V1223" s="122" t="n">
        <v>69</v>
      </c>
      <c r="W1223" s="122" t="n">
        <v>56</v>
      </c>
      <c r="X1223" s="124">
        <f>IFERROR(W1223/S1223,"")</f>
        <v/>
      </c>
      <c r="Y1223" s="121">
        <f>IFERROR(R1223/W1223,"")</f>
        <v/>
      </c>
      <c r="Z1223" s="121">
        <f>IFERROR(R1223/S1223*1000,"")</f>
        <v/>
      </c>
      <c r="AA1223" s="122" t="n">
        <v>36</v>
      </c>
      <c r="AB1223" s="54">
        <f>IFERROR(AA1223/W1223,"")</f>
        <v/>
      </c>
      <c r="AC1223" s="122" t="n">
        <v>983</v>
      </c>
      <c r="AD1223" s="122" t="n">
        <v>517</v>
      </c>
      <c r="AE1223" s="122" t="n">
        <v>379</v>
      </c>
      <c r="AF1223" s="122" t="n">
        <v>210</v>
      </c>
      <c r="AG1223" s="122" t="n">
        <v>136</v>
      </c>
      <c r="AH1223" s="122" t="n">
        <v>93</v>
      </c>
      <c r="AI1223" s="54">
        <f>IFERROR(AC1223/S1223,"")</f>
        <v/>
      </c>
      <c r="AJ1223" s="54">
        <f>IFERROR(AH1223/S1223,"")</f>
        <v/>
      </c>
      <c r="AK1223" s="122" t="n">
        <v>169</v>
      </c>
      <c r="AL1223" s="122" t="n">
        <v>1</v>
      </c>
      <c r="AM1223" s="124">
        <f>IFERROR(AL1223/AA1223,"")</f>
        <v/>
      </c>
      <c r="AN1223" s="125">
        <f>IFERROR(R1223/AL1223,"")</f>
        <v/>
      </c>
      <c r="AO1223" s="122" t="n">
        <v>1</v>
      </c>
      <c r="AP1223" s="54">
        <f>IFERROR(AO1223/AL1223,"")</f>
        <v/>
      </c>
      <c r="AQ1223" s="125">
        <f>IFERROR(R1223/AO1223,"")</f>
        <v/>
      </c>
      <c r="AR1223" s="122" t="n">
        <v>1</v>
      </c>
      <c r="AS1223" s="122" t="n">
        <v>1</v>
      </c>
      <c r="AT1223" s="122">
        <f>AL1223+AR1223</f>
        <v/>
      </c>
      <c r="AU1223" s="125">
        <f>IFERROR(AO1223*Assumptions!$C$26*Assumptions!$C$27*INDEX(Assumptions!$C$18:$C$21,MATCH(H1223,Assumptions!$B$18:$B$21,0)),0)</f>
        <v/>
      </c>
    </row>
    <row r="1224">
      <c r="A1224" s="120" t="n">
        <v>46260</v>
      </c>
      <c r="B1224" s="66" t="inlineStr">
        <is>
          <t>Wk 35</t>
        </is>
      </c>
      <c r="C1224" s="66" t="inlineStr">
        <is>
          <t>Wed</t>
        </is>
      </c>
      <c r="D1224" s="66" t="inlineStr">
        <is>
          <t>TikTok</t>
        </is>
      </c>
      <c r="E1224" s="66" t="inlineStr">
        <is>
          <t>TikTok</t>
        </is>
      </c>
      <c r="F1224" s="66" t="inlineStr">
        <is>
          <t>LEP_ZA_AUG26_TT_TD_PANTERA_CONV</t>
        </is>
      </c>
      <c r="G1224" s="66" t="inlineStr">
        <is>
          <t>Website Conversions</t>
        </is>
      </c>
      <c r="H1224" s="66" t="inlineStr">
        <is>
          <t>PANTERA</t>
        </is>
      </c>
      <c r="I1224" s="66" t="inlineStr">
        <is>
          <t>0% Deposit</t>
        </is>
      </c>
      <c r="J1224" s="66" t="inlineStr">
        <is>
          <t>TT_PANTERA_LAL_ENGAGERS_ZA</t>
        </is>
      </c>
      <c r="K1224" s="66" t="inlineStr">
        <is>
          <t>Lookalike</t>
        </is>
      </c>
      <c r="L1224" s="66" t="inlineStr">
        <is>
          <t>TT_PANTERA_TREND_10s_Spec_v1</t>
        </is>
      </c>
      <c r="M1224" s="66" t="inlineStr">
        <is>
          <t>Video 9:16</t>
        </is>
      </c>
      <c r="N1224" s="66" t="inlineStr">
        <is>
          <t>Spec check. Guess the price.</t>
        </is>
      </c>
      <c r="O1224" s="66" t="inlineStr">
        <is>
          <t>Auction - Cost Cap</t>
        </is>
      </c>
      <c r="P1224" s="66" t="inlineStr">
        <is>
          <t>Complete Payment / Lead</t>
        </is>
      </c>
      <c r="Q1224" s="66" t="inlineStr">
        <is>
          <t>https://www.lepas-sa.co.za/offers/pantera</t>
        </is>
      </c>
      <c r="R1224" s="121" t="n">
        <v>156.76</v>
      </c>
      <c r="S1224" s="122" t="n">
        <v>4046</v>
      </c>
      <c r="T1224" s="122" t="n">
        <v>2528</v>
      </c>
      <c r="U1224" s="123">
        <f>IFERROR(S1224/T1224,"")</f>
        <v/>
      </c>
      <c r="V1224" s="122" t="n">
        <v>60</v>
      </c>
      <c r="W1224" s="122" t="n">
        <v>42</v>
      </c>
      <c r="X1224" s="124">
        <f>IFERROR(W1224/S1224,"")</f>
        <v/>
      </c>
      <c r="Y1224" s="121">
        <f>IFERROR(R1224/W1224,"")</f>
        <v/>
      </c>
      <c r="Z1224" s="121">
        <f>IFERROR(R1224/S1224*1000,"")</f>
        <v/>
      </c>
      <c r="AA1224" s="122" t="n">
        <v>29</v>
      </c>
      <c r="AB1224" s="54">
        <f>IFERROR(AA1224/W1224,"")</f>
        <v/>
      </c>
      <c r="AC1224" s="122" t="n">
        <v>1274</v>
      </c>
      <c r="AD1224" s="122" t="n">
        <v>619</v>
      </c>
      <c r="AE1224" s="122" t="n">
        <v>677</v>
      </c>
      <c r="AF1224" s="122" t="n">
        <v>405</v>
      </c>
      <c r="AG1224" s="122" t="n">
        <v>298</v>
      </c>
      <c r="AH1224" s="122" t="n">
        <v>220</v>
      </c>
      <c r="AI1224" s="54">
        <f>IFERROR(AC1224/S1224,"")</f>
        <v/>
      </c>
      <c r="AJ1224" s="54">
        <f>IFERROR(AH1224/S1224,"")</f>
        <v/>
      </c>
      <c r="AK1224" s="122" t="n">
        <v>170</v>
      </c>
      <c r="AL1224" s="122" t="n">
        <v>0</v>
      </c>
      <c r="AM1224" s="124">
        <f>IFERROR(AL1224/AA1224,"")</f>
        <v/>
      </c>
      <c r="AN1224" s="125">
        <f>IFERROR(R1224/AL1224,"")</f>
        <v/>
      </c>
      <c r="AO1224" s="122" t="n">
        <v>0</v>
      </c>
      <c r="AP1224" s="54">
        <f>IFERROR(AO1224/AL1224,"")</f>
        <v/>
      </c>
      <c r="AQ1224" s="125">
        <f>IFERROR(R1224/AO1224,"")</f>
        <v/>
      </c>
      <c r="AR1224" s="122" t="n">
        <v>0</v>
      </c>
      <c r="AS1224" s="122" t="n">
        <v>0</v>
      </c>
      <c r="AT1224" s="122">
        <f>AL1224+AR1224</f>
        <v/>
      </c>
      <c r="AU1224" s="125">
        <f>IFERROR(AO1224*Assumptions!$C$26*Assumptions!$C$27*INDEX(Assumptions!$C$18:$C$21,MATCH(H1224,Assumptions!$B$18:$B$21,0)),0)</f>
        <v/>
      </c>
    </row>
    <row r="1225">
      <c r="A1225" s="120" t="n">
        <v>46261</v>
      </c>
      <c r="B1225" s="66" t="inlineStr">
        <is>
          <t>Wk 35</t>
        </is>
      </c>
      <c r="C1225" s="66" t="inlineStr">
        <is>
          <t>Thu</t>
        </is>
      </c>
      <c r="D1225" s="66" t="inlineStr">
        <is>
          <t>TikTok</t>
        </is>
      </c>
      <c r="E1225" s="66" t="inlineStr">
        <is>
          <t>TikTok</t>
        </is>
      </c>
      <c r="F1225" s="66" t="inlineStr">
        <is>
          <t>LEP_ZA_AUG26_TT_TD_PANTERA_CONV</t>
        </is>
      </c>
      <c r="G1225" s="66" t="inlineStr">
        <is>
          <t>Website Conversions</t>
        </is>
      </c>
      <c r="H1225" s="66" t="inlineStr">
        <is>
          <t>PANTERA</t>
        </is>
      </c>
      <c r="I1225" s="66" t="inlineStr">
        <is>
          <t>0% Deposit</t>
        </is>
      </c>
      <c r="J1225" s="66" t="inlineStr">
        <is>
          <t>TT_PANTERA_LAL_ENGAGERS_ZA</t>
        </is>
      </c>
      <c r="K1225" s="66" t="inlineStr">
        <is>
          <t>Lookalike</t>
        </is>
      </c>
      <c r="L1225" s="66" t="inlineStr">
        <is>
          <t>TT_PANTERA_TREND_10s_Spec_v1</t>
        </is>
      </c>
      <c r="M1225" s="66" t="inlineStr">
        <is>
          <t>Video 9:16</t>
        </is>
      </c>
      <c r="N1225" s="66" t="inlineStr">
        <is>
          <t>Spec check. Guess the price.</t>
        </is>
      </c>
      <c r="O1225" s="66" t="inlineStr">
        <is>
          <t>Auction - Cost Cap</t>
        </is>
      </c>
      <c r="P1225" s="66" t="inlineStr">
        <is>
          <t>Complete Payment / Lead</t>
        </is>
      </c>
      <c r="Q1225" s="66" t="inlineStr">
        <is>
          <t>https://www.lepas-sa.co.za/offers/pantera</t>
        </is>
      </c>
      <c r="R1225" s="121" t="n">
        <v>204.48</v>
      </c>
      <c r="S1225" s="122" t="n">
        <v>4680</v>
      </c>
      <c r="T1225" s="122" t="n">
        <v>2834</v>
      </c>
      <c r="U1225" s="123">
        <f>IFERROR(S1225/T1225,"")</f>
        <v/>
      </c>
      <c r="V1225" s="122" t="n">
        <v>37</v>
      </c>
      <c r="W1225" s="122" t="n">
        <v>29</v>
      </c>
      <c r="X1225" s="124">
        <f>IFERROR(W1225/S1225,"")</f>
        <v/>
      </c>
      <c r="Y1225" s="121">
        <f>IFERROR(R1225/W1225,"")</f>
        <v/>
      </c>
      <c r="Z1225" s="121">
        <f>IFERROR(R1225/S1225*1000,"")</f>
        <v/>
      </c>
      <c r="AA1225" s="122" t="n">
        <v>21</v>
      </c>
      <c r="AB1225" s="54">
        <f>IFERROR(AA1225/W1225,"")</f>
        <v/>
      </c>
      <c r="AC1225" s="122" t="n">
        <v>1495</v>
      </c>
      <c r="AD1225" s="122" t="n">
        <v>741</v>
      </c>
      <c r="AE1225" s="122" t="n">
        <v>821</v>
      </c>
      <c r="AF1225" s="122" t="n">
        <v>491</v>
      </c>
      <c r="AG1225" s="122" t="n">
        <v>343</v>
      </c>
      <c r="AH1225" s="122" t="n">
        <v>216</v>
      </c>
      <c r="AI1225" s="54">
        <f>IFERROR(AC1225/S1225,"")</f>
        <v/>
      </c>
      <c r="AJ1225" s="54">
        <f>IFERROR(AH1225/S1225,"")</f>
        <v/>
      </c>
      <c r="AK1225" s="122" t="n">
        <v>159</v>
      </c>
      <c r="AL1225" s="122" t="n">
        <v>0</v>
      </c>
      <c r="AM1225" s="124">
        <f>IFERROR(AL1225/AA1225,"")</f>
        <v/>
      </c>
      <c r="AN1225" s="125">
        <f>IFERROR(R1225/AL1225,"")</f>
        <v/>
      </c>
      <c r="AO1225" s="122" t="n">
        <v>0</v>
      </c>
      <c r="AP1225" s="54">
        <f>IFERROR(AO1225/AL1225,"")</f>
        <v/>
      </c>
      <c r="AQ1225" s="125">
        <f>IFERROR(R1225/AO1225,"")</f>
        <v/>
      </c>
      <c r="AR1225" s="122" t="n">
        <v>0</v>
      </c>
      <c r="AS1225" s="122" t="n">
        <v>0</v>
      </c>
      <c r="AT1225" s="122">
        <f>AL1225+AR1225</f>
        <v/>
      </c>
      <c r="AU1225" s="125">
        <f>IFERROR(AO1225*Assumptions!$C$26*Assumptions!$C$27*INDEX(Assumptions!$C$18:$C$21,MATCH(H1225,Assumptions!$B$18:$B$21,0)),0)</f>
        <v/>
      </c>
    </row>
    <row r="1226">
      <c r="A1226" s="120" t="n">
        <v>46262</v>
      </c>
      <c r="B1226" s="66" t="inlineStr">
        <is>
          <t>Wk 35</t>
        </is>
      </c>
      <c r="C1226" s="66" t="inlineStr">
        <is>
          <t>Fri</t>
        </is>
      </c>
      <c r="D1226" s="66" t="inlineStr">
        <is>
          <t>TikTok</t>
        </is>
      </c>
      <c r="E1226" s="66" t="inlineStr">
        <is>
          <t>TikTok</t>
        </is>
      </c>
      <c r="F1226" s="66" t="inlineStr">
        <is>
          <t>LEP_ZA_AUG26_TT_TD_PANTERA_CONV</t>
        </is>
      </c>
      <c r="G1226" s="66" t="inlineStr">
        <is>
          <t>Website Conversions</t>
        </is>
      </c>
      <c r="H1226" s="66" t="inlineStr">
        <is>
          <t>PANTERA</t>
        </is>
      </c>
      <c r="I1226" s="66" t="inlineStr">
        <is>
          <t>0% Deposit</t>
        </is>
      </c>
      <c r="J1226" s="66" t="inlineStr">
        <is>
          <t>TT_PANTERA_LAL_ENGAGERS_ZA</t>
        </is>
      </c>
      <c r="K1226" s="66" t="inlineStr">
        <is>
          <t>Lookalike</t>
        </is>
      </c>
      <c r="L1226" s="66" t="inlineStr">
        <is>
          <t>TT_PANTERA_TREND_10s_Spec_v1</t>
        </is>
      </c>
      <c r="M1226" s="66" t="inlineStr">
        <is>
          <t>Video 9:16</t>
        </is>
      </c>
      <c r="N1226" s="66" t="inlineStr">
        <is>
          <t>Spec check. Guess the price.</t>
        </is>
      </c>
      <c r="O1226" s="66" t="inlineStr">
        <is>
          <t>Auction - Cost Cap</t>
        </is>
      </c>
      <c r="P1226" s="66" t="inlineStr">
        <is>
          <t>Complete Payment / Lead</t>
        </is>
      </c>
      <c r="Q1226" s="66" t="inlineStr">
        <is>
          <t>https://www.lepas-sa.co.za/offers/pantera</t>
        </is>
      </c>
      <c r="R1226" s="121" t="n">
        <v>169.92</v>
      </c>
      <c r="S1226" s="122" t="n">
        <v>3442</v>
      </c>
      <c r="T1226" s="122" t="n">
        <v>1656</v>
      </c>
      <c r="U1226" s="123">
        <f>IFERROR(S1226/T1226,"")</f>
        <v/>
      </c>
      <c r="V1226" s="122" t="n">
        <v>41</v>
      </c>
      <c r="W1226" s="122" t="n">
        <v>30</v>
      </c>
      <c r="X1226" s="124">
        <f>IFERROR(W1226/S1226,"")</f>
        <v/>
      </c>
      <c r="Y1226" s="121">
        <f>IFERROR(R1226/W1226,"")</f>
        <v/>
      </c>
      <c r="Z1226" s="121">
        <f>IFERROR(R1226/S1226*1000,"")</f>
        <v/>
      </c>
      <c r="AA1226" s="122" t="n">
        <v>23</v>
      </c>
      <c r="AB1226" s="54">
        <f>IFERROR(AA1226/W1226,"")</f>
        <v/>
      </c>
      <c r="AC1226" s="122" t="n">
        <v>849</v>
      </c>
      <c r="AD1226" s="122" t="n">
        <v>450</v>
      </c>
      <c r="AE1226" s="122" t="n">
        <v>460</v>
      </c>
      <c r="AF1226" s="122" t="n">
        <v>287</v>
      </c>
      <c r="AG1226" s="122" t="n">
        <v>182</v>
      </c>
      <c r="AH1226" s="122" t="n">
        <v>110</v>
      </c>
      <c r="AI1226" s="54">
        <f>IFERROR(AC1226/S1226,"")</f>
        <v/>
      </c>
      <c r="AJ1226" s="54">
        <f>IFERROR(AH1226/S1226,"")</f>
        <v/>
      </c>
      <c r="AK1226" s="122" t="n">
        <v>87</v>
      </c>
      <c r="AL1226" s="122" t="n">
        <v>0</v>
      </c>
      <c r="AM1226" s="124">
        <f>IFERROR(AL1226/AA1226,"")</f>
        <v/>
      </c>
      <c r="AN1226" s="125">
        <f>IFERROR(R1226/AL1226,"")</f>
        <v/>
      </c>
      <c r="AO1226" s="122" t="n">
        <v>0</v>
      </c>
      <c r="AP1226" s="54">
        <f>IFERROR(AO1226/AL1226,"")</f>
        <v/>
      </c>
      <c r="AQ1226" s="125">
        <f>IFERROR(R1226/AO1226,"")</f>
        <v/>
      </c>
      <c r="AR1226" s="122" t="n">
        <v>0</v>
      </c>
      <c r="AS1226" s="122" t="n">
        <v>0</v>
      </c>
      <c r="AT1226" s="122">
        <f>AL1226+AR1226</f>
        <v/>
      </c>
      <c r="AU1226" s="125">
        <f>IFERROR(AO1226*Assumptions!$C$26*Assumptions!$C$27*INDEX(Assumptions!$C$18:$C$21,MATCH(H1226,Assumptions!$B$18:$B$21,0)),0)</f>
        <v/>
      </c>
    </row>
    <row r="1227">
      <c r="A1227" s="120" t="n">
        <v>46263</v>
      </c>
      <c r="B1227" s="66" t="inlineStr">
        <is>
          <t>Wk 35</t>
        </is>
      </c>
      <c r="C1227" s="66" t="inlineStr">
        <is>
          <t>Sat</t>
        </is>
      </c>
      <c r="D1227" s="66" t="inlineStr">
        <is>
          <t>TikTok</t>
        </is>
      </c>
      <c r="E1227" s="66" t="inlineStr">
        <is>
          <t>TikTok</t>
        </is>
      </c>
      <c r="F1227" s="66" t="inlineStr">
        <is>
          <t>LEP_ZA_AUG26_TT_TD_PANTERA_CONV</t>
        </is>
      </c>
      <c r="G1227" s="66" t="inlineStr">
        <is>
          <t>Website Conversions</t>
        </is>
      </c>
      <c r="H1227" s="66" t="inlineStr">
        <is>
          <t>PANTERA</t>
        </is>
      </c>
      <c r="I1227" s="66" t="inlineStr">
        <is>
          <t>0% Deposit</t>
        </is>
      </c>
      <c r="J1227" s="66" t="inlineStr">
        <is>
          <t>TT_PANTERA_LAL_ENGAGERS_ZA</t>
        </is>
      </c>
      <c r="K1227" s="66" t="inlineStr">
        <is>
          <t>Lookalike</t>
        </is>
      </c>
      <c r="L1227" s="66" t="inlineStr">
        <is>
          <t>TT_PANTERA_TREND_10s_Spec_v1</t>
        </is>
      </c>
      <c r="M1227" s="66" t="inlineStr">
        <is>
          <t>Video 9:16</t>
        </is>
      </c>
      <c r="N1227" s="66" t="inlineStr">
        <is>
          <t>Spec check. Guess the price.</t>
        </is>
      </c>
      <c r="O1227" s="66" t="inlineStr">
        <is>
          <t>Auction - Cost Cap</t>
        </is>
      </c>
      <c r="P1227" s="66" t="inlineStr">
        <is>
          <t>Complete Payment / Lead</t>
        </is>
      </c>
      <c r="Q1227" s="66" t="inlineStr">
        <is>
          <t>https://www.lepas-sa.co.za/offers/pantera</t>
        </is>
      </c>
      <c r="R1227" s="121" t="n">
        <v>185.34</v>
      </c>
      <c r="S1227" s="122" t="n">
        <v>5992</v>
      </c>
      <c r="T1227" s="122" t="n">
        <v>2662</v>
      </c>
      <c r="U1227" s="123">
        <f>IFERROR(S1227/T1227,"")</f>
        <v/>
      </c>
      <c r="V1227" s="122" t="n">
        <v>62</v>
      </c>
      <c r="W1227" s="122" t="n">
        <v>51</v>
      </c>
      <c r="X1227" s="124">
        <f>IFERROR(W1227/S1227,"")</f>
        <v/>
      </c>
      <c r="Y1227" s="121">
        <f>IFERROR(R1227/W1227,"")</f>
        <v/>
      </c>
      <c r="Z1227" s="121">
        <f>IFERROR(R1227/S1227*1000,"")</f>
        <v/>
      </c>
      <c r="AA1227" s="122" t="n">
        <v>37</v>
      </c>
      <c r="AB1227" s="54">
        <f>IFERROR(AA1227/W1227,"")</f>
        <v/>
      </c>
      <c r="AC1227" s="122" t="n">
        <v>1967</v>
      </c>
      <c r="AD1227" s="122" t="n">
        <v>937</v>
      </c>
      <c r="AE1227" s="122" t="n">
        <v>850</v>
      </c>
      <c r="AF1227" s="122" t="n">
        <v>602</v>
      </c>
      <c r="AG1227" s="122" t="n">
        <v>445</v>
      </c>
      <c r="AH1227" s="122" t="n">
        <v>261</v>
      </c>
      <c r="AI1227" s="54">
        <f>IFERROR(AC1227/S1227,"")</f>
        <v/>
      </c>
      <c r="AJ1227" s="54">
        <f>IFERROR(AH1227/S1227,"")</f>
        <v/>
      </c>
      <c r="AK1227" s="122" t="n">
        <v>356</v>
      </c>
      <c r="AL1227" s="122" t="n">
        <v>0</v>
      </c>
      <c r="AM1227" s="124">
        <f>IFERROR(AL1227/AA1227,"")</f>
        <v/>
      </c>
      <c r="AN1227" s="125">
        <f>IFERROR(R1227/AL1227,"")</f>
        <v/>
      </c>
      <c r="AO1227" s="122" t="n">
        <v>0</v>
      </c>
      <c r="AP1227" s="54">
        <f>IFERROR(AO1227/AL1227,"")</f>
        <v/>
      </c>
      <c r="AQ1227" s="125">
        <f>IFERROR(R1227/AO1227,"")</f>
        <v/>
      </c>
      <c r="AR1227" s="122" t="n">
        <v>0</v>
      </c>
      <c r="AS1227" s="122" t="n">
        <v>0</v>
      </c>
      <c r="AT1227" s="122">
        <f>AL1227+AR1227</f>
        <v/>
      </c>
      <c r="AU1227" s="125">
        <f>IFERROR(AO1227*Assumptions!$C$26*Assumptions!$C$27*INDEX(Assumptions!$C$18:$C$21,MATCH(H1227,Assumptions!$B$18:$B$21,0)),0)</f>
        <v/>
      </c>
    </row>
    <row r="1228">
      <c r="A1228" s="120" t="n">
        <v>46264</v>
      </c>
      <c r="B1228" s="66" t="inlineStr">
        <is>
          <t>Wk 35</t>
        </is>
      </c>
      <c r="C1228" s="66" t="inlineStr">
        <is>
          <t>Sun</t>
        </is>
      </c>
      <c r="D1228" s="66" t="inlineStr">
        <is>
          <t>TikTok</t>
        </is>
      </c>
      <c r="E1228" s="66" t="inlineStr">
        <is>
          <t>TikTok</t>
        </is>
      </c>
      <c r="F1228" s="66" t="inlineStr">
        <is>
          <t>LEP_ZA_AUG26_TT_TD_PANTERA_CONV</t>
        </is>
      </c>
      <c r="G1228" s="66" t="inlineStr">
        <is>
          <t>Website Conversions</t>
        </is>
      </c>
      <c r="H1228" s="66" t="inlineStr">
        <is>
          <t>PANTERA</t>
        </is>
      </c>
      <c r="I1228" s="66" t="inlineStr">
        <is>
          <t>0% Deposit</t>
        </is>
      </c>
      <c r="J1228" s="66" t="inlineStr">
        <is>
          <t>TT_PANTERA_LAL_ENGAGERS_ZA</t>
        </is>
      </c>
      <c r="K1228" s="66" t="inlineStr">
        <is>
          <t>Lookalike</t>
        </is>
      </c>
      <c r="L1228" s="66" t="inlineStr">
        <is>
          <t>TT_PANTERA_TREND_10s_Spec_v1</t>
        </is>
      </c>
      <c r="M1228" s="66" t="inlineStr">
        <is>
          <t>Video 9:16</t>
        </is>
      </c>
      <c r="N1228" s="66" t="inlineStr">
        <is>
          <t>Spec check. Guess the price.</t>
        </is>
      </c>
      <c r="O1228" s="66" t="inlineStr">
        <is>
          <t>Auction - Cost Cap</t>
        </is>
      </c>
      <c r="P1228" s="66" t="inlineStr">
        <is>
          <t>Complete Payment / Lead</t>
        </is>
      </c>
      <c r="Q1228" s="66" t="inlineStr">
        <is>
          <t>https://www.lepas-sa.co.za/offers/pantera</t>
        </is>
      </c>
      <c r="R1228" s="121" t="n">
        <v>152.42</v>
      </c>
      <c r="S1228" s="122" t="n">
        <v>2947</v>
      </c>
      <c r="T1228" s="122" t="n">
        <v>1510</v>
      </c>
      <c r="U1228" s="123">
        <f>IFERROR(S1228/T1228,"")</f>
        <v/>
      </c>
      <c r="V1228" s="122" t="n">
        <v>42</v>
      </c>
      <c r="W1228" s="122" t="n">
        <v>31</v>
      </c>
      <c r="X1228" s="124">
        <f>IFERROR(W1228/S1228,"")</f>
        <v/>
      </c>
      <c r="Y1228" s="121">
        <f>IFERROR(R1228/W1228,"")</f>
        <v/>
      </c>
      <c r="Z1228" s="121">
        <f>IFERROR(R1228/S1228*1000,"")</f>
        <v/>
      </c>
      <c r="AA1228" s="122" t="n">
        <v>23</v>
      </c>
      <c r="AB1228" s="54">
        <f>IFERROR(AA1228/W1228,"")</f>
        <v/>
      </c>
      <c r="AC1228" s="122" t="n">
        <v>955</v>
      </c>
      <c r="AD1228" s="122" t="n">
        <v>514</v>
      </c>
      <c r="AE1228" s="122" t="n">
        <v>481</v>
      </c>
      <c r="AF1228" s="122" t="n">
        <v>284</v>
      </c>
      <c r="AG1228" s="122" t="n">
        <v>222</v>
      </c>
      <c r="AH1228" s="122" t="n">
        <v>153</v>
      </c>
      <c r="AI1228" s="54">
        <f>IFERROR(AC1228/S1228,"")</f>
        <v/>
      </c>
      <c r="AJ1228" s="54">
        <f>IFERROR(AH1228/S1228,"")</f>
        <v/>
      </c>
      <c r="AK1228" s="122" t="n">
        <v>159</v>
      </c>
      <c r="AL1228" s="122" t="n">
        <v>0</v>
      </c>
      <c r="AM1228" s="124">
        <f>IFERROR(AL1228/AA1228,"")</f>
        <v/>
      </c>
      <c r="AN1228" s="125">
        <f>IFERROR(R1228/AL1228,"")</f>
        <v/>
      </c>
      <c r="AO1228" s="122" t="n">
        <v>0</v>
      </c>
      <c r="AP1228" s="54">
        <f>IFERROR(AO1228/AL1228,"")</f>
        <v/>
      </c>
      <c r="AQ1228" s="125">
        <f>IFERROR(R1228/AO1228,"")</f>
        <v/>
      </c>
      <c r="AR1228" s="122" t="n">
        <v>0</v>
      </c>
      <c r="AS1228" s="122" t="n">
        <v>0</v>
      </c>
      <c r="AT1228" s="122">
        <f>AL1228+AR1228</f>
        <v/>
      </c>
      <c r="AU1228" s="125">
        <f>IFERROR(AO1228*Assumptions!$C$26*Assumptions!$C$27*INDEX(Assumptions!$C$18:$C$21,MATCH(H1228,Assumptions!$B$18:$B$21,0)),0)</f>
        <v/>
      </c>
    </row>
    <row r="1229">
      <c r="A1229" s="120" t="n">
        <v>46265</v>
      </c>
      <c r="B1229" s="66" t="inlineStr">
        <is>
          <t>Wk 36</t>
        </is>
      </c>
      <c r="C1229" s="66" t="inlineStr">
        <is>
          <t>Mon</t>
        </is>
      </c>
      <c r="D1229" s="66" t="inlineStr">
        <is>
          <t>TikTok</t>
        </is>
      </c>
      <c r="E1229" s="66" t="inlineStr">
        <is>
          <t>TikTok</t>
        </is>
      </c>
      <c r="F1229" s="66" t="inlineStr">
        <is>
          <t>LEP_ZA_AUG26_TT_TD_PANTERA_CONV</t>
        </is>
      </c>
      <c r="G1229" s="66" t="inlineStr">
        <is>
          <t>Website Conversions</t>
        </is>
      </c>
      <c r="H1229" s="66" t="inlineStr">
        <is>
          <t>PANTERA</t>
        </is>
      </c>
      <c r="I1229" s="66" t="inlineStr">
        <is>
          <t>0% Deposit</t>
        </is>
      </c>
      <c r="J1229" s="66" t="inlineStr">
        <is>
          <t>TT_PANTERA_LAL_ENGAGERS_ZA</t>
        </is>
      </c>
      <c r="K1229" s="66" t="inlineStr">
        <is>
          <t>Lookalike</t>
        </is>
      </c>
      <c r="L1229" s="66" t="inlineStr">
        <is>
          <t>TT_PANTERA_TREND_10s_Spec_v1</t>
        </is>
      </c>
      <c r="M1229" s="66" t="inlineStr">
        <is>
          <t>Video 9:16</t>
        </is>
      </c>
      <c r="N1229" s="66" t="inlineStr">
        <is>
          <t>Spec check. Guess the price.</t>
        </is>
      </c>
      <c r="O1229" s="66" t="inlineStr">
        <is>
          <t>Auction - Cost Cap</t>
        </is>
      </c>
      <c r="P1229" s="66" t="inlineStr">
        <is>
          <t>Complete Payment / Lead</t>
        </is>
      </c>
      <c r="Q1229" s="66" t="inlineStr">
        <is>
          <t>https://www.lepas-sa.co.za/offers/pantera</t>
        </is>
      </c>
      <c r="R1229" s="121" t="n">
        <v>145.9</v>
      </c>
      <c r="S1229" s="122" t="n">
        <v>3202</v>
      </c>
      <c r="T1229" s="122" t="n">
        <v>1850</v>
      </c>
      <c r="U1229" s="123">
        <f>IFERROR(S1229/T1229,"")</f>
        <v/>
      </c>
      <c r="V1229" s="122" t="n">
        <v>24</v>
      </c>
      <c r="W1229" s="122" t="n">
        <v>18</v>
      </c>
      <c r="X1229" s="124">
        <f>IFERROR(W1229/S1229,"")</f>
        <v/>
      </c>
      <c r="Y1229" s="121">
        <f>IFERROR(R1229/W1229,"")</f>
        <v/>
      </c>
      <c r="Z1229" s="121">
        <f>IFERROR(R1229/S1229*1000,"")</f>
        <v/>
      </c>
      <c r="AA1229" s="122" t="n">
        <v>13</v>
      </c>
      <c r="AB1229" s="54">
        <f>IFERROR(AA1229/W1229,"")</f>
        <v/>
      </c>
      <c r="AC1229" s="122" t="n">
        <v>1120</v>
      </c>
      <c r="AD1229" s="122" t="n">
        <v>638</v>
      </c>
      <c r="AE1229" s="122" t="n">
        <v>593</v>
      </c>
      <c r="AF1229" s="122" t="n">
        <v>326</v>
      </c>
      <c r="AG1229" s="122" t="n">
        <v>216</v>
      </c>
      <c r="AH1229" s="122" t="n">
        <v>149</v>
      </c>
      <c r="AI1229" s="54">
        <f>IFERROR(AC1229/S1229,"")</f>
        <v/>
      </c>
      <c r="AJ1229" s="54">
        <f>IFERROR(AH1229/S1229,"")</f>
        <v/>
      </c>
      <c r="AK1229" s="122" t="n">
        <v>109</v>
      </c>
      <c r="AL1229" s="122" t="n">
        <v>0</v>
      </c>
      <c r="AM1229" s="124">
        <f>IFERROR(AL1229/AA1229,"")</f>
        <v/>
      </c>
      <c r="AN1229" s="125">
        <f>IFERROR(R1229/AL1229,"")</f>
        <v/>
      </c>
      <c r="AO1229" s="122" t="n">
        <v>0</v>
      </c>
      <c r="AP1229" s="54">
        <f>IFERROR(AO1229/AL1229,"")</f>
        <v/>
      </c>
      <c r="AQ1229" s="125">
        <f>IFERROR(R1229/AO1229,"")</f>
        <v/>
      </c>
      <c r="AR1229" s="122" t="n">
        <v>0</v>
      </c>
      <c r="AS1229" s="122" t="n">
        <v>0</v>
      </c>
      <c r="AT1229" s="122">
        <f>AL1229+AR1229</f>
        <v/>
      </c>
      <c r="AU1229" s="125">
        <f>IFERROR(AO1229*Assumptions!$C$26*Assumptions!$C$27*INDEX(Assumptions!$C$18:$C$21,MATCH(H1229,Assumptions!$B$18:$B$21,0)),0)</f>
        <v/>
      </c>
    </row>
    <row r="1230">
      <c r="A1230" s="120" t="n">
        <v>46235</v>
      </c>
      <c r="B1230" s="66" t="inlineStr">
        <is>
          <t>Wk 31</t>
        </is>
      </c>
      <c r="C1230" s="66" t="inlineStr">
        <is>
          <t>Sat</t>
        </is>
      </c>
      <c r="D1230" s="66" t="inlineStr">
        <is>
          <t>TikTok</t>
        </is>
      </c>
      <c r="E1230" s="66" t="inlineStr">
        <is>
          <t>TikTok</t>
        </is>
      </c>
      <c r="F1230" s="66" t="inlineStr">
        <is>
          <t>LEP_ZA_AUG26_TT_TD_PANTERA_CONV</t>
        </is>
      </c>
      <c r="G1230" s="66" t="inlineStr">
        <is>
          <t>Website Conversions</t>
        </is>
      </c>
      <c r="H1230" s="66" t="inlineStr">
        <is>
          <t>PANTERA</t>
        </is>
      </c>
      <c r="I1230" s="66" t="inlineStr">
        <is>
          <t>0% Deposit</t>
        </is>
      </c>
      <c r="J1230" s="66" t="inlineStr">
        <is>
          <t>TT_PANTERA_INT_LUX_ZA</t>
        </is>
      </c>
      <c r="K1230" s="66" t="inlineStr">
        <is>
          <t>Interest</t>
        </is>
      </c>
      <c r="L1230" s="66" t="inlineStr">
        <is>
          <t>TT_PANTERA_CREATOR_25s_Review_v1</t>
        </is>
      </c>
      <c r="M1230" s="66" t="inlineStr">
        <is>
          <t>Video 9:16</t>
        </is>
      </c>
      <c r="N1230" s="66" t="inlineStr">
        <is>
          <t>Creator review: is it worth it?</t>
        </is>
      </c>
      <c r="O1230" s="66" t="inlineStr">
        <is>
          <t>Auction - Cost Cap</t>
        </is>
      </c>
      <c r="P1230" s="66" t="inlineStr">
        <is>
          <t>Complete Payment / Lead</t>
        </is>
      </c>
      <c r="Q1230" s="66" t="inlineStr">
        <is>
          <t>https://www.lepas-sa.co.za/offers/pantera</t>
        </is>
      </c>
      <c r="R1230" s="121" t="n">
        <v>202.07</v>
      </c>
      <c r="S1230" s="122" t="n">
        <v>6686</v>
      </c>
      <c r="T1230" s="122" t="n">
        <v>5053</v>
      </c>
      <c r="U1230" s="123">
        <f>IFERROR(S1230/T1230,"")</f>
        <v/>
      </c>
      <c r="V1230" s="122" t="n">
        <v>88</v>
      </c>
      <c r="W1230" s="122" t="n">
        <v>71</v>
      </c>
      <c r="X1230" s="124">
        <f>IFERROR(W1230/S1230,"")</f>
        <v/>
      </c>
      <c r="Y1230" s="121">
        <f>IFERROR(R1230/W1230,"")</f>
        <v/>
      </c>
      <c r="Z1230" s="121">
        <f>IFERROR(R1230/S1230*1000,"")</f>
        <v/>
      </c>
      <c r="AA1230" s="122" t="n">
        <v>48</v>
      </c>
      <c r="AB1230" s="54">
        <f>IFERROR(AA1230/W1230,"")</f>
        <v/>
      </c>
      <c r="AC1230" s="122" t="n">
        <v>1502</v>
      </c>
      <c r="AD1230" s="122" t="n">
        <v>736</v>
      </c>
      <c r="AE1230" s="122" t="n">
        <v>595</v>
      </c>
      <c r="AF1230" s="122" t="n">
        <v>389</v>
      </c>
      <c r="AG1230" s="122" t="n">
        <v>311</v>
      </c>
      <c r="AH1230" s="122" t="n">
        <v>177</v>
      </c>
      <c r="AI1230" s="54">
        <f>IFERROR(AC1230/S1230,"")</f>
        <v/>
      </c>
      <c r="AJ1230" s="54">
        <f>IFERROR(AH1230/S1230,"")</f>
        <v/>
      </c>
      <c r="AK1230" s="122" t="n">
        <v>181</v>
      </c>
      <c r="AL1230" s="122" t="n">
        <v>1</v>
      </c>
      <c r="AM1230" s="124">
        <f>IFERROR(AL1230/AA1230,"")</f>
        <v/>
      </c>
      <c r="AN1230" s="125">
        <f>IFERROR(R1230/AL1230,"")</f>
        <v/>
      </c>
      <c r="AO1230" s="122" t="n">
        <v>1</v>
      </c>
      <c r="AP1230" s="54">
        <f>IFERROR(AO1230/AL1230,"")</f>
        <v/>
      </c>
      <c r="AQ1230" s="125">
        <f>IFERROR(R1230/AO1230,"")</f>
        <v/>
      </c>
      <c r="AR1230" s="122" t="n">
        <v>1</v>
      </c>
      <c r="AS1230" s="122" t="n">
        <v>1</v>
      </c>
      <c r="AT1230" s="122">
        <f>AL1230+AR1230</f>
        <v/>
      </c>
      <c r="AU1230" s="125">
        <f>IFERROR(AO1230*Assumptions!$C$26*Assumptions!$C$27*INDEX(Assumptions!$C$18:$C$21,MATCH(H1230,Assumptions!$B$18:$B$21,0)),0)</f>
        <v/>
      </c>
    </row>
    <row r="1231">
      <c r="A1231" s="120" t="n">
        <v>46236</v>
      </c>
      <c r="B1231" s="66" t="inlineStr">
        <is>
          <t>Wk 31</t>
        </is>
      </c>
      <c r="C1231" s="66" t="inlineStr">
        <is>
          <t>Sun</t>
        </is>
      </c>
      <c r="D1231" s="66" t="inlineStr">
        <is>
          <t>TikTok</t>
        </is>
      </c>
      <c r="E1231" s="66" t="inlineStr">
        <is>
          <t>TikTok</t>
        </is>
      </c>
      <c r="F1231" s="66" t="inlineStr">
        <is>
          <t>LEP_ZA_AUG26_TT_TD_PANTERA_CONV</t>
        </is>
      </c>
      <c r="G1231" s="66" t="inlineStr">
        <is>
          <t>Website Conversions</t>
        </is>
      </c>
      <c r="H1231" s="66" t="inlineStr">
        <is>
          <t>PANTERA</t>
        </is>
      </c>
      <c r="I1231" s="66" t="inlineStr">
        <is>
          <t>0% Deposit</t>
        </is>
      </c>
      <c r="J1231" s="66" t="inlineStr">
        <is>
          <t>TT_PANTERA_INT_LUX_ZA</t>
        </is>
      </c>
      <c r="K1231" s="66" t="inlineStr">
        <is>
          <t>Interest</t>
        </is>
      </c>
      <c r="L1231" s="66" t="inlineStr">
        <is>
          <t>TT_PANTERA_CREATOR_25s_Review_v1</t>
        </is>
      </c>
      <c r="M1231" s="66" t="inlineStr">
        <is>
          <t>Video 9:16</t>
        </is>
      </c>
      <c r="N1231" s="66" t="inlineStr">
        <is>
          <t>Creator review: is it worth it?</t>
        </is>
      </c>
      <c r="O1231" s="66" t="inlineStr">
        <is>
          <t>Auction - Cost Cap</t>
        </is>
      </c>
      <c r="P1231" s="66" t="inlineStr">
        <is>
          <t>Complete Payment / Lead</t>
        </is>
      </c>
      <c r="Q1231" s="66" t="inlineStr">
        <is>
          <t>https://www.lepas-sa.co.za/offers/pantera</t>
        </is>
      </c>
      <c r="R1231" s="121" t="n">
        <v>144.64</v>
      </c>
      <c r="S1231" s="122" t="n">
        <v>3806</v>
      </c>
      <c r="T1231" s="122" t="n">
        <v>2777</v>
      </c>
      <c r="U1231" s="123">
        <f>IFERROR(S1231/T1231,"")</f>
        <v/>
      </c>
      <c r="V1231" s="122" t="n">
        <v>69</v>
      </c>
      <c r="W1231" s="122" t="n">
        <v>49</v>
      </c>
      <c r="X1231" s="124">
        <f>IFERROR(W1231/S1231,"")</f>
        <v/>
      </c>
      <c r="Y1231" s="121">
        <f>IFERROR(R1231/W1231,"")</f>
        <v/>
      </c>
      <c r="Z1231" s="121">
        <f>IFERROR(R1231/S1231*1000,"")</f>
        <v/>
      </c>
      <c r="AA1231" s="122" t="n">
        <v>37</v>
      </c>
      <c r="AB1231" s="54">
        <f>IFERROR(AA1231/W1231,"")</f>
        <v/>
      </c>
      <c r="AC1231" s="122" t="n">
        <v>1132</v>
      </c>
      <c r="AD1231" s="122" t="n">
        <v>581</v>
      </c>
      <c r="AE1231" s="122" t="n">
        <v>608</v>
      </c>
      <c r="AF1231" s="122" t="n">
        <v>341</v>
      </c>
      <c r="AG1231" s="122" t="n">
        <v>269</v>
      </c>
      <c r="AH1231" s="122" t="n">
        <v>198</v>
      </c>
      <c r="AI1231" s="54">
        <f>IFERROR(AC1231/S1231,"")</f>
        <v/>
      </c>
      <c r="AJ1231" s="54">
        <f>IFERROR(AH1231/S1231,"")</f>
        <v/>
      </c>
      <c r="AK1231" s="122" t="n">
        <v>227</v>
      </c>
      <c r="AL1231" s="122" t="n">
        <v>0</v>
      </c>
      <c r="AM1231" s="124">
        <f>IFERROR(AL1231/AA1231,"")</f>
        <v/>
      </c>
      <c r="AN1231" s="125">
        <f>IFERROR(R1231/AL1231,"")</f>
        <v/>
      </c>
      <c r="AO1231" s="122" t="n">
        <v>0</v>
      </c>
      <c r="AP1231" s="54">
        <f>IFERROR(AO1231/AL1231,"")</f>
        <v/>
      </c>
      <c r="AQ1231" s="125">
        <f>IFERROR(R1231/AO1231,"")</f>
        <v/>
      </c>
      <c r="AR1231" s="122" t="n">
        <v>0</v>
      </c>
      <c r="AS1231" s="122" t="n">
        <v>0</v>
      </c>
      <c r="AT1231" s="122">
        <f>AL1231+AR1231</f>
        <v/>
      </c>
      <c r="AU1231" s="125">
        <f>IFERROR(AO1231*Assumptions!$C$26*Assumptions!$C$27*INDEX(Assumptions!$C$18:$C$21,MATCH(H1231,Assumptions!$B$18:$B$21,0)),0)</f>
        <v/>
      </c>
    </row>
    <row r="1232">
      <c r="A1232" s="120" t="n">
        <v>46237</v>
      </c>
      <c r="B1232" s="66" t="inlineStr">
        <is>
          <t>Wk 32</t>
        </is>
      </c>
      <c r="C1232" s="66" t="inlineStr">
        <is>
          <t>Mon</t>
        </is>
      </c>
      <c r="D1232" s="66" t="inlineStr">
        <is>
          <t>TikTok</t>
        </is>
      </c>
      <c r="E1232" s="66" t="inlineStr">
        <is>
          <t>TikTok</t>
        </is>
      </c>
      <c r="F1232" s="66" t="inlineStr">
        <is>
          <t>LEP_ZA_AUG26_TT_TD_PANTERA_CONV</t>
        </is>
      </c>
      <c r="G1232" s="66" t="inlineStr">
        <is>
          <t>Website Conversions</t>
        </is>
      </c>
      <c r="H1232" s="66" t="inlineStr">
        <is>
          <t>PANTERA</t>
        </is>
      </c>
      <c r="I1232" s="66" t="inlineStr">
        <is>
          <t>0% Deposit</t>
        </is>
      </c>
      <c r="J1232" s="66" t="inlineStr">
        <is>
          <t>TT_PANTERA_INT_LUX_ZA</t>
        </is>
      </c>
      <c r="K1232" s="66" t="inlineStr">
        <is>
          <t>Interest</t>
        </is>
      </c>
      <c r="L1232" s="66" t="inlineStr">
        <is>
          <t>TT_PANTERA_CREATOR_25s_Review_v1</t>
        </is>
      </c>
      <c r="M1232" s="66" t="inlineStr">
        <is>
          <t>Video 9:16</t>
        </is>
      </c>
      <c r="N1232" s="66" t="inlineStr">
        <is>
          <t>Creator review: is it worth it?</t>
        </is>
      </c>
      <c r="O1232" s="66" t="inlineStr">
        <is>
          <t>Auction - Cost Cap</t>
        </is>
      </c>
      <c r="P1232" s="66" t="inlineStr">
        <is>
          <t>Complete Payment / Lead</t>
        </is>
      </c>
      <c r="Q1232" s="66" t="inlineStr">
        <is>
          <t>https://www.lepas-sa.co.za/offers/pantera</t>
        </is>
      </c>
      <c r="R1232" s="121" t="n">
        <v>161.06</v>
      </c>
      <c r="S1232" s="122" t="n">
        <v>3681</v>
      </c>
      <c r="T1232" s="122" t="n">
        <v>2446</v>
      </c>
      <c r="U1232" s="123">
        <f>IFERROR(S1232/T1232,"")</f>
        <v/>
      </c>
      <c r="V1232" s="122" t="n">
        <v>61</v>
      </c>
      <c r="W1232" s="122" t="n">
        <v>48</v>
      </c>
      <c r="X1232" s="124">
        <f>IFERROR(W1232/S1232,"")</f>
        <v/>
      </c>
      <c r="Y1232" s="121">
        <f>IFERROR(R1232/W1232,"")</f>
        <v/>
      </c>
      <c r="Z1232" s="121">
        <f>IFERROR(R1232/S1232*1000,"")</f>
        <v/>
      </c>
      <c r="AA1232" s="122" t="n">
        <v>33</v>
      </c>
      <c r="AB1232" s="54">
        <f>IFERROR(AA1232/W1232,"")</f>
        <v/>
      </c>
      <c r="AC1232" s="122" t="n">
        <v>1036</v>
      </c>
      <c r="AD1232" s="122" t="n">
        <v>609</v>
      </c>
      <c r="AE1232" s="122" t="n">
        <v>457</v>
      </c>
      <c r="AF1232" s="122" t="n">
        <v>270</v>
      </c>
      <c r="AG1232" s="122" t="n">
        <v>173</v>
      </c>
      <c r="AH1232" s="122" t="n">
        <v>96</v>
      </c>
      <c r="AI1232" s="54">
        <f>IFERROR(AC1232/S1232,"")</f>
        <v/>
      </c>
      <c r="AJ1232" s="54">
        <f>IFERROR(AH1232/S1232,"")</f>
        <v/>
      </c>
      <c r="AK1232" s="122" t="n">
        <v>94</v>
      </c>
      <c r="AL1232" s="122" t="n">
        <v>1</v>
      </c>
      <c r="AM1232" s="124">
        <f>IFERROR(AL1232/AA1232,"")</f>
        <v/>
      </c>
      <c r="AN1232" s="125">
        <f>IFERROR(R1232/AL1232,"")</f>
        <v/>
      </c>
      <c r="AO1232" s="122" t="n">
        <v>0</v>
      </c>
      <c r="AP1232" s="54">
        <f>IFERROR(AO1232/AL1232,"")</f>
        <v/>
      </c>
      <c r="AQ1232" s="125">
        <f>IFERROR(R1232/AO1232,"")</f>
        <v/>
      </c>
      <c r="AR1232" s="122" t="n">
        <v>1</v>
      </c>
      <c r="AS1232" s="122" t="n">
        <v>1</v>
      </c>
      <c r="AT1232" s="122">
        <f>AL1232+AR1232</f>
        <v/>
      </c>
      <c r="AU1232" s="125">
        <f>IFERROR(AO1232*Assumptions!$C$26*Assumptions!$C$27*INDEX(Assumptions!$C$18:$C$21,MATCH(H1232,Assumptions!$B$18:$B$21,0)),0)</f>
        <v/>
      </c>
    </row>
    <row r="1233">
      <c r="A1233" s="120" t="n">
        <v>46238</v>
      </c>
      <c r="B1233" s="66" t="inlineStr">
        <is>
          <t>Wk 32</t>
        </is>
      </c>
      <c r="C1233" s="66" t="inlineStr">
        <is>
          <t>Tue</t>
        </is>
      </c>
      <c r="D1233" s="66" t="inlineStr">
        <is>
          <t>TikTok</t>
        </is>
      </c>
      <c r="E1233" s="66" t="inlineStr">
        <is>
          <t>TikTok</t>
        </is>
      </c>
      <c r="F1233" s="66" t="inlineStr">
        <is>
          <t>LEP_ZA_AUG26_TT_TD_PANTERA_CONV</t>
        </is>
      </c>
      <c r="G1233" s="66" t="inlineStr">
        <is>
          <t>Website Conversions</t>
        </is>
      </c>
      <c r="H1233" s="66" t="inlineStr">
        <is>
          <t>PANTERA</t>
        </is>
      </c>
      <c r="I1233" s="66" t="inlineStr">
        <is>
          <t>0% Deposit</t>
        </is>
      </c>
      <c r="J1233" s="66" t="inlineStr">
        <is>
          <t>TT_PANTERA_INT_LUX_ZA</t>
        </is>
      </c>
      <c r="K1233" s="66" t="inlineStr">
        <is>
          <t>Interest</t>
        </is>
      </c>
      <c r="L1233" s="66" t="inlineStr">
        <is>
          <t>TT_PANTERA_CREATOR_25s_Review_v1</t>
        </is>
      </c>
      <c r="M1233" s="66" t="inlineStr">
        <is>
          <t>Video 9:16</t>
        </is>
      </c>
      <c r="N1233" s="66" t="inlineStr">
        <is>
          <t>Creator review: is it worth it?</t>
        </is>
      </c>
      <c r="O1233" s="66" t="inlineStr">
        <is>
          <t>Auction - Cost Cap</t>
        </is>
      </c>
      <c r="P1233" s="66" t="inlineStr">
        <is>
          <t>Complete Payment / Lead</t>
        </is>
      </c>
      <c r="Q1233" s="66" t="inlineStr">
        <is>
          <t>https://www.lepas-sa.co.za/offers/pantera</t>
        </is>
      </c>
      <c r="R1233" s="121" t="n">
        <v>185.36</v>
      </c>
      <c r="S1233" s="122" t="n">
        <v>4958</v>
      </c>
      <c r="T1233" s="122" t="n">
        <v>3353</v>
      </c>
      <c r="U1233" s="123">
        <f>IFERROR(S1233/T1233,"")</f>
        <v/>
      </c>
      <c r="V1233" s="122" t="n">
        <v>69</v>
      </c>
      <c r="W1233" s="122" t="n">
        <v>57</v>
      </c>
      <c r="X1233" s="124">
        <f>IFERROR(W1233/S1233,"")</f>
        <v/>
      </c>
      <c r="Y1233" s="121">
        <f>IFERROR(R1233/W1233,"")</f>
        <v/>
      </c>
      <c r="Z1233" s="121">
        <f>IFERROR(R1233/S1233*1000,"")</f>
        <v/>
      </c>
      <c r="AA1233" s="122" t="n">
        <v>41</v>
      </c>
      <c r="AB1233" s="54">
        <f>IFERROR(AA1233/W1233,"")</f>
        <v/>
      </c>
      <c r="AC1233" s="122" t="n">
        <v>1548</v>
      </c>
      <c r="AD1233" s="122" t="n">
        <v>799</v>
      </c>
      <c r="AE1233" s="122" t="n">
        <v>645</v>
      </c>
      <c r="AF1233" s="122" t="n">
        <v>424</v>
      </c>
      <c r="AG1233" s="122" t="n">
        <v>284</v>
      </c>
      <c r="AH1233" s="122" t="n">
        <v>203</v>
      </c>
      <c r="AI1233" s="54">
        <f>IFERROR(AC1233/S1233,"")</f>
        <v/>
      </c>
      <c r="AJ1233" s="54">
        <f>IFERROR(AH1233/S1233,"")</f>
        <v/>
      </c>
      <c r="AK1233" s="122" t="n">
        <v>238</v>
      </c>
      <c r="AL1233" s="122" t="n">
        <v>0</v>
      </c>
      <c r="AM1233" s="124">
        <f>IFERROR(AL1233/AA1233,"")</f>
        <v/>
      </c>
      <c r="AN1233" s="125">
        <f>IFERROR(R1233/AL1233,"")</f>
        <v/>
      </c>
      <c r="AO1233" s="122" t="n">
        <v>0</v>
      </c>
      <c r="AP1233" s="54">
        <f>IFERROR(AO1233/AL1233,"")</f>
        <v/>
      </c>
      <c r="AQ1233" s="125">
        <f>IFERROR(R1233/AO1233,"")</f>
        <v/>
      </c>
      <c r="AR1233" s="122" t="n">
        <v>0</v>
      </c>
      <c r="AS1233" s="122" t="n">
        <v>0</v>
      </c>
      <c r="AT1233" s="122">
        <f>AL1233+AR1233</f>
        <v/>
      </c>
      <c r="AU1233" s="125">
        <f>IFERROR(AO1233*Assumptions!$C$26*Assumptions!$C$27*INDEX(Assumptions!$C$18:$C$21,MATCH(H1233,Assumptions!$B$18:$B$21,0)),0)</f>
        <v/>
      </c>
    </row>
    <row r="1234">
      <c r="A1234" s="120" t="n">
        <v>46239</v>
      </c>
      <c r="B1234" s="66" t="inlineStr">
        <is>
          <t>Wk 32</t>
        </is>
      </c>
      <c r="C1234" s="66" t="inlineStr">
        <is>
          <t>Wed</t>
        </is>
      </c>
      <c r="D1234" s="66" t="inlineStr">
        <is>
          <t>TikTok</t>
        </is>
      </c>
      <c r="E1234" s="66" t="inlineStr">
        <is>
          <t>TikTok</t>
        </is>
      </c>
      <c r="F1234" s="66" t="inlineStr">
        <is>
          <t>LEP_ZA_AUG26_TT_TD_PANTERA_CONV</t>
        </is>
      </c>
      <c r="G1234" s="66" t="inlineStr">
        <is>
          <t>Website Conversions</t>
        </is>
      </c>
      <c r="H1234" s="66" t="inlineStr">
        <is>
          <t>PANTERA</t>
        </is>
      </c>
      <c r="I1234" s="66" t="inlineStr">
        <is>
          <t>0% Deposit</t>
        </is>
      </c>
      <c r="J1234" s="66" t="inlineStr">
        <is>
          <t>TT_PANTERA_INT_LUX_ZA</t>
        </is>
      </c>
      <c r="K1234" s="66" t="inlineStr">
        <is>
          <t>Interest</t>
        </is>
      </c>
      <c r="L1234" s="66" t="inlineStr">
        <is>
          <t>TT_PANTERA_CREATOR_25s_Review_v1</t>
        </is>
      </c>
      <c r="M1234" s="66" t="inlineStr">
        <is>
          <t>Video 9:16</t>
        </is>
      </c>
      <c r="N1234" s="66" t="inlineStr">
        <is>
          <t>Creator review: is it worth it?</t>
        </is>
      </c>
      <c r="O1234" s="66" t="inlineStr">
        <is>
          <t>Auction - Cost Cap</t>
        </is>
      </c>
      <c r="P1234" s="66" t="inlineStr">
        <is>
          <t>Complete Payment / Lead</t>
        </is>
      </c>
      <c r="Q1234" s="66" t="inlineStr">
        <is>
          <t>https://www.lepas-sa.co.za/offers/pantera</t>
        </is>
      </c>
      <c r="R1234" s="121" t="n">
        <v>204.03</v>
      </c>
      <c r="S1234" s="122" t="n">
        <v>4444</v>
      </c>
      <c r="T1234" s="122" t="n">
        <v>2548</v>
      </c>
      <c r="U1234" s="123">
        <f>IFERROR(S1234/T1234,"")</f>
        <v/>
      </c>
      <c r="V1234" s="122" t="n">
        <v>54</v>
      </c>
      <c r="W1234" s="122" t="n">
        <v>40</v>
      </c>
      <c r="X1234" s="124">
        <f>IFERROR(W1234/S1234,"")</f>
        <v/>
      </c>
      <c r="Y1234" s="121">
        <f>IFERROR(R1234/W1234,"")</f>
        <v/>
      </c>
      <c r="Z1234" s="121">
        <f>IFERROR(R1234/S1234*1000,"")</f>
        <v/>
      </c>
      <c r="AA1234" s="122" t="n">
        <v>29</v>
      </c>
      <c r="AB1234" s="54">
        <f>IFERROR(AA1234/W1234,"")</f>
        <v/>
      </c>
      <c r="AC1234" s="122" t="n">
        <v>1231</v>
      </c>
      <c r="AD1234" s="122" t="n">
        <v>591</v>
      </c>
      <c r="AE1234" s="122" t="n">
        <v>447</v>
      </c>
      <c r="AF1234" s="122" t="n">
        <v>270</v>
      </c>
      <c r="AG1234" s="122" t="n">
        <v>198</v>
      </c>
      <c r="AH1234" s="122" t="n">
        <v>124</v>
      </c>
      <c r="AI1234" s="54">
        <f>IFERROR(AC1234/S1234,"")</f>
        <v/>
      </c>
      <c r="AJ1234" s="54">
        <f>IFERROR(AH1234/S1234,"")</f>
        <v/>
      </c>
      <c r="AK1234" s="122" t="n">
        <v>189</v>
      </c>
      <c r="AL1234" s="122" t="n">
        <v>0</v>
      </c>
      <c r="AM1234" s="124">
        <f>IFERROR(AL1234/AA1234,"")</f>
        <v/>
      </c>
      <c r="AN1234" s="125">
        <f>IFERROR(R1234/AL1234,"")</f>
        <v/>
      </c>
      <c r="AO1234" s="122" t="n">
        <v>0</v>
      </c>
      <c r="AP1234" s="54">
        <f>IFERROR(AO1234/AL1234,"")</f>
        <v/>
      </c>
      <c r="AQ1234" s="125">
        <f>IFERROR(R1234/AO1234,"")</f>
        <v/>
      </c>
      <c r="AR1234" s="122" t="n">
        <v>0</v>
      </c>
      <c r="AS1234" s="122" t="n">
        <v>0</v>
      </c>
      <c r="AT1234" s="122">
        <f>AL1234+AR1234</f>
        <v/>
      </c>
      <c r="AU1234" s="125">
        <f>IFERROR(AO1234*Assumptions!$C$26*Assumptions!$C$27*INDEX(Assumptions!$C$18:$C$21,MATCH(H1234,Assumptions!$B$18:$B$21,0)),0)</f>
        <v/>
      </c>
    </row>
    <row r="1235">
      <c r="A1235" s="120" t="n">
        <v>46240</v>
      </c>
      <c r="B1235" s="66" t="inlineStr">
        <is>
          <t>Wk 32</t>
        </is>
      </c>
      <c r="C1235" s="66" t="inlineStr">
        <is>
          <t>Thu</t>
        </is>
      </c>
      <c r="D1235" s="66" t="inlineStr">
        <is>
          <t>TikTok</t>
        </is>
      </c>
      <c r="E1235" s="66" t="inlineStr">
        <is>
          <t>TikTok</t>
        </is>
      </c>
      <c r="F1235" s="66" t="inlineStr">
        <is>
          <t>LEP_ZA_AUG26_TT_TD_PANTERA_CONV</t>
        </is>
      </c>
      <c r="G1235" s="66" t="inlineStr">
        <is>
          <t>Website Conversions</t>
        </is>
      </c>
      <c r="H1235" s="66" t="inlineStr">
        <is>
          <t>PANTERA</t>
        </is>
      </c>
      <c r="I1235" s="66" t="inlineStr">
        <is>
          <t>0% Deposit</t>
        </is>
      </c>
      <c r="J1235" s="66" t="inlineStr">
        <is>
          <t>TT_PANTERA_INT_LUX_ZA</t>
        </is>
      </c>
      <c r="K1235" s="66" t="inlineStr">
        <is>
          <t>Interest</t>
        </is>
      </c>
      <c r="L1235" s="66" t="inlineStr">
        <is>
          <t>TT_PANTERA_CREATOR_25s_Review_v1</t>
        </is>
      </c>
      <c r="M1235" s="66" t="inlineStr">
        <is>
          <t>Video 9:16</t>
        </is>
      </c>
      <c r="N1235" s="66" t="inlineStr">
        <is>
          <t>Creator review: is it worth it?</t>
        </is>
      </c>
      <c r="O1235" s="66" t="inlineStr">
        <is>
          <t>Auction - Cost Cap</t>
        </is>
      </c>
      <c r="P1235" s="66" t="inlineStr">
        <is>
          <t>Complete Payment / Lead</t>
        </is>
      </c>
      <c r="Q1235" s="66" t="inlineStr">
        <is>
          <t>https://www.lepas-sa.co.za/offers/pantera</t>
        </is>
      </c>
      <c r="R1235" s="121" t="n">
        <v>182</v>
      </c>
      <c r="S1235" s="122" t="n">
        <v>5800</v>
      </c>
      <c r="T1235" s="122" t="n">
        <v>3714</v>
      </c>
      <c r="U1235" s="123">
        <f>IFERROR(S1235/T1235,"")</f>
        <v/>
      </c>
      <c r="V1235" s="122" t="n">
        <v>54</v>
      </c>
      <c r="W1235" s="122" t="n">
        <v>46</v>
      </c>
      <c r="X1235" s="124">
        <f>IFERROR(W1235/S1235,"")</f>
        <v/>
      </c>
      <c r="Y1235" s="121">
        <f>IFERROR(R1235/W1235,"")</f>
        <v/>
      </c>
      <c r="Z1235" s="121">
        <f>IFERROR(R1235/S1235*1000,"")</f>
        <v/>
      </c>
      <c r="AA1235" s="122" t="n">
        <v>34</v>
      </c>
      <c r="AB1235" s="54">
        <f>IFERROR(AA1235/W1235,"")</f>
        <v/>
      </c>
      <c r="AC1235" s="122" t="n">
        <v>1588</v>
      </c>
      <c r="AD1235" s="122" t="n">
        <v>850</v>
      </c>
      <c r="AE1235" s="122" t="n">
        <v>780</v>
      </c>
      <c r="AF1235" s="122" t="n">
        <v>534</v>
      </c>
      <c r="AG1235" s="122" t="n">
        <v>354</v>
      </c>
      <c r="AH1235" s="122" t="n">
        <v>254</v>
      </c>
      <c r="AI1235" s="54">
        <f>IFERROR(AC1235/S1235,"")</f>
        <v/>
      </c>
      <c r="AJ1235" s="54">
        <f>IFERROR(AH1235/S1235,"")</f>
        <v/>
      </c>
      <c r="AK1235" s="122" t="n">
        <v>140</v>
      </c>
      <c r="AL1235" s="122" t="n">
        <v>0</v>
      </c>
      <c r="AM1235" s="124">
        <f>IFERROR(AL1235/AA1235,"")</f>
        <v/>
      </c>
      <c r="AN1235" s="125">
        <f>IFERROR(R1235/AL1235,"")</f>
        <v/>
      </c>
      <c r="AO1235" s="122" t="n">
        <v>0</v>
      </c>
      <c r="AP1235" s="54">
        <f>IFERROR(AO1235/AL1235,"")</f>
        <v/>
      </c>
      <c r="AQ1235" s="125">
        <f>IFERROR(R1235/AO1235,"")</f>
        <v/>
      </c>
      <c r="AR1235" s="122" t="n">
        <v>0</v>
      </c>
      <c r="AS1235" s="122" t="n">
        <v>0</v>
      </c>
      <c r="AT1235" s="122">
        <f>AL1235+AR1235</f>
        <v/>
      </c>
      <c r="AU1235" s="125">
        <f>IFERROR(AO1235*Assumptions!$C$26*Assumptions!$C$27*INDEX(Assumptions!$C$18:$C$21,MATCH(H1235,Assumptions!$B$18:$B$21,0)),0)</f>
        <v/>
      </c>
    </row>
    <row r="1236">
      <c r="A1236" s="120" t="n">
        <v>46241</v>
      </c>
      <c r="B1236" s="66" t="inlineStr">
        <is>
          <t>Wk 32</t>
        </is>
      </c>
      <c r="C1236" s="66" t="inlineStr">
        <is>
          <t>Fri</t>
        </is>
      </c>
      <c r="D1236" s="66" t="inlineStr">
        <is>
          <t>TikTok</t>
        </is>
      </c>
      <c r="E1236" s="66" t="inlineStr">
        <is>
          <t>TikTok</t>
        </is>
      </c>
      <c r="F1236" s="66" t="inlineStr">
        <is>
          <t>LEP_ZA_AUG26_TT_TD_PANTERA_CONV</t>
        </is>
      </c>
      <c r="G1236" s="66" t="inlineStr">
        <is>
          <t>Website Conversions</t>
        </is>
      </c>
      <c r="H1236" s="66" t="inlineStr">
        <is>
          <t>PANTERA</t>
        </is>
      </c>
      <c r="I1236" s="66" t="inlineStr">
        <is>
          <t>0% Deposit</t>
        </is>
      </c>
      <c r="J1236" s="66" t="inlineStr">
        <is>
          <t>TT_PANTERA_INT_LUX_ZA</t>
        </is>
      </c>
      <c r="K1236" s="66" t="inlineStr">
        <is>
          <t>Interest</t>
        </is>
      </c>
      <c r="L1236" s="66" t="inlineStr">
        <is>
          <t>TT_PANTERA_CREATOR_25s_Review_v1</t>
        </is>
      </c>
      <c r="M1236" s="66" t="inlineStr">
        <is>
          <t>Video 9:16</t>
        </is>
      </c>
      <c r="N1236" s="66" t="inlineStr">
        <is>
          <t>Creator review: is it worth it?</t>
        </is>
      </c>
      <c r="O1236" s="66" t="inlineStr">
        <is>
          <t>Auction - Cost Cap</t>
        </is>
      </c>
      <c r="P1236" s="66" t="inlineStr">
        <is>
          <t>Complete Payment / Lead</t>
        </is>
      </c>
      <c r="Q1236" s="66" t="inlineStr">
        <is>
          <t>https://www.lepas-sa.co.za/offers/pantera</t>
        </is>
      </c>
      <c r="R1236" s="121" t="n">
        <v>211.21</v>
      </c>
      <c r="S1236" s="122" t="n">
        <v>4807</v>
      </c>
      <c r="T1236" s="122" t="n">
        <v>3701</v>
      </c>
      <c r="U1236" s="123">
        <f>IFERROR(S1236/T1236,"")</f>
        <v/>
      </c>
      <c r="V1236" s="122" t="n">
        <v>80</v>
      </c>
      <c r="W1236" s="122" t="n">
        <v>57</v>
      </c>
      <c r="X1236" s="124">
        <f>IFERROR(W1236/S1236,"")</f>
        <v/>
      </c>
      <c r="Y1236" s="121">
        <f>IFERROR(R1236/W1236,"")</f>
        <v/>
      </c>
      <c r="Z1236" s="121">
        <f>IFERROR(R1236/S1236*1000,"")</f>
        <v/>
      </c>
      <c r="AA1236" s="122" t="n">
        <v>40</v>
      </c>
      <c r="AB1236" s="54">
        <f>IFERROR(AA1236/W1236,"")</f>
        <v/>
      </c>
      <c r="AC1236" s="122" t="n">
        <v>1619</v>
      </c>
      <c r="AD1236" s="122" t="n">
        <v>905</v>
      </c>
      <c r="AE1236" s="122" t="n">
        <v>744</v>
      </c>
      <c r="AF1236" s="122" t="n">
        <v>448</v>
      </c>
      <c r="AG1236" s="122" t="n">
        <v>353</v>
      </c>
      <c r="AH1236" s="122" t="n">
        <v>218</v>
      </c>
      <c r="AI1236" s="54">
        <f>IFERROR(AC1236/S1236,"")</f>
        <v/>
      </c>
      <c r="AJ1236" s="54">
        <f>IFERROR(AH1236/S1236,"")</f>
        <v/>
      </c>
      <c r="AK1236" s="122" t="n">
        <v>285</v>
      </c>
      <c r="AL1236" s="122" t="n">
        <v>0</v>
      </c>
      <c r="AM1236" s="124">
        <f>IFERROR(AL1236/AA1236,"")</f>
        <v/>
      </c>
      <c r="AN1236" s="125">
        <f>IFERROR(R1236/AL1236,"")</f>
        <v/>
      </c>
      <c r="AO1236" s="122" t="n">
        <v>0</v>
      </c>
      <c r="AP1236" s="54">
        <f>IFERROR(AO1236/AL1236,"")</f>
        <v/>
      </c>
      <c r="AQ1236" s="125">
        <f>IFERROR(R1236/AO1236,"")</f>
        <v/>
      </c>
      <c r="AR1236" s="122" t="n">
        <v>0</v>
      </c>
      <c r="AS1236" s="122" t="n">
        <v>0</v>
      </c>
      <c r="AT1236" s="122">
        <f>AL1236+AR1236</f>
        <v/>
      </c>
      <c r="AU1236" s="125">
        <f>IFERROR(AO1236*Assumptions!$C$26*Assumptions!$C$27*INDEX(Assumptions!$C$18:$C$21,MATCH(H1236,Assumptions!$B$18:$B$21,0)),0)</f>
        <v/>
      </c>
    </row>
    <row r="1237">
      <c r="A1237" s="120" t="n">
        <v>46242</v>
      </c>
      <c r="B1237" s="66" t="inlineStr">
        <is>
          <t>Wk 32</t>
        </is>
      </c>
      <c r="C1237" s="66" t="inlineStr">
        <is>
          <t>Sat</t>
        </is>
      </c>
      <c r="D1237" s="66" t="inlineStr">
        <is>
          <t>TikTok</t>
        </is>
      </c>
      <c r="E1237" s="66" t="inlineStr">
        <is>
          <t>TikTok</t>
        </is>
      </c>
      <c r="F1237" s="66" t="inlineStr">
        <is>
          <t>LEP_ZA_AUG26_TT_TD_PANTERA_CONV</t>
        </is>
      </c>
      <c r="G1237" s="66" t="inlineStr">
        <is>
          <t>Website Conversions</t>
        </is>
      </c>
      <c r="H1237" s="66" t="inlineStr">
        <is>
          <t>PANTERA</t>
        </is>
      </c>
      <c r="I1237" s="66" t="inlineStr">
        <is>
          <t>0% Deposit</t>
        </is>
      </c>
      <c r="J1237" s="66" t="inlineStr">
        <is>
          <t>TT_PANTERA_INT_LUX_ZA</t>
        </is>
      </c>
      <c r="K1237" s="66" t="inlineStr">
        <is>
          <t>Interest</t>
        </is>
      </c>
      <c r="L1237" s="66" t="inlineStr">
        <is>
          <t>TT_PANTERA_CREATOR_25s_Review_v1</t>
        </is>
      </c>
      <c r="M1237" s="66" t="inlineStr">
        <is>
          <t>Video 9:16</t>
        </is>
      </c>
      <c r="N1237" s="66" t="inlineStr">
        <is>
          <t>Creator review: is it worth it?</t>
        </is>
      </c>
      <c r="O1237" s="66" t="inlineStr">
        <is>
          <t>Auction - Cost Cap</t>
        </is>
      </c>
      <c r="P1237" s="66" t="inlineStr">
        <is>
          <t>Complete Payment / Lead</t>
        </is>
      </c>
      <c r="Q1237" s="66" t="inlineStr">
        <is>
          <t>https://www.lepas-sa.co.za/offers/pantera</t>
        </is>
      </c>
      <c r="R1237" s="121" t="n">
        <v>220.93</v>
      </c>
      <c r="S1237" s="122" t="n">
        <v>5917</v>
      </c>
      <c r="T1237" s="122" t="n">
        <v>4178</v>
      </c>
      <c r="U1237" s="123">
        <f>IFERROR(S1237/T1237,"")</f>
        <v/>
      </c>
      <c r="V1237" s="122" t="n">
        <v>54</v>
      </c>
      <c r="W1237" s="122" t="n">
        <v>40</v>
      </c>
      <c r="X1237" s="124">
        <f>IFERROR(W1237/S1237,"")</f>
        <v/>
      </c>
      <c r="Y1237" s="121">
        <f>IFERROR(R1237/W1237,"")</f>
        <v/>
      </c>
      <c r="Z1237" s="121">
        <f>IFERROR(R1237/S1237*1000,"")</f>
        <v/>
      </c>
      <c r="AA1237" s="122" t="n">
        <v>26</v>
      </c>
      <c r="AB1237" s="54">
        <f>IFERROR(AA1237/W1237,"")</f>
        <v/>
      </c>
      <c r="AC1237" s="122" t="n">
        <v>1624</v>
      </c>
      <c r="AD1237" s="122" t="n">
        <v>782</v>
      </c>
      <c r="AE1237" s="122" t="n">
        <v>743</v>
      </c>
      <c r="AF1237" s="122" t="n">
        <v>415</v>
      </c>
      <c r="AG1237" s="122" t="n">
        <v>271</v>
      </c>
      <c r="AH1237" s="122" t="n">
        <v>199</v>
      </c>
      <c r="AI1237" s="54">
        <f>IFERROR(AC1237/S1237,"")</f>
        <v/>
      </c>
      <c r="AJ1237" s="54">
        <f>IFERROR(AH1237/S1237,"")</f>
        <v/>
      </c>
      <c r="AK1237" s="122" t="n">
        <v>230</v>
      </c>
      <c r="AL1237" s="122" t="n">
        <v>1</v>
      </c>
      <c r="AM1237" s="124">
        <f>IFERROR(AL1237/AA1237,"")</f>
        <v/>
      </c>
      <c r="AN1237" s="125">
        <f>IFERROR(R1237/AL1237,"")</f>
        <v/>
      </c>
      <c r="AO1237" s="122" t="n">
        <v>1</v>
      </c>
      <c r="AP1237" s="54">
        <f>IFERROR(AO1237/AL1237,"")</f>
        <v/>
      </c>
      <c r="AQ1237" s="125">
        <f>IFERROR(R1237/AO1237,"")</f>
        <v/>
      </c>
      <c r="AR1237" s="122" t="n">
        <v>1</v>
      </c>
      <c r="AS1237" s="122" t="n">
        <v>0</v>
      </c>
      <c r="AT1237" s="122">
        <f>AL1237+AR1237</f>
        <v/>
      </c>
      <c r="AU1237" s="125">
        <f>IFERROR(AO1237*Assumptions!$C$26*Assumptions!$C$27*INDEX(Assumptions!$C$18:$C$21,MATCH(H1237,Assumptions!$B$18:$B$21,0)),0)</f>
        <v/>
      </c>
    </row>
    <row r="1238">
      <c r="A1238" s="120" t="n">
        <v>46243</v>
      </c>
      <c r="B1238" s="66" t="inlineStr">
        <is>
          <t>Wk 32</t>
        </is>
      </c>
      <c r="C1238" s="66" t="inlineStr">
        <is>
          <t>Sun</t>
        </is>
      </c>
      <c r="D1238" s="66" t="inlineStr">
        <is>
          <t>TikTok</t>
        </is>
      </c>
      <c r="E1238" s="66" t="inlineStr">
        <is>
          <t>TikTok</t>
        </is>
      </c>
      <c r="F1238" s="66" t="inlineStr">
        <is>
          <t>LEP_ZA_AUG26_TT_TD_PANTERA_CONV</t>
        </is>
      </c>
      <c r="G1238" s="66" t="inlineStr">
        <is>
          <t>Website Conversions</t>
        </is>
      </c>
      <c r="H1238" s="66" t="inlineStr">
        <is>
          <t>PANTERA</t>
        </is>
      </c>
      <c r="I1238" s="66" t="inlineStr">
        <is>
          <t>0% Deposit</t>
        </is>
      </c>
      <c r="J1238" s="66" t="inlineStr">
        <is>
          <t>TT_PANTERA_INT_LUX_ZA</t>
        </is>
      </c>
      <c r="K1238" s="66" t="inlineStr">
        <is>
          <t>Interest</t>
        </is>
      </c>
      <c r="L1238" s="66" t="inlineStr">
        <is>
          <t>TT_PANTERA_CREATOR_25s_Review_v1</t>
        </is>
      </c>
      <c r="M1238" s="66" t="inlineStr">
        <is>
          <t>Video 9:16</t>
        </is>
      </c>
      <c r="N1238" s="66" t="inlineStr">
        <is>
          <t>Creator review: is it worth it?</t>
        </is>
      </c>
      <c r="O1238" s="66" t="inlineStr">
        <is>
          <t>Auction - Cost Cap</t>
        </is>
      </c>
      <c r="P1238" s="66" t="inlineStr">
        <is>
          <t>Complete Payment / Lead</t>
        </is>
      </c>
      <c r="Q1238" s="66" t="inlineStr">
        <is>
          <t>https://www.lepas-sa.co.za/offers/pantera</t>
        </is>
      </c>
      <c r="R1238" s="121" t="n">
        <v>137.12</v>
      </c>
      <c r="S1238" s="122" t="n">
        <v>4485</v>
      </c>
      <c r="T1238" s="122" t="n">
        <v>2768</v>
      </c>
      <c r="U1238" s="123">
        <f>IFERROR(S1238/T1238,"")</f>
        <v/>
      </c>
      <c r="V1238" s="122" t="n">
        <v>37</v>
      </c>
      <c r="W1238" s="122" t="n">
        <v>27</v>
      </c>
      <c r="X1238" s="124">
        <f>IFERROR(W1238/S1238,"")</f>
        <v/>
      </c>
      <c r="Y1238" s="121">
        <f>IFERROR(R1238/W1238,"")</f>
        <v/>
      </c>
      <c r="Z1238" s="121">
        <f>IFERROR(R1238/S1238*1000,"")</f>
        <v/>
      </c>
      <c r="AA1238" s="122" t="n">
        <v>20</v>
      </c>
      <c r="AB1238" s="54">
        <f>IFERROR(AA1238/W1238,"")</f>
        <v/>
      </c>
      <c r="AC1238" s="122" t="n">
        <v>1828</v>
      </c>
      <c r="AD1238" s="122" t="n">
        <v>1107</v>
      </c>
      <c r="AE1238" s="122" t="n">
        <v>817</v>
      </c>
      <c r="AF1238" s="122" t="n">
        <v>533</v>
      </c>
      <c r="AG1238" s="122" t="n">
        <v>359</v>
      </c>
      <c r="AH1238" s="122" t="n">
        <v>261</v>
      </c>
      <c r="AI1238" s="54">
        <f>IFERROR(AC1238/S1238,"")</f>
        <v/>
      </c>
      <c r="AJ1238" s="54">
        <f>IFERROR(AH1238/S1238,"")</f>
        <v/>
      </c>
      <c r="AK1238" s="122" t="n">
        <v>199</v>
      </c>
      <c r="AL1238" s="122" t="n">
        <v>1</v>
      </c>
      <c r="AM1238" s="124">
        <f>IFERROR(AL1238/AA1238,"")</f>
        <v/>
      </c>
      <c r="AN1238" s="125">
        <f>IFERROR(R1238/AL1238,"")</f>
        <v/>
      </c>
      <c r="AO1238" s="122" t="n">
        <v>0</v>
      </c>
      <c r="AP1238" s="54">
        <f>IFERROR(AO1238/AL1238,"")</f>
        <v/>
      </c>
      <c r="AQ1238" s="125">
        <f>IFERROR(R1238/AO1238,"")</f>
        <v/>
      </c>
      <c r="AR1238" s="122" t="n">
        <v>1</v>
      </c>
      <c r="AS1238" s="122" t="n">
        <v>0</v>
      </c>
      <c r="AT1238" s="122">
        <f>AL1238+AR1238</f>
        <v/>
      </c>
      <c r="AU1238" s="125">
        <f>IFERROR(AO1238*Assumptions!$C$26*Assumptions!$C$27*INDEX(Assumptions!$C$18:$C$21,MATCH(H1238,Assumptions!$B$18:$B$21,0)),0)</f>
        <v/>
      </c>
    </row>
    <row r="1239">
      <c r="A1239" s="120" t="n">
        <v>46244</v>
      </c>
      <c r="B1239" s="66" t="inlineStr">
        <is>
          <t>Wk 33</t>
        </is>
      </c>
      <c r="C1239" s="66" t="inlineStr">
        <is>
          <t>Mon</t>
        </is>
      </c>
      <c r="D1239" s="66" t="inlineStr">
        <is>
          <t>TikTok</t>
        </is>
      </c>
      <c r="E1239" s="66" t="inlineStr">
        <is>
          <t>TikTok</t>
        </is>
      </c>
      <c r="F1239" s="66" t="inlineStr">
        <is>
          <t>LEP_ZA_AUG26_TT_TD_PANTERA_CONV</t>
        </is>
      </c>
      <c r="G1239" s="66" t="inlineStr">
        <is>
          <t>Website Conversions</t>
        </is>
      </c>
      <c r="H1239" s="66" t="inlineStr">
        <is>
          <t>PANTERA</t>
        </is>
      </c>
      <c r="I1239" s="66" t="inlineStr">
        <is>
          <t>0% Deposit</t>
        </is>
      </c>
      <c r="J1239" s="66" t="inlineStr">
        <is>
          <t>TT_PANTERA_INT_LUX_ZA</t>
        </is>
      </c>
      <c r="K1239" s="66" t="inlineStr">
        <is>
          <t>Interest</t>
        </is>
      </c>
      <c r="L1239" s="66" t="inlineStr">
        <is>
          <t>TT_PANTERA_CREATOR_25s_Review_v1</t>
        </is>
      </c>
      <c r="M1239" s="66" t="inlineStr">
        <is>
          <t>Video 9:16</t>
        </is>
      </c>
      <c r="N1239" s="66" t="inlineStr">
        <is>
          <t>Creator review: is it worth it?</t>
        </is>
      </c>
      <c r="O1239" s="66" t="inlineStr">
        <is>
          <t>Auction - Cost Cap</t>
        </is>
      </c>
      <c r="P1239" s="66" t="inlineStr">
        <is>
          <t>Complete Payment / Lead</t>
        </is>
      </c>
      <c r="Q1239" s="66" t="inlineStr">
        <is>
          <t>https://www.lepas-sa.co.za/offers/pantera</t>
        </is>
      </c>
      <c r="R1239" s="121" t="n">
        <v>185.43</v>
      </c>
      <c r="S1239" s="122" t="n">
        <v>6446</v>
      </c>
      <c r="T1239" s="122" t="n">
        <v>3515</v>
      </c>
      <c r="U1239" s="123">
        <f>IFERROR(S1239/T1239,"")</f>
        <v/>
      </c>
      <c r="V1239" s="122" t="n">
        <v>85</v>
      </c>
      <c r="W1239" s="122" t="n">
        <v>66</v>
      </c>
      <c r="X1239" s="124">
        <f>IFERROR(W1239/S1239,"")</f>
        <v/>
      </c>
      <c r="Y1239" s="121">
        <f>IFERROR(R1239/W1239,"")</f>
        <v/>
      </c>
      <c r="Z1239" s="121">
        <f>IFERROR(R1239/S1239*1000,"")</f>
        <v/>
      </c>
      <c r="AA1239" s="122" t="n">
        <v>47</v>
      </c>
      <c r="AB1239" s="54">
        <f>IFERROR(AA1239/W1239,"")</f>
        <v/>
      </c>
      <c r="AC1239" s="122" t="n">
        <v>2547</v>
      </c>
      <c r="AD1239" s="122" t="n">
        <v>1556</v>
      </c>
      <c r="AE1239" s="122" t="n">
        <v>1350</v>
      </c>
      <c r="AF1239" s="122" t="n">
        <v>797</v>
      </c>
      <c r="AG1239" s="122" t="n">
        <v>525</v>
      </c>
      <c r="AH1239" s="122" t="n">
        <v>373</v>
      </c>
      <c r="AI1239" s="54">
        <f>IFERROR(AC1239/S1239,"")</f>
        <v/>
      </c>
      <c r="AJ1239" s="54">
        <f>IFERROR(AH1239/S1239,"")</f>
        <v/>
      </c>
      <c r="AK1239" s="122" t="n">
        <v>170</v>
      </c>
      <c r="AL1239" s="122" t="n">
        <v>1</v>
      </c>
      <c r="AM1239" s="124">
        <f>IFERROR(AL1239/AA1239,"")</f>
        <v/>
      </c>
      <c r="AN1239" s="125">
        <f>IFERROR(R1239/AL1239,"")</f>
        <v/>
      </c>
      <c r="AO1239" s="122" t="n">
        <v>1</v>
      </c>
      <c r="AP1239" s="54">
        <f>IFERROR(AO1239/AL1239,"")</f>
        <v/>
      </c>
      <c r="AQ1239" s="125">
        <f>IFERROR(R1239/AO1239,"")</f>
        <v/>
      </c>
      <c r="AR1239" s="122" t="n">
        <v>1</v>
      </c>
      <c r="AS1239" s="122" t="n">
        <v>0</v>
      </c>
      <c r="AT1239" s="122">
        <f>AL1239+AR1239</f>
        <v/>
      </c>
      <c r="AU1239" s="125">
        <f>IFERROR(AO1239*Assumptions!$C$26*Assumptions!$C$27*INDEX(Assumptions!$C$18:$C$21,MATCH(H1239,Assumptions!$B$18:$B$21,0)),0)</f>
        <v/>
      </c>
    </row>
    <row r="1240">
      <c r="A1240" s="120" t="n">
        <v>46245</v>
      </c>
      <c r="B1240" s="66" t="inlineStr">
        <is>
          <t>Wk 33</t>
        </is>
      </c>
      <c r="C1240" s="66" t="inlineStr">
        <is>
          <t>Tue</t>
        </is>
      </c>
      <c r="D1240" s="66" t="inlineStr">
        <is>
          <t>TikTok</t>
        </is>
      </c>
      <c r="E1240" s="66" t="inlineStr">
        <is>
          <t>TikTok</t>
        </is>
      </c>
      <c r="F1240" s="66" t="inlineStr">
        <is>
          <t>LEP_ZA_AUG26_TT_TD_PANTERA_CONV</t>
        </is>
      </c>
      <c r="G1240" s="66" t="inlineStr">
        <is>
          <t>Website Conversions</t>
        </is>
      </c>
      <c r="H1240" s="66" t="inlineStr">
        <is>
          <t>PANTERA</t>
        </is>
      </c>
      <c r="I1240" s="66" t="inlineStr">
        <is>
          <t>0% Deposit</t>
        </is>
      </c>
      <c r="J1240" s="66" t="inlineStr">
        <is>
          <t>TT_PANTERA_INT_LUX_ZA</t>
        </is>
      </c>
      <c r="K1240" s="66" t="inlineStr">
        <is>
          <t>Interest</t>
        </is>
      </c>
      <c r="L1240" s="66" t="inlineStr">
        <is>
          <t>TT_PANTERA_CREATOR_25s_Review_v1</t>
        </is>
      </c>
      <c r="M1240" s="66" t="inlineStr">
        <is>
          <t>Video 9:16</t>
        </is>
      </c>
      <c r="N1240" s="66" t="inlineStr">
        <is>
          <t>Creator review: is it worth it?</t>
        </is>
      </c>
      <c r="O1240" s="66" t="inlineStr">
        <is>
          <t>Auction - Cost Cap</t>
        </is>
      </c>
      <c r="P1240" s="66" t="inlineStr">
        <is>
          <t>Complete Payment / Lead</t>
        </is>
      </c>
      <c r="Q1240" s="66" t="inlineStr">
        <is>
          <t>https://www.lepas-sa.co.za/offers/pantera</t>
        </is>
      </c>
      <c r="R1240" s="121" t="n">
        <v>195.39</v>
      </c>
      <c r="S1240" s="122" t="n">
        <v>5007</v>
      </c>
      <c r="T1240" s="122" t="n">
        <v>3585</v>
      </c>
      <c r="U1240" s="123">
        <f>IFERROR(S1240/T1240,"")</f>
        <v/>
      </c>
      <c r="V1240" s="122" t="n">
        <v>52</v>
      </c>
      <c r="W1240" s="122" t="n">
        <v>40</v>
      </c>
      <c r="X1240" s="124">
        <f>IFERROR(W1240/S1240,"")</f>
        <v/>
      </c>
      <c r="Y1240" s="121">
        <f>IFERROR(R1240/W1240,"")</f>
        <v/>
      </c>
      <c r="Z1240" s="121">
        <f>IFERROR(R1240/S1240*1000,"")</f>
        <v/>
      </c>
      <c r="AA1240" s="122" t="n">
        <v>25</v>
      </c>
      <c r="AB1240" s="54">
        <f>IFERROR(AA1240/W1240,"")</f>
        <v/>
      </c>
      <c r="AC1240" s="122" t="n">
        <v>1424</v>
      </c>
      <c r="AD1240" s="122" t="n">
        <v>722</v>
      </c>
      <c r="AE1240" s="122" t="n">
        <v>604</v>
      </c>
      <c r="AF1240" s="122" t="n">
        <v>376</v>
      </c>
      <c r="AG1240" s="122" t="n">
        <v>295</v>
      </c>
      <c r="AH1240" s="122" t="n">
        <v>188</v>
      </c>
      <c r="AI1240" s="54">
        <f>IFERROR(AC1240/S1240,"")</f>
        <v/>
      </c>
      <c r="AJ1240" s="54">
        <f>IFERROR(AH1240/S1240,"")</f>
        <v/>
      </c>
      <c r="AK1240" s="122" t="n">
        <v>264</v>
      </c>
      <c r="AL1240" s="122" t="n">
        <v>0</v>
      </c>
      <c r="AM1240" s="124">
        <f>IFERROR(AL1240/AA1240,"")</f>
        <v/>
      </c>
      <c r="AN1240" s="125">
        <f>IFERROR(R1240/AL1240,"")</f>
        <v/>
      </c>
      <c r="AO1240" s="122" t="n">
        <v>0</v>
      </c>
      <c r="AP1240" s="54">
        <f>IFERROR(AO1240/AL1240,"")</f>
        <v/>
      </c>
      <c r="AQ1240" s="125">
        <f>IFERROR(R1240/AO1240,"")</f>
        <v/>
      </c>
      <c r="AR1240" s="122" t="n">
        <v>0</v>
      </c>
      <c r="AS1240" s="122" t="n">
        <v>0</v>
      </c>
      <c r="AT1240" s="122">
        <f>AL1240+AR1240</f>
        <v/>
      </c>
      <c r="AU1240" s="125">
        <f>IFERROR(AO1240*Assumptions!$C$26*Assumptions!$C$27*INDEX(Assumptions!$C$18:$C$21,MATCH(H1240,Assumptions!$B$18:$B$21,0)),0)</f>
        <v/>
      </c>
    </row>
    <row r="1241">
      <c r="A1241" s="120" t="n">
        <v>46246</v>
      </c>
      <c r="B1241" s="66" t="inlineStr">
        <is>
          <t>Wk 33</t>
        </is>
      </c>
      <c r="C1241" s="66" t="inlineStr">
        <is>
          <t>Wed</t>
        </is>
      </c>
      <c r="D1241" s="66" t="inlineStr">
        <is>
          <t>TikTok</t>
        </is>
      </c>
      <c r="E1241" s="66" t="inlineStr">
        <is>
          <t>TikTok</t>
        </is>
      </c>
      <c r="F1241" s="66" t="inlineStr">
        <is>
          <t>LEP_ZA_AUG26_TT_TD_PANTERA_CONV</t>
        </is>
      </c>
      <c r="G1241" s="66" t="inlineStr">
        <is>
          <t>Website Conversions</t>
        </is>
      </c>
      <c r="H1241" s="66" t="inlineStr">
        <is>
          <t>PANTERA</t>
        </is>
      </c>
      <c r="I1241" s="66" t="inlineStr">
        <is>
          <t>0% Deposit</t>
        </is>
      </c>
      <c r="J1241" s="66" t="inlineStr">
        <is>
          <t>TT_PANTERA_INT_LUX_ZA</t>
        </is>
      </c>
      <c r="K1241" s="66" t="inlineStr">
        <is>
          <t>Interest</t>
        </is>
      </c>
      <c r="L1241" s="66" t="inlineStr">
        <is>
          <t>TT_PANTERA_CREATOR_25s_Review_v1</t>
        </is>
      </c>
      <c r="M1241" s="66" t="inlineStr">
        <is>
          <t>Video 9:16</t>
        </is>
      </c>
      <c r="N1241" s="66" t="inlineStr">
        <is>
          <t>Creator review: is it worth it?</t>
        </is>
      </c>
      <c r="O1241" s="66" t="inlineStr">
        <is>
          <t>Auction - Cost Cap</t>
        </is>
      </c>
      <c r="P1241" s="66" t="inlineStr">
        <is>
          <t>Complete Payment / Lead</t>
        </is>
      </c>
      <c r="Q1241" s="66" t="inlineStr">
        <is>
          <t>https://www.lepas-sa.co.za/offers/pantera</t>
        </is>
      </c>
      <c r="R1241" s="121" t="n">
        <v>165.58</v>
      </c>
      <c r="S1241" s="122" t="n">
        <v>5515</v>
      </c>
      <c r="T1241" s="122" t="n">
        <v>2986</v>
      </c>
      <c r="U1241" s="123">
        <f>IFERROR(S1241/T1241,"")</f>
        <v/>
      </c>
      <c r="V1241" s="122" t="n">
        <v>61</v>
      </c>
      <c r="W1241" s="122" t="n">
        <v>45</v>
      </c>
      <c r="X1241" s="124">
        <f>IFERROR(W1241/S1241,"")</f>
        <v/>
      </c>
      <c r="Y1241" s="121">
        <f>IFERROR(R1241/W1241,"")</f>
        <v/>
      </c>
      <c r="Z1241" s="121">
        <f>IFERROR(R1241/S1241*1000,"")</f>
        <v/>
      </c>
      <c r="AA1241" s="122" t="n">
        <v>29</v>
      </c>
      <c r="AB1241" s="54">
        <f>IFERROR(AA1241/W1241,"")</f>
        <v/>
      </c>
      <c r="AC1241" s="122" t="n">
        <v>2094</v>
      </c>
      <c r="AD1241" s="122" t="n">
        <v>1135</v>
      </c>
      <c r="AE1241" s="122" t="n">
        <v>861</v>
      </c>
      <c r="AF1241" s="122" t="n">
        <v>603</v>
      </c>
      <c r="AG1241" s="122" t="n">
        <v>412</v>
      </c>
      <c r="AH1241" s="122" t="n">
        <v>266</v>
      </c>
      <c r="AI1241" s="54">
        <f>IFERROR(AC1241/S1241,"")</f>
        <v/>
      </c>
      <c r="AJ1241" s="54">
        <f>IFERROR(AH1241/S1241,"")</f>
        <v/>
      </c>
      <c r="AK1241" s="122" t="n">
        <v>325</v>
      </c>
      <c r="AL1241" s="122" t="n">
        <v>0</v>
      </c>
      <c r="AM1241" s="124">
        <f>IFERROR(AL1241/AA1241,"")</f>
        <v/>
      </c>
      <c r="AN1241" s="125">
        <f>IFERROR(R1241/AL1241,"")</f>
        <v/>
      </c>
      <c r="AO1241" s="122" t="n">
        <v>0</v>
      </c>
      <c r="AP1241" s="54">
        <f>IFERROR(AO1241/AL1241,"")</f>
        <v/>
      </c>
      <c r="AQ1241" s="125">
        <f>IFERROR(R1241/AO1241,"")</f>
        <v/>
      </c>
      <c r="AR1241" s="122" t="n">
        <v>0</v>
      </c>
      <c r="AS1241" s="122" t="n">
        <v>0</v>
      </c>
      <c r="AT1241" s="122">
        <f>AL1241+AR1241</f>
        <v/>
      </c>
      <c r="AU1241" s="125">
        <f>IFERROR(AO1241*Assumptions!$C$26*Assumptions!$C$27*INDEX(Assumptions!$C$18:$C$21,MATCH(H1241,Assumptions!$B$18:$B$21,0)),0)</f>
        <v/>
      </c>
    </row>
    <row r="1242">
      <c r="A1242" s="120" t="n">
        <v>46247</v>
      </c>
      <c r="B1242" s="66" t="inlineStr">
        <is>
          <t>Wk 33</t>
        </is>
      </c>
      <c r="C1242" s="66" t="inlineStr">
        <is>
          <t>Thu</t>
        </is>
      </c>
      <c r="D1242" s="66" t="inlineStr">
        <is>
          <t>TikTok</t>
        </is>
      </c>
      <c r="E1242" s="66" t="inlineStr">
        <is>
          <t>TikTok</t>
        </is>
      </c>
      <c r="F1242" s="66" t="inlineStr">
        <is>
          <t>LEP_ZA_AUG26_TT_TD_PANTERA_CONV</t>
        </is>
      </c>
      <c r="G1242" s="66" t="inlineStr">
        <is>
          <t>Website Conversions</t>
        </is>
      </c>
      <c r="H1242" s="66" t="inlineStr">
        <is>
          <t>PANTERA</t>
        </is>
      </c>
      <c r="I1242" s="66" t="inlineStr">
        <is>
          <t>0% Deposit</t>
        </is>
      </c>
      <c r="J1242" s="66" t="inlineStr">
        <is>
          <t>TT_PANTERA_INT_LUX_ZA</t>
        </is>
      </c>
      <c r="K1242" s="66" t="inlineStr">
        <is>
          <t>Interest</t>
        </is>
      </c>
      <c r="L1242" s="66" t="inlineStr">
        <is>
          <t>TT_PANTERA_CREATOR_25s_Review_v1</t>
        </is>
      </c>
      <c r="M1242" s="66" t="inlineStr">
        <is>
          <t>Video 9:16</t>
        </is>
      </c>
      <c r="N1242" s="66" t="inlineStr">
        <is>
          <t>Creator review: is it worth it?</t>
        </is>
      </c>
      <c r="O1242" s="66" t="inlineStr">
        <is>
          <t>Auction - Cost Cap</t>
        </is>
      </c>
      <c r="P1242" s="66" t="inlineStr">
        <is>
          <t>Complete Payment / Lead</t>
        </is>
      </c>
      <c r="Q1242" s="66" t="inlineStr">
        <is>
          <t>https://www.lepas-sa.co.za/offers/pantera</t>
        </is>
      </c>
      <c r="R1242" s="121" t="n">
        <v>178.02</v>
      </c>
      <c r="S1242" s="122" t="n">
        <v>4227</v>
      </c>
      <c r="T1242" s="122" t="n">
        <v>2884</v>
      </c>
      <c r="U1242" s="123">
        <f>IFERROR(S1242/T1242,"")</f>
        <v/>
      </c>
      <c r="V1242" s="122" t="n">
        <v>47</v>
      </c>
      <c r="W1242" s="122" t="n">
        <v>38</v>
      </c>
      <c r="X1242" s="124">
        <f>IFERROR(W1242/S1242,"")</f>
        <v/>
      </c>
      <c r="Y1242" s="121">
        <f>IFERROR(R1242/W1242,"")</f>
        <v/>
      </c>
      <c r="Z1242" s="121">
        <f>IFERROR(R1242/S1242*1000,"")</f>
        <v/>
      </c>
      <c r="AA1242" s="122" t="n">
        <v>26</v>
      </c>
      <c r="AB1242" s="54">
        <f>IFERROR(AA1242/W1242,"")</f>
        <v/>
      </c>
      <c r="AC1242" s="122" t="n">
        <v>1539</v>
      </c>
      <c r="AD1242" s="122" t="n">
        <v>697</v>
      </c>
      <c r="AE1242" s="122" t="n">
        <v>815</v>
      </c>
      <c r="AF1242" s="122" t="n">
        <v>484</v>
      </c>
      <c r="AG1242" s="122" t="n">
        <v>369</v>
      </c>
      <c r="AH1242" s="122" t="n">
        <v>212</v>
      </c>
      <c r="AI1242" s="54">
        <f>IFERROR(AC1242/S1242,"")</f>
        <v/>
      </c>
      <c r="AJ1242" s="54">
        <f>IFERROR(AH1242/S1242,"")</f>
        <v/>
      </c>
      <c r="AK1242" s="122" t="n">
        <v>191</v>
      </c>
      <c r="AL1242" s="122" t="n">
        <v>0</v>
      </c>
      <c r="AM1242" s="124">
        <f>IFERROR(AL1242/AA1242,"")</f>
        <v/>
      </c>
      <c r="AN1242" s="125">
        <f>IFERROR(R1242/AL1242,"")</f>
        <v/>
      </c>
      <c r="AO1242" s="122" t="n">
        <v>0</v>
      </c>
      <c r="AP1242" s="54">
        <f>IFERROR(AO1242/AL1242,"")</f>
        <v/>
      </c>
      <c r="AQ1242" s="125">
        <f>IFERROR(R1242/AO1242,"")</f>
        <v/>
      </c>
      <c r="AR1242" s="122" t="n">
        <v>0</v>
      </c>
      <c r="AS1242" s="122" t="n">
        <v>0</v>
      </c>
      <c r="AT1242" s="122">
        <f>AL1242+AR1242</f>
        <v/>
      </c>
      <c r="AU1242" s="125">
        <f>IFERROR(AO1242*Assumptions!$C$26*Assumptions!$C$27*INDEX(Assumptions!$C$18:$C$21,MATCH(H1242,Assumptions!$B$18:$B$21,0)),0)</f>
        <v/>
      </c>
    </row>
    <row r="1243">
      <c r="A1243" s="120" t="n">
        <v>46248</v>
      </c>
      <c r="B1243" s="66" t="inlineStr">
        <is>
          <t>Wk 33</t>
        </is>
      </c>
      <c r="C1243" s="66" t="inlineStr">
        <is>
          <t>Fri</t>
        </is>
      </c>
      <c r="D1243" s="66" t="inlineStr">
        <is>
          <t>TikTok</t>
        </is>
      </c>
      <c r="E1243" s="66" t="inlineStr">
        <is>
          <t>TikTok</t>
        </is>
      </c>
      <c r="F1243" s="66" t="inlineStr">
        <is>
          <t>LEP_ZA_AUG26_TT_TD_PANTERA_CONV</t>
        </is>
      </c>
      <c r="G1243" s="66" t="inlineStr">
        <is>
          <t>Website Conversions</t>
        </is>
      </c>
      <c r="H1243" s="66" t="inlineStr">
        <is>
          <t>PANTERA</t>
        </is>
      </c>
      <c r="I1243" s="66" t="inlineStr">
        <is>
          <t>0% Deposit</t>
        </is>
      </c>
      <c r="J1243" s="66" t="inlineStr">
        <is>
          <t>TT_PANTERA_INT_LUX_ZA</t>
        </is>
      </c>
      <c r="K1243" s="66" t="inlineStr">
        <is>
          <t>Interest</t>
        </is>
      </c>
      <c r="L1243" s="66" t="inlineStr">
        <is>
          <t>TT_PANTERA_CREATOR_25s_Review_v1</t>
        </is>
      </c>
      <c r="M1243" s="66" t="inlineStr">
        <is>
          <t>Video 9:16</t>
        </is>
      </c>
      <c r="N1243" s="66" t="inlineStr">
        <is>
          <t>Creator review: is it worth it?</t>
        </is>
      </c>
      <c r="O1243" s="66" t="inlineStr">
        <is>
          <t>Auction - Cost Cap</t>
        </is>
      </c>
      <c r="P1243" s="66" t="inlineStr">
        <is>
          <t>Complete Payment / Lead</t>
        </is>
      </c>
      <c r="Q1243" s="66" t="inlineStr">
        <is>
          <t>https://www.lepas-sa.co.za/offers/pantera</t>
        </is>
      </c>
      <c r="R1243" s="121" t="n">
        <v>233.72</v>
      </c>
      <c r="S1243" s="122" t="n">
        <v>7188</v>
      </c>
      <c r="T1243" s="122" t="n">
        <v>5112</v>
      </c>
      <c r="U1243" s="123">
        <f>IFERROR(S1243/T1243,"")</f>
        <v/>
      </c>
      <c r="V1243" s="122" t="n">
        <v>67</v>
      </c>
      <c r="W1243" s="122" t="n">
        <v>53</v>
      </c>
      <c r="X1243" s="124">
        <f>IFERROR(W1243/S1243,"")</f>
        <v/>
      </c>
      <c r="Y1243" s="121">
        <f>IFERROR(R1243/W1243,"")</f>
        <v/>
      </c>
      <c r="Z1243" s="121">
        <f>IFERROR(R1243/S1243*1000,"")</f>
        <v/>
      </c>
      <c r="AA1243" s="122" t="n">
        <v>36</v>
      </c>
      <c r="AB1243" s="54">
        <f>IFERROR(AA1243/W1243,"")</f>
        <v/>
      </c>
      <c r="AC1243" s="122" t="n">
        <v>1618</v>
      </c>
      <c r="AD1243" s="122" t="n">
        <v>914</v>
      </c>
      <c r="AE1243" s="122" t="n">
        <v>633</v>
      </c>
      <c r="AF1243" s="122" t="n">
        <v>382</v>
      </c>
      <c r="AG1243" s="122" t="n">
        <v>272</v>
      </c>
      <c r="AH1243" s="122" t="n">
        <v>172</v>
      </c>
      <c r="AI1243" s="54">
        <f>IFERROR(AC1243/S1243,"")</f>
        <v/>
      </c>
      <c r="AJ1243" s="54">
        <f>IFERROR(AH1243/S1243,"")</f>
        <v/>
      </c>
      <c r="AK1243" s="122" t="n">
        <v>287</v>
      </c>
      <c r="AL1243" s="122" t="n">
        <v>0</v>
      </c>
      <c r="AM1243" s="124">
        <f>IFERROR(AL1243/AA1243,"")</f>
        <v/>
      </c>
      <c r="AN1243" s="125">
        <f>IFERROR(R1243/AL1243,"")</f>
        <v/>
      </c>
      <c r="AO1243" s="122" t="n">
        <v>0</v>
      </c>
      <c r="AP1243" s="54">
        <f>IFERROR(AO1243/AL1243,"")</f>
        <v/>
      </c>
      <c r="AQ1243" s="125">
        <f>IFERROR(R1243/AO1243,"")</f>
        <v/>
      </c>
      <c r="AR1243" s="122" t="n">
        <v>0</v>
      </c>
      <c r="AS1243" s="122" t="n">
        <v>0</v>
      </c>
      <c r="AT1243" s="122">
        <f>AL1243+AR1243</f>
        <v/>
      </c>
      <c r="AU1243" s="125">
        <f>IFERROR(AO1243*Assumptions!$C$26*Assumptions!$C$27*INDEX(Assumptions!$C$18:$C$21,MATCH(H1243,Assumptions!$B$18:$B$21,0)),0)</f>
        <v/>
      </c>
    </row>
    <row r="1244">
      <c r="A1244" s="120" t="n">
        <v>46249</v>
      </c>
      <c r="B1244" s="66" t="inlineStr">
        <is>
          <t>Wk 33</t>
        </is>
      </c>
      <c r="C1244" s="66" t="inlineStr">
        <is>
          <t>Sat</t>
        </is>
      </c>
      <c r="D1244" s="66" t="inlineStr">
        <is>
          <t>TikTok</t>
        </is>
      </c>
      <c r="E1244" s="66" t="inlineStr">
        <is>
          <t>TikTok</t>
        </is>
      </c>
      <c r="F1244" s="66" t="inlineStr">
        <is>
          <t>LEP_ZA_AUG26_TT_TD_PANTERA_CONV</t>
        </is>
      </c>
      <c r="G1244" s="66" t="inlineStr">
        <is>
          <t>Website Conversions</t>
        </is>
      </c>
      <c r="H1244" s="66" t="inlineStr">
        <is>
          <t>PANTERA</t>
        </is>
      </c>
      <c r="I1244" s="66" t="inlineStr">
        <is>
          <t>0% Deposit</t>
        </is>
      </c>
      <c r="J1244" s="66" t="inlineStr">
        <is>
          <t>TT_PANTERA_INT_LUX_ZA</t>
        </is>
      </c>
      <c r="K1244" s="66" t="inlineStr">
        <is>
          <t>Interest</t>
        </is>
      </c>
      <c r="L1244" s="66" t="inlineStr">
        <is>
          <t>TT_PANTERA_CREATOR_25s_Review_v1</t>
        </is>
      </c>
      <c r="M1244" s="66" t="inlineStr">
        <is>
          <t>Video 9:16</t>
        </is>
      </c>
      <c r="N1244" s="66" t="inlineStr">
        <is>
          <t>Creator review: is it worth it?</t>
        </is>
      </c>
      <c r="O1244" s="66" t="inlineStr">
        <is>
          <t>Auction - Cost Cap</t>
        </is>
      </c>
      <c r="P1244" s="66" t="inlineStr">
        <is>
          <t>Complete Payment / Lead</t>
        </is>
      </c>
      <c r="Q1244" s="66" t="inlineStr">
        <is>
          <t>https://www.lepas-sa.co.za/offers/pantera</t>
        </is>
      </c>
      <c r="R1244" s="121" t="n">
        <v>188.41</v>
      </c>
      <c r="S1244" s="122" t="n">
        <v>4538</v>
      </c>
      <c r="T1244" s="122" t="n">
        <v>2723</v>
      </c>
      <c r="U1244" s="123">
        <f>IFERROR(S1244/T1244,"")</f>
        <v/>
      </c>
      <c r="V1244" s="122" t="n">
        <v>32</v>
      </c>
      <c r="W1244" s="122" t="n">
        <v>25</v>
      </c>
      <c r="X1244" s="124">
        <f>IFERROR(W1244/S1244,"")</f>
        <v/>
      </c>
      <c r="Y1244" s="121">
        <f>IFERROR(R1244/W1244,"")</f>
        <v/>
      </c>
      <c r="Z1244" s="121">
        <f>IFERROR(R1244/S1244*1000,"")</f>
        <v/>
      </c>
      <c r="AA1244" s="122" t="n">
        <v>18</v>
      </c>
      <c r="AB1244" s="54">
        <f>IFERROR(AA1244/W1244,"")</f>
        <v/>
      </c>
      <c r="AC1244" s="122" t="n">
        <v>1524</v>
      </c>
      <c r="AD1244" s="122" t="n">
        <v>750</v>
      </c>
      <c r="AE1244" s="122" t="n">
        <v>725</v>
      </c>
      <c r="AF1244" s="122" t="n">
        <v>380</v>
      </c>
      <c r="AG1244" s="122" t="n">
        <v>298</v>
      </c>
      <c r="AH1244" s="122" t="n">
        <v>210</v>
      </c>
      <c r="AI1244" s="54">
        <f>IFERROR(AC1244/S1244,"")</f>
        <v/>
      </c>
      <c r="AJ1244" s="54">
        <f>IFERROR(AH1244/S1244,"")</f>
        <v/>
      </c>
      <c r="AK1244" s="122" t="n">
        <v>258</v>
      </c>
      <c r="AL1244" s="122" t="n">
        <v>0</v>
      </c>
      <c r="AM1244" s="124">
        <f>IFERROR(AL1244/AA1244,"")</f>
        <v/>
      </c>
      <c r="AN1244" s="125">
        <f>IFERROR(R1244/AL1244,"")</f>
        <v/>
      </c>
      <c r="AO1244" s="122" t="n">
        <v>0</v>
      </c>
      <c r="AP1244" s="54">
        <f>IFERROR(AO1244/AL1244,"")</f>
        <v/>
      </c>
      <c r="AQ1244" s="125">
        <f>IFERROR(R1244/AO1244,"")</f>
        <v/>
      </c>
      <c r="AR1244" s="122" t="n">
        <v>0</v>
      </c>
      <c r="AS1244" s="122" t="n">
        <v>0</v>
      </c>
      <c r="AT1244" s="122">
        <f>AL1244+AR1244</f>
        <v/>
      </c>
      <c r="AU1244" s="125">
        <f>IFERROR(AO1244*Assumptions!$C$26*Assumptions!$C$27*INDEX(Assumptions!$C$18:$C$21,MATCH(H1244,Assumptions!$B$18:$B$21,0)),0)</f>
        <v/>
      </c>
    </row>
    <row r="1245">
      <c r="A1245" s="120" t="n">
        <v>46250</v>
      </c>
      <c r="B1245" s="66" t="inlineStr">
        <is>
          <t>Wk 33</t>
        </is>
      </c>
      <c r="C1245" s="66" t="inlineStr">
        <is>
          <t>Sun</t>
        </is>
      </c>
      <c r="D1245" s="66" t="inlineStr">
        <is>
          <t>TikTok</t>
        </is>
      </c>
      <c r="E1245" s="66" t="inlineStr">
        <is>
          <t>TikTok</t>
        </is>
      </c>
      <c r="F1245" s="66" t="inlineStr">
        <is>
          <t>LEP_ZA_AUG26_TT_TD_PANTERA_CONV</t>
        </is>
      </c>
      <c r="G1245" s="66" t="inlineStr">
        <is>
          <t>Website Conversions</t>
        </is>
      </c>
      <c r="H1245" s="66" t="inlineStr">
        <is>
          <t>PANTERA</t>
        </is>
      </c>
      <c r="I1245" s="66" t="inlineStr">
        <is>
          <t>0% Deposit</t>
        </is>
      </c>
      <c r="J1245" s="66" t="inlineStr">
        <is>
          <t>TT_PANTERA_INT_LUX_ZA</t>
        </is>
      </c>
      <c r="K1245" s="66" t="inlineStr">
        <is>
          <t>Interest</t>
        </is>
      </c>
      <c r="L1245" s="66" t="inlineStr">
        <is>
          <t>TT_PANTERA_CREATOR_25s_Review_v1</t>
        </is>
      </c>
      <c r="M1245" s="66" t="inlineStr">
        <is>
          <t>Video 9:16</t>
        </is>
      </c>
      <c r="N1245" s="66" t="inlineStr">
        <is>
          <t>Creator review: is it worth it?</t>
        </is>
      </c>
      <c r="O1245" s="66" t="inlineStr">
        <is>
          <t>Auction - Cost Cap</t>
        </is>
      </c>
      <c r="P1245" s="66" t="inlineStr">
        <is>
          <t>Complete Payment / Lead</t>
        </is>
      </c>
      <c r="Q1245" s="66" t="inlineStr">
        <is>
          <t>https://www.lepas-sa.co.za/offers/pantera</t>
        </is>
      </c>
      <c r="R1245" s="121" t="n">
        <v>169.26</v>
      </c>
      <c r="S1245" s="122" t="n">
        <v>4350</v>
      </c>
      <c r="T1245" s="122" t="n">
        <v>3021</v>
      </c>
      <c r="U1245" s="123">
        <f>IFERROR(S1245/T1245,"")</f>
        <v/>
      </c>
      <c r="V1245" s="122" t="n">
        <v>32</v>
      </c>
      <c r="W1245" s="122" t="n">
        <v>24</v>
      </c>
      <c r="X1245" s="124">
        <f>IFERROR(W1245/S1245,"")</f>
        <v/>
      </c>
      <c r="Y1245" s="121">
        <f>IFERROR(R1245/W1245,"")</f>
        <v/>
      </c>
      <c r="Z1245" s="121">
        <f>IFERROR(R1245/S1245*1000,"")</f>
        <v/>
      </c>
      <c r="AA1245" s="122" t="n">
        <v>18</v>
      </c>
      <c r="AB1245" s="54">
        <f>IFERROR(AA1245/W1245,"")</f>
        <v/>
      </c>
      <c r="AC1245" s="122" t="n">
        <v>1468</v>
      </c>
      <c r="AD1245" s="122" t="n">
        <v>690</v>
      </c>
      <c r="AE1245" s="122" t="n">
        <v>791</v>
      </c>
      <c r="AF1245" s="122" t="n">
        <v>433</v>
      </c>
      <c r="AG1245" s="122" t="n">
        <v>295</v>
      </c>
      <c r="AH1245" s="122" t="n">
        <v>173</v>
      </c>
      <c r="AI1245" s="54">
        <f>IFERROR(AC1245/S1245,"")</f>
        <v/>
      </c>
      <c r="AJ1245" s="54">
        <f>IFERROR(AH1245/S1245,"")</f>
        <v/>
      </c>
      <c r="AK1245" s="122" t="n">
        <v>101</v>
      </c>
      <c r="AL1245" s="122" t="n">
        <v>0</v>
      </c>
      <c r="AM1245" s="124">
        <f>IFERROR(AL1245/AA1245,"")</f>
        <v/>
      </c>
      <c r="AN1245" s="125">
        <f>IFERROR(R1245/AL1245,"")</f>
        <v/>
      </c>
      <c r="AO1245" s="122" t="n">
        <v>0</v>
      </c>
      <c r="AP1245" s="54">
        <f>IFERROR(AO1245/AL1245,"")</f>
        <v/>
      </c>
      <c r="AQ1245" s="125">
        <f>IFERROR(R1245/AO1245,"")</f>
        <v/>
      </c>
      <c r="AR1245" s="122" t="n">
        <v>0</v>
      </c>
      <c r="AS1245" s="122" t="n">
        <v>0</v>
      </c>
      <c r="AT1245" s="122">
        <f>AL1245+AR1245</f>
        <v/>
      </c>
      <c r="AU1245" s="125">
        <f>IFERROR(AO1245*Assumptions!$C$26*Assumptions!$C$27*INDEX(Assumptions!$C$18:$C$21,MATCH(H1245,Assumptions!$B$18:$B$21,0)),0)</f>
        <v/>
      </c>
    </row>
    <row r="1246">
      <c r="A1246" s="120" t="n">
        <v>46251</v>
      </c>
      <c r="B1246" s="66" t="inlineStr">
        <is>
          <t>Wk 34</t>
        </is>
      </c>
      <c r="C1246" s="66" t="inlineStr">
        <is>
          <t>Mon</t>
        </is>
      </c>
      <c r="D1246" s="66" t="inlineStr">
        <is>
          <t>TikTok</t>
        </is>
      </c>
      <c r="E1246" s="66" t="inlineStr">
        <is>
          <t>TikTok</t>
        </is>
      </c>
      <c r="F1246" s="66" t="inlineStr">
        <is>
          <t>LEP_ZA_AUG26_TT_TD_PANTERA_CONV</t>
        </is>
      </c>
      <c r="G1246" s="66" t="inlineStr">
        <is>
          <t>Website Conversions</t>
        </is>
      </c>
      <c r="H1246" s="66" t="inlineStr">
        <is>
          <t>PANTERA</t>
        </is>
      </c>
      <c r="I1246" s="66" t="inlineStr">
        <is>
          <t>0% Deposit</t>
        </is>
      </c>
      <c r="J1246" s="66" t="inlineStr">
        <is>
          <t>TT_PANTERA_INT_LUX_ZA</t>
        </is>
      </c>
      <c r="K1246" s="66" t="inlineStr">
        <is>
          <t>Interest</t>
        </is>
      </c>
      <c r="L1246" s="66" t="inlineStr">
        <is>
          <t>TT_PANTERA_CREATOR_25s_Review_v1</t>
        </is>
      </c>
      <c r="M1246" s="66" t="inlineStr">
        <is>
          <t>Video 9:16</t>
        </is>
      </c>
      <c r="N1246" s="66" t="inlineStr">
        <is>
          <t>Creator review: is it worth it?</t>
        </is>
      </c>
      <c r="O1246" s="66" t="inlineStr">
        <is>
          <t>Auction - Cost Cap</t>
        </is>
      </c>
      <c r="P1246" s="66" t="inlineStr">
        <is>
          <t>Complete Payment / Lead</t>
        </is>
      </c>
      <c r="Q1246" s="66" t="inlineStr">
        <is>
          <t>https://www.lepas-sa.co.za/offers/pantera</t>
        </is>
      </c>
      <c r="R1246" s="121" t="n">
        <v>177.61</v>
      </c>
      <c r="S1246" s="122" t="n">
        <v>6367</v>
      </c>
      <c r="T1246" s="122" t="n">
        <v>3277</v>
      </c>
      <c r="U1246" s="123">
        <f>IFERROR(S1246/T1246,"")</f>
        <v/>
      </c>
      <c r="V1246" s="122" t="n">
        <v>48</v>
      </c>
      <c r="W1246" s="122" t="n">
        <v>35</v>
      </c>
      <c r="X1246" s="124">
        <f>IFERROR(W1246/S1246,"")</f>
        <v/>
      </c>
      <c r="Y1246" s="121">
        <f>IFERROR(R1246/W1246,"")</f>
        <v/>
      </c>
      <c r="Z1246" s="121">
        <f>IFERROR(R1246/S1246*1000,"")</f>
        <v/>
      </c>
      <c r="AA1246" s="122" t="n">
        <v>27</v>
      </c>
      <c r="AB1246" s="54">
        <f>IFERROR(AA1246/W1246,"")</f>
        <v/>
      </c>
      <c r="AC1246" s="122" t="n">
        <v>1950</v>
      </c>
      <c r="AD1246" s="122" t="n">
        <v>1100</v>
      </c>
      <c r="AE1246" s="122" t="n">
        <v>830</v>
      </c>
      <c r="AF1246" s="122" t="n">
        <v>516</v>
      </c>
      <c r="AG1246" s="122" t="n">
        <v>361</v>
      </c>
      <c r="AH1246" s="122" t="n">
        <v>213</v>
      </c>
      <c r="AI1246" s="54">
        <f>IFERROR(AC1246/S1246,"")</f>
        <v/>
      </c>
      <c r="AJ1246" s="54">
        <f>IFERROR(AH1246/S1246,"")</f>
        <v/>
      </c>
      <c r="AK1246" s="122" t="n">
        <v>276</v>
      </c>
      <c r="AL1246" s="122" t="n">
        <v>0</v>
      </c>
      <c r="AM1246" s="124">
        <f>IFERROR(AL1246/AA1246,"")</f>
        <v/>
      </c>
      <c r="AN1246" s="125">
        <f>IFERROR(R1246/AL1246,"")</f>
        <v/>
      </c>
      <c r="AO1246" s="122" t="n">
        <v>0</v>
      </c>
      <c r="AP1246" s="54">
        <f>IFERROR(AO1246/AL1246,"")</f>
        <v/>
      </c>
      <c r="AQ1246" s="125">
        <f>IFERROR(R1246/AO1246,"")</f>
        <v/>
      </c>
      <c r="AR1246" s="122" t="n">
        <v>0</v>
      </c>
      <c r="AS1246" s="122" t="n">
        <v>0</v>
      </c>
      <c r="AT1246" s="122">
        <f>AL1246+AR1246</f>
        <v/>
      </c>
      <c r="AU1246" s="125">
        <f>IFERROR(AO1246*Assumptions!$C$26*Assumptions!$C$27*INDEX(Assumptions!$C$18:$C$21,MATCH(H1246,Assumptions!$B$18:$B$21,0)),0)</f>
        <v/>
      </c>
    </row>
    <row r="1247">
      <c r="A1247" s="120" t="n">
        <v>46252</v>
      </c>
      <c r="B1247" s="66" t="inlineStr">
        <is>
          <t>Wk 34</t>
        </is>
      </c>
      <c r="C1247" s="66" t="inlineStr">
        <is>
          <t>Tue</t>
        </is>
      </c>
      <c r="D1247" s="66" t="inlineStr">
        <is>
          <t>TikTok</t>
        </is>
      </c>
      <c r="E1247" s="66" t="inlineStr">
        <is>
          <t>TikTok</t>
        </is>
      </c>
      <c r="F1247" s="66" t="inlineStr">
        <is>
          <t>LEP_ZA_AUG26_TT_TD_PANTERA_CONV</t>
        </is>
      </c>
      <c r="G1247" s="66" t="inlineStr">
        <is>
          <t>Website Conversions</t>
        </is>
      </c>
      <c r="H1247" s="66" t="inlineStr">
        <is>
          <t>PANTERA</t>
        </is>
      </c>
      <c r="I1247" s="66" t="inlineStr">
        <is>
          <t>0% Deposit</t>
        </is>
      </c>
      <c r="J1247" s="66" t="inlineStr">
        <is>
          <t>TT_PANTERA_INT_LUX_ZA</t>
        </is>
      </c>
      <c r="K1247" s="66" t="inlineStr">
        <is>
          <t>Interest</t>
        </is>
      </c>
      <c r="L1247" s="66" t="inlineStr">
        <is>
          <t>TT_PANTERA_CREATOR_25s_Review_v1</t>
        </is>
      </c>
      <c r="M1247" s="66" t="inlineStr">
        <is>
          <t>Video 9:16</t>
        </is>
      </c>
      <c r="N1247" s="66" t="inlineStr">
        <is>
          <t>Creator review: is it worth it?</t>
        </is>
      </c>
      <c r="O1247" s="66" t="inlineStr">
        <is>
          <t>Auction - Cost Cap</t>
        </is>
      </c>
      <c r="P1247" s="66" t="inlineStr">
        <is>
          <t>Complete Payment / Lead</t>
        </is>
      </c>
      <c r="Q1247" s="66" t="inlineStr">
        <is>
          <t>https://www.lepas-sa.co.za/offers/pantera</t>
        </is>
      </c>
      <c r="R1247" s="121" t="n">
        <v>162.42</v>
      </c>
      <c r="S1247" s="122" t="n">
        <v>5359</v>
      </c>
      <c r="T1247" s="122" t="n">
        <v>2932</v>
      </c>
      <c r="U1247" s="123">
        <f>IFERROR(S1247/T1247,"")</f>
        <v/>
      </c>
      <c r="V1247" s="122" t="n">
        <v>37</v>
      </c>
      <c r="W1247" s="122" t="n">
        <v>30</v>
      </c>
      <c r="X1247" s="124">
        <f>IFERROR(W1247/S1247,"")</f>
        <v/>
      </c>
      <c r="Y1247" s="121">
        <f>IFERROR(R1247/W1247,"")</f>
        <v/>
      </c>
      <c r="Z1247" s="121">
        <f>IFERROR(R1247/S1247*1000,"")</f>
        <v/>
      </c>
      <c r="AA1247" s="122" t="n">
        <v>20</v>
      </c>
      <c r="AB1247" s="54">
        <f>IFERROR(AA1247/W1247,"")</f>
        <v/>
      </c>
      <c r="AC1247" s="122" t="n">
        <v>1773</v>
      </c>
      <c r="AD1247" s="122" t="n">
        <v>961</v>
      </c>
      <c r="AE1247" s="122" t="n">
        <v>809</v>
      </c>
      <c r="AF1247" s="122" t="n">
        <v>506</v>
      </c>
      <c r="AG1247" s="122" t="n">
        <v>352</v>
      </c>
      <c r="AH1247" s="122" t="n">
        <v>203</v>
      </c>
      <c r="AI1247" s="54">
        <f>IFERROR(AC1247/S1247,"")</f>
        <v/>
      </c>
      <c r="AJ1247" s="54">
        <f>IFERROR(AH1247/S1247,"")</f>
        <v/>
      </c>
      <c r="AK1247" s="122" t="n">
        <v>227</v>
      </c>
      <c r="AL1247" s="122" t="n">
        <v>0</v>
      </c>
      <c r="AM1247" s="124">
        <f>IFERROR(AL1247/AA1247,"")</f>
        <v/>
      </c>
      <c r="AN1247" s="125">
        <f>IFERROR(R1247/AL1247,"")</f>
        <v/>
      </c>
      <c r="AO1247" s="122" t="n">
        <v>0</v>
      </c>
      <c r="AP1247" s="54">
        <f>IFERROR(AO1247/AL1247,"")</f>
        <v/>
      </c>
      <c r="AQ1247" s="125">
        <f>IFERROR(R1247/AO1247,"")</f>
        <v/>
      </c>
      <c r="AR1247" s="122" t="n">
        <v>0</v>
      </c>
      <c r="AS1247" s="122" t="n">
        <v>0</v>
      </c>
      <c r="AT1247" s="122">
        <f>AL1247+AR1247</f>
        <v/>
      </c>
      <c r="AU1247" s="125">
        <f>IFERROR(AO1247*Assumptions!$C$26*Assumptions!$C$27*INDEX(Assumptions!$C$18:$C$21,MATCH(H1247,Assumptions!$B$18:$B$21,0)),0)</f>
        <v/>
      </c>
    </row>
    <row r="1248">
      <c r="A1248" s="120" t="n">
        <v>46253</v>
      </c>
      <c r="B1248" s="66" t="inlineStr">
        <is>
          <t>Wk 34</t>
        </is>
      </c>
      <c r="C1248" s="66" t="inlineStr">
        <is>
          <t>Wed</t>
        </is>
      </c>
      <c r="D1248" s="66" t="inlineStr">
        <is>
          <t>TikTok</t>
        </is>
      </c>
      <c r="E1248" s="66" t="inlineStr">
        <is>
          <t>TikTok</t>
        </is>
      </c>
      <c r="F1248" s="66" t="inlineStr">
        <is>
          <t>LEP_ZA_AUG26_TT_TD_PANTERA_CONV</t>
        </is>
      </c>
      <c r="G1248" s="66" t="inlineStr">
        <is>
          <t>Website Conversions</t>
        </is>
      </c>
      <c r="H1248" s="66" t="inlineStr">
        <is>
          <t>PANTERA</t>
        </is>
      </c>
      <c r="I1248" s="66" t="inlineStr">
        <is>
          <t>0% Deposit</t>
        </is>
      </c>
      <c r="J1248" s="66" t="inlineStr">
        <is>
          <t>TT_PANTERA_INT_LUX_ZA</t>
        </is>
      </c>
      <c r="K1248" s="66" t="inlineStr">
        <is>
          <t>Interest</t>
        </is>
      </c>
      <c r="L1248" s="66" t="inlineStr">
        <is>
          <t>TT_PANTERA_CREATOR_25s_Review_v1</t>
        </is>
      </c>
      <c r="M1248" s="66" t="inlineStr">
        <is>
          <t>Video 9:16</t>
        </is>
      </c>
      <c r="N1248" s="66" t="inlineStr">
        <is>
          <t>Creator review: is it worth it?</t>
        </is>
      </c>
      <c r="O1248" s="66" t="inlineStr">
        <is>
          <t>Auction - Cost Cap</t>
        </is>
      </c>
      <c r="P1248" s="66" t="inlineStr">
        <is>
          <t>Complete Payment / Lead</t>
        </is>
      </c>
      <c r="Q1248" s="66" t="inlineStr">
        <is>
          <t>https://www.lepas-sa.co.za/offers/pantera</t>
        </is>
      </c>
      <c r="R1248" s="121" t="n">
        <v>209.18</v>
      </c>
      <c r="S1248" s="122" t="n">
        <v>4803</v>
      </c>
      <c r="T1248" s="122" t="n">
        <v>2768</v>
      </c>
      <c r="U1248" s="123">
        <f>IFERROR(S1248/T1248,"")</f>
        <v/>
      </c>
      <c r="V1248" s="122" t="n">
        <v>51</v>
      </c>
      <c r="W1248" s="122" t="n">
        <v>37</v>
      </c>
      <c r="X1248" s="124">
        <f>IFERROR(W1248/S1248,"")</f>
        <v/>
      </c>
      <c r="Y1248" s="121">
        <f>IFERROR(R1248/W1248,"")</f>
        <v/>
      </c>
      <c r="Z1248" s="121">
        <f>IFERROR(R1248/S1248*1000,"")</f>
        <v/>
      </c>
      <c r="AA1248" s="122" t="n">
        <v>26</v>
      </c>
      <c r="AB1248" s="54">
        <f>IFERROR(AA1248/W1248,"")</f>
        <v/>
      </c>
      <c r="AC1248" s="122" t="n">
        <v>1084</v>
      </c>
      <c r="AD1248" s="122" t="n">
        <v>541</v>
      </c>
      <c r="AE1248" s="122" t="n">
        <v>540</v>
      </c>
      <c r="AF1248" s="122" t="n">
        <v>337</v>
      </c>
      <c r="AG1248" s="122" t="n">
        <v>240</v>
      </c>
      <c r="AH1248" s="122" t="n">
        <v>138</v>
      </c>
      <c r="AI1248" s="54">
        <f>IFERROR(AC1248/S1248,"")</f>
        <v/>
      </c>
      <c r="AJ1248" s="54">
        <f>IFERROR(AH1248/S1248,"")</f>
        <v/>
      </c>
      <c r="AK1248" s="122" t="n">
        <v>96</v>
      </c>
      <c r="AL1248" s="122" t="n">
        <v>0</v>
      </c>
      <c r="AM1248" s="124">
        <f>IFERROR(AL1248/AA1248,"")</f>
        <v/>
      </c>
      <c r="AN1248" s="125">
        <f>IFERROR(R1248/AL1248,"")</f>
        <v/>
      </c>
      <c r="AO1248" s="122" t="n">
        <v>0</v>
      </c>
      <c r="AP1248" s="54">
        <f>IFERROR(AO1248/AL1248,"")</f>
        <v/>
      </c>
      <c r="AQ1248" s="125">
        <f>IFERROR(R1248/AO1248,"")</f>
        <v/>
      </c>
      <c r="AR1248" s="122" t="n">
        <v>0</v>
      </c>
      <c r="AS1248" s="122" t="n">
        <v>0</v>
      </c>
      <c r="AT1248" s="122">
        <f>AL1248+AR1248</f>
        <v/>
      </c>
      <c r="AU1248" s="125">
        <f>IFERROR(AO1248*Assumptions!$C$26*Assumptions!$C$27*INDEX(Assumptions!$C$18:$C$21,MATCH(H1248,Assumptions!$B$18:$B$21,0)),0)</f>
        <v/>
      </c>
    </row>
    <row r="1249">
      <c r="A1249" s="120" t="n">
        <v>46254</v>
      </c>
      <c r="B1249" s="66" t="inlineStr">
        <is>
          <t>Wk 34</t>
        </is>
      </c>
      <c r="C1249" s="66" t="inlineStr">
        <is>
          <t>Thu</t>
        </is>
      </c>
      <c r="D1249" s="66" t="inlineStr">
        <is>
          <t>TikTok</t>
        </is>
      </c>
      <c r="E1249" s="66" t="inlineStr">
        <is>
          <t>TikTok</t>
        </is>
      </c>
      <c r="F1249" s="66" t="inlineStr">
        <is>
          <t>LEP_ZA_AUG26_TT_TD_PANTERA_CONV</t>
        </is>
      </c>
      <c r="G1249" s="66" t="inlineStr">
        <is>
          <t>Website Conversions</t>
        </is>
      </c>
      <c r="H1249" s="66" t="inlineStr">
        <is>
          <t>PANTERA</t>
        </is>
      </c>
      <c r="I1249" s="66" t="inlineStr">
        <is>
          <t>0% Deposit</t>
        </is>
      </c>
      <c r="J1249" s="66" t="inlineStr">
        <is>
          <t>TT_PANTERA_INT_LUX_ZA</t>
        </is>
      </c>
      <c r="K1249" s="66" t="inlineStr">
        <is>
          <t>Interest</t>
        </is>
      </c>
      <c r="L1249" s="66" t="inlineStr">
        <is>
          <t>TT_PANTERA_CREATOR_25s_Review_v1</t>
        </is>
      </c>
      <c r="M1249" s="66" t="inlineStr">
        <is>
          <t>Video 9:16</t>
        </is>
      </c>
      <c r="N1249" s="66" t="inlineStr">
        <is>
          <t>Creator review: is it worth it?</t>
        </is>
      </c>
      <c r="O1249" s="66" t="inlineStr">
        <is>
          <t>Auction - Cost Cap</t>
        </is>
      </c>
      <c r="P1249" s="66" t="inlineStr">
        <is>
          <t>Complete Payment / Lead</t>
        </is>
      </c>
      <c r="Q1249" s="66" t="inlineStr">
        <is>
          <t>https://www.lepas-sa.co.za/offers/pantera</t>
        </is>
      </c>
      <c r="R1249" s="121" t="n">
        <v>196.01</v>
      </c>
      <c r="S1249" s="122" t="n">
        <v>5522</v>
      </c>
      <c r="T1249" s="122" t="n">
        <v>3663</v>
      </c>
      <c r="U1249" s="123">
        <f>IFERROR(S1249/T1249,"")</f>
        <v/>
      </c>
      <c r="V1249" s="122" t="n">
        <v>56</v>
      </c>
      <c r="W1249" s="122" t="n">
        <v>43</v>
      </c>
      <c r="X1249" s="124">
        <f>IFERROR(W1249/S1249,"")</f>
        <v/>
      </c>
      <c r="Y1249" s="121">
        <f>IFERROR(R1249/W1249,"")</f>
        <v/>
      </c>
      <c r="Z1249" s="121">
        <f>IFERROR(R1249/S1249*1000,"")</f>
        <v/>
      </c>
      <c r="AA1249" s="122" t="n">
        <v>27</v>
      </c>
      <c r="AB1249" s="54">
        <f>IFERROR(AA1249/W1249,"")</f>
        <v/>
      </c>
      <c r="AC1249" s="122" t="n">
        <v>1905</v>
      </c>
      <c r="AD1249" s="122" t="n">
        <v>931</v>
      </c>
      <c r="AE1249" s="122" t="n">
        <v>1001</v>
      </c>
      <c r="AF1249" s="122" t="n">
        <v>702</v>
      </c>
      <c r="AG1249" s="122" t="n">
        <v>480</v>
      </c>
      <c r="AH1249" s="122" t="n">
        <v>328</v>
      </c>
      <c r="AI1249" s="54">
        <f>IFERROR(AC1249/S1249,"")</f>
        <v/>
      </c>
      <c r="AJ1249" s="54">
        <f>IFERROR(AH1249/S1249,"")</f>
        <v/>
      </c>
      <c r="AK1249" s="122" t="n">
        <v>124</v>
      </c>
      <c r="AL1249" s="122" t="n">
        <v>0</v>
      </c>
      <c r="AM1249" s="124">
        <f>IFERROR(AL1249/AA1249,"")</f>
        <v/>
      </c>
      <c r="AN1249" s="125">
        <f>IFERROR(R1249/AL1249,"")</f>
        <v/>
      </c>
      <c r="AO1249" s="122" t="n">
        <v>0</v>
      </c>
      <c r="AP1249" s="54">
        <f>IFERROR(AO1249/AL1249,"")</f>
        <v/>
      </c>
      <c r="AQ1249" s="125">
        <f>IFERROR(R1249/AO1249,"")</f>
        <v/>
      </c>
      <c r="AR1249" s="122" t="n">
        <v>0</v>
      </c>
      <c r="AS1249" s="122" t="n">
        <v>0</v>
      </c>
      <c r="AT1249" s="122">
        <f>AL1249+AR1249</f>
        <v/>
      </c>
      <c r="AU1249" s="125">
        <f>IFERROR(AO1249*Assumptions!$C$26*Assumptions!$C$27*INDEX(Assumptions!$C$18:$C$21,MATCH(H1249,Assumptions!$B$18:$B$21,0)),0)</f>
        <v/>
      </c>
    </row>
    <row r="1250">
      <c r="A1250" s="120" t="n">
        <v>46255</v>
      </c>
      <c r="B1250" s="66" t="inlineStr">
        <is>
          <t>Wk 34</t>
        </is>
      </c>
      <c r="C1250" s="66" t="inlineStr">
        <is>
          <t>Fri</t>
        </is>
      </c>
      <c r="D1250" s="66" t="inlineStr">
        <is>
          <t>TikTok</t>
        </is>
      </c>
      <c r="E1250" s="66" t="inlineStr">
        <is>
          <t>TikTok</t>
        </is>
      </c>
      <c r="F1250" s="66" t="inlineStr">
        <is>
          <t>LEP_ZA_AUG26_TT_TD_PANTERA_CONV</t>
        </is>
      </c>
      <c r="G1250" s="66" t="inlineStr">
        <is>
          <t>Website Conversions</t>
        </is>
      </c>
      <c r="H1250" s="66" t="inlineStr">
        <is>
          <t>PANTERA</t>
        </is>
      </c>
      <c r="I1250" s="66" t="inlineStr">
        <is>
          <t>0% Deposit</t>
        </is>
      </c>
      <c r="J1250" s="66" t="inlineStr">
        <is>
          <t>TT_PANTERA_INT_LUX_ZA</t>
        </is>
      </c>
      <c r="K1250" s="66" t="inlineStr">
        <is>
          <t>Interest</t>
        </is>
      </c>
      <c r="L1250" s="66" t="inlineStr">
        <is>
          <t>TT_PANTERA_CREATOR_25s_Review_v1</t>
        </is>
      </c>
      <c r="M1250" s="66" t="inlineStr">
        <is>
          <t>Video 9:16</t>
        </is>
      </c>
      <c r="N1250" s="66" t="inlineStr">
        <is>
          <t>Creator review: is it worth it?</t>
        </is>
      </c>
      <c r="O1250" s="66" t="inlineStr">
        <is>
          <t>Auction - Cost Cap</t>
        </is>
      </c>
      <c r="P1250" s="66" t="inlineStr">
        <is>
          <t>Complete Payment / Lead</t>
        </is>
      </c>
      <c r="Q1250" s="66" t="inlineStr">
        <is>
          <t>https://www.lepas-sa.co.za/offers/pantera</t>
        </is>
      </c>
      <c r="R1250" s="121" t="n">
        <v>243.14</v>
      </c>
      <c r="S1250" s="122" t="n">
        <v>5222</v>
      </c>
      <c r="T1250" s="122" t="n">
        <v>2714</v>
      </c>
      <c r="U1250" s="123">
        <f>IFERROR(S1250/T1250,"")</f>
        <v/>
      </c>
      <c r="V1250" s="122" t="n">
        <v>51</v>
      </c>
      <c r="W1250" s="122" t="n">
        <v>41</v>
      </c>
      <c r="X1250" s="124">
        <f>IFERROR(W1250/S1250,"")</f>
        <v/>
      </c>
      <c r="Y1250" s="121">
        <f>IFERROR(R1250/W1250,"")</f>
        <v/>
      </c>
      <c r="Z1250" s="121">
        <f>IFERROR(R1250/S1250*1000,"")</f>
        <v/>
      </c>
      <c r="AA1250" s="122" t="n">
        <v>28</v>
      </c>
      <c r="AB1250" s="54">
        <f>IFERROR(AA1250/W1250,"")</f>
        <v/>
      </c>
      <c r="AC1250" s="122" t="n">
        <v>1284</v>
      </c>
      <c r="AD1250" s="122" t="n">
        <v>722</v>
      </c>
      <c r="AE1250" s="122" t="n">
        <v>590</v>
      </c>
      <c r="AF1250" s="122" t="n">
        <v>314</v>
      </c>
      <c r="AG1250" s="122" t="n">
        <v>208</v>
      </c>
      <c r="AH1250" s="122" t="n">
        <v>138</v>
      </c>
      <c r="AI1250" s="54">
        <f>IFERROR(AC1250/S1250,"")</f>
        <v/>
      </c>
      <c r="AJ1250" s="54">
        <f>IFERROR(AH1250/S1250,"")</f>
        <v/>
      </c>
      <c r="AK1250" s="122" t="n">
        <v>145</v>
      </c>
      <c r="AL1250" s="122" t="n">
        <v>0</v>
      </c>
      <c r="AM1250" s="124">
        <f>IFERROR(AL1250/AA1250,"")</f>
        <v/>
      </c>
      <c r="AN1250" s="125">
        <f>IFERROR(R1250/AL1250,"")</f>
        <v/>
      </c>
      <c r="AO1250" s="122" t="n">
        <v>0</v>
      </c>
      <c r="AP1250" s="54">
        <f>IFERROR(AO1250/AL1250,"")</f>
        <v/>
      </c>
      <c r="AQ1250" s="125">
        <f>IFERROR(R1250/AO1250,"")</f>
        <v/>
      </c>
      <c r="AR1250" s="122" t="n">
        <v>0</v>
      </c>
      <c r="AS1250" s="122" t="n">
        <v>0</v>
      </c>
      <c r="AT1250" s="122">
        <f>AL1250+AR1250</f>
        <v/>
      </c>
      <c r="AU1250" s="125">
        <f>IFERROR(AO1250*Assumptions!$C$26*Assumptions!$C$27*INDEX(Assumptions!$C$18:$C$21,MATCH(H1250,Assumptions!$B$18:$B$21,0)),0)</f>
        <v/>
      </c>
    </row>
    <row r="1251">
      <c r="A1251" s="120" t="n">
        <v>46256</v>
      </c>
      <c r="B1251" s="66" t="inlineStr">
        <is>
          <t>Wk 34</t>
        </is>
      </c>
      <c r="C1251" s="66" t="inlineStr">
        <is>
          <t>Sat</t>
        </is>
      </c>
      <c r="D1251" s="66" t="inlineStr">
        <is>
          <t>TikTok</t>
        </is>
      </c>
      <c r="E1251" s="66" t="inlineStr">
        <is>
          <t>TikTok</t>
        </is>
      </c>
      <c r="F1251" s="66" t="inlineStr">
        <is>
          <t>LEP_ZA_AUG26_TT_TD_PANTERA_CONV</t>
        </is>
      </c>
      <c r="G1251" s="66" t="inlineStr">
        <is>
          <t>Website Conversions</t>
        </is>
      </c>
      <c r="H1251" s="66" t="inlineStr">
        <is>
          <t>PANTERA</t>
        </is>
      </c>
      <c r="I1251" s="66" t="inlineStr">
        <is>
          <t>0% Deposit</t>
        </is>
      </c>
      <c r="J1251" s="66" t="inlineStr">
        <is>
          <t>TT_PANTERA_INT_LUX_ZA</t>
        </is>
      </c>
      <c r="K1251" s="66" t="inlineStr">
        <is>
          <t>Interest</t>
        </is>
      </c>
      <c r="L1251" s="66" t="inlineStr">
        <is>
          <t>TT_PANTERA_CREATOR_25s_Review_v1</t>
        </is>
      </c>
      <c r="M1251" s="66" t="inlineStr">
        <is>
          <t>Video 9:16</t>
        </is>
      </c>
      <c r="N1251" s="66" t="inlineStr">
        <is>
          <t>Creator review: is it worth it?</t>
        </is>
      </c>
      <c r="O1251" s="66" t="inlineStr">
        <is>
          <t>Auction - Cost Cap</t>
        </is>
      </c>
      <c r="P1251" s="66" t="inlineStr">
        <is>
          <t>Complete Payment / Lead</t>
        </is>
      </c>
      <c r="Q1251" s="66" t="inlineStr">
        <is>
          <t>https://www.lepas-sa.co.za/offers/pantera</t>
        </is>
      </c>
      <c r="R1251" s="121" t="n">
        <v>188.2</v>
      </c>
      <c r="S1251" s="122" t="n">
        <v>4406</v>
      </c>
      <c r="T1251" s="122" t="n">
        <v>2470</v>
      </c>
      <c r="U1251" s="123">
        <f>IFERROR(S1251/T1251,"")</f>
        <v/>
      </c>
      <c r="V1251" s="122" t="n">
        <v>25</v>
      </c>
      <c r="W1251" s="122" t="n">
        <v>20</v>
      </c>
      <c r="X1251" s="124">
        <f>IFERROR(W1251/S1251,"")</f>
        <v/>
      </c>
      <c r="Y1251" s="121">
        <f>IFERROR(R1251/W1251,"")</f>
        <v/>
      </c>
      <c r="Z1251" s="121">
        <f>IFERROR(R1251/S1251*1000,"")</f>
        <v/>
      </c>
      <c r="AA1251" s="122" t="n">
        <v>15</v>
      </c>
      <c r="AB1251" s="54">
        <f>IFERROR(AA1251/W1251,"")</f>
        <v/>
      </c>
      <c r="AC1251" s="122" t="n">
        <v>1682</v>
      </c>
      <c r="AD1251" s="122" t="n">
        <v>1013</v>
      </c>
      <c r="AE1251" s="122" t="n">
        <v>767</v>
      </c>
      <c r="AF1251" s="122" t="n">
        <v>444</v>
      </c>
      <c r="AG1251" s="122" t="n">
        <v>352</v>
      </c>
      <c r="AH1251" s="122" t="n">
        <v>220</v>
      </c>
      <c r="AI1251" s="54">
        <f>IFERROR(AC1251/S1251,"")</f>
        <v/>
      </c>
      <c r="AJ1251" s="54">
        <f>IFERROR(AH1251/S1251,"")</f>
        <v/>
      </c>
      <c r="AK1251" s="122" t="n">
        <v>259</v>
      </c>
      <c r="AL1251" s="122" t="n">
        <v>0</v>
      </c>
      <c r="AM1251" s="124">
        <f>IFERROR(AL1251/AA1251,"")</f>
        <v/>
      </c>
      <c r="AN1251" s="125">
        <f>IFERROR(R1251/AL1251,"")</f>
        <v/>
      </c>
      <c r="AO1251" s="122" t="n">
        <v>0</v>
      </c>
      <c r="AP1251" s="54">
        <f>IFERROR(AO1251/AL1251,"")</f>
        <v/>
      </c>
      <c r="AQ1251" s="125">
        <f>IFERROR(R1251/AO1251,"")</f>
        <v/>
      </c>
      <c r="AR1251" s="122" t="n">
        <v>0</v>
      </c>
      <c r="AS1251" s="122" t="n">
        <v>0</v>
      </c>
      <c r="AT1251" s="122">
        <f>AL1251+AR1251</f>
        <v/>
      </c>
      <c r="AU1251" s="125">
        <f>IFERROR(AO1251*Assumptions!$C$26*Assumptions!$C$27*INDEX(Assumptions!$C$18:$C$21,MATCH(H1251,Assumptions!$B$18:$B$21,0)),0)</f>
        <v/>
      </c>
    </row>
    <row r="1252">
      <c r="A1252" s="120" t="n">
        <v>46257</v>
      </c>
      <c r="B1252" s="66" t="inlineStr">
        <is>
          <t>Wk 34</t>
        </is>
      </c>
      <c r="C1252" s="66" t="inlineStr">
        <is>
          <t>Sun</t>
        </is>
      </c>
      <c r="D1252" s="66" t="inlineStr">
        <is>
          <t>TikTok</t>
        </is>
      </c>
      <c r="E1252" s="66" t="inlineStr">
        <is>
          <t>TikTok</t>
        </is>
      </c>
      <c r="F1252" s="66" t="inlineStr">
        <is>
          <t>LEP_ZA_AUG26_TT_TD_PANTERA_CONV</t>
        </is>
      </c>
      <c r="G1252" s="66" t="inlineStr">
        <is>
          <t>Website Conversions</t>
        </is>
      </c>
      <c r="H1252" s="66" t="inlineStr">
        <is>
          <t>PANTERA</t>
        </is>
      </c>
      <c r="I1252" s="66" t="inlineStr">
        <is>
          <t>0% Deposit</t>
        </is>
      </c>
      <c r="J1252" s="66" t="inlineStr">
        <is>
          <t>TT_PANTERA_INT_LUX_ZA</t>
        </is>
      </c>
      <c r="K1252" s="66" t="inlineStr">
        <is>
          <t>Interest</t>
        </is>
      </c>
      <c r="L1252" s="66" t="inlineStr">
        <is>
          <t>TT_PANTERA_CREATOR_25s_Review_v1</t>
        </is>
      </c>
      <c r="M1252" s="66" t="inlineStr">
        <is>
          <t>Video 9:16</t>
        </is>
      </c>
      <c r="N1252" s="66" t="inlineStr">
        <is>
          <t>Creator review: is it worth it?</t>
        </is>
      </c>
      <c r="O1252" s="66" t="inlineStr">
        <is>
          <t>Auction - Cost Cap</t>
        </is>
      </c>
      <c r="P1252" s="66" t="inlineStr">
        <is>
          <t>Complete Payment / Lead</t>
        </is>
      </c>
      <c r="Q1252" s="66" t="inlineStr">
        <is>
          <t>https://www.lepas-sa.co.za/offers/pantera</t>
        </is>
      </c>
      <c r="R1252" s="121" t="n">
        <v>183.18</v>
      </c>
      <c r="S1252" s="122" t="n">
        <v>4054</v>
      </c>
      <c r="T1252" s="122" t="n">
        <v>2512</v>
      </c>
      <c r="U1252" s="123">
        <f>IFERROR(S1252/T1252,"")</f>
        <v/>
      </c>
      <c r="V1252" s="122" t="n">
        <v>27</v>
      </c>
      <c r="W1252" s="122" t="n">
        <v>23</v>
      </c>
      <c r="X1252" s="124">
        <f>IFERROR(W1252/S1252,"")</f>
        <v/>
      </c>
      <c r="Y1252" s="121">
        <f>IFERROR(R1252/W1252,"")</f>
        <v/>
      </c>
      <c r="Z1252" s="121">
        <f>IFERROR(R1252/S1252*1000,"")</f>
        <v/>
      </c>
      <c r="AA1252" s="122" t="n">
        <v>14</v>
      </c>
      <c r="AB1252" s="54">
        <f>IFERROR(AA1252/W1252,"")</f>
        <v/>
      </c>
      <c r="AC1252" s="122" t="n">
        <v>1342</v>
      </c>
      <c r="AD1252" s="122" t="n">
        <v>594</v>
      </c>
      <c r="AE1252" s="122" t="n">
        <v>591</v>
      </c>
      <c r="AF1252" s="122" t="n">
        <v>317</v>
      </c>
      <c r="AG1252" s="122" t="n">
        <v>213</v>
      </c>
      <c r="AH1252" s="122" t="n">
        <v>134</v>
      </c>
      <c r="AI1252" s="54">
        <f>IFERROR(AC1252/S1252,"")</f>
        <v/>
      </c>
      <c r="AJ1252" s="54">
        <f>IFERROR(AH1252/S1252,"")</f>
        <v/>
      </c>
      <c r="AK1252" s="122" t="n">
        <v>195</v>
      </c>
      <c r="AL1252" s="122" t="n">
        <v>1</v>
      </c>
      <c r="AM1252" s="124">
        <f>IFERROR(AL1252/AA1252,"")</f>
        <v/>
      </c>
      <c r="AN1252" s="125">
        <f>IFERROR(R1252/AL1252,"")</f>
        <v/>
      </c>
      <c r="AO1252" s="122" t="n">
        <v>1</v>
      </c>
      <c r="AP1252" s="54">
        <f>IFERROR(AO1252/AL1252,"")</f>
        <v/>
      </c>
      <c r="AQ1252" s="125">
        <f>IFERROR(R1252/AO1252,"")</f>
        <v/>
      </c>
      <c r="AR1252" s="122" t="n">
        <v>0</v>
      </c>
      <c r="AS1252" s="122" t="n">
        <v>1</v>
      </c>
      <c r="AT1252" s="122">
        <f>AL1252+AR1252</f>
        <v/>
      </c>
      <c r="AU1252" s="125">
        <f>IFERROR(AO1252*Assumptions!$C$26*Assumptions!$C$27*INDEX(Assumptions!$C$18:$C$21,MATCH(H1252,Assumptions!$B$18:$B$21,0)),0)</f>
        <v/>
      </c>
    </row>
    <row r="1253">
      <c r="A1253" s="120" t="n">
        <v>46258</v>
      </c>
      <c r="B1253" s="66" t="inlineStr">
        <is>
          <t>Wk 35</t>
        </is>
      </c>
      <c r="C1253" s="66" t="inlineStr">
        <is>
          <t>Mon</t>
        </is>
      </c>
      <c r="D1253" s="66" t="inlineStr">
        <is>
          <t>TikTok</t>
        </is>
      </c>
      <c r="E1253" s="66" t="inlineStr">
        <is>
          <t>TikTok</t>
        </is>
      </c>
      <c r="F1253" s="66" t="inlineStr">
        <is>
          <t>LEP_ZA_AUG26_TT_TD_PANTERA_CONV</t>
        </is>
      </c>
      <c r="G1253" s="66" t="inlineStr">
        <is>
          <t>Website Conversions</t>
        </is>
      </c>
      <c r="H1253" s="66" t="inlineStr">
        <is>
          <t>PANTERA</t>
        </is>
      </c>
      <c r="I1253" s="66" t="inlineStr">
        <is>
          <t>0% Deposit</t>
        </is>
      </c>
      <c r="J1253" s="66" t="inlineStr">
        <is>
          <t>TT_PANTERA_INT_LUX_ZA</t>
        </is>
      </c>
      <c r="K1253" s="66" t="inlineStr">
        <is>
          <t>Interest</t>
        </is>
      </c>
      <c r="L1253" s="66" t="inlineStr">
        <is>
          <t>TT_PANTERA_CREATOR_25s_Review_v1</t>
        </is>
      </c>
      <c r="M1253" s="66" t="inlineStr">
        <is>
          <t>Video 9:16</t>
        </is>
      </c>
      <c r="N1253" s="66" t="inlineStr">
        <is>
          <t>Creator review: is it worth it?</t>
        </is>
      </c>
      <c r="O1253" s="66" t="inlineStr">
        <is>
          <t>Auction - Cost Cap</t>
        </is>
      </c>
      <c r="P1253" s="66" t="inlineStr">
        <is>
          <t>Complete Payment / Lead</t>
        </is>
      </c>
      <c r="Q1253" s="66" t="inlineStr">
        <is>
          <t>https://www.lepas-sa.co.za/offers/pantera</t>
        </is>
      </c>
      <c r="R1253" s="121" t="n">
        <v>147.67</v>
      </c>
      <c r="S1253" s="122" t="n">
        <v>4553</v>
      </c>
      <c r="T1253" s="122" t="n">
        <v>2533</v>
      </c>
      <c r="U1253" s="123">
        <f>IFERROR(S1253/T1253,"")</f>
        <v/>
      </c>
      <c r="V1253" s="122" t="n">
        <v>40</v>
      </c>
      <c r="W1253" s="122" t="n">
        <v>30</v>
      </c>
      <c r="X1253" s="124">
        <f>IFERROR(W1253/S1253,"")</f>
        <v/>
      </c>
      <c r="Y1253" s="121">
        <f>IFERROR(R1253/W1253,"")</f>
        <v/>
      </c>
      <c r="Z1253" s="121">
        <f>IFERROR(R1253/S1253*1000,"")</f>
        <v/>
      </c>
      <c r="AA1253" s="122" t="n">
        <v>19</v>
      </c>
      <c r="AB1253" s="54">
        <f>IFERROR(AA1253/W1253,"")</f>
        <v/>
      </c>
      <c r="AC1253" s="122" t="n">
        <v>1503</v>
      </c>
      <c r="AD1253" s="122" t="n">
        <v>706</v>
      </c>
      <c r="AE1253" s="122" t="n">
        <v>544</v>
      </c>
      <c r="AF1253" s="122" t="n">
        <v>295</v>
      </c>
      <c r="AG1253" s="122" t="n">
        <v>206</v>
      </c>
      <c r="AH1253" s="122" t="n">
        <v>130</v>
      </c>
      <c r="AI1253" s="54">
        <f>IFERROR(AC1253/S1253,"")</f>
        <v/>
      </c>
      <c r="AJ1253" s="54">
        <f>IFERROR(AH1253/S1253,"")</f>
        <v/>
      </c>
      <c r="AK1253" s="122" t="n">
        <v>166</v>
      </c>
      <c r="AL1253" s="122" t="n">
        <v>0</v>
      </c>
      <c r="AM1253" s="124">
        <f>IFERROR(AL1253/AA1253,"")</f>
        <v/>
      </c>
      <c r="AN1253" s="125">
        <f>IFERROR(R1253/AL1253,"")</f>
        <v/>
      </c>
      <c r="AO1253" s="122" t="n">
        <v>0</v>
      </c>
      <c r="AP1253" s="54">
        <f>IFERROR(AO1253/AL1253,"")</f>
        <v/>
      </c>
      <c r="AQ1253" s="125">
        <f>IFERROR(R1253/AO1253,"")</f>
        <v/>
      </c>
      <c r="AR1253" s="122" t="n">
        <v>0</v>
      </c>
      <c r="AS1253" s="122" t="n">
        <v>0</v>
      </c>
      <c r="AT1253" s="122">
        <f>AL1253+AR1253</f>
        <v/>
      </c>
      <c r="AU1253" s="125">
        <f>IFERROR(AO1253*Assumptions!$C$26*Assumptions!$C$27*INDEX(Assumptions!$C$18:$C$21,MATCH(H1253,Assumptions!$B$18:$B$21,0)),0)</f>
        <v/>
      </c>
    </row>
    <row r="1254">
      <c r="A1254" s="120" t="n">
        <v>46259</v>
      </c>
      <c r="B1254" s="66" t="inlineStr">
        <is>
          <t>Wk 35</t>
        </is>
      </c>
      <c r="C1254" s="66" t="inlineStr">
        <is>
          <t>Tue</t>
        </is>
      </c>
      <c r="D1254" s="66" t="inlineStr">
        <is>
          <t>TikTok</t>
        </is>
      </c>
      <c r="E1254" s="66" t="inlineStr">
        <is>
          <t>TikTok</t>
        </is>
      </c>
      <c r="F1254" s="66" t="inlineStr">
        <is>
          <t>LEP_ZA_AUG26_TT_TD_PANTERA_CONV</t>
        </is>
      </c>
      <c r="G1254" s="66" t="inlineStr">
        <is>
          <t>Website Conversions</t>
        </is>
      </c>
      <c r="H1254" s="66" t="inlineStr">
        <is>
          <t>PANTERA</t>
        </is>
      </c>
      <c r="I1254" s="66" t="inlineStr">
        <is>
          <t>0% Deposit</t>
        </is>
      </c>
      <c r="J1254" s="66" t="inlineStr">
        <is>
          <t>TT_PANTERA_INT_LUX_ZA</t>
        </is>
      </c>
      <c r="K1254" s="66" t="inlineStr">
        <is>
          <t>Interest</t>
        </is>
      </c>
      <c r="L1254" s="66" t="inlineStr">
        <is>
          <t>TT_PANTERA_CREATOR_25s_Review_v1</t>
        </is>
      </c>
      <c r="M1254" s="66" t="inlineStr">
        <is>
          <t>Video 9:16</t>
        </is>
      </c>
      <c r="N1254" s="66" t="inlineStr">
        <is>
          <t>Creator review: is it worth it?</t>
        </is>
      </c>
      <c r="O1254" s="66" t="inlineStr">
        <is>
          <t>Auction - Cost Cap</t>
        </is>
      </c>
      <c r="P1254" s="66" t="inlineStr">
        <is>
          <t>Complete Payment / Lead</t>
        </is>
      </c>
      <c r="Q1254" s="66" t="inlineStr">
        <is>
          <t>https://www.lepas-sa.co.za/offers/pantera</t>
        </is>
      </c>
      <c r="R1254" s="121" t="n">
        <v>194.61</v>
      </c>
      <c r="S1254" s="122" t="n">
        <v>4558</v>
      </c>
      <c r="T1254" s="122" t="n">
        <v>2621</v>
      </c>
      <c r="U1254" s="123">
        <f>IFERROR(S1254/T1254,"")</f>
        <v/>
      </c>
      <c r="V1254" s="122" t="n">
        <v>44</v>
      </c>
      <c r="W1254" s="122" t="n">
        <v>35</v>
      </c>
      <c r="X1254" s="124">
        <f>IFERROR(W1254/S1254,"")</f>
        <v/>
      </c>
      <c r="Y1254" s="121">
        <f>IFERROR(R1254/W1254,"")</f>
        <v/>
      </c>
      <c r="Z1254" s="121">
        <f>IFERROR(R1254/S1254*1000,"")</f>
        <v/>
      </c>
      <c r="AA1254" s="122" t="n">
        <v>21</v>
      </c>
      <c r="AB1254" s="54">
        <f>IFERROR(AA1254/W1254,"")</f>
        <v/>
      </c>
      <c r="AC1254" s="122" t="n">
        <v>1677</v>
      </c>
      <c r="AD1254" s="122" t="n">
        <v>913</v>
      </c>
      <c r="AE1254" s="122" t="n">
        <v>892</v>
      </c>
      <c r="AF1254" s="122" t="n">
        <v>528</v>
      </c>
      <c r="AG1254" s="122" t="n">
        <v>408</v>
      </c>
      <c r="AH1254" s="122" t="n">
        <v>262</v>
      </c>
      <c r="AI1254" s="54">
        <f>IFERROR(AC1254/S1254,"")</f>
        <v/>
      </c>
      <c r="AJ1254" s="54">
        <f>IFERROR(AH1254/S1254,"")</f>
        <v/>
      </c>
      <c r="AK1254" s="122" t="n">
        <v>263</v>
      </c>
      <c r="AL1254" s="122" t="n">
        <v>0</v>
      </c>
      <c r="AM1254" s="124">
        <f>IFERROR(AL1254/AA1254,"")</f>
        <v/>
      </c>
      <c r="AN1254" s="125">
        <f>IFERROR(R1254/AL1254,"")</f>
        <v/>
      </c>
      <c r="AO1254" s="122" t="n">
        <v>0</v>
      </c>
      <c r="AP1254" s="54">
        <f>IFERROR(AO1254/AL1254,"")</f>
        <v/>
      </c>
      <c r="AQ1254" s="125">
        <f>IFERROR(R1254/AO1254,"")</f>
        <v/>
      </c>
      <c r="AR1254" s="122" t="n">
        <v>0</v>
      </c>
      <c r="AS1254" s="122" t="n">
        <v>0</v>
      </c>
      <c r="AT1254" s="122">
        <f>AL1254+AR1254</f>
        <v/>
      </c>
      <c r="AU1254" s="125">
        <f>IFERROR(AO1254*Assumptions!$C$26*Assumptions!$C$27*INDEX(Assumptions!$C$18:$C$21,MATCH(H1254,Assumptions!$B$18:$B$21,0)),0)</f>
        <v/>
      </c>
    </row>
    <row r="1255">
      <c r="A1255" s="120" t="n">
        <v>46260</v>
      </c>
      <c r="B1255" s="66" t="inlineStr">
        <is>
          <t>Wk 35</t>
        </is>
      </c>
      <c r="C1255" s="66" t="inlineStr">
        <is>
          <t>Wed</t>
        </is>
      </c>
      <c r="D1255" s="66" t="inlineStr">
        <is>
          <t>TikTok</t>
        </is>
      </c>
      <c r="E1255" s="66" t="inlineStr">
        <is>
          <t>TikTok</t>
        </is>
      </c>
      <c r="F1255" s="66" t="inlineStr">
        <is>
          <t>LEP_ZA_AUG26_TT_TD_PANTERA_CONV</t>
        </is>
      </c>
      <c r="G1255" s="66" t="inlineStr">
        <is>
          <t>Website Conversions</t>
        </is>
      </c>
      <c r="H1255" s="66" t="inlineStr">
        <is>
          <t>PANTERA</t>
        </is>
      </c>
      <c r="I1255" s="66" t="inlineStr">
        <is>
          <t>0% Deposit</t>
        </is>
      </c>
      <c r="J1255" s="66" t="inlineStr">
        <is>
          <t>TT_PANTERA_INT_LUX_ZA</t>
        </is>
      </c>
      <c r="K1255" s="66" t="inlineStr">
        <is>
          <t>Interest</t>
        </is>
      </c>
      <c r="L1255" s="66" t="inlineStr">
        <is>
          <t>TT_PANTERA_CREATOR_25s_Review_v1</t>
        </is>
      </c>
      <c r="M1255" s="66" t="inlineStr">
        <is>
          <t>Video 9:16</t>
        </is>
      </c>
      <c r="N1255" s="66" t="inlineStr">
        <is>
          <t>Creator review: is it worth it?</t>
        </is>
      </c>
      <c r="O1255" s="66" t="inlineStr">
        <is>
          <t>Auction - Cost Cap</t>
        </is>
      </c>
      <c r="P1255" s="66" t="inlineStr">
        <is>
          <t>Complete Payment / Lead</t>
        </is>
      </c>
      <c r="Q1255" s="66" t="inlineStr">
        <is>
          <t>https://www.lepas-sa.co.za/offers/pantera</t>
        </is>
      </c>
      <c r="R1255" s="121" t="n">
        <v>162.72</v>
      </c>
      <c r="S1255" s="122" t="n">
        <v>3469</v>
      </c>
      <c r="T1255" s="122" t="n">
        <v>1919</v>
      </c>
      <c r="U1255" s="123">
        <f>IFERROR(S1255/T1255,"")</f>
        <v/>
      </c>
      <c r="V1255" s="122" t="n">
        <v>29</v>
      </c>
      <c r="W1255" s="122" t="n">
        <v>22</v>
      </c>
      <c r="X1255" s="124">
        <f>IFERROR(W1255/S1255,"")</f>
        <v/>
      </c>
      <c r="Y1255" s="121">
        <f>IFERROR(R1255/W1255,"")</f>
        <v/>
      </c>
      <c r="Z1255" s="121">
        <f>IFERROR(R1255/S1255*1000,"")</f>
        <v/>
      </c>
      <c r="AA1255" s="122" t="n">
        <v>14</v>
      </c>
      <c r="AB1255" s="54">
        <f>IFERROR(AA1255/W1255,"")</f>
        <v/>
      </c>
      <c r="AC1255" s="122" t="n">
        <v>1051</v>
      </c>
      <c r="AD1255" s="122" t="n">
        <v>566</v>
      </c>
      <c r="AE1255" s="122" t="n">
        <v>494</v>
      </c>
      <c r="AF1255" s="122" t="n">
        <v>335</v>
      </c>
      <c r="AG1255" s="122" t="n">
        <v>232</v>
      </c>
      <c r="AH1255" s="122" t="n">
        <v>128</v>
      </c>
      <c r="AI1255" s="54">
        <f>IFERROR(AC1255/S1255,"")</f>
        <v/>
      </c>
      <c r="AJ1255" s="54">
        <f>IFERROR(AH1255/S1255,"")</f>
        <v/>
      </c>
      <c r="AK1255" s="122" t="n">
        <v>188</v>
      </c>
      <c r="AL1255" s="122" t="n">
        <v>0</v>
      </c>
      <c r="AM1255" s="124">
        <f>IFERROR(AL1255/AA1255,"")</f>
        <v/>
      </c>
      <c r="AN1255" s="125">
        <f>IFERROR(R1255/AL1255,"")</f>
        <v/>
      </c>
      <c r="AO1255" s="122" t="n">
        <v>0</v>
      </c>
      <c r="AP1255" s="54">
        <f>IFERROR(AO1255/AL1255,"")</f>
        <v/>
      </c>
      <c r="AQ1255" s="125">
        <f>IFERROR(R1255/AO1255,"")</f>
        <v/>
      </c>
      <c r="AR1255" s="122" t="n">
        <v>0</v>
      </c>
      <c r="AS1255" s="122" t="n">
        <v>0</v>
      </c>
      <c r="AT1255" s="122">
        <f>AL1255+AR1255</f>
        <v/>
      </c>
      <c r="AU1255" s="125">
        <f>IFERROR(AO1255*Assumptions!$C$26*Assumptions!$C$27*INDEX(Assumptions!$C$18:$C$21,MATCH(H1255,Assumptions!$B$18:$B$21,0)),0)</f>
        <v/>
      </c>
    </row>
    <row r="1256">
      <c r="A1256" s="120" t="n">
        <v>46261</v>
      </c>
      <c r="B1256" s="66" t="inlineStr">
        <is>
          <t>Wk 35</t>
        </is>
      </c>
      <c r="C1256" s="66" t="inlineStr">
        <is>
          <t>Thu</t>
        </is>
      </c>
      <c r="D1256" s="66" t="inlineStr">
        <is>
          <t>TikTok</t>
        </is>
      </c>
      <c r="E1256" s="66" t="inlineStr">
        <is>
          <t>TikTok</t>
        </is>
      </c>
      <c r="F1256" s="66" t="inlineStr">
        <is>
          <t>LEP_ZA_AUG26_TT_TD_PANTERA_CONV</t>
        </is>
      </c>
      <c r="G1256" s="66" t="inlineStr">
        <is>
          <t>Website Conversions</t>
        </is>
      </c>
      <c r="H1256" s="66" t="inlineStr">
        <is>
          <t>PANTERA</t>
        </is>
      </c>
      <c r="I1256" s="66" t="inlineStr">
        <is>
          <t>0% Deposit</t>
        </is>
      </c>
      <c r="J1256" s="66" t="inlineStr">
        <is>
          <t>TT_PANTERA_INT_LUX_ZA</t>
        </is>
      </c>
      <c r="K1256" s="66" t="inlineStr">
        <is>
          <t>Interest</t>
        </is>
      </c>
      <c r="L1256" s="66" t="inlineStr">
        <is>
          <t>TT_PANTERA_CREATOR_25s_Review_v1</t>
        </is>
      </c>
      <c r="M1256" s="66" t="inlineStr">
        <is>
          <t>Video 9:16</t>
        </is>
      </c>
      <c r="N1256" s="66" t="inlineStr">
        <is>
          <t>Creator review: is it worth it?</t>
        </is>
      </c>
      <c r="O1256" s="66" t="inlineStr">
        <is>
          <t>Auction - Cost Cap</t>
        </is>
      </c>
      <c r="P1256" s="66" t="inlineStr">
        <is>
          <t>Complete Payment / Lead</t>
        </is>
      </c>
      <c r="Q1256" s="66" t="inlineStr">
        <is>
          <t>https://www.lepas-sa.co.za/offers/pantera</t>
        </is>
      </c>
      <c r="R1256" s="121" t="n">
        <v>264.21</v>
      </c>
      <c r="S1256" s="122" t="n">
        <v>7230</v>
      </c>
      <c r="T1256" s="122" t="n">
        <v>4476</v>
      </c>
      <c r="U1256" s="123">
        <f>IFERROR(S1256/T1256,"")</f>
        <v/>
      </c>
      <c r="V1256" s="122" t="n">
        <v>72</v>
      </c>
      <c r="W1256" s="122" t="n">
        <v>57</v>
      </c>
      <c r="X1256" s="124">
        <f>IFERROR(W1256/S1256,"")</f>
        <v/>
      </c>
      <c r="Y1256" s="121">
        <f>IFERROR(R1256/W1256,"")</f>
        <v/>
      </c>
      <c r="Z1256" s="121">
        <f>IFERROR(R1256/S1256*1000,"")</f>
        <v/>
      </c>
      <c r="AA1256" s="122" t="n">
        <v>36</v>
      </c>
      <c r="AB1256" s="54">
        <f>IFERROR(AA1256/W1256,"")</f>
        <v/>
      </c>
      <c r="AC1256" s="122" t="n">
        <v>2710</v>
      </c>
      <c r="AD1256" s="122" t="n">
        <v>1346</v>
      </c>
      <c r="AE1256" s="122" t="n">
        <v>1140</v>
      </c>
      <c r="AF1256" s="122" t="n">
        <v>598</v>
      </c>
      <c r="AG1256" s="122" t="n">
        <v>436</v>
      </c>
      <c r="AH1256" s="122" t="n">
        <v>310</v>
      </c>
      <c r="AI1256" s="54">
        <f>IFERROR(AC1256/S1256,"")</f>
        <v/>
      </c>
      <c r="AJ1256" s="54">
        <f>IFERROR(AH1256/S1256,"")</f>
        <v/>
      </c>
      <c r="AK1256" s="122" t="n">
        <v>248</v>
      </c>
      <c r="AL1256" s="122" t="n">
        <v>0</v>
      </c>
      <c r="AM1256" s="124">
        <f>IFERROR(AL1256/AA1256,"")</f>
        <v/>
      </c>
      <c r="AN1256" s="125">
        <f>IFERROR(R1256/AL1256,"")</f>
        <v/>
      </c>
      <c r="AO1256" s="122" t="n">
        <v>0</v>
      </c>
      <c r="AP1256" s="54">
        <f>IFERROR(AO1256/AL1256,"")</f>
        <v/>
      </c>
      <c r="AQ1256" s="125">
        <f>IFERROR(R1256/AO1256,"")</f>
        <v/>
      </c>
      <c r="AR1256" s="122" t="n">
        <v>0</v>
      </c>
      <c r="AS1256" s="122" t="n">
        <v>0</v>
      </c>
      <c r="AT1256" s="122">
        <f>AL1256+AR1256</f>
        <v/>
      </c>
      <c r="AU1256" s="125">
        <f>IFERROR(AO1256*Assumptions!$C$26*Assumptions!$C$27*INDEX(Assumptions!$C$18:$C$21,MATCH(H1256,Assumptions!$B$18:$B$21,0)),0)</f>
        <v/>
      </c>
    </row>
    <row r="1257">
      <c r="A1257" s="120" t="n">
        <v>46262</v>
      </c>
      <c r="B1257" s="66" t="inlineStr">
        <is>
          <t>Wk 35</t>
        </is>
      </c>
      <c r="C1257" s="66" t="inlineStr">
        <is>
          <t>Fri</t>
        </is>
      </c>
      <c r="D1257" s="66" t="inlineStr">
        <is>
          <t>TikTok</t>
        </is>
      </c>
      <c r="E1257" s="66" t="inlineStr">
        <is>
          <t>TikTok</t>
        </is>
      </c>
      <c r="F1257" s="66" t="inlineStr">
        <is>
          <t>LEP_ZA_AUG26_TT_TD_PANTERA_CONV</t>
        </is>
      </c>
      <c r="G1257" s="66" t="inlineStr">
        <is>
          <t>Website Conversions</t>
        </is>
      </c>
      <c r="H1257" s="66" t="inlineStr">
        <is>
          <t>PANTERA</t>
        </is>
      </c>
      <c r="I1257" s="66" t="inlineStr">
        <is>
          <t>0% Deposit</t>
        </is>
      </c>
      <c r="J1257" s="66" t="inlineStr">
        <is>
          <t>TT_PANTERA_INT_LUX_ZA</t>
        </is>
      </c>
      <c r="K1257" s="66" t="inlineStr">
        <is>
          <t>Interest</t>
        </is>
      </c>
      <c r="L1257" s="66" t="inlineStr">
        <is>
          <t>TT_PANTERA_CREATOR_25s_Review_v1</t>
        </is>
      </c>
      <c r="M1257" s="66" t="inlineStr">
        <is>
          <t>Video 9:16</t>
        </is>
      </c>
      <c r="N1257" s="66" t="inlineStr">
        <is>
          <t>Creator review: is it worth it?</t>
        </is>
      </c>
      <c r="O1257" s="66" t="inlineStr">
        <is>
          <t>Auction - Cost Cap</t>
        </is>
      </c>
      <c r="P1257" s="66" t="inlineStr">
        <is>
          <t>Complete Payment / Lead</t>
        </is>
      </c>
      <c r="Q1257" s="66" t="inlineStr">
        <is>
          <t>https://www.lepas-sa.co.za/offers/pantera</t>
        </is>
      </c>
      <c r="R1257" s="121" t="n">
        <v>251.22</v>
      </c>
      <c r="S1257" s="122" t="n">
        <v>5373</v>
      </c>
      <c r="T1257" s="122" t="n">
        <v>2879</v>
      </c>
      <c r="U1257" s="123">
        <f>IFERROR(S1257/T1257,"")</f>
        <v/>
      </c>
      <c r="V1257" s="122" t="n">
        <v>61</v>
      </c>
      <c r="W1257" s="122" t="n">
        <v>44</v>
      </c>
      <c r="X1257" s="124">
        <f>IFERROR(W1257/S1257,"")</f>
        <v/>
      </c>
      <c r="Y1257" s="121">
        <f>IFERROR(R1257/W1257,"")</f>
        <v/>
      </c>
      <c r="Z1257" s="121">
        <f>IFERROR(R1257/S1257*1000,"")</f>
        <v/>
      </c>
      <c r="AA1257" s="122" t="n">
        <v>28</v>
      </c>
      <c r="AB1257" s="54">
        <f>IFERROR(AA1257/W1257,"")</f>
        <v/>
      </c>
      <c r="AC1257" s="122" t="n">
        <v>1942</v>
      </c>
      <c r="AD1257" s="122" t="n">
        <v>967</v>
      </c>
      <c r="AE1257" s="122" t="n">
        <v>852</v>
      </c>
      <c r="AF1257" s="122" t="n">
        <v>487</v>
      </c>
      <c r="AG1257" s="122" t="n">
        <v>318</v>
      </c>
      <c r="AH1257" s="122" t="n">
        <v>180</v>
      </c>
      <c r="AI1257" s="54">
        <f>IFERROR(AC1257/S1257,"")</f>
        <v/>
      </c>
      <c r="AJ1257" s="54">
        <f>IFERROR(AH1257/S1257,"")</f>
        <v/>
      </c>
      <c r="AK1257" s="122" t="n">
        <v>286</v>
      </c>
      <c r="AL1257" s="122" t="n">
        <v>0</v>
      </c>
      <c r="AM1257" s="124">
        <f>IFERROR(AL1257/AA1257,"")</f>
        <v/>
      </c>
      <c r="AN1257" s="125">
        <f>IFERROR(R1257/AL1257,"")</f>
        <v/>
      </c>
      <c r="AO1257" s="122" t="n">
        <v>0</v>
      </c>
      <c r="AP1257" s="54">
        <f>IFERROR(AO1257/AL1257,"")</f>
        <v/>
      </c>
      <c r="AQ1257" s="125">
        <f>IFERROR(R1257/AO1257,"")</f>
        <v/>
      </c>
      <c r="AR1257" s="122" t="n">
        <v>0</v>
      </c>
      <c r="AS1257" s="122" t="n">
        <v>0</v>
      </c>
      <c r="AT1257" s="122">
        <f>AL1257+AR1257</f>
        <v/>
      </c>
      <c r="AU1257" s="125">
        <f>IFERROR(AO1257*Assumptions!$C$26*Assumptions!$C$27*INDEX(Assumptions!$C$18:$C$21,MATCH(H1257,Assumptions!$B$18:$B$21,0)),0)</f>
        <v/>
      </c>
    </row>
    <row r="1258">
      <c r="A1258" s="120" t="n">
        <v>46263</v>
      </c>
      <c r="B1258" s="66" t="inlineStr">
        <is>
          <t>Wk 35</t>
        </is>
      </c>
      <c r="C1258" s="66" t="inlineStr">
        <is>
          <t>Sat</t>
        </is>
      </c>
      <c r="D1258" s="66" t="inlineStr">
        <is>
          <t>TikTok</t>
        </is>
      </c>
      <c r="E1258" s="66" t="inlineStr">
        <is>
          <t>TikTok</t>
        </is>
      </c>
      <c r="F1258" s="66" t="inlineStr">
        <is>
          <t>LEP_ZA_AUG26_TT_TD_PANTERA_CONV</t>
        </is>
      </c>
      <c r="G1258" s="66" t="inlineStr">
        <is>
          <t>Website Conversions</t>
        </is>
      </c>
      <c r="H1258" s="66" t="inlineStr">
        <is>
          <t>PANTERA</t>
        </is>
      </c>
      <c r="I1258" s="66" t="inlineStr">
        <is>
          <t>0% Deposit</t>
        </is>
      </c>
      <c r="J1258" s="66" t="inlineStr">
        <is>
          <t>TT_PANTERA_INT_LUX_ZA</t>
        </is>
      </c>
      <c r="K1258" s="66" t="inlineStr">
        <is>
          <t>Interest</t>
        </is>
      </c>
      <c r="L1258" s="66" t="inlineStr">
        <is>
          <t>TT_PANTERA_CREATOR_25s_Review_v1</t>
        </is>
      </c>
      <c r="M1258" s="66" t="inlineStr">
        <is>
          <t>Video 9:16</t>
        </is>
      </c>
      <c r="N1258" s="66" t="inlineStr">
        <is>
          <t>Creator review: is it worth it?</t>
        </is>
      </c>
      <c r="O1258" s="66" t="inlineStr">
        <is>
          <t>Auction - Cost Cap</t>
        </is>
      </c>
      <c r="P1258" s="66" t="inlineStr">
        <is>
          <t>Complete Payment / Lead</t>
        </is>
      </c>
      <c r="Q1258" s="66" t="inlineStr">
        <is>
          <t>https://www.lepas-sa.co.za/offers/pantera</t>
        </is>
      </c>
      <c r="R1258" s="121" t="n">
        <v>258.99</v>
      </c>
      <c r="S1258" s="122" t="n">
        <v>6871</v>
      </c>
      <c r="T1258" s="122" t="n">
        <v>3167</v>
      </c>
      <c r="U1258" s="123">
        <f>IFERROR(S1258/T1258,"")</f>
        <v/>
      </c>
      <c r="V1258" s="122" t="n">
        <v>90</v>
      </c>
      <c r="W1258" s="122" t="n">
        <v>68</v>
      </c>
      <c r="X1258" s="124">
        <f>IFERROR(W1258/S1258,"")</f>
        <v/>
      </c>
      <c r="Y1258" s="121">
        <f>IFERROR(R1258/W1258,"")</f>
        <v/>
      </c>
      <c r="Z1258" s="121">
        <f>IFERROR(R1258/S1258*1000,"")</f>
        <v/>
      </c>
      <c r="AA1258" s="122" t="n">
        <v>47</v>
      </c>
      <c r="AB1258" s="54">
        <f>IFERROR(AA1258/W1258,"")</f>
        <v/>
      </c>
      <c r="AC1258" s="122" t="n">
        <v>1524</v>
      </c>
      <c r="AD1258" s="122" t="n">
        <v>859</v>
      </c>
      <c r="AE1258" s="122" t="n">
        <v>670</v>
      </c>
      <c r="AF1258" s="122" t="n">
        <v>382</v>
      </c>
      <c r="AG1258" s="122" t="n">
        <v>269</v>
      </c>
      <c r="AH1258" s="122" t="n">
        <v>173</v>
      </c>
      <c r="AI1258" s="54">
        <f>IFERROR(AC1258/S1258,"")</f>
        <v/>
      </c>
      <c r="AJ1258" s="54">
        <f>IFERROR(AH1258/S1258,"")</f>
        <v/>
      </c>
      <c r="AK1258" s="122" t="n">
        <v>198</v>
      </c>
      <c r="AL1258" s="122" t="n">
        <v>0</v>
      </c>
      <c r="AM1258" s="124">
        <f>IFERROR(AL1258/AA1258,"")</f>
        <v/>
      </c>
      <c r="AN1258" s="125">
        <f>IFERROR(R1258/AL1258,"")</f>
        <v/>
      </c>
      <c r="AO1258" s="122" t="n">
        <v>0</v>
      </c>
      <c r="AP1258" s="54">
        <f>IFERROR(AO1258/AL1258,"")</f>
        <v/>
      </c>
      <c r="AQ1258" s="125">
        <f>IFERROR(R1258/AO1258,"")</f>
        <v/>
      </c>
      <c r="AR1258" s="122" t="n">
        <v>0</v>
      </c>
      <c r="AS1258" s="122" t="n">
        <v>0</v>
      </c>
      <c r="AT1258" s="122">
        <f>AL1258+AR1258</f>
        <v/>
      </c>
      <c r="AU1258" s="125">
        <f>IFERROR(AO1258*Assumptions!$C$26*Assumptions!$C$27*INDEX(Assumptions!$C$18:$C$21,MATCH(H1258,Assumptions!$B$18:$B$21,0)),0)</f>
        <v/>
      </c>
    </row>
    <row r="1259">
      <c r="A1259" s="120" t="n">
        <v>46264</v>
      </c>
      <c r="B1259" s="66" t="inlineStr">
        <is>
          <t>Wk 35</t>
        </is>
      </c>
      <c r="C1259" s="66" t="inlineStr">
        <is>
          <t>Sun</t>
        </is>
      </c>
      <c r="D1259" s="66" t="inlineStr">
        <is>
          <t>TikTok</t>
        </is>
      </c>
      <c r="E1259" s="66" t="inlineStr">
        <is>
          <t>TikTok</t>
        </is>
      </c>
      <c r="F1259" s="66" t="inlineStr">
        <is>
          <t>LEP_ZA_AUG26_TT_TD_PANTERA_CONV</t>
        </is>
      </c>
      <c r="G1259" s="66" t="inlineStr">
        <is>
          <t>Website Conversions</t>
        </is>
      </c>
      <c r="H1259" s="66" t="inlineStr">
        <is>
          <t>PANTERA</t>
        </is>
      </c>
      <c r="I1259" s="66" t="inlineStr">
        <is>
          <t>0% Deposit</t>
        </is>
      </c>
      <c r="J1259" s="66" t="inlineStr">
        <is>
          <t>TT_PANTERA_INT_LUX_ZA</t>
        </is>
      </c>
      <c r="K1259" s="66" t="inlineStr">
        <is>
          <t>Interest</t>
        </is>
      </c>
      <c r="L1259" s="66" t="inlineStr">
        <is>
          <t>TT_PANTERA_CREATOR_25s_Review_v1</t>
        </is>
      </c>
      <c r="M1259" s="66" t="inlineStr">
        <is>
          <t>Video 9:16</t>
        </is>
      </c>
      <c r="N1259" s="66" t="inlineStr">
        <is>
          <t>Creator review: is it worth it?</t>
        </is>
      </c>
      <c r="O1259" s="66" t="inlineStr">
        <is>
          <t>Auction - Cost Cap</t>
        </is>
      </c>
      <c r="P1259" s="66" t="inlineStr">
        <is>
          <t>Complete Payment / Lead</t>
        </is>
      </c>
      <c r="Q1259" s="66" t="inlineStr">
        <is>
          <t>https://www.lepas-sa.co.za/offers/pantera</t>
        </is>
      </c>
      <c r="R1259" s="121" t="n">
        <v>196.29</v>
      </c>
      <c r="S1259" s="122" t="n">
        <v>5320</v>
      </c>
      <c r="T1259" s="122" t="n">
        <v>2852</v>
      </c>
      <c r="U1259" s="123">
        <f>IFERROR(S1259/T1259,"")</f>
        <v/>
      </c>
      <c r="V1259" s="122" t="n">
        <v>28</v>
      </c>
      <c r="W1259" s="122" t="n">
        <v>22</v>
      </c>
      <c r="X1259" s="124">
        <f>IFERROR(W1259/S1259,"")</f>
        <v/>
      </c>
      <c r="Y1259" s="121">
        <f>IFERROR(R1259/W1259,"")</f>
        <v/>
      </c>
      <c r="Z1259" s="121">
        <f>IFERROR(R1259/S1259*1000,"")</f>
        <v/>
      </c>
      <c r="AA1259" s="122" t="n">
        <v>16</v>
      </c>
      <c r="AB1259" s="54">
        <f>IFERROR(AA1259/W1259,"")</f>
        <v/>
      </c>
      <c r="AC1259" s="122" t="n">
        <v>1688</v>
      </c>
      <c r="AD1259" s="122" t="n">
        <v>849</v>
      </c>
      <c r="AE1259" s="122" t="n">
        <v>770</v>
      </c>
      <c r="AF1259" s="122" t="n">
        <v>517</v>
      </c>
      <c r="AG1259" s="122" t="n">
        <v>400</v>
      </c>
      <c r="AH1259" s="122" t="n">
        <v>280</v>
      </c>
      <c r="AI1259" s="54">
        <f>IFERROR(AC1259/S1259,"")</f>
        <v/>
      </c>
      <c r="AJ1259" s="54">
        <f>IFERROR(AH1259/S1259,"")</f>
        <v/>
      </c>
      <c r="AK1259" s="122" t="n">
        <v>314</v>
      </c>
      <c r="AL1259" s="122" t="n">
        <v>1</v>
      </c>
      <c r="AM1259" s="124">
        <f>IFERROR(AL1259/AA1259,"")</f>
        <v/>
      </c>
      <c r="AN1259" s="125">
        <f>IFERROR(R1259/AL1259,"")</f>
        <v/>
      </c>
      <c r="AO1259" s="122" t="n">
        <v>0</v>
      </c>
      <c r="AP1259" s="54">
        <f>IFERROR(AO1259/AL1259,"")</f>
        <v/>
      </c>
      <c r="AQ1259" s="125">
        <f>IFERROR(R1259/AO1259,"")</f>
        <v/>
      </c>
      <c r="AR1259" s="122" t="n">
        <v>1</v>
      </c>
      <c r="AS1259" s="122" t="n">
        <v>0</v>
      </c>
      <c r="AT1259" s="122">
        <f>AL1259+AR1259</f>
        <v/>
      </c>
      <c r="AU1259" s="125">
        <f>IFERROR(AO1259*Assumptions!$C$26*Assumptions!$C$27*INDEX(Assumptions!$C$18:$C$21,MATCH(H1259,Assumptions!$B$18:$B$21,0)),0)</f>
        <v/>
      </c>
    </row>
    <row r="1260">
      <c r="A1260" s="120" t="n">
        <v>46265</v>
      </c>
      <c r="B1260" s="66" t="inlineStr">
        <is>
          <t>Wk 36</t>
        </is>
      </c>
      <c r="C1260" s="66" t="inlineStr">
        <is>
          <t>Mon</t>
        </is>
      </c>
      <c r="D1260" s="66" t="inlineStr">
        <is>
          <t>TikTok</t>
        </is>
      </c>
      <c r="E1260" s="66" t="inlineStr">
        <is>
          <t>TikTok</t>
        </is>
      </c>
      <c r="F1260" s="66" t="inlineStr">
        <is>
          <t>LEP_ZA_AUG26_TT_TD_PANTERA_CONV</t>
        </is>
      </c>
      <c r="G1260" s="66" t="inlineStr">
        <is>
          <t>Website Conversions</t>
        </is>
      </c>
      <c r="H1260" s="66" t="inlineStr">
        <is>
          <t>PANTERA</t>
        </is>
      </c>
      <c r="I1260" s="66" t="inlineStr">
        <is>
          <t>0% Deposit</t>
        </is>
      </c>
      <c r="J1260" s="66" t="inlineStr">
        <is>
          <t>TT_PANTERA_INT_LUX_ZA</t>
        </is>
      </c>
      <c r="K1260" s="66" t="inlineStr">
        <is>
          <t>Interest</t>
        </is>
      </c>
      <c r="L1260" s="66" t="inlineStr">
        <is>
          <t>TT_PANTERA_CREATOR_25s_Review_v1</t>
        </is>
      </c>
      <c r="M1260" s="66" t="inlineStr">
        <is>
          <t>Video 9:16</t>
        </is>
      </c>
      <c r="N1260" s="66" t="inlineStr">
        <is>
          <t>Creator review: is it worth it?</t>
        </is>
      </c>
      <c r="O1260" s="66" t="inlineStr">
        <is>
          <t>Auction - Cost Cap</t>
        </is>
      </c>
      <c r="P1260" s="66" t="inlineStr">
        <is>
          <t>Complete Payment / Lead</t>
        </is>
      </c>
      <c r="Q1260" s="66" t="inlineStr">
        <is>
          <t>https://www.lepas-sa.co.za/offers/pantera</t>
        </is>
      </c>
      <c r="R1260" s="121" t="n">
        <v>205.87</v>
      </c>
      <c r="S1260" s="122" t="n">
        <v>4718</v>
      </c>
      <c r="T1260" s="122" t="n">
        <v>2219</v>
      </c>
      <c r="U1260" s="123">
        <f>IFERROR(S1260/T1260,"")</f>
        <v/>
      </c>
      <c r="V1260" s="122" t="n">
        <v>54</v>
      </c>
      <c r="W1260" s="122" t="n">
        <v>39</v>
      </c>
      <c r="X1260" s="124">
        <f>IFERROR(W1260/S1260,"")</f>
        <v/>
      </c>
      <c r="Y1260" s="121">
        <f>IFERROR(R1260/W1260,"")</f>
        <v/>
      </c>
      <c r="Z1260" s="121">
        <f>IFERROR(R1260/S1260*1000,"")</f>
        <v/>
      </c>
      <c r="AA1260" s="122" t="n">
        <v>27</v>
      </c>
      <c r="AB1260" s="54">
        <f>IFERROR(AA1260/W1260,"")</f>
        <v/>
      </c>
      <c r="AC1260" s="122" t="n">
        <v>1179</v>
      </c>
      <c r="AD1260" s="122" t="n">
        <v>682</v>
      </c>
      <c r="AE1260" s="122" t="n">
        <v>541</v>
      </c>
      <c r="AF1260" s="122" t="n">
        <v>298</v>
      </c>
      <c r="AG1260" s="122" t="n">
        <v>232</v>
      </c>
      <c r="AH1260" s="122" t="n">
        <v>157</v>
      </c>
      <c r="AI1260" s="54">
        <f>IFERROR(AC1260/S1260,"")</f>
        <v/>
      </c>
      <c r="AJ1260" s="54">
        <f>IFERROR(AH1260/S1260,"")</f>
        <v/>
      </c>
      <c r="AK1260" s="122" t="n">
        <v>245</v>
      </c>
      <c r="AL1260" s="122" t="n">
        <v>0</v>
      </c>
      <c r="AM1260" s="124">
        <f>IFERROR(AL1260/AA1260,"")</f>
        <v/>
      </c>
      <c r="AN1260" s="125">
        <f>IFERROR(R1260/AL1260,"")</f>
        <v/>
      </c>
      <c r="AO1260" s="122" t="n">
        <v>0</v>
      </c>
      <c r="AP1260" s="54">
        <f>IFERROR(AO1260/AL1260,"")</f>
        <v/>
      </c>
      <c r="AQ1260" s="125">
        <f>IFERROR(R1260/AO1260,"")</f>
        <v/>
      </c>
      <c r="AR1260" s="122" t="n">
        <v>0</v>
      </c>
      <c r="AS1260" s="122" t="n">
        <v>0</v>
      </c>
      <c r="AT1260" s="122">
        <f>AL1260+AR1260</f>
        <v/>
      </c>
      <c r="AU1260" s="125">
        <f>IFERROR(AO1260*Assumptions!$C$26*Assumptions!$C$27*INDEX(Assumptions!$C$18:$C$21,MATCH(H1260,Assumptions!$B$18:$B$21,0)),0)</f>
        <v/>
      </c>
    </row>
    <row r="1261">
      <c r="A1261" s="120" t="n">
        <v>46235</v>
      </c>
      <c r="B1261" s="66" t="inlineStr">
        <is>
          <t>Wk 31</t>
        </is>
      </c>
      <c r="C1261" s="66" t="inlineStr">
        <is>
          <t>Sat</t>
        </is>
      </c>
      <c r="D1261" s="66" t="inlineStr">
        <is>
          <t>TikTok</t>
        </is>
      </c>
      <c r="E1261" s="66" t="inlineStr">
        <is>
          <t>TikTok</t>
        </is>
      </c>
      <c r="F1261" s="66" t="inlineStr">
        <is>
          <t>LEP_ZA_AUG26_TT_TD_PANTERA_CONV</t>
        </is>
      </c>
      <c r="G1261" s="66" t="inlineStr">
        <is>
          <t>Website Conversions</t>
        </is>
      </c>
      <c r="H1261" s="66" t="inlineStr">
        <is>
          <t>PANTERA</t>
        </is>
      </c>
      <c r="I1261" s="66" t="inlineStr">
        <is>
          <t>0% Deposit</t>
        </is>
      </c>
      <c r="J1261" s="66" t="inlineStr">
        <is>
          <t>TT_PANTERA_INT_LUX_ZA</t>
        </is>
      </c>
      <c r="K1261" s="66" t="inlineStr">
        <is>
          <t>Interest</t>
        </is>
      </c>
      <c r="L1261" s="66" t="inlineStr">
        <is>
          <t>TT_PANTERA_TREND_10s_Spec_v1</t>
        </is>
      </c>
      <c r="M1261" s="66" t="inlineStr">
        <is>
          <t>Video 9:16</t>
        </is>
      </c>
      <c r="N1261" s="66" t="inlineStr">
        <is>
          <t>Spec check. Guess the price.</t>
        </is>
      </c>
      <c r="O1261" s="66" t="inlineStr">
        <is>
          <t>Auction - Cost Cap</t>
        </is>
      </c>
      <c r="P1261" s="66" t="inlineStr">
        <is>
          <t>Complete Payment / Lead</t>
        </is>
      </c>
      <c r="Q1261" s="66" t="inlineStr">
        <is>
          <t>https://www.lepas-sa.co.za/offers/pantera</t>
        </is>
      </c>
      <c r="R1261" s="121" t="n">
        <v>162.73</v>
      </c>
      <c r="S1261" s="122" t="n">
        <v>3674</v>
      </c>
      <c r="T1261" s="122" t="n">
        <v>2639</v>
      </c>
      <c r="U1261" s="123">
        <f>IFERROR(S1261/T1261,"")</f>
        <v/>
      </c>
      <c r="V1261" s="122" t="n">
        <v>68</v>
      </c>
      <c r="W1261" s="122" t="n">
        <v>56</v>
      </c>
      <c r="X1261" s="124">
        <f>IFERROR(W1261/S1261,"")</f>
        <v/>
      </c>
      <c r="Y1261" s="121">
        <f>IFERROR(R1261/W1261,"")</f>
        <v/>
      </c>
      <c r="Z1261" s="121">
        <f>IFERROR(R1261/S1261*1000,"")</f>
        <v/>
      </c>
      <c r="AA1261" s="122" t="n">
        <v>41</v>
      </c>
      <c r="AB1261" s="54">
        <f>IFERROR(AA1261/W1261,"")</f>
        <v/>
      </c>
      <c r="AC1261" s="122" t="n">
        <v>1490</v>
      </c>
      <c r="AD1261" s="122" t="n">
        <v>790</v>
      </c>
      <c r="AE1261" s="122" t="n">
        <v>617</v>
      </c>
      <c r="AF1261" s="122" t="n">
        <v>392</v>
      </c>
      <c r="AG1261" s="122" t="n">
        <v>290</v>
      </c>
      <c r="AH1261" s="122" t="n">
        <v>179</v>
      </c>
      <c r="AI1261" s="54">
        <f>IFERROR(AC1261/S1261,"")</f>
        <v/>
      </c>
      <c r="AJ1261" s="54">
        <f>IFERROR(AH1261/S1261,"")</f>
        <v/>
      </c>
      <c r="AK1261" s="122" t="n">
        <v>87</v>
      </c>
      <c r="AL1261" s="122" t="n">
        <v>1</v>
      </c>
      <c r="AM1261" s="124">
        <f>IFERROR(AL1261/AA1261,"")</f>
        <v/>
      </c>
      <c r="AN1261" s="125">
        <f>IFERROR(R1261/AL1261,"")</f>
        <v/>
      </c>
      <c r="AO1261" s="122" t="n">
        <v>1</v>
      </c>
      <c r="AP1261" s="54">
        <f>IFERROR(AO1261/AL1261,"")</f>
        <v/>
      </c>
      <c r="AQ1261" s="125">
        <f>IFERROR(R1261/AO1261,"")</f>
        <v/>
      </c>
      <c r="AR1261" s="122" t="n">
        <v>0</v>
      </c>
      <c r="AS1261" s="122" t="n">
        <v>0</v>
      </c>
      <c r="AT1261" s="122">
        <f>AL1261+AR1261</f>
        <v/>
      </c>
      <c r="AU1261" s="125">
        <f>IFERROR(AO1261*Assumptions!$C$26*Assumptions!$C$27*INDEX(Assumptions!$C$18:$C$21,MATCH(H1261,Assumptions!$B$18:$B$21,0)),0)</f>
        <v/>
      </c>
    </row>
    <row r="1262">
      <c r="A1262" s="120" t="n">
        <v>46236</v>
      </c>
      <c r="B1262" s="66" t="inlineStr">
        <is>
          <t>Wk 31</t>
        </is>
      </c>
      <c r="C1262" s="66" t="inlineStr">
        <is>
          <t>Sun</t>
        </is>
      </c>
      <c r="D1262" s="66" t="inlineStr">
        <is>
          <t>TikTok</t>
        </is>
      </c>
      <c r="E1262" s="66" t="inlineStr">
        <is>
          <t>TikTok</t>
        </is>
      </c>
      <c r="F1262" s="66" t="inlineStr">
        <is>
          <t>LEP_ZA_AUG26_TT_TD_PANTERA_CONV</t>
        </is>
      </c>
      <c r="G1262" s="66" t="inlineStr">
        <is>
          <t>Website Conversions</t>
        </is>
      </c>
      <c r="H1262" s="66" t="inlineStr">
        <is>
          <t>PANTERA</t>
        </is>
      </c>
      <c r="I1262" s="66" t="inlineStr">
        <is>
          <t>0% Deposit</t>
        </is>
      </c>
      <c r="J1262" s="66" t="inlineStr">
        <is>
          <t>TT_PANTERA_INT_LUX_ZA</t>
        </is>
      </c>
      <c r="K1262" s="66" t="inlineStr">
        <is>
          <t>Interest</t>
        </is>
      </c>
      <c r="L1262" s="66" t="inlineStr">
        <is>
          <t>TT_PANTERA_TREND_10s_Spec_v1</t>
        </is>
      </c>
      <c r="M1262" s="66" t="inlineStr">
        <is>
          <t>Video 9:16</t>
        </is>
      </c>
      <c r="N1262" s="66" t="inlineStr">
        <is>
          <t>Spec check. Guess the price.</t>
        </is>
      </c>
      <c r="O1262" s="66" t="inlineStr">
        <is>
          <t>Auction - Cost Cap</t>
        </is>
      </c>
      <c r="P1262" s="66" t="inlineStr">
        <is>
          <t>Complete Payment / Lead</t>
        </is>
      </c>
      <c r="Q1262" s="66" t="inlineStr">
        <is>
          <t>https://www.lepas-sa.co.za/offers/pantera</t>
        </is>
      </c>
      <c r="R1262" s="121" t="n">
        <v>124.22</v>
      </c>
      <c r="S1262" s="122" t="n">
        <v>2812</v>
      </c>
      <c r="T1262" s="122" t="n">
        <v>2299</v>
      </c>
      <c r="U1262" s="123">
        <f>IFERROR(S1262/T1262,"")</f>
        <v/>
      </c>
      <c r="V1262" s="122" t="n">
        <v>29</v>
      </c>
      <c r="W1262" s="122" t="n">
        <v>21</v>
      </c>
      <c r="X1262" s="124">
        <f>IFERROR(W1262/S1262,"")</f>
        <v/>
      </c>
      <c r="Y1262" s="121">
        <f>IFERROR(R1262/W1262,"")</f>
        <v/>
      </c>
      <c r="Z1262" s="121">
        <f>IFERROR(R1262/S1262*1000,"")</f>
        <v/>
      </c>
      <c r="AA1262" s="122" t="n">
        <v>15</v>
      </c>
      <c r="AB1262" s="54">
        <f>IFERROR(AA1262/W1262,"")</f>
        <v/>
      </c>
      <c r="AC1262" s="122" t="n">
        <v>853</v>
      </c>
      <c r="AD1262" s="122" t="n">
        <v>449</v>
      </c>
      <c r="AE1262" s="122" t="n">
        <v>440</v>
      </c>
      <c r="AF1262" s="122" t="n">
        <v>265</v>
      </c>
      <c r="AG1262" s="122" t="n">
        <v>190</v>
      </c>
      <c r="AH1262" s="122" t="n">
        <v>124</v>
      </c>
      <c r="AI1262" s="54">
        <f>IFERROR(AC1262/S1262,"")</f>
        <v/>
      </c>
      <c r="AJ1262" s="54">
        <f>IFERROR(AH1262/S1262,"")</f>
        <v/>
      </c>
      <c r="AK1262" s="122" t="n">
        <v>68</v>
      </c>
      <c r="AL1262" s="122" t="n">
        <v>0</v>
      </c>
      <c r="AM1262" s="124">
        <f>IFERROR(AL1262/AA1262,"")</f>
        <v/>
      </c>
      <c r="AN1262" s="125">
        <f>IFERROR(R1262/AL1262,"")</f>
        <v/>
      </c>
      <c r="AO1262" s="122" t="n">
        <v>0</v>
      </c>
      <c r="AP1262" s="54">
        <f>IFERROR(AO1262/AL1262,"")</f>
        <v/>
      </c>
      <c r="AQ1262" s="125">
        <f>IFERROR(R1262/AO1262,"")</f>
        <v/>
      </c>
      <c r="AR1262" s="122" t="n">
        <v>0</v>
      </c>
      <c r="AS1262" s="122" t="n">
        <v>0</v>
      </c>
      <c r="AT1262" s="122">
        <f>AL1262+AR1262</f>
        <v/>
      </c>
      <c r="AU1262" s="125">
        <f>IFERROR(AO1262*Assumptions!$C$26*Assumptions!$C$27*INDEX(Assumptions!$C$18:$C$21,MATCH(H1262,Assumptions!$B$18:$B$21,0)),0)</f>
        <v/>
      </c>
    </row>
    <row r="1263">
      <c r="A1263" s="120" t="n">
        <v>46237</v>
      </c>
      <c r="B1263" s="66" t="inlineStr">
        <is>
          <t>Wk 32</t>
        </is>
      </c>
      <c r="C1263" s="66" t="inlineStr">
        <is>
          <t>Mon</t>
        </is>
      </c>
      <c r="D1263" s="66" t="inlineStr">
        <is>
          <t>TikTok</t>
        </is>
      </c>
      <c r="E1263" s="66" t="inlineStr">
        <is>
          <t>TikTok</t>
        </is>
      </c>
      <c r="F1263" s="66" t="inlineStr">
        <is>
          <t>LEP_ZA_AUG26_TT_TD_PANTERA_CONV</t>
        </is>
      </c>
      <c r="G1263" s="66" t="inlineStr">
        <is>
          <t>Website Conversions</t>
        </is>
      </c>
      <c r="H1263" s="66" t="inlineStr">
        <is>
          <t>PANTERA</t>
        </is>
      </c>
      <c r="I1263" s="66" t="inlineStr">
        <is>
          <t>0% Deposit</t>
        </is>
      </c>
      <c r="J1263" s="66" t="inlineStr">
        <is>
          <t>TT_PANTERA_INT_LUX_ZA</t>
        </is>
      </c>
      <c r="K1263" s="66" t="inlineStr">
        <is>
          <t>Interest</t>
        </is>
      </c>
      <c r="L1263" s="66" t="inlineStr">
        <is>
          <t>TT_PANTERA_TREND_10s_Spec_v1</t>
        </is>
      </c>
      <c r="M1263" s="66" t="inlineStr">
        <is>
          <t>Video 9:16</t>
        </is>
      </c>
      <c r="N1263" s="66" t="inlineStr">
        <is>
          <t>Spec check. Guess the price.</t>
        </is>
      </c>
      <c r="O1263" s="66" t="inlineStr">
        <is>
          <t>Auction - Cost Cap</t>
        </is>
      </c>
      <c r="P1263" s="66" t="inlineStr">
        <is>
          <t>Complete Payment / Lead</t>
        </is>
      </c>
      <c r="Q1263" s="66" t="inlineStr">
        <is>
          <t>https://www.lepas-sa.co.za/offers/pantera</t>
        </is>
      </c>
      <c r="R1263" s="121" t="n">
        <v>118.41</v>
      </c>
      <c r="S1263" s="122" t="n">
        <v>3659</v>
      </c>
      <c r="T1263" s="122" t="n">
        <v>2817</v>
      </c>
      <c r="U1263" s="123">
        <f>IFERROR(S1263/T1263,"")</f>
        <v/>
      </c>
      <c r="V1263" s="122" t="n">
        <v>61</v>
      </c>
      <c r="W1263" s="122" t="n">
        <v>50</v>
      </c>
      <c r="X1263" s="124">
        <f>IFERROR(W1263/S1263,"")</f>
        <v/>
      </c>
      <c r="Y1263" s="121">
        <f>IFERROR(R1263/W1263,"")</f>
        <v/>
      </c>
      <c r="Z1263" s="121">
        <f>IFERROR(R1263/S1263*1000,"")</f>
        <v/>
      </c>
      <c r="AA1263" s="122" t="n">
        <v>31</v>
      </c>
      <c r="AB1263" s="54">
        <f>IFERROR(AA1263/W1263,"")</f>
        <v/>
      </c>
      <c r="AC1263" s="122" t="n">
        <v>1152</v>
      </c>
      <c r="AD1263" s="122" t="n">
        <v>662</v>
      </c>
      <c r="AE1263" s="122" t="n">
        <v>571</v>
      </c>
      <c r="AF1263" s="122" t="n">
        <v>316</v>
      </c>
      <c r="AG1263" s="122" t="n">
        <v>217</v>
      </c>
      <c r="AH1263" s="122" t="n">
        <v>132</v>
      </c>
      <c r="AI1263" s="54">
        <f>IFERROR(AC1263/S1263,"")</f>
        <v/>
      </c>
      <c r="AJ1263" s="54">
        <f>IFERROR(AH1263/S1263,"")</f>
        <v/>
      </c>
      <c r="AK1263" s="122" t="n">
        <v>125</v>
      </c>
      <c r="AL1263" s="122" t="n">
        <v>0</v>
      </c>
      <c r="AM1263" s="124">
        <f>IFERROR(AL1263/AA1263,"")</f>
        <v/>
      </c>
      <c r="AN1263" s="125">
        <f>IFERROR(R1263/AL1263,"")</f>
        <v/>
      </c>
      <c r="AO1263" s="122" t="n">
        <v>0</v>
      </c>
      <c r="AP1263" s="54">
        <f>IFERROR(AO1263/AL1263,"")</f>
        <v/>
      </c>
      <c r="AQ1263" s="125">
        <f>IFERROR(R1263/AO1263,"")</f>
        <v/>
      </c>
      <c r="AR1263" s="122" t="n">
        <v>0</v>
      </c>
      <c r="AS1263" s="122" t="n">
        <v>0</v>
      </c>
      <c r="AT1263" s="122">
        <f>AL1263+AR1263</f>
        <v/>
      </c>
      <c r="AU1263" s="125">
        <f>IFERROR(AO1263*Assumptions!$C$26*Assumptions!$C$27*INDEX(Assumptions!$C$18:$C$21,MATCH(H1263,Assumptions!$B$18:$B$21,0)),0)</f>
        <v/>
      </c>
    </row>
    <row r="1264">
      <c r="A1264" s="120" t="n">
        <v>46238</v>
      </c>
      <c r="B1264" s="66" t="inlineStr">
        <is>
          <t>Wk 32</t>
        </is>
      </c>
      <c r="C1264" s="66" t="inlineStr">
        <is>
          <t>Tue</t>
        </is>
      </c>
      <c r="D1264" s="66" t="inlineStr">
        <is>
          <t>TikTok</t>
        </is>
      </c>
      <c r="E1264" s="66" t="inlineStr">
        <is>
          <t>TikTok</t>
        </is>
      </c>
      <c r="F1264" s="66" t="inlineStr">
        <is>
          <t>LEP_ZA_AUG26_TT_TD_PANTERA_CONV</t>
        </is>
      </c>
      <c r="G1264" s="66" t="inlineStr">
        <is>
          <t>Website Conversions</t>
        </is>
      </c>
      <c r="H1264" s="66" t="inlineStr">
        <is>
          <t>PANTERA</t>
        </is>
      </c>
      <c r="I1264" s="66" t="inlineStr">
        <is>
          <t>0% Deposit</t>
        </is>
      </c>
      <c r="J1264" s="66" t="inlineStr">
        <is>
          <t>TT_PANTERA_INT_LUX_ZA</t>
        </is>
      </c>
      <c r="K1264" s="66" t="inlineStr">
        <is>
          <t>Interest</t>
        </is>
      </c>
      <c r="L1264" s="66" t="inlineStr">
        <is>
          <t>TT_PANTERA_TREND_10s_Spec_v1</t>
        </is>
      </c>
      <c r="M1264" s="66" t="inlineStr">
        <is>
          <t>Video 9:16</t>
        </is>
      </c>
      <c r="N1264" s="66" t="inlineStr">
        <is>
          <t>Spec check. Guess the price.</t>
        </is>
      </c>
      <c r="O1264" s="66" t="inlineStr">
        <is>
          <t>Auction - Cost Cap</t>
        </is>
      </c>
      <c r="P1264" s="66" t="inlineStr">
        <is>
          <t>Complete Payment / Lead</t>
        </is>
      </c>
      <c r="Q1264" s="66" t="inlineStr">
        <is>
          <t>https://www.lepas-sa.co.za/offers/pantera</t>
        </is>
      </c>
      <c r="R1264" s="121" t="n">
        <v>136.71</v>
      </c>
      <c r="S1264" s="122" t="n">
        <v>3004</v>
      </c>
      <c r="T1264" s="122" t="n">
        <v>1884</v>
      </c>
      <c r="U1264" s="123">
        <f>IFERROR(S1264/T1264,"")</f>
        <v/>
      </c>
      <c r="V1264" s="122" t="n">
        <v>44</v>
      </c>
      <c r="W1264" s="122" t="n">
        <v>35</v>
      </c>
      <c r="X1264" s="124">
        <f>IFERROR(W1264/S1264,"")</f>
        <v/>
      </c>
      <c r="Y1264" s="121">
        <f>IFERROR(R1264/W1264,"")</f>
        <v/>
      </c>
      <c r="Z1264" s="121">
        <f>IFERROR(R1264/S1264*1000,"")</f>
        <v/>
      </c>
      <c r="AA1264" s="122" t="n">
        <v>25</v>
      </c>
      <c r="AB1264" s="54">
        <f>IFERROR(AA1264/W1264,"")</f>
        <v/>
      </c>
      <c r="AC1264" s="122" t="n">
        <v>734</v>
      </c>
      <c r="AD1264" s="122" t="n">
        <v>381</v>
      </c>
      <c r="AE1264" s="122" t="n">
        <v>291</v>
      </c>
      <c r="AF1264" s="122" t="n">
        <v>169</v>
      </c>
      <c r="AG1264" s="122" t="n">
        <v>120</v>
      </c>
      <c r="AH1264" s="122" t="n">
        <v>71</v>
      </c>
      <c r="AI1264" s="54">
        <f>IFERROR(AC1264/S1264,"")</f>
        <v/>
      </c>
      <c r="AJ1264" s="54">
        <f>IFERROR(AH1264/S1264,"")</f>
        <v/>
      </c>
      <c r="AK1264" s="122" t="n">
        <v>68</v>
      </c>
      <c r="AL1264" s="122" t="n">
        <v>1</v>
      </c>
      <c r="AM1264" s="124">
        <f>IFERROR(AL1264/AA1264,"")</f>
        <v/>
      </c>
      <c r="AN1264" s="125">
        <f>IFERROR(R1264/AL1264,"")</f>
        <v/>
      </c>
      <c r="AO1264" s="122" t="n">
        <v>0</v>
      </c>
      <c r="AP1264" s="54">
        <f>IFERROR(AO1264/AL1264,"")</f>
        <v/>
      </c>
      <c r="AQ1264" s="125">
        <f>IFERROR(R1264/AO1264,"")</f>
        <v/>
      </c>
      <c r="AR1264" s="122" t="n">
        <v>0</v>
      </c>
      <c r="AS1264" s="122" t="n">
        <v>0</v>
      </c>
      <c r="AT1264" s="122">
        <f>AL1264+AR1264</f>
        <v/>
      </c>
      <c r="AU1264" s="125">
        <f>IFERROR(AO1264*Assumptions!$C$26*Assumptions!$C$27*INDEX(Assumptions!$C$18:$C$21,MATCH(H1264,Assumptions!$B$18:$B$21,0)),0)</f>
        <v/>
      </c>
    </row>
    <row r="1265">
      <c r="A1265" s="120" t="n">
        <v>46239</v>
      </c>
      <c r="B1265" s="66" t="inlineStr">
        <is>
          <t>Wk 32</t>
        </is>
      </c>
      <c r="C1265" s="66" t="inlineStr">
        <is>
          <t>Wed</t>
        </is>
      </c>
      <c r="D1265" s="66" t="inlineStr">
        <is>
          <t>TikTok</t>
        </is>
      </c>
      <c r="E1265" s="66" t="inlineStr">
        <is>
          <t>TikTok</t>
        </is>
      </c>
      <c r="F1265" s="66" t="inlineStr">
        <is>
          <t>LEP_ZA_AUG26_TT_TD_PANTERA_CONV</t>
        </is>
      </c>
      <c r="G1265" s="66" t="inlineStr">
        <is>
          <t>Website Conversions</t>
        </is>
      </c>
      <c r="H1265" s="66" t="inlineStr">
        <is>
          <t>PANTERA</t>
        </is>
      </c>
      <c r="I1265" s="66" t="inlineStr">
        <is>
          <t>0% Deposit</t>
        </is>
      </c>
      <c r="J1265" s="66" t="inlineStr">
        <is>
          <t>TT_PANTERA_INT_LUX_ZA</t>
        </is>
      </c>
      <c r="K1265" s="66" t="inlineStr">
        <is>
          <t>Interest</t>
        </is>
      </c>
      <c r="L1265" s="66" t="inlineStr">
        <is>
          <t>TT_PANTERA_TREND_10s_Spec_v1</t>
        </is>
      </c>
      <c r="M1265" s="66" t="inlineStr">
        <is>
          <t>Video 9:16</t>
        </is>
      </c>
      <c r="N1265" s="66" t="inlineStr">
        <is>
          <t>Spec check. Guess the price.</t>
        </is>
      </c>
      <c r="O1265" s="66" t="inlineStr">
        <is>
          <t>Auction - Cost Cap</t>
        </is>
      </c>
      <c r="P1265" s="66" t="inlineStr">
        <is>
          <t>Complete Payment / Lead</t>
        </is>
      </c>
      <c r="Q1265" s="66" t="inlineStr">
        <is>
          <t>https://www.lepas-sa.co.za/offers/pantera</t>
        </is>
      </c>
      <c r="R1265" s="121" t="n">
        <v>148.27</v>
      </c>
      <c r="S1265" s="122" t="n">
        <v>3468</v>
      </c>
      <c r="T1265" s="122" t="n">
        <v>2689</v>
      </c>
      <c r="U1265" s="123">
        <f>IFERROR(S1265/T1265,"")</f>
        <v/>
      </c>
      <c r="V1265" s="122" t="n">
        <v>57</v>
      </c>
      <c r="W1265" s="122" t="n">
        <v>46</v>
      </c>
      <c r="X1265" s="124">
        <f>IFERROR(W1265/S1265,"")</f>
        <v/>
      </c>
      <c r="Y1265" s="121">
        <f>IFERROR(R1265/W1265,"")</f>
        <v/>
      </c>
      <c r="Z1265" s="121">
        <f>IFERROR(R1265/S1265*1000,"")</f>
        <v/>
      </c>
      <c r="AA1265" s="122" t="n">
        <v>32</v>
      </c>
      <c r="AB1265" s="54">
        <f>IFERROR(AA1265/W1265,"")</f>
        <v/>
      </c>
      <c r="AC1265" s="122" t="n">
        <v>941</v>
      </c>
      <c r="AD1265" s="122" t="n">
        <v>436</v>
      </c>
      <c r="AE1265" s="122" t="n">
        <v>392</v>
      </c>
      <c r="AF1265" s="122" t="n">
        <v>230</v>
      </c>
      <c r="AG1265" s="122" t="n">
        <v>169</v>
      </c>
      <c r="AH1265" s="122" t="n">
        <v>107</v>
      </c>
      <c r="AI1265" s="54">
        <f>IFERROR(AC1265/S1265,"")</f>
        <v/>
      </c>
      <c r="AJ1265" s="54">
        <f>IFERROR(AH1265/S1265,"")</f>
        <v/>
      </c>
      <c r="AK1265" s="122" t="n">
        <v>172</v>
      </c>
      <c r="AL1265" s="122" t="n">
        <v>1</v>
      </c>
      <c r="AM1265" s="124">
        <f>IFERROR(AL1265/AA1265,"")</f>
        <v/>
      </c>
      <c r="AN1265" s="125">
        <f>IFERROR(R1265/AL1265,"")</f>
        <v/>
      </c>
      <c r="AO1265" s="122" t="n">
        <v>0</v>
      </c>
      <c r="AP1265" s="54">
        <f>IFERROR(AO1265/AL1265,"")</f>
        <v/>
      </c>
      <c r="AQ1265" s="125">
        <f>IFERROR(R1265/AO1265,"")</f>
        <v/>
      </c>
      <c r="AR1265" s="122" t="n">
        <v>1</v>
      </c>
      <c r="AS1265" s="122" t="n">
        <v>0</v>
      </c>
      <c r="AT1265" s="122">
        <f>AL1265+AR1265</f>
        <v/>
      </c>
      <c r="AU1265" s="125">
        <f>IFERROR(AO1265*Assumptions!$C$26*Assumptions!$C$27*INDEX(Assumptions!$C$18:$C$21,MATCH(H1265,Assumptions!$B$18:$B$21,0)),0)</f>
        <v/>
      </c>
    </row>
    <row r="1266">
      <c r="A1266" s="120" t="n">
        <v>46240</v>
      </c>
      <c r="B1266" s="66" t="inlineStr">
        <is>
          <t>Wk 32</t>
        </is>
      </c>
      <c r="C1266" s="66" t="inlineStr">
        <is>
          <t>Thu</t>
        </is>
      </c>
      <c r="D1266" s="66" t="inlineStr">
        <is>
          <t>TikTok</t>
        </is>
      </c>
      <c r="E1266" s="66" t="inlineStr">
        <is>
          <t>TikTok</t>
        </is>
      </c>
      <c r="F1266" s="66" t="inlineStr">
        <is>
          <t>LEP_ZA_AUG26_TT_TD_PANTERA_CONV</t>
        </is>
      </c>
      <c r="G1266" s="66" t="inlineStr">
        <is>
          <t>Website Conversions</t>
        </is>
      </c>
      <c r="H1266" s="66" t="inlineStr">
        <is>
          <t>PANTERA</t>
        </is>
      </c>
      <c r="I1266" s="66" t="inlineStr">
        <is>
          <t>0% Deposit</t>
        </is>
      </c>
      <c r="J1266" s="66" t="inlineStr">
        <is>
          <t>TT_PANTERA_INT_LUX_ZA</t>
        </is>
      </c>
      <c r="K1266" s="66" t="inlineStr">
        <is>
          <t>Interest</t>
        </is>
      </c>
      <c r="L1266" s="66" t="inlineStr">
        <is>
          <t>TT_PANTERA_TREND_10s_Spec_v1</t>
        </is>
      </c>
      <c r="M1266" s="66" t="inlineStr">
        <is>
          <t>Video 9:16</t>
        </is>
      </c>
      <c r="N1266" s="66" t="inlineStr">
        <is>
          <t>Spec check. Guess the price.</t>
        </is>
      </c>
      <c r="O1266" s="66" t="inlineStr">
        <is>
          <t>Auction - Cost Cap</t>
        </is>
      </c>
      <c r="P1266" s="66" t="inlineStr">
        <is>
          <t>Complete Payment / Lead</t>
        </is>
      </c>
      <c r="Q1266" s="66" t="inlineStr">
        <is>
          <t>https://www.lepas-sa.co.za/offers/pantera</t>
        </is>
      </c>
      <c r="R1266" s="121" t="n">
        <v>168.46</v>
      </c>
      <c r="S1266" s="122" t="n">
        <v>6140</v>
      </c>
      <c r="T1266" s="122" t="n">
        <v>3824</v>
      </c>
      <c r="U1266" s="123">
        <f>IFERROR(S1266/T1266,"")</f>
        <v/>
      </c>
      <c r="V1266" s="122" t="n">
        <v>116</v>
      </c>
      <c r="W1266" s="122" t="n">
        <v>92</v>
      </c>
      <c r="X1266" s="124">
        <f>IFERROR(W1266/S1266,"")</f>
        <v/>
      </c>
      <c r="Y1266" s="121">
        <f>IFERROR(R1266/W1266,"")</f>
        <v/>
      </c>
      <c r="Z1266" s="121">
        <f>IFERROR(R1266/S1266*1000,"")</f>
        <v/>
      </c>
      <c r="AA1266" s="122" t="n">
        <v>64</v>
      </c>
      <c r="AB1266" s="54">
        <f>IFERROR(AA1266/W1266,"")</f>
        <v/>
      </c>
      <c r="AC1266" s="122" t="n">
        <v>1679</v>
      </c>
      <c r="AD1266" s="122" t="n">
        <v>898</v>
      </c>
      <c r="AE1266" s="122" t="n">
        <v>876</v>
      </c>
      <c r="AF1266" s="122" t="n">
        <v>531</v>
      </c>
      <c r="AG1266" s="122" t="n">
        <v>365</v>
      </c>
      <c r="AH1266" s="122" t="n">
        <v>254</v>
      </c>
      <c r="AI1266" s="54">
        <f>IFERROR(AC1266/S1266,"")</f>
        <v/>
      </c>
      <c r="AJ1266" s="54">
        <f>IFERROR(AH1266/S1266,"")</f>
        <v/>
      </c>
      <c r="AK1266" s="122" t="n">
        <v>258</v>
      </c>
      <c r="AL1266" s="122" t="n">
        <v>1</v>
      </c>
      <c r="AM1266" s="124">
        <f>IFERROR(AL1266/AA1266,"")</f>
        <v/>
      </c>
      <c r="AN1266" s="125">
        <f>IFERROR(R1266/AL1266,"")</f>
        <v/>
      </c>
      <c r="AO1266" s="122" t="n">
        <v>1</v>
      </c>
      <c r="AP1266" s="54">
        <f>IFERROR(AO1266/AL1266,"")</f>
        <v/>
      </c>
      <c r="AQ1266" s="125">
        <f>IFERROR(R1266/AO1266,"")</f>
        <v/>
      </c>
      <c r="AR1266" s="122" t="n">
        <v>0</v>
      </c>
      <c r="AS1266" s="122" t="n">
        <v>0</v>
      </c>
      <c r="AT1266" s="122">
        <f>AL1266+AR1266</f>
        <v/>
      </c>
      <c r="AU1266" s="125">
        <f>IFERROR(AO1266*Assumptions!$C$26*Assumptions!$C$27*INDEX(Assumptions!$C$18:$C$21,MATCH(H1266,Assumptions!$B$18:$B$21,0)),0)</f>
        <v/>
      </c>
    </row>
    <row r="1267">
      <c r="A1267" s="120" t="n">
        <v>46241</v>
      </c>
      <c r="B1267" s="66" t="inlineStr">
        <is>
          <t>Wk 32</t>
        </is>
      </c>
      <c r="C1267" s="66" t="inlineStr">
        <is>
          <t>Fri</t>
        </is>
      </c>
      <c r="D1267" s="66" t="inlineStr">
        <is>
          <t>TikTok</t>
        </is>
      </c>
      <c r="E1267" s="66" t="inlineStr">
        <is>
          <t>TikTok</t>
        </is>
      </c>
      <c r="F1267" s="66" t="inlineStr">
        <is>
          <t>LEP_ZA_AUG26_TT_TD_PANTERA_CONV</t>
        </is>
      </c>
      <c r="G1267" s="66" t="inlineStr">
        <is>
          <t>Website Conversions</t>
        </is>
      </c>
      <c r="H1267" s="66" t="inlineStr">
        <is>
          <t>PANTERA</t>
        </is>
      </c>
      <c r="I1267" s="66" t="inlineStr">
        <is>
          <t>0% Deposit</t>
        </is>
      </c>
      <c r="J1267" s="66" t="inlineStr">
        <is>
          <t>TT_PANTERA_INT_LUX_ZA</t>
        </is>
      </c>
      <c r="K1267" s="66" t="inlineStr">
        <is>
          <t>Interest</t>
        </is>
      </c>
      <c r="L1267" s="66" t="inlineStr">
        <is>
          <t>TT_PANTERA_TREND_10s_Spec_v1</t>
        </is>
      </c>
      <c r="M1267" s="66" t="inlineStr">
        <is>
          <t>Video 9:16</t>
        </is>
      </c>
      <c r="N1267" s="66" t="inlineStr">
        <is>
          <t>Spec check. Guess the price.</t>
        </is>
      </c>
      <c r="O1267" s="66" t="inlineStr">
        <is>
          <t>Auction - Cost Cap</t>
        </is>
      </c>
      <c r="P1267" s="66" t="inlineStr">
        <is>
          <t>Complete Payment / Lead</t>
        </is>
      </c>
      <c r="Q1267" s="66" t="inlineStr">
        <is>
          <t>https://www.lepas-sa.co.za/offers/pantera</t>
        </is>
      </c>
      <c r="R1267" s="121" t="n">
        <v>185.7</v>
      </c>
      <c r="S1267" s="122" t="n">
        <v>4165</v>
      </c>
      <c r="T1267" s="122" t="n">
        <v>2513</v>
      </c>
      <c r="U1267" s="123">
        <f>IFERROR(S1267/T1267,"")</f>
        <v/>
      </c>
      <c r="V1267" s="122" t="n">
        <v>52</v>
      </c>
      <c r="W1267" s="122" t="n">
        <v>40</v>
      </c>
      <c r="X1267" s="124">
        <f>IFERROR(W1267/S1267,"")</f>
        <v/>
      </c>
      <c r="Y1267" s="121">
        <f>IFERROR(R1267/W1267,"")</f>
        <v/>
      </c>
      <c r="Z1267" s="121">
        <f>IFERROR(R1267/S1267*1000,"")</f>
        <v/>
      </c>
      <c r="AA1267" s="122" t="n">
        <v>27</v>
      </c>
      <c r="AB1267" s="54">
        <f>IFERROR(AA1267/W1267,"")</f>
        <v/>
      </c>
      <c r="AC1267" s="122" t="n">
        <v>1653</v>
      </c>
      <c r="AD1267" s="122" t="n">
        <v>858</v>
      </c>
      <c r="AE1267" s="122" t="n">
        <v>601</v>
      </c>
      <c r="AF1267" s="122" t="n">
        <v>323</v>
      </c>
      <c r="AG1267" s="122" t="n">
        <v>219</v>
      </c>
      <c r="AH1267" s="122" t="n">
        <v>159</v>
      </c>
      <c r="AI1267" s="54">
        <f>IFERROR(AC1267/S1267,"")</f>
        <v/>
      </c>
      <c r="AJ1267" s="54">
        <f>IFERROR(AH1267/S1267,"")</f>
        <v/>
      </c>
      <c r="AK1267" s="122" t="n">
        <v>232</v>
      </c>
      <c r="AL1267" s="122" t="n">
        <v>1</v>
      </c>
      <c r="AM1267" s="124">
        <f>IFERROR(AL1267/AA1267,"")</f>
        <v/>
      </c>
      <c r="AN1267" s="125">
        <f>IFERROR(R1267/AL1267,"")</f>
        <v/>
      </c>
      <c r="AO1267" s="122" t="n">
        <v>0</v>
      </c>
      <c r="AP1267" s="54">
        <f>IFERROR(AO1267/AL1267,"")</f>
        <v/>
      </c>
      <c r="AQ1267" s="125">
        <f>IFERROR(R1267/AO1267,"")</f>
        <v/>
      </c>
      <c r="AR1267" s="122" t="n">
        <v>1</v>
      </c>
      <c r="AS1267" s="122" t="n">
        <v>0</v>
      </c>
      <c r="AT1267" s="122">
        <f>AL1267+AR1267</f>
        <v/>
      </c>
      <c r="AU1267" s="125">
        <f>IFERROR(AO1267*Assumptions!$C$26*Assumptions!$C$27*INDEX(Assumptions!$C$18:$C$21,MATCH(H1267,Assumptions!$B$18:$B$21,0)),0)</f>
        <v/>
      </c>
    </row>
    <row r="1268">
      <c r="A1268" s="120" t="n">
        <v>46242</v>
      </c>
      <c r="B1268" s="66" t="inlineStr">
        <is>
          <t>Wk 32</t>
        </is>
      </c>
      <c r="C1268" s="66" t="inlineStr">
        <is>
          <t>Sat</t>
        </is>
      </c>
      <c r="D1268" s="66" t="inlineStr">
        <is>
          <t>TikTok</t>
        </is>
      </c>
      <c r="E1268" s="66" t="inlineStr">
        <is>
          <t>TikTok</t>
        </is>
      </c>
      <c r="F1268" s="66" t="inlineStr">
        <is>
          <t>LEP_ZA_AUG26_TT_TD_PANTERA_CONV</t>
        </is>
      </c>
      <c r="G1268" s="66" t="inlineStr">
        <is>
          <t>Website Conversions</t>
        </is>
      </c>
      <c r="H1268" s="66" t="inlineStr">
        <is>
          <t>PANTERA</t>
        </is>
      </c>
      <c r="I1268" s="66" t="inlineStr">
        <is>
          <t>0% Deposit</t>
        </is>
      </c>
      <c r="J1268" s="66" t="inlineStr">
        <is>
          <t>TT_PANTERA_INT_LUX_ZA</t>
        </is>
      </c>
      <c r="K1268" s="66" t="inlineStr">
        <is>
          <t>Interest</t>
        </is>
      </c>
      <c r="L1268" s="66" t="inlineStr">
        <is>
          <t>TT_PANTERA_TREND_10s_Spec_v1</t>
        </is>
      </c>
      <c r="M1268" s="66" t="inlineStr">
        <is>
          <t>Video 9:16</t>
        </is>
      </c>
      <c r="N1268" s="66" t="inlineStr">
        <is>
          <t>Spec check. Guess the price.</t>
        </is>
      </c>
      <c r="O1268" s="66" t="inlineStr">
        <is>
          <t>Auction - Cost Cap</t>
        </is>
      </c>
      <c r="P1268" s="66" t="inlineStr">
        <is>
          <t>Complete Payment / Lead</t>
        </is>
      </c>
      <c r="Q1268" s="66" t="inlineStr">
        <is>
          <t>https://www.lepas-sa.co.za/offers/pantera</t>
        </is>
      </c>
      <c r="R1268" s="121" t="n">
        <v>157.82</v>
      </c>
      <c r="S1268" s="122" t="n">
        <v>3395</v>
      </c>
      <c r="T1268" s="122" t="n">
        <v>2332</v>
      </c>
      <c r="U1268" s="123">
        <f>IFERROR(S1268/T1268,"")</f>
        <v/>
      </c>
      <c r="V1268" s="122" t="n">
        <v>45</v>
      </c>
      <c r="W1268" s="122" t="n">
        <v>37</v>
      </c>
      <c r="X1268" s="124">
        <f>IFERROR(W1268/S1268,"")</f>
        <v/>
      </c>
      <c r="Y1268" s="121">
        <f>IFERROR(R1268/W1268,"")</f>
        <v/>
      </c>
      <c r="Z1268" s="121">
        <f>IFERROR(R1268/S1268*1000,"")</f>
        <v/>
      </c>
      <c r="AA1268" s="122" t="n">
        <v>25</v>
      </c>
      <c r="AB1268" s="54">
        <f>IFERROR(AA1268/W1268,"")</f>
        <v/>
      </c>
      <c r="AC1268" s="122" t="n">
        <v>934</v>
      </c>
      <c r="AD1268" s="122" t="n">
        <v>542</v>
      </c>
      <c r="AE1268" s="122" t="n">
        <v>364</v>
      </c>
      <c r="AF1268" s="122" t="n">
        <v>233</v>
      </c>
      <c r="AG1268" s="122" t="n">
        <v>164</v>
      </c>
      <c r="AH1268" s="122" t="n">
        <v>115</v>
      </c>
      <c r="AI1268" s="54">
        <f>IFERROR(AC1268/S1268,"")</f>
        <v/>
      </c>
      <c r="AJ1268" s="54">
        <f>IFERROR(AH1268/S1268,"")</f>
        <v/>
      </c>
      <c r="AK1268" s="122" t="n">
        <v>84</v>
      </c>
      <c r="AL1268" s="122" t="n">
        <v>0</v>
      </c>
      <c r="AM1268" s="124">
        <f>IFERROR(AL1268/AA1268,"")</f>
        <v/>
      </c>
      <c r="AN1268" s="125">
        <f>IFERROR(R1268/AL1268,"")</f>
        <v/>
      </c>
      <c r="AO1268" s="122" t="n">
        <v>0</v>
      </c>
      <c r="AP1268" s="54">
        <f>IFERROR(AO1268/AL1268,"")</f>
        <v/>
      </c>
      <c r="AQ1268" s="125">
        <f>IFERROR(R1268/AO1268,"")</f>
        <v/>
      </c>
      <c r="AR1268" s="122" t="n">
        <v>0</v>
      </c>
      <c r="AS1268" s="122" t="n">
        <v>0</v>
      </c>
      <c r="AT1268" s="122">
        <f>AL1268+AR1268</f>
        <v/>
      </c>
      <c r="AU1268" s="125">
        <f>IFERROR(AO1268*Assumptions!$C$26*Assumptions!$C$27*INDEX(Assumptions!$C$18:$C$21,MATCH(H1268,Assumptions!$B$18:$B$21,0)),0)</f>
        <v/>
      </c>
    </row>
    <row r="1269">
      <c r="A1269" s="120" t="n">
        <v>46243</v>
      </c>
      <c r="B1269" s="66" t="inlineStr">
        <is>
          <t>Wk 32</t>
        </is>
      </c>
      <c r="C1269" s="66" t="inlineStr">
        <is>
          <t>Sun</t>
        </is>
      </c>
      <c r="D1269" s="66" t="inlineStr">
        <is>
          <t>TikTok</t>
        </is>
      </c>
      <c r="E1269" s="66" t="inlineStr">
        <is>
          <t>TikTok</t>
        </is>
      </c>
      <c r="F1269" s="66" t="inlineStr">
        <is>
          <t>LEP_ZA_AUG26_TT_TD_PANTERA_CONV</t>
        </is>
      </c>
      <c r="G1269" s="66" t="inlineStr">
        <is>
          <t>Website Conversions</t>
        </is>
      </c>
      <c r="H1269" s="66" t="inlineStr">
        <is>
          <t>PANTERA</t>
        </is>
      </c>
      <c r="I1269" s="66" t="inlineStr">
        <is>
          <t>0% Deposit</t>
        </is>
      </c>
      <c r="J1269" s="66" t="inlineStr">
        <is>
          <t>TT_PANTERA_INT_LUX_ZA</t>
        </is>
      </c>
      <c r="K1269" s="66" t="inlineStr">
        <is>
          <t>Interest</t>
        </is>
      </c>
      <c r="L1269" s="66" t="inlineStr">
        <is>
          <t>TT_PANTERA_TREND_10s_Spec_v1</t>
        </is>
      </c>
      <c r="M1269" s="66" t="inlineStr">
        <is>
          <t>Video 9:16</t>
        </is>
      </c>
      <c r="N1269" s="66" t="inlineStr">
        <is>
          <t>Spec check. Guess the price.</t>
        </is>
      </c>
      <c r="O1269" s="66" t="inlineStr">
        <is>
          <t>Auction - Cost Cap</t>
        </is>
      </c>
      <c r="P1269" s="66" t="inlineStr">
        <is>
          <t>Complete Payment / Lead</t>
        </is>
      </c>
      <c r="Q1269" s="66" t="inlineStr">
        <is>
          <t>https://www.lepas-sa.co.za/offers/pantera</t>
        </is>
      </c>
      <c r="R1269" s="121" t="n">
        <v>115.38</v>
      </c>
      <c r="S1269" s="122" t="n">
        <v>3150</v>
      </c>
      <c r="T1269" s="122" t="n">
        <v>1979</v>
      </c>
      <c r="U1269" s="123">
        <f>IFERROR(S1269/T1269,"")</f>
        <v/>
      </c>
      <c r="V1269" s="122" t="n">
        <v>53</v>
      </c>
      <c r="W1269" s="122" t="n">
        <v>40</v>
      </c>
      <c r="X1269" s="124">
        <f>IFERROR(W1269/S1269,"")</f>
        <v/>
      </c>
      <c r="Y1269" s="121">
        <f>IFERROR(R1269/W1269,"")</f>
        <v/>
      </c>
      <c r="Z1269" s="121">
        <f>IFERROR(R1269/S1269*1000,"")</f>
        <v/>
      </c>
      <c r="AA1269" s="122" t="n">
        <v>29</v>
      </c>
      <c r="AB1269" s="54">
        <f>IFERROR(AA1269/W1269,"")</f>
        <v/>
      </c>
      <c r="AC1269" s="122" t="n">
        <v>1012</v>
      </c>
      <c r="AD1269" s="122" t="n">
        <v>474</v>
      </c>
      <c r="AE1269" s="122" t="n">
        <v>445</v>
      </c>
      <c r="AF1269" s="122" t="n">
        <v>236</v>
      </c>
      <c r="AG1269" s="122" t="n">
        <v>183</v>
      </c>
      <c r="AH1269" s="122" t="n">
        <v>107</v>
      </c>
      <c r="AI1269" s="54">
        <f>IFERROR(AC1269/S1269,"")</f>
        <v/>
      </c>
      <c r="AJ1269" s="54">
        <f>IFERROR(AH1269/S1269,"")</f>
        <v/>
      </c>
      <c r="AK1269" s="122" t="n">
        <v>130</v>
      </c>
      <c r="AL1269" s="122" t="n">
        <v>1</v>
      </c>
      <c r="AM1269" s="124">
        <f>IFERROR(AL1269/AA1269,"")</f>
        <v/>
      </c>
      <c r="AN1269" s="125">
        <f>IFERROR(R1269/AL1269,"")</f>
        <v/>
      </c>
      <c r="AO1269" s="122" t="n">
        <v>1</v>
      </c>
      <c r="AP1269" s="54">
        <f>IFERROR(AO1269/AL1269,"")</f>
        <v/>
      </c>
      <c r="AQ1269" s="125">
        <f>IFERROR(R1269/AO1269,"")</f>
        <v/>
      </c>
      <c r="AR1269" s="122" t="n">
        <v>1</v>
      </c>
      <c r="AS1269" s="122" t="n">
        <v>0</v>
      </c>
      <c r="AT1269" s="122">
        <f>AL1269+AR1269</f>
        <v/>
      </c>
      <c r="AU1269" s="125">
        <f>IFERROR(AO1269*Assumptions!$C$26*Assumptions!$C$27*INDEX(Assumptions!$C$18:$C$21,MATCH(H1269,Assumptions!$B$18:$B$21,0)),0)</f>
        <v/>
      </c>
    </row>
    <row r="1270">
      <c r="A1270" s="120" t="n">
        <v>46244</v>
      </c>
      <c r="B1270" s="66" t="inlineStr">
        <is>
          <t>Wk 33</t>
        </is>
      </c>
      <c r="C1270" s="66" t="inlineStr">
        <is>
          <t>Mon</t>
        </is>
      </c>
      <c r="D1270" s="66" t="inlineStr">
        <is>
          <t>TikTok</t>
        </is>
      </c>
      <c r="E1270" s="66" t="inlineStr">
        <is>
          <t>TikTok</t>
        </is>
      </c>
      <c r="F1270" s="66" t="inlineStr">
        <is>
          <t>LEP_ZA_AUG26_TT_TD_PANTERA_CONV</t>
        </is>
      </c>
      <c r="G1270" s="66" t="inlineStr">
        <is>
          <t>Website Conversions</t>
        </is>
      </c>
      <c r="H1270" s="66" t="inlineStr">
        <is>
          <t>PANTERA</t>
        </is>
      </c>
      <c r="I1270" s="66" t="inlineStr">
        <is>
          <t>0% Deposit</t>
        </is>
      </c>
      <c r="J1270" s="66" t="inlineStr">
        <is>
          <t>TT_PANTERA_INT_LUX_ZA</t>
        </is>
      </c>
      <c r="K1270" s="66" t="inlineStr">
        <is>
          <t>Interest</t>
        </is>
      </c>
      <c r="L1270" s="66" t="inlineStr">
        <is>
          <t>TT_PANTERA_TREND_10s_Spec_v1</t>
        </is>
      </c>
      <c r="M1270" s="66" t="inlineStr">
        <is>
          <t>Video 9:16</t>
        </is>
      </c>
      <c r="N1270" s="66" t="inlineStr">
        <is>
          <t>Spec check. Guess the price.</t>
        </is>
      </c>
      <c r="O1270" s="66" t="inlineStr">
        <is>
          <t>Auction - Cost Cap</t>
        </is>
      </c>
      <c r="P1270" s="66" t="inlineStr">
        <is>
          <t>Complete Payment / Lead</t>
        </is>
      </c>
      <c r="Q1270" s="66" t="inlineStr">
        <is>
          <t>https://www.lepas-sa.co.za/offers/pantera</t>
        </is>
      </c>
      <c r="R1270" s="121" t="n">
        <v>142.21</v>
      </c>
      <c r="S1270" s="122" t="n">
        <v>3441</v>
      </c>
      <c r="T1270" s="122" t="n">
        <v>1867</v>
      </c>
      <c r="U1270" s="123">
        <f>IFERROR(S1270/T1270,"")</f>
        <v/>
      </c>
      <c r="V1270" s="122" t="n">
        <v>35</v>
      </c>
      <c r="W1270" s="122" t="n">
        <v>29</v>
      </c>
      <c r="X1270" s="124">
        <f>IFERROR(W1270/S1270,"")</f>
        <v/>
      </c>
      <c r="Y1270" s="121">
        <f>IFERROR(R1270/W1270,"")</f>
        <v/>
      </c>
      <c r="Z1270" s="121">
        <f>IFERROR(R1270/S1270*1000,"")</f>
        <v/>
      </c>
      <c r="AA1270" s="122" t="n">
        <v>20</v>
      </c>
      <c r="AB1270" s="54">
        <f>IFERROR(AA1270/W1270,"")</f>
        <v/>
      </c>
      <c r="AC1270" s="122" t="n">
        <v>1259</v>
      </c>
      <c r="AD1270" s="122" t="n">
        <v>733</v>
      </c>
      <c r="AE1270" s="122" t="n">
        <v>523</v>
      </c>
      <c r="AF1270" s="122" t="n">
        <v>302</v>
      </c>
      <c r="AG1270" s="122" t="n">
        <v>196</v>
      </c>
      <c r="AH1270" s="122" t="n">
        <v>134</v>
      </c>
      <c r="AI1270" s="54">
        <f>IFERROR(AC1270/S1270,"")</f>
        <v/>
      </c>
      <c r="AJ1270" s="54">
        <f>IFERROR(AH1270/S1270,"")</f>
        <v/>
      </c>
      <c r="AK1270" s="122" t="n">
        <v>75</v>
      </c>
      <c r="AL1270" s="122" t="n">
        <v>0</v>
      </c>
      <c r="AM1270" s="124">
        <f>IFERROR(AL1270/AA1270,"")</f>
        <v/>
      </c>
      <c r="AN1270" s="125">
        <f>IFERROR(R1270/AL1270,"")</f>
        <v/>
      </c>
      <c r="AO1270" s="122" t="n">
        <v>0</v>
      </c>
      <c r="AP1270" s="54">
        <f>IFERROR(AO1270/AL1270,"")</f>
        <v/>
      </c>
      <c r="AQ1270" s="125">
        <f>IFERROR(R1270/AO1270,"")</f>
        <v/>
      </c>
      <c r="AR1270" s="122" t="n">
        <v>0</v>
      </c>
      <c r="AS1270" s="122" t="n">
        <v>0</v>
      </c>
      <c r="AT1270" s="122">
        <f>AL1270+AR1270</f>
        <v/>
      </c>
      <c r="AU1270" s="125">
        <f>IFERROR(AO1270*Assumptions!$C$26*Assumptions!$C$27*INDEX(Assumptions!$C$18:$C$21,MATCH(H1270,Assumptions!$B$18:$B$21,0)),0)</f>
        <v/>
      </c>
    </row>
    <row r="1271">
      <c r="A1271" s="120" t="n">
        <v>46245</v>
      </c>
      <c r="B1271" s="66" t="inlineStr">
        <is>
          <t>Wk 33</t>
        </is>
      </c>
      <c r="C1271" s="66" t="inlineStr">
        <is>
          <t>Tue</t>
        </is>
      </c>
      <c r="D1271" s="66" t="inlineStr">
        <is>
          <t>TikTok</t>
        </is>
      </c>
      <c r="E1271" s="66" t="inlineStr">
        <is>
          <t>TikTok</t>
        </is>
      </c>
      <c r="F1271" s="66" t="inlineStr">
        <is>
          <t>LEP_ZA_AUG26_TT_TD_PANTERA_CONV</t>
        </is>
      </c>
      <c r="G1271" s="66" t="inlineStr">
        <is>
          <t>Website Conversions</t>
        </is>
      </c>
      <c r="H1271" s="66" t="inlineStr">
        <is>
          <t>PANTERA</t>
        </is>
      </c>
      <c r="I1271" s="66" t="inlineStr">
        <is>
          <t>0% Deposit</t>
        </is>
      </c>
      <c r="J1271" s="66" t="inlineStr">
        <is>
          <t>TT_PANTERA_INT_LUX_ZA</t>
        </is>
      </c>
      <c r="K1271" s="66" t="inlineStr">
        <is>
          <t>Interest</t>
        </is>
      </c>
      <c r="L1271" s="66" t="inlineStr">
        <is>
          <t>TT_PANTERA_TREND_10s_Spec_v1</t>
        </is>
      </c>
      <c r="M1271" s="66" t="inlineStr">
        <is>
          <t>Video 9:16</t>
        </is>
      </c>
      <c r="N1271" s="66" t="inlineStr">
        <is>
          <t>Spec check. Guess the price.</t>
        </is>
      </c>
      <c r="O1271" s="66" t="inlineStr">
        <is>
          <t>Auction - Cost Cap</t>
        </is>
      </c>
      <c r="P1271" s="66" t="inlineStr">
        <is>
          <t>Complete Payment / Lead</t>
        </is>
      </c>
      <c r="Q1271" s="66" t="inlineStr">
        <is>
          <t>https://www.lepas-sa.co.za/offers/pantera</t>
        </is>
      </c>
      <c r="R1271" s="121" t="n">
        <v>155.59</v>
      </c>
      <c r="S1271" s="122" t="n">
        <v>5519</v>
      </c>
      <c r="T1271" s="122" t="n">
        <v>3716</v>
      </c>
      <c r="U1271" s="123">
        <f>IFERROR(S1271/T1271,"")</f>
        <v/>
      </c>
      <c r="V1271" s="122" t="n">
        <v>38</v>
      </c>
      <c r="W1271" s="122" t="n">
        <v>30</v>
      </c>
      <c r="X1271" s="124">
        <f>IFERROR(W1271/S1271,"")</f>
        <v/>
      </c>
      <c r="Y1271" s="121">
        <f>IFERROR(R1271/W1271,"")</f>
        <v/>
      </c>
      <c r="Z1271" s="121">
        <f>IFERROR(R1271/S1271*1000,"")</f>
        <v/>
      </c>
      <c r="AA1271" s="122" t="n">
        <v>21</v>
      </c>
      <c r="AB1271" s="54">
        <f>IFERROR(AA1271/W1271,"")</f>
        <v/>
      </c>
      <c r="AC1271" s="122" t="n">
        <v>2060</v>
      </c>
      <c r="AD1271" s="122" t="n">
        <v>988</v>
      </c>
      <c r="AE1271" s="122" t="n">
        <v>1092</v>
      </c>
      <c r="AF1271" s="122" t="n">
        <v>634</v>
      </c>
      <c r="AG1271" s="122" t="n">
        <v>476</v>
      </c>
      <c r="AH1271" s="122" t="n">
        <v>297</v>
      </c>
      <c r="AI1271" s="54">
        <f>IFERROR(AC1271/S1271,"")</f>
        <v/>
      </c>
      <c r="AJ1271" s="54">
        <f>IFERROR(AH1271/S1271,"")</f>
        <v/>
      </c>
      <c r="AK1271" s="122" t="n">
        <v>206</v>
      </c>
      <c r="AL1271" s="122" t="n">
        <v>0</v>
      </c>
      <c r="AM1271" s="124">
        <f>IFERROR(AL1271/AA1271,"")</f>
        <v/>
      </c>
      <c r="AN1271" s="125">
        <f>IFERROR(R1271/AL1271,"")</f>
        <v/>
      </c>
      <c r="AO1271" s="122" t="n">
        <v>0</v>
      </c>
      <c r="AP1271" s="54">
        <f>IFERROR(AO1271/AL1271,"")</f>
        <v/>
      </c>
      <c r="AQ1271" s="125">
        <f>IFERROR(R1271/AO1271,"")</f>
        <v/>
      </c>
      <c r="AR1271" s="122" t="n">
        <v>0</v>
      </c>
      <c r="AS1271" s="122" t="n">
        <v>0</v>
      </c>
      <c r="AT1271" s="122">
        <f>AL1271+AR1271</f>
        <v/>
      </c>
      <c r="AU1271" s="125">
        <f>IFERROR(AO1271*Assumptions!$C$26*Assumptions!$C$27*INDEX(Assumptions!$C$18:$C$21,MATCH(H1271,Assumptions!$B$18:$B$21,0)),0)</f>
        <v/>
      </c>
    </row>
    <row r="1272">
      <c r="A1272" s="120" t="n">
        <v>46246</v>
      </c>
      <c r="B1272" s="66" t="inlineStr">
        <is>
          <t>Wk 33</t>
        </is>
      </c>
      <c r="C1272" s="66" t="inlineStr">
        <is>
          <t>Wed</t>
        </is>
      </c>
      <c r="D1272" s="66" t="inlineStr">
        <is>
          <t>TikTok</t>
        </is>
      </c>
      <c r="E1272" s="66" t="inlineStr">
        <is>
          <t>TikTok</t>
        </is>
      </c>
      <c r="F1272" s="66" t="inlineStr">
        <is>
          <t>LEP_ZA_AUG26_TT_TD_PANTERA_CONV</t>
        </is>
      </c>
      <c r="G1272" s="66" t="inlineStr">
        <is>
          <t>Website Conversions</t>
        </is>
      </c>
      <c r="H1272" s="66" t="inlineStr">
        <is>
          <t>PANTERA</t>
        </is>
      </c>
      <c r="I1272" s="66" t="inlineStr">
        <is>
          <t>0% Deposit</t>
        </is>
      </c>
      <c r="J1272" s="66" t="inlineStr">
        <is>
          <t>TT_PANTERA_INT_LUX_ZA</t>
        </is>
      </c>
      <c r="K1272" s="66" t="inlineStr">
        <is>
          <t>Interest</t>
        </is>
      </c>
      <c r="L1272" s="66" t="inlineStr">
        <is>
          <t>TT_PANTERA_TREND_10s_Spec_v1</t>
        </is>
      </c>
      <c r="M1272" s="66" t="inlineStr">
        <is>
          <t>Video 9:16</t>
        </is>
      </c>
      <c r="N1272" s="66" t="inlineStr">
        <is>
          <t>Spec check. Guess the price.</t>
        </is>
      </c>
      <c r="O1272" s="66" t="inlineStr">
        <is>
          <t>Auction - Cost Cap</t>
        </is>
      </c>
      <c r="P1272" s="66" t="inlineStr">
        <is>
          <t>Complete Payment / Lead</t>
        </is>
      </c>
      <c r="Q1272" s="66" t="inlineStr">
        <is>
          <t>https://www.lepas-sa.co.za/offers/pantera</t>
        </is>
      </c>
      <c r="R1272" s="121" t="n">
        <v>140.61</v>
      </c>
      <c r="S1272" s="122" t="n">
        <v>3251</v>
      </c>
      <c r="T1272" s="122" t="n">
        <v>1765</v>
      </c>
      <c r="U1272" s="123">
        <f>IFERROR(S1272/T1272,"")</f>
        <v/>
      </c>
      <c r="V1272" s="122" t="n">
        <v>33</v>
      </c>
      <c r="W1272" s="122" t="n">
        <v>27</v>
      </c>
      <c r="X1272" s="124">
        <f>IFERROR(W1272/S1272,"")</f>
        <v/>
      </c>
      <c r="Y1272" s="121">
        <f>IFERROR(R1272/W1272,"")</f>
        <v/>
      </c>
      <c r="Z1272" s="121">
        <f>IFERROR(R1272/S1272*1000,"")</f>
        <v/>
      </c>
      <c r="AA1272" s="122" t="n">
        <v>19</v>
      </c>
      <c r="AB1272" s="54">
        <f>IFERROR(AA1272/W1272,"")</f>
        <v/>
      </c>
      <c r="AC1272" s="122" t="n">
        <v>792</v>
      </c>
      <c r="AD1272" s="122" t="n">
        <v>457</v>
      </c>
      <c r="AE1272" s="122" t="n">
        <v>429</v>
      </c>
      <c r="AF1272" s="122" t="n">
        <v>271</v>
      </c>
      <c r="AG1272" s="122" t="n">
        <v>195</v>
      </c>
      <c r="AH1272" s="122" t="n">
        <v>121</v>
      </c>
      <c r="AI1272" s="54">
        <f>IFERROR(AC1272/S1272,"")</f>
        <v/>
      </c>
      <c r="AJ1272" s="54">
        <f>IFERROR(AH1272/S1272,"")</f>
        <v/>
      </c>
      <c r="AK1272" s="122" t="n">
        <v>140</v>
      </c>
      <c r="AL1272" s="122" t="n">
        <v>0</v>
      </c>
      <c r="AM1272" s="124">
        <f>IFERROR(AL1272/AA1272,"")</f>
        <v/>
      </c>
      <c r="AN1272" s="125">
        <f>IFERROR(R1272/AL1272,"")</f>
        <v/>
      </c>
      <c r="AO1272" s="122" t="n">
        <v>0</v>
      </c>
      <c r="AP1272" s="54">
        <f>IFERROR(AO1272/AL1272,"")</f>
        <v/>
      </c>
      <c r="AQ1272" s="125">
        <f>IFERROR(R1272/AO1272,"")</f>
        <v/>
      </c>
      <c r="AR1272" s="122" t="n">
        <v>0</v>
      </c>
      <c r="AS1272" s="122" t="n">
        <v>0</v>
      </c>
      <c r="AT1272" s="122">
        <f>AL1272+AR1272</f>
        <v/>
      </c>
      <c r="AU1272" s="125">
        <f>IFERROR(AO1272*Assumptions!$C$26*Assumptions!$C$27*INDEX(Assumptions!$C$18:$C$21,MATCH(H1272,Assumptions!$B$18:$B$21,0)),0)</f>
        <v/>
      </c>
    </row>
    <row r="1273">
      <c r="A1273" s="120" t="n">
        <v>46247</v>
      </c>
      <c r="B1273" s="66" t="inlineStr">
        <is>
          <t>Wk 33</t>
        </is>
      </c>
      <c r="C1273" s="66" t="inlineStr">
        <is>
          <t>Thu</t>
        </is>
      </c>
      <c r="D1273" s="66" t="inlineStr">
        <is>
          <t>TikTok</t>
        </is>
      </c>
      <c r="E1273" s="66" t="inlineStr">
        <is>
          <t>TikTok</t>
        </is>
      </c>
      <c r="F1273" s="66" t="inlineStr">
        <is>
          <t>LEP_ZA_AUG26_TT_TD_PANTERA_CONV</t>
        </is>
      </c>
      <c r="G1273" s="66" t="inlineStr">
        <is>
          <t>Website Conversions</t>
        </is>
      </c>
      <c r="H1273" s="66" t="inlineStr">
        <is>
          <t>PANTERA</t>
        </is>
      </c>
      <c r="I1273" s="66" t="inlineStr">
        <is>
          <t>0% Deposit</t>
        </is>
      </c>
      <c r="J1273" s="66" t="inlineStr">
        <is>
          <t>TT_PANTERA_INT_LUX_ZA</t>
        </is>
      </c>
      <c r="K1273" s="66" t="inlineStr">
        <is>
          <t>Interest</t>
        </is>
      </c>
      <c r="L1273" s="66" t="inlineStr">
        <is>
          <t>TT_PANTERA_TREND_10s_Spec_v1</t>
        </is>
      </c>
      <c r="M1273" s="66" t="inlineStr">
        <is>
          <t>Video 9:16</t>
        </is>
      </c>
      <c r="N1273" s="66" t="inlineStr">
        <is>
          <t>Spec check. Guess the price.</t>
        </is>
      </c>
      <c r="O1273" s="66" t="inlineStr">
        <is>
          <t>Auction - Cost Cap</t>
        </is>
      </c>
      <c r="P1273" s="66" t="inlineStr">
        <is>
          <t>Complete Payment / Lead</t>
        </is>
      </c>
      <c r="Q1273" s="66" t="inlineStr">
        <is>
          <t>https://www.lepas-sa.co.za/offers/pantera</t>
        </is>
      </c>
      <c r="R1273" s="121" t="n">
        <v>173.71</v>
      </c>
      <c r="S1273" s="122" t="n">
        <v>4670</v>
      </c>
      <c r="T1273" s="122" t="n">
        <v>2710</v>
      </c>
      <c r="U1273" s="123">
        <f>IFERROR(S1273/T1273,"")</f>
        <v/>
      </c>
      <c r="V1273" s="122" t="n">
        <v>48</v>
      </c>
      <c r="W1273" s="122" t="n">
        <v>35</v>
      </c>
      <c r="X1273" s="124">
        <f>IFERROR(W1273/S1273,"")</f>
        <v/>
      </c>
      <c r="Y1273" s="121">
        <f>IFERROR(R1273/W1273,"")</f>
        <v/>
      </c>
      <c r="Z1273" s="121">
        <f>IFERROR(R1273/S1273*1000,"")</f>
        <v/>
      </c>
      <c r="AA1273" s="122" t="n">
        <v>25</v>
      </c>
      <c r="AB1273" s="54">
        <f>IFERROR(AA1273/W1273,"")</f>
        <v/>
      </c>
      <c r="AC1273" s="122" t="n">
        <v>1606</v>
      </c>
      <c r="AD1273" s="122" t="n">
        <v>843</v>
      </c>
      <c r="AE1273" s="122" t="n">
        <v>714</v>
      </c>
      <c r="AF1273" s="122" t="n">
        <v>479</v>
      </c>
      <c r="AG1273" s="122" t="n">
        <v>327</v>
      </c>
      <c r="AH1273" s="122" t="n">
        <v>238</v>
      </c>
      <c r="AI1273" s="54">
        <f>IFERROR(AC1273/S1273,"")</f>
        <v/>
      </c>
      <c r="AJ1273" s="54">
        <f>IFERROR(AH1273/S1273,"")</f>
        <v/>
      </c>
      <c r="AK1273" s="122" t="n">
        <v>232</v>
      </c>
      <c r="AL1273" s="122" t="n">
        <v>0</v>
      </c>
      <c r="AM1273" s="124">
        <f>IFERROR(AL1273/AA1273,"")</f>
        <v/>
      </c>
      <c r="AN1273" s="125">
        <f>IFERROR(R1273/AL1273,"")</f>
        <v/>
      </c>
      <c r="AO1273" s="122" t="n">
        <v>0</v>
      </c>
      <c r="AP1273" s="54">
        <f>IFERROR(AO1273/AL1273,"")</f>
        <v/>
      </c>
      <c r="AQ1273" s="125">
        <f>IFERROR(R1273/AO1273,"")</f>
        <v/>
      </c>
      <c r="AR1273" s="122" t="n">
        <v>0</v>
      </c>
      <c r="AS1273" s="122" t="n">
        <v>0</v>
      </c>
      <c r="AT1273" s="122">
        <f>AL1273+AR1273</f>
        <v/>
      </c>
      <c r="AU1273" s="125">
        <f>IFERROR(AO1273*Assumptions!$C$26*Assumptions!$C$27*INDEX(Assumptions!$C$18:$C$21,MATCH(H1273,Assumptions!$B$18:$B$21,0)),0)</f>
        <v/>
      </c>
    </row>
    <row r="1274">
      <c r="A1274" s="120" t="n">
        <v>46248</v>
      </c>
      <c r="B1274" s="66" t="inlineStr">
        <is>
          <t>Wk 33</t>
        </is>
      </c>
      <c r="C1274" s="66" t="inlineStr">
        <is>
          <t>Fri</t>
        </is>
      </c>
      <c r="D1274" s="66" t="inlineStr">
        <is>
          <t>TikTok</t>
        </is>
      </c>
      <c r="E1274" s="66" t="inlineStr">
        <is>
          <t>TikTok</t>
        </is>
      </c>
      <c r="F1274" s="66" t="inlineStr">
        <is>
          <t>LEP_ZA_AUG26_TT_TD_PANTERA_CONV</t>
        </is>
      </c>
      <c r="G1274" s="66" t="inlineStr">
        <is>
          <t>Website Conversions</t>
        </is>
      </c>
      <c r="H1274" s="66" t="inlineStr">
        <is>
          <t>PANTERA</t>
        </is>
      </c>
      <c r="I1274" s="66" t="inlineStr">
        <is>
          <t>0% Deposit</t>
        </is>
      </c>
      <c r="J1274" s="66" t="inlineStr">
        <is>
          <t>TT_PANTERA_INT_LUX_ZA</t>
        </is>
      </c>
      <c r="K1274" s="66" t="inlineStr">
        <is>
          <t>Interest</t>
        </is>
      </c>
      <c r="L1274" s="66" t="inlineStr">
        <is>
          <t>TT_PANTERA_TREND_10s_Spec_v1</t>
        </is>
      </c>
      <c r="M1274" s="66" t="inlineStr">
        <is>
          <t>Video 9:16</t>
        </is>
      </c>
      <c r="N1274" s="66" t="inlineStr">
        <is>
          <t>Spec check. Guess the price.</t>
        </is>
      </c>
      <c r="O1274" s="66" t="inlineStr">
        <is>
          <t>Auction - Cost Cap</t>
        </is>
      </c>
      <c r="P1274" s="66" t="inlineStr">
        <is>
          <t>Complete Payment / Lead</t>
        </is>
      </c>
      <c r="Q1274" s="66" t="inlineStr">
        <is>
          <t>https://www.lepas-sa.co.za/offers/pantera</t>
        </is>
      </c>
      <c r="R1274" s="121" t="n">
        <v>169.14</v>
      </c>
      <c r="S1274" s="122" t="n">
        <v>5820</v>
      </c>
      <c r="T1274" s="122" t="n">
        <v>3738</v>
      </c>
      <c r="U1274" s="123">
        <f>IFERROR(S1274/T1274,"")</f>
        <v/>
      </c>
      <c r="V1274" s="122" t="n">
        <v>48</v>
      </c>
      <c r="W1274" s="122" t="n">
        <v>36</v>
      </c>
      <c r="X1274" s="124">
        <f>IFERROR(W1274/S1274,"")</f>
        <v/>
      </c>
      <c r="Y1274" s="121">
        <f>IFERROR(R1274/W1274,"")</f>
        <v/>
      </c>
      <c r="Z1274" s="121">
        <f>IFERROR(R1274/S1274*1000,"")</f>
        <v/>
      </c>
      <c r="AA1274" s="122" t="n">
        <v>26</v>
      </c>
      <c r="AB1274" s="54">
        <f>IFERROR(AA1274/W1274,"")</f>
        <v/>
      </c>
      <c r="AC1274" s="122" t="n">
        <v>1538</v>
      </c>
      <c r="AD1274" s="122" t="n">
        <v>817</v>
      </c>
      <c r="AE1274" s="122" t="n">
        <v>595</v>
      </c>
      <c r="AF1274" s="122" t="n">
        <v>354</v>
      </c>
      <c r="AG1274" s="122" t="n">
        <v>269</v>
      </c>
      <c r="AH1274" s="122" t="n">
        <v>181</v>
      </c>
      <c r="AI1274" s="54">
        <f>IFERROR(AC1274/S1274,"")</f>
        <v/>
      </c>
      <c r="AJ1274" s="54">
        <f>IFERROR(AH1274/S1274,"")</f>
        <v/>
      </c>
      <c r="AK1274" s="122" t="n">
        <v>282</v>
      </c>
      <c r="AL1274" s="122" t="n">
        <v>0</v>
      </c>
      <c r="AM1274" s="124">
        <f>IFERROR(AL1274/AA1274,"")</f>
        <v/>
      </c>
      <c r="AN1274" s="125">
        <f>IFERROR(R1274/AL1274,"")</f>
        <v/>
      </c>
      <c r="AO1274" s="122" t="n">
        <v>0</v>
      </c>
      <c r="AP1274" s="54">
        <f>IFERROR(AO1274/AL1274,"")</f>
        <v/>
      </c>
      <c r="AQ1274" s="125">
        <f>IFERROR(R1274/AO1274,"")</f>
        <v/>
      </c>
      <c r="AR1274" s="122" t="n">
        <v>0</v>
      </c>
      <c r="AS1274" s="122" t="n">
        <v>0</v>
      </c>
      <c r="AT1274" s="122">
        <f>AL1274+AR1274</f>
        <v/>
      </c>
      <c r="AU1274" s="125">
        <f>IFERROR(AO1274*Assumptions!$C$26*Assumptions!$C$27*INDEX(Assumptions!$C$18:$C$21,MATCH(H1274,Assumptions!$B$18:$B$21,0)),0)</f>
        <v/>
      </c>
    </row>
    <row r="1275">
      <c r="A1275" s="120" t="n">
        <v>46249</v>
      </c>
      <c r="B1275" s="66" t="inlineStr">
        <is>
          <t>Wk 33</t>
        </is>
      </c>
      <c r="C1275" s="66" t="inlineStr">
        <is>
          <t>Sat</t>
        </is>
      </c>
      <c r="D1275" s="66" t="inlineStr">
        <is>
          <t>TikTok</t>
        </is>
      </c>
      <c r="E1275" s="66" t="inlineStr">
        <is>
          <t>TikTok</t>
        </is>
      </c>
      <c r="F1275" s="66" t="inlineStr">
        <is>
          <t>LEP_ZA_AUG26_TT_TD_PANTERA_CONV</t>
        </is>
      </c>
      <c r="G1275" s="66" t="inlineStr">
        <is>
          <t>Website Conversions</t>
        </is>
      </c>
      <c r="H1275" s="66" t="inlineStr">
        <is>
          <t>PANTERA</t>
        </is>
      </c>
      <c r="I1275" s="66" t="inlineStr">
        <is>
          <t>0% Deposit</t>
        </is>
      </c>
      <c r="J1275" s="66" t="inlineStr">
        <is>
          <t>TT_PANTERA_INT_LUX_ZA</t>
        </is>
      </c>
      <c r="K1275" s="66" t="inlineStr">
        <is>
          <t>Interest</t>
        </is>
      </c>
      <c r="L1275" s="66" t="inlineStr">
        <is>
          <t>TT_PANTERA_TREND_10s_Spec_v1</t>
        </is>
      </c>
      <c r="M1275" s="66" t="inlineStr">
        <is>
          <t>Video 9:16</t>
        </is>
      </c>
      <c r="N1275" s="66" t="inlineStr">
        <is>
          <t>Spec check. Guess the price.</t>
        </is>
      </c>
      <c r="O1275" s="66" t="inlineStr">
        <is>
          <t>Auction - Cost Cap</t>
        </is>
      </c>
      <c r="P1275" s="66" t="inlineStr">
        <is>
          <t>Complete Payment / Lead</t>
        </is>
      </c>
      <c r="Q1275" s="66" t="inlineStr">
        <is>
          <t>https://www.lepas-sa.co.za/offers/pantera</t>
        </is>
      </c>
      <c r="R1275" s="121" t="n">
        <v>176.94</v>
      </c>
      <c r="S1275" s="122" t="n">
        <v>6013</v>
      </c>
      <c r="T1275" s="122" t="n">
        <v>3490</v>
      </c>
      <c r="U1275" s="123">
        <f>IFERROR(S1275/T1275,"")</f>
        <v/>
      </c>
      <c r="V1275" s="122" t="n">
        <v>49</v>
      </c>
      <c r="W1275" s="122" t="n">
        <v>40</v>
      </c>
      <c r="X1275" s="124">
        <f>IFERROR(W1275/S1275,"")</f>
        <v/>
      </c>
      <c r="Y1275" s="121">
        <f>IFERROR(R1275/W1275,"")</f>
        <v/>
      </c>
      <c r="Z1275" s="121">
        <f>IFERROR(R1275/S1275*1000,"")</f>
        <v/>
      </c>
      <c r="AA1275" s="122" t="n">
        <v>30</v>
      </c>
      <c r="AB1275" s="54">
        <f>IFERROR(AA1275/W1275,"")</f>
        <v/>
      </c>
      <c r="AC1275" s="122" t="n">
        <v>2206</v>
      </c>
      <c r="AD1275" s="122" t="n">
        <v>1157</v>
      </c>
      <c r="AE1275" s="122" t="n">
        <v>884</v>
      </c>
      <c r="AF1275" s="122" t="n">
        <v>566</v>
      </c>
      <c r="AG1275" s="122" t="n">
        <v>450</v>
      </c>
      <c r="AH1275" s="122" t="n">
        <v>286</v>
      </c>
      <c r="AI1275" s="54">
        <f>IFERROR(AC1275/S1275,"")</f>
        <v/>
      </c>
      <c r="AJ1275" s="54">
        <f>IFERROR(AH1275/S1275,"")</f>
        <v/>
      </c>
      <c r="AK1275" s="122" t="n">
        <v>212</v>
      </c>
      <c r="AL1275" s="122" t="n">
        <v>0</v>
      </c>
      <c r="AM1275" s="124">
        <f>IFERROR(AL1275/AA1275,"")</f>
        <v/>
      </c>
      <c r="AN1275" s="125">
        <f>IFERROR(R1275/AL1275,"")</f>
        <v/>
      </c>
      <c r="AO1275" s="122" t="n">
        <v>0</v>
      </c>
      <c r="AP1275" s="54">
        <f>IFERROR(AO1275/AL1275,"")</f>
        <v/>
      </c>
      <c r="AQ1275" s="125">
        <f>IFERROR(R1275/AO1275,"")</f>
        <v/>
      </c>
      <c r="AR1275" s="122" t="n">
        <v>0</v>
      </c>
      <c r="AS1275" s="122" t="n">
        <v>0</v>
      </c>
      <c r="AT1275" s="122">
        <f>AL1275+AR1275</f>
        <v/>
      </c>
      <c r="AU1275" s="125">
        <f>IFERROR(AO1275*Assumptions!$C$26*Assumptions!$C$27*INDEX(Assumptions!$C$18:$C$21,MATCH(H1275,Assumptions!$B$18:$B$21,0)),0)</f>
        <v/>
      </c>
    </row>
    <row r="1276">
      <c r="A1276" s="120" t="n">
        <v>46250</v>
      </c>
      <c r="B1276" s="66" t="inlineStr">
        <is>
          <t>Wk 33</t>
        </is>
      </c>
      <c r="C1276" s="66" t="inlineStr">
        <is>
          <t>Sun</t>
        </is>
      </c>
      <c r="D1276" s="66" t="inlineStr">
        <is>
          <t>TikTok</t>
        </is>
      </c>
      <c r="E1276" s="66" t="inlineStr">
        <is>
          <t>TikTok</t>
        </is>
      </c>
      <c r="F1276" s="66" t="inlineStr">
        <is>
          <t>LEP_ZA_AUG26_TT_TD_PANTERA_CONV</t>
        </is>
      </c>
      <c r="G1276" s="66" t="inlineStr">
        <is>
          <t>Website Conversions</t>
        </is>
      </c>
      <c r="H1276" s="66" t="inlineStr">
        <is>
          <t>PANTERA</t>
        </is>
      </c>
      <c r="I1276" s="66" t="inlineStr">
        <is>
          <t>0% Deposit</t>
        </is>
      </c>
      <c r="J1276" s="66" t="inlineStr">
        <is>
          <t>TT_PANTERA_INT_LUX_ZA</t>
        </is>
      </c>
      <c r="K1276" s="66" t="inlineStr">
        <is>
          <t>Interest</t>
        </is>
      </c>
      <c r="L1276" s="66" t="inlineStr">
        <is>
          <t>TT_PANTERA_TREND_10s_Spec_v1</t>
        </is>
      </c>
      <c r="M1276" s="66" t="inlineStr">
        <is>
          <t>Video 9:16</t>
        </is>
      </c>
      <c r="N1276" s="66" t="inlineStr">
        <is>
          <t>Spec check. Guess the price.</t>
        </is>
      </c>
      <c r="O1276" s="66" t="inlineStr">
        <is>
          <t>Auction - Cost Cap</t>
        </is>
      </c>
      <c r="P1276" s="66" t="inlineStr">
        <is>
          <t>Complete Payment / Lead</t>
        </is>
      </c>
      <c r="Q1276" s="66" t="inlineStr">
        <is>
          <t>https://www.lepas-sa.co.za/offers/pantera</t>
        </is>
      </c>
      <c r="R1276" s="121" t="n">
        <v>112.52</v>
      </c>
      <c r="S1276" s="122" t="n">
        <v>2596</v>
      </c>
      <c r="T1276" s="122" t="n">
        <v>1715</v>
      </c>
      <c r="U1276" s="123">
        <f>IFERROR(S1276/T1276,"")</f>
        <v/>
      </c>
      <c r="V1276" s="122" t="n">
        <v>27</v>
      </c>
      <c r="W1276" s="122" t="n">
        <v>22</v>
      </c>
      <c r="X1276" s="124">
        <f>IFERROR(W1276/S1276,"")</f>
        <v/>
      </c>
      <c r="Y1276" s="121">
        <f>IFERROR(R1276/W1276,"")</f>
        <v/>
      </c>
      <c r="Z1276" s="121">
        <f>IFERROR(R1276/S1276*1000,"")</f>
        <v/>
      </c>
      <c r="AA1276" s="122" t="n">
        <v>15</v>
      </c>
      <c r="AB1276" s="54">
        <f>IFERROR(AA1276/W1276,"")</f>
        <v/>
      </c>
      <c r="AC1276" s="122" t="n">
        <v>986</v>
      </c>
      <c r="AD1276" s="122" t="n">
        <v>500</v>
      </c>
      <c r="AE1276" s="122" t="n">
        <v>369</v>
      </c>
      <c r="AF1276" s="122" t="n">
        <v>220</v>
      </c>
      <c r="AG1276" s="122" t="n">
        <v>150</v>
      </c>
      <c r="AH1276" s="122" t="n">
        <v>108</v>
      </c>
      <c r="AI1276" s="54">
        <f>IFERROR(AC1276/S1276,"")</f>
        <v/>
      </c>
      <c r="AJ1276" s="54">
        <f>IFERROR(AH1276/S1276,"")</f>
        <v/>
      </c>
      <c r="AK1276" s="122" t="n">
        <v>108</v>
      </c>
      <c r="AL1276" s="122" t="n">
        <v>0</v>
      </c>
      <c r="AM1276" s="124">
        <f>IFERROR(AL1276/AA1276,"")</f>
        <v/>
      </c>
      <c r="AN1276" s="125">
        <f>IFERROR(R1276/AL1276,"")</f>
        <v/>
      </c>
      <c r="AO1276" s="122" t="n">
        <v>0</v>
      </c>
      <c r="AP1276" s="54">
        <f>IFERROR(AO1276/AL1276,"")</f>
        <v/>
      </c>
      <c r="AQ1276" s="125">
        <f>IFERROR(R1276/AO1276,"")</f>
        <v/>
      </c>
      <c r="AR1276" s="122" t="n">
        <v>0</v>
      </c>
      <c r="AS1276" s="122" t="n">
        <v>0</v>
      </c>
      <c r="AT1276" s="122">
        <f>AL1276+AR1276</f>
        <v/>
      </c>
      <c r="AU1276" s="125">
        <f>IFERROR(AO1276*Assumptions!$C$26*Assumptions!$C$27*INDEX(Assumptions!$C$18:$C$21,MATCH(H1276,Assumptions!$B$18:$B$21,0)),0)</f>
        <v/>
      </c>
    </row>
    <row r="1277">
      <c r="A1277" s="120" t="n">
        <v>46251</v>
      </c>
      <c r="B1277" s="66" t="inlineStr">
        <is>
          <t>Wk 34</t>
        </is>
      </c>
      <c r="C1277" s="66" t="inlineStr">
        <is>
          <t>Mon</t>
        </is>
      </c>
      <c r="D1277" s="66" t="inlineStr">
        <is>
          <t>TikTok</t>
        </is>
      </c>
      <c r="E1277" s="66" t="inlineStr">
        <is>
          <t>TikTok</t>
        </is>
      </c>
      <c r="F1277" s="66" t="inlineStr">
        <is>
          <t>LEP_ZA_AUG26_TT_TD_PANTERA_CONV</t>
        </is>
      </c>
      <c r="G1277" s="66" t="inlineStr">
        <is>
          <t>Website Conversions</t>
        </is>
      </c>
      <c r="H1277" s="66" t="inlineStr">
        <is>
          <t>PANTERA</t>
        </is>
      </c>
      <c r="I1277" s="66" t="inlineStr">
        <is>
          <t>0% Deposit</t>
        </is>
      </c>
      <c r="J1277" s="66" t="inlineStr">
        <is>
          <t>TT_PANTERA_INT_LUX_ZA</t>
        </is>
      </c>
      <c r="K1277" s="66" t="inlineStr">
        <is>
          <t>Interest</t>
        </is>
      </c>
      <c r="L1277" s="66" t="inlineStr">
        <is>
          <t>TT_PANTERA_TREND_10s_Spec_v1</t>
        </is>
      </c>
      <c r="M1277" s="66" t="inlineStr">
        <is>
          <t>Video 9:16</t>
        </is>
      </c>
      <c r="N1277" s="66" t="inlineStr">
        <is>
          <t>Spec check. Guess the price.</t>
        </is>
      </c>
      <c r="O1277" s="66" t="inlineStr">
        <is>
          <t>Auction - Cost Cap</t>
        </is>
      </c>
      <c r="P1277" s="66" t="inlineStr">
        <is>
          <t>Complete Payment / Lead</t>
        </is>
      </c>
      <c r="Q1277" s="66" t="inlineStr">
        <is>
          <t>https://www.lepas-sa.co.za/offers/pantera</t>
        </is>
      </c>
      <c r="R1277" s="121" t="n">
        <v>131.06</v>
      </c>
      <c r="S1277" s="122" t="n">
        <v>4367</v>
      </c>
      <c r="T1277" s="122" t="n">
        <v>2974</v>
      </c>
      <c r="U1277" s="123">
        <f>IFERROR(S1277/T1277,"")</f>
        <v/>
      </c>
      <c r="V1277" s="122" t="n">
        <v>57</v>
      </c>
      <c r="W1277" s="122" t="n">
        <v>43</v>
      </c>
      <c r="X1277" s="124">
        <f>IFERROR(W1277/S1277,"")</f>
        <v/>
      </c>
      <c r="Y1277" s="121">
        <f>IFERROR(R1277/W1277,"")</f>
        <v/>
      </c>
      <c r="Z1277" s="121">
        <f>IFERROR(R1277/S1277*1000,"")</f>
        <v/>
      </c>
      <c r="AA1277" s="122" t="n">
        <v>31</v>
      </c>
      <c r="AB1277" s="54">
        <f>IFERROR(AA1277/W1277,"")</f>
        <v/>
      </c>
      <c r="AC1277" s="122" t="n">
        <v>1159</v>
      </c>
      <c r="AD1277" s="122" t="n">
        <v>597</v>
      </c>
      <c r="AE1277" s="122" t="n">
        <v>427</v>
      </c>
      <c r="AF1277" s="122" t="n">
        <v>294</v>
      </c>
      <c r="AG1277" s="122" t="n">
        <v>189</v>
      </c>
      <c r="AH1277" s="122" t="n">
        <v>122</v>
      </c>
      <c r="AI1277" s="54">
        <f>IFERROR(AC1277/S1277,"")</f>
        <v/>
      </c>
      <c r="AJ1277" s="54">
        <f>IFERROR(AH1277/S1277,"")</f>
        <v/>
      </c>
      <c r="AK1277" s="122" t="n">
        <v>252</v>
      </c>
      <c r="AL1277" s="122" t="n">
        <v>0</v>
      </c>
      <c r="AM1277" s="124">
        <f>IFERROR(AL1277/AA1277,"")</f>
        <v/>
      </c>
      <c r="AN1277" s="125">
        <f>IFERROR(R1277/AL1277,"")</f>
        <v/>
      </c>
      <c r="AO1277" s="122" t="n">
        <v>0</v>
      </c>
      <c r="AP1277" s="54">
        <f>IFERROR(AO1277/AL1277,"")</f>
        <v/>
      </c>
      <c r="AQ1277" s="125">
        <f>IFERROR(R1277/AO1277,"")</f>
        <v/>
      </c>
      <c r="AR1277" s="122" t="n">
        <v>0</v>
      </c>
      <c r="AS1277" s="122" t="n">
        <v>0</v>
      </c>
      <c r="AT1277" s="122">
        <f>AL1277+AR1277</f>
        <v/>
      </c>
      <c r="AU1277" s="125">
        <f>IFERROR(AO1277*Assumptions!$C$26*Assumptions!$C$27*INDEX(Assumptions!$C$18:$C$21,MATCH(H1277,Assumptions!$B$18:$B$21,0)),0)</f>
        <v/>
      </c>
    </row>
    <row r="1278">
      <c r="A1278" s="120" t="n">
        <v>46252</v>
      </c>
      <c r="B1278" s="66" t="inlineStr">
        <is>
          <t>Wk 34</t>
        </is>
      </c>
      <c r="C1278" s="66" t="inlineStr">
        <is>
          <t>Tue</t>
        </is>
      </c>
      <c r="D1278" s="66" t="inlineStr">
        <is>
          <t>TikTok</t>
        </is>
      </c>
      <c r="E1278" s="66" t="inlineStr">
        <is>
          <t>TikTok</t>
        </is>
      </c>
      <c r="F1278" s="66" t="inlineStr">
        <is>
          <t>LEP_ZA_AUG26_TT_TD_PANTERA_CONV</t>
        </is>
      </c>
      <c r="G1278" s="66" t="inlineStr">
        <is>
          <t>Website Conversions</t>
        </is>
      </c>
      <c r="H1278" s="66" t="inlineStr">
        <is>
          <t>PANTERA</t>
        </is>
      </c>
      <c r="I1278" s="66" t="inlineStr">
        <is>
          <t>0% Deposit</t>
        </is>
      </c>
      <c r="J1278" s="66" t="inlineStr">
        <is>
          <t>TT_PANTERA_INT_LUX_ZA</t>
        </is>
      </c>
      <c r="K1278" s="66" t="inlineStr">
        <is>
          <t>Interest</t>
        </is>
      </c>
      <c r="L1278" s="66" t="inlineStr">
        <is>
          <t>TT_PANTERA_TREND_10s_Spec_v1</t>
        </is>
      </c>
      <c r="M1278" s="66" t="inlineStr">
        <is>
          <t>Video 9:16</t>
        </is>
      </c>
      <c r="N1278" s="66" t="inlineStr">
        <is>
          <t>Spec check. Guess the price.</t>
        </is>
      </c>
      <c r="O1278" s="66" t="inlineStr">
        <is>
          <t>Auction - Cost Cap</t>
        </is>
      </c>
      <c r="P1278" s="66" t="inlineStr">
        <is>
          <t>Complete Payment / Lead</t>
        </is>
      </c>
      <c r="Q1278" s="66" t="inlineStr">
        <is>
          <t>https://www.lepas-sa.co.za/offers/pantera</t>
        </is>
      </c>
      <c r="R1278" s="121" t="n">
        <v>131.65</v>
      </c>
      <c r="S1278" s="122" t="n">
        <v>4268</v>
      </c>
      <c r="T1278" s="122" t="n">
        <v>2731</v>
      </c>
      <c r="U1278" s="123">
        <f>IFERROR(S1278/T1278,"")</f>
        <v/>
      </c>
      <c r="V1278" s="122" t="n">
        <v>44</v>
      </c>
      <c r="W1278" s="122" t="n">
        <v>37</v>
      </c>
      <c r="X1278" s="124">
        <f>IFERROR(W1278/S1278,"")</f>
        <v/>
      </c>
      <c r="Y1278" s="121">
        <f>IFERROR(R1278/W1278,"")</f>
        <v/>
      </c>
      <c r="Z1278" s="121">
        <f>IFERROR(R1278/S1278*1000,"")</f>
        <v/>
      </c>
      <c r="AA1278" s="122" t="n">
        <v>29</v>
      </c>
      <c r="AB1278" s="54">
        <f>IFERROR(AA1278/W1278,"")</f>
        <v/>
      </c>
      <c r="AC1278" s="122" t="n">
        <v>1705</v>
      </c>
      <c r="AD1278" s="122" t="n">
        <v>817</v>
      </c>
      <c r="AE1278" s="122" t="n">
        <v>667</v>
      </c>
      <c r="AF1278" s="122" t="n">
        <v>397</v>
      </c>
      <c r="AG1278" s="122" t="n">
        <v>269</v>
      </c>
      <c r="AH1278" s="122" t="n">
        <v>177</v>
      </c>
      <c r="AI1278" s="54">
        <f>IFERROR(AC1278/S1278,"")</f>
        <v/>
      </c>
      <c r="AJ1278" s="54">
        <f>IFERROR(AH1278/S1278,"")</f>
        <v/>
      </c>
      <c r="AK1278" s="122" t="n">
        <v>181</v>
      </c>
      <c r="AL1278" s="122" t="n">
        <v>0</v>
      </c>
      <c r="AM1278" s="124">
        <f>IFERROR(AL1278/AA1278,"")</f>
        <v/>
      </c>
      <c r="AN1278" s="125">
        <f>IFERROR(R1278/AL1278,"")</f>
        <v/>
      </c>
      <c r="AO1278" s="122" t="n">
        <v>0</v>
      </c>
      <c r="AP1278" s="54">
        <f>IFERROR(AO1278/AL1278,"")</f>
        <v/>
      </c>
      <c r="AQ1278" s="125">
        <f>IFERROR(R1278/AO1278,"")</f>
        <v/>
      </c>
      <c r="AR1278" s="122" t="n">
        <v>0</v>
      </c>
      <c r="AS1278" s="122" t="n">
        <v>0</v>
      </c>
      <c r="AT1278" s="122">
        <f>AL1278+AR1278</f>
        <v/>
      </c>
      <c r="AU1278" s="125">
        <f>IFERROR(AO1278*Assumptions!$C$26*Assumptions!$C$27*INDEX(Assumptions!$C$18:$C$21,MATCH(H1278,Assumptions!$B$18:$B$21,0)),0)</f>
        <v/>
      </c>
    </row>
    <row r="1279">
      <c r="A1279" s="120" t="n">
        <v>46253</v>
      </c>
      <c r="B1279" s="66" t="inlineStr">
        <is>
          <t>Wk 34</t>
        </is>
      </c>
      <c r="C1279" s="66" t="inlineStr">
        <is>
          <t>Wed</t>
        </is>
      </c>
      <c r="D1279" s="66" t="inlineStr">
        <is>
          <t>TikTok</t>
        </is>
      </c>
      <c r="E1279" s="66" t="inlineStr">
        <is>
          <t>TikTok</t>
        </is>
      </c>
      <c r="F1279" s="66" t="inlineStr">
        <is>
          <t>LEP_ZA_AUG26_TT_TD_PANTERA_CONV</t>
        </is>
      </c>
      <c r="G1279" s="66" t="inlineStr">
        <is>
          <t>Website Conversions</t>
        </is>
      </c>
      <c r="H1279" s="66" t="inlineStr">
        <is>
          <t>PANTERA</t>
        </is>
      </c>
      <c r="I1279" s="66" t="inlineStr">
        <is>
          <t>0% Deposit</t>
        </is>
      </c>
      <c r="J1279" s="66" t="inlineStr">
        <is>
          <t>TT_PANTERA_INT_LUX_ZA</t>
        </is>
      </c>
      <c r="K1279" s="66" t="inlineStr">
        <is>
          <t>Interest</t>
        </is>
      </c>
      <c r="L1279" s="66" t="inlineStr">
        <is>
          <t>TT_PANTERA_TREND_10s_Spec_v1</t>
        </is>
      </c>
      <c r="M1279" s="66" t="inlineStr">
        <is>
          <t>Video 9:16</t>
        </is>
      </c>
      <c r="N1279" s="66" t="inlineStr">
        <is>
          <t>Spec check. Guess the price.</t>
        </is>
      </c>
      <c r="O1279" s="66" t="inlineStr">
        <is>
          <t>Auction - Cost Cap</t>
        </is>
      </c>
      <c r="P1279" s="66" t="inlineStr">
        <is>
          <t>Complete Payment / Lead</t>
        </is>
      </c>
      <c r="Q1279" s="66" t="inlineStr">
        <is>
          <t>https://www.lepas-sa.co.za/offers/pantera</t>
        </is>
      </c>
      <c r="R1279" s="121" t="n">
        <v>164.26</v>
      </c>
      <c r="S1279" s="122" t="n">
        <v>3768</v>
      </c>
      <c r="T1279" s="122" t="n">
        <v>2380</v>
      </c>
      <c r="U1279" s="123">
        <f>IFERROR(S1279/T1279,"")</f>
        <v/>
      </c>
      <c r="V1279" s="122" t="n">
        <v>41</v>
      </c>
      <c r="W1279" s="122" t="n">
        <v>32</v>
      </c>
      <c r="X1279" s="124">
        <f>IFERROR(W1279/S1279,"")</f>
        <v/>
      </c>
      <c r="Y1279" s="121">
        <f>IFERROR(R1279/W1279,"")</f>
        <v/>
      </c>
      <c r="Z1279" s="121">
        <f>IFERROR(R1279/S1279*1000,"")</f>
        <v/>
      </c>
      <c r="AA1279" s="122" t="n">
        <v>21</v>
      </c>
      <c r="AB1279" s="54">
        <f>IFERROR(AA1279/W1279,"")</f>
        <v/>
      </c>
      <c r="AC1279" s="122" t="n">
        <v>1059</v>
      </c>
      <c r="AD1279" s="122" t="n">
        <v>533</v>
      </c>
      <c r="AE1279" s="122" t="n">
        <v>464</v>
      </c>
      <c r="AF1279" s="122" t="n">
        <v>296</v>
      </c>
      <c r="AG1279" s="122" t="n">
        <v>204</v>
      </c>
      <c r="AH1279" s="122" t="n">
        <v>138</v>
      </c>
      <c r="AI1279" s="54">
        <f>IFERROR(AC1279/S1279,"")</f>
        <v/>
      </c>
      <c r="AJ1279" s="54">
        <f>IFERROR(AH1279/S1279,"")</f>
        <v/>
      </c>
      <c r="AK1279" s="122" t="n">
        <v>151</v>
      </c>
      <c r="AL1279" s="122" t="n">
        <v>0</v>
      </c>
      <c r="AM1279" s="124">
        <f>IFERROR(AL1279/AA1279,"")</f>
        <v/>
      </c>
      <c r="AN1279" s="125">
        <f>IFERROR(R1279/AL1279,"")</f>
        <v/>
      </c>
      <c r="AO1279" s="122" t="n">
        <v>0</v>
      </c>
      <c r="AP1279" s="54">
        <f>IFERROR(AO1279/AL1279,"")</f>
        <v/>
      </c>
      <c r="AQ1279" s="125">
        <f>IFERROR(R1279/AO1279,"")</f>
        <v/>
      </c>
      <c r="AR1279" s="122" t="n">
        <v>0</v>
      </c>
      <c r="AS1279" s="122" t="n">
        <v>0</v>
      </c>
      <c r="AT1279" s="122">
        <f>AL1279+AR1279</f>
        <v/>
      </c>
      <c r="AU1279" s="125">
        <f>IFERROR(AO1279*Assumptions!$C$26*Assumptions!$C$27*INDEX(Assumptions!$C$18:$C$21,MATCH(H1279,Assumptions!$B$18:$B$21,0)),0)</f>
        <v/>
      </c>
    </row>
    <row r="1280">
      <c r="A1280" s="120" t="n">
        <v>46254</v>
      </c>
      <c r="B1280" s="66" t="inlineStr">
        <is>
          <t>Wk 34</t>
        </is>
      </c>
      <c r="C1280" s="66" t="inlineStr">
        <is>
          <t>Thu</t>
        </is>
      </c>
      <c r="D1280" s="66" t="inlineStr">
        <is>
          <t>TikTok</t>
        </is>
      </c>
      <c r="E1280" s="66" t="inlineStr">
        <is>
          <t>TikTok</t>
        </is>
      </c>
      <c r="F1280" s="66" t="inlineStr">
        <is>
          <t>LEP_ZA_AUG26_TT_TD_PANTERA_CONV</t>
        </is>
      </c>
      <c r="G1280" s="66" t="inlineStr">
        <is>
          <t>Website Conversions</t>
        </is>
      </c>
      <c r="H1280" s="66" t="inlineStr">
        <is>
          <t>PANTERA</t>
        </is>
      </c>
      <c r="I1280" s="66" t="inlineStr">
        <is>
          <t>0% Deposit</t>
        </is>
      </c>
      <c r="J1280" s="66" t="inlineStr">
        <is>
          <t>TT_PANTERA_INT_LUX_ZA</t>
        </is>
      </c>
      <c r="K1280" s="66" t="inlineStr">
        <is>
          <t>Interest</t>
        </is>
      </c>
      <c r="L1280" s="66" t="inlineStr">
        <is>
          <t>TT_PANTERA_TREND_10s_Spec_v1</t>
        </is>
      </c>
      <c r="M1280" s="66" t="inlineStr">
        <is>
          <t>Video 9:16</t>
        </is>
      </c>
      <c r="N1280" s="66" t="inlineStr">
        <is>
          <t>Spec check. Guess the price.</t>
        </is>
      </c>
      <c r="O1280" s="66" t="inlineStr">
        <is>
          <t>Auction - Cost Cap</t>
        </is>
      </c>
      <c r="P1280" s="66" t="inlineStr">
        <is>
          <t>Complete Payment / Lead</t>
        </is>
      </c>
      <c r="Q1280" s="66" t="inlineStr">
        <is>
          <t>https://www.lepas-sa.co.za/offers/pantera</t>
        </is>
      </c>
      <c r="R1280" s="121" t="n">
        <v>155.43</v>
      </c>
      <c r="S1280" s="122" t="n">
        <v>4828</v>
      </c>
      <c r="T1280" s="122" t="n">
        <v>2295</v>
      </c>
      <c r="U1280" s="123">
        <f>IFERROR(S1280/T1280,"")</f>
        <v/>
      </c>
      <c r="V1280" s="122" t="n">
        <v>64</v>
      </c>
      <c r="W1280" s="122" t="n">
        <v>46</v>
      </c>
      <c r="X1280" s="124">
        <f>IFERROR(W1280/S1280,"")</f>
        <v/>
      </c>
      <c r="Y1280" s="121">
        <f>IFERROR(R1280/W1280,"")</f>
        <v/>
      </c>
      <c r="Z1280" s="121">
        <f>IFERROR(R1280/S1280*1000,"")</f>
        <v/>
      </c>
      <c r="AA1280" s="122" t="n">
        <v>30</v>
      </c>
      <c r="AB1280" s="54">
        <f>IFERROR(AA1280/W1280,"")</f>
        <v/>
      </c>
      <c r="AC1280" s="122" t="n">
        <v>1066</v>
      </c>
      <c r="AD1280" s="122" t="n">
        <v>658</v>
      </c>
      <c r="AE1280" s="122" t="n">
        <v>527</v>
      </c>
      <c r="AF1280" s="122" t="n">
        <v>296</v>
      </c>
      <c r="AG1280" s="122" t="n">
        <v>189</v>
      </c>
      <c r="AH1280" s="122" t="n">
        <v>106</v>
      </c>
      <c r="AI1280" s="54">
        <f>IFERROR(AC1280/S1280,"")</f>
        <v/>
      </c>
      <c r="AJ1280" s="54">
        <f>IFERROR(AH1280/S1280,"")</f>
        <v/>
      </c>
      <c r="AK1280" s="122" t="n">
        <v>131</v>
      </c>
      <c r="AL1280" s="122" t="n">
        <v>1</v>
      </c>
      <c r="AM1280" s="124">
        <f>IFERROR(AL1280/AA1280,"")</f>
        <v/>
      </c>
      <c r="AN1280" s="125">
        <f>IFERROR(R1280/AL1280,"")</f>
        <v/>
      </c>
      <c r="AO1280" s="122" t="n">
        <v>0</v>
      </c>
      <c r="AP1280" s="54">
        <f>IFERROR(AO1280/AL1280,"")</f>
        <v/>
      </c>
      <c r="AQ1280" s="125">
        <f>IFERROR(R1280/AO1280,"")</f>
        <v/>
      </c>
      <c r="AR1280" s="122" t="n">
        <v>1</v>
      </c>
      <c r="AS1280" s="122" t="n">
        <v>1</v>
      </c>
      <c r="AT1280" s="122">
        <f>AL1280+AR1280</f>
        <v/>
      </c>
      <c r="AU1280" s="125">
        <f>IFERROR(AO1280*Assumptions!$C$26*Assumptions!$C$27*INDEX(Assumptions!$C$18:$C$21,MATCH(H1280,Assumptions!$B$18:$B$21,0)),0)</f>
        <v/>
      </c>
    </row>
    <row r="1281">
      <c r="A1281" s="120" t="n">
        <v>46255</v>
      </c>
      <c r="B1281" s="66" t="inlineStr">
        <is>
          <t>Wk 34</t>
        </is>
      </c>
      <c r="C1281" s="66" t="inlineStr">
        <is>
          <t>Fri</t>
        </is>
      </c>
      <c r="D1281" s="66" t="inlineStr">
        <is>
          <t>TikTok</t>
        </is>
      </c>
      <c r="E1281" s="66" t="inlineStr">
        <is>
          <t>TikTok</t>
        </is>
      </c>
      <c r="F1281" s="66" t="inlineStr">
        <is>
          <t>LEP_ZA_AUG26_TT_TD_PANTERA_CONV</t>
        </is>
      </c>
      <c r="G1281" s="66" t="inlineStr">
        <is>
          <t>Website Conversions</t>
        </is>
      </c>
      <c r="H1281" s="66" t="inlineStr">
        <is>
          <t>PANTERA</t>
        </is>
      </c>
      <c r="I1281" s="66" t="inlineStr">
        <is>
          <t>0% Deposit</t>
        </is>
      </c>
      <c r="J1281" s="66" t="inlineStr">
        <is>
          <t>TT_PANTERA_INT_LUX_ZA</t>
        </is>
      </c>
      <c r="K1281" s="66" t="inlineStr">
        <is>
          <t>Interest</t>
        </is>
      </c>
      <c r="L1281" s="66" t="inlineStr">
        <is>
          <t>TT_PANTERA_TREND_10s_Spec_v1</t>
        </is>
      </c>
      <c r="M1281" s="66" t="inlineStr">
        <is>
          <t>Video 9:16</t>
        </is>
      </c>
      <c r="N1281" s="66" t="inlineStr">
        <is>
          <t>Spec check. Guess the price.</t>
        </is>
      </c>
      <c r="O1281" s="66" t="inlineStr">
        <is>
          <t>Auction - Cost Cap</t>
        </is>
      </c>
      <c r="P1281" s="66" t="inlineStr">
        <is>
          <t>Complete Payment / Lead</t>
        </is>
      </c>
      <c r="Q1281" s="66" t="inlineStr">
        <is>
          <t>https://www.lepas-sa.co.za/offers/pantera</t>
        </is>
      </c>
      <c r="R1281" s="121" t="n">
        <v>165.3</v>
      </c>
      <c r="S1281" s="122" t="n">
        <v>3762</v>
      </c>
      <c r="T1281" s="122" t="n">
        <v>2303</v>
      </c>
      <c r="U1281" s="123">
        <f>IFERROR(S1281/T1281,"")</f>
        <v/>
      </c>
      <c r="V1281" s="122" t="n">
        <v>50</v>
      </c>
      <c r="W1281" s="122" t="n">
        <v>40</v>
      </c>
      <c r="X1281" s="124">
        <f>IFERROR(W1281/S1281,"")</f>
        <v/>
      </c>
      <c r="Y1281" s="121">
        <f>IFERROR(R1281/W1281,"")</f>
        <v/>
      </c>
      <c r="Z1281" s="121">
        <f>IFERROR(R1281/S1281*1000,"")</f>
        <v/>
      </c>
      <c r="AA1281" s="122" t="n">
        <v>25</v>
      </c>
      <c r="AB1281" s="54">
        <f>IFERROR(AA1281/W1281,"")</f>
        <v/>
      </c>
      <c r="AC1281" s="122" t="n">
        <v>1111</v>
      </c>
      <c r="AD1281" s="122" t="n">
        <v>562</v>
      </c>
      <c r="AE1281" s="122" t="n">
        <v>521</v>
      </c>
      <c r="AF1281" s="122" t="n">
        <v>306</v>
      </c>
      <c r="AG1281" s="122" t="n">
        <v>195</v>
      </c>
      <c r="AH1281" s="122" t="n">
        <v>123</v>
      </c>
      <c r="AI1281" s="54">
        <f>IFERROR(AC1281/S1281,"")</f>
        <v/>
      </c>
      <c r="AJ1281" s="54">
        <f>IFERROR(AH1281/S1281,"")</f>
        <v/>
      </c>
      <c r="AK1281" s="122" t="n">
        <v>160</v>
      </c>
      <c r="AL1281" s="122" t="n">
        <v>1</v>
      </c>
      <c r="AM1281" s="124">
        <f>IFERROR(AL1281/AA1281,"")</f>
        <v/>
      </c>
      <c r="AN1281" s="125">
        <f>IFERROR(R1281/AL1281,"")</f>
        <v/>
      </c>
      <c r="AO1281" s="122" t="n">
        <v>0</v>
      </c>
      <c r="AP1281" s="54">
        <f>IFERROR(AO1281/AL1281,"")</f>
        <v/>
      </c>
      <c r="AQ1281" s="125">
        <f>IFERROR(R1281/AO1281,"")</f>
        <v/>
      </c>
      <c r="AR1281" s="122" t="n">
        <v>1</v>
      </c>
      <c r="AS1281" s="122" t="n">
        <v>1</v>
      </c>
      <c r="AT1281" s="122">
        <f>AL1281+AR1281</f>
        <v/>
      </c>
      <c r="AU1281" s="125">
        <f>IFERROR(AO1281*Assumptions!$C$26*Assumptions!$C$27*INDEX(Assumptions!$C$18:$C$21,MATCH(H1281,Assumptions!$B$18:$B$21,0)),0)</f>
        <v/>
      </c>
    </row>
    <row r="1282">
      <c r="A1282" s="120" t="n">
        <v>46256</v>
      </c>
      <c r="B1282" s="66" t="inlineStr">
        <is>
          <t>Wk 34</t>
        </is>
      </c>
      <c r="C1282" s="66" t="inlineStr">
        <is>
          <t>Sat</t>
        </is>
      </c>
      <c r="D1282" s="66" t="inlineStr">
        <is>
          <t>TikTok</t>
        </is>
      </c>
      <c r="E1282" s="66" t="inlineStr">
        <is>
          <t>TikTok</t>
        </is>
      </c>
      <c r="F1282" s="66" t="inlineStr">
        <is>
          <t>LEP_ZA_AUG26_TT_TD_PANTERA_CONV</t>
        </is>
      </c>
      <c r="G1282" s="66" t="inlineStr">
        <is>
          <t>Website Conversions</t>
        </is>
      </c>
      <c r="H1282" s="66" t="inlineStr">
        <is>
          <t>PANTERA</t>
        </is>
      </c>
      <c r="I1282" s="66" t="inlineStr">
        <is>
          <t>0% Deposit</t>
        </is>
      </c>
      <c r="J1282" s="66" t="inlineStr">
        <is>
          <t>TT_PANTERA_INT_LUX_ZA</t>
        </is>
      </c>
      <c r="K1282" s="66" t="inlineStr">
        <is>
          <t>Interest</t>
        </is>
      </c>
      <c r="L1282" s="66" t="inlineStr">
        <is>
          <t>TT_PANTERA_TREND_10s_Spec_v1</t>
        </is>
      </c>
      <c r="M1282" s="66" t="inlineStr">
        <is>
          <t>Video 9:16</t>
        </is>
      </c>
      <c r="N1282" s="66" t="inlineStr">
        <is>
          <t>Spec check. Guess the price.</t>
        </is>
      </c>
      <c r="O1282" s="66" t="inlineStr">
        <is>
          <t>Auction - Cost Cap</t>
        </is>
      </c>
      <c r="P1282" s="66" t="inlineStr">
        <is>
          <t>Complete Payment / Lead</t>
        </is>
      </c>
      <c r="Q1282" s="66" t="inlineStr">
        <is>
          <t>https://www.lepas-sa.co.za/offers/pantera</t>
        </is>
      </c>
      <c r="R1282" s="121" t="n">
        <v>145.28</v>
      </c>
      <c r="S1282" s="122" t="n">
        <v>3244</v>
      </c>
      <c r="T1282" s="122" t="n">
        <v>1718</v>
      </c>
      <c r="U1282" s="123">
        <f>IFERROR(S1282/T1282,"")</f>
        <v/>
      </c>
      <c r="V1282" s="122" t="n">
        <v>20</v>
      </c>
      <c r="W1282" s="122" t="n">
        <v>16</v>
      </c>
      <c r="X1282" s="124">
        <f>IFERROR(W1282/S1282,"")</f>
        <v/>
      </c>
      <c r="Y1282" s="121">
        <f>IFERROR(R1282/W1282,"")</f>
        <v/>
      </c>
      <c r="Z1282" s="121">
        <f>IFERROR(R1282/S1282*1000,"")</f>
        <v/>
      </c>
      <c r="AA1282" s="122" t="n">
        <v>10</v>
      </c>
      <c r="AB1282" s="54">
        <f>IFERROR(AA1282/W1282,"")</f>
        <v/>
      </c>
      <c r="AC1282" s="122" t="n">
        <v>1261</v>
      </c>
      <c r="AD1282" s="122" t="n">
        <v>637</v>
      </c>
      <c r="AE1282" s="122" t="n">
        <v>514</v>
      </c>
      <c r="AF1282" s="122" t="n">
        <v>280</v>
      </c>
      <c r="AG1282" s="122" t="n">
        <v>202</v>
      </c>
      <c r="AH1282" s="122" t="n">
        <v>128</v>
      </c>
      <c r="AI1282" s="54">
        <f>IFERROR(AC1282/S1282,"")</f>
        <v/>
      </c>
      <c r="AJ1282" s="54">
        <f>IFERROR(AH1282/S1282,"")</f>
        <v/>
      </c>
      <c r="AK1282" s="122" t="n">
        <v>131</v>
      </c>
      <c r="AL1282" s="122" t="n">
        <v>1</v>
      </c>
      <c r="AM1282" s="124">
        <f>IFERROR(AL1282/AA1282,"")</f>
        <v/>
      </c>
      <c r="AN1282" s="125">
        <f>IFERROR(R1282/AL1282,"")</f>
        <v/>
      </c>
      <c r="AO1282" s="122" t="n">
        <v>1</v>
      </c>
      <c r="AP1282" s="54">
        <f>IFERROR(AO1282/AL1282,"")</f>
        <v/>
      </c>
      <c r="AQ1282" s="125">
        <f>IFERROR(R1282/AO1282,"")</f>
        <v/>
      </c>
      <c r="AR1282" s="122" t="n">
        <v>1</v>
      </c>
      <c r="AS1282" s="122" t="n">
        <v>1</v>
      </c>
      <c r="AT1282" s="122">
        <f>AL1282+AR1282</f>
        <v/>
      </c>
      <c r="AU1282" s="125">
        <f>IFERROR(AO1282*Assumptions!$C$26*Assumptions!$C$27*INDEX(Assumptions!$C$18:$C$21,MATCH(H1282,Assumptions!$B$18:$B$21,0)),0)</f>
        <v/>
      </c>
    </row>
    <row r="1283">
      <c r="A1283" s="120" t="n">
        <v>46257</v>
      </c>
      <c r="B1283" s="66" t="inlineStr">
        <is>
          <t>Wk 34</t>
        </is>
      </c>
      <c r="C1283" s="66" t="inlineStr">
        <is>
          <t>Sun</t>
        </is>
      </c>
      <c r="D1283" s="66" t="inlineStr">
        <is>
          <t>TikTok</t>
        </is>
      </c>
      <c r="E1283" s="66" t="inlineStr">
        <is>
          <t>TikTok</t>
        </is>
      </c>
      <c r="F1283" s="66" t="inlineStr">
        <is>
          <t>LEP_ZA_AUG26_TT_TD_PANTERA_CONV</t>
        </is>
      </c>
      <c r="G1283" s="66" t="inlineStr">
        <is>
          <t>Website Conversions</t>
        </is>
      </c>
      <c r="H1283" s="66" t="inlineStr">
        <is>
          <t>PANTERA</t>
        </is>
      </c>
      <c r="I1283" s="66" t="inlineStr">
        <is>
          <t>0% Deposit</t>
        </is>
      </c>
      <c r="J1283" s="66" t="inlineStr">
        <is>
          <t>TT_PANTERA_INT_LUX_ZA</t>
        </is>
      </c>
      <c r="K1283" s="66" t="inlineStr">
        <is>
          <t>Interest</t>
        </is>
      </c>
      <c r="L1283" s="66" t="inlineStr">
        <is>
          <t>TT_PANTERA_TREND_10s_Spec_v1</t>
        </is>
      </c>
      <c r="M1283" s="66" t="inlineStr">
        <is>
          <t>Video 9:16</t>
        </is>
      </c>
      <c r="N1283" s="66" t="inlineStr">
        <is>
          <t>Spec check. Guess the price.</t>
        </is>
      </c>
      <c r="O1283" s="66" t="inlineStr">
        <is>
          <t>Auction - Cost Cap</t>
        </is>
      </c>
      <c r="P1283" s="66" t="inlineStr">
        <is>
          <t>Complete Payment / Lead</t>
        </is>
      </c>
      <c r="Q1283" s="66" t="inlineStr">
        <is>
          <t>https://www.lepas-sa.co.za/offers/pantera</t>
        </is>
      </c>
      <c r="R1283" s="121" t="n">
        <v>119.77</v>
      </c>
      <c r="S1283" s="122" t="n">
        <v>3259</v>
      </c>
      <c r="T1283" s="122" t="n">
        <v>1848</v>
      </c>
      <c r="U1283" s="123">
        <f>IFERROR(S1283/T1283,"")</f>
        <v/>
      </c>
      <c r="V1283" s="122" t="n">
        <v>21</v>
      </c>
      <c r="W1283" s="122" t="n">
        <v>15</v>
      </c>
      <c r="X1283" s="124">
        <f>IFERROR(W1283/S1283,"")</f>
        <v/>
      </c>
      <c r="Y1283" s="121">
        <f>IFERROR(R1283/W1283,"")</f>
        <v/>
      </c>
      <c r="Z1283" s="121">
        <f>IFERROR(R1283/S1283*1000,"")</f>
        <v/>
      </c>
      <c r="AA1283" s="122" t="n">
        <v>10</v>
      </c>
      <c r="AB1283" s="54">
        <f>IFERROR(AA1283/W1283,"")</f>
        <v/>
      </c>
      <c r="AC1283" s="122" t="n">
        <v>1304</v>
      </c>
      <c r="AD1283" s="122" t="n">
        <v>591</v>
      </c>
      <c r="AE1283" s="122" t="n">
        <v>683</v>
      </c>
      <c r="AF1283" s="122" t="n">
        <v>479</v>
      </c>
      <c r="AG1283" s="122" t="n">
        <v>314</v>
      </c>
      <c r="AH1283" s="122" t="n">
        <v>178</v>
      </c>
      <c r="AI1283" s="54">
        <f>IFERROR(AC1283/S1283,"")</f>
        <v/>
      </c>
      <c r="AJ1283" s="54">
        <f>IFERROR(AH1283/S1283,"")</f>
        <v/>
      </c>
      <c r="AK1283" s="122" t="n">
        <v>133</v>
      </c>
      <c r="AL1283" s="122" t="n">
        <v>0</v>
      </c>
      <c r="AM1283" s="124">
        <f>IFERROR(AL1283/AA1283,"")</f>
        <v/>
      </c>
      <c r="AN1283" s="125">
        <f>IFERROR(R1283/AL1283,"")</f>
        <v/>
      </c>
      <c r="AO1283" s="122" t="n">
        <v>0</v>
      </c>
      <c r="AP1283" s="54">
        <f>IFERROR(AO1283/AL1283,"")</f>
        <v/>
      </c>
      <c r="AQ1283" s="125">
        <f>IFERROR(R1283/AO1283,"")</f>
        <v/>
      </c>
      <c r="AR1283" s="122" t="n">
        <v>0</v>
      </c>
      <c r="AS1283" s="122" t="n">
        <v>0</v>
      </c>
      <c r="AT1283" s="122">
        <f>AL1283+AR1283</f>
        <v/>
      </c>
      <c r="AU1283" s="125">
        <f>IFERROR(AO1283*Assumptions!$C$26*Assumptions!$C$27*INDEX(Assumptions!$C$18:$C$21,MATCH(H1283,Assumptions!$B$18:$B$21,0)),0)</f>
        <v/>
      </c>
    </row>
    <row r="1284">
      <c r="A1284" s="120" t="n">
        <v>46258</v>
      </c>
      <c r="B1284" s="66" t="inlineStr">
        <is>
          <t>Wk 35</t>
        </is>
      </c>
      <c r="C1284" s="66" t="inlineStr">
        <is>
          <t>Mon</t>
        </is>
      </c>
      <c r="D1284" s="66" t="inlineStr">
        <is>
          <t>TikTok</t>
        </is>
      </c>
      <c r="E1284" s="66" t="inlineStr">
        <is>
          <t>TikTok</t>
        </is>
      </c>
      <c r="F1284" s="66" t="inlineStr">
        <is>
          <t>LEP_ZA_AUG26_TT_TD_PANTERA_CONV</t>
        </is>
      </c>
      <c r="G1284" s="66" t="inlineStr">
        <is>
          <t>Website Conversions</t>
        </is>
      </c>
      <c r="H1284" s="66" t="inlineStr">
        <is>
          <t>PANTERA</t>
        </is>
      </c>
      <c r="I1284" s="66" t="inlineStr">
        <is>
          <t>0% Deposit</t>
        </is>
      </c>
      <c r="J1284" s="66" t="inlineStr">
        <is>
          <t>TT_PANTERA_INT_LUX_ZA</t>
        </is>
      </c>
      <c r="K1284" s="66" t="inlineStr">
        <is>
          <t>Interest</t>
        </is>
      </c>
      <c r="L1284" s="66" t="inlineStr">
        <is>
          <t>TT_PANTERA_TREND_10s_Spec_v1</t>
        </is>
      </c>
      <c r="M1284" s="66" t="inlineStr">
        <is>
          <t>Video 9:16</t>
        </is>
      </c>
      <c r="N1284" s="66" t="inlineStr">
        <is>
          <t>Spec check. Guess the price.</t>
        </is>
      </c>
      <c r="O1284" s="66" t="inlineStr">
        <is>
          <t>Auction - Cost Cap</t>
        </is>
      </c>
      <c r="P1284" s="66" t="inlineStr">
        <is>
          <t>Complete Payment / Lead</t>
        </is>
      </c>
      <c r="Q1284" s="66" t="inlineStr">
        <is>
          <t>https://www.lepas-sa.co.za/offers/pantera</t>
        </is>
      </c>
      <c r="R1284" s="121" t="n">
        <v>140.73</v>
      </c>
      <c r="S1284" s="122" t="n">
        <v>3873</v>
      </c>
      <c r="T1284" s="122" t="n">
        <v>2522</v>
      </c>
      <c r="U1284" s="123">
        <f>IFERROR(S1284/T1284,"")</f>
        <v/>
      </c>
      <c r="V1284" s="122" t="n">
        <v>21</v>
      </c>
      <c r="W1284" s="122" t="n">
        <v>17</v>
      </c>
      <c r="X1284" s="124">
        <f>IFERROR(W1284/S1284,"")</f>
        <v/>
      </c>
      <c r="Y1284" s="121">
        <f>IFERROR(R1284/W1284,"")</f>
        <v/>
      </c>
      <c r="Z1284" s="121">
        <f>IFERROR(R1284/S1284*1000,"")</f>
        <v/>
      </c>
      <c r="AA1284" s="122" t="n">
        <v>12</v>
      </c>
      <c r="AB1284" s="54">
        <f>IFERROR(AA1284/W1284,"")</f>
        <v/>
      </c>
      <c r="AC1284" s="122" t="n">
        <v>1072</v>
      </c>
      <c r="AD1284" s="122" t="n">
        <v>536</v>
      </c>
      <c r="AE1284" s="122" t="n">
        <v>579</v>
      </c>
      <c r="AF1284" s="122" t="n">
        <v>409</v>
      </c>
      <c r="AG1284" s="122" t="n">
        <v>271</v>
      </c>
      <c r="AH1284" s="122" t="n">
        <v>166</v>
      </c>
      <c r="AI1284" s="54">
        <f>IFERROR(AC1284/S1284,"")</f>
        <v/>
      </c>
      <c r="AJ1284" s="54">
        <f>IFERROR(AH1284/S1284,"")</f>
        <v/>
      </c>
      <c r="AK1284" s="122" t="n">
        <v>182</v>
      </c>
      <c r="AL1284" s="122" t="n">
        <v>0</v>
      </c>
      <c r="AM1284" s="124">
        <f>IFERROR(AL1284/AA1284,"")</f>
        <v/>
      </c>
      <c r="AN1284" s="125">
        <f>IFERROR(R1284/AL1284,"")</f>
        <v/>
      </c>
      <c r="AO1284" s="122" t="n">
        <v>0</v>
      </c>
      <c r="AP1284" s="54">
        <f>IFERROR(AO1284/AL1284,"")</f>
        <v/>
      </c>
      <c r="AQ1284" s="125">
        <f>IFERROR(R1284/AO1284,"")</f>
        <v/>
      </c>
      <c r="AR1284" s="122" t="n">
        <v>0</v>
      </c>
      <c r="AS1284" s="122" t="n">
        <v>0</v>
      </c>
      <c r="AT1284" s="122">
        <f>AL1284+AR1284</f>
        <v/>
      </c>
      <c r="AU1284" s="125">
        <f>IFERROR(AO1284*Assumptions!$C$26*Assumptions!$C$27*INDEX(Assumptions!$C$18:$C$21,MATCH(H1284,Assumptions!$B$18:$B$21,0)),0)</f>
        <v/>
      </c>
    </row>
    <row r="1285">
      <c r="A1285" s="120" t="n">
        <v>46259</v>
      </c>
      <c r="B1285" s="66" t="inlineStr">
        <is>
          <t>Wk 35</t>
        </is>
      </c>
      <c r="C1285" s="66" t="inlineStr">
        <is>
          <t>Tue</t>
        </is>
      </c>
      <c r="D1285" s="66" t="inlineStr">
        <is>
          <t>TikTok</t>
        </is>
      </c>
      <c r="E1285" s="66" t="inlineStr">
        <is>
          <t>TikTok</t>
        </is>
      </c>
      <c r="F1285" s="66" t="inlineStr">
        <is>
          <t>LEP_ZA_AUG26_TT_TD_PANTERA_CONV</t>
        </is>
      </c>
      <c r="G1285" s="66" t="inlineStr">
        <is>
          <t>Website Conversions</t>
        </is>
      </c>
      <c r="H1285" s="66" t="inlineStr">
        <is>
          <t>PANTERA</t>
        </is>
      </c>
      <c r="I1285" s="66" t="inlineStr">
        <is>
          <t>0% Deposit</t>
        </is>
      </c>
      <c r="J1285" s="66" t="inlineStr">
        <is>
          <t>TT_PANTERA_INT_LUX_ZA</t>
        </is>
      </c>
      <c r="K1285" s="66" t="inlineStr">
        <is>
          <t>Interest</t>
        </is>
      </c>
      <c r="L1285" s="66" t="inlineStr">
        <is>
          <t>TT_PANTERA_TREND_10s_Spec_v1</t>
        </is>
      </c>
      <c r="M1285" s="66" t="inlineStr">
        <is>
          <t>Video 9:16</t>
        </is>
      </c>
      <c r="N1285" s="66" t="inlineStr">
        <is>
          <t>Spec check. Guess the price.</t>
        </is>
      </c>
      <c r="O1285" s="66" t="inlineStr">
        <is>
          <t>Auction - Cost Cap</t>
        </is>
      </c>
      <c r="P1285" s="66" t="inlineStr">
        <is>
          <t>Complete Payment / Lead</t>
        </is>
      </c>
      <c r="Q1285" s="66" t="inlineStr">
        <is>
          <t>https://www.lepas-sa.co.za/offers/pantera</t>
        </is>
      </c>
      <c r="R1285" s="121" t="n">
        <v>149.92</v>
      </c>
      <c r="S1285" s="122" t="n">
        <v>3877</v>
      </c>
      <c r="T1285" s="122" t="n">
        <v>1833</v>
      </c>
      <c r="U1285" s="123">
        <f>IFERROR(S1285/T1285,"")</f>
        <v/>
      </c>
      <c r="V1285" s="122" t="n">
        <v>42</v>
      </c>
      <c r="W1285" s="122" t="n">
        <v>34</v>
      </c>
      <c r="X1285" s="124">
        <f>IFERROR(W1285/S1285,"")</f>
        <v/>
      </c>
      <c r="Y1285" s="121">
        <f>IFERROR(R1285/W1285,"")</f>
        <v/>
      </c>
      <c r="Z1285" s="121">
        <f>IFERROR(R1285/S1285*1000,"")</f>
        <v/>
      </c>
      <c r="AA1285" s="122" t="n">
        <v>23</v>
      </c>
      <c r="AB1285" s="54">
        <f>IFERROR(AA1285/W1285,"")</f>
        <v/>
      </c>
      <c r="AC1285" s="122" t="n">
        <v>1344</v>
      </c>
      <c r="AD1285" s="122" t="n">
        <v>739</v>
      </c>
      <c r="AE1285" s="122" t="n">
        <v>645</v>
      </c>
      <c r="AF1285" s="122" t="n">
        <v>354</v>
      </c>
      <c r="AG1285" s="122" t="n">
        <v>258</v>
      </c>
      <c r="AH1285" s="122" t="n">
        <v>152</v>
      </c>
      <c r="AI1285" s="54">
        <f>IFERROR(AC1285/S1285,"")</f>
        <v/>
      </c>
      <c r="AJ1285" s="54">
        <f>IFERROR(AH1285/S1285,"")</f>
        <v/>
      </c>
      <c r="AK1285" s="122" t="n">
        <v>171</v>
      </c>
      <c r="AL1285" s="122" t="n">
        <v>0</v>
      </c>
      <c r="AM1285" s="124">
        <f>IFERROR(AL1285/AA1285,"")</f>
        <v/>
      </c>
      <c r="AN1285" s="125">
        <f>IFERROR(R1285/AL1285,"")</f>
        <v/>
      </c>
      <c r="AO1285" s="122" t="n">
        <v>0</v>
      </c>
      <c r="AP1285" s="54">
        <f>IFERROR(AO1285/AL1285,"")</f>
        <v/>
      </c>
      <c r="AQ1285" s="125">
        <f>IFERROR(R1285/AO1285,"")</f>
        <v/>
      </c>
      <c r="AR1285" s="122" t="n">
        <v>0</v>
      </c>
      <c r="AS1285" s="122" t="n">
        <v>0</v>
      </c>
      <c r="AT1285" s="122">
        <f>AL1285+AR1285</f>
        <v/>
      </c>
      <c r="AU1285" s="125">
        <f>IFERROR(AO1285*Assumptions!$C$26*Assumptions!$C$27*INDEX(Assumptions!$C$18:$C$21,MATCH(H1285,Assumptions!$B$18:$B$21,0)),0)</f>
        <v/>
      </c>
    </row>
    <row r="1286">
      <c r="A1286" s="120" t="n">
        <v>46260</v>
      </c>
      <c r="B1286" s="66" t="inlineStr">
        <is>
          <t>Wk 35</t>
        </is>
      </c>
      <c r="C1286" s="66" t="inlineStr">
        <is>
          <t>Wed</t>
        </is>
      </c>
      <c r="D1286" s="66" t="inlineStr">
        <is>
          <t>TikTok</t>
        </is>
      </c>
      <c r="E1286" s="66" t="inlineStr">
        <is>
          <t>TikTok</t>
        </is>
      </c>
      <c r="F1286" s="66" t="inlineStr">
        <is>
          <t>LEP_ZA_AUG26_TT_TD_PANTERA_CONV</t>
        </is>
      </c>
      <c r="G1286" s="66" t="inlineStr">
        <is>
          <t>Website Conversions</t>
        </is>
      </c>
      <c r="H1286" s="66" t="inlineStr">
        <is>
          <t>PANTERA</t>
        </is>
      </c>
      <c r="I1286" s="66" t="inlineStr">
        <is>
          <t>0% Deposit</t>
        </is>
      </c>
      <c r="J1286" s="66" t="inlineStr">
        <is>
          <t>TT_PANTERA_INT_LUX_ZA</t>
        </is>
      </c>
      <c r="K1286" s="66" t="inlineStr">
        <is>
          <t>Interest</t>
        </is>
      </c>
      <c r="L1286" s="66" t="inlineStr">
        <is>
          <t>TT_PANTERA_TREND_10s_Spec_v1</t>
        </is>
      </c>
      <c r="M1286" s="66" t="inlineStr">
        <is>
          <t>Video 9:16</t>
        </is>
      </c>
      <c r="N1286" s="66" t="inlineStr">
        <is>
          <t>Spec check. Guess the price.</t>
        </is>
      </c>
      <c r="O1286" s="66" t="inlineStr">
        <is>
          <t>Auction - Cost Cap</t>
        </is>
      </c>
      <c r="P1286" s="66" t="inlineStr">
        <is>
          <t>Complete Payment / Lead</t>
        </is>
      </c>
      <c r="Q1286" s="66" t="inlineStr">
        <is>
          <t>https://www.lepas-sa.co.za/offers/pantera</t>
        </is>
      </c>
      <c r="R1286" s="121" t="n">
        <v>160.54</v>
      </c>
      <c r="S1286" s="122" t="n">
        <v>5277</v>
      </c>
      <c r="T1286" s="122" t="n">
        <v>2356</v>
      </c>
      <c r="U1286" s="123">
        <f>IFERROR(S1286/T1286,"")</f>
        <v/>
      </c>
      <c r="V1286" s="122" t="n">
        <v>59</v>
      </c>
      <c r="W1286" s="122" t="n">
        <v>44</v>
      </c>
      <c r="X1286" s="124">
        <f>IFERROR(W1286/S1286,"")</f>
        <v/>
      </c>
      <c r="Y1286" s="121">
        <f>IFERROR(R1286/W1286,"")</f>
        <v/>
      </c>
      <c r="Z1286" s="121">
        <f>IFERROR(R1286/S1286*1000,"")</f>
        <v/>
      </c>
      <c r="AA1286" s="122" t="n">
        <v>29</v>
      </c>
      <c r="AB1286" s="54">
        <f>IFERROR(AA1286/W1286,"")</f>
        <v/>
      </c>
      <c r="AC1286" s="122" t="n">
        <v>1436</v>
      </c>
      <c r="AD1286" s="122" t="n">
        <v>825</v>
      </c>
      <c r="AE1286" s="122" t="n">
        <v>725</v>
      </c>
      <c r="AF1286" s="122" t="n">
        <v>428</v>
      </c>
      <c r="AG1286" s="122" t="n">
        <v>279</v>
      </c>
      <c r="AH1286" s="122" t="n">
        <v>164</v>
      </c>
      <c r="AI1286" s="54">
        <f>IFERROR(AC1286/S1286,"")</f>
        <v/>
      </c>
      <c r="AJ1286" s="54">
        <f>IFERROR(AH1286/S1286,"")</f>
        <v/>
      </c>
      <c r="AK1286" s="122" t="n">
        <v>191</v>
      </c>
      <c r="AL1286" s="122" t="n">
        <v>1</v>
      </c>
      <c r="AM1286" s="124">
        <f>IFERROR(AL1286/AA1286,"")</f>
        <v/>
      </c>
      <c r="AN1286" s="125">
        <f>IFERROR(R1286/AL1286,"")</f>
        <v/>
      </c>
      <c r="AO1286" s="122" t="n">
        <v>1</v>
      </c>
      <c r="AP1286" s="54">
        <f>IFERROR(AO1286/AL1286,"")</f>
        <v/>
      </c>
      <c r="AQ1286" s="125">
        <f>IFERROR(R1286/AO1286,"")</f>
        <v/>
      </c>
      <c r="AR1286" s="122" t="n">
        <v>1</v>
      </c>
      <c r="AS1286" s="122" t="n">
        <v>0</v>
      </c>
      <c r="AT1286" s="122">
        <f>AL1286+AR1286</f>
        <v/>
      </c>
      <c r="AU1286" s="125">
        <f>IFERROR(AO1286*Assumptions!$C$26*Assumptions!$C$27*INDEX(Assumptions!$C$18:$C$21,MATCH(H1286,Assumptions!$B$18:$B$21,0)),0)</f>
        <v/>
      </c>
    </row>
    <row r="1287">
      <c r="A1287" s="120" t="n">
        <v>46261</v>
      </c>
      <c r="B1287" s="66" t="inlineStr">
        <is>
          <t>Wk 35</t>
        </is>
      </c>
      <c r="C1287" s="66" t="inlineStr">
        <is>
          <t>Thu</t>
        </is>
      </c>
      <c r="D1287" s="66" t="inlineStr">
        <is>
          <t>TikTok</t>
        </is>
      </c>
      <c r="E1287" s="66" t="inlineStr">
        <is>
          <t>TikTok</t>
        </is>
      </c>
      <c r="F1287" s="66" t="inlineStr">
        <is>
          <t>LEP_ZA_AUG26_TT_TD_PANTERA_CONV</t>
        </is>
      </c>
      <c r="G1287" s="66" t="inlineStr">
        <is>
          <t>Website Conversions</t>
        </is>
      </c>
      <c r="H1287" s="66" t="inlineStr">
        <is>
          <t>PANTERA</t>
        </is>
      </c>
      <c r="I1287" s="66" t="inlineStr">
        <is>
          <t>0% Deposit</t>
        </is>
      </c>
      <c r="J1287" s="66" t="inlineStr">
        <is>
          <t>TT_PANTERA_INT_LUX_ZA</t>
        </is>
      </c>
      <c r="K1287" s="66" t="inlineStr">
        <is>
          <t>Interest</t>
        </is>
      </c>
      <c r="L1287" s="66" t="inlineStr">
        <is>
          <t>TT_PANTERA_TREND_10s_Spec_v1</t>
        </is>
      </c>
      <c r="M1287" s="66" t="inlineStr">
        <is>
          <t>Video 9:16</t>
        </is>
      </c>
      <c r="N1287" s="66" t="inlineStr">
        <is>
          <t>Spec check. Guess the price.</t>
        </is>
      </c>
      <c r="O1287" s="66" t="inlineStr">
        <is>
          <t>Auction - Cost Cap</t>
        </is>
      </c>
      <c r="P1287" s="66" t="inlineStr">
        <is>
          <t>Complete Payment / Lead</t>
        </is>
      </c>
      <c r="Q1287" s="66" t="inlineStr">
        <is>
          <t>https://www.lepas-sa.co.za/offers/pantera</t>
        </is>
      </c>
      <c r="R1287" s="121" t="n">
        <v>176.24</v>
      </c>
      <c r="S1287" s="122" t="n">
        <v>4557</v>
      </c>
      <c r="T1287" s="122" t="n">
        <v>2268</v>
      </c>
      <c r="U1287" s="123">
        <f>IFERROR(S1287/T1287,"")</f>
        <v/>
      </c>
      <c r="V1287" s="122" t="n">
        <v>47</v>
      </c>
      <c r="W1287" s="122" t="n">
        <v>34</v>
      </c>
      <c r="X1287" s="124">
        <f>IFERROR(W1287/S1287,"")</f>
        <v/>
      </c>
      <c r="Y1287" s="121">
        <f>IFERROR(R1287/W1287,"")</f>
        <v/>
      </c>
      <c r="Z1287" s="121">
        <f>IFERROR(R1287/S1287*1000,"")</f>
        <v/>
      </c>
      <c r="AA1287" s="122" t="n">
        <v>25</v>
      </c>
      <c r="AB1287" s="54">
        <f>IFERROR(AA1287/W1287,"")</f>
        <v/>
      </c>
      <c r="AC1287" s="122" t="n">
        <v>1283</v>
      </c>
      <c r="AD1287" s="122" t="n">
        <v>662</v>
      </c>
      <c r="AE1287" s="122" t="n">
        <v>487</v>
      </c>
      <c r="AF1287" s="122" t="n">
        <v>283</v>
      </c>
      <c r="AG1287" s="122" t="n">
        <v>200</v>
      </c>
      <c r="AH1287" s="122" t="n">
        <v>142</v>
      </c>
      <c r="AI1287" s="54">
        <f>IFERROR(AC1287/S1287,"")</f>
        <v/>
      </c>
      <c r="AJ1287" s="54">
        <f>IFERROR(AH1287/S1287,"")</f>
        <v/>
      </c>
      <c r="AK1287" s="122" t="n">
        <v>253</v>
      </c>
      <c r="AL1287" s="122" t="n">
        <v>0</v>
      </c>
      <c r="AM1287" s="124">
        <f>IFERROR(AL1287/AA1287,"")</f>
        <v/>
      </c>
      <c r="AN1287" s="125">
        <f>IFERROR(R1287/AL1287,"")</f>
        <v/>
      </c>
      <c r="AO1287" s="122" t="n">
        <v>0</v>
      </c>
      <c r="AP1287" s="54">
        <f>IFERROR(AO1287/AL1287,"")</f>
        <v/>
      </c>
      <c r="AQ1287" s="125">
        <f>IFERROR(R1287/AO1287,"")</f>
        <v/>
      </c>
      <c r="AR1287" s="122" t="n">
        <v>0</v>
      </c>
      <c r="AS1287" s="122" t="n">
        <v>0</v>
      </c>
      <c r="AT1287" s="122">
        <f>AL1287+AR1287</f>
        <v/>
      </c>
      <c r="AU1287" s="125">
        <f>IFERROR(AO1287*Assumptions!$C$26*Assumptions!$C$27*INDEX(Assumptions!$C$18:$C$21,MATCH(H1287,Assumptions!$B$18:$B$21,0)),0)</f>
        <v/>
      </c>
    </row>
    <row r="1288">
      <c r="A1288" s="120" t="n">
        <v>46262</v>
      </c>
      <c r="B1288" s="66" t="inlineStr">
        <is>
          <t>Wk 35</t>
        </is>
      </c>
      <c r="C1288" s="66" t="inlineStr">
        <is>
          <t>Fri</t>
        </is>
      </c>
      <c r="D1288" s="66" t="inlineStr">
        <is>
          <t>TikTok</t>
        </is>
      </c>
      <c r="E1288" s="66" t="inlineStr">
        <is>
          <t>TikTok</t>
        </is>
      </c>
      <c r="F1288" s="66" t="inlineStr">
        <is>
          <t>LEP_ZA_AUG26_TT_TD_PANTERA_CONV</t>
        </is>
      </c>
      <c r="G1288" s="66" t="inlineStr">
        <is>
          <t>Website Conversions</t>
        </is>
      </c>
      <c r="H1288" s="66" t="inlineStr">
        <is>
          <t>PANTERA</t>
        </is>
      </c>
      <c r="I1288" s="66" t="inlineStr">
        <is>
          <t>0% Deposit</t>
        </is>
      </c>
      <c r="J1288" s="66" t="inlineStr">
        <is>
          <t>TT_PANTERA_INT_LUX_ZA</t>
        </is>
      </c>
      <c r="K1288" s="66" t="inlineStr">
        <is>
          <t>Interest</t>
        </is>
      </c>
      <c r="L1288" s="66" t="inlineStr">
        <is>
          <t>TT_PANTERA_TREND_10s_Spec_v1</t>
        </is>
      </c>
      <c r="M1288" s="66" t="inlineStr">
        <is>
          <t>Video 9:16</t>
        </is>
      </c>
      <c r="N1288" s="66" t="inlineStr">
        <is>
          <t>Spec check. Guess the price.</t>
        </is>
      </c>
      <c r="O1288" s="66" t="inlineStr">
        <is>
          <t>Auction - Cost Cap</t>
        </is>
      </c>
      <c r="P1288" s="66" t="inlineStr">
        <is>
          <t>Complete Payment / Lead</t>
        </is>
      </c>
      <c r="Q1288" s="66" t="inlineStr">
        <is>
          <t>https://www.lepas-sa.co.za/offers/pantera</t>
        </is>
      </c>
      <c r="R1288" s="121" t="n">
        <v>175.74</v>
      </c>
      <c r="S1288" s="122" t="n">
        <v>4371</v>
      </c>
      <c r="T1288" s="122" t="n">
        <v>2022</v>
      </c>
      <c r="U1288" s="123">
        <f>IFERROR(S1288/T1288,"")</f>
        <v/>
      </c>
      <c r="V1288" s="122" t="n">
        <v>35</v>
      </c>
      <c r="W1288" s="122" t="n">
        <v>25</v>
      </c>
      <c r="X1288" s="124">
        <f>IFERROR(W1288/S1288,"")</f>
        <v/>
      </c>
      <c r="Y1288" s="121">
        <f>IFERROR(R1288/W1288,"")</f>
        <v/>
      </c>
      <c r="Z1288" s="121">
        <f>IFERROR(R1288/S1288*1000,"")</f>
        <v/>
      </c>
      <c r="AA1288" s="122" t="n">
        <v>18</v>
      </c>
      <c r="AB1288" s="54">
        <f>IFERROR(AA1288/W1288,"")</f>
        <v/>
      </c>
      <c r="AC1288" s="122" t="n">
        <v>1023</v>
      </c>
      <c r="AD1288" s="122" t="n">
        <v>493</v>
      </c>
      <c r="AE1288" s="122" t="n">
        <v>480</v>
      </c>
      <c r="AF1288" s="122" t="n">
        <v>282</v>
      </c>
      <c r="AG1288" s="122" t="n">
        <v>195</v>
      </c>
      <c r="AH1288" s="122" t="n">
        <v>136</v>
      </c>
      <c r="AI1288" s="54">
        <f>IFERROR(AC1288/S1288,"")</f>
        <v/>
      </c>
      <c r="AJ1288" s="54">
        <f>IFERROR(AH1288/S1288,"")</f>
        <v/>
      </c>
      <c r="AK1288" s="122" t="n">
        <v>104</v>
      </c>
      <c r="AL1288" s="122" t="n">
        <v>0</v>
      </c>
      <c r="AM1288" s="124">
        <f>IFERROR(AL1288/AA1288,"")</f>
        <v/>
      </c>
      <c r="AN1288" s="125">
        <f>IFERROR(R1288/AL1288,"")</f>
        <v/>
      </c>
      <c r="AO1288" s="122" t="n">
        <v>0</v>
      </c>
      <c r="AP1288" s="54">
        <f>IFERROR(AO1288/AL1288,"")</f>
        <v/>
      </c>
      <c r="AQ1288" s="125">
        <f>IFERROR(R1288/AO1288,"")</f>
        <v/>
      </c>
      <c r="AR1288" s="122" t="n">
        <v>0</v>
      </c>
      <c r="AS1288" s="122" t="n">
        <v>0</v>
      </c>
      <c r="AT1288" s="122">
        <f>AL1288+AR1288</f>
        <v/>
      </c>
      <c r="AU1288" s="125">
        <f>IFERROR(AO1288*Assumptions!$C$26*Assumptions!$C$27*INDEX(Assumptions!$C$18:$C$21,MATCH(H1288,Assumptions!$B$18:$B$21,0)),0)</f>
        <v/>
      </c>
    </row>
    <row r="1289">
      <c r="A1289" s="120" t="n">
        <v>46263</v>
      </c>
      <c r="B1289" s="66" t="inlineStr">
        <is>
          <t>Wk 35</t>
        </is>
      </c>
      <c r="C1289" s="66" t="inlineStr">
        <is>
          <t>Sat</t>
        </is>
      </c>
      <c r="D1289" s="66" t="inlineStr">
        <is>
          <t>TikTok</t>
        </is>
      </c>
      <c r="E1289" s="66" t="inlineStr">
        <is>
          <t>TikTok</t>
        </is>
      </c>
      <c r="F1289" s="66" t="inlineStr">
        <is>
          <t>LEP_ZA_AUG26_TT_TD_PANTERA_CONV</t>
        </is>
      </c>
      <c r="G1289" s="66" t="inlineStr">
        <is>
          <t>Website Conversions</t>
        </is>
      </c>
      <c r="H1289" s="66" t="inlineStr">
        <is>
          <t>PANTERA</t>
        </is>
      </c>
      <c r="I1289" s="66" t="inlineStr">
        <is>
          <t>0% Deposit</t>
        </is>
      </c>
      <c r="J1289" s="66" t="inlineStr">
        <is>
          <t>TT_PANTERA_INT_LUX_ZA</t>
        </is>
      </c>
      <c r="K1289" s="66" t="inlineStr">
        <is>
          <t>Interest</t>
        </is>
      </c>
      <c r="L1289" s="66" t="inlineStr">
        <is>
          <t>TT_PANTERA_TREND_10s_Spec_v1</t>
        </is>
      </c>
      <c r="M1289" s="66" t="inlineStr">
        <is>
          <t>Video 9:16</t>
        </is>
      </c>
      <c r="N1289" s="66" t="inlineStr">
        <is>
          <t>Spec check. Guess the price.</t>
        </is>
      </c>
      <c r="O1289" s="66" t="inlineStr">
        <is>
          <t>Auction - Cost Cap</t>
        </is>
      </c>
      <c r="P1289" s="66" t="inlineStr">
        <is>
          <t>Complete Payment / Lead</t>
        </is>
      </c>
      <c r="Q1289" s="66" t="inlineStr">
        <is>
          <t>https://www.lepas-sa.co.za/offers/pantera</t>
        </is>
      </c>
      <c r="R1289" s="121" t="n">
        <v>175.88</v>
      </c>
      <c r="S1289" s="122" t="n">
        <v>3867</v>
      </c>
      <c r="T1289" s="122" t="n">
        <v>1701</v>
      </c>
      <c r="U1289" s="123">
        <f>IFERROR(S1289/T1289,"")</f>
        <v/>
      </c>
      <c r="V1289" s="122" t="n">
        <v>24</v>
      </c>
      <c r="W1289" s="122" t="n">
        <v>19</v>
      </c>
      <c r="X1289" s="124">
        <f>IFERROR(W1289/S1289,"")</f>
        <v/>
      </c>
      <c r="Y1289" s="121">
        <f>IFERROR(R1289/W1289,"")</f>
        <v/>
      </c>
      <c r="Z1289" s="121">
        <f>IFERROR(R1289/S1289*1000,"")</f>
        <v/>
      </c>
      <c r="AA1289" s="122" t="n">
        <v>12</v>
      </c>
      <c r="AB1289" s="54">
        <f>IFERROR(AA1289/W1289,"")</f>
        <v/>
      </c>
      <c r="AC1289" s="122" t="n">
        <v>1339</v>
      </c>
      <c r="AD1289" s="122" t="n">
        <v>601</v>
      </c>
      <c r="AE1289" s="122" t="n">
        <v>555</v>
      </c>
      <c r="AF1289" s="122" t="n">
        <v>383</v>
      </c>
      <c r="AG1289" s="122" t="n">
        <v>251</v>
      </c>
      <c r="AH1289" s="122" t="n">
        <v>162</v>
      </c>
      <c r="AI1289" s="54">
        <f>IFERROR(AC1289/S1289,"")</f>
        <v/>
      </c>
      <c r="AJ1289" s="54">
        <f>IFERROR(AH1289/S1289,"")</f>
        <v/>
      </c>
      <c r="AK1289" s="122" t="n">
        <v>102</v>
      </c>
      <c r="AL1289" s="122" t="n">
        <v>0</v>
      </c>
      <c r="AM1289" s="124">
        <f>IFERROR(AL1289/AA1289,"")</f>
        <v/>
      </c>
      <c r="AN1289" s="125">
        <f>IFERROR(R1289/AL1289,"")</f>
        <v/>
      </c>
      <c r="AO1289" s="122" t="n">
        <v>0</v>
      </c>
      <c r="AP1289" s="54">
        <f>IFERROR(AO1289/AL1289,"")</f>
        <v/>
      </c>
      <c r="AQ1289" s="125">
        <f>IFERROR(R1289/AO1289,"")</f>
        <v/>
      </c>
      <c r="AR1289" s="122" t="n">
        <v>0</v>
      </c>
      <c r="AS1289" s="122" t="n">
        <v>0</v>
      </c>
      <c r="AT1289" s="122">
        <f>AL1289+AR1289</f>
        <v/>
      </c>
      <c r="AU1289" s="125">
        <f>IFERROR(AO1289*Assumptions!$C$26*Assumptions!$C$27*INDEX(Assumptions!$C$18:$C$21,MATCH(H1289,Assumptions!$B$18:$B$21,0)),0)</f>
        <v/>
      </c>
    </row>
    <row r="1290">
      <c r="A1290" s="120" t="n">
        <v>46264</v>
      </c>
      <c r="B1290" s="66" t="inlineStr">
        <is>
          <t>Wk 35</t>
        </is>
      </c>
      <c r="C1290" s="66" t="inlineStr">
        <is>
          <t>Sun</t>
        </is>
      </c>
      <c r="D1290" s="66" t="inlineStr">
        <is>
          <t>TikTok</t>
        </is>
      </c>
      <c r="E1290" s="66" t="inlineStr">
        <is>
          <t>TikTok</t>
        </is>
      </c>
      <c r="F1290" s="66" t="inlineStr">
        <is>
          <t>LEP_ZA_AUG26_TT_TD_PANTERA_CONV</t>
        </is>
      </c>
      <c r="G1290" s="66" t="inlineStr">
        <is>
          <t>Website Conversions</t>
        </is>
      </c>
      <c r="H1290" s="66" t="inlineStr">
        <is>
          <t>PANTERA</t>
        </is>
      </c>
      <c r="I1290" s="66" t="inlineStr">
        <is>
          <t>0% Deposit</t>
        </is>
      </c>
      <c r="J1290" s="66" t="inlineStr">
        <is>
          <t>TT_PANTERA_INT_LUX_ZA</t>
        </is>
      </c>
      <c r="K1290" s="66" t="inlineStr">
        <is>
          <t>Interest</t>
        </is>
      </c>
      <c r="L1290" s="66" t="inlineStr">
        <is>
          <t>TT_PANTERA_TREND_10s_Spec_v1</t>
        </is>
      </c>
      <c r="M1290" s="66" t="inlineStr">
        <is>
          <t>Video 9:16</t>
        </is>
      </c>
      <c r="N1290" s="66" t="inlineStr">
        <is>
          <t>Spec check. Guess the price.</t>
        </is>
      </c>
      <c r="O1290" s="66" t="inlineStr">
        <is>
          <t>Auction - Cost Cap</t>
        </is>
      </c>
      <c r="P1290" s="66" t="inlineStr">
        <is>
          <t>Complete Payment / Lead</t>
        </is>
      </c>
      <c r="Q1290" s="66" t="inlineStr">
        <is>
          <t>https://www.lepas-sa.co.za/offers/pantera</t>
        </is>
      </c>
      <c r="R1290" s="121" t="n">
        <v>150.79</v>
      </c>
      <c r="S1290" s="122" t="n">
        <v>3528</v>
      </c>
      <c r="T1290" s="122" t="n">
        <v>1787</v>
      </c>
      <c r="U1290" s="123">
        <f>IFERROR(S1290/T1290,"")</f>
        <v/>
      </c>
      <c r="V1290" s="122" t="n">
        <v>30</v>
      </c>
      <c r="W1290" s="122" t="n">
        <v>23</v>
      </c>
      <c r="X1290" s="124">
        <f>IFERROR(W1290/S1290,"")</f>
        <v/>
      </c>
      <c r="Y1290" s="121">
        <f>IFERROR(R1290/W1290,"")</f>
        <v/>
      </c>
      <c r="Z1290" s="121">
        <f>IFERROR(R1290/S1290*1000,"")</f>
        <v/>
      </c>
      <c r="AA1290" s="122" t="n">
        <v>15</v>
      </c>
      <c r="AB1290" s="54">
        <f>IFERROR(AA1290/W1290,"")</f>
        <v/>
      </c>
      <c r="AC1290" s="122" t="n">
        <v>1444</v>
      </c>
      <c r="AD1290" s="122" t="n">
        <v>666</v>
      </c>
      <c r="AE1290" s="122" t="n">
        <v>715</v>
      </c>
      <c r="AF1290" s="122" t="n">
        <v>375</v>
      </c>
      <c r="AG1290" s="122" t="n">
        <v>298</v>
      </c>
      <c r="AH1290" s="122" t="n">
        <v>219</v>
      </c>
      <c r="AI1290" s="54">
        <f>IFERROR(AC1290/S1290,"")</f>
        <v/>
      </c>
      <c r="AJ1290" s="54">
        <f>IFERROR(AH1290/S1290,"")</f>
        <v/>
      </c>
      <c r="AK1290" s="122" t="n">
        <v>129</v>
      </c>
      <c r="AL1290" s="122" t="n">
        <v>0</v>
      </c>
      <c r="AM1290" s="124">
        <f>IFERROR(AL1290/AA1290,"")</f>
        <v/>
      </c>
      <c r="AN1290" s="125">
        <f>IFERROR(R1290/AL1290,"")</f>
        <v/>
      </c>
      <c r="AO1290" s="122" t="n">
        <v>0</v>
      </c>
      <c r="AP1290" s="54">
        <f>IFERROR(AO1290/AL1290,"")</f>
        <v/>
      </c>
      <c r="AQ1290" s="125">
        <f>IFERROR(R1290/AO1290,"")</f>
        <v/>
      </c>
      <c r="AR1290" s="122" t="n">
        <v>0</v>
      </c>
      <c r="AS1290" s="122" t="n">
        <v>0</v>
      </c>
      <c r="AT1290" s="122">
        <f>AL1290+AR1290</f>
        <v/>
      </c>
      <c r="AU1290" s="125">
        <f>IFERROR(AO1290*Assumptions!$C$26*Assumptions!$C$27*INDEX(Assumptions!$C$18:$C$21,MATCH(H1290,Assumptions!$B$18:$B$21,0)),0)</f>
        <v/>
      </c>
    </row>
    <row r="1291">
      <c r="A1291" s="120" t="n">
        <v>46265</v>
      </c>
      <c r="B1291" s="66" t="inlineStr">
        <is>
          <t>Wk 36</t>
        </is>
      </c>
      <c r="C1291" s="66" t="inlineStr">
        <is>
          <t>Mon</t>
        </is>
      </c>
      <c r="D1291" s="66" t="inlineStr">
        <is>
          <t>TikTok</t>
        </is>
      </c>
      <c r="E1291" s="66" t="inlineStr">
        <is>
          <t>TikTok</t>
        </is>
      </c>
      <c r="F1291" s="66" t="inlineStr">
        <is>
          <t>LEP_ZA_AUG26_TT_TD_PANTERA_CONV</t>
        </is>
      </c>
      <c r="G1291" s="66" t="inlineStr">
        <is>
          <t>Website Conversions</t>
        </is>
      </c>
      <c r="H1291" s="66" t="inlineStr">
        <is>
          <t>PANTERA</t>
        </is>
      </c>
      <c r="I1291" s="66" t="inlineStr">
        <is>
          <t>0% Deposit</t>
        </is>
      </c>
      <c r="J1291" s="66" t="inlineStr">
        <is>
          <t>TT_PANTERA_INT_LUX_ZA</t>
        </is>
      </c>
      <c r="K1291" s="66" t="inlineStr">
        <is>
          <t>Interest</t>
        </is>
      </c>
      <c r="L1291" s="66" t="inlineStr">
        <is>
          <t>TT_PANTERA_TREND_10s_Spec_v1</t>
        </is>
      </c>
      <c r="M1291" s="66" t="inlineStr">
        <is>
          <t>Video 9:16</t>
        </is>
      </c>
      <c r="N1291" s="66" t="inlineStr">
        <is>
          <t>Spec check. Guess the price.</t>
        </is>
      </c>
      <c r="O1291" s="66" t="inlineStr">
        <is>
          <t>Auction - Cost Cap</t>
        </is>
      </c>
      <c r="P1291" s="66" t="inlineStr">
        <is>
          <t>Complete Payment / Lead</t>
        </is>
      </c>
      <c r="Q1291" s="66" t="inlineStr">
        <is>
          <t>https://www.lepas-sa.co.za/offers/pantera</t>
        </is>
      </c>
      <c r="R1291" s="121" t="n">
        <v>160.03</v>
      </c>
      <c r="S1291" s="122" t="n">
        <v>4621</v>
      </c>
      <c r="T1291" s="122" t="n">
        <v>2661</v>
      </c>
      <c r="U1291" s="123">
        <f>IFERROR(S1291/T1291,"")</f>
        <v/>
      </c>
      <c r="V1291" s="122" t="n">
        <v>48</v>
      </c>
      <c r="W1291" s="122" t="n">
        <v>35</v>
      </c>
      <c r="X1291" s="124">
        <f>IFERROR(W1291/S1291,"")</f>
        <v/>
      </c>
      <c r="Y1291" s="121">
        <f>IFERROR(R1291/W1291,"")</f>
        <v/>
      </c>
      <c r="Z1291" s="121">
        <f>IFERROR(R1291/S1291*1000,"")</f>
        <v/>
      </c>
      <c r="AA1291" s="122" t="n">
        <v>25</v>
      </c>
      <c r="AB1291" s="54">
        <f>IFERROR(AA1291/W1291,"")</f>
        <v/>
      </c>
      <c r="AC1291" s="122" t="n">
        <v>1853</v>
      </c>
      <c r="AD1291" s="122" t="n">
        <v>992</v>
      </c>
      <c r="AE1291" s="122" t="n">
        <v>732</v>
      </c>
      <c r="AF1291" s="122" t="n">
        <v>398</v>
      </c>
      <c r="AG1291" s="122" t="n">
        <v>280</v>
      </c>
      <c r="AH1291" s="122" t="n">
        <v>200</v>
      </c>
      <c r="AI1291" s="54">
        <f>IFERROR(AC1291/S1291,"")</f>
        <v/>
      </c>
      <c r="AJ1291" s="54">
        <f>IFERROR(AH1291/S1291,"")</f>
        <v/>
      </c>
      <c r="AK1291" s="122" t="n">
        <v>227</v>
      </c>
      <c r="AL1291" s="122" t="n">
        <v>1</v>
      </c>
      <c r="AM1291" s="124">
        <f>IFERROR(AL1291/AA1291,"")</f>
        <v/>
      </c>
      <c r="AN1291" s="125">
        <f>IFERROR(R1291/AL1291,"")</f>
        <v/>
      </c>
      <c r="AO1291" s="122" t="n">
        <v>1</v>
      </c>
      <c r="AP1291" s="54">
        <f>IFERROR(AO1291/AL1291,"")</f>
        <v/>
      </c>
      <c r="AQ1291" s="125">
        <f>IFERROR(R1291/AO1291,"")</f>
        <v/>
      </c>
      <c r="AR1291" s="122" t="n">
        <v>0</v>
      </c>
      <c r="AS1291" s="122" t="n">
        <v>1</v>
      </c>
      <c r="AT1291" s="122">
        <f>AL1291+AR1291</f>
        <v/>
      </c>
      <c r="AU1291" s="125">
        <f>IFERROR(AO1291*Assumptions!$C$26*Assumptions!$C$27*INDEX(Assumptions!$C$18:$C$21,MATCH(H1291,Assumptions!$B$18:$B$21,0)),0)</f>
        <v/>
      </c>
    </row>
    <row r="1292">
      <c r="A1292" s="120" t="n">
        <v>46235</v>
      </c>
      <c r="B1292" s="66" t="inlineStr">
        <is>
          <t>Wk 31</t>
        </is>
      </c>
      <c r="C1292" s="66" t="inlineStr">
        <is>
          <t>Sat</t>
        </is>
      </c>
      <c r="D1292" s="66" t="inlineStr">
        <is>
          <t>TikTok</t>
        </is>
      </c>
      <c r="E1292" s="66" t="inlineStr">
        <is>
          <t>TikTok</t>
        </is>
      </c>
      <c r="F1292" s="66" t="inlineStr">
        <is>
          <t>LEP_ZA_AUG26_TT_TD_PANTERA_CONV</t>
        </is>
      </c>
      <c r="G1292" s="66" t="inlineStr">
        <is>
          <t>Website Conversions</t>
        </is>
      </c>
      <c r="H1292" s="66" t="inlineStr">
        <is>
          <t>PANTERA</t>
        </is>
      </c>
      <c r="I1292" s="66" t="inlineStr">
        <is>
          <t>0% Deposit</t>
        </is>
      </c>
      <c r="J1292" s="66" t="inlineStr">
        <is>
          <t>TT_PANTERA_INT_LUX_ZA</t>
        </is>
      </c>
      <c r="K1292" s="66" t="inlineStr">
        <is>
          <t>Interest</t>
        </is>
      </c>
      <c r="L1292" s="66" t="inlineStr">
        <is>
          <t>TT_PANTERA_UGC_18s_NightRun_v1</t>
        </is>
      </c>
      <c r="M1292" s="66" t="inlineStr">
        <is>
          <t>Video 9:16</t>
        </is>
      </c>
      <c r="N1292" s="66" t="inlineStr">
        <is>
          <t>Night run in the PANTERA</t>
        </is>
      </c>
      <c r="O1292" s="66" t="inlineStr">
        <is>
          <t>Auction - Cost Cap</t>
        </is>
      </c>
      <c r="P1292" s="66" t="inlineStr">
        <is>
          <t>Complete Payment / Lead</t>
        </is>
      </c>
      <c r="Q1292" s="66" t="inlineStr">
        <is>
          <t>https://www.lepas-sa.co.za/offers/pantera</t>
        </is>
      </c>
      <c r="R1292" s="121" t="n">
        <v>104.52</v>
      </c>
      <c r="S1292" s="122" t="n">
        <v>2753</v>
      </c>
      <c r="T1292" s="122" t="n">
        <v>1989</v>
      </c>
      <c r="U1292" s="123">
        <f>IFERROR(S1292/T1292,"")</f>
        <v/>
      </c>
      <c r="V1292" s="122" t="n">
        <v>57</v>
      </c>
      <c r="W1292" s="122" t="n">
        <v>42</v>
      </c>
      <c r="X1292" s="124">
        <f>IFERROR(W1292/S1292,"")</f>
        <v/>
      </c>
      <c r="Y1292" s="121">
        <f>IFERROR(R1292/W1292,"")</f>
        <v/>
      </c>
      <c r="Z1292" s="121">
        <f>IFERROR(R1292/S1292*1000,"")</f>
        <v/>
      </c>
      <c r="AA1292" s="122" t="n">
        <v>27</v>
      </c>
      <c r="AB1292" s="54">
        <f>IFERROR(AA1292/W1292,"")</f>
        <v/>
      </c>
      <c r="AC1292" s="122" t="n">
        <v>1086</v>
      </c>
      <c r="AD1292" s="122" t="n">
        <v>596</v>
      </c>
      <c r="AE1292" s="122" t="n">
        <v>458</v>
      </c>
      <c r="AF1292" s="122" t="n">
        <v>310</v>
      </c>
      <c r="AG1292" s="122" t="n">
        <v>202</v>
      </c>
      <c r="AH1292" s="122" t="n">
        <v>133</v>
      </c>
      <c r="AI1292" s="54">
        <f>IFERROR(AC1292/S1292,"")</f>
        <v/>
      </c>
      <c r="AJ1292" s="54">
        <f>IFERROR(AH1292/S1292,"")</f>
        <v/>
      </c>
      <c r="AK1292" s="122" t="n">
        <v>145</v>
      </c>
      <c r="AL1292" s="122" t="n">
        <v>1</v>
      </c>
      <c r="AM1292" s="124">
        <f>IFERROR(AL1292/AA1292,"")</f>
        <v/>
      </c>
      <c r="AN1292" s="125">
        <f>IFERROR(R1292/AL1292,"")</f>
        <v/>
      </c>
      <c r="AO1292" s="122" t="n">
        <v>1</v>
      </c>
      <c r="AP1292" s="54">
        <f>IFERROR(AO1292/AL1292,"")</f>
        <v/>
      </c>
      <c r="AQ1292" s="125">
        <f>IFERROR(R1292/AO1292,"")</f>
        <v/>
      </c>
      <c r="AR1292" s="122" t="n">
        <v>0</v>
      </c>
      <c r="AS1292" s="122" t="n">
        <v>0</v>
      </c>
      <c r="AT1292" s="122">
        <f>AL1292+AR1292</f>
        <v/>
      </c>
      <c r="AU1292" s="125">
        <f>IFERROR(AO1292*Assumptions!$C$26*Assumptions!$C$27*INDEX(Assumptions!$C$18:$C$21,MATCH(H1292,Assumptions!$B$18:$B$21,0)),0)</f>
        <v/>
      </c>
    </row>
    <row r="1293">
      <c r="A1293" s="120" t="n">
        <v>46236</v>
      </c>
      <c r="B1293" s="66" t="inlineStr">
        <is>
          <t>Wk 31</t>
        </is>
      </c>
      <c r="C1293" s="66" t="inlineStr">
        <is>
          <t>Sun</t>
        </is>
      </c>
      <c r="D1293" s="66" t="inlineStr">
        <is>
          <t>TikTok</t>
        </is>
      </c>
      <c r="E1293" s="66" t="inlineStr">
        <is>
          <t>TikTok</t>
        </is>
      </c>
      <c r="F1293" s="66" t="inlineStr">
        <is>
          <t>LEP_ZA_AUG26_TT_TD_PANTERA_CONV</t>
        </is>
      </c>
      <c r="G1293" s="66" t="inlineStr">
        <is>
          <t>Website Conversions</t>
        </is>
      </c>
      <c r="H1293" s="66" t="inlineStr">
        <is>
          <t>PANTERA</t>
        </is>
      </c>
      <c r="I1293" s="66" t="inlineStr">
        <is>
          <t>0% Deposit</t>
        </is>
      </c>
      <c r="J1293" s="66" t="inlineStr">
        <is>
          <t>TT_PANTERA_INT_LUX_ZA</t>
        </is>
      </c>
      <c r="K1293" s="66" t="inlineStr">
        <is>
          <t>Interest</t>
        </is>
      </c>
      <c r="L1293" s="66" t="inlineStr">
        <is>
          <t>TT_PANTERA_UGC_18s_NightRun_v1</t>
        </is>
      </c>
      <c r="M1293" s="66" t="inlineStr">
        <is>
          <t>Video 9:16</t>
        </is>
      </c>
      <c r="N1293" s="66" t="inlineStr">
        <is>
          <t>Night run in the PANTERA</t>
        </is>
      </c>
      <c r="O1293" s="66" t="inlineStr">
        <is>
          <t>Auction - Cost Cap</t>
        </is>
      </c>
      <c r="P1293" s="66" t="inlineStr">
        <is>
          <t>Complete Payment / Lead</t>
        </is>
      </c>
      <c r="Q1293" s="66" t="inlineStr">
        <is>
          <t>https://www.lepas-sa.co.za/offers/pantera</t>
        </is>
      </c>
      <c r="R1293" s="121" t="n">
        <v>93.28</v>
      </c>
      <c r="S1293" s="122" t="n">
        <v>2122</v>
      </c>
      <c r="T1293" s="122" t="n">
        <v>1452</v>
      </c>
      <c r="U1293" s="123">
        <f>IFERROR(S1293/T1293,"")</f>
        <v/>
      </c>
      <c r="V1293" s="122" t="n">
        <v>29</v>
      </c>
      <c r="W1293" s="122" t="n">
        <v>20</v>
      </c>
      <c r="X1293" s="124">
        <f>IFERROR(W1293/S1293,"")</f>
        <v/>
      </c>
      <c r="Y1293" s="121">
        <f>IFERROR(R1293/W1293,"")</f>
        <v/>
      </c>
      <c r="Z1293" s="121">
        <f>IFERROR(R1293/S1293*1000,"")</f>
        <v/>
      </c>
      <c r="AA1293" s="122" t="n">
        <v>13</v>
      </c>
      <c r="AB1293" s="54">
        <f>IFERROR(AA1293/W1293,"")</f>
        <v/>
      </c>
      <c r="AC1293" s="122" t="n">
        <v>756</v>
      </c>
      <c r="AD1293" s="122" t="n">
        <v>404</v>
      </c>
      <c r="AE1293" s="122" t="n">
        <v>304</v>
      </c>
      <c r="AF1293" s="122" t="n">
        <v>168</v>
      </c>
      <c r="AG1293" s="122" t="n">
        <v>123</v>
      </c>
      <c r="AH1293" s="122" t="n">
        <v>68</v>
      </c>
      <c r="AI1293" s="54">
        <f>IFERROR(AC1293/S1293,"")</f>
        <v/>
      </c>
      <c r="AJ1293" s="54">
        <f>IFERROR(AH1293/S1293,"")</f>
        <v/>
      </c>
      <c r="AK1293" s="122" t="n">
        <v>47</v>
      </c>
      <c r="AL1293" s="122" t="n">
        <v>1</v>
      </c>
      <c r="AM1293" s="124">
        <f>IFERROR(AL1293/AA1293,"")</f>
        <v/>
      </c>
      <c r="AN1293" s="125">
        <f>IFERROR(R1293/AL1293,"")</f>
        <v/>
      </c>
      <c r="AO1293" s="122" t="n">
        <v>0</v>
      </c>
      <c r="AP1293" s="54">
        <f>IFERROR(AO1293/AL1293,"")</f>
        <v/>
      </c>
      <c r="AQ1293" s="125">
        <f>IFERROR(R1293/AO1293,"")</f>
        <v/>
      </c>
      <c r="AR1293" s="122" t="n">
        <v>1</v>
      </c>
      <c r="AS1293" s="122" t="n">
        <v>0</v>
      </c>
      <c r="AT1293" s="122">
        <f>AL1293+AR1293</f>
        <v/>
      </c>
      <c r="AU1293" s="125">
        <f>IFERROR(AO1293*Assumptions!$C$26*Assumptions!$C$27*INDEX(Assumptions!$C$18:$C$21,MATCH(H1293,Assumptions!$B$18:$B$21,0)),0)</f>
        <v/>
      </c>
    </row>
    <row r="1294">
      <c r="A1294" s="120" t="n">
        <v>46237</v>
      </c>
      <c r="B1294" s="66" t="inlineStr">
        <is>
          <t>Wk 32</t>
        </is>
      </c>
      <c r="C1294" s="66" t="inlineStr">
        <is>
          <t>Mon</t>
        </is>
      </c>
      <c r="D1294" s="66" t="inlineStr">
        <is>
          <t>TikTok</t>
        </is>
      </c>
      <c r="E1294" s="66" t="inlineStr">
        <is>
          <t>TikTok</t>
        </is>
      </c>
      <c r="F1294" s="66" t="inlineStr">
        <is>
          <t>LEP_ZA_AUG26_TT_TD_PANTERA_CONV</t>
        </is>
      </c>
      <c r="G1294" s="66" t="inlineStr">
        <is>
          <t>Website Conversions</t>
        </is>
      </c>
      <c r="H1294" s="66" t="inlineStr">
        <is>
          <t>PANTERA</t>
        </is>
      </c>
      <c r="I1294" s="66" t="inlineStr">
        <is>
          <t>0% Deposit</t>
        </is>
      </c>
      <c r="J1294" s="66" t="inlineStr">
        <is>
          <t>TT_PANTERA_INT_LUX_ZA</t>
        </is>
      </c>
      <c r="K1294" s="66" t="inlineStr">
        <is>
          <t>Interest</t>
        </is>
      </c>
      <c r="L1294" s="66" t="inlineStr">
        <is>
          <t>TT_PANTERA_UGC_18s_NightRun_v1</t>
        </is>
      </c>
      <c r="M1294" s="66" t="inlineStr">
        <is>
          <t>Video 9:16</t>
        </is>
      </c>
      <c r="N1294" s="66" t="inlineStr">
        <is>
          <t>Night run in the PANTERA</t>
        </is>
      </c>
      <c r="O1294" s="66" t="inlineStr">
        <is>
          <t>Auction - Cost Cap</t>
        </is>
      </c>
      <c r="P1294" s="66" t="inlineStr">
        <is>
          <t>Complete Payment / Lead</t>
        </is>
      </c>
      <c r="Q1294" s="66" t="inlineStr">
        <is>
          <t>https://www.lepas-sa.co.za/offers/pantera</t>
        </is>
      </c>
      <c r="R1294" s="121" t="n">
        <v>88.01000000000001</v>
      </c>
      <c r="S1294" s="122" t="n">
        <v>2250</v>
      </c>
      <c r="T1294" s="122" t="n">
        <v>1299</v>
      </c>
      <c r="U1294" s="123">
        <f>IFERROR(S1294/T1294,"")</f>
        <v/>
      </c>
      <c r="V1294" s="122" t="n">
        <v>41</v>
      </c>
      <c r="W1294" s="122" t="n">
        <v>33</v>
      </c>
      <c r="X1294" s="124">
        <f>IFERROR(W1294/S1294,"")</f>
        <v/>
      </c>
      <c r="Y1294" s="121">
        <f>IFERROR(R1294/W1294,"")</f>
        <v/>
      </c>
      <c r="Z1294" s="121">
        <f>IFERROR(R1294/S1294*1000,"")</f>
        <v/>
      </c>
      <c r="AA1294" s="122" t="n">
        <v>21</v>
      </c>
      <c r="AB1294" s="54">
        <f>IFERROR(AA1294/W1294,"")</f>
        <v/>
      </c>
      <c r="AC1294" s="122" t="n">
        <v>502</v>
      </c>
      <c r="AD1294" s="122" t="n">
        <v>266</v>
      </c>
      <c r="AE1294" s="122" t="n">
        <v>183</v>
      </c>
      <c r="AF1294" s="122" t="n">
        <v>116</v>
      </c>
      <c r="AG1294" s="122" t="n">
        <v>85</v>
      </c>
      <c r="AH1294" s="122" t="n">
        <v>53</v>
      </c>
      <c r="AI1294" s="54">
        <f>IFERROR(AC1294/S1294,"")</f>
        <v/>
      </c>
      <c r="AJ1294" s="54">
        <f>IFERROR(AH1294/S1294,"")</f>
        <v/>
      </c>
      <c r="AK1294" s="122" t="n">
        <v>81</v>
      </c>
      <c r="AL1294" s="122" t="n">
        <v>0</v>
      </c>
      <c r="AM1294" s="124">
        <f>IFERROR(AL1294/AA1294,"")</f>
        <v/>
      </c>
      <c r="AN1294" s="125">
        <f>IFERROR(R1294/AL1294,"")</f>
        <v/>
      </c>
      <c r="AO1294" s="122" t="n">
        <v>0</v>
      </c>
      <c r="AP1294" s="54">
        <f>IFERROR(AO1294/AL1294,"")</f>
        <v/>
      </c>
      <c r="AQ1294" s="125">
        <f>IFERROR(R1294/AO1294,"")</f>
        <v/>
      </c>
      <c r="AR1294" s="122" t="n">
        <v>0</v>
      </c>
      <c r="AS1294" s="122" t="n">
        <v>0</v>
      </c>
      <c r="AT1294" s="122">
        <f>AL1294+AR1294</f>
        <v/>
      </c>
      <c r="AU1294" s="125">
        <f>IFERROR(AO1294*Assumptions!$C$26*Assumptions!$C$27*INDEX(Assumptions!$C$18:$C$21,MATCH(H1294,Assumptions!$B$18:$B$21,0)),0)</f>
        <v/>
      </c>
    </row>
    <row r="1295">
      <c r="A1295" s="120" t="n">
        <v>46238</v>
      </c>
      <c r="B1295" s="66" t="inlineStr">
        <is>
          <t>Wk 32</t>
        </is>
      </c>
      <c r="C1295" s="66" t="inlineStr">
        <is>
          <t>Tue</t>
        </is>
      </c>
      <c r="D1295" s="66" t="inlineStr">
        <is>
          <t>TikTok</t>
        </is>
      </c>
      <c r="E1295" s="66" t="inlineStr">
        <is>
          <t>TikTok</t>
        </is>
      </c>
      <c r="F1295" s="66" t="inlineStr">
        <is>
          <t>LEP_ZA_AUG26_TT_TD_PANTERA_CONV</t>
        </is>
      </c>
      <c r="G1295" s="66" t="inlineStr">
        <is>
          <t>Website Conversions</t>
        </is>
      </c>
      <c r="H1295" s="66" t="inlineStr">
        <is>
          <t>PANTERA</t>
        </is>
      </c>
      <c r="I1295" s="66" t="inlineStr">
        <is>
          <t>0% Deposit</t>
        </is>
      </c>
      <c r="J1295" s="66" t="inlineStr">
        <is>
          <t>TT_PANTERA_INT_LUX_ZA</t>
        </is>
      </c>
      <c r="K1295" s="66" t="inlineStr">
        <is>
          <t>Interest</t>
        </is>
      </c>
      <c r="L1295" s="66" t="inlineStr">
        <is>
          <t>TT_PANTERA_UGC_18s_NightRun_v1</t>
        </is>
      </c>
      <c r="M1295" s="66" t="inlineStr">
        <is>
          <t>Video 9:16</t>
        </is>
      </c>
      <c r="N1295" s="66" t="inlineStr">
        <is>
          <t>Night run in the PANTERA</t>
        </is>
      </c>
      <c r="O1295" s="66" t="inlineStr">
        <is>
          <t>Auction - Cost Cap</t>
        </is>
      </c>
      <c r="P1295" s="66" t="inlineStr">
        <is>
          <t>Complete Payment / Lead</t>
        </is>
      </c>
      <c r="Q1295" s="66" t="inlineStr">
        <is>
          <t>https://www.lepas-sa.co.za/offers/pantera</t>
        </is>
      </c>
      <c r="R1295" s="121" t="n">
        <v>99.09999999999999</v>
      </c>
      <c r="S1295" s="122" t="n">
        <v>3252</v>
      </c>
      <c r="T1295" s="122" t="n">
        <v>1935</v>
      </c>
      <c r="U1295" s="123">
        <f>IFERROR(S1295/T1295,"")</f>
        <v/>
      </c>
      <c r="V1295" s="122" t="n">
        <v>45</v>
      </c>
      <c r="W1295" s="122" t="n">
        <v>33</v>
      </c>
      <c r="X1295" s="124">
        <f>IFERROR(W1295/S1295,"")</f>
        <v/>
      </c>
      <c r="Y1295" s="121">
        <f>IFERROR(R1295/W1295,"")</f>
        <v/>
      </c>
      <c r="Z1295" s="121">
        <f>IFERROR(R1295/S1295*1000,"")</f>
        <v/>
      </c>
      <c r="AA1295" s="122" t="n">
        <v>24</v>
      </c>
      <c r="AB1295" s="54">
        <f>IFERROR(AA1295/W1295,"")</f>
        <v/>
      </c>
      <c r="AC1295" s="122" t="n">
        <v>1320</v>
      </c>
      <c r="AD1295" s="122" t="n">
        <v>719</v>
      </c>
      <c r="AE1295" s="122" t="n">
        <v>580</v>
      </c>
      <c r="AF1295" s="122" t="n">
        <v>362</v>
      </c>
      <c r="AG1295" s="122" t="n">
        <v>266</v>
      </c>
      <c r="AH1295" s="122" t="n">
        <v>162</v>
      </c>
      <c r="AI1295" s="54">
        <f>IFERROR(AC1295/S1295,"")</f>
        <v/>
      </c>
      <c r="AJ1295" s="54">
        <f>IFERROR(AH1295/S1295,"")</f>
        <v/>
      </c>
      <c r="AK1295" s="122" t="n">
        <v>160</v>
      </c>
      <c r="AL1295" s="122" t="n">
        <v>1</v>
      </c>
      <c r="AM1295" s="124">
        <f>IFERROR(AL1295/AA1295,"")</f>
        <v/>
      </c>
      <c r="AN1295" s="125">
        <f>IFERROR(R1295/AL1295,"")</f>
        <v/>
      </c>
      <c r="AO1295" s="122" t="n">
        <v>0</v>
      </c>
      <c r="AP1295" s="54">
        <f>IFERROR(AO1295/AL1295,"")</f>
        <v/>
      </c>
      <c r="AQ1295" s="125">
        <f>IFERROR(R1295/AO1295,"")</f>
        <v/>
      </c>
      <c r="AR1295" s="122" t="n">
        <v>0</v>
      </c>
      <c r="AS1295" s="122" t="n">
        <v>1</v>
      </c>
      <c r="AT1295" s="122">
        <f>AL1295+AR1295</f>
        <v/>
      </c>
      <c r="AU1295" s="125">
        <f>IFERROR(AO1295*Assumptions!$C$26*Assumptions!$C$27*INDEX(Assumptions!$C$18:$C$21,MATCH(H1295,Assumptions!$B$18:$B$21,0)),0)</f>
        <v/>
      </c>
    </row>
    <row r="1296">
      <c r="A1296" s="120" t="n">
        <v>46239</v>
      </c>
      <c r="B1296" s="66" t="inlineStr">
        <is>
          <t>Wk 32</t>
        </is>
      </c>
      <c r="C1296" s="66" t="inlineStr">
        <is>
          <t>Wed</t>
        </is>
      </c>
      <c r="D1296" s="66" t="inlineStr">
        <is>
          <t>TikTok</t>
        </is>
      </c>
      <c r="E1296" s="66" t="inlineStr">
        <is>
          <t>TikTok</t>
        </is>
      </c>
      <c r="F1296" s="66" t="inlineStr">
        <is>
          <t>LEP_ZA_AUG26_TT_TD_PANTERA_CONV</t>
        </is>
      </c>
      <c r="G1296" s="66" t="inlineStr">
        <is>
          <t>Website Conversions</t>
        </is>
      </c>
      <c r="H1296" s="66" t="inlineStr">
        <is>
          <t>PANTERA</t>
        </is>
      </c>
      <c r="I1296" s="66" t="inlineStr">
        <is>
          <t>0% Deposit</t>
        </is>
      </c>
      <c r="J1296" s="66" t="inlineStr">
        <is>
          <t>TT_PANTERA_INT_LUX_ZA</t>
        </is>
      </c>
      <c r="K1296" s="66" t="inlineStr">
        <is>
          <t>Interest</t>
        </is>
      </c>
      <c r="L1296" s="66" t="inlineStr">
        <is>
          <t>TT_PANTERA_UGC_18s_NightRun_v1</t>
        </is>
      </c>
      <c r="M1296" s="66" t="inlineStr">
        <is>
          <t>Video 9:16</t>
        </is>
      </c>
      <c r="N1296" s="66" t="inlineStr">
        <is>
          <t>Night run in the PANTERA</t>
        </is>
      </c>
      <c r="O1296" s="66" t="inlineStr">
        <is>
          <t>Auction - Cost Cap</t>
        </is>
      </c>
      <c r="P1296" s="66" t="inlineStr">
        <is>
          <t>Complete Payment / Lead</t>
        </is>
      </c>
      <c r="Q1296" s="66" t="inlineStr">
        <is>
          <t>https://www.lepas-sa.co.za/offers/pantera</t>
        </is>
      </c>
      <c r="R1296" s="121" t="n">
        <v>121.25</v>
      </c>
      <c r="S1296" s="122" t="n">
        <v>3486</v>
      </c>
      <c r="T1296" s="122" t="n">
        <v>1977</v>
      </c>
      <c r="U1296" s="123">
        <f>IFERROR(S1296/T1296,"")</f>
        <v/>
      </c>
      <c r="V1296" s="122" t="n">
        <v>80</v>
      </c>
      <c r="W1296" s="122" t="n">
        <v>56</v>
      </c>
      <c r="X1296" s="124">
        <f>IFERROR(W1296/S1296,"")</f>
        <v/>
      </c>
      <c r="Y1296" s="121">
        <f>IFERROR(R1296/W1296,"")</f>
        <v/>
      </c>
      <c r="Z1296" s="121">
        <f>IFERROR(R1296/S1296*1000,"")</f>
        <v/>
      </c>
      <c r="AA1296" s="122" t="n">
        <v>42</v>
      </c>
      <c r="AB1296" s="54">
        <f>IFERROR(AA1296/W1296,"")</f>
        <v/>
      </c>
      <c r="AC1296" s="122" t="n">
        <v>1323</v>
      </c>
      <c r="AD1296" s="122" t="n">
        <v>602</v>
      </c>
      <c r="AE1296" s="122" t="n">
        <v>585</v>
      </c>
      <c r="AF1296" s="122" t="n">
        <v>400</v>
      </c>
      <c r="AG1296" s="122" t="n">
        <v>300</v>
      </c>
      <c r="AH1296" s="122" t="n">
        <v>200</v>
      </c>
      <c r="AI1296" s="54">
        <f>IFERROR(AC1296/S1296,"")</f>
        <v/>
      </c>
      <c r="AJ1296" s="54">
        <f>IFERROR(AH1296/S1296,"")</f>
        <v/>
      </c>
      <c r="AK1296" s="122" t="n">
        <v>204</v>
      </c>
      <c r="AL1296" s="122" t="n">
        <v>0</v>
      </c>
      <c r="AM1296" s="124">
        <f>IFERROR(AL1296/AA1296,"")</f>
        <v/>
      </c>
      <c r="AN1296" s="125">
        <f>IFERROR(R1296/AL1296,"")</f>
        <v/>
      </c>
      <c r="AO1296" s="122" t="n">
        <v>0</v>
      </c>
      <c r="AP1296" s="54">
        <f>IFERROR(AO1296/AL1296,"")</f>
        <v/>
      </c>
      <c r="AQ1296" s="125">
        <f>IFERROR(R1296/AO1296,"")</f>
        <v/>
      </c>
      <c r="AR1296" s="122" t="n">
        <v>0</v>
      </c>
      <c r="AS1296" s="122" t="n">
        <v>0</v>
      </c>
      <c r="AT1296" s="122">
        <f>AL1296+AR1296</f>
        <v/>
      </c>
      <c r="AU1296" s="125">
        <f>IFERROR(AO1296*Assumptions!$C$26*Assumptions!$C$27*INDEX(Assumptions!$C$18:$C$21,MATCH(H1296,Assumptions!$B$18:$B$21,0)),0)</f>
        <v/>
      </c>
    </row>
    <row r="1297">
      <c r="A1297" s="120" t="n">
        <v>46240</v>
      </c>
      <c r="B1297" s="66" t="inlineStr">
        <is>
          <t>Wk 32</t>
        </is>
      </c>
      <c r="C1297" s="66" t="inlineStr">
        <is>
          <t>Thu</t>
        </is>
      </c>
      <c r="D1297" s="66" t="inlineStr">
        <is>
          <t>TikTok</t>
        </is>
      </c>
      <c r="E1297" s="66" t="inlineStr">
        <is>
          <t>TikTok</t>
        </is>
      </c>
      <c r="F1297" s="66" t="inlineStr">
        <is>
          <t>LEP_ZA_AUG26_TT_TD_PANTERA_CONV</t>
        </is>
      </c>
      <c r="G1297" s="66" t="inlineStr">
        <is>
          <t>Website Conversions</t>
        </is>
      </c>
      <c r="H1297" s="66" t="inlineStr">
        <is>
          <t>PANTERA</t>
        </is>
      </c>
      <c r="I1297" s="66" t="inlineStr">
        <is>
          <t>0% Deposit</t>
        </is>
      </c>
      <c r="J1297" s="66" t="inlineStr">
        <is>
          <t>TT_PANTERA_INT_LUX_ZA</t>
        </is>
      </c>
      <c r="K1297" s="66" t="inlineStr">
        <is>
          <t>Interest</t>
        </is>
      </c>
      <c r="L1297" s="66" t="inlineStr">
        <is>
          <t>TT_PANTERA_UGC_18s_NightRun_v1</t>
        </is>
      </c>
      <c r="M1297" s="66" t="inlineStr">
        <is>
          <t>Video 9:16</t>
        </is>
      </c>
      <c r="N1297" s="66" t="inlineStr">
        <is>
          <t>Night run in the PANTERA</t>
        </is>
      </c>
      <c r="O1297" s="66" t="inlineStr">
        <is>
          <t>Auction - Cost Cap</t>
        </is>
      </c>
      <c r="P1297" s="66" t="inlineStr">
        <is>
          <t>Complete Payment / Lead</t>
        </is>
      </c>
      <c r="Q1297" s="66" t="inlineStr">
        <is>
          <t>https://www.lepas-sa.co.za/offers/pantera</t>
        </is>
      </c>
      <c r="R1297" s="121" t="n">
        <v>114.66</v>
      </c>
      <c r="S1297" s="122" t="n">
        <v>3023</v>
      </c>
      <c r="T1297" s="122" t="n">
        <v>2246</v>
      </c>
      <c r="U1297" s="123">
        <f>IFERROR(S1297/T1297,"")</f>
        <v/>
      </c>
      <c r="V1297" s="122" t="n">
        <v>48</v>
      </c>
      <c r="W1297" s="122" t="n">
        <v>40</v>
      </c>
      <c r="X1297" s="124">
        <f>IFERROR(W1297/S1297,"")</f>
        <v/>
      </c>
      <c r="Y1297" s="121">
        <f>IFERROR(R1297/W1297,"")</f>
        <v/>
      </c>
      <c r="Z1297" s="121">
        <f>IFERROR(R1297/S1297*1000,"")</f>
        <v/>
      </c>
      <c r="AA1297" s="122" t="n">
        <v>28</v>
      </c>
      <c r="AB1297" s="54">
        <f>IFERROR(AA1297/W1297,"")</f>
        <v/>
      </c>
      <c r="AC1297" s="122" t="n">
        <v>990</v>
      </c>
      <c r="AD1297" s="122" t="n">
        <v>602</v>
      </c>
      <c r="AE1297" s="122" t="n">
        <v>510</v>
      </c>
      <c r="AF1297" s="122" t="n">
        <v>271</v>
      </c>
      <c r="AG1297" s="122" t="n">
        <v>212</v>
      </c>
      <c r="AH1297" s="122" t="n">
        <v>122</v>
      </c>
      <c r="AI1297" s="54">
        <f>IFERROR(AC1297/S1297,"")</f>
        <v/>
      </c>
      <c r="AJ1297" s="54">
        <f>IFERROR(AH1297/S1297,"")</f>
        <v/>
      </c>
      <c r="AK1297" s="122" t="n">
        <v>81</v>
      </c>
      <c r="AL1297" s="122" t="n">
        <v>0</v>
      </c>
      <c r="AM1297" s="124">
        <f>IFERROR(AL1297/AA1297,"")</f>
        <v/>
      </c>
      <c r="AN1297" s="125">
        <f>IFERROR(R1297/AL1297,"")</f>
        <v/>
      </c>
      <c r="AO1297" s="122" t="n">
        <v>0</v>
      </c>
      <c r="AP1297" s="54">
        <f>IFERROR(AO1297/AL1297,"")</f>
        <v/>
      </c>
      <c r="AQ1297" s="125">
        <f>IFERROR(R1297/AO1297,"")</f>
        <v/>
      </c>
      <c r="AR1297" s="122" t="n">
        <v>0</v>
      </c>
      <c r="AS1297" s="122" t="n">
        <v>0</v>
      </c>
      <c r="AT1297" s="122">
        <f>AL1297+AR1297</f>
        <v/>
      </c>
      <c r="AU1297" s="125">
        <f>IFERROR(AO1297*Assumptions!$C$26*Assumptions!$C$27*INDEX(Assumptions!$C$18:$C$21,MATCH(H1297,Assumptions!$B$18:$B$21,0)),0)</f>
        <v/>
      </c>
    </row>
    <row r="1298">
      <c r="A1298" s="120" t="n">
        <v>46241</v>
      </c>
      <c r="B1298" s="66" t="inlineStr">
        <is>
          <t>Wk 32</t>
        </is>
      </c>
      <c r="C1298" s="66" t="inlineStr">
        <is>
          <t>Fri</t>
        </is>
      </c>
      <c r="D1298" s="66" t="inlineStr">
        <is>
          <t>TikTok</t>
        </is>
      </c>
      <c r="E1298" s="66" t="inlineStr">
        <is>
          <t>TikTok</t>
        </is>
      </c>
      <c r="F1298" s="66" t="inlineStr">
        <is>
          <t>LEP_ZA_AUG26_TT_TD_PANTERA_CONV</t>
        </is>
      </c>
      <c r="G1298" s="66" t="inlineStr">
        <is>
          <t>Website Conversions</t>
        </is>
      </c>
      <c r="H1298" s="66" t="inlineStr">
        <is>
          <t>PANTERA</t>
        </is>
      </c>
      <c r="I1298" s="66" t="inlineStr">
        <is>
          <t>0% Deposit</t>
        </is>
      </c>
      <c r="J1298" s="66" t="inlineStr">
        <is>
          <t>TT_PANTERA_INT_LUX_ZA</t>
        </is>
      </c>
      <c r="K1298" s="66" t="inlineStr">
        <is>
          <t>Interest</t>
        </is>
      </c>
      <c r="L1298" s="66" t="inlineStr">
        <is>
          <t>TT_PANTERA_UGC_18s_NightRun_v1</t>
        </is>
      </c>
      <c r="M1298" s="66" t="inlineStr">
        <is>
          <t>Video 9:16</t>
        </is>
      </c>
      <c r="N1298" s="66" t="inlineStr">
        <is>
          <t>Night run in the PANTERA</t>
        </is>
      </c>
      <c r="O1298" s="66" t="inlineStr">
        <is>
          <t>Auction - Cost Cap</t>
        </is>
      </c>
      <c r="P1298" s="66" t="inlineStr">
        <is>
          <t>Complete Payment / Lead</t>
        </is>
      </c>
      <c r="Q1298" s="66" t="inlineStr">
        <is>
          <t>https://www.lepas-sa.co.za/offers/pantera</t>
        </is>
      </c>
      <c r="R1298" s="121" t="n">
        <v>125.6</v>
      </c>
      <c r="S1298" s="122" t="n">
        <v>3144</v>
      </c>
      <c r="T1298" s="122" t="n">
        <v>1847</v>
      </c>
      <c r="U1298" s="123">
        <f>IFERROR(S1298/T1298,"")</f>
        <v/>
      </c>
      <c r="V1298" s="122" t="n">
        <v>33</v>
      </c>
      <c r="W1298" s="122" t="n">
        <v>27</v>
      </c>
      <c r="X1298" s="124">
        <f>IFERROR(W1298/S1298,"")</f>
        <v/>
      </c>
      <c r="Y1298" s="121">
        <f>IFERROR(R1298/W1298,"")</f>
        <v/>
      </c>
      <c r="Z1298" s="121">
        <f>IFERROR(R1298/S1298*1000,"")</f>
        <v/>
      </c>
      <c r="AA1298" s="122" t="n">
        <v>17</v>
      </c>
      <c r="AB1298" s="54">
        <f>IFERROR(AA1298/W1298,"")</f>
        <v/>
      </c>
      <c r="AC1298" s="122" t="n">
        <v>1243</v>
      </c>
      <c r="AD1298" s="122" t="n">
        <v>712</v>
      </c>
      <c r="AE1298" s="122" t="n">
        <v>558</v>
      </c>
      <c r="AF1298" s="122" t="n">
        <v>371</v>
      </c>
      <c r="AG1298" s="122" t="n">
        <v>244</v>
      </c>
      <c r="AH1298" s="122" t="n">
        <v>137</v>
      </c>
      <c r="AI1298" s="54">
        <f>IFERROR(AC1298/S1298,"")</f>
        <v/>
      </c>
      <c r="AJ1298" s="54">
        <f>IFERROR(AH1298/S1298,"")</f>
        <v/>
      </c>
      <c r="AK1298" s="122" t="n">
        <v>122</v>
      </c>
      <c r="AL1298" s="122" t="n">
        <v>0</v>
      </c>
      <c r="AM1298" s="124">
        <f>IFERROR(AL1298/AA1298,"")</f>
        <v/>
      </c>
      <c r="AN1298" s="125">
        <f>IFERROR(R1298/AL1298,"")</f>
        <v/>
      </c>
      <c r="AO1298" s="122" t="n">
        <v>0</v>
      </c>
      <c r="AP1298" s="54">
        <f>IFERROR(AO1298/AL1298,"")</f>
        <v/>
      </c>
      <c r="AQ1298" s="125">
        <f>IFERROR(R1298/AO1298,"")</f>
        <v/>
      </c>
      <c r="AR1298" s="122" t="n">
        <v>0</v>
      </c>
      <c r="AS1298" s="122" t="n">
        <v>0</v>
      </c>
      <c r="AT1298" s="122">
        <f>AL1298+AR1298</f>
        <v/>
      </c>
      <c r="AU1298" s="125">
        <f>IFERROR(AO1298*Assumptions!$C$26*Assumptions!$C$27*INDEX(Assumptions!$C$18:$C$21,MATCH(H1298,Assumptions!$B$18:$B$21,0)),0)</f>
        <v/>
      </c>
    </row>
    <row r="1299">
      <c r="A1299" s="120" t="n">
        <v>46242</v>
      </c>
      <c r="B1299" s="66" t="inlineStr">
        <is>
          <t>Wk 32</t>
        </is>
      </c>
      <c r="C1299" s="66" t="inlineStr">
        <is>
          <t>Sat</t>
        </is>
      </c>
      <c r="D1299" s="66" t="inlineStr">
        <is>
          <t>TikTok</t>
        </is>
      </c>
      <c r="E1299" s="66" t="inlineStr">
        <is>
          <t>TikTok</t>
        </is>
      </c>
      <c r="F1299" s="66" t="inlineStr">
        <is>
          <t>LEP_ZA_AUG26_TT_TD_PANTERA_CONV</t>
        </is>
      </c>
      <c r="G1299" s="66" t="inlineStr">
        <is>
          <t>Website Conversions</t>
        </is>
      </c>
      <c r="H1299" s="66" t="inlineStr">
        <is>
          <t>PANTERA</t>
        </is>
      </c>
      <c r="I1299" s="66" t="inlineStr">
        <is>
          <t>0% Deposit</t>
        </is>
      </c>
      <c r="J1299" s="66" t="inlineStr">
        <is>
          <t>TT_PANTERA_INT_LUX_ZA</t>
        </is>
      </c>
      <c r="K1299" s="66" t="inlineStr">
        <is>
          <t>Interest</t>
        </is>
      </c>
      <c r="L1299" s="66" t="inlineStr">
        <is>
          <t>TT_PANTERA_UGC_18s_NightRun_v1</t>
        </is>
      </c>
      <c r="M1299" s="66" t="inlineStr">
        <is>
          <t>Video 9:16</t>
        </is>
      </c>
      <c r="N1299" s="66" t="inlineStr">
        <is>
          <t>Night run in the PANTERA</t>
        </is>
      </c>
      <c r="O1299" s="66" t="inlineStr">
        <is>
          <t>Auction - Cost Cap</t>
        </is>
      </c>
      <c r="P1299" s="66" t="inlineStr">
        <is>
          <t>Complete Payment / Lead</t>
        </is>
      </c>
      <c r="Q1299" s="66" t="inlineStr">
        <is>
          <t>https://www.lepas-sa.co.za/offers/pantera</t>
        </is>
      </c>
      <c r="R1299" s="121" t="n">
        <v>122.75</v>
      </c>
      <c r="S1299" s="122" t="n">
        <v>3338</v>
      </c>
      <c r="T1299" s="122" t="n">
        <v>2443</v>
      </c>
      <c r="U1299" s="123">
        <f>IFERROR(S1299/T1299,"")</f>
        <v/>
      </c>
      <c r="V1299" s="122" t="n">
        <v>49</v>
      </c>
      <c r="W1299" s="122" t="n">
        <v>35</v>
      </c>
      <c r="X1299" s="124">
        <f>IFERROR(W1299/S1299,"")</f>
        <v/>
      </c>
      <c r="Y1299" s="121">
        <f>IFERROR(R1299/W1299,"")</f>
        <v/>
      </c>
      <c r="Z1299" s="121">
        <f>IFERROR(R1299/S1299*1000,"")</f>
        <v/>
      </c>
      <c r="AA1299" s="122" t="n">
        <v>22</v>
      </c>
      <c r="AB1299" s="54">
        <f>IFERROR(AA1299/W1299,"")</f>
        <v/>
      </c>
      <c r="AC1299" s="122" t="n">
        <v>773</v>
      </c>
      <c r="AD1299" s="122" t="n">
        <v>456</v>
      </c>
      <c r="AE1299" s="122" t="n">
        <v>350</v>
      </c>
      <c r="AF1299" s="122" t="n">
        <v>207</v>
      </c>
      <c r="AG1299" s="122" t="n">
        <v>159</v>
      </c>
      <c r="AH1299" s="122" t="n">
        <v>101</v>
      </c>
      <c r="AI1299" s="54">
        <f>IFERROR(AC1299/S1299,"")</f>
        <v/>
      </c>
      <c r="AJ1299" s="54">
        <f>IFERROR(AH1299/S1299,"")</f>
        <v/>
      </c>
      <c r="AK1299" s="122" t="n">
        <v>118</v>
      </c>
      <c r="AL1299" s="122" t="n">
        <v>0</v>
      </c>
      <c r="AM1299" s="124">
        <f>IFERROR(AL1299/AA1299,"")</f>
        <v/>
      </c>
      <c r="AN1299" s="125">
        <f>IFERROR(R1299/AL1299,"")</f>
        <v/>
      </c>
      <c r="AO1299" s="122" t="n">
        <v>0</v>
      </c>
      <c r="AP1299" s="54">
        <f>IFERROR(AO1299/AL1299,"")</f>
        <v/>
      </c>
      <c r="AQ1299" s="125">
        <f>IFERROR(R1299/AO1299,"")</f>
        <v/>
      </c>
      <c r="AR1299" s="122" t="n">
        <v>0</v>
      </c>
      <c r="AS1299" s="122" t="n">
        <v>0</v>
      </c>
      <c r="AT1299" s="122">
        <f>AL1299+AR1299</f>
        <v/>
      </c>
      <c r="AU1299" s="125">
        <f>IFERROR(AO1299*Assumptions!$C$26*Assumptions!$C$27*INDEX(Assumptions!$C$18:$C$21,MATCH(H1299,Assumptions!$B$18:$B$21,0)),0)</f>
        <v/>
      </c>
    </row>
    <row r="1300">
      <c r="A1300" s="120" t="n">
        <v>46243</v>
      </c>
      <c r="B1300" s="66" t="inlineStr">
        <is>
          <t>Wk 32</t>
        </is>
      </c>
      <c r="C1300" s="66" t="inlineStr">
        <is>
          <t>Sun</t>
        </is>
      </c>
      <c r="D1300" s="66" t="inlineStr">
        <is>
          <t>TikTok</t>
        </is>
      </c>
      <c r="E1300" s="66" t="inlineStr">
        <is>
          <t>TikTok</t>
        </is>
      </c>
      <c r="F1300" s="66" t="inlineStr">
        <is>
          <t>LEP_ZA_AUG26_TT_TD_PANTERA_CONV</t>
        </is>
      </c>
      <c r="G1300" s="66" t="inlineStr">
        <is>
          <t>Website Conversions</t>
        </is>
      </c>
      <c r="H1300" s="66" t="inlineStr">
        <is>
          <t>PANTERA</t>
        </is>
      </c>
      <c r="I1300" s="66" t="inlineStr">
        <is>
          <t>0% Deposit</t>
        </is>
      </c>
      <c r="J1300" s="66" t="inlineStr">
        <is>
          <t>TT_PANTERA_INT_LUX_ZA</t>
        </is>
      </c>
      <c r="K1300" s="66" t="inlineStr">
        <is>
          <t>Interest</t>
        </is>
      </c>
      <c r="L1300" s="66" t="inlineStr">
        <is>
          <t>TT_PANTERA_UGC_18s_NightRun_v1</t>
        </is>
      </c>
      <c r="M1300" s="66" t="inlineStr">
        <is>
          <t>Video 9:16</t>
        </is>
      </c>
      <c r="N1300" s="66" t="inlineStr">
        <is>
          <t>Night run in the PANTERA</t>
        </is>
      </c>
      <c r="O1300" s="66" t="inlineStr">
        <is>
          <t>Auction - Cost Cap</t>
        </is>
      </c>
      <c r="P1300" s="66" t="inlineStr">
        <is>
          <t>Complete Payment / Lead</t>
        </is>
      </c>
      <c r="Q1300" s="66" t="inlineStr">
        <is>
          <t>https://www.lepas-sa.co.za/offers/pantera</t>
        </is>
      </c>
      <c r="R1300" s="121" t="n">
        <v>95.59</v>
      </c>
      <c r="S1300" s="122" t="n">
        <v>2242</v>
      </c>
      <c r="T1300" s="122" t="n">
        <v>1398</v>
      </c>
      <c r="U1300" s="123">
        <f>IFERROR(S1300/T1300,"")</f>
        <v/>
      </c>
      <c r="V1300" s="122" t="n">
        <v>30</v>
      </c>
      <c r="W1300" s="122" t="n">
        <v>23</v>
      </c>
      <c r="X1300" s="124">
        <f>IFERROR(W1300/S1300,"")</f>
        <v/>
      </c>
      <c r="Y1300" s="121">
        <f>IFERROR(R1300/W1300,"")</f>
        <v/>
      </c>
      <c r="Z1300" s="121">
        <f>IFERROR(R1300/S1300*1000,"")</f>
        <v/>
      </c>
      <c r="AA1300" s="122" t="n">
        <v>16</v>
      </c>
      <c r="AB1300" s="54">
        <f>IFERROR(AA1300/W1300,"")</f>
        <v/>
      </c>
      <c r="AC1300" s="122" t="n">
        <v>580</v>
      </c>
      <c r="AD1300" s="122" t="n">
        <v>358</v>
      </c>
      <c r="AE1300" s="122" t="n">
        <v>243</v>
      </c>
      <c r="AF1300" s="122" t="n">
        <v>163</v>
      </c>
      <c r="AG1300" s="122" t="n">
        <v>124</v>
      </c>
      <c r="AH1300" s="122" t="n">
        <v>74</v>
      </c>
      <c r="AI1300" s="54">
        <f>IFERROR(AC1300/S1300,"")</f>
        <v/>
      </c>
      <c r="AJ1300" s="54">
        <f>IFERROR(AH1300/S1300,"")</f>
        <v/>
      </c>
      <c r="AK1300" s="122" t="n">
        <v>51</v>
      </c>
      <c r="AL1300" s="122" t="n">
        <v>0</v>
      </c>
      <c r="AM1300" s="124">
        <f>IFERROR(AL1300/AA1300,"")</f>
        <v/>
      </c>
      <c r="AN1300" s="125">
        <f>IFERROR(R1300/AL1300,"")</f>
        <v/>
      </c>
      <c r="AO1300" s="122" t="n">
        <v>0</v>
      </c>
      <c r="AP1300" s="54">
        <f>IFERROR(AO1300/AL1300,"")</f>
        <v/>
      </c>
      <c r="AQ1300" s="125">
        <f>IFERROR(R1300/AO1300,"")</f>
        <v/>
      </c>
      <c r="AR1300" s="122" t="n">
        <v>0</v>
      </c>
      <c r="AS1300" s="122" t="n">
        <v>0</v>
      </c>
      <c r="AT1300" s="122">
        <f>AL1300+AR1300</f>
        <v/>
      </c>
      <c r="AU1300" s="125">
        <f>IFERROR(AO1300*Assumptions!$C$26*Assumptions!$C$27*INDEX(Assumptions!$C$18:$C$21,MATCH(H1300,Assumptions!$B$18:$B$21,0)),0)</f>
        <v/>
      </c>
    </row>
    <row r="1301">
      <c r="A1301" s="120" t="n">
        <v>46244</v>
      </c>
      <c r="B1301" s="66" t="inlineStr">
        <is>
          <t>Wk 33</t>
        </is>
      </c>
      <c r="C1301" s="66" t="inlineStr">
        <is>
          <t>Mon</t>
        </is>
      </c>
      <c r="D1301" s="66" t="inlineStr">
        <is>
          <t>TikTok</t>
        </is>
      </c>
      <c r="E1301" s="66" t="inlineStr">
        <is>
          <t>TikTok</t>
        </is>
      </c>
      <c r="F1301" s="66" t="inlineStr">
        <is>
          <t>LEP_ZA_AUG26_TT_TD_PANTERA_CONV</t>
        </is>
      </c>
      <c r="G1301" s="66" t="inlineStr">
        <is>
          <t>Website Conversions</t>
        </is>
      </c>
      <c r="H1301" s="66" t="inlineStr">
        <is>
          <t>PANTERA</t>
        </is>
      </c>
      <c r="I1301" s="66" t="inlineStr">
        <is>
          <t>0% Deposit</t>
        </is>
      </c>
      <c r="J1301" s="66" t="inlineStr">
        <is>
          <t>TT_PANTERA_INT_LUX_ZA</t>
        </is>
      </c>
      <c r="K1301" s="66" t="inlineStr">
        <is>
          <t>Interest</t>
        </is>
      </c>
      <c r="L1301" s="66" t="inlineStr">
        <is>
          <t>TT_PANTERA_UGC_18s_NightRun_v1</t>
        </is>
      </c>
      <c r="M1301" s="66" t="inlineStr">
        <is>
          <t>Video 9:16</t>
        </is>
      </c>
      <c r="N1301" s="66" t="inlineStr">
        <is>
          <t>Night run in the PANTERA</t>
        </is>
      </c>
      <c r="O1301" s="66" t="inlineStr">
        <is>
          <t>Auction - Cost Cap</t>
        </is>
      </c>
      <c r="P1301" s="66" t="inlineStr">
        <is>
          <t>Complete Payment / Lead</t>
        </is>
      </c>
      <c r="Q1301" s="66" t="inlineStr">
        <is>
          <t>https://www.lepas-sa.co.za/offers/pantera</t>
        </is>
      </c>
      <c r="R1301" s="121" t="n">
        <v>121.21</v>
      </c>
      <c r="S1301" s="122" t="n">
        <v>2767</v>
      </c>
      <c r="T1301" s="122" t="n">
        <v>1758</v>
      </c>
      <c r="U1301" s="123">
        <f>IFERROR(S1301/T1301,"")</f>
        <v/>
      </c>
      <c r="V1301" s="122" t="n">
        <v>28</v>
      </c>
      <c r="W1301" s="122" t="n">
        <v>21</v>
      </c>
      <c r="X1301" s="124">
        <f>IFERROR(W1301/S1301,"")</f>
        <v/>
      </c>
      <c r="Y1301" s="121">
        <f>IFERROR(R1301/W1301,"")</f>
        <v/>
      </c>
      <c r="Z1301" s="121">
        <f>IFERROR(R1301/S1301*1000,"")</f>
        <v/>
      </c>
      <c r="AA1301" s="122" t="n">
        <v>15</v>
      </c>
      <c r="AB1301" s="54">
        <f>IFERROR(AA1301/W1301,"")</f>
        <v/>
      </c>
      <c r="AC1301" s="122" t="n">
        <v>770</v>
      </c>
      <c r="AD1301" s="122" t="n">
        <v>468</v>
      </c>
      <c r="AE1301" s="122" t="n">
        <v>291</v>
      </c>
      <c r="AF1301" s="122" t="n">
        <v>197</v>
      </c>
      <c r="AG1301" s="122" t="n">
        <v>154</v>
      </c>
      <c r="AH1301" s="122" t="n">
        <v>106</v>
      </c>
      <c r="AI1301" s="54">
        <f>IFERROR(AC1301/S1301,"")</f>
        <v/>
      </c>
      <c r="AJ1301" s="54">
        <f>IFERROR(AH1301/S1301,"")</f>
        <v/>
      </c>
      <c r="AK1301" s="122" t="n">
        <v>84</v>
      </c>
      <c r="AL1301" s="122" t="n">
        <v>0</v>
      </c>
      <c r="AM1301" s="124">
        <f>IFERROR(AL1301/AA1301,"")</f>
        <v/>
      </c>
      <c r="AN1301" s="125">
        <f>IFERROR(R1301/AL1301,"")</f>
        <v/>
      </c>
      <c r="AO1301" s="122" t="n">
        <v>0</v>
      </c>
      <c r="AP1301" s="54">
        <f>IFERROR(AO1301/AL1301,"")</f>
        <v/>
      </c>
      <c r="AQ1301" s="125">
        <f>IFERROR(R1301/AO1301,"")</f>
        <v/>
      </c>
      <c r="AR1301" s="122" t="n">
        <v>0</v>
      </c>
      <c r="AS1301" s="122" t="n">
        <v>0</v>
      </c>
      <c r="AT1301" s="122">
        <f>AL1301+AR1301</f>
        <v/>
      </c>
      <c r="AU1301" s="125">
        <f>IFERROR(AO1301*Assumptions!$C$26*Assumptions!$C$27*INDEX(Assumptions!$C$18:$C$21,MATCH(H1301,Assumptions!$B$18:$B$21,0)),0)</f>
        <v/>
      </c>
    </row>
    <row r="1302">
      <c r="A1302" s="120" t="n">
        <v>46245</v>
      </c>
      <c r="B1302" s="66" t="inlineStr">
        <is>
          <t>Wk 33</t>
        </is>
      </c>
      <c r="C1302" s="66" t="inlineStr">
        <is>
          <t>Tue</t>
        </is>
      </c>
      <c r="D1302" s="66" t="inlineStr">
        <is>
          <t>TikTok</t>
        </is>
      </c>
      <c r="E1302" s="66" t="inlineStr">
        <is>
          <t>TikTok</t>
        </is>
      </c>
      <c r="F1302" s="66" t="inlineStr">
        <is>
          <t>LEP_ZA_AUG26_TT_TD_PANTERA_CONV</t>
        </is>
      </c>
      <c r="G1302" s="66" t="inlineStr">
        <is>
          <t>Website Conversions</t>
        </is>
      </c>
      <c r="H1302" s="66" t="inlineStr">
        <is>
          <t>PANTERA</t>
        </is>
      </c>
      <c r="I1302" s="66" t="inlineStr">
        <is>
          <t>0% Deposit</t>
        </is>
      </c>
      <c r="J1302" s="66" t="inlineStr">
        <is>
          <t>TT_PANTERA_INT_LUX_ZA</t>
        </is>
      </c>
      <c r="K1302" s="66" t="inlineStr">
        <is>
          <t>Interest</t>
        </is>
      </c>
      <c r="L1302" s="66" t="inlineStr">
        <is>
          <t>TT_PANTERA_UGC_18s_NightRun_v1</t>
        </is>
      </c>
      <c r="M1302" s="66" t="inlineStr">
        <is>
          <t>Video 9:16</t>
        </is>
      </c>
      <c r="N1302" s="66" t="inlineStr">
        <is>
          <t>Night run in the PANTERA</t>
        </is>
      </c>
      <c r="O1302" s="66" t="inlineStr">
        <is>
          <t>Auction - Cost Cap</t>
        </is>
      </c>
      <c r="P1302" s="66" t="inlineStr">
        <is>
          <t>Complete Payment / Lead</t>
        </is>
      </c>
      <c r="Q1302" s="66" t="inlineStr">
        <is>
          <t>https://www.lepas-sa.co.za/offers/pantera</t>
        </is>
      </c>
      <c r="R1302" s="121" t="n">
        <v>120.87</v>
      </c>
      <c r="S1302" s="122" t="n">
        <v>3931</v>
      </c>
      <c r="T1302" s="122" t="n">
        <v>2733</v>
      </c>
      <c r="U1302" s="123">
        <f>IFERROR(S1302/T1302,"")</f>
        <v/>
      </c>
      <c r="V1302" s="122" t="n">
        <v>35</v>
      </c>
      <c r="W1302" s="122" t="n">
        <v>26</v>
      </c>
      <c r="X1302" s="124">
        <f>IFERROR(W1302/S1302,"")</f>
        <v/>
      </c>
      <c r="Y1302" s="121">
        <f>IFERROR(R1302/W1302,"")</f>
        <v/>
      </c>
      <c r="Z1302" s="121">
        <f>IFERROR(R1302/S1302*1000,"")</f>
        <v/>
      </c>
      <c r="AA1302" s="122" t="n">
        <v>18</v>
      </c>
      <c r="AB1302" s="54">
        <f>IFERROR(AA1302/W1302,"")</f>
        <v/>
      </c>
      <c r="AC1302" s="122" t="n">
        <v>884</v>
      </c>
      <c r="AD1302" s="122" t="n">
        <v>477</v>
      </c>
      <c r="AE1302" s="122" t="n">
        <v>442</v>
      </c>
      <c r="AF1302" s="122" t="n">
        <v>291</v>
      </c>
      <c r="AG1302" s="122" t="n">
        <v>214</v>
      </c>
      <c r="AH1302" s="122" t="n">
        <v>155</v>
      </c>
      <c r="AI1302" s="54">
        <f>IFERROR(AC1302/S1302,"")</f>
        <v/>
      </c>
      <c r="AJ1302" s="54">
        <f>IFERROR(AH1302/S1302,"")</f>
        <v/>
      </c>
      <c r="AK1302" s="122" t="n">
        <v>121</v>
      </c>
      <c r="AL1302" s="122" t="n">
        <v>0</v>
      </c>
      <c r="AM1302" s="124">
        <f>IFERROR(AL1302/AA1302,"")</f>
        <v/>
      </c>
      <c r="AN1302" s="125">
        <f>IFERROR(R1302/AL1302,"")</f>
        <v/>
      </c>
      <c r="AO1302" s="122" t="n">
        <v>0</v>
      </c>
      <c r="AP1302" s="54">
        <f>IFERROR(AO1302/AL1302,"")</f>
        <v/>
      </c>
      <c r="AQ1302" s="125">
        <f>IFERROR(R1302/AO1302,"")</f>
        <v/>
      </c>
      <c r="AR1302" s="122" t="n">
        <v>0</v>
      </c>
      <c r="AS1302" s="122" t="n">
        <v>0</v>
      </c>
      <c r="AT1302" s="122">
        <f>AL1302+AR1302</f>
        <v/>
      </c>
      <c r="AU1302" s="125">
        <f>IFERROR(AO1302*Assumptions!$C$26*Assumptions!$C$27*INDEX(Assumptions!$C$18:$C$21,MATCH(H1302,Assumptions!$B$18:$B$21,0)),0)</f>
        <v/>
      </c>
    </row>
    <row r="1303">
      <c r="A1303" s="120" t="n">
        <v>46246</v>
      </c>
      <c r="B1303" s="66" t="inlineStr">
        <is>
          <t>Wk 33</t>
        </is>
      </c>
      <c r="C1303" s="66" t="inlineStr">
        <is>
          <t>Wed</t>
        </is>
      </c>
      <c r="D1303" s="66" t="inlineStr">
        <is>
          <t>TikTok</t>
        </is>
      </c>
      <c r="E1303" s="66" t="inlineStr">
        <is>
          <t>TikTok</t>
        </is>
      </c>
      <c r="F1303" s="66" t="inlineStr">
        <is>
          <t>LEP_ZA_AUG26_TT_TD_PANTERA_CONV</t>
        </is>
      </c>
      <c r="G1303" s="66" t="inlineStr">
        <is>
          <t>Website Conversions</t>
        </is>
      </c>
      <c r="H1303" s="66" t="inlineStr">
        <is>
          <t>PANTERA</t>
        </is>
      </c>
      <c r="I1303" s="66" t="inlineStr">
        <is>
          <t>0% Deposit</t>
        </is>
      </c>
      <c r="J1303" s="66" t="inlineStr">
        <is>
          <t>TT_PANTERA_INT_LUX_ZA</t>
        </is>
      </c>
      <c r="K1303" s="66" t="inlineStr">
        <is>
          <t>Interest</t>
        </is>
      </c>
      <c r="L1303" s="66" t="inlineStr">
        <is>
          <t>TT_PANTERA_UGC_18s_NightRun_v1</t>
        </is>
      </c>
      <c r="M1303" s="66" t="inlineStr">
        <is>
          <t>Video 9:16</t>
        </is>
      </c>
      <c r="N1303" s="66" t="inlineStr">
        <is>
          <t>Night run in the PANTERA</t>
        </is>
      </c>
      <c r="O1303" s="66" t="inlineStr">
        <is>
          <t>Auction - Cost Cap</t>
        </is>
      </c>
      <c r="P1303" s="66" t="inlineStr">
        <is>
          <t>Complete Payment / Lead</t>
        </is>
      </c>
      <c r="Q1303" s="66" t="inlineStr">
        <is>
          <t>https://www.lepas-sa.co.za/offers/pantera</t>
        </is>
      </c>
      <c r="R1303" s="121" t="n">
        <v>125.99</v>
      </c>
      <c r="S1303" s="122" t="n">
        <v>4199</v>
      </c>
      <c r="T1303" s="122" t="n">
        <v>2615</v>
      </c>
      <c r="U1303" s="123">
        <f>IFERROR(S1303/T1303,"")</f>
        <v/>
      </c>
      <c r="V1303" s="122" t="n">
        <v>62</v>
      </c>
      <c r="W1303" s="122" t="n">
        <v>48</v>
      </c>
      <c r="X1303" s="124">
        <f>IFERROR(W1303/S1303,"")</f>
        <v/>
      </c>
      <c r="Y1303" s="121">
        <f>IFERROR(R1303/W1303,"")</f>
        <v/>
      </c>
      <c r="Z1303" s="121">
        <f>IFERROR(R1303/S1303*1000,"")</f>
        <v/>
      </c>
      <c r="AA1303" s="122" t="n">
        <v>30</v>
      </c>
      <c r="AB1303" s="54">
        <f>IFERROR(AA1303/W1303,"")</f>
        <v/>
      </c>
      <c r="AC1303" s="122" t="n">
        <v>1554</v>
      </c>
      <c r="AD1303" s="122" t="n">
        <v>699</v>
      </c>
      <c r="AE1303" s="122" t="n">
        <v>701</v>
      </c>
      <c r="AF1303" s="122" t="n">
        <v>459</v>
      </c>
      <c r="AG1303" s="122" t="n">
        <v>297</v>
      </c>
      <c r="AH1303" s="122" t="n">
        <v>204</v>
      </c>
      <c r="AI1303" s="54">
        <f>IFERROR(AC1303/S1303,"")</f>
        <v/>
      </c>
      <c r="AJ1303" s="54">
        <f>IFERROR(AH1303/S1303,"")</f>
        <v/>
      </c>
      <c r="AK1303" s="122" t="n">
        <v>178</v>
      </c>
      <c r="AL1303" s="122" t="n">
        <v>0</v>
      </c>
      <c r="AM1303" s="124">
        <f>IFERROR(AL1303/AA1303,"")</f>
        <v/>
      </c>
      <c r="AN1303" s="125">
        <f>IFERROR(R1303/AL1303,"")</f>
        <v/>
      </c>
      <c r="AO1303" s="122" t="n">
        <v>0</v>
      </c>
      <c r="AP1303" s="54">
        <f>IFERROR(AO1303/AL1303,"")</f>
        <v/>
      </c>
      <c r="AQ1303" s="125">
        <f>IFERROR(R1303/AO1303,"")</f>
        <v/>
      </c>
      <c r="AR1303" s="122" t="n">
        <v>0</v>
      </c>
      <c r="AS1303" s="122" t="n">
        <v>0</v>
      </c>
      <c r="AT1303" s="122">
        <f>AL1303+AR1303</f>
        <v/>
      </c>
      <c r="AU1303" s="125">
        <f>IFERROR(AO1303*Assumptions!$C$26*Assumptions!$C$27*INDEX(Assumptions!$C$18:$C$21,MATCH(H1303,Assumptions!$B$18:$B$21,0)),0)</f>
        <v/>
      </c>
    </row>
    <row r="1304">
      <c r="A1304" s="120" t="n">
        <v>46247</v>
      </c>
      <c r="B1304" s="66" t="inlineStr">
        <is>
          <t>Wk 33</t>
        </is>
      </c>
      <c r="C1304" s="66" t="inlineStr">
        <is>
          <t>Thu</t>
        </is>
      </c>
      <c r="D1304" s="66" t="inlineStr">
        <is>
          <t>TikTok</t>
        </is>
      </c>
      <c r="E1304" s="66" t="inlineStr">
        <is>
          <t>TikTok</t>
        </is>
      </c>
      <c r="F1304" s="66" t="inlineStr">
        <is>
          <t>LEP_ZA_AUG26_TT_TD_PANTERA_CONV</t>
        </is>
      </c>
      <c r="G1304" s="66" t="inlineStr">
        <is>
          <t>Website Conversions</t>
        </is>
      </c>
      <c r="H1304" s="66" t="inlineStr">
        <is>
          <t>PANTERA</t>
        </is>
      </c>
      <c r="I1304" s="66" t="inlineStr">
        <is>
          <t>0% Deposit</t>
        </is>
      </c>
      <c r="J1304" s="66" t="inlineStr">
        <is>
          <t>TT_PANTERA_INT_LUX_ZA</t>
        </is>
      </c>
      <c r="K1304" s="66" t="inlineStr">
        <is>
          <t>Interest</t>
        </is>
      </c>
      <c r="L1304" s="66" t="inlineStr">
        <is>
          <t>TT_PANTERA_UGC_18s_NightRun_v1</t>
        </is>
      </c>
      <c r="M1304" s="66" t="inlineStr">
        <is>
          <t>Video 9:16</t>
        </is>
      </c>
      <c r="N1304" s="66" t="inlineStr">
        <is>
          <t>Night run in the PANTERA</t>
        </is>
      </c>
      <c r="O1304" s="66" t="inlineStr">
        <is>
          <t>Auction - Cost Cap</t>
        </is>
      </c>
      <c r="P1304" s="66" t="inlineStr">
        <is>
          <t>Complete Payment / Lead</t>
        </is>
      </c>
      <c r="Q1304" s="66" t="inlineStr">
        <is>
          <t>https://www.lepas-sa.co.za/offers/pantera</t>
        </is>
      </c>
      <c r="R1304" s="121" t="n">
        <v>124.49</v>
      </c>
      <c r="S1304" s="122" t="n">
        <v>3769</v>
      </c>
      <c r="T1304" s="122" t="n">
        <v>2093</v>
      </c>
      <c r="U1304" s="123">
        <f>IFERROR(S1304/T1304,"")</f>
        <v/>
      </c>
      <c r="V1304" s="122" t="n">
        <v>49</v>
      </c>
      <c r="W1304" s="122" t="n">
        <v>40</v>
      </c>
      <c r="X1304" s="124">
        <f>IFERROR(W1304/S1304,"")</f>
        <v/>
      </c>
      <c r="Y1304" s="121">
        <f>IFERROR(R1304/W1304,"")</f>
        <v/>
      </c>
      <c r="Z1304" s="121">
        <f>IFERROR(R1304/S1304*1000,"")</f>
        <v/>
      </c>
      <c r="AA1304" s="122" t="n">
        <v>30</v>
      </c>
      <c r="AB1304" s="54">
        <f>IFERROR(AA1304/W1304,"")</f>
        <v/>
      </c>
      <c r="AC1304" s="122" t="n">
        <v>1035</v>
      </c>
      <c r="AD1304" s="122" t="n">
        <v>579</v>
      </c>
      <c r="AE1304" s="122" t="n">
        <v>538</v>
      </c>
      <c r="AF1304" s="122" t="n">
        <v>339</v>
      </c>
      <c r="AG1304" s="122" t="n">
        <v>266</v>
      </c>
      <c r="AH1304" s="122" t="n">
        <v>182</v>
      </c>
      <c r="AI1304" s="54">
        <f>IFERROR(AC1304/S1304,"")</f>
        <v/>
      </c>
      <c r="AJ1304" s="54">
        <f>IFERROR(AH1304/S1304,"")</f>
        <v/>
      </c>
      <c r="AK1304" s="122" t="n">
        <v>88</v>
      </c>
      <c r="AL1304" s="122" t="n">
        <v>0</v>
      </c>
      <c r="AM1304" s="124">
        <f>IFERROR(AL1304/AA1304,"")</f>
        <v/>
      </c>
      <c r="AN1304" s="125">
        <f>IFERROR(R1304/AL1304,"")</f>
        <v/>
      </c>
      <c r="AO1304" s="122" t="n">
        <v>0</v>
      </c>
      <c r="AP1304" s="54">
        <f>IFERROR(AO1304/AL1304,"")</f>
        <v/>
      </c>
      <c r="AQ1304" s="125">
        <f>IFERROR(R1304/AO1304,"")</f>
        <v/>
      </c>
      <c r="AR1304" s="122" t="n">
        <v>0</v>
      </c>
      <c r="AS1304" s="122" t="n">
        <v>0</v>
      </c>
      <c r="AT1304" s="122">
        <f>AL1304+AR1304</f>
        <v/>
      </c>
      <c r="AU1304" s="125">
        <f>IFERROR(AO1304*Assumptions!$C$26*Assumptions!$C$27*INDEX(Assumptions!$C$18:$C$21,MATCH(H1304,Assumptions!$B$18:$B$21,0)),0)</f>
        <v/>
      </c>
    </row>
    <row r="1305">
      <c r="A1305" s="120" t="n">
        <v>46248</v>
      </c>
      <c r="B1305" s="66" t="inlineStr">
        <is>
          <t>Wk 33</t>
        </is>
      </c>
      <c r="C1305" s="66" t="inlineStr">
        <is>
          <t>Fri</t>
        </is>
      </c>
      <c r="D1305" s="66" t="inlineStr">
        <is>
          <t>TikTok</t>
        </is>
      </c>
      <c r="E1305" s="66" t="inlineStr">
        <is>
          <t>TikTok</t>
        </is>
      </c>
      <c r="F1305" s="66" t="inlineStr">
        <is>
          <t>LEP_ZA_AUG26_TT_TD_PANTERA_CONV</t>
        </is>
      </c>
      <c r="G1305" s="66" t="inlineStr">
        <is>
          <t>Website Conversions</t>
        </is>
      </c>
      <c r="H1305" s="66" t="inlineStr">
        <is>
          <t>PANTERA</t>
        </is>
      </c>
      <c r="I1305" s="66" t="inlineStr">
        <is>
          <t>0% Deposit</t>
        </is>
      </c>
      <c r="J1305" s="66" t="inlineStr">
        <is>
          <t>TT_PANTERA_INT_LUX_ZA</t>
        </is>
      </c>
      <c r="K1305" s="66" t="inlineStr">
        <is>
          <t>Interest</t>
        </is>
      </c>
      <c r="L1305" s="66" t="inlineStr">
        <is>
          <t>TT_PANTERA_UGC_18s_NightRun_v1</t>
        </is>
      </c>
      <c r="M1305" s="66" t="inlineStr">
        <is>
          <t>Video 9:16</t>
        </is>
      </c>
      <c r="N1305" s="66" t="inlineStr">
        <is>
          <t>Night run in the PANTERA</t>
        </is>
      </c>
      <c r="O1305" s="66" t="inlineStr">
        <is>
          <t>Auction - Cost Cap</t>
        </is>
      </c>
      <c r="P1305" s="66" t="inlineStr">
        <is>
          <t>Complete Payment / Lead</t>
        </is>
      </c>
      <c r="Q1305" s="66" t="inlineStr">
        <is>
          <t>https://www.lepas-sa.co.za/offers/pantera</t>
        </is>
      </c>
      <c r="R1305" s="121" t="n">
        <v>109.67</v>
      </c>
      <c r="S1305" s="122" t="n">
        <v>2842</v>
      </c>
      <c r="T1305" s="122" t="n">
        <v>1712</v>
      </c>
      <c r="U1305" s="123">
        <f>IFERROR(S1305/T1305,"")</f>
        <v/>
      </c>
      <c r="V1305" s="122" t="n">
        <v>45</v>
      </c>
      <c r="W1305" s="122" t="n">
        <v>33</v>
      </c>
      <c r="X1305" s="124">
        <f>IFERROR(W1305/S1305,"")</f>
        <v/>
      </c>
      <c r="Y1305" s="121">
        <f>IFERROR(R1305/W1305,"")</f>
        <v/>
      </c>
      <c r="Z1305" s="121">
        <f>IFERROR(R1305/S1305*1000,"")</f>
        <v/>
      </c>
      <c r="AA1305" s="122" t="n">
        <v>23</v>
      </c>
      <c r="AB1305" s="54">
        <f>IFERROR(AA1305/W1305,"")</f>
        <v/>
      </c>
      <c r="AC1305" s="122" t="n">
        <v>949</v>
      </c>
      <c r="AD1305" s="122" t="n">
        <v>437</v>
      </c>
      <c r="AE1305" s="122" t="n">
        <v>466</v>
      </c>
      <c r="AF1305" s="122" t="n">
        <v>319</v>
      </c>
      <c r="AG1305" s="122" t="n">
        <v>239</v>
      </c>
      <c r="AH1305" s="122" t="n">
        <v>167</v>
      </c>
      <c r="AI1305" s="54">
        <f>IFERROR(AC1305/S1305,"")</f>
        <v/>
      </c>
      <c r="AJ1305" s="54">
        <f>IFERROR(AH1305/S1305,"")</f>
        <v/>
      </c>
      <c r="AK1305" s="122" t="n">
        <v>100</v>
      </c>
      <c r="AL1305" s="122" t="n">
        <v>0</v>
      </c>
      <c r="AM1305" s="124">
        <f>IFERROR(AL1305/AA1305,"")</f>
        <v/>
      </c>
      <c r="AN1305" s="125">
        <f>IFERROR(R1305/AL1305,"")</f>
        <v/>
      </c>
      <c r="AO1305" s="122" t="n">
        <v>0</v>
      </c>
      <c r="AP1305" s="54">
        <f>IFERROR(AO1305/AL1305,"")</f>
        <v/>
      </c>
      <c r="AQ1305" s="125">
        <f>IFERROR(R1305/AO1305,"")</f>
        <v/>
      </c>
      <c r="AR1305" s="122" t="n">
        <v>0</v>
      </c>
      <c r="AS1305" s="122" t="n">
        <v>0</v>
      </c>
      <c r="AT1305" s="122">
        <f>AL1305+AR1305</f>
        <v/>
      </c>
      <c r="AU1305" s="125">
        <f>IFERROR(AO1305*Assumptions!$C$26*Assumptions!$C$27*INDEX(Assumptions!$C$18:$C$21,MATCH(H1305,Assumptions!$B$18:$B$21,0)),0)</f>
        <v/>
      </c>
    </row>
    <row r="1306">
      <c r="A1306" s="120" t="n">
        <v>46249</v>
      </c>
      <c r="B1306" s="66" t="inlineStr">
        <is>
          <t>Wk 33</t>
        </is>
      </c>
      <c r="C1306" s="66" t="inlineStr">
        <is>
          <t>Sat</t>
        </is>
      </c>
      <c r="D1306" s="66" t="inlineStr">
        <is>
          <t>TikTok</t>
        </is>
      </c>
      <c r="E1306" s="66" t="inlineStr">
        <is>
          <t>TikTok</t>
        </is>
      </c>
      <c r="F1306" s="66" t="inlineStr">
        <is>
          <t>LEP_ZA_AUG26_TT_TD_PANTERA_CONV</t>
        </is>
      </c>
      <c r="G1306" s="66" t="inlineStr">
        <is>
          <t>Website Conversions</t>
        </is>
      </c>
      <c r="H1306" s="66" t="inlineStr">
        <is>
          <t>PANTERA</t>
        </is>
      </c>
      <c r="I1306" s="66" t="inlineStr">
        <is>
          <t>0% Deposit</t>
        </is>
      </c>
      <c r="J1306" s="66" t="inlineStr">
        <is>
          <t>TT_PANTERA_INT_LUX_ZA</t>
        </is>
      </c>
      <c r="K1306" s="66" t="inlineStr">
        <is>
          <t>Interest</t>
        </is>
      </c>
      <c r="L1306" s="66" t="inlineStr">
        <is>
          <t>TT_PANTERA_UGC_18s_NightRun_v1</t>
        </is>
      </c>
      <c r="M1306" s="66" t="inlineStr">
        <is>
          <t>Video 9:16</t>
        </is>
      </c>
      <c r="N1306" s="66" t="inlineStr">
        <is>
          <t>Night run in the PANTERA</t>
        </is>
      </c>
      <c r="O1306" s="66" t="inlineStr">
        <is>
          <t>Auction - Cost Cap</t>
        </is>
      </c>
      <c r="P1306" s="66" t="inlineStr">
        <is>
          <t>Complete Payment / Lead</t>
        </is>
      </c>
      <c r="Q1306" s="66" t="inlineStr">
        <is>
          <t>https://www.lepas-sa.co.za/offers/pantera</t>
        </is>
      </c>
      <c r="R1306" s="121" t="n">
        <v>137.53</v>
      </c>
      <c r="S1306" s="122" t="n">
        <v>4041</v>
      </c>
      <c r="T1306" s="122" t="n">
        <v>2212</v>
      </c>
      <c r="U1306" s="123">
        <f>IFERROR(S1306/T1306,"")</f>
        <v/>
      </c>
      <c r="V1306" s="122" t="n">
        <v>46</v>
      </c>
      <c r="W1306" s="122" t="n">
        <v>36</v>
      </c>
      <c r="X1306" s="124">
        <f>IFERROR(W1306/S1306,"")</f>
        <v/>
      </c>
      <c r="Y1306" s="121">
        <f>IFERROR(R1306/W1306,"")</f>
        <v/>
      </c>
      <c r="Z1306" s="121">
        <f>IFERROR(R1306/S1306*1000,"")</f>
        <v/>
      </c>
      <c r="AA1306" s="122" t="n">
        <v>22</v>
      </c>
      <c r="AB1306" s="54">
        <f>IFERROR(AA1306/W1306,"")</f>
        <v/>
      </c>
      <c r="AC1306" s="122" t="n">
        <v>910</v>
      </c>
      <c r="AD1306" s="122" t="n">
        <v>555</v>
      </c>
      <c r="AE1306" s="122" t="n">
        <v>415</v>
      </c>
      <c r="AF1306" s="122" t="n">
        <v>229</v>
      </c>
      <c r="AG1306" s="122" t="n">
        <v>169</v>
      </c>
      <c r="AH1306" s="122" t="n">
        <v>94</v>
      </c>
      <c r="AI1306" s="54">
        <f>IFERROR(AC1306/S1306,"")</f>
        <v/>
      </c>
      <c r="AJ1306" s="54">
        <f>IFERROR(AH1306/S1306,"")</f>
        <v/>
      </c>
      <c r="AK1306" s="122" t="n">
        <v>129</v>
      </c>
      <c r="AL1306" s="122" t="n">
        <v>0</v>
      </c>
      <c r="AM1306" s="124">
        <f>IFERROR(AL1306/AA1306,"")</f>
        <v/>
      </c>
      <c r="AN1306" s="125">
        <f>IFERROR(R1306/AL1306,"")</f>
        <v/>
      </c>
      <c r="AO1306" s="122" t="n">
        <v>0</v>
      </c>
      <c r="AP1306" s="54">
        <f>IFERROR(AO1306/AL1306,"")</f>
        <v/>
      </c>
      <c r="AQ1306" s="125">
        <f>IFERROR(R1306/AO1306,"")</f>
        <v/>
      </c>
      <c r="AR1306" s="122" t="n">
        <v>0</v>
      </c>
      <c r="AS1306" s="122" t="n">
        <v>0</v>
      </c>
      <c r="AT1306" s="122">
        <f>AL1306+AR1306</f>
        <v/>
      </c>
      <c r="AU1306" s="125">
        <f>IFERROR(AO1306*Assumptions!$C$26*Assumptions!$C$27*INDEX(Assumptions!$C$18:$C$21,MATCH(H1306,Assumptions!$B$18:$B$21,0)),0)</f>
        <v/>
      </c>
    </row>
    <row r="1307">
      <c r="A1307" s="120" t="n">
        <v>46250</v>
      </c>
      <c r="B1307" s="66" t="inlineStr">
        <is>
          <t>Wk 33</t>
        </is>
      </c>
      <c r="C1307" s="66" t="inlineStr">
        <is>
          <t>Sun</t>
        </is>
      </c>
      <c r="D1307" s="66" t="inlineStr">
        <is>
          <t>TikTok</t>
        </is>
      </c>
      <c r="E1307" s="66" t="inlineStr">
        <is>
          <t>TikTok</t>
        </is>
      </c>
      <c r="F1307" s="66" t="inlineStr">
        <is>
          <t>LEP_ZA_AUG26_TT_TD_PANTERA_CONV</t>
        </is>
      </c>
      <c r="G1307" s="66" t="inlineStr">
        <is>
          <t>Website Conversions</t>
        </is>
      </c>
      <c r="H1307" s="66" t="inlineStr">
        <is>
          <t>PANTERA</t>
        </is>
      </c>
      <c r="I1307" s="66" t="inlineStr">
        <is>
          <t>0% Deposit</t>
        </is>
      </c>
      <c r="J1307" s="66" t="inlineStr">
        <is>
          <t>TT_PANTERA_INT_LUX_ZA</t>
        </is>
      </c>
      <c r="K1307" s="66" t="inlineStr">
        <is>
          <t>Interest</t>
        </is>
      </c>
      <c r="L1307" s="66" t="inlineStr">
        <is>
          <t>TT_PANTERA_UGC_18s_NightRun_v1</t>
        </is>
      </c>
      <c r="M1307" s="66" t="inlineStr">
        <is>
          <t>Video 9:16</t>
        </is>
      </c>
      <c r="N1307" s="66" t="inlineStr">
        <is>
          <t>Night run in the PANTERA</t>
        </is>
      </c>
      <c r="O1307" s="66" t="inlineStr">
        <is>
          <t>Auction - Cost Cap</t>
        </is>
      </c>
      <c r="P1307" s="66" t="inlineStr">
        <is>
          <t>Complete Payment / Lead</t>
        </is>
      </c>
      <c r="Q1307" s="66" t="inlineStr">
        <is>
          <t>https://www.lepas-sa.co.za/offers/pantera</t>
        </is>
      </c>
      <c r="R1307" s="121" t="n">
        <v>109.02</v>
      </c>
      <c r="S1307" s="122" t="n">
        <v>3207</v>
      </c>
      <c r="T1307" s="122" t="n">
        <v>2152</v>
      </c>
      <c r="U1307" s="123">
        <f>IFERROR(S1307/T1307,"")</f>
        <v/>
      </c>
      <c r="V1307" s="122" t="n">
        <v>28</v>
      </c>
      <c r="W1307" s="122" t="n">
        <v>23</v>
      </c>
      <c r="X1307" s="124">
        <f>IFERROR(W1307/S1307,"")</f>
        <v/>
      </c>
      <c r="Y1307" s="121">
        <f>IFERROR(R1307/W1307,"")</f>
        <v/>
      </c>
      <c r="Z1307" s="121">
        <f>IFERROR(R1307/S1307*1000,"")</f>
        <v/>
      </c>
      <c r="AA1307" s="122" t="n">
        <v>15</v>
      </c>
      <c r="AB1307" s="54">
        <f>IFERROR(AA1307/W1307,"")</f>
        <v/>
      </c>
      <c r="AC1307" s="122" t="n">
        <v>713</v>
      </c>
      <c r="AD1307" s="122" t="n">
        <v>359</v>
      </c>
      <c r="AE1307" s="122" t="n">
        <v>291</v>
      </c>
      <c r="AF1307" s="122" t="n">
        <v>193</v>
      </c>
      <c r="AG1307" s="122" t="n">
        <v>138</v>
      </c>
      <c r="AH1307" s="122" t="n">
        <v>99</v>
      </c>
      <c r="AI1307" s="54">
        <f>IFERROR(AC1307/S1307,"")</f>
        <v/>
      </c>
      <c r="AJ1307" s="54">
        <f>IFERROR(AH1307/S1307,"")</f>
        <v/>
      </c>
      <c r="AK1307" s="122" t="n">
        <v>128</v>
      </c>
      <c r="AL1307" s="122" t="n">
        <v>0</v>
      </c>
      <c r="AM1307" s="124">
        <f>IFERROR(AL1307/AA1307,"")</f>
        <v/>
      </c>
      <c r="AN1307" s="125">
        <f>IFERROR(R1307/AL1307,"")</f>
        <v/>
      </c>
      <c r="AO1307" s="122" t="n">
        <v>0</v>
      </c>
      <c r="AP1307" s="54">
        <f>IFERROR(AO1307/AL1307,"")</f>
        <v/>
      </c>
      <c r="AQ1307" s="125">
        <f>IFERROR(R1307/AO1307,"")</f>
        <v/>
      </c>
      <c r="AR1307" s="122" t="n">
        <v>0</v>
      </c>
      <c r="AS1307" s="122" t="n">
        <v>0</v>
      </c>
      <c r="AT1307" s="122">
        <f>AL1307+AR1307</f>
        <v/>
      </c>
      <c r="AU1307" s="125">
        <f>IFERROR(AO1307*Assumptions!$C$26*Assumptions!$C$27*INDEX(Assumptions!$C$18:$C$21,MATCH(H1307,Assumptions!$B$18:$B$21,0)),0)</f>
        <v/>
      </c>
    </row>
    <row r="1308">
      <c r="A1308" s="120" t="n">
        <v>46251</v>
      </c>
      <c r="B1308" s="66" t="inlineStr">
        <is>
          <t>Wk 34</t>
        </is>
      </c>
      <c r="C1308" s="66" t="inlineStr">
        <is>
          <t>Mon</t>
        </is>
      </c>
      <c r="D1308" s="66" t="inlineStr">
        <is>
          <t>TikTok</t>
        </is>
      </c>
      <c r="E1308" s="66" t="inlineStr">
        <is>
          <t>TikTok</t>
        </is>
      </c>
      <c r="F1308" s="66" t="inlineStr">
        <is>
          <t>LEP_ZA_AUG26_TT_TD_PANTERA_CONV</t>
        </is>
      </c>
      <c r="G1308" s="66" t="inlineStr">
        <is>
          <t>Website Conversions</t>
        </is>
      </c>
      <c r="H1308" s="66" t="inlineStr">
        <is>
          <t>PANTERA</t>
        </is>
      </c>
      <c r="I1308" s="66" t="inlineStr">
        <is>
          <t>0% Deposit</t>
        </is>
      </c>
      <c r="J1308" s="66" t="inlineStr">
        <is>
          <t>TT_PANTERA_INT_LUX_ZA</t>
        </is>
      </c>
      <c r="K1308" s="66" t="inlineStr">
        <is>
          <t>Interest</t>
        </is>
      </c>
      <c r="L1308" s="66" t="inlineStr">
        <is>
          <t>TT_PANTERA_UGC_18s_NightRun_v1</t>
        </is>
      </c>
      <c r="M1308" s="66" t="inlineStr">
        <is>
          <t>Video 9:16</t>
        </is>
      </c>
      <c r="N1308" s="66" t="inlineStr">
        <is>
          <t>Night run in the PANTERA</t>
        </is>
      </c>
      <c r="O1308" s="66" t="inlineStr">
        <is>
          <t>Auction - Cost Cap</t>
        </is>
      </c>
      <c r="P1308" s="66" t="inlineStr">
        <is>
          <t>Complete Payment / Lead</t>
        </is>
      </c>
      <c r="Q1308" s="66" t="inlineStr">
        <is>
          <t>https://www.lepas-sa.co.za/offers/pantera</t>
        </is>
      </c>
      <c r="R1308" s="121" t="n">
        <v>99.56</v>
      </c>
      <c r="S1308" s="122" t="n">
        <v>3014</v>
      </c>
      <c r="T1308" s="122" t="n">
        <v>1524</v>
      </c>
      <c r="U1308" s="123">
        <f>IFERROR(S1308/T1308,"")</f>
        <v/>
      </c>
      <c r="V1308" s="122" t="n">
        <v>44</v>
      </c>
      <c r="W1308" s="122" t="n">
        <v>31</v>
      </c>
      <c r="X1308" s="124">
        <f>IFERROR(W1308/S1308,"")</f>
        <v/>
      </c>
      <c r="Y1308" s="121">
        <f>IFERROR(R1308/W1308,"")</f>
        <v/>
      </c>
      <c r="Z1308" s="121">
        <f>IFERROR(R1308/S1308*1000,"")</f>
        <v/>
      </c>
      <c r="AA1308" s="122" t="n">
        <v>20</v>
      </c>
      <c r="AB1308" s="54">
        <f>IFERROR(AA1308/W1308,"")</f>
        <v/>
      </c>
      <c r="AC1308" s="122" t="n">
        <v>1157</v>
      </c>
      <c r="AD1308" s="122" t="n">
        <v>562</v>
      </c>
      <c r="AE1308" s="122" t="n">
        <v>565</v>
      </c>
      <c r="AF1308" s="122" t="n">
        <v>390</v>
      </c>
      <c r="AG1308" s="122" t="n">
        <v>277</v>
      </c>
      <c r="AH1308" s="122" t="n">
        <v>153</v>
      </c>
      <c r="AI1308" s="54">
        <f>IFERROR(AC1308/S1308,"")</f>
        <v/>
      </c>
      <c r="AJ1308" s="54">
        <f>IFERROR(AH1308/S1308,"")</f>
        <v/>
      </c>
      <c r="AK1308" s="122" t="n">
        <v>136</v>
      </c>
      <c r="AL1308" s="122" t="n">
        <v>0</v>
      </c>
      <c r="AM1308" s="124">
        <f>IFERROR(AL1308/AA1308,"")</f>
        <v/>
      </c>
      <c r="AN1308" s="125">
        <f>IFERROR(R1308/AL1308,"")</f>
        <v/>
      </c>
      <c r="AO1308" s="122" t="n">
        <v>0</v>
      </c>
      <c r="AP1308" s="54">
        <f>IFERROR(AO1308/AL1308,"")</f>
        <v/>
      </c>
      <c r="AQ1308" s="125">
        <f>IFERROR(R1308/AO1308,"")</f>
        <v/>
      </c>
      <c r="AR1308" s="122" t="n">
        <v>0</v>
      </c>
      <c r="AS1308" s="122" t="n">
        <v>0</v>
      </c>
      <c r="AT1308" s="122">
        <f>AL1308+AR1308</f>
        <v/>
      </c>
      <c r="AU1308" s="125">
        <f>IFERROR(AO1308*Assumptions!$C$26*Assumptions!$C$27*INDEX(Assumptions!$C$18:$C$21,MATCH(H1308,Assumptions!$B$18:$B$21,0)),0)</f>
        <v/>
      </c>
    </row>
    <row r="1309">
      <c r="A1309" s="120" t="n">
        <v>46252</v>
      </c>
      <c r="B1309" s="66" t="inlineStr">
        <is>
          <t>Wk 34</t>
        </is>
      </c>
      <c r="C1309" s="66" t="inlineStr">
        <is>
          <t>Tue</t>
        </is>
      </c>
      <c r="D1309" s="66" t="inlineStr">
        <is>
          <t>TikTok</t>
        </is>
      </c>
      <c r="E1309" s="66" t="inlineStr">
        <is>
          <t>TikTok</t>
        </is>
      </c>
      <c r="F1309" s="66" t="inlineStr">
        <is>
          <t>LEP_ZA_AUG26_TT_TD_PANTERA_CONV</t>
        </is>
      </c>
      <c r="G1309" s="66" t="inlineStr">
        <is>
          <t>Website Conversions</t>
        </is>
      </c>
      <c r="H1309" s="66" t="inlineStr">
        <is>
          <t>PANTERA</t>
        </is>
      </c>
      <c r="I1309" s="66" t="inlineStr">
        <is>
          <t>0% Deposit</t>
        </is>
      </c>
      <c r="J1309" s="66" t="inlineStr">
        <is>
          <t>TT_PANTERA_INT_LUX_ZA</t>
        </is>
      </c>
      <c r="K1309" s="66" t="inlineStr">
        <is>
          <t>Interest</t>
        </is>
      </c>
      <c r="L1309" s="66" t="inlineStr">
        <is>
          <t>TT_PANTERA_UGC_18s_NightRun_v1</t>
        </is>
      </c>
      <c r="M1309" s="66" t="inlineStr">
        <is>
          <t>Video 9:16</t>
        </is>
      </c>
      <c r="N1309" s="66" t="inlineStr">
        <is>
          <t>Night run in the PANTERA</t>
        </is>
      </c>
      <c r="O1309" s="66" t="inlineStr">
        <is>
          <t>Auction - Cost Cap</t>
        </is>
      </c>
      <c r="P1309" s="66" t="inlineStr">
        <is>
          <t>Complete Payment / Lead</t>
        </is>
      </c>
      <c r="Q1309" s="66" t="inlineStr">
        <is>
          <t>https://www.lepas-sa.co.za/offers/pantera</t>
        </is>
      </c>
      <c r="R1309" s="121" t="n">
        <v>93.72</v>
      </c>
      <c r="S1309" s="122" t="n">
        <v>2679</v>
      </c>
      <c r="T1309" s="122" t="n">
        <v>1472</v>
      </c>
      <c r="U1309" s="123">
        <f>IFERROR(S1309/T1309,"")</f>
        <v/>
      </c>
      <c r="V1309" s="122" t="n">
        <v>28</v>
      </c>
      <c r="W1309" s="122" t="n">
        <v>23</v>
      </c>
      <c r="X1309" s="124">
        <f>IFERROR(W1309/S1309,"")</f>
        <v/>
      </c>
      <c r="Y1309" s="121">
        <f>IFERROR(R1309/W1309,"")</f>
        <v/>
      </c>
      <c r="Z1309" s="121">
        <f>IFERROR(R1309/S1309*1000,"")</f>
        <v/>
      </c>
      <c r="AA1309" s="122" t="n">
        <v>16</v>
      </c>
      <c r="AB1309" s="54">
        <f>IFERROR(AA1309/W1309,"")</f>
        <v/>
      </c>
      <c r="AC1309" s="122" t="n">
        <v>904</v>
      </c>
      <c r="AD1309" s="122" t="n">
        <v>474</v>
      </c>
      <c r="AE1309" s="122" t="n">
        <v>439</v>
      </c>
      <c r="AF1309" s="122" t="n">
        <v>306</v>
      </c>
      <c r="AG1309" s="122" t="n">
        <v>231</v>
      </c>
      <c r="AH1309" s="122" t="n">
        <v>132</v>
      </c>
      <c r="AI1309" s="54">
        <f>IFERROR(AC1309/S1309,"")</f>
        <v/>
      </c>
      <c r="AJ1309" s="54">
        <f>IFERROR(AH1309/S1309,"")</f>
        <v/>
      </c>
      <c r="AK1309" s="122" t="n">
        <v>127</v>
      </c>
      <c r="AL1309" s="122" t="n">
        <v>0</v>
      </c>
      <c r="AM1309" s="124">
        <f>IFERROR(AL1309/AA1309,"")</f>
        <v/>
      </c>
      <c r="AN1309" s="125">
        <f>IFERROR(R1309/AL1309,"")</f>
        <v/>
      </c>
      <c r="AO1309" s="122" t="n">
        <v>0</v>
      </c>
      <c r="AP1309" s="54">
        <f>IFERROR(AO1309/AL1309,"")</f>
        <v/>
      </c>
      <c r="AQ1309" s="125">
        <f>IFERROR(R1309/AO1309,"")</f>
        <v/>
      </c>
      <c r="AR1309" s="122" t="n">
        <v>0</v>
      </c>
      <c r="AS1309" s="122" t="n">
        <v>0</v>
      </c>
      <c r="AT1309" s="122">
        <f>AL1309+AR1309</f>
        <v/>
      </c>
      <c r="AU1309" s="125">
        <f>IFERROR(AO1309*Assumptions!$C$26*Assumptions!$C$27*INDEX(Assumptions!$C$18:$C$21,MATCH(H1309,Assumptions!$B$18:$B$21,0)),0)</f>
        <v/>
      </c>
    </row>
    <row r="1310">
      <c r="A1310" s="120" t="n">
        <v>46253</v>
      </c>
      <c r="B1310" s="66" t="inlineStr">
        <is>
          <t>Wk 34</t>
        </is>
      </c>
      <c r="C1310" s="66" t="inlineStr">
        <is>
          <t>Wed</t>
        </is>
      </c>
      <c r="D1310" s="66" t="inlineStr">
        <is>
          <t>TikTok</t>
        </is>
      </c>
      <c r="E1310" s="66" t="inlineStr">
        <is>
          <t>TikTok</t>
        </is>
      </c>
      <c r="F1310" s="66" t="inlineStr">
        <is>
          <t>LEP_ZA_AUG26_TT_TD_PANTERA_CONV</t>
        </is>
      </c>
      <c r="G1310" s="66" t="inlineStr">
        <is>
          <t>Website Conversions</t>
        </is>
      </c>
      <c r="H1310" s="66" t="inlineStr">
        <is>
          <t>PANTERA</t>
        </is>
      </c>
      <c r="I1310" s="66" t="inlineStr">
        <is>
          <t>0% Deposit</t>
        </is>
      </c>
      <c r="J1310" s="66" t="inlineStr">
        <is>
          <t>TT_PANTERA_INT_LUX_ZA</t>
        </is>
      </c>
      <c r="K1310" s="66" t="inlineStr">
        <is>
          <t>Interest</t>
        </is>
      </c>
      <c r="L1310" s="66" t="inlineStr">
        <is>
          <t>TT_PANTERA_UGC_18s_NightRun_v1</t>
        </is>
      </c>
      <c r="M1310" s="66" t="inlineStr">
        <is>
          <t>Video 9:16</t>
        </is>
      </c>
      <c r="N1310" s="66" t="inlineStr">
        <is>
          <t>Night run in the PANTERA</t>
        </is>
      </c>
      <c r="O1310" s="66" t="inlineStr">
        <is>
          <t>Auction - Cost Cap</t>
        </is>
      </c>
      <c r="P1310" s="66" t="inlineStr">
        <is>
          <t>Complete Payment / Lead</t>
        </is>
      </c>
      <c r="Q1310" s="66" t="inlineStr">
        <is>
          <t>https://www.lepas-sa.co.za/offers/pantera</t>
        </is>
      </c>
      <c r="R1310" s="121" t="n">
        <v>113.94</v>
      </c>
      <c r="S1310" s="122" t="n">
        <v>2771</v>
      </c>
      <c r="T1310" s="122" t="n">
        <v>1424</v>
      </c>
      <c r="U1310" s="123">
        <f>IFERROR(S1310/T1310,"")</f>
        <v/>
      </c>
      <c r="V1310" s="122" t="n">
        <v>22</v>
      </c>
      <c r="W1310" s="122" t="n">
        <v>17</v>
      </c>
      <c r="X1310" s="124">
        <f>IFERROR(W1310/S1310,"")</f>
        <v/>
      </c>
      <c r="Y1310" s="121">
        <f>IFERROR(R1310/W1310,"")</f>
        <v/>
      </c>
      <c r="Z1310" s="121">
        <f>IFERROR(R1310/S1310*1000,"")</f>
        <v/>
      </c>
      <c r="AA1310" s="122" t="n">
        <v>12</v>
      </c>
      <c r="AB1310" s="54">
        <f>IFERROR(AA1310/W1310,"")</f>
        <v/>
      </c>
      <c r="AC1310" s="122" t="n">
        <v>1125</v>
      </c>
      <c r="AD1310" s="122" t="n">
        <v>603</v>
      </c>
      <c r="AE1310" s="122" t="n">
        <v>607</v>
      </c>
      <c r="AF1310" s="122" t="n">
        <v>390</v>
      </c>
      <c r="AG1310" s="122" t="n">
        <v>308</v>
      </c>
      <c r="AH1310" s="122" t="n">
        <v>223</v>
      </c>
      <c r="AI1310" s="54">
        <f>IFERROR(AC1310/S1310,"")</f>
        <v/>
      </c>
      <c r="AJ1310" s="54">
        <f>IFERROR(AH1310/S1310,"")</f>
        <v/>
      </c>
      <c r="AK1310" s="122" t="n">
        <v>146</v>
      </c>
      <c r="AL1310" s="122" t="n">
        <v>0</v>
      </c>
      <c r="AM1310" s="124">
        <f>IFERROR(AL1310/AA1310,"")</f>
        <v/>
      </c>
      <c r="AN1310" s="125">
        <f>IFERROR(R1310/AL1310,"")</f>
        <v/>
      </c>
      <c r="AO1310" s="122" t="n">
        <v>0</v>
      </c>
      <c r="AP1310" s="54">
        <f>IFERROR(AO1310/AL1310,"")</f>
        <v/>
      </c>
      <c r="AQ1310" s="125">
        <f>IFERROR(R1310/AO1310,"")</f>
        <v/>
      </c>
      <c r="AR1310" s="122" t="n">
        <v>0</v>
      </c>
      <c r="AS1310" s="122" t="n">
        <v>0</v>
      </c>
      <c r="AT1310" s="122">
        <f>AL1310+AR1310</f>
        <v/>
      </c>
      <c r="AU1310" s="125">
        <f>IFERROR(AO1310*Assumptions!$C$26*Assumptions!$C$27*INDEX(Assumptions!$C$18:$C$21,MATCH(H1310,Assumptions!$B$18:$B$21,0)),0)</f>
        <v/>
      </c>
    </row>
    <row r="1311">
      <c r="A1311" s="120" t="n">
        <v>46254</v>
      </c>
      <c r="B1311" s="66" t="inlineStr">
        <is>
          <t>Wk 34</t>
        </is>
      </c>
      <c r="C1311" s="66" t="inlineStr">
        <is>
          <t>Thu</t>
        </is>
      </c>
      <c r="D1311" s="66" t="inlineStr">
        <is>
          <t>TikTok</t>
        </is>
      </c>
      <c r="E1311" s="66" t="inlineStr">
        <is>
          <t>TikTok</t>
        </is>
      </c>
      <c r="F1311" s="66" t="inlineStr">
        <is>
          <t>LEP_ZA_AUG26_TT_TD_PANTERA_CONV</t>
        </is>
      </c>
      <c r="G1311" s="66" t="inlineStr">
        <is>
          <t>Website Conversions</t>
        </is>
      </c>
      <c r="H1311" s="66" t="inlineStr">
        <is>
          <t>PANTERA</t>
        </is>
      </c>
      <c r="I1311" s="66" t="inlineStr">
        <is>
          <t>0% Deposit</t>
        </is>
      </c>
      <c r="J1311" s="66" t="inlineStr">
        <is>
          <t>TT_PANTERA_INT_LUX_ZA</t>
        </is>
      </c>
      <c r="K1311" s="66" t="inlineStr">
        <is>
          <t>Interest</t>
        </is>
      </c>
      <c r="L1311" s="66" t="inlineStr">
        <is>
          <t>TT_PANTERA_UGC_18s_NightRun_v1</t>
        </is>
      </c>
      <c r="M1311" s="66" t="inlineStr">
        <is>
          <t>Video 9:16</t>
        </is>
      </c>
      <c r="N1311" s="66" t="inlineStr">
        <is>
          <t>Night run in the PANTERA</t>
        </is>
      </c>
      <c r="O1311" s="66" t="inlineStr">
        <is>
          <t>Auction - Cost Cap</t>
        </is>
      </c>
      <c r="P1311" s="66" t="inlineStr">
        <is>
          <t>Complete Payment / Lead</t>
        </is>
      </c>
      <c r="Q1311" s="66" t="inlineStr">
        <is>
          <t>https://www.lepas-sa.co.za/offers/pantera</t>
        </is>
      </c>
      <c r="R1311" s="121" t="n">
        <v>131.02</v>
      </c>
      <c r="S1311" s="122" t="n">
        <v>3345</v>
      </c>
      <c r="T1311" s="122" t="n">
        <v>2111</v>
      </c>
      <c r="U1311" s="123">
        <f>IFERROR(S1311/T1311,"")</f>
        <v/>
      </c>
      <c r="V1311" s="122" t="n">
        <v>24</v>
      </c>
      <c r="W1311" s="122" t="n">
        <v>19</v>
      </c>
      <c r="X1311" s="124">
        <f>IFERROR(W1311/S1311,"")</f>
        <v/>
      </c>
      <c r="Y1311" s="121">
        <f>IFERROR(R1311/W1311,"")</f>
        <v/>
      </c>
      <c r="Z1311" s="121">
        <f>IFERROR(R1311/S1311*1000,"")</f>
        <v/>
      </c>
      <c r="AA1311" s="122" t="n">
        <v>13</v>
      </c>
      <c r="AB1311" s="54">
        <f>IFERROR(AA1311/W1311,"")</f>
        <v/>
      </c>
      <c r="AC1311" s="122" t="n">
        <v>892</v>
      </c>
      <c r="AD1311" s="122" t="n">
        <v>467</v>
      </c>
      <c r="AE1311" s="122" t="n">
        <v>490</v>
      </c>
      <c r="AF1311" s="122" t="n">
        <v>294</v>
      </c>
      <c r="AG1311" s="122" t="n">
        <v>206</v>
      </c>
      <c r="AH1311" s="122" t="n">
        <v>151</v>
      </c>
      <c r="AI1311" s="54">
        <f>IFERROR(AC1311/S1311,"")</f>
        <v/>
      </c>
      <c r="AJ1311" s="54">
        <f>IFERROR(AH1311/S1311,"")</f>
        <v/>
      </c>
      <c r="AK1311" s="122" t="n">
        <v>83</v>
      </c>
      <c r="AL1311" s="122" t="n">
        <v>0</v>
      </c>
      <c r="AM1311" s="124">
        <f>IFERROR(AL1311/AA1311,"")</f>
        <v/>
      </c>
      <c r="AN1311" s="125">
        <f>IFERROR(R1311/AL1311,"")</f>
        <v/>
      </c>
      <c r="AO1311" s="122" t="n">
        <v>0</v>
      </c>
      <c r="AP1311" s="54">
        <f>IFERROR(AO1311/AL1311,"")</f>
        <v/>
      </c>
      <c r="AQ1311" s="125">
        <f>IFERROR(R1311/AO1311,"")</f>
        <v/>
      </c>
      <c r="AR1311" s="122" t="n">
        <v>0</v>
      </c>
      <c r="AS1311" s="122" t="n">
        <v>0</v>
      </c>
      <c r="AT1311" s="122">
        <f>AL1311+AR1311</f>
        <v/>
      </c>
      <c r="AU1311" s="125">
        <f>IFERROR(AO1311*Assumptions!$C$26*Assumptions!$C$27*INDEX(Assumptions!$C$18:$C$21,MATCH(H1311,Assumptions!$B$18:$B$21,0)),0)</f>
        <v/>
      </c>
    </row>
    <row r="1312">
      <c r="A1312" s="120" t="n">
        <v>46255</v>
      </c>
      <c r="B1312" s="66" t="inlineStr">
        <is>
          <t>Wk 34</t>
        </is>
      </c>
      <c r="C1312" s="66" t="inlineStr">
        <is>
          <t>Fri</t>
        </is>
      </c>
      <c r="D1312" s="66" t="inlineStr">
        <is>
          <t>TikTok</t>
        </is>
      </c>
      <c r="E1312" s="66" t="inlineStr">
        <is>
          <t>TikTok</t>
        </is>
      </c>
      <c r="F1312" s="66" t="inlineStr">
        <is>
          <t>LEP_ZA_AUG26_TT_TD_PANTERA_CONV</t>
        </is>
      </c>
      <c r="G1312" s="66" t="inlineStr">
        <is>
          <t>Website Conversions</t>
        </is>
      </c>
      <c r="H1312" s="66" t="inlineStr">
        <is>
          <t>PANTERA</t>
        </is>
      </c>
      <c r="I1312" s="66" t="inlineStr">
        <is>
          <t>0% Deposit</t>
        </is>
      </c>
      <c r="J1312" s="66" t="inlineStr">
        <is>
          <t>TT_PANTERA_INT_LUX_ZA</t>
        </is>
      </c>
      <c r="K1312" s="66" t="inlineStr">
        <is>
          <t>Interest</t>
        </is>
      </c>
      <c r="L1312" s="66" t="inlineStr">
        <is>
          <t>TT_PANTERA_UGC_18s_NightRun_v1</t>
        </is>
      </c>
      <c r="M1312" s="66" t="inlineStr">
        <is>
          <t>Video 9:16</t>
        </is>
      </c>
      <c r="N1312" s="66" t="inlineStr">
        <is>
          <t>Night run in the PANTERA</t>
        </is>
      </c>
      <c r="O1312" s="66" t="inlineStr">
        <is>
          <t>Auction - Cost Cap</t>
        </is>
      </c>
      <c r="P1312" s="66" t="inlineStr">
        <is>
          <t>Complete Payment / Lead</t>
        </is>
      </c>
      <c r="Q1312" s="66" t="inlineStr">
        <is>
          <t>https://www.lepas-sa.co.za/offers/pantera</t>
        </is>
      </c>
      <c r="R1312" s="121" t="n">
        <v>135.03</v>
      </c>
      <c r="S1312" s="122" t="n">
        <v>4390</v>
      </c>
      <c r="T1312" s="122" t="n">
        <v>2147</v>
      </c>
      <c r="U1312" s="123">
        <f>IFERROR(S1312/T1312,"")</f>
        <v/>
      </c>
      <c r="V1312" s="122" t="n">
        <v>55</v>
      </c>
      <c r="W1312" s="122" t="n">
        <v>46</v>
      </c>
      <c r="X1312" s="124">
        <f>IFERROR(W1312/S1312,"")</f>
        <v/>
      </c>
      <c r="Y1312" s="121">
        <f>IFERROR(R1312/W1312,"")</f>
        <v/>
      </c>
      <c r="Z1312" s="121">
        <f>IFERROR(R1312/S1312*1000,"")</f>
        <v/>
      </c>
      <c r="AA1312" s="122" t="n">
        <v>29</v>
      </c>
      <c r="AB1312" s="54">
        <f>IFERROR(AA1312/W1312,"")</f>
        <v/>
      </c>
      <c r="AC1312" s="122" t="n">
        <v>1024</v>
      </c>
      <c r="AD1312" s="122" t="n">
        <v>457</v>
      </c>
      <c r="AE1312" s="122" t="n">
        <v>552</v>
      </c>
      <c r="AF1312" s="122" t="n">
        <v>376</v>
      </c>
      <c r="AG1312" s="122" t="n">
        <v>297</v>
      </c>
      <c r="AH1312" s="122" t="n">
        <v>208</v>
      </c>
      <c r="AI1312" s="54">
        <f>IFERROR(AC1312/S1312,"")</f>
        <v/>
      </c>
      <c r="AJ1312" s="54">
        <f>IFERROR(AH1312/S1312,"")</f>
        <v/>
      </c>
      <c r="AK1312" s="122" t="n">
        <v>211</v>
      </c>
      <c r="AL1312" s="122" t="n">
        <v>0</v>
      </c>
      <c r="AM1312" s="124">
        <f>IFERROR(AL1312/AA1312,"")</f>
        <v/>
      </c>
      <c r="AN1312" s="125">
        <f>IFERROR(R1312/AL1312,"")</f>
        <v/>
      </c>
      <c r="AO1312" s="122" t="n">
        <v>0</v>
      </c>
      <c r="AP1312" s="54">
        <f>IFERROR(AO1312/AL1312,"")</f>
        <v/>
      </c>
      <c r="AQ1312" s="125">
        <f>IFERROR(R1312/AO1312,"")</f>
        <v/>
      </c>
      <c r="AR1312" s="122" t="n">
        <v>0</v>
      </c>
      <c r="AS1312" s="122" t="n">
        <v>0</v>
      </c>
      <c r="AT1312" s="122">
        <f>AL1312+AR1312</f>
        <v/>
      </c>
      <c r="AU1312" s="125">
        <f>IFERROR(AO1312*Assumptions!$C$26*Assumptions!$C$27*INDEX(Assumptions!$C$18:$C$21,MATCH(H1312,Assumptions!$B$18:$B$21,0)),0)</f>
        <v/>
      </c>
    </row>
    <row r="1313">
      <c r="A1313" s="120" t="n">
        <v>46256</v>
      </c>
      <c r="B1313" s="66" t="inlineStr">
        <is>
          <t>Wk 34</t>
        </is>
      </c>
      <c r="C1313" s="66" t="inlineStr">
        <is>
          <t>Sat</t>
        </is>
      </c>
      <c r="D1313" s="66" t="inlineStr">
        <is>
          <t>TikTok</t>
        </is>
      </c>
      <c r="E1313" s="66" t="inlineStr">
        <is>
          <t>TikTok</t>
        </is>
      </c>
      <c r="F1313" s="66" t="inlineStr">
        <is>
          <t>LEP_ZA_AUG26_TT_TD_PANTERA_CONV</t>
        </is>
      </c>
      <c r="G1313" s="66" t="inlineStr">
        <is>
          <t>Website Conversions</t>
        </is>
      </c>
      <c r="H1313" s="66" t="inlineStr">
        <is>
          <t>PANTERA</t>
        </is>
      </c>
      <c r="I1313" s="66" t="inlineStr">
        <is>
          <t>0% Deposit</t>
        </is>
      </c>
      <c r="J1313" s="66" t="inlineStr">
        <is>
          <t>TT_PANTERA_INT_LUX_ZA</t>
        </is>
      </c>
      <c r="K1313" s="66" t="inlineStr">
        <is>
          <t>Interest</t>
        </is>
      </c>
      <c r="L1313" s="66" t="inlineStr">
        <is>
          <t>TT_PANTERA_UGC_18s_NightRun_v1</t>
        </is>
      </c>
      <c r="M1313" s="66" t="inlineStr">
        <is>
          <t>Video 9:16</t>
        </is>
      </c>
      <c r="N1313" s="66" t="inlineStr">
        <is>
          <t>Night run in the PANTERA</t>
        </is>
      </c>
      <c r="O1313" s="66" t="inlineStr">
        <is>
          <t>Auction - Cost Cap</t>
        </is>
      </c>
      <c r="P1313" s="66" t="inlineStr">
        <is>
          <t>Complete Payment / Lead</t>
        </is>
      </c>
      <c r="Q1313" s="66" t="inlineStr">
        <is>
          <t>https://www.lepas-sa.co.za/offers/pantera</t>
        </is>
      </c>
      <c r="R1313" s="121" t="n">
        <v>135.08</v>
      </c>
      <c r="S1313" s="122" t="n">
        <v>4856</v>
      </c>
      <c r="T1313" s="122" t="n">
        <v>2459</v>
      </c>
      <c r="U1313" s="123">
        <f>IFERROR(S1313/T1313,"")</f>
        <v/>
      </c>
      <c r="V1313" s="122" t="n">
        <v>60</v>
      </c>
      <c r="W1313" s="122" t="n">
        <v>44</v>
      </c>
      <c r="X1313" s="124">
        <f>IFERROR(W1313/S1313,"")</f>
        <v/>
      </c>
      <c r="Y1313" s="121">
        <f>IFERROR(R1313/W1313,"")</f>
        <v/>
      </c>
      <c r="Z1313" s="121">
        <f>IFERROR(R1313/S1313*1000,"")</f>
        <v/>
      </c>
      <c r="AA1313" s="122" t="n">
        <v>29</v>
      </c>
      <c r="AB1313" s="54">
        <f>IFERROR(AA1313/W1313,"")</f>
        <v/>
      </c>
      <c r="AC1313" s="122" t="n">
        <v>1598</v>
      </c>
      <c r="AD1313" s="122" t="n">
        <v>898</v>
      </c>
      <c r="AE1313" s="122" t="n">
        <v>753</v>
      </c>
      <c r="AF1313" s="122" t="n">
        <v>535</v>
      </c>
      <c r="AG1313" s="122" t="n">
        <v>342</v>
      </c>
      <c r="AH1313" s="122" t="n">
        <v>235</v>
      </c>
      <c r="AI1313" s="54">
        <f>IFERROR(AC1313/S1313,"")</f>
        <v/>
      </c>
      <c r="AJ1313" s="54">
        <f>IFERROR(AH1313/S1313,"")</f>
        <v/>
      </c>
      <c r="AK1313" s="122" t="n">
        <v>223</v>
      </c>
      <c r="AL1313" s="122" t="n">
        <v>0</v>
      </c>
      <c r="AM1313" s="124">
        <f>IFERROR(AL1313/AA1313,"")</f>
        <v/>
      </c>
      <c r="AN1313" s="125">
        <f>IFERROR(R1313/AL1313,"")</f>
        <v/>
      </c>
      <c r="AO1313" s="122" t="n">
        <v>0</v>
      </c>
      <c r="AP1313" s="54">
        <f>IFERROR(AO1313/AL1313,"")</f>
        <v/>
      </c>
      <c r="AQ1313" s="125">
        <f>IFERROR(R1313/AO1313,"")</f>
        <v/>
      </c>
      <c r="AR1313" s="122" t="n">
        <v>0</v>
      </c>
      <c r="AS1313" s="122" t="n">
        <v>0</v>
      </c>
      <c r="AT1313" s="122">
        <f>AL1313+AR1313</f>
        <v/>
      </c>
      <c r="AU1313" s="125">
        <f>IFERROR(AO1313*Assumptions!$C$26*Assumptions!$C$27*INDEX(Assumptions!$C$18:$C$21,MATCH(H1313,Assumptions!$B$18:$B$21,0)),0)</f>
        <v/>
      </c>
    </row>
    <row r="1314">
      <c r="A1314" s="120" t="n">
        <v>46257</v>
      </c>
      <c r="B1314" s="66" t="inlineStr">
        <is>
          <t>Wk 34</t>
        </is>
      </c>
      <c r="C1314" s="66" t="inlineStr">
        <is>
          <t>Sun</t>
        </is>
      </c>
      <c r="D1314" s="66" t="inlineStr">
        <is>
          <t>TikTok</t>
        </is>
      </c>
      <c r="E1314" s="66" t="inlineStr">
        <is>
          <t>TikTok</t>
        </is>
      </c>
      <c r="F1314" s="66" t="inlineStr">
        <is>
          <t>LEP_ZA_AUG26_TT_TD_PANTERA_CONV</t>
        </is>
      </c>
      <c r="G1314" s="66" t="inlineStr">
        <is>
          <t>Website Conversions</t>
        </is>
      </c>
      <c r="H1314" s="66" t="inlineStr">
        <is>
          <t>PANTERA</t>
        </is>
      </c>
      <c r="I1314" s="66" t="inlineStr">
        <is>
          <t>0% Deposit</t>
        </is>
      </c>
      <c r="J1314" s="66" t="inlineStr">
        <is>
          <t>TT_PANTERA_INT_LUX_ZA</t>
        </is>
      </c>
      <c r="K1314" s="66" t="inlineStr">
        <is>
          <t>Interest</t>
        </is>
      </c>
      <c r="L1314" s="66" t="inlineStr">
        <is>
          <t>TT_PANTERA_UGC_18s_NightRun_v1</t>
        </is>
      </c>
      <c r="M1314" s="66" t="inlineStr">
        <is>
          <t>Video 9:16</t>
        </is>
      </c>
      <c r="N1314" s="66" t="inlineStr">
        <is>
          <t>Night run in the PANTERA</t>
        </is>
      </c>
      <c r="O1314" s="66" t="inlineStr">
        <is>
          <t>Auction - Cost Cap</t>
        </is>
      </c>
      <c r="P1314" s="66" t="inlineStr">
        <is>
          <t>Complete Payment / Lead</t>
        </is>
      </c>
      <c r="Q1314" s="66" t="inlineStr">
        <is>
          <t>https://www.lepas-sa.co.za/offers/pantera</t>
        </is>
      </c>
      <c r="R1314" s="121" t="n">
        <v>103.21</v>
      </c>
      <c r="S1314" s="122" t="n">
        <v>2489</v>
      </c>
      <c r="T1314" s="122" t="n">
        <v>1646</v>
      </c>
      <c r="U1314" s="123">
        <f>IFERROR(S1314/T1314,"")</f>
        <v/>
      </c>
      <c r="V1314" s="122" t="n">
        <v>33</v>
      </c>
      <c r="W1314" s="122" t="n">
        <v>25</v>
      </c>
      <c r="X1314" s="124">
        <f>IFERROR(W1314/S1314,"")</f>
        <v/>
      </c>
      <c r="Y1314" s="121">
        <f>IFERROR(R1314/W1314,"")</f>
        <v/>
      </c>
      <c r="Z1314" s="121">
        <f>IFERROR(R1314/S1314*1000,"")</f>
        <v/>
      </c>
      <c r="AA1314" s="122" t="n">
        <v>17</v>
      </c>
      <c r="AB1314" s="54">
        <f>IFERROR(AA1314/W1314,"")</f>
        <v/>
      </c>
      <c r="AC1314" s="122" t="n">
        <v>763</v>
      </c>
      <c r="AD1314" s="122" t="n">
        <v>389</v>
      </c>
      <c r="AE1314" s="122" t="n">
        <v>338</v>
      </c>
      <c r="AF1314" s="122" t="n">
        <v>198</v>
      </c>
      <c r="AG1314" s="122" t="n">
        <v>139</v>
      </c>
      <c r="AH1314" s="122" t="n">
        <v>77</v>
      </c>
      <c r="AI1314" s="54">
        <f>IFERROR(AC1314/S1314,"")</f>
        <v/>
      </c>
      <c r="AJ1314" s="54">
        <f>IFERROR(AH1314/S1314,"")</f>
        <v/>
      </c>
      <c r="AK1314" s="122" t="n">
        <v>111</v>
      </c>
      <c r="AL1314" s="122" t="n">
        <v>0</v>
      </c>
      <c r="AM1314" s="124">
        <f>IFERROR(AL1314/AA1314,"")</f>
        <v/>
      </c>
      <c r="AN1314" s="125">
        <f>IFERROR(R1314/AL1314,"")</f>
        <v/>
      </c>
      <c r="AO1314" s="122" t="n">
        <v>0</v>
      </c>
      <c r="AP1314" s="54">
        <f>IFERROR(AO1314/AL1314,"")</f>
        <v/>
      </c>
      <c r="AQ1314" s="125">
        <f>IFERROR(R1314/AO1314,"")</f>
        <v/>
      </c>
      <c r="AR1314" s="122" t="n">
        <v>0</v>
      </c>
      <c r="AS1314" s="122" t="n">
        <v>0</v>
      </c>
      <c r="AT1314" s="122">
        <f>AL1314+AR1314</f>
        <v/>
      </c>
      <c r="AU1314" s="125">
        <f>IFERROR(AO1314*Assumptions!$C$26*Assumptions!$C$27*INDEX(Assumptions!$C$18:$C$21,MATCH(H1314,Assumptions!$B$18:$B$21,0)),0)</f>
        <v/>
      </c>
    </row>
    <row r="1315">
      <c r="A1315" s="120" t="n">
        <v>46258</v>
      </c>
      <c r="B1315" s="66" t="inlineStr">
        <is>
          <t>Wk 35</t>
        </is>
      </c>
      <c r="C1315" s="66" t="inlineStr">
        <is>
          <t>Mon</t>
        </is>
      </c>
      <c r="D1315" s="66" t="inlineStr">
        <is>
          <t>TikTok</t>
        </is>
      </c>
      <c r="E1315" s="66" t="inlineStr">
        <is>
          <t>TikTok</t>
        </is>
      </c>
      <c r="F1315" s="66" t="inlineStr">
        <is>
          <t>LEP_ZA_AUG26_TT_TD_PANTERA_CONV</t>
        </is>
      </c>
      <c r="G1315" s="66" t="inlineStr">
        <is>
          <t>Website Conversions</t>
        </is>
      </c>
      <c r="H1315" s="66" t="inlineStr">
        <is>
          <t>PANTERA</t>
        </is>
      </c>
      <c r="I1315" s="66" t="inlineStr">
        <is>
          <t>0% Deposit</t>
        </is>
      </c>
      <c r="J1315" s="66" t="inlineStr">
        <is>
          <t>TT_PANTERA_INT_LUX_ZA</t>
        </is>
      </c>
      <c r="K1315" s="66" t="inlineStr">
        <is>
          <t>Interest</t>
        </is>
      </c>
      <c r="L1315" s="66" t="inlineStr">
        <is>
          <t>TT_PANTERA_UGC_18s_NightRun_v1</t>
        </is>
      </c>
      <c r="M1315" s="66" t="inlineStr">
        <is>
          <t>Video 9:16</t>
        </is>
      </c>
      <c r="N1315" s="66" t="inlineStr">
        <is>
          <t>Night run in the PANTERA</t>
        </is>
      </c>
      <c r="O1315" s="66" t="inlineStr">
        <is>
          <t>Auction - Cost Cap</t>
        </is>
      </c>
      <c r="P1315" s="66" t="inlineStr">
        <is>
          <t>Complete Payment / Lead</t>
        </is>
      </c>
      <c r="Q1315" s="66" t="inlineStr">
        <is>
          <t>https://www.lepas-sa.co.za/offers/pantera</t>
        </is>
      </c>
      <c r="R1315" s="121" t="n">
        <v>109.14</v>
      </c>
      <c r="S1315" s="122" t="n">
        <v>2743</v>
      </c>
      <c r="T1315" s="122" t="n">
        <v>1604</v>
      </c>
      <c r="U1315" s="123">
        <f>IFERROR(S1315/T1315,"")</f>
        <v/>
      </c>
      <c r="V1315" s="122" t="n">
        <v>20</v>
      </c>
      <c r="W1315" s="122" t="n">
        <v>16</v>
      </c>
      <c r="X1315" s="124">
        <f>IFERROR(W1315/S1315,"")</f>
        <v/>
      </c>
      <c r="Y1315" s="121">
        <f>IFERROR(R1315/W1315,"")</f>
        <v/>
      </c>
      <c r="Z1315" s="121">
        <f>IFERROR(R1315/S1315*1000,"")</f>
        <v/>
      </c>
      <c r="AA1315" s="122" t="n">
        <v>10</v>
      </c>
      <c r="AB1315" s="54">
        <f>IFERROR(AA1315/W1315,"")</f>
        <v/>
      </c>
      <c r="AC1315" s="122" t="n">
        <v>1024</v>
      </c>
      <c r="AD1315" s="122" t="n">
        <v>457</v>
      </c>
      <c r="AE1315" s="122" t="n">
        <v>518</v>
      </c>
      <c r="AF1315" s="122" t="n">
        <v>338</v>
      </c>
      <c r="AG1315" s="122" t="n">
        <v>263</v>
      </c>
      <c r="AH1315" s="122" t="n">
        <v>153</v>
      </c>
      <c r="AI1315" s="54">
        <f>IFERROR(AC1315/S1315,"")</f>
        <v/>
      </c>
      <c r="AJ1315" s="54">
        <f>IFERROR(AH1315/S1315,"")</f>
        <v/>
      </c>
      <c r="AK1315" s="122" t="n">
        <v>100</v>
      </c>
      <c r="AL1315" s="122" t="n">
        <v>0</v>
      </c>
      <c r="AM1315" s="124">
        <f>IFERROR(AL1315/AA1315,"")</f>
        <v/>
      </c>
      <c r="AN1315" s="125">
        <f>IFERROR(R1315/AL1315,"")</f>
        <v/>
      </c>
      <c r="AO1315" s="122" t="n">
        <v>0</v>
      </c>
      <c r="AP1315" s="54">
        <f>IFERROR(AO1315/AL1315,"")</f>
        <v/>
      </c>
      <c r="AQ1315" s="125">
        <f>IFERROR(R1315/AO1315,"")</f>
        <v/>
      </c>
      <c r="AR1315" s="122" t="n">
        <v>0</v>
      </c>
      <c r="AS1315" s="122" t="n">
        <v>0</v>
      </c>
      <c r="AT1315" s="122">
        <f>AL1315+AR1315</f>
        <v/>
      </c>
      <c r="AU1315" s="125">
        <f>IFERROR(AO1315*Assumptions!$C$26*Assumptions!$C$27*INDEX(Assumptions!$C$18:$C$21,MATCH(H1315,Assumptions!$B$18:$B$21,0)),0)</f>
        <v/>
      </c>
    </row>
    <row r="1316">
      <c r="A1316" s="120" t="n">
        <v>46259</v>
      </c>
      <c r="B1316" s="66" t="inlineStr">
        <is>
          <t>Wk 35</t>
        </is>
      </c>
      <c r="C1316" s="66" t="inlineStr">
        <is>
          <t>Tue</t>
        </is>
      </c>
      <c r="D1316" s="66" t="inlineStr">
        <is>
          <t>TikTok</t>
        </is>
      </c>
      <c r="E1316" s="66" t="inlineStr">
        <is>
          <t>TikTok</t>
        </is>
      </c>
      <c r="F1316" s="66" t="inlineStr">
        <is>
          <t>LEP_ZA_AUG26_TT_TD_PANTERA_CONV</t>
        </is>
      </c>
      <c r="G1316" s="66" t="inlineStr">
        <is>
          <t>Website Conversions</t>
        </is>
      </c>
      <c r="H1316" s="66" t="inlineStr">
        <is>
          <t>PANTERA</t>
        </is>
      </c>
      <c r="I1316" s="66" t="inlineStr">
        <is>
          <t>0% Deposit</t>
        </is>
      </c>
      <c r="J1316" s="66" t="inlineStr">
        <is>
          <t>TT_PANTERA_INT_LUX_ZA</t>
        </is>
      </c>
      <c r="K1316" s="66" t="inlineStr">
        <is>
          <t>Interest</t>
        </is>
      </c>
      <c r="L1316" s="66" t="inlineStr">
        <is>
          <t>TT_PANTERA_UGC_18s_NightRun_v1</t>
        </is>
      </c>
      <c r="M1316" s="66" t="inlineStr">
        <is>
          <t>Video 9:16</t>
        </is>
      </c>
      <c r="N1316" s="66" t="inlineStr">
        <is>
          <t>Night run in the PANTERA</t>
        </is>
      </c>
      <c r="O1316" s="66" t="inlineStr">
        <is>
          <t>Auction - Cost Cap</t>
        </is>
      </c>
      <c r="P1316" s="66" t="inlineStr">
        <is>
          <t>Complete Payment / Lead</t>
        </is>
      </c>
      <c r="Q1316" s="66" t="inlineStr">
        <is>
          <t>https://www.lepas-sa.co.za/offers/pantera</t>
        </is>
      </c>
      <c r="R1316" s="121" t="n">
        <v>103.12</v>
      </c>
      <c r="S1316" s="122" t="n">
        <v>2592</v>
      </c>
      <c r="T1316" s="122" t="n">
        <v>1288</v>
      </c>
      <c r="U1316" s="123">
        <f>IFERROR(S1316/T1316,"")</f>
        <v/>
      </c>
      <c r="V1316" s="122" t="n">
        <v>25</v>
      </c>
      <c r="W1316" s="122" t="n">
        <v>19</v>
      </c>
      <c r="X1316" s="124">
        <f>IFERROR(W1316/S1316,"")</f>
        <v/>
      </c>
      <c r="Y1316" s="121">
        <f>IFERROR(R1316/W1316,"")</f>
        <v/>
      </c>
      <c r="Z1316" s="121">
        <f>IFERROR(R1316/S1316*1000,"")</f>
        <v/>
      </c>
      <c r="AA1316" s="122" t="n">
        <v>13</v>
      </c>
      <c r="AB1316" s="54">
        <f>IFERROR(AA1316/W1316,"")</f>
        <v/>
      </c>
      <c r="AC1316" s="122" t="n">
        <v>859</v>
      </c>
      <c r="AD1316" s="122" t="n">
        <v>379</v>
      </c>
      <c r="AE1316" s="122" t="n">
        <v>344</v>
      </c>
      <c r="AF1316" s="122" t="n">
        <v>218</v>
      </c>
      <c r="AG1316" s="122" t="n">
        <v>166</v>
      </c>
      <c r="AH1316" s="122" t="n">
        <v>102</v>
      </c>
      <c r="AI1316" s="54">
        <f>IFERROR(AC1316/S1316,"")</f>
        <v/>
      </c>
      <c r="AJ1316" s="54">
        <f>IFERROR(AH1316/S1316,"")</f>
        <v/>
      </c>
      <c r="AK1316" s="122" t="n">
        <v>78</v>
      </c>
      <c r="AL1316" s="122" t="n">
        <v>0</v>
      </c>
      <c r="AM1316" s="124">
        <f>IFERROR(AL1316/AA1316,"")</f>
        <v/>
      </c>
      <c r="AN1316" s="125">
        <f>IFERROR(R1316/AL1316,"")</f>
        <v/>
      </c>
      <c r="AO1316" s="122" t="n">
        <v>0</v>
      </c>
      <c r="AP1316" s="54">
        <f>IFERROR(AO1316/AL1316,"")</f>
        <v/>
      </c>
      <c r="AQ1316" s="125">
        <f>IFERROR(R1316/AO1316,"")</f>
        <v/>
      </c>
      <c r="AR1316" s="122" t="n">
        <v>0</v>
      </c>
      <c r="AS1316" s="122" t="n">
        <v>0</v>
      </c>
      <c r="AT1316" s="122">
        <f>AL1316+AR1316</f>
        <v/>
      </c>
      <c r="AU1316" s="125">
        <f>IFERROR(AO1316*Assumptions!$C$26*Assumptions!$C$27*INDEX(Assumptions!$C$18:$C$21,MATCH(H1316,Assumptions!$B$18:$B$21,0)),0)</f>
        <v/>
      </c>
    </row>
    <row r="1317">
      <c r="A1317" s="120" t="n">
        <v>46260</v>
      </c>
      <c r="B1317" s="66" t="inlineStr">
        <is>
          <t>Wk 35</t>
        </is>
      </c>
      <c r="C1317" s="66" t="inlineStr">
        <is>
          <t>Wed</t>
        </is>
      </c>
      <c r="D1317" s="66" t="inlineStr">
        <is>
          <t>TikTok</t>
        </is>
      </c>
      <c r="E1317" s="66" t="inlineStr">
        <is>
          <t>TikTok</t>
        </is>
      </c>
      <c r="F1317" s="66" t="inlineStr">
        <is>
          <t>LEP_ZA_AUG26_TT_TD_PANTERA_CONV</t>
        </is>
      </c>
      <c r="G1317" s="66" t="inlineStr">
        <is>
          <t>Website Conversions</t>
        </is>
      </c>
      <c r="H1317" s="66" t="inlineStr">
        <is>
          <t>PANTERA</t>
        </is>
      </c>
      <c r="I1317" s="66" t="inlineStr">
        <is>
          <t>0% Deposit</t>
        </is>
      </c>
      <c r="J1317" s="66" t="inlineStr">
        <is>
          <t>TT_PANTERA_INT_LUX_ZA</t>
        </is>
      </c>
      <c r="K1317" s="66" t="inlineStr">
        <is>
          <t>Interest</t>
        </is>
      </c>
      <c r="L1317" s="66" t="inlineStr">
        <is>
          <t>TT_PANTERA_UGC_18s_NightRun_v1</t>
        </is>
      </c>
      <c r="M1317" s="66" t="inlineStr">
        <is>
          <t>Video 9:16</t>
        </is>
      </c>
      <c r="N1317" s="66" t="inlineStr">
        <is>
          <t>Night run in the PANTERA</t>
        </is>
      </c>
      <c r="O1317" s="66" t="inlineStr">
        <is>
          <t>Auction - Cost Cap</t>
        </is>
      </c>
      <c r="P1317" s="66" t="inlineStr">
        <is>
          <t>Complete Payment / Lead</t>
        </is>
      </c>
      <c r="Q1317" s="66" t="inlineStr">
        <is>
          <t>https://www.lepas-sa.co.za/offers/pantera</t>
        </is>
      </c>
      <c r="R1317" s="121" t="n">
        <v>125.67</v>
      </c>
      <c r="S1317" s="122" t="n">
        <v>3572</v>
      </c>
      <c r="T1317" s="122" t="n">
        <v>1585</v>
      </c>
      <c r="U1317" s="123">
        <f>IFERROR(S1317/T1317,"")</f>
        <v/>
      </c>
      <c r="V1317" s="122" t="n">
        <v>34</v>
      </c>
      <c r="W1317" s="122" t="n">
        <v>24</v>
      </c>
      <c r="X1317" s="124">
        <f>IFERROR(W1317/S1317,"")</f>
        <v/>
      </c>
      <c r="Y1317" s="121">
        <f>IFERROR(R1317/W1317,"")</f>
        <v/>
      </c>
      <c r="Z1317" s="121">
        <f>IFERROR(R1317/S1317*1000,"")</f>
        <v/>
      </c>
      <c r="AA1317" s="122" t="n">
        <v>15</v>
      </c>
      <c r="AB1317" s="54">
        <f>IFERROR(AA1317/W1317,"")</f>
        <v/>
      </c>
      <c r="AC1317" s="122" t="n">
        <v>812</v>
      </c>
      <c r="AD1317" s="122" t="n">
        <v>501</v>
      </c>
      <c r="AE1317" s="122" t="n">
        <v>428</v>
      </c>
      <c r="AF1317" s="122" t="n">
        <v>257</v>
      </c>
      <c r="AG1317" s="122" t="n">
        <v>193</v>
      </c>
      <c r="AH1317" s="122" t="n">
        <v>130</v>
      </c>
      <c r="AI1317" s="54">
        <f>IFERROR(AC1317/S1317,"")</f>
        <v/>
      </c>
      <c r="AJ1317" s="54">
        <f>IFERROR(AH1317/S1317,"")</f>
        <v/>
      </c>
      <c r="AK1317" s="122" t="n">
        <v>98</v>
      </c>
      <c r="AL1317" s="122" t="n">
        <v>0</v>
      </c>
      <c r="AM1317" s="124">
        <f>IFERROR(AL1317/AA1317,"")</f>
        <v/>
      </c>
      <c r="AN1317" s="125">
        <f>IFERROR(R1317/AL1317,"")</f>
        <v/>
      </c>
      <c r="AO1317" s="122" t="n">
        <v>0</v>
      </c>
      <c r="AP1317" s="54">
        <f>IFERROR(AO1317/AL1317,"")</f>
        <v/>
      </c>
      <c r="AQ1317" s="125">
        <f>IFERROR(R1317/AO1317,"")</f>
        <v/>
      </c>
      <c r="AR1317" s="122" t="n">
        <v>0</v>
      </c>
      <c r="AS1317" s="122" t="n">
        <v>0</v>
      </c>
      <c r="AT1317" s="122">
        <f>AL1317+AR1317</f>
        <v/>
      </c>
      <c r="AU1317" s="125">
        <f>IFERROR(AO1317*Assumptions!$C$26*Assumptions!$C$27*INDEX(Assumptions!$C$18:$C$21,MATCH(H1317,Assumptions!$B$18:$B$21,0)),0)</f>
        <v/>
      </c>
    </row>
    <row r="1318">
      <c r="A1318" s="120" t="n">
        <v>46261</v>
      </c>
      <c r="B1318" s="66" t="inlineStr">
        <is>
          <t>Wk 35</t>
        </is>
      </c>
      <c r="C1318" s="66" t="inlineStr">
        <is>
          <t>Thu</t>
        </is>
      </c>
      <c r="D1318" s="66" t="inlineStr">
        <is>
          <t>TikTok</t>
        </is>
      </c>
      <c r="E1318" s="66" t="inlineStr">
        <is>
          <t>TikTok</t>
        </is>
      </c>
      <c r="F1318" s="66" t="inlineStr">
        <is>
          <t>LEP_ZA_AUG26_TT_TD_PANTERA_CONV</t>
        </is>
      </c>
      <c r="G1318" s="66" t="inlineStr">
        <is>
          <t>Website Conversions</t>
        </is>
      </c>
      <c r="H1318" s="66" t="inlineStr">
        <is>
          <t>PANTERA</t>
        </is>
      </c>
      <c r="I1318" s="66" t="inlineStr">
        <is>
          <t>0% Deposit</t>
        </is>
      </c>
      <c r="J1318" s="66" t="inlineStr">
        <is>
          <t>TT_PANTERA_INT_LUX_ZA</t>
        </is>
      </c>
      <c r="K1318" s="66" t="inlineStr">
        <is>
          <t>Interest</t>
        </is>
      </c>
      <c r="L1318" s="66" t="inlineStr">
        <is>
          <t>TT_PANTERA_UGC_18s_NightRun_v1</t>
        </is>
      </c>
      <c r="M1318" s="66" t="inlineStr">
        <is>
          <t>Video 9:16</t>
        </is>
      </c>
      <c r="N1318" s="66" t="inlineStr">
        <is>
          <t>Night run in the PANTERA</t>
        </is>
      </c>
      <c r="O1318" s="66" t="inlineStr">
        <is>
          <t>Auction - Cost Cap</t>
        </is>
      </c>
      <c r="P1318" s="66" t="inlineStr">
        <is>
          <t>Complete Payment / Lead</t>
        </is>
      </c>
      <c r="Q1318" s="66" t="inlineStr">
        <is>
          <t>https://www.lepas-sa.co.za/offers/pantera</t>
        </is>
      </c>
      <c r="R1318" s="121" t="n">
        <v>144.41</v>
      </c>
      <c r="S1318" s="122" t="n">
        <v>3158</v>
      </c>
      <c r="T1318" s="122" t="n">
        <v>1466</v>
      </c>
      <c r="U1318" s="123">
        <f>IFERROR(S1318/T1318,"")</f>
        <v/>
      </c>
      <c r="V1318" s="122" t="n">
        <v>42</v>
      </c>
      <c r="W1318" s="122" t="n">
        <v>33</v>
      </c>
      <c r="X1318" s="124">
        <f>IFERROR(W1318/S1318,"")</f>
        <v/>
      </c>
      <c r="Y1318" s="121">
        <f>IFERROR(R1318/W1318,"")</f>
        <v/>
      </c>
      <c r="Z1318" s="121">
        <f>IFERROR(R1318/S1318*1000,"")</f>
        <v/>
      </c>
      <c r="AA1318" s="122" t="n">
        <v>22</v>
      </c>
      <c r="AB1318" s="54">
        <f>IFERROR(AA1318/W1318,"")</f>
        <v/>
      </c>
      <c r="AC1318" s="122" t="n">
        <v>923</v>
      </c>
      <c r="AD1318" s="122" t="n">
        <v>497</v>
      </c>
      <c r="AE1318" s="122" t="n">
        <v>504</v>
      </c>
      <c r="AF1318" s="122" t="n">
        <v>263</v>
      </c>
      <c r="AG1318" s="122" t="n">
        <v>179</v>
      </c>
      <c r="AH1318" s="122" t="n">
        <v>112</v>
      </c>
      <c r="AI1318" s="54">
        <f>IFERROR(AC1318/S1318,"")</f>
        <v/>
      </c>
      <c r="AJ1318" s="54">
        <f>IFERROR(AH1318/S1318,"")</f>
        <v/>
      </c>
      <c r="AK1318" s="122" t="n">
        <v>92</v>
      </c>
      <c r="AL1318" s="122" t="n">
        <v>0</v>
      </c>
      <c r="AM1318" s="124">
        <f>IFERROR(AL1318/AA1318,"")</f>
        <v/>
      </c>
      <c r="AN1318" s="125">
        <f>IFERROR(R1318/AL1318,"")</f>
        <v/>
      </c>
      <c r="AO1318" s="122" t="n">
        <v>0</v>
      </c>
      <c r="AP1318" s="54">
        <f>IFERROR(AO1318/AL1318,"")</f>
        <v/>
      </c>
      <c r="AQ1318" s="125">
        <f>IFERROR(R1318/AO1318,"")</f>
        <v/>
      </c>
      <c r="AR1318" s="122" t="n">
        <v>0</v>
      </c>
      <c r="AS1318" s="122" t="n">
        <v>0</v>
      </c>
      <c r="AT1318" s="122">
        <f>AL1318+AR1318</f>
        <v/>
      </c>
      <c r="AU1318" s="125">
        <f>IFERROR(AO1318*Assumptions!$C$26*Assumptions!$C$27*INDEX(Assumptions!$C$18:$C$21,MATCH(H1318,Assumptions!$B$18:$B$21,0)),0)</f>
        <v/>
      </c>
    </row>
    <row r="1319">
      <c r="A1319" s="120" t="n">
        <v>46262</v>
      </c>
      <c r="B1319" s="66" t="inlineStr">
        <is>
          <t>Wk 35</t>
        </is>
      </c>
      <c r="C1319" s="66" t="inlineStr">
        <is>
          <t>Fri</t>
        </is>
      </c>
      <c r="D1319" s="66" t="inlineStr">
        <is>
          <t>TikTok</t>
        </is>
      </c>
      <c r="E1319" s="66" t="inlineStr">
        <is>
          <t>TikTok</t>
        </is>
      </c>
      <c r="F1319" s="66" t="inlineStr">
        <is>
          <t>LEP_ZA_AUG26_TT_TD_PANTERA_CONV</t>
        </is>
      </c>
      <c r="G1319" s="66" t="inlineStr">
        <is>
          <t>Website Conversions</t>
        </is>
      </c>
      <c r="H1319" s="66" t="inlineStr">
        <is>
          <t>PANTERA</t>
        </is>
      </c>
      <c r="I1319" s="66" t="inlineStr">
        <is>
          <t>0% Deposit</t>
        </is>
      </c>
      <c r="J1319" s="66" t="inlineStr">
        <is>
          <t>TT_PANTERA_INT_LUX_ZA</t>
        </is>
      </c>
      <c r="K1319" s="66" t="inlineStr">
        <is>
          <t>Interest</t>
        </is>
      </c>
      <c r="L1319" s="66" t="inlineStr">
        <is>
          <t>TT_PANTERA_UGC_18s_NightRun_v1</t>
        </is>
      </c>
      <c r="M1319" s="66" t="inlineStr">
        <is>
          <t>Video 9:16</t>
        </is>
      </c>
      <c r="N1319" s="66" t="inlineStr">
        <is>
          <t>Night run in the PANTERA</t>
        </is>
      </c>
      <c r="O1319" s="66" t="inlineStr">
        <is>
          <t>Auction - Cost Cap</t>
        </is>
      </c>
      <c r="P1319" s="66" t="inlineStr">
        <is>
          <t>Complete Payment / Lead</t>
        </is>
      </c>
      <c r="Q1319" s="66" t="inlineStr">
        <is>
          <t>https://www.lepas-sa.co.za/offers/pantera</t>
        </is>
      </c>
      <c r="R1319" s="121" t="n">
        <v>151.4</v>
      </c>
      <c r="S1319" s="122" t="n">
        <v>3676</v>
      </c>
      <c r="T1319" s="122" t="n">
        <v>1737</v>
      </c>
      <c r="U1319" s="123">
        <f>IFERROR(S1319/T1319,"")</f>
        <v/>
      </c>
      <c r="V1319" s="122" t="n">
        <v>31</v>
      </c>
      <c r="W1319" s="122" t="n">
        <v>24</v>
      </c>
      <c r="X1319" s="124">
        <f>IFERROR(W1319/S1319,"")</f>
        <v/>
      </c>
      <c r="Y1319" s="121">
        <f>IFERROR(R1319/W1319,"")</f>
        <v/>
      </c>
      <c r="Z1319" s="121">
        <f>IFERROR(R1319/S1319*1000,"")</f>
        <v/>
      </c>
      <c r="AA1319" s="122" t="n">
        <v>16</v>
      </c>
      <c r="AB1319" s="54">
        <f>IFERROR(AA1319/W1319,"")</f>
        <v/>
      </c>
      <c r="AC1319" s="122" t="n">
        <v>820</v>
      </c>
      <c r="AD1319" s="122" t="n">
        <v>436</v>
      </c>
      <c r="AE1319" s="122" t="n">
        <v>379</v>
      </c>
      <c r="AF1319" s="122" t="n">
        <v>243</v>
      </c>
      <c r="AG1319" s="122" t="n">
        <v>154</v>
      </c>
      <c r="AH1319" s="122" t="n">
        <v>100</v>
      </c>
      <c r="AI1319" s="54">
        <f>IFERROR(AC1319/S1319,"")</f>
        <v/>
      </c>
      <c r="AJ1319" s="54">
        <f>IFERROR(AH1319/S1319,"")</f>
        <v/>
      </c>
      <c r="AK1319" s="122" t="n">
        <v>211</v>
      </c>
      <c r="AL1319" s="122" t="n">
        <v>1</v>
      </c>
      <c r="AM1319" s="124">
        <f>IFERROR(AL1319/AA1319,"")</f>
        <v/>
      </c>
      <c r="AN1319" s="125">
        <f>IFERROR(R1319/AL1319,"")</f>
        <v/>
      </c>
      <c r="AO1319" s="122" t="n">
        <v>0</v>
      </c>
      <c r="AP1319" s="54">
        <f>IFERROR(AO1319/AL1319,"")</f>
        <v/>
      </c>
      <c r="AQ1319" s="125">
        <f>IFERROR(R1319/AO1319,"")</f>
        <v/>
      </c>
      <c r="AR1319" s="122" t="n">
        <v>0</v>
      </c>
      <c r="AS1319" s="122" t="n">
        <v>0</v>
      </c>
      <c r="AT1319" s="122">
        <f>AL1319+AR1319</f>
        <v/>
      </c>
      <c r="AU1319" s="125">
        <f>IFERROR(AO1319*Assumptions!$C$26*Assumptions!$C$27*INDEX(Assumptions!$C$18:$C$21,MATCH(H1319,Assumptions!$B$18:$B$21,0)),0)</f>
        <v/>
      </c>
    </row>
    <row r="1320">
      <c r="A1320" s="120" t="n">
        <v>46263</v>
      </c>
      <c r="B1320" s="66" t="inlineStr">
        <is>
          <t>Wk 35</t>
        </is>
      </c>
      <c r="C1320" s="66" t="inlineStr">
        <is>
          <t>Sat</t>
        </is>
      </c>
      <c r="D1320" s="66" t="inlineStr">
        <is>
          <t>TikTok</t>
        </is>
      </c>
      <c r="E1320" s="66" t="inlineStr">
        <is>
          <t>TikTok</t>
        </is>
      </c>
      <c r="F1320" s="66" t="inlineStr">
        <is>
          <t>LEP_ZA_AUG26_TT_TD_PANTERA_CONV</t>
        </is>
      </c>
      <c r="G1320" s="66" t="inlineStr">
        <is>
          <t>Website Conversions</t>
        </is>
      </c>
      <c r="H1320" s="66" t="inlineStr">
        <is>
          <t>PANTERA</t>
        </is>
      </c>
      <c r="I1320" s="66" t="inlineStr">
        <is>
          <t>0% Deposit</t>
        </is>
      </c>
      <c r="J1320" s="66" t="inlineStr">
        <is>
          <t>TT_PANTERA_INT_LUX_ZA</t>
        </is>
      </c>
      <c r="K1320" s="66" t="inlineStr">
        <is>
          <t>Interest</t>
        </is>
      </c>
      <c r="L1320" s="66" t="inlineStr">
        <is>
          <t>TT_PANTERA_UGC_18s_NightRun_v1</t>
        </is>
      </c>
      <c r="M1320" s="66" t="inlineStr">
        <is>
          <t>Video 9:16</t>
        </is>
      </c>
      <c r="N1320" s="66" t="inlineStr">
        <is>
          <t>Night run in the PANTERA</t>
        </is>
      </c>
      <c r="O1320" s="66" t="inlineStr">
        <is>
          <t>Auction - Cost Cap</t>
        </is>
      </c>
      <c r="P1320" s="66" t="inlineStr">
        <is>
          <t>Complete Payment / Lead</t>
        </is>
      </c>
      <c r="Q1320" s="66" t="inlineStr">
        <is>
          <t>https://www.lepas-sa.co.za/offers/pantera</t>
        </is>
      </c>
      <c r="R1320" s="121" t="n">
        <v>130.48</v>
      </c>
      <c r="S1320" s="122" t="n">
        <v>3412</v>
      </c>
      <c r="T1320" s="122" t="n">
        <v>1778</v>
      </c>
      <c r="U1320" s="123">
        <f>IFERROR(S1320/T1320,"")</f>
        <v/>
      </c>
      <c r="V1320" s="122" t="n">
        <v>27</v>
      </c>
      <c r="W1320" s="122" t="n">
        <v>21</v>
      </c>
      <c r="X1320" s="124">
        <f>IFERROR(W1320/S1320,"")</f>
        <v/>
      </c>
      <c r="Y1320" s="121">
        <f>IFERROR(R1320/W1320,"")</f>
        <v/>
      </c>
      <c r="Z1320" s="121">
        <f>IFERROR(R1320/S1320*1000,"")</f>
        <v/>
      </c>
      <c r="AA1320" s="122" t="n">
        <v>15</v>
      </c>
      <c r="AB1320" s="54">
        <f>IFERROR(AA1320/W1320,"")</f>
        <v/>
      </c>
      <c r="AC1320" s="122" t="n">
        <v>1140</v>
      </c>
      <c r="AD1320" s="122" t="n">
        <v>667</v>
      </c>
      <c r="AE1320" s="122" t="n">
        <v>581</v>
      </c>
      <c r="AF1320" s="122" t="n">
        <v>375</v>
      </c>
      <c r="AG1320" s="122" t="n">
        <v>268</v>
      </c>
      <c r="AH1320" s="122" t="n">
        <v>152</v>
      </c>
      <c r="AI1320" s="54">
        <f>IFERROR(AC1320/S1320,"")</f>
        <v/>
      </c>
      <c r="AJ1320" s="54">
        <f>IFERROR(AH1320/S1320,"")</f>
        <v/>
      </c>
      <c r="AK1320" s="122" t="n">
        <v>194</v>
      </c>
      <c r="AL1320" s="122" t="n">
        <v>0</v>
      </c>
      <c r="AM1320" s="124">
        <f>IFERROR(AL1320/AA1320,"")</f>
        <v/>
      </c>
      <c r="AN1320" s="125">
        <f>IFERROR(R1320/AL1320,"")</f>
        <v/>
      </c>
      <c r="AO1320" s="122" t="n">
        <v>0</v>
      </c>
      <c r="AP1320" s="54">
        <f>IFERROR(AO1320/AL1320,"")</f>
        <v/>
      </c>
      <c r="AQ1320" s="125">
        <f>IFERROR(R1320/AO1320,"")</f>
        <v/>
      </c>
      <c r="AR1320" s="122" t="n">
        <v>0</v>
      </c>
      <c r="AS1320" s="122" t="n">
        <v>0</v>
      </c>
      <c r="AT1320" s="122">
        <f>AL1320+AR1320</f>
        <v/>
      </c>
      <c r="AU1320" s="125">
        <f>IFERROR(AO1320*Assumptions!$C$26*Assumptions!$C$27*INDEX(Assumptions!$C$18:$C$21,MATCH(H1320,Assumptions!$B$18:$B$21,0)),0)</f>
        <v/>
      </c>
    </row>
    <row r="1321">
      <c r="A1321" s="120" t="n">
        <v>46264</v>
      </c>
      <c r="B1321" s="66" t="inlineStr">
        <is>
          <t>Wk 35</t>
        </is>
      </c>
      <c r="C1321" s="66" t="inlineStr">
        <is>
          <t>Sun</t>
        </is>
      </c>
      <c r="D1321" s="66" t="inlineStr">
        <is>
          <t>TikTok</t>
        </is>
      </c>
      <c r="E1321" s="66" t="inlineStr">
        <is>
          <t>TikTok</t>
        </is>
      </c>
      <c r="F1321" s="66" t="inlineStr">
        <is>
          <t>LEP_ZA_AUG26_TT_TD_PANTERA_CONV</t>
        </is>
      </c>
      <c r="G1321" s="66" t="inlineStr">
        <is>
          <t>Website Conversions</t>
        </is>
      </c>
      <c r="H1321" s="66" t="inlineStr">
        <is>
          <t>PANTERA</t>
        </is>
      </c>
      <c r="I1321" s="66" t="inlineStr">
        <is>
          <t>0% Deposit</t>
        </is>
      </c>
      <c r="J1321" s="66" t="inlineStr">
        <is>
          <t>TT_PANTERA_INT_LUX_ZA</t>
        </is>
      </c>
      <c r="K1321" s="66" t="inlineStr">
        <is>
          <t>Interest</t>
        </is>
      </c>
      <c r="L1321" s="66" t="inlineStr">
        <is>
          <t>TT_PANTERA_UGC_18s_NightRun_v1</t>
        </is>
      </c>
      <c r="M1321" s="66" t="inlineStr">
        <is>
          <t>Video 9:16</t>
        </is>
      </c>
      <c r="N1321" s="66" t="inlineStr">
        <is>
          <t>Night run in the PANTERA</t>
        </is>
      </c>
      <c r="O1321" s="66" t="inlineStr">
        <is>
          <t>Auction - Cost Cap</t>
        </is>
      </c>
      <c r="P1321" s="66" t="inlineStr">
        <is>
          <t>Complete Payment / Lead</t>
        </is>
      </c>
      <c r="Q1321" s="66" t="inlineStr">
        <is>
          <t>https://www.lepas-sa.co.za/offers/pantera</t>
        </is>
      </c>
      <c r="R1321" s="121" t="n">
        <v>112.97</v>
      </c>
      <c r="S1321" s="122" t="n">
        <v>3656</v>
      </c>
      <c r="T1321" s="122" t="n">
        <v>2069</v>
      </c>
      <c r="U1321" s="123">
        <f>IFERROR(S1321/T1321,"")</f>
        <v/>
      </c>
      <c r="V1321" s="122" t="n">
        <v>50</v>
      </c>
      <c r="W1321" s="122" t="n">
        <v>35</v>
      </c>
      <c r="X1321" s="124">
        <f>IFERROR(W1321/S1321,"")</f>
        <v/>
      </c>
      <c r="Y1321" s="121">
        <f>IFERROR(R1321/W1321,"")</f>
        <v/>
      </c>
      <c r="Z1321" s="121">
        <f>IFERROR(R1321/S1321*1000,"")</f>
        <v/>
      </c>
      <c r="AA1321" s="122" t="n">
        <v>23</v>
      </c>
      <c r="AB1321" s="54">
        <f>IFERROR(AA1321/W1321,"")</f>
        <v/>
      </c>
      <c r="AC1321" s="122" t="n">
        <v>857</v>
      </c>
      <c r="AD1321" s="122" t="n">
        <v>407</v>
      </c>
      <c r="AE1321" s="122" t="n">
        <v>423</v>
      </c>
      <c r="AF1321" s="122" t="n">
        <v>222</v>
      </c>
      <c r="AG1321" s="122" t="n">
        <v>143</v>
      </c>
      <c r="AH1321" s="122" t="n">
        <v>87</v>
      </c>
      <c r="AI1321" s="54">
        <f>IFERROR(AC1321/S1321,"")</f>
        <v/>
      </c>
      <c r="AJ1321" s="54">
        <f>IFERROR(AH1321/S1321,"")</f>
        <v/>
      </c>
      <c r="AK1321" s="122" t="n">
        <v>114</v>
      </c>
      <c r="AL1321" s="122" t="n">
        <v>1</v>
      </c>
      <c r="AM1321" s="124">
        <f>IFERROR(AL1321/AA1321,"")</f>
        <v/>
      </c>
      <c r="AN1321" s="125">
        <f>IFERROR(R1321/AL1321,"")</f>
        <v/>
      </c>
      <c r="AO1321" s="122" t="n">
        <v>0</v>
      </c>
      <c r="AP1321" s="54">
        <f>IFERROR(AO1321/AL1321,"")</f>
        <v/>
      </c>
      <c r="AQ1321" s="125">
        <f>IFERROR(R1321/AO1321,"")</f>
        <v/>
      </c>
      <c r="AR1321" s="122" t="n">
        <v>1</v>
      </c>
      <c r="AS1321" s="122" t="n">
        <v>0</v>
      </c>
      <c r="AT1321" s="122">
        <f>AL1321+AR1321</f>
        <v/>
      </c>
      <c r="AU1321" s="125">
        <f>IFERROR(AO1321*Assumptions!$C$26*Assumptions!$C$27*INDEX(Assumptions!$C$18:$C$21,MATCH(H1321,Assumptions!$B$18:$B$21,0)),0)</f>
        <v/>
      </c>
    </row>
    <row r="1322">
      <c r="A1322" s="120" t="n">
        <v>46265</v>
      </c>
      <c r="B1322" s="66" t="inlineStr">
        <is>
          <t>Wk 36</t>
        </is>
      </c>
      <c r="C1322" s="66" t="inlineStr">
        <is>
          <t>Mon</t>
        </is>
      </c>
      <c r="D1322" s="66" t="inlineStr">
        <is>
          <t>TikTok</t>
        </is>
      </c>
      <c r="E1322" s="66" t="inlineStr">
        <is>
          <t>TikTok</t>
        </is>
      </c>
      <c r="F1322" s="66" t="inlineStr">
        <is>
          <t>LEP_ZA_AUG26_TT_TD_PANTERA_CONV</t>
        </is>
      </c>
      <c r="G1322" s="66" t="inlineStr">
        <is>
          <t>Website Conversions</t>
        </is>
      </c>
      <c r="H1322" s="66" t="inlineStr">
        <is>
          <t>PANTERA</t>
        </is>
      </c>
      <c r="I1322" s="66" t="inlineStr">
        <is>
          <t>0% Deposit</t>
        </is>
      </c>
      <c r="J1322" s="66" t="inlineStr">
        <is>
          <t>TT_PANTERA_INT_LUX_ZA</t>
        </is>
      </c>
      <c r="K1322" s="66" t="inlineStr">
        <is>
          <t>Interest</t>
        </is>
      </c>
      <c r="L1322" s="66" t="inlineStr">
        <is>
          <t>TT_PANTERA_UGC_18s_NightRun_v1</t>
        </is>
      </c>
      <c r="M1322" s="66" t="inlineStr">
        <is>
          <t>Video 9:16</t>
        </is>
      </c>
      <c r="N1322" s="66" t="inlineStr">
        <is>
          <t>Night run in the PANTERA</t>
        </is>
      </c>
      <c r="O1322" s="66" t="inlineStr">
        <is>
          <t>Auction - Cost Cap</t>
        </is>
      </c>
      <c r="P1322" s="66" t="inlineStr">
        <is>
          <t>Complete Payment / Lead</t>
        </is>
      </c>
      <c r="Q1322" s="66" t="inlineStr">
        <is>
          <t>https://www.lepas-sa.co.za/offers/pantera</t>
        </is>
      </c>
      <c r="R1322" s="121" t="n">
        <v>111.09</v>
      </c>
      <c r="S1322" s="122" t="n">
        <v>2899</v>
      </c>
      <c r="T1322" s="122" t="n">
        <v>1253</v>
      </c>
      <c r="U1322" s="123">
        <f>IFERROR(S1322/T1322,"")</f>
        <v/>
      </c>
      <c r="V1322" s="122" t="n">
        <v>32</v>
      </c>
      <c r="W1322" s="122" t="n">
        <v>26</v>
      </c>
      <c r="X1322" s="124">
        <f>IFERROR(W1322/S1322,"")</f>
        <v/>
      </c>
      <c r="Y1322" s="121">
        <f>IFERROR(R1322/W1322,"")</f>
        <v/>
      </c>
      <c r="Z1322" s="121">
        <f>IFERROR(R1322/S1322*1000,"")</f>
        <v/>
      </c>
      <c r="AA1322" s="122" t="n">
        <v>18</v>
      </c>
      <c r="AB1322" s="54">
        <f>IFERROR(AA1322/W1322,"")</f>
        <v/>
      </c>
      <c r="AC1322" s="122" t="n">
        <v>928</v>
      </c>
      <c r="AD1322" s="122" t="n">
        <v>487</v>
      </c>
      <c r="AE1322" s="122" t="n">
        <v>364</v>
      </c>
      <c r="AF1322" s="122" t="n">
        <v>199</v>
      </c>
      <c r="AG1322" s="122" t="n">
        <v>157</v>
      </c>
      <c r="AH1322" s="122" t="n">
        <v>111</v>
      </c>
      <c r="AI1322" s="54">
        <f>IFERROR(AC1322/S1322,"")</f>
        <v/>
      </c>
      <c r="AJ1322" s="54">
        <f>IFERROR(AH1322/S1322,"")</f>
        <v/>
      </c>
      <c r="AK1322" s="122" t="n">
        <v>71</v>
      </c>
      <c r="AL1322" s="122" t="n">
        <v>0</v>
      </c>
      <c r="AM1322" s="124">
        <f>IFERROR(AL1322/AA1322,"")</f>
        <v/>
      </c>
      <c r="AN1322" s="125">
        <f>IFERROR(R1322/AL1322,"")</f>
        <v/>
      </c>
      <c r="AO1322" s="122" t="n">
        <v>0</v>
      </c>
      <c r="AP1322" s="54">
        <f>IFERROR(AO1322/AL1322,"")</f>
        <v/>
      </c>
      <c r="AQ1322" s="125">
        <f>IFERROR(R1322/AO1322,"")</f>
        <v/>
      </c>
      <c r="AR1322" s="122" t="n">
        <v>0</v>
      </c>
      <c r="AS1322" s="122" t="n">
        <v>0</v>
      </c>
      <c r="AT1322" s="122">
        <f>AL1322+AR1322</f>
        <v/>
      </c>
      <c r="AU1322" s="125">
        <f>IFERROR(AO1322*Assumptions!$C$26*Assumptions!$C$27*INDEX(Assumptions!$C$18:$C$21,MATCH(H1322,Assumptions!$B$18:$B$21,0)),0)</f>
        <v/>
      </c>
    </row>
    <row r="1323">
      <c r="A1323" s="120" t="n">
        <v>46235</v>
      </c>
      <c r="B1323" s="66" t="inlineStr">
        <is>
          <t>Wk 31</t>
        </is>
      </c>
      <c r="C1323" s="66" t="inlineStr">
        <is>
          <t>Sat</t>
        </is>
      </c>
      <c r="D1323" s="66" t="inlineStr">
        <is>
          <t>TikTok</t>
        </is>
      </c>
      <c r="E1323" s="66" t="inlineStr">
        <is>
          <t>TikTok</t>
        </is>
      </c>
      <c r="F1323" s="66" t="inlineStr">
        <is>
          <t>LEP_ZA_AUG26_TT_SPARK_RANGE_TRAFFIC</t>
        </is>
      </c>
      <c r="G1323" s="66" t="inlineStr">
        <is>
          <t>Traffic - Spark Ads</t>
        </is>
      </c>
      <c r="H1323" s="66" t="inlineStr">
        <is>
          <t>Range</t>
        </is>
      </c>
      <c r="I1323" s="66" t="inlineStr">
        <is>
          <t>Range Offer</t>
        </is>
      </c>
      <c r="J1323" s="66" t="inlineStr">
        <is>
          <t>TT_SPARK_CREATOR_UGC_ZA</t>
        </is>
      </c>
      <c r="K1323" s="66" t="inlineStr">
        <is>
          <t>Prospecting</t>
        </is>
      </c>
      <c r="L1323" s="66" t="inlineStr">
        <is>
          <t>TT_SPARK_@drivesa_Review_v1</t>
        </is>
      </c>
      <c r="M1323" s="66" t="inlineStr">
        <is>
          <t>Spark Ad</t>
        </is>
      </c>
      <c r="N1323" s="66" t="inlineStr">
        <is>
          <t>Creator handle: @drivesa</t>
        </is>
      </c>
      <c r="O1323" s="66" t="inlineStr">
        <is>
          <t>Auction - Lowest Cost</t>
        </is>
      </c>
      <c r="P1323" s="66" t="inlineStr">
        <is>
          <t>Landing Page View</t>
        </is>
      </c>
      <c r="Q1323" s="66" t="inlineStr">
        <is>
          <t>https://www.lepas-sa.co.za/offers</t>
        </is>
      </c>
      <c r="R1323" s="121" t="n">
        <v>139.93</v>
      </c>
      <c r="S1323" s="122" t="n">
        <v>4129</v>
      </c>
      <c r="T1323" s="122" t="n">
        <v>3508</v>
      </c>
      <c r="U1323" s="123">
        <f>IFERROR(S1323/T1323,"")</f>
        <v/>
      </c>
      <c r="V1323" s="122" t="n">
        <v>58</v>
      </c>
      <c r="W1323" s="122" t="n">
        <v>41</v>
      </c>
      <c r="X1323" s="124">
        <f>IFERROR(W1323/S1323,"")</f>
        <v/>
      </c>
      <c r="Y1323" s="121">
        <f>IFERROR(R1323/W1323,"")</f>
        <v/>
      </c>
      <c r="Z1323" s="121">
        <f>IFERROR(R1323/S1323*1000,"")</f>
        <v/>
      </c>
      <c r="AA1323" s="122" t="n">
        <v>25</v>
      </c>
      <c r="AB1323" s="54">
        <f>IFERROR(AA1323/W1323,"")</f>
        <v/>
      </c>
      <c r="AC1323" s="122" t="n">
        <v>1099</v>
      </c>
      <c r="AD1323" s="122" t="n">
        <v>686</v>
      </c>
      <c r="AE1323" s="122" t="n">
        <v>443</v>
      </c>
      <c r="AF1323" s="122" t="n">
        <v>249</v>
      </c>
      <c r="AG1323" s="122" t="n">
        <v>181</v>
      </c>
      <c r="AH1323" s="122" t="n">
        <v>120</v>
      </c>
      <c r="AI1323" s="54">
        <f>IFERROR(AC1323/S1323,"")</f>
        <v/>
      </c>
      <c r="AJ1323" s="54">
        <f>IFERROR(AH1323/S1323,"")</f>
        <v/>
      </c>
      <c r="AK1323" s="122" t="n">
        <v>233</v>
      </c>
      <c r="AL1323" s="122" t="n">
        <v>0</v>
      </c>
      <c r="AM1323" s="124">
        <f>IFERROR(AL1323/AA1323,"")</f>
        <v/>
      </c>
      <c r="AN1323" s="125">
        <f>IFERROR(R1323/AL1323,"")</f>
        <v/>
      </c>
      <c r="AO1323" s="122" t="n">
        <v>0</v>
      </c>
      <c r="AP1323" s="54">
        <f>IFERROR(AO1323/AL1323,"")</f>
        <v/>
      </c>
      <c r="AQ1323" s="125">
        <f>IFERROR(R1323/AO1323,"")</f>
        <v/>
      </c>
      <c r="AR1323" s="122" t="n">
        <v>0</v>
      </c>
      <c r="AS1323" s="122" t="n">
        <v>0</v>
      </c>
      <c r="AT1323" s="122">
        <f>AL1323+AR1323</f>
        <v/>
      </c>
      <c r="AU1323" s="125">
        <f>IFERROR(AO1323*Assumptions!$C$26*Assumptions!$C$27*INDEX(Assumptions!$C$18:$C$21,MATCH(H1323,Assumptions!$B$18:$B$21,0)),0)</f>
        <v/>
      </c>
    </row>
    <row r="1324">
      <c r="A1324" s="120" t="n">
        <v>46236</v>
      </c>
      <c r="B1324" s="66" t="inlineStr">
        <is>
          <t>Wk 31</t>
        </is>
      </c>
      <c r="C1324" s="66" t="inlineStr">
        <is>
          <t>Sun</t>
        </is>
      </c>
      <c r="D1324" s="66" t="inlineStr">
        <is>
          <t>TikTok</t>
        </is>
      </c>
      <c r="E1324" s="66" t="inlineStr">
        <is>
          <t>TikTok</t>
        </is>
      </c>
      <c r="F1324" s="66" t="inlineStr">
        <is>
          <t>LEP_ZA_AUG26_TT_SPARK_RANGE_TRAFFIC</t>
        </is>
      </c>
      <c r="G1324" s="66" t="inlineStr">
        <is>
          <t>Traffic - Spark Ads</t>
        </is>
      </c>
      <c r="H1324" s="66" t="inlineStr">
        <is>
          <t>Range</t>
        </is>
      </c>
      <c r="I1324" s="66" t="inlineStr">
        <is>
          <t>Range Offer</t>
        </is>
      </c>
      <c r="J1324" s="66" t="inlineStr">
        <is>
          <t>TT_SPARK_CREATOR_UGC_ZA</t>
        </is>
      </c>
      <c r="K1324" s="66" t="inlineStr">
        <is>
          <t>Prospecting</t>
        </is>
      </c>
      <c r="L1324" s="66" t="inlineStr">
        <is>
          <t>TT_SPARK_@drivesa_Review_v1</t>
        </is>
      </c>
      <c r="M1324" s="66" t="inlineStr">
        <is>
          <t>Spark Ad</t>
        </is>
      </c>
      <c r="N1324" s="66" t="inlineStr">
        <is>
          <t>Creator handle: @drivesa</t>
        </is>
      </c>
      <c r="O1324" s="66" t="inlineStr">
        <is>
          <t>Auction - Lowest Cost</t>
        </is>
      </c>
      <c r="P1324" s="66" t="inlineStr">
        <is>
          <t>Landing Page View</t>
        </is>
      </c>
      <c r="Q1324" s="66" t="inlineStr">
        <is>
          <t>https://www.lepas-sa.co.za/offers</t>
        </is>
      </c>
      <c r="R1324" s="121" t="n">
        <v>138.09</v>
      </c>
      <c r="S1324" s="122" t="n">
        <v>3039</v>
      </c>
      <c r="T1324" s="122" t="n">
        <v>1812</v>
      </c>
      <c r="U1324" s="123">
        <f>IFERROR(S1324/T1324,"")</f>
        <v/>
      </c>
      <c r="V1324" s="122" t="n">
        <v>37</v>
      </c>
      <c r="W1324" s="122" t="n">
        <v>28</v>
      </c>
      <c r="X1324" s="124">
        <f>IFERROR(W1324/S1324,"")</f>
        <v/>
      </c>
      <c r="Y1324" s="121">
        <f>IFERROR(R1324/W1324,"")</f>
        <v/>
      </c>
      <c r="Z1324" s="121">
        <f>IFERROR(R1324/S1324*1000,"")</f>
        <v/>
      </c>
      <c r="AA1324" s="122" t="n">
        <v>20</v>
      </c>
      <c r="AB1324" s="54">
        <f>IFERROR(AA1324/W1324,"")</f>
        <v/>
      </c>
      <c r="AC1324" s="122" t="n">
        <v>973</v>
      </c>
      <c r="AD1324" s="122" t="n">
        <v>510</v>
      </c>
      <c r="AE1324" s="122" t="n">
        <v>503</v>
      </c>
      <c r="AF1324" s="122" t="n">
        <v>301</v>
      </c>
      <c r="AG1324" s="122" t="n">
        <v>232</v>
      </c>
      <c r="AH1324" s="122" t="n">
        <v>145</v>
      </c>
      <c r="AI1324" s="54">
        <f>IFERROR(AC1324/S1324,"")</f>
        <v/>
      </c>
      <c r="AJ1324" s="54">
        <f>IFERROR(AH1324/S1324,"")</f>
        <v/>
      </c>
      <c r="AK1324" s="122" t="n">
        <v>138</v>
      </c>
      <c r="AL1324" s="122" t="n">
        <v>0</v>
      </c>
      <c r="AM1324" s="124">
        <f>IFERROR(AL1324/AA1324,"")</f>
        <v/>
      </c>
      <c r="AN1324" s="125">
        <f>IFERROR(R1324/AL1324,"")</f>
        <v/>
      </c>
      <c r="AO1324" s="122" t="n">
        <v>0</v>
      </c>
      <c r="AP1324" s="54">
        <f>IFERROR(AO1324/AL1324,"")</f>
        <v/>
      </c>
      <c r="AQ1324" s="125">
        <f>IFERROR(R1324/AO1324,"")</f>
        <v/>
      </c>
      <c r="AR1324" s="122" t="n">
        <v>0</v>
      </c>
      <c r="AS1324" s="122" t="n">
        <v>0</v>
      </c>
      <c r="AT1324" s="122">
        <f>AL1324+AR1324</f>
        <v/>
      </c>
      <c r="AU1324" s="125">
        <f>IFERROR(AO1324*Assumptions!$C$26*Assumptions!$C$27*INDEX(Assumptions!$C$18:$C$21,MATCH(H1324,Assumptions!$B$18:$B$21,0)),0)</f>
        <v/>
      </c>
    </row>
    <row r="1325">
      <c r="A1325" s="120" t="n">
        <v>46237</v>
      </c>
      <c r="B1325" s="66" t="inlineStr">
        <is>
          <t>Wk 32</t>
        </is>
      </c>
      <c r="C1325" s="66" t="inlineStr">
        <is>
          <t>Mon</t>
        </is>
      </c>
      <c r="D1325" s="66" t="inlineStr">
        <is>
          <t>TikTok</t>
        </is>
      </c>
      <c r="E1325" s="66" t="inlineStr">
        <is>
          <t>TikTok</t>
        </is>
      </c>
      <c r="F1325" s="66" t="inlineStr">
        <is>
          <t>LEP_ZA_AUG26_TT_SPARK_RANGE_TRAFFIC</t>
        </is>
      </c>
      <c r="G1325" s="66" t="inlineStr">
        <is>
          <t>Traffic - Spark Ads</t>
        </is>
      </c>
      <c r="H1325" s="66" t="inlineStr">
        <is>
          <t>Range</t>
        </is>
      </c>
      <c r="I1325" s="66" t="inlineStr">
        <is>
          <t>Range Offer</t>
        </is>
      </c>
      <c r="J1325" s="66" t="inlineStr">
        <is>
          <t>TT_SPARK_CREATOR_UGC_ZA</t>
        </is>
      </c>
      <c r="K1325" s="66" t="inlineStr">
        <is>
          <t>Prospecting</t>
        </is>
      </c>
      <c r="L1325" s="66" t="inlineStr">
        <is>
          <t>TT_SPARK_@drivesa_Review_v1</t>
        </is>
      </c>
      <c r="M1325" s="66" t="inlineStr">
        <is>
          <t>Spark Ad</t>
        </is>
      </c>
      <c r="N1325" s="66" t="inlineStr">
        <is>
          <t>Creator handle: @drivesa</t>
        </is>
      </c>
      <c r="O1325" s="66" t="inlineStr">
        <is>
          <t>Auction - Lowest Cost</t>
        </is>
      </c>
      <c r="P1325" s="66" t="inlineStr">
        <is>
          <t>Landing Page View</t>
        </is>
      </c>
      <c r="Q1325" s="66" t="inlineStr">
        <is>
          <t>https://www.lepas-sa.co.za/offers</t>
        </is>
      </c>
      <c r="R1325" s="121" t="n">
        <v>124.87</v>
      </c>
      <c r="S1325" s="122" t="n">
        <v>4099</v>
      </c>
      <c r="T1325" s="122" t="n">
        <v>3009</v>
      </c>
      <c r="U1325" s="123">
        <f>IFERROR(S1325/T1325,"")</f>
        <v/>
      </c>
      <c r="V1325" s="122" t="n">
        <v>64</v>
      </c>
      <c r="W1325" s="122" t="n">
        <v>52</v>
      </c>
      <c r="X1325" s="124">
        <f>IFERROR(W1325/S1325,"")</f>
        <v/>
      </c>
      <c r="Y1325" s="121">
        <f>IFERROR(R1325/W1325,"")</f>
        <v/>
      </c>
      <c r="Z1325" s="121">
        <f>IFERROR(R1325/S1325*1000,"")</f>
        <v/>
      </c>
      <c r="AA1325" s="122" t="n">
        <v>37</v>
      </c>
      <c r="AB1325" s="54">
        <f>IFERROR(AA1325/W1325,"")</f>
        <v/>
      </c>
      <c r="AC1325" s="122" t="n">
        <v>1078</v>
      </c>
      <c r="AD1325" s="122" t="n">
        <v>497</v>
      </c>
      <c r="AE1325" s="122" t="n">
        <v>434</v>
      </c>
      <c r="AF1325" s="122" t="n">
        <v>252</v>
      </c>
      <c r="AG1325" s="122" t="n">
        <v>176</v>
      </c>
      <c r="AH1325" s="122" t="n">
        <v>114</v>
      </c>
      <c r="AI1325" s="54">
        <f>IFERROR(AC1325/S1325,"")</f>
        <v/>
      </c>
      <c r="AJ1325" s="54">
        <f>IFERROR(AH1325/S1325,"")</f>
        <v/>
      </c>
      <c r="AK1325" s="122" t="n">
        <v>116</v>
      </c>
      <c r="AL1325" s="122" t="n">
        <v>0</v>
      </c>
      <c r="AM1325" s="124">
        <f>IFERROR(AL1325/AA1325,"")</f>
        <v/>
      </c>
      <c r="AN1325" s="125">
        <f>IFERROR(R1325/AL1325,"")</f>
        <v/>
      </c>
      <c r="AO1325" s="122" t="n">
        <v>0</v>
      </c>
      <c r="AP1325" s="54">
        <f>IFERROR(AO1325/AL1325,"")</f>
        <v/>
      </c>
      <c r="AQ1325" s="125">
        <f>IFERROR(R1325/AO1325,"")</f>
        <v/>
      </c>
      <c r="AR1325" s="122" t="n">
        <v>0</v>
      </c>
      <c r="AS1325" s="122" t="n">
        <v>0</v>
      </c>
      <c r="AT1325" s="122">
        <f>AL1325+AR1325</f>
        <v/>
      </c>
      <c r="AU1325" s="125">
        <f>IFERROR(AO1325*Assumptions!$C$26*Assumptions!$C$27*INDEX(Assumptions!$C$18:$C$21,MATCH(H1325,Assumptions!$B$18:$B$21,0)),0)</f>
        <v/>
      </c>
    </row>
    <row r="1326">
      <c r="A1326" s="120" t="n">
        <v>46238</v>
      </c>
      <c r="B1326" s="66" t="inlineStr">
        <is>
          <t>Wk 32</t>
        </is>
      </c>
      <c r="C1326" s="66" t="inlineStr">
        <is>
          <t>Tue</t>
        </is>
      </c>
      <c r="D1326" s="66" t="inlineStr">
        <is>
          <t>TikTok</t>
        </is>
      </c>
      <c r="E1326" s="66" t="inlineStr">
        <is>
          <t>TikTok</t>
        </is>
      </c>
      <c r="F1326" s="66" t="inlineStr">
        <is>
          <t>LEP_ZA_AUG26_TT_SPARK_RANGE_TRAFFIC</t>
        </is>
      </c>
      <c r="G1326" s="66" t="inlineStr">
        <is>
          <t>Traffic - Spark Ads</t>
        </is>
      </c>
      <c r="H1326" s="66" t="inlineStr">
        <is>
          <t>Range</t>
        </is>
      </c>
      <c r="I1326" s="66" t="inlineStr">
        <is>
          <t>Range Offer</t>
        </is>
      </c>
      <c r="J1326" s="66" t="inlineStr">
        <is>
          <t>TT_SPARK_CREATOR_UGC_ZA</t>
        </is>
      </c>
      <c r="K1326" s="66" t="inlineStr">
        <is>
          <t>Prospecting</t>
        </is>
      </c>
      <c r="L1326" s="66" t="inlineStr">
        <is>
          <t>TT_SPARK_@drivesa_Review_v1</t>
        </is>
      </c>
      <c r="M1326" s="66" t="inlineStr">
        <is>
          <t>Spark Ad</t>
        </is>
      </c>
      <c r="N1326" s="66" t="inlineStr">
        <is>
          <t>Creator handle: @drivesa</t>
        </is>
      </c>
      <c r="O1326" s="66" t="inlineStr">
        <is>
          <t>Auction - Lowest Cost</t>
        </is>
      </c>
      <c r="P1326" s="66" t="inlineStr">
        <is>
          <t>Landing Page View</t>
        </is>
      </c>
      <c r="Q1326" s="66" t="inlineStr">
        <is>
          <t>https://www.lepas-sa.co.za/offers</t>
        </is>
      </c>
      <c r="R1326" s="121" t="n">
        <v>139.33</v>
      </c>
      <c r="S1326" s="122" t="n">
        <v>3434</v>
      </c>
      <c r="T1326" s="122" t="n">
        <v>2142</v>
      </c>
      <c r="U1326" s="123">
        <f>IFERROR(S1326/T1326,"")</f>
        <v/>
      </c>
      <c r="V1326" s="122" t="n">
        <v>42</v>
      </c>
      <c r="W1326" s="122" t="n">
        <v>36</v>
      </c>
      <c r="X1326" s="124">
        <f>IFERROR(W1326/S1326,"")</f>
        <v/>
      </c>
      <c r="Y1326" s="121">
        <f>IFERROR(R1326/W1326,"")</f>
        <v/>
      </c>
      <c r="Z1326" s="121">
        <f>IFERROR(R1326/S1326*1000,"")</f>
        <v/>
      </c>
      <c r="AA1326" s="122" t="n">
        <v>23</v>
      </c>
      <c r="AB1326" s="54">
        <f>IFERROR(AA1326/W1326,"")</f>
        <v/>
      </c>
      <c r="AC1326" s="122" t="n">
        <v>1339</v>
      </c>
      <c r="AD1326" s="122" t="n">
        <v>637</v>
      </c>
      <c r="AE1326" s="122" t="n">
        <v>488</v>
      </c>
      <c r="AF1326" s="122" t="n">
        <v>278</v>
      </c>
      <c r="AG1326" s="122" t="n">
        <v>207</v>
      </c>
      <c r="AH1326" s="122" t="n">
        <v>114</v>
      </c>
      <c r="AI1326" s="54">
        <f>IFERROR(AC1326/S1326,"")</f>
        <v/>
      </c>
      <c r="AJ1326" s="54">
        <f>IFERROR(AH1326/S1326,"")</f>
        <v/>
      </c>
      <c r="AK1326" s="122" t="n">
        <v>140</v>
      </c>
      <c r="AL1326" s="122" t="n">
        <v>0</v>
      </c>
      <c r="AM1326" s="124">
        <f>IFERROR(AL1326/AA1326,"")</f>
        <v/>
      </c>
      <c r="AN1326" s="125">
        <f>IFERROR(R1326/AL1326,"")</f>
        <v/>
      </c>
      <c r="AO1326" s="122" t="n">
        <v>0</v>
      </c>
      <c r="AP1326" s="54">
        <f>IFERROR(AO1326/AL1326,"")</f>
        <v/>
      </c>
      <c r="AQ1326" s="125">
        <f>IFERROR(R1326/AO1326,"")</f>
        <v/>
      </c>
      <c r="AR1326" s="122" t="n">
        <v>0</v>
      </c>
      <c r="AS1326" s="122" t="n">
        <v>0</v>
      </c>
      <c r="AT1326" s="122">
        <f>AL1326+AR1326</f>
        <v/>
      </c>
      <c r="AU1326" s="125">
        <f>IFERROR(AO1326*Assumptions!$C$26*Assumptions!$C$27*INDEX(Assumptions!$C$18:$C$21,MATCH(H1326,Assumptions!$B$18:$B$21,0)),0)</f>
        <v/>
      </c>
    </row>
    <row r="1327">
      <c r="A1327" s="120" t="n">
        <v>46239</v>
      </c>
      <c r="B1327" s="66" t="inlineStr">
        <is>
          <t>Wk 32</t>
        </is>
      </c>
      <c r="C1327" s="66" t="inlineStr">
        <is>
          <t>Wed</t>
        </is>
      </c>
      <c r="D1327" s="66" t="inlineStr">
        <is>
          <t>TikTok</t>
        </is>
      </c>
      <c r="E1327" s="66" t="inlineStr">
        <is>
          <t>TikTok</t>
        </is>
      </c>
      <c r="F1327" s="66" t="inlineStr">
        <is>
          <t>LEP_ZA_AUG26_TT_SPARK_RANGE_TRAFFIC</t>
        </is>
      </c>
      <c r="G1327" s="66" t="inlineStr">
        <is>
          <t>Traffic - Spark Ads</t>
        </is>
      </c>
      <c r="H1327" s="66" t="inlineStr">
        <is>
          <t>Range</t>
        </is>
      </c>
      <c r="I1327" s="66" t="inlineStr">
        <is>
          <t>Range Offer</t>
        </is>
      </c>
      <c r="J1327" s="66" t="inlineStr">
        <is>
          <t>TT_SPARK_CREATOR_UGC_ZA</t>
        </is>
      </c>
      <c r="K1327" s="66" t="inlineStr">
        <is>
          <t>Prospecting</t>
        </is>
      </c>
      <c r="L1327" s="66" t="inlineStr">
        <is>
          <t>TT_SPARK_@drivesa_Review_v1</t>
        </is>
      </c>
      <c r="M1327" s="66" t="inlineStr">
        <is>
          <t>Spark Ad</t>
        </is>
      </c>
      <c r="N1327" s="66" t="inlineStr">
        <is>
          <t>Creator handle: @drivesa</t>
        </is>
      </c>
      <c r="O1327" s="66" t="inlineStr">
        <is>
          <t>Auction - Lowest Cost</t>
        </is>
      </c>
      <c r="P1327" s="66" t="inlineStr">
        <is>
          <t>Landing Page View</t>
        </is>
      </c>
      <c r="Q1327" s="66" t="inlineStr">
        <is>
          <t>https://www.lepas-sa.co.za/offers</t>
        </is>
      </c>
      <c r="R1327" s="121" t="n">
        <v>145.16</v>
      </c>
      <c r="S1327" s="122" t="n">
        <v>3130</v>
      </c>
      <c r="T1327" s="122" t="n">
        <v>1977</v>
      </c>
      <c r="U1327" s="123">
        <f>IFERROR(S1327/T1327,"")</f>
        <v/>
      </c>
      <c r="V1327" s="122" t="n">
        <v>37</v>
      </c>
      <c r="W1327" s="122" t="n">
        <v>27</v>
      </c>
      <c r="X1327" s="124">
        <f>IFERROR(W1327/S1327,"")</f>
        <v/>
      </c>
      <c r="Y1327" s="121">
        <f>IFERROR(R1327/W1327,"")</f>
        <v/>
      </c>
      <c r="Z1327" s="121">
        <f>IFERROR(R1327/S1327*1000,"")</f>
        <v/>
      </c>
      <c r="AA1327" s="122" t="n">
        <v>19</v>
      </c>
      <c r="AB1327" s="54">
        <f>IFERROR(AA1327/W1327,"")</f>
        <v/>
      </c>
      <c r="AC1327" s="122" t="n">
        <v>869</v>
      </c>
      <c r="AD1327" s="122" t="n">
        <v>487</v>
      </c>
      <c r="AE1327" s="122" t="n">
        <v>361</v>
      </c>
      <c r="AF1327" s="122" t="n">
        <v>225</v>
      </c>
      <c r="AG1327" s="122" t="n">
        <v>144</v>
      </c>
      <c r="AH1327" s="122" t="n">
        <v>85</v>
      </c>
      <c r="AI1327" s="54">
        <f>IFERROR(AC1327/S1327,"")</f>
        <v/>
      </c>
      <c r="AJ1327" s="54">
        <f>IFERROR(AH1327/S1327,"")</f>
        <v/>
      </c>
      <c r="AK1327" s="122" t="n">
        <v>102</v>
      </c>
      <c r="AL1327" s="122" t="n">
        <v>0</v>
      </c>
      <c r="AM1327" s="124">
        <f>IFERROR(AL1327/AA1327,"")</f>
        <v/>
      </c>
      <c r="AN1327" s="125">
        <f>IFERROR(R1327/AL1327,"")</f>
        <v/>
      </c>
      <c r="AO1327" s="122" t="n">
        <v>0</v>
      </c>
      <c r="AP1327" s="54">
        <f>IFERROR(AO1327/AL1327,"")</f>
        <v/>
      </c>
      <c r="AQ1327" s="125">
        <f>IFERROR(R1327/AO1327,"")</f>
        <v/>
      </c>
      <c r="AR1327" s="122" t="n">
        <v>0</v>
      </c>
      <c r="AS1327" s="122" t="n">
        <v>0</v>
      </c>
      <c r="AT1327" s="122">
        <f>AL1327+AR1327</f>
        <v/>
      </c>
      <c r="AU1327" s="125">
        <f>IFERROR(AO1327*Assumptions!$C$26*Assumptions!$C$27*INDEX(Assumptions!$C$18:$C$21,MATCH(H1327,Assumptions!$B$18:$B$21,0)),0)</f>
        <v/>
      </c>
    </row>
    <row r="1328">
      <c r="A1328" s="120" t="n">
        <v>46240</v>
      </c>
      <c r="B1328" s="66" t="inlineStr">
        <is>
          <t>Wk 32</t>
        </is>
      </c>
      <c r="C1328" s="66" t="inlineStr">
        <is>
          <t>Thu</t>
        </is>
      </c>
      <c r="D1328" s="66" t="inlineStr">
        <is>
          <t>TikTok</t>
        </is>
      </c>
      <c r="E1328" s="66" t="inlineStr">
        <is>
          <t>TikTok</t>
        </is>
      </c>
      <c r="F1328" s="66" t="inlineStr">
        <is>
          <t>LEP_ZA_AUG26_TT_SPARK_RANGE_TRAFFIC</t>
        </is>
      </c>
      <c r="G1328" s="66" t="inlineStr">
        <is>
          <t>Traffic - Spark Ads</t>
        </is>
      </c>
      <c r="H1328" s="66" t="inlineStr">
        <is>
          <t>Range</t>
        </is>
      </c>
      <c r="I1328" s="66" t="inlineStr">
        <is>
          <t>Range Offer</t>
        </is>
      </c>
      <c r="J1328" s="66" t="inlineStr">
        <is>
          <t>TT_SPARK_CREATOR_UGC_ZA</t>
        </is>
      </c>
      <c r="K1328" s="66" t="inlineStr">
        <is>
          <t>Prospecting</t>
        </is>
      </c>
      <c r="L1328" s="66" t="inlineStr">
        <is>
          <t>TT_SPARK_@drivesa_Review_v1</t>
        </is>
      </c>
      <c r="M1328" s="66" t="inlineStr">
        <is>
          <t>Spark Ad</t>
        </is>
      </c>
      <c r="N1328" s="66" t="inlineStr">
        <is>
          <t>Creator handle: @drivesa</t>
        </is>
      </c>
      <c r="O1328" s="66" t="inlineStr">
        <is>
          <t>Auction - Lowest Cost</t>
        </is>
      </c>
      <c r="P1328" s="66" t="inlineStr">
        <is>
          <t>Landing Page View</t>
        </is>
      </c>
      <c r="Q1328" s="66" t="inlineStr">
        <is>
          <t>https://www.lepas-sa.co.za/offers</t>
        </is>
      </c>
      <c r="R1328" s="121" t="n">
        <v>175</v>
      </c>
      <c r="S1328" s="122" t="n">
        <v>5314</v>
      </c>
      <c r="T1328" s="122" t="n">
        <v>3776</v>
      </c>
      <c r="U1328" s="123">
        <f>IFERROR(S1328/T1328,"")</f>
        <v/>
      </c>
      <c r="V1328" s="122" t="n">
        <v>83</v>
      </c>
      <c r="W1328" s="122" t="n">
        <v>64</v>
      </c>
      <c r="X1328" s="124">
        <f>IFERROR(W1328/S1328,"")</f>
        <v/>
      </c>
      <c r="Y1328" s="121">
        <f>IFERROR(R1328/W1328,"")</f>
        <v/>
      </c>
      <c r="Z1328" s="121">
        <f>IFERROR(R1328/S1328*1000,"")</f>
        <v/>
      </c>
      <c r="AA1328" s="122" t="n">
        <v>46</v>
      </c>
      <c r="AB1328" s="54">
        <f>IFERROR(AA1328/W1328,"")</f>
        <v/>
      </c>
      <c r="AC1328" s="122" t="n">
        <v>1985</v>
      </c>
      <c r="AD1328" s="122" t="n">
        <v>971</v>
      </c>
      <c r="AE1328" s="122" t="n">
        <v>827</v>
      </c>
      <c r="AF1328" s="122" t="n">
        <v>503</v>
      </c>
      <c r="AG1328" s="122" t="n">
        <v>387</v>
      </c>
      <c r="AH1328" s="122" t="n">
        <v>257</v>
      </c>
      <c r="AI1328" s="54">
        <f>IFERROR(AC1328/S1328,"")</f>
        <v/>
      </c>
      <c r="AJ1328" s="54">
        <f>IFERROR(AH1328/S1328,"")</f>
        <v/>
      </c>
      <c r="AK1328" s="122" t="n">
        <v>213</v>
      </c>
      <c r="AL1328" s="122" t="n">
        <v>0</v>
      </c>
      <c r="AM1328" s="124">
        <f>IFERROR(AL1328/AA1328,"")</f>
        <v/>
      </c>
      <c r="AN1328" s="125">
        <f>IFERROR(R1328/AL1328,"")</f>
        <v/>
      </c>
      <c r="AO1328" s="122" t="n">
        <v>0</v>
      </c>
      <c r="AP1328" s="54">
        <f>IFERROR(AO1328/AL1328,"")</f>
        <v/>
      </c>
      <c r="AQ1328" s="125">
        <f>IFERROR(R1328/AO1328,"")</f>
        <v/>
      </c>
      <c r="AR1328" s="122" t="n">
        <v>0</v>
      </c>
      <c r="AS1328" s="122" t="n">
        <v>0</v>
      </c>
      <c r="AT1328" s="122">
        <f>AL1328+AR1328</f>
        <v/>
      </c>
      <c r="AU1328" s="125">
        <f>IFERROR(AO1328*Assumptions!$C$26*Assumptions!$C$27*INDEX(Assumptions!$C$18:$C$21,MATCH(H1328,Assumptions!$B$18:$B$21,0)),0)</f>
        <v/>
      </c>
    </row>
    <row r="1329">
      <c r="A1329" s="120" t="n">
        <v>46241</v>
      </c>
      <c r="B1329" s="66" t="inlineStr">
        <is>
          <t>Wk 32</t>
        </is>
      </c>
      <c r="C1329" s="66" t="inlineStr">
        <is>
          <t>Fri</t>
        </is>
      </c>
      <c r="D1329" s="66" t="inlineStr">
        <is>
          <t>TikTok</t>
        </is>
      </c>
      <c r="E1329" s="66" t="inlineStr">
        <is>
          <t>TikTok</t>
        </is>
      </c>
      <c r="F1329" s="66" t="inlineStr">
        <is>
          <t>LEP_ZA_AUG26_TT_SPARK_RANGE_TRAFFIC</t>
        </is>
      </c>
      <c r="G1329" s="66" t="inlineStr">
        <is>
          <t>Traffic - Spark Ads</t>
        </is>
      </c>
      <c r="H1329" s="66" t="inlineStr">
        <is>
          <t>Range</t>
        </is>
      </c>
      <c r="I1329" s="66" t="inlineStr">
        <is>
          <t>Range Offer</t>
        </is>
      </c>
      <c r="J1329" s="66" t="inlineStr">
        <is>
          <t>TT_SPARK_CREATOR_UGC_ZA</t>
        </is>
      </c>
      <c r="K1329" s="66" t="inlineStr">
        <is>
          <t>Prospecting</t>
        </is>
      </c>
      <c r="L1329" s="66" t="inlineStr">
        <is>
          <t>TT_SPARK_@drivesa_Review_v1</t>
        </is>
      </c>
      <c r="M1329" s="66" t="inlineStr">
        <is>
          <t>Spark Ad</t>
        </is>
      </c>
      <c r="N1329" s="66" t="inlineStr">
        <is>
          <t>Creator handle: @drivesa</t>
        </is>
      </c>
      <c r="O1329" s="66" t="inlineStr">
        <is>
          <t>Auction - Lowest Cost</t>
        </is>
      </c>
      <c r="P1329" s="66" t="inlineStr">
        <is>
          <t>Landing Page View</t>
        </is>
      </c>
      <c r="Q1329" s="66" t="inlineStr">
        <is>
          <t>https://www.lepas-sa.co.za/offers</t>
        </is>
      </c>
      <c r="R1329" s="121" t="n">
        <v>186.15</v>
      </c>
      <c r="S1329" s="122" t="n">
        <v>4413</v>
      </c>
      <c r="T1329" s="122" t="n">
        <v>2744</v>
      </c>
      <c r="U1329" s="123">
        <f>IFERROR(S1329/T1329,"")</f>
        <v/>
      </c>
      <c r="V1329" s="122" t="n">
        <v>61</v>
      </c>
      <c r="W1329" s="122" t="n">
        <v>49</v>
      </c>
      <c r="X1329" s="124">
        <f>IFERROR(W1329/S1329,"")</f>
        <v/>
      </c>
      <c r="Y1329" s="121">
        <f>IFERROR(R1329/W1329,"")</f>
        <v/>
      </c>
      <c r="Z1329" s="121">
        <f>IFERROR(R1329/S1329*1000,"")</f>
        <v/>
      </c>
      <c r="AA1329" s="122" t="n">
        <v>35</v>
      </c>
      <c r="AB1329" s="54">
        <f>IFERROR(AA1329/W1329,"")</f>
        <v/>
      </c>
      <c r="AC1329" s="122" t="n">
        <v>1560</v>
      </c>
      <c r="AD1329" s="122" t="n">
        <v>820</v>
      </c>
      <c r="AE1329" s="122" t="n">
        <v>757</v>
      </c>
      <c r="AF1329" s="122" t="n">
        <v>456</v>
      </c>
      <c r="AG1329" s="122" t="n">
        <v>304</v>
      </c>
      <c r="AH1329" s="122" t="n">
        <v>189</v>
      </c>
      <c r="AI1329" s="54">
        <f>IFERROR(AC1329/S1329,"")</f>
        <v/>
      </c>
      <c r="AJ1329" s="54">
        <f>IFERROR(AH1329/S1329,"")</f>
        <v/>
      </c>
      <c r="AK1329" s="122" t="n">
        <v>95</v>
      </c>
      <c r="AL1329" s="122" t="n">
        <v>0</v>
      </c>
      <c r="AM1329" s="124">
        <f>IFERROR(AL1329/AA1329,"")</f>
        <v/>
      </c>
      <c r="AN1329" s="125">
        <f>IFERROR(R1329/AL1329,"")</f>
        <v/>
      </c>
      <c r="AO1329" s="122" t="n">
        <v>0</v>
      </c>
      <c r="AP1329" s="54">
        <f>IFERROR(AO1329/AL1329,"")</f>
        <v/>
      </c>
      <c r="AQ1329" s="125">
        <f>IFERROR(R1329/AO1329,"")</f>
        <v/>
      </c>
      <c r="AR1329" s="122" t="n">
        <v>0</v>
      </c>
      <c r="AS1329" s="122" t="n">
        <v>0</v>
      </c>
      <c r="AT1329" s="122">
        <f>AL1329+AR1329</f>
        <v/>
      </c>
      <c r="AU1329" s="125">
        <f>IFERROR(AO1329*Assumptions!$C$26*Assumptions!$C$27*INDEX(Assumptions!$C$18:$C$21,MATCH(H1329,Assumptions!$B$18:$B$21,0)),0)</f>
        <v/>
      </c>
    </row>
    <row r="1330">
      <c r="A1330" s="120" t="n">
        <v>46242</v>
      </c>
      <c r="B1330" s="66" t="inlineStr">
        <is>
          <t>Wk 32</t>
        </is>
      </c>
      <c r="C1330" s="66" t="inlineStr">
        <is>
          <t>Sat</t>
        </is>
      </c>
      <c r="D1330" s="66" t="inlineStr">
        <is>
          <t>TikTok</t>
        </is>
      </c>
      <c r="E1330" s="66" t="inlineStr">
        <is>
          <t>TikTok</t>
        </is>
      </c>
      <c r="F1330" s="66" t="inlineStr">
        <is>
          <t>LEP_ZA_AUG26_TT_SPARK_RANGE_TRAFFIC</t>
        </is>
      </c>
      <c r="G1330" s="66" t="inlineStr">
        <is>
          <t>Traffic - Spark Ads</t>
        </is>
      </c>
      <c r="H1330" s="66" t="inlineStr">
        <is>
          <t>Range</t>
        </is>
      </c>
      <c r="I1330" s="66" t="inlineStr">
        <is>
          <t>Range Offer</t>
        </is>
      </c>
      <c r="J1330" s="66" t="inlineStr">
        <is>
          <t>TT_SPARK_CREATOR_UGC_ZA</t>
        </is>
      </c>
      <c r="K1330" s="66" t="inlineStr">
        <is>
          <t>Prospecting</t>
        </is>
      </c>
      <c r="L1330" s="66" t="inlineStr">
        <is>
          <t>TT_SPARK_@drivesa_Review_v1</t>
        </is>
      </c>
      <c r="M1330" s="66" t="inlineStr">
        <is>
          <t>Spark Ad</t>
        </is>
      </c>
      <c r="N1330" s="66" t="inlineStr">
        <is>
          <t>Creator handle: @drivesa</t>
        </is>
      </c>
      <c r="O1330" s="66" t="inlineStr">
        <is>
          <t>Auction - Lowest Cost</t>
        </is>
      </c>
      <c r="P1330" s="66" t="inlineStr">
        <is>
          <t>Landing Page View</t>
        </is>
      </c>
      <c r="Q1330" s="66" t="inlineStr">
        <is>
          <t>https://www.lepas-sa.co.za/offers</t>
        </is>
      </c>
      <c r="R1330" s="121" t="n">
        <v>202.8</v>
      </c>
      <c r="S1330" s="122" t="n">
        <v>4542</v>
      </c>
      <c r="T1330" s="122" t="n">
        <v>3065</v>
      </c>
      <c r="U1330" s="123">
        <f>IFERROR(S1330/T1330,"")</f>
        <v/>
      </c>
      <c r="V1330" s="122" t="n">
        <v>47</v>
      </c>
      <c r="W1330" s="122" t="n">
        <v>34</v>
      </c>
      <c r="X1330" s="124">
        <f>IFERROR(W1330/S1330,"")</f>
        <v/>
      </c>
      <c r="Y1330" s="121">
        <f>IFERROR(R1330/W1330,"")</f>
        <v/>
      </c>
      <c r="Z1330" s="121">
        <f>IFERROR(R1330/S1330*1000,"")</f>
        <v/>
      </c>
      <c r="AA1330" s="122" t="n">
        <v>22</v>
      </c>
      <c r="AB1330" s="54">
        <f>IFERROR(AA1330/W1330,"")</f>
        <v/>
      </c>
      <c r="AC1330" s="122" t="n">
        <v>1229</v>
      </c>
      <c r="AD1330" s="122" t="n">
        <v>547</v>
      </c>
      <c r="AE1330" s="122" t="n">
        <v>468</v>
      </c>
      <c r="AF1330" s="122" t="n">
        <v>290</v>
      </c>
      <c r="AG1330" s="122" t="n">
        <v>189</v>
      </c>
      <c r="AH1330" s="122" t="n">
        <v>120</v>
      </c>
      <c r="AI1330" s="54">
        <f>IFERROR(AC1330/S1330,"")</f>
        <v/>
      </c>
      <c r="AJ1330" s="54">
        <f>IFERROR(AH1330/S1330,"")</f>
        <v/>
      </c>
      <c r="AK1330" s="122" t="n">
        <v>218</v>
      </c>
      <c r="AL1330" s="122" t="n">
        <v>0</v>
      </c>
      <c r="AM1330" s="124">
        <f>IFERROR(AL1330/AA1330,"")</f>
        <v/>
      </c>
      <c r="AN1330" s="125">
        <f>IFERROR(R1330/AL1330,"")</f>
        <v/>
      </c>
      <c r="AO1330" s="122" t="n">
        <v>0</v>
      </c>
      <c r="AP1330" s="54">
        <f>IFERROR(AO1330/AL1330,"")</f>
        <v/>
      </c>
      <c r="AQ1330" s="125">
        <f>IFERROR(R1330/AO1330,"")</f>
        <v/>
      </c>
      <c r="AR1330" s="122" t="n">
        <v>0</v>
      </c>
      <c r="AS1330" s="122" t="n">
        <v>0</v>
      </c>
      <c r="AT1330" s="122">
        <f>AL1330+AR1330</f>
        <v/>
      </c>
      <c r="AU1330" s="125">
        <f>IFERROR(AO1330*Assumptions!$C$26*Assumptions!$C$27*INDEX(Assumptions!$C$18:$C$21,MATCH(H1330,Assumptions!$B$18:$B$21,0)),0)</f>
        <v/>
      </c>
    </row>
    <row r="1331">
      <c r="A1331" s="120" t="n">
        <v>46243</v>
      </c>
      <c r="B1331" s="66" t="inlineStr">
        <is>
          <t>Wk 32</t>
        </is>
      </c>
      <c r="C1331" s="66" t="inlineStr">
        <is>
          <t>Sun</t>
        </is>
      </c>
      <c r="D1331" s="66" t="inlineStr">
        <is>
          <t>TikTok</t>
        </is>
      </c>
      <c r="E1331" s="66" t="inlineStr">
        <is>
          <t>TikTok</t>
        </is>
      </c>
      <c r="F1331" s="66" t="inlineStr">
        <is>
          <t>LEP_ZA_AUG26_TT_SPARK_RANGE_TRAFFIC</t>
        </is>
      </c>
      <c r="G1331" s="66" t="inlineStr">
        <is>
          <t>Traffic - Spark Ads</t>
        </is>
      </c>
      <c r="H1331" s="66" t="inlineStr">
        <is>
          <t>Range</t>
        </is>
      </c>
      <c r="I1331" s="66" t="inlineStr">
        <is>
          <t>Range Offer</t>
        </is>
      </c>
      <c r="J1331" s="66" t="inlineStr">
        <is>
          <t>TT_SPARK_CREATOR_UGC_ZA</t>
        </is>
      </c>
      <c r="K1331" s="66" t="inlineStr">
        <is>
          <t>Prospecting</t>
        </is>
      </c>
      <c r="L1331" s="66" t="inlineStr">
        <is>
          <t>TT_SPARK_@drivesa_Review_v1</t>
        </is>
      </c>
      <c r="M1331" s="66" t="inlineStr">
        <is>
          <t>Spark Ad</t>
        </is>
      </c>
      <c r="N1331" s="66" t="inlineStr">
        <is>
          <t>Creator handle: @drivesa</t>
        </is>
      </c>
      <c r="O1331" s="66" t="inlineStr">
        <is>
          <t>Auction - Lowest Cost</t>
        </is>
      </c>
      <c r="P1331" s="66" t="inlineStr">
        <is>
          <t>Landing Page View</t>
        </is>
      </c>
      <c r="Q1331" s="66" t="inlineStr">
        <is>
          <t>https://www.lepas-sa.co.za/offers</t>
        </is>
      </c>
      <c r="R1331" s="121" t="n">
        <v>139.91</v>
      </c>
      <c r="S1331" s="122" t="n">
        <v>3410</v>
      </c>
      <c r="T1331" s="122" t="n">
        <v>1816</v>
      </c>
      <c r="U1331" s="123">
        <f>IFERROR(S1331/T1331,"")</f>
        <v/>
      </c>
      <c r="V1331" s="122" t="n">
        <v>42</v>
      </c>
      <c r="W1331" s="122" t="n">
        <v>33</v>
      </c>
      <c r="X1331" s="124">
        <f>IFERROR(W1331/S1331,"")</f>
        <v/>
      </c>
      <c r="Y1331" s="121">
        <f>IFERROR(R1331/W1331,"")</f>
        <v/>
      </c>
      <c r="Z1331" s="121">
        <f>IFERROR(R1331/S1331*1000,"")</f>
        <v/>
      </c>
      <c r="AA1331" s="122" t="n">
        <v>21</v>
      </c>
      <c r="AB1331" s="54">
        <f>IFERROR(AA1331/W1331,"")</f>
        <v/>
      </c>
      <c r="AC1331" s="122" t="n">
        <v>1209</v>
      </c>
      <c r="AD1331" s="122" t="n">
        <v>561</v>
      </c>
      <c r="AE1331" s="122" t="n">
        <v>617</v>
      </c>
      <c r="AF1331" s="122" t="n">
        <v>435</v>
      </c>
      <c r="AG1331" s="122" t="n">
        <v>341</v>
      </c>
      <c r="AH1331" s="122" t="n">
        <v>230</v>
      </c>
      <c r="AI1331" s="54">
        <f>IFERROR(AC1331/S1331,"")</f>
        <v/>
      </c>
      <c r="AJ1331" s="54">
        <f>IFERROR(AH1331/S1331,"")</f>
        <v/>
      </c>
      <c r="AK1331" s="122" t="n">
        <v>147</v>
      </c>
      <c r="AL1331" s="122" t="n">
        <v>0</v>
      </c>
      <c r="AM1331" s="124">
        <f>IFERROR(AL1331/AA1331,"")</f>
        <v/>
      </c>
      <c r="AN1331" s="125">
        <f>IFERROR(R1331/AL1331,"")</f>
        <v/>
      </c>
      <c r="AO1331" s="122" t="n">
        <v>0</v>
      </c>
      <c r="AP1331" s="54">
        <f>IFERROR(AO1331/AL1331,"")</f>
        <v/>
      </c>
      <c r="AQ1331" s="125">
        <f>IFERROR(R1331/AO1331,"")</f>
        <v/>
      </c>
      <c r="AR1331" s="122" t="n">
        <v>0</v>
      </c>
      <c r="AS1331" s="122" t="n">
        <v>0</v>
      </c>
      <c r="AT1331" s="122">
        <f>AL1331+AR1331</f>
        <v/>
      </c>
      <c r="AU1331" s="125">
        <f>IFERROR(AO1331*Assumptions!$C$26*Assumptions!$C$27*INDEX(Assumptions!$C$18:$C$21,MATCH(H1331,Assumptions!$B$18:$B$21,0)),0)</f>
        <v/>
      </c>
    </row>
    <row r="1332">
      <c r="A1332" s="120" t="n">
        <v>46244</v>
      </c>
      <c r="B1332" s="66" t="inlineStr">
        <is>
          <t>Wk 33</t>
        </is>
      </c>
      <c r="C1332" s="66" t="inlineStr">
        <is>
          <t>Mon</t>
        </is>
      </c>
      <c r="D1332" s="66" t="inlineStr">
        <is>
          <t>TikTok</t>
        </is>
      </c>
      <c r="E1332" s="66" t="inlineStr">
        <is>
          <t>TikTok</t>
        </is>
      </c>
      <c r="F1332" s="66" t="inlineStr">
        <is>
          <t>LEP_ZA_AUG26_TT_SPARK_RANGE_TRAFFIC</t>
        </is>
      </c>
      <c r="G1332" s="66" t="inlineStr">
        <is>
          <t>Traffic - Spark Ads</t>
        </is>
      </c>
      <c r="H1332" s="66" t="inlineStr">
        <is>
          <t>Range</t>
        </is>
      </c>
      <c r="I1332" s="66" t="inlineStr">
        <is>
          <t>Range Offer</t>
        </is>
      </c>
      <c r="J1332" s="66" t="inlineStr">
        <is>
          <t>TT_SPARK_CREATOR_UGC_ZA</t>
        </is>
      </c>
      <c r="K1332" s="66" t="inlineStr">
        <is>
          <t>Prospecting</t>
        </is>
      </c>
      <c r="L1332" s="66" t="inlineStr">
        <is>
          <t>TT_SPARK_@drivesa_Review_v1</t>
        </is>
      </c>
      <c r="M1332" s="66" t="inlineStr">
        <is>
          <t>Spark Ad</t>
        </is>
      </c>
      <c r="N1332" s="66" t="inlineStr">
        <is>
          <t>Creator handle: @drivesa</t>
        </is>
      </c>
      <c r="O1332" s="66" t="inlineStr">
        <is>
          <t>Auction - Lowest Cost</t>
        </is>
      </c>
      <c r="P1332" s="66" t="inlineStr">
        <is>
          <t>Landing Page View</t>
        </is>
      </c>
      <c r="Q1332" s="66" t="inlineStr">
        <is>
          <t>https://www.lepas-sa.co.za/offers</t>
        </is>
      </c>
      <c r="R1332" s="121" t="n">
        <v>162.55</v>
      </c>
      <c r="S1332" s="122" t="n">
        <v>4131</v>
      </c>
      <c r="T1332" s="122" t="n">
        <v>2645</v>
      </c>
      <c r="U1332" s="123">
        <f>IFERROR(S1332/T1332,"")</f>
        <v/>
      </c>
      <c r="V1332" s="122" t="n">
        <v>55</v>
      </c>
      <c r="W1332" s="122" t="n">
        <v>41</v>
      </c>
      <c r="X1332" s="124">
        <f>IFERROR(W1332/S1332,"")</f>
        <v/>
      </c>
      <c r="Y1332" s="121">
        <f>IFERROR(R1332/W1332,"")</f>
        <v/>
      </c>
      <c r="Z1332" s="121">
        <f>IFERROR(R1332/S1332*1000,"")</f>
        <v/>
      </c>
      <c r="AA1332" s="122" t="n">
        <v>29</v>
      </c>
      <c r="AB1332" s="54">
        <f>IFERROR(AA1332/W1332,"")</f>
        <v/>
      </c>
      <c r="AC1332" s="122" t="n">
        <v>1319</v>
      </c>
      <c r="AD1332" s="122" t="n">
        <v>690</v>
      </c>
      <c r="AE1332" s="122" t="n">
        <v>684</v>
      </c>
      <c r="AF1332" s="122" t="n">
        <v>365</v>
      </c>
      <c r="AG1332" s="122" t="n">
        <v>277</v>
      </c>
      <c r="AH1332" s="122" t="n">
        <v>168</v>
      </c>
      <c r="AI1332" s="54">
        <f>IFERROR(AC1332/S1332,"")</f>
        <v/>
      </c>
      <c r="AJ1332" s="54">
        <f>IFERROR(AH1332/S1332,"")</f>
        <v/>
      </c>
      <c r="AK1332" s="122" t="n">
        <v>182</v>
      </c>
      <c r="AL1332" s="122" t="n">
        <v>0</v>
      </c>
      <c r="AM1332" s="124">
        <f>IFERROR(AL1332/AA1332,"")</f>
        <v/>
      </c>
      <c r="AN1332" s="125">
        <f>IFERROR(R1332/AL1332,"")</f>
        <v/>
      </c>
      <c r="AO1332" s="122" t="n">
        <v>0</v>
      </c>
      <c r="AP1332" s="54">
        <f>IFERROR(AO1332/AL1332,"")</f>
        <v/>
      </c>
      <c r="AQ1332" s="125">
        <f>IFERROR(R1332/AO1332,"")</f>
        <v/>
      </c>
      <c r="AR1332" s="122" t="n">
        <v>0</v>
      </c>
      <c r="AS1332" s="122" t="n">
        <v>0</v>
      </c>
      <c r="AT1332" s="122">
        <f>AL1332+AR1332</f>
        <v/>
      </c>
      <c r="AU1332" s="125">
        <f>IFERROR(AO1332*Assumptions!$C$26*Assumptions!$C$27*INDEX(Assumptions!$C$18:$C$21,MATCH(H1332,Assumptions!$B$18:$B$21,0)),0)</f>
        <v/>
      </c>
    </row>
    <row r="1333">
      <c r="A1333" s="120" t="n">
        <v>46245</v>
      </c>
      <c r="B1333" s="66" t="inlineStr">
        <is>
          <t>Wk 33</t>
        </is>
      </c>
      <c r="C1333" s="66" t="inlineStr">
        <is>
          <t>Tue</t>
        </is>
      </c>
      <c r="D1333" s="66" t="inlineStr">
        <is>
          <t>TikTok</t>
        </is>
      </c>
      <c r="E1333" s="66" t="inlineStr">
        <is>
          <t>TikTok</t>
        </is>
      </c>
      <c r="F1333" s="66" t="inlineStr">
        <is>
          <t>LEP_ZA_AUG26_TT_SPARK_RANGE_TRAFFIC</t>
        </is>
      </c>
      <c r="G1333" s="66" t="inlineStr">
        <is>
          <t>Traffic - Spark Ads</t>
        </is>
      </c>
      <c r="H1333" s="66" t="inlineStr">
        <is>
          <t>Range</t>
        </is>
      </c>
      <c r="I1333" s="66" t="inlineStr">
        <is>
          <t>Range Offer</t>
        </is>
      </c>
      <c r="J1333" s="66" t="inlineStr">
        <is>
          <t>TT_SPARK_CREATOR_UGC_ZA</t>
        </is>
      </c>
      <c r="K1333" s="66" t="inlineStr">
        <is>
          <t>Prospecting</t>
        </is>
      </c>
      <c r="L1333" s="66" t="inlineStr">
        <is>
          <t>TT_SPARK_@drivesa_Review_v1</t>
        </is>
      </c>
      <c r="M1333" s="66" t="inlineStr">
        <is>
          <t>Spark Ad</t>
        </is>
      </c>
      <c r="N1333" s="66" t="inlineStr">
        <is>
          <t>Creator handle: @drivesa</t>
        </is>
      </c>
      <c r="O1333" s="66" t="inlineStr">
        <is>
          <t>Auction - Lowest Cost</t>
        </is>
      </c>
      <c r="P1333" s="66" t="inlineStr">
        <is>
          <t>Landing Page View</t>
        </is>
      </c>
      <c r="Q1333" s="66" t="inlineStr">
        <is>
          <t>https://www.lepas-sa.co.za/offers</t>
        </is>
      </c>
      <c r="R1333" s="121" t="n">
        <v>150.15</v>
      </c>
      <c r="S1333" s="122" t="n">
        <v>5241</v>
      </c>
      <c r="T1333" s="122" t="n">
        <v>3035</v>
      </c>
      <c r="U1333" s="123">
        <f>IFERROR(S1333/T1333,"")</f>
        <v/>
      </c>
      <c r="V1333" s="122" t="n">
        <v>51</v>
      </c>
      <c r="W1333" s="122" t="n">
        <v>36</v>
      </c>
      <c r="X1333" s="124">
        <f>IFERROR(W1333/S1333,"")</f>
        <v/>
      </c>
      <c r="Y1333" s="121">
        <f>IFERROR(R1333/W1333,"")</f>
        <v/>
      </c>
      <c r="Z1333" s="121">
        <f>IFERROR(R1333/S1333*1000,"")</f>
        <v/>
      </c>
      <c r="AA1333" s="122" t="n">
        <v>26</v>
      </c>
      <c r="AB1333" s="54">
        <f>IFERROR(AA1333/W1333,"")</f>
        <v/>
      </c>
      <c r="AC1333" s="122" t="n">
        <v>2111</v>
      </c>
      <c r="AD1333" s="122" t="n">
        <v>1184</v>
      </c>
      <c r="AE1333" s="122" t="n">
        <v>1092</v>
      </c>
      <c r="AF1333" s="122" t="n">
        <v>696</v>
      </c>
      <c r="AG1333" s="122" t="n">
        <v>489</v>
      </c>
      <c r="AH1333" s="122" t="n">
        <v>345</v>
      </c>
      <c r="AI1333" s="54">
        <f>IFERROR(AC1333/S1333,"")</f>
        <v/>
      </c>
      <c r="AJ1333" s="54">
        <f>IFERROR(AH1333/S1333,"")</f>
        <v/>
      </c>
      <c r="AK1333" s="122" t="n">
        <v>161</v>
      </c>
      <c r="AL1333" s="122" t="n">
        <v>1</v>
      </c>
      <c r="AM1333" s="124">
        <f>IFERROR(AL1333/AA1333,"")</f>
        <v/>
      </c>
      <c r="AN1333" s="125">
        <f>IFERROR(R1333/AL1333,"")</f>
        <v/>
      </c>
      <c r="AO1333" s="122" t="n">
        <v>1</v>
      </c>
      <c r="AP1333" s="54">
        <f>IFERROR(AO1333/AL1333,"")</f>
        <v/>
      </c>
      <c r="AQ1333" s="125">
        <f>IFERROR(R1333/AO1333,"")</f>
        <v/>
      </c>
      <c r="AR1333" s="122" t="n">
        <v>0</v>
      </c>
      <c r="AS1333" s="122" t="n">
        <v>0</v>
      </c>
      <c r="AT1333" s="122">
        <f>AL1333+AR1333</f>
        <v/>
      </c>
      <c r="AU1333" s="125">
        <f>IFERROR(AO1333*Assumptions!$C$26*Assumptions!$C$27*INDEX(Assumptions!$C$18:$C$21,MATCH(H1333,Assumptions!$B$18:$B$21,0)),0)</f>
        <v/>
      </c>
    </row>
    <row r="1334">
      <c r="A1334" s="120" t="n">
        <v>46246</v>
      </c>
      <c r="B1334" s="66" t="inlineStr">
        <is>
          <t>Wk 33</t>
        </is>
      </c>
      <c r="C1334" s="66" t="inlineStr">
        <is>
          <t>Wed</t>
        </is>
      </c>
      <c r="D1334" s="66" t="inlineStr">
        <is>
          <t>TikTok</t>
        </is>
      </c>
      <c r="E1334" s="66" t="inlineStr">
        <is>
          <t>TikTok</t>
        </is>
      </c>
      <c r="F1334" s="66" t="inlineStr">
        <is>
          <t>LEP_ZA_AUG26_TT_SPARK_RANGE_TRAFFIC</t>
        </is>
      </c>
      <c r="G1334" s="66" t="inlineStr">
        <is>
          <t>Traffic - Spark Ads</t>
        </is>
      </c>
      <c r="H1334" s="66" t="inlineStr">
        <is>
          <t>Range</t>
        </is>
      </c>
      <c r="I1334" s="66" t="inlineStr">
        <is>
          <t>Range Offer</t>
        </is>
      </c>
      <c r="J1334" s="66" t="inlineStr">
        <is>
          <t>TT_SPARK_CREATOR_UGC_ZA</t>
        </is>
      </c>
      <c r="K1334" s="66" t="inlineStr">
        <is>
          <t>Prospecting</t>
        </is>
      </c>
      <c r="L1334" s="66" t="inlineStr">
        <is>
          <t>TT_SPARK_@drivesa_Review_v1</t>
        </is>
      </c>
      <c r="M1334" s="66" t="inlineStr">
        <is>
          <t>Spark Ad</t>
        </is>
      </c>
      <c r="N1334" s="66" t="inlineStr">
        <is>
          <t>Creator handle: @drivesa</t>
        </is>
      </c>
      <c r="O1334" s="66" t="inlineStr">
        <is>
          <t>Auction - Lowest Cost</t>
        </is>
      </c>
      <c r="P1334" s="66" t="inlineStr">
        <is>
          <t>Landing Page View</t>
        </is>
      </c>
      <c r="Q1334" s="66" t="inlineStr">
        <is>
          <t>https://www.lepas-sa.co.za/offers</t>
        </is>
      </c>
      <c r="R1334" s="121" t="n">
        <v>167.28</v>
      </c>
      <c r="S1334" s="122" t="n">
        <v>4180</v>
      </c>
      <c r="T1334" s="122" t="n">
        <v>2209</v>
      </c>
      <c r="U1334" s="123">
        <f>IFERROR(S1334/T1334,"")</f>
        <v/>
      </c>
      <c r="V1334" s="122" t="n">
        <v>50</v>
      </c>
      <c r="W1334" s="122" t="n">
        <v>36</v>
      </c>
      <c r="X1334" s="124">
        <f>IFERROR(W1334/S1334,"")</f>
        <v/>
      </c>
      <c r="Y1334" s="121">
        <f>IFERROR(R1334/W1334,"")</f>
        <v/>
      </c>
      <c r="Z1334" s="121">
        <f>IFERROR(R1334/S1334*1000,"")</f>
        <v/>
      </c>
      <c r="AA1334" s="122" t="n">
        <v>26</v>
      </c>
      <c r="AB1334" s="54">
        <f>IFERROR(AA1334/W1334,"")</f>
        <v/>
      </c>
      <c r="AC1334" s="122" t="n">
        <v>1314</v>
      </c>
      <c r="AD1334" s="122" t="n">
        <v>789</v>
      </c>
      <c r="AE1334" s="122" t="n">
        <v>689</v>
      </c>
      <c r="AF1334" s="122" t="n">
        <v>417</v>
      </c>
      <c r="AG1334" s="122" t="n">
        <v>291</v>
      </c>
      <c r="AH1334" s="122" t="n">
        <v>162</v>
      </c>
      <c r="AI1334" s="54">
        <f>IFERROR(AC1334/S1334,"")</f>
        <v/>
      </c>
      <c r="AJ1334" s="54">
        <f>IFERROR(AH1334/S1334,"")</f>
        <v/>
      </c>
      <c r="AK1334" s="122" t="n">
        <v>103</v>
      </c>
      <c r="AL1334" s="122" t="n">
        <v>0</v>
      </c>
      <c r="AM1334" s="124">
        <f>IFERROR(AL1334/AA1334,"")</f>
        <v/>
      </c>
      <c r="AN1334" s="125">
        <f>IFERROR(R1334/AL1334,"")</f>
        <v/>
      </c>
      <c r="AO1334" s="122" t="n">
        <v>0</v>
      </c>
      <c r="AP1334" s="54">
        <f>IFERROR(AO1334/AL1334,"")</f>
        <v/>
      </c>
      <c r="AQ1334" s="125">
        <f>IFERROR(R1334/AO1334,"")</f>
        <v/>
      </c>
      <c r="AR1334" s="122" t="n">
        <v>0</v>
      </c>
      <c r="AS1334" s="122" t="n">
        <v>0</v>
      </c>
      <c r="AT1334" s="122">
        <f>AL1334+AR1334</f>
        <v/>
      </c>
      <c r="AU1334" s="125">
        <f>IFERROR(AO1334*Assumptions!$C$26*Assumptions!$C$27*INDEX(Assumptions!$C$18:$C$21,MATCH(H1334,Assumptions!$B$18:$B$21,0)),0)</f>
        <v/>
      </c>
    </row>
    <row r="1335">
      <c r="A1335" s="120" t="n">
        <v>46247</v>
      </c>
      <c r="B1335" s="66" t="inlineStr">
        <is>
          <t>Wk 33</t>
        </is>
      </c>
      <c r="C1335" s="66" t="inlineStr">
        <is>
          <t>Thu</t>
        </is>
      </c>
      <c r="D1335" s="66" t="inlineStr">
        <is>
          <t>TikTok</t>
        </is>
      </c>
      <c r="E1335" s="66" t="inlineStr">
        <is>
          <t>TikTok</t>
        </is>
      </c>
      <c r="F1335" s="66" t="inlineStr">
        <is>
          <t>LEP_ZA_AUG26_TT_SPARK_RANGE_TRAFFIC</t>
        </is>
      </c>
      <c r="G1335" s="66" t="inlineStr">
        <is>
          <t>Traffic - Spark Ads</t>
        </is>
      </c>
      <c r="H1335" s="66" t="inlineStr">
        <is>
          <t>Range</t>
        </is>
      </c>
      <c r="I1335" s="66" t="inlineStr">
        <is>
          <t>Range Offer</t>
        </is>
      </c>
      <c r="J1335" s="66" t="inlineStr">
        <is>
          <t>TT_SPARK_CREATOR_UGC_ZA</t>
        </is>
      </c>
      <c r="K1335" s="66" t="inlineStr">
        <is>
          <t>Prospecting</t>
        </is>
      </c>
      <c r="L1335" s="66" t="inlineStr">
        <is>
          <t>TT_SPARK_@drivesa_Review_v1</t>
        </is>
      </c>
      <c r="M1335" s="66" t="inlineStr">
        <is>
          <t>Spark Ad</t>
        </is>
      </c>
      <c r="N1335" s="66" t="inlineStr">
        <is>
          <t>Creator handle: @drivesa</t>
        </is>
      </c>
      <c r="O1335" s="66" t="inlineStr">
        <is>
          <t>Auction - Lowest Cost</t>
        </is>
      </c>
      <c r="P1335" s="66" t="inlineStr">
        <is>
          <t>Landing Page View</t>
        </is>
      </c>
      <c r="Q1335" s="66" t="inlineStr">
        <is>
          <t>https://www.lepas-sa.co.za/offers</t>
        </is>
      </c>
      <c r="R1335" s="121" t="n">
        <v>166.48</v>
      </c>
      <c r="S1335" s="122" t="n">
        <v>5675</v>
      </c>
      <c r="T1335" s="122" t="n">
        <v>3653</v>
      </c>
      <c r="U1335" s="123">
        <f>IFERROR(S1335/T1335,"")</f>
        <v/>
      </c>
      <c r="V1335" s="122" t="n">
        <v>46</v>
      </c>
      <c r="W1335" s="122" t="n">
        <v>33</v>
      </c>
      <c r="X1335" s="124">
        <f>IFERROR(W1335/S1335,"")</f>
        <v/>
      </c>
      <c r="Y1335" s="121">
        <f>IFERROR(R1335/W1335,"")</f>
        <v/>
      </c>
      <c r="Z1335" s="121">
        <f>IFERROR(R1335/S1335*1000,"")</f>
        <v/>
      </c>
      <c r="AA1335" s="122" t="n">
        <v>23</v>
      </c>
      <c r="AB1335" s="54">
        <f>IFERROR(AA1335/W1335,"")</f>
        <v/>
      </c>
      <c r="AC1335" s="122" t="n">
        <v>1527</v>
      </c>
      <c r="AD1335" s="122" t="n">
        <v>886</v>
      </c>
      <c r="AE1335" s="122" t="n">
        <v>829</v>
      </c>
      <c r="AF1335" s="122" t="n">
        <v>576</v>
      </c>
      <c r="AG1335" s="122" t="n">
        <v>383</v>
      </c>
      <c r="AH1335" s="122" t="n">
        <v>235</v>
      </c>
      <c r="AI1335" s="54">
        <f>IFERROR(AC1335/S1335,"")</f>
        <v/>
      </c>
      <c r="AJ1335" s="54">
        <f>IFERROR(AH1335/S1335,"")</f>
        <v/>
      </c>
      <c r="AK1335" s="122" t="n">
        <v>270</v>
      </c>
      <c r="AL1335" s="122" t="n">
        <v>0</v>
      </c>
      <c r="AM1335" s="124">
        <f>IFERROR(AL1335/AA1335,"")</f>
        <v/>
      </c>
      <c r="AN1335" s="125">
        <f>IFERROR(R1335/AL1335,"")</f>
        <v/>
      </c>
      <c r="AO1335" s="122" t="n">
        <v>0</v>
      </c>
      <c r="AP1335" s="54">
        <f>IFERROR(AO1335/AL1335,"")</f>
        <v/>
      </c>
      <c r="AQ1335" s="125">
        <f>IFERROR(R1335/AO1335,"")</f>
        <v/>
      </c>
      <c r="AR1335" s="122" t="n">
        <v>0</v>
      </c>
      <c r="AS1335" s="122" t="n">
        <v>0</v>
      </c>
      <c r="AT1335" s="122">
        <f>AL1335+AR1335</f>
        <v/>
      </c>
      <c r="AU1335" s="125">
        <f>IFERROR(AO1335*Assumptions!$C$26*Assumptions!$C$27*INDEX(Assumptions!$C$18:$C$21,MATCH(H1335,Assumptions!$B$18:$B$21,0)),0)</f>
        <v/>
      </c>
    </row>
    <row r="1336">
      <c r="A1336" s="120" t="n">
        <v>46248</v>
      </c>
      <c r="B1336" s="66" t="inlineStr">
        <is>
          <t>Wk 33</t>
        </is>
      </c>
      <c r="C1336" s="66" t="inlineStr">
        <is>
          <t>Fri</t>
        </is>
      </c>
      <c r="D1336" s="66" t="inlineStr">
        <is>
          <t>TikTok</t>
        </is>
      </c>
      <c r="E1336" s="66" t="inlineStr">
        <is>
          <t>TikTok</t>
        </is>
      </c>
      <c r="F1336" s="66" t="inlineStr">
        <is>
          <t>LEP_ZA_AUG26_TT_SPARK_RANGE_TRAFFIC</t>
        </is>
      </c>
      <c r="G1336" s="66" t="inlineStr">
        <is>
          <t>Traffic - Spark Ads</t>
        </is>
      </c>
      <c r="H1336" s="66" t="inlineStr">
        <is>
          <t>Range</t>
        </is>
      </c>
      <c r="I1336" s="66" t="inlineStr">
        <is>
          <t>Range Offer</t>
        </is>
      </c>
      <c r="J1336" s="66" t="inlineStr">
        <is>
          <t>TT_SPARK_CREATOR_UGC_ZA</t>
        </is>
      </c>
      <c r="K1336" s="66" t="inlineStr">
        <is>
          <t>Prospecting</t>
        </is>
      </c>
      <c r="L1336" s="66" t="inlineStr">
        <is>
          <t>TT_SPARK_@drivesa_Review_v1</t>
        </is>
      </c>
      <c r="M1336" s="66" t="inlineStr">
        <is>
          <t>Spark Ad</t>
        </is>
      </c>
      <c r="N1336" s="66" t="inlineStr">
        <is>
          <t>Creator handle: @drivesa</t>
        </is>
      </c>
      <c r="O1336" s="66" t="inlineStr">
        <is>
          <t>Auction - Lowest Cost</t>
        </is>
      </c>
      <c r="P1336" s="66" t="inlineStr">
        <is>
          <t>Landing Page View</t>
        </is>
      </c>
      <c r="Q1336" s="66" t="inlineStr">
        <is>
          <t>https://www.lepas-sa.co.za/offers</t>
        </is>
      </c>
      <c r="R1336" s="121" t="n">
        <v>189.85</v>
      </c>
      <c r="S1336" s="122" t="n">
        <v>5728</v>
      </c>
      <c r="T1336" s="122" t="n">
        <v>3418</v>
      </c>
      <c r="U1336" s="123">
        <f>IFERROR(S1336/T1336,"")</f>
        <v/>
      </c>
      <c r="V1336" s="122" t="n">
        <v>36</v>
      </c>
      <c r="W1336" s="122" t="n">
        <v>31</v>
      </c>
      <c r="X1336" s="124">
        <f>IFERROR(W1336/S1336,"")</f>
        <v/>
      </c>
      <c r="Y1336" s="121">
        <f>IFERROR(R1336/W1336,"")</f>
        <v/>
      </c>
      <c r="Z1336" s="121">
        <f>IFERROR(R1336/S1336*1000,"")</f>
        <v/>
      </c>
      <c r="AA1336" s="122" t="n">
        <v>21</v>
      </c>
      <c r="AB1336" s="54">
        <f>IFERROR(AA1336/W1336,"")</f>
        <v/>
      </c>
      <c r="AC1336" s="122" t="n">
        <v>1755</v>
      </c>
      <c r="AD1336" s="122" t="n">
        <v>797</v>
      </c>
      <c r="AE1336" s="122" t="n">
        <v>762</v>
      </c>
      <c r="AF1336" s="122" t="n">
        <v>442</v>
      </c>
      <c r="AG1336" s="122" t="n">
        <v>294</v>
      </c>
      <c r="AH1336" s="122" t="n">
        <v>214</v>
      </c>
      <c r="AI1336" s="54">
        <f>IFERROR(AC1336/S1336,"")</f>
        <v/>
      </c>
      <c r="AJ1336" s="54">
        <f>IFERROR(AH1336/S1336,"")</f>
        <v/>
      </c>
      <c r="AK1336" s="122" t="n">
        <v>136</v>
      </c>
      <c r="AL1336" s="122" t="n">
        <v>1</v>
      </c>
      <c r="AM1336" s="124">
        <f>IFERROR(AL1336/AA1336,"")</f>
        <v/>
      </c>
      <c r="AN1336" s="125">
        <f>IFERROR(R1336/AL1336,"")</f>
        <v/>
      </c>
      <c r="AO1336" s="122" t="n">
        <v>0</v>
      </c>
      <c r="AP1336" s="54">
        <f>IFERROR(AO1336/AL1336,"")</f>
        <v/>
      </c>
      <c r="AQ1336" s="125">
        <f>IFERROR(R1336/AO1336,"")</f>
        <v/>
      </c>
      <c r="AR1336" s="122" t="n">
        <v>1</v>
      </c>
      <c r="AS1336" s="122" t="n">
        <v>0</v>
      </c>
      <c r="AT1336" s="122">
        <f>AL1336+AR1336</f>
        <v/>
      </c>
      <c r="AU1336" s="125">
        <f>IFERROR(AO1336*Assumptions!$C$26*Assumptions!$C$27*INDEX(Assumptions!$C$18:$C$21,MATCH(H1336,Assumptions!$B$18:$B$21,0)),0)</f>
        <v/>
      </c>
    </row>
    <row r="1337">
      <c r="A1337" s="120" t="n">
        <v>46249</v>
      </c>
      <c r="B1337" s="66" t="inlineStr">
        <is>
          <t>Wk 33</t>
        </is>
      </c>
      <c r="C1337" s="66" t="inlineStr">
        <is>
          <t>Sat</t>
        </is>
      </c>
      <c r="D1337" s="66" t="inlineStr">
        <is>
          <t>TikTok</t>
        </is>
      </c>
      <c r="E1337" s="66" t="inlineStr">
        <is>
          <t>TikTok</t>
        </is>
      </c>
      <c r="F1337" s="66" t="inlineStr">
        <is>
          <t>LEP_ZA_AUG26_TT_SPARK_RANGE_TRAFFIC</t>
        </is>
      </c>
      <c r="G1337" s="66" t="inlineStr">
        <is>
          <t>Traffic - Spark Ads</t>
        </is>
      </c>
      <c r="H1337" s="66" t="inlineStr">
        <is>
          <t>Range</t>
        </is>
      </c>
      <c r="I1337" s="66" t="inlineStr">
        <is>
          <t>Range Offer</t>
        </is>
      </c>
      <c r="J1337" s="66" t="inlineStr">
        <is>
          <t>TT_SPARK_CREATOR_UGC_ZA</t>
        </is>
      </c>
      <c r="K1337" s="66" t="inlineStr">
        <is>
          <t>Prospecting</t>
        </is>
      </c>
      <c r="L1337" s="66" t="inlineStr">
        <is>
          <t>TT_SPARK_@drivesa_Review_v1</t>
        </is>
      </c>
      <c r="M1337" s="66" t="inlineStr">
        <is>
          <t>Spark Ad</t>
        </is>
      </c>
      <c r="N1337" s="66" t="inlineStr">
        <is>
          <t>Creator handle: @drivesa</t>
        </is>
      </c>
      <c r="O1337" s="66" t="inlineStr">
        <is>
          <t>Auction - Lowest Cost</t>
        </is>
      </c>
      <c r="P1337" s="66" t="inlineStr">
        <is>
          <t>Landing Page View</t>
        </is>
      </c>
      <c r="Q1337" s="66" t="inlineStr">
        <is>
          <t>https://www.lepas-sa.co.za/offers</t>
        </is>
      </c>
      <c r="R1337" s="121" t="n">
        <v>179.74</v>
      </c>
      <c r="S1337" s="122" t="n">
        <v>6111</v>
      </c>
      <c r="T1337" s="122" t="n">
        <v>3737</v>
      </c>
      <c r="U1337" s="123">
        <f>IFERROR(S1337/T1337,"")</f>
        <v/>
      </c>
      <c r="V1337" s="122" t="n">
        <v>69</v>
      </c>
      <c r="W1337" s="122" t="n">
        <v>53</v>
      </c>
      <c r="X1337" s="124">
        <f>IFERROR(W1337/S1337,"")</f>
        <v/>
      </c>
      <c r="Y1337" s="121">
        <f>IFERROR(R1337/W1337,"")</f>
        <v/>
      </c>
      <c r="Z1337" s="121">
        <f>IFERROR(R1337/S1337*1000,"")</f>
        <v/>
      </c>
      <c r="AA1337" s="122" t="n">
        <v>38</v>
      </c>
      <c r="AB1337" s="54">
        <f>IFERROR(AA1337/W1337,"")</f>
        <v/>
      </c>
      <c r="AC1337" s="122" t="n">
        <v>2090</v>
      </c>
      <c r="AD1337" s="122" t="n">
        <v>1131</v>
      </c>
      <c r="AE1337" s="122" t="n">
        <v>811</v>
      </c>
      <c r="AF1337" s="122" t="n">
        <v>429</v>
      </c>
      <c r="AG1337" s="122" t="n">
        <v>298</v>
      </c>
      <c r="AH1337" s="122" t="n">
        <v>190</v>
      </c>
      <c r="AI1337" s="54">
        <f>IFERROR(AC1337/S1337,"")</f>
        <v/>
      </c>
      <c r="AJ1337" s="54">
        <f>IFERROR(AH1337/S1337,"")</f>
        <v/>
      </c>
      <c r="AK1337" s="122" t="n">
        <v>212</v>
      </c>
      <c r="AL1337" s="122" t="n">
        <v>0</v>
      </c>
      <c r="AM1337" s="124">
        <f>IFERROR(AL1337/AA1337,"")</f>
        <v/>
      </c>
      <c r="AN1337" s="125">
        <f>IFERROR(R1337/AL1337,"")</f>
        <v/>
      </c>
      <c r="AO1337" s="122" t="n">
        <v>0</v>
      </c>
      <c r="AP1337" s="54">
        <f>IFERROR(AO1337/AL1337,"")</f>
        <v/>
      </c>
      <c r="AQ1337" s="125">
        <f>IFERROR(R1337/AO1337,"")</f>
        <v/>
      </c>
      <c r="AR1337" s="122" t="n">
        <v>0</v>
      </c>
      <c r="AS1337" s="122" t="n">
        <v>0</v>
      </c>
      <c r="AT1337" s="122">
        <f>AL1337+AR1337</f>
        <v/>
      </c>
      <c r="AU1337" s="125">
        <f>IFERROR(AO1337*Assumptions!$C$26*Assumptions!$C$27*INDEX(Assumptions!$C$18:$C$21,MATCH(H1337,Assumptions!$B$18:$B$21,0)),0)</f>
        <v/>
      </c>
    </row>
    <row r="1338">
      <c r="A1338" s="120" t="n">
        <v>46250</v>
      </c>
      <c r="B1338" s="66" t="inlineStr">
        <is>
          <t>Wk 33</t>
        </is>
      </c>
      <c r="C1338" s="66" t="inlineStr">
        <is>
          <t>Sun</t>
        </is>
      </c>
      <c r="D1338" s="66" t="inlineStr">
        <is>
          <t>TikTok</t>
        </is>
      </c>
      <c r="E1338" s="66" t="inlineStr">
        <is>
          <t>TikTok</t>
        </is>
      </c>
      <c r="F1338" s="66" t="inlineStr">
        <is>
          <t>LEP_ZA_AUG26_TT_SPARK_RANGE_TRAFFIC</t>
        </is>
      </c>
      <c r="G1338" s="66" t="inlineStr">
        <is>
          <t>Traffic - Spark Ads</t>
        </is>
      </c>
      <c r="H1338" s="66" t="inlineStr">
        <is>
          <t>Range</t>
        </is>
      </c>
      <c r="I1338" s="66" t="inlineStr">
        <is>
          <t>Range Offer</t>
        </is>
      </c>
      <c r="J1338" s="66" t="inlineStr">
        <is>
          <t>TT_SPARK_CREATOR_UGC_ZA</t>
        </is>
      </c>
      <c r="K1338" s="66" t="inlineStr">
        <is>
          <t>Prospecting</t>
        </is>
      </c>
      <c r="L1338" s="66" t="inlineStr">
        <is>
          <t>TT_SPARK_@drivesa_Review_v1</t>
        </is>
      </c>
      <c r="M1338" s="66" t="inlineStr">
        <is>
          <t>Spark Ad</t>
        </is>
      </c>
      <c r="N1338" s="66" t="inlineStr">
        <is>
          <t>Creator handle: @drivesa</t>
        </is>
      </c>
      <c r="O1338" s="66" t="inlineStr">
        <is>
          <t>Auction - Lowest Cost</t>
        </is>
      </c>
      <c r="P1338" s="66" t="inlineStr">
        <is>
          <t>Landing Page View</t>
        </is>
      </c>
      <c r="Q1338" s="66" t="inlineStr">
        <is>
          <t>https://www.lepas-sa.co.za/offers</t>
        </is>
      </c>
      <c r="R1338" s="121" t="n">
        <v>141.2</v>
      </c>
      <c r="S1338" s="122" t="n">
        <v>3367</v>
      </c>
      <c r="T1338" s="122" t="n">
        <v>2309</v>
      </c>
      <c r="U1338" s="123">
        <f>IFERROR(S1338/T1338,"")</f>
        <v/>
      </c>
      <c r="V1338" s="122" t="n">
        <v>34</v>
      </c>
      <c r="W1338" s="122" t="n">
        <v>26</v>
      </c>
      <c r="X1338" s="124">
        <f>IFERROR(W1338/S1338,"")</f>
        <v/>
      </c>
      <c r="Y1338" s="121">
        <f>IFERROR(R1338/W1338,"")</f>
        <v/>
      </c>
      <c r="Z1338" s="121">
        <f>IFERROR(R1338/S1338*1000,"")</f>
        <v/>
      </c>
      <c r="AA1338" s="122" t="n">
        <v>16</v>
      </c>
      <c r="AB1338" s="54">
        <f>IFERROR(AA1338/W1338,"")</f>
        <v/>
      </c>
      <c r="AC1338" s="122" t="n">
        <v>1126</v>
      </c>
      <c r="AD1338" s="122" t="n">
        <v>658</v>
      </c>
      <c r="AE1338" s="122" t="n">
        <v>464</v>
      </c>
      <c r="AF1338" s="122" t="n">
        <v>299</v>
      </c>
      <c r="AG1338" s="122" t="n">
        <v>194</v>
      </c>
      <c r="AH1338" s="122" t="n">
        <v>120</v>
      </c>
      <c r="AI1338" s="54">
        <f>IFERROR(AC1338/S1338,"")</f>
        <v/>
      </c>
      <c r="AJ1338" s="54">
        <f>IFERROR(AH1338/S1338,"")</f>
        <v/>
      </c>
      <c r="AK1338" s="122" t="n">
        <v>137</v>
      </c>
      <c r="AL1338" s="122" t="n">
        <v>1</v>
      </c>
      <c r="AM1338" s="124">
        <f>IFERROR(AL1338/AA1338,"")</f>
        <v/>
      </c>
      <c r="AN1338" s="125">
        <f>IFERROR(R1338/AL1338,"")</f>
        <v/>
      </c>
      <c r="AO1338" s="122" t="n">
        <v>0</v>
      </c>
      <c r="AP1338" s="54">
        <f>IFERROR(AO1338/AL1338,"")</f>
        <v/>
      </c>
      <c r="AQ1338" s="125">
        <f>IFERROR(R1338/AO1338,"")</f>
        <v/>
      </c>
      <c r="AR1338" s="122" t="n">
        <v>1</v>
      </c>
      <c r="AS1338" s="122" t="n">
        <v>1</v>
      </c>
      <c r="AT1338" s="122">
        <f>AL1338+AR1338</f>
        <v/>
      </c>
      <c r="AU1338" s="125">
        <f>IFERROR(AO1338*Assumptions!$C$26*Assumptions!$C$27*INDEX(Assumptions!$C$18:$C$21,MATCH(H1338,Assumptions!$B$18:$B$21,0)),0)</f>
        <v/>
      </c>
    </row>
    <row r="1339">
      <c r="A1339" s="120" t="n">
        <v>46251</v>
      </c>
      <c r="B1339" s="66" t="inlineStr">
        <is>
          <t>Wk 34</t>
        </is>
      </c>
      <c r="C1339" s="66" t="inlineStr">
        <is>
          <t>Mon</t>
        </is>
      </c>
      <c r="D1339" s="66" t="inlineStr">
        <is>
          <t>TikTok</t>
        </is>
      </c>
      <c r="E1339" s="66" t="inlineStr">
        <is>
          <t>TikTok</t>
        </is>
      </c>
      <c r="F1339" s="66" t="inlineStr">
        <is>
          <t>LEP_ZA_AUG26_TT_SPARK_RANGE_TRAFFIC</t>
        </is>
      </c>
      <c r="G1339" s="66" t="inlineStr">
        <is>
          <t>Traffic - Spark Ads</t>
        </is>
      </c>
      <c r="H1339" s="66" t="inlineStr">
        <is>
          <t>Range</t>
        </is>
      </c>
      <c r="I1339" s="66" t="inlineStr">
        <is>
          <t>Range Offer</t>
        </is>
      </c>
      <c r="J1339" s="66" t="inlineStr">
        <is>
          <t>TT_SPARK_CREATOR_UGC_ZA</t>
        </is>
      </c>
      <c r="K1339" s="66" t="inlineStr">
        <is>
          <t>Prospecting</t>
        </is>
      </c>
      <c r="L1339" s="66" t="inlineStr">
        <is>
          <t>TT_SPARK_@drivesa_Review_v1</t>
        </is>
      </c>
      <c r="M1339" s="66" t="inlineStr">
        <is>
          <t>Spark Ad</t>
        </is>
      </c>
      <c r="N1339" s="66" t="inlineStr">
        <is>
          <t>Creator handle: @drivesa</t>
        </is>
      </c>
      <c r="O1339" s="66" t="inlineStr">
        <is>
          <t>Auction - Lowest Cost</t>
        </is>
      </c>
      <c r="P1339" s="66" t="inlineStr">
        <is>
          <t>Landing Page View</t>
        </is>
      </c>
      <c r="Q1339" s="66" t="inlineStr">
        <is>
          <t>https://www.lepas-sa.co.za/offers</t>
        </is>
      </c>
      <c r="R1339" s="121" t="n">
        <v>148.66</v>
      </c>
      <c r="S1339" s="122" t="n">
        <v>3952</v>
      </c>
      <c r="T1339" s="122" t="n">
        <v>2358</v>
      </c>
      <c r="U1339" s="123">
        <f>IFERROR(S1339/T1339,"")</f>
        <v/>
      </c>
      <c r="V1339" s="122" t="n">
        <v>43</v>
      </c>
      <c r="W1339" s="122" t="n">
        <v>31</v>
      </c>
      <c r="X1339" s="124">
        <f>IFERROR(W1339/S1339,"")</f>
        <v/>
      </c>
      <c r="Y1339" s="121">
        <f>IFERROR(R1339/W1339,"")</f>
        <v/>
      </c>
      <c r="Z1339" s="121">
        <f>IFERROR(R1339/S1339*1000,"")</f>
        <v/>
      </c>
      <c r="AA1339" s="122" t="n">
        <v>22</v>
      </c>
      <c r="AB1339" s="54">
        <f>IFERROR(AA1339/W1339,"")</f>
        <v/>
      </c>
      <c r="AC1339" s="122" t="n">
        <v>1129</v>
      </c>
      <c r="AD1339" s="122" t="n">
        <v>687</v>
      </c>
      <c r="AE1339" s="122" t="n">
        <v>434</v>
      </c>
      <c r="AF1339" s="122" t="n">
        <v>274</v>
      </c>
      <c r="AG1339" s="122" t="n">
        <v>193</v>
      </c>
      <c r="AH1339" s="122" t="n">
        <v>112</v>
      </c>
      <c r="AI1339" s="54">
        <f>IFERROR(AC1339/S1339,"")</f>
        <v/>
      </c>
      <c r="AJ1339" s="54">
        <f>IFERROR(AH1339/S1339,"")</f>
        <v/>
      </c>
      <c r="AK1339" s="122" t="n">
        <v>167</v>
      </c>
      <c r="AL1339" s="122" t="n">
        <v>1</v>
      </c>
      <c r="AM1339" s="124">
        <f>IFERROR(AL1339/AA1339,"")</f>
        <v/>
      </c>
      <c r="AN1339" s="125">
        <f>IFERROR(R1339/AL1339,"")</f>
        <v/>
      </c>
      <c r="AO1339" s="122" t="n">
        <v>0</v>
      </c>
      <c r="AP1339" s="54">
        <f>IFERROR(AO1339/AL1339,"")</f>
        <v/>
      </c>
      <c r="AQ1339" s="125">
        <f>IFERROR(R1339/AO1339,"")</f>
        <v/>
      </c>
      <c r="AR1339" s="122" t="n">
        <v>0</v>
      </c>
      <c r="AS1339" s="122" t="n">
        <v>0</v>
      </c>
      <c r="AT1339" s="122">
        <f>AL1339+AR1339</f>
        <v/>
      </c>
      <c r="AU1339" s="125">
        <f>IFERROR(AO1339*Assumptions!$C$26*Assumptions!$C$27*INDEX(Assumptions!$C$18:$C$21,MATCH(H1339,Assumptions!$B$18:$B$21,0)),0)</f>
        <v/>
      </c>
    </row>
    <row r="1340">
      <c r="A1340" s="120" t="n">
        <v>46252</v>
      </c>
      <c r="B1340" s="66" t="inlineStr">
        <is>
          <t>Wk 34</t>
        </is>
      </c>
      <c r="C1340" s="66" t="inlineStr">
        <is>
          <t>Tue</t>
        </is>
      </c>
      <c r="D1340" s="66" t="inlineStr">
        <is>
          <t>TikTok</t>
        </is>
      </c>
      <c r="E1340" s="66" t="inlineStr">
        <is>
          <t>TikTok</t>
        </is>
      </c>
      <c r="F1340" s="66" t="inlineStr">
        <is>
          <t>LEP_ZA_AUG26_TT_SPARK_RANGE_TRAFFIC</t>
        </is>
      </c>
      <c r="G1340" s="66" t="inlineStr">
        <is>
          <t>Traffic - Spark Ads</t>
        </is>
      </c>
      <c r="H1340" s="66" t="inlineStr">
        <is>
          <t>Range</t>
        </is>
      </c>
      <c r="I1340" s="66" t="inlineStr">
        <is>
          <t>Range Offer</t>
        </is>
      </c>
      <c r="J1340" s="66" t="inlineStr">
        <is>
          <t>TT_SPARK_CREATOR_UGC_ZA</t>
        </is>
      </c>
      <c r="K1340" s="66" t="inlineStr">
        <is>
          <t>Prospecting</t>
        </is>
      </c>
      <c r="L1340" s="66" t="inlineStr">
        <is>
          <t>TT_SPARK_@drivesa_Review_v1</t>
        </is>
      </c>
      <c r="M1340" s="66" t="inlineStr">
        <is>
          <t>Spark Ad</t>
        </is>
      </c>
      <c r="N1340" s="66" t="inlineStr">
        <is>
          <t>Creator handle: @drivesa</t>
        </is>
      </c>
      <c r="O1340" s="66" t="inlineStr">
        <is>
          <t>Auction - Lowest Cost</t>
        </is>
      </c>
      <c r="P1340" s="66" t="inlineStr">
        <is>
          <t>Landing Page View</t>
        </is>
      </c>
      <c r="Q1340" s="66" t="inlineStr">
        <is>
          <t>https://www.lepas-sa.co.za/offers</t>
        </is>
      </c>
      <c r="R1340" s="121" t="n">
        <v>148.03</v>
      </c>
      <c r="S1340" s="122" t="n">
        <v>3673</v>
      </c>
      <c r="T1340" s="122" t="n">
        <v>2047</v>
      </c>
      <c r="U1340" s="123">
        <f>IFERROR(S1340/T1340,"")</f>
        <v/>
      </c>
      <c r="V1340" s="122" t="n">
        <v>35</v>
      </c>
      <c r="W1340" s="122" t="n">
        <v>25</v>
      </c>
      <c r="X1340" s="124">
        <f>IFERROR(W1340/S1340,"")</f>
        <v/>
      </c>
      <c r="Y1340" s="121">
        <f>IFERROR(R1340/W1340,"")</f>
        <v/>
      </c>
      <c r="Z1340" s="121">
        <f>IFERROR(R1340/S1340*1000,"")</f>
        <v/>
      </c>
      <c r="AA1340" s="122" t="n">
        <v>17</v>
      </c>
      <c r="AB1340" s="54">
        <f>IFERROR(AA1340/W1340,"")</f>
        <v/>
      </c>
      <c r="AC1340" s="122" t="n">
        <v>1458</v>
      </c>
      <c r="AD1340" s="122" t="n">
        <v>682</v>
      </c>
      <c r="AE1340" s="122" t="n">
        <v>538</v>
      </c>
      <c r="AF1340" s="122" t="n">
        <v>320</v>
      </c>
      <c r="AG1340" s="122" t="n">
        <v>238</v>
      </c>
      <c r="AH1340" s="122" t="n">
        <v>142</v>
      </c>
      <c r="AI1340" s="54">
        <f>IFERROR(AC1340/S1340,"")</f>
        <v/>
      </c>
      <c r="AJ1340" s="54">
        <f>IFERROR(AH1340/S1340,"")</f>
        <v/>
      </c>
      <c r="AK1340" s="122" t="n">
        <v>212</v>
      </c>
      <c r="AL1340" s="122" t="n">
        <v>0</v>
      </c>
      <c r="AM1340" s="124">
        <f>IFERROR(AL1340/AA1340,"")</f>
        <v/>
      </c>
      <c r="AN1340" s="125">
        <f>IFERROR(R1340/AL1340,"")</f>
        <v/>
      </c>
      <c r="AO1340" s="122" t="n">
        <v>0</v>
      </c>
      <c r="AP1340" s="54">
        <f>IFERROR(AO1340/AL1340,"")</f>
        <v/>
      </c>
      <c r="AQ1340" s="125">
        <f>IFERROR(R1340/AO1340,"")</f>
        <v/>
      </c>
      <c r="AR1340" s="122" t="n">
        <v>0</v>
      </c>
      <c r="AS1340" s="122" t="n">
        <v>0</v>
      </c>
      <c r="AT1340" s="122">
        <f>AL1340+AR1340</f>
        <v/>
      </c>
      <c r="AU1340" s="125">
        <f>IFERROR(AO1340*Assumptions!$C$26*Assumptions!$C$27*INDEX(Assumptions!$C$18:$C$21,MATCH(H1340,Assumptions!$B$18:$B$21,0)),0)</f>
        <v/>
      </c>
    </row>
    <row r="1341">
      <c r="A1341" s="120" t="n">
        <v>46253</v>
      </c>
      <c r="B1341" s="66" t="inlineStr">
        <is>
          <t>Wk 34</t>
        </is>
      </c>
      <c r="C1341" s="66" t="inlineStr">
        <is>
          <t>Wed</t>
        </is>
      </c>
      <c r="D1341" s="66" t="inlineStr">
        <is>
          <t>TikTok</t>
        </is>
      </c>
      <c r="E1341" s="66" t="inlineStr">
        <is>
          <t>TikTok</t>
        </is>
      </c>
      <c r="F1341" s="66" t="inlineStr">
        <is>
          <t>LEP_ZA_AUG26_TT_SPARK_RANGE_TRAFFIC</t>
        </is>
      </c>
      <c r="G1341" s="66" t="inlineStr">
        <is>
          <t>Traffic - Spark Ads</t>
        </is>
      </c>
      <c r="H1341" s="66" t="inlineStr">
        <is>
          <t>Range</t>
        </is>
      </c>
      <c r="I1341" s="66" t="inlineStr">
        <is>
          <t>Range Offer</t>
        </is>
      </c>
      <c r="J1341" s="66" t="inlineStr">
        <is>
          <t>TT_SPARK_CREATOR_UGC_ZA</t>
        </is>
      </c>
      <c r="K1341" s="66" t="inlineStr">
        <is>
          <t>Prospecting</t>
        </is>
      </c>
      <c r="L1341" s="66" t="inlineStr">
        <is>
          <t>TT_SPARK_@drivesa_Review_v1</t>
        </is>
      </c>
      <c r="M1341" s="66" t="inlineStr">
        <is>
          <t>Spark Ad</t>
        </is>
      </c>
      <c r="N1341" s="66" t="inlineStr">
        <is>
          <t>Creator handle: @drivesa</t>
        </is>
      </c>
      <c r="O1341" s="66" t="inlineStr">
        <is>
          <t>Auction - Lowest Cost</t>
        </is>
      </c>
      <c r="P1341" s="66" t="inlineStr">
        <is>
          <t>Landing Page View</t>
        </is>
      </c>
      <c r="Q1341" s="66" t="inlineStr">
        <is>
          <t>https://www.lepas-sa.co.za/offers</t>
        </is>
      </c>
      <c r="R1341" s="121" t="n">
        <v>177.48</v>
      </c>
      <c r="S1341" s="122" t="n">
        <v>5547</v>
      </c>
      <c r="T1341" s="122" t="n">
        <v>3112</v>
      </c>
      <c r="U1341" s="123">
        <f>IFERROR(S1341/T1341,"")</f>
        <v/>
      </c>
      <c r="V1341" s="122" t="n">
        <v>59</v>
      </c>
      <c r="W1341" s="122" t="n">
        <v>45</v>
      </c>
      <c r="X1341" s="124">
        <f>IFERROR(W1341/S1341,"")</f>
        <v/>
      </c>
      <c r="Y1341" s="121">
        <f>IFERROR(R1341/W1341,"")</f>
        <v/>
      </c>
      <c r="Z1341" s="121">
        <f>IFERROR(R1341/S1341*1000,"")</f>
        <v/>
      </c>
      <c r="AA1341" s="122" t="n">
        <v>30</v>
      </c>
      <c r="AB1341" s="54">
        <f>IFERROR(AA1341/W1341,"")</f>
        <v/>
      </c>
      <c r="AC1341" s="122" t="n">
        <v>2094</v>
      </c>
      <c r="AD1341" s="122" t="n">
        <v>1243</v>
      </c>
      <c r="AE1341" s="122" t="n">
        <v>995</v>
      </c>
      <c r="AF1341" s="122" t="n">
        <v>575</v>
      </c>
      <c r="AG1341" s="122" t="n">
        <v>393</v>
      </c>
      <c r="AH1341" s="122" t="n">
        <v>286</v>
      </c>
      <c r="AI1341" s="54">
        <f>IFERROR(AC1341/S1341,"")</f>
        <v/>
      </c>
      <c r="AJ1341" s="54">
        <f>IFERROR(AH1341/S1341,"")</f>
        <v/>
      </c>
      <c r="AK1341" s="122" t="n">
        <v>195</v>
      </c>
      <c r="AL1341" s="122" t="n">
        <v>1</v>
      </c>
      <c r="AM1341" s="124">
        <f>IFERROR(AL1341/AA1341,"")</f>
        <v/>
      </c>
      <c r="AN1341" s="125">
        <f>IFERROR(R1341/AL1341,"")</f>
        <v/>
      </c>
      <c r="AO1341" s="122" t="n">
        <v>1</v>
      </c>
      <c r="AP1341" s="54">
        <f>IFERROR(AO1341/AL1341,"")</f>
        <v/>
      </c>
      <c r="AQ1341" s="125">
        <f>IFERROR(R1341/AO1341,"")</f>
        <v/>
      </c>
      <c r="AR1341" s="122" t="n">
        <v>0</v>
      </c>
      <c r="AS1341" s="122" t="n">
        <v>0</v>
      </c>
      <c r="AT1341" s="122">
        <f>AL1341+AR1341</f>
        <v/>
      </c>
      <c r="AU1341" s="125">
        <f>IFERROR(AO1341*Assumptions!$C$26*Assumptions!$C$27*INDEX(Assumptions!$C$18:$C$21,MATCH(H1341,Assumptions!$B$18:$B$21,0)),0)</f>
        <v/>
      </c>
    </row>
    <row r="1342">
      <c r="A1342" s="120" t="n">
        <v>46254</v>
      </c>
      <c r="B1342" s="66" t="inlineStr">
        <is>
          <t>Wk 34</t>
        </is>
      </c>
      <c r="C1342" s="66" t="inlineStr">
        <is>
          <t>Thu</t>
        </is>
      </c>
      <c r="D1342" s="66" t="inlineStr">
        <is>
          <t>TikTok</t>
        </is>
      </c>
      <c r="E1342" s="66" t="inlineStr">
        <is>
          <t>TikTok</t>
        </is>
      </c>
      <c r="F1342" s="66" t="inlineStr">
        <is>
          <t>LEP_ZA_AUG26_TT_SPARK_RANGE_TRAFFIC</t>
        </is>
      </c>
      <c r="G1342" s="66" t="inlineStr">
        <is>
          <t>Traffic - Spark Ads</t>
        </is>
      </c>
      <c r="H1342" s="66" t="inlineStr">
        <is>
          <t>Range</t>
        </is>
      </c>
      <c r="I1342" s="66" t="inlineStr">
        <is>
          <t>Range Offer</t>
        </is>
      </c>
      <c r="J1342" s="66" t="inlineStr">
        <is>
          <t>TT_SPARK_CREATOR_UGC_ZA</t>
        </is>
      </c>
      <c r="K1342" s="66" t="inlineStr">
        <is>
          <t>Prospecting</t>
        </is>
      </c>
      <c r="L1342" s="66" t="inlineStr">
        <is>
          <t>TT_SPARK_@drivesa_Review_v1</t>
        </is>
      </c>
      <c r="M1342" s="66" t="inlineStr">
        <is>
          <t>Spark Ad</t>
        </is>
      </c>
      <c r="N1342" s="66" t="inlineStr">
        <is>
          <t>Creator handle: @drivesa</t>
        </is>
      </c>
      <c r="O1342" s="66" t="inlineStr">
        <is>
          <t>Auction - Lowest Cost</t>
        </is>
      </c>
      <c r="P1342" s="66" t="inlineStr">
        <is>
          <t>Landing Page View</t>
        </is>
      </c>
      <c r="Q1342" s="66" t="inlineStr">
        <is>
          <t>https://www.lepas-sa.co.za/offers</t>
        </is>
      </c>
      <c r="R1342" s="121" t="n">
        <v>189.76</v>
      </c>
      <c r="S1342" s="122" t="n">
        <v>5029</v>
      </c>
      <c r="T1342" s="122" t="n">
        <v>2398</v>
      </c>
      <c r="U1342" s="123">
        <f>IFERROR(S1342/T1342,"")</f>
        <v/>
      </c>
      <c r="V1342" s="122" t="n">
        <v>32</v>
      </c>
      <c r="W1342" s="122" t="n">
        <v>23</v>
      </c>
      <c r="X1342" s="124">
        <f>IFERROR(W1342/S1342,"")</f>
        <v/>
      </c>
      <c r="Y1342" s="121">
        <f>IFERROR(R1342/W1342,"")</f>
        <v/>
      </c>
      <c r="Z1342" s="121">
        <f>IFERROR(R1342/S1342*1000,"")</f>
        <v/>
      </c>
      <c r="AA1342" s="122" t="n">
        <v>16</v>
      </c>
      <c r="AB1342" s="54">
        <f>IFERROR(AA1342/W1342,"")</f>
        <v/>
      </c>
      <c r="AC1342" s="122" t="n">
        <v>1127</v>
      </c>
      <c r="AD1342" s="122" t="n">
        <v>572</v>
      </c>
      <c r="AE1342" s="122" t="n">
        <v>424</v>
      </c>
      <c r="AF1342" s="122" t="n">
        <v>226</v>
      </c>
      <c r="AG1342" s="122" t="n">
        <v>144</v>
      </c>
      <c r="AH1342" s="122" t="n">
        <v>101</v>
      </c>
      <c r="AI1342" s="54">
        <f>IFERROR(AC1342/S1342,"")</f>
        <v/>
      </c>
      <c r="AJ1342" s="54">
        <f>IFERROR(AH1342/S1342,"")</f>
        <v/>
      </c>
      <c r="AK1342" s="122" t="n">
        <v>101</v>
      </c>
      <c r="AL1342" s="122" t="n">
        <v>0</v>
      </c>
      <c r="AM1342" s="124">
        <f>IFERROR(AL1342/AA1342,"")</f>
        <v/>
      </c>
      <c r="AN1342" s="125">
        <f>IFERROR(R1342/AL1342,"")</f>
        <v/>
      </c>
      <c r="AO1342" s="122" t="n">
        <v>0</v>
      </c>
      <c r="AP1342" s="54">
        <f>IFERROR(AO1342/AL1342,"")</f>
        <v/>
      </c>
      <c r="AQ1342" s="125">
        <f>IFERROR(R1342/AO1342,"")</f>
        <v/>
      </c>
      <c r="AR1342" s="122" t="n">
        <v>0</v>
      </c>
      <c r="AS1342" s="122" t="n">
        <v>0</v>
      </c>
      <c r="AT1342" s="122">
        <f>AL1342+AR1342</f>
        <v/>
      </c>
      <c r="AU1342" s="125">
        <f>IFERROR(AO1342*Assumptions!$C$26*Assumptions!$C$27*INDEX(Assumptions!$C$18:$C$21,MATCH(H1342,Assumptions!$B$18:$B$21,0)),0)</f>
        <v/>
      </c>
    </row>
    <row r="1343">
      <c r="A1343" s="120" t="n">
        <v>46255</v>
      </c>
      <c r="B1343" s="66" t="inlineStr">
        <is>
          <t>Wk 34</t>
        </is>
      </c>
      <c r="C1343" s="66" t="inlineStr">
        <is>
          <t>Fri</t>
        </is>
      </c>
      <c r="D1343" s="66" t="inlineStr">
        <is>
          <t>TikTok</t>
        </is>
      </c>
      <c r="E1343" s="66" t="inlineStr">
        <is>
          <t>TikTok</t>
        </is>
      </c>
      <c r="F1343" s="66" t="inlineStr">
        <is>
          <t>LEP_ZA_AUG26_TT_SPARK_RANGE_TRAFFIC</t>
        </is>
      </c>
      <c r="G1343" s="66" t="inlineStr">
        <is>
          <t>Traffic - Spark Ads</t>
        </is>
      </c>
      <c r="H1343" s="66" t="inlineStr">
        <is>
          <t>Range</t>
        </is>
      </c>
      <c r="I1343" s="66" t="inlineStr">
        <is>
          <t>Range Offer</t>
        </is>
      </c>
      <c r="J1343" s="66" t="inlineStr">
        <is>
          <t>TT_SPARK_CREATOR_UGC_ZA</t>
        </is>
      </c>
      <c r="K1343" s="66" t="inlineStr">
        <is>
          <t>Prospecting</t>
        </is>
      </c>
      <c r="L1343" s="66" t="inlineStr">
        <is>
          <t>TT_SPARK_@drivesa_Review_v1</t>
        </is>
      </c>
      <c r="M1343" s="66" t="inlineStr">
        <is>
          <t>Spark Ad</t>
        </is>
      </c>
      <c r="N1343" s="66" t="inlineStr">
        <is>
          <t>Creator handle: @drivesa</t>
        </is>
      </c>
      <c r="O1343" s="66" t="inlineStr">
        <is>
          <t>Auction - Lowest Cost</t>
        </is>
      </c>
      <c r="P1343" s="66" t="inlineStr">
        <is>
          <t>Landing Page View</t>
        </is>
      </c>
      <c r="Q1343" s="66" t="inlineStr">
        <is>
          <t>https://www.lepas-sa.co.za/offers</t>
        </is>
      </c>
      <c r="R1343" s="121" t="n">
        <v>163.7</v>
      </c>
      <c r="S1343" s="122" t="n">
        <v>4189</v>
      </c>
      <c r="T1343" s="122" t="n">
        <v>1930</v>
      </c>
      <c r="U1343" s="123">
        <f>IFERROR(S1343/T1343,"")</f>
        <v/>
      </c>
      <c r="V1343" s="122" t="n">
        <v>37</v>
      </c>
      <c r="W1343" s="122" t="n">
        <v>30</v>
      </c>
      <c r="X1343" s="124">
        <f>IFERROR(W1343/S1343,"")</f>
        <v/>
      </c>
      <c r="Y1343" s="121">
        <f>IFERROR(R1343/W1343,"")</f>
        <v/>
      </c>
      <c r="Z1343" s="121">
        <f>IFERROR(R1343/S1343*1000,"")</f>
        <v/>
      </c>
      <c r="AA1343" s="122" t="n">
        <v>19</v>
      </c>
      <c r="AB1343" s="54">
        <f>IFERROR(AA1343/W1343,"")</f>
        <v/>
      </c>
      <c r="AC1343" s="122" t="n">
        <v>1318</v>
      </c>
      <c r="AD1343" s="122" t="n">
        <v>772</v>
      </c>
      <c r="AE1343" s="122" t="n">
        <v>483</v>
      </c>
      <c r="AF1343" s="122" t="n">
        <v>297</v>
      </c>
      <c r="AG1343" s="122" t="n">
        <v>229</v>
      </c>
      <c r="AH1343" s="122" t="n">
        <v>158</v>
      </c>
      <c r="AI1343" s="54">
        <f>IFERROR(AC1343/S1343,"")</f>
        <v/>
      </c>
      <c r="AJ1343" s="54">
        <f>IFERROR(AH1343/S1343,"")</f>
        <v/>
      </c>
      <c r="AK1343" s="122" t="n">
        <v>177</v>
      </c>
      <c r="AL1343" s="122" t="n">
        <v>0</v>
      </c>
      <c r="AM1343" s="124">
        <f>IFERROR(AL1343/AA1343,"")</f>
        <v/>
      </c>
      <c r="AN1343" s="125">
        <f>IFERROR(R1343/AL1343,"")</f>
        <v/>
      </c>
      <c r="AO1343" s="122" t="n">
        <v>0</v>
      </c>
      <c r="AP1343" s="54">
        <f>IFERROR(AO1343/AL1343,"")</f>
        <v/>
      </c>
      <c r="AQ1343" s="125">
        <f>IFERROR(R1343/AO1343,"")</f>
        <v/>
      </c>
      <c r="AR1343" s="122" t="n">
        <v>0</v>
      </c>
      <c r="AS1343" s="122" t="n">
        <v>0</v>
      </c>
      <c r="AT1343" s="122">
        <f>AL1343+AR1343</f>
        <v/>
      </c>
      <c r="AU1343" s="125">
        <f>IFERROR(AO1343*Assumptions!$C$26*Assumptions!$C$27*INDEX(Assumptions!$C$18:$C$21,MATCH(H1343,Assumptions!$B$18:$B$21,0)),0)</f>
        <v/>
      </c>
    </row>
    <row r="1344">
      <c r="A1344" s="120" t="n">
        <v>46256</v>
      </c>
      <c r="B1344" s="66" t="inlineStr">
        <is>
          <t>Wk 34</t>
        </is>
      </c>
      <c r="C1344" s="66" t="inlineStr">
        <is>
          <t>Sat</t>
        </is>
      </c>
      <c r="D1344" s="66" t="inlineStr">
        <is>
          <t>TikTok</t>
        </is>
      </c>
      <c r="E1344" s="66" t="inlineStr">
        <is>
          <t>TikTok</t>
        </is>
      </c>
      <c r="F1344" s="66" t="inlineStr">
        <is>
          <t>LEP_ZA_AUG26_TT_SPARK_RANGE_TRAFFIC</t>
        </is>
      </c>
      <c r="G1344" s="66" t="inlineStr">
        <is>
          <t>Traffic - Spark Ads</t>
        </is>
      </c>
      <c r="H1344" s="66" t="inlineStr">
        <is>
          <t>Range</t>
        </is>
      </c>
      <c r="I1344" s="66" t="inlineStr">
        <is>
          <t>Range Offer</t>
        </is>
      </c>
      <c r="J1344" s="66" t="inlineStr">
        <is>
          <t>TT_SPARK_CREATOR_UGC_ZA</t>
        </is>
      </c>
      <c r="K1344" s="66" t="inlineStr">
        <is>
          <t>Prospecting</t>
        </is>
      </c>
      <c r="L1344" s="66" t="inlineStr">
        <is>
          <t>TT_SPARK_@drivesa_Review_v1</t>
        </is>
      </c>
      <c r="M1344" s="66" t="inlineStr">
        <is>
          <t>Spark Ad</t>
        </is>
      </c>
      <c r="N1344" s="66" t="inlineStr">
        <is>
          <t>Creator handle: @drivesa</t>
        </is>
      </c>
      <c r="O1344" s="66" t="inlineStr">
        <is>
          <t>Auction - Lowest Cost</t>
        </is>
      </c>
      <c r="P1344" s="66" t="inlineStr">
        <is>
          <t>Landing Page View</t>
        </is>
      </c>
      <c r="Q1344" s="66" t="inlineStr">
        <is>
          <t>https://www.lepas-sa.co.za/offers</t>
        </is>
      </c>
      <c r="R1344" s="121" t="n">
        <v>164.12</v>
      </c>
      <c r="S1344" s="122" t="n">
        <v>4364</v>
      </c>
      <c r="T1344" s="122" t="n">
        <v>2609</v>
      </c>
      <c r="U1344" s="123">
        <f>IFERROR(S1344/T1344,"")</f>
        <v/>
      </c>
      <c r="V1344" s="122" t="n">
        <v>33</v>
      </c>
      <c r="W1344" s="122" t="n">
        <v>28</v>
      </c>
      <c r="X1344" s="124">
        <f>IFERROR(W1344/S1344,"")</f>
        <v/>
      </c>
      <c r="Y1344" s="121">
        <f>IFERROR(R1344/W1344,"")</f>
        <v/>
      </c>
      <c r="Z1344" s="121">
        <f>IFERROR(R1344/S1344*1000,"")</f>
        <v/>
      </c>
      <c r="AA1344" s="122" t="n">
        <v>18</v>
      </c>
      <c r="AB1344" s="54">
        <f>IFERROR(AA1344/W1344,"")</f>
        <v/>
      </c>
      <c r="AC1344" s="122" t="n">
        <v>1544</v>
      </c>
      <c r="AD1344" s="122" t="n">
        <v>946</v>
      </c>
      <c r="AE1344" s="122" t="n">
        <v>762</v>
      </c>
      <c r="AF1344" s="122" t="n">
        <v>413</v>
      </c>
      <c r="AG1344" s="122" t="n">
        <v>289</v>
      </c>
      <c r="AH1344" s="122" t="n">
        <v>190</v>
      </c>
      <c r="AI1344" s="54">
        <f>IFERROR(AC1344/S1344,"")</f>
        <v/>
      </c>
      <c r="AJ1344" s="54">
        <f>IFERROR(AH1344/S1344,"")</f>
        <v/>
      </c>
      <c r="AK1344" s="122" t="n">
        <v>164</v>
      </c>
      <c r="AL1344" s="122" t="n">
        <v>1</v>
      </c>
      <c r="AM1344" s="124">
        <f>IFERROR(AL1344/AA1344,"")</f>
        <v/>
      </c>
      <c r="AN1344" s="125">
        <f>IFERROR(R1344/AL1344,"")</f>
        <v/>
      </c>
      <c r="AO1344" s="122" t="n">
        <v>1</v>
      </c>
      <c r="AP1344" s="54">
        <f>IFERROR(AO1344/AL1344,"")</f>
        <v/>
      </c>
      <c r="AQ1344" s="125">
        <f>IFERROR(R1344/AO1344,"")</f>
        <v/>
      </c>
      <c r="AR1344" s="122" t="n">
        <v>0</v>
      </c>
      <c r="AS1344" s="122" t="n">
        <v>1</v>
      </c>
      <c r="AT1344" s="122">
        <f>AL1344+AR1344</f>
        <v/>
      </c>
      <c r="AU1344" s="125">
        <f>IFERROR(AO1344*Assumptions!$C$26*Assumptions!$C$27*INDEX(Assumptions!$C$18:$C$21,MATCH(H1344,Assumptions!$B$18:$B$21,0)),0)</f>
        <v/>
      </c>
    </row>
    <row r="1345">
      <c r="A1345" s="120" t="n">
        <v>46257</v>
      </c>
      <c r="B1345" s="66" t="inlineStr">
        <is>
          <t>Wk 34</t>
        </is>
      </c>
      <c r="C1345" s="66" t="inlineStr">
        <is>
          <t>Sun</t>
        </is>
      </c>
      <c r="D1345" s="66" t="inlineStr">
        <is>
          <t>TikTok</t>
        </is>
      </c>
      <c r="E1345" s="66" t="inlineStr">
        <is>
          <t>TikTok</t>
        </is>
      </c>
      <c r="F1345" s="66" t="inlineStr">
        <is>
          <t>LEP_ZA_AUG26_TT_SPARK_RANGE_TRAFFIC</t>
        </is>
      </c>
      <c r="G1345" s="66" t="inlineStr">
        <is>
          <t>Traffic - Spark Ads</t>
        </is>
      </c>
      <c r="H1345" s="66" t="inlineStr">
        <is>
          <t>Range</t>
        </is>
      </c>
      <c r="I1345" s="66" t="inlineStr">
        <is>
          <t>Range Offer</t>
        </is>
      </c>
      <c r="J1345" s="66" t="inlineStr">
        <is>
          <t>TT_SPARK_CREATOR_UGC_ZA</t>
        </is>
      </c>
      <c r="K1345" s="66" t="inlineStr">
        <is>
          <t>Prospecting</t>
        </is>
      </c>
      <c r="L1345" s="66" t="inlineStr">
        <is>
          <t>TT_SPARK_@drivesa_Review_v1</t>
        </is>
      </c>
      <c r="M1345" s="66" t="inlineStr">
        <is>
          <t>Spark Ad</t>
        </is>
      </c>
      <c r="N1345" s="66" t="inlineStr">
        <is>
          <t>Creator handle: @drivesa</t>
        </is>
      </c>
      <c r="O1345" s="66" t="inlineStr">
        <is>
          <t>Auction - Lowest Cost</t>
        </is>
      </c>
      <c r="P1345" s="66" t="inlineStr">
        <is>
          <t>Landing Page View</t>
        </is>
      </c>
      <c r="Q1345" s="66" t="inlineStr">
        <is>
          <t>https://www.lepas-sa.co.za/offers</t>
        </is>
      </c>
      <c r="R1345" s="121" t="n">
        <v>150.01</v>
      </c>
      <c r="S1345" s="122" t="n">
        <v>5552</v>
      </c>
      <c r="T1345" s="122" t="n">
        <v>2600</v>
      </c>
      <c r="U1345" s="123">
        <f>IFERROR(S1345/T1345,"")</f>
        <v/>
      </c>
      <c r="V1345" s="122" t="n">
        <v>29</v>
      </c>
      <c r="W1345" s="122" t="n">
        <v>23</v>
      </c>
      <c r="X1345" s="124">
        <f>IFERROR(W1345/S1345,"")</f>
        <v/>
      </c>
      <c r="Y1345" s="121">
        <f>IFERROR(R1345/W1345,"")</f>
        <v/>
      </c>
      <c r="Z1345" s="121">
        <f>IFERROR(R1345/S1345*1000,"")</f>
        <v/>
      </c>
      <c r="AA1345" s="122" t="n">
        <v>17</v>
      </c>
      <c r="AB1345" s="54">
        <f>IFERROR(AA1345/W1345,"")</f>
        <v/>
      </c>
      <c r="AC1345" s="122" t="n">
        <v>2060</v>
      </c>
      <c r="AD1345" s="122" t="n">
        <v>995</v>
      </c>
      <c r="AE1345" s="122" t="n">
        <v>814</v>
      </c>
      <c r="AF1345" s="122" t="n">
        <v>517</v>
      </c>
      <c r="AG1345" s="122" t="n">
        <v>348</v>
      </c>
      <c r="AH1345" s="122" t="n">
        <v>210</v>
      </c>
      <c r="AI1345" s="54">
        <f>IFERROR(AC1345/S1345,"")</f>
        <v/>
      </c>
      <c r="AJ1345" s="54">
        <f>IFERROR(AH1345/S1345,"")</f>
        <v/>
      </c>
      <c r="AK1345" s="122" t="n">
        <v>316</v>
      </c>
      <c r="AL1345" s="122" t="n">
        <v>1</v>
      </c>
      <c r="AM1345" s="124">
        <f>IFERROR(AL1345/AA1345,"")</f>
        <v/>
      </c>
      <c r="AN1345" s="125">
        <f>IFERROR(R1345/AL1345,"")</f>
        <v/>
      </c>
      <c r="AO1345" s="122" t="n">
        <v>1</v>
      </c>
      <c r="AP1345" s="54">
        <f>IFERROR(AO1345/AL1345,"")</f>
        <v/>
      </c>
      <c r="AQ1345" s="125">
        <f>IFERROR(R1345/AO1345,"")</f>
        <v/>
      </c>
      <c r="AR1345" s="122" t="n">
        <v>1</v>
      </c>
      <c r="AS1345" s="122" t="n">
        <v>0</v>
      </c>
      <c r="AT1345" s="122">
        <f>AL1345+AR1345</f>
        <v/>
      </c>
      <c r="AU1345" s="125">
        <f>IFERROR(AO1345*Assumptions!$C$26*Assumptions!$C$27*INDEX(Assumptions!$C$18:$C$21,MATCH(H1345,Assumptions!$B$18:$B$21,0)),0)</f>
        <v/>
      </c>
    </row>
    <row r="1346">
      <c r="A1346" s="120" t="n">
        <v>46258</v>
      </c>
      <c r="B1346" s="66" t="inlineStr">
        <is>
          <t>Wk 35</t>
        </is>
      </c>
      <c r="C1346" s="66" t="inlineStr">
        <is>
          <t>Mon</t>
        </is>
      </c>
      <c r="D1346" s="66" t="inlineStr">
        <is>
          <t>TikTok</t>
        </is>
      </c>
      <c r="E1346" s="66" t="inlineStr">
        <is>
          <t>TikTok</t>
        </is>
      </c>
      <c r="F1346" s="66" t="inlineStr">
        <is>
          <t>LEP_ZA_AUG26_TT_SPARK_RANGE_TRAFFIC</t>
        </is>
      </c>
      <c r="G1346" s="66" t="inlineStr">
        <is>
          <t>Traffic - Spark Ads</t>
        </is>
      </c>
      <c r="H1346" s="66" t="inlineStr">
        <is>
          <t>Range</t>
        </is>
      </c>
      <c r="I1346" s="66" t="inlineStr">
        <is>
          <t>Range Offer</t>
        </is>
      </c>
      <c r="J1346" s="66" t="inlineStr">
        <is>
          <t>TT_SPARK_CREATOR_UGC_ZA</t>
        </is>
      </c>
      <c r="K1346" s="66" t="inlineStr">
        <is>
          <t>Prospecting</t>
        </is>
      </c>
      <c r="L1346" s="66" t="inlineStr">
        <is>
          <t>TT_SPARK_@drivesa_Review_v1</t>
        </is>
      </c>
      <c r="M1346" s="66" t="inlineStr">
        <is>
          <t>Spark Ad</t>
        </is>
      </c>
      <c r="N1346" s="66" t="inlineStr">
        <is>
          <t>Creator handle: @drivesa</t>
        </is>
      </c>
      <c r="O1346" s="66" t="inlineStr">
        <is>
          <t>Auction - Lowest Cost</t>
        </is>
      </c>
      <c r="P1346" s="66" t="inlineStr">
        <is>
          <t>Landing Page View</t>
        </is>
      </c>
      <c r="Q1346" s="66" t="inlineStr">
        <is>
          <t>https://www.lepas-sa.co.za/offers</t>
        </is>
      </c>
      <c r="R1346" s="121" t="n">
        <v>136.6</v>
      </c>
      <c r="S1346" s="122" t="n">
        <v>3318</v>
      </c>
      <c r="T1346" s="122" t="n">
        <v>1633</v>
      </c>
      <c r="U1346" s="123">
        <f>IFERROR(S1346/T1346,"")</f>
        <v/>
      </c>
      <c r="V1346" s="122" t="n">
        <v>31</v>
      </c>
      <c r="W1346" s="122" t="n">
        <v>23</v>
      </c>
      <c r="X1346" s="124">
        <f>IFERROR(W1346/S1346,"")</f>
        <v/>
      </c>
      <c r="Y1346" s="121">
        <f>IFERROR(R1346/W1346,"")</f>
        <v/>
      </c>
      <c r="Z1346" s="121">
        <f>IFERROR(R1346/S1346*1000,"")</f>
        <v/>
      </c>
      <c r="AA1346" s="122" t="n">
        <v>16</v>
      </c>
      <c r="AB1346" s="54">
        <f>IFERROR(AA1346/W1346,"")</f>
        <v/>
      </c>
      <c r="AC1346" s="122" t="n">
        <v>1036</v>
      </c>
      <c r="AD1346" s="122" t="n">
        <v>587</v>
      </c>
      <c r="AE1346" s="122" t="n">
        <v>458</v>
      </c>
      <c r="AF1346" s="122" t="n">
        <v>309</v>
      </c>
      <c r="AG1346" s="122" t="n">
        <v>232</v>
      </c>
      <c r="AH1346" s="122" t="n">
        <v>171</v>
      </c>
      <c r="AI1346" s="54">
        <f>IFERROR(AC1346/S1346,"")</f>
        <v/>
      </c>
      <c r="AJ1346" s="54">
        <f>IFERROR(AH1346/S1346,"")</f>
        <v/>
      </c>
      <c r="AK1346" s="122" t="n">
        <v>139</v>
      </c>
      <c r="AL1346" s="122" t="n">
        <v>0</v>
      </c>
      <c r="AM1346" s="124">
        <f>IFERROR(AL1346/AA1346,"")</f>
        <v/>
      </c>
      <c r="AN1346" s="125">
        <f>IFERROR(R1346/AL1346,"")</f>
        <v/>
      </c>
      <c r="AO1346" s="122" t="n">
        <v>0</v>
      </c>
      <c r="AP1346" s="54">
        <f>IFERROR(AO1346/AL1346,"")</f>
        <v/>
      </c>
      <c r="AQ1346" s="125">
        <f>IFERROR(R1346/AO1346,"")</f>
        <v/>
      </c>
      <c r="AR1346" s="122" t="n">
        <v>0</v>
      </c>
      <c r="AS1346" s="122" t="n">
        <v>0</v>
      </c>
      <c r="AT1346" s="122">
        <f>AL1346+AR1346</f>
        <v/>
      </c>
      <c r="AU1346" s="125">
        <f>IFERROR(AO1346*Assumptions!$C$26*Assumptions!$C$27*INDEX(Assumptions!$C$18:$C$21,MATCH(H1346,Assumptions!$B$18:$B$21,0)),0)</f>
        <v/>
      </c>
    </row>
    <row r="1347">
      <c r="A1347" s="120" t="n">
        <v>46259</v>
      </c>
      <c r="B1347" s="66" t="inlineStr">
        <is>
          <t>Wk 35</t>
        </is>
      </c>
      <c r="C1347" s="66" t="inlineStr">
        <is>
          <t>Tue</t>
        </is>
      </c>
      <c r="D1347" s="66" t="inlineStr">
        <is>
          <t>TikTok</t>
        </is>
      </c>
      <c r="E1347" s="66" t="inlineStr">
        <is>
          <t>TikTok</t>
        </is>
      </c>
      <c r="F1347" s="66" t="inlineStr">
        <is>
          <t>LEP_ZA_AUG26_TT_SPARK_RANGE_TRAFFIC</t>
        </is>
      </c>
      <c r="G1347" s="66" t="inlineStr">
        <is>
          <t>Traffic - Spark Ads</t>
        </is>
      </c>
      <c r="H1347" s="66" t="inlineStr">
        <is>
          <t>Range</t>
        </is>
      </c>
      <c r="I1347" s="66" t="inlineStr">
        <is>
          <t>Range Offer</t>
        </is>
      </c>
      <c r="J1347" s="66" t="inlineStr">
        <is>
          <t>TT_SPARK_CREATOR_UGC_ZA</t>
        </is>
      </c>
      <c r="K1347" s="66" t="inlineStr">
        <is>
          <t>Prospecting</t>
        </is>
      </c>
      <c r="L1347" s="66" t="inlineStr">
        <is>
          <t>TT_SPARK_@drivesa_Review_v1</t>
        </is>
      </c>
      <c r="M1347" s="66" t="inlineStr">
        <is>
          <t>Spark Ad</t>
        </is>
      </c>
      <c r="N1347" s="66" t="inlineStr">
        <is>
          <t>Creator handle: @drivesa</t>
        </is>
      </c>
      <c r="O1347" s="66" t="inlineStr">
        <is>
          <t>Auction - Lowest Cost</t>
        </is>
      </c>
      <c r="P1347" s="66" t="inlineStr">
        <is>
          <t>Landing Page View</t>
        </is>
      </c>
      <c r="Q1347" s="66" t="inlineStr">
        <is>
          <t>https://www.lepas-sa.co.za/offers</t>
        </is>
      </c>
      <c r="R1347" s="121" t="n">
        <v>131.95</v>
      </c>
      <c r="S1347" s="122" t="n">
        <v>4061</v>
      </c>
      <c r="T1347" s="122" t="n">
        <v>1833</v>
      </c>
      <c r="U1347" s="123">
        <f>IFERROR(S1347/T1347,"")</f>
        <v/>
      </c>
      <c r="V1347" s="122" t="n">
        <v>49</v>
      </c>
      <c r="W1347" s="122" t="n">
        <v>41</v>
      </c>
      <c r="X1347" s="124">
        <f>IFERROR(W1347/S1347,"")</f>
        <v/>
      </c>
      <c r="Y1347" s="121">
        <f>IFERROR(R1347/W1347,"")</f>
        <v/>
      </c>
      <c r="Z1347" s="121">
        <f>IFERROR(R1347/S1347*1000,"")</f>
        <v/>
      </c>
      <c r="AA1347" s="122" t="n">
        <v>26</v>
      </c>
      <c r="AB1347" s="54">
        <f>IFERROR(AA1347/W1347,"")</f>
        <v/>
      </c>
      <c r="AC1347" s="122" t="n">
        <v>982</v>
      </c>
      <c r="AD1347" s="122" t="n">
        <v>615</v>
      </c>
      <c r="AE1347" s="122" t="n">
        <v>517</v>
      </c>
      <c r="AF1347" s="122" t="n">
        <v>276</v>
      </c>
      <c r="AG1347" s="122" t="n">
        <v>202</v>
      </c>
      <c r="AH1347" s="122" t="n">
        <v>114</v>
      </c>
      <c r="AI1347" s="54">
        <f>IFERROR(AC1347/S1347,"")</f>
        <v/>
      </c>
      <c r="AJ1347" s="54">
        <f>IFERROR(AH1347/S1347,"")</f>
        <v/>
      </c>
      <c r="AK1347" s="122" t="n">
        <v>215</v>
      </c>
      <c r="AL1347" s="122" t="n">
        <v>0</v>
      </c>
      <c r="AM1347" s="124">
        <f>IFERROR(AL1347/AA1347,"")</f>
        <v/>
      </c>
      <c r="AN1347" s="125">
        <f>IFERROR(R1347/AL1347,"")</f>
        <v/>
      </c>
      <c r="AO1347" s="122" t="n">
        <v>0</v>
      </c>
      <c r="AP1347" s="54">
        <f>IFERROR(AO1347/AL1347,"")</f>
        <v/>
      </c>
      <c r="AQ1347" s="125">
        <f>IFERROR(R1347/AO1347,"")</f>
        <v/>
      </c>
      <c r="AR1347" s="122" t="n">
        <v>0</v>
      </c>
      <c r="AS1347" s="122" t="n">
        <v>0</v>
      </c>
      <c r="AT1347" s="122">
        <f>AL1347+AR1347</f>
        <v/>
      </c>
      <c r="AU1347" s="125">
        <f>IFERROR(AO1347*Assumptions!$C$26*Assumptions!$C$27*INDEX(Assumptions!$C$18:$C$21,MATCH(H1347,Assumptions!$B$18:$B$21,0)),0)</f>
        <v/>
      </c>
    </row>
    <row r="1348">
      <c r="A1348" s="120" t="n">
        <v>46260</v>
      </c>
      <c r="B1348" s="66" t="inlineStr">
        <is>
          <t>Wk 35</t>
        </is>
      </c>
      <c r="C1348" s="66" t="inlineStr">
        <is>
          <t>Wed</t>
        </is>
      </c>
      <c r="D1348" s="66" t="inlineStr">
        <is>
          <t>TikTok</t>
        </is>
      </c>
      <c r="E1348" s="66" t="inlineStr">
        <is>
          <t>TikTok</t>
        </is>
      </c>
      <c r="F1348" s="66" t="inlineStr">
        <is>
          <t>LEP_ZA_AUG26_TT_SPARK_RANGE_TRAFFIC</t>
        </is>
      </c>
      <c r="G1348" s="66" t="inlineStr">
        <is>
          <t>Traffic - Spark Ads</t>
        </is>
      </c>
      <c r="H1348" s="66" t="inlineStr">
        <is>
          <t>Range</t>
        </is>
      </c>
      <c r="I1348" s="66" t="inlineStr">
        <is>
          <t>Range Offer</t>
        </is>
      </c>
      <c r="J1348" s="66" t="inlineStr">
        <is>
          <t>TT_SPARK_CREATOR_UGC_ZA</t>
        </is>
      </c>
      <c r="K1348" s="66" t="inlineStr">
        <is>
          <t>Prospecting</t>
        </is>
      </c>
      <c r="L1348" s="66" t="inlineStr">
        <is>
          <t>TT_SPARK_@drivesa_Review_v1</t>
        </is>
      </c>
      <c r="M1348" s="66" t="inlineStr">
        <is>
          <t>Spark Ad</t>
        </is>
      </c>
      <c r="N1348" s="66" t="inlineStr">
        <is>
          <t>Creator handle: @drivesa</t>
        </is>
      </c>
      <c r="O1348" s="66" t="inlineStr">
        <is>
          <t>Auction - Lowest Cost</t>
        </is>
      </c>
      <c r="P1348" s="66" t="inlineStr">
        <is>
          <t>Landing Page View</t>
        </is>
      </c>
      <c r="Q1348" s="66" t="inlineStr">
        <is>
          <t>https://www.lepas-sa.co.za/offers</t>
        </is>
      </c>
      <c r="R1348" s="121" t="n">
        <v>150.52</v>
      </c>
      <c r="S1348" s="122" t="n">
        <v>5201</v>
      </c>
      <c r="T1348" s="122" t="n">
        <v>3085</v>
      </c>
      <c r="U1348" s="123">
        <f>IFERROR(S1348/T1348,"")</f>
        <v/>
      </c>
      <c r="V1348" s="122" t="n">
        <v>53</v>
      </c>
      <c r="W1348" s="122" t="n">
        <v>43</v>
      </c>
      <c r="X1348" s="124">
        <f>IFERROR(W1348/S1348,"")</f>
        <v/>
      </c>
      <c r="Y1348" s="121">
        <f>IFERROR(R1348/W1348,"")</f>
        <v/>
      </c>
      <c r="Z1348" s="121">
        <f>IFERROR(R1348/S1348*1000,"")</f>
        <v/>
      </c>
      <c r="AA1348" s="122" t="n">
        <v>28</v>
      </c>
      <c r="AB1348" s="54">
        <f>IFERROR(AA1348/W1348,"")</f>
        <v/>
      </c>
      <c r="AC1348" s="122" t="n">
        <v>1960</v>
      </c>
      <c r="AD1348" s="122" t="n">
        <v>946</v>
      </c>
      <c r="AE1348" s="122" t="n">
        <v>779</v>
      </c>
      <c r="AF1348" s="122" t="n">
        <v>525</v>
      </c>
      <c r="AG1348" s="122" t="n">
        <v>408</v>
      </c>
      <c r="AH1348" s="122" t="n">
        <v>242</v>
      </c>
      <c r="AI1348" s="54">
        <f>IFERROR(AC1348/S1348,"")</f>
        <v/>
      </c>
      <c r="AJ1348" s="54">
        <f>IFERROR(AH1348/S1348,"")</f>
        <v/>
      </c>
      <c r="AK1348" s="122" t="n">
        <v>239</v>
      </c>
      <c r="AL1348" s="122" t="n">
        <v>1</v>
      </c>
      <c r="AM1348" s="124">
        <f>IFERROR(AL1348/AA1348,"")</f>
        <v/>
      </c>
      <c r="AN1348" s="125">
        <f>IFERROR(R1348/AL1348,"")</f>
        <v/>
      </c>
      <c r="AO1348" s="122" t="n">
        <v>1</v>
      </c>
      <c r="AP1348" s="54">
        <f>IFERROR(AO1348/AL1348,"")</f>
        <v/>
      </c>
      <c r="AQ1348" s="125">
        <f>IFERROR(R1348/AO1348,"")</f>
        <v/>
      </c>
      <c r="AR1348" s="122" t="n">
        <v>0</v>
      </c>
      <c r="AS1348" s="122" t="n">
        <v>1</v>
      </c>
      <c r="AT1348" s="122">
        <f>AL1348+AR1348</f>
        <v/>
      </c>
      <c r="AU1348" s="125">
        <f>IFERROR(AO1348*Assumptions!$C$26*Assumptions!$C$27*INDEX(Assumptions!$C$18:$C$21,MATCH(H1348,Assumptions!$B$18:$B$21,0)),0)</f>
        <v/>
      </c>
    </row>
    <row r="1349">
      <c r="A1349" s="120" t="n">
        <v>46261</v>
      </c>
      <c r="B1349" s="66" t="inlineStr">
        <is>
          <t>Wk 35</t>
        </is>
      </c>
      <c r="C1349" s="66" t="inlineStr">
        <is>
          <t>Thu</t>
        </is>
      </c>
      <c r="D1349" s="66" t="inlineStr">
        <is>
          <t>TikTok</t>
        </is>
      </c>
      <c r="E1349" s="66" t="inlineStr">
        <is>
          <t>TikTok</t>
        </is>
      </c>
      <c r="F1349" s="66" t="inlineStr">
        <is>
          <t>LEP_ZA_AUG26_TT_SPARK_RANGE_TRAFFIC</t>
        </is>
      </c>
      <c r="G1349" s="66" t="inlineStr">
        <is>
          <t>Traffic - Spark Ads</t>
        </is>
      </c>
      <c r="H1349" s="66" t="inlineStr">
        <is>
          <t>Range</t>
        </is>
      </c>
      <c r="I1349" s="66" t="inlineStr">
        <is>
          <t>Range Offer</t>
        </is>
      </c>
      <c r="J1349" s="66" t="inlineStr">
        <is>
          <t>TT_SPARK_CREATOR_UGC_ZA</t>
        </is>
      </c>
      <c r="K1349" s="66" t="inlineStr">
        <is>
          <t>Prospecting</t>
        </is>
      </c>
      <c r="L1349" s="66" t="inlineStr">
        <is>
          <t>TT_SPARK_@drivesa_Review_v1</t>
        </is>
      </c>
      <c r="M1349" s="66" t="inlineStr">
        <is>
          <t>Spark Ad</t>
        </is>
      </c>
      <c r="N1349" s="66" t="inlineStr">
        <is>
          <t>Creator handle: @drivesa</t>
        </is>
      </c>
      <c r="O1349" s="66" t="inlineStr">
        <is>
          <t>Auction - Lowest Cost</t>
        </is>
      </c>
      <c r="P1349" s="66" t="inlineStr">
        <is>
          <t>Landing Page View</t>
        </is>
      </c>
      <c r="Q1349" s="66" t="inlineStr">
        <is>
          <t>https://www.lepas-sa.co.za/offers</t>
        </is>
      </c>
      <c r="R1349" s="121" t="n">
        <v>204.42</v>
      </c>
      <c r="S1349" s="122" t="n">
        <v>6003</v>
      </c>
      <c r="T1349" s="122" t="n">
        <v>2718</v>
      </c>
      <c r="U1349" s="123">
        <f>IFERROR(S1349/T1349,"")</f>
        <v/>
      </c>
      <c r="V1349" s="122" t="n">
        <v>55</v>
      </c>
      <c r="W1349" s="122" t="n">
        <v>46</v>
      </c>
      <c r="X1349" s="124">
        <f>IFERROR(W1349/S1349,"")</f>
        <v/>
      </c>
      <c r="Y1349" s="121">
        <f>IFERROR(R1349/W1349,"")</f>
        <v/>
      </c>
      <c r="Z1349" s="121">
        <f>IFERROR(R1349/S1349*1000,"")</f>
        <v/>
      </c>
      <c r="AA1349" s="122" t="n">
        <v>33</v>
      </c>
      <c r="AB1349" s="54">
        <f>IFERROR(AA1349/W1349,"")</f>
        <v/>
      </c>
      <c r="AC1349" s="122" t="n">
        <v>2370</v>
      </c>
      <c r="AD1349" s="122" t="n">
        <v>1445</v>
      </c>
      <c r="AE1349" s="122" t="n">
        <v>964</v>
      </c>
      <c r="AF1349" s="122" t="n">
        <v>517</v>
      </c>
      <c r="AG1349" s="122" t="n">
        <v>363</v>
      </c>
      <c r="AH1349" s="122" t="n">
        <v>223</v>
      </c>
      <c r="AI1349" s="54">
        <f>IFERROR(AC1349/S1349,"")</f>
        <v/>
      </c>
      <c r="AJ1349" s="54">
        <f>IFERROR(AH1349/S1349,"")</f>
        <v/>
      </c>
      <c r="AK1349" s="122" t="n">
        <v>168</v>
      </c>
      <c r="AL1349" s="122" t="n">
        <v>1</v>
      </c>
      <c r="AM1349" s="124">
        <f>IFERROR(AL1349/AA1349,"")</f>
        <v/>
      </c>
      <c r="AN1349" s="125">
        <f>IFERROR(R1349/AL1349,"")</f>
        <v/>
      </c>
      <c r="AO1349" s="122" t="n">
        <v>0</v>
      </c>
      <c r="AP1349" s="54">
        <f>IFERROR(AO1349/AL1349,"")</f>
        <v/>
      </c>
      <c r="AQ1349" s="125">
        <f>IFERROR(R1349/AO1349,"")</f>
        <v/>
      </c>
      <c r="AR1349" s="122" t="n">
        <v>0</v>
      </c>
      <c r="AS1349" s="122" t="n">
        <v>1</v>
      </c>
      <c r="AT1349" s="122">
        <f>AL1349+AR1349</f>
        <v/>
      </c>
      <c r="AU1349" s="125">
        <f>IFERROR(AO1349*Assumptions!$C$26*Assumptions!$C$27*INDEX(Assumptions!$C$18:$C$21,MATCH(H1349,Assumptions!$B$18:$B$21,0)),0)</f>
        <v/>
      </c>
    </row>
    <row r="1350">
      <c r="A1350" s="120" t="n">
        <v>46262</v>
      </c>
      <c r="B1350" s="66" t="inlineStr">
        <is>
          <t>Wk 35</t>
        </is>
      </c>
      <c r="C1350" s="66" t="inlineStr">
        <is>
          <t>Fri</t>
        </is>
      </c>
      <c r="D1350" s="66" t="inlineStr">
        <is>
          <t>TikTok</t>
        </is>
      </c>
      <c r="E1350" s="66" t="inlineStr">
        <is>
          <t>TikTok</t>
        </is>
      </c>
      <c r="F1350" s="66" t="inlineStr">
        <is>
          <t>LEP_ZA_AUG26_TT_SPARK_RANGE_TRAFFIC</t>
        </is>
      </c>
      <c r="G1350" s="66" t="inlineStr">
        <is>
          <t>Traffic - Spark Ads</t>
        </is>
      </c>
      <c r="H1350" s="66" t="inlineStr">
        <is>
          <t>Range</t>
        </is>
      </c>
      <c r="I1350" s="66" t="inlineStr">
        <is>
          <t>Range Offer</t>
        </is>
      </c>
      <c r="J1350" s="66" t="inlineStr">
        <is>
          <t>TT_SPARK_CREATOR_UGC_ZA</t>
        </is>
      </c>
      <c r="K1350" s="66" t="inlineStr">
        <is>
          <t>Prospecting</t>
        </is>
      </c>
      <c r="L1350" s="66" t="inlineStr">
        <is>
          <t>TT_SPARK_@drivesa_Review_v1</t>
        </is>
      </c>
      <c r="M1350" s="66" t="inlineStr">
        <is>
          <t>Spark Ad</t>
        </is>
      </c>
      <c r="N1350" s="66" t="inlineStr">
        <is>
          <t>Creator handle: @drivesa</t>
        </is>
      </c>
      <c r="O1350" s="66" t="inlineStr">
        <is>
          <t>Auction - Lowest Cost</t>
        </is>
      </c>
      <c r="P1350" s="66" t="inlineStr">
        <is>
          <t>Landing Page View</t>
        </is>
      </c>
      <c r="Q1350" s="66" t="inlineStr">
        <is>
          <t>https://www.lepas-sa.co.za/offers</t>
        </is>
      </c>
      <c r="R1350" s="121" t="n">
        <v>221.99</v>
      </c>
      <c r="S1350" s="122" t="n">
        <v>7259</v>
      </c>
      <c r="T1350" s="122" t="n">
        <v>3844</v>
      </c>
      <c r="U1350" s="123">
        <f>IFERROR(S1350/T1350,"")</f>
        <v/>
      </c>
      <c r="V1350" s="122" t="n">
        <v>71</v>
      </c>
      <c r="W1350" s="122" t="n">
        <v>54</v>
      </c>
      <c r="X1350" s="124">
        <f>IFERROR(W1350/S1350,"")</f>
        <v/>
      </c>
      <c r="Y1350" s="121">
        <f>IFERROR(R1350/W1350,"")</f>
        <v/>
      </c>
      <c r="Z1350" s="121">
        <f>IFERROR(R1350/S1350*1000,"")</f>
        <v/>
      </c>
      <c r="AA1350" s="122" t="n">
        <v>39</v>
      </c>
      <c r="AB1350" s="54">
        <f>IFERROR(AA1350/W1350,"")</f>
        <v/>
      </c>
      <c r="AC1350" s="122" t="n">
        <v>2903</v>
      </c>
      <c r="AD1350" s="122" t="n">
        <v>1382</v>
      </c>
      <c r="AE1350" s="122" t="n">
        <v>1535</v>
      </c>
      <c r="AF1350" s="122" t="n">
        <v>801</v>
      </c>
      <c r="AG1350" s="122" t="n">
        <v>604</v>
      </c>
      <c r="AH1350" s="122" t="n">
        <v>365</v>
      </c>
      <c r="AI1350" s="54">
        <f>IFERROR(AC1350/S1350,"")</f>
        <v/>
      </c>
      <c r="AJ1350" s="54">
        <f>IFERROR(AH1350/S1350,"")</f>
        <v/>
      </c>
      <c r="AK1350" s="122" t="n">
        <v>348</v>
      </c>
      <c r="AL1350" s="122" t="n">
        <v>0</v>
      </c>
      <c r="AM1350" s="124">
        <f>IFERROR(AL1350/AA1350,"")</f>
        <v/>
      </c>
      <c r="AN1350" s="125">
        <f>IFERROR(R1350/AL1350,"")</f>
        <v/>
      </c>
      <c r="AO1350" s="122" t="n">
        <v>0</v>
      </c>
      <c r="AP1350" s="54">
        <f>IFERROR(AO1350/AL1350,"")</f>
        <v/>
      </c>
      <c r="AQ1350" s="125">
        <f>IFERROR(R1350/AO1350,"")</f>
        <v/>
      </c>
      <c r="AR1350" s="122" t="n">
        <v>0</v>
      </c>
      <c r="AS1350" s="122" t="n">
        <v>0</v>
      </c>
      <c r="AT1350" s="122">
        <f>AL1350+AR1350</f>
        <v/>
      </c>
      <c r="AU1350" s="125">
        <f>IFERROR(AO1350*Assumptions!$C$26*Assumptions!$C$27*INDEX(Assumptions!$C$18:$C$21,MATCH(H1350,Assumptions!$B$18:$B$21,0)),0)</f>
        <v/>
      </c>
    </row>
    <row r="1351">
      <c r="A1351" s="120" t="n">
        <v>46263</v>
      </c>
      <c r="B1351" s="66" t="inlineStr">
        <is>
          <t>Wk 35</t>
        </is>
      </c>
      <c r="C1351" s="66" t="inlineStr">
        <is>
          <t>Sat</t>
        </is>
      </c>
      <c r="D1351" s="66" t="inlineStr">
        <is>
          <t>TikTok</t>
        </is>
      </c>
      <c r="E1351" s="66" t="inlineStr">
        <is>
          <t>TikTok</t>
        </is>
      </c>
      <c r="F1351" s="66" t="inlineStr">
        <is>
          <t>LEP_ZA_AUG26_TT_SPARK_RANGE_TRAFFIC</t>
        </is>
      </c>
      <c r="G1351" s="66" t="inlineStr">
        <is>
          <t>Traffic - Spark Ads</t>
        </is>
      </c>
      <c r="H1351" s="66" t="inlineStr">
        <is>
          <t>Range</t>
        </is>
      </c>
      <c r="I1351" s="66" t="inlineStr">
        <is>
          <t>Range Offer</t>
        </is>
      </c>
      <c r="J1351" s="66" t="inlineStr">
        <is>
          <t>TT_SPARK_CREATOR_UGC_ZA</t>
        </is>
      </c>
      <c r="K1351" s="66" t="inlineStr">
        <is>
          <t>Prospecting</t>
        </is>
      </c>
      <c r="L1351" s="66" t="inlineStr">
        <is>
          <t>TT_SPARK_@drivesa_Review_v1</t>
        </is>
      </c>
      <c r="M1351" s="66" t="inlineStr">
        <is>
          <t>Spark Ad</t>
        </is>
      </c>
      <c r="N1351" s="66" t="inlineStr">
        <is>
          <t>Creator handle: @drivesa</t>
        </is>
      </c>
      <c r="O1351" s="66" t="inlineStr">
        <is>
          <t>Auction - Lowest Cost</t>
        </is>
      </c>
      <c r="P1351" s="66" t="inlineStr">
        <is>
          <t>Landing Page View</t>
        </is>
      </c>
      <c r="Q1351" s="66" t="inlineStr">
        <is>
          <t>https://www.lepas-sa.co.za/offers</t>
        </is>
      </c>
      <c r="R1351" s="121" t="n">
        <v>214.54</v>
      </c>
      <c r="S1351" s="122" t="n">
        <v>4467</v>
      </c>
      <c r="T1351" s="122" t="n">
        <v>2217</v>
      </c>
      <c r="U1351" s="123">
        <f>IFERROR(S1351/T1351,"")</f>
        <v/>
      </c>
      <c r="V1351" s="122" t="n">
        <v>43</v>
      </c>
      <c r="W1351" s="122" t="n">
        <v>32</v>
      </c>
      <c r="X1351" s="124">
        <f>IFERROR(W1351/S1351,"")</f>
        <v/>
      </c>
      <c r="Y1351" s="121">
        <f>IFERROR(R1351/W1351,"")</f>
        <v/>
      </c>
      <c r="Z1351" s="121">
        <f>IFERROR(R1351/S1351*1000,"")</f>
        <v/>
      </c>
      <c r="AA1351" s="122" t="n">
        <v>20</v>
      </c>
      <c r="AB1351" s="54">
        <f>IFERROR(AA1351/W1351,"")</f>
        <v/>
      </c>
      <c r="AC1351" s="122" t="n">
        <v>1120</v>
      </c>
      <c r="AD1351" s="122" t="n">
        <v>605</v>
      </c>
      <c r="AE1351" s="122" t="n">
        <v>406</v>
      </c>
      <c r="AF1351" s="122" t="n">
        <v>277</v>
      </c>
      <c r="AG1351" s="122" t="n">
        <v>197</v>
      </c>
      <c r="AH1351" s="122" t="n">
        <v>135</v>
      </c>
      <c r="AI1351" s="54">
        <f>IFERROR(AC1351/S1351,"")</f>
        <v/>
      </c>
      <c r="AJ1351" s="54">
        <f>IFERROR(AH1351/S1351,"")</f>
        <v/>
      </c>
      <c r="AK1351" s="122" t="n">
        <v>231</v>
      </c>
      <c r="AL1351" s="122" t="n">
        <v>0</v>
      </c>
      <c r="AM1351" s="124">
        <f>IFERROR(AL1351/AA1351,"")</f>
        <v/>
      </c>
      <c r="AN1351" s="125">
        <f>IFERROR(R1351/AL1351,"")</f>
        <v/>
      </c>
      <c r="AO1351" s="122" t="n">
        <v>0</v>
      </c>
      <c r="AP1351" s="54">
        <f>IFERROR(AO1351/AL1351,"")</f>
        <v/>
      </c>
      <c r="AQ1351" s="125">
        <f>IFERROR(R1351/AO1351,"")</f>
        <v/>
      </c>
      <c r="AR1351" s="122" t="n">
        <v>0</v>
      </c>
      <c r="AS1351" s="122" t="n">
        <v>0</v>
      </c>
      <c r="AT1351" s="122">
        <f>AL1351+AR1351</f>
        <v/>
      </c>
      <c r="AU1351" s="125">
        <f>IFERROR(AO1351*Assumptions!$C$26*Assumptions!$C$27*INDEX(Assumptions!$C$18:$C$21,MATCH(H1351,Assumptions!$B$18:$B$21,0)),0)</f>
        <v/>
      </c>
    </row>
    <row r="1352">
      <c r="A1352" s="120" t="n">
        <v>46264</v>
      </c>
      <c r="B1352" s="66" t="inlineStr">
        <is>
          <t>Wk 35</t>
        </is>
      </c>
      <c r="C1352" s="66" t="inlineStr">
        <is>
          <t>Sun</t>
        </is>
      </c>
      <c r="D1352" s="66" t="inlineStr">
        <is>
          <t>TikTok</t>
        </is>
      </c>
      <c r="E1352" s="66" t="inlineStr">
        <is>
          <t>TikTok</t>
        </is>
      </c>
      <c r="F1352" s="66" t="inlineStr">
        <is>
          <t>LEP_ZA_AUG26_TT_SPARK_RANGE_TRAFFIC</t>
        </is>
      </c>
      <c r="G1352" s="66" t="inlineStr">
        <is>
          <t>Traffic - Spark Ads</t>
        </is>
      </c>
      <c r="H1352" s="66" t="inlineStr">
        <is>
          <t>Range</t>
        </is>
      </c>
      <c r="I1352" s="66" t="inlineStr">
        <is>
          <t>Range Offer</t>
        </is>
      </c>
      <c r="J1352" s="66" t="inlineStr">
        <is>
          <t>TT_SPARK_CREATOR_UGC_ZA</t>
        </is>
      </c>
      <c r="K1352" s="66" t="inlineStr">
        <is>
          <t>Prospecting</t>
        </is>
      </c>
      <c r="L1352" s="66" t="inlineStr">
        <is>
          <t>TT_SPARK_@drivesa_Review_v1</t>
        </is>
      </c>
      <c r="M1352" s="66" t="inlineStr">
        <is>
          <t>Spark Ad</t>
        </is>
      </c>
      <c r="N1352" s="66" t="inlineStr">
        <is>
          <t>Creator handle: @drivesa</t>
        </is>
      </c>
      <c r="O1352" s="66" t="inlineStr">
        <is>
          <t>Auction - Lowest Cost</t>
        </is>
      </c>
      <c r="P1352" s="66" t="inlineStr">
        <is>
          <t>Landing Page View</t>
        </is>
      </c>
      <c r="Q1352" s="66" t="inlineStr">
        <is>
          <t>https://www.lepas-sa.co.za/offers</t>
        </is>
      </c>
      <c r="R1352" s="121" t="n">
        <v>153.42</v>
      </c>
      <c r="S1352" s="122" t="n">
        <v>4434</v>
      </c>
      <c r="T1352" s="122" t="n">
        <v>2411</v>
      </c>
      <c r="U1352" s="123">
        <f>IFERROR(S1352/T1352,"")</f>
        <v/>
      </c>
      <c r="V1352" s="122" t="n">
        <v>34</v>
      </c>
      <c r="W1352" s="122" t="n">
        <v>26</v>
      </c>
      <c r="X1352" s="124">
        <f>IFERROR(W1352/S1352,"")</f>
        <v/>
      </c>
      <c r="Y1352" s="121">
        <f>IFERROR(R1352/W1352,"")</f>
        <v/>
      </c>
      <c r="Z1352" s="121">
        <f>IFERROR(R1352/S1352*1000,"")</f>
        <v/>
      </c>
      <c r="AA1352" s="122" t="n">
        <v>16</v>
      </c>
      <c r="AB1352" s="54">
        <f>IFERROR(AA1352/W1352,"")</f>
        <v/>
      </c>
      <c r="AC1352" s="122" t="n">
        <v>1388</v>
      </c>
      <c r="AD1352" s="122" t="n">
        <v>755</v>
      </c>
      <c r="AE1352" s="122" t="n">
        <v>641</v>
      </c>
      <c r="AF1352" s="122" t="n">
        <v>390</v>
      </c>
      <c r="AG1352" s="122" t="n">
        <v>265</v>
      </c>
      <c r="AH1352" s="122" t="n">
        <v>162</v>
      </c>
      <c r="AI1352" s="54">
        <f>IFERROR(AC1352/S1352,"")</f>
        <v/>
      </c>
      <c r="AJ1352" s="54">
        <f>IFERROR(AH1352/S1352,"")</f>
        <v/>
      </c>
      <c r="AK1352" s="122" t="n">
        <v>123</v>
      </c>
      <c r="AL1352" s="122" t="n">
        <v>0</v>
      </c>
      <c r="AM1352" s="124">
        <f>IFERROR(AL1352/AA1352,"")</f>
        <v/>
      </c>
      <c r="AN1352" s="125">
        <f>IFERROR(R1352/AL1352,"")</f>
        <v/>
      </c>
      <c r="AO1352" s="122" t="n">
        <v>0</v>
      </c>
      <c r="AP1352" s="54">
        <f>IFERROR(AO1352/AL1352,"")</f>
        <v/>
      </c>
      <c r="AQ1352" s="125">
        <f>IFERROR(R1352/AO1352,"")</f>
        <v/>
      </c>
      <c r="AR1352" s="122" t="n">
        <v>0</v>
      </c>
      <c r="AS1352" s="122" t="n">
        <v>0</v>
      </c>
      <c r="AT1352" s="122">
        <f>AL1352+AR1352</f>
        <v/>
      </c>
      <c r="AU1352" s="125">
        <f>IFERROR(AO1352*Assumptions!$C$26*Assumptions!$C$27*INDEX(Assumptions!$C$18:$C$21,MATCH(H1352,Assumptions!$B$18:$B$21,0)),0)</f>
        <v/>
      </c>
    </row>
    <row r="1353">
      <c r="A1353" s="120" t="n">
        <v>46265</v>
      </c>
      <c r="B1353" s="66" t="inlineStr">
        <is>
          <t>Wk 36</t>
        </is>
      </c>
      <c r="C1353" s="66" t="inlineStr">
        <is>
          <t>Mon</t>
        </is>
      </c>
      <c r="D1353" s="66" t="inlineStr">
        <is>
          <t>TikTok</t>
        </is>
      </c>
      <c r="E1353" s="66" t="inlineStr">
        <is>
          <t>TikTok</t>
        </is>
      </c>
      <c r="F1353" s="66" t="inlineStr">
        <is>
          <t>LEP_ZA_AUG26_TT_SPARK_RANGE_TRAFFIC</t>
        </is>
      </c>
      <c r="G1353" s="66" t="inlineStr">
        <is>
          <t>Traffic - Spark Ads</t>
        </is>
      </c>
      <c r="H1353" s="66" t="inlineStr">
        <is>
          <t>Range</t>
        </is>
      </c>
      <c r="I1353" s="66" t="inlineStr">
        <is>
          <t>Range Offer</t>
        </is>
      </c>
      <c r="J1353" s="66" t="inlineStr">
        <is>
          <t>TT_SPARK_CREATOR_UGC_ZA</t>
        </is>
      </c>
      <c r="K1353" s="66" t="inlineStr">
        <is>
          <t>Prospecting</t>
        </is>
      </c>
      <c r="L1353" s="66" t="inlineStr">
        <is>
          <t>TT_SPARK_@drivesa_Review_v1</t>
        </is>
      </c>
      <c r="M1353" s="66" t="inlineStr">
        <is>
          <t>Spark Ad</t>
        </is>
      </c>
      <c r="N1353" s="66" t="inlineStr">
        <is>
          <t>Creator handle: @drivesa</t>
        </is>
      </c>
      <c r="O1353" s="66" t="inlineStr">
        <is>
          <t>Auction - Lowest Cost</t>
        </is>
      </c>
      <c r="P1353" s="66" t="inlineStr">
        <is>
          <t>Landing Page View</t>
        </is>
      </c>
      <c r="Q1353" s="66" t="inlineStr">
        <is>
          <t>https://www.lepas-sa.co.za/offers</t>
        </is>
      </c>
      <c r="R1353" s="121" t="n">
        <v>175.61</v>
      </c>
      <c r="S1353" s="122" t="n">
        <v>5505</v>
      </c>
      <c r="T1353" s="122" t="n">
        <v>2803</v>
      </c>
      <c r="U1353" s="123">
        <f>IFERROR(S1353/T1353,"")</f>
        <v/>
      </c>
      <c r="V1353" s="122" t="n">
        <v>43</v>
      </c>
      <c r="W1353" s="122" t="n">
        <v>32</v>
      </c>
      <c r="X1353" s="124">
        <f>IFERROR(W1353/S1353,"")</f>
        <v/>
      </c>
      <c r="Y1353" s="121">
        <f>IFERROR(R1353/W1353,"")</f>
        <v/>
      </c>
      <c r="Z1353" s="121">
        <f>IFERROR(R1353/S1353*1000,"")</f>
        <v/>
      </c>
      <c r="AA1353" s="122" t="n">
        <v>23</v>
      </c>
      <c r="AB1353" s="54">
        <f>IFERROR(AA1353/W1353,"")</f>
        <v/>
      </c>
      <c r="AC1353" s="122" t="n">
        <v>2241</v>
      </c>
      <c r="AD1353" s="122" t="n">
        <v>1118</v>
      </c>
      <c r="AE1353" s="122" t="n">
        <v>1194</v>
      </c>
      <c r="AF1353" s="122" t="n">
        <v>725</v>
      </c>
      <c r="AG1353" s="122" t="n">
        <v>527</v>
      </c>
      <c r="AH1353" s="122" t="n">
        <v>345</v>
      </c>
      <c r="AI1353" s="54">
        <f>IFERROR(AC1353/S1353,"")</f>
        <v/>
      </c>
      <c r="AJ1353" s="54">
        <f>IFERROR(AH1353/S1353,"")</f>
        <v/>
      </c>
      <c r="AK1353" s="122" t="n">
        <v>300</v>
      </c>
      <c r="AL1353" s="122" t="n">
        <v>0</v>
      </c>
      <c r="AM1353" s="124">
        <f>IFERROR(AL1353/AA1353,"")</f>
        <v/>
      </c>
      <c r="AN1353" s="125">
        <f>IFERROR(R1353/AL1353,"")</f>
        <v/>
      </c>
      <c r="AO1353" s="122" t="n">
        <v>0</v>
      </c>
      <c r="AP1353" s="54">
        <f>IFERROR(AO1353/AL1353,"")</f>
        <v/>
      </c>
      <c r="AQ1353" s="125">
        <f>IFERROR(R1353/AO1353,"")</f>
        <v/>
      </c>
      <c r="AR1353" s="122" t="n">
        <v>0</v>
      </c>
      <c r="AS1353" s="122" t="n">
        <v>0</v>
      </c>
      <c r="AT1353" s="122">
        <f>AL1353+AR1353</f>
        <v/>
      </c>
      <c r="AU1353" s="125">
        <f>IFERROR(AO1353*Assumptions!$C$26*Assumptions!$C$27*INDEX(Assumptions!$C$18:$C$21,MATCH(H1353,Assumptions!$B$18:$B$21,0)),0)</f>
        <v/>
      </c>
    </row>
    <row r="1354">
      <c r="A1354" s="120" t="n">
        <v>46235</v>
      </c>
      <c r="B1354" s="66" t="inlineStr">
        <is>
          <t>Wk 31</t>
        </is>
      </c>
      <c r="C1354" s="66" t="inlineStr">
        <is>
          <t>Sat</t>
        </is>
      </c>
      <c r="D1354" s="66" t="inlineStr">
        <is>
          <t>TikTok</t>
        </is>
      </c>
      <c r="E1354" s="66" t="inlineStr">
        <is>
          <t>TikTok</t>
        </is>
      </c>
      <c r="F1354" s="66" t="inlineStr">
        <is>
          <t>LEP_ZA_AUG26_TT_SPARK_RANGE_TRAFFIC</t>
        </is>
      </c>
      <c r="G1354" s="66" t="inlineStr">
        <is>
          <t>Traffic - Spark Ads</t>
        </is>
      </c>
      <c r="H1354" s="66" t="inlineStr">
        <is>
          <t>Range</t>
        </is>
      </c>
      <c r="I1354" s="66" t="inlineStr">
        <is>
          <t>Range Offer</t>
        </is>
      </c>
      <c r="J1354" s="66" t="inlineStr">
        <is>
          <t>TT_SPARK_CREATOR_UGC_ZA</t>
        </is>
      </c>
      <c r="K1354" s="66" t="inlineStr">
        <is>
          <t>Prospecting</t>
        </is>
      </c>
      <c r="L1354" s="66" t="inlineStr">
        <is>
          <t>TT_SPARK_@motorgirlza_Tour_v1</t>
        </is>
      </c>
      <c r="M1354" s="66" t="inlineStr">
        <is>
          <t>Spark Ad</t>
        </is>
      </c>
      <c r="N1354" s="66" t="inlineStr">
        <is>
          <t>Creator handle: @motorgirlza</t>
        </is>
      </c>
      <c r="O1354" s="66" t="inlineStr">
        <is>
          <t>Auction - Lowest Cost</t>
        </is>
      </c>
      <c r="P1354" s="66" t="inlineStr">
        <is>
          <t>Landing Page View</t>
        </is>
      </c>
      <c r="Q1354" s="66" t="inlineStr">
        <is>
          <t>https://www.lepas-sa.co.za/offers</t>
        </is>
      </c>
      <c r="R1354" s="121" t="n">
        <v>112.12</v>
      </c>
      <c r="S1354" s="122" t="n">
        <v>3337</v>
      </c>
      <c r="T1354" s="122" t="n">
        <v>2115</v>
      </c>
      <c r="U1354" s="123">
        <f>IFERROR(S1354/T1354,"")</f>
        <v/>
      </c>
      <c r="V1354" s="122" t="n">
        <v>34</v>
      </c>
      <c r="W1354" s="122" t="n">
        <v>26</v>
      </c>
      <c r="X1354" s="124">
        <f>IFERROR(W1354/S1354,"")</f>
        <v/>
      </c>
      <c r="Y1354" s="121">
        <f>IFERROR(R1354/W1354,"")</f>
        <v/>
      </c>
      <c r="Z1354" s="121">
        <f>IFERROR(R1354/S1354*1000,"")</f>
        <v/>
      </c>
      <c r="AA1354" s="122" t="n">
        <v>17</v>
      </c>
      <c r="AB1354" s="54">
        <f>IFERROR(AA1354/W1354,"")</f>
        <v/>
      </c>
      <c r="AC1354" s="122" t="n">
        <v>1029</v>
      </c>
      <c r="AD1354" s="122" t="n">
        <v>642</v>
      </c>
      <c r="AE1354" s="122" t="n">
        <v>531</v>
      </c>
      <c r="AF1354" s="122" t="n">
        <v>321</v>
      </c>
      <c r="AG1354" s="122" t="n">
        <v>253</v>
      </c>
      <c r="AH1354" s="122" t="n">
        <v>144</v>
      </c>
      <c r="AI1354" s="54">
        <f>IFERROR(AC1354/S1354,"")</f>
        <v/>
      </c>
      <c r="AJ1354" s="54">
        <f>IFERROR(AH1354/S1354,"")</f>
        <v/>
      </c>
      <c r="AK1354" s="122" t="n">
        <v>160</v>
      </c>
      <c r="AL1354" s="122" t="n">
        <v>1</v>
      </c>
      <c r="AM1354" s="124">
        <f>IFERROR(AL1354/AA1354,"")</f>
        <v/>
      </c>
      <c r="AN1354" s="125">
        <f>IFERROR(R1354/AL1354,"")</f>
        <v/>
      </c>
      <c r="AO1354" s="122" t="n">
        <v>1</v>
      </c>
      <c r="AP1354" s="54">
        <f>IFERROR(AO1354/AL1354,"")</f>
        <v/>
      </c>
      <c r="AQ1354" s="125">
        <f>IFERROR(R1354/AO1354,"")</f>
        <v/>
      </c>
      <c r="AR1354" s="122" t="n">
        <v>1</v>
      </c>
      <c r="AS1354" s="122" t="n">
        <v>0</v>
      </c>
      <c r="AT1354" s="122">
        <f>AL1354+AR1354</f>
        <v/>
      </c>
      <c r="AU1354" s="125">
        <f>IFERROR(AO1354*Assumptions!$C$26*Assumptions!$C$27*INDEX(Assumptions!$C$18:$C$21,MATCH(H1354,Assumptions!$B$18:$B$21,0)),0)</f>
        <v/>
      </c>
    </row>
    <row r="1355">
      <c r="A1355" s="120" t="n">
        <v>46236</v>
      </c>
      <c r="B1355" s="66" t="inlineStr">
        <is>
          <t>Wk 31</t>
        </is>
      </c>
      <c r="C1355" s="66" t="inlineStr">
        <is>
          <t>Sun</t>
        </is>
      </c>
      <c r="D1355" s="66" t="inlineStr">
        <is>
          <t>TikTok</t>
        </is>
      </c>
      <c r="E1355" s="66" t="inlineStr">
        <is>
          <t>TikTok</t>
        </is>
      </c>
      <c r="F1355" s="66" t="inlineStr">
        <is>
          <t>LEP_ZA_AUG26_TT_SPARK_RANGE_TRAFFIC</t>
        </is>
      </c>
      <c r="G1355" s="66" t="inlineStr">
        <is>
          <t>Traffic - Spark Ads</t>
        </is>
      </c>
      <c r="H1355" s="66" t="inlineStr">
        <is>
          <t>Range</t>
        </is>
      </c>
      <c r="I1355" s="66" t="inlineStr">
        <is>
          <t>Range Offer</t>
        </is>
      </c>
      <c r="J1355" s="66" t="inlineStr">
        <is>
          <t>TT_SPARK_CREATOR_UGC_ZA</t>
        </is>
      </c>
      <c r="K1355" s="66" t="inlineStr">
        <is>
          <t>Prospecting</t>
        </is>
      </c>
      <c r="L1355" s="66" t="inlineStr">
        <is>
          <t>TT_SPARK_@motorgirlza_Tour_v1</t>
        </is>
      </c>
      <c r="M1355" s="66" t="inlineStr">
        <is>
          <t>Spark Ad</t>
        </is>
      </c>
      <c r="N1355" s="66" t="inlineStr">
        <is>
          <t>Creator handle: @motorgirlza</t>
        </is>
      </c>
      <c r="O1355" s="66" t="inlineStr">
        <is>
          <t>Auction - Lowest Cost</t>
        </is>
      </c>
      <c r="P1355" s="66" t="inlineStr">
        <is>
          <t>Landing Page View</t>
        </is>
      </c>
      <c r="Q1355" s="66" t="inlineStr">
        <is>
          <t>https://www.lepas-sa.co.za/offers</t>
        </is>
      </c>
      <c r="R1355" s="121" t="n">
        <v>83.86</v>
      </c>
      <c r="S1355" s="122" t="n">
        <v>2503</v>
      </c>
      <c r="T1355" s="122" t="n">
        <v>1504</v>
      </c>
      <c r="U1355" s="123">
        <f>IFERROR(S1355/T1355,"")</f>
        <v/>
      </c>
      <c r="V1355" s="122" t="n">
        <v>26</v>
      </c>
      <c r="W1355" s="122" t="n">
        <v>22</v>
      </c>
      <c r="X1355" s="124">
        <f>IFERROR(W1355/S1355,"")</f>
        <v/>
      </c>
      <c r="Y1355" s="121">
        <f>IFERROR(R1355/W1355,"")</f>
        <v/>
      </c>
      <c r="Z1355" s="121">
        <f>IFERROR(R1355/S1355*1000,"")</f>
        <v/>
      </c>
      <c r="AA1355" s="122" t="n">
        <v>14</v>
      </c>
      <c r="AB1355" s="54">
        <f>IFERROR(AA1355/W1355,"")</f>
        <v/>
      </c>
      <c r="AC1355" s="122" t="n">
        <v>970</v>
      </c>
      <c r="AD1355" s="122" t="n">
        <v>458</v>
      </c>
      <c r="AE1355" s="122" t="n">
        <v>482</v>
      </c>
      <c r="AF1355" s="122" t="n">
        <v>267</v>
      </c>
      <c r="AG1355" s="122" t="n">
        <v>195</v>
      </c>
      <c r="AH1355" s="122" t="n">
        <v>132</v>
      </c>
      <c r="AI1355" s="54">
        <f>IFERROR(AC1355/S1355,"")</f>
        <v/>
      </c>
      <c r="AJ1355" s="54">
        <f>IFERROR(AH1355/S1355,"")</f>
        <v/>
      </c>
      <c r="AK1355" s="122" t="n">
        <v>65</v>
      </c>
      <c r="AL1355" s="122" t="n">
        <v>0</v>
      </c>
      <c r="AM1355" s="124">
        <f>IFERROR(AL1355/AA1355,"")</f>
        <v/>
      </c>
      <c r="AN1355" s="125">
        <f>IFERROR(R1355/AL1355,"")</f>
        <v/>
      </c>
      <c r="AO1355" s="122" t="n">
        <v>0</v>
      </c>
      <c r="AP1355" s="54">
        <f>IFERROR(AO1355/AL1355,"")</f>
        <v/>
      </c>
      <c r="AQ1355" s="125">
        <f>IFERROR(R1355/AO1355,"")</f>
        <v/>
      </c>
      <c r="AR1355" s="122" t="n">
        <v>0</v>
      </c>
      <c r="AS1355" s="122" t="n">
        <v>0</v>
      </c>
      <c r="AT1355" s="122">
        <f>AL1355+AR1355</f>
        <v/>
      </c>
      <c r="AU1355" s="125">
        <f>IFERROR(AO1355*Assumptions!$C$26*Assumptions!$C$27*INDEX(Assumptions!$C$18:$C$21,MATCH(H1355,Assumptions!$B$18:$B$21,0)),0)</f>
        <v/>
      </c>
    </row>
    <row r="1356">
      <c r="A1356" s="120" t="n">
        <v>46237</v>
      </c>
      <c r="B1356" s="66" t="inlineStr">
        <is>
          <t>Wk 32</t>
        </is>
      </c>
      <c r="C1356" s="66" t="inlineStr">
        <is>
          <t>Mon</t>
        </is>
      </c>
      <c r="D1356" s="66" t="inlineStr">
        <is>
          <t>TikTok</t>
        </is>
      </c>
      <c r="E1356" s="66" t="inlineStr">
        <is>
          <t>TikTok</t>
        </is>
      </c>
      <c r="F1356" s="66" t="inlineStr">
        <is>
          <t>LEP_ZA_AUG26_TT_SPARK_RANGE_TRAFFIC</t>
        </is>
      </c>
      <c r="G1356" s="66" t="inlineStr">
        <is>
          <t>Traffic - Spark Ads</t>
        </is>
      </c>
      <c r="H1356" s="66" t="inlineStr">
        <is>
          <t>Range</t>
        </is>
      </c>
      <c r="I1356" s="66" t="inlineStr">
        <is>
          <t>Range Offer</t>
        </is>
      </c>
      <c r="J1356" s="66" t="inlineStr">
        <is>
          <t>TT_SPARK_CREATOR_UGC_ZA</t>
        </is>
      </c>
      <c r="K1356" s="66" t="inlineStr">
        <is>
          <t>Prospecting</t>
        </is>
      </c>
      <c r="L1356" s="66" t="inlineStr">
        <is>
          <t>TT_SPARK_@motorgirlza_Tour_v1</t>
        </is>
      </c>
      <c r="M1356" s="66" t="inlineStr">
        <is>
          <t>Spark Ad</t>
        </is>
      </c>
      <c r="N1356" s="66" t="inlineStr">
        <is>
          <t>Creator handle: @motorgirlza</t>
        </is>
      </c>
      <c r="O1356" s="66" t="inlineStr">
        <is>
          <t>Auction - Lowest Cost</t>
        </is>
      </c>
      <c r="P1356" s="66" t="inlineStr">
        <is>
          <t>Landing Page View</t>
        </is>
      </c>
      <c r="Q1356" s="66" t="inlineStr">
        <is>
          <t>https://www.lepas-sa.co.za/offers</t>
        </is>
      </c>
      <c r="R1356" s="121" t="n">
        <v>114.61</v>
      </c>
      <c r="S1356" s="122" t="n">
        <v>3138</v>
      </c>
      <c r="T1356" s="122" t="n">
        <v>1843</v>
      </c>
      <c r="U1356" s="123">
        <f>IFERROR(S1356/T1356,"")</f>
        <v/>
      </c>
      <c r="V1356" s="122" t="n">
        <v>42</v>
      </c>
      <c r="W1356" s="122" t="n">
        <v>34</v>
      </c>
      <c r="X1356" s="124">
        <f>IFERROR(W1356/S1356,"")</f>
        <v/>
      </c>
      <c r="Y1356" s="121">
        <f>IFERROR(R1356/W1356,"")</f>
        <v/>
      </c>
      <c r="Z1356" s="121">
        <f>IFERROR(R1356/S1356*1000,"")</f>
        <v/>
      </c>
      <c r="AA1356" s="122" t="n">
        <v>21</v>
      </c>
      <c r="AB1356" s="54">
        <f>IFERROR(AA1356/W1356,"")</f>
        <v/>
      </c>
      <c r="AC1356" s="122" t="n">
        <v>762</v>
      </c>
      <c r="AD1356" s="122" t="n">
        <v>391</v>
      </c>
      <c r="AE1356" s="122" t="n">
        <v>343</v>
      </c>
      <c r="AF1356" s="122" t="n">
        <v>228</v>
      </c>
      <c r="AG1356" s="122" t="n">
        <v>152</v>
      </c>
      <c r="AH1356" s="122" t="n">
        <v>87</v>
      </c>
      <c r="AI1356" s="54">
        <f>IFERROR(AC1356/S1356,"")</f>
        <v/>
      </c>
      <c r="AJ1356" s="54">
        <f>IFERROR(AH1356/S1356,"")</f>
        <v/>
      </c>
      <c r="AK1356" s="122" t="n">
        <v>116</v>
      </c>
      <c r="AL1356" s="122" t="n">
        <v>0</v>
      </c>
      <c r="AM1356" s="124">
        <f>IFERROR(AL1356/AA1356,"")</f>
        <v/>
      </c>
      <c r="AN1356" s="125">
        <f>IFERROR(R1356/AL1356,"")</f>
        <v/>
      </c>
      <c r="AO1356" s="122" t="n">
        <v>0</v>
      </c>
      <c r="AP1356" s="54">
        <f>IFERROR(AO1356/AL1356,"")</f>
        <v/>
      </c>
      <c r="AQ1356" s="125">
        <f>IFERROR(R1356/AO1356,"")</f>
        <v/>
      </c>
      <c r="AR1356" s="122" t="n">
        <v>0</v>
      </c>
      <c r="AS1356" s="122" t="n">
        <v>0</v>
      </c>
      <c r="AT1356" s="122">
        <f>AL1356+AR1356</f>
        <v/>
      </c>
      <c r="AU1356" s="125">
        <f>IFERROR(AO1356*Assumptions!$C$26*Assumptions!$C$27*INDEX(Assumptions!$C$18:$C$21,MATCH(H1356,Assumptions!$B$18:$B$21,0)),0)</f>
        <v/>
      </c>
    </row>
    <row r="1357">
      <c r="A1357" s="120" t="n">
        <v>46238</v>
      </c>
      <c r="B1357" s="66" t="inlineStr">
        <is>
          <t>Wk 32</t>
        </is>
      </c>
      <c r="C1357" s="66" t="inlineStr">
        <is>
          <t>Tue</t>
        </is>
      </c>
      <c r="D1357" s="66" t="inlineStr">
        <is>
          <t>TikTok</t>
        </is>
      </c>
      <c r="E1357" s="66" t="inlineStr">
        <is>
          <t>TikTok</t>
        </is>
      </c>
      <c r="F1357" s="66" t="inlineStr">
        <is>
          <t>LEP_ZA_AUG26_TT_SPARK_RANGE_TRAFFIC</t>
        </is>
      </c>
      <c r="G1357" s="66" t="inlineStr">
        <is>
          <t>Traffic - Spark Ads</t>
        </is>
      </c>
      <c r="H1357" s="66" t="inlineStr">
        <is>
          <t>Range</t>
        </is>
      </c>
      <c r="I1357" s="66" t="inlineStr">
        <is>
          <t>Range Offer</t>
        </is>
      </c>
      <c r="J1357" s="66" t="inlineStr">
        <is>
          <t>TT_SPARK_CREATOR_UGC_ZA</t>
        </is>
      </c>
      <c r="K1357" s="66" t="inlineStr">
        <is>
          <t>Prospecting</t>
        </is>
      </c>
      <c r="L1357" s="66" t="inlineStr">
        <is>
          <t>TT_SPARK_@motorgirlza_Tour_v1</t>
        </is>
      </c>
      <c r="M1357" s="66" t="inlineStr">
        <is>
          <t>Spark Ad</t>
        </is>
      </c>
      <c r="N1357" s="66" t="inlineStr">
        <is>
          <t>Creator handle: @motorgirlza</t>
        </is>
      </c>
      <c r="O1357" s="66" t="inlineStr">
        <is>
          <t>Auction - Lowest Cost</t>
        </is>
      </c>
      <c r="P1357" s="66" t="inlineStr">
        <is>
          <t>Landing Page View</t>
        </is>
      </c>
      <c r="Q1357" s="66" t="inlineStr">
        <is>
          <t>https://www.lepas-sa.co.za/offers</t>
        </is>
      </c>
      <c r="R1357" s="121" t="n">
        <v>106.19</v>
      </c>
      <c r="S1357" s="122" t="n">
        <v>3121</v>
      </c>
      <c r="T1357" s="122" t="n">
        <v>2559</v>
      </c>
      <c r="U1357" s="123">
        <f>IFERROR(S1357/T1357,"")</f>
        <v/>
      </c>
      <c r="V1357" s="122" t="n">
        <v>32</v>
      </c>
      <c r="W1357" s="122" t="n">
        <v>27</v>
      </c>
      <c r="X1357" s="124">
        <f>IFERROR(W1357/S1357,"")</f>
        <v/>
      </c>
      <c r="Y1357" s="121">
        <f>IFERROR(R1357/W1357,"")</f>
        <v/>
      </c>
      <c r="Z1357" s="121">
        <f>IFERROR(R1357/S1357*1000,"")</f>
        <v/>
      </c>
      <c r="AA1357" s="122" t="n">
        <v>20</v>
      </c>
      <c r="AB1357" s="54">
        <f>IFERROR(AA1357/W1357,"")</f>
        <v/>
      </c>
      <c r="AC1357" s="122" t="n">
        <v>991</v>
      </c>
      <c r="AD1357" s="122" t="n">
        <v>481</v>
      </c>
      <c r="AE1357" s="122" t="n">
        <v>494</v>
      </c>
      <c r="AF1357" s="122" t="n">
        <v>329</v>
      </c>
      <c r="AG1357" s="122" t="n">
        <v>255</v>
      </c>
      <c r="AH1357" s="122" t="n">
        <v>189</v>
      </c>
      <c r="AI1357" s="54">
        <f>IFERROR(AC1357/S1357,"")</f>
        <v/>
      </c>
      <c r="AJ1357" s="54">
        <f>IFERROR(AH1357/S1357,"")</f>
        <v/>
      </c>
      <c r="AK1357" s="122" t="n">
        <v>73</v>
      </c>
      <c r="AL1357" s="122" t="n">
        <v>0</v>
      </c>
      <c r="AM1357" s="124">
        <f>IFERROR(AL1357/AA1357,"")</f>
        <v/>
      </c>
      <c r="AN1357" s="125">
        <f>IFERROR(R1357/AL1357,"")</f>
        <v/>
      </c>
      <c r="AO1357" s="122" t="n">
        <v>0</v>
      </c>
      <c r="AP1357" s="54">
        <f>IFERROR(AO1357/AL1357,"")</f>
        <v/>
      </c>
      <c r="AQ1357" s="125">
        <f>IFERROR(R1357/AO1357,"")</f>
        <v/>
      </c>
      <c r="AR1357" s="122" t="n">
        <v>0</v>
      </c>
      <c r="AS1357" s="122" t="n">
        <v>0</v>
      </c>
      <c r="AT1357" s="122">
        <f>AL1357+AR1357</f>
        <v/>
      </c>
      <c r="AU1357" s="125">
        <f>IFERROR(AO1357*Assumptions!$C$26*Assumptions!$C$27*INDEX(Assumptions!$C$18:$C$21,MATCH(H1357,Assumptions!$B$18:$B$21,0)),0)</f>
        <v/>
      </c>
    </row>
    <row r="1358">
      <c r="A1358" s="120" t="n">
        <v>46239</v>
      </c>
      <c r="B1358" s="66" t="inlineStr">
        <is>
          <t>Wk 32</t>
        </is>
      </c>
      <c r="C1358" s="66" t="inlineStr">
        <is>
          <t>Wed</t>
        </is>
      </c>
      <c r="D1358" s="66" t="inlineStr">
        <is>
          <t>TikTok</t>
        </is>
      </c>
      <c r="E1358" s="66" t="inlineStr">
        <is>
          <t>TikTok</t>
        </is>
      </c>
      <c r="F1358" s="66" t="inlineStr">
        <is>
          <t>LEP_ZA_AUG26_TT_SPARK_RANGE_TRAFFIC</t>
        </is>
      </c>
      <c r="G1358" s="66" t="inlineStr">
        <is>
          <t>Traffic - Spark Ads</t>
        </is>
      </c>
      <c r="H1358" s="66" t="inlineStr">
        <is>
          <t>Range</t>
        </is>
      </c>
      <c r="I1358" s="66" t="inlineStr">
        <is>
          <t>Range Offer</t>
        </is>
      </c>
      <c r="J1358" s="66" t="inlineStr">
        <is>
          <t>TT_SPARK_CREATOR_UGC_ZA</t>
        </is>
      </c>
      <c r="K1358" s="66" t="inlineStr">
        <is>
          <t>Prospecting</t>
        </is>
      </c>
      <c r="L1358" s="66" t="inlineStr">
        <is>
          <t>TT_SPARK_@motorgirlza_Tour_v1</t>
        </is>
      </c>
      <c r="M1358" s="66" t="inlineStr">
        <is>
          <t>Spark Ad</t>
        </is>
      </c>
      <c r="N1358" s="66" t="inlineStr">
        <is>
          <t>Creator handle: @motorgirlza</t>
        </is>
      </c>
      <c r="O1358" s="66" t="inlineStr">
        <is>
          <t>Auction - Lowest Cost</t>
        </is>
      </c>
      <c r="P1358" s="66" t="inlineStr">
        <is>
          <t>Landing Page View</t>
        </is>
      </c>
      <c r="Q1358" s="66" t="inlineStr">
        <is>
          <t>https://www.lepas-sa.co.za/offers</t>
        </is>
      </c>
      <c r="R1358" s="121" t="n">
        <v>118.92</v>
      </c>
      <c r="S1358" s="122" t="n">
        <v>2950</v>
      </c>
      <c r="T1358" s="122" t="n">
        <v>1996</v>
      </c>
      <c r="U1358" s="123">
        <f>IFERROR(S1358/T1358,"")</f>
        <v/>
      </c>
      <c r="V1358" s="122" t="n">
        <v>41</v>
      </c>
      <c r="W1358" s="122" t="n">
        <v>34</v>
      </c>
      <c r="X1358" s="124">
        <f>IFERROR(W1358/S1358,"")</f>
        <v/>
      </c>
      <c r="Y1358" s="121">
        <f>IFERROR(R1358/W1358,"")</f>
        <v/>
      </c>
      <c r="Z1358" s="121">
        <f>IFERROR(R1358/S1358*1000,"")</f>
        <v/>
      </c>
      <c r="AA1358" s="122" t="n">
        <v>23</v>
      </c>
      <c r="AB1358" s="54">
        <f>IFERROR(AA1358/W1358,"")</f>
        <v/>
      </c>
      <c r="AC1358" s="122" t="n">
        <v>1063</v>
      </c>
      <c r="AD1358" s="122" t="n">
        <v>515</v>
      </c>
      <c r="AE1358" s="122" t="n">
        <v>558</v>
      </c>
      <c r="AF1358" s="122" t="n">
        <v>341</v>
      </c>
      <c r="AG1358" s="122" t="n">
        <v>246</v>
      </c>
      <c r="AH1358" s="122" t="n">
        <v>181</v>
      </c>
      <c r="AI1358" s="54">
        <f>IFERROR(AC1358/S1358,"")</f>
        <v/>
      </c>
      <c r="AJ1358" s="54">
        <f>IFERROR(AH1358/S1358,"")</f>
        <v/>
      </c>
      <c r="AK1358" s="122" t="n">
        <v>87</v>
      </c>
      <c r="AL1358" s="122" t="n">
        <v>1</v>
      </c>
      <c r="AM1358" s="124">
        <f>IFERROR(AL1358/AA1358,"")</f>
        <v/>
      </c>
      <c r="AN1358" s="125">
        <f>IFERROR(R1358/AL1358,"")</f>
        <v/>
      </c>
      <c r="AO1358" s="122" t="n">
        <v>0</v>
      </c>
      <c r="AP1358" s="54">
        <f>IFERROR(AO1358/AL1358,"")</f>
        <v/>
      </c>
      <c r="AQ1358" s="125">
        <f>IFERROR(R1358/AO1358,"")</f>
        <v/>
      </c>
      <c r="AR1358" s="122" t="n">
        <v>1</v>
      </c>
      <c r="AS1358" s="122" t="n">
        <v>0</v>
      </c>
      <c r="AT1358" s="122">
        <f>AL1358+AR1358</f>
        <v/>
      </c>
      <c r="AU1358" s="125">
        <f>IFERROR(AO1358*Assumptions!$C$26*Assumptions!$C$27*INDEX(Assumptions!$C$18:$C$21,MATCH(H1358,Assumptions!$B$18:$B$21,0)),0)</f>
        <v/>
      </c>
    </row>
    <row r="1359">
      <c r="A1359" s="120" t="n">
        <v>46240</v>
      </c>
      <c r="B1359" s="66" t="inlineStr">
        <is>
          <t>Wk 32</t>
        </is>
      </c>
      <c r="C1359" s="66" t="inlineStr">
        <is>
          <t>Thu</t>
        </is>
      </c>
      <c r="D1359" s="66" t="inlineStr">
        <is>
          <t>TikTok</t>
        </is>
      </c>
      <c r="E1359" s="66" t="inlineStr">
        <is>
          <t>TikTok</t>
        </is>
      </c>
      <c r="F1359" s="66" t="inlineStr">
        <is>
          <t>LEP_ZA_AUG26_TT_SPARK_RANGE_TRAFFIC</t>
        </is>
      </c>
      <c r="G1359" s="66" t="inlineStr">
        <is>
          <t>Traffic - Spark Ads</t>
        </is>
      </c>
      <c r="H1359" s="66" t="inlineStr">
        <is>
          <t>Range</t>
        </is>
      </c>
      <c r="I1359" s="66" t="inlineStr">
        <is>
          <t>Range Offer</t>
        </is>
      </c>
      <c r="J1359" s="66" t="inlineStr">
        <is>
          <t>TT_SPARK_CREATOR_UGC_ZA</t>
        </is>
      </c>
      <c r="K1359" s="66" t="inlineStr">
        <is>
          <t>Prospecting</t>
        </is>
      </c>
      <c r="L1359" s="66" t="inlineStr">
        <is>
          <t>TT_SPARK_@motorgirlza_Tour_v1</t>
        </is>
      </c>
      <c r="M1359" s="66" t="inlineStr">
        <is>
          <t>Spark Ad</t>
        </is>
      </c>
      <c r="N1359" s="66" t="inlineStr">
        <is>
          <t>Creator handle: @motorgirlza</t>
        </is>
      </c>
      <c r="O1359" s="66" t="inlineStr">
        <is>
          <t>Auction - Lowest Cost</t>
        </is>
      </c>
      <c r="P1359" s="66" t="inlineStr">
        <is>
          <t>Landing Page View</t>
        </is>
      </c>
      <c r="Q1359" s="66" t="inlineStr">
        <is>
          <t>https://www.lepas-sa.co.za/offers</t>
        </is>
      </c>
      <c r="R1359" s="121" t="n">
        <v>155.22</v>
      </c>
      <c r="S1359" s="122" t="n">
        <v>4949</v>
      </c>
      <c r="T1359" s="122" t="n">
        <v>3182</v>
      </c>
      <c r="U1359" s="123">
        <f>IFERROR(S1359/T1359,"")</f>
        <v/>
      </c>
      <c r="V1359" s="122" t="n">
        <v>47</v>
      </c>
      <c r="W1359" s="122" t="n">
        <v>38</v>
      </c>
      <c r="X1359" s="124">
        <f>IFERROR(W1359/S1359,"")</f>
        <v/>
      </c>
      <c r="Y1359" s="121">
        <f>IFERROR(R1359/W1359,"")</f>
        <v/>
      </c>
      <c r="Z1359" s="121">
        <f>IFERROR(R1359/S1359*1000,"")</f>
        <v/>
      </c>
      <c r="AA1359" s="122" t="n">
        <v>25</v>
      </c>
      <c r="AB1359" s="54">
        <f>IFERROR(AA1359/W1359,"")</f>
        <v/>
      </c>
      <c r="AC1359" s="122" t="n">
        <v>1423</v>
      </c>
      <c r="AD1359" s="122" t="n">
        <v>659</v>
      </c>
      <c r="AE1359" s="122" t="n">
        <v>724</v>
      </c>
      <c r="AF1359" s="122" t="n">
        <v>448</v>
      </c>
      <c r="AG1359" s="122" t="n">
        <v>298</v>
      </c>
      <c r="AH1359" s="122" t="n">
        <v>173</v>
      </c>
      <c r="AI1359" s="54">
        <f>IFERROR(AC1359/S1359,"")</f>
        <v/>
      </c>
      <c r="AJ1359" s="54">
        <f>IFERROR(AH1359/S1359,"")</f>
        <v/>
      </c>
      <c r="AK1359" s="122" t="n">
        <v>201</v>
      </c>
      <c r="AL1359" s="122" t="n">
        <v>0</v>
      </c>
      <c r="AM1359" s="124">
        <f>IFERROR(AL1359/AA1359,"")</f>
        <v/>
      </c>
      <c r="AN1359" s="125">
        <f>IFERROR(R1359/AL1359,"")</f>
        <v/>
      </c>
      <c r="AO1359" s="122" t="n">
        <v>0</v>
      </c>
      <c r="AP1359" s="54">
        <f>IFERROR(AO1359/AL1359,"")</f>
        <v/>
      </c>
      <c r="AQ1359" s="125">
        <f>IFERROR(R1359/AO1359,"")</f>
        <v/>
      </c>
      <c r="AR1359" s="122" t="n">
        <v>0</v>
      </c>
      <c r="AS1359" s="122" t="n">
        <v>0</v>
      </c>
      <c r="AT1359" s="122">
        <f>AL1359+AR1359</f>
        <v/>
      </c>
      <c r="AU1359" s="125">
        <f>IFERROR(AO1359*Assumptions!$C$26*Assumptions!$C$27*INDEX(Assumptions!$C$18:$C$21,MATCH(H1359,Assumptions!$B$18:$B$21,0)),0)</f>
        <v/>
      </c>
    </row>
    <row r="1360">
      <c r="A1360" s="120" t="n">
        <v>46241</v>
      </c>
      <c r="B1360" s="66" t="inlineStr">
        <is>
          <t>Wk 32</t>
        </is>
      </c>
      <c r="C1360" s="66" t="inlineStr">
        <is>
          <t>Fri</t>
        </is>
      </c>
      <c r="D1360" s="66" t="inlineStr">
        <is>
          <t>TikTok</t>
        </is>
      </c>
      <c r="E1360" s="66" t="inlineStr">
        <is>
          <t>TikTok</t>
        </is>
      </c>
      <c r="F1360" s="66" t="inlineStr">
        <is>
          <t>LEP_ZA_AUG26_TT_SPARK_RANGE_TRAFFIC</t>
        </is>
      </c>
      <c r="G1360" s="66" t="inlineStr">
        <is>
          <t>Traffic - Spark Ads</t>
        </is>
      </c>
      <c r="H1360" s="66" t="inlineStr">
        <is>
          <t>Range</t>
        </is>
      </c>
      <c r="I1360" s="66" t="inlineStr">
        <is>
          <t>Range Offer</t>
        </is>
      </c>
      <c r="J1360" s="66" t="inlineStr">
        <is>
          <t>TT_SPARK_CREATOR_UGC_ZA</t>
        </is>
      </c>
      <c r="K1360" s="66" t="inlineStr">
        <is>
          <t>Prospecting</t>
        </is>
      </c>
      <c r="L1360" s="66" t="inlineStr">
        <is>
          <t>TT_SPARK_@motorgirlza_Tour_v1</t>
        </is>
      </c>
      <c r="M1360" s="66" t="inlineStr">
        <is>
          <t>Spark Ad</t>
        </is>
      </c>
      <c r="N1360" s="66" t="inlineStr">
        <is>
          <t>Creator handle: @motorgirlza</t>
        </is>
      </c>
      <c r="O1360" s="66" t="inlineStr">
        <is>
          <t>Auction - Lowest Cost</t>
        </is>
      </c>
      <c r="P1360" s="66" t="inlineStr">
        <is>
          <t>Landing Page View</t>
        </is>
      </c>
      <c r="Q1360" s="66" t="inlineStr">
        <is>
          <t>https://www.lepas-sa.co.za/offers</t>
        </is>
      </c>
      <c r="R1360" s="121" t="n">
        <v>163.26</v>
      </c>
      <c r="S1360" s="122" t="n">
        <v>3604</v>
      </c>
      <c r="T1360" s="122" t="n">
        <v>2335</v>
      </c>
      <c r="U1360" s="123">
        <f>IFERROR(S1360/T1360,"")</f>
        <v/>
      </c>
      <c r="V1360" s="122" t="n">
        <v>38</v>
      </c>
      <c r="W1360" s="122" t="n">
        <v>30</v>
      </c>
      <c r="X1360" s="124">
        <f>IFERROR(W1360/S1360,"")</f>
        <v/>
      </c>
      <c r="Y1360" s="121">
        <f>IFERROR(R1360/W1360,"")</f>
        <v/>
      </c>
      <c r="Z1360" s="121">
        <f>IFERROR(R1360/S1360*1000,"")</f>
        <v/>
      </c>
      <c r="AA1360" s="122" t="n">
        <v>22</v>
      </c>
      <c r="AB1360" s="54">
        <f>IFERROR(AA1360/W1360,"")</f>
        <v/>
      </c>
      <c r="AC1360" s="122" t="n">
        <v>1054</v>
      </c>
      <c r="AD1360" s="122" t="n">
        <v>561</v>
      </c>
      <c r="AE1360" s="122" t="n">
        <v>404</v>
      </c>
      <c r="AF1360" s="122" t="n">
        <v>232</v>
      </c>
      <c r="AG1360" s="122" t="n">
        <v>182</v>
      </c>
      <c r="AH1360" s="122" t="n">
        <v>126</v>
      </c>
      <c r="AI1360" s="54">
        <f>IFERROR(AC1360/S1360,"")</f>
        <v/>
      </c>
      <c r="AJ1360" s="54">
        <f>IFERROR(AH1360/S1360,"")</f>
        <v/>
      </c>
      <c r="AK1360" s="122" t="n">
        <v>157</v>
      </c>
      <c r="AL1360" s="122" t="n">
        <v>0</v>
      </c>
      <c r="AM1360" s="124">
        <f>IFERROR(AL1360/AA1360,"")</f>
        <v/>
      </c>
      <c r="AN1360" s="125">
        <f>IFERROR(R1360/AL1360,"")</f>
        <v/>
      </c>
      <c r="AO1360" s="122" t="n">
        <v>0</v>
      </c>
      <c r="AP1360" s="54">
        <f>IFERROR(AO1360/AL1360,"")</f>
        <v/>
      </c>
      <c r="AQ1360" s="125">
        <f>IFERROR(R1360/AO1360,"")</f>
        <v/>
      </c>
      <c r="AR1360" s="122" t="n">
        <v>0</v>
      </c>
      <c r="AS1360" s="122" t="n">
        <v>0</v>
      </c>
      <c r="AT1360" s="122">
        <f>AL1360+AR1360</f>
        <v/>
      </c>
      <c r="AU1360" s="125">
        <f>IFERROR(AO1360*Assumptions!$C$26*Assumptions!$C$27*INDEX(Assumptions!$C$18:$C$21,MATCH(H1360,Assumptions!$B$18:$B$21,0)),0)</f>
        <v/>
      </c>
    </row>
    <row r="1361">
      <c r="A1361" s="120" t="n">
        <v>46242</v>
      </c>
      <c r="B1361" s="66" t="inlineStr">
        <is>
          <t>Wk 32</t>
        </is>
      </c>
      <c r="C1361" s="66" t="inlineStr">
        <is>
          <t>Sat</t>
        </is>
      </c>
      <c r="D1361" s="66" t="inlineStr">
        <is>
          <t>TikTok</t>
        </is>
      </c>
      <c r="E1361" s="66" t="inlineStr">
        <is>
          <t>TikTok</t>
        </is>
      </c>
      <c r="F1361" s="66" t="inlineStr">
        <is>
          <t>LEP_ZA_AUG26_TT_SPARK_RANGE_TRAFFIC</t>
        </is>
      </c>
      <c r="G1361" s="66" t="inlineStr">
        <is>
          <t>Traffic - Spark Ads</t>
        </is>
      </c>
      <c r="H1361" s="66" t="inlineStr">
        <is>
          <t>Range</t>
        </is>
      </c>
      <c r="I1361" s="66" t="inlineStr">
        <is>
          <t>Range Offer</t>
        </is>
      </c>
      <c r="J1361" s="66" t="inlineStr">
        <is>
          <t>TT_SPARK_CREATOR_UGC_ZA</t>
        </is>
      </c>
      <c r="K1361" s="66" t="inlineStr">
        <is>
          <t>Prospecting</t>
        </is>
      </c>
      <c r="L1361" s="66" t="inlineStr">
        <is>
          <t>TT_SPARK_@motorgirlza_Tour_v1</t>
        </is>
      </c>
      <c r="M1361" s="66" t="inlineStr">
        <is>
          <t>Spark Ad</t>
        </is>
      </c>
      <c r="N1361" s="66" t="inlineStr">
        <is>
          <t>Creator handle: @motorgirlza</t>
        </is>
      </c>
      <c r="O1361" s="66" t="inlineStr">
        <is>
          <t>Auction - Lowest Cost</t>
        </is>
      </c>
      <c r="P1361" s="66" t="inlineStr">
        <is>
          <t>Landing Page View</t>
        </is>
      </c>
      <c r="Q1361" s="66" t="inlineStr">
        <is>
          <t>https://www.lepas-sa.co.za/offers</t>
        </is>
      </c>
      <c r="R1361" s="121" t="n">
        <v>147.45</v>
      </c>
      <c r="S1361" s="122" t="n">
        <v>5521</v>
      </c>
      <c r="T1361" s="122" t="n">
        <v>3127</v>
      </c>
      <c r="U1361" s="123">
        <f>IFERROR(S1361/T1361,"")</f>
        <v/>
      </c>
      <c r="V1361" s="122" t="n">
        <v>47</v>
      </c>
      <c r="W1361" s="122" t="n">
        <v>39</v>
      </c>
      <c r="X1361" s="124">
        <f>IFERROR(W1361/S1361,"")</f>
        <v/>
      </c>
      <c r="Y1361" s="121">
        <f>IFERROR(R1361/W1361,"")</f>
        <v/>
      </c>
      <c r="Z1361" s="121">
        <f>IFERROR(R1361/S1361*1000,"")</f>
        <v/>
      </c>
      <c r="AA1361" s="122" t="n">
        <v>28</v>
      </c>
      <c r="AB1361" s="54">
        <f>IFERROR(AA1361/W1361,"")</f>
        <v/>
      </c>
      <c r="AC1361" s="122" t="n">
        <v>1444</v>
      </c>
      <c r="AD1361" s="122" t="n">
        <v>724</v>
      </c>
      <c r="AE1361" s="122" t="n">
        <v>786</v>
      </c>
      <c r="AF1361" s="122" t="n">
        <v>409</v>
      </c>
      <c r="AG1361" s="122" t="n">
        <v>320</v>
      </c>
      <c r="AH1361" s="122" t="n">
        <v>211</v>
      </c>
      <c r="AI1361" s="54">
        <f>IFERROR(AC1361/S1361,"")</f>
        <v/>
      </c>
      <c r="AJ1361" s="54">
        <f>IFERROR(AH1361/S1361,"")</f>
        <v/>
      </c>
      <c r="AK1361" s="122" t="n">
        <v>277</v>
      </c>
      <c r="AL1361" s="122" t="n">
        <v>1</v>
      </c>
      <c r="AM1361" s="124">
        <f>IFERROR(AL1361/AA1361,"")</f>
        <v/>
      </c>
      <c r="AN1361" s="125">
        <f>IFERROR(R1361/AL1361,"")</f>
        <v/>
      </c>
      <c r="AO1361" s="122" t="n">
        <v>1</v>
      </c>
      <c r="AP1361" s="54">
        <f>IFERROR(AO1361/AL1361,"")</f>
        <v/>
      </c>
      <c r="AQ1361" s="125">
        <f>IFERROR(R1361/AO1361,"")</f>
        <v/>
      </c>
      <c r="AR1361" s="122" t="n">
        <v>1</v>
      </c>
      <c r="AS1361" s="122" t="n">
        <v>1</v>
      </c>
      <c r="AT1361" s="122">
        <f>AL1361+AR1361</f>
        <v/>
      </c>
      <c r="AU1361" s="125">
        <f>IFERROR(AO1361*Assumptions!$C$26*Assumptions!$C$27*INDEX(Assumptions!$C$18:$C$21,MATCH(H1361,Assumptions!$B$18:$B$21,0)),0)</f>
        <v/>
      </c>
    </row>
    <row r="1362">
      <c r="A1362" s="120" t="n">
        <v>46243</v>
      </c>
      <c r="B1362" s="66" t="inlineStr">
        <is>
          <t>Wk 32</t>
        </is>
      </c>
      <c r="C1362" s="66" t="inlineStr">
        <is>
          <t>Sun</t>
        </is>
      </c>
      <c r="D1362" s="66" t="inlineStr">
        <is>
          <t>TikTok</t>
        </is>
      </c>
      <c r="E1362" s="66" t="inlineStr">
        <is>
          <t>TikTok</t>
        </is>
      </c>
      <c r="F1362" s="66" t="inlineStr">
        <is>
          <t>LEP_ZA_AUG26_TT_SPARK_RANGE_TRAFFIC</t>
        </is>
      </c>
      <c r="G1362" s="66" t="inlineStr">
        <is>
          <t>Traffic - Spark Ads</t>
        </is>
      </c>
      <c r="H1362" s="66" t="inlineStr">
        <is>
          <t>Range</t>
        </is>
      </c>
      <c r="I1362" s="66" t="inlineStr">
        <is>
          <t>Range Offer</t>
        </is>
      </c>
      <c r="J1362" s="66" t="inlineStr">
        <is>
          <t>TT_SPARK_CREATOR_UGC_ZA</t>
        </is>
      </c>
      <c r="K1362" s="66" t="inlineStr">
        <is>
          <t>Prospecting</t>
        </is>
      </c>
      <c r="L1362" s="66" t="inlineStr">
        <is>
          <t>TT_SPARK_@motorgirlza_Tour_v1</t>
        </is>
      </c>
      <c r="M1362" s="66" t="inlineStr">
        <is>
          <t>Spark Ad</t>
        </is>
      </c>
      <c r="N1362" s="66" t="inlineStr">
        <is>
          <t>Creator handle: @motorgirlza</t>
        </is>
      </c>
      <c r="O1362" s="66" t="inlineStr">
        <is>
          <t>Auction - Lowest Cost</t>
        </is>
      </c>
      <c r="P1362" s="66" t="inlineStr">
        <is>
          <t>Landing Page View</t>
        </is>
      </c>
      <c r="Q1362" s="66" t="inlineStr">
        <is>
          <t>https://www.lepas-sa.co.za/offers</t>
        </is>
      </c>
      <c r="R1362" s="121" t="n">
        <v>102.18</v>
      </c>
      <c r="S1362" s="122" t="n">
        <v>2934</v>
      </c>
      <c r="T1362" s="122" t="n">
        <v>1597</v>
      </c>
      <c r="U1362" s="123">
        <f>IFERROR(S1362/T1362,"")</f>
        <v/>
      </c>
      <c r="V1362" s="122" t="n">
        <v>34</v>
      </c>
      <c r="W1362" s="122" t="n">
        <v>29</v>
      </c>
      <c r="X1362" s="124">
        <f>IFERROR(W1362/S1362,"")</f>
        <v/>
      </c>
      <c r="Y1362" s="121">
        <f>IFERROR(R1362/W1362,"")</f>
        <v/>
      </c>
      <c r="Z1362" s="121">
        <f>IFERROR(R1362/S1362*1000,"")</f>
        <v/>
      </c>
      <c r="AA1362" s="122" t="n">
        <v>22</v>
      </c>
      <c r="AB1362" s="54">
        <f>IFERROR(AA1362/W1362,"")</f>
        <v/>
      </c>
      <c r="AC1362" s="122" t="n">
        <v>834</v>
      </c>
      <c r="AD1362" s="122" t="n">
        <v>520</v>
      </c>
      <c r="AE1362" s="122" t="n">
        <v>320</v>
      </c>
      <c r="AF1362" s="122" t="n">
        <v>195</v>
      </c>
      <c r="AG1362" s="122" t="n">
        <v>144</v>
      </c>
      <c r="AH1362" s="122" t="n">
        <v>92</v>
      </c>
      <c r="AI1362" s="54">
        <f>IFERROR(AC1362/S1362,"")</f>
        <v/>
      </c>
      <c r="AJ1362" s="54">
        <f>IFERROR(AH1362/S1362,"")</f>
        <v/>
      </c>
      <c r="AK1362" s="122" t="n">
        <v>170</v>
      </c>
      <c r="AL1362" s="122" t="n">
        <v>0</v>
      </c>
      <c r="AM1362" s="124">
        <f>IFERROR(AL1362/AA1362,"")</f>
        <v/>
      </c>
      <c r="AN1362" s="125">
        <f>IFERROR(R1362/AL1362,"")</f>
        <v/>
      </c>
      <c r="AO1362" s="122" t="n">
        <v>0</v>
      </c>
      <c r="AP1362" s="54">
        <f>IFERROR(AO1362/AL1362,"")</f>
        <v/>
      </c>
      <c r="AQ1362" s="125">
        <f>IFERROR(R1362/AO1362,"")</f>
        <v/>
      </c>
      <c r="AR1362" s="122" t="n">
        <v>0</v>
      </c>
      <c r="AS1362" s="122" t="n">
        <v>0</v>
      </c>
      <c r="AT1362" s="122">
        <f>AL1362+AR1362</f>
        <v/>
      </c>
      <c r="AU1362" s="125">
        <f>IFERROR(AO1362*Assumptions!$C$26*Assumptions!$C$27*INDEX(Assumptions!$C$18:$C$21,MATCH(H1362,Assumptions!$B$18:$B$21,0)),0)</f>
        <v/>
      </c>
    </row>
    <row r="1363">
      <c r="A1363" s="120" t="n">
        <v>46244</v>
      </c>
      <c r="B1363" s="66" t="inlineStr">
        <is>
          <t>Wk 33</t>
        </is>
      </c>
      <c r="C1363" s="66" t="inlineStr">
        <is>
          <t>Mon</t>
        </is>
      </c>
      <c r="D1363" s="66" t="inlineStr">
        <is>
          <t>TikTok</t>
        </is>
      </c>
      <c r="E1363" s="66" t="inlineStr">
        <is>
          <t>TikTok</t>
        </is>
      </c>
      <c r="F1363" s="66" t="inlineStr">
        <is>
          <t>LEP_ZA_AUG26_TT_SPARK_RANGE_TRAFFIC</t>
        </is>
      </c>
      <c r="G1363" s="66" t="inlineStr">
        <is>
          <t>Traffic - Spark Ads</t>
        </is>
      </c>
      <c r="H1363" s="66" t="inlineStr">
        <is>
          <t>Range</t>
        </is>
      </c>
      <c r="I1363" s="66" t="inlineStr">
        <is>
          <t>Range Offer</t>
        </is>
      </c>
      <c r="J1363" s="66" t="inlineStr">
        <is>
          <t>TT_SPARK_CREATOR_UGC_ZA</t>
        </is>
      </c>
      <c r="K1363" s="66" t="inlineStr">
        <is>
          <t>Prospecting</t>
        </is>
      </c>
      <c r="L1363" s="66" t="inlineStr">
        <is>
          <t>TT_SPARK_@motorgirlza_Tour_v1</t>
        </is>
      </c>
      <c r="M1363" s="66" t="inlineStr">
        <is>
          <t>Spark Ad</t>
        </is>
      </c>
      <c r="N1363" s="66" t="inlineStr">
        <is>
          <t>Creator handle: @motorgirlza</t>
        </is>
      </c>
      <c r="O1363" s="66" t="inlineStr">
        <is>
          <t>Auction - Lowest Cost</t>
        </is>
      </c>
      <c r="P1363" s="66" t="inlineStr">
        <is>
          <t>Landing Page View</t>
        </is>
      </c>
      <c r="Q1363" s="66" t="inlineStr">
        <is>
          <t>https://www.lepas-sa.co.za/offers</t>
        </is>
      </c>
      <c r="R1363" s="121" t="n">
        <v>154.21</v>
      </c>
      <c r="S1363" s="122" t="n">
        <v>3994</v>
      </c>
      <c r="T1363" s="122" t="n">
        <v>2342</v>
      </c>
      <c r="U1363" s="123">
        <f>IFERROR(S1363/T1363,"")</f>
        <v/>
      </c>
      <c r="V1363" s="122" t="n">
        <v>37</v>
      </c>
      <c r="W1363" s="122" t="n">
        <v>27</v>
      </c>
      <c r="X1363" s="124">
        <f>IFERROR(W1363/S1363,"")</f>
        <v/>
      </c>
      <c r="Y1363" s="121">
        <f>IFERROR(R1363/W1363,"")</f>
        <v/>
      </c>
      <c r="Z1363" s="121">
        <f>IFERROR(R1363/S1363*1000,"")</f>
        <v/>
      </c>
      <c r="AA1363" s="122" t="n">
        <v>16</v>
      </c>
      <c r="AB1363" s="54">
        <f>IFERROR(AA1363/W1363,"")</f>
        <v/>
      </c>
      <c r="AC1363" s="122" t="n">
        <v>1092</v>
      </c>
      <c r="AD1363" s="122" t="n">
        <v>619</v>
      </c>
      <c r="AE1363" s="122" t="n">
        <v>494</v>
      </c>
      <c r="AF1363" s="122" t="n">
        <v>258</v>
      </c>
      <c r="AG1363" s="122" t="n">
        <v>206</v>
      </c>
      <c r="AH1363" s="122" t="n">
        <v>139</v>
      </c>
      <c r="AI1363" s="54">
        <f>IFERROR(AC1363/S1363,"")</f>
        <v/>
      </c>
      <c r="AJ1363" s="54">
        <f>IFERROR(AH1363/S1363,"")</f>
        <v/>
      </c>
      <c r="AK1363" s="122" t="n">
        <v>126</v>
      </c>
      <c r="AL1363" s="122" t="n">
        <v>0</v>
      </c>
      <c r="AM1363" s="124">
        <f>IFERROR(AL1363/AA1363,"")</f>
        <v/>
      </c>
      <c r="AN1363" s="125">
        <f>IFERROR(R1363/AL1363,"")</f>
        <v/>
      </c>
      <c r="AO1363" s="122" t="n">
        <v>0</v>
      </c>
      <c r="AP1363" s="54">
        <f>IFERROR(AO1363/AL1363,"")</f>
        <v/>
      </c>
      <c r="AQ1363" s="125">
        <f>IFERROR(R1363/AO1363,"")</f>
        <v/>
      </c>
      <c r="AR1363" s="122" t="n">
        <v>0</v>
      </c>
      <c r="AS1363" s="122" t="n">
        <v>0</v>
      </c>
      <c r="AT1363" s="122">
        <f>AL1363+AR1363</f>
        <v/>
      </c>
      <c r="AU1363" s="125">
        <f>IFERROR(AO1363*Assumptions!$C$26*Assumptions!$C$27*INDEX(Assumptions!$C$18:$C$21,MATCH(H1363,Assumptions!$B$18:$B$21,0)),0)</f>
        <v/>
      </c>
    </row>
    <row r="1364">
      <c r="A1364" s="120" t="n">
        <v>46245</v>
      </c>
      <c r="B1364" s="66" t="inlineStr">
        <is>
          <t>Wk 33</t>
        </is>
      </c>
      <c r="C1364" s="66" t="inlineStr">
        <is>
          <t>Tue</t>
        </is>
      </c>
      <c r="D1364" s="66" t="inlineStr">
        <is>
          <t>TikTok</t>
        </is>
      </c>
      <c r="E1364" s="66" t="inlineStr">
        <is>
          <t>TikTok</t>
        </is>
      </c>
      <c r="F1364" s="66" t="inlineStr">
        <is>
          <t>LEP_ZA_AUG26_TT_SPARK_RANGE_TRAFFIC</t>
        </is>
      </c>
      <c r="G1364" s="66" t="inlineStr">
        <is>
          <t>Traffic - Spark Ads</t>
        </is>
      </c>
      <c r="H1364" s="66" t="inlineStr">
        <is>
          <t>Range</t>
        </is>
      </c>
      <c r="I1364" s="66" t="inlineStr">
        <is>
          <t>Range Offer</t>
        </is>
      </c>
      <c r="J1364" s="66" t="inlineStr">
        <is>
          <t>TT_SPARK_CREATOR_UGC_ZA</t>
        </is>
      </c>
      <c r="K1364" s="66" t="inlineStr">
        <is>
          <t>Prospecting</t>
        </is>
      </c>
      <c r="L1364" s="66" t="inlineStr">
        <is>
          <t>TT_SPARK_@motorgirlza_Tour_v1</t>
        </is>
      </c>
      <c r="M1364" s="66" t="inlineStr">
        <is>
          <t>Spark Ad</t>
        </is>
      </c>
      <c r="N1364" s="66" t="inlineStr">
        <is>
          <t>Creator handle: @motorgirlza</t>
        </is>
      </c>
      <c r="O1364" s="66" t="inlineStr">
        <is>
          <t>Auction - Lowest Cost</t>
        </is>
      </c>
      <c r="P1364" s="66" t="inlineStr">
        <is>
          <t>Landing Page View</t>
        </is>
      </c>
      <c r="Q1364" s="66" t="inlineStr">
        <is>
          <t>https://www.lepas-sa.co.za/offers</t>
        </is>
      </c>
      <c r="R1364" s="121" t="n">
        <v>124.02</v>
      </c>
      <c r="S1364" s="122" t="n">
        <v>4620</v>
      </c>
      <c r="T1364" s="122" t="n">
        <v>2980</v>
      </c>
      <c r="U1364" s="123">
        <f>IFERROR(S1364/T1364,"")</f>
        <v/>
      </c>
      <c r="V1364" s="122" t="n">
        <v>33</v>
      </c>
      <c r="W1364" s="122" t="n">
        <v>24</v>
      </c>
      <c r="X1364" s="124">
        <f>IFERROR(W1364/S1364,"")</f>
        <v/>
      </c>
      <c r="Y1364" s="121">
        <f>IFERROR(R1364/W1364,"")</f>
        <v/>
      </c>
      <c r="Z1364" s="121">
        <f>IFERROR(R1364/S1364*1000,"")</f>
        <v/>
      </c>
      <c r="AA1364" s="122" t="n">
        <v>16</v>
      </c>
      <c r="AB1364" s="54">
        <f>IFERROR(AA1364/W1364,"")</f>
        <v/>
      </c>
      <c r="AC1364" s="122" t="n">
        <v>1228</v>
      </c>
      <c r="AD1364" s="122" t="n">
        <v>736</v>
      </c>
      <c r="AE1364" s="122" t="n">
        <v>625</v>
      </c>
      <c r="AF1364" s="122" t="n">
        <v>328</v>
      </c>
      <c r="AG1364" s="122" t="n">
        <v>228</v>
      </c>
      <c r="AH1364" s="122" t="n">
        <v>163</v>
      </c>
      <c r="AI1364" s="54">
        <f>IFERROR(AC1364/S1364,"")</f>
        <v/>
      </c>
      <c r="AJ1364" s="54">
        <f>IFERROR(AH1364/S1364,"")</f>
        <v/>
      </c>
      <c r="AK1364" s="122" t="n">
        <v>171</v>
      </c>
      <c r="AL1364" s="122" t="n">
        <v>0</v>
      </c>
      <c r="AM1364" s="124">
        <f>IFERROR(AL1364/AA1364,"")</f>
        <v/>
      </c>
      <c r="AN1364" s="125">
        <f>IFERROR(R1364/AL1364,"")</f>
        <v/>
      </c>
      <c r="AO1364" s="122" t="n">
        <v>0</v>
      </c>
      <c r="AP1364" s="54">
        <f>IFERROR(AO1364/AL1364,"")</f>
        <v/>
      </c>
      <c r="AQ1364" s="125">
        <f>IFERROR(R1364/AO1364,"")</f>
        <v/>
      </c>
      <c r="AR1364" s="122" t="n">
        <v>0</v>
      </c>
      <c r="AS1364" s="122" t="n">
        <v>0</v>
      </c>
      <c r="AT1364" s="122">
        <f>AL1364+AR1364</f>
        <v/>
      </c>
      <c r="AU1364" s="125">
        <f>IFERROR(AO1364*Assumptions!$C$26*Assumptions!$C$27*INDEX(Assumptions!$C$18:$C$21,MATCH(H1364,Assumptions!$B$18:$B$21,0)),0)</f>
        <v/>
      </c>
    </row>
    <row r="1365">
      <c r="A1365" s="120" t="n">
        <v>46246</v>
      </c>
      <c r="B1365" s="66" t="inlineStr">
        <is>
          <t>Wk 33</t>
        </is>
      </c>
      <c r="C1365" s="66" t="inlineStr">
        <is>
          <t>Wed</t>
        </is>
      </c>
      <c r="D1365" s="66" t="inlineStr">
        <is>
          <t>TikTok</t>
        </is>
      </c>
      <c r="E1365" s="66" t="inlineStr">
        <is>
          <t>TikTok</t>
        </is>
      </c>
      <c r="F1365" s="66" t="inlineStr">
        <is>
          <t>LEP_ZA_AUG26_TT_SPARK_RANGE_TRAFFIC</t>
        </is>
      </c>
      <c r="G1365" s="66" t="inlineStr">
        <is>
          <t>Traffic - Spark Ads</t>
        </is>
      </c>
      <c r="H1365" s="66" t="inlineStr">
        <is>
          <t>Range</t>
        </is>
      </c>
      <c r="I1365" s="66" t="inlineStr">
        <is>
          <t>Range Offer</t>
        </is>
      </c>
      <c r="J1365" s="66" t="inlineStr">
        <is>
          <t>TT_SPARK_CREATOR_UGC_ZA</t>
        </is>
      </c>
      <c r="K1365" s="66" t="inlineStr">
        <is>
          <t>Prospecting</t>
        </is>
      </c>
      <c r="L1365" s="66" t="inlineStr">
        <is>
          <t>TT_SPARK_@motorgirlza_Tour_v1</t>
        </is>
      </c>
      <c r="M1365" s="66" t="inlineStr">
        <is>
          <t>Spark Ad</t>
        </is>
      </c>
      <c r="N1365" s="66" t="inlineStr">
        <is>
          <t>Creator handle: @motorgirlza</t>
        </is>
      </c>
      <c r="O1365" s="66" t="inlineStr">
        <is>
          <t>Auction - Lowest Cost</t>
        </is>
      </c>
      <c r="P1365" s="66" t="inlineStr">
        <is>
          <t>Landing Page View</t>
        </is>
      </c>
      <c r="Q1365" s="66" t="inlineStr">
        <is>
          <t>https://www.lepas-sa.co.za/offers</t>
        </is>
      </c>
      <c r="R1365" s="121" t="n">
        <v>131.64</v>
      </c>
      <c r="S1365" s="122" t="n">
        <v>3286</v>
      </c>
      <c r="T1365" s="122" t="n">
        <v>2038</v>
      </c>
      <c r="U1365" s="123">
        <f>IFERROR(S1365/T1365,"")</f>
        <v/>
      </c>
      <c r="V1365" s="122" t="n">
        <v>26</v>
      </c>
      <c r="W1365" s="122" t="n">
        <v>20</v>
      </c>
      <c r="X1365" s="124">
        <f>IFERROR(W1365/S1365,"")</f>
        <v/>
      </c>
      <c r="Y1365" s="121">
        <f>IFERROR(R1365/W1365,"")</f>
        <v/>
      </c>
      <c r="Z1365" s="121">
        <f>IFERROR(R1365/S1365*1000,"")</f>
        <v/>
      </c>
      <c r="AA1365" s="122" t="n">
        <v>12</v>
      </c>
      <c r="AB1365" s="54">
        <f>IFERROR(AA1365/W1365,"")</f>
        <v/>
      </c>
      <c r="AC1365" s="122" t="n">
        <v>1088</v>
      </c>
      <c r="AD1365" s="122" t="n">
        <v>551</v>
      </c>
      <c r="AE1365" s="122" t="n">
        <v>502</v>
      </c>
      <c r="AF1365" s="122" t="n">
        <v>298</v>
      </c>
      <c r="AG1365" s="122" t="n">
        <v>221</v>
      </c>
      <c r="AH1365" s="122" t="n">
        <v>142</v>
      </c>
      <c r="AI1365" s="54">
        <f>IFERROR(AC1365/S1365,"")</f>
        <v/>
      </c>
      <c r="AJ1365" s="54">
        <f>IFERROR(AH1365/S1365,"")</f>
        <v/>
      </c>
      <c r="AK1365" s="122" t="n">
        <v>99</v>
      </c>
      <c r="AL1365" s="122" t="n">
        <v>1</v>
      </c>
      <c r="AM1365" s="124">
        <f>IFERROR(AL1365/AA1365,"")</f>
        <v/>
      </c>
      <c r="AN1365" s="125">
        <f>IFERROR(R1365/AL1365,"")</f>
        <v/>
      </c>
      <c r="AO1365" s="122" t="n">
        <v>1</v>
      </c>
      <c r="AP1365" s="54">
        <f>IFERROR(AO1365/AL1365,"")</f>
        <v/>
      </c>
      <c r="AQ1365" s="125">
        <f>IFERROR(R1365/AO1365,"")</f>
        <v/>
      </c>
      <c r="AR1365" s="122" t="n">
        <v>1</v>
      </c>
      <c r="AS1365" s="122" t="n">
        <v>0</v>
      </c>
      <c r="AT1365" s="122">
        <f>AL1365+AR1365</f>
        <v/>
      </c>
      <c r="AU1365" s="125">
        <f>IFERROR(AO1365*Assumptions!$C$26*Assumptions!$C$27*INDEX(Assumptions!$C$18:$C$21,MATCH(H1365,Assumptions!$B$18:$B$21,0)),0)</f>
        <v/>
      </c>
    </row>
    <row r="1366">
      <c r="A1366" s="120" t="n">
        <v>46247</v>
      </c>
      <c r="B1366" s="66" t="inlineStr">
        <is>
          <t>Wk 33</t>
        </is>
      </c>
      <c r="C1366" s="66" t="inlineStr">
        <is>
          <t>Thu</t>
        </is>
      </c>
      <c r="D1366" s="66" t="inlineStr">
        <is>
          <t>TikTok</t>
        </is>
      </c>
      <c r="E1366" s="66" t="inlineStr">
        <is>
          <t>TikTok</t>
        </is>
      </c>
      <c r="F1366" s="66" t="inlineStr">
        <is>
          <t>LEP_ZA_AUG26_TT_SPARK_RANGE_TRAFFIC</t>
        </is>
      </c>
      <c r="G1366" s="66" t="inlineStr">
        <is>
          <t>Traffic - Spark Ads</t>
        </is>
      </c>
      <c r="H1366" s="66" t="inlineStr">
        <is>
          <t>Range</t>
        </is>
      </c>
      <c r="I1366" s="66" t="inlineStr">
        <is>
          <t>Range Offer</t>
        </is>
      </c>
      <c r="J1366" s="66" t="inlineStr">
        <is>
          <t>TT_SPARK_CREATOR_UGC_ZA</t>
        </is>
      </c>
      <c r="K1366" s="66" t="inlineStr">
        <is>
          <t>Prospecting</t>
        </is>
      </c>
      <c r="L1366" s="66" t="inlineStr">
        <is>
          <t>TT_SPARK_@motorgirlza_Tour_v1</t>
        </is>
      </c>
      <c r="M1366" s="66" t="inlineStr">
        <is>
          <t>Spark Ad</t>
        </is>
      </c>
      <c r="N1366" s="66" t="inlineStr">
        <is>
          <t>Creator handle: @motorgirlza</t>
        </is>
      </c>
      <c r="O1366" s="66" t="inlineStr">
        <is>
          <t>Auction - Lowest Cost</t>
        </is>
      </c>
      <c r="P1366" s="66" t="inlineStr">
        <is>
          <t>Landing Page View</t>
        </is>
      </c>
      <c r="Q1366" s="66" t="inlineStr">
        <is>
          <t>https://www.lepas-sa.co.za/offers</t>
        </is>
      </c>
      <c r="R1366" s="121" t="n">
        <v>153.33</v>
      </c>
      <c r="S1366" s="122" t="n">
        <v>5141</v>
      </c>
      <c r="T1366" s="122" t="n">
        <v>3105</v>
      </c>
      <c r="U1366" s="123">
        <f>IFERROR(S1366/T1366,"")</f>
        <v/>
      </c>
      <c r="V1366" s="122" t="n">
        <v>50</v>
      </c>
      <c r="W1366" s="122" t="n">
        <v>39</v>
      </c>
      <c r="X1366" s="124">
        <f>IFERROR(W1366/S1366,"")</f>
        <v/>
      </c>
      <c r="Y1366" s="121">
        <f>IFERROR(R1366/W1366,"")</f>
        <v/>
      </c>
      <c r="Z1366" s="121">
        <f>IFERROR(R1366/S1366*1000,"")</f>
        <v/>
      </c>
      <c r="AA1366" s="122" t="n">
        <v>27</v>
      </c>
      <c r="AB1366" s="54">
        <f>IFERROR(AA1366/W1366,"")</f>
        <v/>
      </c>
      <c r="AC1366" s="122" t="n">
        <v>1388</v>
      </c>
      <c r="AD1366" s="122" t="n">
        <v>851</v>
      </c>
      <c r="AE1366" s="122" t="n">
        <v>545</v>
      </c>
      <c r="AF1366" s="122" t="n">
        <v>306</v>
      </c>
      <c r="AG1366" s="122" t="n">
        <v>222</v>
      </c>
      <c r="AH1366" s="122" t="n">
        <v>140</v>
      </c>
      <c r="AI1366" s="54">
        <f>IFERROR(AC1366/S1366,"")</f>
        <v/>
      </c>
      <c r="AJ1366" s="54">
        <f>IFERROR(AH1366/S1366,"")</f>
        <v/>
      </c>
      <c r="AK1366" s="122" t="n">
        <v>271</v>
      </c>
      <c r="AL1366" s="122" t="n">
        <v>0</v>
      </c>
      <c r="AM1366" s="124">
        <f>IFERROR(AL1366/AA1366,"")</f>
        <v/>
      </c>
      <c r="AN1366" s="125">
        <f>IFERROR(R1366/AL1366,"")</f>
        <v/>
      </c>
      <c r="AO1366" s="122" t="n">
        <v>0</v>
      </c>
      <c r="AP1366" s="54">
        <f>IFERROR(AO1366/AL1366,"")</f>
        <v/>
      </c>
      <c r="AQ1366" s="125">
        <f>IFERROR(R1366/AO1366,"")</f>
        <v/>
      </c>
      <c r="AR1366" s="122" t="n">
        <v>0</v>
      </c>
      <c r="AS1366" s="122" t="n">
        <v>0</v>
      </c>
      <c r="AT1366" s="122">
        <f>AL1366+AR1366</f>
        <v/>
      </c>
      <c r="AU1366" s="125">
        <f>IFERROR(AO1366*Assumptions!$C$26*Assumptions!$C$27*INDEX(Assumptions!$C$18:$C$21,MATCH(H1366,Assumptions!$B$18:$B$21,0)),0)</f>
        <v/>
      </c>
    </row>
    <row r="1367">
      <c r="A1367" s="120" t="n">
        <v>46248</v>
      </c>
      <c r="B1367" s="66" t="inlineStr">
        <is>
          <t>Wk 33</t>
        </is>
      </c>
      <c r="C1367" s="66" t="inlineStr">
        <is>
          <t>Fri</t>
        </is>
      </c>
      <c r="D1367" s="66" t="inlineStr">
        <is>
          <t>TikTok</t>
        </is>
      </c>
      <c r="E1367" s="66" t="inlineStr">
        <is>
          <t>TikTok</t>
        </is>
      </c>
      <c r="F1367" s="66" t="inlineStr">
        <is>
          <t>LEP_ZA_AUG26_TT_SPARK_RANGE_TRAFFIC</t>
        </is>
      </c>
      <c r="G1367" s="66" t="inlineStr">
        <is>
          <t>Traffic - Spark Ads</t>
        </is>
      </c>
      <c r="H1367" s="66" t="inlineStr">
        <is>
          <t>Range</t>
        </is>
      </c>
      <c r="I1367" s="66" t="inlineStr">
        <is>
          <t>Range Offer</t>
        </is>
      </c>
      <c r="J1367" s="66" t="inlineStr">
        <is>
          <t>TT_SPARK_CREATOR_UGC_ZA</t>
        </is>
      </c>
      <c r="K1367" s="66" t="inlineStr">
        <is>
          <t>Prospecting</t>
        </is>
      </c>
      <c r="L1367" s="66" t="inlineStr">
        <is>
          <t>TT_SPARK_@motorgirlza_Tour_v1</t>
        </is>
      </c>
      <c r="M1367" s="66" t="inlineStr">
        <is>
          <t>Spark Ad</t>
        </is>
      </c>
      <c r="N1367" s="66" t="inlineStr">
        <is>
          <t>Creator handle: @motorgirlza</t>
        </is>
      </c>
      <c r="O1367" s="66" t="inlineStr">
        <is>
          <t>Auction - Lowest Cost</t>
        </is>
      </c>
      <c r="P1367" s="66" t="inlineStr">
        <is>
          <t>Landing Page View</t>
        </is>
      </c>
      <c r="Q1367" s="66" t="inlineStr">
        <is>
          <t>https://www.lepas-sa.co.za/offers</t>
        </is>
      </c>
      <c r="R1367" s="121" t="n">
        <v>154.86</v>
      </c>
      <c r="S1367" s="122" t="n">
        <v>4545</v>
      </c>
      <c r="T1367" s="122" t="n">
        <v>3267</v>
      </c>
      <c r="U1367" s="123">
        <f>IFERROR(S1367/T1367,"")</f>
        <v/>
      </c>
      <c r="V1367" s="122" t="n">
        <v>52</v>
      </c>
      <c r="W1367" s="122" t="n">
        <v>44</v>
      </c>
      <c r="X1367" s="124">
        <f>IFERROR(W1367/S1367,"")</f>
        <v/>
      </c>
      <c r="Y1367" s="121">
        <f>IFERROR(R1367/W1367,"")</f>
        <v/>
      </c>
      <c r="Z1367" s="121">
        <f>IFERROR(R1367/S1367*1000,"")</f>
        <v/>
      </c>
      <c r="AA1367" s="122" t="n">
        <v>31</v>
      </c>
      <c r="AB1367" s="54">
        <f>IFERROR(AA1367/W1367,"")</f>
        <v/>
      </c>
      <c r="AC1367" s="122" t="n">
        <v>1457</v>
      </c>
      <c r="AD1367" s="122" t="n">
        <v>909</v>
      </c>
      <c r="AE1367" s="122" t="n">
        <v>790</v>
      </c>
      <c r="AF1367" s="122" t="n">
        <v>546</v>
      </c>
      <c r="AG1367" s="122" t="n">
        <v>366</v>
      </c>
      <c r="AH1367" s="122" t="n">
        <v>266</v>
      </c>
      <c r="AI1367" s="54">
        <f>IFERROR(AC1367/S1367,"")</f>
        <v/>
      </c>
      <c r="AJ1367" s="54">
        <f>IFERROR(AH1367/S1367,"")</f>
        <v/>
      </c>
      <c r="AK1367" s="122" t="n">
        <v>120</v>
      </c>
      <c r="AL1367" s="122" t="n">
        <v>0</v>
      </c>
      <c r="AM1367" s="124">
        <f>IFERROR(AL1367/AA1367,"")</f>
        <v/>
      </c>
      <c r="AN1367" s="125">
        <f>IFERROR(R1367/AL1367,"")</f>
        <v/>
      </c>
      <c r="AO1367" s="122" t="n">
        <v>0</v>
      </c>
      <c r="AP1367" s="54">
        <f>IFERROR(AO1367/AL1367,"")</f>
        <v/>
      </c>
      <c r="AQ1367" s="125">
        <f>IFERROR(R1367/AO1367,"")</f>
        <v/>
      </c>
      <c r="AR1367" s="122" t="n">
        <v>0</v>
      </c>
      <c r="AS1367" s="122" t="n">
        <v>0</v>
      </c>
      <c r="AT1367" s="122">
        <f>AL1367+AR1367</f>
        <v/>
      </c>
      <c r="AU1367" s="125">
        <f>IFERROR(AO1367*Assumptions!$C$26*Assumptions!$C$27*INDEX(Assumptions!$C$18:$C$21,MATCH(H1367,Assumptions!$B$18:$B$21,0)),0)</f>
        <v/>
      </c>
    </row>
    <row r="1368">
      <c r="A1368" s="120" t="n">
        <v>46249</v>
      </c>
      <c r="B1368" s="66" t="inlineStr">
        <is>
          <t>Wk 33</t>
        </is>
      </c>
      <c r="C1368" s="66" t="inlineStr">
        <is>
          <t>Sat</t>
        </is>
      </c>
      <c r="D1368" s="66" t="inlineStr">
        <is>
          <t>TikTok</t>
        </is>
      </c>
      <c r="E1368" s="66" t="inlineStr">
        <is>
          <t>TikTok</t>
        </is>
      </c>
      <c r="F1368" s="66" t="inlineStr">
        <is>
          <t>LEP_ZA_AUG26_TT_SPARK_RANGE_TRAFFIC</t>
        </is>
      </c>
      <c r="G1368" s="66" t="inlineStr">
        <is>
          <t>Traffic - Spark Ads</t>
        </is>
      </c>
      <c r="H1368" s="66" t="inlineStr">
        <is>
          <t>Range</t>
        </is>
      </c>
      <c r="I1368" s="66" t="inlineStr">
        <is>
          <t>Range Offer</t>
        </is>
      </c>
      <c r="J1368" s="66" t="inlineStr">
        <is>
          <t>TT_SPARK_CREATOR_UGC_ZA</t>
        </is>
      </c>
      <c r="K1368" s="66" t="inlineStr">
        <is>
          <t>Prospecting</t>
        </is>
      </c>
      <c r="L1368" s="66" t="inlineStr">
        <is>
          <t>TT_SPARK_@motorgirlza_Tour_v1</t>
        </is>
      </c>
      <c r="M1368" s="66" t="inlineStr">
        <is>
          <t>Spark Ad</t>
        </is>
      </c>
      <c r="N1368" s="66" t="inlineStr">
        <is>
          <t>Creator handle: @motorgirlza</t>
        </is>
      </c>
      <c r="O1368" s="66" t="inlineStr">
        <is>
          <t>Auction - Lowest Cost</t>
        </is>
      </c>
      <c r="P1368" s="66" t="inlineStr">
        <is>
          <t>Landing Page View</t>
        </is>
      </c>
      <c r="Q1368" s="66" t="inlineStr">
        <is>
          <t>https://www.lepas-sa.co.za/offers</t>
        </is>
      </c>
      <c r="R1368" s="121" t="n">
        <v>126.27</v>
      </c>
      <c r="S1368" s="122" t="n">
        <v>3869</v>
      </c>
      <c r="T1368" s="122" t="n">
        <v>1973</v>
      </c>
      <c r="U1368" s="123">
        <f>IFERROR(S1368/T1368,"")</f>
        <v/>
      </c>
      <c r="V1368" s="122" t="n">
        <v>30</v>
      </c>
      <c r="W1368" s="122" t="n">
        <v>24</v>
      </c>
      <c r="X1368" s="124">
        <f>IFERROR(W1368/S1368,"")</f>
        <v/>
      </c>
      <c r="Y1368" s="121">
        <f>IFERROR(R1368/W1368,"")</f>
        <v/>
      </c>
      <c r="Z1368" s="121">
        <f>IFERROR(R1368/S1368*1000,"")</f>
        <v/>
      </c>
      <c r="AA1368" s="122" t="n">
        <v>15</v>
      </c>
      <c r="AB1368" s="54">
        <f>IFERROR(AA1368/W1368,"")</f>
        <v/>
      </c>
      <c r="AC1368" s="122" t="n">
        <v>902</v>
      </c>
      <c r="AD1368" s="122" t="n">
        <v>512</v>
      </c>
      <c r="AE1368" s="122" t="n">
        <v>355</v>
      </c>
      <c r="AF1368" s="122" t="n">
        <v>252</v>
      </c>
      <c r="AG1368" s="122" t="n">
        <v>169</v>
      </c>
      <c r="AH1368" s="122" t="n">
        <v>124</v>
      </c>
      <c r="AI1368" s="54">
        <f>IFERROR(AC1368/S1368,"")</f>
        <v/>
      </c>
      <c r="AJ1368" s="54">
        <f>IFERROR(AH1368/S1368,"")</f>
        <v/>
      </c>
      <c r="AK1368" s="122" t="n">
        <v>139</v>
      </c>
      <c r="AL1368" s="122" t="n">
        <v>1</v>
      </c>
      <c r="AM1368" s="124">
        <f>IFERROR(AL1368/AA1368,"")</f>
        <v/>
      </c>
      <c r="AN1368" s="125">
        <f>IFERROR(R1368/AL1368,"")</f>
        <v/>
      </c>
      <c r="AO1368" s="122" t="n">
        <v>0</v>
      </c>
      <c r="AP1368" s="54">
        <f>IFERROR(AO1368/AL1368,"")</f>
        <v/>
      </c>
      <c r="AQ1368" s="125">
        <f>IFERROR(R1368/AO1368,"")</f>
        <v/>
      </c>
      <c r="AR1368" s="122" t="n">
        <v>0</v>
      </c>
      <c r="AS1368" s="122" t="n">
        <v>0</v>
      </c>
      <c r="AT1368" s="122">
        <f>AL1368+AR1368</f>
        <v/>
      </c>
      <c r="AU1368" s="125">
        <f>IFERROR(AO1368*Assumptions!$C$26*Assumptions!$C$27*INDEX(Assumptions!$C$18:$C$21,MATCH(H1368,Assumptions!$B$18:$B$21,0)),0)</f>
        <v/>
      </c>
    </row>
    <row r="1369">
      <c r="A1369" s="120" t="n">
        <v>46250</v>
      </c>
      <c r="B1369" s="66" t="inlineStr">
        <is>
          <t>Wk 33</t>
        </is>
      </c>
      <c r="C1369" s="66" t="inlineStr">
        <is>
          <t>Sun</t>
        </is>
      </c>
      <c r="D1369" s="66" t="inlineStr">
        <is>
          <t>TikTok</t>
        </is>
      </c>
      <c r="E1369" s="66" t="inlineStr">
        <is>
          <t>TikTok</t>
        </is>
      </c>
      <c r="F1369" s="66" t="inlineStr">
        <is>
          <t>LEP_ZA_AUG26_TT_SPARK_RANGE_TRAFFIC</t>
        </is>
      </c>
      <c r="G1369" s="66" t="inlineStr">
        <is>
          <t>Traffic - Spark Ads</t>
        </is>
      </c>
      <c r="H1369" s="66" t="inlineStr">
        <is>
          <t>Range</t>
        </is>
      </c>
      <c r="I1369" s="66" t="inlineStr">
        <is>
          <t>Range Offer</t>
        </is>
      </c>
      <c r="J1369" s="66" t="inlineStr">
        <is>
          <t>TT_SPARK_CREATOR_UGC_ZA</t>
        </is>
      </c>
      <c r="K1369" s="66" t="inlineStr">
        <is>
          <t>Prospecting</t>
        </is>
      </c>
      <c r="L1369" s="66" t="inlineStr">
        <is>
          <t>TT_SPARK_@motorgirlza_Tour_v1</t>
        </is>
      </c>
      <c r="M1369" s="66" t="inlineStr">
        <is>
          <t>Spark Ad</t>
        </is>
      </c>
      <c r="N1369" s="66" t="inlineStr">
        <is>
          <t>Creator handle: @motorgirlza</t>
        </is>
      </c>
      <c r="O1369" s="66" t="inlineStr">
        <is>
          <t>Auction - Lowest Cost</t>
        </is>
      </c>
      <c r="P1369" s="66" t="inlineStr">
        <is>
          <t>Landing Page View</t>
        </is>
      </c>
      <c r="Q1369" s="66" t="inlineStr">
        <is>
          <t>https://www.lepas-sa.co.za/offers</t>
        </is>
      </c>
      <c r="R1369" s="121" t="n">
        <v>110.67</v>
      </c>
      <c r="S1369" s="122" t="n">
        <v>3162</v>
      </c>
      <c r="T1369" s="122" t="n">
        <v>1903</v>
      </c>
      <c r="U1369" s="123">
        <f>IFERROR(S1369/T1369,"")</f>
        <v/>
      </c>
      <c r="V1369" s="122" t="n">
        <v>24</v>
      </c>
      <c r="W1369" s="122" t="n">
        <v>20</v>
      </c>
      <c r="X1369" s="124">
        <f>IFERROR(W1369/S1369,"")</f>
        <v/>
      </c>
      <c r="Y1369" s="121">
        <f>IFERROR(R1369/W1369,"")</f>
        <v/>
      </c>
      <c r="Z1369" s="121">
        <f>IFERROR(R1369/S1369*1000,"")</f>
        <v/>
      </c>
      <c r="AA1369" s="122" t="n">
        <v>15</v>
      </c>
      <c r="AB1369" s="54">
        <f>IFERROR(AA1369/W1369,"")</f>
        <v/>
      </c>
      <c r="AC1369" s="122" t="n">
        <v>973</v>
      </c>
      <c r="AD1369" s="122" t="n">
        <v>529</v>
      </c>
      <c r="AE1369" s="122" t="n">
        <v>469</v>
      </c>
      <c r="AF1369" s="122" t="n">
        <v>316</v>
      </c>
      <c r="AG1369" s="122" t="n">
        <v>251</v>
      </c>
      <c r="AH1369" s="122" t="n">
        <v>166</v>
      </c>
      <c r="AI1369" s="54">
        <f>IFERROR(AC1369/S1369,"")</f>
        <v/>
      </c>
      <c r="AJ1369" s="54">
        <f>IFERROR(AH1369/S1369,"")</f>
        <v/>
      </c>
      <c r="AK1369" s="122" t="n">
        <v>107</v>
      </c>
      <c r="AL1369" s="122" t="n">
        <v>1</v>
      </c>
      <c r="AM1369" s="124">
        <f>IFERROR(AL1369/AA1369,"")</f>
        <v/>
      </c>
      <c r="AN1369" s="125">
        <f>IFERROR(R1369/AL1369,"")</f>
        <v/>
      </c>
      <c r="AO1369" s="122" t="n">
        <v>0</v>
      </c>
      <c r="AP1369" s="54">
        <f>IFERROR(AO1369/AL1369,"")</f>
        <v/>
      </c>
      <c r="AQ1369" s="125">
        <f>IFERROR(R1369/AO1369,"")</f>
        <v/>
      </c>
      <c r="AR1369" s="122" t="n">
        <v>1</v>
      </c>
      <c r="AS1369" s="122" t="n">
        <v>1</v>
      </c>
      <c r="AT1369" s="122">
        <f>AL1369+AR1369</f>
        <v/>
      </c>
      <c r="AU1369" s="125">
        <f>IFERROR(AO1369*Assumptions!$C$26*Assumptions!$C$27*INDEX(Assumptions!$C$18:$C$21,MATCH(H1369,Assumptions!$B$18:$B$21,0)),0)</f>
        <v/>
      </c>
    </row>
    <row r="1370">
      <c r="A1370" s="120" t="n">
        <v>46251</v>
      </c>
      <c r="B1370" s="66" t="inlineStr">
        <is>
          <t>Wk 34</t>
        </is>
      </c>
      <c r="C1370" s="66" t="inlineStr">
        <is>
          <t>Mon</t>
        </is>
      </c>
      <c r="D1370" s="66" t="inlineStr">
        <is>
          <t>TikTok</t>
        </is>
      </c>
      <c r="E1370" s="66" t="inlineStr">
        <is>
          <t>TikTok</t>
        </is>
      </c>
      <c r="F1370" s="66" t="inlineStr">
        <is>
          <t>LEP_ZA_AUG26_TT_SPARK_RANGE_TRAFFIC</t>
        </is>
      </c>
      <c r="G1370" s="66" t="inlineStr">
        <is>
          <t>Traffic - Spark Ads</t>
        </is>
      </c>
      <c r="H1370" s="66" t="inlineStr">
        <is>
          <t>Range</t>
        </is>
      </c>
      <c r="I1370" s="66" t="inlineStr">
        <is>
          <t>Range Offer</t>
        </is>
      </c>
      <c r="J1370" s="66" t="inlineStr">
        <is>
          <t>TT_SPARK_CREATOR_UGC_ZA</t>
        </is>
      </c>
      <c r="K1370" s="66" t="inlineStr">
        <is>
          <t>Prospecting</t>
        </is>
      </c>
      <c r="L1370" s="66" t="inlineStr">
        <is>
          <t>TT_SPARK_@motorgirlza_Tour_v1</t>
        </is>
      </c>
      <c r="M1370" s="66" t="inlineStr">
        <is>
          <t>Spark Ad</t>
        </is>
      </c>
      <c r="N1370" s="66" t="inlineStr">
        <is>
          <t>Creator handle: @motorgirlza</t>
        </is>
      </c>
      <c r="O1370" s="66" t="inlineStr">
        <is>
          <t>Auction - Lowest Cost</t>
        </is>
      </c>
      <c r="P1370" s="66" t="inlineStr">
        <is>
          <t>Landing Page View</t>
        </is>
      </c>
      <c r="Q1370" s="66" t="inlineStr">
        <is>
          <t>https://www.lepas-sa.co.za/offers</t>
        </is>
      </c>
      <c r="R1370" s="121" t="n">
        <v>126.56</v>
      </c>
      <c r="S1370" s="122" t="n">
        <v>3332</v>
      </c>
      <c r="T1370" s="122" t="n">
        <v>1929</v>
      </c>
      <c r="U1370" s="123">
        <f>IFERROR(S1370/T1370,"")</f>
        <v/>
      </c>
      <c r="V1370" s="122" t="n">
        <v>42</v>
      </c>
      <c r="W1370" s="122" t="n">
        <v>32</v>
      </c>
      <c r="X1370" s="124">
        <f>IFERROR(W1370/S1370,"")</f>
        <v/>
      </c>
      <c r="Y1370" s="121">
        <f>IFERROR(R1370/W1370,"")</f>
        <v/>
      </c>
      <c r="Z1370" s="121">
        <f>IFERROR(R1370/S1370*1000,"")</f>
        <v/>
      </c>
      <c r="AA1370" s="122" t="n">
        <v>23</v>
      </c>
      <c r="AB1370" s="54">
        <f>IFERROR(AA1370/W1370,"")</f>
        <v/>
      </c>
      <c r="AC1370" s="122" t="n">
        <v>824</v>
      </c>
      <c r="AD1370" s="122" t="n">
        <v>385</v>
      </c>
      <c r="AE1370" s="122" t="n">
        <v>323</v>
      </c>
      <c r="AF1370" s="122" t="n">
        <v>171</v>
      </c>
      <c r="AG1370" s="122" t="n">
        <v>127</v>
      </c>
      <c r="AH1370" s="122" t="n">
        <v>91</v>
      </c>
      <c r="AI1370" s="54">
        <f>IFERROR(AC1370/S1370,"")</f>
        <v/>
      </c>
      <c r="AJ1370" s="54">
        <f>IFERROR(AH1370/S1370,"")</f>
        <v/>
      </c>
      <c r="AK1370" s="122" t="n">
        <v>148</v>
      </c>
      <c r="AL1370" s="122" t="n">
        <v>0</v>
      </c>
      <c r="AM1370" s="124">
        <f>IFERROR(AL1370/AA1370,"")</f>
        <v/>
      </c>
      <c r="AN1370" s="125">
        <f>IFERROR(R1370/AL1370,"")</f>
        <v/>
      </c>
      <c r="AO1370" s="122" t="n">
        <v>0</v>
      </c>
      <c r="AP1370" s="54">
        <f>IFERROR(AO1370/AL1370,"")</f>
        <v/>
      </c>
      <c r="AQ1370" s="125">
        <f>IFERROR(R1370/AO1370,"")</f>
        <v/>
      </c>
      <c r="AR1370" s="122" t="n">
        <v>0</v>
      </c>
      <c r="AS1370" s="122" t="n">
        <v>0</v>
      </c>
      <c r="AT1370" s="122">
        <f>AL1370+AR1370</f>
        <v/>
      </c>
      <c r="AU1370" s="125">
        <f>IFERROR(AO1370*Assumptions!$C$26*Assumptions!$C$27*INDEX(Assumptions!$C$18:$C$21,MATCH(H1370,Assumptions!$B$18:$B$21,0)),0)</f>
        <v/>
      </c>
    </row>
    <row r="1371">
      <c r="A1371" s="120" t="n">
        <v>46252</v>
      </c>
      <c r="B1371" s="66" t="inlineStr">
        <is>
          <t>Wk 34</t>
        </is>
      </c>
      <c r="C1371" s="66" t="inlineStr">
        <is>
          <t>Tue</t>
        </is>
      </c>
      <c r="D1371" s="66" t="inlineStr">
        <is>
          <t>TikTok</t>
        </is>
      </c>
      <c r="E1371" s="66" t="inlineStr">
        <is>
          <t>TikTok</t>
        </is>
      </c>
      <c r="F1371" s="66" t="inlineStr">
        <is>
          <t>LEP_ZA_AUG26_TT_SPARK_RANGE_TRAFFIC</t>
        </is>
      </c>
      <c r="G1371" s="66" t="inlineStr">
        <is>
          <t>Traffic - Spark Ads</t>
        </is>
      </c>
      <c r="H1371" s="66" t="inlineStr">
        <is>
          <t>Range</t>
        </is>
      </c>
      <c r="I1371" s="66" t="inlineStr">
        <is>
          <t>Range Offer</t>
        </is>
      </c>
      <c r="J1371" s="66" t="inlineStr">
        <is>
          <t>TT_SPARK_CREATOR_UGC_ZA</t>
        </is>
      </c>
      <c r="K1371" s="66" t="inlineStr">
        <is>
          <t>Prospecting</t>
        </is>
      </c>
      <c r="L1371" s="66" t="inlineStr">
        <is>
          <t>TT_SPARK_@motorgirlza_Tour_v1</t>
        </is>
      </c>
      <c r="M1371" s="66" t="inlineStr">
        <is>
          <t>Spark Ad</t>
        </is>
      </c>
      <c r="N1371" s="66" t="inlineStr">
        <is>
          <t>Creator handle: @motorgirlza</t>
        </is>
      </c>
      <c r="O1371" s="66" t="inlineStr">
        <is>
          <t>Auction - Lowest Cost</t>
        </is>
      </c>
      <c r="P1371" s="66" t="inlineStr">
        <is>
          <t>Landing Page View</t>
        </is>
      </c>
      <c r="Q1371" s="66" t="inlineStr">
        <is>
          <t>https://www.lepas-sa.co.za/offers</t>
        </is>
      </c>
      <c r="R1371" s="121" t="n">
        <v>110.58</v>
      </c>
      <c r="S1371" s="122" t="n">
        <v>2826</v>
      </c>
      <c r="T1371" s="122" t="n">
        <v>1362</v>
      </c>
      <c r="U1371" s="123">
        <f>IFERROR(S1371/T1371,"")</f>
        <v/>
      </c>
      <c r="V1371" s="122" t="n">
        <v>32</v>
      </c>
      <c r="W1371" s="122" t="n">
        <v>26</v>
      </c>
      <c r="X1371" s="124">
        <f>IFERROR(W1371/S1371,"")</f>
        <v/>
      </c>
      <c r="Y1371" s="121">
        <f>IFERROR(R1371/W1371,"")</f>
        <v/>
      </c>
      <c r="Z1371" s="121">
        <f>IFERROR(R1371/S1371*1000,"")</f>
        <v/>
      </c>
      <c r="AA1371" s="122" t="n">
        <v>20</v>
      </c>
      <c r="AB1371" s="54">
        <f>IFERROR(AA1371/W1371,"")</f>
        <v/>
      </c>
      <c r="AC1371" s="122" t="n">
        <v>972</v>
      </c>
      <c r="AD1371" s="122" t="n">
        <v>505</v>
      </c>
      <c r="AE1371" s="122" t="n">
        <v>501</v>
      </c>
      <c r="AF1371" s="122" t="n">
        <v>315</v>
      </c>
      <c r="AG1371" s="122" t="n">
        <v>244</v>
      </c>
      <c r="AH1371" s="122" t="n">
        <v>152</v>
      </c>
      <c r="AI1371" s="54">
        <f>IFERROR(AC1371/S1371,"")</f>
        <v/>
      </c>
      <c r="AJ1371" s="54">
        <f>IFERROR(AH1371/S1371,"")</f>
        <v/>
      </c>
      <c r="AK1371" s="122" t="n">
        <v>149</v>
      </c>
      <c r="AL1371" s="122" t="n">
        <v>0</v>
      </c>
      <c r="AM1371" s="124">
        <f>IFERROR(AL1371/AA1371,"")</f>
        <v/>
      </c>
      <c r="AN1371" s="125">
        <f>IFERROR(R1371/AL1371,"")</f>
        <v/>
      </c>
      <c r="AO1371" s="122" t="n">
        <v>0</v>
      </c>
      <c r="AP1371" s="54">
        <f>IFERROR(AO1371/AL1371,"")</f>
        <v/>
      </c>
      <c r="AQ1371" s="125">
        <f>IFERROR(R1371/AO1371,"")</f>
        <v/>
      </c>
      <c r="AR1371" s="122" t="n">
        <v>0</v>
      </c>
      <c r="AS1371" s="122" t="n">
        <v>0</v>
      </c>
      <c r="AT1371" s="122">
        <f>AL1371+AR1371</f>
        <v/>
      </c>
      <c r="AU1371" s="125">
        <f>IFERROR(AO1371*Assumptions!$C$26*Assumptions!$C$27*INDEX(Assumptions!$C$18:$C$21,MATCH(H1371,Assumptions!$B$18:$B$21,0)),0)</f>
        <v/>
      </c>
    </row>
    <row r="1372">
      <c r="A1372" s="120" t="n">
        <v>46253</v>
      </c>
      <c r="B1372" s="66" t="inlineStr">
        <is>
          <t>Wk 34</t>
        </is>
      </c>
      <c r="C1372" s="66" t="inlineStr">
        <is>
          <t>Wed</t>
        </is>
      </c>
      <c r="D1372" s="66" t="inlineStr">
        <is>
          <t>TikTok</t>
        </is>
      </c>
      <c r="E1372" s="66" t="inlineStr">
        <is>
          <t>TikTok</t>
        </is>
      </c>
      <c r="F1372" s="66" t="inlineStr">
        <is>
          <t>LEP_ZA_AUG26_TT_SPARK_RANGE_TRAFFIC</t>
        </is>
      </c>
      <c r="G1372" s="66" t="inlineStr">
        <is>
          <t>Traffic - Spark Ads</t>
        </is>
      </c>
      <c r="H1372" s="66" t="inlineStr">
        <is>
          <t>Range</t>
        </is>
      </c>
      <c r="I1372" s="66" t="inlineStr">
        <is>
          <t>Range Offer</t>
        </is>
      </c>
      <c r="J1372" s="66" t="inlineStr">
        <is>
          <t>TT_SPARK_CREATOR_UGC_ZA</t>
        </is>
      </c>
      <c r="K1372" s="66" t="inlineStr">
        <is>
          <t>Prospecting</t>
        </is>
      </c>
      <c r="L1372" s="66" t="inlineStr">
        <is>
          <t>TT_SPARK_@motorgirlza_Tour_v1</t>
        </is>
      </c>
      <c r="M1372" s="66" t="inlineStr">
        <is>
          <t>Spark Ad</t>
        </is>
      </c>
      <c r="N1372" s="66" t="inlineStr">
        <is>
          <t>Creator handle: @motorgirlza</t>
        </is>
      </c>
      <c r="O1372" s="66" t="inlineStr">
        <is>
          <t>Auction - Lowest Cost</t>
        </is>
      </c>
      <c r="P1372" s="66" t="inlineStr">
        <is>
          <t>Landing Page View</t>
        </is>
      </c>
      <c r="Q1372" s="66" t="inlineStr">
        <is>
          <t>https://www.lepas-sa.co.za/offers</t>
        </is>
      </c>
      <c r="R1372" s="121" t="n">
        <v>120.35</v>
      </c>
      <c r="S1372" s="122" t="n">
        <v>2931</v>
      </c>
      <c r="T1372" s="122" t="n">
        <v>1410</v>
      </c>
      <c r="U1372" s="123">
        <f>IFERROR(S1372/T1372,"")</f>
        <v/>
      </c>
      <c r="V1372" s="122" t="n">
        <v>27</v>
      </c>
      <c r="W1372" s="122" t="n">
        <v>19</v>
      </c>
      <c r="X1372" s="124">
        <f>IFERROR(W1372/S1372,"")</f>
        <v/>
      </c>
      <c r="Y1372" s="121">
        <f>IFERROR(R1372/W1372,"")</f>
        <v/>
      </c>
      <c r="Z1372" s="121">
        <f>IFERROR(R1372/S1372*1000,"")</f>
        <v/>
      </c>
      <c r="AA1372" s="122" t="n">
        <v>14</v>
      </c>
      <c r="AB1372" s="54">
        <f>IFERROR(AA1372/W1372,"")</f>
        <v/>
      </c>
      <c r="AC1372" s="122" t="n">
        <v>894</v>
      </c>
      <c r="AD1372" s="122" t="n">
        <v>416</v>
      </c>
      <c r="AE1372" s="122" t="n">
        <v>413</v>
      </c>
      <c r="AF1372" s="122" t="n">
        <v>253</v>
      </c>
      <c r="AG1372" s="122" t="n">
        <v>161</v>
      </c>
      <c r="AH1372" s="122" t="n">
        <v>115</v>
      </c>
      <c r="AI1372" s="54">
        <f>IFERROR(AC1372/S1372,"")</f>
        <v/>
      </c>
      <c r="AJ1372" s="54">
        <f>IFERROR(AH1372/S1372,"")</f>
        <v/>
      </c>
      <c r="AK1372" s="122" t="n">
        <v>99</v>
      </c>
      <c r="AL1372" s="122" t="n">
        <v>0</v>
      </c>
      <c r="AM1372" s="124">
        <f>IFERROR(AL1372/AA1372,"")</f>
        <v/>
      </c>
      <c r="AN1372" s="125">
        <f>IFERROR(R1372/AL1372,"")</f>
        <v/>
      </c>
      <c r="AO1372" s="122" t="n">
        <v>0</v>
      </c>
      <c r="AP1372" s="54">
        <f>IFERROR(AO1372/AL1372,"")</f>
        <v/>
      </c>
      <c r="AQ1372" s="125">
        <f>IFERROR(R1372/AO1372,"")</f>
        <v/>
      </c>
      <c r="AR1372" s="122" t="n">
        <v>0</v>
      </c>
      <c r="AS1372" s="122" t="n">
        <v>0</v>
      </c>
      <c r="AT1372" s="122">
        <f>AL1372+AR1372</f>
        <v/>
      </c>
      <c r="AU1372" s="125">
        <f>IFERROR(AO1372*Assumptions!$C$26*Assumptions!$C$27*INDEX(Assumptions!$C$18:$C$21,MATCH(H1372,Assumptions!$B$18:$B$21,0)),0)</f>
        <v/>
      </c>
    </row>
    <row r="1373">
      <c r="A1373" s="120" t="n">
        <v>46254</v>
      </c>
      <c r="B1373" s="66" t="inlineStr">
        <is>
          <t>Wk 34</t>
        </is>
      </c>
      <c r="C1373" s="66" t="inlineStr">
        <is>
          <t>Thu</t>
        </is>
      </c>
      <c r="D1373" s="66" t="inlineStr">
        <is>
          <t>TikTok</t>
        </is>
      </c>
      <c r="E1373" s="66" t="inlineStr">
        <is>
          <t>TikTok</t>
        </is>
      </c>
      <c r="F1373" s="66" t="inlineStr">
        <is>
          <t>LEP_ZA_AUG26_TT_SPARK_RANGE_TRAFFIC</t>
        </is>
      </c>
      <c r="G1373" s="66" t="inlineStr">
        <is>
          <t>Traffic - Spark Ads</t>
        </is>
      </c>
      <c r="H1373" s="66" t="inlineStr">
        <is>
          <t>Range</t>
        </is>
      </c>
      <c r="I1373" s="66" t="inlineStr">
        <is>
          <t>Range Offer</t>
        </is>
      </c>
      <c r="J1373" s="66" t="inlineStr">
        <is>
          <t>TT_SPARK_CREATOR_UGC_ZA</t>
        </is>
      </c>
      <c r="K1373" s="66" t="inlineStr">
        <is>
          <t>Prospecting</t>
        </is>
      </c>
      <c r="L1373" s="66" t="inlineStr">
        <is>
          <t>TT_SPARK_@motorgirlza_Tour_v1</t>
        </is>
      </c>
      <c r="M1373" s="66" t="inlineStr">
        <is>
          <t>Spark Ad</t>
        </is>
      </c>
      <c r="N1373" s="66" t="inlineStr">
        <is>
          <t>Creator handle: @motorgirlza</t>
        </is>
      </c>
      <c r="O1373" s="66" t="inlineStr">
        <is>
          <t>Auction - Lowest Cost</t>
        </is>
      </c>
      <c r="P1373" s="66" t="inlineStr">
        <is>
          <t>Landing Page View</t>
        </is>
      </c>
      <c r="Q1373" s="66" t="inlineStr">
        <is>
          <t>https://www.lepas-sa.co.za/offers</t>
        </is>
      </c>
      <c r="R1373" s="121" t="n">
        <v>135.19</v>
      </c>
      <c r="S1373" s="122" t="n">
        <v>3245</v>
      </c>
      <c r="T1373" s="122" t="n">
        <v>1663</v>
      </c>
      <c r="U1373" s="123">
        <f>IFERROR(S1373/T1373,"")</f>
        <v/>
      </c>
      <c r="V1373" s="122" t="n">
        <v>34</v>
      </c>
      <c r="W1373" s="122" t="n">
        <v>26</v>
      </c>
      <c r="X1373" s="124">
        <f>IFERROR(W1373/S1373,"")</f>
        <v/>
      </c>
      <c r="Y1373" s="121">
        <f>IFERROR(R1373/W1373,"")</f>
        <v/>
      </c>
      <c r="Z1373" s="121">
        <f>IFERROR(R1373/S1373*1000,"")</f>
        <v/>
      </c>
      <c r="AA1373" s="122" t="n">
        <v>16</v>
      </c>
      <c r="AB1373" s="54">
        <f>IFERROR(AA1373/W1373,"")</f>
        <v/>
      </c>
      <c r="AC1373" s="122" t="n">
        <v>1016</v>
      </c>
      <c r="AD1373" s="122" t="n">
        <v>612</v>
      </c>
      <c r="AE1373" s="122" t="n">
        <v>536</v>
      </c>
      <c r="AF1373" s="122" t="n">
        <v>316</v>
      </c>
      <c r="AG1373" s="122" t="n">
        <v>234</v>
      </c>
      <c r="AH1373" s="122" t="n">
        <v>163</v>
      </c>
      <c r="AI1373" s="54">
        <f>IFERROR(AC1373/S1373,"")</f>
        <v/>
      </c>
      <c r="AJ1373" s="54">
        <f>IFERROR(AH1373/S1373,"")</f>
        <v/>
      </c>
      <c r="AK1373" s="122" t="n">
        <v>115</v>
      </c>
      <c r="AL1373" s="122" t="n">
        <v>0</v>
      </c>
      <c r="AM1373" s="124">
        <f>IFERROR(AL1373/AA1373,"")</f>
        <v/>
      </c>
      <c r="AN1373" s="125">
        <f>IFERROR(R1373/AL1373,"")</f>
        <v/>
      </c>
      <c r="AO1373" s="122" t="n">
        <v>0</v>
      </c>
      <c r="AP1373" s="54">
        <f>IFERROR(AO1373/AL1373,"")</f>
        <v/>
      </c>
      <c r="AQ1373" s="125">
        <f>IFERROR(R1373/AO1373,"")</f>
        <v/>
      </c>
      <c r="AR1373" s="122" t="n">
        <v>0</v>
      </c>
      <c r="AS1373" s="122" t="n">
        <v>0</v>
      </c>
      <c r="AT1373" s="122">
        <f>AL1373+AR1373</f>
        <v/>
      </c>
      <c r="AU1373" s="125">
        <f>IFERROR(AO1373*Assumptions!$C$26*Assumptions!$C$27*INDEX(Assumptions!$C$18:$C$21,MATCH(H1373,Assumptions!$B$18:$B$21,0)),0)</f>
        <v/>
      </c>
    </row>
    <row r="1374">
      <c r="A1374" s="120" t="n">
        <v>46255</v>
      </c>
      <c r="B1374" s="66" t="inlineStr">
        <is>
          <t>Wk 34</t>
        </is>
      </c>
      <c r="C1374" s="66" t="inlineStr">
        <is>
          <t>Fri</t>
        </is>
      </c>
      <c r="D1374" s="66" t="inlineStr">
        <is>
          <t>TikTok</t>
        </is>
      </c>
      <c r="E1374" s="66" t="inlineStr">
        <is>
          <t>TikTok</t>
        </is>
      </c>
      <c r="F1374" s="66" t="inlineStr">
        <is>
          <t>LEP_ZA_AUG26_TT_SPARK_RANGE_TRAFFIC</t>
        </is>
      </c>
      <c r="G1374" s="66" t="inlineStr">
        <is>
          <t>Traffic - Spark Ads</t>
        </is>
      </c>
      <c r="H1374" s="66" t="inlineStr">
        <is>
          <t>Range</t>
        </is>
      </c>
      <c r="I1374" s="66" t="inlineStr">
        <is>
          <t>Range Offer</t>
        </is>
      </c>
      <c r="J1374" s="66" t="inlineStr">
        <is>
          <t>TT_SPARK_CREATOR_UGC_ZA</t>
        </is>
      </c>
      <c r="K1374" s="66" t="inlineStr">
        <is>
          <t>Prospecting</t>
        </is>
      </c>
      <c r="L1374" s="66" t="inlineStr">
        <is>
          <t>TT_SPARK_@motorgirlza_Tour_v1</t>
        </is>
      </c>
      <c r="M1374" s="66" t="inlineStr">
        <is>
          <t>Spark Ad</t>
        </is>
      </c>
      <c r="N1374" s="66" t="inlineStr">
        <is>
          <t>Creator handle: @motorgirlza</t>
        </is>
      </c>
      <c r="O1374" s="66" t="inlineStr">
        <is>
          <t>Auction - Lowest Cost</t>
        </is>
      </c>
      <c r="P1374" s="66" t="inlineStr">
        <is>
          <t>Landing Page View</t>
        </is>
      </c>
      <c r="Q1374" s="66" t="inlineStr">
        <is>
          <t>https://www.lepas-sa.co.za/offers</t>
        </is>
      </c>
      <c r="R1374" s="121" t="n">
        <v>123.62</v>
      </c>
      <c r="S1374" s="122" t="n">
        <v>3110</v>
      </c>
      <c r="T1374" s="122" t="n">
        <v>1869</v>
      </c>
      <c r="U1374" s="123">
        <f>IFERROR(S1374/T1374,"")</f>
        <v/>
      </c>
      <c r="V1374" s="122" t="n">
        <v>27</v>
      </c>
      <c r="W1374" s="122" t="n">
        <v>22</v>
      </c>
      <c r="X1374" s="124">
        <f>IFERROR(W1374/S1374,"")</f>
        <v/>
      </c>
      <c r="Y1374" s="121">
        <f>IFERROR(R1374/W1374,"")</f>
        <v/>
      </c>
      <c r="Z1374" s="121">
        <f>IFERROR(R1374/S1374*1000,"")</f>
        <v/>
      </c>
      <c r="AA1374" s="122" t="n">
        <v>17</v>
      </c>
      <c r="AB1374" s="54">
        <f>IFERROR(AA1374/W1374,"")</f>
        <v/>
      </c>
      <c r="AC1374" s="122" t="n">
        <v>902</v>
      </c>
      <c r="AD1374" s="122" t="n">
        <v>500</v>
      </c>
      <c r="AE1374" s="122" t="n">
        <v>447</v>
      </c>
      <c r="AF1374" s="122" t="n">
        <v>262</v>
      </c>
      <c r="AG1374" s="122" t="n">
        <v>186</v>
      </c>
      <c r="AH1374" s="122" t="n">
        <v>114</v>
      </c>
      <c r="AI1374" s="54">
        <f>IFERROR(AC1374/S1374,"")</f>
        <v/>
      </c>
      <c r="AJ1374" s="54">
        <f>IFERROR(AH1374/S1374,"")</f>
        <v/>
      </c>
      <c r="AK1374" s="122" t="n">
        <v>154</v>
      </c>
      <c r="AL1374" s="122" t="n">
        <v>0</v>
      </c>
      <c r="AM1374" s="124">
        <f>IFERROR(AL1374/AA1374,"")</f>
        <v/>
      </c>
      <c r="AN1374" s="125">
        <f>IFERROR(R1374/AL1374,"")</f>
        <v/>
      </c>
      <c r="AO1374" s="122" t="n">
        <v>0</v>
      </c>
      <c r="AP1374" s="54">
        <f>IFERROR(AO1374/AL1374,"")</f>
        <v/>
      </c>
      <c r="AQ1374" s="125">
        <f>IFERROR(R1374/AO1374,"")</f>
        <v/>
      </c>
      <c r="AR1374" s="122" t="n">
        <v>0</v>
      </c>
      <c r="AS1374" s="122" t="n">
        <v>0</v>
      </c>
      <c r="AT1374" s="122">
        <f>AL1374+AR1374</f>
        <v/>
      </c>
      <c r="AU1374" s="125">
        <f>IFERROR(AO1374*Assumptions!$C$26*Assumptions!$C$27*INDEX(Assumptions!$C$18:$C$21,MATCH(H1374,Assumptions!$B$18:$B$21,0)),0)</f>
        <v/>
      </c>
    </row>
    <row r="1375">
      <c r="A1375" s="120" t="n">
        <v>46256</v>
      </c>
      <c r="B1375" s="66" t="inlineStr">
        <is>
          <t>Wk 34</t>
        </is>
      </c>
      <c r="C1375" s="66" t="inlineStr">
        <is>
          <t>Sat</t>
        </is>
      </c>
      <c r="D1375" s="66" t="inlineStr">
        <is>
          <t>TikTok</t>
        </is>
      </c>
      <c r="E1375" s="66" t="inlineStr">
        <is>
          <t>TikTok</t>
        </is>
      </c>
      <c r="F1375" s="66" t="inlineStr">
        <is>
          <t>LEP_ZA_AUG26_TT_SPARK_RANGE_TRAFFIC</t>
        </is>
      </c>
      <c r="G1375" s="66" t="inlineStr">
        <is>
          <t>Traffic - Spark Ads</t>
        </is>
      </c>
      <c r="H1375" s="66" t="inlineStr">
        <is>
          <t>Range</t>
        </is>
      </c>
      <c r="I1375" s="66" t="inlineStr">
        <is>
          <t>Range Offer</t>
        </is>
      </c>
      <c r="J1375" s="66" t="inlineStr">
        <is>
          <t>TT_SPARK_CREATOR_UGC_ZA</t>
        </is>
      </c>
      <c r="K1375" s="66" t="inlineStr">
        <is>
          <t>Prospecting</t>
        </is>
      </c>
      <c r="L1375" s="66" t="inlineStr">
        <is>
          <t>TT_SPARK_@motorgirlza_Tour_v1</t>
        </is>
      </c>
      <c r="M1375" s="66" t="inlineStr">
        <is>
          <t>Spark Ad</t>
        </is>
      </c>
      <c r="N1375" s="66" t="inlineStr">
        <is>
          <t>Creator handle: @motorgirlza</t>
        </is>
      </c>
      <c r="O1375" s="66" t="inlineStr">
        <is>
          <t>Auction - Lowest Cost</t>
        </is>
      </c>
      <c r="P1375" s="66" t="inlineStr">
        <is>
          <t>Landing Page View</t>
        </is>
      </c>
      <c r="Q1375" s="66" t="inlineStr">
        <is>
          <t>https://www.lepas-sa.co.za/offers</t>
        </is>
      </c>
      <c r="R1375" s="121" t="n">
        <v>130.48</v>
      </c>
      <c r="S1375" s="122" t="n">
        <v>4835</v>
      </c>
      <c r="T1375" s="122" t="n">
        <v>2353</v>
      </c>
      <c r="U1375" s="123">
        <f>IFERROR(S1375/T1375,"")</f>
        <v/>
      </c>
      <c r="V1375" s="122" t="n">
        <v>35</v>
      </c>
      <c r="W1375" s="122" t="n">
        <v>25</v>
      </c>
      <c r="X1375" s="124">
        <f>IFERROR(W1375/S1375,"")</f>
        <v/>
      </c>
      <c r="Y1375" s="121">
        <f>IFERROR(R1375/W1375,"")</f>
        <v/>
      </c>
      <c r="Z1375" s="121">
        <f>IFERROR(R1375/S1375*1000,"")</f>
        <v/>
      </c>
      <c r="AA1375" s="122" t="n">
        <v>17</v>
      </c>
      <c r="AB1375" s="54">
        <f>IFERROR(AA1375/W1375,"")</f>
        <v/>
      </c>
      <c r="AC1375" s="122" t="n">
        <v>1104</v>
      </c>
      <c r="AD1375" s="122" t="n">
        <v>617</v>
      </c>
      <c r="AE1375" s="122" t="n">
        <v>530</v>
      </c>
      <c r="AF1375" s="122" t="n">
        <v>291</v>
      </c>
      <c r="AG1375" s="122" t="n">
        <v>188</v>
      </c>
      <c r="AH1375" s="122" t="n">
        <v>119</v>
      </c>
      <c r="AI1375" s="54">
        <f>IFERROR(AC1375/S1375,"")</f>
        <v/>
      </c>
      <c r="AJ1375" s="54">
        <f>IFERROR(AH1375/S1375,"")</f>
        <v/>
      </c>
      <c r="AK1375" s="122" t="n">
        <v>167</v>
      </c>
      <c r="AL1375" s="122" t="n">
        <v>0</v>
      </c>
      <c r="AM1375" s="124">
        <f>IFERROR(AL1375/AA1375,"")</f>
        <v/>
      </c>
      <c r="AN1375" s="125">
        <f>IFERROR(R1375/AL1375,"")</f>
        <v/>
      </c>
      <c r="AO1375" s="122" t="n">
        <v>0</v>
      </c>
      <c r="AP1375" s="54">
        <f>IFERROR(AO1375/AL1375,"")</f>
        <v/>
      </c>
      <c r="AQ1375" s="125">
        <f>IFERROR(R1375/AO1375,"")</f>
        <v/>
      </c>
      <c r="AR1375" s="122" t="n">
        <v>0</v>
      </c>
      <c r="AS1375" s="122" t="n">
        <v>0</v>
      </c>
      <c r="AT1375" s="122">
        <f>AL1375+AR1375</f>
        <v/>
      </c>
      <c r="AU1375" s="125">
        <f>IFERROR(AO1375*Assumptions!$C$26*Assumptions!$C$27*INDEX(Assumptions!$C$18:$C$21,MATCH(H1375,Assumptions!$B$18:$B$21,0)),0)</f>
        <v/>
      </c>
    </row>
    <row r="1376">
      <c r="A1376" s="120" t="n">
        <v>46257</v>
      </c>
      <c r="B1376" s="66" t="inlineStr">
        <is>
          <t>Wk 34</t>
        </is>
      </c>
      <c r="C1376" s="66" t="inlineStr">
        <is>
          <t>Sun</t>
        </is>
      </c>
      <c r="D1376" s="66" t="inlineStr">
        <is>
          <t>TikTok</t>
        </is>
      </c>
      <c r="E1376" s="66" t="inlineStr">
        <is>
          <t>TikTok</t>
        </is>
      </c>
      <c r="F1376" s="66" t="inlineStr">
        <is>
          <t>LEP_ZA_AUG26_TT_SPARK_RANGE_TRAFFIC</t>
        </is>
      </c>
      <c r="G1376" s="66" t="inlineStr">
        <is>
          <t>Traffic - Spark Ads</t>
        </is>
      </c>
      <c r="H1376" s="66" t="inlineStr">
        <is>
          <t>Range</t>
        </is>
      </c>
      <c r="I1376" s="66" t="inlineStr">
        <is>
          <t>Range Offer</t>
        </is>
      </c>
      <c r="J1376" s="66" t="inlineStr">
        <is>
          <t>TT_SPARK_CREATOR_UGC_ZA</t>
        </is>
      </c>
      <c r="K1376" s="66" t="inlineStr">
        <is>
          <t>Prospecting</t>
        </is>
      </c>
      <c r="L1376" s="66" t="inlineStr">
        <is>
          <t>TT_SPARK_@motorgirlza_Tour_v1</t>
        </is>
      </c>
      <c r="M1376" s="66" t="inlineStr">
        <is>
          <t>Spark Ad</t>
        </is>
      </c>
      <c r="N1376" s="66" t="inlineStr">
        <is>
          <t>Creator handle: @motorgirlza</t>
        </is>
      </c>
      <c r="O1376" s="66" t="inlineStr">
        <is>
          <t>Auction - Lowest Cost</t>
        </is>
      </c>
      <c r="P1376" s="66" t="inlineStr">
        <is>
          <t>Landing Page View</t>
        </is>
      </c>
      <c r="Q1376" s="66" t="inlineStr">
        <is>
          <t>https://www.lepas-sa.co.za/offers</t>
        </is>
      </c>
      <c r="R1376" s="121" t="n">
        <v>113.81</v>
      </c>
      <c r="S1376" s="122" t="n">
        <v>3108</v>
      </c>
      <c r="T1376" s="122" t="n">
        <v>1482</v>
      </c>
      <c r="U1376" s="123">
        <f>IFERROR(S1376/T1376,"")</f>
        <v/>
      </c>
      <c r="V1376" s="122" t="n">
        <v>18</v>
      </c>
      <c r="W1376" s="122" t="n">
        <v>15</v>
      </c>
      <c r="X1376" s="124">
        <f>IFERROR(W1376/S1376,"")</f>
        <v/>
      </c>
      <c r="Y1376" s="121">
        <f>IFERROR(R1376/W1376,"")</f>
        <v/>
      </c>
      <c r="Z1376" s="121">
        <f>IFERROR(R1376/S1376*1000,"")</f>
        <v/>
      </c>
      <c r="AA1376" s="122" t="n">
        <v>11</v>
      </c>
      <c r="AB1376" s="54">
        <f>IFERROR(AA1376/W1376,"")</f>
        <v/>
      </c>
      <c r="AC1376" s="122" t="n">
        <v>685</v>
      </c>
      <c r="AD1376" s="122" t="n">
        <v>405</v>
      </c>
      <c r="AE1376" s="122" t="n">
        <v>310</v>
      </c>
      <c r="AF1376" s="122" t="n">
        <v>206</v>
      </c>
      <c r="AG1376" s="122" t="n">
        <v>147</v>
      </c>
      <c r="AH1376" s="122" t="n">
        <v>86</v>
      </c>
      <c r="AI1376" s="54">
        <f>IFERROR(AC1376/S1376,"")</f>
        <v/>
      </c>
      <c r="AJ1376" s="54">
        <f>IFERROR(AH1376/S1376,"")</f>
        <v/>
      </c>
      <c r="AK1376" s="122" t="n">
        <v>135</v>
      </c>
      <c r="AL1376" s="122" t="n">
        <v>0</v>
      </c>
      <c r="AM1376" s="124">
        <f>IFERROR(AL1376/AA1376,"")</f>
        <v/>
      </c>
      <c r="AN1376" s="125">
        <f>IFERROR(R1376/AL1376,"")</f>
        <v/>
      </c>
      <c r="AO1376" s="122" t="n">
        <v>0</v>
      </c>
      <c r="AP1376" s="54">
        <f>IFERROR(AO1376/AL1376,"")</f>
        <v/>
      </c>
      <c r="AQ1376" s="125">
        <f>IFERROR(R1376/AO1376,"")</f>
        <v/>
      </c>
      <c r="AR1376" s="122" t="n">
        <v>0</v>
      </c>
      <c r="AS1376" s="122" t="n">
        <v>0</v>
      </c>
      <c r="AT1376" s="122">
        <f>AL1376+AR1376</f>
        <v/>
      </c>
      <c r="AU1376" s="125">
        <f>IFERROR(AO1376*Assumptions!$C$26*Assumptions!$C$27*INDEX(Assumptions!$C$18:$C$21,MATCH(H1376,Assumptions!$B$18:$B$21,0)),0)</f>
        <v/>
      </c>
    </row>
    <row r="1377">
      <c r="A1377" s="120" t="n">
        <v>46258</v>
      </c>
      <c r="B1377" s="66" t="inlineStr">
        <is>
          <t>Wk 35</t>
        </is>
      </c>
      <c r="C1377" s="66" t="inlineStr">
        <is>
          <t>Mon</t>
        </is>
      </c>
      <c r="D1377" s="66" t="inlineStr">
        <is>
          <t>TikTok</t>
        </is>
      </c>
      <c r="E1377" s="66" t="inlineStr">
        <is>
          <t>TikTok</t>
        </is>
      </c>
      <c r="F1377" s="66" t="inlineStr">
        <is>
          <t>LEP_ZA_AUG26_TT_SPARK_RANGE_TRAFFIC</t>
        </is>
      </c>
      <c r="G1377" s="66" t="inlineStr">
        <is>
          <t>Traffic - Spark Ads</t>
        </is>
      </c>
      <c r="H1377" s="66" t="inlineStr">
        <is>
          <t>Range</t>
        </is>
      </c>
      <c r="I1377" s="66" t="inlineStr">
        <is>
          <t>Range Offer</t>
        </is>
      </c>
      <c r="J1377" s="66" t="inlineStr">
        <is>
          <t>TT_SPARK_CREATOR_UGC_ZA</t>
        </is>
      </c>
      <c r="K1377" s="66" t="inlineStr">
        <is>
          <t>Prospecting</t>
        </is>
      </c>
      <c r="L1377" s="66" t="inlineStr">
        <is>
          <t>TT_SPARK_@motorgirlza_Tour_v1</t>
        </is>
      </c>
      <c r="M1377" s="66" t="inlineStr">
        <is>
          <t>Spark Ad</t>
        </is>
      </c>
      <c r="N1377" s="66" t="inlineStr">
        <is>
          <t>Creator handle: @motorgirlza</t>
        </is>
      </c>
      <c r="O1377" s="66" t="inlineStr">
        <is>
          <t>Auction - Lowest Cost</t>
        </is>
      </c>
      <c r="P1377" s="66" t="inlineStr">
        <is>
          <t>Landing Page View</t>
        </is>
      </c>
      <c r="Q1377" s="66" t="inlineStr">
        <is>
          <t>https://www.lepas-sa.co.za/offers</t>
        </is>
      </c>
      <c r="R1377" s="121" t="n">
        <v>110.52</v>
      </c>
      <c r="S1377" s="122" t="n">
        <v>3019</v>
      </c>
      <c r="T1377" s="122" t="n">
        <v>1917</v>
      </c>
      <c r="U1377" s="123">
        <f>IFERROR(S1377/T1377,"")</f>
        <v/>
      </c>
      <c r="V1377" s="122" t="n">
        <v>40</v>
      </c>
      <c r="W1377" s="122" t="n">
        <v>29</v>
      </c>
      <c r="X1377" s="124">
        <f>IFERROR(W1377/S1377,"")</f>
        <v/>
      </c>
      <c r="Y1377" s="121">
        <f>IFERROR(R1377/W1377,"")</f>
        <v/>
      </c>
      <c r="Z1377" s="121">
        <f>IFERROR(R1377/S1377*1000,"")</f>
        <v/>
      </c>
      <c r="AA1377" s="122" t="n">
        <v>22</v>
      </c>
      <c r="AB1377" s="54">
        <f>IFERROR(AA1377/W1377,"")</f>
        <v/>
      </c>
      <c r="AC1377" s="122" t="n">
        <v>951</v>
      </c>
      <c r="AD1377" s="122" t="n">
        <v>518</v>
      </c>
      <c r="AE1377" s="122" t="n">
        <v>381</v>
      </c>
      <c r="AF1377" s="122" t="n">
        <v>244</v>
      </c>
      <c r="AG1377" s="122" t="n">
        <v>158</v>
      </c>
      <c r="AH1377" s="122" t="n">
        <v>100</v>
      </c>
      <c r="AI1377" s="54">
        <f>IFERROR(AC1377/S1377,"")</f>
        <v/>
      </c>
      <c r="AJ1377" s="54">
        <f>IFERROR(AH1377/S1377,"")</f>
        <v/>
      </c>
      <c r="AK1377" s="122" t="n">
        <v>155</v>
      </c>
      <c r="AL1377" s="122" t="n">
        <v>0</v>
      </c>
      <c r="AM1377" s="124">
        <f>IFERROR(AL1377/AA1377,"")</f>
        <v/>
      </c>
      <c r="AN1377" s="125">
        <f>IFERROR(R1377/AL1377,"")</f>
        <v/>
      </c>
      <c r="AO1377" s="122" t="n">
        <v>0</v>
      </c>
      <c r="AP1377" s="54">
        <f>IFERROR(AO1377/AL1377,"")</f>
        <v/>
      </c>
      <c r="AQ1377" s="125">
        <f>IFERROR(R1377/AO1377,"")</f>
        <v/>
      </c>
      <c r="AR1377" s="122" t="n">
        <v>0</v>
      </c>
      <c r="AS1377" s="122" t="n">
        <v>0</v>
      </c>
      <c r="AT1377" s="122">
        <f>AL1377+AR1377</f>
        <v/>
      </c>
      <c r="AU1377" s="125">
        <f>IFERROR(AO1377*Assumptions!$C$26*Assumptions!$C$27*INDEX(Assumptions!$C$18:$C$21,MATCH(H1377,Assumptions!$B$18:$B$21,0)),0)</f>
        <v/>
      </c>
    </row>
    <row r="1378">
      <c r="A1378" s="120" t="n">
        <v>46259</v>
      </c>
      <c r="B1378" s="66" t="inlineStr">
        <is>
          <t>Wk 35</t>
        </is>
      </c>
      <c r="C1378" s="66" t="inlineStr">
        <is>
          <t>Tue</t>
        </is>
      </c>
      <c r="D1378" s="66" t="inlineStr">
        <is>
          <t>TikTok</t>
        </is>
      </c>
      <c r="E1378" s="66" t="inlineStr">
        <is>
          <t>TikTok</t>
        </is>
      </c>
      <c r="F1378" s="66" t="inlineStr">
        <is>
          <t>LEP_ZA_AUG26_TT_SPARK_RANGE_TRAFFIC</t>
        </is>
      </c>
      <c r="G1378" s="66" t="inlineStr">
        <is>
          <t>Traffic - Spark Ads</t>
        </is>
      </c>
      <c r="H1378" s="66" t="inlineStr">
        <is>
          <t>Range</t>
        </is>
      </c>
      <c r="I1378" s="66" t="inlineStr">
        <is>
          <t>Range Offer</t>
        </is>
      </c>
      <c r="J1378" s="66" t="inlineStr">
        <is>
          <t>TT_SPARK_CREATOR_UGC_ZA</t>
        </is>
      </c>
      <c r="K1378" s="66" t="inlineStr">
        <is>
          <t>Prospecting</t>
        </is>
      </c>
      <c r="L1378" s="66" t="inlineStr">
        <is>
          <t>TT_SPARK_@motorgirlza_Tour_v1</t>
        </is>
      </c>
      <c r="M1378" s="66" t="inlineStr">
        <is>
          <t>Spark Ad</t>
        </is>
      </c>
      <c r="N1378" s="66" t="inlineStr">
        <is>
          <t>Creator handle: @motorgirlza</t>
        </is>
      </c>
      <c r="O1378" s="66" t="inlineStr">
        <is>
          <t>Auction - Lowest Cost</t>
        </is>
      </c>
      <c r="P1378" s="66" t="inlineStr">
        <is>
          <t>Landing Page View</t>
        </is>
      </c>
      <c r="Q1378" s="66" t="inlineStr">
        <is>
          <t>https://www.lepas-sa.co.za/offers</t>
        </is>
      </c>
      <c r="R1378" s="121" t="n">
        <v>135.42</v>
      </c>
      <c r="S1378" s="122" t="n">
        <v>3372</v>
      </c>
      <c r="T1378" s="122" t="n">
        <v>1538</v>
      </c>
      <c r="U1378" s="123">
        <f>IFERROR(S1378/T1378,"")</f>
        <v/>
      </c>
      <c r="V1378" s="122" t="n">
        <v>23</v>
      </c>
      <c r="W1378" s="122" t="n">
        <v>17</v>
      </c>
      <c r="X1378" s="124">
        <f>IFERROR(W1378/S1378,"")</f>
        <v/>
      </c>
      <c r="Y1378" s="121">
        <f>IFERROR(R1378/W1378,"")</f>
        <v/>
      </c>
      <c r="Z1378" s="121">
        <f>IFERROR(R1378/S1378*1000,"")</f>
        <v/>
      </c>
      <c r="AA1378" s="122" t="n">
        <v>11</v>
      </c>
      <c r="AB1378" s="54">
        <f>IFERROR(AA1378/W1378,"")</f>
        <v/>
      </c>
      <c r="AC1378" s="122" t="n">
        <v>1320</v>
      </c>
      <c r="AD1378" s="122" t="n">
        <v>776</v>
      </c>
      <c r="AE1378" s="122" t="n">
        <v>602</v>
      </c>
      <c r="AF1378" s="122" t="n">
        <v>319</v>
      </c>
      <c r="AG1378" s="122" t="n">
        <v>228</v>
      </c>
      <c r="AH1378" s="122" t="n">
        <v>129</v>
      </c>
      <c r="AI1378" s="54">
        <f>IFERROR(AC1378/S1378,"")</f>
        <v/>
      </c>
      <c r="AJ1378" s="54">
        <f>IFERROR(AH1378/S1378,"")</f>
        <v/>
      </c>
      <c r="AK1378" s="122" t="n">
        <v>120</v>
      </c>
      <c r="AL1378" s="122" t="n">
        <v>0</v>
      </c>
      <c r="AM1378" s="124">
        <f>IFERROR(AL1378/AA1378,"")</f>
        <v/>
      </c>
      <c r="AN1378" s="125">
        <f>IFERROR(R1378/AL1378,"")</f>
        <v/>
      </c>
      <c r="AO1378" s="122" t="n">
        <v>0</v>
      </c>
      <c r="AP1378" s="54">
        <f>IFERROR(AO1378/AL1378,"")</f>
        <v/>
      </c>
      <c r="AQ1378" s="125">
        <f>IFERROR(R1378/AO1378,"")</f>
        <v/>
      </c>
      <c r="AR1378" s="122" t="n">
        <v>0</v>
      </c>
      <c r="AS1378" s="122" t="n">
        <v>0</v>
      </c>
      <c r="AT1378" s="122">
        <f>AL1378+AR1378</f>
        <v/>
      </c>
      <c r="AU1378" s="125">
        <f>IFERROR(AO1378*Assumptions!$C$26*Assumptions!$C$27*INDEX(Assumptions!$C$18:$C$21,MATCH(H1378,Assumptions!$B$18:$B$21,0)),0)</f>
        <v/>
      </c>
    </row>
    <row r="1379">
      <c r="A1379" s="120" t="n">
        <v>46260</v>
      </c>
      <c r="B1379" s="66" t="inlineStr">
        <is>
          <t>Wk 35</t>
        </is>
      </c>
      <c r="C1379" s="66" t="inlineStr">
        <is>
          <t>Wed</t>
        </is>
      </c>
      <c r="D1379" s="66" t="inlineStr">
        <is>
          <t>TikTok</t>
        </is>
      </c>
      <c r="E1379" s="66" t="inlineStr">
        <is>
          <t>TikTok</t>
        </is>
      </c>
      <c r="F1379" s="66" t="inlineStr">
        <is>
          <t>LEP_ZA_AUG26_TT_SPARK_RANGE_TRAFFIC</t>
        </is>
      </c>
      <c r="G1379" s="66" t="inlineStr">
        <is>
          <t>Traffic - Spark Ads</t>
        </is>
      </c>
      <c r="H1379" s="66" t="inlineStr">
        <is>
          <t>Range</t>
        </is>
      </c>
      <c r="I1379" s="66" t="inlineStr">
        <is>
          <t>Range Offer</t>
        </is>
      </c>
      <c r="J1379" s="66" t="inlineStr">
        <is>
          <t>TT_SPARK_CREATOR_UGC_ZA</t>
        </is>
      </c>
      <c r="K1379" s="66" t="inlineStr">
        <is>
          <t>Prospecting</t>
        </is>
      </c>
      <c r="L1379" s="66" t="inlineStr">
        <is>
          <t>TT_SPARK_@motorgirlza_Tour_v1</t>
        </is>
      </c>
      <c r="M1379" s="66" t="inlineStr">
        <is>
          <t>Spark Ad</t>
        </is>
      </c>
      <c r="N1379" s="66" t="inlineStr">
        <is>
          <t>Creator handle: @motorgirlza</t>
        </is>
      </c>
      <c r="O1379" s="66" t="inlineStr">
        <is>
          <t>Auction - Lowest Cost</t>
        </is>
      </c>
      <c r="P1379" s="66" t="inlineStr">
        <is>
          <t>Landing Page View</t>
        </is>
      </c>
      <c r="Q1379" s="66" t="inlineStr">
        <is>
          <t>https://www.lepas-sa.co.za/offers</t>
        </is>
      </c>
      <c r="R1379" s="121" t="n">
        <v>116.18</v>
      </c>
      <c r="S1379" s="122" t="n">
        <v>2923</v>
      </c>
      <c r="T1379" s="122" t="n">
        <v>1728</v>
      </c>
      <c r="U1379" s="123">
        <f>IFERROR(S1379/T1379,"")</f>
        <v/>
      </c>
      <c r="V1379" s="122" t="n">
        <v>24</v>
      </c>
      <c r="W1379" s="122" t="n">
        <v>18</v>
      </c>
      <c r="X1379" s="124">
        <f>IFERROR(W1379/S1379,"")</f>
        <v/>
      </c>
      <c r="Y1379" s="121">
        <f>IFERROR(R1379/W1379,"")</f>
        <v/>
      </c>
      <c r="Z1379" s="121">
        <f>IFERROR(R1379/S1379*1000,"")</f>
        <v/>
      </c>
      <c r="AA1379" s="122" t="n">
        <v>11</v>
      </c>
      <c r="AB1379" s="54">
        <f>IFERROR(AA1379/W1379,"")</f>
        <v/>
      </c>
      <c r="AC1379" s="122" t="n">
        <v>1176</v>
      </c>
      <c r="AD1379" s="122" t="n">
        <v>717</v>
      </c>
      <c r="AE1379" s="122" t="n">
        <v>502</v>
      </c>
      <c r="AF1379" s="122" t="n">
        <v>301</v>
      </c>
      <c r="AG1379" s="122" t="n">
        <v>203</v>
      </c>
      <c r="AH1379" s="122" t="n">
        <v>117</v>
      </c>
      <c r="AI1379" s="54">
        <f>IFERROR(AC1379/S1379,"")</f>
        <v/>
      </c>
      <c r="AJ1379" s="54">
        <f>IFERROR(AH1379/S1379,"")</f>
        <v/>
      </c>
      <c r="AK1379" s="122" t="n">
        <v>67</v>
      </c>
      <c r="AL1379" s="122" t="n">
        <v>0</v>
      </c>
      <c r="AM1379" s="124">
        <f>IFERROR(AL1379/AA1379,"")</f>
        <v/>
      </c>
      <c r="AN1379" s="125">
        <f>IFERROR(R1379/AL1379,"")</f>
        <v/>
      </c>
      <c r="AO1379" s="122" t="n">
        <v>0</v>
      </c>
      <c r="AP1379" s="54">
        <f>IFERROR(AO1379/AL1379,"")</f>
        <v/>
      </c>
      <c r="AQ1379" s="125">
        <f>IFERROR(R1379/AO1379,"")</f>
        <v/>
      </c>
      <c r="AR1379" s="122" t="n">
        <v>0</v>
      </c>
      <c r="AS1379" s="122" t="n">
        <v>0</v>
      </c>
      <c r="AT1379" s="122">
        <f>AL1379+AR1379</f>
        <v/>
      </c>
      <c r="AU1379" s="125">
        <f>IFERROR(AO1379*Assumptions!$C$26*Assumptions!$C$27*INDEX(Assumptions!$C$18:$C$21,MATCH(H1379,Assumptions!$B$18:$B$21,0)),0)</f>
        <v/>
      </c>
    </row>
    <row r="1380">
      <c r="A1380" s="120" t="n">
        <v>46261</v>
      </c>
      <c r="B1380" s="66" t="inlineStr">
        <is>
          <t>Wk 35</t>
        </is>
      </c>
      <c r="C1380" s="66" t="inlineStr">
        <is>
          <t>Thu</t>
        </is>
      </c>
      <c r="D1380" s="66" t="inlineStr">
        <is>
          <t>TikTok</t>
        </is>
      </c>
      <c r="E1380" s="66" t="inlineStr">
        <is>
          <t>TikTok</t>
        </is>
      </c>
      <c r="F1380" s="66" t="inlineStr">
        <is>
          <t>LEP_ZA_AUG26_TT_SPARK_RANGE_TRAFFIC</t>
        </is>
      </c>
      <c r="G1380" s="66" t="inlineStr">
        <is>
          <t>Traffic - Spark Ads</t>
        </is>
      </c>
      <c r="H1380" s="66" t="inlineStr">
        <is>
          <t>Range</t>
        </is>
      </c>
      <c r="I1380" s="66" t="inlineStr">
        <is>
          <t>Range Offer</t>
        </is>
      </c>
      <c r="J1380" s="66" t="inlineStr">
        <is>
          <t>TT_SPARK_CREATOR_UGC_ZA</t>
        </is>
      </c>
      <c r="K1380" s="66" t="inlineStr">
        <is>
          <t>Prospecting</t>
        </is>
      </c>
      <c r="L1380" s="66" t="inlineStr">
        <is>
          <t>TT_SPARK_@motorgirlza_Tour_v1</t>
        </is>
      </c>
      <c r="M1380" s="66" t="inlineStr">
        <is>
          <t>Spark Ad</t>
        </is>
      </c>
      <c r="N1380" s="66" t="inlineStr">
        <is>
          <t>Creator handle: @motorgirlza</t>
        </is>
      </c>
      <c r="O1380" s="66" t="inlineStr">
        <is>
          <t>Auction - Lowest Cost</t>
        </is>
      </c>
      <c r="P1380" s="66" t="inlineStr">
        <is>
          <t>Landing Page View</t>
        </is>
      </c>
      <c r="Q1380" s="66" t="inlineStr">
        <is>
          <t>https://www.lepas-sa.co.za/offers</t>
        </is>
      </c>
      <c r="R1380" s="121" t="n">
        <v>147.48</v>
      </c>
      <c r="S1380" s="122" t="n">
        <v>4413</v>
      </c>
      <c r="T1380" s="122" t="n">
        <v>2722</v>
      </c>
      <c r="U1380" s="123">
        <f>IFERROR(S1380/T1380,"")</f>
        <v/>
      </c>
      <c r="V1380" s="122" t="n">
        <v>56</v>
      </c>
      <c r="W1380" s="122" t="n">
        <v>43</v>
      </c>
      <c r="X1380" s="124">
        <f>IFERROR(W1380/S1380,"")</f>
        <v/>
      </c>
      <c r="Y1380" s="121">
        <f>IFERROR(R1380/W1380,"")</f>
        <v/>
      </c>
      <c r="Z1380" s="121">
        <f>IFERROR(R1380/S1380*1000,"")</f>
        <v/>
      </c>
      <c r="AA1380" s="122" t="n">
        <v>29</v>
      </c>
      <c r="AB1380" s="54">
        <f>IFERROR(AA1380/W1380,"")</f>
        <v/>
      </c>
      <c r="AC1380" s="122" t="n">
        <v>1144</v>
      </c>
      <c r="AD1380" s="122" t="n">
        <v>645</v>
      </c>
      <c r="AE1380" s="122" t="n">
        <v>462</v>
      </c>
      <c r="AF1380" s="122" t="n">
        <v>317</v>
      </c>
      <c r="AG1380" s="122" t="n">
        <v>251</v>
      </c>
      <c r="AH1380" s="122" t="n">
        <v>180</v>
      </c>
      <c r="AI1380" s="54">
        <f>IFERROR(AC1380/S1380,"")</f>
        <v/>
      </c>
      <c r="AJ1380" s="54">
        <f>IFERROR(AH1380/S1380,"")</f>
        <v/>
      </c>
      <c r="AK1380" s="122" t="n">
        <v>222</v>
      </c>
      <c r="AL1380" s="122" t="n">
        <v>0</v>
      </c>
      <c r="AM1380" s="124">
        <f>IFERROR(AL1380/AA1380,"")</f>
        <v/>
      </c>
      <c r="AN1380" s="125">
        <f>IFERROR(R1380/AL1380,"")</f>
        <v/>
      </c>
      <c r="AO1380" s="122" t="n">
        <v>0</v>
      </c>
      <c r="AP1380" s="54">
        <f>IFERROR(AO1380/AL1380,"")</f>
        <v/>
      </c>
      <c r="AQ1380" s="125">
        <f>IFERROR(R1380/AO1380,"")</f>
        <v/>
      </c>
      <c r="AR1380" s="122" t="n">
        <v>0</v>
      </c>
      <c r="AS1380" s="122" t="n">
        <v>0</v>
      </c>
      <c r="AT1380" s="122">
        <f>AL1380+AR1380</f>
        <v/>
      </c>
      <c r="AU1380" s="125">
        <f>IFERROR(AO1380*Assumptions!$C$26*Assumptions!$C$27*INDEX(Assumptions!$C$18:$C$21,MATCH(H1380,Assumptions!$B$18:$B$21,0)),0)</f>
        <v/>
      </c>
    </row>
    <row r="1381">
      <c r="A1381" s="120" t="n">
        <v>46262</v>
      </c>
      <c r="B1381" s="66" t="inlineStr">
        <is>
          <t>Wk 35</t>
        </is>
      </c>
      <c r="C1381" s="66" t="inlineStr">
        <is>
          <t>Fri</t>
        </is>
      </c>
      <c r="D1381" s="66" t="inlineStr">
        <is>
          <t>TikTok</t>
        </is>
      </c>
      <c r="E1381" s="66" t="inlineStr">
        <is>
          <t>TikTok</t>
        </is>
      </c>
      <c r="F1381" s="66" t="inlineStr">
        <is>
          <t>LEP_ZA_AUG26_TT_SPARK_RANGE_TRAFFIC</t>
        </is>
      </c>
      <c r="G1381" s="66" t="inlineStr">
        <is>
          <t>Traffic - Spark Ads</t>
        </is>
      </c>
      <c r="H1381" s="66" t="inlineStr">
        <is>
          <t>Range</t>
        </is>
      </c>
      <c r="I1381" s="66" t="inlineStr">
        <is>
          <t>Range Offer</t>
        </is>
      </c>
      <c r="J1381" s="66" t="inlineStr">
        <is>
          <t>TT_SPARK_CREATOR_UGC_ZA</t>
        </is>
      </c>
      <c r="K1381" s="66" t="inlineStr">
        <is>
          <t>Prospecting</t>
        </is>
      </c>
      <c r="L1381" s="66" t="inlineStr">
        <is>
          <t>TT_SPARK_@motorgirlza_Tour_v1</t>
        </is>
      </c>
      <c r="M1381" s="66" t="inlineStr">
        <is>
          <t>Spark Ad</t>
        </is>
      </c>
      <c r="N1381" s="66" t="inlineStr">
        <is>
          <t>Creator handle: @motorgirlza</t>
        </is>
      </c>
      <c r="O1381" s="66" t="inlineStr">
        <is>
          <t>Auction - Lowest Cost</t>
        </is>
      </c>
      <c r="P1381" s="66" t="inlineStr">
        <is>
          <t>Landing Page View</t>
        </is>
      </c>
      <c r="Q1381" s="66" t="inlineStr">
        <is>
          <t>https://www.lepas-sa.co.za/offers</t>
        </is>
      </c>
      <c r="R1381" s="121" t="n">
        <v>144.37</v>
      </c>
      <c r="S1381" s="122" t="n">
        <v>3928</v>
      </c>
      <c r="T1381" s="122" t="n">
        <v>2470</v>
      </c>
      <c r="U1381" s="123">
        <f>IFERROR(S1381/T1381,"")</f>
        <v/>
      </c>
      <c r="V1381" s="122" t="n">
        <v>32</v>
      </c>
      <c r="W1381" s="122" t="n">
        <v>23</v>
      </c>
      <c r="X1381" s="124">
        <f>IFERROR(W1381/S1381,"")</f>
        <v/>
      </c>
      <c r="Y1381" s="121">
        <f>IFERROR(R1381/W1381,"")</f>
        <v/>
      </c>
      <c r="Z1381" s="121">
        <f>IFERROR(R1381/S1381*1000,"")</f>
        <v/>
      </c>
      <c r="AA1381" s="122" t="n">
        <v>15</v>
      </c>
      <c r="AB1381" s="54">
        <f>IFERROR(AA1381/W1381,"")</f>
        <v/>
      </c>
      <c r="AC1381" s="122" t="n">
        <v>1139</v>
      </c>
      <c r="AD1381" s="122" t="n">
        <v>529</v>
      </c>
      <c r="AE1381" s="122" t="n">
        <v>497</v>
      </c>
      <c r="AF1381" s="122" t="n">
        <v>284</v>
      </c>
      <c r="AG1381" s="122" t="n">
        <v>202</v>
      </c>
      <c r="AH1381" s="122" t="n">
        <v>117</v>
      </c>
      <c r="AI1381" s="54">
        <f>IFERROR(AC1381/S1381,"")</f>
        <v/>
      </c>
      <c r="AJ1381" s="54">
        <f>IFERROR(AH1381/S1381,"")</f>
        <v/>
      </c>
      <c r="AK1381" s="122" t="n">
        <v>116</v>
      </c>
      <c r="AL1381" s="122" t="n">
        <v>0</v>
      </c>
      <c r="AM1381" s="124">
        <f>IFERROR(AL1381/AA1381,"")</f>
        <v/>
      </c>
      <c r="AN1381" s="125">
        <f>IFERROR(R1381/AL1381,"")</f>
        <v/>
      </c>
      <c r="AO1381" s="122" t="n">
        <v>0</v>
      </c>
      <c r="AP1381" s="54">
        <f>IFERROR(AO1381/AL1381,"")</f>
        <v/>
      </c>
      <c r="AQ1381" s="125">
        <f>IFERROR(R1381/AO1381,"")</f>
        <v/>
      </c>
      <c r="AR1381" s="122" t="n">
        <v>0</v>
      </c>
      <c r="AS1381" s="122" t="n">
        <v>0</v>
      </c>
      <c r="AT1381" s="122">
        <f>AL1381+AR1381</f>
        <v/>
      </c>
      <c r="AU1381" s="125">
        <f>IFERROR(AO1381*Assumptions!$C$26*Assumptions!$C$27*INDEX(Assumptions!$C$18:$C$21,MATCH(H1381,Assumptions!$B$18:$B$21,0)),0)</f>
        <v/>
      </c>
    </row>
    <row r="1382">
      <c r="A1382" s="120" t="n">
        <v>46263</v>
      </c>
      <c r="B1382" s="66" t="inlineStr">
        <is>
          <t>Wk 35</t>
        </is>
      </c>
      <c r="C1382" s="66" t="inlineStr">
        <is>
          <t>Sat</t>
        </is>
      </c>
      <c r="D1382" s="66" t="inlineStr">
        <is>
          <t>TikTok</t>
        </is>
      </c>
      <c r="E1382" s="66" t="inlineStr">
        <is>
          <t>TikTok</t>
        </is>
      </c>
      <c r="F1382" s="66" t="inlineStr">
        <is>
          <t>LEP_ZA_AUG26_TT_SPARK_RANGE_TRAFFIC</t>
        </is>
      </c>
      <c r="G1382" s="66" t="inlineStr">
        <is>
          <t>Traffic - Spark Ads</t>
        </is>
      </c>
      <c r="H1382" s="66" t="inlineStr">
        <is>
          <t>Range</t>
        </is>
      </c>
      <c r="I1382" s="66" t="inlineStr">
        <is>
          <t>Range Offer</t>
        </is>
      </c>
      <c r="J1382" s="66" t="inlineStr">
        <is>
          <t>TT_SPARK_CREATOR_UGC_ZA</t>
        </is>
      </c>
      <c r="K1382" s="66" t="inlineStr">
        <is>
          <t>Prospecting</t>
        </is>
      </c>
      <c r="L1382" s="66" t="inlineStr">
        <is>
          <t>TT_SPARK_@motorgirlza_Tour_v1</t>
        </is>
      </c>
      <c r="M1382" s="66" t="inlineStr">
        <is>
          <t>Spark Ad</t>
        </is>
      </c>
      <c r="N1382" s="66" t="inlineStr">
        <is>
          <t>Creator handle: @motorgirlza</t>
        </is>
      </c>
      <c r="O1382" s="66" t="inlineStr">
        <is>
          <t>Auction - Lowest Cost</t>
        </is>
      </c>
      <c r="P1382" s="66" t="inlineStr">
        <is>
          <t>Landing Page View</t>
        </is>
      </c>
      <c r="Q1382" s="66" t="inlineStr">
        <is>
          <t>https://www.lepas-sa.co.za/offers</t>
        </is>
      </c>
      <c r="R1382" s="121" t="n">
        <v>143.64</v>
      </c>
      <c r="S1382" s="122" t="n">
        <v>3768</v>
      </c>
      <c r="T1382" s="122" t="n">
        <v>2201</v>
      </c>
      <c r="U1382" s="123">
        <f>IFERROR(S1382/T1382,"")</f>
        <v/>
      </c>
      <c r="V1382" s="122" t="n">
        <v>21</v>
      </c>
      <c r="W1382" s="122" t="n">
        <v>15</v>
      </c>
      <c r="X1382" s="124">
        <f>IFERROR(W1382/S1382,"")</f>
        <v/>
      </c>
      <c r="Y1382" s="121">
        <f>IFERROR(R1382/W1382,"")</f>
        <v/>
      </c>
      <c r="Z1382" s="121">
        <f>IFERROR(R1382/S1382*1000,"")</f>
        <v/>
      </c>
      <c r="AA1382" s="122" t="n">
        <v>9</v>
      </c>
      <c r="AB1382" s="54">
        <f>IFERROR(AA1382/W1382,"")</f>
        <v/>
      </c>
      <c r="AC1382" s="122" t="n">
        <v>1226</v>
      </c>
      <c r="AD1382" s="122" t="n">
        <v>644</v>
      </c>
      <c r="AE1382" s="122" t="n">
        <v>494</v>
      </c>
      <c r="AF1382" s="122" t="n">
        <v>258</v>
      </c>
      <c r="AG1382" s="122" t="n">
        <v>168</v>
      </c>
      <c r="AH1382" s="122" t="n">
        <v>105</v>
      </c>
      <c r="AI1382" s="54">
        <f>IFERROR(AC1382/S1382,"")</f>
        <v/>
      </c>
      <c r="AJ1382" s="54">
        <f>IFERROR(AH1382/S1382,"")</f>
        <v/>
      </c>
      <c r="AK1382" s="122" t="n">
        <v>168</v>
      </c>
      <c r="AL1382" s="122" t="n">
        <v>0</v>
      </c>
      <c r="AM1382" s="124">
        <f>IFERROR(AL1382/AA1382,"")</f>
        <v/>
      </c>
      <c r="AN1382" s="125">
        <f>IFERROR(R1382/AL1382,"")</f>
        <v/>
      </c>
      <c r="AO1382" s="122" t="n">
        <v>0</v>
      </c>
      <c r="AP1382" s="54">
        <f>IFERROR(AO1382/AL1382,"")</f>
        <v/>
      </c>
      <c r="AQ1382" s="125">
        <f>IFERROR(R1382/AO1382,"")</f>
        <v/>
      </c>
      <c r="AR1382" s="122" t="n">
        <v>0</v>
      </c>
      <c r="AS1382" s="122" t="n">
        <v>0</v>
      </c>
      <c r="AT1382" s="122">
        <f>AL1382+AR1382</f>
        <v/>
      </c>
      <c r="AU1382" s="125">
        <f>IFERROR(AO1382*Assumptions!$C$26*Assumptions!$C$27*INDEX(Assumptions!$C$18:$C$21,MATCH(H1382,Assumptions!$B$18:$B$21,0)),0)</f>
        <v/>
      </c>
    </row>
    <row r="1383">
      <c r="A1383" s="120" t="n">
        <v>46264</v>
      </c>
      <c r="B1383" s="66" t="inlineStr">
        <is>
          <t>Wk 35</t>
        </is>
      </c>
      <c r="C1383" s="66" t="inlineStr">
        <is>
          <t>Sun</t>
        </is>
      </c>
      <c r="D1383" s="66" t="inlineStr">
        <is>
          <t>TikTok</t>
        </is>
      </c>
      <c r="E1383" s="66" t="inlineStr">
        <is>
          <t>TikTok</t>
        </is>
      </c>
      <c r="F1383" s="66" t="inlineStr">
        <is>
          <t>LEP_ZA_AUG26_TT_SPARK_RANGE_TRAFFIC</t>
        </is>
      </c>
      <c r="G1383" s="66" t="inlineStr">
        <is>
          <t>Traffic - Spark Ads</t>
        </is>
      </c>
      <c r="H1383" s="66" t="inlineStr">
        <is>
          <t>Range</t>
        </is>
      </c>
      <c r="I1383" s="66" t="inlineStr">
        <is>
          <t>Range Offer</t>
        </is>
      </c>
      <c r="J1383" s="66" t="inlineStr">
        <is>
          <t>TT_SPARK_CREATOR_UGC_ZA</t>
        </is>
      </c>
      <c r="K1383" s="66" t="inlineStr">
        <is>
          <t>Prospecting</t>
        </is>
      </c>
      <c r="L1383" s="66" t="inlineStr">
        <is>
          <t>TT_SPARK_@motorgirlza_Tour_v1</t>
        </is>
      </c>
      <c r="M1383" s="66" t="inlineStr">
        <is>
          <t>Spark Ad</t>
        </is>
      </c>
      <c r="N1383" s="66" t="inlineStr">
        <is>
          <t>Creator handle: @motorgirlza</t>
        </is>
      </c>
      <c r="O1383" s="66" t="inlineStr">
        <is>
          <t>Auction - Lowest Cost</t>
        </is>
      </c>
      <c r="P1383" s="66" t="inlineStr">
        <is>
          <t>Landing Page View</t>
        </is>
      </c>
      <c r="Q1383" s="66" t="inlineStr">
        <is>
          <t>https://www.lepas-sa.co.za/offers</t>
        </is>
      </c>
      <c r="R1383" s="121" t="n">
        <v>132.05</v>
      </c>
      <c r="S1383" s="122" t="n">
        <v>2905</v>
      </c>
      <c r="T1383" s="122" t="n">
        <v>1554</v>
      </c>
      <c r="U1383" s="123">
        <f>IFERROR(S1383/T1383,"")</f>
        <v/>
      </c>
      <c r="V1383" s="122" t="n">
        <v>28</v>
      </c>
      <c r="W1383" s="122" t="n">
        <v>21</v>
      </c>
      <c r="X1383" s="124">
        <f>IFERROR(W1383/S1383,"")</f>
        <v/>
      </c>
      <c r="Y1383" s="121">
        <f>IFERROR(R1383/W1383,"")</f>
        <v/>
      </c>
      <c r="Z1383" s="121">
        <f>IFERROR(R1383/S1383*1000,"")</f>
        <v/>
      </c>
      <c r="AA1383" s="122" t="n">
        <v>13</v>
      </c>
      <c r="AB1383" s="54">
        <f>IFERROR(AA1383/W1383,"")</f>
        <v/>
      </c>
      <c r="AC1383" s="122" t="n">
        <v>743</v>
      </c>
      <c r="AD1383" s="122" t="n">
        <v>351</v>
      </c>
      <c r="AE1383" s="122" t="n">
        <v>277</v>
      </c>
      <c r="AF1383" s="122" t="n">
        <v>182</v>
      </c>
      <c r="AG1383" s="122" t="n">
        <v>118</v>
      </c>
      <c r="AH1383" s="122" t="n">
        <v>68</v>
      </c>
      <c r="AI1383" s="54">
        <f>IFERROR(AC1383/S1383,"")</f>
        <v/>
      </c>
      <c r="AJ1383" s="54">
        <f>IFERROR(AH1383/S1383,"")</f>
        <v/>
      </c>
      <c r="AK1383" s="122" t="n">
        <v>121</v>
      </c>
      <c r="AL1383" s="122" t="n">
        <v>0</v>
      </c>
      <c r="AM1383" s="124">
        <f>IFERROR(AL1383/AA1383,"")</f>
        <v/>
      </c>
      <c r="AN1383" s="125">
        <f>IFERROR(R1383/AL1383,"")</f>
        <v/>
      </c>
      <c r="AO1383" s="122" t="n">
        <v>0</v>
      </c>
      <c r="AP1383" s="54">
        <f>IFERROR(AO1383/AL1383,"")</f>
        <v/>
      </c>
      <c r="AQ1383" s="125">
        <f>IFERROR(R1383/AO1383,"")</f>
        <v/>
      </c>
      <c r="AR1383" s="122" t="n">
        <v>0</v>
      </c>
      <c r="AS1383" s="122" t="n">
        <v>0</v>
      </c>
      <c r="AT1383" s="122">
        <f>AL1383+AR1383</f>
        <v/>
      </c>
      <c r="AU1383" s="125">
        <f>IFERROR(AO1383*Assumptions!$C$26*Assumptions!$C$27*INDEX(Assumptions!$C$18:$C$21,MATCH(H1383,Assumptions!$B$18:$B$21,0)),0)</f>
        <v/>
      </c>
    </row>
    <row r="1384">
      <c r="A1384" s="120" t="n">
        <v>46265</v>
      </c>
      <c r="B1384" s="66" t="inlineStr">
        <is>
          <t>Wk 36</t>
        </is>
      </c>
      <c r="C1384" s="66" t="inlineStr">
        <is>
          <t>Mon</t>
        </is>
      </c>
      <c r="D1384" s="66" t="inlineStr">
        <is>
          <t>TikTok</t>
        </is>
      </c>
      <c r="E1384" s="66" t="inlineStr">
        <is>
          <t>TikTok</t>
        </is>
      </c>
      <c r="F1384" s="66" t="inlineStr">
        <is>
          <t>LEP_ZA_AUG26_TT_SPARK_RANGE_TRAFFIC</t>
        </is>
      </c>
      <c r="G1384" s="66" t="inlineStr">
        <is>
          <t>Traffic - Spark Ads</t>
        </is>
      </c>
      <c r="H1384" s="66" t="inlineStr">
        <is>
          <t>Range</t>
        </is>
      </c>
      <c r="I1384" s="66" t="inlineStr">
        <is>
          <t>Range Offer</t>
        </is>
      </c>
      <c r="J1384" s="66" t="inlineStr">
        <is>
          <t>TT_SPARK_CREATOR_UGC_ZA</t>
        </is>
      </c>
      <c r="K1384" s="66" t="inlineStr">
        <is>
          <t>Prospecting</t>
        </is>
      </c>
      <c r="L1384" s="66" t="inlineStr">
        <is>
          <t>TT_SPARK_@motorgirlza_Tour_v1</t>
        </is>
      </c>
      <c r="M1384" s="66" t="inlineStr">
        <is>
          <t>Spark Ad</t>
        </is>
      </c>
      <c r="N1384" s="66" t="inlineStr">
        <is>
          <t>Creator handle: @motorgirlza</t>
        </is>
      </c>
      <c r="O1384" s="66" t="inlineStr">
        <is>
          <t>Auction - Lowest Cost</t>
        </is>
      </c>
      <c r="P1384" s="66" t="inlineStr">
        <is>
          <t>Landing Page View</t>
        </is>
      </c>
      <c r="Q1384" s="66" t="inlineStr">
        <is>
          <t>https://www.lepas-sa.co.za/offers</t>
        </is>
      </c>
      <c r="R1384" s="121" t="n">
        <v>132.48</v>
      </c>
      <c r="S1384" s="122" t="n">
        <v>3512</v>
      </c>
      <c r="T1384" s="122" t="n">
        <v>1511</v>
      </c>
      <c r="U1384" s="123">
        <f>IFERROR(S1384/T1384,"")</f>
        <v/>
      </c>
      <c r="V1384" s="122" t="n">
        <v>27</v>
      </c>
      <c r="W1384" s="122" t="n">
        <v>20</v>
      </c>
      <c r="X1384" s="124">
        <f>IFERROR(W1384/S1384,"")</f>
        <v/>
      </c>
      <c r="Y1384" s="121">
        <f>IFERROR(R1384/W1384,"")</f>
        <v/>
      </c>
      <c r="Z1384" s="121">
        <f>IFERROR(R1384/S1384*1000,"")</f>
        <v/>
      </c>
      <c r="AA1384" s="122" t="n">
        <v>15</v>
      </c>
      <c r="AB1384" s="54">
        <f>IFERROR(AA1384/W1384,"")</f>
        <v/>
      </c>
      <c r="AC1384" s="122" t="n">
        <v>1417</v>
      </c>
      <c r="AD1384" s="122" t="n">
        <v>859</v>
      </c>
      <c r="AE1384" s="122" t="n">
        <v>647</v>
      </c>
      <c r="AF1384" s="122" t="n">
        <v>422</v>
      </c>
      <c r="AG1384" s="122" t="n">
        <v>287</v>
      </c>
      <c r="AH1384" s="122" t="n">
        <v>211</v>
      </c>
      <c r="AI1384" s="54">
        <f>IFERROR(AC1384/S1384,"")</f>
        <v/>
      </c>
      <c r="AJ1384" s="54">
        <f>IFERROR(AH1384/S1384,"")</f>
        <v/>
      </c>
      <c r="AK1384" s="122" t="n">
        <v>188</v>
      </c>
      <c r="AL1384" s="122" t="n">
        <v>0</v>
      </c>
      <c r="AM1384" s="124">
        <f>IFERROR(AL1384/AA1384,"")</f>
        <v/>
      </c>
      <c r="AN1384" s="125">
        <f>IFERROR(R1384/AL1384,"")</f>
        <v/>
      </c>
      <c r="AO1384" s="122" t="n">
        <v>0</v>
      </c>
      <c r="AP1384" s="54">
        <f>IFERROR(AO1384/AL1384,"")</f>
        <v/>
      </c>
      <c r="AQ1384" s="125">
        <f>IFERROR(R1384/AO1384,"")</f>
        <v/>
      </c>
      <c r="AR1384" s="122" t="n">
        <v>0</v>
      </c>
      <c r="AS1384" s="122" t="n">
        <v>0</v>
      </c>
      <c r="AT1384" s="122">
        <f>AL1384+AR1384</f>
        <v/>
      </c>
      <c r="AU1384" s="125">
        <f>IFERROR(AO1384*Assumptions!$C$26*Assumptions!$C$27*INDEX(Assumptions!$C$18:$C$21,MATCH(H1384,Assumptions!$B$18:$B$21,0)),0)</f>
        <v/>
      </c>
    </row>
    <row r="1385">
      <c r="A1385" s="120" t="n">
        <v>46245</v>
      </c>
      <c r="B1385" s="66" t="inlineStr">
        <is>
          <t>Wk 33</t>
        </is>
      </c>
      <c r="C1385" s="66" t="inlineStr">
        <is>
          <t>Tue</t>
        </is>
      </c>
      <c r="D1385" s="66" t="inlineStr">
        <is>
          <t>TikTok</t>
        </is>
      </c>
      <c r="E1385" s="66" t="inlineStr">
        <is>
          <t>TikTok</t>
        </is>
      </c>
      <c r="F1385" s="66" t="inlineStr">
        <is>
          <t>LEP_ZA_AUG26_TT_SPARK_RANGE_TRAFFIC</t>
        </is>
      </c>
      <c r="G1385" s="66" t="inlineStr">
        <is>
          <t>Traffic - Spark Ads</t>
        </is>
      </c>
      <c r="H1385" s="66" t="inlineStr">
        <is>
          <t>Range</t>
        </is>
      </c>
      <c r="I1385" s="66" t="inlineStr">
        <is>
          <t>Range Offer</t>
        </is>
      </c>
      <c r="J1385" s="66" t="inlineStr">
        <is>
          <t>TT_SPARK_CREATOR_UGC_ZA</t>
        </is>
      </c>
      <c r="K1385" s="66" t="inlineStr">
        <is>
          <t>Prospecting</t>
        </is>
      </c>
      <c r="L1385" s="66" t="inlineStr">
        <is>
          <t>TT_SPARK_@thecarplug_Compare_v1</t>
        </is>
      </c>
      <c r="M1385" s="66" t="inlineStr">
        <is>
          <t>Spark Ad</t>
        </is>
      </c>
      <c r="N1385" s="66" t="inlineStr">
        <is>
          <t>Creator handle: @thecarplug</t>
        </is>
      </c>
      <c r="O1385" s="66" t="inlineStr">
        <is>
          <t>Auction - Lowest Cost</t>
        </is>
      </c>
      <c r="P1385" s="66" t="inlineStr">
        <is>
          <t>Landing Page View</t>
        </is>
      </c>
      <c r="Q1385" s="66" t="inlineStr">
        <is>
          <t>https://www.lepas-sa.co.za/offers</t>
        </is>
      </c>
      <c r="R1385" s="121" t="n">
        <v>97.75</v>
      </c>
      <c r="S1385" s="122" t="n">
        <v>2332</v>
      </c>
      <c r="T1385" s="122" t="n">
        <v>1281</v>
      </c>
      <c r="U1385" s="123">
        <f>IFERROR(S1385/T1385,"")</f>
        <v/>
      </c>
      <c r="V1385" s="122" t="n">
        <v>22</v>
      </c>
      <c r="W1385" s="122" t="n">
        <v>18</v>
      </c>
      <c r="X1385" s="124">
        <f>IFERROR(W1385/S1385,"")</f>
        <v/>
      </c>
      <c r="Y1385" s="121">
        <f>IFERROR(R1385/W1385,"")</f>
        <v/>
      </c>
      <c r="Z1385" s="121">
        <f>IFERROR(R1385/S1385*1000,"")</f>
        <v/>
      </c>
      <c r="AA1385" s="122" t="n">
        <v>11</v>
      </c>
      <c r="AB1385" s="54">
        <f>IFERROR(AA1385/W1385,"")</f>
        <v/>
      </c>
      <c r="AC1385" s="122" t="n">
        <v>604</v>
      </c>
      <c r="AD1385" s="122" t="n">
        <v>321</v>
      </c>
      <c r="AE1385" s="122" t="n">
        <v>288</v>
      </c>
      <c r="AF1385" s="122" t="n">
        <v>194</v>
      </c>
      <c r="AG1385" s="122" t="n">
        <v>133</v>
      </c>
      <c r="AH1385" s="122" t="n">
        <v>90</v>
      </c>
      <c r="AI1385" s="54">
        <f>IFERROR(AC1385/S1385,"")</f>
        <v/>
      </c>
      <c r="AJ1385" s="54">
        <f>IFERROR(AH1385/S1385,"")</f>
        <v/>
      </c>
      <c r="AK1385" s="122" t="n">
        <v>97</v>
      </c>
      <c r="AL1385" s="122" t="n">
        <v>0</v>
      </c>
      <c r="AM1385" s="124">
        <f>IFERROR(AL1385/AA1385,"")</f>
        <v/>
      </c>
      <c r="AN1385" s="125">
        <f>IFERROR(R1385/AL1385,"")</f>
        <v/>
      </c>
      <c r="AO1385" s="122" t="n">
        <v>0</v>
      </c>
      <c r="AP1385" s="54">
        <f>IFERROR(AO1385/AL1385,"")</f>
        <v/>
      </c>
      <c r="AQ1385" s="125">
        <f>IFERROR(R1385/AO1385,"")</f>
        <v/>
      </c>
      <c r="AR1385" s="122" t="n">
        <v>0</v>
      </c>
      <c r="AS1385" s="122" t="n">
        <v>0</v>
      </c>
      <c r="AT1385" s="122">
        <f>AL1385+AR1385</f>
        <v/>
      </c>
      <c r="AU1385" s="125">
        <f>IFERROR(AO1385*Assumptions!$C$26*Assumptions!$C$27*INDEX(Assumptions!$C$18:$C$21,MATCH(H1385,Assumptions!$B$18:$B$21,0)),0)</f>
        <v/>
      </c>
    </row>
    <row r="1386">
      <c r="A1386" s="120" t="n">
        <v>46246</v>
      </c>
      <c r="B1386" s="66" t="inlineStr">
        <is>
          <t>Wk 33</t>
        </is>
      </c>
      <c r="C1386" s="66" t="inlineStr">
        <is>
          <t>Wed</t>
        </is>
      </c>
      <c r="D1386" s="66" t="inlineStr">
        <is>
          <t>TikTok</t>
        </is>
      </c>
      <c r="E1386" s="66" t="inlineStr">
        <is>
          <t>TikTok</t>
        </is>
      </c>
      <c r="F1386" s="66" t="inlineStr">
        <is>
          <t>LEP_ZA_AUG26_TT_SPARK_RANGE_TRAFFIC</t>
        </is>
      </c>
      <c r="G1386" s="66" t="inlineStr">
        <is>
          <t>Traffic - Spark Ads</t>
        </is>
      </c>
      <c r="H1386" s="66" t="inlineStr">
        <is>
          <t>Range</t>
        </is>
      </c>
      <c r="I1386" s="66" t="inlineStr">
        <is>
          <t>Range Offer</t>
        </is>
      </c>
      <c r="J1386" s="66" t="inlineStr">
        <is>
          <t>TT_SPARK_CREATOR_UGC_ZA</t>
        </is>
      </c>
      <c r="K1386" s="66" t="inlineStr">
        <is>
          <t>Prospecting</t>
        </is>
      </c>
      <c r="L1386" s="66" t="inlineStr">
        <is>
          <t>TT_SPARK_@thecarplug_Compare_v1</t>
        </is>
      </c>
      <c r="M1386" s="66" t="inlineStr">
        <is>
          <t>Spark Ad</t>
        </is>
      </c>
      <c r="N1386" s="66" t="inlineStr">
        <is>
          <t>Creator handle: @thecarplug</t>
        </is>
      </c>
      <c r="O1386" s="66" t="inlineStr">
        <is>
          <t>Auction - Lowest Cost</t>
        </is>
      </c>
      <c r="P1386" s="66" t="inlineStr">
        <is>
          <t>Landing Page View</t>
        </is>
      </c>
      <c r="Q1386" s="66" t="inlineStr">
        <is>
          <t>https://www.lepas-sa.co.za/offers</t>
        </is>
      </c>
      <c r="R1386" s="121" t="n">
        <v>86.20999999999999</v>
      </c>
      <c r="S1386" s="122" t="n">
        <v>2808</v>
      </c>
      <c r="T1386" s="122" t="n">
        <v>1756</v>
      </c>
      <c r="U1386" s="123">
        <f>IFERROR(S1386/T1386,"")</f>
        <v/>
      </c>
      <c r="V1386" s="122" t="n">
        <v>34</v>
      </c>
      <c r="W1386" s="122" t="n">
        <v>25</v>
      </c>
      <c r="X1386" s="124">
        <f>IFERROR(W1386/S1386,"")</f>
        <v/>
      </c>
      <c r="Y1386" s="121">
        <f>IFERROR(R1386/W1386,"")</f>
        <v/>
      </c>
      <c r="Z1386" s="121">
        <f>IFERROR(R1386/S1386*1000,"")</f>
        <v/>
      </c>
      <c r="AA1386" s="122" t="n">
        <v>17</v>
      </c>
      <c r="AB1386" s="54">
        <f>IFERROR(AA1386/W1386,"")</f>
        <v/>
      </c>
      <c r="AC1386" s="122" t="n">
        <v>1027</v>
      </c>
      <c r="AD1386" s="122" t="n">
        <v>546</v>
      </c>
      <c r="AE1386" s="122" t="n">
        <v>439</v>
      </c>
      <c r="AF1386" s="122" t="n">
        <v>301</v>
      </c>
      <c r="AG1386" s="122" t="n">
        <v>200</v>
      </c>
      <c r="AH1386" s="122" t="n">
        <v>147</v>
      </c>
      <c r="AI1386" s="54">
        <f>IFERROR(AC1386/S1386,"")</f>
        <v/>
      </c>
      <c r="AJ1386" s="54">
        <f>IFERROR(AH1386/S1386,"")</f>
        <v/>
      </c>
      <c r="AK1386" s="122" t="n">
        <v>71</v>
      </c>
      <c r="AL1386" s="122" t="n">
        <v>0</v>
      </c>
      <c r="AM1386" s="124">
        <f>IFERROR(AL1386/AA1386,"")</f>
        <v/>
      </c>
      <c r="AN1386" s="125">
        <f>IFERROR(R1386/AL1386,"")</f>
        <v/>
      </c>
      <c r="AO1386" s="122" t="n">
        <v>0</v>
      </c>
      <c r="AP1386" s="54">
        <f>IFERROR(AO1386/AL1386,"")</f>
        <v/>
      </c>
      <c r="AQ1386" s="125">
        <f>IFERROR(R1386/AO1386,"")</f>
        <v/>
      </c>
      <c r="AR1386" s="122" t="n">
        <v>0</v>
      </c>
      <c r="AS1386" s="122" t="n">
        <v>0</v>
      </c>
      <c r="AT1386" s="122">
        <f>AL1386+AR1386</f>
        <v/>
      </c>
      <c r="AU1386" s="125">
        <f>IFERROR(AO1386*Assumptions!$C$26*Assumptions!$C$27*INDEX(Assumptions!$C$18:$C$21,MATCH(H1386,Assumptions!$B$18:$B$21,0)),0)</f>
        <v/>
      </c>
    </row>
    <row r="1387">
      <c r="A1387" s="120" t="n">
        <v>46247</v>
      </c>
      <c r="B1387" s="66" t="inlineStr">
        <is>
          <t>Wk 33</t>
        </is>
      </c>
      <c r="C1387" s="66" t="inlineStr">
        <is>
          <t>Thu</t>
        </is>
      </c>
      <c r="D1387" s="66" t="inlineStr">
        <is>
          <t>TikTok</t>
        </is>
      </c>
      <c r="E1387" s="66" t="inlineStr">
        <is>
          <t>TikTok</t>
        </is>
      </c>
      <c r="F1387" s="66" t="inlineStr">
        <is>
          <t>LEP_ZA_AUG26_TT_SPARK_RANGE_TRAFFIC</t>
        </is>
      </c>
      <c r="G1387" s="66" t="inlineStr">
        <is>
          <t>Traffic - Spark Ads</t>
        </is>
      </c>
      <c r="H1387" s="66" t="inlineStr">
        <is>
          <t>Range</t>
        </is>
      </c>
      <c r="I1387" s="66" t="inlineStr">
        <is>
          <t>Range Offer</t>
        </is>
      </c>
      <c r="J1387" s="66" t="inlineStr">
        <is>
          <t>TT_SPARK_CREATOR_UGC_ZA</t>
        </is>
      </c>
      <c r="K1387" s="66" t="inlineStr">
        <is>
          <t>Prospecting</t>
        </is>
      </c>
      <c r="L1387" s="66" t="inlineStr">
        <is>
          <t>TT_SPARK_@thecarplug_Compare_v1</t>
        </is>
      </c>
      <c r="M1387" s="66" t="inlineStr">
        <is>
          <t>Spark Ad</t>
        </is>
      </c>
      <c r="N1387" s="66" t="inlineStr">
        <is>
          <t>Creator handle: @thecarplug</t>
        </is>
      </c>
      <c r="O1387" s="66" t="inlineStr">
        <is>
          <t>Auction - Lowest Cost</t>
        </is>
      </c>
      <c r="P1387" s="66" t="inlineStr">
        <is>
          <t>Landing Page View</t>
        </is>
      </c>
      <c r="Q1387" s="66" t="inlineStr">
        <is>
          <t>https://www.lepas-sa.co.za/offers</t>
        </is>
      </c>
      <c r="R1387" s="121" t="n">
        <v>118.75</v>
      </c>
      <c r="S1387" s="122" t="n">
        <v>3064</v>
      </c>
      <c r="T1387" s="122" t="n">
        <v>2207</v>
      </c>
      <c r="U1387" s="123">
        <f>IFERROR(S1387/T1387,"")</f>
        <v/>
      </c>
      <c r="V1387" s="122" t="n">
        <v>27</v>
      </c>
      <c r="W1387" s="122" t="n">
        <v>22</v>
      </c>
      <c r="X1387" s="124">
        <f>IFERROR(W1387/S1387,"")</f>
        <v/>
      </c>
      <c r="Y1387" s="121">
        <f>IFERROR(R1387/W1387,"")</f>
        <v/>
      </c>
      <c r="Z1387" s="121">
        <f>IFERROR(R1387/S1387*1000,"")</f>
        <v/>
      </c>
      <c r="AA1387" s="122" t="n">
        <v>15</v>
      </c>
      <c r="AB1387" s="54">
        <f>IFERROR(AA1387/W1387,"")</f>
        <v/>
      </c>
      <c r="AC1387" s="122" t="n">
        <v>1003</v>
      </c>
      <c r="AD1387" s="122" t="n">
        <v>570</v>
      </c>
      <c r="AE1387" s="122" t="n">
        <v>386</v>
      </c>
      <c r="AF1387" s="122" t="n">
        <v>209</v>
      </c>
      <c r="AG1387" s="122" t="n">
        <v>166</v>
      </c>
      <c r="AH1387" s="122" t="n">
        <v>92</v>
      </c>
      <c r="AI1387" s="54">
        <f>IFERROR(AC1387/S1387,"")</f>
        <v/>
      </c>
      <c r="AJ1387" s="54">
        <f>IFERROR(AH1387/S1387,"")</f>
        <v/>
      </c>
      <c r="AK1387" s="122" t="n">
        <v>176</v>
      </c>
      <c r="AL1387" s="122" t="n">
        <v>0</v>
      </c>
      <c r="AM1387" s="124">
        <f>IFERROR(AL1387/AA1387,"")</f>
        <v/>
      </c>
      <c r="AN1387" s="125">
        <f>IFERROR(R1387/AL1387,"")</f>
        <v/>
      </c>
      <c r="AO1387" s="122" t="n">
        <v>0</v>
      </c>
      <c r="AP1387" s="54">
        <f>IFERROR(AO1387/AL1387,"")</f>
        <v/>
      </c>
      <c r="AQ1387" s="125">
        <f>IFERROR(R1387/AO1387,"")</f>
        <v/>
      </c>
      <c r="AR1387" s="122" t="n">
        <v>0</v>
      </c>
      <c r="AS1387" s="122" t="n">
        <v>0</v>
      </c>
      <c r="AT1387" s="122">
        <f>AL1387+AR1387</f>
        <v/>
      </c>
      <c r="AU1387" s="125">
        <f>IFERROR(AO1387*Assumptions!$C$26*Assumptions!$C$27*INDEX(Assumptions!$C$18:$C$21,MATCH(H1387,Assumptions!$B$18:$B$21,0)),0)</f>
        <v/>
      </c>
    </row>
    <row r="1388">
      <c r="A1388" s="120" t="n">
        <v>46248</v>
      </c>
      <c r="B1388" s="66" t="inlineStr">
        <is>
          <t>Wk 33</t>
        </is>
      </c>
      <c r="C1388" s="66" t="inlineStr">
        <is>
          <t>Fri</t>
        </is>
      </c>
      <c r="D1388" s="66" t="inlineStr">
        <is>
          <t>TikTok</t>
        </is>
      </c>
      <c r="E1388" s="66" t="inlineStr">
        <is>
          <t>TikTok</t>
        </is>
      </c>
      <c r="F1388" s="66" t="inlineStr">
        <is>
          <t>LEP_ZA_AUG26_TT_SPARK_RANGE_TRAFFIC</t>
        </is>
      </c>
      <c r="G1388" s="66" t="inlineStr">
        <is>
          <t>Traffic - Spark Ads</t>
        </is>
      </c>
      <c r="H1388" s="66" t="inlineStr">
        <is>
          <t>Range</t>
        </is>
      </c>
      <c r="I1388" s="66" t="inlineStr">
        <is>
          <t>Range Offer</t>
        </is>
      </c>
      <c r="J1388" s="66" t="inlineStr">
        <is>
          <t>TT_SPARK_CREATOR_UGC_ZA</t>
        </is>
      </c>
      <c r="K1388" s="66" t="inlineStr">
        <is>
          <t>Prospecting</t>
        </is>
      </c>
      <c r="L1388" s="66" t="inlineStr">
        <is>
          <t>TT_SPARK_@thecarplug_Compare_v1</t>
        </is>
      </c>
      <c r="M1388" s="66" t="inlineStr">
        <is>
          <t>Spark Ad</t>
        </is>
      </c>
      <c r="N1388" s="66" t="inlineStr">
        <is>
          <t>Creator handle: @thecarplug</t>
        </is>
      </c>
      <c r="O1388" s="66" t="inlineStr">
        <is>
          <t>Auction - Lowest Cost</t>
        </is>
      </c>
      <c r="P1388" s="66" t="inlineStr">
        <is>
          <t>Landing Page View</t>
        </is>
      </c>
      <c r="Q1388" s="66" t="inlineStr">
        <is>
          <t>https://www.lepas-sa.co.za/offers</t>
        </is>
      </c>
      <c r="R1388" s="121" t="n">
        <v>114.09</v>
      </c>
      <c r="S1388" s="122" t="n">
        <v>4308</v>
      </c>
      <c r="T1388" s="122" t="n">
        <v>2819</v>
      </c>
      <c r="U1388" s="123">
        <f>IFERROR(S1388/T1388,"")</f>
        <v/>
      </c>
      <c r="V1388" s="122" t="n">
        <v>43</v>
      </c>
      <c r="W1388" s="122" t="n">
        <v>35</v>
      </c>
      <c r="X1388" s="124">
        <f>IFERROR(W1388/S1388,"")</f>
        <v/>
      </c>
      <c r="Y1388" s="121">
        <f>IFERROR(R1388/W1388,"")</f>
        <v/>
      </c>
      <c r="Z1388" s="121">
        <f>IFERROR(R1388/S1388*1000,"")</f>
        <v/>
      </c>
      <c r="AA1388" s="122" t="n">
        <v>22</v>
      </c>
      <c r="AB1388" s="54">
        <f>IFERROR(AA1388/W1388,"")</f>
        <v/>
      </c>
      <c r="AC1388" s="122" t="n">
        <v>1182</v>
      </c>
      <c r="AD1388" s="122" t="n">
        <v>585</v>
      </c>
      <c r="AE1388" s="122" t="n">
        <v>568</v>
      </c>
      <c r="AF1388" s="122" t="n">
        <v>314</v>
      </c>
      <c r="AG1388" s="122" t="n">
        <v>234</v>
      </c>
      <c r="AH1388" s="122" t="n">
        <v>158</v>
      </c>
      <c r="AI1388" s="54">
        <f>IFERROR(AC1388/S1388,"")</f>
        <v/>
      </c>
      <c r="AJ1388" s="54">
        <f>IFERROR(AH1388/S1388,"")</f>
        <v/>
      </c>
      <c r="AK1388" s="122" t="n">
        <v>203</v>
      </c>
      <c r="AL1388" s="122" t="n">
        <v>0</v>
      </c>
      <c r="AM1388" s="124">
        <f>IFERROR(AL1388/AA1388,"")</f>
        <v/>
      </c>
      <c r="AN1388" s="125">
        <f>IFERROR(R1388/AL1388,"")</f>
        <v/>
      </c>
      <c r="AO1388" s="122" t="n">
        <v>0</v>
      </c>
      <c r="AP1388" s="54">
        <f>IFERROR(AO1388/AL1388,"")</f>
        <v/>
      </c>
      <c r="AQ1388" s="125">
        <f>IFERROR(R1388/AO1388,"")</f>
        <v/>
      </c>
      <c r="AR1388" s="122" t="n">
        <v>0</v>
      </c>
      <c r="AS1388" s="122" t="n">
        <v>0</v>
      </c>
      <c r="AT1388" s="122">
        <f>AL1388+AR1388</f>
        <v/>
      </c>
      <c r="AU1388" s="125">
        <f>IFERROR(AO1388*Assumptions!$C$26*Assumptions!$C$27*INDEX(Assumptions!$C$18:$C$21,MATCH(H1388,Assumptions!$B$18:$B$21,0)),0)</f>
        <v/>
      </c>
    </row>
    <row r="1389">
      <c r="A1389" s="120" t="n">
        <v>46249</v>
      </c>
      <c r="B1389" s="66" t="inlineStr">
        <is>
          <t>Wk 33</t>
        </is>
      </c>
      <c r="C1389" s="66" t="inlineStr">
        <is>
          <t>Sat</t>
        </is>
      </c>
      <c r="D1389" s="66" t="inlineStr">
        <is>
          <t>TikTok</t>
        </is>
      </c>
      <c r="E1389" s="66" t="inlineStr">
        <is>
          <t>TikTok</t>
        </is>
      </c>
      <c r="F1389" s="66" t="inlineStr">
        <is>
          <t>LEP_ZA_AUG26_TT_SPARK_RANGE_TRAFFIC</t>
        </is>
      </c>
      <c r="G1389" s="66" t="inlineStr">
        <is>
          <t>Traffic - Spark Ads</t>
        </is>
      </c>
      <c r="H1389" s="66" t="inlineStr">
        <is>
          <t>Range</t>
        </is>
      </c>
      <c r="I1389" s="66" t="inlineStr">
        <is>
          <t>Range Offer</t>
        </is>
      </c>
      <c r="J1389" s="66" t="inlineStr">
        <is>
          <t>TT_SPARK_CREATOR_UGC_ZA</t>
        </is>
      </c>
      <c r="K1389" s="66" t="inlineStr">
        <is>
          <t>Prospecting</t>
        </is>
      </c>
      <c r="L1389" s="66" t="inlineStr">
        <is>
          <t>TT_SPARK_@thecarplug_Compare_v1</t>
        </is>
      </c>
      <c r="M1389" s="66" t="inlineStr">
        <is>
          <t>Spark Ad</t>
        </is>
      </c>
      <c r="N1389" s="66" t="inlineStr">
        <is>
          <t>Creator handle: @thecarplug</t>
        </is>
      </c>
      <c r="O1389" s="66" t="inlineStr">
        <is>
          <t>Auction - Lowest Cost</t>
        </is>
      </c>
      <c r="P1389" s="66" t="inlineStr">
        <is>
          <t>Landing Page View</t>
        </is>
      </c>
      <c r="Q1389" s="66" t="inlineStr">
        <is>
          <t>https://www.lepas-sa.co.za/offers</t>
        </is>
      </c>
      <c r="R1389" s="121" t="n">
        <v>98.75</v>
      </c>
      <c r="S1389" s="122" t="n">
        <v>2209</v>
      </c>
      <c r="T1389" s="122" t="n">
        <v>1462</v>
      </c>
      <c r="U1389" s="123">
        <f>IFERROR(S1389/T1389,"")</f>
        <v/>
      </c>
      <c r="V1389" s="122" t="n">
        <v>22</v>
      </c>
      <c r="W1389" s="122" t="n">
        <v>16</v>
      </c>
      <c r="X1389" s="124">
        <f>IFERROR(W1389/S1389,"")</f>
        <v/>
      </c>
      <c r="Y1389" s="121">
        <f>IFERROR(R1389/W1389,"")</f>
        <v/>
      </c>
      <c r="Z1389" s="121">
        <f>IFERROR(R1389/S1389*1000,"")</f>
        <v/>
      </c>
      <c r="AA1389" s="122" t="n">
        <v>11</v>
      </c>
      <c r="AB1389" s="54">
        <f>IFERROR(AA1389/W1389,"")</f>
        <v/>
      </c>
      <c r="AC1389" s="122" t="n">
        <v>671</v>
      </c>
      <c r="AD1389" s="122" t="n">
        <v>311</v>
      </c>
      <c r="AE1389" s="122" t="n">
        <v>243</v>
      </c>
      <c r="AF1389" s="122" t="n">
        <v>165</v>
      </c>
      <c r="AG1389" s="122" t="n">
        <v>107</v>
      </c>
      <c r="AH1389" s="122" t="n">
        <v>62</v>
      </c>
      <c r="AI1389" s="54">
        <f>IFERROR(AC1389/S1389,"")</f>
        <v/>
      </c>
      <c r="AJ1389" s="54">
        <f>IFERROR(AH1389/S1389,"")</f>
        <v/>
      </c>
      <c r="AK1389" s="122" t="n">
        <v>90</v>
      </c>
      <c r="AL1389" s="122" t="n">
        <v>0</v>
      </c>
      <c r="AM1389" s="124">
        <f>IFERROR(AL1389/AA1389,"")</f>
        <v/>
      </c>
      <c r="AN1389" s="125">
        <f>IFERROR(R1389/AL1389,"")</f>
        <v/>
      </c>
      <c r="AO1389" s="122" t="n">
        <v>0</v>
      </c>
      <c r="AP1389" s="54">
        <f>IFERROR(AO1389/AL1389,"")</f>
        <v/>
      </c>
      <c r="AQ1389" s="125">
        <f>IFERROR(R1389/AO1389,"")</f>
        <v/>
      </c>
      <c r="AR1389" s="122" t="n">
        <v>0</v>
      </c>
      <c r="AS1389" s="122" t="n">
        <v>0</v>
      </c>
      <c r="AT1389" s="122">
        <f>AL1389+AR1389</f>
        <v/>
      </c>
      <c r="AU1389" s="125">
        <f>IFERROR(AO1389*Assumptions!$C$26*Assumptions!$C$27*INDEX(Assumptions!$C$18:$C$21,MATCH(H1389,Assumptions!$B$18:$B$21,0)),0)</f>
        <v/>
      </c>
    </row>
    <row r="1390">
      <c r="A1390" s="120" t="n">
        <v>46250</v>
      </c>
      <c r="B1390" s="66" t="inlineStr">
        <is>
          <t>Wk 33</t>
        </is>
      </c>
      <c r="C1390" s="66" t="inlineStr">
        <is>
          <t>Sun</t>
        </is>
      </c>
      <c r="D1390" s="66" t="inlineStr">
        <is>
          <t>TikTok</t>
        </is>
      </c>
      <c r="E1390" s="66" t="inlineStr">
        <is>
          <t>TikTok</t>
        </is>
      </c>
      <c r="F1390" s="66" t="inlineStr">
        <is>
          <t>LEP_ZA_AUG26_TT_SPARK_RANGE_TRAFFIC</t>
        </is>
      </c>
      <c r="G1390" s="66" t="inlineStr">
        <is>
          <t>Traffic - Spark Ads</t>
        </is>
      </c>
      <c r="H1390" s="66" t="inlineStr">
        <is>
          <t>Range</t>
        </is>
      </c>
      <c r="I1390" s="66" t="inlineStr">
        <is>
          <t>Range Offer</t>
        </is>
      </c>
      <c r="J1390" s="66" t="inlineStr">
        <is>
          <t>TT_SPARK_CREATOR_UGC_ZA</t>
        </is>
      </c>
      <c r="K1390" s="66" t="inlineStr">
        <is>
          <t>Prospecting</t>
        </is>
      </c>
      <c r="L1390" s="66" t="inlineStr">
        <is>
          <t>TT_SPARK_@thecarplug_Compare_v1</t>
        </is>
      </c>
      <c r="M1390" s="66" t="inlineStr">
        <is>
          <t>Spark Ad</t>
        </is>
      </c>
      <c r="N1390" s="66" t="inlineStr">
        <is>
          <t>Creator handle: @thecarplug</t>
        </is>
      </c>
      <c r="O1390" s="66" t="inlineStr">
        <is>
          <t>Auction - Lowest Cost</t>
        </is>
      </c>
      <c r="P1390" s="66" t="inlineStr">
        <is>
          <t>Landing Page View</t>
        </is>
      </c>
      <c r="Q1390" s="66" t="inlineStr">
        <is>
          <t>https://www.lepas-sa.co.za/offers</t>
        </is>
      </c>
      <c r="R1390" s="121" t="n">
        <v>86.13</v>
      </c>
      <c r="S1390" s="122" t="n">
        <v>2396</v>
      </c>
      <c r="T1390" s="122" t="n">
        <v>1169</v>
      </c>
      <c r="U1390" s="123">
        <f>IFERROR(S1390/T1390,"")</f>
        <v/>
      </c>
      <c r="V1390" s="122" t="n">
        <v>30</v>
      </c>
      <c r="W1390" s="122" t="n">
        <v>24</v>
      </c>
      <c r="X1390" s="124">
        <f>IFERROR(W1390/S1390,"")</f>
        <v/>
      </c>
      <c r="Y1390" s="121">
        <f>IFERROR(R1390/W1390,"")</f>
        <v/>
      </c>
      <c r="Z1390" s="121">
        <f>IFERROR(R1390/S1390*1000,"")</f>
        <v/>
      </c>
      <c r="AA1390" s="122" t="n">
        <v>16</v>
      </c>
      <c r="AB1390" s="54">
        <f>IFERROR(AA1390/W1390,"")</f>
        <v/>
      </c>
      <c r="AC1390" s="122" t="n">
        <v>584</v>
      </c>
      <c r="AD1390" s="122" t="n">
        <v>269</v>
      </c>
      <c r="AE1390" s="122" t="n">
        <v>224</v>
      </c>
      <c r="AF1390" s="122" t="n">
        <v>133</v>
      </c>
      <c r="AG1390" s="122" t="n">
        <v>88</v>
      </c>
      <c r="AH1390" s="122" t="n">
        <v>51</v>
      </c>
      <c r="AI1390" s="54">
        <f>IFERROR(AC1390/S1390,"")</f>
        <v/>
      </c>
      <c r="AJ1390" s="54">
        <f>IFERROR(AH1390/S1390,"")</f>
        <v/>
      </c>
      <c r="AK1390" s="122" t="n">
        <v>94</v>
      </c>
      <c r="AL1390" s="122" t="n">
        <v>0</v>
      </c>
      <c r="AM1390" s="124">
        <f>IFERROR(AL1390/AA1390,"")</f>
        <v/>
      </c>
      <c r="AN1390" s="125">
        <f>IFERROR(R1390/AL1390,"")</f>
        <v/>
      </c>
      <c r="AO1390" s="122" t="n">
        <v>0</v>
      </c>
      <c r="AP1390" s="54">
        <f>IFERROR(AO1390/AL1390,"")</f>
        <v/>
      </c>
      <c r="AQ1390" s="125">
        <f>IFERROR(R1390/AO1390,"")</f>
        <v/>
      </c>
      <c r="AR1390" s="122" t="n">
        <v>0</v>
      </c>
      <c r="AS1390" s="122" t="n">
        <v>0</v>
      </c>
      <c r="AT1390" s="122">
        <f>AL1390+AR1390</f>
        <v/>
      </c>
      <c r="AU1390" s="125">
        <f>IFERROR(AO1390*Assumptions!$C$26*Assumptions!$C$27*INDEX(Assumptions!$C$18:$C$21,MATCH(H1390,Assumptions!$B$18:$B$21,0)),0)</f>
        <v/>
      </c>
    </row>
    <row r="1391">
      <c r="A1391" s="120" t="n">
        <v>46251</v>
      </c>
      <c r="B1391" s="66" t="inlineStr">
        <is>
          <t>Wk 34</t>
        </is>
      </c>
      <c r="C1391" s="66" t="inlineStr">
        <is>
          <t>Mon</t>
        </is>
      </c>
      <c r="D1391" s="66" t="inlineStr">
        <is>
          <t>TikTok</t>
        </is>
      </c>
      <c r="E1391" s="66" t="inlineStr">
        <is>
          <t>TikTok</t>
        </is>
      </c>
      <c r="F1391" s="66" t="inlineStr">
        <is>
          <t>LEP_ZA_AUG26_TT_SPARK_RANGE_TRAFFIC</t>
        </is>
      </c>
      <c r="G1391" s="66" t="inlineStr">
        <is>
          <t>Traffic - Spark Ads</t>
        </is>
      </c>
      <c r="H1391" s="66" t="inlineStr">
        <is>
          <t>Range</t>
        </is>
      </c>
      <c r="I1391" s="66" t="inlineStr">
        <is>
          <t>Range Offer</t>
        </is>
      </c>
      <c r="J1391" s="66" t="inlineStr">
        <is>
          <t>TT_SPARK_CREATOR_UGC_ZA</t>
        </is>
      </c>
      <c r="K1391" s="66" t="inlineStr">
        <is>
          <t>Prospecting</t>
        </is>
      </c>
      <c r="L1391" s="66" t="inlineStr">
        <is>
          <t>TT_SPARK_@thecarplug_Compare_v1</t>
        </is>
      </c>
      <c r="M1391" s="66" t="inlineStr">
        <is>
          <t>Spark Ad</t>
        </is>
      </c>
      <c r="N1391" s="66" t="inlineStr">
        <is>
          <t>Creator handle: @thecarplug</t>
        </is>
      </c>
      <c r="O1391" s="66" t="inlineStr">
        <is>
          <t>Auction - Lowest Cost</t>
        </is>
      </c>
      <c r="P1391" s="66" t="inlineStr">
        <is>
          <t>Landing Page View</t>
        </is>
      </c>
      <c r="Q1391" s="66" t="inlineStr">
        <is>
          <t>https://www.lepas-sa.co.za/offers</t>
        </is>
      </c>
      <c r="R1391" s="121" t="n">
        <v>88.23999999999999</v>
      </c>
      <c r="S1391" s="122" t="n">
        <v>2204</v>
      </c>
      <c r="T1391" s="122" t="n">
        <v>1210</v>
      </c>
      <c r="U1391" s="123">
        <f>IFERROR(S1391/T1391,"")</f>
        <v/>
      </c>
      <c r="V1391" s="122" t="n">
        <v>26</v>
      </c>
      <c r="W1391" s="122" t="n">
        <v>21</v>
      </c>
      <c r="X1391" s="124">
        <f>IFERROR(W1391/S1391,"")</f>
        <v/>
      </c>
      <c r="Y1391" s="121">
        <f>IFERROR(R1391/W1391,"")</f>
        <v/>
      </c>
      <c r="Z1391" s="121">
        <f>IFERROR(R1391/S1391*1000,"")</f>
        <v/>
      </c>
      <c r="AA1391" s="122" t="n">
        <v>15</v>
      </c>
      <c r="AB1391" s="54">
        <f>IFERROR(AA1391/W1391,"")</f>
        <v/>
      </c>
      <c r="AC1391" s="122" t="n">
        <v>588</v>
      </c>
      <c r="AD1391" s="122" t="n">
        <v>298</v>
      </c>
      <c r="AE1391" s="122" t="n">
        <v>264</v>
      </c>
      <c r="AF1391" s="122" t="n">
        <v>149</v>
      </c>
      <c r="AG1391" s="122" t="n">
        <v>118</v>
      </c>
      <c r="AH1391" s="122" t="n">
        <v>70</v>
      </c>
      <c r="AI1391" s="54">
        <f>IFERROR(AC1391/S1391,"")</f>
        <v/>
      </c>
      <c r="AJ1391" s="54">
        <f>IFERROR(AH1391/S1391,"")</f>
        <v/>
      </c>
      <c r="AK1391" s="122" t="n">
        <v>95</v>
      </c>
      <c r="AL1391" s="122" t="n">
        <v>0</v>
      </c>
      <c r="AM1391" s="124">
        <f>IFERROR(AL1391/AA1391,"")</f>
        <v/>
      </c>
      <c r="AN1391" s="125">
        <f>IFERROR(R1391/AL1391,"")</f>
        <v/>
      </c>
      <c r="AO1391" s="122" t="n">
        <v>0</v>
      </c>
      <c r="AP1391" s="54">
        <f>IFERROR(AO1391/AL1391,"")</f>
        <v/>
      </c>
      <c r="AQ1391" s="125">
        <f>IFERROR(R1391/AO1391,"")</f>
        <v/>
      </c>
      <c r="AR1391" s="122" t="n">
        <v>0</v>
      </c>
      <c r="AS1391" s="122" t="n">
        <v>0</v>
      </c>
      <c r="AT1391" s="122">
        <f>AL1391+AR1391</f>
        <v/>
      </c>
      <c r="AU1391" s="125">
        <f>IFERROR(AO1391*Assumptions!$C$26*Assumptions!$C$27*INDEX(Assumptions!$C$18:$C$21,MATCH(H1391,Assumptions!$B$18:$B$21,0)),0)</f>
        <v/>
      </c>
    </row>
    <row r="1392">
      <c r="A1392" s="120" t="n">
        <v>46252</v>
      </c>
      <c r="B1392" s="66" t="inlineStr">
        <is>
          <t>Wk 34</t>
        </is>
      </c>
      <c r="C1392" s="66" t="inlineStr">
        <is>
          <t>Tue</t>
        </is>
      </c>
      <c r="D1392" s="66" t="inlineStr">
        <is>
          <t>TikTok</t>
        </is>
      </c>
      <c r="E1392" s="66" t="inlineStr">
        <is>
          <t>TikTok</t>
        </is>
      </c>
      <c r="F1392" s="66" t="inlineStr">
        <is>
          <t>LEP_ZA_AUG26_TT_SPARK_RANGE_TRAFFIC</t>
        </is>
      </c>
      <c r="G1392" s="66" t="inlineStr">
        <is>
          <t>Traffic - Spark Ads</t>
        </is>
      </c>
      <c r="H1392" s="66" t="inlineStr">
        <is>
          <t>Range</t>
        </is>
      </c>
      <c r="I1392" s="66" t="inlineStr">
        <is>
          <t>Range Offer</t>
        </is>
      </c>
      <c r="J1392" s="66" t="inlineStr">
        <is>
          <t>TT_SPARK_CREATOR_UGC_ZA</t>
        </is>
      </c>
      <c r="K1392" s="66" t="inlineStr">
        <is>
          <t>Prospecting</t>
        </is>
      </c>
      <c r="L1392" s="66" t="inlineStr">
        <is>
          <t>TT_SPARK_@thecarplug_Compare_v1</t>
        </is>
      </c>
      <c r="M1392" s="66" t="inlineStr">
        <is>
          <t>Spark Ad</t>
        </is>
      </c>
      <c r="N1392" s="66" t="inlineStr">
        <is>
          <t>Creator handle: @thecarplug</t>
        </is>
      </c>
      <c r="O1392" s="66" t="inlineStr">
        <is>
          <t>Auction - Lowest Cost</t>
        </is>
      </c>
      <c r="P1392" s="66" t="inlineStr">
        <is>
          <t>Landing Page View</t>
        </is>
      </c>
      <c r="Q1392" s="66" t="inlineStr">
        <is>
          <t>https://www.lepas-sa.co.za/offers</t>
        </is>
      </c>
      <c r="R1392" s="121" t="n">
        <v>90.41</v>
      </c>
      <c r="S1392" s="122" t="n">
        <v>2441</v>
      </c>
      <c r="T1392" s="122" t="n">
        <v>1676</v>
      </c>
      <c r="U1392" s="123">
        <f>IFERROR(S1392/T1392,"")</f>
        <v/>
      </c>
      <c r="V1392" s="122" t="n">
        <v>22</v>
      </c>
      <c r="W1392" s="122" t="n">
        <v>16</v>
      </c>
      <c r="X1392" s="124">
        <f>IFERROR(W1392/S1392,"")</f>
        <v/>
      </c>
      <c r="Y1392" s="121">
        <f>IFERROR(R1392/W1392,"")</f>
        <v/>
      </c>
      <c r="Z1392" s="121">
        <f>IFERROR(R1392/S1392*1000,"")</f>
        <v/>
      </c>
      <c r="AA1392" s="122" t="n">
        <v>10</v>
      </c>
      <c r="AB1392" s="54">
        <f>IFERROR(AA1392/W1392,"")</f>
        <v/>
      </c>
      <c r="AC1392" s="122" t="n">
        <v>938</v>
      </c>
      <c r="AD1392" s="122" t="n">
        <v>418</v>
      </c>
      <c r="AE1392" s="122" t="n">
        <v>387</v>
      </c>
      <c r="AF1392" s="122" t="n">
        <v>247</v>
      </c>
      <c r="AG1392" s="122" t="n">
        <v>197</v>
      </c>
      <c r="AH1392" s="122" t="n">
        <v>126</v>
      </c>
      <c r="AI1392" s="54">
        <f>IFERROR(AC1392/S1392,"")</f>
        <v/>
      </c>
      <c r="AJ1392" s="54">
        <f>IFERROR(AH1392/S1392,"")</f>
        <v/>
      </c>
      <c r="AK1392" s="122" t="n">
        <v>110</v>
      </c>
      <c r="AL1392" s="122" t="n">
        <v>0</v>
      </c>
      <c r="AM1392" s="124">
        <f>IFERROR(AL1392/AA1392,"")</f>
        <v/>
      </c>
      <c r="AN1392" s="125">
        <f>IFERROR(R1392/AL1392,"")</f>
        <v/>
      </c>
      <c r="AO1392" s="122" t="n">
        <v>0</v>
      </c>
      <c r="AP1392" s="54">
        <f>IFERROR(AO1392/AL1392,"")</f>
        <v/>
      </c>
      <c r="AQ1392" s="125">
        <f>IFERROR(R1392/AO1392,"")</f>
        <v/>
      </c>
      <c r="AR1392" s="122" t="n">
        <v>0</v>
      </c>
      <c r="AS1392" s="122" t="n">
        <v>0</v>
      </c>
      <c r="AT1392" s="122">
        <f>AL1392+AR1392</f>
        <v/>
      </c>
      <c r="AU1392" s="125">
        <f>IFERROR(AO1392*Assumptions!$C$26*Assumptions!$C$27*INDEX(Assumptions!$C$18:$C$21,MATCH(H1392,Assumptions!$B$18:$B$21,0)),0)</f>
        <v/>
      </c>
    </row>
    <row r="1393">
      <c r="A1393" s="120" t="n">
        <v>46253</v>
      </c>
      <c r="B1393" s="66" t="inlineStr">
        <is>
          <t>Wk 34</t>
        </is>
      </c>
      <c r="C1393" s="66" t="inlineStr">
        <is>
          <t>Wed</t>
        </is>
      </c>
      <c r="D1393" s="66" t="inlineStr">
        <is>
          <t>TikTok</t>
        </is>
      </c>
      <c r="E1393" s="66" t="inlineStr">
        <is>
          <t>TikTok</t>
        </is>
      </c>
      <c r="F1393" s="66" t="inlineStr">
        <is>
          <t>LEP_ZA_AUG26_TT_SPARK_RANGE_TRAFFIC</t>
        </is>
      </c>
      <c r="G1393" s="66" t="inlineStr">
        <is>
          <t>Traffic - Spark Ads</t>
        </is>
      </c>
      <c r="H1393" s="66" t="inlineStr">
        <is>
          <t>Range</t>
        </is>
      </c>
      <c r="I1393" s="66" t="inlineStr">
        <is>
          <t>Range Offer</t>
        </is>
      </c>
      <c r="J1393" s="66" t="inlineStr">
        <is>
          <t>TT_SPARK_CREATOR_UGC_ZA</t>
        </is>
      </c>
      <c r="K1393" s="66" t="inlineStr">
        <is>
          <t>Prospecting</t>
        </is>
      </c>
      <c r="L1393" s="66" t="inlineStr">
        <is>
          <t>TT_SPARK_@thecarplug_Compare_v1</t>
        </is>
      </c>
      <c r="M1393" s="66" t="inlineStr">
        <is>
          <t>Spark Ad</t>
        </is>
      </c>
      <c r="N1393" s="66" t="inlineStr">
        <is>
          <t>Creator handle: @thecarplug</t>
        </is>
      </c>
      <c r="O1393" s="66" t="inlineStr">
        <is>
          <t>Auction - Lowest Cost</t>
        </is>
      </c>
      <c r="P1393" s="66" t="inlineStr">
        <is>
          <t>Landing Page View</t>
        </is>
      </c>
      <c r="Q1393" s="66" t="inlineStr">
        <is>
          <t>https://www.lepas-sa.co.za/offers</t>
        </is>
      </c>
      <c r="R1393" s="121" t="n">
        <v>102.67</v>
      </c>
      <c r="S1393" s="122" t="n">
        <v>3082</v>
      </c>
      <c r="T1393" s="122" t="n">
        <v>1498</v>
      </c>
      <c r="U1393" s="123">
        <f>IFERROR(S1393/T1393,"")</f>
        <v/>
      </c>
      <c r="V1393" s="122" t="n">
        <v>42</v>
      </c>
      <c r="W1393" s="122" t="n">
        <v>34</v>
      </c>
      <c r="X1393" s="124">
        <f>IFERROR(W1393/S1393,"")</f>
        <v/>
      </c>
      <c r="Y1393" s="121">
        <f>IFERROR(R1393/W1393,"")</f>
        <v/>
      </c>
      <c r="Z1393" s="121">
        <f>IFERROR(R1393/S1393*1000,"")</f>
        <v/>
      </c>
      <c r="AA1393" s="122" t="n">
        <v>20</v>
      </c>
      <c r="AB1393" s="54">
        <f>IFERROR(AA1393/W1393,"")</f>
        <v/>
      </c>
      <c r="AC1393" s="122" t="n">
        <v>832</v>
      </c>
      <c r="AD1393" s="122" t="n">
        <v>436</v>
      </c>
      <c r="AE1393" s="122" t="n">
        <v>405</v>
      </c>
      <c r="AF1393" s="122" t="n">
        <v>251</v>
      </c>
      <c r="AG1393" s="122" t="n">
        <v>165</v>
      </c>
      <c r="AH1393" s="122" t="n">
        <v>117</v>
      </c>
      <c r="AI1393" s="54">
        <f>IFERROR(AC1393/S1393,"")</f>
        <v/>
      </c>
      <c r="AJ1393" s="54">
        <f>IFERROR(AH1393/S1393,"")</f>
        <v/>
      </c>
      <c r="AK1393" s="122" t="n">
        <v>172</v>
      </c>
      <c r="AL1393" s="122" t="n">
        <v>0</v>
      </c>
      <c r="AM1393" s="124">
        <f>IFERROR(AL1393/AA1393,"")</f>
        <v/>
      </c>
      <c r="AN1393" s="125">
        <f>IFERROR(R1393/AL1393,"")</f>
        <v/>
      </c>
      <c r="AO1393" s="122" t="n">
        <v>0</v>
      </c>
      <c r="AP1393" s="54">
        <f>IFERROR(AO1393/AL1393,"")</f>
        <v/>
      </c>
      <c r="AQ1393" s="125">
        <f>IFERROR(R1393/AO1393,"")</f>
        <v/>
      </c>
      <c r="AR1393" s="122" t="n">
        <v>0</v>
      </c>
      <c r="AS1393" s="122" t="n">
        <v>0</v>
      </c>
      <c r="AT1393" s="122">
        <f>AL1393+AR1393</f>
        <v/>
      </c>
      <c r="AU1393" s="125">
        <f>IFERROR(AO1393*Assumptions!$C$26*Assumptions!$C$27*INDEX(Assumptions!$C$18:$C$21,MATCH(H1393,Assumptions!$B$18:$B$21,0)),0)</f>
        <v/>
      </c>
    </row>
    <row r="1394">
      <c r="A1394" s="120" t="n">
        <v>46254</v>
      </c>
      <c r="B1394" s="66" t="inlineStr">
        <is>
          <t>Wk 34</t>
        </is>
      </c>
      <c r="C1394" s="66" t="inlineStr">
        <is>
          <t>Thu</t>
        </is>
      </c>
      <c r="D1394" s="66" t="inlineStr">
        <is>
          <t>TikTok</t>
        </is>
      </c>
      <c r="E1394" s="66" t="inlineStr">
        <is>
          <t>TikTok</t>
        </is>
      </c>
      <c r="F1394" s="66" t="inlineStr">
        <is>
          <t>LEP_ZA_AUG26_TT_SPARK_RANGE_TRAFFIC</t>
        </is>
      </c>
      <c r="G1394" s="66" t="inlineStr">
        <is>
          <t>Traffic - Spark Ads</t>
        </is>
      </c>
      <c r="H1394" s="66" t="inlineStr">
        <is>
          <t>Range</t>
        </is>
      </c>
      <c r="I1394" s="66" t="inlineStr">
        <is>
          <t>Range Offer</t>
        </is>
      </c>
      <c r="J1394" s="66" t="inlineStr">
        <is>
          <t>TT_SPARK_CREATOR_UGC_ZA</t>
        </is>
      </c>
      <c r="K1394" s="66" t="inlineStr">
        <is>
          <t>Prospecting</t>
        </is>
      </c>
      <c r="L1394" s="66" t="inlineStr">
        <is>
          <t>TT_SPARK_@thecarplug_Compare_v1</t>
        </is>
      </c>
      <c r="M1394" s="66" t="inlineStr">
        <is>
          <t>Spark Ad</t>
        </is>
      </c>
      <c r="N1394" s="66" t="inlineStr">
        <is>
          <t>Creator handle: @thecarplug</t>
        </is>
      </c>
      <c r="O1394" s="66" t="inlineStr">
        <is>
          <t>Auction - Lowest Cost</t>
        </is>
      </c>
      <c r="P1394" s="66" t="inlineStr">
        <is>
          <t>Landing Page View</t>
        </is>
      </c>
      <c r="Q1394" s="66" t="inlineStr">
        <is>
          <t>https://www.lepas-sa.co.za/offers</t>
        </is>
      </c>
      <c r="R1394" s="121" t="n">
        <v>109.45</v>
      </c>
      <c r="S1394" s="122" t="n">
        <v>3703</v>
      </c>
      <c r="T1394" s="122" t="n">
        <v>1989</v>
      </c>
      <c r="U1394" s="123">
        <f>IFERROR(S1394/T1394,"")</f>
        <v/>
      </c>
      <c r="V1394" s="122" t="n">
        <v>26</v>
      </c>
      <c r="W1394" s="122" t="n">
        <v>20</v>
      </c>
      <c r="X1394" s="124">
        <f>IFERROR(W1394/S1394,"")</f>
        <v/>
      </c>
      <c r="Y1394" s="121">
        <f>IFERROR(R1394/W1394,"")</f>
        <v/>
      </c>
      <c r="Z1394" s="121">
        <f>IFERROR(R1394/S1394*1000,"")</f>
        <v/>
      </c>
      <c r="AA1394" s="122" t="n">
        <v>14</v>
      </c>
      <c r="AB1394" s="54">
        <f>IFERROR(AA1394/W1394,"")</f>
        <v/>
      </c>
      <c r="AC1394" s="122" t="n">
        <v>1414</v>
      </c>
      <c r="AD1394" s="122" t="n">
        <v>784</v>
      </c>
      <c r="AE1394" s="122" t="n">
        <v>729</v>
      </c>
      <c r="AF1394" s="122" t="n">
        <v>424</v>
      </c>
      <c r="AG1394" s="122" t="n">
        <v>308</v>
      </c>
      <c r="AH1394" s="122" t="n">
        <v>180</v>
      </c>
      <c r="AI1394" s="54">
        <f>IFERROR(AC1394/S1394,"")</f>
        <v/>
      </c>
      <c r="AJ1394" s="54">
        <f>IFERROR(AH1394/S1394,"")</f>
        <v/>
      </c>
      <c r="AK1394" s="122" t="n">
        <v>164</v>
      </c>
      <c r="AL1394" s="122" t="n">
        <v>0</v>
      </c>
      <c r="AM1394" s="124">
        <f>IFERROR(AL1394/AA1394,"")</f>
        <v/>
      </c>
      <c r="AN1394" s="125">
        <f>IFERROR(R1394/AL1394,"")</f>
        <v/>
      </c>
      <c r="AO1394" s="122" t="n">
        <v>0</v>
      </c>
      <c r="AP1394" s="54">
        <f>IFERROR(AO1394/AL1394,"")</f>
        <v/>
      </c>
      <c r="AQ1394" s="125">
        <f>IFERROR(R1394/AO1394,"")</f>
        <v/>
      </c>
      <c r="AR1394" s="122" t="n">
        <v>0</v>
      </c>
      <c r="AS1394" s="122" t="n">
        <v>0</v>
      </c>
      <c r="AT1394" s="122">
        <f>AL1394+AR1394</f>
        <v/>
      </c>
      <c r="AU1394" s="125">
        <f>IFERROR(AO1394*Assumptions!$C$26*Assumptions!$C$27*INDEX(Assumptions!$C$18:$C$21,MATCH(H1394,Assumptions!$B$18:$B$21,0)),0)</f>
        <v/>
      </c>
    </row>
    <row r="1395">
      <c r="A1395" s="120" t="n">
        <v>46255</v>
      </c>
      <c r="B1395" s="66" t="inlineStr">
        <is>
          <t>Wk 34</t>
        </is>
      </c>
      <c r="C1395" s="66" t="inlineStr">
        <is>
          <t>Fri</t>
        </is>
      </c>
      <c r="D1395" s="66" t="inlineStr">
        <is>
          <t>TikTok</t>
        </is>
      </c>
      <c r="E1395" s="66" t="inlineStr">
        <is>
          <t>TikTok</t>
        </is>
      </c>
      <c r="F1395" s="66" t="inlineStr">
        <is>
          <t>LEP_ZA_AUG26_TT_SPARK_RANGE_TRAFFIC</t>
        </is>
      </c>
      <c r="G1395" s="66" t="inlineStr">
        <is>
          <t>Traffic - Spark Ads</t>
        </is>
      </c>
      <c r="H1395" s="66" t="inlineStr">
        <is>
          <t>Range</t>
        </is>
      </c>
      <c r="I1395" s="66" t="inlineStr">
        <is>
          <t>Range Offer</t>
        </is>
      </c>
      <c r="J1395" s="66" t="inlineStr">
        <is>
          <t>TT_SPARK_CREATOR_UGC_ZA</t>
        </is>
      </c>
      <c r="K1395" s="66" t="inlineStr">
        <is>
          <t>Prospecting</t>
        </is>
      </c>
      <c r="L1395" s="66" t="inlineStr">
        <is>
          <t>TT_SPARK_@thecarplug_Compare_v1</t>
        </is>
      </c>
      <c r="M1395" s="66" t="inlineStr">
        <is>
          <t>Spark Ad</t>
        </is>
      </c>
      <c r="N1395" s="66" t="inlineStr">
        <is>
          <t>Creator handle: @thecarplug</t>
        </is>
      </c>
      <c r="O1395" s="66" t="inlineStr">
        <is>
          <t>Auction - Lowest Cost</t>
        </is>
      </c>
      <c r="P1395" s="66" t="inlineStr">
        <is>
          <t>Landing Page View</t>
        </is>
      </c>
      <c r="Q1395" s="66" t="inlineStr">
        <is>
          <t>https://www.lepas-sa.co.za/offers</t>
        </is>
      </c>
      <c r="R1395" s="121" t="n">
        <v>100.14</v>
      </c>
      <c r="S1395" s="122" t="n">
        <v>3920</v>
      </c>
      <c r="T1395" s="122" t="n">
        <v>1918</v>
      </c>
      <c r="U1395" s="123">
        <f>IFERROR(S1395/T1395,"")</f>
        <v/>
      </c>
      <c r="V1395" s="122" t="n">
        <v>40</v>
      </c>
      <c r="W1395" s="122" t="n">
        <v>34</v>
      </c>
      <c r="X1395" s="124">
        <f>IFERROR(W1395/S1395,"")</f>
        <v/>
      </c>
      <c r="Y1395" s="121">
        <f>IFERROR(R1395/W1395,"")</f>
        <v/>
      </c>
      <c r="Z1395" s="121">
        <f>IFERROR(R1395/S1395*1000,"")</f>
        <v/>
      </c>
      <c r="AA1395" s="122" t="n">
        <v>26</v>
      </c>
      <c r="AB1395" s="54">
        <f>IFERROR(AA1395/W1395,"")</f>
        <v/>
      </c>
      <c r="AC1395" s="122" t="n">
        <v>1321</v>
      </c>
      <c r="AD1395" s="122" t="n">
        <v>803</v>
      </c>
      <c r="AE1395" s="122" t="n">
        <v>698</v>
      </c>
      <c r="AF1395" s="122" t="n">
        <v>459</v>
      </c>
      <c r="AG1395" s="122" t="n">
        <v>347</v>
      </c>
      <c r="AH1395" s="122" t="n">
        <v>212</v>
      </c>
      <c r="AI1395" s="54">
        <f>IFERROR(AC1395/S1395,"")</f>
        <v/>
      </c>
      <c r="AJ1395" s="54">
        <f>IFERROR(AH1395/S1395,"")</f>
        <v/>
      </c>
      <c r="AK1395" s="122" t="n">
        <v>146</v>
      </c>
      <c r="AL1395" s="122" t="n">
        <v>1</v>
      </c>
      <c r="AM1395" s="124">
        <f>IFERROR(AL1395/AA1395,"")</f>
        <v/>
      </c>
      <c r="AN1395" s="125">
        <f>IFERROR(R1395/AL1395,"")</f>
        <v/>
      </c>
      <c r="AO1395" s="122" t="n">
        <v>1</v>
      </c>
      <c r="AP1395" s="54">
        <f>IFERROR(AO1395/AL1395,"")</f>
        <v/>
      </c>
      <c r="AQ1395" s="125">
        <f>IFERROR(R1395/AO1395,"")</f>
        <v/>
      </c>
      <c r="AR1395" s="122" t="n">
        <v>0</v>
      </c>
      <c r="AS1395" s="122" t="n">
        <v>0</v>
      </c>
      <c r="AT1395" s="122">
        <f>AL1395+AR1395</f>
        <v/>
      </c>
      <c r="AU1395" s="125">
        <f>IFERROR(AO1395*Assumptions!$C$26*Assumptions!$C$27*INDEX(Assumptions!$C$18:$C$21,MATCH(H1395,Assumptions!$B$18:$B$21,0)),0)</f>
        <v/>
      </c>
    </row>
    <row r="1396">
      <c r="A1396" s="120" t="n">
        <v>46256</v>
      </c>
      <c r="B1396" s="66" t="inlineStr">
        <is>
          <t>Wk 34</t>
        </is>
      </c>
      <c r="C1396" s="66" t="inlineStr">
        <is>
          <t>Sat</t>
        </is>
      </c>
      <c r="D1396" s="66" t="inlineStr">
        <is>
          <t>TikTok</t>
        </is>
      </c>
      <c r="E1396" s="66" t="inlineStr">
        <is>
          <t>TikTok</t>
        </is>
      </c>
      <c r="F1396" s="66" t="inlineStr">
        <is>
          <t>LEP_ZA_AUG26_TT_SPARK_RANGE_TRAFFIC</t>
        </is>
      </c>
      <c r="G1396" s="66" t="inlineStr">
        <is>
          <t>Traffic - Spark Ads</t>
        </is>
      </c>
      <c r="H1396" s="66" t="inlineStr">
        <is>
          <t>Range</t>
        </is>
      </c>
      <c r="I1396" s="66" t="inlineStr">
        <is>
          <t>Range Offer</t>
        </is>
      </c>
      <c r="J1396" s="66" t="inlineStr">
        <is>
          <t>TT_SPARK_CREATOR_UGC_ZA</t>
        </is>
      </c>
      <c r="K1396" s="66" t="inlineStr">
        <is>
          <t>Prospecting</t>
        </is>
      </c>
      <c r="L1396" s="66" t="inlineStr">
        <is>
          <t>TT_SPARK_@thecarplug_Compare_v1</t>
        </is>
      </c>
      <c r="M1396" s="66" t="inlineStr">
        <is>
          <t>Spark Ad</t>
        </is>
      </c>
      <c r="N1396" s="66" t="inlineStr">
        <is>
          <t>Creator handle: @thecarplug</t>
        </is>
      </c>
      <c r="O1396" s="66" t="inlineStr">
        <is>
          <t>Auction - Lowest Cost</t>
        </is>
      </c>
      <c r="P1396" s="66" t="inlineStr">
        <is>
          <t>Landing Page View</t>
        </is>
      </c>
      <c r="Q1396" s="66" t="inlineStr">
        <is>
          <t>https://www.lepas-sa.co.za/offers</t>
        </is>
      </c>
      <c r="R1396" s="121" t="n">
        <v>111.9</v>
      </c>
      <c r="S1396" s="122" t="n">
        <v>2743</v>
      </c>
      <c r="T1396" s="122" t="n">
        <v>1738</v>
      </c>
      <c r="U1396" s="123">
        <f>IFERROR(S1396/T1396,"")</f>
        <v/>
      </c>
      <c r="V1396" s="122" t="n">
        <v>15</v>
      </c>
      <c r="W1396" s="122" t="n">
        <v>12</v>
      </c>
      <c r="X1396" s="124">
        <f>IFERROR(W1396/S1396,"")</f>
        <v/>
      </c>
      <c r="Y1396" s="121">
        <f>IFERROR(R1396/W1396,"")</f>
        <v/>
      </c>
      <c r="Z1396" s="121">
        <f>IFERROR(R1396/S1396*1000,"")</f>
        <v/>
      </c>
      <c r="AA1396" s="122" t="n">
        <v>8</v>
      </c>
      <c r="AB1396" s="54">
        <f>IFERROR(AA1396/W1396,"")</f>
        <v/>
      </c>
      <c r="AC1396" s="122" t="n">
        <v>932</v>
      </c>
      <c r="AD1396" s="122" t="n">
        <v>544</v>
      </c>
      <c r="AE1396" s="122" t="n">
        <v>493</v>
      </c>
      <c r="AF1396" s="122" t="n">
        <v>309</v>
      </c>
      <c r="AG1396" s="122" t="n">
        <v>226</v>
      </c>
      <c r="AH1396" s="122" t="n">
        <v>128</v>
      </c>
      <c r="AI1396" s="54">
        <f>IFERROR(AC1396/S1396,"")</f>
        <v/>
      </c>
      <c r="AJ1396" s="54">
        <f>IFERROR(AH1396/S1396,"")</f>
        <v/>
      </c>
      <c r="AK1396" s="122" t="n">
        <v>161</v>
      </c>
      <c r="AL1396" s="122" t="n">
        <v>0</v>
      </c>
      <c r="AM1396" s="124">
        <f>IFERROR(AL1396/AA1396,"")</f>
        <v/>
      </c>
      <c r="AN1396" s="125">
        <f>IFERROR(R1396/AL1396,"")</f>
        <v/>
      </c>
      <c r="AO1396" s="122" t="n">
        <v>0</v>
      </c>
      <c r="AP1396" s="54">
        <f>IFERROR(AO1396/AL1396,"")</f>
        <v/>
      </c>
      <c r="AQ1396" s="125">
        <f>IFERROR(R1396/AO1396,"")</f>
        <v/>
      </c>
      <c r="AR1396" s="122" t="n">
        <v>0</v>
      </c>
      <c r="AS1396" s="122" t="n">
        <v>0</v>
      </c>
      <c r="AT1396" s="122">
        <f>AL1396+AR1396</f>
        <v/>
      </c>
      <c r="AU1396" s="125">
        <f>IFERROR(AO1396*Assumptions!$C$26*Assumptions!$C$27*INDEX(Assumptions!$C$18:$C$21,MATCH(H1396,Assumptions!$B$18:$B$21,0)),0)</f>
        <v/>
      </c>
    </row>
    <row r="1397">
      <c r="A1397" s="120" t="n">
        <v>46257</v>
      </c>
      <c r="B1397" s="66" t="inlineStr">
        <is>
          <t>Wk 34</t>
        </is>
      </c>
      <c r="C1397" s="66" t="inlineStr">
        <is>
          <t>Sun</t>
        </is>
      </c>
      <c r="D1397" s="66" t="inlineStr">
        <is>
          <t>TikTok</t>
        </is>
      </c>
      <c r="E1397" s="66" t="inlineStr">
        <is>
          <t>TikTok</t>
        </is>
      </c>
      <c r="F1397" s="66" t="inlineStr">
        <is>
          <t>LEP_ZA_AUG26_TT_SPARK_RANGE_TRAFFIC</t>
        </is>
      </c>
      <c r="G1397" s="66" t="inlineStr">
        <is>
          <t>Traffic - Spark Ads</t>
        </is>
      </c>
      <c r="H1397" s="66" t="inlineStr">
        <is>
          <t>Range</t>
        </is>
      </c>
      <c r="I1397" s="66" t="inlineStr">
        <is>
          <t>Range Offer</t>
        </is>
      </c>
      <c r="J1397" s="66" t="inlineStr">
        <is>
          <t>TT_SPARK_CREATOR_UGC_ZA</t>
        </is>
      </c>
      <c r="K1397" s="66" t="inlineStr">
        <is>
          <t>Prospecting</t>
        </is>
      </c>
      <c r="L1397" s="66" t="inlineStr">
        <is>
          <t>TT_SPARK_@thecarplug_Compare_v1</t>
        </is>
      </c>
      <c r="M1397" s="66" t="inlineStr">
        <is>
          <t>Spark Ad</t>
        </is>
      </c>
      <c r="N1397" s="66" t="inlineStr">
        <is>
          <t>Creator handle: @thecarplug</t>
        </is>
      </c>
      <c r="O1397" s="66" t="inlineStr">
        <is>
          <t>Auction - Lowest Cost</t>
        </is>
      </c>
      <c r="P1397" s="66" t="inlineStr">
        <is>
          <t>Landing Page View</t>
        </is>
      </c>
      <c r="Q1397" s="66" t="inlineStr">
        <is>
          <t>https://www.lepas-sa.co.za/offers</t>
        </is>
      </c>
      <c r="R1397" s="121" t="n">
        <v>93.23999999999999</v>
      </c>
      <c r="S1397" s="122" t="n">
        <v>2293</v>
      </c>
      <c r="T1397" s="122" t="n">
        <v>1108</v>
      </c>
      <c r="U1397" s="123">
        <f>IFERROR(S1397/T1397,"")</f>
        <v/>
      </c>
      <c r="V1397" s="122" t="n">
        <v>18</v>
      </c>
      <c r="W1397" s="122" t="n">
        <v>14</v>
      </c>
      <c r="X1397" s="124">
        <f>IFERROR(W1397/S1397,"")</f>
        <v/>
      </c>
      <c r="Y1397" s="121">
        <f>IFERROR(R1397/W1397,"")</f>
        <v/>
      </c>
      <c r="Z1397" s="121">
        <f>IFERROR(R1397/S1397*1000,"")</f>
        <v/>
      </c>
      <c r="AA1397" s="122" t="n">
        <v>10</v>
      </c>
      <c r="AB1397" s="54">
        <f>IFERROR(AA1397/W1397,"")</f>
        <v/>
      </c>
      <c r="AC1397" s="122" t="n">
        <v>806</v>
      </c>
      <c r="AD1397" s="122" t="n">
        <v>430</v>
      </c>
      <c r="AE1397" s="122" t="n">
        <v>371</v>
      </c>
      <c r="AF1397" s="122" t="n">
        <v>233</v>
      </c>
      <c r="AG1397" s="122" t="n">
        <v>176</v>
      </c>
      <c r="AH1397" s="122" t="n">
        <v>101</v>
      </c>
      <c r="AI1397" s="54">
        <f>IFERROR(AC1397/S1397,"")</f>
        <v/>
      </c>
      <c r="AJ1397" s="54">
        <f>IFERROR(AH1397/S1397,"")</f>
        <v/>
      </c>
      <c r="AK1397" s="122" t="n">
        <v>80</v>
      </c>
      <c r="AL1397" s="122" t="n">
        <v>0</v>
      </c>
      <c r="AM1397" s="124">
        <f>IFERROR(AL1397/AA1397,"")</f>
        <v/>
      </c>
      <c r="AN1397" s="125">
        <f>IFERROR(R1397/AL1397,"")</f>
        <v/>
      </c>
      <c r="AO1397" s="122" t="n">
        <v>0</v>
      </c>
      <c r="AP1397" s="54">
        <f>IFERROR(AO1397/AL1397,"")</f>
        <v/>
      </c>
      <c r="AQ1397" s="125">
        <f>IFERROR(R1397/AO1397,"")</f>
        <v/>
      </c>
      <c r="AR1397" s="122" t="n">
        <v>0</v>
      </c>
      <c r="AS1397" s="122" t="n">
        <v>0</v>
      </c>
      <c r="AT1397" s="122">
        <f>AL1397+AR1397</f>
        <v/>
      </c>
      <c r="AU1397" s="125">
        <f>IFERROR(AO1397*Assumptions!$C$26*Assumptions!$C$27*INDEX(Assumptions!$C$18:$C$21,MATCH(H1397,Assumptions!$B$18:$B$21,0)),0)</f>
        <v/>
      </c>
    </row>
    <row r="1398">
      <c r="A1398" s="120" t="n">
        <v>46258</v>
      </c>
      <c r="B1398" s="66" t="inlineStr">
        <is>
          <t>Wk 35</t>
        </is>
      </c>
      <c r="C1398" s="66" t="inlineStr">
        <is>
          <t>Mon</t>
        </is>
      </c>
      <c r="D1398" s="66" t="inlineStr">
        <is>
          <t>TikTok</t>
        </is>
      </c>
      <c r="E1398" s="66" t="inlineStr">
        <is>
          <t>TikTok</t>
        </is>
      </c>
      <c r="F1398" s="66" t="inlineStr">
        <is>
          <t>LEP_ZA_AUG26_TT_SPARK_RANGE_TRAFFIC</t>
        </is>
      </c>
      <c r="G1398" s="66" t="inlineStr">
        <is>
          <t>Traffic - Spark Ads</t>
        </is>
      </c>
      <c r="H1398" s="66" t="inlineStr">
        <is>
          <t>Range</t>
        </is>
      </c>
      <c r="I1398" s="66" t="inlineStr">
        <is>
          <t>Range Offer</t>
        </is>
      </c>
      <c r="J1398" s="66" t="inlineStr">
        <is>
          <t>TT_SPARK_CREATOR_UGC_ZA</t>
        </is>
      </c>
      <c r="K1398" s="66" t="inlineStr">
        <is>
          <t>Prospecting</t>
        </is>
      </c>
      <c r="L1398" s="66" t="inlineStr">
        <is>
          <t>TT_SPARK_@thecarplug_Compare_v1</t>
        </is>
      </c>
      <c r="M1398" s="66" t="inlineStr">
        <is>
          <t>Spark Ad</t>
        </is>
      </c>
      <c r="N1398" s="66" t="inlineStr">
        <is>
          <t>Creator handle: @thecarplug</t>
        </is>
      </c>
      <c r="O1398" s="66" t="inlineStr">
        <is>
          <t>Auction - Lowest Cost</t>
        </is>
      </c>
      <c r="P1398" s="66" t="inlineStr">
        <is>
          <t>Landing Page View</t>
        </is>
      </c>
      <c r="Q1398" s="66" t="inlineStr">
        <is>
          <t>https://www.lepas-sa.co.za/offers</t>
        </is>
      </c>
      <c r="R1398" s="121" t="n">
        <v>95.88</v>
      </c>
      <c r="S1398" s="122" t="n">
        <v>2370</v>
      </c>
      <c r="T1398" s="122" t="n">
        <v>1074</v>
      </c>
      <c r="U1398" s="123">
        <f>IFERROR(S1398/T1398,"")</f>
        <v/>
      </c>
      <c r="V1398" s="122" t="n">
        <v>17</v>
      </c>
      <c r="W1398" s="122" t="n">
        <v>14</v>
      </c>
      <c r="X1398" s="124">
        <f>IFERROR(W1398/S1398,"")</f>
        <v/>
      </c>
      <c r="Y1398" s="121">
        <f>IFERROR(R1398/W1398,"")</f>
        <v/>
      </c>
      <c r="Z1398" s="121">
        <f>IFERROR(R1398/S1398*1000,"")</f>
        <v/>
      </c>
      <c r="AA1398" s="122" t="n">
        <v>10</v>
      </c>
      <c r="AB1398" s="54">
        <f>IFERROR(AA1398/W1398,"")</f>
        <v/>
      </c>
      <c r="AC1398" s="122" t="n">
        <v>718</v>
      </c>
      <c r="AD1398" s="122" t="n">
        <v>355</v>
      </c>
      <c r="AE1398" s="122" t="n">
        <v>336</v>
      </c>
      <c r="AF1398" s="122" t="n">
        <v>181</v>
      </c>
      <c r="AG1398" s="122" t="n">
        <v>122</v>
      </c>
      <c r="AH1398" s="122" t="n">
        <v>79</v>
      </c>
      <c r="AI1398" s="54">
        <f>IFERROR(AC1398/S1398,"")</f>
        <v/>
      </c>
      <c r="AJ1398" s="54">
        <f>IFERROR(AH1398/S1398,"")</f>
        <v/>
      </c>
      <c r="AK1398" s="122" t="n">
        <v>96</v>
      </c>
      <c r="AL1398" s="122" t="n">
        <v>0</v>
      </c>
      <c r="AM1398" s="124">
        <f>IFERROR(AL1398/AA1398,"")</f>
        <v/>
      </c>
      <c r="AN1398" s="125">
        <f>IFERROR(R1398/AL1398,"")</f>
        <v/>
      </c>
      <c r="AO1398" s="122" t="n">
        <v>0</v>
      </c>
      <c r="AP1398" s="54">
        <f>IFERROR(AO1398/AL1398,"")</f>
        <v/>
      </c>
      <c r="AQ1398" s="125">
        <f>IFERROR(R1398/AO1398,"")</f>
        <v/>
      </c>
      <c r="AR1398" s="122" t="n">
        <v>0</v>
      </c>
      <c r="AS1398" s="122" t="n">
        <v>0</v>
      </c>
      <c r="AT1398" s="122">
        <f>AL1398+AR1398</f>
        <v/>
      </c>
      <c r="AU1398" s="125">
        <f>IFERROR(AO1398*Assumptions!$C$26*Assumptions!$C$27*INDEX(Assumptions!$C$18:$C$21,MATCH(H1398,Assumptions!$B$18:$B$21,0)),0)</f>
        <v/>
      </c>
    </row>
    <row r="1399">
      <c r="A1399" s="120" t="n">
        <v>46259</v>
      </c>
      <c r="B1399" s="66" t="inlineStr">
        <is>
          <t>Wk 35</t>
        </is>
      </c>
      <c r="C1399" s="66" t="inlineStr">
        <is>
          <t>Tue</t>
        </is>
      </c>
      <c r="D1399" s="66" t="inlineStr">
        <is>
          <t>TikTok</t>
        </is>
      </c>
      <c r="E1399" s="66" t="inlineStr">
        <is>
          <t>TikTok</t>
        </is>
      </c>
      <c r="F1399" s="66" t="inlineStr">
        <is>
          <t>LEP_ZA_AUG26_TT_SPARK_RANGE_TRAFFIC</t>
        </is>
      </c>
      <c r="G1399" s="66" t="inlineStr">
        <is>
          <t>Traffic - Spark Ads</t>
        </is>
      </c>
      <c r="H1399" s="66" t="inlineStr">
        <is>
          <t>Range</t>
        </is>
      </c>
      <c r="I1399" s="66" t="inlineStr">
        <is>
          <t>Range Offer</t>
        </is>
      </c>
      <c r="J1399" s="66" t="inlineStr">
        <is>
          <t>TT_SPARK_CREATOR_UGC_ZA</t>
        </is>
      </c>
      <c r="K1399" s="66" t="inlineStr">
        <is>
          <t>Prospecting</t>
        </is>
      </c>
      <c r="L1399" s="66" t="inlineStr">
        <is>
          <t>TT_SPARK_@thecarplug_Compare_v1</t>
        </is>
      </c>
      <c r="M1399" s="66" t="inlineStr">
        <is>
          <t>Spark Ad</t>
        </is>
      </c>
      <c r="N1399" s="66" t="inlineStr">
        <is>
          <t>Creator handle: @thecarplug</t>
        </is>
      </c>
      <c r="O1399" s="66" t="inlineStr">
        <is>
          <t>Auction - Lowest Cost</t>
        </is>
      </c>
      <c r="P1399" s="66" t="inlineStr">
        <is>
          <t>Landing Page View</t>
        </is>
      </c>
      <c r="Q1399" s="66" t="inlineStr">
        <is>
          <t>https://www.lepas-sa.co.za/offers</t>
        </is>
      </c>
      <c r="R1399" s="121" t="n">
        <v>83.51000000000001</v>
      </c>
      <c r="S1399" s="122" t="n">
        <v>2821</v>
      </c>
      <c r="T1399" s="122" t="n">
        <v>1795</v>
      </c>
      <c r="U1399" s="123">
        <f>IFERROR(S1399/T1399,"")</f>
        <v/>
      </c>
      <c r="V1399" s="122" t="n">
        <v>32</v>
      </c>
      <c r="W1399" s="122" t="n">
        <v>24</v>
      </c>
      <c r="X1399" s="124">
        <f>IFERROR(W1399/S1399,"")</f>
        <v/>
      </c>
      <c r="Y1399" s="121">
        <f>IFERROR(R1399/W1399,"")</f>
        <v/>
      </c>
      <c r="Z1399" s="121">
        <f>IFERROR(R1399/S1399*1000,"")</f>
        <v/>
      </c>
      <c r="AA1399" s="122" t="n">
        <v>16</v>
      </c>
      <c r="AB1399" s="54">
        <f>IFERROR(AA1399/W1399,"")</f>
        <v/>
      </c>
      <c r="AC1399" s="122" t="n">
        <v>926</v>
      </c>
      <c r="AD1399" s="122" t="n">
        <v>520</v>
      </c>
      <c r="AE1399" s="122" t="n">
        <v>378</v>
      </c>
      <c r="AF1399" s="122" t="n">
        <v>212</v>
      </c>
      <c r="AG1399" s="122" t="n">
        <v>165</v>
      </c>
      <c r="AH1399" s="122" t="n">
        <v>117</v>
      </c>
      <c r="AI1399" s="54">
        <f>IFERROR(AC1399/S1399,"")</f>
        <v/>
      </c>
      <c r="AJ1399" s="54">
        <f>IFERROR(AH1399/S1399,"")</f>
        <v/>
      </c>
      <c r="AK1399" s="122" t="n">
        <v>167</v>
      </c>
      <c r="AL1399" s="122" t="n">
        <v>1</v>
      </c>
      <c r="AM1399" s="124">
        <f>IFERROR(AL1399/AA1399,"")</f>
        <v/>
      </c>
      <c r="AN1399" s="125">
        <f>IFERROR(R1399/AL1399,"")</f>
        <v/>
      </c>
      <c r="AO1399" s="122" t="n">
        <v>1</v>
      </c>
      <c r="AP1399" s="54">
        <f>IFERROR(AO1399/AL1399,"")</f>
        <v/>
      </c>
      <c r="AQ1399" s="125">
        <f>IFERROR(R1399/AO1399,"")</f>
        <v/>
      </c>
      <c r="AR1399" s="122" t="n">
        <v>1</v>
      </c>
      <c r="AS1399" s="122" t="n">
        <v>0</v>
      </c>
      <c r="AT1399" s="122">
        <f>AL1399+AR1399</f>
        <v/>
      </c>
      <c r="AU1399" s="125">
        <f>IFERROR(AO1399*Assumptions!$C$26*Assumptions!$C$27*INDEX(Assumptions!$C$18:$C$21,MATCH(H1399,Assumptions!$B$18:$B$21,0)),0)</f>
        <v/>
      </c>
    </row>
    <row r="1400">
      <c r="A1400" s="120" t="n">
        <v>46260</v>
      </c>
      <c r="B1400" s="66" t="inlineStr">
        <is>
          <t>Wk 35</t>
        </is>
      </c>
      <c r="C1400" s="66" t="inlineStr">
        <is>
          <t>Wed</t>
        </is>
      </c>
      <c r="D1400" s="66" t="inlineStr">
        <is>
          <t>TikTok</t>
        </is>
      </c>
      <c r="E1400" s="66" t="inlineStr">
        <is>
          <t>TikTok</t>
        </is>
      </c>
      <c r="F1400" s="66" t="inlineStr">
        <is>
          <t>LEP_ZA_AUG26_TT_SPARK_RANGE_TRAFFIC</t>
        </is>
      </c>
      <c r="G1400" s="66" t="inlineStr">
        <is>
          <t>Traffic - Spark Ads</t>
        </is>
      </c>
      <c r="H1400" s="66" t="inlineStr">
        <is>
          <t>Range</t>
        </is>
      </c>
      <c r="I1400" s="66" t="inlineStr">
        <is>
          <t>Range Offer</t>
        </is>
      </c>
      <c r="J1400" s="66" t="inlineStr">
        <is>
          <t>TT_SPARK_CREATOR_UGC_ZA</t>
        </is>
      </c>
      <c r="K1400" s="66" t="inlineStr">
        <is>
          <t>Prospecting</t>
        </is>
      </c>
      <c r="L1400" s="66" t="inlineStr">
        <is>
          <t>TT_SPARK_@thecarplug_Compare_v1</t>
        </is>
      </c>
      <c r="M1400" s="66" t="inlineStr">
        <is>
          <t>Spark Ad</t>
        </is>
      </c>
      <c r="N1400" s="66" t="inlineStr">
        <is>
          <t>Creator handle: @thecarplug</t>
        </is>
      </c>
      <c r="O1400" s="66" t="inlineStr">
        <is>
          <t>Auction - Lowest Cost</t>
        </is>
      </c>
      <c r="P1400" s="66" t="inlineStr">
        <is>
          <t>Landing Page View</t>
        </is>
      </c>
      <c r="Q1400" s="66" t="inlineStr">
        <is>
          <t>https://www.lepas-sa.co.za/offers</t>
        </is>
      </c>
      <c r="R1400" s="121" t="n">
        <v>98.87</v>
      </c>
      <c r="S1400" s="122" t="n">
        <v>3055</v>
      </c>
      <c r="T1400" s="122" t="n">
        <v>1541</v>
      </c>
      <c r="U1400" s="123">
        <f>IFERROR(S1400/T1400,"")</f>
        <v/>
      </c>
      <c r="V1400" s="122" t="n">
        <v>20</v>
      </c>
      <c r="W1400" s="122" t="n">
        <v>15</v>
      </c>
      <c r="X1400" s="124">
        <f>IFERROR(W1400/S1400,"")</f>
        <v/>
      </c>
      <c r="Y1400" s="121">
        <f>IFERROR(R1400/W1400,"")</f>
        <v/>
      </c>
      <c r="Z1400" s="121">
        <f>IFERROR(R1400/S1400*1000,"")</f>
        <v/>
      </c>
      <c r="AA1400" s="122" t="n">
        <v>11</v>
      </c>
      <c r="AB1400" s="54">
        <f>IFERROR(AA1400/W1400,"")</f>
        <v/>
      </c>
      <c r="AC1400" s="122" t="n">
        <v>1006</v>
      </c>
      <c r="AD1400" s="122" t="n">
        <v>581</v>
      </c>
      <c r="AE1400" s="122" t="n">
        <v>496</v>
      </c>
      <c r="AF1400" s="122" t="n">
        <v>310</v>
      </c>
      <c r="AG1400" s="122" t="n">
        <v>233</v>
      </c>
      <c r="AH1400" s="122" t="n">
        <v>169</v>
      </c>
      <c r="AI1400" s="54">
        <f>IFERROR(AC1400/S1400,"")</f>
        <v/>
      </c>
      <c r="AJ1400" s="54">
        <f>IFERROR(AH1400/S1400,"")</f>
        <v/>
      </c>
      <c r="AK1400" s="122" t="n">
        <v>172</v>
      </c>
      <c r="AL1400" s="122" t="n">
        <v>0</v>
      </c>
      <c r="AM1400" s="124">
        <f>IFERROR(AL1400/AA1400,"")</f>
        <v/>
      </c>
      <c r="AN1400" s="125">
        <f>IFERROR(R1400/AL1400,"")</f>
        <v/>
      </c>
      <c r="AO1400" s="122" t="n">
        <v>0</v>
      </c>
      <c r="AP1400" s="54">
        <f>IFERROR(AO1400/AL1400,"")</f>
        <v/>
      </c>
      <c r="AQ1400" s="125">
        <f>IFERROR(R1400/AO1400,"")</f>
        <v/>
      </c>
      <c r="AR1400" s="122" t="n">
        <v>0</v>
      </c>
      <c r="AS1400" s="122" t="n">
        <v>0</v>
      </c>
      <c r="AT1400" s="122">
        <f>AL1400+AR1400</f>
        <v/>
      </c>
      <c r="AU1400" s="125">
        <f>IFERROR(AO1400*Assumptions!$C$26*Assumptions!$C$27*INDEX(Assumptions!$C$18:$C$21,MATCH(H1400,Assumptions!$B$18:$B$21,0)),0)</f>
        <v/>
      </c>
    </row>
    <row r="1401">
      <c r="A1401" s="120" t="n">
        <v>46261</v>
      </c>
      <c r="B1401" s="66" t="inlineStr">
        <is>
          <t>Wk 35</t>
        </is>
      </c>
      <c r="C1401" s="66" t="inlineStr">
        <is>
          <t>Thu</t>
        </is>
      </c>
      <c r="D1401" s="66" t="inlineStr">
        <is>
          <t>TikTok</t>
        </is>
      </c>
      <c r="E1401" s="66" t="inlineStr">
        <is>
          <t>TikTok</t>
        </is>
      </c>
      <c r="F1401" s="66" t="inlineStr">
        <is>
          <t>LEP_ZA_AUG26_TT_SPARK_RANGE_TRAFFIC</t>
        </is>
      </c>
      <c r="G1401" s="66" t="inlineStr">
        <is>
          <t>Traffic - Spark Ads</t>
        </is>
      </c>
      <c r="H1401" s="66" t="inlineStr">
        <is>
          <t>Range</t>
        </is>
      </c>
      <c r="I1401" s="66" t="inlineStr">
        <is>
          <t>Range Offer</t>
        </is>
      </c>
      <c r="J1401" s="66" t="inlineStr">
        <is>
          <t>TT_SPARK_CREATOR_UGC_ZA</t>
        </is>
      </c>
      <c r="K1401" s="66" t="inlineStr">
        <is>
          <t>Prospecting</t>
        </is>
      </c>
      <c r="L1401" s="66" t="inlineStr">
        <is>
          <t>TT_SPARK_@thecarplug_Compare_v1</t>
        </is>
      </c>
      <c r="M1401" s="66" t="inlineStr">
        <is>
          <t>Spark Ad</t>
        </is>
      </c>
      <c r="N1401" s="66" t="inlineStr">
        <is>
          <t>Creator handle: @thecarplug</t>
        </is>
      </c>
      <c r="O1401" s="66" t="inlineStr">
        <is>
          <t>Auction - Lowest Cost</t>
        </is>
      </c>
      <c r="P1401" s="66" t="inlineStr">
        <is>
          <t>Landing Page View</t>
        </is>
      </c>
      <c r="Q1401" s="66" t="inlineStr">
        <is>
          <t>https://www.lepas-sa.co.za/offers</t>
        </is>
      </c>
      <c r="R1401" s="121" t="n">
        <v>124.71</v>
      </c>
      <c r="S1401" s="122" t="n">
        <v>4461</v>
      </c>
      <c r="T1401" s="122" t="n">
        <v>2077</v>
      </c>
      <c r="U1401" s="123">
        <f>IFERROR(S1401/T1401,"")</f>
        <v/>
      </c>
      <c r="V1401" s="122" t="n">
        <v>46</v>
      </c>
      <c r="W1401" s="122" t="n">
        <v>37</v>
      </c>
      <c r="X1401" s="124">
        <f>IFERROR(W1401/S1401,"")</f>
        <v/>
      </c>
      <c r="Y1401" s="121">
        <f>IFERROR(R1401/W1401,"")</f>
        <v/>
      </c>
      <c r="Z1401" s="121">
        <f>IFERROR(R1401/S1401*1000,"")</f>
        <v/>
      </c>
      <c r="AA1401" s="122" t="n">
        <v>26</v>
      </c>
      <c r="AB1401" s="54">
        <f>IFERROR(AA1401/W1401,"")</f>
        <v/>
      </c>
      <c r="AC1401" s="122" t="n">
        <v>1532</v>
      </c>
      <c r="AD1401" s="122" t="n">
        <v>693</v>
      </c>
      <c r="AE1401" s="122" t="n">
        <v>604</v>
      </c>
      <c r="AF1401" s="122" t="n">
        <v>364</v>
      </c>
      <c r="AG1401" s="122" t="n">
        <v>244</v>
      </c>
      <c r="AH1401" s="122" t="n">
        <v>150</v>
      </c>
      <c r="AI1401" s="54">
        <f>IFERROR(AC1401/S1401,"")</f>
        <v/>
      </c>
      <c r="AJ1401" s="54">
        <f>IFERROR(AH1401/S1401,"")</f>
        <v/>
      </c>
      <c r="AK1401" s="122" t="n">
        <v>217</v>
      </c>
      <c r="AL1401" s="122" t="n">
        <v>0</v>
      </c>
      <c r="AM1401" s="124">
        <f>IFERROR(AL1401/AA1401,"")</f>
        <v/>
      </c>
      <c r="AN1401" s="125">
        <f>IFERROR(R1401/AL1401,"")</f>
        <v/>
      </c>
      <c r="AO1401" s="122" t="n">
        <v>0</v>
      </c>
      <c r="AP1401" s="54">
        <f>IFERROR(AO1401/AL1401,"")</f>
        <v/>
      </c>
      <c r="AQ1401" s="125">
        <f>IFERROR(R1401/AO1401,"")</f>
        <v/>
      </c>
      <c r="AR1401" s="122" t="n">
        <v>0</v>
      </c>
      <c r="AS1401" s="122" t="n">
        <v>0</v>
      </c>
      <c r="AT1401" s="122">
        <f>AL1401+AR1401</f>
        <v/>
      </c>
      <c r="AU1401" s="125">
        <f>IFERROR(AO1401*Assumptions!$C$26*Assumptions!$C$27*INDEX(Assumptions!$C$18:$C$21,MATCH(H1401,Assumptions!$B$18:$B$21,0)),0)</f>
        <v/>
      </c>
    </row>
    <row r="1402">
      <c r="A1402" s="120" t="n">
        <v>46262</v>
      </c>
      <c r="B1402" s="66" t="inlineStr">
        <is>
          <t>Wk 35</t>
        </is>
      </c>
      <c r="C1402" s="66" t="inlineStr">
        <is>
          <t>Fri</t>
        </is>
      </c>
      <c r="D1402" s="66" t="inlineStr">
        <is>
          <t>TikTok</t>
        </is>
      </c>
      <c r="E1402" s="66" t="inlineStr">
        <is>
          <t>TikTok</t>
        </is>
      </c>
      <c r="F1402" s="66" t="inlineStr">
        <is>
          <t>LEP_ZA_AUG26_TT_SPARK_RANGE_TRAFFIC</t>
        </is>
      </c>
      <c r="G1402" s="66" t="inlineStr">
        <is>
          <t>Traffic - Spark Ads</t>
        </is>
      </c>
      <c r="H1402" s="66" t="inlineStr">
        <is>
          <t>Range</t>
        </is>
      </c>
      <c r="I1402" s="66" t="inlineStr">
        <is>
          <t>Range Offer</t>
        </is>
      </c>
      <c r="J1402" s="66" t="inlineStr">
        <is>
          <t>TT_SPARK_CREATOR_UGC_ZA</t>
        </is>
      </c>
      <c r="K1402" s="66" t="inlineStr">
        <is>
          <t>Prospecting</t>
        </is>
      </c>
      <c r="L1402" s="66" t="inlineStr">
        <is>
          <t>TT_SPARK_@thecarplug_Compare_v1</t>
        </is>
      </c>
      <c r="M1402" s="66" t="inlineStr">
        <is>
          <t>Spark Ad</t>
        </is>
      </c>
      <c r="N1402" s="66" t="inlineStr">
        <is>
          <t>Creator handle: @thecarplug</t>
        </is>
      </c>
      <c r="O1402" s="66" t="inlineStr">
        <is>
          <t>Auction - Lowest Cost</t>
        </is>
      </c>
      <c r="P1402" s="66" t="inlineStr">
        <is>
          <t>Landing Page View</t>
        </is>
      </c>
      <c r="Q1402" s="66" t="inlineStr">
        <is>
          <t>https://www.lepas-sa.co.za/offers</t>
        </is>
      </c>
      <c r="R1402" s="121" t="n">
        <v>119.26</v>
      </c>
      <c r="S1402" s="122" t="n">
        <v>3529</v>
      </c>
      <c r="T1402" s="122" t="n">
        <v>1766</v>
      </c>
      <c r="U1402" s="123">
        <f>IFERROR(S1402/T1402,"")</f>
        <v/>
      </c>
      <c r="V1402" s="122" t="n">
        <v>44</v>
      </c>
      <c r="W1402" s="122" t="n">
        <v>34</v>
      </c>
      <c r="X1402" s="124">
        <f>IFERROR(W1402/S1402,"")</f>
        <v/>
      </c>
      <c r="Y1402" s="121">
        <f>IFERROR(R1402/W1402,"")</f>
        <v/>
      </c>
      <c r="Z1402" s="121">
        <f>IFERROR(R1402/S1402*1000,"")</f>
        <v/>
      </c>
      <c r="AA1402" s="122" t="n">
        <v>25</v>
      </c>
      <c r="AB1402" s="54">
        <f>IFERROR(AA1402/W1402,"")</f>
        <v/>
      </c>
      <c r="AC1402" s="122" t="n">
        <v>1381</v>
      </c>
      <c r="AD1402" s="122" t="n">
        <v>662</v>
      </c>
      <c r="AE1402" s="122" t="n">
        <v>558</v>
      </c>
      <c r="AF1402" s="122" t="n">
        <v>309</v>
      </c>
      <c r="AG1402" s="122" t="n">
        <v>214</v>
      </c>
      <c r="AH1402" s="122" t="n">
        <v>150</v>
      </c>
      <c r="AI1402" s="54">
        <f>IFERROR(AC1402/S1402,"")</f>
        <v/>
      </c>
      <c r="AJ1402" s="54">
        <f>IFERROR(AH1402/S1402,"")</f>
        <v/>
      </c>
      <c r="AK1402" s="122" t="n">
        <v>139</v>
      </c>
      <c r="AL1402" s="122" t="n">
        <v>0</v>
      </c>
      <c r="AM1402" s="124">
        <f>IFERROR(AL1402/AA1402,"")</f>
        <v/>
      </c>
      <c r="AN1402" s="125">
        <f>IFERROR(R1402/AL1402,"")</f>
        <v/>
      </c>
      <c r="AO1402" s="122" t="n">
        <v>0</v>
      </c>
      <c r="AP1402" s="54">
        <f>IFERROR(AO1402/AL1402,"")</f>
        <v/>
      </c>
      <c r="AQ1402" s="125">
        <f>IFERROR(R1402/AO1402,"")</f>
        <v/>
      </c>
      <c r="AR1402" s="122" t="n">
        <v>0</v>
      </c>
      <c r="AS1402" s="122" t="n">
        <v>0</v>
      </c>
      <c r="AT1402" s="122">
        <f>AL1402+AR1402</f>
        <v/>
      </c>
      <c r="AU1402" s="125">
        <f>IFERROR(AO1402*Assumptions!$C$26*Assumptions!$C$27*INDEX(Assumptions!$C$18:$C$21,MATCH(H1402,Assumptions!$B$18:$B$21,0)),0)</f>
        <v/>
      </c>
    </row>
    <row r="1403">
      <c r="A1403" s="120" t="n">
        <v>46263</v>
      </c>
      <c r="B1403" s="66" t="inlineStr">
        <is>
          <t>Wk 35</t>
        </is>
      </c>
      <c r="C1403" s="66" t="inlineStr">
        <is>
          <t>Sat</t>
        </is>
      </c>
      <c r="D1403" s="66" t="inlineStr">
        <is>
          <t>TikTok</t>
        </is>
      </c>
      <c r="E1403" s="66" t="inlineStr">
        <is>
          <t>TikTok</t>
        </is>
      </c>
      <c r="F1403" s="66" t="inlineStr">
        <is>
          <t>LEP_ZA_AUG26_TT_SPARK_RANGE_TRAFFIC</t>
        </is>
      </c>
      <c r="G1403" s="66" t="inlineStr">
        <is>
          <t>Traffic - Spark Ads</t>
        </is>
      </c>
      <c r="H1403" s="66" t="inlineStr">
        <is>
          <t>Range</t>
        </is>
      </c>
      <c r="I1403" s="66" t="inlineStr">
        <is>
          <t>Range Offer</t>
        </is>
      </c>
      <c r="J1403" s="66" t="inlineStr">
        <is>
          <t>TT_SPARK_CREATOR_UGC_ZA</t>
        </is>
      </c>
      <c r="K1403" s="66" t="inlineStr">
        <is>
          <t>Prospecting</t>
        </is>
      </c>
      <c r="L1403" s="66" t="inlineStr">
        <is>
          <t>TT_SPARK_@thecarplug_Compare_v1</t>
        </is>
      </c>
      <c r="M1403" s="66" t="inlineStr">
        <is>
          <t>Spark Ad</t>
        </is>
      </c>
      <c r="N1403" s="66" t="inlineStr">
        <is>
          <t>Creator handle: @thecarplug</t>
        </is>
      </c>
      <c r="O1403" s="66" t="inlineStr">
        <is>
          <t>Auction - Lowest Cost</t>
        </is>
      </c>
      <c r="P1403" s="66" t="inlineStr">
        <is>
          <t>Landing Page View</t>
        </is>
      </c>
      <c r="Q1403" s="66" t="inlineStr">
        <is>
          <t>https://www.lepas-sa.co.za/offers</t>
        </is>
      </c>
      <c r="R1403" s="121" t="n">
        <v>110.86</v>
      </c>
      <c r="S1403" s="122" t="n">
        <v>2362</v>
      </c>
      <c r="T1403" s="122" t="n">
        <v>1433</v>
      </c>
      <c r="U1403" s="123">
        <f>IFERROR(S1403/T1403,"")</f>
        <v/>
      </c>
      <c r="V1403" s="122" t="n">
        <v>14</v>
      </c>
      <c r="W1403" s="122" t="n">
        <v>11</v>
      </c>
      <c r="X1403" s="124">
        <f>IFERROR(W1403/S1403,"")</f>
        <v/>
      </c>
      <c r="Y1403" s="121">
        <f>IFERROR(R1403/W1403,"")</f>
        <v/>
      </c>
      <c r="Z1403" s="121">
        <f>IFERROR(R1403/S1403*1000,"")</f>
        <v/>
      </c>
      <c r="AA1403" s="122" t="n">
        <v>7</v>
      </c>
      <c r="AB1403" s="54">
        <f>IFERROR(AA1403/W1403,"")</f>
        <v/>
      </c>
      <c r="AC1403" s="122" t="n">
        <v>869</v>
      </c>
      <c r="AD1403" s="122" t="n">
        <v>510</v>
      </c>
      <c r="AE1403" s="122" t="n">
        <v>381</v>
      </c>
      <c r="AF1403" s="122" t="n">
        <v>234</v>
      </c>
      <c r="AG1403" s="122" t="n">
        <v>164</v>
      </c>
      <c r="AH1403" s="122" t="n">
        <v>115</v>
      </c>
      <c r="AI1403" s="54">
        <f>IFERROR(AC1403/S1403,"")</f>
        <v/>
      </c>
      <c r="AJ1403" s="54">
        <f>IFERROR(AH1403/S1403,"")</f>
        <v/>
      </c>
      <c r="AK1403" s="122" t="n">
        <v>121</v>
      </c>
      <c r="AL1403" s="122" t="n">
        <v>0</v>
      </c>
      <c r="AM1403" s="124">
        <f>IFERROR(AL1403/AA1403,"")</f>
        <v/>
      </c>
      <c r="AN1403" s="125">
        <f>IFERROR(R1403/AL1403,"")</f>
        <v/>
      </c>
      <c r="AO1403" s="122" t="n">
        <v>0</v>
      </c>
      <c r="AP1403" s="54">
        <f>IFERROR(AO1403/AL1403,"")</f>
        <v/>
      </c>
      <c r="AQ1403" s="125">
        <f>IFERROR(R1403/AO1403,"")</f>
        <v/>
      </c>
      <c r="AR1403" s="122" t="n">
        <v>0</v>
      </c>
      <c r="AS1403" s="122" t="n">
        <v>0</v>
      </c>
      <c r="AT1403" s="122">
        <f>AL1403+AR1403</f>
        <v/>
      </c>
      <c r="AU1403" s="125">
        <f>IFERROR(AO1403*Assumptions!$C$26*Assumptions!$C$27*INDEX(Assumptions!$C$18:$C$21,MATCH(H1403,Assumptions!$B$18:$B$21,0)),0)</f>
        <v/>
      </c>
    </row>
    <row r="1404">
      <c r="A1404" s="120" t="n">
        <v>46264</v>
      </c>
      <c r="B1404" s="66" t="inlineStr">
        <is>
          <t>Wk 35</t>
        </is>
      </c>
      <c r="C1404" s="66" t="inlineStr">
        <is>
          <t>Sun</t>
        </is>
      </c>
      <c r="D1404" s="66" t="inlineStr">
        <is>
          <t>TikTok</t>
        </is>
      </c>
      <c r="E1404" s="66" t="inlineStr">
        <is>
          <t>TikTok</t>
        </is>
      </c>
      <c r="F1404" s="66" t="inlineStr">
        <is>
          <t>LEP_ZA_AUG26_TT_SPARK_RANGE_TRAFFIC</t>
        </is>
      </c>
      <c r="G1404" s="66" t="inlineStr">
        <is>
          <t>Traffic - Spark Ads</t>
        </is>
      </c>
      <c r="H1404" s="66" t="inlineStr">
        <is>
          <t>Range</t>
        </is>
      </c>
      <c r="I1404" s="66" t="inlineStr">
        <is>
          <t>Range Offer</t>
        </is>
      </c>
      <c r="J1404" s="66" t="inlineStr">
        <is>
          <t>TT_SPARK_CREATOR_UGC_ZA</t>
        </is>
      </c>
      <c r="K1404" s="66" t="inlineStr">
        <is>
          <t>Prospecting</t>
        </is>
      </c>
      <c r="L1404" s="66" t="inlineStr">
        <is>
          <t>TT_SPARK_@thecarplug_Compare_v1</t>
        </is>
      </c>
      <c r="M1404" s="66" t="inlineStr">
        <is>
          <t>Spark Ad</t>
        </is>
      </c>
      <c r="N1404" s="66" t="inlineStr">
        <is>
          <t>Creator handle: @thecarplug</t>
        </is>
      </c>
      <c r="O1404" s="66" t="inlineStr">
        <is>
          <t>Auction - Lowest Cost</t>
        </is>
      </c>
      <c r="P1404" s="66" t="inlineStr">
        <is>
          <t>Landing Page View</t>
        </is>
      </c>
      <c r="Q1404" s="66" t="inlineStr">
        <is>
          <t>https://www.lepas-sa.co.za/offers</t>
        </is>
      </c>
      <c r="R1404" s="121" t="n">
        <v>102.86</v>
      </c>
      <c r="S1404" s="122" t="n">
        <v>2489</v>
      </c>
      <c r="T1404" s="122" t="n">
        <v>1052</v>
      </c>
      <c r="U1404" s="123">
        <f>IFERROR(S1404/T1404,"")</f>
        <v/>
      </c>
      <c r="V1404" s="122" t="n">
        <v>25</v>
      </c>
      <c r="W1404" s="122" t="n">
        <v>18</v>
      </c>
      <c r="X1404" s="124">
        <f>IFERROR(W1404/S1404,"")</f>
        <v/>
      </c>
      <c r="Y1404" s="121">
        <f>IFERROR(R1404/W1404,"")</f>
        <v/>
      </c>
      <c r="Z1404" s="121">
        <f>IFERROR(R1404/S1404*1000,"")</f>
        <v/>
      </c>
      <c r="AA1404" s="122" t="n">
        <v>11</v>
      </c>
      <c r="AB1404" s="54">
        <f>IFERROR(AA1404/W1404,"")</f>
        <v/>
      </c>
      <c r="AC1404" s="122" t="n">
        <v>668</v>
      </c>
      <c r="AD1404" s="122" t="n">
        <v>345</v>
      </c>
      <c r="AE1404" s="122" t="n">
        <v>340</v>
      </c>
      <c r="AF1404" s="122" t="n">
        <v>218</v>
      </c>
      <c r="AG1404" s="122" t="n">
        <v>158</v>
      </c>
      <c r="AH1404" s="122" t="n">
        <v>95</v>
      </c>
      <c r="AI1404" s="54">
        <f>IFERROR(AC1404/S1404,"")</f>
        <v/>
      </c>
      <c r="AJ1404" s="54">
        <f>IFERROR(AH1404/S1404,"")</f>
        <v/>
      </c>
      <c r="AK1404" s="122" t="n">
        <v>101</v>
      </c>
      <c r="AL1404" s="122" t="n">
        <v>0</v>
      </c>
      <c r="AM1404" s="124">
        <f>IFERROR(AL1404/AA1404,"")</f>
        <v/>
      </c>
      <c r="AN1404" s="125">
        <f>IFERROR(R1404/AL1404,"")</f>
        <v/>
      </c>
      <c r="AO1404" s="122" t="n">
        <v>0</v>
      </c>
      <c r="AP1404" s="54">
        <f>IFERROR(AO1404/AL1404,"")</f>
        <v/>
      </c>
      <c r="AQ1404" s="125">
        <f>IFERROR(R1404/AO1404,"")</f>
        <v/>
      </c>
      <c r="AR1404" s="122" t="n">
        <v>0</v>
      </c>
      <c r="AS1404" s="122" t="n">
        <v>0</v>
      </c>
      <c r="AT1404" s="122">
        <f>AL1404+AR1404</f>
        <v/>
      </c>
      <c r="AU1404" s="125">
        <f>IFERROR(AO1404*Assumptions!$C$26*Assumptions!$C$27*INDEX(Assumptions!$C$18:$C$21,MATCH(H1404,Assumptions!$B$18:$B$21,0)),0)</f>
        <v/>
      </c>
    </row>
    <row r="1405">
      <c r="A1405" s="120" t="n">
        <v>46265</v>
      </c>
      <c r="B1405" s="66" t="inlineStr">
        <is>
          <t>Wk 36</t>
        </is>
      </c>
      <c r="C1405" s="66" t="inlineStr">
        <is>
          <t>Mon</t>
        </is>
      </c>
      <c r="D1405" s="66" t="inlineStr">
        <is>
          <t>TikTok</t>
        </is>
      </c>
      <c r="E1405" s="66" t="inlineStr">
        <is>
          <t>TikTok</t>
        </is>
      </c>
      <c r="F1405" s="66" t="inlineStr">
        <is>
          <t>LEP_ZA_AUG26_TT_SPARK_RANGE_TRAFFIC</t>
        </is>
      </c>
      <c r="G1405" s="66" t="inlineStr">
        <is>
          <t>Traffic - Spark Ads</t>
        </is>
      </c>
      <c r="H1405" s="66" t="inlineStr">
        <is>
          <t>Range</t>
        </is>
      </c>
      <c r="I1405" s="66" t="inlineStr">
        <is>
          <t>Range Offer</t>
        </is>
      </c>
      <c r="J1405" s="66" t="inlineStr">
        <is>
          <t>TT_SPARK_CREATOR_UGC_ZA</t>
        </is>
      </c>
      <c r="K1405" s="66" t="inlineStr">
        <is>
          <t>Prospecting</t>
        </is>
      </c>
      <c r="L1405" s="66" t="inlineStr">
        <is>
          <t>TT_SPARK_@thecarplug_Compare_v1</t>
        </is>
      </c>
      <c r="M1405" s="66" t="inlineStr">
        <is>
          <t>Spark Ad</t>
        </is>
      </c>
      <c r="N1405" s="66" t="inlineStr">
        <is>
          <t>Creator handle: @thecarplug</t>
        </is>
      </c>
      <c r="O1405" s="66" t="inlineStr">
        <is>
          <t>Auction - Lowest Cost</t>
        </is>
      </c>
      <c r="P1405" s="66" t="inlineStr">
        <is>
          <t>Landing Page View</t>
        </is>
      </c>
      <c r="Q1405" s="66" t="inlineStr">
        <is>
          <t>https://www.lepas-sa.co.za/offers</t>
        </is>
      </c>
      <c r="R1405" s="121" t="n">
        <v>109.32</v>
      </c>
      <c r="S1405" s="122" t="n">
        <v>2687</v>
      </c>
      <c r="T1405" s="122" t="n">
        <v>1392</v>
      </c>
      <c r="U1405" s="123">
        <f>IFERROR(S1405/T1405,"")</f>
        <v/>
      </c>
      <c r="V1405" s="122" t="n">
        <v>27</v>
      </c>
      <c r="W1405" s="122" t="n">
        <v>20</v>
      </c>
      <c r="X1405" s="124">
        <f>IFERROR(W1405/S1405,"")</f>
        <v/>
      </c>
      <c r="Y1405" s="121">
        <f>IFERROR(R1405/W1405,"")</f>
        <v/>
      </c>
      <c r="Z1405" s="121">
        <f>IFERROR(R1405/S1405*1000,"")</f>
        <v/>
      </c>
      <c r="AA1405" s="122" t="n">
        <v>12</v>
      </c>
      <c r="AB1405" s="54">
        <f>IFERROR(AA1405/W1405,"")</f>
        <v/>
      </c>
      <c r="AC1405" s="122" t="n">
        <v>655</v>
      </c>
      <c r="AD1405" s="122" t="n">
        <v>317</v>
      </c>
      <c r="AE1405" s="122" t="n">
        <v>319</v>
      </c>
      <c r="AF1405" s="122" t="n">
        <v>207</v>
      </c>
      <c r="AG1405" s="122" t="n">
        <v>157</v>
      </c>
      <c r="AH1405" s="122" t="n">
        <v>108</v>
      </c>
      <c r="AI1405" s="54">
        <f>IFERROR(AC1405/S1405,"")</f>
        <v/>
      </c>
      <c r="AJ1405" s="54">
        <f>IFERROR(AH1405/S1405,"")</f>
        <v/>
      </c>
      <c r="AK1405" s="122" t="n">
        <v>105</v>
      </c>
      <c r="AL1405" s="122" t="n">
        <v>0</v>
      </c>
      <c r="AM1405" s="124">
        <f>IFERROR(AL1405/AA1405,"")</f>
        <v/>
      </c>
      <c r="AN1405" s="125">
        <f>IFERROR(R1405/AL1405,"")</f>
        <v/>
      </c>
      <c r="AO1405" s="122" t="n">
        <v>0</v>
      </c>
      <c r="AP1405" s="54">
        <f>IFERROR(AO1405/AL1405,"")</f>
        <v/>
      </c>
      <c r="AQ1405" s="125">
        <f>IFERROR(R1405/AO1405,"")</f>
        <v/>
      </c>
      <c r="AR1405" s="122" t="n">
        <v>0</v>
      </c>
      <c r="AS1405" s="122" t="n">
        <v>0</v>
      </c>
      <c r="AT1405" s="122">
        <f>AL1405+AR1405</f>
        <v/>
      </c>
      <c r="AU1405" s="125">
        <f>IFERROR(AO1405*Assumptions!$C$26*Assumptions!$C$27*INDEX(Assumptions!$C$18:$C$21,MATCH(H1405,Assumptions!$B$18:$B$21,0)),0)</f>
        <v/>
      </c>
    </row>
    <row r="1406">
      <c r="A1406" s="120" t="n">
        <v>46235</v>
      </c>
      <c r="B1406" s="66" t="inlineStr">
        <is>
          <t>Wk 31</t>
        </is>
      </c>
      <c r="C1406" s="66" t="inlineStr">
        <is>
          <t>Sat</t>
        </is>
      </c>
      <c r="D1406" s="66" t="inlineStr">
        <is>
          <t>TikTok</t>
        </is>
      </c>
      <c r="E1406" s="66" t="inlineStr">
        <is>
          <t>TikTok</t>
        </is>
      </c>
      <c r="F1406" s="66" t="inlineStr">
        <is>
          <t>LEP_ZA_AUG26_TT_SPARK_RANGE_TRAFFIC</t>
        </is>
      </c>
      <c r="G1406" s="66" t="inlineStr">
        <is>
          <t>Traffic - Spark Ads</t>
        </is>
      </c>
      <c r="H1406" s="66" t="inlineStr">
        <is>
          <t>Range</t>
        </is>
      </c>
      <c r="I1406" s="66" t="inlineStr">
        <is>
          <t>Range Offer</t>
        </is>
      </c>
      <c r="J1406" s="66" t="inlineStr">
        <is>
          <t>TT_SPARK_RMKT_VV_ZA</t>
        </is>
      </c>
      <c r="K1406" s="66" t="inlineStr">
        <is>
          <t>Retargeting</t>
        </is>
      </c>
      <c r="L1406" s="66" t="inlineStr">
        <is>
          <t>TT_SPARK_@drivesa_Review_v1</t>
        </is>
      </c>
      <c r="M1406" s="66" t="inlineStr">
        <is>
          <t>Spark Ad</t>
        </is>
      </c>
      <c r="N1406" s="66" t="inlineStr">
        <is>
          <t>Creator handle: @drivesa</t>
        </is>
      </c>
      <c r="O1406" s="66" t="inlineStr">
        <is>
          <t>Auction - Lowest Cost</t>
        </is>
      </c>
      <c r="P1406" s="66" t="inlineStr">
        <is>
          <t>Landing Page View</t>
        </is>
      </c>
      <c r="Q1406" s="66" t="inlineStr">
        <is>
          <t>https://www.lepas-sa.co.za/book-a-test-drive</t>
        </is>
      </c>
      <c r="R1406" s="121" t="n">
        <v>117.95</v>
      </c>
      <c r="S1406" s="122" t="n">
        <v>2340</v>
      </c>
      <c r="T1406" s="122" t="n">
        <v>1988</v>
      </c>
      <c r="U1406" s="123">
        <f>IFERROR(S1406/T1406,"")</f>
        <v/>
      </c>
      <c r="V1406" s="122" t="n">
        <v>55</v>
      </c>
      <c r="W1406" s="122" t="n">
        <v>40</v>
      </c>
      <c r="X1406" s="124">
        <f>IFERROR(W1406/S1406,"")</f>
        <v/>
      </c>
      <c r="Y1406" s="121">
        <f>IFERROR(R1406/W1406,"")</f>
        <v/>
      </c>
      <c r="Z1406" s="121">
        <f>IFERROR(R1406/S1406*1000,"")</f>
        <v/>
      </c>
      <c r="AA1406" s="122" t="n">
        <v>27</v>
      </c>
      <c r="AB1406" s="54">
        <f>IFERROR(AA1406/W1406,"")</f>
        <v/>
      </c>
      <c r="AC1406" s="122" t="n">
        <v>897</v>
      </c>
      <c r="AD1406" s="122" t="n">
        <v>455</v>
      </c>
      <c r="AE1406" s="122" t="n">
        <v>392</v>
      </c>
      <c r="AF1406" s="122" t="n">
        <v>214</v>
      </c>
      <c r="AG1406" s="122" t="n">
        <v>165</v>
      </c>
      <c r="AH1406" s="122" t="n">
        <v>120</v>
      </c>
      <c r="AI1406" s="54">
        <f>IFERROR(AC1406/S1406,"")</f>
        <v/>
      </c>
      <c r="AJ1406" s="54">
        <f>IFERROR(AH1406/S1406,"")</f>
        <v/>
      </c>
      <c r="AK1406" s="122" t="n">
        <v>94</v>
      </c>
      <c r="AL1406" s="122" t="n">
        <v>1</v>
      </c>
      <c r="AM1406" s="124">
        <f>IFERROR(AL1406/AA1406,"")</f>
        <v/>
      </c>
      <c r="AN1406" s="125">
        <f>IFERROR(R1406/AL1406,"")</f>
        <v/>
      </c>
      <c r="AO1406" s="122" t="n">
        <v>0</v>
      </c>
      <c r="AP1406" s="54">
        <f>IFERROR(AO1406/AL1406,"")</f>
        <v/>
      </c>
      <c r="AQ1406" s="125">
        <f>IFERROR(R1406/AO1406,"")</f>
        <v/>
      </c>
      <c r="AR1406" s="122" t="n">
        <v>0</v>
      </c>
      <c r="AS1406" s="122" t="n">
        <v>0</v>
      </c>
      <c r="AT1406" s="122">
        <f>AL1406+AR1406</f>
        <v/>
      </c>
      <c r="AU1406" s="125">
        <f>IFERROR(AO1406*Assumptions!$C$26*Assumptions!$C$27*INDEX(Assumptions!$C$18:$C$21,MATCH(H1406,Assumptions!$B$18:$B$21,0)),0)</f>
        <v/>
      </c>
    </row>
    <row r="1407">
      <c r="A1407" s="120" t="n">
        <v>46236</v>
      </c>
      <c r="B1407" s="66" t="inlineStr">
        <is>
          <t>Wk 31</t>
        </is>
      </c>
      <c r="C1407" s="66" t="inlineStr">
        <is>
          <t>Sun</t>
        </is>
      </c>
      <c r="D1407" s="66" t="inlineStr">
        <is>
          <t>TikTok</t>
        </is>
      </c>
      <c r="E1407" s="66" t="inlineStr">
        <is>
          <t>TikTok</t>
        </is>
      </c>
      <c r="F1407" s="66" t="inlineStr">
        <is>
          <t>LEP_ZA_AUG26_TT_SPARK_RANGE_TRAFFIC</t>
        </is>
      </c>
      <c r="G1407" s="66" t="inlineStr">
        <is>
          <t>Traffic - Spark Ads</t>
        </is>
      </c>
      <c r="H1407" s="66" t="inlineStr">
        <is>
          <t>Range</t>
        </is>
      </c>
      <c r="I1407" s="66" t="inlineStr">
        <is>
          <t>Range Offer</t>
        </is>
      </c>
      <c r="J1407" s="66" t="inlineStr">
        <is>
          <t>TT_SPARK_RMKT_VV_ZA</t>
        </is>
      </c>
      <c r="K1407" s="66" t="inlineStr">
        <is>
          <t>Retargeting</t>
        </is>
      </c>
      <c r="L1407" s="66" t="inlineStr">
        <is>
          <t>TT_SPARK_@drivesa_Review_v1</t>
        </is>
      </c>
      <c r="M1407" s="66" t="inlineStr">
        <is>
          <t>Spark Ad</t>
        </is>
      </c>
      <c r="N1407" s="66" t="inlineStr">
        <is>
          <t>Creator handle: @drivesa</t>
        </is>
      </c>
      <c r="O1407" s="66" t="inlineStr">
        <is>
          <t>Auction - Lowest Cost</t>
        </is>
      </c>
      <c r="P1407" s="66" t="inlineStr">
        <is>
          <t>Landing Page View</t>
        </is>
      </c>
      <c r="Q1407" s="66" t="inlineStr">
        <is>
          <t>https://www.lepas-sa.co.za/book-a-test-drive</t>
        </is>
      </c>
      <c r="R1407" s="121" t="n">
        <v>99.75</v>
      </c>
      <c r="S1407" s="122" t="n">
        <v>2007</v>
      </c>
      <c r="T1407" s="122" t="n">
        <v>1369</v>
      </c>
      <c r="U1407" s="123">
        <f>IFERROR(S1407/T1407,"")</f>
        <v/>
      </c>
      <c r="V1407" s="122" t="n">
        <v>33</v>
      </c>
      <c r="W1407" s="122" t="n">
        <v>27</v>
      </c>
      <c r="X1407" s="124">
        <f>IFERROR(W1407/S1407,"")</f>
        <v/>
      </c>
      <c r="Y1407" s="121">
        <f>IFERROR(R1407/W1407,"")</f>
        <v/>
      </c>
      <c r="Z1407" s="121">
        <f>IFERROR(R1407/S1407*1000,"")</f>
        <v/>
      </c>
      <c r="AA1407" s="122" t="n">
        <v>20</v>
      </c>
      <c r="AB1407" s="54">
        <f>IFERROR(AA1407/W1407,"")</f>
        <v/>
      </c>
      <c r="AC1407" s="122" t="n">
        <v>520</v>
      </c>
      <c r="AD1407" s="122" t="n">
        <v>280</v>
      </c>
      <c r="AE1407" s="122" t="n">
        <v>244</v>
      </c>
      <c r="AF1407" s="122" t="n">
        <v>172</v>
      </c>
      <c r="AG1407" s="122" t="n">
        <v>120</v>
      </c>
      <c r="AH1407" s="122" t="n">
        <v>82</v>
      </c>
      <c r="AI1407" s="54">
        <f>IFERROR(AC1407/S1407,"")</f>
        <v/>
      </c>
      <c r="AJ1407" s="54">
        <f>IFERROR(AH1407/S1407,"")</f>
        <v/>
      </c>
      <c r="AK1407" s="122" t="n">
        <v>78</v>
      </c>
      <c r="AL1407" s="122" t="n">
        <v>1</v>
      </c>
      <c r="AM1407" s="124">
        <f>IFERROR(AL1407/AA1407,"")</f>
        <v/>
      </c>
      <c r="AN1407" s="125">
        <f>IFERROR(R1407/AL1407,"")</f>
        <v/>
      </c>
      <c r="AO1407" s="122" t="n">
        <v>0</v>
      </c>
      <c r="AP1407" s="54">
        <f>IFERROR(AO1407/AL1407,"")</f>
        <v/>
      </c>
      <c r="AQ1407" s="125">
        <f>IFERROR(R1407/AO1407,"")</f>
        <v/>
      </c>
      <c r="AR1407" s="122" t="n">
        <v>0</v>
      </c>
      <c r="AS1407" s="122" t="n">
        <v>1</v>
      </c>
      <c r="AT1407" s="122">
        <f>AL1407+AR1407</f>
        <v/>
      </c>
      <c r="AU1407" s="125">
        <f>IFERROR(AO1407*Assumptions!$C$26*Assumptions!$C$27*INDEX(Assumptions!$C$18:$C$21,MATCH(H1407,Assumptions!$B$18:$B$21,0)),0)</f>
        <v/>
      </c>
    </row>
    <row r="1408">
      <c r="A1408" s="120" t="n">
        <v>46237</v>
      </c>
      <c r="B1408" s="66" t="inlineStr">
        <is>
          <t>Wk 32</t>
        </is>
      </c>
      <c r="C1408" s="66" t="inlineStr">
        <is>
          <t>Mon</t>
        </is>
      </c>
      <c r="D1408" s="66" t="inlineStr">
        <is>
          <t>TikTok</t>
        </is>
      </c>
      <c r="E1408" s="66" t="inlineStr">
        <is>
          <t>TikTok</t>
        </is>
      </c>
      <c r="F1408" s="66" t="inlineStr">
        <is>
          <t>LEP_ZA_AUG26_TT_SPARK_RANGE_TRAFFIC</t>
        </is>
      </c>
      <c r="G1408" s="66" t="inlineStr">
        <is>
          <t>Traffic - Spark Ads</t>
        </is>
      </c>
      <c r="H1408" s="66" t="inlineStr">
        <is>
          <t>Range</t>
        </is>
      </c>
      <c r="I1408" s="66" t="inlineStr">
        <is>
          <t>Range Offer</t>
        </is>
      </c>
      <c r="J1408" s="66" t="inlineStr">
        <is>
          <t>TT_SPARK_RMKT_VV_ZA</t>
        </is>
      </c>
      <c r="K1408" s="66" t="inlineStr">
        <is>
          <t>Retargeting</t>
        </is>
      </c>
      <c r="L1408" s="66" t="inlineStr">
        <is>
          <t>TT_SPARK_@drivesa_Review_v1</t>
        </is>
      </c>
      <c r="M1408" s="66" t="inlineStr">
        <is>
          <t>Spark Ad</t>
        </is>
      </c>
      <c r="N1408" s="66" t="inlineStr">
        <is>
          <t>Creator handle: @drivesa</t>
        </is>
      </c>
      <c r="O1408" s="66" t="inlineStr">
        <is>
          <t>Auction - Lowest Cost</t>
        </is>
      </c>
      <c r="P1408" s="66" t="inlineStr">
        <is>
          <t>Landing Page View</t>
        </is>
      </c>
      <c r="Q1408" s="66" t="inlineStr">
        <is>
          <t>https://www.lepas-sa.co.za/book-a-test-drive</t>
        </is>
      </c>
      <c r="R1408" s="121" t="n">
        <v>98.8</v>
      </c>
      <c r="S1408" s="122" t="n">
        <v>2356</v>
      </c>
      <c r="T1408" s="122" t="n">
        <v>1575</v>
      </c>
      <c r="U1408" s="123">
        <f>IFERROR(S1408/T1408,"")</f>
        <v/>
      </c>
      <c r="V1408" s="122" t="n">
        <v>83</v>
      </c>
      <c r="W1408" s="122" t="n">
        <v>61</v>
      </c>
      <c r="X1408" s="124">
        <f>IFERROR(W1408/S1408,"")</f>
        <v/>
      </c>
      <c r="Y1408" s="121">
        <f>IFERROR(R1408/W1408,"")</f>
        <v/>
      </c>
      <c r="Z1408" s="121">
        <f>IFERROR(R1408/S1408*1000,"")</f>
        <v/>
      </c>
      <c r="AA1408" s="122" t="n">
        <v>44</v>
      </c>
      <c r="AB1408" s="54">
        <f>IFERROR(AA1408/W1408,"")</f>
        <v/>
      </c>
      <c r="AC1408" s="122" t="n">
        <v>591</v>
      </c>
      <c r="AD1408" s="122" t="n">
        <v>363</v>
      </c>
      <c r="AE1408" s="122" t="n">
        <v>246</v>
      </c>
      <c r="AF1408" s="122" t="n">
        <v>131</v>
      </c>
      <c r="AG1408" s="122" t="n">
        <v>91</v>
      </c>
      <c r="AH1408" s="122" t="n">
        <v>55</v>
      </c>
      <c r="AI1408" s="54">
        <f>IFERROR(AC1408/S1408,"")</f>
        <v/>
      </c>
      <c r="AJ1408" s="54">
        <f>IFERROR(AH1408/S1408,"")</f>
        <v/>
      </c>
      <c r="AK1408" s="122" t="n">
        <v>113</v>
      </c>
      <c r="AL1408" s="122" t="n">
        <v>1</v>
      </c>
      <c r="AM1408" s="124">
        <f>IFERROR(AL1408/AA1408,"")</f>
        <v/>
      </c>
      <c r="AN1408" s="125">
        <f>IFERROR(R1408/AL1408,"")</f>
        <v/>
      </c>
      <c r="AO1408" s="122" t="n">
        <v>1</v>
      </c>
      <c r="AP1408" s="54">
        <f>IFERROR(AO1408/AL1408,"")</f>
        <v/>
      </c>
      <c r="AQ1408" s="125">
        <f>IFERROR(R1408/AO1408,"")</f>
        <v/>
      </c>
      <c r="AR1408" s="122" t="n">
        <v>0</v>
      </c>
      <c r="AS1408" s="122" t="n">
        <v>1</v>
      </c>
      <c r="AT1408" s="122">
        <f>AL1408+AR1408</f>
        <v/>
      </c>
      <c r="AU1408" s="125">
        <f>IFERROR(AO1408*Assumptions!$C$26*Assumptions!$C$27*INDEX(Assumptions!$C$18:$C$21,MATCH(H1408,Assumptions!$B$18:$B$21,0)),0)</f>
        <v/>
      </c>
    </row>
    <row r="1409">
      <c r="A1409" s="120" t="n">
        <v>46238</v>
      </c>
      <c r="B1409" s="66" t="inlineStr">
        <is>
          <t>Wk 32</t>
        </is>
      </c>
      <c r="C1409" s="66" t="inlineStr">
        <is>
          <t>Tue</t>
        </is>
      </c>
      <c r="D1409" s="66" t="inlineStr">
        <is>
          <t>TikTok</t>
        </is>
      </c>
      <c r="E1409" s="66" t="inlineStr">
        <is>
          <t>TikTok</t>
        </is>
      </c>
      <c r="F1409" s="66" t="inlineStr">
        <is>
          <t>LEP_ZA_AUG26_TT_SPARK_RANGE_TRAFFIC</t>
        </is>
      </c>
      <c r="G1409" s="66" t="inlineStr">
        <is>
          <t>Traffic - Spark Ads</t>
        </is>
      </c>
      <c r="H1409" s="66" t="inlineStr">
        <is>
          <t>Range</t>
        </is>
      </c>
      <c r="I1409" s="66" t="inlineStr">
        <is>
          <t>Range Offer</t>
        </is>
      </c>
      <c r="J1409" s="66" t="inlineStr">
        <is>
          <t>TT_SPARK_RMKT_VV_ZA</t>
        </is>
      </c>
      <c r="K1409" s="66" t="inlineStr">
        <is>
          <t>Retargeting</t>
        </is>
      </c>
      <c r="L1409" s="66" t="inlineStr">
        <is>
          <t>TT_SPARK_@drivesa_Review_v1</t>
        </is>
      </c>
      <c r="M1409" s="66" t="inlineStr">
        <is>
          <t>Spark Ad</t>
        </is>
      </c>
      <c r="N1409" s="66" t="inlineStr">
        <is>
          <t>Creator handle: @drivesa</t>
        </is>
      </c>
      <c r="O1409" s="66" t="inlineStr">
        <is>
          <t>Auction - Lowest Cost</t>
        </is>
      </c>
      <c r="P1409" s="66" t="inlineStr">
        <is>
          <t>Landing Page View</t>
        </is>
      </c>
      <c r="Q1409" s="66" t="inlineStr">
        <is>
          <t>https://www.lepas-sa.co.za/book-a-test-drive</t>
        </is>
      </c>
      <c r="R1409" s="121" t="n">
        <v>114.86</v>
      </c>
      <c r="S1409" s="122" t="n">
        <v>2268</v>
      </c>
      <c r="T1409" s="122" t="n">
        <v>1292</v>
      </c>
      <c r="U1409" s="123">
        <f>IFERROR(S1409/T1409,"")</f>
        <v/>
      </c>
      <c r="V1409" s="122" t="n">
        <v>61</v>
      </c>
      <c r="W1409" s="122" t="n">
        <v>45</v>
      </c>
      <c r="X1409" s="124">
        <f>IFERROR(W1409/S1409,"")</f>
        <v/>
      </c>
      <c r="Y1409" s="121">
        <f>IFERROR(R1409/W1409,"")</f>
        <v/>
      </c>
      <c r="Z1409" s="121">
        <f>IFERROR(R1409/S1409*1000,"")</f>
        <v/>
      </c>
      <c r="AA1409" s="122" t="n">
        <v>31</v>
      </c>
      <c r="AB1409" s="54">
        <f>IFERROR(AA1409/W1409,"")</f>
        <v/>
      </c>
      <c r="AC1409" s="122" t="n">
        <v>561</v>
      </c>
      <c r="AD1409" s="122" t="n">
        <v>318</v>
      </c>
      <c r="AE1409" s="122" t="n">
        <v>250</v>
      </c>
      <c r="AF1409" s="122" t="n">
        <v>170</v>
      </c>
      <c r="AG1409" s="122" t="n">
        <v>136</v>
      </c>
      <c r="AH1409" s="122" t="n">
        <v>92</v>
      </c>
      <c r="AI1409" s="54">
        <f>IFERROR(AC1409/S1409,"")</f>
        <v/>
      </c>
      <c r="AJ1409" s="54">
        <f>IFERROR(AH1409/S1409,"")</f>
        <v/>
      </c>
      <c r="AK1409" s="122" t="n">
        <v>47</v>
      </c>
      <c r="AL1409" s="122" t="n">
        <v>1</v>
      </c>
      <c r="AM1409" s="124">
        <f>IFERROR(AL1409/AA1409,"")</f>
        <v/>
      </c>
      <c r="AN1409" s="125">
        <f>IFERROR(R1409/AL1409,"")</f>
        <v/>
      </c>
      <c r="AO1409" s="122" t="n">
        <v>1</v>
      </c>
      <c r="AP1409" s="54">
        <f>IFERROR(AO1409/AL1409,"")</f>
        <v/>
      </c>
      <c r="AQ1409" s="125">
        <f>IFERROR(R1409/AO1409,"")</f>
        <v/>
      </c>
      <c r="AR1409" s="122" t="n">
        <v>0</v>
      </c>
      <c r="AS1409" s="122" t="n">
        <v>0</v>
      </c>
      <c r="AT1409" s="122">
        <f>AL1409+AR1409</f>
        <v/>
      </c>
      <c r="AU1409" s="125">
        <f>IFERROR(AO1409*Assumptions!$C$26*Assumptions!$C$27*INDEX(Assumptions!$C$18:$C$21,MATCH(H1409,Assumptions!$B$18:$B$21,0)),0)</f>
        <v/>
      </c>
    </row>
    <row r="1410">
      <c r="A1410" s="120" t="n">
        <v>46239</v>
      </c>
      <c r="B1410" s="66" t="inlineStr">
        <is>
          <t>Wk 32</t>
        </is>
      </c>
      <c r="C1410" s="66" t="inlineStr">
        <is>
          <t>Wed</t>
        </is>
      </c>
      <c r="D1410" s="66" t="inlineStr">
        <is>
          <t>TikTok</t>
        </is>
      </c>
      <c r="E1410" s="66" t="inlineStr">
        <is>
          <t>TikTok</t>
        </is>
      </c>
      <c r="F1410" s="66" t="inlineStr">
        <is>
          <t>LEP_ZA_AUG26_TT_SPARK_RANGE_TRAFFIC</t>
        </is>
      </c>
      <c r="G1410" s="66" t="inlineStr">
        <is>
          <t>Traffic - Spark Ads</t>
        </is>
      </c>
      <c r="H1410" s="66" t="inlineStr">
        <is>
          <t>Range</t>
        </is>
      </c>
      <c r="I1410" s="66" t="inlineStr">
        <is>
          <t>Range Offer</t>
        </is>
      </c>
      <c r="J1410" s="66" t="inlineStr">
        <is>
          <t>TT_SPARK_RMKT_VV_ZA</t>
        </is>
      </c>
      <c r="K1410" s="66" t="inlineStr">
        <is>
          <t>Retargeting</t>
        </is>
      </c>
      <c r="L1410" s="66" t="inlineStr">
        <is>
          <t>TT_SPARK_@drivesa_Review_v1</t>
        </is>
      </c>
      <c r="M1410" s="66" t="inlineStr">
        <is>
          <t>Spark Ad</t>
        </is>
      </c>
      <c r="N1410" s="66" t="inlineStr">
        <is>
          <t>Creator handle: @drivesa</t>
        </is>
      </c>
      <c r="O1410" s="66" t="inlineStr">
        <is>
          <t>Auction - Lowest Cost</t>
        </is>
      </c>
      <c r="P1410" s="66" t="inlineStr">
        <is>
          <t>Landing Page View</t>
        </is>
      </c>
      <c r="Q1410" s="66" t="inlineStr">
        <is>
          <t>https://www.lepas-sa.co.za/book-a-test-drive</t>
        </is>
      </c>
      <c r="R1410" s="121" t="n">
        <v>103.9</v>
      </c>
      <c r="S1410" s="122" t="n">
        <v>2516</v>
      </c>
      <c r="T1410" s="122" t="n">
        <v>1604</v>
      </c>
      <c r="U1410" s="123">
        <f>IFERROR(S1410/T1410,"")</f>
        <v/>
      </c>
      <c r="V1410" s="122" t="n">
        <v>50</v>
      </c>
      <c r="W1410" s="122" t="n">
        <v>42</v>
      </c>
      <c r="X1410" s="124">
        <f>IFERROR(W1410/S1410,"")</f>
        <v/>
      </c>
      <c r="Y1410" s="121">
        <f>IFERROR(R1410/W1410,"")</f>
        <v/>
      </c>
      <c r="Z1410" s="121">
        <f>IFERROR(R1410/S1410*1000,"")</f>
        <v/>
      </c>
      <c r="AA1410" s="122" t="n">
        <v>30</v>
      </c>
      <c r="AB1410" s="54">
        <f>IFERROR(AA1410/W1410,"")</f>
        <v/>
      </c>
      <c r="AC1410" s="122" t="n">
        <v>889</v>
      </c>
      <c r="AD1410" s="122" t="n">
        <v>466</v>
      </c>
      <c r="AE1410" s="122" t="n">
        <v>341</v>
      </c>
      <c r="AF1410" s="122" t="n">
        <v>211</v>
      </c>
      <c r="AG1410" s="122" t="n">
        <v>152</v>
      </c>
      <c r="AH1410" s="122" t="n">
        <v>94</v>
      </c>
      <c r="AI1410" s="54">
        <f>IFERROR(AC1410/S1410,"")</f>
        <v/>
      </c>
      <c r="AJ1410" s="54">
        <f>IFERROR(AH1410/S1410,"")</f>
        <v/>
      </c>
      <c r="AK1410" s="122" t="n">
        <v>69</v>
      </c>
      <c r="AL1410" s="122" t="n">
        <v>1</v>
      </c>
      <c r="AM1410" s="124">
        <f>IFERROR(AL1410/AA1410,"")</f>
        <v/>
      </c>
      <c r="AN1410" s="125">
        <f>IFERROR(R1410/AL1410,"")</f>
        <v/>
      </c>
      <c r="AO1410" s="122" t="n">
        <v>1</v>
      </c>
      <c r="AP1410" s="54">
        <f>IFERROR(AO1410/AL1410,"")</f>
        <v/>
      </c>
      <c r="AQ1410" s="125">
        <f>IFERROR(R1410/AO1410,"")</f>
        <v/>
      </c>
      <c r="AR1410" s="122" t="n">
        <v>0</v>
      </c>
      <c r="AS1410" s="122" t="n">
        <v>1</v>
      </c>
      <c r="AT1410" s="122">
        <f>AL1410+AR1410</f>
        <v/>
      </c>
      <c r="AU1410" s="125">
        <f>IFERROR(AO1410*Assumptions!$C$26*Assumptions!$C$27*INDEX(Assumptions!$C$18:$C$21,MATCH(H1410,Assumptions!$B$18:$B$21,0)),0)</f>
        <v/>
      </c>
    </row>
    <row r="1411">
      <c r="A1411" s="120" t="n">
        <v>46240</v>
      </c>
      <c r="B1411" s="66" t="inlineStr">
        <is>
          <t>Wk 32</t>
        </is>
      </c>
      <c r="C1411" s="66" t="inlineStr">
        <is>
          <t>Thu</t>
        </is>
      </c>
      <c r="D1411" s="66" t="inlineStr">
        <is>
          <t>TikTok</t>
        </is>
      </c>
      <c r="E1411" s="66" t="inlineStr">
        <is>
          <t>TikTok</t>
        </is>
      </c>
      <c r="F1411" s="66" t="inlineStr">
        <is>
          <t>LEP_ZA_AUG26_TT_SPARK_RANGE_TRAFFIC</t>
        </is>
      </c>
      <c r="G1411" s="66" t="inlineStr">
        <is>
          <t>Traffic - Spark Ads</t>
        </is>
      </c>
      <c r="H1411" s="66" t="inlineStr">
        <is>
          <t>Range</t>
        </is>
      </c>
      <c r="I1411" s="66" t="inlineStr">
        <is>
          <t>Range Offer</t>
        </is>
      </c>
      <c r="J1411" s="66" t="inlineStr">
        <is>
          <t>TT_SPARK_RMKT_VV_ZA</t>
        </is>
      </c>
      <c r="K1411" s="66" t="inlineStr">
        <is>
          <t>Retargeting</t>
        </is>
      </c>
      <c r="L1411" s="66" t="inlineStr">
        <is>
          <t>TT_SPARK_@drivesa_Review_v1</t>
        </is>
      </c>
      <c r="M1411" s="66" t="inlineStr">
        <is>
          <t>Spark Ad</t>
        </is>
      </c>
      <c r="N1411" s="66" t="inlineStr">
        <is>
          <t>Creator handle: @drivesa</t>
        </is>
      </c>
      <c r="O1411" s="66" t="inlineStr">
        <is>
          <t>Auction - Lowest Cost</t>
        </is>
      </c>
      <c r="P1411" s="66" t="inlineStr">
        <is>
          <t>Landing Page View</t>
        </is>
      </c>
      <c r="Q1411" s="66" t="inlineStr">
        <is>
          <t>https://www.lepas-sa.co.za/book-a-test-drive</t>
        </is>
      </c>
      <c r="R1411" s="121" t="n">
        <v>114.57</v>
      </c>
      <c r="S1411" s="122" t="n">
        <v>2106</v>
      </c>
      <c r="T1411" s="122" t="n">
        <v>1434</v>
      </c>
      <c r="U1411" s="123">
        <f>IFERROR(S1411/T1411,"")</f>
        <v/>
      </c>
      <c r="V1411" s="122" t="n">
        <v>33</v>
      </c>
      <c r="W1411" s="122" t="n">
        <v>27</v>
      </c>
      <c r="X1411" s="124">
        <f>IFERROR(W1411/S1411,"")</f>
        <v/>
      </c>
      <c r="Y1411" s="121">
        <f>IFERROR(R1411/W1411,"")</f>
        <v/>
      </c>
      <c r="Z1411" s="121">
        <f>IFERROR(R1411/S1411*1000,"")</f>
        <v/>
      </c>
      <c r="AA1411" s="122" t="n">
        <v>18</v>
      </c>
      <c r="AB1411" s="54">
        <f>IFERROR(AA1411/W1411,"")</f>
        <v/>
      </c>
      <c r="AC1411" s="122" t="n">
        <v>541</v>
      </c>
      <c r="AD1411" s="122" t="n">
        <v>304</v>
      </c>
      <c r="AE1411" s="122" t="n">
        <v>201</v>
      </c>
      <c r="AF1411" s="122" t="n">
        <v>123</v>
      </c>
      <c r="AG1411" s="122" t="n">
        <v>88</v>
      </c>
      <c r="AH1411" s="122" t="n">
        <v>53</v>
      </c>
      <c r="AI1411" s="54">
        <f>IFERROR(AC1411/S1411,"")</f>
        <v/>
      </c>
      <c r="AJ1411" s="54">
        <f>IFERROR(AH1411/S1411,"")</f>
        <v/>
      </c>
      <c r="AK1411" s="122" t="n">
        <v>124</v>
      </c>
      <c r="AL1411" s="122" t="n">
        <v>1</v>
      </c>
      <c r="AM1411" s="124">
        <f>IFERROR(AL1411/AA1411,"")</f>
        <v/>
      </c>
      <c r="AN1411" s="125">
        <f>IFERROR(R1411/AL1411,"")</f>
        <v/>
      </c>
      <c r="AO1411" s="122" t="n">
        <v>0</v>
      </c>
      <c r="AP1411" s="54">
        <f>IFERROR(AO1411/AL1411,"")</f>
        <v/>
      </c>
      <c r="AQ1411" s="125">
        <f>IFERROR(R1411/AO1411,"")</f>
        <v/>
      </c>
      <c r="AR1411" s="122" t="n">
        <v>0</v>
      </c>
      <c r="AS1411" s="122" t="n">
        <v>1</v>
      </c>
      <c r="AT1411" s="122">
        <f>AL1411+AR1411</f>
        <v/>
      </c>
      <c r="AU1411" s="125">
        <f>IFERROR(AO1411*Assumptions!$C$26*Assumptions!$C$27*INDEX(Assumptions!$C$18:$C$21,MATCH(H1411,Assumptions!$B$18:$B$21,0)),0)</f>
        <v/>
      </c>
    </row>
    <row r="1412">
      <c r="A1412" s="120" t="n">
        <v>46241</v>
      </c>
      <c r="B1412" s="66" t="inlineStr">
        <is>
          <t>Wk 32</t>
        </is>
      </c>
      <c r="C1412" s="66" t="inlineStr">
        <is>
          <t>Fri</t>
        </is>
      </c>
      <c r="D1412" s="66" t="inlineStr">
        <is>
          <t>TikTok</t>
        </is>
      </c>
      <c r="E1412" s="66" t="inlineStr">
        <is>
          <t>TikTok</t>
        </is>
      </c>
      <c r="F1412" s="66" t="inlineStr">
        <is>
          <t>LEP_ZA_AUG26_TT_SPARK_RANGE_TRAFFIC</t>
        </is>
      </c>
      <c r="G1412" s="66" t="inlineStr">
        <is>
          <t>Traffic - Spark Ads</t>
        </is>
      </c>
      <c r="H1412" s="66" t="inlineStr">
        <is>
          <t>Range</t>
        </is>
      </c>
      <c r="I1412" s="66" t="inlineStr">
        <is>
          <t>Range Offer</t>
        </is>
      </c>
      <c r="J1412" s="66" t="inlineStr">
        <is>
          <t>TT_SPARK_RMKT_VV_ZA</t>
        </is>
      </c>
      <c r="K1412" s="66" t="inlineStr">
        <is>
          <t>Retargeting</t>
        </is>
      </c>
      <c r="L1412" s="66" t="inlineStr">
        <is>
          <t>TT_SPARK_@drivesa_Review_v1</t>
        </is>
      </c>
      <c r="M1412" s="66" t="inlineStr">
        <is>
          <t>Spark Ad</t>
        </is>
      </c>
      <c r="N1412" s="66" t="inlineStr">
        <is>
          <t>Creator handle: @drivesa</t>
        </is>
      </c>
      <c r="O1412" s="66" t="inlineStr">
        <is>
          <t>Auction - Lowest Cost</t>
        </is>
      </c>
      <c r="P1412" s="66" t="inlineStr">
        <is>
          <t>Landing Page View</t>
        </is>
      </c>
      <c r="Q1412" s="66" t="inlineStr">
        <is>
          <t>https://www.lepas-sa.co.za/book-a-test-drive</t>
        </is>
      </c>
      <c r="R1412" s="121" t="n">
        <v>118.82</v>
      </c>
      <c r="S1412" s="122" t="n">
        <v>2357</v>
      </c>
      <c r="T1412" s="122" t="n">
        <v>1451</v>
      </c>
      <c r="U1412" s="123">
        <f>IFERROR(S1412/T1412,"")</f>
        <v/>
      </c>
      <c r="V1412" s="122" t="n">
        <v>48</v>
      </c>
      <c r="W1412" s="122" t="n">
        <v>40</v>
      </c>
      <c r="X1412" s="124">
        <f>IFERROR(W1412/S1412,"")</f>
        <v/>
      </c>
      <c r="Y1412" s="121">
        <f>IFERROR(R1412/W1412,"")</f>
        <v/>
      </c>
      <c r="Z1412" s="121">
        <f>IFERROR(R1412/S1412*1000,"")</f>
        <v/>
      </c>
      <c r="AA1412" s="122" t="n">
        <v>27</v>
      </c>
      <c r="AB1412" s="54">
        <f>IFERROR(AA1412/W1412,"")</f>
        <v/>
      </c>
      <c r="AC1412" s="122" t="n">
        <v>597</v>
      </c>
      <c r="AD1412" s="122" t="n">
        <v>292</v>
      </c>
      <c r="AE1412" s="122" t="n">
        <v>272</v>
      </c>
      <c r="AF1412" s="122" t="n">
        <v>164</v>
      </c>
      <c r="AG1412" s="122" t="n">
        <v>115</v>
      </c>
      <c r="AH1412" s="122" t="n">
        <v>69</v>
      </c>
      <c r="AI1412" s="54">
        <f>IFERROR(AC1412/S1412,"")</f>
        <v/>
      </c>
      <c r="AJ1412" s="54">
        <f>IFERROR(AH1412/S1412,"")</f>
        <v/>
      </c>
      <c r="AK1412" s="122" t="n">
        <v>131</v>
      </c>
      <c r="AL1412" s="122" t="n">
        <v>0</v>
      </c>
      <c r="AM1412" s="124">
        <f>IFERROR(AL1412/AA1412,"")</f>
        <v/>
      </c>
      <c r="AN1412" s="125">
        <f>IFERROR(R1412/AL1412,"")</f>
        <v/>
      </c>
      <c r="AO1412" s="122" t="n">
        <v>0</v>
      </c>
      <c r="AP1412" s="54">
        <f>IFERROR(AO1412/AL1412,"")</f>
        <v/>
      </c>
      <c r="AQ1412" s="125">
        <f>IFERROR(R1412/AO1412,"")</f>
        <v/>
      </c>
      <c r="AR1412" s="122" t="n">
        <v>0</v>
      </c>
      <c r="AS1412" s="122" t="n">
        <v>0</v>
      </c>
      <c r="AT1412" s="122">
        <f>AL1412+AR1412</f>
        <v/>
      </c>
      <c r="AU1412" s="125">
        <f>IFERROR(AO1412*Assumptions!$C$26*Assumptions!$C$27*INDEX(Assumptions!$C$18:$C$21,MATCH(H1412,Assumptions!$B$18:$B$21,0)),0)</f>
        <v/>
      </c>
    </row>
    <row r="1413">
      <c r="A1413" s="120" t="n">
        <v>46242</v>
      </c>
      <c r="B1413" s="66" t="inlineStr">
        <is>
          <t>Wk 32</t>
        </is>
      </c>
      <c r="C1413" s="66" t="inlineStr">
        <is>
          <t>Sat</t>
        </is>
      </c>
      <c r="D1413" s="66" t="inlineStr">
        <is>
          <t>TikTok</t>
        </is>
      </c>
      <c r="E1413" s="66" t="inlineStr">
        <is>
          <t>TikTok</t>
        </is>
      </c>
      <c r="F1413" s="66" t="inlineStr">
        <is>
          <t>LEP_ZA_AUG26_TT_SPARK_RANGE_TRAFFIC</t>
        </is>
      </c>
      <c r="G1413" s="66" t="inlineStr">
        <is>
          <t>Traffic - Spark Ads</t>
        </is>
      </c>
      <c r="H1413" s="66" t="inlineStr">
        <is>
          <t>Range</t>
        </is>
      </c>
      <c r="I1413" s="66" t="inlineStr">
        <is>
          <t>Range Offer</t>
        </is>
      </c>
      <c r="J1413" s="66" t="inlineStr">
        <is>
          <t>TT_SPARK_RMKT_VV_ZA</t>
        </is>
      </c>
      <c r="K1413" s="66" t="inlineStr">
        <is>
          <t>Retargeting</t>
        </is>
      </c>
      <c r="L1413" s="66" t="inlineStr">
        <is>
          <t>TT_SPARK_@drivesa_Review_v1</t>
        </is>
      </c>
      <c r="M1413" s="66" t="inlineStr">
        <is>
          <t>Spark Ad</t>
        </is>
      </c>
      <c r="N1413" s="66" t="inlineStr">
        <is>
          <t>Creator handle: @drivesa</t>
        </is>
      </c>
      <c r="O1413" s="66" t="inlineStr">
        <is>
          <t>Auction - Lowest Cost</t>
        </is>
      </c>
      <c r="P1413" s="66" t="inlineStr">
        <is>
          <t>Landing Page View</t>
        </is>
      </c>
      <c r="Q1413" s="66" t="inlineStr">
        <is>
          <t>https://www.lepas-sa.co.za/book-a-test-drive</t>
        </is>
      </c>
      <c r="R1413" s="121" t="n">
        <v>129.54</v>
      </c>
      <c r="S1413" s="122" t="n">
        <v>3556</v>
      </c>
      <c r="T1413" s="122" t="n">
        <v>1961</v>
      </c>
      <c r="U1413" s="123">
        <f>IFERROR(S1413/T1413,"")</f>
        <v/>
      </c>
      <c r="V1413" s="122" t="n">
        <v>104</v>
      </c>
      <c r="W1413" s="122" t="n">
        <v>87</v>
      </c>
      <c r="X1413" s="124">
        <f>IFERROR(W1413/S1413,"")</f>
        <v/>
      </c>
      <c r="Y1413" s="121">
        <f>IFERROR(R1413/W1413,"")</f>
        <v/>
      </c>
      <c r="Z1413" s="121">
        <f>IFERROR(R1413/S1413*1000,"")</f>
        <v/>
      </c>
      <c r="AA1413" s="122" t="n">
        <v>53</v>
      </c>
      <c r="AB1413" s="54">
        <f>IFERROR(AA1413/W1413,"")</f>
        <v/>
      </c>
      <c r="AC1413" s="122" t="n">
        <v>824</v>
      </c>
      <c r="AD1413" s="122" t="n">
        <v>452</v>
      </c>
      <c r="AE1413" s="122" t="n">
        <v>425</v>
      </c>
      <c r="AF1413" s="122" t="n">
        <v>245</v>
      </c>
      <c r="AG1413" s="122" t="n">
        <v>157</v>
      </c>
      <c r="AH1413" s="122" t="n">
        <v>115</v>
      </c>
      <c r="AI1413" s="54">
        <f>IFERROR(AC1413/S1413,"")</f>
        <v/>
      </c>
      <c r="AJ1413" s="54">
        <f>IFERROR(AH1413/S1413,"")</f>
        <v/>
      </c>
      <c r="AK1413" s="122" t="n">
        <v>187</v>
      </c>
      <c r="AL1413" s="122" t="n">
        <v>1</v>
      </c>
      <c r="AM1413" s="124">
        <f>IFERROR(AL1413/AA1413,"")</f>
        <v/>
      </c>
      <c r="AN1413" s="125">
        <f>IFERROR(R1413/AL1413,"")</f>
        <v/>
      </c>
      <c r="AO1413" s="122" t="n">
        <v>0</v>
      </c>
      <c r="AP1413" s="54">
        <f>IFERROR(AO1413/AL1413,"")</f>
        <v/>
      </c>
      <c r="AQ1413" s="125">
        <f>IFERROR(R1413/AO1413,"")</f>
        <v/>
      </c>
      <c r="AR1413" s="122" t="n">
        <v>0</v>
      </c>
      <c r="AS1413" s="122" t="n">
        <v>1</v>
      </c>
      <c r="AT1413" s="122">
        <f>AL1413+AR1413</f>
        <v/>
      </c>
      <c r="AU1413" s="125">
        <f>IFERROR(AO1413*Assumptions!$C$26*Assumptions!$C$27*INDEX(Assumptions!$C$18:$C$21,MATCH(H1413,Assumptions!$B$18:$B$21,0)),0)</f>
        <v/>
      </c>
    </row>
    <row r="1414">
      <c r="A1414" s="120" t="n">
        <v>46243</v>
      </c>
      <c r="B1414" s="66" t="inlineStr">
        <is>
          <t>Wk 32</t>
        </is>
      </c>
      <c r="C1414" s="66" t="inlineStr">
        <is>
          <t>Sun</t>
        </is>
      </c>
      <c r="D1414" s="66" t="inlineStr">
        <is>
          <t>TikTok</t>
        </is>
      </c>
      <c r="E1414" s="66" t="inlineStr">
        <is>
          <t>TikTok</t>
        </is>
      </c>
      <c r="F1414" s="66" t="inlineStr">
        <is>
          <t>LEP_ZA_AUG26_TT_SPARK_RANGE_TRAFFIC</t>
        </is>
      </c>
      <c r="G1414" s="66" t="inlineStr">
        <is>
          <t>Traffic - Spark Ads</t>
        </is>
      </c>
      <c r="H1414" s="66" t="inlineStr">
        <is>
          <t>Range</t>
        </is>
      </c>
      <c r="I1414" s="66" t="inlineStr">
        <is>
          <t>Range Offer</t>
        </is>
      </c>
      <c r="J1414" s="66" t="inlineStr">
        <is>
          <t>TT_SPARK_RMKT_VV_ZA</t>
        </is>
      </c>
      <c r="K1414" s="66" t="inlineStr">
        <is>
          <t>Retargeting</t>
        </is>
      </c>
      <c r="L1414" s="66" t="inlineStr">
        <is>
          <t>TT_SPARK_@drivesa_Review_v1</t>
        </is>
      </c>
      <c r="M1414" s="66" t="inlineStr">
        <is>
          <t>Spark Ad</t>
        </is>
      </c>
      <c r="N1414" s="66" t="inlineStr">
        <is>
          <t>Creator handle: @drivesa</t>
        </is>
      </c>
      <c r="O1414" s="66" t="inlineStr">
        <is>
          <t>Auction - Lowest Cost</t>
        </is>
      </c>
      <c r="P1414" s="66" t="inlineStr">
        <is>
          <t>Landing Page View</t>
        </is>
      </c>
      <c r="Q1414" s="66" t="inlineStr">
        <is>
          <t>https://www.lepas-sa.co.za/book-a-test-drive</t>
        </is>
      </c>
      <c r="R1414" s="121" t="n">
        <v>114.85</v>
      </c>
      <c r="S1414" s="122" t="n">
        <v>2823</v>
      </c>
      <c r="T1414" s="122" t="n">
        <v>1569</v>
      </c>
      <c r="U1414" s="123">
        <f>IFERROR(S1414/T1414,"")</f>
        <v/>
      </c>
      <c r="V1414" s="122" t="n">
        <v>43</v>
      </c>
      <c r="W1414" s="122" t="n">
        <v>36</v>
      </c>
      <c r="X1414" s="124">
        <f>IFERROR(W1414/S1414,"")</f>
        <v/>
      </c>
      <c r="Y1414" s="121">
        <f>IFERROR(R1414/W1414,"")</f>
        <v/>
      </c>
      <c r="Z1414" s="121">
        <f>IFERROR(R1414/S1414*1000,"")</f>
        <v/>
      </c>
      <c r="AA1414" s="122" t="n">
        <v>23</v>
      </c>
      <c r="AB1414" s="54">
        <f>IFERROR(AA1414/W1414,"")</f>
        <v/>
      </c>
      <c r="AC1414" s="122" t="n">
        <v>645</v>
      </c>
      <c r="AD1414" s="122" t="n">
        <v>326</v>
      </c>
      <c r="AE1414" s="122" t="n">
        <v>330</v>
      </c>
      <c r="AF1414" s="122" t="n">
        <v>213</v>
      </c>
      <c r="AG1414" s="122" t="n">
        <v>166</v>
      </c>
      <c r="AH1414" s="122" t="n">
        <v>101</v>
      </c>
      <c r="AI1414" s="54">
        <f>IFERROR(AC1414/S1414,"")</f>
        <v/>
      </c>
      <c r="AJ1414" s="54">
        <f>IFERROR(AH1414/S1414,"")</f>
        <v/>
      </c>
      <c r="AK1414" s="122" t="n">
        <v>123</v>
      </c>
      <c r="AL1414" s="122" t="n">
        <v>1</v>
      </c>
      <c r="AM1414" s="124">
        <f>IFERROR(AL1414/AA1414,"")</f>
        <v/>
      </c>
      <c r="AN1414" s="125">
        <f>IFERROR(R1414/AL1414,"")</f>
        <v/>
      </c>
      <c r="AO1414" s="122" t="n">
        <v>0</v>
      </c>
      <c r="AP1414" s="54">
        <f>IFERROR(AO1414/AL1414,"")</f>
        <v/>
      </c>
      <c r="AQ1414" s="125">
        <f>IFERROR(R1414/AO1414,"")</f>
        <v/>
      </c>
      <c r="AR1414" s="122" t="n">
        <v>0</v>
      </c>
      <c r="AS1414" s="122" t="n">
        <v>1</v>
      </c>
      <c r="AT1414" s="122">
        <f>AL1414+AR1414</f>
        <v/>
      </c>
      <c r="AU1414" s="125">
        <f>IFERROR(AO1414*Assumptions!$C$26*Assumptions!$C$27*INDEX(Assumptions!$C$18:$C$21,MATCH(H1414,Assumptions!$B$18:$B$21,0)),0)</f>
        <v/>
      </c>
    </row>
    <row r="1415">
      <c r="A1415" s="120" t="n">
        <v>46244</v>
      </c>
      <c r="B1415" s="66" t="inlineStr">
        <is>
          <t>Wk 33</t>
        </is>
      </c>
      <c r="C1415" s="66" t="inlineStr">
        <is>
          <t>Mon</t>
        </is>
      </c>
      <c r="D1415" s="66" t="inlineStr">
        <is>
          <t>TikTok</t>
        </is>
      </c>
      <c r="E1415" s="66" t="inlineStr">
        <is>
          <t>TikTok</t>
        </is>
      </c>
      <c r="F1415" s="66" t="inlineStr">
        <is>
          <t>LEP_ZA_AUG26_TT_SPARK_RANGE_TRAFFIC</t>
        </is>
      </c>
      <c r="G1415" s="66" t="inlineStr">
        <is>
          <t>Traffic - Spark Ads</t>
        </is>
      </c>
      <c r="H1415" s="66" t="inlineStr">
        <is>
          <t>Range</t>
        </is>
      </c>
      <c r="I1415" s="66" t="inlineStr">
        <is>
          <t>Range Offer</t>
        </is>
      </c>
      <c r="J1415" s="66" t="inlineStr">
        <is>
          <t>TT_SPARK_RMKT_VV_ZA</t>
        </is>
      </c>
      <c r="K1415" s="66" t="inlineStr">
        <is>
          <t>Retargeting</t>
        </is>
      </c>
      <c r="L1415" s="66" t="inlineStr">
        <is>
          <t>TT_SPARK_@drivesa_Review_v1</t>
        </is>
      </c>
      <c r="M1415" s="66" t="inlineStr">
        <is>
          <t>Spark Ad</t>
        </is>
      </c>
      <c r="N1415" s="66" t="inlineStr">
        <is>
          <t>Creator handle: @drivesa</t>
        </is>
      </c>
      <c r="O1415" s="66" t="inlineStr">
        <is>
          <t>Auction - Lowest Cost</t>
        </is>
      </c>
      <c r="P1415" s="66" t="inlineStr">
        <is>
          <t>Landing Page View</t>
        </is>
      </c>
      <c r="Q1415" s="66" t="inlineStr">
        <is>
          <t>https://www.lepas-sa.co.za/book-a-test-drive</t>
        </is>
      </c>
      <c r="R1415" s="121" t="n">
        <v>114.8</v>
      </c>
      <c r="S1415" s="122" t="n">
        <v>2360</v>
      </c>
      <c r="T1415" s="122" t="n">
        <v>1475</v>
      </c>
      <c r="U1415" s="123">
        <f>IFERROR(S1415/T1415,"")</f>
        <v/>
      </c>
      <c r="V1415" s="122" t="n">
        <v>57</v>
      </c>
      <c r="W1415" s="122" t="n">
        <v>45</v>
      </c>
      <c r="X1415" s="124">
        <f>IFERROR(W1415/S1415,"")</f>
        <v/>
      </c>
      <c r="Y1415" s="121">
        <f>IFERROR(R1415/W1415,"")</f>
        <v/>
      </c>
      <c r="Z1415" s="121">
        <f>IFERROR(R1415/S1415*1000,"")</f>
        <v/>
      </c>
      <c r="AA1415" s="122" t="n">
        <v>32</v>
      </c>
      <c r="AB1415" s="54">
        <f>IFERROR(AA1415/W1415,"")</f>
        <v/>
      </c>
      <c r="AC1415" s="122" t="n">
        <v>670</v>
      </c>
      <c r="AD1415" s="122" t="n">
        <v>403</v>
      </c>
      <c r="AE1415" s="122" t="n">
        <v>335</v>
      </c>
      <c r="AF1415" s="122" t="n">
        <v>236</v>
      </c>
      <c r="AG1415" s="122" t="n">
        <v>163</v>
      </c>
      <c r="AH1415" s="122" t="n">
        <v>120</v>
      </c>
      <c r="AI1415" s="54">
        <f>IFERROR(AC1415/S1415,"")</f>
        <v/>
      </c>
      <c r="AJ1415" s="54">
        <f>IFERROR(AH1415/S1415,"")</f>
        <v/>
      </c>
      <c r="AK1415" s="122" t="n">
        <v>50</v>
      </c>
      <c r="AL1415" s="122" t="n">
        <v>0</v>
      </c>
      <c r="AM1415" s="124">
        <f>IFERROR(AL1415/AA1415,"")</f>
        <v/>
      </c>
      <c r="AN1415" s="125">
        <f>IFERROR(R1415/AL1415,"")</f>
        <v/>
      </c>
      <c r="AO1415" s="122" t="n">
        <v>0</v>
      </c>
      <c r="AP1415" s="54">
        <f>IFERROR(AO1415/AL1415,"")</f>
        <v/>
      </c>
      <c r="AQ1415" s="125">
        <f>IFERROR(R1415/AO1415,"")</f>
        <v/>
      </c>
      <c r="AR1415" s="122" t="n">
        <v>0</v>
      </c>
      <c r="AS1415" s="122" t="n">
        <v>0</v>
      </c>
      <c r="AT1415" s="122">
        <f>AL1415+AR1415</f>
        <v/>
      </c>
      <c r="AU1415" s="125">
        <f>IFERROR(AO1415*Assumptions!$C$26*Assumptions!$C$27*INDEX(Assumptions!$C$18:$C$21,MATCH(H1415,Assumptions!$B$18:$B$21,0)),0)</f>
        <v/>
      </c>
    </row>
    <row r="1416">
      <c r="A1416" s="120" t="n">
        <v>46245</v>
      </c>
      <c r="B1416" s="66" t="inlineStr">
        <is>
          <t>Wk 33</t>
        </is>
      </c>
      <c r="C1416" s="66" t="inlineStr">
        <is>
          <t>Tue</t>
        </is>
      </c>
      <c r="D1416" s="66" t="inlineStr">
        <is>
          <t>TikTok</t>
        </is>
      </c>
      <c r="E1416" s="66" t="inlineStr">
        <is>
          <t>TikTok</t>
        </is>
      </c>
      <c r="F1416" s="66" t="inlineStr">
        <is>
          <t>LEP_ZA_AUG26_TT_SPARK_RANGE_TRAFFIC</t>
        </is>
      </c>
      <c r="G1416" s="66" t="inlineStr">
        <is>
          <t>Traffic - Spark Ads</t>
        </is>
      </c>
      <c r="H1416" s="66" t="inlineStr">
        <is>
          <t>Range</t>
        </is>
      </c>
      <c r="I1416" s="66" t="inlineStr">
        <is>
          <t>Range Offer</t>
        </is>
      </c>
      <c r="J1416" s="66" t="inlineStr">
        <is>
          <t>TT_SPARK_RMKT_VV_ZA</t>
        </is>
      </c>
      <c r="K1416" s="66" t="inlineStr">
        <is>
          <t>Retargeting</t>
        </is>
      </c>
      <c r="L1416" s="66" t="inlineStr">
        <is>
          <t>TT_SPARK_@drivesa_Review_v1</t>
        </is>
      </c>
      <c r="M1416" s="66" t="inlineStr">
        <is>
          <t>Spark Ad</t>
        </is>
      </c>
      <c r="N1416" s="66" t="inlineStr">
        <is>
          <t>Creator handle: @drivesa</t>
        </is>
      </c>
      <c r="O1416" s="66" t="inlineStr">
        <is>
          <t>Auction - Lowest Cost</t>
        </is>
      </c>
      <c r="P1416" s="66" t="inlineStr">
        <is>
          <t>Landing Page View</t>
        </is>
      </c>
      <c r="Q1416" s="66" t="inlineStr">
        <is>
          <t>https://www.lepas-sa.co.za/book-a-test-drive</t>
        </is>
      </c>
      <c r="R1416" s="121" t="n">
        <v>100.59</v>
      </c>
      <c r="S1416" s="122" t="n">
        <v>1925</v>
      </c>
      <c r="T1416" s="122" t="n">
        <v>1262</v>
      </c>
      <c r="U1416" s="123">
        <f>IFERROR(S1416/T1416,"")</f>
        <v/>
      </c>
      <c r="V1416" s="122" t="n">
        <v>37</v>
      </c>
      <c r="W1416" s="122" t="n">
        <v>30</v>
      </c>
      <c r="X1416" s="124">
        <f>IFERROR(W1416/S1416,"")</f>
        <v/>
      </c>
      <c r="Y1416" s="121">
        <f>IFERROR(R1416/W1416,"")</f>
        <v/>
      </c>
      <c r="Z1416" s="121">
        <f>IFERROR(R1416/S1416*1000,"")</f>
        <v/>
      </c>
      <c r="AA1416" s="122" t="n">
        <v>18</v>
      </c>
      <c r="AB1416" s="54">
        <f>IFERROR(AA1416/W1416,"")</f>
        <v/>
      </c>
      <c r="AC1416" s="122" t="n">
        <v>739</v>
      </c>
      <c r="AD1416" s="122" t="n">
        <v>340</v>
      </c>
      <c r="AE1416" s="122" t="n">
        <v>389</v>
      </c>
      <c r="AF1416" s="122" t="n">
        <v>237</v>
      </c>
      <c r="AG1416" s="122" t="n">
        <v>174</v>
      </c>
      <c r="AH1416" s="122" t="n">
        <v>127</v>
      </c>
      <c r="AI1416" s="54">
        <f>IFERROR(AC1416/S1416,"")</f>
        <v/>
      </c>
      <c r="AJ1416" s="54">
        <f>IFERROR(AH1416/S1416,"")</f>
        <v/>
      </c>
      <c r="AK1416" s="122" t="n">
        <v>104</v>
      </c>
      <c r="AL1416" s="122" t="n">
        <v>0</v>
      </c>
      <c r="AM1416" s="124">
        <f>IFERROR(AL1416/AA1416,"")</f>
        <v/>
      </c>
      <c r="AN1416" s="125">
        <f>IFERROR(R1416/AL1416,"")</f>
        <v/>
      </c>
      <c r="AO1416" s="122" t="n">
        <v>0</v>
      </c>
      <c r="AP1416" s="54">
        <f>IFERROR(AO1416/AL1416,"")</f>
        <v/>
      </c>
      <c r="AQ1416" s="125">
        <f>IFERROR(R1416/AO1416,"")</f>
        <v/>
      </c>
      <c r="AR1416" s="122" t="n">
        <v>0</v>
      </c>
      <c r="AS1416" s="122" t="n">
        <v>0</v>
      </c>
      <c r="AT1416" s="122">
        <f>AL1416+AR1416</f>
        <v/>
      </c>
      <c r="AU1416" s="125">
        <f>IFERROR(AO1416*Assumptions!$C$26*Assumptions!$C$27*INDEX(Assumptions!$C$18:$C$21,MATCH(H1416,Assumptions!$B$18:$B$21,0)),0)</f>
        <v/>
      </c>
    </row>
    <row r="1417">
      <c r="A1417" s="120" t="n">
        <v>46246</v>
      </c>
      <c r="B1417" s="66" t="inlineStr">
        <is>
          <t>Wk 33</t>
        </is>
      </c>
      <c r="C1417" s="66" t="inlineStr">
        <is>
          <t>Wed</t>
        </is>
      </c>
      <c r="D1417" s="66" t="inlineStr">
        <is>
          <t>TikTok</t>
        </is>
      </c>
      <c r="E1417" s="66" t="inlineStr">
        <is>
          <t>TikTok</t>
        </is>
      </c>
      <c r="F1417" s="66" t="inlineStr">
        <is>
          <t>LEP_ZA_AUG26_TT_SPARK_RANGE_TRAFFIC</t>
        </is>
      </c>
      <c r="G1417" s="66" t="inlineStr">
        <is>
          <t>Traffic - Spark Ads</t>
        </is>
      </c>
      <c r="H1417" s="66" t="inlineStr">
        <is>
          <t>Range</t>
        </is>
      </c>
      <c r="I1417" s="66" t="inlineStr">
        <is>
          <t>Range Offer</t>
        </is>
      </c>
      <c r="J1417" s="66" t="inlineStr">
        <is>
          <t>TT_SPARK_RMKT_VV_ZA</t>
        </is>
      </c>
      <c r="K1417" s="66" t="inlineStr">
        <is>
          <t>Retargeting</t>
        </is>
      </c>
      <c r="L1417" s="66" t="inlineStr">
        <is>
          <t>TT_SPARK_@drivesa_Review_v1</t>
        </is>
      </c>
      <c r="M1417" s="66" t="inlineStr">
        <is>
          <t>Spark Ad</t>
        </is>
      </c>
      <c r="N1417" s="66" t="inlineStr">
        <is>
          <t>Creator handle: @drivesa</t>
        </is>
      </c>
      <c r="O1417" s="66" t="inlineStr">
        <is>
          <t>Auction - Lowest Cost</t>
        </is>
      </c>
      <c r="P1417" s="66" t="inlineStr">
        <is>
          <t>Landing Page View</t>
        </is>
      </c>
      <c r="Q1417" s="66" t="inlineStr">
        <is>
          <t>https://www.lepas-sa.co.za/book-a-test-drive</t>
        </is>
      </c>
      <c r="R1417" s="121" t="n">
        <v>126.3</v>
      </c>
      <c r="S1417" s="122" t="n">
        <v>2810</v>
      </c>
      <c r="T1417" s="122" t="n">
        <v>1535</v>
      </c>
      <c r="U1417" s="123">
        <f>IFERROR(S1417/T1417,"")</f>
        <v/>
      </c>
      <c r="V1417" s="122" t="n">
        <v>63</v>
      </c>
      <c r="W1417" s="122" t="n">
        <v>45</v>
      </c>
      <c r="X1417" s="124">
        <f>IFERROR(W1417/S1417,"")</f>
        <v/>
      </c>
      <c r="Y1417" s="121">
        <f>IFERROR(R1417/W1417,"")</f>
        <v/>
      </c>
      <c r="Z1417" s="121">
        <f>IFERROR(R1417/S1417*1000,"")</f>
        <v/>
      </c>
      <c r="AA1417" s="122" t="n">
        <v>28</v>
      </c>
      <c r="AB1417" s="54">
        <f>IFERROR(AA1417/W1417,"")</f>
        <v/>
      </c>
      <c r="AC1417" s="122" t="n">
        <v>949</v>
      </c>
      <c r="AD1417" s="122" t="n">
        <v>420</v>
      </c>
      <c r="AE1417" s="122" t="n">
        <v>403</v>
      </c>
      <c r="AF1417" s="122" t="n">
        <v>280</v>
      </c>
      <c r="AG1417" s="122" t="n">
        <v>215</v>
      </c>
      <c r="AH1417" s="122" t="n">
        <v>152</v>
      </c>
      <c r="AI1417" s="54">
        <f>IFERROR(AC1417/S1417,"")</f>
        <v/>
      </c>
      <c r="AJ1417" s="54">
        <f>IFERROR(AH1417/S1417,"")</f>
        <v/>
      </c>
      <c r="AK1417" s="122" t="n">
        <v>124</v>
      </c>
      <c r="AL1417" s="122" t="n">
        <v>0</v>
      </c>
      <c r="AM1417" s="124">
        <f>IFERROR(AL1417/AA1417,"")</f>
        <v/>
      </c>
      <c r="AN1417" s="125">
        <f>IFERROR(R1417/AL1417,"")</f>
        <v/>
      </c>
      <c r="AO1417" s="122" t="n">
        <v>0</v>
      </c>
      <c r="AP1417" s="54">
        <f>IFERROR(AO1417/AL1417,"")</f>
        <v/>
      </c>
      <c r="AQ1417" s="125">
        <f>IFERROR(R1417/AO1417,"")</f>
        <v/>
      </c>
      <c r="AR1417" s="122" t="n">
        <v>0</v>
      </c>
      <c r="AS1417" s="122" t="n">
        <v>0</v>
      </c>
      <c r="AT1417" s="122">
        <f>AL1417+AR1417</f>
        <v/>
      </c>
      <c r="AU1417" s="125">
        <f>IFERROR(AO1417*Assumptions!$C$26*Assumptions!$C$27*INDEX(Assumptions!$C$18:$C$21,MATCH(H1417,Assumptions!$B$18:$B$21,0)),0)</f>
        <v/>
      </c>
    </row>
    <row r="1418">
      <c r="A1418" s="120" t="n">
        <v>46247</v>
      </c>
      <c r="B1418" s="66" t="inlineStr">
        <is>
          <t>Wk 33</t>
        </is>
      </c>
      <c r="C1418" s="66" t="inlineStr">
        <is>
          <t>Thu</t>
        </is>
      </c>
      <c r="D1418" s="66" t="inlineStr">
        <is>
          <t>TikTok</t>
        </is>
      </c>
      <c r="E1418" s="66" t="inlineStr">
        <is>
          <t>TikTok</t>
        </is>
      </c>
      <c r="F1418" s="66" t="inlineStr">
        <is>
          <t>LEP_ZA_AUG26_TT_SPARK_RANGE_TRAFFIC</t>
        </is>
      </c>
      <c r="G1418" s="66" t="inlineStr">
        <is>
          <t>Traffic - Spark Ads</t>
        </is>
      </c>
      <c r="H1418" s="66" t="inlineStr">
        <is>
          <t>Range</t>
        </is>
      </c>
      <c r="I1418" s="66" t="inlineStr">
        <is>
          <t>Range Offer</t>
        </is>
      </c>
      <c r="J1418" s="66" t="inlineStr">
        <is>
          <t>TT_SPARK_RMKT_VV_ZA</t>
        </is>
      </c>
      <c r="K1418" s="66" t="inlineStr">
        <is>
          <t>Retargeting</t>
        </is>
      </c>
      <c r="L1418" s="66" t="inlineStr">
        <is>
          <t>TT_SPARK_@drivesa_Review_v1</t>
        </is>
      </c>
      <c r="M1418" s="66" t="inlineStr">
        <is>
          <t>Spark Ad</t>
        </is>
      </c>
      <c r="N1418" s="66" t="inlineStr">
        <is>
          <t>Creator handle: @drivesa</t>
        </is>
      </c>
      <c r="O1418" s="66" t="inlineStr">
        <is>
          <t>Auction - Lowest Cost</t>
        </is>
      </c>
      <c r="P1418" s="66" t="inlineStr">
        <is>
          <t>Landing Page View</t>
        </is>
      </c>
      <c r="Q1418" s="66" t="inlineStr">
        <is>
          <t>https://www.lepas-sa.co.za/book-a-test-drive</t>
        </is>
      </c>
      <c r="R1418" s="121" t="n">
        <v>130.02</v>
      </c>
      <c r="S1418" s="122" t="n">
        <v>2304</v>
      </c>
      <c r="T1418" s="122" t="n">
        <v>1189</v>
      </c>
      <c r="U1418" s="123">
        <f>IFERROR(S1418/T1418,"")</f>
        <v/>
      </c>
      <c r="V1418" s="122" t="n">
        <v>70</v>
      </c>
      <c r="W1418" s="122" t="n">
        <v>49</v>
      </c>
      <c r="X1418" s="124">
        <f>IFERROR(W1418/S1418,"")</f>
        <v/>
      </c>
      <c r="Y1418" s="121">
        <f>IFERROR(R1418/W1418,"")</f>
        <v/>
      </c>
      <c r="Z1418" s="121">
        <f>IFERROR(R1418/S1418*1000,"")</f>
        <v/>
      </c>
      <c r="AA1418" s="122" t="n">
        <v>35</v>
      </c>
      <c r="AB1418" s="54">
        <f>IFERROR(AA1418/W1418,"")</f>
        <v/>
      </c>
      <c r="AC1418" s="122" t="n">
        <v>670</v>
      </c>
      <c r="AD1418" s="122" t="n">
        <v>420</v>
      </c>
      <c r="AE1418" s="122" t="n">
        <v>287</v>
      </c>
      <c r="AF1418" s="122" t="n">
        <v>173</v>
      </c>
      <c r="AG1418" s="122" t="n">
        <v>116</v>
      </c>
      <c r="AH1418" s="122" t="n">
        <v>77</v>
      </c>
      <c r="AI1418" s="54">
        <f>IFERROR(AC1418/S1418,"")</f>
        <v/>
      </c>
      <c r="AJ1418" s="54">
        <f>IFERROR(AH1418/S1418,"")</f>
        <v/>
      </c>
      <c r="AK1418" s="122" t="n">
        <v>83</v>
      </c>
      <c r="AL1418" s="122" t="n">
        <v>1</v>
      </c>
      <c r="AM1418" s="124">
        <f>IFERROR(AL1418/AA1418,"")</f>
        <v/>
      </c>
      <c r="AN1418" s="125">
        <f>IFERROR(R1418/AL1418,"")</f>
        <v/>
      </c>
      <c r="AO1418" s="122" t="n">
        <v>1</v>
      </c>
      <c r="AP1418" s="54">
        <f>IFERROR(AO1418/AL1418,"")</f>
        <v/>
      </c>
      <c r="AQ1418" s="125">
        <f>IFERROR(R1418/AO1418,"")</f>
        <v/>
      </c>
      <c r="AR1418" s="122" t="n">
        <v>0</v>
      </c>
      <c r="AS1418" s="122" t="n">
        <v>1</v>
      </c>
      <c r="AT1418" s="122">
        <f>AL1418+AR1418</f>
        <v/>
      </c>
      <c r="AU1418" s="125">
        <f>IFERROR(AO1418*Assumptions!$C$26*Assumptions!$C$27*INDEX(Assumptions!$C$18:$C$21,MATCH(H1418,Assumptions!$B$18:$B$21,0)),0)</f>
        <v/>
      </c>
    </row>
    <row r="1419">
      <c r="A1419" s="120" t="n">
        <v>46248</v>
      </c>
      <c r="B1419" s="66" t="inlineStr">
        <is>
          <t>Wk 33</t>
        </is>
      </c>
      <c r="C1419" s="66" t="inlineStr">
        <is>
          <t>Fri</t>
        </is>
      </c>
      <c r="D1419" s="66" t="inlineStr">
        <is>
          <t>TikTok</t>
        </is>
      </c>
      <c r="E1419" s="66" t="inlineStr">
        <is>
          <t>TikTok</t>
        </is>
      </c>
      <c r="F1419" s="66" t="inlineStr">
        <is>
          <t>LEP_ZA_AUG26_TT_SPARK_RANGE_TRAFFIC</t>
        </is>
      </c>
      <c r="G1419" s="66" t="inlineStr">
        <is>
          <t>Traffic - Spark Ads</t>
        </is>
      </c>
      <c r="H1419" s="66" t="inlineStr">
        <is>
          <t>Range</t>
        </is>
      </c>
      <c r="I1419" s="66" t="inlineStr">
        <is>
          <t>Range Offer</t>
        </is>
      </c>
      <c r="J1419" s="66" t="inlineStr">
        <is>
          <t>TT_SPARK_RMKT_VV_ZA</t>
        </is>
      </c>
      <c r="K1419" s="66" t="inlineStr">
        <is>
          <t>Retargeting</t>
        </is>
      </c>
      <c r="L1419" s="66" t="inlineStr">
        <is>
          <t>TT_SPARK_@drivesa_Review_v1</t>
        </is>
      </c>
      <c r="M1419" s="66" t="inlineStr">
        <is>
          <t>Spark Ad</t>
        </is>
      </c>
      <c r="N1419" s="66" t="inlineStr">
        <is>
          <t>Creator handle: @drivesa</t>
        </is>
      </c>
      <c r="O1419" s="66" t="inlineStr">
        <is>
          <t>Auction - Lowest Cost</t>
        </is>
      </c>
      <c r="P1419" s="66" t="inlineStr">
        <is>
          <t>Landing Page View</t>
        </is>
      </c>
      <c r="Q1419" s="66" t="inlineStr">
        <is>
          <t>https://www.lepas-sa.co.za/book-a-test-drive</t>
        </is>
      </c>
      <c r="R1419" s="121" t="n">
        <v>148.73</v>
      </c>
      <c r="S1419" s="122" t="n">
        <v>2980</v>
      </c>
      <c r="T1419" s="122" t="n">
        <v>2149</v>
      </c>
      <c r="U1419" s="123">
        <f>IFERROR(S1419/T1419,"")</f>
        <v/>
      </c>
      <c r="V1419" s="122" t="n">
        <v>41</v>
      </c>
      <c r="W1419" s="122" t="n">
        <v>34</v>
      </c>
      <c r="X1419" s="124">
        <f>IFERROR(W1419/S1419,"")</f>
        <v/>
      </c>
      <c r="Y1419" s="121">
        <f>IFERROR(R1419/W1419,"")</f>
        <v/>
      </c>
      <c r="Z1419" s="121">
        <f>IFERROR(R1419/S1419*1000,"")</f>
        <v/>
      </c>
      <c r="AA1419" s="122" t="n">
        <v>23</v>
      </c>
      <c r="AB1419" s="54">
        <f>IFERROR(AA1419/W1419,"")</f>
        <v/>
      </c>
      <c r="AC1419" s="122" t="n">
        <v>1069</v>
      </c>
      <c r="AD1419" s="122" t="n">
        <v>607</v>
      </c>
      <c r="AE1419" s="122" t="n">
        <v>527</v>
      </c>
      <c r="AF1419" s="122" t="n">
        <v>346</v>
      </c>
      <c r="AG1419" s="122" t="n">
        <v>249</v>
      </c>
      <c r="AH1419" s="122" t="n">
        <v>156</v>
      </c>
      <c r="AI1419" s="54">
        <f>IFERROR(AC1419/S1419,"")</f>
        <v/>
      </c>
      <c r="AJ1419" s="54">
        <f>IFERROR(AH1419/S1419,"")</f>
        <v/>
      </c>
      <c r="AK1419" s="122" t="n">
        <v>70</v>
      </c>
      <c r="AL1419" s="122" t="n">
        <v>0</v>
      </c>
      <c r="AM1419" s="124">
        <f>IFERROR(AL1419/AA1419,"")</f>
        <v/>
      </c>
      <c r="AN1419" s="125">
        <f>IFERROR(R1419/AL1419,"")</f>
        <v/>
      </c>
      <c r="AO1419" s="122" t="n">
        <v>0</v>
      </c>
      <c r="AP1419" s="54">
        <f>IFERROR(AO1419/AL1419,"")</f>
        <v/>
      </c>
      <c r="AQ1419" s="125">
        <f>IFERROR(R1419/AO1419,"")</f>
        <v/>
      </c>
      <c r="AR1419" s="122" t="n">
        <v>0</v>
      </c>
      <c r="AS1419" s="122" t="n">
        <v>0</v>
      </c>
      <c r="AT1419" s="122">
        <f>AL1419+AR1419</f>
        <v/>
      </c>
      <c r="AU1419" s="125">
        <f>IFERROR(AO1419*Assumptions!$C$26*Assumptions!$C$27*INDEX(Assumptions!$C$18:$C$21,MATCH(H1419,Assumptions!$B$18:$B$21,0)),0)</f>
        <v/>
      </c>
    </row>
    <row r="1420">
      <c r="A1420" s="120" t="n">
        <v>46249</v>
      </c>
      <c r="B1420" s="66" t="inlineStr">
        <is>
          <t>Wk 33</t>
        </is>
      </c>
      <c r="C1420" s="66" t="inlineStr">
        <is>
          <t>Sat</t>
        </is>
      </c>
      <c r="D1420" s="66" t="inlineStr">
        <is>
          <t>TikTok</t>
        </is>
      </c>
      <c r="E1420" s="66" t="inlineStr">
        <is>
          <t>TikTok</t>
        </is>
      </c>
      <c r="F1420" s="66" t="inlineStr">
        <is>
          <t>LEP_ZA_AUG26_TT_SPARK_RANGE_TRAFFIC</t>
        </is>
      </c>
      <c r="G1420" s="66" t="inlineStr">
        <is>
          <t>Traffic - Spark Ads</t>
        </is>
      </c>
      <c r="H1420" s="66" t="inlineStr">
        <is>
          <t>Range</t>
        </is>
      </c>
      <c r="I1420" s="66" t="inlineStr">
        <is>
          <t>Range Offer</t>
        </is>
      </c>
      <c r="J1420" s="66" t="inlineStr">
        <is>
          <t>TT_SPARK_RMKT_VV_ZA</t>
        </is>
      </c>
      <c r="K1420" s="66" t="inlineStr">
        <is>
          <t>Retargeting</t>
        </is>
      </c>
      <c r="L1420" s="66" t="inlineStr">
        <is>
          <t>TT_SPARK_@drivesa_Review_v1</t>
        </is>
      </c>
      <c r="M1420" s="66" t="inlineStr">
        <is>
          <t>Spark Ad</t>
        </is>
      </c>
      <c r="N1420" s="66" t="inlineStr">
        <is>
          <t>Creator handle: @drivesa</t>
        </is>
      </c>
      <c r="O1420" s="66" t="inlineStr">
        <is>
          <t>Auction - Lowest Cost</t>
        </is>
      </c>
      <c r="P1420" s="66" t="inlineStr">
        <is>
          <t>Landing Page View</t>
        </is>
      </c>
      <c r="Q1420" s="66" t="inlineStr">
        <is>
          <t>https://www.lepas-sa.co.za/book-a-test-drive</t>
        </is>
      </c>
      <c r="R1420" s="121" t="n">
        <v>119.55</v>
      </c>
      <c r="S1420" s="122" t="n">
        <v>2284</v>
      </c>
      <c r="T1420" s="122" t="n">
        <v>1219</v>
      </c>
      <c r="U1420" s="123">
        <f>IFERROR(S1420/T1420,"")</f>
        <v/>
      </c>
      <c r="V1420" s="122" t="n">
        <v>57</v>
      </c>
      <c r="W1420" s="122" t="n">
        <v>46</v>
      </c>
      <c r="X1420" s="124">
        <f>IFERROR(W1420/S1420,"")</f>
        <v/>
      </c>
      <c r="Y1420" s="121">
        <f>IFERROR(R1420/W1420,"")</f>
        <v/>
      </c>
      <c r="Z1420" s="121">
        <f>IFERROR(R1420/S1420*1000,"")</f>
        <v/>
      </c>
      <c r="AA1420" s="122" t="n">
        <v>34</v>
      </c>
      <c r="AB1420" s="54">
        <f>IFERROR(AA1420/W1420,"")</f>
        <v/>
      </c>
      <c r="AC1420" s="122" t="n">
        <v>931</v>
      </c>
      <c r="AD1420" s="122" t="n">
        <v>499</v>
      </c>
      <c r="AE1420" s="122" t="n">
        <v>463</v>
      </c>
      <c r="AF1420" s="122" t="n">
        <v>291</v>
      </c>
      <c r="AG1420" s="122" t="n">
        <v>232</v>
      </c>
      <c r="AH1420" s="122" t="n">
        <v>144</v>
      </c>
      <c r="AI1420" s="54">
        <f>IFERROR(AC1420/S1420,"")</f>
        <v/>
      </c>
      <c r="AJ1420" s="54">
        <f>IFERROR(AH1420/S1420,"")</f>
        <v/>
      </c>
      <c r="AK1420" s="122" t="n">
        <v>81</v>
      </c>
      <c r="AL1420" s="122" t="n">
        <v>1</v>
      </c>
      <c r="AM1420" s="124">
        <f>IFERROR(AL1420/AA1420,"")</f>
        <v/>
      </c>
      <c r="AN1420" s="125">
        <f>IFERROR(R1420/AL1420,"")</f>
        <v/>
      </c>
      <c r="AO1420" s="122" t="n">
        <v>0</v>
      </c>
      <c r="AP1420" s="54">
        <f>IFERROR(AO1420/AL1420,"")</f>
        <v/>
      </c>
      <c r="AQ1420" s="125">
        <f>IFERROR(R1420/AO1420,"")</f>
        <v/>
      </c>
      <c r="AR1420" s="122" t="n">
        <v>1</v>
      </c>
      <c r="AS1420" s="122" t="n">
        <v>1</v>
      </c>
      <c r="AT1420" s="122">
        <f>AL1420+AR1420</f>
        <v/>
      </c>
      <c r="AU1420" s="125">
        <f>IFERROR(AO1420*Assumptions!$C$26*Assumptions!$C$27*INDEX(Assumptions!$C$18:$C$21,MATCH(H1420,Assumptions!$B$18:$B$21,0)),0)</f>
        <v/>
      </c>
    </row>
    <row r="1421">
      <c r="A1421" s="120" t="n">
        <v>46250</v>
      </c>
      <c r="B1421" s="66" t="inlineStr">
        <is>
          <t>Wk 33</t>
        </is>
      </c>
      <c r="C1421" s="66" t="inlineStr">
        <is>
          <t>Sun</t>
        </is>
      </c>
      <c r="D1421" s="66" t="inlineStr">
        <is>
          <t>TikTok</t>
        </is>
      </c>
      <c r="E1421" s="66" t="inlineStr">
        <is>
          <t>TikTok</t>
        </is>
      </c>
      <c r="F1421" s="66" t="inlineStr">
        <is>
          <t>LEP_ZA_AUG26_TT_SPARK_RANGE_TRAFFIC</t>
        </is>
      </c>
      <c r="G1421" s="66" t="inlineStr">
        <is>
          <t>Traffic - Spark Ads</t>
        </is>
      </c>
      <c r="H1421" s="66" t="inlineStr">
        <is>
          <t>Range</t>
        </is>
      </c>
      <c r="I1421" s="66" t="inlineStr">
        <is>
          <t>Range Offer</t>
        </is>
      </c>
      <c r="J1421" s="66" t="inlineStr">
        <is>
          <t>TT_SPARK_RMKT_VV_ZA</t>
        </is>
      </c>
      <c r="K1421" s="66" t="inlineStr">
        <is>
          <t>Retargeting</t>
        </is>
      </c>
      <c r="L1421" s="66" t="inlineStr">
        <is>
          <t>TT_SPARK_@drivesa_Review_v1</t>
        </is>
      </c>
      <c r="M1421" s="66" t="inlineStr">
        <is>
          <t>Spark Ad</t>
        </is>
      </c>
      <c r="N1421" s="66" t="inlineStr">
        <is>
          <t>Creator handle: @drivesa</t>
        </is>
      </c>
      <c r="O1421" s="66" t="inlineStr">
        <is>
          <t>Auction - Lowest Cost</t>
        </is>
      </c>
      <c r="P1421" s="66" t="inlineStr">
        <is>
          <t>Landing Page View</t>
        </is>
      </c>
      <c r="Q1421" s="66" t="inlineStr">
        <is>
          <t>https://www.lepas-sa.co.za/book-a-test-drive</t>
        </is>
      </c>
      <c r="R1421" s="121" t="n">
        <v>90.59</v>
      </c>
      <c r="S1421" s="122" t="n">
        <v>1897</v>
      </c>
      <c r="T1421" s="122" t="n">
        <v>1343</v>
      </c>
      <c r="U1421" s="123">
        <f>IFERROR(S1421/T1421,"")</f>
        <v/>
      </c>
      <c r="V1421" s="122" t="n">
        <v>51</v>
      </c>
      <c r="W1421" s="122" t="n">
        <v>40</v>
      </c>
      <c r="X1421" s="124">
        <f>IFERROR(W1421/S1421,"")</f>
        <v/>
      </c>
      <c r="Y1421" s="121">
        <f>IFERROR(R1421/W1421,"")</f>
        <v/>
      </c>
      <c r="Z1421" s="121">
        <f>IFERROR(R1421/S1421*1000,"")</f>
        <v/>
      </c>
      <c r="AA1421" s="122" t="n">
        <v>29</v>
      </c>
      <c r="AB1421" s="54">
        <f>IFERROR(AA1421/W1421,"")</f>
        <v/>
      </c>
      <c r="AC1421" s="122" t="n">
        <v>645</v>
      </c>
      <c r="AD1421" s="122" t="n">
        <v>343</v>
      </c>
      <c r="AE1421" s="122" t="n">
        <v>285</v>
      </c>
      <c r="AF1421" s="122" t="n">
        <v>190</v>
      </c>
      <c r="AG1421" s="122" t="n">
        <v>138</v>
      </c>
      <c r="AH1421" s="122" t="n">
        <v>97</v>
      </c>
      <c r="AI1421" s="54">
        <f>IFERROR(AC1421/S1421,"")</f>
        <v/>
      </c>
      <c r="AJ1421" s="54">
        <f>IFERROR(AH1421/S1421,"")</f>
        <v/>
      </c>
      <c r="AK1421" s="122" t="n">
        <v>104</v>
      </c>
      <c r="AL1421" s="122" t="n">
        <v>0</v>
      </c>
      <c r="AM1421" s="124">
        <f>IFERROR(AL1421/AA1421,"")</f>
        <v/>
      </c>
      <c r="AN1421" s="125">
        <f>IFERROR(R1421/AL1421,"")</f>
        <v/>
      </c>
      <c r="AO1421" s="122" t="n">
        <v>0</v>
      </c>
      <c r="AP1421" s="54">
        <f>IFERROR(AO1421/AL1421,"")</f>
        <v/>
      </c>
      <c r="AQ1421" s="125">
        <f>IFERROR(R1421/AO1421,"")</f>
        <v/>
      </c>
      <c r="AR1421" s="122" t="n">
        <v>0</v>
      </c>
      <c r="AS1421" s="122" t="n">
        <v>0</v>
      </c>
      <c r="AT1421" s="122">
        <f>AL1421+AR1421</f>
        <v/>
      </c>
      <c r="AU1421" s="125">
        <f>IFERROR(AO1421*Assumptions!$C$26*Assumptions!$C$27*INDEX(Assumptions!$C$18:$C$21,MATCH(H1421,Assumptions!$B$18:$B$21,0)),0)</f>
        <v/>
      </c>
    </row>
    <row r="1422">
      <c r="A1422" s="120" t="n">
        <v>46251</v>
      </c>
      <c r="B1422" s="66" t="inlineStr">
        <is>
          <t>Wk 34</t>
        </is>
      </c>
      <c r="C1422" s="66" t="inlineStr">
        <is>
          <t>Mon</t>
        </is>
      </c>
      <c r="D1422" s="66" t="inlineStr">
        <is>
          <t>TikTok</t>
        </is>
      </c>
      <c r="E1422" s="66" t="inlineStr">
        <is>
          <t>TikTok</t>
        </is>
      </c>
      <c r="F1422" s="66" t="inlineStr">
        <is>
          <t>LEP_ZA_AUG26_TT_SPARK_RANGE_TRAFFIC</t>
        </is>
      </c>
      <c r="G1422" s="66" t="inlineStr">
        <is>
          <t>Traffic - Spark Ads</t>
        </is>
      </c>
      <c r="H1422" s="66" t="inlineStr">
        <is>
          <t>Range</t>
        </is>
      </c>
      <c r="I1422" s="66" t="inlineStr">
        <is>
          <t>Range Offer</t>
        </is>
      </c>
      <c r="J1422" s="66" t="inlineStr">
        <is>
          <t>TT_SPARK_RMKT_VV_ZA</t>
        </is>
      </c>
      <c r="K1422" s="66" t="inlineStr">
        <is>
          <t>Retargeting</t>
        </is>
      </c>
      <c r="L1422" s="66" t="inlineStr">
        <is>
          <t>TT_SPARK_@drivesa_Review_v1</t>
        </is>
      </c>
      <c r="M1422" s="66" t="inlineStr">
        <is>
          <t>Spark Ad</t>
        </is>
      </c>
      <c r="N1422" s="66" t="inlineStr">
        <is>
          <t>Creator handle: @drivesa</t>
        </is>
      </c>
      <c r="O1422" s="66" t="inlineStr">
        <is>
          <t>Auction - Lowest Cost</t>
        </is>
      </c>
      <c r="P1422" s="66" t="inlineStr">
        <is>
          <t>Landing Page View</t>
        </is>
      </c>
      <c r="Q1422" s="66" t="inlineStr">
        <is>
          <t>https://www.lepas-sa.co.za/book-a-test-drive</t>
        </is>
      </c>
      <c r="R1422" s="121" t="n">
        <v>106.18</v>
      </c>
      <c r="S1422" s="122" t="n">
        <v>3183</v>
      </c>
      <c r="T1422" s="122" t="n">
        <v>1930</v>
      </c>
      <c r="U1422" s="123">
        <f>IFERROR(S1422/T1422,"")</f>
        <v/>
      </c>
      <c r="V1422" s="122" t="n">
        <v>44</v>
      </c>
      <c r="W1422" s="122" t="n">
        <v>37</v>
      </c>
      <c r="X1422" s="124">
        <f>IFERROR(W1422/S1422,"")</f>
        <v/>
      </c>
      <c r="Y1422" s="121">
        <f>IFERROR(R1422/W1422,"")</f>
        <v/>
      </c>
      <c r="Z1422" s="121">
        <f>IFERROR(R1422/S1422*1000,"")</f>
        <v/>
      </c>
      <c r="AA1422" s="122" t="n">
        <v>27</v>
      </c>
      <c r="AB1422" s="54">
        <f>IFERROR(AA1422/W1422,"")</f>
        <v/>
      </c>
      <c r="AC1422" s="122" t="n">
        <v>805</v>
      </c>
      <c r="AD1422" s="122" t="n">
        <v>374</v>
      </c>
      <c r="AE1422" s="122" t="n">
        <v>430</v>
      </c>
      <c r="AF1422" s="122" t="n">
        <v>230</v>
      </c>
      <c r="AG1422" s="122" t="n">
        <v>181</v>
      </c>
      <c r="AH1422" s="122" t="n">
        <v>108</v>
      </c>
      <c r="AI1422" s="54">
        <f>IFERROR(AC1422/S1422,"")</f>
        <v/>
      </c>
      <c r="AJ1422" s="54">
        <f>IFERROR(AH1422/S1422,"")</f>
        <v/>
      </c>
      <c r="AK1422" s="122" t="n">
        <v>134</v>
      </c>
      <c r="AL1422" s="122" t="n">
        <v>0</v>
      </c>
      <c r="AM1422" s="124">
        <f>IFERROR(AL1422/AA1422,"")</f>
        <v/>
      </c>
      <c r="AN1422" s="125">
        <f>IFERROR(R1422/AL1422,"")</f>
        <v/>
      </c>
      <c r="AO1422" s="122" t="n">
        <v>0</v>
      </c>
      <c r="AP1422" s="54">
        <f>IFERROR(AO1422/AL1422,"")</f>
        <v/>
      </c>
      <c r="AQ1422" s="125">
        <f>IFERROR(R1422/AO1422,"")</f>
        <v/>
      </c>
      <c r="AR1422" s="122" t="n">
        <v>0</v>
      </c>
      <c r="AS1422" s="122" t="n">
        <v>0</v>
      </c>
      <c r="AT1422" s="122">
        <f>AL1422+AR1422</f>
        <v/>
      </c>
      <c r="AU1422" s="125">
        <f>IFERROR(AO1422*Assumptions!$C$26*Assumptions!$C$27*INDEX(Assumptions!$C$18:$C$21,MATCH(H1422,Assumptions!$B$18:$B$21,0)),0)</f>
        <v/>
      </c>
    </row>
    <row r="1423">
      <c r="A1423" s="120" t="n">
        <v>46252</v>
      </c>
      <c r="B1423" s="66" t="inlineStr">
        <is>
          <t>Wk 34</t>
        </is>
      </c>
      <c r="C1423" s="66" t="inlineStr">
        <is>
          <t>Tue</t>
        </is>
      </c>
      <c r="D1423" s="66" t="inlineStr">
        <is>
          <t>TikTok</t>
        </is>
      </c>
      <c r="E1423" s="66" t="inlineStr">
        <is>
          <t>TikTok</t>
        </is>
      </c>
      <c r="F1423" s="66" t="inlineStr">
        <is>
          <t>LEP_ZA_AUG26_TT_SPARK_RANGE_TRAFFIC</t>
        </is>
      </c>
      <c r="G1423" s="66" t="inlineStr">
        <is>
          <t>Traffic - Spark Ads</t>
        </is>
      </c>
      <c r="H1423" s="66" t="inlineStr">
        <is>
          <t>Range</t>
        </is>
      </c>
      <c r="I1423" s="66" t="inlineStr">
        <is>
          <t>Range Offer</t>
        </is>
      </c>
      <c r="J1423" s="66" t="inlineStr">
        <is>
          <t>TT_SPARK_RMKT_VV_ZA</t>
        </is>
      </c>
      <c r="K1423" s="66" t="inlineStr">
        <is>
          <t>Retargeting</t>
        </is>
      </c>
      <c r="L1423" s="66" t="inlineStr">
        <is>
          <t>TT_SPARK_@drivesa_Review_v1</t>
        </is>
      </c>
      <c r="M1423" s="66" t="inlineStr">
        <is>
          <t>Spark Ad</t>
        </is>
      </c>
      <c r="N1423" s="66" t="inlineStr">
        <is>
          <t>Creator handle: @drivesa</t>
        </is>
      </c>
      <c r="O1423" s="66" t="inlineStr">
        <is>
          <t>Auction - Lowest Cost</t>
        </is>
      </c>
      <c r="P1423" s="66" t="inlineStr">
        <is>
          <t>Landing Page View</t>
        </is>
      </c>
      <c r="Q1423" s="66" t="inlineStr">
        <is>
          <t>https://www.lepas-sa.co.za/book-a-test-drive</t>
        </is>
      </c>
      <c r="R1423" s="121" t="n">
        <v>106.54</v>
      </c>
      <c r="S1423" s="122" t="n">
        <v>2794</v>
      </c>
      <c r="T1423" s="122" t="n">
        <v>1487</v>
      </c>
      <c r="U1423" s="123">
        <f>IFERROR(S1423/T1423,"")</f>
        <v/>
      </c>
      <c r="V1423" s="122" t="n">
        <v>58</v>
      </c>
      <c r="W1423" s="122" t="n">
        <v>46</v>
      </c>
      <c r="X1423" s="124">
        <f>IFERROR(W1423/S1423,"")</f>
        <v/>
      </c>
      <c r="Y1423" s="121">
        <f>IFERROR(R1423/W1423,"")</f>
        <v/>
      </c>
      <c r="Z1423" s="121">
        <f>IFERROR(R1423/S1423*1000,"")</f>
        <v/>
      </c>
      <c r="AA1423" s="122" t="n">
        <v>31</v>
      </c>
      <c r="AB1423" s="54">
        <f>IFERROR(AA1423/W1423,"")</f>
        <v/>
      </c>
      <c r="AC1423" s="122" t="n">
        <v>1064</v>
      </c>
      <c r="AD1423" s="122" t="n">
        <v>585</v>
      </c>
      <c r="AE1423" s="122" t="n">
        <v>447</v>
      </c>
      <c r="AF1423" s="122" t="n">
        <v>299</v>
      </c>
      <c r="AG1423" s="122" t="n">
        <v>237</v>
      </c>
      <c r="AH1423" s="122" t="n">
        <v>155</v>
      </c>
      <c r="AI1423" s="54">
        <f>IFERROR(AC1423/S1423,"")</f>
        <v/>
      </c>
      <c r="AJ1423" s="54">
        <f>IFERROR(AH1423/S1423,"")</f>
        <v/>
      </c>
      <c r="AK1423" s="122" t="n">
        <v>119</v>
      </c>
      <c r="AL1423" s="122" t="n">
        <v>1</v>
      </c>
      <c r="AM1423" s="124">
        <f>IFERROR(AL1423/AA1423,"")</f>
        <v/>
      </c>
      <c r="AN1423" s="125">
        <f>IFERROR(R1423/AL1423,"")</f>
        <v/>
      </c>
      <c r="AO1423" s="122" t="n">
        <v>0</v>
      </c>
      <c r="AP1423" s="54">
        <f>IFERROR(AO1423/AL1423,"")</f>
        <v/>
      </c>
      <c r="AQ1423" s="125">
        <f>IFERROR(R1423/AO1423,"")</f>
        <v/>
      </c>
      <c r="AR1423" s="122" t="n">
        <v>0</v>
      </c>
      <c r="AS1423" s="122" t="n">
        <v>0</v>
      </c>
      <c r="AT1423" s="122">
        <f>AL1423+AR1423</f>
        <v/>
      </c>
      <c r="AU1423" s="125">
        <f>IFERROR(AO1423*Assumptions!$C$26*Assumptions!$C$27*INDEX(Assumptions!$C$18:$C$21,MATCH(H1423,Assumptions!$B$18:$B$21,0)),0)</f>
        <v/>
      </c>
    </row>
    <row r="1424">
      <c r="A1424" s="120" t="n">
        <v>46253</v>
      </c>
      <c r="B1424" s="66" t="inlineStr">
        <is>
          <t>Wk 34</t>
        </is>
      </c>
      <c r="C1424" s="66" t="inlineStr">
        <is>
          <t>Wed</t>
        </is>
      </c>
      <c r="D1424" s="66" t="inlineStr">
        <is>
          <t>TikTok</t>
        </is>
      </c>
      <c r="E1424" s="66" t="inlineStr">
        <is>
          <t>TikTok</t>
        </is>
      </c>
      <c r="F1424" s="66" t="inlineStr">
        <is>
          <t>LEP_ZA_AUG26_TT_SPARK_RANGE_TRAFFIC</t>
        </is>
      </c>
      <c r="G1424" s="66" t="inlineStr">
        <is>
          <t>Traffic - Spark Ads</t>
        </is>
      </c>
      <c r="H1424" s="66" t="inlineStr">
        <is>
          <t>Range</t>
        </is>
      </c>
      <c r="I1424" s="66" t="inlineStr">
        <is>
          <t>Range Offer</t>
        </is>
      </c>
      <c r="J1424" s="66" t="inlineStr">
        <is>
          <t>TT_SPARK_RMKT_VV_ZA</t>
        </is>
      </c>
      <c r="K1424" s="66" t="inlineStr">
        <is>
          <t>Retargeting</t>
        </is>
      </c>
      <c r="L1424" s="66" t="inlineStr">
        <is>
          <t>TT_SPARK_@drivesa_Review_v1</t>
        </is>
      </c>
      <c r="M1424" s="66" t="inlineStr">
        <is>
          <t>Spark Ad</t>
        </is>
      </c>
      <c r="N1424" s="66" t="inlineStr">
        <is>
          <t>Creator handle: @drivesa</t>
        </is>
      </c>
      <c r="O1424" s="66" t="inlineStr">
        <is>
          <t>Auction - Lowest Cost</t>
        </is>
      </c>
      <c r="P1424" s="66" t="inlineStr">
        <is>
          <t>Landing Page View</t>
        </is>
      </c>
      <c r="Q1424" s="66" t="inlineStr">
        <is>
          <t>https://www.lepas-sa.co.za/book-a-test-drive</t>
        </is>
      </c>
      <c r="R1424" s="121" t="n">
        <v>110.07</v>
      </c>
      <c r="S1424" s="122" t="n">
        <v>2575</v>
      </c>
      <c r="T1424" s="122" t="n">
        <v>1730</v>
      </c>
      <c r="U1424" s="123">
        <f>IFERROR(S1424/T1424,"")</f>
        <v/>
      </c>
      <c r="V1424" s="122" t="n">
        <v>60</v>
      </c>
      <c r="W1424" s="122" t="n">
        <v>46</v>
      </c>
      <c r="X1424" s="124">
        <f>IFERROR(W1424/S1424,"")</f>
        <v/>
      </c>
      <c r="Y1424" s="121">
        <f>IFERROR(R1424/W1424,"")</f>
        <v/>
      </c>
      <c r="Z1424" s="121">
        <f>IFERROR(R1424/S1424*1000,"")</f>
        <v/>
      </c>
      <c r="AA1424" s="122" t="n">
        <v>34</v>
      </c>
      <c r="AB1424" s="54">
        <f>IFERROR(AA1424/W1424,"")</f>
        <v/>
      </c>
      <c r="AC1424" s="122" t="n">
        <v>775</v>
      </c>
      <c r="AD1424" s="122" t="n">
        <v>367</v>
      </c>
      <c r="AE1424" s="122" t="n">
        <v>376</v>
      </c>
      <c r="AF1424" s="122" t="n">
        <v>215</v>
      </c>
      <c r="AG1424" s="122" t="n">
        <v>169</v>
      </c>
      <c r="AH1424" s="122" t="n">
        <v>118</v>
      </c>
      <c r="AI1424" s="54">
        <f>IFERROR(AC1424/S1424,"")</f>
        <v/>
      </c>
      <c r="AJ1424" s="54">
        <f>IFERROR(AH1424/S1424,"")</f>
        <v/>
      </c>
      <c r="AK1424" s="122" t="n">
        <v>58</v>
      </c>
      <c r="AL1424" s="122" t="n">
        <v>0</v>
      </c>
      <c r="AM1424" s="124">
        <f>IFERROR(AL1424/AA1424,"")</f>
        <v/>
      </c>
      <c r="AN1424" s="125">
        <f>IFERROR(R1424/AL1424,"")</f>
        <v/>
      </c>
      <c r="AO1424" s="122" t="n">
        <v>0</v>
      </c>
      <c r="AP1424" s="54">
        <f>IFERROR(AO1424/AL1424,"")</f>
        <v/>
      </c>
      <c r="AQ1424" s="125">
        <f>IFERROR(R1424/AO1424,"")</f>
        <v/>
      </c>
      <c r="AR1424" s="122" t="n">
        <v>0</v>
      </c>
      <c r="AS1424" s="122" t="n">
        <v>0</v>
      </c>
      <c r="AT1424" s="122">
        <f>AL1424+AR1424</f>
        <v/>
      </c>
      <c r="AU1424" s="125">
        <f>IFERROR(AO1424*Assumptions!$C$26*Assumptions!$C$27*INDEX(Assumptions!$C$18:$C$21,MATCH(H1424,Assumptions!$B$18:$B$21,0)),0)</f>
        <v/>
      </c>
    </row>
    <row r="1425">
      <c r="A1425" s="120" t="n">
        <v>46254</v>
      </c>
      <c r="B1425" s="66" t="inlineStr">
        <is>
          <t>Wk 34</t>
        </is>
      </c>
      <c r="C1425" s="66" t="inlineStr">
        <is>
          <t>Thu</t>
        </is>
      </c>
      <c r="D1425" s="66" t="inlineStr">
        <is>
          <t>TikTok</t>
        </is>
      </c>
      <c r="E1425" s="66" t="inlineStr">
        <is>
          <t>TikTok</t>
        </is>
      </c>
      <c r="F1425" s="66" t="inlineStr">
        <is>
          <t>LEP_ZA_AUG26_TT_SPARK_RANGE_TRAFFIC</t>
        </is>
      </c>
      <c r="G1425" s="66" t="inlineStr">
        <is>
          <t>Traffic - Spark Ads</t>
        </is>
      </c>
      <c r="H1425" s="66" t="inlineStr">
        <is>
          <t>Range</t>
        </is>
      </c>
      <c r="I1425" s="66" t="inlineStr">
        <is>
          <t>Range Offer</t>
        </is>
      </c>
      <c r="J1425" s="66" t="inlineStr">
        <is>
          <t>TT_SPARK_RMKT_VV_ZA</t>
        </is>
      </c>
      <c r="K1425" s="66" t="inlineStr">
        <is>
          <t>Retargeting</t>
        </is>
      </c>
      <c r="L1425" s="66" t="inlineStr">
        <is>
          <t>TT_SPARK_@drivesa_Review_v1</t>
        </is>
      </c>
      <c r="M1425" s="66" t="inlineStr">
        <is>
          <t>Spark Ad</t>
        </is>
      </c>
      <c r="N1425" s="66" t="inlineStr">
        <is>
          <t>Creator handle: @drivesa</t>
        </is>
      </c>
      <c r="O1425" s="66" t="inlineStr">
        <is>
          <t>Auction - Lowest Cost</t>
        </is>
      </c>
      <c r="P1425" s="66" t="inlineStr">
        <is>
          <t>Landing Page View</t>
        </is>
      </c>
      <c r="Q1425" s="66" t="inlineStr">
        <is>
          <t>https://www.lepas-sa.co.za/book-a-test-drive</t>
        </is>
      </c>
      <c r="R1425" s="121" t="n">
        <v>143.25</v>
      </c>
      <c r="S1425" s="122" t="n">
        <v>2873</v>
      </c>
      <c r="T1425" s="122" t="n">
        <v>1804</v>
      </c>
      <c r="U1425" s="123">
        <f>IFERROR(S1425/T1425,"")</f>
        <v/>
      </c>
      <c r="V1425" s="122" t="n">
        <v>41</v>
      </c>
      <c r="W1425" s="122" t="n">
        <v>34</v>
      </c>
      <c r="X1425" s="124">
        <f>IFERROR(W1425/S1425,"")</f>
        <v/>
      </c>
      <c r="Y1425" s="121">
        <f>IFERROR(R1425/W1425,"")</f>
        <v/>
      </c>
      <c r="Z1425" s="121">
        <f>IFERROR(R1425/S1425*1000,"")</f>
        <v/>
      </c>
      <c r="AA1425" s="122" t="n">
        <v>25</v>
      </c>
      <c r="AB1425" s="54">
        <f>IFERROR(AA1425/W1425,"")</f>
        <v/>
      </c>
      <c r="AC1425" s="122" t="n">
        <v>848</v>
      </c>
      <c r="AD1425" s="122" t="n">
        <v>460</v>
      </c>
      <c r="AE1425" s="122" t="n">
        <v>347</v>
      </c>
      <c r="AF1425" s="122" t="n">
        <v>220</v>
      </c>
      <c r="AG1425" s="122" t="n">
        <v>148</v>
      </c>
      <c r="AH1425" s="122" t="n">
        <v>88</v>
      </c>
      <c r="AI1425" s="54">
        <f>IFERROR(AC1425/S1425,"")</f>
        <v/>
      </c>
      <c r="AJ1425" s="54">
        <f>IFERROR(AH1425/S1425,"")</f>
        <v/>
      </c>
      <c r="AK1425" s="122" t="n">
        <v>92</v>
      </c>
      <c r="AL1425" s="122" t="n">
        <v>1</v>
      </c>
      <c r="AM1425" s="124">
        <f>IFERROR(AL1425/AA1425,"")</f>
        <v/>
      </c>
      <c r="AN1425" s="125">
        <f>IFERROR(R1425/AL1425,"")</f>
        <v/>
      </c>
      <c r="AO1425" s="122" t="n">
        <v>0</v>
      </c>
      <c r="AP1425" s="54">
        <f>IFERROR(AO1425/AL1425,"")</f>
        <v/>
      </c>
      <c r="AQ1425" s="125">
        <f>IFERROR(R1425/AO1425,"")</f>
        <v/>
      </c>
      <c r="AR1425" s="122" t="n">
        <v>1</v>
      </c>
      <c r="AS1425" s="122" t="n">
        <v>1</v>
      </c>
      <c r="AT1425" s="122">
        <f>AL1425+AR1425</f>
        <v/>
      </c>
      <c r="AU1425" s="125">
        <f>IFERROR(AO1425*Assumptions!$C$26*Assumptions!$C$27*INDEX(Assumptions!$C$18:$C$21,MATCH(H1425,Assumptions!$B$18:$B$21,0)),0)</f>
        <v/>
      </c>
    </row>
    <row r="1426">
      <c r="A1426" s="120" t="n">
        <v>46255</v>
      </c>
      <c r="B1426" s="66" t="inlineStr">
        <is>
          <t>Wk 34</t>
        </is>
      </c>
      <c r="C1426" s="66" t="inlineStr">
        <is>
          <t>Fri</t>
        </is>
      </c>
      <c r="D1426" s="66" t="inlineStr">
        <is>
          <t>TikTok</t>
        </is>
      </c>
      <c r="E1426" s="66" t="inlineStr">
        <is>
          <t>TikTok</t>
        </is>
      </c>
      <c r="F1426" s="66" t="inlineStr">
        <is>
          <t>LEP_ZA_AUG26_TT_SPARK_RANGE_TRAFFIC</t>
        </is>
      </c>
      <c r="G1426" s="66" t="inlineStr">
        <is>
          <t>Traffic - Spark Ads</t>
        </is>
      </c>
      <c r="H1426" s="66" t="inlineStr">
        <is>
          <t>Range</t>
        </is>
      </c>
      <c r="I1426" s="66" t="inlineStr">
        <is>
          <t>Range Offer</t>
        </is>
      </c>
      <c r="J1426" s="66" t="inlineStr">
        <is>
          <t>TT_SPARK_RMKT_VV_ZA</t>
        </is>
      </c>
      <c r="K1426" s="66" t="inlineStr">
        <is>
          <t>Retargeting</t>
        </is>
      </c>
      <c r="L1426" s="66" t="inlineStr">
        <is>
          <t>TT_SPARK_@drivesa_Review_v1</t>
        </is>
      </c>
      <c r="M1426" s="66" t="inlineStr">
        <is>
          <t>Spark Ad</t>
        </is>
      </c>
      <c r="N1426" s="66" t="inlineStr">
        <is>
          <t>Creator handle: @drivesa</t>
        </is>
      </c>
      <c r="O1426" s="66" t="inlineStr">
        <is>
          <t>Auction - Lowest Cost</t>
        </is>
      </c>
      <c r="P1426" s="66" t="inlineStr">
        <is>
          <t>Landing Page View</t>
        </is>
      </c>
      <c r="Q1426" s="66" t="inlineStr">
        <is>
          <t>https://www.lepas-sa.co.za/book-a-test-drive</t>
        </is>
      </c>
      <c r="R1426" s="121" t="n">
        <v>144.61</v>
      </c>
      <c r="S1426" s="122" t="n">
        <v>4093</v>
      </c>
      <c r="T1426" s="122" t="n">
        <v>2750</v>
      </c>
      <c r="U1426" s="123">
        <f>IFERROR(S1426/T1426,"")</f>
        <v/>
      </c>
      <c r="V1426" s="122" t="n">
        <v>61</v>
      </c>
      <c r="W1426" s="122" t="n">
        <v>51</v>
      </c>
      <c r="X1426" s="124">
        <f>IFERROR(W1426/S1426,"")</f>
        <v/>
      </c>
      <c r="Y1426" s="121">
        <f>IFERROR(R1426/W1426,"")</f>
        <v/>
      </c>
      <c r="Z1426" s="121">
        <f>IFERROR(R1426/S1426*1000,"")</f>
        <v/>
      </c>
      <c r="AA1426" s="122" t="n">
        <v>34</v>
      </c>
      <c r="AB1426" s="54">
        <f>IFERROR(AA1426/W1426,"")</f>
        <v/>
      </c>
      <c r="AC1426" s="122" t="n">
        <v>1609</v>
      </c>
      <c r="AD1426" s="122" t="n">
        <v>997</v>
      </c>
      <c r="AE1426" s="122" t="n">
        <v>691</v>
      </c>
      <c r="AF1426" s="122" t="n">
        <v>434</v>
      </c>
      <c r="AG1426" s="122" t="n">
        <v>305</v>
      </c>
      <c r="AH1426" s="122" t="n">
        <v>189</v>
      </c>
      <c r="AI1426" s="54">
        <f>IFERROR(AC1426/S1426,"")</f>
        <v/>
      </c>
      <c r="AJ1426" s="54">
        <f>IFERROR(AH1426/S1426,"")</f>
        <v/>
      </c>
      <c r="AK1426" s="122" t="n">
        <v>83</v>
      </c>
      <c r="AL1426" s="122" t="n">
        <v>1</v>
      </c>
      <c r="AM1426" s="124">
        <f>IFERROR(AL1426/AA1426,"")</f>
        <v/>
      </c>
      <c r="AN1426" s="125">
        <f>IFERROR(R1426/AL1426,"")</f>
        <v/>
      </c>
      <c r="AO1426" s="122" t="n">
        <v>0</v>
      </c>
      <c r="AP1426" s="54">
        <f>IFERROR(AO1426/AL1426,"")</f>
        <v/>
      </c>
      <c r="AQ1426" s="125">
        <f>IFERROR(R1426/AO1426,"")</f>
        <v/>
      </c>
      <c r="AR1426" s="122" t="n">
        <v>1</v>
      </c>
      <c r="AS1426" s="122" t="n">
        <v>0</v>
      </c>
      <c r="AT1426" s="122">
        <f>AL1426+AR1426</f>
        <v/>
      </c>
      <c r="AU1426" s="125">
        <f>IFERROR(AO1426*Assumptions!$C$26*Assumptions!$C$27*INDEX(Assumptions!$C$18:$C$21,MATCH(H1426,Assumptions!$B$18:$B$21,0)),0)</f>
        <v/>
      </c>
    </row>
    <row r="1427">
      <c r="A1427" s="120" t="n">
        <v>46256</v>
      </c>
      <c r="B1427" s="66" t="inlineStr">
        <is>
          <t>Wk 34</t>
        </is>
      </c>
      <c r="C1427" s="66" t="inlineStr">
        <is>
          <t>Sat</t>
        </is>
      </c>
      <c r="D1427" s="66" t="inlineStr">
        <is>
          <t>TikTok</t>
        </is>
      </c>
      <c r="E1427" s="66" t="inlineStr">
        <is>
          <t>TikTok</t>
        </is>
      </c>
      <c r="F1427" s="66" t="inlineStr">
        <is>
          <t>LEP_ZA_AUG26_TT_SPARK_RANGE_TRAFFIC</t>
        </is>
      </c>
      <c r="G1427" s="66" t="inlineStr">
        <is>
          <t>Traffic - Spark Ads</t>
        </is>
      </c>
      <c r="H1427" s="66" t="inlineStr">
        <is>
          <t>Range</t>
        </is>
      </c>
      <c r="I1427" s="66" t="inlineStr">
        <is>
          <t>Range Offer</t>
        </is>
      </c>
      <c r="J1427" s="66" t="inlineStr">
        <is>
          <t>TT_SPARK_RMKT_VV_ZA</t>
        </is>
      </c>
      <c r="K1427" s="66" t="inlineStr">
        <is>
          <t>Retargeting</t>
        </is>
      </c>
      <c r="L1427" s="66" t="inlineStr">
        <is>
          <t>TT_SPARK_@drivesa_Review_v1</t>
        </is>
      </c>
      <c r="M1427" s="66" t="inlineStr">
        <is>
          <t>Spark Ad</t>
        </is>
      </c>
      <c r="N1427" s="66" t="inlineStr">
        <is>
          <t>Creator handle: @drivesa</t>
        </is>
      </c>
      <c r="O1427" s="66" t="inlineStr">
        <is>
          <t>Auction - Lowest Cost</t>
        </is>
      </c>
      <c r="P1427" s="66" t="inlineStr">
        <is>
          <t>Landing Page View</t>
        </is>
      </c>
      <c r="Q1427" s="66" t="inlineStr">
        <is>
          <t>https://www.lepas-sa.co.za/book-a-test-drive</t>
        </is>
      </c>
      <c r="R1427" s="121" t="n">
        <v>150.9</v>
      </c>
      <c r="S1427" s="122" t="n">
        <v>3776</v>
      </c>
      <c r="T1427" s="122" t="n">
        <v>2354</v>
      </c>
      <c r="U1427" s="123">
        <f>IFERROR(S1427/T1427,"")</f>
        <v/>
      </c>
      <c r="V1427" s="122" t="n">
        <v>49</v>
      </c>
      <c r="W1427" s="122" t="n">
        <v>40</v>
      </c>
      <c r="X1427" s="124">
        <f>IFERROR(W1427/S1427,"")</f>
        <v/>
      </c>
      <c r="Y1427" s="121">
        <f>IFERROR(R1427/W1427,"")</f>
        <v/>
      </c>
      <c r="Z1427" s="121">
        <f>IFERROR(R1427/S1427*1000,"")</f>
        <v/>
      </c>
      <c r="AA1427" s="122" t="n">
        <v>26</v>
      </c>
      <c r="AB1427" s="54">
        <f>IFERROR(AA1427/W1427,"")</f>
        <v/>
      </c>
      <c r="AC1427" s="122" t="n">
        <v>923</v>
      </c>
      <c r="AD1427" s="122" t="n">
        <v>455</v>
      </c>
      <c r="AE1427" s="122" t="n">
        <v>350</v>
      </c>
      <c r="AF1427" s="122" t="n">
        <v>237</v>
      </c>
      <c r="AG1427" s="122" t="n">
        <v>150</v>
      </c>
      <c r="AH1427" s="122" t="n">
        <v>85</v>
      </c>
      <c r="AI1427" s="54">
        <f>IFERROR(AC1427/S1427,"")</f>
        <v/>
      </c>
      <c r="AJ1427" s="54">
        <f>IFERROR(AH1427/S1427,"")</f>
        <v/>
      </c>
      <c r="AK1427" s="122" t="n">
        <v>76</v>
      </c>
      <c r="AL1427" s="122" t="n">
        <v>0</v>
      </c>
      <c r="AM1427" s="124">
        <f>IFERROR(AL1427/AA1427,"")</f>
        <v/>
      </c>
      <c r="AN1427" s="125">
        <f>IFERROR(R1427/AL1427,"")</f>
        <v/>
      </c>
      <c r="AO1427" s="122" t="n">
        <v>0</v>
      </c>
      <c r="AP1427" s="54">
        <f>IFERROR(AO1427/AL1427,"")</f>
        <v/>
      </c>
      <c r="AQ1427" s="125">
        <f>IFERROR(R1427/AO1427,"")</f>
        <v/>
      </c>
      <c r="AR1427" s="122" t="n">
        <v>0</v>
      </c>
      <c r="AS1427" s="122" t="n">
        <v>0</v>
      </c>
      <c r="AT1427" s="122">
        <f>AL1427+AR1427</f>
        <v/>
      </c>
      <c r="AU1427" s="125">
        <f>IFERROR(AO1427*Assumptions!$C$26*Assumptions!$C$27*INDEX(Assumptions!$C$18:$C$21,MATCH(H1427,Assumptions!$B$18:$B$21,0)),0)</f>
        <v/>
      </c>
    </row>
    <row r="1428">
      <c r="A1428" s="120" t="n">
        <v>46257</v>
      </c>
      <c r="B1428" s="66" t="inlineStr">
        <is>
          <t>Wk 34</t>
        </is>
      </c>
      <c r="C1428" s="66" t="inlineStr">
        <is>
          <t>Sun</t>
        </is>
      </c>
      <c r="D1428" s="66" t="inlineStr">
        <is>
          <t>TikTok</t>
        </is>
      </c>
      <c r="E1428" s="66" t="inlineStr">
        <is>
          <t>TikTok</t>
        </is>
      </c>
      <c r="F1428" s="66" t="inlineStr">
        <is>
          <t>LEP_ZA_AUG26_TT_SPARK_RANGE_TRAFFIC</t>
        </is>
      </c>
      <c r="G1428" s="66" t="inlineStr">
        <is>
          <t>Traffic - Spark Ads</t>
        </is>
      </c>
      <c r="H1428" s="66" t="inlineStr">
        <is>
          <t>Range</t>
        </is>
      </c>
      <c r="I1428" s="66" t="inlineStr">
        <is>
          <t>Range Offer</t>
        </is>
      </c>
      <c r="J1428" s="66" t="inlineStr">
        <is>
          <t>TT_SPARK_RMKT_VV_ZA</t>
        </is>
      </c>
      <c r="K1428" s="66" t="inlineStr">
        <is>
          <t>Retargeting</t>
        </is>
      </c>
      <c r="L1428" s="66" t="inlineStr">
        <is>
          <t>TT_SPARK_@drivesa_Review_v1</t>
        </is>
      </c>
      <c r="M1428" s="66" t="inlineStr">
        <is>
          <t>Spark Ad</t>
        </is>
      </c>
      <c r="N1428" s="66" t="inlineStr">
        <is>
          <t>Creator handle: @drivesa</t>
        </is>
      </c>
      <c r="O1428" s="66" t="inlineStr">
        <is>
          <t>Auction - Lowest Cost</t>
        </is>
      </c>
      <c r="P1428" s="66" t="inlineStr">
        <is>
          <t>Landing Page View</t>
        </is>
      </c>
      <c r="Q1428" s="66" t="inlineStr">
        <is>
          <t>https://www.lepas-sa.co.za/book-a-test-drive</t>
        </is>
      </c>
      <c r="R1428" s="121" t="n">
        <v>116.38</v>
      </c>
      <c r="S1428" s="122" t="n">
        <v>2308</v>
      </c>
      <c r="T1428" s="122" t="n">
        <v>1188</v>
      </c>
      <c r="U1428" s="123">
        <f>IFERROR(S1428/T1428,"")</f>
        <v/>
      </c>
      <c r="V1428" s="122" t="n">
        <v>25</v>
      </c>
      <c r="W1428" s="122" t="n">
        <v>20</v>
      </c>
      <c r="X1428" s="124">
        <f>IFERROR(W1428/S1428,"")</f>
        <v/>
      </c>
      <c r="Y1428" s="121">
        <f>IFERROR(R1428/W1428,"")</f>
        <v/>
      </c>
      <c r="Z1428" s="121">
        <f>IFERROR(R1428/S1428*1000,"")</f>
        <v/>
      </c>
      <c r="AA1428" s="122" t="n">
        <v>14</v>
      </c>
      <c r="AB1428" s="54">
        <f>IFERROR(AA1428/W1428,"")</f>
        <v/>
      </c>
      <c r="AC1428" s="122" t="n">
        <v>913</v>
      </c>
      <c r="AD1428" s="122" t="n">
        <v>439</v>
      </c>
      <c r="AE1428" s="122" t="n">
        <v>370</v>
      </c>
      <c r="AF1428" s="122" t="n">
        <v>262</v>
      </c>
      <c r="AG1428" s="122" t="n">
        <v>183</v>
      </c>
      <c r="AH1428" s="122" t="n">
        <v>132</v>
      </c>
      <c r="AI1428" s="54">
        <f>IFERROR(AC1428/S1428,"")</f>
        <v/>
      </c>
      <c r="AJ1428" s="54">
        <f>IFERROR(AH1428/S1428,"")</f>
        <v/>
      </c>
      <c r="AK1428" s="122" t="n">
        <v>84</v>
      </c>
      <c r="AL1428" s="122" t="n">
        <v>1</v>
      </c>
      <c r="AM1428" s="124">
        <f>IFERROR(AL1428/AA1428,"")</f>
        <v/>
      </c>
      <c r="AN1428" s="125">
        <f>IFERROR(R1428/AL1428,"")</f>
        <v/>
      </c>
      <c r="AO1428" s="122" t="n">
        <v>1</v>
      </c>
      <c r="AP1428" s="54">
        <f>IFERROR(AO1428/AL1428,"")</f>
        <v/>
      </c>
      <c r="AQ1428" s="125">
        <f>IFERROR(R1428/AO1428,"")</f>
        <v/>
      </c>
      <c r="AR1428" s="122" t="n">
        <v>0</v>
      </c>
      <c r="AS1428" s="122" t="n">
        <v>0</v>
      </c>
      <c r="AT1428" s="122">
        <f>AL1428+AR1428</f>
        <v/>
      </c>
      <c r="AU1428" s="125">
        <f>IFERROR(AO1428*Assumptions!$C$26*Assumptions!$C$27*INDEX(Assumptions!$C$18:$C$21,MATCH(H1428,Assumptions!$B$18:$B$21,0)),0)</f>
        <v/>
      </c>
    </row>
    <row r="1429">
      <c r="A1429" s="120" t="n">
        <v>46258</v>
      </c>
      <c r="B1429" s="66" t="inlineStr">
        <is>
          <t>Wk 35</t>
        </is>
      </c>
      <c r="C1429" s="66" t="inlineStr">
        <is>
          <t>Mon</t>
        </is>
      </c>
      <c r="D1429" s="66" t="inlineStr">
        <is>
          <t>TikTok</t>
        </is>
      </c>
      <c r="E1429" s="66" t="inlineStr">
        <is>
          <t>TikTok</t>
        </is>
      </c>
      <c r="F1429" s="66" t="inlineStr">
        <is>
          <t>LEP_ZA_AUG26_TT_SPARK_RANGE_TRAFFIC</t>
        </is>
      </c>
      <c r="G1429" s="66" t="inlineStr">
        <is>
          <t>Traffic - Spark Ads</t>
        </is>
      </c>
      <c r="H1429" s="66" t="inlineStr">
        <is>
          <t>Range</t>
        </is>
      </c>
      <c r="I1429" s="66" t="inlineStr">
        <is>
          <t>Range Offer</t>
        </is>
      </c>
      <c r="J1429" s="66" t="inlineStr">
        <is>
          <t>TT_SPARK_RMKT_VV_ZA</t>
        </is>
      </c>
      <c r="K1429" s="66" t="inlineStr">
        <is>
          <t>Retargeting</t>
        </is>
      </c>
      <c r="L1429" s="66" t="inlineStr">
        <is>
          <t>TT_SPARK_@drivesa_Review_v1</t>
        </is>
      </c>
      <c r="M1429" s="66" t="inlineStr">
        <is>
          <t>Spark Ad</t>
        </is>
      </c>
      <c r="N1429" s="66" t="inlineStr">
        <is>
          <t>Creator handle: @drivesa</t>
        </is>
      </c>
      <c r="O1429" s="66" t="inlineStr">
        <is>
          <t>Auction - Lowest Cost</t>
        </is>
      </c>
      <c r="P1429" s="66" t="inlineStr">
        <is>
          <t>Landing Page View</t>
        </is>
      </c>
      <c r="Q1429" s="66" t="inlineStr">
        <is>
          <t>https://www.lepas-sa.co.za/book-a-test-drive</t>
        </is>
      </c>
      <c r="R1429" s="121" t="n">
        <v>101.04</v>
      </c>
      <c r="S1429" s="122" t="n">
        <v>2489</v>
      </c>
      <c r="T1429" s="122" t="n">
        <v>1195</v>
      </c>
      <c r="U1429" s="123">
        <f>IFERROR(S1429/T1429,"")</f>
        <v/>
      </c>
      <c r="V1429" s="122" t="n">
        <v>38</v>
      </c>
      <c r="W1429" s="122" t="n">
        <v>27</v>
      </c>
      <c r="X1429" s="124">
        <f>IFERROR(W1429/S1429,"")</f>
        <v/>
      </c>
      <c r="Y1429" s="121">
        <f>IFERROR(R1429/W1429,"")</f>
        <v/>
      </c>
      <c r="Z1429" s="121">
        <f>IFERROR(R1429/S1429*1000,"")</f>
        <v/>
      </c>
      <c r="AA1429" s="122" t="n">
        <v>20</v>
      </c>
      <c r="AB1429" s="54">
        <f>IFERROR(AA1429/W1429,"")</f>
        <v/>
      </c>
      <c r="AC1429" s="122" t="n">
        <v>729</v>
      </c>
      <c r="AD1429" s="122" t="n">
        <v>434</v>
      </c>
      <c r="AE1429" s="122" t="n">
        <v>389</v>
      </c>
      <c r="AF1429" s="122" t="n">
        <v>260</v>
      </c>
      <c r="AG1429" s="122" t="n">
        <v>166</v>
      </c>
      <c r="AH1429" s="122" t="n">
        <v>108</v>
      </c>
      <c r="AI1429" s="54">
        <f>IFERROR(AC1429/S1429,"")</f>
        <v/>
      </c>
      <c r="AJ1429" s="54">
        <f>IFERROR(AH1429/S1429,"")</f>
        <v/>
      </c>
      <c r="AK1429" s="122" t="n">
        <v>130</v>
      </c>
      <c r="AL1429" s="122" t="n">
        <v>0</v>
      </c>
      <c r="AM1429" s="124">
        <f>IFERROR(AL1429/AA1429,"")</f>
        <v/>
      </c>
      <c r="AN1429" s="125">
        <f>IFERROR(R1429/AL1429,"")</f>
        <v/>
      </c>
      <c r="AO1429" s="122" t="n">
        <v>0</v>
      </c>
      <c r="AP1429" s="54">
        <f>IFERROR(AO1429/AL1429,"")</f>
        <v/>
      </c>
      <c r="AQ1429" s="125">
        <f>IFERROR(R1429/AO1429,"")</f>
        <v/>
      </c>
      <c r="AR1429" s="122" t="n">
        <v>0</v>
      </c>
      <c r="AS1429" s="122" t="n">
        <v>0</v>
      </c>
      <c r="AT1429" s="122">
        <f>AL1429+AR1429</f>
        <v/>
      </c>
      <c r="AU1429" s="125">
        <f>IFERROR(AO1429*Assumptions!$C$26*Assumptions!$C$27*INDEX(Assumptions!$C$18:$C$21,MATCH(H1429,Assumptions!$B$18:$B$21,0)),0)</f>
        <v/>
      </c>
    </row>
    <row r="1430">
      <c r="A1430" s="120" t="n">
        <v>46259</v>
      </c>
      <c r="B1430" s="66" t="inlineStr">
        <is>
          <t>Wk 35</t>
        </is>
      </c>
      <c r="C1430" s="66" t="inlineStr">
        <is>
          <t>Tue</t>
        </is>
      </c>
      <c r="D1430" s="66" t="inlineStr">
        <is>
          <t>TikTok</t>
        </is>
      </c>
      <c r="E1430" s="66" t="inlineStr">
        <is>
          <t>TikTok</t>
        </is>
      </c>
      <c r="F1430" s="66" t="inlineStr">
        <is>
          <t>LEP_ZA_AUG26_TT_SPARK_RANGE_TRAFFIC</t>
        </is>
      </c>
      <c r="G1430" s="66" t="inlineStr">
        <is>
          <t>Traffic - Spark Ads</t>
        </is>
      </c>
      <c r="H1430" s="66" t="inlineStr">
        <is>
          <t>Range</t>
        </is>
      </c>
      <c r="I1430" s="66" t="inlineStr">
        <is>
          <t>Range Offer</t>
        </is>
      </c>
      <c r="J1430" s="66" t="inlineStr">
        <is>
          <t>TT_SPARK_RMKT_VV_ZA</t>
        </is>
      </c>
      <c r="K1430" s="66" t="inlineStr">
        <is>
          <t>Retargeting</t>
        </is>
      </c>
      <c r="L1430" s="66" t="inlineStr">
        <is>
          <t>TT_SPARK_@drivesa_Review_v1</t>
        </is>
      </c>
      <c r="M1430" s="66" t="inlineStr">
        <is>
          <t>Spark Ad</t>
        </is>
      </c>
      <c r="N1430" s="66" t="inlineStr">
        <is>
          <t>Creator handle: @drivesa</t>
        </is>
      </c>
      <c r="O1430" s="66" t="inlineStr">
        <is>
          <t>Auction - Lowest Cost</t>
        </is>
      </c>
      <c r="P1430" s="66" t="inlineStr">
        <is>
          <t>Landing Page View</t>
        </is>
      </c>
      <c r="Q1430" s="66" t="inlineStr">
        <is>
          <t>https://www.lepas-sa.co.za/book-a-test-drive</t>
        </is>
      </c>
      <c r="R1430" s="121" t="n">
        <v>117.04</v>
      </c>
      <c r="S1430" s="122" t="n">
        <v>2627</v>
      </c>
      <c r="T1430" s="122" t="n">
        <v>1425</v>
      </c>
      <c r="U1430" s="123">
        <f>IFERROR(S1430/T1430,"")</f>
        <v/>
      </c>
      <c r="V1430" s="122" t="n">
        <v>53</v>
      </c>
      <c r="W1430" s="122" t="n">
        <v>39</v>
      </c>
      <c r="X1430" s="124">
        <f>IFERROR(W1430/S1430,"")</f>
        <v/>
      </c>
      <c r="Y1430" s="121">
        <f>IFERROR(R1430/W1430,"")</f>
        <v/>
      </c>
      <c r="Z1430" s="121">
        <f>IFERROR(R1430/S1430*1000,"")</f>
        <v/>
      </c>
      <c r="AA1430" s="122" t="n">
        <v>25</v>
      </c>
      <c r="AB1430" s="54">
        <f>IFERROR(AA1430/W1430,"")</f>
        <v/>
      </c>
      <c r="AC1430" s="122" t="n">
        <v>812</v>
      </c>
      <c r="AD1430" s="122" t="n">
        <v>496</v>
      </c>
      <c r="AE1430" s="122" t="n">
        <v>316</v>
      </c>
      <c r="AF1430" s="122" t="n">
        <v>191</v>
      </c>
      <c r="AG1430" s="122" t="n">
        <v>135</v>
      </c>
      <c r="AH1430" s="122" t="n">
        <v>77</v>
      </c>
      <c r="AI1430" s="54">
        <f>IFERROR(AC1430/S1430,"")</f>
        <v/>
      </c>
      <c r="AJ1430" s="54">
        <f>IFERROR(AH1430/S1430,"")</f>
        <v/>
      </c>
      <c r="AK1430" s="122" t="n">
        <v>87</v>
      </c>
      <c r="AL1430" s="122" t="n">
        <v>0</v>
      </c>
      <c r="AM1430" s="124">
        <f>IFERROR(AL1430/AA1430,"")</f>
        <v/>
      </c>
      <c r="AN1430" s="125">
        <f>IFERROR(R1430/AL1430,"")</f>
        <v/>
      </c>
      <c r="AO1430" s="122" t="n">
        <v>0</v>
      </c>
      <c r="AP1430" s="54">
        <f>IFERROR(AO1430/AL1430,"")</f>
        <v/>
      </c>
      <c r="AQ1430" s="125">
        <f>IFERROR(R1430/AO1430,"")</f>
        <v/>
      </c>
      <c r="AR1430" s="122" t="n">
        <v>0</v>
      </c>
      <c r="AS1430" s="122" t="n">
        <v>0</v>
      </c>
      <c r="AT1430" s="122">
        <f>AL1430+AR1430</f>
        <v/>
      </c>
      <c r="AU1430" s="125">
        <f>IFERROR(AO1430*Assumptions!$C$26*Assumptions!$C$27*INDEX(Assumptions!$C$18:$C$21,MATCH(H1430,Assumptions!$B$18:$B$21,0)),0)</f>
        <v/>
      </c>
    </row>
    <row r="1431">
      <c r="A1431" s="120" t="n">
        <v>46260</v>
      </c>
      <c r="B1431" s="66" t="inlineStr">
        <is>
          <t>Wk 35</t>
        </is>
      </c>
      <c r="C1431" s="66" t="inlineStr">
        <is>
          <t>Wed</t>
        </is>
      </c>
      <c r="D1431" s="66" t="inlineStr">
        <is>
          <t>TikTok</t>
        </is>
      </c>
      <c r="E1431" s="66" t="inlineStr">
        <is>
          <t>TikTok</t>
        </is>
      </c>
      <c r="F1431" s="66" t="inlineStr">
        <is>
          <t>LEP_ZA_AUG26_TT_SPARK_RANGE_TRAFFIC</t>
        </is>
      </c>
      <c r="G1431" s="66" t="inlineStr">
        <is>
          <t>Traffic - Spark Ads</t>
        </is>
      </c>
      <c r="H1431" s="66" t="inlineStr">
        <is>
          <t>Range</t>
        </is>
      </c>
      <c r="I1431" s="66" t="inlineStr">
        <is>
          <t>Range Offer</t>
        </is>
      </c>
      <c r="J1431" s="66" t="inlineStr">
        <is>
          <t>TT_SPARK_RMKT_VV_ZA</t>
        </is>
      </c>
      <c r="K1431" s="66" t="inlineStr">
        <is>
          <t>Retargeting</t>
        </is>
      </c>
      <c r="L1431" s="66" t="inlineStr">
        <is>
          <t>TT_SPARK_@drivesa_Review_v1</t>
        </is>
      </c>
      <c r="M1431" s="66" t="inlineStr">
        <is>
          <t>Spark Ad</t>
        </is>
      </c>
      <c r="N1431" s="66" t="inlineStr">
        <is>
          <t>Creator handle: @drivesa</t>
        </is>
      </c>
      <c r="O1431" s="66" t="inlineStr">
        <is>
          <t>Auction - Lowest Cost</t>
        </is>
      </c>
      <c r="P1431" s="66" t="inlineStr">
        <is>
          <t>Landing Page View</t>
        </is>
      </c>
      <c r="Q1431" s="66" t="inlineStr">
        <is>
          <t>https://www.lepas-sa.co.za/book-a-test-drive</t>
        </is>
      </c>
      <c r="R1431" s="121" t="n">
        <v>100.69</v>
      </c>
      <c r="S1431" s="122" t="n">
        <v>2614</v>
      </c>
      <c r="T1431" s="122" t="n">
        <v>1171</v>
      </c>
      <c r="U1431" s="123">
        <f>IFERROR(S1431/T1431,"")</f>
        <v/>
      </c>
      <c r="V1431" s="122" t="n">
        <v>49</v>
      </c>
      <c r="W1431" s="122" t="n">
        <v>39</v>
      </c>
      <c r="X1431" s="124">
        <f>IFERROR(W1431/S1431,"")</f>
        <v/>
      </c>
      <c r="Y1431" s="121">
        <f>IFERROR(R1431/W1431,"")</f>
        <v/>
      </c>
      <c r="Z1431" s="121">
        <f>IFERROR(R1431/S1431*1000,"")</f>
        <v/>
      </c>
      <c r="AA1431" s="122" t="n">
        <v>27</v>
      </c>
      <c r="AB1431" s="54">
        <f>IFERROR(AA1431/W1431,"")</f>
        <v/>
      </c>
      <c r="AC1431" s="122" t="n">
        <v>744</v>
      </c>
      <c r="AD1431" s="122" t="n">
        <v>343</v>
      </c>
      <c r="AE1431" s="122" t="n">
        <v>318</v>
      </c>
      <c r="AF1431" s="122" t="n">
        <v>216</v>
      </c>
      <c r="AG1431" s="122" t="n">
        <v>146</v>
      </c>
      <c r="AH1431" s="122" t="n">
        <v>106</v>
      </c>
      <c r="AI1431" s="54">
        <f>IFERROR(AC1431/S1431,"")</f>
        <v/>
      </c>
      <c r="AJ1431" s="54">
        <f>IFERROR(AH1431/S1431,"")</f>
        <v/>
      </c>
      <c r="AK1431" s="122" t="n">
        <v>117</v>
      </c>
      <c r="AL1431" s="122" t="n">
        <v>1</v>
      </c>
      <c r="AM1431" s="124">
        <f>IFERROR(AL1431/AA1431,"")</f>
        <v/>
      </c>
      <c r="AN1431" s="125">
        <f>IFERROR(R1431/AL1431,"")</f>
        <v/>
      </c>
      <c r="AO1431" s="122" t="n">
        <v>0</v>
      </c>
      <c r="AP1431" s="54">
        <f>IFERROR(AO1431/AL1431,"")</f>
        <v/>
      </c>
      <c r="AQ1431" s="125">
        <f>IFERROR(R1431/AO1431,"")</f>
        <v/>
      </c>
      <c r="AR1431" s="122" t="n">
        <v>0</v>
      </c>
      <c r="AS1431" s="122" t="n">
        <v>1</v>
      </c>
      <c r="AT1431" s="122">
        <f>AL1431+AR1431</f>
        <v/>
      </c>
      <c r="AU1431" s="125">
        <f>IFERROR(AO1431*Assumptions!$C$26*Assumptions!$C$27*INDEX(Assumptions!$C$18:$C$21,MATCH(H1431,Assumptions!$B$18:$B$21,0)),0)</f>
        <v/>
      </c>
    </row>
    <row r="1432">
      <c r="A1432" s="120" t="n">
        <v>46261</v>
      </c>
      <c r="B1432" s="66" t="inlineStr">
        <is>
          <t>Wk 35</t>
        </is>
      </c>
      <c r="C1432" s="66" t="inlineStr">
        <is>
          <t>Thu</t>
        </is>
      </c>
      <c r="D1432" s="66" t="inlineStr">
        <is>
          <t>TikTok</t>
        </is>
      </c>
      <c r="E1432" s="66" t="inlineStr">
        <is>
          <t>TikTok</t>
        </is>
      </c>
      <c r="F1432" s="66" t="inlineStr">
        <is>
          <t>LEP_ZA_AUG26_TT_SPARK_RANGE_TRAFFIC</t>
        </is>
      </c>
      <c r="G1432" s="66" t="inlineStr">
        <is>
          <t>Traffic - Spark Ads</t>
        </is>
      </c>
      <c r="H1432" s="66" t="inlineStr">
        <is>
          <t>Range</t>
        </is>
      </c>
      <c r="I1432" s="66" t="inlineStr">
        <is>
          <t>Range Offer</t>
        </is>
      </c>
      <c r="J1432" s="66" t="inlineStr">
        <is>
          <t>TT_SPARK_RMKT_VV_ZA</t>
        </is>
      </c>
      <c r="K1432" s="66" t="inlineStr">
        <is>
          <t>Retargeting</t>
        </is>
      </c>
      <c r="L1432" s="66" t="inlineStr">
        <is>
          <t>TT_SPARK_@drivesa_Review_v1</t>
        </is>
      </c>
      <c r="M1432" s="66" t="inlineStr">
        <is>
          <t>Spark Ad</t>
        </is>
      </c>
      <c r="N1432" s="66" t="inlineStr">
        <is>
          <t>Creator handle: @drivesa</t>
        </is>
      </c>
      <c r="O1432" s="66" t="inlineStr">
        <is>
          <t>Auction - Lowest Cost</t>
        </is>
      </c>
      <c r="P1432" s="66" t="inlineStr">
        <is>
          <t>Landing Page View</t>
        </is>
      </c>
      <c r="Q1432" s="66" t="inlineStr">
        <is>
          <t>https://www.lepas-sa.co.za/book-a-test-drive</t>
        </is>
      </c>
      <c r="R1432" s="121" t="n">
        <v>170.96</v>
      </c>
      <c r="S1432" s="122" t="n">
        <v>3723</v>
      </c>
      <c r="T1432" s="122" t="n">
        <v>1668</v>
      </c>
      <c r="U1432" s="123">
        <f>IFERROR(S1432/T1432,"")</f>
        <v/>
      </c>
      <c r="V1432" s="122" t="n">
        <v>48</v>
      </c>
      <c r="W1432" s="122" t="n">
        <v>38</v>
      </c>
      <c r="X1432" s="124">
        <f>IFERROR(W1432/S1432,"")</f>
        <v/>
      </c>
      <c r="Y1432" s="121">
        <f>IFERROR(R1432/W1432,"")</f>
        <v/>
      </c>
      <c r="Z1432" s="121">
        <f>IFERROR(R1432/S1432*1000,"")</f>
        <v/>
      </c>
      <c r="AA1432" s="122" t="n">
        <v>25</v>
      </c>
      <c r="AB1432" s="54">
        <f>IFERROR(AA1432/W1432,"")</f>
        <v/>
      </c>
      <c r="AC1432" s="122" t="n">
        <v>1309</v>
      </c>
      <c r="AD1432" s="122" t="n">
        <v>796</v>
      </c>
      <c r="AE1432" s="122" t="n">
        <v>614</v>
      </c>
      <c r="AF1432" s="122" t="n">
        <v>327</v>
      </c>
      <c r="AG1432" s="122" t="n">
        <v>253</v>
      </c>
      <c r="AH1432" s="122" t="n">
        <v>187</v>
      </c>
      <c r="AI1432" s="54">
        <f>IFERROR(AC1432/S1432,"")</f>
        <v/>
      </c>
      <c r="AJ1432" s="54">
        <f>IFERROR(AH1432/S1432,"")</f>
        <v/>
      </c>
      <c r="AK1432" s="122" t="n">
        <v>170</v>
      </c>
      <c r="AL1432" s="122" t="n">
        <v>0</v>
      </c>
      <c r="AM1432" s="124">
        <f>IFERROR(AL1432/AA1432,"")</f>
        <v/>
      </c>
      <c r="AN1432" s="125">
        <f>IFERROR(R1432/AL1432,"")</f>
        <v/>
      </c>
      <c r="AO1432" s="122" t="n">
        <v>0</v>
      </c>
      <c r="AP1432" s="54">
        <f>IFERROR(AO1432/AL1432,"")</f>
        <v/>
      </c>
      <c r="AQ1432" s="125">
        <f>IFERROR(R1432/AO1432,"")</f>
        <v/>
      </c>
      <c r="AR1432" s="122" t="n">
        <v>0</v>
      </c>
      <c r="AS1432" s="122" t="n">
        <v>0</v>
      </c>
      <c r="AT1432" s="122">
        <f>AL1432+AR1432</f>
        <v/>
      </c>
      <c r="AU1432" s="125">
        <f>IFERROR(AO1432*Assumptions!$C$26*Assumptions!$C$27*INDEX(Assumptions!$C$18:$C$21,MATCH(H1432,Assumptions!$B$18:$B$21,0)),0)</f>
        <v/>
      </c>
    </row>
    <row r="1433">
      <c r="A1433" s="120" t="n">
        <v>46262</v>
      </c>
      <c r="B1433" s="66" t="inlineStr">
        <is>
          <t>Wk 35</t>
        </is>
      </c>
      <c r="C1433" s="66" t="inlineStr">
        <is>
          <t>Fri</t>
        </is>
      </c>
      <c r="D1433" s="66" t="inlineStr">
        <is>
          <t>TikTok</t>
        </is>
      </c>
      <c r="E1433" s="66" t="inlineStr">
        <is>
          <t>TikTok</t>
        </is>
      </c>
      <c r="F1433" s="66" t="inlineStr">
        <is>
          <t>LEP_ZA_AUG26_TT_SPARK_RANGE_TRAFFIC</t>
        </is>
      </c>
      <c r="G1433" s="66" t="inlineStr">
        <is>
          <t>Traffic - Spark Ads</t>
        </is>
      </c>
      <c r="H1433" s="66" t="inlineStr">
        <is>
          <t>Range</t>
        </is>
      </c>
      <c r="I1433" s="66" t="inlineStr">
        <is>
          <t>Range Offer</t>
        </is>
      </c>
      <c r="J1433" s="66" t="inlineStr">
        <is>
          <t>TT_SPARK_RMKT_VV_ZA</t>
        </is>
      </c>
      <c r="K1433" s="66" t="inlineStr">
        <is>
          <t>Retargeting</t>
        </is>
      </c>
      <c r="L1433" s="66" t="inlineStr">
        <is>
          <t>TT_SPARK_@drivesa_Review_v1</t>
        </is>
      </c>
      <c r="M1433" s="66" t="inlineStr">
        <is>
          <t>Spark Ad</t>
        </is>
      </c>
      <c r="N1433" s="66" t="inlineStr">
        <is>
          <t>Creator handle: @drivesa</t>
        </is>
      </c>
      <c r="O1433" s="66" t="inlineStr">
        <is>
          <t>Auction - Lowest Cost</t>
        </is>
      </c>
      <c r="P1433" s="66" t="inlineStr">
        <is>
          <t>Landing Page View</t>
        </is>
      </c>
      <c r="Q1433" s="66" t="inlineStr">
        <is>
          <t>https://www.lepas-sa.co.za/book-a-test-drive</t>
        </is>
      </c>
      <c r="R1433" s="121" t="n">
        <v>150.79</v>
      </c>
      <c r="S1433" s="122" t="n">
        <v>2910</v>
      </c>
      <c r="T1433" s="122" t="n">
        <v>1428</v>
      </c>
      <c r="U1433" s="123">
        <f>IFERROR(S1433/T1433,"")</f>
        <v/>
      </c>
      <c r="V1433" s="122" t="n">
        <v>48</v>
      </c>
      <c r="W1433" s="122" t="n">
        <v>37</v>
      </c>
      <c r="X1433" s="124">
        <f>IFERROR(W1433/S1433,"")</f>
        <v/>
      </c>
      <c r="Y1433" s="121">
        <f>IFERROR(R1433/W1433,"")</f>
        <v/>
      </c>
      <c r="Z1433" s="121">
        <f>IFERROR(R1433/S1433*1000,"")</f>
        <v/>
      </c>
      <c r="AA1433" s="122" t="n">
        <v>27</v>
      </c>
      <c r="AB1433" s="54">
        <f>IFERROR(AA1433/W1433,"")</f>
        <v/>
      </c>
      <c r="AC1433" s="122" t="n">
        <v>1165</v>
      </c>
      <c r="AD1433" s="122" t="n">
        <v>719</v>
      </c>
      <c r="AE1433" s="122" t="n">
        <v>602</v>
      </c>
      <c r="AF1433" s="122" t="n">
        <v>368</v>
      </c>
      <c r="AG1433" s="122" t="n">
        <v>279</v>
      </c>
      <c r="AH1433" s="122" t="n">
        <v>178</v>
      </c>
      <c r="AI1433" s="54">
        <f>IFERROR(AC1433/S1433,"")</f>
        <v/>
      </c>
      <c r="AJ1433" s="54">
        <f>IFERROR(AH1433/S1433,"")</f>
        <v/>
      </c>
      <c r="AK1433" s="122" t="n">
        <v>88</v>
      </c>
      <c r="AL1433" s="122" t="n">
        <v>0</v>
      </c>
      <c r="AM1433" s="124">
        <f>IFERROR(AL1433/AA1433,"")</f>
        <v/>
      </c>
      <c r="AN1433" s="125">
        <f>IFERROR(R1433/AL1433,"")</f>
        <v/>
      </c>
      <c r="AO1433" s="122" t="n">
        <v>0</v>
      </c>
      <c r="AP1433" s="54">
        <f>IFERROR(AO1433/AL1433,"")</f>
        <v/>
      </c>
      <c r="AQ1433" s="125">
        <f>IFERROR(R1433/AO1433,"")</f>
        <v/>
      </c>
      <c r="AR1433" s="122" t="n">
        <v>0</v>
      </c>
      <c r="AS1433" s="122" t="n">
        <v>0</v>
      </c>
      <c r="AT1433" s="122">
        <f>AL1433+AR1433</f>
        <v/>
      </c>
      <c r="AU1433" s="125">
        <f>IFERROR(AO1433*Assumptions!$C$26*Assumptions!$C$27*INDEX(Assumptions!$C$18:$C$21,MATCH(H1433,Assumptions!$B$18:$B$21,0)),0)</f>
        <v/>
      </c>
    </row>
    <row r="1434">
      <c r="A1434" s="120" t="n">
        <v>46263</v>
      </c>
      <c r="B1434" s="66" t="inlineStr">
        <is>
          <t>Wk 35</t>
        </is>
      </c>
      <c r="C1434" s="66" t="inlineStr">
        <is>
          <t>Sat</t>
        </is>
      </c>
      <c r="D1434" s="66" t="inlineStr">
        <is>
          <t>TikTok</t>
        </is>
      </c>
      <c r="E1434" s="66" t="inlineStr">
        <is>
          <t>TikTok</t>
        </is>
      </c>
      <c r="F1434" s="66" t="inlineStr">
        <is>
          <t>LEP_ZA_AUG26_TT_SPARK_RANGE_TRAFFIC</t>
        </is>
      </c>
      <c r="G1434" s="66" t="inlineStr">
        <is>
          <t>Traffic - Spark Ads</t>
        </is>
      </c>
      <c r="H1434" s="66" t="inlineStr">
        <is>
          <t>Range</t>
        </is>
      </c>
      <c r="I1434" s="66" t="inlineStr">
        <is>
          <t>Range Offer</t>
        </is>
      </c>
      <c r="J1434" s="66" t="inlineStr">
        <is>
          <t>TT_SPARK_RMKT_VV_ZA</t>
        </is>
      </c>
      <c r="K1434" s="66" t="inlineStr">
        <is>
          <t>Retargeting</t>
        </is>
      </c>
      <c r="L1434" s="66" t="inlineStr">
        <is>
          <t>TT_SPARK_@drivesa_Review_v1</t>
        </is>
      </c>
      <c r="M1434" s="66" t="inlineStr">
        <is>
          <t>Spark Ad</t>
        </is>
      </c>
      <c r="N1434" s="66" t="inlineStr">
        <is>
          <t>Creator handle: @drivesa</t>
        </is>
      </c>
      <c r="O1434" s="66" t="inlineStr">
        <is>
          <t>Auction - Lowest Cost</t>
        </is>
      </c>
      <c r="P1434" s="66" t="inlineStr">
        <is>
          <t>Landing Page View</t>
        </is>
      </c>
      <c r="Q1434" s="66" t="inlineStr">
        <is>
          <t>https://www.lepas-sa.co.za/book-a-test-drive</t>
        </is>
      </c>
      <c r="R1434" s="121" t="n">
        <v>148.1</v>
      </c>
      <c r="S1434" s="122" t="n">
        <v>2789</v>
      </c>
      <c r="T1434" s="122" t="n">
        <v>1378</v>
      </c>
      <c r="U1434" s="123">
        <f>IFERROR(S1434/T1434,"")</f>
        <v/>
      </c>
      <c r="V1434" s="122" t="n">
        <v>32</v>
      </c>
      <c r="W1434" s="122" t="n">
        <v>23</v>
      </c>
      <c r="X1434" s="124">
        <f>IFERROR(W1434/S1434,"")</f>
        <v/>
      </c>
      <c r="Y1434" s="121">
        <f>IFERROR(R1434/W1434,"")</f>
        <v/>
      </c>
      <c r="Z1434" s="121">
        <f>IFERROR(R1434/S1434*1000,"")</f>
        <v/>
      </c>
      <c r="AA1434" s="122" t="n">
        <v>17</v>
      </c>
      <c r="AB1434" s="54">
        <f>IFERROR(AA1434/W1434,"")</f>
        <v/>
      </c>
      <c r="AC1434" s="122" t="n">
        <v>876</v>
      </c>
      <c r="AD1434" s="122" t="n">
        <v>531</v>
      </c>
      <c r="AE1434" s="122" t="n">
        <v>425</v>
      </c>
      <c r="AF1434" s="122" t="n">
        <v>299</v>
      </c>
      <c r="AG1434" s="122" t="n">
        <v>236</v>
      </c>
      <c r="AH1434" s="122" t="n">
        <v>144</v>
      </c>
      <c r="AI1434" s="54">
        <f>IFERROR(AC1434/S1434,"")</f>
        <v/>
      </c>
      <c r="AJ1434" s="54">
        <f>IFERROR(AH1434/S1434,"")</f>
        <v/>
      </c>
      <c r="AK1434" s="122" t="n">
        <v>149</v>
      </c>
      <c r="AL1434" s="122" t="n">
        <v>0</v>
      </c>
      <c r="AM1434" s="124">
        <f>IFERROR(AL1434/AA1434,"")</f>
        <v/>
      </c>
      <c r="AN1434" s="125">
        <f>IFERROR(R1434/AL1434,"")</f>
        <v/>
      </c>
      <c r="AO1434" s="122" t="n">
        <v>0</v>
      </c>
      <c r="AP1434" s="54">
        <f>IFERROR(AO1434/AL1434,"")</f>
        <v/>
      </c>
      <c r="AQ1434" s="125">
        <f>IFERROR(R1434/AO1434,"")</f>
        <v/>
      </c>
      <c r="AR1434" s="122" t="n">
        <v>0</v>
      </c>
      <c r="AS1434" s="122" t="n">
        <v>0</v>
      </c>
      <c r="AT1434" s="122">
        <f>AL1434+AR1434</f>
        <v/>
      </c>
      <c r="AU1434" s="125">
        <f>IFERROR(AO1434*Assumptions!$C$26*Assumptions!$C$27*INDEX(Assumptions!$C$18:$C$21,MATCH(H1434,Assumptions!$B$18:$B$21,0)),0)</f>
        <v/>
      </c>
    </row>
    <row r="1435">
      <c r="A1435" s="120" t="n">
        <v>46264</v>
      </c>
      <c r="B1435" s="66" t="inlineStr">
        <is>
          <t>Wk 35</t>
        </is>
      </c>
      <c r="C1435" s="66" t="inlineStr">
        <is>
          <t>Sun</t>
        </is>
      </c>
      <c r="D1435" s="66" t="inlineStr">
        <is>
          <t>TikTok</t>
        </is>
      </c>
      <c r="E1435" s="66" t="inlineStr">
        <is>
          <t>TikTok</t>
        </is>
      </c>
      <c r="F1435" s="66" t="inlineStr">
        <is>
          <t>LEP_ZA_AUG26_TT_SPARK_RANGE_TRAFFIC</t>
        </is>
      </c>
      <c r="G1435" s="66" t="inlineStr">
        <is>
          <t>Traffic - Spark Ads</t>
        </is>
      </c>
      <c r="H1435" s="66" t="inlineStr">
        <is>
          <t>Range</t>
        </is>
      </c>
      <c r="I1435" s="66" t="inlineStr">
        <is>
          <t>Range Offer</t>
        </is>
      </c>
      <c r="J1435" s="66" t="inlineStr">
        <is>
          <t>TT_SPARK_RMKT_VV_ZA</t>
        </is>
      </c>
      <c r="K1435" s="66" t="inlineStr">
        <is>
          <t>Retargeting</t>
        </is>
      </c>
      <c r="L1435" s="66" t="inlineStr">
        <is>
          <t>TT_SPARK_@drivesa_Review_v1</t>
        </is>
      </c>
      <c r="M1435" s="66" t="inlineStr">
        <is>
          <t>Spark Ad</t>
        </is>
      </c>
      <c r="N1435" s="66" t="inlineStr">
        <is>
          <t>Creator handle: @drivesa</t>
        </is>
      </c>
      <c r="O1435" s="66" t="inlineStr">
        <is>
          <t>Auction - Lowest Cost</t>
        </is>
      </c>
      <c r="P1435" s="66" t="inlineStr">
        <is>
          <t>Landing Page View</t>
        </is>
      </c>
      <c r="Q1435" s="66" t="inlineStr">
        <is>
          <t>https://www.lepas-sa.co.za/book-a-test-drive</t>
        </is>
      </c>
      <c r="R1435" s="121" t="n">
        <v>125.14</v>
      </c>
      <c r="S1435" s="122" t="n">
        <v>2525</v>
      </c>
      <c r="T1435" s="122" t="n">
        <v>1232</v>
      </c>
      <c r="U1435" s="123">
        <f>IFERROR(S1435/T1435,"")</f>
        <v/>
      </c>
      <c r="V1435" s="122" t="n">
        <v>31</v>
      </c>
      <c r="W1435" s="122" t="n">
        <v>23</v>
      </c>
      <c r="X1435" s="124">
        <f>IFERROR(W1435/S1435,"")</f>
        <v/>
      </c>
      <c r="Y1435" s="121">
        <f>IFERROR(R1435/W1435,"")</f>
        <v/>
      </c>
      <c r="Z1435" s="121">
        <f>IFERROR(R1435/S1435*1000,"")</f>
        <v/>
      </c>
      <c r="AA1435" s="122" t="n">
        <v>15</v>
      </c>
      <c r="AB1435" s="54">
        <f>IFERROR(AA1435/W1435,"")</f>
        <v/>
      </c>
      <c r="AC1435" s="122" t="n">
        <v>984</v>
      </c>
      <c r="AD1435" s="122" t="n">
        <v>565</v>
      </c>
      <c r="AE1435" s="122" t="n">
        <v>483</v>
      </c>
      <c r="AF1435" s="122" t="n">
        <v>262</v>
      </c>
      <c r="AG1435" s="122" t="n">
        <v>173</v>
      </c>
      <c r="AH1435" s="122" t="n">
        <v>120</v>
      </c>
      <c r="AI1435" s="54">
        <f>IFERROR(AC1435/S1435,"")</f>
        <v/>
      </c>
      <c r="AJ1435" s="54">
        <f>IFERROR(AH1435/S1435,"")</f>
        <v/>
      </c>
      <c r="AK1435" s="122" t="n">
        <v>87</v>
      </c>
      <c r="AL1435" s="122" t="n">
        <v>1</v>
      </c>
      <c r="AM1435" s="124">
        <f>IFERROR(AL1435/AA1435,"")</f>
        <v/>
      </c>
      <c r="AN1435" s="125">
        <f>IFERROR(R1435/AL1435,"")</f>
        <v/>
      </c>
      <c r="AO1435" s="122" t="n">
        <v>1</v>
      </c>
      <c r="AP1435" s="54">
        <f>IFERROR(AO1435/AL1435,"")</f>
        <v/>
      </c>
      <c r="AQ1435" s="125">
        <f>IFERROR(R1435/AO1435,"")</f>
        <v/>
      </c>
      <c r="AR1435" s="122" t="n">
        <v>1</v>
      </c>
      <c r="AS1435" s="122" t="n">
        <v>0</v>
      </c>
      <c r="AT1435" s="122">
        <f>AL1435+AR1435</f>
        <v/>
      </c>
      <c r="AU1435" s="125">
        <f>IFERROR(AO1435*Assumptions!$C$26*Assumptions!$C$27*INDEX(Assumptions!$C$18:$C$21,MATCH(H1435,Assumptions!$B$18:$B$21,0)),0)</f>
        <v/>
      </c>
    </row>
    <row r="1436">
      <c r="A1436" s="120" t="n">
        <v>46265</v>
      </c>
      <c r="B1436" s="66" t="inlineStr">
        <is>
          <t>Wk 36</t>
        </is>
      </c>
      <c r="C1436" s="66" t="inlineStr">
        <is>
          <t>Mon</t>
        </is>
      </c>
      <c r="D1436" s="66" t="inlineStr">
        <is>
          <t>TikTok</t>
        </is>
      </c>
      <c r="E1436" s="66" t="inlineStr">
        <is>
          <t>TikTok</t>
        </is>
      </c>
      <c r="F1436" s="66" t="inlineStr">
        <is>
          <t>LEP_ZA_AUG26_TT_SPARK_RANGE_TRAFFIC</t>
        </is>
      </c>
      <c r="G1436" s="66" t="inlineStr">
        <is>
          <t>Traffic - Spark Ads</t>
        </is>
      </c>
      <c r="H1436" s="66" t="inlineStr">
        <is>
          <t>Range</t>
        </is>
      </c>
      <c r="I1436" s="66" t="inlineStr">
        <is>
          <t>Range Offer</t>
        </is>
      </c>
      <c r="J1436" s="66" t="inlineStr">
        <is>
          <t>TT_SPARK_RMKT_VV_ZA</t>
        </is>
      </c>
      <c r="K1436" s="66" t="inlineStr">
        <is>
          <t>Retargeting</t>
        </is>
      </c>
      <c r="L1436" s="66" t="inlineStr">
        <is>
          <t>TT_SPARK_@drivesa_Review_v1</t>
        </is>
      </c>
      <c r="M1436" s="66" t="inlineStr">
        <is>
          <t>Spark Ad</t>
        </is>
      </c>
      <c r="N1436" s="66" t="inlineStr">
        <is>
          <t>Creator handle: @drivesa</t>
        </is>
      </c>
      <c r="O1436" s="66" t="inlineStr">
        <is>
          <t>Auction - Lowest Cost</t>
        </is>
      </c>
      <c r="P1436" s="66" t="inlineStr">
        <is>
          <t>Landing Page View</t>
        </is>
      </c>
      <c r="Q1436" s="66" t="inlineStr">
        <is>
          <t>https://www.lepas-sa.co.za/book-a-test-drive</t>
        </is>
      </c>
      <c r="R1436" s="121" t="n">
        <v>126.15</v>
      </c>
      <c r="S1436" s="122" t="n">
        <v>2019</v>
      </c>
      <c r="T1436" s="122" t="n">
        <v>865</v>
      </c>
      <c r="U1436" s="123">
        <f>IFERROR(S1436/T1436,"")</f>
        <v/>
      </c>
      <c r="V1436" s="122" t="n">
        <v>44</v>
      </c>
      <c r="W1436" s="122" t="n">
        <v>34</v>
      </c>
      <c r="X1436" s="124">
        <f>IFERROR(W1436/S1436,"")</f>
        <v/>
      </c>
      <c r="Y1436" s="121">
        <f>IFERROR(R1436/W1436,"")</f>
        <v/>
      </c>
      <c r="Z1436" s="121">
        <f>IFERROR(R1436/S1436*1000,"")</f>
        <v/>
      </c>
      <c r="AA1436" s="122" t="n">
        <v>24</v>
      </c>
      <c r="AB1436" s="54">
        <f>IFERROR(AA1436/W1436,"")</f>
        <v/>
      </c>
      <c r="AC1436" s="122" t="n">
        <v>777</v>
      </c>
      <c r="AD1436" s="122" t="n">
        <v>470</v>
      </c>
      <c r="AE1436" s="122" t="n">
        <v>425</v>
      </c>
      <c r="AF1436" s="122" t="n">
        <v>286</v>
      </c>
      <c r="AG1436" s="122" t="n">
        <v>203</v>
      </c>
      <c r="AH1436" s="122" t="n">
        <v>145</v>
      </c>
      <c r="AI1436" s="54">
        <f>IFERROR(AC1436/S1436,"")</f>
        <v/>
      </c>
      <c r="AJ1436" s="54">
        <f>IFERROR(AH1436/S1436,"")</f>
        <v/>
      </c>
      <c r="AK1436" s="122" t="n">
        <v>55</v>
      </c>
      <c r="AL1436" s="122" t="n">
        <v>1</v>
      </c>
      <c r="AM1436" s="124">
        <f>IFERROR(AL1436/AA1436,"")</f>
        <v/>
      </c>
      <c r="AN1436" s="125">
        <f>IFERROR(R1436/AL1436,"")</f>
        <v/>
      </c>
      <c r="AO1436" s="122" t="n">
        <v>0</v>
      </c>
      <c r="AP1436" s="54">
        <f>IFERROR(AO1436/AL1436,"")</f>
        <v/>
      </c>
      <c r="AQ1436" s="125">
        <f>IFERROR(R1436/AO1436,"")</f>
        <v/>
      </c>
      <c r="AR1436" s="122" t="n">
        <v>1</v>
      </c>
      <c r="AS1436" s="122" t="n">
        <v>1</v>
      </c>
      <c r="AT1436" s="122">
        <f>AL1436+AR1436</f>
        <v/>
      </c>
      <c r="AU1436" s="125">
        <f>IFERROR(AO1436*Assumptions!$C$26*Assumptions!$C$27*INDEX(Assumptions!$C$18:$C$21,MATCH(H1436,Assumptions!$B$18:$B$21,0)),0)</f>
        <v/>
      </c>
    </row>
    <row r="1437">
      <c r="A1437" s="120" t="n">
        <v>46235</v>
      </c>
      <c r="B1437" s="66" t="inlineStr">
        <is>
          <t>Wk 31</t>
        </is>
      </c>
      <c r="C1437" s="66" t="inlineStr">
        <is>
          <t>Sat</t>
        </is>
      </c>
      <c r="D1437" s="66" t="inlineStr">
        <is>
          <t>TikTok</t>
        </is>
      </c>
      <c r="E1437" s="66" t="inlineStr">
        <is>
          <t>TikTok</t>
        </is>
      </c>
      <c r="F1437" s="66" t="inlineStr">
        <is>
          <t>LEP_ZA_AUG26_TT_SPARK_RANGE_TRAFFIC</t>
        </is>
      </c>
      <c r="G1437" s="66" t="inlineStr">
        <is>
          <t>Traffic - Spark Ads</t>
        </is>
      </c>
      <c r="H1437" s="66" t="inlineStr">
        <is>
          <t>Range</t>
        </is>
      </c>
      <c r="I1437" s="66" t="inlineStr">
        <is>
          <t>Range Offer</t>
        </is>
      </c>
      <c r="J1437" s="66" t="inlineStr">
        <is>
          <t>TT_SPARK_RMKT_VV_ZA</t>
        </is>
      </c>
      <c r="K1437" s="66" t="inlineStr">
        <is>
          <t>Retargeting</t>
        </is>
      </c>
      <c r="L1437" s="66" t="inlineStr">
        <is>
          <t>TT_RMKT_10s_BookNow_v1</t>
        </is>
      </c>
      <c r="M1437" s="66" t="inlineStr">
        <is>
          <t>Video 9:16</t>
        </is>
      </c>
      <c r="N1437" s="66" t="inlineStr">
        <is>
          <t>You watched. Now drive.</t>
        </is>
      </c>
      <c r="O1437" s="66" t="inlineStr">
        <is>
          <t>Auction - Lowest Cost</t>
        </is>
      </c>
      <c r="P1437" s="66" t="inlineStr">
        <is>
          <t>Landing Page View</t>
        </is>
      </c>
      <c r="Q1437" s="66" t="inlineStr">
        <is>
          <t>https://www.lepas-sa.co.za/book-a-test-drive</t>
        </is>
      </c>
      <c r="R1437" s="121" t="n">
        <v>80.06999999999999</v>
      </c>
      <c r="S1437" s="122" t="n">
        <v>1898</v>
      </c>
      <c r="T1437" s="122" t="n">
        <v>1205</v>
      </c>
      <c r="U1437" s="123">
        <f>IFERROR(S1437/T1437,"")</f>
        <v/>
      </c>
      <c r="V1437" s="122" t="n">
        <v>41</v>
      </c>
      <c r="W1437" s="122" t="n">
        <v>34</v>
      </c>
      <c r="X1437" s="124">
        <f>IFERROR(W1437/S1437,"")</f>
        <v/>
      </c>
      <c r="Y1437" s="121">
        <f>IFERROR(R1437/W1437,"")</f>
        <v/>
      </c>
      <c r="Z1437" s="121">
        <f>IFERROR(R1437/S1437*1000,"")</f>
        <v/>
      </c>
      <c r="AA1437" s="122" t="n">
        <v>23</v>
      </c>
      <c r="AB1437" s="54">
        <f>IFERROR(AA1437/W1437,"")</f>
        <v/>
      </c>
      <c r="AC1437" s="122" t="n">
        <v>443</v>
      </c>
      <c r="AD1437" s="122" t="n">
        <v>261</v>
      </c>
      <c r="AE1437" s="122" t="n">
        <v>184</v>
      </c>
      <c r="AF1437" s="122" t="n">
        <v>103</v>
      </c>
      <c r="AG1437" s="122" t="n">
        <v>80</v>
      </c>
      <c r="AH1437" s="122" t="n">
        <v>45</v>
      </c>
      <c r="AI1437" s="54">
        <f>IFERROR(AC1437/S1437,"")</f>
        <v/>
      </c>
      <c r="AJ1437" s="54">
        <f>IFERROR(AH1437/S1437,"")</f>
        <v/>
      </c>
      <c r="AK1437" s="122" t="n">
        <v>61</v>
      </c>
      <c r="AL1437" s="122" t="n">
        <v>0</v>
      </c>
      <c r="AM1437" s="124">
        <f>IFERROR(AL1437/AA1437,"")</f>
        <v/>
      </c>
      <c r="AN1437" s="125">
        <f>IFERROR(R1437/AL1437,"")</f>
        <v/>
      </c>
      <c r="AO1437" s="122" t="n">
        <v>0</v>
      </c>
      <c r="AP1437" s="54">
        <f>IFERROR(AO1437/AL1437,"")</f>
        <v/>
      </c>
      <c r="AQ1437" s="125">
        <f>IFERROR(R1437/AO1437,"")</f>
        <v/>
      </c>
      <c r="AR1437" s="122" t="n">
        <v>0</v>
      </c>
      <c r="AS1437" s="122" t="n">
        <v>0</v>
      </c>
      <c r="AT1437" s="122">
        <f>AL1437+AR1437</f>
        <v/>
      </c>
      <c r="AU1437" s="125">
        <f>IFERROR(AO1437*Assumptions!$C$26*Assumptions!$C$27*INDEX(Assumptions!$C$18:$C$21,MATCH(H1437,Assumptions!$B$18:$B$21,0)),0)</f>
        <v/>
      </c>
    </row>
    <row r="1438">
      <c r="A1438" s="120" t="n">
        <v>46236</v>
      </c>
      <c r="B1438" s="66" t="inlineStr">
        <is>
          <t>Wk 31</t>
        </is>
      </c>
      <c r="C1438" s="66" t="inlineStr">
        <is>
          <t>Sun</t>
        </is>
      </c>
      <c r="D1438" s="66" t="inlineStr">
        <is>
          <t>TikTok</t>
        </is>
      </c>
      <c r="E1438" s="66" t="inlineStr">
        <is>
          <t>TikTok</t>
        </is>
      </c>
      <c r="F1438" s="66" t="inlineStr">
        <is>
          <t>LEP_ZA_AUG26_TT_SPARK_RANGE_TRAFFIC</t>
        </is>
      </c>
      <c r="G1438" s="66" t="inlineStr">
        <is>
          <t>Traffic - Spark Ads</t>
        </is>
      </c>
      <c r="H1438" s="66" t="inlineStr">
        <is>
          <t>Range</t>
        </is>
      </c>
      <c r="I1438" s="66" t="inlineStr">
        <is>
          <t>Range Offer</t>
        </is>
      </c>
      <c r="J1438" s="66" t="inlineStr">
        <is>
          <t>TT_SPARK_RMKT_VV_ZA</t>
        </is>
      </c>
      <c r="K1438" s="66" t="inlineStr">
        <is>
          <t>Retargeting</t>
        </is>
      </c>
      <c r="L1438" s="66" t="inlineStr">
        <is>
          <t>TT_RMKT_10s_BookNow_v1</t>
        </is>
      </c>
      <c r="M1438" s="66" t="inlineStr">
        <is>
          <t>Video 9:16</t>
        </is>
      </c>
      <c r="N1438" s="66" t="inlineStr">
        <is>
          <t>You watched. Now drive.</t>
        </is>
      </c>
      <c r="O1438" s="66" t="inlineStr">
        <is>
          <t>Auction - Lowest Cost</t>
        </is>
      </c>
      <c r="P1438" s="66" t="inlineStr">
        <is>
          <t>Landing Page View</t>
        </is>
      </c>
      <c r="Q1438" s="66" t="inlineStr">
        <is>
          <t>https://www.lepas-sa.co.za/book-a-test-drive</t>
        </is>
      </c>
      <c r="R1438" s="121" t="n">
        <v>72.55</v>
      </c>
      <c r="S1438" s="122" t="n">
        <v>1312</v>
      </c>
      <c r="T1438" s="122" t="n">
        <v>935</v>
      </c>
      <c r="U1438" s="123">
        <f>IFERROR(S1438/T1438,"")</f>
        <v/>
      </c>
      <c r="V1438" s="122" t="n">
        <v>38</v>
      </c>
      <c r="W1438" s="122" t="n">
        <v>27</v>
      </c>
      <c r="X1438" s="124">
        <f>IFERROR(W1438/S1438,"")</f>
        <v/>
      </c>
      <c r="Y1438" s="121">
        <f>IFERROR(R1438/W1438,"")</f>
        <v/>
      </c>
      <c r="Z1438" s="121">
        <f>IFERROR(R1438/S1438*1000,"")</f>
        <v/>
      </c>
      <c r="AA1438" s="122" t="n">
        <v>18</v>
      </c>
      <c r="AB1438" s="54">
        <f>IFERROR(AA1438/W1438,"")</f>
        <v/>
      </c>
      <c r="AC1438" s="122" t="n">
        <v>363</v>
      </c>
      <c r="AD1438" s="122" t="n">
        <v>196</v>
      </c>
      <c r="AE1438" s="122" t="n">
        <v>184</v>
      </c>
      <c r="AF1438" s="122" t="n">
        <v>121</v>
      </c>
      <c r="AG1438" s="122" t="n">
        <v>77</v>
      </c>
      <c r="AH1438" s="122" t="n">
        <v>45</v>
      </c>
      <c r="AI1438" s="54">
        <f>IFERROR(AC1438/S1438,"")</f>
        <v/>
      </c>
      <c r="AJ1438" s="54">
        <f>IFERROR(AH1438/S1438,"")</f>
        <v/>
      </c>
      <c r="AK1438" s="122" t="n">
        <v>38</v>
      </c>
      <c r="AL1438" s="122" t="n">
        <v>0</v>
      </c>
      <c r="AM1438" s="124">
        <f>IFERROR(AL1438/AA1438,"")</f>
        <v/>
      </c>
      <c r="AN1438" s="125">
        <f>IFERROR(R1438/AL1438,"")</f>
        <v/>
      </c>
      <c r="AO1438" s="122" t="n">
        <v>0</v>
      </c>
      <c r="AP1438" s="54">
        <f>IFERROR(AO1438/AL1438,"")</f>
        <v/>
      </c>
      <c r="AQ1438" s="125">
        <f>IFERROR(R1438/AO1438,"")</f>
        <v/>
      </c>
      <c r="AR1438" s="122" t="n">
        <v>0</v>
      </c>
      <c r="AS1438" s="122" t="n">
        <v>0</v>
      </c>
      <c r="AT1438" s="122">
        <f>AL1438+AR1438</f>
        <v/>
      </c>
      <c r="AU1438" s="125">
        <f>IFERROR(AO1438*Assumptions!$C$26*Assumptions!$C$27*INDEX(Assumptions!$C$18:$C$21,MATCH(H1438,Assumptions!$B$18:$B$21,0)),0)</f>
        <v/>
      </c>
    </row>
    <row r="1439">
      <c r="A1439" s="120" t="n">
        <v>46237</v>
      </c>
      <c r="B1439" s="66" t="inlineStr">
        <is>
          <t>Wk 32</t>
        </is>
      </c>
      <c r="C1439" s="66" t="inlineStr">
        <is>
          <t>Mon</t>
        </is>
      </c>
      <c r="D1439" s="66" t="inlineStr">
        <is>
          <t>TikTok</t>
        </is>
      </c>
      <c r="E1439" s="66" t="inlineStr">
        <is>
          <t>TikTok</t>
        </is>
      </c>
      <c r="F1439" s="66" t="inlineStr">
        <is>
          <t>LEP_ZA_AUG26_TT_SPARK_RANGE_TRAFFIC</t>
        </is>
      </c>
      <c r="G1439" s="66" t="inlineStr">
        <is>
          <t>Traffic - Spark Ads</t>
        </is>
      </c>
      <c r="H1439" s="66" t="inlineStr">
        <is>
          <t>Range</t>
        </is>
      </c>
      <c r="I1439" s="66" t="inlineStr">
        <is>
          <t>Range Offer</t>
        </is>
      </c>
      <c r="J1439" s="66" t="inlineStr">
        <is>
          <t>TT_SPARK_RMKT_VV_ZA</t>
        </is>
      </c>
      <c r="K1439" s="66" t="inlineStr">
        <is>
          <t>Retargeting</t>
        </is>
      </c>
      <c r="L1439" s="66" t="inlineStr">
        <is>
          <t>TT_RMKT_10s_BookNow_v1</t>
        </is>
      </c>
      <c r="M1439" s="66" t="inlineStr">
        <is>
          <t>Video 9:16</t>
        </is>
      </c>
      <c r="N1439" s="66" t="inlineStr">
        <is>
          <t>You watched. Now drive.</t>
        </is>
      </c>
      <c r="O1439" s="66" t="inlineStr">
        <is>
          <t>Auction - Lowest Cost</t>
        </is>
      </c>
      <c r="P1439" s="66" t="inlineStr">
        <is>
          <t>Landing Page View</t>
        </is>
      </c>
      <c r="Q1439" s="66" t="inlineStr">
        <is>
          <t>https://www.lepas-sa.co.za/book-a-test-drive</t>
        </is>
      </c>
      <c r="R1439" s="121" t="n">
        <v>83.91</v>
      </c>
      <c r="S1439" s="122" t="n">
        <v>2107</v>
      </c>
      <c r="T1439" s="122" t="n">
        <v>1265</v>
      </c>
      <c r="U1439" s="123">
        <f>IFERROR(S1439/T1439,"")</f>
        <v/>
      </c>
      <c r="V1439" s="122" t="n">
        <v>64</v>
      </c>
      <c r="W1439" s="122" t="n">
        <v>53</v>
      </c>
      <c r="X1439" s="124">
        <f>IFERROR(W1439/S1439,"")</f>
        <v/>
      </c>
      <c r="Y1439" s="121">
        <f>IFERROR(R1439/W1439,"")</f>
        <v/>
      </c>
      <c r="Z1439" s="121">
        <f>IFERROR(R1439/S1439*1000,"")</f>
        <v/>
      </c>
      <c r="AA1439" s="122" t="n">
        <v>38</v>
      </c>
      <c r="AB1439" s="54">
        <f>IFERROR(AA1439/W1439,"")</f>
        <v/>
      </c>
      <c r="AC1439" s="122" t="n">
        <v>849</v>
      </c>
      <c r="AD1439" s="122" t="n">
        <v>459</v>
      </c>
      <c r="AE1439" s="122" t="n">
        <v>310</v>
      </c>
      <c r="AF1439" s="122" t="n">
        <v>205</v>
      </c>
      <c r="AG1439" s="122" t="n">
        <v>133</v>
      </c>
      <c r="AH1439" s="122" t="n">
        <v>85</v>
      </c>
      <c r="AI1439" s="54">
        <f>IFERROR(AC1439/S1439,"")</f>
        <v/>
      </c>
      <c r="AJ1439" s="54">
        <f>IFERROR(AH1439/S1439,"")</f>
        <v/>
      </c>
      <c r="AK1439" s="122" t="n">
        <v>60</v>
      </c>
      <c r="AL1439" s="122" t="n">
        <v>1</v>
      </c>
      <c r="AM1439" s="124">
        <f>IFERROR(AL1439/AA1439,"")</f>
        <v/>
      </c>
      <c r="AN1439" s="125">
        <f>IFERROR(R1439/AL1439,"")</f>
        <v/>
      </c>
      <c r="AO1439" s="122" t="n">
        <v>0</v>
      </c>
      <c r="AP1439" s="54">
        <f>IFERROR(AO1439/AL1439,"")</f>
        <v/>
      </c>
      <c r="AQ1439" s="125">
        <f>IFERROR(R1439/AO1439,"")</f>
        <v/>
      </c>
      <c r="AR1439" s="122" t="n">
        <v>1</v>
      </c>
      <c r="AS1439" s="122" t="n">
        <v>0</v>
      </c>
      <c r="AT1439" s="122">
        <f>AL1439+AR1439</f>
        <v/>
      </c>
      <c r="AU1439" s="125">
        <f>IFERROR(AO1439*Assumptions!$C$26*Assumptions!$C$27*INDEX(Assumptions!$C$18:$C$21,MATCH(H1439,Assumptions!$B$18:$B$21,0)),0)</f>
        <v/>
      </c>
    </row>
    <row r="1440">
      <c r="A1440" s="120" t="n">
        <v>46238</v>
      </c>
      <c r="B1440" s="66" t="inlineStr">
        <is>
          <t>Wk 32</t>
        </is>
      </c>
      <c r="C1440" s="66" t="inlineStr">
        <is>
          <t>Tue</t>
        </is>
      </c>
      <c r="D1440" s="66" t="inlineStr">
        <is>
          <t>TikTok</t>
        </is>
      </c>
      <c r="E1440" s="66" t="inlineStr">
        <is>
          <t>TikTok</t>
        </is>
      </c>
      <c r="F1440" s="66" t="inlineStr">
        <is>
          <t>LEP_ZA_AUG26_TT_SPARK_RANGE_TRAFFIC</t>
        </is>
      </c>
      <c r="G1440" s="66" t="inlineStr">
        <is>
          <t>Traffic - Spark Ads</t>
        </is>
      </c>
      <c r="H1440" s="66" t="inlineStr">
        <is>
          <t>Range</t>
        </is>
      </c>
      <c r="I1440" s="66" t="inlineStr">
        <is>
          <t>Range Offer</t>
        </is>
      </c>
      <c r="J1440" s="66" t="inlineStr">
        <is>
          <t>TT_SPARK_RMKT_VV_ZA</t>
        </is>
      </c>
      <c r="K1440" s="66" t="inlineStr">
        <is>
          <t>Retargeting</t>
        </is>
      </c>
      <c r="L1440" s="66" t="inlineStr">
        <is>
          <t>TT_RMKT_10s_BookNow_v1</t>
        </is>
      </c>
      <c r="M1440" s="66" t="inlineStr">
        <is>
          <t>Video 9:16</t>
        </is>
      </c>
      <c r="N1440" s="66" t="inlineStr">
        <is>
          <t>You watched. Now drive.</t>
        </is>
      </c>
      <c r="O1440" s="66" t="inlineStr">
        <is>
          <t>Auction - Lowest Cost</t>
        </is>
      </c>
      <c r="P1440" s="66" t="inlineStr">
        <is>
          <t>Landing Page View</t>
        </is>
      </c>
      <c r="Q1440" s="66" t="inlineStr">
        <is>
          <t>https://www.lepas-sa.co.za/book-a-test-drive</t>
        </is>
      </c>
      <c r="R1440" s="121" t="n">
        <v>91.17</v>
      </c>
      <c r="S1440" s="122" t="n">
        <v>2273</v>
      </c>
      <c r="T1440" s="122" t="n">
        <v>1287</v>
      </c>
      <c r="U1440" s="123">
        <f>IFERROR(S1440/T1440,"")</f>
        <v/>
      </c>
      <c r="V1440" s="122" t="n">
        <v>56</v>
      </c>
      <c r="W1440" s="122" t="n">
        <v>44</v>
      </c>
      <c r="X1440" s="124">
        <f>IFERROR(W1440/S1440,"")</f>
        <v/>
      </c>
      <c r="Y1440" s="121">
        <f>IFERROR(R1440/W1440,"")</f>
        <v/>
      </c>
      <c r="Z1440" s="121">
        <f>IFERROR(R1440/S1440*1000,"")</f>
        <v/>
      </c>
      <c r="AA1440" s="122" t="n">
        <v>28</v>
      </c>
      <c r="AB1440" s="54">
        <f>IFERROR(AA1440/W1440,"")</f>
        <v/>
      </c>
      <c r="AC1440" s="122" t="n">
        <v>831</v>
      </c>
      <c r="AD1440" s="122" t="n">
        <v>467</v>
      </c>
      <c r="AE1440" s="122" t="n">
        <v>377</v>
      </c>
      <c r="AF1440" s="122" t="n">
        <v>243</v>
      </c>
      <c r="AG1440" s="122" t="n">
        <v>164</v>
      </c>
      <c r="AH1440" s="122" t="n">
        <v>115</v>
      </c>
      <c r="AI1440" s="54">
        <f>IFERROR(AC1440/S1440,"")</f>
        <v/>
      </c>
      <c r="AJ1440" s="54">
        <f>IFERROR(AH1440/S1440,"")</f>
        <v/>
      </c>
      <c r="AK1440" s="122" t="n">
        <v>94</v>
      </c>
      <c r="AL1440" s="122" t="n">
        <v>0</v>
      </c>
      <c r="AM1440" s="124">
        <f>IFERROR(AL1440/AA1440,"")</f>
        <v/>
      </c>
      <c r="AN1440" s="125">
        <f>IFERROR(R1440/AL1440,"")</f>
        <v/>
      </c>
      <c r="AO1440" s="122" t="n">
        <v>0</v>
      </c>
      <c r="AP1440" s="54">
        <f>IFERROR(AO1440/AL1440,"")</f>
        <v/>
      </c>
      <c r="AQ1440" s="125">
        <f>IFERROR(R1440/AO1440,"")</f>
        <v/>
      </c>
      <c r="AR1440" s="122" t="n">
        <v>0</v>
      </c>
      <c r="AS1440" s="122" t="n">
        <v>0</v>
      </c>
      <c r="AT1440" s="122">
        <f>AL1440+AR1440</f>
        <v/>
      </c>
      <c r="AU1440" s="125">
        <f>IFERROR(AO1440*Assumptions!$C$26*Assumptions!$C$27*INDEX(Assumptions!$C$18:$C$21,MATCH(H1440,Assumptions!$B$18:$B$21,0)),0)</f>
        <v/>
      </c>
    </row>
    <row r="1441">
      <c r="A1441" s="120" t="n">
        <v>46239</v>
      </c>
      <c r="B1441" s="66" t="inlineStr">
        <is>
          <t>Wk 32</t>
        </is>
      </c>
      <c r="C1441" s="66" t="inlineStr">
        <is>
          <t>Wed</t>
        </is>
      </c>
      <c r="D1441" s="66" t="inlineStr">
        <is>
          <t>TikTok</t>
        </is>
      </c>
      <c r="E1441" s="66" t="inlineStr">
        <is>
          <t>TikTok</t>
        </is>
      </c>
      <c r="F1441" s="66" t="inlineStr">
        <is>
          <t>LEP_ZA_AUG26_TT_SPARK_RANGE_TRAFFIC</t>
        </is>
      </c>
      <c r="G1441" s="66" t="inlineStr">
        <is>
          <t>Traffic - Spark Ads</t>
        </is>
      </c>
      <c r="H1441" s="66" t="inlineStr">
        <is>
          <t>Range</t>
        </is>
      </c>
      <c r="I1441" s="66" t="inlineStr">
        <is>
          <t>Range Offer</t>
        </is>
      </c>
      <c r="J1441" s="66" t="inlineStr">
        <is>
          <t>TT_SPARK_RMKT_VV_ZA</t>
        </is>
      </c>
      <c r="K1441" s="66" t="inlineStr">
        <is>
          <t>Retargeting</t>
        </is>
      </c>
      <c r="L1441" s="66" t="inlineStr">
        <is>
          <t>TT_RMKT_10s_BookNow_v1</t>
        </is>
      </c>
      <c r="M1441" s="66" t="inlineStr">
        <is>
          <t>Video 9:16</t>
        </is>
      </c>
      <c r="N1441" s="66" t="inlineStr">
        <is>
          <t>You watched. Now drive.</t>
        </is>
      </c>
      <c r="O1441" s="66" t="inlineStr">
        <is>
          <t>Auction - Lowest Cost</t>
        </is>
      </c>
      <c r="P1441" s="66" t="inlineStr">
        <is>
          <t>Landing Page View</t>
        </is>
      </c>
      <c r="Q1441" s="66" t="inlineStr">
        <is>
          <t>https://www.lepas-sa.co.za/book-a-test-drive</t>
        </is>
      </c>
      <c r="R1441" s="121" t="n">
        <v>94.62</v>
      </c>
      <c r="S1441" s="122" t="n">
        <v>2064</v>
      </c>
      <c r="T1441" s="122" t="n">
        <v>1289</v>
      </c>
      <c r="U1441" s="123">
        <f>IFERROR(S1441/T1441,"")</f>
        <v/>
      </c>
      <c r="V1441" s="122" t="n">
        <v>39</v>
      </c>
      <c r="W1441" s="122" t="n">
        <v>28</v>
      </c>
      <c r="X1441" s="124">
        <f>IFERROR(W1441/S1441,"")</f>
        <v/>
      </c>
      <c r="Y1441" s="121">
        <f>IFERROR(R1441/W1441,"")</f>
        <v/>
      </c>
      <c r="Z1441" s="121">
        <f>IFERROR(R1441/S1441*1000,"")</f>
        <v/>
      </c>
      <c r="AA1441" s="122" t="n">
        <v>21</v>
      </c>
      <c r="AB1441" s="54">
        <f>IFERROR(AA1441/W1441,"")</f>
        <v/>
      </c>
      <c r="AC1441" s="122" t="n">
        <v>641</v>
      </c>
      <c r="AD1441" s="122" t="n">
        <v>288</v>
      </c>
      <c r="AE1441" s="122" t="n">
        <v>325</v>
      </c>
      <c r="AF1441" s="122" t="n">
        <v>175</v>
      </c>
      <c r="AG1441" s="122" t="n">
        <v>119</v>
      </c>
      <c r="AH1441" s="122" t="n">
        <v>69</v>
      </c>
      <c r="AI1441" s="54">
        <f>IFERROR(AC1441/S1441,"")</f>
        <v/>
      </c>
      <c r="AJ1441" s="54">
        <f>IFERROR(AH1441/S1441,"")</f>
        <v/>
      </c>
      <c r="AK1441" s="122" t="n">
        <v>77</v>
      </c>
      <c r="AL1441" s="122" t="n">
        <v>0</v>
      </c>
      <c r="AM1441" s="124">
        <f>IFERROR(AL1441/AA1441,"")</f>
        <v/>
      </c>
      <c r="AN1441" s="125">
        <f>IFERROR(R1441/AL1441,"")</f>
        <v/>
      </c>
      <c r="AO1441" s="122" t="n">
        <v>0</v>
      </c>
      <c r="AP1441" s="54">
        <f>IFERROR(AO1441/AL1441,"")</f>
        <v/>
      </c>
      <c r="AQ1441" s="125">
        <f>IFERROR(R1441/AO1441,"")</f>
        <v/>
      </c>
      <c r="AR1441" s="122" t="n">
        <v>0</v>
      </c>
      <c r="AS1441" s="122" t="n">
        <v>0</v>
      </c>
      <c r="AT1441" s="122">
        <f>AL1441+AR1441</f>
        <v/>
      </c>
      <c r="AU1441" s="125">
        <f>IFERROR(AO1441*Assumptions!$C$26*Assumptions!$C$27*INDEX(Assumptions!$C$18:$C$21,MATCH(H1441,Assumptions!$B$18:$B$21,0)),0)</f>
        <v/>
      </c>
    </row>
    <row r="1442">
      <c r="A1442" s="120" t="n">
        <v>46240</v>
      </c>
      <c r="B1442" s="66" t="inlineStr">
        <is>
          <t>Wk 32</t>
        </is>
      </c>
      <c r="C1442" s="66" t="inlineStr">
        <is>
          <t>Thu</t>
        </is>
      </c>
      <c r="D1442" s="66" t="inlineStr">
        <is>
          <t>TikTok</t>
        </is>
      </c>
      <c r="E1442" s="66" t="inlineStr">
        <is>
          <t>TikTok</t>
        </is>
      </c>
      <c r="F1442" s="66" t="inlineStr">
        <is>
          <t>LEP_ZA_AUG26_TT_SPARK_RANGE_TRAFFIC</t>
        </is>
      </c>
      <c r="G1442" s="66" t="inlineStr">
        <is>
          <t>Traffic - Spark Ads</t>
        </is>
      </c>
      <c r="H1442" s="66" t="inlineStr">
        <is>
          <t>Range</t>
        </is>
      </c>
      <c r="I1442" s="66" t="inlineStr">
        <is>
          <t>Range Offer</t>
        </is>
      </c>
      <c r="J1442" s="66" t="inlineStr">
        <is>
          <t>TT_SPARK_RMKT_VV_ZA</t>
        </is>
      </c>
      <c r="K1442" s="66" t="inlineStr">
        <is>
          <t>Retargeting</t>
        </is>
      </c>
      <c r="L1442" s="66" t="inlineStr">
        <is>
          <t>TT_RMKT_10s_BookNow_v1</t>
        </is>
      </c>
      <c r="M1442" s="66" t="inlineStr">
        <is>
          <t>Video 9:16</t>
        </is>
      </c>
      <c r="N1442" s="66" t="inlineStr">
        <is>
          <t>You watched. Now drive.</t>
        </is>
      </c>
      <c r="O1442" s="66" t="inlineStr">
        <is>
          <t>Auction - Lowest Cost</t>
        </is>
      </c>
      <c r="P1442" s="66" t="inlineStr">
        <is>
          <t>Landing Page View</t>
        </is>
      </c>
      <c r="Q1442" s="66" t="inlineStr">
        <is>
          <t>https://www.lepas-sa.co.za/book-a-test-drive</t>
        </is>
      </c>
      <c r="R1442" s="121" t="n">
        <v>97.11</v>
      </c>
      <c r="S1442" s="122" t="n">
        <v>1853</v>
      </c>
      <c r="T1442" s="122" t="n">
        <v>1022</v>
      </c>
      <c r="U1442" s="123">
        <f>IFERROR(S1442/T1442,"")</f>
        <v/>
      </c>
      <c r="V1442" s="122" t="n">
        <v>60</v>
      </c>
      <c r="W1442" s="122" t="n">
        <v>43</v>
      </c>
      <c r="X1442" s="124">
        <f>IFERROR(W1442/S1442,"")</f>
        <v/>
      </c>
      <c r="Y1442" s="121">
        <f>IFERROR(R1442/W1442,"")</f>
        <v/>
      </c>
      <c r="Z1442" s="121">
        <f>IFERROR(R1442/S1442*1000,"")</f>
        <v/>
      </c>
      <c r="AA1442" s="122" t="n">
        <v>30</v>
      </c>
      <c r="AB1442" s="54">
        <f>IFERROR(AA1442/W1442,"")</f>
        <v/>
      </c>
      <c r="AC1442" s="122" t="n">
        <v>501</v>
      </c>
      <c r="AD1442" s="122" t="n">
        <v>246</v>
      </c>
      <c r="AE1442" s="122" t="n">
        <v>247</v>
      </c>
      <c r="AF1442" s="122" t="n">
        <v>161</v>
      </c>
      <c r="AG1442" s="122" t="n">
        <v>113</v>
      </c>
      <c r="AH1442" s="122" t="n">
        <v>72</v>
      </c>
      <c r="AI1442" s="54">
        <f>IFERROR(AC1442/S1442,"")</f>
        <v/>
      </c>
      <c r="AJ1442" s="54">
        <f>IFERROR(AH1442/S1442,"")</f>
        <v/>
      </c>
      <c r="AK1442" s="122" t="n">
        <v>90</v>
      </c>
      <c r="AL1442" s="122" t="n">
        <v>0</v>
      </c>
      <c r="AM1442" s="124">
        <f>IFERROR(AL1442/AA1442,"")</f>
        <v/>
      </c>
      <c r="AN1442" s="125">
        <f>IFERROR(R1442/AL1442,"")</f>
        <v/>
      </c>
      <c r="AO1442" s="122" t="n">
        <v>0</v>
      </c>
      <c r="AP1442" s="54">
        <f>IFERROR(AO1442/AL1442,"")</f>
        <v/>
      </c>
      <c r="AQ1442" s="125">
        <f>IFERROR(R1442/AO1442,"")</f>
        <v/>
      </c>
      <c r="AR1442" s="122" t="n">
        <v>0</v>
      </c>
      <c r="AS1442" s="122" t="n">
        <v>0</v>
      </c>
      <c r="AT1442" s="122">
        <f>AL1442+AR1442</f>
        <v/>
      </c>
      <c r="AU1442" s="125">
        <f>IFERROR(AO1442*Assumptions!$C$26*Assumptions!$C$27*INDEX(Assumptions!$C$18:$C$21,MATCH(H1442,Assumptions!$B$18:$B$21,0)),0)</f>
        <v/>
      </c>
    </row>
    <row r="1443">
      <c r="A1443" s="120" t="n">
        <v>46241</v>
      </c>
      <c r="B1443" s="66" t="inlineStr">
        <is>
          <t>Wk 32</t>
        </is>
      </c>
      <c r="C1443" s="66" t="inlineStr">
        <is>
          <t>Fri</t>
        </is>
      </c>
      <c r="D1443" s="66" t="inlineStr">
        <is>
          <t>TikTok</t>
        </is>
      </c>
      <c r="E1443" s="66" t="inlineStr">
        <is>
          <t>TikTok</t>
        </is>
      </c>
      <c r="F1443" s="66" t="inlineStr">
        <is>
          <t>LEP_ZA_AUG26_TT_SPARK_RANGE_TRAFFIC</t>
        </is>
      </c>
      <c r="G1443" s="66" t="inlineStr">
        <is>
          <t>Traffic - Spark Ads</t>
        </is>
      </c>
      <c r="H1443" s="66" t="inlineStr">
        <is>
          <t>Range</t>
        </is>
      </c>
      <c r="I1443" s="66" t="inlineStr">
        <is>
          <t>Range Offer</t>
        </is>
      </c>
      <c r="J1443" s="66" t="inlineStr">
        <is>
          <t>TT_SPARK_RMKT_VV_ZA</t>
        </is>
      </c>
      <c r="K1443" s="66" t="inlineStr">
        <is>
          <t>Retargeting</t>
        </is>
      </c>
      <c r="L1443" s="66" t="inlineStr">
        <is>
          <t>TT_RMKT_10s_BookNow_v1</t>
        </is>
      </c>
      <c r="M1443" s="66" t="inlineStr">
        <is>
          <t>Video 9:16</t>
        </is>
      </c>
      <c r="N1443" s="66" t="inlineStr">
        <is>
          <t>You watched. Now drive.</t>
        </is>
      </c>
      <c r="O1443" s="66" t="inlineStr">
        <is>
          <t>Auction - Lowest Cost</t>
        </is>
      </c>
      <c r="P1443" s="66" t="inlineStr">
        <is>
          <t>Landing Page View</t>
        </is>
      </c>
      <c r="Q1443" s="66" t="inlineStr">
        <is>
          <t>https://www.lepas-sa.co.za/book-a-test-drive</t>
        </is>
      </c>
      <c r="R1443" s="121" t="n">
        <v>98.20999999999999</v>
      </c>
      <c r="S1443" s="122" t="n">
        <v>1798</v>
      </c>
      <c r="T1443" s="122" t="n">
        <v>1014</v>
      </c>
      <c r="U1443" s="123">
        <f>IFERROR(S1443/T1443,"")</f>
        <v/>
      </c>
      <c r="V1443" s="122" t="n">
        <v>33</v>
      </c>
      <c r="W1443" s="122" t="n">
        <v>27</v>
      </c>
      <c r="X1443" s="124">
        <f>IFERROR(W1443/S1443,"")</f>
        <v/>
      </c>
      <c r="Y1443" s="121">
        <f>IFERROR(R1443/W1443,"")</f>
        <v/>
      </c>
      <c r="Z1443" s="121">
        <f>IFERROR(R1443/S1443*1000,"")</f>
        <v/>
      </c>
      <c r="AA1443" s="122" t="n">
        <v>19</v>
      </c>
      <c r="AB1443" s="54">
        <f>IFERROR(AA1443/W1443,"")</f>
        <v/>
      </c>
      <c r="AC1443" s="122" t="n">
        <v>472</v>
      </c>
      <c r="AD1443" s="122" t="n">
        <v>238</v>
      </c>
      <c r="AE1443" s="122" t="n">
        <v>212</v>
      </c>
      <c r="AF1443" s="122" t="n">
        <v>123</v>
      </c>
      <c r="AG1443" s="122" t="n">
        <v>84</v>
      </c>
      <c r="AH1443" s="122" t="n">
        <v>54</v>
      </c>
      <c r="AI1443" s="54">
        <f>IFERROR(AC1443/S1443,"")</f>
        <v/>
      </c>
      <c r="AJ1443" s="54">
        <f>IFERROR(AH1443/S1443,"")</f>
        <v/>
      </c>
      <c r="AK1443" s="122" t="n">
        <v>52</v>
      </c>
      <c r="AL1443" s="122" t="n">
        <v>1</v>
      </c>
      <c r="AM1443" s="124">
        <f>IFERROR(AL1443/AA1443,"")</f>
        <v/>
      </c>
      <c r="AN1443" s="125">
        <f>IFERROR(R1443/AL1443,"")</f>
        <v/>
      </c>
      <c r="AO1443" s="122" t="n">
        <v>0</v>
      </c>
      <c r="AP1443" s="54">
        <f>IFERROR(AO1443/AL1443,"")</f>
        <v/>
      </c>
      <c r="AQ1443" s="125">
        <f>IFERROR(R1443/AO1443,"")</f>
        <v/>
      </c>
      <c r="AR1443" s="122" t="n">
        <v>0</v>
      </c>
      <c r="AS1443" s="122" t="n">
        <v>0</v>
      </c>
      <c r="AT1443" s="122">
        <f>AL1443+AR1443</f>
        <v/>
      </c>
      <c r="AU1443" s="125">
        <f>IFERROR(AO1443*Assumptions!$C$26*Assumptions!$C$27*INDEX(Assumptions!$C$18:$C$21,MATCH(H1443,Assumptions!$B$18:$B$21,0)),0)</f>
        <v/>
      </c>
    </row>
    <row r="1444">
      <c r="A1444" s="120" t="n">
        <v>46242</v>
      </c>
      <c r="B1444" s="66" t="inlineStr">
        <is>
          <t>Wk 32</t>
        </is>
      </c>
      <c r="C1444" s="66" t="inlineStr">
        <is>
          <t>Sat</t>
        </is>
      </c>
      <c r="D1444" s="66" t="inlineStr">
        <is>
          <t>TikTok</t>
        </is>
      </c>
      <c r="E1444" s="66" t="inlineStr">
        <is>
          <t>TikTok</t>
        </is>
      </c>
      <c r="F1444" s="66" t="inlineStr">
        <is>
          <t>LEP_ZA_AUG26_TT_SPARK_RANGE_TRAFFIC</t>
        </is>
      </c>
      <c r="G1444" s="66" t="inlineStr">
        <is>
          <t>Traffic - Spark Ads</t>
        </is>
      </c>
      <c r="H1444" s="66" t="inlineStr">
        <is>
          <t>Range</t>
        </is>
      </c>
      <c r="I1444" s="66" t="inlineStr">
        <is>
          <t>Range Offer</t>
        </is>
      </c>
      <c r="J1444" s="66" t="inlineStr">
        <is>
          <t>TT_SPARK_RMKT_VV_ZA</t>
        </is>
      </c>
      <c r="K1444" s="66" t="inlineStr">
        <is>
          <t>Retargeting</t>
        </is>
      </c>
      <c r="L1444" s="66" t="inlineStr">
        <is>
          <t>TT_RMKT_10s_BookNow_v1</t>
        </is>
      </c>
      <c r="M1444" s="66" t="inlineStr">
        <is>
          <t>Video 9:16</t>
        </is>
      </c>
      <c r="N1444" s="66" t="inlineStr">
        <is>
          <t>You watched. Now drive.</t>
        </is>
      </c>
      <c r="O1444" s="66" t="inlineStr">
        <is>
          <t>Auction - Lowest Cost</t>
        </is>
      </c>
      <c r="P1444" s="66" t="inlineStr">
        <is>
          <t>Landing Page View</t>
        </is>
      </c>
      <c r="Q1444" s="66" t="inlineStr">
        <is>
          <t>https://www.lepas-sa.co.za/book-a-test-drive</t>
        </is>
      </c>
      <c r="R1444" s="121" t="n">
        <v>105.55</v>
      </c>
      <c r="S1444" s="122" t="n">
        <v>2239</v>
      </c>
      <c r="T1444" s="122" t="n">
        <v>1405</v>
      </c>
      <c r="U1444" s="123">
        <f>IFERROR(S1444/T1444,"")</f>
        <v/>
      </c>
      <c r="V1444" s="122" t="n">
        <v>49</v>
      </c>
      <c r="W1444" s="122" t="n">
        <v>37</v>
      </c>
      <c r="X1444" s="124">
        <f>IFERROR(W1444/S1444,"")</f>
        <v/>
      </c>
      <c r="Y1444" s="121">
        <f>IFERROR(R1444/W1444,"")</f>
        <v/>
      </c>
      <c r="Z1444" s="121">
        <f>IFERROR(R1444/S1444*1000,"")</f>
        <v/>
      </c>
      <c r="AA1444" s="122" t="n">
        <v>25</v>
      </c>
      <c r="AB1444" s="54">
        <f>IFERROR(AA1444/W1444,"")</f>
        <v/>
      </c>
      <c r="AC1444" s="122" t="n">
        <v>824</v>
      </c>
      <c r="AD1444" s="122" t="n">
        <v>431</v>
      </c>
      <c r="AE1444" s="122" t="n">
        <v>314</v>
      </c>
      <c r="AF1444" s="122" t="n">
        <v>221</v>
      </c>
      <c r="AG1444" s="122" t="n">
        <v>171</v>
      </c>
      <c r="AH1444" s="122" t="n">
        <v>105</v>
      </c>
      <c r="AI1444" s="54">
        <f>IFERROR(AC1444/S1444,"")</f>
        <v/>
      </c>
      <c r="AJ1444" s="54">
        <f>IFERROR(AH1444/S1444,"")</f>
        <v/>
      </c>
      <c r="AK1444" s="122" t="n">
        <v>84</v>
      </c>
      <c r="AL1444" s="122" t="n">
        <v>1</v>
      </c>
      <c r="AM1444" s="124">
        <f>IFERROR(AL1444/AA1444,"")</f>
        <v/>
      </c>
      <c r="AN1444" s="125">
        <f>IFERROR(R1444/AL1444,"")</f>
        <v/>
      </c>
      <c r="AO1444" s="122" t="n">
        <v>0</v>
      </c>
      <c r="AP1444" s="54">
        <f>IFERROR(AO1444/AL1444,"")</f>
        <v/>
      </c>
      <c r="AQ1444" s="125">
        <f>IFERROR(R1444/AO1444,"")</f>
        <v/>
      </c>
      <c r="AR1444" s="122" t="n">
        <v>0</v>
      </c>
      <c r="AS1444" s="122" t="n">
        <v>0</v>
      </c>
      <c r="AT1444" s="122">
        <f>AL1444+AR1444</f>
        <v/>
      </c>
      <c r="AU1444" s="125">
        <f>IFERROR(AO1444*Assumptions!$C$26*Assumptions!$C$27*INDEX(Assumptions!$C$18:$C$21,MATCH(H1444,Assumptions!$B$18:$B$21,0)),0)</f>
        <v/>
      </c>
    </row>
    <row r="1445">
      <c r="A1445" s="120" t="n">
        <v>46243</v>
      </c>
      <c r="B1445" s="66" t="inlineStr">
        <is>
          <t>Wk 32</t>
        </is>
      </c>
      <c r="C1445" s="66" t="inlineStr">
        <is>
          <t>Sun</t>
        </is>
      </c>
      <c r="D1445" s="66" t="inlineStr">
        <is>
          <t>TikTok</t>
        </is>
      </c>
      <c r="E1445" s="66" t="inlineStr">
        <is>
          <t>TikTok</t>
        </is>
      </c>
      <c r="F1445" s="66" t="inlineStr">
        <is>
          <t>LEP_ZA_AUG26_TT_SPARK_RANGE_TRAFFIC</t>
        </is>
      </c>
      <c r="G1445" s="66" t="inlineStr">
        <is>
          <t>Traffic - Spark Ads</t>
        </is>
      </c>
      <c r="H1445" s="66" t="inlineStr">
        <is>
          <t>Range</t>
        </is>
      </c>
      <c r="I1445" s="66" t="inlineStr">
        <is>
          <t>Range Offer</t>
        </is>
      </c>
      <c r="J1445" s="66" t="inlineStr">
        <is>
          <t>TT_SPARK_RMKT_VV_ZA</t>
        </is>
      </c>
      <c r="K1445" s="66" t="inlineStr">
        <is>
          <t>Retargeting</t>
        </is>
      </c>
      <c r="L1445" s="66" t="inlineStr">
        <is>
          <t>TT_RMKT_10s_BookNow_v1</t>
        </is>
      </c>
      <c r="M1445" s="66" t="inlineStr">
        <is>
          <t>Video 9:16</t>
        </is>
      </c>
      <c r="N1445" s="66" t="inlineStr">
        <is>
          <t>You watched. Now drive.</t>
        </is>
      </c>
      <c r="O1445" s="66" t="inlineStr">
        <is>
          <t>Auction - Lowest Cost</t>
        </is>
      </c>
      <c r="P1445" s="66" t="inlineStr">
        <is>
          <t>Landing Page View</t>
        </is>
      </c>
      <c r="Q1445" s="66" t="inlineStr">
        <is>
          <t>https://www.lepas-sa.co.za/book-a-test-drive</t>
        </is>
      </c>
      <c r="R1445" s="121" t="n">
        <v>86.56999999999999</v>
      </c>
      <c r="S1445" s="122" t="n">
        <v>1500</v>
      </c>
      <c r="T1445" s="122" t="n">
        <v>915</v>
      </c>
      <c r="U1445" s="123">
        <f>IFERROR(S1445/T1445,"")</f>
        <v/>
      </c>
      <c r="V1445" s="122" t="n">
        <v>31</v>
      </c>
      <c r="W1445" s="122" t="n">
        <v>23</v>
      </c>
      <c r="X1445" s="124">
        <f>IFERROR(W1445/S1445,"")</f>
        <v/>
      </c>
      <c r="Y1445" s="121">
        <f>IFERROR(R1445/W1445,"")</f>
        <v/>
      </c>
      <c r="Z1445" s="121">
        <f>IFERROR(R1445/S1445*1000,"")</f>
        <v/>
      </c>
      <c r="AA1445" s="122" t="n">
        <v>15</v>
      </c>
      <c r="AB1445" s="54">
        <f>IFERROR(AA1445/W1445,"")</f>
        <v/>
      </c>
      <c r="AC1445" s="122" t="n">
        <v>376</v>
      </c>
      <c r="AD1445" s="122" t="n">
        <v>184</v>
      </c>
      <c r="AE1445" s="122" t="n">
        <v>154</v>
      </c>
      <c r="AF1445" s="122" t="n">
        <v>109</v>
      </c>
      <c r="AG1445" s="122" t="n">
        <v>86</v>
      </c>
      <c r="AH1445" s="122" t="n">
        <v>59</v>
      </c>
      <c r="AI1445" s="54">
        <f>IFERROR(AC1445/S1445,"")</f>
        <v/>
      </c>
      <c r="AJ1445" s="54">
        <f>IFERROR(AH1445/S1445,"")</f>
        <v/>
      </c>
      <c r="AK1445" s="122" t="n">
        <v>42</v>
      </c>
      <c r="AL1445" s="122" t="n">
        <v>1</v>
      </c>
      <c r="AM1445" s="124">
        <f>IFERROR(AL1445/AA1445,"")</f>
        <v/>
      </c>
      <c r="AN1445" s="125">
        <f>IFERROR(R1445/AL1445,"")</f>
        <v/>
      </c>
      <c r="AO1445" s="122" t="n">
        <v>1</v>
      </c>
      <c r="AP1445" s="54">
        <f>IFERROR(AO1445/AL1445,"")</f>
        <v/>
      </c>
      <c r="AQ1445" s="125">
        <f>IFERROR(R1445/AO1445,"")</f>
        <v/>
      </c>
      <c r="AR1445" s="122" t="n">
        <v>0</v>
      </c>
      <c r="AS1445" s="122" t="n">
        <v>0</v>
      </c>
      <c r="AT1445" s="122">
        <f>AL1445+AR1445</f>
        <v/>
      </c>
      <c r="AU1445" s="125">
        <f>IFERROR(AO1445*Assumptions!$C$26*Assumptions!$C$27*INDEX(Assumptions!$C$18:$C$21,MATCH(H1445,Assumptions!$B$18:$B$21,0)),0)</f>
        <v/>
      </c>
    </row>
    <row r="1446">
      <c r="A1446" s="120" t="n">
        <v>46244</v>
      </c>
      <c r="B1446" s="66" t="inlineStr">
        <is>
          <t>Wk 33</t>
        </is>
      </c>
      <c r="C1446" s="66" t="inlineStr">
        <is>
          <t>Mon</t>
        </is>
      </c>
      <c r="D1446" s="66" t="inlineStr">
        <is>
          <t>TikTok</t>
        </is>
      </c>
      <c r="E1446" s="66" t="inlineStr">
        <is>
          <t>TikTok</t>
        </is>
      </c>
      <c r="F1446" s="66" t="inlineStr">
        <is>
          <t>LEP_ZA_AUG26_TT_SPARK_RANGE_TRAFFIC</t>
        </is>
      </c>
      <c r="G1446" s="66" t="inlineStr">
        <is>
          <t>Traffic - Spark Ads</t>
        </is>
      </c>
      <c r="H1446" s="66" t="inlineStr">
        <is>
          <t>Range</t>
        </is>
      </c>
      <c r="I1446" s="66" t="inlineStr">
        <is>
          <t>Range Offer</t>
        </is>
      </c>
      <c r="J1446" s="66" t="inlineStr">
        <is>
          <t>TT_SPARK_RMKT_VV_ZA</t>
        </is>
      </c>
      <c r="K1446" s="66" t="inlineStr">
        <is>
          <t>Retargeting</t>
        </is>
      </c>
      <c r="L1446" s="66" t="inlineStr">
        <is>
          <t>TT_RMKT_10s_BookNow_v1</t>
        </is>
      </c>
      <c r="M1446" s="66" t="inlineStr">
        <is>
          <t>Video 9:16</t>
        </is>
      </c>
      <c r="N1446" s="66" t="inlineStr">
        <is>
          <t>You watched. Now drive.</t>
        </is>
      </c>
      <c r="O1446" s="66" t="inlineStr">
        <is>
          <t>Auction - Lowest Cost</t>
        </is>
      </c>
      <c r="P1446" s="66" t="inlineStr">
        <is>
          <t>Landing Page View</t>
        </is>
      </c>
      <c r="Q1446" s="66" t="inlineStr">
        <is>
          <t>https://www.lepas-sa.co.za/book-a-test-drive</t>
        </is>
      </c>
      <c r="R1446" s="121" t="n">
        <v>88.18000000000001</v>
      </c>
      <c r="S1446" s="122" t="n">
        <v>1506</v>
      </c>
      <c r="T1446" s="122" t="n">
        <v>926</v>
      </c>
      <c r="U1446" s="123">
        <f>IFERROR(S1446/T1446,"")</f>
        <v/>
      </c>
      <c r="V1446" s="122" t="n">
        <v>40</v>
      </c>
      <c r="W1446" s="122" t="n">
        <v>30</v>
      </c>
      <c r="X1446" s="124">
        <f>IFERROR(W1446/S1446,"")</f>
        <v/>
      </c>
      <c r="Y1446" s="121">
        <f>IFERROR(R1446/W1446,"")</f>
        <v/>
      </c>
      <c r="Z1446" s="121">
        <f>IFERROR(R1446/S1446*1000,"")</f>
        <v/>
      </c>
      <c r="AA1446" s="122" t="n">
        <v>22</v>
      </c>
      <c r="AB1446" s="54">
        <f>IFERROR(AA1446/W1446,"")</f>
        <v/>
      </c>
      <c r="AC1446" s="122" t="n">
        <v>437</v>
      </c>
      <c r="AD1446" s="122" t="n">
        <v>222</v>
      </c>
      <c r="AE1446" s="122" t="n">
        <v>226</v>
      </c>
      <c r="AF1446" s="122" t="n">
        <v>149</v>
      </c>
      <c r="AG1446" s="122" t="n">
        <v>118</v>
      </c>
      <c r="AH1446" s="122" t="n">
        <v>77</v>
      </c>
      <c r="AI1446" s="54">
        <f>IFERROR(AC1446/S1446,"")</f>
        <v/>
      </c>
      <c r="AJ1446" s="54">
        <f>IFERROR(AH1446/S1446,"")</f>
        <v/>
      </c>
      <c r="AK1446" s="122" t="n">
        <v>38</v>
      </c>
      <c r="AL1446" s="122" t="n">
        <v>0</v>
      </c>
      <c r="AM1446" s="124">
        <f>IFERROR(AL1446/AA1446,"")</f>
        <v/>
      </c>
      <c r="AN1446" s="125">
        <f>IFERROR(R1446/AL1446,"")</f>
        <v/>
      </c>
      <c r="AO1446" s="122" t="n">
        <v>0</v>
      </c>
      <c r="AP1446" s="54">
        <f>IFERROR(AO1446/AL1446,"")</f>
        <v/>
      </c>
      <c r="AQ1446" s="125">
        <f>IFERROR(R1446/AO1446,"")</f>
        <v/>
      </c>
      <c r="AR1446" s="122" t="n">
        <v>0</v>
      </c>
      <c r="AS1446" s="122" t="n">
        <v>0</v>
      </c>
      <c r="AT1446" s="122">
        <f>AL1446+AR1446</f>
        <v/>
      </c>
      <c r="AU1446" s="125">
        <f>IFERROR(AO1446*Assumptions!$C$26*Assumptions!$C$27*INDEX(Assumptions!$C$18:$C$21,MATCH(H1446,Assumptions!$B$18:$B$21,0)),0)</f>
        <v/>
      </c>
    </row>
    <row r="1447">
      <c r="A1447" s="120" t="n">
        <v>46245</v>
      </c>
      <c r="B1447" s="66" t="inlineStr">
        <is>
          <t>Wk 33</t>
        </is>
      </c>
      <c r="C1447" s="66" t="inlineStr">
        <is>
          <t>Tue</t>
        </is>
      </c>
      <c r="D1447" s="66" t="inlineStr">
        <is>
          <t>TikTok</t>
        </is>
      </c>
      <c r="E1447" s="66" t="inlineStr">
        <is>
          <t>TikTok</t>
        </is>
      </c>
      <c r="F1447" s="66" t="inlineStr">
        <is>
          <t>LEP_ZA_AUG26_TT_SPARK_RANGE_TRAFFIC</t>
        </is>
      </c>
      <c r="G1447" s="66" t="inlineStr">
        <is>
          <t>Traffic - Spark Ads</t>
        </is>
      </c>
      <c r="H1447" s="66" t="inlineStr">
        <is>
          <t>Range</t>
        </is>
      </c>
      <c r="I1447" s="66" t="inlineStr">
        <is>
          <t>Range Offer</t>
        </is>
      </c>
      <c r="J1447" s="66" t="inlineStr">
        <is>
          <t>TT_SPARK_RMKT_VV_ZA</t>
        </is>
      </c>
      <c r="K1447" s="66" t="inlineStr">
        <is>
          <t>Retargeting</t>
        </is>
      </c>
      <c r="L1447" s="66" t="inlineStr">
        <is>
          <t>TT_RMKT_10s_BookNow_v1</t>
        </is>
      </c>
      <c r="M1447" s="66" t="inlineStr">
        <is>
          <t>Video 9:16</t>
        </is>
      </c>
      <c r="N1447" s="66" t="inlineStr">
        <is>
          <t>You watched. Now drive.</t>
        </is>
      </c>
      <c r="O1447" s="66" t="inlineStr">
        <is>
          <t>Auction - Lowest Cost</t>
        </is>
      </c>
      <c r="P1447" s="66" t="inlineStr">
        <is>
          <t>Landing Page View</t>
        </is>
      </c>
      <c r="Q1447" s="66" t="inlineStr">
        <is>
          <t>https://www.lepas-sa.co.za/book-a-test-drive</t>
        </is>
      </c>
      <c r="R1447" s="121" t="n">
        <v>91.01000000000001</v>
      </c>
      <c r="S1447" s="122" t="n">
        <v>1764</v>
      </c>
      <c r="T1447" s="122" t="n">
        <v>1052</v>
      </c>
      <c r="U1447" s="123">
        <f>IFERROR(S1447/T1447,"")</f>
        <v/>
      </c>
      <c r="V1447" s="122" t="n">
        <v>39</v>
      </c>
      <c r="W1447" s="122" t="n">
        <v>29</v>
      </c>
      <c r="X1447" s="124">
        <f>IFERROR(W1447/S1447,"")</f>
        <v/>
      </c>
      <c r="Y1447" s="121">
        <f>IFERROR(R1447/W1447,"")</f>
        <v/>
      </c>
      <c r="Z1447" s="121">
        <f>IFERROR(R1447/S1447*1000,"")</f>
        <v/>
      </c>
      <c r="AA1447" s="122" t="n">
        <v>19</v>
      </c>
      <c r="AB1447" s="54">
        <f>IFERROR(AA1447/W1447,"")</f>
        <v/>
      </c>
      <c r="AC1447" s="122" t="n">
        <v>401</v>
      </c>
      <c r="AD1447" s="122" t="n">
        <v>222</v>
      </c>
      <c r="AE1447" s="122" t="n">
        <v>219</v>
      </c>
      <c r="AF1447" s="122" t="n">
        <v>140</v>
      </c>
      <c r="AG1447" s="122" t="n">
        <v>99</v>
      </c>
      <c r="AH1447" s="122" t="n">
        <v>58</v>
      </c>
      <c r="AI1447" s="54">
        <f>IFERROR(AC1447/S1447,"")</f>
        <v/>
      </c>
      <c r="AJ1447" s="54">
        <f>IFERROR(AH1447/S1447,"")</f>
        <v/>
      </c>
      <c r="AK1447" s="122" t="n">
        <v>61</v>
      </c>
      <c r="AL1447" s="122" t="n">
        <v>0</v>
      </c>
      <c r="AM1447" s="124">
        <f>IFERROR(AL1447/AA1447,"")</f>
        <v/>
      </c>
      <c r="AN1447" s="125">
        <f>IFERROR(R1447/AL1447,"")</f>
        <v/>
      </c>
      <c r="AO1447" s="122" t="n">
        <v>0</v>
      </c>
      <c r="AP1447" s="54">
        <f>IFERROR(AO1447/AL1447,"")</f>
        <v/>
      </c>
      <c r="AQ1447" s="125">
        <f>IFERROR(R1447/AO1447,"")</f>
        <v/>
      </c>
      <c r="AR1447" s="122" t="n">
        <v>0</v>
      </c>
      <c r="AS1447" s="122" t="n">
        <v>0</v>
      </c>
      <c r="AT1447" s="122">
        <f>AL1447+AR1447</f>
        <v/>
      </c>
      <c r="AU1447" s="125">
        <f>IFERROR(AO1447*Assumptions!$C$26*Assumptions!$C$27*INDEX(Assumptions!$C$18:$C$21,MATCH(H1447,Assumptions!$B$18:$B$21,0)),0)</f>
        <v/>
      </c>
    </row>
    <row r="1448">
      <c r="A1448" s="120" t="n">
        <v>46246</v>
      </c>
      <c r="B1448" s="66" t="inlineStr">
        <is>
          <t>Wk 33</t>
        </is>
      </c>
      <c r="C1448" s="66" t="inlineStr">
        <is>
          <t>Wed</t>
        </is>
      </c>
      <c r="D1448" s="66" t="inlineStr">
        <is>
          <t>TikTok</t>
        </is>
      </c>
      <c r="E1448" s="66" t="inlineStr">
        <is>
          <t>TikTok</t>
        </is>
      </c>
      <c r="F1448" s="66" t="inlineStr">
        <is>
          <t>LEP_ZA_AUG26_TT_SPARK_RANGE_TRAFFIC</t>
        </is>
      </c>
      <c r="G1448" s="66" t="inlineStr">
        <is>
          <t>Traffic - Spark Ads</t>
        </is>
      </c>
      <c r="H1448" s="66" t="inlineStr">
        <is>
          <t>Range</t>
        </is>
      </c>
      <c r="I1448" s="66" t="inlineStr">
        <is>
          <t>Range Offer</t>
        </is>
      </c>
      <c r="J1448" s="66" t="inlineStr">
        <is>
          <t>TT_SPARK_RMKT_VV_ZA</t>
        </is>
      </c>
      <c r="K1448" s="66" t="inlineStr">
        <is>
          <t>Retargeting</t>
        </is>
      </c>
      <c r="L1448" s="66" t="inlineStr">
        <is>
          <t>TT_RMKT_10s_BookNow_v1</t>
        </is>
      </c>
      <c r="M1448" s="66" t="inlineStr">
        <is>
          <t>Video 9:16</t>
        </is>
      </c>
      <c r="N1448" s="66" t="inlineStr">
        <is>
          <t>You watched. Now drive.</t>
        </is>
      </c>
      <c r="O1448" s="66" t="inlineStr">
        <is>
          <t>Auction - Lowest Cost</t>
        </is>
      </c>
      <c r="P1448" s="66" t="inlineStr">
        <is>
          <t>Landing Page View</t>
        </is>
      </c>
      <c r="Q1448" s="66" t="inlineStr">
        <is>
          <t>https://www.lepas-sa.co.za/book-a-test-drive</t>
        </is>
      </c>
      <c r="R1448" s="121" t="n">
        <v>92.22</v>
      </c>
      <c r="S1448" s="122" t="n">
        <v>2212</v>
      </c>
      <c r="T1448" s="122" t="n">
        <v>1147</v>
      </c>
      <c r="U1448" s="123">
        <f>IFERROR(S1448/T1448,"")</f>
        <v/>
      </c>
      <c r="V1448" s="122" t="n">
        <v>47</v>
      </c>
      <c r="W1448" s="122" t="n">
        <v>38</v>
      </c>
      <c r="X1448" s="124">
        <f>IFERROR(W1448/S1448,"")</f>
        <v/>
      </c>
      <c r="Y1448" s="121">
        <f>IFERROR(R1448/W1448,"")</f>
        <v/>
      </c>
      <c r="Z1448" s="121">
        <f>IFERROR(R1448/S1448*1000,"")</f>
        <v/>
      </c>
      <c r="AA1448" s="122" t="n">
        <v>26</v>
      </c>
      <c r="AB1448" s="54">
        <f>IFERROR(AA1448/W1448,"")</f>
        <v/>
      </c>
      <c r="AC1448" s="122" t="n">
        <v>728</v>
      </c>
      <c r="AD1448" s="122" t="n">
        <v>450</v>
      </c>
      <c r="AE1448" s="122" t="n">
        <v>325</v>
      </c>
      <c r="AF1448" s="122" t="n">
        <v>230</v>
      </c>
      <c r="AG1448" s="122" t="n">
        <v>156</v>
      </c>
      <c r="AH1448" s="122" t="n">
        <v>90</v>
      </c>
      <c r="AI1448" s="54">
        <f>IFERROR(AC1448/S1448,"")</f>
        <v/>
      </c>
      <c r="AJ1448" s="54">
        <f>IFERROR(AH1448/S1448,"")</f>
        <v/>
      </c>
      <c r="AK1448" s="122" t="n">
        <v>98</v>
      </c>
      <c r="AL1448" s="122" t="n">
        <v>1</v>
      </c>
      <c r="AM1448" s="124">
        <f>IFERROR(AL1448/AA1448,"")</f>
        <v/>
      </c>
      <c r="AN1448" s="125">
        <f>IFERROR(R1448/AL1448,"")</f>
        <v/>
      </c>
      <c r="AO1448" s="122" t="n">
        <v>0</v>
      </c>
      <c r="AP1448" s="54">
        <f>IFERROR(AO1448/AL1448,"")</f>
        <v/>
      </c>
      <c r="AQ1448" s="125">
        <f>IFERROR(R1448/AO1448,"")</f>
        <v/>
      </c>
      <c r="AR1448" s="122" t="n">
        <v>1</v>
      </c>
      <c r="AS1448" s="122" t="n">
        <v>0</v>
      </c>
      <c r="AT1448" s="122">
        <f>AL1448+AR1448</f>
        <v/>
      </c>
      <c r="AU1448" s="125">
        <f>IFERROR(AO1448*Assumptions!$C$26*Assumptions!$C$27*INDEX(Assumptions!$C$18:$C$21,MATCH(H1448,Assumptions!$B$18:$B$21,0)),0)</f>
        <v/>
      </c>
    </row>
    <row r="1449">
      <c r="A1449" s="120" t="n">
        <v>46247</v>
      </c>
      <c r="B1449" s="66" t="inlineStr">
        <is>
          <t>Wk 33</t>
        </is>
      </c>
      <c r="C1449" s="66" t="inlineStr">
        <is>
          <t>Thu</t>
        </is>
      </c>
      <c r="D1449" s="66" t="inlineStr">
        <is>
          <t>TikTok</t>
        </is>
      </c>
      <c r="E1449" s="66" t="inlineStr">
        <is>
          <t>TikTok</t>
        </is>
      </c>
      <c r="F1449" s="66" t="inlineStr">
        <is>
          <t>LEP_ZA_AUG26_TT_SPARK_RANGE_TRAFFIC</t>
        </is>
      </c>
      <c r="G1449" s="66" t="inlineStr">
        <is>
          <t>Traffic - Spark Ads</t>
        </is>
      </c>
      <c r="H1449" s="66" t="inlineStr">
        <is>
          <t>Range</t>
        </is>
      </c>
      <c r="I1449" s="66" t="inlineStr">
        <is>
          <t>Range Offer</t>
        </is>
      </c>
      <c r="J1449" s="66" t="inlineStr">
        <is>
          <t>TT_SPARK_RMKT_VV_ZA</t>
        </is>
      </c>
      <c r="K1449" s="66" t="inlineStr">
        <is>
          <t>Retargeting</t>
        </is>
      </c>
      <c r="L1449" s="66" t="inlineStr">
        <is>
          <t>TT_RMKT_10s_BookNow_v1</t>
        </is>
      </c>
      <c r="M1449" s="66" t="inlineStr">
        <is>
          <t>Video 9:16</t>
        </is>
      </c>
      <c r="N1449" s="66" t="inlineStr">
        <is>
          <t>You watched. Now drive.</t>
        </is>
      </c>
      <c r="O1449" s="66" t="inlineStr">
        <is>
          <t>Auction - Lowest Cost</t>
        </is>
      </c>
      <c r="P1449" s="66" t="inlineStr">
        <is>
          <t>Landing Page View</t>
        </is>
      </c>
      <c r="Q1449" s="66" t="inlineStr">
        <is>
          <t>https://www.lepas-sa.co.za/book-a-test-drive</t>
        </is>
      </c>
      <c r="R1449" s="121" t="n">
        <v>112</v>
      </c>
      <c r="S1449" s="122" t="n">
        <v>2907</v>
      </c>
      <c r="T1449" s="122" t="n">
        <v>2053</v>
      </c>
      <c r="U1449" s="123">
        <f>IFERROR(S1449/T1449,"")</f>
        <v/>
      </c>
      <c r="V1449" s="122" t="n">
        <v>70</v>
      </c>
      <c r="W1449" s="122" t="n">
        <v>55</v>
      </c>
      <c r="X1449" s="124">
        <f>IFERROR(W1449/S1449,"")</f>
        <v/>
      </c>
      <c r="Y1449" s="121">
        <f>IFERROR(R1449/W1449,"")</f>
        <v/>
      </c>
      <c r="Z1449" s="121">
        <f>IFERROR(R1449/S1449*1000,"")</f>
        <v/>
      </c>
      <c r="AA1449" s="122" t="n">
        <v>41</v>
      </c>
      <c r="AB1449" s="54">
        <f>IFERROR(AA1449/W1449,"")</f>
        <v/>
      </c>
      <c r="AC1449" s="122" t="n">
        <v>691</v>
      </c>
      <c r="AD1449" s="122" t="n">
        <v>394</v>
      </c>
      <c r="AE1449" s="122" t="n">
        <v>340</v>
      </c>
      <c r="AF1449" s="122" t="n">
        <v>226</v>
      </c>
      <c r="AG1449" s="122" t="n">
        <v>173</v>
      </c>
      <c r="AH1449" s="122" t="n">
        <v>123</v>
      </c>
      <c r="AI1449" s="54">
        <f>IFERROR(AC1449/S1449,"")</f>
        <v/>
      </c>
      <c r="AJ1449" s="54">
        <f>IFERROR(AH1449/S1449,"")</f>
        <v/>
      </c>
      <c r="AK1449" s="122" t="n">
        <v>126</v>
      </c>
      <c r="AL1449" s="122" t="n">
        <v>1</v>
      </c>
      <c r="AM1449" s="124">
        <f>IFERROR(AL1449/AA1449,"")</f>
        <v/>
      </c>
      <c r="AN1449" s="125">
        <f>IFERROR(R1449/AL1449,"")</f>
        <v/>
      </c>
      <c r="AO1449" s="122" t="n">
        <v>0</v>
      </c>
      <c r="AP1449" s="54">
        <f>IFERROR(AO1449/AL1449,"")</f>
        <v/>
      </c>
      <c r="AQ1449" s="125">
        <f>IFERROR(R1449/AO1449,"")</f>
        <v/>
      </c>
      <c r="AR1449" s="122" t="n">
        <v>0</v>
      </c>
      <c r="AS1449" s="122" t="n">
        <v>1</v>
      </c>
      <c r="AT1449" s="122">
        <f>AL1449+AR1449</f>
        <v/>
      </c>
      <c r="AU1449" s="125">
        <f>IFERROR(AO1449*Assumptions!$C$26*Assumptions!$C$27*INDEX(Assumptions!$C$18:$C$21,MATCH(H1449,Assumptions!$B$18:$B$21,0)),0)</f>
        <v/>
      </c>
    </row>
    <row r="1450">
      <c r="A1450" s="120" t="n">
        <v>46248</v>
      </c>
      <c r="B1450" s="66" t="inlineStr">
        <is>
          <t>Wk 33</t>
        </is>
      </c>
      <c r="C1450" s="66" t="inlineStr">
        <is>
          <t>Fri</t>
        </is>
      </c>
      <c r="D1450" s="66" t="inlineStr">
        <is>
          <t>TikTok</t>
        </is>
      </c>
      <c r="E1450" s="66" t="inlineStr">
        <is>
          <t>TikTok</t>
        </is>
      </c>
      <c r="F1450" s="66" t="inlineStr">
        <is>
          <t>LEP_ZA_AUG26_TT_SPARK_RANGE_TRAFFIC</t>
        </is>
      </c>
      <c r="G1450" s="66" t="inlineStr">
        <is>
          <t>Traffic - Spark Ads</t>
        </is>
      </c>
      <c r="H1450" s="66" t="inlineStr">
        <is>
          <t>Range</t>
        </is>
      </c>
      <c r="I1450" s="66" t="inlineStr">
        <is>
          <t>Range Offer</t>
        </is>
      </c>
      <c r="J1450" s="66" t="inlineStr">
        <is>
          <t>TT_SPARK_RMKT_VV_ZA</t>
        </is>
      </c>
      <c r="K1450" s="66" t="inlineStr">
        <is>
          <t>Retargeting</t>
        </is>
      </c>
      <c r="L1450" s="66" t="inlineStr">
        <is>
          <t>TT_RMKT_10s_BookNow_v1</t>
        </is>
      </c>
      <c r="M1450" s="66" t="inlineStr">
        <is>
          <t>Video 9:16</t>
        </is>
      </c>
      <c r="N1450" s="66" t="inlineStr">
        <is>
          <t>You watched. Now drive.</t>
        </is>
      </c>
      <c r="O1450" s="66" t="inlineStr">
        <is>
          <t>Auction - Lowest Cost</t>
        </is>
      </c>
      <c r="P1450" s="66" t="inlineStr">
        <is>
          <t>Landing Page View</t>
        </is>
      </c>
      <c r="Q1450" s="66" t="inlineStr">
        <is>
          <t>https://www.lepas-sa.co.za/book-a-test-drive</t>
        </is>
      </c>
      <c r="R1450" s="121" t="n">
        <v>93.03</v>
      </c>
      <c r="S1450" s="122" t="n">
        <v>1610</v>
      </c>
      <c r="T1450" s="122" t="n">
        <v>961</v>
      </c>
      <c r="U1450" s="123">
        <f>IFERROR(S1450/T1450,"")</f>
        <v/>
      </c>
      <c r="V1450" s="122" t="n">
        <v>27</v>
      </c>
      <c r="W1450" s="122" t="n">
        <v>21</v>
      </c>
      <c r="X1450" s="124">
        <f>IFERROR(W1450/S1450,"")</f>
        <v/>
      </c>
      <c r="Y1450" s="121">
        <f>IFERROR(R1450/W1450,"")</f>
        <v/>
      </c>
      <c r="Z1450" s="121">
        <f>IFERROR(R1450/S1450*1000,"")</f>
        <v/>
      </c>
      <c r="AA1450" s="122" t="n">
        <v>15</v>
      </c>
      <c r="AB1450" s="54">
        <f>IFERROR(AA1450/W1450,"")</f>
        <v/>
      </c>
      <c r="AC1450" s="122" t="n">
        <v>439</v>
      </c>
      <c r="AD1450" s="122" t="n">
        <v>210</v>
      </c>
      <c r="AE1450" s="122" t="n">
        <v>212</v>
      </c>
      <c r="AF1450" s="122" t="n">
        <v>116</v>
      </c>
      <c r="AG1450" s="122" t="n">
        <v>90</v>
      </c>
      <c r="AH1450" s="122" t="n">
        <v>58</v>
      </c>
      <c r="AI1450" s="54">
        <f>IFERROR(AC1450/S1450,"")</f>
        <v/>
      </c>
      <c r="AJ1450" s="54">
        <f>IFERROR(AH1450/S1450,"")</f>
        <v/>
      </c>
      <c r="AK1450" s="122" t="n">
        <v>33</v>
      </c>
      <c r="AL1450" s="122" t="n">
        <v>0</v>
      </c>
      <c r="AM1450" s="124">
        <f>IFERROR(AL1450/AA1450,"")</f>
        <v/>
      </c>
      <c r="AN1450" s="125">
        <f>IFERROR(R1450/AL1450,"")</f>
        <v/>
      </c>
      <c r="AO1450" s="122" t="n">
        <v>0</v>
      </c>
      <c r="AP1450" s="54">
        <f>IFERROR(AO1450/AL1450,"")</f>
        <v/>
      </c>
      <c r="AQ1450" s="125">
        <f>IFERROR(R1450/AO1450,"")</f>
        <v/>
      </c>
      <c r="AR1450" s="122" t="n">
        <v>0</v>
      </c>
      <c r="AS1450" s="122" t="n">
        <v>0</v>
      </c>
      <c r="AT1450" s="122">
        <f>AL1450+AR1450</f>
        <v/>
      </c>
      <c r="AU1450" s="125">
        <f>IFERROR(AO1450*Assumptions!$C$26*Assumptions!$C$27*INDEX(Assumptions!$C$18:$C$21,MATCH(H1450,Assumptions!$B$18:$B$21,0)),0)</f>
        <v/>
      </c>
    </row>
    <row r="1451">
      <c r="A1451" s="120" t="n">
        <v>46249</v>
      </c>
      <c r="B1451" s="66" t="inlineStr">
        <is>
          <t>Wk 33</t>
        </is>
      </c>
      <c r="C1451" s="66" t="inlineStr">
        <is>
          <t>Sat</t>
        </is>
      </c>
      <c r="D1451" s="66" t="inlineStr">
        <is>
          <t>TikTok</t>
        </is>
      </c>
      <c r="E1451" s="66" t="inlineStr">
        <is>
          <t>TikTok</t>
        </is>
      </c>
      <c r="F1451" s="66" t="inlineStr">
        <is>
          <t>LEP_ZA_AUG26_TT_SPARK_RANGE_TRAFFIC</t>
        </is>
      </c>
      <c r="G1451" s="66" t="inlineStr">
        <is>
          <t>Traffic - Spark Ads</t>
        </is>
      </c>
      <c r="H1451" s="66" t="inlineStr">
        <is>
          <t>Range</t>
        </is>
      </c>
      <c r="I1451" s="66" t="inlineStr">
        <is>
          <t>Range Offer</t>
        </is>
      </c>
      <c r="J1451" s="66" t="inlineStr">
        <is>
          <t>TT_SPARK_RMKT_VV_ZA</t>
        </is>
      </c>
      <c r="K1451" s="66" t="inlineStr">
        <is>
          <t>Retargeting</t>
        </is>
      </c>
      <c r="L1451" s="66" t="inlineStr">
        <is>
          <t>TT_RMKT_10s_BookNow_v1</t>
        </is>
      </c>
      <c r="M1451" s="66" t="inlineStr">
        <is>
          <t>Video 9:16</t>
        </is>
      </c>
      <c r="N1451" s="66" t="inlineStr">
        <is>
          <t>You watched. Now drive.</t>
        </is>
      </c>
      <c r="O1451" s="66" t="inlineStr">
        <is>
          <t>Auction - Lowest Cost</t>
        </is>
      </c>
      <c r="P1451" s="66" t="inlineStr">
        <is>
          <t>Landing Page View</t>
        </is>
      </c>
      <c r="Q1451" s="66" t="inlineStr">
        <is>
          <t>https://www.lepas-sa.co.za/book-a-test-drive</t>
        </is>
      </c>
      <c r="R1451" s="121" t="n">
        <v>98.90000000000001</v>
      </c>
      <c r="S1451" s="122" t="n">
        <v>2094</v>
      </c>
      <c r="T1451" s="122" t="n">
        <v>1045</v>
      </c>
      <c r="U1451" s="123">
        <f>IFERROR(S1451/T1451,"")</f>
        <v/>
      </c>
      <c r="V1451" s="122" t="n">
        <v>34</v>
      </c>
      <c r="W1451" s="122" t="n">
        <v>26</v>
      </c>
      <c r="X1451" s="124">
        <f>IFERROR(W1451/S1451,"")</f>
        <v/>
      </c>
      <c r="Y1451" s="121">
        <f>IFERROR(R1451/W1451,"")</f>
        <v/>
      </c>
      <c r="Z1451" s="121">
        <f>IFERROR(R1451/S1451*1000,"")</f>
        <v/>
      </c>
      <c r="AA1451" s="122" t="n">
        <v>19</v>
      </c>
      <c r="AB1451" s="54">
        <f>IFERROR(AA1451/W1451,"")</f>
        <v/>
      </c>
      <c r="AC1451" s="122" t="n">
        <v>534</v>
      </c>
      <c r="AD1451" s="122" t="n">
        <v>331</v>
      </c>
      <c r="AE1451" s="122" t="n">
        <v>213</v>
      </c>
      <c r="AF1451" s="122" t="n">
        <v>141</v>
      </c>
      <c r="AG1451" s="122" t="n">
        <v>101</v>
      </c>
      <c r="AH1451" s="122" t="n">
        <v>59</v>
      </c>
      <c r="AI1451" s="54">
        <f>IFERROR(AC1451/S1451,"")</f>
        <v/>
      </c>
      <c r="AJ1451" s="54">
        <f>IFERROR(AH1451/S1451,"")</f>
        <v/>
      </c>
      <c r="AK1451" s="122" t="n">
        <v>124</v>
      </c>
      <c r="AL1451" s="122" t="n">
        <v>0</v>
      </c>
      <c r="AM1451" s="124">
        <f>IFERROR(AL1451/AA1451,"")</f>
        <v/>
      </c>
      <c r="AN1451" s="125">
        <f>IFERROR(R1451/AL1451,"")</f>
        <v/>
      </c>
      <c r="AO1451" s="122" t="n">
        <v>0</v>
      </c>
      <c r="AP1451" s="54">
        <f>IFERROR(AO1451/AL1451,"")</f>
        <v/>
      </c>
      <c r="AQ1451" s="125">
        <f>IFERROR(R1451/AO1451,"")</f>
        <v/>
      </c>
      <c r="AR1451" s="122" t="n">
        <v>0</v>
      </c>
      <c r="AS1451" s="122" t="n">
        <v>0</v>
      </c>
      <c r="AT1451" s="122">
        <f>AL1451+AR1451</f>
        <v/>
      </c>
      <c r="AU1451" s="125">
        <f>IFERROR(AO1451*Assumptions!$C$26*Assumptions!$C$27*INDEX(Assumptions!$C$18:$C$21,MATCH(H1451,Assumptions!$B$18:$B$21,0)),0)</f>
        <v/>
      </c>
    </row>
    <row r="1452">
      <c r="A1452" s="120" t="n">
        <v>46250</v>
      </c>
      <c r="B1452" s="66" t="inlineStr">
        <is>
          <t>Wk 33</t>
        </is>
      </c>
      <c r="C1452" s="66" t="inlineStr">
        <is>
          <t>Sun</t>
        </is>
      </c>
      <c r="D1452" s="66" t="inlineStr">
        <is>
          <t>TikTok</t>
        </is>
      </c>
      <c r="E1452" s="66" t="inlineStr">
        <is>
          <t>TikTok</t>
        </is>
      </c>
      <c r="F1452" s="66" t="inlineStr">
        <is>
          <t>LEP_ZA_AUG26_TT_SPARK_RANGE_TRAFFIC</t>
        </is>
      </c>
      <c r="G1452" s="66" t="inlineStr">
        <is>
          <t>Traffic - Spark Ads</t>
        </is>
      </c>
      <c r="H1452" s="66" t="inlineStr">
        <is>
          <t>Range</t>
        </is>
      </c>
      <c r="I1452" s="66" t="inlineStr">
        <is>
          <t>Range Offer</t>
        </is>
      </c>
      <c r="J1452" s="66" t="inlineStr">
        <is>
          <t>TT_SPARK_RMKT_VV_ZA</t>
        </is>
      </c>
      <c r="K1452" s="66" t="inlineStr">
        <is>
          <t>Retargeting</t>
        </is>
      </c>
      <c r="L1452" s="66" t="inlineStr">
        <is>
          <t>TT_RMKT_10s_BookNow_v1</t>
        </is>
      </c>
      <c r="M1452" s="66" t="inlineStr">
        <is>
          <t>Video 9:16</t>
        </is>
      </c>
      <c r="N1452" s="66" t="inlineStr">
        <is>
          <t>You watched. Now drive.</t>
        </is>
      </c>
      <c r="O1452" s="66" t="inlineStr">
        <is>
          <t>Auction - Lowest Cost</t>
        </is>
      </c>
      <c r="P1452" s="66" t="inlineStr">
        <is>
          <t>Landing Page View</t>
        </is>
      </c>
      <c r="Q1452" s="66" t="inlineStr">
        <is>
          <t>https://www.lepas-sa.co.za/book-a-test-drive</t>
        </is>
      </c>
      <c r="R1452" s="121" t="n">
        <v>69.98999999999999</v>
      </c>
      <c r="S1452" s="122" t="n">
        <v>1464</v>
      </c>
      <c r="T1452" s="122" t="n">
        <v>737</v>
      </c>
      <c r="U1452" s="123">
        <f>IFERROR(S1452/T1452,"")</f>
        <v/>
      </c>
      <c r="V1452" s="122" t="n">
        <v>24</v>
      </c>
      <c r="W1452" s="122" t="n">
        <v>17</v>
      </c>
      <c r="X1452" s="124">
        <f>IFERROR(W1452/S1452,"")</f>
        <v/>
      </c>
      <c r="Y1452" s="121">
        <f>IFERROR(R1452/W1452,"")</f>
        <v/>
      </c>
      <c r="Z1452" s="121">
        <f>IFERROR(R1452/S1452*1000,"")</f>
        <v/>
      </c>
      <c r="AA1452" s="122" t="n">
        <v>12</v>
      </c>
      <c r="AB1452" s="54">
        <f>IFERROR(AA1452/W1452,"")</f>
        <v/>
      </c>
      <c r="AC1452" s="122" t="n">
        <v>525</v>
      </c>
      <c r="AD1452" s="122" t="n">
        <v>257</v>
      </c>
      <c r="AE1452" s="122" t="n">
        <v>273</v>
      </c>
      <c r="AF1452" s="122" t="n">
        <v>146</v>
      </c>
      <c r="AG1452" s="122" t="n">
        <v>102</v>
      </c>
      <c r="AH1452" s="122" t="n">
        <v>68</v>
      </c>
      <c r="AI1452" s="54">
        <f>IFERROR(AC1452/S1452,"")</f>
        <v/>
      </c>
      <c r="AJ1452" s="54">
        <f>IFERROR(AH1452/S1452,"")</f>
        <v/>
      </c>
      <c r="AK1452" s="122" t="n">
        <v>57</v>
      </c>
      <c r="AL1452" s="122" t="n">
        <v>0</v>
      </c>
      <c r="AM1452" s="124">
        <f>IFERROR(AL1452/AA1452,"")</f>
        <v/>
      </c>
      <c r="AN1452" s="125">
        <f>IFERROR(R1452/AL1452,"")</f>
        <v/>
      </c>
      <c r="AO1452" s="122" t="n">
        <v>0</v>
      </c>
      <c r="AP1452" s="54">
        <f>IFERROR(AO1452/AL1452,"")</f>
        <v/>
      </c>
      <c r="AQ1452" s="125">
        <f>IFERROR(R1452/AO1452,"")</f>
        <v/>
      </c>
      <c r="AR1452" s="122" t="n">
        <v>0</v>
      </c>
      <c r="AS1452" s="122" t="n">
        <v>0</v>
      </c>
      <c r="AT1452" s="122">
        <f>AL1452+AR1452</f>
        <v/>
      </c>
      <c r="AU1452" s="125">
        <f>IFERROR(AO1452*Assumptions!$C$26*Assumptions!$C$27*INDEX(Assumptions!$C$18:$C$21,MATCH(H1452,Assumptions!$B$18:$B$21,0)),0)</f>
        <v/>
      </c>
    </row>
    <row r="1453">
      <c r="A1453" s="120" t="n">
        <v>46251</v>
      </c>
      <c r="B1453" s="66" t="inlineStr">
        <is>
          <t>Wk 34</t>
        </is>
      </c>
      <c r="C1453" s="66" t="inlineStr">
        <is>
          <t>Mon</t>
        </is>
      </c>
      <c r="D1453" s="66" t="inlineStr">
        <is>
          <t>TikTok</t>
        </is>
      </c>
      <c r="E1453" s="66" t="inlineStr">
        <is>
          <t>TikTok</t>
        </is>
      </c>
      <c r="F1453" s="66" t="inlineStr">
        <is>
          <t>LEP_ZA_AUG26_TT_SPARK_RANGE_TRAFFIC</t>
        </is>
      </c>
      <c r="G1453" s="66" t="inlineStr">
        <is>
          <t>Traffic - Spark Ads</t>
        </is>
      </c>
      <c r="H1453" s="66" t="inlineStr">
        <is>
          <t>Range</t>
        </is>
      </c>
      <c r="I1453" s="66" t="inlineStr">
        <is>
          <t>Range Offer</t>
        </is>
      </c>
      <c r="J1453" s="66" t="inlineStr">
        <is>
          <t>TT_SPARK_RMKT_VV_ZA</t>
        </is>
      </c>
      <c r="K1453" s="66" t="inlineStr">
        <is>
          <t>Retargeting</t>
        </is>
      </c>
      <c r="L1453" s="66" t="inlineStr">
        <is>
          <t>TT_RMKT_10s_BookNow_v1</t>
        </is>
      </c>
      <c r="M1453" s="66" t="inlineStr">
        <is>
          <t>Video 9:16</t>
        </is>
      </c>
      <c r="N1453" s="66" t="inlineStr">
        <is>
          <t>You watched. Now drive.</t>
        </is>
      </c>
      <c r="O1453" s="66" t="inlineStr">
        <is>
          <t>Auction - Lowest Cost</t>
        </is>
      </c>
      <c r="P1453" s="66" t="inlineStr">
        <is>
          <t>Landing Page View</t>
        </is>
      </c>
      <c r="Q1453" s="66" t="inlineStr">
        <is>
          <t>https://www.lepas-sa.co.za/book-a-test-drive</t>
        </is>
      </c>
      <c r="R1453" s="121" t="n">
        <v>79.20999999999999</v>
      </c>
      <c r="S1453" s="122" t="n">
        <v>2065</v>
      </c>
      <c r="T1453" s="122" t="n">
        <v>1023</v>
      </c>
      <c r="U1453" s="123">
        <f>IFERROR(S1453/T1453,"")</f>
        <v/>
      </c>
      <c r="V1453" s="122" t="n">
        <v>31</v>
      </c>
      <c r="W1453" s="122" t="n">
        <v>22</v>
      </c>
      <c r="X1453" s="124">
        <f>IFERROR(W1453/S1453,"")</f>
        <v/>
      </c>
      <c r="Y1453" s="121">
        <f>IFERROR(R1453/W1453,"")</f>
        <v/>
      </c>
      <c r="Z1453" s="121">
        <f>IFERROR(R1453/S1453*1000,"")</f>
        <v/>
      </c>
      <c r="AA1453" s="122" t="n">
        <v>16</v>
      </c>
      <c r="AB1453" s="54">
        <f>IFERROR(AA1453/W1453,"")</f>
        <v/>
      </c>
      <c r="AC1453" s="122" t="n">
        <v>616</v>
      </c>
      <c r="AD1453" s="122" t="n">
        <v>290</v>
      </c>
      <c r="AE1453" s="122" t="n">
        <v>230</v>
      </c>
      <c r="AF1453" s="122" t="n">
        <v>148</v>
      </c>
      <c r="AG1453" s="122" t="n">
        <v>96</v>
      </c>
      <c r="AH1453" s="122" t="n">
        <v>61</v>
      </c>
      <c r="AI1453" s="54">
        <f>IFERROR(AC1453/S1453,"")</f>
        <v/>
      </c>
      <c r="AJ1453" s="54">
        <f>IFERROR(AH1453/S1453,"")</f>
        <v/>
      </c>
      <c r="AK1453" s="122" t="n">
        <v>66</v>
      </c>
      <c r="AL1453" s="122" t="n">
        <v>1</v>
      </c>
      <c r="AM1453" s="124">
        <f>IFERROR(AL1453/AA1453,"")</f>
        <v/>
      </c>
      <c r="AN1453" s="125">
        <f>IFERROR(R1453/AL1453,"")</f>
        <v/>
      </c>
      <c r="AO1453" s="122" t="n">
        <v>0</v>
      </c>
      <c r="AP1453" s="54">
        <f>IFERROR(AO1453/AL1453,"")</f>
        <v/>
      </c>
      <c r="AQ1453" s="125">
        <f>IFERROR(R1453/AO1453,"")</f>
        <v/>
      </c>
      <c r="AR1453" s="122" t="n">
        <v>0</v>
      </c>
      <c r="AS1453" s="122" t="n">
        <v>1</v>
      </c>
      <c r="AT1453" s="122">
        <f>AL1453+AR1453</f>
        <v/>
      </c>
      <c r="AU1453" s="125">
        <f>IFERROR(AO1453*Assumptions!$C$26*Assumptions!$C$27*INDEX(Assumptions!$C$18:$C$21,MATCH(H1453,Assumptions!$B$18:$B$21,0)),0)</f>
        <v/>
      </c>
    </row>
    <row r="1454">
      <c r="A1454" s="120" t="n">
        <v>46252</v>
      </c>
      <c r="B1454" s="66" t="inlineStr">
        <is>
          <t>Wk 34</t>
        </is>
      </c>
      <c r="C1454" s="66" t="inlineStr">
        <is>
          <t>Tue</t>
        </is>
      </c>
      <c r="D1454" s="66" t="inlineStr">
        <is>
          <t>TikTok</t>
        </is>
      </c>
      <c r="E1454" s="66" t="inlineStr">
        <is>
          <t>TikTok</t>
        </is>
      </c>
      <c r="F1454" s="66" t="inlineStr">
        <is>
          <t>LEP_ZA_AUG26_TT_SPARK_RANGE_TRAFFIC</t>
        </is>
      </c>
      <c r="G1454" s="66" t="inlineStr">
        <is>
          <t>Traffic - Spark Ads</t>
        </is>
      </c>
      <c r="H1454" s="66" t="inlineStr">
        <is>
          <t>Range</t>
        </is>
      </c>
      <c r="I1454" s="66" t="inlineStr">
        <is>
          <t>Range Offer</t>
        </is>
      </c>
      <c r="J1454" s="66" t="inlineStr">
        <is>
          <t>TT_SPARK_RMKT_VV_ZA</t>
        </is>
      </c>
      <c r="K1454" s="66" t="inlineStr">
        <is>
          <t>Retargeting</t>
        </is>
      </c>
      <c r="L1454" s="66" t="inlineStr">
        <is>
          <t>TT_RMKT_10s_BookNow_v1</t>
        </is>
      </c>
      <c r="M1454" s="66" t="inlineStr">
        <is>
          <t>Video 9:16</t>
        </is>
      </c>
      <c r="N1454" s="66" t="inlineStr">
        <is>
          <t>You watched. Now drive.</t>
        </is>
      </c>
      <c r="O1454" s="66" t="inlineStr">
        <is>
          <t>Auction - Lowest Cost</t>
        </is>
      </c>
      <c r="P1454" s="66" t="inlineStr">
        <is>
          <t>Landing Page View</t>
        </is>
      </c>
      <c r="Q1454" s="66" t="inlineStr">
        <is>
          <t>https://www.lepas-sa.co.za/book-a-test-drive</t>
        </is>
      </c>
      <c r="R1454" s="121" t="n">
        <v>94.02</v>
      </c>
      <c r="S1454" s="122" t="n">
        <v>2316</v>
      </c>
      <c r="T1454" s="122" t="n">
        <v>1578</v>
      </c>
      <c r="U1454" s="123">
        <f>IFERROR(S1454/T1454,"")</f>
        <v/>
      </c>
      <c r="V1454" s="122" t="n">
        <v>39</v>
      </c>
      <c r="W1454" s="122" t="n">
        <v>31</v>
      </c>
      <c r="X1454" s="124">
        <f>IFERROR(W1454/S1454,"")</f>
        <v/>
      </c>
      <c r="Y1454" s="121">
        <f>IFERROR(R1454/W1454,"")</f>
        <v/>
      </c>
      <c r="Z1454" s="121">
        <f>IFERROR(R1454/S1454*1000,"")</f>
        <v/>
      </c>
      <c r="AA1454" s="122" t="n">
        <v>21</v>
      </c>
      <c r="AB1454" s="54">
        <f>IFERROR(AA1454/W1454,"")</f>
        <v/>
      </c>
      <c r="AC1454" s="122" t="n">
        <v>558</v>
      </c>
      <c r="AD1454" s="122" t="n">
        <v>306</v>
      </c>
      <c r="AE1454" s="122" t="n">
        <v>297</v>
      </c>
      <c r="AF1454" s="122" t="n">
        <v>171</v>
      </c>
      <c r="AG1454" s="122" t="n">
        <v>118</v>
      </c>
      <c r="AH1454" s="122" t="n">
        <v>84</v>
      </c>
      <c r="AI1454" s="54">
        <f>IFERROR(AC1454/S1454,"")</f>
        <v/>
      </c>
      <c r="AJ1454" s="54">
        <f>IFERROR(AH1454/S1454,"")</f>
        <v/>
      </c>
      <c r="AK1454" s="122" t="n">
        <v>125</v>
      </c>
      <c r="AL1454" s="122" t="n">
        <v>1</v>
      </c>
      <c r="AM1454" s="124">
        <f>IFERROR(AL1454/AA1454,"")</f>
        <v/>
      </c>
      <c r="AN1454" s="125">
        <f>IFERROR(R1454/AL1454,"")</f>
        <v/>
      </c>
      <c r="AO1454" s="122" t="n">
        <v>1</v>
      </c>
      <c r="AP1454" s="54">
        <f>IFERROR(AO1454/AL1454,"")</f>
        <v/>
      </c>
      <c r="AQ1454" s="125">
        <f>IFERROR(R1454/AO1454,"")</f>
        <v/>
      </c>
      <c r="AR1454" s="122" t="n">
        <v>0</v>
      </c>
      <c r="AS1454" s="122" t="n">
        <v>0</v>
      </c>
      <c r="AT1454" s="122">
        <f>AL1454+AR1454</f>
        <v/>
      </c>
      <c r="AU1454" s="125">
        <f>IFERROR(AO1454*Assumptions!$C$26*Assumptions!$C$27*INDEX(Assumptions!$C$18:$C$21,MATCH(H1454,Assumptions!$B$18:$B$21,0)),0)</f>
        <v/>
      </c>
    </row>
    <row r="1455">
      <c r="A1455" s="120" t="n">
        <v>46253</v>
      </c>
      <c r="B1455" s="66" t="inlineStr">
        <is>
          <t>Wk 34</t>
        </is>
      </c>
      <c r="C1455" s="66" t="inlineStr">
        <is>
          <t>Wed</t>
        </is>
      </c>
      <c r="D1455" s="66" t="inlineStr">
        <is>
          <t>TikTok</t>
        </is>
      </c>
      <c r="E1455" s="66" t="inlineStr">
        <is>
          <t>TikTok</t>
        </is>
      </c>
      <c r="F1455" s="66" t="inlineStr">
        <is>
          <t>LEP_ZA_AUG26_TT_SPARK_RANGE_TRAFFIC</t>
        </is>
      </c>
      <c r="G1455" s="66" t="inlineStr">
        <is>
          <t>Traffic - Spark Ads</t>
        </is>
      </c>
      <c r="H1455" s="66" t="inlineStr">
        <is>
          <t>Range</t>
        </is>
      </c>
      <c r="I1455" s="66" t="inlineStr">
        <is>
          <t>Range Offer</t>
        </is>
      </c>
      <c r="J1455" s="66" t="inlineStr">
        <is>
          <t>TT_SPARK_RMKT_VV_ZA</t>
        </is>
      </c>
      <c r="K1455" s="66" t="inlineStr">
        <is>
          <t>Retargeting</t>
        </is>
      </c>
      <c r="L1455" s="66" t="inlineStr">
        <is>
          <t>TT_RMKT_10s_BookNow_v1</t>
        </is>
      </c>
      <c r="M1455" s="66" t="inlineStr">
        <is>
          <t>Video 9:16</t>
        </is>
      </c>
      <c r="N1455" s="66" t="inlineStr">
        <is>
          <t>You watched. Now drive.</t>
        </is>
      </c>
      <c r="O1455" s="66" t="inlineStr">
        <is>
          <t>Auction - Lowest Cost</t>
        </is>
      </c>
      <c r="P1455" s="66" t="inlineStr">
        <is>
          <t>Landing Page View</t>
        </is>
      </c>
      <c r="Q1455" s="66" t="inlineStr">
        <is>
          <t>https://www.lepas-sa.co.za/book-a-test-drive</t>
        </is>
      </c>
      <c r="R1455" s="121" t="n">
        <v>84.14</v>
      </c>
      <c r="S1455" s="122" t="n">
        <v>1780</v>
      </c>
      <c r="T1455" s="122" t="n">
        <v>1196</v>
      </c>
      <c r="U1455" s="123">
        <f>IFERROR(S1455/T1455,"")</f>
        <v/>
      </c>
      <c r="V1455" s="122" t="n">
        <v>35</v>
      </c>
      <c r="W1455" s="122" t="n">
        <v>26</v>
      </c>
      <c r="X1455" s="124">
        <f>IFERROR(W1455/S1455,"")</f>
        <v/>
      </c>
      <c r="Y1455" s="121">
        <f>IFERROR(R1455/W1455,"")</f>
        <v/>
      </c>
      <c r="Z1455" s="121">
        <f>IFERROR(R1455/S1455*1000,"")</f>
        <v/>
      </c>
      <c r="AA1455" s="122" t="n">
        <v>19</v>
      </c>
      <c r="AB1455" s="54">
        <f>IFERROR(AA1455/W1455,"")</f>
        <v/>
      </c>
      <c r="AC1455" s="122" t="n">
        <v>450</v>
      </c>
      <c r="AD1455" s="122" t="n">
        <v>270</v>
      </c>
      <c r="AE1455" s="122" t="n">
        <v>227</v>
      </c>
      <c r="AF1455" s="122" t="n">
        <v>130</v>
      </c>
      <c r="AG1455" s="122" t="n">
        <v>88</v>
      </c>
      <c r="AH1455" s="122" t="n">
        <v>49</v>
      </c>
      <c r="AI1455" s="54">
        <f>IFERROR(AC1455/S1455,"")</f>
        <v/>
      </c>
      <c r="AJ1455" s="54">
        <f>IFERROR(AH1455/S1455,"")</f>
        <v/>
      </c>
      <c r="AK1455" s="122" t="n">
        <v>85</v>
      </c>
      <c r="AL1455" s="122" t="n">
        <v>0</v>
      </c>
      <c r="AM1455" s="124">
        <f>IFERROR(AL1455/AA1455,"")</f>
        <v/>
      </c>
      <c r="AN1455" s="125">
        <f>IFERROR(R1455/AL1455,"")</f>
        <v/>
      </c>
      <c r="AO1455" s="122" t="n">
        <v>0</v>
      </c>
      <c r="AP1455" s="54">
        <f>IFERROR(AO1455/AL1455,"")</f>
        <v/>
      </c>
      <c r="AQ1455" s="125">
        <f>IFERROR(R1455/AO1455,"")</f>
        <v/>
      </c>
      <c r="AR1455" s="122" t="n">
        <v>0</v>
      </c>
      <c r="AS1455" s="122" t="n">
        <v>0</v>
      </c>
      <c r="AT1455" s="122">
        <f>AL1455+AR1455</f>
        <v/>
      </c>
      <c r="AU1455" s="125">
        <f>IFERROR(AO1455*Assumptions!$C$26*Assumptions!$C$27*INDEX(Assumptions!$C$18:$C$21,MATCH(H1455,Assumptions!$B$18:$B$21,0)),0)</f>
        <v/>
      </c>
    </row>
    <row r="1456">
      <c r="A1456" s="120" t="n">
        <v>46254</v>
      </c>
      <c r="B1456" s="66" t="inlineStr">
        <is>
          <t>Wk 34</t>
        </is>
      </c>
      <c r="C1456" s="66" t="inlineStr">
        <is>
          <t>Thu</t>
        </is>
      </c>
      <c r="D1456" s="66" t="inlineStr">
        <is>
          <t>TikTok</t>
        </is>
      </c>
      <c r="E1456" s="66" t="inlineStr">
        <is>
          <t>TikTok</t>
        </is>
      </c>
      <c r="F1456" s="66" t="inlineStr">
        <is>
          <t>LEP_ZA_AUG26_TT_SPARK_RANGE_TRAFFIC</t>
        </is>
      </c>
      <c r="G1456" s="66" t="inlineStr">
        <is>
          <t>Traffic - Spark Ads</t>
        </is>
      </c>
      <c r="H1456" s="66" t="inlineStr">
        <is>
          <t>Range</t>
        </is>
      </c>
      <c r="I1456" s="66" t="inlineStr">
        <is>
          <t>Range Offer</t>
        </is>
      </c>
      <c r="J1456" s="66" t="inlineStr">
        <is>
          <t>TT_SPARK_RMKT_VV_ZA</t>
        </is>
      </c>
      <c r="K1456" s="66" t="inlineStr">
        <is>
          <t>Retargeting</t>
        </is>
      </c>
      <c r="L1456" s="66" t="inlineStr">
        <is>
          <t>TT_RMKT_10s_BookNow_v1</t>
        </is>
      </c>
      <c r="M1456" s="66" t="inlineStr">
        <is>
          <t>Video 9:16</t>
        </is>
      </c>
      <c r="N1456" s="66" t="inlineStr">
        <is>
          <t>You watched. Now drive.</t>
        </is>
      </c>
      <c r="O1456" s="66" t="inlineStr">
        <is>
          <t>Auction - Lowest Cost</t>
        </is>
      </c>
      <c r="P1456" s="66" t="inlineStr">
        <is>
          <t>Landing Page View</t>
        </is>
      </c>
      <c r="Q1456" s="66" t="inlineStr">
        <is>
          <t>https://www.lepas-sa.co.za/book-a-test-drive</t>
        </is>
      </c>
      <c r="R1456" s="121" t="n">
        <v>101.75</v>
      </c>
      <c r="S1456" s="122" t="n">
        <v>2407</v>
      </c>
      <c r="T1456" s="122" t="n">
        <v>1367</v>
      </c>
      <c r="U1456" s="123">
        <f>IFERROR(S1456/T1456,"")</f>
        <v/>
      </c>
      <c r="V1456" s="122" t="n">
        <v>50</v>
      </c>
      <c r="W1456" s="122" t="n">
        <v>41</v>
      </c>
      <c r="X1456" s="124">
        <f>IFERROR(W1456/S1456,"")</f>
        <v/>
      </c>
      <c r="Y1456" s="121">
        <f>IFERROR(R1456/W1456,"")</f>
        <v/>
      </c>
      <c r="Z1456" s="121">
        <f>IFERROR(R1456/S1456*1000,"")</f>
        <v/>
      </c>
      <c r="AA1456" s="122" t="n">
        <v>27</v>
      </c>
      <c r="AB1456" s="54">
        <f>IFERROR(AA1456/W1456,"")</f>
        <v/>
      </c>
      <c r="AC1456" s="122" t="n">
        <v>588</v>
      </c>
      <c r="AD1456" s="122" t="n">
        <v>335</v>
      </c>
      <c r="AE1456" s="122" t="n">
        <v>301</v>
      </c>
      <c r="AF1456" s="122" t="n">
        <v>181</v>
      </c>
      <c r="AG1456" s="122" t="n">
        <v>140</v>
      </c>
      <c r="AH1456" s="122" t="n">
        <v>83</v>
      </c>
      <c r="AI1456" s="54">
        <f>IFERROR(AC1456/S1456,"")</f>
        <v/>
      </c>
      <c r="AJ1456" s="54">
        <f>IFERROR(AH1456/S1456,"")</f>
        <v/>
      </c>
      <c r="AK1456" s="122" t="n">
        <v>51</v>
      </c>
      <c r="AL1456" s="122" t="n">
        <v>0</v>
      </c>
      <c r="AM1456" s="124">
        <f>IFERROR(AL1456/AA1456,"")</f>
        <v/>
      </c>
      <c r="AN1456" s="125">
        <f>IFERROR(R1456/AL1456,"")</f>
        <v/>
      </c>
      <c r="AO1456" s="122" t="n">
        <v>0</v>
      </c>
      <c r="AP1456" s="54">
        <f>IFERROR(AO1456/AL1456,"")</f>
        <v/>
      </c>
      <c r="AQ1456" s="125">
        <f>IFERROR(R1456/AO1456,"")</f>
        <v/>
      </c>
      <c r="AR1456" s="122" t="n">
        <v>0</v>
      </c>
      <c r="AS1456" s="122" t="n">
        <v>0</v>
      </c>
      <c r="AT1456" s="122">
        <f>AL1456+AR1456</f>
        <v/>
      </c>
      <c r="AU1456" s="125">
        <f>IFERROR(AO1456*Assumptions!$C$26*Assumptions!$C$27*INDEX(Assumptions!$C$18:$C$21,MATCH(H1456,Assumptions!$B$18:$B$21,0)),0)</f>
        <v/>
      </c>
    </row>
    <row r="1457">
      <c r="A1457" s="120" t="n">
        <v>46255</v>
      </c>
      <c r="B1457" s="66" t="inlineStr">
        <is>
          <t>Wk 34</t>
        </is>
      </c>
      <c r="C1457" s="66" t="inlineStr">
        <is>
          <t>Fri</t>
        </is>
      </c>
      <c r="D1457" s="66" t="inlineStr">
        <is>
          <t>TikTok</t>
        </is>
      </c>
      <c r="E1457" s="66" t="inlineStr">
        <is>
          <t>TikTok</t>
        </is>
      </c>
      <c r="F1457" s="66" t="inlineStr">
        <is>
          <t>LEP_ZA_AUG26_TT_SPARK_RANGE_TRAFFIC</t>
        </is>
      </c>
      <c r="G1457" s="66" t="inlineStr">
        <is>
          <t>Traffic - Spark Ads</t>
        </is>
      </c>
      <c r="H1457" s="66" t="inlineStr">
        <is>
          <t>Range</t>
        </is>
      </c>
      <c r="I1457" s="66" t="inlineStr">
        <is>
          <t>Range Offer</t>
        </is>
      </c>
      <c r="J1457" s="66" t="inlineStr">
        <is>
          <t>TT_SPARK_RMKT_VV_ZA</t>
        </is>
      </c>
      <c r="K1457" s="66" t="inlineStr">
        <is>
          <t>Retargeting</t>
        </is>
      </c>
      <c r="L1457" s="66" t="inlineStr">
        <is>
          <t>TT_RMKT_10s_BookNow_v1</t>
        </is>
      </c>
      <c r="M1457" s="66" t="inlineStr">
        <is>
          <t>Video 9:16</t>
        </is>
      </c>
      <c r="N1457" s="66" t="inlineStr">
        <is>
          <t>You watched. Now drive.</t>
        </is>
      </c>
      <c r="O1457" s="66" t="inlineStr">
        <is>
          <t>Auction - Lowest Cost</t>
        </is>
      </c>
      <c r="P1457" s="66" t="inlineStr">
        <is>
          <t>Landing Page View</t>
        </is>
      </c>
      <c r="Q1457" s="66" t="inlineStr">
        <is>
          <t>https://www.lepas-sa.co.za/book-a-test-drive</t>
        </is>
      </c>
      <c r="R1457" s="121" t="n">
        <v>101.09</v>
      </c>
      <c r="S1457" s="122" t="n">
        <v>2631</v>
      </c>
      <c r="T1457" s="122" t="n">
        <v>1583</v>
      </c>
      <c r="U1457" s="123">
        <f>IFERROR(S1457/T1457,"")</f>
        <v/>
      </c>
      <c r="V1457" s="122" t="n">
        <v>53</v>
      </c>
      <c r="W1457" s="122" t="n">
        <v>41</v>
      </c>
      <c r="X1457" s="124">
        <f>IFERROR(W1457/S1457,"")</f>
        <v/>
      </c>
      <c r="Y1457" s="121">
        <f>IFERROR(R1457/W1457,"")</f>
        <v/>
      </c>
      <c r="Z1457" s="121">
        <f>IFERROR(R1457/S1457*1000,"")</f>
        <v/>
      </c>
      <c r="AA1457" s="122" t="n">
        <v>26</v>
      </c>
      <c r="AB1457" s="54">
        <f>IFERROR(AA1457/W1457,"")</f>
        <v/>
      </c>
      <c r="AC1457" s="122" t="n">
        <v>827</v>
      </c>
      <c r="AD1457" s="122" t="n">
        <v>490</v>
      </c>
      <c r="AE1457" s="122" t="n">
        <v>427</v>
      </c>
      <c r="AF1457" s="122" t="n">
        <v>281</v>
      </c>
      <c r="AG1457" s="122" t="n">
        <v>213</v>
      </c>
      <c r="AH1457" s="122" t="n">
        <v>127</v>
      </c>
      <c r="AI1457" s="54">
        <f>IFERROR(AC1457/S1457,"")</f>
        <v/>
      </c>
      <c r="AJ1457" s="54">
        <f>IFERROR(AH1457/S1457,"")</f>
        <v/>
      </c>
      <c r="AK1457" s="122" t="n">
        <v>75</v>
      </c>
      <c r="AL1457" s="122" t="n">
        <v>1</v>
      </c>
      <c r="AM1457" s="124">
        <f>IFERROR(AL1457/AA1457,"")</f>
        <v/>
      </c>
      <c r="AN1457" s="125">
        <f>IFERROR(R1457/AL1457,"")</f>
        <v/>
      </c>
      <c r="AO1457" s="122" t="n">
        <v>0</v>
      </c>
      <c r="AP1457" s="54">
        <f>IFERROR(AO1457/AL1457,"")</f>
        <v/>
      </c>
      <c r="AQ1457" s="125">
        <f>IFERROR(R1457/AO1457,"")</f>
        <v/>
      </c>
      <c r="AR1457" s="122" t="n">
        <v>0</v>
      </c>
      <c r="AS1457" s="122" t="n">
        <v>1</v>
      </c>
      <c r="AT1457" s="122">
        <f>AL1457+AR1457</f>
        <v/>
      </c>
      <c r="AU1457" s="125">
        <f>IFERROR(AO1457*Assumptions!$C$26*Assumptions!$C$27*INDEX(Assumptions!$C$18:$C$21,MATCH(H1457,Assumptions!$B$18:$B$21,0)),0)</f>
        <v/>
      </c>
    </row>
    <row r="1458">
      <c r="A1458" s="120" t="n">
        <v>46256</v>
      </c>
      <c r="B1458" s="66" t="inlineStr">
        <is>
          <t>Wk 34</t>
        </is>
      </c>
      <c r="C1458" s="66" t="inlineStr">
        <is>
          <t>Sat</t>
        </is>
      </c>
      <c r="D1458" s="66" t="inlineStr">
        <is>
          <t>TikTok</t>
        </is>
      </c>
      <c r="E1458" s="66" t="inlineStr">
        <is>
          <t>TikTok</t>
        </is>
      </c>
      <c r="F1458" s="66" t="inlineStr">
        <is>
          <t>LEP_ZA_AUG26_TT_SPARK_RANGE_TRAFFIC</t>
        </is>
      </c>
      <c r="G1458" s="66" t="inlineStr">
        <is>
          <t>Traffic - Spark Ads</t>
        </is>
      </c>
      <c r="H1458" s="66" t="inlineStr">
        <is>
          <t>Range</t>
        </is>
      </c>
      <c r="I1458" s="66" t="inlineStr">
        <is>
          <t>Range Offer</t>
        </is>
      </c>
      <c r="J1458" s="66" t="inlineStr">
        <is>
          <t>TT_SPARK_RMKT_VV_ZA</t>
        </is>
      </c>
      <c r="K1458" s="66" t="inlineStr">
        <is>
          <t>Retargeting</t>
        </is>
      </c>
      <c r="L1458" s="66" t="inlineStr">
        <is>
          <t>TT_RMKT_10s_BookNow_v1</t>
        </is>
      </c>
      <c r="M1458" s="66" t="inlineStr">
        <is>
          <t>Video 9:16</t>
        </is>
      </c>
      <c r="N1458" s="66" t="inlineStr">
        <is>
          <t>You watched. Now drive.</t>
        </is>
      </c>
      <c r="O1458" s="66" t="inlineStr">
        <is>
          <t>Auction - Lowest Cost</t>
        </is>
      </c>
      <c r="P1458" s="66" t="inlineStr">
        <is>
          <t>Landing Page View</t>
        </is>
      </c>
      <c r="Q1458" s="66" t="inlineStr">
        <is>
          <t>https://www.lepas-sa.co.za/book-a-test-drive</t>
        </is>
      </c>
      <c r="R1458" s="121" t="n">
        <v>117</v>
      </c>
      <c r="S1458" s="122" t="n">
        <v>2527</v>
      </c>
      <c r="T1458" s="122" t="n">
        <v>1303</v>
      </c>
      <c r="U1458" s="123">
        <f>IFERROR(S1458/T1458,"")</f>
        <v/>
      </c>
      <c r="V1458" s="122" t="n">
        <v>48</v>
      </c>
      <c r="W1458" s="122" t="n">
        <v>35</v>
      </c>
      <c r="X1458" s="124">
        <f>IFERROR(W1458/S1458,"")</f>
        <v/>
      </c>
      <c r="Y1458" s="121">
        <f>IFERROR(R1458/W1458,"")</f>
        <v/>
      </c>
      <c r="Z1458" s="121">
        <f>IFERROR(R1458/S1458*1000,"")</f>
        <v/>
      </c>
      <c r="AA1458" s="122" t="n">
        <v>24</v>
      </c>
      <c r="AB1458" s="54">
        <f>IFERROR(AA1458/W1458,"")</f>
        <v/>
      </c>
      <c r="AC1458" s="122" t="n">
        <v>651</v>
      </c>
      <c r="AD1458" s="122" t="n">
        <v>374</v>
      </c>
      <c r="AE1458" s="122" t="n">
        <v>344</v>
      </c>
      <c r="AF1458" s="122" t="n">
        <v>206</v>
      </c>
      <c r="AG1458" s="122" t="n">
        <v>141</v>
      </c>
      <c r="AH1458" s="122" t="n">
        <v>96</v>
      </c>
      <c r="AI1458" s="54">
        <f>IFERROR(AC1458/S1458,"")</f>
        <v/>
      </c>
      <c r="AJ1458" s="54">
        <f>IFERROR(AH1458/S1458,"")</f>
        <v/>
      </c>
      <c r="AK1458" s="122" t="n">
        <v>89</v>
      </c>
      <c r="AL1458" s="122" t="n">
        <v>1</v>
      </c>
      <c r="AM1458" s="124">
        <f>IFERROR(AL1458/AA1458,"")</f>
        <v/>
      </c>
      <c r="AN1458" s="125">
        <f>IFERROR(R1458/AL1458,"")</f>
        <v/>
      </c>
      <c r="AO1458" s="122" t="n">
        <v>0</v>
      </c>
      <c r="AP1458" s="54">
        <f>IFERROR(AO1458/AL1458,"")</f>
        <v/>
      </c>
      <c r="AQ1458" s="125">
        <f>IFERROR(R1458/AO1458,"")</f>
        <v/>
      </c>
      <c r="AR1458" s="122" t="n">
        <v>0</v>
      </c>
      <c r="AS1458" s="122" t="n">
        <v>1</v>
      </c>
      <c r="AT1458" s="122">
        <f>AL1458+AR1458</f>
        <v/>
      </c>
      <c r="AU1458" s="125">
        <f>IFERROR(AO1458*Assumptions!$C$26*Assumptions!$C$27*INDEX(Assumptions!$C$18:$C$21,MATCH(H1458,Assumptions!$B$18:$B$21,0)),0)</f>
        <v/>
      </c>
    </row>
    <row r="1459">
      <c r="A1459" s="120" t="n">
        <v>46257</v>
      </c>
      <c r="B1459" s="66" t="inlineStr">
        <is>
          <t>Wk 34</t>
        </is>
      </c>
      <c r="C1459" s="66" t="inlineStr">
        <is>
          <t>Sun</t>
        </is>
      </c>
      <c r="D1459" s="66" t="inlineStr">
        <is>
          <t>TikTok</t>
        </is>
      </c>
      <c r="E1459" s="66" t="inlineStr">
        <is>
          <t>TikTok</t>
        </is>
      </c>
      <c r="F1459" s="66" t="inlineStr">
        <is>
          <t>LEP_ZA_AUG26_TT_SPARK_RANGE_TRAFFIC</t>
        </is>
      </c>
      <c r="G1459" s="66" t="inlineStr">
        <is>
          <t>Traffic - Spark Ads</t>
        </is>
      </c>
      <c r="H1459" s="66" t="inlineStr">
        <is>
          <t>Range</t>
        </is>
      </c>
      <c r="I1459" s="66" t="inlineStr">
        <is>
          <t>Range Offer</t>
        </is>
      </c>
      <c r="J1459" s="66" t="inlineStr">
        <is>
          <t>TT_SPARK_RMKT_VV_ZA</t>
        </is>
      </c>
      <c r="K1459" s="66" t="inlineStr">
        <is>
          <t>Retargeting</t>
        </is>
      </c>
      <c r="L1459" s="66" t="inlineStr">
        <is>
          <t>TT_RMKT_10s_BookNow_v1</t>
        </is>
      </c>
      <c r="M1459" s="66" t="inlineStr">
        <is>
          <t>Video 9:16</t>
        </is>
      </c>
      <c r="N1459" s="66" t="inlineStr">
        <is>
          <t>You watched. Now drive.</t>
        </is>
      </c>
      <c r="O1459" s="66" t="inlineStr">
        <is>
          <t>Auction - Lowest Cost</t>
        </is>
      </c>
      <c r="P1459" s="66" t="inlineStr">
        <is>
          <t>Landing Page View</t>
        </is>
      </c>
      <c r="Q1459" s="66" t="inlineStr">
        <is>
          <t>https://www.lepas-sa.co.za/book-a-test-drive</t>
        </is>
      </c>
      <c r="R1459" s="121" t="n">
        <v>72.56999999999999</v>
      </c>
      <c r="S1459" s="122" t="n">
        <v>1355</v>
      </c>
      <c r="T1459" s="122" t="n">
        <v>897</v>
      </c>
      <c r="U1459" s="123">
        <f>IFERROR(S1459/T1459,"")</f>
        <v/>
      </c>
      <c r="V1459" s="122" t="n">
        <v>28</v>
      </c>
      <c r="W1459" s="122" t="n">
        <v>23</v>
      </c>
      <c r="X1459" s="124">
        <f>IFERROR(W1459/S1459,"")</f>
        <v/>
      </c>
      <c r="Y1459" s="121">
        <f>IFERROR(R1459/W1459,"")</f>
        <v/>
      </c>
      <c r="Z1459" s="121">
        <f>IFERROR(R1459/S1459*1000,"")</f>
        <v/>
      </c>
      <c r="AA1459" s="122" t="n">
        <v>16</v>
      </c>
      <c r="AB1459" s="54">
        <f>IFERROR(AA1459/W1459,"")</f>
        <v/>
      </c>
      <c r="AC1459" s="122" t="n">
        <v>303</v>
      </c>
      <c r="AD1459" s="122" t="n">
        <v>145</v>
      </c>
      <c r="AE1459" s="122" t="n">
        <v>144</v>
      </c>
      <c r="AF1459" s="122" t="n">
        <v>75</v>
      </c>
      <c r="AG1459" s="122" t="n">
        <v>59</v>
      </c>
      <c r="AH1459" s="122" t="n">
        <v>41</v>
      </c>
      <c r="AI1459" s="54">
        <f>IFERROR(AC1459/S1459,"")</f>
        <v/>
      </c>
      <c r="AJ1459" s="54">
        <f>IFERROR(AH1459/S1459,"")</f>
        <v/>
      </c>
      <c r="AK1459" s="122" t="n">
        <v>56</v>
      </c>
      <c r="AL1459" s="122" t="n">
        <v>0</v>
      </c>
      <c r="AM1459" s="124">
        <f>IFERROR(AL1459/AA1459,"")</f>
        <v/>
      </c>
      <c r="AN1459" s="125">
        <f>IFERROR(R1459/AL1459,"")</f>
        <v/>
      </c>
      <c r="AO1459" s="122" t="n">
        <v>0</v>
      </c>
      <c r="AP1459" s="54">
        <f>IFERROR(AO1459/AL1459,"")</f>
        <v/>
      </c>
      <c r="AQ1459" s="125">
        <f>IFERROR(R1459/AO1459,"")</f>
        <v/>
      </c>
      <c r="AR1459" s="122" t="n">
        <v>0</v>
      </c>
      <c r="AS1459" s="122" t="n">
        <v>0</v>
      </c>
      <c r="AT1459" s="122">
        <f>AL1459+AR1459</f>
        <v/>
      </c>
      <c r="AU1459" s="125">
        <f>IFERROR(AO1459*Assumptions!$C$26*Assumptions!$C$27*INDEX(Assumptions!$C$18:$C$21,MATCH(H1459,Assumptions!$B$18:$B$21,0)),0)</f>
        <v/>
      </c>
    </row>
    <row r="1460">
      <c r="A1460" s="120" t="n">
        <v>46258</v>
      </c>
      <c r="B1460" s="66" t="inlineStr">
        <is>
          <t>Wk 35</t>
        </is>
      </c>
      <c r="C1460" s="66" t="inlineStr">
        <is>
          <t>Mon</t>
        </is>
      </c>
      <c r="D1460" s="66" t="inlineStr">
        <is>
          <t>TikTok</t>
        </is>
      </c>
      <c r="E1460" s="66" t="inlineStr">
        <is>
          <t>TikTok</t>
        </is>
      </c>
      <c r="F1460" s="66" t="inlineStr">
        <is>
          <t>LEP_ZA_AUG26_TT_SPARK_RANGE_TRAFFIC</t>
        </is>
      </c>
      <c r="G1460" s="66" t="inlineStr">
        <is>
          <t>Traffic - Spark Ads</t>
        </is>
      </c>
      <c r="H1460" s="66" t="inlineStr">
        <is>
          <t>Range</t>
        </is>
      </c>
      <c r="I1460" s="66" t="inlineStr">
        <is>
          <t>Range Offer</t>
        </is>
      </c>
      <c r="J1460" s="66" t="inlineStr">
        <is>
          <t>TT_SPARK_RMKT_VV_ZA</t>
        </is>
      </c>
      <c r="K1460" s="66" t="inlineStr">
        <is>
          <t>Retargeting</t>
        </is>
      </c>
      <c r="L1460" s="66" t="inlineStr">
        <is>
          <t>TT_RMKT_10s_BookNow_v1</t>
        </is>
      </c>
      <c r="M1460" s="66" t="inlineStr">
        <is>
          <t>Video 9:16</t>
        </is>
      </c>
      <c r="N1460" s="66" t="inlineStr">
        <is>
          <t>You watched. Now drive.</t>
        </is>
      </c>
      <c r="O1460" s="66" t="inlineStr">
        <is>
          <t>Auction - Lowest Cost</t>
        </is>
      </c>
      <c r="P1460" s="66" t="inlineStr">
        <is>
          <t>Landing Page View</t>
        </is>
      </c>
      <c r="Q1460" s="66" t="inlineStr">
        <is>
          <t>https://www.lepas-sa.co.za/book-a-test-drive</t>
        </is>
      </c>
      <c r="R1460" s="121" t="n">
        <v>95.18000000000001</v>
      </c>
      <c r="S1460" s="122" t="n">
        <v>2053</v>
      </c>
      <c r="T1460" s="122" t="n">
        <v>1023</v>
      </c>
      <c r="U1460" s="123">
        <f>IFERROR(S1460/T1460,"")</f>
        <v/>
      </c>
      <c r="V1460" s="122" t="n">
        <v>39</v>
      </c>
      <c r="W1460" s="122" t="n">
        <v>33</v>
      </c>
      <c r="X1460" s="124">
        <f>IFERROR(W1460/S1460,"")</f>
        <v/>
      </c>
      <c r="Y1460" s="121">
        <f>IFERROR(R1460/W1460,"")</f>
        <v/>
      </c>
      <c r="Z1460" s="121">
        <f>IFERROR(R1460/S1460*1000,"")</f>
        <v/>
      </c>
      <c r="AA1460" s="122" t="n">
        <v>22</v>
      </c>
      <c r="AB1460" s="54">
        <f>IFERROR(AA1460/W1460,"")</f>
        <v/>
      </c>
      <c r="AC1460" s="122" t="n">
        <v>725</v>
      </c>
      <c r="AD1460" s="122" t="n">
        <v>366</v>
      </c>
      <c r="AE1460" s="122" t="n">
        <v>279</v>
      </c>
      <c r="AF1460" s="122" t="n">
        <v>154</v>
      </c>
      <c r="AG1460" s="122" t="n">
        <v>116</v>
      </c>
      <c r="AH1460" s="122" t="n">
        <v>69</v>
      </c>
      <c r="AI1460" s="54">
        <f>IFERROR(AC1460/S1460,"")</f>
        <v/>
      </c>
      <c r="AJ1460" s="54">
        <f>IFERROR(AH1460/S1460,"")</f>
        <v/>
      </c>
      <c r="AK1460" s="122" t="n">
        <v>53</v>
      </c>
      <c r="AL1460" s="122" t="n">
        <v>1</v>
      </c>
      <c r="AM1460" s="124">
        <f>IFERROR(AL1460/AA1460,"")</f>
        <v/>
      </c>
      <c r="AN1460" s="125">
        <f>IFERROR(R1460/AL1460,"")</f>
        <v/>
      </c>
      <c r="AO1460" s="122" t="n">
        <v>0</v>
      </c>
      <c r="AP1460" s="54">
        <f>IFERROR(AO1460/AL1460,"")</f>
        <v/>
      </c>
      <c r="AQ1460" s="125">
        <f>IFERROR(R1460/AO1460,"")</f>
        <v/>
      </c>
      <c r="AR1460" s="122" t="n">
        <v>0</v>
      </c>
      <c r="AS1460" s="122" t="n">
        <v>0</v>
      </c>
      <c r="AT1460" s="122">
        <f>AL1460+AR1460</f>
        <v/>
      </c>
      <c r="AU1460" s="125">
        <f>IFERROR(AO1460*Assumptions!$C$26*Assumptions!$C$27*INDEX(Assumptions!$C$18:$C$21,MATCH(H1460,Assumptions!$B$18:$B$21,0)),0)</f>
        <v/>
      </c>
    </row>
    <row r="1461">
      <c r="A1461" s="120" t="n">
        <v>46259</v>
      </c>
      <c r="B1461" s="66" t="inlineStr">
        <is>
          <t>Wk 35</t>
        </is>
      </c>
      <c r="C1461" s="66" t="inlineStr">
        <is>
          <t>Tue</t>
        </is>
      </c>
      <c r="D1461" s="66" t="inlineStr">
        <is>
          <t>TikTok</t>
        </is>
      </c>
      <c r="E1461" s="66" t="inlineStr">
        <is>
          <t>TikTok</t>
        </is>
      </c>
      <c r="F1461" s="66" t="inlineStr">
        <is>
          <t>LEP_ZA_AUG26_TT_SPARK_RANGE_TRAFFIC</t>
        </is>
      </c>
      <c r="G1461" s="66" t="inlineStr">
        <is>
          <t>Traffic - Spark Ads</t>
        </is>
      </c>
      <c r="H1461" s="66" t="inlineStr">
        <is>
          <t>Range</t>
        </is>
      </c>
      <c r="I1461" s="66" t="inlineStr">
        <is>
          <t>Range Offer</t>
        </is>
      </c>
      <c r="J1461" s="66" t="inlineStr">
        <is>
          <t>TT_SPARK_RMKT_VV_ZA</t>
        </is>
      </c>
      <c r="K1461" s="66" t="inlineStr">
        <is>
          <t>Retargeting</t>
        </is>
      </c>
      <c r="L1461" s="66" t="inlineStr">
        <is>
          <t>TT_RMKT_10s_BookNow_v1</t>
        </is>
      </c>
      <c r="M1461" s="66" t="inlineStr">
        <is>
          <t>Video 9:16</t>
        </is>
      </c>
      <c r="N1461" s="66" t="inlineStr">
        <is>
          <t>You watched. Now drive.</t>
        </is>
      </c>
      <c r="O1461" s="66" t="inlineStr">
        <is>
          <t>Auction - Lowest Cost</t>
        </is>
      </c>
      <c r="P1461" s="66" t="inlineStr">
        <is>
          <t>Landing Page View</t>
        </is>
      </c>
      <c r="Q1461" s="66" t="inlineStr">
        <is>
          <t>https://www.lepas-sa.co.za/book-a-test-drive</t>
        </is>
      </c>
      <c r="R1461" s="121" t="n">
        <v>76.72</v>
      </c>
      <c r="S1461" s="122" t="n">
        <v>1665</v>
      </c>
      <c r="T1461" s="122" t="n">
        <v>866</v>
      </c>
      <c r="U1461" s="123">
        <f>IFERROR(S1461/T1461,"")</f>
        <v/>
      </c>
      <c r="V1461" s="122" t="n">
        <v>31</v>
      </c>
      <c r="W1461" s="122" t="n">
        <v>22</v>
      </c>
      <c r="X1461" s="124">
        <f>IFERROR(W1461/S1461,"")</f>
        <v/>
      </c>
      <c r="Y1461" s="121">
        <f>IFERROR(R1461/W1461,"")</f>
        <v/>
      </c>
      <c r="Z1461" s="121">
        <f>IFERROR(R1461/S1461*1000,"")</f>
        <v/>
      </c>
      <c r="AA1461" s="122" t="n">
        <v>15</v>
      </c>
      <c r="AB1461" s="54">
        <f>IFERROR(AA1461/W1461,"")</f>
        <v/>
      </c>
      <c r="AC1461" s="122" t="n">
        <v>536</v>
      </c>
      <c r="AD1461" s="122" t="n">
        <v>283</v>
      </c>
      <c r="AE1461" s="122" t="n">
        <v>230</v>
      </c>
      <c r="AF1461" s="122" t="n">
        <v>136</v>
      </c>
      <c r="AG1461" s="122" t="n">
        <v>88</v>
      </c>
      <c r="AH1461" s="122" t="n">
        <v>61</v>
      </c>
      <c r="AI1461" s="54">
        <f>IFERROR(AC1461/S1461,"")</f>
        <v/>
      </c>
      <c r="AJ1461" s="54">
        <f>IFERROR(AH1461/S1461,"")</f>
        <v/>
      </c>
      <c r="AK1461" s="122" t="n">
        <v>56</v>
      </c>
      <c r="AL1461" s="122" t="n">
        <v>0</v>
      </c>
      <c r="AM1461" s="124">
        <f>IFERROR(AL1461/AA1461,"")</f>
        <v/>
      </c>
      <c r="AN1461" s="125">
        <f>IFERROR(R1461/AL1461,"")</f>
        <v/>
      </c>
      <c r="AO1461" s="122" t="n">
        <v>0</v>
      </c>
      <c r="AP1461" s="54">
        <f>IFERROR(AO1461/AL1461,"")</f>
        <v/>
      </c>
      <c r="AQ1461" s="125">
        <f>IFERROR(R1461/AO1461,"")</f>
        <v/>
      </c>
      <c r="AR1461" s="122" t="n">
        <v>0</v>
      </c>
      <c r="AS1461" s="122" t="n">
        <v>0</v>
      </c>
      <c r="AT1461" s="122">
        <f>AL1461+AR1461</f>
        <v/>
      </c>
      <c r="AU1461" s="125">
        <f>IFERROR(AO1461*Assumptions!$C$26*Assumptions!$C$27*INDEX(Assumptions!$C$18:$C$21,MATCH(H1461,Assumptions!$B$18:$B$21,0)),0)</f>
        <v/>
      </c>
    </row>
    <row r="1462">
      <c r="A1462" s="120" t="n">
        <v>46260</v>
      </c>
      <c r="B1462" s="66" t="inlineStr">
        <is>
          <t>Wk 35</t>
        </is>
      </c>
      <c r="C1462" s="66" t="inlineStr">
        <is>
          <t>Wed</t>
        </is>
      </c>
      <c r="D1462" s="66" t="inlineStr">
        <is>
          <t>TikTok</t>
        </is>
      </c>
      <c r="E1462" s="66" t="inlineStr">
        <is>
          <t>TikTok</t>
        </is>
      </c>
      <c r="F1462" s="66" t="inlineStr">
        <is>
          <t>LEP_ZA_AUG26_TT_SPARK_RANGE_TRAFFIC</t>
        </is>
      </c>
      <c r="G1462" s="66" t="inlineStr">
        <is>
          <t>Traffic - Spark Ads</t>
        </is>
      </c>
      <c r="H1462" s="66" t="inlineStr">
        <is>
          <t>Range</t>
        </is>
      </c>
      <c r="I1462" s="66" t="inlineStr">
        <is>
          <t>Range Offer</t>
        </is>
      </c>
      <c r="J1462" s="66" t="inlineStr">
        <is>
          <t>TT_SPARK_RMKT_VV_ZA</t>
        </is>
      </c>
      <c r="K1462" s="66" t="inlineStr">
        <is>
          <t>Retargeting</t>
        </is>
      </c>
      <c r="L1462" s="66" t="inlineStr">
        <is>
          <t>TT_RMKT_10s_BookNow_v1</t>
        </is>
      </c>
      <c r="M1462" s="66" t="inlineStr">
        <is>
          <t>Video 9:16</t>
        </is>
      </c>
      <c r="N1462" s="66" t="inlineStr">
        <is>
          <t>You watched. Now drive.</t>
        </is>
      </c>
      <c r="O1462" s="66" t="inlineStr">
        <is>
          <t>Auction - Lowest Cost</t>
        </is>
      </c>
      <c r="P1462" s="66" t="inlineStr">
        <is>
          <t>Landing Page View</t>
        </is>
      </c>
      <c r="Q1462" s="66" t="inlineStr">
        <is>
          <t>https://www.lepas-sa.co.za/book-a-test-drive</t>
        </is>
      </c>
      <c r="R1462" s="121" t="n">
        <v>98.76000000000001</v>
      </c>
      <c r="S1462" s="122" t="n">
        <v>2617</v>
      </c>
      <c r="T1462" s="122" t="n">
        <v>1237</v>
      </c>
      <c r="U1462" s="123">
        <f>IFERROR(S1462/T1462,"")</f>
        <v/>
      </c>
      <c r="V1462" s="122" t="n">
        <v>26</v>
      </c>
      <c r="W1462" s="122" t="n">
        <v>20</v>
      </c>
      <c r="X1462" s="124">
        <f>IFERROR(W1462/S1462,"")</f>
        <v/>
      </c>
      <c r="Y1462" s="121">
        <f>IFERROR(R1462/W1462,"")</f>
        <v/>
      </c>
      <c r="Z1462" s="121">
        <f>IFERROR(R1462/S1462*1000,"")</f>
        <v/>
      </c>
      <c r="AA1462" s="122" t="n">
        <v>13</v>
      </c>
      <c r="AB1462" s="54">
        <f>IFERROR(AA1462/W1462,"")</f>
        <v/>
      </c>
      <c r="AC1462" s="122" t="n">
        <v>907</v>
      </c>
      <c r="AD1462" s="122" t="n">
        <v>534</v>
      </c>
      <c r="AE1462" s="122" t="n">
        <v>457</v>
      </c>
      <c r="AF1462" s="122" t="n">
        <v>323</v>
      </c>
      <c r="AG1462" s="122" t="n">
        <v>225</v>
      </c>
      <c r="AH1462" s="122" t="n">
        <v>138</v>
      </c>
      <c r="AI1462" s="54">
        <f>IFERROR(AC1462/S1462,"")</f>
        <v/>
      </c>
      <c r="AJ1462" s="54">
        <f>IFERROR(AH1462/S1462,"")</f>
        <v/>
      </c>
      <c r="AK1462" s="122" t="n">
        <v>124</v>
      </c>
      <c r="AL1462" s="122" t="n">
        <v>0</v>
      </c>
      <c r="AM1462" s="124">
        <f>IFERROR(AL1462/AA1462,"")</f>
        <v/>
      </c>
      <c r="AN1462" s="125">
        <f>IFERROR(R1462/AL1462,"")</f>
        <v/>
      </c>
      <c r="AO1462" s="122" t="n">
        <v>0</v>
      </c>
      <c r="AP1462" s="54">
        <f>IFERROR(AO1462/AL1462,"")</f>
        <v/>
      </c>
      <c r="AQ1462" s="125">
        <f>IFERROR(R1462/AO1462,"")</f>
        <v/>
      </c>
      <c r="AR1462" s="122" t="n">
        <v>0</v>
      </c>
      <c r="AS1462" s="122" t="n">
        <v>0</v>
      </c>
      <c r="AT1462" s="122">
        <f>AL1462+AR1462</f>
        <v/>
      </c>
      <c r="AU1462" s="125">
        <f>IFERROR(AO1462*Assumptions!$C$26*Assumptions!$C$27*INDEX(Assumptions!$C$18:$C$21,MATCH(H1462,Assumptions!$B$18:$B$21,0)),0)</f>
        <v/>
      </c>
    </row>
    <row r="1463">
      <c r="A1463" s="120" t="n">
        <v>46261</v>
      </c>
      <c r="B1463" s="66" t="inlineStr">
        <is>
          <t>Wk 35</t>
        </is>
      </c>
      <c r="C1463" s="66" t="inlineStr">
        <is>
          <t>Thu</t>
        </is>
      </c>
      <c r="D1463" s="66" t="inlineStr">
        <is>
          <t>TikTok</t>
        </is>
      </c>
      <c r="E1463" s="66" t="inlineStr">
        <is>
          <t>TikTok</t>
        </is>
      </c>
      <c r="F1463" s="66" t="inlineStr">
        <is>
          <t>LEP_ZA_AUG26_TT_SPARK_RANGE_TRAFFIC</t>
        </is>
      </c>
      <c r="G1463" s="66" t="inlineStr">
        <is>
          <t>Traffic - Spark Ads</t>
        </is>
      </c>
      <c r="H1463" s="66" t="inlineStr">
        <is>
          <t>Range</t>
        </is>
      </c>
      <c r="I1463" s="66" t="inlineStr">
        <is>
          <t>Range Offer</t>
        </is>
      </c>
      <c r="J1463" s="66" t="inlineStr">
        <is>
          <t>TT_SPARK_RMKT_VV_ZA</t>
        </is>
      </c>
      <c r="K1463" s="66" t="inlineStr">
        <is>
          <t>Retargeting</t>
        </is>
      </c>
      <c r="L1463" s="66" t="inlineStr">
        <is>
          <t>TT_RMKT_10s_BookNow_v1</t>
        </is>
      </c>
      <c r="M1463" s="66" t="inlineStr">
        <is>
          <t>Video 9:16</t>
        </is>
      </c>
      <c r="N1463" s="66" t="inlineStr">
        <is>
          <t>You watched. Now drive.</t>
        </is>
      </c>
      <c r="O1463" s="66" t="inlineStr">
        <is>
          <t>Auction - Lowest Cost</t>
        </is>
      </c>
      <c r="P1463" s="66" t="inlineStr">
        <is>
          <t>Landing Page View</t>
        </is>
      </c>
      <c r="Q1463" s="66" t="inlineStr">
        <is>
          <t>https://www.lepas-sa.co.za/book-a-test-drive</t>
        </is>
      </c>
      <c r="R1463" s="121" t="n">
        <v>99.08</v>
      </c>
      <c r="S1463" s="122" t="n">
        <v>1871</v>
      </c>
      <c r="T1463" s="122" t="n">
        <v>834</v>
      </c>
      <c r="U1463" s="123">
        <f>IFERROR(S1463/T1463,"")</f>
        <v/>
      </c>
      <c r="V1463" s="122" t="n">
        <v>31</v>
      </c>
      <c r="W1463" s="122" t="n">
        <v>23</v>
      </c>
      <c r="X1463" s="124">
        <f>IFERROR(W1463/S1463,"")</f>
        <v/>
      </c>
      <c r="Y1463" s="121">
        <f>IFERROR(R1463/W1463,"")</f>
        <v/>
      </c>
      <c r="Z1463" s="121">
        <f>IFERROR(R1463/S1463*1000,"")</f>
        <v/>
      </c>
      <c r="AA1463" s="122" t="n">
        <v>14</v>
      </c>
      <c r="AB1463" s="54">
        <f>IFERROR(AA1463/W1463,"")</f>
        <v/>
      </c>
      <c r="AC1463" s="122" t="n">
        <v>635</v>
      </c>
      <c r="AD1463" s="122" t="n">
        <v>357</v>
      </c>
      <c r="AE1463" s="122" t="n">
        <v>234</v>
      </c>
      <c r="AF1463" s="122" t="n">
        <v>146</v>
      </c>
      <c r="AG1463" s="122" t="n">
        <v>101</v>
      </c>
      <c r="AH1463" s="122" t="n">
        <v>56</v>
      </c>
      <c r="AI1463" s="54">
        <f>IFERROR(AC1463/S1463,"")</f>
        <v/>
      </c>
      <c r="AJ1463" s="54">
        <f>IFERROR(AH1463/S1463,"")</f>
        <v/>
      </c>
      <c r="AK1463" s="122" t="n">
        <v>66</v>
      </c>
      <c r="AL1463" s="122" t="n">
        <v>0</v>
      </c>
      <c r="AM1463" s="124">
        <f>IFERROR(AL1463/AA1463,"")</f>
        <v/>
      </c>
      <c r="AN1463" s="125">
        <f>IFERROR(R1463/AL1463,"")</f>
        <v/>
      </c>
      <c r="AO1463" s="122" t="n">
        <v>0</v>
      </c>
      <c r="AP1463" s="54">
        <f>IFERROR(AO1463/AL1463,"")</f>
        <v/>
      </c>
      <c r="AQ1463" s="125">
        <f>IFERROR(R1463/AO1463,"")</f>
        <v/>
      </c>
      <c r="AR1463" s="122" t="n">
        <v>0</v>
      </c>
      <c r="AS1463" s="122" t="n">
        <v>0</v>
      </c>
      <c r="AT1463" s="122">
        <f>AL1463+AR1463</f>
        <v/>
      </c>
      <c r="AU1463" s="125">
        <f>IFERROR(AO1463*Assumptions!$C$26*Assumptions!$C$27*INDEX(Assumptions!$C$18:$C$21,MATCH(H1463,Assumptions!$B$18:$B$21,0)),0)</f>
        <v/>
      </c>
    </row>
    <row r="1464">
      <c r="A1464" s="120" t="n">
        <v>46262</v>
      </c>
      <c r="B1464" s="66" t="inlineStr">
        <is>
          <t>Wk 35</t>
        </is>
      </c>
      <c r="C1464" s="66" t="inlineStr">
        <is>
          <t>Fri</t>
        </is>
      </c>
      <c r="D1464" s="66" t="inlineStr">
        <is>
          <t>TikTok</t>
        </is>
      </c>
      <c r="E1464" s="66" t="inlineStr">
        <is>
          <t>TikTok</t>
        </is>
      </c>
      <c r="F1464" s="66" t="inlineStr">
        <is>
          <t>LEP_ZA_AUG26_TT_SPARK_RANGE_TRAFFIC</t>
        </is>
      </c>
      <c r="G1464" s="66" t="inlineStr">
        <is>
          <t>Traffic - Spark Ads</t>
        </is>
      </c>
      <c r="H1464" s="66" t="inlineStr">
        <is>
          <t>Range</t>
        </is>
      </c>
      <c r="I1464" s="66" t="inlineStr">
        <is>
          <t>Range Offer</t>
        </is>
      </c>
      <c r="J1464" s="66" t="inlineStr">
        <is>
          <t>TT_SPARK_RMKT_VV_ZA</t>
        </is>
      </c>
      <c r="K1464" s="66" t="inlineStr">
        <is>
          <t>Retargeting</t>
        </is>
      </c>
      <c r="L1464" s="66" t="inlineStr">
        <is>
          <t>TT_RMKT_10s_BookNow_v1</t>
        </is>
      </c>
      <c r="M1464" s="66" t="inlineStr">
        <is>
          <t>Video 9:16</t>
        </is>
      </c>
      <c r="N1464" s="66" t="inlineStr">
        <is>
          <t>You watched. Now drive.</t>
        </is>
      </c>
      <c r="O1464" s="66" t="inlineStr">
        <is>
          <t>Auction - Lowest Cost</t>
        </is>
      </c>
      <c r="P1464" s="66" t="inlineStr">
        <is>
          <t>Landing Page View</t>
        </is>
      </c>
      <c r="Q1464" s="66" t="inlineStr">
        <is>
          <t>https://www.lepas-sa.co.za/book-a-test-drive</t>
        </is>
      </c>
      <c r="R1464" s="121" t="n">
        <v>137.76</v>
      </c>
      <c r="S1464" s="122" t="n">
        <v>2931</v>
      </c>
      <c r="T1464" s="122" t="n">
        <v>1683</v>
      </c>
      <c r="U1464" s="123">
        <f>IFERROR(S1464/T1464,"")</f>
        <v/>
      </c>
      <c r="V1464" s="122" t="n">
        <v>67</v>
      </c>
      <c r="W1464" s="122" t="n">
        <v>55</v>
      </c>
      <c r="X1464" s="124">
        <f>IFERROR(W1464/S1464,"")</f>
        <v/>
      </c>
      <c r="Y1464" s="121">
        <f>IFERROR(R1464/W1464,"")</f>
        <v/>
      </c>
      <c r="Z1464" s="121">
        <f>IFERROR(R1464/S1464*1000,"")</f>
        <v/>
      </c>
      <c r="AA1464" s="122" t="n">
        <v>38</v>
      </c>
      <c r="AB1464" s="54">
        <f>IFERROR(AA1464/W1464,"")</f>
        <v/>
      </c>
      <c r="AC1464" s="122" t="n">
        <v>797</v>
      </c>
      <c r="AD1464" s="122" t="n">
        <v>381</v>
      </c>
      <c r="AE1464" s="122" t="n">
        <v>398</v>
      </c>
      <c r="AF1464" s="122" t="n">
        <v>232</v>
      </c>
      <c r="AG1464" s="122" t="n">
        <v>164</v>
      </c>
      <c r="AH1464" s="122" t="n">
        <v>103</v>
      </c>
      <c r="AI1464" s="54">
        <f>IFERROR(AC1464/S1464,"")</f>
        <v/>
      </c>
      <c r="AJ1464" s="54">
        <f>IFERROR(AH1464/S1464,"")</f>
        <v/>
      </c>
      <c r="AK1464" s="122" t="n">
        <v>87</v>
      </c>
      <c r="AL1464" s="122" t="n">
        <v>1</v>
      </c>
      <c r="AM1464" s="124">
        <f>IFERROR(AL1464/AA1464,"")</f>
        <v/>
      </c>
      <c r="AN1464" s="125">
        <f>IFERROR(R1464/AL1464,"")</f>
        <v/>
      </c>
      <c r="AO1464" s="122" t="n">
        <v>0</v>
      </c>
      <c r="AP1464" s="54">
        <f>IFERROR(AO1464/AL1464,"")</f>
        <v/>
      </c>
      <c r="AQ1464" s="125">
        <f>IFERROR(R1464/AO1464,"")</f>
        <v/>
      </c>
      <c r="AR1464" s="122" t="n">
        <v>1</v>
      </c>
      <c r="AS1464" s="122" t="n">
        <v>1</v>
      </c>
      <c r="AT1464" s="122">
        <f>AL1464+AR1464</f>
        <v/>
      </c>
      <c r="AU1464" s="125">
        <f>IFERROR(AO1464*Assumptions!$C$26*Assumptions!$C$27*INDEX(Assumptions!$C$18:$C$21,MATCH(H1464,Assumptions!$B$18:$B$21,0)),0)</f>
        <v/>
      </c>
    </row>
    <row r="1465">
      <c r="A1465" s="120" t="n">
        <v>46263</v>
      </c>
      <c r="B1465" s="66" t="inlineStr">
        <is>
          <t>Wk 35</t>
        </is>
      </c>
      <c r="C1465" s="66" t="inlineStr">
        <is>
          <t>Sat</t>
        </is>
      </c>
      <c r="D1465" s="66" t="inlineStr">
        <is>
          <t>TikTok</t>
        </is>
      </c>
      <c r="E1465" s="66" t="inlineStr">
        <is>
          <t>TikTok</t>
        </is>
      </c>
      <c r="F1465" s="66" t="inlineStr">
        <is>
          <t>LEP_ZA_AUG26_TT_SPARK_RANGE_TRAFFIC</t>
        </is>
      </c>
      <c r="G1465" s="66" t="inlineStr">
        <is>
          <t>Traffic - Spark Ads</t>
        </is>
      </c>
      <c r="H1465" s="66" t="inlineStr">
        <is>
          <t>Range</t>
        </is>
      </c>
      <c r="I1465" s="66" t="inlineStr">
        <is>
          <t>Range Offer</t>
        </is>
      </c>
      <c r="J1465" s="66" t="inlineStr">
        <is>
          <t>TT_SPARK_RMKT_VV_ZA</t>
        </is>
      </c>
      <c r="K1465" s="66" t="inlineStr">
        <is>
          <t>Retargeting</t>
        </is>
      </c>
      <c r="L1465" s="66" t="inlineStr">
        <is>
          <t>TT_RMKT_10s_BookNow_v1</t>
        </is>
      </c>
      <c r="M1465" s="66" t="inlineStr">
        <is>
          <t>Video 9:16</t>
        </is>
      </c>
      <c r="N1465" s="66" t="inlineStr">
        <is>
          <t>You watched. Now drive.</t>
        </is>
      </c>
      <c r="O1465" s="66" t="inlineStr">
        <is>
          <t>Auction - Lowest Cost</t>
        </is>
      </c>
      <c r="P1465" s="66" t="inlineStr">
        <is>
          <t>Landing Page View</t>
        </is>
      </c>
      <c r="Q1465" s="66" t="inlineStr">
        <is>
          <t>https://www.lepas-sa.co.za/book-a-test-drive</t>
        </is>
      </c>
      <c r="R1465" s="121" t="n">
        <v>135.13</v>
      </c>
      <c r="S1465" s="122" t="n">
        <v>2123</v>
      </c>
      <c r="T1465" s="122" t="n">
        <v>1011</v>
      </c>
      <c r="U1465" s="123">
        <f>IFERROR(S1465/T1465,"")</f>
        <v/>
      </c>
      <c r="V1465" s="122" t="n">
        <v>26</v>
      </c>
      <c r="W1465" s="122" t="n">
        <v>21</v>
      </c>
      <c r="X1465" s="124">
        <f>IFERROR(W1465/S1465,"")</f>
        <v/>
      </c>
      <c r="Y1465" s="121">
        <f>IFERROR(R1465/W1465,"")</f>
        <v/>
      </c>
      <c r="Z1465" s="121">
        <f>IFERROR(R1465/S1465*1000,"")</f>
        <v/>
      </c>
      <c r="AA1465" s="122" t="n">
        <v>14</v>
      </c>
      <c r="AB1465" s="54">
        <f>IFERROR(AA1465/W1465,"")</f>
        <v/>
      </c>
      <c r="AC1465" s="122" t="n">
        <v>684</v>
      </c>
      <c r="AD1465" s="122" t="n">
        <v>347</v>
      </c>
      <c r="AE1465" s="122" t="n">
        <v>354</v>
      </c>
      <c r="AF1465" s="122" t="n">
        <v>239</v>
      </c>
      <c r="AG1465" s="122" t="n">
        <v>160</v>
      </c>
      <c r="AH1465" s="122" t="n">
        <v>102</v>
      </c>
      <c r="AI1465" s="54">
        <f>IFERROR(AC1465/S1465,"")</f>
        <v/>
      </c>
      <c r="AJ1465" s="54">
        <f>IFERROR(AH1465/S1465,"")</f>
        <v/>
      </c>
      <c r="AK1465" s="122" t="n">
        <v>49</v>
      </c>
      <c r="AL1465" s="122" t="n">
        <v>0</v>
      </c>
      <c r="AM1465" s="124">
        <f>IFERROR(AL1465/AA1465,"")</f>
        <v/>
      </c>
      <c r="AN1465" s="125">
        <f>IFERROR(R1465/AL1465,"")</f>
        <v/>
      </c>
      <c r="AO1465" s="122" t="n">
        <v>0</v>
      </c>
      <c r="AP1465" s="54">
        <f>IFERROR(AO1465/AL1465,"")</f>
        <v/>
      </c>
      <c r="AQ1465" s="125">
        <f>IFERROR(R1465/AO1465,"")</f>
        <v/>
      </c>
      <c r="AR1465" s="122" t="n">
        <v>0</v>
      </c>
      <c r="AS1465" s="122" t="n">
        <v>0</v>
      </c>
      <c r="AT1465" s="122">
        <f>AL1465+AR1465</f>
        <v/>
      </c>
      <c r="AU1465" s="125">
        <f>IFERROR(AO1465*Assumptions!$C$26*Assumptions!$C$27*INDEX(Assumptions!$C$18:$C$21,MATCH(H1465,Assumptions!$B$18:$B$21,0)),0)</f>
        <v/>
      </c>
    </row>
    <row r="1466">
      <c r="A1466" s="120" t="n">
        <v>46264</v>
      </c>
      <c r="B1466" s="66" t="inlineStr">
        <is>
          <t>Wk 35</t>
        </is>
      </c>
      <c r="C1466" s="66" t="inlineStr">
        <is>
          <t>Sun</t>
        </is>
      </c>
      <c r="D1466" s="66" t="inlineStr">
        <is>
          <t>TikTok</t>
        </is>
      </c>
      <c r="E1466" s="66" t="inlineStr">
        <is>
          <t>TikTok</t>
        </is>
      </c>
      <c r="F1466" s="66" t="inlineStr">
        <is>
          <t>LEP_ZA_AUG26_TT_SPARK_RANGE_TRAFFIC</t>
        </is>
      </c>
      <c r="G1466" s="66" t="inlineStr">
        <is>
          <t>Traffic - Spark Ads</t>
        </is>
      </c>
      <c r="H1466" s="66" t="inlineStr">
        <is>
          <t>Range</t>
        </is>
      </c>
      <c r="I1466" s="66" t="inlineStr">
        <is>
          <t>Range Offer</t>
        </is>
      </c>
      <c r="J1466" s="66" t="inlineStr">
        <is>
          <t>TT_SPARK_RMKT_VV_ZA</t>
        </is>
      </c>
      <c r="K1466" s="66" t="inlineStr">
        <is>
          <t>Retargeting</t>
        </is>
      </c>
      <c r="L1466" s="66" t="inlineStr">
        <is>
          <t>TT_RMKT_10s_BookNow_v1</t>
        </is>
      </c>
      <c r="M1466" s="66" t="inlineStr">
        <is>
          <t>Video 9:16</t>
        </is>
      </c>
      <c r="N1466" s="66" t="inlineStr">
        <is>
          <t>You watched. Now drive.</t>
        </is>
      </c>
      <c r="O1466" s="66" t="inlineStr">
        <is>
          <t>Auction - Lowest Cost</t>
        </is>
      </c>
      <c r="P1466" s="66" t="inlineStr">
        <is>
          <t>Landing Page View</t>
        </is>
      </c>
      <c r="Q1466" s="66" t="inlineStr">
        <is>
          <t>https://www.lepas-sa.co.za/book-a-test-drive</t>
        </is>
      </c>
      <c r="R1466" s="121" t="n">
        <v>80.09999999999999</v>
      </c>
      <c r="S1466" s="122" t="n">
        <v>1594</v>
      </c>
      <c r="T1466" s="122" t="n">
        <v>818</v>
      </c>
      <c r="U1466" s="123">
        <f>IFERROR(S1466/T1466,"")</f>
        <v/>
      </c>
      <c r="V1466" s="122" t="n">
        <v>18</v>
      </c>
      <c r="W1466" s="122" t="n">
        <v>14</v>
      </c>
      <c r="X1466" s="124">
        <f>IFERROR(W1466/S1466,"")</f>
        <v/>
      </c>
      <c r="Y1466" s="121">
        <f>IFERROR(R1466/W1466,"")</f>
        <v/>
      </c>
      <c r="Z1466" s="121">
        <f>IFERROR(R1466/S1466*1000,"")</f>
        <v/>
      </c>
      <c r="AA1466" s="122" t="n">
        <v>10</v>
      </c>
      <c r="AB1466" s="54">
        <f>IFERROR(AA1466/W1466,"")</f>
        <v/>
      </c>
      <c r="AC1466" s="122" t="n">
        <v>409</v>
      </c>
      <c r="AD1466" s="122" t="n">
        <v>183</v>
      </c>
      <c r="AE1466" s="122" t="n">
        <v>195</v>
      </c>
      <c r="AF1466" s="122" t="n">
        <v>134</v>
      </c>
      <c r="AG1466" s="122" t="n">
        <v>95</v>
      </c>
      <c r="AH1466" s="122" t="n">
        <v>70</v>
      </c>
      <c r="AI1466" s="54">
        <f>IFERROR(AC1466/S1466,"")</f>
        <v/>
      </c>
      <c r="AJ1466" s="54">
        <f>IFERROR(AH1466/S1466,"")</f>
        <v/>
      </c>
      <c r="AK1466" s="122" t="n">
        <v>68</v>
      </c>
      <c r="AL1466" s="122" t="n">
        <v>0</v>
      </c>
      <c r="AM1466" s="124">
        <f>IFERROR(AL1466/AA1466,"")</f>
        <v/>
      </c>
      <c r="AN1466" s="125">
        <f>IFERROR(R1466/AL1466,"")</f>
        <v/>
      </c>
      <c r="AO1466" s="122" t="n">
        <v>0</v>
      </c>
      <c r="AP1466" s="54">
        <f>IFERROR(AO1466/AL1466,"")</f>
        <v/>
      </c>
      <c r="AQ1466" s="125">
        <f>IFERROR(R1466/AO1466,"")</f>
        <v/>
      </c>
      <c r="AR1466" s="122" t="n">
        <v>0</v>
      </c>
      <c r="AS1466" s="122" t="n">
        <v>0</v>
      </c>
      <c r="AT1466" s="122">
        <f>AL1466+AR1466</f>
        <v/>
      </c>
      <c r="AU1466" s="125">
        <f>IFERROR(AO1466*Assumptions!$C$26*Assumptions!$C$27*INDEX(Assumptions!$C$18:$C$21,MATCH(H1466,Assumptions!$B$18:$B$21,0)),0)</f>
        <v/>
      </c>
    </row>
    <row r="1467">
      <c r="A1467" s="120" t="n">
        <v>46265</v>
      </c>
      <c r="B1467" s="66" t="inlineStr">
        <is>
          <t>Wk 36</t>
        </is>
      </c>
      <c r="C1467" s="66" t="inlineStr">
        <is>
          <t>Mon</t>
        </is>
      </c>
      <c r="D1467" s="66" t="inlineStr">
        <is>
          <t>TikTok</t>
        </is>
      </c>
      <c r="E1467" s="66" t="inlineStr">
        <is>
          <t>TikTok</t>
        </is>
      </c>
      <c r="F1467" s="66" t="inlineStr">
        <is>
          <t>LEP_ZA_AUG26_TT_SPARK_RANGE_TRAFFIC</t>
        </is>
      </c>
      <c r="G1467" s="66" t="inlineStr">
        <is>
          <t>Traffic - Spark Ads</t>
        </is>
      </c>
      <c r="H1467" s="66" t="inlineStr">
        <is>
          <t>Range</t>
        </is>
      </c>
      <c r="I1467" s="66" t="inlineStr">
        <is>
          <t>Range Offer</t>
        </is>
      </c>
      <c r="J1467" s="66" t="inlineStr">
        <is>
          <t>TT_SPARK_RMKT_VV_ZA</t>
        </is>
      </c>
      <c r="K1467" s="66" t="inlineStr">
        <is>
          <t>Retargeting</t>
        </is>
      </c>
      <c r="L1467" s="66" t="inlineStr">
        <is>
          <t>TT_RMKT_10s_BookNow_v1</t>
        </is>
      </c>
      <c r="M1467" s="66" t="inlineStr">
        <is>
          <t>Video 9:16</t>
        </is>
      </c>
      <c r="N1467" s="66" t="inlineStr">
        <is>
          <t>You watched. Now drive.</t>
        </is>
      </c>
      <c r="O1467" s="66" t="inlineStr">
        <is>
          <t>Auction - Lowest Cost</t>
        </is>
      </c>
      <c r="P1467" s="66" t="inlineStr">
        <is>
          <t>Landing Page View</t>
        </is>
      </c>
      <c r="Q1467" s="66" t="inlineStr">
        <is>
          <t>https://www.lepas-sa.co.za/book-a-test-drive</t>
        </is>
      </c>
      <c r="R1467" s="121" t="n">
        <v>109.01</v>
      </c>
      <c r="S1467" s="122" t="n">
        <v>2195</v>
      </c>
      <c r="T1467" s="122" t="n">
        <v>965</v>
      </c>
      <c r="U1467" s="123">
        <f>IFERROR(S1467/T1467,"")</f>
        <v/>
      </c>
      <c r="V1467" s="122" t="n">
        <v>43</v>
      </c>
      <c r="W1467" s="122" t="n">
        <v>36</v>
      </c>
      <c r="X1467" s="124">
        <f>IFERROR(W1467/S1467,"")</f>
        <v/>
      </c>
      <c r="Y1467" s="121">
        <f>IFERROR(R1467/W1467,"")</f>
        <v/>
      </c>
      <c r="Z1467" s="121">
        <f>IFERROR(R1467/S1467*1000,"")</f>
        <v/>
      </c>
      <c r="AA1467" s="122" t="n">
        <v>23</v>
      </c>
      <c r="AB1467" s="54">
        <f>IFERROR(AA1467/W1467,"")</f>
        <v/>
      </c>
      <c r="AC1467" s="122" t="n">
        <v>597</v>
      </c>
      <c r="AD1467" s="122" t="n">
        <v>283</v>
      </c>
      <c r="AE1467" s="122" t="n">
        <v>318</v>
      </c>
      <c r="AF1467" s="122" t="n">
        <v>188</v>
      </c>
      <c r="AG1467" s="122" t="n">
        <v>137</v>
      </c>
      <c r="AH1467" s="122" t="n">
        <v>100</v>
      </c>
      <c r="AI1467" s="54">
        <f>IFERROR(AC1467/S1467,"")</f>
        <v/>
      </c>
      <c r="AJ1467" s="54">
        <f>IFERROR(AH1467/S1467,"")</f>
        <v/>
      </c>
      <c r="AK1467" s="122" t="n">
        <v>125</v>
      </c>
      <c r="AL1467" s="122" t="n">
        <v>1</v>
      </c>
      <c r="AM1467" s="124">
        <f>IFERROR(AL1467/AA1467,"")</f>
        <v/>
      </c>
      <c r="AN1467" s="125">
        <f>IFERROR(R1467/AL1467,"")</f>
        <v/>
      </c>
      <c r="AO1467" s="122" t="n">
        <v>1</v>
      </c>
      <c r="AP1467" s="54">
        <f>IFERROR(AO1467/AL1467,"")</f>
        <v/>
      </c>
      <c r="AQ1467" s="125">
        <f>IFERROR(R1467/AO1467,"")</f>
        <v/>
      </c>
      <c r="AR1467" s="122" t="n">
        <v>0</v>
      </c>
      <c r="AS1467" s="122" t="n">
        <v>0</v>
      </c>
      <c r="AT1467" s="122">
        <f>AL1467+AR1467</f>
        <v/>
      </c>
      <c r="AU1467" s="125">
        <f>IFERROR(AO1467*Assumptions!$C$26*Assumptions!$C$27*INDEX(Assumptions!$C$18:$C$21,MATCH(H1467,Assumptions!$B$18:$B$21,0)),0)</f>
        <v/>
      </c>
    </row>
    <row r="1468">
      <c r="A1468" s="120" t="n">
        <v>46245</v>
      </c>
      <c r="B1468" s="66" t="inlineStr">
        <is>
          <t>Wk 33</t>
        </is>
      </c>
      <c r="C1468" s="66" t="inlineStr">
        <is>
          <t>Tue</t>
        </is>
      </c>
      <c r="D1468" s="66" t="inlineStr">
        <is>
          <t>TikTok</t>
        </is>
      </c>
      <c r="E1468" s="66" t="inlineStr">
        <is>
          <t>TikTok</t>
        </is>
      </c>
      <c r="F1468" s="66" t="inlineStr">
        <is>
          <t>LEP_ZA_AUG26_TT_SPARK_RANGE_TRAFFIC</t>
        </is>
      </c>
      <c r="G1468" s="66" t="inlineStr">
        <is>
          <t>Traffic - Spark Ads</t>
        </is>
      </c>
      <c r="H1468" s="66" t="inlineStr">
        <is>
          <t>Range</t>
        </is>
      </c>
      <c r="I1468" s="66" t="inlineStr">
        <is>
          <t>Range Offer</t>
        </is>
      </c>
      <c r="J1468" s="66" t="inlineStr">
        <is>
          <t>TT_SPARK_RMKT_VV_ZA</t>
        </is>
      </c>
      <c r="K1468" s="66" t="inlineStr">
        <is>
          <t>Retargeting</t>
        </is>
      </c>
      <c r="L1468" s="66" t="inlineStr">
        <is>
          <t>TT_SPARK_@thecarplug_Compare_v1</t>
        </is>
      </c>
      <c r="M1468" s="66" t="inlineStr">
        <is>
          <t>Spark Ad</t>
        </is>
      </c>
      <c r="N1468" s="66" t="inlineStr">
        <is>
          <t>Creator handle: @thecarplug</t>
        </is>
      </c>
      <c r="O1468" s="66" t="inlineStr">
        <is>
          <t>Auction - Lowest Cost</t>
        </is>
      </c>
      <c r="P1468" s="66" t="inlineStr">
        <is>
          <t>Landing Page View</t>
        </is>
      </c>
      <c r="Q1468" s="66" t="inlineStr">
        <is>
          <t>https://www.lepas-sa.co.za/book-a-test-drive</t>
        </is>
      </c>
      <c r="R1468" s="121" t="n">
        <v>71.48</v>
      </c>
      <c r="S1468" s="122" t="n">
        <v>1510</v>
      </c>
      <c r="T1468" s="122" t="n">
        <v>870</v>
      </c>
      <c r="U1468" s="123">
        <f>IFERROR(S1468/T1468,"")</f>
        <v/>
      </c>
      <c r="V1468" s="122" t="n">
        <v>40</v>
      </c>
      <c r="W1468" s="122" t="n">
        <v>29</v>
      </c>
      <c r="X1468" s="124">
        <f>IFERROR(W1468/S1468,"")</f>
        <v/>
      </c>
      <c r="Y1468" s="121">
        <f>IFERROR(R1468/W1468,"")</f>
        <v/>
      </c>
      <c r="Z1468" s="121">
        <f>IFERROR(R1468/S1468*1000,"")</f>
        <v/>
      </c>
      <c r="AA1468" s="122" t="n">
        <v>19</v>
      </c>
      <c r="AB1468" s="54">
        <f>IFERROR(AA1468/W1468,"")</f>
        <v/>
      </c>
      <c r="AC1468" s="122" t="n">
        <v>518</v>
      </c>
      <c r="AD1468" s="122" t="n">
        <v>269</v>
      </c>
      <c r="AE1468" s="122" t="n">
        <v>200</v>
      </c>
      <c r="AF1468" s="122" t="n">
        <v>109</v>
      </c>
      <c r="AG1468" s="122" t="n">
        <v>76</v>
      </c>
      <c r="AH1468" s="122" t="n">
        <v>48</v>
      </c>
      <c r="AI1468" s="54">
        <f>IFERROR(AC1468/S1468,"")</f>
        <v/>
      </c>
      <c r="AJ1468" s="54">
        <f>IFERROR(AH1468/S1468,"")</f>
        <v/>
      </c>
      <c r="AK1468" s="122" t="n">
        <v>71</v>
      </c>
      <c r="AL1468" s="122" t="n">
        <v>0</v>
      </c>
      <c r="AM1468" s="124">
        <f>IFERROR(AL1468/AA1468,"")</f>
        <v/>
      </c>
      <c r="AN1468" s="125">
        <f>IFERROR(R1468/AL1468,"")</f>
        <v/>
      </c>
      <c r="AO1468" s="122" t="n">
        <v>0</v>
      </c>
      <c r="AP1468" s="54">
        <f>IFERROR(AO1468/AL1468,"")</f>
        <v/>
      </c>
      <c r="AQ1468" s="125">
        <f>IFERROR(R1468/AO1468,"")</f>
        <v/>
      </c>
      <c r="AR1468" s="122" t="n">
        <v>0</v>
      </c>
      <c r="AS1468" s="122" t="n">
        <v>0</v>
      </c>
      <c r="AT1468" s="122">
        <f>AL1468+AR1468</f>
        <v/>
      </c>
      <c r="AU1468" s="125">
        <f>IFERROR(AO1468*Assumptions!$C$26*Assumptions!$C$27*INDEX(Assumptions!$C$18:$C$21,MATCH(H1468,Assumptions!$B$18:$B$21,0)),0)</f>
        <v/>
      </c>
    </row>
    <row r="1469">
      <c r="A1469" s="120" t="n">
        <v>46246</v>
      </c>
      <c r="B1469" s="66" t="inlineStr">
        <is>
          <t>Wk 33</t>
        </is>
      </c>
      <c r="C1469" s="66" t="inlineStr">
        <is>
          <t>Wed</t>
        </is>
      </c>
      <c r="D1469" s="66" t="inlineStr">
        <is>
          <t>TikTok</t>
        </is>
      </c>
      <c r="E1469" s="66" t="inlineStr">
        <is>
          <t>TikTok</t>
        </is>
      </c>
      <c r="F1469" s="66" t="inlineStr">
        <is>
          <t>LEP_ZA_AUG26_TT_SPARK_RANGE_TRAFFIC</t>
        </is>
      </c>
      <c r="G1469" s="66" t="inlineStr">
        <is>
          <t>Traffic - Spark Ads</t>
        </is>
      </c>
      <c r="H1469" s="66" t="inlineStr">
        <is>
          <t>Range</t>
        </is>
      </c>
      <c r="I1469" s="66" t="inlineStr">
        <is>
          <t>Range Offer</t>
        </is>
      </c>
      <c r="J1469" s="66" t="inlineStr">
        <is>
          <t>TT_SPARK_RMKT_VV_ZA</t>
        </is>
      </c>
      <c r="K1469" s="66" t="inlineStr">
        <is>
          <t>Retargeting</t>
        </is>
      </c>
      <c r="L1469" s="66" t="inlineStr">
        <is>
          <t>TT_SPARK_@thecarplug_Compare_v1</t>
        </is>
      </c>
      <c r="M1469" s="66" t="inlineStr">
        <is>
          <t>Spark Ad</t>
        </is>
      </c>
      <c r="N1469" s="66" t="inlineStr">
        <is>
          <t>Creator handle: @thecarplug</t>
        </is>
      </c>
      <c r="O1469" s="66" t="inlineStr">
        <is>
          <t>Auction - Lowest Cost</t>
        </is>
      </c>
      <c r="P1469" s="66" t="inlineStr">
        <is>
          <t>Landing Page View</t>
        </is>
      </c>
      <c r="Q1469" s="66" t="inlineStr">
        <is>
          <t>https://www.lepas-sa.co.za/book-a-test-drive</t>
        </is>
      </c>
      <c r="R1469" s="121" t="n">
        <v>80.33</v>
      </c>
      <c r="S1469" s="122" t="n">
        <v>1695</v>
      </c>
      <c r="T1469" s="122" t="n">
        <v>1091</v>
      </c>
      <c r="U1469" s="123">
        <f>IFERROR(S1469/T1469,"")</f>
        <v/>
      </c>
      <c r="V1469" s="122" t="n">
        <v>60</v>
      </c>
      <c r="W1469" s="122" t="n">
        <v>48</v>
      </c>
      <c r="X1469" s="124">
        <f>IFERROR(W1469/S1469,"")</f>
        <v/>
      </c>
      <c r="Y1469" s="121">
        <f>IFERROR(R1469/W1469,"")</f>
        <v/>
      </c>
      <c r="Z1469" s="121">
        <f>IFERROR(R1469/S1469*1000,"")</f>
        <v/>
      </c>
      <c r="AA1469" s="122" t="n">
        <v>33</v>
      </c>
      <c r="AB1469" s="54">
        <f>IFERROR(AA1469/W1469,"")</f>
        <v/>
      </c>
      <c r="AC1469" s="122" t="n">
        <v>445</v>
      </c>
      <c r="AD1469" s="122" t="n">
        <v>259</v>
      </c>
      <c r="AE1469" s="122" t="n">
        <v>169</v>
      </c>
      <c r="AF1469" s="122" t="n">
        <v>112</v>
      </c>
      <c r="AG1469" s="122" t="n">
        <v>88</v>
      </c>
      <c r="AH1469" s="122" t="n">
        <v>63</v>
      </c>
      <c r="AI1469" s="54">
        <f>IFERROR(AC1469/S1469,"")</f>
        <v/>
      </c>
      <c r="AJ1469" s="54">
        <f>IFERROR(AH1469/S1469,"")</f>
        <v/>
      </c>
      <c r="AK1469" s="122" t="n">
        <v>46</v>
      </c>
      <c r="AL1469" s="122" t="n">
        <v>1</v>
      </c>
      <c r="AM1469" s="124">
        <f>IFERROR(AL1469/AA1469,"")</f>
        <v/>
      </c>
      <c r="AN1469" s="125">
        <f>IFERROR(R1469/AL1469,"")</f>
        <v/>
      </c>
      <c r="AO1469" s="122" t="n">
        <v>0</v>
      </c>
      <c r="AP1469" s="54">
        <f>IFERROR(AO1469/AL1469,"")</f>
        <v/>
      </c>
      <c r="AQ1469" s="125">
        <f>IFERROR(R1469/AO1469,"")</f>
        <v/>
      </c>
      <c r="AR1469" s="122" t="n">
        <v>0</v>
      </c>
      <c r="AS1469" s="122" t="n">
        <v>0</v>
      </c>
      <c r="AT1469" s="122">
        <f>AL1469+AR1469</f>
        <v/>
      </c>
      <c r="AU1469" s="125">
        <f>IFERROR(AO1469*Assumptions!$C$26*Assumptions!$C$27*INDEX(Assumptions!$C$18:$C$21,MATCH(H1469,Assumptions!$B$18:$B$21,0)),0)</f>
        <v/>
      </c>
    </row>
    <row r="1470">
      <c r="A1470" s="120" t="n">
        <v>46247</v>
      </c>
      <c r="B1470" s="66" t="inlineStr">
        <is>
          <t>Wk 33</t>
        </is>
      </c>
      <c r="C1470" s="66" t="inlineStr">
        <is>
          <t>Thu</t>
        </is>
      </c>
      <c r="D1470" s="66" t="inlineStr">
        <is>
          <t>TikTok</t>
        </is>
      </c>
      <c r="E1470" s="66" t="inlineStr">
        <is>
          <t>TikTok</t>
        </is>
      </c>
      <c r="F1470" s="66" t="inlineStr">
        <is>
          <t>LEP_ZA_AUG26_TT_SPARK_RANGE_TRAFFIC</t>
        </is>
      </c>
      <c r="G1470" s="66" t="inlineStr">
        <is>
          <t>Traffic - Spark Ads</t>
        </is>
      </c>
      <c r="H1470" s="66" t="inlineStr">
        <is>
          <t>Range</t>
        </is>
      </c>
      <c r="I1470" s="66" t="inlineStr">
        <is>
          <t>Range Offer</t>
        </is>
      </c>
      <c r="J1470" s="66" t="inlineStr">
        <is>
          <t>TT_SPARK_RMKT_VV_ZA</t>
        </is>
      </c>
      <c r="K1470" s="66" t="inlineStr">
        <is>
          <t>Retargeting</t>
        </is>
      </c>
      <c r="L1470" s="66" t="inlineStr">
        <is>
          <t>TT_SPARK_@thecarplug_Compare_v1</t>
        </is>
      </c>
      <c r="M1470" s="66" t="inlineStr">
        <is>
          <t>Spark Ad</t>
        </is>
      </c>
      <c r="N1470" s="66" t="inlineStr">
        <is>
          <t>Creator handle: @thecarplug</t>
        </is>
      </c>
      <c r="O1470" s="66" t="inlineStr">
        <is>
          <t>Auction - Lowest Cost</t>
        </is>
      </c>
      <c r="P1470" s="66" t="inlineStr">
        <is>
          <t>Landing Page View</t>
        </is>
      </c>
      <c r="Q1470" s="66" t="inlineStr">
        <is>
          <t>https://www.lepas-sa.co.za/book-a-test-drive</t>
        </is>
      </c>
      <c r="R1470" s="121" t="n">
        <v>71.78</v>
      </c>
      <c r="S1470" s="122" t="n">
        <v>1704</v>
      </c>
      <c r="T1470" s="122" t="n">
        <v>1085</v>
      </c>
      <c r="U1470" s="123">
        <f>IFERROR(S1470/T1470,"")</f>
        <v/>
      </c>
      <c r="V1470" s="122" t="n">
        <v>36</v>
      </c>
      <c r="W1470" s="122" t="n">
        <v>28</v>
      </c>
      <c r="X1470" s="124">
        <f>IFERROR(W1470/S1470,"")</f>
        <v/>
      </c>
      <c r="Y1470" s="121">
        <f>IFERROR(R1470/W1470,"")</f>
        <v/>
      </c>
      <c r="Z1470" s="121">
        <f>IFERROR(R1470/S1470*1000,"")</f>
        <v/>
      </c>
      <c r="AA1470" s="122" t="n">
        <v>19</v>
      </c>
      <c r="AB1470" s="54">
        <f>IFERROR(AA1470/W1470,"")</f>
        <v/>
      </c>
      <c r="AC1470" s="122" t="n">
        <v>378</v>
      </c>
      <c r="AD1470" s="122" t="n">
        <v>233</v>
      </c>
      <c r="AE1470" s="122" t="n">
        <v>172</v>
      </c>
      <c r="AF1470" s="122" t="n">
        <v>117</v>
      </c>
      <c r="AG1470" s="122" t="n">
        <v>75</v>
      </c>
      <c r="AH1470" s="122" t="n">
        <v>55</v>
      </c>
      <c r="AI1470" s="54">
        <f>IFERROR(AC1470/S1470,"")</f>
        <v/>
      </c>
      <c r="AJ1470" s="54">
        <f>IFERROR(AH1470/S1470,"")</f>
        <v/>
      </c>
      <c r="AK1470" s="122" t="n">
        <v>46</v>
      </c>
      <c r="AL1470" s="122" t="n">
        <v>1</v>
      </c>
      <c r="AM1470" s="124">
        <f>IFERROR(AL1470/AA1470,"")</f>
        <v/>
      </c>
      <c r="AN1470" s="125">
        <f>IFERROR(R1470/AL1470,"")</f>
        <v/>
      </c>
      <c r="AO1470" s="122" t="n">
        <v>1</v>
      </c>
      <c r="AP1470" s="54">
        <f>IFERROR(AO1470/AL1470,"")</f>
        <v/>
      </c>
      <c r="AQ1470" s="125">
        <f>IFERROR(R1470/AO1470,"")</f>
        <v/>
      </c>
      <c r="AR1470" s="122" t="n">
        <v>0</v>
      </c>
      <c r="AS1470" s="122" t="n">
        <v>1</v>
      </c>
      <c r="AT1470" s="122">
        <f>AL1470+AR1470</f>
        <v/>
      </c>
      <c r="AU1470" s="125">
        <f>IFERROR(AO1470*Assumptions!$C$26*Assumptions!$C$27*INDEX(Assumptions!$C$18:$C$21,MATCH(H1470,Assumptions!$B$18:$B$21,0)),0)</f>
        <v/>
      </c>
    </row>
    <row r="1471">
      <c r="A1471" s="120" t="n">
        <v>46248</v>
      </c>
      <c r="B1471" s="66" t="inlineStr">
        <is>
          <t>Wk 33</t>
        </is>
      </c>
      <c r="C1471" s="66" t="inlineStr">
        <is>
          <t>Fri</t>
        </is>
      </c>
      <c r="D1471" s="66" t="inlineStr">
        <is>
          <t>TikTok</t>
        </is>
      </c>
      <c r="E1471" s="66" t="inlineStr">
        <is>
          <t>TikTok</t>
        </is>
      </c>
      <c r="F1471" s="66" t="inlineStr">
        <is>
          <t>LEP_ZA_AUG26_TT_SPARK_RANGE_TRAFFIC</t>
        </is>
      </c>
      <c r="G1471" s="66" t="inlineStr">
        <is>
          <t>Traffic - Spark Ads</t>
        </is>
      </c>
      <c r="H1471" s="66" t="inlineStr">
        <is>
          <t>Range</t>
        </is>
      </c>
      <c r="I1471" s="66" t="inlineStr">
        <is>
          <t>Range Offer</t>
        </is>
      </c>
      <c r="J1471" s="66" t="inlineStr">
        <is>
          <t>TT_SPARK_RMKT_VV_ZA</t>
        </is>
      </c>
      <c r="K1471" s="66" t="inlineStr">
        <is>
          <t>Retargeting</t>
        </is>
      </c>
      <c r="L1471" s="66" t="inlineStr">
        <is>
          <t>TT_SPARK_@thecarplug_Compare_v1</t>
        </is>
      </c>
      <c r="M1471" s="66" t="inlineStr">
        <is>
          <t>Spark Ad</t>
        </is>
      </c>
      <c r="N1471" s="66" t="inlineStr">
        <is>
          <t>Creator handle: @thecarplug</t>
        </is>
      </c>
      <c r="O1471" s="66" t="inlineStr">
        <is>
          <t>Auction - Lowest Cost</t>
        </is>
      </c>
      <c r="P1471" s="66" t="inlineStr">
        <is>
          <t>Landing Page View</t>
        </is>
      </c>
      <c r="Q1471" s="66" t="inlineStr">
        <is>
          <t>https://www.lepas-sa.co.za/book-a-test-drive</t>
        </is>
      </c>
      <c r="R1471" s="121" t="n">
        <v>73.23</v>
      </c>
      <c r="S1471" s="122" t="n">
        <v>2157</v>
      </c>
      <c r="T1471" s="122" t="n">
        <v>1169</v>
      </c>
      <c r="U1471" s="123">
        <f>IFERROR(S1471/T1471,"")</f>
        <v/>
      </c>
      <c r="V1471" s="122" t="n">
        <v>46</v>
      </c>
      <c r="W1471" s="122" t="n">
        <v>39</v>
      </c>
      <c r="X1471" s="124">
        <f>IFERROR(W1471/S1471,"")</f>
        <v/>
      </c>
      <c r="Y1471" s="121">
        <f>IFERROR(R1471/W1471,"")</f>
        <v/>
      </c>
      <c r="Z1471" s="121">
        <f>IFERROR(R1471/S1471*1000,"")</f>
        <v/>
      </c>
      <c r="AA1471" s="122" t="n">
        <v>27</v>
      </c>
      <c r="AB1471" s="54">
        <f>IFERROR(AA1471/W1471,"")</f>
        <v/>
      </c>
      <c r="AC1471" s="122" t="n">
        <v>623</v>
      </c>
      <c r="AD1471" s="122" t="n">
        <v>276</v>
      </c>
      <c r="AE1471" s="122" t="n">
        <v>252</v>
      </c>
      <c r="AF1471" s="122" t="n">
        <v>142</v>
      </c>
      <c r="AG1471" s="122" t="n">
        <v>97</v>
      </c>
      <c r="AH1471" s="122" t="n">
        <v>55</v>
      </c>
      <c r="AI1471" s="54">
        <f>IFERROR(AC1471/S1471,"")</f>
        <v/>
      </c>
      <c r="AJ1471" s="54">
        <f>IFERROR(AH1471/S1471,"")</f>
        <v/>
      </c>
      <c r="AK1471" s="122" t="n">
        <v>125</v>
      </c>
      <c r="AL1471" s="122" t="n">
        <v>1</v>
      </c>
      <c r="AM1471" s="124">
        <f>IFERROR(AL1471/AA1471,"")</f>
        <v/>
      </c>
      <c r="AN1471" s="125">
        <f>IFERROR(R1471/AL1471,"")</f>
        <v/>
      </c>
      <c r="AO1471" s="122" t="n">
        <v>0</v>
      </c>
      <c r="AP1471" s="54">
        <f>IFERROR(AO1471/AL1471,"")</f>
        <v/>
      </c>
      <c r="AQ1471" s="125">
        <f>IFERROR(R1471/AO1471,"")</f>
        <v/>
      </c>
      <c r="AR1471" s="122" t="n">
        <v>0</v>
      </c>
      <c r="AS1471" s="122" t="n">
        <v>0</v>
      </c>
      <c r="AT1471" s="122">
        <f>AL1471+AR1471</f>
        <v/>
      </c>
      <c r="AU1471" s="125">
        <f>IFERROR(AO1471*Assumptions!$C$26*Assumptions!$C$27*INDEX(Assumptions!$C$18:$C$21,MATCH(H1471,Assumptions!$B$18:$B$21,0)),0)</f>
        <v/>
      </c>
    </row>
    <row r="1472">
      <c r="A1472" s="120" t="n">
        <v>46249</v>
      </c>
      <c r="B1472" s="66" t="inlineStr">
        <is>
          <t>Wk 33</t>
        </is>
      </c>
      <c r="C1472" s="66" t="inlineStr">
        <is>
          <t>Sat</t>
        </is>
      </c>
      <c r="D1472" s="66" t="inlineStr">
        <is>
          <t>TikTok</t>
        </is>
      </c>
      <c r="E1472" s="66" t="inlineStr">
        <is>
          <t>TikTok</t>
        </is>
      </c>
      <c r="F1472" s="66" t="inlineStr">
        <is>
          <t>LEP_ZA_AUG26_TT_SPARK_RANGE_TRAFFIC</t>
        </is>
      </c>
      <c r="G1472" s="66" t="inlineStr">
        <is>
          <t>Traffic - Spark Ads</t>
        </is>
      </c>
      <c r="H1472" s="66" t="inlineStr">
        <is>
          <t>Range</t>
        </is>
      </c>
      <c r="I1472" s="66" t="inlineStr">
        <is>
          <t>Range Offer</t>
        </is>
      </c>
      <c r="J1472" s="66" t="inlineStr">
        <is>
          <t>TT_SPARK_RMKT_VV_ZA</t>
        </is>
      </c>
      <c r="K1472" s="66" t="inlineStr">
        <is>
          <t>Retargeting</t>
        </is>
      </c>
      <c r="L1472" s="66" t="inlineStr">
        <is>
          <t>TT_SPARK_@thecarplug_Compare_v1</t>
        </is>
      </c>
      <c r="M1472" s="66" t="inlineStr">
        <is>
          <t>Spark Ad</t>
        </is>
      </c>
      <c r="N1472" s="66" t="inlineStr">
        <is>
          <t>Creator handle: @thecarplug</t>
        </is>
      </c>
      <c r="O1472" s="66" t="inlineStr">
        <is>
          <t>Auction - Lowest Cost</t>
        </is>
      </c>
      <c r="P1472" s="66" t="inlineStr">
        <is>
          <t>Landing Page View</t>
        </is>
      </c>
      <c r="Q1472" s="66" t="inlineStr">
        <is>
          <t>https://www.lepas-sa.co.za/book-a-test-drive</t>
        </is>
      </c>
      <c r="R1472" s="121" t="n">
        <v>77.38</v>
      </c>
      <c r="S1472" s="122" t="n">
        <v>1428</v>
      </c>
      <c r="T1472" s="122" t="n">
        <v>843</v>
      </c>
      <c r="U1472" s="123">
        <f>IFERROR(S1472/T1472,"")</f>
        <v/>
      </c>
      <c r="V1472" s="122" t="n">
        <v>46</v>
      </c>
      <c r="W1472" s="122" t="n">
        <v>36</v>
      </c>
      <c r="X1472" s="124">
        <f>IFERROR(W1472/S1472,"")</f>
        <v/>
      </c>
      <c r="Y1472" s="121">
        <f>IFERROR(R1472/W1472,"")</f>
        <v/>
      </c>
      <c r="Z1472" s="121">
        <f>IFERROR(R1472/S1472*1000,"")</f>
        <v/>
      </c>
      <c r="AA1472" s="122" t="n">
        <v>24</v>
      </c>
      <c r="AB1472" s="54">
        <f>IFERROR(AA1472/W1472,"")</f>
        <v/>
      </c>
      <c r="AC1472" s="122" t="n">
        <v>558</v>
      </c>
      <c r="AD1472" s="122" t="n">
        <v>314</v>
      </c>
      <c r="AE1472" s="122" t="n">
        <v>293</v>
      </c>
      <c r="AF1472" s="122" t="n">
        <v>182</v>
      </c>
      <c r="AG1472" s="122" t="n">
        <v>140</v>
      </c>
      <c r="AH1472" s="122" t="n">
        <v>97</v>
      </c>
      <c r="AI1472" s="54">
        <f>IFERROR(AC1472/S1472,"")</f>
        <v/>
      </c>
      <c r="AJ1472" s="54">
        <f>IFERROR(AH1472/S1472,"")</f>
        <v/>
      </c>
      <c r="AK1472" s="122" t="n">
        <v>38</v>
      </c>
      <c r="AL1472" s="122" t="n">
        <v>1</v>
      </c>
      <c r="AM1472" s="124">
        <f>IFERROR(AL1472/AA1472,"")</f>
        <v/>
      </c>
      <c r="AN1472" s="125">
        <f>IFERROR(R1472/AL1472,"")</f>
        <v/>
      </c>
      <c r="AO1472" s="122" t="n">
        <v>0</v>
      </c>
      <c r="AP1472" s="54">
        <f>IFERROR(AO1472/AL1472,"")</f>
        <v/>
      </c>
      <c r="AQ1472" s="125">
        <f>IFERROR(R1472/AO1472,"")</f>
        <v/>
      </c>
      <c r="AR1472" s="122" t="n">
        <v>1</v>
      </c>
      <c r="AS1472" s="122" t="n">
        <v>0</v>
      </c>
      <c r="AT1472" s="122">
        <f>AL1472+AR1472</f>
        <v/>
      </c>
      <c r="AU1472" s="125">
        <f>IFERROR(AO1472*Assumptions!$C$26*Assumptions!$C$27*INDEX(Assumptions!$C$18:$C$21,MATCH(H1472,Assumptions!$B$18:$B$21,0)),0)</f>
        <v/>
      </c>
    </row>
    <row r="1473">
      <c r="A1473" s="120" t="n">
        <v>46250</v>
      </c>
      <c r="B1473" s="66" t="inlineStr">
        <is>
          <t>Wk 33</t>
        </is>
      </c>
      <c r="C1473" s="66" t="inlineStr">
        <is>
          <t>Sun</t>
        </is>
      </c>
      <c r="D1473" s="66" t="inlineStr">
        <is>
          <t>TikTok</t>
        </is>
      </c>
      <c r="E1473" s="66" t="inlineStr">
        <is>
          <t>TikTok</t>
        </is>
      </c>
      <c r="F1473" s="66" t="inlineStr">
        <is>
          <t>LEP_ZA_AUG26_TT_SPARK_RANGE_TRAFFIC</t>
        </is>
      </c>
      <c r="G1473" s="66" t="inlineStr">
        <is>
          <t>Traffic - Spark Ads</t>
        </is>
      </c>
      <c r="H1473" s="66" t="inlineStr">
        <is>
          <t>Range</t>
        </is>
      </c>
      <c r="I1473" s="66" t="inlineStr">
        <is>
          <t>Range Offer</t>
        </is>
      </c>
      <c r="J1473" s="66" t="inlineStr">
        <is>
          <t>TT_SPARK_RMKT_VV_ZA</t>
        </is>
      </c>
      <c r="K1473" s="66" t="inlineStr">
        <is>
          <t>Retargeting</t>
        </is>
      </c>
      <c r="L1473" s="66" t="inlineStr">
        <is>
          <t>TT_SPARK_@thecarplug_Compare_v1</t>
        </is>
      </c>
      <c r="M1473" s="66" t="inlineStr">
        <is>
          <t>Spark Ad</t>
        </is>
      </c>
      <c r="N1473" s="66" t="inlineStr">
        <is>
          <t>Creator handle: @thecarplug</t>
        </is>
      </c>
      <c r="O1473" s="66" t="inlineStr">
        <is>
          <t>Auction - Lowest Cost</t>
        </is>
      </c>
      <c r="P1473" s="66" t="inlineStr">
        <is>
          <t>Landing Page View</t>
        </is>
      </c>
      <c r="Q1473" s="66" t="inlineStr">
        <is>
          <t>https://www.lepas-sa.co.za/book-a-test-drive</t>
        </is>
      </c>
      <c r="R1473" s="121" t="n">
        <v>53.93</v>
      </c>
      <c r="S1473" s="122" t="n">
        <v>1303</v>
      </c>
      <c r="T1473" s="122" t="n">
        <v>872</v>
      </c>
      <c r="U1473" s="123">
        <f>IFERROR(S1473/T1473,"")</f>
        <v/>
      </c>
      <c r="V1473" s="122" t="n">
        <v>35</v>
      </c>
      <c r="W1473" s="122" t="n">
        <v>25</v>
      </c>
      <c r="X1473" s="124">
        <f>IFERROR(W1473/S1473,"")</f>
        <v/>
      </c>
      <c r="Y1473" s="121">
        <f>IFERROR(R1473/W1473,"")</f>
        <v/>
      </c>
      <c r="Z1473" s="121">
        <f>IFERROR(R1473/S1473*1000,"")</f>
        <v/>
      </c>
      <c r="AA1473" s="122" t="n">
        <v>18</v>
      </c>
      <c r="AB1473" s="54">
        <f>IFERROR(AA1473/W1473,"")</f>
        <v/>
      </c>
      <c r="AC1473" s="122" t="n">
        <v>311</v>
      </c>
      <c r="AD1473" s="122" t="n">
        <v>193</v>
      </c>
      <c r="AE1473" s="122" t="n">
        <v>118</v>
      </c>
      <c r="AF1473" s="122" t="n">
        <v>81</v>
      </c>
      <c r="AG1473" s="122" t="n">
        <v>54</v>
      </c>
      <c r="AH1473" s="122" t="n">
        <v>31</v>
      </c>
      <c r="AI1473" s="54">
        <f>IFERROR(AC1473/S1473,"")</f>
        <v/>
      </c>
      <c r="AJ1473" s="54">
        <f>IFERROR(AH1473/S1473,"")</f>
        <v/>
      </c>
      <c r="AK1473" s="122" t="n">
        <v>33</v>
      </c>
      <c r="AL1473" s="122" t="n">
        <v>0</v>
      </c>
      <c r="AM1473" s="124">
        <f>IFERROR(AL1473/AA1473,"")</f>
        <v/>
      </c>
      <c r="AN1473" s="125">
        <f>IFERROR(R1473/AL1473,"")</f>
        <v/>
      </c>
      <c r="AO1473" s="122" t="n">
        <v>0</v>
      </c>
      <c r="AP1473" s="54">
        <f>IFERROR(AO1473/AL1473,"")</f>
        <v/>
      </c>
      <c r="AQ1473" s="125">
        <f>IFERROR(R1473/AO1473,"")</f>
        <v/>
      </c>
      <c r="AR1473" s="122" t="n">
        <v>0</v>
      </c>
      <c r="AS1473" s="122" t="n">
        <v>0</v>
      </c>
      <c r="AT1473" s="122">
        <f>AL1473+AR1473</f>
        <v/>
      </c>
      <c r="AU1473" s="125">
        <f>IFERROR(AO1473*Assumptions!$C$26*Assumptions!$C$27*INDEX(Assumptions!$C$18:$C$21,MATCH(H1473,Assumptions!$B$18:$B$21,0)),0)</f>
        <v/>
      </c>
    </row>
    <row r="1474">
      <c r="A1474" s="120" t="n">
        <v>46251</v>
      </c>
      <c r="B1474" s="66" t="inlineStr">
        <is>
          <t>Wk 34</t>
        </is>
      </c>
      <c r="C1474" s="66" t="inlineStr">
        <is>
          <t>Mon</t>
        </is>
      </c>
      <c r="D1474" s="66" t="inlineStr">
        <is>
          <t>TikTok</t>
        </is>
      </c>
      <c r="E1474" s="66" t="inlineStr">
        <is>
          <t>TikTok</t>
        </is>
      </c>
      <c r="F1474" s="66" t="inlineStr">
        <is>
          <t>LEP_ZA_AUG26_TT_SPARK_RANGE_TRAFFIC</t>
        </is>
      </c>
      <c r="G1474" s="66" t="inlineStr">
        <is>
          <t>Traffic - Spark Ads</t>
        </is>
      </c>
      <c r="H1474" s="66" t="inlineStr">
        <is>
          <t>Range</t>
        </is>
      </c>
      <c r="I1474" s="66" t="inlineStr">
        <is>
          <t>Range Offer</t>
        </is>
      </c>
      <c r="J1474" s="66" t="inlineStr">
        <is>
          <t>TT_SPARK_RMKT_VV_ZA</t>
        </is>
      </c>
      <c r="K1474" s="66" t="inlineStr">
        <is>
          <t>Retargeting</t>
        </is>
      </c>
      <c r="L1474" s="66" t="inlineStr">
        <is>
          <t>TT_SPARK_@thecarplug_Compare_v1</t>
        </is>
      </c>
      <c r="M1474" s="66" t="inlineStr">
        <is>
          <t>Spark Ad</t>
        </is>
      </c>
      <c r="N1474" s="66" t="inlineStr">
        <is>
          <t>Creator handle: @thecarplug</t>
        </is>
      </c>
      <c r="O1474" s="66" t="inlineStr">
        <is>
          <t>Auction - Lowest Cost</t>
        </is>
      </c>
      <c r="P1474" s="66" t="inlineStr">
        <is>
          <t>Landing Page View</t>
        </is>
      </c>
      <c r="Q1474" s="66" t="inlineStr">
        <is>
          <t>https://www.lepas-sa.co.za/book-a-test-drive</t>
        </is>
      </c>
      <c r="R1474" s="121" t="n">
        <v>56.35</v>
      </c>
      <c r="S1474" s="122" t="n">
        <v>1582</v>
      </c>
      <c r="T1474" s="122" t="n">
        <v>764</v>
      </c>
      <c r="U1474" s="123">
        <f>IFERROR(S1474/T1474,"")</f>
        <v/>
      </c>
      <c r="V1474" s="122" t="n">
        <v>34</v>
      </c>
      <c r="W1474" s="122" t="n">
        <v>25</v>
      </c>
      <c r="X1474" s="124">
        <f>IFERROR(W1474/S1474,"")</f>
        <v/>
      </c>
      <c r="Y1474" s="121">
        <f>IFERROR(R1474/W1474,"")</f>
        <v/>
      </c>
      <c r="Z1474" s="121">
        <f>IFERROR(R1474/S1474*1000,"")</f>
        <v/>
      </c>
      <c r="AA1474" s="122" t="n">
        <v>16</v>
      </c>
      <c r="AB1474" s="54">
        <f>IFERROR(AA1474/W1474,"")</f>
        <v/>
      </c>
      <c r="AC1474" s="122" t="n">
        <v>639</v>
      </c>
      <c r="AD1474" s="122" t="n">
        <v>298</v>
      </c>
      <c r="AE1474" s="122" t="n">
        <v>231</v>
      </c>
      <c r="AF1474" s="122" t="n">
        <v>153</v>
      </c>
      <c r="AG1474" s="122" t="n">
        <v>119</v>
      </c>
      <c r="AH1474" s="122" t="n">
        <v>75</v>
      </c>
      <c r="AI1474" s="54">
        <f>IFERROR(AC1474/S1474,"")</f>
        <v/>
      </c>
      <c r="AJ1474" s="54">
        <f>IFERROR(AH1474/S1474,"")</f>
        <v/>
      </c>
      <c r="AK1474" s="122" t="n">
        <v>46</v>
      </c>
      <c r="AL1474" s="122" t="n">
        <v>0</v>
      </c>
      <c r="AM1474" s="124">
        <f>IFERROR(AL1474/AA1474,"")</f>
        <v/>
      </c>
      <c r="AN1474" s="125">
        <f>IFERROR(R1474/AL1474,"")</f>
        <v/>
      </c>
      <c r="AO1474" s="122" t="n">
        <v>0</v>
      </c>
      <c r="AP1474" s="54">
        <f>IFERROR(AO1474/AL1474,"")</f>
        <v/>
      </c>
      <c r="AQ1474" s="125">
        <f>IFERROR(R1474/AO1474,"")</f>
        <v/>
      </c>
      <c r="AR1474" s="122" t="n">
        <v>0</v>
      </c>
      <c r="AS1474" s="122" t="n">
        <v>0</v>
      </c>
      <c r="AT1474" s="122">
        <f>AL1474+AR1474</f>
        <v/>
      </c>
      <c r="AU1474" s="125">
        <f>IFERROR(AO1474*Assumptions!$C$26*Assumptions!$C$27*INDEX(Assumptions!$C$18:$C$21,MATCH(H1474,Assumptions!$B$18:$B$21,0)),0)</f>
        <v/>
      </c>
    </row>
    <row r="1475">
      <c r="A1475" s="120" t="n">
        <v>46252</v>
      </c>
      <c r="B1475" s="66" t="inlineStr">
        <is>
          <t>Wk 34</t>
        </is>
      </c>
      <c r="C1475" s="66" t="inlineStr">
        <is>
          <t>Tue</t>
        </is>
      </c>
      <c r="D1475" s="66" t="inlineStr">
        <is>
          <t>TikTok</t>
        </is>
      </c>
      <c r="E1475" s="66" t="inlineStr">
        <is>
          <t>TikTok</t>
        </is>
      </c>
      <c r="F1475" s="66" t="inlineStr">
        <is>
          <t>LEP_ZA_AUG26_TT_SPARK_RANGE_TRAFFIC</t>
        </is>
      </c>
      <c r="G1475" s="66" t="inlineStr">
        <is>
          <t>Traffic - Spark Ads</t>
        </is>
      </c>
      <c r="H1475" s="66" t="inlineStr">
        <is>
          <t>Range</t>
        </is>
      </c>
      <c r="I1475" s="66" t="inlineStr">
        <is>
          <t>Range Offer</t>
        </is>
      </c>
      <c r="J1475" s="66" t="inlineStr">
        <is>
          <t>TT_SPARK_RMKT_VV_ZA</t>
        </is>
      </c>
      <c r="K1475" s="66" t="inlineStr">
        <is>
          <t>Retargeting</t>
        </is>
      </c>
      <c r="L1475" s="66" t="inlineStr">
        <is>
          <t>TT_SPARK_@thecarplug_Compare_v1</t>
        </is>
      </c>
      <c r="M1475" s="66" t="inlineStr">
        <is>
          <t>Spark Ad</t>
        </is>
      </c>
      <c r="N1475" s="66" t="inlineStr">
        <is>
          <t>Creator handle: @thecarplug</t>
        </is>
      </c>
      <c r="O1475" s="66" t="inlineStr">
        <is>
          <t>Auction - Lowest Cost</t>
        </is>
      </c>
      <c r="P1475" s="66" t="inlineStr">
        <is>
          <t>Landing Page View</t>
        </is>
      </c>
      <c r="Q1475" s="66" t="inlineStr">
        <is>
          <t>https://www.lepas-sa.co.za/book-a-test-drive</t>
        </is>
      </c>
      <c r="R1475" s="121" t="n">
        <v>64.34</v>
      </c>
      <c r="S1475" s="122" t="n">
        <v>1517</v>
      </c>
      <c r="T1475" s="122" t="n">
        <v>821</v>
      </c>
      <c r="U1475" s="123">
        <f>IFERROR(S1475/T1475,"")</f>
        <v/>
      </c>
      <c r="V1475" s="122" t="n">
        <v>37</v>
      </c>
      <c r="W1475" s="122" t="n">
        <v>31</v>
      </c>
      <c r="X1475" s="124">
        <f>IFERROR(W1475/S1475,"")</f>
        <v/>
      </c>
      <c r="Y1475" s="121">
        <f>IFERROR(R1475/W1475,"")</f>
        <v/>
      </c>
      <c r="Z1475" s="121">
        <f>IFERROR(R1475/S1475*1000,"")</f>
        <v/>
      </c>
      <c r="AA1475" s="122" t="n">
        <v>22</v>
      </c>
      <c r="AB1475" s="54">
        <f>IFERROR(AA1475/W1475,"")</f>
        <v/>
      </c>
      <c r="AC1475" s="122" t="n">
        <v>561</v>
      </c>
      <c r="AD1475" s="122" t="n">
        <v>344</v>
      </c>
      <c r="AE1475" s="122" t="n">
        <v>265</v>
      </c>
      <c r="AF1475" s="122" t="n">
        <v>157</v>
      </c>
      <c r="AG1475" s="122" t="n">
        <v>112</v>
      </c>
      <c r="AH1475" s="122" t="n">
        <v>80</v>
      </c>
      <c r="AI1475" s="54">
        <f>IFERROR(AC1475/S1475,"")</f>
        <v/>
      </c>
      <c r="AJ1475" s="54">
        <f>IFERROR(AH1475/S1475,"")</f>
        <v/>
      </c>
      <c r="AK1475" s="122" t="n">
        <v>40</v>
      </c>
      <c r="AL1475" s="122" t="n">
        <v>0</v>
      </c>
      <c r="AM1475" s="124">
        <f>IFERROR(AL1475/AA1475,"")</f>
        <v/>
      </c>
      <c r="AN1475" s="125">
        <f>IFERROR(R1475/AL1475,"")</f>
        <v/>
      </c>
      <c r="AO1475" s="122" t="n">
        <v>0</v>
      </c>
      <c r="AP1475" s="54">
        <f>IFERROR(AO1475/AL1475,"")</f>
        <v/>
      </c>
      <c r="AQ1475" s="125">
        <f>IFERROR(R1475/AO1475,"")</f>
        <v/>
      </c>
      <c r="AR1475" s="122" t="n">
        <v>0</v>
      </c>
      <c r="AS1475" s="122" t="n">
        <v>0</v>
      </c>
      <c r="AT1475" s="122">
        <f>AL1475+AR1475</f>
        <v/>
      </c>
      <c r="AU1475" s="125">
        <f>IFERROR(AO1475*Assumptions!$C$26*Assumptions!$C$27*INDEX(Assumptions!$C$18:$C$21,MATCH(H1475,Assumptions!$B$18:$B$21,0)),0)</f>
        <v/>
      </c>
    </row>
    <row r="1476">
      <c r="A1476" s="120" t="n">
        <v>46253</v>
      </c>
      <c r="B1476" s="66" t="inlineStr">
        <is>
          <t>Wk 34</t>
        </is>
      </c>
      <c r="C1476" s="66" t="inlineStr">
        <is>
          <t>Wed</t>
        </is>
      </c>
      <c r="D1476" s="66" t="inlineStr">
        <is>
          <t>TikTok</t>
        </is>
      </c>
      <c r="E1476" s="66" t="inlineStr">
        <is>
          <t>TikTok</t>
        </is>
      </c>
      <c r="F1476" s="66" t="inlineStr">
        <is>
          <t>LEP_ZA_AUG26_TT_SPARK_RANGE_TRAFFIC</t>
        </is>
      </c>
      <c r="G1476" s="66" t="inlineStr">
        <is>
          <t>Traffic - Spark Ads</t>
        </is>
      </c>
      <c r="H1476" s="66" t="inlineStr">
        <is>
          <t>Range</t>
        </is>
      </c>
      <c r="I1476" s="66" t="inlineStr">
        <is>
          <t>Range Offer</t>
        </is>
      </c>
      <c r="J1476" s="66" t="inlineStr">
        <is>
          <t>TT_SPARK_RMKT_VV_ZA</t>
        </is>
      </c>
      <c r="K1476" s="66" t="inlineStr">
        <is>
          <t>Retargeting</t>
        </is>
      </c>
      <c r="L1476" s="66" t="inlineStr">
        <is>
          <t>TT_SPARK_@thecarplug_Compare_v1</t>
        </is>
      </c>
      <c r="M1476" s="66" t="inlineStr">
        <is>
          <t>Spark Ad</t>
        </is>
      </c>
      <c r="N1476" s="66" t="inlineStr">
        <is>
          <t>Creator handle: @thecarplug</t>
        </is>
      </c>
      <c r="O1476" s="66" t="inlineStr">
        <is>
          <t>Auction - Lowest Cost</t>
        </is>
      </c>
      <c r="P1476" s="66" t="inlineStr">
        <is>
          <t>Landing Page View</t>
        </is>
      </c>
      <c r="Q1476" s="66" t="inlineStr">
        <is>
          <t>https://www.lepas-sa.co.za/book-a-test-drive</t>
        </is>
      </c>
      <c r="R1476" s="121" t="n">
        <v>77.92</v>
      </c>
      <c r="S1476" s="122" t="n">
        <v>2005</v>
      </c>
      <c r="T1476" s="122" t="n">
        <v>1045</v>
      </c>
      <c r="U1476" s="123">
        <f>IFERROR(S1476/T1476,"")</f>
        <v/>
      </c>
      <c r="V1476" s="122" t="n">
        <v>41</v>
      </c>
      <c r="W1476" s="122" t="n">
        <v>34</v>
      </c>
      <c r="X1476" s="124">
        <f>IFERROR(W1476/S1476,"")</f>
        <v/>
      </c>
      <c r="Y1476" s="121">
        <f>IFERROR(R1476/W1476,"")</f>
        <v/>
      </c>
      <c r="Z1476" s="121">
        <f>IFERROR(R1476/S1476*1000,"")</f>
        <v/>
      </c>
      <c r="AA1476" s="122" t="n">
        <v>24</v>
      </c>
      <c r="AB1476" s="54">
        <f>IFERROR(AA1476/W1476,"")</f>
        <v/>
      </c>
      <c r="AC1476" s="122" t="n">
        <v>541</v>
      </c>
      <c r="AD1476" s="122" t="n">
        <v>257</v>
      </c>
      <c r="AE1476" s="122" t="n">
        <v>218</v>
      </c>
      <c r="AF1476" s="122" t="n">
        <v>117</v>
      </c>
      <c r="AG1476" s="122" t="n">
        <v>78</v>
      </c>
      <c r="AH1476" s="122" t="n">
        <v>54</v>
      </c>
      <c r="AI1476" s="54">
        <f>IFERROR(AC1476/S1476,"")</f>
        <v/>
      </c>
      <c r="AJ1476" s="54">
        <f>IFERROR(AH1476/S1476,"")</f>
        <v/>
      </c>
      <c r="AK1476" s="122" t="n">
        <v>52</v>
      </c>
      <c r="AL1476" s="122" t="n">
        <v>0</v>
      </c>
      <c r="AM1476" s="124">
        <f>IFERROR(AL1476/AA1476,"")</f>
        <v/>
      </c>
      <c r="AN1476" s="125">
        <f>IFERROR(R1476/AL1476,"")</f>
        <v/>
      </c>
      <c r="AO1476" s="122" t="n">
        <v>0</v>
      </c>
      <c r="AP1476" s="54">
        <f>IFERROR(AO1476/AL1476,"")</f>
        <v/>
      </c>
      <c r="AQ1476" s="125">
        <f>IFERROR(R1476/AO1476,"")</f>
        <v/>
      </c>
      <c r="AR1476" s="122" t="n">
        <v>0</v>
      </c>
      <c r="AS1476" s="122" t="n">
        <v>0</v>
      </c>
      <c r="AT1476" s="122">
        <f>AL1476+AR1476</f>
        <v/>
      </c>
      <c r="AU1476" s="125">
        <f>IFERROR(AO1476*Assumptions!$C$26*Assumptions!$C$27*INDEX(Assumptions!$C$18:$C$21,MATCH(H1476,Assumptions!$B$18:$B$21,0)),0)</f>
        <v/>
      </c>
    </row>
    <row r="1477">
      <c r="A1477" s="120" t="n">
        <v>46254</v>
      </c>
      <c r="B1477" s="66" t="inlineStr">
        <is>
          <t>Wk 34</t>
        </is>
      </c>
      <c r="C1477" s="66" t="inlineStr">
        <is>
          <t>Thu</t>
        </is>
      </c>
      <c r="D1477" s="66" t="inlineStr">
        <is>
          <t>TikTok</t>
        </is>
      </c>
      <c r="E1477" s="66" t="inlineStr">
        <is>
          <t>TikTok</t>
        </is>
      </c>
      <c r="F1477" s="66" t="inlineStr">
        <is>
          <t>LEP_ZA_AUG26_TT_SPARK_RANGE_TRAFFIC</t>
        </is>
      </c>
      <c r="G1477" s="66" t="inlineStr">
        <is>
          <t>Traffic - Spark Ads</t>
        </is>
      </c>
      <c r="H1477" s="66" t="inlineStr">
        <is>
          <t>Range</t>
        </is>
      </c>
      <c r="I1477" s="66" t="inlineStr">
        <is>
          <t>Range Offer</t>
        </is>
      </c>
      <c r="J1477" s="66" t="inlineStr">
        <is>
          <t>TT_SPARK_RMKT_VV_ZA</t>
        </is>
      </c>
      <c r="K1477" s="66" t="inlineStr">
        <is>
          <t>Retargeting</t>
        </is>
      </c>
      <c r="L1477" s="66" t="inlineStr">
        <is>
          <t>TT_SPARK_@thecarplug_Compare_v1</t>
        </is>
      </c>
      <c r="M1477" s="66" t="inlineStr">
        <is>
          <t>Spark Ad</t>
        </is>
      </c>
      <c r="N1477" s="66" t="inlineStr">
        <is>
          <t>Creator handle: @thecarplug</t>
        </is>
      </c>
      <c r="O1477" s="66" t="inlineStr">
        <is>
          <t>Auction - Lowest Cost</t>
        </is>
      </c>
      <c r="P1477" s="66" t="inlineStr">
        <is>
          <t>Landing Page View</t>
        </is>
      </c>
      <c r="Q1477" s="66" t="inlineStr">
        <is>
          <t>https://www.lepas-sa.co.za/book-a-test-drive</t>
        </is>
      </c>
      <c r="R1477" s="121" t="n">
        <v>74.53</v>
      </c>
      <c r="S1477" s="122" t="n">
        <v>1635</v>
      </c>
      <c r="T1477" s="122" t="n">
        <v>792</v>
      </c>
      <c r="U1477" s="123">
        <f>IFERROR(S1477/T1477,"")</f>
        <v/>
      </c>
      <c r="V1477" s="122" t="n">
        <v>34</v>
      </c>
      <c r="W1477" s="122" t="n">
        <v>27</v>
      </c>
      <c r="X1477" s="124">
        <f>IFERROR(W1477/S1477,"")</f>
        <v/>
      </c>
      <c r="Y1477" s="121">
        <f>IFERROR(R1477/W1477,"")</f>
        <v/>
      </c>
      <c r="Z1477" s="121">
        <f>IFERROR(R1477/S1477*1000,"")</f>
        <v/>
      </c>
      <c r="AA1477" s="122" t="n">
        <v>17</v>
      </c>
      <c r="AB1477" s="54">
        <f>IFERROR(AA1477/W1477,"")</f>
        <v/>
      </c>
      <c r="AC1477" s="122" t="n">
        <v>522</v>
      </c>
      <c r="AD1477" s="122" t="n">
        <v>314</v>
      </c>
      <c r="AE1477" s="122" t="n">
        <v>259</v>
      </c>
      <c r="AF1477" s="122" t="n">
        <v>181</v>
      </c>
      <c r="AG1477" s="122" t="n">
        <v>139</v>
      </c>
      <c r="AH1477" s="122" t="n">
        <v>81</v>
      </c>
      <c r="AI1477" s="54">
        <f>IFERROR(AC1477/S1477,"")</f>
        <v/>
      </c>
      <c r="AJ1477" s="54">
        <f>IFERROR(AH1477/S1477,"")</f>
        <v/>
      </c>
      <c r="AK1477" s="122" t="n">
        <v>43</v>
      </c>
      <c r="AL1477" s="122" t="n">
        <v>0</v>
      </c>
      <c r="AM1477" s="124">
        <f>IFERROR(AL1477/AA1477,"")</f>
        <v/>
      </c>
      <c r="AN1477" s="125">
        <f>IFERROR(R1477/AL1477,"")</f>
        <v/>
      </c>
      <c r="AO1477" s="122" t="n">
        <v>0</v>
      </c>
      <c r="AP1477" s="54">
        <f>IFERROR(AO1477/AL1477,"")</f>
        <v/>
      </c>
      <c r="AQ1477" s="125">
        <f>IFERROR(R1477/AO1477,"")</f>
        <v/>
      </c>
      <c r="AR1477" s="122" t="n">
        <v>0</v>
      </c>
      <c r="AS1477" s="122" t="n">
        <v>0</v>
      </c>
      <c r="AT1477" s="122">
        <f>AL1477+AR1477</f>
        <v/>
      </c>
      <c r="AU1477" s="125">
        <f>IFERROR(AO1477*Assumptions!$C$26*Assumptions!$C$27*INDEX(Assumptions!$C$18:$C$21,MATCH(H1477,Assumptions!$B$18:$B$21,0)),0)</f>
        <v/>
      </c>
    </row>
    <row r="1478">
      <c r="A1478" s="120" t="n">
        <v>46255</v>
      </c>
      <c r="B1478" s="66" t="inlineStr">
        <is>
          <t>Wk 34</t>
        </is>
      </c>
      <c r="C1478" s="66" t="inlineStr">
        <is>
          <t>Fri</t>
        </is>
      </c>
      <c r="D1478" s="66" t="inlineStr">
        <is>
          <t>TikTok</t>
        </is>
      </c>
      <c r="E1478" s="66" t="inlineStr">
        <is>
          <t>TikTok</t>
        </is>
      </c>
      <c r="F1478" s="66" t="inlineStr">
        <is>
          <t>LEP_ZA_AUG26_TT_SPARK_RANGE_TRAFFIC</t>
        </is>
      </c>
      <c r="G1478" s="66" t="inlineStr">
        <is>
          <t>Traffic - Spark Ads</t>
        </is>
      </c>
      <c r="H1478" s="66" t="inlineStr">
        <is>
          <t>Range</t>
        </is>
      </c>
      <c r="I1478" s="66" t="inlineStr">
        <is>
          <t>Range Offer</t>
        </is>
      </c>
      <c r="J1478" s="66" t="inlineStr">
        <is>
          <t>TT_SPARK_RMKT_VV_ZA</t>
        </is>
      </c>
      <c r="K1478" s="66" t="inlineStr">
        <is>
          <t>Retargeting</t>
        </is>
      </c>
      <c r="L1478" s="66" t="inlineStr">
        <is>
          <t>TT_SPARK_@thecarplug_Compare_v1</t>
        </is>
      </c>
      <c r="M1478" s="66" t="inlineStr">
        <is>
          <t>Spark Ad</t>
        </is>
      </c>
      <c r="N1478" s="66" t="inlineStr">
        <is>
          <t>Creator handle: @thecarplug</t>
        </is>
      </c>
      <c r="O1478" s="66" t="inlineStr">
        <is>
          <t>Auction - Lowest Cost</t>
        </is>
      </c>
      <c r="P1478" s="66" t="inlineStr">
        <is>
          <t>Landing Page View</t>
        </is>
      </c>
      <c r="Q1478" s="66" t="inlineStr">
        <is>
          <t>https://www.lepas-sa.co.za/book-a-test-drive</t>
        </is>
      </c>
      <c r="R1478" s="121" t="n">
        <v>74.63</v>
      </c>
      <c r="S1478" s="122" t="n">
        <v>1975</v>
      </c>
      <c r="T1478" s="122" t="n">
        <v>1244</v>
      </c>
      <c r="U1478" s="123">
        <f>IFERROR(S1478/T1478,"")</f>
        <v/>
      </c>
      <c r="V1478" s="122" t="n">
        <v>35</v>
      </c>
      <c r="W1478" s="122" t="n">
        <v>27</v>
      </c>
      <c r="X1478" s="124">
        <f>IFERROR(W1478/S1478,"")</f>
        <v/>
      </c>
      <c r="Y1478" s="121">
        <f>IFERROR(R1478/W1478,"")</f>
        <v/>
      </c>
      <c r="Z1478" s="121">
        <f>IFERROR(R1478/S1478*1000,"")</f>
        <v/>
      </c>
      <c r="AA1478" s="122" t="n">
        <v>19</v>
      </c>
      <c r="AB1478" s="54">
        <f>IFERROR(AA1478/W1478,"")</f>
        <v/>
      </c>
      <c r="AC1478" s="122" t="n">
        <v>772</v>
      </c>
      <c r="AD1478" s="122" t="n">
        <v>460</v>
      </c>
      <c r="AE1478" s="122" t="n">
        <v>328</v>
      </c>
      <c r="AF1478" s="122" t="n">
        <v>185</v>
      </c>
      <c r="AG1478" s="122" t="n">
        <v>129</v>
      </c>
      <c r="AH1478" s="122" t="n">
        <v>72</v>
      </c>
      <c r="AI1478" s="54">
        <f>IFERROR(AC1478/S1478,"")</f>
        <v/>
      </c>
      <c r="AJ1478" s="54">
        <f>IFERROR(AH1478/S1478,"")</f>
        <v/>
      </c>
      <c r="AK1478" s="122" t="n">
        <v>53</v>
      </c>
      <c r="AL1478" s="122" t="n">
        <v>0</v>
      </c>
      <c r="AM1478" s="124">
        <f>IFERROR(AL1478/AA1478,"")</f>
        <v/>
      </c>
      <c r="AN1478" s="125">
        <f>IFERROR(R1478/AL1478,"")</f>
        <v/>
      </c>
      <c r="AO1478" s="122" t="n">
        <v>0</v>
      </c>
      <c r="AP1478" s="54">
        <f>IFERROR(AO1478/AL1478,"")</f>
        <v/>
      </c>
      <c r="AQ1478" s="125">
        <f>IFERROR(R1478/AO1478,"")</f>
        <v/>
      </c>
      <c r="AR1478" s="122" t="n">
        <v>0</v>
      </c>
      <c r="AS1478" s="122" t="n">
        <v>0</v>
      </c>
      <c r="AT1478" s="122">
        <f>AL1478+AR1478</f>
        <v/>
      </c>
      <c r="AU1478" s="125">
        <f>IFERROR(AO1478*Assumptions!$C$26*Assumptions!$C$27*INDEX(Assumptions!$C$18:$C$21,MATCH(H1478,Assumptions!$B$18:$B$21,0)),0)</f>
        <v/>
      </c>
    </row>
    <row r="1479">
      <c r="A1479" s="120" t="n">
        <v>46256</v>
      </c>
      <c r="B1479" s="66" t="inlineStr">
        <is>
          <t>Wk 34</t>
        </is>
      </c>
      <c r="C1479" s="66" t="inlineStr">
        <is>
          <t>Sat</t>
        </is>
      </c>
      <c r="D1479" s="66" t="inlineStr">
        <is>
          <t>TikTok</t>
        </is>
      </c>
      <c r="E1479" s="66" t="inlineStr">
        <is>
          <t>TikTok</t>
        </is>
      </c>
      <c r="F1479" s="66" t="inlineStr">
        <is>
          <t>LEP_ZA_AUG26_TT_SPARK_RANGE_TRAFFIC</t>
        </is>
      </c>
      <c r="G1479" s="66" t="inlineStr">
        <is>
          <t>Traffic - Spark Ads</t>
        </is>
      </c>
      <c r="H1479" s="66" t="inlineStr">
        <is>
          <t>Range</t>
        </is>
      </c>
      <c r="I1479" s="66" t="inlineStr">
        <is>
          <t>Range Offer</t>
        </is>
      </c>
      <c r="J1479" s="66" t="inlineStr">
        <is>
          <t>TT_SPARK_RMKT_VV_ZA</t>
        </is>
      </c>
      <c r="K1479" s="66" t="inlineStr">
        <is>
          <t>Retargeting</t>
        </is>
      </c>
      <c r="L1479" s="66" t="inlineStr">
        <is>
          <t>TT_SPARK_@thecarplug_Compare_v1</t>
        </is>
      </c>
      <c r="M1479" s="66" t="inlineStr">
        <is>
          <t>Spark Ad</t>
        </is>
      </c>
      <c r="N1479" s="66" t="inlineStr">
        <is>
          <t>Creator handle: @thecarplug</t>
        </is>
      </c>
      <c r="O1479" s="66" t="inlineStr">
        <is>
          <t>Auction - Lowest Cost</t>
        </is>
      </c>
      <c r="P1479" s="66" t="inlineStr">
        <is>
          <t>Landing Page View</t>
        </is>
      </c>
      <c r="Q1479" s="66" t="inlineStr">
        <is>
          <t>https://www.lepas-sa.co.za/book-a-test-drive</t>
        </is>
      </c>
      <c r="R1479" s="121" t="n">
        <v>87.48999999999999</v>
      </c>
      <c r="S1479" s="122" t="n">
        <v>2121</v>
      </c>
      <c r="T1479" s="122" t="n">
        <v>999</v>
      </c>
      <c r="U1479" s="123">
        <f>IFERROR(S1479/T1479,"")</f>
        <v/>
      </c>
      <c r="V1479" s="122" t="n">
        <v>39</v>
      </c>
      <c r="W1479" s="122" t="n">
        <v>30</v>
      </c>
      <c r="X1479" s="124">
        <f>IFERROR(W1479/S1479,"")</f>
        <v/>
      </c>
      <c r="Y1479" s="121">
        <f>IFERROR(R1479/W1479,"")</f>
        <v/>
      </c>
      <c r="Z1479" s="121">
        <f>IFERROR(R1479/S1479*1000,"")</f>
        <v/>
      </c>
      <c r="AA1479" s="122" t="n">
        <v>22</v>
      </c>
      <c r="AB1479" s="54">
        <f>IFERROR(AA1479/W1479,"")</f>
        <v/>
      </c>
      <c r="AC1479" s="122" t="n">
        <v>474</v>
      </c>
      <c r="AD1479" s="122" t="n">
        <v>276</v>
      </c>
      <c r="AE1479" s="122" t="n">
        <v>219</v>
      </c>
      <c r="AF1479" s="122" t="n">
        <v>143</v>
      </c>
      <c r="AG1479" s="122" t="n">
        <v>104</v>
      </c>
      <c r="AH1479" s="122" t="n">
        <v>59</v>
      </c>
      <c r="AI1479" s="54">
        <f>IFERROR(AC1479/S1479,"")</f>
        <v/>
      </c>
      <c r="AJ1479" s="54">
        <f>IFERROR(AH1479/S1479,"")</f>
        <v/>
      </c>
      <c r="AK1479" s="122" t="n">
        <v>108</v>
      </c>
      <c r="AL1479" s="122" t="n">
        <v>1</v>
      </c>
      <c r="AM1479" s="124">
        <f>IFERROR(AL1479/AA1479,"")</f>
        <v/>
      </c>
      <c r="AN1479" s="125">
        <f>IFERROR(R1479/AL1479,"")</f>
        <v/>
      </c>
      <c r="AO1479" s="122" t="n">
        <v>1</v>
      </c>
      <c r="AP1479" s="54">
        <f>IFERROR(AO1479/AL1479,"")</f>
        <v/>
      </c>
      <c r="AQ1479" s="125">
        <f>IFERROR(R1479/AO1479,"")</f>
        <v/>
      </c>
      <c r="AR1479" s="122" t="n">
        <v>0</v>
      </c>
      <c r="AS1479" s="122" t="n">
        <v>0</v>
      </c>
      <c r="AT1479" s="122">
        <f>AL1479+AR1479</f>
        <v/>
      </c>
      <c r="AU1479" s="125">
        <f>IFERROR(AO1479*Assumptions!$C$26*Assumptions!$C$27*INDEX(Assumptions!$C$18:$C$21,MATCH(H1479,Assumptions!$B$18:$B$21,0)),0)</f>
        <v/>
      </c>
    </row>
    <row r="1480">
      <c r="A1480" s="120" t="n">
        <v>46257</v>
      </c>
      <c r="B1480" s="66" t="inlineStr">
        <is>
          <t>Wk 34</t>
        </is>
      </c>
      <c r="C1480" s="66" t="inlineStr">
        <is>
          <t>Sun</t>
        </is>
      </c>
      <c r="D1480" s="66" t="inlineStr">
        <is>
          <t>TikTok</t>
        </is>
      </c>
      <c r="E1480" s="66" t="inlineStr">
        <is>
          <t>TikTok</t>
        </is>
      </c>
      <c r="F1480" s="66" t="inlineStr">
        <is>
          <t>LEP_ZA_AUG26_TT_SPARK_RANGE_TRAFFIC</t>
        </is>
      </c>
      <c r="G1480" s="66" t="inlineStr">
        <is>
          <t>Traffic - Spark Ads</t>
        </is>
      </c>
      <c r="H1480" s="66" t="inlineStr">
        <is>
          <t>Range</t>
        </is>
      </c>
      <c r="I1480" s="66" t="inlineStr">
        <is>
          <t>Range Offer</t>
        </is>
      </c>
      <c r="J1480" s="66" t="inlineStr">
        <is>
          <t>TT_SPARK_RMKT_VV_ZA</t>
        </is>
      </c>
      <c r="K1480" s="66" t="inlineStr">
        <is>
          <t>Retargeting</t>
        </is>
      </c>
      <c r="L1480" s="66" t="inlineStr">
        <is>
          <t>TT_SPARK_@thecarplug_Compare_v1</t>
        </is>
      </c>
      <c r="M1480" s="66" t="inlineStr">
        <is>
          <t>Spark Ad</t>
        </is>
      </c>
      <c r="N1480" s="66" t="inlineStr">
        <is>
          <t>Creator handle: @thecarplug</t>
        </is>
      </c>
      <c r="O1480" s="66" t="inlineStr">
        <is>
          <t>Auction - Lowest Cost</t>
        </is>
      </c>
      <c r="P1480" s="66" t="inlineStr">
        <is>
          <t>Landing Page View</t>
        </is>
      </c>
      <c r="Q1480" s="66" t="inlineStr">
        <is>
          <t>https://www.lepas-sa.co.za/book-a-test-drive</t>
        </is>
      </c>
      <c r="R1480" s="121" t="n">
        <v>62.03</v>
      </c>
      <c r="S1480" s="122" t="n">
        <v>1343</v>
      </c>
      <c r="T1480" s="122" t="n">
        <v>683</v>
      </c>
      <c r="U1480" s="123">
        <f>IFERROR(S1480/T1480,"")</f>
        <v/>
      </c>
      <c r="V1480" s="122" t="n">
        <v>20</v>
      </c>
      <c r="W1480" s="122" t="n">
        <v>16</v>
      </c>
      <c r="X1480" s="124">
        <f>IFERROR(W1480/S1480,"")</f>
        <v/>
      </c>
      <c r="Y1480" s="121">
        <f>IFERROR(R1480/W1480,"")</f>
        <v/>
      </c>
      <c r="Z1480" s="121">
        <f>IFERROR(R1480/S1480*1000,"")</f>
        <v/>
      </c>
      <c r="AA1480" s="122" t="n">
        <v>10</v>
      </c>
      <c r="AB1480" s="54">
        <f>IFERROR(AA1480/W1480,"")</f>
        <v/>
      </c>
      <c r="AC1480" s="122" t="n">
        <v>547</v>
      </c>
      <c r="AD1480" s="122" t="n">
        <v>341</v>
      </c>
      <c r="AE1480" s="122" t="n">
        <v>221</v>
      </c>
      <c r="AF1480" s="122" t="n">
        <v>155</v>
      </c>
      <c r="AG1480" s="122" t="n">
        <v>111</v>
      </c>
      <c r="AH1480" s="122" t="n">
        <v>81</v>
      </c>
      <c r="AI1480" s="54">
        <f>IFERROR(AC1480/S1480,"")</f>
        <v/>
      </c>
      <c r="AJ1480" s="54">
        <f>IFERROR(AH1480/S1480,"")</f>
        <v/>
      </c>
      <c r="AK1480" s="122" t="n">
        <v>62</v>
      </c>
      <c r="AL1480" s="122" t="n">
        <v>0</v>
      </c>
      <c r="AM1480" s="124">
        <f>IFERROR(AL1480/AA1480,"")</f>
        <v/>
      </c>
      <c r="AN1480" s="125">
        <f>IFERROR(R1480/AL1480,"")</f>
        <v/>
      </c>
      <c r="AO1480" s="122" t="n">
        <v>0</v>
      </c>
      <c r="AP1480" s="54">
        <f>IFERROR(AO1480/AL1480,"")</f>
        <v/>
      </c>
      <c r="AQ1480" s="125">
        <f>IFERROR(R1480/AO1480,"")</f>
        <v/>
      </c>
      <c r="AR1480" s="122" t="n">
        <v>0</v>
      </c>
      <c r="AS1480" s="122" t="n">
        <v>0</v>
      </c>
      <c r="AT1480" s="122">
        <f>AL1480+AR1480</f>
        <v/>
      </c>
      <c r="AU1480" s="125">
        <f>IFERROR(AO1480*Assumptions!$C$26*Assumptions!$C$27*INDEX(Assumptions!$C$18:$C$21,MATCH(H1480,Assumptions!$B$18:$B$21,0)),0)</f>
        <v/>
      </c>
    </row>
    <row r="1481">
      <c r="A1481" s="120" t="n">
        <v>46258</v>
      </c>
      <c r="B1481" s="66" t="inlineStr">
        <is>
          <t>Wk 35</t>
        </is>
      </c>
      <c r="C1481" s="66" t="inlineStr">
        <is>
          <t>Mon</t>
        </is>
      </c>
      <c r="D1481" s="66" t="inlineStr">
        <is>
          <t>TikTok</t>
        </is>
      </c>
      <c r="E1481" s="66" t="inlineStr">
        <is>
          <t>TikTok</t>
        </is>
      </c>
      <c r="F1481" s="66" t="inlineStr">
        <is>
          <t>LEP_ZA_AUG26_TT_SPARK_RANGE_TRAFFIC</t>
        </is>
      </c>
      <c r="G1481" s="66" t="inlineStr">
        <is>
          <t>Traffic - Spark Ads</t>
        </is>
      </c>
      <c r="H1481" s="66" t="inlineStr">
        <is>
          <t>Range</t>
        </is>
      </c>
      <c r="I1481" s="66" t="inlineStr">
        <is>
          <t>Range Offer</t>
        </is>
      </c>
      <c r="J1481" s="66" t="inlineStr">
        <is>
          <t>TT_SPARK_RMKT_VV_ZA</t>
        </is>
      </c>
      <c r="K1481" s="66" t="inlineStr">
        <is>
          <t>Retargeting</t>
        </is>
      </c>
      <c r="L1481" s="66" t="inlineStr">
        <is>
          <t>TT_SPARK_@thecarplug_Compare_v1</t>
        </is>
      </c>
      <c r="M1481" s="66" t="inlineStr">
        <is>
          <t>Spark Ad</t>
        </is>
      </c>
      <c r="N1481" s="66" t="inlineStr">
        <is>
          <t>Creator handle: @thecarplug</t>
        </is>
      </c>
      <c r="O1481" s="66" t="inlineStr">
        <is>
          <t>Auction - Lowest Cost</t>
        </is>
      </c>
      <c r="P1481" s="66" t="inlineStr">
        <is>
          <t>Landing Page View</t>
        </is>
      </c>
      <c r="Q1481" s="66" t="inlineStr">
        <is>
          <t>https://www.lepas-sa.co.za/book-a-test-drive</t>
        </is>
      </c>
      <c r="R1481" s="121" t="n">
        <v>67.87</v>
      </c>
      <c r="S1481" s="122" t="n">
        <v>1299</v>
      </c>
      <c r="T1481" s="122" t="n">
        <v>629</v>
      </c>
      <c r="U1481" s="123">
        <f>IFERROR(S1481/T1481,"")</f>
        <v/>
      </c>
      <c r="V1481" s="122" t="n">
        <v>17</v>
      </c>
      <c r="W1481" s="122" t="n">
        <v>14</v>
      </c>
      <c r="X1481" s="124">
        <f>IFERROR(W1481/S1481,"")</f>
        <v/>
      </c>
      <c r="Y1481" s="121">
        <f>IFERROR(R1481/W1481,"")</f>
        <v/>
      </c>
      <c r="Z1481" s="121">
        <f>IFERROR(R1481/S1481*1000,"")</f>
        <v/>
      </c>
      <c r="AA1481" s="122" t="n">
        <v>10</v>
      </c>
      <c r="AB1481" s="54">
        <f>IFERROR(AA1481/W1481,"")</f>
        <v/>
      </c>
      <c r="AC1481" s="122" t="n">
        <v>368</v>
      </c>
      <c r="AD1481" s="122" t="n">
        <v>220</v>
      </c>
      <c r="AE1481" s="122" t="n">
        <v>189</v>
      </c>
      <c r="AF1481" s="122" t="n">
        <v>100</v>
      </c>
      <c r="AG1481" s="122" t="n">
        <v>67</v>
      </c>
      <c r="AH1481" s="122" t="n">
        <v>44</v>
      </c>
      <c r="AI1481" s="54">
        <f>IFERROR(AC1481/S1481,"")</f>
        <v/>
      </c>
      <c r="AJ1481" s="54">
        <f>IFERROR(AH1481/S1481,"")</f>
        <v/>
      </c>
      <c r="AK1481" s="122" t="n">
        <v>43</v>
      </c>
      <c r="AL1481" s="122" t="n">
        <v>0</v>
      </c>
      <c r="AM1481" s="124">
        <f>IFERROR(AL1481/AA1481,"")</f>
        <v/>
      </c>
      <c r="AN1481" s="125">
        <f>IFERROR(R1481/AL1481,"")</f>
        <v/>
      </c>
      <c r="AO1481" s="122" t="n">
        <v>0</v>
      </c>
      <c r="AP1481" s="54">
        <f>IFERROR(AO1481/AL1481,"")</f>
        <v/>
      </c>
      <c r="AQ1481" s="125">
        <f>IFERROR(R1481/AO1481,"")</f>
        <v/>
      </c>
      <c r="AR1481" s="122" t="n">
        <v>0</v>
      </c>
      <c r="AS1481" s="122" t="n">
        <v>0</v>
      </c>
      <c r="AT1481" s="122">
        <f>AL1481+AR1481</f>
        <v/>
      </c>
      <c r="AU1481" s="125">
        <f>IFERROR(AO1481*Assumptions!$C$26*Assumptions!$C$27*INDEX(Assumptions!$C$18:$C$21,MATCH(H1481,Assumptions!$B$18:$B$21,0)),0)</f>
        <v/>
      </c>
    </row>
    <row r="1482">
      <c r="A1482" s="120" t="n">
        <v>46259</v>
      </c>
      <c r="B1482" s="66" t="inlineStr">
        <is>
          <t>Wk 35</t>
        </is>
      </c>
      <c r="C1482" s="66" t="inlineStr">
        <is>
          <t>Tue</t>
        </is>
      </c>
      <c r="D1482" s="66" t="inlineStr">
        <is>
          <t>TikTok</t>
        </is>
      </c>
      <c r="E1482" s="66" t="inlineStr">
        <is>
          <t>TikTok</t>
        </is>
      </c>
      <c r="F1482" s="66" t="inlineStr">
        <is>
          <t>LEP_ZA_AUG26_TT_SPARK_RANGE_TRAFFIC</t>
        </is>
      </c>
      <c r="G1482" s="66" t="inlineStr">
        <is>
          <t>Traffic - Spark Ads</t>
        </is>
      </c>
      <c r="H1482" s="66" t="inlineStr">
        <is>
          <t>Range</t>
        </is>
      </c>
      <c r="I1482" s="66" t="inlineStr">
        <is>
          <t>Range Offer</t>
        </is>
      </c>
      <c r="J1482" s="66" t="inlineStr">
        <is>
          <t>TT_SPARK_RMKT_VV_ZA</t>
        </is>
      </c>
      <c r="K1482" s="66" t="inlineStr">
        <is>
          <t>Retargeting</t>
        </is>
      </c>
      <c r="L1482" s="66" t="inlineStr">
        <is>
          <t>TT_SPARK_@thecarplug_Compare_v1</t>
        </is>
      </c>
      <c r="M1482" s="66" t="inlineStr">
        <is>
          <t>Spark Ad</t>
        </is>
      </c>
      <c r="N1482" s="66" t="inlineStr">
        <is>
          <t>Creator handle: @thecarplug</t>
        </is>
      </c>
      <c r="O1482" s="66" t="inlineStr">
        <is>
          <t>Auction - Lowest Cost</t>
        </is>
      </c>
      <c r="P1482" s="66" t="inlineStr">
        <is>
          <t>Landing Page View</t>
        </is>
      </c>
      <c r="Q1482" s="66" t="inlineStr">
        <is>
          <t>https://www.lepas-sa.co.za/book-a-test-drive</t>
        </is>
      </c>
      <c r="R1482" s="121" t="n">
        <v>76.98999999999999</v>
      </c>
      <c r="S1482" s="122" t="n">
        <v>1640</v>
      </c>
      <c r="T1482" s="122" t="n">
        <v>735</v>
      </c>
      <c r="U1482" s="123">
        <f>IFERROR(S1482/T1482,"")</f>
        <v/>
      </c>
      <c r="V1482" s="122" t="n">
        <v>41</v>
      </c>
      <c r="W1482" s="122" t="n">
        <v>32</v>
      </c>
      <c r="X1482" s="124">
        <f>IFERROR(W1482/S1482,"")</f>
        <v/>
      </c>
      <c r="Y1482" s="121">
        <f>IFERROR(R1482/W1482,"")</f>
        <v/>
      </c>
      <c r="Z1482" s="121">
        <f>IFERROR(R1482/S1482*1000,"")</f>
        <v/>
      </c>
      <c r="AA1482" s="122" t="n">
        <v>25</v>
      </c>
      <c r="AB1482" s="54">
        <f>IFERROR(AA1482/W1482,"")</f>
        <v/>
      </c>
      <c r="AC1482" s="122" t="n">
        <v>542</v>
      </c>
      <c r="AD1482" s="122" t="n">
        <v>328</v>
      </c>
      <c r="AE1482" s="122" t="n">
        <v>213</v>
      </c>
      <c r="AF1482" s="122" t="n">
        <v>134</v>
      </c>
      <c r="AG1482" s="122" t="n">
        <v>94</v>
      </c>
      <c r="AH1482" s="122" t="n">
        <v>56</v>
      </c>
      <c r="AI1482" s="54">
        <f>IFERROR(AC1482/S1482,"")</f>
        <v/>
      </c>
      <c r="AJ1482" s="54">
        <f>IFERROR(AH1482/S1482,"")</f>
        <v/>
      </c>
      <c r="AK1482" s="122" t="n">
        <v>41</v>
      </c>
      <c r="AL1482" s="122" t="n">
        <v>0</v>
      </c>
      <c r="AM1482" s="124">
        <f>IFERROR(AL1482/AA1482,"")</f>
        <v/>
      </c>
      <c r="AN1482" s="125">
        <f>IFERROR(R1482/AL1482,"")</f>
        <v/>
      </c>
      <c r="AO1482" s="122" t="n">
        <v>0</v>
      </c>
      <c r="AP1482" s="54">
        <f>IFERROR(AO1482/AL1482,"")</f>
        <v/>
      </c>
      <c r="AQ1482" s="125">
        <f>IFERROR(R1482/AO1482,"")</f>
        <v/>
      </c>
      <c r="AR1482" s="122" t="n">
        <v>0</v>
      </c>
      <c r="AS1482" s="122" t="n">
        <v>0</v>
      </c>
      <c r="AT1482" s="122">
        <f>AL1482+AR1482</f>
        <v/>
      </c>
      <c r="AU1482" s="125">
        <f>IFERROR(AO1482*Assumptions!$C$26*Assumptions!$C$27*INDEX(Assumptions!$C$18:$C$21,MATCH(H1482,Assumptions!$B$18:$B$21,0)),0)</f>
        <v/>
      </c>
    </row>
    <row r="1483">
      <c r="A1483" s="120" t="n">
        <v>46260</v>
      </c>
      <c r="B1483" s="66" t="inlineStr">
        <is>
          <t>Wk 35</t>
        </is>
      </c>
      <c r="C1483" s="66" t="inlineStr">
        <is>
          <t>Wed</t>
        </is>
      </c>
      <c r="D1483" s="66" t="inlineStr">
        <is>
          <t>TikTok</t>
        </is>
      </c>
      <c r="E1483" s="66" t="inlineStr">
        <is>
          <t>TikTok</t>
        </is>
      </c>
      <c r="F1483" s="66" t="inlineStr">
        <is>
          <t>LEP_ZA_AUG26_TT_SPARK_RANGE_TRAFFIC</t>
        </is>
      </c>
      <c r="G1483" s="66" t="inlineStr">
        <is>
          <t>Traffic - Spark Ads</t>
        </is>
      </c>
      <c r="H1483" s="66" t="inlineStr">
        <is>
          <t>Range</t>
        </is>
      </c>
      <c r="I1483" s="66" t="inlineStr">
        <is>
          <t>Range Offer</t>
        </is>
      </c>
      <c r="J1483" s="66" t="inlineStr">
        <is>
          <t>TT_SPARK_RMKT_VV_ZA</t>
        </is>
      </c>
      <c r="K1483" s="66" t="inlineStr">
        <is>
          <t>Retargeting</t>
        </is>
      </c>
      <c r="L1483" s="66" t="inlineStr">
        <is>
          <t>TT_SPARK_@thecarplug_Compare_v1</t>
        </is>
      </c>
      <c r="M1483" s="66" t="inlineStr">
        <is>
          <t>Spark Ad</t>
        </is>
      </c>
      <c r="N1483" s="66" t="inlineStr">
        <is>
          <t>Creator handle: @thecarplug</t>
        </is>
      </c>
      <c r="O1483" s="66" t="inlineStr">
        <is>
          <t>Auction - Lowest Cost</t>
        </is>
      </c>
      <c r="P1483" s="66" t="inlineStr">
        <is>
          <t>Landing Page View</t>
        </is>
      </c>
      <c r="Q1483" s="66" t="inlineStr">
        <is>
          <t>https://www.lepas-sa.co.za/book-a-test-drive</t>
        </is>
      </c>
      <c r="R1483" s="121" t="n">
        <v>74.83</v>
      </c>
      <c r="S1483" s="122" t="n">
        <v>1573</v>
      </c>
      <c r="T1483" s="122" t="n">
        <v>785</v>
      </c>
      <c r="U1483" s="123">
        <f>IFERROR(S1483/T1483,"")</f>
        <v/>
      </c>
      <c r="V1483" s="122" t="n">
        <v>33</v>
      </c>
      <c r="W1483" s="122" t="n">
        <v>25</v>
      </c>
      <c r="X1483" s="124">
        <f>IFERROR(W1483/S1483,"")</f>
        <v/>
      </c>
      <c r="Y1483" s="121">
        <f>IFERROR(R1483/W1483,"")</f>
        <v/>
      </c>
      <c r="Z1483" s="121">
        <f>IFERROR(R1483/S1483*1000,"")</f>
        <v/>
      </c>
      <c r="AA1483" s="122" t="n">
        <v>18</v>
      </c>
      <c r="AB1483" s="54">
        <f>IFERROR(AA1483/W1483,"")</f>
        <v/>
      </c>
      <c r="AC1483" s="122" t="n">
        <v>620</v>
      </c>
      <c r="AD1483" s="122" t="n">
        <v>315</v>
      </c>
      <c r="AE1483" s="122" t="n">
        <v>309</v>
      </c>
      <c r="AF1483" s="122" t="n">
        <v>198</v>
      </c>
      <c r="AG1483" s="122" t="n">
        <v>147</v>
      </c>
      <c r="AH1483" s="122" t="n">
        <v>93</v>
      </c>
      <c r="AI1483" s="54">
        <f>IFERROR(AC1483/S1483,"")</f>
        <v/>
      </c>
      <c r="AJ1483" s="54">
        <f>IFERROR(AH1483/S1483,"")</f>
        <v/>
      </c>
      <c r="AK1483" s="122" t="n">
        <v>36</v>
      </c>
      <c r="AL1483" s="122" t="n">
        <v>0</v>
      </c>
      <c r="AM1483" s="124">
        <f>IFERROR(AL1483/AA1483,"")</f>
        <v/>
      </c>
      <c r="AN1483" s="125">
        <f>IFERROR(R1483/AL1483,"")</f>
        <v/>
      </c>
      <c r="AO1483" s="122" t="n">
        <v>0</v>
      </c>
      <c r="AP1483" s="54">
        <f>IFERROR(AO1483/AL1483,"")</f>
        <v/>
      </c>
      <c r="AQ1483" s="125">
        <f>IFERROR(R1483/AO1483,"")</f>
        <v/>
      </c>
      <c r="AR1483" s="122" t="n">
        <v>0</v>
      </c>
      <c r="AS1483" s="122" t="n">
        <v>0</v>
      </c>
      <c r="AT1483" s="122">
        <f>AL1483+AR1483</f>
        <v/>
      </c>
      <c r="AU1483" s="125">
        <f>IFERROR(AO1483*Assumptions!$C$26*Assumptions!$C$27*INDEX(Assumptions!$C$18:$C$21,MATCH(H1483,Assumptions!$B$18:$B$21,0)),0)</f>
        <v/>
      </c>
    </row>
    <row r="1484">
      <c r="A1484" s="120" t="n">
        <v>46261</v>
      </c>
      <c r="B1484" s="66" t="inlineStr">
        <is>
          <t>Wk 35</t>
        </is>
      </c>
      <c r="C1484" s="66" t="inlineStr">
        <is>
          <t>Thu</t>
        </is>
      </c>
      <c r="D1484" s="66" t="inlineStr">
        <is>
          <t>TikTok</t>
        </is>
      </c>
      <c r="E1484" s="66" t="inlineStr">
        <is>
          <t>TikTok</t>
        </is>
      </c>
      <c r="F1484" s="66" t="inlineStr">
        <is>
          <t>LEP_ZA_AUG26_TT_SPARK_RANGE_TRAFFIC</t>
        </is>
      </c>
      <c r="G1484" s="66" t="inlineStr">
        <is>
          <t>Traffic - Spark Ads</t>
        </is>
      </c>
      <c r="H1484" s="66" t="inlineStr">
        <is>
          <t>Range</t>
        </is>
      </c>
      <c r="I1484" s="66" t="inlineStr">
        <is>
          <t>Range Offer</t>
        </is>
      </c>
      <c r="J1484" s="66" t="inlineStr">
        <is>
          <t>TT_SPARK_RMKT_VV_ZA</t>
        </is>
      </c>
      <c r="K1484" s="66" t="inlineStr">
        <is>
          <t>Retargeting</t>
        </is>
      </c>
      <c r="L1484" s="66" t="inlineStr">
        <is>
          <t>TT_SPARK_@thecarplug_Compare_v1</t>
        </is>
      </c>
      <c r="M1484" s="66" t="inlineStr">
        <is>
          <t>Spark Ad</t>
        </is>
      </c>
      <c r="N1484" s="66" t="inlineStr">
        <is>
          <t>Creator handle: @thecarplug</t>
        </is>
      </c>
      <c r="O1484" s="66" t="inlineStr">
        <is>
          <t>Auction - Lowest Cost</t>
        </is>
      </c>
      <c r="P1484" s="66" t="inlineStr">
        <is>
          <t>Landing Page View</t>
        </is>
      </c>
      <c r="Q1484" s="66" t="inlineStr">
        <is>
          <t>https://www.lepas-sa.co.za/book-a-test-drive</t>
        </is>
      </c>
      <c r="R1484" s="121" t="n">
        <v>90.13</v>
      </c>
      <c r="S1484" s="122" t="n">
        <v>1932</v>
      </c>
      <c r="T1484" s="122" t="n">
        <v>998</v>
      </c>
      <c r="U1484" s="123">
        <f>IFERROR(S1484/T1484,"")</f>
        <v/>
      </c>
      <c r="V1484" s="122" t="n">
        <v>27</v>
      </c>
      <c r="W1484" s="122" t="n">
        <v>22</v>
      </c>
      <c r="X1484" s="124">
        <f>IFERROR(W1484/S1484,"")</f>
        <v/>
      </c>
      <c r="Y1484" s="121">
        <f>IFERROR(R1484/W1484,"")</f>
        <v/>
      </c>
      <c r="Z1484" s="121">
        <f>IFERROR(R1484/S1484*1000,"")</f>
        <v/>
      </c>
      <c r="AA1484" s="122" t="n">
        <v>14</v>
      </c>
      <c r="AB1484" s="54">
        <f>IFERROR(AA1484/W1484,"")</f>
        <v/>
      </c>
      <c r="AC1484" s="122" t="n">
        <v>671</v>
      </c>
      <c r="AD1484" s="122" t="n">
        <v>367</v>
      </c>
      <c r="AE1484" s="122" t="n">
        <v>288</v>
      </c>
      <c r="AF1484" s="122" t="n">
        <v>170</v>
      </c>
      <c r="AG1484" s="122" t="n">
        <v>135</v>
      </c>
      <c r="AH1484" s="122" t="n">
        <v>77</v>
      </c>
      <c r="AI1484" s="54">
        <f>IFERROR(AC1484/S1484,"")</f>
        <v/>
      </c>
      <c r="AJ1484" s="54">
        <f>IFERROR(AH1484/S1484,"")</f>
        <v/>
      </c>
      <c r="AK1484" s="122" t="n">
        <v>87</v>
      </c>
      <c r="AL1484" s="122" t="n">
        <v>0</v>
      </c>
      <c r="AM1484" s="124">
        <f>IFERROR(AL1484/AA1484,"")</f>
        <v/>
      </c>
      <c r="AN1484" s="125">
        <f>IFERROR(R1484/AL1484,"")</f>
        <v/>
      </c>
      <c r="AO1484" s="122" t="n">
        <v>0</v>
      </c>
      <c r="AP1484" s="54">
        <f>IFERROR(AO1484/AL1484,"")</f>
        <v/>
      </c>
      <c r="AQ1484" s="125">
        <f>IFERROR(R1484/AO1484,"")</f>
        <v/>
      </c>
      <c r="AR1484" s="122" t="n">
        <v>0</v>
      </c>
      <c r="AS1484" s="122" t="n">
        <v>0</v>
      </c>
      <c r="AT1484" s="122">
        <f>AL1484+AR1484</f>
        <v/>
      </c>
      <c r="AU1484" s="125">
        <f>IFERROR(AO1484*Assumptions!$C$26*Assumptions!$C$27*INDEX(Assumptions!$C$18:$C$21,MATCH(H1484,Assumptions!$B$18:$B$21,0)),0)</f>
        <v/>
      </c>
    </row>
    <row r="1485">
      <c r="A1485" s="120" t="n">
        <v>46262</v>
      </c>
      <c r="B1485" s="66" t="inlineStr">
        <is>
          <t>Wk 35</t>
        </is>
      </c>
      <c r="C1485" s="66" t="inlineStr">
        <is>
          <t>Fri</t>
        </is>
      </c>
      <c r="D1485" s="66" t="inlineStr">
        <is>
          <t>TikTok</t>
        </is>
      </c>
      <c r="E1485" s="66" t="inlineStr">
        <is>
          <t>TikTok</t>
        </is>
      </c>
      <c r="F1485" s="66" t="inlineStr">
        <is>
          <t>LEP_ZA_AUG26_TT_SPARK_RANGE_TRAFFIC</t>
        </is>
      </c>
      <c r="G1485" s="66" t="inlineStr">
        <is>
          <t>Traffic - Spark Ads</t>
        </is>
      </c>
      <c r="H1485" s="66" t="inlineStr">
        <is>
          <t>Range</t>
        </is>
      </c>
      <c r="I1485" s="66" t="inlineStr">
        <is>
          <t>Range Offer</t>
        </is>
      </c>
      <c r="J1485" s="66" t="inlineStr">
        <is>
          <t>TT_SPARK_RMKT_VV_ZA</t>
        </is>
      </c>
      <c r="K1485" s="66" t="inlineStr">
        <is>
          <t>Retargeting</t>
        </is>
      </c>
      <c r="L1485" s="66" t="inlineStr">
        <is>
          <t>TT_SPARK_@thecarplug_Compare_v1</t>
        </is>
      </c>
      <c r="M1485" s="66" t="inlineStr">
        <is>
          <t>Spark Ad</t>
        </is>
      </c>
      <c r="N1485" s="66" t="inlineStr">
        <is>
          <t>Creator handle: @thecarplug</t>
        </is>
      </c>
      <c r="O1485" s="66" t="inlineStr">
        <is>
          <t>Auction - Lowest Cost</t>
        </is>
      </c>
      <c r="P1485" s="66" t="inlineStr">
        <is>
          <t>Landing Page View</t>
        </is>
      </c>
      <c r="Q1485" s="66" t="inlineStr">
        <is>
          <t>https://www.lepas-sa.co.za/book-a-test-drive</t>
        </is>
      </c>
      <c r="R1485" s="121" t="n">
        <v>86.98999999999999</v>
      </c>
      <c r="S1485" s="122" t="n">
        <v>2486</v>
      </c>
      <c r="T1485" s="122" t="n">
        <v>1178</v>
      </c>
      <c r="U1485" s="123">
        <f>IFERROR(S1485/T1485,"")</f>
        <v/>
      </c>
      <c r="V1485" s="122" t="n">
        <v>38</v>
      </c>
      <c r="W1485" s="122" t="n">
        <v>28</v>
      </c>
      <c r="X1485" s="124">
        <f>IFERROR(W1485/S1485,"")</f>
        <v/>
      </c>
      <c r="Y1485" s="121">
        <f>IFERROR(R1485/W1485,"")</f>
        <v/>
      </c>
      <c r="Z1485" s="121">
        <f>IFERROR(R1485/S1485*1000,"")</f>
        <v/>
      </c>
      <c r="AA1485" s="122" t="n">
        <v>19</v>
      </c>
      <c r="AB1485" s="54">
        <f>IFERROR(AA1485/W1485,"")</f>
        <v/>
      </c>
      <c r="AC1485" s="122" t="n">
        <v>873</v>
      </c>
      <c r="AD1485" s="122" t="n">
        <v>542</v>
      </c>
      <c r="AE1485" s="122" t="n">
        <v>368</v>
      </c>
      <c r="AF1485" s="122" t="n">
        <v>201</v>
      </c>
      <c r="AG1485" s="122" t="n">
        <v>137</v>
      </c>
      <c r="AH1485" s="122" t="n">
        <v>99</v>
      </c>
      <c r="AI1485" s="54">
        <f>IFERROR(AC1485/S1485,"")</f>
        <v/>
      </c>
      <c r="AJ1485" s="54">
        <f>IFERROR(AH1485/S1485,"")</f>
        <v/>
      </c>
      <c r="AK1485" s="122" t="n">
        <v>117</v>
      </c>
      <c r="AL1485" s="122" t="n">
        <v>0</v>
      </c>
      <c r="AM1485" s="124">
        <f>IFERROR(AL1485/AA1485,"")</f>
        <v/>
      </c>
      <c r="AN1485" s="125">
        <f>IFERROR(R1485/AL1485,"")</f>
        <v/>
      </c>
      <c r="AO1485" s="122" t="n">
        <v>0</v>
      </c>
      <c r="AP1485" s="54">
        <f>IFERROR(AO1485/AL1485,"")</f>
        <v/>
      </c>
      <c r="AQ1485" s="125">
        <f>IFERROR(R1485/AO1485,"")</f>
        <v/>
      </c>
      <c r="AR1485" s="122" t="n">
        <v>0</v>
      </c>
      <c r="AS1485" s="122" t="n">
        <v>0</v>
      </c>
      <c r="AT1485" s="122">
        <f>AL1485+AR1485</f>
        <v/>
      </c>
      <c r="AU1485" s="125">
        <f>IFERROR(AO1485*Assumptions!$C$26*Assumptions!$C$27*INDEX(Assumptions!$C$18:$C$21,MATCH(H1485,Assumptions!$B$18:$B$21,0)),0)</f>
        <v/>
      </c>
    </row>
    <row r="1486">
      <c r="A1486" s="120" t="n">
        <v>46263</v>
      </c>
      <c r="B1486" s="66" t="inlineStr">
        <is>
          <t>Wk 35</t>
        </is>
      </c>
      <c r="C1486" s="66" t="inlineStr">
        <is>
          <t>Sat</t>
        </is>
      </c>
      <c r="D1486" s="66" t="inlineStr">
        <is>
          <t>TikTok</t>
        </is>
      </c>
      <c r="E1486" s="66" t="inlineStr">
        <is>
          <t>TikTok</t>
        </is>
      </c>
      <c r="F1486" s="66" t="inlineStr">
        <is>
          <t>LEP_ZA_AUG26_TT_SPARK_RANGE_TRAFFIC</t>
        </is>
      </c>
      <c r="G1486" s="66" t="inlineStr">
        <is>
          <t>Traffic - Spark Ads</t>
        </is>
      </c>
      <c r="H1486" s="66" t="inlineStr">
        <is>
          <t>Range</t>
        </is>
      </c>
      <c r="I1486" s="66" t="inlineStr">
        <is>
          <t>Range Offer</t>
        </is>
      </c>
      <c r="J1486" s="66" t="inlineStr">
        <is>
          <t>TT_SPARK_RMKT_VV_ZA</t>
        </is>
      </c>
      <c r="K1486" s="66" t="inlineStr">
        <is>
          <t>Retargeting</t>
        </is>
      </c>
      <c r="L1486" s="66" t="inlineStr">
        <is>
          <t>TT_SPARK_@thecarplug_Compare_v1</t>
        </is>
      </c>
      <c r="M1486" s="66" t="inlineStr">
        <is>
          <t>Spark Ad</t>
        </is>
      </c>
      <c r="N1486" s="66" t="inlineStr">
        <is>
          <t>Creator handle: @thecarplug</t>
        </is>
      </c>
      <c r="O1486" s="66" t="inlineStr">
        <is>
          <t>Auction - Lowest Cost</t>
        </is>
      </c>
      <c r="P1486" s="66" t="inlineStr">
        <is>
          <t>Landing Page View</t>
        </is>
      </c>
      <c r="Q1486" s="66" t="inlineStr">
        <is>
          <t>https://www.lepas-sa.co.za/book-a-test-drive</t>
        </is>
      </c>
      <c r="R1486" s="121" t="n">
        <v>97.65000000000001</v>
      </c>
      <c r="S1486" s="122" t="n">
        <v>1510</v>
      </c>
      <c r="T1486" s="122" t="n">
        <v>720</v>
      </c>
      <c r="U1486" s="123">
        <f>IFERROR(S1486/T1486,"")</f>
        <v/>
      </c>
      <c r="V1486" s="122" t="n">
        <v>36</v>
      </c>
      <c r="W1486" s="122" t="n">
        <v>26</v>
      </c>
      <c r="X1486" s="124">
        <f>IFERROR(W1486/S1486,"")</f>
        <v/>
      </c>
      <c r="Y1486" s="121">
        <f>IFERROR(R1486/W1486,"")</f>
        <v/>
      </c>
      <c r="Z1486" s="121">
        <f>IFERROR(R1486/S1486*1000,"")</f>
        <v/>
      </c>
      <c r="AA1486" s="122" t="n">
        <v>18</v>
      </c>
      <c r="AB1486" s="54">
        <f>IFERROR(AA1486/W1486,"")</f>
        <v/>
      </c>
      <c r="AC1486" s="122" t="n">
        <v>518</v>
      </c>
      <c r="AD1486" s="122" t="n">
        <v>248</v>
      </c>
      <c r="AE1486" s="122" t="n">
        <v>236</v>
      </c>
      <c r="AF1486" s="122" t="n">
        <v>160</v>
      </c>
      <c r="AG1486" s="122" t="n">
        <v>111</v>
      </c>
      <c r="AH1486" s="122" t="n">
        <v>72</v>
      </c>
      <c r="AI1486" s="54">
        <f>IFERROR(AC1486/S1486,"")</f>
        <v/>
      </c>
      <c r="AJ1486" s="54">
        <f>IFERROR(AH1486/S1486,"")</f>
        <v/>
      </c>
      <c r="AK1486" s="122" t="n">
        <v>32</v>
      </c>
      <c r="AL1486" s="122" t="n">
        <v>0</v>
      </c>
      <c r="AM1486" s="124">
        <f>IFERROR(AL1486/AA1486,"")</f>
        <v/>
      </c>
      <c r="AN1486" s="125">
        <f>IFERROR(R1486/AL1486,"")</f>
        <v/>
      </c>
      <c r="AO1486" s="122" t="n">
        <v>0</v>
      </c>
      <c r="AP1486" s="54">
        <f>IFERROR(AO1486/AL1486,"")</f>
        <v/>
      </c>
      <c r="AQ1486" s="125">
        <f>IFERROR(R1486/AO1486,"")</f>
        <v/>
      </c>
      <c r="AR1486" s="122" t="n">
        <v>0</v>
      </c>
      <c r="AS1486" s="122" t="n">
        <v>0</v>
      </c>
      <c r="AT1486" s="122">
        <f>AL1486+AR1486</f>
        <v/>
      </c>
      <c r="AU1486" s="125">
        <f>IFERROR(AO1486*Assumptions!$C$26*Assumptions!$C$27*INDEX(Assumptions!$C$18:$C$21,MATCH(H1486,Assumptions!$B$18:$B$21,0)),0)</f>
        <v/>
      </c>
    </row>
    <row r="1487">
      <c r="A1487" s="120" t="n">
        <v>46264</v>
      </c>
      <c r="B1487" s="66" t="inlineStr">
        <is>
          <t>Wk 35</t>
        </is>
      </c>
      <c r="C1487" s="66" t="inlineStr">
        <is>
          <t>Sun</t>
        </is>
      </c>
      <c r="D1487" s="66" t="inlineStr">
        <is>
          <t>TikTok</t>
        </is>
      </c>
      <c r="E1487" s="66" t="inlineStr">
        <is>
          <t>TikTok</t>
        </is>
      </c>
      <c r="F1487" s="66" t="inlineStr">
        <is>
          <t>LEP_ZA_AUG26_TT_SPARK_RANGE_TRAFFIC</t>
        </is>
      </c>
      <c r="G1487" s="66" t="inlineStr">
        <is>
          <t>Traffic - Spark Ads</t>
        </is>
      </c>
      <c r="H1487" s="66" t="inlineStr">
        <is>
          <t>Range</t>
        </is>
      </c>
      <c r="I1487" s="66" t="inlineStr">
        <is>
          <t>Range Offer</t>
        </is>
      </c>
      <c r="J1487" s="66" t="inlineStr">
        <is>
          <t>TT_SPARK_RMKT_VV_ZA</t>
        </is>
      </c>
      <c r="K1487" s="66" t="inlineStr">
        <is>
          <t>Retargeting</t>
        </is>
      </c>
      <c r="L1487" s="66" t="inlineStr">
        <is>
          <t>TT_SPARK_@thecarplug_Compare_v1</t>
        </is>
      </c>
      <c r="M1487" s="66" t="inlineStr">
        <is>
          <t>Spark Ad</t>
        </is>
      </c>
      <c r="N1487" s="66" t="inlineStr">
        <is>
          <t>Creator handle: @thecarplug</t>
        </is>
      </c>
      <c r="O1487" s="66" t="inlineStr">
        <is>
          <t>Auction - Lowest Cost</t>
        </is>
      </c>
      <c r="P1487" s="66" t="inlineStr">
        <is>
          <t>Landing Page View</t>
        </is>
      </c>
      <c r="Q1487" s="66" t="inlineStr">
        <is>
          <t>https://www.lepas-sa.co.za/book-a-test-drive</t>
        </is>
      </c>
      <c r="R1487" s="121" t="n">
        <v>71.13</v>
      </c>
      <c r="S1487" s="122" t="n">
        <v>1335</v>
      </c>
      <c r="T1487" s="122" t="n">
        <v>611</v>
      </c>
      <c r="U1487" s="123">
        <f>IFERROR(S1487/T1487,"")</f>
        <v/>
      </c>
      <c r="V1487" s="122" t="n">
        <v>35</v>
      </c>
      <c r="W1487" s="122" t="n">
        <v>25</v>
      </c>
      <c r="X1487" s="124">
        <f>IFERROR(W1487/S1487,"")</f>
        <v/>
      </c>
      <c r="Y1487" s="121">
        <f>IFERROR(R1487/W1487,"")</f>
        <v/>
      </c>
      <c r="Z1487" s="121">
        <f>IFERROR(R1487/S1487*1000,"")</f>
        <v/>
      </c>
      <c r="AA1487" s="122" t="n">
        <v>17</v>
      </c>
      <c r="AB1487" s="54">
        <f>IFERROR(AA1487/W1487,"")</f>
        <v/>
      </c>
      <c r="AC1487" s="122" t="n">
        <v>471</v>
      </c>
      <c r="AD1487" s="122" t="n">
        <v>225</v>
      </c>
      <c r="AE1487" s="122" t="n">
        <v>175</v>
      </c>
      <c r="AF1487" s="122" t="n">
        <v>114</v>
      </c>
      <c r="AG1487" s="122" t="n">
        <v>89</v>
      </c>
      <c r="AH1487" s="122" t="n">
        <v>59</v>
      </c>
      <c r="AI1487" s="54">
        <f>IFERROR(AC1487/S1487,"")</f>
        <v/>
      </c>
      <c r="AJ1487" s="54">
        <f>IFERROR(AH1487/S1487,"")</f>
        <v/>
      </c>
      <c r="AK1487" s="122" t="n">
        <v>53</v>
      </c>
      <c r="AL1487" s="122" t="n">
        <v>0</v>
      </c>
      <c r="AM1487" s="124">
        <f>IFERROR(AL1487/AA1487,"")</f>
        <v/>
      </c>
      <c r="AN1487" s="125">
        <f>IFERROR(R1487/AL1487,"")</f>
        <v/>
      </c>
      <c r="AO1487" s="122" t="n">
        <v>0</v>
      </c>
      <c r="AP1487" s="54">
        <f>IFERROR(AO1487/AL1487,"")</f>
        <v/>
      </c>
      <c r="AQ1487" s="125">
        <f>IFERROR(R1487/AO1487,"")</f>
        <v/>
      </c>
      <c r="AR1487" s="122" t="n">
        <v>0</v>
      </c>
      <c r="AS1487" s="122" t="n">
        <v>0</v>
      </c>
      <c r="AT1487" s="122">
        <f>AL1487+AR1487</f>
        <v/>
      </c>
      <c r="AU1487" s="125">
        <f>IFERROR(AO1487*Assumptions!$C$26*Assumptions!$C$27*INDEX(Assumptions!$C$18:$C$21,MATCH(H1487,Assumptions!$B$18:$B$21,0)),0)</f>
        <v/>
      </c>
    </row>
    <row r="1488">
      <c r="A1488" s="120" t="n">
        <v>46265</v>
      </c>
      <c r="B1488" s="66" t="inlineStr">
        <is>
          <t>Wk 36</t>
        </is>
      </c>
      <c r="C1488" s="66" t="inlineStr">
        <is>
          <t>Mon</t>
        </is>
      </c>
      <c r="D1488" s="66" t="inlineStr">
        <is>
          <t>TikTok</t>
        </is>
      </c>
      <c r="E1488" s="66" t="inlineStr">
        <is>
          <t>TikTok</t>
        </is>
      </c>
      <c r="F1488" s="66" t="inlineStr">
        <is>
          <t>LEP_ZA_AUG26_TT_SPARK_RANGE_TRAFFIC</t>
        </is>
      </c>
      <c r="G1488" s="66" t="inlineStr">
        <is>
          <t>Traffic - Spark Ads</t>
        </is>
      </c>
      <c r="H1488" s="66" t="inlineStr">
        <is>
          <t>Range</t>
        </is>
      </c>
      <c r="I1488" s="66" t="inlineStr">
        <is>
          <t>Range Offer</t>
        </is>
      </c>
      <c r="J1488" s="66" t="inlineStr">
        <is>
          <t>TT_SPARK_RMKT_VV_ZA</t>
        </is>
      </c>
      <c r="K1488" s="66" t="inlineStr">
        <is>
          <t>Retargeting</t>
        </is>
      </c>
      <c r="L1488" s="66" t="inlineStr">
        <is>
          <t>TT_SPARK_@thecarplug_Compare_v1</t>
        </is>
      </c>
      <c r="M1488" s="66" t="inlineStr">
        <is>
          <t>Spark Ad</t>
        </is>
      </c>
      <c r="N1488" s="66" t="inlineStr">
        <is>
          <t>Creator handle: @thecarplug</t>
        </is>
      </c>
      <c r="O1488" s="66" t="inlineStr">
        <is>
          <t>Auction - Lowest Cost</t>
        </is>
      </c>
      <c r="P1488" s="66" t="inlineStr">
        <is>
          <t>Landing Page View</t>
        </is>
      </c>
      <c r="Q1488" s="66" t="inlineStr">
        <is>
          <t>https://www.lepas-sa.co.za/book-a-test-drive</t>
        </is>
      </c>
      <c r="R1488" s="121" t="n">
        <v>80.36</v>
      </c>
      <c r="S1488" s="122" t="n">
        <v>1276</v>
      </c>
      <c r="T1488" s="122" t="n">
        <v>535</v>
      </c>
      <c r="U1488" s="123">
        <f>IFERROR(S1488/T1488,"")</f>
        <v/>
      </c>
      <c r="V1488" s="122" t="n">
        <v>27</v>
      </c>
      <c r="W1488" s="122" t="n">
        <v>22</v>
      </c>
      <c r="X1488" s="124">
        <f>IFERROR(W1488/S1488,"")</f>
        <v/>
      </c>
      <c r="Y1488" s="121">
        <f>IFERROR(R1488/W1488,"")</f>
        <v/>
      </c>
      <c r="Z1488" s="121">
        <f>IFERROR(R1488/S1488*1000,"")</f>
        <v/>
      </c>
      <c r="AA1488" s="122" t="n">
        <v>15</v>
      </c>
      <c r="AB1488" s="54">
        <f>IFERROR(AA1488/W1488,"")</f>
        <v/>
      </c>
      <c r="AC1488" s="122" t="n">
        <v>400</v>
      </c>
      <c r="AD1488" s="122" t="n">
        <v>245</v>
      </c>
      <c r="AE1488" s="122" t="n">
        <v>178</v>
      </c>
      <c r="AF1488" s="122" t="n">
        <v>120</v>
      </c>
      <c r="AG1488" s="122" t="n">
        <v>86</v>
      </c>
      <c r="AH1488" s="122" t="n">
        <v>52</v>
      </c>
      <c r="AI1488" s="54">
        <f>IFERROR(AC1488/S1488,"")</f>
        <v/>
      </c>
      <c r="AJ1488" s="54">
        <f>IFERROR(AH1488/S1488,"")</f>
        <v/>
      </c>
      <c r="AK1488" s="122" t="n">
        <v>42</v>
      </c>
      <c r="AL1488" s="122" t="n">
        <v>1</v>
      </c>
      <c r="AM1488" s="124">
        <f>IFERROR(AL1488/AA1488,"")</f>
        <v/>
      </c>
      <c r="AN1488" s="125">
        <f>IFERROR(R1488/AL1488,"")</f>
        <v/>
      </c>
      <c r="AO1488" s="122" t="n">
        <v>0</v>
      </c>
      <c r="AP1488" s="54">
        <f>IFERROR(AO1488/AL1488,"")</f>
        <v/>
      </c>
      <c r="AQ1488" s="125">
        <f>IFERROR(R1488/AO1488,"")</f>
        <v/>
      </c>
      <c r="AR1488" s="122" t="n">
        <v>1</v>
      </c>
      <c r="AS1488" s="122" t="n">
        <v>0</v>
      </c>
      <c r="AT1488" s="122">
        <f>AL1488+AR1488</f>
        <v/>
      </c>
      <c r="AU1488" s="125">
        <f>IFERROR(AO1488*Assumptions!$C$26*Assumptions!$C$27*INDEX(Assumptions!$C$18:$C$21,MATCH(H1488,Assumptions!$B$18:$B$21,0)),0)</f>
        <v/>
      </c>
    </row>
    <row r="1489">
      <c r="A1489" s="114" t="n">
        <v>46235</v>
      </c>
      <c r="B1489" s="42" t="inlineStr">
        <is>
          <t>Wk 31</t>
        </is>
      </c>
      <c r="C1489" s="42" t="inlineStr">
        <is>
          <t>Sat</t>
        </is>
      </c>
      <c r="D1489" s="42" t="inlineStr">
        <is>
          <t>X</t>
        </is>
      </c>
      <c r="E1489" s="42" t="inlineStr">
        <is>
          <t>X (Twitter)</t>
        </is>
      </c>
      <c r="F1489" s="42" t="inlineStr">
        <is>
          <t>LEP_ZA_AUG26_X_TD_RANGE_CONV</t>
        </is>
      </c>
      <c r="G1489" s="42" t="inlineStr">
        <is>
          <t>Website Conversions</t>
        </is>
      </c>
      <c r="H1489" s="42" t="inlineStr">
        <is>
          <t>Range</t>
        </is>
      </c>
      <c r="I1489" s="42" t="inlineStr">
        <is>
          <t>Range Offer</t>
        </is>
      </c>
      <c r="J1489" s="42" t="inlineStr">
        <is>
          <t>X_INMKT_AUTO_ZA</t>
        </is>
      </c>
      <c r="K1489" s="42" t="inlineStr">
        <is>
          <t>In-Market</t>
        </is>
      </c>
      <c r="L1489" s="42" t="inlineStr">
        <is>
          <t>X_STA_RangeOffer_v1</t>
        </is>
      </c>
      <c r="M1489" s="42" t="inlineStr">
        <is>
          <t>Image Ad</t>
        </is>
      </c>
      <c r="N1489" s="42" t="inlineStr">
        <is>
          <t>Three models. One test drive.</t>
        </is>
      </c>
      <c r="O1489" s="42" t="inlineStr">
        <is>
          <t>Auction - Lowest Cost</t>
        </is>
      </c>
      <c r="P1489" s="42" t="inlineStr">
        <is>
          <t>Site Visit / Conversion</t>
        </is>
      </c>
      <c r="Q1489" s="42" t="inlineStr">
        <is>
          <t>https://www.lepas-sa.co.za/offers</t>
        </is>
      </c>
      <c r="R1489" s="115" t="n">
        <v>352.57</v>
      </c>
      <c r="S1489" s="116" t="n">
        <v>4596</v>
      </c>
      <c r="T1489" s="116" t="n">
        <v>3516</v>
      </c>
      <c r="U1489" s="117">
        <f>IFERROR(S1489/T1489,"")</f>
        <v/>
      </c>
      <c r="V1489" s="116" t="n">
        <v>53</v>
      </c>
      <c r="W1489" s="116" t="n">
        <v>40</v>
      </c>
      <c r="X1489" s="118">
        <f>IFERROR(W1489/S1489,"")</f>
        <v/>
      </c>
      <c r="Y1489" s="115">
        <f>IFERROR(R1489/W1489,"")</f>
        <v/>
      </c>
      <c r="Z1489" s="115">
        <f>IFERROR(R1489/S1489*1000,"")</f>
        <v/>
      </c>
      <c r="AA1489" s="116" t="n">
        <v>29</v>
      </c>
      <c r="AB1489" s="47">
        <f>IFERROR(AA1489/W1489,"")</f>
        <v/>
      </c>
      <c r="AC1489" s="116" t="n">
        <v>0</v>
      </c>
      <c r="AD1489" s="116" t="n">
        <v>0</v>
      </c>
      <c r="AE1489" s="116" t="n">
        <v>0</v>
      </c>
      <c r="AF1489" s="116" t="n">
        <v>0</v>
      </c>
      <c r="AG1489" s="116" t="n">
        <v>0</v>
      </c>
      <c r="AH1489" s="116" t="n">
        <v>0</v>
      </c>
      <c r="AI1489" s="47">
        <f>IFERROR(AC1489/S1489,"")</f>
        <v/>
      </c>
      <c r="AJ1489" s="47">
        <f>IFERROR(AH1489/S1489,"")</f>
        <v/>
      </c>
      <c r="AK1489" s="116" t="n">
        <v>41</v>
      </c>
      <c r="AL1489" s="116" t="n">
        <v>1</v>
      </c>
      <c r="AM1489" s="118">
        <f>IFERROR(AL1489/AA1489,"")</f>
        <v/>
      </c>
      <c r="AN1489" s="119">
        <f>IFERROR(R1489/AL1489,"")</f>
        <v/>
      </c>
      <c r="AO1489" s="116" t="n">
        <v>1</v>
      </c>
      <c r="AP1489" s="47">
        <f>IFERROR(AO1489/AL1489,"")</f>
        <v/>
      </c>
      <c r="AQ1489" s="119">
        <f>IFERROR(R1489/AO1489,"")</f>
        <v/>
      </c>
      <c r="AR1489" s="116" t="n">
        <v>0</v>
      </c>
      <c r="AS1489" s="116" t="n">
        <v>0</v>
      </c>
      <c r="AT1489" s="116">
        <f>AL1489+AR1489</f>
        <v/>
      </c>
      <c r="AU1489" s="119">
        <f>IFERROR(AO1489*Assumptions!$C$26*Assumptions!$C$27*INDEX(Assumptions!$C$18:$C$21,MATCH(H1489,Assumptions!$B$18:$B$21,0)),0)</f>
        <v/>
      </c>
    </row>
    <row r="1490">
      <c r="A1490" s="114" t="n">
        <v>46236</v>
      </c>
      <c r="B1490" s="42" t="inlineStr">
        <is>
          <t>Wk 31</t>
        </is>
      </c>
      <c r="C1490" s="42" t="inlineStr">
        <is>
          <t>Sun</t>
        </is>
      </c>
      <c r="D1490" s="42" t="inlineStr">
        <is>
          <t>X</t>
        </is>
      </c>
      <c r="E1490" s="42" t="inlineStr">
        <is>
          <t>X (Twitter)</t>
        </is>
      </c>
      <c r="F1490" s="42" t="inlineStr">
        <is>
          <t>LEP_ZA_AUG26_X_TD_RANGE_CONV</t>
        </is>
      </c>
      <c r="G1490" s="42" t="inlineStr">
        <is>
          <t>Website Conversions</t>
        </is>
      </c>
      <c r="H1490" s="42" t="inlineStr">
        <is>
          <t>Range</t>
        </is>
      </c>
      <c r="I1490" s="42" t="inlineStr">
        <is>
          <t>Range Offer</t>
        </is>
      </c>
      <c r="J1490" s="42" t="inlineStr">
        <is>
          <t>X_INMKT_AUTO_ZA</t>
        </is>
      </c>
      <c r="K1490" s="42" t="inlineStr">
        <is>
          <t>In-Market</t>
        </is>
      </c>
      <c r="L1490" s="42" t="inlineStr">
        <is>
          <t>X_STA_RangeOffer_v1</t>
        </is>
      </c>
      <c r="M1490" s="42" t="inlineStr">
        <is>
          <t>Image Ad</t>
        </is>
      </c>
      <c r="N1490" s="42" t="inlineStr">
        <is>
          <t>Three models. One test drive.</t>
        </is>
      </c>
      <c r="O1490" s="42" t="inlineStr">
        <is>
          <t>Auction - Lowest Cost</t>
        </is>
      </c>
      <c r="P1490" s="42" t="inlineStr">
        <is>
          <t>Site Visit / Conversion</t>
        </is>
      </c>
      <c r="Q1490" s="42" t="inlineStr">
        <is>
          <t>https://www.lepas-sa.co.za/offers</t>
        </is>
      </c>
      <c r="R1490" s="115" t="n">
        <v>271</v>
      </c>
      <c r="S1490" s="116" t="n">
        <v>3456</v>
      </c>
      <c r="T1490" s="116" t="n">
        <v>3058</v>
      </c>
      <c r="U1490" s="117">
        <f>IFERROR(S1490/T1490,"")</f>
        <v/>
      </c>
      <c r="V1490" s="116" t="n">
        <v>34</v>
      </c>
      <c r="W1490" s="116" t="n">
        <v>26</v>
      </c>
      <c r="X1490" s="118">
        <f>IFERROR(W1490/S1490,"")</f>
        <v/>
      </c>
      <c r="Y1490" s="115">
        <f>IFERROR(R1490/W1490,"")</f>
        <v/>
      </c>
      <c r="Z1490" s="115">
        <f>IFERROR(R1490/S1490*1000,"")</f>
        <v/>
      </c>
      <c r="AA1490" s="116" t="n">
        <v>19</v>
      </c>
      <c r="AB1490" s="47">
        <f>IFERROR(AA1490/W1490,"")</f>
        <v/>
      </c>
      <c r="AC1490" s="116" t="n">
        <v>0</v>
      </c>
      <c r="AD1490" s="116" t="n">
        <v>0</v>
      </c>
      <c r="AE1490" s="116" t="n">
        <v>0</v>
      </c>
      <c r="AF1490" s="116" t="n">
        <v>0</v>
      </c>
      <c r="AG1490" s="116" t="n">
        <v>0</v>
      </c>
      <c r="AH1490" s="116" t="n">
        <v>0</v>
      </c>
      <c r="AI1490" s="47">
        <f>IFERROR(AC1490/S1490,"")</f>
        <v/>
      </c>
      <c r="AJ1490" s="47">
        <f>IFERROR(AH1490/S1490,"")</f>
        <v/>
      </c>
      <c r="AK1490" s="116" t="n">
        <v>36</v>
      </c>
      <c r="AL1490" s="116" t="n">
        <v>1</v>
      </c>
      <c r="AM1490" s="118">
        <f>IFERROR(AL1490/AA1490,"")</f>
        <v/>
      </c>
      <c r="AN1490" s="119">
        <f>IFERROR(R1490/AL1490,"")</f>
        <v/>
      </c>
      <c r="AO1490" s="116" t="n">
        <v>0</v>
      </c>
      <c r="AP1490" s="47">
        <f>IFERROR(AO1490/AL1490,"")</f>
        <v/>
      </c>
      <c r="AQ1490" s="119">
        <f>IFERROR(R1490/AO1490,"")</f>
        <v/>
      </c>
      <c r="AR1490" s="116" t="n">
        <v>0</v>
      </c>
      <c r="AS1490" s="116" t="n">
        <v>1</v>
      </c>
      <c r="AT1490" s="116">
        <f>AL1490+AR1490</f>
        <v/>
      </c>
      <c r="AU1490" s="119">
        <f>IFERROR(AO1490*Assumptions!$C$26*Assumptions!$C$27*INDEX(Assumptions!$C$18:$C$21,MATCH(H1490,Assumptions!$B$18:$B$21,0)),0)</f>
        <v/>
      </c>
    </row>
    <row r="1491">
      <c r="A1491" s="114" t="n">
        <v>46237</v>
      </c>
      <c r="B1491" s="42" t="inlineStr">
        <is>
          <t>Wk 32</t>
        </is>
      </c>
      <c r="C1491" s="42" t="inlineStr">
        <is>
          <t>Mon</t>
        </is>
      </c>
      <c r="D1491" s="42" t="inlineStr">
        <is>
          <t>X</t>
        </is>
      </c>
      <c r="E1491" s="42" t="inlineStr">
        <is>
          <t>X (Twitter)</t>
        </is>
      </c>
      <c r="F1491" s="42" t="inlineStr">
        <is>
          <t>LEP_ZA_AUG26_X_TD_RANGE_CONV</t>
        </is>
      </c>
      <c r="G1491" s="42" t="inlineStr">
        <is>
          <t>Website Conversions</t>
        </is>
      </c>
      <c r="H1491" s="42" t="inlineStr">
        <is>
          <t>Range</t>
        </is>
      </c>
      <c r="I1491" s="42" t="inlineStr">
        <is>
          <t>Range Offer</t>
        </is>
      </c>
      <c r="J1491" s="42" t="inlineStr">
        <is>
          <t>X_INMKT_AUTO_ZA</t>
        </is>
      </c>
      <c r="K1491" s="42" t="inlineStr">
        <is>
          <t>In-Market</t>
        </is>
      </c>
      <c r="L1491" s="42" t="inlineStr">
        <is>
          <t>X_STA_RangeOffer_v1</t>
        </is>
      </c>
      <c r="M1491" s="42" t="inlineStr">
        <is>
          <t>Image Ad</t>
        </is>
      </c>
      <c r="N1491" s="42" t="inlineStr">
        <is>
          <t>Three models. One test drive.</t>
        </is>
      </c>
      <c r="O1491" s="42" t="inlineStr">
        <is>
          <t>Auction - Lowest Cost</t>
        </is>
      </c>
      <c r="P1491" s="42" t="inlineStr">
        <is>
          <t>Site Visit / Conversion</t>
        </is>
      </c>
      <c r="Q1491" s="42" t="inlineStr">
        <is>
          <t>https://www.lepas-sa.co.za/offers</t>
        </is>
      </c>
      <c r="R1491" s="115" t="n">
        <v>231.06</v>
      </c>
      <c r="S1491" s="116" t="n">
        <v>3800</v>
      </c>
      <c r="T1491" s="116" t="n">
        <v>2642</v>
      </c>
      <c r="U1491" s="117">
        <f>IFERROR(S1491/T1491,"")</f>
        <v/>
      </c>
      <c r="V1491" s="116" t="n">
        <v>51</v>
      </c>
      <c r="W1491" s="116" t="n">
        <v>39</v>
      </c>
      <c r="X1491" s="118">
        <f>IFERROR(W1491/S1491,"")</f>
        <v/>
      </c>
      <c r="Y1491" s="115">
        <f>IFERROR(R1491/W1491,"")</f>
        <v/>
      </c>
      <c r="Z1491" s="115">
        <f>IFERROR(R1491/S1491*1000,"")</f>
        <v/>
      </c>
      <c r="AA1491" s="116" t="n">
        <v>29</v>
      </c>
      <c r="AB1491" s="47">
        <f>IFERROR(AA1491/W1491,"")</f>
        <v/>
      </c>
      <c r="AC1491" s="116" t="n">
        <v>0</v>
      </c>
      <c r="AD1491" s="116" t="n">
        <v>0</v>
      </c>
      <c r="AE1491" s="116" t="n">
        <v>0</v>
      </c>
      <c r="AF1491" s="116" t="n">
        <v>0</v>
      </c>
      <c r="AG1491" s="116" t="n">
        <v>0</v>
      </c>
      <c r="AH1491" s="116" t="n">
        <v>0</v>
      </c>
      <c r="AI1491" s="47">
        <f>IFERROR(AC1491/S1491,"")</f>
        <v/>
      </c>
      <c r="AJ1491" s="47">
        <f>IFERROR(AH1491/S1491,"")</f>
        <v/>
      </c>
      <c r="AK1491" s="116" t="n">
        <v>105</v>
      </c>
      <c r="AL1491" s="116" t="n">
        <v>0</v>
      </c>
      <c r="AM1491" s="118">
        <f>IFERROR(AL1491/AA1491,"")</f>
        <v/>
      </c>
      <c r="AN1491" s="119">
        <f>IFERROR(R1491/AL1491,"")</f>
        <v/>
      </c>
      <c r="AO1491" s="116" t="n">
        <v>0</v>
      </c>
      <c r="AP1491" s="47">
        <f>IFERROR(AO1491/AL1491,"")</f>
        <v/>
      </c>
      <c r="AQ1491" s="119">
        <f>IFERROR(R1491/AO1491,"")</f>
        <v/>
      </c>
      <c r="AR1491" s="116" t="n">
        <v>0</v>
      </c>
      <c r="AS1491" s="116" t="n">
        <v>0</v>
      </c>
      <c r="AT1491" s="116">
        <f>AL1491+AR1491</f>
        <v/>
      </c>
      <c r="AU1491" s="119">
        <f>IFERROR(AO1491*Assumptions!$C$26*Assumptions!$C$27*INDEX(Assumptions!$C$18:$C$21,MATCH(H1491,Assumptions!$B$18:$B$21,0)),0)</f>
        <v/>
      </c>
    </row>
    <row r="1492">
      <c r="A1492" s="114" t="n">
        <v>46238</v>
      </c>
      <c r="B1492" s="42" t="inlineStr">
        <is>
          <t>Wk 32</t>
        </is>
      </c>
      <c r="C1492" s="42" t="inlineStr">
        <is>
          <t>Tue</t>
        </is>
      </c>
      <c r="D1492" s="42" t="inlineStr">
        <is>
          <t>X</t>
        </is>
      </c>
      <c r="E1492" s="42" t="inlineStr">
        <is>
          <t>X (Twitter)</t>
        </is>
      </c>
      <c r="F1492" s="42" t="inlineStr">
        <is>
          <t>LEP_ZA_AUG26_X_TD_RANGE_CONV</t>
        </is>
      </c>
      <c r="G1492" s="42" t="inlineStr">
        <is>
          <t>Website Conversions</t>
        </is>
      </c>
      <c r="H1492" s="42" t="inlineStr">
        <is>
          <t>Range</t>
        </is>
      </c>
      <c r="I1492" s="42" t="inlineStr">
        <is>
          <t>Range Offer</t>
        </is>
      </c>
      <c r="J1492" s="42" t="inlineStr">
        <is>
          <t>X_INMKT_AUTO_ZA</t>
        </is>
      </c>
      <c r="K1492" s="42" t="inlineStr">
        <is>
          <t>In-Market</t>
        </is>
      </c>
      <c r="L1492" s="42" t="inlineStr">
        <is>
          <t>X_STA_RangeOffer_v1</t>
        </is>
      </c>
      <c r="M1492" s="42" t="inlineStr">
        <is>
          <t>Image Ad</t>
        </is>
      </c>
      <c r="N1492" s="42" t="inlineStr">
        <is>
          <t>Three models. One test drive.</t>
        </is>
      </c>
      <c r="O1492" s="42" t="inlineStr">
        <is>
          <t>Auction - Lowest Cost</t>
        </is>
      </c>
      <c r="P1492" s="42" t="inlineStr">
        <is>
          <t>Site Visit / Conversion</t>
        </is>
      </c>
      <c r="Q1492" s="42" t="inlineStr">
        <is>
          <t>https://www.lepas-sa.co.za/offers</t>
        </is>
      </c>
      <c r="R1492" s="115" t="n">
        <v>305.77</v>
      </c>
      <c r="S1492" s="116" t="n">
        <v>4874</v>
      </c>
      <c r="T1492" s="116" t="n">
        <v>3963</v>
      </c>
      <c r="U1492" s="117">
        <f>IFERROR(S1492/T1492,"")</f>
        <v/>
      </c>
      <c r="V1492" s="116" t="n">
        <v>37</v>
      </c>
      <c r="W1492" s="116" t="n">
        <v>30</v>
      </c>
      <c r="X1492" s="118">
        <f>IFERROR(W1492/S1492,"")</f>
        <v/>
      </c>
      <c r="Y1492" s="115">
        <f>IFERROR(R1492/W1492,"")</f>
        <v/>
      </c>
      <c r="Z1492" s="115">
        <f>IFERROR(R1492/S1492*1000,"")</f>
        <v/>
      </c>
      <c r="AA1492" s="116" t="n">
        <v>24</v>
      </c>
      <c r="AB1492" s="47">
        <f>IFERROR(AA1492/W1492,"")</f>
        <v/>
      </c>
      <c r="AC1492" s="116" t="n">
        <v>0</v>
      </c>
      <c r="AD1492" s="116" t="n">
        <v>0</v>
      </c>
      <c r="AE1492" s="116" t="n">
        <v>0</v>
      </c>
      <c r="AF1492" s="116" t="n">
        <v>0</v>
      </c>
      <c r="AG1492" s="116" t="n">
        <v>0</v>
      </c>
      <c r="AH1492" s="116" t="n">
        <v>0</v>
      </c>
      <c r="AI1492" s="47">
        <f>IFERROR(AC1492/S1492,"")</f>
        <v/>
      </c>
      <c r="AJ1492" s="47">
        <f>IFERROR(AH1492/S1492,"")</f>
        <v/>
      </c>
      <c r="AK1492" s="116" t="n">
        <v>54</v>
      </c>
      <c r="AL1492" s="116" t="n">
        <v>0</v>
      </c>
      <c r="AM1492" s="118">
        <f>IFERROR(AL1492/AA1492,"")</f>
        <v/>
      </c>
      <c r="AN1492" s="119">
        <f>IFERROR(R1492/AL1492,"")</f>
        <v/>
      </c>
      <c r="AO1492" s="116" t="n">
        <v>0</v>
      </c>
      <c r="AP1492" s="47">
        <f>IFERROR(AO1492/AL1492,"")</f>
        <v/>
      </c>
      <c r="AQ1492" s="119">
        <f>IFERROR(R1492/AO1492,"")</f>
        <v/>
      </c>
      <c r="AR1492" s="116" t="n">
        <v>0</v>
      </c>
      <c r="AS1492" s="116" t="n">
        <v>0</v>
      </c>
      <c r="AT1492" s="116">
        <f>AL1492+AR1492</f>
        <v/>
      </c>
      <c r="AU1492" s="119">
        <f>IFERROR(AO1492*Assumptions!$C$26*Assumptions!$C$27*INDEX(Assumptions!$C$18:$C$21,MATCH(H1492,Assumptions!$B$18:$B$21,0)),0)</f>
        <v/>
      </c>
    </row>
    <row r="1493">
      <c r="A1493" s="114" t="n">
        <v>46239</v>
      </c>
      <c r="B1493" s="42" t="inlineStr">
        <is>
          <t>Wk 32</t>
        </is>
      </c>
      <c r="C1493" s="42" t="inlineStr">
        <is>
          <t>Wed</t>
        </is>
      </c>
      <c r="D1493" s="42" t="inlineStr">
        <is>
          <t>X</t>
        </is>
      </c>
      <c r="E1493" s="42" t="inlineStr">
        <is>
          <t>X (Twitter)</t>
        </is>
      </c>
      <c r="F1493" s="42" t="inlineStr">
        <is>
          <t>LEP_ZA_AUG26_X_TD_RANGE_CONV</t>
        </is>
      </c>
      <c r="G1493" s="42" t="inlineStr">
        <is>
          <t>Website Conversions</t>
        </is>
      </c>
      <c r="H1493" s="42" t="inlineStr">
        <is>
          <t>Range</t>
        </is>
      </c>
      <c r="I1493" s="42" t="inlineStr">
        <is>
          <t>Range Offer</t>
        </is>
      </c>
      <c r="J1493" s="42" t="inlineStr">
        <is>
          <t>X_INMKT_AUTO_ZA</t>
        </is>
      </c>
      <c r="K1493" s="42" t="inlineStr">
        <is>
          <t>In-Market</t>
        </is>
      </c>
      <c r="L1493" s="42" t="inlineStr">
        <is>
          <t>X_STA_RangeOffer_v1</t>
        </is>
      </c>
      <c r="M1493" s="42" t="inlineStr">
        <is>
          <t>Image Ad</t>
        </is>
      </c>
      <c r="N1493" s="42" t="inlineStr">
        <is>
          <t>Three models. One test drive.</t>
        </is>
      </c>
      <c r="O1493" s="42" t="inlineStr">
        <is>
          <t>Auction - Lowest Cost</t>
        </is>
      </c>
      <c r="P1493" s="42" t="inlineStr">
        <is>
          <t>Site Visit / Conversion</t>
        </is>
      </c>
      <c r="Q1493" s="42" t="inlineStr">
        <is>
          <t>https://www.lepas-sa.co.za/offers</t>
        </is>
      </c>
      <c r="R1493" s="115" t="n">
        <v>285.5</v>
      </c>
      <c r="S1493" s="116" t="n">
        <v>4347</v>
      </c>
      <c r="T1493" s="116" t="n">
        <v>3215</v>
      </c>
      <c r="U1493" s="117">
        <f>IFERROR(S1493/T1493,"")</f>
        <v/>
      </c>
      <c r="V1493" s="116" t="n">
        <v>43</v>
      </c>
      <c r="W1493" s="116" t="n">
        <v>36</v>
      </c>
      <c r="X1493" s="118">
        <f>IFERROR(W1493/S1493,"")</f>
        <v/>
      </c>
      <c r="Y1493" s="115">
        <f>IFERROR(R1493/W1493,"")</f>
        <v/>
      </c>
      <c r="Z1493" s="115">
        <f>IFERROR(R1493/S1493*1000,"")</f>
        <v/>
      </c>
      <c r="AA1493" s="116" t="n">
        <v>26</v>
      </c>
      <c r="AB1493" s="47">
        <f>IFERROR(AA1493/W1493,"")</f>
        <v/>
      </c>
      <c r="AC1493" s="116" t="n">
        <v>0</v>
      </c>
      <c r="AD1493" s="116" t="n">
        <v>0</v>
      </c>
      <c r="AE1493" s="116" t="n">
        <v>0</v>
      </c>
      <c r="AF1493" s="116" t="n">
        <v>0</v>
      </c>
      <c r="AG1493" s="116" t="n">
        <v>0</v>
      </c>
      <c r="AH1493" s="116" t="n">
        <v>0</v>
      </c>
      <c r="AI1493" s="47">
        <f>IFERROR(AC1493/S1493,"")</f>
        <v/>
      </c>
      <c r="AJ1493" s="47">
        <f>IFERROR(AH1493/S1493,"")</f>
        <v/>
      </c>
      <c r="AK1493" s="116" t="n">
        <v>69</v>
      </c>
      <c r="AL1493" s="116" t="n">
        <v>0</v>
      </c>
      <c r="AM1493" s="118">
        <f>IFERROR(AL1493/AA1493,"")</f>
        <v/>
      </c>
      <c r="AN1493" s="119">
        <f>IFERROR(R1493/AL1493,"")</f>
        <v/>
      </c>
      <c r="AO1493" s="116" t="n">
        <v>0</v>
      </c>
      <c r="AP1493" s="47">
        <f>IFERROR(AO1493/AL1493,"")</f>
        <v/>
      </c>
      <c r="AQ1493" s="119">
        <f>IFERROR(R1493/AO1493,"")</f>
        <v/>
      </c>
      <c r="AR1493" s="116" t="n">
        <v>0</v>
      </c>
      <c r="AS1493" s="116" t="n">
        <v>0</v>
      </c>
      <c r="AT1493" s="116">
        <f>AL1493+AR1493</f>
        <v/>
      </c>
      <c r="AU1493" s="119">
        <f>IFERROR(AO1493*Assumptions!$C$26*Assumptions!$C$27*INDEX(Assumptions!$C$18:$C$21,MATCH(H1493,Assumptions!$B$18:$B$21,0)),0)</f>
        <v/>
      </c>
    </row>
    <row r="1494">
      <c r="A1494" s="114" t="n">
        <v>46240</v>
      </c>
      <c r="B1494" s="42" t="inlineStr">
        <is>
          <t>Wk 32</t>
        </is>
      </c>
      <c r="C1494" s="42" t="inlineStr">
        <is>
          <t>Thu</t>
        </is>
      </c>
      <c r="D1494" s="42" t="inlineStr">
        <is>
          <t>X</t>
        </is>
      </c>
      <c r="E1494" s="42" t="inlineStr">
        <is>
          <t>X (Twitter)</t>
        </is>
      </c>
      <c r="F1494" s="42" t="inlineStr">
        <is>
          <t>LEP_ZA_AUG26_X_TD_RANGE_CONV</t>
        </is>
      </c>
      <c r="G1494" s="42" t="inlineStr">
        <is>
          <t>Website Conversions</t>
        </is>
      </c>
      <c r="H1494" s="42" t="inlineStr">
        <is>
          <t>Range</t>
        </is>
      </c>
      <c r="I1494" s="42" t="inlineStr">
        <is>
          <t>Range Offer</t>
        </is>
      </c>
      <c r="J1494" s="42" t="inlineStr">
        <is>
          <t>X_INMKT_AUTO_ZA</t>
        </is>
      </c>
      <c r="K1494" s="42" t="inlineStr">
        <is>
          <t>In-Market</t>
        </is>
      </c>
      <c r="L1494" s="42" t="inlineStr">
        <is>
          <t>X_STA_RangeOffer_v1</t>
        </is>
      </c>
      <c r="M1494" s="42" t="inlineStr">
        <is>
          <t>Image Ad</t>
        </is>
      </c>
      <c r="N1494" s="42" t="inlineStr">
        <is>
          <t>Three models. One test drive.</t>
        </is>
      </c>
      <c r="O1494" s="42" t="inlineStr">
        <is>
          <t>Auction - Lowest Cost</t>
        </is>
      </c>
      <c r="P1494" s="42" t="inlineStr">
        <is>
          <t>Site Visit / Conversion</t>
        </is>
      </c>
      <c r="Q1494" s="42" t="inlineStr">
        <is>
          <t>https://www.lepas-sa.co.za/offers</t>
        </is>
      </c>
      <c r="R1494" s="115" t="n">
        <v>307.64</v>
      </c>
      <c r="S1494" s="116" t="n">
        <v>5642</v>
      </c>
      <c r="T1494" s="116" t="n">
        <v>3745</v>
      </c>
      <c r="U1494" s="117">
        <f>IFERROR(S1494/T1494,"")</f>
        <v/>
      </c>
      <c r="V1494" s="116" t="n">
        <v>44</v>
      </c>
      <c r="W1494" s="116" t="n">
        <v>32</v>
      </c>
      <c r="X1494" s="118">
        <f>IFERROR(W1494/S1494,"")</f>
        <v/>
      </c>
      <c r="Y1494" s="115">
        <f>IFERROR(R1494/W1494,"")</f>
        <v/>
      </c>
      <c r="Z1494" s="115">
        <f>IFERROR(R1494/S1494*1000,"")</f>
        <v/>
      </c>
      <c r="AA1494" s="116" t="n">
        <v>24</v>
      </c>
      <c r="AB1494" s="47">
        <f>IFERROR(AA1494/W1494,"")</f>
        <v/>
      </c>
      <c r="AC1494" s="116" t="n">
        <v>0</v>
      </c>
      <c r="AD1494" s="116" t="n">
        <v>0</v>
      </c>
      <c r="AE1494" s="116" t="n">
        <v>0</v>
      </c>
      <c r="AF1494" s="116" t="n">
        <v>0</v>
      </c>
      <c r="AG1494" s="116" t="n">
        <v>0</v>
      </c>
      <c r="AH1494" s="116" t="n">
        <v>0</v>
      </c>
      <c r="AI1494" s="47">
        <f>IFERROR(AC1494/S1494,"")</f>
        <v/>
      </c>
      <c r="AJ1494" s="47">
        <f>IFERROR(AH1494/S1494,"")</f>
        <v/>
      </c>
      <c r="AK1494" s="116" t="n">
        <v>104</v>
      </c>
      <c r="AL1494" s="116" t="n">
        <v>1</v>
      </c>
      <c r="AM1494" s="118">
        <f>IFERROR(AL1494/AA1494,"")</f>
        <v/>
      </c>
      <c r="AN1494" s="119">
        <f>IFERROR(R1494/AL1494,"")</f>
        <v/>
      </c>
      <c r="AO1494" s="116" t="n">
        <v>1</v>
      </c>
      <c r="AP1494" s="47">
        <f>IFERROR(AO1494/AL1494,"")</f>
        <v/>
      </c>
      <c r="AQ1494" s="119">
        <f>IFERROR(R1494/AO1494,"")</f>
        <v/>
      </c>
      <c r="AR1494" s="116" t="n">
        <v>1</v>
      </c>
      <c r="AS1494" s="116" t="n">
        <v>0</v>
      </c>
      <c r="AT1494" s="116">
        <f>AL1494+AR1494</f>
        <v/>
      </c>
      <c r="AU1494" s="119">
        <f>IFERROR(AO1494*Assumptions!$C$26*Assumptions!$C$27*INDEX(Assumptions!$C$18:$C$21,MATCH(H1494,Assumptions!$B$18:$B$21,0)),0)</f>
        <v/>
      </c>
    </row>
    <row r="1495">
      <c r="A1495" s="114" t="n">
        <v>46241</v>
      </c>
      <c r="B1495" s="42" t="inlineStr">
        <is>
          <t>Wk 32</t>
        </is>
      </c>
      <c r="C1495" s="42" t="inlineStr">
        <is>
          <t>Fri</t>
        </is>
      </c>
      <c r="D1495" s="42" t="inlineStr">
        <is>
          <t>X</t>
        </is>
      </c>
      <c r="E1495" s="42" t="inlineStr">
        <is>
          <t>X (Twitter)</t>
        </is>
      </c>
      <c r="F1495" s="42" t="inlineStr">
        <is>
          <t>LEP_ZA_AUG26_X_TD_RANGE_CONV</t>
        </is>
      </c>
      <c r="G1495" s="42" t="inlineStr">
        <is>
          <t>Website Conversions</t>
        </is>
      </c>
      <c r="H1495" s="42" t="inlineStr">
        <is>
          <t>Range</t>
        </is>
      </c>
      <c r="I1495" s="42" t="inlineStr">
        <is>
          <t>Range Offer</t>
        </is>
      </c>
      <c r="J1495" s="42" t="inlineStr">
        <is>
          <t>X_INMKT_AUTO_ZA</t>
        </is>
      </c>
      <c r="K1495" s="42" t="inlineStr">
        <is>
          <t>In-Market</t>
        </is>
      </c>
      <c r="L1495" s="42" t="inlineStr">
        <is>
          <t>X_STA_RangeOffer_v1</t>
        </is>
      </c>
      <c r="M1495" s="42" t="inlineStr">
        <is>
          <t>Image Ad</t>
        </is>
      </c>
      <c r="N1495" s="42" t="inlineStr">
        <is>
          <t>Three models. One test drive.</t>
        </is>
      </c>
      <c r="O1495" s="42" t="inlineStr">
        <is>
          <t>Auction - Lowest Cost</t>
        </is>
      </c>
      <c r="P1495" s="42" t="inlineStr">
        <is>
          <t>Site Visit / Conversion</t>
        </is>
      </c>
      <c r="Q1495" s="42" t="inlineStr">
        <is>
          <t>https://www.lepas-sa.co.za/offers</t>
        </is>
      </c>
      <c r="R1495" s="115" t="n">
        <v>413.43</v>
      </c>
      <c r="S1495" s="116" t="n">
        <v>6917</v>
      </c>
      <c r="T1495" s="116" t="n">
        <v>4860</v>
      </c>
      <c r="U1495" s="117">
        <f>IFERROR(S1495/T1495,"")</f>
        <v/>
      </c>
      <c r="V1495" s="116" t="n">
        <v>63</v>
      </c>
      <c r="W1495" s="116" t="n">
        <v>52</v>
      </c>
      <c r="X1495" s="118">
        <f>IFERROR(W1495/S1495,"")</f>
        <v/>
      </c>
      <c r="Y1495" s="115">
        <f>IFERROR(R1495/W1495,"")</f>
        <v/>
      </c>
      <c r="Z1495" s="115">
        <f>IFERROR(R1495/S1495*1000,"")</f>
        <v/>
      </c>
      <c r="AA1495" s="116" t="n">
        <v>37</v>
      </c>
      <c r="AB1495" s="47">
        <f>IFERROR(AA1495/W1495,"")</f>
        <v/>
      </c>
      <c r="AC1495" s="116" t="n">
        <v>0</v>
      </c>
      <c r="AD1495" s="116" t="n">
        <v>0</v>
      </c>
      <c r="AE1495" s="116" t="n">
        <v>0</v>
      </c>
      <c r="AF1495" s="116" t="n">
        <v>0</v>
      </c>
      <c r="AG1495" s="116" t="n">
        <v>0</v>
      </c>
      <c r="AH1495" s="116" t="n">
        <v>0</v>
      </c>
      <c r="AI1495" s="47">
        <f>IFERROR(AC1495/S1495,"")</f>
        <v/>
      </c>
      <c r="AJ1495" s="47">
        <f>IFERROR(AH1495/S1495,"")</f>
        <v/>
      </c>
      <c r="AK1495" s="116" t="n">
        <v>187</v>
      </c>
      <c r="AL1495" s="116" t="n">
        <v>0</v>
      </c>
      <c r="AM1495" s="118">
        <f>IFERROR(AL1495/AA1495,"")</f>
        <v/>
      </c>
      <c r="AN1495" s="119">
        <f>IFERROR(R1495/AL1495,"")</f>
        <v/>
      </c>
      <c r="AO1495" s="116" t="n">
        <v>0</v>
      </c>
      <c r="AP1495" s="47">
        <f>IFERROR(AO1495/AL1495,"")</f>
        <v/>
      </c>
      <c r="AQ1495" s="119">
        <f>IFERROR(R1495/AO1495,"")</f>
        <v/>
      </c>
      <c r="AR1495" s="116" t="n">
        <v>0</v>
      </c>
      <c r="AS1495" s="116" t="n">
        <v>0</v>
      </c>
      <c r="AT1495" s="116">
        <f>AL1495+AR1495</f>
        <v/>
      </c>
      <c r="AU1495" s="119">
        <f>IFERROR(AO1495*Assumptions!$C$26*Assumptions!$C$27*INDEX(Assumptions!$C$18:$C$21,MATCH(H1495,Assumptions!$B$18:$B$21,0)),0)</f>
        <v/>
      </c>
    </row>
    <row r="1496">
      <c r="A1496" s="114" t="n">
        <v>46242</v>
      </c>
      <c r="B1496" s="42" t="inlineStr">
        <is>
          <t>Wk 32</t>
        </is>
      </c>
      <c r="C1496" s="42" t="inlineStr">
        <is>
          <t>Sat</t>
        </is>
      </c>
      <c r="D1496" s="42" t="inlineStr">
        <is>
          <t>X</t>
        </is>
      </c>
      <c r="E1496" s="42" t="inlineStr">
        <is>
          <t>X (Twitter)</t>
        </is>
      </c>
      <c r="F1496" s="42" t="inlineStr">
        <is>
          <t>LEP_ZA_AUG26_X_TD_RANGE_CONV</t>
        </is>
      </c>
      <c r="G1496" s="42" t="inlineStr">
        <is>
          <t>Website Conversions</t>
        </is>
      </c>
      <c r="H1496" s="42" t="inlineStr">
        <is>
          <t>Range</t>
        </is>
      </c>
      <c r="I1496" s="42" t="inlineStr">
        <is>
          <t>Range Offer</t>
        </is>
      </c>
      <c r="J1496" s="42" t="inlineStr">
        <is>
          <t>X_INMKT_AUTO_ZA</t>
        </is>
      </c>
      <c r="K1496" s="42" t="inlineStr">
        <is>
          <t>In-Market</t>
        </is>
      </c>
      <c r="L1496" s="42" t="inlineStr">
        <is>
          <t>X_STA_RangeOffer_v1</t>
        </is>
      </c>
      <c r="M1496" s="42" t="inlineStr">
        <is>
          <t>Image Ad</t>
        </is>
      </c>
      <c r="N1496" s="42" t="inlineStr">
        <is>
          <t>Three models. One test drive.</t>
        </is>
      </c>
      <c r="O1496" s="42" t="inlineStr">
        <is>
          <t>Auction - Lowest Cost</t>
        </is>
      </c>
      <c r="P1496" s="42" t="inlineStr">
        <is>
          <t>Site Visit / Conversion</t>
        </is>
      </c>
      <c r="Q1496" s="42" t="inlineStr">
        <is>
          <t>https://www.lepas-sa.co.za/offers</t>
        </is>
      </c>
      <c r="R1496" s="115" t="n">
        <v>313.14</v>
      </c>
      <c r="S1496" s="116" t="n">
        <v>4877</v>
      </c>
      <c r="T1496" s="116" t="n">
        <v>3079</v>
      </c>
      <c r="U1496" s="117">
        <f>IFERROR(S1496/T1496,"")</f>
        <v/>
      </c>
      <c r="V1496" s="116" t="n">
        <v>32</v>
      </c>
      <c r="W1496" s="116" t="n">
        <v>24</v>
      </c>
      <c r="X1496" s="118">
        <f>IFERROR(W1496/S1496,"")</f>
        <v/>
      </c>
      <c r="Y1496" s="115">
        <f>IFERROR(R1496/W1496,"")</f>
        <v/>
      </c>
      <c r="Z1496" s="115">
        <f>IFERROR(R1496/S1496*1000,"")</f>
        <v/>
      </c>
      <c r="AA1496" s="116" t="n">
        <v>19</v>
      </c>
      <c r="AB1496" s="47">
        <f>IFERROR(AA1496/W1496,"")</f>
        <v/>
      </c>
      <c r="AC1496" s="116" t="n">
        <v>0</v>
      </c>
      <c r="AD1496" s="116" t="n">
        <v>0</v>
      </c>
      <c r="AE1496" s="116" t="n">
        <v>0</v>
      </c>
      <c r="AF1496" s="116" t="n">
        <v>0</v>
      </c>
      <c r="AG1496" s="116" t="n">
        <v>0</v>
      </c>
      <c r="AH1496" s="116" t="n">
        <v>0</v>
      </c>
      <c r="AI1496" s="47">
        <f>IFERROR(AC1496/S1496,"")</f>
        <v/>
      </c>
      <c r="AJ1496" s="47">
        <f>IFERROR(AH1496/S1496,"")</f>
        <v/>
      </c>
      <c r="AK1496" s="116" t="n">
        <v>131</v>
      </c>
      <c r="AL1496" s="116" t="n">
        <v>0</v>
      </c>
      <c r="AM1496" s="118">
        <f>IFERROR(AL1496/AA1496,"")</f>
        <v/>
      </c>
      <c r="AN1496" s="119">
        <f>IFERROR(R1496/AL1496,"")</f>
        <v/>
      </c>
      <c r="AO1496" s="116" t="n">
        <v>0</v>
      </c>
      <c r="AP1496" s="47">
        <f>IFERROR(AO1496/AL1496,"")</f>
        <v/>
      </c>
      <c r="AQ1496" s="119">
        <f>IFERROR(R1496/AO1496,"")</f>
        <v/>
      </c>
      <c r="AR1496" s="116" t="n">
        <v>0</v>
      </c>
      <c r="AS1496" s="116" t="n">
        <v>0</v>
      </c>
      <c r="AT1496" s="116">
        <f>AL1496+AR1496</f>
        <v/>
      </c>
      <c r="AU1496" s="119">
        <f>IFERROR(AO1496*Assumptions!$C$26*Assumptions!$C$27*INDEX(Assumptions!$C$18:$C$21,MATCH(H1496,Assumptions!$B$18:$B$21,0)),0)</f>
        <v/>
      </c>
    </row>
    <row r="1497">
      <c r="A1497" s="114" t="n">
        <v>46243</v>
      </c>
      <c r="B1497" s="42" t="inlineStr">
        <is>
          <t>Wk 32</t>
        </is>
      </c>
      <c r="C1497" s="42" t="inlineStr">
        <is>
          <t>Sun</t>
        </is>
      </c>
      <c r="D1497" s="42" t="inlineStr">
        <is>
          <t>X</t>
        </is>
      </c>
      <c r="E1497" s="42" t="inlineStr">
        <is>
          <t>X (Twitter)</t>
        </is>
      </c>
      <c r="F1497" s="42" t="inlineStr">
        <is>
          <t>LEP_ZA_AUG26_X_TD_RANGE_CONV</t>
        </is>
      </c>
      <c r="G1497" s="42" t="inlineStr">
        <is>
          <t>Website Conversions</t>
        </is>
      </c>
      <c r="H1497" s="42" t="inlineStr">
        <is>
          <t>Range</t>
        </is>
      </c>
      <c r="I1497" s="42" t="inlineStr">
        <is>
          <t>Range Offer</t>
        </is>
      </c>
      <c r="J1497" s="42" t="inlineStr">
        <is>
          <t>X_INMKT_AUTO_ZA</t>
        </is>
      </c>
      <c r="K1497" s="42" t="inlineStr">
        <is>
          <t>In-Market</t>
        </is>
      </c>
      <c r="L1497" s="42" t="inlineStr">
        <is>
          <t>X_STA_RangeOffer_v1</t>
        </is>
      </c>
      <c r="M1497" s="42" t="inlineStr">
        <is>
          <t>Image Ad</t>
        </is>
      </c>
      <c r="N1497" s="42" t="inlineStr">
        <is>
          <t>Three models. One test drive.</t>
        </is>
      </c>
      <c r="O1497" s="42" t="inlineStr">
        <is>
          <t>Auction - Lowest Cost</t>
        </is>
      </c>
      <c r="P1497" s="42" t="inlineStr">
        <is>
          <t>Site Visit / Conversion</t>
        </is>
      </c>
      <c r="Q1497" s="42" t="inlineStr">
        <is>
          <t>https://www.lepas-sa.co.za/offers</t>
        </is>
      </c>
      <c r="R1497" s="115" t="n">
        <v>290.94</v>
      </c>
      <c r="S1497" s="116" t="n">
        <v>3983</v>
      </c>
      <c r="T1497" s="116" t="n">
        <v>2650</v>
      </c>
      <c r="U1497" s="117">
        <f>IFERROR(S1497/T1497,"")</f>
        <v/>
      </c>
      <c r="V1497" s="116" t="n">
        <v>30</v>
      </c>
      <c r="W1497" s="116" t="n">
        <v>26</v>
      </c>
      <c r="X1497" s="118">
        <f>IFERROR(W1497/S1497,"")</f>
        <v/>
      </c>
      <c r="Y1497" s="115">
        <f>IFERROR(R1497/W1497,"")</f>
        <v/>
      </c>
      <c r="Z1497" s="115">
        <f>IFERROR(R1497/S1497*1000,"")</f>
        <v/>
      </c>
      <c r="AA1497" s="116" t="n">
        <v>18</v>
      </c>
      <c r="AB1497" s="47">
        <f>IFERROR(AA1497/W1497,"")</f>
        <v/>
      </c>
      <c r="AC1497" s="116" t="n">
        <v>0</v>
      </c>
      <c r="AD1497" s="116" t="n">
        <v>0</v>
      </c>
      <c r="AE1497" s="116" t="n">
        <v>0</v>
      </c>
      <c r="AF1497" s="116" t="n">
        <v>0</v>
      </c>
      <c r="AG1497" s="116" t="n">
        <v>0</v>
      </c>
      <c r="AH1497" s="116" t="n">
        <v>0</v>
      </c>
      <c r="AI1497" s="47">
        <f>IFERROR(AC1497/S1497,"")</f>
        <v/>
      </c>
      <c r="AJ1497" s="47">
        <f>IFERROR(AH1497/S1497,"")</f>
        <v/>
      </c>
      <c r="AK1497" s="116" t="n">
        <v>41</v>
      </c>
      <c r="AL1497" s="116" t="n">
        <v>0</v>
      </c>
      <c r="AM1497" s="118">
        <f>IFERROR(AL1497/AA1497,"")</f>
        <v/>
      </c>
      <c r="AN1497" s="119">
        <f>IFERROR(R1497/AL1497,"")</f>
        <v/>
      </c>
      <c r="AO1497" s="116" t="n">
        <v>0</v>
      </c>
      <c r="AP1497" s="47">
        <f>IFERROR(AO1497/AL1497,"")</f>
        <v/>
      </c>
      <c r="AQ1497" s="119">
        <f>IFERROR(R1497/AO1497,"")</f>
        <v/>
      </c>
      <c r="AR1497" s="116" t="n">
        <v>0</v>
      </c>
      <c r="AS1497" s="116" t="n">
        <v>0</v>
      </c>
      <c r="AT1497" s="116">
        <f>AL1497+AR1497</f>
        <v/>
      </c>
      <c r="AU1497" s="119">
        <f>IFERROR(AO1497*Assumptions!$C$26*Assumptions!$C$27*INDEX(Assumptions!$C$18:$C$21,MATCH(H1497,Assumptions!$B$18:$B$21,0)),0)</f>
        <v/>
      </c>
    </row>
    <row r="1498">
      <c r="A1498" s="114" t="n">
        <v>46244</v>
      </c>
      <c r="B1498" s="42" t="inlineStr">
        <is>
          <t>Wk 33</t>
        </is>
      </c>
      <c r="C1498" s="42" t="inlineStr">
        <is>
          <t>Mon</t>
        </is>
      </c>
      <c r="D1498" s="42" t="inlineStr">
        <is>
          <t>X</t>
        </is>
      </c>
      <c r="E1498" s="42" t="inlineStr">
        <is>
          <t>X (Twitter)</t>
        </is>
      </c>
      <c r="F1498" s="42" t="inlineStr">
        <is>
          <t>LEP_ZA_AUG26_X_TD_RANGE_CONV</t>
        </is>
      </c>
      <c r="G1498" s="42" t="inlineStr">
        <is>
          <t>Website Conversions</t>
        </is>
      </c>
      <c r="H1498" s="42" t="inlineStr">
        <is>
          <t>Range</t>
        </is>
      </c>
      <c r="I1498" s="42" t="inlineStr">
        <is>
          <t>Range Offer</t>
        </is>
      </c>
      <c r="J1498" s="42" t="inlineStr">
        <is>
          <t>X_INMKT_AUTO_ZA</t>
        </is>
      </c>
      <c r="K1498" s="42" t="inlineStr">
        <is>
          <t>In-Market</t>
        </is>
      </c>
      <c r="L1498" s="42" t="inlineStr">
        <is>
          <t>X_STA_RangeOffer_v1</t>
        </is>
      </c>
      <c r="M1498" s="42" t="inlineStr">
        <is>
          <t>Image Ad</t>
        </is>
      </c>
      <c r="N1498" s="42" t="inlineStr">
        <is>
          <t>Three models. One test drive.</t>
        </is>
      </c>
      <c r="O1498" s="42" t="inlineStr">
        <is>
          <t>Auction - Lowest Cost</t>
        </is>
      </c>
      <c r="P1498" s="42" t="inlineStr">
        <is>
          <t>Site Visit / Conversion</t>
        </is>
      </c>
      <c r="Q1498" s="42" t="inlineStr">
        <is>
          <t>https://www.lepas-sa.co.za/offers</t>
        </is>
      </c>
      <c r="R1498" s="115" t="n">
        <v>370.92</v>
      </c>
      <c r="S1498" s="116" t="n">
        <v>5085</v>
      </c>
      <c r="T1498" s="116" t="n">
        <v>3743</v>
      </c>
      <c r="U1498" s="117">
        <f>IFERROR(S1498/T1498,"")</f>
        <v/>
      </c>
      <c r="V1498" s="116" t="n">
        <v>30</v>
      </c>
      <c r="W1498" s="116" t="n">
        <v>24</v>
      </c>
      <c r="X1498" s="118">
        <f>IFERROR(W1498/S1498,"")</f>
        <v/>
      </c>
      <c r="Y1498" s="115">
        <f>IFERROR(R1498/W1498,"")</f>
        <v/>
      </c>
      <c r="Z1498" s="115">
        <f>IFERROR(R1498/S1498*1000,"")</f>
        <v/>
      </c>
      <c r="AA1498" s="116" t="n">
        <v>18</v>
      </c>
      <c r="AB1498" s="47">
        <f>IFERROR(AA1498/W1498,"")</f>
        <v/>
      </c>
      <c r="AC1498" s="116" t="n">
        <v>0</v>
      </c>
      <c r="AD1498" s="116" t="n">
        <v>0</v>
      </c>
      <c r="AE1498" s="116" t="n">
        <v>0</v>
      </c>
      <c r="AF1498" s="116" t="n">
        <v>0</v>
      </c>
      <c r="AG1498" s="116" t="n">
        <v>0</v>
      </c>
      <c r="AH1498" s="116" t="n">
        <v>0</v>
      </c>
      <c r="AI1498" s="47">
        <f>IFERROR(AC1498/S1498,"")</f>
        <v/>
      </c>
      <c r="AJ1498" s="47">
        <f>IFERROR(AH1498/S1498,"")</f>
        <v/>
      </c>
      <c r="AK1498" s="116" t="n">
        <v>54</v>
      </c>
      <c r="AL1498" s="116" t="n">
        <v>1</v>
      </c>
      <c r="AM1498" s="118">
        <f>IFERROR(AL1498/AA1498,"")</f>
        <v/>
      </c>
      <c r="AN1498" s="119">
        <f>IFERROR(R1498/AL1498,"")</f>
        <v/>
      </c>
      <c r="AO1498" s="116" t="n">
        <v>1</v>
      </c>
      <c r="AP1498" s="47">
        <f>IFERROR(AO1498/AL1498,"")</f>
        <v/>
      </c>
      <c r="AQ1498" s="119">
        <f>IFERROR(R1498/AO1498,"")</f>
        <v/>
      </c>
      <c r="AR1498" s="116" t="n">
        <v>1</v>
      </c>
      <c r="AS1498" s="116" t="n">
        <v>0</v>
      </c>
      <c r="AT1498" s="116">
        <f>AL1498+AR1498</f>
        <v/>
      </c>
      <c r="AU1498" s="119">
        <f>IFERROR(AO1498*Assumptions!$C$26*Assumptions!$C$27*INDEX(Assumptions!$C$18:$C$21,MATCH(H1498,Assumptions!$B$18:$B$21,0)),0)</f>
        <v/>
      </c>
    </row>
    <row r="1499">
      <c r="A1499" s="114" t="n">
        <v>46245</v>
      </c>
      <c r="B1499" s="42" t="inlineStr">
        <is>
          <t>Wk 33</t>
        </is>
      </c>
      <c r="C1499" s="42" t="inlineStr">
        <is>
          <t>Tue</t>
        </is>
      </c>
      <c r="D1499" s="42" t="inlineStr">
        <is>
          <t>X</t>
        </is>
      </c>
      <c r="E1499" s="42" t="inlineStr">
        <is>
          <t>X (Twitter)</t>
        </is>
      </c>
      <c r="F1499" s="42" t="inlineStr">
        <is>
          <t>LEP_ZA_AUG26_X_TD_RANGE_CONV</t>
        </is>
      </c>
      <c r="G1499" s="42" t="inlineStr">
        <is>
          <t>Website Conversions</t>
        </is>
      </c>
      <c r="H1499" s="42" t="inlineStr">
        <is>
          <t>Range</t>
        </is>
      </c>
      <c r="I1499" s="42" t="inlineStr">
        <is>
          <t>Range Offer</t>
        </is>
      </c>
      <c r="J1499" s="42" t="inlineStr">
        <is>
          <t>X_INMKT_AUTO_ZA</t>
        </is>
      </c>
      <c r="K1499" s="42" t="inlineStr">
        <is>
          <t>In-Market</t>
        </is>
      </c>
      <c r="L1499" s="42" t="inlineStr">
        <is>
          <t>X_STA_RangeOffer_v1</t>
        </is>
      </c>
      <c r="M1499" s="42" t="inlineStr">
        <is>
          <t>Image Ad</t>
        </is>
      </c>
      <c r="N1499" s="42" t="inlineStr">
        <is>
          <t>Three models. One test drive.</t>
        </is>
      </c>
      <c r="O1499" s="42" t="inlineStr">
        <is>
          <t>Auction - Lowest Cost</t>
        </is>
      </c>
      <c r="P1499" s="42" t="inlineStr">
        <is>
          <t>Site Visit / Conversion</t>
        </is>
      </c>
      <c r="Q1499" s="42" t="inlineStr">
        <is>
          <t>https://www.lepas-sa.co.za/offers</t>
        </is>
      </c>
      <c r="R1499" s="115" t="n">
        <v>280.13</v>
      </c>
      <c r="S1499" s="116" t="n">
        <v>4117</v>
      </c>
      <c r="T1499" s="116" t="n">
        <v>2936</v>
      </c>
      <c r="U1499" s="117">
        <f>IFERROR(S1499/T1499,"")</f>
        <v/>
      </c>
      <c r="V1499" s="116" t="n">
        <v>54</v>
      </c>
      <c r="W1499" s="116" t="n">
        <v>38</v>
      </c>
      <c r="X1499" s="118">
        <f>IFERROR(W1499/S1499,"")</f>
        <v/>
      </c>
      <c r="Y1499" s="115">
        <f>IFERROR(R1499/W1499,"")</f>
        <v/>
      </c>
      <c r="Z1499" s="115">
        <f>IFERROR(R1499/S1499*1000,"")</f>
        <v/>
      </c>
      <c r="AA1499" s="116" t="n">
        <v>29</v>
      </c>
      <c r="AB1499" s="47">
        <f>IFERROR(AA1499/W1499,"")</f>
        <v/>
      </c>
      <c r="AC1499" s="116" t="n">
        <v>0</v>
      </c>
      <c r="AD1499" s="116" t="n">
        <v>0</v>
      </c>
      <c r="AE1499" s="116" t="n">
        <v>0</v>
      </c>
      <c r="AF1499" s="116" t="n">
        <v>0</v>
      </c>
      <c r="AG1499" s="116" t="n">
        <v>0</v>
      </c>
      <c r="AH1499" s="116" t="n">
        <v>0</v>
      </c>
      <c r="AI1499" s="47">
        <f>IFERROR(AC1499/S1499,"")</f>
        <v/>
      </c>
      <c r="AJ1499" s="47">
        <f>IFERROR(AH1499/S1499,"")</f>
        <v/>
      </c>
      <c r="AK1499" s="116" t="n">
        <v>91</v>
      </c>
      <c r="AL1499" s="116" t="n">
        <v>0</v>
      </c>
      <c r="AM1499" s="118">
        <f>IFERROR(AL1499/AA1499,"")</f>
        <v/>
      </c>
      <c r="AN1499" s="119">
        <f>IFERROR(R1499/AL1499,"")</f>
        <v/>
      </c>
      <c r="AO1499" s="116" t="n">
        <v>0</v>
      </c>
      <c r="AP1499" s="47">
        <f>IFERROR(AO1499/AL1499,"")</f>
        <v/>
      </c>
      <c r="AQ1499" s="119">
        <f>IFERROR(R1499/AO1499,"")</f>
        <v/>
      </c>
      <c r="AR1499" s="116" t="n">
        <v>0</v>
      </c>
      <c r="AS1499" s="116" t="n">
        <v>0</v>
      </c>
      <c r="AT1499" s="116">
        <f>AL1499+AR1499</f>
        <v/>
      </c>
      <c r="AU1499" s="119">
        <f>IFERROR(AO1499*Assumptions!$C$26*Assumptions!$C$27*INDEX(Assumptions!$C$18:$C$21,MATCH(H1499,Assumptions!$B$18:$B$21,0)),0)</f>
        <v/>
      </c>
    </row>
    <row r="1500">
      <c r="A1500" s="114" t="n">
        <v>46246</v>
      </c>
      <c r="B1500" s="42" t="inlineStr">
        <is>
          <t>Wk 33</t>
        </is>
      </c>
      <c r="C1500" s="42" t="inlineStr">
        <is>
          <t>Wed</t>
        </is>
      </c>
      <c r="D1500" s="42" t="inlineStr">
        <is>
          <t>X</t>
        </is>
      </c>
      <c r="E1500" s="42" t="inlineStr">
        <is>
          <t>X (Twitter)</t>
        </is>
      </c>
      <c r="F1500" s="42" t="inlineStr">
        <is>
          <t>LEP_ZA_AUG26_X_TD_RANGE_CONV</t>
        </is>
      </c>
      <c r="G1500" s="42" t="inlineStr">
        <is>
          <t>Website Conversions</t>
        </is>
      </c>
      <c r="H1500" s="42" t="inlineStr">
        <is>
          <t>Range</t>
        </is>
      </c>
      <c r="I1500" s="42" t="inlineStr">
        <is>
          <t>Range Offer</t>
        </is>
      </c>
      <c r="J1500" s="42" t="inlineStr">
        <is>
          <t>X_INMKT_AUTO_ZA</t>
        </is>
      </c>
      <c r="K1500" s="42" t="inlineStr">
        <is>
          <t>In-Market</t>
        </is>
      </c>
      <c r="L1500" s="42" t="inlineStr">
        <is>
          <t>X_STA_RangeOffer_v1</t>
        </is>
      </c>
      <c r="M1500" s="42" t="inlineStr">
        <is>
          <t>Image Ad</t>
        </is>
      </c>
      <c r="N1500" s="42" t="inlineStr">
        <is>
          <t>Three models. One test drive.</t>
        </is>
      </c>
      <c r="O1500" s="42" t="inlineStr">
        <is>
          <t>Auction - Lowest Cost</t>
        </is>
      </c>
      <c r="P1500" s="42" t="inlineStr">
        <is>
          <t>Site Visit / Conversion</t>
        </is>
      </c>
      <c r="Q1500" s="42" t="inlineStr">
        <is>
          <t>https://www.lepas-sa.co.za/offers</t>
        </is>
      </c>
      <c r="R1500" s="115" t="n">
        <v>297.05</v>
      </c>
      <c r="S1500" s="116" t="n">
        <v>5680</v>
      </c>
      <c r="T1500" s="116" t="n">
        <v>4399</v>
      </c>
      <c r="U1500" s="117">
        <f>IFERROR(S1500/T1500,"")</f>
        <v/>
      </c>
      <c r="V1500" s="116" t="n">
        <v>34</v>
      </c>
      <c r="W1500" s="116" t="n">
        <v>28</v>
      </c>
      <c r="X1500" s="118">
        <f>IFERROR(W1500/S1500,"")</f>
        <v/>
      </c>
      <c r="Y1500" s="115">
        <f>IFERROR(R1500/W1500,"")</f>
        <v/>
      </c>
      <c r="Z1500" s="115">
        <f>IFERROR(R1500/S1500*1000,"")</f>
        <v/>
      </c>
      <c r="AA1500" s="116" t="n">
        <v>22</v>
      </c>
      <c r="AB1500" s="47">
        <f>IFERROR(AA1500/W1500,"")</f>
        <v/>
      </c>
      <c r="AC1500" s="116" t="n">
        <v>0</v>
      </c>
      <c r="AD1500" s="116" t="n">
        <v>0</v>
      </c>
      <c r="AE1500" s="116" t="n">
        <v>0</v>
      </c>
      <c r="AF1500" s="116" t="n">
        <v>0</v>
      </c>
      <c r="AG1500" s="116" t="n">
        <v>0</v>
      </c>
      <c r="AH1500" s="116" t="n">
        <v>0</v>
      </c>
      <c r="AI1500" s="47">
        <f>IFERROR(AC1500/S1500,"")</f>
        <v/>
      </c>
      <c r="AJ1500" s="47">
        <f>IFERROR(AH1500/S1500,"")</f>
        <v/>
      </c>
      <c r="AK1500" s="116" t="n">
        <v>145</v>
      </c>
      <c r="AL1500" s="116" t="n">
        <v>0</v>
      </c>
      <c r="AM1500" s="118">
        <f>IFERROR(AL1500/AA1500,"")</f>
        <v/>
      </c>
      <c r="AN1500" s="119">
        <f>IFERROR(R1500/AL1500,"")</f>
        <v/>
      </c>
      <c r="AO1500" s="116" t="n">
        <v>0</v>
      </c>
      <c r="AP1500" s="47">
        <f>IFERROR(AO1500/AL1500,"")</f>
        <v/>
      </c>
      <c r="AQ1500" s="119">
        <f>IFERROR(R1500/AO1500,"")</f>
        <v/>
      </c>
      <c r="AR1500" s="116" t="n">
        <v>0</v>
      </c>
      <c r="AS1500" s="116" t="n">
        <v>0</v>
      </c>
      <c r="AT1500" s="116">
        <f>AL1500+AR1500</f>
        <v/>
      </c>
      <c r="AU1500" s="119">
        <f>IFERROR(AO1500*Assumptions!$C$26*Assumptions!$C$27*INDEX(Assumptions!$C$18:$C$21,MATCH(H1500,Assumptions!$B$18:$B$21,0)),0)</f>
        <v/>
      </c>
    </row>
    <row r="1501">
      <c r="A1501" s="114" t="n">
        <v>46247</v>
      </c>
      <c r="B1501" s="42" t="inlineStr">
        <is>
          <t>Wk 33</t>
        </is>
      </c>
      <c r="C1501" s="42" t="inlineStr">
        <is>
          <t>Thu</t>
        </is>
      </c>
      <c r="D1501" s="42" t="inlineStr">
        <is>
          <t>X</t>
        </is>
      </c>
      <c r="E1501" s="42" t="inlineStr">
        <is>
          <t>X (Twitter)</t>
        </is>
      </c>
      <c r="F1501" s="42" t="inlineStr">
        <is>
          <t>LEP_ZA_AUG26_X_TD_RANGE_CONV</t>
        </is>
      </c>
      <c r="G1501" s="42" t="inlineStr">
        <is>
          <t>Website Conversions</t>
        </is>
      </c>
      <c r="H1501" s="42" t="inlineStr">
        <is>
          <t>Range</t>
        </is>
      </c>
      <c r="I1501" s="42" t="inlineStr">
        <is>
          <t>Range Offer</t>
        </is>
      </c>
      <c r="J1501" s="42" t="inlineStr">
        <is>
          <t>X_INMKT_AUTO_ZA</t>
        </is>
      </c>
      <c r="K1501" s="42" t="inlineStr">
        <is>
          <t>In-Market</t>
        </is>
      </c>
      <c r="L1501" s="42" t="inlineStr">
        <is>
          <t>X_STA_RangeOffer_v1</t>
        </is>
      </c>
      <c r="M1501" s="42" t="inlineStr">
        <is>
          <t>Image Ad</t>
        </is>
      </c>
      <c r="N1501" s="42" t="inlineStr">
        <is>
          <t>Three models. One test drive.</t>
        </is>
      </c>
      <c r="O1501" s="42" t="inlineStr">
        <is>
          <t>Auction - Lowest Cost</t>
        </is>
      </c>
      <c r="P1501" s="42" t="inlineStr">
        <is>
          <t>Site Visit / Conversion</t>
        </is>
      </c>
      <c r="Q1501" s="42" t="inlineStr">
        <is>
          <t>https://www.lepas-sa.co.za/offers</t>
        </is>
      </c>
      <c r="R1501" s="115" t="n">
        <v>308.94</v>
      </c>
      <c r="S1501" s="116" t="n">
        <v>4799</v>
      </c>
      <c r="T1501" s="116" t="n">
        <v>2902</v>
      </c>
      <c r="U1501" s="117">
        <f>IFERROR(S1501/T1501,"")</f>
        <v/>
      </c>
      <c r="V1501" s="116" t="n">
        <v>43</v>
      </c>
      <c r="W1501" s="116" t="n">
        <v>31</v>
      </c>
      <c r="X1501" s="118">
        <f>IFERROR(W1501/S1501,"")</f>
        <v/>
      </c>
      <c r="Y1501" s="115">
        <f>IFERROR(R1501/W1501,"")</f>
        <v/>
      </c>
      <c r="Z1501" s="115">
        <f>IFERROR(R1501/S1501*1000,"")</f>
        <v/>
      </c>
      <c r="AA1501" s="116" t="n">
        <v>23</v>
      </c>
      <c r="AB1501" s="47">
        <f>IFERROR(AA1501/W1501,"")</f>
        <v/>
      </c>
      <c r="AC1501" s="116" t="n">
        <v>0</v>
      </c>
      <c r="AD1501" s="116" t="n">
        <v>0</v>
      </c>
      <c r="AE1501" s="116" t="n">
        <v>0</v>
      </c>
      <c r="AF1501" s="116" t="n">
        <v>0</v>
      </c>
      <c r="AG1501" s="116" t="n">
        <v>0</v>
      </c>
      <c r="AH1501" s="116" t="n">
        <v>0</v>
      </c>
      <c r="AI1501" s="47">
        <f>IFERROR(AC1501/S1501,"")</f>
        <v/>
      </c>
      <c r="AJ1501" s="47">
        <f>IFERROR(AH1501/S1501,"")</f>
        <v/>
      </c>
      <c r="AK1501" s="116" t="n">
        <v>65</v>
      </c>
      <c r="AL1501" s="116" t="n">
        <v>0</v>
      </c>
      <c r="AM1501" s="118">
        <f>IFERROR(AL1501/AA1501,"")</f>
        <v/>
      </c>
      <c r="AN1501" s="119">
        <f>IFERROR(R1501/AL1501,"")</f>
        <v/>
      </c>
      <c r="AO1501" s="116" t="n">
        <v>0</v>
      </c>
      <c r="AP1501" s="47">
        <f>IFERROR(AO1501/AL1501,"")</f>
        <v/>
      </c>
      <c r="AQ1501" s="119">
        <f>IFERROR(R1501/AO1501,"")</f>
        <v/>
      </c>
      <c r="AR1501" s="116" t="n">
        <v>0</v>
      </c>
      <c r="AS1501" s="116" t="n">
        <v>0</v>
      </c>
      <c r="AT1501" s="116">
        <f>AL1501+AR1501</f>
        <v/>
      </c>
      <c r="AU1501" s="119">
        <f>IFERROR(AO1501*Assumptions!$C$26*Assumptions!$C$27*INDEX(Assumptions!$C$18:$C$21,MATCH(H1501,Assumptions!$B$18:$B$21,0)),0)</f>
        <v/>
      </c>
    </row>
    <row r="1502">
      <c r="A1502" s="114" t="n">
        <v>46248</v>
      </c>
      <c r="B1502" s="42" t="inlineStr">
        <is>
          <t>Wk 33</t>
        </is>
      </c>
      <c r="C1502" s="42" t="inlineStr">
        <is>
          <t>Fri</t>
        </is>
      </c>
      <c r="D1502" s="42" t="inlineStr">
        <is>
          <t>X</t>
        </is>
      </c>
      <c r="E1502" s="42" t="inlineStr">
        <is>
          <t>X (Twitter)</t>
        </is>
      </c>
      <c r="F1502" s="42" t="inlineStr">
        <is>
          <t>LEP_ZA_AUG26_X_TD_RANGE_CONV</t>
        </is>
      </c>
      <c r="G1502" s="42" t="inlineStr">
        <is>
          <t>Website Conversions</t>
        </is>
      </c>
      <c r="H1502" s="42" t="inlineStr">
        <is>
          <t>Range</t>
        </is>
      </c>
      <c r="I1502" s="42" t="inlineStr">
        <is>
          <t>Range Offer</t>
        </is>
      </c>
      <c r="J1502" s="42" t="inlineStr">
        <is>
          <t>X_INMKT_AUTO_ZA</t>
        </is>
      </c>
      <c r="K1502" s="42" t="inlineStr">
        <is>
          <t>In-Market</t>
        </is>
      </c>
      <c r="L1502" s="42" t="inlineStr">
        <is>
          <t>X_STA_RangeOffer_v1</t>
        </is>
      </c>
      <c r="M1502" s="42" t="inlineStr">
        <is>
          <t>Image Ad</t>
        </is>
      </c>
      <c r="N1502" s="42" t="inlineStr">
        <is>
          <t>Three models. One test drive.</t>
        </is>
      </c>
      <c r="O1502" s="42" t="inlineStr">
        <is>
          <t>Auction - Lowest Cost</t>
        </is>
      </c>
      <c r="P1502" s="42" t="inlineStr">
        <is>
          <t>Site Visit / Conversion</t>
        </is>
      </c>
      <c r="Q1502" s="42" t="inlineStr">
        <is>
          <t>https://www.lepas-sa.co.za/offers</t>
        </is>
      </c>
      <c r="R1502" s="115" t="n">
        <v>378.04</v>
      </c>
      <c r="S1502" s="116" t="n">
        <v>7161</v>
      </c>
      <c r="T1502" s="116" t="n">
        <v>5005</v>
      </c>
      <c r="U1502" s="117">
        <f>IFERROR(S1502/T1502,"")</f>
        <v/>
      </c>
      <c r="V1502" s="116" t="n">
        <v>58</v>
      </c>
      <c r="W1502" s="116" t="n">
        <v>43</v>
      </c>
      <c r="X1502" s="118">
        <f>IFERROR(W1502/S1502,"")</f>
        <v/>
      </c>
      <c r="Y1502" s="115">
        <f>IFERROR(R1502/W1502,"")</f>
        <v/>
      </c>
      <c r="Z1502" s="115">
        <f>IFERROR(R1502/S1502*1000,"")</f>
        <v/>
      </c>
      <c r="AA1502" s="116" t="n">
        <v>30</v>
      </c>
      <c r="AB1502" s="47">
        <f>IFERROR(AA1502/W1502,"")</f>
        <v/>
      </c>
      <c r="AC1502" s="116" t="n">
        <v>0</v>
      </c>
      <c r="AD1502" s="116" t="n">
        <v>0</v>
      </c>
      <c r="AE1502" s="116" t="n">
        <v>0</v>
      </c>
      <c r="AF1502" s="116" t="n">
        <v>0</v>
      </c>
      <c r="AG1502" s="116" t="n">
        <v>0</v>
      </c>
      <c r="AH1502" s="116" t="n">
        <v>0</v>
      </c>
      <c r="AI1502" s="47">
        <f>IFERROR(AC1502/S1502,"")</f>
        <v/>
      </c>
      <c r="AJ1502" s="47">
        <f>IFERROR(AH1502/S1502,"")</f>
        <v/>
      </c>
      <c r="AK1502" s="116" t="n">
        <v>126</v>
      </c>
      <c r="AL1502" s="116" t="n">
        <v>1</v>
      </c>
      <c r="AM1502" s="118">
        <f>IFERROR(AL1502/AA1502,"")</f>
        <v/>
      </c>
      <c r="AN1502" s="119">
        <f>IFERROR(R1502/AL1502,"")</f>
        <v/>
      </c>
      <c r="AO1502" s="116" t="n">
        <v>1</v>
      </c>
      <c r="AP1502" s="47">
        <f>IFERROR(AO1502/AL1502,"")</f>
        <v/>
      </c>
      <c r="AQ1502" s="119">
        <f>IFERROR(R1502/AO1502,"")</f>
        <v/>
      </c>
      <c r="AR1502" s="116" t="n">
        <v>0</v>
      </c>
      <c r="AS1502" s="116" t="n">
        <v>1</v>
      </c>
      <c r="AT1502" s="116">
        <f>AL1502+AR1502</f>
        <v/>
      </c>
      <c r="AU1502" s="119">
        <f>IFERROR(AO1502*Assumptions!$C$26*Assumptions!$C$27*INDEX(Assumptions!$C$18:$C$21,MATCH(H1502,Assumptions!$B$18:$B$21,0)),0)</f>
        <v/>
      </c>
    </row>
    <row r="1503">
      <c r="A1503" s="114" t="n">
        <v>46249</v>
      </c>
      <c r="B1503" s="42" t="inlineStr">
        <is>
          <t>Wk 33</t>
        </is>
      </c>
      <c r="C1503" s="42" t="inlineStr">
        <is>
          <t>Sat</t>
        </is>
      </c>
      <c r="D1503" s="42" t="inlineStr">
        <is>
          <t>X</t>
        </is>
      </c>
      <c r="E1503" s="42" t="inlineStr">
        <is>
          <t>X (Twitter)</t>
        </is>
      </c>
      <c r="F1503" s="42" t="inlineStr">
        <is>
          <t>LEP_ZA_AUG26_X_TD_RANGE_CONV</t>
        </is>
      </c>
      <c r="G1503" s="42" t="inlineStr">
        <is>
          <t>Website Conversions</t>
        </is>
      </c>
      <c r="H1503" s="42" t="inlineStr">
        <is>
          <t>Range</t>
        </is>
      </c>
      <c r="I1503" s="42" t="inlineStr">
        <is>
          <t>Range Offer</t>
        </is>
      </c>
      <c r="J1503" s="42" t="inlineStr">
        <is>
          <t>X_INMKT_AUTO_ZA</t>
        </is>
      </c>
      <c r="K1503" s="42" t="inlineStr">
        <is>
          <t>In-Market</t>
        </is>
      </c>
      <c r="L1503" s="42" t="inlineStr">
        <is>
          <t>X_STA_RangeOffer_v1</t>
        </is>
      </c>
      <c r="M1503" s="42" t="inlineStr">
        <is>
          <t>Image Ad</t>
        </is>
      </c>
      <c r="N1503" s="42" t="inlineStr">
        <is>
          <t>Three models. One test drive.</t>
        </is>
      </c>
      <c r="O1503" s="42" t="inlineStr">
        <is>
          <t>Auction - Lowest Cost</t>
        </is>
      </c>
      <c r="P1503" s="42" t="inlineStr">
        <is>
          <t>Site Visit / Conversion</t>
        </is>
      </c>
      <c r="Q1503" s="42" t="inlineStr">
        <is>
          <t>https://www.lepas-sa.co.za/offers</t>
        </is>
      </c>
      <c r="R1503" s="115" t="n">
        <v>397.81</v>
      </c>
      <c r="S1503" s="116" t="n">
        <v>8111</v>
      </c>
      <c r="T1503" s="116" t="n">
        <v>5091</v>
      </c>
      <c r="U1503" s="117">
        <f>IFERROR(S1503/T1503,"")</f>
        <v/>
      </c>
      <c r="V1503" s="116" t="n">
        <v>52</v>
      </c>
      <c r="W1503" s="116" t="n">
        <v>43</v>
      </c>
      <c r="X1503" s="118">
        <f>IFERROR(W1503/S1503,"")</f>
        <v/>
      </c>
      <c r="Y1503" s="115">
        <f>IFERROR(R1503/W1503,"")</f>
        <v/>
      </c>
      <c r="Z1503" s="115">
        <f>IFERROR(R1503/S1503*1000,"")</f>
        <v/>
      </c>
      <c r="AA1503" s="116" t="n">
        <v>31</v>
      </c>
      <c r="AB1503" s="47">
        <f>IFERROR(AA1503/W1503,"")</f>
        <v/>
      </c>
      <c r="AC1503" s="116" t="n">
        <v>0</v>
      </c>
      <c r="AD1503" s="116" t="n">
        <v>0</v>
      </c>
      <c r="AE1503" s="116" t="n">
        <v>0</v>
      </c>
      <c r="AF1503" s="116" t="n">
        <v>0</v>
      </c>
      <c r="AG1503" s="116" t="n">
        <v>0</v>
      </c>
      <c r="AH1503" s="116" t="n">
        <v>0</v>
      </c>
      <c r="AI1503" s="47">
        <f>IFERROR(AC1503/S1503,"")</f>
        <v/>
      </c>
      <c r="AJ1503" s="47">
        <f>IFERROR(AH1503/S1503,"")</f>
        <v/>
      </c>
      <c r="AK1503" s="116" t="n">
        <v>82</v>
      </c>
      <c r="AL1503" s="116" t="n">
        <v>0</v>
      </c>
      <c r="AM1503" s="118">
        <f>IFERROR(AL1503/AA1503,"")</f>
        <v/>
      </c>
      <c r="AN1503" s="119">
        <f>IFERROR(R1503/AL1503,"")</f>
        <v/>
      </c>
      <c r="AO1503" s="116" t="n">
        <v>0</v>
      </c>
      <c r="AP1503" s="47">
        <f>IFERROR(AO1503/AL1503,"")</f>
        <v/>
      </c>
      <c r="AQ1503" s="119">
        <f>IFERROR(R1503/AO1503,"")</f>
        <v/>
      </c>
      <c r="AR1503" s="116" t="n">
        <v>0</v>
      </c>
      <c r="AS1503" s="116" t="n">
        <v>0</v>
      </c>
      <c r="AT1503" s="116">
        <f>AL1503+AR1503</f>
        <v/>
      </c>
      <c r="AU1503" s="119">
        <f>IFERROR(AO1503*Assumptions!$C$26*Assumptions!$C$27*INDEX(Assumptions!$C$18:$C$21,MATCH(H1503,Assumptions!$B$18:$B$21,0)),0)</f>
        <v/>
      </c>
    </row>
    <row r="1504">
      <c r="A1504" s="114" t="n">
        <v>46250</v>
      </c>
      <c r="B1504" s="42" t="inlineStr">
        <is>
          <t>Wk 33</t>
        </is>
      </c>
      <c r="C1504" s="42" t="inlineStr">
        <is>
          <t>Sun</t>
        </is>
      </c>
      <c r="D1504" s="42" t="inlineStr">
        <is>
          <t>X</t>
        </is>
      </c>
      <c r="E1504" s="42" t="inlineStr">
        <is>
          <t>X (Twitter)</t>
        </is>
      </c>
      <c r="F1504" s="42" t="inlineStr">
        <is>
          <t>LEP_ZA_AUG26_X_TD_RANGE_CONV</t>
        </is>
      </c>
      <c r="G1504" s="42" t="inlineStr">
        <is>
          <t>Website Conversions</t>
        </is>
      </c>
      <c r="H1504" s="42" t="inlineStr">
        <is>
          <t>Range</t>
        </is>
      </c>
      <c r="I1504" s="42" t="inlineStr">
        <is>
          <t>Range Offer</t>
        </is>
      </c>
      <c r="J1504" s="42" t="inlineStr">
        <is>
          <t>X_INMKT_AUTO_ZA</t>
        </is>
      </c>
      <c r="K1504" s="42" t="inlineStr">
        <is>
          <t>In-Market</t>
        </is>
      </c>
      <c r="L1504" s="42" t="inlineStr">
        <is>
          <t>X_STA_RangeOffer_v1</t>
        </is>
      </c>
      <c r="M1504" s="42" t="inlineStr">
        <is>
          <t>Image Ad</t>
        </is>
      </c>
      <c r="N1504" s="42" t="inlineStr">
        <is>
          <t>Three models. One test drive.</t>
        </is>
      </c>
      <c r="O1504" s="42" t="inlineStr">
        <is>
          <t>Auction - Lowest Cost</t>
        </is>
      </c>
      <c r="P1504" s="42" t="inlineStr">
        <is>
          <t>Site Visit / Conversion</t>
        </is>
      </c>
      <c r="Q1504" s="42" t="inlineStr">
        <is>
          <t>https://www.lepas-sa.co.za/offers</t>
        </is>
      </c>
      <c r="R1504" s="115" t="n">
        <v>297.47</v>
      </c>
      <c r="S1504" s="116" t="n">
        <v>6452</v>
      </c>
      <c r="T1504" s="116" t="n">
        <v>4194</v>
      </c>
      <c r="U1504" s="117">
        <f>IFERROR(S1504/T1504,"")</f>
        <v/>
      </c>
      <c r="V1504" s="116" t="n">
        <v>76</v>
      </c>
      <c r="W1504" s="116" t="n">
        <v>57</v>
      </c>
      <c r="X1504" s="118">
        <f>IFERROR(W1504/S1504,"")</f>
        <v/>
      </c>
      <c r="Y1504" s="115">
        <f>IFERROR(R1504/W1504,"")</f>
        <v/>
      </c>
      <c r="Z1504" s="115">
        <f>IFERROR(R1504/S1504*1000,"")</f>
        <v/>
      </c>
      <c r="AA1504" s="116" t="n">
        <v>46</v>
      </c>
      <c r="AB1504" s="47">
        <f>IFERROR(AA1504/W1504,"")</f>
        <v/>
      </c>
      <c r="AC1504" s="116" t="n">
        <v>0</v>
      </c>
      <c r="AD1504" s="116" t="n">
        <v>0</v>
      </c>
      <c r="AE1504" s="116" t="n">
        <v>0</v>
      </c>
      <c r="AF1504" s="116" t="n">
        <v>0</v>
      </c>
      <c r="AG1504" s="116" t="n">
        <v>0</v>
      </c>
      <c r="AH1504" s="116" t="n">
        <v>0</v>
      </c>
      <c r="AI1504" s="47">
        <f>IFERROR(AC1504/S1504,"")</f>
        <v/>
      </c>
      <c r="AJ1504" s="47">
        <f>IFERROR(AH1504/S1504,"")</f>
        <v/>
      </c>
      <c r="AK1504" s="116" t="n">
        <v>99</v>
      </c>
      <c r="AL1504" s="116" t="n">
        <v>1</v>
      </c>
      <c r="AM1504" s="118">
        <f>IFERROR(AL1504/AA1504,"")</f>
        <v/>
      </c>
      <c r="AN1504" s="119">
        <f>IFERROR(R1504/AL1504,"")</f>
        <v/>
      </c>
      <c r="AO1504" s="116" t="n">
        <v>0</v>
      </c>
      <c r="AP1504" s="47">
        <f>IFERROR(AO1504/AL1504,"")</f>
        <v/>
      </c>
      <c r="AQ1504" s="119">
        <f>IFERROR(R1504/AO1504,"")</f>
        <v/>
      </c>
      <c r="AR1504" s="116" t="n">
        <v>0</v>
      </c>
      <c r="AS1504" s="116" t="n">
        <v>0</v>
      </c>
      <c r="AT1504" s="116">
        <f>AL1504+AR1504</f>
        <v/>
      </c>
      <c r="AU1504" s="119">
        <f>IFERROR(AO1504*Assumptions!$C$26*Assumptions!$C$27*INDEX(Assumptions!$C$18:$C$21,MATCH(H1504,Assumptions!$B$18:$B$21,0)),0)</f>
        <v/>
      </c>
    </row>
    <row r="1505">
      <c r="A1505" s="114" t="n">
        <v>46251</v>
      </c>
      <c r="B1505" s="42" t="inlineStr">
        <is>
          <t>Wk 34</t>
        </is>
      </c>
      <c r="C1505" s="42" t="inlineStr">
        <is>
          <t>Mon</t>
        </is>
      </c>
      <c r="D1505" s="42" t="inlineStr">
        <is>
          <t>X</t>
        </is>
      </c>
      <c r="E1505" s="42" t="inlineStr">
        <is>
          <t>X (Twitter)</t>
        </is>
      </c>
      <c r="F1505" s="42" t="inlineStr">
        <is>
          <t>LEP_ZA_AUG26_X_TD_RANGE_CONV</t>
        </is>
      </c>
      <c r="G1505" s="42" t="inlineStr">
        <is>
          <t>Website Conversions</t>
        </is>
      </c>
      <c r="H1505" s="42" t="inlineStr">
        <is>
          <t>Range</t>
        </is>
      </c>
      <c r="I1505" s="42" t="inlineStr">
        <is>
          <t>Range Offer</t>
        </is>
      </c>
      <c r="J1505" s="42" t="inlineStr">
        <is>
          <t>X_INMKT_AUTO_ZA</t>
        </is>
      </c>
      <c r="K1505" s="42" t="inlineStr">
        <is>
          <t>In-Market</t>
        </is>
      </c>
      <c r="L1505" s="42" t="inlineStr">
        <is>
          <t>X_STA_RangeOffer_v1</t>
        </is>
      </c>
      <c r="M1505" s="42" t="inlineStr">
        <is>
          <t>Image Ad</t>
        </is>
      </c>
      <c r="N1505" s="42" t="inlineStr">
        <is>
          <t>Three models. One test drive.</t>
        </is>
      </c>
      <c r="O1505" s="42" t="inlineStr">
        <is>
          <t>Auction - Lowest Cost</t>
        </is>
      </c>
      <c r="P1505" s="42" t="inlineStr">
        <is>
          <t>Site Visit / Conversion</t>
        </is>
      </c>
      <c r="Q1505" s="42" t="inlineStr">
        <is>
          <t>https://www.lepas-sa.co.za/offers</t>
        </is>
      </c>
      <c r="R1505" s="115" t="n">
        <v>288.72</v>
      </c>
      <c r="S1505" s="116" t="n">
        <v>3844</v>
      </c>
      <c r="T1505" s="116" t="n">
        <v>2553</v>
      </c>
      <c r="U1505" s="117">
        <f>IFERROR(S1505/T1505,"")</f>
        <v/>
      </c>
      <c r="V1505" s="116" t="n">
        <v>31</v>
      </c>
      <c r="W1505" s="116" t="n">
        <v>25</v>
      </c>
      <c r="X1505" s="118">
        <f>IFERROR(W1505/S1505,"")</f>
        <v/>
      </c>
      <c r="Y1505" s="115">
        <f>IFERROR(R1505/W1505,"")</f>
        <v/>
      </c>
      <c r="Z1505" s="115">
        <f>IFERROR(R1505/S1505*1000,"")</f>
        <v/>
      </c>
      <c r="AA1505" s="116" t="n">
        <v>20</v>
      </c>
      <c r="AB1505" s="47">
        <f>IFERROR(AA1505/W1505,"")</f>
        <v/>
      </c>
      <c r="AC1505" s="116" t="n">
        <v>0</v>
      </c>
      <c r="AD1505" s="116" t="n">
        <v>0</v>
      </c>
      <c r="AE1505" s="116" t="n">
        <v>0</v>
      </c>
      <c r="AF1505" s="116" t="n">
        <v>0</v>
      </c>
      <c r="AG1505" s="116" t="n">
        <v>0</v>
      </c>
      <c r="AH1505" s="116" t="n">
        <v>0</v>
      </c>
      <c r="AI1505" s="47">
        <f>IFERROR(AC1505/S1505,"")</f>
        <v/>
      </c>
      <c r="AJ1505" s="47">
        <f>IFERROR(AH1505/S1505,"")</f>
        <v/>
      </c>
      <c r="AK1505" s="116" t="n">
        <v>92</v>
      </c>
      <c r="AL1505" s="116" t="n">
        <v>0</v>
      </c>
      <c r="AM1505" s="118">
        <f>IFERROR(AL1505/AA1505,"")</f>
        <v/>
      </c>
      <c r="AN1505" s="119">
        <f>IFERROR(R1505/AL1505,"")</f>
        <v/>
      </c>
      <c r="AO1505" s="116" t="n">
        <v>0</v>
      </c>
      <c r="AP1505" s="47">
        <f>IFERROR(AO1505/AL1505,"")</f>
        <v/>
      </c>
      <c r="AQ1505" s="119">
        <f>IFERROR(R1505/AO1505,"")</f>
        <v/>
      </c>
      <c r="AR1505" s="116" t="n">
        <v>0</v>
      </c>
      <c r="AS1505" s="116" t="n">
        <v>0</v>
      </c>
      <c r="AT1505" s="116">
        <f>AL1505+AR1505</f>
        <v/>
      </c>
      <c r="AU1505" s="119">
        <f>IFERROR(AO1505*Assumptions!$C$26*Assumptions!$C$27*INDEX(Assumptions!$C$18:$C$21,MATCH(H1505,Assumptions!$B$18:$B$21,0)),0)</f>
        <v/>
      </c>
    </row>
    <row r="1506">
      <c r="A1506" s="114" t="n">
        <v>46252</v>
      </c>
      <c r="B1506" s="42" t="inlineStr">
        <is>
          <t>Wk 34</t>
        </is>
      </c>
      <c r="C1506" s="42" t="inlineStr">
        <is>
          <t>Tue</t>
        </is>
      </c>
      <c r="D1506" s="42" t="inlineStr">
        <is>
          <t>X</t>
        </is>
      </c>
      <c r="E1506" s="42" t="inlineStr">
        <is>
          <t>X (Twitter)</t>
        </is>
      </c>
      <c r="F1506" s="42" t="inlineStr">
        <is>
          <t>LEP_ZA_AUG26_X_TD_RANGE_CONV</t>
        </is>
      </c>
      <c r="G1506" s="42" t="inlineStr">
        <is>
          <t>Website Conversions</t>
        </is>
      </c>
      <c r="H1506" s="42" t="inlineStr">
        <is>
          <t>Range</t>
        </is>
      </c>
      <c r="I1506" s="42" t="inlineStr">
        <is>
          <t>Range Offer</t>
        </is>
      </c>
      <c r="J1506" s="42" t="inlineStr">
        <is>
          <t>X_INMKT_AUTO_ZA</t>
        </is>
      </c>
      <c r="K1506" s="42" t="inlineStr">
        <is>
          <t>In-Market</t>
        </is>
      </c>
      <c r="L1506" s="42" t="inlineStr">
        <is>
          <t>X_STA_RangeOffer_v1</t>
        </is>
      </c>
      <c r="M1506" s="42" t="inlineStr">
        <is>
          <t>Image Ad</t>
        </is>
      </c>
      <c r="N1506" s="42" t="inlineStr">
        <is>
          <t>Three models. One test drive.</t>
        </is>
      </c>
      <c r="O1506" s="42" t="inlineStr">
        <is>
          <t>Auction - Lowest Cost</t>
        </is>
      </c>
      <c r="P1506" s="42" t="inlineStr">
        <is>
          <t>Site Visit / Conversion</t>
        </is>
      </c>
      <c r="Q1506" s="42" t="inlineStr">
        <is>
          <t>https://www.lepas-sa.co.za/offers</t>
        </is>
      </c>
      <c r="R1506" s="115" t="n">
        <v>278.2</v>
      </c>
      <c r="S1506" s="116" t="n">
        <v>4224</v>
      </c>
      <c r="T1506" s="116" t="n">
        <v>2643</v>
      </c>
      <c r="U1506" s="117">
        <f>IFERROR(S1506/T1506,"")</f>
        <v/>
      </c>
      <c r="V1506" s="116" t="n">
        <v>27</v>
      </c>
      <c r="W1506" s="116" t="n">
        <v>22</v>
      </c>
      <c r="X1506" s="118">
        <f>IFERROR(W1506/S1506,"")</f>
        <v/>
      </c>
      <c r="Y1506" s="115">
        <f>IFERROR(R1506/W1506,"")</f>
        <v/>
      </c>
      <c r="Z1506" s="115">
        <f>IFERROR(R1506/S1506*1000,"")</f>
        <v/>
      </c>
      <c r="AA1506" s="116" t="n">
        <v>16</v>
      </c>
      <c r="AB1506" s="47">
        <f>IFERROR(AA1506/W1506,"")</f>
        <v/>
      </c>
      <c r="AC1506" s="116" t="n">
        <v>0</v>
      </c>
      <c r="AD1506" s="116" t="n">
        <v>0</v>
      </c>
      <c r="AE1506" s="116" t="n">
        <v>0</v>
      </c>
      <c r="AF1506" s="116" t="n">
        <v>0</v>
      </c>
      <c r="AG1506" s="116" t="n">
        <v>0</v>
      </c>
      <c r="AH1506" s="116" t="n">
        <v>0</v>
      </c>
      <c r="AI1506" s="47">
        <f>IFERROR(AC1506/S1506,"")</f>
        <v/>
      </c>
      <c r="AJ1506" s="47">
        <f>IFERROR(AH1506/S1506,"")</f>
        <v/>
      </c>
      <c r="AK1506" s="116" t="n">
        <v>51</v>
      </c>
      <c r="AL1506" s="116" t="n">
        <v>1</v>
      </c>
      <c r="AM1506" s="118">
        <f>IFERROR(AL1506/AA1506,"")</f>
        <v/>
      </c>
      <c r="AN1506" s="119">
        <f>IFERROR(R1506/AL1506,"")</f>
        <v/>
      </c>
      <c r="AO1506" s="116" t="n">
        <v>1</v>
      </c>
      <c r="AP1506" s="47">
        <f>IFERROR(AO1506/AL1506,"")</f>
        <v/>
      </c>
      <c r="AQ1506" s="119">
        <f>IFERROR(R1506/AO1506,"")</f>
        <v/>
      </c>
      <c r="AR1506" s="116" t="n">
        <v>0</v>
      </c>
      <c r="AS1506" s="116" t="n">
        <v>0</v>
      </c>
      <c r="AT1506" s="116">
        <f>AL1506+AR1506</f>
        <v/>
      </c>
      <c r="AU1506" s="119">
        <f>IFERROR(AO1506*Assumptions!$C$26*Assumptions!$C$27*INDEX(Assumptions!$C$18:$C$21,MATCH(H1506,Assumptions!$B$18:$B$21,0)),0)</f>
        <v/>
      </c>
    </row>
    <row r="1507">
      <c r="A1507" s="114" t="n">
        <v>46253</v>
      </c>
      <c r="B1507" s="42" t="inlineStr">
        <is>
          <t>Wk 34</t>
        </is>
      </c>
      <c r="C1507" s="42" t="inlineStr">
        <is>
          <t>Wed</t>
        </is>
      </c>
      <c r="D1507" s="42" t="inlineStr">
        <is>
          <t>X</t>
        </is>
      </c>
      <c r="E1507" s="42" t="inlineStr">
        <is>
          <t>X (Twitter)</t>
        </is>
      </c>
      <c r="F1507" s="42" t="inlineStr">
        <is>
          <t>LEP_ZA_AUG26_X_TD_RANGE_CONV</t>
        </is>
      </c>
      <c r="G1507" s="42" t="inlineStr">
        <is>
          <t>Website Conversions</t>
        </is>
      </c>
      <c r="H1507" s="42" t="inlineStr">
        <is>
          <t>Range</t>
        </is>
      </c>
      <c r="I1507" s="42" t="inlineStr">
        <is>
          <t>Range Offer</t>
        </is>
      </c>
      <c r="J1507" s="42" t="inlineStr">
        <is>
          <t>X_INMKT_AUTO_ZA</t>
        </is>
      </c>
      <c r="K1507" s="42" t="inlineStr">
        <is>
          <t>In-Market</t>
        </is>
      </c>
      <c r="L1507" s="42" t="inlineStr">
        <is>
          <t>X_STA_RangeOffer_v1</t>
        </is>
      </c>
      <c r="M1507" s="42" t="inlineStr">
        <is>
          <t>Image Ad</t>
        </is>
      </c>
      <c r="N1507" s="42" t="inlineStr">
        <is>
          <t>Three models. One test drive.</t>
        </is>
      </c>
      <c r="O1507" s="42" t="inlineStr">
        <is>
          <t>Auction - Lowest Cost</t>
        </is>
      </c>
      <c r="P1507" s="42" t="inlineStr">
        <is>
          <t>Site Visit / Conversion</t>
        </is>
      </c>
      <c r="Q1507" s="42" t="inlineStr">
        <is>
          <t>https://www.lepas-sa.co.za/offers</t>
        </is>
      </c>
      <c r="R1507" s="115" t="n">
        <v>359.04</v>
      </c>
      <c r="S1507" s="116" t="n">
        <v>5053</v>
      </c>
      <c r="T1507" s="116" t="n">
        <v>3540</v>
      </c>
      <c r="U1507" s="117">
        <f>IFERROR(S1507/T1507,"")</f>
        <v/>
      </c>
      <c r="V1507" s="116" t="n">
        <v>57</v>
      </c>
      <c r="W1507" s="116" t="n">
        <v>47</v>
      </c>
      <c r="X1507" s="118">
        <f>IFERROR(W1507/S1507,"")</f>
        <v/>
      </c>
      <c r="Y1507" s="115">
        <f>IFERROR(R1507/W1507,"")</f>
        <v/>
      </c>
      <c r="Z1507" s="115">
        <f>IFERROR(R1507/S1507*1000,"")</f>
        <v/>
      </c>
      <c r="AA1507" s="116" t="n">
        <v>37</v>
      </c>
      <c r="AB1507" s="47">
        <f>IFERROR(AA1507/W1507,"")</f>
        <v/>
      </c>
      <c r="AC1507" s="116" t="n">
        <v>0</v>
      </c>
      <c r="AD1507" s="116" t="n">
        <v>0</v>
      </c>
      <c r="AE1507" s="116" t="n">
        <v>0</v>
      </c>
      <c r="AF1507" s="116" t="n">
        <v>0</v>
      </c>
      <c r="AG1507" s="116" t="n">
        <v>0</v>
      </c>
      <c r="AH1507" s="116" t="n">
        <v>0</v>
      </c>
      <c r="AI1507" s="47">
        <f>IFERROR(AC1507/S1507,"")</f>
        <v/>
      </c>
      <c r="AJ1507" s="47">
        <f>IFERROR(AH1507/S1507,"")</f>
        <v/>
      </c>
      <c r="AK1507" s="116" t="n">
        <v>101</v>
      </c>
      <c r="AL1507" s="116" t="n">
        <v>1</v>
      </c>
      <c r="AM1507" s="118">
        <f>IFERROR(AL1507/AA1507,"")</f>
        <v/>
      </c>
      <c r="AN1507" s="119">
        <f>IFERROR(R1507/AL1507,"")</f>
        <v/>
      </c>
      <c r="AO1507" s="116" t="n">
        <v>1</v>
      </c>
      <c r="AP1507" s="47">
        <f>IFERROR(AO1507/AL1507,"")</f>
        <v/>
      </c>
      <c r="AQ1507" s="119">
        <f>IFERROR(R1507/AO1507,"")</f>
        <v/>
      </c>
      <c r="AR1507" s="116" t="n">
        <v>0</v>
      </c>
      <c r="AS1507" s="116" t="n">
        <v>1</v>
      </c>
      <c r="AT1507" s="116">
        <f>AL1507+AR1507</f>
        <v/>
      </c>
      <c r="AU1507" s="119">
        <f>IFERROR(AO1507*Assumptions!$C$26*Assumptions!$C$27*INDEX(Assumptions!$C$18:$C$21,MATCH(H1507,Assumptions!$B$18:$B$21,0)),0)</f>
        <v/>
      </c>
    </row>
    <row r="1508">
      <c r="A1508" s="114" t="n">
        <v>46254</v>
      </c>
      <c r="B1508" s="42" t="inlineStr">
        <is>
          <t>Wk 34</t>
        </is>
      </c>
      <c r="C1508" s="42" t="inlineStr">
        <is>
          <t>Thu</t>
        </is>
      </c>
      <c r="D1508" s="42" t="inlineStr">
        <is>
          <t>X</t>
        </is>
      </c>
      <c r="E1508" s="42" t="inlineStr">
        <is>
          <t>X (Twitter)</t>
        </is>
      </c>
      <c r="F1508" s="42" t="inlineStr">
        <is>
          <t>LEP_ZA_AUG26_X_TD_RANGE_CONV</t>
        </is>
      </c>
      <c r="G1508" s="42" t="inlineStr">
        <is>
          <t>Website Conversions</t>
        </is>
      </c>
      <c r="H1508" s="42" t="inlineStr">
        <is>
          <t>Range</t>
        </is>
      </c>
      <c r="I1508" s="42" t="inlineStr">
        <is>
          <t>Range Offer</t>
        </is>
      </c>
      <c r="J1508" s="42" t="inlineStr">
        <is>
          <t>X_INMKT_AUTO_ZA</t>
        </is>
      </c>
      <c r="K1508" s="42" t="inlineStr">
        <is>
          <t>In-Market</t>
        </is>
      </c>
      <c r="L1508" s="42" t="inlineStr">
        <is>
          <t>X_STA_RangeOffer_v1</t>
        </is>
      </c>
      <c r="M1508" s="42" t="inlineStr">
        <is>
          <t>Image Ad</t>
        </is>
      </c>
      <c r="N1508" s="42" t="inlineStr">
        <is>
          <t>Three models. One test drive.</t>
        </is>
      </c>
      <c r="O1508" s="42" t="inlineStr">
        <is>
          <t>Auction - Lowest Cost</t>
        </is>
      </c>
      <c r="P1508" s="42" t="inlineStr">
        <is>
          <t>Site Visit / Conversion</t>
        </is>
      </c>
      <c r="Q1508" s="42" t="inlineStr">
        <is>
          <t>https://www.lepas-sa.co.za/offers</t>
        </is>
      </c>
      <c r="R1508" s="115" t="n">
        <v>391.05</v>
      </c>
      <c r="S1508" s="116" t="n">
        <v>5680</v>
      </c>
      <c r="T1508" s="116" t="n">
        <v>3533</v>
      </c>
      <c r="U1508" s="117">
        <f>IFERROR(S1508/T1508,"")</f>
        <v/>
      </c>
      <c r="V1508" s="116" t="n">
        <v>33</v>
      </c>
      <c r="W1508" s="116" t="n">
        <v>24</v>
      </c>
      <c r="X1508" s="118">
        <f>IFERROR(W1508/S1508,"")</f>
        <v/>
      </c>
      <c r="Y1508" s="115">
        <f>IFERROR(R1508/W1508,"")</f>
        <v/>
      </c>
      <c r="Z1508" s="115">
        <f>IFERROR(R1508/S1508*1000,"")</f>
        <v/>
      </c>
      <c r="AA1508" s="116" t="n">
        <v>17</v>
      </c>
      <c r="AB1508" s="47">
        <f>IFERROR(AA1508/W1508,"")</f>
        <v/>
      </c>
      <c r="AC1508" s="116" t="n">
        <v>0</v>
      </c>
      <c r="AD1508" s="116" t="n">
        <v>0</v>
      </c>
      <c r="AE1508" s="116" t="n">
        <v>0</v>
      </c>
      <c r="AF1508" s="116" t="n">
        <v>0</v>
      </c>
      <c r="AG1508" s="116" t="n">
        <v>0</v>
      </c>
      <c r="AH1508" s="116" t="n">
        <v>0</v>
      </c>
      <c r="AI1508" s="47">
        <f>IFERROR(AC1508/S1508,"")</f>
        <v/>
      </c>
      <c r="AJ1508" s="47">
        <f>IFERROR(AH1508/S1508,"")</f>
        <v/>
      </c>
      <c r="AK1508" s="116" t="n">
        <v>127</v>
      </c>
      <c r="AL1508" s="116" t="n">
        <v>0</v>
      </c>
      <c r="AM1508" s="118">
        <f>IFERROR(AL1508/AA1508,"")</f>
        <v/>
      </c>
      <c r="AN1508" s="119">
        <f>IFERROR(R1508/AL1508,"")</f>
        <v/>
      </c>
      <c r="AO1508" s="116" t="n">
        <v>0</v>
      </c>
      <c r="AP1508" s="47">
        <f>IFERROR(AO1508/AL1508,"")</f>
        <v/>
      </c>
      <c r="AQ1508" s="119">
        <f>IFERROR(R1508/AO1508,"")</f>
        <v/>
      </c>
      <c r="AR1508" s="116" t="n">
        <v>0</v>
      </c>
      <c r="AS1508" s="116" t="n">
        <v>0</v>
      </c>
      <c r="AT1508" s="116">
        <f>AL1508+AR1508</f>
        <v/>
      </c>
      <c r="AU1508" s="119">
        <f>IFERROR(AO1508*Assumptions!$C$26*Assumptions!$C$27*INDEX(Assumptions!$C$18:$C$21,MATCH(H1508,Assumptions!$B$18:$B$21,0)),0)</f>
        <v/>
      </c>
    </row>
    <row r="1509">
      <c r="A1509" s="114" t="n">
        <v>46255</v>
      </c>
      <c r="B1509" s="42" t="inlineStr">
        <is>
          <t>Wk 34</t>
        </is>
      </c>
      <c r="C1509" s="42" t="inlineStr">
        <is>
          <t>Fri</t>
        </is>
      </c>
      <c r="D1509" s="42" t="inlineStr">
        <is>
          <t>X</t>
        </is>
      </c>
      <c r="E1509" s="42" t="inlineStr">
        <is>
          <t>X (Twitter)</t>
        </is>
      </c>
      <c r="F1509" s="42" t="inlineStr">
        <is>
          <t>LEP_ZA_AUG26_X_TD_RANGE_CONV</t>
        </is>
      </c>
      <c r="G1509" s="42" t="inlineStr">
        <is>
          <t>Website Conversions</t>
        </is>
      </c>
      <c r="H1509" s="42" t="inlineStr">
        <is>
          <t>Range</t>
        </is>
      </c>
      <c r="I1509" s="42" t="inlineStr">
        <is>
          <t>Range Offer</t>
        </is>
      </c>
      <c r="J1509" s="42" t="inlineStr">
        <is>
          <t>X_INMKT_AUTO_ZA</t>
        </is>
      </c>
      <c r="K1509" s="42" t="inlineStr">
        <is>
          <t>In-Market</t>
        </is>
      </c>
      <c r="L1509" s="42" t="inlineStr">
        <is>
          <t>X_STA_RangeOffer_v1</t>
        </is>
      </c>
      <c r="M1509" s="42" t="inlineStr">
        <is>
          <t>Image Ad</t>
        </is>
      </c>
      <c r="N1509" s="42" t="inlineStr">
        <is>
          <t>Three models. One test drive.</t>
        </is>
      </c>
      <c r="O1509" s="42" t="inlineStr">
        <is>
          <t>Auction - Lowest Cost</t>
        </is>
      </c>
      <c r="P1509" s="42" t="inlineStr">
        <is>
          <t>Site Visit / Conversion</t>
        </is>
      </c>
      <c r="Q1509" s="42" t="inlineStr">
        <is>
          <t>https://www.lepas-sa.co.za/offers</t>
        </is>
      </c>
      <c r="R1509" s="115" t="n">
        <v>368.59</v>
      </c>
      <c r="S1509" s="116" t="n">
        <v>6977</v>
      </c>
      <c r="T1509" s="116" t="n">
        <v>4224</v>
      </c>
      <c r="U1509" s="117">
        <f>IFERROR(S1509/T1509,"")</f>
        <v/>
      </c>
      <c r="V1509" s="116" t="n">
        <v>34</v>
      </c>
      <c r="W1509" s="116" t="n">
        <v>27</v>
      </c>
      <c r="X1509" s="118">
        <f>IFERROR(W1509/S1509,"")</f>
        <v/>
      </c>
      <c r="Y1509" s="115">
        <f>IFERROR(R1509/W1509,"")</f>
        <v/>
      </c>
      <c r="Z1509" s="115">
        <f>IFERROR(R1509/S1509*1000,"")</f>
        <v/>
      </c>
      <c r="AA1509" s="116" t="n">
        <v>20</v>
      </c>
      <c r="AB1509" s="47">
        <f>IFERROR(AA1509/W1509,"")</f>
        <v/>
      </c>
      <c r="AC1509" s="116" t="n">
        <v>0</v>
      </c>
      <c r="AD1509" s="116" t="n">
        <v>0</v>
      </c>
      <c r="AE1509" s="116" t="n">
        <v>0</v>
      </c>
      <c r="AF1509" s="116" t="n">
        <v>0</v>
      </c>
      <c r="AG1509" s="116" t="n">
        <v>0</v>
      </c>
      <c r="AH1509" s="116" t="n">
        <v>0</v>
      </c>
      <c r="AI1509" s="47">
        <f>IFERROR(AC1509/S1509,"")</f>
        <v/>
      </c>
      <c r="AJ1509" s="47">
        <f>IFERROR(AH1509/S1509,"")</f>
        <v/>
      </c>
      <c r="AK1509" s="116" t="n">
        <v>169</v>
      </c>
      <c r="AL1509" s="116" t="n">
        <v>1</v>
      </c>
      <c r="AM1509" s="118">
        <f>IFERROR(AL1509/AA1509,"")</f>
        <v/>
      </c>
      <c r="AN1509" s="119">
        <f>IFERROR(R1509/AL1509,"")</f>
        <v/>
      </c>
      <c r="AO1509" s="116" t="n">
        <v>1</v>
      </c>
      <c r="AP1509" s="47">
        <f>IFERROR(AO1509/AL1509,"")</f>
        <v/>
      </c>
      <c r="AQ1509" s="119">
        <f>IFERROR(R1509/AO1509,"")</f>
        <v/>
      </c>
      <c r="AR1509" s="116" t="n">
        <v>0</v>
      </c>
      <c r="AS1509" s="116" t="n">
        <v>0</v>
      </c>
      <c r="AT1509" s="116">
        <f>AL1509+AR1509</f>
        <v/>
      </c>
      <c r="AU1509" s="119">
        <f>IFERROR(AO1509*Assumptions!$C$26*Assumptions!$C$27*INDEX(Assumptions!$C$18:$C$21,MATCH(H1509,Assumptions!$B$18:$B$21,0)),0)</f>
        <v/>
      </c>
    </row>
    <row r="1510">
      <c r="A1510" s="114" t="n">
        <v>46256</v>
      </c>
      <c r="B1510" s="42" t="inlineStr">
        <is>
          <t>Wk 34</t>
        </is>
      </c>
      <c r="C1510" s="42" t="inlineStr">
        <is>
          <t>Sat</t>
        </is>
      </c>
      <c r="D1510" s="42" t="inlineStr">
        <is>
          <t>X</t>
        </is>
      </c>
      <c r="E1510" s="42" t="inlineStr">
        <is>
          <t>X (Twitter)</t>
        </is>
      </c>
      <c r="F1510" s="42" t="inlineStr">
        <is>
          <t>LEP_ZA_AUG26_X_TD_RANGE_CONV</t>
        </is>
      </c>
      <c r="G1510" s="42" t="inlineStr">
        <is>
          <t>Website Conversions</t>
        </is>
      </c>
      <c r="H1510" s="42" t="inlineStr">
        <is>
          <t>Range</t>
        </is>
      </c>
      <c r="I1510" s="42" t="inlineStr">
        <is>
          <t>Range Offer</t>
        </is>
      </c>
      <c r="J1510" s="42" t="inlineStr">
        <is>
          <t>X_INMKT_AUTO_ZA</t>
        </is>
      </c>
      <c r="K1510" s="42" t="inlineStr">
        <is>
          <t>In-Market</t>
        </is>
      </c>
      <c r="L1510" s="42" t="inlineStr">
        <is>
          <t>X_STA_RangeOffer_v1</t>
        </is>
      </c>
      <c r="M1510" s="42" t="inlineStr">
        <is>
          <t>Image Ad</t>
        </is>
      </c>
      <c r="N1510" s="42" t="inlineStr">
        <is>
          <t>Three models. One test drive.</t>
        </is>
      </c>
      <c r="O1510" s="42" t="inlineStr">
        <is>
          <t>Auction - Lowest Cost</t>
        </is>
      </c>
      <c r="P1510" s="42" t="inlineStr">
        <is>
          <t>Site Visit / Conversion</t>
        </is>
      </c>
      <c r="Q1510" s="42" t="inlineStr">
        <is>
          <t>https://www.lepas-sa.co.za/offers</t>
        </is>
      </c>
      <c r="R1510" s="115" t="n">
        <v>388.12</v>
      </c>
      <c r="S1510" s="116" t="n">
        <v>5625</v>
      </c>
      <c r="T1510" s="116" t="n">
        <v>3064</v>
      </c>
      <c r="U1510" s="117">
        <f>IFERROR(S1510/T1510,"")</f>
        <v/>
      </c>
      <c r="V1510" s="116" t="n">
        <v>63</v>
      </c>
      <c r="W1510" s="116" t="n">
        <v>48</v>
      </c>
      <c r="X1510" s="118">
        <f>IFERROR(W1510/S1510,"")</f>
        <v/>
      </c>
      <c r="Y1510" s="115">
        <f>IFERROR(R1510/W1510,"")</f>
        <v/>
      </c>
      <c r="Z1510" s="115">
        <f>IFERROR(R1510/S1510*1000,"")</f>
        <v/>
      </c>
      <c r="AA1510" s="116" t="n">
        <v>39</v>
      </c>
      <c r="AB1510" s="47">
        <f>IFERROR(AA1510/W1510,"")</f>
        <v/>
      </c>
      <c r="AC1510" s="116" t="n">
        <v>0</v>
      </c>
      <c r="AD1510" s="116" t="n">
        <v>0</v>
      </c>
      <c r="AE1510" s="116" t="n">
        <v>0</v>
      </c>
      <c r="AF1510" s="116" t="n">
        <v>0</v>
      </c>
      <c r="AG1510" s="116" t="n">
        <v>0</v>
      </c>
      <c r="AH1510" s="116" t="n">
        <v>0</v>
      </c>
      <c r="AI1510" s="47">
        <f>IFERROR(AC1510/S1510,"")</f>
        <v/>
      </c>
      <c r="AJ1510" s="47">
        <f>IFERROR(AH1510/S1510,"")</f>
        <v/>
      </c>
      <c r="AK1510" s="116" t="n">
        <v>154</v>
      </c>
      <c r="AL1510" s="116" t="n">
        <v>1</v>
      </c>
      <c r="AM1510" s="118">
        <f>IFERROR(AL1510/AA1510,"")</f>
        <v/>
      </c>
      <c r="AN1510" s="119">
        <f>IFERROR(R1510/AL1510,"")</f>
        <v/>
      </c>
      <c r="AO1510" s="116" t="n">
        <v>1</v>
      </c>
      <c r="AP1510" s="47">
        <f>IFERROR(AO1510/AL1510,"")</f>
        <v/>
      </c>
      <c r="AQ1510" s="119">
        <f>IFERROR(R1510/AO1510,"")</f>
        <v/>
      </c>
      <c r="AR1510" s="116" t="n">
        <v>0</v>
      </c>
      <c r="AS1510" s="116" t="n">
        <v>1</v>
      </c>
      <c r="AT1510" s="116">
        <f>AL1510+AR1510</f>
        <v/>
      </c>
      <c r="AU1510" s="119">
        <f>IFERROR(AO1510*Assumptions!$C$26*Assumptions!$C$27*INDEX(Assumptions!$C$18:$C$21,MATCH(H1510,Assumptions!$B$18:$B$21,0)),0)</f>
        <v/>
      </c>
    </row>
    <row r="1511">
      <c r="A1511" s="114" t="n">
        <v>46257</v>
      </c>
      <c r="B1511" s="42" t="inlineStr">
        <is>
          <t>Wk 34</t>
        </is>
      </c>
      <c r="C1511" s="42" t="inlineStr">
        <is>
          <t>Sun</t>
        </is>
      </c>
      <c r="D1511" s="42" t="inlineStr">
        <is>
          <t>X</t>
        </is>
      </c>
      <c r="E1511" s="42" t="inlineStr">
        <is>
          <t>X (Twitter)</t>
        </is>
      </c>
      <c r="F1511" s="42" t="inlineStr">
        <is>
          <t>LEP_ZA_AUG26_X_TD_RANGE_CONV</t>
        </is>
      </c>
      <c r="G1511" s="42" t="inlineStr">
        <is>
          <t>Website Conversions</t>
        </is>
      </c>
      <c r="H1511" s="42" t="inlineStr">
        <is>
          <t>Range</t>
        </is>
      </c>
      <c r="I1511" s="42" t="inlineStr">
        <is>
          <t>Range Offer</t>
        </is>
      </c>
      <c r="J1511" s="42" t="inlineStr">
        <is>
          <t>X_INMKT_AUTO_ZA</t>
        </is>
      </c>
      <c r="K1511" s="42" t="inlineStr">
        <is>
          <t>In-Market</t>
        </is>
      </c>
      <c r="L1511" s="42" t="inlineStr">
        <is>
          <t>X_STA_RangeOffer_v1</t>
        </is>
      </c>
      <c r="M1511" s="42" t="inlineStr">
        <is>
          <t>Image Ad</t>
        </is>
      </c>
      <c r="N1511" s="42" t="inlineStr">
        <is>
          <t>Three models. One test drive.</t>
        </is>
      </c>
      <c r="O1511" s="42" t="inlineStr">
        <is>
          <t>Auction - Lowest Cost</t>
        </is>
      </c>
      <c r="P1511" s="42" t="inlineStr">
        <is>
          <t>Site Visit / Conversion</t>
        </is>
      </c>
      <c r="Q1511" s="42" t="inlineStr">
        <is>
          <t>https://www.lepas-sa.co.za/offers</t>
        </is>
      </c>
      <c r="R1511" s="115" t="n">
        <v>242.05</v>
      </c>
      <c r="S1511" s="116" t="n">
        <v>3489</v>
      </c>
      <c r="T1511" s="116" t="n">
        <v>2148</v>
      </c>
      <c r="U1511" s="117">
        <f>IFERROR(S1511/T1511,"")</f>
        <v/>
      </c>
      <c r="V1511" s="116" t="n">
        <v>25</v>
      </c>
      <c r="W1511" s="116" t="n">
        <v>18</v>
      </c>
      <c r="X1511" s="118">
        <f>IFERROR(W1511/S1511,"")</f>
        <v/>
      </c>
      <c r="Y1511" s="115">
        <f>IFERROR(R1511/W1511,"")</f>
        <v/>
      </c>
      <c r="Z1511" s="115">
        <f>IFERROR(R1511/S1511*1000,"")</f>
        <v/>
      </c>
      <c r="AA1511" s="116" t="n">
        <v>13</v>
      </c>
      <c r="AB1511" s="47">
        <f>IFERROR(AA1511/W1511,"")</f>
        <v/>
      </c>
      <c r="AC1511" s="116" t="n">
        <v>0</v>
      </c>
      <c r="AD1511" s="116" t="n">
        <v>0</v>
      </c>
      <c r="AE1511" s="116" t="n">
        <v>0</v>
      </c>
      <c r="AF1511" s="116" t="n">
        <v>0</v>
      </c>
      <c r="AG1511" s="116" t="n">
        <v>0</v>
      </c>
      <c r="AH1511" s="116" t="n">
        <v>0</v>
      </c>
      <c r="AI1511" s="47">
        <f>IFERROR(AC1511/S1511,"")</f>
        <v/>
      </c>
      <c r="AJ1511" s="47">
        <f>IFERROR(AH1511/S1511,"")</f>
        <v/>
      </c>
      <c r="AK1511" s="116" t="n">
        <v>90</v>
      </c>
      <c r="AL1511" s="116" t="n">
        <v>0</v>
      </c>
      <c r="AM1511" s="118">
        <f>IFERROR(AL1511/AA1511,"")</f>
        <v/>
      </c>
      <c r="AN1511" s="119">
        <f>IFERROR(R1511/AL1511,"")</f>
        <v/>
      </c>
      <c r="AO1511" s="116" t="n">
        <v>0</v>
      </c>
      <c r="AP1511" s="47">
        <f>IFERROR(AO1511/AL1511,"")</f>
        <v/>
      </c>
      <c r="AQ1511" s="119">
        <f>IFERROR(R1511/AO1511,"")</f>
        <v/>
      </c>
      <c r="AR1511" s="116" t="n">
        <v>0</v>
      </c>
      <c r="AS1511" s="116" t="n">
        <v>0</v>
      </c>
      <c r="AT1511" s="116">
        <f>AL1511+AR1511</f>
        <v/>
      </c>
      <c r="AU1511" s="119">
        <f>IFERROR(AO1511*Assumptions!$C$26*Assumptions!$C$27*INDEX(Assumptions!$C$18:$C$21,MATCH(H1511,Assumptions!$B$18:$B$21,0)),0)</f>
        <v/>
      </c>
    </row>
    <row r="1512">
      <c r="A1512" s="114" t="n">
        <v>46258</v>
      </c>
      <c r="B1512" s="42" t="inlineStr">
        <is>
          <t>Wk 35</t>
        </is>
      </c>
      <c r="C1512" s="42" t="inlineStr">
        <is>
          <t>Mon</t>
        </is>
      </c>
      <c r="D1512" s="42" t="inlineStr">
        <is>
          <t>X</t>
        </is>
      </c>
      <c r="E1512" s="42" t="inlineStr">
        <is>
          <t>X (Twitter)</t>
        </is>
      </c>
      <c r="F1512" s="42" t="inlineStr">
        <is>
          <t>LEP_ZA_AUG26_X_TD_RANGE_CONV</t>
        </is>
      </c>
      <c r="G1512" s="42" t="inlineStr">
        <is>
          <t>Website Conversions</t>
        </is>
      </c>
      <c r="H1512" s="42" t="inlineStr">
        <is>
          <t>Range</t>
        </is>
      </c>
      <c r="I1512" s="42" t="inlineStr">
        <is>
          <t>Range Offer</t>
        </is>
      </c>
      <c r="J1512" s="42" t="inlineStr">
        <is>
          <t>X_INMKT_AUTO_ZA</t>
        </is>
      </c>
      <c r="K1512" s="42" t="inlineStr">
        <is>
          <t>In-Market</t>
        </is>
      </c>
      <c r="L1512" s="42" t="inlineStr">
        <is>
          <t>X_STA_RangeOffer_v1</t>
        </is>
      </c>
      <c r="M1512" s="42" t="inlineStr">
        <is>
          <t>Image Ad</t>
        </is>
      </c>
      <c r="N1512" s="42" t="inlineStr">
        <is>
          <t>Three models. One test drive.</t>
        </is>
      </c>
      <c r="O1512" s="42" t="inlineStr">
        <is>
          <t>Auction - Lowest Cost</t>
        </is>
      </c>
      <c r="P1512" s="42" t="inlineStr">
        <is>
          <t>Site Visit / Conversion</t>
        </is>
      </c>
      <c r="Q1512" s="42" t="inlineStr">
        <is>
          <t>https://www.lepas-sa.co.za/offers</t>
        </is>
      </c>
      <c r="R1512" s="115" t="n">
        <v>257.99</v>
      </c>
      <c r="S1512" s="116" t="n">
        <v>4101</v>
      </c>
      <c r="T1512" s="116" t="n">
        <v>2170</v>
      </c>
      <c r="U1512" s="117">
        <f>IFERROR(S1512/T1512,"")</f>
        <v/>
      </c>
      <c r="V1512" s="116" t="n">
        <v>17</v>
      </c>
      <c r="W1512" s="116" t="n">
        <v>14</v>
      </c>
      <c r="X1512" s="118">
        <f>IFERROR(W1512/S1512,"")</f>
        <v/>
      </c>
      <c r="Y1512" s="115">
        <f>IFERROR(R1512/W1512,"")</f>
        <v/>
      </c>
      <c r="Z1512" s="115">
        <f>IFERROR(R1512/S1512*1000,"")</f>
        <v/>
      </c>
      <c r="AA1512" s="116" t="n">
        <v>10</v>
      </c>
      <c r="AB1512" s="47">
        <f>IFERROR(AA1512/W1512,"")</f>
        <v/>
      </c>
      <c r="AC1512" s="116" t="n">
        <v>0</v>
      </c>
      <c r="AD1512" s="116" t="n">
        <v>0</v>
      </c>
      <c r="AE1512" s="116" t="n">
        <v>0</v>
      </c>
      <c r="AF1512" s="116" t="n">
        <v>0</v>
      </c>
      <c r="AG1512" s="116" t="n">
        <v>0</v>
      </c>
      <c r="AH1512" s="116" t="n">
        <v>0</v>
      </c>
      <c r="AI1512" s="47">
        <f>IFERROR(AC1512/S1512,"")</f>
        <v/>
      </c>
      <c r="AJ1512" s="47">
        <f>IFERROR(AH1512/S1512,"")</f>
        <v/>
      </c>
      <c r="AK1512" s="116" t="n">
        <v>64</v>
      </c>
      <c r="AL1512" s="116" t="n">
        <v>0</v>
      </c>
      <c r="AM1512" s="118">
        <f>IFERROR(AL1512/AA1512,"")</f>
        <v/>
      </c>
      <c r="AN1512" s="119">
        <f>IFERROR(R1512/AL1512,"")</f>
        <v/>
      </c>
      <c r="AO1512" s="116" t="n">
        <v>0</v>
      </c>
      <c r="AP1512" s="47">
        <f>IFERROR(AO1512/AL1512,"")</f>
        <v/>
      </c>
      <c r="AQ1512" s="119">
        <f>IFERROR(R1512/AO1512,"")</f>
        <v/>
      </c>
      <c r="AR1512" s="116" t="n">
        <v>0</v>
      </c>
      <c r="AS1512" s="116" t="n">
        <v>0</v>
      </c>
      <c r="AT1512" s="116">
        <f>AL1512+AR1512</f>
        <v/>
      </c>
      <c r="AU1512" s="119">
        <f>IFERROR(AO1512*Assumptions!$C$26*Assumptions!$C$27*INDEX(Assumptions!$C$18:$C$21,MATCH(H1512,Assumptions!$B$18:$B$21,0)),0)</f>
        <v/>
      </c>
    </row>
    <row r="1513">
      <c r="A1513" s="114" t="n">
        <v>46259</v>
      </c>
      <c r="B1513" s="42" t="inlineStr">
        <is>
          <t>Wk 35</t>
        </is>
      </c>
      <c r="C1513" s="42" t="inlineStr">
        <is>
          <t>Tue</t>
        </is>
      </c>
      <c r="D1513" s="42" t="inlineStr">
        <is>
          <t>X</t>
        </is>
      </c>
      <c r="E1513" s="42" t="inlineStr">
        <is>
          <t>X (Twitter)</t>
        </is>
      </c>
      <c r="F1513" s="42" t="inlineStr">
        <is>
          <t>LEP_ZA_AUG26_X_TD_RANGE_CONV</t>
        </is>
      </c>
      <c r="G1513" s="42" t="inlineStr">
        <is>
          <t>Website Conversions</t>
        </is>
      </c>
      <c r="H1513" s="42" t="inlineStr">
        <is>
          <t>Range</t>
        </is>
      </c>
      <c r="I1513" s="42" t="inlineStr">
        <is>
          <t>Range Offer</t>
        </is>
      </c>
      <c r="J1513" s="42" t="inlineStr">
        <is>
          <t>X_INMKT_AUTO_ZA</t>
        </is>
      </c>
      <c r="K1513" s="42" t="inlineStr">
        <is>
          <t>In-Market</t>
        </is>
      </c>
      <c r="L1513" s="42" t="inlineStr">
        <is>
          <t>X_STA_RangeOffer_v1</t>
        </is>
      </c>
      <c r="M1513" s="42" t="inlineStr">
        <is>
          <t>Image Ad</t>
        </is>
      </c>
      <c r="N1513" s="42" t="inlineStr">
        <is>
          <t>Three models. One test drive.</t>
        </is>
      </c>
      <c r="O1513" s="42" t="inlineStr">
        <is>
          <t>Auction - Lowest Cost</t>
        </is>
      </c>
      <c r="P1513" s="42" t="inlineStr">
        <is>
          <t>Site Visit / Conversion</t>
        </is>
      </c>
      <c r="Q1513" s="42" t="inlineStr">
        <is>
          <t>https://www.lepas-sa.co.za/offers</t>
        </is>
      </c>
      <c r="R1513" s="115" t="n">
        <v>347.56</v>
      </c>
      <c r="S1513" s="116" t="n">
        <v>6734</v>
      </c>
      <c r="T1513" s="116" t="n">
        <v>4381</v>
      </c>
      <c r="U1513" s="117">
        <f>IFERROR(S1513/T1513,"")</f>
        <v/>
      </c>
      <c r="V1513" s="116" t="n">
        <v>65</v>
      </c>
      <c r="W1513" s="116" t="n">
        <v>49</v>
      </c>
      <c r="X1513" s="118">
        <f>IFERROR(W1513/S1513,"")</f>
        <v/>
      </c>
      <c r="Y1513" s="115">
        <f>IFERROR(R1513/W1513,"")</f>
        <v/>
      </c>
      <c r="Z1513" s="115">
        <f>IFERROR(R1513/S1513*1000,"")</f>
        <v/>
      </c>
      <c r="AA1513" s="116" t="n">
        <v>41</v>
      </c>
      <c r="AB1513" s="47">
        <f>IFERROR(AA1513/W1513,"")</f>
        <v/>
      </c>
      <c r="AC1513" s="116" t="n">
        <v>0</v>
      </c>
      <c r="AD1513" s="116" t="n">
        <v>0</v>
      </c>
      <c r="AE1513" s="116" t="n">
        <v>0</v>
      </c>
      <c r="AF1513" s="116" t="n">
        <v>0</v>
      </c>
      <c r="AG1513" s="116" t="n">
        <v>0</v>
      </c>
      <c r="AH1513" s="116" t="n">
        <v>0</v>
      </c>
      <c r="AI1513" s="47">
        <f>IFERROR(AC1513/S1513,"")</f>
        <v/>
      </c>
      <c r="AJ1513" s="47">
        <f>IFERROR(AH1513/S1513,"")</f>
        <v/>
      </c>
      <c r="AK1513" s="116" t="n">
        <v>118</v>
      </c>
      <c r="AL1513" s="116" t="n">
        <v>1</v>
      </c>
      <c r="AM1513" s="118">
        <f>IFERROR(AL1513/AA1513,"")</f>
        <v/>
      </c>
      <c r="AN1513" s="119">
        <f>IFERROR(R1513/AL1513,"")</f>
        <v/>
      </c>
      <c r="AO1513" s="116" t="n">
        <v>1</v>
      </c>
      <c r="AP1513" s="47">
        <f>IFERROR(AO1513/AL1513,"")</f>
        <v/>
      </c>
      <c r="AQ1513" s="119">
        <f>IFERROR(R1513/AO1513,"")</f>
        <v/>
      </c>
      <c r="AR1513" s="116" t="n">
        <v>0</v>
      </c>
      <c r="AS1513" s="116" t="n">
        <v>1</v>
      </c>
      <c r="AT1513" s="116">
        <f>AL1513+AR1513</f>
        <v/>
      </c>
      <c r="AU1513" s="119">
        <f>IFERROR(AO1513*Assumptions!$C$26*Assumptions!$C$27*INDEX(Assumptions!$C$18:$C$21,MATCH(H1513,Assumptions!$B$18:$B$21,0)),0)</f>
        <v/>
      </c>
    </row>
    <row r="1514">
      <c r="A1514" s="114" t="n">
        <v>46260</v>
      </c>
      <c r="B1514" s="42" t="inlineStr">
        <is>
          <t>Wk 35</t>
        </is>
      </c>
      <c r="C1514" s="42" t="inlineStr">
        <is>
          <t>Wed</t>
        </is>
      </c>
      <c r="D1514" s="42" t="inlineStr">
        <is>
          <t>X</t>
        </is>
      </c>
      <c r="E1514" s="42" t="inlineStr">
        <is>
          <t>X (Twitter)</t>
        </is>
      </c>
      <c r="F1514" s="42" t="inlineStr">
        <is>
          <t>LEP_ZA_AUG26_X_TD_RANGE_CONV</t>
        </is>
      </c>
      <c r="G1514" s="42" t="inlineStr">
        <is>
          <t>Website Conversions</t>
        </is>
      </c>
      <c r="H1514" s="42" t="inlineStr">
        <is>
          <t>Range</t>
        </is>
      </c>
      <c r="I1514" s="42" t="inlineStr">
        <is>
          <t>Range Offer</t>
        </is>
      </c>
      <c r="J1514" s="42" t="inlineStr">
        <is>
          <t>X_INMKT_AUTO_ZA</t>
        </is>
      </c>
      <c r="K1514" s="42" t="inlineStr">
        <is>
          <t>In-Market</t>
        </is>
      </c>
      <c r="L1514" s="42" t="inlineStr">
        <is>
          <t>X_STA_RangeOffer_v1</t>
        </is>
      </c>
      <c r="M1514" s="42" t="inlineStr">
        <is>
          <t>Image Ad</t>
        </is>
      </c>
      <c r="N1514" s="42" t="inlineStr">
        <is>
          <t>Three models. One test drive.</t>
        </is>
      </c>
      <c r="O1514" s="42" t="inlineStr">
        <is>
          <t>Auction - Lowest Cost</t>
        </is>
      </c>
      <c r="P1514" s="42" t="inlineStr">
        <is>
          <t>Site Visit / Conversion</t>
        </is>
      </c>
      <c r="Q1514" s="42" t="inlineStr">
        <is>
          <t>https://www.lepas-sa.co.za/offers</t>
        </is>
      </c>
      <c r="R1514" s="115" t="n">
        <v>278.68</v>
      </c>
      <c r="S1514" s="116" t="n">
        <v>4765</v>
      </c>
      <c r="T1514" s="116" t="n">
        <v>3048</v>
      </c>
      <c r="U1514" s="117">
        <f>IFERROR(S1514/T1514,"")</f>
        <v/>
      </c>
      <c r="V1514" s="116" t="n">
        <v>29</v>
      </c>
      <c r="W1514" s="116" t="n">
        <v>24</v>
      </c>
      <c r="X1514" s="118">
        <f>IFERROR(W1514/S1514,"")</f>
        <v/>
      </c>
      <c r="Y1514" s="115">
        <f>IFERROR(R1514/W1514,"")</f>
        <v/>
      </c>
      <c r="Z1514" s="115">
        <f>IFERROR(R1514/S1514*1000,"")</f>
        <v/>
      </c>
      <c r="AA1514" s="116" t="n">
        <v>20</v>
      </c>
      <c r="AB1514" s="47">
        <f>IFERROR(AA1514/W1514,"")</f>
        <v/>
      </c>
      <c r="AC1514" s="116" t="n">
        <v>0</v>
      </c>
      <c r="AD1514" s="116" t="n">
        <v>0</v>
      </c>
      <c r="AE1514" s="116" t="n">
        <v>0</v>
      </c>
      <c r="AF1514" s="116" t="n">
        <v>0</v>
      </c>
      <c r="AG1514" s="116" t="n">
        <v>0</v>
      </c>
      <c r="AH1514" s="116" t="n">
        <v>0</v>
      </c>
      <c r="AI1514" s="47">
        <f>IFERROR(AC1514/S1514,"")</f>
        <v/>
      </c>
      <c r="AJ1514" s="47">
        <f>IFERROR(AH1514/S1514,"")</f>
        <v/>
      </c>
      <c r="AK1514" s="116" t="n">
        <v>101</v>
      </c>
      <c r="AL1514" s="116" t="n">
        <v>0</v>
      </c>
      <c r="AM1514" s="118">
        <f>IFERROR(AL1514/AA1514,"")</f>
        <v/>
      </c>
      <c r="AN1514" s="119">
        <f>IFERROR(R1514/AL1514,"")</f>
        <v/>
      </c>
      <c r="AO1514" s="116" t="n">
        <v>0</v>
      </c>
      <c r="AP1514" s="47">
        <f>IFERROR(AO1514/AL1514,"")</f>
        <v/>
      </c>
      <c r="AQ1514" s="119">
        <f>IFERROR(R1514/AO1514,"")</f>
        <v/>
      </c>
      <c r="AR1514" s="116" t="n">
        <v>0</v>
      </c>
      <c r="AS1514" s="116" t="n">
        <v>0</v>
      </c>
      <c r="AT1514" s="116">
        <f>AL1514+AR1514</f>
        <v/>
      </c>
      <c r="AU1514" s="119">
        <f>IFERROR(AO1514*Assumptions!$C$26*Assumptions!$C$27*INDEX(Assumptions!$C$18:$C$21,MATCH(H1514,Assumptions!$B$18:$B$21,0)),0)</f>
        <v/>
      </c>
    </row>
    <row r="1515">
      <c r="A1515" s="114" t="n">
        <v>46261</v>
      </c>
      <c r="B1515" s="42" t="inlineStr">
        <is>
          <t>Wk 35</t>
        </is>
      </c>
      <c r="C1515" s="42" t="inlineStr">
        <is>
          <t>Thu</t>
        </is>
      </c>
      <c r="D1515" s="42" t="inlineStr">
        <is>
          <t>X</t>
        </is>
      </c>
      <c r="E1515" s="42" t="inlineStr">
        <is>
          <t>X (Twitter)</t>
        </is>
      </c>
      <c r="F1515" s="42" t="inlineStr">
        <is>
          <t>LEP_ZA_AUG26_X_TD_RANGE_CONV</t>
        </is>
      </c>
      <c r="G1515" s="42" t="inlineStr">
        <is>
          <t>Website Conversions</t>
        </is>
      </c>
      <c r="H1515" s="42" t="inlineStr">
        <is>
          <t>Range</t>
        </is>
      </c>
      <c r="I1515" s="42" t="inlineStr">
        <is>
          <t>Range Offer</t>
        </is>
      </c>
      <c r="J1515" s="42" t="inlineStr">
        <is>
          <t>X_INMKT_AUTO_ZA</t>
        </is>
      </c>
      <c r="K1515" s="42" t="inlineStr">
        <is>
          <t>In-Market</t>
        </is>
      </c>
      <c r="L1515" s="42" t="inlineStr">
        <is>
          <t>X_STA_RangeOffer_v1</t>
        </is>
      </c>
      <c r="M1515" s="42" t="inlineStr">
        <is>
          <t>Image Ad</t>
        </is>
      </c>
      <c r="N1515" s="42" t="inlineStr">
        <is>
          <t>Three models. One test drive.</t>
        </is>
      </c>
      <c r="O1515" s="42" t="inlineStr">
        <is>
          <t>Auction - Lowest Cost</t>
        </is>
      </c>
      <c r="P1515" s="42" t="inlineStr">
        <is>
          <t>Site Visit / Conversion</t>
        </is>
      </c>
      <c r="Q1515" s="42" t="inlineStr">
        <is>
          <t>https://www.lepas-sa.co.za/offers</t>
        </is>
      </c>
      <c r="R1515" s="115" t="n">
        <v>434.06</v>
      </c>
      <c r="S1515" s="116" t="n">
        <v>6179</v>
      </c>
      <c r="T1515" s="116" t="n">
        <v>4014</v>
      </c>
      <c r="U1515" s="117">
        <f>IFERROR(S1515/T1515,"")</f>
        <v/>
      </c>
      <c r="V1515" s="116" t="n">
        <v>37</v>
      </c>
      <c r="W1515" s="116" t="n">
        <v>27</v>
      </c>
      <c r="X1515" s="118">
        <f>IFERROR(W1515/S1515,"")</f>
        <v/>
      </c>
      <c r="Y1515" s="115">
        <f>IFERROR(R1515/W1515,"")</f>
        <v/>
      </c>
      <c r="Z1515" s="115">
        <f>IFERROR(R1515/S1515*1000,"")</f>
        <v/>
      </c>
      <c r="AA1515" s="116" t="n">
        <v>19</v>
      </c>
      <c r="AB1515" s="47">
        <f>IFERROR(AA1515/W1515,"")</f>
        <v/>
      </c>
      <c r="AC1515" s="116" t="n">
        <v>0</v>
      </c>
      <c r="AD1515" s="116" t="n">
        <v>0</v>
      </c>
      <c r="AE1515" s="116" t="n">
        <v>0</v>
      </c>
      <c r="AF1515" s="116" t="n">
        <v>0</v>
      </c>
      <c r="AG1515" s="116" t="n">
        <v>0</v>
      </c>
      <c r="AH1515" s="116" t="n">
        <v>0</v>
      </c>
      <c r="AI1515" s="47">
        <f>IFERROR(AC1515/S1515,"")</f>
        <v/>
      </c>
      <c r="AJ1515" s="47">
        <f>IFERROR(AH1515/S1515,"")</f>
        <v/>
      </c>
      <c r="AK1515" s="116" t="n">
        <v>89</v>
      </c>
      <c r="AL1515" s="116" t="n">
        <v>0</v>
      </c>
      <c r="AM1515" s="118">
        <f>IFERROR(AL1515/AA1515,"")</f>
        <v/>
      </c>
      <c r="AN1515" s="119">
        <f>IFERROR(R1515/AL1515,"")</f>
        <v/>
      </c>
      <c r="AO1515" s="116" t="n">
        <v>0</v>
      </c>
      <c r="AP1515" s="47">
        <f>IFERROR(AO1515/AL1515,"")</f>
        <v/>
      </c>
      <c r="AQ1515" s="119">
        <f>IFERROR(R1515/AO1515,"")</f>
        <v/>
      </c>
      <c r="AR1515" s="116" t="n">
        <v>0</v>
      </c>
      <c r="AS1515" s="116" t="n">
        <v>0</v>
      </c>
      <c r="AT1515" s="116">
        <f>AL1515+AR1515</f>
        <v/>
      </c>
      <c r="AU1515" s="119">
        <f>IFERROR(AO1515*Assumptions!$C$26*Assumptions!$C$27*INDEX(Assumptions!$C$18:$C$21,MATCH(H1515,Assumptions!$B$18:$B$21,0)),0)</f>
        <v/>
      </c>
    </row>
    <row r="1516">
      <c r="A1516" s="114" t="n">
        <v>46262</v>
      </c>
      <c r="B1516" s="42" t="inlineStr">
        <is>
          <t>Wk 35</t>
        </is>
      </c>
      <c r="C1516" s="42" t="inlineStr">
        <is>
          <t>Fri</t>
        </is>
      </c>
      <c r="D1516" s="42" t="inlineStr">
        <is>
          <t>X</t>
        </is>
      </c>
      <c r="E1516" s="42" t="inlineStr">
        <is>
          <t>X (Twitter)</t>
        </is>
      </c>
      <c r="F1516" s="42" t="inlineStr">
        <is>
          <t>LEP_ZA_AUG26_X_TD_RANGE_CONV</t>
        </is>
      </c>
      <c r="G1516" s="42" t="inlineStr">
        <is>
          <t>Website Conversions</t>
        </is>
      </c>
      <c r="H1516" s="42" t="inlineStr">
        <is>
          <t>Range</t>
        </is>
      </c>
      <c r="I1516" s="42" t="inlineStr">
        <is>
          <t>Range Offer</t>
        </is>
      </c>
      <c r="J1516" s="42" t="inlineStr">
        <is>
          <t>X_INMKT_AUTO_ZA</t>
        </is>
      </c>
      <c r="K1516" s="42" t="inlineStr">
        <is>
          <t>In-Market</t>
        </is>
      </c>
      <c r="L1516" s="42" t="inlineStr">
        <is>
          <t>X_STA_RangeOffer_v1</t>
        </is>
      </c>
      <c r="M1516" s="42" t="inlineStr">
        <is>
          <t>Image Ad</t>
        </is>
      </c>
      <c r="N1516" s="42" t="inlineStr">
        <is>
          <t>Three models. One test drive.</t>
        </is>
      </c>
      <c r="O1516" s="42" t="inlineStr">
        <is>
          <t>Auction - Lowest Cost</t>
        </is>
      </c>
      <c r="P1516" s="42" t="inlineStr">
        <is>
          <t>Site Visit / Conversion</t>
        </is>
      </c>
      <c r="Q1516" s="42" t="inlineStr">
        <is>
          <t>https://www.lepas-sa.co.za/offers</t>
        </is>
      </c>
      <c r="R1516" s="115" t="n">
        <v>451.76</v>
      </c>
      <c r="S1516" s="116" t="n">
        <v>5839</v>
      </c>
      <c r="T1516" s="116" t="n">
        <v>3335</v>
      </c>
      <c r="U1516" s="117">
        <f>IFERROR(S1516/T1516,"")</f>
        <v/>
      </c>
      <c r="V1516" s="116" t="n">
        <v>27</v>
      </c>
      <c r="W1516" s="116" t="n">
        <v>21</v>
      </c>
      <c r="X1516" s="118">
        <f>IFERROR(W1516/S1516,"")</f>
        <v/>
      </c>
      <c r="Y1516" s="115">
        <f>IFERROR(R1516/W1516,"")</f>
        <v/>
      </c>
      <c r="Z1516" s="115">
        <f>IFERROR(R1516/S1516*1000,"")</f>
        <v/>
      </c>
      <c r="AA1516" s="116" t="n">
        <v>15</v>
      </c>
      <c r="AB1516" s="47">
        <f>IFERROR(AA1516/W1516,"")</f>
        <v/>
      </c>
      <c r="AC1516" s="116" t="n">
        <v>0</v>
      </c>
      <c r="AD1516" s="116" t="n">
        <v>0</v>
      </c>
      <c r="AE1516" s="116" t="n">
        <v>0</v>
      </c>
      <c r="AF1516" s="116" t="n">
        <v>0</v>
      </c>
      <c r="AG1516" s="116" t="n">
        <v>0</v>
      </c>
      <c r="AH1516" s="116" t="n">
        <v>0</v>
      </c>
      <c r="AI1516" s="47">
        <f>IFERROR(AC1516/S1516,"")</f>
        <v/>
      </c>
      <c r="AJ1516" s="47">
        <f>IFERROR(AH1516/S1516,"")</f>
        <v/>
      </c>
      <c r="AK1516" s="116" t="n">
        <v>114</v>
      </c>
      <c r="AL1516" s="116" t="n">
        <v>0</v>
      </c>
      <c r="AM1516" s="118">
        <f>IFERROR(AL1516/AA1516,"")</f>
        <v/>
      </c>
      <c r="AN1516" s="119">
        <f>IFERROR(R1516/AL1516,"")</f>
        <v/>
      </c>
      <c r="AO1516" s="116" t="n">
        <v>0</v>
      </c>
      <c r="AP1516" s="47">
        <f>IFERROR(AO1516/AL1516,"")</f>
        <v/>
      </c>
      <c r="AQ1516" s="119">
        <f>IFERROR(R1516/AO1516,"")</f>
        <v/>
      </c>
      <c r="AR1516" s="116" t="n">
        <v>0</v>
      </c>
      <c r="AS1516" s="116" t="n">
        <v>0</v>
      </c>
      <c r="AT1516" s="116">
        <f>AL1516+AR1516</f>
        <v/>
      </c>
      <c r="AU1516" s="119">
        <f>IFERROR(AO1516*Assumptions!$C$26*Assumptions!$C$27*INDEX(Assumptions!$C$18:$C$21,MATCH(H1516,Assumptions!$B$18:$B$21,0)),0)</f>
        <v/>
      </c>
    </row>
    <row r="1517">
      <c r="A1517" s="114" t="n">
        <v>46263</v>
      </c>
      <c r="B1517" s="42" t="inlineStr">
        <is>
          <t>Wk 35</t>
        </is>
      </c>
      <c r="C1517" s="42" t="inlineStr">
        <is>
          <t>Sat</t>
        </is>
      </c>
      <c r="D1517" s="42" t="inlineStr">
        <is>
          <t>X</t>
        </is>
      </c>
      <c r="E1517" s="42" t="inlineStr">
        <is>
          <t>X (Twitter)</t>
        </is>
      </c>
      <c r="F1517" s="42" t="inlineStr">
        <is>
          <t>LEP_ZA_AUG26_X_TD_RANGE_CONV</t>
        </is>
      </c>
      <c r="G1517" s="42" t="inlineStr">
        <is>
          <t>Website Conversions</t>
        </is>
      </c>
      <c r="H1517" s="42" t="inlineStr">
        <is>
          <t>Range</t>
        </is>
      </c>
      <c r="I1517" s="42" t="inlineStr">
        <is>
          <t>Range Offer</t>
        </is>
      </c>
      <c r="J1517" s="42" t="inlineStr">
        <is>
          <t>X_INMKT_AUTO_ZA</t>
        </is>
      </c>
      <c r="K1517" s="42" t="inlineStr">
        <is>
          <t>In-Market</t>
        </is>
      </c>
      <c r="L1517" s="42" t="inlineStr">
        <is>
          <t>X_STA_RangeOffer_v1</t>
        </is>
      </c>
      <c r="M1517" s="42" t="inlineStr">
        <is>
          <t>Image Ad</t>
        </is>
      </c>
      <c r="N1517" s="42" t="inlineStr">
        <is>
          <t>Three models. One test drive.</t>
        </is>
      </c>
      <c r="O1517" s="42" t="inlineStr">
        <is>
          <t>Auction - Lowest Cost</t>
        </is>
      </c>
      <c r="P1517" s="42" t="inlineStr">
        <is>
          <t>Site Visit / Conversion</t>
        </is>
      </c>
      <c r="Q1517" s="42" t="inlineStr">
        <is>
          <t>https://www.lepas-sa.co.za/offers</t>
        </is>
      </c>
      <c r="R1517" s="115" t="n">
        <v>380.86</v>
      </c>
      <c r="S1517" s="116" t="n">
        <v>6073</v>
      </c>
      <c r="T1517" s="116" t="n">
        <v>3855</v>
      </c>
      <c r="U1517" s="117">
        <f>IFERROR(S1517/T1517,"")</f>
        <v/>
      </c>
      <c r="V1517" s="116" t="n">
        <v>51</v>
      </c>
      <c r="W1517" s="116" t="n">
        <v>43</v>
      </c>
      <c r="X1517" s="118">
        <f>IFERROR(W1517/S1517,"")</f>
        <v/>
      </c>
      <c r="Y1517" s="115">
        <f>IFERROR(R1517/W1517,"")</f>
        <v/>
      </c>
      <c r="Z1517" s="115">
        <f>IFERROR(R1517/S1517*1000,"")</f>
        <v/>
      </c>
      <c r="AA1517" s="116" t="n">
        <v>31</v>
      </c>
      <c r="AB1517" s="47">
        <f>IFERROR(AA1517/W1517,"")</f>
        <v/>
      </c>
      <c r="AC1517" s="116" t="n">
        <v>0</v>
      </c>
      <c r="AD1517" s="116" t="n">
        <v>0</v>
      </c>
      <c r="AE1517" s="116" t="n">
        <v>0</v>
      </c>
      <c r="AF1517" s="116" t="n">
        <v>0</v>
      </c>
      <c r="AG1517" s="116" t="n">
        <v>0</v>
      </c>
      <c r="AH1517" s="116" t="n">
        <v>0</v>
      </c>
      <c r="AI1517" s="47">
        <f>IFERROR(AC1517/S1517,"")</f>
        <v/>
      </c>
      <c r="AJ1517" s="47">
        <f>IFERROR(AH1517/S1517,"")</f>
        <v/>
      </c>
      <c r="AK1517" s="116" t="n">
        <v>165</v>
      </c>
      <c r="AL1517" s="116" t="n">
        <v>1</v>
      </c>
      <c r="AM1517" s="118">
        <f>IFERROR(AL1517/AA1517,"")</f>
        <v/>
      </c>
      <c r="AN1517" s="119">
        <f>IFERROR(R1517/AL1517,"")</f>
        <v/>
      </c>
      <c r="AO1517" s="116" t="n">
        <v>0</v>
      </c>
      <c r="AP1517" s="47">
        <f>IFERROR(AO1517/AL1517,"")</f>
        <v/>
      </c>
      <c r="AQ1517" s="119">
        <f>IFERROR(R1517/AO1517,"")</f>
        <v/>
      </c>
      <c r="AR1517" s="116" t="n">
        <v>0</v>
      </c>
      <c r="AS1517" s="116" t="n">
        <v>0</v>
      </c>
      <c r="AT1517" s="116">
        <f>AL1517+AR1517</f>
        <v/>
      </c>
      <c r="AU1517" s="119">
        <f>IFERROR(AO1517*Assumptions!$C$26*Assumptions!$C$27*INDEX(Assumptions!$C$18:$C$21,MATCH(H1517,Assumptions!$B$18:$B$21,0)),0)</f>
        <v/>
      </c>
    </row>
    <row r="1518">
      <c r="A1518" s="114" t="n">
        <v>46264</v>
      </c>
      <c r="B1518" s="42" t="inlineStr">
        <is>
          <t>Wk 35</t>
        </is>
      </c>
      <c r="C1518" s="42" t="inlineStr">
        <is>
          <t>Sun</t>
        </is>
      </c>
      <c r="D1518" s="42" t="inlineStr">
        <is>
          <t>X</t>
        </is>
      </c>
      <c r="E1518" s="42" t="inlineStr">
        <is>
          <t>X (Twitter)</t>
        </is>
      </c>
      <c r="F1518" s="42" t="inlineStr">
        <is>
          <t>LEP_ZA_AUG26_X_TD_RANGE_CONV</t>
        </is>
      </c>
      <c r="G1518" s="42" t="inlineStr">
        <is>
          <t>Website Conversions</t>
        </is>
      </c>
      <c r="H1518" s="42" t="inlineStr">
        <is>
          <t>Range</t>
        </is>
      </c>
      <c r="I1518" s="42" t="inlineStr">
        <is>
          <t>Range Offer</t>
        </is>
      </c>
      <c r="J1518" s="42" t="inlineStr">
        <is>
          <t>X_INMKT_AUTO_ZA</t>
        </is>
      </c>
      <c r="K1518" s="42" t="inlineStr">
        <is>
          <t>In-Market</t>
        </is>
      </c>
      <c r="L1518" s="42" t="inlineStr">
        <is>
          <t>X_STA_RangeOffer_v1</t>
        </is>
      </c>
      <c r="M1518" s="42" t="inlineStr">
        <is>
          <t>Image Ad</t>
        </is>
      </c>
      <c r="N1518" s="42" t="inlineStr">
        <is>
          <t>Three models. One test drive.</t>
        </is>
      </c>
      <c r="O1518" s="42" t="inlineStr">
        <is>
          <t>Auction - Lowest Cost</t>
        </is>
      </c>
      <c r="P1518" s="42" t="inlineStr">
        <is>
          <t>Site Visit / Conversion</t>
        </is>
      </c>
      <c r="Q1518" s="42" t="inlineStr">
        <is>
          <t>https://www.lepas-sa.co.za/offers</t>
        </is>
      </c>
      <c r="R1518" s="115" t="n">
        <v>327.11</v>
      </c>
      <c r="S1518" s="116" t="n">
        <v>5651</v>
      </c>
      <c r="T1518" s="116" t="n">
        <v>3034</v>
      </c>
      <c r="U1518" s="117">
        <f>IFERROR(S1518/T1518,"")</f>
        <v/>
      </c>
      <c r="V1518" s="116" t="n">
        <v>63</v>
      </c>
      <c r="W1518" s="116" t="n">
        <v>47</v>
      </c>
      <c r="X1518" s="118">
        <f>IFERROR(W1518/S1518,"")</f>
        <v/>
      </c>
      <c r="Y1518" s="115">
        <f>IFERROR(R1518/W1518,"")</f>
        <v/>
      </c>
      <c r="Z1518" s="115">
        <f>IFERROR(R1518/S1518*1000,"")</f>
        <v/>
      </c>
      <c r="AA1518" s="116" t="n">
        <v>38</v>
      </c>
      <c r="AB1518" s="47">
        <f>IFERROR(AA1518/W1518,"")</f>
        <v/>
      </c>
      <c r="AC1518" s="116" t="n">
        <v>0</v>
      </c>
      <c r="AD1518" s="116" t="n">
        <v>0</v>
      </c>
      <c r="AE1518" s="116" t="n">
        <v>0</v>
      </c>
      <c r="AF1518" s="116" t="n">
        <v>0</v>
      </c>
      <c r="AG1518" s="116" t="n">
        <v>0</v>
      </c>
      <c r="AH1518" s="116" t="n">
        <v>0</v>
      </c>
      <c r="AI1518" s="47">
        <f>IFERROR(AC1518/S1518,"")</f>
        <v/>
      </c>
      <c r="AJ1518" s="47">
        <f>IFERROR(AH1518/S1518,"")</f>
        <v/>
      </c>
      <c r="AK1518" s="116" t="n">
        <v>93</v>
      </c>
      <c r="AL1518" s="116" t="n">
        <v>1</v>
      </c>
      <c r="AM1518" s="118">
        <f>IFERROR(AL1518/AA1518,"")</f>
        <v/>
      </c>
      <c r="AN1518" s="119">
        <f>IFERROR(R1518/AL1518,"")</f>
        <v/>
      </c>
      <c r="AO1518" s="116" t="n">
        <v>1</v>
      </c>
      <c r="AP1518" s="47">
        <f>IFERROR(AO1518/AL1518,"")</f>
        <v/>
      </c>
      <c r="AQ1518" s="119">
        <f>IFERROR(R1518/AO1518,"")</f>
        <v/>
      </c>
      <c r="AR1518" s="116" t="n">
        <v>0</v>
      </c>
      <c r="AS1518" s="116" t="n">
        <v>0</v>
      </c>
      <c r="AT1518" s="116">
        <f>AL1518+AR1518</f>
        <v/>
      </c>
      <c r="AU1518" s="119">
        <f>IFERROR(AO1518*Assumptions!$C$26*Assumptions!$C$27*INDEX(Assumptions!$C$18:$C$21,MATCH(H1518,Assumptions!$B$18:$B$21,0)),0)</f>
        <v/>
      </c>
    </row>
    <row r="1519">
      <c r="A1519" s="114" t="n">
        <v>46265</v>
      </c>
      <c r="B1519" s="42" t="inlineStr">
        <is>
          <t>Wk 36</t>
        </is>
      </c>
      <c r="C1519" s="42" t="inlineStr">
        <is>
          <t>Mon</t>
        </is>
      </c>
      <c r="D1519" s="42" t="inlineStr">
        <is>
          <t>X</t>
        </is>
      </c>
      <c r="E1519" s="42" t="inlineStr">
        <is>
          <t>X (Twitter)</t>
        </is>
      </c>
      <c r="F1519" s="42" t="inlineStr">
        <is>
          <t>LEP_ZA_AUG26_X_TD_RANGE_CONV</t>
        </is>
      </c>
      <c r="G1519" s="42" t="inlineStr">
        <is>
          <t>Website Conversions</t>
        </is>
      </c>
      <c r="H1519" s="42" t="inlineStr">
        <is>
          <t>Range</t>
        </is>
      </c>
      <c r="I1519" s="42" t="inlineStr">
        <is>
          <t>Range Offer</t>
        </is>
      </c>
      <c r="J1519" s="42" t="inlineStr">
        <is>
          <t>X_INMKT_AUTO_ZA</t>
        </is>
      </c>
      <c r="K1519" s="42" t="inlineStr">
        <is>
          <t>In-Market</t>
        </is>
      </c>
      <c r="L1519" s="42" t="inlineStr">
        <is>
          <t>X_STA_RangeOffer_v1</t>
        </is>
      </c>
      <c r="M1519" s="42" t="inlineStr">
        <is>
          <t>Image Ad</t>
        </is>
      </c>
      <c r="N1519" s="42" t="inlineStr">
        <is>
          <t>Three models. One test drive.</t>
        </is>
      </c>
      <c r="O1519" s="42" t="inlineStr">
        <is>
          <t>Auction - Lowest Cost</t>
        </is>
      </c>
      <c r="P1519" s="42" t="inlineStr">
        <is>
          <t>Site Visit / Conversion</t>
        </is>
      </c>
      <c r="Q1519" s="42" t="inlineStr">
        <is>
          <t>https://www.lepas-sa.co.za/offers</t>
        </is>
      </c>
      <c r="R1519" s="115" t="n">
        <v>299.99</v>
      </c>
      <c r="S1519" s="116" t="n">
        <v>5867</v>
      </c>
      <c r="T1519" s="116" t="n">
        <v>3250</v>
      </c>
      <c r="U1519" s="117">
        <f>IFERROR(S1519/T1519,"")</f>
        <v/>
      </c>
      <c r="V1519" s="116" t="n">
        <v>47</v>
      </c>
      <c r="W1519" s="116" t="n">
        <v>38</v>
      </c>
      <c r="X1519" s="118">
        <f>IFERROR(W1519/S1519,"")</f>
        <v/>
      </c>
      <c r="Y1519" s="115">
        <f>IFERROR(R1519/W1519,"")</f>
        <v/>
      </c>
      <c r="Z1519" s="115">
        <f>IFERROR(R1519/S1519*1000,"")</f>
        <v/>
      </c>
      <c r="AA1519" s="116" t="n">
        <v>26</v>
      </c>
      <c r="AB1519" s="47">
        <f>IFERROR(AA1519/W1519,"")</f>
        <v/>
      </c>
      <c r="AC1519" s="116" t="n">
        <v>0</v>
      </c>
      <c r="AD1519" s="116" t="n">
        <v>0</v>
      </c>
      <c r="AE1519" s="116" t="n">
        <v>0</v>
      </c>
      <c r="AF1519" s="116" t="n">
        <v>0</v>
      </c>
      <c r="AG1519" s="116" t="n">
        <v>0</v>
      </c>
      <c r="AH1519" s="116" t="n">
        <v>0</v>
      </c>
      <c r="AI1519" s="47">
        <f>IFERROR(AC1519/S1519,"")</f>
        <v/>
      </c>
      <c r="AJ1519" s="47">
        <f>IFERROR(AH1519/S1519,"")</f>
        <v/>
      </c>
      <c r="AK1519" s="116" t="n">
        <v>141</v>
      </c>
      <c r="AL1519" s="116" t="n">
        <v>0</v>
      </c>
      <c r="AM1519" s="118">
        <f>IFERROR(AL1519/AA1519,"")</f>
        <v/>
      </c>
      <c r="AN1519" s="119">
        <f>IFERROR(R1519/AL1519,"")</f>
        <v/>
      </c>
      <c r="AO1519" s="116" t="n">
        <v>0</v>
      </c>
      <c r="AP1519" s="47">
        <f>IFERROR(AO1519/AL1519,"")</f>
        <v/>
      </c>
      <c r="AQ1519" s="119">
        <f>IFERROR(R1519/AO1519,"")</f>
        <v/>
      </c>
      <c r="AR1519" s="116" t="n">
        <v>0</v>
      </c>
      <c r="AS1519" s="116" t="n">
        <v>0</v>
      </c>
      <c r="AT1519" s="116">
        <f>AL1519+AR1519</f>
        <v/>
      </c>
      <c r="AU1519" s="119">
        <f>IFERROR(AO1519*Assumptions!$C$26*Assumptions!$C$27*INDEX(Assumptions!$C$18:$C$21,MATCH(H1519,Assumptions!$B$18:$B$21,0)),0)</f>
        <v/>
      </c>
    </row>
    <row r="1520">
      <c r="A1520" s="114" t="n">
        <v>46235</v>
      </c>
      <c r="B1520" s="42" t="inlineStr">
        <is>
          <t>Wk 31</t>
        </is>
      </c>
      <c r="C1520" s="42" t="inlineStr">
        <is>
          <t>Sat</t>
        </is>
      </c>
      <c r="D1520" s="42" t="inlineStr">
        <is>
          <t>X</t>
        </is>
      </c>
      <c r="E1520" s="42" t="inlineStr">
        <is>
          <t>X (Twitter)</t>
        </is>
      </c>
      <c r="F1520" s="42" t="inlineStr">
        <is>
          <t>LEP_ZA_AUG26_X_TD_RANGE_CONV</t>
        </is>
      </c>
      <c r="G1520" s="42" t="inlineStr">
        <is>
          <t>Website Conversions</t>
        </is>
      </c>
      <c r="H1520" s="42" t="inlineStr">
        <is>
          <t>Range</t>
        </is>
      </c>
      <c r="I1520" s="42" t="inlineStr">
        <is>
          <t>Range Offer</t>
        </is>
      </c>
      <c r="J1520" s="42" t="inlineStr">
        <is>
          <t>X_INMKT_AUTO_ZA</t>
        </is>
      </c>
      <c r="K1520" s="42" t="inlineStr">
        <is>
          <t>In-Market</t>
        </is>
      </c>
      <c r="L1520" s="42" t="inlineStr">
        <is>
          <t>X_VID_15s_RangeFilm_v1</t>
        </is>
      </c>
      <c r="M1520" s="42" t="inlineStr">
        <is>
          <t>Video 16:9</t>
        </is>
      </c>
      <c r="N1520" s="42" t="inlineStr">
        <is>
          <t>Meet the Lepas range</t>
        </is>
      </c>
      <c r="O1520" s="42" t="inlineStr">
        <is>
          <t>Auction - Lowest Cost</t>
        </is>
      </c>
      <c r="P1520" s="42" t="inlineStr">
        <is>
          <t>Site Visit / Conversion</t>
        </is>
      </c>
      <c r="Q1520" s="42" t="inlineStr">
        <is>
          <t>https://www.lepas-sa.co.za/offers</t>
        </is>
      </c>
      <c r="R1520" s="115" t="n">
        <v>251.36</v>
      </c>
      <c r="S1520" s="116" t="n">
        <v>3508</v>
      </c>
      <c r="T1520" s="116" t="n">
        <v>2551</v>
      </c>
      <c r="U1520" s="117">
        <f>IFERROR(S1520/T1520,"")</f>
        <v/>
      </c>
      <c r="V1520" s="116" t="n">
        <v>31</v>
      </c>
      <c r="W1520" s="116" t="n">
        <v>22</v>
      </c>
      <c r="X1520" s="118">
        <f>IFERROR(W1520/S1520,"")</f>
        <v/>
      </c>
      <c r="Y1520" s="115">
        <f>IFERROR(R1520/W1520,"")</f>
        <v/>
      </c>
      <c r="Z1520" s="115">
        <f>IFERROR(R1520/S1520*1000,"")</f>
        <v/>
      </c>
      <c r="AA1520" s="116" t="n">
        <v>16</v>
      </c>
      <c r="AB1520" s="47">
        <f>IFERROR(AA1520/W1520,"")</f>
        <v/>
      </c>
      <c r="AC1520" s="116" t="n">
        <v>1246</v>
      </c>
      <c r="AD1520" s="116" t="n">
        <v>625</v>
      </c>
      <c r="AE1520" s="116" t="n">
        <v>493</v>
      </c>
      <c r="AF1520" s="116" t="n">
        <v>325</v>
      </c>
      <c r="AG1520" s="116" t="n">
        <v>249</v>
      </c>
      <c r="AH1520" s="116" t="n">
        <v>148</v>
      </c>
      <c r="AI1520" s="47">
        <f>IFERROR(AC1520/S1520,"")</f>
        <v/>
      </c>
      <c r="AJ1520" s="47">
        <f>IFERROR(AH1520/S1520,"")</f>
        <v/>
      </c>
      <c r="AK1520" s="116" t="n">
        <v>32</v>
      </c>
      <c r="AL1520" s="116" t="n">
        <v>1</v>
      </c>
      <c r="AM1520" s="118">
        <f>IFERROR(AL1520/AA1520,"")</f>
        <v/>
      </c>
      <c r="AN1520" s="119">
        <f>IFERROR(R1520/AL1520,"")</f>
        <v/>
      </c>
      <c r="AO1520" s="116" t="n">
        <v>0</v>
      </c>
      <c r="AP1520" s="47">
        <f>IFERROR(AO1520/AL1520,"")</f>
        <v/>
      </c>
      <c r="AQ1520" s="119">
        <f>IFERROR(R1520/AO1520,"")</f>
        <v/>
      </c>
      <c r="AR1520" s="116" t="n">
        <v>0</v>
      </c>
      <c r="AS1520" s="116" t="n">
        <v>0</v>
      </c>
      <c r="AT1520" s="116">
        <f>AL1520+AR1520</f>
        <v/>
      </c>
      <c r="AU1520" s="119">
        <f>IFERROR(AO1520*Assumptions!$C$26*Assumptions!$C$27*INDEX(Assumptions!$C$18:$C$21,MATCH(H1520,Assumptions!$B$18:$B$21,0)),0)</f>
        <v/>
      </c>
    </row>
    <row r="1521">
      <c r="A1521" s="114" t="n">
        <v>46236</v>
      </c>
      <c r="B1521" s="42" t="inlineStr">
        <is>
          <t>Wk 31</t>
        </is>
      </c>
      <c r="C1521" s="42" t="inlineStr">
        <is>
          <t>Sun</t>
        </is>
      </c>
      <c r="D1521" s="42" t="inlineStr">
        <is>
          <t>X</t>
        </is>
      </c>
      <c r="E1521" s="42" t="inlineStr">
        <is>
          <t>X (Twitter)</t>
        </is>
      </c>
      <c r="F1521" s="42" t="inlineStr">
        <is>
          <t>LEP_ZA_AUG26_X_TD_RANGE_CONV</t>
        </is>
      </c>
      <c r="G1521" s="42" t="inlineStr">
        <is>
          <t>Website Conversions</t>
        </is>
      </c>
      <c r="H1521" s="42" t="inlineStr">
        <is>
          <t>Range</t>
        </is>
      </c>
      <c r="I1521" s="42" t="inlineStr">
        <is>
          <t>Range Offer</t>
        </is>
      </c>
      <c r="J1521" s="42" t="inlineStr">
        <is>
          <t>X_INMKT_AUTO_ZA</t>
        </is>
      </c>
      <c r="K1521" s="42" t="inlineStr">
        <is>
          <t>In-Market</t>
        </is>
      </c>
      <c r="L1521" s="42" t="inlineStr">
        <is>
          <t>X_VID_15s_RangeFilm_v1</t>
        </is>
      </c>
      <c r="M1521" s="42" t="inlineStr">
        <is>
          <t>Video 16:9</t>
        </is>
      </c>
      <c r="N1521" s="42" t="inlineStr">
        <is>
          <t>Meet the Lepas range</t>
        </is>
      </c>
      <c r="O1521" s="42" t="inlineStr">
        <is>
          <t>Auction - Lowest Cost</t>
        </is>
      </c>
      <c r="P1521" s="42" t="inlineStr">
        <is>
          <t>Site Visit / Conversion</t>
        </is>
      </c>
      <c r="Q1521" s="42" t="inlineStr">
        <is>
          <t>https://www.lepas-sa.co.za/offers</t>
        </is>
      </c>
      <c r="R1521" s="115" t="n">
        <v>181.55</v>
      </c>
      <c r="S1521" s="116" t="n">
        <v>2563</v>
      </c>
      <c r="T1521" s="116" t="n">
        <v>2295</v>
      </c>
      <c r="U1521" s="117">
        <f>IFERROR(S1521/T1521,"")</f>
        <v/>
      </c>
      <c r="V1521" s="116" t="n">
        <v>21</v>
      </c>
      <c r="W1521" s="116" t="n">
        <v>15</v>
      </c>
      <c r="X1521" s="118">
        <f>IFERROR(W1521/S1521,"")</f>
        <v/>
      </c>
      <c r="Y1521" s="115">
        <f>IFERROR(R1521/W1521,"")</f>
        <v/>
      </c>
      <c r="Z1521" s="115">
        <f>IFERROR(R1521/S1521*1000,"")</f>
        <v/>
      </c>
      <c r="AA1521" s="116" t="n">
        <v>12</v>
      </c>
      <c r="AB1521" s="47">
        <f>IFERROR(AA1521/W1521,"")</f>
        <v/>
      </c>
      <c r="AC1521" s="116" t="n">
        <v>1000</v>
      </c>
      <c r="AD1521" s="116" t="n">
        <v>547</v>
      </c>
      <c r="AE1521" s="116" t="n">
        <v>527</v>
      </c>
      <c r="AF1521" s="116" t="n">
        <v>289</v>
      </c>
      <c r="AG1521" s="116" t="n">
        <v>212</v>
      </c>
      <c r="AH1521" s="116" t="n">
        <v>137</v>
      </c>
      <c r="AI1521" s="47">
        <f>IFERROR(AC1521/S1521,"")</f>
        <v/>
      </c>
      <c r="AJ1521" s="47">
        <f>IFERROR(AH1521/S1521,"")</f>
        <v/>
      </c>
      <c r="AK1521" s="116" t="n">
        <v>39</v>
      </c>
      <c r="AL1521" s="116" t="n">
        <v>0</v>
      </c>
      <c r="AM1521" s="118">
        <f>IFERROR(AL1521/AA1521,"")</f>
        <v/>
      </c>
      <c r="AN1521" s="119">
        <f>IFERROR(R1521/AL1521,"")</f>
        <v/>
      </c>
      <c r="AO1521" s="116" t="n">
        <v>0</v>
      </c>
      <c r="AP1521" s="47">
        <f>IFERROR(AO1521/AL1521,"")</f>
        <v/>
      </c>
      <c r="AQ1521" s="119">
        <f>IFERROR(R1521/AO1521,"")</f>
        <v/>
      </c>
      <c r="AR1521" s="116" t="n">
        <v>0</v>
      </c>
      <c r="AS1521" s="116" t="n">
        <v>0</v>
      </c>
      <c r="AT1521" s="116">
        <f>AL1521+AR1521</f>
        <v/>
      </c>
      <c r="AU1521" s="119">
        <f>IFERROR(AO1521*Assumptions!$C$26*Assumptions!$C$27*INDEX(Assumptions!$C$18:$C$21,MATCH(H1521,Assumptions!$B$18:$B$21,0)),0)</f>
        <v/>
      </c>
    </row>
    <row r="1522">
      <c r="A1522" s="114" t="n">
        <v>46237</v>
      </c>
      <c r="B1522" s="42" t="inlineStr">
        <is>
          <t>Wk 32</t>
        </is>
      </c>
      <c r="C1522" s="42" t="inlineStr">
        <is>
          <t>Mon</t>
        </is>
      </c>
      <c r="D1522" s="42" t="inlineStr">
        <is>
          <t>X</t>
        </is>
      </c>
      <c r="E1522" s="42" t="inlineStr">
        <is>
          <t>X (Twitter)</t>
        </is>
      </c>
      <c r="F1522" s="42" t="inlineStr">
        <is>
          <t>LEP_ZA_AUG26_X_TD_RANGE_CONV</t>
        </is>
      </c>
      <c r="G1522" s="42" t="inlineStr">
        <is>
          <t>Website Conversions</t>
        </is>
      </c>
      <c r="H1522" s="42" t="inlineStr">
        <is>
          <t>Range</t>
        </is>
      </c>
      <c r="I1522" s="42" t="inlineStr">
        <is>
          <t>Range Offer</t>
        </is>
      </c>
      <c r="J1522" s="42" t="inlineStr">
        <is>
          <t>X_INMKT_AUTO_ZA</t>
        </is>
      </c>
      <c r="K1522" s="42" t="inlineStr">
        <is>
          <t>In-Market</t>
        </is>
      </c>
      <c r="L1522" s="42" t="inlineStr">
        <is>
          <t>X_VID_15s_RangeFilm_v1</t>
        </is>
      </c>
      <c r="M1522" s="42" t="inlineStr">
        <is>
          <t>Video 16:9</t>
        </is>
      </c>
      <c r="N1522" s="42" t="inlineStr">
        <is>
          <t>Meet the Lepas range</t>
        </is>
      </c>
      <c r="O1522" s="42" t="inlineStr">
        <is>
          <t>Auction - Lowest Cost</t>
        </is>
      </c>
      <c r="P1522" s="42" t="inlineStr">
        <is>
          <t>Site Visit / Conversion</t>
        </is>
      </c>
      <c r="Q1522" s="42" t="inlineStr">
        <is>
          <t>https://www.lepas-sa.co.za/offers</t>
        </is>
      </c>
      <c r="R1522" s="115" t="n">
        <v>232.87</v>
      </c>
      <c r="S1522" s="116" t="n">
        <v>3146</v>
      </c>
      <c r="T1522" s="116" t="n">
        <v>2180</v>
      </c>
      <c r="U1522" s="117">
        <f>IFERROR(S1522/T1522,"")</f>
        <v/>
      </c>
      <c r="V1522" s="116" t="n">
        <v>40</v>
      </c>
      <c r="W1522" s="116" t="n">
        <v>33</v>
      </c>
      <c r="X1522" s="118">
        <f>IFERROR(W1522/S1522,"")</f>
        <v/>
      </c>
      <c r="Y1522" s="115">
        <f>IFERROR(R1522/W1522,"")</f>
        <v/>
      </c>
      <c r="Z1522" s="115">
        <f>IFERROR(R1522/S1522*1000,"")</f>
        <v/>
      </c>
      <c r="AA1522" s="116" t="n">
        <v>25</v>
      </c>
      <c r="AB1522" s="47">
        <f>IFERROR(AA1522/W1522,"")</f>
        <v/>
      </c>
      <c r="AC1522" s="116" t="n">
        <v>1016</v>
      </c>
      <c r="AD1522" s="116" t="n">
        <v>563</v>
      </c>
      <c r="AE1522" s="116" t="n">
        <v>480</v>
      </c>
      <c r="AF1522" s="116" t="n">
        <v>257</v>
      </c>
      <c r="AG1522" s="116" t="n">
        <v>168</v>
      </c>
      <c r="AH1522" s="116" t="n">
        <v>101</v>
      </c>
      <c r="AI1522" s="47">
        <f>IFERROR(AC1522/S1522,"")</f>
        <v/>
      </c>
      <c r="AJ1522" s="47">
        <f>IFERROR(AH1522/S1522,"")</f>
        <v/>
      </c>
      <c r="AK1522" s="116" t="n">
        <v>72</v>
      </c>
      <c r="AL1522" s="116" t="n">
        <v>1</v>
      </c>
      <c r="AM1522" s="118">
        <f>IFERROR(AL1522/AA1522,"")</f>
        <v/>
      </c>
      <c r="AN1522" s="119">
        <f>IFERROR(R1522/AL1522,"")</f>
        <v/>
      </c>
      <c r="AO1522" s="116" t="n">
        <v>0</v>
      </c>
      <c r="AP1522" s="47">
        <f>IFERROR(AO1522/AL1522,"")</f>
        <v/>
      </c>
      <c r="AQ1522" s="119">
        <f>IFERROR(R1522/AO1522,"")</f>
        <v/>
      </c>
      <c r="AR1522" s="116" t="n">
        <v>0</v>
      </c>
      <c r="AS1522" s="116" t="n">
        <v>1</v>
      </c>
      <c r="AT1522" s="116">
        <f>AL1522+AR1522</f>
        <v/>
      </c>
      <c r="AU1522" s="119">
        <f>IFERROR(AO1522*Assumptions!$C$26*Assumptions!$C$27*INDEX(Assumptions!$C$18:$C$21,MATCH(H1522,Assumptions!$B$18:$B$21,0)),0)</f>
        <v/>
      </c>
    </row>
    <row r="1523">
      <c r="A1523" s="114" t="n">
        <v>46238</v>
      </c>
      <c r="B1523" s="42" t="inlineStr">
        <is>
          <t>Wk 32</t>
        </is>
      </c>
      <c r="C1523" s="42" t="inlineStr">
        <is>
          <t>Tue</t>
        </is>
      </c>
      <c r="D1523" s="42" t="inlineStr">
        <is>
          <t>X</t>
        </is>
      </c>
      <c r="E1523" s="42" t="inlineStr">
        <is>
          <t>X (Twitter)</t>
        </is>
      </c>
      <c r="F1523" s="42" t="inlineStr">
        <is>
          <t>LEP_ZA_AUG26_X_TD_RANGE_CONV</t>
        </is>
      </c>
      <c r="G1523" s="42" t="inlineStr">
        <is>
          <t>Website Conversions</t>
        </is>
      </c>
      <c r="H1523" s="42" t="inlineStr">
        <is>
          <t>Range</t>
        </is>
      </c>
      <c r="I1523" s="42" t="inlineStr">
        <is>
          <t>Range Offer</t>
        </is>
      </c>
      <c r="J1523" s="42" t="inlineStr">
        <is>
          <t>X_INMKT_AUTO_ZA</t>
        </is>
      </c>
      <c r="K1523" s="42" t="inlineStr">
        <is>
          <t>In-Market</t>
        </is>
      </c>
      <c r="L1523" s="42" t="inlineStr">
        <is>
          <t>X_VID_15s_RangeFilm_v1</t>
        </is>
      </c>
      <c r="M1523" s="42" t="inlineStr">
        <is>
          <t>Video 16:9</t>
        </is>
      </c>
      <c r="N1523" s="42" t="inlineStr">
        <is>
          <t>Meet the Lepas range</t>
        </is>
      </c>
      <c r="O1523" s="42" t="inlineStr">
        <is>
          <t>Auction - Lowest Cost</t>
        </is>
      </c>
      <c r="P1523" s="42" t="inlineStr">
        <is>
          <t>Site Visit / Conversion</t>
        </is>
      </c>
      <c r="Q1523" s="42" t="inlineStr">
        <is>
          <t>https://www.lepas-sa.co.za/offers</t>
        </is>
      </c>
      <c r="R1523" s="115" t="n">
        <v>228.83</v>
      </c>
      <c r="S1523" s="116" t="n">
        <v>4490</v>
      </c>
      <c r="T1523" s="116" t="n">
        <v>3065</v>
      </c>
      <c r="U1523" s="117">
        <f>IFERROR(S1523/T1523,"")</f>
        <v/>
      </c>
      <c r="V1523" s="116" t="n">
        <v>39</v>
      </c>
      <c r="W1523" s="116" t="n">
        <v>30</v>
      </c>
      <c r="X1523" s="118">
        <f>IFERROR(W1523/S1523,"")</f>
        <v/>
      </c>
      <c r="Y1523" s="115">
        <f>IFERROR(R1523/W1523,"")</f>
        <v/>
      </c>
      <c r="Z1523" s="115">
        <f>IFERROR(R1523/S1523*1000,"")</f>
        <v/>
      </c>
      <c r="AA1523" s="116" t="n">
        <v>24</v>
      </c>
      <c r="AB1523" s="47">
        <f>IFERROR(AA1523/W1523,"")</f>
        <v/>
      </c>
      <c r="AC1523" s="116" t="n">
        <v>1569</v>
      </c>
      <c r="AD1523" s="116" t="n">
        <v>703</v>
      </c>
      <c r="AE1523" s="116" t="n">
        <v>824</v>
      </c>
      <c r="AF1523" s="116" t="n">
        <v>565</v>
      </c>
      <c r="AG1523" s="116" t="n">
        <v>383</v>
      </c>
      <c r="AH1523" s="116" t="n">
        <v>283</v>
      </c>
      <c r="AI1523" s="47">
        <f>IFERROR(AC1523/S1523,"")</f>
        <v/>
      </c>
      <c r="AJ1523" s="47">
        <f>IFERROR(AH1523/S1523,"")</f>
        <v/>
      </c>
      <c r="AK1523" s="116" t="n">
        <v>63</v>
      </c>
      <c r="AL1523" s="116" t="n">
        <v>1</v>
      </c>
      <c r="AM1523" s="118">
        <f>IFERROR(AL1523/AA1523,"")</f>
        <v/>
      </c>
      <c r="AN1523" s="119">
        <f>IFERROR(R1523/AL1523,"")</f>
        <v/>
      </c>
      <c r="AO1523" s="116" t="n">
        <v>1</v>
      </c>
      <c r="AP1523" s="47">
        <f>IFERROR(AO1523/AL1523,"")</f>
        <v/>
      </c>
      <c r="AQ1523" s="119">
        <f>IFERROR(R1523/AO1523,"")</f>
        <v/>
      </c>
      <c r="AR1523" s="116" t="n">
        <v>1</v>
      </c>
      <c r="AS1523" s="116" t="n">
        <v>0</v>
      </c>
      <c r="AT1523" s="116">
        <f>AL1523+AR1523</f>
        <v/>
      </c>
      <c r="AU1523" s="119">
        <f>IFERROR(AO1523*Assumptions!$C$26*Assumptions!$C$27*INDEX(Assumptions!$C$18:$C$21,MATCH(H1523,Assumptions!$B$18:$B$21,0)),0)</f>
        <v/>
      </c>
    </row>
    <row r="1524">
      <c r="A1524" s="114" t="n">
        <v>46239</v>
      </c>
      <c r="B1524" s="42" t="inlineStr">
        <is>
          <t>Wk 32</t>
        </is>
      </c>
      <c r="C1524" s="42" t="inlineStr">
        <is>
          <t>Wed</t>
        </is>
      </c>
      <c r="D1524" s="42" t="inlineStr">
        <is>
          <t>X</t>
        </is>
      </c>
      <c r="E1524" s="42" t="inlineStr">
        <is>
          <t>X (Twitter)</t>
        </is>
      </c>
      <c r="F1524" s="42" t="inlineStr">
        <is>
          <t>LEP_ZA_AUG26_X_TD_RANGE_CONV</t>
        </is>
      </c>
      <c r="G1524" s="42" t="inlineStr">
        <is>
          <t>Website Conversions</t>
        </is>
      </c>
      <c r="H1524" s="42" t="inlineStr">
        <is>
          <t>Range</t>
        </is>
      </c>
      <c r="I1524" s="42" t="inlineStr">
        <is>
          <t>Range Offer</t>
        </is>
      </c>
      <c r="J1524" s="42" t="inlineStr">
        <is>
          <t>X_INMKT_AUTO_ZA</t>
        </is>
      </c>
      <c r="K1524" s="42" t="inlineStr">
        <is>
          <t>In-Market</t>
        </is>
      </c>
      <c r="L1524" s="42" t="inlineStr">
        <is>
          <t>X_VID_15s_RangeFilm_v1</t>
        </is>
      </c>
      <c r="M1524" s="42" t="inlineStr">
        <is>
          <t>Video 16:9</t>
        </is>
      </c>
      <c r="N1524" s="42" t="inlineStr">
        <is>
          <t>Meet the Lepas range</t>
        </is>
      </c>
      <c r="O1524" s="42" t="inlineStr">
        <is>
          <t>Auction - Lowest Cost</t>
        </is>
      </c>
      <c r="P1524" s="42" t="inlineStr">
        <is>
          <t>Site Visit / Conversion</t>
        </is>
      </c>
      <c r="Q1524" s="42" t="inlineStr">
        <is>
          <t>https://www.lepas-sa.co.za/offers</t>
        </is>
      </c>
      <c r="R1524" s="115" t="n">
        <v>278.18</v>
      </c>
      <c r="S1524" s="116" t="n">
        <v>3976</v>
      </c>
      <c r="T1524" s="116" t="n">
        <v>2937</v>
      </c>
      <c r="U1524" s="117">
        <f>IFERROR(S1524/T1524,"")</f>
        <v/>
      </c>
      <c r="V1524" s="116" t="n">
        <v>27</v>
      </c>
      <c r="W1524" s="116" t="n">
        <v>23</v>
      </c>
      <c r="X1524" s="118">
        <f>IFERROR(W1524/S1524,"")</f>
        <v/>
      </c>
      <c r="Y1524" s="115">
        <f>IFERROR(R1524/W1524,"")</f>
        <v/>
      </c>
      <c r="Z1524" s="115">
        <f>IFERROR(R1524/S1524*1000,"")</f>
        <v/>
      </c>
      <c r="AA1524" s="116" t="n">
        <v>17</v>
      </c>
      <c r="AB1524" s="47">
        <f>IFERROR(AA1524/W1524,"")</f>
        <v/>
      </c>
      <c r="AC1524" s="116" t="n">
        <v>1300</v>
      </c>
      <c r="AD1524" s="116" t="n">
        <v>795</v>
      </c>
      <c r="AE1524" s="116" t="n">
        <v>679</v>
      </c>
      <c r="AF1524" s="116" t="n">
        <v>425</v>
      </c>
      <c r="AG1524" s="116" t="n">
        <v>323</v>
      </c>
      <c r="AH1524" s="116" t="n">
        <v>209</v>
      </c>
      <c r="AI1524" s="47">
        <f>IFERROR(AC1524/S1524,"")</f>
        <v/>
      </c>
      <c r="AJ1524" s="47">
        <f>IFERROR(AH1524/S1524,"")</f>
        <v/>
      </c>
      <c r="AK1524" s="116" t="n">
        <v>58</v>
      </c>
      <c r="AL1524" s="116" t="n">
        <v>0</v>
      </c>
      <c r="AM1524" s="118">
        <f>IFERROR(AL1524/AA1524,"")</f>
        <v/>
      </c>
      <c r="AN1524" s="119">
        <f>IFERROR(R1524/AL1524,"")</f>
        <v/>
      </c>
      <c r="AO1524" s="116" t="n">
        <v>0</v>
      </c>
      <c r="AP1524" s="47">
        <f>IFERROR(AO1524/AL1524,"")</f>
        <v/>
      </c>
      <c r="AQ1524" s="119">
        <f>IFERROR(R1524/AO1524,"")</f>
        <v/>
      </c>
      <c r="AR1524" s="116" t="n">
        <v>0</v>
      </c>
      <c r="AS1524" s="116" t="n">
        <v>0</v>
      </c>
      <c r="AT1524" s="116">
        <f>AL1524+AR1524</f>
        <v/>
      </c>
      <c r="AU1524" s="119">
        <f>IFERROR(AO1524*Assumptions!$C$26*Assumptions!$C$27*INDEX(Assumptions!$C$18:$C$21,MATCH(H1524,Assumptions!$B$18:$B$21,0)),0)</f>
        <v/>
      </c>
    </row>
    <row r="1525">
      <c r="A1525" s="114" t="n">
        <v>46240</v>
      </c>
      <c r="B1525" s="42" t="inlineStr">
        <is>
          <t>Wk 32</t>
        </is>
      </c>
      <c r="C1525" s="42" t="inlineStr">
        <is>
          <t>Thu</t>
        </is>
      </c>
      <c r="D1525" s="42" t="inlineStr">
        <is>
          <t>X</t>
        </is>
      </c>
      <c r="E1525" s="42" t="inlineStr">
        <is>
          <t>X (Twitter)</t>
        </is>
      </c>
      <c r="F1525" s="42" t="inlineStr">
        <is>
          <t>LEP_ZA_AUG26_X_TD_RANGE_CONV</t>
        </is>
      </c>
      <c r="G1525" s="42" t="inlineStr">
        <is>
          <t>Website Conversions</t>
        </is>
      </c>
      <c r="H1525" s="42" t="inlineStr">
        <is>
          <t>Range</t>
        </is>
      </c>
      <c r="I1525" s="42" t="inlineStr">
        <is>
          <t>Range Offer</t>
        </is>
      </c>
      <c r="J1525" s="42" t="inlineStr">
        <is>
          <t>X_INMKT_AUTO_ZA</t>
        </is>
      </c>
      <c r="K1525" s="42" t="inlineStr">
        <is>
          <t>In-Market</t>
        </is>
      </c>
      <c r="L1525" s="42" t="inlineStr">
        <is>
          <t>X_VID_15s_RangeFilm_v1</t>
        </is>
      </c>
      <c r="M1525" s="42" t="inlineStr">
        <is>
          <t>Video 16:9</t>
        </is>
      </c>
      <c r="N1525" s="42" t="inlineStr">
        <is>
          <t>Meet the Lepas range</t>
        </is>
      </c>
      <c r="O1525" s="42" t="inlineStr">
        <is>
          <t>Auction - Lowest Cost</t>
        </is>
      </c>
      <c r="P1525" s="42" t="inlineStr">
        <is>
          <t>Site Visit / Conversion</t>
        </is>
      </c>
      <c r="Q1525" s="42" t="inlineStr">
        <is>
          <t>https://www.lepas-sa.co.za/offers</t>
        </is>
      </c>
      <c r="R1525" s="115" t="n">
        <v>236.89</v>
      </c>
      <c r="S1525" s="116" t="n">
        <v>4502</v>
      </c>
      <c r="T1525" s="116" t="n">
        <v>3008</v>
      </c>
      <c r="U1525" s="117">
        <f>IFERROR(S1525/T1525,"")</f>
        <v/>
      </c>
      <c r="V1525" s="116" t="n">
        <v>48</v>
      </c>
      <c r="W1525" s="116" t="n">
        <v>36</v>
      </c>
      <c r="X1525" s="118">
        <f>IFERROR(W1525/S1525,"")</f>
        <v/>
      </c>
      <c r="Y1525" s="115">
        <f>IFERROR(R1525/W1525,"")</f>
        <v/>
      </c>
      <c r="Z1525" s="115">
        <f>IFERROR(R1525/S1525*1000,"")</f>
        <v/>
      </c>
      <c r="AA1525" s="116" t="n">
        <v>28</v>
      </c>
      <c r="AB1525" s="47">
        <f>IFERROR(AA1525/W1525,"")</f>
        <v/>
      </c>
      <c r="AC1525" s="116" t="n">
        <v>1501</v>
      </c>
      <c r="AD1525" s="116" t="n">
        <v>851</v>
      </c>
      <c r="AE1525" s="116" t="n">
        <v>815</v>
      </c>
      <c r="AF1525" s="116" t="n">
        <v>526</v>
      </c>
      <c r="AG1525" s="116" t="n">
        <v>339</v>
      </c>
      <c r="AH1525" s="116" t="n">
        <v>225</v>
      </c>
      <c r="AI1525" s="47">
        <f>IFERROR(AC1525/S1525,"")</f>
        <v/>
      </c>
      <c r="AJ1525" s="47">
        <f>IFERROR(AH1525/S1525,"")</f>
        <v/>
      </c>
      <c r="AK1525" s="116" t="n">
        <v>93</v>
      </c>
      <c r="AL1525" s="116" t="n">
        <v>0</v>
      </c>
      <c r="AM1525" s="118">
        <f>IFERROR(AL1525/AA1525,"")</f>
        <v/>
      </c>
      <c r="AN1525" s="119">
        <f>IFERROR(R1525/AL1525,"")</f>
        <v/>
      </c>
      <c r="AO1525" s="116" t="n">
        <v>0</v>
      </c>
      <c r="AP1525" s="47">
        <f>IFERROR(AO1525/AL1525,"")</f>
        <v/>
      </c>
      <c r="AQ1525" s="119">
        <f>IFERROR(R1525/AO1525,"")</f>
        <v/>
      </c>
      <c r="AR1525" s="116" t="n">
        <v>0</v>
      </c>
      <c r="AS1525" s="116" t="n">
        <v>0</v>
      </c>
      <c r="AT1525" s="116">
        <f>AL1525+AR1525</f>
        <v/>
      </c>
      <c r="AU1525" s="119">
        <f>IFERROR(AO1525*Assumptions!$C$26*Assumptions!$C$27*INDEX(Assumptions!$C$18:$C$21,MATCH(H1525,Assumptions!$B$18:$B$21,0)),0)</f>
        <v/>
      </c>
    </row>
    <row r="1526">
      <c r="A1526" s="114" t="n">
        <v>46241</v>
      </c>
      <c r="B1526" s="42" t="inlineStr">
        <is>
          <t>Wk 32</t>
        </is>
      </c>
      <c r="C1526" s="42" t="inlineStr">
        <is>
          <t>Fri</t>
        </is>
      </c>
      <c r="D1526" s="42" t="inlineStr">
        <is>
          <t>X</t>
        </is>
      </c>
      <c r="E1526" s="42" t="inlineStr">
        <is>
          <t>X (Twitter)</t>
        </is>
      </c>
      <c r="F1526" s="42" t="inlineStr">
        <is>
          <t>LEP_ZA_AUG26_X_TD_RANGE_CONV</t>
        </is>
      </c>
      <c r="G1526" s="42" t="inlineStr">
        <is>
          <t>Website Conversions</t>
        </is>
      </c>
      <c r="H1526" s="42" t="inlineStr">
        <is>
          <t>Range</t>
        </is>
      </c>
      <c r="I1526" s="42" t="inlineStr">
        <is>
          <t>Range Offer</t>
        </is>
      </c>
      <c r="J1526" s="42" t="inlineStr">
        <is>
          <t>X_INMKT_AUTO_ZA</t>
        </is>
      </c>
      <c r="K1526" s="42" t="inlineStr">
        <is>
          <t>In-Market</t>
        </is>
      </c>
      <c r="L1526" s="42" t="inlineStr">
        <is>
          <t>X_VID_15s_RangeFilm_v1</t>
        </is>
      </c>
      <c r="M1526" s="42" t="inlineStr">
        <is>
          <t>Video 16:9</t>
        </is>
      </c>
      <c r="N1526" s="42" t="inlineStr">
        <is>
          <t>Meet the Lepas range</t>
        </is>
      </c>
      <c r="O1526" s="42" t="inlineStr">
        <is>
          <t>Auction - Lowest Cost</t>
        </is>
      </c>
      <c r="P1526" s="42" t="inlineStr">
        <is>
          <t>Site Visit / Conversion</t>
        </is>
      </c>
      <c r="Q1526" s="42" t="inlineStr">
        <is>
          <t>https://www.lepas-sa.co.za/offers</t>
        </is>
      </c>
      <c r="R1526" s="115" t="n">
        <v>293.85</v>
      </c>
      <c r="S1526" s="116" t="n">
        <v>4993</v>
      </c>
      <c r="T1526" s="116" t="n">
        <v>3291</v>
      </c>
      <c r="U1526" s="117">
        <f>IFERROR(S1526/T1526,"")</f>
        <v/>
      </c>
      <c r="V1526" s="116" t="n">
        <v>76</v>
      </c>
      <c r="W1526" s="116" t="n">
        <v>61</v>
      </c>
      <c r="X1526" s="118">
        <f>IFERROR(W1526/S1526,"")</f>
        <v/>
      </c>
      <c r="Y1526" s="115">
        <f>IFERROR(R1526/W1526,"")</f>
        <v/>
      </c>
      <c r="Z1526" s="115">
        <f>IFERROR(R1526/S1526*1000,"")</f>
        <v/>
      </c>
      <c r="AA1526" s="116" t="n">
        <v>48</v>
      </c>
      <c r="AB1526" s="47">
        <f>IFERROR(AA1526/W1526,"")</f>
        <v/>
      </c>
      <c r="AC1526" s="116" t="n">
        <v>1454</v>
      </c>
      <c r="AD1526" s="116" t="n">
        <v>899</v>
      </c>
      <c r="AE1526" s="116" t="n">
        <v>800</v>
      </c>
      <c r="AF1526" s="116" t="n">
        <v>520</v>
      </c>
      <c r="AG1526" s="116" t="n">
        <v>348</v>
      </c>
      <c r="AH1526" s="116" t="n">
        <v>220</v>
      </c>
      <c r="AI1526" s="47">
        <f>IFERROR(AC1526/S1526,"")</f>
        <v/>
      </c>
      <c r="AJ1526" s="47">
        <f>IFERROR(AH1526/S1526,"")</f>
        <v/>
      </c>
      <c r="AK1526" s="116" t="n">
        <v>120</v>
      </c>
      <c r="AL1526" s="116" t="n">
        <v>1</v>
      </c>
      <c r="AM1526" s="118">
        <f>IFERROR(AL1526/AA1526,"")</f>
        <v/>
      </c>
      <c r="AN1526" s="119">
        <f>IFERROR(R1526/AL1526,"")</f>
        <v/>
      </c>
      <c r="AO1526" s="116" t="n">
        <v>1</v>
      </c>
      <c r="AP1526" s="47">
        <f>IFERROR(AO1526/AL1526,"")</f>
        <v/>
      </c>
      <c r="AQ1526" s="119">
        <f>IFERROR(R1526/AO1526,"")</f>
        <v/>
      </c>
      <c r="AR1526" s="116" t="n">
        <v>0</v>
      </c>
      <c r="AS1526" s="116" t="n">
        <v>0</v>
      </c>
      <c r="AT1526" s="116">
        <f>AL1526+AR1526</f>
        <v/>
      </c>
      <c r="AU1526" s="119">
        <f>IFERROR(AO1526*Assumptions!$C$26*Assumptions!$C$27*INDEX(Assumptions!$C$18:$C$21,MATCH(H1526,Assumptions!$B$18:$B$21,0)),0)</f>
        <v/>
      </c>
    </row>
    <row r="1527">
      <c r="A1527" s="114" t="n">
        <v>46242</v>
      </c>
      <c r="B1527" s="42" t="inlineStr">
        <is>
          <t>Wk 32</t>
        </is>
      </c>
      <c r="C1527" s="42" t="inlineStr">
        <is>
          <t>Sat</t>
        </is>
      </c>
      <c r="D1527" s="42" t="inlineStr">
        <is>
          <t>X</t>
        </is>
      </c>
      <c r="E1527" s="42" t="inlineStr">
        <is>
          <t>X (Twitter)</t>
        </is>
      </c>
      <c r="F1527" s="42" t="inlineStr">
        <is>
          <t>LEP_ZA_AUG26_X_TD_RANGE_CONV</t>
        </is>
      </c>
      <c r="G1527" s="42" t="inlineStr">
        <is>
          <t>Website Conversions</t>
        </is>
      </c>
      <c r="H1527" s="42" t="inlineStr">
        <is>
          <t>Range</t>
        </is>
      </c>
      <c r="I1527" s="42" t="inlineStr">
        <is>
          <t>Range Offer</t>
        </is>
      </c>
      <c r="J1527" s="42" t="inlineStr">
        <is>
          <t>X_INMKT_AUTO_ZA</t>
        </is>
      </c>
      <c r="K1527" s="42" t="inlineStr">
        <is>
          <t>In-Market</t>
        </is>
      </c>
      <c r="L1527" s="42" t="inlineStr">
        <is>
          <t>X_VID_15s_RangeFilm_v1</t>
        </is>
      </c>
      <c r="M1527" s="42" t="inlineStr">
        <is>
          <t>Video 16:9</t>
        </is>
      </c>
      <c r="N1527" s="42" t="inlineStr">
        <is>
          <t>Meet the Lepas range</t>
        </is>
      </c>
      <c r="O1527" s="42" t="inlineStr">
        <is>
          <t>Auction - Lowest Cost</t>
        </is>
      </c>
      <c r="P1527" s="42" t="inlineStr">
        <is>
          <t>Site Visit / Conversion</t>
        </is>
      </c>
      <c r="Q1527" s="42" t="inlineStr">
        <is>
          <t>https://www.lepas-sa.co.za/offers</t>
        </is>
      </c>
      <c r="R1527" s="115" t="n">
        <v>297.37</v>
      </c>
      <c r="S1527" s="116" t="n">
        <v>4077</v>
      </c>
      <c r="T1527" s="116" t="n">
        <v>2647</v>
      </c>
      <c r="U1527" s="117">
        <f>IFERROR(S1527/T1527,"")</f>
        <v/>
      </c>
      <c r="V1527" s="116" t="n">
        <v>26</v>
      </c>
      <c r="W1527" s="116" t="n">
        <v>21</v>
      </c>
      <c r="X1527" s="118">
        <f>IFERROR(W1527/S1527,"")</f>
        <v/>
      </c>
      <c r="Y1527" s="115">
        <f>IFERROR(R1527/W1527,"")</f>
        <v/>
      </c>
      <c r="Z1527" s="115">
        <f>IFERROR(R1527/S1527*1000,"")</f>
        <v/>
      </c>
      <c r="AA1527" s="116" t="n">
        <v>15</v>
      </c>
      <c r="AB1527" s="47">
        <f>IFERROR(AA1527/W1527,"")</f>
        <v/>
      </c>
      <c r="AC1527" s="116" t="n">
        <v>1576</v>
      </c>
      <c r="AD1527" s="116" t="n">
        <v>907</v>
      </c>
      <c r="AE1527" s="116" t="n">
        <v>569</v>
      </c>
      <c r="AF1527" s="116" t="n">
        <v>402</v>
      </c>
      <c r="AG1527" s="116" t="n">
        <v>307</v>
      </c>
      <c r="AH1527" s="116" t="n">
        <v>214</v>
      </c>
      <c r="AI1527" s="47">
        <f>IFERROR(AC1527/S1527,"")</f>
        <v/>
      </c>
      <c r="AJ1527" s="47">
        <f>IFERROR(AH1527/S1527,"")</f>
        <v/>
      </c>
      <c r="AK1527" s="116" t="n">
        <v>37</v>
      </c>
      <c r="AL1527" s="116" t="n">
        <v>1</v>
      </c>
      <c r="AM1527" s="118">
        <f>IFERROR(AL1527/AA1527,"")</f>
        <v/>
      </c>
      <c r="AN1527" s="119">
        <f>IFERROR(R1527/AL1527,"")</f>
        <v/>
      </c>
      <c r="AO1527" s="116" t="n">
        <v>0</v>
      </c>
      <c r="AP1527" s="47">
        <f>IFERROR(AO1527/AL1527,"")</f>
        <v/>
      </c>
      <c r="AQ1527" s="119">
        <f>IFERROR(R1527/AO1527,"")</f>
        <v/>
      </c>
      <c r="AR1527" s="116" t="n">
        <v>1</v>
      </c>
      <c r="AS1527" s="116" t="n">
        <v>0</v>
      </c>
      <c r="AT1527" s="116">
        <f>AL1527+AR1527</f>
        <v/>
      </c>
      <c r="AU1527" s="119">
        <f>IFERROR(AO1527*Assumptions!$C$26*Assumptions!$C$27*INDEX(Assumptions!$C$18:$C$21,MATCH(H1527,Assumptions!$B$18:$B$21,0)),0)</f>
        <v/>
      </c>
    </row>
    <row r="1528">
      <c r="A1528" s="114" t="n">
        <v>46243</v>
      </c>
      <c r="B1528" s="42" t="inlineStr">
        <is>
          <t>Wk 32</t>
        </is>
      </c>
      <c r="C1528" s="42" t="inlineStr">
        <is>
          <t>Sun</t>
        </is>
      </c>
      <c r="D1528" s="42" t="inlineStr">
        <is>
          <t>X</t>
        </is>
      </c>
      <c r="E1528" s="42" t="inlineStr">
        <is>
          <t>X (Twitter)</t>
        </is>
      </c>
      <c r="F1528" s="42" t="inlineStr">
        <is>
          <t>LEP_ZA_AUG26_X_TD_RANGE_CONV</t>
        </is>
      </c>
      <c r="G1528" s="42" t="inlineStr">
        <is>
          <t>Website Conversions</t>
        </is>
      </c>
      <c r="H1528" s="42" t="inlineStr">
        <is>
          <t>Range</t>
        </is>
      </c>
      <c r="I1528" s="42" t="inlineStr">
        <is>
          <t>Range Offer</t>
        </is>
      </c>
      <c r="J1528" s="42" t="inlineStr">
        <is>
          <t>X_INMKT_AUTO_ZA</t>
        </is>
      </c>
      <c r="K1528" s="42" t="inlineStr">
        <is>
          <t>In-Market</t>
        </is>
      </c>
      <c r="L1528" s="42" t="inlineStr">
        <is>
          <t>X_VID_15s_RangeFilm_v1</t>
        </is>
      </c>
      <c r="M1528" s="42" t="inlineStr">
        <is>
          <t>Video 16:9</t>
        </is>
      </c>
      <c r="N1528" s="42" t="inlineStr">
        <is>
          <t>Meet the Lepas range</t>
        </is>
      </c>
      <c r="O1528" s="42" t="inlineStr">
        <is>
          <t>Auction - Lowest Cost</t>
        </is>
      </c>
      <c r="P1528" s="42" t="inlineStr">
        <is>
          <t>Site Visit / Conversion</t>
        </is>
      </c>
      <c r="Q1528" s="42" t="inlineStr">
        <is>
          <t>https://www.lepas-sa.co.za/offers</t>
        </is>
      </c>
      <c r="R1528" s="115" t="n">
        <v>245.64</v>
      </c>
      <c r="S1528" s="116" t="n">
        <v>4859</v>
      </c>
      <c r="T1528" s="116" t="n">
        <v>3111</v>
      </c>
      <c r="U1528" s="117">
        <f>IFERROR(S1528/T1528,"")</f>
        <v/>
      </c>
      <c r="V1528" s="116" t="n">
        <v>60</v>
      </c>
      <c r="W1528" s="116" t="n">
        <v>46</v>
      </c>
      <c r="X1528" s="118">
        <f>IFERROR(W1528/S1528,"")</f>
        <v/>
      </c>
      <c r="Y1528" s="115">
        <f>IFERROR(R1528/W1528,"")</f>
        <v/>
      </c>
      <c r="Z1528" s="115">
        <f>IFERROR(R1528/S1528*1000,"")</f>
        <v/>
      </c>
      <c r="AA1528" s="116" t="n">
        <v>37</v>
      </c>
      <c r="AB1528" s="47">
        <f>IFERROR(AA1528/W1528,"")</f>
        <v/>
      </c>
      <c r="AC1528" s="116" t="n">
        <v>1636</v>
      </c>
      <c r="AD1528" s="116" t="n">
        <v>1000</v>
      </c>
      <c r="AE1528" s="116" t="n">
        <v>751</v>
      </c>
      <c r="AF1528" s="116" t="n">
        <v>502</v>
      </c>
      <c r="AG1528" s="116" t="n">
        <v>340</v>
      </c>
      <c r="AH1528" s="116" t="n">
        <v>201</v>
      </c>
      <c r="AI1528" s="47">
        <f>IFERROR(AC1528/S1528,"")</f>
        <v/>
      </c>
      <c r="AJ1528" s="47">
        <f>IFERROR(AH1528/S1528,"")</f>
        <v/>
      </c>
      <c r="AK1528" s="116" t="n">
        <v>94</v>
      </c>
      <c r="AL1528" s="116" t="n">
        <v>0</v>
      </c>
      <c r="AM1528" s="118">
        <f>IFERROR(AL1528/AA1528,"")</f>
        <v/>
      </c>
      <c r="AN1528" s="119">
        <f>IFERROR(R1528/AL1528,"")</f>
        <v/>
      </c>
      <c r="AO1528" s="116" t="n">
        <v>0</v>
      </c>
      <c r="AP1528" s="47">
        <f>IFERROR(AO1528/AL1528,"")</f>
        <v/>
      </c>
      <c r="AQ1528" s="119">
        <f>IFERROR(R1528/AO1528,"")</f>
        <v/>
      </c>
      <c r="AR1528" s="116" t="n">
        <v>0</v>
      </c>
      <c r="AS1528" s="116" t="n">
        <v>0</v>
      </c>
      <c r="AT1528" s="116">
        <f>AL1528+AR1528</f>
        <v/>
      </c>
      <c r="AU1528" s="119">
        <f>IFERROR(AO1528*Assumptions!$C$26*Assumptions!$C$27*INDEX(Assumptions!$C$18:$C$21,MATCH(H1528,Assumptions!$B$18:$B$21,0)),0)</f>
        <v/>
      </c>
    </row>
    <row r="1529">
      <c r="A1529" s="114" t="n">
        <v>46244</v>
      </c>
      <c r="B1529" s="42" t="inlineStr">
        <is>
          <t>Wk 33</t>
        </is>
      </c>
      <c r="C1529" s="42" t="inlineStr">
        <is>
          <t>Mon</t>
        </is>
      </c>
      <c r="D1529" s="42" t="inlineStr">
        <is>
          <t>X</t>
        </is>
      </c>
      <c r="E1529" s="42" t="inlineStr">
        <is>
          <t>X (Twitter)</t>
        </is>
      </c>
      <c r="F1529" s="42" t="inlineStr">
        <is>
          <t>LEP_ZA_AUG26_X_TD_RANGE_CONV</t>
        </is>
      </c>
      <c r="G1529" s="42" t="inlineStr">
        <is>
          <t>Website Conversions</t>
        </is>
      </c>
      <c r="H1529" s="42" t="inlineStr">
        <is>
          <t>Range</t>
        </is>
      </c>
      <c r="I1529" s="42" t="inlineStr">
        <is>
          <t>Range Offer</t>
        </is>
      </c>
      <c r="J1529" s="42" t="inlineStr">
        <is>
          <t>X_INMKT_AUTO_ZA</t>
        </is>
      </c>
      <c r="K1529" s="42" t="inlineStr">
        <is>
          <t>In-Market</t>
        </is>
      </c>
      <c r="L1529" s="42" t="inlineStr">
        <is>
          <t>X_VID_15s_RangeFilm_v1</t>
        </is>
      </c>
      <c r="M1529" s="42" t="inlineStr">
        <is>
          <t>Video 16:9</t>
        </is>
      </c>
      <c r="N1529" s="42" t="inlineStr">
        <is>
          <t>Meet the Lepas range</t>
        </is>
      </c>
      <c r="O1529" s="42" t="inlineStr">
        <is>
          <t>Auction - Lowest Cost</t>
        </is>
      </c>
      <c r="P1529" s="42" t="inlineStr">
        <is>
          <t>Site Visit / Conversion</t>
        </is>
      </c>
      <c r="Q1529" s="42" t="inlineStr">
        <is>
          <t>https://www.lepas-sa.co.za/offers</t>
        </is>
      </c>
      <c r="R1529" s="115" t="n">
        <v>248.71</v>
      </c>
      <c r="S1529" s="116" t="n">
        <v>5342</v>
      </c>
      <c r="T1529" s="116" t="n">
        <v>4164</v>
      </c>
      <c r="U1529" s="117">
        <f>IFERROR(S1529/T1529,"")</f>
        <v/>
      </c>
      <c r="V1529" s="116" t="n">
        <v>28</v>
      </c>
      <c r="W1529" s="116" t="n">
        <v>24</v>
      </c>
      <c r="X1529" s="118">
        <f>IFERROR(W1529/S1529,"")</f>
        <v/>
      </c>
      <c r="Y1529" s="115">
        <f>IFERROR(R1529/W1529,"")</f>
        <v/>
      </c>
      <c r="Z1529" s="115">
        <f>IFERROR(R1529/S1529*1000,"")</f>
        <v/>
      </c>
      <c r="AA1529" s="116" t="n">
        <v>18</v>
      </c>
      <c r="AB1529" s="47">
        <f>IFERROR(AA1529/W1529,"")</f>
        <v/>
      </c>
      <c r="AC1529" s="116" t="n">
        <v>1675</v>
      </c>
      <c r="AD1529" s="116" t="n">
        <v>958</v>
      </c>
      <c r="AE1529" s="116" t="n">
        <v>871</v>
      </c>
      <c r="AF1529" s="116" t="n">
        <v>493</v>
      </c>
      <c r="AG1529" s="116" t="n">
        <v>347</v>
      </c>
      <c r="AH1529" s="116" t="n">
        <v>216</v>
      </c>
      <c r="AI1529" s="47">
        <f>IFERROR(AC1529/S1529,"")</f>
        <v/>
      </c>
      <c r="AJ1529" s="47">
        <f>IFERROR(AH1529/S1529,"")</f>
        <v/>
      </c>
      <c r="AK1529" s="116" t="n">
        <v>113</v>
      </c>
      <c r="AL1529" s="116" t="n">
        <v>0</v>
      </c>
      <c r="AM1529" s="118">
        <f>IFERROR(AL1529/AA1529,"")</f>
        <v/>
      </c>
      <c r="AN1529" s="119">
        <f>IFERROR(R1529/AL1529,"")</f>
        <v/>
      </c>
      <c r="AO1529" s="116" t="n">
        <v>0</v>
      </c>
      <c r="AP1529" s="47">
        <f>IFERROR(AO1529/AL1529,"")</f>
        <v/>
      </c>
      <c r="AQ1529" s="119">
        <f>IFERROR(R1529/AO1529,"")</f>
        <v/>
      </c>
      <c r="AR1529" s="116" t="n">
        <v>0</v>
      </c>
      <c r="AS1529" s="116" t="n">
        <v>0</v>
      </c>
      <c r="AT1529" s="116">
        <f>AL1529+AR1529</f>
        <v/>
      </c>
      <c r="AU1529" s="119">
        <f>IFERROR(AO1529*Assumptions!$C$26*Assumptions!$C$27*INDEX(Assumptions!$C$18:$C$21,MATCH(H1529,Assumptions!$B$18:$B$21,0)),0)</f>
        <v/>
      </c>
    </row>
    <row r="1530">
      <c r="A1530" s="114" t="n">
        <v>46245</v>
      </c>
      <c r="B1530" s="42" t="inlineStr">
        <is>
          <t>Wk 33</t>
        </is>
      </c>
      <c r="C1530" s="42" t="inlineStr">
        <is>
          <t>Tue</t>
        </is>
      </c>
      <c r="D1530" s="42" t="inlineStr">
        <is>
          <t>X</t>
        </is>
      </c>
      <c r="E1530" s="42" t="inlineStr">
        <is>
          <t>X (Twitter)</t>
        </is>
      </c>
      <c r="F1530" s="42" t="inlineStr">
        <is>
          <t>LEP_ZA_AUG26_X_TD_RANGE_CONV</t>
        </is>
      </c>
      <c r="G1530" s="42" t="inlineStr">
        <is>
          <t>Website Conversions</t>
        </is>
      </c>
      <c r="H1530" s="42" t="inlineStr">
        <is>
          <t>Range</t>
        </is>
      </c>
      <c r="I1530" s="42" t="inlineStr">
        <is>
          <t>Range Offer</t>
        </is>
      </c>
      <c r="J1530" s="42" t="inlineStr">
        <is>
          <t>X_INMKT_AUTO_ZA</t>
        </is>
      </c>
      <c r="K1530" s="42" t="inlineStr">
        <is>
          <t>In-Market</t>
        </is>
      </c>
      <c r="L1530" s="42" t="inlineStr">
        <is>
          <t>X_VID_15s_RangeFilm_v1</t>
        </is>
      </c>
      <c r="M1530" s="42" t="inlineStr">
        <is>
          <t>Video 16:9</t>
        </is>
      </c>
      <c r="N1530" s="42" t="inlineStr">
        <is>
          <t>Meet the Lepas range</t>
        </is>
      </c>
      <c r="O1530" s="42" t="inlineStr">
        <is>
          <t>Auction - Lowest Cost</t>
        </is>
      </c>
      <c r="P1530" s="42" t="inlineStr">
        <is>
          <t>Site Visit / Conversion</t>
        </is>
      </c>
      <c r="Q1530" s="42" t="inlineStr">
        <is>
          <t>https://www.lepas-sa.co.za/offers</t>
        </is>
      </c>
      <c r="R1530" s="115" t="n">
        <v>242.3</v>
      </c>
      <c r="S1530" s="116" t="n">
        <v>4775</v>
      </c>
      <c r="T1530" s="116" t="n">
        <v>3206</v>
      </c>
      <c r="U1530" s="117">
        <f>IFERROR(S1530/T1530,"")</f>
        <v/>
      </c>
      <c r="V1530" s="116" t="n">
        <v>37</v>
      </c>
      <c r="W1530" s="116" t="n">
        <v>27</v>
      </c>
      <c r="X1530" s="118">
        <f>IFERROR(W1530/S1530,"")</f>
        <v/>
      </c>
      <c r="Y1530" s="115">
        <f>IFERROR(R1530/W1530,"")</f>
        <v/>
      </c>
      <c r="Z1530" s="115">
        <f>IFERROR(R1530/S1530*1000,"")</f>
        <v/>
      </c>
      <c r="AA1530" s="116" t="n">
        <v>21</v>
      </c>
      <c r="AB1530" s="47">
        <f>IFERROR(AA1530/W1530,"")</f>
        <v/>
      </c>
      <c r="AC1530" s="116" t="n">
        <v>1225</v>
      </c>
      <c r="AD1530" s="116" t="n">
        <v>654</v>
      </c>
      <c r="AE1530" s="116" t="n">
        <v>648</v>
      </c>
      <c r="AF1530" s="116" t="n">
        <v>456</v>
      </c>
      <c r="AG1530" s="116" t="n">
        <v>349</v>
      </c>
      <c r="AH1530" s="116" t="n">
        <v>228</v>
      </c>
      <c r="AI1530" s="47">
        <f>IFERROR(AC1530/S1530,"")</f>
        <v/>
      </c>
      <c r="AJ1530" s="47">
        <f>IFERROR(AH1530/S1530,"")</f>
        <v/>
      </c>
      <c r="AK1530" s="116" t="n">
        <v>121</v>
      </c>
      <c r="AL1530" s="116" t="n">
        <v>1</v>
      </c>
      <c r="AM1530" s="118">
        <f>IFERROR(AL1530/AA1530,"")</f>
        <v/>
      </c>
      <c r="AN1530" s="119">
        <f>IFERROR(R1530/AL1530,"")</f>
        <v/>
      </c>
      <c r="AO1530" s="116" t="n">
        <v>1</v>
      </c>
      <c r="AP1530" s="47">
        <f>IFERROR(AO1530/AL1530,"")</f>
        <v/>
      </c>
      <c r="AQ1530" s="119">
        <f>IFERROR(R1530/AO1530,"")</f>
        <v/>
      </c>
      <c r="AR1530" s="116" t="n">
        <v>0</v>
      </c>
      <c r="AS1530" s="116" t="n">
        <v>0</v>
      </c>
      <c r="AT1530" s="116">
        <f>AL1530+AR1530</f>
        <v/>
      </c>
      <c r="AU1530" s="119">
        <f>IFERROR(AO1530*Assumptions!$C$26*Assumptions!$C$27*INDEX(Assumptions!$C$18:$C$21,MATCH(H1530,Assumptions!$B$18:$B$21,0)),0)</f>
        <v/>
      </c>
    </row>
    <row r="1531">
      <c r="A1531" s="114" t="n">
        <v>46246</v>
      </c>
      <c r="B1531" s="42" t="inlineStr">
        <is>
          <t>Wk 33</t>
        </is>
      </c>
      <c r="C1531" s="42" t="inlineStr">
        <is>
          <t>Wed</t>
        </is>
      </c>
      <c r="D1531" s="42" t="inlineStr">
        <is>
          <t>X</t>
        </is>
      </c>
      <c r="E1531" s="42" t="inlineStr">
        <is>
          <t>X (Twitter)</t>
        </is>
      </c>
      <c r="F1531" s="42" t="inlineStr">
        <is>
          <t>LEP_ZA_AUG26_X_TD_RANGE_CONV</t>
        </is>
      </c>
      <c r="G1531" s="42" t="inlineStr">
        <is>
          <t>Website Conversions</t>
        </is>
      </c>
      <c r="H1531" s="42" t="inlineStr">
        <is>
          <t>Range</t>
        </is>
      </c>
      <c r="I1531" s="42" t="inlineStr">
        <is>
          <t>Range Offer</t>
        </is>
      </c>
      <c r="J1531" s="42" t="inlineStr">
        <is>
          <t>X_INMKT_AUTO_ZA</t>
        </is>
      </c>
      <c r="K1531" s="42" t="inlineStr">
        <is>
          <t>In-Market</t>
        </is>
      </c>
      <c r="L1531" s="42" t="inlineStr">
        <is>
          <t>X_VID_15s_RangeFilm_v1</t>
        </is>
      </c>
      <c r="M1531" s="42" t="inlineStr">
        <is>
          <t>Video 16:9</t>
        </is>
      </c>
      <c r="N1531" s="42" t="inlineStr">
        <is>
          <t>Meet the Lepas range</t>
        </is>
      </c>
      <c r="O1531" s="42" t="inlineStr">
        <is>
          <t>Auction - Lowest Cost</t>
        </is>
      </c>
      <c r="P1531" s="42" t="inlineStr">
        <is>
          <t>Site Visit / Conversion</t>
        </is>
      </c>
      <c r="Q1531" s="42" t="inlineStr">
        <is>
          <t>https://www.lepas-sa.co.za/offers</t>
        </is>
      </c>
      <c r="R1531" s="115" t="n">
        <v>262.12</v>
      </c>
      <c r="S1531" s="116" t="n">
        <v>5404</v>
      </c>
      <c r="T1531" s="116" t="n">
        <v>3803</v>
      </c>
      <c r="U1531" s="117">
        <f>IFERROR(S1531/T1531,"")</f>
        <v/>
      </c>
      <c r="V1531" s="116" t="n">
        <v>58</v>
      </c>
      <c r="W1531" s="116" t="n">
        <v>47</v>
      </c>
      <c r="X1531" s="118">
        <f>IFERROR(W1531/S1531,"")</f>
        <v/>
      </c>
      <c r="Y1531" s="115">
        <f>IFERROR(R1531/W1531,"")</f>
        <v/>
      </c>
      <c r="Z1531" s="115">
        <f>IFERROR(R1531/S1531*1000,"")</f>
        <v/>
      </c>
      <c r="AA1531" s="116" t="n">
        <v>34</v>
      </c>
      <c r="AB1531" s="47">
        <f>IFERROR(AA1531/W1531,"")</f>
        <v/>
      </c>
      <c r="AC1531" s="116" t="n">
        <v>1561</v>
      </c>
      <c r="AD1531" s="116" t="n">
        <v>904</v>
      </c>
      <c r="AE1531" s="116" t="n">
        <v>698</v>
      </c>
      <c r="AF1531" s="116" t="n">
        <v>385</v>
      </c>
      <c r="AG1531" s="116" t="n">
        <v>297</v>
      </c>
      <c r="AH1531" s="116" t="n">
        <v>202</v>
      </c>
      <c r="AI1531" s="47">
        <f>IFERROR(AC1531/S1531,"")</f>
        <v/>
      </c>
      <c r="AJ1531" s="47">
        <f>IFERROR(AH1531/S1531,"")</f>
        <v/>
      </c>
      <c r="AK1531" s="116" t="n">
        <v>98</v>
      </c>
      <c r="AL1531" s="116" t="n">
        <v>0</v>
      </c>
      <c r="AM1531" s="118">
        <f>IFERROR(AL1531/AA1531,"")</f>
        <v/>
      </c>
      <c r="AN1531" s="119">
        <f>IFERROR(R1531/AL1531,"")</f>
        <v/>
      </c>
      <c r="AO1531" s="116" t="n">
        <v>0</v>
      </c>
      <c r="AP1531" s="47">
        <f>IFERROR(AO1531/AL1531,"")</f>
        <v/>
      </c>
      <c r="AQ1531" s="119">
        <f>IFERROR(R1531/AO1531,"")</f>
        <v/>
      </c>
      <c r="AR1531" s="116" t="n">
        <v>0</v>
      </c>
      <c r="AS1531" s="116" t="n">
        <v>0</v>
      </c>
      <c r="AT1531" s="116">
        <f>AL1531+AR1531</f>
        <v/>
      </c>
      <c r="AU1531" s="119">
        <f>IFERROR(AO1531*Assumptions!$C$26*Assumptions!$C$27*INDEX(Assumptions!$C$18:$C$21,MATCH(H1531,Assumptions!$B$18:$B$21,0)),0)</f>
        <v/>
      </c>
    </row>
    <row r="1532">
      <c r="A1532" s="114" t="n">
        <v>46247</v>
      </c>
      <c r="B1532" s="42" t="inlineStr">
        <is>
          <t>Wk 33</t>
        </is>
      </c>
      <c r="C1532" s="42" t="inlineStr">
        <is>
          <t>Thu</t>
        </is>
      </c>
      <c r="D1532" s="42" t="inlineStr">
        <is>
          <t>X</t>
        </is>
      </c>
      <c r="E1532" s="42" t="inlineStr">
        <is>
          <t>X (Twitter)</t>
        </is>
      </c>
      <c r="F1532" s="42" t="inlineStr">
        <is>
          <t>LEP_ZA_AUG26_X_TD_RANGE_CONV</t>
        </is>
      </c>
      <c r="G1532" s="42" t="inlineStr">
        <is>
          <t>Website Conversions</t>
        </is>
      </c>
      <c r="H1532" s="42" t="inlineStr">
        <is>
          <t>Range</t>
        </is>
      </c>
      <c r="I1532" s="42" t="inlineStr">
        <is>
          <t>Range Offer</t>
        </is>
      </c>
      <c r="J1532" s="42" t="inlineStr">
        <is>
          <t>X_INMKT_AUTO_ZA</t>
        </is>
      </c>
      <c r="K1532" s="42" t="inlineStr">
        <is>
          <t>In-Market</t>
        </is>
      </c>
      <c r="L1532" s="42" t="inlineStr">
        <is>
          <t>X_VID_15s_RangeFilm_v1</t>
        </is>
      </c>
      <c r="M1532" s="42" t="inlineStr">
        <is>
          <t>Video 16:9</t>
        </is>
      </c>
      <c r="N1532" s="42" t="inlineStr">
        <is>
          <t>Meet the Lepas range</t>
        </is>
      </c>
      <c r="O1532" s="42" t="inlineStr">
        <is>
          <t>Auction - Lowest Cost</t>
        </is>
      </c>
      <c r="P1532" s="42" t="inlineStr">
        <is>
          <t>Site Visit / Conversion</t>
        </is>
      </c>
      <c r="Q1532" s="42" t="inlineStr">
        <is>
          <t>https://www.lepas-sa.co.za/offers</t>
        </is>
      </c>
      <c r="R1532" s="115" t="n">
        <v>237.04</v>
      </c>
      <c r="S1532" s="116" t="n">
        <v>4643</v>
      </c>
      <c r="T1532" s="116" t="n">
        <v>3298</v>
      </c>
      <c r="U1532" s="117">
        <f>IFERROR(S1532/T1532,"")</f>
        <v/>
      </c>
      <c r="V1532" s="116" t="n">
        <v>62</v>
      </c>
      <c r="W1532" s="116" t="n">
        <v>47</v>
      </c>
      <c r="X1532" s="118">
        <f>IFERROR(W1532/S1532,"")</f>
        <v/>
      </c>
      <c r="Y1532" s="115">
        <f>IFERROR(R1532/W1532,"")</f>
        <v/>
      </c>
      <c r="Z1532" s="115">
        <f>IFERROR(R1532/S1532*1000,"")</f>
        <v/>
      </c>
      <c r="AA1532" s="116" t="n">
        <v>36</v>
      </c>
      <c r="AB1532" s="47">
        <f>IFERROR(AA1532/W1532,"")</f>
        <v/>
      </c>
      <c r="AC1532" s="116" t="n">
        <v>1483</v>
      </c>
      <c r="AD1532" s="116" t="n">
        <v>751</v>
      </c>
      <c r="AE1532" s="116" t="n">
        <v>721</v>
      </c>
      <c r="AF1532" s="116" t="n">
        <v>477</v>
      </c>
      <c r="AG1532" s="116" t="n">
        <v>318</v>
      </c>
      <c r="AH1532" s="116" t="n">
        <v>183</v>
      </c>
      <c r="AI1532" s="47">
        <f>IFERROR(AC1532/S1532,"")</f>
        <v/>
      </c>
      <c r="AJ1532" s="47">
        <f>IFERROR(AH1532/S1532,"")</f>
        <v/>
      </c>
      <c r="AK1532" s="116" t="n">
        <v>65</v>
      </c>
      <c r="AL1532" s="116" t="n">
        <v>1</v>
      </c>
      <c r="AM1532" s="118">
        <f>IFERROR(AL1532/AA1532,"")</f>
        <v/>
      </c>
      <c r="AN1532" s="119">
        <f>IFERROR(R1532/AL1532,"")</f>
        <v/>
      </c>
      <c r="AO1532" s="116" t="n">
        <v>1</v>
      </c>
      <c r="AP1532" s="47">
        <f>IFERROR(AO1532/AL1532,"")</f>
        <v/>
      </c>
      <c r="AQ1532" s="119">
        <f>IFERROR(R1532/AO1532,"")</f>
        <v/>
      </c>
      <c r="AR1532" s="116" t="n">
        <v>0</v>
      </c>
      <c r="AS1532" s="116" t="n">
        <v>1</v>
      </c>
      <c r="AT1532" s="116">
        <f>AL1532+AR1532</f>
        <v/>
      </c>
      <c r="AU1532" s="119">
        <f>IFERROR(AO1532*Assumptions!$C$26*Assumptions!$C$27*INDEX(Assumptions!$C$18:$C$21,MATCH(H1532,Assumptions!$B$18:$B$21,0)),0)</f>
        <v/>
      </c>
    </row>
    <row r="1533">
      <c r="A1533" s="114" t="n">
        <v>46248</v>
      </c>
      <c r="B1533" s="42" t="inlineStr">
        <is>
          <t>Wk 33</t>
        </is>
      </c>
      <c r="C1533" s="42" t="inlineStr">
        <is>
          <t>Fri</t>
        </is>
      </c>
      <c r="D1533" s="42" t="inlineStr">
        <is>
          <t>X</t>
        </is>
      </c>
      <c r="E1533" s="42" t="inlineStr">
        <is>
          <t>X (Twitter)</t>
        </is>
      </c>
      <c r="F1533" s="42" t="inlineStr">
        <is>
          <t>LEP_ZA_AUG26_X_TD_RANGE_CONV</t>
        </is>
      </c>
      <c r="G1533" s="42" t="inlineStr">
        <is>
          <t>Website Conversions</t>
        </is>
      </c>
      <c r="H1533" s="42" t="inlineStr">
        <is>
          <t>Range</t>
        </is>
      </c>
      <c r="I1533" s="42" t="inlineStr">
        <is>
          <t>Range Offer</t>
        </is>
      </c>
      <c r="J1533" s="42" t="inlineStr">
        <is>
          <t>X_INMKT_AUTO_ZA</t>
        </is>
      </c>
      <c r="K1533" s="42" t="inlineStr">
        <is>
          <t>In-Market</t>
        </is>
      </c>
      <c r="L1533" s="42" t="inlineStr">
        <is>
          <t>X_VID_15s_RangeFilm_v1</t>
        </is>
      </c>
      <c r="M1533" s="42" t="inlineStr">
        <is>
          <t>Video 16:9</t>
        </is>
      </c>
      <c r="N1533" s="42" t="inlineStr">
        <is>
          <t>Meet the Lepas range</t>
        </is>
      </c>
      <c r="O1533" s="42" t="inlineStr">
        <is>
          <t>Auction - Lowest Cost</t>
        </is>
      </c>
      <c r="P1533" s="42" t="inlineStr">
        <is>
          <t>Site Visit / Conversion</t>
        </is>
      </c>
      <c r="Q1533" s="42" t="inlineStr">
        <is>
          <t>https://www.lepas-sa.co.za/offers</t>
        </is>
      </c>
      <c r="R1533" s="115" t="n">
        <v>281.16</v>
      </c>
      <c r="S1533" s="116" t="n">
        <v>3615</v>
      </c>
      <c r="T1533" s="116" t="n">
        <v>2669</v>
      </c>
      <c r="U1533" s="117">
        <f>IFERROR(S1533/T1533,"")</f>
        <v/>
      </c>
      <c r="V1533" s="116" t="n">
        <v>26</v>
      </c>
      <c r="W1533" s="116" t="n">
        <v>18</v>
      </c>
      <c r="X1533" s="118">
        <f>IFERROR(W1533/S1533,"")</f>
        <v/>
      </c>
      <c r="Y1533" s="115">
        <f>IFERROR(R1533/W1533,"")</f>
        <v/>
      </c>
      <c r="Z1533" s="115">
        <f>IFERROR(R1533/S1533*1000,"")</f>
        <v/>
      </c>
      <c r="AA1533" s="116" t="n">
        <v>13</v>
      </c>
      <c r="AB1533" s="47">
        <f>IFERROR(AA1533/W1533,"")</f>
        <v/>
      </c>
      <c r="AC1533" s="116" t="n">
        <v>1303</v>
      </c>
      <c r="AD1533" s="116" t="n">
        <v>762</v>
      </c>
      <c r="AE1533" s="116" t="n">
        <v>674</v>
      </c>
      <c r="AF1533" s="116" t="n">
        <v>378</v>
      </c>
      <c r="AG1533" s="116" t="n">
        <v>281</v>
      </c>
      <c r="AH1533" s="116" t="n">
        <v>196</v>
      </c>
      <c r="AI1533" s="47">
        <f>IFERROR(AC1533/S1533,"")</f>
        <v/>
      </c>
      <c r="AJ1533" s="47">
        <f>IFERROR(AH1533/S1533,"")</f>
        <v/>
      </c>
      <c r="AK1533" s="116" t="n">
        <v>57</v>
      </c>
      <c r="AL1533" s="116" t="n">
        <v>0</v>
      </c>
      <c r="AM1533" s="118">
        <f>IFERROR(AL1533/AA1533,"")</f>
        <v/>
      </c>
      <c r="AN1533" s="119">
        <f>IFERROR(R1533/AL1533,"")</f>
        <v/>
      </c>
      <c r="AO1533" s="116" t="n">
        <v>0</v>
      </c>
      <c r="AP1533" s="47">
        <f>IFERROR(AO1533/AL1533,"")</f>
        <v/>
      </c>
      <c r="AQ1533" s="119">
        <f>IFERROR(R1533/AO1533,"")</f>
        <v/>
      </c>
      <c r="AR1533" s="116" t="n">
        <v>0</v>
      </c>
      <c r="AS1533" s="116" t="n">
        <v>0</v>
      </c>
      <c r="AT1533" s="116">
        <f>AL1533+AR1533</f>
        <v/>
      </c>
      <c r="AU1533" s="119">
        <f>IFERROR(AO1533*Assumptions!$C$26*Assumptions!$C$27*INDEX(Assumptions!$C$18:$C$21,MATCH(H1533,Assumptions!$B$18:$B$21,0)),0)</f>
        <v/>
      </c>
    </row>
    <row r="1534">
      <c r="A1534" s="114" t="n">
        <v>46249</v>
      </c>
      <c r="B1534" s="42" t="inlineStr">
        <is>
          <t>Wk 33</t>
        </is>
      </c>
      <c r="C1534" s="42" t="inlineStr">
        <is>
          <t>Sat</t>
        </is>
      </c>
      <c r="D1534" s="42" t="inlineStr">
        <is>
          <t>X</t>
        </is>
      </c>
      <c r="E1534" s="42" t="inlineStr">
        <is>
          <t>X (Twitter)</t>
        </is>
      </c>
      <c r="F1534" s="42" t="inlineStr">
        <is>
          <t>LEP_ZA_AUG26_X_TD_RANGE_CONV</t>
        </is>
      </c>
      <c r="G1534" s="42" t="inlineStr">
        <is>
          <t>Website Conversions</t>
        </is>
      </c>
      <c r="H1534" s="42" t="inlineStr">
        <is>
          <t>Range</t>
        </is>
      </c>
      <c r="I1534" s="42" t="inlineStr">
        <is>
          <t>Range Offer</t>
        </is>
      </c>
      <c r="J1534" s="42" t="inlineStr">
        <is>
          <t>X_INMKT_AUTO_ZA</t>
        </is>
      </c>
      <c r="K1534" s="42" t="inlineStr">
        <is>
          <t>In-Market</t>
        </is>
      </c>
      <c r="L1534" s="42" t="inlineStr">
        <is>
          <t>X_VID_15s_RangeFilm_v1</t>
        </is>
      </c>
      <c r="M1534" s="42" t="inlineStr">
        <is>
          <t>Video 16:9</t>
        </is>
      </c>
      <c r="N1534" s="42" t="inlineStr">
        <is>
          <t>Meet the Lepas range</t>
        </is>
      </c>
      <c r="O1534" s="42" t="inlineStr">
        <is>
          <t>Auction - Lowest Cost</t>
        </is>
      </c>
      <c r="P1534" s="42" t="inlineStr">
        <is>
          <t>Site Visit / Conversion</t>
        </is>
      </c>
      <c r="Q1534" s="42" t="inlineStr">
        <is>
          <t>https://www.lepas-sa.co.za/offers</t>
        </is>
      </c>
      <c r="R1534" s="115" t="n">
        <v>262.41</v>
      </c>
      <c r="S1534" s="116" t="n">
        <v>4805</v>
      </c>
      <c r="T1534" s="116" t="n">
        <v>2874</v>
      </c>
      <c r="U1534" s="117">
        <f>IFERROR(S1534/T1534,"")</f>
        <v/>
      </c>
      <c r="V1534" s="116" t="n">
        <v>27</v>
      </c>
      <c r="W1534" s="116" t="n">
        <v>20</v>
      </c>
      <c r="X1534" s="118">
        <f>IFERROR(W1534/S1534,"")</f>
        <v/>
      </c>
      <c r="Y1534" s="115">
        <f>IFERROR(R1534/W1534,"")</f>
        <v/>
      </c>
      <c r="Z1534" s="115">
        <f>IFERROR(R1534/S1534*1000,"")</f>
        <v/>
      </c>
      <c r="AA1534" s="116" t="n">
        <v>15</v>
      </c>
      <c r="AB1534" s="47">
        <f>IFERROR(AA1534/W1534,"")</f>
        <v/>
      </c>
      <c r="AC1534" s="116" t="n">
        <v>1357</v>
      </c>
      <c r="AD1534" s="116" t="n">
        <v>748</v>
      </c>
      <c r="AE1534" s="116" t="n">
        <v>653</v>
      </c>
      <c r="AF1534" s="116" t="n">
        <v>441</v>
      </c>
      <c r="AG1534" s="116" t="n">
        <v>287</v>
      </c>
      <c r="AH1534" s="116" t="n">
        <v>200</v>
      </c>
      <c r="AI1534" s="47">
        <f>IFERROR(AC1534/S1534,"")</f>
        <v/>
      </c>
      <c r="AJ1534" s="47">
        <f>IFERROR(AH1534/S1534,"")</f>
        <v/>
      </c>
      <c r="AK1534" s="116" t="n">
        <v>82</v>
      </c>
      <c r="AL1534" s="116" t="n">
        <v>0</v>
      </c>
      <c r="AM1534" s="118">
        <f>IFERROR(AL1534/AA1534,"")</f>
        <v/>
      </c>
      <c r="AN1534" s="119">
        <f>IFERROR(R1534/AL1534,"")</f>
        <v/>
      </c>
      <c r="AO1534" s="116" t="n">
        <v>0</v>
      </c>
      <c r="AP1534" s="47">
        <f>IFERROR(AO1534/AL1534,"")</f>
        <v/>
      </c>
      <c r="AQ1534" s="119">
        <f>IFERROR(R1534/AO1534,"")</f>
        <v/>
      </c>
      <c r="AR1534" s="116" t="n">
        <v>0</v>
      </c>
      <c r="AS1534" s="116" t="n">
        <v>0</v>
      </c>
      <c r="AT1534" s="116">
        <f>AL1534+AR1534</f>
        <v/>
      </c>
      <c r="AU1534" s="119">
        <f>IFERROR(AO1534*Assumptions!$C$26*Assumptions!$C$27*INDEX(Assumptions!$C$18:$C$21,MATCH(H1534,Assumptions!$B$18:$B$21,0)),0)</f>
        <v/>
      </c>
    </row>
    <row r="1535">
      <c r="A1535" s="114" t="n">
        <v>46250</v>
      </c>
      <c r="B1535" s="42" t="inlineStr">
        <is>
          <t>Wk 33</t>
        </is>
      </c>
      <c r="C1535" s="42" t="inlineStr">
        <is>
          <t>Sun</t>
        </is>
      </c>
      <c r="D1535" s="42" t="inlineStr">
        <is>
          <t>X</t>
        </is>
      </c>
      <c r="E1535" s="42" t="inlineStr">
        <is>
          <t>X (Twitter)</t>
        </is>
      </c>
      <c r="F1535" s="42" t="inlineStr">
        <is>
          <t>LEP_ZA_AUG26_X_TD_RANGE_CONV</t>
        </is>
      </c>
      <c r="G1535" s="42" t="inlineStr">
        <is>
          <t>Website Conversions</t>
        </is>
      </c>
      <c r="H1535" s="42" t="inlineStr">
        <is>
          <t>Range</t>
        </is>
      </c>
      <c r="I1535" s="42" t="inlineStr">
        <is>
          <t>Range Offer</t>
        </is>
      </c>
      <c r="J1535" s="42" t="inlineStr">
        <is>
          <t>X_INMKT_AUTO_ZA</t>
        </is>
      </c>
      <c r="K1535" s="42" t="inlineStr">
        <is>
          <t>In-Market</t>
        </is>
      </c>
      <c r="L1535" s="42" t="inlineStr">
        <is>
          <t>X_VID_15s_RangeFilm_v1</t>
        </is>
      </c>
      <c r="M1535" s="42" t="inlineStr">
        <is>
          <t>Video 16:9</t>
        </is>
      </c>
      <c r="N1535" s="42" t="inlineStr">
        <is>
          <t>Meet the Lepas range</t>
        </is>
      </c>
      <c r="O1535" s="42" t="inlineStr">
        <is>
          <t>Auction - Lowest Cost</t>
        </is>
      </c>
      <c r="P1535" s="42" t="inlineStr">
        <is>
          <t>Site Visit / Conversion</t>
        </is>
      </c>
      <c r="Q1535" s="42" t="inlineStr">
        <is>
          <t>https://www.lepas-sa.co.za/offers</t>
        </is>
      </c>
      <c r="R1535" s="115" t="n">
        <v>230.89</v>
      </c>
      <c r="S1535" s="116" t="n">
        <v>3459</v>
      </c>
      <c r="T1535" s="116" t="n">
        <v>2444</v>
      </c>
      <c r="U1535" s="117">
        <f>IFERROR(S1535/T1535,"")</f>
        <v/>
      </c>
      <c r="V1535" s="116" t="n">
        <v>37</v>
      </c>
      <c r="W1535" s="116" t="n">
        <v>27</v>
      </c>
      <c r="X1535" s="118">
        <f>IFERROR(W1535/S1535,"")</f>
        <v/>
      </c>
      <c r="Y1535" s="115">
        <f>IFERROR(R1535/W1535,"")</f>
        <v/>
      </c>
      <c r="Z1535" s="115">
        <f>IFERROR(R1535/S1535*1000,"")</f>
        <v/>
      </c>
      <c r="AA1535" s="116" t="n">
        <v>22</v>
      </c>
      <c r="AB1535" s="47">
        <f>IFERROR(AA1535/W1535,"")</f>
        <v/>
      </c>
      <c r="AC1535" s="116" t="n">
        <v>1054</v>
      </c>
      <c r="AD1535" s="116" t="n">
        <v>585</v>
      </c>
      <c r="AE1535" s="116" t="n">
        <v>537</v>
      </c>
      <c r="AF1535" s="116" t="n">
        <v>348</v>
      </c>
      <c r="AG1535" s="116" t="n">
        <v>234</v>
      </c>
      <c r="AH1535" s="116" t="n">
        <v>145</v>
      </c>
      <c r="AI1535" s="47">
        <f>IFERROR(AC1535/S1535,"")</f>
        <v/>
      </c>
      <c r="AJ1535" s="47">
        <f>IFERROR(AH1535/S1535,"")</f>
        <v/>
      </c>
      <c r="AK1535" s="116" t="n">
        <v>82</v>
      </c>
      <c r="AL1535" s="116" t="n">
        <v>0</v>
      </c>
      <c r="AM1535" s="118">
        <f>IFERROR(AL1535/AA1535,"")</f>
        <v/>
      </c>
      <c r="AN1535" s="119">
        <f>IFERROR(R1535/AL1535,"")</f>
        <v/>
      </c>
      <c r="AO1535" s="116" t="n">
        <v>0</v>
      </c>
      <c r="AP1535" s="47">
        <f>IFERROR(AO1535/AL1535,"")</f>
        <v/>
      </c>
      <c r="AQ1535" s="119">
        <f>IFERROR(R1535/AO1535,"")</f>
        <v/>
      </c>
      <c r="AR1535" s="116" t="n">
        <v>0</v>
      </c>
      <c r="AS1535" s="116" t="n">
        <v>0</v>
      </c>
      <c r="AT1535" s="116">
        <f>AL1535+AR1535</f>
        <v/>
      </c>
      <c r="AU1535" s="119">
        <f>IFERROR(AO1535*Assumptions!$C$26*Assumptions!$C$27*INDEX(Assumptions!$C$18:$C$21,MATCH(H1535,Assumptions!$B$18:$B$21,0)),0)</f>
        <v/>
      </c>
    </row>
    <row r="1536">
      <c r="A1536" s="114" t="n">
        <v>46251</v>
      </c>
      <c r="B1536" s="42" t="inlineStr">
        <is>
          <t>Wk 34</t>
        </is>
      </c>
      <c r="C1536" s="42" t="inlineStr">
        <is>
          <t>Mon</t>
        </is>
      </c>
      <c r="D1536" s="42" t="inlineStr">
        <is>
          <t>X</t>
        </is>
      </c>
      <c r="E1536" s="42" t="inlineStr">
        <is>
          <t>X (Twitter)</t>
        </is>
      </c>
      <c r="F1536" s="42" t="inlineStr">
        <is>
          <t>LEP_ZA_AUG26_X_TD_RANGE_CONV</t>
        </is>
      </c>
      <c r="G1536" s="42" t="inlineStr">
        <is>
          <t>Website Conversions</t>
        </is>
      </c>
      <c r="H1536" s="42" t="inlineStr">
        <is>
          <t>Range</t>
        </is>
      </c>
      <c r="I1536" s="42" t="inlineStr">
        <is>
          <t>Range Offer</t>
        </is>
      </c>
      <c r="J1536" s="42" t="inlineStr">
        <is>
          <t>X_INMKT_AUTO_ZA</t>
        </is>
      </c>
      <c r="K1536" s="42" t="inlineStr">
        <is>
          <t>In-Market</t>
        </is>
      </c>
      <c r="L1536" s="42" t="inlineStr">
        <is>
          <t>X_VID_15s_RangeFilm_v1</t>
        </is>
      </c>
      <c r="M1536" s="42" t="inlineStr">
        <is>
          <t>Video 16:9</t>
        </is>
      </c>
      <c r="N1536" s="42" t="inlineStr">
        <is>
          <t>Meet the Lepas range</t>
        </is>
      </c>
      <c r="O1536" s="42" t="inlineStr">
        <is>
          <t>Auction - Lowest Cost</t>
        </is>
      </c>
      <c r="P1536" s="42" t="inlineStr">
        <is>
          <t>Site Visit / Conversion</t>
        </is>
      </c>
      <c r="Q1536" s="42" t="inlineStr">
        <is>
          <t>https://www.lepas-sa.co.za/offers</t>
        </is>
      </c>
      <c r="R1536" s="115" t="n">
        <v>262.66</v>
      </c>
      <c r="S1536" s="116" t="n">
        <v>4781</v>
      </c>
      <c r="T1536" s="116" t="n">
        <v>2750</v>
      </c>
      <c r="U1536" s="117">
        <f>IFERROR(S1536/T1536,"")</f>
        <v/>
      </c>
      <c r="V1536" s="116" t="n">
        <v>36</v>
      </c>
      <c r="W1536" s="116" t="n">
        <v>28</v>
      </c>
      <c r="X1536" s="118">
        <f>IFERROR(W1536/S1536,"")</f>
        <v/>
      </c>
      <c r="Y1536" s="115">
        <f>IFERROR(R1536/W1536,"")</f>
        <v/>
      </c>
      <c r="Z1536" s="115">
        <f>IFERROR(R1536/S1536*1000,"")</f>
        <v/>
      </c>
      <c r="AA1536" s="116" t="n">
        <v>23</v>
      </c>
      <c r="AB1536" s="47">
        <f>IFERROR(AA1536/W1536,"")</f>
        <v/>
      </c>
      <c r="AC1536" s="116" t="n">
        <v>1267</v>
      </c>
      <c r="AD1536" s="116" t="n">
        <v>669</v>
      </c>
      <c r="AE1536" s="116" t="n">
        <v>669</v>
      </c>
      <c r="AF1536" s="116" t="n">
        <v>418</v>
      </c>
      <c r="AG1536" s="116" t="n">
        <v>264</v>
      </c>
      <c r="AH1536" s="116" t="n">
        <v>193</v>
      </c>
      <c r="AI1536" s="47">
        <f>IFERROR(AC1536/S1536,"")</f>
        <v/>
      </c>
      <c r="AJ1536" s="47">
        <f>IFERROR(AH1536/S1536,"")</f>
        <v/>
      </c>
      <c r="AK1536" s="116" t="n">
        <v>83</v>
      </c>
      <c r="AL1536" s="116" t="n">
        <v>0</v>
      </c>
      <c r="AM1536" s="118">
        <f>IFERROR(AL1536/AA1536,"")</f>
        <v/>
      </c>
      <c r="AN1536" s="119">
        <f>IFERROR(R1536/AL1536,"")</f>
        <v/>
      </c>
      <c r="AO1536" s="116" t="n">
        <v>0</v>
      </c>
      <c r="AP1536" s="47">
        <f>IFERROR(AO1536/AL1536,"")</f>
        <v/>
      </c>
      <c r="AQ1536" s="119">
        <f>IFERROR(R1536/AO1536,"")</f>
        <v/>
      </c>
      <c r="AR1536" s="116" t="n">
        <v>0</v>
      </c>
      <c r="AS1536" s="116" t="n">
        <v>0</v>
      </c>
      <c r="AT1536" s="116">
        <f>AL1536+AR1536</f>
        <v/>
      </c>
      <c r="AU1536" s="119">
        <f>IFERROR(AO1536*Assumptions!$C$26*Assumptions!$C$27*INDEX(Assumptions!$C$18:$C$21,MATCH(H1536,Assumptions!$B$18:$B$21,0)),0)</f>
        <v/>
      </c>
    </row>
    <row r="1537">
      <c r="A1537" s="114" t="n">
        <v>46252</v>
      </c>
      <c r="B1537" s="42" t="inlineStr">
        <is>
          <t>Wk 34</t>
        </is>
      </c>
      <c r="C1537" s="42" t="inlineStr">
        <is>
          <t>Tue</t>
        </is>
      </c>
      <c r="D1537" s="42" t="inlineStr">
        <is>
          <t>X</t>
        </is>
      </c>
      <c r="E1537" s="42" t="inlineStr">
        <is>
          <t>X (Twitter)</t>
        </is>
      </c>
      <c r="F1537" s="42" t="inlineStr">
        <is>
          <t>LEP_ZA_AUG26_X_TD_RANGE_CONV</t>
        </is>
      </c>
      <c r="G1537" s="42" t="inlineStr">
        <is>
          <t>Website Conversions</t>
        </is>
      </c>
      <c r="H1537" s="42" t="inlineStr">
        <is>
          <t>Range</t>
        </is>
      </c>
      <c r="I1537" s="42" t="inlineStr">
        <is>
          <t>Range Offer</t>
        </is>
      </c>
      <c r="J1537" s="42" t="inlineStr">
        <is>
          <t>X_INMKT_AUTO_ZA</t>
        </is>
      </c>
      <c r="K1537" s="42" t="inlineStr">
        <is>
          <t>In-Market</t>
        </is>
      </c>
      <c r="L1537" s="42" t="inlineStr">
        <is>
          <t>X_VID_15s_RangeFilm_v1</t>
        </is>
      </c>
      <c r="M1537" s="42" t="inlineStr">
        <is>
          <t>Video 16:9</t>
        </is>
      </c>
      <c r="N1537" s="42" t="inlineStr">
        <is>
          <t>Meet the Lepas range</t>
        </is>
      </c>
      <c r="O1537" s="42" t="inlineStr">
        <is>
          <t>Auction - Lowest Cost</t>
        </is>
      </c>
      <c r="P1537" s="42" t="inlineStr">
        <is>
          <t>Site Visit / Conversion</t>
        </is>
      </c>
      <c r="Q1537" s="42" t="inlineStr">
        <is>
          <t>https://www.lepas-sa.co.za/offers</t>
        </is>
      </c>
      <c r="R1537" s="115" t="n">
        <v>245.35</v>
      </c>
      <c r="S1537" s="116" t="n">
        <v>5545</v>
      </c>
      <c r="T1537" s="116" t="n">
        <v>3713</v>
      </c>
      <c r="U1537" s="117">
        <f>IFERROR(S1537/T1537,"")</f>
        <v/>
      </c>
      <c r="V1537" s="116" t="n">
        <v>38</v>
      </c>
      <c r="W1537" s="116" t="n">
        <v>31</v>
      </c>
      <c r="X1537" s="118">
        <f>IFERROR(W1537/S1537,"")</f>
        <v/>
      </c>
      <c r="Y1537" s="115">
        <f>IFERROR(R1537/W1537,"")</f>
        <v/>
      </c>
      <c r="Z1537" s="115">
        <f>IFERROR(R1537/S1537*1000,"")</f>
        <v/>
      </c>
      <c r="AA1537" s="116" t="n">
        <v>24</v>
      </c>
      <c r="AB1537" s="47">
        <f>IFERROR(AA1537/W1537,"")</f>
        <v/>
      </c>
      <c r="AC1537" s="116" t="n">
        <v>2100</v>
      </c>
      <c r="AD1537" s="116" t="n">
        <v>1033</v>
      </c>
      <c r="AE1537" s="116" t="n">
        <v>1024</v>
      </c>
      <c r="AF1537" s="116" t="n">
        <v>609</v>
      </c>
      <c r="AG1537" s="116" t="n">
        <v>481</v>
      </c>
      <c r="AH1537" s="116" t="n">
        <v>271</v>
      </c>
      <c r="AI1537" s="47">
        <f>IFERROR(AC1537/S1537,"")</f>
        <v/>
      </c>
      <c r="AJ1537" s="47">
        <f>IFERROR(AH1537/S1537,"")</f>
        <v/>
      </c>
      <c r="AK1537" s="116" t="n">
        <v>139</v>
      </c>
      <c r="AL1537" s="116" t="n">
        <v>0</v>
      </c>
      <c r="AM1537" s="118">
        <f>IFERROR(AL1537/AA1537,"")</f>
        <v/>
      </c>
      <c r="AN1537" s="119">
        <f>IFERROR(R1537/AL1537,"")</f>
        <v/>
      </c>
      <c r="AO1537" s="116" t="n">
        <v>0</v>
      </c>
      <c r="AP1537" s="47">
        <f>IFERROR(AO1537/AL1537,"")</f>
        <v/>
      </c>
      <c r="AQ1537" s="119">
        <f>IFERROR(R1537/AO1537,"")</f>
        <v/>
      </c>
      <c r="AR1537" s="116" t="n">
        <v>0</v>
      </c>
      <c r="AS1537" s="116" t="n">
        <v>0</v>
      </c>
      <c r="AT1537" s="116">
        <f>AL1537+AR1537</f>
        <v/>
      </c>
      <c r="AU1537" s="119">
        <f>IFERROR(AO1537*Assumptions!$C$26*Assumptions!$C$27*INDEX(Assumptions!$C$18:$C$21,MATCH(H1537,Assumptions!$B$18:$B$21,0)),0)</f>
        <v/>
      </c>
    </row>
    <row r="1538">
      <c r="A1538" s="114" t="n">
        <v>46253</v>
      </c>
      <c r="B1538" s="42" t="inlineStr">
        <is>
          <t>Wk 34</t>
        </is>
      </c>
      <c r="C1538" s="42" t="inlineStr">
        <is>
          <t>Wed</t>
        </is>
      </c>
      <c r="D1538" s="42" t="inlineStr">
        <is>
          <t>X</t>
        </is>
      </c>
      <c r="E1538" s="42" t="inlineStr">
        <is>
          <t>X (Twitter)</t>
        </is>
      </c>
      <c r="F1538" s="42" t="inlineStr">
        <is>
          <t>LEP_ZA_AUG26_X_TD_RANGE_CONV</t>
        </is>
      </c>
      <c r="G1538" s="42" t="inlineStr">
        <is>
          <t>Website Conversions</t>
        </is>
      </c>
      <c r="H1538" s="42" t="inlineStr">
        <is>
          <t>Range</t>
        </is>
      </c>
      <c r="I1538" s="42" t="inlineStr">
        <is>
          <t>Range Offer</t>
        </is>
      </c>
      <c r="J1538" s="42" t="inlineStr">
        <is>
          <t>X_INMKT_AUTO_ZA</t>
        </is>
      </c>
      <c r="K1538" s="42" t="inlineStr">
        <is>
          <t>In-Market</t>
        </is>
      </c>
      <c r="L1538" s="42" t="inlineStr">
        <is>
          <t>X_VID_15s_RangeFilm_v1</t>
        </is>
      </c>
      <c r="M1538" s="42" t="inlineStr">
        <is>
          <t>Video 16:9</t>
        </is>
      </c>
      <c r="N1538" s="42" t="inlineStr">
        <is>
          <t>Meet the Lepas range</t>
        </is>
      </c>
      <c r="O1538" s="42" t="inlineStr">
        <is>
          <t>Auction - Lowest Cost</t>
        </is>
      </c>
      <c r="P1538" s="42" t="inlineStr">
        <is>
          <t>Site Visit / Conversion</t>
        </is>
      </c>
      <c r="Q1538" s="42" t="inlineStr">
        <is>
          <t>https://www.lepas-sa.co.za/offers</t>
        </is>
      </c>
      <c r="R1538" s="115" t="n">
        <v>257.72</v>
      </c>
      <c r="S1538" s="116" t="n">
        <v>4844</v>
      </c>
      <c r="T1538" s="116" t="n">
        <v>2973</v>
      </c>
      <c r="U1538" s="117">
        <f>IFERROR(S1538/T1538,"")</f>
        <v/>
      </c>
      <c r="V1538" s="116" t="n">
        <v>26</v>
      </c>
      <c r="W1538" s="116" t="n">
        <v>20</v>
      </c>
      <c r="X1538" s="118">
        <f>IFERROR(W1538/S1538,"")</f>
        <v/>
      </c>
      <c r="Y1538" s="115">
        <f>IFERROR(R1538/W1538,"")</f>
        <v/>
      </c>
      <c r="Z1538" s="115">
        <f>IFERROR(R1538/S1538*1000,"")</f>
        <v/>
      </c>
      <c r="AA1538" s="116" t="n">
        <v>14</v>
      </c>
      <c r="AB1538" s="47">
        <f>IFERROR(AA1538/W1538,"")</f>
        <v/>
      </c>
      <c r="AC1538" s="116" t="n">
        <v>1411</v>
      </c>
      <c r="AD1538" s="116" t="n">
        <v>768</v>
      </c>
      <c r="AE1538" s="116" t="n">
        <v>528</v>
      </c>
      <c r="AF1538" s="116" t="n">
        <v>366</v>
      </c>
      <c r="AG1538" s="116" t="n">
        <v>290</v>
      </c>
      <c r="AH1538" s="116" t="n">
        <v>193</v>
      </c>
      <c r="AI1538" s="47">
        <f>IFERROR(AC1538/S1538,"")</f>
        <v/>
      </c>
      <c r="AJ1538" s="47">
        <f>IFERROR(AH1538/S1538,"")</f>
        <v/>
      </c>
      <c r="AK1538" s="116" t="n">
        <v>128</v>
      </c>
      <c r="AL1538" s="116" t="n">
        <v>0</v>
      </c>
      <c r="AM1538" s="118">
        <f>IFERROR(AL1538/AA1538,"")</f>
        <v/>
      </c>
      <c r="AN1538" s="119">
        <f>IFERROR(R1538/AL1538,"")</f>
        <v/>
      </c>
      <c r="AO1538" s="116" t="n">
        <v>0</v>
      </c>
      <c r="AP1538" s="47">
        <f>IFERROR(AO1538/AL1538,"")</f>
        <v/>
      </c>
      <c r="AQ1538" s="119">
        <f>IFERROR(R1538/AO1538,"")</f>
        <v/>
      </c>
      <c r="AR1538" s="116" t="n">
        <v>0</v>
      </c>
      <c r="AS1538" s="116" t="n">
        <v>0</v>
      </c>
      <c r="AT1538" s="116">
        <f>AL1538+AR1538</f>
        <v/>
      </c>
      <c r="AU1538" s="119">
        <f>IFERROR(AO1538*Assumptions!$C$26*Assumptions!$C$27*INDEX(Assumptions!$C$18:$C$21,MATCH(H1538,Assumptions!$B$18:$B$21,0)),0)</f>
        <v/>
      </c>
    </row>
    <row r="1539">
      <c r="A1539" s="114" t="n">
        <v>46254</v>
      </c>
      <c r="B1539" s="42" t="inlineStr">
        <is>
          <t>Wk 34</t>
        </is>
      </c>
      <c r="C1539" s="42" t="inlineStr">
        <is>
          <t>Thu</t>
        </is>
      </c>
      <c r="D1539" s="42" t="inlineStr">
        <is>
          <t>X</t>
        </is>
      </c>
      <c r="E1539" s="42" t="inlineStr">
        <is>
          <t>X (Twitter)</t>
        </is>
      </c>
      <c r="F1539" s="42" t="inlineStr">
        <is>
          <t>LEP_ZA_AUG26_X_TD_RANGE_CONV</t>
        </is>
      </c>
      <c r="G1539" s="42" t="inlineStr">
        <is>
          <t>Website Conversions</t>
        </is>
      </c>
      <c r="H1539" s="42" t="inlineStr">
        <is>
          <t>Range</t>
        </is>
      </c>
      <c r="I1539" s="42" t="inlineStr">
        <is>
          <t>Range Offer</t>
        </is>
      </c>
      <c r="J1539" s="42" t="inlineStr">
        <is>
          <t>X_INMKT_AUTO_ZA</t>
        </is>
      </c>
      <c r="K1539" s="42" t="inlineStr">
        <is>
          <t>In-Market</t>
        </is>
      </c>
      <c r="L1539" s="42" t="inlineStr">
        <is>
          <t>X_VID_15s_RangeFilm_v1</t>
        </is>
      </c>
      <c r="M1539" s="42" t="inlineStr">
        <is>
          <t>Video 16:9</t>
        </is>
      </c>
      <c r="N1539" s="42" t="inlineStr">
        <is>
          <t>Meet the Lepas range</t>
        </is>
      </c>
      <c r="O1539" s="42" t="inlineStr">
        <is>
          <t>Auction - Lowest Cost</t>
        </is>
      </c>
      <c r="P1539" s="42" t="inlineStr">
        <is>
          <t>Site Visit / Conversion</t>
        </is>
      </c>
      <c r="Q1539" s="42" t="inlineStr">
        <is>
          <t>https://www.lepas-sa.co.za/offers</t>
        </is>
      </c>
      <c r="R1539" s="115" t="n">
        <v>298.23</v>
      </c>
      <c r="S1539" s="116" t="n">
        <v>4740</v>
      </c>
      <c r="T1539" s="116" t="n">
        <v>2618</v>
      </c>
      <c r="U1539" s="117">
        <f>IFERROR(S1539/T1539,"")</f>
        <v/>
      </c>
      <c r="V1539" s="116" t="n">
        <v>27</v>
      </c>
      <c r="W1539" s="116" t="n">
        <v>20</v>
      </c>
      <c r="X1539" s="118">
        <f>IFERROR(W1539/S1539,"")</f>
        <v/>
      </c>
      <c r="Y1539" s="115">
        <f>IFERROR(R1539/W1539,"")</f>
        <v/>
      </c>
      <c r="Z1539" s="115">
        <f>IFERROR(R1539/S1539*1000,"")</f>
        <v/>
      </c>
      <c r="AA1539" s="116" t="n">
        <v>15</v>
      </c>
      <c r="AB1539" s="47">
        <f>IFERROR(AA1539/W1539,"")</f>
        <v/>
      </c>
      <c r="AC1539" s="116" t="n">
        <v>1157</v>
      </c>
      <c r="AD1539" s="116" t="n">
        <v>587</v>
      </c>
      <c r="AE1539" s="116" t="n">
        <v>535</v>
      </c>
      <c r="AF1539" s="116" t="n">
        <v>287</v>
      </c>
      <c r="AG1539" s="116" t="n">
        <v>221</v>
      </c>
      <c r="AH1539" s="116" t="n">
        <v>134</v>
      </c>
      <c r="AI1539" s="47">
        <f>IFERROR(AC1539/S1539,"")</f>
        <v/>
      </c>
      <c r="AJ1539" s="47">
        <f>IFERROR(AH1539/S1539,"")</f>
        <v/>
      </c>
      <c r="AK1539" s="116" t="n">
        <v>70</v>
      </c>
      <c r="AL1539" s="116" t="n">
        <v>0</v>
      </c>
      <c r="AM1539" s="118">
        <f>IFERROR(AL1539/AA1539,"")</f>
        <v/>
      </c>
      <c r="AN1539" s="119">
        <f>IFERROR(R1539/AL1539,"")</f>
        <v/>
      </c>
      <c r="AO1539" s="116" t="n">
        <v>0</v>
      </c>
      <c r="AP1539" s="47">
        <f>IFERROR(AO1539/AL1539,"")</f>
        <v/>
      </c>
      <c r="AQ1539" s="119">
        <f>IFERROR(R1539/AO1539,"")</f>
        <v/>
      </c>
      <c r="AR1539" s="116" t="n">
        <v>0</v>
      </c>
      <c r="AS1539" s="116" t="n">
        <v>0</v>
      </c>
      <c r="AT1539" s="116">
        <f>AL1539+AR1539</f>
        <v/>
      </c>
      <c r="AU1539" s="119">
        <f>IFERROR(AO1539*Assumptions!$C$26*Assumptions!$C$27*INDEX(Assumptions!$C$18:$C$21,MATCH(H1539,Assumptions!$B$18:$B$21,0)),0)</f>
        <v/>
      </c>
    </row>
    <row r="1540">
      <c r="A1540" s="114" t="n">
        <v>46255</v>
      </c>
      <c r="B1540" s="42" t="inlineStr">
        <is>
          <t>Wk 34</t>
        </is>
      </c>
      <c r="C1540" s="42" t="inlineStr">
        <is>
          <t>Fri</t>
        </is>
      </c>
      <c r="D1540" s="42" t="inlineStr">
        <is>
          <t>X</t>
        </is>
      </c>
      <c r="E1540" s="42" t="inlineStr">
        <is>
          <t>X (Twitter)</t>
        </is>
      </c>
      <c r="F1540" s="42" t="inlineStr">
        <is>
          <t>LEP_ZA_AUG26_X_TD_RANGE_CONV</t>
        </is>
      </c>
      <c r="G1540" s="42" t="inlineStr">
        <is>
          <t>Website Conversions</t>
        </is>
      </c>
      <c r="H1540" s="42" t="inlineStr">
        <is>
          <t>Range</t>
        </is>
      </c>
      <c r="I1540" s="42" t="inlineStr">
        <is>
          <t>Range Offer</t>
        </is>
      </c>
      <c r="J1540" s="42" t="inlineStr">
        <is>
          <t>X_INMKT_AUTO_ZA</t>
        </is>
      </c>
      <c r="K1540" s="42" t="inlineStr">
        <is>
          <t>In-Market</t>
        </is>
      </c>
      <c r="L1540" s="42" t="inlineStr">
        <is>
          <t>X_VID_15s_RangeFilm_v1</t>
        </is>
      </c>
      <c r="M1540" s="42" t="inlineStr">
        <is>
          <t>Video 16:9</t>
        </is>
      </c>
      <c r="N1540" s="42" t="inlineStr">
        <is>
          <t>Meet the Lepas range</t>
        </is>
      </c>
      <c r="O1540" s="42" t="inlineStr">
        <is>
          <t>Auction - Lowest Cost</t>
        </is>
      </c>
      <c r="P1540" s="42" t="inlineStr">
        <is>
          <t>Site Visit / Conversion</t>
        </is>
      </c>
      <c r="Q1540" s="42" t="inlineStr">
        <is>
          <t>https://www.lepas-sa.co.za/offers</t>
        </is>
      </c>
      <c r="R1540" s="115" t="n">
        <v>285.99</v>
      </c>
      <c r="S1540" s="116" t="n">
        <v>3837</v>
      </c>
      <c r="T1540" s="116" t="n">
        <v>2080</v>
      </c>
      <c r="U1540" s="117">
        <f>IFERROR(S1540/T1540,"")</f>
        <v/>
      </c>
      <c r="V1540" s="116" t="n">
        <v>24</v>
      </c>
      <c r="W1540" s="116" t="n">
        <v>21</v>
      </c>
      <c r="X1540" s="118">
        <f>IFERROR(W1540/S1540,"")</f>
        <v/>
      </c>
      <c r="Y1540" s="115">
        <f>IFERROR(R1540/W1540,"")</f>
        <v/>
      </c>
      <c r="Z1540" s="115">
        <f>IFERROR(R1540/S1540*1000,"")</f>
        <v/>
      </c>
      <c r="AA1540" s="116" t="n">
        <v>15</v>
      </c>
      <c r="AB1540" s="47">
        <f>IFERROR(AA1540/W1540,"")</f>
        <v/>
      </c>
      <c r="AC1540" s="116" t="n">
        <v>1566</v>
      </c>
      <c r="AD1540" s="116" t="n">
        <v>712</v>
      </c>
      <c r="AE1540" s="116" t="n">
        <v>695</v>
      </c>
      <c r="AF1540" s="116" t="n">
        <v>430</v>
      </c>
      <c r="AG1540" s="116" t="n">
        <v>309</v>
      </c>
      <c r="AH1540" s="116" t="n">
        <v>216</v>
      </c>
      <c r="AI1540" s="47">
        <f>IFERROR(AC1540/S1540,"")</f>
        <v/>
      </c>
      <c r="AJ1540" s="47">
        <f>IFERROR(AH1540/S1540,"")</f>
        <v/>
      </c>
      <c r="AK1540" s="116" t="n">
        <v>82</v>
      </c>
      <c r="AL1540" s="116" t="n">
        <v>0</v>
      </c>
      <c r="AM1540" s="118">
        <f>IFERROR(AL1540/AA1540,"")</f>
        <v/>
      </c>
      <c r="AN1540" s="119">
        <f>IFERROR(R1540/AL1540,"")</f>
        <v/>
      </c>
      <c r="AO1540" s="116" t="n">
        <v>0</v>
      </c>
      <c r="AP1540" s="47">
        <f>IFERROR(AO1540/AL1540,"")</f>
        <v/>
      </c>
      <c r="AQ1540" s="119">
        <f>IFERROR(R1540/AO1540,"")</f>
        <v/>
      </c>
      <c r="AR1540" s="116" t="n">
        <v>0</v>
      </c>
      <c r="AS1540" s="116" t="n">
        <v>0</v>
      </c>
      <c r="AT1540" s="116">
        <f>AL1540+AR1540</f>
        <v/>
      </c>
      <c r="AU1540" s="119">
        <f>IFERROR(AO1540*Assumptions!$C$26*Assumptions!$C$27*INDEX(Assumptions!$C$18:$C$21,MATCH(H1540,Assumptions!$B$18:$B$21,0)),0)</f>
        <v/>
      </c>
    </row>
    <row r="1541">
      <c r="A1541" s="114" t="n">
        <v>46256</v>
      </c>
      <c r="B1541" s="42" t="inlineStr">
        <is>
          <t>Wk 34</t>
        </is>
      </c>
      <c r="C1541" s="42" t="inlineStr">
        <is>
          <t>Sat</t>
        </is>
      </c>
      <c r="D1541" s="42" t="inlineStr">
        <is>
          <t>X</t>
        </is>
      </c>
      <c r="E1541" s="42" t="inlineStr">
        <is>
          <t>X (Twitter)</t>
        </is>
      </c>
      <c r="F1541" s="42" t="inlineStr">
        <is>
          <t>LEP_ZA_AUG26_X_TD_RANGE_CONV</t>
        </is>
      </c>
      <c r="G1541" s="42" t="inlineStr">
        <is>
          <t>Website Conversions</t>
        </is>
      </c>
      <c r="H1541" s="42" t="inlineStr">
        <is>
          <t>Range</t>
        </is>
      </c>
      <c r="I1541" s="42" t="inlineStr">
        <is>
          <t>Range Offer</t>
        </is>
      </c>
      <c r="J1541" s="42" t="inlineStr">
        <is>
          <t>X_INMKT_AUTO_ZA</t>
        </is>
      </c>
      <c r="K1541" s="42" t="inlineStr">
        <is>
          <t>In-Market</t>
        </is>
      </c>
      <c r="L1541" s="42" t="inlineStr">
        <is>
          <t>X_VID_15s_RangeFilm_v1</t>
        </is>
      </c>
      <c r="M1541" s="42" t="inlineStr">
        <is>
          <t>Video 16:9</t>
        </is>
      </c>
      <c r="N1541" s="42" t="inlineStr">
        <is>
          <t>Meet the Lepas range</t>
        </is>
      </c>
      <c r="O1541" s="42" t="inlineStr">
        <is>
          <t>Auction - Lowest Cost</t>
        </is>
      </c>
      <c r="P1541" s="42" t="inlineStr">
        <is>
          <t>Site Visit / Conversion</t>
        </is>
      </c>
      <c r="Q1541" s="42" t="inlineStr">
        <is>
          <t>https://www.lepas-sa.co.za/offers</t>
        </is>
      </c>
      <c r="R1541" s="115" t="n">
        <v>291</v>
      </c>
      <c r="S1541" s="116" t="n">
        <v>5873</v>
      </c>
      <c r="T1541" s="116" t="n">
        <v>3956</v>
      </c>
      <c r="U1541" s="117">
        <f>IFERROR(S1541/T1541,"")</f>
        <v/>
      </c>
      <c r="V1541" s="116" t="n">
        <v>41</v>
      </c>
      <c r="W1541" s="116" t="n">
        <v>31</v>
      </c>
      <c r="X1541" s="118">
        <f>IFERROR(W1541/S1541,"")</f>
        <v/>
      </c>
      <c r="Y1541" s="115">
        <f>IFERROR(R1541/W1541,"")</f>
        <v/>
      </c>
      <c r="Z1541" s="115">
        <f>IFERROR(R1541/S1541*1000,"")</f>
        <v/>
      </c>
      <c r="AA1541" s="116" t="n">
        <v>21</v>
      </c>
      <c r="AB1541" s="47">
        <f>IFERROR(AA1541/W1541,"")</f>
        <v/>
      </c>
      <c r="AC1541" s="116" t="n">
        <v>1861</v>
      </c>
      <c r="AD1541" s="116" t="n">
        <v>1168</v>
      </c>
      <c r="AE1541" s="116" t="n">
        <v>943</v>
      </c>
      <c r="AF1541" s="116" t="n">
        <v>523</v>
      </c>
      <c r="AG1541" s="116" t="n">
        <v>395</v>
      </c>
      <c r="AH1541" s="116" t="n">
        <v>276</v>
      </c>
      <c r="AI1541" s="47">
        <f>IFERROR(AC1541/S1541,"")</f>
        <v/>
      </c>
      <c r="AJ1541" s="47">
        <f>IFERROR(AH1541/S1541,"")</f>
        <v/>
      </c>
      <c r="AK1541" s="116" t="n">
        <v>102</v>
      </c>
      <c r="AL1541" s="116" t="n">
        <v>0</v>
      </c>
      <c r="AM1541" s="118">
        <f>IFERROR(AL1541/AA1541,"")</f>
        <v/>
      </c>
      <c r="AN1541" s="119">
        <f>IFERROR(R1541/AL1541,"")</f>
        <v/>
      </c>
      <c r="AO1541" s="116" t="n">
        <v>0</v>
      </c>
      <c r="AP1541" s="47">
        <f>IFERROR(AO1541/AL1541,"")</f>
        <v/>
      </c>
      <c r="AQ1541" s="119">
        <f>IFERROR(R1541/AO1541,"")</f>
        <v/>
      </c>
      <c r="AR1541" s="116" t="n">
        <v>0</v>
      </c>
      <c r="AS1541" s="116" t="n">
        <v>0</v>
      </c>
      <c r="AT1541" s="116">
        <f>AL1541+AR1541</f>
        <v/>
      </c>
      <c r="AU1541" s="119">
        <f>IFERROR(AO1541*Assumptions!$C$26*Assumptions!$C$27*INDEX(Assumptions!$C$18:$C$21,MATCH(H1541,Assumptions!$B$18:$B$21,0)),0)</f>
        <v/>
      </c>
    </row>
    <row r="1542">
      <c r="A1542" s="114" t="n">
        <v>46257</v>
      </c>
      <c r="B1542" s="42" t="inlineStr">
        <is>
          <t>Wk 34</t>
        </is>
      </c>
      <c r="C1542" s="42" t="inlineStr">
        <is>
          <t>Sun</t>
        </is>
      </c>
      <c r="D1542" s="42" t="inlineStr">
        <is>
          <t>X</t>
        </is>
      </c>
      <c r="E1542" s="42" t="inlineStr">
        <is>
          <t>X (Twitter)</t>
        </is>
      </c>
      <c r="F1542" s="42" t="inlineStr">
        <is>
          <t>LEP_ZA_AUG26_X_TD_RANGE_CONV</t>
        </is>
      </c>
      <c r="G1542" s="42" t="inlineStr">
        <is>
          <t>Website Conversions</t>
        </is>
      </c>
      <c r="H1542" s="42" t="inlineStr">
        <is>
          <t>Range</t>
        </is>
      </c>
      <c r="I1542" s="42" t="inlineStr">
        <is>
          <t>Range Offer</t>
        </is>
      </c>
      <c r="J1542" s="42" t="inlineStr">
        <is>
          <t>X_INMKT_AUTO_ZA</t>
        </is>
      </c>
      <c r="K1542" s="42" t="inlineStr">
        <is>
          <t>In-Market</t>
        </is>
      </c>
      <c r="L1542" s="42" t="inlineStr">
        <is>
          <t>X_VID_15s_RangeFilm_v1</t>
        </is>
      </c>
      <c r="M1542" s="42" t="inlineStr">
        <is>
          <t>Video 16:9</t>
        </is>
      </c>
      <c r="N1542" s="42" t="inlineStr">
        <is>
          <t>Meet the Lepas range</t>
        </is>
      </c>
      <c r="O1542" s="42" t="inlineStr">
        <is>
          <t>Auction - Lowest Cost</t>
        </is>
      </c>
      <c r="P1542" s="42" t="inlineStr">
        <is>
          <t>Site Visit / Conversion</t>
        </is>
      </c>
      <c r="Q1542" s="42" t="inlineStr">
        <is>
          <t>https://www.lepas-sa.co.za/offers</t>
        </is>
      </c>
      <c r="R1542" s="115" t="n">
        <v>193.65</v>
      </c>
      <c r="S1542" s="116" t="n">
        <v>2812</v>
      </c>
      <c r="T1542" s="116" t="n">
        <v>1762</v>
      </c>
      <c r="U1542" s="117">
        <f>IFERROR(S1542/T1542,"")</f>
        <v/>
      </c>
      <c r="V1542" s="116" t="n">
        <v>25</v>
      </c>
      <c r="W1542" s="116" t="n">
        <v>20</v>
      </c>
      <c r="X1542" s="118">
        <f>IFERROR(W1542/S1542,"")</f>
        <v/>
      </c>
      <c r="Y1542" s="115">
        <f>IFERROR(R1542/W1542,"")</f>
        <v/>
      </c>
      <c r="Z1542" s="115">
        <f>IFERROR(R1542/S1542*1000,"")</f>
        <v/>
      </c>
      <c r="AA1542" s="116" t="n">
        <v>16</v>
      </c>
      <c r="AB1542" s="47">
        <f>IFERROR(AA1542/W1542,"")</f>
        <v/>
      </c>
      <c r="AC1542" s="116" t="n">
        <v>884</v>
      </c>
      <c r="AD1542" s="116" t="n">
        <v>520</v>
      </c>
      <c r="AE1542" s="116" t="n">
        <v>335</v>
      </c>
      <c r="AF1542" s="116" t="n">
        <v>195</v>
      </c>
      <c r="AG1542" s="116" t="n">
        <v>146</v>
      </c>
      <c r="AH1542" s="116" t="n">
        <v>89</v>
      </c>
      <c r="AI1542" s="47">
        <f>IFERROR(AC1542/S1542,"")</f>
        <v/>
      </c>
      <c r="AJ1542" s="47">
        <f>IFERROR(AH1542/S1542,"")</f>
        <v/>
      </c>
      <c r="AK1542" s="116" t="n">
        <v>67</v>
      </c>
      <c r="AL1542" s="116" t="n">
        <v>1</v>
      </c>
      <c r="AM1542" s="118">
        <f>IFERROR(AL1542/AA1542,"")</f>
        <v/>
      </c>
      <c r="AN1542" s="119">
        <f>IFERROR(R1542/AL1542,"")</f>
        <v/>
      </c>
      <c r="AO1542" s="116" t="n">
        <v>0</v>
      </c>
      <c r="AP1542" s="47">
        <f>IFERROR(AO1542/AL1542,"")</f>
        <v/>
      </c>
      <c r="AQ1542" s="119">
        <f>IFERROR(R1542/AO1542,"")</f>
        <v/>
      </c>
      <c r="AR1542" s="116" t="n">
        <v>0</v>
      </c>
      <c r="AS1542" s="116" t="n">
        <v>0</v>
      </c>
      <c r="AT1542" s="116">
        <f>AL1542+AR1542</f>
        <v/>
      </c>
      <c r="AU1542" s="119">
        <f>IFERROR(AO1542*Assumptions!$C$26*Assumptions!$C$27*INDEX(Assumptions!$C$18:$C$21,MATCH(H1542,Assumptions!$B$18:$B$21,0)),0)</f>
        <v/>
      </c>
    </row>
    <row r="1543">
      <c r="A1543" s="114" t="n">
        <v>46258</v>
      </c>
      <c r="B1543" s="42" t="inlineStr">
        <is>
          <t>Wk 35</t>
        </is>
      </c>
      <c r="C1543" s="42" t="inlineStr">
        <is>
          <t>Mon</t>
        </is>
      </c>
      <c r="D1543" s="42" t="inlineStr">
        <is>
          <t>X</t>
        </is>
      </c>
      <c r="E1543" s="42" t="inlineStr">
        <is>
          <t>X (Twitter)</t>
        </is>
      </c>
      <c r="F1543" s="42" t="inlineStr">
        <is>
          <t>LEP_ZA_AUG26_X_TD_RANGE_CONV</t>
        </is>
      </c>
      <c r="G1543" s="42" t="inlineStr">
        <is>
          <t>Website Conversions</t>
        </is>
      </c>
      <c r="H1543" s="42" t="inlineStr">
        <is>
          <t>Range</t>
        </is>
      </c>
      <c r="I1543" s="42" t="inlineStr">
        <is>
          <t>Range Offer</t>
        </is>
      </c>
      <c r="J1543" s="42" t="inlineStr">
        <is>
          <t>X_INMKT_AUTO_ZA</t>
        </is>
      </c>
      <c r="K1543" s="42" t="inlineStr">
        <is>
          <t>In-Market</t>
        </is>
      </c>
      <c r="L1543" s="42" t="inlineStr">
        <is>
          <t>X_VID_15s_RangeFilm_v1</t>
        </is>
      </c>
      <c r="M1543" s="42" t="inlineStr">
        <is>
          <t>Video 16:9</t>
        </is>
      </c>
      <c r="N1543" s="42" t="inlineStr">
        <is>
          <t>Meet the Lepas range</t>
        </is>
      </c>
      <c r="O1543" s="42" t="inlineStr">
        <is>
          <t>Auction - Lowest Cost</t>
        </is>
      </c>
      <c r="P1543" s="42" t="inlineStr">
        <is>
          <t>Site Visit / Conversion</t>
        </is>
      </c>
      <c r="Q1543" s="42" t="inlineStr">
        <is>
          <t>https://www.lepas-sa.co.za/offers</t>
        </is>
      </c>
      <c r="R1543" s="115" t="n">
        <v>261.17</v>
      </c>
      <c r="S1543" s="116" t="n">
        <v>3436</v>
      </c>
      <c r="T1543" s="116" t="n">
        <v>2107</v>
      </c>
      <c r="U1543" s="117">
        <f>IFERROR(S1543/T1543,"")</f>
        <v/>
      </c>
      <c r="V1543" s="116" t="n">
        <v>25</v>
      </c>
      <c r="W1543" s="116" t="n">
        <v>20</v>
      </c>
      <c r="X1543" s="118">
        <f>IFERROR(W1543/S1543,"")</f>
        <v/>
      </c>
      <c r="Y1543" s="115">
        <f>IFERROR(R1543/W1543,"")</f>
        <v/>
      </c>
      <c r="Z1543" s="115">
        <f>IFERROR(R1543/S1543*1000,"")</f>
        <v/>
      </c>
      <c r="AA1543" s="116" t="n">
        <v>16</v>
      </c>
      <c r="AB1543" s="47">
        <f>IFERROR(AA1543/W1543,"")</f>
        <v/>
      </c>
      <c r="AC1543" s="116" t="n">
        <v>828</v>
      </c>
      <c r="AD1543" s="116" t="n">
        <v>424</v>
      </c>
      <c r="AE1543" s="116" t="n">
        <v>374</v>
      </c>
      <c r="AF1543" s="116" t="n">
        <v>231</v>
      </c>
      <c r="AG1543" s="116" t="n">
        <v>149</v>
      </c>
      <c r="AH1543" s="116" t="n">
        <v>82</v>
      </c>
      <c r="AI1543" s="47">
        <f>IFERROR(AC1543/S1543,"")</f>
        <v/>
      </c>
      <c r="AJ1543" s="47">
        <f>IFERROR(AH1543/S1543,"")</f>
        <v/>
      </c>
      <c r="AK1543" s="116" t="n">
        <v>82</v>
      </c>
      <c r="AL1543" s="116" t="n">
        <v>1</v>
      </c>
      <c r="AM1543" s="118">
        <f>IFERROR(AL1543/AA1543,"")</f>
        <v/>
      </c>
      <c r="AN1543" s="119">
        <f>IFERROR(R1543/AL1543,"")</f>
        <v/>
      </c>
      <c r="AO1543" s="116" t="n">
        <v>1</v>
      </c>
      <c r="AP1543" s="47">
        <f>IFERROR(AO1543/AL1543,"")</f>
        <v/>
      </c>
      <c r="AQ1543" s="119">
        <f>IFERROR(R1543/AO1543,"")</f>
        <v/>
      </c>
      <c r="AR1543" s="116" t="n">
        <v>0</v>
      </c>
      <c r="AS1543" s="116" t="n">
        <v>1</v>
      </c>
      <c r="AT1543" s="116">
        <f>AL1543+AR1543</f>
        <v/>
      </c>
      <c r="AU1543" s="119">
        <f>IFERROR(AO1543*Assumptions!$C$26*Assumptions!$C$27*INDEX(Assumptions!$C$18:$C$21,MATCH(H1543,Assumptions!$B$18:$B$21,0)),0)</f>
        <v/>
      </c>
    </row>
    <row r="1544">
      <c r="A1544" s="114" t="n">
        <v>46259</v>
      </c>
      <c r="B1544" s="42" t="inlineStr">
        <is>
          <t>Wk 35</t>
        </is>
      </c>
      <c r="C1544" s="42" t="inlineStr">
        <is>
          <t>Tue</t>
        </is>
      </c>
      <c r="D1544" s="42" t="inlineStr">
        <is>
          <t>X</t>
        </is>
      </c>
      <c r="E1544" s="42" t="inlineStr">
        <is>
          <t>X (Twitter)</t>
        </is>
      </c>
      <c r="F1544" s="42" t="inlineStr">
        <is>
          <t>LEP_ZA_AUG26_X_TD_RANGE_CONV</t>
        </is>
      </c>
      <c r="G1544" s="42" t="inlineStr">
        <is>
          <t>Website Conversions</t>
        </is>
      </c>
      <c r="H1544" s="42" t="inlineStr">
        <is>
          <t>Range</t>
        </is>
      </c>
      <c r="I1544" s="42" t="inlineStr">
        <is>
          <t>Range Offer</t>
        </is>
      </c>
      <c r="J1544" s="42" t="inlineStr">
        <is>
          <t>X_INMKT_AUTO_ZA</t>
        </is>
      </c>
      <c r="K1544" s="42" t="inlineStr">
        <is>
          <t>In-Market</t>
        </is>
      </c>
      <c r="L1544" s="42" t="inlineStr">
        <is>
          <t>X_VID_15s_RangeFilm_v1</t>
        </is>
      </c>
      <c r="M1544" s="42" t="inlineStr">
        <is>
          <t>Video 16:9</t>
        </is>
      </c>
      <c r="N1544" s="42" t="inlineStr">
        <is>
          <t>Meet the Lepas range</t>
        </is>
      </c>
      <c r="O1544" s="42" t="inlineStr">
        <is>
          <t>Auction - Lowest Cost</t>
        </is>
      </c>
      <c r="P1544" s="42" t="inlineStr">
        <is>
          <t>Site Visit / Conversion</t>
        </is>
      </c>
      <c r="Q1544" s="42" t="inlineStr">
        <is>
          <t>https://www.lepas-sa.co.za/offers</t>
        </is>
      </c>
      <c r="R1544" s="115" t="n">
        <v>264.88</v>
      </c>
      <c r="S1544" s="116" t="n">
        <v>5710</v>
      </c>
      <c r="T1544" s="116" t="n">
        <v>3278</v>
      </c>
      <c r="U1544" s="117">
        <f>IFERROR(S1544/T1544,"")</f>
        <v/>
      </c>
      <c r="V1544" s="116" t="n">
        <v>55</v>
      </c>
      <c r="W1544" s="116" t="n">
        <v>44</v>
      </c>
      <c r="X1544" s="118">
        <f>IFERROR(W1544/S1544,"")</f>
        <v/>
      </c>
      <c r="Y1544" s="115">
        <f>IFERROR(R1544/W1544,"")</f>
        <v/>
      </c>
      <c r="Z1544" s="115">
        <f>IFERROR(R1544/S1544*1000,"")</f>
        <v/>
      </c>
      <c r="AA1544" s="116" t="n">
        <v>31</v>
      </c>
      <c r="AB1544" s="47">
        <f>IFERROR(AA1544/W1544,"")</f>
        <v/>
      </c>
      <c r="AC1544" s="116" t="n">
        <v>1504</v>
      </c>
      <c r="AD1544" s="116" t="n">
        <v>782</v>
      </c>
      <c r="AE1544" s="116" t="n">
        <v>607</v>
      </c>
      <c r="AF1544" s="116" t="n">
        <v>389</v>
      </c>
      <c r="AG1544" s="116" t="n">
        <v>274</v>
      </c>
      <c r="AH1544" s="116" t="n">
        <v>181</v>
      </c>
      <c r="AI1544" s="47">
        <f>IFERROR(AC1544/S1544,"")</f>
        <v/>
      </c>
      <c r="AJ1544" s="47">
        <f>IFERROR(AH1544/S1544,"")</f>
        <v/>
      </c>
      <c r="AK1544" s="116" t="n">
        <v>146</v>
      </c>
      <c r="AL1544" s="116" t="n">
        <v>0</v>
      </c>
      <c r="AM1544" s="118">
        <f>IFERROR(AL1544/AA1544,"")</f>
        <v/>
      </c>
      <c r="AN1544" s="119">
        <f>IFERROR(R1544/AL1544,"")</f>
        <v/>
      </c>
      <c r="AO1544" s="116" t="n">
        <v>0</v>
      </c>
      <c r="AP1544" s="47">
        <f>IFERROR(AO1544/AL1544,"")</f>
        <v/>
      </c>
      <c r="AQ1544" s="119">
        <f>IFERROR(R1544/AO1544,"")</f>
        <v/>
      </c>
      <c r="AR1544" s="116" t="n">
        <v>0</v>
      </c>
      <c r="AS1544" s="116" t="n">
        <v>0</v>
      </c>
      <c r="AT1544" s="116">
        <f>AL1544+AR1544</f>
        <v/>
      </c>
      <c r="AU1544" s="119">
        <f>IFERROR(AO1544*Assumptions!$C$26*Assumptions!$C$27*INDEX(Assumptions!$C$18:$C$21,MATCH(H1544,Assumptions!$B$18:$B$21,0)),0)</f>
        <v/>
      </c>
    </row>
    <row r="1545">
      <c r="A1545" s="114" t="n">
        <v>46260</v>
      </c>
      <c r="B1545" s="42" t="inlineStr">
        <is>
          <t>Wk 35</t>
        </is>
      </c>
      <c r="C1545" s="42" t="inlineStr">
        <is>
          <t>Wed</t>
        </is>
      </c>
      <c r="D1545" s="42" t="inlineStr">
        <is>
          <t>X</t>
        </is>
      </c>
      <c r="E1545" s="42" t="inlineStr">
        <is>
          <t>X (Twitter)</t>
        </is>
      </c>
      <c r="F1545" s="42" t="inlineStr">
        <is>
          <t>LEP_ZA_AUG26_X_TD_RANGE_CONV</t>
        </is>
      </c>
      <c r="G1545" s="42" t="inlineStr">
        <is>
          <t>Website Conversions</t>
        </is>
      </c>
      <c r="H1545" s="42" t="inlineStr">
        <is>
          <t>Range</t>
        </is>
      </c>
      <c r="I1545" s="42" t="inlineStr">
        <is>
          <t>Range Offer</t>
        </is>
      </c>
      <c r="J1545" s="42" t="inlineStr">
        <is>
          <t>X_INMKT_AUTO_ZA</t>
        </is>
      </c>
      <c r="K1545" s="42" t="inlineStr">
        <is>
          <t>In-Market</t>
        </is>
      </c>
      <c r="L1545" s="42" t="inlineStr">
        <is>
          <t>X_VID_15s_RangeFilm_v1</t>
        </is>
      </c>
      <c r="M1545" s="42" t="inlineStr">
        <is>
          <t>Video 16:9</t>
        </is>
      </c>
      <c r="N1545" s="42" t="inlineStr">
        <is>
          <t>Meet the Lepas range</t>
        </is>
      </c>
      <c r="O1545" s="42" t="inlineStr">
        <is>
          <t>Auction - Lowest Cost</t>
        </is>
      </c>
      <c r="P1545" s="42" t="inlineStr">
        <is>
          <t>Site Visit / Conversion</t>
        </is>
      </c>
      <c r="Q1545" s="42" t="inlineStr">
        <is>
          <t>https://www.lepas-sa.co.za/offers</t>
        </is>
      </c>
      <c r="R1545" s="115" t="n">
        <v>270.81</v>
      </c>
      <c r="S1545" s="116" t="n">
        <v>3555</v>
      </c>
      <c r="T1545" s="116" t="n">
        <v>2180</v>
      </c>
      <c r="U1545" s="117">
        <f>IFERROR(S1545/T1545,"")</f>
        <v/>
      </c>
      <c r="V1545" s="116" t="n">
        <v>20</v>
      </c>
      <c r="W1545" s="116" t="n">
        <v>16</v>
      </c>
      <c r="X1545" s="118">
        <f>IFERROR(W1545/S1545,"")</f>
        <v/>
      </c>
      <c r="Y1545" s="115">
        <f>IFERROR(R1545/W1545,"")</f>
        <v/>
      </c>
      <c r="Z1545" s="115">
        <f>IFERROR(R1545/S1545*1000,"")</f>
        <v/>
      </c>
      <c r="AA1545" s="116" t="n">
        <v>12</v>
      </c>
      <c r="AB1545" s="47">
        <f>IFERROR(AA1545/W1545,"")</f>
        <v/>
      </c>
      <c r="AC1545" s="116" t="n">
        <v>1235</v>
      </c>
      <c r="AD1545" s="116" t="n">
        <v>678</v>
      </c>
      <c r="AE1545" s="116" t="n">
        <v>666</v>
      </c>
      <c r="AF1545" s="116" t="n">
        <v>447</v>
      </c>
      <c r="AG1545" s="116" t="n">
        <v>349</v>
      </c>
      <c r="AH1545" s="116" t="n">
        <v>210</v>
      </c>
      <c r="AI1545" s="47">
        <f>IFERROR(AC1545/S1545,"")</f>
        <v/>
      </c>
      <c r="AJ1545" s="47">
        <f>IFERROR(AH1545/S1545,"")</f>
        <v/>
      </c>
      <c r="AK1545" s="116" t="n">
        <v>47</v>
      </c>
      <c r="AL1545" s="116" t="n">
        <v>0</v>
      </c>
      <c r="AM1545" s="118">
        <f>IFERROR(AL1545/AA1545,"")</f>
        <v/>
      </c>
      <c r="AN1545" s="119">
        <f>IFERROR(R1545/AL1545,"")</f>
        <v/>
      </c>
      <c r="AO1545" s="116" t="n">
        <v>0</v>
      </c>
      <c r="AP1545" s="47">
        <f>IFERROR(AO1545/AL1545,"")</f>
        <v/>
      </c>
      <c r="AQ1545" s="119">
        <f>IFERROR(R1545/AO1545,"")</f>
        <v/>
      </c>
      <c r="AR1545" s="116" t="n">
        <v>0</v>
      </c>
      <c r="AS1545" s="116" t="n">
        <v>0</v>
      </c>
      <c r="AT1545" s="116">
        <f>AL1545+AR1545</f>
        <v/>
      </c>
      <c r="AU1545" s="119">
        <f>IFERROR(AO1545*Assumptions!$C$26*Assumptions!$C$27*INDEX(Assumptions!$C$18:$C$21,MATCH(H1545,Assumptions!$B$18:$B$21,0)),0)</f>
        <v/>
      </c>
    </row>
    <row r="1546">
      <c r="A1546" s="114" t="n">
        <v>46261</v>
      </c>
      <c r="B1546" s="42" t="inlineStr">
        <is>
          <t>Wk 35</t>
        </is>
      </c>
      <c r="C1546" s="42" t="inlineStr">
        <is>
          <t>Thu</t>
        </is>
      </c>
      <c r="D1546" s="42" t="inlineStr">
        <is>
          <t>X</t>
        </is>
      </c>
      <c r="E1546" s="42" t="inlineStr">
        <is>
          <t>X (Twitter)</t>
        </is>
      </c>
      <c r="F1546" s="42" t="inlineStr">
        <is>
          <t>LEP_ZA_AUG26_X_TD_RANGE_CONV</t>
        </is>
      </c>
      <c r="G1546" s="42" t="inlineStr">
        <is>
          <t>Website Conversions</t>
        </is>
      </c>
      <c r="H1546" s="42" t="inlineStr">
        <is>
          <t>Range</t>
        </is>
      </c>
      <c r="I1546" s="42" t="inlineStr">
        <is>
          <t>Range Offer</t>
        </is>
      </c>
      <c r="J1546" s="42" t="inlineStr">
        <is>
          <t>X_INMKT_AUTO_ZA</t>
        </is>
      </c>
      <c r="K1546" s="42" t="inlineStr">
        <is>
          <t>In-Market</t>
        </is>
      </c>
      <c r="L1546" s="42" t="inlineStr">
        <is>
          <t>X_VID_15s_RangeFilm_v1</t>
        </is>
      </c>
      <c r="M1546" s="42" t="inlineStr">
        <is>
          <t>Video 16:9</t>
        </is>
      </c>
      <c r="N1546" s="42" t="inlineStr">
        <is>
          <t>Meet the Lepas range</t>
        </is>
      </c>
      <c r="O1546" s="42" t="inlineStr">
        <is>
          <t>Auction - Lowest Cost</t>
        </is>
      </c>
      <c r="P1546" s="42" t="inlineStr">
        <is>
          <t>Site Visit / Conversion</t>
        </is>
      </c>
      <c r="Q1546" s="42" t="inlineStr">
        <is>
          <t>https://www.lepas-sa.co.za/offers</t>
        </is>
      </c>
      <c r="R1546" s="115" t="n">
        <v>338.25</v>
      </c>
      <c r="S1546" s="116" t="n">
        <v>4684</v>
      </c>
      <c r="T1546" s="116" t="n">
        <v>3091</v>
      </c>
      <c r="U1546" s="117">
        <f>IFERROR(S1546/T1546,"")</f>
        <v/>
      </c>
      <c r="V1546" s="116" t="n">
        <v>26</v>
      </c>
      <c r="W1546" s="116" t="n">
        <v>19</v>
      </c>
      <c r="X1546" s="118">
        <f>IFERROR(W1546/S1546,"")</f>
        <v/>
      </c>
      <c r="Y1546" s="115">
        <f>IFERROR(R1546/W1546,"")</f>
        <v/>
      </c>
      <c r="Z1546" s="115">
        <f>IFERROR(R1546/S1546*1000,"")</f>
        <v/>
      </c>
      <c r="AA1546" s="116" t="n">
        <v>14</v>
      </c>
      <c r="AB1546" s="47">
        <f>IFERROR(AA1546/W1546,"")</f>
        <v/>
      </c>
      <c r="AC1546" s="116" t="n">
        <v>1255</v>
      </c>
      <c r="AD1546" s="116" t="n">
        <v>744</v>
      </c>
      <c r="AE1546" s="116" t="n">
        <v>624</v>
      </c>
      <c r="AF1546" s="116" t="n">
        <v>436</v>
      </c>
      <c r="AG1546" s="116" t="n">
        <v>277</v>
      </c>
      <c r="AH1546" s="116" t="n">
        <v>201</v>
      </c>
      <c r="AI1546" s="47">
        <f>IFERROR(AC1546/S1546,"")</f>
        <v/>
      </c>
      <c r="AJ1546" s="47">
        <f>IFERROR(AH1546/S1546,"")</f>
        <v/>
      </c>
      <c r="AK1546" s="116" t="n">
        <v>47</v>
      </c>
      <c r="AL1546" s="116" t="n">
        <v>0</v>
      </c>
      <c r="AM1546" s="118">
        <f>IFERROR(AL1546/AA1546,"")</f>
        <v/>
      </c>
      <c r="AN1546" s="119">
        <f>IFERROR(R1546/AL1546,"")</f>
        <v/>
      </c>
      <c r="AO1546" s="116" t="n">
        <v>0</v>
      </c>
      <c r="AP1546" s="47">
        <f>IFERROR(AO1546/AL1546,"")</f>
        <v/>
      </c>
      <c r="AQ1546" s="119">
        <f>IFERROR(R1546/AO1546,"")</f>
        <v/>
      </c>
      <c r="AR1546" s="116" t="n">
        <v>0</v>
      </c>
      <c r="AS1546" s="116" t="n">
        <v>0</v>
      </c>
      <c r="AT1546" s="116">
        <f>AL1546+AR1546</f>
        <v/>
      </c>
      <c r="AU1546" s="119">
        <f>IFERROR(AO1546*Assumptions!$C$26*Assumptions!$C$27*INDEX(Assumptions!$C$18:$C$21,MATCH(H1546,Assumptions!$B$18:$B$21,0)),0)</f>
        <v/>
      </c>
    </row>
    <row r="1547">
      <c r="A1547" s="114" t="n">
        <v>46262</v>
      </c>
      <c r="B1547" s="42" t="inlineStr">
        <is>
          <t>Wk 35</t>
        </is>
      </c>
      <c r="C1547" s="42" t="inlineStr">
        <is>
          <t>Fri</t>
        </is>
      </c>
      <c r="D1547" s="42" t="inlineStr">
        <is>
          <t>X</t>
        </is>
      </c>
      <c r="E1547" s="42" t="inlineStr">
        <is>
          <t>X (Twitter)</t>
        </is>
      </c>
      <c r="F1547" s="42" t="inlineStr">
        <is>
          <t>LEP_ZA_AUG26_X_TD_RANGE_CONV</t>
        </is>
      </c>
      <c r="G1547" s="42" t="inlineStr">
        <is>
          <t>Website Conversions</t>
        </is>
      </c>
      <c r="H1547" s="42" t="inlineStr">
        <is>
          <t>Range</t>
        </is>
      </c>
      <c r="I1547" s="42" t="inlineStr">
        <is>
          <t>Range Offer</t>
        </is>
      </c>
      <c r="J1547" s="42" t="inlineStr">
        <is>
          <t>X_INMKT_AUTO_ZA</t>
        </is>
      </c>
      <c r="K1547" s="42" t="inlineStr">
        <is>
          <t>In-Market</t>
        </is>
      </c>
      <c r="L1547" s="42" t="inlineStr">
        <is>
          <t>X_VID_15s_RangeFilm_v1</t>
        </is>
      </c>
      <c r="M1547" s="42" t="inlineStr">
        <is>
          <t>Video 16:9</t>
        </is>
      </c>
      <c r="N1547" s="42" t="inlineStr">
        <is>
          <t>Meet the Lepas range</t>
        </is>
      </c>
      <c r="O1547" s="42" t="inlineStr">
        <is>
          <t>Auction - Lowest Cost</t>
        </is>
      </c>
      <c r="P1547" s="42" t="inlineStr">
        <is>
          <t>Site Visit / Conversion</t>
        </is>
      </c>
      <c r="Q1547" s="42" t="inlineStr">
        <is>
          <t>https://www.lepas-sa.co.za/offers</t>
        </is>
      </c>
      <c r="R1547" s="115" t="n">
        <v>313.97</v>
      </c>
      <c r="S1547" s="116" t="n">
        <v>6309</v>
      </c>
      <c r="T1547" s="116" t="n">
        <v>3425</v>
      </c>
      <c r="U1547" s="117">
        <f>IFERROR(S1547/T1547,"")</f>
        <v/>
      </c>
      <c r="V1547" s="116" t="n">
        <v>57</v>
      </c>
      <c r="W1547" s="116" t="n">
        <v>42</v>
      </c>
      <c r="X1547" s="118">
        <f>IFERROR(W1547/S1547,"")</f>
        <v/>
      </c>
      <c r="Y1547" s="115">
        <f>IFERROR(R1547/W1547,"")</f>
        <v/>
      </c>
      <c r="Z1547" s="115">
        <f>IFERROR(R1547/S1547*1000,"")</f>
        <v/>
      </c>
      <c r="AA1547" s="116" t="n">
        <v>33</v>
      </c>
      <c r="AB1547" s="47">
        <f>IFERROR(AA1547/W1547,"")</f>
        <v/>
      </c>
      <c r="AC1547" s="116" t="n">
        <v>1809</v>
      </c>
      <c r="AD1547" s="116" t="n">
        <v>1017</v>
      </c>
      <c r="AE1547" s="116" t="n">
        <v>681</v>
      </c>
      <c r="AF1547" s="116" t="n">
        <v>411</v>
      </c>
      <c r="AG1547" s="116" t="n">
        <v>316</v>
      </c>
      <c r="AH1547" s="116" t="n">
        <v>191</v>
      </c>
      <c r="AI1547" s="47">
        <f>IFERROR(AC1547/S1547,"")</f>
        <v/>
      </c>
      <c r="AJ1547" s="47">
        <f>IFERROR(AH1547/S1547,"")</f>
        <v/>
      </c>
      <c r="AK1547" s="116" t="n">
        <v>73</v>
      </c>
      <c r="AL1547" s="116" t="n">
        <v>0</v>
      </c>
      <c r="AM1547" s="118">
        <f>IFERROR(AL1547/AA1547,"")</f>
        <v/>
      </c>
      <c r="AN1547" s="119">
        <f>IFERROR(R1547/AL1547,"")</f>
        <v/>
      </c>
      <c r="AO1547" s="116" t="n">
        <v>0</v>
      </c>
      <c r="AP1547" s="47">
        <f>IFERROR(AO1547/AL1547,"")</f>
        <v/>
      </c>
      <c r="AQ1547" s="119">
        <f>IFERROR(R1547/AO1547,"")</f>
        <v/>
      </c>
      <c r="AR1547" s="116" t="n">
        <v>0</v>
      </c>
      <c r="AS1547" s="116" t="n">
        <v>0</v>
      </c>
      <c r="AT1547" s="116">
        <f>AL1547+AR1547</f>
        <v/>
      </c>
      <c r="AU1547" s="119">
        <f>IFERROR(AO1547*Assumptions!$C$26*Assumptions!$C$27*INDEX(Assumptions!$C$18:$C$21,MATCH(H1547,Assumptions!$B$18:$B$21,0)),0)</f>
        <v/>
      </c>
    </row>
    <row r="1548">
      <c r="A1548" s="114" t="n">
        <v>46263</v>
      </c>
      <c r="B1548" s="42" t="inlineStr">
        <is>
          <t>Wk 35</t>
        </is>
      </c>
      <c r="C1548" s="42" t="inlineStr">
        <is>
          <t>Sat</t>
        </is>
      </c>
      <c r="D1548" s="42" t="inlineStr">
        <is>
          <t>X</t>
        </is>
      </c>
      <c r="E1548" s="42" t="inlineStr">
        <is>
          <t>X (Twitter)</t>
        </is>
      </c>
      <c r="F1548" s="42" t="inlineStr">
        <is>
          <t>LEP_ZA_AUG26_X_TD_RANGE_CONV</t>
        </is>
      </c>
      <c r="G1548" s="42" t="inlineStr">
        <is>
          <t>Website Conversions</t>
        </is>
      </c>
      <c r="H1548" s="42" t="inlineStr">
        <is>
          <t>Range</t>
        </is>
      </c>
      <c r="I1548" s="42" t="inlineStr">
        <is>
          <t>Range Offer</t>
        </is>
      </c>
      <c r="J1548" s="42" t="inlineStr">
        <is>
          <t>X_INMKT_AUTO_ZA</t>
        </is>
      </c>
      <c r="K1548" s="42" t="inlineStr">
        <is>
          <t>In-Market</t>
        </is>
      </c>
      <c r="L1548" s="42" t="inlineStr">
        <is>
          <t>X_VID_15s_RangeFilm_v1</t>
        </is>
      </c>
      <c r="M1548" s="42" t="inlineStr">
        <is>
          <t>Video 16:9</t>
        </is>
      </c>
      <c r="N1548" s="42" t="inlineStr">
        <is>
          <t>Meet the Lepas range</t>
        </is>
      </c>
      <c r="O1548" s="42" t="inlineStr">
        <is>
          <t>Auction - Lowest Cost</t>
        </is>
      </c>
      <c r="P1548" s="42" t="inlineStr">
        <is>
          <t>Site Visit / Conversion</t>
        </is>
      </c>
      <c r="Q1548" s="42" t="inlineStr">
        <is>
          <t>https://www.lepas-sa.co.za/offers</t>
        </is>
      </c>
      <c r="R1548" s="115" t="n">
        <v>359.33</v>
      </c>
      <c r="S1548" s="116" t="n">
        <v>6336</v>
      </c>
      <c r="T1548" s="116" t="n">
        <v>3157</v>
      </c>
      <c r="U1548" s="117">
        <f>IFERROR(S1548/T1548,"")</f>
        <v/>
      </c>
      <c r="V1548" s="116" t="n">
        <v>33</v>
      </c>
      <c r="W1548" s="116" t="n">
        <v>27</v>
      </c>
      <c r="X1548" s="118">
        <f>IFERROR(W1548/S1548,"")</f>
        <v/>
      </c>
      <c r="Y1548" s="115">
        <f>IFERROR(R1548/W1548,"")</f>
        <v/>
      </c>
      <c r="Z1548" s="115">
        <f>IFERROR(R1548/S1548*1000,"")</f>
        <v/>
      </c>
      <c r="AA1548" s="116" t="n">
        <v>21</v>
      </c>
      <c r="AB1548" s="47">
        <f>IFERROR(AA1548/W1548,"")</f>
        <v/>
      </c>
      <c r="AC1548" s="116" t="n">
        <v>1572</v>
      </c>
      <c r="AD1548" s="116" t="n">
        <v>809</v>
      </c>
      <c r="AE1548" s="116" t="n">
        <v>671</v>
      </c>
      <c r="AF1548" s="116" t="n">
        <v>444</v>
      </c>
      <c r="AG1548" s="116" t="n">
        <v>334</v>
      </c>
      <c r="AH1548" s="116" t="n">
        <v>243</v>
      </c>
      <c r="AI1548" s="47">
        <f>IFERROR(AC1548/S1548,"")</f>
        <v/>
      </c>
      <c r="AJ1548" s="47">
        <f>IFERROR(AH1548/S1548,"")</f>
        <v/>
      </c>
      <c r="AK1548" s="116" t="n">
        <v>82</v>
      </c>
      <c r="AL1548" s="116" t="n">
        <v>1</v>
      </c>
      <c r="AM1548" s="118">
        <f>IFERROR(AL1548/AA1548,"")</f>
        <v/>
      </c>
      <c r="AN1548" s="119">
        <f>IFERROR(R1548/AL1548,"")</f>
        <v/>
      </c>
      <c r="AO1548" s="116" t="n">
        <v>1</v>
      </c>
      <c r="AP1548" s="47">
        <f>IFERROR(AO1548/AL1548,"")</f>
        <v/>
      </c>
      <c r="AQ1548" s="119">
        <f>IFERROR(R1548/AO1548,"")</f>
        <v/>
      </c>
      <c r="AR1548" s="116" t="n">
        <v>0</v>
      </c>
      <c r="AS1548" s="116" t="n">
        <v>0</v>
      </c>
      <c r="AT1548" s="116">
        <f>AL1548+AR1548</f>
        <v/>
      </c>
      <c r="AU1548" s="119">
        <f>IFERROR(AO1548*Assumptions!$C$26*Assumptions!$C$27*INDEX(Assumptions!$C$18:$C$21,MATCH(H1548,Assumptions!$B$18:$B$21,0)),0)</f>
        <v/>
      </c>
    </row>
    <row r="1549">
      <c r="A1549" s="114" t="n">
        <v>46264</v>
      </c>
      <c r="B1549" s="42" t="inlineStr">
        <is>
          <t>Wk 35</t>
        </is>
      </c>
      <c r="C1549" s="42" t="inlineStr">
        <is>
          <t>Sun</t>
        </is>
      </c>
      <c r="D1549" s="42" t="inlineStr">
        <is>
          <t>X</t>
        </is>
      </c>
      <c r="E1549" s="42" t="inlineStr">
        <is>
          <t>X (Twitter)</t>
        </is>
      </c>
      <c r="F1549" s="42" t="inlineStr">
        <is>
          <t>LEP_ZA_AUG26_X_TD_RANGE_CONV</t>
        </is>
      </c>
      <c r="G1549" s="42" t="inlineStr">
        <is>
          <t>Website Conversions</t>
        </is>
      </c>
      <c r="H1549" s="42" t="inlineStr">
        <is>
          <t>Range</t>
        </is>
      </c>
      <c r="I1549" s="42" t="inlineStr">
        <is>
          <t>Range Offer</t>
        </is>
      </c>
      <c r="J1549" s="42" t="inlineStr">
        <is>
          <t>X_INMKT_AUTO_ZA</t>
        </is>
      </c>
      <c r="K1549" s="42" t="inlineStr">
        <is>
          <t>In-Market</t>
        </is>
      </c>
      <c r="L1549" s="42" t="inlineStr">
        <is>
          <t>X_VID_15s_RangeFilm_v1</t>
        </is>
      </c>
      <c r="M1549" s="42" t="inlineStr">
        <is>
          <t>Video 16:9</t>
        </is>
      </c>
      <c r="N1549" s="42" t="inlineStr">
        <is>
          <t>Meet the Lepas range</t>
        </is>
      </c>
      <c r="O1549" s="42" t="inlineStr">
        <is>
          <t>Auction - Lowest Cost</t>
        </is>
      </c>
      <c r="P1549" s="42" t="inlineStr">
        <is>
          <t>Site Visit / Conversion</t>
        </is>
      </c>
      <c r="Q1549" s="42" t="inlineStr">
        <is>
          <t>https://www.lepas-sa.co.za/offers</t>
        </is>
      </c>
      <c r="R1549" s="115" t="n">
        <v>218.55</v>
      </c>
      <c r="S1549" s="116" t="n">
        <v>3036</v>
      </c>
      <c r="T1549" s="116" t="n">
        <v>1711</v>
      </c>
      <c r="U1549" s="117">
        <f>IFERROR(S1549/T1549,"")</f>
        <v/>
      </c>
      <c r="V1549" s="116" t="n">
        <v>19</v>
      </c>
      <c r="W1549" s="116" t="n">
        <v>14</v>
      </c>
      <c r="X1549" s="118">
        <f>IFERROR(W1549/S1549,"")</f>
        <v/>
      </c>
      <c r="Y1549" s="115">
        <f>IFERROR(R1549/W1549,"")</f>
        <v/>
      </c>
      <c r="Z1549" s="115">
        <f>IFERROR(R1549/S1549*1000,"")</f>
        <v/>
      </c>
      <c r="AA1549" s="116" t="n">
        <v>10</v>
      </c>
      <c r="AB1549" s="47">
        <f>IFERROR(AA1549/W1549,"")</f>
        <v/>
      </c>
      <c r="AC1549" s="116" t="n">
        <v>1036</v>
      </c>
      <c r="AD1549" s="116" t="n">
        <v>515</v>
      </c>
      <c r="AE1549" s="116" t="n">
        <v>485</v>
      </c>
      <c r="AF1549" s="116" t="n">
        <v>263</v>
      </c>
      <c r="AG1549" s="116" t="n">
        <v>167</v>
      </c>
      <c r="AH1549" s="116" t="n">
        <v>103</v>
      </c>
      <c r="AI1549" s="47">
        <f>IFERROR(AC1549/S1549,"")</f>
        <v/>
      </c>
      <c r="AJ1549" s="47">
        <f>IFERROR(AH1549/S1549,"")</f>
        <v/>
      </c>
      <c r="AK1549" s="116" t="n">
        <v>70</v>
      </c>
      <c r="AL1549" s="116" t="n">
        <v>0</v>
      </c>
      <c r="AM1549" s="118">
        <f>IFERROR(AL1549/AA1549,"")</f>
        <v/>
      </c>
      <c r="AN1549" s="119">
        <f>IFERROR(R1549/AL1549,"")</f>
        <v/>
      </c>
      <c r="AO1549" s="116" t="n">
        <v>0</v>
      </c>
      <c r="AP1549" s="47">
        <f>IFERROR(AO1549/AL1549,"")</f>
        <v/>
      </c>
      <c r="AQ1549" s="119">
        <f>IFERROR(R1549/AO1549,"")</f>
        <v/>
      </c>
      <c r="AR1549" s="116" t="n">
        <v>0</v>
      </c>
      <c r="AS1549" s="116" t="n">
        <v>0</v>
      </c>
      <c r="AT1549" s="116">
        <f>AL1549+AR1549</f>
        <v/>
      </c>
      <c r="AU1549" s="119">
        <f>IFERROR(AO1549*Assumptions!$C$26*Assumptions!$C$27*INDEX(Assumptions!$C$18:$C$21,MATCH(H1549,Assumptions!$B$18:$B$21,0)),0)</f>
        <v/>
      </c>
    </row>
    <row r="1550">
      <c r="A1550" s="114" t="n">
        <v>46265</v>
      </c>
      <c r="B1550" s="42" t="inlineStr">
        <is>
          <t>Wk 36</t>
        </is>
      </c>
      <c r="C1550" s="42" t="inlineStr">
        <is>
          <t>Mon</t>
        </is>
      </c>
      <c r="D1550" s="42" t="inlineStr">
        <is>
          <t>X</t>
        </is>
      </c>
      <c r="E1550" s="42" t="inlineStr">
        <is>
          <t>X (Twitter)</t>
        </is>
      </c>
      <c r="F1550" s="42" t="inlineStr">
        <is>
          <t>LEP_ZA_AUG26_X_TD_RANGE_CONV</t>
        </is>
      </c>
      <c r="G1550" s="42" t="inlineStr">
        <is>
          <t>Website Conversions</t>
        </is>
      </c>
      <c r="H1550" s="42" t="inlineStr">
        <is>
          <t>Range</t>
        </is>
      </c>
      <c r="I1550" s="42" t="inlineStr">
        <is>
          <t>Range Offer</t>
        </is>
      </c>
      <c r="J1550" s="42" t="inlineStr">
        <is>
          <t>X_INMKT_AUTO_ZA</t>
        </is>
      </c>
      <c r="K1550" s="42" t="inlineStr">
        <is>
          <t>In-Market</t>
        </is>
      </c>
      <c r="L1550" s="42" t="inlineStr">
        <is>
          <t>X_VID_15s_RangeFilm_v1</t>
        </is>
      </c>
      <c r="M1550" s="42" t="inlineStr">
        <is>
          <t>Video 16:9</t>
        </is>
      </c>
      <c r="N1550" s="42" t="inlineStr">
        <is>
          <t>Meet the Lepas range</t>
        </is>
      </c>
      <c r="O1550" s="42" t="inlineStr">
        <is>
          <t>Auction - Lowest Cost</t>
        </is>
      </c>
      <c r="P1550" s="42" t="inlineStr">
        <is>
          <t>Site Visit / Conversion</t>
        </is>
      </c>
      <c r="Q1550" s="42" t="inlineStr">
        <is>
          <t>https://www.lepas-sa.co.za/offers</t>
        </is>
      </c>
      <c r="R1550" s="115" t="n">
        <v>298.74</v>
      </c>
      <c r="S1550" s="116" t="n">
        <v>3931</v>
      </c>
      <c r="T1550" s="116" t="n">
        <v>2084</v>
      </c>
      <c r="U1550" s="117">
        <f>IFERROR(S1550/T1550,"")</f>
        <v/>
      </c>
      <c r="V1550" s="116" t="n">
        <v>28</v>
      </c>
      <c r="W1550" s="116" t="n">
        <v>20</v>
      </c>
      <c r="X1550" s="118">
        <f>IFERROR(W1550/S1550,"")</f>
        <v/>
      </c>
      <c r="Y1550" s="115">
        <f>IFERROR(R1550/W1550,"")</f>
        <v/>
      </c>
      <c r="Z1550" s="115">
        <f>IFERROR(R1550/S1550*1000,"")</f>
        <v/>
      </c>
      <c r="AA1550" s="116" t="n">
        <v>14</v>
      </c>
      <c r="AB1550" s="47">
        <f>IFERROR(AA1550/W1550,"")</f>
        <v/>
      </c>
      <c r="AC1550" s="116" t="n">
        <v>981</v>
      </c>
      <c r="AD1550" s="116" t="n">
        <v>487</v>
      </c>
      <c r="AE1550" s="116" t="n">
        <v>506</v>
      </c>
      <c r="AF1550" s="116" t="n">
        <v>330</v>
      </c>
      <c r="AG1550" s="116" t="n">
        <v>233</v>
      </c>
      <c r="AH1550" s="116" t="n">
        <v>160</v>
      </c>
      <c r="AI1550" s="47">
        <f>IFERROR(AC1550/S1550,"")</f>
        <v/>
      </c>
      <c r="AJ1550" s="47">
        <f>IFERROR(AH1550/S1550,"")</f>
        <v/>
      </c>
      <c r="AK1550" s="116" t="n">
        <v>36</v>
      </c>
      <c r="AL1550" s="116" t="n">
        <v>0</v>
      </c>
      <c r="AM1550" s="118">
        <f>IFERROR(AL1550/AA1550,"")</f>
        <v/>
      </c>
      <c r="AN1550" s="119">
        <f>IFERROR(R1550/AL1550,"")</f>
        <v/>
      </c>
      <c r="AO1550" s="116" t="n">
        <v>0</v>
      </c>
      <c r="AP1550" s="47">
        <f>IFERROR(AO1550/AL1550,"")</f>
        <v/>
      </c>
      <c r="AQ1550" s="119">
        <f>IFERROR(R1550/AO1550,"")</f>
        <v/>
      </c>
      <c r="AR1550" s="116" t="n">
        <v>0</v>
      </c>
      <c r="AS1550" s="116" t="n">
        <v>0</v>
      </c>
      <c r="AT1550" s="116">
        <f>AL1550+AR1550</f>
        <v/>
      </c>
      <c r="AU1550" s="119">
        <f>IFERROR(AO1550*Assumptions!$C$26*Assumptions!$C$27*INDEX(Assumptions!$C$18:$C$21,MATCH(H1550,Assumptions!$B$18:$B$21,0)),0)</f>
        <v/>
      </c>
    </row>
    <row r="1551">
      <c r="A1551" s="114" t="n">
        <v>46235</v>
      </c>
      <c r="B1551" s="42" t="inlineStr">
        <is>
          <t>Wk 31</t>
        </is>
      </c>
      <c r="C1551" s="42" t="inlineStr">
        <is>
          <t>Sat</t>
        </is>
      </c>
      <c r="D1551" s="42" t="inlineStr">
        <is>
          <t>X</t>
        </is>
      </c>
      <c r="E1551" s="42" t="inlineStr">
        <is>
          <t>X (Twitter)</t>
        </is>
      </c>
      <c r="F1551" s="42" t="inlineStr">
        <is>
          <t>LEP_ZA_AUG26_X_TD_RANGE_CONV</t>
        </is>
      </c>
      <c r="G1551" s="42" t="inlineStr">
        <is>
          <t>Website Conversions</t>
        </is>
      </c>
      <c r="H1551" s="42" t="inlineStr">
        <is>
          <t>Range</t>
        </is>
      </c>
      <c r="I1551" s="42" t="inlineStr">
        <is>
          <t>Range Offer</t>
        </is>
      </c>
      <c r="J1551" s="42" t="inlineStr">
        <is>
          <t>X_KEYWORD_CARBUY_ZA</t>
        </is>
      </c>
      <c r="K1551" s="42" t="inlineStr">
        <is>
          <t>Interest</t>
        </is>
      </c>
      <c r="L1551" s="42" t="inlineStr">
        <is>
          <t>X_STA_PricePoint_v1</t>
        </is>
      </c>
      <c r="M1551" s="42" t="inlineStr">
        <is>
          <t>Image Ad</t>
        </is>
      </c>
      <c r="N1551" s="42" t="inlineStr">
        <is>
          <t>From R3 599pm</t>
        </is>
      </c>
      <c r="O1551" s="42" t="inlineStr">
        <is>
          <t>Auction - Lowest Cost</t>
        </is>
      </c>
      <c r="P1551" s="42" t="inlineStr">
        <is>
          <t>Site Visit / Conversion</t>
        </is>
      </c>
      <c r="Q1551" s="42" t="inlineStr">
        <is>
          <t>https://www.lepas-sa.co.za/offers</t>
        </is>
      </c>
      <c r="R1551" s="115" t="n">
        <v>247.92</v>
      </c>
      <c r="S1551" s="116" t="n">
        <v>4045</v>
      </c>
      <c r="T1551" s="116" t="n">
        <v>3255</v>
      </c>
      <c r="U1551" s="117">
        <f>IFERROR(S1551/T1551,"")</f>
        <v/>
      </c>
      <c r="V1551" s="116" t="n">
        <v>46</v>
      </c>
      <c r="W1551" s="116" t="n">
        <v>38</v>
      </c>
      <c r="X1551" s="118">
        <f>IFERROR(W1551/S1551,"")</f>
        <v/>
      </c>
      <c r="Y1551" s="115">
        <f>IFERROR(R1551/W1551,"")</f>
        <v/>
      </c>
      <c r="Z1551" s="115">
        <f>IFERROR(R1551/S1551*1000,"")</f>
        <v/>
      </c>
      <c r="AA1551" s="116" t="n">
        <v>28</v>
      </c>
      <c r="AB1551" s="47">
        <f>IFERROR(AA1551/W1551,"")</f>
        <v/>
      </c>
      <c r="AC1551" s="116" t="n">
        <v>0</v>
      </c>
      <c r="AD1551" s="116" t="n">
        <v>0</v>
      </c>
      <c r="AE1551" s="116" t="n">
        <v>0</v>
      </c>
      <c r="AF1551" s="116" t="n">
        <v>0</v>
      </c>
      <c r="AG1551" s="116" t="n">
        <v>0</v>
      </c>
      <c r="AH1551" s="116" t="n">
        <v>0</v>
      </c>
      <c r="AI1551" s="47">
        <f>IFERROR(AC1551/S1551,"")</f>
        <v/>
      </c>
      <c r="AJ1551" s="47">
        <f>IFERROR(AH1551/S1551,"")</f>
        <v/>
      </c>
      <c r="AK1551" s="116" t="n">
        <v>79</v>
      </c>
      <c r="AL1551" s="116" t="n">
        <v>0</v>
      </c>
      <c r="AM1551" s="118">
        <f>IFERROR(AL1551/AA1551,"")</f>
        <v/>
      </c>
      <c r="AN1551" s="119">
        <f>IFERROR(R1551/AL1551,"")</f>
        <v/>
      </c>
      <c r="AO1551" s="116" t="n">
        <v>0</v>
      </c>
      <c r="AP1551" s="47">
        <f>IFERROR(AO1551/AL1551,"")</f>
        <v/>
      </c>
      <c r="AQ1551" s="119">
        <f>IFERROR(R1551/AO1551,"")</f>
        <v/>
      </c>
      <c r="AR1551" s="116" t="n">
        <v>0</v>
      </c>
      <c r="AS1551" s="116" t="n">
        <v>0</v>
      </c>
      <c r="AT1551" s="116">
        <f>AL1551+AR1551</f>
        <v/>
      </c>
      <c r="AU1551" s="119">
        <f>IFERROR(AO1551*Assumptions!$C$26*Assumptions!$C$27*INDEX(Assumptions!$C$18:$C$21,MATCH(H1551,Assumptions!$B$18:$B$21,0)),0)</f>
        <v/>
      </c>
    </row>
    <row r="1552">
      <c r="A1552" s="114" t="n">
        <v>46236</v>
      </c>
      <c r="B1552" s="42" t="inlineStr">
        <is>
          <t>Wk 31</t>
        </is>
      </c>
      <c r="C1552" s="42" t="inlineStr">
        <is>
          <t>Sun</t>
        </is>
      </c>
      <c r="D1552" s="42" t="inlineStr">
        <is>
          <t>X</t>
        </is>
      </c>
      <c r="E1552" s="42" t="inlineStr">
        <is>
          <t>X (Twitter)</t>
        </is>
      </c>
      <c r="F1552" s="42" t="inlineStr">
        <is>
          <t>LEP_ZA_AUG26_X_TD_RANGE_CONV</t>
        </is>
      </c>
      <c r="G1552" s="42" t="inlineStr">
        <is>
          <t>Website Conversions</t>
        </is>
      </c>
      <c r="H1552" s="42" t="inlineStr">
        <is>
          <t>Range</t>
        </is>
      </c>
      <c r="I1552" s="42" t="inlineStr">
        <is>
          <t>Range Offer</t>
        </is>
      </c>
      <c r="J1552" s="42" t="inlineStr">
        <is>
          <t>X_KEYWORD_CARBUY_ZA</t>
        </is>
      </c>
      <c r="K1552" s="42" t="inlineStr">
        <is>
          <t>Interest</t>
        </is>
      </c>
      <c r="L1552" s="42" t="inlineStr">
        <is>
          <t>X_STA_PricePoint_v1</t>
        </is>
      </c>
      <c r="M1552" s="42" t="inlineStr">
        <is>
          <t>Image Ad</t>
        </is>
      </c>
      <c r="N1552" s="42" t="inlineStr">
        <is>
          <t>From R3 599pm</t>
        </is>
      </c>
      <c r="O1552" s="42" t="inlineStr">
        <is>
          <t>Auction - Lowest Cost</t>
        </is>
      </c>
      <c r="P1552" s="42" t="inlineStr">
        <is>
          <t>Site Visit / Conversion</t>
        </is>
      </c>
      <c r="Q1552" s="42" t="inlineStr">
        <is>
          <t>https://www.lepas-sa.co.za/offers</t>
        </is>
      </c>
      <c r="R1552" s="115" t="n">
        <v>179.77</v>
      </c>
      <c r="S1552" s="116" t="n">
        <v>3971</v>
      </c>
      <c r="T1552" s="116" t="n">
        <v>3003</v>
      </c>
      <c r="U1552" s="117">
        <f>IFERROR(S1552/T1552,"")</f>
        <v/>
      </c>
      <c r="V1552" s="116" t="n">
        <v>55</v>
      </c>
      <c r="W1552" s="116" t="n">
        <v>45</v>
      </c>
      <c r="X1552" s="118">
        <f>IFERROR(W1552/S1552,"")</f>
        <v/>
      </c>
      <c r="Y1552" s="115">
        <f>IFERROR(R1552/W1552,"")</f>
        <v/>
      </c>
      <c r="Z1552" s="115">
        <f>IFERROR(R1552/S1552*1000,"")</f>
        <v/>
      </c>
      <c r="AA1552" s="116" t="n">
        <v>36</v>
      </c>
      <c r="AB1552" s="47">
        <f>IFERROR(AA1552/W1552,"")</f>
        <v/>
      </c>
      <c r="AC1552" s="116" t="n">
        <v>0</v>
      </c>
      <c r="AD1552" s="116" t="n">
        <v>0</v>
      </c>
      <c r="AE1552" s="116" t="n">
        <v>0</v>
      </c>
      <c r="AF1552" s="116" t="n">
        <v>0</v>
      </c>
      <c r="AG1552" s="116" t="n">
        <v>0</v>
      </c>
      <c r="AH1552" s="116" t="n">
        <v>0</v>
      </c>
      <c r="AI1552" s="47">
        <f>IFERROR(AC1552/S1552,"")</f>
        <v/>
      </c>
      <c r="AJ1552" s="47">
        <f>IFERROR(AH1552/S1552,"")</f>
        <v/>
      </c>
      <c r="AK1552" s="116" t="n">
        <v>49</v>
      </c>
      <c r="AL1552" s="116" t="n">
        <v>1</v>
      </c>
      <c r="AM1552" s="118">
        <f>IFERROR(AL1552/AA1552,"")</f>
        <v/>
      </c>
      <c r="AN1552" s="119">
        <f>IFERROR(R1552/AL1552,"")</f>
        <v/>
      </c>
      <c r="AO1552" s="116" t="n">
        <v>1</v>
      </c>
      <c r="AP1552" s="47">
        <f>IFERROR(AO1552/AL1552,"")</f>
        <v/>
      </c>
      <c r="AQ1552" s="119">
        <f>IFERROR(R1552/AO1552,"")</f>
        <v/>
      </c>
      <c r="AR1552" s="116" t="n">
        <v>0</v>
      </c>
      <c r="AS1552" s="116" t="n">
        <v>0</v>
      </c>
      <c r="AT1552" s="116">
        <f>AL1552+AR1552</f>
        <v/>
      </c>
      <c r="AU1552" s="119">
        <f>IFERROR(AO1552*Assumptions!$C$26*Assumptions!$C$27*INDEX(Assumptions!$C$18:$C$21,MATCH(H1552,Assumptions!$B$18:$B$21,0)),0)</f>
        <v/>
      </c>
    </row>
    <row r="1553">
      <c r="A1553" s="114" t="n">
        <v>46237</v>
      </c>
      <c r="B1553" s="42" t="inlineStr">
        <is>
          <t>Wk 32</t>
        </is>
      </c>
      <c r="C1553" s="42" t="inlineStr">
        <is>
          <t>Mon</t>
        </is>
      </c>
      <c r="D1553" s="42" t="inlineStr">
        <is>
          <t>X</t>
        </is>
      </c>
      <c r="E1553" s="42" t="inlineStr">
        <is>
          <t>X (Twitter)</t>
        </is>
      </c>
      <c r="F1553" s="42" t="inlineStr">
        <is>
          <t>LEP_ZA_AUG26_X_TD_RANGE_CONV</t>
        </is>
      </c>
      <c r="G1553" s="42" t="inlineStr">
        <is>
          <t>Website Conversions</t>
        </is>
      </c>
      <c r="H1553" s="42" t="inlineStr">
        <is>
          <t>Range</t>
        </is>
      </c>
      <c r="I1553" s="42" t="inlineStr">
        <is>
          <t>Range Offer</t>
        </is>
      </c>
      <c r="J1553" s="42" t="inlineStr">
        <is>
          <t>X_KEYWORD_CARBUY_ZA</t>
        </is>
      </c>
      <c r="K1553" s="42" t="inlineStr">
        <is>
          <t>Interest</t>
        </is>
      </c>
      <c r="L1553" s="42" t="inlineStr">
        <is>
          <t>X_STA_PricePoint_v1</t>
        </is>
      </c>
      <c r="M1553" s="42" t="inlineStr">
        <is>
          <t>Image Ad</t>
        </is>
      </c>
      <c r="N1553" s="42" t="inlineStr">
        <is>
          <t>From R3 599pm</t>
        </is>
      </c>
      <c r="O1553" s="42" t="inlineStr">
        <is>
          <t>Auction - Lowest Cost</t>
        </is>
      </c>
      <c r="P1553" s="42" t="inlineStr">
        <is>
          <t>Site Visit / Conversion</t>
        </is>
      </c>
      <c r="Q1553" s="42" t="inlineStr">
        <is>
          <t>https://www.lepas-sa.co.za/offers</t>
        </is>
      </c>
      <c r="R1553" s="115" t="n">
        <v>156.15</v>
      </c>
      <c r="S1553" s="116" t="n">
        <v>2287</v>
      </c>
      <c r="T1553" s="116" t="n">
        <v>1889</v>
      </c>
      <c r="U1553" s="117">
        <f>IFERROR(S1553/T1553,"")</f>
        <v/>
      </c>
      <c r="V1553" s="116" t="n">
        <v>16</v>
      </c>
      <c r="W1553" s="116" t="n">
        <v>13</v>
      </c>
      <c r="X1553" s="118">
        <f>IFERROR(W1553/S1553,"")</f>
        <v/>
      </c>
      <c r="Y1553" s="115">
        <f>IFERROR(R1553/W1553,"")</f>
        <v/>
      </c>
      <c r="Z1553" s="115">
        <f>IFERROR(R1553/S1553*1000,"")</f>
        <v/>
      </c>
      <c r="AA1553" s="116" t="n">
        <v>9</v>
      </c>
      <c r="AB1553" s="47">
        <f>IFERROR(AA1553/W1553,"")</f>
        <v/>
      </c>
      <c r="AC1553" s="116" t="n">
        <v>0</v>
      </c>
      <c r="AD1553" s="116" t="n">
        <v>0</v>
      </c>
      <c r="AE1553" s="116" t="n">
        <v>0</v>
      </c>
      <c r="AF1553" s="116" t="n">
        <v>0</v>
      </c>
      <c r="AG1553" s="116" t="n">
        <v>0</v>
      </c>
      <c r="AH1553" s="116" t="n">
        <v>0</v>
      </c>
      <c r="AI1553" s="47">
        <f>IFERROR(AC1553/S1553,"")</f>
        <v/>
      </c>
      <c r="AJ1553" s="47">
        <f>IFERROR(AH1553/S1553,"")</f>
        <v/>
      </c>
      <c r="AK1553" s="116" t="n">
        <v>61</v>
      </c>
      <c r="AL1553" s="116" t="n">
        <v>0</v>
      </c>
      <c r="AM1553" s="118">
        <f>IFERROR(AL1553/AA1553,"")</f>
        <v/>
      </c>
      <c r="AN1553" s="119">
        <f>IFERROR(R1553/AL1553,"")</f>
        <v/>
      </c>
      <c r="AO1553" s="116" t="n">
        <v>0</v>
      </c>
      <c r="AP1553" s="47">
        <f>IFERROR(AO1553/AL1553,"")</f>
        <v/>
      </c>
      <c r="AQ1553" s="119">
        <f>IFERROR(R1553/AO1553,"")</f>
        <v/>
      </c>
      <c r="AR1553" s="116" t="n">
        <v>0</v>
      </c>
      <c r="AS1553" s="116" t="n">
        <v>0</v>
      </c>
      <c r="AT1553" s="116">
        <f>AL1553+AR1553</f>
        <v/>
      </c>
      <c r="AU1553" s="119">
        <f>IFERROR(AO1553*Assumptions!$C$26*Assumptions!$C$27*INDEX(Assumptions!$C$18:$C$21,MATCH(H1553,Assumptions!$B$18:$B$21,0)),0)</f>
        <v/>
      </c>
    </row>
    <row r="1554">
      <c r="A1554" s="114" t="n">
        <v>46238</v>
      </c>
      <c r="B1554" s="42" t="inlineStr">
        <is>
          <t>Wk 32</t>
        </is>
      </c>
      <c r="C1554" s="42" t="inlineStr">
        <is>
          <t>Tue</t>
        </is>
      </c>
      <c r="D1554" s="42" t="inlineStr">
        <is>
          <t>X</t>
        </is>
      </c>
      <c r="E1554" s="42" t="inlineStr">
        <is>
          <t>X (Twitter)</t>
        </is>
      </c>
      <c r="F1554" s="42" t="inlineStr">
        <is>
          <t>LEP_ZA_AUG26_X_TD_RANGE_CONV</t>
        </is>
      </c>
      <c r="G1554" s="42" t="inlineStr">
        <is>
          <t>Website Conversions</t>
        </is>
      </c>
      <c r="H1554" s="42" t="inlineStr">
        <is>
          <t>Range</t>
        </is>
      </c>
      <c r="I1554" s="42" t="inlineStr">
        <is>
          <t>Range Offer</t>
        </is>
      </c>
      <c r="J1554" s="42" t="inlineStr">
        <is>
          <t>X_KEYWORD_CARBUY_ZA</t>
        </is>
      </c>
      <c r="K1554" s="42" t="inlineStr">
        <is>
          <t>Interest</t>
        </is>
      </c>
      <c r="L1554" s="42" t="inlineStr">
        <is>
          <t>X_STA_PricePoint_v1</t>
        </is>
      </c>
      <c r="M1554" s="42" t="inlineStr">
        <is>
          <t>Image Ad</t>
        </is>
      </c>
      <c r="N1554" s="42" t="inlineStr">
        <is>
          <t>From R3 599pm</t>
        </is>
      </c>
      <c r="O1554" s="42" t="inlineStr">
        <is>
          <t>Auction - Lowest Cost</t>
        </is>
      </c>
      <c r="P1554" s="42" t="inlineStr">
        <is>
          <t>Site Visit / Conversion</t>
        </is>
      </c>
      <c r="Q1554" s="42" t="inlineStr">
        <is>
          <t>https://www.lepas-sa.co.za/offers</t>
        </is>
      </c>
      <c r="R1554" s="115" t="n">
        <v>204.88</v>
      </c>
      <c r="S1554" s="116" t="n">
        <v>3314</v>
      </c>
      <c r="T1554" s="116" t="n">
        <v>2405</v>
      </c>
      <c r="U1554" s="117">
        <f>IFERROR(S1554/T1554,"")</f>
        <v/>
      </c>
      <c r="V1554" s="116" t="n">
        <v>46</v>
      </c>
      <c r="W1554" s="116" t="n">
        <v>33</v>
      </c>
      <c r="X1554" s="118">
        <f>IFERROR(W1554/S1554,"")</f>
        <v/>
      </c>
      <c r="Y1554" s="115">
        <f>IFERROR(R1554/W1554,"")</f>
        <v/>
      </c>
      <c r="Z1554" s="115">
        <f>IFERROR(R1554/S1554*1000,"")</f>
        <v/>
      </c>
      <c r="AA1554" s="116" t="n">
        <v>26</v>
      </c>
      <c r="AB1554" s="47">
        <f>IFERROR(AA1554/W1554,"")</f>
        <v/>
      </c>
      <c r="AC1554" s="116" t="n">
        <v>0</v>
      </c>
      <c r="AD1554" s="116" t="n">
        <v>0</v>
      </c>
      <c r="AE1554" s="116" t="n">
        <v>0</v>
      </c>
      <c r="AF1554" s="116" t="n">
        <v>0</v>
      </c>
      <c r="AG1554" s="116" t="n">
        <v>0</v>
      </c>
      <c r="AH1554" s="116" t="n">
        <v>0</v>
      </c>
      <c r="AI1554" s="47">
        <f>IFERROR(AC1554/S1554,"")</f>
        <v/>
      </c>
      <c r="AJ1554" s="47">
        <f>IFERROR(AH1554/S1554,"")</f>
        <v/>
      </c>
      <c r="AK1554" s="116" t="n">
        <v>56</v>
      </c>
      <c r="AL1554" s="116" t="n">
        <v>1</v>
      </c>
      <c r="AM1554" s="118">
        <f>IFERROR(AL1554/AA1554,"")</f>
        <v/>
      </c>
      <c r="AN1554" s="119">
        <f>IFERROR(R1554/AL1554,"")</f>
        <v/>
      </c>
      <c r="AO1554" s="116" t="n">
        <v>0</v>
      </c>
      <c r="AP1554" s="47">
        <f>IFERROR(AO1554/AL1554,"")</f>
        <v/>
      </c>
      <c r="AQ1554" s="119">
        <f>IFERROR(R1554/AO1554,"")</f>
        <v/>
      </c>
      <c r="AR1554" s="116" t="n">
        <v>0</v>
      </c>
      <c r="AS1554" s="116" t="n">
        <v>0</v>
      </c>
      <c r="AT1554" s="116">
        <f>AL1554+AR1554</f>
        <v/>
      </c>
      <c r="AU1554" s="119">
        <f>IFERROR(AO1554*Assumptions!$C$26*Assumptions!$C$27*INDEX(Assumptions!$C$18:$C$21,MATCH(H1554,Assumptions!$B$18:$B$21,0)),0)</f>
        <v/>
      </c>
    </row>
    <row r="1555">
      <c r="A1555" s="114" t="n">
        <v>46239</v>
      </c>
      <c r="B1555" s="42" t="inlineStr">
        <is>
          <t>Wk 32</t>
        </is>
      </c>
      <c r="C1555" s="42" t="inlineStr">
        <is>
          <t>Wed</t>
        </is>
      </c>
      <c r="D1555" s="42" t="inlineStr">
        <is>
          <t>X</t>
        </is>
      </c>
      <c r="E1555" s="42" t="inlineStr">
        <is>
          <t>X (Twitter)</t>
        </is>
      </c>
      <c r="F1555" s="42" t="inlineStr">
        <is>
          <t>LEP_ZA_AUG26_X_TD_RANGE_CONV</t>
        </is>
      </c>
      <c r="G1555" s="42" t="inlineStr">
        <is>
          <t>Website Conversions</t>
        </is>
      </c>
      <c r="H1555" s="42" t="inlineStr">
        <is>
          <t>Range</t>
        </is>
      </c>
      <c r="I1555" s="42" t="inlineStr">
        <is>
          <t>Range Offer</t>
        </is>
      </c>
      <c r="J1555" s="42" t="inlineStr">
        <is>
          <t>X_KEYWORD_CARBUY_ZA</t>
        </is>
      </c>
      <c r="K1555" s="42" t="inlineStr">
        <is>
          <t>Interest</t>
        </is>
      </c>
      <c r="L1555" s="42" t="inlineStr">
        <is>
          <t>X_STA_PricePoint_v1</t>
        </is>
      </c>
      <c r="M1555" s="42" t="inlineStr">
        <is>
          <t>Image Ad</t>
        </is>
      </c>
      <c r="N1555" s="42" t="inlineStr">
        <is>
          <t>From R3 599pm</t>
        </is>
      </c>
      <c r="O1555" s="42" t="inlineStr">
        <is>
          <t>Auction - Lowest Cost</t>
        </is>
      </c>
      <c r="P1555" s="42" t="inlineStr">
        <is>
          <t>Site Visit / Conversion</t>
        </is>
      </c>
      <c r="Q1555" s="42" t="inlineStr">
        <is>
          <t>https://www.lepas-sa.co.za/offers</t>
        </is>
      </c>
      <c r="R1555" s="115" t="n">
        <v>244</v>
      </c>
      <c r="S1555" s="116" t="n">
        <v>4959</v>
      </c>
      <c r="T1555" s="116" t="n">
        <v>3958</v>
      </c>
      <c r="U1555" s="117">
        <f>IFERROR(S1555/T1555,"")</f>
        <v/>
      </c>
      <c r="V1555" s="116" t="n">
        <v>69</v>
      </c>
      <c r="W1555" s="116" t="n">
        <v>53</v>
      </c>
      <c r="X1555" s="118">
        <f>IFERROR(W1555/S1555,"")</f>
        <v/>
      </c>
      <c r="Y1555" s="115">
        <f>IFERROR(R1555/W1555,"")</f>
        <v/>
      </c>
      <c r="Z1555" s="115">
        <f>IFERROR(R1555/S1555*1000,"")</f>
        <v/>
      </c>
      <c r="AA1555" s="116" t="n">
        <v>39</v>
      </c>
      <c r="AB1555" s="47">
        <f>IFERROR(AA1555/W1555,"")</f>
        <v/>
      </c>
      <c r="AC1555" s="116" t="n">
        <v>0</v>
      </c>
      <c r="AD1555" s="116" t="n">
        <v>0</v>
      </c>
      <c r="AE1555" s="116" t="n">
        <v>0</v>
      </c>
      <c r="AF1555" s="116" t="n">
        <v>0</v>
      </c>
      <c r="AG1555" s="116" t="n">
        <v>0</v>
      </c>
      <c r="AH1555" s="116" t="n">
        <v>0</v>
      </c>
      <c r="AI1555" s="47">
        <f>IFERROR(AC1555/S1555,"")</f>
        <v/>
      </c>
      <c r="AJ1555" s="47">
        <f>IFERROR(AH1555/S1555,"")</f>
        <v/>
      </c>
      <c r="AK1555" s="116" t="n">
        <v>118</v>
      </c>
      <c r="AL1555" s="116" t="n">
        <v>0</v>
      </c>
      <c r="AM1555" s="118">
        <f>IFERROR(AL1555/AA1555,"")</f>
        <v/>
      </c>
      <c r="AN1555" s="119">
        <f>IFERROR(R1555/AL1555,"")</f>
        <v/>
      </c>
      <c r="AO1555" s="116" t="n">
        <v>0</v>
      </c>
      <c r="AP1555" s="47">
        <f>IFERROR(AO1555/AL1555,"")</f>
        <v/>
      </c>
      <c r="AQ1555" s="119">
        <f>IFERROR(R1555/AO1555,"")</f>
        <v/>
      </c>
      <c r="AR1555" s="116" t="n">
        <v>0</v>
      </c>
      <c r="AS1555" s="116" t="n">
        <v>0</v>
      </c>
      <c r="AT1555" s="116">
        <f>AL1555+AR1555</f>
        <v/>
      </c>
      <c r="AU1555" s="119">
        <f>IFERROR(AO1555*Assumptions!$C$26*Assumptions!$C$27*INDEX(Assumptions!$C$18:$C$21,MATCH(H1555,Assumptions!$B$18:$B$21,0)),0)</f>
        <v/>
      </c>
    </row>
    <row r="1556">
      <c r="A1556" s="114" t="n">
        <v>46240</v>
      </c>
      <c r="B1556" s="42" t="inlineStr">
        <is>
          <t>Wk 32</t>
        </is>
      </c>
      <c r="C1556" s="42" t="inlineStr">
        <is>
          <t>Thu</t>
        </is>
      </c>
      <c r="D1556" s="42" t="inlineStr">
        <is>
          <t>X</t>
        </is>
      </c>
      <c r="E1556" s="42" t="inlineStr">
        <is>
          <t>X (Twitter)</t>
        </is>
      </c>
      <c r="F1556" s="42" t="inlineStr">
        <is>
          <t>LEP_ZA_AUG26_X_TD_RANGE_CONV</t>
        </is>
      </c>
      <c r="G1556" s="42" t="inlineStr">
        <is>
          <t>Website Conversions</t>
        </is>
      </c>
      <c r="H1556" s="42" t="inlineStr">
        <is>
          <t>Range</t>
        </is>
      </c>
      <c r="I1556" s="42" t="inlineStr">
        <is>
          <t>Range Offer</t>
        </is>
      </c>
      <c r="J1556" s="42" t="inlineStr">
        <is>
          <t>X_KEYWORD_CARBUY_ZA</t>
        </is>
      </c>
      <c r="K1556" s="42" t="inlineStr">
        <is>
          <t>Interest</t>
        </is>
      </c>
      <c r="L1556" s="42" t="inlineStr">
        <is>
          <t>X_STA_PricePoint_v1</t>
        </is>
      </c>
      <c r="M1556" s="42" t="inlineStr">
        <is>
          <t>Image Ad</t>
        </is>
      </c>
      <c r="N1556" s="42" t="inlineStr">
        <is>
          <t>From R3 599pm</t>
        </is>
      </c>
      <c r="O1556" s="42" t="inlineStr">
        <is>
          <t>Auction - Lowest Cost</t>
        </is>
      </c>
      <c r="P1556" s="42" t="inlineStr">
        <is>
          <t>Site Visit / Conversion</t>
        </is>
      </c>
      <c r="Q1556" s="42" t="inlineStr">
        <is>
          <t>https://www.lepas-sa.co.za/offers</t>
        </is>
      </c>
      <c r="R1556" s="115" t="n">
        <v>250.62</v>
      </c>
      <c r="S1556" s="116" t="n">
        <v>5765</v>
      </c>
      <c r="T1556" s="116" t="n">
        <v>4066</v>
      </c>
      <c r="U1556" s="117">
        <f>IFERROR(S1556/T1556,"")</f>
        <v/>
      </c>
      <c r="V1556" s="116" t="n">
        <v>57</v>
      </c>
      <c r="W1556" s="116" t="n">
        <v>45</v>
      </c>
      <c r="X1556" s="118">
        <f>IFERROR(W1556/S1556,"")</f>
        <v/>
      </c>
      <c r="Y1556" s="115">
        <f>IFERROR(R1556/W1556,"")</f>
        <v/>
      </c>
      <c r="Z1556" s="115">
        <f>IFERROR(R1556/S1556*1000,"")</f>
        <v/>
      </c>
      <c r="AA1556" s="116" t="n">
        <v>34</v>
      </c>
      <c r="AB1556" s="47">
        <f>IFERROR(AA1556/W1556,"")</f>
        <v/>
      </c>
      <c r="AC1556" s="116" t="n">
        <v>0</v>
      </c>
      <c r="AD1556" s="116" t="n">
        <v>0</v>
      </c>
      <c r="AE1556" s="116" t="n">
        <v>0</v>
      </c>
      <c r="AF1556" s="116" t="n">
        <v>0</v>
      </c>
      <c r="AG1556" s="116" t="n">
        <v>0</v>
      </c>
      <c r="AH1556" s="116" t="n">
        <v>0</v>
      </c>
      <c r="AI1556" s="47">
        <f>IFERROR(AC1556/S1556,"")</f>
        <v/>
      </c>
      <c r="AJ1556" s="47">
        <f>IFERROR(AH1556/S1556,"")</f>
        <v/>
      </c>
      <c r="AK1556" s="116" t="n">
        <v>94</v>
      </c>
      <c r="AL1556" s="116" t="n">
        <v>1</v>
      </c>
      <c r="AM1556" s="118">
        <f>IFERROR(AL1556/AA1556,"")</f>
        <v/>
      </c>
      <c r="AN1556" s="119">
        <f>IFERROR(R1556/AL1556,"")</f>
        <v/>
      </c>
      <c r="AO1556" s="116" t="n">
        <v>1</v>
      </c>
      <c r="AP1556" s="47">
        <f>IFERROR(AO1556/AL1556,"")</f>
        <v/>
      </c>
      <c r="AQ1556" s="119">
        <f>IFERROR(R1556/AO1556,"")</f>
        <v/>
      </c>
      <c r="AR1556" s="116" t="n">
        <v>0</v>
      </c>
      <c r="AS1556" s="116" t="n">
        <v>0</v>
      </c>
      <c r="AT1556" s="116">
        <f>AL1556+AR1556</f>
        <v/>
      </c>
      <c r="AU1556" s="119">
        <f>IFERROR(AO1556*Assumptions!$C$26*Assumptions!$C$27*INDEX(Assumptions!$C$18:$C$21,MATCH(H1556,Assumptions!$B$18:$B$21,0)),0)</f>
        <v/>
      </c>
    </row>
    <row r="1557">
      <c r="A1557" s="114" t="n">
        <v>46241</v>
      </c>
      <c r="B1557" s="42" t="inlineStr">
        <is>
          <t>Wk 32</t>
        </is>
      </c>
      <c r="C1557" s="42" t="inlineStr">
        <is>
          <t>Fri</t>
        </is>
      </c>
      <c r="D1557" s="42" t="inlineStr">
        <is>
          <t>X</t>
        </is>
      </c>
      <c r="E1557" s="42" t="inlineStr">
        <is>
          <t>X (Twitter)</t>
        </is>
      </c>
      <c r="F1557" s="42" t="inlineStr">
        <is>
          <t>LEP_ZA_AUG26_X_TD_RANGE_CONV</t>
        </is>
      </c>
      <c r="G1557" s="42" t="inlineStr">
        <is>
          <t>Website Conversions</t>
        </is>
      </c>
      <c r="H1557" s="42" t="inlineStr">
        <is>
          <t>Range</t>
        </is>
      </c>
      <c r="I1557" s="42" t="inlineStr">
        <is>
          <t>Range Offer</t>
        </is>
      </c>
      <c r="J1557" s="42" t="inlineStr">
        <is>
          <t>X_KEYWORD_CARBUY_ZA</t>
        </is>
      </c>
      <c r="K1557" s="42" t="inlineStr">
        <is>
          <t>Interest</t>
        </is>
      </c>
      <c r="L1557" s="42" t="inlineStr">
        <is>
          <t>X_STA_PricePoint_v1</t>
        </is>
      </c>
      <c r="M1557" s="42" t="inlineStr">
        <is>
          <t>Image Ad</t>
        </is>
      </c>
      <c r="N1557" s="42" t="inlineStr">
        <is>
          <t>From R3 599pm</t>
        </is>
      </c>
      <c r="O1557" s="42" t="inlineStr">
        <is>
          <t>Auction - Lowest Cost</t>
        </is>
      </c>
      <c r="P1557" s="42" t="inlineStr">
        <is>
          <t>Site Visit / Conversion</t>
        </is>
      </c>
      <c r="Q1557" s="42" t="inlineStr">
        <is>
          <t>https://www.lepas-sa.co.za/offers</t>
        </is>
      </c>
      <c r="R1557" s="115" t="n">
        <v>264.22</v>
      </c>
      <c r="S1557" s="116" t="n">
        <v>5241</v>
      </c>
      <c r="T1557" s="116" t="n">
        <v>3764</v>
      </c>
      <c r="U1557" s="117">
        <f>IFERROR(S1557/T1557,"")</f>
        <v/>
      </c>
      <c r="V1557" s="116" t="n">
        <v>37</v>
      </c>
      <c r="W1557" s="116" t="n">
        <v>30</v>
      </c>
      <c r="X1557" s="118">
        <f>IFERROR(W1557/S1557,"")</f>
        <v/>
      </c>
      <c r="Y1557" s="115">
        <f>IFERROR(R1557/W1557,"")</f>
        <v/>
      </c>
      <c r="Z1557" s="115">
        <f>IFERROR(R1557/S1557*1000,"")</f>
        <v/>
      </c>
      <c r="AA1557" s="116" t="n">
        <v>23</v>
      </c>
      <c r="AB1557" s="47">
        <f>IFERROR(AA1557/W1557,"")</f>
        <v/>
      </c>
      <c r="AC1557" s="116" t="n">
        <v>0</v>
      </c>
      <c r="AD1557" s="116" t="n">
        <v>0</v>
      </c>
      <c r="AE1557" s="116" t="n">
        <v>0</v>
      </c>
      <c r="AF1557" s="116" t="n">
        <v>0</v>
      </c>
      <c r="AG1557" s="116" t="n">
        <v>0</v>
      </c>
      <c r="AH1557" s="116" t="n">
        <v>0</v>
      </c>
      <c r="AI1557" s="47">
        <f>IFERROR(AC1557/S1557,"")</f>
        <v/>
      </c>
      <c r="AJ1557" s="47">
        <f>IFERROR(AH1557/S1557,"")</f>
        <v/>
      </c>
      <c r="AK1557" s="116" t="n">
        <v>101</v>
      </c>
      <c r="AL1557" s="116" t="n">
        <v>0</v>
      </c>
      <c r="AM1557" s="118">
        <f>IFERROR(AL1557/AA1557,"")</f>
        <v/>
      </c>
      <c r="AN1557" s="119">
        <f>IFERROR(R1557/AL1557,"")</f>
        <v/>
      </c>
      <c r="AO1557" s="116" t="n">
        <v>0</v>
      </c>
      <c r="AP1557" s="47">
        <f>IFERROR(AO1557/AL1557,"")</f>
        <v/>
      </c>
      <c r="AQ1557" s="119">
        <f>IFERROR(R1557/AO1557,"")</f>
        <v/>
      </c>
      <c r="AR1557" s="116" t="n">
        <v>0</v>
      </c>
      <c r="AS1557" s="116" t="n">
        <v>0</v>
      </c>
      <c r="AT1557" s="116">
        <f>AL1557+AR1557</f>
        <v/>
      </c>
      <c r="AU1557" s="119">
        <f>IFERROR(AO1557*Assumptions!$C$26*Assumptions!$C$27*INDEX(Assumptions!$C$18:$C$21,MATCH(H1557,Assumptions!$B$18:$B$21,0)),0)</f>
        <v/>
      </c>
    </row>
    <row r="1558">
      <c r="A1558" s="114" t="n">
        <v>46242</v>
      </c>
      <c r="B1558" s="42" t="inlineStr">
        <is>
          <t>Wk 32</t>
        </is>
      </c>
      <c r="C1558" s="42" t="inlineStr">
        <is>
          <t>Sat</t>
        </is>
      </c>
      <c r="D1558" s="42" t="inlineStr">
        <is>
          <t>X</t>
        </is>
      </c>
      <c r="E1558" s="42" t="inlineStr">
        <is>
          <t>X (Twitter)</t>
        </is>
      </c>
      <c r="F1558" s="42" t="inlineStr">
        <is>
          <t>LEP_ZA_AUG26_X_TD_RANGE_CONV</t>
        </is>
      </c>
      <c r="G1558" s="42" t="inlineStr">
        <is>
          <t>Website Conversions</t>
        </is>
      </c>
      <c r="H1558" s="42" t="inlineStr">
        <is>
          <t>Range</t>
        </is>
      </c>
      <c r="I1558" s="42" t="inlineStr">
        <is>
          <t>Range Offer</t>
        </is>
      </c>
      <c r="J1558" s="42" t="inlineStr">
        <is>
          <t>X_KEYWORD_CARBUY_ZA</t>
        </is>
      </c>
      <c r="K1558" s="42" t="inlineStr">
        <is>
          <t>Interest</t>
        </is>
      </c>
      <c r="L1558" s="42" t="inlineStr">
        <is>
          <t>X_STA_PricePoint_v1</t>
        </is>
      </c>
      <c r="M1558" s="42" t="inlineStr">
        <is>
          <t>Image Ad</t>
        </is>
      </c>
      <c r="N1558" s="42" t="inlineStr">
        <is>
          <t>From R3 599pm</t>
        </is>
      </c>
      <c r="O1558" s="42" t="inlineStr">
        <is>
          <t>Auction - Lowest Cost</t>
        </is>
      </c>
      <c r="P1558" s="42" t="inlineStr">
        <is>
          <t>Site Visit / Conversion</t>
        </is>
      </c>
      <c r="Q1558" s="42" t="inlineStr">
        <is>
          <t>https://www.lepas-sa.co.za/offers</t>
        </is>
      </c>
      <c r="R1558" s="115" t="n">
        <v>239.47</v>
      </c>
      <c r="S1558" s="116" t="n">
        <v>4052</v>
      </c>
      <c r="T1558" s="116" t="n">
        <v>2935</v>
      </c>
      <c r="U1558" s="117">
        <f>IFERROR(S1558/T1558,"")</f>
        <v/>
      </c>
      <c r="V1558" s="116" t="n">
        <v>18</v>
      </c>
      <c r="W1558" s="116" t="n">
        <v>14</v>
      </c>
      <c r="X1558" s="118">
        <f>IFERROR(W1558/S1558,"")</f>
        <v/>
      </c>
      <c r="Y1558" s="115">
        <f>IFERROR(R1558/W1558,"")</f>
        <v/>
      </c>
      <c r="Z1558" s="115">
        <f>IFERROR(R1558/S1558*1000,"")</f>
        <v/>
      </c>
      <c r="AA1558" s="116" t="n">
        <v>11</v>
      </c>
      <c r="AB1558" s="47">
        <f>IFERROR(AA1558/W1558,"")</f>
        <v/>
      </c>
      <c r="AC1558" s="116" t="n">
        <v>0</v>
      </c>
      <c r="AD1558" s="116" t="n">
        <v>0</v>
      </c>
      <c r="AE1558" s="116" t="n">
        <v>0</v>
      </c>
      <c r="AF1558" s="116" t="n">
        <v>0</v>
      </c>
      <c r="AG1558" s="116" t="n">
        <v>0</v>
      </c>
      <c r="AH1558" s="116" t="n">
        <v>0</v>
      </c>
      <c r="AI1558" s="47">
        <f>IFERROR(AC1558/S1558,"")</f>
        <v/>
      </c>
      <c r="AJ1558" s="47">
        <f>IFERROR(AH1558/S1558,"")</f>
        <v/>
      </c>
      <c r="AK1558" s="116" t="n">
        <v>79</v>
      </c>
      <c r="AL1558" s="116" t="n">
        <v>0</v>
      </c>
      <c r="AM1558" s="118">
        <f>IFERROR(AL1558/AA1558,"")</f>
        <v/>
      </c>
      <c r="AN1558" s="119">
        <f>IFERROR(R1558/AL1558,"")</f>
        <v/>
      </c>
      <c r="AO1558" s="116" t="n">
        <v>0</v>
      </c>
      <c r="AP1558" s="47">
        <f>IFERROR(AO1558/AL1558,"")</f>
        <v/>
      </c>
      <c r="AQ1558" s="119">
        <f>IFERROR(R1558/AO1558,"")</f>
        <v/>
      </c>
      <c r="AR1558" s="116" t="n">
        <v>0</v>
      </c>
      <c r="AS1558" s="116" t="n">
        <v>0</v>
      </c>
      <c r="AT1558" s="116">
        <f>AL1558+AR1558</f>
        <v/>
      </c>
      <c r="AU1558" s="119">
        <f>IFERROR(AO1558*Assumptions!$C$26*Assumptions!$C$27*INDEX(Assumptions!$C$18:$C$21,MATCH(H1558,Assumptions!$B$18:$B$21,0)),0)</f>
        <v/>
      </c>
    </row>
    <row r="1559">
      <c r="A1559" s="114" t="n">
        <v>46243</v>
      </c>
      <c r="B1559" s="42" t="inlineStr">
        <is>
          <t>Wk 32</t>
        </is>
      </c>
      <c r="C1559" s="42" t="inlineStr">
        <is>
          <t>Sun</t>
        </is>
      </c>
      <c r="D1559" s="42" t="inlineStr">
        <is>
          <t>X</t>
        </is>
      </c>
      <c r="E1559" s="42" t="inlineStr">
        <is>
          <t>X (Twitter)</t>
        </is>
      </c>
      <c r="F1559" s="42" t="inlineStr">
        <is>
          <t>LEP_ZA_AUG26_X_TD_RANGE_CONV</t>
        </is>
      </c>
      <c r="G1559" s="42" t="inlineStr">
        <is>
          <t>Website Conversions</t>
        </is>
      </c>
      <c r="H1559" s="42" t="inlineStr">
        <is>
          <t>Range</t>
        </is>
      </c>
      <c r="I1559" s="42" t="inlineStr">
        <is>
          <t>Range Offer</t>
        </is>
      </c>
      <c r="J1559" s="42" t="inlineStr">
        <is>
          <t>X_KEYWORD_CARBUY_ZA</t>
        </is>
      </c>
      <c r="K1559" s="42" t="inlineStr">
        <is>
          <t>Interest</t>
        </is>
      </c>
      <c r="L1559" s="42" t="inlineStr">
        <is>
          <t>X_STA_PricePoint_v1</t>
        </is>
      </c>
      <c r="M1559" s="42" t="inlineStr">
        <is>
          <t>Image Ad</t>
        </is>
      </c>
      <c r="N1559" s="42" t="inlineStr">
        <is>
          <t>From R3 599pm</t>
        </is>
      </c>
      <c r="O1559" s="42" t="inlineStr">
        <is>
          <t>Auction - Lowest Cost</t>
        </is>
      </c>
      <c r="P1559" s="42" t="inlineStr">
        <is>
          <t>Site Visit / Conversion</t>
        </is>
      </c>
      <c r="Q1559" s="42" t="inlineStr">
        <is>
          <t>https://www.lepas-sa.co.za/offers</t>
        </is>
      </c>
      <c r="R1559" s="115" t="n">
        <v>171.35</v>
      </c>
      <c r="S1559" s="116" t="n">
        <v>2743</v>
      </c>
      <c r="T1559" s="116" t="n">
        <v>2193</v>
      </c>
      <c r="U1559" s="117">
        <f>IFERROR(S1559/T1559,"")</f>
        <v/>
      </c>
      <c r="V1559" s="116" t="n">
        <v>21</v>
      </c>
      <c r="W1559" s="116" t="n">
        <v>15</v>
      </c>
      <c r="X1559" s="118">
        <f>IFERROR(W1559/S1559,"")</f>
        <v/>
      </c>
      <c r="Y1559" s="115">
        <f>IFERROR(R1559/W1559,"")</f>
        <v/>
      </c>
      <c r="Z1559" s="115">
        <f>IFERROR(R1559/S1559*1000,"")</f>
        <v/>
      </c>
      <c r="AA1559" s="116" t="n">
        <v>12</v>
      </c>
      <c r="AB1559" s="47">
        <f>IFERROR(AA1559/W1559,"")</f>
        <v/>
      </c>
      <c r="AC1559" s="116" t="n">
        <v>0</v>
      </c>
      <c r="AD1559" s="116" t="n">
        <v>0</v>
      </c>
      <c r="AE1559" s="116" t="n">
        <v>0</v>
      </c>
      <c r="AF1559" s="116" t="n">
        <v>0</v>
      </c>
      <c r="AG1559" s="116" t="n">
        <v>0</v>
      </c>
      <c r="AH1559" s="116" t="n">
        <v>0</v>
      </c>
      <c r="AI1559" s="47">
        <f>IFERROR(AC1559/S1559,"")</f>
        <v/>
      </c>
      <c r="AJ1559" s="47">
        <f>IFERROR(AH1559/S1559,"")</f>
        <v/>
      </c>
      <c r="AK1559" s="116" t="n">
        <v>42</v>
      </c>
      <c r="AL1559" s="116" t="n">
        <v>0</v>
      </c>
      <c r="AM1559" s="118">
        <f>IFERROR(AL1559/AA1559,"")</f>
        <v/>
      </c>
      <c r="AN1559" s="119">
        <f>IFERROR(R1559/AL1559,"")</f>
        <v/>
      </c>
      <c r="AO1559" s="116" t="n">
        <v>0</v>
      </c>
      <c r="AP1559" s="47">
        <f>IFERROR(AO1559/AL1559,"")</f>
        <v/>
      </c>
      <c r="AQ1559" s="119">
        <f>IFERROR(R1559/AO1559,"")</f>
        <v/>
      </c>
      <c r="AR1559" s="116" t="n">
        <v>0</v>
      </c>
      <c r="AS1559" s="116" t="n">
        <v>0</v>
      </c>
      <c r="AT1559" s="116">
        <f>AL1559+AR1559</f>
        <v/>
      </c>
      <c r="AU1559" s="119">
        <f>IFERROR(AO1559*Assumptions!$C$26*Assumptions!$C$27*INDEX(Assumptions!$C$18:$C$21,MATCH(H1559,Assumptions!$B$18:$B$21,0)),0)</f>
        <v/>
      </c>
    </row>
    <row r="1560">
      <c r="A1560" s="114" t="n">
        <v>46244</v>
      </c>
      <c r="B1560" s="42" t="inlineStr">
        <is>
          <t>Wk 33</t>
        </is>
      </c>
      <c r="C1560" s="42" t="inlineStr">
        <is>
          <t>Mon</t>
        </is>
      </c>
      <c r="D1560" s="42" t="inlineStr">
        <is>
          <t>X</t>
        </is>
      </c>
      <c r="E1560" s="42" t="inlineStr">
        <is>
          <t>X (Twitter)</t>
        </is>
      </c>
      <c r="F1560" s="42" t="inlineStr">
        <is>
          <t>LEP_ZA_AUG26_X_TD_RANGE_CONV</t>
        </is>
      </c>
      <c r="G1560" s="42" t="inlineStr">
        <is>
          <t>Website Conversions</t>
        </is>
      </c>
      <c r="H1560" s="42" t="inlineStr">
        <is>
          <t>Range</t>
        </is>
      </c>
      <c r="I1560" s="42" t="inlineStr">
        <is>
          <t>Range Offer</t>
        </is>
      </c>
      <c r="J1560" s="42" t="inlineStr">
        <is>
          <t>X_KEYWORD_CARBUY_ZA</t>
        </is>
      </c>
      <c r="K1560" s="42" t="inlineStr">
        <is>
          <t>Interest</t>
        </is>
      </c>
      <c r="L1560" s="42" t="inlineStr">
        <is>
          <t>X_STA_PricePoint_v1</t>
        </is>
      </c>
      <c r="M1560" s="42" t="inlineStr">
        <is>
          <t>Image Ad</t>
        </is>
      </c>
      <c r="N1560" s="42" t="inlineStr">
        <is>
          <t>From R3 599pm</t>
        </is>
      </c>
      <c r="O1560" s="42" t="inlineStr">
        <is>
          <t>Auction - Lowest Cost</t>
        </is>
      </c>
      <c r="P1560" s="42" t="inlineStr">
        <is>
          <t>Site Visit / Conversion</t>
        </is>
      </c>
      <c r="Q1560" s="42" t="inlineStr">
        <is>
          <t>https://www.lepas-sa.co.za/offers</t>
        </is>
      </c>
      <c r="R1560" s="115" t="n">
        <v>250.7</v>
      </c>
      <c r="S1560" s="116" t="n">
        <v>5322</v>
      </c>
      <c r="T1560" s="116" t="n">
        <v>3370</v>
      </c>
      <c r="U1560" s="117">
        <f>IFERROR(S1560/T1560,"")</f>
        <v/>
      </c>
      <c r="V1560" s="116" t="n">
        <v>37</v>
      </c>
      <c r="W1560" s="116" t="n">
        <v>29</v>
      </c>
      <c r="X1560" s="118">
        <f>IFERROR(W1560/S1560,"")</f>
        <v/>
      </c>
      <c r="Y1560" s="115">
        <f>IFERROR(R1560/W1560,"")</f>
        <v/>
      </c>
      <c r="Z1560" s="115">
        <f>IFERROR(R1560/S1560*1000,"")</f>
        <v/>
      </c>
      <c r="AA1560" s="116" t="n">
        <v>23</v>
      </c>
      <c r="AB1560" s="47">
        <f>IFERROR(AA1560/W1560,"")</f>
        <v/>
      </c>
      <c r="AC1560" s="116" t="n">
        <v>0</v>
      </c>
      <c r="AD1560" s="116" t="n">
        <v>0</v>
      </c>
      <c r="AE1560" s="116" t="n">
        <v>0</v>
      </c>
      <c r="AF1560" s="116" t="n">
        <v>0</v>
      </c>
      <c r="AG1560" s="116" t="n">
        <v>0</v>
      </c>
      <c r="AH1560" s="116" t="n">
        <v>0</v>
      </c>
      <c r="AI1560" s="47">
        <f>IFERROR(AC1560/S1560,"")</f>
        <v/>
      </c>
      <c r="AJ1560" s="47">
        <f>IFERROR(AH1560/S1560,"")</f>
        <v/>
      </c>
      <c r="AK1560" s="116" t="n">
        <v>113</v>
      </c>
      <c r="AL1560" s="116" t="n">
        <v>0</v>
      </c>
      <c r="AM1560" s="118">
        <f>IFERROR(AL1560/AA1560,"")</f>
        <v/>
      </c>
      <c r="AN1560" s="119">
        <f>IFERROR(R1560/AL1560,"")</f>
        <v/>
      </c>
      <c r="AO1560" s="116" t="n">
        <v>0</v>
      </c>
      <c r="AP1560" s="47">
        <f>IFERROR(AO1560/AL1560,"")</f>
        <v/>
      </c>
      <c r="AQ1560" s="119">
        <f>IFERROR(R1560/AO1560,"")</f>
        <v/>
      </c>
      <c r="AR1560" s="116" t="n">
        <v>0</v>
      </c>
      <c r="AS1560" s="116" t="n">
        <v>0</v>
      </c>
      <c r="AT1560" s="116">
        <f>AL1560+AR1560</f>
        <v/>
      </c>
      <c r="AU1560" s="119">
        <f>IFERROR(AO1560*Assumptions!$C$26*Assumptions!$C$27*INDEX(Assumptions!$C$18:$C$21,MATCH(H1560,Assumptions!$B$18:$B$21,0)),0)</f>
        <v/>
      </c>
    </row>
    <row r="1561">
      <c r="A1561" s="114" t="n">
        <v>46245</v>
      </c>
      <c r="B1561" s="42" t="inlineStr">
        <is>
          <t>Wk 33</t>
        </is>
      </c>
      <c r="C1561" s="42" t="inlineStr">
        <is>
          <t>Tue</t>
        </is>
      </c>
      <c r="D1561" s="42" t="inlineStr">
        <is>
          <t>X</t>
        </is>
      </c>
      <c r="E1561" s="42" t="inlineStr">
        <is>
          <t>X (Twitter)</t>
        </is>
      </c>
      <c r="F1561" s="42" t="inlineStr">
        <is>
          <t>LEP_ZA_AUG26_X_TD_RANGE_CONV</t>
        </is>
      </c>
      <c r="G1561" s="42" t="inlineStr">
        <is>
          <t>Website Conversions</t>
        </is>
      </c>
      <c r="H1561" s="42" t="inlineStr">
        <is>
          <t>Range</t>
        </is>
      </c>
      <c r="I1561" s="42" t="inlineStr">
        <is>
          <t>Range Offer</t>
        </is>
      </c>
      <c r="J1561" s="42" t="inlineStr">
        <is>
          <t>X_KEYWORD_CARBUY_ZA</t>
        </is>
      </c>
      <c r="K1561" s="42" t="inlineStr">
        <is>
          <t>Interest</t>
        </is>
      </c>
      <c r="L1561" s="42" t="inlineStr">
        <is>
          <t>X_STA_PricePoint_v1</t>
        </is>
      </c>
      <c r="M1561" s="42" t="inlineStr">
        <is>
          <t>Image Ad</t>
        </is>
      </c>
      <c r="N1561" s="42" t="inlineStr">
        <is>
          <t>From R3 599pm</t>
        </is>
      </c>
      <c r="O1561" s="42" t="inlineStr">
        <is>
          <t>Auction - Lowest Cost</t>
        </is>
      </c>
      <c r="P1561" s="42" t="inlineStr">
        <is>
          <t>Site Visit / Conversion</t>
        </is>
      </c>
      <c r="Q1561" s="42" t="inlineStr">
        <is>
          <t>https://www.lepas-sa.co.za/offers</t>
        </is>
      </c>
      <c r="R1561" s="115" t="n">
        <v>196.69</v>
      </c>
      <c r="S1561" s="116" t="n">
        <v>3521</v>
      </c>
      <c r="T1561" s="116" t="n">
        <v>2610</v>
      </c>
      <c r="U1561" s="117">
        <f>IFERROR(S1561/T1561,"")</f>
        <v/>
      </c>
      <c r="V1561" s="116" t="n">
        <v>28</v>
      </c>
      <c r="W1561" s="116" t="n">
        <v>21</v>
      </c>
      <c r="X1561" s="118">
        <f>IFERROR(W1561/S1561,"")</f>
        <v/>
      </c>
      <c r="Y1561" s="115">
        <f>IFERROR(R1561/W1561,"")</f>
        <v/>
      </c>
      <c r="Z1561" s="115">
        <f>IFERROR(R1561/S1561*1000,"")</f>
        <v/>
      </c>
      <c r="AA1561" s="116" t="n">
        <v>17</v>
      </c>
      <c r="AB1561" s="47">
        <f>IFERROR(AA1561/W1561,"")</f>
        <v/>
      </c>
      <c r="AC1561" s="116" t="n">
        <v>0</v>
      </c>
      <c r="AD1561" s="116" t="n">
        <v>0</v>
      </c>
      <c r="AE1561" s="116" t="n">
        <v>0</v>
      </c>
      <c r="AF1561" s="116" t="n">
        <v>0</v>
      </c>
      <c r="AG1561" s="116" t="n">
        <v>0</v>
      </c>
      <c r="AH1561" s="116" t="n">
        <v>0</v>
      </c>
      <c r="AI1561" s="47">
        <f>IFERROR(AC1561/S1561,"")</f>
        <v/>
      </c>
      <c r="AJ1561" s="47">
        <f>IFERROR(AH1561/S1561,"")</f>
        <v/>
      </c>
      <c r="AK1561" s="116" t="n">
        <v>35</v>
      </c>
      <c r="AL1561" s="116" t="n">
        <v>0</v>
      </c>
      <c r="AM1561" s="118">
        <f>IFERROR(AL1561/AA1561,"")</f>
        <v/>
      </c>
      <c r="AN1561" s="119">
        <f>IFERROR(R1561/AL1561,"")</f>
        <v/>
      </c>
      <c r="AO1561" s="116" t="n">
        <v>0</v>
      </c>
      <c r="AP1561" s="47">
        <f>IFERROR(AO1561/AL1561,"")</f>
        <v/>
      </c>
      <c r="AQ1561" s="119">
        <f>IFERROR(R1561/AO1561,"")</f>
        <v/>
      </c>
      <c r="AR1561" s="116" t="n">
        <v>0</v>
      </c>
      <c r="AS1561" s="116" t="n">
        <v>0</v>
      </c>
      <c r="AT1561" s="116">
        <f>AL1561+AR1561</f>
        <v/>
      </c>
      <c r="AU1561" s="119">
        <f>IFERROR(AO1561*Assumptions!$C$26*Assumptions!$C$27*INDEX(Assumptions!$C$18:$C$21,MATCH(H1561,Assumptions!$B$18:$B$21,0)),0)</f>
        <v/>
      </c>
    </row>
    <row r="1562">
      <c r="A1562" s="114" t="n">
        <v>46246</v>
      </c>
      <c r="B1562" s="42" t="inlineStr">
        <is>
          <t>Wk 33</t>
        </is>
      </c>
      <c r="C1562" s="42" t="inlineStr">
        <is>
          <t>Wed</t>
        </is>
      </c>
      <c r="D1562" s="42" t="inlineStr">
        <is>
          <t>X</t>
        </is>
      </c>
      <c r="E1562" s="42" t="inlineStr">
        <is>
          <t>X (Twitter)</t>
        </is>
      </c>
      <c r="F1562" s="42" t="inlineStr">
        <is>
          <t>LEP_ZA_AUG26_X_TD_RANGE_CONV</t>
        </is>
      </c>
      <c r="G1562" s="42" t="inlineStr">
        <is>
          <t>Website Conversions</t>
        </is>
      </c>
      <c r="H1562" s="42" t="inlineStr">
        <is>
          <t>Range</t>
        </is>
      </c>
      <c r="I1562" s="42" t="inlineStr">
        <is>
          <t>Range Offer</t>
        </is>
      </c>
      <c r="J1562" s="42" t="inlineStr">
        <is>
          <t>X_KEYWORD_CARBUY_ZA</t>
        </is>
      </c>
      <c r="K1562" s="42" t="inlineStr">
        <is>
          <t>Interest</t>
        </is>
      </c>
      <c r="L1562" s="42" t="inlineStr">
        <is>
          <t>X_STA_PricePoint_v1</t>
        </is>
      </c>
      <c r="M1562" s="42" t="inlineStr">
        <is>
          <t>Image Ad</t>
        </is>
      </c>
      <c r="N1562" s="42" t="inlineStr">
        <is>
          <t>From R3 599pm</t>
        </is>
      </c>
      <c r="O1562" s="42" t="inlineStr">
        <is>
          <t>Auction - Lowest Cost</t>
        </is>
      </c>
      <c r="P1562" s="42" t="inlineStr">
        <is>
          <t>Site Visit / Conversion</t>
        </is>
      </c>
      <c r="Q1562" s="42" t="inlineStr">
        <is>
          <t>https://www.lepas-sa.co.za/offers</t>
        </is>
      </c>
      <c r="R1562" s="115" t="n">
        <v>191.66</v>
      </c>
      <c r="S1562" s="116" t="n">
        <v>4006</v>
      </c>
      <c r="T1562" s="116" t="n">
        <v>3014</v>
      </c>
      <c r="U1562" s="117">
        <f>IFERROR(S1562/T1562,"")</f>
        <v/>
      </c>
      <c r="V1562" s="116" t="n">
        <v>34</v>
      </c>
      <c r="W1562" s="116" t="n">
        <v>25</v>
      </c>
      <c r="X1562" s="118">
        <f>IFERROR(W1562/S1562,"")</f>
        <v/>
      </c>
      <c r="Y1562" s="115">
        <f>IFERROR(R1562/W1562,"")</f>
        <v/>
      </c>
      <c r="Z1562" s="115">
        <f>IFERROR(R1562/S1562*1000,"")</f>
        <v/>
      </c>
      <c r="AA1562" s="116" t="n">
        <v>20</v>
      </c>
      <c r="AB1562" s="47">
        <f>IFERROR(AA1562/W1562,"")</f>
        <v/>
      </c>
      <c r="AC1562" s="116" t="n">
        <v>0</v>
      </c>
      <c r="AD1562" s="116" t="n">
        <v>0</v>
      </c>
      <c r="AE1562" s="116" t="n">
        <v>0</v>
      </c>
      <c r="AF1562" s="116" t="n">
        <v>0</v>
      </c>
      <c r="AG1562" s="116" t="n">
        <v>0</v>
      </c>
      <c r="AH1562" s="116" t="n">
        <v>0</v>
      </c>
      <c r="AI1562" s="47">
        <f>IFERROR(AC1562/S1562,"")</f>
        <v/>
      </c>
      <c r="AJ1562" s="47">
        <f>IFERROR(AH1562/S1562,"")</f>
        <v/>
      </c>
      <c r="AK1562" s="116" t="n">
        <v>82</v>
      </c>
      <c r="AL1562" s="116" t="n">
        <v>0</v>
      </c>
      <c r="AM1562" s="118">
        <f>IFERROR(AL1562/AA1562,"")</f>
        <v/>
      </c>
      <c r="AN1562" s="119">
        <f>IFERROR(R1562/AL1562,"")</f>
        <v/>
      </c>
      <c r="AO1562" s="116" t="n">
        <v>0</v>
      </c>
      <c r="AP1562" s="47">
        <f>IFERROR(AO1562/AL1562,"")</f>
        <v/>
      </c>
      <c r="AQ1562" s="119">
        <f>IFERROR(R1562/AO1562,"")</f>
        <v/>
      </c>
      <c r="AR1562" s="116" t="n">
        <v>0</v>
      </c>
      <c r="AS1562" s="116" t="n">
        <v>0</v>
      </c>
      <c r="AT1562" s="116">
        <f>AL1562+AR1562</f>
        <v/>
      </c>
      <c r="AU1562" s="119">
        <f>IFERROR(AO1562*Assumptions!$C$26*Assumptions!$C$27*INDEX(Assumptions!$C$18:$C$21,MATCH(H1562,Assumptions!$B$18:$B$21,0)),0)</f>
        <v/>
      </c>
    </row>
    <row r="1563">
      <c r="A1563" s="114" t="n">
        <v>46247</v>
      </c>
      <c r="B1563" s="42" t="inlineStr">
        <is>
          <t>Wk 33</t>
        </is>
      </c>
      <c r="C1563" s="42" t="inlineStr">
        <is>
          <t>Thu</t>
        </is>
      </c>
      <c r="D1563" s="42" t="inlineStr">
        <is>
          <t>X</t>
        </is>
      </c>
      <c r="E1563" s="42" t="inlineStr">
        <is>
          <t>X (Twitter)</t>
        </is>
      </c>
      <c r="F1563" s="42" t="inlineStr">
        <is>
          <t>LEP_ZA_AUG26_X_TD_RANGE_CONV</t>
        </is>
      </c>
      <c r="G1563" s="42" t="inlineStr">
        <is>
          <t>Website Conversions</t>
        </is>
      </c>
      <c r="H1563" s="42" t="inlineStr">
        <is>
          <t>Range</t>
        </is>
      </c>
      <c r="I1563" s="42" t="inlineStr">
        <is>
          <t>Range Offer</t>
        </is>
      </c>
      <c r="J1563" s="42" t="inlineStr">
        <is>
          <t>X_KEYWORD_CARBUY_ZA</t>
        </is>
      </c>
      <c r="K1563" s="42" t="inlineStr">
        <is>
          <t>Interest</t>
        </is>
      </c>
      <c r="L1563" s="42" t="inlineStr">
        <is>
          <t>X_STA_PricePoint_v1</t>
        </is>
      </c>
      <c r="M1563" s="42" t="inlineStr">
        <is>
          <t>Image Ad</t>
        </is>
      </c>
      <c r="N1563" s="42" t="inlineStr">
        <is>
          <t>From R3 599pm</t>
        </is>
      </c>
      <c r="O1563" s="42" t="inlineStr">
        <is>
          <t>Auction - Lowest Cost</t>
        </is>
      </c>
      <c r="P1563" s="42" t="inlineStr">
        <is>
          <t>Site Visit / Conversion</t>
        </is>
      </c>
      <c r="Q1563" s="42" t="inlineStr">
        <is>
          <t>https://www.lepas-sa.co.za/offers</t>
        </is>
      </c>
      <c r="R1563" s="115" t="n">
        <v>246.89</v>
      </c>
      <c r="S1563" s="116" t="n">
        <v>4549</v>
      </c>
      <c r="T1563" s="116" t="n">
        <v>3081</v>
      </c>
      <c r="U1563" s="117">
        <f>IFERROR(S1563/T1563,"")</f>
        <v/>
      </c>
      <c r="V1563" s="116" t="n">
        <v>37</v>
      </c>
      <c r="W1563" s="116" t="n">
        <v>28</v>
      </c>
      <c r="X1563" s="118">
        <f>IFERROR(W1563/S1563,"")</f>
        <v/>
      </c>
      <c r="Y1563" s="115">
        <f>IFERROR(R1563/W1563,"")</f>
        <v/>
      </c>
      <c r="Z1563" s="115">
        <f>IFERROR(R1563/S1563*1000,"")</f>
        <v/>
      </c>
      <c r="AA1563" s="116" t="n">
        <v>21</v>
      </c>
      <c r="AB1563" s="47">
        <f>IFERROR(AA1563/W1563,"")</f>
        <v/>
      </c>
      <c r="AC1563" s="116" t="n">
        <v>0</v>
      </c>
      <c r="AD1563" s="116" t="n">
        <v>0</v>
      </c>
      <c r="AE1563" s="116" t="n">
        <v>0</v>
      </c>
      <c r="AF1563" s="116" t="n">
        <v>0</v>
      </c>
      <c r="AG1563" s="116" t="n">
        <v>0</v>
      </c>
      <c r="AH1563" s="116" t="n">
        <v>0</v>
      </c>
      <c r="AI1563" s="47">
        <f>IFERROR(AC1563/S1563,"")</f>
        <v/>
      </c>
      <c r="AJ1563" s="47">
        <f>IFERROR(AH1563/S1563,"")</f>
        <v/>
      </c>
      <c r="AK1563" s="116" t="n">
        <v>120</v>
      </c>
      <c r="AL1563" s="116" t="n">
        <v>0</v>
      </c>
      <c r="AM1563" s="118">
        <f>IFERROR(AL1563/AA1563,"")</f>
        <v/>
      </c>
      <c r="AN1563" s="119">
        <f>IFERROR(R1563/AL1563,"")</f>
        <v/>
      </c>
      <c r="AO1563" s="116" t="n">
        <v>0</v>
      </c>
      <c r="AP1563" s="47">
        <f>IFERROR(AO1563/AL1563,"")</f>
        <v/>
      </c>
      <c r="AQ1563" s="119">
        <f>IFERROR(R1563/AO1563,"")</f>
        <v/>
      </c>
      <c r="AR1563" s="116" t="n">
        <v>0</v>
      </c>
      <c r="AS1563" s="116" t="n">
        <v>0</v>
      </c>
      <c r="AT1563" s="116">
        <f>AL1563+AR1563</f>
        <v/>
      </c>
      <c r="AU1563" s="119">
        <f>IFERROR(AO1563*Assumptions!$C$26*Assumptions!$C$27*INDEX(Assumptions!$C$18:$C$21,MATCH(H1563,Assumptions!$B$18:$B$21,0)),0)</f>
        <v/>
      </c>
    </row>
    <row r="1564">
      <c r="A1564" s="114" t="n">
        <v>46248</v>
      </c>
      <c r="B1564" s="42" t="inlineStr">
        <is>
          <t>Wk 33</t>
        </is>
      </c>
      <c r="C1564" s="42" t="inlineStr">
        <is>
          <t>Fri</t>
        </is>
      </c>
      <c r="D1564" s="42" t="inlineStr">
        <is>
          <t>X</t>
        </is>
      </c>
      <c r="E1564" s="42" t="inlineStr">
        <is>
          <t>X (Twitter)</t>
        </is>
      </c>
      <c r="F1564" s="42" t="inlineStr">
        <is>
          <t>LEP_ZA_AUG26_X_TD_RANGE_CONV</t>
        </is>
      </c>
      <c r="G1564" s="42" t="inlineStr">
        <is>
          <t>Website Conversions</t>
        </is>
      </c>
      <c r="H1564" s="42" t="inlineStr">
        <is>
          <t>Range</t>
        </is>
      </c>
      <c r="I1564" s="42" t="inlineStr">
        <is>
          <t>Range Offer</t>
        </is>
      </c>
      <c r="J1564" s="42" t="inlineStr">
        <is>
          <t>X_KEYWORD_CARBUY_ZA</t>
        </is>
      </c>
      <c r="K1564" s="42" t="inlineStr">
        <is>
          <t>Interest</t>
        </is>
      </c>
      <c r="L1564" s="42" t="inlineStr">
        <is>
          <t>X_STA_PricePoint_v1</t>
        </is>
      </c>
      <c r="M1564" s="42" t="inlineStr">
        <is>
          <t>Image Ad</t>
        </is>
      </c>
      <c r="N1564" s="42" t="inlineStr">
        <is>
          <t>From R3 599pm</t>
        </is>
      </c>
      <c r="O1564" s="42" t="inlineStr">
        <is>
          <t>Auction - Lowest Cost</t>
        </is>
      </c>
      <c r="P1564" s="42" t="inlineStr">
        <is>
          <t>Site Visit / Conversion</t>
        </is>
      </c>
      <c r="Q1564" s="42" t="inlineStr">
        <is>
          <t>https://www.lepas-sa.co.za/offers</t>
        </is>
      </c>
      <c r="R1564" s="115" t="n">
        <v>251.06</v>
      </c>
      <c r="S1564" s="116" t="n">
        <v>3860</v>
      </c>
      <c r="T1564" s="116" t="n">
        <v>2357</v>
      </c>
      <c r="U1564" s="117">
        <f>IFERROR(S1564/T1564,"")</f>
        <v/>
      </c>
      <c r="V1564" s="116" t="n">
        <v>37</v>
      </c>
      <c r="W1564" s="116" t="n">
        <v>30</v>
      </c>
      <c r="X1564" s="118">
        <f>IFERROR(W1564/S1564,"")</f>
        <v/>
      </c>
      <c r="Y1564" s="115">
        <f>IFERROR(R1564/W1564,"")</f>
        <v/>
      </c>
      <c r="Z1564" s="115">
        <f>IFERROR(R1564/S1564*1000,"")</f>
        <v/>
      </c>
      <c r="AA1564" s="116" t="n">
        <v>22</v>
      </c>
      <c r="AB1564" s="47">
        <f>IFERROR(AA1564/W1564,"")</f>
        <v/>
      </c>
      <c r="AC1564" s="116" t="n">
        <v>0</v>
      </c>
      <c r="AD1564" s="116" t="n">
        <v>0</v>
      </c>
      <c r="AE1564" s="116" t="n">
        <v>0</v>
      </c>
      <c r="AF1564" s="116" t="n">
        <v>0</v>
      </c>
      <c r="AG1564" s="116" t="n">
        <v>0</v>
      </c>
      <c r="AH1564" s="116" t="n">
        <v>0</v>
      </c>
      <c r="AI1564" s="47">
        <f>IFERROR(AC1564/S1564,"")</f>
        <v/>
      </c>
      <c r="AJ1564" s="47">
        <f>IFERROR(AH1564/S1564,"")</f>
        <v/>
      </c>
      <c r="AK1564" s="116" t="n">
        <v>44</v>
      </c>
      <c r="AL1564" s="116" t="n">
        <v>1</v>
      </c>
      <c r="AM1564" s="118">
        <f>IFERROR(AL1564/AA1564,"")</f>
        <v/>
      </c>
      <c r="AN1564" s="119">
        <f>IFERROR(R1564/AL1564,"")</f>
        <v/>
      </c>
      <c r="AO1564" s="116" t="n">
        <v>1</v>
      </c>
      <c r="AP1564" s="47">
        <f>IFERROR(AO1564/AL1564,"")</f>
        <v/>
      </c>
      <c r="AQ1564" s="119">
        <f>IFERROR(R1564/AO1564,"")</f>
        <v/>
      </c>
      <c r="AR1564" s="116" t="n">
        <v>0</v>
      </c>
      <c r="AS1564" s="116" t="n">
        <v>0</v>
      </c>
      <c r="AT1564" s="116">
        <f>AL1564+AR1564</f>
        <v/>
      </c>
      <c r="AU1564" s="119">
        <f>IFERROR(AO1564*Assumptions!$C$26*Assumptions!$C$27*INDEX(Assumptions!$C$18:$C$21,MATCH(H1564,Assumptions!$B$18:$B$21,0)),0)</f>
        <v/>
      </c>
    </row>
    <row r="1565">
      <c r="A1565" s="114" t="n">
        <v>46249</v>
      </c>
      <c r="B1565" s="42" t="inlineStr">
        <is>
          <t>Wk 33</t>
        </is>
      </c>
      <c r="C1565" s="42" t="inlineStr">
        <is>
          <t>Sat</t>
        </is>
      </c>
      <c r="D1565" s="42" t="inlineStr">
        <is>
          <t>X</t>
        </is>
      </c>
      <c r="E1565" s="42" t="inlineStr">
        <is>
          <t>X (Twitter)</t>
        </is>
      </c>
      <c r="F1565" s="42" t="inlineStr">
        <is>
          <t>LEP_ZA_AUG26_X_TD_RANGE_CONV</t>
        </is>
      </c>
      <c r="G1565" s="42" t="inlineStr">
        <is>
          <t>Website Conversions</t>
        </is>
      </c>
      <c r="H1565" s="42" t="inlineStr">
        <is>
          <t>Range</t>
        </is>
      </c>
      <c r="I1565" s="42" t="inlineStr">
        <is>
          <t>Range Offer</t>
        </is>
      </c>
      <c r="J1565" s="42" t="inlineStr">
        <is>
          <t>X_KEYWORD_CARBUY_ZA</t>
        </is>
      </c>
      <c r="K1565" s="42" t="inlineStr">
        <is>
          <t>Interest</t>
        </is>
      </c>
      <c r="L1565" s="42" t="inlineStr">
        <is>
          <t>X_STA_PricePoint_v1</t>
        </is>
      </c>
      <c r="M1565" s="42" t="inlineStr">
        <is>
          <t>Image Ad</t>
        </is>
      </c>
      <c r="N1565" s="42" t="inlineStr">
        <is>
          <t>From R3 599pm</t>
        </is>
      </c>
      <c r="O1565" s="42" t="inlineStr">
        <is>
          <t>Auction - Lowest Cost</t>
        </is>
      </c>
      <c r="P1565" s="42" t="inlineStr">
        <is>
          <t>Site Visit / Conversion</t>
        </is>
      </c>
      <c r="Q1565" s="42" t="inlineStr">
        <is>
          <t>https://www.lepas-sa.co.za/offers</t>
        </is>
      </c>
      <c r="R1565" s="115" t="n">
        <v>217.64</v>
      </c>
      <c r="S1565" s="116" t="n">
        <v>4237</v>
      </c>
      <c r="T1565" s="116" t="n">
        <v>2788</v>
      </c>
      <c r="U1565" s="117">
        <f>IFERROR(S1565/T1565,"")</f>
        <v/>
      </c>
      <c r="V1565" s="116" t="n">
        <v>28</v>
      </c>
      <c r="W1565" s="116" t="n">
        <v>21</v>
      </c>
      <c r="X1565" s="118">
        <f>IFERROR(W1565/S1565,"")</f>
        <v/>
      </c>
      <c r="Y1565" s="115">
        <f>IFERROR(R1565/W1565,"")</f>
        <v/>
      </c>
      <c r="Z1565" s="115">
        <f>IFERROR(R1565/S1565*1000,"")</f>
        <v/>
      </c>
      <c r="AA1565" s="116" t="n">
        <v>17</v>
      </c>
      <c r="AB1565" s="47">
        <f>IFERROR(AA1565/W1565,"")</f>
        <v/>
      </c>
      <c r="AC1565" s="116" t="n">
        <v>0</v>
      </c>
      <c r="AD1565" s="116" t="n">
        <v>0</v>
      </c>
      <c r="AE1565" s="116" t="n">
        <v>0</v>
      </c>
      <c r="AF1565" s="116" t="n">
        <v>0</v>
      </c>
      <c r="AG1565" s="116" t="n">
        <v>0</v>
      </c>
      <c r="AH1565" s="116" t="n">
        <v>0</v>
      </c>
      <c r="AI1565" s="47">
        <f>IFERROR(AC1565/S1565,"")</f>
        <v/>
      </c>
      <c r="AJ1565" s="47">
        <f>IFERROR(AH1565/S1565,"")</f>
        <v/>
      </c>
      <c r="AK1565" s="116" t="n">
        <v>65</v>
      </c>
      <c r="AL1565" s="116" t="n">
        <v>0</v>
      </c>
      <c r="AM1565" s="118">
        <f>IFERROR(AL1565/AA1565,"")</f>
        <v/>
      </c>
      <c r="AN1565" s="119">
        <f>IFERROR(R1565/AL1565,"")</f>
        <v/>
      </c>
      <c r="AO1565" s="116" t="n">
        <v>0</v>
      </c>
      <c r="AP1565" s="47">
        <f>IFERROR(AO1565/AL1565,"")</f>
        <v/>
      </c>
      <c r="AQ1565" s="119">
        <f>IFERROR(R1565/AO1565,"")</f>
        <v/>
      </c>
      <c r="AR1565" s="116" t="n">
        <v>0</v>
      </c>
      <c r="AS1565" s="116" t="n">
        <v>0</v>
      </c>
      <c r="AT1565" s="116">
        <f>AL1565+AR1565</f>
        <v/>
      </c>
      <c r="AU1565" s="119">
        <f>IFERROR(AO1565*Assumptions!$C$26*Assumptions!$C$27*INDEX(Assumptions!$C$18:$C$21,MATCH(H1565,Assumptions!$B$18:$B$21,0)),0)</f>
        <v/>
      </c>
    </row>
    <row r="1566">
      <c r="A1566" s="114" t="n">
        <v>46250</v>
      </c>
      <c r="B1566" s="42" t="inlineStr">
        <is>
          <t>Wk 33</t>
        </is>
      </c>
      <c r="C1566" s="42" t="inlineStr">
        <is>
          <t>Sun</t>
        </is>
      </c>
      <c r="D1566" s="42" t="inlineStr">
        <is>
          <t>X</t>
        </is>
      </c>
      <c r="E1566" s="42" t="inlineStr">
        <is>
          <t>X (Twitter)</t>
        </is>
      </c>
      <c r="F1566" s="42" t="inlineStr">
        <is>
          <t>LEP_ZA_AUG26_X_TD_RANGE_CONV</t>
        </is>
      </c>
      <c r="G1566" s="42" t="inlineStr">
        <is>
          <t>Website Conversions</t>
        </is>
      </c>
      <c r="H1566" s="42" t="inlineStr">
        <is>
          <t>Range</t>
        </is>
      </c>
      <c r="I1566" s="42" t="inlineStr">
        <is>
          <t>Range Offer</t>
        </is>
      </c>
      <c r="J1566" s="42" t="inlineStr">
        <is>
          <t>X_KEYWORD_CARBUY_ZA</t>
        </is>
      </c>
      <c r="K1566" s="42" t="inlineStr">
        <is>
          <t>Interest</t>
        </is>
      </c>
      <c r="L1566" s="42" t="inlineStr">
        <is>
          <t>X_STA_PricePoint_v1</t>
        </is>
      </c>
      <c r="M1566" s="42" t="inlineStr">
        <is>
          <t>Image Ad</t>
        </is>
      </c>
      <c r="N1566" s="42" t="inlineStr">
        <is>
          <t>From R3 599pm</t>
        </is>
      </c>
      <c r="O1566" s="42" t="inlineStr">
        <is>
          <t>Auction - Lowest Cost</t>
        </is>
      </c>
      <c r="P1566" s="42" t="inlineStr">
        <is>
          <t>Site Visit / Conversion</t>
        </is>
      </c>
      <c r="Q1566" s="42" t="inlineStr">
        <is>
          <t>https://www.lepas-sa.co.za/offers</t>
        </is>
      </c>
      <c r="R1566" s="115" t="n">
        <v>177.31</v>
      </c>
      <c r="S1566" s="116" t="n">
        <v>4284</v>
      </c>
      <c r="T1566" s="116" t="n">
        <v>2449</v>
      </c>
      <c r="U1566" s="117">
        <f>IFERROR(S1566/T1566,"")</f>
        <v/>
      </c>
      <c r="V1566" s="116" t="n">
        <v>24</v>
      </c>
      <c r="W1566" s="116" t="n">
        <v>19</v>
      </c>
      <c r="X1566" s="118">
        <f>IFERROR(W1566/S1566,"")</f>
        <v/>
      </c>
      <c r="Y1566" s="115">
        <f>IFERROR(R1566/W1566,"")</f>
        <v/>
      </c>
      <c r="Z1566" s="115">
        <f>IFERROR(R1566/S1566*1000,"")</f>
        <v/>
      </c>
      <c r="AA1566" s="116" t="n">
        <v>15</v>
      </c>
      <c r="AB1566" s="47">
        <f>IFERROR(AA1566/W1566,"")</f>
        <v/>
      </c>
      <c r="AC1566" s="116" t="n">
        <v>0</v>
      </c>
      <c r="AD1566" s="116" t="n">
        <v>0</v>
      </c>
      <c r="AE1566" s="116" t="n">
        <v>0</v>
      </c>
      <c r="AF1566" s="116" t="n">
        <v>0</v>
      </c>
      <c r="AG1566" s="116" t="n">
        <v>0</v>
      </c>
      <c r="AH1566" s="116" t="n">
        <v>0</v>
      </c>
      <c r="AI1566" s="47">
        <f>IFERROR(AC1566/S1566,"")</f>
        <v/>
      </c>
      <c r="AJ1566" s="47">
        <f>IFERROR(AH1566/S1566,"")</f>
        <v/>
      </c>
      <c r="AK1566" s="116" t="n">
        <v>41</v>
      </c>
      <c r="AL1566" s="116" t="n">
        <v>0</v>
      </c>
      <c r="AM1566" s="118">
        <f>IFERROR(AL1566/AA1566,"")</f>
        <v/>
      </c>
      <c r="AN1566" s="119">
        <f>IFERROR(R1566/AL1566,"")</f>
        <v/>
      </c>
      <c r="AO1566" s="116" t="n">
        <v>0</v>
      </c>
      <c r="AP1566" s="47">
        <f>IFERROR(AO1566/AL1566,"")</f>
        <v/>
      </c>
      <c r="AQ1566" s="119">
        <f>IFERROR(R1566/AO1566,"")</f>
        <v/>
      </c>
      <c r="AR1566" s="116" t="n">
        <v>0</v>
      </c>
      <c r="AS1566" s="116" t="n">
        <v>0</v>
      </c>
      <c r="AT1566" s="116">
        <f>AL1566+AR1566</f>
        <v/>
      </c>
      <c r="AU1566" s="119">
        <f>IFERROR(AO1566*Assumptions!$C$26*Assumptions!$C$27*INDEX(Assumptions!$C$18:$C$21,MATCH(H1566,Assumptions!$B$18:$B$21,0)),0)</f>
        <v/>
      </c>
    </row>
    <row r="1567">
      <c r="A1567" s="114" t="n">
        <v>46251</v>
      </c>
      <c r="B1567" s="42" t="inlineStr">
        <is>
          <t>Wk 34</t>
        </is>
      </c>
      <c r="C1567" s="42" t="inlineStr">
        <is>
          <t>Mon</t>
        </is>
      </c>
      <c r="D1567" s="42" t="inlineStr">
        <is>
          <t>X</t>
        </is>
      </c>
      <c r="E1567" s="42" t="inlineStr">
        <is>
          <t>X (Twitter)</t>
        </is>
      </c>
      <c r="F1567" s="42" t="inlineStr">
        <is>
          <t>LEP_ZA_AUG26_X_TD_RANGE_CONV</t>
        </is>
      </c>
      <c r="G1567" s="42" t="inlineStr">
        <is>
          <t>Website Conversions</t>
        </is>
      </c>
      <c r="H1567" s="42" t="inlineStr">
        <is>
          <t>Range</t>
        </is>
      </c>
      <c r="I1567" s="42" t="inlineStr">
        <is>
          <t>Range Offer</t>
        </is>
      </c>
      <c r="J1567" s="42" t="inlineStr">
        <is>
          <t>X_KEYWORD_CARBUY_ZA</t>
        </is>
      </c>
      <c r="K1567" s="42" t="inlineStr">
        <is>
          <t>Interest</t>
        </is>
      </c>
      <c r="L1567" s="42" t="inlineStr">
        <is>
          <t>X_STA_PricePoint_v1</t>
        </is>
      </c>
      <c r="M1567" s="42" t="inlineStr">
        <is>
          <t>Image Ad</t>
        </is>
      </c>
      <c r="N1567" s="42" t="inlineStr">
        <is>
          <t>From R3 599pm</t>
        </is>
      </c>
      <c r="O1567" s="42" t="inlineStr">
        <is>
          <t>Auction - Lowest Cost</t>
        </is>
      </c>
      <c r="P1567" s="42" t="inlineStr">
        <is>
          <t>Site Visit / Conversion</t>
        </is>
      </c>
      <c r="Q1567" s="42" t="inlineStr">
        <is>
          <t>https://www.lepas-sa.co.za/offers</t>
        </is>
      </c>
      <c r="R1567" s="115" t="n">
        <v>211.46</v>
      </c>
      <c r="S1567" s="116" t="n">
        <v>3787</v>
      </c>
      <c r="T1567" s="116" t="n">
        <v>2280</v>
      </c>
      <c r="U1567" s="117">
        <f>IFERROR(S1567/T1567,"")</f>
        <v/>
      </c>
      <c r="V1567" s="116" t="n">
        <v>22</v>
      </c>
      <c r="W1567" s="116" t="n">
        <v>17</v>
      </c>
      <c r="X1567" s="118">
        <f>IFERROR(W1567/S1567,"")</f>
        <v/>
      </c>
      <c r="Y1567" s="115">
        <f>IFERROR(R1567/W1567,"")</f>
        <v/>
      </c>
      <c r="Z1567" s="115">
        <f>IFERROR(R1567/S1567*1000,"")</f>
        <v/>
      </c>
      <c r="AA1567" s="116" t="n">
        <v>13</v>
      </c>
      <c r="AB1567" s="47">
        <f>IFERROR(AA1567/W1567,"")</f>
        <v/>
      </c>
      <c r="AC1567" s="116" t="n">
        <v>0</v>
      </c>
      <c r="AD1567" s="116" t="n">
        <v>0</v>
      </c>
      <c r="AE1567" s="116" t="n">
        <v>0</v>
      </c>
      <c r="AF1567" s="116" t="n">
        <v>0</v>
      </c>
      <c r="AG1567" s="116" t="n">
        <v>0</v>
      </c>
      <c r="AH1567" s="116" t="n">
        <v>0</v>
      </c>
      <c r="AI1567" s="47">
        <f>IFERROR(AC1567/S1567,"")</f>
        <v/>
      </c>
      <c r="AJ1567" s="47">
        <f>IFERROR(AH1567/S1567,"")</f>
        <v/>
      </c>
      <c r="AK1567" s="116" t="n">
        <v>89</v>
      </c>
      <c r="AL1567" s="116" t="n">
        <v>0</v>
      </c>
      <c r="AM1567" s="118">
        <f>IFERROR(AL1567/AA1567,"")</f>
        <v/>
      </c>
      <c r="AN1567" s="119">
        <f>IFERROR(R1567/AL1567,"")</f>
        <v/>
      </c>
      <c r="AO1567" s="116" t="n">
        <v>0</v>
      </c>
      <c r="AP1567" s="47">
        <f>IFERROR(AO1567/AL1567,"")</f>
        <v/>
      </c>
      <c r="AQ1567" s="119">
        <f>IFERROR(R1567/AO1567,"")</f>
        <v/>
      </c>
      <c r="AR1567" s="116" t="n">
        <v>0</v>
      </c>
      <c r="AS1567" s="116" t="n">
        <v>0</v>
      </c>
      <c r="AT1567" s="116">
        <f>AL1567+AR1567</f>
        <v/>
      </c>
      <c r="AU1567" s="119">
        <f>IFERROR(AO1567*Assumptions!$C$26*Assumptions!$C$27*INDEX(Assumptions!$C$18:$C$21,MATCH(H1567,Assumptions!$B$18:$B$21,0)),0)</f>
        <v/>
      </c>
    </row>
    <row r="1568">
      <c r="A1568" s="114" t="n">
        <v>46252</v>
      </c>
      <c r="B1568" s="42" t="inlineStr">
        <is>
          <t>Wk 34</t>
        </is>
      </c>
      <c r="C1568" s="42" t="inlineStr">
        <is>
          <t>Tue</t>
        </is>
      </c>
      <c r="D1568" s="42" t="inlineStr">
        <is>
          <t>X</t>
        </is>
      </c>
      <c r="E1568" s="42" t="inlineStr">
        <is>
          <t>X (Twitter)</t>
        </is>
      </c>
      <c r="F1568" s="42" t="inlineStr">
        <is>
          <t>LEP_ZA_AUG26_X_TD_RANGE_CONV</t>
        </is>
      </c>
      <c r="G1568" s="42" t="inlineStr">
        <is>
          <t>Website Conversions</t>
        </is>
      </c>
      <c r="H1568" s="42" t="inlineStr">
        <is>
          <t>Range</t>
        </is>
      </c>
      <c r="I1568" s="42" t="inlineStr">
        <is>
          <t>Range Offer</t>
        </is>
      </c>
      <c r="J1568" s="42" t="inlineStr">
        <is>
          <t>X_KEYWORD_CARBUY_ZA</t>
        </is>
      </c>
      <c r="K1568" s="42" t="inlineStr">
        <is>
          <t>Interest</t>
        </is>
      </c>
      <c r="L1568" s="42" t="inlineStr">
        <is>
          <t>X_STA_PricePoint_v1</t>
        </is>
      </c>
      <c r="M1568" s="42" t="inlineStr">
        <is>
          <t>Image Ad</t>
        </is>
      </c>
      <c r="N1568" s="42" t="inlineStr">
        <is>
          <t>From R3 599pm</t>
        </is>
      </c>
      <c r="O1568" s="42" t="inlineStr">
        <is>
          <t>Auction - Lowest Cost</t>
        </is>
      </c>
      <c r="P1568" s="42" t="inlineStr">
        <is>
          <t>Site Visit / Conversion</t>
        </is>
      </c>
      <c r="Q1568" s="42" t="inlineStr">
        <is>
          <t>https://www.lepas-sa.co.za/offers</t>
        </is>
      </c>
      <c r="R1568" s="115" t="n">
        <v>185.82</v>
      </c>
      <c r="S1568" s="116" t="n">
        <v>3922</v>
      </c>
      <c r="T1568" s="116" t="n">
        <v>2795</v>
      </c>
      <c r="U1568" s="117">
        <f>IFERROR(S1568/T1568,"")</f>
        <v/>
      </c>
      <c r="V1568" s="116" t="n">
        <v>38</v>
      </c>
      <c r="W1568" s="116" t="n">
        <v>27</v>
      </c>
      <c r="X1568" s="118">
        <f>IFERROR(W1568/S1568,"")</f>
        <v/>
      </c>
      <c r="Y1568" s="115">
        <f>IFERROR(R1568/W1568,"")</f>
        <v/>
      </c>
      <c r="Z1568" s="115">
        <f>IFERROR(R1568/S1568*1000,"")</f>
        <v/>
      </c>
      <c r="AA1568" s="116" t="n">
        <v>21</v>
      </c>
      <c r="AB1568" s="47">
        <f>IFERROR(AA1568/W1568,"")</f>
        <v/>
      </c>
      <c r="AC1568" s="116" t="n">
        <v>0</v>
      </c>
      <c r="AD1568" s="116" t="n">
        <v>0</v>
      </c>
      <c r="AE1568" s="116" t="n">
        <v>0</v>
      </c>
      <c r="AF1568" s="116" t="n">
        <v>0</v>
      </c>
      <c r="AG1568" s="116" t="n">
        <v>0</v>
      </c>
      <c r="AH1568" s="116" t="n">
        <v>0</v>
      </c>
      <c r="AI1568" s="47">
        <f>IFERROR(AC1568/S1568,"")</f>
        <v/>
      </c>
      <c r="AJ1568" s="47">
        <f>IFERROR(AH1568/S1568,"")</f>
        <v/>
      </c>
      <c r="AK1568" s="116" t="n">
        <v>43</v>
      </c>
      <c r="AL1568" s="116" t="n">
        <v>0</v>
      </c>
      <c r="AM1568" s="118">
        <f>IFERROR(AL1568/AA1568,"")</f>
        <v/>
      </c>
      <c r="AN1568" s="119">
        <f>IFERROR(R1568/AL1568,"")</f>
        <v/>
      </c>
      <c r="AO1568" s="116" t="n">
        <v>0</v>
      </c>
      <c r="AP1568" s="47">
        <f>IFERROR(AO1568/AL1568,"")</f>
        <v/>
      </c>
      <c r="AQ1568" s="119">
        <f>IFERROR(R1568/AO1568,"")</f>
        <v/>
      </c>
      <c r="AR1568" s="116" t="n">
        <v>0</v>
      </c>
      <c r="AS1568" s="116" t="n">
        <v>0</v>
      </c>
      <c r="AT1568" s="116">
        <f>AL1568+AR1568</f>
        <v/>
      </c>
      <c r="AU1568" s="119">
        <f>IFERROR(AO1568*Assumptions!$C$26*Assumptions!$C$27*INDEX(Assumptions!$C$18:$C$21,MATCH(H1568,Assumptions!$B$18:$B$21,0)),0)</f>
        <v/>
      </c>
    </row>
    <row r="1569">
      <c r="A1569" s="114" t="n">
        <v>46253</v>
      </c>
      <c r="B1569" s="42" t="inlineStr">
        <is>
          <t>Wk 34</t>
        </is>
      </c>
      <c r="C1569" s="42" t="inlineStr">
        <is>
          <t>Wed</t>
        </is>
      </c>
      <c r="D1569" s="42" t="inlineStr">
        <is>
          <t>X</t>
        </is>
      </c>
      <c r="E1569" s="42" t="inlineStr">
        <is>
          <t>X (Twitter)</t>
        </is>
      </c>
      <c r="F1569" s="42" t="inlineStr">
        <is>
          <t>LEP_ZA_AUG26_X_TD_RANGE_CONV</t>
        </is>
      </c>
      <c r="G1569" s="42" t="inlineStr">
        <is>
          <t>Website Conversions</t>
        </is>
      </c>
      <c r="H1569" s="42" t="inlineStr">
        <is>
          <t>Range</t>
        </is>
      </c>
      <c r="I1569" s="42" t="inlineStr">
        <is>
          <t>Range Offer</t>
        </is>
      </c>
      <c r="J1569" s="42" t="inlineStr">
        <is>
          <t>X_KEYWORD_CARBUY_ZA</t>
        </is>
      </c>
      <c r="K1569" s="42" t="inlineStr">
        <is>
          <t>Interest</t>
        </is>
      </c>
      <c r="L1569" s="42" t="inlineStr">
        <is>
          <t>X_STA_PricePoint_v1</t>
        </is>
      </c>
      <c r="M1569" s="42" t="inlineStr">
        <is>
          <t>Image Ad</t>
        </is>
      </c>
      <c r="N1569" s="42" t="inlineStr">
        <is>
          <t>From R3 599pm</t>
        </is>
      </c>
      <c r="O1569" s="42" t="inlineStr">
        <is>
          <t>Auction - Lowest Cost</t>
        </is>
      </c>
      <c r="P1569" s="42" t="inlineStr">
        <is>
          <t>Site Visit / Conversion</t>
        </is>
      </c>
      <c r="Q1569" s="42" t="inlineStr">
        <is>
          <t>https://www.lepas-sa.co.za/offers</t>
        </is>
      </c>
      <c r="R1569" s="115" t="n">
        <v>250.11</v>
      </c>
      <c r="S1569" s="116" t="n">
        <v>3724</v>
      </c>
      <c r="T1569" s="116" t="n">
        <v>2609</v>
      </c>
      <c r="U1569" s="117">
        <f>IFERROR(S1569/T1569,"")</f>
        <v/>
      </c>
      <c r="V1569" s="116" t="n">
        <v>26</v>
      </c>
      <c r="W1569" s="116" t="n">
        <v>19</v>
      </c>
      <c r="X1569" s="118">
        <f>IFERROR(W1569/S1569,"")</f>
        <v/>
      </c>
      <c r="Y1569" s="115">
        <f>IFERROR(R1569/W1569,"")</f>
        <v/>
      </c>
      <c r="Z1569" s="115">
        <f>IFERROR(R1569/S1569*1000,"")</f>
        <v/>
      </c>
      <c r="AA1569" s="116" t="n">
        <v>15</v>
      </c>
      <c r="AB1569" s="47">
        <f>IFERROR(AA1569/W1569,"")</f>
        <v/>
      </c>
      <c r="AC1569" s="116" t="n">
        <v>0</v>
      </c>
      <c r="AD1569" s="116" t="n">
        <v>0</v>
      </c>
      <c r="AE1569" s="116" t="n">
        <v>0</v>
      </c>
      <c r="AF1569" s="116" t="n">
        <v>0</v>
      </c>
      <c r="AG1569" s="116" t="n">
        <v>0</v>
      </c>
      <c r="AH1569" s="116" t="n">
        <v>0</v>
      </c>
      <c r="AI1569" s="47">
        <f>IFERROR(AC1569/S1569,"")</f>
        <v/>
      </c>
      <c r="AJ1569" s="47">
        <f>IFERROR(AH1569/S1569,"")</f>
        <v/>
      </c>
      <c r="AK1569" s="116" t="n">
        <v>62</v>
      </c>
      <c r="AL1569" s="116" t="n">
        <v>1</v>
      </c>
      <c r="AM1569" s="118">
        <f>IFERROR(AL1569/AA1569,"")</f>
        <v/>
      </c>
      <c r="AN1569" s="119">
        <f>IFERROR(R1569/AL1569,"")</f>
        <v/>
      </c>
      <c r="AO1569" s="116" t="n">
        <v>1</v>
      </c>
      <c r="AP1569" s="47">
        <f>IFERROR(AO1569/AL1569,"")</f>
        <v/>
      </c>
      <c r="AQ1569" s="119">
        <f>IFERROR(R1569/AO1569,"")</f>
        <v/>
      </c>
      <c r="AR1569" s="116" t="n">
        <v>0</v>
      </c>
      <c r="AS1569" s="116" t="n">
        <v>0</v>
      </c>
      <c r="AT1569" s="116">
        <f>AL1569+AR1569</f>
        <v/>
      </c>
      <c r="AU1569" s="119">
        <f>IFERROR(AO1569*Assumptions!$C$26*Assumptions!$C$27*INDEX(Assumptions!$C$18:$C$21,MATCH(H1569,Assumptions!$B$18:$B$21,0)),0)</f>
        <v/>
      </c>
    </row>
    <row r="1570">
      <c r="A1570" s="114" t="n">
        <v>46254</v>
      </c>
      <c r="B1570" s="42" t="inlineStr">
        <is>
          <t>Wk 34</t>
        </is>
      </c>
      <c r="C1570" s="42" t="inlineStr">
        <is>
          <t>Thu</t>
        </is>
      </c>
      <c r="D1570" s="42" t="inlineStr">
        <is>
          <t>X</t>
        </is>
      </c>
      <c r="E1570" s="42" t="inlineStr">
        <is>
          <t>X (Twitter)</t>
        </is>
      </c>
      <c r="F1570" s="42" t="inlineStr">
        <is>
          <t>LEP_ZA_AUG26_X_TD_RANGE_CONV</t>
        </is>
      </c>
      <c r="G1570" s="42" t="inlineStr">
        <is>
          <t>Website Conversions</t>
        </is>
      </c>
      <c r="H1570" s="42" t="inlineStr">
        <is>
          <t>Range</t>
        </is>
      </c>
      <c r="I1570" s="42" t="inlineStr">
        <is>
          <t>Range Offer</t>
        </is>
      </c>
      <c r="J1570" s="42" t="inlineStr">
        <is>
          <t>X_KEYWORD_CARBUY_ZA</t>
        </is>
      </c>
      <c r="K1570" s="42" t="inlineStr">
        <is>
          <t>Interest</t>
        </is>
      </c>
      <c r="L1570" s="42" t="inlineStr">
        <is>
          <t>X_STA_PricePoint_v1</t>
        </is>
      </c>
      <c r="M1570" s="42" t="inlineStr">
        <is>
          <t>Image Ad</t>
        </is>
      </c>
      <c r="N1570" s="42" t="inlineStr">
        <is>
          <t>From R3 599pm</t>
        </is>
      </c>
      <c r="O1570" s="42" t="inlineStr">
        <is>
          <t>Auction - Lowest Cost</t>
        </is>
      </c>
      <c r="P1570" s="42" t="inlineStr">
        <is>
          <t>Site Visit / Conversion</t>
        </is>
      </c>
      <c r="Q1570" s="42" t="inlineStr">
        <is>
          <t>https://www.lepas-sa.co.za/offers</t>
        </is>
      </c>
      <c r="R1570" s="115" t="n">
        <v>266.24</v>
      </c>
      <c r="S1570" s="116" t="n">
        <v>4646</v>
      </c>
      <c r="T1570" s="116" t="n">
        <v>2698</v>
      </c>
      <c r="U1570" s="117">
        <f>IFERROR(S1570/T1570,"")</f>
        <v/>
      </c>
      <c r="V1570" s="116" t="n">
        <v>35</v>
      </c>
      <c r="W1570" s="116" t="n">
        <v>27</v>
      </c>
      <c r="X1570" s="118">
        <f>IFERROR(W1570/S1570,"")</f>
        <v/>
      </c>
      <c r="Y1570" s="115">
        <f>IFERROR(R1570/W1570,"")</f>
        <v/>
      </c>
      <c r="Z1570" s="115">
        <f>IFERROR(R1570/S1570*1000,"")</f>
        <v/>
      </c>
      <c r="AA1570" s="116" t="n">
        <v>19</v>
      </c>
      <c r="AB1570" s="47">
        <f>IFERROR(AA1570/W1570,"")</f>
        <v/>
      </c>
      <c r="AC1570" s="116" t="n">
        <v>0</v>
      </c>
      <c r="AD1570" s="116" t="n">
        <v>0</v>
      </c>
      <c r="AE1570" s="116" t="n">
        <v>0</v>
      </c>
      <c r="AF1570" s="116" t="n">
        <v>0</v>
      </c>
      <c r="AG1570" s="116" t="n">
        <v>0</v>
      </c>
      <c r="AH1570" s="116" t="n">
        <v>0</v>
      </c>
      <c r="AI1570" s="47">
        <f>IFERROR(AC1570/S1570,"")</f>
        <v/>
      </c>
      <c r="AJ1570" s="47">
        <f>IFERROR(AH1570/S1570,"")</f>
        <v/>
      </c>
      <c r="AK1570" s="116" t="n">
        <v>58</v>
      </c>
      <c r="AL1570" s="116" t="n">
        <v>0</v>
      </c>
      <c r="AM1570" s="118">
        <f>IFERROR(AL1570/AA1570,"")</f>
        <v/>
      </c>
      <c r="AN1570" s="119">
        <f>IFERROR(R1570/AL1570,"")</f>
        <v/>
      </c>
      <c r="AO1570" s="116" t="n">
        <v>0</v>
      </c>
      <c r="AP1570" s="47">
        <f>IFERROR(AO1570/AL1570,"")</f>
        <v/>
      </c>
      <c r="AQ1570" s="119">
        <f>IFERROR(R1570/AO1570,"")</f>
        <v/>
      </c>
      <c r="AR1570" s="116" t="n">
        <v>0</v>
      </c>
      <c r="AS1570" s="116" t="n">
        <v>0</v>
      </c>
      <c r="AT1570" s="116">
        <f>AL1570+AR1570</f>
        <v/>
      </c>
      <c r="AU1570" s="119">
        <f>IFERROR(AO1570*Assumptions!$C$26*Assumptions!$C$27*INDEX(Assumptions!$C$18:$C$21,MATCH(H1570,Assumptions!$B$18:$B$21,0)),0)</f>
        <v/>
      </c>
    </row>
    <row r="1571">
      <c r="A1571" s="114" t="n">
        <v>46255</v>
      </c>
      <c r="B1571" s="42" t="inlineStr">
        <is>
          <t>Wk 34</t>
        </is>
      </c>
      <c r="C1571" s="42" t="inlineStr">
        <is>
          <t>Fri</t>
        </is>
      </c>
      <c r="D1571" s="42" t="inlineStr">
        <is>
          <t>X</t>
        </is>
      </c>
      <c r="E1571" s="42" t="inlineStr">
        <is>
          <t>X (Twitter)</t>
        </is>
      </c>
      <c r="F1571" s="42" t="inlineStr">
        <is>
          <t>LEP_ZA_AUG26_X_TD_RANGE_CONV</t>
        </is>
      </c>
      <c r="G1571" s="42" t="inlineStr">
        <is>
          <t>Website Conversions</t>
        </is>
      </c>
      <c r="H1571" s="42" t="inlineStr">
        <is>
          <t>Range</t>
        </is>
      </c>
      <c r="I1571" s="42" t="inlineStr">
        <is>
          <t>Range Offer</t>
        </is>
      </c>
      <c r="J1571" s="42" t="inlineStr">
        <is>
          <t>X_KEYWORD_CARBUY_ZA</t>
        </is>
      </c>
      <c r="K1571" s="42" t="inlineStr">
        <is>
          <t>Interest</t>
        </is>
      </c>
      <c r="L1571" s="42" t="inlineStr">
        <is>
          <t>X_STA_PricePoint_v1</t>
        </is>
      </c>
      <c r="M1571" s="42" t="inlineStr">
        <is>
          <t>Image Ad</t>
        </is>
      </c>
      <c r="N1571" s="42" t="inlineStr">
        <is>
          <t>From R3 599pm</t>
        </is>
      </c>
      <c r="O1571" s="42" t="inlineStr">
        <is>
          <t>Auction - Lowest Cost</t>
        </is>
      </c>
      <c r="P1571" s="42" t="inlineStr">
        <is>
          <t>Site Visit / Conversion</t>
        </is>
      </c>
      <c r="Q1571" s="42" t="inlineStr">
        <is>
          <t>https://www.lepas-sa.co.za/offers</t>
        </is>
      </c>
      <c r="R1571" s="115" t="n">
        <v>268.08</v>
      </c>
      <c r="S1571" s="116" t="n">
        <v>4609</v>
      </c>
      <c r="T1571" s="116" t="n">
        <v>2874</v>
      </c>
      <c r="U1571" s="117">
        <f>IFERROR(S1571/T1571,"")</f>
        <v/>
      </c>
      <c r="V1571" s="116" t="n">
        <v>24</v>
      </c>
      <c r="W1571" s="116" t="n">
        <v>19</v>
      </c>
      <c r="X1571" s="118">
        <f>IFERROR(W1571/S1571,"")</f>
        <v/>
      </c>
      <c r="Y1571" s="115">
        <f>IFERROR(R1571/W1571,"")</f>
        <v/>
      </c>
      <c r="Z1571" s="115">
        <f>IFERROR(R1571/S1571*1000,"")</f>
        <v/>
      </c>
      <c r="AA1571" s="116" t="n">
        <v>13</v>
      </c>
      <c r="AB1571" s="47">
        <f>IFERROR(AA1571/W1571,"")</f>
        <v/>
      </c>
      <c r="AC1571" s="116" t="n">
        <v>0</v>
      </c>
      <c r="AD1571" s="116" t="n">
        <v>0</v>
      </c>
      <c r="AE1571" s="116" t="n">
        <v>0</v>
      </c>
      <c r="AF1571" s="116" t="n">
        <v>0</v>
      </c>
      <c r="AG1571" s="116" t="n">
        <v>0</v>
      </c>
      <c r="AH1571" s="116" t="n">
        <v>0</v>
      </c>
      <c r="AI1571" s="47">
        <f>IFERROR(AC1571/S1571,"")</f>
        <v/>
      </c>
      <c r="AJ1571" s="47">
        <f>IFERROR(AH1571/S1571,"")</f>
        <v/>
      </c>
      <c r="AK1571" s="116" t="n">
        <v>89</v>
      </c>
      <c r="AL1571" s="116" t="n">
        <v>0</v>
      </c>
      <c r="AM1571" s="118">
        <f>IFERROR(AL1571/AA1571,"")</f>
        <v/>
      </c>
      <c r="AN1571" s="119">
        <f>IFERROR(R1571/AL1571,"")</f>
        <v/>
      </c>
      <c r="AO1571" s="116" t="n">
        <v>0</v>
      </c>
      <c r="AP1571" s="47">
        <f>IFERROR(AO1571/AL1571,"")</f>
        <v/>
      </c>
      <c r="AQ1571" s="119">
        <f>IFERROR(R1571/AO1571,"")</f>
        <v/>
      </c>
      <c r="AR1571" s="116" t="n">
        <v>0</v>
      </c>
      <c r="AS1571" s="116" t="n">
        <v>0</v>
      </c>
      <c r="AT1571" s="116">
        <f>AL1571+AR1571</f>
        <v/>
      </c>
      <c r="AU1571" s="119">
        <f>IFERROR(AO1571*Assumptions!$C$26*Assumptions!$C$27*INDEX(Assumptions!$C$18:$C$21,MATCH(H1571,Assumptions!$B$18:$B$21,0)),0)</f>
        <v/>
      </c>
    </row>
    <row r="1572">
      <c r="A1572" s="114" t="n">
        <v>46256</v>
      </c>
      <c r="B1572" s="42" t="inlineStr">
        <is>
          <t>Wk 34</t>
        </is>
      </c>
      <c r="C1572" s="42" t="inlineStr">
        <is>
          <t>Sat</t>
        </is>
      </c>
      <c r="D1572" s="42" t="inlineStr">
        <is>
          <t>X</t>
        </is>
      </c>
      <c r="E1572" s="42" t="inlineStr">
        <is>
          <t>X (Twitter)</t>
        </is>
      </c>
      <c r="F1572" s="42" t="inlineStr">
        <is>
          <t>LEP_ZA_AUG26_X_TD_RANGE_CONV</t>
        </is>
      </c>
      <c r="G1572" s="42" t="inlineStr">
        <is>
          <t>Website Conversions</t>
        </is>
      </c>
      <c r="H1572" s="42" t="inlineStr">
        <is>
          <t>Range</t>
        </is>
      </c>
      <c r="I1572" s="42" t="inlineStr">
        <is>
          <t>Range Offer</t>
        </is>
      </c>
      <c r="J1572" s="42" t="inlineStr">
        <is>
          <t>X_KEYWORD_CARBUY_ZA</t>
        </is>
      </c>
      <c r="K1572" s="42" t="inlineStr">
        <is>
          <t>Interest</t>
        </is>
      </c>
      <c r="L1572" s="42" t="inlineStr">
        <is>
          <t>X_STA_PricePoint_v1</t>
        </is>
      </c>
      <c r="M1572" s="42" t="inlineStr">
        <is>
          <t>Image Ad</t>
        </is>
      </c>
      <c r="N1572" s="42" t="inlineStr">
        <is>
          <t>From R3 599pm</t>
        </is>
      </c>
      <c r="O1572" s="42" t="inlineStr">
        <is>
          <t>Auction - Lowest Cost</t>
        </is>
      </c>
      <c r="P1572" s="42" t="inlineStr">
        <is>
          <t>Site Visit / Conversion</t>
        </is>
      </c>
      <c r="Q1572" s="42" t="inlineStr">
        <is>
          <t>https://www.lepas-sa.co.za/offers</t>
        </is>
      </c>
      <c r="R1572" s="115" t="n">
        <v>268.85</v>
      </c>
      <c r="S1572" s="116" t="n">
        <v>6181</v>
      </c>
      <c r="T1572" s="116" t="n">
        <v>4034</v>
      </c>
      <c r="U1572" s="117">
        <f>IFERROR(S1572/T1572,"")</f>
        <v/>
      </c>
      <c r="V1572" s="116" t="n">
        <v>66</v>
      </c>
      <c r="W1572" s="116" t="n">
        <v>48</v>
      </c>
      <c r="X1572" s="118">
        <f>IFERROR(W1572/S1572,"")</f>
        <v/>
      </c>
      <c r="Y1572" s="115">
        <f>IFERROR(R1572/W1572,"")</f>
        <v/>
      </c>
      <c r="Z1572" s="115">
        <f>IFERROR(R1572/S1572*1000,"")</f>
        <v/>
      </c>
      <c r="AA1572" s="116" t="n">
        <v>38</v>
      </c>
      <c r="AB1572" s="47">
        <f>IFERROR(AA1572/W1572,"")</f>
        <v/>
      </c>
      <c r="AC1572" s="116" t="n">
        <v>0</v>
      </c>
      <c r="AD1572" s="116" t="n">
        <v>0</v>
      </c>
      <c r="AE1572" s="116" t="n">
        <v>0</v>
      </c>
      <c r="AF1572" s="116" t="n">
        <v>0</v>
      </c>
      <c r="AG1572" s="116" t="n">
        <v>0</v>
      </c>
      <c r="AH1572" s="116" t="n">
        <v>0</v>
      </c>
      <c r="AI1572" s="47">
        <f>IFERROR(AC1572/S1572,"")</f>
        <v/>
      </c>
      <c r="AJ1572" s="47">
        <f>IFERROR(AH1572/S1572,"")</f>
        <v/>
      </c>
      <c r="AK1572" s="116" t="n">
        <v>132</v>
      </c>
      <c r="AL1572" s="116" t="n">
        <v>1</v>
      </c>
      <c r="AM1572" s="118">
        <f>IFERROR(AL1572/AA1572,"")</f>
        <v/>
      </c>
      <c r="AN1572" s="119">
        <f>IFERROR(R1572/AL1572,"")</f>
        <v/>
      </c>
      <c r="AO1572" s="116" t="n">
        <v>1</v>
      </c>
      <c r="AP1572" s="47">
        <f>IFERROR(AO1572/AL1572,"")</f>
        <v/>
      </c>
      <c r="AQ1572" s="119">
        <f>IFERROR(R1572/AO1572,"")</f>
        <v/>
      </c>
      <c r="AR1572" s="116" t="n">
        <v>0</v>
      </c>
      <c r="AS1572" s="116" t="n">
        <v>1</v>
      </c>
      <c r="AT1572" s="116">
        <f>AL1572+AR1572</f>
        <v/>
      </c>
      <c r="AU1572" s="119">
        <f>IFERROR(AO1572*Assumptions!$C$26*Assumptions!$C$27*INDEX(Assumptions!$C$18:$C$21,MATCH(H1572,Assumptions!$B$18:$B$21,0)),0)</f>
        <v/>
      </c>
    </row>
    <row r="1573">
      <c r="A1573" s="114" t="n">
        <v>46257</v>
      </c>
      <c r="B1573" s="42" t="inlineStr">
        <is>
          <t>Wk 34</t>
        </is>
      </c>
      <c r="C1573" s="42" t="inlineStr">
        <is>
          <t>Sun</t>
        </is>
      </c>
      <c r="D1573" s="42" t="inlineStr">
        <is>
          <t>X</t>
        </is>
      </c>
      <c r="E1573" s="42" t="inlineStr">
        <is>
          <t>X (Twitter)</t>
        </is>
      </c>
      <c r="F1573" s="42" t="inlineStr">
        <is>
          <t>LEP_ZA_AUG26_X_TD_RANGE_CONV</t>
        </is>
      </c>
      <c r="G1573" s="42" t="inlineStr">
        <is>
          <t>Website Conversions</t>
        </is>
      </c>
      <c r="H1573" s="42" t="inlineStr">
        <is>
          <t>Range</t>
        </is>
      </c>
      <c r="I1573" s="42" t="inlineStr">
        <is>
          <t>Range Offer</t>
        </is>
      </c>
      <c r="J1573" s="42" t="inlineStr">
        <is>
          <t>X_KEYWORD_CARBUY_ZA</t>
        </is>
      </c>
      <c r="K1573" s="42" t="inlineStr">
        <is>
          <t>Interest</t>
        </is>
      </c>
      <c r="L1573" s="42" t="inlineStr">
        <is>
          <t>X_STA_PricePoint_v1</t>
        </is>
      </c>
      <c r="M1573" s="42" t="inlineStr">
        <is>
          <t>Image Ad</t>
        </is>
      </c>
      <c r="N1573" s="42" t="inlineStr">
        <is>
          <t>From R3 599pm</t>
        </is>
      </c>
      <c r="O1573" s="42" t="inlineStr">
        <is>
          <t>Auction - Lowest Cost</t>
        </is>
      </c>
      <c r="P1573" s="42" t="inlineStr">
        <is>
          <t>Site Visit / Conversion</t>
        </is>
      </c>
      <c r="Q1573" s="42" t="inlineStr">
        <is>
          <t>https://www.lepas-sa.co.za/offers</t>
        </is>
      </c>
      <c r="R1573" s="115" t="n">
        <v>164.49</v>
      </c>
      <c r="S1573" s="116" t="n">
        <v>3007</v>
      </c>
      <c r="T1573" s="116" t="n">
        <v>1837</v>
      </c>
      <c r="U1573" s="117">
        <f>IFERROR(S1573/T1573,"")</f>
        <v/>
      </c>
      <c r="V1573" s="116" t="n">
        <v>25</v>
      </c>
      <c r="W1573" s="116" t="n">
        <v>19</v>
      </c>
      <c r="X1573" s="118">
        <f>IFERROR(W1573/S1573,"")</f>
        <v/>
      </c>
      <c r="Y1573" s="115">
        <f>IFERROR(R1573/W1573,"")</f>
        <v/>
      </c>
      <c r="Z1573" s="115">
        <f>IFERROR(R1573/S1573*1000,"")</f>
        <v/>
      </c>
      <c r="AA1573" s="116" t="n">
        <v>16</v>
      </c>
      <c r="AB1573" s="47">
        <f>IFERROR(AA1573/W1573,"")</f>
        <v/>
      </c>
      <c r="AC1573" s="116" t="n">
        <v>0</v>
      </c>
      <c r="AD1573" s="116" t="n">
        <v>0</v>
      </c>
      <c r="AE1573" s="116" t="n">
        <v>0</v>
      </c>
      <c r="AF1573" s="116" t="n">
        <v>0</v>
      </c>
      <c r="AG1573" s="116" t="n">
        <v>0</v>
      </c>
      <c r="AH1573" s="116" t="n">
        <v>0</v>
      </c>
      <c r="AI1573" s="47">
        <f>IFERROR(AC1573/S1573,"")</f>
        <v/>
      </c>
      <c r="AJ1573" s="47">
        <f>IFERROR(AH1573/S1573,"")</f>
        <v/>
      </c>
      <c r="AK1573" s="116" t="n">
        <v>42</v>
      </c>
      <c r="AL1573" s="116" t="n">
        <v>0</v>
      </c>
      <c r="AM1573" s="118">
        <f>IFERROR(AL1573/AA1573,"")</f>
        <v/>
      </c>
      <c r="AN1573" s="119">
        <f>IFERROR(R1573/AL1573,"")</f>
        <v/>
      </c>
      <c r="AO1573" s="116" t="n">
        <v>0</v>
      </c>
      <c r="AP1573" s="47">
        <f>IFERROR(AO1573/AL1573,"")</f>
        <v/>
      </c>
      <c r="AQ1573" s="119">
        <f>IFERROR(R1573/AO1573,"")</f>
        <v/>
      </c>
      <c r="AR1573" s="116" t="n">
        <v>0</v>
      </c>
      <c r="AS1573" s="116" t="n">
        <v>0</v>
      </c>
      <c r="AT1573" s="116">
        <f>AL1573+AR1573</f>
        <v/>
      </c>
      <c r="AU1573" s="119">
        <f>IFERROR(AO1573*Assumptions!$C$26*Assumptions!$C$27*INDEX(Assumptions!$C$18:$C$21,MATCH(H1573,Assumptions!$B$18:$B$21,0)),0)</f>
        <v/>
      </c>
    </row>
    <row r="1574">
      <c r="A1574" s="114" t="n">
        <v>46258</v>
      </c>
      <c r="B1574" s="42" t="inlineStr">
        <is>
          <t>Wk 35</t>
        </is>
      </c>
      <c r="C1574" s="42" t="inlineStr">
        <is>
          <t>Mon</t>
        </is>
      </c>
      <c r="D1574" s="42" t="inlineStr">
        <is>
          <t>X</t>
        </is>
      </c>
      <c r="E1574" s="42" t="inlineStr">
        <is>
          <t>X (Twitter)</t>
        </is>
      </c>
      <c r="F1574" s="42" t="inlineStr">
        <is>
          <t>LEP_ZA_AUG26_X_TD_RANGE_CONV</t>
        </is>
      </c>
      <c r="G1574" s="42" t="inlineStr">
        <is>
          <t>Website Conversions</t>
        </is>
      </c>
      <c r="H1574" s="42" t="inlineStr">
        <is>
          <t>Range</t>
        </is>
      </c>
      <c r="I1574" s="42" t="inlineStr">
        <is>
          <t>Range Offer</t>
        </is>
      </c>
      <c r="J1574" s="42" t="inlineStr">
        <is>
          <t>X_KEYWORD_CARBUY_ZA</t>
        </is>
      </c>
      <c r="K1574" s="42" t="inlineStr">
        <is>
          <t>Interest</t>
        </is>
      </c>
      <c r="L1574" s="42" t="inlineStr">
        <is>
          <t>X_STA_PricePoint_v1</t>
        </is>
      </c>
      <c r="M1574" s="42" t="inlineStr">
        <is>
          <t>Image Ad</t>
        </is>
      </c>
      <c r="N1574" s="42" t="inlineStr">
        <is>
          <t>From R3 599pm</t>
        </is>
      </c>
      <c r="O1574" s="42" t="inlineStr">
        <is>
          <t>Auction - Lowest Cost</t>
        </is>
      </c>
      <c r="P1574" s="42" t="inlineStr">
        <is>
          <t>Site Visit / Conversion</t>
        </is>
      </c>
      <c r="Q1574" s="42" t="inlineStr">
        <is>
          <t>https://www.lepas-sa.co.za/offers</t>
        </is>
      </c>
      <c r="R1574" s="115" t="n">
        <v>193.68</v>
      </c>
      <c r="S1574" s="116" t="n">
        <v>3312</v>
      </c>
      <c r="T1574" s="116" t="n">
        <v>1918</v>
      </c>
      <c r="U1574" s="117">
        <f>IFERROR(S1574/T1574,"")</f>
        <v/>
      </c>
      <c r="V1574" s="116" t="n">
        <v>16</v>
      </c>
      <c r="W1574" s="116" t="n">
        <v>11</v>
      </c>
      <c r="X1574" s="118">
        <f>IFERROR(W1574/S1574,"")</f>
        <v/>
      </c>
      <c r="Y1574" s="115">
        <f>IFERROR(R1574/W1574,"")</f>
        <v/>
      </c>
      <c r="Z1574" s="115">
        <f>IFERROR(R1574/S1574*1000,"")</f>
        <v/>
      </c>
      <c r="AA1574" s="116" t="n">
        <v>8</v>
      </c>
      <c r="AB1574" s="47">
        <f>IFERROR(AA1574/W1574,"")</f>
        <v/>
      </c>
      <c r="AC1574" s="116" t="n">
        <v>0</v>
      </c>
      <c r="AD1574" s="116" t="n">
        <v>0</v>
      </c>
      <c r="AE1574" s="116" t="n">
        <v>0</v>
      </c>
      <c r="AF1574" s="116" t="n">
        <v>0</v>
      </c>
      <c r="AG1574" s="116" t="n">
        <v>0</v>
      </c>
      <c r="AH1574" s="116" t="n">
        <v>0</v>
      </c>
      <c r="AI1574" s="47">
        <f>IFERROR(AC1574/S1574,"")</f>
        <v/>
      </c>
      <c r="AJ1574" s="47">
        <f>IFERROR(AH1574/S1574,"")</f>
        <v/>
      </c>
      <c r="AK1574" s="116" t="n">
        <v>45</v>
      </c>
      <c r="AL1574" s="116" t="n">
        <v>0</v>
      </c>
      <c r="AM1574" s="118">
        <f>IFERROR(AL1574/AA1574,"")</f>
        <v/>
      </c>
      <c r="AN1574" s="119">
        <f>IFERROR(R1574/AL1574,"")</f>
        <v/>
      </c>
      <c r="AO1574" s="116" t="n">
        <v>0</v>
      </c>
      <c r="AP1574" s="47">
        <f>IFERROR(AO1574/AL1574,"")</f>
        <v/>
      </c>
      <c r="AQ1574" s="119">
        <f>IFERROR(R1574/AO1574,"")</f>
        <v/>
      </c>
      <c r="AR1574" s="116" t="n">
        <v>0</v>
      </c>
      <c r="AS1574" s="116" t="n">
        <v>0</v>
      </c>
      <c r="AT1574" s="116">
        <f>AL1574+AR1574</f>
        <v/>
      </c>
      <c r="AU1574" s="119">
        <f>IFERROR(AO1574*Assumptions!$C$26*Assumptions!$C$27*INDEX(Assumptions!$C$18:$C$21,MATCH(H1574,Assumptions!$B$18:$B$21,0)),0)</f>
        <v/>
      </c>
    </row>
    <row r="1575">
      <c r="A1575" s="114" t="n">
        <v>46259</v>
      </c>
      <c r="B1575" s="42" t="inlineStr">
        <is>
          <t>Wk 35</t>
        </is>
      </c>
      <c r="C1575" s="42" t="inlineStr">
        <is>
          <t>Tue</t>
        </is>
      </c>
      <c r="D1575" s="42" t="inlineStr">
        <is>
          <t>X</t>
        </is>
      </c>
      <c r="E1575" s="42" t="inlineStr">
        <is>
          <t>X (Twitter)</t>
        </is>
      </c>
      <c r="F1575" s="42" t="inlineStr">
        <is>
          <t>LEP_ZA_AUG26_X_TD_RANGE_CONV</t>
        </is>
      </c>
      <c r="G1575" s="42" t="inlineStr">
        <is>
          <t>Website Conversions</t>
        </is>
      </c>
      <c r="H1575" s="42" t="inlineStr">
        <is>
          <t>Range</t>
        </is>
      </c>
      <c r="I1575" s="42" t="inlineStr">
        <is>
          <t>Range Offer</t>
        </is>
      </c>
      <c r="J1575" s="42" t="inlineStr">
        <is>
          <t>X_KEYWORD_CARBUY_ZA</t>
        </is>
      </c>
      <c r="K1575" s="42" t="inlineStr">
        <is>
          <t>Interest</t>
        </is>
      </c>
      <c r="L1575" s="42" t="inlineStr">
        <is>
          <t>X_STA_PricePoint_v1</t>
        </is>
      </c>
      <c r="M1575" s="42" t="inlineStr">
        <is>
          <t>Image Ad</t>
        </is>
      </c>
      <c r="N1575" s="42" t="inlineStr">
        <is>
          <t>From R3 599pm</t>
        </is>
      </c>
      <c r="O1575" s="42" t="inlineStr">
        <is>
          <t>Auction - Lowest Cost</t>
        </is>
      </c>
      <c r="P1575" s="42" t="inlineStr">
        <is>
          <t>Site Visit / Conversion</t>
        </is>
      </c>
      <c r="Q1575" s="42" t="inlineStr">
        <is>
          <t>https://www.lepas-sa.co.za/offers</t>
        </is>
      </c>
      <c r="R1575" s="115" t="n">
        <v>234.19</v>
      </c>
      <c r="S1575" s="116" t="n">
        <v>4155</v>
      </c>
      <c r="T1575" s="116" t="n">
        <v>2657</v>
      </c>
      <c r="U1575" s="117">
        <f>IFERROR(S1575/T1575,"")</f>
        <v/>
      </c>
      <c r="V1575" s="116" t="n">
        <v>20</v>
      </c>
      <c r="W1575" s="116" t="n">
        <v>17</v>
      </c>
      <c r="X1575" s="118">
        <f>IFERROR(W1575/S1575,"")</f>
        <v/>
      </c>
      <c r="Y1575" s="115">
        <f>IFERROR(R1575/W1575,"")</f>
        <v/>
      </c>
      <c r="Z1575" s="115">
        <f>IFERROR(R1575/S1575*1000,"")</f>
        <v/>
      </c>
      <c r="AA1575" s="116" t="n">
        <v>14</v>
      </c>
      <c r="AB1575" s="47">
        <f>IFERROR(AA1575/W1575,"")</f>
        <v/>
      </c>
      <c r="AC1575" s="116" t="n">
        <v>0</v>
      </c>
      <c r="AD1575" s="116" t="n">
        <v>0</v>
      </c>
      <c r="AE1575" s="116" t="n">
        <v>0</v>
      </c>
      <c r="AF1575" s="116" t="n">
        <v>0</v>
      </c>
      <c r="AG1575" s="116" t="n">
        <v>0</v>
      </c>
      <c r="AH1575" s="116" t="n">
        <v>0</v>
      </c>
      <c r="AI1575" s="47">
        <f>IFERROR(AC1575/S1575,"")</f>
        <v/>
      </c>
      <c r="AJ1575" s="47">
        <f>IFERROR(AH1575/S1575,"")</f>
        <v/>
      </c>
      <c r="AK1575" s="116" t="n">
        <v>87</v>
      </c>
      <c r="AL1575" s="116" t="n">
        <v>0</v>
      </c>
      <c r="AM1575" s="118">
        <f>IFERROR(AL1575/AA1575,"")</f>
        <v/>
      </c>
      <c r="AN1575" s="119">
        <f>IFERROR(R1575/AL1575,"")</f>
        <v/>
      </c>
      <c r="AO1575" s="116" t="n">
        <v>0</v>
      </c>
      <c r="AP1575" s="47">
        <f>IFERROR(AO1575/AL1575,"")</f>
        <v/>
      </c>
      <c r="AQ1575" s="119">
        <f>IFERROR(R1575/AO1575,"")</f>
        <v/>
      </c>
      <c r="AR1575" s="116" t="n">
        <v>0</v>
      </c>
      <c r="AS1575" s="116" t="n">
        <v>0</v>
      </c>
      <c r="AT1575" s="116">
        <f>AL1575+AR1575</f>
        <v/>
      </c>
      <c r="AU1575" s="119">
        <f>IFERROR(AO1575*Assumptions!$C$26*Assumptions!$C$27*INDEX(Assumptions!$C$18:$C$21,MATCH(H1575,Assumptions!$B$18:$B$21,0)),0)</f>
        <v/>
      </c>
    </row>
    <row r="1576">
      <c r="A1576" s="114" t="n">
        <v>46260</v>
      </c>
      <c r="B1576" s="42" t="inlineStr">
        <is>
          <t>Wk 35</t>
        </is>
      </c>
      <c r="C1576" s="42" t="inlineStr">
        <is>
          <t>Wed</t>
        </is>
      </c>
      <c r="D1576" s="42" t="inlineStr">
        <is>
          <t>X</t>
        </is>
      </c>
      <c r="E1576" s="42" t="inlineStr">
        <is>
          <t>X (Twitter)</t>
        </is>
      </c>
      <c r="F1576" s="42" t="inlineStr">
        <is>
          <t>LEP_ZA_AUG26_X_TD_RANGE_CONV</t>
        </is>
      </c>
      <c r="G1576" s="42" t="inlineStr">
        <is>
          <t>Website Conversions</t>
        </is>
      </c>
      <c r="H1576" s="42" t="inlineStr">
        <is>
          <t>Range</t>
        </is>
      </c>
      <c r="I1576" s="42" t="inlineStr">
        <is>
          <t>Range Offer</t>
        </is>
      </c>
      <c r="J1576" s="42" t="inlineStr">
        <is>
          <t>X_KEYWORD_CARBUY_ZA</t>
        </is>
      </c>
      <c r="K1576" s="42" t="inlineStr">
        <is>
          <t>Interest</t>
        </is>
      </c>
      <c r="L1576" s="42" t="inlineStr">
        <is>
          <t>X_STA_PricePoint_v1</t>
        </is>
      </c>
      <c r="M1576" s="42" t="inlineStr">
        <is>
          <t>Image Ad</t>
        </is>
      </c>
      <c r="N1576" s="42" t="inlineStr">
        <is>
          <t>From R3 599pm</t>
        </is>
      </c>
      <c r="O1576" s="42" t="inlineStr">
        <is>
          <t>Auction - Lowest Cost</t>
        </is>
      </c>
      <c r="P1576" s="42" t="inlineStr">
        <is>
          <t>Site Visit / Conversion</t>
        </is>
      </c>
      <c r="Q1576" s="42" t="inlineStr">
        <is>
          <t>https://www.lepas-sa.co.za/offers</t>
        </is>
      </c>
      <c r="R1576" s="115" t="n">
        <v>201.79</v>
      </c>
      <c r="S1576" s="116" t="n">
        <v>4655</v>
      </c>
      <c r="T1576" s="116" t="n">
        <v>2441</v>
      </c>
      <c r="U1576" s="117">
        <f>IFERROR(S1576/T1576,"")</f>
        <v/>
      </c>
      <c r="V1576" s="116" t="n">
        <v>23</v>
      </c>
      <c r="W1576" s="116" t="n">
        <v>16</v>
      </c>
      <c r="X1576" s="118">
        <f>IFERROR(W1576/S1576,"")</f>
        <v/>
      </c>
      <c r="Y1576" s="115">
        <f>IFERROR(R1576/W1576,"")</f>
        <v/>
      </c>
      <c r="Z1576" s="115">
        <f>IFERROR(R1576/S1576*1000,"")</f>
        <v/>
      </c>
      <c r="AA1576" s="116" t="n">
        <v>13</v>
      </c>
      <c r="AB1576" s="47">
        <f>IFERROR(AA1576/W1576,"")</f>
        <v/>
      </c>
      <c r="AC1576" s="116" t="n">
        <v>0</v>
      </c>
      <c r="AD1576" s="116" t="n">
        <v>0</v>
      </c>
      <c r="AE1576" s="116" t="n">
        <v>0</v>
      </c>
      <c r="AF1576" s="116" t="n">
        <v>0</v>
      </c>
      <c r="AG1576" s="116" t="n">
        <v>0</v>
      </c>
      <c r="AH1576" s="116" t="n">
        <v>0</v>
      </c>
      <c r="AI1576" s="47">
        <f>IFERROR(AC1576/S1576,"")</f>
        <v/>
      </c>
      <c r="AJ1576" s="47">
        <f>IFERROR(AH1576/S1576,"")</f>
        <v/>
      </c>
      <c r="AK1576" s="116" t="n">
        <v>77</v>
      </c>
      <c r="AL1576" s="116" t="n">
        <v>0</v>
      </c>
      <c r="AM1576" s="118">
        <f>IFERROR(AL1576/AA1576,"")</f>
        <v/>
      </c>
      <c r="AN1576" s="119">
        <f>IFERROR(R1576/AL1576,"")</f>
        <v/>
      </c>
      <c r="AO1576" s="116" t="n">
        <v>0</v>
      </c>
      <c r="AP1576" s="47">
        <f>IFERROR(AO1576/AL1576,"")</f>
        <v/>
      </c>
      <c r="AQ1576" s="119">
        <f>IFERROR(R1576/AO1576,"")</f>
        <v/>
      </c>
      <c r="AR1576" s="116" t="n">
        <v>0</v>
      </c>
      <c r="AS1576" s="116" t="n">
        <v>0</v>
      </c>
      <c r="AT1576" s="116">
        <f>AL1576+AR1576</f>
        <v/>
      </c>
      <c r="AU1576" s="119">
        <f>IFERROR(AO1576*Assumptions!$C$26*Assumptions!$C$27*INDEX(Assumptions!$C$18:$C$21,MATCH(H1576,Assumptions!$B$18:$B$21,0)),0)</f>
        <v/>
      </c>
    </row>
    <row r="1577">
      <c r="A1577" s="114" t="n">
        <v>46261</v>
      </c>
      <c r="B1577" s="42" t="inlineStr">
        <is>
          <t>Wk 35</t>
        </is>
      </c>
      <c r="C1577" s="42" t="inlineStr">
        <is>
          <t>Thu</t>
        </is>
      </c>
      <c r="D1577" s="42" t="inlineStr">
        <is>
          <t>X</t>
        </is>
      </c>
      <c r="E1577" s="42" t="inlineStr">
        <is>
          <t>X (Twitter)</t>
        </is>
      </c>
      <c r="F1577" s="42" t="inlineStr">
        <is>
          <t>LEP_ZA_AUG26_X_TD_RANGE_CONV</t>
        </is>
      </c>
      <c r="G1577" s="42" t="inlineStr">
        <is>
          <t>Website Conversions</t>
        </is>
      </c>
      <c r="H1577" s="42" t="inlineStr">
        <is>
          <t>Range</t>
        </is>
      </c>
      <c r="I1577" s="42" t="inlineStr">
        <is>
          <t>Range Offer</t>
        </is>
      </c>
      <c r="J1577" s="42" t="inlineStr">
        <is>
          <t>X_KEYWORD_CARBUY_ZA</t>
        </is>
      </c>
      <c r="K1577" s="42" t="inlineStr">
        <is>
          <t>Interest</t>
        </is>
      </c>
      <c r="L1577" s="42" t="inlineStr">
        <is>
          <t>X_STA_PricePoint_v1</t>
        </is>
      </c>
      <c r="M1577" s="42" t="inlineStr">
        <is>
          <t>Image Ad</t>
        </is>
      </c>
      <c r="N1577" s="42" t="inlineStr">
        <is>
          <t>From R3 599pm</t>
        </is>
      </c>
      <c r="O1577" s="42" t="inlineStr">
        <is>
          <t>Auction - Lowest Cost</t>
        </is>
      </c>
      <c r="P1577" s="42" t="inlineStr">
        <is>
          <t>Site Visit / Conversion</t>
        </is>
      </c>
      <c r="Q1577" s="42" t="inlineStr">
        <is>
          <t>https://www.lepas-sa.co.za/offers</t>
        </is>
      </c>
      <c r="R1577" s="115" t="n">
        <v>265.94</v>
      </c>
      <c r="S1577" s="116" t="n">
        <v>5373</v>
      </c>
      <c r="T1577" s="116" t="n">
        <v>3121</v>
      </c>
      <c r="U1577" s="117">
        <f>IFERROR(S1577/T1577,"")</f>
        <v/>
      </c>
      <c r="V1577" s="116" t="n">
        <v>40</v>
      </c>
      <c r="W1577" s="116" t="n">
        <v>30</v>
      </c>
      <c r="X1577" s="118">
        <f>IFERROR(W1577/S1577,"")</f>
        <v/>
      </c>
      <c r="Y1577" s="115">
        <f>IFERROR(R1577/W1577,"")</f>
        <v/>
      </c>
      <c r="Z1577" s="115">
        <f>IFERROR(R1577/S1577*1000,"")</f>
        <v/>
      </c>
      <c r="AA1577" s="116" t="n">
        <v>23</v>
      </c>
      <c r="AB1577" s="47">
        <f>IFERROR(AA1577/W1577,"")</f>
        <v/>
      </c>
      <c r="AC1577" s="116" t="n">
        <v>0</v>
      </c>
      <c r="AD1577" s="116" t="n">
        <v>0</v>
      </c>
      <c r="AE1577" s="116" t="n">
        <v>0</v>
      </c>
      <c r="AF1577" s="116" t="n">
        <v>0</v>
      </c>
      <c r="AG1577" s="116" t="n">
        <v>0</v>
      </c>
      <c r="AH1577" s="116" t="n">
        <v>0</v>
      </c>
      <c r="AI1577" s="47">
        <f>IFERROR(AC1577/S1577,"")</f>
        <v/>
      </c>
      <c r="AJ1577" s="47">
        <f>IFERROR(AH1577/S1577,"")</f>
        <v/>
      </c>
      <c r="AK1577" s="116" t="n">
        <v>142</v>
      </c>
      <c r="AL1577" s="116" t="n">
        <v>0</v>
      </c>
      <c r="AM1577" s="118">
        <f>IFERROR(AL1577/AA1577,"")</f>
        <v/>
      </c>
      <c r="AN1577" s="119">
        <f>IFERROR(R1577/AL1577,"")</f>
        <v/>
      </c>
      <c r="AO1577" s="116" t="n">
        <v>0</v>
      </c>
      <c r="AP1577" s="47">
        <f>IFERROR(AO1577/AL1577,"")</f>
        <v/>
      </c>
      <c r="AQ1577" s="119">
        <f>IFERROR(R1577/AO1577,"")</f>
        <v/>
      </c>
      <c r="AR1577" s="116" t="n">
        <v>0</v>
      </c>
      <c r="AS1577" s="116" t="n">
        <v>0</v>
      </c>
      <c r="AT1577" s="116">
        <f>AL1577+AR1577</f>
        <v/>
      </c>
      <c r="AU1577" s="119">
        <f>IFERROR(AO1577*Assumptions!$C$26*Assumptions!$C$27*INDEX(Assumptions!$C$18:$C$21,MATCH(H1577,Assumptions!$B$18:$B$21,0)),0)</f>
        <v/>
      </c>
    </row>
    <row r="1578">
      <c r="A1578" s="114" t="n">
        <v>46262</v>
      </c>
      <c r="B1578" s="42" t="inlineStr">
        <is>
          <t>Wk 35</t>
        </is>
      </c>
      <c r="C1578" s="42" t="inlineStr">
        <is>
          <t>Fri</t>
        </is>
      </c>
      <c r="D1578" s="42" t="inlineStr">
        <is>
          <t>X</t>
        </is>
      </c>
      <c r="E1578" s="42" t="inlineStr">
        <is>
          <t>X (Twitter)</t>
        </is>
      </c>
      <c r="F1578" s="42" t="inlineStr">
        <is>
          <t>LEP_ZA_AUG26_X_TD_RANGE_CONV</t>
        </is>
      </c>
      <c r="G1578" s="42" t="inlineStr">
        <is>
          <t>Website Conversions</t>
        </is>
      </c>
      <c r="H1578" s="42" t="inlineStr">
        <is>
          <t>Range</t>
        </is>
      </c>
      <c r="I1578" s="42" t="inlineStr">
        <is>
          <t>Range Offer</t>
        </is>
      </c>
      <c r="J1578" s="42" t="inlineStr">
        <is>
          <t>X_KEYWORD_CARBUY_ZA</t>
        </is>
      </c>
      <c r="K1578" s="42" t="inlineStr">
        <is>
          <t>Interest</t>
        </is>
      </c>
      <c r="L1578" s="42" t="inlineStr">
        <is>
          <t>X_STA_PricePoint_v1</t>
        </is>
      </c>
      <c r="M1578" s="42" t="inlineStr">
        <is>
          <t>Image Ad</t>
        </is>
      </c>
      <c r="N1578" s="42" t="inlineStr">
        <is>
          <t>From R3 599pm</t>
        </is>
      </c>
      <c r="O1578" s="42" t="inlineStr">
        <is>
          <t>Auction - Lowest Cost</t>
        </is>
      </c>
      <c r="P1578" s="42" t="inlineStr">
        <is>
          <t>Site Visit / Conversion</t>
        </is>
      </c>
      <c r="Q1578" s="42" t="inlineStr">
        <is>
          <t>https://www.lepas-sa.co.za/offers</t>
        </is>
      </c>
      <c r="R1578" s="115" t="n">
        <v>251.41</v>
      </c>
      <c r="S1578" s="116" t="n">
        <v>4035</v>
      </c>
      <c r="T1578" s="116" t="n">
        <v>2125</v>
      </c>
      <c r="U1578" s="117">
        <f>IFERROR(S1578/T1578,"")</f>
        <v/>
      </c>
      <c r="V1578" s="116" t="n">
        <v>29</v>
      </c>
      <c r="W1578" s="116" t="n">
        <v>23</v>
      </c>
      <c r="X1578" s="118">
        <f>IFERROR(W1578/S1578,"")</f>
        <v/>
      </c>
      <c r="Y1578" s="115">
        <f>IFERROR(R1578/W1578,"")</f>
        <v/>
      </c>
      <c r="Z1578" s="115">
        <f>IFERROR(R1578/S1578*1000,"")</f>
        <v/>
      </c>
      <c r="AA1578" s="116" t="n">
        <v>17</v>
      </c>
      <c r="AB1578" s="47">
        <f>IFERROR(AA1578/W1578,"")</f>
        <v/>
      </c>
      <c r="AC1578" s="116" t="n">
        <v>0</v>
      </c>
      <c r="AD1578" s="116" t="n">
        <v>0</v>
      </c>
      <c r="AE1578" s="116" t="n">
        <v>0</v>
      </c>
      <c r="AF1578" s="116" t="n">
        <v>0</v>
      </c>
      <c r="AG1578" s="116" t="n">
        <v>0</v>
      </c>
      <c r="AH1578" s="116" t="n">
        <v>0</v>
      </c>
      <c r="AI1578" s="47">
        <f>IFERROR(AC1578/S1578,"")</f>
        <v/>
      </c>
      <c r="AJ1578" s="47">
        <f>IFERROR(AH1578/S1578,"")</f>
        <v/>
      </c>
      <c r="AK1578" s="116" t="n">
        <v>104</v>
      </c>
      <c r="AL1578" s="116" t="n">
        <v>0</v>
      </c>
      <c r="AM1578" s="118">
        <f>IFERROR(AL1578/AA1578,"")</f>
        <v/>
      </c>
      <c r="AN1578" s="119">
        <f>IFERROR(R1578/AL1578,"")</f>
        <v/>
      </c>
      <c r="AO1578" s="116" t="n">
        <v>0</v>
      </c>
      <c r="AP1578" s="47">
        <f>IFERROR(AO1578/AL1578,"")</f>
        <v/>
      </c>
      <c r="AQ1578" s="119">
        <f>IFERROR(R1578/AO1578,"")</f>
        <v/>
      </c>
      <c r="AR1578" s="116" t="n">
        <v>0</v>
      </c>
      <c r="AS1578" s="116" t="n">
        <v>0</v>
      </c>
      <c r="AT1578" s="116">
        <f>AL1578+AR1578</f>
        <v/>
      </c>
      <c r="AU1578" s="119">
        <f>IFERROR(AO1578*Assumptions!$C$26*Assumptions!$C$27*INDEX(Assumptions!$C$18:$C$21,MATCH(H1578,Assumptions!$B$18:$B$21,0)),0)</f>
        <v/>
      </c>
    </row>
    <row r="1579">
      <c r="A1579" s="114" t="n">
        <v>46263</v>
      </c>
      <c r="B1579" s="42" t="inlineStr">
        <is>
          <t>Wk 35</t>
        </is>
      </c>
      <c r="C1579" s="42" t="inlineStr">
        <is>
          <t>Sat</t>
        </is>
      </c>
      <c r="D1579" s="42" t="inlineStr">
        <is>
          <t>X</t>
        </is>
      </c>
      <c r="E1579" s="42" t="inlineStr">
        <is>
          <t>X (Twitter)</t>
        </is>
      </c>
      <c r="F1579" s="42" t="inlineStr">
        <is>
          <t>LEP_ZA_AUG26_X_TD_RANGE_CONV</t>
        </is>
      </c>
      <c r="G1579" s="42" t="inlineStr">
        <is>
          <t>Website Conversions</t>
        </is>
      </c>
      <c r="H1579" s="42" t="inlineStr">
        <is>
          <t>Range</t>
        </is>
      </c>
      <c r="I1579" s="42" t="inlineStr">
        <is>
          <t>Range Offer</t>
        </is>
      </c>
      <c r="J1579" s="42" t="inlineStr">
        <is>
          <t>X_KEYWORD_CARBUY_ZA</t>
        </is>
      </c>
      <c r="K1579" s="42" t="inlineStr">
        <is>
          <t>Interest</t>
        </is>
      </c>
      <c r="L1579" s="42" t="inlineStr">
        <is>
          <t>X_STA_PricePoint_v1</t>
        </is>
      </c>
      <c r="M1579" s="42" t="inlineStr">
        <is>
          <t>Image Ad</t>
        </is>
      </c>
      <c r="N1579" s="42" t="inlineStr">
        <is>
          <t>From R3 599pm</t>
        </is>
      </c>
      <c r="O1579" s="42" t="inlineStr">
        <is>
          <t>Auction - Lowest Cost</t>
        </is>
      </c>
      <c r="P1579" s="42" t="inlineStr">
        <is>
          <t>Site Visit / Conversion</t>
        </is>
      </c>
      <c r="Q1579" s="42" t="inlineStr">
        <is>
          <t>https://www.lepas-sa.co.za/offers</t>
        </is>
      </c>
      <c r="R1579" s="115" t="n">
        <v>325.32</v>
      </c>
      <c r="S1579" s="116" t="n">
        <v>4739</v>
      </c>
      <c r="T1579" s="116" t="n">
        <v>2396</v>
      </c>
      <c r="U1579" s="117">
        <f>IFERROR(S1579/T1579,"")</f>
        <v/>
      </c>
      <c r="V1579" s="116" t="n">
        <v>41</v>
      </c>
      <c r="W1579" s="116" t="n">
        <v>32</v>
      </c>
      <c r="X1579" s="118">
        <f>IFERROR(W1579/S1579,"")</f>
        <v/>
      </c>
      <c r="Y1579" s="115">
        <f>IFERROR(R1579/W1579,"")</f>
        <v/>
      </c>
      <c r="Z1579" s="115">
        <f>IFERROR(R1579/S1579*1000,"")</f>
        <v/>
      </c>
      <c r="AA1579" s="116" t="n">
        <v>24</v>
      </c>
      <c r="AB1579" s="47">
        <f>IFERROR(AA1579/W1579,"")</f>
        <v/>
      </c>
      <c r="AC1579" s="116" t="n">
        <v>0</v>
      </c>
      <c r="AD1579" s="116" t="n">
        <v>0</v>
      </c>
      <c r="AE1579" s="116" t="n">
        <v>0</v>
      </c>
      <c r="AF1579" s="116" t="n">
        <v>0</v>
      </c>
      <c r="AG1579" s="116" t="n">
        <v>0</v>
      </c>
      <c r="AH1579" s="116" t="n">
        <v>0</v>
      </c>
      <c r="AI1579" s="47">
        <f>IFERROR(AC1579/S1579,"")</f>
        <v/>
      </c>
      <c r="AJ1579" s="47">
        <f>IFERROR(AH1579/S1579,"")</f>
        <v/>
      </c>
      <c r="AK1579" s="116" t="n">
        <v>68</v>
      </c>
      <c r="AL1579" s="116" t="n">
        <v>0</v>
      </c>
      <c r="AM1579" s="118">
        <f>IFERROR(AL1579/AA1579,"")</f>
        <v/>
      </c>
      <c r="AN1579" s="119">
        <f>IFERROR(R1579/AL1579,"")</f>
        <v/>
      </c>
      <c r="AO1579" s="116" t="n">
        <v>0</v>
      </c>
      <c r="AP1579" s="47">
        <f>IFERROR(AO1579/AL1579,"")</f>
        <v/>
      </c>
      <c r="AQ1579" s="119">
        <f>IFERROR(R1579/AO1579,"")</f>
        <v/>
      </c>
      <c r="AR1579" s="116" t="n">
        <v>0</v>
      </c>
      <c r="AS1579" s="116" t="n">
        <v>0</v>
      </c>
      <c r="AT1579" s="116">
        <f>AL1579+AR1579</f>
        <v/>
      </c>
      <c r="AU1579" s="119">
        <f>IFERROR(AO1579*Assumptions!$C$26*Assumptions!$C$27*INDEX(Assumptions!$C$18:$C$21,MATCH(H1579,Assumptions!$B$18:$B$21,0)),0)</f>
        <v/>
      </c>
    </row>
    <row r="1580">
      <c r="A1580" s="114" t="n">
        <v>46264</v>
      </c>
      <c r="B1580" s="42" t="inlineStr">
        <is>
          <t>Wk 35</t>
        </is>
      </c>
      <c r="C1580" s="42" t="inlineStr">
        <is>
          <t>Sun</t>
        </is>
      </c>
      <c r="D1580" s="42" t="inlineStr">
        <is>
          <t>X</t>
        </is>
      </c>
      <c r="E1580" s="42" t="inlineStr">
        <is>
          <t>X (Twitter)</t>
        </is>
      </c>
      <c r="F1580" s="42" t="inlineStr">
        <is>
          <t>LEP_ZA_AUG26_X_TD_RANGE_CONV</t>
        </is>
      </c>
      <c r="G1580" s="42" t="inlineStr">
        <is>
          <t>Website Conversions</t>
        </is>
      </c>
      <c r="H1580" s="42" t="inlineStr">
        <is>
          <t>Range</t>
        </is>
      </c>
      <c r="I1580" s="42" t="inlineStr">
        <is>
          <t>Range Offer</t>
        </is>
      </c>
      <c r="J1580" s="42" t="inlineStr">
        <is>
          <t>X_KEYWORD_CARBUY_ZA</t>
        </is>
      </c>
      <c r="K1580" s="42" t="inlineStr">
        <is>
          <t>Interest</t>
        </is>
      </c>
      <c r="L1580" s="42" t="inlineStr">
        <is>
          <t>X_STA_PricePoint_v1</t>
        </is>
      </c>
      <c r="M1580" s="42" t="inlineStr">
        <is>
          <t>Image Ad</t>
        </is>
      </c>
      <c r="N1580" s="42" t="inlineStr">
        <is>
          <t>From R3 599pm</t>
        </is>
      </c>
      <c r="O1580" s="42" t="inlineStr">
        <is>
          <t>Auction - Lowest Cost</t>
        </is>
      </c>
      <c r="P1580" s="42" t="inlineStr">
        <is>
          <t>Site Visit / Conversion</t>
        </is>
      </c>
      <c r="Q1580" s="42" t="inlineStr">
        <is>
          <t>https://www.lepas-sa.co.za/offers</t>
        </is>
      </c>
      <c r="R1580" s="115" t="n">
        <v>211.24</v>
      </c>
      <c r="S1580" s="116" t="n">
        <v>2803</v>
      </c>
      <c r="T1580" s="116" t="n">
        <v>1509</v>
      </c>
      <c r="U1580" s="117">
        <f>IFERROR(S1580/T1580,"")</f>
        <v/>
      </c>
      <c r="V1580" s="116" t="n">
        <v>21</v>
      </c>
      <c r="W1580" s="116" t="n">
        <v>15</v>
      </c>
      <c r="X1580" s="118">
        <f>IFERROR(W1580/S1580,"")</f>
        <v/>
      </c>
      <c r="Y1580" s="115">
        <f>IFERROR(R1580/W1580,"")</f>
        <v/>
      </c>
      <c r="Z1580" s="115">
        <f>IFERROR(R1580/S1580*1000,"")</f>
        <v/>
      </c>
      <c r="AA1580" s="116" t="n">
        <v>11</v>
      </c>
      <c r="AB1580" s="47">
        <f>IFERROR(AA1580/W1580,"")</f>
        <v/>
      </c>
      <c r="AC1580" s="116" t="n">
        <v>0</v>
      </c>
      <c r="AD1580" s="116" t="n">
        <v>0</v>
      </c>
      <c r="AE1580" s="116" t="n">
        <v>0</v>
      </c>
      <c r="AF1580" s="116" t="n">
        <v>0</v>
      </c>
      <c r="AG1580" s="116" t="n">
        <v>0</v>
      </c>
      <c r="AH1580" s="116" t="n">
        <v>0</v>
      </c>
      <c r="AI1580" s="47">
        <f>IFERROR(AC1580/S1580,"")</f>
        <v/>
      </c>
      <c r="AJ1580" s="47">
        <f>IFERROR(AH1580/S1580,"")</f>
        <v/>
      </c>
      <c r="AK1580" s="116" t="n">
        <v>75</v>
      </c>
      <c r="AL1580" s="116" t="n">
        <v>0</v>
      </c>
      <c r="AM1580" s="118">
        <f>IFERROR(AL1580/AA1580,"")</f>
        <v/>
      </c>
      <c r="AN1580" s="119">
        <f>IFERROR(R1580/AL1580,"")</f>
        <v/>
      </c>
      <c r="AO1580" s="116" t="n">
        <v>0</v>
      </c>
      <c r="AP1580" s="47">
        <f>IFERROR(AO1580/AL1580,"")</f>
        <v/>
      </c>
      <c r="AQ1580" s="119">
        <f>IFERROR(R1580/AO1580,"")</f>
        <v/>
      </c>
      <c r="AR1580" s="116" t="n">
        <v>0</v>
      </c>
      <c r="AS1580" s="116" t="n">
        <v>0</v>
      </c>
      <c r="AT1580" s="116">
        <f>AL1580+AR1580</f>
        <v/>
      </c>
      <c r="AU1580" s="119">
        <f>IFERROR(AO1580*Assumptions!$C$26*Assumptions!$C$27*INDEX(Assumptions!$C$18:$C$21,MATCH(H1580,Assumptions!$B$18:$B$21,0)),0)</f>
        <v/>
      </c>
    </row>
    <row r="1581">
      <c r="A1581" s="114" t="n">
        <v>46265</v>
      </c>
      <c r="B1581" s="42" t="inlineStr">
        <is>
          <t>Wk 36</t>
        </is>
      </c>
      <c r="C1581" s="42" t="inlineStr">
        <is>
          <t>Mon</t>
        </is>
      </c>
      <c r="D1581" s="42" t="inlineStr">
        <is>
          <t>X</t>
        </is>
      </c>
      <c r="E1581" s="42" t="inlineStr">
        <is>
          <t>X (Twitter)</t>
        </is>
      </c>
      <c r="F1581" s="42" t="inlineStr">
        <is>
          <t>LEP_ZA_AUG26_X_TD_RANGE_CONV</t>
        </is>
      </c>
      <c r="G1581" s="42" t="inlineStr">
        <is>
          <t>Website Conversions</t>
        </is>
      </c>
      <c r="H1581" s="42" t="inlineStr">
        <is>
          <t>Range</t>
        </is>
      </c>
      <c r="I1581" s="42" t="inlineStr">
        <is>
          <t>Range Offer</t>
        </is>
      </c>
      <c r="J1581" s="42" t="inlineStr">
        <is>
          <t>X_KEYWORD_CARBUY_ZA</t>
        </is>
      </c>
      <c r="K1581" s="42" t="inlineStr">
        <is>
          <t>Interest</t>
        </is>
      </c>
      <c r="L1581" s="42" t="inlineStr">
        <is>
          <t>X_STA_PricePoint_v1</t>
        </is>
      </c>
      <c r="M1581" s="42" t="inlineStr">
        <is>
          <t>Image Ad</t>
        </is>
      </c>
      <c r="N1581" s="42" t="inlineStr">
        <is>
          <t>From R3 599pm</t>
        </is>
      </c>
      <c r="O1581" s="42" t="inlineStr">
        <is>
          <t>Auction - Lowest Cost</t>
        </is>
      </c>
      <c r="P1581" s="42" t="inlineStr">
        <is>
          <t>Site Visit / Conversion</t>
        </is>
      </c>
      <c r="Q1581" s="42" t="inlineStr">
        <is>
          <t>https://www.lepas-sa.co.za/offers</t>
        </is>
      </c>
      <c r="R1581" s="115" t="n">
        <v>237.52</v>
      </c>
      <c r="S1581" s="116" t="n">
        <v>4357</v>
      </c>
      <c r="T1581" s="116" t="n">
        <v>2181</v>
      </c>
      <c r="U1581" s="117">
        <f>IFERROR(S1581/T1581,"")</f>
        <v/>
      </c>
      <c r="V1581" s="116" t="n">
        <v>34</v>
      </c>
      <c r="W1581" s="116" t="n">
        <v>24</v>
      </c>
      <c r="X1581" s="118">
        <f>IFERROR(W1581/S1581,"")</f>
        <v/>
      </c>
      <c r="Y1581" s="115">
        <f>IFERROR(R1581/W1581,"")</f>
        <v/>
      </c>
      <c r="Z1581" s="115">
        <f>IFERROR(R1581/S1581*1000,"")</f>
        <v/>
      </c>
      <c r="AA1581" s="116" t="n">
        <v>18</v>
      </c>
      <c r="AB1581" s="47">
        <f>IFERROR(AA1581/W1581,"")</f>
        <v/>
      </c>
      <c r="AC1581" s="116" t="n">
        <v>0</v>
      </c>
      <c r="AD1581" s="116" t="n">
        <v>0</v>
      </c>
      <c r="AE1581" s="116" t="n">
        <v>0</v>
      </c>
      <c r="AF1581" s="116" t="n">
        <v>0</v>
      </c>
      <c r="AG1581" s="116" t="n">
        <v>0</v>
      </c>
      <c r="AH1581" s="116" t="n">
        <v>0</v>
      </c>
      <c r="AI1581" s="47">
        <f>IFERROR(AC1581/S1581,"")</f>
        <v/>
      </c>
      <c r="AJ1581" s="47">
        <f>IFERROR(AH1581/S1581,"")</f>
        <v/>
      </c>
      <c r="AK1581" s="116" t="n">
        <v>71</v>
      </c>
      <c r="AL1581" s="116" t="n">
        <v>1</v>
      </c>
      <c r="AM1581" s="118">
        <f>IFERROR(AL1581/AA1581,"")</f>
        <v/>
      </c>
      <c r="AN1581" s="119">
        <f>IFERROR(R1581/AL1581,"")</f>
        <v/>
      </c>
      <c r="AO1581" s="116" t="n">
        <v>0</v>
      </c>
      <c r="AP1581" s="47">
        <f>IFERROR(AO1581/AL1581,"")</f>
        <v/>
      </c>
      <c r="AQ1581" s="119">
        <f>IFERROR(R1581/AO1581,"")</f>
        <v/>
      </c>
      <c r="AR1581" s="116" t="n">
        <v>0</v>
      </c>
      <c r="AS1581" s="116" t="n">
        <v>0</v>
      </c>
      <c r="AT1581" s="116">
        <f>AL1581+AR1581</f>
        <v/>
      </c>
      <c r="AU1581" s="119">
        <f>IFERROR(AO1581*Assumptions!$C$26*Assumptions!$C$27*INDEX(Assumptions!$C$18:$C$21,MATCH(H1581,Assumptions!$B$18:$B$21,0)),0)</f>
        <v/>
      </c>
    </row>
    <row r="1582">
      <c r="A1582" s="114" t="n">
        <v>46235</v>
      </c>
      <c r="B1582" s="42" t="inlineStr">
        <is>
          <t>Wk 31</t>
        </is>
      </c>
      <c r="C1582" s="42" t="inlineStr">
        <is>
          <t>Sat</t>
        </is>
      </c>
      <c r="D1582" s="42" t="inlineStr">
        <is>
          <t>X</t>
        </is>
      </c>
      <c r="E1582" s="42" t="inlineStr">
        <is>
          <t>X (Twitter)</t>
        </is>
      </c>
      <c r="F1582" s="42" t="inlineStr">
        <is>
          <t>LEP_ZA_AUG26_X_TD_RANGE_CONV</t>
        </is>
      </c>
      <c r="G1582" s="42" t="inlineStr">
        <is>
          <t>Website Conversions</t>
        </is>
      </c>
      <c r="H1582" s="42" t="inlineStr">
        <is>
          <t>Range</t>
        </is>
      </c>
      <c r="I1582" s="42" t="inlineStr">
        <is>
          <t>Range Offer</t>
        </is>
      </c>
      <c r="J1582" s="42" t="inlineStr">
        <is>
          <t>X_KEYWORD_CARBUY_ZA</t>
        </is>
      </c>
      <c r="K1582" s="42" t="inlineStr">
        <is>
          <t>Interest</t>
        </is>
      </c>
      <c r="L1582" s="42" t="inlineStr">
        <is>
          <t>X_VID_15s_RangeFilm_v1</t>
        </is>
      </c>
      <c r="M1582" s="42" t="inlineStr">
        <is>
          <t>Video 16:9</t>
        </is>
      </c>
      <c r="N1582" s="42" t="inlineStr">
        <is>
          <t>Meet the Lepas range</t>
        </is>
      </c>
      <c r="O1582" s="42" t="inlineStr">
        <is>
          <t>Auction - Lowest Cost</t>
        </is>
      </c>
      <c r="P1582" s="42" t="inlineStr">
        <is>
          <t>Site Visit / Conversion</t>
        </is>
      </c>
      <c r="Q1582" s="42" t="inlineStr">
        <is>
          <t>https://www.lepas-sa.co.za/offers</t>
        </is>
      </c>
      <c r="R1582" s="115" t="n">
        <v>194.26</v>
      </c>
      <c r="S1582" s="116" t="n">
        <v>3150</v>
      </c>
      <c r="T1582" s="116" t="n">
        <v>2858</v>
      </c>
      <c r="U1582" s="117">
        <f>IFERROR(S1582/T1582,"")</f>
        <v/>
      </c>
      <c r="V1582" s="116" t="n">
        <v>31</v>
      </c>
      <c r="W1582" s="116" t="n">
        <v>22</v>
      </c>
      <c r="X1582" s="118">
        <f>IFERROR(W1582/S1582,"")</f>
        <v/>
      </c>
      <c r="Y1582" s="115">
        <f>IFERROR(R1582/W1582,"")</f>
        <v/>
      </c>
      <c r="Z1582" s="115">
        <f>IFERROR(R1582/S1582*1000,"")</f>
        <v/>
      </c>
      <c r="AA1582" s="116" t="n">
        <v>17</v>
      </c>
      <c r="AB1582" s="47">
        <f>IFERROR(AA1582/W1582,"")</f>
        <v/>
      </c>
      <c r="AC1582" s="116" t="n">
        <v>845</v>
      </c>
      <c r="AD1582" s="116" t="n">
        <v>383</v>
      </c>
      <c r="AE1582" s="116" t="n">
        <v>308</v>
      </c>
      <c r="AF1582" s="116" t="n">
        <v>177</v>
      </c>
      <c r="AG1582" s="116" t="n">
        <v>141</v>
      </c>
      <c r="AH1582" s="116" t="n">
        <v>90</v>
      </c>
      <c r="AI1582" s="47">
        <f>IFERROR(AC1582/S1582,"")</f>
        <v/>
      </c>
      <c r="AJ1582" s="47">
        <f>IFERROR(AH1582/S1582,"")</f>
        <v/>
      </c>
      <c r="AK1582" s="116" t="n">
        <v>67</v>
      </c>
      <c r="AL1582" s="116" t="n">
        <v>0</v>
      </c>
      <c r="AM1582" s="118">
        <f>IFERROR(AL1582/AA1582,"")</f>
        <v/>
      </c>
      <c r="AN1582" s="119">
        <f>IFERROR(R1582/AL1582,"")</f>
        <v/>
      </c>
      <c r="AO1582" s="116" t="n">
        <v>0</v>
      </c>
      <c r="AP1582" s="47">
        <f>IFERROR(AO1582/AL1582,"")</f>
        <v/>
      </c>
      <c r="AQ1582" s="119">
        <f>IFERROR(R1582/AO1582,"")</f>
        <v/>
      </c>
      <c r="AR1582" s="116" t="n">
        <v>0</v>
      </c>
      <c r="AS1582" s="116" t="n">
        <v>0</v>
      </c>
      <c r="AT1582" s="116">
        <f>AL1582+AR1582</f>
        <v/>
      </c>
      <c r="AU1582" s="119">
        <f>IFERROR(AO1582*Assumptions!$C$26*Assumptions!$C$27*INDEX(Assumptions!$C$18:$C$21,MATCH(H1582,Assumptions!$B$18:$B$21,0)),0)</f>
        <v/>
      </c>
    </row>
    <row r="1583">
      <c r="A1583" s="114" t="n">
        <v>46236</v>
      </c>
      <c r="B1583" s="42" t="inlineStr">
        <is>
          <t>Wk 31</t>
        </is>
      </c>
      <c r="C1583" s="42" t="inlineStr">
        <is>
          <t>Sun</t>
        </is>
      </c>
      <c r="D1583" s="42" t="inlineStr">
        <is>
          <t>X</t>
        </is>
      </c>
      <c r="E1583" s="42" t="inlineStr">
        <is>
          <t>X (Twitter)</t>
        </is>
      </c>
      <c r="F1583" s="42" t="inlineStr">
        <is>
          <t>LEP_ZA_AUG26_X_TD_RANGE_CONV</t>
        </is>
      </c>
      <c r="G1583" s="42" t="inlineStr">
        <is>
          <t>Website Conversions</t>
        </is>
      </c>
      <c r="H1583" s="42" t="inlineStr">
        <is>
          <t>Range</t>
        </is>
      </c>
      <c r="I1583" s="42" t="inlineStr">
        <is>
          <t>Range Offer</t>
        </is>
      </c>
      <c r="J1583" s="42" t="inlineStr">
        <is>
          <t>X_KEYWORD_CARBUY_ZA</t>
        </is>
      </c>
      <c r="K1583" s="42" t="inlineStr">
        <is>
          <t>Interest</t>
        </is>
      </c>
      <c r="L1583" s="42" t="inlineStr">
        <is>
          <t>X_VID_15s_RangeFilm_v1</t>
        </is>
      </c>
      <c r="M1583" s="42" t="inlineStr">
        <is>
          <t>Video 16:9</t>
        </is>
      </c>
      <c r="N1583" s="42" t="inlineStr">
        <is>
          <t>Meet the Lepas range</t>
        </is>
      </c>
      <c r="O1583" s="42" t="inlineStr">
        <is>
          <t>Auction - Lowest Cost</t>
        </is>
      </c>
      <c r="P1583" s="42" t="inlineStr">
        <is>
          <t>Site Visit / Conversion</t>
        </is>
      </c>
      <c r="Q1583" s="42" t="inlineStr">
        <is>
          <t>https://www.lepas-sa.co.za/offers</t>
        </is>
      </c>
      <c r="R1583" s="115" t="n">
        <v>143.53</v>
      </c>
      <c r="S1583" s="116" t="n">
        <v>2715</v>
      </c>
      <c r="T1583" s="116" t="n">
        <v>1900</v>
      </c>
      <c r="U1583" s="117">
        <f>IFERROR(S1583/T1583,"")</f>
        <v/>
      </c>
      <c r="V1583" s="116" t="n">
        <v>28</v>
      </c>
      <c r="W1583" s="116" t="n">
        <v>20</v>
      </c>
      <c r="X1583" s="118">
        <f>IFERROR(W1583/S1583,"")</f>
        <v/>
      </c>
      <c r="Y1583" s="115">
        <f>IFERROR(R1583/W1583,"")</f>
        <v/>
      </c>
      <c r="Z1583" s="115">
        <f>IFERROR(R1583/S1583*1000,"")</f>
        <v/>
      </c>
      <c r="AA1583" s="116" t="n">
        <v>15</v>
      </c>
      <c r="AB1583" s="47">
        <f>IFERROR(AA1583/W1583,"")</f>
        <v/>
      </c>
      <c r="AC1583" s="116" t="n">
        <v>774</v>
      </c>
      <c r="AD1583" s="116" t="n">
        <v>364</v>
      </c>
      <c r="AE1583" s="116" t="n">
        <v>288</v>
      </c>
      <c r="AF1583" s="116" t="n">
        <v>193</v>
      </c>
      <c r="AG1583" s="116" t="n">
        <v>130</v>
      </c>
      <c r="AH1583" s="116" t="n">
        <v>89</v>
      </c>
      <c r="AI1583" s="47">
        <f>IFERROR(AC1583/S1583,"")</f>
        <v/>
      </c>
      <c r="AJ1583" s="47">
        <f>IFERROR(AH1583/S1583,"")</f>
        <v/>
      </c>
      <c r="AK1583" s="116" t="n">
        <v>28</v>
      </c>
      <c r="AL1583" s="116" t="n">
        <v>0</v>
      </c>
      <c r="AM1583" s="118">
        <f>IFERROR(AL1583/AA1583,"")</f>
        <v/>
      </c>
      <c r="AN1583" s="119">
        <f>IFERROR(R1583/AL1583,"")</f>
        <v/>
      </c>
      <c r="AO1583" s="116" t="n">
        <v>0</v>
      </c>
      <c r="AP1583" s="47">
        <f>IFERROR(AO1583/AL1583,"")</f>
        <v/>
      </c>
      <c r="AQ1583" s="119">
        <f>IFERROR(R1583/AO1583,"")</f>
        <v/>
      </c>
      <c r="AR1583" s="116" t="n">
        <v>0</v>
      </c>
      <c r="AS1583" s="116" t="n">
        <v>0</v>
      </c>
      <c r="AT1583" s="116">
        <f>AL1583+AR1583</f>
        <v/>
      </c>
      <c r="AU1583" s="119">
        <f>IFERROR(AO1583*Assumptions!$C$26*Assumptions!$C$27*INDEX(Assumptions!$C$18:$C$21,MATCH(H1583,Assumptions!$B$18:$B$21,0)),0)</f>
        <v/>
      </c>
    </row>
    <row r="1584">
      <c r="A1584" s="114" t="n">
        <v>46237</v>
      </c>
      <c r="B1584" s="42" t="inlineStr">
        <is>
          <t>Wk 32</t>
        </is>
      </c>
      <c r="C1584" s="42" t="inlineStr">
        <is>
          <t>Mon</t>
        </is>
      </c>
      <c r="D1584" s="42" t="inlineStr">
        <is>
          <t>X</t>
        </is>
      </c>
      <c r="E1584" s="42" t="inlineStr">
        <is>
          <t>X (Twitter)</t>
        </is>
      </c>
      <c r="F1584" s="42" t="inlineStr">
        <is>
          <t>LEP_ZA_AUG26_X_TD_RANGE_CONV</t>
        </is>
      </c>
      <c r="G1584" s="42" t="inlineStr">
        <is>
          <t>Website Conversions</t>
        </is>
      </c>
      <c r="H1584" s="42" t="inlineStr">
        <is>
          <t>Range</t>
        </is>
      </c>
      <c r="I1584" s="42" t="inlineStr">
        <is>
          <t>Range Offer</t>
        </is>
      </c>
      <c r="J1584" s="42" t="inlineStr">
        <is>
          <t>X_KEYWORD_CARBUY_ZA</t>
        </is>
      </c>
      <c r="K1584" s="42" t="inlineStr">
        <is>
          <t>Interest</t>
        </is>
      </c>
      <c r="L1584" s="42" t="inlineStr">
        <is>
          <t>X_VID_15s_RangeFilm_v1</t>
        </is>
      </c>
      <c r="M1584" s="42" t="inlineStr">
        <is>
          <t>Video 16:9</t>
        </is>
      </c>
      <c r="N1584" s="42" t="inlineStr">
        <is>
          <t>Meet the Lepas range</t>
        </is>
      </c>
      <c r="O1584" s="42" t="inlineStr">
        <is>
          <t>Auction - Lowest Cost</t>
        </is>
      </c>
      <c r="P1584" s="42" t="inlineStr">
        <is>
          <t>Site Visit / Conversion</t>
        </is>
      </c>
      <c r="Q1584" s="42" t="inlineStr">
        <is>
          <t>https://www.lepas-sa.co.za/offers</t>
        </is>
      </c>
      <c r="R1584" s="115" t="n">
        <v>146.73</v>
      </c>
      <c r="S1584" s="116" t="n">
        <v>2311</v>
      </c>
      <c r="T1584" s="116" t="n">
        <v>1757</v>
      </c>
      <c r="U1584" s="117">
        <f>IFERROR(S1584/T1584,"")</f>
        <v/>
      </c>
      <c r="V1584" s="116" t="n">
        <v>15</v>
      </c>
      <c r="W1584" s="116" t="n">
        <v>12</v>
      </c>
      <c r="X1584" s="118">
        <f>IFERROR(W1584/S1584,"")</f>
        <v/>
      </c>
      <c r="Y1584" s="115">
        <f>IFERROR(R1584/W1584,"")</f>
        <v/>
      </c>
      <c r="Z1584" s="115">
        <f>IFERROR(R1584/S1584*1000,"")</f>
        <v/>
      </c>
      <c r="AA1584" s="116" t="n">
        <v>9</v>
      </c>
      <c r="AB1584" s="47">
        <f>IFERROR(AA1584/W1584,"")</f>
        <v/>
      </c>
      <c r="AC1584" s="116" t="n">
        <v>536</v>
      </c>
      <c r="AD1584" s="116" t="n">
        <v>308</v>
      </c>
      <c r="AE1584" s="116" t="n">
        <v>213</v>
      </c>
      <c r="AF1584" s="116" t="n">
        <v>118</v>
      </c>
      <c r="AG1584" s="116" t="n">
        <v>77</v>
      </c>
      <c r="AH1584" s="116" t="n">
        <v>43</v>
      </c>
      <c r="AI1584" s="47">
        <f>IFERROR(AC1584/S1584,"")</f>
        <v/>
      </c>
      <c r="AJ1584" s="47">
        <f>IFERROR(AH1584/S1584,"")</f>
        <v/>
      </c>
      <c r="AK1584" s="116" t="n">
        <v>23</v>
      </c>
      <c r="AL1584" s="116" t="n">
        <v>0</v>
      </c>
      <c r="AM1584" s="118">
        <f>IFERROR(AL1584/AA1584,"")</f>
        <v/>
      </c>
      <c r="AN1584" s="119">
        <f>IFERROR(R1584/AL1584,"")</f>
        <v/>
      </c>
      <c r="AO1584" s="116" t="n">
        <v>0</v>
      </c>
      <c r="AP1584" s="47">
        <f>IFERROR(AO1584/AL1584,"")</f>
        <v/>
      </c>
      <c r="AQ1584" s="119">
        <f>IFERROR(R1584/AO1584,"")</f>
        <v/>
      </c>
      <c r="AR1584" s="116" t="n">
        <v>0</v>
      </c>
      <c r="AS1584" s="116" t="n">
        <v>0</v>
      </c>
      <c r="AT1584" s="116">
        <f>AL1584+AR1584</f>
        <v/>
      </c>
      <c r="AU1584" s="119">
        <f>IFERROR(AO1584*Assumptions!$C$26*Assumptions!$C$27*INDEX(Assumptions!$C$18:$C$21,MATCH(H1584,Assumptions!$B$18:$B$21,0)),0)</f>
        <v/>
      </c>
    </row>
    <row r="1585">
      <c r="A1585" s="114" t="n">
        <v>46238</v>
      </c>
      <c r="B1585" s="42" t="inlineStr">
        <is>
          <t>Wk 32</t>
        </is>
      </c>
      <c r="C1585" s="42" t="inlineStr">
        <is>
          <t>Tue</t>
        </is>
      </c>
      <c r="D1585" s="42" t="inlineStr">
        <is>
          <t>X</t>
        </is>
      </c>
      <c r="E1585" s="42" t="inlineStr">
        <is>
          <t>X (Twitter)</t>
        </is>
      </c>
      <c r="F1585" s="42" t="inlineStr">
        <is>
          <t>LEP_ZA_AUG26_X_TD_RANGE_CONV</t>
        </is>
      </c>
      <c r="G1585" s="42" t="inlineStr">
        <is>
          <t>Website Conversions</t>
        </is>
      </c>
      <c r="H1585" s="42" t="inlineStr">
        <is>
          <t>Range</t>
        </is>
      </c>
      <c r="I1585" s="42" t="inlineStr">
        <is>
          <t>Range Offer</t>
        </is>
      </c>
      <c r="J1585" s="42" t="inlineStr">
        <is>
          <t>X_KEYWORD_CARBUY_ZA</t>
        </is>
      </c>
      <c r="K1585" s="42" t="inlineStr">
        <is>
          <t>Interest</t>
        </is>
      </c>
      <c r="L1585" s="42" t="inlineStr">
        <is>
          <t>X_VID_15s_RangeFilm_v1</t>
        </is>
      </c>
      <c r="M1585" s="42" t="inlineStr">
        <is>
          <t>Video 16:9</t>
        </is>
      </c>
      <c r="N1585" s="42" t="inlineStr">
        <is>
          <t>Meet the Lepas range</t>
        </is>
      </c>
      <c r="O1585" s="42" t="inlineStr">
        <is>
          <t>Auction - Lowest Cost</t>
        </is>
      </c>
      <c r="P1585" s="42" t="inlineStr">
        <is>
          <t>Site Visit / Conversion</t>
        </is>
      </c>
      <c r="Q1585" s="42" t="inlineStr">
        <is>
          <t>https://www.lepas-sa.co.za/offers</t>
        </is>
      </c>
      <c r="R1585" s="115" t="n">
        <v>161.98</v>
      </c>
      <c r="S1585" s="116" t="n">
        <v>2503</v>
      </c>
      <c r="T1585" s="116" t="n">
        <v>2136</v>
      </c>
      <c r="U1585" s="117">
        <f>IFERROR(S1585/T1585,"")</f>
        <v/>
      </c>
      <c r="V1585" s="116" t="n">
        <v>28</v>
      </c>
      <c r="W1585" s="116" t="n">
        <v>20</v>
      </c>
      <c r="X1585" s="118">
        <f>IFERROR(W1585/S1585,"")</f>
        <v/>
      </c>
      <c r="Y1585" s="115">
        <f>IFERROR(R1585/W1585,"")</f>
        <v/>
      </c>
      <c r="Z1585" s="115">
        <f>IFERROR(R1585/S1585*1000,"")</f>
        <v/>
      </c>
      <c r="AA1585" s="116" t="n">
        <v>14</v>
      </c>
      <c r="AB1585" s="47">
        <f>IFERROR(AA1585/W1585,"")</f>
        <v/>
      </c>
      <c r="AC1585" s="116" t="n">
        <v>886</v>
      </c>
      <c r="AD1585" s="116" t="n">
        <v>429</v>
      </c>
      <c r="AE1585" s="116" t="n">
        <v>409</v>
      </c>
      <c r="AF1585" s="116" t="n">
        <v>255</v>
      </c>
      <c r="AG1585" s="116" t="n">
        <v>172</v>
      </c>
      <c r="AH1585" s="116" t="n">
        <v>106</v>
      </c>
      <c r="AI1585" s="47">
        <f>IFERROR(AC1585/S1585,"")</f>
        <v/>
      </c>
      <c r="AJ1585" s="47">
        <f>IFERROR(AH1585/S1585,"")</f>
        <v/>
      </c>
      <c r="AK1585" s="116" t="n">
        <v>50</v>
      </c>
      <c r="AL1585" s="116" t="n">
        <v>0</v>
      </c>
      <c r="AM1585" s="118">
        <f>IFERROR(AL1585/AA1585,"")</f>
        <v/>
      </c>
      <c r="AN1585" s="119">
        <f>IFERROR(R1585/AL1585,"")</f>
        <v/>
      </c>
      <c r="AO1585" s="116" t="n">
        <v>0</v>
      </c>
      <c r="AP1585" s="47">
        <f>IFERROR(AO1585/AL1585,"")</f>
        <v/>
      </c>
      <c r="AQ1585" s="119">
        <f>IFERROR(R1585/AO1585,"")</f>
        <v/>
      </c>
      <c r="AR1585" s="116" t="n">
        <v>0</v>
      </c>
      <c r="AS1585" s="116" t="n">
        <v>0</v>
      </c>
      <c r="AT1585" s="116">
        <f>AL1585+AR1585</f>
        <v/>
      </c>
      <c r="AU1585" s="119">
        <f>IFERROR(AO1585*Assumptions!$C$26*Assumptions!$C$27*INDEX(Assumptions!$C$18:$C$21,MATCH(H1585,Assumptions!$B$18:$B$21,0)),0)</f>
        <v/>
      </c>
    </row>
    <row r="1586">
      <c r="A1586" s="114" t="n">
        <v>46239</v>
      </c>
      <c r="B1586" s="42" t="inlineStr">
        <is>
          <t>Wk 32</t>
        </is>
      </c>
      <c r="C1586" s="42" t="inlineStr">
        <is>
          <t>Wed</t>
        </is>
      </c>
      <c r="D1586" s="42" t="inlineStr">
        <is>
          <t>X</t>
        </is>
      </c>
      <c r="E1586" s="42" t="inlineStr">
        <is>
          <t>X (Twitter)</t>
        </is>
      </c>
      <c r="F1586" s="42" t="inlineStr">
        <is>
          <t>LEP_ZA_AUG26_X_TD_RANGE_CONV</t>
        </is>
      </c>
      <c r="G1586" s="42" t="inlineStr">
        <is>
          <t>Website Conversions</t>
        </is>
      </c>
      <c r="H1586" s="42" t="inlineStr">
        <is>
          <t>Range</t>
        </is>
      </c>
      <c r="I1586" s="42" t="inlineStr">
        <is>
          <t>Range Offer</t>
        </is>
      </c>
      <c r="J1586" s="42" t="inlineStr">
        <is>
          <t>X_KEYWORD_CARBUY_ZA</t>
        </is>
      </c>
      <c r="K1586" s="42" t="inlineStr">
        <is>
          <t>Interest</t>
        </is>
      </c>
      <c r="L1586" s="42" t="inlineStr">
        <is>
          <t>X_VID_15s_RangeFilm_v1</t>
        </is>
      </c>
      <c r="M1586" s="42" t="inlineStr">
        <is>
          <t>Video 16:9</t>
        </is>
      </c>
      <c r="N1586" s="42" t="inlineStr">
        <is>
          <t>Meet the Lepas range</t>
        </is>
      </c>
      <c r="O1586" s="42" t="inlineStr">
        <is>
          <t>Auction - Lowest Cost</t>
        </is>
      </c>
      <c r="P1586" s="42" t="inlineStr">
        <is>
          <t>Site Visit / Conversion</t>
        </is>
      </c>
      <c r="Q1586" s="42" t="inlineStr">
        <is>
          <t>https://www.lepas-sa.co.za/offers</t>
        </is>
      </c>
      <c r="R1586" s="115" t="n">
        <v>179.49</v>
      </c>
      <c r="S1586" s="116" t="n">
        <v>3889</v>
      </c>
      <c r="T1586" s="116" t="n">
        <v>2837</v>
      </c>
      <c r="U1586" s="117">
        <f>IFERROR(S1586/T1586,"")</f>
        <v/>
      </c>
      <c r="V1586" s="116" t="n">
        <v>28</v>
      </c>
      <c r="W1586" s="116" t="n">
        <v>23</v>
      </c>
      <c r="X1586" s="118">
        <f>IFERROR(W1586/S1586,"")</f>
        <v/>
      </c>
      <c r="Y1586" s="115">
        <f>IFERROR(R1586/W1586,"")</f>
        <v/>
      </c>
      <c r="Z1586" s="115">
        <f>IFERROR(R1586/S1586*1000,"")</f>
        <v/>
      </c>
      <c r="AA1586" s="116" t="n">
        <v>17</v>
      </c>
      <c r="AB1586" s="47">
        <f>IFERROR(AA1586/W1586,"")</f>
        <v/>
      </c>
      <c r="AC1586" s="116" t="n">
        <v>1325</v>
      </c>
      <c r="AD1586" s="116" t="n">
        <v>778</v>
      </c>
      <c r="AE1586" s="116" t="n">
        <v>536</v>
      </c>
      <c r="AF1586" s="116" t="n">
        <v>364</v>
      </c>
      <c r="AG1586" s="116" t="n">
        <v>242</v>
      </c>
      <c r="AH1586" s="116" t="n">
        <v>143</v>
      </c>
      <c r="AI1586" s="47">
        <f>IFERROR(AC1586/S1586,"")</f>
        <v/>
      </c>
      <c r="AJ1586" s="47">
        <f>IFERROR(AH1586/S1586,"")</f>
        <v/>
      </c>
      <c r="AK1586" s="116" t="n">
        <v>91</v>
      </c>
      <c r="AL1586" s="116" t="n">
        <v>1</v>
      </c>
      <c r="AM1586" s="118">
        <f>IFERROR(AL1586/AA1586,"")</f>
        <v/>
      </c>
      <c r="AN1586" s="119">
        <f>IFERROR(R1586/AL1586,"")</f>
        <v/>
      </c>
      <c r="AO1586" s="116" t="n">
        <v>1</v>
      </c>
      <c r="AP1586" s="47">
        <f>IFERROR(AO1586/AL1586,"")</f>
        <v/>
      </c>
      <c r="AQ1586" s="119">
        <f>IFERROR(R1586/AO1586,"")</f>
        <v/>
      </c>
      <c r="AR1586" s="116" t="n">
        <v>0</v>
      </c>
      <c r="AS1586" s="116" t="n">
        <v>0</v>
      </c>
      <c r="AT1586" s="116">
        <f>AL1586+AR1586</f>
        <v/>
      </c>
      <c r="AU1586" s="119">
        <f>IFERROR(AO1586*Assumptions!$C$26*Assumptions!$C$27*INDEX(Assumptions!$C$18:$C$21,MATCH(H1586,Assumptions!$B$18:$B$21,0)),0)</f>
        <v/>
      </c>
    </row>
    <row r="1587">
      <c r="A1587" s="114" t="n">
        <v>46240</v>
      </c>
      <c r="B1587" s="42" t="inlineStr">
        <is>
          <t>Wk 32</t>
        </is>
      </c>
      <c r="C1587" s="42" t="inlineStr">
        <is>
          <t>Thu</t>
        </is>
      </c>
      <c r="D1587" s="42" t="inlineStr">
        <is>
          <t>X</t>
        </is>
      </c>
      <c r="E1587" s="42" t="inlineStr">
        <is>
          <t>X (Twitter)</t>
        </is>
      </c>
      <c r="F1587" s="42" t="inlineStr">
        <is>
          <t>LEP_ZA_AUG26_X_TD_RANGE_CONV</t>
        </is>
      </c>
      <c r="G1587" s="42" t="inlineStr">
        <is>
          <t>Website Conversions</t>
        </is>
      </c>
      <c r="H1587" s="42" t="inlineStr">
        <is>
          <t>Range</t>
        </is>
      </c>
      <c r="I1587" s="42" t="inlineStr">
        <is>
          <t>Range Offer</t>
        </is>
      </c>
      <c r="J1587" s="42" t="inlineStr">
        <is>
          <t>X_KEYWORD_CARBUY_ZA</t>
        </is>
      </c>
      <c r="K1587" s="42" t="inlineStr">
        <is>
          <t>Interest</t>
        </is>
      </c>
      <c r="L1587" s="42" t="inlineStr">
        <is>
          <t>X_VID_15s_RangeFilm_v1</t>
        </is>
      </c>
      <c r="M1587" s="42" t="inlineStr">
        <is>
          <t>Video 16:9</t>
        </is>
      </c>
      <c r="N1587" s="42" t="inlineStr">
        <is>
          <t>Meet the Lepas range</t>
        </is>
      </c>
      <c r="O1587" s="42" t="inlineStr">
        <is>
          <t>Auction - Lowest Cost</t>
        </is>
      </c>
      <c r="P1587" s="42" t="inlineStr">
        <is>
          <t>Site Visit / Conversion</t>
        </is>
      </c>
      <c r="Q1587" s="42" t="inlineStr">
        <is>
          <t>https://www.lepas-sa.co.za/offers</t>
        </is>
      </c>
      <c r="R1587" s="115" t="n">
        <v>184.73</v>
      </c>
      <c r="S1587" s="116" t="n">
        <v>4479</v>
      </c>
      <c r="T1587" s="116" t="n">
        <v>3237</v>
      </c>
      <c r="U1587" s="117">
        <f>IFERROR(S1587/T1587,"")</f>
        <v/>
      </c>
      <c r="V1587" s="116" t="n">
        <v>35</v>
      </c>
      <c r="W1587" s="116" t="n">
        <v>26</v>
      </c>
      <c r="X1587" s="118">
        <f>IFERROR(W1587/S1587,"")</f>
        <v/>
      </c>
      <c r="Y1587" s="115">
        <f>IFERROR(R1587/W1587,"")</f>
        <v/>
      </c>
      <c r="Z1587" s="115">
        <f>IFERROR(R1587/S1587*1000,"")</f>
        <v/>
      </c>
      <c r="AA1587" s="116" t="n">
        <v>20</v>
      </c>
      <c r="AB1587" s="47">
        <f>IFERROR(AA1587/W1587,"")</f>
        <v/>
      </c>
      <c r="AC1587" s="116" t="n">
        <v>1445</v>
      </c>
      <c r="AD1587" s="116" t="n">
        <v>676</v>
      </c>
      <c r="AE1587" s="116" t="n">
        <v>770</v>
      </c>
      <c r="AF1587" s="116" t="n">
        <v>416</v>
      </c>
      <c r="AG1587" s="116" t="n">
        <v>299</v>
      </c>
      <c r="AH1587" s="116" t="n">
        <v>217</v>
      </c>
      <c r="AI1587" s="47">
        <f>IFERROR(AC1587/S1587,"")</f>
        <v/>
      </c>
      <c r="AJ1587" s="47">
        <f>IFERROR(AH1587/S1587,"")</f>
        <v/>
      </c>
      <c r="AK1587" s="116" t="n">
        <v>91</v>
      </c>
      <c r="AL1587" s="116" t="n">
        <v>1</v>
      </c>
      <c r="AM1587" s="118">
        <f>IFERROR(AL1587/AA1587,"")</f>
        <v/>
      </c>
      <c r="AN1587" s="119">
        <f>IFERROR(R1587/AL1587,"")</f>
        <v/>
      </c>
      <c r="AO1587" s="116" t="n">
        <v>1</v>
      </c>
      <c r="AP1587" s="47">
        <f>IFERROR(AO1587/AL1587,"")</f>
        <v/>
      </c>
      <c r="AQ1587" s="119">
        <f>IFERROR(R1587/AO1587,"")</f>
        <v/>
      </c>
      <c r="AR1587" s="116" t="n">
        <v>0</v>
      </c>
      <c r="AS1587" s="116" t="n">
        <v>0</v>
      </c>
      <c r="AT1587" s="116">
        <f>AL1587+AR1587</f>
        <v/>
      </c>
      <c r="AU1587" s="119">
        <f>IFERROR(AO1587*Assumptions!$C$26*Assumptions!$C$27*INDEX(Assumptions!$C$18:$C$21,MATCH(H1587,Assumptions!$B$18:$B$21,0)),0)</f>
        <v/>
      </c>
    </row>
    <row r="1588">
      <c r="A1588" s="114" t="n">
        <v>46241</v>
      </c>
      <c r="B1588" s="42" t="inlineStr">
        <is>
          <t>Wk 32</t>
        </is>
      </c>
      <c r="C1588" s="42" t="inlineStr">
        <is>
          <t>Fri</t>
        </is>
      </c>
      <c r="D1588" s="42" t="inlineStr">
        <is>
          <t>X</t>
        </is>
      </c>
      <c r="E1588" s="42" t="inlineStr">
        <is>
          <t>X (Twitter)</t>
        </is>
      </c>
      <c r="F1588" s="42" t="inlineStr">
        <is>
          <t>LEP_ZA_AUG26_X_TD_RANGE_CONV</t>
        </is>
      </c>
      <c r="G1588" s="42" t="inlineStr">
        <is>
          <t>Website Conversions</t>
        </is>
      </c>
      <c r="H1588" s="42" t="inlineStr">
        <is>
          <t>Range</t>
        </is>
      </c>
      <c r="I1588" s="42" t="inlineStr">
        <is>
          <t>Range Offer</t>
        </is>
      </c>
      <c r="J1588" s="42" t="inlineStr">
        <is>
          <t>X_KEYWORD_CARBUY_ZA</t>
        </is>
      </c>
      <c r="K1588" s="42" t="inlineStr">
        <is>
          <t>Interest</t>
        </is>
      </c>
      <c r="L1588" s="42" t="inlineStr">
        <is>
          <t>X_VID_15s_RangeFilm_v1</t>
        </is>
      </c>
      <c r="M1588" s="42" t="inlineStr">
        <is>
          <t>Video 16:9</t>
        </is>
      </c>
      <c r="N1588" s="42" t="inlineStr">
        <is>
          <t>Meet the Lepas range</t>
        </is>
      </c>
      <c r="O1588" s="42" t="inlineStr">
        <is>
          <t>Auction - Lowest Cost</t>
        </is>
      </c>
      <c r="P1588" s="42" t="inlineStr">
        <is>
          <t>Site Visit / Conversion</t>
        </is>
      </c>
      <c r="Q1588" s="42" t="inlineStr">
        <is>
          <t>https://www.lepas-sa.co.za/offers</t>
        </is>
      </c>
      <c r="R1588" s="115" t="n">
        <v>168.96</v>
      </c>
      <c r="S1588" s="116" t="n">
        <v>3592</v>
      </c>
      <c r="T1588" s="116" t="n">
        <v>2494</v>
      </c>
      <c r="U1588" s="117">
        <f>IFERROR(S1588/T1588,"")</f>
        <v/>
      </c>
      <c r="V1588" s="116" t="n">
        <v>21</v>
      </c>
      <c r="W1588" s="116" t="n">
        <v>17</v>
      </c>
      <c r="X1588" s="118">
        <f>IFERROR(W1588/S1588,"")</f>
        <v/>
      </c>
      <c r="Y1588" s="115">
        <f>IFERROR(R1588/W1588,"")</f>
        <v/>
      </c>
      <c r="Z1588" s="115">
        <f>IFERROR(R1588/S1588*1000,"")</f>
        <v/>
      </c>
      <c r="AA1588" s="116" t="n">
        <v>13</v>
      </c>
      <c r="AB1588" s="47">
        <f>IFERROR(AA1588/W1588,"")</f>
        <v/>
      </c>
      <c r="AC1588" s="116" t="n">
        <v>932</v>
      </c>
      <c r="AD1588" s="116" t="n">
        <v>540</v>
      </c>
      <c r="AE1588" s="116" t="n">
        <v>430</v>
      </c>
      <c r="AF1588" s="116" t="n">
        <v>268</v>
      </c>
      <c r="AG1588" s="116" t="n">
        <v>176</v>
      </c>
      <c r="AH1588" s="116" t="n">
        <v>112</v>
      </c>
      <c r="AI1588" s="47">
        <f>IFERROR(AC1588/S1588,"")</f>
        <v/>
      </c>
      <c r="AJ1588" s="47">
        <f>IFERROR(AH1588/S1588,"")</f>
        <v/>
      </c>
      <c r="AK1588" s="116" t="n">
        <v>98</v>
      </c>
      <c r="AL1588" s="116" t="n">
        <v>1</v>
      </c>
      <c r="AM1588" s="118">
        <f>IFERROR(AL1588/AA1588,"")</f>
        <v/>
      </c>
      <c r="AN1588" s="119">
        <f>IFERROR(R1588/AL1588,"")</f>
        <v/>
      </c>
      <c r="AO1588" s="116" t="n">
        <v>1</v>
      </c>
      <c r="AP1588" s="47">
        <f>IFERROR(AO1588/AL1588,"")</f>
        <v/>
      </c>
      <c r="AQ1588" s="119">
        <f>IFERROR(R1588/AO1588,"")</f>
        <v/>
      </c>
      <c r="AR1588" s="116" t="n">
        <v>0</v>
      </c>
      <c r="AS1588" s="116" t="n">
        <v>0</v>
      </c>
      <c r="AT1588" s="116">
        <f>AL1588+AR1588</f>
        <v/>
      </c>
      <c r="AU1588" s="119">
        <f>IFERROR(AO1588*Assumptions!$C$26*Assumptions!$C$27*INDEX(Assumptions!$C$18:$C$21,MATCH(H1588,Assumptions!$B$18:$B$21,0)),0)</f>
        <v/>
      </c>
    </row>
    <row r="1589">
      <c r="A1589" s="114" t="n">
        <v>46242</v>
      </c>
      <c r="B1589" s="42" t="inlineStr">
        <is>
          <t>Wk 32</t>
        </is>
      </c>
      <c r="C1589" s="42" t="inlineStr">
        <is>
          <t>Sat</t>
        </is>
      </c>
      <c r="D1589" s="42" t="inlineStr">
        <is>
          <t>X</t>
        </is>
      </c>
      <c r="E1589" s="42" t="inlineStr">
        <is>
          <t>X (Twitter)</t>
        </is>
      </c>
      <c r="F1589" s="42" t="inlineStr">
        <is>
          <t>LEP_ZA_AUG26_X_TD_RANGE_CONV</t>
        </is>
      </c>
      <c r="G1589" s="42" t="inlineStr">
        <is>
          <t>Website Conversions</t>
        </is>
      </c>
      <c r="H1589" s="42" t="inlineStr">
        <is>
          <t>Range</t>
        </is>
      </c>
      <c r="I1589" s="42" t="inlineStr">
        <is>
          <t>Range Offer</t>
        </is>
      </c>
      <c r="J1589" s="42" t="inlineStr">
        <is>
          <t>X_KEYWORD_CARBUY_ZA</t>
        </is>
      </c>
      <c r="K1589" s="42" t="inlineStr">
        <is>
          <t>Interest</t>
        </is>
      </c>
      <c r="L1589" s="42" t="inlineStr">
        <is>
          <t>X_VID_15s_RangeFilm_v1</t>
        </is>
      </c>
      <c r="M1589" s="42" t="inlineStr">
        <is>
          <t>Video 16:9</t>
        </is>
      </c>
      <c r="N1589" s="42" t="inlineStr">
        <is>
          <t>Meet the Lepas range</t>
        </is>
      </c>
      <c r="O1589" s="42" t="inlineStr">
        <is>
          <t>Auction - Lowest Cost</t>
        </is>
      </c>
      <c r="P1589" s="42" t="inlineStr">
        <is>
          <t>Site Visit / Conversion</t>
        </is>
      </c>
      <c r="Q1589" s="42" t="inlineStr">
        <is>
          <t>https://www.lepas-sa.co.za/offers</t>
        </is>
      </c>
      <c r="R1589" s="115" t="n">
        <v>184.11</v>
      </c>
      <c r="S1589" s="116" t="n">
        <v>2809</v>
      </c>
      <c r="T1589" s="116" t="n">
        <v>1871</v>
      </c>
      <c r="U1589" s="117">
        <f>IFERROR(S1589/T1589,"")</f>
        <v/>
      </c>
      <c r="V1589" s="116" t="n">
        <v>28</v>
      </c>
      <c r="W1589" s="116" t="n">
        <v>24</v>
      </c>
      <c r="X1589" s="118">
        <f>IFERROR(W1589/S1589,"")</f>
        <v/>
      </c>
      <c r="Y1589" s="115">
        <f>IFERROR(R1589/W1589,"")</f>
        <v/>
      </c>
      <c r="Z1589" s="115">
        <f>IFERROR(R1589/S1589*1000,"")</f>
        <v/>
      </c>
      <c r="AA1589" s="116" t="n">
        <v>17</v>
      </c>
      <c r="AB1589" s="47">
        <f>IFERROR(AA1589/W1589,"")</f>
        <v/>
      </c>
      <c r="AC1589" s="116" t="n">
        <v>1056</v>
      </c>
      <c r="AD1589" s="116" t="n">
        <v>499</v>
      </c>
      <c r="AE1589" s="116" t="n">
        <v>421</v>
      </c>
      <c r="AF1589" s="116" t="n">
        <v>269</v>
      </c>
      <c r="AG1589" s="116" t="n">
        <v>193</v>
      </c>
      <c r="AH1589" s="116" t="n">
        <v>128</v>
      </c>
      <c r="AI1589" s="47">
        <f>IFERROR(AC1589/S1589,"")</f>
        <v/>
      </c>
      <c r="AJ1589" s="47">
        <f>IFERROR(AH1589/S1589,"")</f>
        <v/>
      </c>
      <c r="AK1589" s="116" t="n">
        <v>52</v>
      </c>
      <c r="AL1589" s="116" t="n">
        <v>0</v>
      </c>
      <c r="AM1589" s="118">
        <f>IFERROR(AL1589/AA1589,"")</f>
        <v/>
      </c>
      <c r="AN1589" s="119">
        <f>IFERROR(R1589/AL1589,"")</f>
        <v/>
      </c>
      <c r="AO1589" s="116" t="n">
        <v>0</v>
      </c>
      <c r="AP1589" s="47">
        <f>IFERROR(AO1589/AL1589,"")</f>
        <v/>
      </c>
      <c r="AQ1589" s="119">
        <f>IFERROR(R1589/AO1589,"")</f>
        <v/>
      </c>
      <c r="AR1589" s="116" t="n">
        <v>0</v>
      </c>
      <c r="AS1589" s="116" t="n">
        <v>0</v>
      </c>
      <c r="AT1589" s="116">
        <f>AL1589+AR1589</f>
        <v/>
      </c>
      <c r="AU1589" s="119">
        <f>IFERROR(AO1589*Assumptions!$C$26*Assumptions!$C$27*INDEX(Assumptions!$C$18:$C$21,MATCH(H1589,Assumptions!$B$18:$B$21,0)),0)</f>
        <v/>
      </c>
    </row>
    <row r="1590">
      <c r="A1590" s="114" t="n">
        <v>46243</v>
      </c>
      <c r="B1590" s="42" t="inlineStr">
        <is>
          <t>Wk 32</t>
        </is>
      </c>
      <c r="C1590" s="42" t="inlineStr">
        <is>
          <t>Sun</t>
        </is>
      </c>
      <c r="D1590" s="42" t="inlineStr">
        <is>
          <t>X</t>
        </is>
      </c>
      <c r="E1590" s="42" t="inlineStr">
        <is>
          <t>X (Twitter)</t>
        </is>
      </c>
      <c r="F1590" s="42" t="inlineStr">
        <is>
          <t>LEP_ZA_AUG26_X_TD_RANGE_CONV</t>
        </is>
      </c>
      <c r="G1590" s="42" t="inlineStr">
        <is>
          <t>Website Conversions</t>
        </is>
      </c>
      <c r="H1590" s="42" t="inlineStr">
        <is>
          <t>Range</t>
        </is>
      </c>
      <c r="I1590" s="42" t="inlineStr">
        <is>
          <t>Range Offer</t>
        </is>
      </c>
      <c r="J1590" s="42" t="inlineStr">
        <is>
          <t>X_KEYWORD_CARBUY_ZA</t>
        </is>
      </c>
      <c r="K1590" s="42" t="inlineStr">
        <is>
          <t>Interest</t>
        </is>
      </c>
      <c r="L1590" s="42" t="inlineStr">
        <is>
          <t>X_VID_15s_RangeFilm_v1</t>
        </is>
      </c>
      <c r="M1590" s="42" t="inlineStr">
        <is>
          <t>Video 16:9</t>
        </is>
      </c>
      <c r="N1590" s="42" t="inlineStr">
        <is>
          <t>Meet the Lepas range</t>
        </is>
      </c>
      <c r="O1590" s="42" t="inlineStr">
        <is>
          <t>Auction - Lowest Cost</t>
        </is>
      </c>
      <c r="P1590" s="42" t="inlineStr">
        <is>
          <t>Site Visit / Conversion</t>
        </is>
      </c>
      <c r="Q1590" s="42" t="inlineStr">
        <is>
          <t>https://www.lepas-sa.co.za/offers</t>
        </is>
      </c>
      <c r="R1590" s="115" t="n">
        <v>133.9</v>
      </c>
      <c r="S1590" s="116" t="n">
        <v>2511</v>
      </c>
      <c r="T1590" s="116" t="n">
        <v>1618</v>
      </c>
      <c r="U1590" s="117">
        <f>IFERROR(S1590/T1590,"")</f>
        <v/>
      </c>
      <c r="V1590" s="116" t="n">
        <v>14</v>
      </c>
      <c r="W1590" s="116" t="n">
        <v>10</v>
      </c>
      <c r="X1590" s="118">
        <f>IFERROR(W1590/S1590,"")</f>
        <v/>
      </c>
      <c r="Y1590" s="115">
        <f>IFERROR(R1590/W1590,"")</f>
        <v/>
      </c>
      <c r="Z1590" s="115">
        <f>IFERROR(R1590/S1590*1000,"")</f>
        <v/>
      </c>
      <c r="AA1590" s="116" t="n">
        <v>8</v>
      </c>
      <c r="AB1590" s="47">
        <f>IFERROR(AA1590/W1590,"")</f>
        <v/>
      </c>
      <c r="AC1590" s="116" t="n">
        <v>677</v>
      </c>
      <c r="AD1590" s="116" t="n">
        <v>375</v>
      </c>
      <c r="AE1590" s="116" t="n">
        <v>320</v>
      </c>
      <c r="AF1590" s="116" t="n">
        <v>168</v>
      </c>
      <c r="AG1590" s="116" t="n">
        <v>123</v>
      </c>
      <c r="AH1590" s="116" t="n">
        <v>72</v>
      </c>
      <c r="AI1590" s="47">
        <f>IFERROR(AC1590/S1590,"")</f>
        <v/>
      </c>
      <c r="AJ1590" s="47">
        <f>IFERROR(AH1590/S1590,"")</f>
        <v/>
      </c>
      <c r="AK1590" s="116" t="n">
        <v>54</v>
      </c>
      <c r="AL1590" s="116" t="n">
        <v>0</v>
      </c>
      <c r="AM1590" s="118">
        <f>IFERROR(AL1590/AA1590,"")</f>
        <v/>
      </c>
      <c r="AN1590" s="119">
        <f>IFERROR(R1590/AL1590,"")</f>
        <v/>
      </c>
      <c r="AO1590" s="116" t="n">
        <v>0</v>
      </c>
      <c r="AP1590" s="47">
        <f>IFERROR(AO1590/AL1590,"")</f>
        <v/>
      </c>
      <c r="AQ1590" s="119">
        <f>IFERROR(R1590/AO1590,"")</f>
        <v/>
      </c>
      <c r="AR1590" s="116" t="n">
        <v>0</v>
      </c>
      <c r="AS1590" s="116" t="n">
        <v>0</v>
      </c>
      <c r="AT1590" s="116">
        <f>AL1590+AR1590</f>
        <v/>
      </c>
      <c r="AU1590" s="119">
        <f>IFERROR(AO1590*Assumptions!$C$26*Assumptions!$C$27*INDEX(Assumptions!$C$18:$C$21,MATCH(H1590,Assumptions!$B$18:$B$21,0)),0)</f>
        <v/>
      </c>
    </row>
    <row r="1591">
      <c r="A1591" s="114" t="n">
        <v>46244</v>
      </c>
      <c r="B1591" s="42" t="inlineStr">
        <is>
          <t>Wk 33</t>
        </is>
      </c>
      <c r="C1591" s="42" t="inlineStr">
        <is>
          <t>Mon</t>
        </is>
      </c>
      <c r="D1591" s="42" t="inlineStr">
        <is>
          <t>X</t>
        </is>
      </c>
      <c r="E1591" s="42" t="inlineStr">
        <is>
          <t>X (Twitter)</t>
        </is>
      </c>
      <c r="F1591" s="42" t="inlineStr">
        <is>
          <t>LEP_ZA_AUG26_X_TD_RANGE_CONV</t>
        </is>
      </c>
      <c r="G1591" s="42" t="inlineStr">
        <is>
          <t>Website Conversions</t>
        </is>
      </c>
      <c r="H1591" s="42" t="inlineStr">
        <is>
          <t>Range</t>
        </is>
      </c>
      <c r="I1591" s="42" t="inlineStr">
        <is>
          <t>Range Offer</t>
        </is>
      </c>
      <c r="J1591" s="42" t="inlineStr">
        <is>
          <t>X_KEYWORD_CARBUY_ZA</t>
        </is>
      </c>
      <c r="K1591" s="42" t="inlineStr">
        <is>
          <t>Interest</t>
        </is>
      </c>
      <c r="L1591" s="42" t="inlineStr">
        <is>
          <t>X_VID_15s_RangeFilm_v1</t>
        </is>
      </c>
      <c r="M1591" s="42" t="inlineStr">
        <is>
          <t>Video 16:9</t>
        </is>
      </c>
      <c r="N1591" s="42" t="inlineStr">
        <is>
          <t>Meet the Lepas range</t>
        </is>
      </c>
      <c r="O1591" s="42" t="inlineStr">
        <is>
          <t>Auction - Lowest Cost</t>
        </is>
      </c>
      <c r="P1591" s="42" t="inlineStr">
        <is>
          <t>Site Visit / Conversion</t>
        </is>
      </c>
      <c r="Q1591" s="42" t="inlineStr">
        <is>
          <t>https://www.lepas-sa.co.za/offers</t>
        </is>
      </c>
      <c r="R1591" s="115" t="n">
        <v>170.92</v>
      </c>
      <c r="S1591" s="116" t="n">
        <v>3614</v>
      </c>
      <c r="T1591" s="116" t="n">
        <v>2604</v>
      </c>
      <c r="U1591" s="117">
        <f>IFERROR(S1591/T1591,"")</f>
        <v/>
      </c>
      <c r="V1591" s="116" t="n">
        <v>26</v>
      </c>
      <c r="W1591" s="116" t="n">
        <v>20</v>
      </c>
      <c r="X1591" s="118">
        <f>IFERROR(W1591/S1591,"")</f>
        <v/>
      </c>
      <c r="Y1591" s="115">
        <f>IFERROR(R1591/W1591,"")</f>
        <v/>
      </c>
      <c r="Z1591" s="115">
        <f>IFERROR(R1591/S1591*1000,"")</f>
        <v/>
      </c>
      <c r="AA1591" s="116" t="n">
        <v>15</v>
      </c>
      <c r="AB1591" s="47">
        <f>IFERROR(AA1591/W1591,"")</f>
        <v/>
      </c>
      <c r="AC1591" s="116" t="n">
        <v>988</v>
      </c>
      <c r="AD1591" s="116" t="n">
        <v>599</v>
      </c>
      <c r="AE1591" s="116" t="n">
        <v>473</v>
      </c>
      <c r="AF1591" s="116" t="n">
        <v>266</v>
      </c>
      <c r="AG1591" s="116" t="n">
        <v>172</v>
      </c>
      <c r="AH1591" s="116" t="n">
        <v>112</v>
      </c>
      <c r="AI1591" s="47">
        <f>IFERROR(AC1591/S1591,"")</f>
        <v/>
      </c>
      <c r="AJ1591" s="47">
        <f>IFERROR(AH1591/S1591,"")</f>
        <v/>
      </c>
      <c r="AK1591" s="116" t="n">
        <v>35</v>
      </c>
      <c r="AL1591" s="116" t="n">
        <v>0</v>
      </c>
      <c r="AM1591" s="118">
        <f>IFERROR(AL1591/AA1591,"")</f>
        <v/>
      </c>
      <c r="AN1591" s="119">
        <f>IFERROR(R1591/AL1591,"")</f>
        <v/>
      </c>
      <c r="AO1591" s="116" t="n">
        <v>0</v>
      </c>
      <c r="AP1591" s="47">
        <f>IFERROR(AO1591/AL1591,"")</f>
        <v/>
      </c>
      <c r="AQ1591" s="119">
        <f>IFERROR(R1591/AO1591,"")</f>
        <v/>
      </c>
      <c r="AR1591" s="116" t="n">
        <v>0</v>
      </c>
      <c r="AS1591" s="116" t="n">
        <v>0</v>
      </c>
      <c r="AT1591" s="116">
        <f>AL1591+AR1591</f>
        <v/>
      </c>
      <c r="AU1591" s="119">
        <f>IFERROR(AO1591*Assumptions!$C$26*Assumptions!$C$27*INDEX(Assumptions!$C$18:$C$21,MATCH(H1591,Assumptions!$B$18:$B$21,0)),0)</f>
        <v/>
      </c>
    </row>
    <row r="1592">
      <c r="A1592" s="114" t="n">
        <v>46245</v>
      </c>
      <c r="B1592" s="42" t="inlineStr">
        <is>
          <t>Wk 33</t>
        </is>
      </c>
      <c r="C1592" s="42" t="inlineStr">
        <is>
          <t>Tue</t>
        </is>
      </c>
      <c r="D1592" s="42" t="inlineStr">
        <is>
          <t>X</t>
        </is>
      </c>
      <c r="E1592" s="42" t="inlineStr">
        <is>
          <t>X (Twitter)</t>
        </is>
      </c>
      <c r="F1592" s="42" t="inlineStr">
        <is>
          <t>LEP_ZA_AUG26_X_TD_RANGE_CONV</t>
        </is>
      </c>
      <c r="G1592" s="42" t="inlineStr">
        <is>
          <t>Website Conversions</t>
        </is>
      </c>
      <c r="H1592" s="42" t="inlineStr">
        <is>
          <t>Range</t>
        </is>
      </c>
      <c r="I1592" s="42" t="inlineStr">
        <is>
          <t>Range Offer</t>
        </is>
      </c>
      <c r="J1592" s="42" t="inlineStr">
        <is>
          <t>X_KEYWORD_CARBUY_ZA</t>
        </is>
      </c>
      <c r="K1592" s="42" t="inlineStr">
        <is>
          <t>Interest</t>
        </is>
      </c>
      <c r="L1592" s="42" t="inlineStr">
        <is>
          <t>X_VID_15s_RangeFilm_v1</t>
        </is>
      </c>
      <c r="M1592" s="42" t="inlineStr">
        <is>
          <t>Video 16:9</t>
        </is>
      </c>
      <c r="N1592" s="42" t="inlineStr">
        <is>
          <t>Meet the Lepas range</t>
        </is>
      </c>
      <c r="O1592" s="42" t="inlineStr">
        <is>
          <t>Auction - Lowest Cost</t>
        </is>
      </c>
      <c r="P1592" s="42" t="inlineStr">
        <is>
          <t>Site Visit / Conversion</t>
        </is>
      </c>
      <c r="Q1592" s="42" t="inlineStr">
        <is>
          <t>https://www.lepas-sa.co.za/offers</t>
        </is>
      </c>
      <c r="R1592" s="115" t="n">
        <v>186.34</v>
      </c>
      <c r="S1592" s="116" t="n">
        <v>4204</v>
      </c>
      <c r="T1592" s="116" t="n">
        <v>2811</v>
      </c>
      <c r="U1592" s="117">
        <f>IFERROR(S1592/T1592,"")</f>
        <v/>
      </c>
      <c r="V1592" s="116" t="n">
        <v>38</v>
      </c>
      <c r="W1592" s="116" t="n">
        <v>27</v>
      </c>
      <c r="X1592" s="118">
        <f>IFERROR(W1592/S1592,"")</f>
        <v/>
      </c>
      <c r="Y1592" s="115">
        <f>IFERROR(R1592/W1592,"")</f>
        <v/>
      </c>
      <c r="Z1592" s="115">
        <f>IFERROR(R1592/S1592*1000,"")</f>
        <v/>
      </c>
      <c r="AA1592" s="116" t="n">
        <v>19</v>
      </c>
      <c r="AB1592" s="47">
        <f>IFERROR(AA1592/W1592,"")</f>
        <v/>
      </c>
      <c r="AC1592" s="116" t="n">
        <v>1176</v>
      </c>
      <c r="AD1592" s="116" t="n">
        <v>616</v>
      </c>
      <c r="AE1592" s="116" t="n">
        <v>443</v>
      </c>
      <c r="AF1592" s="116" t="n">
        <v>280</v>
      </c>
      <c r="AG1592" s="116" t="n">
        <v>211</v>
      </c>
      <c r="AH1592" s="116" t="n">
        <v>156</v>
      </c>
      <c r="AI1592" s="47">
        <f>IFERROR(AC1592/S1592,"")</f>
        <v/>
      </c>
      <c r="AJ1592" s="47">
        <f>IFERROR(AH1592/S1592,"")</f>
        <v/>
      </c>
      <c r="AK1592" s="116" t="n">
        <v>78</v>
      </c>
      <c r="AL1592" s="116" t="n">
        <v>0</v>
      </c>
      <c r="AM1592" s="118">
        <f>IFERROR(AL1592/AA1592,"")</f>
        <v/>
      </c>
      <c r="AN1592" s="119">
        <f>IFERROR(R1592/AL1592,"")</f>
        <v/>
      </c>
      <c r="AO1592" s="116" t="n">
        <v>0</v>
      </c>
      <c r="AP1592" s="47">
        <f>IFERROR(AO1592/AL1592,"")</f>
        <v/>
      </c>
      <c r="AQ1592" s="119">
        <f>IFERROR(R1592/AO1592,"")</f>
        <v/>
      </c>
      <c r="AR1592" s="116" t="n">
        <v>0</v>
      </c>
      <c r="AS1592" s="116" t="n">
        <v>0</v>
      </c>
      <c r="AT1592" s="116">
        <f>AL1592+AR1592</f>
        <v/>
      </c>
      <c r="AU1592" s="119">
        <f>IFERROR(AO1592*Assumptions!$C$26*Assumptions!$C$27*INDEX(Assumptions!$C$18:$C$21,MATCH(H1592,Assumptions!$B$18:$B$21,0)),0)</f>
        <v/>
      </c>
    </row>
    <row r="1593">
      <c r="A1593" s="114" t="n">
        <v>46246</v>
      </c>
      <c r="B1593" s="42" t="inlineStr">
        <is>
          <t>Wk 33</t>
        </is>
      </c>
      <c r="C1593" s="42" t="inlineStr">
        <is>
          <t>Wed</t>
        </is>
      </c>
      <c r="D1593" s="42" t="inlineStr">
        <is>
          <t>X</t>
        </is>
      </c>
      <c r="E1593" s="42" t="inlineStr">
        <is>
          <t>X (Twitter)</t>
        </is>
      </c>
      <c r="F1593" s="42" t="inlineStr">
        <is>
          <t>LEP_ZA_AUG26_X_TD_RANGE_CONV</t>
        </is>
      </c>
      <c r="G1593" s="42" t="inlineStr">
        <is>
          <t>Website Conversions</t>
        </is>
      </c>
      <c r="H1593" s="42" t="inlineStr">
        <is>
          <t>Range</t>
        </is>
      </c>
      <c r="I1593" s="42" t="inlineStr">
        <is>
          <t>Range Offer</t>
        </is>
      </c>
      <c r="J1593" s="42" t="inlineStr">
        <is>
          <t>X_KEYWORD_CARBUY_ZA</t>
        </is>
      </c>
      <c r="K1593" s="42" t="inlineStr">
        <is>
          <t>Interest</t>
        </is>
      </c>
      <c r="L1593" s="42" t="inlineStr">
        <is>
          <t>X_VID_15s_RangeFilm_v1</t>
        </is>
      </c>
      <c r="M1593" s="42" t="inlineStr">
        <is>
          <t>Video 16:9</t>
        </is>
      </c>
      <c r="N1593" s="42" t="inlineStr">
        <is>
          <t>Meet the Lepas range</t>
        </is>
      </c>
      <c r="O1593" s="42" t="inlineStr">
        <is>
          <t>Auction - Lowest Cost</t>
        </is>
      </c>
      <c r="P1593" s="42" t="inlineStr">
        <is>
          <t>Site Visit / Conversion</t>
        </is>
      </c>
      <c r="Q1593" s="42" t="inlineStr">
        <is>
          <t>https://www.lepas-sa.co.za/offers</t>
        </is>
      </c>
      <c r="R1593" s="115" t="n">
        <v>147.77</v>
      </c>
      <c r="S1593" s="116" t="n">
        <v>3227</v>
      </c>
      <c r="T1593" s="116" t="n">
        <v>2166</v>
      </c>
      <c r="U1593" s="117">
        <f>IFERROR(S1593/T1593,"")</f>
        <v/>
      </c>
      <c r="V1593" s="116" t="n">
        <v>26</v>
      </c>
      <c r="W1593" s="116" t="n">
        <v>20</v>
      </c>
      <c r="X1593" s="118">
        <f>IFERROR(W1593/S1593,"")</f>
        <v/>
      </c>
      <c r="Y1593" s="115">
        <f>IFERROR(R1593/W1593,"")</f>
        <v/>
      </c>
      <c r="Z1593" s="115">
        <f>IFERROR(R1593/S1593*1000,"")</f>
        <v/>
      </c>
      <c r="AA1593" s="116" t="n">
        <v>14</v>
      </c>
      <c r="AB1593" s="47">
        <f>IFERROR(AA1593/W1593,"")</f>
        <v/>
      </c>
      <c r="AC1593" s="116" t="n">
        <v>767</v>
      </c>
      <c r="AD1593" s="116" t="n">
        <v>425</v>
      </c>
      <c r="AE1593" s="116" t="n">
        <v>352</v>
      </c>
      <c r="AF1593" s="116" t="n">
        <v>223</v>
      </c>
      <c r="AG1593" s="116" t="n">
        <v>162</v>
      </c>
      <c r="AH1593" s="116" t="n">
        <v>107</v>
      </c>
      <c r="AI1593" s="47">
        <f>IFERROR(AC1593/S1593,"")</f>
        <v/>
      </c>
      <c r="AJ1593" s="47">
        <f>IFERROR(AH1593/S1593,"")</f>
        <v/>
      </c>
      <c r="AK1593" s="116" t="n">
        <v>32</v>
      </c>
      <c r="AL1593" s="116" t="n">
        <v>0</v>
      </c>
      <c r="AM1593" s="118">
        <f>IFERROR(AL1593/AA1593,"")</f>
        <v/>
      </c>
      <c r="AN1593" s="119">
        <f>IFERROR(R1593/AL1593,"")</f>
        <v/>
      </c>
      <c r="AO1593" s="116" t="n">
        <v>0</v>
      </c>
      <c r="AP1593" s="47">
        <f>IFERROR(AO1593/AL1593,"")</f>
        <v/>
      </c>
      <c r="AQ1593" s="119">
        <f>IFERROR(R1593/AO1593,"")</f>
        <v/>
      </c>
      <c r="AR1593" s="116" t="n">
        <v>0</v>
      </c>
      <c r="AS1593" s="116" t="n">
        <v>0</v>
      </c>
      <c r="AT1593" s="116">
        <f>AL1593+AR1593</f>
        <v/>
      </c>
      <c r="AU1593" s="119">
        <f>IFERROR(AO1593*Assumptions!$C$26*Assumptions!$C$27*INDEX(Assumptions!$C$18:$C$21,MATCH(H1593,Assumptions!$B$18:$B$21,0)),0)</f>
        <v/>
      </c>
    </row>
    <row r="1594">
      <c r="A1594" s="114" t="n">
        <v>46247</v>
      </c>
      <c r="B1594" s="42" t="inlineStr">
        <is>
          <t>Wk 33</t>
        </is>
      </c>
      <c r="C1594" s="42" t="inlineStr">
        <is>
          <t>Thu</t>
        </is>
      </c>
      <c r="D1594" s="42" t="inlineStr">
        <is>
          <t>X</t>
        </is>
      </c>
      <c r="E1594" s="42" t="inlineStr">
        <is>
          <t>X (Twitter)</t>
        </is>
      </c>
      <c r="F1594" s="42" t="inlineStr">
        <is>
          <t>LEP_ZA_AUG26_X_TD_RANGE_CONV</t>
        </is>
      </c>
      <c r="G1594" s="42" t="inlineStr">
        <is>
          <t>Website Conversions</t>
        </is>
      </c>
      <c r="H1594" s="42" t="inlineStr">
        <is>
          <t>Range</t>
        </is>
      </c>
      <c r="I1594" s="42" t="inlineStr">
        <is>
          <t>Range Offer</t>
        </is>
      </c>
      <c r="J1594" s="42" t="inlineStr">
        <is>
          <t>X_KEYWORD_CARBUY_ZA</t>
        </is>
      </c>
      <c r="K1594" s="42" t="inlineStr">
        <is>
          <t>Interest</t>
        </is>
      </c>
      <c r="L1594" s="42" t="inlineStr">
        <is>
          <t>X_VID_15s_RangeFilm_v1</t>
        </is>
      </c>
      <c r="M1594" s="42" t="inlineStr">
        <is>
          <t>Video 16:9</t>
        </is>
      </c>
      <c r="N1594" s="42" t="inlineStr">
        <is>
          <t>Meet the Lepas range</t>
        </is>
      </c>
      <c r="O1594" s="42" t="inlineStr">
        <is>
          <t>Auction - Lowest Cost</t>
        </is>
      </c>
      <c r="P1594" s="42" t="inlineStr">
        <is>
          <t>Site Visit / Conversion</t>
        </is>
      </c>
      <c r="Q1594" s="42" t="inlineStr">
        <is>
          <t>https://www.lepas-sa.co.za/offers</t>
        </is>
      </c>
      <c r="R1594" s="115" t="n">
        <v>175.56</v>
      </c>
      <c r="S1594" s="116" t="n">
        <v>2922</v>
      </c>
      <c r="T1594" s="116" t="n">
        <v>2109</v>
      </c>
      <c r="U1594" s="117">
        <f>IFERROR(S1594/T1594,"")</f>
        <v/>
      </c>
      <c r="V1594" s="116" t="n">
        <v>13</v>
      </c>
      <c r="W1594" s="116" t="n">
        <v>11</v>
      </c>
      <c r="X1594" s="118">
        <f>IFERROR(W1594/S1594,"")</f>
        <v/>
      </c>
      <c r="Y1594" s="115">
        <f>IFERROR(R1594/W1594,"")</f>
        <v/>
      </c>
      <c r="Z1594" s="115">
        <f>IFERROR(R1594/S1594*1000,"")</f>
        <v/>
      </c>
      <c r="AA1594" s="116" t="n">
        <v>10</v>
      </c>
      <c r="AB1594" s="47">
        <f>IFERROR(AA1594/W1594,"")</f>
        <v/>
      </c>
      <c r="AC1594" s="116" t="n">
        <v>862</v>
      </c>
      <c r="AD1594" s="116" t="n">
        <v>470</v>
      </c>
      <c r="AE1594" s="116" t="n">
        <v>404</v>
      </c>
      <c r="AF1594" s="116" t="n">
        <v>231</v>
      </c>
      <c r="AG1594" s="116" t="n">
        <v>167</v>
      </c>
      <c r="AH1594" s="116" t="n">
        <v>97</v>
      </c>
      <c r="AI1594" s="47">
        <f>IFERROR(AC1594/S1594,"")</f>
        <v/>
      </c>
      <c r="AJ1594" s="47">
        <f>IFERROR(AH1594/S1594,"")</f>
        <v/>
      </c>
      <c r="AK1594" s="116" t="n">
        <v>33</v>
      </c>
      <c r="AL1594" s="116" t="n">
        <v>1</v>
      </c>
      <c r="AM1594" s="118">
        <f>IFERROR(AL1594/AA1594,"")</f>
        <v/>
      </c>
      <c r="AN1594" s="119">
        <f>IFERROR(R1594/AL1594,"")</f>
        <v/>
      </c>
      <c r="AO1594" s="116" t="n">
        <v>1</v>
      </c>
      <c r="AP1594" s="47">
        <f>IFERROR(AO1594/AL1594,"")</f>
        <v/>
      </c>
      <c r="AQ1594" s="119">
        <f>IFERROR(R1594/AO1594,"")</f>
        <v/>
      </c>
      <c r="AR1594" s="116" t="n">
        <v>0</v>
      </c>
      <c r="AS1594" s="116" t="n">
        <v>1</v>
      </c>
      <c r="AT1594" s="116">
        <f>AL1594+AR1594</f>
        <v/>
      </c>
      <c r="AU1594" s="119">
        <f>IFERROR(AO1594*Assumptions!$C$26*Assumptions!$C$27*INDEX(Assumptions!$C$18:$C$21,MATCH(H1594,Assumptions!$B$18:$B$21,0)),0)</f>
        <v/>
      </c>
    </row>
    <row r="1595">
      <c r="A1595" s="114" t="n">
        <v>46248</v>
      </c>
      <c r="B1595" s="42" t="inlineStr">
        <is>
          <t>Wk 33</t>
        </is>
      </c>
      <c r="C1595" s="42" t="inlineStr">
        <is>
          <t>Fri</t>
        </is>
      </c>
      <c r="D1595" s="42" t="inlineStr">
        <is>
          <t>X</t>
        </is>
      </c>
      <c r="E1595" s="42" t="inlineStr">
        <is>
          <t>X (Twitter)</t>
        </is>
      </c>
      <c r="F1595" s="42" t="inlineStr">
        <is>
          <t>LEP_ZA_AUG26_X_TD_RANGE_CONV</t>
        </is>
      </c>
      <c r="G1595" s="42" t="inlineStr">
        <is>
          <t>Website Conversions</t>
        </is>
      </c>
      <c r="H1595" s="42" t="inlineStr">
        <is>
          <t>Range</t>
        </is>
      </c>
      <c r="I1595" s="42" t="inlineStr">
        <is>
          <t>Range Offer</t>
        </is>
      </c>
      <c r="J1595" s="42" t="inlineStr">
        <is>
          <t>X_KEYWORD_CARBUY_ZA</t>
        </is>
      </c>
      <c r="K1595" s="42" t="inlineStr">
        <is>
          <t>Interest</t>
        </is>
      </c>
      <c r="L1595" s="42" t="inlineStr">
        <is>
          <t>X_VID_15s_RangeFilm_v1</t>
        </is>
      </c>
      <c r="M1595" s="42" t="inlineStr">
        <is>
          <t>Video 16:9</t>
        </is>
      </c>
      <c r="N1595" s="42" t="inlineStr">
        <is>
          <t>Meet the Lepas range</t>
        </is>
      </c>
      <c r="O1595" s="42" t="inlineStr">
        <is>
          <t>Auction - Lowest Cost</t>
        </is>
      </c>
      <c r="P1595" s="42" t="inlineStr">
        <is>
          <t>Site Visit / Conversion</t>
        </is>
      </c>
      <c r="Q1595" s="42" t="inlineStr">
        <is>
          <t>https://www.lepas-sa.co.za/offers</t>
        </is>
      </c>
      <c r="R1595" s="115" t="n">
        <v>189.65</v>
      </c>
      <c r="S1595" s="116" t="n">
        <v>3688</v>
      </c>
      <c r="T1595" s="116" t="n">
        <v>2614</v>
      </c>
      <c r="U1595" s="117">
        <f>IFERROR(S1595/T1595,"")</f>
        <v/>
      </c>
      <c r="V1595" s="116" t="n">
        <v>28</v>
      </c>
      <c r="W1595" s="116" t="n">
        <v>23</v>
      </c>
      <c r="X1595" s="118">
        <f>IFERROR(W1595/S1595,"")</f>
        <v/>
      </c>
      <c r="Y1595" s="115">
        <f>IFERROR(R1595/W1595,"")</f>
        <v/>
      </c>
      <c r="Z1595" s="115">
        <f>IFERROR(R1595/S1595*1000,"")</f>
        <v/>
      </c>
      <c r="AA1595" s="116" t="n">
        <v>17</v>
      </c>
      <c r="AB1595" s="47">
        <f>IFERROR(AA1595/W1595,"")</f>
        <v/>
      </c>
      <c r="AC1595" s="116" t="n">
        <v>1337</v>
      </c>
      <c r="AD1595" s="116" t="n">
        <v>594</v>
      </c>
      <c r="AE1595" s="116" t="n">
        <v>654</v>
      </c>
      <c r="AF1595" s="116" t="n">
        <v>429</v>
      </c>
      <c r="AG1595" s="116" t="n">
        <v>313</v>
      </c>
      <c r="AH1595" s="116" t="n">
        <v>214</v>
      </c>
      <c r="AI1595" s="47">
        <f>IFERROR(AC1595/S1595,"")</f>
        <v/>
      </c>
      <c r="AJ1595" s="47">
        <f>IFERROR(AH1595/S1595,"")</f>
        <v/>
      </c>
      <c r="AK1595" s="116" t="n">
        <v>59</v>
      </c>
      <c r="AL1595" s="116" t="n">
        <v>0</v>
      </c>
      <c r="AM1595" s="118">
        <f>IFERROR(AL1595/AA1595,"")</f>
        <v/>
      </c>
      <c r="AN1595" s="119">
        <f>IFERROR(R1595/AL1595,"")</f>
        <v/>
      </c>
      <c r="AO1595" s="116" t="n">
        <v>0</v>
      </c>
      <c r="AP1595" s="47">
        <f>IFERROR(AO1595/AL1595,"")</f>
        <v/>
      </c>
      <c r="AQ1595" s="119">
        <f>IFERROR(R1595/AO1595,"")</f>
        <v/>
      </c>
      <c r="AR1595" s="116" t="n">
        <v>0</v>
      </c>
      <c r="AS1595" s="116" t="n">
        <v>0</v>
      </c>
      <c r="AT1595" s="116">
        <f>AL1595+AR1595</f>
        <v/>
      </c>
      <c r="AU1595" s="119">
        <f>IFERROR(AO1595*Assumptions!$C$26*Assumptions!$C$27*INDEX(Assumptions!$C$18:$C$21,MATCH(H1595,Assumptions!$B$18:$B$21,0)),0)</f>
        <v/>
      </c>
    </row>
    <row r="1596">
      <c r="A1596" s="114" t="n">
        <v>46249</v>
      </c>
      <c r="B1596" s="42" t="inlineStr">
        <is>
          <t>Wk 33</t>
        </is>
      </c>
      <c r="C1596" s="42" t="inlineStr">
        <is>
          <t>Sat</t>
        </is>
      </c>
      <c r="D1596" s="42" t="inlineStr">
        <is>
          <t>X</t>
        </is>
      </c>
      <c r="E1596" s="42" t="inlineStr">
        <is>
          <t>X (Twitter)</t>
        </is>
      </c>
      <c r="F1596" s="42" t="inlineStr">
        <is>
          <t>LEP_ZA_AUG26_X_TD_RANGE_CONV</t>
        </is>
      </c>
      <c r="G1596" s="42" t="inlineStr">
        <is>
          <t>Website Conversions</t>
        </is>
      </c>
      <c r="H1596" s="42" t="inlineStr">
        <is>
          <t>Range</t>
        </is>
      </c>
      <c r="I1596" s="42" t="inlineStr">
        <is>
          <t>Range Offer</t>
        </is>
      </c>
      <c r="J1596" s="42" t="inlineStr">
        <is>
          <t>X_KEYWORD_CARBUY_ZA</t>
        </is>
      </c>
      <c r="K1596" s="42" t="inlineStr">
        <is>
          <t>Interest</t>
        </is>
      </c>
      <c r="L1596" s="42" t="inlineStr">
        <is>
          <t>X_VID_15s_RangeFilm_v1</t>
        </is>
      </c>
      <c r="M1596" s="42" t="inlineStr">
        <is>
          <t>Video 16:9</t>
        </is>
      </c>
      <c r="N1596" s="42" t="inlineStr">
        <is>
          <t>Meet the Lepas range</t>
        </is>
      </c>
      <c r="O1596" s="42" t="inlineStr">
        <is>
          <t>Auction - Lowest Cost</t>
        </is>
      </c>
      <c r="P1596" s="42" t="inlineStr">
        <is>
          <t>Site Visit / Conversion</t>
        </is>
      </c>
      <c r="Q1596" s="42" t="inlineStr">
        <is>
          <t>https://www.lepas-sa.co.za/offers</t>
        </is>
      </c>
      <c r="R1596" s="115" t="n">
        <v>189.38</v>
      </c>
      <c r="S1596" s="116" t="n">
        <v>2849</v>
      </c>
      <c r="T1596" s="116" t="n">
        <v>2115</v>
      </c>
      <c r="U1596" s="117">
        <f>IFERROR(S1596/T1596,"")</f>
        <v/>
      </c>
      <c r="V1596" s="116" t="n">
        <v>31</v>
      </c>
      <c r="W1596" s="116" t="n">
        <v>24</v>
      </c>
      <c r="X1596" s="118">
        <f>IFERROR(W1596/S1596,"")</f>
        <v/>
      </c>
      <c r="Y1596" s="115">
        <f>IFERROR(R1596/W1596,"")</f>
        <v/>
      </c>
      <c r="Z1596" s="115">
        <f>IFERROR(R1596/S1596*1000,"")</f>
        <v/>
      </c>
      <c r="AA1596" s="116" t="n">
        <v>17</v>
      </c>
      <c r="AB1596" s="47">
        <f>IFERROR(AA1596/W1596,"")</f>
        <v/>
      </c>
      <c r="AC1596" s="116" t="n">
        <v>946</v>
      </c>
      <c r="AD1596" s="116" t="n">
        <v>481</v>
      </c>
      <c r="AE1596" s="116" t="n">
        <v>482</v>
      </c>
      <c r="AF1596" s="116" t="n">
        <v>273</v>
      </c>
      <c r="AG1596" s="116" t="n">
        <v>181</v>
      </c>
      <c r="AH1596" s="116" t="n">
        <v>130</v>
      </c>
      <c r="AI1596" s="47">
        <f>IFERROR(AC1596/S1596,"")</f>
        <v/>
      </c>
      <c r="AJ1596" s="47">
        <f>IFERROR(AH1596/S1596,"")</f>
        <v/>
      </c>
      <c r="AK1596" s="116" t="n">
        <v>38</v>
      </c>
      <c r="AL1596" s="116" t="n">
        <v>1</v>
      </c>
      <c r="AM1596" s="118">
        <f>IFERROR(AL1596/AA1596,"")</f>
        <v/>
      </c>
      <c r="AN1596" s="119">
        <f>IFERROR(R1596/AL1596,"")</f>
        <v/>
      </c>
      <c r="AO1596" s="116" t="n">
        <v>1</v>
      </c>
      <c r="AP1596" s="47">
        <f>IFERROR(AO1596/AL1596,"")</f>
        <v/>
      </c>
      <c r="AQ1596" s="119">
        <f>IFERROR(R1596/AO1596,"")</f>
        <v/>
      </c>
      <c r="AR1596" s="116" t="n">
        <v>0</v>
      </c>
      <c r="AS1596" s="116" t="n">
        <v>0</v>
      </c>
      <c r="AT1596" s="116">
        <f>AL1596+AR1596</f>
        <v/>
      </c>
      <c r="AU1596" s="119">
        <f>IFERROR(AO1596*Assumptions!$C$26*Assumptions!$C$27*INDEX(Assumptions!$C$18:$C$21,MATCH(H1596,Assumptions!$B$18:$B$21,0)),0)</f>
        <v/>
      </c>
    </row>
    <row r="1597">
      <c r="A1597" s="114" t="n">
        <v>46250</v>
      </c>
      <c r="B1597" s="42" t="inlineStr">
        <is>
          <t>Wk 33</t>
        </is>
      </c>
      <c r="C1597" s="42" t="inlineStr">
        <is>
          <t>Sun</t>
        </is>
      </c>
      <c r="D1597" s="42" t="inlineStr">
        <is>
          <t>X</t>
        </is>
      </c>
      <c r="E1597" s="42" t="inlineStr">
        <is>
          <t>X (Twitter)</t>
        </is>
      </c>
      <c r="F1597" s="42" t="inlineStr">
        <is>
          <t>LEP_ZA_AUG26_X_TD_RANGE_CONV</t>
        </is>
      </c>
      <c r="G1597" s="42" t="inlineStr">
        <is>
          <t>Website Conversions</t>
        </is>
      </c>
      <c r="H1597" s="42" t="inlineStr">
        <is>
          <t>Range</t>
        </is>
      </c>
      <c r="I1597" s="42" t="inlineStr">
        <is>
          <t>Range Offer</t>
        </is>
      </c>
      <c r="J1597" s="42" t="inlineStr">
        <is>
          <t>X_KEYWORD_CARBUY_ZA</t>
        </is>
      </c>
      <c r="K1597" s="42" t="inlineStr">
        <is>
          <t>Interest</t>
        </is>
      </c>
      <c r="L1597" s="42" t="inlineStr">
        <is>
          <t>X_VID_15s_RangeFilm_v1</t>
        </is>
      </c>
      <c r="M1597" s="42" t="inlineStr">
        <is>
          <t>Video 16:9</t>
        </is>
      </c>
      <c r="N1597" s="42" t="inlineStr">
        <is>
          <t>Meet the Lepas range</t>
        </is>
      </c>
      <c r="O1597" s="42" t="inlineStr">
        <is>
          <t>Auction - Lowest Cost</t>
        </is>
      </c>
      <c r="P1597" s="42" t="inlineStr">
        <is>
          <t>Site Visit / Conversion</t>
        </is>
      </c>
      <c r="Q1597" s="42" t="inlineStr">
        <is>
          <t>https://www.lepas-sa.co.za/offers</t>
        </is>
      </c>
      <c r="R1597" s="115" t="n">
        <v>154.91</v>
      </c>
      <c r="S1597" s="116" t="n">
        <v>3330</v>
      </c>
      <c r="T1597" s="116" t="n">
        <v>2169</v>
      </c>
      <c r="U1597" s="117">
        <f>IFERROR(S1597/T1597,"")</f>
        <v/>
      </c>
      <c r="V1597" s="116" t="n">
        <v>21</v>
      </c>
      <c r="W1597" s="116" t="n">
        <v>16</v>
      </c>
      <c r="X1597" s="118">
        <f>IFERROR(W1597/S1597,"")</f>
        <v/>
      </c>
      <c r="Y1597" s="115">
        <f>IFERROR(R1597/W1597,"")</f>
        <v/>
      </c>
      <c r="Z1597" s="115">
        <f>IFERROR(R1597/S1597*1000,"")</f>
        <v/>
      </c>
      <c r="AA1597" s="116" t="n">
        <v>11</v>
      </c>
      <c r="AB1597" s="47">
        <f>IFERROR(AA1597/W1597,"")</f>
        <v/>
      </c>
      <c r="AC1597" s="116" t="n">
        <v>1244</v>
      </c>
      <c r="AD1597" s="116" t="n">
        <v>780</v>
      </c>
      <c r="AE1597" s="116" t="n">
        <v>542</v>
      </c>
      <c r="AF1597" s="116" t="n">
        <v>306</v>
      </c>
      <c r="AG1597" s="116" t="n">
        <v>236</v>
      </c>
      <c r="AH1597" s="116" t="n">
        <v>172</v>
      </c>
      <c r="AI1597" s="47">
        <f>IFERROR(AC1597/S1597,"")</f>
        <v/>
      </c>
      <c r="AJ1597" s="47">
        <f>IFERROR(AH1597/S1597,"")</f>
        <v/>
      </c>
      <c r="AK1597" s="116" t="n">
        <v>60</v>
      </c>
      <c r="AL1597" s="116" t="n">
        <v>0</v>
      </c>
      <c r="AM1597" s="118">
        <f>IFERROR(AL1597/AA1597,"")</f>
        <v/>
      </c>
      <c r="AN1597" s="119">
        <f>IFERROR(R1597/AL1597,"")</f>
        <v/>
      </c>
      <c r="AO1597" s="116" t="n">
        <v>0</v>
      </c>
      <c r="AP1597" s="47">
        <f>IFERROR(AO1597/AL1597,"")</f>
        <v/>
      </c>
      <c r="AQ1597" s="119">
        <f>IFERROR(R1597/AO1597,"")</f>
        <v/>
      </c>
      <c r="AR1597" s="116" t="n">
        <v>0</v>
      </c>
      <c r="AS1597" s="116" t="n">
        <v>0</v>
      </c>
      <c r="AT1597" s="116">
        <f>AL1597+AR1597</f>
        <v/>
      </c>
      <c r="AU1597" s="119">
        <f>IFERROR(AO1597*Assumptions!$C$26*Assumptions!$C$27*INDEX(Assumptions!$C$18:$C$21,MATCH(H1597,Assumptions!$B$18:$B$21,0)),0)</f>
        <v/>
      </c>
    </row>
    <row r="1598">
      <c r="A1598" s="114" t="n">
        <v>46251</v>
      </c>
      <c r="B1598" s="42" t="inlineStr">
        <is>
          <t>Wk 34</t>
        </is>
      </c>
      <c r="C1598" s="42" t="inlineStr">
        <is>
          <t>Mon</t>
        </is>
      </c>
      <c r="D1598" s="42" t="inlineStr">
        <is>
          <t>X</t>
        </is>
      </c>
      <c r="E1598" s="42" t="inlineStr">
        <is>
          <t>X (Twitter)</t>
        </is>
      </c>
      <c r="F1598" s="42" t="inlineStr">
        <is>
          <t>LEP_ZA_AUG26_X_TD_RANGE_CONV</t>
        </is>
      </c>
      <c r="G1598" s="42" t="inlineStr">
        <is>
          <t>Website Conversions</t>
        </is>
      </c>
      <c r="H1598" s="42" t="inlineStr">
        <is>
          <t>Range</t>
        </is>
      </c>
      <c r="I1598" s="42" t="inlineStr">
        <is>
          <t>Range Offer</t>
        </is>
      </c>
      <c r="J1598" s="42" t="inlineStr">
        <is>
          <t>X_KEYWORD_CARBUY_ZA</t>
        </is>
      </c>
      <c r="K1598" s="42" t="inlineStr">
        <is>
          <t>Interest</t>
        </is>
      </c>
      <c r="L1598" s="42" t="inlineStr">
        <is>
          <t>X_VID_15s_RangeFilm_v1</t>
        </is>
      </c>
      <c r="M1598" s="42" t="inlineStr">
        <is>
          <t>Video 16:9</t>
        </is>
      </c>
      <c r="N1598" s="42" t="inlineStr">
        <is>
          <t>Meet the Lepas range</t>
        </is>
      </c>
      <c r="O1598" s="42" t="inlineStr">
        <is>
          <t>Auction - Lowest Cost</t>
        </is>
      </c>
      <c r="P1598" s="42" t="inlineStr">
        <is>
          <t>Site Visit / Conversion</t>
        </is>
      </c>
      <c r="Q1598" s="42" t="inlineStr">
        <is>
          <t>https://www.lepas-sa.co.za/offers</t>
        </is>
      </c>
      <c r="R1598" s="115" t="n">
        <v>148.43</v>
      </c>
      <c r="S1598" s="116" t="n">
        <v>3003</v>
      </c>
      <c r="T1598" s="116" t="n">
        <v>1766</v>
      </c>
      <c r="U1598" s="117">
        <f>IFERROR(S1598/T1598,"")</f>
        <v/>
      </c>
      <c r="V1598" s="116" t="n">
        <v>23</v>
      </c>
      <c r="W1598" s="116" t="n">
        <v>17</v>
      </c>
      <c r="X1598" s="118">
        <f>IFERROR(W1598/S1598,"")</f>
        <v/>
      </c>
      <c r="Y1598" s="115">
        <f>IFERROR(R1598/W1598,"")</f>
        <v/>
      </c>
      <c r="Z1598" s="115">
        <f>IFERROR(R1598/S1598*1000,"")</f>
        <v/>
      </c>
      <c r="AA1598" s="116" t="n">
        <v>12</v>
      </c>
      <c r="AB1598" s="47">
        <f>IFERROR(AA1598/W1598,"")</f>
        <v/>
      </c>
      <c r="AC1598" s="116" t="n">
        <v>1228</v>
      </c>
      <c r="AD1598" s="116" t="n">
        <v>673</v>
      </c>
      <c r="AE1598" s="116" t="n">
        <v>494</v>
      </c>
      <c r="AF1598" s="116" t="n">
        <v>280</v>
      </c>
      <c r="AG1598" s="116" t="n">
        <v>216</v>
      </c>
      <c r="AH1598" s="116" t="n">
        <v>139</v>
      </c>
      <c r="AI1598" s="47">
        <f>IFERROR(AC1598/S1598,"")</f>
        <v/>
      </c>
      <c r="AJ1598" s="47">
        <f>IFERROR(AH1598/S1598,"")</f>
        <v/>
      </c>
      <c r="AK1598" s="116" t="n">
        <v>51</v>
      </c>
      <c r="AL1598" s="116" t="n">
        <v>0</v>
      </c>
      <c r="AM1598" s="118">
        <f>IFERROR(AL1598/AA1598,"")</f>
        <v/>
      </c>
      <c r="AN1598" s="119">
        <f>IFERROR(R1598/AL1598,"")</f>
        <v/>
      </c>
      <c r="AO1598" s="116" t="n">
        <v>0</v>
      </c>
      <c r="AP1598" s="47">
        <f>IFERROR(AO1598/AL1598,"")</f>
        <v/>
      </c>
      <c r="AQ1598" s="119">
        <f>IFERROR(R1598/AO1598,"")</f>
        <v/>
      </c>
      <c r="AR1598" s="116" t="n">
        <v>0</v>
      </c>
      <c r="AS1598" s="116" t="n">
        <v>0</v>
      </c>
      <c r="AT1598" s="116">
        <f>AL1598+AR1598</f>
        <v/>
      </c>
      <c r="AU1598" s="119">
        <f>IFERROR(AO1598*Assumptions!$C$26*Assumptions!$C$27*INDEX(Assumptions!$C$18:$C$21,MATCH(H1598,Assumptions!$B$18:$B$21,0)),0)</f>
        <v/>
      </c>
    </row>
    <row r="1599">
      <c r="A1599" s="114" t="n">
        <v>46252</v>
      </c>
      <c r="B1599" s="42" t="inlineStr">
        <is>
          <t>Wk 34</t>
        </is>
      </c>
      <c r="C1599" s="42" t="inlineStr">
        <is>
          <t>Tue</t>
        </is>
      </c>
      <c r="D1599" s="42" t="inlineStr">
        <is>
          <t>X</t>
        </is>
      </c>
      <c r="E1599" s="42" t="inlineStr">
        <is>
          <t>X (Twitter)</t>
        </is>
      </c>
      <c r="F1599" s="42" t="inlineStr">
        <is>
          <t>LEP_ZA_AUG26_X_TD_RANGE_CONV</t>
        </is>
      </c>
      <c r="G1599" s="42" t="inlineStr">
        <is>
          <t>Website Conversions</t>
        </is>
      </c>
      <c r="H1599" s="42" t="inlineStr">
        <is>
          <t>Range</t>
        </is>
      </c>
      <c r="I1599" s="42" t="inlineStr">
        <is>
          <t>Range Offer</t>
        </is>
      </c>
      <c r="J1599" s="42" t="inlineStr">
        <is>
          <t>X_KEYWORD_CARBUY_ZA</t>
        </is>
      </c>
      <c r="K1599" s="42" t="inlineStr">
        <is>
          <t>Interest</t>
        </is>
      </c>
      <c r="L1599" s="42" t="inlineStr">
        <is>
          <t>X_VID_15s_RangeFilm_v1</t>
        </is>
      </c>
      <c r="M1599" s="42" t="inlineStr">
        <is>
          <t>Video 16:9</t>
        </is>
      </c>
      <c r="N1599" s="42" t="inlineStr">
        <is>
          <t>Meet the Lepas range</t>
        </is>
      </c>
      <c r="O1599" s="42" t="inlineStr">
        <is>
          <t>Auction - Lowest Cost</t>
        </is>
      </c>
      <c r="P1599" s="42" t="inlineStr">
        <is>
          <t>Site Visit / Conversion</t>
        </is>
      </c>
      <c r="Q1599" s="42" t="inlineStr">
        <is>
          <t>https://www.lepas-sa.co.za/offers</t>
        </is>
      </c>
      <c r="R1599" s="115" t="n">
        <v>186.39</v>
      </c>
      <c r="S1599" s="116" t="n">
        <v>3462</v>
      </c>
      <c r="T1599" s="116" t="n">
        <v>2408</v>
      </c>
      <c r="U1599" s="117">
        <f>IFERROR(S1599/T1599,"")</f>
        <v/>
      </c>
      <c r="V1599" s="116" t="n">
        <v>20</v>
      </c>
      <c r="W1599" s="116" t="n">
        <v>17</v>
      </c>
      <c r="X1599" s="118">
        <f>IFERROR(W1599/S1599,"")</f>
        <v/>
      </c>
      <c r="Y1599" s="115">
        <f>IFERROR(R1599/W1599,"")</f>
        <v/>
      </c>
      <c r="Z1599" s="115">
        <f>IFERROR(R1599/S1599*1000,"")</f>
        <v/>
      </c>
      <c r="AA1599" s="116" t="n">
        <v>12</v>
      </c>
      <c r="AB1599" s="47">
        <f>IFERROR(AA1599/W1599,"")</f>
        <v/>
      </c>
      <c r="AC1599" s="116" t="n">
        <v>1083</v>
      </c>
      <c r="AD1599" s="116" t="n">
        <v>669</v>
      </c>
      <c r="AE1599" s="116" t="n">
        <v>579</v>
      </c>
      <c r="AF1599" s="116" t="n">
        <v>376</v>
      </c>
      <c r="AG1599" s="116" t="n">
        <v>283</v>
      </c>
      <c r="AH1599" s="116" t="n">
        <v>184</v>
      </c>
      <c r="AI1599" s="47">
        <f>IFERROR(AC1599/S1599,"")</f>
        <v/>
      </c>
      <c r="AJ1599" s="47">
        <f>IFERROR(AH1599/S1599,"")</f>
        <v/>
      </c>
      <c r="AK1599" s="116" t="n">
        <v>47</v>
      </c>
      <c r="AL1599" s="116" t="n">
        <v>0</v>
      </c>
      <c r="AM1599" s="118">
        <f>IFERROR(AL1599/AA1599,"")</f>
        <v/>
      </c>
      <c r="AN1599" s="119">
        <f>IFERROR(R1599/AL1599,"")</f>
        <v/>
      </c>
      <c r="AO1599" s="116" t="n">
        <v>0</v>
      </c>
      <c r="AP1599" s="47">
        <f>IFERROR(AO1599/AL1599,"")</f>
        <v/>
      </c>
      <c r="AQ1599" s="119">
        <f>IFERROR(R1599/AO1599,"")</f>
        <v/>
      </c>
      <c r="AR1599" s="116" t="n">
        <v>0</v>
      </c>
      <c r="AS1599" s="116" t="n">
        <v>0</v>
      </c>
      <c r="AT1599" s="116">
        <f>AL1599+AR1599</f>
        <v/>
      </c>
      <c r="AU1599" s="119">
        <f>IFERROR(AO1599*Assumptions!$C$26*Assumptions!$C$27*INDEX(Assumptions!$C$18:$C$21,MATCH(H1599,Assumptions!$B$18:$B$21,0)),0)</f>
        <v/>
      </c>
    </row>
    <row r="1600">
      <c r="A1600" s="114" t="n">
        <v>46253</v>
      </c>
      <c r="B1600" s="42" t="inlineStr">
        <is>
          <t>Wk 34</t>
        </is>
      </c>
      <c r="C1600" s="42" t="inlineStr">
        <is>
          <t>Wed</t>
        </is>
      </c>
      <c r="D1600" s="42" t="inlineStr">
        <is>
          <t>X</t>
        </is>
      </c>
      <c r="E1600" s="42" t="inlineStr">
        <is>
          <t>X (Twitter)</t>
        </is>
      </c>
      <c r="F1600" s="42" t="inlineStr">
        <is>
          <t>LEP_ZA_AUG26_X_TD_RANGE_CONV</t>
        </is>
      </c>
      <c r="G1600" s="42" t="inlineStr">
        <is>
          <t>Website Conversions</t>
        </is>
      </c>
      <c r="H1600" s="42" t="inlineStr">
        <is>
          <t>Range</t>
        </is>
      </c>
      <c r="I1600" s="42" t="inlineStr">
        <is>
          <t>Range Offer</t>
        </is>
      </c>
      <c r="J1600" s="42" t="inlineStr">
        <is>
          <t>X_KEYWORD_CARBUY_ZA</t>
        </is>
      </c>
      <c r="K1600" s="42" t="inlineStr">
        <is>
          <t>Interest</t>
        </is>
      </c>
      <c r="L1600" s="42" t="inlineStr">
        <is>
          <t>X_VID_15s_RangeFilm_v1</t>
        </is>
      </c>
      <c r="M1600" s="42" t="inlineStr">
        <is>
          <t>Video 16:9</t>
        </is>
      </c>
      <c r="N1600" s="42" t="inlineStr">
        <is>
          <t>Meet the Lepas range</t>
        </is>
      </c>
      <c r="O1600" s="42" t="inlineStr">
        <is>
          <t>Auction - Lowest Cost</t>
        </is>
      </c>
      <c r="P1600" s="42" t="inlineStr">
        <is>
          <t>Site Visit / Conversion</t>
        </is>
      </c>
      <c r="Q1600" s="42" t="inlineStr">
        <is>
          <t>https://www.lepas-sa.co.za/offers</t>
        </is>
      </c>
      <c r="R1600" s="115" t="n">
        <v>147.46</v>
      </c>
      <c r="S1600" s="116" t="n">
        <v>2290</v>
      </c>
      <c r="T1600" s="116" t="n">
        <v>1306</v>
      </c>
      <c r="U1600" s="117">
        <f>IFERROR(S1600/T1600,"")</f>
        <v/>
      </c>
      <c r="V1600" s="116" t="n">
        <v>23</v>
      </c>
      <c r="W1600" s="116" t="n">
        <v>17</v>
      </c>
      <c r="X1600" s="118">
        <f>IFERROR(W1600/S1600,"")</f>
        <v/>
      </c>
      <c r="Y1600" s="115">
        <f>IFERROR(R1600/W1600,"")</f>
        <v/>
      </c>
      <c r="Z1600" s="115">
        <f>IFERROR(R1600/S1600*1000,"")</f>
        <v/>
      </c>
      <c r="AA1600" s="116" t="n">
        <v>13</v>
      </c>
      <c r="AB1600" s="47">
        <f>IFERROR(AA1600/W1600,"")</f>
        <v/>
      </c>
      <c r="AC1600" s="116" t="n">
        <v>538</v>
      </c>
      <c r="AD1600" s="116" t="n">
        <v>320</v>
      </c>
      <c r="AE1600" s="116" t="n">
        <v>212</v>
      </c>
      <c r="AF1600" s="116" t="n">
        <v>148</v>
      </c>
      <c r="AG1600" s="116" t="n">
        <v>112</v>
      </c>
      <c r="AH1600" s="116" t="n">
        <v>65</v>
      </c>
      <c r="AI1600" s="47">
        <f>IFERROR(AC1600/S1600,"")</f>
        <v/>
      </c>
      <c r="AJ1600" s="47">
        <f>IFERROR(AH1600/S1600,"")</f>
        <v/>
      </c>
      <c r="AK1600" s="116" t="n">
        <v>40</v>
      </c>
      <c r="AL1600" s="116" t="n">
        <v>0</v>
      </c>
      <c r="AM1600" s="118">
        <f>IFERROR(AL1600/AA1600,"")</f>
        <v/>
      </c>
      <c r="AN1600" s="119">
        <f>IFERROR(R1600/AL1600,"")</f>
        <v/>
      </c>
      <c r="AO1600" s="116" t="n">
        <v>0</v>
      </c>
      <c r="AP1600" s="47">
        <f>IFERROR(AO1600/AL1600,"")</f>
        <v/>
      </c>
      <c r="AQ1600" s="119">
        <f>IFERROR(R1600/AO1600,"")</f>
        <v/>
      </c>
      <c r="AR1600" s="116" t="n">
        <v>0</v>
      </c>
      <c r="AS1600" s="116" t="n">
        <v>0</v>
      </c>
      <c r="AT1600" s="116">
        <f>AL1600+AR1600</f>
        <v/>
      </c>
      <c r="AU1600" s="119">
        <f>IFERROR(AO1600*Assumptions!$C$26*Assumptions!$C$27*INDEX(Assumptions!$C$18:$C$21,MATCH(H1600,Assumptions!$B$18:$B$21,0)),0)</f>
        <v/>
      </c>
    </row>
    <row r="1601">
      <c r="A1601" s="114" t="n">
        <v>46254</v>
      </c>
      <c r="B1601" s="42" t="inlineStr">
        <is>
          <t>Wk 34</t>
        </is>
      </c>
      <c r="C1601" s="42" t="inlineStr">
        <is>
          <t>Thu</t>
        </is>
      </c>
      <c r="D1601" s="42" t="inlineStr">
        <is>
          <t>X</t>
        </is>
      </c>
      <c r="E1601" s="42" t="inlineStr">
        <is>
          <t>X (Twitter)</t>
        </is>
      </c>
      <c r="F1601" s="42" t="inlineStr">
        <is>
          <t>LEP_ZA_AUG26_X_TD_RANGE_CONV</t>
        </is>
      </c>
      <c r="G1601" s="42" t="inlineStr">
        <is>
          <t>Website Conversions</t>
        </is>
      </c>
      <c r="H1601" s="42" t="inlineStr">
        <is>
          <t>Range</t>
        </is>
      </c>
      <c r="I1601" s="42" t="inlineStr">
        <is>
          <t>Range Offer</t>
        </is>
      </c>
      <c r="J1601" s="42" t="inlineStr">
        <is>
          <t>X_KEYWORD_CARBUY_ZA</t>
        </is>
      </c>
      <c r="K1601" s="42" t="inlineStr">
        <is>
          <t>Interest</t>
        </is>
      </c>
      <c r="L1601" s="42" t="inlineStr">
        <is>
          <t>X_VID_15s_RangeFilm_v1</t>
        </is>
      </c>
      <c r="M1601" s="42" t="inlineStr">
        <is>
          <t>Video 16:9</t>
        </is>
      </c>
      <c r="N1601" s="42" t="inlineStr">
        <is>
          <t>Meet the Lepas range</t>
        </is>
      </c>
      <c r="O1601" s="42" t="inlineStr">
        <is>
          <t>Auction - Lowest Cost</t>
        </is>
      </c>
      <c r="P1601" s="42" t="inlineStr">
        <is>
          <t>Site Visit / Conversion</t>
        </is>
      </c>
      <c r="Q1601" s="42" t="inlineStr">
        <is>
          <t>https://www.lepas-sa.co.za/offers</t>
        </is>
      </c>
      <c r="R1601" s="115" t="n">
        <v>169.12</v>
      </c>
      <c r="S1601" s="116" t="n">
        <v>2653</v>
      </c>
      <c r="T1601" s="116" t="n">
        <v>1463</v>
      </c>
      <c r="U1601" s="117">
        <f>IFERROR(S1601/T1601,"")</f>
        <v/>
      </c>
      <c r="V1601" s="116" t="n">
        <v>13</v>
      </c>
      <c r="W1601" s="116" t="n">
        <v>10</v>
      </c>
      <c r="X1601" s="118">
        <f>IFERROR(W1601/S1601,"")</f>
        <v/>
      </c>
      <c r="Y1601" s="115">
        <f>IFERROR(R1601/W1601,"")</f>
        <v/>
      </c>
      <c r="Z1601" s="115">
        <f>IFERROR(R1601/S1601*1000,"")</f>
        <v/>
      </c>
      <c r="AA1601" s="116" t="n">
        <v>8</v>
      </c>
      <c r="AB1601" s="47">
        <f>IFERROR(AA1601/W1601,"")</f>
        <v/>
      </c>
      <c r="AC1601" s="116" t="n">
        <v>1085</v>
      </c>
      <c r="AD1601" s="116" t="n">
        <v>507</v>
      </c>
      <c r="AE1601" s="116" t="n">
        <v>468</v>
      </c>
      <c r="AF1601" s="116" t="n">
        <v>329</v>
      </c>
      <c r="AG1601" s="116" t="n">
        <v>248</v>
      </c>
      <c r="AH1601" s="116" t="n">
        <v>163</v>
      </c>
      <c r="AI1601" s="47">
        <f>IFERROR(AC1601/S1601,"")</f>
        <v/>
      </c>
      <c r="AJ1601" s="47">
        <f>IFERROR(AH1601/S1601,"")</f>
        <v/>
      </c>
      <c r="AK1601" s="116" t="n">
        <v>43</v>
      </c>
      <c r="AL1601" s="116" t="n">
        <v>0</v>
      </c>
      <c r="AM1601" s="118">
        <f>IFERROR(AL1601/AA1601,"")</f>
        <v/>
      </c>
      <c r="AN1601" s="119">
        <f>IFERROR(R1601/AL1601,"")</f>
        <v/>
      </c>
      <c r="AO1601" s="116" t="n">
        <v>0</v>
      </c>
      <c r="AP1601" s="47">
        <f>IFERROR(AO1601/AL1601,"")</f>
        <v/>
      </c>
      <c r="AQ1601" s="119">
        <f>IFERROR(R1601/AO1601,"")</f>
        <v/>
      </c>
      <c r="AR1601" s="116" t="n">
        <v>0</v>
      </c>
      <c r="AS1601" s="116" t="n">
        <v>0</v>
      </c>
      <c r="AT1601" s="116">
        <f>AL1601+AR1601</f>
        <v/>
      </c>
      <c r="AU1601" s="119">
        <f>IFERROR(AO1601*Assumptions!$C$26*Assumptions!$C$27*INDEX(Assumptions!$C$18:$C$21,MATCH(H1601,Assumptions!$B$18:$B$21,0)),0)</f>
        <v/>
      </c>
    </row>
    <row r="1602">
      <c r="A1602" s="114" t="n">
        <v>46255</v>
      </c>
      <c r="B1602" s="42" t="inlineStr">
        <is>
          <t>Wk 34</t>
        </is>
      </c>
      <c r="C1602" s="42" t="inlineStr">
        <is>
          <t>Fri</t>
        </is>
      </c>
      <c r="D1602" s="42" t="inlineStr">
        <is>
          <t>X</t>
        </is>
      </c>
      <c r="E1602" s="42" t="inlineStr">
        <is>
          <t>X (Twitter)</t>
        </is>
      </c>
      <c r="F1602" s="42" t="inlineStr">
        <is>
          <t>LEP_ZA_AUG26_X_TD_RANGE_CONV</t>
        </is>
      </c>
      <c r="G1602" s="42" t="inlineStr">
        <is>
          <t>Website Conversions</t>
        </is>
      </c>
      <c r="H1602" s="42" t="inlineStr">
        <is>
          <t>Range</t>
        </is>
      </c>
      <c r="I1602" s="42" t="inlineStr">
        <is>
          <t>Range Offer</t>
        </is>
      </c>
      <c r="J1602" s="42" t="inlineStr">
        <is>
          <t>X_KEYWORD_CARBUY_ZA</t>
        </is>
      </c>
      <c r="K1602" s="42" t="inlineStr">
        <is>
          <t>Interest</t>
        </is>
      </c>
      <c r="L1602" s="42" t="inlineStr">
        <is>
          <t>X_VID_15s_RangeFilm_v1</t>
        </is>
      </c>
      <c r="M1602" s="42" t="inlineStr">
        <is>
          <t>Video 16:9</t>
        </is>
      </c>
      <c r="N1602" s="42" t="inlineStr">
        <is>
          <t>Meet the Lepas range</t>
        </is>
      </c>
      <c r="O1602" s="42" t="inlineStr">
        <is>
          <t>Auction - Lowest Cost</t>
        </is>
      </c>
      <c r="P1602" s="42" t="inlineStr">
        <is>
          <t>Site Visit / Conversion</t>
        </is>
      </c>
      <c r="Q1602" s="42" t="inlineStr">
        <is>
          <t>https://www.lepas-sa.co.za/offers</t>
        </is>
      </c>
      <c r="R1602" s="115" t="n">
        <v>172.23</v>
      </c>
      <c r="S1602" s="116" t="n">
        <v>2709</v>
      </c>
      <c r="T1602" s="116" t="n">
        <v>1493</v>
      </c>
      <c r="U1602" s="117">
        <f>IFERROR(S1602/T1602,"")</f>
        <v/>
      </c>
      <c r="V1602" s="116" t="n">
        <v>18</v>
      </c>
      <c r="W1602" s="116" t="n">
        <v>14</v>
      </c>
      <c r="X1602" s="118">
        <f>IFERROR(W1602/S1602,"")</f>
        <v/>
      </c>
      <c r="Y1602" s="115">
        <f>IFERROR(R1602/W1602,"")</f>
        <v/>
      </c>
      <c r="Z1602" s="115">
        <f>IFERROR(R1602/S1602*1000,"")</f>
        <v/>
      </c>
      <c r="AA1602" s="116" t="n">
        <v>11</v>
      </c>
      <c r="AB1602" s="47">
        <f>IFERROR(AA1602/W1602,"")</f>
        <v/>
      </c>
      <c r="AC1602" s="116" t="n">
        <v>1018</v>
      </c>
      <c r="AD1602" s="116" t="n">
        <v>594</v>
      </c>
      <c r="AE1602" s="116" t="n">
        <v>548</v>
      </c>
      <c r="AF1602" s="116" t="n">
        <v>306</v>
      </c>
      <c r="AG1602" s="116" t="n">
        <v>205</v>
      </c>
      <c r="AH1602" s="116" t="n">
        <v>138</v>
      </c>
      <c r="AI1602" s="47">
        <f>IFERROR(AC1602/S1602,"")</f>
        <v/>
      </c>
      <c r="AJ1602" s="47">
        <f>IFERROR(AH1602/S1602,"")</f>
        <v/>
      </c>
      <c r="AK1602" s="116" t="n">
        <v>66</v>
      </c>
      <c r="AL1602" s="116" t="n">
        <v>0</v>
      </c>
      <c r="AM1602" s="118">
        <f>IFERROR(AL1602/AA1602,"")</f>
        <v/>
      </c>
      <c r="AN1602" s="119">
        <f>IFERROR(R1602/AL1602,"")</f>
        <v/>
      </c>
      <c r="AO1602" s="116" t="n">
        <v>0</v>
      </c>
      <c r="AP1602" s="47">
        <f>IFERROR(AO1602/AL1602,"")</f>
        <v/>
      </c>
      <c r="AQ1602" s="119">
        <f>IFERROR(R1602/AO1602,"")</f>
        <v/>
      </c>
      <c r="AR1602" s="116" t="n">
        <v>0</v>
      </c>
      <c r="AS1602" s="116" t="n">
        <v>0</v>
      </c>
      <c r="AT1602" s="116">
        <f>AL1602+AR1602</f>
        <v/>
      </c>
      <c r="AU1602" s="119">
        <f>IFERROR(AO1602*Assumptions!$C$26*Assumptions!$C$27*INDEX(Assumptions!$C$18:$C$21,MATCH(H1602,Assumptions!$B$18:$B$21,0)),0)</f>
        <v/>
      </c>
    </row>
    <row r="1603">
      <c r="A1603" s="114" t="n">
        <v>46256</v>
      </c>
      <c r="B1603" s="42" t="inlineStr">
        <is>
          <t>Wk 34</t>
        </is>
      </c>
      <c r="C1603" s="42" t="inlineStr">
        <is>
          <t>Sat</t>
        </is>
      </c>
      <c r="D1603" s="42" t="inlineStr">
        <is>
          <t>X</t>
        </is>
      </c>
      <c r="E1603" s="42" t="inlineStr">
        <is>
          <t>X (Twitter)</t>
        </is>
      </c>
      <c r="F1603" s="42" t="inlineStr">
        <is>
          <t>LEP_ZA_AUG26_X_TD_RANGE_CONV</t>
        </is>
      </c>
      <c r="G1603" s="42" t="inlineStr">
        <is>
          <t>Website Conversions</t>
        </is>
      </c>
      <c r="H1603" s="42" t="inlineStr">
        <is>
          <t>Range</t>
        </is>
      </c>
      <c r="I1603" s="42" t="inlineStr">
        <is>
          <t>Range Offer</t>
        </is>
      </c>
      <c r="J1603" s="42" t="inlineStr">
        <is>
          <t>X_KEYWORD_CARBUY_ZA</t>
        </is>
      </c>
      <c r="K1603" s="42" t="inlineStr">
        <is>
          <t>Interest</t>
        </is>
      </c>
      <c r="L1603" s="42" t="inlineStr">
        <is>
          <t>X_VID_15s_RangeFilm_v1</t>
        </is>
      </c>
      <c r="M1603" s="42" t="inlineStr">
        <is>
          <t>Video 16:9</t>
        </is>
      </c>
      <c r="N1603" s="42" t="inlineStr">
        <is>
          <t>Meet the Lepas range</t>
        </is>
      </c>
      <c r="O1603" s="42" t="inlineStr">
        <is>
          <t>Auction - Lowest Cost</t>
        </is>
      </c>
      <c r="P1603" s="42" t="inlineStr">
        <is>
          <t>Site Visit / Conversion</t>
        </is>
      </c>
      <c r="Q1603" s="42" t="inlineStr">
        <is>
          <t>https://www.lepas-sa.co.za/offers</t>
        </is>
      </c>
      <c r="R1603" s="115" t="n">
        <v>216.9</v>
      </c>
      <c r="S1603" s="116" t="n">
        <v>4235</v>
      </c>
      <c r="T1603" s="116" t="n">
        <v>2463</v>
      </c>
      <c r="U1603" s="117">
        <f>IFERROR(S1603/T1603,"")</f>
        <v/>
      </c>
      <c r="V1603" s="116" t="n">
        <v>32</v>
      </c>
      <c r="W1603" s="116" t="n">
        <v>26</v>
      </c>
      <c r="X1603" s="118">
        <f>IFERROR(W1603/S1603,"")</f>
        <v/>
      </c>
      <c r="Y1603" s="115">
        <f>IFERROR(R1603/W1603,"")</f>
        <v/>
      </c>
      <c r="Z1603" s="115">
        <f>IFERROR(R1603/S1603*1000,"")</f>
        <v/>
      </c>
      <c r="AA1603" s="116" t="n">
        <v>20</v>
      </c>
      <c r="AB1603" s="47">
        <f>IFERROR(AA1603/W1603,"")</f>
        <v/>
      </c>
      <c r="AC1603" s="116" t="n">
        <v>1128</v>
      </c>
      <c r="AD1603" s="116" t="n">
        <v>502</v>
      </c>
      <c r="AE1603" s="116" t="n">
        <v>606</v>
      </c>
      <c r="AF1603" s="116" t="n">
        <v>393</v>
      </c>
      <c r="AG1603" s="116" t="n">
        <v>311</v>
      </c>
      <c r="AH1603" s="116" t="n">
        <v>195</v>
      </c>
      <c r="AI1603" s="47">
        <f>IFERROR(AC1603/S1603,"")</f>
        <v/>
      </c>
      <c r="AJ1603" s="47">
        <f>IFERROR(AH1603/S1603,"")</f>
        <v/>
      </c>
      <c r="AK1603" s="116" t="n">
        <v>102</v>
      </c>
      <c r="AL1603" s="116" t="n">
        <v>0</v>
      </c>
      <c r="AM1603" s="118">
        <f>IFERROR(AL1603/AA1603,"")</f>
        <v/>
      </c>
      <c r="AN1603" s="119">
        <f>IFERROR(R1603/AL1603,"")</f>
        <v/>
      </c>
      <c r="AO1603" s="116" t="n">
        <v>0</v>
      </c>
      <c r="AP1603" s="47">
        <f>IFERROR(AO1603/AL1603,"")</f>
        <v/>
      </c>
      <c r="AQ1603" s="119">
        <f>IFERROR(R1603/AO1603,"")</f>
        <v/>
      </c>
      <c r="AR1603" s="116" t="n">
        <v>0</v>
      </c>
      <c r="AS1603" s="116" t="n">
        <v>0</v>
      </c>
      <c r="AT1603" s="116">
        <f>AL1603+AR1603</f>
        <v/>
      </c>
      <c r="AU1603" s="119">
        <f>IFERROR(AO1603*Assumptions!$C$26*Assumptions!$C$27*INDEX(Assumptions!$C$18:$C$21,MATCH(H1603,Assumptions!$B$18:$B$21,0)),0)</f>
        <v/>
      </c>
    </row>
    <row r="1604">
      <c r="A1604" s="114" t="n">
        <v>46257</v>
      </c>
      <c r="B1604" s="42" t="inlineStr">
        <is>
          <t>Wk 34</t>
        </is>
      </c>
      <c r="C1604" s="42" t="inlineStr">
        <is>
          <t>Sun</t>
        </is>
      </c>
      <c r="D1604" s="42" t="inlineStr">
        <is>
          <t>X</t>
        </is>
      </c>
      <c r="E1604" s="42" t="inlineStr">
        <is>
          <t>X (Twitter)</t>
        </is>
      </c>
      <c r="F1604" s="42" t="inlineStr">
        <is>
          <t>LEP_ZA_AUG26_X_TD_RANGE_CONV</t>
        </is>
      </c>
      <c r="G1604" s="42" t="inlineStr">
        <is>
          <t>Website Conversions</t>
        </is>
      </c>
      <c r="H1604" s="42" t="inlineStr">
        <is>
          <t>Range</t>
        </is>
      </c>
      <c r="I1604" s="42" t="inlineStr">
        <is>
          <t>Range Offer</t>
        </is>
      </c>
      <c r="J1604" s="42" t="inlineStr">
        <is>
          <t>X_KEYWORD_CARBUY_ZA</t>
        </is>
      </c>
      <c r="K1604" s="42" t="inlineStr">
        <is>
          <t>Interest</t>
        </is>
      </c>
      <c r="L1604" s="42" t="inlineStr">
        <is>
          <t>X_VID_15s_RangeFilm_v1</t>
        </is>
      </c>
      <c r="M1604" s="42" t="inlineStr">
        <is>
          <t>Video 16:9</t>
        </is>
      </c>
      <c r="N1604" s="42" t="inlineStr">
        <is>
          <t>Meet the Lepas range</t>
        </is>
      </c>
      <c r="O1604" s="42" t="inlineStr">
        <is>
          <t>Auction - Lowest Cost</t>
        </is>
      </c>
      <c r="P1604" s="42" t="inlineStr">
        <is>
          <t>Site Visit / Conversion</t>
        </is>
      </c>
      <c r="Q1604" s="42" t="inlineStr">
        <is>
          <t>https://www.lepas-sa.co.za/offers</t>
        </is>
      </c>
      <c r="R1604" s="115" t="n">
        <v>126.52</v>
      </c>
      <c r="S1604" s="116" t="n">
        <v>2129</v>
      </c>
      <c r="T1604" s="116" t="n">
        <v>1294</v>
      </c>
      <c r="U1604" s="117">
        <f>IFERROR(S1604/T1604,"")</f>
        <v/>
      </c>
      <c r="V1604" s="116" t="n">
        <v>18</v>
      </c>
      <c r="W1604" s="116" t="n">
        <v>13</v>
      </c>
      <c r="X1604" s="118">
        <f>IFERROR(W1604/S1604,"")</f>
        <v/>
      </c>
      <c r="Y1604" s="115">
        <f>IFERROR(R1604/W1604,"")</f>
        <v/>
      </c>
      <c r="Z1604" s="115">
        <f>IFERROR(R1604/S1604*1000,"")</f>
        <v/>
      </c>
      <c r="AA1604" s="116" t="n">
        <v>10</v>
      </c>
      <c r="AB1604" s="47">
        <f>IFERROR(AA1604/W1604,"")</f>
        <v/>
      </c>
      <c r="AC1604" s="116" t="n">
        <v>648</v>
      </c>
      <c r="AD1604" s="116" t="n">
        <v>287</v>
      </c>
      <c r="AE1604" s="116" t="n">
        <v>253</v>
      </c>
      <c r="AF1604" s="116" t="n">
        <v>163</v>
      </c>
      <c r="AG1604" s="116" t="n">
        <v>109</v>
      </c>
      <c r="AH1604" s="116" t="n">
        <v>71</v>
      </c>
      <c r="AI1604" s="47">
        <f>IFERROR(AC1604/S1604,"")</f>
        <v/>
      </c>
      <c r="AJ1604" s="47">
        <f>IFERROR(AH1604/S1604,"")</f>
        <v/>
      </c>
      <c r="AK1604" s="116" t="n">
        <v>52</v>
      </c>
      <c r="AL1604" s="116" t="n">
        <v>0</v>
      </c>
      <c r="AM1604" s="118">
        <f>IFERROR(AL1604/AA1604,"")</f>
        <v/>
      </c>
      <c r="AN1604" s="119">
        <f>IFERROR(R1604/AL1604,"")</f>
        <v/>
      </c>
      <c r="AO1604" s="116" t="n">
        <v>0</v>
      </c>
      <c r="AP1604" s="47">
        <f>IFERROR(AO1604/AL1604,"")</f>
        <v/>
      </c>
      <c r="AQ1604" s="119">
        <f>IFERROR(R1604/AO1604,"")</f>
        <v/>
      </c>
      <c r="AR1604" s="116" t="n">
        <v>0</v>
      </c>
      <c r="AS1604" s="116" t="n">
        <v>0</v>
      </c>
      <c r="AT1604" s="116">
        <f>AL1604+AR1604</f>
        <v/>
      </c>
      <c r="AU1604" s="119">
        <f>IFERROR(AO1604*Assumptions!$C$26*Assumptions!$C$27*INDEX(Assumptions!$C$18:$C$21,MATCH(H1604,Assumptions!$B$18:$B$21,0)),0)</f>
        <v/>
      </c>
    </row>
    <row r="1605">
      <c r="A1605" s="114" t="n">
        <v>46258</v>
      </c>
      <c r="B1605" s="42" t="inlineStr">
        <is>
          <t>Wk 35</t>
        </is>
      </c>
      <c r="C1605" s="42" t="inlineStr">
        <is>
          <t>Mon</t>
        </is>
      </c>
      <c r="D1605" s="42" t="inlineStr">
        <is>
          <t>X</t>
        </is>
      </c>
      <c r="E1605" s="42" t="inlineStr">
        <is>
          <t>X (Twitter)</t>
        </is>
      </c>
      <c r="F1605" s="42" t="inlineStr">
        <is>
          <t>LEP_ZA_AUG26_X_TD_RANGE_CONV</t>
        </is>
      </c>
      <c r="G1605" s="42" t="inlineStr">
        <is>
          <t>Website Conversions</t>
        </is>
      </c>
      <c r="H1605" s="42" t="inlineStr">
        <is>
          <t>Range</t>
        </is>
      </c>
      <c r="I1605" s="42" t="inlineStr">
        <is>
          <t>Range Offer</t>
        </is>
      </c>
      <c r="J1605" s="42" t="inlineStr">
        <is>
          <t>X_KEYWORD_CARBUY_ZA</t>
        </is>
      </c>
      <c r="K1605" s="42" t="inlineStr">
        <is>
          <t>Interest</t>
        </is>
      </c>
      <c r="L1605" s="42" t="inlineStr">
        <is>
          <t>X_VID_15s_RangeFilm_v1</t>
        </is>
      </c>
      <c r="M1605" s="42" t="inlineStr">
        <is>
          <t>Video 16:9</t>
        </is>
      </c>
      <c r="N1605" s="42" t="inlineStr">
        <is>
          <t>Meet the Lepas range</t>
        </is>
      </c>
      <c r="O1605" s="42" t="inlineStr">
        <is>
          <t>Auction - Lowest Cost</t>
        </is>
      </c>
      <c r="P1605" s="42" t="inlineStr">
        <is>
          <t>Site Visit / Conversion</t>
        </is>
      </c>
      <c r="Q1605" s="42" t="inlineStr">
        <is>
          <t>https://www.lepas-sa.co.za/offers</t>
        </is>
      </c>
      <c r="R1605" s="115" t="n">
        <v>145.1</v>
      </c>
      <c r="S1605" s="116" t="n">
        <v>2568</v>
      </c>
      <c r="T1605" s="116" t="n">
        <v>1717</v>
      </c>
      <c r="U1605" s="117">
        <f>IFERROR(S1605/T1605,"")</f>
        <v/>
      </c>
      <c r="V1605" s="116" t="n">
        <v>21</v>
      </c>
      <c r="W1605" s="116" t="n">
        <v>17</v>
      </c>
      <c r="X1605" s="118">
        <f>IFERROR(W1605/S1605,"")</f>
        <v/>
      </c>
      <c r="Y1605" s="115">
        <f>IFERROR(R1605/W1605,"")</f>
        <v/>
      </c>
      <c r="Z1605" s="115">
        <f>IFERROR(R1605/S1605*1000,"")</f>
        <v/>
      </c>
      <c r="AA1605" s="116" t="n">
        <v>12</v>
      </c>
      <c r="AB1605" s="47">
        <f>IFERROR(AA1605/W1605,"")</f>
        <v/>
      </c>
      <c r="AC1605" s="116" t="n">
        <v>570</v>
      </c>
      <c r="AD1605" s="116" t="n">
        <v>358</v>
      </c>
      <c r="AE1605" s="116" t="n">
        <v>293</v>
      </c>
      <c r="AF1605" s="116" t="n">
        <v>179</v>
      </c>
      <c r="AG1605" s="116" t="n">
        <v>113</v>
      </c>
      <c r="AH1605" s="116" t="n">
        <v>79</v>
      </c>
      <c r="AI1605" s="47">
        <f>IFERROR(AC1605/S1605,"")</f>
        <v/>
      </c>
      <c r="AJ1605" s="47">
        <f>IFERROR(AH1605/S1605,"")</f>
        <v/>
      </c>
      <c r="AK1605" s="116" t="n">
        <v>38</v>
      </c>
      <c r="AL1605" s="116" t="n">
        <v>0</v>
      </c>
      <c r="AM1605" s="118">
        <f>IFERROR(AL1605/AA1605,"")</f>
        <v/>
      </c>
      <c r="AN1605" s="119">
        <f>IFERROR(R1605/AL1605,"")</f>
        <v/>
      </c>
      <c r="AO1605" s="116" t="n">
        <v>0</v>
      </c>
      <c r="AP1605" s="47">
        <f>IFERROR(AO1605/AL1605,"")</f>
        <v/>
      </c>
      <c r="AQ1605" s="119">
        <f>IFERROR(R1605/AO1605,"")</f>
        <v/>
      </c>
      <c r="AR1605" s="116" t="n">
        <v>0</v>
      </c>
      <c r="AS1605" s="116" t="n">
        <v>0</v>
      </c>
      <c r="AT1605" s="116">
        <f>AL1605+AR1605</f>
        <v/>
      </c>
      <c r="AU1605" s="119">
        <f>IFERROR(AO1605*Assumptions!$C$26*Assumptions!$C$27*INDEX(Assumptions!$C$18:$C$21,MATCH(H1605,Assumptions!$B$18:$B$21,0)),0)</f>
        <v/>
      </c>
    </row>
    <row r="1606">
      <c r="A1606" s="114" t="n">
        <v>46259</v>
      </c>
      <c r="B1606" s="42" t="inlineStr">
        <is>
          <t>Wk 35</t>
        </is>
      </c>
      <c r="C1606" s="42" t="inlineStr">
        <is>
          <t>Tue</t>
        </is>
      </c>
      <c r="D1606" s="42" t="inlineStr">
        <is>
          <t>X</t>
        </is>
      </c>
      <c r="E1606" s="42" t="inlineStr">
        <is>
          <t>X (Twitter)</t>
        </is>
      </c>
      <c r="F1606" s="42" t="inlineStr">
        <is>
          <t>LEP_ZA_AUG26_X_TD_RANGE_CONV</t>
        </is>
      </c>
      <c r="G1606" s="42" t="inlineStr">
        <is>
          <t>Website Conversions</t>
        </is>
      </c>
      <c r="H1606" s="42" t="inlineStr">
        <is>
          <t>Range</t>
        </is>
      </c>
      <c r="I1606" s="42" t="inlineStr">
        <is>
          <t>Range Offer</t>
        </is>
      </c>
      <c r="J1606" s="42" t="inlineStr">
        <is>
          <t>X_KEYWORD_CARBUY_ZA</t>
        </is>
      </c>
      <c r="K1606" s="42" t="inlineStr">
        <is>
          <t>Interest</t>
        </is>
      </c>
      <c r="L1606" s="42" t="inlineStr">
        <is>
          <t>X_VID_15s_RangeFilm_v1</t>
        </is>
      </c>
      <c r="M1606" s="42" t="inlineStr">
        <is>
          <t>Video 16:9</t>
        </is>
      </c>
      <c r="N1606" s="42" t="inlineStr">
        <is>
          <t>Meet the Lepas range</t>
        </is>
      </c>
      <c r="O1606" s="42" t="inlineStr">
        <is>
          <t>Auction - Lowest Cost</t>
        </is>
      </c>
      <c r="P1606" s="42" t="inlineStr">
        <is>
          <t>Site Visit / Conversion</t>
        </is>
      </c>
      <c r="Q1606" s="42" t="inlineStr">
        <is>
          <t>https://www.lepas-sa.co.za/offers</t>
        </is>
      </c>
      <c r="R1606" s="115" t="n">
        <v>167.4</v>
      </c>
      <c r="S1606" s="116" t="n">
        <v>3647</v>
      </c>
      <c r="T1606" s="116" t="n">
        <v>2156</v>
      </c>
      <c r="U1606" s="117">
        <f>IFERROR(S1606/T1606,"")</f>
        <v/>
      </c>
      <c r="V1606" s="116" t="n">
        <v>26</v>
      </c>
      <c r="W1606" s="116" t="n">
        <v>19</v>
      </c>
      <c r="X1606" s="118">
        <f>IFERROR(W1606/S1606,"")</f>
        <v/>
      </c>
      <c r="Y1606" s="115">
        <f>IFERROR(R1606/W1606,"")</f>
        <v/>
      </c>
      <c r="Z1606" s="115">
        <f>IFERROR(R1606/S1606*1000,"")</f>
        <v/>
      </c>
      <c r="AA1606" s="116" t="n">
        <v>14</v>
      </c>
      <c r="AB1606" s="47">
        <f>IFERROR(AA1606/W1606,"")</f>
        <v/>
      </c>
      <c r="AC1606" s="116" t="n">
        <v>995</v>
      </c>
      <c r="AD1606" s="116" t="n">
        <v>571</v>
      </c>
      <c r="AE1606" s="116" t="n">
        <v>395</v>
      </c>
      <c r="AF1606" s="116" t="n">
        <v>249</v>
      </c>
      <c r="AG1606" s="116" t="n">
        <v>168</v>
      </c>
      <c r="AH1606" s="116" t="n">
        <v>122</v>
      </c>
      <c r="AI1606" s="47">
        <f>IFERROR(AC1606/S1606,"")</f>
        <v/>
      </c>
      <c r="AJ1606" s="47">
        <f>IFERROR(AH1606/S1606,"")</f>
        <v/>
      </c>
      <c r="AK1606" s="116" t="n">
        <v>93</v>
      </c>
      <c r="AL1606" s="116" t="n">
        <v>1</v>
      </c>
      <c r="AM1606" s="118">
        <f>IFERROR(AL1606/AA1606,"")</f>
        <v/>
      </c>
      <c r="AN1606" s="119">
        <f>IFERROR(R1606/AL1606,"")</f>
        <v/>
      </c>
      <c r="AO1606" s="116" t="n">
        <v>1</v>
      </c>
      <c r="AP1606" s="47">
        <f>IFERROR(AO1606/AL1606,"")</f>
        <v/>
      </c>
      <c r="AQ1606" s="119">
        <f>IFERROR(R1606/AO1606,"")</f>
        <v/>
      </c>
      <c r="AR1606" s="116" t="n">
        <v>0</v>
      </c>
      <c r="AS1606" s="116" t="n">
        <v>0</v>
      </c>
      <c r="AT1606" s="116">
        <f>AL1606+AR1606</f>
        <v/>
      </c>
      <c r="AU1606" s="119">
        <f>IFERROR(AO1606*Assumptions!$C$26*Assumptions!$C$27*INDEX(Assumptions!$C$18:$C$21,MATCH(H1606,Assumptions!$B$18:$B$21,0)),0)</f>
        <v/>
      </c>
    </row>
    <row r="1607">
      <c r="A1607" s="114" t="n">
        <v>46260</v>
      </c>
      <c r="B1607" s="42" t="inlineStr">
        <is>
          <t>Wk 35</t>
        </is>
      </c>
      <c r="C1607" s="42" t="inlineStr">
        <is>
          <t>Wed</t>
        </is>
      </c>
      <c r="D1607" s="42" t="inlineStr">
        <is>
          <t>X</t>
        </is>
      </c>
      <c r="E1607" s="42" t="inlineStr">
        <is>
          <t>X (Twitter)</t>
        </is>
      </c>
      <c r="F1607" s="42" t="inlineStr">
        <is>
          <t>LEP_ZA_AUG26_X_TD_RANGE_CONV</t>
        </is>
      </c>
      <c r="G1607" s="42" t="inlineStr">
        <is>
          <t>Website Conversions</t>
        </is>
      </c>
      <c r="H1607" s="42" t="inlineStr">
        <is>
          <t>Range</t>
        </is>
      </c>
      <c r="I1607" s="42" t="inlineStr">
        <is>
          <t>Range Offer</t>
        </is>
      </c>
      <c r="J1607" s="42" t="inlineStr">
        <is>
          <t>X_KEYWORD_CARBUY_ZA</t>
        </is>
      </c>
      <c r="K1607" s="42" t="inlineStr">
        <is>
          <t>Interest</t>
        </is>
      </c>
      <c r="L1607" s="42" t="inlineStr">
        <is>
          <t>X_VID_15s_RangeFilm_v1</t>
        </is>
      </c>
      <c r="M1607" s="42" t="inlineStr">
        <is>
          <t>Video 16:9</t>
        </is>
      </c>
      <c r="N1607" s="42" t="inlineStr">
        <is>
          <t>Meet the Lepas range</t>
        </is>
      </c>
      <c r="O1607" s="42" t="inlineStr">
        <is>
          <t>Auction - Lowest Cost</t>
        </is>
      </c>
      <c r="P1607" s="42" t="inlineStr">
        <is>
          <t>Site Visit / Conversion</t>
        </is>
      </c>
      <c r="Q1607" s="42" t="inlineStr">
        <is>
          <t>https://www.lepas-sa.co.za/offers</t>
        </is>
      </c>
      <c r="R1607" s="115" t="n">
        <v>151.33</v>
      </c>
      <c r="S1607" s="116" t="n">
        <v>2366</v>
      </c>
      <c r="T1607" s="116" t="n">
        <v>1491</v>
      </c>
      <c r="U1607" s="117">
        <f>IFERROR(S1607/T1607,"")</f>
        <v/>
      </c>
      <c r="V1607" s="116" t="n">
        <v>23</v>
      </c>
      <c r="W1607" s="116" t="n">
        <v>16</v>
      </c>
      <c r="X1607" s="118">
        <f>IFERROR(W1607/S1607,"")</f>
        <v/>
      </c>
      <c r="Y1607" s="115">
        <f>IFERROR(R1607/W1607,"")</f>
        <v/>
      </c>
      <c r="Z1607" s="115">
        <f>IFERROR(R1607/S1607*1000,"")</f>
        <v/>
      </c>
      <c r="AA1607" s="116" t="n">
        <v>13</v>
      </c>
      <c r="AB1607" s="47">
        <f>IFERROR(AA1607/W1607,"")</f>
        <v/>
      </c>
      <c r="AC1607" s="116" t="n">
        <v>891</v>
      </c>
      <c r="AD1607" s="116" t="n">
        <v>410</v>
      </c>
      <c r="AE1607" s="116" t="n">
        <v>477</v>
      </c>
      <c r="AF1607" s="116" t="n">
        <v>250</v>
      </c>
      <c r="AG1607" s="116" t="n">
        <v>177</v>
      </c>
      <c r="AH1607" s="116" t="n">
        <v>126</v>
      </c>
      <c r="AI1607" s="47">
        <f>IFERROR(AC1607/S1607,"")</f>
        <v/>
      </c>
      <c r="AJ1607" s="47">
        <f>IFERROR(AH1607/S1607,"")</f>
        <v/>
      </c>
      <c r="AK1607" s="116" t="n">
        <v>42</v>
      </c>
      <c r="AL1607" s="116" t="n">
        <v>0</v>
      </c>
      <c r="AM1607" s="118">
        <f>IFERROR(AL1607/AA1607,"")</f>
        <v/>
      </c>
      <c r="AN1607" s="119">
        <f>IFERROR(R1607/AL1607,"")</f>
        <v/>
      </c>
      <c r="AO1607" s="116" t="n">
        <v>0</v>
      </c>
      <c r="AP1607" s="47">
        <f>IFERROR(AO1607/AL1607,"")</f>
        <v/>
      </c>
      <c r="AQ1607" s="119">
        <f>IFERROR(R1607/AO1607,"")</f>
        <v/>
      </c>
      <c r="AR1607" s="116" t="n">
        <v>0</v>
      </c>
      <c r="AS1607" s="116" t="n">
        <v>0</v>
      </c>
      <c r="AT1607" s="116">
        <f>AL1607+AR1607</f>
        <v/>
      </c>
      <c r="AU1607" s="119">
        <f>IFERROR(AO1607*Assumptions!$C$26*Assumptions!$C$27*INDEX(Assumptions!$C$18:$C$21,MATCH(H1607,Assumptions!$B$18:$B$21,0)),0)</f>
        <v/>
      </c>
    </row>
    <row r="1608">
      <c r="A1608" s="114" t="n">
        <v>46261</v>
      </c>
      <c r="B1608" s="42" t="inlineStr">
        <is>
          <t>Wk 35</t>
        </is>
      </c>
      <c r="C1608" s="42" t="inlineStr">
        <is>
          <t>Thu</t>
        </is>
      </c>
      <c r="D1608" s="42" t="inlineStr">
        <is>
          <t>X</t>
        </is>
      </c>
      <c r="E1608" s="42" t="inlineStr">
        <is>
          <t>X (Twitter)</t>
        </is>
      </c>
      <c r="F1608" s="42" t="inlineStr">
        <is>
          <t>LEP_ZA_AUG26_X_TD_RANGE_CONV</t>
        </is>
      </c>
      <c r="G1608" s="42" t="inlineStr">
        <is>
          <t>Website Conversions</t>
        </is>
      </c>
      <c r="H1608" s="42" t="inlineStr">
        <is>
          <t>Range</t>
        </is>
      </c>
      <c r="I1608" s="42" t="inlineStr">
        <is>
          <t>Range Offer</t>
        </is>
      </c>
      <c r="J1608" s="42" t="inlineStr">
        <is>
          <t>X_KEYWORD_CARBUY_ZA</t>
        </is>
      </c>
      <c r="K1608" s="42" t="inlineStr">
        <is>
          <t>Interest</t>
        </is>
      </c>
      <c r="L1608" s="42" t="inlineStr">
        <is>
          <t>X_VID_15s_RangeFilm_v1</t>
        </is>
      </c>
      <c r="M1608" s="42" t="inlineStr">
        <is>
          <t>Video 16:9</t>
        </is>
      </c>
      <c r="N1608" s="42" t="inlineStr">
        <is>
          <t>Meet the Lepas range</t>
        </is>
      </c>
      <c r="O1608" s="42" t="inlineStr">
        <is>
          <t>Auction - Lowest Cost</t>
        </is>
      </c>
      <c r="P1608" s="42" t="inlineStr">
        <is>
          <t>Site Visit / Conversion</t>
        </is>
      </c>
      <c r="Q1608" s="42" t="inlineStr">
        <is>
          <t>https://www.lepas-sa.co.za/offers</t>
        </is>
      </c>
      <c r="R1608" s="115" t="n">
        <v>205.82</v>
      </c>
      <c r="S1608" s="116" t="n">
        <v>4452</v>
      </c>
      <c r="T1608" s="116" t="n">
        <v>2375</v>
      </c>
      <c r="U1608" s="117">
        <f>IFERROR(S1608/T1608,"")</f>
        <v/>
      </c>
      <c r="V1608" s="116" t="n">
        <v>35</v>
      </c>
      <c r="W1608" s="116" t="n">
        <v>27</v>
      </c>
      <c r="X1608" s="118">
        <f>IFERROR(W1608/S1608,"")</f>
        <v/>
      </c>
      <c r="Y1608" s="115">
        <f>IFERROR(R1608/W1608,"")</f>
        <v/>
      </c>
      <c r="Z1608" s="115">
        <f>IFERROR(R1608/S1608*1000,"")</f>
        <v/>
      </c>
      <c r="AA1608" s="116" t="n">
        <v>21</v>
      </c>
      <c r="AB1608" s="47">
        <f>IFERROR(AA1608/W1608,"")</f>
        <v/>
      </c>
      <c r="AC1608" s="116" t="n">
        <v>1405</v>
      </c>
      <c r="AD1608" s="116" t="n">
        <v>733</v>
      </c>
      <c r="AE1608" s="116" t="n">
        <v>696</v>
      </c>
      <c r="AF1608" s="116" t="n">
        <v>389</v>
      </c>
      <c r="AG1608" s="116" t="n">
        <v>278</v>
      </c>
      <c r="AH1608" s="116" t="n">
        <v>163</v>
      </c>
      <c r="AI1608" s="47">
        <f>IFERROR(AC1608/S1608,"")</f>
        <v/>
      </c>
      <c r="AJ1608" s="47">
        <f>IFERROR(AH1608/S1608,"")</f>
        <v/>
      </c>
      <c r="AK1608" s="116" t="n">
        <v>37</v>
      </c>
      <c r="AL1608" s="116" t="n">
        <v>0</v>
      </c>
      <c r="AM1608" s="118">
        <f>IFERROR(AL1608/AA1608,"")</f>
        <v/>
      </c>
      <c r="AN1608" s="119">
        <f>IFERROR(R1608/AL1608,"")</f>
        <v/>
      </c>
      <c r="AO1608" s="116" t="n">
        <v>0</v>
      </c>
      <c r="AP1608" s="47">
        <f>IFERROR(AO1608/AL1608,"")</f>
        <v/>
      </c>
      <c r="AQ1608" s="119">
        <f>IFERROR(R1608/AO1608,"")</f>
        <v/>
      </c>
      <c r="AR1608" s="116" t="n">
        <v>0</v>
      </c>
      <c r="AS1608" s="116" t="n">
        <v>0</v>
      </c>
      <c r="AT1608" s="116">
        <f>AL1608+AR1608</f>
        <v/>
      </c>
      <c r="AU1608" s="119">
        <f>IFERROR(AO1608*Assumptions!$C$26*Assumptions!$C$27*INDEX(Assumptions!$C$18:$C$21,MATCH(H1608,Assumptions!$B$18:$B$21,0)),0)</f>
        <v/>
      </c>
    </row>
    <row r="1609">
      <c r="A1609" s="114" t="n">
        <v>46262</v>
      </c>
      <c r="B1609" s="42" t="inlineStr">
        <is>
          <t>Wk 35</t>
        </is>
      </c>
      <c r="C1609" s="42" t="inlineStr">
        <is>
          <t>Fri</t>
        </is>
      </c>
      <c r="D1609" s="42" t="inlineStr">
        <is>
          <t>X</t>
        </is>
      </c>
      <c r="E1609" s="42" t="inlineStr">
        <is>
          <t>X (Twitter)</t>
        </is>
      </c>
      <c r="F1609" s="42" t="inlineStr">
        <is>
          <t>LEP_ZA_AUG26_X_TD_RANGE_CONV</t>
        </is>
      </c>
      <c r="G1609" s="42" t="inlineStr">
        <is>
          <t>Website Conversions</t>
        </is>
      </c>
      <c r="H1609" s="42" t="inlineStr">
        <is>
          <t>Range</t>
        </is>
      </c>
      <c r="I1609" s="42" t="inlineStr">
        <is>
          <t>Range Offer</t>
        </is>
      </c>
      <c r="J1609" s="42" t="inlineStr">
        <is>
          <t>X_KEYWORD_CARBUY_ZA</t>
        </is>
      </c>
      <c r="K1609" s="42" t="inlineStr">
        <is>
          <t>Interest</t>
        </is>
      </c>
      <c r="L1609" s="42" t="inlineStr">
        <is>
          <t>X_VID_15s_RangeFilm_v1</t>
        </is>
      </c>
      <c r="M1609" s="42" t="inlineStr">
        <is>
          <t>Video 16:9</t>
        </is>
      </c>
      <c r="N1609" s="42" t="inlineStr">
        <is>
          <t>Meet the Lepas range</t>
        </is>
      </c>
      <c r="O1609" s="42" t="inlineStr">
        <is>
          <t>Auction - Lowest Cost</t>
        </is>
      </c>
      <c r="P1609" s="42" t="inlineStr">
        <is>
          <t>Site Visit / Conversion</t>
        </is>
      </c>
      <c r="Q1609" s="42" t="inlineStr">
        <is>
          <t>https://www.lepas-sa.co.za/offers</t>
        </is>
      </c>
      <c r="R1609" s="115" t="n">
        <v>235.51</v>
      </c>
      <c r="S1609" s="116" t="n">
        <v>3496</v>
      </c>
      <c r="T1609" s="116" t="n">
        <v>1906</v>
      </c>
      <c r="U1609" s="117">
        <f>IFERROR(S1609/T1609,"")</f>
        <v/>
      </c>
      <c r="V1609" s="116" t="n">
        <v>20</v>
      </c>
      <c r="W1609" s="116" t="n">
        <v>15</v>
      </c>
      <c r="X1609" s="118">
        <f>IFERROR(W1609/S1609,"")</f>
        <v/>
      </c>
      <c r="Y1609" s="115">
        <f>IFERROR(R1609/W1609,"")</f>
        <v/>
      </c>
      <c r="Z1609" s="115">
        <f>IFERROR(R1609/S1609*1000,"")</f>
        <v/>
      </c>
      <c r="AA1609" s="116" t="n">
        <v>11</v>
      </c>
      <c r="AB1609" s="47">
        <f>IFERROR(AA1609/W1609,"")</f>
        <v/>
      </c>
      <c r="AC1609" s="116" t="n">
        <v>1386</v>
      </c>
      <c r="AD1609" s="116" t="n">
        <v>869</v>
      </c>
      <c r="AE1609" s="116" t="n">
        <v>706</v>
      </c>
      <c r="AF1609" s="116" t="n">
        <v>390</v>
      </c>
      <c r="AG1609" s="116" t="n">
        <v>255</v>
      </c>
      <c r="AH1609" s="116" t="n">
        <v>177</v>
      </c>
      <c r="AI1609" s="47">
        <f>IFERROR(AC1609/S1609,"")</f>
        <v/>
      </c>
      <c r="AJ1609" s="47">
        <f>IFERROR(AH1609/S1609,"")</f>
        <v/>
      </c>
      <c r="AK1609" s="116" t="n">
        <v>43</v>
      </c>
      <c r="AL1609" s="116" t="n">
        <v>0</v>
      </c>
      <c r="AM1609" s="118">
        <f>IFERROR(AL1609/AA1609,"")</f>
        <v/>
      </c>
      <c r="AN1609" s="119">
        <f>IFERROR(R1609/AL1609,"")</f>
        <v/>
      </c>
      <c r="AO1609" s="116" t="n">
        <v>0</v>
      </c>
      <c r="AP1609" s="47">
        <f>IFERROR(AO1609/AL1609,"")</f>
        <v/>
      </c>
      <c r="AQ1609" s="119">
        <f>IFERROR(R1609/AO1609,"")</f>
        <v/>
      </c>
      <c r="AR1609" s="116" t="n">
        <v>0</v>
      </c>
      <c r="AS1609" s="116" t="n">
        <v>0</v>
      </c>
      <c r="AT1609" s="116">
        <f>AL1609+AR1609</f>
        <v/>
      </c>
      <c r="AU1609" s="119">
        <f>IFERROR(AO1609*Assumptions!$C$26*Assumptions!$C$27*INDEX(Assumptions!$C$18:$C$21,MATCH(H1609,Assumptions!$B$18:$B$21,0)),0)</f>
        <v/>
      </c>
    </row>
    <row r="1610">
      <c r="A1610" s="114" t="n">
        <v>46263</v>
      </c>
      <c r="B1610" s="42" t="inlineStr">
        <is>
          <t>Wk 35</t>
        </is>
      </c>
      <c r="C1610" s="42" t="inlineStr">
        <is>
          <t>Sat</t>
        </is>
      </c>
      <c r="D1610" s="42" t="inlineStr">
        <is>
          <t>X</t>
        </is>
      </c>
      <c r="E1610" s="42" t="inlineStr">
        <is>
          <t>X (Twitter)</t>
        </is>
      </c>
      <c r="F1610" s="42" t="inlineStr">
        <is>
          <t>LEP_ZA_AUG26_X_TD_RANGE_CONV</t>
        </is>
      </c>
      <c r="G1610" s="42" t="inlineStr">
        <is>
          <t>Website Conversions</t>
        </is>
      </c>
      <c r="H1610" s="42" t="inlineStr">
        <is>
          <t>Range</t>
        </is>
      </c>
      <c r="I1610" s="42" t="inlineStr">
        <is>
          <t>Range Offer</t>
        </is>
      </c>
      <c r="J1610" s="42" t="inlineStr">
        <is>
          <t>X_KEYWORD_CARBUY_ZA</t>
        </is>
      </c>
      <c r="K1610" s="42" t="inlineStr">
        <is>
          <t>Interest</t>
        </is>
      </c>
      <c r="L1610" s="42" t="inlineStr">
        <is>
          <t>X_VID_15s_RangeFilm_v1</t>
        </is>
      </c>
      <c r="M1610" s="42" t="inlineStr">
        <is>
          <t>Video 16:9</t>
        </is>
      </c>
      <c r="N1610" s="42" t="inlineStr">
        <is>
          <t>Meet the Lepas range</t>
        </is>
      </c>
      <c r="O1610" s="42" t="inlineStr">
        <is>
          <t>Auction - Lowest Cost</t>
        </is>
      </c>
      <c r="P1610" s="42" t="inlineStr">
        <is>
          <t>Site Visit / Conversion</t>
        </is>
      </c>
      <c r="Q1610" s="42" t="inlineStr">
        <is>
          <t>https://www.lepas-sa.co.za/offers</t>
        </is>
      </c>
      <c r="R1610" s="115" t="n">
        <v>230.06</v>
      </c>
      <c r="S1610" s="116" t="n">
        <v>4868</v>
      </c>
      <c r="T1610" s="116" t="n">
        <v>3153</v>
      </c>
      <c r="U1610" s="117">
        <f>IFERROR(S1610/T1610,"")</f>
        <v/>
      </c>
      <c r="V1610" s="116" t="n">
        <v>30</v>
      </c>
      <c r="W1610" s="116" t="n">
        <v>24</v>
      </c>
      <c r="X1610" s="118">
        <f>IFERROR(W1610/S1610,"")</f>
        <v/>
      </c>
      <c r="Y1610" s="115">
        <f>IFERROR(R1610/W1610,"")</f>
        <v/>
      </c>
      <c r="Z1610" s="115">
        <f>IFERROR(R1610/S1610*1000,"")</f>
        <v/>
      </c>
      <c r="AA1610" s="116" t="n">
        <v>19</v>
      </c>
      <c r="AB1610" s="47">
        <f>IFERROR(AA1610/W1610,"")</f>
        <v/>
      </c>
      <c r="AC1610" s="116" t="n">
        <v>1576</v>
      </c>
      <c r="AD1610" s="116" t="n">
        <v>958</v>
      </c>
      <c r="AE1610" s="116" t="n">
        <v>851</v>
      </c>
      <c r="AF1610" s="116" t="n">
        <v>497</v>
      </c>
      <c r="AG1610" s="116" t="n">
        <v>357</v>
      </c>
      <c r="AH1610" s="116" t="n">
        <v>234</v>
      </c>
      <c r="AI1610" s="47">
        <f>IFERROR(AC1610/S1610,"")</f>
        <v/>
      </c>
      <c r="AJ1610" s="47">
        <f>IFERROR(AH1610/S1610,"")</f>
        <v/>
      </c>
      <c r="AK1610" s="116" t="n">
        <v>132</v>
      </c>
      <c r="AL1610" s="116" t="n">
        <v>0</v>
      </c>
      <c r="AM1610" s="118">
        <f>IFERROR(AL1610/AA1610,"")</f>
        <v/>
      </c>
      <c r="AN1610" s="119">
        <f>IFERROR(R1610/AL1610,"")</f>
        <v/>
      </c>
      <c r="AO1610" s="116" t="n">
        <v>0</v>
      </c>
      <c r="AP1610" s="47">
        <f>IFERROR(AO1610/AL1610,"")</f>
        <v/>
      </c>
      <c r="AQ1610" s="119">
        <f>IFERROR(R1610/AO1610,"")</f>
        <v/>
      </c>
      <c r="AR1610" s="116" t="n">
        <v>0</v>
      </c>
      <c r="AS1610" s="116" t="n">
        <v>0</v>
      </c>
      <c r="AT1610" s="116">
        <f>AL1610+AR1610</f>
        <v/>
      </c>
      <c r="AU1610" s="119">
        <f>IFERROR(AO1610*Assumptions!$C$26*Assumptions!$C$27*INDEX(Assumptions!$C$18:$C$21,MATCH(H1610,Assumptions!$B$18:$B$21,0)),0)</f>
        <v/>
      </c>
    </row>
    <row r="1611">
      <c r="A1611" s="114" t="n">
        <v>46264</v>
      </c>
      <c r="B1611" s="42" t="inlineStr">
        <is>
          <t>Wk 35</t>
        </is>
      </c>
      <c r="C1611" s="42" t="inlineStr">
        <is>
          <t>Sun</t>
        </is>
      </c>
      <c r="D1611" s="42" t="inlineStr">
        <is>
          <t>X</t>
        </is>
      </c>
      <c r="E1611" s="42" t="inlineStr">
        <is>
          <t>X (Twitter)</t>
        </is>
      </c>
      <c r="F1611" s="42" t="inlineStr">
        <is>
          <t>LEP_ZA_AUG26_X_TD_RANGE_CONV</t>
        </is>
      </c>
      <c r="G1611" s="42" t="inlineStr">
        <is>
          <t>Website Conversions</t>
        </is>
      </c>
      <c r="H1611" s="42" t="inlineStr">
        <is>
          <t>Range</t>
        </is>
      </c>
      <c r="I1611" s="42" t="inlineStr">
        <is>
          <t>Range Offer</t>
        </is>
      </c>
      <c r="J1611" s="42" t="inlineStr">
        <is>
          <t>X_KEYWORD_CARBUY_ZA</t>
        </is>
      </c>
      <c r="K1611" s="42" t="inlineStr">
        <is>
          <t>Interest</t>
        </is>
      </c>
      <c r="L1611" s="42" t="inlineStr">
        <is>
          <t>X_VID_15s_RangeFilm_v1</t>
        </is>
      </c>
      <c r="M1611" s="42" t="inlineStr">
        <is>
          <t>Video 16:9</t>
        </is>
      </c>
      <c r="N1611" s="42" t="inlineStr">
        <is>
          <t>Meet the Lepas range</t>
        </is>
      </c>
      <c r="O1611" s="42" t="inlineStr">
        <is>
          <t>Auction - Lowest Cost</t>
        </is>
      </c>
      <c r="P1611" s="42" t="inlineStr">
        <is>
          <t>Site Visit / Conversion</t>
        </is>
      </c>
      <c r="Q1611" s="42" t="inlineStr">
        <is>
          <t>https://www.lepas-sa.co.za/offers</t>
        </is>
      </c>
      <c r="R1611" s="115" t="n">
        <v>154.28</v>
      </c>
      <c r="S1611" s="116" t="n">
        <v>2052</v>
      </c>
      <c r="T1611" s="116" t="n">
        <v>1265</v>
      </c>
      <c r="U1611" s="117">
        <f>IFERROR(S1611/T1611,"")</f>
        <v/>
      </c>
      <c r="V1611" s="116" t="n">
        <v>9</v>
      </c>
      <c r="W1611" s="116" t="n">
        <v>8</v>
      </c>
      <c r="X1611" s="118">
        <f>IFERROR(W1611/S1611,"")</f>
        <v/>
      </c>
      <c r="Y1611" s="115">
        <f>IFERROR(R1611/W1611,"")</f>
        <v/>
      </c>
      <c r="Z1611" s="115">
        <f>IFERROR(R1611/S1611*1000,"")</f>
        <v/>
      </c>
      <c r="AA1611" s="116" t="n">
        <v>7</v>
      </c>
      <c r="AB1611" s="47">
        <f>IFERROR(AA1611/W1611,"")</f>
        <v/>
      </c>
      <c r="AC1611" s="116" t="n">
        <v>583</v>
      </c>
      <c r="AD1611" s="116" t="n">
        <v>326</v>
      </c>
      <c r="AE1611" s="116" t="n">
        <v>237</v>
      </c>
      <c r="AF1611" s="116" t="n">
        <v>139</v>
      </c>
      <c r="AG1611" s="116" t="n">
        <v>111</v>
      </c>
      <c r="AH1611" s="116" t="n">
        <v>81</v>
      </c>
      <c r="AI1611" s="47">
        <f>IFERROR(AC1611/S1611,"")</f>
        <v/>
      </c>
      <c r="AJ1611" s="47">
        <f>IFERROR(AH1611/S1611,"")</f>
        <v/>
      </c>
      <c r="AK1611" s="116" t="n">
        <v>31</v>
      </c>
      <c r="AL1611" s="116" t="n">
        <v>0</v>
      </c>
      <c r="AM1611" s="118">
        <f>IFERROR(AL1611/AA1611,"")</f>
        <v/>
      </c>
      <c r="AN1611" s="119">
        <f>IFERROR(R1611/AL1611,"")</f>
        <v/>
      </c>
      <c r="AO1611" s="116" t="n">
        <v>0</v>
      </c>
      <c r="AP1611" s="47">
        <f>IFERROR(AO1611/AL1611,"")</f>
        <v/>
      </c>
      <c r="AQ1611" s="119">
        <f>IFERROR(R1611/AO1611,"")</f>
        <v/>
      </c>
      <c r="AR1611" s="116" t="n">
        <v>0</v>
      </c>
      <c r="AS1611" s="116" t="n">
        <v>0</v>
      </c>
      <c r="AT1611" s="116">
        <f>AL1611+AR1611</f>
        <v/>
      </c>
      <c r="AU1611" s="119">
        <f>IFERROR(AO1611*Assumptions!$C$26*Assumptions!$C$27*INDEX(Assumptions!$C$18:$C$21,MATCH(H1611,Assumptions!$B$18:$B$21,0)),0)</f>
        <v/>
      </c>
    </row>
    <row r="1612">
      <c r="A1612" s="114" t="n">
        <v>46265</v>
      </c>
      <c r="B1612" s="42" t="inlineStr">
        <is>
          <t>Wk 36</t>
        </is>
      </c>
      <c r="C1612" s="42" t="inlineStr">
        <is>
          <t>Mon</t>
        </is>
      </c>
      <c r="D1612" s="42" t="inlineStr">
        <is>
          <t>X</t>
        </is>
      </c>
      <c r="E1612" s="42" t="inlineStr">
        <is>
          <t>X (Twitter)</t>
        </is>
      </c>
      <c r="F1612" s="42" t="inlineStr">
        <is>
          <t>LEP_ZA_AUG26_X_TD_RANGE_CONV</t>
        </is>
      </c>
      <c r="G1612" s="42" t="inlineStr">
        <is>
          <t>Website Conversions</t>
        </is>
      </c>
      <c r="H1612" s="42" t="inlineStr">
        <is>
          <t>Range</t>
        </is>
      </c>
      <c r="I1612" s="42" t="inlineStr">
        <is>
          <t>Range Offer</t>
        </is>
      </c>
      <c r="J1612" s="42" t="inlineStr">
        <is>
          <t>X_KEYWORD_CARBUY_ZA</t>
        </is>
      </c>
      <c r="K1612" s="42" t="inlineStr">
        <is>
          <t>Interest</t>
        </is>
      </c>
      <c r="L1612" s="42" t="inlineStr">
        <is>
          <t>X_VID_15s_RangeFilm_v1</t>
        </is>
      </c>
      <c r="M1612" s="42" t="inlineStr">
        <is>
          <t>Video 16:9</t>
        </is>
      </c>
      <c r="N1612" s="42" t="inlineStr">
        <is>
          <t>Meet the Lepas range</t>
        </is>
      </c>
      <c r="O1612" s="42" t="inlineStr">
        <is>
          <t>Auction - Lowest Cost</t>
        </is>
      </c>
      <c r="P1612" s="42" t="inlineStr">
        <is>
          <t>Site Visit / Conversion</t>
        </is>
      </c>
      <c r="Q1612" s="42" t="inlineStr">
        <is>
          <t>https://www.lepas-sa.co.za/offers</t>
        </is>
      </c>
      <c r="R1612" s="115" t="n">
        <v>196.94</v>
      </c>
      <c r="S1612" s="116" t="n">
        <v>2850</v>
      </c>
      <c r="T1612" s="116" t="n">
        <v>1538</v>
      </c>
      <c r="U1612" s="117">
        <f>IFERROR(S1612/T1612,"")</f>
        <v/>
      </c>
      <c r="V1612" s="116" t="n">
        <v>26</v>
      </c>
      <c r="W1612" s="116" t="n">
        <v>19</v>
      </c>
      <c r="X1612" s="118">
        <f>IFERROR(W1612/S1612,"")</f>
        <v/>
      </c>
      <c r="Y1612" s="115">
        <f>IFERROR(R1612/W1612,"")</f>
        <v/>
      </c>
      <c r="Z1612" s="115">
        <f>IFERROR(R1612/S1612*1000,"")</f>
        <v/>
      </c>
      <c r="AA1612" s="116" t="n">
        <v>13</v>
      </c>
      <c r="AB1612" s="47">
        <f>IFERROR(AA1612/W1612,"")</f>
        <v/>
      </c>
      <c r="AC1612" s="116" t="n">
        <v>824</v>
      </c>
      <c r="AD1612" s="116" t="n">
        <v>386</v>
      </c>
      <c r="AE1612" s="116" t="n">
        <v>321</v>
      </c>
      <c r="AF1612" s="116" t="n">
        <v>192</v>
      </c>
      <c r="AG1612" s="116" t="n">
        <v>126</v>
      </c>
      <c r="AH1612" s="116" t="n">
        <v>84</v>
      </c>
      <c r="AI1612" s="47">
        <f>IFERROR(AC1612/S1612,"")</f>
        <v/>
      </c>
      <c r="AJ1612" s="47">
        <f>IFERROR(AH1612/S1612,"")</f>
        <v/>
      </c>
      <c r="AK1612" s="116" t="n">
        <v>75</v>
      </c>
      <c r="AL1612" s="116" t="n">
        <v>0</v>
      </c>
      <c r="AM1612" s="118">
        <f>IFERROR(AL1612/AA1612,"")</f>
        <v/>
      </c>
      <c r="AN1612" s="119">
        <f>IFERROR(R1612/AL1612,"")</f>
        <v/>
      </c>
      <c r="AO1612" s="116" t="n">
        <v>0</v>
      </c>
      <c r="AP1612" s="47">
        <f>IFERROR(AO1612/AL1612,"")</f>
        <v/>
      </c>
      <c r="AQ1612" s="119">
        <f>IFERROR(R1612/AO1612,"")</f>
        <v/>
      </c>
      <c r="AR1612" s="116" t="n">
        <v>0</v>
      </c>
      <c r="AS1612" s="116" t="n">
        <v>0</v>
      </c>
      <c r="AT1612" s="116">
        <f>AL1612+AR1612</f>
        <v/>
      </c>
      <c r="AU1612" s="119">
        <f>IFERROR(AO1612*Assumptions!$C$26*Assumptions!$C$27*INDEX(Assumptions!$C$18:$C$21,MATCH(H1612,Assumptions!$B$18:$B$21,0)),0)</f>
        <v/>
      </c>
    </row>
    <row r="1613">
      <c r="A1613" s="114" t="n">
        <v>46235</v>
      </c>
      <c r="B1613" s="42" t="inlineStr">
        <is>
          <t>Wk 31</t>
        </is>
      </c>
      <c r="C1613" s="42" t="inlineStr">
        <is>
          <t>Sat</t>
        </is>
      </c>
      <c r="D1613" s="42" t="inlineStr">
        <is>
          <t>X</t>
        </is>
      </c>
      <c r="E1613" s="42" t="inlineStr">
        <is>
          <t>X (Twitter)</t>
        </is>
      </c>
      <c r="F1613" s="42" t="inlineStr">
        <is>
          <t>LEP_ZA_AUG26_X_RMKT_TD_CONV</t>
        </is>
      </c>
      <c r="G1613" s="42" t="inlineStr">
        <is>
          <t>Website Conversions</t>
        </is>
      </c>
      <c r="H1613" s="42" t="inlineStr">
        <is>
          <t>Range</t>
        </is>
      </c>
      <c r="I1613" s="42" t="inlineStr">
        <is>
          <t>Range Offer</t>
        </is>
      </c>
      <c r="J1613" s="42" t="inlineStr">
        <is>
          <t>X_RMKT_SITE14D_ZA</t>
        </is>
      </c>
      <c r="K1613" s="42" t="inlineStr">
        <is>
          <t>Retargeting</t>
        </is>
      </c>
      <c r="L1613" s="42" t="inlineStr">
        <is>
          <t>X_STA_BookReminder_v1</t>
        </is>
      </c>
      <c r="M1613" s="42" t="inlineStr">
        <is>
          <t>Image Ad</t>
        </is>
      </c>
      <c r="N1613" s="42" t="inlineStr">
        <is>
          <t>Slots open this weekend</t>
        </is>
      </c>
      <c r="O1613" s="42" t="inlineStr">
        <is>
          <t>Auction - Lowest Cost</t>
        </is>
      </c>
      <c r="P1613" s="42" t="inlineStr">
        <is>
          <t>Site Visit / Conversion</t>
        </is>
      </c>
      <c r="Q1613" s="42" t="inlineStr">
        <is>
          <t>https://www.lepas-sa.co.za/book-a-test-drive</t>
        </is>
      </c>
      <c r="R1613" s="115" t="n">
        <v>190.45</v>
      </c>
      <c r="S1613" s="116" t="n">
        <v>3387</v>
      </c>
      <c r="T1613" s="116" t="n">
        <v>2525</v>
      </c>
      <c r="U1613" s="117">
        <f>IFERROR(S1613/T1613,"")</f>
        <v/>
      </c>
      <c r="V1613" s="116" t="n">
        <v>76</v>
      </c>
      <c r="W1613" s="116" t="n">
        <v>56</v>
      </c>
      <c r="X1613" s="118">
        <f>IFERROR(W1613/S1613,"")</f>
        <v/>
      </c>
      <c r="Y1613" s="115">
        <f>IFERROR(R1613/W1613,"")</f>
        <v/>
      </c>
      <c r="Z1613" s="115">
        <f>IFERROR(R1613/S1613*1000,"")</f>
        <v/>
      </c>
      <c r="AA1613" s="116" t="n">
        <v>43</v>
      </c>
      <c r="AB1613" s="47">
        <f>IFERROR(AA1613/W1613,"")</f>
        <v/>
      </c>
      <c r="AC1613" s="116" t="n">
        <v>0</v>
      </c>
      <c r="AD1613" s="116" t="n">
        <v>0</v>
      </c>
      <c r="AE1613" s="116" t="n">
        <v>0</v>
      </c>
      <c r="AF1613" s="116" t="n">
        <v>0</v>
      </c>
      <c r="AG1613" s="116" t="n">
        <v>0</v>
      </c>
      <c r="AH1613" s="116" t="n">
        <v>0</v>
      </c>
      <c r="AI1613" s="47">
        <f>IFERROR(AC1613/S1613,"")</f>
        <v/>
      </c>
      <c r="AJ1613" s="47">
        <f>IFERROR(AH1613/S1613,"")</f>
        <v/>
      </c>
      <c r="AK1613" s="116" t="n">
        <v>78</v>
      </c>
      <c r="AL1613" s="116" t="n">
        <v>2</v>
      </c>
      <c r="AM1613" s="118">
        <f>IFERROR(AL1613/AA1613,"")</f>
        <v/>
      </c>
      <c r="AN1613" s="119">
        <f>IFERROR(R1613/AL1613,"")</f>
        <v/>
      </c>
      <c r="AO1613" s="116" t="n">
        <v>2</v>
      </c>
      <c r="AP1613" s="47">
        <f>IFERROR(AO1613/AL1613,"")</f>
        <v/>
      </c>
      <c r="AQ1613" s="119">
        <f>IFERROR(R1613/AO1613,"")</f>
        <v/>
      </c>
      <c r="AR1613" s="116" t="n">
        <v>0</v>
      </c>
      <c r="AS1613" s="116" t="n">
        <v>1</v>
      </c>
      <c r="AT1613" s="116">
        <f>AL1613+AR1613</f>
        <v/>
      </c>
      <c r="AU1613" s="119">
        <f>IFERROR(AO1613*Assumptions!$C$26*Assumptions!$C$27*INDEX(Assumptions!$C$18:$C$21,MATCH(H1613,Assumptions!$B$18:$B$21,0)),0)</f>
        <v/>
      </c>
    </row>
    <row r="1614">
      <c r="A1614" s="114" t="n">
        <v>46236</v>
      </c>
      <c r="B1614" s="42" t="inlineStr">
        <is>
          <t>Wk 31</t>
        </is>
      </c>
      <c r="C1614" s="42" t="inlineStr">
        <is>
          <t>Sun</t>
        </is>
      </c>
      <c r="D1614" s="42" t="inlineStr">
        <is>
          <t>X</t>
        </is>
      </c>
      <c r="E1614" s="42" t="inlineStr">
        <is>
          <t>X (Twitter)</t>
        </is>
      </c>
      <c r="F1614" s="42" t="inlineStr">
        <is>
          <t>LEP_ZA_AUG26_X_RMKT_TD_CONV</t>
        </is>
      </c>
      <c r="G1614" s="42" t="inlineStr">
        <is>
          <t>Website Conversions</t>
        </is>
      </c>
      <c r="H1614" s="42" t="inlineStr">
        <is>
          <t>Range</t>
        </is>
      </c>
      <c r="I1614" s="42" t="inlineStr">
        <is>
          <t>Range Offer</t>
        </is>
      </c>
      <c r="J1614" s="42" t="inlineStr">
        <is>
          <t>X_RMKT_SITE14D_ZA</t>
        </is>
      </c>
      <c r="K1614" s="42" t="inlineStr">
        <is>
          <t>Retargeting</t>
        </is>
      </c>
      <c r="L1614" s="42" t="inlineStr">
        <is>
          <t>X_STA_BookReminder_v1</t>
        </is>
      </c>
      <c r="M1614" s="42" t="inlineStr">
        <is>
          <t>Image Ad</t>
        </is>
      </c>
      <c r="N1614" s="42" t="inlineStr">
        <is>
          <t>Slots open this weekend</t>
        </is>
      </c>
      <c r="O1614" s="42" t="inlineStr">
        <is>
          <t>Auction - Lowest Cost</t>
        </is>
      </c>
      <c r="P1614" s="42" t="inlineStr">
        <is>
          <t>Site Visit / Conversion</t>
        </is>
      </c>
      <c r="Q1614" s="42" t="inlineStr">
        <is>
          <t>https://www.lepas-sa.co.za/book-a-test-drive</t>
        </is>
      </c>
      <c r="R1614" s="115" t="n">
        <v>139.42</v>
      </c>
      <c r="S1614" s="116" t="n">
        <v>2581</v>
      </c>
      <c r="T1614" s="116" t="n">
        <v>1792</v>
      </c>
      <c r="U1614" s="117">
        <f>IFERROR(S1614/T1614,"")</f>
        <v/>
      </c>
      <c r="V1614" s="116" t="n">
        <v>58</v>
      </c>
      <c r="W1614" s="116" t="n">
        <v>44</v>
      </c>
      <c r="X1614" s="118">
        <f>IFERROR(W1614/S1614,"")</f>
        <v/>
      </c>
      <c r="Y1614" s="115">
        <f>IFERROR(R1614/W1614,"")</f>
        <v/>
      </c>
      <c r="Z1614" s="115">
        <f>IFERROR(R1614/S1614*1000,"")</f>
        <v/>
      </c>
      <c r="AA1614" s="116" t="n">
        <v>35</v>
      </c>
      <c r="AB1614" s="47">
        <f>IFERROR(AA1614/W1614,"")</f>
        <v/>
      </c>
      <c r="AC1614" s="116" t="n">
        <v>0</v>
      </c>
      <c r="AD1614" s="116" t="n">
        <v>0</v>
      </c>
      <c r="AE1614" s="116" t="n">
        <v>0</v>
      </c>
      <c r="AF1614" s="116" t="n">
        <v>0</v>
      </c>
      <c r="AG1614" s="116" t="n">
        <v>0</v>
      </c>
      <c r="AH1614" s="116" t="n">
        <v>0</v>
      </c>
      <c r="AI1614" s="47">
        <f>IFERROR(AC1614/S1614,"")</f>
        <v/>
      </c>
      <c r="AJ1614" s="47">
        <f>IFERROR(AH1614/S1614,"")</f>
        <v/>
      </c>
      <c r="AK1614" s="116" t="n">
        <v>30</v>
      </c>
      <c r="AL1614" s="116" t="n">
        <v>1</v>
      </c>
      <c r="AM1614" s="118">
        <f>IFERROR(AL1614/AA1614,"")</f>
        <v/>
      </c>
      <c r="AN1614" s="119">
        <f>IFERROR(R1614/AL1614,"")</f>
        <v/>
      </c>
      <c r="AO1614" s="116" t="n">
        <v>0</v>
      </c>
      <c r="AP1614" s="47">
        <f>IFERROR(AO1614/AL1614,"")</f>
        <v/>
      </c>
      <c r="AQ1614" s="119">
        <f>IFERROR(R1614/AO1614,"")</f>
        <v/>
      </c>
      <c r="AR1614" s="116" t="n">
        <v>0</v>
      </c>
      <c r="AS1614" s="116" t="n">
        <v>0</v>
      </c>
      <c r="AT1614" s="116">
        <f>AL1614+AR1614</f>
        <v/>
      </c>
      <c r="AU1614" s="119">
        <f>IFERROR(AO1614*Assumptions!$C$26*Assumptions!$C$27*INDEX(Assumptions!$C$18:$C$21,MATCH(H1614,Assumptions!$B$18:$B$21,0)),0)</f>
        <v/>
      </c>
    </row>
    <row r="1615">
      <c r="A1615" s="114" t="n">
        <v>46237</v>
      </c>
      <c r="B1615" s="42" t="inlineStr">
        <is>
          <t>Wk 32</t>
        </is>
      </c>
      <c r="C1615" s="42" t="inlineStr">
        <is>
          <t>Mon</t>
        </is>
      </c>
      <c r="D1615" s="42" t="inlineStr">
        <is>
          <t>X</t>
        </is>
      </c>
      <c r="E1615" s="42" t="inlineStr">
        <is>
          <t>X (Twitter)</t>
        </is>
      </c>
      <c r="F1615" s="42" t="inlineStr">
        <is>
          <t>LEP_ZA_AUG26_X_RMKT_TD_CONV</t>
        </is>
      </c>
      <c r="G1615" s="42" t="inlineStr">
        <is>
          <t>Website Conversions</t>
        </is>
      </c>
      <c r="H1615" s="42" t="inlineStr">
        <is>
          <t>Range</t>
        </is>
      </c>
      <c r="I1615" s="42" t="inlineStr">
        <is>
          <t>Range Offer</t>
        </is>
      </c>
      <c r="J1615" s="42" t="inlineStr">
        <is>
          <t>X_RMKT_SITE14D_ZA</t>
        </is>
      </c>
      <c r="K1615" s="42" t="inlineStr">
        <is>
          <t>Retargeting</t>
        </is>
      </c>
      <c r="L1615" s="42" t="inlineStr">
        <is>
          <t>X_STA_BookReminder_v1</t>
        </is>
      </c>
      <c r="M1615" s="42" t="inlineStr">
        <is>
          <t>Image Ad</t>
        </is>
      </c>
      <c r="N1615" s="42" t="inlineStr">
        <is>
          <t>Slots open this weekend</t>
        </is>
      </c>
      <c r="O1615" s="42" t="inlineStr">
        <is>
          <t>Auction - Lowest Cost</t>
        </is>
      </c>
      <c r="P1615" s="42" t="inlineStr">
        <is>
          <t>Site Visit / Conversion</t>
        </is>
      </c>
      <c r="Q1615" s="42" t="inlineStr">
        <is>
          <t>https://www.lepas-sa.co.za/book-a-test-drive</t>
        </is>
      </c>
      <c r="R1615" s="115" t="n">
        <v>130.31</v>
      </c>
      <c r="S1615" s="116" t="n">
        <v>1552</v>
      </c>
      <c r="T1615" s="116" t="n">
        <v>1333</v>
      </c>
      <c r="U1615" s="117">
        <f>IFERROR(S1615/T1615,"")</f>
        <v/>
      </c>
      <c r="V1615" s="116" t="n">
        <v>34</v>
      </c>
      <c r="W1615" s="116" t="n">
        <v>26</v>
      </c>
      <c r="X1615" s="118">
        <f>IFERROR(W1615/S1615,"")</f>
        <v/>
      </c>
      <c r="Y1615" s="115">
        <f>IFERROR(R1615/W1615,"")</f>
        <v/>
      </c>
      <c r="Z1615" s="115">
        <f>IFERROR(R1615/S1615*1000,"")</f>
        <v/>
      </c>
      <c r="AA1615" s="116" t="n">
        <v>20</v>
      </c>
      <c r="AB1615" s="47">
        <f>IFERROR(AA1615/W1615,"")</f>
        <v/>
      </c>
      <c r="AC1615" s="116" t="n">
        <v>0</v>
      </c>
      <c r="AD1615" s="116" t="n">
        <v>0</v>
      </c>
      <c r="AE1615" s="116" t="n">
        <v>0</v>
      </c>
      <c r="AF1615" s="116" t="n">
        <v>0</v>
      </c>
      <c r="AG1615" s="116" t="n">
        <v>0</v>
      </c>
      <c r="AH1615" s="116" t="n">
        <v>0</v>
      </c>
      <c r="AI1615" s="47">
        <f>IFERROR(AC1615/S1615,"")</f>
        <v/>
      </c>
      <c r="AJ1615" s="47">
        <f>IFERROR(AH1615/S1615,"")</f>
        <v/>
      </c>
      <c r="AK1615" s="116" t="n">
        <v>14</v>
      </c>
      <c r="AL1615" s="116" t="n">
        <v>0</v>
      </c>
      <c r="AM1615" s="118">
        <f>IFERROR(AL1615/AA1615,"")</f>
        <v/>
      </c>
      <c r="AN1615" s="119">
        <f>IFERROR(R1615/AL1615,"")</f>
        <v/>
      </c>
      <c r="AO1615" s="116" t="n">
        <v>0</v>
      </c>
      <c r="AP1615" s="47">
        <f>IFERROR(AO1615/AL1615,"")</f>
        <v/>
      </c>
      <c r="AQ1615" s="119">
        <f>IFERROR(R1615/AO1615,"")</f>
        <v/>
      </c>
      <c r="AR1615" s="116" t="n">
        <v>0</v>
      </c>
      <c r="AS1615" s="116" t="n">
        <v>0</v>
      </c>
      <c r="AT1615" s="116">
        <f>AL1615+AR1615</f>
        <v/>
      </c>
      <c r="AU1615" s="119">
        <f>IFERROR(AO1615*Assumptions!$C$26*Assumptions!$C$27*INDEX(Assumptions!$C$18:$C$21,MATCH(H1615,Assumptions!$B$18:$B$21,0)),0)</f>
        <v/>
      </c>
    </row>
    <row r="1616">
      <c r="A1616" s="114" t="n">
        <v>46238</v>
      </c>
      <c r="B1616" s="42" t="inlineStr">
        <is>
          <t>Wk 32</t>
        </is>
      </c>
      <c r="C1616" s="42" t="inlineStr">
        <is>
          <t>Tue</t>
        </is>
      </c>
      <c r="D1616" s="42" t="inlineStr">
        <is>
          <t>X</t>
        </is>
      </c>
      <c r="E1616" s="42" t="inlineStr">
        <is>
          <t>X (Twitter)</t>
        </is>
      </c>
      <c r="F1616" s="42" t="inlineStr">
        <is>
          <t>LEP_ZA_AUG26_X_RMKT_TD_CONV</t>
        </is>
      </c>
      <c r="G1616" s="42" t="inlineStr">
        <is>
          <t>Website Conversions</t>
        </is>
      </c>
      <c r="H1616" s="42" t="inlineStr">
        <is>
          <t>Range</t>
        </is>
      </c>
      <c r="I1616" s="42" t="inlineStr">
        <is>
          <t>Range Offer</t>
        </is>
      </c>
      <c r="J1616" s="42" t="inlineStr">
        <is>
          <t>X_RMKT_SITE14D_ZA</t>
        </is>
      </c>
      <c r="K1616" s="42" t="inlineStr">
        <is>
          <t>Retargeting</t>
        </is>
      </c>
      <c r="L1616" s="42" t="inlineStr">
        <is>
          <t>X_STA_BookReminder_v1</t>
        </is>
      </c>
      <c r="M1616" s="42" t="inlineStr">
        <is>
          <t>Image Ad</t>
        </is>
      </c>
      <c r="N1616" s="42" t="inlineStr">
        <is>
          <t>Slots open this weekend</t>
        </is>
      </c>
      <c r="O1616" s="42" t="inlineStr">
        <is>
          <t>Auction - Lowest Cost</t>
        </is>
      </c>
      <c r="P1616" s="42" t="inlineStr">
        <is>
          <t>Site Visit / Conversion</t>
        </is>
      </c>
      <c r="Q1616" s="42" t="inlineStr">
        <is>
          <t>https://www.lepas-sa.co.za/book-a-test-drive</t>
        </is>
      </c>
      <c r="R1616" s="115" t="n">
        <v>186.44</v>
      </c>
      <c r="S1616" s="116" t="n">
        <v>2204</v>
      </c>
      <c r="T1616" s="116" t="n">
        <v>1679</v>
      </c>
      <c r="U1616" s="117">
        <f>IFERROR(S1616/T1616,"")</f>
        <v/>
      </c>
      <c r="V1616" s="116" t="n">
        <v>22</v>
      </c>
      <c r="W1616" s="116" t="n">
        <v>18</v>
      </c>
      <c r="X1616" s="118">
        <f>IFERROR(W1616/S1616,"")</f>
        <v/>
      </c>
      <c r="Y1616" s="115">
        <f>IFERROR(R1616/W1616,"")</f>
        <v/>
      </c>
      <c r="Z1616" s="115">
        <f>IFERROR(R1616/S1616*1000,"")</f>
        <v/>
      </c>
      <c r="AA1616" s="116" t="n">
        <v>14</v>
      </c>
      <c r="AB1616" s="47">
        <f>IFERROR(AA1616/W1616,"")</f>
        <v/>
      </c>
      <c r="AC1616" s="116" t="n">
        <v>0</v>
      </c>
      <c r="AD1616" s="116" t="n">
        <v>0</v>
      </c>
      <c r="AE1616" s="116" t="n">
        <v>0</v>
      </c>
      <c r="AF1616" s="116" t="n">
        <v>0</v>
      </c>
      <c r="AG1616" s="116" t="n">
        <v>0</v>
      </c>
      <c r="AH1616" s="116" t="n">
        <v>0</v>
      </c>
      <c r="AI1616" s="47">
        <f>IFERROR(AC1616/S1616,"")</f>
        <v/>
      </c>
      <c r="AJ1616" s="47">
        <f>IFERROR(AH1616/S1616,"")</f>
        <v/>
      </c>
      <c r="AK1616" s="116" t="n">
        <v>59</v>
      </c>
      <c r="AL1616" s="116" t="n">
        <v>1</v>
      </c>
      <c r="AM1616" s="118">
        <f>IFERROR(AL1616/AA1616,"")</f>
        <v/>
      </c>
      <c r="AN1616" s="119">
        <f>IFERROR(R1616/AL1616,"")</f>
        <v/>
      </c>
      <c r="AO1616" s="116" t="n">
        <v>0</v>
      </c>
      <c r="AP1616" s="47">
        <f>IFERROR(AO1616/AL1616,"")</f>
        <v/>
      </c>
      <c r="AQ1616" s="119">
        <f>IFERROR(R1616/AO1616,"")</f>
        <v/>
      </c>
      <c r="AR1616" s="116" t="n">
        <v>0</v>
      </c>
      <c r="AS1616" s="116" t="n">
        <v>0</v>
      </c>
      <c r="AT1616" s="116">
        <f>AL1616+AR1616</f>
        <v/>
      </c>
      <c r="AU1616" s="119">
        <f>IFERROR(AO1616*Assumptions!$C$26*Assumptions!$C$27*INDEX(Assumptions!$C$18:$C$21,MATCH(H1616,Assumptions!$B$18:$B$21,0)),0)</f>
        <v/>
      </c>
    </row>
    <row r="1617">
      <c r="A1617" s="114" t="n">
        <v>46239</v>
      </c>
      <c r="B1617" s="42" t="inlineStr">
        <is>
          <t>Wk 32</t>
        </is>
      </c>
      <c r="C1617" s="42" t="inlineStr">
        <is>
          <t>Wed</t>
        </is>
      </c>
      <c r="D1617" s="42" t="inlineStr">
        <is>
          <t>X</t>
        </is>
      </c>
      <c r="E1617" s="42" t="inlineStr">
        <is>
          <t>X (Twitter)</t>
        </is>
      </c>
      <c r="F1617" s="42" t="inlineStr">
        <is>
          <t>LEP_ZA_AUG26_X_RMKT_TD_CONV</t>
        </is>
      </c>
      <c r="G1617" s="42" t="inlineStr">
        <is>
          <t>Website Conversions</t>
        </is>
      </c>
      <c r="H1617" s="42" t="inlineStr">
        <is>
          <t>Range</t>
        </is>
      </c>
      <c r="I1617" s="42" t="inlineStr">
        <is>
          <t>Range Offer</t>
        </is>
      </c>
      <c r="J1617" s="42" t="inlineStr">
        <is>
          <t>X_RMKT_SITE14D_ZA</t>
        </is>
      </c>
      <c r="K1617" s="42" t="inlineStr">
        <is>
          <t>Retargeting</t>
        </is>
      </c>
      <c r="L1617" s="42" t="inlineStr">
        <is>
          <t>X_STA_BookReminder_v1</t>
        </is>
      </c>
      <c r="M1617" s="42" t="inlineStr">
        <is>
          <t>Image Ad</t>
        </is>
      </c>
      <c r="N1617" s="42" t="inlineStr">
        <is>
          <t>Slots open this weekend</t>
        </is>
      </c>
      <c r="O1617" s="42" t="inlineStr">
        <is>
          <t>Auction - Lowest Cost</t>
        </is>
      </c>
      <c r="P1617" s="42" t="inlineStr">
        <is>
          <t>Site Visit / Conversion</t>
        </is>
      </c>
      <c r="Q1617" s="42" t="inlineStr">
        <is>
          <t>https://www.lepas-sa.co.za/book-a-test-drive</t>
        </is>
      </c>
      <c r="R1617" s="115" t="n">
        <v>195.08</v>
      </c>
      <c r="S1617" s="116" t="n">
        <v>2302</v>
      </c>
      <c r="T1617" s="116" t="n">
        <v>1577</v>
      </c>
      <c r="U1617" s="117">
        <f>IFERROR(S1617/T1617,"")</f>
        <v/>
      </c>
      <c r="V1617" s="116" t="n">
        <v>26</v>
      </c>
      <c r="W1617" s="116" t="n">
        <v>22</v>
      </c>
      <c r="X1617" s="118">
        <f>IFERROR(W1617/S1617,"")</f>
        <v/>
      </c>
      <c r="Y1617" s="115">
        <f>IFERROR(R1617/W1617,"")</f>
        <v/>
      </c>
      <c r="Z1617" s="115">
        <f>IFERROR(R1617/S1617*1000,"")</f>
        <v/>
      </c>
      <c r="AA1617" s="116" t="n">
        <v>15</v>
      </c>
      <c r="AB1617" s="47">
        <f>IFERROR(AA1617/W1617,"")</f>
        <v/>
      </c>
      <c r="AC1617" s="116" t="n">
        <v>0</v>
      </c>
      <c r="AD1617" s="116" t="n">
        <v>0</v>
      </c>
      <c r="AE1617" s="116" t="n">
        <v>0</v>
      </c>
      <c r="AF1617" s="116" t="n">
        <v>0</v>
      </c>
      <c r="AG1617" s="116" t="n">
        <v>0</v>
      </c>
      <c r="AH1617" s="116" t="n">
        <v>0</v>
      </c>
      <c r="AI1617" s="47">
        <f>IFERROR(AC1617/S1617,"")</f>
        <v/>
      </c>
      <c r="AJ1617" s="47">
        <f>IFERROR(AH1617/S1617,"")</f>
        <v/>
      </c>
      <c r="AK1617" s="116" t="n">
        <v>30</v>
      </c>
      <c r="AL1617" s="116" t="n">
        <v>0</v>
      </c>
      <c r="AM1617" s="118">
        <f>IFERROR(AL1617/AA1617,"")</f>
        <v/>
      </c>
      <c r="AN1617" s="119">
        <f>IFERROR(R1617/AL1617,"")</f>
        <v/>
      </c>
      <c r="AO1617" s="116" t="n">
        <v>0</v>
      </c>
      <c r="AP1617" s="47">
        <f>IFERROR(AO1617/AL1617,"")</f>
        <v/>
      </c>
      <c r="AQ1617" s="119">
        <f>IFERROR(R1617/AO1617,"")</f>
        <v/>
      </c>
      <c r="AR1617" s="116" t="n">
        <v>0</v>
      </c>
      <c r="AS1617" s="116" t="n">
        <v>0</v>
      </c>
      <c r="AT1617" s="116">
        <f>AL1617+AR1617</f>
        <v/>
      </c>
      <c r="AU1617" s="119">
        <f>IFERROR(AO1617*Assumptions!$C$26*Assumptions!$C$27*INDEX(Assumptions!$C$18:$C$21,MATCH(H1617,Assumptions!$B$18:$B$21,0)),0)</f>
        <v/>
      </c>
    </row>
    <row r="1618">
      <c r="A1618" s="114" t="n">
        <v>46240</v>
      </c>
      <c r="B1618" s="42" t="inlineStr">
        <is>
          <t>Wk 32</t>
        </is>
      </c>
      <c r="C1618" s="42" t="inlineStr">
        <is>
          <t>Thu</t>
        </is>
      </c>
      <c r="D1618" s="42" t="inlineStr">
        <is>
          <t>X</t>
        </is>
      </c>
      <c r="E1618" s="42" t="inlineStr">
        <is>
          <t>X (Twitter)</t>
        </is>
      </c>
      <c r="F1618" s="42" t="inlineStr">
        <is>
          <t>LEP_ZA_AUG26_X_RMKT_TD_CONV</t>
        </is>
      </c>
      <c r="G1618" s="42" t="inlineStr">
        <is>
          <t>Website Conversions</t>
        </is>
      </c>
      <c r="H1618" s="42" t="inlineStr">
        <is>
          <t>Range</t>
        </is>
      </c>
      <c r="I1618" s="42" t="inlineStr">
        <is>
          <t>Range Offer</t>
        </is>
      </c>
      <c r="J1618" s="42" t="inlineStr">
        <is>
          <t>X_RMKT_SITE14D_ZA</t>
        </is>
      </c>
      <c r="K1618" s="42" t="inlineStr">
        <is>
          <t>Retargeting</t>
        </is>
      </c>
      <c r="L1618" s="42" t="inlineStr">
        <is>
          <t>X_STA_BookReminder_v1</t>
        </is>
      </c>
      <c r="M1618" s="42" t="inlineStr">
        <is>
          <t>Image Ad</t>
        </is>
      </c>
      <c r="N1618" s="42" t="inlineStr">
        <is>
          <t>Slots open this weekend</t>
        </is>
      </c>
      <c r="O1618" s="42" t="inlineStr">
        <is>
          <t>Auction - Lowest Cost</t>
        </is>
      </c>
      <c r="P1618" s="42" t="inlineStr">
        <is>
          <t>Site Visit / Conversion</t>
        </is>
      </c>
      <c r="Q1618" s="42" t="inlineStr">
        <is>
          <t>https://www.lepas-sa.co.za/book-a-test-drive</t>
        </is>
      </c>
      <c r="R1618" s="115" t="n">
        <v>199.01</v>
      </c>
      <c r="S1618" s="116" t="n">
        <v>2629</v>
      </c>
      <c r="T1618" s="116" t="n">
        <v>1966</v>
      </c>
      <c r="U1618" s="117">
        <f>IFERROR(S1618/T1618,"")</f>
        <v/>
      </c>
      <c r="V1618" s="116" t="n">
        <v>50</v>
      </c>
      <c r="W1618" s="116" t="n">
        <v>38</v>
      </c>
      <c r="X1618" s="118">
        <f>IFERROR(W1618/S1618,"")</f>
        <v/>
      </c>
      <c r="Y1618" s="115">
        <f>IFERROR(R1618/W1618,"")</f>
        <v/>
      </c>
      <c r="Z1618" s="115">
        <f>IFERROR(R1618/S1618*1000,"")</f>
        <v/>
      </c>
      <c r="AA1618" s="116" t="n">
        <v>28</v>
      </c>
      <c r="AB1618" s="47">
        <f>IFERROR(AA1618/W1618,"")</f>
        <v/>
      </c>
      <c r="AC1618" s="116" t="n">
        <v>0</v>
      </c>
      <c r="AD1618" s="116" t="n">
        <v>0</v>
      </c>
      <c r="AE1618" s="116" t="n">
        <v>0</v>
      </c>
      <c r="AF1618" s="116" t="n">
        <v>0</v>
      </c>
      <c r="AG1618" s="116" t="n">
        <v>0</v>
      </c>
      <c r="AH1618" s="116" t="n">
        <v>0</v>
      </c>
      <c r="AI1618" s="47">
        <f>IFERROR(AC1618/S1618,"")</f>
        <v/>
      </c>
      <c r="AJ1618" s="47">
        <f>IFERROR(AH1618/S1618,"")</f>
        <v/>
      </c>
      <c r="AK1618" s="116" t="n">
        <v>71</v>
      </c>
      <c r="AL1618" s="116" t="n">
        <v>0</v>
      </c>
      <c r="AM1618" s="118">
        <f>IFERROR(AL1618/AA1618,"")</f>
        <v/>
      </c>
      <c r="AN1618" s="119">
        <f>IFERROR(R1618/AL1618,"")</f>
        <v/>
      </c>
      <c r="AO1618" s="116" t="n">
        <v>0</v>
      </c>
      <c r="AP1618" s="47">
        <f>IFERROR(AO1618/AL1618,"")</f>
        <v/>
      </c>
      <c r="AQ1618" s="119">
        <f>IFERROR(R1618/AO1618,"")</f>
        <v/>
      </c>
      <c r="AR1618" s="116" t="n">
        <v>0</v>
      </c>
      <c r="AS1618" s="116" t="n">
        <v>0</v>
      </c>
      <c r="AT1618" s="116">
        <f>AL1618+AR1618</f>
        <v/>
      </c>
      <c r="AU1618" s="119">
        <f>IFERROR(AO1618*Assumptions!$C$26*Assumptions!$C$27*INDEX(Assumptions!$C$18:$C$21,MATCH(H1618,Assumptions!$B$18:$B$21,0)),0)</f>
        <v/>
      </c>
    </row>
    <row r="1619">
      <c r="A1619" s="114" t="n">
        <v>46241</v>
      </c>
      <c r="B1619" s="42" t="inlineStr">
        <is>
          <t>Wk 32</t>
        </is>
      </c>
      <c r="C1619" s="42" t="inlineStr">
        <is>
          <t>Fri</t>
        </is>
      </c>
      <c r="D1619" s="42" t="inlineStr">
        <is>
          <t>X</t>
        </is>
      </c>
      <c r="E1619" s="42" t="inlineStr">
        <is>
          <t>X (Twitter)</t>
        </is>
      </c>
      <c r="F1619" s="42" t="inlineStr">
        <is>
          <t>LEP_ZA_AUG26_X_RMKT_TD_CONV</t>
        </is>
      </c>
      <c r="G1619" s="42" t="inlineStr">
        <is>
          <t>Website Conversions</t>
        </is>
      </c>
      <c r="H1619" s="42" t="inlineStr">
        <is>
          <t>Range</t>
        </is>
      </c>
      <c r="I1619" s="42" t="inlineStr">
        <is>
          <t>Range Offer</t>
        </is>
      </c>
      <c r="J1619" s="42" t="inlineStr">
        <is>
          <t>X_RMKT_SITE14D_ZA</t>
        </is>
      </c>
      <c r="K1619" s="42" t="inlineStr">
        <is>
          <t>Retargeting</t>
        </is>
      </c>
      <c r="L1619" s="42" t="inlineStr">
        <is>
          <t>X_STA_BookReminder_v1</t>
        </is>
      </c>
      <c r="M1619" s="42" t="inlineStr">
        <is>
          <t>Image Ad</t>
        </is>
      </c>
      <c r="N1619" s="42" t="inlineStr">
        <is>
          <t>Slots open this weekend</t>
        </is>
      </c>
      <c r="O1619" s="42" t="inlineStr">
        <is>
          <t>Auction - Lowest Cost</t>
        </is>
      </c>
      <c r="P1619" s="42" t="inlineStr">
        <is>
          <t>Site Visit / Conversion</t>
        </is>
      </c>
      <c r="Q1619" s="42" t="inlineStr">
        <is>
          <t>https://www.lepas-sa.co.za/book-a-test-drive</t>
        </is>
      </c>
      <c r="R1619" s="115" t="n">
        <v>189.13</v>
      </c>
      <c r="S1619" s="116" t="n">
        <v>2428</v>
      </c>
      <c r="T1619" s="116" t="n">
        <v>1796</v>
      </c>
      <c r="U1619" s="117">
        <f>IFERROR(S1619/T1619,"")</f>
        <v/>
      </c>
      <c r="V1619" s="116" t="n">
        <v>57</v>
      </c>
      <c r="W1619" s="116" t="n">
        <v>41</v>
      </c>
      <c r="X1619" s="118">
        <f>IFERROR(W1619/S1619,"")</f>
        <v/>
      </c>
      <c r="Y1619" s="115">
        <f>IFERROR(R1619/W1619,"")</f>
        <v/>
      </c>
      <c r="Z1619" s="115">
        <f>IFERROR(R1619/S1619*1000,"")</f>
        <v/>
      </c>
      <c r="AA1619" s="116" t="n">
        <v>31</v>
      </c>
      <c r="AB1619" s="47">
        <f>IFERROR(AA1619/W1619,"")</f>
        <v/>
      </c>
      <c r="AC1619" s="116" t="n">
        <v>0</v>
      </c>
      <c r="AD1619" s="116" t="n">
        <v>0</v>
      </c>
      <c r="AE1619" s="116" t="n">
        <v>0</v>
      </c>
      <c r="AF1619" s="116" t="n">
        <v>0</v>
      </c>
      <c r="AG1619" s="116" t="n">
        <v>0</v>
      </c>
      <c r="AH1619" s="116" t="n">
        <v>0</v>
      </c>
      <c r="AI1619" s="47">
        <f>IFERROR(AC1619/S1619,"")</f>
        <v/>
      </c>
      <c r="AJ1619" s="47">
        <f>IFERROR(AH1619/S1619,"")</f>
        <v/>
      </c>
      <c r="AK1619" s="116" t="n">
        <v>65</v>
      </c>
      <c r="AL1619" s="116" t="n">
        <v>1</v>
      </c>
      <c r="AM1619" s="118">
        <f>IFERROR(AL1619/AA1619,"")</f>
        <v/>
      </c>
      <c r="AN1619" s="119">
        <f>IFERROR(R1619/AL1619,"")</f>
        <v/>
      </c>
      <c r="AO1619" s="116" t="n">
        <v>1</v>
      </c>
      <c r="AP1619" s="47">
        <f>IFERROR(AO1619/AL1619,"")</f>
        <v/>
      </c>
      <c r="AQ1619" s="119">
        <f>IFERROR(R1619/AO1619,"")</f>
        <v/>
      </c>
      <c r="AR1619" s="116" t="n">
        <v>0</v>
      </c>
      <c r="AS1619" s="116" t="n">
        <v>0</v>
      </c>
      <c r="AT1619" s="116">
        <f>AL1619+AR1619</f>
        <v/>
      </c>
      <c r="AU1619" s="119">
        <f>IFERROR(AO1619*Assumptions!$C$26*Assumptions!$C$27*INDEX(Assumptions!$C$18:$C$21,MATCH(H1619,Assumptions!$B$18:$B$21,0)),0)</f>
        <v/>
      </c>
    </row>
    <row r="1620">
      <c r="A1620" s="114" t="n">
        <v>46242</v>
      </c>
      <c r="B1620" s="42" t="inlineStr">
        <is>
          <t>Wk 32</t>
        </is>
      </c>
      <c r="C1620" s="42" t="inlineStr">
        <is>
          <t>Sat</t>
        </is>
      </c>
      <c r="D1620" s="42" t="inlineStr">
        <is>
          <t>X</t>
        </is>
      </c>
      <c r="E1620" s="42" t="inlineStr">
        <is>
          <t>X (Twitter)</t>
        </is>
      </c>
      <c r="F1620" s="42" t="inlineStr">
        <is>
          <t>LEP_ZA_AUG26_X_RMKT_TD_CONV</t>
        </is>
      </c>
      <c r="G1620" s="42" t="inlineStr">
        <is>
          <t>Website Conversions</t>
        </is>
      </c>
      <c r="H1620" s="42" t="inlineStr">
        <is>
          <t>Range</t>
        </is>
      </c>
      <c r="I1620" s="42" t="inlineStr">
        <is>
          <t>Range Offer</t>
        </is>
      </c>
      <c r="J1620" s="42" t="inlineStr">
        <is>
          <t>X_RMKT_SITE14D_ZA</t>
        </is>
      </c>
      <c r="K1620" s="42" t="inlineStr">
        <is>
          <t>Retargeting</t>
        </is>
      </c>
      <c r="L1620" s="42" t="inlineStr">
        <is>
          <t>X_STA_BookReminder_v1</t>
        </is>
      </c>
      <c r="M1620" s="42" t="inlineStr">
        <is>
          <t>Image Ad</t>
        </is>
      </c>
      <c r="N1620" s="42" t="inlineStr">
        <is>
          <t>Slots open this weekend</t>
        </is>
      </c>
      <c r="O1620" s="42" t="inlineStr">
        <is>
          <t>Auction - Lowest Cost</t>
        </is>
      </c>
      <c r="P1620" s="42" t="inlineStr">
        <is>
          <t>Site Visit / Conversion</t>
        </is>
      </c>
      <c r="Q1620" s="42" t="inlineStr">
        <is>
          <t>https://www.lepas-sa.co.za/book-a-test-drive</t>
        </is>
      </c>
      <c r="R1620" s="115" t="n">
        <v>203.33</v>
      </c>
      <c r="S1620" s="116" t="n">
        <v>3254</v>
      </c>
      <c r="T1620" s="116" t="n">
        <v>2235</v>
      </c>
      <c r="U1620" s="117">
        <f>IFERROR(S1620/T1620,"")</f>
        <v/>
      </c>
      <c r="V1620" s="116" t="n">
        <v>47</v>
      </c>
      <c r="W1620" s="116" t="n">
        <v>40</v>
      </c>
      <c r="X1620" s="118">
        <f>IFERROR(W1620/S1620,"")</f>
        <v/>
      </c>
      <c r="Y1620" s="115">
        <f>IFERROR(R1620/W1620,"")</f>
        <v/>
      </c>
      <c r="Z1620" s="115">
        <f>IFERROR(R1620/S1620*1000,"")</f>
        <v/>
      </c>
      <c r="AA1620" s="116" t="n">
        <v>33</v>
      </c>
      <c r="AB1620" s="47">
        <f>IFERROR(AA1620/W1620,"")</f>
        <v/>
      </c>
      <c r="AC1620" s="116" t="n">
        <v>0</v>
      </c>
      <c r="AD1620" s="116" t="n">
        <v>0</v>
      </c>
      <c r="AE1620" s="116" t="n">
        <v>0</v>
      </c>
      <c r="AF1620" s="116" t="n">
        <v>0</v>
      </c>
      <c r="AG1620" s="116" t="n">
        <v>0</v>
      </c>
      <c r="AH1620" s="116" t="n">
        <v>0</v>
      </c>
      <c r="AI1620" s="47">
        <f>IFERROR(AC1620/S1620,"")</f>
        <v/>
      </c>
      <c r="AJ1620" s="47">
        <f>IFERROR(AH1620/S1620,"")</f>
        <v/>
      </c>
      <c r="AK1620" s="116" t="n">
        <v>39</v>
      </c>
      <c r="AL1620" s="116" t="n">
        <v>1</v>
      </c>
      <c r="AM1620" s="118">
        <f>IFERROR(AL1620/AA1620,"")</f>
        <v/>
      </c>
      <c r="AN1620" s="119">
        <f>IFERROR(R1620/AL1620,"")</f>
        <v/>
      </c>
      <c r="AO1620" s="116" t="n">
        <v>1</v>
      </c>
      <c r="AP1620" s="47">
        <f>IFERROR(AO1620/AL1620,"")</f>
        <v/>
      </c>
      <c r="AQ1620" s="119">
        <f>IFERROR(R1620/AO1620,"")</f>
        <v/>
      </c>
      <c r="AR1620" s="116" t="n">
        <v>0</v>
      </c>
      <c r="AS1620" s="116" t="n">
        <v>0</v>
      </c>
      <c r="AT1620" s="116">
        <f>AL1620+AR1620</f>
        <v/>
      </c>
      <c r="AU1620" s="119">
        <f>IFERROR(AO1620*Assumptions!$C$26*Assumptions!$C$27*INDEX(Assumptions!$C$18:$C$21,MATCH(H1620,Assumptions!$B$18:$B$21,0)),0)</f>
        <v/>
      </c>
    </row>
    <row r="1621">
      <c r="A1621" s="114" t="n">
        <v>46243</v>
      </c>
      <c r="B1621" s="42" t="inlineStr">
        <is>
          <t>Wk 32</t>
        </is>
      </c>
      <c r="C1621" s="42" t="inlineStr">
        <is>
          <t>Sun</t>
        </is>
      </c>
      <c r="D1621" s="42" t="inlineStr">
        <is>
          <t>X</t>
        </is>
      </c>
      <c r="E1621" s="42" t="inlineStr">
        <is>
          <t>X (Twitter)</t>
        </is>
      </c>
      <c r="F1621" s="42" t="inlineStr">
        <is>
          <t>LEP_ZA_AUG26_X_RMKT_TD_CONV</t>
        </is>
      </c>
      <c r="G1621" s="42" t="inlineStr">
        <is>
          <t>Website Conversions</t>
        </is>
      </c>
      <c r="H1621" s="42" t="inlineStr">
        <is>
          <t>Range</t>
        </is>
      </c>
      <c r="I1621" s="42" t="inlineStr">
        <is>
          <t>Range Offer</t>
        </is>
      </c>
      <c r="J1621" s="42" t="inlineStr">
        <is>
          <t>X_RMKT_SITE14D_ZA</t>
        </is>
      </c>
      <c r="K1621" s="42" t="inlineStr">
        <is>
          <t>Retargeting</t>
        </is>
      </c>
      <c r="L1621" s="42" t="inlineStr">
        <is>
          <t>X_STA_BookReminder_v1</t>
        </is>
      </c>
      <c r="M1621" s="42" t="inlineStr">
        <is>
          <t>Image Ad</t>
        </is>
      </c>
      <c r="N1621" s="42" t="inlineStr">
        <is>
          <t>Slots open this weekend</t>
        </is>
      </c>
      <c r="O1621" s="42" t="inlineStr">
        <is>
          <t>Auction - Lowest Cost</t>
        </is>
      </c>
      <c r="P1621" s="42" t="inlineStr">
        <is>
          <t>Site Visit / Conversion</t>
        </is>
      </c>
      <c r="Q1621" s="42" t="inlineStr">
        <is>
          <t>https://www.lepas-sa.co.za/book-a-test-drive</t>
        </is>
      </c>
      <c r="R1621" s="115" t="n">
        <v>160.82</v>
      </c>
      <c r="S1621" s="116" t="n">
        <v>2294</v>
      </c>
      <c r="T1621" s="116" t="n">
        <v>1487</v>
      </c>
      <c r="U1621" s="117">
        <f>IFERROR(S1621/T1621,"")</f>
        <v/>
      </c>
      <c r="V1621" s="116" t="n">
        <v>52</v>
      </c>
      <c r="W1621" s="116" t="n">
        <v>37</v>
      </c>
      <c r="X1621" s="118">
        <f>IFERROR(W1621/S1621,"")</f>
        <v/>
      </c>
      <c r="Y1621" s="115">
        <f>IFERROR(R1621/W1621,"")</f>
        <v/>
      </c>
      <c r="Z1621" s="115">
        <f>IFERROR(R1621/S1621*1000,"")</f>
        <v/>
      </c>
      <c r="AA1621" s="116" t="n">
        <v>30</v>
      </c>
      <c r="AB1621" s="47">
        <f>IFERROR(AA1621/W1621,"")</f>
        <v/>
      </c>
      <c r="AC1621" s="116" t="n">
        <v>0</v>
      </c>
      <c r="AD1621" s="116" t="n">
        <v>0</v>
      </c>
      <c r="AE1621" s="116" t="n">
        <v>0</v>
      </c>
      <c r="AF1621" s="116" t="n">
        <v>0</v>
      </c>
      <c r="AG1621" s="116" t="n">
        <v>0</v>
      </c>
      <c r="AH1621" s="116" t="n">
        <v>0</v>
      </c>
      <c r="AI1621" s="47">
        <f>IFERROR(AC1621/S1621,"")</f>
        <v/>
      </c>
      <c r="AJ1621" s="47">
        <f>IFERROR(AH1621/S1621,"")</f>
        <v/>
      </c>
      <c r="AK1621" s="116" t="n">
        <v>39</v>
      </c>
      <c r="AL1621" s="116" t="n">
        <v>1</v>
      </c>
      <c r="AM1621" s="118">
        <f>IFERROR(AL1621/AA1621,"")</f>
        <v/>
      </c>
      <c r="AN1621" s="119">
        <f>IFERROR(R1621/AL1621,"")</f>
        <v/>
      </c>
      <c r="AO1621" s="116" t="n">
        <v>0</v>
      </c>
      <c r="AP1621" s="47">
        <f>IFERROR(AO1621/AL1621,"")</f>
        <v/>
      </c>
      <c r="AQ1621" s="119">
        <f>IFERROR(R1621/AO1621,"")</f>
        <v/>
      </c>
      <c r="AR1621" s="116" t="n">
        <v>0</v>
      </c>
      <c r="AS1621" s="116" t="n">
        <v>1</v>
      </c>
      <c r="AT1621" s="116">
        <f>AL1621+AR1621</f>
        <v/>
      </c>
      <c r="AU1621" s="119">
        <f>IFERROR(AO1621*Assumptions!$C$26*Assumptions!$C$27*INDEX(Assumptions!$C$18:$C$21,MATCH(H1621,Assumptions!$B$18:$B$21,0)),0)</f>
        <v/>
      </c>
    </row>
    <row r="1622">
      <c r="A1622" s="114" t="n">
        <v>46244</v>
      </c>
      <c r="B1622" s="42" t="inlineStr">
        <is>
          <t>Wk 33</t>
        </is>
      </c>
      <c r="C1622" s="42" t="inlineStr">
        <is>
          <t>Mon</t>
        </is>
      </c>
      <c r="D1622" s="42" t="inlineStr">
        <is>
          <t>X</t>
        </is>
      </c>
      <c r="E1622" s="42" t="inlineStr">
        <is>
          <t>X (Twitter)</t>
        </is>
      </c>
      <c r="F1622" s="42" t="inlineStr">
        <is>
          <t>LEP_ZA_AUG26_X_RMKT_TD_CONV</t>
        </is>
      </c>
      <c r="G1622" s="42" t="inlineStr">
        <is>
          <t>Website Conversions</t>
        </is>
      </c>
      <c r="H1622" s="42" t="inlineStr">
        <is>
          <t>Range</t>
        </is>
      </c>
      <c r="I1622" s="42" t="inlineStr">
        <is>
          <t>Range Offer</t>
        </is>
      </c>
      <c r="J1622" s="42" t="inlineStr">
        <is>
          <t>X_RMKT_SITE14D_ZA</t>
        </is>
      </c>
      <c r="K1622" s="42" t="inlineStr">
        <is>
          <t>Retargeting</t>
        </is>
      </c>
      <c r="L1622" s="42" t="inlineStr">
        <is>
          <t>X_STA_BookReminder_v1</t>
        </is>
      </c>
      <c r="M1622" s="42" t="inlineStr">
        <is>
          <t>Image Ad</t>
        </is>
      </c>
      <c r="N1622" s="42" t="inlineStr">
        <is>
          <t>Slots open this weekend</t>
        </is>
      </c>
      <c r="O1622" s="42" t="inlineStr">
        <is>
          <t>Auction - Lowest Cost</t>
        </is>
      </c>
      <c r="P1622" s="42" t="inlineStr">
        <is>
          <t>Site Visit / Conversion</t>
        </is>
      </c>
      <c r="Q1622" s="42" t="inlineStr">
        <is>
          <t>https://www.lepas-sa.co.za/book-a-test-drive</t>
        </is>
      </c>
      <c r="R1622" s="115" t="n">
        <v>171.72</v>
      </c>
      <c r="S1622" s="116" t="n">
        <v>2375</v>
      </c>
      <c r="T1622" s="116" t="n">
        <v>1766</v>
      </c>
      <c r="U1622" s="117">
        <f>IFERROR(S1622/T1622,"")</f>
        <v/>
      </c>
      <c r="V1622" s="116" t="n">
        <v>41</v>
      </c>
      <c r="W1622" s="116" t="n">
        <v>32</v>
      </c>
      <c r="X1622" s="118">
        <f>IFERROR(W1622/S1622,"")</f>
        <v/>
      </c>
      <c r="Y1622" s="115">
        <f>IFERROR(R1622/W1622,"")</f>
        <v/>
      </c>
      <c r="Z1622" s="115">
        <f>IFERROR(R1622/S1622*1000,"")</f>
        <v/>
      </c>
      <c r="AA1622" s="116" t="n">
        <v>26</v>
      </c>
      <c r="AB1622" s="47">
        <f>IFERROR(AA1622/W1622,"")</f>
        <v/>
      </c>
      <c r="AC1622" s="116" t="n">
        <v>0</v>
      </c>
      <c r="AD1622" s="116" t="n">
        <v>0</v>
      </c>
      <c r="AE1622" s="116" t="n">
        <v>0</v>
      </c>
      <c r="AF1622" s="116" t="n">
        <v>0</v>
      </c>
      <c r="AG1622" s="116" t="n">
        <v>0</v>
      </c>
      <c r="AH1622" s="116" t="n">
        <v>0</v>
      </c>
      <c r="AI1622" s="47">
        <f>IFERROR(AC1622/S1622,"")</f>
        <v/>
      </c>
      <c r="AJ1622" s="47">
        <f>IFERROR(AH1622/S1622,"")</f>
        <v/>
      </c>
      <c r="AK1622" s="116" t="n">
        <v>31</v>
      </c>
      <c r="AL1622" s="116" t="n">
        <v>1</v>
      </c>
      <c r="AM1622" s="118">
        <f>IFERROR(AL1622/AA1622,"")</f>
        <v/>
      </c>
      <c r="AN1622" s="119">
        <f>IFERROR(R1622/AL1622,"")</f>
        <v/>
      </c>
      <c r="AO1622" s="116" t="n">
        <v>1</v>
      </c>
      <c r="AP1622" s="47">
        <f>IFERROR(AO1622/AL1622,"")</f>
        <v/>
      </c>
      <c r="AQ1622" s="119">
        <f>IFERROR(R1622/AO1622,"")</f>
        <v/>
      </c>
      <c r="AR1622" s="116" t="n">
        <v>0</v>
      </c>
      <c r="AS1622" s="116" t="n">
        <v>0</v>
      </c>
      <c r="AT1622" s="116">
        <f>AL1622+AR1622</f>
        <v/>
      </c>
      <c r="AU1622" s="119">
        <f>IFERROR(AO1622*Assumptions!$C$26*Assumptions!$C$27*INDEX(Assumptions!$C$18:$C$21,MATCH(H1622,Assumptions!$B$18:$B$21,0)),0)</f>
        <v/>
      </c>
    </row>
    <row r="1623">
      <c r="A1623" s="114" t="n">
        <v>46245</v>
      </c>
      <c r="B1623" s="42" t="inlineStr">
        <is>
          <t>Wk 33</t>
        </is>
      </c>
      <c r="C1623" s="42" t="inlineStr">
        <is>
          <t>Tue</t>
        </is>
      </c>
      <c r="D1623" s="42" t="inlineStr">
        <is>
          <t>X</t>
        </is>
      </c>
      <c r="E1623" s="42" t="inlineStr">
        <is>
          <t>X (Twitter)</t>
        </is>
      </c>
      <c r="F1623" s="42" t="inlineStr">
        <is>
          <t>LEP_ZA_AUG26_X_RMKT_TD_CONV</t>
        </is>
      </c>
      <c r="G1623" s="42" t="inlineStr">
        <is>
          <t>Website Conversions</t>
        </is>
      </c>
      <c r="H1623" s="42" t="inlineStr">
        <is>
          <t>Range</t>
        </is>
      </c>
      <c r="I1623" s="42" t="inlineStr">
        <is>
          <t>Range Offer</t>
        </is>
      </c>
      <c r="J1623" s="42" t="inlineStr">
        <is>
          <t>X_RMKT_SITE14D_ZA</t>
        </is>
      </c>
      <c r="K1623" s="42" t="inlineStr">
        <is>
          <t>Retargeting</t>
        </is>
      </c>
      <c r="L1623" s="42" t="inlineStr">
        <is>
          <t>X_STA_BookReminder_v1</t>
        </is>
      </c>
      <c r="M1623" s="42" t="inlineStr">
        <is>
          <t>Image Ad</t>
        </is>
      </c>
      <c r="N1623" s="42" t="inlineStr">
        <is>
          <t>Slots open this weekend</t>
        </is>
      </c>
      <c r="O1623" s="42" t="inlineStr">
        <is>
          <t>Auction - Lowest Cost</t>
        </is>
      </c>
      <c r="P1623" s="42" t="inlineStr">
        <is>
          <t>Site Visit / Conversion</t>
        </is>
      </c>
      <c r="Q1623" s="42" t="inlineStr">
        <is>
          <t>https://www.lepas-sa.co.za/book-a-test-drive</t>
        </is>
      </c>
      <c r="R1623" s="115" t="n">
        <v>170.2</v>
      </c>
      <c r="S1623" s="116" t="n">
        <v>2338</v>
      </c>
      <c r="T1623" s="116" t="n">
        <v>1464</v>
      </c>
      <c r="U1623" s="117">
        <f>IFERROR(S1623/T1623,"")</f>
        <v/>
      </c>
      <c r="V1623" s="116" t="n">
        <v>43</v>
      </c>
      <c r="W1623" s="116" t="n">
        <v>37</v>
      </c>
      <c r="X1623" s="118">
        <f>IFERROR(W1623/S1623,"")</f>
        <v/>
      </c>
      <c r="Y1623" s="115">
        <f>IFERROR(R1623/W1623,"")</f>
        <v/>
      </c>
      <c r="Z1623" s="115">
        <f>IFERROR(R1623/S1623*1000,"")</f>
        <v/>
      </c>
      <c r="AA1623" s="116" t="n">
        <v>30</v>
      </c>
      <c r="AB1623" s="47">
        <f>IFERROR(AA1623/W1623,"")</f>
        <v/>
      </c>
      <c r="AC1623" s="116" t="n">
        <v>0</v>
      </c>
      <c r="AD1623" s="116" t="n">
        <v>0</v>
      </c>
      <c r="AE1623" s="116" t="n">
        <v>0</v>
      </c>
      <c r="AF1623" s="116" t="n">
        <v>0</v>
      </c>
      <c r="AG1623" s="116" t="n">
        <v>0</v>
      </c>
      <c r="AH1623" s="116" t="n">
        <v>0</v>
      </c>
      <c r="AI1623" s="47">
        <f>IFERROR(AC1623/S1623,"")</f>
        <v/>
      </c>
      <c r="AJ1623" s="47">
        <f>IFERROR(AH1623/S1623,"")</f>
        <v/>
      </c>
      <c r="AK1623" s="116" t="n">
        <v>56</v>
      </c>
      <c r="AL1623" s="116" t="n">
        <v>0</v>
      </c>
      <c r="AM1623" s="118">
        <f>IFERROR(AL1623/AA1623,"")</f>
        <v/>
      </c>
      <c r="AN1623" s="119">
        <f>IFERROR(R1623/AL1623,"")</f>
        <v/>
      </c>
      <c r="AO1623" s="116" t="n">
        <v>0</v>
      </c>
      <c r="AP1623" s="47">
        <f>IFERROR(AO1623/AL1623,"")</f>
        <v/>
      </c>
      <c r="AQ1623" s="119">
        <f>IFERROR(R1623/AO1623,"")</f>
        <v/>
      </c>
      <c r="AR1623" s="116" t="n">
        <v>0</v>
      </c>
      <c r="AS1623" s="116" t="n">
        <v>0</v>
      </c>
      <c r="AT1623" s="116">
        <f>AL1623+AR1623</f>
        <v/>
      </c>
      <c r="AU1623" s="119">
        <f>IFERROR(AO1623*Assumptions!$C$26*Assumptions!$C$27*INDEX(Assumptions!$C$18:$C$21,MATCH(H1623,Assumptions!$B$18:$B$21,0)),0)</f>
        <v/>
      </c>
    </row>
    <row r="1624">
      <c r="A1624" s="114" t="n">
        <v>46246</v>
      </c>
      <c r="B1624" s="42" t="inlineStr">
        <is>
          <t>Wk 33</t>
        </is>
      </c>
      <c r="C1624" s="42" t="inlineStr">
        <is>
          <t>Wed</t>
        </is>
      </c>
      <c r="D1624" s="42" t="inlineStr">
        <is>
          <t>X</t>
        </is>
      </c>
      <c r="E1624" s="42" t="inlineStr">
        <is>
          <t>X (Twitter)</t>
        </is>
      </c>
      <c r="F1624" s="42" t="inlineStr">
        <is>
          <t>LEP_ZA_AUG26_X_RMKT_TD_CONV</t>
        </is>
      </c>
      <c r="G1624" s="42" t="inlineStr">
        <is>
          <t>Website Conversions</t>
        </is>
      </c>
      <c r="H1624" s="42" t="inlineStr">
        <is>
          <t>Range</t>
        </is>
      </c>
      <c r="I1624" s="42" t="inlineStr">
        <is>
          <t>Range Offer</t>
        </is>
      </c>
      <c r="J1624" s="42" t="inlineStr">
        <is>
          <t>X_RMKT_SITE14D_ZA</t>
        </is>
      </c>
      <c r="K1624" s="42" t="inlineStr">
        <is>
          <t>Retargeting</t>
        </is>
      </c>
      <c r="L1624" s="42" t="inlineStr">
        <is>
          <t>X_STA_BookReminder_v1</t>
        </is>
      </c>
      <c r="M1624" s="42" t="inlineStr">
        <is>
          <t>Image Ad</t>
        </is>
      </c>
      <c r="N1624" s="42" t="inlineStr">
        <is>
          <t>Slots open this weekend</t>
        </is>
      </c>
      <c r="O1624" s="42" t="inlineStr">
        <is>
          <t>Auction - Lowest Cost</t>
        </is>
      </c>
      <c r="P1624" s="42" t="inlineStr">
        <is>
          <t>Site Visit / Conversion</t>
        </is>
      </c>
      <c r="Q1624" s="42" t="inlineStr">
        <is>
          <t>https://www.lepas-sa.co.za/book-a-test-drive</t>
        </is>
      </c>
      <c r="R1624" s="115" t="n">
        <v>163.76</v>
      </c>
      <c r="S1624" s="116" t="n">
        <v>2540</v>
      </c>
      <c r="T1624" s="116" t="n">
        <v>1689</v>
      </c>
      <c r="U1624" s="117">
        <f>IFERROR(S1624/T1624,"")</f>
        <v/>
      </c>
      <c r="V1624" s="116" t="n">
        <v>38</v>
      </c>
      <c r="W1624" s="116" t="n">
        <v>31</v>
      </c>
      <c r="X1624" s="118">
        <f>IFERROR(W1624/S1624,"")</f>
        <v/>
      </c>
      <c r="Y1624" s="115">
        <f>IFERROR(R1624/W1624,"")</f>
        <v/>
      </c>
      <c r="Z1624" s="115">
        <f>IFERROR(R1624/S1624*1000,"")</f>
        <v/>
      </c>
      <c r="AA1624" s="116" t="n">
        <v>23</v>
      </c>
      <c r="AB1624" s="47">
        <f>IFERROR(AA1624/W1624,"")</f>
        <v/>
      </c>
      <c r="AC1624" s="116" t="n">
        <v>0</v>
      </c>
      <c r="AD1624" s="116" t="n">
        <v>0</v>
      </c>
      <c r="AE1624" s="116" t="n">
        <v>0</v>
      </c>
      <c r="AF1624" s="116" t="n">
        <v>0</v>
      </c>
      <c r="AG1624" s="116" t="n">
        <v>0</v>
      </c>
      <c r="AH1624" s="116" t="n">
        <v>0</v>
      </c>
      <c r="AI1624" s="47">
        <f>IFERROR(AC1624/S1624,"")</f>
        <v/>
      </c>
      <c r="AJ1624" s="47">
        <f>IFERROR(AH1624/S1624,"")</f>
        <v/>
      </c>
      <c r="AK1624" s="116" t="n">
        <v>24</v>
      </c>
      <c r="AL1624" s="116" t="n">
        <v>0</v>
      </c>
      <c r="AM1624" s="118">
        <f>IFERROR(AL1624/AA1624,"")</f>
        <v/>
      </c>
      <c r="AN1624" s="119">
        <f>IFERROR(R1624/AL1624,"")</f>
        <v/>
      </c>
      <c r="AO1624" s="116" t="n">
        <v>0</v>
      </c>
      <c r="AP1624" s="47">
        <f>IFERROR(AO1624/AL1624,"")</f>
        <v/>
      </c>
      <c r="AQ1624" s="119">
        <f>IFERROR(R1624/AO1624,"")</f>
        <v/>
      </c>
      <c r="AR1624" s="116" t="n">
        <v>0</v>
      </c>
      <c r="AS1624" s="116" t="n">
        <v>0</v>
      </c>
      <c r="AT1624" s="116">
        <f>AL1624+AR1624</f>
        <v/>
      </c>
      <c r="AU1624" s="119">
        <f>IFERROR(AO1624*Assumptions!$C$26*Assumptions!$C$27*INDEX(Assumptions!$C$18:$C$21,MATCH(H1624,Assumptions!$B$18:$B$21,0)),0)</f>
        <v/>
      </c>
    </row>
    <row r="1625">
      <c r="A1625" s="114" t="n">
        <v>46247</v>
      </c>
      <c r="B1625" s="42" t="inlineStr">
        <is>
          <t>Wk 33</t>
        </is>
      </c>
      <c r="C1625" s="42" t="inlineStr">
        <is>
          <t>Thu</t>
        </is>
      </c>
      <c r="D1625" s="42" t="inlineStr">
        <is>
          <t>X</t>
        </is>
      </c>
      <c r="E1625" s="42" t="inlineStr">
        <is>
          <t>X (Twitter)</t>
        </is>
      </c>
      <c r="F1625" s="42" t="inlineStr">
        <is>
          <t>LEP_ZA_AUG26_X_RMKT_TD_CONV</t>
        </is>
      </c>
      <c r="G1625" s="42" t="inlineStr">
        <is>
          <t>Website Conversions</t>
        </is>
      </c>
      <c r="H1625" s="42" t="inlineStr">
        <is>
          <t>Range</t>
        </is>
      </c>
      <c r="I1625" s="42" t="inlineStr">
        <is>
          <t>Range Offer</t>
        </is>
      </c>
      <c r="J1625" s="42" t="inlineStr">
        <is>
          <t>X_RMKT_SITE14D_ZA</t>
        </is>
      </c>
      <c r="K1625" s="42" t="inlineStr">
        <is>
          <t>Retargeting</t>
        </is>
      </c>
      <c r="L1625" s="42" t="inlineStr">
        <is>
          <t>X_STA_BookReminder_v1</t>
        </is>
      </c>
      <c r="M1625" s="42" t="inlineStr">
        <is>
          <t>Image Ad</t>
        </is>
      </c>
      <c r="N1625" s="42" t="inlineStr">
        <is>
          <t>Slots open this weekend</t>
        </is>
      </c>
      <c r="O1625" s="42" t="inlineStr">
        <is>
          <t>Auction - Lowest Cost</t>
        </is>
      </c>
      <c r="P1625" s="42" t="inlineStr">
        <is>
          <t>Site Visit / Conversion</t>
        </is>
      </c>
      <c r="Q1625" s="42" t="inlineStr">
        <is>
          <t>https://www.lepas-sa.co.za/book-a-test-drive</t>
        </is>
      </c>
      <c r="R1625" s="115" t="n">
        <v>221.07</v>
      </c>
      <c r="S1625" s="116" t="n">
        <v>3075</v>
      </c>
      <c r="T1625" s="116" t="n">
        <v>2228</v>
      </c>
      <c r="U1625" s="117">
        <f>IFERROR(S1625/T1625,"")</f>
        <v/>
      </c>
      <c r="V1625" s="116" t="n">
        <v>23</v>
      </c>
      <c r="W1625" s="116" t="n">
        <v>18</v>
      </c>
      <c r="X1625" s="118">
        <f>IFERROR(W1625/S1625,"")</f>
        <v/>
      </c>
      <c r="Y1625" s="115">
        <f>IFERROR(R1625/W1625,"")</f>
        <v/>
      </c>
      <c r="Z1625" s="115">
        <f>IFERROR(R1625/S1625*1000,"")</f>
        <v/>
      </c>
      <c r="AA1625" s="116" t="n">
        <v>13</v>
      </c>
      <c r="AB1625" s="47">
        <f>IFERROR(AA1625/W1625,"")</f>
        <v/>
      </c>
      <c r="AC1625" s="116" t="n">
        <v>0</v>
      </c>
      <c r="AD1625" s="116" t="n">
        <v>0</v>
      </c>
      <c r="AE1625" s="116" t="n">
        <v>0</v>
      </c>
      <c r="AF1625" s="116" t="n">
        <v>0</v>
      </c>
      <c r="AG1625" s="116" t="n">
        <v>0</v>
      </c>
      <c r="AH1625" s="116" t="n">
        <v>0</v>
      </c>
      <c r="AI1625" s="47">
        <f>IFERROR(AC1625/S1625,"")</f>
        <v/>
      </c>
      <c r="AJ1625" s="47">
        <f>IFERROR(AH1625/S1625,"")</f>
        <v/>
      </c>
      <c r="AK1625" s="116" t="n">
        <v>45</v>
      </c>
      <c r="AL1625" s="116" t="n">
        <v>0</v>
      </c>
      <c r="AM1625" s="118">
        <f>IFERROR(AL1625/AA1625,"")</f>
        <v/>
      </c>
      <c r="AN1625" s="119">
        <f>IFERROR(R1625/AL1625,"")</f>
        <v/>
      </c>
      <c r="AO1625" s="116" t="n">
        <v>0</v>
      </c>
      <c r="AP1625" s="47">
        <f>IFERROR(AO1625/AL1625,"")</f>
        <v/>
      </c>
      <c r="AQ1625" s="119">
        <f>IFERROR(R1625/AO1625,"")</f>
        <v/>
      </c>
      <c r="AR1625" s="116" t="n">
        <v>0</v>
      </c>
      <c r="AS1625" s="116" t="n">
        <v>0</v>
      </c>
      <c r="AT1625" s="116">
        <f>AL1625+AR1625</f>
        <v/>
      </c>
      <c r="AU1625" s="119">
        <f>IFERROR(AO1625*Assumptions!$C$26*Assumptions!$C$27*INDEX(Assumptions!$C$18:$C$21,MATCH(H1625,Assumptions!$B$18:$B$21,0)),0)</f>
        <v/>
      </c>
    </row>
    <row r="1626">
      <c r="A1626" s="114" t="n">
        <v>46248</v>
      </c>
      <c r="B1626" s="42" t="inlineStr">
        <is>
          <t>Wk 33</t>
        </is>
      </c>
      <c r="C1626" s="42" t="inlineStr">
        <is>
          <t>Fri</t>
        </is>
      </c>
      <c r="D1626" s="42" t="inlineStr">
        <is>
          <t>X</t>
        </is>
      </c>
      <c r="E1626" s="42" t="inlineStr">
        <is>
          <t>X (Twitter)</t>
        </is>
      </c>
      <c r="F1626" s="42" t="inlineStr">
        <is>
          <t>LEP_ZA_AUG26_X_RMKT_TD_CONV</t>
        </is>
      </c>
      <c r="G1626" s="42" t="inlineStr">
        <is>
          <t>Website Conversions</t>
        </is>
      </c>
      <c r="H1626" s="42" t="inlineStr">
        <is>
          <t>Range</t>
        </is>
      </c>
      <c r="I1626" s="42" t="inlineStr">
        <is>
          <t>Range Offer</t>
        </is>
      </c>
      <c r="J1626" s="42" t="inlineStr">
        <is>
          <t>X_RMKT_SITE14D_ZA</t>
        </is>
      </c>
      <c r="K1626" s="42" t="inlineStr">
        <is>
          <t>Retargeting</t>
        </is>
      </c>
      <c r="L1626" s="42" t="inlineStr">
        <is>
          <t>X_STA_BookReminder_v1</t>
        </is>
      </c>
      <c r="M1626" s="42" t="inlineStr">
        <is>
          <t>Image Ad</t>
        </is>
      </c>
      <c r="N1626" s="42" t="inlineStr">
        <is>
          <t>Slots open this weekend</t>
        </is>
      </c>
      <c r="O1626" s="42" t="inlineStr">
        <is>
          <t>Auction - Lowest Cost</t>
        </is>
      </c>
      <c r="P1626" s="42" t="inlineStr">
        <is>
          <t>Site Visit / Conversion</t>
        </is>
      </c>
      <c r="Q1626" s="42" t="inlineStr">
        <is>
          <t>https://www.lepas-sa.co.za/book-a-test-drive</t>
        </is>
      </c>
      <c r="R1626" s="115" t="n">
        <v>175.79</v>
      </c>
      <c r="S1626" s="116" t="n">
        <v>2195</v>
      </c>
      <c r="T1626" s="116" t="n">
        <v>1404</v>
      </c>
      <c r="U1626" s="117">
        <f>IFERROR(S1626/T1626,"")</f>
        <v/>
      </c>
      <c r="V1626" s="116" t="n">
        <v>20</v>
      </c>
      <c r="W1626" s="116" t="n">
        <v>17</v>
      </c>
      <c r="X1626" s="118">
        <f>IFERROR(W1626/S1626,"")</f>
        <v/>
      </c>
      <c r="Y1626" s="115">
        <f>IFERROR(R1626/W1626,"")</f>
        <v/>
      </c>
      <c r="Z1626" s="115">
        <f>IFERROR(R1626/S1626*1000,"")</f>
        <v/>
      </c>
      <c r="AA1626" s="116" t="n">
        <v>12</v>
      </c>
      <c r="AB1626" s="47">
        <f>IFERROR(AA1626/W1626,"")</f>
        <v/>
      </c>
      <c r="AC1626" s="116" t="n">
        <v>0</v>
      </c>
      <c r="AD1626" s="116" t="n">
        <v>0</v>
      </c>
      <c r="AE1626" s="116" t="n">
        <v>0</v>
      </c>
      <c r="AF1626" s="116" t="n">
        <v>0</v>
      </c>
      <c r="AG1626" s="116" t="n">
        <v>0</v>
      </c>
      <c r="AH1626" s="116" t="n">
        <v>0</v>
      </c>
      <c r="AI1626" s="47">
        <f>IFERROR(AC1626/S1626,"")</f>
        <v/>
      </c>
      <c r="AJ1626" s="47">
        <f>IFERROR(AH1626/S1626,"")</f>
        <v/>
      </c>
      <c r="AK1626" s="116" t="n">
        <v>53</v>
      </c>
      <c r="AL1626" s="116" t="n">
        <v>0</v>
      </c>
      <c r="AM1626" s="118">
        <f>IFERROR(AL1626/AA1626,"")</f>
        <v/>
      </c>
      <c r="AN1626" s="119">
        <f>IFERROR(R1626/AL1626,"")</f>
        <v/>
      </c>
      <c r="AO1626" s="116" t="n">
        <v>0</v>
      </c>
      <c r="AP1626" s="47">
        <f>IFERROR(AO1626/AL1626,"")</f>
        <v/>
      </c>
      <c r="AQ1626" s="119">
        <f>IFERROR(R1626/AO1626,"")</f>
        <v/>
      </c>
      <c r="AR1626" s="116" t="n">
        <v>0</v>
      </c>
      <c r="AS1626" s="116" t="n">
        <v>0</v>
      </c>
      <c r="AT1626" s="116">
        <f>AL1626+AR1626</f>
        <v/>
      </c>
      <c r="AU1626" s="119">
        <f>IFERROR(AO1626*Assumptions!$C$26*Assumptions!$C$27*INDEX(Assumptions!$C$18:$C$21,MATCH(H1626,Assumptions!$B$18:$B$21,0)),0)</f>
        <v/>
      </c>
    </row>
    <row r="1627">
      <c r="A1627" s="114" t="n">
        <v>46249</v>
      </c>
      <c r="B1627" s="42" t="inlineStr">
        <is>
          <t>Wk 33</t>
        </is>
      </c>
      <c r="C1627" s="42" t="inlineStr">
        <is>
          <t>Sat</t>
        </is>
      </c>
      <c r="D1627" s="42" t="inlineStr">
        <is>
          <t>X</t>
        </is>
      </c>
      <c r="E1627" s="42" t="inlineStr">
        <is>
          <t>X (Twitter)</t>
        </is>
      </c>
      <c r="F1627" s="42" t="inlineStr">
        <is>
          <t>LEP_ZA_AUG26_X_RMKT_TD_CONV</t>
        </is>
      </c>
      <c r="G1627" s="42" t="inlineStr">
        <is>
          <t>Website Conversions</t>
        </is>
      </c>
      <c r="H1627" s="42" t="inlineStr">
        <is>
          <t>Range</t>
        </is>
      </c>
      <c r="I1627" s="42" t="inlineStr">
        <is>
          <t>Range Offer</t>
        </is>
      </c>
      <c r="J1627" s="42" t="inlineStr">
        <is>
          <t>X_RMKT_SITE14D_ZA</t>
        </is>
      </c>
      <c r="K1627" s="42" t="inlineStr">
        <is>
          <t>Retargeting</t>
        </is>
      </c>
      <c r="L1627" s="42" t="inlineStr">
        <is>
          <t>X_STA_BookReminder_v1</t>
        </is>
      </c>
      <c r="M1627" s="42" t="inlineStr">
        <is>
          <t>Image Ad</t>
        </is>
      </c>
      <c r="N1627" s="42" t="inlineStr">
        <is>
          <t>Slots open this weekend</t>
        </is>
      </c>
      <c r="O1627" s="42" t="inlineStr">
        <is>
          <t>Auction - Lowest Cost</t>
        </is>
      </c>
      <c r="P1627" s="42" t="inlineStr">
        <is>
          <t>Site Visit / Conversion</t>
        </is>
      </c>
      <c r="Q1627" s="42" t="inlineStr">
        <is>
          <t>https://www.lepas-sa.co.za/book-a-test-drive</t>
        </is>
      </c>
      <c r="R1627" s="115" t="n">
        <v>191.47</v>
      </c>
      <c r="S1627" s="116" t="n">
        <v>2910</v>
      </c>
      <c r="T1627" s="116" t="n">
        <v>2141</v>
      </c>
      <c r="U1627" s="117">
        <f>IFERROR(S1627/T1627,"")</f>
        <v/>
      </c>
      <c r="V1627" s="116" t="n">
        <v>32</v>
      </c>
      <c r="W1627" s="116" t="n">
        <v>24</v>
      </c>
      <c r="X1627" s="118">
        <f>IFERROR(W1627/S1627,"")</f>
        <v/>
      </c>
      <c r="Y1627" s="115">
        <f>IFERROR(R1627/W1627,"")</f>
        <v/>
      </c>
      <c r="Z1627" s="115">
        <f>IFERROR(R1627/S1627*1000,"")</f>
        <v/>
      </c>
      <c r="AA1627" s="116" t="n">
        <v>18</v>
      </c>
      <c r="AB1627" s="47">
        <f>IFERROR(AA1627/W1627,"")</f>
        <v/>
      </c>
      <c r="AC1627" s="116" t="n">
        <v>0</v>
      </c>
      <c r="AD1627" s="116" t="n">
        <v>0</v>
      </c>
      <c r="AE1627" s="116" t="n">
        <v>0</v>
      </c>
      <c r="AF1627" s="116" t="n">
        <v>0</v>
      </c>
      <c r="AG1627" s="116" t="n">
        <v>0</v>
      </c>
      <c r="AH1627" s="116" t="n">
        <v>0</v>
      </c>
      <c r="AI1627" s="47">
        <f>IFERROR(AC1627/S1627,"")</f>
        <v/>
      </c>
      <c r="AJ1627" s="47">
        <f>IFERROR(AH1627/S1627,"")</f>
        <v/>
      </c>
      <c r="AK1627" s="116" t="n">
        <v>46</v>
      </c>
      <c r="AL1627" s="116" t="n">
        <v>0</v>
      </c>
      <c r="AM1627" s="118">
        <f>IFERROR(AL1627/AA1627,"")</f>
        <v/>
      </c>
      <c r="AN1627" s="119">
        <f>IFERROR(R1627/AL1627,"")</f>
        <v/>
      </c>
      <c r="AO1627" s="116" t="n">
        <v>0</v>
      </c>
      <c r="AP1627" s="47">
        <f>IFERROR(AO1627/AL1627,"")</f>
        <v/>
      </c>
      <c r="AQ1627" s="119">
        <f>IFERROR(R1627/AO1627,"")</f>
        <v/>
      </c>
      <c r="AR1627" s="116" t="n">
        <v>0</v>
      </c>
      <c r="AS1627" s="116" t="n">
        <v>0</v>
      </c>
      <c r="AT1627" s="116">
        <f>AL1627+AR1627</f>
        <v/>
      </c>
      <c r="AU1627" s="119">
        <f>IFERROR(AO1627*Assumptions!$C$26*Assumptions!$C$27*INDEX(Assumptions!$C$18:$C$21,MATCH(H1627,Assumptions!$B$18:$B$21,0)),0)</f>
        <v/>
      </c>
    </row>
    <row r="1628">
      <c r="A1628" s="114" t="n">
        <v>46250</v>
      </c>
      <c r="B1628" s="42" t="inlineStr">
        <is>
          <t>Wk 33</t>
        </is>
      </c>
      <c r="C1628" s="42" t="inlineStr">
        <is>
          <t>Sun</t>
        </is>
      </c>
      <c r="D1628" s="42" t="inlineStr">
        <is>
          <t>X</t>
        </is>
      </c>
      <c r="E1628" s="42" t="inlineStr">
        <is>
          <t>X (Twitter)</t>
        </is>
      </c>
      <c r="F1628" s="42" t="inlineStr">
        <is>
          <t>LEP_ZA_AUG26_X_RMKT_TD_CONV</t>
        </is>
      </c>
      <c r="G1628" s="42" t="inlineStr">
        <is>
          <t>Website Conversions</t>
        </is>
      </c>
      <c r="H1628" s="42" t="inlineStr">
        <is>
          <t>Range</t>
        </is>
      </c>
      <c r="I1628" s="42" t="inlineStr">
        <is>
          <t>Range Offer</t>
        </is>
      </c>
      <c r="J1628" s="42" t="inlineStr">
        <is>
          <t>X_RMKT_SITE14D_ZA</t>
        </is>
      </c>
      <c r="K1628" s="42" t="inlineStr">
        <is>
          <t>Retargeting</t>
        </is>
      </c>
      <c r="L1628" s="42" t="inlineStr">
        <is>
          <t>X_STA_BookReminder_v1</t>
        </is>
      </c>
      <c r="M1628" s="42" t="inlineStr">
        <is>
          <t>Image Ad</t>
        </is>
      </c>
      <c r="N1628" s="42" t="inlineStr">
        <is>
          <t>Slots open this weekend</t>
        </is>
      </c>
      <c r="O1628" s="42" t="inlineStr">
        <is>
          <t>Auction - Lowest Cost</t>
        </is>
      </c>
      <c r="P1628" s="42" t="inlineStr">
        <is>
          <t>Site Visit / Conversion</t>
        </is>
      </c>
      <c r="Q1628" s="42" t="inlineStr">
        <is>
          <t>https://www.lepas-sa.co.za/book-a-test-drive</t>
        </is>
      </c>
      <c r="R1628" s="115" t="n">
        <v>141.35</v>
      </c>
      <c r="S1628" s="116" t="n">
        <v>2232</v>
      </c>
      <c r="T1628" s="116" t="n">
        <v>1424</v>
      </c>
      <c r="U1628" s="117">
        <f>IFERROR(S1628/T1628,"")</f>
        <v/>
      </c>
      <c r="V1628" s="116" t="n">
        <v>17</v>
      </c>
      <c r="W1628" s="116" t="n">
        <v>14</v>
      </c>
      <c r="X1628" s="118">
        <f>IFERROR(W1628/S1628,"")</f>
        <v/>
      </c>
      <c r="Y1628" s="115">
        <f>IFERROR(R1628/W1628,"")</f>
        <v/>
      </c>
      <c r="Z1628" s="115">
        <f>IFERROR(R1628/S1628*1000,"")</f>
        <v/>
      </c>
      <c r="AA1628" s="116" t="n">
        <v>11</v>
      </c>
      <c r="AB1628" s="47">
        <f>IFERROR(AA1628/W1628,"")</f>
        <v/>
      </c>
      <c r="AC1628" s="116" t="n">
        <v>0</v>
      </c>
      <c r="AD1628" s="116" t="n">
        <v>0</v>
      </c>
      <c r="AE1628" s="116" t="n">
        <v>0</v>
      </c>
      <c r="AF1628" s="116" t="n">
        <v>0</v>
      </c>
      <c r="AG1628" s="116" t="n">
        <v>0</v>
      </c>
      <c r="AH1628" s="116" t="n">
        <v>0</v>
      </c>
      <c r="AI1628" s="47">
        <f>IFERROR(AC1628/S1628,"")</f>
        <v/>
      </c>
      <c r="AJ1628" s="47">
        <f>IFERROR(AH1628/S1628,"")</f>
        <v/>
      </c>
      <c r="AK1628" s="116" t="n">
        <v>34</v>
      </c>
      <c r="AL1628" s="116" t="n">
        <v>0</v>
      </c>
      <c r="AM1628" s="118">
        <f>IFERROR(AL1628/AA1628,"")</f>
        <v/>
      </c>
      <c r="AN1628" s="119">
        <f>IFERROR(R1628/AL1628,"")</f>
        <v/>
      </c>
      <c r="AO1628" s="116" t="n">
        <v>0</v>
      </c>
      <c r="AP1628" s="47">
        <f>IFERROR(AO1628/AL1628,"")</f>
        <v/>
      </c>
      <c r="AQ1628" s="119">
        <f>IFERROR(R1628/AO1628,"")</f>
        <v/>
      </c>
      <c r="AR1628" s="116" t="n">
        <v>0</v>
      </c>
      <c r="AS1628" s="116" t="n">
        <v>0</v>
      </c>
      <c r="AT1628" s="116">
        <f>AL1628+AR1628</f>
        <v/>
      </c>
      <c r="AU1628" s="119">
        <f>IFERROR(AO1628*Assumptions!$C$26*Assumptions!$C$27*INDEX(Assumptions!$C$18:$C$21,MATCH(H1628,Assumptions!$B$18:$B$21,0)),0)</f>
        <v/>
      </c>
    </row>
    <row r="1629">
      <c r="A1629" s="114" t="n">
        <v>46251</v>
      </c>
      <c r="B1629" s="42" t="inlineStr">
        <is>
          <t>Wk 34</t>
        </is>
      </c>
      <c r="C1629" s="42" t="inlineStr">
        <is>
          <t>Mon</t>
        </is>
      </c>
      <c r="D1629" s="42" t="inlineStr">
        <is>
          <t>X</t>
        </is>
      </c>
      <c r="E1629" s="42" t="inlineStr">
        <is>
          <t>X (Twitter)</t>
        </is>
      </c>
      <c r="F1629" s="42" t="inlineStr">
        <is>
          <t>LEP_ZA_AUG26_X_RMKT_TD_CONV</t>
        </is>
      </c>
      <c r="G1629" s="42" t="inlineStr">
        <is>
          <t>Website Conversions</t>
        </is>
      </c>
      <c r="H1629" s="42" t="inlineStr">
        <is>
          <t>Range</t>
        </is>
      </c>
      <c r="I1629" s="42" t="inlineStr">
        <is>
          <t>Range Offer</t>
        </is>
      </c>
      <c r="J1629" s="42" t="inlineStr">
        <is>
          <t>X_RMKT_SITE14D_ZA</t>
        </is>
      </c>
      <c r="K1629" s="42" t="inlineStr">
        <is>
          <t>Retargeting</t>
        </is>
      </c>
      <c r="L1629" s="42" t="inlineStr">
        <is>
          <t>X_STA_BookReminder_v1</t>
        </is>
      </c>
      <c r="M1629" s="42" t="inlineStr">
        <is>
          <t>Image Ad</t>
        </is>
      </c>
      <c r="N1629" s="42" t="inlineStr">
        <is>
          <t>Slots open this weekend</t>
        </is>
      </c>
      <c r="O1629" s="42" t="inlineStr">
        <is>
          <t>Auction - Lowest Cost</t>
        </is>
      </c>
      <c r="P1629" s="42" t="inlineStr">
        <is>
          <t>Site Visit / Conversion</t>
        </is>
      </c>
      <c r="Q1629" s="42" t="inlineStr">
        <is>
          <t>https://www.lepas-sa.co.za/book-a-test-drive</t>
        </is>
      </c>
      <c r="R1629" s="115" t="n">
        <v>143.46</v>
      </c>
      <c r="S1629" s="116" t="n">
        <v>2810</v>
      </c>
      <c r="T1629" s="116" t="n">
        <v>1988</v>
      </c>
      <c r="U1629" s="117">
        <f>IFERROR(S1629/T1629,"")</f>
        <v/>
      </c>
      <c r="V1629" s="116" t="n">
        <v>30</v>
      </c>
      <c r="W1629" s="116" t="n">
        <v>24</v>
      </c>
      <c r="X1629" s="118">
        <f>IFERROR(W1629/S1629,"")</f>
        <v/>
      </c>
      <c r="Y1629" s="115">
        <f>IFERROR(R1629/W1629,"")</f>
        <v/>
      </c>
      <c r="Z1629" s="115">
        <f>IFERROR(R1629/S1629*1000,"")</f>
        <v/>
      </c>
      <c r="AA1629" s="116" t="n">
        <v>17</v>
      </c>
      <c r="AB1629" s="47">
        <f>IFERROR(AA1629/W1629,"")</f>
        <v/>
      </c>
      <c r="AC1629" s="116" t="n">
        <v>0</v>
      </c>
      <c r="AD1629" s="116" t="n">
        <v>0</v>
      </c>
      <c r="AE1629" s="116" t="n">
        <v>0</v>
      </c>
      <c r="AF1629" s="116" t="n">
        <v>0</v>
      </c>
      <c r="AG1629" s="116" t="n">
        <v>0</v>
      </c>
      <c r="AH1629" s="116" t="n">
        <v>0</v>
      </c>
      <c r="AI1629" s="47">
        <f>IFERROR(AC1629/S1629,"")</f>
        <v/>
      </c>
      <c r="AJ1629" s="47">
        <f>IFERROR(AH1629/S1629,"")</f>
        <v/>
      </c>
      <c r="AK1629" s="116" t="n">
        <v>67</v>
      </c>
      <c r="AL1629" s="116" t="n">
        <v>0</v>
      </c>
      <c r="AM1629" s="118">
        <f>IFERROR(AL1629/AA1629,"")</f>
        <v/>
      </c>
      <c r="AN1629" s="119">
        <f>IFERROR(R1629/AL1629,"")</f>
        <v/>
      </c>
      <c r="AO1629" s="116" t="n">
        <v>0</v>
      </c>
      <c r="AP1629" s="47">
        <f>IFERROR(AO1629/AL1629,"")</f>
        <v/>
      </c>
      <c r="AQ1629" s="119">
        <f>IFERROR(R1629/AO1629,"")</f>
        <v/>
      </c>
      <c r="AR1629" s="116" t="n">
        <v>0</v>
      </c>
      <c r="AS1629" s="116" t="n">
        <v>0</v>
      </c>
      <c r="AT1629" s="116">
        <f>AL1629+AR1629</f>
        <v/>
      </c>
      <c r="AU1629" s="119">
        <f>IFERROR(AO1629*Assumptions!$C$26*Assumptions!$C$27*INDEX(Assumptions!$C$18:$C$21,MATCH(H1629,Assumptions!$B$18:$B$21,0)),0)</f>
        <v/>
      </c>
    </row>
    <row r="1630">
      <c r="A1630" s="114" t="n">
        <v>46252</v>
      </c>
      <c r="B1630" s="42" t="inlineStr">
        <is>
          <t>Wk 34</t>
        </is>
      </c>
      <c r="C1630" s="42" t="inlineStr">
        <is>
          <t>Tue</t>
        </is>
      </c>
      <c r="D1630" s="42" t="inlineStr">
        <is>
          <t>X</t>
        </is>
      </c>
      <c r="E1630" s="42" t="inlineStr">
        <is>
          <t>X (Twitter)</t>
        </is>
      </c>
      <c r="F1630" s="42" t="inlineStr">
        <is>
          <t>LEP_ZA_AUG26_X_RMKT_TD_CONV</t>
        </is>
      </c>
      <c r="G1630" s="42" t="inlineStr">
        <is>
          <t>Website Conversions</t>
        </is>
      </c>
      <c r="H1630" s="42" t="inlineStr">
        <is>
          <t>Range</t>
        </is>
      </c>
      <c r="I1630" s="42" t="inlineStr">
        <is>
          <t>Range Offer</t>
        </is>
      </c>
      <c r="J1630" s="42" t="inlineStr">
        <is>
          <t>X_RMKT_SITE14D_ZA</t>
        </is>
      </c>
      <c r="K1630" s="42" t="inlineStr">
        <is>
          <t>Retargeting</t>
        </is>
      </c>
      <c r="L1630" s="42" t="inlineStr">
        <is>
          <t>X_STA_BookReminder_v1</t>
        </is>
      </c>
      <c r="M1630" s="42" t="inlineStr">
        <is>
          <t>Image Ad</t>
        </is>
      </c>
      <c r="N1630" s="42" t="inlineStr">
        <is>
          <t>Slots open this weekend</t>
        </is>
      </c>
      <c r="O1630" s="42" t="inlineStr">
        <is>
          <t>Auction - Lowest Cost</t>
        </is>
      </c>
      <c r="P1630" s="42" t="inlineStr">
        <is>
          <t>Site Visit / Conversion</t>
        </is>
      </c>
      <c r="Q1630" s="42" t="inlineStr">
        <is>
          <t>https://www.lepas-sa.co.za/book-a-test-drive</t>
        </is>
      </c>
      <c r="R1630" s="115" t="n">
        <v>178.34</v>
      </c>
      <c r="S1630" s="116" t="n">
        <v>2304</v>
      </c>
      <c r="T1630" s="116" t="n">
        <v>1613</v>
      </c>
      <c r="U1630" s="117">
        <f>IFERROR(S1630/T1630,"")</f>
        <v/>
      </c>
      <c r="V1630" s="116" t="n">
        <v>24</v>
      </c>
      <c r="W1630" s="116" t="n">
        <v>19</v>
      </c>
      <c r="X1630" s="118">
        <f>IFERROR(W1630/S1630,"")</f>
        <v/>
      </c>
      <c r="Y1630" s="115">
        <f>IFERROR(R1630/W1630,"")</f>
        <v/>
      </c>
      <c r="Z1630" s="115">
        <f>IFERROR(R1630/S1630*1000,"")</f>
        <v/>
      </c>
      <c r="AA1630" s="116" t="n">
        <v>15</v>
      </c>
      <c r="AB1630" s="47">
        <f>IFERROR(AA1630/W1630,"")</f>
        <v/>
      </c>
      <c r="AC1630" s="116" t="n">
        <v>0</v>
      </c>
      <c r="AD1630" s="116" t="n">
        <v>0</v>
      </c>
      <c r="AE1630" s="116" t="n">
        <v>0</v>
      </c>
      <c r="AF1630" s="116" t="n">
        <v>0</v>
      </c>
      <c r="AG1630" s="116" t="n">
        <v>0</v>
      </c>
      <c r="AH1630" s="116" t="n">
        <v>0</v>
      </c>
      <c r="AI1630" s="47">
        <f>IFERROR(AC1630/S1630,"")</f>
        <v/>
      </c>
      <c r="AJ1630" s="47">
        <f>IFERROR(AH1630/S1630,"")</f>
        <v/>
      </c>
      <c r="AK1630" s="116" t="n">
        <v>63</v>
      </c>
      <c r="AL1630" s="116" t="n">
        <v>1</v>
      </c>
      <c r="AM1630" s="118">
        <f>IFERROR(AL1630/AA1630,"")</f>
        <v/>
      </c>
      <c r="AN1630" s="119">
        <f>IFERROR(R1630/AL1630,"")</f>
        <v/>
      </c>
      <c r="AO1630" s="116" t="n">
        <v>0</v>
      </c>
      <c r="AP1630" s="47">
        <f>IFERROR(AO1630/AL1630,"")</f>
        <v/>
      </c>
      <c r="AQ1630" s="119">
        <f>IFERROR(R1630/AO1630,"")</f>
        <v/>
      </c>
      <c r="AR1630" s="116" t="n">
        <v>0</v>
      </c>
      <c r="AS1630" s="116" t="n">
        <v>0</v>
      </c>
      <c r="AT1630" s="116">
        <f>AL1630+AR1630</f>
        <v/>
      </c>
      <c r="AU1630" s="119">
        <f>IFERROR(AO1630*Assumptions!$C$26*Assumptions!$C$27*INDEX(Assumptions!$C$18:$C$21,MATCH(H1630,Assumptions!$B$18:$B$21,0)),0)</f>
        <v/>
      </c>
    </row>
    <row r="1631">
      <c r="A1631" s="114" t="n">
        <v>46253</v>
      </c>
      <c r="B1631" s="42" t="inlineStr">
        <is>
          <t>Wk 34</t>
        </is>
      </c>
      <c r="C1631" s="42" t="inlineStr">
        <is>
          <t>Wed</t>
        </is>
      </c>
      <c r="D1631" s="42" t="inlineStr">
        <is>
          <t>X</t>
        </is>
      </c>
      <c r="E1631" s="42" t="inlineStr">
        <is>
          <t>X (Twitter)</t>
        </is>
      </c>
      <c r="F1631" s="42" t="inlineStr">
        <is>
          <t>LEP_ZA_AUG26_X_RMKT_TD_CONV</t>
        </is>
      </c>
      <c r="G1631" s="42" t="inlineStr">
        <is>
          <t>Website Conversions</t>
        </is>
      </c>
      <c r="H1631" s="42" t="inlineStr">
        <is>
          <t>Range</t>
        </is>
      </c>
      <c r="I1631" s="42" t="inlineStr">
        <is>
          <t>Range Offer</t>
        </is>
      </c>
      <c r="J1631" s="42" t="inlineStr">
        <is>
          <t>X_RMKT_SITE14D_ZA</t>
        </is>
      </c>
      <c r="K1631" s="42" t="inlineStr">
        <is>
          <t>Retargeting</t>
        </is>
      </c>
      <c r="L1631" s="42" t="inlineStr">
        <is>
          <t>X_STA_BookReminder_v1</t>
        </is>
      </c>
      <c r="M1631" s="42" t="inlineStr">
        <is>
          <t>Image Ad</t>
        </is>
      </c>
      <c r="N1631" s="42" t="inlineStr">
        <is>
          <t>Slots open this weekend</t>
        </is>
      </c>
      <c r="O1631" s="42" t="inlineStr">
        <is>
          <t>Auction - Lowest Cost</t>
        </is>
      </c>
      <c r="P1631" s="42" t="inlineStr">
        <is>
          <t>Site Visit / Conversion</t>
        </is>
      </c>
      <c r="Q1631" s="42" t="inlineStr">
        <is>
          <t>https://www.lepas-sa.co.za/book-a-test-drive</t>
        </is>
      </c>
      <c r="R1631" s="115" t="n">
        <v>159.08</v>
      </c>
      <c r="S1631" s="116" t="n">
        <v>2318</v>
      </c>
      <c r="T1631" s="116" t="n">
        <v>1422</v>
      </c>
      <c r="U1631" s="117">
        <f>IFERROR(S1631/T1631,"")</f>
        <v/>
      </c>
      <c r="V1631" s="116" t="n">
        <v>22</v>
      </c>
      <c r="W1631" s="116" t="n">
        <v>18</v>
      </c>
      <c r="X1631" s="118">
        <f>IFERROR(W1631/S1631,"")</f>
        <v/>
      </c>
      <c r="Y1631" s="115">
        <f>IFERROR(R1631/W1631,"")</f>
        <v/>
      </c>
      <c r="Z1631" s="115">
        <f>IFERROR(R1631/S1631*1000,"")</f>
        <v/>
      </c>
      <c r="AA1631" s="116" t="n">
        <v>13</v>
      </c>
      <c r="AB1631" s="47">
        <f>IFERROR(AA1631/W1631,"")</f>
        <v/>
      </c>
      <c r="AC1631" s="116" t="n">
        <v>0</v>
      </c>
      <c r="AD1631" s="116" t="n">
        <v>0</v>
      </c>
      <c r="AE1631" s="116" t="n">
        <v>0</v>
      </c>
      <c r="AF1631" s="116" t="n">
        <v>0</v>
      </c>
      <c r="AG1631" s="116" t="n">
        <v>0</v>
      </c>
      <c r="AH1631" s="116" t="n">
        <v>0</v>
      </c>
      <c r="AI1631" s="47">
        <f>IFERROR(AC1631/S1631,"")</f>
        <v/>
      </c>
      <c r="AJ1631" s="47">
        <f>IFERROR(AH1631/S1631,"")</f>
        <v/>
      </c>
      <c r="AK1631" s="116" t="n">
        <v>49</v>
      </c>
      <c r="AL1631" s="116" t="n">
        <v>1</v>
      </c>
      <c r="AM1631" s="118">
        <f>IFERROR(AL1631/AA1631,"")</f>
        <v/>
      </c>
      <c r="AN1631" s="119">
        <f>IFERROR(R1631/AL1631,"")</f>
        <v/>
      </c>
      <c r="AO1631" s="116" t="n">
        <v>0</v>
      </c>
      <c r="AP1631" s="47">
        <f>IFERROR(AO1631/AL1631,"")</f>
        <v/>
      </c>
      <c r="AQ1631" s="119">
        <f>IFERROR(R1631/AO1631,"")</f>
        <v/>
      </c>
      <c r="AR1631" s="116" t="n">
        <v>0</v>
      </c>
      <c r="AS1631" s="116" t="n">
        <v>0</v>
      </c>
      <c r="AT1631" s="116">
        <f>AL1631+AR1631</f>
        <v/>
      </c>
      <c r="AU1631" s="119">
        <f>IFERROR(AO1631*Assumptions!$C$26*Assumptions!$C$27*INDEX(Assumptions!$C$18:$C$21,MATCH(H1631,Assumptions!$B$18:$B$21,0)),0)</f>
        <v/>
      </c>
    </row>
    <row r="1632">
      <c r="A1632" s="114" t="n">
        <v>46254</v>
      </c>
      <c r="B1632" s="42" t="inlineStr">
        <is>
          <t>Wk 34</t>
        </is>
      </c>
      <c r="C1632" s="42" t="inlineStr">
        <is>
          <t>Thu</t>
        </is>
      </c>
      <c r="D1632" s="42" t="inlineStr">
        <is>
          <t>X</t>
        </is>
      </c>
      <c r="E1632" s="42" t="inlineStr">
        <is>
          <t>X (Twitter)</t>
        </is>
      </c>
      <c r="F1632" s="42" t="inlineStr">
        <is>
          <t>LEP_ZA_AUG26_X_RMKT_TD_CONV</t>
        </is>
      </c>
      <c r="G1632" s="42" t="inlineStr">
        <is>
          <t>Website Conversions</t>
        </is>
      </c>
      <c r="H1632" s="42" t="inlineStr">
        <is>
          <t>Range</t>
        </is>
      </c>
      <c r="I1632" s="42" t="inlineStr">
        <is>
          <t>Range Offer</t>
        </is>
      </c>
      <c r="J1632" s="42" t="inlineStr">
        <is>
          <t>X_RMKT_SITE14D_ZA</t>
        </is>
      </c>
      <c r="K1632" s="42" t="inlineStr">
        <is>
          <t>Retargeting</t>
        </is>
      </c>
      <c r="L1632" s="42" t="inlineStr">
        <is>
          <t>X_STA_BookReminder_v1</t>
        </is>
      </c>
      <c r="M1632" s="42" t="inlineStr">
        <is>
          <t>Image Ad</t>
        </is>
      </c>
      <c r="N1632" s="42" t="inlineStr">
        <is>
          <t>Slots open this weekend</t>
        </is>
      </c>
      <c r="O1632" s="42" t="inlineStr">
        <is>
          <t>Auction - Lowest Cost</t>
        </is>
      </c>
      <c r="P1632" s="42" t="inlineStr">
        <is>
          <t>Site Visit / Conversion</t>
        </is>
      </c>
      <c r="Q1632" s="42" t="inlineStr">
        <is>
          <t>https://www.lepas-sa.co.za/book-a-test-drive</t>
        </is>
      </c>
      <c r="R1632" s="115" t="n">
        <v>177.17</v>
      </c>
      <c r="S1632" s="116" t="n">
        <v>2155</v>
      </c>
      <c r="T1632" s="116" t="n">
        <v>1257</v>
      </c>
      <c r="U1632" s="117">
        <f>IFERROR(S1632/T1632,"")</f>
        <v/>
      </c>
      <c r="V1632" s="116" t="n">
        <v>36</v>
      </c>
      <c r="W1632" s="116" t="n">
        <v>27</v>
      </c>
      <c r="X1632" s="118">
        <f>IFERROR(W1632/S1632,"")</f>
        <v/>
      </c>
      <c r="Y1632" s="115">
        <f>IFERROR(R1632/W1632,"")</f>
        <v/>
      </c>
      <c r="Z1632" s="115">
        <f>IFERROR(R1632/S1632*1000,"")</f>
        <v/>
      </c>
      <c r="AA1632" s="116" t="n">
        <v>20</v>
      </c>
      <c r="AB1632" s="47">
        <f>IFERROR(AA1632/W1632,"")</f>
        <v/>
      </c>
      <c r="AC1632" s="116" t="n">
        <v>0</v>
      </c>
      <c r="AD1632" s="116" t="n">
        <v>0</v>
      </c>
      <c r="AE1632" s="116" t="n">
        <v>0</v>
      </c>
      <c r="AF1632" s="116" t="n">
        <v>0</v>
      </c>
      <c r="AG1632" s="116" t="n">
        <v>0</v>
      </c>
      <c r="AH1632" s="116" t="n">
        <v>0</v>
      </c>
      <c r="AI1632" s="47">
        <f>IFERROR(AC1632/S1632,"")</f>
        <v/>
      </c>
      <c r="AJ1632" s="47">
        <f>IFERROR(AH1632/S1632,"")</f>
        <v/>
      </c>
      <c r="AK1632" s="116" t="n">
        <v>47</v>
      </c>
      <c r="AL1632" s="116" t="n">
        <v>0</v>
      </c>
      <c r="AM1632" s="118">
        <f>IFERROR(AL1632/AA1632,"")</f>
        <v/>
      </c>
      <c r="AN1632" s="119">
        <f>IFERROR(R1632/AL1632,"")</f>
        <v/>
      </c>
      <c r="AO1632" s="116" t="n">
        <v>0</v>
      </c>
      <c r="AP1632" s="47">
        <f>IFERROR(AO1632/AL1632,"")</f>
        <v/>
      </c>
      <c r="AQ1632" s="119">
        <f>IFERROR(R1632/AO1632,"")</f>
        <v/>
      </c>
      <c r="AR1632" s="116" t="n">
        <v>0</v>
      </c>
      <c r="AS1632" s="116" t="n">
        <v>0</v>
      </c>
      <c r="AT1632" s="116">
        <f>AL1632+AR1632</f>
        <v/>
      </c>
      <c r="AU1632" s="119">
        <f>IFERROR(AO1632*Assumptions!$C$26*Assumptions!$C$27*INDEX(Assumptions!$C$18:$C$21,MATCH(H1632,Assumptions!$B$18:$B$21,0)),0)</f>
        <v/>
      </c>
    </row>
    <row r="1633">
      <c r="A1633" s="114" t="n">
        <v>46255</v>
      </c>
      <c r="B1633" s="42" t="inlineStr">
        <is>
          <t>Wk 34</t>
        </is>
      </c>
      <c r="C1633" s="42" t="inlineStr">
        <is>
          <t>Fri</t>
        </is>
      </c>
      <c r="D1633" s="42" t="inlineStr">
        <is>
          <t>X</t>
        </is>
      </c>
      <c r="E1633" s="42" t="inlineStr">
        <is>
          <t>X (Twitter)</t>
        </is>
      </c>
      <c r="F1633" s="42" t="inlineStr">
        <is>
          <t>LEP_ZA_AUG26_X_RMKT_TD_CONV</t>
        </is>
      </c>
      <c r="G1633" s="42" t="inlineStr">
        <is>
          <t>Website Conversions</t>
        </is>
      </c>
      <c r="H1633" s="42" t="inlineStr">
        <is>
          <t>Range</t>
        </is>
      </c>
      <c r="I1633" s="42" t="inlineStr">
        <is>
          <t>Range Offer</t>
        </is>
      </c>
      <c r="J1633" s="42" t="inlineStr">
        <is>
          <t>X_RMKT_SITE14D_ZA</t>
        </is>
      </c>
      <c r="K1633" s="42" t="inlineStr">
        <is>
          <t>Retargeting</t>
        </is>
      </c>
      <c r="L1633" s="42" t="inlineStr">
        <is>
          <t>X_STA_BookReminder_v1</t>
        </is>
      </c>
      <c r="M1633" s="42" t="inlineStr">
        <is>
          <t>Image Ad</t>
        </is>
      </c>
      <c r="N1633" s="42" t="inlineStr">
        <is>
          <t>Slots open this weekend</t>
        </is>
      </c>
      <c r="O1633" s="42" t="inlineStr">
        <is>
          <t>Auction - Lowest Cost</t>
        </is>
      </c>
      <c r="P1633" s="42" t="inlineStr">
        <is>
          <t>Site Visit / Conversion</t>
        </is>
      </c>
      <c r="Q1633" s="42" t="inlineStr">
        <is>
          <t>https://www.lepas-sa.co.za/book-a-test-drive</t>
        </is>
      </c>
      <c r="R1633" s="115" t="n">
        <v>197.59</v>
      </c>
      <c r="S1633" s="116" t="n">
        <v>2984</v>
      </c>
      <c r="T1633" s="116" t="n">
        <v>1991</v>
      </c>
      <c r="U1633" s="117">
        <f>IFERROR(S1633/T1633,"")</f>
        <v/>
      </c>
      <c r="V1633" s="116" t="n">
        <v>43</v>
      </c>
      <c r="W1633" s="116" t="n">
        <v>32</v>
      </c>
      <c r="X1633" s="118">
        <f>IFERROR(W1633/S1633,"")</f>
        <v/>
      </c>
      <c r="Y1633" s="115">
        <f>IFERROR(R1633/W1633,"")</f>
        <v/>
      </c>
      <c r="Z1633" s="115">
        <f>IFERROR(R1633/S1633*1000,"")</f>
        <v/>
      </c>
      <c r="AA1633" s="116" t="n">
        <v>24</v>
      </c>
      <c r="AB1633" s="47">
        <f>IFERROR(AA1633/W1633,"")</f>
        <v/>
      </c>
      <c r="AC1633" s="116" t="n">
        <v>0</v>
      </c>
      <c r="AD1633" s="116" t="n">
        <v>0</v>
      </c>
      <c r="AE1633" s="116" t="n">
        <v>0</v>
      </c>
      <c r="AF1633" s="116" t="n">
        <v>0</v>
      </c>
      <c r="AG1633" s="116" t="n">
        <v>0</v>
      </c>
      <c r="AH1633" s="116" t="n">
        <v>0</v>
      </c>
      <c r="AI1633" s="47">
        <f>IFERROR(AC1633/S1633,"")</f>
        <v/>
      </c>
      <c r="AJ1633" s="47">
        <f>IFERROR(AH1633/S1633,"")</f>
        <v/>
      </c>
      <c r="AK1633" s="116" t="n">
        <v>38</v>
      </c>
      <c r="AL1633" s="116" t="n">
        <v>1</v>
      </c>
      <c r="AM1633" s="118">
        <f>IFERROR(AL1633/AA1633,"")</f>
        <v/>
      </c>
      <c r="AN1633" s="119">
        <f>IFERROR(R1633/AL1633,"")</f>
        <v/>
      </c>
      <c r="AO1633" s="116" t="n">
        <v>1</v>
      </c>
      <c r="AP1633" s="47">
        <f>IFERROR(AO1633/AL1633,"")</f>
        <v/>
      </c>
      <c r="AQ1633" s="119">
        <f>IFERROR(R1633/AO1633,"")</f>
        <v/>
      </c>
      <c r="AR1633" s="116" t="n">
        <v>0</v>
      </c>
      <c r="AS1633" s="116" t="n">
        <v>0</v>
      </c>
      <c r="AT1633" s="116">
        <f>AL1633+AR1633</f>
        <v/>
      </c>
      <c r="AU1633" s="119">
        <f>IFERROR(AO1633*Assumptions!$C$26*Assumptions!$C$27*INDEX(Assumptions!$C$18:$C$21,MATCH(H1633,Assumptions!$B$18:$B$21,0)),0)</f>
        <v/>
      </c>
    </row>
    <row r="1634">
      <c r="A1634" s="114" t="n">
        <v>46256</v>
      </c>
      <c r="B1634" s="42" t="inlineStr">
        <is>
          <t>Wk 34</t>
        </is>
      </c>
      <c r="C1634" s="42" t="inlineStr">
        <is>
          <t>Sat</t>
        </is>
      </c>
      <c r="D1634" s="42" t="inlineStr">
        <is>
          <t>X</t>
        </is>
      </c>
      <c r="E1634" s="42" t="inlineStr">
        <is>
          <t>X (Twitter)</t>
        </is>
      </c>
      <c r="F1634" s="42" t="inlineStr">
        <is>
          <t>LEP_ZA_AUG26_X_RMKT_TD_CONV</t>
        </is>
      </c>
      <c r="G1634" s="42" t="inlineStr">
        <is>
          <t>Website Conversions</t>
        </is>
      </c>
      <c r="H1634" s="42" t="inlineStr">
        <is>
          <t>Range</t>
        </is>
      </c>
      <c r="I1634" s="42" t="inlineStr">
        <is>
          <t>Range Offer</t>
        </is>
      </c>
      <c r="J1634" s="42" t="inlineStr">
        <is>
          <t>X_RMKT_SITE14D_ZA</t>
        </is>
      </c>
      <c r="K1634" s="42" t="inlineStr">
        <is>
          <t>Retargeting</t>
        </is>
      </c>
      <c r="L1634" s="42" t="inlineStr">
        <is>
          <t>X_STA_BookReminder_v1</t>
        </is>
      </c>
      <c r="M1634" s="42" t="inlineStr">
        <is>
          <t>Image Ad</t>
        </is>
      </c>
      <c r="N1634" s="42" t="inlineStr">
        <is>
          <t>Slots open this weekend</t>
        </is>
      </c>
      <c r="O1634" s="42" t="inlineStr">
        <is>
          <t>Auction - Lowest Cost</t>
        </is>
      </c>
      <c r="P1634" s="42" t="inlineStr">
        <is>
          <t>Site Visit / Conversion</t>
        </is>
      </c>
      <c r="Q1634" s="42" t="inlineStr">
        <is>
          <t>https://www.lepas-sa.co.za/book-a-test-drive</t>
        </is>
      </c>
      <c r="R1634" s="115" t="n">
        <v>208.44</v>
      </c>
      <c r="S1634" s="116" t="n">
        <v>2511</v>
      </c>
      <c r="T1634" s="116" t="n">
        <v>1601</v>
      </c>
      <c r="U1634" s="117">
        <f>IFERROR(S1634/T1634,"")</f>
        <v/>
      </c>
      <c r="V1634" s="116" t="n">
        <v>21</v>
      </c>
      <c r="W1634" s="116" t="n">
        <v>15</v>
      </c>
      <c r="X1634" s="118">
        <f>IFERROR(W1634/S1634,"")</f>
        <v/>
      </c>
      <c r="Y1634" s="115">
        <f>IFERROR(R1634/W1634,"")</f>
        <v/>
      </c>
      <c r="Z1634" s="115">
        <f>IFERROR(R1634/S1634*1000,"")</f>
        <v/>
      </c>
      <c r="AA1634" s="116" t="n">
        <v>10</v>
      </c>
      <c r="AB1634" s="47">
        <f>IFERROR(AA1634/W1634,"")</f>
        <v/>
      </c>
      <c r="AC1634" s="116" t="n">
        <v>0</v>
      </c>
      <c r="AD1634" s="116" t="n">
        <v>0</v>
      </c>
      <c r="AE1634" s="116" t="n">
        <v>0</v>
      </c>
      <c r="AF1634" s="116" t="n">
        <v>0</v>
      </c>
      <c r="AG1634" s="116" t="n">
        <v>0</v>
      </c>
      <c r="AH1634" s="116" t="n">
        <v>0</v>
      </c>
      <c r="AI1634" s="47">
        <f>IFERROR(AC1634/S1634,"")</f>
        <v/>
      </c>
      <c r="AJ1634" s="47">
        <f>IFERROR(AH1634/S1634,"")</f>
        <v/>
      </c>
      <c r="AK1634" s="116" t="n">
        <v>56</v>
      </c>
      <c r="AL1634" s="116" t="n">
        <v>0</v>
      </c>
      <c r="AM1634" s="118">
        <f>IFERROR(AL1634/AA1634,"")</f>
        <v/>
      </c>
      <c r="AN1634" s="119">
        <f>IFERROR(R1634/AL1634,"")</f>
        <v/>
      </c>
      <c r="AO1634" s="116" t="n">
        <v>0</v>
      </c>
      <c r="AP1634" s="47">
        <f>IFERROR(AO1634/AL1634,"")</f>
        <v/>
      </c>
      <c r="AQ1634" s="119">
        <f>IFERROR(R1634/AO1634,"")</f>
        <v/>
      </c>
      <c r="AR1634" s="116" t="n">
        <v>0</v>
      </c>
      <c r="AS1634" s="116" t="n">
        <v>0</v>
      </c>
      <c r="AT1634" s="116">
        <f>AL1634+AR1634</f>
        <v/>
      </c>
      <c r="AU1634" s="119">
        <f>IFERROR(AO1634*Assumptions!$C$26*Assumptions!$C$27*INDEX(Assumptions!$C$18:$C$21,MATCH(H1634,Assumptions!$B$18:$B$21,0)),0)</f>
        <v/>
      </c>
    </row>
    <row r="1635">
      <c r="A1635" s="114" t="n">
        <v>46257</v>
      </c>
      <c r="B1635" s="42" t="inlineStr">
        <is>
          <t>Wk 34</t>
        </is>
      </c>
      <c r="C1635" s="42" t="inlineStr">
        <is>
          <t>Sun</t>
        </is>
      </c>
      <c r="D1635" s="42" t="inlineStr">
        <is>
          <t>X</t>
        </is>
      </c>
      <c r="E1635" s="42" t="inlineStr">
        <is>
          <t>X (Twitter)</t>
        </is>
      </c>
      <c r="F1635" s="42" t="inlineStr">
        <is>
          <t>LEP_ZA_AUG26_X_RMKT_TD_CONV</t>
        </is>
      </c>
      <c r="G1635" s="42" t="inlineStr">
        <is>
          <t>Website Conversions</t>
        </is>
      </c>
      <c r="H1635" s="42" t="inlineStr">
        <is>
          <t>Range</t>
        </is>
      </c>
      <c r="I1635" s="42" t="inlineStr">
        <is>
          <t>Range Offer</t>
        </is>
      </c>
      <c r="J1635" s="42" t="inlineStr">
        <is>
          <t>X_RMKT_SITE14D_ZA</t>
        </is>
      </c>
      <c r="K1635" s="42" t="inlineStr">
        <is>
          <t>Retargeting</t>
        </is>
      </c>
      <c r="L1635" s="42" t="inlineStr">
        <is>
          <t>X_STA_BookReminder_v1</t>
        </is>
      </c>
      <c r="M1635" s="42" t="inlineStr">
        <is>
          <t>Image Ad</t>
        </is>
      </c>
      <c r="N1635" s="42" t="inlineStr">
        <is>
          <t>Slots open this weekend</t>
        </is>
      </c>
      <c r="O1635" s="42" t="inlineStr">
        <is>
          <t>Auction - Lowest Cost</t>
        </is>
      </c>
      <c r="P1635" s="42" t="inlineStr">
        <is>
          <t>Site Visit / Conversion</t>
        </is>
      </c>
      <c r="Q1635" s="42" t="inlineStr">
        <is>
          <t>https://www.lepas-sa.co.za/book-a-test-drive</t>
        </is>
      </c>
      <c r="R1635" s="115" t="n">
        <v>136.4</v>
      </c>
      <c r="S1635" s="116" t="n">
        <v>1555</v>
      </c>
      <c r="T1635" s="116" t="n">
        <v>845</v>
      </c>
      <c r="U1635" s="117">
        <f>IFERROR(S1635/T1635,"")</f>
        <v/>
      </c>
      <c r="V1635" s="116" t="n">
        <v>18</v>
      </c>
      <c r="W1635" s="116" t="n">
        <v>15</v>
      </c>
      <c r="X1635" s="118">
        <f>IFERROR(W1635/S1635,"")</f>
        <v/>
      </c>
      <c r="Y1635" s="115">
        <f>IFERROR(R1635/W1635,"")</f>
        <v/>
      </c>
      <c r="Z1635" s="115">
        <f>IFERROR(R1635/S1635*1000,"")</f>
        <v/>
      </c>
      <c r="AA1635" s="116" t="n">
        <v>13</v>
      </c>
      <c r="AB1635" s="47">
        <f>IFERROR(AA1635/W1635,"")</f>
        <v/>
      </c>
      <c r="AC1635" s="116" t="n">
        <v>0</v>
      </c>
      <c r="AD1635" s="116" t="n">
        <v>0</v>
      </c>
      <c r="AE1635" s="116" t="n">
        <v>0</v>
      </c>
      <c r="AF1635" s="116" t="n">
        <v>0</v>
      </c>
      <c r="AG1635" s="116" t="n">
        <v>0</v>
      </c>
      <c r="AH1635" s="116" t="n">
        <v>0</v>
      </c>
      <c r="AI1635" s="47">
        <f>IFERROR(AC1635/S1635,"")</f>
        <v/>
      </c>
      <c r="AJ1635" s="47">
        <f>IFERROR(AH1635/S1635,"")</f>
        <v/>
      </c>
      <c r="AK1635" s="116" t="n">
        <v>14</v>
      </c>
      <c r="AL1635" s="116" t="n">
        <v>0</v>
      </c>
      <c r="AM1635" s="118">
        <f>IFERROR(AL1635/AA1635,"")</f>
        <v/>
      </c>
      <c r="AN1635" s="119">
        <f>IFERROR(R1635/AL1635,"")</f>
        <v/>
      </c>
      <c r="AO1635" s="116" t="n">
        <v>0</v>
      </c>
      <c r="AP1635" s="47">
        <f>IFERROR(AO1635/AL1635,"")</f>
        <v/>
      </c>
      <c r="AQ1635" s="119">
        <f>IFERROR(R1635/AO1635,"")</f>
        <v/>
      </c>
      <c r="AR1635" s="116" t="n">
        <v>0</v>
      </c>
      <c r="AS1635" s="116" t="n">
        <v>0</v>
      </c>
      <c r="AT1635" s="116">
        <f>AL1635+AR1635</f>
        <v/>
      </c>
      <c r="AU1635" s="119">
        <f>IFERROR(AO1635*Assumptions!$C$26*Assumptions!$C$27*INDEX(Assumptions!$C$18:$C$21,MATCH(H1635,Assumptions!$B$18:$B$21,0)),0)</f>
        <v/>
      </c>
    </row>
    <row r="1636">
      <c r="A1636" s="114" t="n">
        <v>46258</v>
      </c>
      <c r="B1636" s="42" t="inlineStr">
        <is>
          <t>Wk 35</t>
        </is>
      </c>
      <c r="C1636" s="42" t="inlineStr">
        <is>
          <t>Mon</t>
        </is>
      </c>
      <c r="D1636" s="42" t="inlineStr">
        <is>
          <t>X</t>
        </is>
      </c>
      <c r="E1636" s="42" t="inlineStr">
        <is>
          <t>X (Twitter)</t>
        </is>
      </c>
      <c r="F1636" s="42" t="inlineStr">
        <is>
          <t>LEP_ZA_AUG26_X_RMKT_TD_CONV</t>
        </is>
      </c>
      <c r="G1636" s="42" t="inlineStr">
        <is>
          <t>Website Conversions</t>
        </is>
      </c>
      <c r="H1636" s="42" t="inlineStr">
        <is>
          <t>Range</t>
        </is>
      </c>
      <c r="I1636" s="42" t="inlineStr">
        <is>
          <t>Range Offer</t>
        </is>
      </c>
      <c r="J1636" s="42" t="inlineStr">
        <is>
          <t>X_RMKT_SITE14D_ZA</t>
        </is>
      </c>
      <c r="K1636" s="42" t="inlineStr">
        <is>
          <t>Retargeting</t>
        </is>
      </c>
      <c r="L1636" s="42" t="inlineStr">
        <is>
          <t>X_STA_BookReminder_v1</t>
        </is>
      </c>
      <c r="M1636" s="42" t="inlineStr">
        <is>
          <t>Image Ad</t>
        </is>
      </c>
      <c r="N1636" s="42" t="inlineStr">
        <is>
          <t>Slots open this weekend</t>
        </is>
      </c>
      <c r="O1636" s="42" t="inlineStr">
        <is>
          <t>Auction - Lowest Cost</t>
        </is>
      </c>
      <c r="P1636" s="42" t="inlineStr">
        <is>
          <t>Site Visit / Conversion</t>
        </is>
      </c>
      <c r="Q1636" s="42" t="inlineStr">
        <is>
          <t>https://www.lepas-sa.co.za/book-a-test-drive</t>
        </is>
      </c>
      <c r="R1636" s="115" t="n">
        <v>145.61</v>
      </c>
      <c r="S1636" s="116" t="n">
        <v>2250</v>
      </c>
      <c r="T1636" s="116" t="n">
        <v>1176</v>
      </c>
      <c r="U1636" s="117">
        <f>IFERROR(S1636/T1636,"")</f>
        <v/>
      </c>
      <c r="V1636" s="116" t="n">
        <v>37</v>
      </c>
      <c r="W1636" s="116" t="n">
        <v>28</v>
      </c>
      <c r="X1636" s="118">
        <f>IFERROR(W1636/S1636,"")</f>
        <v/>
      </c>
      <c r="Y1636" s="115">
        <f>IFERROR(R1636/W1636,"")</f>
        <v/>
      </c>
      <c r="Z1636" s="115">
        <f>IFERROR(R1636/S1636*1000,"")</f>
        <v/>
      </c>
      <c r="AA1636" s="116" t="n">
        <v>22</v>
      </c>
      <c r="AB1636" s="47">
        <f>IFERROR(AA1636/W1636,"")</f>
        <v/>
      </c>
      <c r="AC1636" s="116" t="n">
        <v>0</v>
      </c>
      <c r="AD1636" s="116" t="n">
        <v>0</v>
      </c>
      <c r="AE1636" s="116" t="n">
        <v>0</v>
      </c>
      <c r="AF1636" s="116" t="n">
        <v>0</v>
      </c>
      <c r="AG1636" s="116" t="n">
        <v>0</v>
      </c>
      <c r="AH1636" s="116" t="n">
        <v>0</v>
      </c>
      <c r="AI1636" s="47">
        <f>IFERROR(AC1636/S1636,"")</f>
        <v/>
      </c>
      <c r="AJ1636" s="47">
        <f>IFERROR(AH1636/S1636,"")</f>
        <v/>
      </c>
      <c r="AK1636" s="116" t="n">
        <v>39</v>
      </c>
      <c r="AL1636" s="116" t="n">
        <v>0</v>
      </c>
      <c r="AM1636" s="118">
        <f>IFERROR(AL1636/AA1636,"")</f>
        <v/>
      </c>
      <c r="AN1636" s="119">
        <f>IFERROR(R1636/AL1636,"")</f>
        <v/>
      </c>
      <c r="AO1636" s="116" t="n">
        <v>0</v>
      </c>
      <c r="AP1636" s="47">
        <f>IFERROR(AO1636/AL1636,"")</f>
        <v/>
      </c>
      <c r="AQ1636" s="119">
        <f>IFERROR(R1636/AO1636,"")</f>
        <v/>
      </c>
      <c r="AR1636" s="116" t="n">
        <v>0</v>
      </c>
      <c r="AS1636" s="116" t="n">
        <v>0</v>
      </c>
      <c r="AT1636" s="116">
        <f>AL1636+AR1636</f>
        <v/>
      </c>
      <c r="AU1636" s="119">
        <f>IFERROR(AO1636*Assumptions!$C$26*Assumptions!$C$27*INDEX(Assumptions!$C$18:$C$21,MATCH(H1636,Assumptions!$B$18:$B$21,0)),0)</f>
        <v/>
      </c>
    </row>
    <row r="1637">
      <c r="A1637" s="114" t="n">
        <v>46259</v>
      </c>
      <c r="B1637" s="42" t="inlineStr">
        <is>
          <t>Wk 35</t>
        </is>
      </c>
      <c r="C1637" s="42" t="inlineStr">
        <is>
          <t>Tue</t>
        </is>
      </c>
      <c r="D1637" s="42" t="inlineStr">
        <is>
          <t>X</t>
        </is>
      </c>
      <c r="E1637" s="42" t="inlineStr">
        <is>
          <t>X (Twitter)</t>
        </is>
      </c>
      <c r="F1637" s="42" t="inlineStr">
        <is>
          <t>LEP_ZA_AUG26_X_RMKT_TD_CONV</t>
        </is>
      </c>
      <c r="G1637" s="42" t="inlineStr">
        <is>
          <t>Website Conversions</t>
        </is>
      </c>
      <c r="H1637" s="42" t="inlineStr">
        <is>
          <t>Range</t>
        </is>
      </c>
      <c r="I1637" s="42" t="inlineStr">
        <is>
          <t>Range Offer</t>
        </is>
      </c>
      <c r="J1637" s="42" t="inlineStr">
        <is>
          <t>X_RMKT_SITE14D_ZA</t>
        </is>
      </c>
      <c r="K1637" s="42" t="inlineStr">
        <is>
          <t>Retargeting</t>
        </is>
      </c>
      <c r="L1637" s="42" t="inlineStr">
        <is>
          <t>X_STA_BookReminder_v1</t>
        </is>
      </c>
      <c r="M1637" s="42" t="inlineStr">
        <is>
          <t>Image Ad</t>
        </is>
      </c>
      <c r="N1637" s="42" t="inlineStr">
        <is>
          <t>Slots open this weekend</t>
        </is>
      </c>
      <c r="O1637" s="42" t="inlineStr">
        <is>
          <t>Auction - Lowest Cost</t>
        </is>
      </c>
      <c r="P1637" s="42" t="inlineStr">
        <is>
          <t>Site Visit / Conversion</t>
        </is>
      </c>
      <c r="Q1637" s="42" t="inlineStr">
        <is>
          <t>https://www.lepas-sa.co.za/book-a-test-drive</t>
        </is>
      </c>
      <c r="R1637" s="115" t="n">
        <v>193.09</v>
      </c>
      <c r="S1637" s="116" t="n">
        <v>2431</v>
      </c>
      <c r="T1637" s="116" t="n">
        <v>1384</v>
      </c>
      <c r="U1637" s="117">
        <f>IFERROR(S1637/T1637,"")</f>
        <v/>
      </c>
      <c r="V1637" s="116" t="n">
        <v>24</v>
      </c>
      <c r="W1637" s="116" t="n">
        <v>18</v>
      </c>
      <c r="X1637" s="118">
        <f>IFERROR(W1637/S1637,"")</f>
        <v/>
      </c>
      <c r="Y1637" s="115">
        <f>IFERROR(R1637/W1637,"")</f>
        <v/>
      </c>
      <c r="Z1637" s="115">
        <f>IFERROR(R1637/S1637*1000,"")</f>
        <v/>
      </c>
      <c r="AA1637" s="116" t="n">
        <v>13</v>
      </c>
      <c r="AB1637" s="47">
        <f>IFERROR(AA1637/W1637,"")</f>
        <v/>
      </c>
      <c r="AC1637" s="116" t="n">
        <v>0</v>
      </c>
      <c r="AD1637" s="116" t="n">
        <v>0</v>
      </c>
      <c r="AE1637" s="116" t="n">
        <v>0</v>
      </c>
      <c r="AF1637" s="116" t="n">
        <v>0</v>
      </c>
      <c r="AG1637" s="116" t="n">
        <v>0</v>
      </c>
      <c r="AH1637" s="116" t="n">
        <v>0</v>
      </c>
      <c r="AI1637" s="47">
        <f>IFERROR(AC1637/S1637,"")</f>
        <v/>
      </c>
      <c r="AJ1637" s="47">
        <f>IFERROR(AH1637/S1637,"")</f>
        <v/>
      </c>
      <c r="AK1637" s="116" t="n">
        <v>28</v>
      </c>
      <c r="AL1637" s="116" t="n">
        <v>0</v>
      </c>
      <c r="AM1637" s="118">
        <f>IFERROR(AL1637/AA1637,"")</f>
        <v/>
      </c>
      <c r="AN1637" s="119">
        <f>IFERROR(R1637/AL1637,"")</f>
        <v/>
      </c>
      <c r="AO1637" s="116" t="n">
        <v>0</v>
      </c>
      <c r="AP1637" s="47">
        <f>IFERROR(AO1637/AL1637,"")</f>
        <v/>
      </c>
      <c r="AQ1637" s="119">
        <f>IFERROR(R1637/AO1637,"")</f>
        <v/>
      </c>
      <c r="AR1637" s="116" t="n">
        <v>0</v>
      </c>
      <c r="AS1637" s="116" t="n">
        <v>0</v>
      </c>
      <c r="AT1637" s="116">
        <f>AL1637+AR1637</f>
        <v/>
      </c>
      <c r="AU1637" s="119">
        <f>IFERROR(AO1637*Assumptions!$C$26*Assumptions!$C$27*INDEX(Assumptions!$C$18:$C$21,MATCH(H1637,Assumptions!$B$18:$B$21,0)),0)</f>
        <v/>
      </c>
    </row>
    <row r="1638">
      <c r="A1638" s="114" t="n">
        <v>46260</v>
      </c>
      <c r="B1638" s="42" t="inlineStr">
        <is>
          <t>Wk 35</t>
        </is>
      </c>
      <c r="C1638" s="42" t="inlineStr">
        <is>
          <t>Wed</t>
        </is>
      </c>
      <c r="D1638" s="42" t="inlineStr">
        <is>
          <t>X</t>
        </is>
      </c>
      <c r="E1638" s="42" t="inlineStr">
        <is>
          <t>X (Twitter)</t>
        </is>
      </c>
      <c r="F1638" s="42" t="inlineStr">
        <is>
          <t>LEP_ZA_AUG26_X_RMKT_TD_CONV</t>
        </is>
      </c>
      <c r="G1638" s="42" t="inlineStr">
        <is>
          <t>Website Conversions</t>
        </is>
      </c>
      <c r="H1638" s="42" t="inlineStr">
        <is>
          <t>Range</t>
        </is>
      </c>
      <c r="I1638" s="42" t="inlineStr">
        <is>
          <t>Range Offer</t>
        </is>
      </c>
      <c r="J1638" s="42" t="inlineStr">
        <is>
          <t>X_RMKT_SITE14D_ZA</t>
        </is>
      </c>
      <c r="K1638" s="42" t="inlineStr">
        <is>
          <t>Retargeting</t>
        </is>
      </c>
      <c r="L1638" s="42" t="inlineStr">
        <is>
          <t>X_STA_BookReminder_v1</t>
        </is>
      </c>
      <c r="M1638" s="42" t="inlineStr">
        <is>
          <t>Image Ad</t>
        </is>
      </c>
      <c r="N1638" s="42" t="inlineStr">
        <is>
          <t>Slots open this weekend</t>
        </is>
      </c>
      <c r="O1638" s="42" t="inlineStr">
        <is>
          <t>Auction - Lowest Cost</t>
        </is>
      </c>
      <c r="P1638" s="42" t="inlineStr">
        <is>
          <t>Site Visit / Conversion</t>
        </is>
      </c>
      <c r="Q1638" s="42" t="inlineStr">
        <is>
          <t>https://www.lepas-sa.co.za/book-a-test-drive</t>
        </is>
      </c>
      <c r="R1638" s="115" t="n">
        <v>176.05</v>
      </c>
      <c r="S1638" s="116" t="n">
        <v>2384</v>
      </c>
      <c r="T1638" s="116" t="n">
        <v>1340</v>
      </c>
      <c r="U1638" s="117">
        <f>IFERROR(S1638/T1638,"")</f>
        <v/>
      </c>
      <c r="V1638" s="116" t="n">
        <v>25</v>
      </c>
      <c r="W1638" s="116" t="n">
        <v>18</v>
      </c>
      <c r="X1638" s="118">
        <f>IFERROR(W1638/S1638,"")</f>
        <v/>
      </c>
      <c r="Y1638" s="115">
        <f>IFERROR(R1638/W1638,"")</f>
        <v/>
      </c>
      <c r="Z1638" s="115">
        <f>IFERROR(R1638/S1638*1000,"")</f>
        <v/>
      </c>
      <c r="AA1638" s="116" t="n">
        <v>13</v>
      </c>
      <c r="AB1638" s="47">
        <f>IFERROR(AA1638/W1638,"")</f>
        <v/>
      </c>
      <c r="AC1638" s="116" t="n">
        <v>0</v>
      </c>
      <c r="AD1638" s="116" t="n">
        <v>0</v>
      </c>
      <c r="AE1638" s="116" t="n">
        <v>0</v>
      </c>
      <c r="AF1638" s="116" t="n">
        <v>0</v>
      </c>
      <c r="AG1638" s="116" t="n">
        <v>0</v>
      </c>
      <c r="AH1638" s="116" t="n">
        <v>0</v>
      </c>
      <c r="AI1638" s="47">
        <f>IFERROR(AC1638/S1638,"")</f>
        <v/>
      </c>
      <c r="AJ1638" s="47">
        <f>IFERROR(AH1638/S1638,"")</f>
        <v/>
      </c>
      <c r="AK1638" s="116" t="n">
        <v>58</v>
      </c>
      <c r="AL1638" s="116" t="n">
        <v>0</v>
      </c>
      <c r="AM1638" s="118">
        <f>IFERROR(AL1638/AA1638,"")</f>
        <v/>
      </c>
      <c r="AN1638" s="119">
        <f>IFERROR(R1638/AL1638,"")</f>
        <v/>
      </c>
      <c r="AO1638" s="116" t="n">
        <v>0</v>
      </c>
      <c r="AP1638" s="47">
        <f>IFERROR(AO1638/AL1638,"")</f>
        <v/>
      </c>
      <c r="AQ1638" s="119">
        <f>IFERROR(R1638/AO1638,"")</f>
        <v/>
      </c>
      <c r="AR1638" s="116" t="n">
        <v>0</v>
      </c>
      <c r="AS1638" s="116" t="n">
        <v>0</v>
      </c>
      <c r="AT1638" s="116">
        <f>AL1638+AR1638</f>
        <v/>
      </c>
      <c r="AU1638" s="119">
        <f>IFERROR(AO1638*Assumptions!$C$26*Assumptions!$C$27*INDEX(Assumptions!$C$18:$C$21,MATCH(H1638,Assumptions!$B$18:$B$21,0)),0)</f>
        <v/>
      </c>
    </row>
    <row r="1639">
      <c r="A1639" s="114" t="n">
        <v>46261</v>
      </c>
      <c r="B1639" s="42" t="inlineStr">
        <is>
          <t>Wk 35</t>
        </is>
      </c>
      <c r="C1639" s="42" t="inlineStr">
        <is>
          <t>Thu</t>
        </is>
      </c>
      <c r="D1639" s="42" t="inlineStr">
        <is>
          <t>X</t>
        </is>
      </c>
      <c r="E1639" s="42" t="inlineStr">
        <is>
          <t>X (Twitter)</t>
        </is>
      </c>
      <c r="F1639" s="42" t="inlineStr">
        <is>
          <t>LEP_ZA_AUG26_X_RMKT_TD_CONV</t>
        </is>
      </c>
      <c r="G1639" s="42" t="inlineStr">
        <is>
          <t>Website Conversions</t>
        </is>
      </c>
      <c r="H1639" s="42" t="inlineStr">
        <is>
          <t>Range</t>
        </is>
      </c>
      <c r="I1639" s="42" t="inlineStr">
        <is>
          <t>Range Offer</t>
        </is>
      </c>
      <c r="J1639" s="42" t="inlineStr">
        <is>
          <t>X_RMKT_SITE14D_ZA</t>
        </is>
      </c>
      <c r="K1639" s="42" t="inlineStr">
        <is>
          <t>Retargeting</t>
        </is>
      </c>
      <c r="L1639" s="42" t="inlineStr">
        <is>
          <t>X_STA_BookReminder_v1</t>
        </is>
      </c>
      <c r="M1639" s="42" t="inlineStr">
        <is>
          <t>Image Ad</t>
        </is>
      </c>
      <c r="N1639" s="42" t="inlineStr">
        <is>
          <t>Slots open this weekend</t>
        </is>
      </c>
      <c r="O1639" s="42" t="inlineStr">
        <is>
          <t>Auction - Lowest Cost</t>
        </is>
      </c>
      <c r="P1639" s="42" t="inlineStr">
        <is>
          <t>Site Visit / Conversion</t>
        </is>
      </c>
      <c r="Q1639" s="42" t="inlineStr">
        <is>
          <t>https://www.lepas-sa.co.za/book-a-test-drive</t>
        </is>
      </c>
      <c r="R1639" s="115" t="n">
        <v>253.44</v>
      </c>
      <c r="S1639" s="116" t="n">
        <v>2939</v>
      </c>
      <c r="T1639" s="116" t="n">
        <v>1500</v>
      </c>
      <c r="U1639" s="117">
        <f>IFERROR(S1639/T1639,"")</f>
        <v/>
      </c>
      <c r="V1639" s="116" t="n">
        <v>23</v>
      </c>
      <c r="W1639" s="116" t="n">
        <v>19</v>
      </c>
      <c r="X1639" s="118">
        <f>IFERROR(W1639/S1639,"")</f>
        <v/>
      </c>
      <c r="Y1639" s="115">
        <f>IFERROR(R1639/W1639,"")</f>
        <v/>
      </c>
      <c r="Z1639" s="115">
        <f>IFERROR(R1639/S1639*1000,"")</f>
        <v/>
      </c>
      <c r="AA1639" s="116" t="n">
        <v>15</v>
      </c>
      <c r="AB1639" s="47">
        <f>IFERROR(AA1639/W1639,"")</f>
        <v/>
      </c>
      <c r="AC1639" s="116" t="n">
        <v>0</v>
      </c>
      <c r="AD1639" s="116" t="n">
        <v>0</v>
      </c>
      <c r="AE1639" s="116" t="n">
        <v>0</v>
      </c>
      <c r="AF1639" s="116" t="n">
        <v>0</v>
      </c>
      <c r="AG1639" s="116" t="n">
        <v>0</v>
      </c>
      <c r="AH1639" s="116" t="n">
        <v>0</v>
      </c>
      <c r="AI1639" s="47">
        <f>IFERROR(AC1639/S1639,"")</f>
        <v/>
      </c>
      <c r="AJ1639" s="47">
        <f>IFERROR(AH1639/S1639,"")</f>
        <v/>
      </c>
      <c r="AK1639" s="116" t="n">
        <v>53</v>
      </c>
      <c r="AL1639" s="116" t="n">
        <v>0</v>
      </c>
      <c r="AM1639" s="118">
        <f>IFERROR(AL1639/AA1639,"")</f>
        <v/>
      </c>
      <c r="AN1639" s="119">
        <f>IFERROR(R1639/AL1639,"")</f>
        <v/>
      </c>
      <c r="AO1639" s="116" t="n">
        <v>0</v>
      </c>
      <c r="AP1639" s="47">
        <f>IFERROR(AO1639/AL1639,"")</f>
        <v/>
      </c>
      <c r="AQ1639" s="119">
        <f>IFERROR(R1639/AO1639,"")</f>
        <v/>
      </c>
      <c r="AR1639" s="116" t="n">
        <v>0</v>
      </c>
      <c r="AS1639" s="116" t="n">
        <v>0</v>
      </c>
      <c r="AT1639" s="116">
        <f>AL1639+AR1639</f>
        <v/>
      </c>
      <c r="AU1639" s="119">
        <f>IFERROR(AO1639*Assumptions!$C$26*Assumptions!$C$27*INDEX(Assumptions!$C$18:$C$21,MATCH(H1639,Assumptions!$B$18:$B$21,0)),0)</f>
        <v/>
      </c>
    </row>
    <row r="1640">
      <c r="A1640" s="114" t="n">
        <v>46262</v>
      </c>
      <c r="B1640" s="42" t="inlineStr">
        <is>
          <t>Wk 35</t>
        </is>
      </c>
      <c r="C1640" s="42" t="inlineStr">
        <is>
          <t>Fri</t>
        </is>
      </c>
      <c r="D1640" s="42" t="inlineStr">
        <is>
          <t>X</t>
        </is>
      </c>
      <c r="E1640" s="42" t="inlineStr">
        <is>
          <t>X (Twitter)</t>
        </is>
      </c>
      <c r="F1640" s="42" t="inlineStr">
        <is>
          <t>LEP_ZA_AUG26_X_RMKT_TD_CONV</t>
        </is>
      </c>
      <c r="G1640" s="42" t="inlineStr">
        <is>
          <t>Website Conversions</t>
        </is>
      </c>
      <c r="H1640" s="42" t="inlineStr">
        <is>
          <t>Range</t>
        </is>
      </c>
      <c r="I1640" s="42" t="inlineStr">
        <is>
          <t>Range Offer</t>
        </is>
      </c>
      <c r="J1640" s="42" t="inlineStr">
        <is>
          <t>X_RMKT_SITE14D_ZA</t>
        </is>
      </c>
      <c r="K1640" s="42" t="inlineStr">
        <is>
          <t>Retargeting</t>
        </is>
      </c>
      <c r="L1640" s="42" t="inlineStr">
        <is>
          <t>X_STA_BookReminder_v1</t>
        </is>
      </c>
      <c r="M1640" s="42" t="inlineStr">
        <is>
          <t>Image Ad</t>
        </is>
      </c>
      <c r="N1640" s="42" t="inlineStr">
        <is>
          <t>Slots open this weekend</t>
        </is>
      </c>
      <c r="O1640" s="42" t="inlineStr">
        <is>
          <t>Auction - Lowest Cost</t>
        </is>
      </c>
      <c r="P1640" s="42" t="inlineStr">
        <is>
          <t>Site Visit / Conversion</t>
        </is>
      </c>
      <c r="Q1640" s="42" t="inlineStr">
        <is>
          <t>https://www.lepas-sa.co.za/book-a-test-drive</t>
        </is>
      </c>
      <c r="R1640" s="115" t="n">
        <v>210.53</v>
      </c>
      <c r="S1640" s="116" t="n">
        <v>2288</v>
      </c>
      <c r="T1640" s="116" t="n">
        <v>1370</v>
      </c>
      <c r="U1640" s="117">
        <f>IFERROR(S1640/T1640,"")</f>
        <v/>
      </c>
      <c r="V1640" s="116" t="n">
        <v>22</v>
      </c>
      <c r="W1640" s="116" t="n">
        <v>16</v>
      </c>
      <c r="X1640" s="118">
        <f>IFERROR(W1640/S1640,"")</f>
        <v/>
      </c>
      <c r="Y1640" s="115">
        <f>IFERROR(R1640/W1640,"")</f>
        <v/>
      </c>
      <c r="Z1640" s="115">
        <f>IFERROR(R1640/S1640*1000,"")</f>
        <v/>
      </c>
      <c r="AA1640" s="116" t="n">
        <v>13</v>
      </c>
      <c r="AB1640" s="47">
        <f>IFERROR(AA1640/W1640,"")</f>
        <v/>
      </c>
      <c r="AC1640" s="116" t="n">
        <v>0</v>
      </c>
      <c r="AD1640" s="116" t="n">
        <v>0</v>
      </c>
      <c r="AE1640" s="116" t="n">
        <v>0</v>
      </c>
      <c r="AF1640" s="116" t="n">
        <v>0</v>
      </c>
      <c r="AG1640" s="116" t="n">
        <v>0</v>
      </c>
      <c r="AH1640" s="116" t="n">
        <v>0</v>
      </c>
      <c r="AI1640" s="47">
        <f>IFERROR(AC1640/S1640,"")</f>
        <v/>
      </c>
      <c r="AJ1640" s="47">
        <f>IFERROR(AH1640/S1640,"")</f>
        <v/>
      </c>
      <c r="AK1640" s="116" t="n">
        <v>26</v>
      </c>
      <c r="AL1640" s="116" t="n">
        <v>0</v>
      </c>
      <c r="AM1640" s="118">
        <f>IFERROR(AL1640/AA1640,"")</f>
        <v/>
      </c>
      <c r="AN1640" s="119">
        <f>IFERROR(R1640/AL1640,"")</f>
        <v/>
      </c>
      <c r="AO1640" s="116" t="n">
        <v>0</v>
      </c>
      <c r="AP1640" s="47">
        <f>IFERROR(AO1640/AL1640,"")</f>
        <v/>
      </c>
      <c r="AQ1640" s="119">
        <f>IFERROR(R1640/AO1640,"")</f>
        <v/>
      </c>
      <c r="AR1640" s="116" t="n">
        <v>0</v>
      </c>
      <c r="AS1640" s="116" t="n">
        <v>0</v>
      </c>
      <c r="AT1640" s="116">
        <f>AL1640+AR1640</f>
        <v/>
      </c>
      <c r="AU1640" s="119">
        <f>IFERROR(AO1640*Assumptions!$C$26*Assumptions!$C$27*INDEX(Assumptions!$C$18:$C$21,MATCH(H1640,Assumptions!$B$18:$B$21,0)),0)</f>
        <v/>
      </c>
    </row>
    <row r="1641">
      <c r="A1641" s="114" t="n">
        <v>46263</v>
      </c>
      <c r="B1641" s="42" t="inlineStr">
        <is>
          <t>Wk 35</t>
        </is>
      </c>
      <c r="C1641" s="42" t="inlineStr">
        <is>
          <t>Sat</t>
        </is>
      </c>
      <c r="D1641" s="42" t="inlineStr">
        <is>
          <t>X</t>
        </is>
      </c>
      <c r="E1641" s="42" t="inlineStr">
        <is>
          <t>X (Twitter)</t>
        </is>
      </c>
      <c r="F1641" s="42" t="inlineStr">
        <is>
          <t>LEP_ZA_AUG26_X_RMKT_TD_CONV</t>
        </is>
      </c>
      <c r="G1641" s="42" t="inlineStr">
        <is>
          <t>Website Conversions</t>
        </is>
      </c>
      <c r="H1641" s="42" t="inlineStr">
        <is>
          <t>Range</t>
        </is>
      </c>
      <c r="I1641" s="42" t="inlineStr">
        <is>
          <t>Range Offer</t>
        </is>
      </c>
      <c r="J1641" s="42" t="inlineStr">
        <is>
          <t>X_RMKT_SITE14D_ZA</t>
        </is>
      </c>
      <c r="K1641" s="42" t="inlineStr">
        <is>
          <t>Retargeting</t>
        </is>
      </c>
      <c r="L1641" s="42" t="inlineStr">
        <is>
          <t>X_STA_BookReminder_v1</t>
        </is>
      </c>
      <c r="M1641" s="42" t="inlineStr">
        <is>
          <t>Image Ad</t>
        </is>
      </c>
      <c r="N1641" s="42" t="inlineStr">
        <is>
          <t>Slots open this weekend</t>
        </is>
      </c>
      <c r="O1641" s="42" t="inlineStr">
        <is>
          <t>Auction - Lowest Cost</t>
        </is>
      </c>
      <c r="P1641" s="42" t="inlineStr">
        <is>
          <t>Site Visit / Conversion</t>
        </is>
      </c>
      <c r="Q1641" s="42" t="inlineStr">
        <is>
          <t>https://www.lepas-sa.co.za/book-a-test-drive</t>
        </is>
      </c>
      <c r="R1641" s="115" t="n">
        <v>237.77</v>
      </c>
      <c r="S1641" s="116" t="n">
        <v>2622</v>
      </c>
      <c r="T1641" s="116" t="n">
        <v>1423</v>
      </c>
      <c r="U1641" s="117">
        <f>IFERROR(S1641/T1641,"")</f>
        <v/>
      </c>
      <c r="V1641" s="116" t="n">
        <v>22</v>
      </c>
      <c r="W1641" s="116" t="n">
        <v>18</v>
      </c>
      <c r="X1641" s="118">
        <f>IFERROR(W1641/S1641,"")</f>
        <v/>
      </c>
      <c r="Y1641" s="115">
        <f>IFERROR(R1641/W1641,"")</f>
        <v/>
      </c>
      <c r="Z1641" s="115">
        <f>IFERROR(R1641/S1641*1000,"")</f>
        <v/>
      </c>
      <c r="AA1641" s="116" t="n">
        <v>14</v>
      </c>
      <c r="AB1641" s="47">
        <f>IFERROR(AA1641/W1641,"")</f>
        <v/>
      </c>
      <c r="AC1641" s="116" t="n">
        <v>0</v>
      </c>
      <c r="AD1641" s="116" t="n">
        <v>0</v>
      </c>
      <c r="AE1641" s="116" t="n">
        <v>0</v>
      </c>
      <c r="AF1641" s="116" t="n">
        <v>0</v>
      </c>
      <c r="AG1641" s="116" t="n">
        <v>0</v>
      </c>
      <c r="AH1641" s="116" t="n">
        <v>0</v>
      </c>
      <c r="AI1641" s="47">
        <f>IFERROR(AC1641/S1641,"")</f>
        <v/>
      </c>
      <c r="AJ1641" s="47">
        <f>IFERROR(AH1641/S1641,"")</f>
        <v/>
      </c>
      <c r="AK1641" s="116" t="n">
        <v>47</v>
      </c>
      <c r="AL1641" s="116" t="n">
        <v>0</v>
      </c>
      <c r="AM1641" s="118">
        <f>IFERROR(AL1641/AA1641,"")</f>
        <v/>
      </c>
      <c r="AN1641" s="119">
        <f>IFERROR(R1641/AL1641,"")</f>
        <v/>
      </c>
      <c r="AO1641" s="116" t="n">
        <v>0</v>
      </c>
      <c r="AP1641" s="47">
        <f>IFERROR(AO1641/AL1641,"")</f>
        <v/>
      </c>
      <c r="AQ1641" s="119">
        <f>IFERROR(R1641/AO1641,"")</f>
        <v/>
      </c>
      <c r="AR1641" s="116" t="n">
        <v>0</v>
      </c>
      <c r="AS1641" s="116" t="n">
        <v>0</v>
      </c>
      <c r="AT1641" s="116">
        <f>AL1641+AR1641</f>
        <v/>
      </c>
      <c r="AU1641" s="119">
        <f>IFERROR(AO1641*Assumptions!$C$26*Assumptions!$C$27*INDEX(Assumptions!$C$18:$C$21,MATCH(H1641,Assumptions!$B$18:$B$21,0)),0)</f>
        <v/>
      </c>
    </row>
    <row r="1642">
      <c r="A1642" s="114" t="n">
        <v>46264</v>
      </c>
      <c r="B1642" s="42" t="inlineStr">
        <is>
          <t>Wk 35</t>
        </is>
      </c>
      <c r="C1642" s="42" t="inlineStr">
        <is>
          <t>Sun</t>
        </is>
      </c>
      <c r="D1642" s="42" t="inlineStr">
        <is>
          <t>X</t>
        </is>
      </c>
      <c r="E1642" s="42" t="inlineStr">
        <is>
          <t>X (Twitter)</t>
        </is>
      </c>
      <c r="F1642" s="42" t="inlineStr">
        <is>
          <t>LEP_ZA_AUG26_X_RMKT_TD_CONV</t>
        </is>
      </c>
      <c r="G1642" s="42" t="inlineStr">
        <is>
          <t>Website Conversions</t>
        </is>
      </c>
      <c r="H1642" s="42" t="inlineStr">
        <is>
          <t>Range</t>
        </is>
      </c>
      <c r="I1642" s="42" t="inlineStr">
        <is>
          <t>Range Offer</t>
        </is>
      </c>
      <c r="J1642" s="42" t="inlineStr">
        <is>
          <t>X_RMKT_SITE14D_ZA</t>
        </is>
      </c>
      <c r="K1642" s="42" t="inlineStr">
        <is>
          <t>Retargeting</t>
        </is>
      </c>
      <c r="L1642" s="42" t="inlineStr">
        <is>
          <t>X_STA_BookReminder_v1</t>
        </is>
      </c>
      <c r="M1642" s="42" t="inlineStr">
        <is>
          <t>Image Ad</t>
        </is>
      </c>
      <c r="N1642" s="42" t="inlineStr">
        <is>
          <t>Slots open this weekend</t>
        </is>
      </c>
      <c r="O1642" s="42" t="inlineStr">
        <is>
          <t>Auction - Lowest Cost</t>
        </is>
      </c>
      <c r="P1642" s="42" t="inlineStr">
        <is>
          <t>Site Visit / Conversion</t>
        </is>
      </c>
      <c r="Q1642" s="42" t="inlineStr">
        <is>
          <t>https://www.lepas-sa.co.za/book-a-test-drive</t>
        </is>
      </c>
      <c r="R1642" s="115" t="n">
        <v>169.35</v>
      </c>
      <c r="S1642" s="116" t="n">
        <v>2605</v>
      </c>
      <c r="T1642" s="116" t="n">
        <v>1396</v>
      </c>
      <c r="U1642" s="117">
        <f>IFERROR(S1642/T1642,"")</f>
        <v/>
      </c>
      <c r="V1642" s="116" t="n">
        <v>35</v>
      </c>
      <c r="W1642" s="116" t="n">
        <v>25</v>
      </c>
      <c r="X1642" s="118">
        <f>IFERROR(W1642/S1642,"")</f>
        <v/>
      </c>
      <c r="Y1642" s="115">
        <f>IFERROR(R1642/W1642,"")</f>
        <v/>
      </c>
      <c r="Z1642" s="115">
        <f>IFERROR(R1642/S1642*1000,"")</f>
        <v/>
      </c>
      <c r="AA1642" s="116" t="n">
        <v>20</v>
      </c>
      <c r="AB1642" s="47">
        <f>IFERROR(AA1642/W1642,"")</f>
        <v/>
      </c>
      <c r="AC1642" s="116" t="n">
        <v>0</v>
      </c>
      <c r="AD1642" s="116" t="n">
        <v>0</v>
      </c>
      <c r="AE1642" s="116" t="n">
        <v>0</v>
      </c>
      <c r="AF1642" s="116" t="n">
        <v>0</v>
      </c>
      <c r="AG1642" s="116" t="n">
        <v>0</v>
      </c>
      <c r="AH1642" s="116" t="n">
        <v>0</v>
      </c>
      <c r="AI1642" s="47">
        <f>IFERROR(AC1642/S1642,"")</f>
        <v/>
      </c>
      <c r="AJ1642" s="47">
        <f>IFERROR(AH1642/S1642,"")</f>
        <v/>
      </c>
      <c r="AK1642" s="116" t="n">
        <v>35</v>
      </c>
      <c r="AL1642" s="116" t="n">
        <v>1</v>
      </c>
      <c r="AM1642" s="118">
        <f>IFERROR(AL1642/AA1642,"")</f>
        <v/>
      </c>
      <c r="AN1642" s="119">
        <f>IFERROR(R1642/AL1642,"")</f>
        <v/>
      </c>
      <c r="AO1642" s="116" t="n">
        <v>1</v>
      </c>
      <c r="AP1642" s="47">
        <f>IFERROR(AO1642/AL1642,"")</f>
        <v/>
      </c>
      <c r="AQ1642" s="119">
        <f>IFERROR(R1642/AO1642,"")</f>
        <v/>
      </c>
      <c r="AR1642" s="116" t="n">
        <v>0</v>
      </c>
      <c r="AS1642" s="116" t="n">
        <v>0</v>
      </c>
      <c r="AT1642" s="116">
        <f>AL1642+AR1642</f>
        <v/>
      </c>
      <c r="AU1642" s="119">
        <f>IFERROR(AO1642*Assumptions!$C$26*Assumptions!$C$27*INDEX(Assumptions!$C$18:$C$21,MATCH(H1642,Assumptions!$B$18:$B$21,0)),0)</f>
        <v/>
      </c>
    </row>
    <row r="1643">
      <c r="A1643" s="114" t="n">
        <v>46265</v>
      </c>
      <c r="B1643" s="42" t="inlineStr">
        <is>
          <t>Wk 36</t>
        </is>
      </c>
      <c r="C1643" s="42" t="inlineStr">
        <is>
          <t>Mon</t>
        </is>
      </c>
      <c r="D1643" s="42" t="inlineStr">
        <is>
          <t>X</t>
        </is>
      </c>
      <c r="E1643" s="42" t="inlineStr">
        <is>
          <t>X (Twitter)</t>
        </is>
      </c>
      <c r="F1643" s="42" t="inlineStr">
        <is>
          <t>LEP_ZA_AUG26_X_RMKT_TD_CONV</t>
        </is>
      </c>
      <c r="G1643" s="42" t="inlineStr">
        <is>
          <t>Website Conversions</t>
        </is>
      </c>
      <c r="H1643" s="42" t="inlineStr">
        <is>
          <t>Range</t>
        </is>
      </c>
      <c r="I1643" s="42" t="inlineStr">
        <is>
          <t>Range Offer</t>
        </is>
      </c>
      <c r="J1643" s="42" t="inlineStr">
        <is>
          <t>X_RMKT_SITE14D_ZA</t>
        </is>
      </c>
      <c r="K1643" s="42" t="inlineStr">
        <is>
          <t>Retargeting</t>
        </is>
      </c>
      <c r="L1643" s="42" t="inlineStr">
        <is>
          <t>X_STA_BookReminder_v1</t>
        </is>
      </c>
      <c r="M1643" s="42" t="inlineStr">
        <is>
          <t>Image Ad</t>
        </is>
      </c>
      <c r="N1643" s="42" t="inlineStr">
        <is>
          <t>Slots open this weekend</t>
        </is>
      </c>
      <c r="O1643" s="42" t="inlineStr">
        <is>
          <t>Auction - Lowest Cost</t>
        </is>
      </c>
      <c r="P1643" s="42" t="inlineStr">
        <is>
          <t>Site Visit / Conversion</t>
        </is>
      </c>
      <c r="Q1643" s="42" t="inlineStr">
        <is>
          <t>https://www.lepas-sa.co.za/book-a-test-drive</t>
        </is>
      </c>
      <c r="R1643" s="115" t="n">
        <v>167.87</v>
      </c>
      <c r="S1643" s="116" t="n">
        <v>2636</v>
      </c>
      <c r="T1643" s="116" t="n">
        <v>1321</v>
      </c>
      <c r="U1643" s="117">
        <f>IFERROR(S1643/T1643,"")</f>
        <v/>
      </c>
      <c r="V1643" s="116" t="n">
        <v>26</v>
      </c>
      <c r="W1643" s="116" t="n">
        <v>21</v>
      </c>
      <c r="X1643" s="118">
        <f>IFERROR(W1643/S1643,"")</f>
        <v/>
      </c>
      <c r="Y1643" s="115">
        <f>IFERROR(R1643/W1643,"")</f>
        <v/>
      </c>
      <c r="Z1643" s="115">
        <f>IFERROR(R1643/S1643*1000,"")</f>
        <v/>
      </c>
      <c r="AA1643" s="116" t="n">
        <v>16</v>
      </c>
      <c r="AB1643" s="47">
        <f>IFERROR(AA1643/W1643,"")</f>
        <v/>
      </c>
      <c r="AC1643" s="116" t="n">
        <v>0</v>
      </c>
      <c r="AD1643" s="116" t="n">
        <v>0</v>
      </c>
      <c r="AE1643" s="116" t="n">
        <v>0</v>
      </c>
      <c r="AF1643" s="116" t="n">
        <v>0</v>
      </c>
      <c r="AG1643" s="116" t="n">
        <v>0</v>
      </c>
      <c r="AH1643" s="116" t="n">
        <v>0</v>
      </c>
      <c r="AI1643" s="47">
        <f>IFERROR(AC1643/S1643,"")</f>
        <v/>
      </c>
      <c r="AJ1643" s="47">
        <f>IFERROR(AH1643/S1643,"")</f>
        <v/>
      </c>
      <c r="AK1643" s="116" t="n">
        <v>27</v>
      </c>
      <c r="AL1643" s="116" t="n">
        <v>0</v>
      </c>
      <c r="AM1643" s="118">
        <f>IFERROR(AL1643/AA1643,"")</f>
        <v/>
      </c>
      <c r="AN1643" s="119">
        <f>IFERROR(R1643/AL1643,"")</f>
        <v/>
      </c>
      <c r="AO1643" s="116" t="n">
        <v>0</v>
      </c>
      <c r="AP1643" s="47">
        <f>IFERROR(AO1643/AL1643,"")</f>
        <v/>
      </c>
      <c r="AQ1643" s="119">
        <f>IFERROR(R1643/AO1643,"")</f>
        <v/>
      </c>
      <c r="AR1643" s="116" t="n">
        <v>0</v>
      </c>
      <c r="AS1643" s="116" t="n">
        <v>0</v>
      </c>
      <c r="AT1643" s="116">
        <f>AL1643+AR1643</f>
        <v/>
      </c>
      <c r="AU1643" s="119">
        <f>IFERROR(AO1643*Assumptions!$C$26*Assumptions!$C$27*INDEX(Assumptions!$C$18:$C$21,MATCH(H1643,Assumptions!$B$18:$B$21,0)),0)</f>
        <v/>
      </c>
    </row>
    <row r="1644">
      <c r="A1644" s="114" t="n">
        <v>46235</v>
      </c>
      <c r="B1644" s="42" t="inlineStr">
        <is>
          <t>Wk 31</t>
        </is>
      </c>
      <c r="C1644" s="42" t="inlineStr">
        <is>
          <t>Sat</t>
        </is>
      </c>
      <c r="D1644" s="42" t="inlineStr">
        <is>
          <t>X</t>
        </is>
      </c>
      <c r="E1644" s="42" t="inlineStr">
        <is>
          <t>X (Twitter)</t>
        </is>
      </c>
      <c r="F1644" s="42" t="inlineStr">
        <is>
          <t>LEP_ZA_AUG26_X_RMKT_TD_CONV</t>
        </is>
      </c>
      <c r="G1644" s="42" t="inlineStr">
        <is>
          <t>Website Conversions</t>
        </is>
      </c>
      <c r="H1644" s="42" t="inlineStr">
        <is>
          <t>Range</t>
        </is>
      </c>
      <c r="I1644" s="42" t="inlineStr">
        <is>
          <t>Range Offer</t>
        </is>
      </c>
      <c r="J1644" s="42" t="inlineStr">
        <is>
          <t>X_RMKT_SITE14D_ZA</t>
        </is>
      </c>
      <c r="K1644" s="42" t="inlineStr">
        <is>
          <t>Retargeting</t>
        </is>
      </c>
      <c r="L1644" s="42" t="inlineStr">
        <is>
          <t>X_STA_RangeOffer_v1</t>
        </is>
      </c>
      <c r="M1644" s="42" t="inlineStr">
        <is>
          <t>Image Ad</t>
        </is>
      </c>
      <c r="N1644" s="42" t="inlineStr">
        <is>
          <t>Three models. One test drive.</t>
        </is>
      </c>
      <c r="O1644" s="42" t="inlineStr">
        <is>
          <t>Auction - Lowest Cost</t>
        </is>
      </c>
      <c r="P1644" s="42" t="inlineStr">
        <is>
          <t>Site Visit / Conversion</t>
        </is>
      </c>
      <c r="Q1644" s="42" t="inlineStr">
        <is>
          <t>https://www.lepas-sa.co.za/book-a-test-drive</t>
        </is>
      </c>
      <c r="R1644" s="115" t="n">
        <v>132.77</v>
      </c>
      <c r="S1644" s="116" t="n">
        <v>2441</v>
      </c>
      <c r="T1644" s="116" t="n">
        <v>1923</v>
      </c>
      <c r="U1644" s="117">
        <f>IFERROR(S1644/T1644,"")</f>
        <v/>
      </c>
      <c r="V1644" s="116" t="n">
        <v>42</v>
      </c>
      <c r="W1644" s="116" t="n">
        <v>34</v>
      </c>
      <c r="X1644" s="118">
        <f>IFERROR(W1644/S1644,"")</f>
        <v/>
      </c>
      <c r="Y1644" s="115">
        <f>IFERROR(R1644/W1644,"")</f>
        <v/>
      </c>
      <c r="Z1644" s="115">
        <f>IFERROR(R1644/S1644*1000,"")</f>
        <v/>
      </c>
      <c r="AA1644" s="116" t="n">
        <v>25</v>
      </c>
      <c r="AB1644" s="47">
        <f>IFERROR(AA1644/W1644,"")</f>
        <v/>
      </c>
      <c r="AC1644" s="116" t="n">
        <v>0</v>
      </c>
      <c r="AD1644" s="116" t="n">
        <v>0</v>
      </c>
      <c r="AE1644" s="116" t="n">
        <v>0</v>
      </c>
      <c r="AF1644" s="116" t="n">
        <v>0</v>
      </c>
      <c r="AG1644" s="116" t="n">
        <v>0</v>
      </c>
      <c r="AH1644" s="116" t="n">
        <v>0</v>
      </c>
      <c r="AI1644" s="47">
        <f>IFERROR(AC1644/S1644,"")</f>
        <v/>
      </c>
      <c r="AJ1644" s="47">
        <f>IFERROR(AH1644/S1644,"")</f>
        <v/>
      </c>
      <c r="AK1644" s="116" t="n">
        <v>43</v>
      </c>
      <c r="AL1644" s="116" t="n">
        <v>1</v>
      </c>
      <c r="AM1644" s="118">
        <f>IFERROR(AL1644/AA1644,"")</f>
        <v/>
      </c>
      <c r="AN1644" s="119">
        <f>IFERROR(R1644/AL1644,"")</f>
        <v/>
      </c>
      <c r="AO1644" s="116" t="n">
        <v>0</v>
      </c>
      <c r="AP1644" s="47">
        <f>IFERROR(AO1644/AL1644,"")</f>
        <v/>
      </c>
      <c r="AQ1644" s="119">
        <f>IFERROR(R1644/AO1644,"")</f>
        <v/>
      </c>
      <c r="AR1644" s="116" t="n">
        <v>1</v>
      </c>
      <c r="AS1644" s="116" t="n">
        <v>0</v>
      </c>
      <c r="AT1644" s="116">
        <f>AL1644+AR1644</f>
        <v/>
      </c>
      <c r="AU1644" s="119">
        <f>IFERROR(AO1644*Assumptions!$C$26*Assumptions!$C$27*INDEX(Assumptions!$C$18:$C$21,MATCH(H1644,Assumptions!$B$18:$B$21,0)),0)</f>
        <v/>
      </c>
    </row>
    <row r="1645">
      <c r="A1645" s="114" t="n">
        <v>46236</v>
      </c>
      <c r="B1645" s="42" t="inlineStr">
        <is>
          <t>Wk 31</t>
        </is>
      </c>
      <c r="C1645" s="42" t="inlineStr">
        <is>
          <t>Sun</t>
        </is>
      </c>
      <c r="D1645" s="42" t="inlineStr">
        <is>
          <t>X</t>
        </is>
      </c>
      <c r="E1645" s="42" t="inlineStr">
        <is>
          <t>X (Twitter)</t>
        </is>
      </c>
      <c r="F1645" s="42" t="inlineStr">
        <is>
          <t>LEP_ZA_AUG26_X_RMKT_TD_CONV</t>
        </is>
      </c>
      <c r="G1645" s="42" t="inlineStr">
        <is>
          <t>Website Conversions</t>
        </is>
      </c>
      <c r="H1645" s="42" t="inlineStr">
        <is>
          <t>Range</t>
        </is>
      </c>
      <c r="I1645" s="42" t="inlineStr">
        <is>
          <t>Range Offer</t>
        </is>
      </c>
      <c r="J1645" s="42" t="inlineStr">
        <is>
          <t>X_RMKT_SITE14D_ZA</t>
        </is>
      </c>
      <c r="K1645" s="42" t="inlineStr">
        <is>
          <t>Retargeting</t>
        </is>
      </c>
      <c r="L1645" s="42" t="inlineStr">
        <is>
          <t>X_STA_RangeOffer_v1</t>
        </is>
      </c>
      <c r="M1645" s="42" t="inlineStr">
        <is>
          <t>Image Ad</t>
        </is>
      </c>
      <c r="N1645" s="42" t="inlineStr">
        <is>
          <t>Three models. One test drive.</t>
        </is>
      </c>
      <c r="O1645" s="42" t="inlineStr">
        <is>
          <t>Auction - Lowest Cost</t>
        </is>
      </c>
      <c r="P1645" s="42" t="inlineStr">
        <is>
          <t>Site Visit / Conversion</t>
        </is>
      </c>
      <c r="Q1645" s="42" t="inlineStr">
        <is>
          <t>https://www.lepas-sa.co.za/book-a-test-drive</t>
        </is>
      </c>
      <c r="R1645" s="115" t="n">
        <v>104.14</v>
      </c>
      <c r="S1645" s="116" t="n">
        <v>1277</v>
      </c>
      <c r="T1645" s="116" t="n">
        <v>894</v>
      </c>
      <c r="U1645" s="117">
        <f>IFERROR(S1645/T1645,"")</f>
        <v/>
      </c>
      <c r="V1645" s="116" t="n">
        <v>30</v>
      </c>
      <c r="W1645" s="116" t="n">
        <v>24</v>
      </c>
      <c r="X1645" s="118">
        <f>IFERROR(W1645/S1645,"")</f>
        <v/>
      </c>
      <c r="Y1645" s="115">
        <f>IFERROR(R1645/W1645,"")</f>
        <v/>
      </c>
      <c r="Z1645" s="115">
        <f>IFERROR(R1645/S1645*1000,"")</f>
        <v/>
      </c>
      <c r="AA1645" s="116" t="n">
        <v>18</v>
      </c>
      <c r="AB1645" s="47">
        <f>IFERROR(AA1645/W1645,"")</f>
        <v/>
      </c>
      <c r="AC1645" s="116" t="n">
        <v>0</v>
      </c>
      <c r="AD1645" s="116" t="n">
        <v>0</v>
      </c>
      <c r="AE1645" s="116" t="n">
        <v>0</v>
      </c>
      <c r="AF1645" s="116" t="n">
        <v>0</v>
      </c>
      <c r="AG1645" s="116" t="n">
        <v>0</v>
      </c>
      <c r="AH1645" s="116" t="n">
        <v>0</v>
      </c>
      <c r="AI1645" s="47">
        <f>IFERROR(AC1645/S1645,"")</f>
        <v/>
      </c>
      <c r="AJ1645" s="47">
        <f>IFERROR(AH1645/S1645,"")</f>
        <v/>
      </c>
      <c r="AK1645" s="116" t="n">
        <v>26</v>
      </c>
      <c r="AL1645" s="116" t="n">
        <v>1</v>
      </c>
      <c r="AM1645" s="118">
        <f>IFERROR(AL1645/AA1645,"")</f>
        <v/>
      </c>
      <c r="AN1645" s="119">
        <f>IFERROR(R1645/AL1645,"")</f>
        <v/>
      </c>
      <c r="AO1645" s="116" t="n">
        <v>1</v>
      </c>
      <c r="AP1645" s="47">
        <f>IFERROR(AO1645/AL1645,"")</f>
        <v/>
      </c>
      <c r="AQ1645" s="119">
        <f>IFERROR(R1645/AO1645,"")</f>
        <v/>
      </c>
      <c r="AR1645" s="116" t="n">
        <v>0</v>
      </c>
      <c r="AS1645" s="116" t="n">
        <v>0</v>
      </c>
      <c r="AT1645" s="116">
        <f>AL1645+AR1645</f>
        <v/>
      </c>
      <c r="AU1645" s="119">
        <f>IFERROR(AO1645*Assumptions!$C$26*Assumptions!$C$27*INDEX(Assumptions!$C$18:$C$21,MATCH(H1645,Assumptions!$B$18:$B$21,0)),0)</f>
        <v/>
      </c>
    </row>
    <row r="1646">
      <c r="A1646" s="114" t="n">
        <v>46237</v>
      </c>
      <c r="B1646" s="42" t="inlineStr">
        <is>
          <t>Wk 32</t>
        </is>
      </c>
      <c r="C1646" s="42" t="inlineStr">
        <is>
          <t>Mon</t>
        </is>
      </c>
      <c r="D1646" s="42" t="inlineStr">
        <is>
          <t>X</t>
        </is>
      </c>
      <c r="E1646" s="42" t="inlineStr">
        <is>
          <t>X (Twitter)</t>
        </is>
      </c>
      <c r="F1646" s="42" t="inlineStr">
        <is>
          <t>LEP_ZA_AUG26_X_RMKT_TD_CONV</t>
        </is>
      </c>
      <c r="G1646" s="42" t="inlineStr">
        <is>
          <t>Website Conversions</t>
        </is>
      </c>
      <c r="H1646" s="42" t="inlineStr">
        <is>
          <t>Range</t>
        </is>
      </c>
      <c r="I1646" s="42" t="inlineStr">
        <is>
          <t>Range Offer</t>
        </is>
      </c>
      <c r="J1646" s="42" t="inlineStr">
        <is>
          <t>X_RMKT_SITE14D_ZA</t>
        </is>
      </c>
      <c r="K1646" s="42" t="inlineStr">
        <is>
          <t>Retargeting</t>
        </is>
      </c>
      <c r="L1646" s="42" t="inlineStr">
        <is>
          <t>X_STA_RangeOffer_v1</t>
        </is>
      </c>
      <c r="M1646" s="42" t="inlineStr">
        <is>
          <t>Image Ad</t>
        </is>
      </c>
      <c r="N1646" s="42" t="inlineStr">
        <is>
          <t>Three models. One test drive.</t>
        </is>
      </c>
      <c r="O1646" s="42" t="inlineStr">
        <is>
          <t>Auction - Lowest Cost</t>
        </is>
      </c>
      <c r="P1646" s="42" t="inlineStr">
        <is>
          <t>Site Visit / Conversion</t>
        </is>
      </c>
      <c r="Q1646" s="42" t="inlineStr">
        <is>
          <t>https://www.lepas-sa.co.za/book-a-test-drive</t>
        </is>
      </c>
      <c r="R1646" s="115" t="n">
        <v>117.64</v>
      </c>
      <c r="S1646" s="116" t="n">
        <v>1560</v>
      </c>
      <c r="T1646" s="116" t="n">
        <v>1179</v>
      </c>
      <c r="U1646" s="117">
        <f>IFERROR(S1646/T1646,"")</f>
        <v/>
      </c>
      <c r="V1646" s="116" t="n">
        <v>17</v>
      </c>
      <c r="W1646" s="116" t="n">
        <v>13</v>
      </c>
      <c r="X1646" s="118">
        <f>IFERROR(W1646/S1646,"")</f>
        <v/>
      </c>
      <c r="Y1646" s="115">
        <f>IFERROR(R1646/W1646,"")</f>
        <v/>
      </c>
      <c r="Z1646" s="115">
        <f>IFERROR(R1646/S1646*1000,"")</f>
        <v/>
      </c>
      <c r="AA1646" s="116" t="n">
        <v>11</v>
      </c>
      <c r="AB1646" s="47">
        <f>IFERROR(AA1646/W1646,"")</f>
        <v/>
      </c>
      <c r="AC1646" s="116" t="n">
        <v>0</v>
      </c>
      <c r="AD1646" s="116" t="n">
        <v>0</v>
      </c>
      <c r="AE1646" s="116" t="n">
        <v>0</v>
      </c>
      <c r="AF1646" s="116" t="n">
        <v>0</v>
      </c>
      <c r="AG1646" s="116" t="n">
        <v>0</v>
      </c>
      <c r="AH1646" s="116" t="n">
        <v>0</v>
      </c>
      <c r="AI1646" s="47">
        <f>IFERROR(AC1646/S1646,"")</f>
        <v/>
      </c>
      <c r="AJ1646" s="47">
        <f>IFERROR(AH1646/S1646,"")</f>
        <v/>
      </c>
      <c r="AK1646" s="116" t="n">
        <v>15</v>
      </c>
      <c r="AL1646" s="116" t="n">
        <v>0</v>
      </c>
      <c r="AM1646" s="118">
        <f>IFERROR(AL1646/AA1646,"")</f>
        <v/>
      </c>
      <c r="AN1646" s="119">
        <f>IFERROR(R1646/AL1646,"")</f>
        <v/>
      </c>
      <c r="AO1646" s="116" t="n">
        <v>0</v>
      </c>
      <c r="AP1646" s="47">
        <f>IFERROR(AO1646/AL1646,"")</f>
        <v/>
      </c>
      <c r="AQ1646" s="119">
        <f>IFERROR(R1646/AO1646,"")</f>
        <v/>
      </c>
      <c r="AR1646" s="116" t="n">
        <v>0</v>
      </c>
      <c r="AS1646" s="116" t="n">
        <v>0</v>
      </c>
      <c r="AT1646" s="116">
        <f>AL1646+AR1646</f>
        <v/>
      </c>
      <c r="AU1646" s="119">
        <f>IFERROR(AO1646*Assumptions!$C$26*Assumptions!$C$27*INDEX(Assumptions!$C$18:$C$21,MATCH(H1646,Assumptions!$B$18:$B$21,0)),0)</f>
        <v/>
      </c>
    </row>
    <row r="1647">
      <c r="A1647" s="114" t="n">
        <v>46238</v>
      </c>
      <c r="B1647" s="42" t="inlineStr">
        <is>
          <t>Wk 32</t>
        </is>
      </c>
      <c r="C1647" s="42" t="inlineStr">
        <is>
          <t>Tue</t>
        </is>
      </c>
      <c r="D1647" s="42" t="inlineStr">
        <is>
          <t>X</t>
        </is>
      </c>
      <c r="E1647" s="42" t="inlineStr">
        <is>
          <t>X (Twitter)</t>
        </is>
      </c>
      <c r="F1647" s="42" t="inlineStr">
        <is>
          <t>LEP_ZA_AUG26_X_RMKT_TD_CONV</t>
        </is>
      </c>
      <c r="G1647" s="42" t="inlineStr">
        <is>
          <t>Website Conversions</t>
        </is>
      </c>
      <c r="H1647" s="42" t="inlineStr">
        <is>
          <t>Range</t>
        </is>
      </c>
      <c r="I1647" s="42" t="inlineStr">
        <is>
          <t>Range Offer</t>
        </is>
      </c>
      <c r="J1647" s="42" t="inlineStr">
        <is>
          <t>X_RMKT_SITE14D_ZA</t>
        </is>
      </c>
      <c r="K1647" s="42" t="inlineStr">
        <is>
          <t>Retargeting</t>
        </is>
      </c>
      <c r="L1647" s="42" t="inlineStr">
        <is>
          <t>X_STA_RangeOffer_v1</t>
        </is>
      </c>
      <c r="M1647" s="42" t="inlineStr">
        <is>
          <t>Image Ad</t>
        </is>
      </c>
      <c r="N1647" s="42" t="inlineStr">
        <is>
          <t>Three models. One test drive.</t>
        </is>
      </c>
      <c r="O1647" s="42" t="inlineStr">
        <is>
          <t>Auction - Lowest Cost</t>
        </is>
      </c>
      <c r="P1647" s="42" t="inlineStr">
        <is>
          <t>Site Visit / Conversion</t>
        </is>
      </c>
      <c r="Q1647" s="42" t="inlineStr">
        <is>
          <t>https://www.lepas-sa.co.za/book-a-test-drive</t>
        </is>
      </c>
      <c r="R1647" s="115" t="n">
        <v>143.86</v>
      </c>
      <c r="S1647" s="116" t="n">
        <v>2012</v>
      </c>
      <c r="T1647" s="116" t="n">
        <v>1404</v>
      </c>
      <c r="U1647" s="117">
        <f>IFERROR(S1647/T1647,"")</f>
        <v/>
      </c>
      <c r="V1647" s="116" t="n">
        <v>50</v>
      </c>
      <c r="W1647" s="116" t="n">
        <v>37</v>
      </c>
      <c r="X1647" s="118">
        <f>IFERROR(W1647/S1647,"")</f>
        <v/>
      </c>
      <c r="Y1647" s="115">
        <f>IFERROR(R1647/W1647,"")</f>
        <v/>
      </c>
      <c r="Z1647" s="115">
        <f>IFERROR(R1647/S1647*1000,"")</f>
        <v/>
      </c>
      <c r="AA1647" s="116" t="n">
        <v>30</v>
      </c>
      <c r="AB1647" s="47">
        <f>IFERROR(AA1647/W1647,"")</f>
        <v/>
      </c>
      <c r="AC1647" s="116" t="n">
        <v>0</v>
      </c>
      <c r="AD1647" s="116" t="n">
        <v>0</v>
      </c>
      <c r="AE1647" s="116" t="n">
        <v>0</v>
      </c>
      <c r="AF1647" s="116" t="n">
        <v>0</v>
      </c>
      <c r="AG1647" s="116" t="n">
        <v>0</v>
      </c>
      <c r="AH1647" s="116" t="n">
        <v>0</v>
      </c>
      <c r="AI1647" s="47">
        <f>IFERROR(AC1647/S1647,"")</f>
        <v/>
      </c>
      <c r="AJ1647" s="47">
        <f>IFERROR(AH1647/S1647,"")</f>
        <v/>
      </c>
      <c r="AK1647" s="116" t="n">
        <v>16</v>
      </c>
      <c r="AL1647" s="116" t="n">
        <v>1</v>
      </c>
      <c r="AM1647" s="118">
        <f>IFERROR(AL1647/AA1647,"")</f>
        <v/>
      </c>
      <c r="AN1647" s="119">
        <f>IFERROR(R1647/AL1647,"")</f>
        <v/>
      </c>
      <c r="AO1647" s="116" t="n">
        <v>0</v>
      </c>
      <c r="AP1647" s="47">
        <f>IFERROR(AO1647/AL1647,"")</f>
        <v/>
      </c>
      <c r="AQ1647" s="119">
        <f>IFERROR(R1647/AO1647,"")</f>
        <v/>
      </c>
      <c r="AR1647" s="116" t="n">
        <v>0</v>
      </c>
      <c r="AS1647" s="116" t="n">
        <v>0</v>
      </c>
      <c r="AT1647" s="116">
        <f>AL1647+AR1647</f>
        <v/>
      </c>
      <c r="AU1647" s="119">
        <f>IFERROR(AO1647*Assumptions!$C$26*Assumptions!$C$27*INDEX(Assumptions!$C$18:$C$21,MATCH(H1647,Assumptions!$B$18:$B$21,0)),0)</f>
        <v/>
      </c>
    </row>
    <row r="1648">
      <c r="A1648" s="114" t="n">
        <v>46239</v>
      </c>
      <c r="B1648" s="42" t="inlineStr">
        <is>
          <t>Wk 32</t>
        </is>
      </c>
      <c r="C1648" s="42" t="inlineStr">
        <is>
          <t>Wed</t>
        </is>
      </c>
      <c r="D1648" s="42" t="inlineStr">
        <is>
          <t>X</t>
        </is>
      </c>
      <c r="E1648" s="42" t="inlineStr">
        <is>
          <t>X (Twitter)</t>
        </is>
      </c>
      <c r="F1648" s="42" t="inlineStr">
        <is>
          <t>LEP_ZA_AUG26_X_RMKT_TD_CONV</t>
        </is>
      </c>
      <c r="G1648" s="42" t="inlineStr">
        <is>
          <t>Website Conversions</t>
        </is>
      </c>
      <c r="H1648" s="42" t="inlineStr">
        <is>
          <t>Range</t>
        </is>
      </c>
      <c r="I1648" s="42" t="inlineStr">
        <is>
          <t>Range Offer</t>
        </is>
      </c>
      <c r="J1648" s="42" t="inlineStr">
        <is>
          <t>X_RMKT_SITE14D_ZA</t>
        </is>
      </c>
      <c r="K1648" s="42" t="inlineStr">
        <is>
          <t>Retargeting</t>
        </is>
      </c>
      <c r="L1648" s="42" t="inlineStr">
        <is>
          <t>X_STA_RangeOffer_v1</t>
        </is>
      </c>
      <c r="M1648" s="42" t="inlineStr">
        <is>
          <t>Image Ad</t>
        </is>
      </c>
      <c r="N1648" s="42" t="inlineStr">
        <is>
          <t>Three models. One test drive.</t>
        </is>
      </c>
      <c r="O1648" s="42" t="inlineStr">
        <is>
          <t>Auction - Lowest Cost</t>
        </is>
      </c>
      <c r="P1648" s="42" t="inlineStr">
        <is>
          <t>Site Visit / Conversion</t>
        </is>
      </c>
      <c r="Q1648" s="42" t="inlineStr">
        <is>
          <t>https://www.lepas-sa.co.za/book-a-test-drive</t>
        </is>
      </c>
      <c r="R1648" s="115" t="n">
        <v>123.34</v>
      </c>
      <c r="S1648" s="116" t="n">
        <v>1799</v>
      </c>
      <c r="T1648" s="116" t="n">
        <v>1326</v>
      </c>
      <c r="U1648" s="117">
        <f>IFERROR(S1648/T1648,"")</f>
        <v/>
      </c>
      <c r="V1648" s="116" t="n">
        <v>27</v>
      </c>
      <c r="W1648" s="116" t="n">
        <v>21</v>
      </c>
      <c r="X1648" s="118">
        <f>IFERROR(W1648/S1648,"")</f>
        <v/>
      </c>
      <c r="Y1648" s="115">
        <f>IFERROR(R1648/W1648,"")</f>
        <v/>
      </c>
      <c r="Z1648" s="115">
        <f>IFERROR(R1648/S1648*1000,"")</f>
        <v/>
      </c>
      <c r="AA1648" s="116" t="n">
        <v>17</v>
      </c>
      <c r="AB1648" s="47">
        <f>IFERROR(AA1648/W1648,"")</f>
        <v/>
      </c>
      <c r="AC1648" s="116" t="n">
        <v>0</v>
      </c>
      <c r="AD1648" s="116" t="n">
        <v>0</v>
      </c>
      <c r="AE1648" s="116" t="n">
        <v>0</v>
      </c>
      <c r="AF1648" s="116" t="n">
        <v>0</v>
      </c>
      <c r="AG1648" s="116" t="n">
        <v>0</v>
      </c>
      <c r="AH1648" s="116" t="n">
        <v>0</v>
      </c>
      <c r="AI1648" s="47">
        <f>IFERROR(AC1648/S1648,"")</f>
        <v/>
      </c>
      <c r="AJ1648" s="47">
        <f>IFERROR(AH1648/S1648,"")</f>
        <v/>
      </c>
      <c r="AK1648" s="116" t="n">
        <v>47</v>
      </c>
      <c r="AL1648" s="116" t="n">
        <v>0</v>
      </c>
      <c r="AM1648" s="118">
        <f>IFERROR(AL1648/AA1648,"")</f>
        <v/>
      </c>
      <c r="AN1648" s="119">
        <f>IFERROR(R1648/AL1648,"")</f>
        <v/>
      </c>
      <c r="AO1648" s="116" t="n">
        <v>0</v>
      </c>
      <c r="AP1648" s="47">
        <f>IFERROR(AO1648/AL1648,"")</f>
        <v/>
      </c>
      <c r="AQ1648" s="119">
        <f>IFERROR(R1648/AO1648,"")</f>
        <v/>
      </c>
      <c r="AR1648" s="116" t="n">
        <v>0</v>
      </c>
      <c r="AS1648" s="116" t="n">
        <v>0</v>
      </c>
      <c r="AT1648" s="116">
        <f>AL1648+AR1648</f>
        <v/>
      </c>
      <c r="AU1648" s="119">
        <f>IFERROR(AO1648*Assumptions!$C$26*Assumptions!$C$27*INDEX(Assumptions!$C$18:$C$21,MATCH(H1648,Assumptions!$B$18:$B$21,0)),0)</f>
        <v/>
      </c>
    </row>
    <row r="1649">
      <c r="A1649" s="114" t="n">
        <v>46240</v>
      </c>
      <c r="B1649" s="42" t="inlineStr">
        <is>
          <t>Wk 32</t>
        </is>
      </c>
      <c r="C1649" s="42" t="inlineStr">
        <is>
          <t>Thu</t>
        </is>
      </c>
      <c r="D1649" s="42" t="inlineStr">
        <is>
          <t>X</t>
        </is>
      </c>
      <c r="E1649" s="42" t="inlineStr">
        <is>
          <t>X (Twitter)</t>
        </is>
      </c>
      <c r="F1649" s="42" t="inlineStr">
        <is>
          <t>LEP_ZA_AUG26_X_RMKT_TD_CONV</t>
        </is>
      </c>
      <c r="G1649" s="42" t="inlineStr">
        <is>
          <t>Website Conversions</t>
        </is>
      </c>
      <c r="H1649" s="42" t="inlineStr">
        <is>
          <t>Range</t>
        </is>
      </c>
      <c r="I1649" s="42" t="inlineStr">
        <is>
          <t>Range Offer</t>
        </is>
      </c>
      <c r="J1649" s="42" t="inlineStr">
        <is>
          <t>X_RMKT_SITE14D_ZA</t>
        </is>
      </c>
      <c r="K1649" s="42" t="inlineStr">
        <is>
          <t>Retargeting</t>
        </is>
      </c>
      <c r="L1649" s="42" t="inlineStr">
        <is>
          <t>X_STA_RangeOffer_v1</t>
        </is>
      </c>
      <c r="M1649" s="42" t="inlineStr">
        <is>
          <t>Image Ad</t>
        </is>
      </c>
      <c r="N1649" s="42" t="inlineStr">
        <is>
          <t>Three models. One test drive.</t>
        </is>
      </c>
      <c r="O1649" s="42" t="inlineStr">
        <is>
          <t>Auction - Lowest Cost</t>
        </is>
      </c>
      <c r="P1649" s="42" t="inlineStr">
        <is>
          <t>Site Visit / Conversion</t>
        </is>
      </c>
      <c r="Q1649" s="42" t="inlineStr">
        <is>
          <t>https://www.lepas-sa.co.za/book-a-test-drive</t>
        </is>
      </c>
      <c r="R1649" s="115" t="n">
        <v>151.38</v>
      </c>
      <c r="S1649" s="116" t="n">
        <v>2637</v>
      </c>
      <c r="T1649" s="116" t="n">
        <v>2042</v>
      </c>
      <c r="U1649" s="117">
        <f>IFERROR(S1649/T1649,"")</f>
        <v/>
      </c>
      <c r="V1649" s="116" t="n">
        <v>34</v>
      </c>
      <c r="W1649" s="116" t="n">
        <v>25</v>
      </c>
      <c r="X1649" s="118">
        <f>IFERROR(W1649/S1649,"")</f>
        <v/>
      </c>
      <c r="Y1649" s="115">
        <f>IFERROR(R1649/W1649,"")</f>
        <v/>
      </c>
      <c r="Z1649" s="115">
        <f>IFERROR(R1649/S1649*1000,"")</f>
        <v/>
      </c>
      <c r="AA1649" s="116" t="n">
        <v>20</v>
      </c>
      <c r="AB1649" s="47">
        <f>IFERROR(AA1649/W1649,"")</f>
        <v/>
      </c>
      <c r="AC1649" s="116" t="n">
        <v>0</v>
      </c>
      <c r="AD1649" s="116" t="n">
        <v>0</v>
      </c>
      <c r="AE1649" s="116" t="n">
        <v>0</v>
      </c>
      <c r="AF1649" s="116" t="n">
        <v>0</v>
      </c>
      <c r="AG1649" s="116" t="n">
        <v>0</v>
      </c>
      <c r="AH1649" s="116" t="n">
        <v>0</v>
      </c>
      <c r="AI1649" s="47">
        <f>IFERROR(AC1649/S1649,"")</f>
        <v/>
      </c>
      <c r="AJ1649" s="47">
        <f>IFERROR(AH1649/S1649,"")</f>
        <v/>
      </c>
      <c r="AK1649" s="116" t="n">
        <v>35</v>
      </c>
      <c r="AL1649" s="116" t="n">
        <v>1</v>
      </c>
      <c r="AM1649" s="118">
        <f>IFERROR(AL1649/AA1649,"")</f>
        <v/>
      </c>
      <c r="AN1649" s="119">
        <f>IFERROR(R1649/AL1649,"")</f>
        <v/>
      </c>
      <c r="AO1649" s="116" t="n">
        <v>1</v>
      </c>
      <c r="AP1649" s="47">
        <f>IFERROR(AO1649/AL1649,"")</f>
        <v/>
      </c>
      <c r="AQ1649" s="119">
        <f>IFERROR(R1649/AO1649,"")</f>
        <v/>
      </c>
      <c r="AR1649" s="116" t="n">
        <v>0</v>
      </c>
      <c r="AS1649" s="116" t="n">
        <v>0</v>
      </c>
      <c r="AT1649" s="116">
        <f>AL1649+AR1649</f>
        <v/>
      </c>
      <c r="AU1649" s="119">
        <f>IFERROR(AO1649*Assumptions!$C$26*Assumptions!$C$27*INDEX(Assumptions!$C$18:$C$21,MATCH(H1649,Assumptions!$B$18:$B$21,0)),0)</f>
        <v/>
      </c>
    </row>
    <row r="1650">
      <c r="A1650" s="114" t="n">
        <v>46241</v>
      </c>
      <c r="B1650" s="42" t="inlineStr">
        <is>
          <t>Wk 32</t>
        </is>
      </c>
      <c r="C1650" s="42" t="inlineStr">
        <is>
          <t>Fri</t>
        </is>
      </c>
      <c r="D1650" s="42" t="inlineStr">
        <is>
          <t>X</t>
        </is>
      </c>
      <c r="E1650" s="42" t="inlineStr">
        <is>
          <t>X (Twitter)</t>
        </is>
      </c>
      <c r="F1650" s="42" t="inlineStr">
        <is>
          <t>LEP_ZA_AUG26_X_RMKT_TD_CONV</t>
        </is>
      </c>
      <c r="G1650" s="42" t="inlineStr">
        <is>
          <t>Website Conversions</t>
        </is>
      </c>
      <c r="H1650" s="42" t="inlineStr">
        <is>
          <t>Range</t>
        </is>
      </c>
      <c r="I1650" s="42" t="inlineStr">
        <is>
          <t>Range Offer</t>
        </is>
      </c>
      <c r="J1650" s="42" t="inlineStr">
        <is>
          <t>X_RMKT_SITE14D_ZA</t>
        </is>
      </c>
      <c r="K1650" s="42" t="inlineStr">
        <is>
          <t>Retargeting</t>
        </is>
      </c>
      <c r="L1650" s="42" t="inlineStr">
        <is>
          <t>X_STA_RangeOffer_v1</t>
        </is>
      </c>
      <c r="M1650" s="42" t="inlineStr">
        <is>
          <t>Image Ad</t>
        </is>
      </c>
      <c r="N1650" s="42" t="inlineStr">
        <is>
          <t>Three models. One test drive.</t>
        </is>
      </c>
      <c r="O1650" s="42" t="inlineStr">
        <is>
          <t>Auction - Lowest Cost</t>
        </is>
      </c>
      <c r="P1650" s="42" t="inlineStr">
        <is>
          <t>Site Visit / Conversion</t>
        </is>
      </c>
      <c r="Q1650" s="42" t="inlineStr">
        <is>
          <t>https://www.lepas-sa.co.za/book-a-test-drive</t>
        </is>
      </c>
      <c r="R1650" s="115" t="n">
        <v>150.59</v>
      </c>
      <c r="S1650" s="116" t="n">
        <v>2077</v>
      </c>
      <c r="T1650" s="116" t="n">
        <v>1457</v>
      </c>
      <c r="U1650" s="117">
        <f>IFERROR(S1650/T1650,"")</f>
        <v/>
      </c>
      <c r="V1650" s="116" t="n">
        <v>37</v>
      </c>
      <c r="W1650" s="116" t="n">
        <v>27</v>
      </c>
      <c r="X1650" s="118">
        <f>IFERROR(W1650/S1650,"")</f>
        <v/>
      </c>
      <c r="Y1650" s="115">
        <f>IFERROR(R1650/W1650,"")</f>
        <v/>
      </c>
      <c r="Z1650" s="115">
        <f>IFERROR(R1650/S1650*1000,"")</f>
        <v/>
      </c>
      <c r="AA1650" s="116" t="n">
        <v>21</v>
      </c>
      <c r="AB1650" s="47">
        <f>IFERROR(AA1650/W1650,"")</f>
        <v/>
      </c>
      <c r="AC1650" s="116" t="n">
        <v>0</v>
      </c>
      <c r="AD1650" s="116" t="n">
        <v>0</v>
      </c>
      <c r="AE1650" s="116" t="n">
        <v>0</v>
      </c>
      <c r="AF1650" s="116" t="n">
        <v>0</v>
      </c>
      <c r="AG1650" s="116" t="n">
        <v>0</v>
      </c>
      <c r="AH1650" s="116" t="n">
        <v>0</v>
      </c>
      <c r="AI1650" s="47">
        <f>IFERROR(AC1650/S1650,"")</f>
        <v/>
      </c>
      <c r="AJ1650" s="47">
        <f>IFERROR(AH1650/S1650,"")</f>
        <v/>
      </c>
      <c r="AK1650" s="116" t="n">
        <v>51</v>
      </c>
      <c r="AL1650" s="116" t="n">
        <v>1</v>
      </c>
      <c r="AM1650" s="118">
        <f>IFERROR(AL1650/AA1650,"")</f>
        <v/>
      </c>
      <c r="AN1650" s="119">
        <f>IFERROR(R1650/AL1650,"")</f>
        <v/>
      </c>
      <c r="AO1650" s="116" t="n">
        <v>1</v>
      </c>
      <c r="AP1650" s="47">
        <f>IFERROR(AO1650/AL1650,"")</f>
        <v/>
      </c>
      <c r="AQ1650" s="119">
        <f>IFERROR(R1650/AO1650,"")</f>
        <v/>
      </c>
      <c r="AR1650" s="116" t="n">
        <v>0</v>
      </c>
      <c r="AS1650" s="116" t="n">
        <v>0</v>
      </c>
      <c r="AT1650" s="116">
        <f>AL1650+AR1650</f>
        <v/>
      </c>
      <c r="AU1650" s="119">
        <f>IFERROR(AO1650*Assumptions!$C$26*Assumptions!$C$27*INDEX(Assumptions!$C$18:$C$21,MATCH(H1650,Assumptions!$B$18:$B$21,0)),0)</f>
        <v/>
      </c>
    </row>
    <row r="1651">
      <c r="A1651" s="114" t="n">
        <v>46242</v>
      </c>
      <c r="B1651" s="42" t="inlineStr">
        <is>
          <t>Wk 32</t>
        </is>
      </c>
      <c r="C1651" s="42" t="inlineStr">
        <is>
          <t>Sat</t>
        </is>
      </c>
      <c r="D1651" s="42" t="inlineStr">
        <is>
          <t>X</t>
        </is>
      </c>
      <c r="E1651" s="42" t="inlineStr">
        <is>
          <t>X (Twitter)</t>
        </is>
      </c>
      <c r="F1651" s="42" t="inlineStr">
        <is>
          <t>LEP_ZA_AUG26_X_RMKT_TD_CONV</t>
        </is>
      </c>
      <c r="G1651" s="42" t="inlineStr">
        <is>
          <t>Website Conversions</t>
        </is>
      </c>
      <c r="H1651" s="42" t="inlineStr">
        <is>
          <t>Range</t>
        </is>
      </c>
      <c r="I1651" s="42" t="inlineStr">
        <is>
          <t>Range Offer</t>
        </is>
      </c>
      <c r="J1651" s="42" t="inlineStr">
        <is>
          <t>X_RMKT_SITE14D_ZA</t>
        </is>
      </c>
      <c r="K1651" s="42" t="inlineStr">
        <is>
          <t>Retargeting</t>
        </is>
      </c>
      <c r="L1651" s="42" t="inlineStr">
        <is>
          <t>X_STA_RangeOffer_v1</t>
        </is>
      </c>
      <c r="M1651" s="42" t="inlineStr">
        <is>
          <t>Image Ad</t>
        </is>
      </c>
      <c r="N1651" s="42" t="inlineStr">
        <is>
          <t>Three models. One test drive.</t>
        </is>
      </c>
      <c r="O1651" s="42" t="inlineStr">
        <is>
          <t>Auction - Lowest Cost</t>
        </is>
      </c>
      <c r="P1651" s="42" t="inlineStr">
        <is>
          <t>Site Visit / Conversion</t>
        </is>
      </c>
      <c r="Q1651" s="42" t="inlineStr">
        <is>
          <t>https://www.lepas-sa.co.za/book-a-test-drive</t>
        </is>
      </c>
      <c r="R1651" s="115" t="n">
        <v>143.11</v>
      </c>
      <c r="S1651" s="116" t="n">
        <v>2036</v>
      </c>
      <c r="T1651" s="116" t="n">
        <v>1455</v>
      </c>
      <c r="U1651" s="117">
        <f>IFERROR(S1651/T1651,"")</f>
        <v/>
      </c>
      <c r="V1651" s="116" t="n">
        <v>33</v>
      </c>
      <c r="W1651" s="116" t="n">
        <v>26</v>
      </c>
      <c r="X1651" s="118">
        <f>IFERROR(W1651/S1651,"")</f>
        <v/>
      </c>
      <c r="Y1651" s="115">
        <f>IFERROR(R1651/W1651,"")</f>
        <v/>
      </c>
      <c r="Z1651" s="115">
        <f>IFERROR(R1651/S1651*1000,"")</f>
        <v/>
      </c>
      <c r="AA1651" s="116" t="n">
        <v>19</v>
      </c>
      <c r="AB1651" s="47">
        <f>IFERROR(AA1651/W1651,"")</f>
        <v/>
      </c>
      <c r="AC1651" s="116" t="n">
        <v>0</v>
      </c>
      <c r="AD1651" s="116" t="n">
        <v>0</v>
      </c>
      <c r="AE1651" s="116" t="n">
        <v>0</v>
      </c>
      <c r="AF1651" s="116" t="n">
        <v>0</v>
      </c>
      <c r="AG1651" s="116" t="n">
        <v>0</v>
      </c>
      <c r="AH1651" s="116" t="n">
        <v>0</v>
      </c>
      <c r="AI1651" s="47">
        <f>IFERROR(AC1651/S1651,"")</f>
        <v/>
      </c>
      <c r="AJ1651" s="47">
        <f>IFERROR(AH1651/S1651,"")</f>
        <v/>
      </c>
      <c r="AK1651" s="116" t="n">
        <v>32</v>
      </c>
      <c r="AL1651" s="116" t="n">
        <v>0</v>
      </c>
      <c r="AM1651" s="118">
        <f>IFERROR(AL1651/AA1651,"")</f>
        <v/>
      </c>
      <c r="AN1651" s="119">
        <f>IFERROR(R1651/AL1651,"")</f>
        <v/>
      </c>
      <c r="AO1651" s="116" t="n">
        <v>0</v>
      </c>
      <c r="AP1651" s="47">
        <f>IFERROR(AO1651/AL1651,"")</f>
        <v/>
      </c>
      <c r="AQ1651" s="119">
        <f>IFERROR(R1651/AO1651,"")</f>
        <v/>
      </c>
      <c r="AR1651" s="116" t="n">
        <v>0</v>
      </c>
      <c r="AS1651" s="116" t="n">
        <v>0</v>
      </c>
      <c r="AT1651" s="116">
        <f>AL1651+AR1651</f>
        <v/>
      </c>
      <c r="AU1651" s="119">
        <f>IFERROR(AO1651*Assumptions!$C$26*Assumptions!$C$27*INDEX(Assumptions!$C$18:$C$21,MATCH(H1651,Assumptions!$B$18:$B$21,0)),0)</f>
        <v/>
      </c>
    </row>
    <row r="1652">
      <c r="A1652" s="114" t="n">
        <v>46243</v>
      </c>
      <c r="B1652" s="42" t="inlineStr">
        <is>
          <t>Wk 32</t>
        </is>
      </c>
      <c r="C1652" s="42" t="inlineStr">
        <is>
          <t>Sun</t>
        </is>
      </c>
      <c r="D1652" s="42" t="inlineStr">
        <is>
          <t>X</t>
        </is>
      </c>
      <c r="E1652" s="42" t="inlineStr">
        <is>
          <t>X (Twitter)</t>
        </is>
      </c>
      <c r="F1652" s="42" t="inlineStr">
        <is>
          <t>LEP_ZA_AUG26_X_RMKT_TD_CONV</t>
        </is>
      </c>
      <c r="G1652" s="42" t="inlineStr">
        <is>
          <t>Website Conversions</t>
        </is>
      </c>
      <c r="H1652" s="42" t="inlineStr">
        <is>
          <t>Range</t>
        </is>
      </c>
      <c r="I1652" s="42" t="inlineStr">
        <is>
          <t>Range Offer</t>
        </is>
      </c>
      <c r="J1652" s="42" t="inlineStr">
        <is>
          <t>X_RMKT_SITE14D_ZA</t>
        </is>
      </c>
      <c r="K1652" s="42" t="inlineStr">
        <is>
          <t>Retargeting</t>
        </is>
      </c>
      <c r="L1652" s="42" t="inlineStr">
        <is>
          <t>X_STA_RangeOffer_v1</t>
        </is>
      </c>
      <c r="M1652" s="42" t="inlineStr">
        <is>
          <t>Image Ad</t>
        </is>
      </c>
      <c r="N1652" s="42" t="inlineStr">
        <is>
          <t>Three models. One test drive.</t>
        </is>
      </c>
      <c r="O1652" s="42" t="inlineStr">
        <is>
          <t>Auction - Lowest Cost</t>
        </is>
      </c>
      <c r="P1652" s="42" t="inlineStr">
        <is>
          <t>Site Visit / Conversion</t>
        </is>
      </c>
      <c r="Q1652" s="42" t="inlineStr">
        <is>
          <t>https://www.lepas-sa.co.za/book-a-test-drive</t>
        </is>
      </c>
      <c r="R1652" s="115" t="n">
        <v>125.51</v>
      </c>
      <c r="S1652" s="116" t="n">
        <v>1585</v>
      </c>
      <c r="T1652" s="116" t="n">
        <v>1040</v>
      </c>
      <c r="U1652" s="117">
        <f>IFERROR(S1652/T1652,"")</f>
        <v/>
      </c>
      <c r="V1652" s="116" t="n">
        <v>31</v>
      </c>
      <c r="W1652" s="116" t="n">
        <v>24</v>
      </c>
      <c r="X1652" s="118">
        <f>IFERROR(W1652/S1652,"")</f>
        <v/>
      </c>
      <c r="Y1652" s="115">
        <f>IFERROR(R1652/W1652,"")</f>
        <v/>
      </c>
      <c r="Z1652" s="115">
        <f>IFERROR(R1652/S1652*1000,"")</f>
        <v/>
      </c>
      <c r="AA1652" s="116" t="n">
        <v>19</v>
      </c>
      <c r="AB1652" s="47">
        <f>IFERROR(AA1652/W1652,"")</f>
        <v/>
      </c>
      <c r="AC1652" s="116" t="n">
        <v>0</v>
      </c>
      <c r="AD1652" s="116" t="n">
        <v>0</v>
      </c>
      <c r="AE1652" s="116" t="n">
        <v>0</v>
      </c>
      <c r="AF1652" s="116" t="n">
        <v>0</v>
      </c>
      <c r="AG1652" s="116" t="n">
        <v>0</v>
      </c>
      <c r="AH1652" s="116" t="n">
        <v>0</v>
      </c>
      <c r="AI1652" s="47">
        <f>IFERROR(AC1652/S1652,"")</f>
        <v/>
      </c>
      <c r="AJ1652" s="47">
        <f>IFERROR(AH1652/S1652,"")</f>
        <v/>
      </c>
      <c r="AK1652" s="116" t="n">
        <v>17</v>
      </c>
      <c r="AL1652" s="116" t="n">
        <v>0</v>
      </c>
      <c r="AM1652" s="118">
        <f>IFERROR(AL1652/AA1652,"")</f>
        <v/>
      </c>
      <c r="AN1652" s="119">
        <f>IFERROR(R1652/AL1652,"")</f>
        <v/>
      </c>
      <c r="AO1652" s="116" t="n">
        <v>0</v>
      </c>
      <c r="AP1652" s="47">
        <f>IFERROR(AO1652/AL1652,"")</f>
        <v/>
      </c>
      <c r="AQ1652" s="119">
        <f>IFERROR(R1652/AO1652,"")</f>
        <v/>
      </c>
      <c r="AR1652" s="116" t="n">
        <v>0</v>
      </c>
      <c r="AS1652" s="116" t="n">
        <v>0</v>
      </c>
      <c r="AT1652" s="116">
        <f>AL1652+AR1652</f>
        <v/>
      </c>
      <c r="AU1652" s="119">
        <f>IFERROR(AO1652*Assumptions!$C$26*Assumptions!$C$27*INDEX(Assumptions!$C$18:$C$21,MATCH(H1652,Assumptions!$B$18:$B$21,0)),0)</f>
        <v/>
      </c>
    </row>
    <row r="1653">
      <c r="A1653" s="114" t="n">
        <v>46244</v>
      </c>
      <c r="B1653" s="42" t="inlineStr">
        <is>
          <t>Wk 33</t>
        </is>
      </c>
      <c r="C1653" s="42" t="inlineStr">
        <is>
          <t>Mon</t>
        </is>
      </c>
      <c r="D1653" s="42" t="inlineStr">
        <is>
          <t>X</t>
        </is>
      </c>
      <c r="E1653" s="42" t="inlineStr">
        <is>
          <t>X (Twitter)</t>
        </is>
      </c>
      <c r="F1653" s="42" t="inlineStr">
        <is>
          <t>LEP_ZA_AUG26_X_RMKT_TD_CONV</t>
        </is>
      </c>
      <c r="G1653" s="42" t="inlineStr">
        <is>
          <t>Website Conversions</t>
        </is>
      </c>
      <c r="H1653" s="42" t="inlineStr">
        <is>
          <t>Range</t>
        </is>
      </c>
      <c r="I1653" s="42" t="inlineStr">
        <is>
          <t>Range Offer</t>
        </is>
      </c>
      <c r="J1653" s="42" t="inlineStr">
        <is>
          <t>X_RMKT_SITE14D_ZA</t>
        </is>
      </c>
      <c r="K1653" s="42" t="inlineStr">
        <is>
          <t>Retargeting</t>
        </is>
      </c>
      <c r="L1653" s="42" t="inlineStr">
        <is>
          <t>X_STA_RangeOffer_v1</t>
        </is>
      </c>
      <c r="M1653" s="42" t="inlineStr">
        <is>
          <t>Image Ad</t>
        </is>
      </c>
      <c r="N1653" s="42" t="inlineStr">
        <is>
          <t>Three models. One test drive.</t>
        </is>
      </c>
      <c r="O1653" s="42" t="inlineStr">
        <is>
          <t>Auction - Lowest Cost</t>
        </is>
      </c>
      <c r="P1653" s="42" t="inlineStr">
        <is>
          <t>Site Visit / Conversion</t>
        </is>
      </c>
      <c r="Q1653" s="42" t="inlineStr">
        <is>
          <t>https://www.lepas-sa.co.za/book-a-test-drive</t>
        </is>
      </c>
      <c r="R1653" s="115" t="n">
        <v>169.58</v>
      </c>
      <c r="S1653" s="116" t="n">
        <v>2521</v>
      </c>
      <c r="T1653" s="116" t="n">
        <v>1807</v>
      </c>
      <c r="U1653" s="117">
        <f>IFERROR(S1653/T1653,"")</f>
        <v/>
      </c>
      <c r="V1653" s="116" t="n">
        <v>24</v>
      </c>
      <c r="W1653" s="116" t="n">
        <v>17</v>
      </c>
      <c r="X1653" s="118">
        <f>IFERROR(W1653/S1653,"")</f>
        <v/>
      </c>
      <c r="Y1653" s="115">
        <f>IFERROR(R1653/W1653,"")</f>
        <v/>
      </c>
      <c r="Z1653" s="115">
        <f>IFERROR(R1653/S1653*1000,"")</f>
        <v/>
      </c>
      <c r="AA1653" s="116" t="n">
        <v>12</v>
      </c>
      <c r="AB1653" s="47">
        <f>IFERROR(AA1653/W1653,"")</f>
        <v/>
      </c>
      <c r="AC1653" s="116" t="n">
        <v>0</v>
      </c>
      <c r="AD1653" s="116" t="n">
        <v>0</v>
      </c>
      <c r="AE1653" s="116" t="n">
        <v>0</v>
      </c>
      <c r="AF1653" s="116" t="n">
        <v>0</v>
      </c>
      <c r="AG1653" s="116" t="n">
        <v>0</v>
      </c>
      <c r="AH1653" s="116" t="n">
        <v>0</v>
      </c>
      <c r="AI1653" s="47">
        <f>IFERROR(AC1653/S1653,"")</f>
        <v/>
      </c>
      <c r="AJ1653" s="47">
        <f>IFERROR(AH1653/S1653,"")</f>
        <v/>
      </c>
      <c r="AK1653" s="116" t="n">
        <v>47</v>
      </c>
      <c r="AL1653" s="116" t="n">
        <v>0</v>
      </c>
      <c r="AM1653" s="118">
        <f>IFERROR(AL1653/AA1653,"")</f>
        <v/>
      </c>
      <c r="AN1653" s="119">
        <f>IFERROR(R1653/AL1653,"")</f>
        <v/>
      </c>
      <c r="AO1653" s="116" t="n">
        <v>0</v>
      </c>
      <c r="AP1653" s="47">
        <f>IFERROR(AO1653/AL1653,"")</f>
        <v/>
      </c>
      <c r="AQ1653" s="119">
        <f>IFERROR(R1653/AO1653,"")</f>
        <v/>
      </c>
      <c r="AR1653" s="116" t="n">
        <v>0</v>
      </c>
      <c r="AS1653" s="116" t="n">
        <v>0</v>
      </c>
      <c r="AT1653" s="116">
        <f>AL1653+AR1653</f>
        <v/>
      </c>
      <c r="AU1653" s="119">
        <f>IFERROR(AO1653*Assumptions!$C$26*Assumptions!$C$27*INDEX(Assumptions!$C$18:$C$21,MATCH(H1653,Assumptions!$B$18:$B$21,0)),0)</f>
        <v/>
      </c>
    </row>
    <row r="1654">
      <c r="A1654" s="114" t="n">
        <v>46245</v>
      </c>
      <c r="B1654" s="42" t="inlineStr">
        <is>
          <t>Wk 33</t>
        </is>
      </c>
      <c r="C1654" s="42" t="inlineStr">
        <is>
          <t>Tue</t>
        </is>
      </c>
      <c r="D1654" s="42" t="inlineStr">
        <is>
          <t>X</t>
        </is>
      </c>
      <c r="E1654" s="42" t="inlineStr">
        <is>
          <t>X (Twitter)</t>
        </is>
      </c>
      <c r="F1654" s="42" t="inlineStr">
        <is>
          <t>LEP_ZA_AUG26_X_RMKT_TD_CONV</t>
        </is>
      </c>
      <c r="G1654" s="42" t="inlineStr">
        <is>
          <t>Website Conversions</t>
        </is>
      </c>
      <c r="H1654" s="42" t="inlineStr">
        <is>
          <t>Range</t>
        </is>
      </c>
      <c r="I1654" s="42" t="inlineStr">
        <is>
          <t>Range Offer</t>
        </is>
      </c>
      <c r="J1654" s="42" t="inlineStr">
        <is>
          <t>X_RMKT_SITE14D_ZA</t>
        </is>
      </c>
      <c r="K1654" s="42" t="inlineStr">
        <is>
          <t>Retargeting</t>
        </is>
      </c>
      <c r="L1654" s="42" t="inlineStr">
        <is>
          <t>X_STA_RangeOffer_v1</t>
        </is>
      </c>
      <c r="M1654" s="42" t="inlineStr">
        <is>
          <t>Image Ad</t>
        </is>
      </c>
      <c r="N1654" s="42" t="inlineStr">
        <is>
          <t>Three models. One test drive.</t>
        </is>
      </c>
      <c r="O1654" s="42" t="inlineStr">
        <is>
          <t>Auction - Lowest Cost</t>
        </is>
      </c>
      <c r="P1654" s="42" t="inlineStr">
        <is>
          <t>Site Visit / Conversion</t>
        </is>
      </c>
      <c r="Q1654" s="42" t="inlineStr">
        <is>
          <t>https://www.lepas-sa.co.za/book-a-test-drive</t>
        </is>
      </c>
      <c r="R1654" s="115" t="n">
        <v>139.01</v>
      </c>
      <c r="S1654" s="116" t="n">
        <v>1848</v>
      </c>
      <c r="T1654" s="116" t="n">
        <v>1390</v>
      </c>
      <c r="U1654" s="117">
        <f>IFERROR(S1654/T1654,"")</f>
        <v/>
      </c>
      <c r="V1654" s="116" t="n">
        <v>16</v>
      </c>
      <c r="W1654" s="116" t="n">
        <v>13</v>
      </c>
      <c r="X1654" s="118">
        <f>IFERROR(W1654/S1654,"")</f>
        <v/>
      </c>
      <c r="Y1654" s="115">
        <f>IFERROR(R1654/W1654,"")</f>
        <v/>
      </c>
      <c r="Z1654" s="115">
        <f>IFERROR(R1654/S1654*1000,"")</f>
        <v/>
      </c>
      <c r="AA1654" s="116" t="n">
        <v>10</v>
      </c>
      <c r="AB1654" s="47">
        <f>IFERROR(AA1654/W1654,"")</f>
        <v/>
      </c>
      <c r="AC1654" s="116" t="n">
        <v>0</v>
      </c>
      <c r="AD1654" s="116" t="n">
        <v>0</v>
      </c>
      <c r="AE1654" s="116" t="n">
        <v>0</v>
      </c>
      <c r="AF1654" s="116" t="n">
        <v>0</v>
      </c>
      <c r="AG1654" s="116" t="n">
        <v>0</v>
      </c>
      <c r="AH1654" s="116" t="n">
        <v>0</v>
      </c>
      <c r="AI1654" s="47">
        <f>IFERROR(AC1654/S1654,"")</f>
        <v/>
      </c>
      <c r="AJ1654" s="47">
        <f>IFERROR(AH1654/S1654,"")</f>
        <v/>
      </c>
      <c r="AK1654" s="116" t="n">
        <v>46</v>
      </c>
      <c r="AL1654" s="116" t="n">
        <v>1</v>
      </c>
      <c r="AM1654" s="118">
        <f>IFERROR(AL1654/AA1654,"")</f>
        <v/>
      </c>
      <c r="AN1654" s="119">
        <f>IFERROR(R1654/AL1654,"")</f>
        <v/>
      </c>
      <c r="AO1654" s="116" t="n">
        <v>0</v>
      </c>
      <c r="AP1654" s="47">
        <f>IFERROR(AO1654/AL1654,"")</f>
        <v/>
      </c>
      <c r="AQ1654" s="119">
        <f>IFERROR(R1654/AO1654,"")</f>
        <v/>
      </c>
      <c r="AR1654" s="116" t="n">
        <v>0</v>
      </c>
      <c r="AS1654" s="116" t="n">
        <v>0</v>
      </c>
      <c r="AT1654" s="116">
        <f>AL1654+AR1654</f>
        <v/>
      </c>
      <c r="AU1654" s="119">
        <f>IFERROR(AO1654*Assumptions!$C$26*Assumptions!$C$27*INDEX(Assumptions!$C$18:$C$21,MATCH(H1654,Assumptions!$B$18:$B$21,0)),0)</f>
        <v/>
      </c>
    </row>
    <row r="1655">
      <c r="A1655" s="114" t="n">
        <v>46246</v>
      </c>
      <c r="B1655" s="42" t="inlineStr">
        <is>
          <t>Wk 33</t>
        </is>
      </c>
      <c r="C1655" s="42" t="inlineStr">
        <is>
          <t>Wed</t>
        </is>
      </c>
      <c r="D1655" s="42" t="inlineStr">
        <is>
          <t>X</t>
        </is>
      </c>
      <c r="E1655" s="42" t="inlineStr">
        <is>
          <t>X (Twitter)</t>
        </is>
      </c>
      <c r="F1655" s="42" t="inlineStr">
        <is>
          <t>LEP_ZA_AUG26_X_RMKT_TD_CONV</t>
        </is>
      </c>
      <c r="G1655" s="42" t="inlineStr">
        <is>
          <t>Website Conversions</t>
        </is>
      </c>
      <c r="H1655" s="42" t="inlineStr">
        <is>
          <t>Range</t>
        </is>
      </c>
      <c r="I1655" s="42" t="inlineStr">
        <is>
          <t>Range Offer</t>
        </is>
      </c>
      <c r="J1655" s="42" t="inlineStr">
        <is>
          <t>X_RMKT_SITE14D_ZA</t>
        </is>
      </c>
      <c r="K1655" s="42" t="inlineStr">
        <is>
          <t>Retargeting</t>
        </is>
      </c>
      <c r="L1655" s="42" t="inlineStr">
        <is>
          <t>X_STA_RangeOffer_v1</t>
        </is>
      </c>
      <c r="M1655" s="42" t="inlineStr">
        <is>
          <t>Image Ad</t>
        </is>
      </c>
      <c r="N1655" s="42" t="inlineStr">
        <is>
          <t>Three models. One test drive.</t>
        </is>
      </c>
      <c r="O1655" s="42" t="inlineStr">
        <is>
          <t>Auction - Lowest Cost</t>
        </is>
      </c>
      <c r="P1655" s="42" t="inlineStr">
        <is>
          <t>Site Visit / Conversion</t>
        </is>
      </c>
      <c r="Q1655" s="42" t="inlineStr">
        <is>
          <t>https://www.lepas-sa.co.za/book-a-test-drive</t>
        </is>
      </c>
      <c r="R1655" s="115" t="n">
        <v>136.82</v>
      </c>
      <c r="S1655" s="116" t="n">
        <v>1708</v>
      </c>
      <c r="T1655" s="116" t="n">
        <v>1335</v>
      </c>
      <c r="U1655" s="117">
        <f>IFERROR(S1655/T1655,"")</f>
        <v/>
      </c>
      <c r="V1655" s="116" t="n">
        <v>27</v>
      </c>
      <c r="W1655" s="116" t="n">
        <v>19</v>
      </c>
      <c r="X1655" s="118">
        <f>IFERROR(W1655/S1655,"")</f>
        <v/>
      </c>
      <c r="Y1655" s="115">
        <f>IFERROR(R1655/W1655,"")</f>
        <v/>
      </c>
      <c r="Z1655" s="115">
        <f>IFERROR(R1655/S1655*1000,"")</f>
        <v/>
      </c>
      <c r="AA1655" s="116" t="n">
        <v>14</v>
      </c>
      <c r="AB1655" s="47">
        <f>IFERROR(AA1655/W1655,"")</f>
        <v/>
      </c>
      <c r="AC1655" s="116" t="n">
        <v>0</v>
      </c>
      <c r="AD1655" s="116" t="n">
        <v>0</v>
      </c>
      <c r="AE1655" s="116" t="n">
        <v>0</v>
      </c>
      <c r="AF1655" s="116" t="n">
        <v>0</v>
      </c>
      <c r="AG1655" s="116" t="n">
        <v>0</v>
      </c>
      <c r="AH1655" s="116" t="n">
        <v>0</v>
      </c>
      <c r="AI1655" s="47">
        <f>IFERROR(AC1655/S1655,"")</f>
        <v/>
      </c>
      <c r="AJ1655" s="47">
        <f>IFERROR(AH1655/S1655,"")</f>
        <v/>
      </c>
      <c r="AK1655" s="116" t="n">
        <v>40</v>
      </c>
      <c r="AL1655" s="116" t="n">
        <v>0</v>
      </c>
      <c r="AM1655" s="118">
        <f>IFERROR(AL1655/AA1655,"")</f>
        <v/>
      </c>
      <c r="AN1655" s="119">
        <f>IFERROR(R1655/AL1655,"")</f>
        <v/>
      </c>
      <c r="AO1655" s="116" t="n">
        <v>0</v>
      </c>
      <c r="AP1655" s="47">
        <f>IFERROR(AO1655/AL1655,"")</f>
        <v/>
      </c>
      <c r="AQ1655" s="119">
        <f>IFERROR(R1655/AO1655,"")</f>
        <v/>
      </c>
      <c r="AR1655" s="116" t="n">
        <v>0</v>
      </c>
      <c r="AS1655" s="116" t="n">
        <v>0</v>
      </c>
      <c r="AT1655" s="116">
        <f>AL1655+AR1655</f>
        <v/>
      </c>
      <c r="AU1655" s="119">
        <f>IFERROR(AO1655*Assumptions!$C$26*Assumptions!$C$27*INDEX(Assumptions!$C$18:$C$21,MATCH(H1655,Assumptions!$B$18:$B$21,0)),0)</f>
        <v/>
      </c>
    </row>
    <row r="1656">
      <c r="A1656" s="114" t="n">
        <v>46247</v>
      </c>
      <c r="B1656" s="42" t="inlineStr">
        <is>
          <t>Wk 33</t>
        </is>
      </c>
      <c r="C1656" s="42" t="inlineStr">
        <is>
          <t>Thu</t>
        </is>
      </c>
      <c r="D1656" s="42" t="inlineStr">
        <is>
          <t>X</t>
        </is>
      </c>
      <c r="E1656" s="42" t="inlineStr">
        <is>
          <t>X (Twitter)</t>
        </is>
      </c>
      <c r="F1656" s="42" t="inlineStr">
        <is>
          <t>LEP_ZA_AUG26_X_RMKT_TD_CONV</t>
        </is>
      </c>
      <c r="G1656" s="42" t="inlineStr">
        <is>
          <t>Website Conversions</t>
        </is>
      </c>
      <c r="H1656" s="42" t="inlineStr">
        <is>
          <t>Range</t>
        </is>
      </c>
      <c r="I1656" s="42" t="inlineStr">
        <is>
          <t>Range Offer</t>
        </is>
      </c>
      <c r="J1656" s="42" t="inlineStr">
        <is>
          <t>X_RMKT_SITE14D_ZA</t>
        </is>
      </c>
      <c r="K1656" s="42" t="inlineStr">
        <is>
          <t>Retargeting</t>
        </is>
      </c>
      <c r="L1656" s="42" t="inlineStr">
        <is>
          <t>X_STA_RangeOffer_v1</t>
        </is>
      </c>
      <c r="M1656" s="42" t="inlineStr">
        <is>
          <t>Image Ad</t>
        </is>
      </c>
      <c r="N1656" s="42" t="inlineStr">
        <is>
          <t>Three models. One test drive.</t>
        </is>
      </c>
      <c r="O1656" s="42" t="inlineStr">
        <is>
          <t>Auction - Lowest Cost</t>
        </is>
      </c>
      <c r="P1656" s="42" t="inlineStr">
        <is>
          <t>Site Visit / Conversion</t>
        </is>
      </c>
      <c r="Q1656" s="42" t="inlineStr">
        <is>
          <t>https://www.lepas-sa.co.za/book-a-test-drive</t>
        </is>
      </c>
      <c r="R1656" s="115" t="n">
        <v>131.18</v>
      </c>
      <c r="S1656" s="116" t="n">
        <v>1618</v>
      </c>
      <c r="T1656" s="116" t="n">
        <v>1250</v>
      </c>
      <c r="U1656" s="117">
        <f>IFERROR(S1656/T1656,"")</f>
        <v/>
      </c>
      <c r="V1656" s="116" t="n">
        <v>19</v>
      </c>
      <c r="W1656" s="116" t="n">
        <v>14</v>
      </c>
      <c r="X1656" s="118">
        <f>IFERROR(W1656/S1656,"")</f>
        <v/>
      </c>
      <c r="Y1656" s="115">
        <f>IFERROR(R1656/W1656,"")</f>
        <v/>
      </c>
      <c r="Z1656" s="115">
        <f>IFERROR(R1656/S1656*1000,"")</f>
        <v/>
      </c>
      <c r="AA1656" s="116" t="n">
        <v>11</v>
      </c>
      <c r="AB1656" s="47">
        <f>IFERROR(AA1656/W1656,"")</f>
        <v/>
      </c>
      <c r="AC1656" s="116" t="n">
        <v>0</v>
      </c>
      <c r="AD1656" s="116" t="n">
        <v>0</v>
      </c>
      <c r="AE1656" s="116" t="n">
        <v>0</v>
      </c>
      <c r="AF1656" s="116" t="n">
        <v>0</v>
      </c>
      <c r="AG1656" s="116" t="n">
        <v>0</v>
      </c>
      <c r="AH1656" s="116" t="n">
        <v>0</v>
      </c>
      <c r="AI1656" s="47">
        <f>IFERROR(AC1656/S1656,"")</f>
        <v/>
      </c>
      <c r="AJ1656" s="47">
        <f>IFERROR(AH1656/S1656,"")</f>
        <v/>
      </c>
      <c r="AK1656" s="116" t="n">
        <v>38</v>
      </c>
      <c r="AL1656" s="116" t="n">
        <v>1</v>
      </c>
      <c r="AM1656" s="118">
        <f>IFERROR(AL1656/AA1656,"")</f>
        <v/>
      </c>
      <c r="AN1656" s="119">
        <f>IFERROR(R1656/AL1656,"")</f>
        <v/>
      </c>
      <c r="AO1656" s="116" t="n">
        <v>0</v>
      </c>
      <c r="AP1656" s="47">
        <f>IFERROR(AO1656/AL1656,"")</f>
        <v/>
      </c>
      <c r="AQ1656" s="119">
        <f>IFERROR(R1656/AO1656,"")</f>
        <v/>
      </c>
      <c r="AR1656" s="116" t="n">
        <v>1</v>
      </c>
      <c r="AS1656" s="116" t="n">
        <v>0</v>
      </c>
      <c r="AT1656" s="116">
        <f>AL1656+AR1656</f>
        <v/>
      </c>
      <c r="AU1656" s="119">
        <f>IFERROR(AO1656*Assumptions!$C$26*Assumptions!$C$27*INDEX(Assumptions!$C$18:$C$21,MATCH(H1656,Assumptions!$B$18:$B$21,0)),0)</f>
        <v/>
      </c>
    </row>
    <row r="1657">
      <c r="A1657" s="114" t="n">
        <v>46248</v>
      </c>
      <c r="B1657" s="42" t="inlineStr">
        <is>
          <t>Wk 33</t>
        </is>
      </c>
      <c r="C1657" s="42" t="inlineStr">
        <is>
          <t>Fri</t>
        </is>
      </c>
      <c r="D1657" s="42" t="inlineStr">
        <is>
          <t>X</t>
        </is>
      </c>
      <c r="E1657" s="42" t="inlineStr">
        <is>
          <t>X (Twitter)</t>
        </is>
      </c>
      <c r="F1657" s="42" t="inlineStr">
        <is>
          <t>LEP_ZA_AUG26_X_RMKT_TD_CONV</t>
        </is>
      </c>
      <c r="G1657" s="42" t="inlineStr">
        <is>
          <t>Website Conversions</t>
        </is>
      </c>
      <c r="H1657" s="42" t="inlineStr">
        <is>
          <t>Range</t>
        </is>
      </c>
      <c r="I1657" s="42" t="inlineStr">
        <is>
          <t>Range Offer</t>
        </is>
      </c>
      <c r="J1657" s="42" t="inlineStr">
        <is>
          <t>X_RMKT_SITE14D_ZA</t>
        </is>
      </c>
      <c r="K1657" s="42" t="inlineStr">
        <is>
          <t>Retargeting</t>
        </is>
      </c>
      <c r="L1657" s="42" t="inlineStr">
        <is>
          <t>X_STA_RangeOffer_v1</t>
        </is>
      </c>
      <c r="M1657" s="42" t="inlineStr">
        <is>
          <t>Image Ad</t>
        </is>
      </c>
      <c r="N1657" s="42" t="inlineStr">
        <is>
          <t>Three models. One test drive.</t>
        </is>
      </c>
      <c r="O1657" s="42" t="inlineStr">
        <is>
          <t>Auction - Lowest Cost</t>
        </is>
      </c>
      <c r="P1657" s="42" t="inlineStr">
        <is>
          <t>Site Visit / Conversion</t>
        </is>
      </c>
      <c r="Q1657" s="42" t="inlineStr">
        <is>
          <t>https://www.lepas-sa.co.za/book-a-test-drive</t>
        </is>
      </c>
      <c r="R1657" s="115" t="n">
        <v>173.38</v>
      </c>
      <c r="S1657" s="116" t="n">
        <v>2487</v>
      </c>
      <c r="T1657" s="116" t="n">
        <v>1885</v>
      </c>
      <c r="U1657" s="117">
        <f>IFERROR(S1657/T1657,"")</f>
        <v/>
      </c>
      <c r="V1657" s="116" t="n">
        <v>36</v>
      </c>
      <c r="W1657" s="116" t="n">
        <v>26</v>
      </c>
      <c r="X1657" s="118">
        <f>IFERROR(W1657/S1657,"")</f>
        <v/>
      </c>
      <c r="Y1657" s="115">
        <f>IFERROR(R1657/W1657,"")</f>
        <v/>
      </c>
      <c r="Z1657" s="115">
        <f>IFERROR(R1657/S1657*1000,"")</f>
        <v/>
      </c>
      <c r="AA1657" s="116" t="n">
        <v>21</v>
      </c>
      <c r="AB1657" s="47">
        <f>IFERROR(AA1657/W1657,"")</f>
        <v/>
      </c>
      <c r="AC1657" s="116" t="n">
        <v>0</v>
      </c>
      <c r="AD1657" s="116" t="n">
        <v>0</v>
      </c>
      <c r="AE1657" s="116" t="n">
        <v>0</v>
      </c>
      <c r="AF1657" s="116" t="n">
        <v>0</v>
      </c>
      <c r="AG1657" s="116" t="n">
        <v>0</v>
      </c>
      <c r="AH1657" s="116" t="n">
        <v>0</v>
      </c>
      <c r="AI1657" s="47">
        <f>IFERROR(AC1657/S1657,"")</f>
        <v/>
      </c>
      <c r="AJ1657" s="47">
        <f>IFERROR(AH1657/S1657,"")</f>
        <v/>
      </c>
      <c r="AK1657" s="116" t="n">
        <v>28</v>
      </c>
      <c r="AL1657" s="116" t="n">
        <v>0</v>
      </c>
      <c r="AM1657" s="118">
        <f>IFERROR(AL1657/AA1657,"")</f>
        <v/>
      </c>
      <c r="AN1657" s="119">
        <f>IFERROR(R1657/AL1657,"")</f>
        <v/>
      </c>
      <c r="AO1657" s="116" t="n">
        <v>0</v>
      </c>
      <c r="AP1657" s="47">
        <f>IFERROR(AO1657/AL1657,"")</f>
        <v/>
      </c>
      <c r="AQ1657" s="119">
        <f>IFERROR(R1657/AO1657,"")</f>
        <v/>
      </c>
      <c r="AR1657" s="116" t="n">
        <v>0</v>
      </c>
      <c r="AS1657" s="116" t="n">
        <v>0</v>
      </c>
      <c r="AT1657" s="116">
        <f>AL1657+AR1657</f>
        <v/>
      </c>
      <c r="AU1657" s="119">
        <f>IFERROR(AO1657*Assumptions!$C$26*Assumptions!$C$27*INDEX(Assumptions!$C$18:$C$21,MATCH(H1657,Assumptions!$B$18:$B$21,0)),0)</f>
        <v/>
      </c>
    </row>
    <row r="1658">
      <c r="A1658" s="114" t="n">
        <v>46249</v>
      </c>
      <c r="B1658" s="42" t="inlineStr">
        <is>
          <t>Wk 33</t>
        </is>
      </c>
      <c r="C1658" s="42" t="inlineStr">
        <is>
          <t>Sat</t>
        </is>
      </c>
      <c r="D1658" s="42" t="inlineStr">
        <is>
          <t>X</t>
        </is>
      </c>
      <c r="E1658" s="42" t="inlineStr">
        <is>
          <t>X (Twitter)</t>
        </is>
      </c>
      <c r="F1658" s="42" t="inlineStr">
        <is>
          <t>LEP_ZA_AUG26_X_RMKT_TD_CONV</t>
        </is>
      </c>
      <c r="G1658" s="42" t="inlineStr">
        <is>
          <t>Website Conversions</t>
        </is>
      </c>
      <c r="H1658" s="42" t="inlineStr">
        <is>
          <t>Range</t>
        </is>
      </c>
      <c r="I1658" s="42" t="inlineStr">
        <is>
          <t>Range Offer</t>
        </is>
      </c>
      <c r="J1658" s="42" t="inlineStr">
        <is>
          <t>X_RMKT_SITE14D_ZA</t>
        </is>
      </c>
      <c r="K1658" s="42" t="inlineStr">
        <is>
          <t>Retargeting</t>
        </is>
      </c>
      <c r="L1658" s="42" t="inlineStr">
        <is>
          <t>X_STA_RangeOffer_v1</t>
        </is>
      </c>
      <c r="M1658" s="42" t="inlineStr">
        <is>
          <t>Image Ad</t>
        </is>
      </c>
      <c r="N1658" s="42" t="inlineStr">
        <is>
          <t>Three models. One test drive.</t>
        </is>
      </c>
      <c r="O1658" s="42" t="inlineStr">
        <is>
          <t>Auction - Lowest Cost</t>
        </is>
      </c>
      <c r="P1658" s="42" t="inlineStr">
        <is>
          <t>Site Visit / Conversion</t>
        </is>
      </c>
      <c r="Q1658" s="42" t="inlineStr">
        <is>
          <t>https://www.lepas-sa.co.za/book-a-test-drive</t>
        </is>
      </c>
      <c r="R1658" s="115" t="n">
        <v>155.84</v>
      </c>
      <c r="S1658" s="116" t="n">
        <v>2407</v>
      </c>
      <c r="T1658" s="116" t="n">
        <v>1766</v>
      </c>
      <c r="U1658" s="117">
        <f>IFERROR(S1658/T1658,"")</f>
        <v/>
      </c>
      <c r="V1658" s="116" t="n">
        <v>37</v>
      </c>
      <c r="W1658" s="116" t="n">
        <v>29</v>
      </c>
      <c r="X1658" s="118">
        <f>IFERROR(W1658/S1658,"")</f>
        <v/>
      </c>
      <c r="Y1658" s="115">
        <f>IFERROR(R1658/W1658,"")</f>
        <v/>
      </c>
      <c r="Z1658" s="115">
        <f>IFERROR(R1658/S1658*1000,"")</f>
        <v/>
      </c>
      <c r="AA1658" s="116" t="n">
        <v>22</v>
      </c>
      <c r="AB1658" s="47">
        <f>IFERROR(AA1658/W1658,"")</f>
        <v/>
      </c>
      <c r="AC1658" s="116" t="n">
        <v>0</v>
      </c>
      <c r="AD1658" s="116" t="n">
        <v>0</v>
      </c>
      <c r="AE1658" s="116" t="n">
        <v>0</v>
      </c>
      <c r="AF1658" s="116" t="n">
        <v>0</v>
      </c>
      <c r="AG1658" s="116" t="n">
        <v>0</v>
      </c>
      <c r="AH1658" s="116" t="n">
        <v>0</v>
      </c>
      <c r="AI1658" s="47">
        <f>IFERROR(AC1658/S1658,"")</f>
        <v/>
      </c>
      <c r="AJ1658" s="47">
        <f>IFERROR(AH1658/S1658,"")</f>
        <v/>
      </c>
      <c r="AK1658" s="116" t="n">
        <v>30</v>
      </c>
      <c r="AL1658" s="116" t="n">
        <v>0</v>
      </c>
      <c r="AM1658" s="118">
        <f>IFERROR(AL1658/AA1658,"")</f>
        <v/>
      </c>
      <c r="AN1658" s="119">
        <f>IFERROR(R1658/AL1658,"")</f>
        <v/>
      </c>
      <c r="AO1658" s="116" t="n">
        <v>0</v>
      </c>
      <c r="AP1658" s="47">
        <f>IFERROR(AO1658/AL1658,"")</f>
        <v/>
      </c>
      <c r="AQ1658" s="119">
        <f>IFERROR(R1658/AO1658,"")</f>
        <v/>
      </c>
      <c r="AR1658" s="116" t="n">
        <v>0</v>
      </c>
      <c r="AS1658" s="116" t="n">
        <v>0</v>
      </c>
      <c r="AT1658" s="116">
        <f>AL1658+AR1658</f>
        <v/>
      </c>
      <c r="AU1658" s="119">
        <f>IFERROR(AO1658*Assumptions!$C$26*Assumptions!$C$27*INDEX(Assumptions!$C$18:$C$21,MATCH(H1658,Assumptions!$B$18:$B$21,0)),0)</f>
        <v/>
      </c>
    </row>
    <row r="1659">
      <c r="A1659" s="114" t="n">
        <v>46250</v>
      </c>
      <c r="B1659" s="42" t="inlineStr">
        <is>
          <t>Wk 33</t>
        </is>
      </c>
      <c r="C1659" s="42" t="inlineStr">
        <is>
          <t>Sun</t>
        </is>
      </c>
      <c r="D1659" s="42" t="inlineStr">
        <is>
          <t>X</t>
        </is>
      </c>
      <c r="E1659" s="42" t="inlineStr">
        <is>
          <t>X (Twitter)</t>
        </is>
      </c>
      <c r="F1659" s="42" t="inlineStr">
        <is>
          <t>LEP_ZA_AUG26_X_RMKT_TD_CONV</t>
        </is>
      </c>
      <c r="G1659" s="42" t="inlineStr">
        <is>
          <t>Website Conversions</t>
        </is>
      </c>
      <c r="H1659" s="42" t="inlineStr">
        <is>
          <t>Range</t>
        </is>
      </c>
      <c r="I1659" s="42" t="inlineStr">
        <is>
          <t>Range Offer</t>
        </is>
      </c>
      <c r="J1659" s="42" t="inlineStr">
        <is>
          <t>X_RMKT_SITE14D_ZA</t>
        </is>
      </c>
      <c r="K1659" s="42" t="inlineStr">
        <is>
          <t>Retargeting</t>
        </is>
      </c>
      <c r="L1659" s="42" t="inlineStr">
        <is>
          <t>X_STA_RangeOffer_v1</t>
        </is>
      </c>
      <c r="M1659" s="42" t="inlineStr">
        <is>
          <t>Image Ad</t>
        </is>
      </c>
      <c r="N1659" s="42" t="inlineStr">
        <is>
          <t>Three models. One test drive.</t>
        </is>
      </c>
      <c r="O1659" s="42" t="inlineStr">
        <is>
          <t>Auction - Lowest Cost</t>
        </is>
      </c>
      <c r="P1659" s="42" t="inlineStr">
        <is>
          <t>Site Visit / Conversion</t>
        </is>
      </c>
      <c r="Q1659" s="42" t="inlineStr">
        <is>
          <t>https://www.lepas-sa.co.za/book-a-test-drive</t>
        </is>
      </c>
      <c r="R1659" s="115" t="n">
        <v>126.17</v>
      </c>
      <c r="S1659" s="116" t="n">
        <v>2353</v>
      </c>
      <c r="T1659" s="116" t="n">
        <v>1511</v>
      </c>
      <c r="U1659" s="117">
        <f>IFERROR(S1659/T1659,"")</f>
        <v/>
      </c>
      <c r="V1659" s="116" t="n">
        <v>20</v>
      </c>
      <c r="W1659" s="116" t="n">
        <v>16</v>
      </c>
      <c r="X1659" s="118">
        <f>IFERROR(W1659/S1659,"")</f>
        <v/>
      </c>
      <c r="Y1659" s="115">
        <f>IFERROR(R1659/W1659,"")</f>
        <v/>
      </c>
      <c r="Z1659" s="115">
        <f>IFERROR(R1659/S1659*1000,"")</f>
        <v/>
      </c>
      <c r="AA1659" s="116" t="n">
        <v>12</v>
      </c>
      <c r="AB1659" s="47">
        <f>IFERROR(AA1659/W1659,"")</f>
        <v/>
      </c>
      <c r="AC1659" s="116" t="n">
        <v>0</v>
      </c>
      <c r="AD1659" s="116" t="n">
        <v>0</v>
      </c>
      <c r="AE1659" s="116" t="n">
        <v>0</v>
      </c>
      <c r="AF1659" s="116" t="n">
        <v>0</v>
      </c>
      <c r="AG1659" s="116" t="n">
        <v>0</v>
      </c>
      <c r="AH1659" s="116" t="n">
        <v>0</v>
      </c>
      <c r="AI1659" s="47">
        <f>IFERROR(AC1659/S1659,"")</f>
        <v/>
      </c>
      <c r="AJ1659" s="47">
        <f>IFERROR(AH1659/S1659,"")</f>
        <v/>
      </c>
      <c r="AK1659" s="116" t="n">
        <v>48</v>
      </c>
      <c r="AL1659" s="116" t="n">
        <v>1</v>
      </c>
      <c r="AM1659" s="118">
        <f>IFERROR(AL1659/AA1659,"")</f>
        <v/>
      </c>
      <c r="AN1659" s="119">
        <f>IFERROR(R1659/AL1659,"")</f>
        <v/>
      </c>
      <c r="AO1659" s="116" t="n">
        <v>1</v>
      </c>
      <c r="AP1659" s="47">
        <f>IFERROR(AO1659/AL1659,"")</f>
        <v/>
      </c>
      <c r="AQ1659" s="119">
        <f>IFERROR(R1659/AO1659,"")</f>
        <v/>
      </c>
      <c r="AR1659" s="116" t="n">
        <v>0</v>
      </c>
      <c r="AS1659" s="116" t="n">
        <v>0</v>
      </c>
      <c r="AT1659" s="116">
        <f>AL1659+AR1659</f>
        <v/>
      </c>
      <c r="AU1659" s="119">
        <f>IFERROR(AO1659*Assumptions!$C$26*Assumptions!$C$27*INDEX(Assumptions!$C$18:$C$21,MATCH(H1659,Assumptions!$B$18:$B$21,0)),0)</f>
        <v/>
      </c>
    </row>
    <row r="1660">
      <c r="A1660" s="114" t="n">
        <v>46251</v>
      </c>
      <c r="B1660" s="42" t="inlineStr">
        <is>
          <t>Wk 34</t>
        </is>
      </c>
      <c r="C1660" s="42" t="inlineStr">
        <is>
          <t>Mon</t>
        </is>
      </c>
      <c r="D1660" s="42" t="inlineStr">
        <is>
          <t>X</t>
        </is>
      </c>
      <c r="E1660" s="42" t="inlineStr">
        <is>
          <t>X (Twitter)</t>
        </is>
      </c>
      <c r="F1660" s="42" t="inlineStr">
        <is>
          <t>LEP_ZA_AUG26_X_RMKT_TD_CONV</t>
        </is>
      </c>
      <c r="G1660" s="42" t="inlineStr">
        <is>
          <t>Website Conversions</t>
        </is>
      </c>
      <c r="H1660" s="42" t="inlineStr">
        <is>
          <t>Range</t>
        </is>
      </c>
      <c r="I1660" s="42" t="inlineStr">
        <is>
          <t>Range Offer</t>
        </is>
      </c>
      <c r="J1660" s="42" t="inlineStr">
        <is>
          <t>X_RMKT_SITE14D_ZA</t>
        </is>
      </c>
      <c r="K1660" s="42" t="inlineStr">
        <is>
          <t>Retargeting</t>
        </is>
      </c>
      <c r="L1660" s="42" t="inlineStr">
        <is>
          <t>X_STA_RangeOffer_v1</t>
        </is>
      </c>
      <c r="M1660" s="42" t="inlineStr">
        <is>
          <t>Image Ad</t>
        </is>
      </c>
      <c r="N1660" s="42" t="inlineStr">
        <is>
          <t>Three models. One test drive.</t>
        </is>
      </c>
      <c r="O1660" s="42" t="inlineStr">
        <is>
          <t>Auction - Lowest Cost</t>
        </is>
      </c>
      <c r="P1660" s="42" t="inlineStr">
        <is>
          <t>Site Visit / Conversion</t>
        </is>
      </c>
      <c r="Q1660" s="42" t="inlineStr">
        <is>
          <t>https://www.lepas-sa.co.za/book-a-test-drive</t>
        </is>
      </c>
      <c r="R1660" s="115" t="n">
        <v>131.77</v>
      </c>
      <c r="S1660" s="116" t="n">
        <v>1829</v>
      </c>
      <c r="T1660" s="116" t="n">
        <v>1316</v>
      </c>
      <c r="U1660" s="117">
        <f>IFERROR(S1660/T1660,"")</f>
        <v/>
      </c>
      <c r="V1660" s="116" t="n">
        <v>18</v>
      </c>
      <c r="W1660" s="116" t="n">
        <v>15</v>
      </c>
      <c r="X1660" s="118">
        <f>IFERROR(W1660/S1660,"")</f>
        <v/>
      </c>
      <c r="Y1660" s="115">
        <f>IFERROR(R1660/W1660,"")</f>
        <v/>
      </c>
      <c r="Z1660" s="115">
        <f>IFERROR(R1660/S1660*1000,"")</f>
        <v/>
      </c>
      <c r="AA1660" s="116" t="n">
        <v>11</v>
      </c>
      <c r="AB1660" s="47">
        <f>IFERROR(AA1660/W1660,"")</f>
        <v/>
      </c>
      <c r="AC1660" s="116" t="n">
        <v>0</v>
      </c>
      <c r="AD1660" s="116" t="n">
        <v>0</v>
      </c>
      <c r="AE1660" s="116" t="n">
        <v>0</v>
      </c>
      <c r="AF1660" s="116" t="n">
        <v>0</v>
      </c>
      <c r="AG1660" s="116" t="n">
        <v>0</v>
      </c>
      <c r="AH1660" s="116" t="n">
        <v>0</v>
      </c>
      <c r="AI1660" s="47">
        <f>IFERROR(AC1660/S1660,"")</f>
        <v/>
      </c>
      <c r="AJ1660" s="47">
        <f>IFERROR(AH1660/S1660,"")</f>
        <v/>
      </c>
      <c r="AK1660" s="116" t="n">
        <v>35</v>
      </c>
      <c r="AL1660" s="116" t="n">
        <v>0</v>
      </c>
      <c r="AM1660" s="118">
        <f>IFERROR(AL1660/AA1660,"")</f>
        <v/>
      </c>
      <c r="AN1660" s="119">
        <f>IFERROR(R1660/AL1660,"")</f>
        <v/>
      </c>
      <c r="AO1660" s="116" t="n">
        <v>0</v>
      </c>
      <c r="AP1660" s="47">
        <f>IFERROR(AO1660/AL1660,"")</f>
        <v/>
      </c>
      <c r="AQ1660" s="119">
        <f>IFERROR(R1660/AO1660,"")</f>
        <v/>
      </c>
      <c r="AR1660" s="116" t="n">
        <v>0</v>
      </c>
      <c r="AS1660" s="116" t="n">
        <v>0</v>
      </c>
      <c r="AT1660" s="116">
        <f>AL1660+AR1660</f>
        <v/>
      </c>
      <c r="AU1660" s="119">
        <f>IFERROR(AO1660*Assumptions!$C$26*Assumptions!$C$27*INDEX(Assumptions!$C$18:$C$21,MATCH(H1660,Assumptions!$B$18:$B$21,0)),0)</f>
        <v/>
      </c>
    </row>
    <row r="1661">
      <c r="A1661" s="114" t="n">
        <v>46252</v>
      </c>
      <c r="B1661" s="42" t="inlineStr">
        <is>
          <t>Wk 34</t>
        </is>
      </c>
      <c r="C1661" s="42" t="inlineStr">
        <is>
          <t>Tue</t>
        </is>
      </c>
      <c r="D1661" s="42" t="inlineStr">
        <is>
          <t>X</t>
        </is>
      </c>
      <c r="E1661" s="42" t="inlineStr">
        <is>
          <t>X (Twitter)</t>
        </is>
      </c>
      <c r="F1661" s="42" t="inlineStr">
        <is>
          <t>LEP_ZA_AUG26_X_RMKT_TD_CONV</t>
        </is>
      </c>
      <c r="G1661" s="42" t="inlineStr">
        <is>
          <t>Website Conversions</t>
        </is>
      </c>
      <c r="H1661" s="42" t="inlineStr">
        <is>
          <t>Range</t>
        </is>
      </c>
      <c r="I1661" s="42" t="inlineStr">
        <is>
          <t>Range Offer</t>
        </is>
      </c>
      <c r="J1661" s="42" t="inlineStr">
        <is>
          <t>X_RMKT_SITE14D_ZA</t>
        </is>
      </c>
      <c r="K1661" s="42" t="inlineStr">
        <is>
          <t>Retargeting</t>
        </is>
      </c>
      <c r="L1661" s="42" t="inlineStr">
        <is>
          <t>X_STA_RangeOffer_v1</t>
        </is>
      </c>
      <c r="M1661" s="42" t="inlineStr">
        <is>
          <t>Image Ad</t>
        </is>
      </c>
      <c r="N1661" s="42" t="inlineStr">
        <is>
          <t>Three models. One test drive.</t>
        </is>
      </c>
      <c r="O1661" s="42" t="inlineStr">
        <is>
          <t>Auction - Lowest Cost</t>
        </is>
      </c>
      <c r="P1661" s="42" t="inlineStr">
        <is>
          <t>Site Visit / Conversion</t>
        </is>
      </c>
      <c r="Q1661" s="42" t="inlineStr">
        <is>
          <t>https://www.lepas-sa.co.za/book-a-test-drive</t>
        </is>
      </c>
      <c r="R1661" s="115" t="n">
        <v>118.89</v>
      </c>
      <c r="S1661" s="116" t="n">
        <v>1662</v>
      </c>
      <c r="T1661" s="116" t="n">
        <v>1025</v>
      </c>
      <c r="U1661" s="117">
        <f>IFERROR(S1661/T1661,"")</f>
        <v/>
      </c>
      <c r="V1661" s="116" t="n">
        <v>23</v>
      </c>
      <c r="W1661" s="116" t="n">
        <v>16</v>
      </c>
      <c r="X1661" s="118">
        <f>IFERROR(W1661/S1661,"")</f>
        <v/>
      </c>
      <c r="Y1661" s="115">
        <f>IFERROR(R1661/W1661,"")</f>
        <v/>
      </c>
      <c r="Z1661" s="115">
        <f>IFERROR(R1661/S1661*1000,"")</f>
        <v/>
      </c>
      <c r="AA1661" s="116" t="n">
        <v>13</v>
      </c>
      <c r="AB1661" s="47">
        <f>IFERROR(AA1661/W1661,"")</f>
        <v/>
      </c>
      <c r="AC1661" s="116" t="n">
        <v>0</v>
      </c>
      <c r="AD1661" s="116" t="n">
        <v>0</v>
      </c>
      <c r="AE1661" s="116" t="n">
        <v>0</v>
      </c>
      <c r="AF1661" s="116" t="n">
        <v>0</v>
      </c>
      <c r="AG1661" s="116" t="n">
        <v>0</v>
      </c>
      <c r="AH1661" s="116" t="n">
        <v>0</v>
      </c>
      <c r="AI1661" s="47">
        <f>IFERROR(AC1661/S1661,"")</f>
        <v/>
      </c>
      <c r="AJ1661" s="47">
        <f>IFERROR(AH1661/S1661,"")</f>
        <v/>
      </c>
      <c r="AK1661" s="116" t="n">
        <v>19</v>
      </c>
      <c r="AL1661" s="116" t="n">
        <v>0</v>
      </c>
      <c r="AM1661" s="118">
        <f>IFERROR(AL1661/AA1661,"")</f>
        <v/>
      </c>
      <c r="AN1661" s="119">
        <f>IFERROR(R1661/AL1661,"")</f>
        <v/>
      </c>
      <c r="AO1661" s="116" t="n">
        <v>0</v>
      </c>
      <c r="AP1661" s="47">
        <f>IFERROR(AO1661/AL1661,"")</f>
        <v/>
      </c>
      <c r="AQ1661" s="119">
        <f>IFERROR(R1661/AO1661,"")</f>
        <v/>
      </c>
      <c r="AR1661" s="116" t="n">
        <v>0</v>
      </c>
      <c r="AS1661" s="116" t="n">
        <v>0</v>
      </c>
      <c r="AT1661" s="116">
        <f>AL1661+AR1661</f>
        <v/>
      </c>
      <c r="AU1661" s="119">
        <f>IFERROR(AO1661*Assumptions!$C$26*Assumptions!$C$27*INDEX(Assumptions!$C$18:$C$21,MATCH(H1661,Assumptions!$B$18:$B$21,0)),0)</f>
        <v/>
      </c>
    </row>
    <row r="1662">
      <c r="A1662" s="114" t="n">
        <v>46253</v>
      </c>
      <c r="B1662" s="42" t="inlineStr">
        <is>
          <t>Wk 34</t>
        </is>
      </c>
      <c r="C1662" s="42" t="inlineStr">
        <is>
          <t>Wed</t>
        </is>
      </c>
      <c r="D1662" s="42" t="inlineStr">
        <is>
          <t>X</t>
        </is>
      </c>
      <c r="E1662" s="42" t="inlineStr">
        <is>
          <t>X (Twitter)</t>
        </is>
      </c>
      <c r="F1662" s="42" t="inlineStr">
        <is>
          <t>LEP_ZA_AUG26_X_RMKT_TD_CONV</t>
        </is>
      </c>
      <c r="G1662" s="42" t="inlineStr">
        <is>
          <t>Website Conversions</t>
        </is>
      </c>
      <c r="H1662" s="42" t="inlineStr">
        <is>
          <t>Range</t>
        </is>
      </c>
      <c r="I1662" s="42" t="inlineStr">
        <is>
          <t>Range Offer</t>
        </is>
      </c>
      <c r="J1662" s="42" t="inlineStr">
        <is>
          <t>X_RMKT_SITE14D_ZA</t>
        </is>
      </c>
      <c r="K1662" s="42" t="inlineStr">
        <is>
          <t>Retargeting</t>
        </is>
      </c>
      <c r="L1662" s="42" t="inlineStr">
        <is>
          <t>X_STA_RangeOffer_v1</t>
        </is>
      </c>
      <c r="M1662" s="42" t="inlineStr">
        <is>
          <t>Image Ad</t>
        </is>
      </c>
      <c r="N1662" s="42" t="inlineStr">
        <is>
          <t>Three models. One test drive.</t>
        </is>
      </c>
      <c r="O1662" s="42" t="inlineStr">
        <is>
          <t>Auction - Lowest Cost</t>
        </is>
      </c>
      <c r="P1662" s="42" t="inlineStr">
        <is>
          <t>Site Visit / Conversion</t>
        </is>
      </c>
      <c r="Q1662" s="42" t="inlineStr">
        <is>
          <t>https://www.lepas-sa.co.za/book-a-test-drive</t>
        </is>
      </c>
      <c r="R1662" s="115" t="n">
        <v>125.66</v>
      </c>
      <c r="S1662" s="116" t="n">
        <v>2158</v>
      </c>
      <c r="T1662" s="116" t="n">
        <v>1298</v>
      </c>
      <c r="U1662" s="117">
        <f>IFERROR(S1662/T1662,"")</f>
        <v/>
      </c>
      <c r="V1662" s="116" t="n">
        <v>37</v>
      </c>
      <c r="W1662" s="116" t="n">
        <v>28</v>
      </c>
      <c r="X1662" s="118">
        <f>IFERROR(W1662/S1662,"")</f>
        <v/>
      </c>
      <c r="Y1662" s="115">
        <f>IFERROR(R1662/W1662,"")</f>
        <v/>
      </c>
      <c r="Z1662" s="115">
        <f>IFERROR(R1662/S1662*1000,"")</f>
        <v/>
      </c>
      <c r="AA1662" s="116" t="n">
        <v>20</v>
      </c>
      <c r="AB1662" s="47">
        <f>IFERROR(AA1662/W1662,"")</f>
        <v/>
      </c>
      <c r="AC1662" s="116" t="n">
        <v>0</v>
      </c>
      <c r="AD1662" s="116" t="n">
        <v>0</v>
      </c>
      <c r="AE1662" s="116" t="n">
        <v>0</v>
      </c>
      <c r="AF1662" s="116" t="n">
        <v>0</v>
      </c>
      <c r="AG1662" s="116" t="n">
        <v>0</v>
      </c>
      <c r="AH1662" s="116" t="n">
        <v>0</v>
      </c>
      <c r="AI1662" s="47">
        <f>IFERROR(AC1662/S1662,"")</f>
        <v/>
      </c>
      <c r="AJ1662" s="47">
        <f>IFERROR(AH1662/S1662,"")</f>
        <v/>
      </c>
      <c r="AK1662" s="116" t="n">
        <v>44</v>
      </c>
      <c r="AL1662" s="116" t="n">
        <v>1</v>
      </c>
      <c r="AM1662" s="118">
        <f>IFERROR(AL1662/AA1662,"")</f>
        <v/>
      </c>
      <c r="AN1662" s="119">
        <f>IFERROR(R1662/AL1662,"")</f>
        <v/>
      </c>
      <c r="AO1662" s="116" t="n">
        <v>0</v>
      </c>
      <c r="AP1662" s="47">
        <f>IFERROR(AO1662/AL1662,"")</f>
        <v/>
      </c>
      <c r="AQ1662" s="119">
        <f>IFERROR(R1662/AO1662,"")</f>
        <v/>
      </c>
      <c r="AR1662" s="116" t="n">
        <v>0</v>
      </c>
      <c r="AS1662" s="116" t="n">
        <v>1</v>
      </c>
      <c r="AT1662" s="116">
        <f>AL1662+AR1662</f>
        <v/>
      </c>
      <c r="AU1662" s="119">
        <f>IFERROR(AO1662*Assumptions!$C$26*Assumptions!$C$27*INDEX(Assumptions!$C$18:$C$21,MATCH(H1662,Assumptions!$B$18:$B$21,0)),0)</f>
        <v/>
      </c>
    </row>
    <row r="1663">
      <c r="A1663" s="114" t="n">
        <v>46254</v>
      </c>
      <c r="B1663" s="42" t="inlineStr">
        <is>
          <t>Wk 34</t>
        </is>
      </c>
      <c r="C1663" s="42" t="inlineStr">
        <is>
          <t>Thu</t>
        </is>
      </c>
      <c r="D1663" s="42" t="inlineStr">
        <is>
          <t>X</t>
        </is>
      </c>
      <c r="E1663" s="42" t="inlineStr">
        <is>
          <t>X (Twitter)</t>
        </is>
      </c>
      <c r="F1663" s="42" t="inlineStr">
        <is>
          <t>LEP_ZA_AUG26_X_RMKT_TD_CONV</t>
        </is>
      </c>
      <c r="G1663" s="42" t="inlineStr">
        <is>
          <t>Website Conversions</t>
        </is>
      </c>
      <c r="H1663" s="42" t="inlineStr">
        <is>
          <t>Range</t>
        </is>
      </c>
      <c r="I1663" s="42" t="inlineStr">
        <is>
          <t>Range Offer</t>
        </is>
      </c>
      <c r="J1663" s="42" t="inlineStr">
        <is>
          <t>X_RMKT_SITE14D_ZA</t>
        </is>
      </c>
      <c r="K1663" s="42" t="inlineStr">
        <is>
          <t>Retargeting</t>
        </is>
      </c>
      <c r="L1663" s="42" t="inlineStr">
        <is>
          <t>X_STA_RangeOffer_v1</t>
        </is>
      </c>
      <c r="M1663" s="42" t="inlineStr">
        <is>
          <t>Image Ad</t>
        </is>
      </c>
      <c r="N1663" s="42" t="inlineStr">
        <is>
          <t>Three models. One test drive.</t>
        </is>
      </c>
      <c r="O1663" s="42" t="inlineStr">
        <is>
          <t>Auction - Lowest Cost</t>
        </is>
      </c>
      <c r="P1663" s="42" t="inlineStr">
        <is>
          <t>Site Visit / Conversion</t>
        </is>
      </c>
      <c r="Q1663" s="42" t="inlineStr">
        <is>
          <t>https://www.lepas-sa.co.za/book-a-test-drive</t>
        </is>
      </c>
      <c r="R1663" s="115" t="n">
        <v>150.86</v>
      </c>
      <c r="S1663" s="116" t="n">
        <v>1786</v>
      </c>
      <c r="T1663" s="116" t="n">
        <v>1119</v>
      </c>
      <c r="U1663" s="117">
        <f>IFERROR(S1663/T1663,"")</f>
        <v/>
      </c>
      <c r="V1663" s="116" t="n">
        <v>16</v>
      </c>
      <c r="W1663" s="116" t="n">
        <v>13</v>
      </c>
      <c r="X1663" s="118">
        <f>IFERROR(W1663/S1663,"")</f>
        <v/>
      </c>
      <c r="Y1663" s="115">
        <f>IFERROR(R1663/W1663,"")</f>
        <v/>
      </c>
      <c r="Z1663" s="115">
        <f>IFERROR(R1663/S1663*1000,"")</f>
        <v/>
      </c>
      <c r="AA1663" s="116" t="n">
        <v>10</v>
      </c>
      <c r="AB1663" s="47">
        <f>IFERROR(AA1663/W1663,"")</f>
        <v/>
      </c>
      <c r="AC1663" s="116" t="n">
        <v>0</v>
      </c>
      <c r="AD1663" s="116" t="n">
        <v>0</v>
      </c>
      <c r="AE1663" s="116" t="n">
        <v>0</v>
      </c>
      <c r="AF1663" s="116" t="n">
        <v>0</v>
      </c>
      <c r="AG1663" s="116" t="n">
        <v>0</v>
      </c>
      <c r="AH1663" s="116" t="n">
        <v>0</v>
      </c>
      <c r="AI1663" s="47">
        <f>IFERROR(AC1663/S1663,"")</f>
        <v/>
      </c>
      <c r="AJ1663" s="47">
        <f>IFERROR(AH1663/S1663,"")</f>
        <v/>
      </c>
      <c r="AK1663" s="116" t="n">
        <v>28</v>
      </c>
      <c r="AL1663" s="116" t="n">
        <v>0</v>
      </c>
      <c r="AM1663" s="118">
        <f>IFERROR(AL1663/AA1663,"")</f>
        <v/>
      </c>
      <c r="AN1663" s="119">
        <f>IFERROR(R1663/AL1663,"")</f>
        <v/>
      </c>
      <c r="AO1663" s="116" t="n">
        <v>0</v>
      </c>
      <c r="AP1663" s="47">
        <f>IFERROR(AO1663/AL1663,"")</f>
        <v/>
      </c>
      <c r="AQ1663" s="119">
        <f>IFERROR(R1663/AO1663,"")</f>
        <v/>
      </c>
      <c r="AR1663" s="116" t="n">
        <v>0</v>
      </c>
      <c r="AS1663" s="116" t="n">
        <v>0</v>
      </c>
      <c r="AT1663" s="116">
        <f>AL1663+AR1663</f>
        <v/>
      </c>
      <c r="AU1663" s="119">
        <f>IFERROR(AO1663*Assumptions!$C$26*Assumptions!$C$27*INDEX(Assumptions!$C$18:$C$21,MATCH(H1663,Assumptions!$B$18:$B$21,0)),0)</f>
        <v/>
      </c>
    </row>
    <row r="1664">
      <c r="A1664" s="114" t="n">
        <v>46255</v>
      </c>
      <c r="B1664" s="42" t="inlineStr">
        <is>
          <t>Wk 34</t>
        </is>
      </c>
      <c r="C1664" s="42" t="inlineStr">
        <is>
          <t>Fri</t>
        </is>
      </c>
      <c r="D1664" s="42" t="inlineStr">
        <is>
          <t>X</t>
        </is>
      </c>
      <c r="E1664" s="42" t="inlineStr">
        <is>
          <t>X (Twitter)</t>
        </is>
      </c>
      <c r="F1664" s="42" t="inlineStr">
        <is>
          <t>LEP_ZA_AUG26_X_RMKT_TD_CONV</t>
        </is>
      </c>
      <c r="G1664" s="42" t="inlineStr">
        <is>
          <t>Website Conversions</t>
        </is>
      </c>
      <c r="H1664" s="42" t="inlineStr">
        <is>
          <t>Range</t>
        </is>
      </c>
      <c r="I1664" s="42" t="inlineStr">
        <is>
          <t>Range Offer</t>
        </is>
      </c>
      <c r="J1664" s="42" t="inlineStr">
        <is>
          <t>X_RMKT_SITE14D_ZA</t>
        </is>
      </c>
      <c r="K1664" s="42" t="inlineStr">
        <is>
          <t>Retargeting</t>
        </is>
      </c>
      <c r="L1664" s="42" t="inlineStr">
        <is>
          <t>X_STA_RangeOffer_v1</t>
        </is>
      </c>
      <c r="M1664" s="42" t="inlineStr">
        <is>
          <t>Image Ad</t>
        </is>
      </c>
      <c r="N1664" s="42" t="inlineStr">
        <is>
          <t>Three models. One test drive.</t>
        </is>
      </c>
      <c r="O1664" s="42" t="inlineStr">
        <is>
          <t>Auction - Lowest Cost</t>
        </is>
      </c>
      <c r="P1664" s="42" t="inlineStr">
        <is>
          <t>Site Visit / Conversion</t>
        </is>
      </c>
      <c r="Q1664" s="42" t="inlineStr">
        <is>
          <t>https://www.lepas-sa.co.za/book-a-test-drive</t>
        </is>
      </c>
      <c r="R1664" s="115" t="n">
        <v>160.75</v>
      </c>
      <c r="S1664" s="116" t="n">
        <v>2106</v>
      </c>
      <c r="T1664" s="116" t="n">
        <v>1192</v>
      </c>
      <c r="U1664" s="117">
        <f>IFERROR(S1664/T1664,"")</f>
        <v/>
      </c>
      <c r="V1664" s="116" t="n">
        <v>17</v>
      </c>
      <c r="W1664" s="116" t="n">
        <v>14</v>
      </c>
      <c r="X1664" s="118">
        <f>IFERROR(W1664/S1664,"")</f>
        <v/>
      </c>
      <c r="Y1664" s="115">
        <f>IFERROR(R1664/W1664,"")</f>
        <v/>
      </c>
      <c r="Z1664" s="115">
        <f>IFERROR(R1664/S1664*1000,"")</f>
        <v/>
      </c>
      <c r="AA1664" s="116" t="n">
        <v>11</v>
      </c>
      <c r="AB1664" s="47">
        <f>IFERROR(AA1664/W1664,"")</f>
        <v/>
      </c>
      <c r="AC1664" s="116" t="n">
        <v>0</v>
      </c>
      <c r="AD1664" s="116" t="n">
        <v>0</v>
      </c>
      <c r="AE1664" s="116" t="n">
        <v>0</v>
      </c>
      <c r="AF1664" s="116" t="n">
        <v>0</v>
      </c>
      <c r="AG1664" s="116" t="n">
        <v>0</v>
      </c>
      <c r="AH1664" s="116" t="n">
        <v>0</v>
      </c>
      <c r="AI1664" s="47">
        <f>IFERROR(AC1664/S1664,"")</f>
        <v/>
      </c>
      <c r="AJ1664" s="47">
        <f>IFERROR(AH1664/S1664,"")</f>
        <v/>
      </c>
      <c r="AK1664" s="116" t="n">
        <v>41</v>
      </c>
      <c r="AL1664" s="116" t="n">
        <v>0</v>
      </c>
      <c r="AM1664" s="118">
        <f>IFERROR(AL1664/AA1664,"")</f>
        <v/>
      </c>
      <c r="AN1664" s="119">
        <f>IFERROR(R1664/AL1664,"")</f>
        <v/>
      </c>
      <c r="AO1664" s="116" t="n">
        <v>0</v>
      </c>
      <c r="AP1664" s="47">
        <f>IFERROR(AO1664/AL1664,"")</f>
        <v/>
      </c>
      <c r="AQ1664" s="119">
        <f>IFERROR(R1664/AO1664,"")</f>
        <v/>
      </c>
      <c r="AR1664" s="116" t="n">
        <v>0</v>
      </c>
      <c r="AS1664" s="116" t="n">
        <v>0</v>
      </c>
      <c r="AT1664" s="116">
        <f>AL1664+AR1664</f>
        <v/>
      </c>
      <c r="AU1664" s="119">
        <f>IFERROR(AO1664*Assumptions!$C$26*Assumptions!$C$27*INDEX(Assumptions!$C$18:$C$21,MATCH(H1664,Assumptions!$B$18:$B$21,0)),0)</f>
        <v/>
      </c>
    </row>
    <row r="1665">
      <c r="A1665" s="114" t="n">
        <v>46256</v>
      </c>
      <c r="B1665" s="42" t="inlineStr">
        <is>
          <t>Wk 34</t>
        </is>
      </c>
      <c r="C1665" s="42" t="inlineStr">
        <is>
          <t>Sat</t>
        </is>
      </c>
      <c r="D1665" s="42" t="inlineStr">
        <is>
          <t>X</t>
        </is>
      </c>
      <c r="E1665" s="42" t="inlineStr">
        <is>
          <t>X (Twitter)</t>
        </is>
      </c>
      <c r="F1665" s="42" t="inlineStr">
        <is>
          <t>LEP_ZA_AUG26_X_RMKT_TD_CONV</t>
        </is>
      </c>
      <c r="G1665" s="42" t="inlineStr">
        <is>
          <t>Website Conversions</t>
        </is>
      </c>
      <c r="H1665" s="42" t="inlineStr">
        <is>
          <t>Range</t>
        </is>
      </c>
      <c r="I1665" s="42" t="inlineStr">
        <is>
          <t>Range Offer</t>
        </is>
      </c>
      <c r="J1665" s="42" t="inlineStr">
        <is>
          <t>X_RMKT_SITE14D_ZA</t>
        </is>
      </c>
      <c r="K1665" s="42" t="inlineStr">
        <is>
          <t>Retargeting</t>
        </is>
      </c>
      <c r="L1665" s="42" t="inlineStr">
        <is>
          <t>X_STA_RangeOffer_v1</t>
        </is>
      </c>
      <c r="M1665" s="42" t="inlineStr">
        <is>
          <t>Image Ad</t>
        </is>
      </c>
      <c r="N1665" s="42" t="inlineStr">
        <is>
          <t>Three models. One test drive.</t>
        </is>
      </c>
      <c r="O1665" s="42" t="inlineStr">
        <is>
          <t>Auction - Lowest Cost</t>
        </is>
      </c>
      <c r="P1665" s="42" t="inlineStr">
        <is>
          <t>Site Visit / Conversion</t>
        </is>
      </c>
      <c r="Q1665" s="42" t="inlineStr">
        <is>
          <t>https://www.lepas-sa.co.za/book-a-test-drive</t>
        </is>
      </c>
      <c r="R1665" s="115" t="n">
        <v>135.39</v>
      </c>
      <c r="S1665" s="116" t="n">
        <v>2202</v>
      </c>
      <c r="T1665" s="116" t="n">
        <v>1353</v>
      </c>
      <c r="U1665" s="117">
        <f>IFERROR(S1665/T1665,"")</f>
        <v/>
      </c>
      <c r="V1665" s="116" t="n">
        <v>32</v>
      </c>
      <c r="W1665" s="116" t="n">
        <v>25</v>
      </c>
      <c r="X1665" s="118">
        <f>IFERROR(W1665/S1665,"")</f>
        <v/>
      </c>
      <c r="Y1665" s="115">
        <f>IFERROR(R1665/W1665,"")</f>
        <v/>
      </c>
      <c r="Z1665" s="115">
        <f>IFERROR(R1665/S1665*1000,"")</f>
        <v/>
      </c>
      <c r="AA1665" s="116" t="n">
        <v>18</v>
      </c>
      <c r="AB1665" s="47">
        <f>IFERROR(AA1665/W1665,"")</f>
        <v/>
      </c>
      <c r="AC1665" s="116" t="n">
        <v>0</v>
      </c>
      <c r="AD1665" s="116" t="n">
        <v>0</v>
      </c>
      <c r="AE1665" s="116" t="n">
        <v>0</v>
      </c>
      <c r="AF1665" s="116" t="n">
        <v>0</v>
      </c>
      <c r="AG1665" s="116" t="n">
        <v>0</v>
      </c>
      <c r="AH1665" s="116" t="n">
        <v>0</v>
      </c>
      <c r="AI1665" s="47">
        <f>IFERROR(AC1665/S1665,"")</f>
        <v/>
      </c>
      <c r="AJ1665" s="47">
        <f>IFERROR(AH1665/S1665,"")</f>
        <v/>
      </c>
      <c r="AK1665" s="116" t="n">
        <v>55</v>
      </c>
      <c r="AL1665" s="116" t="n">
        <v>1</v>
      </c>
      <c r="AM1665" s="118">
        <f>IFERROR(AL1665/AA1665,"")</f>
        <v/>
      </c>
      <c r="AN1665" s="119">
        <f>IFERROR(R1665/AL1665,"")</f>
        <v/>
      </c>
      <c r="AO1665" s="116" t="n">
        <v>1</v>
      </c>
      <c r="AP1665" s="47">
        <f>IFERROR(AO1665/AL1665,"")</f>
        <v/>
      </c>
      <c r="AQ1665" s="119">
        <f>IFERROR(R1665/AO1665,"")</f>
        <v/>
      </c>
      <c r="AR1665" s="116" t="n">
        <v>0</v>
      </c>
      <c r="AS1665" s="116" t="n">
        <v>0</v>
      </c>
      <c r="AT1665" s="116">
        <f>AL1665+AR1665</f>
        <v/>
      </c>
      <c r="AU1665" s="119">
        <f>IFERROR(AO1665*Assumptions!$C$26*Assumptions!$C$27*INDEX(Assumptions!$C$18:$C$21,MATCH(H1665,Assumptions!$B$18:$B$21,0)),0)</f>
        <v/>
      </c>
    </row>
    <row r="1666">
      <c r="A1666" s="114" t="n">
        <v>46257</v>
      </c>
      <c r="B1666" s="42" t="inlineStr">
        <is>
          <t>Wk 34</t>
        </is>
      </c>
      <c r="C1666" s="42" t="inlineStr">
        <is>
          <t>Sun</t>
        </is>
      </c>
      <c r="D1666" s="42" t="inlineStr">
        <is>
          <t>X</t>
        </is>
      </c>
      <c r="E1666" s="42" t="inlineStr">
        <is>
          <t>X (Twitter)</t>
        </is>
      </c>
      <c r="F1666" s="42" t="inlineStr">
        <is>
          <t>LEP_ZA_AUG26_X_RMKT_TD_CONV</t>
        </is>
      </c>
      <c r="G1666" s="42" t="inlineStr">
        <is>
          <t>Website Conversions</t>
        </is>
      </c>
      <c r="H1666" s="42" t="inlineStr">
        <is>
          <t>Range</t>
        </is>
      </c>
      <c r="I1666" s="42" t="inlineStr">
        <is>
          <t>Range Offer</t>
        </is>
      </c>
      <c r="J1666" s="42" t="inlineStr">
        <is>
          <t>X_RMKT_SITE14D_ZA</t>
        </is>
      </c>
      <c r="K1666" s="42" t="inlineStr">
        <is>
          <t>Retargeting</t>
        </is>
      </c>
      <c r="L1666" s="42" t="inlineStr">
        <is>
          <t>X_STA_RangeOffer_v1</t>
        </is>
      </c>
      <c r="M1666" s="42" t="inlineStr">
        <is>
          <t>Image Ad</t>
        </is>
      </c>
      <c r="N1666" s="42" t="inlineStr">
        <is>
          <t>Three models. One test drive.</t>
        </is>
      </c>
      <c r="O1666" s="42" t="inlineStr">
        <is>
          <t>Auction - Lowest Cost</t>
        </is>
      </c>
      <c r="P1666" s="42" t="inlineStr">
        <is>
          <t>Site Visit / Conversion</t>
        </is>
      </c>
      <c r="Q1666" s="42" t="inlineStr">
        <is>
          <t>https://www.lepas-sa.co.za/book-a-test-drive</t>
        </is>
      </c>
      <c r="R1666" s="115" t="n">
        <v>106.11</v>
      </c>
      <c r="S1666" s="116" t="n">
        <v>1318</v>
      </c>
      <c r="T1666" s="116" t="n">
        <v>762</v>
      </c>
      <c r="U1666" s="117">
        <f>IFERROR(S1666/T1666,"")</f>
        <v/>
      </c>
      <c r="V1666" s="116" t="n">
        <v>17</v>
      </c>
      <c r="W1666" s="116" t="n">
        <v>13</v>
      </c>
      <c r="X1666" s="118">
        <f>IFERROR(W1666/S1666,"")</f>
        <v/>
      </c>
      <c r="Y1666" s="115">
        <f>IFERROR(R1666/W1666,"")</f>
        <v/>
      </c>
      <c r="Z1666" s="115">
        <f>IFERROR(R1666/S1666*1000,"")</f>
        <v/>
      </c>
      <c r="AA1666" s="116" t="n">
        <v>10</v>
      </c>
      <c r="AB1666" s="47">
        <f>IFERROR(AA1666/W1666,"")</f>
        <v/>
      </c>
      <c r="AC1666" s="116" t="n">
        <v>0</v>
      </c>
      <c r="AD1666" s="116" t="n">
        <v>0</v>
      </c>
      <c r="AE1666" s="116" t="n">
        <v>0</v>
      </c>
      <c r="AF1666" s="116" t="n">
        <v>0</v>
      </c>
      <c r="AG1666" s="116" t="n">
        <v>0</v>
      </c>
      <c r="AH1666" s="116" t="n">
        <v>0</v>
      </c>
      <c r="AI1666" s="47">
        <f>IFERROR(AC1666/S1666,"")</f>
        <v/>
      </c>
      <c r="AJ1666" s="47">
        <f>IFERROR(AH1666/S1666,"")</f>
        <v/>
      </c>
      <c r="AK1666" s="116" t="n">
        <v>26</v>
      </c>
      <c r="AL1666" s="116" t="n">
        <v>0</v>
      </c>
      <c r="AM1666" s="118">
        <f>IFERROR(AL1666/AA1666,"")</f>
        <v/>
      </c>
      <c r="AN1666" s="119">
        <f>IFERROR(R1666/AL1666,"")</f>
        <v/>
      </c>
      <c r="AO1666" s="116" t="n">
        <v>0</v>
      </c>
      <c r="AP1666" s="47">
        <f>IFERROR(AO1666/AL1666,"")</f>
        <v/>
      </c>
      <c r="AQ1666" s="119">
        <f>IFERROR(R1666/AO1666,"")</f>
        <v/>
      </c>
      <c r="AR1666" s="116" t="n">
        <v>0</v>
      </c>
      <c r="AS1666" s="116" t="n">
        <v>0</v>
      </c>
      <c r="AT1666" s="116">
        <f>AL1666+AR1666</f>
        <v/>
      </c>
      <c r="AU1666" s="119">
        <f>IFERROR(AO1666*Assumptions!$C$26*Assumptions!$C$27*INDEX(Assumptions!$C$18:$C$21,MATCH(H1666,Assumptions!$B$18:$B$21,0)),0)</f>
        <v/>
      </c>
    </row>
    <row r="1667">
      <c r="A1667" s="114" t="n">
        <v>46258</v>
      </c>
      <c r="B1667" s="42" t="inlineStr">
        <is>
          <t>Wk 35</t>
        </is>
      </c>
      <c r="C1667" s="42" t="inlineStr">
        <is>
          <t>Mon</t>
        </is>
      </c>
      <c r="D1667" s="42" t="inlineStr">
        <is>
          <t>X</t>
        </is>
      </c>
      <c r="E1667" s="42" t="inlineStr">
        <is>
          <t>X (Twitter)</t>
        </is>
      </c>
      <c r="F1667" s="42" t="inlineStr">
        <is>
          <t>LEP_ZA_AUG26_X_RMKT_TD_CONV</t>
        </is>
      </c>
      <c r="G1667" s="42" t="inlineStr">
        <is>
          <t>Website Conversions</t>
        </is>
      </c>
      <c r="H1667" s="42" t="inlineStr">
        <is>
          <t>Range</t>
        </is>
      </c>
      <c r="I1667" s="42" t="inlineStr">
        <is>
          <t>Range Offer</t>
        </is>
      </c>
      <c r="J1667" s="42" t="inlineStr">
        <is>
          <t>X_RMKT_SITE14D_ZA</t>
        </is>
      </c>
      <c r="K1667" s="42" t="inlineStr">
        <is>
          <t>Retargeting</t>
        </is>
      </c>
      <c r="L1667" s="42" t="inlineStr">
        <is>
          <t>X_STA_RangeOffer_v1</t>
        </is>
      </c>
      <c r="M1667" s="42" t="inlineStr">
        <is>
          <t>Image Ad</t>
        </is>
      </c>
      <c r="N1667" s="42" t="inlineStr">
        <is>
          <t>Three models. One test drive.</t>
        </is>
      </c>
      <c r="O1667" s="42" t="inlineStr">
        <is>
          <t>Auction - Lowest Cost</t>
        </is>
      </c>
      <c r="P1667" s="42" t="inlineStr">
        <is>
          <t>Site Visit / Conversion</t>
        </is>
      </c>
      <c r="Q1667" s="42" t="inlineStr">
        <is>
          <t>https://www.lepas-sa.co.za/book-a-test-drive</t>
        </is>
      </c>
      <c r="R1667" s="115" t="n">
        <v>109.47</v>
      </c>
      <c r="S1667" s="116" t="n">
        <v>1561</v>
      </c>
      <c r="T1667" s="116" t="n">
        <v>830</v>
      </c>
      <c r="U1667" s="117">
        <f>IFERROR(S1667/T1667,"")</f>
        <v/>
      </c>
      <c r="V1667" s="116" t="n">
        <v>24</v>
      </c>
      <c r="W1667" s="116" t="n">
        <v>19</v>
      </c>
      <c r="X1667" s="118">
        <f>IFERROR(W1667/S1667,"")</f>
        <v/>
      </c>
      <c r="Y1667" s="115">
        <f>IFERROR(R1667/W1667,"")</f>
        <v/>
      </c>
      <c r="Z1667" s="115">
        <f>IFERROR(R1667/S1667*1000,"")</f>
        <v/>
      </c>
      <c r="AA1667" s="116" t="n">
        <v>15</v>
      </c>
      <c r="AB1667" s="47">
        <f>IFERROR(AA1667/W1667,"")</f>
        <v/>
      </c>
      <c r="AC1667" s="116" t="n">
        <v>0</v>
      </c>
      <c r="AD1667" s="116" t="n">
        <v>0</v>
      </c>
      <c r="AE1667" s="116" t="n">
        <v>0</v>
      </c>
      <c r="AF1667" s="116" t="n">
        <v>0</v>
      </c>
      <c r="AG1667" s="116" t="n">
        <v>0</v>
      </c>
      <c r="AH1667" s="116" t="n">
        <v>0</v>
      </c>
      <c r="AI1667" s="47">
        <f>IFERROR(AC1667/S1667,"")</f>
        <v/>
      </c>
      <c r="AJ1667" s="47">
        <f>IFERROR(AH1667/S1667,"")</f>
        <v/>
      </c>
      <c r="AK1667" s="116" t="n">
        <v>16</v>
      </c>
      <c r="AL1667" s="116" t="n">
        <v>0</v>
      </c>
      <c r="AM1667" s="118">
        <f>IFERROR(AL1667/AA1667,"")</f>
        <v/>
      </c>
      <c r="AN1667" s="119">
        <f>IFERROR(R1667/AL1667,"")</f>
        <v/>
      </c>
      <c r="AO1667" s="116" t="n">
        <v>0</v>
      </c>
      <c r="AP1667" s="47">
        <f>IFERROR(AO1667/AL1667,"")</f>
        <v/>
      </c>
      <c r="AQ1667" s="119">
        <f>IFERROR(R1667/AO1667,"")</f>
        <v/>
      </c>
      <c r="AR1667" s="116" t="n">
        <v>0</v>
      </c>
      <c r="AS1667" s="116" t="n">
        <v>0</v>
      </c>
      <c r="AT1667" s="116">
        <f>AL1667+AR1667</f>
        <v/>
      </c>
      <c r="AU1667" s="119">
        <f>IFERROR(AO1667*Assumptions!$C$26*Assumptions!$C$27*INDEX(Assumptions!$C$18:$C$21,MATCH(H1667,Assumptions!$B$18:$B$21,0)),0)</f>
        <v/>
      </c>
    </row>
    <row r="1668">
      <c r="A1668" s="114" t="n">
        <v>46259</v>
      </c>
      <c r="B1668" s="42" t="inlineStr">
        <is>
          <t>Wk 35</t>
        </is>
      </c>
      <c r="C1668" s="42" t="inlineStr">
        <is>
          <t>Tue</t>
        </is>
      </c>
      <c r="D1668" s="42" t="inlineStr">
        <is>
          <t>X</t>
        </is>
      </c>
      <c r="E1668" s="42" t="inlineStr">
        <is>
          <t>X (Twitter)</t>
        </is>
      </c>
      <c r="F1668" s="42" t="inlineStr">
        <is>
          <t>LEP_ZA_AUG26_X_RMKT_TD_CONV</t>
        </is>
      </c>
      <c r="G1668" s="42" t="inlineStr">
        <is>
          <t>Website Conversions</t>
        </is>
      </c>
      <c r="H1668" s="42" t="inlineStr">
        <is>
          <t>Range</t>
        </is>
      </c>
      <c r="I1668" s="42" t="inlineStr">
        <is>
          <t>Range Offer</t>
        </is>
      </c>
      <c r="J1668" s="42" t="inlineStr">
        <is>
          <t>X_RMKT_SITE14D_ZA</t>
        </is>
      </c>
      <c r="K1668" s="42" t="inlineStr">
        <is>
          <t>Retargeting</t>
        </is>
      </c>
      <c r="L1668" s="42" t="inlineStr">
        <is>
          <t>X_STA_RangeOffer_v1</t>
        </is>
      </c>
      <c r="M1668" s="42" t="inlineStr">
        <is>
          <t>Image Ad</t>
        </is>
      </c>
      <c r="N1668" s="42" t="inlineStr">
        <is>
          <t>Three models. One test drive.</t>
        </is>
      </c>
      <c r="O1668" s="42" t="inlineStr">
        <is>
          <t>Auction - Lowest Cost</t>
        </is>
      </c>
      <c r="P1668" s="42" t="inlineStr">
        <is>
          <t>Site Visit / Conversion</t>
        </is>
      </c>
      <c r="Q1668" s="42" t="inlineStr">
        <is>
          <t>https://www.lepas-sa.co.za/book-a-test-drive</t>
        </is>
      </c>
      <c r="R1668" s="115" t="n">
        <v>125.61</v>
      </c>
      <c r="S1668" s="116" t="n">
        <v>1841</v>
      </c>
      <c r="T1668" s="116" t="n">
        <v>1115</v>
      </c>
      <c r="U1668" s="117">
        <f>IFERROR(S1668/T1668,"")</f>
        <v/>
      </c>
      <c r="V1668" s="116" t="n">
        <v>27</v>
      </c>
      <c r="W1668" s="116" t="n">
        <v>20</v>
      </c>
      <c r="X1668" s="118">
        <f>IFERROR(W1668/S1668,"")</f>
        <v/>
      </c>
      <c r="Y1668" s="115">
        <f>IFERROR(R1668/W1668,"")</f>
        <v/>
      </c>
      <c r="Z1668" s="115">
        <f>IFERROR(R1668/S1668*1000,"")</f>
        <v/>
      </c>
      <c r="AA1668" s="116" t="n">
        <v>15</v>
      </c>
      <c r="AB1668" s="47">
        <f>IFERROR(AA1668/W1668,"")</f>
        <v/>
      </c>
      <c r="AC1668" s="116" t="n">
        <v>0</v>
      </c>
      <c r="AD1668" s="116" t="n">
        <v>0</v>
      </c>
      <c r="AE1668" s="116" t="n">
        <v>0</v>
      </c>
      <c r="AF1668" s="116" t="n">
        <v>0</v>
      </c>
      <c r="AG1668" s="116" t="n">
        <v>0</v>
      </c>
      <c r="AH1668" s="116" t="n">
        <v>0</v>
      </c>
      <c r="AI1668" s="47">
        <f>IFERROR(AC1668/S1668,"")</f>
        <v/>
      </c>
      <c r="AJ1668" s="47">
        <f>IFERROR(AH1668/S1668,"")</f>
        <v/>
      </c>
      <c r="AK1668" s="116" t="n">
        <v>15</v>
      </c>
      <c r="AL1668" s="116" t="n">
        <v>1</v>
      </c>
      <c r="AM1668" s="118">
        <f>IFERROR(AL1668/AA1668,"")</f>
        <v/>
      </c>
      <c r="AN1668" s="119">
        <f>IFERROR(R1668/AL1668,"")</f>
        <v/>
      </c>
      <c r="AO1668" s="116" t="n">
        <v>1</v>
      </c>
      <c r="AP1668" s="47">
        <f>IFERROR(AO1668/AL1668,"")</f>
        <v/>
      </c>
      <c r="AQ1668" s="119">
        <f>IFERROR(R1668/AO1668,"")</f>
        <v/>
      </c>
      <c r="AR1668" s="116" t="n">
        <v>1</v>
      </c>
      <c r="AS1668" s="116" t="n">
        <v>1</v>
      </c>
      <c r="AT1668" s="116">
        <f>AL1668+AR1668</f>
        <v/>
      </c>
      <c r="AU1668" s="119">
        <f>IFERROR(AO1668*Assumptions!$C$26*Assumptions!$C$27*INDEX(Assumptions!$C$18:$C$21,MATCH(H1668,Assumptions!$B$18:$B$21,0)),0)</f>
        <v/>
      </c>
    </row>
    <row r="1669">
      <c r="A1669" s="114" t="n">
        <v>46260</v>
      </c>
      <c r="B1669" s="42" t="inlineStr">
        <is>
          <t>Wk 35</t>
        </is>
      </c>
      <c r="C1669" s="42" t="inlineStr">
        <is>
          <t>Wed</t>
        </is>
      </c>
      <c r="D1669" s="42" t="inlineStr">
        <is>
          <t>X</t>
        </is>
      </c>
      <c r="E1669" s="42" t="inlineStr">
        <is>
          <t>X (Twitter)</t>
        </is>
      </c>
      <c r="F1669" s="42" t="inlineStr">
        <is>
          <t>LEP_ZA_AUG26_X_RMKT_TD_CONV</t>
        </is>
      </c>
      <c r="G1669" s="42" t="inlineStr">
        <is>
          <t>Website Conversions</t>
        </is>
      </c>
      <c r="H1669" s="42" t="inlineStr">
        <is>
          <t>Range</t>
        </is>
      </c>
      <c r="I1669" s="42" t="inlineStr">
        <is>
          <t>Range Offer</t>
        </is>
      </c>
      <c r="J1669" s="42" t="inlineStr">
        <is>
          <t>X_RMKT_SITE14D_ZA</t>
        </is>
      </c>
      <c r="K1669" s="42" t="inlineStr">
        <is>
          <t>Retargeting</t>
        </is>
      </c>
      <c r="L1669" s="42" t="inlineStr">
        <is>
          <t>X_STA_RangeOffer_v1</t>
        </is>
      </c>
      <c r="M1669" s="42" t="inlineStr">
        <is>
          <t>Image Ad</t>
        </is>
      </c>
      <c r="N1669" s="42" t="inlineStr">
        <is>
          <t>Three models. One test drive.</t>
        </is>
      </c>
      <c r="O1669" s="42" t="inlineStr">
        <is>
          <t>Auction - Lowest Cost</t>
        </is>
      </c>
      <c r="P1669" s="42" t="inlineStr">
        <is>
          <t>Site Visit / Conversion</t>
        </is>
      </c>
      <c r="Q1669" s="42" t="inlineStr">
        <is>
          <t>https://www.lepas-sa.co.za/book-a-test-drive</t>
        </is>
      </c>
      <c r="R1669" s="115" t="n">
        <v>148.44</v>
      </c>
      <c r="S1669" s="116" t="n">
        <v>1938</v>
      </c>
      <c r="T1669" s="116" t="n">
        <v>1248</v>
      </c>
      <c r="U1669" s="117">
        <f>IFERROR(S1669/T1669,"")</f>
        <v/>
      </c>
      <c r="V1669" s="116" t="n">
        <v>11</v>
      </c>
      <c r="W1669" s="116" t="n">
        <v>9</v>
      </c>
      <c r="X1669" s="118">
        <f>IFERROR(W1669/S1669,"")</f>
        <v/>
      </c>
      <c r="Y1669" s="115">
        <f>IFERROR(R1669/W1669,"")</f>
        <v/>
      </c>
      <c r="Z1669" s="115">
        <f>IFERROR(R1669/S1669*1000,"")</f>
        <v/>
      </c>
      <c r="AA1669" s="116" t="n">
        <v>7</v>
      </c>
      <c r="AB1669" s="47">
        <f>IFERROR(AA1669/W1669,"")</f>
        <v/>
      </c>
      <c r="AC1669" s="116" t="n">
        <v>0</v>
      </c>
      <c r="AD1669" s="116" t="n">
        <v>0</v>
      </c>
      <c r="AE1669" s="116" t="n">
        <v>0</v>
      </c>
      <c r="AF1669" s="116" t="n">
        <v>0</v>
      </c>
      <c r="AG1669" s="116" t="n">
        <v>0</v>
      </c>
      <c r="AH1669" s="116" t="n">
        <v>0</v>
      </c>
      <c r="AI1669" s="47">
        <f>IFERROR(AC1669/S1669,"")</f>
        <v/>
      </c>
      <c r="AJ1669" s="47">
        <f>IFERROR(AH1669/S1669,"")</f>
        <v/>
      </c>
      <c r="AK1669" s="116" t="n">
        <v>44</v>
      </c>
      <c r="AL1669" s="116" t="n">
        <v>0</v>
      </c>
      <c r="AM1669" s="118">
        <f>IFERROR(AL1669/AA1669,"")</f>
        <v/>
      </c>
      <c r="AN1669" s="119">
        <f>IFERROR(R1669/AL1669,"")</f>
        <v/>
      </c>
      <c r="AO1669" s="116" t="n">
        <v>0</v>
      </c>
      <c r="AP1669" s="47">
        <f>IFERROR(AO1669/AL1669,"")</f>
        <v/>
      </c>
      <c r="AQ1669" s="119">
        <f>IFERROR(R1669/AO1669,"")</f>
        <v/>
      </c>
      <c r="AR1669" s="116" t="n">
        <v>0</v>
      </c>
      <c r="AS1669" s="116" t="n">
        <v>0</v>
      </c>
      <c r="AT1669" s="116">
        <f>AL1669+AR1669</f>
        <v/>
      </c>
      <c r="AU1669" s="119">
        <f>IFERROR(AO1669*Assumptions!$C$26*Assumptions!$C$27*INDEX(Assumptions!$C$18:$C$21,MATCH(H1669,Assumptions!$B$18:$B$21,0)),0)</f>
        <v/>
      </c>
    </row>
    <row r="1670">
      <c r="A1670" s="114" t="n">
        <v>46261</v>
      </c>
      <c r="B1670" s="42" t="inlineStr">
        <is>
          <t>Wk 35</t>
        </is>
      </c>
      <c r="C1670" s="42" t="inlineStr">
        <is>
          <t>Thu</t>
        </is>
      </c>
      <c r="D1670" s="42" t="inlineStr">
        <is>
          <t>X</t>
        </is>
      </c>
      <c r="E1670" s="42" t="inlineStr">
        <is>
          <t>X (Twitter)</t>
        </is>
      </c>
      <c r="F1670" s="42" t="inlineStr">
        <is>
          <t>LEP_ZA_AUG26_X_RMKT_TD_CONV</t>
        </is>
      </c>
      <c r="G1670" s="42" t="inlineStr">
        <is>
          <t>Website Conversions</t>
        </is>
      </c>
      <c r="H1670" s="42" t="inlineStr">
        <is>
          <t>Range</t>
        </is>
      </c>
      <c r="I1670" s="42" t="inlineStr">
        <is>
          <t>Range Offer</t>
        </is>
      </c>
      <c r="J1670" s="42" t="inlineStr">
        <is>
          <t>X_RMKT_SITE14D_ZA</t>
        </is>
      </c>
      <c r="K1670" s="42" t="inlineStr">
        <is>
          <t>Retargeting</t>
        </is>
      </c>
      <c r="L1670" s="42" t="inlineStr">
        <is>
          <t>X_STA_RangeOffer_v1</t>
        </is>
      </c>
      <c r="M1670" s="42" t="inlineStr">
        <is>
          <t>Image Ad</t>
        </is>
      </c>
      <c r="N1670" s="42" t="inlineStr">
        <is>
          <t>Three models. One test drive.</t>
        </is>
      </c>
      <c r="O1670" s="42" t="inlineStr">
        <is>
          <t>Auction - Lowest Cost</t>
        </is>
      </c>
      <c r="P1670" s="42" t="inlineStr">
        <is>
          <t>Site Visit / Conversion</t>
        </is>
      </c>
      <c r="Q1670" s="42" t="inlineStr">
        <is>
          <t>https://www.lepas-sa.co.za/book-a-test-drive</t>
        </is>
      </c>
      <c r="R1670" s="115" t="n">
        <v>191.44</v>
      </c>
      <c r="S1670" s="116" t="n">
        <v>2641</v>
      </c>
      <c r="T1670" s="116" t="n">
        <v>1684</v>
      </c>
      <c r="U1670" s="117">
        <f>IFERROR(S1670/T1670,"")</f>
        <v/>
      </c>
      <c r="V1670" s="116" t="n">
        <v>39</v>
      </c>
      <c r="W1670" s="116" t="n">
        <v>33</v>
      </c>
      <c r="X1670" s="118">
        <f>IFERROR(W1670/S1670,"")</f>
        <v/>
      </c>
      <c r="Y1670" s="115">
        <f>IFERROR(R1670/W1670,"")</f>
        <v/>
      </c>
      <c r="Z1670" s="115">
        <f>IFERROR(R1670/S1670*1000,"")</f>
        <v/>
      </c>
      <c r="AA1670" s="116" t="n">
        <v>25</v>
      </c>
      <c r="AB1670" s="47">
        <f>IFERROR(AA1670/W1670,"")</f>
        <v/>
      </c>
      <c r="AC1670" s="116" t="n">
        <v>0</v>
      </c>
      <c r="AD1670" s="116" t="n">
        <v>0</v>
      </c>
      <c r="AE1670" s="116" t="n">
        <v>0</v>
      </c>
      <c r="AF1670" s="116" t="n">
        <v>0</v>
      </c>
      <c r="AG1670" s="116" t="n">
        <v>0</v>
      </c>
      <c r="AH1670" s="116" t="n">
        <v>0</v>
      </c>
      <c r="AI1670" s="47">
        <f>IFERROR(AC1670/S1670,"")</f>
        <v/>
      </c>
      <c r="AJ1670" s="47">
        <f>IFERROR(AH1670/S1670,"")</f>
        <v/>
      </c>
      <c r="AK1670" s="116" t="n">
        <v>69</v>
      </c>
      <c r="AL1670" s="116" t="n">
        <v>1</v>
      </c>
      <c r="AM1670" s="118">
        <f>IFERROR(AL1670/AA1670,"")</f>
        <v/>
      </c>
      <c r="AN1670" s="119">
        <f>IFERROR(R1670/AL1670,"")</f>
        <v/>
      </c>
      <c r="AO1670" s="116" t="n">
        <v>1</v>
      </c>
      <c r="AP1670" s="47">
        <f>IFERROR(AO1670/AL1670,"")</f>
        <v/>
      </c>
      <c r="AQ1670" s="119">
        <f>IFERROR(R1670/AO1670,"")</f>
        <v/>
      </c>
      <c r="AR1670" s="116" t="n">
        <v>0</v>
      </c>
      <c r="AS1670" s="116" t="n">
        <v>0</v>
      </c>
      <c r="AT1670" s="116">
        <f>AL1670+AR1670</f>
        <v/>
      </c>
      <c r="AU1670" s="119">
        <f>IFERROR(AO1670*Assumptions!$C$26*Assumptions!$C$27*INDEX(Assumptions!$C$18:$C$21,MATCH(H1670,Assumptions!$B$18:$B$21,0)),0)</f>
        <v/>
      </c>
    </row>
    <row r="1671">
      <c r="A1671" s="114" t="n">
        <v>46262</v>
      </c>
      <c r="B1671" s="42" t="inlineStr">
        <is>
          <t>Wk 35</t>
        </is>
      </c>
      <c r="C1671" s="42" t="inlineStr">
        <is>
          <t>Fri</t>
        </is>
      </c>
      <c r="D1671" s="42" t="inlineStr">
        <is>
          <t>X</t>
        </is>
      </c>
      <c r="E1671" s="42" t="inlineStr">
        <is>
          <t>X (Twitter)</t>
        </is>
      </c>
      <c r="F1671" s="42" t="inlineStr">
        <is>
          <t>LEP_ZA_AUG26_X_RMKT_TD_CONV</t>
        </is>
      </c>
      <c r="G1671" s="42" t="inlineStr">
        <is>
          <t>Website Conversions</t>
        </is>
      </c>
      <c r="H1671" s="42" t="inlineStr">
        <is>
          <t>Range</t>
        </is>
      </c>
      <c r="I1671" s="42" t="inlineStr">
        <is>
          <t>Range Offer</t>
        </is>
      </c>
      <c r="J1671" s="42" t="inlineStr">
        <is>
          <t>X_RMKT_SITE14D_ZA</t>
        </is>
      </c>
      <c r="K1671" s="42" t="inlineStr">
        <is>
          <t>Retargeting</t>
        </is>
      </c>
      <c r="L1671" s="42" t="inlineStr">
        <is>
          <t>X_STA_RangeOffer_v1</t>
        </is>
      </c>
      <c r="M1671" s="42" t="inlineStr">
        <is>
          <t>Image Ad</t>
        </is>
      </c>
      <c r="N1671" s="42" t="inlineStr">
        <is>
          <t>Three models. One test drive.</t>
        </is>
      </c>
      <c r="O1671" s="42" t="inlineStr">
        <is>
          <t>Auction - Lowest Cost</t>
        </is>
      </c>
      <c r="P1671" s="42" t="inlineStr">
        <is>
          <t>Site Visit / Conversion</t>
        </is>
      </c>
      <c r="Q1671" s="42" t="inlineStr">
        <is>
          <t>https://www.lepas-sa.co.za/book-a-test-drive</t>
        </is>
      </c>
      <c r="R1671" s="115" t="n">
        <v>156.5</v>
      </c>
      <c r="S1671" s="116" t="n">
        <v>2904</v>
      </c>
      <c r="T1671" s="116" t="n">
        <v>1557</v>
      </c>
      <c r="U1671" s="117">
        <f>IFERROR(S1671/T1671,"")</f>
        <v/>
      </c>
      <c r="V1671" s="116" t="n">
        <v>44</v>
      </c>
      <c r="W1671" s="116" t="n">
        <v>31</v>
      </c>
      <c r="X1671" s="118">
        <f>IFERROR(W1671/S1671,"")</f>
        <v/>
      </c>
      <c r="Y1671" s="115">
        <f>IFERROR(R1671/W1671,"")</f>
        <v/>
      </c>
      <c r="Z1671" s="115">
        <f>IFERROR(R1671/S1671*1000,"")</f>
        <v/>
      </c>
      <c r="AA1671" s="116" t="n">
        <v>25</v>
      </c>
      <c r="AB1671" s="47">
        <f>IFERROR(AA1671/W1671,"")</f>
        <v/>
      </c>
      <c r="AC1671" s="116" t="n">
        <v>0</v>
      </c>
      <c r="AD1671" s="116" t="n">
        <v>0</v>
      </c>
      <c r="AE1671" s="116" t="n">
        <v>0</v>
      </c>
      <c r="AF1671" s="116" t="n">
        <v>0</v>
      </c>
      <c r="AG1671" s="116" t="n">
        <v>0</v>
      </c>
      <c r="AH1671" s="116" t="n">
        <v>0</v>
      </c>
      <c r="AI1671" s="47">
        <f>IFERROR(AC1671/S1671,"")</f>
        <v/>
      </c>
      <c r="AJ1671" s="47">
        <f>IFERROR(AH1671/S1671,"")</f>
        <v/>
      </c>
      <c r="AK1671" s="116" t="n">
        <v>81</v>
      </c>
      <c r="AL1671" s="116" t="n">
        <v>0</v>
      </c>
      <c r="AM1671" s="118">
        <f>IFERROR(AL1671/AA1671,"")</f>
        <v/>
      </c>
      <c r="AN1671" s="119">
        <f>IFERROR(R1671/AL1671,"")</f>
        <v/>
      </c>
      <c r="AO1671" s="116" t="n">
        <v>0</v>
      </c>
      <c r="AP1671" s="47">
        <f>IFERROR(AO1671/AL1671,"")</f>
        <v/>
      </c>
      <c r="AQ1671" s="119">
        <f>IFERROR(R1671/AO1671,"")</f>
        <v/>
      </c>
      <c r="AR1671" s="116" t="n">
        <v>0</v>
      </c>
      <c r="AS1671" s="116" t="n">
        <v>0</v>
      </c>
      <c r="AT1671" s="116">
        <f>AL1671+AR1671</f>
        <v/>
      </c>
      <c r="AU1671" s="119">
        <f>IFERROR(AO1671*Assumptions!$C$26*Assumptions!$C$27*INDEX(Assumptions!$C$18:$C$21,MATCH(H1671,Assumptions!$B$18:$B$21,0)),0)</f>
        <v/>
      </c>
    </row>
    <row r="1672">
      <c r="A1672" s="114" t="n">
        <v>46263</v>
      </c>
      <c r="B1672" s="42" t="inlineStr">
        <is>
          <t>Wk 35</t>
        </is>
      </c>
      <c r="C1672" s="42" t="inlineStr">
        <is>
          <t>Sat</t>
        </is>
      </c>
      <c r="D1672" s="42" t="inlineStr">
        <is>
          <t>X</t>
        </is>
      </c>
      <c r="E1672" s="42" t="inlineStr">
        <is>
          <t>X (Twitter)</t>
        </is>
      </c>
      <c r="F1672" s="42" t="inlineStr">
        <is>
          <t>LEP_ZA_AUG26_X_RMKT_TD_CONV</t>
        </is>
      </c>
      <c r="G1672" s="42" t="inlineStr">
        <is>
          <t>Website Conversions</t>
        </is>
      </c>
      <c r="H1672" s="42" t="inlineStr">
        <is>
          <t>Range</t>
        </is>
      </c>
      <c r="I1672" s="42" t="inlineStr">
        <is>
          <t>Range Offer</t>
        </is>
      </c>
      <c r="J1672" s="42" t="inlineStr">
        <is>
          <t>X_RMKT_SITE14D_ZA</t>
        </is>
      </c>
      <c r="K1672" s="42" t="inlineStr">
        <is>
          <t>Retargeting</t>
        </is>
      </c>
      <c r="L1672" s="42" t="inlineStr">
        <is>
          <t>X_STA_RangeOffer_v1</t>
        </is>
      </c>
      <c r="M1672" s="42" t="inlineStr">
        <is>
          <t>Image Ad</t>
        </is>
      </c>
      <c r="N1672" s="42" t="inlineStr">
        <is>
          <t>Three models. One test drive.</t>
        </is>
      </c>
      <c r="O1672" s="42" t="inlineStr">
        <is>
          <t>Auction - Lowest Cost</t>
        </is>
      </c>
      <c r="P1672" s="42" t="inlineStr">
        <is>
          <t>Site Visit / Conversion</t>
        </is>
      </c>
      <c r="Q1672" s="42" t="inlineStr">
        <is>
          <t>https://www.lepas-sa.co.za/book-a-test-drive</t>
        </is>
      </c>
      <c r="R1672" s="115" t="n">
        <v>201.41</v>
      </c>
      <c r="S1672" s="116" t="n">
        <v>3020</v>
      </c>
      <c r="T1672" s="116" t="n">
        <v>1647</v>
      </c>
      <c r="U1672" s="117">
        <f>IFERROR(S1672/T1672,"")</f>
        <v/>
      </c>
      <c r="V1672" s="116" t="n">
        <v>43</v>
      </c>
      <c r="W1672" s="116" t="n">
        <v>31</v>
      </c>
      <c r="X1672" s="118">
        <f>IFERROR(W1672/S1672,"")</f>
        <v/>
      </c>
      <c r="Y1672" s="115">
        <f>IFERROR(R1672/W1672,"")</f>
        <v/>
      </c>
      <c r="Z1672" s="115">
        <f>IFERROR(R1672/S1672*1000,"")</f>
        <v/>
      </c>
      <c r="AA1672" s="116" t="n">
        <v>23</v>
      </c>
      <c r="AB1672" s="47">
        <f>IFERROR(AA1672/W1672,"")</f>
        <v/>
      </c>
      <c r="AC1672" s="116" t="n">
        <v>0</v>
      </c>
      <c r="AD1672" s="116" t="n">
        <v>0</v>
      </c>
      <c r="AE1672" s="116" t="n">
        <v>0</v>
      </c>
      <c r="AF1672" s="116" t="n">
        <v>0</v>
      </c>
      <c r="AG1672" s="116" t="n">
        <v>0</v>
      </c>
      <c r="AH1672" s="116" t="n">
        <v>0</v>
      </c>
      <c r="AI1672" s="47">
        <f>IFERROR(AC1672/S1672,"")</f>
        <v/>
      </c>
      <c r="AJ1672" s="47">
        <f>IFERROR(AH1672/S1672,"")</f>
        <v/>
      </c>
      <c r="AK1672" s="116" t="n">
        <v>27</v>
      </c>
      <c r="AL1672" s="116" t="n">
        <v>1</v>
      </c>
      <c r="AM1672" s="118">
        <f>IFERROR(AL1672/AA1672,"")</f>
        <v/>
      </c>
      <c r="AN1672" s="119">
        <f>IFERROR(R1672/AL1672,"")</f>
        <v/>
      </c>
      <c r="AO1672" s="116" t="n">
        <v>1</v>
      </c>
      <c r="AP1672" s="47">
        <f>IFERROR(AO1672/AL1672,"")</f>
        <v/>
      </c>
      <c r="AQ1672" s="119">
        <f>IFERROR(R1672/AO1672,"")</f>
        <v/>
      </c>
      <c r="AR1672" s="116" t="n">
        <v>1</v>
      </c>
      <c r="AS1672" s="116" t="n">
        <v>0</v>
      </c>
      <c r="AT1672" s="116">
        <f>AL1672+AR1672</f>
        <v/>
      </c>
      <c r="AU1672" s="119">
        <f>IFERROR(AO1672*Assumptions!$C$26*Assumptions!$C$27*INDEX(Assumptions!$C$18:$C$21,MATCH(H1672,Assumptions!$B$18:$B$21,0)),0)</f>
        <v/>
      </c>
    </row>
    <row r="1673">
      <c r="A1673" s="114" t="n">
        <v>46264</v>
      </c>
      <c r="B1673" s="42" t="inlineStr">
        <is>
          <t>Wk 35</t>
        </is>
      </c>
      <c r="C1673" s="42" t="inlineStr">
        <is>
          <t>Sun</t>
        </is>
      </c>
      <c r="D1673" s="42" t="inlineStr">
        <is>
          <t>X</t>
        </is>
      </c>
      <c r="E1673" s="42" t="inlineStr">
        <is>
          <t>X (Twitter)</t>
        </is>
      </c>
      <c r="F1673" s="42" t="inlineStr">
        <is>
          <t>LEP_ZA_AUG26_X_RMKT_TD_CONV</t>
        </is>
      </c>
      <c r="G1673" s="42" t="inlineStr">
        <is>
          <t>Website Conversions</t>
        </is>
      </c>
      <c r="H1673" s="42" t="inlineStr">
        <is>
          <t>Range</t>
        </is>
      </c>
      <c r="I1673" s="42" t="inlineStr">
        <is>
          <t>Range Offer</t>
        </is>
      </c>
      <c r="J1673" s="42" t="inlineStr">
        <is>
          <t>X_RMKT_SITE14D_ZA</t>
        </is>
      </c>
      <c r="K1673" s="42" t="inlineStr">
        <is>
          <t>Retargeting</t>
        </is>
      </c>
      <c r="L1673" s="42" t="inlineStr">
        <is>
          <t>X_STA_RangeOffer_v1</t>
        </is>
      </c>
      <c r="M1673" s="42" t="inlineStr">
        <is>
          <t>Image Ad</t>
        </is>
      </c>
      <c r="N1673" s="42" t="inlineStr">
        <is>
          <t>Three models. One test drive.</t>
        </is>
      </c>
      <c r="O1673" s="42" t="inlineStr">
        <is>
          <t>Auction - Lowest Cost</t>
        </is>
      </c>
      <c r="P1673" s="42" t="inlineStr">
        <is>
          <t>Site Visit / Conversion</t>
        </is>
      </c>
      <c r="Q1673" s="42" t="inlineStr">
        <is>
          <t>https://www.lepas-sa.co.za/book-a-test-drive</t>
        </is>
      </c>
      <c r="R1673" s="115" t="n">
        <v>144.23</v>
      </c>
      <c r="S1673" s="116" t="n">
        <v>1835</v>
      </c>
      <c r="T1673" s="116" t="n">
        <v>1021</v>
      </c>
      <c r="U1673" s="117">
        <f>IFERROR(S1673/T1673,"")</f>
        <v/>
      </c>
      <c r="V1673" s="116" t="n">
        <v>30</v>
      </c>
      <c r="W1673" s="116" t="n">
        <v>23</v>
      </c>
      <c r="X1673" s="118">
        <f>IFERROR(W1673/S1673,"")</f>
        <v/>
      </c>
      <c r="Y1673" s="115">
        <f>IFERROR(R1673/W1673,"")</f>
        <v/>
      </c>
      <c r="Z1673" s="115">
        <f>IFERROR(R1673/S1673*1000,"")</f>
        <v/>
      </c>
      <c r="AA1673" s="116" t="n">
        <v>18</v>
      </c>
      <c r="AB1673" s="47">
        <f>IFERROR(AA1673/W1673,"")</f>
        <v/>
      </c>
      <c r="AC1673" s="116" t="n">
        <v>0</v>
      </c>
      <c r="AD1673" s="116" t="n">
        <v>0</v>
      </c>
      <c r="AE1673" s="116" t="n">
        <v>0</v>
      </c>
      <c r="AF1673" s="116" t="n">
        <v>0</v>
      </c>
      <c r="AG1673" s="116" t="n">
        <v>0</v>
      </c>
      <c r="AH1673" s="116" t="n">
        <v>0</v>
      </c>
      <c r="AI1673" s="47">
        <f>IFERROR(AC1673/S1673,"")</f>
        <v/>
      </c>
      <c r="AJ1673" s="47">
        <f>IFERROR(AH1673/S1673,"")</f>
        <v/>
      </c>
      <c r="AK1673" s="116" t="n">
        <v>15</v>
      </c>
      <c r="AL1673" s="116" t="n">
        <v>1</v>
      </c>
      <c r="AM1673" s="118">
        <f>IFERROR(AL1673/AA1673,"")</f>
        <v/>
      </c>
      <c r="AN1673" s="119">
        <f>IFERROR(R1673/AL1673,"")</f>
        <v/>
      </c>
      <c r="AO1673" s="116" t="n">
        <v>1</v>
      </c>
      <c r="AP1673" s="47">
        <f>IFERROR(AO1673/AL1673,"")</f>
        <v/>
      </c>
      <c r="AQ1673" s="119">
        <f>IFERROR(R1673/AO1673,"")</f>
        <v/>
      </c>
      <c r="AR1673" s="116" t="n">
        <v>0</v>
      </c>
      <c r="AS1673" s="116" t="n">
        <v>1</v>
      </c>
      <c r="AT1673" s="116">
        <f>AL1673+AR1673</f>
        <v/>
      </c>
      <c r="AU1673" s="119">
        <f>IFERROR(AO1673*Assumptions!$C$26*Assumptions!$C$27*INDEX(Assumptions!$C$18:$C$21,MATCH(H1673,Assumptions!$B$18:$B$21,0)),0)</f>
        <v/>
      </c>
    </row>
    <row r="1674">
      <c r="A1674" s="114" t="n">
        <v>46265</v>
      </c>
      <c r="B1674" s="42" t="inlineStr">
        <is>
          <t>Wk 36</t>
        </is>
      </c>
      <c r="C1674" s="42" t="inlineStr">
        <is>
          <t>Mon</t>
        </is>
      </c>
      <c r="D1674" s="42" t="inlineStr">
        <is>
          <t>X</t>
        </is>
      </c>
      <c r="E1674" s="42" t="inlineStr">
        <is>
          <t>X (Twitter)</t>
        </is>
      </c>
      <c r="F1674" s="42" t="inlineStr">
        <is>
          <t>LEP_ZA_AUG26_X_RMKT_TD_CONV</t>
        </is>
      </c>
      <c r="G1674" s="42" t="inlineStr">
        <is>
          <t>Website Conversions</t>
        </is>
      </c>
      <c r="H1674" s="42" t="inlineStr">
        <is>
          <t>Range</t>
        </is>
      </c>
      <c r="I1674" s="42" t="inlineStr">
        <is>
          <t>Range Offer</t>
        </is>
      </c>
      <c r="J1674" s="42" t="inlineStr">
        <is>
          <t>X_RMKT_SITE14D_ZA</t>
        </is>
      </c>
      <c r="K1674" s="42" t="inlineStr">
        <is>
          <t>Retargeting</t>
        </is>
      </c>
      <c r="L1674" s="42" t="inlineStr">
        <is>
          <t>X_STA_RangeOffer_v1</t>
        </is>
      </c>
      <c r="M1674" s="42" t="inlineStr">
        <is>
          <t>Image Ad</t>
        </is>
      </c>
      <c r="N1674" s="42" t="inlineStr">
        <is>
          <t>Three models. One test drive.</t>
        </is>
      </c>
      <c r="O1674" s="42" t="inlineStr">
        <is>
          <t>Auction - Lowest Cost</t>
        </is>
      </c>
      <c r="P1674" s="42" t="inlineStr">
        <is>
          <t>Site Visit / Conversion</t>
        </is>
      </c>
      <c r="Q1674" s="42" t="inlineStr">
        <is>
          <t>https://www.lepas-sa.co.za/book-a-test-drive</t>
        </is>
      </c>
      <c r="R1674" s="115" t="n">
        <v>129.89</v>
      </c>
      <c r="S1674" s="116" t="n">
        <v>1451</v>
      </c>
      <c r="T1674" s="116" t="n">
        <v>839</v>
      </c>
      <c r="U1674" s="117">
        <f>IFERROR(S1674/T1674,"")</f>
        <v/>
      </c>
      <c r="V1674" s="116" t="n">
        <v>24</v>
      </c>
      <c r="W1674" s="116" t="n">
        <v>18</v>
      </c>
      <c r="X1674" s="118">
        <f>IFERROR(W1674/S1674,"")</f>
        <v/>
      </c>
      <c r="Y1674" s="115">
        <f>IFERROR(R1674/W1674,"")</f>
        <v/>
      </c>
      <c r="Z1674" s="115">
        <f>IFERROR(R1674/S1674*1000,"")</f>
        <v/>
      </c>
      <c r="AA1674" s="116" t="n">
        <v>13</v>
      </c>
      <c r="AB1674" s="47">
        <f>IFERROR(AA1674/W1674,"")</f>
        <v/>
      </c>
      <c r="AC1674" s="116" t="n">
        <v>0</v>
      </c>
      <c r="AD1674" s="116" t="n">
        <v>0</v>
      </c>
      <c r="AE1674" s="116" t="n">
        <v>0</v>
      </c>
      <c r="AF1674" s="116" t="n">
        <v>0</v>
      </c>
      <c r="AG1674" s="116" t="n">
        <v>0</v>
      </c>
      <c r="AH1674" s="116" t="n">
        <v>0</v>
      </c>
      <c r="AI1674" s="47">
        <f>IFERROR(AC1674/S1674,"")</f>
        <v/>
      </c>
      <c r="AJ1674" s="47">
        <f>IFERROR(AH1674/S1674,"")</f>
        <v/>
      </c>
      <c r="AK1674" s="116" t="n">
        <v>33</v>
      </c>
      <c r="AL1674" s="116" t="n">
        <v>1</v>
      </c>
      <c r="AM1674" s="118">
        <f>IFERROR(AL1674/AA1674,"")</f>
        <v/>
      </c>
      <c r="AN1674" s="119">
        <f>IFERROR(R1674/AL1674,"")</f>
        <v/>
      </c>
      <c r="AO1674" s="116" t="n">
        <v>0</v>
      </c>
      <c r="AP1674" s="47">
        <f>IFERROR(AO1674/AL1674,"")</f>
        <v/>
      </c>
      <c r="AQ1674" s="119">
        <f>IFERROR(R1674/AO1674,"")</f>
        <v/>
      </c>
      <c r="AR1674" s="116" t="n">
        <v>0</v>
      </c>
      <c r="AS1674" s="116" t="n">
        <v>1</v>
      </c>
      <c r="AT1674" s="116">
        <f>AL1674+AR1674</f>
        <v/>
      </c>
      <c r="AU1674" s="119">
        <f>IFERROR(AO1674*Assumptions!$C$26*Assumptions!$C$27*INDEX(Assumptions!$C$18:$C$21,MATCH(H1674,Assumptions!$B$18:$B$21,0)),0)</f>
        <v/>
      </c>
    </row>
    <row r="1675">
      <c r="A1675" s="114" t="n">
        <v>46235</v>
      </c>
      <c r="B1675" s="42" t="inlineStr">
        <is>
          <t>Wk 31</t>
        </is>
      </c>
      <c r="C1675" s="42" t="inlineStr">
        <is>
          <t>Sat</t>
        </is>
      </c>
      <c r="D1675" s="42" t="inlineStr">
        <is>
          <t>X</t>
        </is>
      </c>
      <c r="E1675" s="42" t="inlineStr">
        <is>
          <t>X (Twitter)</t>
        </is>
      </c>
      <c r="F1675" s="42" t="inlineStr">
        <is>
          <t>LEP_ZA_AUG26_X_RMKT_TD_CONV</t>
        </is>
      </c>
      <c r="G1675" s="42" t="inlineStr">
        <is>
          <t>Website Conversions</t>
        </is>
      </c>
      <c r="H1675" s="42" t="inlineStr">
        <is>
          <t>Range</t>
        </is>
      </c>
      <c r="I1675" s="42" t="inlineStr">
        <is>
          <t>Range Offer</t>
        </is>
      </c>
      <c r="J1675" s="42" t="inlineStr">
        <is>
          <t>X_LAL_FOLLOWER_ZA</t>
        </is>
      </c>
      <c r="K1675" s="42" t="inlineStr">
        <is>
          <t>Lookalike</t>
        </is>
      </c>
      <c r="L1675" s="42" t="inlineStr">
        <is>
          <t>X_STA_PricePoint_v1</t>
        </is>
      </c>
      <c r="M1675" s="42" t="inlineStr">
        <is>
          <t>Image Ad</t>
        </is>
      </c>
      <c r="N1675" s="42" t="inlineStr">
        <is>
          <t>From R3 599pm</t>
        </is>
      </c>
      <c r="O1675" s="42" t="inlineStr">
        <is>
          <t>Auction - Lowest Cost</t>
        </is>
      </c>
      <c r="P1675" s="42" t="inlineStr">
        <is>
          <t>Site Visit / Conversion</t>
        </is>
      </c>
      <c r="Q1675" s="42" t="inlineStr">
        <is>
          <t>https://www.lepas-sa.co.za/offers</t>
        </is>
      </c>
      <c r="R1675" s="115" t="n">
        <v>125.87</v>
      </c>
      <c r="S1675" s="116" t="n">
        <v>2149</v>
      </c>
      <c r="T1675" s="116" t="n">
        <v>1597</v>
      </c>
      <c r="U1675" s="117">
        <f>IFERROR(S1675/T1675,"")</f>
        <v/>
      </c>
      <c r="V1675" s="116" t="n">
        <v>34</v>
      </c>
      <c r="W1675" s="116" t="n">
        <v>27</v>
      </c>
      <c r="X1675" s="118">
        <f>IFERROR(W1675/S1675,"")</f>
        <v/>
      </c>
      <c r="Y1675" s="115">
        <f>IFERROR(R1675/W1675,"")</f>
        <v/>
      </c>
      <c r="Z1675" s="115">
        <f>IFERROR(R1675/S1675*1000,"")</f>
        <v/>
      </c>
      <c r="AA1675" s="116" t="n">
        <v>19</v>
      </c>
      <c r="AB1675" s="47">
        <f>IFERROR(AA1675/W1675,"")</f>
        <v/>
      </c>
      <c r="AC1675" s="116" t="n">
        <v>0</v>
      </c>
      <c r="AD1675" s="116" t="n">
        <v>0</v>
      </c>
      <c r="AE1675" s="116" t="n">
        <v>0</v>
      </c>
      <c r="AF1675" s="116" t="n">
        <v>0</v>
      </c>
      <c r="AG1675" s="116" t="n">
        <v>0</v>
      </c>
      <c r="AH1675" s="116" t="n">
        <v>0</v>
      </c>
      <c r="AI1675" s="47">
        <f>IFERROR(AC1675/S1675,"")</f>
        <v/>
      </c>
      <c r="AJ1675" s="47">
        <f>IFERROR(AH1675/S1675,"")</f>
        <v/>
      </c>
      <c r="AK1675" s="116" t="n">
        <v>41</v>
      </c>
      <c r="AL1675" s="116" t="n">
        <v>0</v>
      </c>
      <c r="AM1675" s="118">
        <f>IFERROR(AL1675/AA1675,"")</f>
        <v/>
      </c>
      <c r="AN1675" s="119">
        <f>IFERROR(R1675/AL1675,"")</f>
        <v/>
      </c>
      <c r="AO1675" s="116" t="n">
        <v>0</v>
      </c>
      <c r="AP1675" s="47">
        <f>IFERROR(AO1675/AL1675,"")</f>
        <v/>
      </c>
      <c r="AQ1675" s="119">
        <f>IFERROR(R1675/AO1675,"")</f>
        <v/>
      </c>
      <c r="AR1675" s="116" t="n">
        <v>0</v>
      </c>
      <c r="AS1675" s="116" t="n">
        <v>0</v>
      </c>
      <c r="AT1675" s="116">
        <f>AL1675+AR1675</f>
        <v/>
      </c>
      <c r="AU1675" s="119">
        <f>IFERROR(AO1675*Assumptions!$C$26*Assumptions!$C$27*INDEX(Assumptions!$C$18:$C$21,MATCH(H1675,Assumptions!$B$18:$B$21,0)),0)</f>
        <v/>
      </c>
    </row>
    <row r="1676">
      <c r="A1676" s="114" t="n">
        <v>46236</v>
      </c>
      <c r="B1676" s="42" t="inlineStr">
        <is>
          <t>Wk 31</t>
        </is>
      </c>
      <c r="C1676" s="42" t="inlineStr">
        <is>
          <t>Sun</t>
        </is>
      </c>
      <c r="D1676" s="42" t="inlineStr">
        <is>
          <t>X</t>
        </is>
      </c>
      <c r="E1676" s="42" t="inlineStr">
        <is>
          <t>X (Twitter)</t>
        </is>
      </c>
      <c r="F1676" s="42" t="inlineStr">
        <is>
          <t>LEP_ZA_AUG26_X_RMKT_TD_CONV</t>
        </is>
      </c>
      <c r="G1676" s="42" t="inlineStr">
        <is>
          <t>Website Conversions</t>
        </is>
      </c>
      <c r="H1676" s="42" t="inlineStr">
        <is>
          <t>Range</t>
        </is>
      </c>
      <c r="I1676" s="42" t="inlineStr">
        <is>
          <t>Range Offer</t>
        </is>
      </c>
      <c r="J1676" s="42" t="inlineStr">
        <is>
          <t>X_LAL_FOLLOWER_ZA</t>
        </is>
      </c>
      <c r="K1676" s="42" t="inlineStr">
        <is>
          <t>Lookalike</t>
        </is>
      </c>
      <c r="L1676" s="42" t="inlineStr">
        <is>
          <t>X_STA_PricePoint_v1</t>
        </is>
      </c>
      <c r="M1676" s="42" t="inlineStr">
        <is>
          <t>Image Ad</t>
        </is>
      </c>
      <c r="N1676" s="42" t="inlineStr">
        <is>
          <t>From R3 599pm</t>
        </is>
      </c>
      <c r="O1676" s="42" t="inlineStr">
        <is>
          <t>Auction - Lowest Cost</t>
        </is>
      </c>
      <c r="P1676" s="42" t="inlineStr">
        <is>
          <t>Site Visit / Conversion</t>
        </is>
      </c>
      <c r="Q1676" s="42" t="inlineStr">
        <is>
          <t>https://www.lepas-sa.co.za/offers</t>
        </is>
      </c>
      <c r="R1676" s="115" t="n">
        <v>113.85</v>
      </c>
      <c r="S1676" s="116" t="n">
        <v>1725</v>
      </c>
      <c r="T1676" s="116" t="n">
        <v>1217</v>
      </c>
      <c r="U1676" s="117">
        <f>IFERROR(S1676/T1676,"")</f>
        <v/>
      </c>
      <c r="V1676" s="116" t="n">
        <v>17</v>
      </c>
      <c r="W1676" s="116" t="n">
        <v>14</v>
      </c>
      <c r="X1676" s="118">
        <f>IFERROR(W1676/S1676,"")</f>
        <v/>
      </c>
      <c r="Y1676" s="115">
        <f>IFERROR(R1676/W1676,"")</f>
        <v/>
      </c>
      <c r="Z1676" s="115">
        <f>IFERROR(R1676/S1676*1000,"")</f>
        <v/>
      </c>
      <c r="AA1676" s="116" t="n">
        <v>11</v>
      </c>
      <c r="AB1676" s="47">
        <f>IFERROR(AA1676/W1676,"")</f>
        <v/>
      </c>
      <c r="AC1676" s="116" t="n">
        <v>0</v>
      </c>
      <c r="AD1676" s="116" t="n">
        <v>0</v>
      </c>
      <c r="AE1676" s="116" t="n">
        <v>0</v>
      </c>
      <c r="AF1676" s="116" t="n">
        <v>0</v>
      </c>
      <c r="AG1676" s="116" t="n">
        <v>0</v>
      </c>
      <c r="AH1676" s="116" t="n">
        <v>0</v>
      </c>
      <c r="AI1676" s="47">
        <f>IFERROR(AC1676/S1676,"")</f>
        <v/>
      </c>
      <c r="AJ1676" s="47">
        <f>IFERROR(AH1676/S1676,"")</f>
        <v/>
      </c>
      <c r="AK1676" s="116" t="n">
        <v>15</v>
      </c>
      <c r="AL1676" s="116" t="n">
        <v>0</v>
      </c>
      <c r="AM1676" s="118">
        <f>IFERROR(AL1676/AA1676,"")</f>
        <v/>
      </c>
      <c r="AN1676" s="119">
        <f>IFERROR(R1676/AL1676,"")</f>
        <v/>
      </c>
      <c r="AO1676" s="116" t="n">
        <v>0</v>
      </c>
      <c r="AP1676" s="47">
        <f>IFERROR(AO1676/AL1676,"")</f>
        <v/>
      </c>
      <c r="AQ1676" s="119">
        <f>IFERROR(R1676/AO1676,"")</f>
        <v/>
      </c>
      <c r="AR1676" s="116" t="n">
        <v>0</v>
      </c>
      <c r="AS1676" s="116" t="n">
        <v>0</v>
      </c>
      <c r="AT1676" s="116">
        <f>AL1676+AR1676</f>
        <v/>
      </c>
      <c r="AU1676" s="119">
        <f>IFERROR(AO1676*Assumptions!$C$26*Assumptions!$C$27*INDEX(Assumptions!$C$18:$C$21,MATCH(H1676,Assumptions!$B$18:$B$21,0)),0)</f>
        <v/>
      </c>
    </row>
    <row r="1677">
      <c r="A1677" s="114" t="n">
        <v>46237</v>
      </c>
      <c r="B1677" s="42" t="inlineStr">
        <is>
          <t>Wk 32</t>
        </is>
      </c>
      <c r="C1677" s="42" t="inlineStr">
        <is>
          <t>Mon</t>
        </is>
      </c>
      <c r="D1677" s="42" t="inlineStr">
        <is>
          <t>X</t>
        </is>
      </c>
      <c r="E1677" s="42" t="inlineStr">
        <is>
          <t>X (Twitter)</t>
        </is>
      </c>
      <c r="F1677" s="42" t="inlineStr">
        <is>
          <t>LEP_ZA_AUG26_X_RMKT_TD_CONV</t>
        </is>
      </c>
      <c r="G1677" s="42" t="inlineStr">
        <is>
          <t>Website Conversions</t>
        </is>
      </c>
      <c r="H1677" s="42" t="inlineStr">
        <is>
          <t>Range</t>
        </is>
      </c>
      <c r="I1677" s="42" t="inlineStr">
        <is>
          <t>Range Offer</t>
        </is>
      </c>
      <c r="J1677" s="42" t="inlineStr">
        <is>
          <t>X_LAL_FOLLOWER_ZA</t>
        </is>
      </c>
      <c r="K1677" s="42" t="inlineStr">
        <is>
          <t>Lookalike</t>
        </is>
      </c>
      <c r="L1677" s="42" t="inlineStr">
        <is>
          <t>X_STA_PricePoint_v1</t>
        </is>
      </c>
      <c r="M1677" s="42" t="inlineStr">
        <is>
          <t>Image Ad</t>
        </is>
      </c>
      <c r="N1677" s="42" t="inlineStr">
        <is>
          <t>From R3 599pm</t>
        </is>
      </c>
      <c r="O1677" s="42" t="inlineStr">
        <is>
          <t>Auction - Lowest Cost</t>
        </is>
      </c>
      <c r="P1677" s="42" t="inlineStr">
        <is>
          <t>Site Visit / Conversion</t>
        </is>
      </c>
      <c r="Q1677" s="42" t="inlineStr">
        <is>
          <t>https://www.lepas-sa.co.za/offers</t>
        </is>
      </c>
      <c r="R1677" s="115" t="n">
        <v>92.53</v>
      </c>
      <c r="S1677" s="116" t="n">
        <v>2023</v>
      </c>
      <c r="T1677" s="116" t="n">
        <v>1683</v>
      </c>
      <c r="U1677" s="117">
        <f>IFERROR(S1677/T1677,"")</f>
        <v/>
      </c>
      <c r="V1677" s="116" t="n">
        <v>30</v>
      </c>
      <c r="W1677" s="116" t="n">
        <v>25</v>
      </c>
      <c r="X1677" s="118">
        <f>IFERROR(W1677/S1677,"")</f>
        <v/>
      </c>
      <c r="Y1677" s="115">
        <f>IFERROR(R1677/W1677,"")</f>
        <v/>
      </c>
      <c r="Z1677" s="115">
        <f>IFERROR(R1677/S1677*1000,"")</f>
        <v/>
      </c>
      <c r="AA1677" s="116" t="n">
        <v>19</v>
      </c>
      <c r="AB1677" s="47">
        <f>IFERROR(AA1677/W1677,"")</f>
        <v/>
      </c>
      <c r="AC1677" s="116" t="n">
        <v>0</v>
      </c>
      <c r="AD1677" s="116" t="n">
        <v>0</v>
      </c>
      <c r="AE1677" s="116" t="n">
        <v>0</v>
      </c>
      <c r="AF1677" s="116" t="n">
        <v>0</v>
      </c>
      <c r="AG1677" s="116" t="n">
        <v>0</v>
      </c>
      <c r="AH1677" s="116" t="n">
        <v>0</v>
      </c>
      <c r="AI1677" s="47">
        <f>IFERROR(AC1677/S1677,"")</f>
        <v/>
      </c>
      <c r="AJ1677" s="47">
        <f>IFERROR(AH1677/S1677,"")</f>
        <v/>
      </c>
      <c r="AK1677" s="116" t="n">
        <v>32</v>
      </c>
      <c r="AL1677" s="116" t="n">
        <v>1</v>
      </c>
      <c r="AM1677" s="118">
        <f>IFERROR(AL1677/AA1677,"")</f>
        <v/>
      </c>
      <c r="AN1677" s="119">
        <f>IFERROR(R1677/AL1677,"")</f>
        <v/>
      </c>
      <c r="AO1677" s="116" t="n">
        <v>1</v>
      </c>
      <c r="AP1677" s="47">
        <f>IFERROR(AO1677/AL1677,"")</f>
        <v/>
      </c>
      <c r="AQ1677" s="119">
        <f>IFERROR(R1677/AO1677,"")</f>
        <v/>
      </c>
      <c r="AR1677" s="116" t="n">
        <v>0</v>
      </c>
      <c r="AS1677" s="116" t="n">
        <v>0</v>
      </c>
      <c r="AT1677" s="116">
        <f>AL1677+AR1677</f>
        <v/>
      </c>
      <c r="AU1677" s="119">
        <f>IFERROR(AO1677*Assumptions!$C$26*Assumptions!$C$27*INDEX(Assumptions!$C$18:$C$21,MATCH(H1677,Assumptions!$B$18:$B$21,0)),0)</f>
        <v/>
      </c>
    </row>
    <row r="1678">
      <c r="A1678" s="114" t="n">
        <v>46238</v>
      </c>
      <c r="B1678" s="42" t="inlineStr">
        <is>
          <t>Wk 32</t>
        </is>
      </c>
      <c r="C1678" s="42" t="inlineStr">
        <is>
          <t>Tue</t>
        </is>
      </c>
      <c r="D1678" s="42" t="inlineStr">
        <is>
          <t>X</t>
        </is>
      </c>
      <c r="E1678" s="42" t="inlineStr">
        <is>
          <t>X (Twitter)</t>
        </is>
      </c>
      <c r="F1678" s="42" t="inlineStr">
        <is>
          <t>LEP_ZA_AUG26_X_RMKT_TD_CONV</t>
        </is>
      </c>
      <c r="G1678" s="42" t="inlineStr">
        <is>
          <t>Website Conversions</t>
        </is>
      </c>
      <c r="H1678" s="42" t="inlineStr">
        <is>
          <t>Range</t>
        </is>
      </c>
      <c r="I1678" s="42" t="inlineStr">
        <is>
          <t>Range Offer</t>
        </is>
      </c>
      <c r="J1678" s="42" t="inlineStr">
        <is>
          <t>X_LAL_FOLLOWER_ZA</t>
        </is>
      </c>
      <c r="K1678" s="42" t="inlineStr">
        <is>
          <t>Lookalike</t>
        </is>
      </c>
      <c r="L1678" s="42" t="inlineStr">
        <is>
          <t>X_STA_PricePoint_v1</t>
        </is>
      </c>
      <c r="M1678" s="42" t="inlineStr">
        <is>
          <t>Image Ad</t>
        </is>
      </c>
      <c r="N1678" s="42" t="inlineStr">
        <is>
          <t>From R3 599pm</t>
        </is>
      </c>
      <c r="O1678" s="42" t="inlineStr">
        <is>
          <t>Auction - Lowest Cost</t>
        </is>
      </c>
      <c r="P1678" s="42" t="inlineStr">
        <is>
          <t>Site Visit / Conversion</t>
        </is>
      </c>
      <c r="Q1678" s="42" t="inlineStr">
        <is>
          <t>https://www.lepas-sa.co.za/offers</t>
        </is>
      </c>
      <c r="R1678" s="115" t="n">
        <v>125.61</v>
      </c>
      <c r="S1678" s="116" t="n">
        <v>1822</v>
      </c>
      <c r="T1678" s="116" t="n">
        <v>1424</v>
      </c>
      <c r="U1678" s="117">
        <f>IFERROR(S1678/T1678,"")</f>
        <v/>
      </c>
      <c r="V1678" s="116" t="n">
        <v>13</v>
      </c>
      <c r="W1678" s="116" t="n">
        <v>10</v>
      </c>
      <c r="X1678" s="118">
        <f>IFERROR(W1678/S1678,"")</f>
        <v/>
      </c>
      <c r="Y1678" s="115">
        <f>IFERROR(R1678/W1678,"")</f>
        <v/>
      </c>
      <c r="Z1678" s="115">
        <f>IFERROR(R1678/S1678*1000,"")</f>
        <v/>
      </c>
      <c r="AA1678" s="116" t="n">
        <v>8</v>
      </c>
      <c r="AB1678" s="47">
        <f>IFERROR(AA1678/W1678,"")</f>
        <v/>
      </c>
      <c r="AC1678" s="116" t="n">
        <v>0</v>
      </c>
      <c r="AD1678" s="116" t="n">
        <v>0</v>
      </c>
      <c r="AE1678" s="116" t="n">
        <v>0</v>
      </c>
      <c r="AF1678" s="116" t="n">
        <v>0</v>
      </c>
      <c r="AG1678" s="116" t="n">
        <v>0</v>
      </c>
      <c r="AH1678" s="116" t="n">
        <v>0</v>
      </c>
      <c r="AI1678" s="47">
        <f>IFERROR(AC1678/S1678,"")</f>
        <v/>
      </c>
      <c r="AJ1678" s="47">
        <f>IFERROR(AH1678/S1678,"")</f>
        <v/>
      </c>
      <c r="AK1678" s="116" t="n">
        <v>46</v>
      </c>
      <c r="AL1678" s="116" t="n">
        <v>0</v>
      </c>
      <c r="AM1678" s="118">
        <f>IFERROR(AL1678/AA1678,"")</f>
        <v/>
      </c>
      <c r="AN1678" s="119">
        <f>IFERROR(R1678/AL1678,"")</f>
        <v/>
      </c>
      <c r="AO1678" s="116" t="n">
        <v>0</v>
      </c>
      <c r="AP1678" s="47">
        <f>IFERROR(AO1678/AL1678,"")</f>
        <v/>
      </c>
      <c r="AQ1678" s="119">
        <f>IFERROR(R1678/AO1678,"")</f>
        <v/>
      </c>
      <c r="AR1678" s="116" t="n">
        <v>0</v>
      </c>
      <c r="AS1678" s="116" t="n">
        <v>0</v>
      </c>
      <c r="AT1678" s="116">
        <f>AL1678+AR1678</f>
        <v/>
      </c>
      <c r="AU1678" s="119">
        <f>IFERROR(AO1678*Assumptions!$C$26*Assumptions!$C$27*INDEX(Assumptions!$C$18:$C$21,MATCH(H1678,Assumptions!$B$18:$B$21,0)),0)</f>
        <v/>
      </c>
    </row>
    <row r="1679">
      <c r="A1679" s="114" t="n">
        <v>46239</v>
      </c>
      <c r="B1679" s="42" t="inlineStr">
        <is>
          <t>Wk 32</t>
        </is>
      </c>
      <c r="C1679" s="42" t="inlineStr">
        <is>
          <t>Wed</t>
        </is>
      </c>
      <c r="D1679" s="42" t="inlineStr">
        <is>
          <t>X</t>
        </is>
      </c>
      <c r="E1679" s="42" t="inlineStr">
        <is>
          <t>X (Twitter)</t>
        </is>
      </c>
      <c r="F1679" s="42" t="inlineStr">
        <is>
          <t>LEP_ZA_AUG26_X_RMKT_TD_CONV</t>
        </is>
      </c>
      <c r="G1679" s="42" t="inlineStr">
        <is>
          <t>Website Conversions</t>
        </is>
      </c>
      <c r="H1679" s="42" t="inlineStr">
        <is>
          <t>Range</t>
        </is>
      </c>
      <c r="I1679" s="42" t="inlineStr">
        <is>
          <t>Range Offer</t>
        </is>
      </c>
      <c r="J1679" s="42" t="inlineStr">
        <is>
          <t>X_LAL_FOLLOWER_ZA</t>
        </is>
      </c>
      <c r="K1679" s="42" t="inlineStr">
        <is>
          <t>Lookalike</t>
        </is>
      </c>
      <c r="L1679" s="42" t="inlineStr">
        <is>
          <t>X_STA_PricePoint_v1</t>
        </is>
      </c>
      <c r="M1679" s="42" t="inlineStr">
        <is>
          <t>Image Ad</t>
        </is>
      </c>
      <c r="N1679" s="42" t="inlineStr">
        <is>
          <t>From R3 599pm</t>
        </is>
      </c>
      <c r="O1679" s="42" t="inlineStr">
        <is>
          <t>Auction - Lowest Cost</t>
        </is>
      </c>
      <c r="P1679" s="42" t="inlineStr">
        <is>
          <t>Site Visit / Conversion</t>
        </is>
      </c>
      <c r="Q1679" s="42" t="inlineStr">
        <is>
          <t>https://www.lepas-sa.co.za/offers</t>
        </is>
      </c>
      <c r="R1679" s="115" t="n">
        <v>125.45</v>
      </c>
      <c r="S1679" s="116" t="n">
        <v>1833</v>
      </c>
      <c r="T1679" s="116" t="n">
        <v>1353</v>
      </c>
      <c r="U1679" s="117">
        <f>IFERROR(S1679/T1679,"")</f>
        <v/>
      </c>
      <c r="V1679" s="116" t="n">
        <v>13</v>
      </c>
      <c r="W1679" s="116" t="n">
        <v>9</v>
      </c>
      <c r="X1679" s="118">
        <f>IFERROR(W1679/S1679,"")</f>
        <v/>
      </c>
      <c r="Y1679" s="115">
        <f>IFERROR(R1679/W1679,"")</f>
        <v/>
      </c>
      <c r="Z1679" s="115">
        <f>IFERROR(R1679/S1679*1000,"")</f>
        <v/>
      </c>
      <c r="AA1679" s="116" t="n">
        <v>7</v>
      </c>
      <c r="AB1679" s="47">
        <f>IFERROR(AA1679/W1679,"")</f>
        <v/>
      </c>
      <c r="AC1679" s="116" t="n">
        <v>0</v>
      </c>
      <c r="AD1679" s="116" t="n">
        <v>0</v>
      </c>
      <c r="AE1679" s="116" t="n">
        <v>0</v>
      </c>
      <c r="AF1679" s="116" t="n">
        <v>0</v>
      </c>
      <c r="AG1679" s="116" t="n">
        <v>0</v>
      </c>
      <c r="AH1679" s="116" t="n">
        <v>0</v>
      </c>
      <c r="AI1679" s="47">
        <f>IFERROR(AC1679/S1679,"")</f>
        <v/>
      </c>
      <c r="AJ1679" s="47">
        <f>IFERROR(AH1679/S1679,"")</f>
        <v/>
      </c>
      <c r="AK1679" s="116" t="n">
        <v>37</v>
      </c>
      <c r="AL1679" s="116" t="n">
        <v>1</v>
      </c>
      <c r="AM1679" s="118">
        <f>IFERROR(AL1679/AA1679,"")</f>
        <v/>
      </c>
      <c r="AN1679" s="119">
        <f>IFERROR(R1679/AL1679,"")</f>
        <v/>
      </c>
      <c r="AO1679" s="116" t="n">
        <v>0</v>
      </c>
      <c r="AP1679" s="47">
        <f>IFERROR(AO1679/AL1679,"")</f>
        <v/>
      </c>
      <c r="AQ1679" s="119">
        <f>IFERROR(R1679/AO1679,"")</f>
        <v/>
      </c>
      <c r="AR1679" s="116" t="n">
        <v>0</v>
      </c>
      <c r="AS1679" s="116" t="n">
        <v>0</v>
      </c>
      <c r="AT1679" s="116">
        <f>AL1679+AR1679</f>
        <v/>
      </c>
      <c r="AU1679" s="119">
        <f>IFERROR(AO1679*Assumptions!$C$26*Assumptions!$C$27*INDEX(Assumptions!$C$18:$C$21,MATCH(H1679,Assumptions!$B$18:$B$21,0)),0)</f>
        <v/>
      </c>
    </row>
    <row r="1680">
      <c r="A1680" s="114" t="n">
        <v>46240</v>
      </c>
      <c r="B1680" s="42" t="inlineStr">
        <is>
          <t>Wk 32</t>
        </is>
      </c>
      <c r="C1680" s="42" t="inlineStr">
        <is>
          <t>Thu</t>
        </is>
      </c>
      <c r="D1680" s="42" t="inlineStr">
        <is>
          <t>X</t>
        </is>
      </c>
      <c r="E1680" s="42" t="inlineStr">
        <is>
          <t>X (Twitter)</t>
        </is>
      </c>
      <c r="F1680" s="42" t="inlineStr">
        <is>
          <t>LEP_ZA_AUG26_X_RMKT_TD_CONV</t>
        </is>
      </c>
      <c r="G1680" s="42" t="inlineStr">
        <is>
          <t>Website Conversions</t>
        </is>
      </c>
      <c r="H1680" s="42" t="inlineStr">
        <is>
          <t>Range</t>
        </is>
      </c>
      <c r="I1680" s="42" t="inlineStr">
        <is>
          <t>Range Offer</t>
        </is>
      </c>
      <c r="J1680" s="42" t="inlineStr">
        <is>
          <t>X_LAL_FOLLOWER_ZA</t>
        </is>
      </c>
      <c r="K1680" s="42" t="inlineStr">
        <is>
          <t>Lookalike</t>
        </is>
      </c>
      <c r="L1680" s="42" t="inlineStr">
        <is>
          <t>X_STA_PricePoint_v1</t>
        </is>
      </c>
      <c r="M1680" s="42" t="inlineStr">
        <is>
          <t>Image Ad</t>
        </is>
      </c>
      <c r="N1680" s="42" t="inlineStr">
        <is>
          <t>From R3 599pm</t>
        </is>
      </c>
      <c r="O1680" s="42" t="inlineStr">
        <is>
          <t>Auction - Lowest Cost</t>
        </is>
      </c>
      <c r="P1680" s="42" t="inlineStr">
        <is>
          <t>Site Visit / Conversion</t>
        </is>
      </c>
      <c r="Q1680" s="42" t="inlineStr">
        <is>
          <t>https://www.lepas-sa.co.za/offers</t>
        </is>
      </c>
      <c r="R1680" s="115" t="n">
        <v>122.6</v>
      </c>
      <c r="S1680" s="116" t="n">
        <v>1761</v>
      </c>
      <c r="T1680" s="116" t="n">
        <v>1441</v>
      </c>
      <c r="U1680" s="117">
        <f>IFERROR(S1680/T1680,"")</f>
        <v/>
      </c>
      <c r="V1680" s="116" t="n">
        <v>11</v>
      </c>
      <c r="W1680" s="116" t="n">
        <v>9</v>
      </c>
      <c r="X1680" s="118">
        <f>IFERROR(W1680/S1680,"")</f>
        <v/>
      </c>
      <c r="Y1680" s="115">
        <f>IFERROR(R1680/W1680,"")</f>
        <v/>
      </c>
      <c r="Z1680" s="115">
        <f>IFERROR(R1680/S1680*1000,"")</f>
        <v/>
      </c>
      <c r="AA1680" s="116" t="n">
        <v>7</v>
      </c>
      <c r="AB1680" s="47">
        <f>IFERROR(AA1680/W1680,"")</f>
        <v/>
      </c>
      <c r="AC1680" s="116" t="n">
        <v>0</v>
      </c>
      <c r="AD1680" s="116" t="n">
        <v>0</v>
      </c>
      <c r="AE1680" s="116" t="n">
        <v>0</v>
      </c>
      <c r="AF1680" s="116" t="n">
        <v>0</v>
      </c>
      <c r="AG1680" s="116" t="n">
        <v>0</v>
      </c>
      <c r="AH1680" s="116" t="n">
        <v>0</v>
      </c>
      <c r="AI1680" s="47">
        <f>IFERROR(AC1680/S1680,"")</f>
        <v/>
      </c>
      <c r="AJ1680" s="47">
        <f>IFERROR(AH1680/S1680,"")</f>
        <v/>
      </c>
      <c r="AK1680" s="116" t="n">
        <v>24</v>
      </c>
      <c r="AL1680" s="116" t="n">
        <v>0</v>
      </c>
      <c r="AM1680" s="118">
        <f>IFERROR(AL1680/AA1680,"")</f>
        <v/>
      </c>
      <c r="AN1680" s="119">
        <f>IFERROR(R1680/AL1680,"")</f>
        <v/>
      </c>
      <c r="AO1680" s="116" t="n">
        <v>0</v>
      </c>
      <c r="AP1680" s="47">
        <f>IFERROR(AO1680/AL1680,"")</f>
        <v/>
      </c>
      <c r="AQ1680" s="119">
        <f>IFERROR(R1680/AO1680,"")</f>
        <v/>
      </c>
      <c r="AR1680" s="116" t="n">
        <v>0</v>
      </c>
      <c r="AS1680" s="116" t="n">
        <v>0</v>
      </c>
      <c r="AT1680" s="116">
        <f>AL1680+AR1680</f>
        <v/>
      </c>
      <c r="AU1680" s="119">
        <f>IFERROR(AO1680*Assumptions!$C$26*Assumptions!$C$27*INDEX(Assumptions!$C$18:$C$21,MATCH(H1680,Assumptions!$B$18:$B$21,0)),0)</f>
        <v/>
      </c>
    </row>
    <row r="1681">
      <c r="A1681" s="114" t="n">
        <v>46241</v>
      </c>
      <c r="B1681" s="42" t="inlineStr">
        <is>
          <t>Wk 32</t>
        </is>
      </c>
      <c r="C1681" s="42" t="inlineStr">
        <is>
          <t>Fri</t>
        </is>
      </c>
      <c r="D1681" s="42" t="inlineStr">
        <is>
          <t>X</t>
        </is>
      </c>
      <c r="E1681" s="42" t="inlineStr">
        <is>
          <t>X (Twitter)</t>
        </is>
      </c>
      <c r="F1681" s="42" t="inlineStr">
        <is>
          <t>LEP_ZA_AUG26_X_RMKT_TD_CONV</t>
        </is>
      </c>
      <c r="G1681" s="42" t="inlineStr">
        <is>
          <t>Website Conversions</t>
        </is>
      </c>
      <c r="H1681" s="42" t="inlineStr">
        <is>
          <t>Range</t>
        </is>
      </c>
      <c r="I1681" s="42" t="inlineStr">
        <is>
          <t>Range Offer</t>
        </is>
      </c>
      <c r="J1681" s="42" t="inlineStr">
        <is>
          <t>X_LAL_FOLLOWER_ZA</t>
        </is>
      </c>
      <c r="K1681" s="42" t="inlineStr">
        <is>
          <t>Lookalike</t>
        </is>
      </c>
      <c r="L1681" s="42" t="inlineStr">
        <is>
          <t>X_STA_PricePoint_v1</t>
        </is>
      </c>
      <c r="M1681" s="42" t="inlineStr">
        <is>
          <t>Image Ad</t>
        </is>
      </c>
      <c r="N1681" s="42" t="inlineStr">
        <is>
          <t>From R3 599pm</t>
        </is>
      </c>
      <c r="O1681" s="42" t="inlineStr">
        <is>
          <t>Auction - Lowest Cost</t>
        </is>
      </c>
      <c r="P1681" s="42" t="inlineStr">
        <is>
          <t>Site Visit / Conversion</t>
        </is>
      </c>
      <c r="Q1681" s="42" t="inlineStr">
        <is>
          <t>https://www.lepas-sa.co.za/offers</t>
        </is>
      </c>
      <c r="R1681" s="115" t="n">
        <v>167.09</v>
      </c>
      <c r="S1681" s="116" t="n">
        <v>3220</v>
      </c>
      <c r="T1681" s="116" t="n">
        <v>2447</v>
      </c>
      <c r="U1681" s="117">
        <f>IFERROR(S1681/T1681,"")</f>
        <v/>
      </c>
      <c r="V1681" s="116" t="n">
        <v>21</v>
      </c>
      <c r="W1681" s="116" t="n">
        <v>17</v>
      </c>
      <c r="X1681" s="118">
        <f>IFERROR(W1681/S1681,"")</f>
        <v/>
      </c>
      <c r="Y1681" s="115">
        <f>IFERROR(R1681/W1681,"")</f>
        <v/>
      </c>
      <c r="Z1681" s="115">
        <f>IFERROR(R1681/S1681*1000,"")</f>
        <v/>
      </c>
      <c r="AA1681" s="116" t="n">
        <v>12</v>
      </c>
      <c r="AB1681" s="47">
        <f>IFERROR(AA1681/W1681,"")</f>
        <v/>
      </c>
      <c r="AC1681" s="116" t="n">
        <v>0</v>
      </c>
      <c r="AD1681" s="116" t="n">
        <v>0</v>
      </c>
      <c r="AE1681" s="116" t="n">
        <v>0</v>
      </c>
      <c r="AF1681" s="116" t="n">
        <v>0</v>
      </c>
      <c r="AG1681" s="116" t="n">
        <v>0</v>
      </c>
      <c r="AH1681" s="116" t="n">
        <v>0</v>
      </c>
      <c r="AI1681" s="47">
        <f>IFERROR(AC1681/S1681,"")</f>
        <v/>
      </c>
      <c r="AJ1681" s="47">
        <f>IFERROR(AH1681/S1681,"")</f>
        <v/>
      </c>
      <c r="AK1681" s="116" t="n">
        <v>32</v>
      </c>
      <c r="AL1681" s="116" t="n">
        <v>0</v>
      </c>
      <c r="AM1681" s="118">
        <f>IFERROR(AL1681/AA1681,"")</f>
        <v/>
      </c>
      <c r="AN1681" s="119">
        <f>IFERROR(R1681/AL1681,"")</f>
        <v/>
      </c>
      <c r="AO1681" s="116" t="n">
        <v>0</v>
      </c>
      <c r="AP1681" s="47">
        <f>IFERROR(AO1681/AL1681,"")</f>
        <v/>
      </c>
      <c r="AQ1681" s="119">
        <f>IFERROR(R1681/AO1681,"")</f>
        <v/>
      </c>
      <c r="AR1681" s="116" t="n">
        <v>0</v>
      </c>
      <c r="AS1681" s="116" t="n">
        <v>0</v>
      </c>
      <c r="AT1681" s="116">
        <f>AL1681+AR1681</f>
        <v/>
      </c>
      <c r="AU1681" s="119">
        <f>IFERROR(AO1681*Assumptions!$C$26*Assumptions!$C$27*INDEX(Assumptions!$C$18:$C$21,MATCH(H1681,Assumptions!$B$18:$B$21,0)),0)</f>
        <v/>
      </c>
    </row>
    <row r="1682">
      <c r="A1682" s="114" t="n">
        <v>46242</v>
      </c>
      <c r="B1682" s="42" t="inlineStr">
        <is>
          <t>Wk 32</t>
        </is>
      </c>
      <c r="C1682" s="42" t="inlineStr">
        <is>
          <t>Sat</t>
        </is>
      </c>
      <c r="D1682" s="42" t="inlineStr">
        <is>
          <t>X</t>
        </is>
      </c>
      <c r="E1682" s="42" t="inlineStr">
        <is>
          <t>X (Twitter)</t>
        </is>
      </c>
      <c r="F1682" s="42" t="inlineStr">
        <is>
          <t>LEP_ZA_AUG26_X_RMKT_TD_CONV</t>
        </is>
      </c>
      <c r="G1682" s="42" t="inlineStr">
        <is>
          <t>Website Conversions</t>
        </is>
      </c>
      <c r="H1682" s="42" t="inlineStr">
        <is>
          <t>Range</t>
        </is>
      </c>
      <c r="I1682" s="42" t="inlineStr">
        <is>
          <t>Range Offer</t>
        </is>
      </c>
      <c r="J1682" s="42" t="inlineStr">
        <is>
          <t>X_LAL_FOLLOWER_ZA</t>
        </is>
      </c>
      <c r="K1682" s="42" t="inlineStr">
        <is>
          <t>Lookalike</t>
        </is>
      </c>
      <c r="L1682" s="42" t="inlineStr">
        <is>
          <t>X_STA_PricePoint_v1</t>
        </is>
      </c>
      <c r="M1682" s="42" t="inlineStr">
        <is>
          <t>Image Ad</t>
        </is>
      </c>
      <c r="N1682" s="42" t="inlineStr">
        <is>
          <t>From R3 599pm</t>
        </is>
      </c>
      <c r="O1682" s="42" t="inlineStr">
        <is>
          <t>Auction - Lowest Cost</t>
        </is>
      </c>
      <c r="P1682" s="42" t="inlineStr">
        <is>
          <t>Site Visit / Conversion</t>
        </is>
      </c>
      <c r="Q1682" s="42" t="inlineStr">
        <is>
          <t>https://www.lepas-sa.co.za/offers</t>
        </is>
      </c>
      <c r="R1682" s="115" t="n">
        <v>161.08</v>
      </c>
      <c r="S1682" s="116" t="n">
        <v>2527</v>
      </c>
      <c r="T1682" s="116" t="n">
        <v>1588</v>
      </c>
      <c r="U1682" s="117">
        <f>IFERROR(S1682/T1682,"")</f>
        <v/>
      </c>
      <c r="V1682" s="116" t="n">
        <v>15</v>
      </c>
      <c r="W1682" s="116" t="n">
        <v>11</v>
      </c>
      <c r="X1682" s="118">
        <f>IFERROR(W1682/S1682,"")</f>
        <v/>
      </c>
      <c r="Y1682" s="115">
        <f>IFERROR(R1682/W1682,"")</f>
        <v/>
      </c>
      <c r="Z1682" s="115">
        <f>IFERROR(R1682/S1682*1000,"")</f>
        <v/>
      </c>
      <c r="AA1682" s="116" t="n">
        <v>8</v>
      </c>
      <c r="AB1682" s="47">
        <f>IFERROR(AA1682/W1682,"")</f>
        <v/>
      </c>
      <c r="AC1682" s="116" t="n">
        <v>0</v>
      </c>
      <c r="AD1682" s="116" t="n">
        <v>0</v>
      </c>
      <c r="AE1682" s="116" t="n">
        <v>0</v>
      </c>
      <c r="AF1682" s="116" t="n">
        <v>0</v>
      </c>
      <c r="AG1682" s="116" t="n">
        <v>0</v>
      </c>
      <c r="AH1682" s="116" t="n">
        <v>0</v>
      </c>
      <c r="AI1682" s="47">
        <f>IFERROR(AC1682/S1682,"")</f>
        <v/>
      </c>
      <c r="AJ1682" s="47">
        <f>IFERROR(AH1682/S1682,"")</f>
        <v/>
      </c>
      <c r="AK1682" s="116" t="n">
        <v>67</v>
      </c>
      <c r="AL1682" s="116" t="n">
        <v>0</v>
      </c>
      <c r="AM1682" s="118">
        <f>IFERROR(AL1682/AA1682,"")</f>
        <v/>
      </c>
      <c r="AN1682" s="119">
        <f>IFERROR(R1682/AL1682,"")</f>
        <v/>
      </c>
      <c r="AO1682" s="116" t="n">
        <v>0</v>
      </c>
      <c r="AP1682" s="47">
        <f>IFERROR(AO1682/AL1682,"")</f>
        <v/>
      </c>
      <c r="AQ1682" s="119">
        <f>IFERROR(R1682/AO1682,"")</f>
        <v/>
      </c>
      <c r="AR1682" s="116" t="n">
        <v>0</v>
      </c>
      <c r="AS1682" s="116" t="n">
        <v>0</v>
      </c>
      <c r="AT1682" s="116">
        <f>AL1682+AR1682</f>
        <v/>
      </c>
      <c r="AU1682" s="119">
        <f>IFERROR(AO1682*Assumptions!$C$26*Assumptions!$C$27*INDEX(Assumptions!$C$18:$C$21,MATCH(H1682,Assumptions!$B$18:$B$21,0)),0)</f>
        <v/>
      </c>
    </row>
    <row r="1683">
      <c r="A1683" s="114" t="n">
        <v>46243</v>
      </c>
      <c r="B1683" s="42" t="inlineStr">
        <is>
          <t>Wk 32</t>
        </is>
      </c>
      <c r="C1683" s="42" t="inlineStr">
        <is>
          <t>Sun</t>
        </is>
      </c>
      <c r="D1683" s="42" t="inlineStr">
        <is>
          <t>X</t>
        </is>
      </c>
      <c r="E1683" s="42" t="inlineStr">
        <is>
          <t>X (Twitter)</t>
        </is>
      </c>
      <c r="F1683" s="42" t="inlineStr">
        <is>
          <t>LEP_ZA_AUG26_X_RMKT_TD_CONV</t>
        </is>
      </c>
      <c r="G1683" s="42" t="inlineStr">
        <is>
          <t>Website Conversions</t>
        </is>
      </c>
      <c r="H1683" s="42" t="inlineStr">
        <is>
          <t>Range</t>
        </is>
      </c>
      <c r="I1683" s="42" t="inlineStr">
        <is>
          <t>Range Offer</t>
        </is>
      </c>
      <c r="J1683" s="42" t="inlineStr">
        <is>
          <t>X_LAL_FOLLOWER_ZA</t>
        </is>
      </c>
      <c r="K1683" s="42" t="inlineStr">
        <is>
          <t>Lookalike</t>
        </is>
      </c>
      <c r="L1683" s="42" t="inlineStr">
        <is>
          <t>X_STA_PricePoint_v1</t>
        </is>
      </c>
      <c r="M1683" s="42" t="inlineStr">
        <is>
          <t>Image Ad</t>
        </is>
      </c>
      <c r="N1683" s="42" t="inlineStr">
        <is>
          <t>From R3 599pm</t>
        </is>
      </c>
      <c r="O1683" s="42" t="inlineStr">
        <is>
          <t>Auction - Lowest Cost</t>
        </is>
      </c>
      <c r="P1683" s="42" t="inlineStr">
        <is>
          <t>Site Visit / Conversion</t>
        </is>
      </c>
      <c r="Q1683" s="42" t="inlineStr">
        <is>
          <t>https://www.lepas-sa.co.za/offers</t>
        </is>
      </c>
      <c r="R1683" s="115" t="n">
        <v>118.83</v>
      </c>
      <c r="S1683" s="116" t="n">
        <v>2193</v>
      </c>
      <c r="T1683" s="116" t="n">
        <v>1441</v>
      </c>
      <c r="U1683" s="117">
        <f>IFERROR(S1683/T1683,"")</f>
        <v/>
      </c>
      <c r="V1683" s="116" t="n">
        <v>25</v>
      </c>
      <c r="W1683" s="116" t="n">
        <v>18</v>
      </c>
      <c r="X1683" s="118">
        <f>IFERROR(W1683/S1683,"")</f>
        <v/>
      </c>
      <c r="Y1683" s="115">
        <f>IFERROR(R1683/W1683,"")</f>
        <v/>
      </c>
      <c r="Z1683" s="115">
        <f>IFERROR(R1683/S1683*1000,"")</f>
        <v/>
      </c>
      <c r="AA1683" s="116" t="n">
        <v>15</v>
      </c>
      <c r="AB1683" s="47">
        <f>IFERROR(AA1683/W1683,"")</f>
        <v/>
      </c>
      <c r="AC1683" s="116" t="n">
        <v>0</v>
      </c>
      <c r="AD1683" s="116" t="n">
        <v>0</v>
      </c>
      <c r="AE1683" s="116" t="n">
        <v>0</v>
      </c>
      <c r="AF1683" s="116" t="n">
        <v>0</v>
      </c>
      <c r="AG1683" s="116" t="n">
        <v>0</v>
      </c>
      <c r="AH1683" s="116" t="n">
        <v>0</v>
      </c>
      <c r="AI1683" s="47">
        <f>IFERROR(AC1683/S1683,"")</f>
        <v/>
      </c>
      <c r="AJ1683" s="47">
        <f>IFERROR(AH1683/S1683,"")</f>
        <v/>
      </c>
      <c r="AK1683" s="116" t="n">
        <v>60</v>
      </c>
      <c r="AL1683" s="116" t="n">
        <v>0</v>
      </c>
      <c r="AM1683" s="118">
        <f>IFERROR(AL1683/AA1683,"")</f>
        <v/>
      </c>
      <c r="AN1683" s="119">
        <f>IFERROR(R1683/AL1683,"")</f>
        <v/>
      </c>
      <c r="AO1683" s="116" t="n">
        <v>0</v>
      </c>
      <c r="AP1683" s="47">
        <f>IFERROR(AO1683/AL1683,"")</f>
        <v/>
      </c>
      <c r="AQ1683" s="119">
        <f>IFERROR(R1683/AO1683,"")</f>
        <v/>
      </c>
      <c r="AR1683" s="116" t="n">
        <v>0</v>
      </c>
      <c r="AS1683" s="116" t="n">
        <v>0</v>
      </c>
      <c r="AT1683" s="116">
        <f>AL1683+AR1683</f>
        <v/>
      </c>
      <c r="AU1683" s="119">
        <f>IFERROR(AO1683*Assumptions!$C$26*Assumptions!$C$27*INDEX(Assumptions!$C$18:$C$21,MATCH(H1683,Assumptions!$B$18:$B$21,0)),0)</f>
        <v/>
      </c>
    </row>
    <row r="1684">
      <c r="A1684" s="114" t="n">
        <v>46244</v>
      </c>
      <c r="B1684" s="42" t="inlineStr">
        <is>
          <t>Wk 33</t>
        </is>
      </c>
      <c r="C1684" s="42" t="inlineStr">
        <is>
          <t>Mon</t>
        </is>
      </c>
      <c r="D1684" s="42" t="inlineStr">
        <is>
          <t>X</t>
        </is>
      </c>
      <c r="E1684" s="42" t="inlineStr">
        <is>
          <t>X (Twitter)</t>
        </is>
      </c>
      <c r="F1684" s="42" t="inlineStr">
        <is>
          <t>LEP_ZA_AUG26_X_RMKT_TD_CONV</t>
        </is>
      </c>
      <c r="G1684" s="42" t="inlineStr">
        <is>
          <t>Website Conversions</t>
        </is>
      </c>
      <c r="H1684" s="42" t="inlineStr">
        <is>
          <t>Range</t>
        </is>
      </c>
      <c r="I1684" s="42" t="inlineStr">
        <is>
          <t>Range Offer</t>
        </is>
      </c>
      <c r="J1684" s="42" t="inlineStr">
        <is>
          <t>X_LAL_FOLLOWER_ZA</t>
        </is>
      </c>
      <c r="K1684" s="42" t="inlineStr">
        <is>
          <t>Lookalike</t>
        </is>
      </c>
      <c r="L1684" s="42" t="inlineStr">
        <is>
          <t>X_STA_PricePoint_v1</t>
        </is>
      </c>
      <c r="M1684" s="42" t="inlineStr">
        <is>
          <t>Image Ad</t>
        </is>
      </c>
      <c r="N1684" s="42" t="inlineStr">
        <is>
          <t>From R3 599pm</t>
        </is>
      </c>
      <c r="O1684" s="42" t="inlineStr">
        <is>
          <t>Auction - Lowest Cost</t>
        </is>
      </c>
      <c r="P1684" s="42" t="inlineStr">
        <is>
          <t>Site Visit / Conversion</t>
        </is>
      </c>
      <c r="Q1684" s="42" t="inlineStr">
        <is>
          <t>https://www.lepas-sa.co.za/offers</t>
        </is>
      </c>
      <c r="R1684" s="115" t="n">
        <v>135.19</v>
      </c>
      <c r="S1684" s="116" t="n">
        <v>2809</v>
      </c>
      <c r="T1684" s="116" t="n">
        <v>2244</v>
      </c>
      <c r="U1684" s="117">
        <f>IFERROR(S1684/T1684,"")</f>
        <v/>
      </c>
      <c r="V1684" s="116" t="n">
        <v>15</v>
      </c>
      <c r="W1684" s="116" t="n">
        <v>12</v>
      </c>
      <c r="X1684" s="118">
        <f>IFERROR(W1684/S1684,"")</f>
        <v/>
      </c>
      <c r="Y1684" s="115">
        <f>IFERROR(R1684/W1684,"")</f>
        <v/>
      </c>
      <c r="Z1684" s="115">
        <f>IFERROR(R1684/S1684*1000,"")</f>
        <v/>
      </c>
      <c r="AA1684" s="116" t="n">
        <v>8</v>
      </c>
      <c r="AB1684" s="47">
        <f>IFERROR(AA1684/W1684,"")</f>
        <v/>
      </c>
      <c r="AC1684" s="116" t="n">
        <v>0</v>
      </c>
      <c r="AD1684" s="116" t="n">
        <v>0</v>
      </c>
      <c r="AE1684" s="116" t="n">
        <v>0</v>
      </c>
      <c r="AF1684" s="116" t="n">
        <v>0</v>
      </c>
      <c r="AG1684" s="116" t="n">
        <v>0</v>
      </c>
      <c r="AH1684" s="116" t="n">
        <v>0</v>
      </c>
      <c r="AI1684" s="47">
        <f>IFERROR(AC1684/S1684,"")</f>
        <v/>
      </c>
      <c r="AJ1684" s="47">
        <f>IFERROR(AH1684/S1684,"")</f>
        <v/>
      </c>
      <c r="AK1684" s="116" t="n">
        <v>33</v>
      </c>
      <c r="AL1684" s="116" t="n">
        <v>0</v>
      </c>
      <c r="AM1684" s="118">
        <f>IFERROR(AL1684/AA1684,"")</f>
        <v/>
      </c>
      <c r="AN1684" s="119">
        <f>IFERROR(R1684/AL1684,"")</f>
        <v/>
      </c>
      <c r="AO1684" s="116" t="n">
        <v>0</v>
      </c>
      <c r="AP1684" s="47">
        <f>IFERROR(AO1684/AL1684,"")</f>
        <v/>
      </c>
      <c r="AQ1684" s="119">
        <f>IFERROR(R1684/AO1684,"")</f>
        <v/>
      </c>
      <c r="AR1684" s="116" t="n">
        <v>0</v>
      </c>
      <c r="AS1684" s="116" t="n">
        <v>0</v>
      </c>
      <c r="AT1684" s="116">
        <f>AL1684+AR1684</f>
        <v/>
      </c>
      <c r="AU1684" s="119">
        <f>IFERROR(AO1684*Assumptions!$C$26*Assumptions!$C$27*INDEX(Assumptions!$C$18:$C$21,MATCH(H1684,Assumptions!$B$18:$B$21,0)),0)</f>
        <v/>
      </c>
    </row>
    <row r="1685">
      <c r="A1685" s="114" t="n">
        <v>46245</v>
      </c>
      <c r="B1685" s="42" t="inlineStr">
        <is>
          <t>Wk 33</t>
        </is>
      </c>
      <c r="C1685" s="42" t="inlineStr">
        <is>
          <t>Tue</t>
        </is>
      </c>
      <c r="D1685" s="42" t="inlineStr">
        <is>
          <t>X</t>
        </is>
      </c>
      <c r="E1685" s="42" t="inlineStr">
        <is>
          <t>X (Twitter)</t>
        </is>
      </c>
      <c r="F1685" s="42" t="inlineStr">
        <is>
          <t>LEP_ZA_AUG26_X_RMKT_TD_CONV</t>
        </is>
      </c>
      <c r="G1685" s="42" t="inlineStr">
        <is>
          <t>Website Conversions</t>
        </is>
      </c>
      <c r="H1685" s="42" t="inlineStr">
        <is>
          <t>Range</t>
        </is>
      </c>
      <c r="I1685" s="42" t="inlineStr">
        <is>
          <t>Range Offer</t>
        </is>
      </c>
      <c r="J1685" s="42" t="inlineStr">
        <is>
          <t>X_LAL_FOLLOWER_ZA</t>
        </is>
      </c>
      <c r="K1685" s="42" t="inlineStr">
        <is>
          <t>Lookalike</t>
        </is>
      </c>
      <c r="L1685" s="42" t="inlineStr">
        <is>
          <t>X_STA_PricePoint_v1</t>
        </is>
      </c>
      <c r="M1685" s="42" t="inlineStr">
        <is>
          <t>Image Ad</t>
        </is>
      </c>
      <c r="N1685" s="42" t="inlineStr">
        <is>
          <t>From R3 599pm</t>
        </is>
      </c>
      <c r="O1685" s="42" t="inlineStr">
        <is>
          <t>Auction - Lowest Cost</t>
        </is>
      </c>
      <c r="P1685" s="42" t="inlineStr">
        <is>
          <t>Site Visit / Conversion</t>
        </is>
      </c>
      <c r="Q1685" s="42" t="inlineStr">
        <is>
          <t>https://www.lepas-sa.co.za/offers</t>
        </is>
      </c>
      <c r="R1685" s="115" t="n">
        <v>123.2</v>
      </c>
      <c r="S1685" s="116" t="n">
        <v>2056</v>
      </c>
      <c r="T1685" s="116" t="n">
        <v>1408</v>
      </c>
      <c r="U1685" s="117">
        <f>IFERROR(S1685/T1685,"")</f>
        <v/>
      </c>
      <c r="V1685" s="116" t="n">
        <v>20</v>
      </c>
      <c r="W1685" s="116" t="n">
        <v>15</v>
      </c>
      <c r="X1685" s="118">
        <f>IFERROR(W1685/S1685,"")</f>
        <v/>
      </c>
      <c r="Y1685" s="115">
        <f>IFERROR(R1685/W1685,"")</f>
        <v/>
      </c>
      <c r="Z1685" s="115">
        <f>IFERROR(R1685/S1685*1000,"")</f>
        <v/>
      </c>
      <c r="AA1685" s="116" t="n">
        <v>12</v>
      </c>
      <c r="AB1685" s="47">
        <f>IFERROR(AA1685/W1685,"")</f>
        <v/>
      </c>
      <c r="AC1685" s="116" t="n">
        <v>0</v>
      </c>
      <c r="AD1685" s="116" t="n">
        <v>0</v>
      </c>
      <c r="AE1685" s="116" t="n">
        <v>0</v>
      </c>
      <c r="AF1685" s="116" t="n">
        <v>0</v>
      </c>
      <c r="AG1685" s="116" t="n">
        <v>0</v>
      </c>
      <c r="AH1685" s="116" t="n">
        <v>0</v>
      </c>
      <c r="AI1685" s="47">
        <f>IFERROR(AC1685/S1685,"")</f>
        <v/>
      </c>
      <c r="AJ1685" s="47">
        <f>IFERROR(AH1685/S1685,"")</f>
        <v/>
      </c>
      <c r="AK1685" s="116" t="n">
        <v>37</v>
      </c>
      <c r="AL1685" s="116" t="n">
        <v>0</v>
      </c>
      <c r="AM1685" s="118">
        <f>IFERROR(AL1685/AA1685,"")</f>
        <v/>
      </c>
      <c r="AN1685" s="119">
        <f>IFERROR(R1685/AL1685,"")</f>
        <v/>
      </c>
      <c r="AO1685" s="116" t="n">
        <v>0</v>
      </c>
      <c r="AP1685" s="47">
        <f>IFERROR(AO1685/AL1685,"")</f>
        <v/>
      </c>
      <c r="AQ1685" s="119">
        <f>IFERROR(R1685/AO1685,"")</f>
        <v/>
      </c>
      <c r="AR1685" s="116" t="n">
        <v>0</v>
      </c>
      <c r="AS1685" s="116" t="n">
        <v>0</v>
      </c>
      <c r="AT1685" s="116">
        <f>AL1685+AR1685</f>
        <v/>
      </c>
      <c r="AU1685" s="119">
        <f>IFERROR(AO1685*Assumptions!$C$26*Assumptions!$C$27*INDEX(Assumptions!$C$18:$C$21,MATCH(H1685,Assumptions!$B$18:$B$21,0)),0)</f>
        <v/>
      </c>
    </row>
    <row r="1686">
      <c r="A1686" s="114" t="n">
        <v>46246</v>
      </c>
      <c r="B1686" s="42" t="inlineStr">
        <is>
          <t>Wk 33</t>
        </is>
      </c>
      <c r="C1686" s="42" t="inlineStr">
        <is>
          <t>Wed</t>
        </is>
      </c>
      <c r="D1686" s="42" t="inlineStr">
        <is>
          <t>X</t>
        </is>
      </c>
      <c r="E1686" s="42" t="inlineStr">
        <is>
          <t>X (Twitter)</t>
        </is>
      </c>
      <c r="F1686" s="42" t="inlineStr">
        <is>
          <t>LEP_ZA_AUG26_X_RMKT_TD_CONV</t>
        </is>
      </c>
      <c r="G1686" s="42" t="inlineStr">
        <is>
          <t>Website Conversions</t>
        </is>
      </c>
      <c r="H1686" s="42" t="inlineStr">
        <is>
          <t>Range</t>
        </is>
      </c>
      <c r="I1686" s="42" t="inlineStr">
        <is>
          <t>Range Offer</t>
        </is>
      </c>
      <c r="J1686" s="42" t="inlineStr">
        <is>
          <t>X_LAL_FOLLOWER_ZA</t>
        </is>
      </c>
      <c r="K1686" s="42" t="inlineStr">
        <is>
          <t>Lookalike</t>
        </is>
      </c>
      <c r="L1686" s="42" t="inlineStr">
        <is>
          <t>X_STA_PricePoint_v1</t>
        </is>
      </c>
      <c r="M1686" s="42" t="inlineStr">
        <is>
          <t>Image Ad</t>
        </is>
      </c>
      <c r="N1686" s="42" t="inlineStr">
        <is>
          <t>From R3 599pm</t>
        </is>
      </c>
      <c r="O1686" s="42" t="inlineStr">
        <is>
          <t>Auction - Lowest Cost</t>
        </is>
      </c>
      <c r="P1686" s="42" t="inlineStr">
        <is>
          <t>Site Visit / Conversion</t>
        </is>
      </c>
      <c r="Q1686" s="42" t="inlineStr">
        <is>
          <t>https://www.lepas-sa.co.za/offers</t>
        </is>
      </c>
      <c r="R1686" s="115" t="n">
        <v>137.07</v>
      </c>
      <c r="S1686" s="116" t="n">
        <v>1950</v>
      </c>
      <c r="T1686" s="116" t="n">
        <v>1277</v>
      </c>
      <c r="U1686" s="117">
        <f>IFERROR(S1686/T1686,"")</f>
        <v/>
      </c>
      <c r="V1686" s="116" t="n">
        <v>13</v>
      </c>
      <c r="W1686" s="116" t="n">
        <v>11</v>
      </c>
      <c r="X1686" s="118">
        <f>IFERROR(W1686/S1686,"")</f>
        <v/>
      </c>
      <c r="Y1686" s="115">
        <f>IFERROR(R1686/W1686,"")</f>
        <v/>
      </c>
      <c r="Z1686" s="115">
        <f>IFERROR(R1686/S1686*1000,"")</f>
        <v/>
      </c>
      <c r="AA1686" s="116" t="n">
        <v>9</v>
      </c>
      <c r="AB1686" s="47">
        <f>IFERROR(AA1686/W1686,"")</f>
        <v/>
      </c>
      <c r="AC1686" s="116" t="n">
        <v>0</v>
      </c>
      <c r="AD1686" s="116" t="n">
        <v>0</v>
      </c>
      <c r="AE1686" s="116" t="n">
        <v>0</v>
      </c>
      <c r="AF1686" s="116" t="n">
        <v>0</v>
      </c>
      <c r="AG1686" s="116" t="n">
        <v>0</v>
      </c>
      <c r="AH1686" s="116" t="n">
        <v>0</v>
      </c>
      <c r="AI1686" s="47">
        <f>IFERROR(AC1686/S1686,"")</f>
        <v/>
      </c>
      <c r="AJ1686" s="47">
        <f>IFERROR(AH1686/S1686,"")</f>
        <v/>
      </c>
      <c r="AK1686" s="116" t="n">
        <v>45</v>
      </c>
      <c r="AL1686" s="116" t="n">
        <v>0</v>
      </c>
      <c r="AM1686" s="118">
        <f>IFERROR(AL1686/AA1686,"")</f>
        <v/>
      </c>
      <c r="AN1686" s="119">
        <f>IFERROR(R1686/AL1686,"")</f>
        <v/>
      </c>
      <c r="AO1686" s="116" t="n">
        <v>0</v>
      </c>
      <c r="AP1686" s="47">
        <f>IFERROR(AO1686/AL1686,"")</f>
        <v/>
      </c>
      <c r="AQ1686" s="119">
        <f>IFERROR(R1686/AO1686,"")</f>
        <v/>
      </c>
      <c r="AR1686" s="116" t="n">
        <v>0</v>
      </c>
      <c r="AS1686" s="116" t="n">
        <v>0</v>
      </c>
      <c r="AT1686" s="116">
        <f>AL1686+AR1686</f>
        <v/>
      </c>
      <c r="AU1686" s="119">
        <f>IFERROR(AO1686*Assumptions!$C$26*Assumptions!$C$27*INDEX(Assumptions!$C$18:$C$21,MATCH(H1686,Assumptions!$B$18:$B$21,0)),0)</f>
        <v/>
      </c>
    </row>
    <row r="1687">
      <c r="A1687" s="114" t="n">
        <v>46247</v>
      </c>
      <c r="B1687" s="42" t="inlineStr">
        <is>
          <t>Wk 33</t>
        </is>
      </c>
      <c r="C1687" s="42" t="inlineStr">
        <is>
          <t>Thu</t>
        </is>
      </c>
      <c r="D1687" s="42" t="inlineStr">
        <is>
          <t>X</t>
        </is>
      </c>
      <c r="E1687" s="42" t="inlineStr">
        <is>
          <t>X (Twitter)</t>
        </is>
      </c>
      <c r="F1687" s="42" t="inlineStr">
        <is>
          <t>LEP_ZA_AUG26_X_RMKT_TD_CONV</t>
        </is>
      </c>
      <c r="G1687" s="42" t="inlineStr">
        <is>
          <t>Website Conversions</t>
        </is>
      </c>
      <c r="H1687" s="42" t="inlineStr">
        <is>
          <t>Range</t>
        </is>
      </c>
      <c r="I1687" s="42" t="inlineStr">
        <is>
          <t>Range Offer</t>
        </is>
      </c>
      <c r="J1687" s="42" t="inlineStr">
        <is>
          <t>X_LAL_FOLLOWER_ZA</t>
        </is>
      </c>
      <c r="K1687" s="42" t="inlineStr">
        <is>
          <t>Lookalike</t>
        </is>
      </c>
      <c r="L1687" s="42" t="inlineStr">
        <is>
          <t>X_STA_PricePoint_v1</t>
        </is>
      </c>
      <c r="M1687" s="42" t="inlineStr">
        <is>
          <t>Image Ad</t>
        </is>
      </c>
      <c r="N1687" s="42" t="inlineStr">
        <is>
          <t>From R3 599pm</t>
        </is>
      </c>
      <c r="O1687" s="42" t="inlineStr">
        <is>
          <t>Auction - Lowest Cost</t>
        </is>
      </c>
      <c r="P1687" s="42" t="inlineStr">
        <is>
          <t>Site Visit / Conversion</t>
        </is>
      </c>
      <c r="Q1687" s="42" t="inlineStr">
        <is>
          <t>https://www.lepas-sa.co.za/offers</t>
        </is>
      </c>
      <c r="R1687" s="115" t="n">
        <v>156.67</v>
      </c>
      <c r="S1687" s="116" t="n">
        <v>2883</v>
      </c>
      <c r="T1687" s="116" t="n">
        <v>1705</v>
      </c>
      <c r="U1687" s="117">
        <f>IFERROR(S1687/T1687,"")</f>
        <v/>
      </c>
      <c r="V1687" s="116" t="n">
        <v>15</v>
      </c>
      <c r="W1687" s="116" t="n">
        <v>12</v>
      </c>
      <c r="X1687" s="118">
        <f>IFERROR(W1687/S1687,"")</f>
        <v/>
      </c>
      <c r="Y1687" s="115">
        <f>IFERROR(R1687/W1687,"")</f>
        <v/>
      </c>
      <c r="Z1687" s="115">
        <f>IFERROR(R1687/S1687*1000,"")</f>
        <v/>
      </c>
      <c r="AA1687" s="116" t="n">
        <v>10</v>
      </c>
      <c r="AB1687" s="47">
        <f>IFERROR(AA1687/W1687,"")</f>
        <v/>
      </c>
      <c r="AC1687" s="116" t="n">
        <v>0</v>
      </c>
      <c r="AD1687" s="116" t="n">
        <v>0</v>
      </c>
      <c r="AE1687" s="116" t="n">
        <v>0</v>
      </c>
      <c r="AF1687" s="116" t="n">
        <v>0</v>
      </c>
      <c r="AG1687" s="116" t="n">
        <v>0</v>
      </c>
      <c r="AH1687" s="116" t="n">
        <v>0</v>
      </c>
      <c r="AI1687" s="47">
        <f>IFERROR(AC1687/S1687,"")</f>
        <v/>
      </c>
      <c r="AJ1687" s="47">
        <f>IFERROR(AH1687/S1687,"")</f>
        <v/>
      </c>
      <c r="AK1687" s="116" t="n">
        <v>42</v>
      </c>
      <c r="AL1687" s="116" t="n">
        <v>0</v>
      </c>
      <c r="AM1687" s="118">
        <f>IFERROR(AL1687/AA1687,"")</f>
        <v/>
      </c>
      <c r="AN1687" s="119">
        <f>IFERROR(R1687/AL1687,"")</f>
        <v/>
      </c>
      <c r="AO1687" s="116" t="n">
        <v>0</v>
      </c>
      <c r="AP1687" s="47">
        <f>IFERROR(AO1687/AL1687,"")</f>
        <v/>
      </c>
      <c r="AQ1687" s="119">
        <f>IFERROR(R1687/AO1687,"")</f>
        <v/>
      </c>
      <c r="AR1687" s="116" t="n">
        <v>0</v>
      </c>
      <c r="AS1687" s="116" t="n">
        <v>0</v>
      </c>
      <c r="AT1687" s="116">
        <f>AL1687+AR1687</f>
        <v/>
      </c>
      <c r="AU1687" s="119">
        <f>IFERROR(AO1687*Assumptions!$C$26*Assumptions!$C$27*INDEX(Assumptions!$C$18:$C$21,MATCH(H1687,Assumptions!$B$18:$B$21,0)),0)</f>
        <v/>
      </c>
    </row>
    <row r="1688">
      <c r="A1688" s="114" t="n">
        <v>46248</v>
      </c>
      <c r="B1688" s="42" t="inlineStr">
        <is>
          <t>Wk 33</t>
        </is>
      </c>
      <c r="C1688" s="42" t="inlineStr">
        <is>
          <t>Fri</t>
        </is>
      </c>
      <c r="D1688" s="42" t="inlineStr">
        <is>
          <t>X</t>
        </is>
      </c>
      <c r="E1688" s="42" t="inlineStr">
        <is>
          <t>X (Twitter)</t>
        </is>
      </c>
      <c r="F1688" s="42" t="inlineStr">
        <is>
          <t>LEP_ZA_AUG26_X_RMKT_TD_CONV</t>
        </is>
      </c>
      <c r="G1688" s="42" t="inlineStr">
        <is>
          <t>Website Conversions</t>
        </is>
      </c>
      <c r="H1688" s="42" t="inlineStr">
        <is>
          <t>Range</t>
        </is>
      </c>
      <c r="I1688" s="42" t="inlineStr">
        <is>
          <t>Range Offer</t>
        </is>
      </c>
      <c r="J1688" s="42" t="inlineStr">
        <is>
          <t>X_LAL_FOLLOWER_ZA</t>
        </is>
      </c>
      <c r="K1688" s="42" t="inlineStr">
        <is>
          <t>Lookalike</t>
        </is>
      </c>
      <c r="L1688" s="42" t="inlineStr">
        <is>
          <t>X_STA_PricePoint_v1</t>
        </is>
      </c>
      <c r="M1688" s="42" t="inlineStr">
        <is>
          <t>Image Ad</t>
        </is>
      </c>
      <c r="N1688" s="42" t="inlineStr">
        <is>
          <t>From R3 599pm</t>
        </is>
      </c>
      <c r="O1688" s="42" t="inlineStr">
        <is>
          <t>Auction - Lowest Cost</t>
        </is>
      </c>
      <c r="P1688" s="42" t="inlineStr">
        <is>
          <t>Site Visit / Conversion</t>
        </is>
      </c>
      <c r="Q1688" s="42" t="inlineStr">
        <is>
          <t>https://www.lepas-sa.co.za/offers</t>
        </is>
      </c>
      <c r="R1688" s="115" t="n">
        <v>157.6</v>
      </c>
      <c r="S1688" s="116" t="n">
        <v>2723</v>
      </c>
      <c r="T1688" s="116" t="n">
        <v>1719</v>
      </c>
      <c r="U1688" s="117">
        <f>IFERROR(S1688/T1688,"")</f>
        <v/>
      </c>
      <c r="V1688" s="116" t="n">
        <v>23</v>
      </c>
      <c r="W1688" s="116" t="n">
        <v>17</v>
      </c>
      <c r="X1688" s="118">
        <f>IFERROR(W1688/S1688,"")</f>
        <v/>
      </c>
      <c r="Y1688" s="115">
        <f>IFERROR(R1688/W1688,"")</f>
        <v/>
      </c>
      <c r="Z1688" s="115">
        <f>IFERROR(R1688/S1688*1000,"")</f>
        <v/>
      </c>
      <c r="AA1688" s="116" t="n">
        <v>13</v>
      </c>
      <c r="AB1688" s="47">
        <f>IFERROR(AA1688/W1688,"")</f>
        <v/>
      </c>
      <c r="AC1688" s="116" t="n">
        <v>0</v>
      </c>
      <c r="AD1688" s="116" t="n">
        <v>0</v>
      </c>
      <c r="AE1688" s="116" t="n">
        <v>0</v>
      </c>
      <c r="AF1688" s="116" t="n">
        <v>0</v>
      </c>
      <c r="AG1688" s="116" t="n">
        <v>0</v>
      </c>
      <c r="AH1688" s="116" t="n">
        <v>0</v>
      </c>
      <c r="AI1688" s="47">
        <f>IFERROR(AC1688/S1688,"")</f>
        <v/>
      </c>
      <c r="AJ1688" s="47">
        <f>IFERROR(AH1688/S1688,"")</f>
        <v/>
      </c>
      <c r="AK1688" s="116" t="n">
        <v>59</v>
      </c>
      <c r="AL1688" s="116" t="n">
        <v>0</v>
      </c>
      <c r="AM1688" s="118">
        <f>IFERROR(AL1688/AA1688,"")</f>
        <v/>
      </c>
      <c r="AN1688" s="119">
        <f>IFERROR(R1688/AL1688,"")</f>
        <v/>
      </c>
      <c r="AO1688" s="116" t="n">
        <v>0</v>
      </c>
      <c r="AP1688" s="47">
        <f>IFERROR(AO1688/AL1688,"")</f>
        <v/>
      </c>
      <c r="AQ1688" s="119">
        <f>IFERROR(R1688/AO1688,"")</f>
        <v/>
      </c>
      <c r="AR1688" s="116" t="n">
        <v>0</v>
      </c>
      <c r="AS1688" s="116" t="n">
        <v>0</v>
      </c>
      <c r="AT1688" s="116">
        <f>AL1688+AR1688</f>
        <v/>
      </c>
      <c r="AU1688" s="119">
        <f>IFERROR(AO1688*Assumptions!$C$26*Assumptions!$C$27*INDEX(Assumptions!$C$18:$C$21,MATCH(H1688,Assumptions!$B$18:$B$21,0)),0)</f>
        <v/>
      </c>
    </row>
    <row r="1689">
      <c r="A1689" s="114" t="n">
        <v>46249</v>
      </c>
      <c r="B1689" s="42" t="inlineStr">
        <is>
          <t>Wk 33</t>
        </is>
      </c>
      <c r="C1689" s="42" t="inlineStr">
        <is>
          <t>Sat</t>
        </is>
      </c>
      <c r="D1689" s="42" t="inlineStr">
        <is>
          <t>X</t>
        </is>
      </c>
      <c r="E1689" s="42" t="inlineStr">
        <is>
          <t>X (Twitter)</t>
        </is>
      </c>
      <c r="F1689" s="42" t="inlineStr">
        <is>
          <t>LEP_ZA_AUG26_X_RMKT_TD_CONV</t>
        </is>
      </c>
      <c r="G1689" s="42" t="inlineStr">
        <is>
          <t>Website Conversions</t>
        </is>
      </c>
      <c r="H1689" s="42" t="inlineStr">
        <is>
          <t>Range</t>
        </is>
      </c>
      <c r="I1689" s="42" t="inlineStr">
        <is>
          <t>Range Offer</t>
        </is>
      </c>
      <c r="J1689" s="42" t="inlineStr">
        <is>
          <t>X_LAL_FOLLOWER_ZA</t>
        </is>
      </c>
      <c r="K1689" s="42" t="inlineStr">
        <is>
          <t>Lookalike</t>
        </is>
      </c>
      <c r="L1689" s="42" t="inlineStr">
        <is>
          <t>X_STA_PricePoint_v1</t>
        </is>
      </c>
      <c r="M1689" s="42" t="inlineStr">
        <is>
          <t>Image Ad</t>
        </is>
      </c>
      <c r="N1689" s="42" t="inlineStr">
        <is>
          <t>From R3 599pm</t>
        </is>
      </c>
      <c r="O1689" s="42" t="inlineStr">
        <is>
          <t>Auction - Lowest Cost</t>
        </is>
      </c>
      <c r="P1689" s="42" t="inlineStr">
        <is>
          <t>Site Visit / Conversion</t>
        </is>
      </c>
      <c r="Q1689" s="42" t="inlineStr">
        <is>
          <t>https://www.lepas-sa.co.za/offers</t>
        </is>
      </c>
      <c r="R1689" s="115" t="n">
        <v>132.37</v>
      </c>
      <c r="S1689" s="116" t="n">
        <v>2458</v>
      </c>
      <c r="T1689" s="116" t="n">
        <v>1651</v>
      </c>
      <c r="U1689" s="117">
        <f>IFERROR(S1689/T1689,"")</f>
        <v/>
      </c>
      <c r="V1689" s="116" t="n">
        <v>18</v>
      </c>
      <c r="W1689" s="116" t="n">
        <v>15</v>
      </c>
      <c r="X1689" s="118">
        <f>IFERROR(W1689/S1689,"")</f>
        <v/>
      </c>
      <c r="Y1689" s="115">
        <f>IFERROR(R1689/W1689,"")</f>
        <v/>
      </c>
      <c r="Z1689" s="115">
        <f>IFERROR(R1689/S1689*1000,"")</f>
        <v/>
      </c>
      <c r="AA1689" s="116" t="n">
        <v>12</v>
      </c>
      <c r="AB1689" s="47">
        <f>IFERROR(AA1689/W1689,"")</f>
        <v/>
      </c>
      <c r="AC1689" s="116" t="n">
        <v>0</v>
      </c>
      <c r="AD1689" s="116" t="n">
        <v>0</v>
      </c>
      <c r="AE1689" s="116" t="n">
        <v>0</v>
      </c>
      <c r="AF1689" s="116" t="n">
        <v>0</v>
      </c>
      <c r="AG1689" s="116" t="n">
        <v>0</v>
      </c>
      <c r="AH1689" s="116" t="n">
        <v>0</v>
      </c>
      <c r="AI1689" s="47">
        <f>IFERROR(AC1689/S1689,"")</f>
        <v/>
      </c>
      <c r="AJ1689" s="47">
        <f>IFERROR(AH1689/S1689,"")</f>
        <v/>
      </c>
      <c r="AK1689" s="116" t="n">
        <v>37</v>
      </c>
      <c r="AL1689" s="116" t="n">
        <v>0</v>
      </c>
      <c r="AM1689" s="118">
        <f>IFERROR(AL1689/AA1689,"")</f>
        <v/>
      </c>
      <c r="AN1689" s="119">
        <f>IFERROR(R1689/AL1689,"")</f>
        <v/>
      </c>
      <c r="AO1689" s="116" t="n">
        <v>0</v>
      </c>
      <c r="AP1689" s="47">
        <f>IFERROR(AO1689/AL1689,"")</f>
        <v/>
      </c>
      <c r="AQ1689" s="119">
        <f>IFERROR(R1689/AO1689,"")</f>
        <v/>
      </c>
      <c r="AR1689" s="116" t="n">
        <v>0</v>
      </c>
      <c r="AS1689" s="116" t="n">
        <v>0</v>
      </c>
      <c r="AT1689" s="116">
        <f>AL1689+AR1689</f>
        <v/>
      </c>
      <c r="AU1689" s="119">
        <f>IFERROR(AO1689*Assumptions!$C$26*Assumptions!$C$27*INDEX(Assumptions!$C$18:$C$21,MATCH(H1689,Assumptions!$B$18:$B$21,0)),0)</f>
        <v/>
      </c>
    </row>
    <row r="1690">
      <c r="A1690" s="114" t="n">
        <v>46250</v>
      </c>
      <c r="B1690" s="42" t="inlineStr">
        <is>
          <t>Wk 33</t>
        </is>
      </c>
      <c r="C1690" s="42" t="inlineStr">
        <is>
          <t>Sun</t>
        </is>
      </c>
      <c r="D1690" s="42" t="inlineStr">
        <is>
          <t>X</t>
        </is>
      </c>
      <c r="E1690" s="42" t="inlineStr">
        <is>
          <t>X (Twitter)</t>
        </is>
      </c>
      <c r="F1690" s="42" t="inlineStr">
        <is>
          <t>LEP_ZA_AUG26_X_RMKT_TD_CONV</t>
        </is>
      </c>
      <c r="G1690" s="42" t="inlineStr">
        <is>
          <t>Website Conversions</t>
        </is>
      </c>
      <c r="H1690" s="42" t="inlineStr">
        <is>
          <t>Range</t>
        </is>
      </c>
      <c r="I1690" s="42" t="inlineStr">
        <is>
          <t>Range Offer</t>
        </is>
      </c>
      <c r="J1690" s="42" t="inlineStr">
        <is>
          <t>X_LAL_FOLLOWER_ZA</t>
        </is>
      </c>
      <c r="K1690" s="42" t="inlineStr">
        <is>
          <t>Lookalike</t>
        </is>
      </c>
      <c r="L1690" s="42" t="inlineStr">
        <is>
          <t>X_STA_PricePoint_v1</t>
        </is>
      </c>
      <c r="M1690" s="42" t="inlineStr">
        <is>
          <t>Image Ad</t>
        </is>
      </c>
      <c r="N1690" s="42" t="inlineStr">
        <is>
          <t>From R3 599pm</t>
        </is>
      </c>
      <c r="O1690" s="42" t="inlineStr">
        <is>
          <t>Auction - Lowest Cost</t>
        </is>
      </c>
      <c r="P1690" s="42" t="inlineStr">
        <is>
          <t>Site Visit / Conversion</t>
        </is>
      </c>
      <c r="Q1690" s="42" t="inlineStr">
        <is>
          <t>https://www.lepas-sa.co.za/offers</t>
        </is>
      </c>
      <c r="R1690" s="115" t="n">
        <v>98.78</v>
      </c>
      <c r="S1690" s="116" t="n">
        <v>1340</v>
      </c>
      <c r="T1690" s="116" t="n">
        <v>890</v>
      </c>
      <c r="U1690" s="117">
        <f>IFERROR(S1690/T1690,"")</f>
        <v/>
      </c>
      <c r="V1690" s="116" t="n">
        <v>10</v>
      </c>
      <c r="W1690" s="116" t="n">
        <v>8</v>
      </c>
      <c r="X1690" s="118">
        <f>IFERROR(W1690/S1690,"")</f>
        <v/>
      </c>
      <c r="Y1690" s="115">
        <f>IFERROR(R1690/W1690,"")</f>
        <v/>
      </c>
      <c r="Z1690" s="115">
        <f>IFERROR(R1690/S1690*1000,"")</f>
        <v/>
      </c>
      <c r="AA1690" s="116" t="n">
        <v>5</v>
      </c>
      <c r="AB1690" s="47">
        <f>IFERROR(AA1690/W1690,"")</f>
        <v/>
      </c>
      <c r="AC1690" s="116" t="n">
        <v>0</v>
      </c>
      <c r="AD1690" s="116" t="n">
        <v>0</v>
      </c>
      <c r="AE1690" s="116" t="n">
        <v>0</v>
      </c>
      <c r="AF1690" s="116" t="n">
        <v>0</v>
      </c>
      <c r="AG1690" s="116" t="n">
        <v>0</v>
      </c>
      <c r="AH1690" s="116" t="n">
        <v>0</v>
      </c>
      <c r="AI1690" s="47">
        <f>IFERROR(AC1690/S1690,"")</f>
        <v/>
      </c>
      <c r="AJ1690" s="47">
        <f>IFERROR(AH1690/S1690,"")</f>
        <v/>
      </c>
      <c r="AK1690" s="116" t="n">
        <v>19</v>
      </c>
      <c r="AL1690" s="116" t="n">
        <v>0</v>
      </c>
      <c r="AM1690" s="118">
        <f>IFERROR(AL1690/AA1690,"")</f>
        <v/>
      </c>
      <c r="AN1690" s="119">
        <f>IFERROR(R1690/AL1690,"")</f>
        <v/>
      </c>
      <c r="AO1690" s="116" t="n">
        <v>0</v>
      </c>
      <c r="AP1690" s="47">
        <f>IFERROR(AO1690/AL1690,"")</f>
        <v/>
      </c>
      <c r="AQ1690" s="119">
        <f>IFERROR(R1690/AO1690,"")</f>
        <v/>
      </c>
      <c r="AR1690" s="116" t="n">
        <v>0</v>
      </c>
      <c r="AS1690" s="116" t="n">
        <v>0</v>
      </c>
      <c r="AT1690" s="116">
        <f>AL1690+AR1690</f>
        <v/>
      </c>
      <c r="AU1690" s="119">
        <f>IFERROR(AO1690*Assumptions!$C$26*Assumptions!$C$27*INDEX(Assumptions!$C$18:$C$21,MATCH(H1690,Assumptions!$B$18:$B$21,0)),0)</f>
        <v/>
      </c>
    </row>
    <row r="1691">
      <c r="A1691" s="114" t="n">
        <v>46251</v>
      </c>
      <c r="B1691" s="42" t="inlineStr">
        <is>
          <t>Wk 34</t>
        </is>
      </c>
      <c r="C1691" s="42" t="inlineStr">
        <is>
          <t>Mon</t>
        </is>
      </c>
      <c r="D1691" s="42" t="inlineStr">
        <is>
          <t>X</t>
        </is>
      </c>
      <c r="E1691" s="42" t="inlineStr">
        <is>
          <t>X (Twitter)</t>
        </is>
      </c>
      <c r="F1691" s="42" t="inlineStr">
        <is>
          <t>LEP_ZA_AUG26_X_RMKT_TD_CONV</t>
        </is>
      </c>
      <c r="G1691" s="42" t="inlineStr">
        <is>
          <t>Website Conversions</t>
        </is>
      </c>
      <c r="H1691" s="42" t="inlineStr">
        <is>
          <t>Range</t>
        </is>
      </c>
      <c r="I1691" s="42" t="inlineStr">
        <is>
          <t>Range Offer</t>
        </is>
      </c>
      <c r="J1691" s="42" t="inlineStr">
        <is>
          <t>X_LAL_FOLLOWER_ZA</t>
        </is>
      </c>
      <c r="K1691" s="42" t="inlineStr">
        <is>
          <t>Lookalike</t>
        </is>
      </c>
      <c r="L1691" s="42" t="inlineStr">
        <is>
          <t>X_STA_PricePoint_v1</t>
        </is>
      </c>
      <c r="M1691" s="42" t="inlineStr">
        <is>
          <t>Image Ad</t>
        </is>
      </c>
      <c r="N1691" s="42" t="inlineStr">
        <is>
          <t>From R3 599pm</t>
        </is>
      </c>
      <c r="O1691" s="42" t="inlineStr">
        <is>
          <t>Auction - Lowest Cost</t>
        </is>
      </c>
      <c r="P1691" s="42" t="inlineStr">
        <is>
          <t>Site Visit / Conversion</t>
        </is>
      </c>
      <c r="Q1691" s="42" t="inlineStr">
        <is>
          <t>https://www.lepas-sa.co.za/offers</t>
        </is>
      </c>
      <c r="R1691" s="115" t="n">
        <v>135.8</v>
      </c>
      <c r="S1691" s="116" t="n">
        <v>2613</v>
      </c>
      <c r="T1691" s="116" t="n">
        <v>1815</v>
      </c>
      <c r="U1691" s="117">
        <f>IFERROR(S1691/T1691,"")</f>
        <v/>
      </c>
      <c r="V1691" s="116" t="n">
        <v>25</v>
      </c>
      <c r="W1691" s="116" t="n">
        <v>18</v>
      </c>
      <c r="X1691" s="118">
        <f>IFERROR(W1691/S1691,"")</f>
        <v/>
      </c>
      <c r="Y1691" s="115">
        <f>IFERROR(R1691/W1691,"")</f>
        <v/>
      </c>
      <c r="Z1691" s="115">
        <f>IFERROR(R1691/S1691*1000,"")</f>
        <v/>
      </c>
      <c r="AA1691" s="116" t="n">
        <v>14</v>
      </c>
      <c r="AB1691" s="47">
        <f>IFERROR(AA1691/W1691,"")</f>
        <v/>
      </c>
      <c r="AC1691" s="116" t="n">
        <v>0</v>
      </c>
      <c r="AD1691" s="116" t="n">
        <v>0</v>
      </c>
      <c r="AE1691" s="116" t="n">
        <v>0</v>
      </c>
      <c r="AF1691" s="116" t="n">
        <v>0</v>
      </c>
      <c r="AG1691" s="116" t="n">
        <v>0</v>
      </c>
      <c r="AH1691" s="116" t="n">
        <v>0</v>
      </c>
      <c r="AI1691" s="47">
        <f>IFERROR(AC1691/S1691,"")</f>
        <v/>
      </c>
      <c r="AJ1691" s="47">
        <f>IFERROR(AH1691/S1691,"")</f>
        <v/>
      </c>
      <c r="AK1691" s="116" t="n">
        <v>44</v>
      </c>
      <c r="AL1691" s="116" t="n">
        <v>0</v>
      </c>
      <c r="AM1691" s="118">
        <f>IFERROR(AL1691/AA1691,"")</f>
        <v/>
      </c>
      <c r="AN1691" s="119">
        <f>IFERROR(R1691/AL1691,"")</f>
        <v/>
      </c>
      <c r="AO1691" s="116" t="n">
        <v>0</v>
      </c>
      <c r="AP1691" s="47">
        <f>IFERROR(AO1691/AL1691,"")</f>
        <v/>
      </c>
      <c r="AQ1691" s="119">
        <f>IFERROR(R1691/AO1691,"")</f>
        <v/>
      </c>
      <c r="AR1691" s="116" t="n">
        <v>0</v>
      </c>
      <c r="AS1691" s="116" t="n">
        <v>0</v>
      </c>
      <c r="AT1691" s="116">
        <f>AL1691+AR1691</f>
        <v/>
      </c>
      <c r="AU1691" s="119">
        <f>IFERROR(AO1691*Assumptions!$C$26*Assumptions!$C$27*INDEX(Assumptions!$C$18:$C$21,MATCH(H1691,Assumptions!$B$18:$B$21,0)),0)</f>
        <v/>
      </c>
    </row>
    <row r="1692">
      <c r="A1692" s="114" t="n">
        <v>46252</v>
      </c>
      <c r="B1692" s="42" t="inlineStr">
        <is>
          <t>Wk 34</t>
        </is>
      </c>
      <c r="C1692" s="42" t="inlineStr">
        <is>
          <t>Tue</t>
        </is>
      </c>
      <c r="D1692" s="42" t="inlineStr">
        <is>
          <t>X</t>
        </is>
      </c>
      <c r="E1692" s="42" t="inlineStr">
        <is>
          <t>X (Twitter)</t>
        </is>
      </c>
      <c r="F1692" s="42" t="inlineStr">
        <is>
          <t>LEP_ZA_AUG26_X_RMKT_TD_CONV</t>
        </is>
      </c>
      <c r="G1692" s="42" t="inlineStr">
        <is>
          <t>Website Conversions</t>
        </is>
      </c>
      <c r="H1692" s="42" t="inlineStr">
        <is>
          <t>Range</t>
        </is>
      </c>
      <c r="I1692" s="42" t="inlineStr">
        <is>
          <t>Range Offer</t>
        </is>
      </c>
      <c r="J1692" s="42" t="inlineStr">
        <is>
          <t>X_LAL_FOLLOWER_ZA</t>
        </is>
      </c>
      <c r="K1692" s="42" t="inlineStr">
        <is>
          <t>Lookalike</t>
        </is>
      </c>
      <c r="L1692" s="42" t="inlineStr">
        <is>
          <t>X_STA_PricePoint_v1</t>
        </is>
      </c>
      <c r="M1692" s="42" t="inlineStr">
        <is>
          <t>Image Ad</t>
        </is>
      </c>
      <c r="N1692" s="42" t="inlineStr">
        <is>
          <t>From R3 599pm</t>
        </is>
      </c>
      <c r="O1692" s="42" t="inlineStr">
        <is>
          <t>Auction - Lowest Cost</t>
        </is>
      </c>
      <c r="P1692" s="42" t="inlineStr">
        <is>
          <t>Site Visit / Conversion</t>
        </is>
      </c>
      <c r="Q1692" s="42" t="inlineStr">
        <is>
          <t>https://www.lepas-sa.co.za/offers</t>
        </is>
      </c>
      <c r="R1692" s="115" t="n">
        <v>125.77</v>
      </c>
      <c r="S1692" s="116" t="n">
        <v>1944</v>
      </c>
      <c r="T1692" s="116" t="n">
        <v>1263</v>
      </c>
      <c r="U1692" s="117">
        <f>IFERROR(S1692/T1692,"")</f>
        <v/>
      </c>
      <c r="V1692" s="116" t="n">
        <v>21</v>
      </c>
      <c r="W1692" s="116" t="n">
        <v>15</v>
      </c>
      <c r="X1692" s="118">
        <f>IFERROR(W1692/S1692,"")</f>
        <v/>
      </c>
      <c r="Y1692" s="115">
        <f>IFERROR(R1692/W1692,"")</f>
        <v/>
      </c>
      <c r="Z1692" s="115">
        <f>IFERROR(R1692/S1692*1000,"")</f>
        <v/>
      </c>
      <c r="AA1692" s="116" t="n">
        <v>12</v>
      </c>
      <c r="AB1692" s="47">
        <f>IFERROR(AA1692/W1692,"")</f>
        <v/>
      </c>
      <c r="AC1692" s="116" t="n">
        <v>0</v>
      </c>
      <c r="AD1692" s="116" t="n">
        <v>0</v>
      </c>
      <c r="AE1692" s="116" t="n">
        <v>0</v>
      </c>
      <c r="AF1692" s="116" t="n">
        <v>0</v>
      </c>
      <c r="AG1692" s="116" t="n">
        <v>0</v>
      </c>
      <c r="AH1692" s="116" t="n">
        <v>0</v>
      </c>
      <c r="AI1692" s="47">
        <f>IFERROR(AC1692/S1692,"")</f>
        <v/>
      </c>
      <c r="AJ1692" s="47">
        <f>IFERROR(AH1692/S1692,"")</f>
        <v/>
      </c>
      <c r="AK1692" s="116" t="n">
        <v>30</v>
      </c>
      <c r="AL1692" s="116" t="n">
        <v>1</v>
      </c>
      <c r="AM1692" s="118">
        <f>IFERROR(AL1692/AA1692,"")</f>
        <v/>
      </c>
      <c r="AN1692" s="119">
        <f>IFERROR(R1692/AL1692,"")</f>
        <v/>
      </c>
      <c r="AO1692" s="116" t="n">
        <v>1</v>
      </c>
      <c r="AP1692" s="47">
        <f>IFERROR(AO1692/AL1692,"")</f>
        <v/>
      </c>
      <c r="AQ1692" s="119">
        <f>IFERROR(R1692/AO1692,"")</f>
        <v/>
      </c>
      <c r="AR1692" s="116" t="n">
        <v>0</v>
      </c>
      <c r="AS1692" s="116" t="n">
        <v>0</v>
      </c>
      <c r="AT1692" s="116">
        <f>AL1692+AR1692</f>
        <v/>
      </c>
      <c r="AU1692" s="119">
        <f>IFERROR(AO1692*Assumptions!$C$26*Assumptions!$C$27*INDEX(Assumptions!$C$18:$C$21,MATCH(H1692,Assumptions!$B$18:$B$21,0)),0)</f>
        <v/>
      </c>
    </row>
    <row r="1693">
      <c r="A1693" s="114" t="n">
        <v>46253</v>
      </c>
      <c r="B1693" s="42" t="inlineStr">
        <is>
          <t>Wk 34</t>
        </is>
      </c>
      <c r="C1693" s="42" t="inlineStr">
        <is>
          <t>Wed</t>
        </is>
      </c>
      <c r="D1693" s="42" t="inlineStr">
        <is>
          <t>X</t>
        </is>
      </c>
      <c r="E1693" s="42" t="inlineStr">
        <is>
          <t>X (Twitter)</t>
        </is>
      </c>
      <c r="F1693" s="42" t="inlineStr">
        <is>
          <t>LEP_ZA_AUG26_X_RMKT_TD_CONV</t>
        </is>
      </c>
      <c r="G1693" s="42" t="inlineStr">
        <is>
          <t>Website Conversions</t>
        </is>
      </c>
      <c r="H1693" s="42" t="inlineStr">
        <is>
          <t>Range</t>
        </is>
      </c>
      <c r="I1693" s="42" t="inlineStr">
        <is>
          <t>Range Offer</t>
        </is>
      </c>
      <c r="J1693" s="42" t="inlineStr">
        <is>
          <t>X_LAL_FOLLOWER_ZA</t>
        </is>
      </c>
      <c r="K1693" s="42" t="inlineStr">
        <is>
          <t>Lookalike</t>
        </is>
      </c>
      <c r="L1693" s="42" t="inlineStr">
        <is>
          <t>X_STA_PricePoint_v1</t>
        </is>
      </c>
      <c r="M1693" s="42" t="inlineStr">
        <is>
          <t>Image Ad</t>
        </is>
      </c>
      <c r="N1693" s="42" t="inlineStr">
        <is>
          <t>From R3 599pm</t>
        </is>
      </c>
      <c r="O1693" s="42" t="inlineStr">
        <is>
          <t>Auction - Lowest Cost</t>
        </is>
      </c>
      <c r="P1693" s="42" t="inlineStr">
        <is>
          <t>Site Visit / Conversion</t>
        </is>
      </c>
      <c r="Q1693" s="42" t="inlineStr">
        <is>
          <t>https://www.lepas-sa.co.za/offers</t>
        </is>
      </c>
      <c r="R1693" s="115" t="n">
        <v>142.24</v>
      </c>
      <c r="S1693" s="116" t="n">
        <v>2259</v>
      </c>
      <c r="T1693" s="116" t="n">
        <v>1485</v>
      </c>
      <c r="U1693" s="117">
        <f>IFERROR(S1693/T1693,"")</f>
        <v/>
      </c>
      <c r="V1693" s="116" t="n">
        <v>22</v>
      </c>
      <c r="W1693" s="116" t="n">
        <v>16</v>
      </c>
      <c r="X1693" s="118">
        <f>IFERROR(W1693/S1693,"")</f>
        <v/>
      </c>
      <c r="Y1693" s="115">
        <f>IFERROR(R1693/W1693,"")</f>
        <v/>
      </c>
      <c r="Z1693" s="115">
        <f>IFERROR(R1693/S1693*1000,"")</f>
        <v/>
      </c>
      <c r="AA1693" s="116" t="n">
        <v>12</v>
      </c>
      <c r="AB1693" s="47">
        <f>IFERROR(AA1693/W1693,"")</f>
        <v/>
      </c>
      <c r="AC1693" s="116" t="n">
        <v>0</v>
      </c>
      <c r="AD1693" s="116" t="n">
        <v>0</v>
      </c>
      <c r="AE1693" s="116" t="n">
        <v>0</v>
      </c>
      <c r="AF1693" s="116" t="n">
        <v>0</v>
      </c>
      <c r="AG1693" s="116" t="n">
        <v>0</v>
      </c>
      <c r="AH1693" s="116" t="n">
        <v>0</v>
      </c>
      <c r="AI1693" s="47">
        <f>IFERROR(AC1693/S1693,"")</f>
        <v/>
      </c>
      <c r="AJ1693" s="47">
        <f>IFERROR(AH1693/S1693,"")</f>
        <v/>
      </c>
      <c r="AK1693" s="116" t="n">
        <v>22</v>
      </c>
      <c r="AL1693" s="116" t="n">
        <v>0</v>
      </c>
      <c r="AM1693" s="118">
        <f>IFERROR(AL1693/AA1693,"")</f>
        <v/>
      </c>
      <c r="AN1693" s="119">
        <f>IFERROR(R1693/AL1693,"")</f>
        <v/>
      </c>
      <c r="AO1693" s="116" t="n">
        <v>0</v>
      </c>
      <c r="AP1693" s="47">
        <f>IFERROR(AO1693/AL1693,"")</f>
        <v/>
      </c>
      <c r="AQ1693" s="119">
        <f>IFERROR(R1693/AO1693,"")</f>
        <v/>
      </c>
      <c r="AR1693" s="116" t="n">
        <v>0</v>
      </c>
      <c r="AS1693" s="116" t="n">
        <v>0</v>
      </c>
      <c r="AT1693" s="116">
        <f>AL1693+AR1693</f>
        <v/>
      </c>
      <c r="AU1693" s="119">
        <f>IFERROR(AO1693*Assumptions!$C$26*Assumptions!$C$27*INDEX(Assumptions!$C$18:$C$21,MATCH(H1693,Assumptions!$B$18:$B$21,0)),0)</f>
        <v/>
      </c>
    </row>
    <row r="1694">
      <c r="A1694" s="114" t="n">
        <v>46254</v>
      </c>
      <c r="B1694" s="42" t="inlineStr">
        <is>
          <t>Wk 34</t>
        </is>
      </c>
      <c r="C1694" s="42" t="inlineStr">
        <is>
          <t>Thu</t>
        </is>
      </c>
      <c r="D1694" s="42" t="inlineStr">
        <is>
          <t>X</t>
        </is>
      </c>
      <c r="E1694" s="42" t="inlineStr">
        <is>
          <t>X (Twitter)</t>
        </is>
      </c>
      <c r="F1694" s="42" t="inlineStr">
        <is>
          <t>LEP_ZA_AUG26_X_RMKT_TD_CONV</t>
        </is>
      </c>
      <c r="G1694" s="42" t="inlineStr">
        <is>
          <t>Website Conversions</t>
        </is>
      </c>
      <c r="H1694" s="42" t="inlineStr">
        <is>
          <t>Range</t>
        </is>
      </c>
      <c r="I1694" s="42" t="inlineStr">
        <is>
          <t>Range Offer</t>
        </is>
      </c>
      <c r="J1694" s="42" t="inlineStr">
        <is>
          <t>X_LAL_FOLLOWER_ZA</t>
        </is>
      </c>
      <c r="K1694" s="42" t="inlineStr">
        <is>
          <t>Lookalike</t>
        </is>
      </c>
      <c r="L1694" s="42" t="inlineStr">
        <is>
          <t>X_STA_PricePoint_v1</t>
        </is>
      </c>
      <c r="M1694" s="42" t="inlineStr">
        <is>
          <t>Image Ad</t>
        </is>
      </c>
      <c r="N1694" s="42" t="inlineStr">
        <is>
          <t>From R3 599pm</t>
        </is>
      </c>
      <c r="O1694" s="42" t="inlineStr">
        <is>
          <t>Auction - Lowest Cost</t>
        </is>
      </c>
      <c r="P1694" s="42" t="inlineStr">
        <is>
          <t>Site Visit / Conversion</t>
        </is>
      </c>
      <c r="Q1694" s="42" t="inlineStr">
        <is>
          <t>https://www.lepas-sa.co.za/offers</t>
        </is>
      </c>
      <c r="R1694" s="115" t="n">
        <v>122.39</v>
      </c>
      <c r="S1694" s="116" t="n">
        <v>1764</v>
      </c>
      <c r="T1694" s="116" t="n">
        <v>1153</v>
      </c>
      <c r="U1694" s="117">
        <f>IFERROR(S1694/T1694,"")</f>
        <v/>
      </c>
      <c r="V1694" s="116" t="n">
        <v>15</v>
      </c>
      <c r="W1694" s="116" t="n">
        <v>12</v>
      </c>
      <c r="X1694" s="118">
        <f>IFERROR(W1694/S1694,"")</f>
        <v/>
      </c>
      <c r="Y1694" s="115">
        <f>IFERROR(R1694/W1694,"")</f>
        <v/>
      </c>
      <c r="Z1694" s="115">
        <f>IFERROR(R1694/S1694*1000,"")</f>
        <v/>
      </c>
      <c r="AA1694" s="116" t="n">
        <v>9</v>
      </c>
      <c r="AB1694" s="47">
        <f>IFERROR(AA1694/W1694,"")</f>
        <v/>
      </c>
      <c r="AC1694" s="116" t="n">
        <v>0</v>
      </c>
      <c r="AD1694" s="116" t="n">
        <v>0</v>
      </c>
      <c r="AE1694" s="116" t="n">
        <v>0</v>
      </c>
      <c r="AF1694" s="116" t="n">
        <v>0</v>
      </c>
      <c r="AG1694" s="116" t="n">
        <v>0</v>
      </c>
      <c r="AH1694" s="116" t="n">
        <v>0</v>
      </c>
      <c r="AI1694" s="47">
        <f>IFERROR(AC1694/S1694,"")</f>
        <v/>
      </c>
      <c r="AJ1694" s="47">
        <f>IFERROR(AH1694/S1694,"")</f>
        <v/>
      </c>
      <c r="AK1694" s="116" t="n">
        <v>43</v>
      </c>
      <c r="AL1694" s="116" t="n">
        <v>0</v>
      </c>
      <c r="AM1694" s="118">
        <f>IFERROR(AL1694/AA1694,"")</f>
        <v/>
      </c>
      <c r="AN1694" s="119">
        <f>IFERROR(R1694/AL1694,"")</f>
        <v/>
      </c>
      <c r="AO1694" s="116" t="n">
        <v>0</v>
      </c>
      <c r="AP1694" s="47">
        <f>IFERROR(AO1694/AL1694,"")</f>
        <v/>
      </c>
      <c r="AQ1694" s="119">
        <f>IFERROR(R1694/AO1694,"")</f>
        <v/>
      </c>
      <c r="AR1694" s="116" t="n">
        <v>0</v>
      </c>
      <c r="AS1694" s="116" t="n">
        <v>0</v>
      </c>
      <c r="AT1694" s="116">
        <f>AL1694+AR1694</f>
        <v/>
      </c>
      <c r="AU1694" s="119">
        <f>IFERROR(AO1694*Assumptions!$C$26*Assumptions!$C$27*INDEX(Assumptions!$C$18:$C$21,MATCH(H1694,Assumptions!$B$18:$B$21,0)),0)</f>
        <v/>
      </c>
    </row>
    <row r="1695">
      <c r="A1695" s="114" t="n">
        <v>46255</v>
      </c>
      <c r="B1695" s="42" t="inlineStr">
        <is>
          <t>Wk 34</t>
        </is>
      </c>
      <c r="C1695" s="42" t="inlineStr">
        <is>
          <t>Fri</t>
        </is>
      </c>
      <c r="D1695" s="42" t="inlineStr">
        <is>
          <t>X</t>
        </is>
      </c>
      <c r="E1695" s="42" t="inlineStr">
        <is>
          <t>X (Twitter)</t>
        </is>
      </c>
      <c r="F1695" s="42" t="inlineStr">
        <is>
          <t>LEP_ZA_AUG26_X_RMKT_TD_CONV</t>
        </is>
      </c>
      <c r="G1695" s="42" t="inlineStr">
        <is>
          <t>Website Conversions</t>
        </is>
      </c>
      <c r="H1695" s="42" t="inlineStr">
        <is>
          <t>Range</t>
        </is>
      </c>
      <c r="I1695" s="42" t="inlineStr">
        <is>
          <t>Range Offer</t>
        </is>
      </c>
      <c r="J1695" s="42" t="inlineStr">
        <is>
          <t>X_LAL_FOLLOWER_ZA</t>
        </is>
      </c>
      <c r="K1695" s="42" t="inlineStr">
        <is>
          <t>Lookalike</t>
        </is>
      </c>
      <c r="L1695" s="42" t="inlineStr">
        <is>
          <t>X_STA_PricePoint_v1</t>
        </is>
      </c>
      <c r="M1695" s="42" t="inlineStr">
        <is>
          <t>Image Ad</t>
        </is>
      </c>
      <c r="N1695" s="42" t="inlineStr">
        <is>
          <t>From R3 599pm</t>
        </is>
      </c>
      <c r="O1695" s="42" t="inlineStr">
        <is>
          <t>Auction - Lowest Cost</t>
        </is>
      </c>
      <c r="P1695" s="42" t="inlineStr">
        <is>
          <t>Site Visit / Conversion</t>
        </is>
      </c>
      <c r="Q1695" s="42" t="inlineStr">
        <is>
          <t>https://www.lepas-sa.co.za/offers</t>
        </is>
      </c>
      <c r="R1695" s="115" t="n">
        <v>142.77</v>
      </c>
      <c r="S1695" s="116" t="n">
        <v>2844</v>
      </c>
      <c r="T1695" s="116" t="n">
        <v>1716</v>
      </c>
      <c r="U1695" s="117">
        <f>IFERROR(S1695/T1695,"")</f>
        <v/>
      </c>
      <c r="V1695" s="116" t="n">
        <v>30</v>
      </c>
      <c r="W1695" s="116" t="n">
        <v>22</v>
      </c>
      <c r="X1695" s="118">
        <f>IFERROR(W1695/S1695,"")</f>
        <v/>
      </c>
      <c r="Y1695" s="115">
        <f>IFERROR(R1695/W1695,"")</f>
        <v/>
      </c>
      <c r="Z1695" s="115">
        <f>IFERROR(R1695/S1695*1000,"")</f>
        <v/>
      </c>
      <c r="AA1695" s="116" t="n">
        <v>17</v>
      </c>
      <c r="AB1695" s="47">
        <f>IFERROR(AA1695/W1695,"")</f>
        <v/>
      </c>
      <c r="AC1695" s="116" t="n">
        <v>0</v>
      </c>
      <c r="AD1695" s="116" t="n">
        <v>0</v>
      </c>
      <c r="AE1695" s="116" t="n">
        <v>0</v>
      </c>
      <c r="AF1695" s="116" t="n">
        <v>0</v>
      </c>
      <c r="AG1695" s="116" t="n">
        <v>0</v>
      </c>
      <c r="AH1695" s="116" t="n">
        <v>0</v>
      </c>
      <c r="AI1695" s="47">
        <f>IFERROR(AC1695/S1695,"")</f>
        <v/>
      </c>
      <c r="AJ1695" s="47">
        <f>IFERROR(AH1695/S1695,"")</f>
        <v/>
      </c>
      <c r="AK1695" s="116" t="n">
        <v>31</v>
      </c>
      <c r="AL1695" s="116" t="n">
        <v>0</v>
      </c>
      <c r="AM1695" s="118">
        <f>IFERROR(AL1695/AA1695,"")</f>
        <v/>
      </c>
      <c r="AN1695" s="119">
        <f>IFERROR(R1695/AL1695,"")</f>
        <v/>
      </c>
      <c r="AO1695" s="116" t="n">
        <v>0</v>
      </c>
      <c r="AP1695" s="47">
        <f>IFERROR(AO1695/AL1695,"")</f>
        <v/>
      </c>
      <c r="AQ1695" s="119">
        <f>IFERROR(R1695/AO1695,"")</f>
        <v/>
      </c>
      <c r="AR1695" s="116" t="n">
        <v>0</v>
      </c>
      <c r="AS1695" s="116" t="n">
        <v>0</v>
      </c>
      <c r="AT1695" s="116">
        <f>AL1695+AR1695</f>
        <v/>
      </c>
      <c r="AU1695" s="119">
        <f>IFERROR(AO1695*Assumptions!$C$26*Assumptions!$C$27*INDEX(Assumptions!$C$18:$C$21,MATCH(H1695,Assumptions!$B$18:$B$21,0)),0)</f>
        <v/>
      </c>
    </row>
    <row r="1696">
      <c r="A1696" s="114" t="n">
        <v>46256</v>
      </c>
      <c r="B1696" s="42" t="inlineStr">
        <is>
          <t>Wk 34</t>
        </is>
      </c>
      <c r="C1696" s="42" t="inlineStr">
        <is>
          <t>Sat</t>
        </is>
      </c>
      <c r="D1696" s="42" t="inlineStr">
        <is>
          <t>X</t>
        </is>
      </c>
      <c r="E1696" s="42" t="inlineStr">
        <is>
          <t>X (Twitter)</t>
        </is>
      </c>
      <c r="F1696" s="42" t="inlineStr">
        <is>
          <t>LEP_ZA_AUG26_X_RMKT_TD_CONV</t>
        </is>
      </c>
      <c r="G1696" s="42" t="inlineStr">
        <is>
          <t>Website Conversions</t>
        </is>
      </c>
      <c r="H1696" s="42" t="inlineStr">
        <is>
          <t>Range</t>
        </is>
      </c>
      <c r="I1696" s="42" t="inlineStr">
        <is>
          <t>Range Offer</t>
        </is>
      </c>
      <c r="J1696" s="42" t="inlineStr">
        <is>
          <t>X_LAL_FOLLOWER_ZA</t>
        </is>
      </c>
      <c r="K1696" s="42" t="inlineStr">
        <is>
          <t>Lookalike</t>
        </is>
      </c>
      <c r="L1696" s="42" t="inlineStr">
        <is>
          <t>X_STA_PricePoint_v1</t>
        </is>
      </c>
      <c r="M1696" s="42" t="inlineStr">
        <is>
          <t>Image Ad</t>
        </is>
      </c>
      <c r="N1696" s="42" t="inlineStr">
        <is>
          <t>From R3 599pm</t>
        </is>
      </c>
      <c r="O1696" s="42" t="inlineStr">
        <is>
          <t>Auction - Lowest Cost</t>
        </is>
      </c>
      <c r="P1696" s="42" t="inlineStr">
        <is>
          <t>Site Visit / Conversion</t>
        </is>
      </c>
      <c r="Q1696" s="42" t="inlineStr">
        <is>
          <t>https://www.lepas-sa.co.za/offers</t>
        </is>
      </c>
      <c r="R1696" s="115" t="n">
        <v>145.15</v>
      </c>
      <c r="S1696" s="116" t="n">
        <v>2719</v>
      </c>
      <c r="T1696" s="116" t="n">
        <v>1519</v>
      </c>
      <c r="U1696" s="117">
        <f>IFERROR(S1696/T1696,"")</f>
        <v/>
      </c>
      <c r="V1696" s="116" t="n">
        <v>16</v>
      </c>
      <c r="W1696" s="116" t="n">
        <v>11</v>
      </c>
      <c r="X1696" s="118">
        <f>IFERROR(W1696/S1696,"")</f>
        <v/>
      </c>
      <c r="Y1696" s="115">
        <f>IFERROR(R1696/W1696,"")</f>
        <v/>
      </c>
      <c r="Z1696" s="115">
        <f>IFERROR(R1696/S1696*1000,"")</f>
        <v/>
      </c>
      <c r="AA1696" s="116" t="n">
        <v>9</v>
      </c>
      <c r="AB1696" s="47">
        <f>IFERROR(AA1696/W1696,"")</f>
        <v/>
      </c>
      <c r="AC1696" s="116" t="n">
        <v>0</v>
      </c>
      <c r="AD1696" s="116" t="n">
        <v>0</v>
      </c>
      <c r="AE1696" s="116" t="n">
        <v>0</v>
      </c>
      <c r="AF1696" s="116" t="n">
        <v>0</v>
      </c>
      <c r="AG1696" s="116" t="n">
        <v>0</v>
      </c>
      <c r="AH1696" s="116" t="n">
        <v>0</v>
      </c>
      <c r="AI1696" s="47">
        <f>IFERROR(AC1696/S1696,"")</f>
        <v/>
      </c>
      <c r="AJ1696" s="47">
        <f>IFERROR(AH1696/S1696,"")</f>
        <v/>
      </c>
      <c r="AK1696" s="116" t="n">
        <v>43</v>
      </c>
      <c r="AL1696" s="116" t="n">
        <v>0</v>
      </c>
      <c r="AM1696" s="118">
        <f>IFERROR(AL1696/AA1696,"")</f>
        <v/>
      </c>
      <c r="AN1696" s="119">
        <f>IFERROR(R1696/AL1696,"")</f>
        <v/>
      </c>
      <c r="AO1696" s="116" t="n">
        <v>0</v>
      </c>
      <c r="AP1696" s="47">
        <f>IFERROR(AO1696/AL1696,"")</f>
        <v/>
      </c>
      <c r="AQ1696" s="119">
        <f>IFERROR(R1696/AO1696,"")</f>
        <v/>
      </c>
      <c r="AR1696" s="116" t="n">
        <v>0</v>
      </c>
      <c r="AS1696" s="116" t="n">
        <v>0</v>
      </c>
      <c r="AT1696" s="116">
        <f>AL1696+AR1696</f>
        <v/>
      </c>
      <c r="AU1696" s="119">
        <f>IFERROR(AO1696*Assumptions!$C$26*Assumptions!$C$27*INDEX(Assumptions!$C$18:$C$21,MATCH(H1696,Assumptions!$B$18:$B$21,0)),0)</f>
        <v/>
      </c>
    </row>
    <row r="1697">
      <c r="A1697" s="114" t="n">
        <v>46257</v>
      </c>
      <c r="B1697" s="42" t="inlineStr">
        <is>
          <t>Wk 34</t>
        </is>
      </c>
      <c r="C1697" s="42" t="inlineStr">
        <is>
          <t>Sun</t>
        </is>
      </c>
      <c r="D1697" s="42" t="inlineStr">
        <is>
          <t>X</t>
        </is>
      </c>
      <c r="E1697" s="42" t="inlineStr">
        <is>
          <t>X (Twitter)</t>
        </is>
      </c>
      <c r="F1697" s="42" t="inlineStr">
        <is>
          <t>LEP_ZA_AUG26_X_RMKT_TD_CONV</t>
        </is>
      </c>
      <c r="G1697" s="42" t="inlineStr">
        <is>
          <t>Website Conversions</t>
        </is>
      </c>
      <c r="H1697" s="42" t="inlineStr">
        <is>
          <t>Range</t>
        </is>
      </c>
      <c r="I1697" s="42" t="inlineStr">
        <is>
          <t>Range Offer</t>
        </is>
      </c>
      <c r="J1697" s="42" t="inlineStr">
        <is>
          <t>X_LAL_FOLLOWER_ZA</t>
        </is>
      </c>
      <c r="K1697" s="42" t="inlineStr">
        <is>
          <t>Lookalike</t>
        </is>
      </c>
      <c r="L1697" s="42" t="inlineStr">
        <is>
          <t>X_STA_PricePoint_v1</t>
        </is>
      </c>
      <c r="M1697" s="42" t="inlineStr">
        <is>
          <t>Image Ad</t>
        </is>
      </c>
      <c r="N1697" s="42" t="inlineStr">
        <is>
          <t>From R3 599pm</t>
        </is>
      </c>
      <c r="O1697" s="42" t="inlineStr">
        <is>
          <t>Auction - Lowest Cost</t>
        </is>
      </c>
      <c r="P1697" s="42" t="inlineStr">
        <is>
          <t>Site Visit / Conversion</t>
        </is>
      </c>
      <c r="Q1697" s="42" t="inlineStr">
        <is>
          <t>https://www.lepas-sa.co.za/offers</t>
        </is>
      </c>
      <c r="R1697" s="115" t="n">
        <v>110.55</v>
      </c>
      <c r="S1697" s="116" t="n">
        <v>1981</v>
      </c>
      <c r="T1697" s="116" t="n">
        <v>1195</v>
      </c>
      <c r="U1697" s="117">
        <f>IFERROR(S1697/T1697,"")</f>
        <v/>
      </c>
      <c r="V1697" s="116" t="n">
        <v>11</v>
      </c>
      <c r="W1697" s="116" t="n">
        <v>8</v>
      </c>
      <c r="X1697" s="118">
        <f>IFERROR(W1697/S1697,"")</f>
        <v/>
      </c>
      <c r="Y1697" s="115">
        <f>IFERROR(R1697/W1697,"")</f>
        <v/>
      </c>
      <c r="Z1697" s="115">
        <f>IFERROR(R1697/S1697*1000,"")</f>
        <v/>
      </c>
      <c r="AA1697" s="116" t="n">
        <v>6</v>
      </c>
      <c r="AB1697" s="47">
        <f>IFERROR(AA1697/W1697,"")</f>
        <v/>
      </c>
      <c r="AC1697" s="116" t="n">
        <v>0</v>
      </c>
      <c r="AD1697" s="116" t="n">
        <v>0</v>
      </c>
      <c r="AE1697" s="116" t="n">
        <v>0</v>
      </c>
      <c r="AF1697" s="116" t="n">
        <v>0</v>
      </c>
      <c r="AG1697" s="116" t="n">
        <v>0</v>
      </c>
      <c r="AH1697" s="116" t="n">
        <v>0</v>
      </c>
      <c r="AI1697" s="47">
        <f>IFERROR(AC1697/S1697,"")</f>
        <v/>
      </c>
      <c r="AJ1697" s="47">
        <f>IFERROR(AH1697/S1697,"")</f>
        <v/>
      </c>
      <c r="AK1697" s="116" t="n">
        <v>23</v>
      </c>
      <c r="AL1697" s="116" t="n">
        <v>0</v>
      </c>
      <c r="AM1697" s="118">
        <f>IFERROR(AL1697/AA1697,"")</f>
        <v/>
      </c>
      <c r="AN1697" s="119">
        <f>IFERROR(R1697/AL1697,"")</f>
        <v/>
      </c>
      <c r="AO1697" s="116" t="n">
        <v>0</v>
      </c>
      <c r="AP1697" s="47">
        <f>IFERROR(AO1697/AL1697,"")</f>
        <v/>
      </c>
      <c r="AQ1697" s="119">
        <f>IFERROR(R1697/AO1697,"")</f>
        <v/>
      </c>
      <c r="AR1697" s="116" t="n">
        <v>0</v>
      </c>
      <c r="AS1697" s="116" t="n">
        <v>0</v>
      </c>
      <c r="AT1697" s="116">
        <f>AL1697+AR1697</f>
        <v/>
      </c>
      <c r="AU1697" s="119">
        <f>IFERROR(AO1697*Assumptions!$C$26*Assumptions!$C$27*INDEX(Assumptions!$C$18:$C$21,MATCH(H1697,Assumptions!$B$18:$B$21,0)),0)</f>
        <v/>
      </c>
    </row>
    <row r="1698">
      <c r="A1698" s="114" t="n">
        <v>46258</v>
      </c>
      <c r="B1698" s="42" t="inlineStr">
        <is>
          <t>Wk 35</t>
        </is>
      </c>
      <c r="C1698" s="42" t="inlineStr">
        <is>
          <t>Mon</t>
        </is>
      </c>
      <c r="D1698" s="42" t="inlineStr">
        <is>
          <t>X</t>
        </is>
      </c>
      <c r="E1698" s="42" t="inlineStr">
        <is>
          <t>X (Twitter)</t>
        </is>
      </c>
      <c r="F1698" s="42" t="inlineStr">
        <is>
          <t>LEP_ZA_AUG26_X_RMKT_TD_CONV</t>
        </is>
      </c>
      <c r="G1698" s="42" t="inlineStr">
        <is>
          <t>Website Conversions</t>
        </is>
      </c>
      <c r="H1698" s="42" t="inlineStr">
        <is>
          <t>Range</t>
        </is>
      </c>
      <c r="I1698" s="42" t="inlineStr">
        <is>
          <t>Range Offer</t>
        </is>
      </c>
      <c r="J1698" s="42" t="inlineStr">
        <is>
          <t>X_LAL_FOLLOWER_ZA</t>
        </is>
      </c>
      <c r="K1698" s="42" t="inlineStr">
        <is>
          <t>Lookalike</t>
        </is>
      </c>
      <c r="L1698" s="42" t="inlineStr">
        <is>
          <t>X_STA_PricePoint_v1</t>
        </is>
      </c>
      <c r="M1698" s="42" t="inlineStr">
        <is>
          <t>Image Ad</t>
        </is>
      </c>
      <c r="N1698" s="42" t="inlineStr">
        <is>
          <t>From R3 599pm</t>
        </is>
      </c>
      <c r="O1698" s="42" t="inlineStr">
        <is>
          <t>Auction - Lowest Cost</t>
        </is>
      </c>
      <c r="P1698" s="42" t="inlineStr">
        <is>
          <t>Site Visit / Conversion</t>
        </is>
      </c>
      <c r="Q1698" s="42" t="inlineStr">
        <is>
          <t>https://www.lepas-sa.co.za/offers</t>
        </is>
      </c>
      <c r="R1698" s="115" t="n">
        <v>104.9</v>
      </c>
      <c r="S1698" s="116" t="n">
        <v>1410</v>
      </c>
      <c r="T1698" s="116" t="n">
        <v>833</v>
      </c>
      <c r="U1698" s="117">
        <f>IFERROR(S1698/T1698,"")</f>
        <v/>
      </c>
      <c r="V1698" s="116" t="n">
        <v>13</v>
      </c>
      <c r="W1698" s="116" t="n">
        <v>10</v>
      </c>
      <c r="X1698" s="118">
        <f>IFERROR(W1698/S1698,"")</f>
        <v/>
      </c>
      <c r="Y1698" s="115">
        <f>IFERROR(R1698/W1698,"")</f>
        <v/>
      </c>
      <c r="Z1698" s="115">
        <f>IFERROR(R1698/S1698*1000,"")</f>
        <v/>
      </c>
      <c r="AA1698" s="116" t="n">
        <v>7</v>
      </c>
      <c r="AB1698" s="47">
        <f>IFERROR(AA1698/W1698,"")</f>
        <v/>
      </c>
      <c r="AC1698" s="116" t="n">
        <v>0</v>
      </c>
      <c r="AD1698" s="116" t="n">
        <v>0</v>
      </c>
      <c r="AE1698" s="116" t="n">
        <v>0</v>
      </c>
      <c r="AF1698" s="116" t="n">
        <v>0</v>
      </c>
      <c r="AG1698" s="116" t="n">
        <v>0</v>
      </c>
      <c r="AH1698" s="116" t="n">
        <v>0</v>
      </c>
      <c r="AI1698" s="47">
        <f>IFERROR(AC1698/S1698,"")</f>
        <v/>
      </c>
      <c r="AJ1698" s="47">
        <f>IFERROR(AH1698/S1698,"")</f>
        <v/>
      </c>
      <c r="AK1698" s="116" t="n">
        <v>17</v>
      </c>
      <c r="AL1698" s="116" t="n">
        <v>0</v>
      </c>
      <c r="AM1698" s="118">
        <f>IFERROR(AL1698/AA1698,"")</f>
        <v/>
      </c>
      <c r="AN1698" s="119">
        <f>IFERROR(R1698/AL1698,"")</f>
        <v/>
      </c>
      <c r="AO1698" s="116" t="n">
        <v>0</v>
      </c>
      <c r="AP1698" s="47">
        <f>IFERROR(AO1698/AL1698,"")</f>
        <v/>
      </c>
      <c r="AQ1698" s="119">
        <f>IFERROR(R1698/AO1698,"")</f>
        <v/>
      </c>
      <c r="AR1698" s="116" t="n">
        <v>0</v>
      </c>
      <c r="AS1698" s="116" t="n">
        <v>0</v>
      </c>
      <c r="AT1698" s="116">
        <f>AL1698+AR1698</f>
        <v/>
      </c>
      <c r="AU1698" s="119">
        <f>IFERROR(AO1698*Assumptions!$C$26*Assumptions!$C$27*INDEX(Assumptions!$C$18:$C$21,MATCH(H1698,Assumptions!$B$18:$B$21,0)),0)</f>
        <v/>
      </c>
    </row>
    <row r="1699">
      <c r="A1699" s="114" t="n">
        <v>46259</v>
      </c>
      <c r="B1699" s="42" t="inlineStr">
        <is>
          <t>Wk 35</t>
        </is>
      </c>
      <c r="C1699" s="42" t="inlineStr">
        <is>
          <t>Tue</t>
        </is>
      </c>
      <c r="D1699" s="42" t="inlineStr">
        <is>
          <t>X</t>
        </is>
      </c>
      <c r="E1699" s="42" t="inlineStr">
        <is>
          <t>X (Twitter)</t>
        </is>
      </c>
      <c r="F1699" s="42" t="inlineStr">
        <is>
          <t>LEP_ZA_AUG26_X_RMKT_TD_CONV</t>
        </is>
      </c>
      <c r="G1699" s="42" t="inlineStr">
        <is>
          <t>Website Conversions</t>
        </is>
      </c>
      <c r="H1699" s="42" t="inlineStr">
        <is>
          <t>Range</t>
        </is>
      </c>
      <c r="I1699" s="42" t="inlineStr">
        <is>
          <t>Range Offer</t>
        </is>
      </c>
      <c r="J1699" s="42" t="inlineStr">
        <is>
          <t>X_LAL_FOLLOWER_ZA</t>
        </is>
      </c>
      <c r="K1699" s="42" t="inlineStr">
        <is>
          <t>Lookalike</t>
        </is>
      </c>
      <c r="L1699" s="42" t="inlineStr">
        <is>
          <t>X_STA_PricePoint_v1</t>
        </is>
      </c>
      <c r="M1699" s="42" t="inlineStr">
        <is>
          <t>Image Ad</t>
        </is>
      </c>
      <c r="N1699" s="42" t="inlineStr">
        <is>
          <t>From R3 599pm</t>
        </is>
      </c>
      <c r="O1699" s="42" t="inlineStr">
        <is>
          <t>Auction - Lowest Cost</t>
        </is>
      </c>
      <c r="P1699" s="42" t="inlineStr">
        <is>
          <t>Site Visit / Conversion</t>
        </is>
      </c>
      <c r="Q1699" s="42" t="inlineStr">
        <is>
          <t>https://www.lepas-sa.co.za/offers</t>
        </is>
      </c>
      <c r="R1699" s="115" t="n">
        <v>116.04</v>
      </c>
      <c r="S1699" s="116" t="n">
        <v>1987</v>
      </c>
      <c r="T1699" s="116" t="n">
        <v>1066</v>
      </c>
      <c r="U1699" s="117">
        <f>IFERROR(S1699/T1699,"")</f>
        <v/>
      </c>
      <c r="V1699" s="116" t="n">
        <v>20</v>
      </c>
      <c r="W1699" s="116" t="n">
        <v>14</v>
      </c>
      <c r="X1699" s="118">
        <f>IFERROR(W1699/S1699,"")</f>
        <v/>
      </c>
      <c r="Y1699" s="115">
        <f>IFERROR(R1699/W1699,"")</f>
        <v/>
      </c>
      <c r="Z1699" s="115">
        <f>IFERROR(R1699/S1699*1000,"")</f>
        <v/>
      </c>
      <c r="AA1699" s="116" t="n">
        <v>9</v>
      </c>
      <c r="AB1699" s="47">
        <f>IFERROR(AA1699/W1699,"")</f>
        <v/>
      </c>
      <c r="AC1699" s="116" t="n">
        <v>0</v>
      </c>
      <c r="AD1699" s="116" t="n">
        <v>0</v>
      </c>
      <c r="AE1699" s="116" t="n">
        <v>0</v>
      </c>
      <c r="AF1699" s="116" t="n">
        <v>0</v>
      </c>
      <c r="AG1699" s="116" t="n">
        <v>0</v>
      </c>
      <c r="AH1699" s="116" t="n">
        <v>0</v>
      </c>
      <c r="AI1699" s="47">
        <f>IFERROR(AC1699/S1699,"")</f>
        <v/>
      </c>
      <c r="AJ1699" s="47">
        <f>IFERROR(AH1699/S1699,"")</f>
        <v/>
      </c>
      <c r="AK1699" s="116" t="n">
        <v>42</v>
      </c>
      <c r="AL1699" s="116" t="n">
        <v>0</v>
      </c>
      <c r="AM1699" s="118">
        <f>IFERROR(AL1699/AA1699,"")</f>
        <v/>
      </c>
      <c r="AN1699" s="119">
        <f>IFERROR(R1699/AL1699,"")</f>
        <v/>
      </c>
      <c r="AO1699" s="116" t="n">
        <v>0</v>
      </c>
      <c r="AP1699" s="47">
        <f>IFERROR(AO1699/AL1699,"")</f>
        <v/>
      </c>
      <c r="AQ1699" s="119">
        <f>IFERROR(R1699/AO1699,"")</f>
        <v/>
      </c>
      <c r="AR1699" s="116" t="n">
        <v>0</v>
      </c>
      <c r="AS1699" s="116" t="n">
        <v>0</v>
      </c>
      <c r="AT1699" s="116">
        <f>AL1699+AR1699</f>
        <v/>
      </c>
      <c r="AU1699" s="119">
        <f>IFERROR(AO1699*Assumptions!$C$26*Assumptions!$C$27*INDEX(Assumptions!$C$18:$C$21,MATCH(H1699,Assumptions!$B$18:$B$21,0)),0)</f>
        <v/>
      </c>
    </row>
    <row r="1700">
      <c r="A1700" s="114" t="n">
        <v>46260</v>
      </c>
      <c r="B1700" s="42" t="inlineStr">
        <is>
          <t>Wk 35</t>
        </is>
      </c>
      <c r="C1700" s="42" t="inlineStr">
        <is>
          <t>Wed</t>
        </is>
      </c>
      <c r="D1700" s="42" t="inlineStr">
        <is>
          <t>X</t>
        </is>
      </c>
      <c r="E1700" s="42" t="inlineStr">
        <is>
          <t>X (Twitter)</t>
        </is>
      </c>
      <c r="F1700" s="42" t="inlineStr">
        <is>
          <t>LEP_ZA_AUG26_X_RMKT_TD_CONV</t>
        </is>
      </c>
      <c r="G1700" s="42" t="inlineStr">
        <is>
          <t>Website Conversions</t>
        </is>
      </c>
      <c r="H1700" s="42" t="inlineStr">
        <is>
          <t>Range</t>
        </is>
      </c>
      <c r="I1700" s="42" t="inlineStr">
        <is>
          <t>Range Offer</t>
        </is>
      </c>
      <c r="J1700" s="42" t="inlineStr">
        <is>
          <t>X_LAL_FOLLOWER_ZA</t>
        </is>
      </c>
      <c r="K1700" s="42" t="inlineStr">
        <is>
          <t>Lookalike</t>
        </is>
      </c>
      <c r="L1700" s="42" t="inlineStr">
        <is>
          <t>X_STA_PricePoint_v1</t>
        </is>
      </c>
      <c r="M1700" s="42" t="inlineStr">
        <is>
          <t>Image Ad</t>
        </is>
      </c>
      <c r="N1700" s="42" t="inlineStr">
        <is>
          <t>From R3 599pm</t>
        </is>
      </c>
      <c r="O1700" s="42" t="inlineStr">
        <is>
          <t>Auction - Lowest Cost</t>
        </is>
      </c>
      <c r="P1700" s="42" t="inlineStr">
        <is>
          <t>Site Visit / Conversion</t>
        </is>
      </c>
      <c r="Q1700" s="42" t="inlineStr">
        <is>
          <t>https://www.lepas-sa.co.za/offers</t>
        </is>
      </c>
      <c r="R1700" s="115" t="n">
        <v>125.28</v>
      </c>
      <c r="S1700" s="116" t="n">
        <v>2204</v>
      </c>
      <c r="T1700" s="116" t="n">
        <v>1391</v>
      </c>
      <c r="U1700" s="117">
        <f>IFERROR(S1700/T1700,"")</f>
        <v/>
      </c>
      <c r="V1700" s="116" t="n">
        <v>11</v>
      </c>
      <c r="W1700" s="116" t="n">
        <v>8</v>
      </c>
      <c r="X1700" s="118">
        <f>IFERROR(W1700/S1700,"")</f>
        <v/>
      </c>
      <c r="Y1700" s="115">
        <f>IFERROR(R1700/W1700,"")</f>
        <v/>
      </c>
      <c r="Z1700" s="115">
        <f>IFERROR(R1700/S1700*1000,"")</f>
        <v/>
      </c>
      <c r="AA1700" s="116" t="n">
        <v>6</v>
      </c>
      <c r="AB1700" s="47">
        <f>IFERROR(AA1700/W1700,"")</f>
        <v/>
      </c>
      <c r="AC1700" s="116" t="n">
        <v>0</v>
      </c>
      <c r="AD1700" s="116" t="n">
        <v>0</v>
      </c>
      <c r="AE1700" s="116" t="n">
        <v>0</v>
      </c>
      <c r="AF1700" s="116" t="n">
        <v>0</v>
      </c>
      <c r="AG1700" s="116" t="n">
        <v>0</v>
      </c>
      <c r="AH1700" s="116" t="n">
        <v>0</v>
      </c>
      <c r="AI1700" s="47">
        <f>IFERROR(AC1700/S1700,"")</f>
        <v/>
      </c>
      <c r="AJ1700" s="47">
        <f>IFERROR(AH1700/S1700,"")</f>
        <v/>
      </c>
      <c r="AK1700" s="116" t="n">
        <v>21</v>
      </c>
      <c r="AL1700" s="116" t="n">
        <v>0</v>
      </c>
      <c r="AM1700" s="118">
        <f>IFERROR(AL1700/AA1700,"")</f>
        <v/>
      </c>
      <c r="AN1700" s="119">
        <f>IFERROR(R1700/AL1700,"")</f>
        <v/>
      </c>
      <c r="AO1700" s="116" t="n">
        <v>0</v>
      </c>
      <c r="AP1700" s="47">
        <f>IFERROR(AO1700/AL1700,"")</f>
        <v/>
      </c>
      <c r="AQ1700" s="119">
        <f>IFERROR(R1700/AO1700,"")</f>
        <v/>
      </c>
      <c r="AR1700" s="116" t="n">
        <v>0</v>
      </c>
      <c r="AS1700" s="116" t="n">
        <v>0</v>
      </c>
      <c r="AT1700" s="116">
        <f>AL1700+AR1700</f>
        <v/>
      </c>
      <c r="AU1700" s="119">
        <f>IFERROR(AO1700*Assumptions!$C$26*Assumptions!$C$27*INDEX(Assumptions!$C$18:$C$21,MATCH(H1700,Assumptions!$B$18:$B$21,0)),0)</f>
        <v/>
      </c>
    </row>
    <row r="1701">
      <c r="A1701" s="114" t="n">
        <v>46261</v>
      </c>
      <c r="B1701" s="42" t="inlineStr">
        <is>
          <t>Wk 35</t>
        </is>
      </c>
      <c r="C1701" s="42" t="inlineStr">
        <is>
          <t>Thu</t>
        </is>
      </c>
      <c r="D1701" s="42" t="inlineStr">
        <is>
          <t>X</t>
        </is>
      </c>
      <c r="E1701" s="42" t="inlineStr">
        <is>
          <t>X (Twitter)</t>
        </is>
      </c>
      <c r="F1701" s="42" t="inlineStr">
        <is>
          <t>LEP_ZA_AUG26_X_RMKT_TD_CONV</t>
        </is>
      </c>
      <c r="G1701" s="42" t="inlineStr">
        <is>
          <t>Website Conversions</t>
        </is>
      </c>
      <c r="H1701" s="42" t="inlineStr">
        <is>
          <t>Range</t>
        </is>
      </c>
      <c r="I1701" s="42" t="inlineStr">
        <is>
          <t>Range Offer</t>
        </is>
      </c>
      <c r="J1701" s="42" t="inlineStr">
        <is>
          <t>X_LAL_FOLLOWER_ZA</t>
        </is>
      </c>
      <c r="K1701" s="42" t="inlineStr">
        <is>
          <t>Lookalike</t>
        </is>
      </c>
      <c r="L1701" s="42" t="inlineStr">
        <is>
          <t>X_STA_PricePoint_v1</t>
        </is>
      </c>
      <c r="M1701" s="42" t="inlineStr">
        <is>
          <t>Image Ad</t>
        </is>
      </c>
      <c r="N1701" s="42" t="inlineStr">
        <is>
          <t>From R3 599pm</t>
        </is>
      </c>
      <c r="O1701" s="42" t="inlineStr">
        <is>
          <t>Auction - Lowest Cost</t>
        </is>
      </c>
      <c r="P1701" s="42" t="inlineStr">
        <is>
          <t>Site Visit / Conversion</t>
        </is>
      </c>
      <c r="Q1701" s="42" t="inlineStr">
        <is>
          <t>https://www.lepas-sa.co.za/offers</t>
        </is>
      </c>
      <c r="R1701" s="115" t="n">
        <v>146.14</v>
      </c>
      <c r="S1701" s="116" t="n">
        <v>2877</v>
      </c>
      <c r="T1701" s="116" t="n">
        <v>1594</v>
      </c>
      <c r="U1701" s="117">
        <f>IFERROR(S1701/T1701,"")</f>
        <v/>
      </c>
      <c r="V1701" s="116" t="n">
        <v>29</v>
      </c>
      <c r="W1701" s="116" t="n">
        <v>23</v>
      </c>
      <c r="X1701" s="118">
        <f>IFERROR(W1701/S1701,"")</f>
        <v/>
      </c>
      <c r="Y1701" s="115">
        <f>IFERROR(R1701/W1701,"")</f>
        <v/>
      </c>
      <c r="Z1701" s="115">
        <f>IFERROR(R1701/S1701*1000,"")</f>
        <v/>
      </c>
      <c r="AA1701" s="116" t="n">
        <v>18</v>
      </c>
      <c r="AB1701" s="47">
        <f>IFERROR(AA1701/W1701,"")</f>
        <v/>
      </c>
      <c r="AC1701" s="116" t="n">
        <v>0</v>
      </c>
      <c r="AD1701" s="116" t="n">
        <v>0</v>
      </c>
      <c r="AE1701" s="116" t="n">
        <v>0</v>
      </c>
      <c r="AF1701" s="116" t="n">
        <v>0</v>
      </c>
      <c r="AG1701" s="116" t="n">
        <v>0</v>
      </c>
      <c r="AH1701" s="116" t="n">
        <v>0</v>
      </c>
      <c r="AI1701" s="47">
        <f>IFERROR(AC1701/S1701,"")</f>
        <v/>
      </c>
      <c r="AJ1701" s="47">
        <f>IFERROR(AH1701/S1701,"")</f>
        <v/>
      </c>
      <c r="AK1701" s="116" t="n">
        <v>69</v>
      </c>
      <c r="AL1701" s="116" t="n">
        <v>0</v>
      </c>
      <c r="AM1701" s="118">
        <f>IFERROR(AL1701/AA1701,"")</f>
        <v/>
      </c>
      <c r="AN1701" s="119">
        <f>IFERROR(R1701/AL1701,"")</f>
        <v/>
      </c>
      <c r="AO1701" s="116" t="n">
        <v>0</v>
      </c>
      <c r="AP1701" s="47">
        <f>IFERROR(AO1701/AL1701,"")</f>
        <v/>
      </c>
      <c r="AQ1701" s="119">
        <f>IFERROR(R1701/AO1701,"")</f>
        <v/>
      </c>
      <c r="AR1701" s="116" t="n">
        <v>0</v>
      </c>
      <c r="AS1701" s="116" t="n">
        <v>0</v>
      </c>
      <c r="AT1701" s="116">
        <f>AL1701+AR1701</f>
        <v/>
      </c>
      <c r="AU1701" s="119">
        <f>IFERROR(AO1701*Assumptions!$C$26*Assumptions!$C$27*INDEX(Assumptions!$C$18:$C$21,MATCH(H1701,Assumptions!$B$18:$B$21,0)),0)</f>
        <v/>
      </c>
    </row>
    <row r="1702">
      <c r="A1702" s="114" t="n">
        <v>46262</v>
      </c>
      <c r="B1702" s="42" t="inlineStr">
        <is>
          <t>Wk 35</t>
        </is>
      </c>
      <c r="C1702" s="42" t="inlineStr">
        <is>
          <t>Fri</t>
        </is>
      </c>
      <c r="D1702" s="42" t="inlineStr">
        <is>
          <t>X</t>
        </is>
      </c>
      <c r="E1702" s="42" t="inlineStr">
        <is>
          <t>X (Twitter)</t>
        </is>
      </c>
      <c r="F1702" s="42" t="inlineStr">
        <is>
          <t>LEP_ZA_AUG26_X_RMKT_TD_CONV</t>
        </is>
      </c>
      <c r="G1702" s="42" t="inlineStr">
        <is>
          <t>Website Conversions</t>
        </is>
      </c>
      <c r="H1702" s="42" t="inlineStr">
        <is>
          <t>Range</t>
        </is>
      </c>
      <c r="I1702" s="42" t="inlineStr">
        <is>
          <t>Range Offer</t>
        </is>
      </c>
      <c r="J1702" s="42" t="inlineStr">
        <is>
          <t>X_LAL_FOLLOWER_ZA</t>
        </is>
      </c>
      <c r="K1702" s="42" t="inlineStr">
        <is>
          <t>Lookalike</t>
        </is>
      </c>
      <c r="L1702" s="42" t="inlineStr">
        <is>
          <t>X_STA_PricePoint_v1</t>
        </is>
      </c>
      <c r="M1702" s="42" t="inlineStr">
        <is>
          <t>Image Ad</t>
        </is>
      </c>
      <c r="N1702" s="42" t="inlineStr">
        <is>
          <t>From R3 599pm</t>
        </is>
      </c>
      <c r="O1702" s="42" t="inlineStr">
        <is>
          <t>Auction - Lowest Cost</t>
        </is>
      </c>
      <c r="P1702" s="42" t="inlineStr">
        <is>
          <t>Site Visit / Conversion</t>
        </is>
      </c>
      <c r="Q1702" s="42" t="inlineStr">
        <is>
          <t>https://www.lepas-sa.co.za/offers</t>
        </is>
      </c>
      <c r="R1702" s="115" t="n">
        <v>178.14</v>
      </c>
      <c r="S1702" s="116" t="n">
        <v>2966</v>
      </c>
      <c r="T1702" s="116" t="n">
        <v>1492</v>
      </c>
      <c r="U1702" s="117">
        <f>IFERROR(S1702/T1702,"")</f>
        <v/>
      </c>
      <c r="V1702" s="116" t="n">
        <v>18</v>
      </c>
      <c r="W1702" s="116" t="n">
        <v>15</v>
      </c>
      <c r="X1702" s="118">
        <f>IFERROR(W1702/S1702,"")</f>
        <v/>
      </c>
      <c r="Y1702" s="115">
        <f>IFERROR(R1702/W1702,"")</f>
        <v/>
      </c>
      <c r="Z1702" s="115">
        <f>IFERROR(R1702/S1702*1000,"")</f>
        <v/>
      </c>
      <c r="AA1702" s="116" t="n">
        <v>12</v>
      </c>
      <c r="AB1702" s="47">
        <f>IFERROR(AA1702/W1702,"")</f>
        <v/>
      </c>
      <c r="AC1702" s="116" t="n">
        <v>0</v>
      </c>
      <c r="AD1702" s="116" t="n">
        <v>0</v>
      </c>
      <c r="AE1702" s="116" t="n">
        <v>0</v>
      </c>
      <c r="AF1702" s="116" t="n">
        <v>0</v>
      </c>
      <c r="AG1702" s="116" t="n">
        <v>0</v>
      </c>
      <c r="AH1702" s="116" t="n">
        <v>0</v>
      </c>
      <c r="AI1702" s="47">
        <f>IFERROR(AC1702/S1702,"")</f>
        <v/>
      </c>
      <c r="AJ1702" s="47">
        <f>IFERROR(AH1702/S1702,"")</f>
        <v/>
      </c>
      <c r="AK1702" s="116" t="n">
        <v>61</v>
      </c>
      <c r="AL1702" s="116" t="n">
        <v>0</v>
      </c>
      <c r="AM1702" s="118">
        <f>IFERROR(AL1702/AA1702,"")</f>
        <v/>
      </c>
      <c r="AN1702" s="119">
        <f>IFERROR(R1702/AL1702,"")</f>
        <v/>
      </c>
      <c r="AO1702" s="116" t="n">
        <v>0</v>
      </c>
      <c r="AP1702" s="47">
        <f>IFERROR(AO1702/AL1702,"")</f>
        <v/>
      </c>
      <c r="AQ1702" s="119">
        <f>IFERROR(R1702/AO1702,"")</f>
        <v/>
      </c>
      <c r="AR1702" s="116" t="n">
        <v>0</v>
      </c>
      <c r="AS1702" s="116" t="n">
        <v>0</v>
      </c>
      <c r="AT1702" s="116">
        <f>AL1702+AR1702</f>
        <v/>
      </c>
      <c r="AU1702" s="119">
        <f>IFERROR(AO1702*Assumptions!$C$26*Assumptions!$C$27*INDEX(Assumptions!$C$18:$C$21,MATCH(H1702,Assumptions!$B$18:$B$21,0)),0)</f>
        <v/>
      </c>
    </row>
    <row r="1703">
      <c r="A1703" s="114" t="n">
        <v>46263</v>
      </c>
      <c r="B1703" s="42" t="inlineStr">
        <is>
          <t>Wk 35</t>
        </is>
      </c>
      <c r="C1703" s="42" t="inlineStr">
        <is>
          <t>Sat</t>
        </is>
      </c>
      <c r="D1703" s="42" t="inlineStr">
        <is>
          <t>X</t>
        </is>
      </c>
      <c r="E1703" s="42" t="inlineStr">
        <is>
          <t>X (Twitter)</t>
        </is>
      </c>
      <c r="F1703" s="42" t="inlineStr">
        <is>
          <t>LEP_ZA_AUG26_X_RMKT_TD_CONV</t>
        </is>
      </c>
      <c r="G1703" s="42" t="inlineStr">
        <is>
          <t>Website Conversions</t>
        </is>
      </c>
      <c r="H1703" s="42" t="inlineStr">
        <is>
          <t>Range</t>
        </is>
      </c>
      <c r="I1703" s="42" t="inlineStr">
        <is>
          <t>Range Offer</t>
        </is>
      </c>
      <c r="J1703" s="42" t="inlineStr">
        <is>
          <t>X_LAL_FOLLOWER_ZA</t>
        </is>
      </c>
      <c r="K1703" s="42" t="inlineStr">
        <is>
          <t>Lookalike</t>
        </is>
      </c>
      <c r="L1703" s="42" t="inlineStr">
        <is>
          <t>X_STA_PricePoint_v1</t>
        </is>
      </c>
      <c r="M1703" s="42" t="inlineStr">
        <is>
          <t>Image Ad</t>
        </is>
      </c>
      <c r="N1703" s="42" t="inlineStr">
        <is>
          <t>From R3 599pm</t>
        </is>
      </c>
      <c r="O1703" s="42" t="inlineStr">
        <is>
          <t>Auction - Lowest Cost</t>
        </is>
      </c>
      <c r="P1703" s="42" t="inlineStr">
        <is>
          <t>Site Visit / Conversion</t>
        </is>
      </c>
      <c r="Q1703" s="42" t="inlineStr">
        <is>
          <t>https://www.lepas-sa.co.za/offers</t>
        </is>
      </c>
      <c r="R1703" s="115" t="n">
        <v>148.82</v>
      </c>
      <c r="S1703" s="116" t="n">
        <v>1989</v>
      </c>
      <c r="T1703" s="116" t="n">
        <v>1200</v>
      </c>
      <c r="U1703" s="117">
        <f>IFERROR(S1703/T1703,"")</f>
        <v/>
      </c>
      <c r="V1703" s="116" t="n">
        <v>14</v>
      </c>
      <c r="W1703" s="116" t="n">
        <v>11</v>
      </c>
      <c r="X1703" s="118">
        <f>IFERROR(W1703/S1703,"")</f>
        <v/>
      </c>
      <c r="Y1703" s="115">
        <f>IFERROR(R1703/W1703,"")</f>
        <v/>
      </c>
      <c r="Z1703" s="115">
        <f>IFERROR(R1703/S1703*1000,"")</f>
        <v/>
      </c>
      <c r="AA1703" s="116" t="n">
        <v>9</v>
      </c>
      <c r="AB1703" s="47">
        <f>IFERROR(AA1703/W1703,"")</f>
        <v/>
      </c>
      <c r="AC1703" s="116" t="n">
        <v>0</v>
      </c>
      <c r="AD1703" s="116" t="n">
        <v>0</v>
      </c>
      <c r="AE1703" s="116" t="n">
        <v>0</v>
      </c>
      <c r="AF1703" s="116" t="n">
        <v>0</v>
      </c>
      <c r="AG1703" s="116" t="n">
        <v>0</v>
      </c>
      <c r="AH1703" s="116" t="n">
        <v>0</v>
      </c>
      <c r="AI1703" s="47">
        <f>IFERROR(AC1703/S1703,"")</f>
        <v/>
      </c>
      <c r="AJ1703" s="47">
        <f>IFERROR(AH1703/S1703,"")</f>
        <v/>
      </c>
      <c r="AK1703" s="116" t="n">
        <v>28</v>
      </c>
      <c r="AL1703" s="116" t="n">
        <v>0</v>
      </c>
      <c r="AM1703" s="118">
        <f>IFERROR(AL1703/AA1703,"")</f>
        <v/>
      </c>
      <c r="AN1703" s="119">
        <f>IFERROR(R1703/AL1703,"")</f>
        <v/>
      </c>
      <c r="AO1703" s="116" t="n">
        <v>0</v>
      </c>
      <c r="AP1703" s="47">
        <f>IFERROR(AO1703/AL1703,"")</f>
        <v/>
      </c>
      <c r="AQ1703" s="119">
        <f>IFERROR(R1703/AO1703,"")</f>
        <v/>
      </c>
      <c r="AR1703" s="116" t="n">
        <v>0</v>
      </c>
      <c r="AS1703" s="116" t="n">
        <v>0</v>
      </c>
      <c r="AT1703" s="116">
        <f>AL1703+AR1703</f>
        <v/>
      </c>
      <c r="AU1703" s="119">
        <f>IFERROR(AO1703*Assumptions!$C$26*Assumptions!$C$27*INDEX(Assumptions!$C$18:$C$21,MATCH(H1703,Assumptions!$B$18:$B$21,0)),0)</f>
        <v/>
      </c>
    </row>
    <row r="1704">
      <c r="A1704" s="114" t="n">
        <v>46264</v>
      </c>
      <c r="B1704" s="42" t="inlineStr">
        <is>
          <t>Wk 35</t>
        </is>
      </c>
      <c r="C1704" s="42" t="inlineStr">
        <is>
          <t>Sun</t>
        </is>
      </c>
      <c r="D1704" s="42" t="inlineStr">
        <is>
          <t>X</t>
        </is>
      </c>
      <c r="E1704" s="42" t="inlineStr">
        <is>
          <t>X (Twitter)</t>
        </is>
      </c>
      <c r="F1704" s="42" t="inlineStr">
        <is>
          <t>LEP_ZA_AUG26_X_RMKT_TD_CONV</t>
        </is>
      </c>
      <c r="G1704" s="42" t="inlineStr">
        <is>
          <t>Website Conversions</t>
        </is>
      </c>
      <c r="H1704" s="42" t="inlineStr">
        <is>
          <t>Range</t>
        </is>
      </c>
      <c r="I1704" s="42" t="inlineStr">
        <is>
          <t>Range Offer</t>
        </is>
      </c>
      <c r="J1704" s="42" t="inlineStr">
        <is>
          <t>X_LAL_FOLLOWER_ZA</t>
        </is>
      </c>
      <c r="K1704" s="42" t="inlineStr">
        <is>
          <t>Lookalike</t>
        </is>
      </c>
      <c r="L1704" s="42" t="inlineStr">
        <is>
          <t>X_STA_PricePoint_v1</t>
        </is>
      </c>
      <c r="M1704" s="42" t="inlineStr">
        <is>
          <t>Image Ad</t>
        </is>
      </c>
      <c r="N1704" s="42" t="inlineStr">
        <is>
          <t>From R3 599pm</t>
        </is>
      </c>
      <c r="O1704" s="42" t="inlineStr">
        <is>
          <t>Auction - Lowest Cost</t>
        </is>
      </c>
      <c r="P1704" s="42" t="inlineStr">
        <is>
          <t>Site Visit / Conversion</t>
        </is>
      </c>
      <c r="Q1704" s="42" t="inlineStr">
        <is>
          <t>https://www.lepas-sa.co.za/offers</t>
        </is>
      </c>
      <c r="R1704" s="115" t="n">
        <v>126.53</v>
      </c>
      <c r="S1704" s="116" t="n">
        <v>1517</v>
      </c>
      <c r="T1704" s="116" t="n">
        <v>926</v>
      </c>
      <c r="U1704" s="117">
        <f>IFERROR(S1704/T1704,"")</f>
        <v/>
      </c>
      <c r="V1704" s="116" t="n">
        <v>6</v>
      </c>
      <c r="W1704" s="116" t="n">
        <v>5</v>
      </c>
      <c r="X1704" s="118">
        <f>IFERROR(W1704/S1704,"")</f>
        <v/>
      </c>
      <c r="Y1704" s="115">
        <f>IFERROR(R1704/W1704,"")</f>
        <v/>
      </c>
      <c r="Z1704" s="115">
        <f>IFERROR(R1704/S1704*1000,"")</f>
        <v/>
      </c>
      <c r="AA1704" s="116" t="n">
        <v>3</v>
      </c>
      <c r="AB1704" s="47">
        <f>IFERROR(AA1704/W1704,"")</f>
        <v/>
      </c>
      <c r="AC1704" s="116" t="n">
        <v>0</v>
      </c>
      <c r="AD1704" s="116" t="n">
        <v>0</v>
      </c>
      <c r="AE1704" s="116" t="n">
        <v>0</v>
      </c>
      <c r="AF1704" s="116" t="n">
        <v>0</v>
      </c>
      <c r="AG1704" s="116" t="n">
        <v>0</v>
      </c>
      <c r="AH1704" s="116" t="n">
        <v>0</v>
      </c>
      <c r="AI1704" s="47">
        <f>IFERROR(AC1704/S1704,"")</f>
        <v/>
      </c>
      <c r="AJ1704" s="47">
        <f>IFERROR(AH1704/S1704,"")</f>
        <v/>
      </c>
      <c r="AK1704" s="116" t="n">
        <v>12</v>
      </c>
      <c r="AL1704" s="116" t="n">
        <v>0</v>
      </c>
      <c r="AM1704" s="118">
        <f>IFERROR(AL1704/AA1704,"")</f>
        <v/>
      </c>
      <c r="AN1704" s="119">
        <f>IFERROR(R1704/AL1704,"")</f>
        <v/>
      </c>
      <c r="AO1704" s="116" t="n">
        <v>0</v>
      </c>
      <c r="AP1704" s="47">
        <f>IFERROR(AO1704/AL1704,"")</f>
        <v/>
      </c>
      <c r="AQ1704" s="119">
        <f>IFERROR(R1704/AO1704,"")</f>
        <v/>
      </c>
      <c r="AR1704" s="116" t="n">
        <v>0</v>
      </c>
      <c r="AS1704" s="116" t="n">
        <v>0</v>
      </c>
      <c r="AT1704" s="116">
        <f>AL1704+AR1704</f>
        <v/>
      </c>
      <c r="AU1704" s="119">
        <f>IFERROR(AO1704*Assumptions!$C$26*Assumptions!$C$27*INDEX(Assumptions!$C$18:$C$21,MATCH(H1704,Assumptions!$B$18:$B$21,0)),0)</f>
        <v/>
      </c>
    </row>
    <row r="1705">
      <c r="A1705" s="114" t="n">
        <v>46265</v>
      </c>
      <c r="B1705" s="42" t="inlineStr">
        <is>
          <t>Wk 36</t>
        </is>
      </c>
      <c r="C1705" s="42" t="inlineStr">
        <is>
          <t>Mon</t>
        </is>
      </c>
      <c r="D1705" s="42" t="inlineStr">
        <is>
          <t>X</t>
        </is>
      </c>
      <c r="E1705" s="42" t="inlineStr">
        <is>
          <t>X (Twitter)</t>
        </is>
      </c>
      <c r="F1705" s="42" t="inlineStr">
        <is>
          <t>LEP_ZA_AUG26_X_RMKT_TD_CONV</t>
        </is>
      </c>
      <c r="G1705" s="42" t="inlineStr">
        <is>
          <t>Website Conversions</t>
        </is>
      </c>
      <c r="H1705" s="42" t="inlineStr">
        <is>
          <t>Range</t>
        </is>
      </c>
      <c r="I1705" s="42" t="inlineStr">
        <is>
          <t>Range Offer</t>
        </is>
      </c>
      <c r="J1705" s="42" t="inlineStr">
        <is>
          <t>X_LAL_FOLLOWER_ZA</t>
        </is>
      </c>
      <c r="K1705" s="42" t="inlineStr">
        <is>
          <t>Lookalike</t>
        </is>
      </c>
      <c r="L1705" s="42" t="inlineStr">
        <is>
          <t>X_STA_PricePoint_v1</t>
        </is>
      </c>
      <c r="M1705" s="42" t="inlineStr">
        <is>
          <t>Image Ad</t>
        </is>
      </c>
      <c r="N1705" s="42" t="inlineStr">
        <is>
          <t>From R3 599pm</t>
        </is>
      </c>
      <c r="O1705" s="42" t="inlineStr">
        <is>
          <t>Auction - Lowest Cost</t>
        </is>
      </c>
      <c r="P1705" s="42" t="inlineStr">
        <is>
          <t>Site Visit / Conversion</t>
        </is>
      </c>
      <c r="Q1705" s="42" t="inlineStr">
        <is>
          <t>https://www.lepas-sa.co.za/offers</t>
        </is>
      </c>
      <c r="R1705" s="115" t="n">
        <v>151.01</v>
      </c>
      <c r="S1705" s="116" t="n">
        <v>1986</v>
      </c>
      <c r="T1705" s="116" t="n">
        <v>1090</v>
      </c>
      <c r="U1705" s="117">
        <f>IFERROR(S1705/T1705,"")</f>
        <v/>
      </c>
      <c r="V1705" s="116" t="n">
        <v>17</v>
      </c>
      <c r="W1705" s="116" t="n">
        <v>12</v>
      </c>
      <c r="X1705" s="118">
        <f>IFERROR(W1705/S1705,"")</f>
        <v/>
      </c>
      <c r="Y1705" s="115">
        <f>IFERROR(R1705/W1705,"")</f>
        <v/>
      </c>
      <c r="Z1705" s="115">
        <f>IFERROR(R1705/S1705*1000,"")</f>
        <v/>
      </c>
      <c r="AA1705" s="116" t="n">
        <v>10</v>
      </c>
      <c r="AB1705" s="47">
        <f>IFERROR(AA1705/W1705,"")</f>
        <v/>
      </c>
      <c r="AC1705" s="116" t="n">
        <v>0</v>
      </c>
      <c r="AD1705" s="116" t="n">
        <v>0</v>
      </c>
      <c r="AE1705" s="116" t="n">
        <v>0</v>
      </c>
      <c r="AF1705" s="116" t="n">
        <v>0</v>
      </c>
      <c r="AG1705" s="116" t="n">
        <v>0</v>
      </c>
      <c r="AH1705" s="116" t="n">
        <v>0</v>
      </c>
      <c r="AI1705" s="47">
        <f>IFERROR(AC1705/S1705,"")</f>
        <v/>
      </c>
      <c r="AJ1705" s="47">
        <f>IFERROR(AH1705/S1705,"")</f>
        <v/>
      </c>
      <c r="AK1705" s="116" t="n">
        <v>30</v>
      </c>
      <c r="AL1705" s="116" t="n">
        <v>0</v>
      </c>
      <c r="AM1705" s="118">
        <f>IFERROR(AL1705/AA1705,"")</f>
        <v/>
      </c>
      <c r="AN1705" s="119">
        <f>IFERROR(R1705/AL1705,"")</f>
        <v/>
      </c>
      <c r="AO1705" s="116" t="n">
        <v>0</v>
      </c>
      <c r="AP1705" s="47">
        <f>IFERROR(AO1705/AL1705,"")</f>
        <v/>
      </c>
      <c r="AQ1705" s="119">
        <f>IFERROR(R1705/AO1705,"")</f>
        <v/>
      </c>
      <c r="AR1705" s="116" t="n">
        <v>0</v>
      </c>
      <c r="AS1705" s="116" t="n">
        <v>0</v>
      </c>
      <c r="AT1705" s="116">
        <f>AL1705+AR1705</f>
        <v/>
      </c>
      <c r="AU1705" s="119">
        <f>IFERROR(AO1705*Assumptions!$C$26*Assumptions!$C$27*INDEX(Assumptions!$C$18:$C$21,MATCH(H1705,Assumptions!$B$18:$B$21,0)),0)</f>
        <v/>
      </c>
    </row>
    <row r="1706">
      <c r="A1706" s="114" t="n">
        <v>46235</v>
      </c>
      <c r="B1706" s="42" t="inlineStr">
        <is>
          <t>Wk 31</t>
        </is>
      </c>
      <c r="C1706" s="42" t="inlineStr">
        <is>
          <t>Sat</t>
        </is>
      </c>
      <c r="D1706" s="42" t="inlineStr">
        <is>
          <t>X</t>
        </is>
      </c>
      <c r="E1706" s="42" t="inlineStr">
        <is>
          <t>X (Twitter)</t>
        </is>
      </c>
      <c r="F1706" s="42" t="inlineStr">
        <is>
          <t>LEP_ZA_AUG26_X_RMKT_TD_CONV</t>
        </is>
      </c>
      <c r="G1706" s="42" t="inlineStr">
        <is>
          <t>Website Conversions</t>
        </is>
      </c>
      <c r="H1706" s="42" t="inlineStr">
        <is>
          <t>Range</t>
        </is>
      </c>
      <c r="I1706" s="42" t="inlineStr">
        <is>
          <t>Range Offer</t>
        </is>
      </c>
      <c r="J1706" s="42" t="inlineStr">
        <is>
          <t>X_LAL_FOLLOWER_ZA</t>
        </is>
      </c>
      <c r="K1706" s="42" t="inlineStr">
        <is>
          <t>Lookalike</t>
        </is>
      </c>
      <c r="L1706" s="42" t="inlineStr">
        <is>
          <t>X_VID_15s_RangeFilm_v1</t>
        </is>
      </c>
      <c r="M1706" s="42" t="inlineStr">
        <is>
          <t>Video 16:9</t>
        </is>
      </c>
      <c r="N1706" s="42" t="inlineStr">
        <is>
          <t>Meet the Lepas range</t>
        </is>
      </c>
      <c r="O1706" s="42" t="inlineStr">
        <is>
          <t>Auction - Lowest Cost</t>
        </is>
      </c>
      <c r="P1706" s="42" t="inlineStr">
        <is>
          <t>Site Visit / Conversion</t>
        </is>
      </c>
      <c r="Q1706" s="42" t="inlineStr">
        <is>
          <t>https://www.lepas-sa.co.za/offers</t>
        </is>
      </c>
      <c r="R1706" s="115" t="n">
        <v>115.07</v>
      </c>
      <c r="S1706" s="116" t="n">
        <v>1640</v>
      </c>
      <c r="T1706" s="116" t="n">
        <v>1185</v>
      </c>
      <c r="U1706" s="117">
        <f>IFERROR(S1706/T1706,"")</f>
        <v/>
      </c>
      <c r="V1706" s="116" t="n">
        <v>21</v>
      </c>
      <c r="W1706" s="116" t="n">
        <v>16</v>
      </c>
      <c r="X1706" s="118">
        <f>IFERROR(W1706/S1706,"")</f>
        <v/>
      </c>
      <c r="Y1706" s="115">
        <f>IFERROR(R1706/W1706,"")</f>
        <v/>
      </c>
      <c r="Z1706" s="115">
        <f>IFERROR(R1706/S1706*1000,"")</f>
        <v/>
      </c>
      <c r="AA1706" s="116" t="n">
        <v>13</v>
      </c>
      <c r="AB1706" s="47">
        <f>IFERROR(AA1706/W1706,"")</f>
        <v/>
      </c>
      <c r="AC1706" s="116" t="n">
        <v>628</v>
      </c>
      <c r="AD1706" s="116" t="n">
        <v>311</v>
      </c>
      <c r="AE1706" s="116" t="n">
        <v>238</v>
      </c>
      <c r="AF1706" s="116" t="n">
        <v>140</v>
      </c>
      <c r="AG1706" s="116" t="n">
        <v>111</v>
      </c>
      <c r="AH1706" s="116" t="n">
        <v>62</v>
      </c>
      <c r="AI1706" s="47">
        <f>IFERROR(AC1706/S1706,"")</f>
        <v/>
      </c>
      <c r="AJ1706" s="47">
        <f>IFERROR(AH1706/S1706,"")</f>
        <v/>
      </c>
      <c r="AK1706" s="116" t="n">
        <v>35</v>
      </c>
      <c r="AL1706" s="116" t="n">
        <v>1</v>
      </c>
      <c r="AM1706" s="118">
        <f>IFERROR(AL1706/AA1706,"")</f>
        <v/>
      </c>
      <c r="AN1706" s="119">
        <f>IFERROR(R1706/AL1706,"")</f>
        <v/>
      </c>
      <c r="AO1706" s="116" t="n">
        <v>1</v>
      </c>
      <c r="AP1706" s="47">
        <f>IFERROR(AO1706/AL1706,"")</f>
        <v/>
      </c>
      <c r="AQ1706" s="119">
        <f>IFERROR(R1706/AO1706,"")</f>
        <v/>
      </c>
      <c r="AR1706" s="116" t="n">
        <v>0</v>
      </c>
      <c r="AS1706" s="116" t="n">
        <v>0</v>
      </c>
      <c r="AT1706" s="116">
        <f>AL1706+AR1706</f>
        <v/>
      </c>
      <c r="AU1706" s="119">
        <f>IFERROR(AO1706*Assumptions!$C$26*Assumptions!$C$27*INDEX(Assumptions!$C$18:$C$21,MATCH(H1706,Assumptions!$B$18:$B$21,0)),0)</f>
        <v/>
      </c>
    </row>
    <row r="1707">
      <c r="A1707" s="114" t="n">
        <v>46236</v>
      </c>
      <c r="B1707" s="42" t="inlineStr">
        <is>
          <t>Wk 31</t>
        </is>
      </c>
      <c r="C1707" s="42" t="inlineStr">
        <is>
          <t>Sun</t>
        </is>
      </c>
      <c r="D1707" s="42" t="inlineStr">
        <is>
          <t>X</t>
        </is>
      </c>
      <c r="E1707" s="42" t="inlineStr">
        <is>
          <t>X (Twitter)</t>
        </is>
      </c>
      <c r="F1707" s="42" t="inlineStr">
        <is>
          <t>LEP_ZA_AUG26_X_RMKT_TD_CONV</t>
        </is>
      </c>
      <c r="G1707" s="42" t="inlineStr">
        <is>
          <t>Website Conversions</t>
        </is>
      </c>
      <c r="H1707" s="42" t="inlineStr">
        <is>
          <t>Range</t>
        </is>
      </c>
      <c r="I1707" s="42" t="inlineStr">
        <is>
          <t>Range Offer</t>
        </is>
      </c>
      <c r="J1707" s="42" t="inlineStr">
        <is>
          <t>X_LAL_FOLLOWER_ZA</t>
        </is>
      </c>
      <c r="K1707" s="42" t="inlineStr">
        <is>
          <t>Lookalike</t>
        </is>
      </c>
      <c r="L1707" s="42" t="inlineStr">
        <is>
          <t>X_VID_15s_RangeFilm_v1</t>
        </is>
      </c>
      <c r="M1707" s="42" t="inlineStr">
        <is>
          <t>Video 16:9</t>
        </is>
      </c>
      <c r="N1707" s="42" t="inlineStr">
        <is>
          <t>Meet the Lepas range</t>
        </is>
      </c>
      <c r="O1707" s="42" t="inlineStr">
        <is>
          <t>Auction - Lowest Cost</t>
        </is>
      </c>
      <c r="P1707" s="42" t="inlineStr">
        <is>
          <t>Site Visit / Conversion</t>
        </is>
      </c>
      <c r="Q1707" s="42" t="inlineStr">
        <is>
          <t>https://www.lepas-sa.co.za/offers</t>
        </is>
      </c>
      <c r="R1707" s="115" t="n">
        <v>88.65000000000001</v>
      </c>
      <c r="S1707" s="116" t="n">
        <v>1506</v>
      </c>
      <c r="T1707" s="116" t="n">
        <v>1204</v>
      </c>
      <c r="U1707" s="117">
        <f>IFERROR(S1707/T1707,"")</f>
        <v/>
      </c>
      <c r="V1707" s="116" t="n">
        <v>19</v>
      </c>
      <c r="W1707" s="116" t="n">
        <v>16</v>
      </c>
      <c r="X1707" s="118">
        <f>IFERROR(W1707/S1707,"")</f>
        <v/>
      </c>
      <c r="Y1707" s="115">
        <f>IFERROR(R1707/W1707,"")</f>
        <v/>
      </c>
      <c r="Z1707" s="115">
        <f>IFERROR(R1707/S1707*1000,"")</f>
        <v/>
      </c>
      <c r="AA1707" s="116" t="n">
        <v>13</v>
      </c>
      <c r="AB1707" s="47">
        <f>IFERROR(AA1707/W1707,"")</f>
        <v/>
      </c>
      <c r="AC1707" s="116" t="n">
        <v>556</v>
      </c>
      <c r="AD1707" s="116" t="n">
        <v>327</v>
      </c>
      <c r="AE1707" s="116" t="n">
        <v>289</v>
      </c>
      <c r="AF1707" s="116" t="n">
        <v>203</v>
      </c>
      <c r="AG1707" s="116" t="n">
        <v>141</v>
      </c>
      <c r="AH1707" s="116" t="n">
        <v>96</v>
      </c>
      <c r="AI1707" s="47">
        <f>IFERROR(AC1707/S1707,"")</f>
        <v/>
      </c>
      <c r="AJ1707" s="47">
        <f>IFERROR(AH1707/S1707,"")</f>
        <v/>
      </c>
      <c r="AK1707" s="116" t="n">
        <v>23</v>
      </c>
      <c r="AL1707" s="116" t="n">
        <v>0</v>
      </c>
      <c r="AM1707" s="118">
        <f>IFERROR(AL1707/AA1707,"")</f>
        <v/>
      </c>
      <c r="AN1707" s="119">
        <f>IFERROR(R1707/AL1707,"")</f>
        <v/>
      </c>
      <c r="AO1707" s="116" t="n">
        <v>0</v>
      </c>
      <c r="AP1707" s="47">
        <f>IFERROR(AO1707/AL1707,"")</f>
        <v/>
      </c>
      <c r="AQ1707" s="119">
        <f>IFERROR(R1707/AO1707,"")</f>
        <v/>
      </c>
      <c r="AR1707" s="116" t="n">
        <v>0</v>
      </c>
      <c r="AS1707" s="116" t="n">
        <v>0</v>
      </c>
      <c r="AT1707" s="116">
        <f>AL1707+AR1707</f>
        <v/>
      </c>
      <c r="AU1707" s="119">
        <f>IFERROR(AO1707*Assumptions!$C$26*Assumptions!$C$27*INDEX(Assumptions!$C$18:$C$21,MATCH(H1707,Assumptions!$B$18:$B$21,0)),0)</f>
        <v/>
      </c>
    </row>
    <row r="1708">
      <c r="A1708" s="114" t="n">
        <v>46237</v>
      </c>
      <c r="B1708" s="42" t="inlineStr">
        <is>
          <t>Wk 32</t>
        </is>
      </c>
      <c r="C1708" s="42" t="inlineStr">
        <is>
          <t>Mon</t>
        </is>
      </c>
      <c r="D1708" s="42" t="inlineStr">
        <is>
          <t>X</t>
        </is>
      </c>
      <c r="E1708" s="42" t="inlineStr">
        <is>
          <t>X (Twitter)</t>
        </is>
      </c>
      <c r="F1708" s="42" t="inlineStr">
        <is>
          <t>LEP_ZA_AUG26_X_RMKT_TD_CONV</t>
        </is>
      </c>
      <c r="G1708" s="42" t="inlineStr">
        <is>
          <t>Website Conversions</t>
        </is>
      </c>
      <c r="H1708" s="42" t="inlineStr">
        <is>
          <t>Range</t>
        </is>
      </c>
      <c r="I1708" s="42" t="inlineStr">
        <is>
          <t>Range Offer</t>
        </is>
      </c>
      <c r="J1708" s="42" t="inlineStr">
        <is>
          <t>X_LAL_FOLLOWER_ZA</t>
        </is>
      </c>
      <c r="K1708" s="42" t="inlineStr">
        <is>
          <t>Lookalike</t>
        </is>
      </c>
      <c r="L1708" s="42" t="inlineStr">
        <is>
          <t>X_VID_15s_RangeFilm_v1</t>
        </is>
      </c>
      <c r="M1708" s="42" t="inlineStr">
        <is>
          <t>Video 16:9</t>
        </is>
      </c>
      <c r="N1708" s="42" t="inlineStr">
        <is>
          <t>Meet the Lepas range</t>
        </is>
      </c>
      <c r="O1708" s="42" t="inlineStr">
        <is>
          <t>Auction - Lowest Cost</t>
        </is>
      </c>
      <c r="P1708" s="42" t="inlineStr">
        <is>
          <t>Site Visit / Conversion</t>
        </is>
      </c>
      <c r="Q1708" s="42" t="inlineStr">
        <is>
          <t>https://www.lepas-sa.co.za/offers</t>
        </is>
      </c>
      <c r="R1708" s="115" t="n">
        <v>93.67</v>
      </c>
      <c r="S1708" s="116" t="n">
        <v>1436</v>
      </c>
      <c r="T1708" s="116" t="n">
        <v>1131</v>
      </c>
      <c r="U1708" s="117">
        <f>IFERROR(S1708/T1708,"")</f>
        <v/>
      </c>
      <c r="V1708" s="116" t="n">
        <v>15</v>
      </c>
      <c r="W1708" s="116" t="n">
        <v>11</v>
      </c>
      <c r="X1708" s="118">
        <f>IFERROR(W1708/S1708,"")</f>
        <v/>
      </c>
      <c r="Y1708" s="115">
        <f>IFERROR(R1708/W1708,"")</f>
        <v/>
      </c>
      <c r="Z1708" s="115">
        <f>IFERROR(R1708/S1708*1000,"")</f>
        <v/>
      </c>
      <c r="AA1708" s="116" t="n">
        <v>8</v>
      </c>
      <c r="AB1708" s="47">
        <f>IFERROR(AA1708/W1708,"")</f>
        <v/>
      </c>
      <c r="AC1708" s="116" t="n">
        <v>361</v>
      </c>
      <c r="AD1708" s="116" t="n">
        <v>199</v>
      </c>
      <c r="AE1708" s="116" t="n">
        <v>139</v>
      </c>
      <c r="AF1708" s="116" t="n">
        <v>73</v>
      </c>
      <c r="AG1708" s="116" t="n">
        <v>47</v>
      </c>
      <c r="AH1708" s="116" t="n">
        <v>27</v>
      </c>
      <c r="AI1708" s="47">
        <f>IFERROR(AC1708/S1708,"")</f>
        <v/>
      </c>
      <c r="AJ1708" s="47">
        <f>IFERROR(AH1708/S1708,"")</f>
        <v/>
      </c>
      <c r="AK1708" s="116" t="n">
        <v>17</v>
      </c>
      <c r="AL1708" s="116" t="n">
        <v>1</v>
      </c>
      <c r="AM1708" s="118">
        <f>IFERROR(AL1708/AA1708,"")</f>
        <v/>
      </c>
      <c r="AN1708" s="119">
        <f>IFERROR(R1708/AL1708,"")</f>
        <v/>
      </c>
      <c r="AO1708" s="116" t="n">
        <v>0</v>
      </c>
      <c r="AP1708" s="47">
        <f>IFERROR(AO1708/AL1708,"")</f>
        <v/>
      </c>
      <c r="AQ1708" s="119">
        <f>IFERROR(R1708/AO1708,"")</f>
        <v/>
      </c>
      <c r="AR1708" s="116" t="n">
        <v>0</v>
      </c>
      <c r="AS1708" s="116" t="n">
        <v>0</v>
      </c>
      <c r="AT1708" s="116">
        <f>AL1708+AR1708</f>
        <v/>
      </c>
      <c r="AU1708" s="119">
        <f>IFERROR(AO1708*Assumptions!$C$26*Assumptions!$C$27*INDEX(Assumptions!$C$18:$C$21,MATCH(H1708,Assumptions!$B$18:$B$21,0)),0)</f>
        <v/>
      </c>
    </row>
    <row r="1709">
      <c r="A1709" s="114" t="n">
        <v>46238</v>
      </c>
      <c r="B1709" s="42" t="inlineStr">
        <is>
          <t>Wk 32</t>
        </is>
      </c>
      <c r="C1709" s="42" t="inlineStr">
        <is>
          <t>Tue</t>
        </is>
      </c>
      <c r="D1709" s="42" t="inlineStr">
        <is>
          <t>X</t>
        </is>
      </c>
      <c r="E1709" s="42" t="inlineStr">
        <is>
          <t>X (Twitter)</t>
        </is>
      </c>
      <c r="F1709" s="42" t="inlineStr">
        <is>
          <t>LEP_ZA_AUG26_X_RMKT_TD_CONV</t>
        </is>
      </c>
      <c r="G1709" s="42" t="inlineStr">
        <is>
          <t>Website Conversions</t>
        </is>
      </c>
      <c r="H1709" s="42" t="inlineStr">
        <is>
          <t>Range</t>
        </is>
      </c>
      <c r="I1709" s="42" t="inlineStr">
        <is>
          <t>Range Offer</t>
        </is>
      </c>
      <c r="J1709" s="42" t="inlineStr">
        <is>
          <t>X_LAL_FOLLOWER_ZA</t>
        </is>
      </c>
      <c r="K1709" s="42" t="inlineStr">
        <is>
          <t>Lookalike</t>
        </is>
      </c>
      <c r="L1709" s="42" t="inlineStr">
        <is>
          <t>X_VID_15s_RangeFilm_v1</t>
        </is>
      </c>
      <c r="M1709" s="42" t="inlineStr">
        <is>
          <t>Video 16:9</t>
        </is>
      </c>
      <c r="N1709" s="42" t="inlineStr">
        <is>
          <t>Meet the Lepas range</t>
        </is>
      </c>
      <c r="O1709" s="42" t="inlineStr">
        <is>
          <t>Auction - Lowest Cost</t>
        </is>
      </c>
      <c r="P1709" s="42" t="inlineStr">
        <is>
          <t>Site Visit / Conversion</t>
        </is>
      </c>
      <c r="Q1709" s="42" t="inlineStr">
        <is>
          <t>https://www.lepas-sa.co.za/offers</t>
        </is>
      </c>
      <c r="R1709" s="115" t="n">
        <v>92.53</v>
      </c>
      <c r="S1709" s="116" t="n">
        <v>1511</v>
      </c>
      <c r="T1709" s="116" t="n">
        <v>1160</v>
      </c>
      <c r="U1709" s="117">
        <f>IFERROR(S1709/T1709,"")</f>
        <v/>
      </c>
      <c r="V1709" s="116" t="n">
        <v>11</v>
      </c>
      <c r="W1709" s="116" t="n">
        <v>10</v>
      </c>
      <c r="X1709" s="118">
        <f>IFERROR(W1709/S1709,"")</f>
        <v/>
      </c>
      <c r="Y1709" s="115">
        <f>IFERROR(R1709/W1709,"")</f>
        <v/>
      </c>
      <c r="Z1709" s="115">
        <f>IFERROR(R1709/S1709*1000,"")</f>
        <v/>
      </c>
      <c r="AA1709" s="116" t="n">
        <v>8</v>
      </c>
      <c r="AB1709" s="47">
        <f>IFERROR(AA1709/W1709,"")</f>
        <v/>
      </c>
      <c r="AC1709" s="116" t="n">
        <v>543</v>
      </c>
      <c r="AD1709" s="116" t="n">
        <v>295</v>
      </c>
      <c r="AE1709" s="116" t="n">
        <v>216</v>
      </c>
      <c r="AF1709" s="116" t="n">
        <v>112</v>
      </c>
      <c r="AG1709" s="116" t="n">
        <v>74</v>
      </c>
      <c r="AH1709" s="116" t="n">
        <v>46</v>
      </c>
      <c r="AI1709" s="47">
        <f>IFERROR(AC1709/S1709,"")</f>
        <v/>
      </c>
      <c r="AJ1709" s="47">
        <f>IFERROR(AH1709/S1709,"")</f>
        <v/>
      </c>
      <c r="AK1709" s="116" t="n">
        <v>37</v>
      </c>
      <c r="AL1709" s="116" t="n">
        <v>1</v>
      </c>
      <c r="AM1709" s="118">
        <f>IFERROR(AL1709/AA1709,"")</f>
        <v/>
      </c>
      <c r="AN1709" s="119">
        <f>IFERROR(R1709/AL1709,"")</f>
        <v/>
      </c>
      <c r="AO1709" s="116" t="n">
        <v>0</v>
      </c>
      <c r="AP1709" s="47">
        <f>IFERROR(AO1709/AL1709,"")</f>
        <v/>
      </c>
      <c r="AQ1709" s="119">
        <f>IFERROR(R1709/AO1709,"")</f>
        <v/>
      </c>
      <c r="AR1709" s="116" t="n">
        <v>0</v>
      </c>
      <c r="AS1709" s="116" t="n">
        <v>0</v>
      </c>
      <c r="AT1709" s="116">
        <f>AL1709+AR1709</f>
        <v/>
      </c>
      <c r="AU1709" s="119">
        <f>IFERROR(AO1709*Assumptions!$C$26*Assumptions!$C$27*INDEX(Assumptions!$C$18:$C$21,MATCH(H1709,Assumptions!$B$18:$B$21,0)),0)</f>
        <v/>
      </c>
    </row>
    <row r="1710">
      <c r="A1710" s="114" t="n">
        <v>46239</v>
      </c>
      <c r="B1710" s="42" t="inlineStr">
        <is>
          <t>Wk 32</t>
        </is>
      </c>
      <c r="C1710" s="42" t="inlineStr">
        <is>
          <t>Wed</t>
        </is>
      </c>
      <c r="D1710" s="42" t="inlineStr">
        <is>
          <t>X</t>
        </is>
      </c>
      <c r="E1710" s="42" t="inlineStr">
        <is>
          <t>X (Twitter)</t>
        </is>
      </c>
      <c r="F1710" s="42" t="inlineStr">
        <is>
          <t>LEP_ZA_AUG26_X_RMKT_TD_CONV</t>
        </is>
      </c>
      <c r="G1710" s="42" t="inlineStr">
        <is>
          <t>Website Conversions</t>
        </is>
      </c>
      <c r="H1710" s="42" t="inlineStr">
        <is>
          <t>Range</t>
        </is>
      </c>
      <c r="I1710" s="42" t="inlineStr">
        <is>
          <t>Range Offer</t>
        </is>
      </c>
      <c r="J1710" s="42" t="inlineStr">
        <is>
          <t>X_LAL_FOLLOWER_ZA</t>
        </is>
      </c>
      <c r="K1710" s="42" t="inlineStr">
        <is>
          <t>Lookalike</t>
        </is>
      </c>
      <c r="L1710" s="42" t="inlineStr">
        <is>
          <t>X_VID_15s_RangeFilm_v1</t>
        </is>
      </c>
      <c r="M1710" s="42" t="inlineStr">
        <is>
          <t>Video 16:9</t>
        </is>
      </c>
      <c r="N1710" s="42" t="inlineStr">
        <is>
          <t>Meet the Lepas range</t>
        </is>
      </c>
      <c r="O1710" s="42" t="inlineStr">
        <is>
          <t>Auction - Lowest Cost</t>
        </is>
      </c>
      <c r="P1710" s="42" t="inlineStr">
        <is>
          <t>Site Visit / Conversion</t>
        </is>
      </c>
      <c r="Q1710" s="42" t="inlineStr">
        <is>
          <t>https://www.lepas-sa.co.za/offers</t>
        </is>
      </c>
      <c r="R1710" s="115" t="n">
        <v>108.18</v>
      </c>
      <c r="S1710" s="116" t="n">
        <v>2286</v>
      </c>
      <c r="T1710" s="116" t="n">
        <v>1958</v>
      </c>
      <c r="U1710" s="117">
        <f>IFERROR(S1710/T1710,"")</f>
        <v/>
      </c>
      <c r="V1710" s="116" t="n">
        <v>21</v>
      </c>
      <c r="W1710" s="116" t="n">
        <v>15</v>
      </c>
      <c r="X1710" s="118">
        <f>IFERROR(W1710/S1710,"")</f>
        <v/>
      </c>
      <c r="Y1710" s="115">
        <f>IFERROR(R1710/W1710,"")</f>
        <v/>
      </c>
      <c r="Z1710" s="115">
        <f>IFERROR(R1710/S1710*1000,"")</f>
        <v/>
      </c>
      <c r="AA1710" s="116" t="n">
        <v>12</v>
      </c>
      <c r="AB1710" s="47">
        <f>IFERROR(AA1710/W1710,"")</f>
        <v/>
      </c>
      <c r="AC1710" s="116" t="n">
        <v>899</v>
      </c>
      <c r="AD1710" s="116" t="n">
        <v>484</v>
      </c>
      <c r="AE1710" s="116" t="n">
        <v>468</v>
      </c>
      <c r="AF1710" s="116" t="n">
        <v>313</v>
      </c>
      <c r="AG1710" s="116" t="n">
        <v>220</v>
      </c>
      <c r="AH1710" s="116" t="n">
        <v>156</v>
      </c>
      <c r="AI1710" s="47">
        <f>IFERROR(AC1710/S1710,"")</f>
        <v/>
      </c>
      <c r="AJ1710" s="47">
        <f>IFERROR(AH1710/S1710,"")</f>
        <v/>
      </c>
      <c r="AK1710" s="116" t="n">
        <v>34</v>
      </c>
      <c r="AL1710" s="116" t="n">
        <v>0</v>
      </c>
      <c r="AM1710" s="118">
        <f>IFERROR(AL1710/AA1710,"")</f>
        <v/>
      </c>
      <c r="AN1710" s="119">
        <f>IFERROR(R1710/AL1710,"")</f>
        <v/>
      </c>
      <c r="AO1710" s="116" t="n">
        <v>0</v>
      </c>
      <c r="AP1710" s="47">
        <f>IFERROR(AO1710/AL1710,"")</f>
        <v/>
      </c>
      <c r="AQ1710" s="119">
        <f>IFERROR(R1710/AO1710,"")</f>
        <v/>
      </c>
      <c r="AR1710" s="116" t="n">
        <v>0</v>
      </c>
      <c r="AS1710" s="116" t="n">
        <v>0</v>
      </c>
      <c r="AT1710" s="116">
        <f>AL1710+AR1710</f>
        <v/>
      </c>
      <c r="AU1710" s="119">
        <f>IFERROR(AO1710*Assumptions!$C$26*Assumptions!$C$27*INDEX(Assumptions!$C$18:$C$21,MATCH(H1710,Assumptions!$B$18:$B$21,0)),0)</f>
        <v/>
      </c>
    </row>
    <row r="1711">
      <c r="A1711" s="114" t="n">
        <v>46240</v>
      </c>
      <c r="B1711" s="42" t="inlineStr">
        <is>
          <t>Wk 32</t>
        </is>
      </c>
      <c r="C1711" s="42" t="inlineStr">
        <is>
          <t>Thu</t>
        </is>
      </c>
      <c r="D1711" s="42" t="inlineStr">
        <is>
          <t>X</t>
        </is>
      </c>
      <c r="E1711" s="42" t="inlineStr">
        <is>
          <t>X (Twitter)</t>
        </is>
      </c>
      <c r="F1711" s="42" t="inlineStr">
        <is>
          <t>LEP_ZA_AUG26_X_RMKT_TD_CONV</t>
        </is>
      </c>
      <c r="G1711" s="42" t="inlineStr">
        <is>
          <t>Website Conversions</t>
        </is>
      </c>
      <c r="H1711" s="42" t="inlineStr">
        <is>
          <t>Range</t>
        </is>
      </c>
      <c r="I1711" s="42" t="inlineStr">
        <is>
          <t>Range Offer</t>
        </is>
      </c>
      <c r="J1711" s="42" t="inlineStr">
        <is>
          <t>X_LAL_FOLLOWER_ZA</t>
        </is>
      </c>
      <c r="K1711" s="42" t="inlineStr">
        <is>
          <t>Lookalike</t>
        </is>
      </c>
      <c r="L1711" s="42" t="inlineStr">
        <is>
          <t>X_VID_15s_RangeFilm_v1</t>
        </is>
      </c>
      <c r="M1711" s="42" t="inlineStr">
        <is>
          <t>Video 16:9</t>
        </is>
      </c>
      <c r="N1711" s="42" t="inlineStr">
        <is>
          <t>Meet the Lepas range</t>
        </is>
      </c>
      <c r="O1711" s="42" t="inlineStr">
        <is>
          <t>Auction - Lowest Cost</t>
        </is>
      </c>
      <c r="P1711" s="42" t="inlineStr">
        <is>
          <t>Site Visit / Conversion</t>
        </is>
      </c>
      <c r="Q1711" s="42" t="inlineStr">
        <is>
          <t>https://www.lepas-sa.co.za/offers</t>
        </is>
      </c>
      <c r="R1711" s="115" t="n">
        <v>108</v>
      </c>
      <c r="S1711" s="116" t="n">
        <v>1816</v>
      </c>
      <c r="T1711" s="116" t="n">
        <v>1230</v>
      </c>
      <c r="U1711" s="117">
        <f>IFERROR(S1711/T1711,"")</f>
        <v/>
      </c>
      <c r="V1711" s="116" t="n">
        <v>14</v>
      </c>
      <c r="W1711" s="116" t="n">
        <v>11</v>
      </c>
      <c r="X1711" s="118">
        <f>IFERROR(W1711/S1711,"")</f>
        <v/>
      </c>
      <c r="Y1711" s="115">
        <f>IFERROR(R1711/W1711,"")</f>
        <v/>
      </c>
      <c r="Z1711" s="115">
        <f>IFERROR(R1711/S1711*1000,"")</f>
        <v/>
      </c>
      <c r="AA1711" s="116" t="n">
        <v>9</v>
      </c>
      <c r="AB1711" s="47">
        <f>IFERROR(AA1711/W1711,"")</f>
        <v/>
      </c>
      <c r="AC1711" s="116" t="n">
        <v>438</v>
      </c>
      <c r="AD1711" s="116" t="n">
        <v>272</v>
      </c>
      <c r="AE1711" s="116" t="n">
        <v>161</v>
      </c>
      <c r="AF1711" s="116" t="n">
        <v>97</v>
      </c>
      <c r="AG1711" s="116" t="n">
        <v>71</v>
      </c>
      <c r="AH1711" s="116" t="n">
        <v>48</v>
      </c>
      <c r="AI1711" s="47">
        <f>IFERROR(AC1711/S1711,"")</f>
        <v/>
      </c>
      <c r="AJ1711" s="47">
        <f>IFERROR(AH1711/S1711,"")</f>
        <v/>
      </c>
      <c r="AK1711" s="116" t="n">
        <v>32</v>
      </c>
      <c r="AL1711" s="116" t="n">
        <v>0</v>
      </c>
      <c r="AM1711" s="118">
        <f>IFERROR(AL1711/AA1711,"")</f>
        <v/>
      </c>
      <c r="AN1711" s="119">
        <f>IFERROR(R1711/AL1711,"")</f>
        <v/>
      </c>
      <c r="AO1711" s="116" t="n">
        <v>0</v>
      </c>
      <c r="AP1711" s="47">
        <f>IFERROR(AO1711/AL1711,"")</f>
        <v/>
      </c>
      <c r="AQ1711" s="119">
        <f>IFERROR(R1711/AO1711,"")</f>
        <v/>
      </c>
      <c r="AR1711" s="116" t="n">
        <v>0</v>
      </c>
      <c r="AS1711" s="116" t="n">
        <v>0</v>
      </c>
      <c r="AT1711" s="116">
        <f>AL1711+AR1711</f>
        <v/>
      </c>
      <c r="AU1711" s="119">
        <f>IFERROR(AO1711*Assumptions!$C$26*Assumptions!$C$27*INDEX(Assumptions!$C$18:$C$21,MATCH(H1711,Assumptions!$B$18:$B$21,0)),0)</f>
        <v/>
      </c>
    </row>
    <row r="1712">
      <c r="A1712" s="114" t="n">
        <v>46241</v>
      </c>
      <c r="B1712" s="42" t="inlineStr">
        <is>
          <t>Wk 32</t>
        </is>
      </c>
      <c r="C1712" s="42" t="inlineStr">
        <is>
          <t>Fri</t>
        </is>
      </c>
      <c r="D1712" s="42" t="inlineStr">
        <is>
          <t>X</t>
        </is>
      </c>
      <c r="E1712" s="42" t="inlineStr">
        <is>
          <t>X (Twitter)</t>
        </is>
      </c>
      <c r="F1712" s="42" t="inlineStr">
        <is>
          <t>LEP_ZA_AUG26_X_RMKT_TD_CONV</t>
        </is>
      </c>
      <c r="G1712" s="42" t="inlineStr">
        <is>
          <t>Website Conversions</t>
        </is>
      </c>
      <c r="H1712" s="42" t="inlineStr">
        <is>
          <t>Range</t>
        </is>
      </c>
      <c r="I1712" s="42" t="inlineStr">
        <is>
          <t>Range Offer</t>
        </is>
      </c>
      <c r="J1712" s="42" t="inlineStr">
        <is>
          <t>X_LAL_FOLLOWER_ZA</t>
        </is>
      </c>
      <c r="K1712" s="42" t="inlineStr">
        <is>
          <t>Lookalike</t>
        </is>
      </c>
      <c r="L1712" s="42" t="inlineStr">
        <is>
          <t>X_VID_15s_RangeFilm_v1</t>
        </is>
      </c>
      <c r="M1712" s="42" t="inlineStr">
        <is>
          <t>Video 16:9</t>
        </is>
      </c>
      <c r="N1712" s="42" t="inlineStr">
        <is>
          <t>Meet the Lepas range</t>
        </is>
      </c>
      <c r="O1712" s="42" t="inlineStr">
        <is>
          <t>Auction - Lowest Cost</t>
        </is>
      </c>
      <c r="P1712" s="42" t="inlineStr">
        <is>
          <t>Site Visit / Conversion</t>
        </is>
      </c>
      <c r="Q1712" s="42" t="inlineStr">
        <is>
          <t>https://www.lepas-sa.co.za/offers</t>
        </is>
      </c>
      <c r="R1712" s="115" t="n">
        <v>122.09</v>
      </c>
      <c r="S1712" s="116" t="n">
        <v>1768</v>
      </c>
      <c r="T1712" s="116" t="n">
        <v>1219</v>
      </c>
      <c r="U1712" s="117">
        <f>IFERROR(S1712/T1712,"")</f>
        <v/>
      </c>
      <c r="V1712" s="116" t="n">
        <v>26</v>
      </c>
      <c r="W1712" s="116" t="n">
        <v>20</v>
      </c>
      <c r="X1712" s="118">
        <f>IFERROR(W1712/S1712,"")</f>
        <v/>
      </c>
      <c r="Y1712" s="115">
        <f>IFERROR(R1712/W1712,"")</f>
        <v/>
      </c>
      <c r="Z1712" s="115">
        <f>IFERROR(R1712/S1712*1000,"")</f>
        <v/>
      </c>
      <c r="AA1712" s="116" t="n">
        <v>16</v>
      </c>
      <c r="AB1712" s="47">
        <f>IFERROR(AA1712/W1712,"")</f>
        <v/>
      </c>
      <c r="AC1712" s="116" t="n">
        <v>640</v>
      </c>
      <c r="AD1712" s="116" t="n">
        <v>335</v>
      </c>
      <c r="AE1712" s="116" t="n">
        <v>306</v>
      </c>
      <c r="AF1712" s="116" t="n">
        <v>168</v>
      </c>
      <c r="AG1712" s="116" t="n">
        <v>132</v>
      </c>
      <c r="AH1712" s="116" t="n">
        <v>88</v>
      </c>
      <c r="AI1712" s="47">
        <f>IFERROR(AC1712/S1712,"")</f>
        <v/>
      </c>
      <c r="AJ1712" s="47">
        <f>IFERROR(AH1712/S1712,"")</f>
        <v/>
      </c>
      <c r="AK1712" s="116" t="n">
        <v>49</v>
      </c>
      <c r="AL1712" s="116" t="n">
        <v>0</v>
      </c>
      <c r="AM1712" s="118">
        <f>IFERROR(AL1712/AA1712,"")</f>
        <v/>
      </c>
      <c r="AN1712" s="119">
        <f>IFERROR(R1712/AL1712,"")</f>
        <v/>
      </c>
      <c r="AO1712" s="116" t="n">
        <v>0</v>
      </c>
      <c r="AP1712" s="47">
        <f>IFERROR(AO1712/AL1712,"")</f>
        <v/>
      </c>
      <c r="AQ1712" s="119">
        <f>IFERROR(R1712/AO1712,"")</f>
        <v/>
      </c>
      <c r="AR1712" s="116" t="n">
        <v>0</v>
      </c>
      <c r="AS1712" s="116" t="n">
        <v>0</v>
      </c>
      <c r="AT1712" s="116">
        <f>AL1712+AR1712</f>
        <v/>
      </c>
      <c r="AU1712" s="119">
        <f>IFERROR(AO1712*Assumptions!$C$26*Assumptions!$C$27*INDEX(Assumptions!$C$18:$C$21,MATCH(H1712,Assumptions!$B$18:$B$21,0)),0)</f>
        <v/>
      </c>
    </row>
    <row r="1713">
      <c r="A1713" s="114" t="n">
        <v>46242</v>
      </c>
      <c r="B1713" s="42" t="inlineStr">
        <is>
          <t>Wk 32</t>
        </is>
      </c>
      <c r="C1713" s="42" t="inlineStr">
        <is>
          <t>Sat</t>
        </is>
      </c>
      <c r="D1713" s="42" t="inlineStr">
        <is>
          <t>X</t>
        </is>
      </c>
      <c r="E1713" s="42" t="inlineStr">
        <is>
          <t>X (Twitter)</t>
        </is>
      </c>
      <c r="F1713" s="42" t="inlineStr">
        <is>
          <t>LEP_ZA_AUG26_X_RMKT_TD_CONV</t>
        </is>
      </c>
      <c r="G1713" s="42" t="inlineStr">
        <is>
          <t>Website Conversions</t>
        </is>
      </c>
      <c r="H1713" s="42" t="inlineStr">
        <is>
          <t>Range</t>
        </is>
      </c>
      <c r="I1713" s="42" t="inlineStr">
        <is>
          <t>Range Offer</t>
        </is>
      </c>
      <c r="J1713" s="42" t="inlineStr">
        <is>
          <t>X_LAL_FOLLOWER_ZA</t>
        </is>
      </c>
      <c r="K1713" s="42" t="inlineStr">
        <is>
          <t>Lookalike</t>
        </is>
      </c>
      <c r="L1713" s="42" t="inlineStr">
        <is>
          <t>X_VID_15s_RangeFilm_v1</t>
        </is>
      </c>
      <c r="M1713" s="42" t="inlineStr">
        <is>
          <t>Video 16:9</t>
        </is>
      </c>
      <c r="N1713" s="42" t="inlineStr">
        <is>
          <t>Meet the Lepas range</t>
        </is>
      </c>
      <c r="O1713" s="42" t="inlineStr">
        <is>
          <t>Auction - Lowest Cost</t>
        </is>
      </c>
      <c r="P1713" s="42" t="inlineStr">
        <is>
          <t>Site Visit / Conversion</t>
        </is>
      </c>
      <c r="Q1713" s="42" t="inlineStr">
        <is>
          <t>https://www.lepas-sa.co.za/offers</t>
        </is>
      </c>
      <c r="R1713" s="115" t="n">
        <v>114.68</v>
      </c>
      <c r="S1713" s="116" t="n">
        <v>2344</v>
      </c>
      <c r="T1713" s="116" t="n">
        <v>1553</v>
      </c>
      <c r="U1713" s="117">
        <f>IFERROR(S1713/T1713,"")</f>
        <v/>
      </c>
      <c r="V1713" s="116" t="n">
        <v>20</v>
      </c>
      <c r="W1713" s="116" t="n">
        <v>16</v>
      </c>
      <c r="X1713" s="118">
        <f>IFERROR(W1713/S1713,"")</f>
        <v/>
      </c>
      <c r="Y1713" s="115">
        <f>IFERROR(R1713/W1713,"")</f>
        <v/>
      </c>
      <c r="Z1713" s="115">
        <f>IFERROR(R1713/S1713*1000,"")</f>
        <v/>
      </c>
      <c r="AA1713" s="116" t="n">
        <v>12</v>
      </c>
      <c r="AB1713" s="47">
        <f>IFERROR(AA1713/W1713,"")</f>
        <v/>
      </c>
      <c r="AC1713" s="116" t="n">
        <v>828</v>
      </c>
      <c r="AD1713" s="116" t="n">
        <v>365</v>
      </c>
      <c r="AE1713" s="116" t="n">
        <v>357</v>
      </c>
      <c r="AF1713" s="116" t="n">
        <v>227</v>
      </c>
      <c r="AG1713" s="116" t="n">
        <v>151</v>
      </c>
      <c r="AH1713" s="116" t="n">
        <v>108</v>
      </c>
      <c r="AI1713" s="47">
        <f>IFERROR(AC1713/S1713,"")</f>
        <v/>
      </c>
      <c r="AJ1713" s="47">
        <f>IFERROR(AH1713/S1713,"")</f>
        <v/>
      </c>
      <c r="AK1713" s="116" t="n">
        <v>32</v>
      </c>
      <c r="AL1713" s="116" t="n">
        <v>0</v>
      </c>
      <c r="AM1713" s="118">
        <f>IFERROR(AL1713/AA1713,"")</f>
        <v/>
      </c>
      <c r="AN1713" s="119">
        <f>IFERROR(R1713/AL1713,"")</f>
        <v/>
      </c>
      <c r="AO1713" s="116" t="n">
        <v>0</v>
      </c>
      <c r="AP1713" s="47">
        <f>IFERROR(AO1713/AL1713,"")</f>
        <v/>
      </c>
      <c r="AQ1713" s="119">
        <f>IFERROR(R1713/AO1713,"")</f>
        <v/>
      </c>
      <c r="AR1713" s="116" t="n">
        <v>0</v>
      </c>
      <c r="AS1713" s="116" t="n">
        <v>0</v>
      </c>
      <c r="AT1713" s="116">
        <f>AL1713+AR1713</f>
        <v/>
      </c>
      <c r="AU1713" s="119">
        <f>IFERROR(AO1713*Assumptions!$C$26*Assumptions!$C$27*INDEX(Assumptions!$C$18:$C$21,MATCH(H1713,Assumptions!$B$18:$B$21,0)),0)</f>
        <v/>
      </c>
    </row>
    <row r="1714">
      <c r="A1714" s="114" t="n">
        <v>46243</v>
      </c>
      <c r="B1714" s="42" t="inlineStr">
        <is>
          <t>Wk 32</t>
        </is>
      </c>
      <c r="C1714" s="42" t="inlineStr">
        <is>
          <t>Sun</t>
        </is>
      </c>
      <c r="D1714" s="42" t="inlineStr">
        <is>
          <t>X</t>
        </is>
      </c>
      <c r="E1714" s="42" t="inlineStr">
        <is>
          <t>X (Twitter)</t>
        </is>
      </c>
      <c r="F1714" s="42" t="inlineStr">
        <is>
          <t>LEP_ZA_AUG26_X_RMKT_TD_CONV</t>
        </is>
      </c>
      <c r="G1714" s="42" t="inlineStr">
        <is>
          <t>Website Conversions</t>
        </is>
      </c>
      <c r="H1714" s="42" t="inlineStr">
        <is>
          <t>Range</t>
        </is>
      </c>
      <c r="I1714" s="42" t="inlineStr">
        <is>
          <t>Range Offer</t>
        </is>
      </c>
      <c r="J1714" s="42" t="inlineStr">
        <is>
          <t>X_LAL_FOLLOWER_ZA</t>
        </is>
      </c>
      <c r="K1714" s="42" t="inlineStr">
        <is>
          <t>Lookalike</t>
        </is>
      </c>
      <c r="L1714" s="42" t="inlineStr">
        <is>
          <t>X_VID_15s_RangeFilm_v1</t>
        </is>
      </c>
      <c r="M1714" s="42" t="inlineStr">
        <is>
          <t>Video 16:9</t>
        </is>
      </c>
      <c r="N1714" s="42" t="inlineStr">
        <is>
          <t>Meet the Lepas range</t>
        </is>
      </c>
      <c r="O1714" s="42" t="inlineStr">
        <is>
          <t>Auction - Lowest Cost</t>
        </is>
      </c>
      <c r="P1714" s="42" t="inlineStr">
        <is>
          <t>Site Visit / Conversion</t>
        </is>
      </c>
      <c r="Q1714" s="42" t="inlineStr">
        <is>
          <t>https://www.lepas-sa.co.za/offers</t>
        </is>
      </c>
      <c r="R1714" s="115" t="n">
        <v>86.61</v>
      </c>
      <c r="S1714" s="116" t="n">
        <v>1539</v>
      </c>
      <c r="T1714" s="116" t="n">
        <v>968</v>
      </c>
      <c r="U1714" s="117">
        <f>IFERROR(S1714/T1714,"")</f>
        <v/>
      </c>
      <c r="V1714" s="116" t="n">
        <v>14</v>
      </c>
      <c r="W1714" s="116" t="n">
        <v>11</v>
      </c>
      <c r="X1714" s="118">
        <f>IFERROR(W1714/S1714,"")</f>
        <v/>
      </c>
      <c r="Y1714" s="115">
        <f>IFERROR(R1714/W1714,"")</f>
        <v/>
      </c>
      <c r="Z1714" s="115">
        <f>IFERROR(R1714/S1714*1000,"")</f>
        <v/>
      </c>
      <c r="AA1714" s="116" t="n">
        <v>8</v>
      </c>
      <c r="AB1714" s="47">
        <f>IFERROR(AA1714/W1714,"")</f>
        <v/>
      </c>
      <c r="AC1714" s="116" t="n">
        <v>436</v>
      </c>
      <c r="AD1714" s="116" t="n">
        <v>244</v>
      </c>
      <c r="AE1714" s="116" t="n">
        <v>169</v>
      </c>
      <c r="AF1714" s="116" t="n">
        <v>119</v>
      </c>
      <c r="AG1714" s="116" t="n">
        <v>93</v>
      </c>
      <c r="AH1714" s="116" t="n">
        <v>59</v>
      </c>
      <c r="AI1714" s="47">
        <f>IFERROR(AC1714/S1714,"")</f>
        <v/>
      </c>
      <c r="AJ1714" s="47">
        <f>IFERROR(AH1714/S1714,"")</f>
        <v/>
      </c>
      <c r="AK1714" s="116" t="n">
        <v>36</v>
      </c>
      <c r="AL1714" s="116" t="n">
        <v>0</v>
      </c>
      <c r="AM1714" s="118">
        <f>IFERROR(AL1714/AA1714,"")</f>
        <v/>
      </c>
      <c r="AN1714" s="119">
        <f>IFERROR(R1714/AL1714,"")</f>
        <v/>
      </c>
      <c r="AO1714" s="116" t="n">
        <v>0</v>
      </c>
      <c r="AP1714" s="47">
        <f>IFERROR(AO1714/AL1714,"")</f>
        <v/>
      </c>
      <c r="AQ1714" s="119">
        <f>IFERROR(R1714/AO1714,"")</f>
        <v/>
      </c>
      <c r="AR1714" s="116" t="n">
        <v>0</v>
      </c>
      <c r="AS1714" s="116" t="n">
        <v>0</v>
      </c>
      <c r="AT1714" s="116">
        <f>AL1714+AR1714</f>
        <v/>
      </c>
      <c r="AU1714" s="119">
        <f>IFERROR(AO1714*Assumptions!$C$26*Assumptions!$C$27*INDEX(Assumptions!$C$18:$C$21,MATCH(H1714,Assumptions!$B$18:$B$21,0)),0)</f>
        <v/>
      </c>
    </row>
    <row r="1715">
      <c r="A1715" s="114" t="n">
        <v>46244</v>
      </c>
      <c r="B1715" s="42" t="inlineStr">
        <is>
          <t>Wk 33</t>
        </is>
      </c>
      <c r="C1715" s="42" t="inlineStr">
        <is>
          <t>Mon</t>
        </is>
      </c>
      <c r="D1715" s="42" t="inlineStr">
        <is>
          <t>X</t>
        </is>
      </c>
      <c r="E1715" s="42" t="inlineStr">
        <is>
          <t>X (Twitter)</t>
        </is>
      </c>
      <c r="F1715" s="42" t="inlineStr">
        <is>
          <t>LEP_ZA_AUG26_X_RMKT_TD_CONV</t>
        </is>
      </c>
      <c r="G1715" s="42" t="inlineStr">
        <is>
          <t>Website Conversions</t>
        </is>
      </c>
      <c r="H1715" s="42" t="inlineStr">
        <is>
          <t>Range</t>
        </is>
      </c>
      <c r="I1715" s="42" t="inlineStr">
        <is>
          <t>Range Offer</t>
        </is>
      </c>
      <c r="J1715" s="42" t="inlineStr">
        <is>
          <t>X_LAL_FOLLOWER_ZA</t>
        </is>
      </c>
      <c r="K1715" s="42" t="inlineStr">
        <is>
          <t>Lookalike</t>
        </is>
      </c>
      <c r="L1715" s="42" t="inlineStr">
        <is>
          <t>X_VID_15s_RangeFilm_v1</t>
        </is>
      </c>
      <c r="M1715" s="42" t="inlineStr">
        <is>
          <t>Video 16:9</t>
        </is>
      </c>
      <c r="N1715" s="42" t="inlineStr">
        <is>
          <t>Meet the Lepas range</t>
        </is>
      </c>
      <c r="O1715" s="42" t="inlineStr">
        <is>
          <t>Auction - Lowest Cost</t>
        </is>
      </c>
      <c r="P1715" s="42" t="inlineStr">
        <is>
          <t>Site Visit / Conversion</t>
        </is>
      </c>
      <c r="Q1715" s="42" t="inlineStr">
        <is>
          <t>https://www.lepas-sa.co.za/offers</t>
        </is>
      </c>
      <c r="R1715" s="115" t="n">
        <v>114.31</v>
      </c>
      <c r="S1715" s="116" t="n">
        <v>1763</v>
      </c>
      <c r="T1715" s="116" t="n">
        <v>1158</v>
      </c>
      <c r="U1715" s="117">
        <f>IFERROR(S1715/T1715,"")</f>
        <v/>
      </c>
      <c r="V1715" s="116" t="n">
        <v>21</v>
      </c>
      <c r="W1715" s="116" t="n">
        <v>17</v>
      </c>
      <c r="X1715" s="118">
        <f>IFERROR(W1715/S1715,"")</f>
        <v/>
      </c>
      <c r="Y1715" s="115">
        <f>IFERROR(R1715/W1715,"")</f>
        <v/>
      </c>
      <c r="Z1715" s="115">
        <f>IFERROR(R1715/S1715*1000,"")</f>
        <v/>
      </c>
      <c r="AA1715" s="116" t="n">
        <v>13</v>
      </c>
      <c r="AB1715" s="47">
        <f>IFERROR(AA1715/W1715,"")</f>
        <v/>
      </c>
      <c r="AC1715" s="116" t="n">
        <v>465</v>
      </c>
      <c r="AD1715" s="116" t="n">
        <v>284</v>
      </c>
      <c r="AE1715" s="116" t="n">
        <v>213</v>
      </c>
      <c r="AF1715" s="116" t="n">
        <v>120</v>
      </c>
      <c r="AG1715" s="116" t="n">
        <v>76</v>
      </c>
      <c r="AH1715" s="116" t="n">
        <v>50</v>
      </c>
      <c r="AI1715" s="47">
        <f>IFERROR(AC1715/S1715,"")</f>
        <v/>
      </c>
      <c r="AJ1715" s="47">
        <f>IFERROR(AH1715/S1715,"")</f>
        <v/>
      </c>
      <c r="AK1715" s="116" t="n">
        <v>32</v>
      </c>
      <c r="AL1715" s="116" t="n">
        <v>1</v>
      </c>
      <c r="AM1715" s="118">
        <f>IFERROR(AL1715/AA1715,"")</f>
        <v/>
      </c>
      <c r="AN1715" s="119">
        <f>IFERROR(R1715/AL1715,"")</f>
        <v/>
      </c>
      <c r="AO1715" s="116" t="n">
        <v>1</v>
      </c>
      <c r="AP1715" s="47">
        <f>IFERROR(AO1715/AL1715,"")</f>
        <v/>
      </c>
      <c r="AQ1715" s="119">
        <f>IFERROR(R1715/AO1715,"")</f>
        <v/>
      </c>
      <c r="AR1715" s="116" t="n">
        <v>0</v>
      </c>
      <c r="AS1715" s="116" t="n">
        <v>0</v>
      </c>
      <c r="AT1715" s="116">
        <f>AL1715+AR1715</f>
        <v/>
      </c>
      <c r="AU1715" s="119">
        <f>IFERROR(AO1715*Assumptions!$C$26*Assumptions!$C$27*INDEX(Assumptions!$C$18:$C$21,MATCH(H1715,Assumptions!$B$18:$B$21,0)),0)</f>
        <v/>
      </c>
    </row>
    <row r="1716">
      <c r="A1716" s="114" t="n">
        <v>46245</v>
      </c>
      <c r="B1716" s="42" t="inlineStr">
        <is>
          <t>Wk 33</t>
        </is>
      </c>
      <c r="C1716" s="42" t="inlineStr">
        <is>
          <t>Tue</t>
        </is>
      </c>
      <c r="D1716" s="42" t="inlineStr">
        <is>
          <t>X</t>
        </is>
      </c>
      <c r="E1716" s="42" t="inlineStr">
        <is>
          <t>X (Twitter)</t>
        </is>
      </c>
      <c r="F1716" s="42" t="inlineStr">
        <is>
          <t>LEP_ZA_AUG26_X_RMKT_TD_CONV</t>
        </is>
      </c>
      <c r="G1716" s="42" t="inlineStr">
        <is>
          <t>Website Conversions</t>
        </is>
      </c>
      <c r="H1716" s="42" t="inlineStr">
        <is>
          <t>Range</t>
        </is>
      </c>
      <c r="I1716" s="42" t="inlineStr">
        <is>
          <t>Range Offer</t>
        </is>
      </c>
      <c r="J1716" s="42" t="inlineStr">
        <is>
          <t>X_LAL_FOLLOWER_ZA</t>
        </is>
      </c>
      <c r="K1716" s="42" t="inlineStr">
        <is>
          <t>Lookalike</t>
        </is>
      </c>
      <c r="L1716" s="42" t="inlineStr">
        <is>
          <t>X_VID_15s_RangeFilm_v1</t>
        </is>
      </c>
      <c r="M1716" s="42" t="inlineStr">
        <is>
          <t>Video 16:9</t>
        </is>
      </c>
      <c r="N1716" s="42" t="inlineStr">
        <is>
          <t>Meet the Lepas range</t>
        </is>
      </c>
      <c r="O1716" s="42" t="inlineStr">
        <is>
          <t>Auction - Lowest Cost</t>
        </is>
      </c>
      <c r="P1716" s="42" t="inlineStr">
        <is>
          <t>Site Visit / Conversion</t>
        </is>
      </c>
      <c r="Q1716" s="42" t="inlineStr">
        <is>
          <t>https://www.lepas-sa.co.za/offers</t>
        </is>
      </c>
      <c r="R1716" s="115" t="n">
        <v>90.56</v>
      </c>
      <c r="S1716" s="116" t="n">
        <v>1330</v>
      </c>
      <c r="T1716" s="116" t="n">
        <v>965</v>
      </c>
      <c r="U1716" s="117">
        <f>IFERROR(S1716/T1716,"")</f>
        <v/>
      </c>
      <c r="V1716" s="116" t="n">
        <v>11</v>
      </c>
      <c r="W1716" s="116" t="n">
        <v>9</v>
      </c>
      <c r="X1716" s="118">
        <f>IFERROR(W1716/S1716,"")</f>
        <v/>
      </c>
      <c r="Y1716" s="115">
        <f>IFERROR(R1716/W1716,"")</f>
        <v/>
      </c>
      <c r="Z1716" s="115">
        <f>IFERROR(R1716/S1716*1000,"")</f>
        <v/>
      </c>
      <c r="AA1716" s="116" t="n">
        <v>8</v>
      </c>
      <c r="AB1716" s="47">
        <f>IFERROR(AA1716/W1716,"")</f>
        <v/>
      </c>
      <c r="AC1716" s="116" t="n">
        <v>518</v>
      </c>
      <c r="AD1716" s="116" t="n">
        <v>234</v>
      </c>
      <c r="AE1716" s="116" t="n">
        <v>199</v>
      </c>
      <c r="AF1716" s="116" t="n">
        <v>115</v>
      </c>
      <c r="AG1716" s="116" t="n">
        <v>87</v>
      </c>
      <c r="AH1716" s="116" t="n">
        <v>48</v>
      </c>
      <c r="AI1716" s="47">
        <f>IFERROR(AC1716/S1716,"")</f>
        <v/>
      </c>
      <c r="AJ1716" s="47">
        <f>IFERROR(AH1716/S1716,"")</f>
        <v/>
      </c>
      <c r="AK1716" s="116" t="n">
        <v>20</v>
      </c>
      <c r="AL1716" s="116" t="n">
        <v>0</v>
      </c>
      <c r="AM1716" s="118">
        <f>IFERROR(AL1716/AA1716,"")</f>
        <v/>
      </c>
      <c r="AN1716" s="119">
        <f>IFERROR(R1716/AL1716,"")</f>
        <v/>
      </c>
      <c r="AO1716" s="116" t="n">
        <v>0</v>
      </c>
      <c r="AP1716" s="47">
        <f>IFERROR(AO1716/AL1716,"")</f>
        <v/>
      </c>
      <c r="AQ1716" s="119">
        <f>IFERROR(R1716/AO1716,"")</f>
        <v/>
      </c>
      <c r="AR1716" s="116" t="n">
        <v>0</v>
      </c>
      <c r="AS1716" s="116" t="n">
        <v>0</v>
      </c>
      <c r="AT1716" s="116">
        <f>AL1716+AR1716</f>
        <v/>
      </c>
      <c r="AU1716" s="119">
        <f>IFERROR(AO1716*Assumptions!$C$26*Assumptions!$C$27*INDEX(Assumptions!$C$18:$C$21,MATCH(H1716,Assumptions!$B$18:$B$21,0)),0)</f>
        <v/>
      </c>
    </row>
    <row r="1717">
      <c r="A1717" s="114" t="n">
        <v>46246</v>
      </c>
      <c r="B1717" s="42" t="inlineStr">
        <is>
          <t>Wk 33</t>
        </is>
      </c>
      <c r="C1717" s="42" t="inlineStr">
        <is>
          <t>Wed</t>
        </is>
      </c>
      <c r="D1717" s="42" t="inlineStr">
        <is>
          <t>X</t>
        </is>
      </c>
      <c r="E1717" s="42" t="inlineStr">
        <is>
          <t>X (Twitter)</t>
        </is>
      </c>
      <c r="F1717" s="42" t="inlineStr">
        <is>
          <t>LEP_ZA_AUG26_X_RMKT_TD_CONV</t>
        </is>
      </c>
      <c r="G1717" s="42" t="inlineStr">
        <is>
          <t>Website Conversions</t>
        </is>
      </c>
      <c r="H1717" s="42" t="inlineStr">
        <is>
          <t>Range</t>
        </is>
      </c>
      <c r="I1717" s="42" t="inlineStr">
        <is>
          <t>Range Offer</t>
        </is>
      </c>
      <c r="J1717" s="42" t="inlineStr">
        <is>
          <t>X_LAL_FOLLOWER_ZA</t>
        </is>
      </c>
      <c r="K1717" s="42" t="inlineStr">
        <is>
          <t>Lookalike</t>
        </is>
      </c>
      <c r="L1717" s="42" t="inlineStr">
        <is>
          <t>X_VID_15s_RangeFilm_v1</t>
        </is>
      </c>
      <c r="M1717" s="42" t="inlineStr">
        <is>
          <t>Video 16:9</t>
        </is>
      </c>
      <c r="N1717" s="42" t="inlineStr">
        <is>
          <t>Meet the Lepas range</t>
        </is>
      </c>
      <c r="O1717" s="42" t="inlineStr">
        <is>
          <t>Auction - Lowest Cost</t>
        </is>
      </c>
      <c r="P1717" s="42" t="inlineStr">
        <is>
          <t>Site Visit / Conversion</t>
        </is>
      </c>
      <c r="Q1717" s="42" t="inlineStr">
        <is>
          <t>https://www.lepas-sa.co.za/offers</t>
        </is>
      </c>
      <c r="R1717" s="115" t="n">
        <v>95.39</v>
      </c>
      <c r="S1717" s="116" t="n">
        <v>1231</v>
      </c>
      <c r="T1717" s="116" t="n">
        <v>776</v>
      </c>
      <c r="U1717" s="117">
        <f>IFERROR(S1717/T1717,"")</f>
        <v/>
      </c>
      <c r="V1717" s="116" t="n">
        <v>9</v>
      </c>
      <c r="W1717" s="116" t="n">
        <v>7</v>
      </c>
      <c r="X1717" s="118">
        <f>IFERROR(W1717/S1717,"")</f>
        <v/>
      </c>
      <c r="Y1717" s="115">
        <f>IFERROR(R1717/W1717,"")</f>
        <v/>
      </c>
      <c r="Z1717" s="115">
        <f>IFERROR(R1717/S1717*1000,"")</f>
        <v/>
      </c>
      <c r="AA1717" s="116" t="n">
        <v>6</v>
      </c>
      <c r="AB1717" s="47">
        <f>IFERROR(AA1717/W1717,"")</f>
        <v/>
      </c>
      <c r="AC1717" s="116" t="n">
        <v>274</v>
      </c>
      <c r="AD1717" s="116" t="n">
        <v>144</v>
      </c>
      <c r="AE1717" s="116" t="n">
        <v>100</v>
      </c>
      <c r="AF1717" s="116" t="n">
        <v>69</v>
      </c>
      <c r="AG1717" s="116" t="n">
        <v>48</v>
      </c>
      <c r="AH1717" s="116" t="n">
        <v>34</v>
      </c>
      <c r="AI1717" s="47">
        <f>IFERROR(AC1717/S1717,"")</f>
        <v/>
      </c>
      <c r="AJ1717" s="47">
        <f>IFERROR(AH1717/S1717,"")</f>
        <v/>
      </c>
      <c r="AK1717" s="116" t="n">
        <v>11</v>
      </c>
      <c r="AL1717" s="116" t="n">
        <v>0</v>
      </c>
      <c r="AM1717" s="118">
        <f>IFERROR(AL1717/AA1717,"")</f>
        <v/>
      </c>
      <c r="AN1717" s="119">
        <f>IFERROR(R1717/AL1717,"")</f>
        <v/>
      </c>
      <c r="AO1717" s="116" t="n">
        <v>0</v>
      </c>
      <c r="AP1717" s="47">
        <f>IFERROR(AO1717/AL1717,"")</f>
        <v/>
      </c>
      <c r="AQ1717" s="119">
        <f>IFERROR(R1717/AO1717,"")</f>
        <v/>
      </c>
      <c r="AR1717" s="116" t="n">
        <v>0</v>
      </c>
      <c r="AS1717" s="116" t="n">
        <v>0</v>
      </c>
      <c r="AT1717" s="116">
        <f>AL1717+AR1717</f>
        <v/>
      </c>
      <c r="AU1717" s="119">
        <f>IFERROR(AO1717*Assumptions!$C$26*Assumptions!$C$27*INDEX(Assumptions!$C$18:$C$21,MATCH(H1717,Assumptions!$B$18:$B$21,0)),0)</f>
        <v/>
      </c>
    </row>
    <row r="1718">
      <c r="A1718" s="114" t="n">
        <v>46247</v>
      </c>
      <c r="B1718" s="42" t="inlineStr">
        <is>
          <t>Wk 33</t>
        </is>
      </c>
      <c r="C1718" s="42" t="inlineStr">
        <is>
          <t>Thu</t>
        </is>
      </c>
      <c r="D1718" s="42" t="inlineStr">
        <is>
          <t>X</t>
        </is>
      </c>
      <c r="E1718" s="42" t="inlineStr">
        <is>
          <t>X (Twitter)</t>
        </is>
      </c>
      <c r="F1718" s="42" t="inlineStr">
        <is>
          <t>LEP_ZA_AUG26_X_RMKT_TD_CONV</t>
        </is>
      </c>
      <c r="G1718" s="42" t="inlineStr">
        <is>
          <t>Website Conversions</t>
        </is>
      </c>
      <c r="H1718" s="42" t="inlineStr">
        <is>
          <t>Range</t>
        </is>
      </c>
      <c r="I1718" s="42" t="inlineStr">
        <is>
          <t>Range Offer</t>
        </is>
      </c>
      <c r="J1718" s="42" t="inlineStr">
        <is>
          <t>X_LAL_FOLLOWER_ZA</t>
        </is>
      </c>
      <c r="K1718" s="42" t="inlineStr">
        <is>
          <t>Lookalike</t>
        </is>
      </c>
      <c r="L1718" s="42" t="inlineStr">
        <is>
          <t>X_VID_15s_RangeFilm_v1</t>
        </is>
      </c>
      <c r="M1718" s="42" t="inlineStr">
        <is>
          <t>Video 16:9</t>
        </is>
      </c>
      <c r="N1718" s="42" t="inlineStr">
        <is>
          <t>Meet the Lepas range</t>
        </is>
      </c>
      <c r="O1718" s="42" t="inlineStr">
        <is>
          <t>Auction - Lowest Cost</t>
        </is>
      </c>
      <c r="P1718" s="42" t="inlineStr">
        <is>
          <t>Site Visit / Conversion</t>
        </is>
      </c>
      <c r="Q1718" s="42" t="inlineStr">
        <is>
          <t>https://www.lepas-sa.co.za/offers</t>
        </is>
      </c>
      <c r="R1718" s="115" t="n">
        <v>100.2</v>
      </c>
      <c r="S1718" s="116" t="n">
        <v>1474</v>
      </c>
      <c r="T1718" s="116" t="n">
        <v>897</v>
      </c>
      <c r="U1718" s="117">
        <f>IFERROR(S1718/T1718,"")</f>
        <v/>
      </c>
      <c r="V1718" s="116" t="n">
        <v>14</v>
      </c>
      <c r="W1718" s="116" t="n">
        <v>11</v>
      </c>
      <c r="X1718" s="118">
        <f>IFERROR(W1718/S1718,"")</f>
        <v/>
      </c>
      <c r="Y1718" s="115">
        <f>IFERROR(R1718/W1718,"")</f>
        <v/>
      </c>
      <c r="Z1718" s="115">
        <f>IFERROR(R1718/S1718*1000,"")</f>
        <v/>
      </c>
      <c r="AA1718" s="116" t="n">
        <v>8</v>
      </c>
      <c r="AB1718" s="47">
        <f>IFERROR(AA1718/W1718,"")</f>
        <v/>
      </c>
      <c r="AC1718" s="116" t="n">
        <v>563</v>
      </c>
      <c r="AD1718" s="116" t="n">
        <v>251</v>
      </c>
      <c r="AE1718" s="116" t="n">
        <v>221</v>
      </c>
      <c r="AF1718" s="116" t="n">
        <v>127</v>
      </c>
      <c r="AG1718" s="116" t="n">
        <v>91</v>
      </c>
      <c r="AH1718" s="116" t="n">
        <v>67</v>
      </c>
      <c r="AI1718" s="47">
        <f>IFERROR(AC1718/S1718,"")</f>
        <v/>
      </c>
      <c r="AJ1718" s="47">
        <f>IFERROR(AH1718/S1718,"")</f>
        <v/>
      </c>
      <c r="AK1718" s="116" t="n">
        <v>18</v>
      </c>
      <c r="AL1718" s="116" t="n">
        <v>0</v>
      </c>
      <c r="AM1718" s="118">
        <f>IFERROR(AL1718/AA1718,"")</f>
        <v/>
      </c>
      <c r="AN1718" s="119">
        <f>IFERROR(R1718/AL1718,"")</f>
        <v/>
      </c>
      <c r="AO1718" s="116" t="n">
        <v>0</v>
      </c>
      <c r="AP1718" s="47">
        <f>IFERROR(AO1718/AL1718,"")</f>
        <v/>
      </c>
      <c r="AQ1718" s="119">
        <f>IFERROR(R1718/AO1718,"")</f>
        <v/>
      </c>
      <c r="AR1718" s="116" t="n">
        <v>0</v>
      </c>
      <c r="AS1718" s="116" t="n">
        <v>0</v>
      </c>
      <c r="AT1718" s="116">
        <f>AL1718+AR1718</f>
        <v/>
      </c>
      <c r="AU1718" s="119">
        <f>IFERROR(AO1718*Assumptions!$C$26*Assumptions!$C$27*INDEX(Assumptions!$C$18:$C$21,MATCH(H1718,Assumptions!$B$18:$B$21,0)),0)</f>
        <v/>
      </c>
    </row>
    <row r="1719">
      <c r="A1719" s="114" t="n">
        <v>46248</v>
      </c>
      <c r="B1719" s="42" t="inlineStr">
        <is>
          <t>Wk 33</t>
        </is>
      </c>
      <c r="C1719" s="42" t="inlineStr">
        <is>
          <t>Fri</t>
        </is>
      </c>
      <c r="D1719" s="42" t="inlineStr">
        <is>
          <t>X</t>
        </is>
      </c>
      <c r="E1719" s="42" t="inlineStr">
        <is>
          <t>X (Twitter)</t>
        </is>
      </c>
      <c r="F1719" s="42" t="inlineStr">
        <is>
          <t>LEP_ZA_AUG26_X_RMKT_TD_CONV</t>
        </is>
      </c>
      <c r="G1719" s="42" t="inlineStr">
        <is>
          <t>Website Conversions</t>
        </is>
      </c>
      <c r="H1719" s="42" t="inlineStr">
        <is>
          <t>Range</t>
        </is>
      </c>
      <c r="I1719" s="42" t="inlineStr">
        <is>
          <t>Range Offer</t>
        </is>
      </c>
      <c r="J1719" s="42" t="inlineStr">
        <is>
          <t>X_LAL_FOLLOWER_ZA</t>
        </is>
      </c>
      <c r="K1719" s="42" t="inlineStr">
        <is>
          <t>Lookalike</t>
        </is>
      </c>
      <c r="L1719" s="42" t="inlineStr">
        <is>
          <t>X_VID_15s_RangeFilm_v1</t>
        </is>
      </c>
      <c r="M1719" s="42" t="inlineStr">
        <is>
          <t>Video 16:9</t>
        </is>
      </c>
      <c r="N1719" s="42" t="inlineStr">
        <is>
          <t>Meet the Lepas range</t>
        </is>
      </c>
      <c r="O1719" s="42" t="inlineStr">
        <is>
          <t>Auction - Lowest Cost</t>
        </is>
      </c>
      <c r="P1719" s="42" t="inlineStr">
        <is>
          <t>Site Visit / Conversion</t>
        </is>
      </c>
      <c r="Q1719" s="42" t="inlineStr">
        <is>
          <t>https://www.lepas-sa.co.za/offers</t>
        </is>
      </c>
      <c r="R1719" s="115" t="n">
        <v>103.68</v>
      </c>
      <c r="S1719" s="116" t="n">
        <v>1627</v>
      </c>
      <c r="T1719" s="116" t="n">
        <v>951</v>
      </c>
      <c r="U1719" s="117">
        <f>IFERROR(S1719/T1719,"")</f>
        <v/>
      </c>
      <c r="V1719" s="116" t="n">
        <v>15</v>
      </c>
      <c r="W1719" s="116" t="n">
        <v>11</v>
      </c>
      <c r="X1719" s="118">
        <f>IFERROR(W1719/S1719,"")</f>
        <v/>
      </c>
      <c r="Y1719" s="115">
        <f>IFERROR(R1719/W1719,"")</f>
        <v/>
      </c>
      <c r="Z1719" s="115">
        <f>IFERROR(R1719/S1719*1000,"")</f>
        <v/>
      </c>
      <c r="AA1719" s="116" t="n">
        <v>9</v>
      </c>
      <c r="AB1719" s="47">
        <f>IFERROR(AA1719/W1719,"")</f>
        <v/>
      </c>
      <c r="AC1719" s="116" t="n">
        <v>439</v>
      </c>
      <c r="AD1719" s="116" t="n">
        <v>224</v>
      </c>
      <c r="AE1719" s="116" t="n">
        <v>227</v>
      </c>
      <c r="AF1719" s="116" t="n">
        <v>127</v>
      </c>
      <c r="AG1719" s="116" t="n">
        <v>84</v>
      </c>
      <c r="AH1719" s="116" t="n">
        <v>49</v>
      </c>
      <c r="AI1719" s="47">
        <f>IFERROR(AC1719/S1719,"")</f>
        <v/>
      </c>
      <c r="AJ1719" s="47">
        <f>IFERROR(AH1719/S1719,"")</f>
        <v/>
      </c>
      <c r="AK1719" s="116" t="n">
        <v>15</v>
      </c>
      <c r="AL1719" s="116" t="n">
        <v>0</v>
      </c>
      <c r="AM1719" s="118">
        <f>IFERROR(AL1719/AA1719,"")</f>
        <v/>
      </c>
      <c r="AN1719" s="119">
        <f>IFERROR(R1719/AL1719,"")</f>
        <v/>
      </c>
      <c r="AO1719" s="116" t="n">
        <v>0</v>
      </c>
      <c r="AP1719" s="47">
        <f>IFERROR(AO1719/AL1719,"")</f>
        <v/>
      </c>
      <c r="AQ1719" s="119">
        <f>IFERROR(R1719/AO1719,"")</f>
        <v/>
      </c>
      <c r="AR1719" s="116" t="n">
        <v>0</v>
      </c>
      <c r="AS1719" s="116" t="n">
        <v>0</v>
      </c>
      <c r="AT1719" s="116">
        <f>AL1719+AR1719</f>
        <v/>
      </c>
      <c r="AU1719" s="119">
        <f>IFERROR(AO1719*Assumptions!$C$26*Assumptions!$C$27*INDEX(Assumptions!$C$18:$C$21,MATCH(H1719,Assumptions!$B$18:$B$21,0)),0)</f>
        <v/>
      </c>
    </row>
    <row r="1720">
      <c r="A1720" s="114" t="n">
        <v>46249</v>
      </c>
      <c r="B1720" s="42" t="inlineStr">
        <is>
          <t>Wk 33</t>
        </is>
      </c>
      <c r="C1720" s="42" t="inlineStr">
        <is>
          <t>Sat</t>
        </is>
      </c>
      <c r="D1720" s="42" t="inlineStr">
        <is>
          <t>X</t>
        </is>
      </c>
      <c r="E1720" s="42" t="inlineStr">
        <is>
          <t>X (Twitter)</t>
        </is>
      </c>
      <c r="F1720" s="42" t="inlineStr">
        <is>
          <t>LEP_ZA_AUG26_X_RMKT_TD_CONV</t>
        </is>
      </c>
      <c r="G1720" s="42" t="inlineStr">
        <is>
          <t>Website Conversions</t>
        </is>
      </c>
      <c r="H1720" s="42" t="inlineStr">
        <is>
          <t>Range</t>
        </is>
      </c>
      <c r="I1720" s="42" t="inlineStr">
        <is>
          <t>Range Offer</t>
        </is>
      </c>
      <c r="J1720" s="42" t="inlineStr">
        <is>
          <t>X_LAL_FOLLOWER_ZA</t>
        </is>
      </c>
      <c r="K1720" s="42" t="inlineStr">
        <is>
          <t>Lookalike</t>
        </is>
      </c>
      <c r="L1720" s="42" t="inlineStr">
        <is>
          <t>X_VID_15s_RangeFilm_v1</t>
        </is>
      </c>
      <c r="M1720" s="42" t="inlineStr">
        <is>
          <t>Video 16:9</t>
        </is>
      </c>
      <c r="N1720" s="42" t="inlineStr">
        <is>
          <t>Meet the Lepas range</t>
        </is>
      </c>
      <c r="O1720" s="42" t="inlineStr">
        <is>
          <t>Auction - Lowest Cost</t>
        </is>
      </c>
      <c r="P1720" s="42" t="inlineStr">
        <is>
          <t>Site Visit / Conversion</t>
        </is>
      </c>
      <c r="Q1720" s="42" t="inlineStr">
        <is>
          <t>https://www.lepas-sa.co.za/offers</t>
        </is>
      </c>
      <c r="R1720" s="115" t="n">
        <v>103.76</v>
      </c>
      <c r="S1720" s="116" t="n">
        <v>1754</v>
      </c>
      <c r="T1720" s="116" t="n">
        <v>1282</v>
      </c>
      <c r="U1720" s="117">
        <f>IFERROR(S1720/T1720,"")</f>
        <v/>
      </c>
      <c r="V1720" s="116" t="n">
        <v>11</v>
      </c>
      <c r="W1720" s="116" t="n">
        <v>9</v>
      </c>
      <c r="X1720" s="118">
        <f>IFERROR(W1720/S1720,"")</f>
        <v/>
      </c>
      <c r="Y1720" s="115">
        <f>IFERROR(R1720/W1720,"")</f>
        <v/>
      </c>
      <c r="Z1720" s="115">
        <f>IFERROR(R1720/S1720*1000,"")</f>
        <v/>
      </c>
      <c r="AA1720" s="116" t="n">
        <v>7</v>
      </c>
      <c r="AB1720" s="47">
        <f>IFERROR(AA1720/W1720,"")</f>
        <v/>
      </c>
      <c r="AC1720" s="116" t="n">
        <v>401</v>
      </c>
      <c r="AD1720" s="116" t="n">
        <v>180</v>
      </c>
      <c r="AE1720" s="116" t="n">
        <v>169</v>
      </c>
      <c r="AF1720" s="116" t="n">
        <v>112</v>
      </c>
      <c r="AG1720" s="116" t="n">
        <v>75</v>
      </c>
      <c r="AH1720" s="116" t="n">
        <v>49</v>
      </c>
      <c r="AI1720" s="47">
        <f>IFERROR(AC1720/S1720,"")</f>
        <v/>
      </c>
      <c r="AJ1720" s="47">
        <f>IFERROR(AH1720/S1720,"")</f>
        <v/>
      </c>
      <c r="AK1720" s="116" t="n">
        <v>20</v>
      </c>
      <c r="AL1720" s="116" t="n">
        <v>0</v>
      </c>
      <c r="AM1720" s="118">
        <f>IFERROR(AL1720/AA1720,"")</f>
        <v/>
      </c>
      <c r="AN1720" s="119">
        <f>IFERROR(R1720/AL1720,"")</f>
        <v/>
      </c>
      <c r="AO1720" s="116" t="n">
        <v>0</v>
      </c>
      <c r="AP1720" s="47">
        <f>IFERROR(AO1720/AL1720,"")</f>
        <v/>
      </c>
      <c r="AQ1720" s="119">
        <f>IFERROR(R1720/AO1720,"")</f>
        <v/>
      </c>
      <c r="AR1720" s="116" t="n">
        <v>0</v>
      </c>
      <c r="AS1720" s="116" t="n">
        <v>0</v>
      </c>
      <c r="AT1720" s="116">
        <f>AL1720+AR1720</f>
        <v/>
      </c>
      <c r="AU1720" s="119">
        <f>IFERROR(AO1720*Assumptions!$C$26*Assumptions!$C$27*INDEX(Assumptions!$C$18:$C$21,MATCH(H1720,Assumptions!$B$18:$B$21,0)),0)</f>
        <v/>
      </c>
    </row>
    <row r="1721">
      <c r="A1721" s="114" t="n">
        <v>46250</v>
      </c>
      <c r="B1721" s="42" t="inlineStr">
        <is>
          <t>Wk 33</t>
        </is>
      </c>
      <c r="C1721" s="42" t="inlineStr">
        <is>
          <t>Sun</t>
        </is>
      </c>
      <c r="D1721" s="42" t="inlineStr">
        <is>
          <t>X</t>
        </is>
      </c>
      <c r="E1721" s="42" t="inlineStr">
        <is>
          <t>X (Twitter)</t>
        </is>
      </c>
      <c r="F1721" s="42" t="inlineStr">
        <is>
          <t>LEP_ZA_AUG26_X_RMKT_TD_CONV</t>
        </is>
      </c>
      <c r="G1721" s="42" t="inlineStr">
        <is>
          <t>Website Conversions</t>
        </is>
      </c>
      <c r="H1721" s="42" t="inlineStr">
        <is>
          <t>Range</t>
        </is>
      </c>
      <c r="I1721" s="42" t="inlineStr">
        <is>
          <t>Range Offer</t>
        </is>
      </c>
      <c r="J1721" s="42" t="inlineStr">
        <is>
          <t>X_LAL_FOLLOWER_ZA</t>
        </is>
      </c>
      <c r="K1721" s="42" t="inlineStr">
        <is>
          <t>Lookalike</t>
        </is>
      </c>
      <c r="L1721" s="42" t="inlineStr">
        <is>
          <t>X_VID_15s_RangeFilm_v1</t>
        </is>
      </c>
      <c r="M1721" s="42" t="inlineStr">
        <is>
          <t>Video 16:9</t>
        </is>
      </c>
      <c r="N1721" s="42" t="inlineStr">
        <is>
          <t>Meet the Lepas range</t>
        </is>
      </c>
      <c r="O1721" s="42" t="inlineStr">
        <is>
          <t>Auction - Lowest Cost</t>
        </is>
      </c>
      <c r="P1721" s="42" t="inlineStr">
        <is>
          <t>Site Visit / Conversion</t>
        </is>
      </c>
      <c r="Q1721" s="42" t="inlineStr">
        <is>
          <t>https://www.lepas-sa.co.za/offers</t>
        </is>
      </c>
      <c r="R1721" s="115" t="n">
        <v>91.53</v>
      </c>
      <c r="S1721" s="116" t="n">
        <v>1346</v>
      </c>
      <c r="T1721" s="116" t="n">
        <v>972</v>
      </c>
      <c r="U1721" s="117">
        <f>IFERROR(S1721/T1721,"")</f>
        <v/>
      </c>
      <c r="V1721" s="116" t="n">
        <v>10</v>
      </c>
      <c r="W1721" s="116" t="n">
        <v>8</v>
      </c>
      <c r="X1721" s="118">
        <f>IFERROR(W1721/S1721,"")</f>
        <v/>
      </c>
      <c r="Y1721" s="115">
        <f>IFERROR(R1721/W1721,"")</f>
        <v/>
      </c>
      <c r="Z1721" s="115">
        <f>IFERROR(R1721/S1721*1000,"")</f>
        <v/>
      </c>
      <c r="AA1721" s="116" t="n">
        <v>6</v>
      </c>
      <c r="AB1721" s="47">
        <f>IFERROR(AA1721/W1721,"")</f>
        <v/>
      </c>
      <c r="AC1721" s="116" t="n">
        <v>417</v>
      </c>
      <c r="AD1721" s="116" t="n">
        <v>233</v>
      </c>
      <c r="AE1721" s="116" t="n">
        <v>214</v>
      </c>
      <c r="AF1721" s="116" t="n">
        <v>150</v>
      </c>
      <c r="AG1721" s="116" t="n">
        <v>99</v>
      </c>
      <c r="AH1721" s="116" t="n">
        <v>63</v>
      </c>
      <c r="AI1721" s="47">
        <f>IFERROR(AC1721/S1721,"")</f>
        <v/>
      </c>
      <c r="AJ1721" s="47">
        <f>IFERROR(AH1721/S1721,"")</f>
        <v/>
      </c>
      <c r="AK1721" s="116" t="n">
        <v>35</v>
      </c>
      <c r="AL1721" s="116" t="n">
        <v>0</v>
      </c>
      <c r="AM1721" s="118">
        <f>IFERROR(AL1721/AA1721,"")</f>
        <v/>
      </c>
      <c r="AN1721" s="119">
        <f>IFERROR(R1721/AL1721,"")</f>
        <v/>
      </c>
      <c r="AO1721" s="116" t="n">
        <v>0</v>
      </c>
      <c r="AP1721" s="47">
        <f>IFERROR(AO1721/AL1721,"")</f>
        <v/>
      </c>
      <c r="AQ1721" s="119">
        <f>IFERROR(R1721/AO1721,"")</f>
        <v/>
      </c>
      <c r="AR1721" s="116" t="n">
        <v>0</v>
      </c>
      <c r="AS1721" s="116" t="n">
        <v>0</v>
      </c>
      <c r="AT1721" s="116">
        <f>AL1721+AR1721</f>
        <v/>
      </c>
      <c r="AU1721" s="119">
        <f>IFERROR(AO1721*Assumptions!$C$26*Assumptions!$C$27*INDEX(Assumptions!$C$18:$C$21,MATCH(H1721,Assumptions!$B$18:$B$21,0)),0)</f>
        <v/>
      </c>
    </row>
    <row r="1722">
      <c r="A1722" s="114" t="n">
        <v>46251</v>
      </c>
      <c r="B1722" s="42" t="inlineStr">
        <is>
          <t>Wk 34</t>
        </is>
      </c>
      <c r="C1722" s="42" t="inlineStr">
        <is>
          <t>Mon</t>
        </is>
      </c>
      <c r="D1722" s="42" t="inlineStr">
        <is>
          <t>X</t>
        </is>
      </c>
      <c r="E1722" s="42" t="inlineStr">
        <is>
          <t>X (Twitter)</t>
        </is>
      </c>
      <c r="F1722" s="42" t="inlineStr">
        <is>
          <t>LEP_ZA_AUG26_X_RMKT_TD_CONV</t>
        </is>
      </c>
      <c r="G1722" s="42" t="inlineStr">
        <is>
          <t>Website Conversions</t>
        </is>
      </c>
      <c r="H1722" s="42" t="inlineStr">
        <is>
          <t>Range</t>
        </is>
      </c>
      <c r="I1722" s="42" t="inlineStr">
        <is>
          <t>Range Offer</t>
        </is>
      </c>
      <c r="J1722" s="42" t="inlineStr">
        <is>
          <t>X_LAL_FOLLOWER_ZA</t>
        </is>
      </c>
      <c r="K1722" s="42" t="inlineStr">
        <is>
          <t>Lookalike</t>
        </is>
      </c>
      <c r="L1722" s="42" t="inlineStr">
        <is>
          <t>X_VID_15s_RangeFilm_v1</t>
        </is>
      </c>
      <c r="M1722" s="42" t="inlineStr">
        <is>
          <t>Video 16:9</t>
        </is>
      </c>
      <c r="N1722" s="42" t="inlineStr">
        <is>
          <t>Meet the Lepas range</t>
        </is>
      </c>
      <c r="O1722" s="42" t="inlineStr">
        <is>
          <t>Auction - Lowest Cost</t>
        </is>
      </c>
      <c r="P1722" s="42" t="inlineStr">
        <is>
          <t>Site Visit / Conversion</t>
        </is>
      </c>
      <c r="Q1722" s="42" t="inlineStr">
        <is>
          <t>https://www.lepas-sa.co.za/offers</t>
        </is>
      </c>
      <c r="R1722" s="115" t="n">
        <v>84.53</v>
      </c>
      <c r="S1722" s="116" t="n">
        <v>1317</v>
      </c>
      <c r="T1722" s="116" t="n">
        <v>837</v>
      </c>
      <c r="U1722" s="117">
        <f>IFERROR(S1722/T1722,"")</f>
        <v/>
      </c>
      <c r="V1722" s="116" t="n">
        <v>11</v>
      </c>
      <c r="W1722" s="116" t="n">
        <v>8</v>
      </c>
      <c r="X1722" s="118">
        <f>IFERROR(W1722/S1722,"")</f>
        <v/>
      </c>
      <c r="Y1722" s="115">
        <f>IFERROR(R1722/W1722,"")</f>
        <v/>
      </c>
      <c r="Z1722" s="115">
        <f>IFERROR(R1722/S1722*1000,"")</f>
        <v/>
      </c>
      <c r="AA1722" s="116" t="n">
        <v>6</v>
      </c>
      <c r="AB1722" s="47">
        <f>IFERROR(AA1722/W1722,"")</f>
        <v/>
      </c>
      <c r="AC1722" s="116" t="n">
        <v>318</v>
      </c>
      <c r="AD1722" s="116" t="n">
        <v>160</v>
      </c>
      <c r="AE1722" s="116" t="n">
        <v>134</v>
      </c>
      <c r="AF1722" s="116" t="n">
        <v>79</v>
      </c>
      <c r="AG1722" s="116" t="n">
        <v>56</v>
      </c>
      <c r="AH1722" s="116" t="n">
        <v>39</v>
      </c>
      <c r="AI1722" s="47">
        <f>IFERROR(AC1722/S1722,"")</f>
        <v/>
      </c>
      <c r="AJ1722" s="47">
        <f>IFERROR(AH1722/S1722,"")</f>
        <v/>
      </c>
      <c r="AK1722" s="116" t="n">
        <v>24</v>
      </c>
      <c r="AL1722" s="116" t="n">
        <v>0</v>
      </c>
      <c r="AM1722" s="118">
        <f>IFERROR(AL1722/AA1722,"")</f>
        <v/>
      </c>
      <c r="AN1722" s="119">
        <f>IFERROR(R1722/AL1722,"")</f>
        <v/>
      </c>
      <c r="AO1722" s="116" t="n">
        <v>0</v>
      </c>
      <c r="AP1722" s="47">
        <f>IFERROR(AO1722/AL1722,"")</f>
        <v/>
      </c>
      <c r="AQ1722" s="119">
        <f>IFERROR(R1722/AO1722,"")</f>
        <v/>
      </c>
      <c r="AR1722" s="116" t="n">
        <v>0</v>
      </c>
      <c r="AS1722" s="116" t="n">
        <v>0</v>
      </c>
      <c r="AT1722" s="116">
        <f>AL1722+AR1722</f>
        <v/>
      </c>
      <c r="AU1722" s="119">
        <f>IFERROR(AO1722*Assumptions!$C$26*Assumptions!$C$27*INDEX(Assumptions!$C$18:$C$21,MATCH(H1722,Assumptions!$B$18:$B$21,0)),0)</f>
        <v/>
      </c>
    </row>
    <row r="1723">
      <c r="A1723" s="114" t="n">
        <v>46252</v>
      </c>
      <c r="B1723" s="42" t="inlineStr">
        <is>
          <t>Wk 34</t>
        </is>
      </c>
      <c r="C1723" s="42" t="inlineStr">
        <is>
          <t>Tue</t>
        </is>
      </c>
      <c r="D1723" s="42" t="inlineStr">
        <is>
          <t>X</t>
        </is>
      </c>
      <c r="E1723" s="42" t="inlineStr">
        <is>
          <t>X (Twitter)</t>
        </is>
      </c>
      <c r="F1723" s="42" t="inlineStr">
        <is>
          <t>LEP_ZA_AUG26_X_RMKT_TD_CONV</t>
        </is>
      </c>
      <c r="G1723" s="42" t="inlineStr">
        <is>
          <t>Website Conversions</t>
        </is>
      </c>
      <c r="H1723" s="42" t="inlineStr">
        <is>
          <t>Range</t>
        </is>
      </c>
      <c r="I1723" s="42" t="inlineStr">
        <is>
          <t>Range Offer</t>
        </is>
      </c>
      <c r="J1723" s="42" t="inlineStr">
        <is>
          <t>X_LAL_FOLLOWER_ZA</t>
        </is>
      </c>
      <c r="K1723" s="42" t="inlineStr">
        <is>
          <t>Lookalike</t>
        </is>
      </c>
      <c r="L1723" s="42" t="inlineStr">
        <is>
          <t>X_VID_15s_RangeFilm_v1</t>
        </is>
      </c>
      <c r="M1723" s="42" t="inlineStr">
        <is>
          <t>Video 16:9</t>
        </is>
      </c>
      <c r="N1723" s="42" t="inlineStr">
        <is>
          <t>Meet the Lepas range</t>
        </is>
      </c>
      <c r="O1723" s="42" t="inlineStr">
        <is>
          <t>Auction - Lowest Cost</t>
        </is>
      </c>
      <c r="P1723" s="42" t="inlineStr">
        <is>
          <t>Site Visit / Conversion</t>
        </is>
      </c>
      <c r="Q1723" s="42" t="inlineStr">
        <is>
          <t>https://www.lepas-sa.co.za/offers</t>
        </is>
      </c>
      <c r="R1723" s="115" t="n">
        <v>98.05</v>
      </c>
      <c r="S1723" s="116" t="n">
        <v>1623</v>
      </c>
      <c r="T1723" s="116" t="n">
        <v>1158</v>
      </c>
      <c r="U1723" s="117">
        <f>IFERROR(S1723/T1723,"")</f>
        <v/>
      </c>
      <c r="V1723" s="116" t="n">
        <v>16</v>
      </c>
      <c r="W1723" s="116" t="n">
        <v>14</v>
      </c>
      <c r="X1723" s="118">
        <f>IFERROR(W1723/S1723,"")</f>
        <v/>
      </c>
      <c r="Y1723" s="115">
        <f>IFERROR(R1723/W1723,"")</f>
        <v/>
      </c>
      <c r="Z1723" s="115">
        <f>IFERROR(R1723/S1723*1000,"")</f>
        <v/>
      </c>
      <c r="AA1723" s="116" t="n">
        <v>10</v>
      </c>
      <c r="AB1723" s="47">
        <f>IFERROR(AA1723/W1723,"")</f>
        <v/>
      </c>
      <c r="AC1723" s="116" t="n">
        <v>494</v>
      </c>
      <c r="AD1723" s="116" t="n">
        <v>260</v>
      </c>
      <c r="AE1723" s="116" t="n">
        <v>209</v>
      </c>
      <c r="AF1723" s="116" t="n">
        <v>144</v>
      </c>
      <c r="AG1723" s="116" t="n">
        <v>103</v>
      </c>
      <c r="AH1723" s="116" t="n">
        <v>70</v>
      </c>
      <c r="AI1723" s="47">
        <f>IFERROR(AC1723/S1723,"")</f>
        <v/>
      </c>
      <c r="AJ1723" s="47">
        <f>IFERROR(AH1723/S1723,"")</f>
        <v/>
      </c>
      <c r="AK1723" s="116" t="n">
        <v>40</v>
      </c>
      <c r="AL1723" s="116" t="n">
        <v>0</v>
      </c>
      <c r="AM1723" s="118">
        <f>IFERROR(AL1723/AA1723,"")</f>
        <v/>
      </c>
      <c r="AN1723" s="119">
        <f>IFERROR(R1723/AL1723,"")</f>
        <v/>
      </c>
      <c r="AO1723" s="116" t="n">
        <v>0</v>
      </c>
      <c r="AP1723" s="47">
        <f>IFERROR(AO1723/AL1723,"")</f>
        <v/>
      </c>
      <c r="AQ1723" s="119">
        <f>IFERROR(R1723/AO1723,"")</f>
        <v/>
      </c>
      <c r="AR1723" s="116" t="n">
        <v>0</v>
      </c>
      <c r="AS1723" s="116" t="n">
        <v>0</v>
      </c>
      <c r="AT1723" s="116">
        <f>AL1723+AR1723</f>
        <v/>
      </c>
      <c r="AU1723" s="119">
        <f>IFERROR(AO1723*Assumptions!$C$26*Assumptions!$C$27*INDEX(Assumptions!$C$18:$C$21,MATCH(H1723,Assumptions!$B$18:$B$21,0)),0)</f>
        <v/>
      </c>
    </row>
    <row r="1724">
      <c r="A1724" s="114" t="n">
        <v>46253</v>
      </c>
      <c r="B1724" s="42" t="inlineStr">
        <is>
          <t>Wk 34</t>
        </is>
      </c>
      <c r="C1724" s="42" t="inlineStr">
        <is>
          <t>Wed</t>
        </is>
      </c>
      <c r="D1724" s="42" t="inlineStr">
        <is>
          <t>X</t>
        </is>
      </c>
      <c r="E1724" s="42" t="inlineStr">
        <is>
          <t>X (Twitter)</t>
        </is>
      </c>
      <c r="F1724" s="42" t="inlineStr">
        <is>
          <t>LEP_ZA_AUG26_X_RMKT_TD_CONV</t>
        </is>
      </c>
      <c r="G1724" s="42" t="inlineStr">
        <is>
          <t>Website Conversions</t>
        </is>
      </c>
      <c r="H1724" s="42" t="inlineStr">
        <is>
          <t>Range</t>
        </is>
      </c>
      <c r="I1724" s="42" t="inlineStr">
        <is>
          <t>Range Offer</t>
        </is>
      </c>
      <c r="J1724" s="42" t="inlineStr">
        <is>
          <t>X_LAL_FOLLOWER_ZA</t>
        </is>
      </c>
      <c r="K1724" s="42" t="inlineStr">
        <is>
          <t>Lookalike</t>
        </is>
      </c>
      <c r="L1724" s="42" t="inlineStr">
        <is>
          <t>X_VID_15s_RangeFilm_v1</t>
        </is>
      </c>
      <c r="M1724" s="42" t="inlineStr">
        <is>
          <t>Video 16:9</t>
        </is>
      </c>
      <c r="N1724" s="42" t="inlineStr">
        <is>
          <t>Meet the Lepas range</t>
        </is>
      </c>
      <c r="O1724" s="42" t="inlineStr">
        <is>
          <t>Auction - Lowest Cost</t>
        </is>
      </c>
      <c r="P1724" s="42" t="inlineStr">
        <is>
          <t>Site Visit / Conversion</t>
        </is>
      </c>
      <c r="Q1724" s="42" t="inlineStr">
        <is>
          <t>https://www.lepas-sa.co.za/offers</t>
        </is>
      </c>
      <c r="R1724" s="115" t="n">
        <v>106.76</v>
      </c>
      <c r="S1724" s="116" t="n">
        <v>1549</v>
      </c>
      <c r="T1724" s="116" t="n">
        <v>871</v>
      </c>
      <c r="U1724" s="117">
        <f>IFERROR(S1724/T1724,"")</f>
        <v/>
      </c>
      <c r="V1724" s="116" t="n">
        <v>12</v>
      </c>
      <c r="W1724" s="116" t="n">
        <v>9</v>
      </c>
      <c r="X1724" s="118">
        <f>IFERROR(W1724/S1724,"")</f>
        <v/>
      </c>
      <c r="Y1724" s="115">
        <f>IFERROR(R1724/W1724,"")</f>
        <v/>
      </c>
      <c r="Z1724" s="115">
        <f>IFERROR(R1724/S1724*1000,"")</f>
        <v/>
      </c>
      <c r="AA1724" s="116" t="n">
        <v>6</v>
      </c>
      <c r="AB1724" s="47">
        <f>IFERROR(AA1724/W1724,"")</f>
        <v/>
      </c>
      <c r="AC1724" s="116" t="n">
        <v>366</v>
      </c>
      <c r="AD1724" s="116" t="n">
        <v>199</v>
      </c>
      <c r="AE1724" s="116" t="n">
        <v>180</v>
      </c>
      <c r="AF1724" s="116" t="n">
        <v>96</v>
      </c>
      <c r="AG1724" s="116" t="n">
        <v>70</v>
      </c>
      <c r="AH1724" s="116" t="n">
        <v>41</v>
      </c>
      <c r="AI1724" s="47">
        <f>IFERROR(AC1724/S1724,"")</f>
        <v/>
      </c>
      <c r="AJ1724" s="47">
        <f>IFERROR(AH1724/S1724,"")</f>
        <v/>
      </c>
      <c r="AK1724" s="116" t="n">
        <v>18</v>
      </c>
      <c r="AL1724" s="116" t="n">
        <v>0</v>
      </c>
      <c r="AM1724" s="118">
        <f>IFERROR(AL1724/AA1724,"")</f>
        <v/>
      </c>
      <c r="AN1724" s="119">
        <f>IFERROR(R1724/AL1724,"")</f>
        <v/>
      </c>
      <c r="AO1724" s="116" t="n">
        <v>0</v>
      </c>
      <c r="AP1724" s="47">
        <f>IFERROR(AO1724/AL1724,"")</f>
        <v/>
      </c>
      <c r="AQ1724" s="119">
        <f>IFERROR(R1724/AO1724,"")</f>
        <v/>
      </c>
      <c r="AR1724" s="116" t="n">
        <v>0</v>
      </c>
      <c r="AS1724" s="116" t="n">
        <v>0</v>
      </c>
      <c r="AT1724" s="116">
        <f>AL1724+AR1724</f>
        <v/>
      </c>
      <c r="AU1724" s="119">
        <f>IFERROR(AO1724*Assumptions!$C$26*Assumptions!$C$27*INDEX(Assumptions!$C$18:$C$21,MATCH(H1724,Assumptions!$B$18:$B$21,0)),0)</f>
        <v/>
      </c>
    </row>
    <row r="1725">
      <c r="A1725" s="114" t="n">
        <v>46254</v>
      </c>
      <c r="B1725" s="42" t="inlineStr">
        <is>
          <t>Wk 34</t>
        </is>
      </c>
      <c r="C1725" s="42" t="inlineStr">
        <is>
          <t>Thu</t>
        </is>
      </c>
      <c r="D1725" s="42" t="inlineStr">
        <is>
          <t>X</t>
        </is>
      </c>
      <c r="E1725" s="42" t="inlineStr">
        <is>
          <t>X (Twitter)</t>
        </is>
      </c>
      <c r="F1725" s="42" t="inlineStr">
        <is>
          <t>LEP_ZA_AUG26_X_RMKT_TD_CONV</t>
        </is>
      </c>
      <c r="G1725" s="42" t="inlineStr">
        <is>
          <t>Website Conversions</t>
        </is>
      </c>
      <c r="H1725" s="42" t="inlineStr">
        <is>
          <t>Range</t>
        </is>
      </c>
      <c r="I1725" s="42" t="inlineStr">
        <is>
          <t>Range Offer</t>
        </is>
      </c>
      <c r="J1725" s="42" t="inlineStr">
        <is>
          <t>X_LAL_FOLLOWER_ZA</t>
        </is>
      </c>
      <c r="K1725" s="42" t="inlineStr">
        <is>
          <t>Lookalike</t>
        </is>
      </c>
      <c r="L1725" s="42" t="inlineStr">
        <is>
          <t>X_VID_15s_RangeFilm_v1</t>
        </is>
      </c>
      <c r="M1725" s="42" t="inlineStr">
        <is>
          <t>Video 16:9</t>
        </is>
      </c>
      <c r="N1725" s="42" t="inlineStr">
        <is>
          <t>Meet the Lepas range</t>
        </is>
      </c>
      <c r="O1725" s="42" t="inlineStr">
        <is>
          <t>Auction - Lowest Cost</t>
        </is>
      </c>
      <c r="P1725" s="42" t="inlineStr">
        <is>
          <t>Site Visit / Conversion</t>
        </is>
      </c>
      <c r="Q1725" s="42" t="inlineStr">
        <is>
          <t>https://www.lepas-sa.co.za/offers</t>
        </is>
      </c>
      <c r="R1725" s="115" t="n">
        <v>99.48</v>
      </c>
      <c r="S1725" s="116" t="n">
        <v>1552</v>
      </c>
      <c r="T1725" s="116" t="n">
        <v>862</v>
      </c>
      <c r="U1725" s="117">
        <f>IFERROR(S1725/T1725,"")</f>
        <v/>
      </c>
      <c r="V1725" s="116" t="n">
        <v>12</v>
      </c>
      <c r="W1725" s="116" t="n">
        <v>9</v>
      </c>
      <c r="X1725" s="118">
        <f>IFERROR(W1725/S1725,"")</f>
        <v/>
      </c>
      <c r="Y1725" s="115">
        <f>IFERROR(R1725/W1725,"")</f>
        <v/>
      </c>
      <c r="Z1725" s="115">
        <f>IFERROR(R1725/S1725*1000,"")</f>
        <v/>
      </c>
      <c r="AA1725" s="116" t="n">
        <v>7</v>
      </c>
      <c r="AB1725" s="47">
        <f>IFERROR(AA1725/W1725,"")</f>
        <v/>
      </c>
      <c r="AC1725" s="116" t="n">
        <v>377</v>
      </c>
      <c r="AD1725" s="116" t="n">
        <v>175</v>
      </c>
      <c r="AE1725" s="116" t="n">
        <v>144</v>
      </c>
      <c r="AF1725" s="116" t="n">
        <v>97</v>
      </c>
      <c r="AG1725" s="116" t="n">
        <v>72</v>
      </c>
      <c r="AH1725" s="116" t="n">
        <v>51</v>
      </c>
      <c r="AI1725" s="47">
        <f>IFERROR(AC1725/S1725,"")</f>
        <v/>
      </c>
      <c r="AJ1725" s="47">
        <f>IFERROR(AH1725/S1725,"")</f>
        <v/>
      </c>
      <c r="AK1725" s="116" t="n">
        <v>23</v>
      </c>
      <c r="AL1725" s="116" t="n">
        <v>0</v>
      </c>
      <c r="AM1725" s="118">
        <f>IFERROR(AL1725/AA1725,"")</f>
        <v/>
      </c>
      <c r="AN1725" s="119">
        <f>IFERROR(R1725/AL1725,"")</f>
        <v/>
      </c>
      <c r="AO1725" s="116" t="n">
        <v>0</v>
      </c>
      <c r="AP1725" s="47">
        <f>IFERROR(AO1725/AL1725,"")</f>
        <v/>
      </c>
      <c r="AQ1725" s="119">
        <f>IFERROR(R1725/AO1725,"")</f>
        <v/>
      </c>
      <c r="AR1725" s="116" t="n">
        <v>0</v>
      </c>
      <c r="AS1725" s="116" t="n">
        <v>0</v>
      </c>
      <c r="AT1725" s="116">
        <f>AL1725+AR1725</f>
        <v/>
      </c>
      <c r="AU1725" s="119">
        <f>IFERROR(AO1725*Assumptions!$C$26*Assumptions!$C$27*INDEX(Assumptions!$C$18:$C$21,MATCH(H1725,Assumptions!$B$18:$B$21,0)),0)</f>
        <v/>
      </c>
    </row>
    <row r="1726">
      <c r="A1726" s="114" t="n">
        <v>46255</v>
      </c>
      <c r="B1726" s="42" t="inlineStr">
        <is>
          <t>Wk 34</t>
        </is>
      </c>
      <c r="C1726" s="42" t="inlineStr">
        <is>
          <t>Fri</t>
        </is>
      </c>
      <c r="D1726" s="42" t="inlineStr">
        <is>
          <t>X</t>
        </is>
      </c>
      <c r="E1726" s="42" t="inlineStr">
        <is>
          <t>X (Twitter)</t>
        </is>
      </c>
      <c r="F1726" s="42" t="inlineStr">
        <is>
          <t>LEP_ZA_AUG26_X_RMKT_TD_CONV</t>
        </is>
      </c>
      <c r="G1726" s="42" t="inlineStr">
        <is>
          <t>Website Conversions</t>
        </is>
      </c>
      <c r="H1726" s="42" t="inlineStr">
        <is>
          <t>Range</t>
        </is>
      </c>
      <c r="I1726" s="42" t="inlineStr">
        <is>
          <t>Range Offer</t>
        </is>
      </c>
      <c r="J1726" s="42" t="inlineStr">
        <is>
          <t>X_LAL_FOLLOWER_ZA</t>
        </is>
      </c>
      <c r="K1726" s="42" t="inlineStr">
        <is>
          <t>Lookalike</t>
        </is>
      </c>
      <c r="L1726" s="42" t="inlineStr">
        <is>
          <t>X_VID_15s_RangeFilm_v1</t>
        </is>
      </c>
      <c r="M1726" s="42" t="inlineStr">
        <is>
          <t>Video 16:9</t>
        </is>
      </c>
      <c r="N1726" s="42" t="inlineStr">
        <is>
          <t>Meet the Lepas range</t>
        </is>
      </c>
      <c r="O1726" s="42" t="inlineStr">
        <is>
          <t>Auction - Lowest Cost</t>
        </is>
      </c>
      <c r="P1726" s="42" t="inlineStr">
        <is>
          <t>Site Visit / Conversion</t>
        </is>
      </c>
      <c r="Q1726" s="42" t="inlineStr">
        <is>
          <t>https://www.lepas-sa.co.za/offers</t>
        </is>
      </c>
      <c r="R1726" s="115" t="n">
        <v>114.28</v>
      </c>
      <c r="S1726" s="116" t="n">
        <v>2080</v>
      </c>
      <c r="T1726" s="116" t="n">
        <v>1332</v>
      </c>
      <c r="U1726" s="117">
        <f>IFERROR(S1726/T1726,"")</f>
        <v/>
      </c>
      <c r="V1726" s="116" t="n">
        <v>21</v>
      </c>
      <c r="W1726" s="116" t="n">
        <v>17</v>
      </c>
      <c r="X1726" s="118">
        <f>IFERROR(W1726/S1726,"")</f>
        <v/>
      </c>
      <c r="Y1726" s="115">
        <f>IFERROR(R1726/W1726,"")</f>
        <v/>
      </c>
      <c r="Z1726" s="115">
        <f>IFERROR(R1726/S1726*1000,"")</f>
        <v/>
      </c>
      <c r="AA1726" s="116" t="n">
        <v>13</v>
      </c>
      <c r="AB1726" s="47">
        <f>IFERROR(AA1726/W1726,"")</f>
        <v/>
      </c>
      <c r="AC1726" s="116" t="n">
        <v>549</v>
      </c>
      <c r="AD1726" s="116" t="n">
        <v>277</v>
      </c>
      <c r="AE1726" s="116" t="n">
        <v>254</v>
      </c>
      <c r="AF1726" s="116" t="n">
        <v>159</v>
      </c>
      <c r="AG1726" s="116" t="n">
        <v>110</v>
      </c>
      <c r="AH1726" s="116" t="n">
        <v>71</v>
      </c>
      <c r="AI1726" s="47">
        <f>IFERROR(AC1726/S1726,"")</f>
        <v/>
      </c>
      <c r="AJ1726" s="47">
        <f>IFERROR(AH1726/S1726,"")</f>
        <v/>
      </c>
      <c r="AK1726" s="116" t="n">
        <v>27</v>
      </c>
      <c r="AL1726" s="116" t="n">
        <v>1</v>
      </c>
      <c r="AM1726" s="118">
        <f>IFERROR(AL1726/AA1726,"")</f>
        <v/>
      </c>
      <c r="AN1726" s="119">
        <f>IFERROR(R1726/AL1726,"")</f>
        <v/>
      </c>
      <c r="AO1726" s="116" t="n">
        <v>0</v>
      </c>
      <c r="AP1726" s="47">
        <f>IFERROR(AO1726/AL1726,"")</f>
        <v/>
      </c>
      <c r="AQ1726" s="119">
        <f>IFERROR(R1726/AO1726,"")</f>
        <v/>
      </c>
      <c r="AR1726" s="116" t="n">
        <v>0</v>
      </c>
      <c r="AS1726" s="116" t="n">
        <v>0</v>
      </c>
      <c r="AT1726" s="116">
        <f>AL1726+AR1726</f>
        <v/>
      </c>
      <c r="AU1726" s="119">
        <f>IFERROR(AO1726*Assumptions!$C$26*Assumptions!$C$27*INDEX(Assumptions!$C$18:$C$21,MATCH(H1726,Assumptions!$B$18:$B$21,0)),0)</f>
        <v/>
      </c>
    </row>
    <row r="1727">
      <c r="A1727" s="114" t="n">
        <v>46256</v>
      </c>
      <c r="B1727" s="42" t="inlineStr">
        <is>
          <t>Wk 34</t>
        </is>
      </c>
      <c r="C1727" s="42" t="inlineStr">
        <is>
          <t>Sat</t>
        </is>
      </c>
      <c r="D1727" s="42" t="inlineStr">
        <is>
          <t>X</t>
        </is>
      </c>
      <c r="E1727" s="42" t="inlineStr">
        <is>
          <t>X (Twitter)</t>
        </is>
      </c>
      <c r="F1727" s="42" t="inlineStr">
        <is>
          <t>LEP_ZA_AUG26_X_RMKT_TD_CONV</t>
        </is>
      </c>
      <c r="G1727" s="42" t="inlineStr">
        <is>
          <t>Website Conversions</t>
        </is>
      </c>
      <c r="H1727" s="42" t="inlineStr">
        <is>
          <t>Range</t>
        </is>
      </c>
      <c r="I1727" s="42" t="inlineStr">
        <is>
          <t>Range Offer</t>
        </is>
      </c>
      <c r="J1727" s="42" t="inlineStr">
        <is>
          <t>X_LAL_FOLLOWER_ZA</t>
        </is>
      </c>
      <c r="K1727" s="42" t="inlineStr">
        <is>
          <t>Lookalike</t>
        </is>
      </c>
      <c r="L1727" s="42" t="inlineStr">
        <is>
          <t>X_VID_15s_RangeFilm_v1</t>
        </is>
      </c>
      <c r="M1727" s="42" t="inlineStr">
        <is>
          <t>Video 16:9</t>
        </is>
      </c>
      <c r="N1727" s="42" t="inlineStr">
        <is>
          <t>Meet the Lepas range</t>
        </is>
      </c>
      <c r="O1727" s="42" t="inlineStr">
        <is>
          <t>Auction - Lowest Cost</t>
        </is>
      </c>
      <c r="P1727" s="42" t="inlineStr">
        <is>
          <t>Site Visit / Conversion</t>
        </is>
      </c>
      <c r="Q1727" s="42" t="inlineStr">
        <is>
          <t>https://www.lepas-sa.co.za/offers</t>
        </is>
      </c>
      <c r="R1727" s="115" t="n">
        <v>103.98</v>
      </c>
      <c r="S1727" s="116" t="n">
        <v>1926</v>
      </c>
      <c r="T1727" s="116" t="n">
        <v>1334</v>
      </c>
      <c r="U1727" s="117">
        <f>IFERROR(S1727/T1727,"")</f>
        <v/>
      </c>
      <c r="V1727" s="116" t="n">
        <v>17</v>
      </c>
      <c r="W1727" s="116" t="n">
        <v>14</v>
      </c>
      <c r="X1727" s="118">
        <f>IFERROR(W1727/S1727,"")</f>
        <v/>
      </c>
      <c r="Y1727" s="115">
        <f>IFERROR(R1727/W1727,"")</f>
        <v/>
      </c>
      <c r="Z1727" s="115">
        <f>IFERROR(R1727/S1727*1000,"")</f>
        <v/>
      </c>
      <c r="AA1727" s="116" t="n">
        <v>11</v>
      </c>
      <c r="AB1727" s="47">
        <f>IFERROR(AA1727/W1727,"")</f>
        <v/>
      </c>
      <c r="AC1727" s="116" t="n">
        <v>610</v>
      </c>
      <c r="AD1727" s="116" t="n">
        <v>318</v>
      </c>
      <c r="AE1727" s="116" t="n">
        <v>294</v>
      </c>
      <c r="AF1727" s="116" t="n">
        <v>168</v>
      </c>
      <c r="AG1727" s="116" t="n">
        <v>133</v>
      </c>
      <c r="AH1727" s="116" t="n">
        <v>83</v>
      </c>
      <c r="AI1727" s="47">
        <f>IFERROR(AC1727/S1727,"")</f>
        <v/>
      </c>
      <c r="AJ1727" s="47">
        <f>IFERROR(AH1727/S1727,"")</f>
        <v/>
      </c>
      <c r="AK1727" s="116" t="n">
        <v>48</v>
      </c>
      <c r="AL1727" s="116" t="n">
        <v>0</v>
      </c>
      <c r="AM1727" s="118">
        <f>IFERROR(AL1727/AA1727,"")</f>
        <v/>
      </c>
      <c r="AN1727" s="119">
        <f>IFERROR(R1727/AL1727,"")</f>
        <v/>
      </c>
      <c r="AO1727" s="116" t="n">
        <v>0</v>
      </c>
      <c r="AP1727" s="47">
        <f>IFERROR(AO1727/AL1727,"")</f>
        <v/>
      </c>
      <c r="AQ1727" s="119">
        <f>IFERROR(R1727/AO1727,"")</f>
        <v/>
      </c>
      <c r="AR1727" s="116" t="n">
        <v>0</v>
      </c>
      <c r="AS1727" s="116" t="n">
        <v>0</v>
      </c>
      <c r="AT1727" s="116">
        <f>AL1727+AR1727</f>
        <v/>
      </c>
      <c r="AU1727" s="119">
        <f>IFERROR(AO1727*Assumptions!$C$26*Assumptions!$C$27*INDEX(Assumptions!$C$18:$C$21,MATCH(H1727,Assumptions!$B$18:$B$21,0)),0)</f>
        <v/>
      </c>
    </row>
    <row r="1728">
      <c r="A1728" s="114" t="n">
        <v>46257</v>
      </c>
      <c r="B1728" s="42" t="inlineStr">
        <is>
          <t>Wk 34</t>
        </is>
      </c>
      <c r="C1728" s="42" t="inlineStr">
        <is>
          <t>Sun</t>
        </is>
      </c>
      <c r="D1728" s="42" t="inlineStr">
        <is>
          <t>X</t>
        </is>
      </c>
      <c r="E1728" s="42" t="inlineStr">
        <is>
          <t>X (Twitter)</t>
        </is>
      </c>
      <c r="F1728" s="42" t="inlineStr">
        <is>
          <t>LEP_ZA_AUG26_X_RMKT_TD_CONV</t>
        </is>
      </c>
      <c r="G1728" s="42" t="inlineStr">
        <is>
          <t>Website Conversions</t>
        </is>
      </c>
      <c r="H1728" s="42" t="inlineStr">
        <is>
          <t>Range</t>
        </is>
      </c>
      <c r="I1728" s="42" t="inlineStr">
        <is>
          <t>Range Offer</t>
        </is>
      </c>
      <c r="J1728" s="42" t="inlineStr">
        <is>
          <t>X_LAL_FOLLOWER_ZA</t>
        </is>
      </c>
      <c r="K1728" s="42" t="inlineStr">
        <is>
          <t>Lookalike</t>
        </is>
      </c>
      <c r="L1728" s="42" t="inlineStr">
        <is>
          <t>X_VID_15s_RangeFilm_v1</t>
        </is>
      </c>
      <c r="M1728" s="42" t="inlineStr">
        <is>
          <t>Video 16:9</t>
        </is>
      </c>
      <c r="N1728" s="42" t="inlineStr">
        <is>
          <t>Meet the Lepas range</t>
        </is>
      </c>
      <c r="O1728" s="42" t="inlineStr">
        <is>
          <t>Auction - Lowest Cost</t>
        </is>
      </c>
      <c r="P1728" s="42" t="inlineStr">
        <is>
          <t>Site Visit / Conversion</t>
        </is>
      </c>
      <c r="Q1728" s="42" t="inlineStr">
        <is>
          <t>https://www.lepas-sa.co.za/offers</t>
        </is>
      </c>
      <c r="R1728" s="115" t="n">
        <v>98.06</v>
      </c>
      <c r="S1728" s="116" t="n">
        <v>1961</v>
      </c>
      <c r="T1728" s="116" t="n">
        <v>1182</v>
      </c>
      <c r="U1728" s="117">
        <f>IFERROR(S1728/T1728,"")</f>
        <v/>
      </c>
      <c r="V1728" s="116" t="n">
        <v>17</v>
      </c>
      <c r="W1728" s="116" t="n">
        <v>13</v>
      </c>
      <c r="X1728" s="118">
        <f>IFERROR(W1728/S1728,"")</f>
        <v/>
      </c>
      <c r="Y1728" s="115">
        <f>IFERROR(R1728/W1728,"")</f>
        <v/>
      </c>
      <c r="Z1728" s="115">
        <f>IFERROR(R1728/S1728*1000,"")</f>
        <v/>
      </c>
      <c r="AA1728" s="116" t="n">
        <v>9</v>
      </c>
      <c r="AB1728" s="47">
        <f>IFERROR(AA1728/W1728,"")</f>
        <v/>
      </c>
      <c r="AC1728" s="116" t="n">
        <v>495</v>
      </c>
      <c r="AD1728" s="116" t="n">
        <v>261</v>
      </c>
      <c r="AE1728" s="116" t="n">
        <v>180</v>
      </c>
      <c r="AF1728" s="116" t="n">
        <v>101</v>
      </c>
      <c r="AG1728" s="116" t="n">
        <v>65</v>
      </c>
      <c r="AH1728" s="116" t="n">
        <v>38</v>
      </c>
      <c r="AI1728" s="47">
        <f>IFERROR(AC1728/S1728,"")</f>
        <v/>
      </c>
      <c r="AJ1728" s="47">
        <f>IFERROR(AH1728/S1728,"")</f>
        <v/>
      </c>
      <c r="AK1728" s="116" t="n">
        <v>32</v>
      </c>
      <c r="AL1728" s="116" t="n">
        <v>0</v>
      </c>
      <c r="AM1728" s="118">
        <f>IFERROR(AL1728/AA1728,"")</f>
        <v/>
      </c>
      <c r="AN1728" s="119">
        <f>IFERROR(R1728/AL1728,"")</f>
        <v/>
      </c>
      <c r="AO1728" s="116" t="n">
        <v>0</v>
      </c>
      <c r="AP1728" s="47">
        <f>IFERROR(AO1728/AL1728,"")</f>
        <v/>
      </c>
      <c r="AQ1728" s="119">
        <f>IFERROR(R1728/AO1728,"")</f>
        <v/>
      </c>
      <c r="AR1728" s="116" t="n">
        <v>0</v>
      </c>
      <c r="AS1728" s="116" t="n">
        <v>0</v>
      </c>
      <c r="AT1728" s="116">
        <f>AL1728+AR1728</f>
        <v/>
      </c>
      <c r="AU1728" s="119">
        <f>IFERROR(AO1728*Assumptions!$C$26*Assumptions!$C$27*INDEX(Assumptions!$C$18:$C$21,MATCH(H1728,Assumptions!$B$18:$B$21,0)),0)</f>
        <v/>
      </c>
    </row>
    <row r="1729">
      <c r="A1729" s="114" t="n">
        <v>46258</v>
      </c>
      <c r="B1729" s="42" t="inlineStr">
        <is>
          <t>Wk 35</t>
        </is>
      </c>
      <c r="C1729" s="42" t="inlineStr">
        <is>
          <t>Mon</t>
        </is>
      </c>
      <c r="D1729" s="42" t="inlineStr">
        <is>
          <t>X</t>
        </is>
      </c>
      <c r="E1729" s="42" t="inlineStr">
        <is>
          <t>X (Twitter)</t>
        </is>
      </c>
      <c r="F1729" s="42" t="inlineStr">
        <is>
          <t>LEP_ZA_AUG26_X_RMKT_TD_CONV</t>
        </is>
      </c>
      <c r="G1729" s="42" t="inlineStr">
        <is>
          <t>Website Conversions</t>
        </is>
      </c>
      <c r="H1729" s="42" t="inlineStr">
        <is>
          <t>Range</t>
        </is>
      </c>
      <c r="I1729" s="42" t="inlineStr">
        <is>
          <t>Range Offer</t>
        </is>
      </c>
      <c r="J1729" s="42" t="inlineStr">
        <is>
          <t>X_LAL_FOLLOWER_ZA</t>
        </is>
      </c>
      <c r="K1729" s="42" t="inlineStr">
        <is>
          <t>Lookalike</t>
        </is>
      </c>
      <c r="L1729" s="42" t="inlineStr">
        <is>
          <t>X_VID_15s_RangeFilm_v1</t>
        </is>
      </c>
      <c r="M1729" s="42" t="inlineStr">
        <is>
          <t>Video 16:9</t>
        </is>
      </c>
      <c r="N1729" s="42" t="inlineStr">
        <is>
          <t>Meet the Lepas range</t>
        </is>
      </c>
      <c r="O1729" s="42" t="inlineStr">
        <is>
          <t>Auction - Lowest Cost</t>
        </is>
      </c>
      <c r="P1729" s="42" t="inlineStr">
        <is>
          <t>Site Visit / Conversion</t>
        </is>
      </c>
      <c r="Q1729" s="42" t="inlineStr">
        <is>
          <t>https://www.lepas-sa.co.za/offers</t>
        </is>
      </c>
      <c r="R1729" s="115" t="n">
        <v>79.34</v>
      </c>
      <c r="S1729" s="116" t="n">
        <v>1348</v>
      </c>
      <c r="T1729" s="116" t="n">
        <v>767</v>
      </c>
      <c r="U1729" s="117">
        <f>IFERROR(S1729/T1729,"")</f>
        <v/>
      </c>
      <c r="V1729" s="116" t="n">
        <v>8</v>
      </c>
      <c r="W1729" s="116" t="n">
        <v>7</v>
      </c>
      <c r="X1729" s="118">
        <f>IFERROR(W1729/S1729,"")</f>
        <v/>
      </c>
      <c r="Y1729" s="115">
        <f>IFERROR(R1729/W1729,"")</f>
        <v/>
      </c>
      <c r="Z1729" s="115">
        <f>IFERROR(R1729/S1729*1000,"")</f>
        <v/>
      </c>
      <c r="AA1729" s="116" t="n">
        <v>6</v>
      </c>
      <c r="AB1729" s="47">
        <f>IFERROR(AA1729/W1729,"")</f>
        <v/>
      </c>
      <c r="AC1729" s="116" t="n">
        <v>385</v>
      </c>
      <c r="AD1729" s="116" t="n">
        <v>178</v>
      </c>
      <c r="AE1729" s="116" t="n">
        <v>186</v>
      </c>
      <c r="AF1729" s="116" t="n">
        <v>121</v>
      </c>
      <c r="AG1729" s="116" t="n">
        <v>92</v>
      </c>
      <c r="AH1729" s="116" t="n">
        <v>61</v>
      </c>
      <c r="AI1729" s="47">
        <f>IFERROR(AC1729/S1729,"")</f>
        <v/>
      </c>
      <c r="AJ1729" s="47">
        <f>IFERROR(AH1729/S1729,"")</f>
        <v/>
      </c>
      <c r="AK1729" s="116" t="n">
        <v>27</v>
      </c>
      <c r="AL1729" s="116" t="n">
        <v>0</v>
      </c>
      <c r="AM1729" s="118">
        <f>IFERROR(AL1729/AA1729,"")</f>
        <v/>
      </c>
      <c r="AN1729" s="119">
        <f>IFERROR(R1729/AL1729,"")</f>
        <v/>
      </c>
      <c r="AO1729" s="116" t="n">
        <v>0</v>
      </c>
      <c r="AP1729" s="47">
        <f>IFERROR(AO1729/AL1729,"")</f>
        <v/>
      </c>
      <c r="AQ1729" s="119">
        <f>IFERROR(R1729/AO1729,"")</f>
        <v/>
      </c>
      <c r="AR1729" s="116" t="n">
        <v>0</v>
      </c>
      <c r="AS1729" s="116" t="n">
        <v>0</v>
      </c>
      <c r="AT1729" s="116">
        <f>AL1729+AR1729</f>
        <v/>
      </c>
      <c r="AU1729" s="119">
        <f>IFERROR(AO1729*Assumptions!$C$26*Assumptions!$C$27*INDEX(Assumptions!$C$18:$C$21,MATCH(H1729,Assumptions!$B$18:$B$21,0)),0)</f>
        <v/>
      </c>
    </row>
    <row r="1730">
      <c r="A1730" s="114" t="n">
        <v>46259</v>
      </c>
      <c r="B1730" s="42" t="inlineStr">
        <is>
          <t>Wk 35</t>
        </is>
      </c>
      <c r="C1730" s="42" t="inlineStr">
        <is>
          <t>Tue</t>
        </is>
      </c>
      <c r="D1730" s="42" t="inlineStr">
        <is>
          <t>X</t>
        </is>
      </c>
      <c r="E1730" s="42" t="inlineStr">
        <is>
          <t>X (Twitter)</t>
        </is>
      </c>
      <c r="F1730" s="42" t="inlineStr">
        <is>
          <t>LEP_ZA_AUG26_X_RMKT_TD_CONV</t>
        </is>
      </c>
      <c r="G1730" s="42" t="inlineStr">
        <is>
          <t>Website Conversions</t>
        </is>
      </c>
      <c r="H1730" s="42" t="inlineStr">
        <is>
          <t>Range</t>
        </is>
      </c>
      <c r="I1730" s="42" t="inlineStr">
        <is>
          <t>Range Offer</t>
        </is>
      </c>
      <c r="J1730" s="42" t="inlineStr">
        <is>
          <t>X_LAL_FOLLOWER_ZA</t>
        </is>
      </c>
      <c r="K1730" s="42" t="inlineStr">
        <is>
          <t>Lookalike</t>
        </is>
      </c>
      <c r="L1730" s="42" t="inlineStr">
        <is>
          <t>X_VID_15s_RangeFilm_v1</t>
        </is>
      </c>
      <c r="M1730" s="42" t="inlineStr">
        <is>
          <t>Video 16:9</t>
        </is>
      </c>
      <c r="N1730" s="42" t="inlineStr">
        <is>
          <t>Meet the Lepas range</t>
        </is>
      </c>
      <c r="O1730" s="42" t="inlineStr">
        <is>
          <t>Auction - Lowest Cost</t>
        </is>
      </c>
      <c r="P1730" s="42" t="inlineStr">
        <is>
          <t>Site Visit / Conversion</t>
        </is>
      </c>
      <c r="Q1730" s="42" t="inlineStr">
        <is>
          <t>https://www.lepas-sa.co.za/offers</t>
        </is>
      </c>
      <c r="R1730" s="115" t="n">
        <v>86.23999999999999</v>
      </c>
      <c r="S1730" s="116" t="n">
        <v>1597</v>
      </c>
      <c r="T1730" s="116" t="n">
        <v>910</v>
      </c>
      <c r="U1730" s="117">
        <f>IFERROR(S1730/T1730,"")</f>
        <v/>
      </c>
      <c r="V1730" s="116" t="n">
        <v>7</v>
      </c>
      <c r="W1730" s="116" t="n">
        <v>6</v>
      </c>
      <c r="X1730" s="118">
        <f>IFERROR(W1730/S1730,"")</f>
        <v/>
      </c>
      <c r="Y1730" s="115">
        <f>IFERROR(R1730/W1730,"")</f>
        <v/>
      </c>
      <c r="Z1730" s="115">
        <f>IFERROR(R1730/S1730*1000,"")</f>
        <v/>
      </c>
      <c r="AA1730" s="116" t="n">
        <v>5</v>
      </c>
      <c r="AB1730" s="47">
        <f>IFERROR(AA1730/W1730,"")</f>
        <v/>
      </c>
      <c r="AC1730" s="116" t="n">
        <v>631</v>
      </c>
      <c r="AD1730" s="116" t="n">
        <v>328</v>
      </c>
      <c r="AE1730" s="116" t="n">
        <v>250</v>
      </c>
      <c r="AF1730" s="116" t="n">
        <v>146</v>
      </c>
      <c r="AG1730" s="116" t="n">
        <v>97</v>
      </c>
      <c r="AH1730" s="116" t="n">
        <v>68</v>
      </c>
      <c r="AI1730" s="47">
        <f>IFERROR(AC1730/S1730,"")</f>
        <v/>
      </c>
      <c r="AJ1730" s="47">
        <f>IFERROR(AH1730/S1730,"")</f>
        <v/>
      </c>
      <c r="AK1730" s="116" t="n">
        <v>17</v>
      </c>
      <c r="AL1730" s="116" t="n">
        <v>0</v>
      </c>
      <c r="AM1730" s="118">
        <f>IFERROR(AL1730/AA1730,"")</f>
        <v/>
      </c>
      <c r="AN1730" s="119">
        <f>IFERROR(R1730/AL1730,"")</f>
        <v/>
      </c>
      <c r="AO1730" s="116" t="n">
        <v>0</v>
      </c>
      <c r="AP1730" s="47">
        <f>IFERROR(AO1730/AL1730,"")</f>
        <v/>
      </c>
      <c r="AQ1730" s="119">
        <f>IFERROR(R1730/AO1730,"")</f>
        <v/>
      </c>
      <c r="AR1730" s="116" t="n">
        <v>0</v>
      </c>
      <c r="AS1730" s="116" t="n">
        <v>0</v>
      </c>
      <c r="AT1730" s="116">
        <f>AL1730+AR1730</f>
        <v/>
      </c>
      <c r="AU1730" s="119">
        <f>IFERROR(AO1730*Assumptions!$C$26*Assumptions!$C$27*INDEX(Assumptions!$C$18:$C$21,MATCH(H1730,Assumptions!$B$18:$B$21,0)),0)</f>
        <v/>
      </c>
    </row>
    <row r="1731">
      <c r="A1731" s="114" t="n">
        <v>46260</v>
      </c>
      <c r="B1731" s="42" t="inlineStr">
        <is>
          <t>Wk 35</t>
        </is>
      </c>
      <c r="C1731" s="42" t="inlineStr">
        <is>
          <t>Wed</t>
        </is>
      </c>
      <c r="D1731" s="42" t="inlineStr">
        <is>
          <t>X</t>
        </is>
      </c>
      <c r="E1731" s="42" t="inlineStr">
        <is>
          <t>X (Twitter)</t>
        </is>
      </c>
      <c r="F1731" s="42" t="inlineStr">
        <is>
          <t>LEP_ZA_AUG26_X_RMKT_TD_CONV</t>
        </is>
      </c>
      <c r="G1731" s="42" t="inlineStr">
        <is>
          <t>Website Conversions</t>
        </is>
      </c>
      <c r="H1731" s="42" t="inlineStr">
        <is>
          <t>Range</t>
        </is>
      </c>
      <c r="I1731" s="42" t="inlineStr">
        <is>
          <t>Range Offer</t>
        </is>
      </c>
      <c r="J1731" s="42" t="inlineStr">
        <is>
          <t>X_LAL_FOLLOWER_ZA</t>
        </is>
      </c>
      <c r="K1731" s="42" t="inlineStr">
        <is>
          <t>Lookalike</t>
        </is>
      </c>
      <c r="L1731" s="42" t="inlineStr">
        <is>
          <t>X_VID_15s_RangeFilm_v1</t>
        </is>
      </c>
      <c r="M1731" s="42" t="inlineStr">
        <is>
          <t>Video 16:9</t>
        </is>
      </c>
      <c r="N1731" s="42" t="inlineStr">
        <is>
          <t>Meet the Lepas range</t>
        </is>
      </c>
      <c r="O1731" s="42" t="inlineStr">
        <is>
          <t>Auction - Lowest Cost</t>
        </is>
      </c>
      <c r="P1731" s="42" t="inlineStr">
        <is>
          <t>Site Visit / Conversion</t>
        </is>
      </c>
      <c r="Q1731" s="42" t="inlineStr">
        <is>
          <t>https://www.lepas-sa.co.za/offers</t>
        </is>
      </c>
      <c r="R1731" s="115" t="n">
        <v>111.58</v>
      </c>
      <c r="S1731" s="116" t="n">
        <v>1846</v>
      </c>
      <c r="T1731" s="116" t="n">
        <v>1126</v>
      </c>
      <c r="U1731" s="117">
        <f>IFERROR(S1731/T1731,"")</f>
        <v/>
      </c>
      <c r="V1731" s="116" t="n">
        <v>15</v>
      </c>
      <c r="W1731" s="116" t="n">
        <v>12</v>
      </c>
      <c r="X1731" s="118">
        <f>IFERROR(W1731/S1731,"")</f>
        <v/>
      </c>
      <c r="Y1731" s="115">
        <f>IFERROR(R1731/W1731,"")</f>
        <v/>
      </c>
      <c r="Z1731" s="115">
        <f>IFERROR(R1731/S1731*1000,"")</f>
        <v/>
      </c>
      <c r="AA1731" s="116" t="n">
        <v>9</v>
      </c>
      <c r="AB1731" s="47">
        <f>IFERROR(AA1731/W1731,"")</f>
        <v/>
      </c>
      <c r="AC1731" s="116" t="n">
        <v>632</v>
      </c>
      <c r="AD1731" s="116" t="n">
        <v>302</v>
      </c>
      <c r="AE1731" s="116" t="n">
        <v>335</v>
      </c>
      <c r="AF1731" s="116" t="n">
        <v>207</v>
      </c>
      <c r="AG1731" s="116" t="n">
        <v>158</v>
      </c>
      <c r="AH1731" s="116" t="n">
        <v>93</v>
      </c>
      <c r="AI1731" s="47">
        <f>IFERROR(AC1731/S1731,"")</f>
        <v/>
      </c>
      <c r="AJ1731" s="47">
        <f>IFERROR(AH1731/S1731,"")</f>
        <v/>
      </c>
      <c r="AK1731" s="116" t="n">
        <v>35</v>
      </c>
      <c r="AL1731" s="116" t="n">
        <v>0</v>
      </c>
      <c r="AM1731" s="118">
        <f>IFERROR(AL1731/AA1731,"")</f>
        <v/>
      </c>
      <c r="AN1731" s="119">
        <f>IFERROR(R1731/AL1731,"")</f>
        <v/>
      </c>
      <c r="AO1731" s="116" t="n">
        <v>0</v>
      </c>
      <c r="AP1731" s="47">
        <f>IFERROR(AO1731/AL1731,"")</f>
        <v/>
      </c>
      <c r="AQ1731" s="119">
        <f>IFERROR(R1731/AO1731,"")</f>
        <v/>
      </c>
      <c r="AR1731" s="116" t="n">
        <v>0</v>
      </c>
      <c r="AS1731" s="116" t="n">
        <v>0</v>
      </c>
      <c r="AT1731" s="116">
        <f>AL1731+AR1731</f>
        <v/>
      </c>
      <c r="AU1731" s="119">
        <f>IFERROR(AO1731*Assumptions!$C$26*Assumptions!$C$27*INDEX(Assumptions!$C$18:$C$21,MATCH(H1731,Assumptions!$B$18:$B$21,0)),0)</f>
        <v/>
      </c>
    </row>
    <row r="1732">
      <c r="A1732" s="114" t="n">
        <v>46261</v>
      </c>
      <c r="B1732" s="42" t="inlineStr">
        <is>
          <t>Wk 35</t>
        </is>
      </c>
      <c r="C1732" s="42" t="inlineStr">
        <is>
          <t>Thu</t>
        </is>
      </c>
      <c r="D1732" s="42" t="inlineStr">
        <is>
          <t>X</t>
        </is>
      </c>
      <c r="E1732" s="42" t="inlineStr">
        <is>
          <t>X (Twitter)</t>
        </is>
      </c>
      <c r="F1732" s="42" t="inlineStr">
        <is>
          <t>LEP_ZA_AUG26_X_RMKT_TD_CONV</t>
        </is>
      </c>
      <c r="G1732" s="42" t="inlineStr">
        <is>
          <t>Website Conversions</t>
        </is>
      </c>
      <c r="H1732" s="42" t="inlineStr">
        <is>
          <t>Range</t>
        </is>
      </c>
      <c r="I1732" s="42" t="inlineStr">
        <is>
          <t>Range Offer</t>
        </is>
      </c>
      <c r="J1732" s="42" t="inlineStr">
        <is>
          <t>X_LAL_FOLLOWER_ZA</t>
        </is>
      </c>
      <c r="K1732" s="42" t="inlineStr">
        <is>
          <t>Lookalike</t>
        </is>
      </c>
      <c r="L1732" s="42" t="inlineStr">
        <is>
          <t>X_VID_15s_RangeFilm_v1</t>
        </is>
      </c>
      <c r="M1732" s="42" t="inlineStr">
        <is>
          <t>Video 16:9</t>
        </is>
      </c>
      <c r="N1732" s="42" t="inlineStr">
        <is>
          <t>Meet the Lepas range</t>
        </is>
      </c>
      <c r="O1732" s="42" t="inlineStr">
        <is>
          <t>Auction - Lowest Cost</t>
        </is>
      </c>
      <c r="P1732" s="42" t="inlineStr">
        <is>
          <t>Site Visit / Conversion</t>
        </is>
      </c>
      <c r="Q1732" s="42" t="inlineStr">
        <is>
          <t>https://www.lepas-sa.co.za/offers</t>
        </is>
      </c>
      <c r="R1732" s="115" t="n">
        <v>111.49</v>
      </c>
      <c r="S1732" s="116" t="n">
        <v>1589</v>
      </c>
      <c r="T1732" s="116" t="n">
        <v>1031</v>
      </c>
      <c r="U1732" s="117">
        <f>IFERROR(S1732/T1732,"")</f>
        <v/>
      </c>
      <c r="V1732" s="116" t="n">
        <v>10</v>
      </c>
      <c r="W1732" s="116" t="n">
        <v>8</v>
      </c>
      <c r="X1732" s="118">
        <f>IFERROR(W1732/S1732,"")</f>
        <v/>
      </c>
      <c r="Y1732" s="115">
        <f>IFERROR(R1732/W1732,"")</f>
        <v/>
      </c>
      <c r="Z1732" s="115">
        <f>IFERROR(R1732/S1732*1000,"")</f>
        <v/>
      </c>
      <c r="AA1732" s="116" t="n">
        <v>5</v>
      </c>
      <c r="AB1732" s="47">
        <f>IFERROR(AA1732/W1732,"")</f>
        <v/>
      </c>
      <c r="AC1732" s="116" t="n">
        <v>453</v>
      </c>
      <c r="AD1732" s="116" t="n">
        <v>235</v>
      </c>
      <c r="AE1732" s="116" t="n">
        <v>163</v>
      </c>
      <c r="AF1732" s="116" t="n">
        <v>109</v>
      </c>
      <c r="AG1732" s="116" t="n">
        <v>72</v>
      </c>
      <c r="AH1732" s="116" t="n">
        <v>45</v>
      </c>
      <c r="AI1732" s="47">
        <f>IFERROR(AC1732/S1732,"")</f>
        <v/>
      </c>
      <c r="AJ1732" s="47">
        <f>IFERROR(AH1732/S1732,"")</f>
        <v/>
      </c>
      <c r="AK1732" s="116" t="n">
        <v>36</v>
      </c>
      <c r="AL1732" s="116" t="n">
        <v>0</v>
      </c>
      <c r="AM1732" s="118">
        <f>IFERROR(AL1732/AA1732,"")</f>
        <v/>
      </c>
      <c r="AN1732" s="119">
        <f>IFERROR(R1732/AL1732,"")</f>
        <v/>
      </c>
      <c r="AO1732" s="116" t="n">
        <v>0</v>
      </c>
      <c r="AP1732" s="47">
        <f>IFERROR(AO1732/AL1732,"")</f>
        <v/>
      </c>
      <c r="AQ1732" s="119">
        <f>IFERROR(R1732/AO1732,"")</f>
        <v/>
      </c>
      <c r="AR1732" s="116" t="n">
        <v>0</v>
      </c>
      <c r="AS1732" s="116" t="n">
        <v>0</v>
      </c>
      <c r="AT1732" s="116">
        <f>AL1732+AR1732</f>
        <v/>
      </c>
      <c r="AU1732" s="119">
        <f>IFERROR(AO1732*Assumptions!$C$26*Assumptions!$C$27*INDEX(Assumptions!$C$18:$C$21,MATCH(H1732,Assumptions!$B$18:$B$21,0)),0)</f>
        <v/>
      </c>
    </row>
    <row r="1733">
      <c r="A1733" s="114" t="n">
        <v>46262</v>
      </c>
      <c r="B1733" s="42" t="inlineStr">
        <is>
          <t>Wk 35</t>
        </is>
      </c>
      <c r="C1733" s="42" t="inlineStr">
        <is>
          <t>Fri</t>
        </is>
      </c>
      <c r="D1733" s="42" t="inlineStr">
        <is>
          <t>X</t>
        </is>
      </c>
      <c r="E1733" s="42" t="inlineStr">
        <is>
          <t>X (Twitter)</t>
        </is>
      </c>
      <c r="F1733" s="42" t="inlineStr">
        <is>
          <t>LEP_ZA_AUG26_X_RMKT_TD_CONV</t>
        </is>
      </c>
      <c r="G1733" s="42" t="inlineStr">
        <is>
          <t>Website Conversions</t>
        </is>
      </c>
      <c r="H1733" s="42" t="inlineStr">
        <is>
          <t>Range</t>
        </is>
      </c>
      <c r="I1733" s="42" t="inlineStr">
        <is>
          <t>Range Offer</t>
        </is>
      </c>
      <c r="J1733" s="42" t="inlineStr">
        <is>
          <t>X_LAL_FOLLOWER_ZA</t>
        </is>
      </c>
      <c r="K1733" s="42" t="inlineStr">
        <is>
          <t>Lookalike</t>
        </is>
      </c>
      <c r="L1733" s="42" t="inlineStr">
        <is>
          <t>X_VID_15s_RangeFilm_v1</t>
        </is>
      </c>
      <c r="M1733" s="42" t="inlineStr">
        <is>
          <t>Video 16:9</t>
        </is>
      </c>
      <c r="N1733" s="42" t="inlineStr">
        <is>
          <t>Meet the Lepas range</t>
        </is>
      </c>
      <c r="O1733" s="42" t="inlineStr">
        <is>
          <t>Auction - Lowest Cost</t>
        </is>
      </c>
      <c r="P1733" s="42" t="inlineStr">
        <is>
          <t>Site Visit / Conversion</t>
        </is>
      </c>
      <c r="Q1733" s="42" t="inlineStr">
        <is>
          <t>https://www.lepas-sa.co.za/offers</t>
        </is>
      </c>
      <c r="R1733" s="115" t="n">
        <v>113.87</v>
      </c>
      <c r="S1733" s="116" t="n">
        <v>2216</v>
      </c>
      <c r="T1733" s="116" t="n">
        <v>1354</v>
      </c>
      <c r="U1733" s="117">
        <f>IFERROR(S1733/T1733,"")</f>
        <v/>
      </c>
      <c r="V1733" s="116" t="n">
        <v>10</v>
      </c>
      <c r="W1733" s="116" t="n">
        <v>7</v>
      </c>
      <c r="X1733" s="118">
        <f>IFERROR(W1733/S1733,"")</f>
        <v/>
      </c>
      <c r="Y1733" s="115">
        <f>IFERROR(R1733/W1733,"")</f>
        <v/>
      </c>
      <c r="Z1733" s="115">
        <f>IFERROR(R1733/S1733*1000,"")</f>
        <v/>
      </c>
      <c r="AA1733" s="116" t="n">
        <v>5</v>
      </c>
      <c r="AB1733" s="47">
        <f>IFERROR(AA1733/W1733,"")</f>
        <v/>
      </c>
      <c r="AC1733" s="116" t="n">
        <v>627</v>
      </c>
      <c r="AD1733" s="116" t="n">
        <v>321</v>
      </c>
      <c r="AE1733" s="116" t="n">
        <v>342</v>
      </c>
      <c r="AF1733" s="116" t="n">
        <v>186</v>
      </c>
      <c r="AG1733" s="116" t="n">
        <v>128</v>
      </c>
      <c r="AH1733" s="116" t="n">
        <v>73</v>
      </c>
      <c r="AI1733" s="47">
        <f>IFERROR(AC1733/S1733,"")</f>
        <v/>
      </c>
      <c r="AJ1733" s="47">
        <f>IFERROR(AH1733/S1733,"")</f>
        <v/>
      </c>
      <c r="AK1733" s="116" t="n">
        <v>39</v>
      </c>
      <c r="AL1733" s="116" t="n">
        <v>0</v>
      </c>
      <c r="AM1733" s="118">
        <f>IFERROR(AL1733/AA1733,"")</f>
        <v/>
      </c>
      <c r="AN1733" s="119">
        <f>IFERROR(R1733/AL1733,"")</f>
        <v/>
      </c>
      <c r="AO1733" s="116" t="n">
        <v>0</v>
      </c>
      <c r="AP1733" s="47">
        <f>IFERROR(AO1733/AL1733,"")</f>
        <v/>
      </c>
      <c r="AQ1733" s="119">
        <f>IFERROR(R1733/AO1733,"")</f>
        <v/>
      </c>
      <c r="AR1733" s="116" t="n">
        <v>0</v>
      </c>
      <c r="AS1733" s="116" t="n">
        <v>0</v>
      </c>
      <c r="AT1733" s="116">
        <f>AL1733+AR1733</f>
        <v/>
      </c>
      <c r="AU1733" s="119">
        <f>IFERROR(AO1733*Assumptions!$C$26*Assumptions!$C$27*INDEX(Assumptions!$C$18:$C$21,MATCH(H1733,Assumptions!$B$18:$B$21,0)),0)</f>
        <v/>
      </c>
    </row>
    <row r="1734">
      <c r="A1734" s="114" t="n">
        <v>46263</v>
      </c>
      <c r="B1734" s="42" t="inlineStr">
        <is>
          <t>Wk 35</t>
        </is>
      </c>
      <c r="C1734" s="42" t="inlineStr">
        <is>
          <t>Sat</t>
        </is>
      </c>
      <c r="D1734" s="42" t="inlineStr">
        <is>
          <t>X</t>
        </is>
      </c>
      <c r="E1734" s="42" t="inlineStr">
        <is>
          <t>X (Twitter)</t>
        </is>
      </c>
      <c r="F1734" s="42" t="inlineStr">
        <is>
          <t>LEP_ZA_AUG26_X_RMKT_TD_CONV</t>
        </is>
      </c>
      <c r="G1734" s="42" t="inlineStr">
        <is>
          <t>Website Conversions</t>
        </is>
      </c>
      <c r="H1734" s="42" t="inlineStr">
        <is>
          <t>Range</t>
        </is>
      </c>
      <c r="I1734" s="42" t="inlineStr">
        <is>
          <t>Range Offer</t>
        </is>
      </c>
      <c r="J1734" s="42" t="inlineStr">
        <is>
          <t>X_LAL_FOLLOWER_ZA</t>
        </is>
      </c>
      <c r="K1734" s="42" t="inlineStr">
        <is>
          <t>Lookalike</t>
        </is>
      </c>
      <c r="L1734" s="42" t="inlineStr">
        <is>
          <t>X_VID_15s_RangeFilm_v1</t>
        </is>
      </c>
      <c r="M1734" s="42" t="inlineStr">
        <is>
          <t>Video 16:9</t>
        </is>
      </c>
      <c r="N1734" s="42" t="inlineStr">
        <is>
          <t>Meet the Lepas range</t>
        </is>
      </c>
      <c r="O1734" s="42" t="inlineStr">
        <is>
          <t>Auction - Lowest Cost</t>
        </is>
      </c>
      <c r="P1734" s="42" t="inlineStr">
        <is>
          <t>Site Visit / Conversion</t>
        </is>
      </c>
      <c r="Q1734" s="42" t="inlineStr">
        <is>
          <t>https://www.lepas-sa.co.za/offers</t>
        </is>
      </c>
      <c r="R1734" s="115" t="n">
        <v>143.28</v>
      </c>
      <c r="S1734" s="116" t="n">
        <v>1951</v>
      </c>
      <c r="T1734" s="116" t="n">
        <v>1059</v>
      </c>
      <c r="U1734" s="117">
        <f>IFERROR(S1734/T1734,"")</f>
        <v/>
      </c>
      <c r="V1734" s="116" t="n">
        <v>20</v>
      </c>
      <c r="W1734" s="116" t="n">
        <v>17</v>
      </c>
      <c r="X1734" s="118">
        <f>IFERROR(W1734/S1734,"")</f>
        <v/>
      </c>
      <c r="Y1734" s="115">
        <f>IFERROR(R1734/W1734,"")</f>
        <v/>
      </c>
      <c r="Z1734" s="115">
        <f>IFERROR(R1734/S1734*1000,"")</f>
        <v/>
      </c>
      <c r="AA1734" s="116" t="n">
        <v>13</v>
      </c>
      <c r="AB1734" s="47">
        <f>IFERROR(AA1734/W1734,"")</f>
        <v/>
      </c>
      <c r="AC1734" s="116" t="n">
        <v>789</v>
      </c>
      <c r="AD1734" s="116" t="n">
        <v>350</v>
      </c>
      <c r="AE1734" s="116" t="n">
        <v>424</v>
      </c>
      <c r="AF1734" s="116" t="n">
        <v>288</v>
      </c>
      <c r="AG1734" s="116" t="n">
        <v>228</v>
      </c>
      <c r="AH1734" s="116" t="n">
        <v>150</v>
      </c>
      <c r="AI1734" s="47">
        <f>IFERROR(AC1734/S1734,"")</f>
        <v/>
      </c>
      <c r="AJ1734" s="47">
        <f>IFERROR(AH1734/S1734,"")</f>
        <v/>
      </c>
      <c r="AK1734" s="116" t="n">
        <v>45</v>
      </c>
      <c r="AL1734" s="116" t="n">
        <v>0</v>
      </c>
      <c r="AM1734" s="118">
        <f>IFERROR(AL1734/AA1734,"")</f>
        <v/>
      </c>
      <c r="AN1734" s="119">
        <f>IFERROR(R1734/AL1734,"")</f>
        <v/>
      </c>
      <c r="AO1734" s="116" t="n">
        <v>0</v>
      </c>
      <c r="AP1734" s="47">
        <f>IFERROR(AO1734/AL1734,"")</f>
        <v/>
      </c>
      <c r="AQ1734" s="119">
        <f>IFERROR(R1734/AO1734,"")</f>
        <v/>
      </c>
      <c r="AR1734" s="116" t="n">
        <v>0</v>
      </c>
      <c r="AS1734" s="116" t="n">
        <v>0</v>
      </c>
      <c r="AT1734" s="116">
        <f>AL1734+AR1734</f>
        <v/>
      </c>
      <c r="AU1734" s="119">
        <f>IFERROR(AO1734*Assumptions!$C$26*Assumptions!$C$27*INDEX(Assumptions!$C$18:$C$21,MATCH(H1734,Assumptions!$B$18:$B$21,0)),0)</f>
        <v/>
      </c>
    </row>
    <row r="1735">
      <c r="A1735" s="114" t="n">
        <v>46264</v>
      </c>
      <c r="B1735" s="42" t="inlineStr">
        <is>
          <t>Wk 35</t>
        </is>
      </c>
      <c r="C1735" s="42" t="inlineStr">
        <is>
          <t>Sun</t>
        </is>
      </c>
      <c r="D1735" s="42" t="inlineStr">
        <is>
          <t>X</t>
        </is>
      </c>
      <c r="E1735" s="42" t="inlineStr">
        <is>
          <t>X (Twitter)</t>
        </is>
      </c>
      <c r="F1735" s="42" t="inlineStr">
        <is>
          <t>LEP_ZA_AUG26_X_RMKT_TD_CONV</t>
        </is>
      </c>
      <c r="G1735" s="42" t="inlineStr">
        <is>
          <t>Website Conversions</t>
        </is>
      </c>
      <c r="H1735" s="42" t="inlineStr">
        <is>
          <t>Range</t>
        </is>
      </c>
      <c r="I1735" s="42" t="inlineStr">
        <is>
          <t>Range Offer</t>
        </is>
      </c>
      <c r="J1735" s="42" t="inlineStr">
        <is>
          <t>X_LAL_FOLLOWER_ZA</t>
        </is>
      </c>
      <c r="K1735" s="42" t="inlineStr">
        <is>
          <t>Lookalike</t>
        </is>
      </c>
      <c r="L1735" s="42" t="inlineStr">
        <is>
          <t>X_VID_15s_RangeFilm_v1</t>
        </is>
      </c>
      <c r="M1735" s="42" t="inlineStr">
        <is>
          <t>Video 16:9</t>
        </is>
      </c>
      <c r="N1735" s="42" t="inlineStr">
        <is>
          <t>Meet the Lepas range</t>
        </is>
      </c>
      <c r="O1735" s="42" t="inlineStr">
        <is>
          <t>Auction - Lowest Cost</t>
        </is>
      </c>
      <c r="P1735" s="42" t="inlineStr">
        <is>
          <t>Site Visit / Conversion</t>
        </is>
      </c>
      <c r="Q1735" s="42" t="inlineStr">
        <is>
          <t>https://www.lepas-sa.co.za/offers</t>
        </is>
      </c>
      <c r="R1735" s="115" t="n">
        <v>98.08</v>
      </c>
      <c r="S1735" s="116" t="n">
        <v>1662</v>
      </c>
      <c r="T1735" s="116" t="n">
        <v>835</v>
      </c>
      <c r="U1735" s="117">
        <f>IFERROR(S1735/T1735,"")</f>
        <v/>
      </c>
      <c r="V1735" s="116" t="n">
        <v>17</v>
      </c>
      <c r="W1735" s="116" t="n">
        <v>12</v>
      </c>
      <c r="X1735" s="118">
        <f>IFERROR(W1735/S1735,"")</f>
        <v/>
      </c>
      <c r="Y1735" s="115">
        <f>IFERROR(R1735/W1735,"")</f>
        <v/>
      </c>
      <c r="Z1735" s="115">
        <f>IFERROR(R1735/S1735*1000,"")</f>
        <v/>
      </c>
      <c r="AA1735" s="116" t="n">
        <v>10</v>
      </c>
      <c r="AB1735" s="47">
        <f>IFERROR(AA1735/W1735,"")</f>
        <v/>
      </c>
      <c r="AC1735" s="116" t="n">
        <v>677</v>
      </c>
      <c r="AD1735" s="116" t="n">
        <v>314</v>
      </c>
      <c r="AE1735" s="116" t="n">
        <v>285</v>
      </c>
      <c r="AF1735" s="116" t="n">
        <v>155</v>
      </c>
      <c r="AG1735" s="116" t="n">
        <v>120</v>
      </c>
      <c r="AH1735" s="116" t="n">
        <v>84</v>
      </c>
      <c r="AI1735" s="47">
        <f>IFERROR(AC1735/S1735,"")</f>
        <v/>
      </c>
      <c r="AJ1735" s="47">
        <f>IFERROR(AH1735/S1735,"")</f>
        <v/>
      </c>
      <c r="AK1735" s="116" t="n">
        <v>22</v>
      </c>
      <c r="AL1735" s="116" t="n">
        <v>0</v>
      </c>
      <c r="AM1735" s="118">
        <f>IFERROR(AL1735/AA1735,"")</f>
        <v/>
      </c>
      <c r="AN1735" s="119">
        <f>IFERROR(R1735/AL1735,"")</f>
        <v/>
      </c>
      <c r="AO1735" s="116" t="n">
        <v>0</v>
      </c>
      <c r="AP1735" s="47">
        <f>IFERROR(AO1735/AL1735,"")</f>
        <v/>
      </c>
      <c r="AQ1735" s="119">
        <f>IFERROR(R1735/AO1735,"")</f>
        <v/>
      </c>
      <c r="AR1735" s="116" t="n">
        <v>0</v>
      </c>
      <c r="AS1735" s="116" t="n">
        <v>0</v>
      </c>
      <c r="AT1735" s="116">
        <f>AL1735+AR1735</f>
        <v/>
      </c>
      <c r="AU1735" s="119">
        <f>IFERROR(AO1735*Assumptions!$C$26*Assumptions!$C$27*INDEX(Assumptions!$C$18:$C$21,MATCH(H1735,Assumptions!$B$18:$B$21,0)),0)</f>
        <v/>
      </c>
    </row>
    <row r="1736">
      <c r="A1736" s="114" t="n">
        <v>46265</v>
      </c>
      <c r="B1736" s="42" t="inlineStr">
        <is>
          <t>Wk 36</t>
        </is>
      </c>
      <c r="C1736" s="42" t="inlineStr">
        <is>
          <t>Mon</t>
        </is>
      </c>
      <c r="D1736" s="42" t="inlineStr">
        <is>
          <t>X</t>
        </is>
      </c>
      <c r="E1736" s="42" t="inlineStr">
        <is>
          <t>X (Twitter)</t>
        </is>
      </c>
      <c r="F1736" s="42" t="inlineStr">
        <is>
          <t>LEP_ZA_AUG26_X_RMKT_TD_CONV</t>
        </is>
      </c>
      <c r="G1736" s="42" t="inlineStr">
        <is>
          <t>Website Conversions</t>
        </is>
      </c>
      <c r="H1736" s="42" t="inlineStr">
        <is>
          <t>Range</t>
        </is>
      </c>
      <c r="I1736" s="42" t="inlineStr">
        <is>
          <t>Range Offer</t>
        </is>
      </c>
      <c r="J1736" s="42" t="inlineStr">
        <is>
          <t>X_LAL_FOLLOWER_ZA</t>
        </is>
      </c>
      <c r="K1736" s="42" t="inlineStr">
        <is>
          <t>Lookalike</t>
        </is>
      </c>
      <c r="L1736" s="42" t="inlineStr">
        <is>
          <t>X_VID_15s_RangeFilm_v1</t>
        </is>
      </c>
      <c r="M1736" s="42" t="inlineStr">
        <is>
          <t>Video 16:9</t>
        </is>
      </c>
      <c r="N1736" s="42" t="inlineStr">
        <is>
          <t>Meet the Lepas range</t>
        </is>
      </c>
      <c r="O1736" s="42" t="inlineStr">
        <is>
          <t>Auction - Lowest Cost</t>
        </is>
      </c>
      <c r="P1736" s="42" t="inlineStr">
        <is>
          <t>Site Visit / Conversion</t>
        </is>
      </c>
      <c r="Q1736" s="42" t="inlineStr">
        <is>
          <t>https://www.lepas-sa.co.za/offers</t>
        </is>
      </c>
      <c r="R1736" s="115" t="n">
        <v>103.63</v>
      </c>
      <c r="S1736" s="116" t="n">
        <v>1335</v>
      </c>
      <c r="T1736" s="116" t="n">
        <v>779</v>
      </c>
      <c r="U1736" s="117">
        <f>IFERROR(S1736/T1736,"")</f>
        <v/>
      </c>
      <c r="V1736" s="116" t="n">
        <v>7</v>
      </c>
      <c r="W1736" s="116" t="n">
        <v>5</v>
      </c>
      <c r="X1736" s="118">
        <f>IFERROR(W1736/S1736,"")</f>
        <v/>
      </c>
      <c r="Y1736" s="115">
        <f>IFERROR(R1736/W1736,"")</f>
        <v/>
      </c>
      <c r="Z1736" s="115">
        <f>IFERROR(R1736/S1736*1000,"")</f>
        <v/>
      </c>
      <c r="AA1736" s="116" t="n">
        <v>3</v>
      </c>
      <c r="AB1736" s="47">
        <f>IFERROR(AA1736/W1736,"")</f>
        <v/>
      </c>
      <c r="AC1736" s="116" t="n">
        <v>360</v>
      </c>
      <c r="AD1736" s="116" t="n">
        <v>175</v>
      </c>
      <c r="AE1736" s="116" t="n">
        <v>160</v>
      </c>
      <c r="AF1736" s="116" t="n">
        <v>94</v>
      </c>
      <c r="AG1736" s="116" t="n">
        <v>73</v>
      </c>
      <c r="AH1736" s="116" t="n">
        <v>46</v>
      </c>
      <c r="AI1736" s="47">
        <f>IFERROR(AC1736/S1736,"")</f>
        <v/>
      </c>
      <c r="AJ1736" s="47">
        <f>IFERROR(AH1736/S1736,"")</f>
        <v/>
      </c>
      <c r="AK1736" s="116" t="n">
        <v>17</v>
      </c>
      <c r="AL1736" s="116" t="n">
        <v>0</v>
      </c>
      <c r="AM1736" s="118">
        <f>IFERROR(AL1736/AA1736,"")</f>
        <v/>
      </c>
      <c r="AN1736" s="119">
        <f>IFERROR(R1736/AL1736,"")</f>
        <v/>
      </c>
      <c r="AO1736" s="116" t="n">
        <v>0</v>
      </c>
      <c r="AP1736" s="47">
        <f>IFERROR(AO1736/AL1736,"")</f>
        <v/>
      </c>
      <c r="AQ1736" s="119">
        <f>IFERROR(R1736/AO1736,"")</f>
        <v/>
      </c>
      <c r="AR1736" s="116" t="n">
        <v>0</v>
      </c>
      <c r="AS1736" s="116" t="n">
        <v>0</v>
      </c>
      <c r="AT1736" s="116">
        <f>AL1736+AR1736</f>
        <v/>
      </c>
      <c r="AU1736" s="119">
        <f>IFERROR(AO1736*Assumptions!$C$26*Assumptions!$C$27*INDEX(Assumptions!$C$18:$C$21,MATCH(H1736,Assumptions!$B$18:$B$21,0)),0)</f>
        <v/>
      </c>
    </row>
    <row r="1737">
      <c r="A1737" s="120" t="n">
        <v>46235</v>
      </c>
      <c r="B1737" s="66" t="inlineStr">
        <is>
          <t>Wk 31</t>
        </is>
      </c>
      <c r="C1737" s="66" t="inlineStr">
        <is>
          <t>Sat</t>
        </is>
      </c>
      <c r="D1737" s="66" t="inlineStr">
        <is>
          <t>Programmatic</t>
        </is>
      </c>
      <c r="E1737" s="66" t="inlineStr">
        <is>
          <t>DV360</t>
        </is>
      </c>
      <c r="F1737" s="66" t="inlineStr">
        <is>
          <t>LEP_ZA_AUG26_PROG_TD_PROSPECT_DISPLAY</t>
        </is>
      </c>
      <c r="G1737" s="66" t="inlineStr">
        <is>
          <t>Display Prospecting</t>
        </is>
      </c>
      <c r="H1737" s="66" t="inlineStr">
        <is>
          <t>Range</t>
        </is>
      </c>
      <c r="I1737" s="66" t="inlineStr">
        <is>
          <t>Range Offer</t>
        </is>
      </c>
      <c r="J1737" s="66" t="inlineStr">
        <is>
          <t>PROG_CONTEXTUAL_AUTO_NEWS</t>
        </is>
      </c>
      <c r="K1737" s="66" t="inlineStr">
        <is>
          <t>Contextual</t>
        </is>
      </c>
      <c r="L1737" s="66" t="inlineStr">
        <is>
          <t>PROG_HTML5_300x250_Range_v1</t>
        </is>
      </c>
      <c r="M1737" s="66" t="inlineStr">
        <is>
          <t>HTML5 Display 300x250</t>
        </is>
      </c>
      <c r="N1737" s="66" t="inlineStr">
        <is>
          <t>Book a Lepas test drive</t>
        </is>
      </c>
      <c r="O1737" s="66" t="inlineStr">
        <is>
          <t>Programmatic Guaranteed / OA</t>
        </is>
      </c>
      <c r="P1737" s="66" t="inlineStr">
        <is>
          <t>Conversions (CPA)</t>
        </is>
      </c>
      <c r="Q1737" s="66" t="inlineStr">
        <is>
          <t>https://www.lepas-sa.co.za/offers</t>
        </is>
      </c>
      <c r="R1737" s="121" t="n">
        <v>206.25</v>
      </c>
      <c r="S1737" s="122" t="n">
        <v>8420</v>
      </c>
      <c r="T1737" s="122" t="n">
        <v>4517</v>
      </c>
      <c r="U1737" s="123">
        <f>IFERROR(S1737/T1737,"")</f>
        <v/>
      </c>
      <c r="V1737" s="122" t="n">
        <v>17</v>
      </c>
      <c r="W1737" s="122" t="n">
        <v>14</v>
      </c>
      <c r="X1737" s="124">
        <f>IFERROR(W1737/S1737,"")</f>
        <v/>
      </c>
      <c r="Y1737" s="121">
        <f>IFERROR(R1737/W1737,"")</f>
        <v/>
      </c>
      <c r="Z1737" s="121">
        <f>IFERROR(R1737/S1737*1000,"")</f>
        <v/>
      </c>
      <c r="AA1737" s="122" t="n">
        <v>8</v>
      </c>
      <c r="AB1737" s="54">
        <f>IFERROR(AA1737/W1737,"")</f>
        <v/>
      </c>
      <c r="AC1737" s="122" t="n">
        <v>0</v>
      </c>
      <c r="AD1737" s="122" t="n">
        <v>0</v>
      </c>
      <c r="AE1737" s="122" t="n">
        <v>0</v>
      </c>
      <c r="AF1737" s="122" t="n">
        <v>0</v>
      </c>
      <c r="AG1737" s="122" t="n">
        <v>0</v>
      </c>
      <c r="AH1737" s="122" t="n">
        <v>0</v>
      </c>
      <c r="AI1737" s="54">
        <f>IFERROR(AC1737/S1737,"")</f>
        <v/>
      </c>
      <c r="AJ1737" s="54">
        <f>IFERROR(AH1737/S1737,"")</f>
        <v/>
      </c>
      <c r="AK1737" s="122" t="n">
        <v>46</v>
      </c>
      <c r="AL1737" s="122" t="n">
        <v>0</v>
      </c>
      <c r="AM1737" s="124">
        <f>IFERROR(AL1737/AA1737,"")</f>
        <v/>
      </c>
      <c r="AN1737" s="125">
        <f>IFERROR(R1737/AL1737,"")</f>
        <v/>
      </c>
      <c r="AO1737" s="122" t="n">
        <v>0</v>
      </c>
      <c r="AP1737" s="54">
        <f>IFERROR(AO1737/AL1737,"")</f>
        <v/>
      </c>
      <c r="AQ1737" s="125">
        <f>IFERROR(R1737/AO1737,"")</f>
        <v/>
      </c>
      <c r="AR1737" s="122" t="n">
        <v>0</v>
      </c>
      <c r="AS1737" s="122" t="n">
        <v>0</v>
      </c>
      <c r="AT1737" s="122">
        <f>AL1737+AR1737</f>
        <v/>
      </c>
      <c r="AU1737" s="125">
        <f>IFERROR(AO1737*Assumptions!$C$26*Assumptions!$C$27*INDEX(Assumptions!$C$18:$C$21,MATCH(H1737,Assumptions!$B$18:$B$21,0)),0)</f>
        <v/>
      </c>
    </row>
    <row r="1738">
      <c r="A1738" s="120" t="n">
        <v>46236</v>
      </c>
      <c r="B1738" s="66" t="inlineStr">
        <is>
          <t>Wk 31</t>
        </is>
      </c>
      <c r="C1738" s="66" t="inlineStr">
        <is>
          <t>Sun</t>
        </is>
      </c>
      <c r="D1738" s="66" t="inlineStr">
        <is>
          <t>Programmatic</t>
        </is>
      </c>
      <c r="E1738" s="66" t="inlineStr">
        <is>
          <t>DV360</t>
        </is>
      </c>
      <c r="F1738" s="66" t="inlineStr">
        <is>
          <t>LEP_ZA_AUG26_PROG_TD_PROSPECT_DISPLAY</t>
        </is>
      </c>
      <c r="G1738" s="66" t="inlineStr">
        <is>
          <t>Display Prospecting</t>
        </is>
      </c>
      <c r="H1738" s="66" t="inlineStr">
        <is>
          <t>Range</t>
        </is>
      </c>
      <c r="I1738" s="66" t="inlineStr">
        <is>
          <t>Range Offer</t>
        </is>
      </c>
      <c r="J1738" s="66" t="inlineStr">
        <is>
          <t>PROG_CONTEXTUAL_AUTO_NEWS</t>
        </is>
      </c>
      <c r="K1738" s="66" t="inlineStr">
        <is>
          <t>Contextual</t>
        </is>
      </c>
      <c r="L1738" s="66" t="inlineStr">
        <is>
          <t>PROG_HTML5_300x250_Range_v1</t>
        </is>
      </c>
      <c r="M1738" s="66" t="inlineStr">
        <is>
          <t>HTML5 Display 300x250</t>
        </is>
      </c>
      <c r="N1738" s="66" t="inlineStr">
        <is>
          <t>Book a Lepas test drive</t>
        </is>
      </c>
      <c r="O1738" s="66" t="inlineStr">
        <is>
          <t>Programmatic Guaranteed / OA</t>
        </is>
      </c>
      <c r="P1738" s="66" t="inlineStr">
        <is>
          <t>Conversions (CPA)</t>
        </is>
      </c>
      <c r="Q1738" s="66" t="inlineStr">
        <is>
          <t>https://www.lepas-sa.co.za/offers</t>
        </is>
      </c>
      <c r="R1738" s="121" t="n">
        <v>187.63</v>
      </c>
      <c r="S1738" s="122" t="n">
        <v>7286</v>
      </c>
      <c r="T1738" s="122" t="n">
        <v>3458</v>
      </c>
      <c r="U1738" s="123">
        <f>IFERROR(S1738/T1738,"")</f>
        <v/>
      </c>
      <c r="V1738" s="122" t="n">
        <v>16</v>
      </c>
      <c r="W1738" s="122" t="n">
        <v>13</v>
      </c>
      <c r="X1738" s="124">
        <f>IFERROR(W1738/S1738,"")</f>
        <v/>
      </c>
      <c r="Y1738" s="121">
        <f>IFERROR(R1738/W1738,"")</f>
        <v/>
      </c>
      <c r="Z1738" s="121">
        <f>IFERROR(R1738/S1738*1000,"")</f>
        <v/>
      </c>
      <c r="AA1738" s="122" t="n">
        <v>10</v>
      </c>
      <c r="AB1738" s="54">
        <f>IFERROR(AA1738/W1738,"")</f>
        <v/>
      </c>
      <c r="AC1738" s="122" t="n">
        <v>0</v>
      </c>
      <c r="AD1738" s="122" t="n">
        <v>0</v>
      </c>
      <c r="AE1738" s="122" t="n">
        <v>0</v>
      </c>
      <c r="AF1738" s="122" t="n">
        <v>0</v>
      </c>
      <c r="AG1738" s="122" t="n">
        <v>0</v>
      </c>
      <c r="AH1738" s="122" t="n">
        <v>0</v>
      </c>
      <c r="AI1738" s="54">
        <f>IFERROR(AC1738/S1738,"")</f>
        <v/>
      </c>
      <c r="AJ1738" s="54">
        <f>IFERROR(AH1738/S1738,"")</f>
        <v/>
      </c>
      <c r="AK1738" s="122" t="n">
        <v>40</v>
      </c>
      <c r="AL1738" s="122" t="n">
        <v>1</v>
      </c>
      <c r="AM1738" s="124">
        <f>IFERROR(AL1738/AA1738,"")</f>
        <v/>
      </c>
      <c r="AN1738" s="125">
        <f>IFERROR(R1738/AL1738,"")</f>
        <v/>
      </c>
      <c r="AO1738" s="122" t="n">
        <v>1</v>
      </c>
      <c r="AP1738" s="54">
        <f>IFERROR(AO1738/AL1738,"")</f>
        <v/>
      </c>
      <c r="AQ1738" s="125">
        <f>IFERROR(R1738/AO1738,"")</f>
        <v/>
      </c>
      <c r="AR1738" s="122" t="n">
        <v>3</v>
      </c>
      <c r="AS1738" s="122" t="n">
        <v>1</v>
      </c>
      <c r="AT1738" s="122">
        <f>AL1738+AR1738</f>
        <v/>
      </c>
      <c r="AU1738" s="125">
        <f>IFERROR(AO1738*Assumptions!$C$26*Assumptions!$C$27*INDEX(Assumptions!$C$18:$C$21,MATCH(H1738,Assumptions!$B$18:$B$21,0)),0)</f>
        <v/>
      </c>
    </row>
    <row r="1739">
      <c r="A1739" s="120" t="n">
        <v>46237</v>
      </c>
      <c r="B1739" s="66" t="inlineStr">
        <is>
          <t>Wk 32</t>
        </is>
      </c>
      <c r="C1739" s="66" t="inlineStr">
        <is>
          <t>Mon</t>
        </is>
      </c>
      <c r="D1739" s="66" t="inlineStr">
        <is>
          <t>Programmatic</t>
        </is>
      </c>
      <c r="E1739" s="66" t="inlineStr">
        <is>
          <t>DV360</t>
        </is>
      </c>
      <c r="F1739" s="66" t="inlineStr">
        <is>
          <t>LEP_ZA_AUG26_PROG_TD_PROSPECT_DISPLAY</t>
        </is>
      </c>
      <c r="G1739" s="66" t="inlineStr">
        <is>
          <t>Display Prospecting</t>
        </is>
      </c>
      <c r="H1739" s="66" t="inlineStr">
        <is>
          <t>Range</t>
        </is>
      </c>
      <c r="I1739" s="66" t="inlineStr">
        <is>
          <t>Range Offer</t>
        </is>
      </c>
      <c r="J1739" s="66" t="inlineStr">
        <is>
          <t>PROG_CONTEXTUAL_AUTO_NEWS</t>
        </is>
      </c>
      <c r="K1739" s="66" t="inlineStr">
        <is>
          <t>Contextual</t>
        </is>
      </c>
      <c r="L1739" s="66" t="inlineStr">
        <is>
          <t>PROG_HTML5_300x250_Range_v1</t>
        </is>
      </c>
      <c r="M1739" s="66" t="inlineStr">
        <is>
          <t>HTML5 Display 300x250</t>
        </is>
      </c>
      <c r="N1739" s="66" t="inlineStr">
        <is>
          <t>Book a Lepas test drive</t>
        </is>
      </c>
      <c r="O1739" s="66" t="inlineStr">
        <is>
          <t>Programmatic Guaranteed / OA</t>
        </is>
      </c>
      <c r="P1739" s="66" t="inlineStr">
        <is>
          <t>Conversions (CPA)</t>
        </is>
      </c>
      <c r="Q1739" s="66" t="inlineStr">
        <is>
          <t>https://www.lepas-sa.co.za/offers</t>
        </is>
      </c>
      <c r="R1739" s="121" t="n">
        <v>198.43</v>
      </c>
      <c r="S1739" s="122" t="n">
        <v>11477</v>
      </c>
      <c r="T1739" s="122" t="n">
        <v>7960</v>
      </c>
      <c r="U1739" s="123">
        <f>IFERROR(S1739/T1739,"")</f>
        <v/>
      </c>
      <c r="V1739" s="122" t="n">
        <v>18</v>
      </c>
      <c r="W1739" s="122" t="n">
        <v>15</v>
      </c>
      <c r="X1739" s="124">
        <f>IFERROR(W1739/S1739,"")</f>
        <v/>
      </c>
      <c r="Y1739" s="121">
        <f>IFERROR(R1739/W1739,"")</f>
        <v/>
      </c>
      <c r="Z1739" s="121">
        <f>IFERROR(R1739/S1739*1000,"")</f>
        <v/>
      </c>
      <c r="AA1739" s="122" t="n">
        <v>11</v>
      </c>
      <c r="AB1739" s="54">
        <f>IFERROR(AA1739/W1739,"")</f>
        <v/>
      </c>
      <c r="AC1739" s="122" t="n">
        <v>0</v>
      </c>
      <c r="AD1739" s="122" t="n">
        <v>0</v>
      </c>
      <c r="AE1739" s="122" t="n">
        <v>0</v>
      </c>
      <c r="AF1739" s="122" t="n">
        <v>0</v>
      </c>
      <c r="AG1739" s="122" t="n">
        <v>0</v>
      </c>
      <c r="AH1739" s="122" t="n">
        <v>0</v>
      </c>
      <c r="AI1739" s="54">
        <f>IFERROR(AC1739/S1739,"")</f>
        <v/>
      </c>
      <c r="AJ1739" s="54">
        <f>IFERROR(AH1739/S1739,"")</f>
        <v/>
      </c>
      <c r="AK1739" s="122" t="n">
        <v>15</v>
      </c>
      <c r="AL1739" s="122" t="n">
        <v>0</v>
      </c>
      <c r="AM1739" s="124">
        <f>IFERROR(AL1739/AA1739,"")</f>
        <v/>
      </c>
      <c r="AN1739" s="125">
        <f>IFERROR(R1739/AL1739,"")</f>
        <v/>
      </c>
      <c r="AO1739" s="122" t="n">
        <v>0</v>
      </c>
      <c r="AP1739" s="54">
        <f>IFERROR(AO1739/AL1739,"")</f>
        <v/>
      </c>
      <c r="AQ1739" s="125">
        <f>IFERROR(R1739/AO1739,"")</f>
        <v/>
      </c>
      <c r="AR1739" s="122" t="n">
        <v>0</v>
      </c>
      <c r="AS1739" s="122" t="n">
        <v>0</v>
      </c>
      <c r="AT1739" s="122">
        <f>AL1739+AR1739</f>
        <v/>
      </c>
      <c r="AU1739" s="125">
        <f>IFERROR(AO1739*Assumptions!$C$26*Assumptions!$C$27*INDEX(Assumptions!$C$18:$C$21,MATCH(H1739,Assumptions!$B$18:$B$21,0)),0)</f>
        <v/>
      </c>
    </row>
    <row r="1740">
      <c r="A1740" s="120" t="n">
        <v>46238</v>
      </c>
      <c r="B1740" s="66" t="inlineStr">
        <is>
          <t>Wk 32</t>
        </is>
      </c>
      <c r="C1740" s="66" t="inlineStr">
        <is>
          <t>Tue</t>
        </is>
      </c>
      <c r="D1740" s="66" t="inlineStr">
        <is>
          <t>Programmatic</t>
        </is>
      </c>
      <c r="E1740" s="66" t="inlineStr">
        <is>
          <t>DV360</t>
        </is>
      </c>
      <c r="F1740" s="66" t="inlineStr">
        <is>
          <t>LEP_ZA_AUG26_PROG_TD_PROSPECT_DISPLAY</t>
        </is>
      </c>
      <c r="G1740" s="66" t="inlineStr">
        <is>
          <t>Display Prospecting</t>
        </is>
      </c>
      <c r="H1740" s="66" t="inlineStr">
        <is>
          <t>Range</t>
        </is>
      </c>
      <c r="I1740" s="66" t="inlineStr">
        <is>
          <t>Range Offer</t>
        </is>
      </c>
      <c r="J1740" s="66" t="inlineStr">
        <is>
          <t>PROG_CONTEXTUAL_AUTO_NEWS</t>
        </is>
      </c>
      <c r="K1740" s="66" t="inlineStr">
        <is>
          <t>Contextual</t>
        </is>
      </c>
      <c r="L1740" s="66" t="inlineStr">
        <is>
          <t>PROG_HTML5_300x250_Range_v1</t>
        </is>
      </c>
      <c r="M1740" s="66" t="inlineStr">
        <is>
          <t>HTML5 Display 300x250</t>
        </is>
      </c>
      <c r="N1740" s="66" t="inlineStr">
        <is>
          <t>Book a Lepas test drive</t>
        </is>
      </c>
      <c r="O1740" s="66" t="inlineStr">
        <is>
          <t>Programmatic Guaranteed / OA</t>
        </is>
      </c>
      <c r="P1740" s="66" t="inlineStr">
        <is>
          <t>Conversions (CPA)</t>
        </is>
      </c>
      <c r="Q1740" s="66" t="inlineStr">
        <is>
          <t>https://www.lepas-sa.co.za/offers</t>
        </is>
      </c>
      <c r="R1740" s="121" t="n">
        <v>240.01</v>
      </c>
      <c r="S1740" s="122" t="n">
        <v>13699</v>
      </c>
      <c r="T1740" s="122" t="n">
        <v>7837</v>
      </c>
      <c r="U1740" s="123">
        <f>IFERROR(S1740/T1740,"")</f>
        <v/>
      </c>
      <c r="V1740" s="122" t="n">
        <v>22</v>
      </c>
      <c r="W1740" s="122" t="n">
        <v>16</v>
      </c>
      <c r="X1740" s="124">
        <f>IFERROR(W1740/S1740,"")</f>
        <v/>
      </c>
      <c r="Y1740" s="121">
        <f>IFERROR(R1740/W1740,"")</f>
        <v/>
      </c>
      <c r="Z1740" s="121">
        <f>IFERROR(R1740/S1740*1000,"")</f>
        <v/>
      </c>
      <c r="AA1740" s="122" t="n">
        <v>11</v>
      </c>
      <c r="AB1740" s="54">
        <f>IFERROR(AA1740/W1740,"")</f>
        <v/>
      </c>
      <c r="AC1740" s="122" t="n">
        <v>0</v>
      </c>
      <c r="AD1740" s="122" t="n">
        <v>0</v>
      </c>
      <c r="AE1740" s="122" t="n">
        <v>0</v>
      </c>
      <c r="AF1740" s="122" t="n">
        <v>0</v>
      </c>
      <c r="AG1740" s="122" t="n">
        <v>0</v>
      </c>
      <c r="AH1740" s="122" t="n">
        <v>0</v>
      </c>
      <c r="AI1740" s="54">
        <f>IFERROR(AC1740/S1740,"")</f>
        <v/>
      </c>
      <c r="AJ1740" s="54">
        <f>IFERROR(AH1740/S1740,"")</f>
        <v/>
      </c>
      <c r="AK1740" s="122" t="n">
        <v>47</v>
      </c>
      <c r="AL1740" s="122" t="n">
        <v>0</v>
      </c>
      <c r="AM1740" s="124">
        <f>IFERROR(AL1740/AA1740,"")</f>
        <v/>
      </c>
      <c r="AN1740" s="125">
        <f>IFERROR(R1740/AL1740,"")</f>
        <v/>
      </c>
      <c r="AO1740" s="122" t="n">
        <v>0</v>
      </c>
      <c r="AP1740" s="54">
        <f>IFERROR(AO1740/AL1740,"")</f>
        <v/>
      </c>
      <c r="AQ1740" s="125">
        <f>IFERROR(R1740/AO1740,"")</f>
        <v/>
      </c>
      <c r="AR1740" s="122" t="n">
        <v>0</v>
      </c>
      <c r="AS1740" s="122" t="n">
        <v>0</v>
      </c>
      <c r="AT1740" s="122">
        <f>AL1740+AR1740</f>
        <v/>
      </c>
      <c r="AU1740" s="125">
        <f>IFERROR(AO1740*Assumptions!$C$26*Assumptions!$C$27*INDEX(Assumptions!$C$18:$C$21,MATCH(H1740,Assumptions!$B$18:$B$21,0)),0)</f>
        <v/>
      </c>
    </row>
    <row r="1741">
      <c r="A1741" s="120" t="n">
        <v>46239</v>
      </c>
      <c r="B1741" s="66" t="inlineStr">
        <is>
          <t>Wk 32</t>
        </is>
      </c>
      <c r="C1741" s="66" t="inlineStr">
        <is>
          <t>Wed</t>
        </is>
      </c>
      <c r="D1741" s="66" t="inlineStr">
        <is>
          <t>Programmatic</t>
        </is>
      </c>
      <c r="E1741" s="66" t="inlineStr">
        <is>
          <t>DV360</t>
        </is>
      </c>
      <c r="F1741" s="66" t="inlineStr">
        <is>
          <t>LEP_ZA_AUG26_PROG_TD_PROSPECT_DISPLAY</t>
        </is>
      </c>
      <c r="G1741" s="66" t="inlineStr">
        <is>
          <t>Display Prospecting</t>
        </is>
      </c>
      <c r="H1741" s="66" t="inlineStr">
        <is>
          <t>Range</t>
        </is>
      </c>
      <c r="I1741" s="66" t="inlineStr">
        <is>
          <t>Range Offer</t>
        </is>
      </c>
      <c r="J1741" s="66" t="inlineStr">
        <is>
          <t>PROG_CONTEXTUAL_AUTO_NEWS</t>
        </is>
      </c>
      <c r="K1741" s="66" t="inlineStr">
        <is>
          <t>Contextual</t>
        </is>
      </c>
      <c r="L1741" s="66" t="inlineStr">
        <is>
          <t>PROG_HTML5_300x250_Range_v1</t>
        </is>
      </c>
      <c r="M1741" s="66" t="inlineStr">
        <is>
          <t>HTML5 Display 300x250</t>
        </is>
      </c>
      <c r="N1741" s="66" t="inlineStr">
        <is>
          <t>Book a Lepas test drive</t>
        </is>
      </c>
      <c r="O1741" s="66" t="inlineStr">
        <is>
          <t>Programmatic Guaranteed / OA</t>
        </is>
      </c>
      <c r="P1741" s="66" t="inlineStr">
        <is>
          <t>Conversions (CPA)</t>
        </is>
      </c>
      <c r="Q1741" s="66" t="inlineStr">
        <is>
          <t>https://www.lepas-sa.co.za/offers</t>
        </is>
      </c>
      <c r="R1741" s="121" t="n">
        <v>230.92</v>
      </c>
      <c r="S1741" s="122" t="n">
        <v>8379</v>
      </c>
      <c r="T1741" s="122" t="n">
        <v>4190</v>
      </c>
      <c r="U1741" s="123">
        <f>IFERROR(S1741/T1741,"")</f>
        <v/>
      </c>
      <c r="V1741" s="122" t="n">
        <v>16</v>
      </c>
      <c r="W1741" s="122" t="n">
        <v>12</v>
      </c>
      <c r="X1741" s="124">
        <f>IFERROR(W1741/S1741,"")</f>
        <v/>
      </c>
      <c r="Y1741" s="121">
        <f>IFERROR(R1741/W1741,"")</f>
        <v/>
      </c>
      <c r="Z1741" s="121">
        <f>IFERROR(R1741/S1741*1000,"")</f>
        <v/>
      </c>
      <c r="AA1741" s="122" t="n">
        <v>8</v>
      </c>
      <c r="AB1741" s="54">
        <f>IFERROR(AA1741/W1741,"")</f>
        <v/>
      </c>
      <c r="AC1741" s="122" t="n">
        <v>0</v>
      </c>
      <c r="AD1741" s="122" t="n">
        <v>0</v>
      </c>
      <c r="AE1741" s="122" t="n">
        <v>0</v>
      </c>
      <c r="AF1741" s="122" t="n">
        <v>0</v>
      </c>
      <c r="AG1741" s="122" t="n">
        <v>0</v>
      </c>
      <c r="AH1741" s="122" t="n">
        <v>0</v>
      </c>
      <c r="AI1741" s="54">
        <f>IFERROR(AC1741/S1741,"")</f>
        <v/>
      </c>
      <c r="AJ1741" s="54">
        <f>IFERROR(AH1741/S1741,"")</f>
        <v/>
      </c>
      <c r="AK1741" s="122" t="n">
        <v>43</v>
      </c>
      <c r="AL1741" s="122" t="n">
        <v>0</v>
      </c>
      <c r="AM1741" s="124">
        <f>IFERROR(AL1741/AA1741,"")</f>
        <v/>
      </c>
      <c r="AN1741" s="125">
        <f>IFERROR(R1741/AL1741,"")</f>
        <v/>
      </c>
      <c r="AO1741" s="122" t="n">
        <v>0</v>
      </c>
      <c r="AP1741" s="54">
        <f>IFERROR(AO1741/AL1741,"")</f>
        <v/>
      </c>
      <c r="AQ1741" s="125">
        <f>IFERROR(R1741/AO1741,"")</f>
        <v/>
      </c>
      <c r="AR1741" s="122" t="n">
        <v>0</v>
      </c>
      <c r="AS1741" s="122" t="n">
        <v>0</v>
      </c>
      <c r="AT1741" s="122">
        <f>AL1741+AR1741</f>
        <v/>
      </c>
      <c r="AU1741" s="125">
        <f>IFERROR(AO1741*Assumptions!$C$26*Assumptions!$C$27*INDEX(Assumptions!$C$18:$C$21,MATCH(H1741,Assumptions!$B$18:$B$21,0)),0)</f>
        <v/>
      </c>
    </row>
    <row r="1742">
      <c r="A1742" s="120" t="n">
        <v>46240</v>
      </c>
      <c r="B1742" s="66" t="inlineStr">
        <is>
          <t>Wk 32</t>
        </is>
      </c>
      <c r="C1742" s="66" t="inlineStr">
        <is>
          <t>Thu</t>
        </is>
      </c>
      <c r="D1742" s="66" t="inlineStr">
        <is>
          <t>Programmatic</t>
        </is>
      </c>
      <c r="E1742" s="66" t="inlineStr">
        <is>
          <t>DV360</t>
        </is>
      </c>
      <c r="F1742" s="66" t="inlineStr">
        <is>
          <t>LEP_ZA_AUG26_PROG_TD_PROSPECT_DISPLAY</t>
        </is>
      </c>
      <c r="G1742" s="66" t="inlineStr">
        <is>
          <t>Display Prospecting</t>
        </is>
      </c>
      <c r="H1742" s="66" t="inlineStr">
        <is>
          <t>Range</t>
        </is>
      </c>
      <c r="I1742" s="66" t="inlineStr">
        <is>
          <t>Range Offer</t>
        </is>
      </c>
      <c r="J1742" s="66" t="inlineStr">
        <is>
          <t>PROG_CONTEXTUAL_AUTO_NEWS</t>
        </is>
      </c>
      <c r="K1742" s="66" t="inlineStr">
        <is>
          <t>Contextual</t>
        </is>
      </c>
      <c r="L1742" s="66" t="inlineStr">
        <is>
          <t>PROG_HTML5_300x250_Range_v1</t>
        </is>
      </c>
      <c r="M1742" s="66" t="inlineStr">
        <is>
          <t>HTML5 Display 300x250</t>
        </is>
      </c>
      <c r="N1742" s="66" t="inlineStr">
        <is>
          <t>Book a Lepas test drive</t>
        </is>
      </c>
      <c r="O1742" s="66" t="inlineStr">
        <is>
          <t>Programmatic Guaranteed / OA</t>
        </is>
      </c>
      <c r="P1742" s="66" t="inlineStr">
        <is>
          <t>Conversions (CPA)</t>
        </is>
      </c>
      <c r="Q1742" s="66" t="inlineStr">
        <is>
          <t>https://www.lepas-sa.co.za/offers</t>
        </is>
      </c>
      <c r="R1742" s="121" t="n">
        <v>227.68</v>
      </c>
      <c r="S1742" s="122" t="n">
        <v>8845</v>
      </c>
      <c r="T1742" s="122" t="n">
        <v>6566</v>
      </c>
      <c r="U1742" s="123">
        <f>IFERROR(S1742/T1742,"")</f>
        <v/>
      </c>
      <c r="V1742" s="122" t="n">
        <v>29</v>
      </c>
      <c r="W1742" s="122" t="n">
        <v>25</v>
      </c>
      <c r="X1742" s="124">
        <f>IFERROR(W1742/S1742,"")</f>
        <v/>
      </c>
      <c r="Y1742" s="121">
        <f>IFERROR(R1742/W1742,"")</f>
        <v/>
      </c>
      <c r="Z1742" s="121">
        <f>IFERROR(R1742/S1742*1000,"")</f>
        <v/>
      </c>
      <c r="AA1742" s="122" t="n">
        <v>14</v>
      </c>
      <c r="AB1742" s="54">
        <f>IFERROR(AA1742/W1742,"")</f>
        <v/>
      </c>
      <c r="AC1742" s="122" t="n">
        <v>0</v>
      </c>
      <c r="AD1742" s="122" t="n">
        <v>0</v>
      </c>
      <c r="AE1742" s="122" t="n">
        <v>0</v>
      </c>
      <c r="AF1742" s="122" t="n">
        <v>0</v>
      </c>
      <c r="AG1742" s="122" t="n">
        <v>0</v>
      </c>
      <c r="AH1742" s="122" t="n">
        <v>0</v>
      </c>
      <c r="AI1742" s="54">
        <f>IFERROR(AC1742/S1742,"")</f>
        <v/>
      </c>
      <c r="AJ1742" s="54">
        <f>IFERROR(AH1742/S1742,"")</f>
        <v/>
      </c>
      <c r="AK1742" s="122" t="n">
        <v>31</v>
      </c>
      <c r="AL1742" s="122" t="n">
        <v>0</v>
      </c>
      <c r="AM1742" s="124">
        <f>IFERROR(AL1742/AA1742,"")</f>
        <v/>
      </c>
      <c r="AN1742" s="125">
        <f>IFERROR(R1742/AL1742,"")</f>
        <v/>
      </c>
      <c r="AO1742" s="122" t="n">
        <v>0</v>
      </c>
      <c r="AP1742" s="54">
        <f>IFERROR(AO1742/AL1742,"")</f>
        <v/>
      </c>
      <c r="AQ1742" s="125">
        <f>IFERROR(R1742/AO1742,"")</f>
        <v/>
      </c>
      <c r="AR1742" s="122" t="n">
        <v>0</v>
      </c>
      <c r="AS1742" s="122" t="n">
        <v>0</v>
      </c>
      <c r="AT1742" s="122">
        <f>AL1742+AR1742</f>
        <v/>
      </c>
      <c r="AU1742" s="125">
        <f>IFERROR(AO1742*Assumptions!$C$26*Assumptions!$C$27*INDEX(Assumptions!$C$18:$C$21,MATCH(H1742,Assumptions!$B$18:$B$21,0)),0)</f>
        <v/>
      </c>
    </row>
    <row r="1743">
      <c r="A1743" s="120" t="n">
        <v>46241</v>
      </c>
      <c r="B1743" s="66" t="inlineStr">
        <is>
          <t>Wk 32</t>
        </is>
      </c>
      <c r="C1743" s="66" t="inlineStr">
        <is>
          <t>Fri</t>
        </is>
      </c>
      <c r="D1743" s="66" t="inlineStr">
        <is>
          <t>Programmatic</t>
        </is>
      </c>
      <c r="E1743" s="66" t="inlineStr">
        <is>
          <t>DV360</t>
        </is>
      </c>
      <c r="F1743" s="66" t="inlineStr">
        <is>
          <t>LEP_ZA_AUG26_PROG_TD_PROSPECT_DISPLAY</t>
        </is>
      </c>
      <c r="G1743" s="66" t="inlineStr">
        <is>
          <t>Display Prospecting</t>
        </is>
      </c>
      <c r="H1743" s="66" t="inlineStr">
        <is>
          <t>Range</t>
        </is>
      </c>
      <c r="I1743" s="66" t="inlineStr">
        <is>
          <t>Range Offer</t>
        </is>
      </c>
      <c r="J1743" s="66" t="inlineStr">
        <is>
          <t>PROG_CONTEXTUAL_AUTO_NEWS</t>
        </is>
      </c>
      <c r="K1743" s="66" t="inlineStr">
        <is>
          <t>Contextual</t>
        </is>
      </c>
      <c r="L1743" s="66" t="inlineStr">
        <is>
          <t>PROG_HTML5_300x250_Range_v1</t>
        </is>
      </c>
      <c r="M1743" s="66" t="inlineStr">
        <is>
          <t>HTML5 Display 300x250</t>
        </is>
      </c>
      <c r="N1743" s="66" t="inlineStr">
        <is>
          <t>Book a Lepas test drive</t>
        </is>
      </c>
      <c r="O1743" s="66" t="inlineStr">
        <is>
          <t>Programmatic Guaranteed / OA</t>
        </is>
      </c>
      <c r="P1743" s="66" t="inlineStr">
        <is>
          <t>Conversions (CPA)</t>
        </is>
      </c>
      <c r="Q1743" s="66" t="inlineStr">
        <is>
          <t>https://www.lepas-sa.co.za/offers</t>
        </is>
      </c>
      <c r="R1743" s="121" t="n">
        <v>249.59</v>
      </c>
      <c r="S1743" s="122" t="n">
        <v>10463</v>
      </c>
      <c r="T1743" s="122" t="n">
        <v>5284</v>
      </c>
      <c r="U1743" s="123">
        <f>IFERROR(S1743/T1743,"")</f>
        <v/>
      </c>
      <c r="V1743" s="122" t="n">
        <v>20</v>
      </c>
      <c r="W1743" s="122" t="n">
        <v>15</v>
      </c>
      <c r="X1743" s="124">
        <f>IFERROR(W1743/S1743,"")</f>
        <v/>
      </c>
      <c r="Y1743" s="121">
        <f>IFERROR(R1743/W1743,"")</f>
        <v/>
      </c>
      <c r="Z1743" s="121">
        <f>IFERROR(R1743/S1743*1000,"")</f>
        <v/>
      </c>
      <c r="AA1743" s="122" t="n">
        <v>10</v>
      </c>
      <c r="AB1743" s="54">
        <f>IFERROR(AA1743/W1743,"")</f>
        <v/>
      </c>
      <c r="AC1743" s="122" t="n">
        <v>0</v>
      </c>
      <c r="AD1743" s="122" t="n">
        <v>0</v>
      </c>
      <c r="AE1743" s="122" t="n">
        <v>0</v>
      </c>
      <c r="AF1743" s="122" t="n">
        <v>0</v>
      </c>
      <c r="AG1743" s="122" t="n">
        <v>0</v>
      </c>
      <c r="AH1743" s="122" t="n">
        <v>0</v>
      </c>
      <c r="AI1743" s="54">
        <f>IFERROR(AC1743/S1743,"")</f>
        <v/>
      </c>
      <c r="AJ1743" s="54">
        <f>IFERROR(AH1743/S1743,"")</f>
        <v/>
      </c>
      <c r="AK1743" s="122" t="n">
        <v>24</v>
      </c>
      <c r="AL1743" s="122" t="n">
        <v>1</v>
      </c>
      <c r="AM1743" s="124">
        <f>IFERROR(AL1743/AA1743,"")</f>
        <v/>
      </c>
      <c r="AN1743" s="125">
        <f>IFERROR(R1743/AL1743,"")</f>
        <v/>
      </c>
      <c r="AO1743" s="122" t="n">
        <v>1</v>
      </c>
      <c r="AP1743" s="54">
        <f>IFERROR(AO1743/AL1743,"")</f>
        <v/>
      </c>
      <c r="AQ1743" s="125">
        <f>IFERROR(R1743/AO1743,"")</f>
        <v/>
      </c>
      <c r="AR1743" s="122" t="n">
        <v>2</v>
      </c>
      <c r="AS1743" s="122" t="n">
        <v>1</v>
      </c>
      <c r="AT1743" s="122">
        <f>AL1743+AR1743</f>
        <v/>
      </c>
      <c r="AU1743" s="125">
        <f>IFERROR(AO1743*Assumptions!$C$26*Assumptions!$C$27*INDEX(Assumptions!$C$18:$C$21,MATCH(H1743,Assumptions!$B$18:$B$21,0)),0)</f>
        <v/>
      </c>
    </row>
    <row r="1744">
      <c r="A1744" s="120" t="n">
        <v>46242</v>
      </c>
      <c r="B1744" s="66" t="inlineStr">
        <is>
          <t>Wk 32</t>
        </is>
      </c>
      <c r="C1744" s="66" t="inlineStr">
        <is>
          <t>Sat</t>
        </is>
      </c>
      <c r="D1744" s="66" t="inlineStr">
        <is>
          <t>Programmatic</t>
        </is>
      </c>
      <c r="E1744" s="66" t="inlineStr">
        <is>
          <t>DV360</t>
        </is>
      </c>
      <c r="F1744" s="66" t="inlineStr">
        <is>
          <t>LEP_ZA_AUG26_PROG_TD_PROSPECT_DISPLAY</t>
        </is>
      </c>
      <c r="G1744" s="66" t="inlineStr">
        <is>
          <t>Display Prospecting</t>
        </is>
      </c>
      <c r="H1744" s="66" t="inlineStr">
        <is>
          <t>Range</t>
        </is>
      </c>
      <c r="I1744" s="66" t="inlineStr">
        <is>
          <t>Range Offer</t>
        </is>
      </c>
      <c r="J1744" s="66" t="inlineStr">
        <is>
          <t>PROG_CONTEXTUAL_AUTO_NEWS</t>
        </is>
      </c>
      <c r="K1744" s="66" t="inlineStr">
        <is>
          <t>Contextual</t>
        </is>
      </c>
      <c r="L1744" s="66" t="inlineStr">
        <is>
          <t>PROG_HTML5_300x250_Range_v1</t>
        </is>
      </c>
      <c r="M1744" s="66" t="inlineStr">
        <is>
          <t>HTML5 Display 300x250</t>
        </is>
      </c>
      <c r="N1744" s="66" t="inlineStr">
        <is>
          <t>Book a Lepas test drive</t>
        </is>
      </c>
      <c r="O1744" s="66" t="inlineStr">
        <is>
          <t>Programmatic Guaranteed / OA</t>
        </is>
      </c>
      <c r="P1744" s="66" t="inlineStr">
        <is>
          <t>Conversions (CPA)</t>
        </is>
      </c>
      <c r="Q1744" s="66" t="inlineStr">
        <is>
          <t>https://www.lepas-sa.co.za/offers</t>
        </is>
      </c>
      <c r="R1744" s="121" t="n">
        <v>251.86</v>
      </c>
      <c r="S1744" s="122" t="n">
        <v>16574</v>
      </c>
      <c r="T1744" s="122" t="n">
        <v>8796</v>
      </c>
      <c r="U1744" s="123">
        <f>IFERROR(S1744/T1744,"")</f>
        <v/>
      </c>
      <c r="V1744" s="122" t="n">
        <v>34</v>
      </c>
      <c r="W1744" s="122" t="n">
        <v>25</v>
      </c>
      <c r="X1744" s="124">
        <f>IFERROR(W1744/S1744,"")</f>
        <v/>
      </c>
      <c r="Y1744" s="121">
        <f>IFERROR(R1744/W1744,"")</f>
        <v/>
      </c>
      <c r="Z1744" s="121">
        <f>IFERROR(R1744/S1744*1000,"")</f>
        <v/>
      </c>
      <c r="AA1744" s="122" t="n">
        <v>13</v>
      </c>
      <c r="AB1744" s="54">
        <f>IFERROR(AA1744/W1744,"")</f>
        <v/>
      </c>
      <c r="AC1744" s="122" t="n">
        <v>0</v>
      </c>
      <c r="AD1744" s="122" t="n">
        <v>0</v>
      </c>
      <c r="AE1744" s="122" t="n">
        <v>0</v>
      </c>
      <c r="AF1744" s="122" t="n">
        <v>0</v>
      </c>
      <c r="AG1744" s="122" t="n">
        <v>0</v>
      </c>
      <c r="AH1744" s="122" t="n">
        <v>0</v>
      </c>
      <c r="AI1744" s="54">
        <f>IFERROR(AC1744/S1744,"")</f>
        <v/>
      </c>
      <c r="AJ1744" s="54">
        <f>IFERROR(AH1744/S1744,"")</f>
        <v/>
      </c>
      <c r="AK1744" s="122" t="n">
        <v>55</v>
      </c>
      <c r="AL1744" s="122" t="n">
        <v>1</v>
      </c>
      <c r="AM1744" s="124">
        <f>IFERROR(AL1744/AA1744,"")</f>
        <v/>
      </c>
      <c r="AN1744" s="125">
        <f>IFERROR(R1744/AL1744,"")</f>
        <v/>
      </c>
      <c r="AO1744" s="122" t="n">
        <v>0</v>
      </c>
      <c r="AP1744" s="54">
        <f>IFERROR(AO1744/AL1744,"")</f>
        <v/>
      </c>
      <c r="AQ1744" s="125">
        <f>IFERROR(R1744/AO1744,"")</f>
        <v/>
      </c>
      <c r="AR1744" s="122" t="n">
        <v>2</v>
      </c>
      <c r="AS1744" s="122" t="n">
        <v>1</v>
      </c>
      <c r="AT1744" s="122">
        <f>AL1744+AR1744</f>
        <v/>
      </c>
      <c r="AU1744" s="125">
        <f>IFERROR(AO1744*Assumptions!$C$26*Assumptions!$C$27*INDEX(Assumptions!$C$18:$C$21,MATCH(H1744,Assumptions!$B$18:$B$21,0)),0)</f>
        <v/>
      </c>
    </row>
    <row r="1745">
      <c r="A1745" s="120" t="n">
        <v>46243</v>
      </c>
      <c r="B1745" s="66" t="inlineStr">
        <is>
          <t>Wk 32</t>
        </is>
      </c>
      <c r="C1745" s="66" t="inlineStr">
        <is>
          <t>Sun</t>
        </is>
      </c>
      <c r="D1745" s="66" t="inlineStr">
        <is>
          <t>Programmatic</t>
        </is>
      </c>
      <c r="E1745" s="66" t="inlineStr">
        <is>
          <t>DV360</t>
        </is>
      </c>
      <c r="F1745" s="66" t="inlineStr">
        <is>
          <t>LEP_ZA_AUG26_PROG_TD_PROSPECT_DISPLAY</t>
        </is>
      </c>
      <c r="G1745" s="66" t="inlineStr">
        <is>
          <t>Display Prospecting</t>
        </is>
      </c>
      <c r="H1745" s="66" t="inlineStr">
        <is>
          <t>Range</t>
        </is>
      </c>
      <c r="I1745" s="66" t="inlineStr">
        <is>
          <t>Range Offer</t>
        </is>
      </c>
      <c r="J1745" s="66" t="inlineStr">
        <is>
          <t>PROG_CONTEXTUAL_AUTO_NEWS</t>
        </is>
      </c>
      <c r="K1745" s="66" t="inlineStr">
        <is>
          <t>Contextual</t>
        </is>
      </c>
      <c r="L1745" s="66" t="inlineStr">
        <is>
          <t>PROG_HTML5_300x250_Range_v1</t>
        </is>
      </c>
      <c r="M1745" s="66" t="inlineStr">
        <is>
          <t>HTML5 Display 300x250</t>
        </is>
      </c>
      <c r="N1745" s="66" t="inlineStr">
        <is>
          <t>Book a Lepas test drive</t>
        </is>
      </c>
      <c r="O1745" s="66" t="inlineStr">
        <is>
          <t>Programmatic Guaranteed / OA</t>
        </is>
      </c>
      <c r="P1745" s="66" t="inlineStr">
        <is>
          <t>Conversions (CPA)</t>
        </is>
      </c>
      <c r="Q1745" s="66" t="inlineStr">
        <is>
          <t>https://www.lepas-sa.co.za/offers</t>
        </is>
      </c>
      <c r="R1745" s="121" t="n">
        <v>187.52</v>
      </c>
      <c r="S1745" s="122" t="n">
        <v>9973</v>
      </c>
      <c r="T1745" s="122" t="n">
        <v>5918</v>
      </c>
      <c r="U1745" s="123">
        <f>IFERROR(S1745/T1745,"")</f>
        <v/>
      </c>
      <c r="V1745" s="122" t="n">
        <v>17</v>
      </c>
      <c r="W1745" s="122" t="n">
        <v>13</v>
      </c>
      <c r="X1745" s="124">
        <f>IFERROR(W1745/S1745,"")</f>
        <v/>
      </c>
      <c r="Y1745" s="121">
        <f>IFERROR(R1745/W1745,"")</f>
        <v/>
      </c>
      <c r="Z1745" s="121">
        <f>IFERROR(R1745/S1745*1000,"")</f>
        <v/>
      </c>
      <c r="AA1745" s="122" t="n">
        <v>8</v>
      </c>
      <c r="AB1745" s="54">
        <f>IFERROR(AA1745/W1745,"")</f>
        <v/>
      </c>
      <c r="AC1745" s="122" t="n">
        <v>0</v>
      </c>
      <c r="AD1745" s="122" t="n">
        <v>0</v>
      </c>
      <c r="AE1745" s="122" t="n">
        <v>0</v>
      </c>
      <c r="AF1745" s="122" t="n">
        <v>0</v>
      </c>
      <c r="AG1745" s="122" t="n">
        <v>0</v>
      </c>
      <c r="AH1745" s="122" t="n">
        <v>0</v>
      </c>
      <c r="AI1745" s="54">
        <f>IFERROR(AC1745/S1745,"")</f>
        <v/>
      </c>
      <c r="AJ1745" s="54">
        <f>IFERROR(AH1745/S1745,"")</f>
        <v/>
      </c>
      <c r="AK1745" s="122" t="n">
        <v>34</v>
      </c>
      <c r="AL1745" s="122" t="n">
        <v>0</v>
      </c>
      <c r="AM1745" s="124">
        <f>IFERROR(AL1745/AA1745,"")</f>
        <v/>
      </c>
      <c r="AN1745" s="125">
        <f>IFERROR(R1745/AL1745,"")</f>
        <v/>
      </c>
      <c r="AO1745" s="122" t="n">
        <v>0</v>
      </c>
      <c r="AP1745" s="54">
        <f>IFERROR(AO1745/AL1745,"")</f>
        <v/>
      </c>
      <c r="AQ1745" s="125">
        <f>IFERROR(R1745/AO1745,"")</f>
        <v/>
      </c>
      <c r="AR1745" s="122" t="n">
        <v>0</v>
      </c>
      <c r="AS1745" s="122" t="n">
        <v>0</v>
      </c>
      <c r="AT1745" s="122">
        <f>AL1745+AR1745</f>
        <v/>
      </c>
      <c r="AU1745" s="125">
        <f>IFERROR(AO1745*Assumptions!$C$26*Assumptions!$C$27*INDEX(Assumptions!$C$18:$C$21,MATCH(H1745,Assumptions!$B$18:$B$21,0)),0)</f>
        <v/>
      </c>
    </row>
    <row r="1746">
      <c r="A1746" s="120" t="n">
        <v>46244</v>
      </c>
      <c r="B1746" s="66" t="inlineStr">
        <is>
          <t>Wk 33</t>
        </is>
      </c>
      <c r="C1746" s="66" t="inlineStr">
        <is>
          <t>Mon</t>
        </is>
      </c>
      <c r="D1746" s="66" t="inlineStr">
        <is>
          <t>Programmatic</t>
        </is>
      </c>
      <c r="E1746" s="66" t="inlineStr">
        <is>
          <t>DV360</t>
        </is>
      </c>
      <c r="F1746" s="66" t="inlineStr">
        <is>
          <t>LEP_ZA_AUG26_PROG_TD_PROSPECT_DISPLAY</t>
        </is>
      </c>
      <c r="G1746" s="66" t="inlineStr">
        <is>
          <t>Display Prospecting</t>
        </is>
      </c>
      <c r="H1746" s="66" t="inlineStr">
        <is>
          <t>Range</t>
        </is>
      </c>
      <c r="I1746" s="66" t="inlineStr">
        <is>
          <t>Range Offer</t>
        </is>
      </c>
      <c r="J1746" s="66" t="inlineStr">
        <is>
          <t>PROG_CONTEXTUAL_AUTO_NEWS</t>
        </is>
      </c>
      <c r="K1746" s="66" t="inlineStr">
        <is>
          <t>Contextual</t>
        </is>
      </c>
      <c r="L1746" s="66" t="inlineStr">
        <is>
          <t>PROG_HTML5_300x250_Range_v1</t>
        </is>
      </c>
      <c r="M1746" s="66" t="inlineStr">
        <is>
          <t>HTML5 Display 300x250</t>
        </is>
      </c>
      <c r="N1746" s="66" t="inlineStr">
        <is>
          <t>Book a Lepas test drive</t>
        </is>
      </c>
      <c r="O1746" s="66" t="inlineStr">
        <is>
          <t>Programmatic Guaranteed / OA</t>
        </is>
      </c>
      <c r="P1746" s="66" t="inlineStr">
        <is>
          <t>Conversions (CPA)</t>
        </is>
      </c>
      <c r="Q1746" s="66" t="inlineStr">
        <is>
          <t>https://www.lepas-sa.co.za/offers</t>
        </is>
      </c>
      <c r="R1746" s="121" t="n">
        <v>265.2</v>
      </c>
      <c r="S1746" s="122" t="n">
        <v>10371</v>
      </c>
      <c r="T1746" s="122" t="n">
        <v>7207</v>
      </c>
      <c r="U1746" s="123">
        <f>IFERROR(S1746/T1746,"")</f>
        <v/>
      </c>
      <c r="V1746" s="122" t="n">
        <v>15</v>
      </c>
      <c r="W1746" s="122" t="n">
        <v>11</v>
      </c>
      <c r="X1746" s="124">
        <f>IFERROR(W1746/S1746,"")</f>
        <v/>
      </c>
      <c r="Y1746" s="121">
        <f>IFERROR(R1746/W1746,"")</f>
        <v/>
      </c>
      <c r="Z1746" s="121">
        <f>IFERROR(R1746/S1746*1000,"")</f>
        <v/>
      </c>
      <c r="AA1746" s="122" t="n">
        <v>7</v>
      </c>
      <c r="AB1746" s="54">
        <f>IFERROR(AA1746/W1746,"")</f>
        <v/>
      </c>
      <c r="AC1746" s="122" t="n">
        <v>0</v>
      </c>
      <c r="AD1746" s="122" t="n">
        <v>0</v>
      </c>
      <c r="AE1746" s="122" t="n">
        <v>0</v>
      </c>
      <c r="AF1746" s="122" t="n">
        <v>0</v>
      </c>
      <c r="AG1746" s="122" t="n">
        <v>0</v>
      </c>
      <c r="AH1746" s="122" t="n">
        <v>0</v>
      </c>
      <c r="AI1746" s="54">
        <f>IFERROR(AC1746/S1746,"")</f>
        <v/>
      </c>
      <c r="AJ1746" s="54">
        <f>IFERROR(AH1746/S1746,"")</f>
        <v/>
      </c>
      <c r="AK1746" s="122" t="n">
        <v>59</v>
      </c>
      <c r="AL1746" s="122" t="n">
        <v>0</v>
      </c>
      <c r="AM1746" s="124">
        <f>IFERROR(AL1746/AA1746,"")</f>
        <v/>
      </c>
      <c r="AN1746" s="125">
        <f>IFERROR(R1746/AL1746,"")</f>
        <v/>
      </c>
      <c r="AO1746" s="122" t="n">
        <v>0</v>
      </c>
      <c r="AP1746" s="54">
        <f>IFERROR(AO1746/AL1746,"")</f>
        <v/>
      </c>
      <c r="AQ1746" s="125">
        <f>IFERROR(R1746/AO1746,"")</f>
        <v/>
      </c>
      <c r="AR1746" s="122" t="n">
        <v>0</v>
      </c>
      <c r="AS1746" s="122" t="n">
        <v>0</v>
      </c>
      <c r="AT1746" s="122">
        <f>AL1746+AR1746</f>
        <v/>
      </c>
      <c r="AU1746" s="125">
        <f>IFERROR(AO1746*Assumptions!$C$26*Assumptions!$C$27*INDEX(Assumptions!$C$18:$C$21,MATCH(H1746,Assumptions!$B$18:$B$21,0)),0)</f>
        <v/>
      </c>
    </row>
    <row r="1747">
      <c r="A1747" s="120" t="n">
        <v>46245</v>
      </c>
      <c r="B1747" s="66" t="inlineStr">
        <is>
          <t>Wk 33</t>
        </is>
      </c>
      <c r="C1747" s="66" t="inlineStr">
        <is>
          <t>Tue</t>
        </is>
      </c>
      <c r="D1747" s="66" t="inlineStr">
        <is>
          <t>Programmatic</t>
        </is>
      </c>
      <c r="E1747" s="66" t="inlineStr">
        <is>
          <t>DV360</t>
        </is>
      </c>
      <c r="F1747" s="66" t="inlineStr">
        <is>
          <t>LEP_ZA_AUG26_PROG_TD_PROSPECT_DISPLAY</t>
        </is>
      </c>
      <c r="G1747" s="66" t="inlineStr">
        <is>
          <t>Display Prospecting</t>
        </is>
      </c>
      <c r="H1747" s="66" t="inlineStr">
        <is>
          <t>Range</t>
        </is>
      </c>
      <c r="I1747" s="66" t="inlineStr">
        <is>
          <t>Range Offer</t>
        </is>
      </c>
      <c r="J1747" s="66" t="inlineStr">
        <is>
          <t>PROG_CONTEXTUAL_AUTO_NEWS</t>
        </is>
      </c>
      <c r="K1747" s="66" t="inlineStr">
        <is>
          <t>Contextual</t>
        </is>
      </c>
      <c r="L1747" s="66" t="inlineStr">
        <is>
          <t>PROG_HTML5_300x250_Range_v1</t>
        </is>
      </c>
      <c r="M1747" s="66" t="inlineStr">
        <is>
          <t>HTML5 Display 300x250</t>
        </is>
      </c>
      <c r="N1747" s="66" t="inlineStr">
        <is>
          <t>Book a Lepas test drive</t>
        </is>
      </c>
      <c r="O1747" s="66" t="inlineStr">
        <is>
          <t>Programmatic Guaranteed / OA</t>
        </is>
      </c>
      <c r="P1747" s="66" t="inlineStr">
        <is>
          <t>Conversions (CPA)</t>
        </is>
      </c>
      <c r="Q1747" s="66" t="inlineStr">
        <is>
          <t>https://www.lepas-sa.co.za/offers</t>
        </is>
      </c>
      <c r="R1747" s="121" t="n">
        <v>212.23</v>
      </c>
      <c r="S1747" s="122" t="n">
        <v>10880</v>
      </c>
      <c r="T1747" s="122" t="n">
        <v>5234</v>
      </c>
      <c r="U1747" s="123">
        <f>IFERROR(S1747/T1747,"")</f>
        <v/>
      </c>
      <c r="V1747" s="122" t="n">
        <v>21</v>
      </c>
      <c r="W1747" s="122" t="n">
        <v>16</v>
      </c>
      <c r="X1747" s="124">
        <f>IFERROR(W1747/S1747,"")</f>
        <v/>
      </c>
      <c r="Y1747" s="121">
        <f>IFERROR(R1747/W1747,"")</f>
        <v/>
      </c>
      <c r="Z1747" s="121">
        <f>IFERROR(R1747/S1747*1000,"")</f>
        <v/>
      </c>
      <c r="AA1747" s="122" t="n">
        <v>9</v>
      </c>
      <c r="AB1747" s="54">
        <f>IFERROR(AA1747/W1747,"")</f>
        <v/>
      </c>
      <c r="AC1747" s="122" t="n">
        <v>0</v>
      </c>
      <c r="AD1747" s="122" t="n">
        <v>0</v>
      </c>
      <c r="AE1747" s="122" t="n">
        <v>0</v>
      </c>
      <c r="AF1747" s="122" t="n">
        <v>0</v>
      </c>
      <c r="AG1747" s="122" t="n">
        <v>0</v>
      </c>
      <c r="AH1747" s="122" t="n">
        <v>0</v>
      </c>
      <c r="AI1747" s="54">
        <f>IFERROR(AC1747/S1747,"")</f>
        <v/>
      </c>
      <c r="AJ1747" s="54">
        <f>IFERROR(AH1747/S1747,"")</f>
        <v/>
      </c>
      <c r="AK1747" s="122" t="n">
        <v>16</v>
      </c>
      <c r="AL1747" s="122" t="n">
        <v>0</v>
      </c>
      <c r="AM1747" s="124">
        <f>IFERROR(AL1747/AA1747,"")</f>
        <v/>
      </c>
      <c r="AN1747" s="125">
        <f>IFERROR(R1747/AL1747,"")</f>
        <v/>
      </c>
      <c r="AO1747" s="122" t="n">
        <v>0</v>
      </c>
      <c r="AP1747" s="54">
        <f>IFERROR(AO1747/AL1747,"")</f>
        <v/>
      </c>
      <c r="AQ1747" s="125">
        <f>IFERROR(R1747/AO1747,"")</f>
        <v/>
      </c>
      <c r="AR1747" s="122" t="n">
        <v>0</v>
      </c>
      <c r="AS1747" s="122" t="n">
        <v>0</v>
      </c>
      <c r="AT1747" s="122">
        <f>AL1747+AR1747</f>
        <v/>
      </c>
      <c r="AU1747" s="125">
        <f>IFERROR(AO1747*Assumptions!$C$26*Assumptions!$C$27*INDEX(Assumptions!$C$18:$C$21,MATCH(H1747,Assumptions!$B$18:$B$21,0)),0)</f>
        <v/>
      </c>
    </row>
    <row r="1748">
      <c r="A1748" s="120" t="n">
        <v>46246</v>
      </c>
      <c r="B1748" s="66" t="inlineStr">
        <is>
          <t>Wk 33</t>
        </is>
      </c>
      <c r="C1748" s="66" t="inlineStr">
        <is>
          <t>Wed</t>
        </is>
      </c>
      <c r="D1748" s="66" t="inlineStr">
        <is>
          <t>Programmatic</t>
        </is>
      </c>
      <c r="E1748" s="66" t="inlineStr">
        <is>
          <t>DV360</t>
        </is>
      </c>
      <c r="F1748" s="66" t="inlineStr">
        <is>
          <t>LEP_ZA_AUG26_PROG_TD_PROSPECT_DISPLAY</t>
        </is>
      </c>
      <c r="G1748" s="66" t="inlineStr">
        <is>
          <t>Display Prospecting</t>
        </is>
      </c>
      <c r="H1748" s="66" t="inlineStr">
        <is>
          <t>Range</t>
        </is>
      </c>
      <c r="I1748" s="66" t="inlineStr">
        <is>
          <t>Range Offer</t>
        </is>
      </c>
      <c r="J1748" s="66" t="inlineStr">
        <is>
          <t>PROG_CONTEXTUAL_AUTO_NEWS</t>
        </is>
      </c>
      <c r="K1748" s="66" t="inlineStr">
        <is>
          <t>Contextual</t>
        </is>
      </c>
      <c r="L1748" s="66" t="inlineStr">
        <is>
          <t>PROG_HTML5_300x250_Range_v1</t>
        </is>
      </c>
      <c r="M1748" s="66" t="inlineStr">
        <is>
          <t>HTML5 Display 300x250</t>
        </is>
      </c>
      <c r="N1748" s="66" t="inlineStr">
        <is>
          <t>Book a Lepas test drive</t>
        </is>
      </c>
      <c r="O1748" s="66" t="inlineStr">
        <is>
          <t>Programmatic Guaranteed / OA</t>
        </is>
      </c>
      <c r="P1748" s="66" t="inlineStr">
        <is>
          <t>Conversions (CPA)</t>
        </is>
      </c>
      <c r="Q1748" s="66" t="inlineStr">
        <is>
          <t>https://www.lepas-sa.co.za/offers</t>
        </is>
      </c>
      <c r="R1748" s="121" t="n">
        <v>202.19</v>
      </c>
      <c r="S1748" s="122" t="n">
        <v>9156</v>
      </c>
      <c r="T1748" s="122" t="n">
        <v>5284</v>
      </c>
      <c r="U1748" s="123">
        <f>IFERROR(S1748/T1748,"")</f>
        <v/>
      </c>
      <c r="V1748" s="122" t="n">
        <v>24</v>
      </c>
      <c r="W1748" s="122" t="n">
        <v>18</v>
      </c>
      <c r="X1748" s="124">
        <f>IFERROR(W1748/S1748,"")</f>
        <v/>
      </c>
      <c r="Y1748" s="121">
        <f>IFERROR(R1748/W1748,"")</f>
        <v/>
      </c>
      <c r="Z1748" s="121">
        <f>IFERROR(R1748/S1748*1000,"")</f>
        <v/>
      </c>
      <c r="AA1748" s="122" t="n">
        <v>13</v>
      </c>
      <c r="AB1748" s="54">
        <f>IFERROR(AA1748/W1748,"")</f>
        <v/>
      </c>
      <c r="AC1748" s="122" t="n">
        <v>0</v>
      </c>
      <c r="AD1748" s="122" t="n">
        <v>0</v>
      </c>
      <c r="AE1748" s="122" t="n">
        <v>0</v>
      </c>
      <c r="AF1748" s="122" t="n">
        <v>0</v>
      </c>
      <c r="AG1748" s="122" t="n">
        <v>0</v>
      </c>
      <c r="AH1748" s="122" t="n">
        <v>0</v>
      </c>
      <c r="AI1748" s="54">
        <f>IFERROR(AC1748/S1748,"")</f>
        <v/>
      </c>
      <c r="AJ1748" s="54">
        <f>IFERROR(AH1748/S1748,"")</f>
        <v/>
      </c>
      <c r="AK1748" s="122" t="n">
        <v>52</v>
      </c>
      <c r="AL1748" s="122" t="n">
        <v>0</v>
      </c>
      <c r="AM1748" s="124">
        <f>IFERROR(AL1748/AA1748,"")</f>
        <v/>
      </c>
      <c r="AN1748" s="125">
        <f>IFERROR(R1748/AL1748,"")</f>
        <v/>
      </c>
      <c r="AO1748" s="122" t="n">
        <v>0</v>
      </c>
      <c r="AP1748" s="54">
        <f>IFERROR(AO1748/AL1748,"")</f>
        <v/>
      </c>
      <c r="AQ1748" s="125">
        <f>IFERROR(R1748/AO1748,"")</f>
        <v/>
      </c>
      <c r="AR1748" s="122" t="n">
        <v>0</v>
      </c>
      <c r="AS1748" s="122" t="n">
        <v>0</v>
      </c>
      <c r="AT1748" s="122">
        <f>AL1748+AR1748</f>
        <v/>
      </c>
      <c r="AU1748" s="125">
        <f>IFERROR(AO1748*Assumptions!$C$26*Assumptions!$C$27*INDEX(Assumptions!$C$18:$C$21,MATCH(H1748,Assumptions!$B$18:$B$21,0)),0)</f>
        <v/>
      </c>
    </row>
    <row r="1749">
      <c r="A1749" s="120" t="n">
        <v>46247</v>
      </c>
      <c r="B1749" s="66" t="inlineStr">
        <is>
          <t>Wk 33</t>
        </is>
      </c>
      <c r="C1749" s="66" t="inlineStr">
        <is>
          <t>Thu</t>
        </is>
      </c>
      <c r="D1749" s="66" t="inlineStr">
        <is>
          <t>Programmatic</t>
        </is>
      </c>
      <c r="E1749" s="66" t="inlineStr">
        <is>
          <t>DV360</t>
        </is>
      </c>
      <c r="F1749" s="66" t="inlineStr">
        <is>
          <t>LEP_ZA_AUG26_PROG_TD_PROSPECT_DISPLAY</t>
        </is>
      </c>
      <c r="G1749" s="66" t="inlineStr">
        <is>
          <t>Display Prospecting</t>
        </is>
      </c>
      <c r="H1749" s="66" t="inlineStr">
        <is>
          <t>Range</t>
        </is>
      </c>
      <c r="I1749" s="66" t="inlineStr">
        <is>
          <t>Range Offer</t>
        </is>
      </c>
      <c r="J1749" s="66" t="inlineStr">
        <is>
          <t>PROG_CONTEXTUAL_AUTO_NEWS</t>
        </is>
      </c>
      <c r="K1749" s="66" t="inlineStr">
        <is>
          <t>Contextual</t>
        </is>
      </c>
      <c r="L1749" s="66" t="inlineStr">
        <is>
          <t>PROG_HTML5_300x250_Range_v1</t>
        </is>
      </c>
      <c r="M1749" s="66" t="inlineStr">
        <is>
          <t>HTML5 Display 300x250</t>
        </is>
      </c>
      <c r="N1749" s="66" t="inlineStr">
        <is>
          <t>Book a Lepas test drive</t>
        </is>
      </c>
      <c r="O1749" s="66" t="inlineStr">
        <is>
          <t>Programmatic Guaranteed / OA</t>
        </is>
      </c>
      <c r="P1749" s="66" t="inlineStr">
        <is>
          <t>Conversions (CPA)</t>
        </is>
      </c>
      <c r="Q1749" s="66" t="inlineStr">
        <is>
          <t>https://www.lepas-sa.co.za/offers</t>
        </is>
      </c>
      <c r="R1749" s="121" t="n">
        <v>229.32</v>
      </c>
      <c r="S1749" s="122" t="n">
        <v>7226</v>
      </c>
      <c r="T1749" s="122" t="n">
        <v>4886</v>
      </c>
      <c r="U1749" s="123">
        <f>IFERROR(S1749/T1749,"")</f>
        <v/>
      </c>
      <c r="V1749" s="122" t="n">
        <v>17</v>
      </c>
      <c r="W1749" s="122" t="n">
        <v>12</v>
      </c>
      <c r="X1749" s="124">
        <f>IFERROR(W1749/S1749,"")</f>
        <v/>
      </c>
      <c r="Y1749" s="121">
        <f>IFERROR(R1749/W1749,"")</f>
        <v/>
      </c>
      <c r="Z1749" s="121">
        <f>IFERROR(R1749/S1749*1000,"")</f>
        <v/>
      </c>
      <c r="AA1749" s="122" t="n">
        <v>8</v>
      </c>
      <c r="AB1749" s="54">
        <f>IFERROR(AA1749/W1749,"")</f>
        <v/>
      </c>
      <c r="AC1749" s="122" t="n">
        <v>0</v>
      </c>
      <c r="AD1749" s="122" t="n">
        <v>0</v>
      </c>
      <c r="AE1749" s="122" t="n">
        <v>0</v>
      </c>
      <c r="AF1749" s="122" t="n">
        <v>0</v>
      </c>
      <c r="AG1749" s="122" t="n">
        <v>0</v>
      </c>
      <c r="AH1749" s="122" t="n">
        <v>0</v>
      </c>
      <c r="AI1749" s="54">
        <f>IFERROR(AC1749/S1749,"")</f>
        <v/>
      </c>
      <c r="AJ1749" s="54">
        <f>IFERROR(AH1749/S1749,"")</f>
        <v/>
      </c>
      <c r="AK1749" s="122" t="n">
        <v>18</v>
      </c>
      <c r="AL1749" s="122" t="n">
        <v>1</v>
      </c>
      <c r="AM1749" s="124">
        <f>IFERROR(AL1749/AA1749,"")</f>
        <v/>
      </c>
      <c r="AN1749" s="125">
        <f>IFERROR(R1749/AL1749,"")</f>
        <v/>
      </c>
      <c r="AO1749" s="122" t="n">
        <v>0</v>
      </c>
      <c r="AP1749" s="54">
        <f>IFERROR(AO1749/AL1749,"")</f>
        <v/>
      </c>
      <c r="AQ1749" s="125">
        <f>IFERROR(R1749/AO1749,"")</f>
        <v/>
      </c>
      <c r="AR1749" s="122" t="n">
        <v>2</v>
      </c>
      <c r="AS1749" s="122" t="n">
        <v>1</v>
      </c>
      <c r="AT1749" s="122">
        <f>AL1749+AR1749</f>
        <v/>
      </c>
      <c r="AU1749" s="125">
        <f>IFERROR(AO1749*Assumptions!$C$26*Assumptions!$C$27*INDEX(Assumptions!$C$18:$C$21,MATCH(H1749,Assumptions!$B$18:$B$21,0)),0)</f>
        <v/>
      </c>
    </row>
    <row r="1750">
      <c r="A1750" s="120" t="n">
        <v>46248</v>
      </c>
      <c r="B1750" s="66" t="inlineStr">
        <is>
          <t>Wk 33</t>
        </is>
      </c>
      <c r="C1750" s="66" t="inlineStr">
        <is>
          <t>Fri</t>
        </is>
      </c>
      <c r="D1750" s="66" t="inlineStr">
        <is>
          <t>Programmatic</t>
        </is>
      </c>
      <c r="E1750" s="66" t="inlineStr">
        <is>
          <t>DV360</t>
        </is>
      </c>
      <c r="F1750" s="66" t="inlineStr">
        <is>
          <t>LEP_ZA_AUG26_PROG_TD_PROSPECT_DISPLAY</t>
        </is>
      </c>
      <c r="G1750" s="66" t="inlineStr">
        <is>
          <t>Display Prospecting</t>
        </is>
      </c>
      <c r="H1750" s="66" t="inlineStr">
        <is>
          <t>Range</t>
        </is>
      </c>
      <c r="I1750" s="66" t="inlineStr">
        <is>
          <t>Range Offer</t>
        </is>
      </c>
      <c r="J1750" s="66" t="inlineStr">
        <is>
          <t>PROG_CONTEXTUAL_AUTO_NEWS</t>
        </is>
      </c>
      <c r="K1750" s="66" t="inlineStr">
        <is>
          <t>Contextual</t>
        </is>
      </c>
      <c r="L1750" s="66" t="inlineStr">
        <is>
          <t>PROG_HTML5_300x250_Range_v1</t>
        </is>
      </c>
      <c r="M1750" s="66" t="inlineStr">
        <is>
          <t>HTML5 Display 300x250</t>
        </is>
      </c>
      <c r="N1750" s="66" t="inlineStr">
        <is>
          <t>Book a Lepas test drive</t>
        </is>
      </c>
      <c r="O1750" s="66" t="inlineStr">
        <is>
          <t>Programmatic Guaranteed / OA</t>
        </is>
      </c>
      <c r="P1750" s="66" t="inlineStr">
        <is>
          <t>Conversions (CPA)</t>
        </is>
      </c>
      <c r="Q1750" s="66" t="inlineStr">
        <is>
          <t>https://www.lepas-sa.co.za/offers</t>
        </is>
      </c>
      <c r="R1750" s="121" t="n">
        <v>229.89</v>
      </c>
      <c r="S1750" s="122" t="n">
        <v>12235</v>
      </c>
      <c r="T1750" s="122" t="n">
        <v>7209</v>
      </c>
      <c r="U1750" s="123">
        <f>IFERROR(S1750/T1750,"")</f>
        <v/>
      </c>
      <c r="V1750" s="122" t="n">
        <v>16</v>
      </c>
      <c r="W1750" s="122" t="n">
        <v>13</v>
      </c>
      <c r="X1750" s="124">
        <f>IFERROR(W1750/S1750,"")</f>
        <v/>
      </c>
      <c r="Y1750" s="121">
        <f>IFERROR(R1750/W1750,"")</f>
        <v/>
      </c>
      <c r="Z1750" s="121">
        <f>IFERROR(R1750/S1750*1000,"")</f>
        <v/>
      </c>
      <c r="AA1750" s="122" t="n">
        <v>9</v>
      </c>
      <c r="AB1750" s="54">
        <f>IFERROR(AA1750/W1750,"")</f>
        <v/>
      </c>
      <c r="AC1750" s="122" t="n">
        <v>0</v>
      </c>
      <c r="AD1750" s="122" t="n">
        <v>0</v>
      </c>
      <c r="AE1750" s="122" t="n">
        <v>0</v>
      </c>
      <c r="AF1750" s="122" t="n">
        <v>0</v>
      </c>
      <c r="AG1750" s="122" t="n">
        <v>0</v>
      </c>
      <c r="AH1750" s="122" t="n">
        <v>0</v>
      </c>
      <c r="AI1750" s="54">
        <f>IFERROR(AC1750/S1750,"")</f>
        <v/>
      </c>
      <c r="AJ1750" s="54">
        <f>IFERROR(AH1750/S1750,"")</f>
        <v/>
      </c>
      <c r="AK1750" s="122" t="n">
        <v>30</v>
      </c>
      <c r="AL1750" s="122" t="n">
        <v>1</v>
      </c>
      <c r="AM1750" s="124">
        <f>IFERROR(AL1750/AA1750,"")</f>
        <v/>
      </c>
      <c r="AN1750" s="125">
        <f>IFERROR(R1750/AL1750,"")</f>
        <v/>
      </c>
      <c r="AO1750" s="122" t="n">
        <v>1</v>
      </c>
      <c r="AP1750" s="54">
        <f>IFERROR(AO1750/AL1750,"")</f>
        <v/>
      </c>
      <c r="AQ1750" s="125">
        <f>IFERROR(R1750/AO1750,"")</f>
        <v/>
      </c>
      <c r="AR1750" s="122" t="n">
        <v>2</v>
      </c>
      <c r="AS1750" s="122" t="n">
        <v>1</v>
      </c>
      <c r="AT1750" s="122">
        <f>AL1750+AR1750</f>
        <v/>
      </c>
      <c r="AU1750" s="125">
        <f>IFERROR(AO1750*Assumptions!$C$26*Assumptions!$C$27*INDEX(Assumptions!$C$18:$C$21,MATCH(H1750,Assumptions!$B$18:$B$21,0)),0)</f>
        <v/>
      </c>
    </row>
    <row r="1751">
      <c r="A1751" s="120" t="n">
        <v>46249</v>
      </c>
      <c r="B1751" s="66" t="inlineStr">
        <is>
          <t>Wk 33</t>
        </is>
      </c>
      <c r="C1751" s="66" t="inlineStr">
        <is>
          <t>Sat</t>
        </is>
      </c>
      <c r="D1751" s="66" t="inlineStr">
        <is>
          <t>Programmatic</t>
        </is>
      </c>
      <c r="E1751" s="66" t="inlineStr">
        <is>
          <t>DV360</t>
        </is>
      </c>
      <c r="F1751" s="66" t="inlineStr">
        <is>
          <t>LEP_ZA_AUG26_PROG_TD_PROSPECT_DISPLAY</t>
        </is>
      </c>
      <c r="G1751" s="66" t="inlineStr">
        <is>
          <t>Display Prospecting</t>
        </is>
      </c>
      <c r="H1751" s="66" t="inlineStr">
        <is>
          <t>Range</t>
        </is>
      </c>
      <c r="I1751" s="66" t="inlineStr">
        <is>
          <t>Range Offer</t>
        </is>
      </c>
      <c r="J1751" s="66" t="inlineStr">
        <is>
          <t>PROG_CONTEXTUAL_AUTO_NEWS</t>
        </is>
      </c>
      <c r="K1751" s="66" t="inlineStr">
        <is>
          <t>Contextual</t>
        </is>
      </c>
      <c r="L1751" s="66" t="inlineStr">
        <is>
          <t>PROG_HTML5_300x250_Range_v1</t>
        </is>
      </c>
      <c r="M1751" s="66" t="inlineStr">
        <is>
          <t>HTML5 Display 300x250</t>
        </is>
      </c>
      <c r="N1751" s="66" t="inlineStr">
        <is>
          <t>Book a Lepas test drive</t>
        </is>
      </c>
      <c r="O1751" s="66" t="inlineStr">
        <is>
          <t>Programmatic Guaranteed / OA</t>
        </is>
      </c>
      <c r="P1751" s="66" t="inlineStr">
        <is>
          <t>Conversions (CPA)</t>
        </is>
      </c>
      <c r="Q1751" s="66" t="inlineStr">
        <is>
          <t>https://www.lepas-sa.co.za/offers</t>
        </is>
      </c>
      <c r="R1751" s="121" t="n">
        <v>231.3</v>
      </c>
      <c r="S1751" s="122" t="n">
        <v>14279</v>
      </c>
      <c r="T1751" s="122" t="n">
        <v>8021</v>
      </c>
      <c r="U1751" s="123">
        <f>IFERROR(S1751/T1751,"")</f>
        <v/>
      </c>
      <c r="V1751" s="122" t="n">
        <v>16</v>
      </c>
      <c r="W1751" s="122" t="n">
        <v>14</v>
      </c>
      <c r="X1751" s="124">
        <f>IFERROR(W1751/S1751,"")</f>
        <v/>
      </c>
      <c r="Y1751" s="121">
        <f>IFERROR(R1751/W1751,"")</f>
        <v/>
      </c>
      <c r="Z1751" s="121">
        <f>IFERROR(R1751/S1751*1000,"")</f>
        <v/>
      </c>
      <c r="AA1751" s="122" t="n">
        <v>7</v>
      </c>
      <c r="AB1751" s="54">
        <f>IFERROR(AA1751/W1751,"")</f>
        <v/>
      </c>
      <c r="AC1751" s="122" t="n">
        <v>0</v>
      </c>
      <c r="AD1751" s="122" t="n">
        <v>0</v>
      </c>
      <c r="AE1751" s="122" t="n">
        <v>0</v>
      </c>
      <c r="AF1751" s="122" t="n">
        <v>0</v>
      </c>
      <c r="AG1751" s="122" t="n">
        <v>0</v>
      </c>
      <c r="AH1751" s="122" t="n">
        <v>0</v>
      </c>
      <c r="AI1751" s="54">
        <f>IFERROR(AC1751/S1751,"")</f>
        <v/>
      </c>
      <c r="AJ1751" s="54">
        <f>IFERROR(AH1751/S1751,"")</f>
        <v/>
      </c>
      <c r="AK1751" s="122" t="n">
        <v>83</v>
      </c>
      <c r="AL1751" s="122" t="n">
        <v>0</v>
      </c>
      <c r="AM1751" s="124">
        <f>IFERROR(AL1751/AA1751,"")</f>
        <v/>
      </c>
      <c r="AN1751" s="125">
        <f>IFERROR(R1751/AL1751,"")</f>
        <v/>
      </c>
      <c r="AO1751" s="122" t="n">
        <v>0</v>
      </c>
      <c r="AP1751" s="54">
        <f>IFERROR(AO1751/AL1751,"")</f>
        <v/>
      </c>
      <c r="AQ1751" s="125">
        <f>IFERROR(R1751/AO1751,"")</f>
        <v/>
      </c>
      <c r="AR1751" s="122" t="n">
        <v>0</v>
      </c>
      <c r="AS1751" s="122" t="n">
        <v>0</v>
      </c>
      <c r="AT1751" s="122">
        <f>AL1751+AR1751</f>
        <v/>
      </c>
      <c r="AU1751" s="125">
        <f>IFERROR(AO1751*Assumptions!$C$26*Assumptions!$C$27*INDEX(Assumptions!$C$18:$C$21,MATCH(H1751,Assumptions!$B$18:$B$21,0)),0)</f>
        <v/>
      </c>
    </row>
    <row r="1752">
      <c r="A1752" s="120" t="n">
        <v>46250</v>
      </c>
      <c r="B1752" s="66" t="inlineStr">
        <is>
          <t>Wk 33</t>
        </is>
      </c>
      <c r="C1752" s="66" t="inlineStr">
        <is>
          <t>Sun</t>
        </is>
      </c>
      <c r="D1752" s="66" t="inlineStr">
        <is>
          <t>Programmatic</t>
        </is>
      </c>
      <c r="E1752" s="66" t="inlineStr">
        <is>
          <t>DV360</t>
        </is>
      </c>
      <c r="F1752" s="66" t="inlineStr">
        <is>
          <t>LEP_ZA_AUG26_PROG_TD_PROSPECT_DISPLAY</t>
        </is>
      </c>
      <c r="G1752" s="66" t="inlineStr">
        <is>
          <t>Display Prospecting</t>
        </is>
      </c>
      <c r="H1752" s="66" t="inlineStr">
        <is>
          <t>Range</t>
        </is>
      </c>
      <c r="I1752" s="66" t="inlineStr">
        <is>
          <t>Range Offer</t>
        </is>
      </c>
      <c r="J1752" s="66" t="inlineStr">
        <is>
          <t>PROG_CONTEXTUAL_AUTO_NEWS</t>
        </is>
      </c>
      <c r="K1752" s="66" t="inlineStr">
        <is>
          <t>Contextual</t>
        </is>
      </c>
      <c r="L1752" s="66" t="inlineStr">
        <is>
          <t>PROG_HTML5_300x250_Range_v1</t>
        </is>
      </c>
      <c r="M1752" s="66" t="inlineStr">
        <is>
          <t>HTML5 Display 300x250</t>
        </is>
      </c>
      <c r="N1752" s="66" t="inlineStr">
        <is>
          <t>Book a Lepas test drive</t>
        </is>
      </c>
      <c r="O1752" s="66" t="inlineStr">
        <is>
          <t>Programmatic Guaranteed / OA</t>
        </is>
      </c>
      <c r="P1752" s="66" t="inlineStr">
        <is>
          <t>Conversions (CPA)</t>
        </is>
      </c>
      <c r="Q1752" s="66" t="inlineStr">
        <is>
          <t>https://www.lepas-sa.co.za/offers</t>
        </is>
      </c>
      <c r="R1752" s="121" t="n">
        <v>201.27</v>
      </c>
      <c r="S1752" s="122" t="n">
        <v>8488</v>
      </c>
      <c r="T1752" s="122" t="n">
        <v>3757</v>
      </c>
      <c r="U1752" s="123">
        <f>IFERROR(S1752/T1752,"")</f>
        <v/>
      </c>
      <c r="V1752" s="122" t="n">
        <v>12</v>
      </c>
      <c r="W1752" s="122" t="n">
        <v>10</v>
      </c>
      <c r="X1752" s="124">
        <f>IFERROR(W1752/S1752,"")</f>
        <v/>
      </c>
      <c r="Y1752" s="121">
        <f>IFERROR(R1752/W1752,"")</f>
        <v/>
      </c>
      <c r="Z1752" s="121">
        <f>IFERROR(R1752/S1752*1000,"")</f>
        <v/>
      </c>
      <c r="AA1752" s="122" t="n">
        <v>6</v>
      </c>
      <c r="AB1752" s="54">
        <f>IFERROR(AA1752/W1752,"")</f>
        <v/>
      </c>
      <c r="AC1752" s="122" t="n">
        <v>0</v>
      </c>
      <c r="AD1752" s="122" t="n">
        <v>0</v>
      </c>
      <c r="AE1752" s="122" t="n">
        <v>0</v>
      </c>
      <c r="AF1752" s="122" t="n">
        <v>0</v>
      </c>
      <c r="AG1752" s="122" t="n">
        <v>0</v>
      </c>
      <c r="AH1752" s="122" t="n">
        <v>0</v>
      </c>
      <c r="AI1752" s="54">
        <f>IFERROR(AC1752/S1752,"")</f>
        <v/>
      </c>
      <c r="AJ1752" s="54">
        <f>IFERROR(AH1752/S1752,"")</f>
        <v/>
      </c>
      <c r="AK1752" s="122" t="n">
        <v>21</v>
      </c>
      <c r="AL1752" s="122" t="n">
        <v>0</v>
      </c>
      <c r="AM1752" s="124">
        <f>IFERROR(AL1752/AA1752,"")</f>
        <v/>
      </c>
      <c r="AN1752" s="125">
        <f>IFERROR(R1752/AL1752,"")</f>
        <v/>
      </c>
      <c r="AO1752" s="122" t="n">
        <v>0</v>
      </c>
      <c r="AP1752" s="54">
        <f>IFERROR(AO1752/AL1752,"")</f>
        <v/>
      </c>
      <c r="AQ1752" s="125">
        <f>IFERROR(R1752/AO1752,"")</f>
        <v/>
      </c>
      <c r="AR1752" s="122" t="n">
        <v>0</v>
      </c>
      <c r="AS1752" s="122" t="n">
        <v>0</v>
      </c>
      <c r="AT1752" s="122">
        <f>AL1752+AR1752</f>
        <v/>
      </c>
      <c r="AU1752" s="125">
        <f>IFERROR(AO1752*Assumptions!$C$26*Assumptions!$C$27*INDEX(Assumptions!$C$18:$C$21,MATCH(H1752,Assumptions!$B$18:$B$21,0)),0)</f>
        <v/>
      </c>
    </row>
    <row r="1753">
      <c r="A1753" s="120" t="n">
        <v>46251</v>
      </c>
      <c r="B1753" s="66" t="inlineStr">
        <is>
          <t>Wk 34</t>
        </is>
      </c>
      <c r="C1753" s="66" t="inlineStr">
        <is>
          <t>Mon</t>
        </is>
      </c>
      <c r="D1753" s="66" t="inlineStr">
        <is>
          <t>Programmatic</t>
        </is>
      </c>
      <c r="E1753" s="66" t="inlineStr">
        <is>
          <t>DV360</t>
        </is>
      </c>
      <c r="F1753" s="66" t="inlineStr">
        <is>
          <t>LEP_ZA_AUG26_PROG_TD_PROSPECT_DISPLAY</t>
        </is>
      </c>
      <c r="G1753" s="66" t="inlineStr">
        <is>
          <t>Display Prospecting</t>
        </is>
      </c>
      <c r="H1753" s="66" t="inlineStr">
        <is>
          <t>Range</t>
        </is>
      </c>
      <c r="I1753" s="66" t="inlineStr">
        <is>
          <t>Range Offer</t>
        </is>
      </c>
      <c r="J1753" s="66" t="inlineStr">
        <is>
          <t>PROG_CONTEXTUAL_AUTO_NEWS</t>
        </is>
      </c>
      <c r="K1753" s="66" t="inlineStr">
        <is>
          <t>Contextual</t>
        </is>
      </c>
      <c r="L1753" s="66" t="inlineStr">
        <is>
          <t>PROG_HTML5_300x250_Range_v1</t>
        </is>
      </c>
      <c r="M1753" s="66" t="inlineStr">
        <is>
          <t>HTML5 Display 300x250</t>
        </is>
      </c>
      <c r="N1753" s="66" t="inlineStr">
        <is>
          <t>Book a Lepas test drive</t>
        </is>
      </c>
      <c r="O1753" s="66" t="inlineStr">
        <is>
          <t>Programmatic Guaranteed / OA</t>
        </is>
      </c>
      <c r="P1753" s="66" t="inlineStr">
        <is>
          <t>Conversions (CPA)</t>
        </is>
      </c>
      <c r="Q1753" s="66" t="inlineStr">
        <is>
          <t>https://www.lepas-sa.co.za/offers</t>
        </is>
      </c>
      <c r="R1753" s="121" t="n">
        <v>206.83</v>
      </c>
      <c r="S1753" s="122" t="n">
        <v>14273</v>
      </c>
      <c r="T1753" s="122" t="n">
        <v>7914</v>
      </c>
      <c r="U1753" s="123">
        <f>IFERROR(S1753/T1753,"")</f>
        <v/>
      </c>
      <c r="V1753" s="122" t="n">
        <v>10</v>
      </c>
      <c r="W1753" s="122" t="n">
        <v>7</v>
      </c>
      <c r="X1753" s="124">
        <f>IFERROR(W1753/S1753,"")</f>
        <v/>
      </c>
      <c r="Y1753" s="121">
        <f>IFERROR(R1753/W1753,"")</f>
        <v/>
      </c>
      <c r="Z1753" s="121">
        <f>IFERROR(R1753/S1753*1000,"")</f>
        <v/>
      </c>
      <c r="AA1753" s="122" t="n">
        <v>4</v>
      </c>
      <c r="AB1753" s="54">
        <f>IFERROR(AA1753/W1753,"")</f>
        <v/>
      </c>
      <c r="AC1753" s="122" t="n">
        <v>0</v>
      </c>
      <c r="AD1753" s="122" t="n">
        <v>0</v>
      </c>
      <c r="AE1753" s="122" t="n">
        <v>0</v>
      </c>
      <c r="AF1753" s="122" t="n">
        <v>0</v>
      </c>
      <c r="AG1753" s="122" t="n">
        <v>0</v>
      </c>
      <c r="AH1753" s="122" t="n">
        <v>0</v>
      </c>
      <c r="AI1753" s="54">
        <f>IFERROR(AC1753/S1753,"")</f>
        <v/>
      </c>
      <c r="AJ1753" s="54">
        <f>IFERROR(AH1753/S1753,"")</f>
        <v/>
      </c>
      <c r="AK1753" s="122" t="n">
        <v>60</v>
      </c>
      <c r="AL1753" s="122" t="n">
        <v>0</v>
      </c>
      <c r="AM1753" s="124">
        <f>IFERROR(AL1753/AA1753,"")</f>
        <v/>
      </c>
      <c r="AN1753" s="125">
        <f>IFERROR(R1753/AL1753,"")</f>
        <v/>
      </c>
      <c r="AO1753" s="122" t="n">
        <v>0</v>
      </c>
      <c r="AP1753" s="54">
        <f>IFERROR(AO1753/AL1753,"")</f>
        <v/>
      </c>
      <c r="AQ1753" s="125">
        <f>IFERROR(R1753/AO1753,"")</f>
        <v/>
      </c>
      <c r="AR1753" s="122" t="n">
        <v>0</v>
      </c>
      <c r="AS1753" s="122" t="n">
        <v>0</v>
      </c>
      <c r="AT1753" s="122">
        <f>AL1753+AR1753</f>
        <v/>
      </c>
      <c r="AU1753" s="125">
        <f>IFERROR(AO1753*Assumptions!$C$26*Assumptions!$C$27*INDEX(Assumptions!$C$18:$C$21,MATCH(H1753,Assumptions!$B$18:$B$21,0)),0)</f>
        <v/>
      </c>
    </row>
    <row r="1754">
      <c r="A1754" s="120" t="n">
        <v>46252</v>
      </c>
      <c r="B1754" s="66" t="inlineStr">
        <is>
          <t>Wk 34</t>
        </is>
      </c>
      <c r="C1754" s="66" t="inlineStr">
        <is>
          <t>Tue</t>
        </is>
      </c>
      <c r="D1754" s="66" t="inlineStr">
        <is>
          <t>Programmatic</t>
        </is>
      </c>
      <c r="E1754" s="66" t="inlineStr">
        <is>
          <t>DV360</t>
        </is>
      </c>
      <c r="F1754" s="66" t="inlineStr">
        <is>
          <t>LEP_ZA_AUG26_PROG_TD_PROSPECT_DISPLAY</t>
        </is>
      </c>
      <c r="G1754" s="66" t="inlineStr">
        <is>
          <t>Display Prospecting</t>
        </is>
      </c>
      <c r="H1754" s="66" t="inlineStr">
        <is>
          <t>Range</t>
        </is>
      </c>
      <c r="I1754" s="66" t="inlineStr">
        <is>
          <t>Range Offer</t>
        </is>
      </c>
      <c r="J1754" s="66" t="inlineStr">
        <is>
          <t>PROG_CONTEXTUAL_AUTO_NEWS</t>
        </is>
      </c>
      <c r="K1754" s="66" t="inlineStr">
        <is>
          <t>Contextual</t>
        </is>
      </c>
      <c r="L1754" s="66" t="inlineStr">
        <is>
          <t>PROG_HTML5_300x250_Range_v1</t>
        </is>
      </c>
      <c r="M1754" s="66" t="inlineStr">
        <is>
          <t>HTML5 Display 300x250</t>
        </is>
      </c>
      <c r="N1754" s="66" t="inlineStr">
        <is>
          <t>Book a Lepas test drive</t>
        </is>
      </c>
      <c r="O1754" s="66" t="inlineStr">
        <is>
          <t>Programmatic Guaranteed / OA</t>
        </is>
      </c>
      <c r="P1754" s="66" t="inlineStr">
        <is>
          <t>Conversions (CPA)</t>
        </is>
      </c>
      <c r="Q1754" s="66" t="inlineStr">
        <is>
          <t>https://www.lepas-sa.co.za/offers</t>
        </is>
      </c>
      <c r="R1754" s="121" t="n">
        <v>233.08</v>
      </c>
      <c r="S1754" s="122" t="n">
        <v>8192</v>
      </c>
      <c r="T1754" s="122" t="n">
        <v>3209</v>
      </c>
      <c r="U1754" s="123">
        <f>IFERROR(S1754/T1754,"")</f>
        <v/>
      </c>
      <c r="V1754" s="122" t="n">
        <v>24</v>
      </c>
      <c r="W1754" s="122" t="n">
        <v>19</v>
      </c>
      <c r="X1754" s="124">
        <f>IFERROR(W1754/S1754,"")</f>
        <v/>
      </c>
      <c r="Y1754" s="121">
        <f>IFERROR(R1754/W1754,"")</f>
        <v/>
      </c>
      <c r="Z1754" s="121">
        <f>IFERROR(R1754/S1754*1000,"")</f>
        <v/>
      </c>
      <c r="AA1754" s="122" t="n">
        <v>12</v>
      </c>
      <c r="AB1754" s="54">
        <f>IFERROR(AA1754/W1754,"")</f>
        <v/>
      </c>
      <c r="AC1754" s="122" t="n">
        <v>0</v>
      </c>
      <c r="AD1754" s="122" t="n">
        <v>0</v>
      </c>
      <c r="AE1754" s="122" t="n">
        <v>0</v>
      </c>
      <c r="AF1754" s="122" t="n">
        <v>0</v>
      </c>
      <c r="AG1754" s="122" t="n">
        <v>0</v>
      </c>
      <c r="AH1754" s="122" t="n">
        <v>0</v>
      </c>
      <c r="AI1754" s="54">
        <f>IFERROR(AC1754/S1754,"")</f>
        <v/>
      </c>
      <c r="AJ1754" s="54">
        <f>IFERROR(AH1754/S1754,"")</f>
        <v/>
      </c>
      <c r="AK1754" s="122" t="n">
        <v>41</v>
      </c>
      <c r="AL1754" s="122" t="n">
        <v>0</v>
      </c>
      <c r="AM1754" s="124">
        <f>IFERROR(AL1754/AA1754,"")</f>
        <v/>
      </c>
      <c r="AN1754" s="125">
        <f>IFERROR(R1754/AL1754,"")</f>
        <v/>
      </c>
      <c r="AO1754" s="122" t="n">
        <v>0</v>
      </c>
      <c r="AP1754" s="54">
        <f>IFERROR(AO1754/AL1754,"")</f>
        <v/>
      </c>
      <c r="AQ1754" s="125">
        <f>IFERROR(R1754/AO1754,"")</f>
        <v/>
      </c>
      <c r="AR1754" s="122" t="n">
        <v>0</v>
      </c>
      <c r="AS1754" s="122" t="n">
        <v>0</v>
      </c>
      <c r="AT1754" s="122">
        <f>AL1754+AR1754</f>
        <v/>
      </c>
      <c r="AU1754" s="125">
        <f>IFERROR(AO1754*Assumptions!$C$26*Assumptions!$C$27*INDEX(Assumptions!$C$18:$C$21,MATCH(H1754,Assumptions!$B$18:$B$21,0)),0)</f>
        <v/>
      </c>
    </row>
    <row r="1755">
      <c r="A1755" s="120" t="n">
        <v>46253</v>
      </c>
      <c r="B1755" s="66" t="inlineStr">
        <is>
          <t>Wk 34</t>
        </is>
      </c>
      <c r="C1755" s="66" t="inlineStr">
        <is>
          <t>Wed</t>
        </is>
      </c>
      <c r="D1755" s="66" t="inlineStr">
        <is>
          <t>Programmatic</t>
        </is>
      </c>
      <c r="E1755" s="66" t="inlineStr">
        <is>
          <t>DV360</t>
        </is>
      </c>
      <c r="F1755" s="66" t="inlineStr">
        <is>
          <t>LEP_ZA_AUG26_PROG_TD_PROSPECT_DISPLAY</t>
        </is>
      </c>
      <c r="G1755" s="66" t="inlineStr">
        <is>
          <t>Display Prospecting</t>
        </is>
      </c>
      <c r="H1755" s="66" t="inlineStr">
        <is>
          <t>Range</t>
        </is>
      </c>
      <c r="I1755" s="66" t="inlineStr">
        <is>
          <t>Range Offer</t>
        </is>
      </c>
      <c r="J1755" s="66" t="inlineStr">
        <is>
          <t>PROG_CONTEXTUAL_AUTO_NEWS</t>
        </is>
      </c>
      <c r="K1755" s="66" t="inlineStr">
        <is>
          <t>Contextual</t>
        </is>
      </c>
      <c r="L1755" s="66" t="inlineStr">
        <is>
          <t>PROG_HTML5_300x250_Range_v1</t>
        </is>
      </c>
      <c r="M1755" s="66" t="inlineStr">
        <is>
          <t>HTML5 Display 300x250</t>
        </is>
      </c>
      <c r="N1755" s="66" t="inlineStr">
        <is>
          <t>Book a Lepas test drive</t>
        </is>
      </c>
      <c r="O1755" s="66" t="inlineStr">
        <is>
          <t>Programmatic Guaranteed / OA</t>
        </is>
      </c>
      <c r="P1755" s="66" t="inlineStr">
        <is>
          <t>Conversions (CPA)</t>
        </is>
      </c>
      <c r="Q1755" s="66" t="inlineStr">
        <is>
          <t>https://www.lepas-sa.co.za/offers</t>
        </is>
      </c>
      <c r="R1755" s="121" t="n">
        <v>226.1</v>
      </c>
      <c r="S1755" s="122" t="n">
        <v>9847</v>
      </c>
      <c r="T1755" s="122" t="n">
        <v>6258</v>
      </c>
      <c r="U1755" s="123">
        <f>IFERROR(S1755/T1755,"")</f>
        <v/>
      </c>
      <c r="V1755" s="122" t="n">
        <v>22</v>
      </c>
      <c r="W1755" s="122" t="n">
        <v>16</v>
      </c>
      <c r="X1755" s="124">
        <f>IFERROR(W1755/S1755,"")</f>
        <v/>
      </c>
      <c r="Y1755" s="121">
        <f>IFERROR(R1755/W1755,"")</f>
        <v/>
      </c>
      <c r="Z1755" s="121">
        <f>IFERROR(R1755/S1755*1000,"")</f>
        <v/>
      </c>
      <c r="AA1755" s="122" t="n">
        <v>10</v>
      </c>
      <c r="AB1755" s="54">
        <f>IFERROR(AA1755/W1755,"")</f>
        <v/>
      </c>
      <c r="AC1755" s="122" t="n">
        <v>0</v>
      </c>
      <c r="AD1755" s="122" t="n">
        <v>0</v>
      </c>
      <c r="AE1755" s="122" t="n">
        <v>0</v>
      </c>
      <c r="AF1755" s="122" t="n">
        <v>0</v>
      </c>
      <c r="AG1755" s="122" t="n">
        <v>0</v>
      </c>
      <c r="AH1755" s="122" t="n">
        <v>0</v>
      </c>
      <c r="AI1755" s="54">
        <f>IFERROR(AC1755/S1755,"")</f>
        <v/>
      </c>
      <c r="AJ1755" s="54">
        <f>IFERROR(AH1755/S1755,"")</f>
        <v/>
      </c>
      <c r="AK1755" s="122" t="n">
        <v>12</v>
      </c>
      <c r="AL1755" s="122" t="n">
        <v>0</v>
      </c>
      <c r="AM1755" s="124">
        <f>IFERROR(AL1755/AA1755,"")</f>
        <v/>
      </c>
      <c r="AN1755" s="125">
        <f>IFERROR(R1755/AL1755,"")</f>
        <v/>
      </c>
      <c r="AO1755" s="122" t="n">
        <v>0</v>
      </c>
      <c r="AP1755" s="54">
        <f>IFERROR(AO1755/AL1755,"")</f>
        <v/>
      </c>
      <c r="AQ1755" s="125">
        <f>IFERROR(R1755/AO1755,"")</f>
        <v/>
      </c>
      <c r="AR1755" s="122" t="n">
        <v>0</v>
      </c>
      <c r="AS1755" s="122" t="n">
        <v>0</v>
      </c>
      <c r="AT1755" s="122">
        <f>AL1755+AR1755</f>
        <v/>
      </c>
      <c r="AU1755" s="125">
        <f>IFERROR(AO1755*Assumptions!$C$26*Assumptions!$C$27*INDEX(Assumptions!$C$18:$C$21,MATCH(H1755,Assumptions!$B$18:$B$21,0)),0)</f>
        <v/>
      </c>
    </row>
    <row r="1756">
      <c r="A1756" s="120" t="n">
        <v>46254</v>
      </c>
      <c r="B1756" s="66" t="inlineStr">
        <is>
          <t>Wk 34</t>
        </is>
      </c>
      <c r="C1756" s="66" t="inlineStr">
        <is>
          <t>Thu</t>
        </is>
      </c>
      <c r="D1756" s="66" t="inlineStr">
        <is>
          <t>Programmatic</t>
        </is>
      </c>
      <c r="E1756" s="66" t="inlineStr">
        <is>
          <t>DV360</t>
        </is>
      </c>
      <c r="F1756" s="66" t="inlineStr">
        <is>
          <t>LEP_ZA_AUG26_PROG_TD_PROSPECT_DISPLAY</t>
        </is>
      </c>
      <c r="G1756" s="66" t="inlineStr">
        <is>
          <t>Display Prospecting</t>
        </is>
      </c>
      <c r="H1756" s="66" t="inlineStr">
        <is>
          <t>Range</t>
        </is>
      </c>
      <c r="I1756" s="66" t="inlineStr">
        <is>
          <t>Range Offer</t>
        </is>
      </c>
      <c r="J1756" s="66" t="inlineStr">
        <is>
          <t>PROG_CONTEXTUAL_AUTO_NEWS</t>
        </is>
      </c>
      <c r="K1756" s="66" t="inlineStr">
        <is>
          <t>Contextual</t>
        </is>
      </c>
      <c r="L1756" s="66" t="inlineStr">
        <is>
          <t>PROG_HTML5_300x250_Range_v1</t>
        </is>
      </c>
      <c r="M1756" s="66" t="inlineStr">
        <is>
          <t>HTML5 Display 300x250</t>
        </is>
      </c>
      <c r="N1756" s="66" t="inlineStr">
        <is>
          <t>Book a Lepas test drive</t>
        </is>
      </c>
      <c r="O1756" s="66" t="inlineStr">
        <is>
          <t>Programmatic Guaranteed / OA</t>
        </is>
      </c>
      <c r="P1756" s="66" t="inlineStr">
        <is>
          <t>Conversions (CPA)</t>
        </is>
      </c>
      <c r="Q1756" s="66" t="inlineStr">
        <is>
          <t>https://www.lepas-sa.co.za/offers</t>
        </is>
      </c>
      <c r="R1756" s="121" t="n">
        <v>249.59</v>
      </c>
      <c r="S1756" s="122" t="n">
        <v>12476</v>
      </c>
      <c r="T1756" s="122" t="n">
        <v>5294</v>
      </c>
      <c r="U1756" s="123">
        <f>IFERROR(S1756/T1756,"")</f>
        <v/>
      </c>
      <c r="V1756" s="122" t="n">
        <v>32</v>
      </c>
      <c r="W1756" s="122" t="n">
        <v>26</v>
      </c>
      <c r="X1756" s="124">
        <f>IFERROR(W1756/S1756,"")</f>
        <v/>
      </c>
      <c r="Y1756" s="121">
        <f>IFERROR(R1756/W1756,"")</f>
        <v/>
      </c>
      <c r="Z1756" s="121">
        <f>IFERROR(R1756/S1756*1000,"")</f>
        <v/>
      </c>
      <c r="AA1756" s="122" t="n">
        <v>17</v>
      </c>
      <c r="AB1756" s="54">
        <f>IFERROR(AA1756/W1756,"")</f>
        <v/>
      </c>
      <c r="AC1756" s="122" t="n">
        <v>0</v>
      </c>
      <c r="AD1756" s="122" t="n">
        <v>0</v>
      </c>
      <c r="AE1756" s="122" t="n">
        <v>0</v>
      </c>
      <c r="AF1756" s="122" t="n">
        <v>0</v>
      </c>
      <c r="AG1756" s="122" t="n">
        <v>0</v>
      </c>
      <c r="AH1756" s="122" t="n">
        <v>0</v>
      </c>
      <c r="AI1756" s="54">
        <f>IFERROR(AC1756/S1756,"")</f>
        <v/>
      </c>
      <c r="AJ1756" s="54">
        <f>IFERROR(AH1756/S1756,"")</f>
        <v/>
      </c>
      <c r="AK1756" s="122" t="n">
        <v>18</v>
      </c>
      <c r="AL1756" s="122" t="n">
        <v>0</v>
      </c>
      <c r="AM1756" s="124">
        <f>IFERROR(AL1756/AA1756,"")</f>
        <v/>
      </c>
      <c r="AN1756" s="125">
        <f>IFERROR(R1756/AL1756,"")</f>
        <v/>
      </c>
      <c r="AO1756" s="122" t="n">
        <v>0</v>
      </c>
      <c r="AP1756" s="54">
        <f>IFERROR(AO1756/AL1756,"")</f>
        <v/>
      </c>
      <c r="AQ1756" s="125">
        <f>IFERROR(R1756/AO1756,"")</f>
        <v/>
      </c>
      <c r="AR1756" s="122" t="n">
        <v>0</v>
      </c>
      <c r="AS1756" s="122" t="n">
        <v>0</v>
      </c>
      <c r="AT1756" s="122">
        <f>AL1756+AR1756</f>
        <v/>
      </c>
      <c r="AU1756" s="125">
        <f>IFERROR(AO1756*Assumptions!$C$26*Assumptions!$C$27*INDEX(Assumptions!$C$18:$C$21,MATCH(H1756,Assumptions!$B$18:$B$21,0)),0)</f>
        <v/>
      </c>
    </row>
    <row r="1757">
      <c r="A1757" s="120" t="n">
        <v>46255</v>
      </c>
      <c r="B1757" s="66" t="inlineStr">
        <is>
          <t>Wk 34</t>
        </is>
      </c>
      <c r="C1757" s="66" t="inlineStr">
        <is>
          <t>Fri</t>
        </is>
      </c>
      <c r="D1757" s="66" t="inlineStr">
        <is>
          <t>Programmatic</t>
        </is>
      </c>
      <c r="E1757" s="66" t="inlineStr">
        <is>
          <t>DV360</t>
        </is>
      </c>
      <c r="F1757" s="66" t="inlineStr">
        <is>
          <t>LEP_ZA_AUG26_PROG_TD_PROSPECT_DISPLAY</t>
        </is>
      </c>
      <c r="G1757" s="66" t="inlineStr">
        <is>
          <t>Display Prospecting</t>
        </is>
      </c>
      <c r="H1757" s="66" t="inlineStr">
        <is>
          <t>Range</t>
        </is>
      </c>
      <c r="I1757" s="66" t="inlineStr">
        <is>
          <t>Range Offer</t>
        </is>
      </c>
      <c r="J1757" s="66" t="inlineStr">
        <is>
          <t>PROG_CONTEXTUAL_AUTO_NEWS</t>
        </is>
      </c>
      <c r="K1757" s="66" t="inlineStr">
        <is>
          <t>Contextual</t>
        </is>
      </c>
      <c r="L1757" s="66" t="inlineStr">
        <is>
          <t>PROG_HTML5_300x250_Range_v1</t>
        </is>
      </c>
      <c r="M1757" s="66" t="inlineStr">
        <is>
          <t>HTML5 Display 300x250</t>
        </is>
      </c>
      <c r="N1757" s="66" t="inlineStr">
        <is>
          <t>Book a Lepas test drive</t>
        </is>
      </c>
      <c r="O1757" s="66" t="inlineStr">
        <is>
          <t>Programmatic Guaranteed / OA</t>
        </is>
      </c>
      <c r="P1757" s="66" t="inlineStr">
        <is>
          <t>Conversions (CPA)</t>
        </is>
      </c>
      <c r="Q1757" s="66" t="inlineStr">
        <is>
          <t>https://www.lepas-sa.co.za/offers</t>
        </is>
      </c>
      <c r="R1757" s="121" t="n">
        <v>255.13</v>
      </c>
      <c r="S1757" s="122" t="n">
        <v>7584</v>
      </c>
      <c r="T1757" s="122" t="n">
        <v>2851</v>
      </c>
      <c r="U1757" s="123">
        <f>IFERROR(S1757/T1757,"")</f>
        <v/>
      </c>
      <c r="V1757" s="122" t="n">
        <v>9</v>
      </c>
      <c r="W1757" s="122" t="n">
        <v>7</v>
      </c>
      <c r="X1757" s="124">
        <f>IFERROR(W1757/S1757,"")</f>
        <v/>
      </c>
      <c r="Y1757" s="121">
        <f>IFERROR(R1757/W1757,"")</f>
        <v/>
      </c>
      <c r="Z1757" s="121">
        <f>IFERROR(R1757/S1757*1000,"")</f>
        <v/>
      </c>
      <c r="AA1757" s="122" t="n">
        <v>4</v>
      </c>
      <c r="AB1757" s="54">
        <f>IFERROR(AA1757/W1757,"")</f>
        <v/>
      </c>
      <c r="AC1757" s="122" t="n">
        <v>0</v>
      </c>
      <c r="AD1757" s="122" t="n">
        <v>0</v>
      </c>
      <c r="AE1757" s="122" t="n">
        <v>0</v>
      </c>
      <c r="AF1757" s="122" t="n">
        <v>0</v>
      </c>
      <c r="AG1757" s="122" t="n">
        <v>0</v>
      </c>
      <c r="AH1757" s="122" t="n">
        <v>0</v>
      </c>
      <c r="AI1757" s="54">
        <f>IFERROR(AC1757/S1757,"")</f>
        <v/>
      </c>
      <c r="AJ1757" s="54">
        <f>IFERROR(AH1757/S1757,"")</f>
        <v/>
      </c>
      <c r="AK1757" s="122" t="n">
        <v>25</v>
      </c>
      <c r="AL1757" s="122" t="n">
        <v>0</v>
      </c>
      <c r="AM1757" s="124">
        <f>IFERROR(AL1757/AA1757,"")</f>
        <v/>
      </c>
      <c r="AN1757" s="125">
        <f>IFERROR(R1757/AL1757,"")</f>
        <v/>
      </c>
      <c r="AO1757" s="122" t="n">
        <v>0</v>
      </c>
      <c r="AP1757" s="54">
        <f>IFERROR(AO1757/AL1757,"")</f>
        <v/>
      </c>
      <c r="AQ1757" s="125">
        <f>IFERROR(R1757/AO1757,"")</f>
        <v/>
      </c>
      <c r="AR1757" s="122" t="n">
        <v>0</v>
      </c>
      <c r="AS1757" s="122" t="n">
        <v>0</v>
      </c>
      <c r="AT1757" s="122">
        <f>AL1757+AR1757</f>
        <v/>
      </c>
      <c r="AU1757" s="125">
        <f>IFERROR(AO1757*Assumptions!$C$26*Assumptions!$C$27*INDEX(Assumptions!$C$18:$C$21,MATCH(H1757,Assumptions!$B$18:$B$21,0)),0)</f>
        <v/>
      </c>
    </row>
    <row r="1758">
      <c r="A1758" s="120" t="n">
        <v>46256</v>
      </c>
      <c r="B1758" s="66" t="inlineStr">
        <is>
          <t>Wk 34</t>
        </is>
      </c>
      <c r="C1758" s="66" t="inlineStr">
        <is>
          <t>Sat</t>
        </is>
      </c>
      <c r="D1758" s="66" t="inlineStr">
        <is>
          <t>Programmatic</t>
        </is>
      </c>
      <c r="E1758" s="66" t="inlineStr">
        <is>
          <t>DV360</t>
        </is>
      </c>
      <c r="F1758" s="66" t="inlineStr">
        <is>
          <t>LEP_ZA_AUG26_PROG_TD_PROSPECT_DISPLAY</t>
        </is>
      </c>
      <c r="G1758" s="66" t="inlineStr">
        <is>
          <t>Display Prospecting</t>
        </is>
      </c>
      <c r="H1758" s="66" t="inlineStr">
        <is>
          <t>Range</t>
        </is>
      </c>
      <c r="I1758" s="66" t="inlineStr">
        <is>
          <t>Range Offer</t>
        </is>
      </c>
      <c r="J1758" s="66" t="inlineStr">
        <is>
          <t>PROG_CONTEXTUAL_AUTO_NEWS</t>
        </is>
      </c>
      <c r="K1758" s="66" t="inlineStr">
        <is>
          <t>Contextual</t>
        </is>
      </c>
      <c r="L1758" s="66" t="inlineStr">
        <is>
          <t>PROG_HTML5_300x250_Range_v1</t>
        </is>
      </c>
      <c r="M1758" s="66" t="inlineStr">
        <is>
          <t>HTML5 Display 300x250</t>
        </is>
      </c>
      <c r="N1758" s="66" t="inlineStr">
        <is>
          <t>Book a Lepas test drive</t>
        </is>
      </c>
      <c r="O1758" s="66" t="inlineStr">
        <is>
          <t>Programmatic Guaranteed / OA</t>
        </is>
      </c>
      <c r="P1758" s="66" t="inlineStr">
        <is>
          <t>Conversions (CPA)</t>
        </is>
      </c>
      <c r="Q1758" s="66" t="inlineStr">
        <is>
          <t>https://www.lepas-sa.co.za/offers</t>
        </is>
      </c>
      <c r="R1758" s="121" t="n">
        <v>269.35</v>
      </c>
      <c r="S1758" s="122" t="n">
        <v>14158</v>
      </c>
      <c r="T1758" s="122" t="n">
        <v>8982</v>
      </c>
      <c r="U1758" s="123">
        <f>IFERROR(S1758/T1758,"")</f>
        <v/>
      </c>
      <c r="V1758" s="122" t="n">
        <v>18</v>
      </c>
      <c r="W1758" s="122" t="n">
        <v>13</v>
      </c>
      <c r="X1758" s="124">
        <f>IFERROR(W1758/S1758,"")</f>
        <v/>
      </c>
      <c r="Y1758" s="121">
        <f>IFERROR(R1758/W1758,"")</f>
        <v/>
      </c>
      <c r="Z1758" s="121">
        <f>IFERROR(R1758/S1758*1000,"")</f>
        <v/>
      </c>
      <c r="AA1758" s="122" t="n">
        <v>8</v>
      </c>
      <c r="AB1758" s="54">
        <f>IFERROR(AA1758/W1758,"")</f>
        <v/>
      </c>
      <c r="AC1758" s="122" t="n">
        <v>0</v>
      </c>
      <c r="AD1758" s="122" t="n">
        <v>0</v>
      </c>
      <c r="AE1758" s="122" t="n">
        <v>0</v>
      </c>
      <c r="AF1758" s="122" t="n">
        <v>0</v>
      </c>
      <c r="AG1758" s="122" t="n">
        <v>0</v>
      </c>
      <c r="AH1758" s="122" t="n">
        <v>0</v>
      </c>
      <c r="AI1758" s="54">
        <f>IFERROR(AC1758/S1758,"")</f>
        <v/>
      </c>
      <c r="AJ1758" s="54">
        <f>IFERROR(AH1758/S1758,"")</f>
        <v/>
      </c>
      <c r="AK1758" s="122" t="n">
        <v>81</v>
      </c>
      <c r="AL1758" s="122" t="n">
        <v>0</v>
      </c>
      <c r="AM1758" s="124">
        <f>IFERROR(AL1758/AA1758,"")</f>
        <v/>
      </c>
      <c r="AN1758" s="125">
        <f>IFERROR(R1758/AL1758,"")</f>
        <v/>
      </c>
      <c r="AO1758" s="122" t="n">
        <v>0</v>
      </c>
      <c r="AP1758" s="54">
        <f>IFERROR(AO1758/AL1758,"")</f>
        <v/>
      </c>
      <c r="AQ1758" s="125">
        <f>IFERROR(R1758/AO1758,"")</f>
        <v/>
      </c>
      <c r="AR1758" s="122" t="n">
        <v>0</v>
      </c>
      <c r="AS1758" s="122" t="n">
        <v>0</v>
      </c>
      <c r="AT1758" s="122">
        <f>AL1758+AR1758</f>
        <v/>
      </c>
      <c r="AU1758" s="125">
        <f>IFERROR(AO1758*Assumptions!$C$26*Assumptions!$C$27*INDEX(Assumptions!$C$18:$C$21,MATCH(H1758,Assumptions!$B$18:$B$21,0)),0)</f>
        <v/>
      </c>
    </row>
    <row r="1759">
      <c r="A1759" s="120" t="n">
        <v>46257</v>
      </c>
      <c r="B1759" s="66" t="inlineStr">
        <is>
          <t>Wk 34</t>
        </is>
      </c>
      <c r="C1759" s="66" t="inlineStr">
        <is>
          <t>Sun</t>
        </is>
      </c>
      <c r="D1759" s="66" t="inlineStr">
        <is>
          <t>Programmatic</t>
        </is>
      </c>
      <c r="E1759" s="66" t="inlineStr">
        <is>
          <t>DV360</t>
        </is>
      </c>
      <c r="F1759" s="66" t="inlineStr">
        <is>
          <t>LEP_ZA_AUG26_PROG_TD_PROSPECT_DISPLAY</t>
        </is>
      </c>
      <c r="G1759" s="66" t="inlineStr">
        <is>
          <t>Display Prospecting</t>
        </is>
      </c>
      <c r="H1759" s="66" t="inlineStr">
        <is>
          <t>Range</t>
        </is>
      </c>
      <c r="I1759" s="66" t="inlineStr">
        <is>
          <t>Range Offer</t>
        </is>
      </c>
      <c r="J1759" s="66" t="inlineStr">
        <is>
          <t>PROG_CONTEXTUAL_AUTO_NEWS</t>
        </is>
      </c>
      <c r="K1759" s="66" t="inlineStr">
        <is>
          <t>Contextual</t>
        </is>
      </c>
      <c r="L1759" s="66" t="inlineStr">
        <is>
          <t>PROG_HTML5_300x250_Range_v1</t>
        </is>
      </c>
      <c r="M1759" s="66" t="inlineStr">
        <is>
          <t>HTML5 Display 300x250</t>
        </is>
      </c>
      <c r="N1759" s="66" t="inlineStr">
        <is>
          <t>Book a Lepas test drive</t>
        </is>
      </c>
      <c r="O1759" s="66" t="inlineStr">
        <is>
          <t>Programmatic Guaranteed / OA</t>
        </is>
      </c>
      <c r="P1759" s="66" t="inlineStr">
        <is>
          <t>Conversions (CPA)</t>
        </is>
      </c>
      <c r="Q1759" s="66" t="inlineStr">
        <is>
          <t>https://www.lepas-sa.co.za/offers</t>
        </is>
      </c>
      <c r="R1759" s="121" t="n">
        <v>188.98</v>
      </c>
      <c r="S1759" s="122" t="n">
        <v>8877</v>
      </c>
      <c r="T1759" s="122" t="n">
        <v>5469</v>
      </c>
      <c r="U1759" s="123">
        <f>IFERROR(S1759/T1759,"")</f>
        <v/>
      </c>
      <c r="V1759" s="122" t="n">
        <v>14</v>
      </c>
      <c r="W1759" s="122" t="n">
        <v>11</v>
      </c>
      <c r="X1759" s="124">
        <f>IFERROR(W1759/S1759,"")</f>
        <v/>
      </c>
      <c r="Y1759" s="121">
        <f>IFERROR(R1759/W1759,"")</f>
        <v/>
      </c>
      <c r="Z1759" s="121">
        <f>IFERROR(R1759/S1759*1000,"")</f>
        <v/>
      </c>
      <c r="AA1759" s="122" t="n">
        <v>8</v>
      </c>
      <c r="AB1759" s="54">
        <f>IFERROR(AA1759/W1759,"")</f>
        <v/>
      </c>
      <c r="AC1759" s="122" t="n">
        <v>0</v>
      </c>
      <c r="AD1759" s="122" t="n">
        <v>0</v>
      </c>
      <c r="AE1759" s="122" t="n">
        <v>0</v>
      </c>
      <c r="AF1759" s="122" t="n">
        <v>0</v>
      </c>
      <c r="AG1759" s="122" t="n">
        <v>0</v>
      </c>
      <c r="AH1759" s="122" t="n">
        <v>0</v>
      </c>
      <c r="AI1759" s="54">
        <f>IFERROR(AC1759/S1759,"")</f>
        <v/>
      </c>
      <c r="AJ1759" s="54">
        <f>IFERROR(AH1759/S1759,"")</f>
        <v/>
      </c>
      <c r="AK1759" s="122" t="n">
        <v>40</v>
      </c>
      <c r="AL1759" s="122" t="n">
        <v>0</v>
      </c>
      <c r="AM1759" s="124">
        <f>IFERROR(AL1759/AA1759,"")</f>
        <v/>
      </c>
      <c r="AN1759" s="125">
        <f>IFERROR(R1759/AL1759,"")</f>
        <v/>
      </c>
      <c r="AO1759" s="122" t="n">
        <v>0</v>
      </c>
      <c r="AP1759" s="54">
        <f>IFERROR(AO1759/AL1759,"")</f>
        <v/>
      </c>
      <c r="AQ1759" s="125">
        <f>IFERROR(R1759/AO1759,"")</f>
        <v/>
      </c>
      <c r="AR1759" s="122" t="n">
        <v>0</v>
      </c>
      <c r="AS1759" s="122" t="n">
        <v>0</v>
      </c>
      <c r="AT1759" s="122">
        <f>AL1759+AR1759</f>
        <v/>
      </c>
      <c r="AU1759" s="125">
        <f>IFERROR(AO1759*Assumptions!$C$26*Assumptions!$C$27*INDEX(Assumptions!$C$18:$C$21,MATCH(H1759,Assumptions!$B$18:$B$21,0)),0)</f>
        <v/>
      </c>
    </row>
    <row r="1760">
      <c r="A1760" s="120" t="n">
        <v>46258</v>
      </c>
      <c r="B1760" s="66" t="inlineStr">
        <is>
          <t>Wk 35</t>
        </is>
      </c>
      <c r="C1760" s="66" t="inlineStr">
        <is>
          <t>Mon</t>
        </is>
      </c>
      <c r="D1760" s="66" t="inlineStr">
        <is>
          <t>Programmatic</t>
        </is>
      </c>
      <c r="E1760" s="66" t="inlineStr">
        <is>
          <t>DV360</t>
        </is>
      </c>
      <c r="F1760" s="66" t="inlineStr">
        <is>
          <t>LEP_ZA_AUG26_PROG_TD_PROSPECT_DISPLAY</t>
        </is>
      </c>
      <c r="G1760" s="66" t="inlineStr">
        <is>
          <t>Display Prospecting</t>
        </is>
      </c>
      <c r="H1760" s="66" t="inlineStr">
        <is>
          <t>Range</t>
        </is>
      </c>
      <c r="I1760" s="66" t="inlineStr">
        <is>
          <t>Range Offer</t>
        </is>
      </c>
      <c r="J1760" s="66" t="inlineStr">
        <is>
          <t>PROG_CONTEXTUAL_AUTO_NEWS</t>
        </is>
      </c>
      <c r="K1760" s="66" t="inlineStr">
        <is>
          <t>Contextual</t>
        </is>
      </c>
      <c r="L1760" s="66" t="inlineStr">
        <is>
          <t>PROG_HTML5_300x250_Range_v1</t>
        </is>
      </c>
      <c r="M1760" s="66" t="inlineStr">
        <is>
          <t>HTML5 Display 300x250</t>
        </is>
      </c>
      <c r="N1760" s="66" t="inlineStr">
        <is>
          <t>Book a Lepas test drive</t>
        </is>
      </c>
      <c r="O1760" s="66" t="inlineStr">
        <is>
          <t>Programmatic Guaranteed / OA</t>
        </is>
      </c>
      <c r="P1760" s="66" t="inlineStr">
        <is>
          <t>Conversions (CPA)</t>
        </is>
      </c>
      <c r="Q1760" s="66" t="inlineStr">
        <is>
          <t>https://www.lepas-sa.co.za/offers</t>
        </is>
      </c>
      <c r="R1760" s="121" t="n">
        <v>233.99</v>
      </c>
      <c r="S1760" s="122" t="n">
        <v>8642</v>
      </c>
      <c r="T1760" s="122" t="n">
        <v>4108</v>
      </c>
      <c r="U1760" s="123">
        <f>IFERROR(S1760/T1760,"")</f>
        <v/>
      </c>
      <c r="V1760" s="122" t="n">
        <v>14</v>
      </c>
      <c r="W1760" s="122" t="n">
        <v>12</v>
      </c>
      <c r="X1760" s="124">
        <f>IFERROR(W1760/S1760,"")</f>
        <v/>
      </c>
      <c r="Y1760" s="121">
        <f>IFERROR(R1760/W1760,"")</f>
        <v/>
      </c>
      <c r="Z1760" s="121">
        <f>IFERROR(R1760/S1760*1000,"")</f>
        <v/>
      </c>
      <c r="AA1760" s="122" t="n">
        <v>7</v>
      </c>
      <c r="AB1760" s="54">
        <f>IFERROR(AA1760/W1760,"")</f>
        <v/>
      </c>
      <c r="AC1760" s="122" t="n">
        <v>0</v>
      </c>
      <c r="AD1760" s="122" t="n">
        <v>0</v>
      </c>
      <c r="AE1760" s="122" t="n">
        <v>0</v>
      </c>
      <c r="AF1760" s="122" t="n">
        <v>0</v>
      </c>
      <c r="AG1760" s="122" t="n">
        <v>0</v>
      </c>
      <c r="AH1760" s="122" t="n">
        <v>0</v>
      </c>
      <c r="AI1760" s="54">
        <f>IFERROR(AC1760/S1760,"")</f>
        <v/>
      </c>
      <c r="AJ1760" s="54">
        <f>IFERROR(AH1760/S1760,"")</f>
        <v/>
      </c>
      <c r="AK1760" s="122" t="n">
        <v>26</v>
      </c>
      <c r="AL1760" s="122" t="n">
        <v>0</v>
      </c>
      <c r="AM1760" s="124">
        <f>IFERROR(AL1760/AA1760,"")</f>
        <v/>
      </c>
      <c r="AN1760" s="125">
        <f>IFERROR(R1760/AL1760,"")</f>
        <v/>
      </c>
      <c r="AO1760" s="122" t="n">
        <v>0</v>
      </c>
      <c r="AP1760" s="54">
        <f>IFERROR(AO1760/AL1760,"")</f>
        <v/>
      </c>
      <c r="AQ1760" s="125">
        <f>IFERROR(R1760/AO1760,"")</f>
        <v/>
      </c>
      <c r="AR1760" s="122" t="n">
        <v>0</v>
      </c>
      <c r="AS1760" s="122" t="n">
        <v>0</v>
      </c>
      <c r="AT1760" s="122">
        <f>AL1760+AR1760</f>
        <v/>
      </c>
      <c r="AU1760" s="125">
        <f>IFERROR(AO1760*Assumptions!$C$26*Assumptions!$C$27*INDEX(Assumptions!$C$18:$C$21,MATCH(H1760,Assumptions!$B$18:$B$21,0)),0)</f>
        <v/>
      </c>
    </row>
    <row r="1761">
      <c r="A1761" s="120" t="n">
        <v>46259</v>
      </c>
      <c r="B1761" s="66" t="inlineStr">
        <is>
          <t>Wk 35</t>
        </is>
      </c>
      <c r="C1761" s="66" t="inlineStr">
        <is>
          <t>Tue</t>
        </is>
      </c>
      <c r="D1761" s="66" t="inlineStr">
        <is>
          <t>Programmatic</t>
        </is>
      </c>
      <c r="E1761" s="66" t="inlineStr">
        <is>
          <t>DV360</t>
        </is>
      </c>
      <c r="F1761" s="66" t="inlineStr">
        <is>
          <t>LEP_ZA_AUG26_PROG_TD_PROSPECT_DISPLAY</t>
        </is>
      </c>
      <c r="G1761" s="66" t="inlineStr">
        <is>
          <t>Display Prospecting</t>
        </is>
      </c>
      <c r="H1761" s="66" t="inlineStr">
        <is>
          <t>Range</t>
        </is>
      </c>
      <c r="I1761" s="66" t="inlineStr">
        <is>
          <t>Range Offer</t>
        </is>
      </c>
      <c r="J1761" s="66" t="inlineStr">
        <is>
          <t>PROG_CONTEXTUAL_AUTO_NEWS</t>
        </is>
      </c>
      <c r="K1761" s="66" t="inlineStr">
        <is>
          <t>Contextual</t>
        </is>
      </c>
      <c r="L1761" s="66" t="inlineStr">
        <is>
          <t>PROG_HTML5_300x250_Range_v1</t>
        </is>
      </c>
      <c r="M1761" s="66" t="inlineStr">
        <is>
          <t>HTML5 Display 300x250</t>
        </is>
      </c>
      <c r="N1761" s="66" t="inlineStr">
        <is>
          <t>Book a Lepas test drive</t>
        </is>
      </c>
      <c r="O1761" s="66" t="inlineStr">
        <is>
          <t>Programmatic Guaranteed / OA</t>
        </is>
      </c>
      <c r="P1761" s="66" t="inlineStr">
        <is>
          <t>Conversions (CPA)</t>
        </is>
      </c>
      <c r="Q1761" s="66" t="inlineStr">
        <is>
          <t>https://www.lepas-sa.co.za/offers</t>
        </is>
      </c>
      <c r="R1761" s="121" t="n">
        <v>193.37</v>
      </c>
      <c r="S1761" s="122" t="n">
        <v>10972</v>
      </c>
      <c r="T1761" s="122" t="n">
        <v>5405</v>
      </c>
      <c r="U1761" s="123">
        <f>IFERROR(S1761/T1761,"")</f>
        <v/>
      </c>
      <c r="V1761" s="122" t="n">
        <v>21</v>
      </c>
      <c r="W1761" s="122" t="n">
        <v>17</v>
      </c>
      <c r="X1761" s="124">
        <f>IFERROR(W1761/S1761,"")</f>
        <v/>
      </c>
      <c r="Y1761" s="121">
        <f>IFERROR(R1761/W1761,"")</f>
        <v/>
      </c>
      <c r="Z1761" s="121">
        <f>IFERROR(R1761/S1761*1000,"")</f>
        <v/>
      </c>
      <c r="AA1761" s="122" t="n">
        <v>10</v>
      </c>
      <c r="AB1761" s="54">
        <f>IFERROR(AA1761/W1761,"")</f>
        <v/>
      </c>
      <c r="AC1761" s="122" t="n">
        <v>0</v>
      </c>
      <c r="AD1761" s="122" t="n">
        <v>0</v>
      </c>
      <c r="AE1761" s="122" t="n">
        <v>0</v>
      </c>
      <c r="AF1761" s="122" t="n">
        <v>0</v>
      </c>
      <c r="AG1761" s="122" t="n">
        <v>0</v>
      </c>
      <c r="AH1761" s="122" t="n">
        <v>0</v>
      </c>
      <c r="AI1761" s="54">
        <f>IFERROR(AC1761/S1761,"")</f>
        <v/>
      </c>
      <c r="AJ1761" s="54">
        <f>IFERROR(AH1761/S1761,"")</f>
        <v/>
      </c>
      <c r="AK1761" s="122" t="n">
        <v>50</v>
      </c>
      <c r="AL1761" s="122" t="n">
        <v>0</v>
      </c>
      <c r="AM1761" s="124">
        <f>IFERROR(AL1761/AA1761,"")</f>
        <v/>
      </c>
      <c r="AN1761" s="125">
        <f>IFERROR(R1761/AL1761,"")</f>
        <v/>
      </c>
      <c r="AO1761" s="122" t="n">
        <v>0</v>
      </c>
      <c r="AP1761" s="54">
        <f>IFERROR(AO1761/AL1761,"")</f>
        <v/>
      </c>
      <c r="AQ1761" s="125">
        <f>IFERROR(R1761/AO1761,"")</f>
        <v/>
      </c>
      <c r="AR1761" s="122" t="n">
        <v>0</v>
      </c>
      <c r="AS1761" s="122" t="n">
        <v>0</v>
      </c>
      <c r="AT1761" s="122">
        <f>AL1761+AR1761</f>
        <v/>
      </c>
      <c r="AU1761" s="125">
        <f>IFERROR(AO1761*Assumptions!$C$26*Assumptions!$C$27*INDEX(Assumptions!$C$18:$C$21,MATCH(H1761,Assumptions!$B$18:$B$21,0)),0)</f>
        <v/>
      </c>
    </row>
    <row r="1762">
      <c r="A1762" s="120" t="n">
        <v>46260</v>
      </c>
      <c r="B1762" s="66" t="inlineStr">
        <is>
          <t>Wk 35</t>
        </is>
      </c>
      <c r="C1762" s="66" t="inlineStr">
        <is>
          <t>Wed</t>
        </is>
      </c>
      <c r="D1762" s="66" t="inlineStr">
        <is>
          <t>Programmatic</t>
        </is>
      </c>
      <c r="E1762" s="66" t="inlineStr">
        <is>
          <t>DV360</t>
        </is>
      </c>
      <c r="F1762" s="66" t="inlineStr">
        <is>
          <t>LEP_ZA_AUG26_PROG_TD_PROSPECT_DISPLAY</t>
        </is>
      </c>
      <c r="G1762" s="66" t="inlineStr">
        <is>
          <t>Display Prospecting</t>
        </is>
      </c>
      <c r="H1762" s="66" t="inlineStr">
        <is>
          <t>Range</t>
        </is>
      </c>
      <c r="I1762" s="66" t="inlineStr">
        <is>
          <t>Range Offer</t>
        </is>
      </c>
      <c r="J1762" s="66" t="inlineStr">
        <is>
          <t>PROG_CONTEXTUAL_AUTO_NEWS</t>
        </is>
      </c>
      <c r="K1762" s="66" t="inlineStr">
        <is>
          <t>Contextual</t>
        </is>
      </c>
      <c r="L1762" s="66" t="inlineStr">
        <is>
          <t>PROG_HTML5_300x250_Range_v1</t>
        </is>
      </c>
      <c r="M1762" s="66" t="inlineStr">
        <is>
          <t>HTML5 Display 300x250</t>
        </is>
      </c>
      <c r="N1762" s="66" t="inlineStr">
        <is>
          <t>Book a Lepas test drive</t>
        </is>
      </c>
      <c r="O1762" s="66" t="inlineStr">
        <is>
          <t>Programmatic Guaranteed / OA</t>
        </is>
      </c>
      <c r="P1762" s="66" t="inlineStr">
        <is>
          <t>Conversions (CPA)</t>
        </is>
      </c>
      <c r="Q1762" s="66" t="inlineStr">
        <is>
          <t>https://www.lepas-sa.co.za/offers</t>
        </is>
      </c>
      <c r="R1762" s="121" t="n">
        <v>224.23</v>
      </c>
      <c r="S1762" s="122" t="n">
        <v>8707</v>
      </c>
      <c r="T1762" s="122" t="n">
        <v>4533</v>
      </c>
      <c r="U1762" s="123">
        <f>IFERROR(S1762/T1762,"")</f>
        <v/>
      </c>
      <c r="V1762" s="122" t="n">
        <v>6</v>
      </c>
      <c r="W1762" s="122" t="n">
        <v>5</v>
      </c>
      <c r="X1762" s="124">
        <f>IFERROR(W1762/S1762,"")</f>
        <v/>
      </c>
      <c r="Y1762" s="121">
        <f>IFERROR(R1762/W1762,"")</f>
        <v/>
      </c>
      <c r="Z1762" s="121">
        <f>IFERROR(R1762/S1762*1000,"")</f>
        <v/>
      </c>
      <c r="AA1762" s="122" t="n">
        <v>3</v>
      </c>
      <c r="AB1762" s="54">
        <f>IFERROR(AA1762/W1762,"")</f>
        <v/>
      </c>
      <c r="AC1762" s="122" t="n">
        <v>0</v>
      </c>
      <c r="AD1762" s="122" t="n">
        <v>0</v>
      </c>
      <c r="AE1762" s="122" t="n">
        <v>0</v>
      </c>
      <c r="AF1762" s="122" t="n">
        <v>0</v>
      </c>
      <c r="AG1762" s="122" t="n">
        <v>0</v>
      </c>
      <c r="AH1762" s="122" t="n">
        <v>0</v>
      </c>
      <c r="AI1762" s="54">
        <f>IFERROR(AC1762/S1762,"")</f>
        <v/>
      </c>
      <c r="AJ1762" s="54">
        <f>IFERROR(AH1762/S1762,"")</f>
        <v/>
      </c>
      <c r="AK1762" s="122" t="n">
        <v>31</v>
      </c>
      <c r="AL1762" s="122" t="n">
        <v>1</v>
      </c>
      <c r="AM1762" s="124">
        <f>IFERROR(AL1762/AA1762,"")</f>
        <v/>
      </c>
      <c r="AN1762" s="125">
        <f>IFERROR(R1762/AL1762,"")</f>
        <v/>
      </c>
      <c r="AO1762" s="122" t="n">
        <v>0</v>
      </c>
      <c r="AP1762" s="54">
        <f>IFERROR(AO1762/AL1762,"")</f>
        <v/>
      </c>
      <c r="AQ1762" s="125">
        <f>IFERROR(R1762/AO1762,"")</f>
        <v/>
      </c>
      <c r="AR1762" s="122" t="n">
        <v>3</v>
      </c>
      <c r="AS1762" s="122" t="n">
        <v>2</v>
      </c>
      <c r="AT1762" s="122">
        <f>AL1762+AR1762</f>
        <v/>
      </c>
      <c r="AU1762" s="125">
        <f>IFERROR(AO1762*Assumptions!$C$26*Assumptions!$C$27*INDEX(Assumptions!$C$18:$C$21,MATCH(H1762,Assumptions!$B$18:$B$21,0)),0)</f>
        <v/>
      </c>
    </row>
    <row r="1763">
      <c r="A1763" s="120" t="n">
        <v>46261</v>
      </c>
      <c r="B1763" s="66" t="inlineStr">
        <is>
          <t>Wk 35</t>
        </is>
      </c>
      <c r="C1763" s="66" t="inlineStr">
        <is>
          <t>Thu</t>
        </is>
      </c>
      <c r="D1763" s="66" t="inlineStr">
        <is>
          <t>Programmatic</t>
        </is>
      </c>
      <c r="E1763" s="66" t="inlineStr">
        <is>
          <t>DV360</t>
        </is>
      </c>
      <c r="F1763" s="66" t="inlineStr">
        <is>
          <t>LEP_ZA_AUG26_PROG_TD_PROSPECT_DISPLAY</t>
        </is>
      </c>
      <c r="G1763" s="66" t="inlineStr">
        <is>
          <t>Display Prospecting</t>
        </is>
      </c>
      <c r="H1763" s="66" t="inlineStr">
        <is>
          <t>Range</t>
        </is>
      </c>
      <c r="I1763" s="66" t="inlineStr">
        <is>
          <t>Range Offer</t>
        </is>
      </c>
      <c r="J1763" s="66" t="inlineStr">
        <is>
          <t>PROG_CONTEXTUAL_AUTO_NEWS</t>
        </is>
      </c>
      <c r="K1763" s="66" t="inlineStr">
        <is>
          <t>Contextual</t>
        </is>
      </c>
      <c r="L1763" s="66" t="inlineStr">
        <is>
          <t>PROG_HTML5_300x250_Range_v1</t>
        </is>
      </c>
      <c r="M1763" s="66" t="inlineStr">
        <is>
          <t>HTML5 Display 300x250</t>
        </is>
      </c>
      <c r="N1763" s="66" t="inlineStr">
        <is>
          <t>Book a Lepas test drive</t>
        </is>
      </c>
      <c r="O1763" s="66" t="inlineStr">
        <is>
          <t>Programmatic Guaranteed / OA</t>
        </is>
      </c>
      <c r="P1763" s="66" t="inlineStr">
        <is>
          <t>Conversions (CPA)</t>
        </is>
      </c>
      <c r="Q1763" s="66" t="inlineStr">
        <is>
          <t>https://www.lepas-sa.co.za/offers</t>
        </is>
      </c>
      <c r="R1763" s="121" t="n">
        <v>264.55</v>
      </c>
      <c r="S1763" s="122" t="n">
        <v>7576</v>
      </c>
      <c r="T1763" s="122" t="n">
        <v>3809</v>
      </c>
      <c r="U1763" s="123">
        <f>IFERROR(S1763/T1763,"")</f>
        <v/>
      </c>
      <c r="V1763" s="122" t="n">
        <v>9</v>
      </c>
      <c r="W1763" s="122" t="n">
        <v>8</v>
      </c>
      <c r="X1763" s="124">
        <f>IFERROR(W1763/S1763,"")</f>
        <v/>
      </c>
      <c r="Y1763" s="121">
        <f>IFERROR(R1763/W1763,"")</f>
        <v/>
      </c>
      <c r="Z1763" s="121">
        <f>IFERROR(R1763/S1763*1000,"")</f>
        <v/>
      </c>
      <c r="AA1763" s="122" t="n">
        <v>6</v>
      </c>
      <c r="AB1763" s="54">
        <f>IFERROR(AA1763/W1763,"")</f>
        <v/>
      </c>
      <c r="AC1763" s="122" t="n">
        <v>0</v>
      </c>
      <c r="AD1763" s="122" t="n">
        <v>0</v>
      </c>
      <c r="AE1763" s="122" t="n">
        <v>0</v>
      </c>
      <c r="AF1763" s="122" t="n">
        <v>0</v>
      </c>
      <c r="AG1763" s="122" t="n">
        <v>0</v>
      </c>
      <c r="AH1763" s="122" t="n">
        <v>0</v>
      </c>
      <c r="AI1763" s="54">
        <f>IFERROR(AC1763/S1763,"")</f>
        <v/>
      </c>
      <c r="AJ1763" s="54">
        <f>IFERROR(AH1763/S1763,"")</f>
        <v/>
      </c>
      <c r="AK1763" s="122" t="n">
        <v>15</v>
      </c>
      <c r="AL1763" s="122" t="n">
        <v>0</v>
      </c>
      <c r="AM1763" s="124">
        <f>IFERROR(AL1763/AA1763,"")</f>
        <v/>
      </c>
      <c r="AN1763" s="125">
        <f>IFERROR(R1763/AL1763,"")</f>
        <v/>
      </c>
      <c r="AO1763" s="122" t="n">
        <v>0</v>
      </c>
      <c r="AP1763" s="54">
        <f>IFERROR(AO1763/AL1763,"")</f>
        <v/>
      </c>
      <c r="AQ1763" s="125">
        <f>IFERROR(R1763/AO1763,"")</f>
        <v/>
      </c>
      <c r="AR1763" s="122" t="n">
        <v>0</v>
      </c>
      <c r="AS1763" s="122" t="n">
        <v>0</v>
      </c>
      <c r="AT1763" s="122">
        <f>AL1763+AR1763</f>
        <v/>
      </c>
      <c r="AU1763" s="125">
        <f>IFERROR(AO1763*Assumptions!$C$26*Assumptions!$C$27*INDEX(Assumptions!$C$18:$C$21,MATCH(H1763,Assumptions!$B$18:$B$21,0)),0)</f>
        <v/>
      </c>
    </row>
    <row r="1764">
      <c r="A1764" s="120" t="n">
        <v>46262</v>
      </c>
      <c r="B1764" s="66" t="inlineStr">
        <is>
          <t>Wk 35</t>
        </is>
      </c>
      <c r="C1764" s="66" t="inlineStr">
        <is>
          <t>Fri</t>
        </is>
      </c>
      <c r="D1764" s="66" t="inlineStr">
        <is>
          <t>Programmatic</t>
        </is>
      </c>
      <c r="E1764" s="66" t="inlineStr">
        <is>
          <t>DV360</t>
        </is>
      </c>
      <c r="F1764" s="66" t="inlineStr">
        <is>
          <t>LEP_ZA_AUG26_PROG_TD_PROSPECT_DISPLAY</t>
        </is>
      </c>
      <c r="G1764" s="66" t="inlineStr">
        <is>
          <t>Display Prospecting</t>
        </is>
      </c>
      <c r="H1764" s="66" t="inlineStr">
        <is>
          <t>Range</t>
        </is>
      </c>
      <c r="I1764" s="66" t="inlineStr">
        <is>
          <t>Range Offer</t>
        </is>
      </c>
      <c r="J1764" s="66" t="inlineStr">
        <is>
          <t>PROG_CONTEXTUAL_AUTO_NEWS</t>
        </is>
      </c>
      <c r="K1764" s="66" t="inlineStr">
        <is>
          <t>Contextual</t>
        </is>
      </c>
      <c r="L1764" s="66" t="inlineStr">
        <is>
          <t>PROG_HTML5_300x250_Range_v1</t>
        </is>
      </c>
      <c r="M1764" s="66" t="inlineStr">
        <is>
          <t>HTML5 Display 300x250</t>
        </is>
      </c>
      <c r="N1764" s="66" t="inlineStr">
        <is>
          <t>Book a Lepas test drive</t>
        </is>
      </c>
      <c r="O1764" s="66" t="inlineStr">
        <is>
          <t>Programmatic Guaranteed / OA</t>
        </is>
      </c>
      <c r="P1764" s="66" t="inlineStr">
        <is>
          <t>Conversions (CPA)</t>
        </is>
      </c>
      <c r="Q1764" s="66" t="inlineStr">
        <is>
          <t>https://www.lepas-sa.co.za/offers</t>
        </is>
      </c>
      <c r="R1764" s="121" t="n">
        <v>322.91</v>
      </c>
      <c r="S1764" s="122" t="n">
        <v>11438</v>
      </c>
      <c r="T1764" s="122" t="n">
        <v>5354</v>
      </c>
      <c r="U1764" s="123">
        <f>IFERROR(S1764/T1764,"")</f>
        <v/>
      </c>
      <c r="V1764" s="122" t="n">
        <v>11</v>
      </c>
      <c r="W1764" s="122" t="n">
        <v>8</v>
      </c>
      <c r="X1764" s="124">
        <f>IFERROR(W1764/S1764,"")</f>
        <v/>
      </c>
      <c r="Y1764" s="121">
        <f>IFERROR(R1764/W1764,"")</f>
        <v/>
      </c>
      <c r="Z1764" s="121">
        <f>IFERROR(R1764/S1764*1000,"")</f>
        <v/>
      </c>
      <c r="AA1764" s="122" t="n">
        <v>4</v>
      </c>
      <c r="AB1764" s="54">
        <f>IFERROR(AA1764/W1764,"")</f>
        <v/>
      </c>
      <c r="AC1764" s="122" t="n">
        <v>0</v>
      </c>
      <c r="AD1764" s="122" t="n">
        <v>0</v>
      </c>
      <c r="AE1764" s="122" t="n">
        <v>0</v>
      </c>
      <c r="AF1764" s="122" t="n">
        <v>0</v>
      </c>
      <c r="AG1764" s="122" t="n">
        <v>0</v>
      </c>
      <c r="AH1764" s="122" t="n">
        <v>0</v>
      </c>
      <c r="AI1764" s="54">
        <f>IFERROR(AC1764/S1764,"")</f>
        <v/>
      </c>
      <c r="AJ1764" s="54">
        <f>IFERROR(AH1764/S1764,"")</f>
        <v/>
      </c>
      <c r="AK1764" s="122" t="n">
        <v>67</v>
      </c>
      <c r="AL1764" s="122" t="n">
        <v>0</v>
      </c>
      <c r="AM1764" s="124">
        <f>IFERROR(AL1764/AA1764,"")</f>
        <v/>
      </c>
      <c r="AN1764" s="125">
        <f>IFERROR(R1764/AL1764,"")</f>
        <v/>
      </c>
      <c r="AO1764" s="122" t="n">
        <v>0</v>
      </c>
      <c r="AP1764" s="54">
        <f>IFERROR(AO1764/AL1764,"")</f>
        <v/>
      </c>
      <c r="AQ1764" s="125">
        <f>IFERROR(R1764/AO1764,"")</f>
        <v/>
      </c>
      <c r="AR1764" s="122" t="n">
        <v>0</v>
      </c>
      <c r="AS1764" s="122" t="n">
        <v>0</v>
      </c>
      <c r="AT1764" s="122">
        <f>AL1764+AR1764</f>
        <v/>
      </c>
      <c r="AU1764" s="125">
        <f>IFERROR(AO1764*Assumptions!$C$26*Assumptions!$C$27*INDEX(Assumptions!$C$18:$C$21,MATCH(H1764,Assumptions!$B$18:$B$21,0)),0)</f>
        <v/>
      </c>
    </row>
    <row r="1765">
      <c r="A1765" s="120" t="n">
        <v>46263</v>
      </c>
      <c r="B1765" s="66" t="inlineStr">
        <is>
          <t>Wk 35</t>
        </is>
      </c>
      <c r="C1765" s="66" t="inlineStr">
        <is>
          <t>Sat</t>
        </is>
      </c>
      <c r="D1765" s="66" t="inlineStr">
        <is>
          <t>Programmatic</t>
        </is>
      </c>
      <c r="E1765" s="66" t="inlineStr">
        <is>
          <t>DV360</t>
        </is>
      </c>
      <c r="F1765" s="66" t="inlineStr">
        <is>
          <t>LEP_ZA_AUG26_PROG_TD_PROSPECT_DISPLAY</t>
        </is>
      </c>
      <c r="G1765" s="66" t="inlineStr">
        <is>
          <t>Display Prospecting</t>
        </is>
      </c>
      <c r="H1765" s="66" t="inlineStr">
        <is>
          <t>Range</t>
        </is>
      </c>
      <c r="I1765" s="66" t="inlineStr">
        <is>
          <t>Range Offer</t>
        </is>
      </c>
      <c r="J1765" s="66" t="inlineStr">
        <is>
          <t>PROG_CONTEXTUAL_AUTO_NEWS</t>
        </is>
      </c>
      <c r="K1765" s="66" t="inlineStr">
        <is>
          <t>Contextual</t>
        </is>
      </c>
      <c r="L1765" s="66" t="inlineStr">
        <is>
          <t>PROG_HTML5_300x250_Range_v1</t>
        </is>
      </c>
      <c r="M1765" s="66" t="inlineStr">
        <is>
          <t>HTML5 Display 300x250</t>
        </is>
      </c>
      <c r="N1765" s="66" t="inlineStr">
        <is>
          <t>Book a Lepas test drive</t>
        </is>
      </c>
      <c r="O1765" s="66" t="inlineStr">
        <is>
          <t>Programmatic Guaranteed / OA</t>
        </is>
      </c>
      <c r="P1765" s="66" t="inlineStr">
        <is>
          <t>Conversions (CPA)</t>
        </is>
      </c>
      <c r="Q1765" s="66" t="inlineStr">
        <is>
          <t>https://www.lepas-sa.co.za/offers</t>
        </is>
      </c>
      <c r="R1765" s="121" t="n">
        <v>284.92</v>
      </c>
      <c r="S1765" s="122" t="n">
        <v>9435</v>
      </c>
      <c r="T1765" s="122" t="n">
        <v>5048</v>
      </c>
      <c r="U1765" s="123">
        <f>IFERROR(S1765/T1765,"")</f>
        <v/>
      </c>
      <c r="V1765" s="122" t="n">
        <v>8</v>
      </c>
      <c r="W1765" s="122" t="n">
        <v>6</v>
      </c>
      <c r="X1765" s="124">
        <f>IFERROR(W1765/S1765,"")</f>
        <v/>
      </c>
      <c r="Y1765" s="121">
        <f>IFERROR(R1765/W1765,"")</f>
        <v/>
      </c>
      <c r="Z1765" s="121">
        <f>IFERROR(R1765/S1765*1000,"")</f>
        <v/>
      </c>
      <c r="AA1765" s="122" t="n">
        <v>4</v>
      </c>
      <c r="AB1765" s="54">
        <f>IFERROR(AA1765/W1765,"")</f>
        <v/>
      </c>
      <c r="AC1765" s="122" t="n">
        <v>0</v>
      </c>
      <c r="AD1765" s="122" t="n">
        <v>0</v>
      </c>
      <c r="AE1765" s="122" t="n">
        <v>0</v>
      </c>
      <c r="AF1765" s="122" t="n">
        <v>0</v>
      </c>
      <c r="AG1765" s="122" t="n">
        <v>0</v>
      </c>
      <c r="AH1765" s="122" t="n">
        <v>0</v>
      </c>
      <c r="AI1765" s="54">
        <f>IFERROR(AC1765/S1765,"")</f>
        <v/>
      </c>
      <c r="AJ1765" s="54">
        <f>IFERROR(AH1765/S1765,"")</f>
        <v/>
      </c>
      <c r="AK1765" s="122" t="n">
        <v>26</v>
      </c>
      <c r="AL1765" s="122" t="n">
        <v>0</v>
      </c>
      <c r="AM1765" s="124">
        <f>IFERROR(AL1765/AA1765,"")</f>
        <v/>
      </c>
      <c r="AN1765" s="125">
        <f>IFERROR(R1765/AL1765,"")</f>
        <v/>
      </c>
      <c r="AO1765" s="122" t="n">
        <v>0</v>
      </c>
      <c r="AP1765" s="54">
        <f>IFERROR(AO1765/AL1765,"")</f>
        <v/>
      </c>
      <c r="AQ1765" s="125">
        <f>IFERROR(R1765/AO1765,"")</f>
        <v/>
      </c>
      <c r="AR1765" s="122" t="n">
        <v>0</v>
      </c>
      <c r="AS1765" s="122" t="n">
        <v>0</v>
      </c>
      <c r="AT1765" s="122">
        <f>AL1765+AR1765</f>
        <v/>
      </c>
      <c r="AU1765" s="125">
        <f>IFERROR(AO1765*Assumptions!$C$26*Assumptions!$C$27*INDEX(Assumptions!$C$18:$C$21,MATCH(H1765,Assumptions!$B$18:$B$21,0)),0)</f>
        <v/>
      </c>
    </row>
    <row r="1766">
      <c r="A1766" s="120" t="n">
        <v>46264</v>
      </c>
      <c r="B1766" s="66" t="inlineStr">
        <is>
          <t>Wk 35</t>
        </is>
      </c>
      <c r="C1766" s="66" t="inlineStr">
        <is>
          <t>Sun</t>
        </is>
      </c>
      <c r="D1766" s="66" t="inlineStr">
        <is>
          <t>Programmatic</t>
        </is>
      </c>
      <c r="E1766" s="66" t="inlineStr">
        <is>
          <t>DV360</t>
        </is>
      </c>
      <c r="F1766" s="66" t="inlineStr">
        <is>
          <t>LEP_ZA_AUG26_PROG_TD_PROSPECT_DISPLAY</t>
        </is>
      </c>
      <c r="G1766" s="66" t="inlineStr">
        <is>
          <t>Display Prospecting</t>
        </is>
      </c>
      <c r="H1766" s="66" t="inlineStr">
        <is>
          <t>Range</t>
        </is>
      </c>
      <c r="I1766" s="66" t="inlineStr">
        <is>
          <t>Range Offer</t>
        </is>
      </c>
      <c r="J1766" s="66" t="inlineStr">
        <is>
          <t>PROG_CONTEXTUAL_AUTO_NEWS</t>
        </is>
      </c>
      <c r="K1766" s="66" t="inlineStr">
        <is>
          <t>Contextual</t>
        </is>
      </c>
      <c r="L1766" s="66" t="inlineStr">
        <is>
          <t>PROG_HTML5_300x250_Range_v1</t>
        </is>
      </c>
      <c r="M1766" s="66" t="inlineStr">
        <is>
          <t>HTML5 Display 300x250</t>
        </is>
      </c>
      <c r="N1766" s="66" t="inlineStr">
        <is>
          <t>Book a Lepas test drive</t>
        </is>
      </c>
      <c r="O1766" s="66" t="inlineStr">
        <is>
          <t>Programmatic Guaranteed / OA</t>
        </is>
      </c>
      <c r="P1766" s="66" t="inlineStr">
        <is>
          <t>Conversions (CPA)</t>
        </is>
      </c>
      <c r="Q1766" s="66" t="inlineStr">
        <is>
          <t>https://www.lepas-sa.co.za/offers</t>
        </is>
      </c>
      <c r="R1766" s="121" t="n">
        <v>220.4</v>
      </c>
      <c r="S1766" s="122" t="n">
        <v>6724</v>
      </c>
      <c r="T1766" s="122" t="n">
        <v>2201</v>
      </c>
      <c r="U1766" s="123">
        <f>IFERROR(S1766/T1766,"")</f>
        <v/>
      </c>
      <c r="V1766" s="122" t="n">
        <v>7</v>
      </c>
      <c r="W1766" s="122" t="n">
        <v>5</v>
      </c>
      <c r="X1766" s="124">
        <f>IFERROR(W1766/S1766,"")</f>
        <v/>
      </c>
      <c r="Y1766" s="121">
        <f>IFERROR(R1766/W1766,"")</f>
        <v/>
      </c>
      <c r="Z1766" s="121">
        <f>IFERROR(R1766/S1766*1000,"")</f>
        <v/>
      </c>
      <c r="AA1766" s="122" t="n">
        <v>3</v>
      </c>
      <c r="AB1766" s="54">
        <f>IFERROR(AA1766/W1766,"")</f>
        <v/>
      </c>
      <c r="AC1766" s="122" t="n">
        <v>0</v>
      </c>
      <c r="AD1766" s="122" t="n">
        <v>0</v>
      </c>
      <c r="AE1766" s="122" t="n">
        <v>0</v>
      </c>
      <c r="AF1766" s="122" t="n">
        <v>0</v>
      </c>
      <c r="AG1766" s="122" t="n">
        <v>0</v>
      </c>
      <c r="AH1766" s="122" t="n">
        <v>0</v>
      </c>
      <c r="AI1766" s="54">
        <f>IFERROR(AC1766/S1766,"")</f>
        <v/>
      </c>
      <c r="AJ1766" s="54">
        <f>IFERROR(AH1766/S1766,"")</f>
        <v/>
      </c>
      <c r="AK1766" s="122" t="n">
        <v>32</v>
      </c>
      <c r="AL1766" s="122" t="n">
        <v>0</v>
      </c>
      <c r="AM1766" s="124">
        <f>IFERROR(AL1766/AA1766,"")</f>
        <v/>
      </c>
      <c r="AN1766" s="125">
        <f>IFERROR(R1766/AL1766,"")</f>
        <v/>
      </c>
      <c r="AO1766" s="122" t="n">
        <v>0</v>
      </c>
      <c r="AP1766" s="54">
        <f>IFERROR(AO1766/AL1766,"")</f>
        <v/>
      </c>
      <c r="AQ1766" s="125">
        <f>IFERROR(R1766/AO1766,"")</f>
        <v/>
      </c>
      <c r="AR1766" s="122" t="n">
        <v>0</v>
      </c>
      <c r="AS1766" s="122" t="n">
        <v>0</v>
      </c>
      <c r="AT1766" s="122">
        <f>AL1766+AR1766</f>
        <v/>
      </c>
      <c r="AU1766" s="125">
        <f>IFERROR(AO1766*Assumptions!$C$26*Assumptions!$C$27*INDEX(Assumptions!$C$18:$C$21,MATCH(H1766,Assumptions!$B$18:$B$21,0)),0)</f>
        <v/>
      </c>
    </row>
    <row r="1767">
      <c r="A1767" s="120" t="n">
        <v>46265</v>
      </c>
      <c r="B1767" s="66" t="inlineStr">
        <is>
          <t>Wk 36</t>
        </is>
      </c>
      <c r="C1767" s="66" t="inlineStr">
        <is>
          <t>Mon</t>
        </is>
      </c>
      <c r="D1767" s="66" t="inlineStr">
        <is>
          <t>Programmatic</t>
        </is>
      </c>
      <c r="E1767" s="66" t="inlineStr">
        <is>
          <t>DV360</t>
        </is>
      </c>
      <c r="F1767" s="66" t="inlineStr">
        <is>
          <t>LEP_ZA_AUG26_PROG_TD_PROSPECT_DISPLAY</t>
        </is>
      </c>
      <c r="G1767" s="66" t="inlineStr">
        <is>
          <t>Display Prospecting</t>
        </is>
      </c>
      <c r="H1767" s="66" t="inlineStr">
        <is>
          <t>Range</t>
        </is>
      </c>
      <c r="I1767" s="66" t="inlineStr">
        <is>
          <t>Range Offer</t>
        </is>
      </c>
      <c r="J1767" s="66" t="inlineStr">
        <is>
          <t>PROG_CONTEXTUAL_AUTO_NEWS</t>
        </is>
      </c>
      <c r="K1767" s="66" t="inlineStr">
        <is>
          <t>Contextual</t>
        </is>
      </c>
      <c r="L1767" s="66" t="inlineStr">
        <is>
          <t>PROG_HTML5_300x250_Range_v1</t>
        </is>
      </c>
      <c r="M1767" s="66" t="inlineStr">
        <is>
          <t>HTML5 Display 300x250</t>
        </is>
      </c>
      <c r="N1767" s="66" t="inlineStr">
        <is>
          <t>Book a Lepas test drive</t>
        </is>
      </c>
      <c r="O1767" s="66" t="inlineStr">
        <is>
          <t>Programmatic Guaranteed / OA</t>
        </is>
      </c>
      <c r="P1767" s="66" t="inlineStr">
        <is>
          <t>Conversions (CPA)</t>
        </is>
      </c>
      <c r="Q1767" s="66" t="inlineStr">
        <is>
          <t>https://www.lepas-sa.co.za/offers</t>
        </is>
      </c>
      <c r="R1767" s="121" t="n">
        <v>265.75</v>
      </c>
      <c r="S1767" s="122" t="n">
        <v>12744</v>
      </c>
      <c r="T1767" s="122" t="n">
        <v>5227</v>
      </c>
      <c r="U1767" s="123">
        <f>IFERROR(S1767/T1767,"")</f>
        <v/>
      </c>
      <c r="V1767" s="122" t="n">
        <v>21</v>
      </c>
      <c r="W1767" s="122" t="n">
        <v>16</v>
      </c>
      <c r="X1767" s="124">
        <f>IFERROR(W1767/S1767,"")</f>
        <v/>
      </c>
      <c r="Y1767" s="121">
        <f>IFERROR(R1767/W1767,"")</f>
        <v/>
      </c>
      <c r="Z1767" s="121">
        <f>IFERROR(R1767/S1767*1000,"")</f>
        <v/>
      </c>
      <c r="AA1767" s="122" t="n">
        <v>10</v>
      </c>
      <c r="AB1767" s="54">
        <f>IFERROR(AA1767/W1767,"")</f>
        <v/>
      </c>
      <c r="AC1767" s="122" t="n">
        <v>0</v>
      </c>
      <c r="AD1767" s="122" t="n">
        <v>0</v>
      </c>
      <c r="AE1767" s="122" t="n">
        <v>0</v>
      </c>
      <c r="AF1767" s="122" t="n">
        <v>0</v>
      </c>
      <c r="AG1767" s="122" t="n">
        <v>0</v>
      </c>
      <c r="AH1767" s="122" t="n">
        <v>0</v>
      </c>
      <c r="AI1767" s="54">
        <f>IFERROR(AC1767/S1767,"")</f>
        <v/>
      </c>
      <c r="AJ1767" s="54">
        <f>IFERROR(AH1767/S1767,"")</f>
        <v/>
      </c>
      <c r="AK1767" s="122" t="n">
        <v>46</v>
      </c>
      <c r="AL1767" s="122" t="n">
        <v>0</v>
      </c>
      <c r="AM1767" s="124">
        <f>IFERROR(AL1767/AA1767,"")</f>
        <v/>
      </c>
      <c r="AN1767" s="125">
        <f>IFERROR(R1767/AL1767,"")</f>
        <v/>
      </c>
      <c r="AO1767" s="122" t="n">
        <v>0</v>
      </c>
      <c r="AP1767" s="54">
        <f>IFERROR(AO1767/AL1767,"")</f>
        <v/>
      </c>
      <c r="AQ1767" s="125">
        <f>IFERROR(R1767/AO1767,"")</f>
        <v/>
      </c>
      <c r="AR1767" s="122" t="n">
        <v>0</v>
      </c>
      <c r="AS1767" s="122" t="n">
        <v>0</v>
      </c>
      <c r="AT1767" s="122">
        <f>AL1767+AR1767</f>
        <v/>
      </c>
      <c r="AU1767" s="125">
        <f>IFERROR(AO1767*Assumptions!$C$26*Assumptions!$C$27*INDEX(Assumptions!$C$18:$C$21,MATCH(H1767,Assumptions!$B$18:$B$21,0)),0)</f>
        <v/>
      </c>
    </row>
    <row r="1768">
      <c r="A1768" s="120" t="n">
        <v>46235</v>
      </c>
      <c r="B1768" s="66" t="inlineStr">
        <is>
          <t>Wk 31</t>
        </is>
      </c>
      <c r="C1768" s="66" t="inlineStr">
        <is>
          <t>Sat</t>
        </is>
      </c>
      <c r="D1768" s="66" t="inlineStr">
        <is>
          <t>Programmatic</t>
        </is>
      </c>
      <c r="E1768" s="66" t="inlineStr">
        <is>
          <t>DV360</t>
        </is>
      </c>
      <c r="F1768" s="66" t="inlineStr">
        <is>
          <t>LEP_ZA_AUG26_PROG_TD_PROSPECT_DISPLAY</t>
        </is>
      </c>
      <c r="G1768" s="66" t="inlineStr">
        <is>
          <t>Display Prospecting</t>
        </is>
      </c>
      <c r="H1768" s="66" t="inlineStr">
        <is>
          <t>Range</t>
        </is>
      </c>
      <c r="I1768" s="66" t="inlineStr">
        <is>
          <t>Range Offer</t>
        </is>
      </c>
      <c r="J1768" s="66" t="inlineStr">
        <is>
          <t>PROG_CONTEXTUAL_AUTO_NEWS</t>
        </is>
      </c>
      <c r="K1768" s="66" t="inlineStr">
        <is>
          <t>Contextual</t>
        </is>
      </c>
      <c r="L1768" s="66" t="inlineStr">
        <is>
          <t>PROG_HTML5_728x90_Range_v1</t>
        </is>
      </c>
      <c r="M1768" s="66" t="inlineStr">
        <is>
          <t>HTML5 Display 728x90</t>
        </is>
      </c>
      <c r="N1768" s="66" t="inlineStr">
        <is>
          <t>Book a Lepas test drive</t>
        </is>
      </c>
      <c r="O1768" s="66" t="inlineStr">
        <is>
          <t>Programmatic Guaranteed / OA</t>
        </is>
      </c>
      <c r="P1768" s="66" t="inlineStr">
        <is>
          <t>Conversions (CPA)</t>
        </is>
      </c>
      <c r="Q1768" s="66" t="inlineStr">
        <is>
          <t>https://www.lepas-sa.co.za/offers</t>
        </is>
      </c>
      <c r="R1768" s="121" t="n">
        <v>165.77</v>
      </c>
      <c r="S1768" s="122" t="n">
        <v>6428</v>
      </c>
      <c r="T1768" s="122" t="n">
        <v>4092</v>
      </c>
      <c r="U1768" s="123">
        <f>IFERROR(S1768/T1768,"")</f>
        <v/>
      </c>
      <c r="V1768" s="122" t="n">
        <v>10</v>
      </c>
      <c r="W1768" s="122" t="n">
        <v>9</v>
      </c>
      <c r="X1768" s="124">
        <f>IFERROR(W1768/S1768,"")</f>
        <v/>
      </c>
      <c r="Y1768" s="121">
        <f>IFERROR(R1768/W1768,"")</f>
        <v/>
      </c>
      <c r="Z1768" s="121">
        <f>IFERROR(R1768/S1768*1000,"")</f>
        <v/>
      </c>
      <c r="AA1768" s="122" t="n">
        <v>6</v>
      </c>
      <c r="AB1768" s="54">
        <f>IFERROR(AA1768/W1768,"")</f>
        <v/>
      </c>
      <c r="AC1768" s="122" t="n">
        <v>0</v>
      </c>
      <c r="AD1768" s="122" t="n">
        <v>0</v>
      </c>
      <c r="AE1768" s="122" t="n">
        <v>0</v>
      </c>
      <c r="AF1768" s="122" t="n">
        <v>0</v>
      </c>
      <c r="AG1768" s="122" t="n">
        <v>0</v>
      </c>
      <c r="AH1768" s="122" t="n">
        <v>0</v>
      </c>
      <c r="AI1768" s="54">
        <f>IFERROR(AC1768/S1768,"")</f>
        <v/>
      </c>
      <c r="AJ1768" s="54">
        <f>IFERROR(AH1768/S1768,"")</f>
        <v/>
      </c>
      <c r="AK1768" s="122" t="n">
        <v>27</v>
      </c>
      <c r="AL1768" s="122" t="n">
        <v>0</v>
      </c>
      <c r="AM1768" s="124">
        <f>IFERROR(AL1768/AA1768,"")</f>
        <v/>
      </c>
      <c r="AN1768" s="125">
        <f>IFERROR(R1768/AL1768,"")</f>
        <v/>
      </c>
      <c r="AO1768" s="122" t="n">
        <v>0</v>
      </c>
      <c r="AP1768" s="54">
        <f>IFERROR(AO1768/AL1768,"")</f>
        <v/>
      </c>
      <c r="AQ1768" s="125">
        <f>IFERROR(R1768/AO1768,"")</f>
        <v/>
      </c>
      <c r="AR1768" s="122" t="n">
        <v>0</v>
      </c>
      <c r="AS1768" s="122" t="n">
        <v>0</v>
      </c>
      <c r="AT1768" s="122">
        <f>AL1768+AR1768</f>
        <v/>
      </c>
      <c r="AU1768" s="125">
        <f>IFERROR(AO1768*Assumptions!$C$26*Assumptions!$C$27*INDEX(Assumptions!$C$18:$C$21,MATCH(H1768,Assumptions!$B$18:$B$21,0)),0)</f>
        <v/>
      </c>
    </row>
    <row r="1769">
      <c r="A1769" s="120" t="n">
        <v>46236</v>
      </c>
      <c r="B1769" s="66" t="inlineStr">
        <is>
          <t>Wk 31</t>
        </is>
      </c>
      <c r="C1769" s="66" t="inlineStr">
        <is>
          <t>Sun</t>
        </is>
      </c>
      <c r="D1769" s="66" t="inlineStr">
        <is>
          <t>Programmatic</t>
        </is>
      </c>
      <c r="E1769" s="66" t="inlineStr">
        <is>
          <t>DV360</t>
        </is>
      </c>
      <c r="F1769" s="66" t="inlineStr">
        <is>
          <t>LEP_ZA_AUG26_PROG_TD_PROSPECT_DISPLAY</t>
        </is>
      </c>
      <c r="G1769" s="66" t="inlineStr">
        <is>
          <t>Display Prospecting</t>
        </is>
      </c>
      <c r="H1769" s="66" t="inlineStr">
        <is>
          <t>Range</t>
        </is>
      </c>
      <c r="I1769" s="66" t="inlineStr">
        <is>
          <t>Range Offer</t>
        </is>
      </c>
      <c r="J1769" s="66" t="inlineStr">
        <is>
          <t>PROG_CONTEXTUAL_AUTO_NEWS</t>
        </is>
      </c>
      <c r="K1769" s="66" t="inlineStr">
        <is>
          <t>Contextual</t>
        </is>
      </c>
      <c r="L1769" s="66" t="inlineStr">
        <is>
          <t>PROG_HTML5_728x90_Range_v1</t>
        </is>
      </c>
      <c r="M1769" s="66" t="inlineStr">
        <is>
          <t>HTML5 Display 728x90</t>
        </is>
      </c>
      <c r="N1769" s="66" t="inlineStr">
        <is>
          <t>Book a Lepas test drive</t>
        </is>
      </c>
      <c r="O1769" s="66" t="inlineStr">
        <is>
          <t>Programmatic Guaranteed / OA</t>
        </is>
      </c>
      <c r="P1769" s="66" t="inlineStr">
        <is>
          <t>Conversions (CPA)</t>
        </is>
      </c>
      <c r="Q1769" s="66" t="inlineStr">
        <is>
          <t>https://www.lepas-sa.co.za/offers</t>
        </is>
      </c>
      <c r="R1769" s="121" t="n">
        <v>118.77</v>
      </c>
      <c r="S1769" s="122" t="n">
        <v>6020</v>
      </c>
      <c r="T1769" s="122" t="n">
        <v>3042</v>
      </c>
      <c r="U1769" s="123">
        <f>IFERROR(S1769/T1769,"")</f>
        <v/>
      </c>
      <c r="V1769" s="122" t="n">
        <v>23</v>
      </c>
      <c r="W1769" s="122" t="n">
        <v>18</v>
      </c>
      <c r="X1769" s="124">
        <f>IFERROR(W1769/S1769,"")</f>
        <v/>
      </c>
      <c r="Y1769" s="121">
        <f>IFERROR(R1769/W1769,"")</f>
        <v/>
      </c>
      <c r="Z1769" s="121">
        <f>IFERROR(R1769/S1769*1000,"")</f>
        <v/>
      </c>
      <c r="AA1769" s="122" t="n">
        <v>13</v>
      </c>
      <c r="AB1769" s="54">
        <f>IFERROR(AA1769/W1769,"")</f>
        <v/>
      </c>
      <c r="AC1769" s="122" t="n">
        <v>0</v>
      </c>
      <c r="AD1769" s="122" t="n">
        <v>0</v>
      </c>
      <c r="AE1769" s="122" t="n">
        <v>0</v>
      </c>
      <c r="AF1769" s="122" t="n">
        <v>0</v>
      </c>
      <c r="AG1769" s="122" t="n">
        <v>0</v>
      </c>
      <c r="AH1769" s="122" t="n">
        <v>0</v>
      </c>
      <c r="AI1769" s="54">
        <f>IFERROR(AC1769/S1769,"")</f>
        <v/>
      </c>
      <c r="AJ1769" s="54">
        <f>IFERROR(AH1769/S1769,"")</f>
        <v/>
      </c>
      <c r="AK1769" s="122" t="n">
        <v>9</v>
      </c>
      <c r="AL1769" s="122" t="n">
        <v>0</v>
      </c>
      <c r="AM1769" s="124">
        <f>IFERROR(AL1769/AA1769,"")</f>
        <v/>
      </c>
      <c r="AN1769" s="125">
        <f>IFERROR(R1769/AL1769,"")</f>
        <v/>
      </c>
      <c r="AO1769" s="122" t="n">
        <v>0</v>
      </c>
      <c r="AP1769" s="54">
        <f>IFERROR(AO1769/AL1769,"")</f>
        <v/>
      </c>
      <c r="AQ1769" s="125">
        <f>IFERROR(R1769/AO1769,"")</f>
        <v/>
      </c>
      <c r="AR1769" s="122" t="n">
        <v>0</v>
      </c>
      <c r="AS1769" s="122" t="n">
        <v>0</v>
      </c>
      <c r="AT1769" s="122">
        <f>AL1769+AR1769</f>
        <v/>
      </c>
      <c r="AU1769" s="125">
        <f>IFERROR(AO1769*Assumptions!$C$26*Assumptions!$C$27*INDEX(Assumptions!$C$18:$C$21,MATCH(H1769,Assumptions!$B$18:$B$21,0)),0)</f>
        <v/>
      </c>
    </row>
    <row r="1770">
      <c r="A1770" s="120" t="n">
        <v>46237</v>
      </c>
      <c r="B1770" s="66" t="inlineStr">
        <is>
          <t>Wk 32</t>
        </is>
      </c>
      <c r="C1770" s="66" t="inlineStr">
        <is>
          <t>Mon</t>
        </is>
      </c>
      <c r="D1770" s="66" t="inlineStr">
        <is>
          <t>Programmatic</t>
        </is>
      </c>
      <c r="E1770" s="66" t="inlineStr">
        <is>
          <t>DV360</t>
        </is>
      </c>
      <c r="F1770" s="66" t="inlineStr">
        <is>
          <t>LEP_ZA_AUG26_PROG_TD_PROSPECT_DISPLAY</t>
        </is>
      </c>
      <c r="G1770" s="66" t="inlineStr">
        <is>
          <t>Display Prospecting</t>
        </is>
      </c>
      <c r="H1770" s="66" t="inlineStr">
        <is>
          <t>Range</t>
        </is>
      </c>
      <c r="I1770" s="66" t="inlineStr">
        <is>
          <t>Range Offer</t>
        </is>
      </c>
      <c r="J1770" s="66" t="inlineStr">
        <is>
          <t>PROG_CONTEXTUAL_AUTO_NEWS</t>
        </is>
      </c>
      <c r="K1770" s="66" t="inlineStr">
        <is>
          <t>Contextual</t>
        </is>
      </c>
      <c r="L1770" s="66" t="inlineStr">
        <is>
          <t>PROG_HTML5_728x90_Range_v1</t>
        </is>
      </c>
      <c r="M1770" s="66" t="inlineStr">
        <is>
          <t>HTML5 Display 728x90</t>
        </is>
      </c>
      <c r="N1770" s="66" t="inlineStr">
        <is>
          <t>Book a Lepas test drive</t>
        </is>
      </c>
      <c r="O1770" s="66" t="inlineStr">
        <is>
          <t>Programmatic Guaranteed / OA</t>
        </is>
      </c>
      <c r="P1770" s="66" t="inlineStr">
        <is>
          <t>Conversions (CPA)</t>
        </is>
      </c>
      <c r="Q1770" s="66" t="inlineStr">
        <is>
          <t>https://www.lepas-sa.co.za/offers</t>
        </is>
      </c>
      <c r="R1770" s="121" t="n">
        <v>144.71</v>
      </c>
      <c r="S1770" s="122" t="n">
        <v>4593</v>
      </c>
      <c r="T1770" s="122" t="n">
        <v>3086</v>
      </c>
      <c r="U1770" s="123">
        <f>IFERROR(S1770/T1770,"")</f>
        <v/>
      </c>
      <c r="V1770" s="122" t="n">
        <v>16</v>
      </c>
      <c r="W1770" s="122" t="n">
        <v>13</v>
      </c>
      <c r="X1770" s="124">
        <f>IFERROR(W1770/S1770,"")</f>
        <v/>
      </c>
      <c r="Y1770" s="121">
        <f>IFERROR(R1770/W1770,"")</f>
        <v/>
      </c>
      <c r="Z1770" s="121">
        <f>IFERROR(R1770/S1770*1000,"")</f>
        <v/>
      </c>
      <c r="AA1770" s="122" t="n">
        <v>8</v>
      </c>
      <c r="AB1770" s="54">
        <f>IFERROR(AA1770/W1770,"")</f>
        <v/>
      </c>
      <c r="AC1770" s="122" t="n">
        <v>0</v>
      </c>
      <c r="AD1770" s="122" t="n">
        <v>0</v>
      </c>
      <c r="AE1770" s="122" t="n">
        <v>0</v>
      </c>
      <c r="AF1770" s="122" t="n">
        <v>0</v>
      </c>
      <c r="AG1770" s="122" t="n">
        <v>0</v>
      </c>
      <c r="AH1770" s="122" t="n">
        <v>0</v>
      </c>
      <c r="AI1770" s="54">
        <f>IFERROR(AC1770/S1770,"")</f>
        <v/>
      </c>
      <c r="AJ1770" s="54">
        <f>IFERROR(AH1770/S1770,"")</f>
        <v/>
      </c>
      <c r="AK1770" s="122" t="n">
        <v>11</v>
      </c>
      <c r="AL1770" s="122" t="n">
        <v>1</v>
      </c>
      <c r="AM1770" s="124">
        <f>IFERROR(AL1770/AA1770,"")</f>
        <v/>
      </c>
      <c r="AN1770" s="125">
        <f>IFERROR(R1770/AL1770,"")</f>
        <v/>
      </c>
      <c r="AO1770" s="122" t="n">
        <v>1</v>
      </c>
      <c r="AP1770" s="54">
        <f>IFERROR(AO1770/AL1770,"")</f>
        <v/>
      </c>
      <c r="AQ1770" s="125">
        <f>IFERROR(R1770/AO1770,"")</f>
        <v/>
      </c>
      <c r="AR1770" s="122" t="n">
        <v>3</v>
      </c>
      <c r="AS1770" s="122" t="n">
        <v>0</v>
      </c>
      <c r="AT1770" s="122">
        <f>AL1770+AR1770</f>
        <v/>
      </c>
      <c r="AU1770" s="125">
        <f>IFERROR(AO1770*Assumptions!$C$26*Assumptions!$C$27*INDEX(Assumptions!$C$18:$C$21,MATCH(H1770,Assumptions!$B$18:$B$21,0)),0)</f>
        <v/>
      </c>
    </row>
    <row r="1771">
      <c r="A1771" s="120" t="n">
        <v>46238</v>
      </c>
      <c r="B1771" s="66" t="inlineStr">
        <is>
          <t>Wk 32</t>
        </is>
      </c>
      <c r="C1771" s="66" t="inlineStr">
        <is>
          <t>Tue</t>
        </is>
      </c>
      <c r="D1771" s="66" t="inlineStr">
        <is>
          <t>Programmatic</t>
        </is>
      </c>
      <c r="E1771" s="66" t="inlineStr">
        <is>
          <t>DV360</t>
        </is>
      </c>
      <c r="F1771" s="66" t="inlineStr">
        <is>
          <t>LEP_ZA_AUG26_PROG_TD_PROSPECT_DISPLAY</t>
        </is>
      </c>
      <c r="G1771" s="66" t="inlineStr">
        <is>
          <t>Display Prospecting</t>
        </is>
      </c>
      <c r="H1771" s="66" t="inlineStr">
        <is>
          <t>Range</t>
        </is>
      </c>
      <c r="I1771" s="66" t="inlineStr">
        <is>
          <t>Range Offer</t>
        </is>
      </c>
      <c r="J1771" s="66" t="inlineStr">
        <is>
          <t>PROG_CONTEXTUAL_AUTO_NEWS</t>
        </is>
      </c>
      <c r="K1771" s="66" t="inlineStr">
        <is>
          <t>Contextual</t>
        </is>
      </c>
      <c r="L1771" s="66" t="inlineStr">
        <is>
          <t>PROG_HTML5_728x90_Range_v1</t>
        </is>
      </c>
      <c r="M1771" s="66" t="inlineStr">
        <is>
          <t>HTML5 Display 728x90</t>
        </is>
      </c>
      <c r="N1771" s="66" t="inlineStr">
        <is>
          <t>Book a Lepas test drive</t>
        </is>
      </c>
      <c r="O1771" s="66" t="inlineStr">
        <is>
          <t>Programmatic Guaranteed / OA</t>
        </is>
      </c>
      <c r="P1771" s="66" t="inlineStr">
        <is>
          <t>Conversions (CPA)</t>
        </is>
      </c>
      <c r="Q1771" s="66" t="inlineStr">
        <is>
          <t>https://www.lepas-sa.co.za/offers</t>
        </is>
      </c>
      <c r="R1771" s="121" t="n">
        <v>173.24</v>
      </c>
      <c r="S1771" s="122" t="n">
        <v>11455</v>
      </c>
      <c r="T1771" s="122" t="n">
        <v>7045</v>
      </c>
      <c r="U1771" s="123">
        <f>IFERROR(S1771/T1771,"")</f>
        <v/>
      </c>
      <c r="V1771" s="122" t="n">
        <v>19</v>
      </c>
      <c r="W1771" s="122" t="n">
        <v>16</v>
      </c>
      <c r="X1771" s="124">
        <f>IFERROR(W1771/S1771,"")</f>
        <v/>
      </c>
      <c r="Y1771" s="121">
        <f>IFERROR(R1771/W1771,"")</f>
        <v/>
      </c>
      <c r="Z1771" s="121">
        <f>IFERROR(R1771/S1771*1000,"")</f>
        <v/>
      </c>
      <c r="AA1771" s="122" t="n">
        <v>10</v>
      </c>
      <c r="AB1771" s="54">
        <f>IFERROR(AA1771/W1771,"")</f>
        <v/>
      </c>
      <c r="AC1771" s="122" t="n">
        <v>0</v>
      </c>
      <c r="AD1771" s="122" t="n">
        <v>0</v>
      </c>
      <c r="AE1771" s="122" t="n">
        <v>0</v>
      </c>
      <c r="AF1771" s="122" t="n">
        <v>0</v>
      </c>
      <c r="AG1771" s="122" t="n">
        <v>0</v>
      </c>
      <c r="AH1771" s="122" t="n">
        <v>0</v>
      </c>
      <c r="AI1771" s="54">
        <f>IFERROR(AC1771/S1771,"")</f>
        <v/>
      </c>
      <c r="AJ1771" s="54">
        <f>IFERROR(AH1771/S1771,"")</f>
        <v/>
      </c>
      <c r="AK1771" s="122" t="n">
        <v>30</v>
      </c>
      <c r="AL1771" s="122" t="n">
        <v>0</v>
      </c>
      <c r="AM1771" s="124">
        <f>IFERROR(AL1771/AA1771,"")</f>
        <v/>
      </c>
      <c r="AN1771" s="125">
        <f>IFERROR(R1771/AL1771,"")</f>
        <v/>
      </c>
      <c r="AO1771" s="122" t="n">
        <v>0</v>
      </c>
      <c r="AP1771" s="54">
        <f>IFERROR(AO1771/AL1771,"")</f>
        <v/>
      </c>
      <c r="AQ1771" s="125">
        <f>IFERROR(R1771/AO1771,"")</f>
        <v/>
      </c>
      <c r="AR1771" s="122" t="n">
        <v>0</v>
      </c>
      <c r="AS1771" s="122" t="n">
        <v>0</v>
      </c>
      <c r="AT1771" s="122">
        <f>AL1771+AR1771</f>
        <v/>
      </c>
      <c r="AU1771" s="125">
        <f>IFERROR(AO1771*Assumptions!$C$26*Assumptions!$C$27*INDEX(Assumptions!$C$18:$C$21,MATCH(H1771,Assumptions!$B$18:$B$21,0)),0)</f>
        <v/>
      </c>
    </row>
    <row r="1772">
      <c r="A1772" s="120" t="n">
        <v>46239</v>
      </c>
      <c r="B1772" s="66" t="inlineStr">
        <is>
          <t>Wk 32</t>
        </is>
      </c>
      <c r="C1772" s="66" t="inlineStr">
        <is>
          <t>Wed</t>
        </is>
      </c>
      <c r="D1772" s="66" t="inlineStr">
        <is>
          <t>Programmatic</t>
        </is>
      </c>
      <c r="E1772" s="66" t="inlineStr">
        <is>
          <t>DV360</t>
        </is>
      </c>
      <c r="F1772" s="66" t="inlineStr">
        <is>
          <t>LEP_ZA_AUG26_PROG_TD_PROSPECT_DISPLAY</t>
        </is>
      </c>
      <c r="G1772" s="66" t="inlineStr">
        <is>
          <t>Display Prospecting</t>
        </is>
      </c>
      <c r="H1772" s="66" t="inlineStr">
        <is>
          <t>Range</t>
        </is>
      </c>
      <c r="I1772" s="66" t="inlineStr">
        <is>
          <t>Range Offer</t>
        </is>
      </c>
      <c r="J1772" s="66" t="inlineStr">
        <is>
          <t>PROG_CONTEXTUAL_AUTO_NEWS</t>
        </is>
      </c>
      <c r="K1772" s="66" t="inlineStr">
        <is>
          <t>Contextual</t>
        </is>
      </c>
      <c r="L1772" s="66" t="inlineStr">
        <is>
          <t>PROG_HTML5_728x90_Range_v1</t>
        </is>
      </c>
      <c r="M1772" s="66" t="inlineStr">
        <is>
          <t>HTML5 Display 728x90</t>
        </is>
      </c>
      <c r="N1772" s="66" t="inlineStr">
        <is>
          <t>Book a Lepas test drive</t>
        </is>
      </c>
      <c r="O1772" s="66" t="inlineStr">
        <is>
          <t>Programmatic Guaranteed / OA</t>
        </is>
      </c>
      <c r="P1772" s="66" t="inlineStr">
        <is>
          <t>Conversions (CPA)</t>
        </is>
      </c>
      <c r="Q1772" s="66" t="inlineStr">
        <is>
          <t>https://www.lepas-sa.co.za/offers</t>
        </is>
      </c>
      <c r="R1772" s="121" t="n">
        <v>151.74</v>
      </c>
      <c r="S1772" s="122" t="n">
        <v>7308</v>
      </c>
      <c r="T1772" s="122" t="n">
        <v>5615</v>
      </c>
      <c r="U1772" s="123">
        <f>IFERROR(S1772/T1772,"")</f>
        <v/>
      </c>
      <c r="V1772" s="122" t="n">
        <v>21</v>
      </c>
      <c r="W1772" s="122" t="n">
        <v>15</v>
      </c>
      <c r="X1772" s="124">
        <f>IFERROR(W1772/S1772,"")</f>
        <v/>
      </c>
      <c r="Y1772" s="121">
        <f>IFERROR(R1772/W1772,"")</f>
        <v/>
      </c>
      <c r="Z1772" s="121">
        <f>IFERROR(R1772/S1772*1000,"")</f>
        <v/>
      </c>
      <c r="AA1772" s="122" t="n">
        <v>9</v>
      </c>
      <c r="AB1772" s="54">
        <f>IFERROR(AA1772/W1772,"")</f>
        <v/>
      </c>
      <c r="AC1772" s="122" t="n">
        <v>0</v>
      </c>
      <c r="AD1772" s="122" t="n">
        <v>0</v>
      </c>
      <c r="AE1772" s="122" t="n">
        <v>0</v>
      </c>
      <c r="AF1772" s="122" t="n">
        <v>0</v>
      </c>
      <c r="AG1772" s="122" t="n">
        <v>0</v>
      </c>
      <c r="AH1772" s="122" t="n">
        <v>0</v>
      </c>
      <c r="AI1772" s="54">
        <f>IFERROR(AC1772/S1772,"")</f>
        <v/>
      </c>
      <c r="AJ1772" s="54">
        <f>IFERROR(AH1772/S1772,"")</f>
        <v/>
      </c>
      <c r="AK1772" s="122" t="n">
        <v>32</v>
      </c>
      <c r="AL1772" s="122" t="n">
        <v>0</v>
      </c>
      <c r="AM1772" s="124">
        <f>IFERROR(AL1772/AA1772,"")</f>
        <v/>
      </c>
      <c r="AN1772" s="125">
        <f>IFERROR(R1772/AL1772,"")</f>
        <v/>
      </c>
      <c r="AO1772" s="122" t="n">
        <v>0</v>
      </c>
      <c r="AP1772" s="54">
        <f>IFERROR(AO1772/AL1772,"")</f>
        <v/>
      </c>
      <c r="AQ1772" s="125">
        <f>IFERROR(R1772/AO1772,"")</f>
        <v/>
      </c>
      <c r="AR1772" s="122" t="n">
        <v>0</v>
      </c>
      <c r="AS1772" s="122" t="n">
        <v>0</v>
      </c>
      <c r="AT1772" s="122">
        <f>AL1772+AR1772</f>
        <v/>
      </c>
      <c r="AU1772" s="125">
        <f>IFERROR(AO1772*Assumptions!$C$26*Assumptions!$C$27*INDEX(Assumptions!$C$18:$C$21,MATCH(H1772,Assumptions!$B$18:$B$21,0)),0)</f>
        <v/>
      </c>
    </row>
    <row r="1773">
      <c r="A1773" s="120" t="n">
        <v>46240</v>
      </c>
      <c r="B1773" s="66" t="inlineStr">
        <is>
          <t>Wk 32</t>
        </is>
      </c>
      <c r="C1773" s="66" t="inlineStr">
        <is>
          <t>Thu</t>
        </is>
      </c>
      <c r="D1773" s="66" t="inlineStr">
        <is>
          <t>Programmatic</t>
        </is>
      </c>
      <c r="E1773" s="66" t="inlineStr">
        <is>
          <t>DV360</t>
        </is>
      </c>
      <c r="F1773" s="66" t="inlineStr">
        <is>
          <t>LEP_ZA_AUG26_PROG_TD_PROSPECT_DISPLAY</t>
        </is>
      </c>
      <c r="G1773" s="66" t="inlineStr">
        <is>
          <t>Display Prospecting</t>
        </is>
      </c>
      <c r="H1773" s="66" t="inlineStr">
        <is>
          <t>Range</t>
        </is>
      </c>
      <c r="I1773" s="66" t="inlineStr">
        <is>
          <t>Range Offer</t>
        </is>
      </c>
      <c r="J1773" s="66" t="inlineStr">
        <is>
          <t>PROG_CONTEXTUAL_AUTO_NEWS</t>
        </is>
      </c>
      <c r="K1773" s="66" t="inlineStr">
        <is>
          <t>Contextual</t>
        </is>
      </c>
      <c r="L1773" s="66" t="inlineStr">
        <is>
          <t>PROG_HTML5_728x90_Range_v1</t>
        </is>
      </c>
      <c r="M1773" s="66" t="inlineStr">
        <is>
          <t>HTML5 Display 728x90</t>
        </is>
      </c>
      <c r="N1773" s="66" t="inlineStr">
        <is>
          <t>Book a Lepas test drive</t>
        </is>
      </c>
      <c r="O1773" s="66" t="inlineStr">
        <is>
          <t>Programmatic Guaranteed / OA</t>
        </is>
      </c>
      <c r="P1773" s="66" t="inlineStr">
        <is>
          <t>Conversions (CPA)</t>
        </is>
      </c>
      <c r="Q1773" s="66" t="inlineStr">
        <is>
          <t>https://www.lepas-sa.co.za/offers</t>
        </is>
      </c>
      <c r="R1773" s="121" t="n">
        <v>191.3</v>
      </c>
      <c r="S1773" s="122" t="n">
        <v>8031</v>
      </c>
      <c r="T1773" s="122" t="n">
        <v>3853</v>
      </c>
      <c r="U1773" s="123">
        <f>IFERROR(S1773/T1773,"")</f>
        <v/>
      </c>
      <c r="V1773" s="122" t="n">
        <v>13</v>
      </c>
      <c r="W1773" s="122" t="n">
        <v>11</v>
      </c>
      <c r="X1773" s="124">
        <f>IFERROR(W1773/S1773,"")</f>
        <v/>
      </c>
      <c r="Y1773" s="121">
        <f>IFERROR(R1773/W1773,"")</f>
        <v/>
      </c>
      <c r="Z1773" s="121">
        <f>IFERROR(R1773/S1773*1000,"")</f>
        <v/>
      </c>
      <c r="AA1773" s="122" t="n">
        <v>7</v>
      </c>
      <c r="AB1773" s="54">
        <f>IFERROR(AA1773/W1773,"")</f>
        <v/>
      </c>
      <c r="AC1773" s="122" t="n">
        <v>0</v>
      </c>
      <c r="AD1773" s="122" t="n">
        <v>0</v>
      </c>
      <c r="AE1773" s="122" t="n">
        <v>0</v>
      </c>
      <c r="AF1773" s="122" t="n">
        <v>0</v>
      </c>
      <c r="AG1773" s="122" t="n">
        <v>0</v>
      </c>
      <c r="AH1773" s="122" t="n">
        <v>0</v>
      </c>
      <c r="AI1773" s="54">
        <f>IFERROR(AC1773/S1773,"")</f>
        <v/>
      </c>
      <c r="AJ1773" s="54">
        <f>IFERROR(AH1773/S1773,"")</f>
        <v/>
      </c>
      <c r="AK1773" s="122" t="n">
        <v>17</v>
      </c>
      <c r="AL1773" s="122" t="n">
        <v>0</v>
      </c>
      <c r="AM1773" s="124">
        <f>IFERROR(AL1773/AA1773,"")</f>
        <v/>
      </c>
      <c r="AN1773" s="125">
        <f>IFERROR(R1773/AL1773,"")</f>
        <v/>
      </c>
      <c r="AO1773" s="122" t="n">
        <v>0</v>
      </c>
      <c r="AP1773" s="54">
        <f>IFERROR(AO1773/AL1773,"")</f>
        <v/>
      </c>
      <c r="AQ1773" s="125">
        <f>IFERROR(R1773/AO1773,"")</f>
        <v/>
      </c>
      <c r="AR1773" s="122" t="n">
        <v>0</v>
      </c>
      <c r="AS1773" s="122" t="n">
        <v>0</v>
      </c>
      <c r="AT1773" s="122">
        <f>AL1773+AR1773</f>
        <v/>
      </c>
      <c r="AU1773" s="125">
        <f>IFERROR(AO1773*Assumptions!$C$26*Assumptions!$C$27*INDEX(Assumptions!$C$18:$C$21,MATCH(H1773,Assumptions!$B$18:$B$21,0)),0)</f>
        <v/>
      </c>
    </row>
    <row r="1774">
      <c r="A1774" s="120" t="n">
        <v>46241</v>
      </c>
      <c r="B1774" s="66" t="inlineStr">
        <is>
          <t>Wk 32</t>
        </is>
      </c>
      <c r="C1774" s="66" t="inlineStr">
        <is>
          <t>Fri</t>
        </is>
      </c>
      <c r="D1774" s="66" t="inlineStr">
        <is>
          <t>Programmatic</t>
        </is>
      </c>
      <c r="E1774" s="66" t="inlineStr">
        <is>
          <t>DV360</t>
        </is>
      </c>
      <c r="F1774" s="66" t="inlineStr">
        <is>
          <t>LEP_ZA_AUG26_PROG_TD_PROSPECT_DISPLAY</t>
        </is>
      </c>
      <c r="G1774" s="66" t="inlineStr">
        <is>
          <t>Display Prospecting</t>
        </is>
      </c>
      <c r="H1774" s="66" t="inlineStr">
        <is>
          <t>Range</t>
        </is>
      </c>
      <c r="I1774" s="66" t="inlineStr">
        <is>
          <t>Range Offer</t>
        </is>
      </c>
      <c r="J1774" s="66" t="inlineStr">
        <is>
          <t>PROG_CONTEXTUAL_AUTO_NEWS</t>
        </is>
      </c>
      <c r="K1774" s="66" t="inlineStr">
        <is>
          <t>Contextual</t>
        </is>
      </c>
      <c r="L1774" s="66" t="inlineStr">
        <is>
          <t>PROG_HTML5_728x90_Range_v1</t>
        </is>
      </c>
      <c r="M1774" s="66" t="inlineStr">
        <is>
          <t>HTML5 Display 728x90</t>
        </is>
      </c>
      <c r="N1774" s="66" t="inlineStr">
        <is>
          <t>Book a Lepas test drive</t>
        </is>
      </c>
      <c r="O1774" s="66" t="inlineStr">
        <is>
          <t>Programmatic Guaranteed / OA</t>
        </is>
      </c>
      <c r="P1774" s="66" t="inlineStr">
        <is>
          <t>Conversions (CPA)</t>
        </is>
      </c>
      <c r="Q1774" s="66" t="inlineStr">
        <is>
          <t>https://www.lepas-sa.co.za/offers</t>
        </is>
      </c>
      <c r="R1774" s="121" t="n">
        <v>204.52</v>
      </c>
      <c r="S1774" s="122" t="n">
        <v>9398</v>
      </c>
      <c r="T1774" s="122" t="n">
        <v>6843</v>
      </c>
      <c r="U1774" s="123">
        <f>IFERROR(S1774/T1774,"")</f>
        <v/>
      </c>
      <c r="V1774" s="122" t="n">
        <v>31</v>
      </c>
      <c r="W1774" s="122" t="n">
        <v>25</v>
      </c>
      <c r="X1774" s="124">
        <f>IFERROR(W1774/S1774,"")</f>
        <v/>
      </c>
      <c r="Y1774" s="121">
        <f>IFERROR(R1774/W1774,"")</f>
        <v/>
      </c>
      <c r="Z1774" s="121">
        <f>IFERROR(R1774/S1774*1000,"")</f>
        <v/>
      </c>
      <c r="AA1774" s="122" t="n">
        <v>15</v>
      </c>
      <c r="AB1774" s="54">
        <f>IFERROR(AA1774/W1774,"")</f>
        <v/>
      </c>
      <c r="AC1774" s="122" t="n">
        <v>0</v>
      </c>
      <c r="AD1774" s="122" t="n">
        <v>0</v>
      </c>
      <c r="AE1774" s="122" t="n">
        <v>0</v>
      </c>
      <c r="AF1774" s="122" t="n">
        <v>0</v>
      </c>
      <c r="AG1774" s="122" t="n">
        <v>0</v>
      </c>
      <c r="AH1774" s="122" t="n">
        <v>0</v>
      </c>
      <c r="AI1774" s="54">
        <f>IFERROR(AC1774/S1774,"")</f>
        <v/>
      </c>
      <c r="AJ1774" s="54">
        <f>IFERROR(AH1774/S1774,"")</f>
        <v/>
      </c>
      <c r="AK1774" s="122" t="n">
        <v>38</v>
      </c>
      <c r="AL1774" s="122" t="n">
        <v>1</v>
      </c>
      <c r="AM1774" s="124">
        <f>IFERROR(AL1774/AA1774,"")</f>
        <v/>
      </c>
      <c r="AN1774" s="125">
        <f>IFERROR(R1774/AL1774,"")</f>
        <v/>
      </c>
      <c r="AO1774" s="122" t="n">
        <v>1</v>
      </c>
      <c r="AP1774" s="54">
        <f>IFERROR(AO1774/AL1774,"")</f>
        <v/>
      </c>
      <c r="AQ1774" s="125">
        <f>IFERROR(R1774/AO1774,"")</f>
        <v/>
      </c>
      <c r="AR1774" s="122" t="n">
        <v>3</v>
      </c>
      <c r="AS1774" s="122" t="n">
        <v>1</v>
      </c>
      <c r="AT1774" s="122">
        <f>AL1774+AR1774</f>
        <v/>
      </c>
      <c r="AU1774" s="125">
        <f>IFERROR(AO1774*Assumptions!$C$26*Assumptions!$C$27*INDEX(Assumptions!$C$18:$C$21,MATCH(H1774,Assumptions!$B$18:$B$21,0)),0)</f>
        <v/>
      </c>
    </row>
    <row r="1775">
      <c r="A1775" s="120" t="n">
        <v>46242</v>
      </c>
      <c r="B1775" s="66" t="inlineStr">
        <is>
          <t>Wk 32</t>
        </is>
      </c>
      <c r="C1775" s="66" t="inlineStr">
        <is>
          <t>Sat</t>
        </is>
      </c>
      <c r="D1775" s="66" t="inlineStr">
        <is>
          <t>Programmatic</t>
        </is>
      </c>
      <c r="E1775" s="66" t="inlineStr">
        <is>
          <t>DV360</t>
        </is>
      </c>
      <c r="F1775" s="66" t="inlineStr">
        <is>
          <t>LEP_ZA_AUG26_PROG_TD_PROSPECT_DISPLAY</t>
        </is>
      </c>
      <c r="G1775" s="66" t="inlineStr">
        <is>
          <t>Display Prospecting</t>
        </is>
      </c>
      <c r="H1775" s="66" t="inlineStr">
        <is>
          <t>Range</t>
        </is>
      </c>
      <c r="I1775" s="66" t="inlineStr">
        <is>
          <t>Range Offer</t>
        </is>
      </c>
      <c r="J1775" s="66" t="inlineStr">
        <is>
          <t>PROG_CONTEXTUAL_AUTO_NEWS</t>
        </is>
      </c>
      <c r="K1775" s="66" t="inlineStr">
        <is>
          <t>Contextual</t>
        </is>
      </c>
      <c r="L1775" s="66" t="inlineStr">
        <is>
          <t>PROG_HTML5_728x90_Range_v1</t>
        </is>
      </c>
      <c r="M1775" s="66" t="inlineStr">
        <is>
          <t>HTML5 Display 728x90</t>
        </is>
      </c>
      <c r="N1775" s="66" t="inlineStr">
        <is>
          <t>Book a Lepas test drive</t>
        </is>
      </c>
      <c r="O1775" s="66" t="inlineStr">
        <is>
          <t>Programmatic Guaranteed / OA</t>
        </is>
      </c>
      <c r="P1775" s="66" t="inlineStr">
        <is>
          <t>Conversions (CPA)</t>
        </is>
      </c>
      <c r="Q1775" s="66" t="inlineStr">
        <is>
          <t>https://www.lepas-sa.co.za/offers</t>
        </is>
      </c>
      <c r="R1775" s="121" t="n">
        <v>188.87</v>
      </c>
      <c r="S1775" s="122" t="n">
        <v>11805</v>
      </c>
      <c r="T1775" s="122" t="n">
        <v>7815</v>
      </c>
      <c r="U1775" s="123">
        <f>IFERROR(S1775/T1775,"")</f>
        <v/>
      </c>
      <c r="V1775" s="122" t="n">
        <v>27</v>
      </c>
      <c r="W1775" s="122" t="n">
        <v>22</v>
      </c>
      <c r="X1775" s="124">
        <f>IFERROR(W1775/S1775,"")</f>
        <v/>
      </c>
      <c r="Y1775" s="121">
        <f>IFERROR(R1775/W1775,"")</f>
        <v/>
      </c>
      <c r="Z1775" s="121">
        <f>IFERROR(R1775/S1775*1000,"")</f>
        <v/>
      </c>
      <c r="AA1775" s="122" t="n">
        <v>14</v>
      </c>
      <c r="AB1775" s="54">
        <f>IFERROR(AA1775/W1775,"")</f>
        <v/>
      </c>
      <c r="AC1775" s="122" t="n">
        <v>0</v>
      </c>
      <c r="AD1775" s="122" t="n">
        <v>0</v>
      </c>
      <c r="AE1775" s="122" t="n">
        <v>0</v>
      </c>
      <c r="AF1775" s="122" t="n">
        <v>0</v>
      </c>
      <c r="AG1775" s="122" t="n">
        <v>0</v>
      </c>
      <c r="AH1775" s="122" t="n">
        <v>0</v>
      </c>
      <c r="AI1775" s="54">
        <f>IFERROR(AC1775/S1775,"")</f>
        <v/>
      </c>
      <c r="AJ1775" s="54">
        <f>IFERROR(AH1775/S1775,"")</f>
        <v/>
      </c>
      <c r="AK1775" s="122" t="n">
        <v>53</v>
      </c>
      <c r="AL1775" s="122" t="n">
        <v>1</v>
      </c>
      <c r="AM1775" s="124">
        <f>IFERROR(AL1775/AA1775,"")</f>
        <v/>
      </c>
      <c r="AN1775" s="125">
        <f>IFERROR(R1775/AL1775,"")</f>
        <v/>
      </c>
      <c r="AO1775" s="122" t="n">
        <v>1</v>
      </c>
      <c r="AP1775" s="54">
        <f>IFERROR(AO1775/AL1775,"")</f>
        <v/>
      </c>
      <c r="AQ1775" s="125">
        <f>IFERROR(R1775/AO1775,"")</f>
        <v/>
      </c>
      <c r="AR1775" s="122" t="n">
        <v>2</v>
      </c>
      <c r="AS1775" s="122" t="n">
        <v>1</v>
      </c>
      <c r="AT1775" s="122">
        <f>AL1775+AR1775</f>
        <v/>
      </c>
      <c r="AU1775" s="125">
        <f>IFERROR(AO1775*Assumptions!$C$26*Assumptions!$C$27*INDEX(Assumptions!$C$18:$C$21,MATCH(H1775,Assumptions!$B$18:$B$21,0)),0)</f>
        <v/>
      </c>
    </row>
    <row r="1776">
      <c r="A1776" s="120" t="n">
        <v>46243</v>
      </c>
      <c r="B1776" s="66" t="inlineStr">
        <is>
          <t>Wk 32</t>
        </is>
      </c>
      <c r="C1776" s="66" t="inlineStr">
        <is>
          <t>Sun</t>
        </is>
      </c>
      <c r="D1776" s="66" t="inlineStr">
        <is>
          <t>Programmatic</t>
        </is>
      </c>
      <c r="E1776" s="66" t="inlineStr">
        <is>
          <t>DV360</t>
        </is>
      </c>
      <c r="F1776" s="66" t="inlineStr">
        <is>
          <t>LEP_ZA_AUG26_PROG_TD_PROSPECT_DISPLAY</t>
        </is>
      </c>
      <c r="G1776" s="66" t="inlineStr">
        <is>
          <t>Display Prospecting</t>
        </is>
      </c>
      <c r="H1776" s="66" t="inlineStr">
        <is>
          <t>Range</t>
        </is>
      </c>
      <c r="I1776" s="66" t="inlineStr">
        <is>
          <t>Range Offer</t>
        </is>
      </c>
      <c r="J1776" s="66" t="inlineStr">
        <is>
          <t>PROG_CONTEXTUAL_AUTO_NEWS</t>
        </is>
      </c>
      <c r="K1776" s="66" t="inlineStr">
        <is>
          <t>Contextual</t>
        </is>
      </c>
      <c r="L1776" s="66" t="inlineStr">
        <is>
          <t>PROG_HTML5_728x90_Range_v1</t>
        </is>
      </c>
      <c r="M1776" s="66" t="inlineStr">
        <is>
          <t>HTML5 Display 728x90</t>
        </is>
      </c>
      <c r="N1776" s="66" t="inlineStr">
        <is>
          <t>Book a Lepas test drive</t>
        </is>
      </c>
      <c r="O1776" s="66" t="inlineStr">
        <is>
          <t>Programmatic Guaranteed / OA</t>
        </is>
      </c>
      <c r="P1776" s="66" t="inlineStr">
        <is>
          <t>Conversions (CPA)</t>
        </is>
      </c>
      <c r="Q1776" s="66" t="inlineStr">
        <is>
          <t>https://www.lepas-sa.co.za/offers</t>
        </is>
      </c>
      <c r="R1776" s="121" t="n">
        <v>129.83</v>
      </c>
      <c r="S1776" s="122" t="n">
        <v>3998</v>
      </c>
      <c r="T1776" s="122" t="n">
        <v>2468</v>
      </c>
      <c r="U1776" s="123">
        <f>IFERROR(S1776/T1776,"")</f>
        <v/>
      </c>
      <c r="V1776" s="122" t="n">
        <v>9</v>
      </c>
      <c r="W1776" s="122" t="n">
        <v>7</v>
      </c>
      <c r="X1776" s="124">
        <f>IFERROR(W1776/S1776,"")</f>
        <v/>
      </c>
      <c r="Y1776" s="121">
        <f>IFERROR(R1776/W1776,"")</f>
        <v/>
      </c>
      <c r="Z1776" s="121">
        <f>IFERROR(R1776/S1776*1000,"")</f>
        <v/>
      </c>
      <c r="AA1776" s="122" t="n">
        <v>4</v>
      </c>
      <c r="AB1776" s="54">
        <f>IFERROR(AA1776/W1776,"")</f>
        <v/>
      </c>
      <c r="AC1776" s="122" t="n">
        <v>0</v>
      </c>
      <c r="AD1776" s="122" t="n">
        <v>0</v>
      </c>
      <c r="AE1776" s="122" t="n">
        <v>0</v>
      </c>
      <c r="AF1776" s="122" t="n">
        <v>0</v>
      </c>
      <c r="AG1776" s="122" t="n">
        <v>0</v>
      </c>
      <c r="AH1776" s="122" t="n">
        <v>0</v>
      </c>
      <c r="AI1776" s="54">
        <f>IFERROR(AC1776/S1776,"")</f>
        <v/>
      </c>
      <c r="AJ1776" s="54">
        <f>IFERROR(AH1776/S1776,"")</f>
        <v/>
      </c>
      <c r="AK1776" s="122" t="n">
        <v>6</v>
      </c>
      <c r="AL1776" s="122" t="n">
        <v>0</v>
      </c>
      <c r="AM1776" s="124">
        <f>IFERROR(AL1776/AA1776,"")</f>
        <v/>
      </c>
      <c r="AN1776" s="125">
        <f>IFERROR(R1776/AL1776,"")</f>
        <v/>
      </c>
      <c r="AO1776" s="122" t="n">
        <v>0</v>
      </c>
      <c r="AP1776" s="54">
        <f>IFERROR(AO1776/AL1776,"")</f>
        <v/>
      </c>
      <c r="AQ1776" s="125">
        <f>IFERROR(R1776/AO1776,"")</f>
        <v/>
      </c>
      <c r="AR1776" s="122" t="n">
        <v>0</v>
      </c>
      <c r="AS1776" s="122" t="n">
        <v>0</v>
      </c>
      <c r="AT1776" s="122">
        <f>AL1776+AR1776</f>
        <v/>
      </c>
      <c r="AU1776" s="125">
        <f>IFERROR(AO1776*Assumptions!$C$26*Assumptions!$C$27*INDEX(Assumptions!$C$18:$C$21,MATCH(H1776,Assumptions!$B$18:$B$21,0)),0)</f>
        <v/>
      </c>
    </row>
    <row r="1777">
      <c r="A1777" s="120" t="n">
        <v>46244</v>
      </c>
      <c r="B1777" s="66" t="inlineStr">
        <is>
          <t>Wk 33</t>
        </is>
      </c>
      <c r="C1777" s="66" t="inlineStr">
        <is>
          <t>Mon</t>
        </is>
      </c>
      <c r="D1777" s="66" t="inlineStr">
        <is>
          <t>Programmatic</t>
        </is>
      </c>
      <c r="E1777" s="66" t="inlineStr">
        <is>
          <t>DV360</t>
        </is>
      </c>
      <c r="F1777" s="66" t="inlineStr">
        <is>
          <t>LEP_ZA_AUG26_PROG_TD_PROSPECT_DISPLAY</t>
        </is>
      </c>
      <c r="G1777" s="66" t="inlineStr">
        <is>
          <t>Display Prospecting</t>
        </is>
      </c>
      <c r="H1777" s="66" t="inlineStr">
        <is>
          <t>Range</t>
        </is>
      </c>
      <c r="I1777" s="66" t="inlineStr">
        <is>
          <t>Range Offer</t>
        </is>
      </c>
      <c r="J1777" s="66" t="inlineStr">
        <is>
          <t>PROG_CONTEXTUAL_AUTO_NEWS</t>
        </is>
      </c>
      <c r="K1777" s="66" t="inlineStr">
        <is>
          <t>Contextual</t>
        </is>
      </c>
      <c r="L1777" s="66" t="inlineStr">
        <is>
          <t>PROG_HTML5_728x90_Range_v1</t>
        </is>
      </c>
      <c r="M1777" s="66" t="inlineStr">
        <is>
          <t>HTML5 Display 728x90</t>
        </is>
      </c>
      <c r="N1777" s="66" t="inlineStr">
        <is>
          <t>Book a Lepas test drive</t>
        </is>
      </c>
      <c r="O1777" s="66" t="inlineStr">
        <is>
          <t>Programmatic Guaranteed / OA</t>
        </is>
      </c>
      <c r="P1777" s="66" t="inlineStr">
        <is>
          <t>Conversions (CPA)</t>
        </is>
      </c>
      <c r="Q1777" s="66" t="inlineStr">
        <is>
          <t>https://www.lepas-sa.co.za/offers</t>
        </is>
      </c>
      <c r="R1777" s="121" t="n">
        <v>212.41</v>
      </c>
      <c r="S1777" s="122" t="n">
        <v>12615</v>
      </c>
      <c r="T1777" s="122" t="n">
        <v>8247</v>
      </c>
      <c r="U1777" s="123">
        <f>IFERROR(S1777/T1777,"")</f>
        <v/>
      </c>
      <c r="V1777" s="122" t="n">
        <v>30</v>
      </c>
      <c r="W1777" s="122" t="n">
        <v>22</v>
      </c>
      <c r="X1777" s="124">
        <f>IFERROR(W1777/S1777,"")</f>
        <v/>
      </c>
      <c r="Y1777" s="121">
        <f>IFERROR(R1777/W1777,"")</f>
        <v/>
      </c>
      <c r="Z1777" s="121">
        <f>IFERROR(R1777/S1777*1000,"")</f>
        <v/>
      </c>
      <c r="AA1777" s="122" t="n">
        <v>14</v>
      </c>
      <c r="AB1777" s="54">
        <f>IFERROR(AA1777/W1777,"")</f>
        <v/>
      </c>
      <c r="AC1777" s="122" t="n">
        <v>0</v>
      </c>
      <c r="AD1777" s="122" t="n">
        <v>0</v>
      </c>
      <c r="AE1777" s="122" t="n">
        <v>0</v>
      </c>
      <c r="AF1777" s="122" t="n">
        <v>0</v>
      </c>
      <c r="AG1777" s="122" t="n">
        <v>0</v>
      </c>
      <c r="AH1777" s="122" t="n">
        <v>0</v>
      </c>
      <c r="AI1777" s="54">
        <f>IFERROR(AC1777/S1777,"")</f>
        <v/>
      </c>
      <c r="AJ1777" s="54">
        <f>IFERROR(AH1777/S1777,"")</f>
        <v/>
      </c>
      <c r="AK1777" s="122" t="n">
        <v>38</v>
      </c>
      <c r="AL1777" s="122" t="n">
        <v>0</v>
      </c>
      <c r="AM1777" s="124">
        <f>IFERROR(AL1777/AA1777,"")</f>
        <v/>
      </c>
      <c r="AN1777" s="125">
        <f>IFERROR(R1777/AL1777,"")</f>
        <v/>
      </c>
      <c r="AO1777" s="122" t="n">
        <v>0</v>
      </c>
      <c r="AP1777" s="54">
        <f>IFERROR(AO1777/AL1777,"")</f>
        <v/>
      </c>
      <c r="AQ1777" s="125">
        <f>IFERROR(R1777/AO1777,"")</f>
        <v/>
      </c>
      <c r="AR1777" s="122" t="n">
        <v>0</v>
      </c>
      <c r="AS1777" s="122" t="n">
        <v>0</v>
      </c>
      <c r="AT1777" s="122">
        <f>AL1777+AR1777</f>
        <v/>
      </c>
      <c r="AU1777" s="125">
        <f>IFERROR(AO1777*Assumptions!$C$26*Assumptions!$C$27*INDEX(Assumptions!$C$18:$C$21,MATCH(H1777,Assumptions!$B$18:$B$21,0)),0)</f>
        <v/>
      </c>
    </row>
    <row r="1778">
      <c r="A1778" s="120" t="n">
        <v>46245</v>
      </c>
      <c r="B1778" s="66" t="inlineStr">
        <is>
          <t>Wk 33</t>
        </is>
      </c>
      <c r="C1778" s="66" t="inlineStr">
        <is>
          <t>Tue</t>
        </is>
      </c>
      <c r="D1778" s="66" t="inlineStr">
        <is>
          <t>Programmatic</t>
        </is>
      </c>
      <c r="E1778" s="66" t="inlineStr">
        <is>
          <t>DV360</t>
        </is>
      </c>
      <c r="F1778" s="66" t="inlineStr">
        <is>
          <t>LEP_ZA_AUG26_PROG_TD_PROSPECT_DISPLAY</t>
        </is>
      </c>
      <c r="G1778" s="66" t="inlineStr">
        <is>
          <t>Display Prospecting</t>
        </is>
      </c>
      <c r="H1778" s="66" t="inlineStr">
        <is>
          <t>Range</t>
        </is>
      </c>
      <c r="I1778" s="66" t="inlineStr">
        <is>
          <t>Range Offer</t>
        </is>
      </c>
      <c r="J1778" s="66" t="inlineStr">
        <is>
          <t>PROG_CONTEXTUAL_AUTO_NEWS</t>
        </is>
      </c>
      <c r="K1778" s="66" t="inlineStr">
        <is>
          <t>Contextual</t>
        </is>
      </c>
      <c r="L1778" s="66" t="inlineStr">
        <is>
          <t>PROG_HTML5_728x90_Range_v1</t>
        </is>
      </c>
      <c r="M1778" s="66" t="inlineStr">
        <is>
          <t>HTML5 Display 728x90</t>
        </is>
      </c>
      <c r="N1778" s="66" t="inlineStr">
        <is>
          <t>Book a Lepas test drive</t>
        </is>
      </c>
      <c r="O1778" s="66" t="inlineStr">
        <is>
          <t>Programmatic Guaranteed / OA</t>
        </is>
      </c>
      <c r="P1778" s="66" t="inlineStr">
        <is>
          <t>Conversions (CPA)</t>
        </is>
      </c>
      <c r="Q1778" s="66" t="inlineStr">
        <is>
          <t>https://www.lepas-sa.co.za/offers</t>
        </is>
      </c>
      <c r="R1778" s="121" t="n">
        <v>166.44</v>
      </c>
      <c r="S1778" s="122" t="n">
        <v>7775</v>
      </c>
      <c r="T1778" s="122" t="n">
        <v>3923</v>
      </c>
      <c r="U1778" s="123">
        <f>IFERROR(S1778/T1778,"")</f>
        <v/>
      </c>
      <c r="V1778" s="122" t="n">
        <v>23</v>
      </c>
      <c r="W1778" s="122" t="n">
        <v>18</v>
      </c>
      <c r="X1778" s="124">
        <f>IFERROR(W1778/S1778,"")</f>
        <v/>
      </c>
      <c r="Y1778" s="121">
        <f>IFERROR(R1778/W1778,"")</f>
        <v/>
      </c>
      <c r="Z1778" s="121">
        <f>IFERROR(R1778/S1778*1000,"")</f>
        <v/>
      </c>
      <c r="AA1778" s="122" t="n">
        <v>12</v>
      </c>
      <c r="AB1778" s="54">
        <f>IFERROR(AA1778/W1778,"")</f>
        <v/>
      </c>
      <c r="AC1778" s="122" t="n">
        <v>0</v>
      </c>
      <c r="AD1778" s="122" t="n">
        <v>0</v>
      </c>
      <c r="AE1778" s="122" t="n">
        <v>0</v>
      </c>
      <c r="AF1778" s="122" t="n">
        <v>0</v>
      </c>
      <c r="AG1778" s="122" t="n">
        <v>0</v>
      </c>
      <c r="AH1778" s="122" t="n">
        <v>0</v>
      </c>
      <c r="AI1778" s="54">
        <f>IFERROR(AC1778/S1778,"")</f>
        <v/>
      </c>
      <c r="AJ1778" s="54">
        <f>IFERROR(AH1778/S1778,"")</f>
        <v/>
      </c>
      <c r="AK1778" s="122" t="n">
        <v>46</v>
      </c>
      <c r="AL1778" s="122" t="n">
        <v>0</v>
      </c>
      <c r="AM1778" s="124">
        <f>IFERROR(AL1778/AA1778,"")</f>
        <v/>
      </c>
      <c r="AN1778" s="125">
        <f>IFERROR(R1778/AL1778,"")</f>
        <v/>
      </c>
      <c r="AO1778" s="122" t="n">
        <v>0</v>
      </c>
      <c r="AP1778" s="54">
        <f>IFERROR(AO1778/AL1778,"")</f>
        <v/>
      </c>
      <c r="AQ1778" s="125">
        <f>IFERROR(R1778/AO1778,"")</f>
        <v/>
      </c>
      <c r="AR1778" s="122" t="n">
        <v>0</v>
      </c>
      <c r="AS1778" s="122" t="n">
        <v>0</v>
      </c>
      <c r="AT1778" s="122">
        <f>AL1778+AR1778</f>
        <v/>
      </c>
      <c r="AU1778" s="125">
        <f>IFERROR(AO1778*Assumptions!$C$26*Assumptions!$C$27*INDEX(Assumptions!$C$18:$C$21,MATCH(H1778,Assumptions!$B$18:$B$21,0)),0)</f>
        <v/>
      </c>
    </row>
    <row r="1779">
      <c r="A1779" s="120" t="n">
        <v>46246</v>
      </c>
      <c r="B1779" s="66" t="inlineStr">
        <is>
          <t>Wk 33</t>
        </is>
      </c>
      <c r="C1779" s="66" t="inlineStr">
        <is>
          <t>Wed</t>
        </is>
      </c>
      <c r="D1779" s="66" t="inlineStr">
        <is>
          <t>Programmatic</t>
        </is>
      </c>
      <c r="E1779" s="66" t="inlineStr">
        <is>
          <t>DV360</t>
        </is>
      </c>
      <c r="F1779" s="66" t="inlineStr">
        <is>
          <t>LEP_ZA_AUG26_PROG_TD_PROSPECT_DISPLAY</t>
        </is>
      </c>
      <c r="G1779" s="66" t="inlineStr">
        <is>
          <t>Display Prospecting</t>
        </is>
      </c>
      <c r="H1779" s="66" t="inlineStr">
        <is>
          <t>Range</t>
        </is>
      </c>
      <c r="I1779" s="66" t="inlineStr">
        <is>
          <t>Range Offer</t>
        </is>
      </c>
      <c r="J1779" s="66" t="inlineStr">
        <is>
          <t>PROG_CONTEXTUAL_AUTO_NEWS</t>
        </is>
      </c>
      <c r="K1779" s="66" t="inlineStr">
        <is>
          <t>Contextual</t>
        </is>
      </c>
      <c r="L1779" s="66" t="inlineStr">
        <is>
          <t>PROG_HTML5_728x90_Range_v1</t>
        </is>
      </c>
      <c r="M1779" s="66" t="inlineStr">
        <is>
          <t>HTML5 Display 728x90</t>
        </is>
      </c>
      <c r="N1779" s="66" t="inlineStr">
        <is>
          <t>Book a Lepas test drive</t>
        </is>
      </c>
      <c r="O1779" s="66" t="inlineStr">
        <is>
          <t>Programmatic Guaranteed / OA</t>
        </is>
      </c>
      <c r="P1779" s="66" t="inlineStr">
        <is>
          <t>Conversions (CPA)</t>
        </is>
      </c>
      <c r="Q1779" s="66" t="inlineStr">
        <is>
          <t>https://www.lepas-sa.co.za/offers</t>
        </is>
      </c>
      <c r="R1779" s="121" t="n">
        <v>192.56</v>
      </c>
      <c r="S1779" s="122" t="n">
        <v>10437</v>
      </c>
      <c r="T1779" s="122" t="n">
        <v>5719</v>
      </c>
      <c r="U1779" s="123">
        <f>IFERROR(S1779/T1779,"")</f>
        <v/>
      </c>
      <c r="V1779" s="122" t="n">
        <v>17</v>
      </c>
      <c r="W1779" s="122" t="n">
        <v>13</v>
      </c>
      <c r="X1779" s="124">
        <f>IFERROR(W1779/S1779,"")</f>
        <v/>
      </c>
      <c r="Y1779" s="121">
        <f>IFERROR(R1779/W1779,"")</f>
        <v/>
      </c>
      <c r="Z1779" s="121">
        <f>IFERROR(R1779/S1779*1000,"")</f>
        <v/>
      </c>
      <c r="AA1779" s="122" t="n">
        <v>9</v>
      </c>
      <c r="AB1779" s="54">
        <f>IFERROR(AA1779/W1779,"")</f>
        <v/>
      </c>
      <c r="AC1779" s="122" t="n">
        <v>0</v>
      </c>
      <c r="AD1779" s="122" t="n">
        <v>0</v>
      </c>
      <c r="AE1779" s="122" t="n">
        <v>0</v>
      </c>
      <c r="AF1779" s="122" t="n">
        <v>0</v>
      </c>
      <c r="AG1779" s="122" t="n">
        <v>0</v>
      </c>
      <c r="AH1779" s="122" t="n">
        <v>0</v>
      </c>
      <c r="AI1779" s="54">
        <f>IFERROR(AC1779/S1779,"")</f>
        <v/>
      </c>
      <c r="AJ1779" s="54">
        <f>IFERROR(AH1779/S1779,"")</f>
        <v/>
      </c>
      <c r="AK1779" s="122" t="n">
        <v>59</v>
      </c>
      <c r="AL1779" s="122" t="n">
        <v>1</v>
      </c>
      <c r="AM1779" s="124">
        <f>IFERROR(AL1779/AA1779,"")</f>
        <v/>
      </c>
      <c r="AN1779" s="125">
        <f>IFERROR(R1779/AL1779,"")</f>
        <v/>
      </c>
      <c r="AO1779" s="122" t="n">
        <v>0</v>
      </c>
      <c r="AP1779" s="54">
        <f>IFERROR(AO1779/AL1779,"")</f>
        <v/>
      </c>
      <c r="AQ1779" s="125">
        <f>IFERROR(R1779/AO1779,"")</f>
        <v/>
      </c>
      <c r="AR1779" s="122" t="n">
        <v>1</v>
      </c>
      <c r="AS1779" s="122" t="n">
        <v>1</v>
      </c>
      <c r="AT1779" s="122">
        <f>AL1779+AR1779</f>
        <v/>
      </c>
      <c r="AU1779" s="125">
        <f>IFERROR(AO1779*Assumptions!$C$26*Assumptions!$C$27*INDEX(Assumptions!$C$18:$C$21,MATCH(H1779,Assumptions!$B$18:$B$21,0)),0)</f>
        <v/>
      </c>
    </row>
    <row r="1780">
      <c r="A1780" s="120" t="n">
        <v>46247</v>
      </c>
      <c r="B1780" s="66" t="inlineStr">
        <is>
          <t>Wk 33</t>
        </is>
      </c>
      <c r="C1780" s="66" t="inlineStr">
        <is>
          <t>Thu</t>
        </is>
      </c>
      <c r="D1780" s="66" t="inlineStr">
        <is>
          <t>Programmatic</t>
        </is>
      </c>
      <c r="E1780" s="66" t="inlineStr">
        <is>
          <t>DV360</t>
        </is>
      </c>
      <c r="F1780" s="66" t="inlineStr">
        <is>
          <t>LEP_ZA_AUG26_PROG_TD_PROSPECT_DISPLAY</t>
        </is>
      </c>
      <c r="G1780" s="66" t="inlineStr">
        <is>
          <t>Display Prospecting</t>
        </is>
      </c>
      <c r="H1780" s="66" t="inlineStr">
        <is>
          <t>Range</t>
        </is>
      </c>
      <c r="I1780" s="66" t="inlineStr">
        <is>
          <t>Range Offer</t>
        </is>
      </c>
      <c r="J1780" s="66" t="inlineStr">
        <is>
          <t>PROG_CONTEXTUAL_AUTO_NEWS</t>
        </is>
      </c>
      <c r="K1780" s="66" t="inlineStr">
        <is>
          <t>Contextual</t>
        </is>
      </c>
      <c r="L1780" s="66" t="inlineStr">
        <is>
          <t>PROG_HTML5_728x90_Range_v1</t>
        </is>
      </c>
      <c r="M1780" s="66" t="inlineStr">
        <is>
          <t>HTML5 Display 728x90</t>
        </is>
      </c>
      <c r="N1780" s="66" t="inlineStr">
        <is>
          <t>Book a Lepas test drive</t>
        </is>
      </c>
      <c r="O1780" s="66" t="inlineStr">
        <is>
          <t>Programmatic Guaranteed / OA</t>
        </is>
      </c>
      <c r="P1780" s="66" t="inlineStr">
        <is>
          <t>Conversions (CPA)</t>
        </is>
      </c>
      <c r="Q1780" s="66" t="inlineStr">
        <is>
          <t>https://www.lepas-sa.co.za/offers</t>
        </is>
      </c>
      <c r="R1780" s="121" t="n">
        <v>180.07</v>
      </c>
      <c r="S1780" s="122" t="n">
        <v>11063</v>
      </c>
      <c r="T1780" s="122" t="n">
        <v>5288</v>
      </c>
      <c r="U1780" s="123">
        <f>IFERROR(S1780/T1780,"")</f>
        <v/>
      </c>
      <c r="V1780" s="122" t="n">
        <v>27</v>
      </c>
      <c r="W1780" s="122" t="n">
        <v>21</v>
      </c>
      <c r="X1780" s="124">
        <f>IFERROR(W1780/S1780,"")</f>
        <v/>
      </c>
      <c r="Y1780" s="121">
        <f>IFERROR(R1780/W1780,"")</f>
        <v/>
      </c>
      <c r="Z1780" s="121">
        <f>IFERROR(R1780/S1780*1000,"")</f>
        <v/>
      </c>
      <c r="AA1780" s="122" t="n">
        <v>13</v>
      </c>
      <c r="AB1780" s="54">
        <f>IFERROR(AA1780/W1780,"")</f>
        <v/>
      </c>
      <c r="AC1780" s="122" t="n">
        <v>0</v>
      </c>
      <c r="AD1780" s="122" t="n">
        <v>0</v>
      </c>
      <c r="AE1780" s="122" t="n">
        <v>0</v>
      </c>
      <c r="AF1780" s="122" t="n">
        <v>0</v>
      </c>
      <c r="AG1780" s="122" t="n">
        <v>0</v>
      </c>
      <c r="AH1780" s="122" t="n">
        <v>0</v>
      </c>
      <c r="AI1780" s="54">
        <f>IFERROR(AC1780/S1780,"")</f>
        <v/>
      </c>
      <c r="AJ1780" s="54">
        <f>IFERROR(AH1780/S1780,"")</f>
        <v/>
      </c>
      <c r="AK1780" s="122" t="n">
        <v>35</v>
      </c>
      <c r="AL1780" s="122" t="n">
        <v>0</v>
      </c>
      <c r="AM1780" s="124">
        <f>IFERROR(AL1780/AA1780,"")</f>
        <v/>
      </c>
      <c r="AN1780" s="125">
        <f>IFERROR(R1780/AL1780,"")</f>
        <v/>
      </c>
      <c r="AO1780" s="122" t="n">
        <v>0</v>
      </c>
      <c r="AP1780" s="54">
        <f>IFERROR(AO1780/AL1780,"")</f>
        <v/>
      </c>
      <c r="AQ1780" s="125">
        <f>IFERROR(R1780/AO1780,"")</f>
        <v/>
      </c>
      <c r="AR1780" s="122" t="n">
        <v>0</v>
      </c>
      <c r="AS1780" s="122" t="n">
        <v>0</v>
      </c>
      <c r="AT1780" s="122">
        <f>AL1780+AR1780</f>
        <v/>
      </c>
      <c r="AU1780" s="125">
        <f>IFERROR(AO1780*Assumptions!$C$26*Assumptions!$C$27*INDEX(Assumptions!$C$18:$C$21,MATCH(H1780,Assumptions!$B$18:$B$21,0)),0)</f>
        <v/>
      </c>
    </row>
    <row r="1781">
      <c r="A1781" s="120" t="n">
        <v>46248</v>
      </c>
      <c r="B1781" s="66" t="inlineStr">
        <is>
          <t>Wk 33</t>
        </is>
      </c>
      <c r="C1781" s="66" t="inlineStr">
        <is>
          <t>Fri</t>
        </is>
      </c>
      <c r="D1781" s="66" t="inlineStr">
        <is>
          <t>Programmatic</t>
        </is>
      </c>
      <c r="E1781" s="66" t="inlineStr">
        <is>
          <t>DV360</t>
        </is>
      </c>
      <c r="F1781" s="66" t="inlineStr">
        <is>
          <t>LEP_ZA_AUG26_PROG_TD_PROSPECT_DISPLAY</t>
        </is>
      </c>
      <c r="G1781" s="66" t="inlineStr">
        <is>
          <t>Display Prospecting</t>
        </is>
      </c>
      <c r="H1781" s="66" t="inlineStr">
        <is>
          <t>Range</t>
        </is>
      </c>
      <c r="I1781" s="66" t="inlineStr">
        <is>
          <t>Range Offer</t>
        </is>
      </c>
      <c r="J1781" s="66" t="inlineStr">
        <is>
          <t>PROG_CONTEXTUAL_AUTO_NEWS</t>
        </is>
      </c>
      <c r="K1781" s="66" t="inlineStr">
        <is>
          <t>Contextual</t>
        </is>
      </c>
      <c r="L1781" s="66" t="inlineStr">
        <is>
          <t>PROG_HTML5_728x90_Range_v1</t>
        </is>
      </c>
      <c r="M1781" s="66" t="inlineStr">
        <is>
          <t>HTML5 Display 728x90</t>
        </is>
      </c>
      <c r="N1781" s="66" t="inlineStr">
        <is>
          <t>Book a Lepas test drive</t>
        </is>
      </c>
      <c r="O1781" s="66" t="inlineStr">
        <is>
          <t>Programmatic Guaranteed / OA</t>
        </is>
      </c>
      <c r="P1781" s="66" t="inlineStr">
        <is>
          <t>Conversions (CPA)</t>
        </is>
      </c>
      <c r="Q1781" s="66" t="inlineStr">
        <is>
          <t>https://www.lepas-sa.co.za/offers</t>
        </is>
      </c>
      <c r="R1781" s="121" t="n">
        <v>204.08</v>
      </c>
      <c r="S1781" s="122" t="n">
        <v>9446</v>
      </c>
      <c r="T1781" s="122" t="n">
        <v>4025</v>
      </c>
      <c r="U1781" s="123">
        <f>IFERROR(S1781/T1781,"")</f>
        <v/>
      </c>
      <c r="V1781" s="122" t="n">
        <v>15</v>
      </c>
      <c r="W1781" s="122" t="n">
        <v>12</v>
      </c>
      <c r="X1781" s="124">
        <f>IFERROR(W1781/S1781,"")</f>
        <v/>
      </c>
      <c r="Y1781" s="121">
        <f>IFERROR(R1781/W1781,"")</f>
        <v/>
      </c>
      <c r="Z1781" s="121">
        <f>IFERROR(R1781/S1781*1000,"")</f>
        <v/>
      </c>
      <c r="AA1781" s="122" t="n">
        <v>8</v>
      </c>
      <c r="AB1781" s="54">
        <f>IFERROR(AA1781/W1781,"")</f>
        <v/>
      </c>
      <c r="AC1781" s="122" t="n">
        <v>0</v>
      </c>
      <c r="AD1781" s="122" t="n">
        <v>0</v>
      </c>
      <c r="AE1781" s="122" t="n">
        <v>0</v>
      </c>
      <c r="AF1781" s="122" t="n">
        <v>0</v>
      </c>
      <c r="AG1781" s="122" t="n">
        <v>0</v>
      </c>
      <c r="AH1781" s="122" t="n">
        <v>0</v>
      </c>
      <c r="AI1781" s="54">
        <f>IFERROR(AC1781/S1781,"")</f>
        <v/>
      </c>
      <c r="AJ1781" s="54">
        <f>IFERROR(AH1781/S1781,"")</f>
        <v/>
      </c>
      <c r="AK1781" s="122" t="n">
        <v>37</v>
      </c>
      <c r="AL1781" s="122" t="n">
        <v>0</v>
      </c>
      <c r="AM1781" s="124">
        <f>IFERROR(AL1781/AA1781,"")</f>
        <v/>
      </c>
      <c r="AN1781" s="125">
        <f>IFERROR(R1781/AL1781,"")</f>
        <v/>
      </c>
      <c r="AO1781" s="122" t="n">
        <v>0</v>
      </c>
      <c r="AP1781" s="54">
        <f>IFERROR(AO1781/AL1781,"")</f>
        <v/>
      </c>
      <c r="AQ1781" s="125">
        <f>IFERROR(R1781/AO1781,"")</f>
        <v/>
      </c>
      <c r="AR1781" s="122" t="n">
        <v>0</v>
      </c>
      <c r="AS1781" s="122" t="n">
        <v>0</v>
      </c>
      <c r="AT1781" s="122">
        <f>AL1781+AR1781</f>
        <v/>
      </c>
      <c r="AU1781" s="125">
        <f>IFERROR(AO1781*Assumptions!$C$26*Assumptions!$C$27*INDEX(Assumptions!$C$18:$C$21,MATCH(H1781,Assumptions!$B$18:$B$21,0)),0)</f>
        <v/>
      </c>
    </row>
    <row r="1782">
      <c r="A1782" s="120" t="n">
        <v>46249</v>
      </c>
      <c r="B1782" s="66" t="inlineStr">
        <is>
          <t>Wk 33</t>
        </is>
      </c>
      <c r="C1782" s="66" t="inlineStr">
        <is>
          <t>Sat</t>
        </is>
      </c>
      <c r="D1782" s="66" t="inlineStr">
        <is>
          <t>Programmatic</t>
        </is>
      </c>
      <c r="E1782" s="66" t="inlineStr">
        <is>
          <t>DV360</t>
        </is>
      </c>
      <c r="F1782" s="66" t="inlineStr">
        <is>
          <t>LEP_ZA_AUG26_PROG_TD_PROSPECT_DISPLAY</t>
        </is>
      </c>
      <c r="G1782" s="66" t="inlineStr">
        <is>
          <t>Display Prospecting</t>
        </is>
      </c>
      <c r="H1782" s="66" t="inlineStr">
        <is>
          <t>Range</t>
        </is>
      </c>
      <c r="I1782" s="66" t="inlineStr">
        <is>
          <t>Range Offer</t>
        </is>
      </c>
      <c r="J1782" s="66" t="inlineStr">
        <is>
          <t>PROG_CONTEXTUAL_AUTO_NEWS</t>
        </is>
      </c>
      <c r="K1782" s="66" t="inlineStr">
        <is>
          <t>Contextual</t>
        </is>
      </c>
      <c r="L1782" s="66" t="inlineStr">
        <is>
          <t>PROG_HTML5_728x90_Range_v1</t>
        </is>
      </c>
      <c r="M1782" s="66" t="inlineStr">
        <is>
          <t>HTML5 Display 728x90</t>
        </is>
      </c>
      <c r="N1782" s="66" t="inlineStr">
        <is>
          <t>Book a Lepas test drive</t>
        </is>
      </c>
      <c r="O1782" s="66" t="inlineStr">
        <is>
          <t>Programmatic Guaranteed / OA</t>
        </is>
      </c>
      <c r="P1782" s="66" t="inlineStr">
        <is>
          <t>Conversions (CPA)</t>
        </is>
      </c>
      <c r="Q1782" s="66" t="inlineStr">
        <is>
          <t>https://www.lepas-sa.co.za/offers</t>
        </is>
      </c>
      <c r="R1782" s="121" t="n">
        <v>210.5</v>
      </c>
      <c r="S1782" s="122" t="n">
        <v>8982</v>
      </c>
      <c r="T1782" s="122" t="n">
        <v>5676</v>
      </c>
      <c r="U1782" s="123">
        <f>IFERROR(S1782/T1782,"")</f>
        <v/>
      </c>
      <c r="V1782" s="122" t="n">
        <v>24</v>
      </c>
      <c r="W1782" s="122" t="n">
        <v>20</v>
      </c>
      <c r="X1782" s="124">
        <f>IFERROR(W1782/S1782,"")</f>
        <v/>
      </c>
      <c r="Y1782" s="121">
        <f>IFERROR(R1782/W1782,"")</f>
        <v/>
      </c>
      <c r="Z1782" s="121">
        <f>IFERROR(R1782/S1782*1000,"")</f>
        <v/>
      </c>
      <c r="AA1782" s="122" t="n">
        <v>12</v>
      </c>
      <c r="AB1782" s="54">
        <f>IFERROR(AA1782/W1782,"")</f>
        <v/>
      </c>
      <c r="AC1782" s="122" t="n">
        <v>0</v>
      </c>
      <c r="AD1782" s="122" t="n">
        <v>0</v>
      </c>
      <c r="AE1782" s="122" t="n">
        <v>0</v>
      </c>
      <c r="AF1782" s="122" t="n">
        <v>0</v>
      </c>
      <c r="AG1782" s="122" t="n">
        <v>0</v>
      </c>
      <c r="AH1782" s="122" t="n">
        <v>0</v>
      </c>
      <c r="AI1782" s="54">
        <f>IFERROR(AC1782/S1782,"")</f>
        <v/>
      </c>
      <c r="AJ1782" s="54">
        <f>IFERROR(AH1782/S1782,"")</f>
        <v/>
      </c>
      <c r="AK1782" s="122" t="n">
        <v>46</v>
      </c>
      <c r="AL1782" s="122" t="n">
        <v>1</v>
      </c>
      <c r="AM1782" s="124">
        <f>IFERROR(AL1782/AA1782,"")</f>
        <v/>
      </c>
      <c r="AN1782" s="125">
        <f>IFERROR(R1782/AL1782,"")</f>
        <v/>
      </c>
      <c r="AO1782" s="122" t="n">
        <v>0</v>
      </c>
      <c r="AP1782" s="54">
        <f>IFERROR(AO1782/AL1782,"")</f>
        <v/>
      </c>
      <c r="AQ1782" s="125">
        <f>IFERROR(R1782/AO1782,"")</f>
        <v/>
      </c>
      <c r="AR1782" s="122" t="n">
        <v>2</v>
      </c>
      <c r="AS1782" s="122" t="n">
        <v>1</v>
      </c>
      <c r="AT1782" s="122">
        <f>AL1782+AR1782</f>
        <v/>
      </c>
      <c r="AU1782" s="125">
        <f>IFERROR(AO1782*Assumptions!$C$26*Assumptions!$C$27*INDEX(Assumptions!$C$18:$C$21,MATCH(H1782,Assumptions!$B$18:$B$21,0)),0)</f>
        <v/>
      </c>
    </row>
    <row r="1783">
      <c r="A1783" s="120" t="n">
        <v>46250</v>
      </c>
      <c r="B1783" s="66" t="inlineStr">
        <is>
          <t>Wk 33</t>
        </is>
      </c>
      <c r="C1783" s="66" t="inlineStr">
        <is>
          <t>Sun</t>
        </is>
      </c>
      <c r="D1783" s="66" t="inlineStr">
        <is>
          <t>Programmatic</t>
        </is>
      </c>
      <c r="E1783" s="66" t="inlineStr">
        <is>
          <t>DV360</t>
        </is>
      </c>
      <c r="F1783" s="66" t="inlineStr">
        <is>
          <t>LEP_ZA_AUG26_PROG_TD_PROSPECT_DISPLAY</t>
        </is>
      </c>
      <c r="G1783" s="66" t="inlineStr">
        <is>
          <t>Display Prospecting</t>
        </is>
      </c>
      <c r="H1783" s="66" t="inlineStr">
        <is>
          <t>Range</t>
        </is>
      </c>
      <c r="I1783" s="66" t="inlineStr">
        <is>
          <t>Range Offer</t>
        </is>
      </c>
      <c r="J1783" s="66" t="inlineStr">
        <is>
          <t>PROG_CONTEXTUAL_AUTO_NEWS</t>
        </is>
      </c>
      <c r="K1783" s="66" t="inlineStr">
        <is>
          <t>Contextual</t>
        </is>
      </c>
      <c r="L1783" s="66" t="inlineStr">
        <is>
          <t>PROG_HTML5_728x90_Range_v1</t>
        </is>
      </c>
      <c r="M1783" s="66" t="inlineStr">
        <is>
          <t>HTML5 Display 728x90</t>
        </is>
      </c>
      <c r="N1783" s="66" t="inlineStr">
        <is>
          <t>Book a Lepas test drive</t>
        </is>
      </c>
      <c r="O1783" s="66" t="inlineStr">
        <is>
          <t>Programmatic Guaranteed / OA</t>
        </is>
      </c>
      <c r="P1783" s="66" t="inlineStr">
        <is>
          <t>Conversions (CPA)</t>
        </is>
      </c>
      <c r="Q1783" s="66" t="inlineStr">
        <is>
          <t>https://www.lepas-sa.co.za/offers</t>
        </is>
      </c>
      <c r="R1783" s="121" t="n">
        <v>163.39</v>
      </c>
      <c r="S1783" s="122" t="n">
        <v>10338</v>
      </c>
      <c r="T1783" s="122" t="n">
        <v>6638</v>
      </c>
      <c r="U1783" s="123">
        <f>IFERROR(S1783/T1783,"")</f>
        <v/>
      </c>
      <c r="V1783" s="122" t="n">
        <v>20</v>
      </c>
      <c r="W1783" s="122" t="n">
        <v>16</v>
      </c>
      <c r="X1783" s="124">
        <f>IFERROR(W1783/S1783,"")</f>
        <v/>
      </c>
      <c r="Y1783" s="121">
        <f>IFERROR(R1783/W1783,"")</f>
        <v/>
      </c>
      <c r="Z1783" s="121">
        <f>IFERROR(R1783/S1783*1000,"")</f>
        <v/>
      </c>
      <c r="AA1783" s="122" t="n">
        <v>11</v>
      </c>
      <c r="AB1783" s="54">
        <f>IFERROR(AA1783/W1783,"")</f>
        <v/>
      </c>
      <c r="AC1783" s="122" t="n">
        <v>0</v>
      </c>
      <c r="AD1783" s="122" t="n">
        <v>0</v>
      </c>
      <c r="AE1783" s="122" t="n">
        <v>0</v>
      </c>
      <c r="AF1783" s="122" t="n">
        <v>0</v>
      </c>
      <c r="AG1783" s="122" t="n">
        <v>0</v>
      </c>
      <c r="AH1783" s="122" t="n">
        <v>0</v>
      </c>
      <c r="AI1783" s="54">
        <f>IFERROR(AC1783/S1783,"")</f>
        <v/>
      </c>
      <c r="AJ1783" s="54">
        <f>IFERROR(AH1783/S1783,"")</f>
        <v/>
      </c>
      <c r="AK1783" s="122" t="n">
        <v>21</v>
      </c>
      <c r="AL1783" s="122" t="n">
        <v>0</v>
      </c>
      <c r="AM1783" s="124">
        <f>IFERROR(AL1783/AA1783,"")</f>
        <v/>
      </c>
      <c r="AN1783" s="125">
        <f>IFERROR(R1783/AL1783,"")</f>
        <v/>
      </c>
      <c r="AO1783" s="122" t="n">
        <v>0</v>
      </c>
      <c r="AP1783" s="54">
        <f>IFERROR(AO1783/AL1783,"")</f>
        <v/>
      </c>
      <c r="AQ1783" s="125">
        <f>IFERROR(R1783/AO1783,"")</f>
        <v/>
      </c>
      <c r="AR1783" s="122" t="n">
        <v>0</v>
      </c>
      <c r="AS1783" s="122" t="n">
        <v>0</v>
      </c>
      <c r="AT1783" s="122">
        <f>AL1783+AR1783</f>
        <v/>
      </c>
      <c r="AU1783" s="125">
        <f>IFERROR(AO1783*Assumptions!$C$26*Assumptions!$C$27*INDEX(Assumptions!$C$18:$C$21,MATCH(H1783,Assumptions!$B$18:$B$21,0)),0)</f>
        <v/>
      </c>
    </row>
    <row r="1784">
      <c r="A1784" s="120" t="n">
        <v>46251</v>
      </c>
      <c r="B1784" s="66" t="inlineStr">
        <is>
          <t>Wk 34</t>
        </is>
      </c>
      <c r="C1784" s="66" t="inlineStr">
        <is>
          <t>Mon</t>
        </is>
      </c>
      <c r="D1784" s="66" t="inlineStr">
        <is>
          <t>Programmatic</t>
        </is>
      </c>
      <c r="E1784" s="66" t="inlineStr">
        <is>
          <t>DV360</t>
        </is>
      </c>
      <c r="F1784" s="66" t="inlineStr">
        <is>
          <t>LEP_ZA_AUG26_PROG_TD_PROSPECT_DISPLAY</t>
        </is>
      </c>
      <c r="G1784" s="66" t="inlineStr">
        <is>
          <t>Display Prospecting</t>
        </is>
      </c>
      <c r="H1784" s="66" t="inlineStr">
        <is>
          <t>Range</t>
        </is>
      </c>
      <c r="I1784" s="66" t="inlineStr">
        <is>
          <t>Range Offer</t>
        </is>
      </c>
      <c r="J1784" s="66" t="inlineStr">
        <is>
          <t>PROG_CONTEXTUAL_AUTO_NEWS</t>
        </is>
      </c>
      <c r="K1784" s="66" t="inlineStr">
        <is>
          <t>Contextual</t>
        </is>
      </c>
      <c r="L1784" s="66" t="inlineStr">
        <is>
          <t>PROG_HTML5_728x90_Range_v1</t>
        </is>
      </c>
      <c r="M1784" s="66" t="inlineStr">
        <is>
          <t>HTML5 Display 728x90</t>
        </is>
      </c>
      <c r="N1784" s="66" t="inlineStr">
        <is>
          <t>Book a Lepas test drive</t>
        </is>
      </c>
      <c r="O1784" s="66" t="inlineStr">
        <is>
          <t>Programmatic Guaranteed / OA</t>
        </is>
      </c>
      <c r="P1784" s="66" t="inlineStr">
        <is>
          <t>Conversions (CPA)</t>
        </is>
      </c>
      <c r="Q1784" s="66" t="inlineStr">
        <is>
          <t>https://www.lepas-sa.co.za/offers</t>
        </is>
      </c>
      <c r="R1784" s="121" t="n">
        <v>156.85</v>
      </c>
      <c r="S1784" s="122" t="n">
        <v>5325</v>
      </c>
      <c r="T1784" s="122" t="n">
        <v>2716</v>
      </c>
      <c r="U1784" s="123">
        <f>IFERROR(S1784/T1784,"")</f>
        <v/>
      </c>
      <c r="V1784" s="122" t="n">
        <v>17</v>
      </c>
      <c r="W1784" s="122" t="n">
        <v>12</v>
      </c>
      <c r="X1784" s="124">
        <f>IFERROR(W1784/S1784,"")</f>
        <v/>
      </c>
      <c r="Y1784" s="121">
        <f>IFERROR(R1784/W1784,"")</f>
        <v/>
      </c>
      <c r="Z1784" s="121">
        <f>IFERROR(R1784/S1784*1000,"")</f>
        <v/>
      </c>
      <c r="AA1784" s="122" t="n">
        <v>9</v>
      </c>
      <c r="AB1784" s="54">
        <f>IFERROR(AA1784/W1784,"")</f>
        <v/>
      </c>
      <c r="AC1784" s="122" t="n">
        <v>0</v>
      </c>
      <c r="AD1784" s="122" t="n">
        <v>0</v>
      </c>
      <c r="AE1784" s="122" t="n">
        <v>0</v>
      </c>
      <c r="AF1784" s="122" t="n">
        <v>0</v>
      </c>
      <c r="AG1784" s="122" t="n">
        <v>0</v>
      </c>
      <c r="AH1784" s="122" t="n">
        <v>0</v>
      </c>
      <c r="AI1784" s="54">
        <f>IFERROR(AC1784/S1784,"")</f>
        <v/>
      </c>
      <c r="AJ1784" s="54">
        <f>IFERROR(AH1784/S1784,"")</f>
        <v/>
      </c>
      <c r="AK1784" s="122" t="n">
        <v>11</v>
      </c>
      <c r="AL1784" s="122" t="n">
        <v>0</v>
      </c>
      <c r="AM1784" s="124">
        <f>IFERROR(AL1784/AA1784,"")</f>
        <v/>
      </c>
      <c r="AN1784" s="125">
        <f>IFERROR(R1784/AL1784,"")</f>
        <v/>
      </c>
      <c r="AO1784" s="122" t="n">
        <v>0</v>
      </c>
      <c r="AP1784" s="54">
        <f>IFERROR(AO1784/AL1784,"")</f>
        <v/>
      </c>
      <c r="AQ1784" s="125">
        <f>IFERROR(R1784/AO1784,"")</f>
        <v/>
      </c>
      <c r="AR1784" s="122" t="n">
        <v>0</v>
      </c>
      <c r="AS1784" s="122" t="n">
        <v>0</v>
      </c>
      <c r="AT1784" s="122">
        <f>AL1784+AR1784</f>
        <v/>
      </c>
      <c r="AU1784" s="125">
        <f>IFERROR(AO1784*Assumptions!$C$26*Assumptions!$C$27*INDEX(Assumptions!$C$18:$C$21,MATCH(H1784,Assumptions!$B$18:$B$21,0)),0)</f>
        <v/>
      </c>
    </row>
    <row r="1785">
      <c r="A1785" s="120" t="n">
        <v>46252</v>
      </c>
      <c r="B1785" s="66" t="inlineStr">
        <is>
          <t>Wk 34</t>
        </is>
      </c>
      <c r="C1785" s="66" t="inlineStr">
        <is>
          <t>Tue</t>
        </is>
      </c>
      <c r="D1785" s="66" t="inlineStr">
        <is>
          <t>Programmatic</t>
        </is>
      </c>
      <c r="E1785" s="66" t="inlineStr">
        <is>
          <t>DV360</t>
        </is>
      </c>
      <c r="F1785" s="66" t="inlineStr">
        <is>
          <t>LEP_ZA_AUG26_PROG_TD_PROSPECT_DISPLAY</t>
        </is>
      </c>
      <c r="G1785" s="66" t="inlineStr">
        <is>
          <t>Display Prospecting</t>
        </is>
      </c>
      <c r="H1785" s="66" t="inlineStr">
        <is>
          <t>Range</t>
        </is>
      </c>
      <c r="I1785" s="66" t="inlineStr">
        <is>
          <t>Range Offer</t>
        </is>
      </c>
      <c r="J1785" s="66" t="inlineStr">
        <is>
          <t>PROG_CONTEXTUAL_AUTO_NEWS</t>
        </is>
      </c>
      <c r="K1785" s="66" t="inlineStr">
        <is>
          <t>Contextual</t>
        </is>
      </c>
      <c r="L1785" s="66" t="inlineStr">
        <is>
          <t>PROG_HTML5_728x90_Range_v1</t>
        </is>
      </c>
      <c r="M1785" s="66" t="inlineStr">
        <is>
          <t>HTML5 Display 728x90</t>
        </is>
      </c>
      <c r="N1785" s="66" t="inlineStr">
        <is>
          <t>Book a Lepas test drive</t>
        </is>
      </c>
      <c r="O1785" s="66" t="inlineStr">
        <is>
          <t>Programmatic Guaranteed / OA</t>
        </is>
      </c>
      <c r="P1785" s="66" t="inlineStr">
        <is>
          <t>Conversions (CPA)</t>
        </is>
      </c>
      <c r="Q1785" s="66" t="inlineStr">
        <is>
          <t>https://www.lepas-sa.co.za/offers</t>
        </is>
      </c>
      <c r="R1785" s="121" t="n">
        <v>170.77</v>
      </c>
      <c r="S1785" s="122" t="n">
        <v>11360</v>
      </c>
      <c r="T1785" s="122" t="n">
        <v>5795</v>
      </c>
      <c r="U1785" s="123">
        <f>IFERROR(S1785/T1785,"")</f>
        <v/>
      </c>
      <c r="V1785" s="122" t="n">
        <v>29</v>
      </c>
      <c r="W1785" s="122" t="n">
        <v>22</v>
      </c>
      <c r="X1785" s="124">
        <f>IFERROR(W1785/S1785,"")</f>
        <v/>
      </c>
      <c r="Y1785" s="121">
        <f>IFERROR(R1785/W1785,"")</f>
        <v/>
      </c>
      <c r="Z1785" s="121">
        <f>IFERROR(R1785/S1785*1000,"")</f>
        <v/>
      </c>
      <c r="AA1785" s="122" t="n">
        <v>15</v>
      </c>
      <c r="AB1785" s="54">
        <f>IFERROR(AA1785/W1785,"")</f>
        <v/>
      </c>
      <c r="AC1785" s="122" t="n">
        <v>0</v>
      </c>
      <c r="AD1785" s="122" t="n">
        <v>0</v>
      </c>
      <c r="AE1785" s="122" t="n">
        <v>0</v>
      </c>
      <c r="AF1785" s="122" t="n">
        <v>0</v>
      </c>
      <c r="AG1785" s="122" t="n">
        <v>0</v>
      </c>
      <c r="AH1785" s="122" t="n">
        <v>0</v>
      </c>
      <c r="AI1785" s="54">
        <f>IFERROR(AC1785/S1785,"")</f>
        <v/>
      </c>
      <c r="AJ1785" s="54">
        <f>IFERROR(AH1785/S1785,"")</f>
        <v/>
      </c>
      <c r="AK1785" s="122" t="n">
        <v>63</v>
      </c>
      <c r="AL1785" s="122" t="n">
        <v>0</v>
      </c>
      <c r="AM1785" s="124">
        <f>IFERROR(AL1785/AA1785,"")</f>
        <v/>
      </c>
      <c r="AN1785" s="125">
        <f>IFERROR(R1785/AL1785,"")</f>
        <v/>
      </c>
      <c r="AO1785" s="122" t="n">
        <v>0</v>
      </c>
      <c r="AP1785" s="54">
        <f>IFERROR(AO1785/AL1785,"")</f>
        <v/>
      </c>
      <c r="AQ1785" s="125">
        <f>IFERROR(R1785/AO1785,"")</f>
        <v/>
      </c>
      <c r="AR1785" s="122" t="n">
        <v>0</v>
      </c>
      <c r="AS1785" s="122" t="n">
        <v>0</v>
      </c>
      <c r="AT1785" s="122">
        <f>AL1785+AR1785</f>
        <v/>
      </c>
      <c r="AU1785" s="125">
        <f>IFERROR(AO1785*Assumptions!$C$26*Assumptions!$C$27*INDEX(Assumptions!$C$18:$C$21,MATCH(H1785,Assumptions!$B$18:$B$21,0)),0)</f>
        <v/>
      </c>
    </row>
    <row r="1786">
      <c r="A1786" s="120" t="n">
        <v>46253</v>
      </c>
      <c r="B1786" s="66" t="inlineStr">
        <is>
          <t>Wk 34</t>
        </is>
      </c>
      <c r="C1786" s="66" t="inlineStr">
        <is>
          <t>Wed</t>
        </is>
      </c>
      <c r="D1786" s="66" t="inlineStr">
        <is>
          <t>Programmatic</t>
        </is>
      </c>
      <c r="E1786" s="66" t="inlineStr">
        <is>
          <t>DV360</t>
        </is>
      </c>
      <c r="F1786" s="66" t="inlineStr">
        <is>
          <t>LEP_ZA_AUG26_PROG_TD_PROSPECT_DISPLAY</t>
        </is>
      </c>
      <c r="G1786" s="66" t="inlineStr">
        <is>
          <t>Display Prospecting</t>
        </is>
      </c>
      <c r="H1786" s="66" t="inlineStr">
        <is>
          <t>Range</t>
        </is>
      </c>
      <c r="I1786" s="66" t="inlineStr">
        <is>
          <t>Range Offer</t>
        </is>
      </c>
      <c r="J1786" s="66" t="inlineStr">
        <is>
          <t>PROG_CONTEXTUAL_AUTO_NEWS</t>
        </is>
      </c>
      <c r="K1786" s="66" t="inlineStr">
        <is>
          <t>Contextual</t>
        </is>
      </c>
      <c r="L1786" s="66" t="inlineStr">
        <is>
          <t>PROG_HTML5_728x90_Range_v1</t>
        </is>
      </c>
      <c r="M1786" s="66" t="inlineStr">
        <is>
          <t>HTML5 Display 728x90</t>
        </is>
      </c>
      <c r="N1786" s="66" t="inlineStr">
        <is>
          <t>Book a Lepas test drive</t>
        </is>
      </c>
      <c r="O1786" s="66" t="inlineStr">
        <is>
          <t>Programmatic Guaranteed / OA</t>
        </is>
      </c>
      <c r="P1786" s="66" t="inlineStr">
        <is>
          <t>Conversions (CPA)</t>
        </is>
      </c>
      <c r="Q1786" s="66" t="inlineStr">
        <is>
          <t>https://www.lepas-sa.co.za/offers</t>
        </is>
      </c>
      <c r="R1786" s="121" t="n">
        <v>164.89</v>
      </c>
      <c r="S1786" s="122" t="n">
        <v>10355</v>
      </c>
      <c r="T1786" s="122" t="n">
        <v>4114</v>
      </c>
      <c r="U1786" s="123">
        <f>IFERROR(S1786/T1786,"")</f>
        <v/>
      </c>
      <c r="V1786" s="122" t="n">
        <v>12</v>
      </c>
      <c r="W1786" s="122" t="n">
        <v>10</v>
      </c>
      <c r="X1786" s="124">
        <f>IFERROR(W1786/S1786,"")</f>
        <v/>
      </c>
      <c r="Y1786" s="121">
        <f>IFERROR(R1786/W1786,"")</f>
        <v/>
      </c>
      <c r="Z1786" s="121">
        <f>IFERROR(R1786/S1786*1000,"")</f>
        <v/>
      </c>
      <c r="AA1786" s="122" t="n">
        <v>6</v>
      </c>
      <c r="AB1786" s="54">
        <f>IFERROR(AA1786/W1786,"")</f>
        <v/>
      </c>
      <c r="AC1786" s="122" t="n">
        <v>0</v>
      </c>
      <c r="AD1786" s="122" t="n">
        <v>0</v>
      </c>
      <c r="AE1786" s="122" t="n">
        <v>0</v>
      </c>
      <c r="AF1786" s="122" t="n">
        <v>0</v>
      </c>
      <c r="AG1786" s="122" t="n">
        <v>0</v>
      </c>
      <c r="AH1786" s="122" t="n">
        <v>0</v>
      </c>
      <c r="AI1786" s="54">
        <f>IFERROR(AC1786/S1786,"")</f>
        <v/>
      </c>
      <c r="AJ1786" s="54">
        <f>IFERROR(AH1786/S1786,"")</f>
        <v/>
      </c>
      <c r="AK1786" s="122" t="n">
        <v>62</v>
      </c>
      <c r="AL1786" s="122" t="n">
        <v>0</v>
      </c>
      <c r="AM1786" s="124">
        <f>IFERROR(AL1786/AA1786,"")</f>
        <v/>
      </c>
      <c r="AN1786" s="125">
        <f>IFERROR(R1786/AL1786,"")</f>
        <v/>
      </c>
      <c r="AO1786" s="122" t="n">
        <v>0</v>
      </c>
      <c r="AP1786" s="54">
        <f>IFERROR(AO1786/AL1786,"")</f>
        <v/>
      </c>
      <c r="AQ1786" s="125">
        <f>IFERROR(R1786/AO1786,"")</f>
        <v/>
      </c>
      <c r="AR1786" s="122" t="n">
        <v>0</v>
      </c>
      <c r="AS1786" s="122" t="n">
        <v>0</v>
      </c>
      <c r="AT1786" s="122">
        <f>AL1786+AR1786</f>
        <v/>
      </c>
      <c r="AU1786" s="125">
        <f>IFERROR(AO1786*Assumptions!$C$26*Assumptions!$C$27*INDEX(Assumptions!$C$18:$C$21,MATCH(H1786,Assumptions!$B$18:$B$21,0)),0)</f>
        <v/>
      </c>
    </row>
    <row r="1787">
      <c r="A1787" s="120" t="n">
        <v>46254</v>
      </c>
      <c r="B1787" s="66" t="inlineStr">
        <is>
          <t>Wk 34</t>
        </is>
      </c>
      <c r="C1787" s="66" t="inlineStr">
        <is>
          <t>Thu</t>
        </is>
      </c>
      <c r="D1787" s="66" t="inlineStr">
        <is>
          <t>Programmatic</t>
        </is>
      </c>
      <c r="E1787" s="66" t="inlineStr">
        <is>
          <t>DV360</t>
        </is>
      </c>
      <c r="F1787" s="66" t="inlineStr">
        <is>
          <t>LEP_ZA_AUG26_PROG_TD_PROSPECT_DISPLAY</t>
        </is>
      </c>
      <c r="G1787" s="66" t="inlineStr">
        <is>
          <t>Display Prospecting</t>
        </is>
      </c>
      <c r="H1787" s="66" t="inlineStr">
        <is>
          <t>Range</t>
        </is>
      </c>
      <c r="I1787" s="66" t="inlineStr">
        <is>
          <t>Range Offer</t>
        </is>
      </c>
      <c r="J1787" s="66" t="inlineStr">
        <is>
          <t>PROG_CONTEXTUAL_AUTO_NEWS</t>
        </is>
      </c>
      <c r="K1787" s="66" t="inlineStr">
        <is>
          <t>Contextual</t>
        </is>
      </c>
      <c r="L1787" s="66" t="inlineStr">
        <is>
          <t>PROG_HTML5_728x90_Range_v1</t>
        </is>
      </c>
      <c r="M1787" s="66" t="inlineStr">
        <is>
          <t>HTML5 Display 728x90</t>
        </is>
      </c>
      <c r="N1787" s="66" t="inlineStr">
        <is>
          <t>Book a Lepas test drive</t>
        </is>
      </c>
      <c r="O1787" s="66" t="inlineStr">
        <is>
          <t>Programmatic Guaranteed / OA</t>
        </is>
      </c>
      <c r="P1787" s="66" t="inlineStr">
        <is>
          <t>Conversions (CPA)</t>
        </is>
      </c>
      <c r="Q1787" s="66" t="inlineStr">
        <is>
          <t>https://www.lepas-sa.co.za/offers</t>
        </is>
      </c>
      <c r="R1787" s="121" t="n">
        <v>197.39</v>
      </c>
      <c r="S1787" s="122" t="n">
        <v>7222</v>
      </c>
      <c r="T1787" s="122" t="n">
        <v>2763</v>
      </c>
      <c r="U1787" s="123">
        <f>IFERROR(S1787/T1787,"")</f>
        <v/>
      </c>
      <c r="V1787" s="122" t="n">
        <v>19</v>
      </c>
      <c r="W1787" s="122" t="n">
        <v>14</v>
      </c>
      <c r="X1787" s="124">
        <f>IFERROR(W1787/S1787,"")</f>
        <v/>
      </c>
      <c r="Y1787" s="121">
        <f>IFERROR(R1787/W1787,"")</f>
        <v/>
      </c>
      <c r="Z1787" s="121">
        <f>IFERROR(R1787/S1787*1000,"")</f>
        <v/>
      </c>
      <c r="AA1787" s="122" t="n">
        <v>10</v>
      </c>
      <c r="AB1787" s="54">
        <f>IFERROR(AA1787/W1787,"")</f>
        <v/>
      </c>
      <c r="AC1787" s="122" t="n">
        <v>0</v>
      </c>
      <c r="AD1787" s="122" t="n">
        <v>0</v>
      </c>
      <c r="AE1787" s="122" t="n">
        <v>0</v>
      </c>
      <c r="AF1787" s="122" t="n">
        <v>0</v>
      </c>
      <c r="AG1787" s="122" t="n">
        <v>0</v>
      </c>
      <c r="AH1787" s="122" t="n">
        <v>0</v>
      </c>
      <c r="AI1787" s="54">
        <f>IFERROR(AC1787/S1787,"")</f>
        <v/>
      </c>
      <c r="AJ1787" s="54">
        <f>IFERROR(AH1787/S1787,"")</f>
        <v/>
      </c>
      <c r="AK1787" s="122" t="n">
        <v>40</v>
      </c>
      <c r="AL1787" s="122" t="n">
        <v>0</v>
      </c>
      <c r="AM1787" s="124">
        <f>IFERROR(AL1787/AA1787,"")</f>
        <v/>
      </c>
      <c r="AN1787" s="125">
        <f>IFERROR(R1787/AL1787,"")</f>
        <v/>
      </c>
      <c r="AO1787" s="122" t="n">
        <v>0</v>
      </c>
      <c r="AP1787" s="54">
        <f>IFERROR(AO1787/AL1787,"")</f>
        <v/>
      </c>
      <c r="AQ1787" s="125">
        <f>IFERROR(R1787/AO1787,"")</f>
        <v/>
      </c>
      <c r="AR1787" s="122" t="n">
        <v>0</v>
      </c>
      <c r="AS1787" s="122" t="n">
        <v>0</v>
      </c>
      <c r="AT1787" s="122">
        <f>AL1787+AR1787</f>
        <v/>
      </c>
      <c r="AU1787" s="125">
        <f>IFERROR(AO1787*Assumptions!$C$26*Assumptions!$C$27*INDEX(Assumptions!$C$18:$C$21,MATCH(H1787,Assumptions!$B$18:$B$21,0)),0)</f>
        <v/>
      </c>
    </row>
    <row r="1788">
      <c r="A1788" s="120" t="n">
        <v>46255</v>
      </c>
      <c r="B1788" s="66" t="inlineStr">
        <is>
          <t>Wk 34</t>
        </is>
      </c>
      <c r="C1788" s="66" t="inlineStr">
        <is>
          <t>Fri</t>
        </is>
      </c>
      <c r="D1788" s="66" t="inlineStr">
        <is>
          <t>Programmatic</t>
        </is>
      </c>
      <c r="E1788" s="66" t="inlineStr">
        <is>
          <t>DV360</t>
        </is>
      </c>
      <c r="F1788" s="66" t="inlineStr">
        <is>
          <t>LEP_ZA_AUG26_PROG_TD_PROSPECT_DISPLAY</t>
        </is>
      </c>
      <c r="G1788" s="66" t="inlineStr">
        <is>
          <t>Display Prospecting</t>
        </is>
      </c>
      <c r="H1788" s="66" t="inlineStr">
        <is>
          <t>Range</t>
        </is>
      </c>
      <c r="I1788" s="66" t="inlineStr">
        <is>
          <t>Range Offer</t>
        </is>
      </c>
      <c r="J1788" s="66" t="inlineStr">
        <is>
          <t>PROG_CONTEXTUAL_AUTO_NEWS</t>
        </is>
      </c>
      <c r="K1788" s="66" t="inlineStr">
        <is>
          <t>Contextual</t>
        </is>
      </c>
      <c r="L1788" s="66" t="inlineStr">
        <is>
          <t>PROG_HTML5_728x90_Range_v1</t>
        </is>
      </c>
      <c r="M1788" s="66" t="inlineStr">
        <is>
          <t>HTML5 Display 728x90</t>
        </is>
      </c>
      <c r="N1788" s="66" t="inlineStr">
        <is>
          <t>Book a Lepas test drive</t>
        </is>
      </c>
      <c r="O1788" s="66" t="inlineStr">
        <is>
          <t>Programmatic Guaranteed / OA</t>
        </is>
      </c>
      <c r="P1788" s="66" t="inlineStr">
        <is>
          <t>Conversions (CPA)</t>
        </is>
      </c>
      <c r="Q1788" s="66" t="inlineStr">
        <is>
          <t>https://www.lepas-sa.co.za/offers</t>
        </is>
      </c>
      <c r="R1788" s="121" t="n">
        <v>219.26</v>
      </c>
      <c r="S1788" s="122" t="n">
        <v>7671</v>
      </c>
      <c r="T1788" s="122" t="n">
        <v>2870</v>
      </c>
      <c r="U1788" s="123">
        <f>IFERROR(S1788/T1788,"")</f>
        <v/>
      </c>
      <c r="V1788" s="122" t="n">
        <v>17</v>
      </c>
      <c r="W1788" s="122" t="n">
        <v>14</v>
      </c>
      <c r="X1788" s="124">
        <f>IFERROR(W1788/S1788,"")</f>
        <v/>
      </c>
      <c r="Y1788" s="121">
        <f>IFERROR(R1788/W1788,"")</f>
        <v/>
      </c>
      <c r="Z1788" s="121">
        <f>IFERROR(R1788/S1788*1000,"")</f>
        <v/>
      </c>
      <c r="AA1788" s="122" t="n">
        <v>9</v>
      </c>
      <c r="AB1788" s="54">
        <f>IFERROR(AA1788/W1788,"")</f>
        <v/>
      </c>
      <c r="AC1788" s="122" t="n">
        <v>0</v>
      </c>
      <c r="AD1788" s="122" t="n">
        <v>0</v>
      </c>
      <c r="AE1788" s="122" t="n">
        <v>0</v>
      </c>
      <c r="AF1788" s="122" t="n">
        <v>0</v>
      </c>
      <c r="AG1788" s="122" t="n">
        <v>0</v>
      </c>
      <c r="AH1788" s="122" t="n">
        <v>0</v>
      </c>
      <c r="AI1788" s="54">
        <f>IFERROR(AC1788/S1788,"")</f>
        <v/>
      </c>
      <c r="AJ1788" s="54">
        <f>IFERROR(AH1788/S1788,"")</f>
        <v/>
      </c>
      <c r="AK1788" s="122" t="n">
        <v>41</v>
      </c>
      <c r="AL1788" s="122" t="n">
        <v>0</v>
      </c>
      <c r="AM1788" s="124">
        <f>IFERROR(AL1788/AA1788,"")</f>
        <v/>
      </c>
      <c r="AN1788" s="125">
        <f>IFERROR(R1788/AL1788,"")</f>
        <v/>
      </c>
      <c r="AO1788" s="122" t="n">
        <v>0</v>
      </c>
      <c r="AP1788" s="54">
        <f>IFERROR(AO1788/AL1788,"")</f>
        <v/>
      </c>
      <c r="AQ1788" s="125">
        <f>IFERROR(R1788/AO1788,"")</f>
        <v/>
      </c>
      <c r="AR1788" s="122" t="n">
        <v>0</v>
      </c>
      <c r="AS1788" s="122" t="n">
        <v>0</v>
      </c>
      <c r="AT1788" s="122">
        <f>AL1788+AR1788</f>
        <v/>
      </c>
      <c r="AU1788" s="125">
        <f>IFERROR(AO1788*Assumptions!$C$26*Assumptions!$C$27*INDEX(Assumptions!$C$18:$C$21,MATCH(H1788,Assumptions!$B$18:$B$21,0)),0)</f>
        <v/>
      </c>
    </row>
    <row r="1789">
      <c r="A1789" s="120" t="n">
        <v>46256</v>
      </c>
      <c r="B1789" s="66" t="inlineStr">
        <is>
          <t>Wk 34</t>
        </is>
      </c>
      <c r="C1789" s="66" t="inlineStr">
        <is>
          <t>Sat</t>
        </is>
      </c>
      <c r="D1789" s="66" t="inlineStr">
        <is>
          <t>Programmatic</t>
        </is>
      </c>
      <c r="E1789" s="66" t="inlineStr">
        <is>
          <t>DV360</t>
        </is>
      </c>
      <c r="F1789" s="66" t="inlineStr">
        <is>
          <t>LEP_ZA_AUG26_PROG_TD_PROSPECT_DISPLAY</t>
        </is>
      </c>
      <c r="G1789" s="66" t="inlineStr">
        <is>
          <t>Display Prospecting</t>
        </is>
      </c>
      <c r="H1789" s="66" t="inlineStr">
        <is>
          <t>Range</t>
        </is>
      </c>
      <c r="I1789" s="66" t="inlineStr">
        <is>
          <t>Range Offer</t>
        </is>
      </c>
      <c r="J1789" s="66" t="inlineStr">
        <is>
          <t>PROG_CONTEXTUAL_AUTO_NEWS</t>
        </is>
      </c>
      <c r="K1789" s="66" t="inlineStr">
        <is>
          <t>Contextual</t>
        </is>
      </c>
      <c r="L1789" s="66" t="inlineStr">
        <is>
          <t>PROG_HTML5_728x90_Range_v1</t>
        </is>
      </c>
      <c r="M1789" s="66" t="inlineStr">
        <is>
          <t>HTML5 Display 728x90</t>
        </is>
      </c>
      <c r="N1789" s="66" t="inlineStr">
        <is>
          <t>Book a Lepas test drive</t>
        </is>
      </c>
      <c r="O1789" s="66" t="inlineStr">
        <is>
          <t>Programmatic Guaranteed / OA</t>
        </is>
      </c>
      <c r="P1789" s="66" t="inlineStr">
        <is>
          <t>Conversions (CPA)</t>
        </is>
      </c>
      <c r="Q1789" s="66" t="inlineStr">
        <is>
          <t>https://www.lepas-sa.co.za/offers</t>
        </is>
      </c>
      <c r="R1789" s="121" t="n">
        <v>221.54</v>
      </c>
      <c r="S1789" s="122" t="n">
        <v>7563</v>
      </c>
      <c r="T1789" s="122" t="n">
        <v>4424</v>
      </c>
      <c r="U1789" s="123">
        <f>IFERROR(S1789/T1789,"")</f>
        <v/>
      </c>
      <c r="V1789" s="122" t="n">
        <v>14</v>
      </c>
      <c r="W1789" s="122" t="n">
        <v>11</v>
      </c>
      <c r="X1789" s="124">
        <f>IFERROR(W1789/S1789,"")</f>
        <v/>
      </c>
      <c r="Y1789" s="121">
        <f>IFERROR(R1789/W1789,"")</f>
        <v/>
      </c>
      <c r="Z1789" s="121">
        <f>IFERROR(R1789/S1789*1000,"")</f>
        <v/>
      </c>
      <c r="AA1789" s="122" t="n">
        <v>8</v>
      </c>
      <c r="AB1789" s="54">
        <f>IFERROR(AA1789/W1789,"")</f>
        <v/>
      </c>
      <c r="AC1789" s="122" t="n">
        <v>0</v>
      </c>
      <c r="AD1789" s="122" t="n">
        <v>0</v>
      </c>
      <c r="AE1789" s="122" t="n">
        <v>0</v>
      </c>
      <c r="AF1789" s="122" t="n">
        <v>0</v>
      </c>
      <c r="AG1789" s="122" t="n">
        <v>0</v>
      </c>
      <c r="AH1789" s="122" t="n">
        <v>0</v>
      </c>
      <c r="AI1789" s="54">
        <f>IFERROR(AC1789/S1789,"")</f>
        <v/>
      </c>
      <c r="AJ1789" s="54">
        <f>IFERROR(AH1789/S1789,"")</f>
        <v/>
      </c>
      <c r="AK1789" s="122" t="n">
        <v>34</v>
      </c>
      <c r="AL1789" s="122" t="n">
        <v>0</v>
      </c>
      <c r="AM1789" s="124">
        <f>IFERROR(AL1789/AA1789,"")</f>
        <v/>
      </c>
      <c r="AN1789" s="125">
        <f>IFERROR(R1789/AL1789,"")</f>
        <v/>
      </c>
      <c r="AO1789" s="122" t="n">
        <v>0</v>
      </c>
      <c r="AP1789" s="54">
        <f>IFERROR(AO1789/AL1789,"")</f>
        <v/>
      </c>
      <c r="AQ1789" s="125">
        <f>IFERROR(R1789/AO1789,"")</f>
        <v/>
      </c>
      <c r="AR1789" s="122" t="n">
        <v>0</v>
      </c>
      <c r="AS1789" s="122" t="n">
        <v>0</v>
      </c>
      <c r="AT1789" s="122">
        <f>AL1789+AR1789</f>
        <v/>
      </c>
      <c r="AU1789" s="125">
        <f>IFERROR(AO1789*Assumptions!$C$26*Assumptions!$C$27*INDEX(Assumptions!$C$18:$C$21,MATCH(H1789,Assumptions!$B$18:$B$21,0)),0)</f>
        <v/>
      </c>
    </row>
    <row r="1790">
      <c r="A1790" s="120" t="n">
        <v>46257</v>
      </c>
      <c r="B1790" s="66" t="inlineStr">
        <is>
          <t>Wk 34</t>
        </is>
      </c>
      <c r="C1790" s="66" t="inlineStr">
        <is>
          <t>Sun</t>
        </is>
      </c>
      <c r="D1790" s="66" t="inlineStr">
        <is>
          <t>Programmatic</t>
        </is>
      </c>
      <c r="E1790" s="66" t="inlineStr">
        <is>
          <t>DV360</t>
        </is>
      </c>
      <c r="F1790" s="66" t="inlineStr">
        <is>
          <t>LEP_ZA_AUG26_PROG_TD_PROSPECT_DISPLAY</t>
        </is>
      </c>
      <c r="G1790" s="66" t="inlineStr">
        <is>
          <t>Display Prospecting</t>
        </is>
      </c>
      <c r="H1790" s="66" t="inlineStr">
        <is>
          <t>Range</t>
        </is>
      </c>
      <c r="I1790" s="66" t="inlineStr">
        <is>
          <t>Range Offer</t>
        </is>
      </c>
      <c r="J1790" s="66" t="inlineStr">
        <is>
          <t>PROG_CONTEXTUAL_AUTO_NEWS</t>
        </is>
      </c>
      <c r="K1790" s="66" t="inlineStr">
        <is>
          <t>Contextual</t>
        </is>
      </c>
      <c r="L1790" s="66" t="inlineStr">
        <is>
          <t>PROG_HTML5_728x90_Range_v1</t>
        </is>
      </c>
      <c r="M1790" s="66" t="inlineStr">
        <is>
          <t>HTML5 Display 728x90</t>
        </is>
      </c>
      <c r="N1790" s="66" t="inlineStr">
        <is>
          <t>Book a Lepas test drive</t>
        </is>
      </c>
      <c r="O1790" s="66" t="inlineStr">
        <is>
          <t>Programmatic Guaranteed / OA</t>
        </is>
      </c>
      <c r="P1790" s="66" t="inlineStr">
        <is>
          <t>Conversions (CPA)</t>
        </is>
      </c>
      <c r="Q1790" s="66" t="inlineStr">
        <is>
          <t>https://www.lepas-sa.co.za/offers</t>
        </is>
      </c>
      <c r="R1790" s="121" t="n">
        <v>132.74</v>
      </c>
      <c r="S1790" s="122" t="n">
        <v>5952</v>
      </c>
      <c r="T1790" s="122" t="n">
        <v>2722</v>
      </c>
      <c r="U1790" s="123">
        <f>IFERROR(S1790/T1790,"")</f>
        <v/>
      </c>
      <c r="V1790" s="122" t="n">
        <v>9</v>
      </c>
      <c r="W1790" s="122" t="n">
        <v>6</v>
      </c>
      <c r="X1790" s="124">
        <f>IFERROR(W1790/S1790,"")</f>
        <v/>
      </c>
      <c r="Y1790" s="121">
        <f>IFERROR(R1790/W1790,"")</f>
        <v/>
      </c>
      <c r="Z1790" s="121">
        <f>IFERROR(R1790/S1790*1000,"")</f>
        <v/>
      </c>
      <c r="AA1790" s="122" t="n">
        <v>4</v>
      </c>
      <c r="AB1790" s="54">
        <f>IFERROR(AA1790/W1790,"")</f>
        <v/>
      </c>
      <c r="AC1790" s="122" t="n">
        <v>0</v>
      </c>
      <c r="AD1790" s="122" t="n">
        <v>0</v>
      </c>
      <c r="AE1790" s="122" t="n">
        <v>0</v>
      </c>
      <c r="AF1790" s="122" t="n">
        <v>0</v>
      </c>
      <c r="AG1790" s="122" t="n">
        <v>0</v>
      </c>
      <c r="AH1790" s="122" t="n">
        <v>0</v>
      </c>
      <c r="AI1790" s="54">
        <f>IFERROR(AC1790/S1790,"")</f>
        <v/>
      </c>
      <c r="AJ1790" s="54">
        <f>IFERROR(AH1790/S1790,"")</f>
        <v/>
      </c>
      <c r="AK1790" s="122" t="n">
        <v>12</v>
      </c>
      <c r="AL1790" s="122" t="n">
        <v>0</v>
      </c>
      <c r="AM1790" s="124">
        <f>IFERROR(AL1790/AA1790,"")</f>
        <v/>
      </c>
      <c r="AN1790" s="125">
        <f>IFERROR(R1790/AL1790,"")</f>
        <v/>
      </c>
      <c r="AO1790" s="122" t="n">
        <v>0</v>
      </c>
      <c r="AP1790" s="54">
        <f>IFERROR(AO1790/AL1790,"")</f>
        <v/>
      </c>
      <c r="AQ1790" s="125">
        <f>IFERROR(R1790/AO1790,"")</f>
        <v/>
      </c>
      <c r="AR1790" s="122" t="n">
        <v>0</v>
      </c>
      <c r="AS1790" s="122" t="n">
        <v>0</v>
      </c>
      <c r="AT1790" s="122">
        <f>AL1790+AR1790</f>
        <v/>
      </c>
      <c r="AU1790" s="125">
        <f>IFERROR(AO1790*Assumptions!$C$26*Assumptions!$C$27*INDEX(Assumptions!$C$18:$C$21,MATCH(H1790,Assumptions!$B$18:$B$21,0)),0)</f>
        <v/>
      </c>
    </row>
    <row r="1791">
      <c r="A1791" s="120" t="n">
        <v>46258</v>
      </c>
      <c r="B1791" s="66" t="inlineStr">
        <is>
          <t>Wk 35</t>
        </is>
      </c>
      <c r="C1791" s="66" t="inlineStr">
        <is>
          <t>Mon</t>
        </is>
      </c>
      <c r="D1791" s="66" t="inlineStr">
        <is>
          <t>Programmatic</t>
        </is>
      </c>
      <c r="E1791" s="66" t="inlineStr">
        <is>
          <t>DV360</t>
        </is>
      </c>
      <c r="F1791" s="66" t="inlineStr">
        <is>
          <t>LEP_ZA_AUG26_PROG_TD_PROSPECT_DISPLAY</t>
        </is>
      </c>
      <c r="G1791" s="66" t="inlineStr">
        <is>
          <t>Display Prospecting</t>
        </is>
      </c>
      <c r="H1791" s="66" t="inlineStr">
        <is>
          <t>Range</t>
        </is>
      </c>
      <c r="I1791" s="66" t="inlineStr">
        <is>
          <t>Range Offer</t>
        </is>
      </c>
      <c r="J1791" s="66" t="inlineStr">
        <is>
          <t>PROG_CONTEXTUAL_AUTO_NEWS</t>
        </is>
      </c>
      <c r="K1791" s="66" t="inlineStr">
        <is>
          <t>Contextual</t>
        </is>
      </c>
      <c r="L1791" s="66" t="inlineStr">
        <is>
          <t>PROG_HTML5_728x90_Range_v1</t>
        </is>
      </c>
      <c r="M1791" s="66" t="inlineStr">
        <is>
          <t>HTML5 Display 728x90</t>
        </is>
      </c>
      <c r="N1791" s="66" t="inlineStr">
        <is>
          <t>Book a Lepas test drive</t>
        </is>
      </c>
      <c r="O1791" s="66" t="inlineStr">
        <is>
          <t>Programmatic Guaranteed / OA</t>
        </is>
      </c>
      <c r="P1791" s="66" t="inlineStr">
        <is>
          <t>Conversions (CPA)</t>
        </is>
      </c>
      <c r="Q1791" s="66" t="inlineStr">
        <is>
          <t>https://www.lepas-sa.co.za/offers</t>
        </is>
      </c>
      <c r="R1791" s="121" t="n">
        <v>162.55</v>
      </c>
      <c r="S1791" s="122" t="n">
        <v>6095</v>
      </c>
      <c r="T1791" s="122" t="n">
        <v>2469</v>
      </c>
      <c r="U1791" s="123">
        <f>IFERROR(S1791/T1791,"")</f>
        <v/>
      </c>
      <c r="V1791" s="122" t="n">
        <v>7</v>
      </c>
      <c r="W1791" s="122" t="n">
        <v>5</v>
      </c>
      <c r="X1791" s="124">
        <f>IFERROR(W1791/S1791,"")</f>
        <v/>
      </c>
      <c r="Y1791" s="121">
        <f>IFERROR(R1791/W1791,"")</f>
        <v/>
      </c>
      <c r="Z1791" s="121">
        <f>IFERROR(R1791/S1791*1000,"")</f>
        <v/>
      </c>
      <c r="AA1791" s="122" t="n">
        <v>4</v>
      </c>
      <c r="AB1791" s="54">
        <f>IFERROR(AA1791/W1791,"")</f>
        <v/>
      </c>
      <c r="AC1791" s="122" t="n">
        <v>0</v>
      </c>
      <c r="AD1791" s="122" t="n">
        <v>0</v>
      </c>
      <c r="AE1791" s="122" t="n">
        <v>0</v>
      </c>
      <c r="AF1791" s="122" t="n">
        <v>0</v>
      </c>
      <c r="AG1791" s="122" t="n">
        <v>0</v>
      </c>
      <c r="AH1791" s="122" t="n">
        <v>0</v>
      </c>
      <c r="AI1791" s="54">
        <f>IFERROR(AC1791/S1791,"")</f>
        <v/>
      </c>
      <c r="AJ1791" s="54">
        <f>IFERROR(AH1791/S1791,"")</f>
        <v/>
      </c>
      <c r="AK1791" s="122" t="n">
        <v>10</v>
      </c>
      <c r="AL1791" s="122" t="n">
        <v>0</v>
      </c>
      <c r="AM1791" s="124">
        <f>IFERROR(AL1791/AA1791,"")</f>
        <v/>
      </c>
      <c r="AN1791" s="125">
        <f>IFERROR(R1791/AL1791,"")</f>
        <v/>
      </c>
      <c r="AO1791" s="122" t="n">
        <v>0</v>
      </c>
      <c r="AP1791" s="54">
        <f>IFERROR(AO1791/AL1791,"")</f>
        <v/>
      </c>
      <c r="AQ1791" s="125">
        <f>IFERROR(R1791/AO1791,"")</f>
        <v/>
      </c>
      <c r="AR1791" s="122" t="n">
        <v>0</v>
      </c>
      <c r="AS1791" s="122" t="n">
        <v>0</v>
      </c>
      <c r="AT1791" s="122">
        <f>AL1791+AR1791</f>
        <v/>
      </c>
      <c r="AU1791" s="125">
        <f>IFERROR(AO1791*Assumptions!$C$26*Assumptions!$C$27*INDEX(Assumptions!$C$18:$C$21,MATCH(H1791,Assumptions!$B$18:$B$21,0)),0)</f>
        <v/>
      </c>
    </row>
    <row r="1792">
      <c r="A1792" s="120" t="n">
        <v>46259</v>
      </c>
      <c r="B1792" s="66" t="inlineStr">
        <is>
          <t>Wk 35</t>
        </is>
      </c>
      <c r="C1792" s="66" t="inlineStr">
        <is>
          <t>Tue</t>
        </is>
      </c>
      <c r="D1792" s="66" t="inlineStr">
        <is>
          <t>Programmatic</t>
        </is>
      </c>
      <c r="E1792" s="66" t="inlineStr">
        <is>
          <t>DV360</t>
        </is>
      </c>
      <c r="F1792" s="66" t="inlineStr">
        <is>
          <t>LEP_ZA_AUG26_PROG_TD_PROSPECT_DISPLAY</t>
        </is>
      </c>
      <c r="G1792" s="66" t="inlineStr">
        <is>
          <t>Display Prospecting</t>
        </is>
      </c>
      <c r="H1792" s="66" t="inlineStr">
        <is>
          <t>Range</t>
        </is>
      </c>
      <c r="I1792" s="66" t="inlineStr">
        <is>
          <t>Range Offer</t>
        </is>
      </c>
      <c r="J1792" s="66" t="inlineStr">
        <is>
          <t>PROG_CONTEXTUAL_AUTO_NEWS</t>
        </is>
      </c>
      <c r="K1792" s="66" t="inlineStr">
        <is>
          <t>Contextual</t>
        </is>
      </c>
      <c r="L1792" s="66" t="inlineStr">
        <is>
          <t>PROG_HTML5_728x90_Range_v1</t>
        </is>
      </c>
      <c r="M1792" s="66" t="inlineStr">
        <is>
          <t>HTML5 Display 728x90</t>
        </is>
      </c>
      <c r="N1792" s="66" t="inlineStr">
        <is>
          <t>Book a Lepas test drive</t>
        </is>
      </c>
      <c r="O1792" s="66" t="inlineStr">
        <is>
          <t>Programmatic Guaranteed / OA</t>
        </is>
      </c>
      <c r="P1792" s="66" t="inlineStr">
        <is>
          <t>Conversions (CPA)</t>
        </is>
      </c>
      <c r="Q1792" s="66" t="inlineStr">
        <is>
          <t>https://www.lepas-sa.co.za/offers</t>
        </is>
      </c>
      <c r="R1792" s="121" t="n">
        <v>177.88</v>
      </c>
      <c r="S1792" s="122" t="n">
        <v>9919</v>
      </c>
      <c r="T1792" s="122" t="n">
        <v>4796</v>
      </c>
      <c r="U1792" s="123">
        <f>IFERROR(S1792/T1792,"")</f>
        <v/>
      </c>
      <c r="V1792" s="122" t="n">
        <v>12</v>
      </c>
      <c r="W1792" s="122" t="n">
        <v>10</v>
      </c>
      <c r="X1792" s="124">
        <f>IFERROR(W1792/S1792,"")</f>
        <v/>
      </c>
      <c r="Y1792" s="121">
        <f>IFERROR(R1792/W1792,"")</f>
        <v/>
      </c>
      <c r="Z1792" s="121">
        <f>IFERROR(R1792/S1792*1000,"")</f>
        <v/>
      </c>
      <c r="AA1792" s="122" t="n">
        <v>6</v>
      </c>
      <c r="AB1792" s="54">
        <f>IFERROR(AA1792/W1792,"")</f>
        <v/>
      </c>
      <c r="AC1792" s="122" t="n">
        <v>0</v>
      </c>
      <c r="AD1792" s="122" t="n">
        <v>0</v>
      </c>
      <c r="AE1792" s="122" t="n">
        <v>0</v>
      </c>
      <c r="AF1792" s="122" t="n">
        <v>0</v>
      </c>
      <c r="AG1792" s="122" t="n">
        <v>0</v>
      </c>
      <c r="AH1792" s="122" t="n">
        <v>0</v>
      </c>
      <c r="AI1792" s="54">
        <f>IFERROR(AC1792/S1792,"")</f>
        <v/>
      </c>
      <c r="AJ1792" s="54">
        <f>IFERROR(AH1792/S1792,"")</f>
        <v/>
      </c>
      <c r="AK1792" s="122" t="n">
        <v>40</v>
      </c>
      <c r="AL1792" s="122" t="n">
        <v>0</v>
      </c>
      <c r="AM1792" s="124">
        <f>IFERROR(AL1792/AA1792,"")</f>
        <v/>
      </c>
      <c r="AN1792" s="125">
        <f>IFERROR(R1792/AL1792,"")</f>
        <v/>
      </c>
      <c r="AO1792" s="122" t="n">
        <v>0</v>
      </c>
      <c r="AP1792" s="54">
        <f>IFERROR(AO1792/AL1792,"")</f>
        <v/>
      </c>
      <c r="AQ1792" s="125">
        <f>IFERROR(R1792/AO1792,"")</f>
        <v/>
      </c>
      <c r="AR1792" s="122" t="n">
        <v>0</v>
      </c>
      <c r="AS1792" s="122" t="n">
        <v>0</v>
      </c>
      <c r="AT1792" s="122">
        <f>AL1792+AR1792</f>
        <v/>
      </c>
      <c r="AU1792" s="125">
        <f>IFERROR(AO1792*Assumptions!$C$26*Assumptions!$C$27*INDEX(Assumptions!$C$18:$C$21,MATCH(H1792,Assumptions!$B$18:$B$21,0)),0)</f>
        <v/>
      </c>
    </row>
    <row r="1793">
      <c r="A1793" s="120" t="n">
        <v>46260</v>
      </c>
      <c r="B1793" s="66" t="inlineStr">
        <is>
          <t>Wk 35</t>
        </is>
      </c>
      <c r="C1793" s="66" t="inlineStr">
        <is>
          <t>Wed</t>
        </is>
      </c>
      <c r="D1793" s="66" t="inlineStr">
        <is>
          <t>Programmatic</t>
        </is>
      </c>
      <c r="E1793" s="66" t="inlineStr">
        <is>
          <t>DV360</t>
        </is>
      </c>
      <c r="F1793" s="66" t="inlineStr">
        <is>
          <t>LEP_ZA_AUG26_PROG_TD_PROSPECT_DISPLAY</t>
        </is>
      </c>
      <c r="G1793" s="66" t="inlineStr">
        <is>
          <t>Display Prospecting</t>
        </is>
      </c>
      <c r="H1793" s="66" t="inlineStr">
        <is>
          <t>Range</t>
        </is>
      </c>
      <c r="I1793" s="66" t="inlineStr">
        <is>
          <t>Range Offer</t>
        </is>
      </c>
      <c r="J1793" s="66" t="inlineStr">
        <is>
          <t>PROG_CONTEXTUAL_AUTO_NEWS</t>
        </is>
      </c>
      <c r="K1793" s="66" t="inlineStr">
        <is>
          <t>Contextual</t>
        </is>
      </c>
      <c r="L1793" s="66" t="inlineStr">
        <is>
          <t>PROG_HTML5_728x90_Range_v1</t>
        </is>
      </c>
      <c r="M1793" s="66" t="inlineStr">
        <is>
          <t>HTML5 Display 728x90</t>
        </is>
      </c>
      <c r="N1793" s="66" t="inlineStr">
        <is>
          <t>Book a Lepas test drive</t>
        </is>
      </c>
      <c r="O1793" s="66" t="inlineStr">
        <is>
          <t>Programmatic Guaranteed / OA</t>
        </is>
      </c>
      <c r="P1793" s="66" t="inlineStr">
        <is>
          <t>Conversions (CPA)</t>
        </is>
      </c>
      <c r="Q1793" s="66" t="inlineStr">
        <is>
          <t>https://www.lepas-sa.co.za/offers</t>
        </is>
      </c>
      <c r="R1793" s="121" t="n">
        <v>150.06</v>
      </c>
      <c r="S1793" s="122" t="n">
        <v>9497</v>
      </c>
      <c r="T1793" s="122" t="n">
        <v>4138</v>
      </c>
      <c r="U1793" s="123">
        <f>IFERROR(S1793/T1793,"")</f>
        <v/>
      </c>
      <c r="V1793" s="122" t="n">
        <v>12</v>
      </c>
      <c r="W1793" s="122" t="n">
        <v>10</v>
      </c>
      <c r="X1793" s="124">
        <f>IFERROR(W1793/S1793,"")</f>
        <v/>
      </c>
      <c r="Y1793" s="121">
        <f>IFERROR(R1793/W1793,"")</f>
        <v/>
      </c>
      <c r="Z1793" s="121">
        <f>IFERROR(R1793/S1793*1000,"")</f>
        <v/>
      </c>
      <c r="AA1793" s="122" t="n">
        <v>6</v>
      </c>
      <c r="AB1793" s="54">
        <f>IFERROR(AA1793/W1793,"")</f>
        <v/>
      </c>
      <c r="AC1793" s="122" t="n">
        <v>0</v>
      </c>
      <c r="AD1793" s="122" t="n">
        <v>0</v>
      </c>
      <c r="AE1793" s="122" t="n">
        <v>0</v>
      </c>
      <c r="AF1793" s="122" t="n">
        <v>0</v>
      </c>
      <c r="AG1793" s="122" t="n">
        <v>0</v>
      </c>
      <c r="AH1793" s="122" t="n">
        <v>0</v>
      </c>
      <c r="AI1793" s="54">
        <f>IFERROR(AC1793/S1793,"")</f>
        <v/>
      </c>
      <c r="AJ1793" s="54">
        <f>IFERROR(AH1793/S1793,"")</f>
        <v/>
      </c>
      <c r="AK1793" s="122" t="n">
        <v>41</v>
      </c>
      <c r="AL1793" s="122" t="n">
        <v>0</v>
      </c>
      <c r="AM1793" s="124">
        <f>IFERROR(AL1793/AA1793,"")</f>
        <v/>
      </c>
      <c r="AN1793" s="125">
        <f>IFERROR(R1793/AL1793,"")</f>
        <v/>
      </c>
      <c r="AO1793" s="122" t="n">
        <v>0</v>
      </c>
      <c r="AP1793" s="54">
        <f>IFERROR(AO1793/AL1793,"")</f>
        <v/>
      </c>
      <c r="AQ1793" s="125">
        <f>IFERROR(R1793/AO1793,"")</f>
        <v/>
      </c>
      <c r="AR1793" s="122" t="n">
        <v>0</v>
      </c>
      <c r="AS1793" s="122" t="n">
        <v>0</v>
      </c>
      <c r="AT1793" s="122">
        <f>AL1793+AR1793</f>
        <v/>
      </c>
      <c r="AU1793" s="125">
        <f>IFERROR(AO1793*Assumptions!$C$26*Assumptions!$C$27*INDEX(Assumptions!$C$18:$C$21,MATCH(H1793,Assumptions!$B$18:$B$21,0)),0)</f>
        <v/>
      </c>
    </row>
    <row r="1794">
      <c r="A1794" s="120" t="n">
        <v>46261</v>
      </c>
      <c r="B1794" s="66" t="inlineStr">
        <is>
          <t>Wk 35</t>
        </is>
      </c>
      <c r="C1794" s="66" t="inlineStr">
        <is>
          <t>Thu</t>
        </is>
      </c>
      <c r="D1794" s="66" t="inlineStr">
        <is>
          <t>Programmatic</t>
        </is>
      </c>
      <c r="E1794" s="66" t="inlineStr">
        <is>
          <t>DV360</t>
        </is>
      </c>
      <c r="F1794" s="66" t="inlineStr">
        <is>
          <t>LEP_ZA_AUG26_PROG_TD_PROSPECT_DISPLAY</t>
        </is>
      </c>
      <c r="G1794" s="66" t="inlineStr">
        <is>
          <t>Display Prospecting</t>
        </is>
      </c>
      <c r="H1794" s="66" t="inlineStr">
        <is>
          <t>Range</t>
        </is>
      </c>
      <c r="I1794" s="66" t="inlineStr">
        <is>
          <t>Range Offer</t>
        </is>
      </c>
      <c r="J1794" s="66" t="inlineStr">
        <is>
          <t>PROG_CONTEXTUAL_AUTO_NEWS</t>
        </is>
      </c>
      <c r="K1794" s="66" t="inlineStr">
        <is>
          <t>Contextual</t>
        </is>
      </c>
      <c r="L1794" s="66" t="inlineStr">
        <is>
          <t>PROG_HTML5_728x90_Range_v1</t>
        </is>
      </c>
      <c r="M1794" s="66" t="inlineStr">
        <is>
          <t>HTML5 Display 728x90</t>
        </is>
      </c>
      <c r="N1794" s="66" t="inlineStr">
        <is>
          <t>Book a Lepas test drive</t>
        </is>
      </c>
      <c r="O1794" s="66" t="inlineStr">
        <is>
          <t>Programmatic Guaranteed / OA</t>
        </is>
      </c>
      <c r="P1794" s="66" t="inlineStr">
        <is>
          <t>Conversions (CPA)</t>
        </is>
      </c>
      <c r="Q1794" s="66" t="inlineStr">
        <is>
          <t>https://www.lepas-sa.co.za/offers</t>
        </is>
      </c>
      <c r="R1794" s="121" t="n">
        <v>201.74</v>
      </c>
      <c r="S1794" s="122" t="n">
        <v>6670</v>
      </c>
      <c r="T1794" s="122" t="n">
        <v>3616</v>
      </c>
      <c r="U1794" s="123">
        <f>IFERROR(S1794/T1794,"")</f>
        <v/>
      </c>
      <c r="V1794" s="122" t="n">
        <v>11</v>
      </c>
      <c r="W1794" s="122" t="n">
        <v>9</v>
      </c>
      <c r="X1794" s="124">
        <f>IFERROR(W1794/S1794,"")</f>
        <v/>
      </c>
      <c r="Y1794" s="121">
        <f>IFERROR(R1794/W1794,"")</f>
        <v/>
      </c>
      <c r="Z1794" s="121">
        <f>IFERROR(R1794/S1794*1000,"")</f>
        <v/>
      </c>
      <c r="AA1794" s="122" t="n">
        <v>6</v>
      </c>
      <c r="AB1794" s="54">
        <f>IFERROR(AA1794/W1794,"")</f>
        <v/>
      </c>
      <c r="AC1794" s="122" t="n">
        <v>0</v>
      </c>
      <c r="AD1794" s="122" t="n">
        <v>0</v>
      </c>
      <c r="AE1794" s="122" t="n">
        <v>0</v>
      </c>
      <c r="AF1794" s="122" t="n">
        <v>0</v>
      </c>
      <c r="AG1794" s="122" t="n">
        <v>0</v>
      </c>
      <c r="AH1794" s="122" t="n">
        <v>0</v>
      </c>
      <c r="AI1794" s="54">
        <f>IFERROR(AC1794/S1794,"")</f>
        <v/>
      </c>
      <c r="AJ1794" s="54">
        <f>IFERROR(AH1794/S1794,"")</f>
        <v/>
      </c>
      <c r="AK1794" s="122" t="n">
        <v>39</v>
      </c>
      <c r="AL1794" s="122" t="n">
        <v>0</v>
      </c>
      <c r="AM1794" s="124">
        <f>IFERROR(AL1794/AA1794,"")</f>
        <v/>
      </c>
      <c r="AN1794" s="125">
        <f>IFERROR(R1794/AL1794,"")</f>
        <v/>
      </c>
      <c r="AO1794" s="122" t="n">
        <v>0</v>
      </c>
      <c r="AP1794" s="54">
        <f>IFERROR(AO1794/AL1794,"")</f>
        <v/>
      </c>
      <c r="AQ1794" s="125">
        <f>IFERROR(R1794/AO1794,"")</f>
        <v/>
      </c>
      <c r="AR1794" s="122" t="n">
        <v>0</v>
      </c>
      <c r="AS1794" s="122" t="n">
        <v>0</v>
      </c>
      <c r="AT1794" s="122">
        <f>AL1794+AR1794</f>
        <v/>
      </c>
      <c r="AU1794" s="125">
        <f>IFERROR(AO1794*Assumptions!$C$26*Assumptions!$C$27*INDEX(Assumptions!$C$18:$C$21,MATCH(H1794,Assumptions!$B$18:$B$21,0)),0)</f>
        <v/>
      </c>
    </row>
    <row r="1795">
      <c r="A1795" s="120" t="n">
        <v>46262</v>
      </c>
      <c r="B1795" s="66" t="inlineStr">
        <is>
          <t>Wk 35</t>
        </is>
      </c>
      <c r="C1795" s="66" t="inlineStr">
        <is>
          <t>Fri</t>
        </is>
      </c>
      <c r="D1795" s="66" t="inlineStr">
        <is>
          <t>Programmatic</t>
        </is>
      </c>
      <c r="E1795" s="66" t="inlineStr">
        <is>
          <t>DV360</t>
        </is>
      </c>
      <c r="F1795" s="66" t="inlineStr">
        <is>
          <t>LEP_ZA_AUG26_PROG_TD_PROSPECT_DISPLAY</t>
        </is>
      </c>
      <c r="G1795" s="66" t="inlineStr">
        <is>
          <t>Display Prospecting</t>
        </is>
      </c>
      <c r="H1795" s="66" t="inlineStr">
        <is>
          <t>Range</t>
        </is>
      </c>
      <c r="I1795" s="66" t="inlineStr">
        <is>
          <t>Range Offer</t>
        </is>
      </c>
      <c r="J1795" s="66" t="inlineStr">
        <is>
          <t>PROG_CONTEXTUAL_AUTO_NEWS</t>
        </is>
      </c>
      <c r="K1795" s="66" t="inlineStr">
        <is>
          <t>Contextual</t>
        </is>
      </c>
      <c r="L1795" s="66" t="inlineStr">
        <is>
          <t>PROG_HTML5_728x90_Range_v1</t>
        </is>
      </c>
      <c r="M1795" s="66" t="inlineStr">
        <is>
          <t>HTML5 Display 728x90</t>
        </is>
      </c>
      <c r="N1795" s="66" t="inlineStr">
        <is>
          <t>Book a Lepas test drive</t>
        </is>
      </c>
      <c r="O1795" s="66" t="inlineStr">
        <is>
          <t>Programmatic Guaranteed / OA</t>
        </is>
      </c>
      <c r="P1795" s="66" t="inlineStr">
        <is>
          <t>Conversions (CPA)</t>
        </is>
      </c>
      <c r="Q1795" s="66" t="inlineStr">
        <is>
          <t>https://www.lepas-sa.co.za/offers</t>
        </is>
      </c>
      <c r="R1795" s="121" t="n">
        <v>259.87</v>
      </c>
      <c r="S1795" s="122" t="n">
        <v>12273</v>
      </c>
      <c r="T1795" s="122" t="n">
        <v>5950</v>
      </c>
      <c r="U1795" s="123">
        <f>IFERROR(S1795/T1795,"")</f>
        <v/>
      </c>
      <c r="V1795" s="122" t="n">
        <v>24</v>
      </c>
      <c r="W1795" s="122" t="n">
        <v>18</v>
      </c>
      <c r="X1795" s="124">
        <f>IFERROR(W1795/S1795,"")</f>
        <v/>
      </c>
      <c r="Y1795" s="121">
        <f>IFERROR(R1795/W1795,"")</f>
        <v/>
      </c>
      <c r="Z1795" s="121">
        <f>IFERROR(R1795/S1795*1000,"")</f>
        <v/>
      </c>
      <c r="AA1795" s="122" t="n">
        <v>11</v>
      </c>
      <c r="AB1795" s="54">
        <f>IFERROR(AA1795/W1795,"")</f>
        <v/>
      </c>
      <c r="AC1795" s="122" t="n">
        <v>0</v>
      </c>
      <c r="AD1795" s="122" t="n">
        <v>0</v>
      </c>
      <c r="AE1795" s="122" t="n">
        <v>0</v>
      </c>
      <c r="AF1795" s="122" t="n">
        <v>0</v>
      </c>
      <c r="AG1795" s="122" t="n">
        <v>0</v>
      </c>
      <c r="AH1795" s="122" t="n">
        <v>0</v>
      </c>
      <c r="AI1795" s="54">
        <f>IFERROR(AC1795/S1795,"")</f>
        <v/>
      </c>
      <c r="AJ1795" s="54">
        <f>IFERROR(AH1795/S1795,"")</f>
        <v/>
      </c>
      <c r="AK1795" s="122" t="n">
        <v>31</v>
      </c>
      <c r="AL1795" s="122" t="n">
        <v>0</v>
      </c>
      <c r="AM1795" s="124">
        <f>IFERROR(AL1795/AA1795,"")</f>
        <v/>
      </c>
      <c r="AN1795" s="125">
        <f>IFERROR(R1795/AL1795,"")</f>
        <v/>
      </c>
      <c r="AO1795" s="122" t="n">
        <v>0</v>
      </c>
      <c r="AP1795" s="54">
        <f>IFERROR(AO1795/AL1795,"")</f>
        <v/>
      </c>
      <c r="AQ1795" s="125">
        <f>IFERROR(R1795/AO1795,"")</f>
        <v/>
      </c>
      <c r="AR1795" s="122" t="n">
        <v>0</v>
      </c>
      <c r="AS1795" s="122" t="n">
        <v>0</v>
      </c>
      <c r="AT1795" s="122">
        <f>AL1795+AR1795</f>
        <v/>
      </c>
      <c r="AU1795" s="125">
        <f>IFERROR(AO1795*Assumptions!$C$26*Assumptions!$C$27*INDEX(Assumptions!$C$18:$C$21,MATCH(H1795,Assumptions!$B$18:$B$21,0)),0)</f>
        <v/>
      </c>
    </row>
    <row r="1796">
      <c r="A1796" s="120" t="n">
        <v>46263</v>
      </c>
      <c r="B1796" s="66" t="inlineStr">
        <is>
          <t>Wk 35</t>
        </is>
      </c>
      <c r="C1796" s="66" t="inlineStr">
        <is>
          <t>Sat</t>
        </is>
      </c>
      <c r="D1796" s="66" t="inlineStr">
        <is>
          <t>Programmatic</t>
        </is>
      </c>
      <c r="E1796" s="66" t="inlineStr">
        <is>
          <t>DV360</t>
        </is>
      </c>
      <c r="F1796" s="66" t="inlineStr">
        <is>
          <t>LEP_ZA_AUG26_PROG_TD_PROSPECT_DISPLAY</t>
        </is>
      </c>
      <c r="G1796" s="66" t="inlineStr">
        <is>
          <t>Display Prospecting</t>
        </is>
      </c>
      <c r="H1796" s="66" t="inlineStr">
        <is>
          <t>Range</t>
        </is>
      </c>
      <c r="I1796" s="66" t="inlineStr">
        <is>
          <t>Range Offer</t>
        </is>
      </c>
      <c r="J1796" s="66" t="inlineStr">
        <is>
          <t>PROG_CONTEXTUAL_AUTO_NEWS</t>
        </is>
      </c>
      <c r="K1796" s="66" t="inlineStr">
        <is>
          <t>Contextual</t>
        </is>
      </c>
      <c r="L1796" s="66" t="inlineStr">
        <is>
          <t>PROG_HTML5_728x90_Range_v1</t>
        </is>
      </c>
      <c r="M1796" s="66" t="inlineStr">
        <is>
          <t>HTML5 Display 728x90</t>
        </is>
      </c>
      <c r="N1796" s="66" t="inlineStr">
        <is>
          <t>Book a Lepas test drive</t>
        </is>
      </c>
      <c r="O1796" s="66" t="inlineStr">
        <is>
          <t>Programmatic Guaranteed / OA</t>
        </is>
      </c>
      <c r="P1796" s="66" t="inlineStr">
        <is>
          <t>Conversions (CPA)</t>
        </is>
      </c>
      <c r="Q1796" s="66" t="inlineStr">
        <is>
          <t>https://www.lepas-sa.co.za/offers</t>
        </is>
      </c>
      <c r="R1796" s="121" t="n">
        <v>207.69</v>
      </c>
      <c r="S1796" s="122" t="n">
        <v>7849</v>
      </c>
      <c r="T1796" s="122" t="n">
        <v>3039</v>
      </c>
      <c r="U1796" s="123">
        <f>IFERROR(S1796/T1796,"")</f>
        <v/>
      </c>
      <c r="V1796" s="122" t="n">
        <v>15</v>
      </c>
      <c r="W1796" s="122" t="n">
        <v>12</v>
      </c>
      <c r="X1796" s="124">
        <f>IFERROR(W1796/S1796,"")</f>
        <v/>
      </c>
      <c r="Y1796" s="121">
        <f>IFERROR(R1796/W1796,"")</f>
        <v/>
      </c>
      <c r="Z1796" s="121">
        <f>IFERROR(R1796/S1796*1000,"")</f>
        <v/>
      </c>
      <c r="AA1796" s="122" t="n">
        <v>7</v>
      </c>
      <c r="AB1796" s="54">
        <f>IFERROR(AA1796/W1796,"")</f>
        <v/>
      </c>
      <c r="AC1796" s="122" t="n">
        <v>0</v>
      </c>
      <c r="AD1796" s="122" t="n">
        <v>0</v>
      </c>
      <c r="AE1796" s="122" t="n">
        <v>0</v>
      </c>
      <c r="AF1796" s="122" t="n">
        <v>0</v>
      </c>
      <c r="AG1796" s="122" t="n">
        <v>0</v>
      </c>
      <c r="AH1796" s="122" t="n">
        <v>0</v>
      </c>
      <c r="AI1796" s="54">
        <f>IFERROR(AC1796/S1796,"")</f>
        <v/>
      </c>
      <c r="AJ1796" s="54">
        <f>IFERROR(AH1796/S1796,"")</f>
        <v/>
      </c>
      <c r="AK1796" s="122" t="n">
        <v>29</v>
      </c>
      <c r="AL1796" s="122" t="n">
        <v>0</v>
      </c>
      <c r="AM1796" s="124">
        <f>IFERROR(AL1796/AA1796,"")</f>
        <v/>
      </c>
      <c r="AN1796" s="125">
        <f>IFERROR(R1796/AL1796,"")</f>
        <v/>
      </c>
      <c r="AO1796" s="122" t="n">
        <v>0</v>
      </c>
      <c r="AP1796" s="54">
        <f>IFERROR(AO1796/AL1796,"")</f>
        <v/>
      </c>
      <c r="AQ1796" s="125">
        <f>IFERROR(R1796/AO1796,"")</f>
        <v/>
      </c>
      <c r="AR1796" s="122" t="n">
        <v>0</v>
      </c>
      <c r="AS1796" s="122" t="n">
        <v>0</v>
      </c>
      <c r="AT1796" s="122">
        <f>AL1796+AR1796</f>
        <v/>
      </c>
      <c r="AU1796" s="125">
        <f>IFERROR(AO1796*Assumptions!$C$26*Assumptions!$C$27*INDEX(Assumptions!$C$18:$C$21,MATCH(H1796,Assumptions!$B$18:$B$21,0)),0)</f>
        <v/>
      </c>
    </row>
    <row r="1797">
      <c r="A1797" s="120" t="n">
        <v>46264</v>
      </c>
      <c r="B1797" s="66" t="inlineStr">
        <is>
          <t>Wk 35</t>
        </is>
      </c>
      <c r="C1797" s="66" t="inlineStr">
        <is>
          <t>Sun</t>
        </is>
      </c>
      <c r="D1797" s="66" t="inlineStr">
        <is>
          <t>Programmatic</t>
        </is>
      </c>
      <c r="E1797" s="66" t="inlineStr">
        <is>
          <t>DV360</t>
        </is>
      </c>
      <c r="F1797" s="66" t="inlineStr">
        <is>
          <t>LEP_ZA_AUG26_PROG_TD_PROSPECT_DISPLAY</t>
        </is>
      </c>
      <c r="G1797" s="66" t="inlineStr">
        <is>
          <t>Display Prospecting</t>
        </is>
      </c>
      <c r="H1797" s="66" t="inlineStr">
        <is>
          <t>Range</t>
        </is>
      </c>
      <c r="I1797" s="66" t="inlineStr">
        <is>
          <t>Range Offer</t>
        </is>
      </c>
      <c r="J1797" s="66" t="inlineStr">
        <is>
          <t>PROG_CONTEXTUAL_AUTO_NEWS</t>
        </is>
      </c>
      <c r="K1797" s="66" t="inlineStr">
        <is>
          <t>Contextual</t>
        </is>
      </c>
      <c r="L1797" s="66" t="inlineStr">
        <is>
          <t>PROG_HTML5_728x90_Range_v1</t>
        </is>
      </c>
      <c r="M1797" s="66" t="inlineStr">
        <is>
          <t>HTML5 Display 728x90</t>
        </is>
      </c>
      <c r="N1797" s="66" t="inlineStr">
        <is>
          <t>Book a Lepas test drive</t>
        </is>
      </c>
      <c r="O1797" s="66" t="inlineStr">
        <is>
          <t>Programmatic Guaranteed / OA</t>
        </is>
      </c>
      <c r="P1797" s="66" t="inlineStr">
        <is>
          <t>Conversions (CPA)</t>
        </is>
      </c>
      <c r="Q1797" s="66" t="inlineStr">
        <is>
          <t>https://www.lepas-sa.co.za/offers</t>
        </is>
      </c>
      <c r="R1797" s="121" t="n">
        <v>195.76</v>
      </c>
      <c r="S1797" s="122" t="n">
        <v>12041</v>
      </c>
      <c r="T1797" s="122" t="n">
        <v>4471</v>
      </c>
      <c r="U1797" s="123">
        <f>IFERROR(S1797/T1797,"")</f>
        <v/>
      </c>
      <c r="V1797" s="122" t="n">
        <v>13</v>
      </c>
      <c r="W1797" s="122" t="n">
        <v>10</v>
      </c>
      <c r="X1797" s="124">
        <f>IFERROR(W1797/S1797,"")</f>
        <v/>
      </c>
      <c r="Y1797" s="121">
        <f>IFERROR(R1797/W1797,"")</f>
        <v/>
      </c>
      <c r="Z1797" s="121">
        <f>IFERROR(R1797/S1797*1000,"")</f>
        <v/>
      </c>
      <c r="AA1797" s="122" t="n">
        <v>6</v>
      </c>
      <c r="AB1797" s="54">
        <f>IFERROR(AA1797/W1797,"")</f>
        <v/>
      </c>
      <c r="AC1797" s="122" t="n">
        <v>0</v>
      </c>
      <c r="AD1797" s="122" t="n">
        <v>0</v>
      </c>
      <c r="AE1797" s="122" t="n">
        <v>0</v>
      </c>
      <c r="AF1797" s="122" t="n">
        <v>0</v>
      </c>
      <c r="AG1797" s="122" t="n">
        <v>0</v>
      </c>
      <c r="AH1797" s="122" t="n">
        <v>0</v>
      </c>
      <c r="AI1797" s="54">
        <f>IFERROR(AC1797/S1797,"")</f>
        <v/>
      </c>
      <c r="AJ1797" s="54">
        <f>IFERROR(AH1797/S1797,"")</f>
        <v/>
      </c>
      <c r="AK1797" s="122" t="n">
        <v>72</v>
      </c>
      <c r="AL1797" s="122" t="n">
        <v>0</v>
      </c>
      <c r="AM1797" s="124">
        <f>IFERROR(AL1797/AA1797,"")</f>
        <v/>
      </c>
      <c r="AN1797" s="125">
        <f>IFERROR(R1797/AL1797,"")</f>
        <v/>
      </c>
      <c r="AO1797" s="122" t="n">
        <v>0</v>
      </c>
      <c r="AP1797" s="54">
        <f>IFERROR(AO1797/AL1797,"")</f>
        <v/>
      </c>
      <c r="AQ1797" s="125">
        <f>IFERROR(R1797/AO1797,"")</f>
        <v/>
      </c>
      <c r="AR1797" s="122" t="n">
        <v>0</v>
      </c>
      <c r="AS1797" s="122" t="n">
        <v>0</v>
      </c>
      <c r="AT1797" s="122">
        <f>AL1797+AR1797</f>
        <v/>
      </c>
      <c r="AU1797" s="125">
        <f>IFERROR(AO1797*Assumptions!$C$26*Assumptions!$C$27*INDEX(Assumptions!$C$18:$C$21,MATCH(H1797,Assumptions!$B$18:$B$21,0)),0)</f>
        <v/>
      </c>
    </row>
    <row r="1798">
      <c r="A1798" s="120" t="n">
        <v>46265</v>
      </c>
      <c r="B1798" s="66" t="inlineStr">
        <is>
          <t>Wk 36</t>
        </is>
      </c>
      <c r="C1798" s="66" t="inlineStr">
        <is>
          <t>Mon</t>
        </is>
      </c>
      <c r="D1798" s="66" t="inlineStr">
        <is>
          <t>Programmatic</t>
        </is>
      </c>
      <c r="E1798" s="66" t="inlineStr">
        <is>
          <t>DV360</t>
        </is>
      </c>
      <c r="F1798" s="66" t="inlineStr">
        <is>
          <t>LEP_ZA_AUG26_PROG_TD_PROSPECT_DISPLAY</t>
        </is>
      </c>
      <c r="G1798" s="66" t="inlineStr">
        <is>
          <t>Display Prospecting</t>
        </is>
      </c>
      <c r="H1798" s="66" t="inlineStr">
        <is>
          <t>Range</t>
        </is>
      </c>
      <c r="I1798" s="66" t="inlineStr">
        <is>
          <t>Range Offer</t>
        </is>
      </c>
      <c r="J1798" s="66" t="inlineStr">
        <is>
          <t>PROG_CONTEXTUAL_AUTO_NEWS</t>
        </is>
      </c>
      <c r="K1798" s="66" t="inlineStr">
        <is>
          <t>Contextual</t>
        </is>
      </c>
      <c r="L1798" s="66" t="inlineStr">
        <is>
          <t>PROG_HTML5_728x90_Range_v1</t>
        </is>
      </c>
      <c r="M1798" s="66" t="inlineStr">
        <is>
          <t>HTML5 Display 728x90</t>
        </is>
      </c>
      <c r="N1798" s="66" t="inlineStr">
        <is>
          <t>Book a Lepas test drive</t>
        </is>
      </c>
      <c r="O1798" s="66" t="inlineStr">
        <is>
          <t>Programmatic Guaranteed / OA</t>
        </is>
      </c>
      <c r="P1798" s="66" t="inlineStr">
        <is>
          <t>Conversions (CPA)</t>
        </is>
      </c>
      <c r="Q1798" s="66" t="inlineStr">
        <is>
          <t>https://www.lepas-sa.co.za/offers</t>
        </is>
      </c>
      <c r="R1798" s="121" t="n">
        <v>184.81</v>
      </c>
      <c r="S1798" s="122" t="n">
        <v>6718</v>
      </c>
      <c r="T1798" s="122" t="n">
        <v>3386</v>
      </c>
      <c r="U1798" s="123">
        <f>IFERROR(S1798/T1798,"")</f>
        <v/>
      </c>
      <c r="V1798" s="122" t="n">
        <v>7</v>
      </c>
      <c r="W1798" s="122" t="n">
        <v>5</v>
      </c>
      <c r="X1798" s="124">
        <f>IFERROR(W1798/S1798,"")</f>
        <v/>
      </c>
      <c r="Y1798" s="121">
        <f>IFERROR(R1798/W1798,"")</f>
        <v/>
      </c>
      <c r="Z1798" s="121">
        <f>IFERROR(R1798/S1798*1000,"")</f>
        <v/>
      </c>
      <c r="AA1798" s="122" t="n">
        <v>4</v>
      </c>
      <c r="AB1798" s="54">
        <f>IFERROR(AA1798/W1798,"")</f>
        <v/>
      </c>
      <c r="AC1798" s="122" t="n">
        <v>0</v>
      </c>
      <c r="AD1798" s="122" t="n">
        <v>0</v>
      </c>
      <c r="AE1798" s="122" t="n">
        <v>0</v>
      </c>
      <c r="AF1798" s="122" t="n">
        <v>0</v>
      </c>
      <c r="AG1798" s="122" t="n">
        <v>0</v>
      </c>
      <c r="AH1798" s="122" t="n">
        <v>0</v>
      </c>
      <c r="AI1798" s="54">
        <f>IFERROR(AC1798/S1798,"")</f>
        <v/>
      </c>
      <c r="AJ1798" s="54">
        <f>IFERROR(AH1798/S1798,"")</f>
        <v/>
      </c>
      <c r="AK1798" s="122" t="n">
        <v>33</v>
      </c>
      <c r="AL1798" s="122" t="n">
        <v>0</v>
      </c>
      <c r="AM1798" s="124">
        <f>IFERROR(AL1798/AA1798,"")</f>
        <v/>
      </c>
      <c r="AN1798" s="125">
        <f>IFERROR(R1798/AL1798,"")</f>
        <v/>
      </c>
      <c r="AO1798" s="122" t="n">
        <v>0</v>
      </c>
      <c r="AP1798" s="54">
        <f>IFERROR(AO1798/AL1798,"")</f>
        <v/>
      </c>
      <c r="AQ1798" s="125">
        <f>IFERROR(R1798/AO1798,"")</f>
        <v/>
      </c>
      <c r="AR1798" s="122" t="n">
        <v>0</v>
      </c>
      <c r="AS1798" s="122" t="n">
        <v>0</v>
      </c>
      <c r="AT1798" s="122">
        <f>AL1798+AR1798</f>
        <v/>
      </c>
      <c r="AU1798" s="125">
        <f>IFERROR(AO1798*Assumptions!$C$26*Assumptions!$C$27*INDEX(Assumptions!$C$18:$C$21,MATCH(H1798,Assumptions!$B$18:$B$21,0)),0)</f>
        <v/>
      </c>
    </row>
    <row r="1799">
      <c r="A1799" s="120" t="n">
        <v>46235</v>
      </c>
      <c r="B1799" s="66" t="inlineStr">
        <is>
          <t>Wk 31</t>
        </is>
      </c>
      <c r="C1799" s="66" t="inlineStr">
        <is>
          <t>Sat</t>
        </is>
      </c>
      <c r="D1799" s="66" t="inlineStr">
        <is>
          <t>Programmatic</t>
        </is>
      </c>
      <c r="E1799" s="66" t="inlineStr">
        <is>
          <t>DV360</t>
        </is>
      </c>
      <c r="F1799" s="66" t="inlineStr">
        <is>
          <t>LEP_ZA_AUG26_PROG_TD_PROSPECT_DISPLAY</t>
        </is>
      </c>
      <c r="G1799" s="66" t="inlineStr">
        <is>
          <t>Display Prospecting</t>
        </is>
      </c>
      <c r="H1799" s="66" t="inlineStr">
        <is>
          <t>Range</t>
        </is>
      </c>
      <c r="I1799" s="66" t="inlineStr">
        <is>
          <t>Range Offer</t>
        </is>
      </c>
      <c r="J1799" s="66" t="inlineStr">
        <is>
          <t>PROG_CONTEXTUAL_AUTO_NEWS</t>
        </is>
      </c>
      <c r="K1799" s="66" t="inlineStr">
        <is>
          <t>Contextual</t>
        </is>
      </c>
      <c r="L1799" s="66" t="inlineStr">
        <is>
          <t>PROG_HTML5_320x50_Range_v1</t>
        </is>
      </c>
      <c r="M1799" s="66" t="inlineStr">
        <is>
          <t>HTML5 Display 320x50</t>
        </is>
      </c>
      <c r="N1799" s="66" t="inlineStr">
        <is>
          <t>From R3 599pm</t>
        </is>
      </c>
      <c r="O1799" s="66" t="inlineStr">
        <is>
          <t>Programmatic Guaranteed / OA</t>
        </is>
      </c>
      <c r="P1799" s="66" t="inlineStr">
        <is>
          <t>Conversions (CPA)</t>
        </is>
      </c>
      <c r="Q1799" s="66" t="inlineStr">
        <is>
          <t>https://www.lepas-sa.co.za/offers</t>
        </is>
      </c>
      <c r="R1799" s="121" t="n">
        <v>149.16</v>
      </c>
      <c r="S1799" s="122" t="n">
        <v>9239</v>
      </c>
      <c r="T1799" s="122" t="n">
        <v>4698</v>
      </c>
      <c r="U1799" s="123">
        <f>IFERROR(S1799/T1799,"")</f>
        <v/>
      </c>
      <c r="V1799" s="122" t="n">
        <v>18</v>
      </c>
      <c r="W1799" s="122" t="n">
        <v>15</v>
      </c>
      <c r="X1799" s="124">
        <f>IFERROR(W1799/S1799,"")</f>
        <v/>
      </c>
      <c r="Y1799" s="121">
        <f>IFERROR(R1799/W1799,"")</f>
        <v/>
      </c>
      <c r="Z1799" s="121">
        <f>IFERROR(R1799/S1799*1000,"")</f>
        <v/>
      </c>
      <c r="AA1799" s="122" t="n">
        <v>10</v>
      </c>
      <c r="AB1799" s="54">
        <f>IFERROR(AA1799/W1799,"")</f>
        <v/>
      </c>
      <c r="AC1799" s="122" t="n">
        <v>0</v>
      </c>
      <c r="AD1799" s="122" t="n">
        <v>0</v>
      </c>
      <c r="AE1799" s="122" t="n">
        <v>0</v>
      </c>
      <c r="AF1799" s="122" t="n">
        <v>0</v>
      </c>
      <c r="AG1799" s="122" t="n">
        <v>0</v>
      </c>
      <c r="AH1799" s="122" t="n">
        <v>0</v>
      </c>
      <c r="AI1799" s="54">
        <f>IFERROR(AC1799/S1799,"")</f>
        <v/>
      </c>
      <c r="AJ1799" s="54">
        <f>IFERROR(AH1799/S1799,"")</f>
        <v/>
      </c>
      <c r="AK1799" s="122" t="n">
        <v>48</v>
      </c>
      <c r="AL1799" s="122" t="n">
        <v>0</v>
      </c>
      <c r="AM1799" s="124">
        <f>IFERROR(AL1799/AA1799,"")</f>
        <v/>
      </c>
      <c r="AN1799" s="125">
        <f>IFERROR(R1799/AL1799,"")</f>
        <v/>
      </c>
      <c r="AO1799" s="122" t="n">
        <v>0</v>
      </c>
      <c r="AP1799" s="54">
        <f>IFERROR(AO1799/AL1799,"")</f>
        <v/>
      </c>
      <c r="AQ1799" s="125">
        <f>IFERROR(R1799/AO1799,"")</f>
        <v/>
      </c>
      <c r="AR1799" s="122" t="n">
        <v>0</v>
      </c>
      <c r="AS1799" s="122" t="n">
        <v>0</v>
      </c>
      <c r="AT1799" s="122">
        <f>AL1799+AR1799</f>
        <v/>
      </c>
      <c r="AU1799" s="125">
        <f>IFERROR(AO1799*Assumptions!$C$26*Assumptions!$C$27*INDEX(Assumptions!$C$18:$C$21,MATCH(H1799,Assumptions!$B$18:$B$21,0)),0)</f>
        <v/>
      </c>
    </row>
    <row r="1800">
      <c r="A1800" s="120" t="n">
        <v>46236</v>
      </c>
      <c r="B1800" s="66" t="inlineStr">
        <is>
          <t>Wk 31</t>
        </is>
      </c>
      <c r="C1800" s="66" t="inlineStr">
        <is>
          <t>Sun</t>
        </is>
      </c>
      <c r="D1800" s="66" t="inlineStr">
        <is>
          <t>Programmatic</t>
        </is>
      </c>
      <c r="E1800" s="66" t="inlineStr">
        <is>
          <t>DV360</t>
        </is>
      </c>
      <c r="F1800" s="66" t="inlineStr">
        <is>
          <t>LEP_ZA_AUG26_PROG_TD_PROSPECT_DISPLAY</t>
        </is>
      </c>
      <c r="G1800" s="66" t="inlineStr">
        <is>
          <t>Display Prospecting</t>
        </is>
      </c>
      <c r="H1800" s="66" t="inlineStr">
        <is>
          <t>Range</t>
        </is>
      </c>
      <c r="I1800" s="66" t="inlineStr">
        <is>
          <t>Range Offer</t>
        </is>
      </c>
      <c r="J1800" s="66" t="inlineStr">
        <is>
          <t>PROG_CONTEXTUAL_AUTO_NEWS</t>
        </is>
      </c>
      <c r="K1800" s="66" t="inlineStr">
        <is>
          <t>Contextual</t>
        </is>
      </c>
      <c r="L1800" s="66" t="inlineStr">
        <is>
          <t>PROG_HTML5_320x50_Range_v1</t>
        </is>
      </c>
      <c r="M1800" s="66" t="inlineStr">
        <is>
          <t>HTML5 Display 320x50</t>
        </is>
      </c>
      <c r="N1800" s="66" t="inlineStr">
        <is>
          <t>From R3 599pm</t>
        </is>
      </c>
      <c r="O1800" s="66" t="inlineStr">
        <is>
          <t>Programmatic Guaranteed / OA</t>
        </is>
      </c>
      <c r="P1800" s="66" t="inlineStr">
        <is>
          <t>Conversions (CPA)</t>
        </is>
      </c>
      <c r="Q1800" s="66" t="inlineStr">
        <is>
          <t>https://www.lepas-sa.co.za/offers</t>
        </is>
      </c>
      <c r="R1800" s="121" t="n">
        <v>92.47</v>
      </c>
      <c r="S1800" s="122" t="n">
        <v>2902</v>
      </c>
      <c r="T1800" s="122" t="n">
        <v>1447</v>
      </c>
      <c r="U1800" s="123">
        <f>IFERROR(S1800/T1800,"")</f>
        <v/>
      </c>
      <c r="V1800" s="122" t="n">
        <v>10</v>
      </c>
      <c r="W1800" s="122" t="n">
        <v>8</v>
      </c>
      <c r="X1800" s="124">
        <f>IFERROR(W1800/S1800,"")</f>
        <v/>
      </c>
      <c r="Y1800" s="121">
        <f>IFERROR(R1800/W1800,"")</f>
        <v/>
      </c>
      <c r="Z1800" s="121">
        <f>IFERROR(R1800/S1800*1000,"")</f>
        <v/>
      </c>
      <c r="AA1800" s="122" t="n">
        <v>4</v>
      </c>
      <c r="AB1800" s="54">
        <f>IFERROR(AA1800/W1800,"")</f>
        <v/>
      </c>
      <c r="AC1800" s="122" t="n">
        <v>0</v>
      </c>
      <c r="AD1800" s="122" t="n">
        <v>0</v>
      </c>
      <c r="AE1800" s="122" t="n">
        <v>0</v>
      </c>
      <c r="AF1800" s="122" t="n">
        <v>0</v>
      </c>
      <c r="AG1800" s="122" t="n">
        <v>0</v>
      </c>
      <c r="AH1800" s="122" t="n">
        <v>0</v>
      </c>
      <c r="AI1800" s="54">
        <f>IFERROR(AC1800/S1800,"")</f>
        <v/>
      </c>
      <c r="AJ1800" s="54">
        <f>IFERROR(AH1800/S1800,"")</f>
        <v/>
      </c>
      <c r="AK1800" s="122" t="n">
        <v>8</v>
      </c>
      <c r="AL1800" s="122" t="n">
        <v>0</v>
      </c>
      <c r="AM1800" s="124">
        <f>IFERROR(AL1800/AA1800,"")</f>
        <v/>
      </c>
      <c r="AN1800" s="125">
        <f>IFERROR(R1800/AL1800,"")</f>
        <v/>
      </c>
      <c r="AO1800" s="122" t="n">
        <v>0</v>
      </c>
      <c r="AP1800" s="54">
        <f>IFERROR(AO1800/AL1800,"")</f>
        <v/>
      </c>
      <c r="AQ1800" s="125">
        <f>IFERROR(R1800/AO1800,"")</f>
        <v/>
      </c>
      <c r="AR1800" s="122" t="n">
        <v>0</v>
      </c>
      <c r="AS1800" s="122" t="n">
        <v>0</v>
      </c>
      <c r="AT1800" s="122">
        <f>AL1800+AR1800</f>
        <v/>
      </c>
      <c r="AU1800" s="125">
        <f>IFERROR(AO1800*Assumptions!$C$26*Assumptions!$C$27*INDEX(Assumptions!$C$18:$C$21,MATCH(H1800,Assumptions!$B$18:$B$21,0)),0)</f>
        <v/>
      </c>
    </row>
    <row r="1801">
      <c r="A1801" s="120" t="n">
        <v>46237</v>
      </c>
      <c r="B1801" s="66" t="inlineStr">
        <is>
          <t>Wk 32</t>
        </is>
      </c>
      <c r="C1801" s="66" t="inlineStr">
        <is>
          <t>Mon</t>
        </is>
      </c>
      <c r="D1801" s="66" t="inlineStr">
        <is>
          <t>Programmatic</t>
        </is>
      </c>
      <c r="E1801" s="66" t="inlineStr">
        <is>
          <t>DV360</t>
        </is>
      </c>
      <c r="F1801" s="66" t="inlineStr">
        <is>
          <t>LEP_ZA_AUG26_PROG_TD_PROSPECT_DISPLAY</t>
        </is>
      </c>
      <c r="G1801" s="66" t="inlineStr">
        <is>
          <t>Display Prospecting</t>
        </is>
      </c>
      <c r="H1801" s="66" t="inlineStr">
        <is>
          <t>Range</t>
        </is>
      </c>
      <c r="I1801" s="66" t="inlineStr">
        <is>
          <t>Range Offer</t>
        </is>
      </c>
      <c r="J1801" s="66" t="inlineStr">
        <is>
          <t>PROG_CONTEXTUAL_AUTO_NEWS</t>
        </is>
      </c>
      <c r="K1801" s="66" t="inlineStr">
        <is>
          <t>Contextual</t>
        </is>
      </c>
      <c r="L1801" s="66" t="inlineStr">
        <is>
          <t>PROG_HTML5_320x50_Range_v1</t>
        </is>
      </c>
      <c r="M1801" s="66" t="inlineStr">
        <is>
          <t>HTML5 Display 320x50</t>
        </is>
      </c>
      <c r="N1801" s="66" t="inlineStr">
        <is>
          <t>From R3 599pm</t>
        </is>
      </c>
      <c r="O1801" s="66" t="inlineStr">
        <is>
          <t>Programmatic Guaranteed / OA</t>
        </is>
      </c>
      <c r="P1801" s="66" t="inlineStr">
        <is>
          <t>Conversions (CPA)</t>
        </is>
      </c>
      <c r="Q1801" s="66" t="inlineStr">
        <is>
          <t>https://www.lepas-sa.co.za/offers</t>
        </is>
      </c>
      <c r="R1801" s="121" t="n">
        <v>123.37</v>
      </c>
      <c r="S1801" s="122" t="n">
        <v>5589</v>
      </c>
      <c r="T1801" s="122" t="n">
        <v>2592</v>
      </c>
      <c r="U1801" s="123">
        <f>IFERROR(S1801/T1801,"")</f>
        <v/>
      </c>
      <c r="V1801" s="122" t="n">
        <v>17</v>
      </c>
      <c r="W1801" s="122" t="n">
        <v>12</v>
      </c>
      <c r="X1801" s="124">
        <f>IFERROR(W1801/S1801,"")</f>
        <v/>
      </c>
      <c r="Y1801" s="121">
        <f>IFERROR(R1801/W1801,"")</f>
        <v/>
      </c>
      <c r="Z1801" s="121">
        <f>IFERROR(R1801/S1801*1000,"")</f>
        <v/>
      </c>
      <c r="AA1801" s="122" t="n">
        <v>7</v>
      </c>
      <c r="AB1801" s="54">
        <f>IFERROR(AA1801/W1801,"")</f>
        <v/>
      </c>
      <c r="AC1801" s="122" t="n">
        <v>0</v>
      </c>
      <c r="AD1801" s="122" t="n">
        <v>0</v>
      </c>
      <c r="AE1801" s="122" t="n">
        <v>0</v>
      </c>
      <c r="AF1801" s="122" t="n">
        <v>0</v>
      </c>
      <c r="AG1801" s="122" t="n">
        <v>0</v>
      </c>
      <c r="AH1801" s="122" t="n">
        <v>0</v>
      </c>
      <c r="AI1801" s="54">
        <f>IFERROR(AC1801/S1801,"")</f>
        <v/>
      </c>
      <c r="AJ1801" s="54">
        <f>IFERROR(AH1801/S1801,"")</f>
        <v/>
      </c>
      <c r="AK1801" s="122" t="n">
        <v>21</v>
      </c>
      <c r="AL1801" s="122" t="n">
        <v>0</v>
      </c>
      <c r="AM1801" s="124">
        <f>IFERROR(AL1801/AA1801,"")</f>
        <v/>
      </c>
      <c r="AN1801" s="125">
        <f>IFERROR(R1801/AL1801,"")</f>
        <v/>
      </c>
      <c r="AO1801" s="122" t="n">
        <v>0</v>
      </c>
      <c r="AP1801" s="54">
        <f>IFERROR(AO1801/AL1801,"")</f>
        <v/>
      </c>
      <c r="AQ1801" s="125">
        <f>IFERROR(R1801/AO1801,"")</f>
        <v/>
      </c>
      <c r="AR1801" s="122" t="n">
        <v>0</v>
      </c>
      <c r="AS1801" s="122" t="n">
        <v>0</v>
      </c>
      <c r="AT1801" s="122">
        <f>AL1801+AR1801</f>
        <v/>
      </c>
      <c r="AU1801" s="125">
        <f>IFERROR(AO1801*Assumptions!$C$26*Assumptions!$C$27*INDEX(Assumptions!$C$18:$C$21,MATCH(H1801,Assumptions!$B$18:$B$21,0)),0)</f>
        <v/>
      </c>
    </row>
    <row r="1802">
      <c r="A1802" s="120" t="n">
        <v>46238</v>
      </c>
      <c r="B1802" s="66" t="inlineStr">
        <is>
          <t>Wk 32</t>
        </is>
      </c>
      <c r="C1802" s="66" t="inlineStr">
        <is>
          <t>Tue</t>
        </is>
      </c>
      <c r="D1802" s="66" t="inlineStr">
        <is>
          <t>Programmatic</t>
        </is>
      </c>
      <c r="E1802" s="66" t="inlineStr">
        <is>
          <t>DV360</t>
        </is>
      </c>
      <c r="F1802" s="66" t="inlineStr">
        <is>
          <t>LEP_ZA_AUG26_PROG_TD_PROSPECT_DISPLAY</t>
        </is>
      </c>
      <c r="G1802" s="66" t="inlineStr">
        <is>
          <t>Display Prospecting</t>
        </is>
      </c>
      <c r="H1802" s="66" t="inlineStr">
        <is>
          <t>Range</t>
        </is>
      </c>
      <c r="I1802" s="66" t="inlineStr">
        <is>
          <t>Range Offer</t>
        </is>
      </c>
      <c r="J1802" s="66" t="inlineStr">
        <is>
          <t>PROG_CONTEXTUAL_AUTO_NEWS</t>
        </is>
      </c>
      <c r="K1802" s="66" t="inlineStr">
        <is>
          <t>Contextual</t>
        </is>
      </c>
      <c r="L1802" s="66" t="inlineStr">
        <is>
          <t>PROG_HTML5_320x50_Range_v1</t>
        </is>
      </c>
      <c r="M1802" s="66" t="inlineStr">
        <is>
          <t>HTML5 Display 320x50</t>
        </is>
      </c>
      <c r="N1802" s="66" t="inlineStr">
        <is>
          <t>From R3 599pm</t>
        </is>
      </c>
      <c r="O1802" s="66" t="inlineStr">
        <is>
          <t>Programmatic Guaranteed / OA</t>
        </is>
      </c>
      <c r="P1802" s="66" t="inlineStr">
        <is>
          <t>Conversions (CPA)</t>
        </is>
      </c>
      <c r="Q1802" s="66" t="inlineStr">
        <is>
          <t>https://www.lepas-sa.co.za/offers</t>
        </is>
      </c>
      <c r="R1802" s="121" t="n">
        <v>122.9</v>
      </c>
      <c r="S1802" s="122" t="n">
        <v>7072</v>
      </c>
      <c r="T1802" s="122" t="n">
        <v>3487</v>
      </c>
      <c r="U1802" s="123">
        <f>IFERROR(S1802/T1802,"")</f>
        <v/>
      </c>
      <c r="V1802" s="122" t="n">
        <v>14</v>
      </c>
      <c r="W1802" s="122" t="n">
        <v>11</v>
      </c>
      <c r="X1802" s="124">
        <f>IFERROR(W1802/S1802,"")</f>
        <v/>
      </c>
      <c r="Y1802" s="121">
        <f>IFERROR(R1802/W1802,"")</f>
        <v/>
      </c>
      <c r="Z1802" s="121">
        <f>IFERROR(R1802/S1802*1000,"")</f>
        <v/>
      </c>
      <c r="AA1802" s="122" t="n">
        <v>6</v>
      </c>
      <c r="AB1802" s="54">
        <f>IFERROR(AA1802/W1802,"")</f>
        <v/>
      </c>
      <c r="AC1802" s="122" t="n">
        <v>0</v>
      </c>
      <c r="AD1802" s="122" t="n">
        <v>0</v>
      </c>
      <c r="AE1802" s="122" t="n">
        <v>0</v>
      </c>
      <c r="AF1802" s="122" t="n">
        <v>0</v>
      </c>
      <c r="AG1802" s="122" t="n">
        <v>0</v>
      </c>
      <c r="AH1802" s="122" t="n">
        <v>0</v>
      </c>
      <c r="AI1802" s="54">
        <f>IFERROR(AC1802/S1802,"")</f>
        <v/>
      </c>
      <c r="AJ1802" s="54">
        <f>IFERROR(AH1802/S1802,"")</f>
        <v/>
      </c>
      <c r="AK1802" s="122" t="n">
        <v>8</v>
      </c>
      <c r="AL1802" s="122" t="n">
        <v>0</v>
      </c>
      <c r="AM1802" s="124">
        <f>IFERROR(AL1802/AA1802,"")</f>
        <v/>
      </c>
      <c r="AN1802" s="125">
        <f>IFERROR(R1802/AL1802,"")</f>
        <v/>
      </c>
      <c r="AO1802" s="122" t="n">
        <v>0</v>
      </c>
      <c r="AP1802" s="54">
        <f>IFERROR(AO1802/AL1802,"")</f>
        <v/>
      </c>
      <c r="AQ1802" s="125">
        <f>IFERROR(R1802/AO1802,"")</f>
        <v/>
      </c>
      <c r="AR1802" s="122" t="n">
        <v>0</v>
      </c>
      <c r="AS1802" s="122" t="n">
        <v>0</v>
      </c>
      <c r="AT1802" s="122">
        <f>AL1802+AR1802</f>
        <v/>
      </c>
      <c r="AU1802" s="125">
        <f>IFERROR(AO1802*Assumptions!$C$26*Assumptions!$C$27*INDEX(Assumptions!$C$18:$C$21,MATCH(H1802,Assumptions!$B$18:$B$21,0)),0)</f>
        <v/>
      </c>
    </row>
    <row r="1803">
      <c r="A1803" s="120" t="n">
        <v>46239</v>
      </c>
      <c r="B1803" s="66" t="inlineStr">
        <is>
          <t>Wk 32</t>
        </is>
      </c>
      <c r="C1803" s="66" t="inlineStr">
        <is>
          <t>Wed</t>
        </is>
      </c>
      <c r="D1803" s="66" t="inlineStr">
        <is>
          <t>Programmatic</t>
        </is>
      </c>
      <c r="E1803" s="66" t="inlineStr">
        <is>
          <t>DV360</t>
        </is>
      </c>
      <c r="F1803" s="66" t="inlineStr">
        <is>
          <t>LEP_ZA_AUG26_PROG_TD_PROSPECT_DISPLAY</t>
        </is>
      </c>
      <c r="G1803" s="66" t="inlineStr">
        <is>
          <t>Display Prospecting</t>
        </is>
      </c>
      <c r="H1803" s="66" t="inlineStr">
        <is>
          <t>Range</t>
        </is>
      </c>
      <c r="I1803" s="66" t="inlineStr">
        <is>
          <t>Range Offer</t>
        </is>
      </c>
      <c r="J1803" s="66" t="inlineStr">
        <is>
          <t>PROG_CONTEXTUAL_AUTO_NEWS</t>
        </is>
      </c>
      <c r="K1803" s="66" t="inlineStr">
        <is>
          <t>Contextual</t>
        </is>
      </c>
      <c r="L1803" s="66" t="inlineStr">
        <is>
          <t>PROG_HTML5_320x50_Range_v1</t>
        </is>
      </c>
      <c r="M1803" s="66" t="inlineStr">
        <is>
          <t>HTML5 Display 320x50</t>
        </is>
      </c>
      <c r="N1803" s="66" t="inlineStr">
        <is>
          <t>From R3 599pm</t>
        </is>
      </c>
      <c r="O1803" s="66" t="inlineStr">
        <is>
          <t>Programmatic Guaranteed / OA</t>
        </is>
      </c>
      <c r="P1803" s="66" t="inlineStr">
        <is>
          <t>Conversions (CPA)</t>
        </is>
      </c>
      <c r="Q1803" s="66" t="inlineStr">
        <is>
          <t>https://www.lepas-sa.co.za/offers</t>
        </is>
      </c>
      <c r="R1803" s="121" t="n">
        <v>153.6</v>
      </c>
      <c r="S1803" s="122" t="n">
        <v>7421</v>
      </c>
      <c r="T1803" s="122" t="n">
        <v>3717</v>
      </c>
      <c r="U1803" s="123">
        <f>IFERROR(S1803/T1803,"")</f>
        <v/>
      </c>
      <c r="V1803" s="122" t="n">
        <v>20</v>
      </c>
      <c r="W1803" s="122" t="n">
        <v>15</v>
      </c>
      <c r="X1803" s="124">
        <f>IFERROR(W1803/S1803,"")</f>
        <v/>
      </c>
      <c r="Y1803" s="121">
        <f>IFERROR(R1803/W1803,"")</f>
        <v/>
      </c>
      <c r="Z1803" s="121">
        <f>IFERROR(R1803/S1803*1000,"")</f>
        <v/>
      </c>
      <c r="AA1803" s="122" t="n">
        <v>10</v>
      </c>
      <c r="AB1803" s="54">
        <f>IFERROR(AA1803/W1803,"")</f>
        <v/>
      </c>
      <c r="AC1803" s="122" t="n">
        <v>0</v>
      </c>
      <c r="AD1803" s="122" t="n">
        <v>0</v>
      </c>
      <c r="AE1803" s="122" t="n">
        <v>0</v>
      </c>
      <c r="AF1803" s="122" t="n">
        <v>0</v>
      </c>
      <c r="AG1803" s="122" t="n">
        <v>0</v>
      </c>
      <c r="AH1803" s="122" t="n">
        <v>0</v>
      </c>
      <c r="AI1803" s="54">
        <f>IFERROR(AC1803/S1803,"")</f>
        <v/>
      </c>
      <c r="AJ1803" s="54">
        <f>IFERROR(AH1803/S1803,"")</f>
        <v/>
      </c>
      <c r="AK1803" s="122" t="n">
        <v>27</v>
      </c>
      <c r="AL1803" s="122" t="n">
        <v>0</v>
      </c>
      <c r="AM1803" s="124">
        <f>IFERROR(AL1803/AA1803,"")</f>
        <v/>
      </c>
      <c r="AN1803" s="125">
        <f>IFERROR(R1803/AL1803,"")</f>
        <v/>
      </c>
      <c r="AO1803" s="122" t="n">
        <v>0</v>
      </c>
      <c r="AP1803" s="54">
        <f>IFERROR(AO1803/AL1803,"")</f>
        <v/>
      </c>
      <c r="AQ1803" s="125">
        <f>IFERROR(R1803/AO1803,"")</f>
        <v/>
      </c>
      <c r="AR1803" s="122" t="n">
        <v>0</v>
      </c>
      <c r="AS1803" s="122" t="n">
        <v>0</v>
      </c>
      <c r="AT1803" s="122">
        <f>AL1803+AR1803</f>
        <v/>
      </c>
      <c r="AU1803" s="125">
        <f>IFERROR(AO1803*Assumptions!$C$26*Assumptions!$C$27*INDEX(Assumptions!$C$18:$C$21,MATCH(H1803,Assumptions!$B$18:$B$21,0)),0)</f>
        <v/>
      </c>
    </row>
    <row r="1804">
      <c r="A1804" s="120" t="n">
        <v>46240</v>
      </c>
      <c r="B1804" s="66" t="inlineStr">
        <is>
          <t>Wk 32</t>
        </is>
      </c>
      <c r="C1804" s="66" t="inlineStr">
        <is>
          <t>Thu</t>
        </is>
      </c>
      <c r="D1804" s="66" t="inlineStr">
        <is>
          <t>Programmatic</t>
        </is>
      </c>
      <c r="E1804" s="66" t="inlineStr">
        <is>
          <t>DV360</t>
        </is>
      </c>
      <c r="F1804" s="66" t="inlineStr">
        <is>
          <t>LEP_ZA_AUG26_PROG_TD_PROSPECT_DISPLAY</t>
        </is>
      </c>
      <c r="G1804" s="66" t="inlineStr">
        <is>
          <t>Display Prospecting</t>
        </is>
      </c>
      <c r="H1804" s="66" t="inlineStr">
        <is>
          <t>Range</t>
        </is>
      </c>
      <c r="I1804" s="66" t="inlineStr">
        <is>
          <t>Range Offer</t>
        </is>
      </c>
      <c r="J1804" s="66" t="inlineStr">
        <is>
          <t>PROG_CONTEXTUAL_AUTO_NEWS</t>
        </is>
      </c>
      <c r="K1804" s="66" t="inlineStr">
        <is>
          <t>Contextual</t>
        </is>
      </c>
      <c r="L1804" s="66" t="inlineStr">
        <is>
          <t>PROG_HTML5_320x50_Range_v1</t>
        </is>
      </c>
      <c r="M1804" s="66" t="inlineStr">
        <is>
          <t>HTML5 Display 320x50</t>
        </is>
      </c>
      <c r="N1804" s="66" t="inlineStr">
        <is>
          <t>From R3 599pm</t>
        </is>
      </c>
      <c r="O1804" s="66" t="inlineStr">
        <is>
          <t>Programmatic Guaranteed / OA</t>
        </is>
      </c>
      <c r="P1804" s="66" t="inlineStr">
        <is>
          <t>Conversions (CPA)</t>
        </is>
      </c>
      <c r="Q1804" s="66" t="inlineStr">
        <is>
          <t>https://www.lepas-sa.co.za/offers</t>
        </is>
      </c>
      <c r="R1804" s="121" t="n">
        <v>143.54</v>
      </c>
      <c r="S1804" s="122" t="n">
        <v>6456</v>
      </c>
      <c r="T1804" s="122" t="n">
        <v>4801</v>
      </c>
      <c r="U1804" s="123">
        <f>IFERROR(S1804/T1804,"")</f>
        <v/>
      </c>
      <c r="V1804" s="122" t="n">
        <v>10</v>
      </c>
      <c r="W1804" s="122" t="n">
        <v>9</v>
      </c>
      <c r="X1804" s="124">
        <f>IFERROR(W1804/S1804,"")</f>
        <v/>
      </c>
      <c r="Y1804" s="121">
        <f>IFERROR(R1804/W1804,"")</f>
        <v/>
      </c>
      <c r="Z1804" s="121">
        <f>IFERROR(R1804/S1804*1000,"")</f>
        <v/>
      </c>
      <c r="AA1804" s="122" t="n">
        <v>5</v>
      </c>
      <c r="AB1804" s="54">
        <f>IFERROR(AA1804/W1804,"")</f>
        <v/>
      </c>
      <c r="AC1804" s="122" t="n">
        <v>0</v>
      </c>
      <c r="AD1804" s="122" t="n">
        <v>0</v>
      </c>
      <c r="AE1804" s="122" t="n">
        <v>0</v>
      </c>
      <c r="AF1804" s="122" t="n">
        <v>0</v>
      </c>
      <c r="AG1804" s="122" t="n">
        <v>0</v>
      </c>
      <c r="AH1804" s="122" t="n">
        <v>0</v>
      </c>
      <c r="AI1804" s="54">
        <f>IFERROR(AC1804/S1804,"")</f>
        <v/>
      </c>
      <c r="AJ1804" s="54">
        <f>IFERROR(AH1804/S1804,"")</f>
        <v/>
      </c>
      <c r="AK1804" s="122" t="n">
        <v>8</v>
      </c>
      <c r="AL1804" s="122" t="n">
        <v>0</v>
      </c>
      <c r="AM1804" s="124">
        <f>IFERROR(AL1804/AA1804,"")</f>
        <v/>
      </c>
      <c r="AN1804" s="125">
        <f>IFERROR(R1804/AL1804,"")</f>
        <v/>
      </c>
      <c r="AO1804" s="122" t="n">
        <v>0</v>
      </c>
      <c r="AP1804" s="54">
        <f>IFERROR(AO1804/AL1804,"")</f>
        <v/>
      </c>
      <c r="AQ1804" s="125">
        <f>IFERROR(R1804/AO1804,"")</f>
        <v/>
      </c>
      <c r="AR1804" s="122" t="n">
        <v>0</v>
      </c>
      <c r="AS1804" s="122" t="n">
        <v>0</v>
      </c>
      <c r="AT1804" s="122">
        <f>AL1804+AR1804</f>
        <v/>
      </c>
      <c r="AU1804" s="125">
        <f>IFERROR(AO1804*Assumptions!$C$26*Assumptions!$C$27*INDEX(Assumptions!$C$18:$C$21,MATCH(H1804,Assumptions!$B$18:$B$21,0)),0)</f>
        <v/>
      </c>
    </row>
    <row r="1805">
      <c r="A1805" s="120" t="n">
        <v>46241</v>
      </c>
      <c r="B1805" s="66" t="inlineStr">
        <is>
          <t>Wk 32</t>
        </is>
      </c>
      <c r="C1805" s="66" t="inlineStr">
        <is>
          <t>Fri</t>
        </is>
      </c>
      <c r="D1805" s="66" t="inlineStr">
        <is>
          <t>Programmatic</t>
        </is>
      </c>
      <c r="E1805" s="66" t="inlineStr">
        <is>
          <t>DV360</t>
        </is>
      </c>
      <c r="F1805" s="66" t="inlineStr">
        <is>
          <t>LEP_ZA_AUG26_PROG_TD_PROSPECT_DISPLAY</t>
        </is>
      </c>
      <c r="G1805" s="66" t="inlineStr">
        <is>
          <t>Display Prospecting</t>
        </is>
      </c>
      <c r="H1805" s="66" t="inlineStr">
        <is>
          <t>Range</t>
        </is>
      </c>
      <c r="I1805" s="66" t="inlineStr">
        <is>
          <t>Range Offer</t>
        </is>
      </c>
      <c r="J1805" s="66" t="inlineStr">
        <is>
          <t>PROG_CONTEXTUAL_AUTO_NEWS</t>
        </is>
      </c>
      <c r="K1805" s="66" t="inlineStr">
        <is>
          <t>Contextual</t>
        </is>
      </c>
      <c r="L1805" s="66" t="inlineStr">
        <is>
          <t>PROG_HTML5_320x50_Range_v1</t>
        </is>
      </c>
      <c r="M1805" s="66" t="inlineStr">
        <is>
          <t>HTML5 Display 320x50</t>
        </is>
      </c>
      <c r="N1805" s="66" t="inlineStr">
        <is>
          <t>From R3 599pm</t>
        </is>
      </c>
      <c r="O1805" s="66" t="inlineStr">
        <is>
          <t>Programmatic Guaranteed / OA</t>
        </is>
      </c>
      <c r="P1805" s="66" t="inlineStr">
        <is>
          <t>Conversions (CPA)</t>
        </is>
      </c>
      <c r="Q1805" s="66" t="inlineStr">
        <is>
          <t>https://www.lepas-sa.co.za/offers</t>
        </is>
      </c>
      <c r="R1805" s="121" t="n">
        <v>174.42</v>
      </c>
      <c r="S1805" s="122" t="n">
        <v>5173</v>
      </c>
      <c r="T1805" s="122" t="n">
        <v>3525</v>
      </c>
      <c r="U1805" s="123">
        <f>IFERROR(S1805/T1805,"")</f>
        <v/>
      </c>
      <c r="V1805" s="122" t="n">
        <v>18</v>
      </c>
      <c r="W1805" s="122" t="n">
        <v>15</v>
      </c>
      <c r="X1805" s="124">
        <f>IFERROR(W1805/S1805,"")</f>
        <v/>
      </c>
      <c r="Y1805" s="121">
        <f>IFERROR(R1805/W1805,"")</f>
        <v/>
      </c>
      <c r="Z1805" s="121">
        <f>IFERROR(R1805/S1805*1000,"")</f>
        <v/>
      </c>
      <c r="AA1805" s="122" t="n">
        <v>11</v>
      </c>
      <c r="AB1805" s="54">
        <f>IFERROR(AA1805/W1805,"")</f>
        <v/>
      </c>
      <c r="AC1805" s="122" t="n">
        <v>0</v>
      </c>
      <c r="AD1805" s="122" t="n">
        <v>0</v>
      </c>
      <c r="AE1805" s="122" t="n">
        <v>0</v>
      </c>
      <c r="AF1805" s="122" t="n">
        <v>0</v>
      </c>
      <c r="AG1805" s="122" t="n">
        <v>0</v>
      </c>
      <c r="AH1805" s="122" t="n">
        <v>0</v>
      </c>
      <c r="AI1805" s="54">
        <f>IFERROR(AC1805/S1805,"")</f>
        <v/>
      </c>
      <c r="AJ1805" s="54">
        <f>IFERROR(AH1805/S1805,"")</f>
        <v/>
      </c>
      <c r="AK1805" s="122" t="n">
        <v>17</v>
      </c>
      <c r="AL1805" s="122" t="n">
        <v>0</v>
      </c>
      <c r="AM1805" s="124">
        <f>IFERROR(AL1805/AA1805,"")</f>
        <v/>
      </c>
      <c r="AN1805" s="125">
        <f>IFERROR(R1805/AL1805,"")</f>
        <v/>
      </c>
      <c r="AO1805" s="122" t="n">
        <v>0</v>
      </c>
      <c r="AP1805" s="54">
        <f>IFERROR(AO1805/AL1805,"")</f>
        <v/>
      </c>
      <c r="AQ1805" s="125">
        <f>IFERROR(R1805/AO1805,"")</f>
        <v/>
      </c>
      <c r="AR1805" s="122" t="n">
        <v>0</v>
      </c>
      <c r="AS1805" s="122" t="n">
        <v>0</v>
      </c>
      <c r="AT1805" s="122">
        <f>AL1805+AR1805</f>
        <v/>
      </c>
      <c r="AU1805" s="125">
        <f>IFERROR(AO1805*Assumptions!$C$26*Assumptions!$C$27*INDEX(Assumptions!$C$18:$C$21,MATCH(H1805,Assumptions!$B$18:$B$21,0)),0)</f>
        <v/>
      </c>
    </row>
    <row r="1806">
      <c r="A1806" s="120" t="n">
        <v>46242</v>
      </c>
      <c r="B1806" s="66" t="inlineStr">
        <is>
          <t>Wk 32</t>
        </is>
      </c>
      <c r="C1806" s="66" t="inlineStr">
        <is>
          <t>Sat</t>
        </is>
      </c>
      <c r="D1806" s="66" t="inlineStr">
        <is>
          <t>Programmatic</t>
        </is>
      </c>
      <c r="E1806" s="66" t="inlineStr">
        <is>
          <t>DV360</t>
        </is>
      </c>
      <c r="F1806" s="66" t="inlineStr">
        <is>
          <t>LEP_ZA_AUG26_PROG_TD_PROSPECT_DISPLAY</t>
        </is>
      </c>
      <c r="G1806" s="66" t="inlineStr">
        <is>
          <t>Display Prospecting</t>
        </is>
      </c>
      <c r="H1806" s="66" t="inlineStr">
        <is>
          <t>Range</t>
        </is>
      </c>
      <c r="I1806" s="66" t="inlineStr">
        <is>
          <t>Range Offer</t>
        </is>
      </c>
      <c r="J1806" s="66" t="inlineStr">
        <is>
          <t>PROG_CONTEXTUAL_AUTO_NEWS</t>
        </is>
      </c>
      <c r="K1806" s="66" t="inlineStr">
        <is>
          <t>Contextual</t>
        </is>
      </c>
      <c r="L1806" s="66" t="inlineStr">
        <is>
          <t>PROG_HTML5_320x50_Range_v1</t>
        </is>
      </c>
      <c r="M1806" s="66" t="inlineStr">
        <is>
          <t>HTML5 Display 320x50</t>
        </is>
      </c>
      <c r="N1806" s="66" t="inlineStr">
        <is>
          <t>From R3 599pm</t>
        </is>
      </c>
      <c r="O1806" s="66" t="inlineStr">
        <is>
          <t>Programmatic Guaranteed / OA</t>
        </is>
      </c>
      <c r="P1806" s="66" t="inlineStr">
        <is>
          <t>Conversions (CPA)</t>
        </is>
      </c>
      <c r="Q1806" s="66" t="inlineStr">
        <is>
          <t>https://www.lepas-sa.co.za/offers</t>
        </is>
      </c>
      <c r="R1806" s="121" t="n">
        <v>143.58</v>
      </c>
      <c r="S1806" s="122" t="n">
        <v>8287</v>
      </c>
      <c r="T1806" s="122" t="n">
        <v>4408</v>
      </c>
      <c r="U1806" s="123">
        <f>IFERROR(S1806/T1806,"")</f>
        <v/>
      </c>
      <c r="V1806" s="122" t="n">
        <v>8</v>
      </c>
      <c r="W1806" s="122" t="n">
        <v>6</v>
      </c>
      <c r="X1806" s="124">
        <f>IFERROR(W1806/S1806,"")</f>
        <v/>
      </c>
      <c r="Y1806" s="121">
        <f>IFERROR(R1806/W1806,"")</f>
        <v/>
      </c>
      <c r="Z1806" s="121">
        <f>IFERROR(R1806/S1806*1000,"")</f>
        <v/>
      </c>
      <c r="AA1806" s="122" t="n">
        <v>3</v>
      </c>
      <c r="AB1806" s="54">
        <f>IFERROR(AA1806/W1806,"")</f>
        <v/>
      </c>
      <c r="AC1806" s="122" t="n">
        <v>0</v>
      </c>
      <c r="AD1806" s="122" t="n">
        <v>0</v>
      </c>
      <c r="AE1806" s="122" t="n">
        <v>0</v>
      </c>
      <c r="AF1806" s="122" t="n">
        <v>0</v>
      </c>
      <c r="AG1806" s="122" t="n">
        <v>0</v>
      </c>
      <c r="AH1806" s="122" t="n">
        <v>0</v>
      </c>
      <c r="AI1806" s="54">
        <f>IFERROR(AC1806/S1806,"")</f>
        <v/>
      </c>
      <c r="AJ1806" s="54">
        <f>IFERROR(AH1806/S1806,"")</f>
        <v/>
      </c>
      <c r="AK1806" s="122" t="n">
        <v>42</v>
      </c>
      <c r="AL1806" s="122" t="n">
        <v>0</v>
      </c>
      <c r="AM1806" s="124">
        <f>IFERROR(AL1806/AA1806,"")</f>
        <v/>
      </c>
      <c r="AN1806" s="125">
        <f>IFERROR(R1806/AL1806,"")</f>
        <v/>
      </c>
      <c r="AO1806" s="122" t="n">
        <v>0</v>
      </c>
      <c r="AP1806" s="54">
        <f>IFERROR(AO1806/AL1806,"")</f>
        <v/>
      </c>
      <c r="AQ1806" s="125">
        <f>IFERROR(R1806/AO1806,"")</f>
        <v/>
      </c>
      <c r="AR1806" s="122" t="n">
        <v>0</v>
      </c>
      <c r="AS1806" s="122" t="n">
        <v>0</v>
      </c>
      <c r="AT1806" s="122">
        <f>AL1806+AR1806</f>
        <v/>
      </c>
      <c r="AU1806" s="125">
        <f>IFERROR(AO1806*Assumptions!$C$26*Assumptions!$C$27*INDEX(Assumptions!$C$18:$C$21,MATCH(H1806,Assumptions!$B$18:$B$21,0)),0)</f>
        <v/>
      </c>
    </row>
    <row r="1807">
      <c r="A1807" s="120" t="n">
        <v>46243</v>
      </c>
      <c r="B1807" s="66" t="inlineStr">
        <is>
          <t>Wk 32</t>
        </is>
      </c>
      <c r="C1807" s="66" t="inlineStr">
        <is>
          <t>Sun</t>
        </is>
      </c>
      <c r="D1807" s="66" t="inlineStr">
        <is>
          <t>Programmatic</t>
        </is>
      </c>
      <c r="E1807" s="66" t="inlineStr">
        <is>
          <t>DV360</t>
        </is>
      </c>
      <c r="F1807" s="66" t="inlineStr">
        <is>
          <t>LEP_ZA_AUG26_PROG_TD_PROSPECT_DISPLAY</t>
        </is>
      </c>
      <c r="G1807" s="66" t="inlineStr">
        <is>
          <t>Display Prospecting</t>
        </is>
      </c>
      <c r="H1807" s="66" t="inlineStr">
        <is>
          <t>Range</t>
        </is>
      </c>
      <c r="I1807" s="66" t="inlineStr">
        <is>
          <t>Range Offer</t>
        </is>
      </c>
      <c r="J1807" s="66" t="inlineStr">
        <is>
          <t>PROG_CONTEXTUAL_AUTO_NEWS</t>
        </is>
      </c>
      <c r="K1807" s="66" t="inlineStr">
        <is>
          <t>Contextual</t>
        </is>
      </c>
      <c r="L1807" s="66" t="inlineStr">
        <is>
          <t>PROG_HTML5_320x50_Range_v1</t>
        </is>
      </c>
      <c r="M1807" s="66" t="inlineStr">
        <is>
          <t>HTML5 Display 320x50</t>
        </is>
      </c>
      <c r="N1807" s="66" t="inlineStr">
        <is>
          <t>From R3 599pm</t>
        </is>
      </c>
      <c r="O1807" s="66" t="inlineStr">
        <is>
          <t>Programmatic Guaranteed / OA</t>
        </is>
      </c>
      <c r="P1807" s="66" t="inlineStr">
        <is>
          <t>Conversions (CPA)</t>
        </is>
      </c>
      <c r="Q1807" s="66" t="inlineStr">
        <is>
          <t>https://www.lepas-sa.co.za/offers</t>
        </is>
      </c>
      <c r="R1807" s="121" t="n">
        <v>120.56</v>
      </c>
      <c r="S1807" s="122" t="n">
        <v>5069</v>
      </c>
      <c r="T1807" s="122" t="n">
        <v>3105</v>
      </c>
      <c r="U1807" s="123">
        <f>IFERROR(S1807/T1807,"")</f>
        <v/>
      </c>
      <c r="V1807" s="122" t="n">
        <v>17</v>
      </c>
      <c r="W1807" s="122" t="n">
        <v>12</v>
      </c>
      <c r="X1807" s="124">
        <f>IFERROR(W1807/S1807,"")</f>
        <v/>
      </c>
      <c r="Y1807" s="121">
        <f>IFERROR(R1807/W1807,"")</f>
        <v/>
      </c>
      <c r="Z1807" s="121">
        <f>IFERROR(R1807/S1807*1000,"")</f>
        <v/>
      </c>
      <c r="AA1807" s="122" t="n">
        <v>8</v>
      </c>
      <c r="AB1807" s="54">
        <f>IFERROR(AA1807/W1807,"")</f>
        <v/>
      </c>
      <c r="AC1807" s="122" t="n">
        <v>0</v>
      </c>
      <c r="AD1807" s="122" t="n">
        <v>0</v>
      </c>
      <c r="AE1807" s="122" t="n">
        <v>0</v>
      </c>
      <c r="AF1807" s="122" t="n">
        <v>0</v>
      </c>
      <c r="AG1807" s="122" t="n">
        <v>0</v>
      </c>
      <c r="AH1807" s="122" t="n">
        <v>0</v>
      </c>
      <c r="AI1807" s="54">
        <f>IFERROR(AC1807/S1807,"")</f>
        <v/>
      </c>
      <c r="AJ1807" s="54">
        <f>IFERROR(AH1807/S1807,"")</f>
        <v/>
      </c>
      <c r="AK1807" s="122" t="n">
        <v>21</v>
      </c>
      <c r="AL1807" s="122" t="n">
        <v>0</v>
      </c>
      <c r="AM1807" s="124">
        <f>IFERROR(AL1807/AA1807,"")</f>
        <v/>
      </c>
      <c r="AN1807" s="125">
        <f>IFERROR(R1807/AL1807,"")</f>
        <v/>
      </c>
      <c r="AO1807" s="122" t="n">
        <v>0</v>
      </c>
      <c r="AP1807" s="54">
        <f>IFERROR(AO1807/AL1807,"")</f>
        <v/>
      </c>
      <c r="AQ1807" s="125">
        <f>IFERROR(R1807/AO1807,"")</f>
        <v/>
      </c>
      <c r="AR1807" s="122" t="n">
        <v>0</v>
      </c>
      <c r="AS1807" s="122" t="n">
        <v>0</v>
      </c>
      <c r="AT1807" s="122">
        <f>AL1807+AR1807</f>
        <v/>
      </c>
      <c r="AU1807" s="125">
        <f>IFERROR(AO1807*Assumptions!$C$26*Assumptions!$C$27*INDEX(Assumptions!$C$18:$C$21,MATCH(H1807,Assumptions!$B$18:$B$21,0)),0)</f>
        <v/>
      </c>
    </row>
    <row r="1808">
      <c r="A1808" s="120" t="n">
        <v>46244</v>
      </c>
      <c r="B1808" s="66" t="inlineStr">
        <is>
          <t>Wk 33</t>
        </is>
      </c>
      <c r="C1808" s="66" t="inlineStr">
        <is>
          <t>Mon</t>
        </is>
      </c>
      <c r="D1808" s="66" t="inlineStr">
        <is>
          <t>Programmatic</t>
        </is>
      </c>
      <c r="E1808" s="66" t="inlineStr">
        <is>
          <t>DV360</t>
        </is>
      </c>
      <c r="F1808" s="66" t="inlineStr">
        <is>
          <t>LEP_ZA_AUG26_PROG_TD_PROSPECT_DISPLAY</t>
        </is>
      </c>
      <c r="G1808" s="66" t="inlineStr">
        <is>
          <t>Display Prospecting</t>
        </is>
      </c>
      <c r="H1808" s="66" t="inlineStr">
        <is>
          <t>Range</t>
        </is>
      </c>
      <c r="I1808" s="66" t="inlineStr">
        <is>
          <t>Range Offer</t>
        </is>
      </c>
      <c r="J1808" s="66" t="inlineStr">
        <is>
          <t>PROG_CONTEXTUAL_AUTO_NEWS</t>
        </is>
      </c>
      <c r="K1808" s="66" t="inlineStr">
        <is>
          <t>Contextual</t>
        </is>
      </c>
      <c r="L1808" s="66" t="inlineStr">
        <is>
          <t>PROG_HTML5_320x50_Range_v1</t>
        </is>
      </c>
      <c r="M1808" s="66" t="inlineStr">
        <is>
          <t>HTML5 Display 320x50</t>
        </is>
      </c>
      <c r="N1808" s="66" t="inlineStr">
        <is>
          <t>From R3 599pm</t>
        </is>
      </c>
      <c r="O1808" s="66" t="inlineStr">
        <is>
          <t>Programmatic Guaranteed / OA</t>
        </is>
      </c>
      <c r="P1808" s="66" t="inlineStr">
        <is>
          <t>Conversions (CPA)</t>
        </is>
      </c>
      <c r="Q1808" s="66" t="inlineStr">
        <is>
          <t>https://www.lepas-sa.co.za/offers</t>
        </is>
      </c>
      <c r="R1808" s="121" t="n">
        <v>146.05</v>
      </c>
      <c r="S1808" s="122" t="n">
        <v>9422</v>
      </c>
      <c r="T1808" s="122" t="n">
        <v>4166</v>
      </c>
      <c r="U1808" s="123">
        <f>IFERROR(S1808/T1808,"")</f>
        <v/>
      </c>
      <c r="V1808" s="122" t="n">
        <v>31</v>
      </c>
      <c r="W1808" s="122" t="n">
        <v>22</v>
      </c>
      <c r="X1808" s="124">
        <f>IFERROR(W1808/S1808,"")</f>
        <v/>
      </c>
      <c r="Y1808" s="121">
        <f>IFERROR(R1808/W1808,"")</f>
        <v/>
      </c>
      <c r="Z1808" s="121">
        <f>IFERROR(R1808/S1808*1000,"")</f>
        <v/>
      </c>
      <c r="AA1808" s="122" t="n">
        <v>15</v>
      </c>
      <c r="AB1808" s="54">
        <f>IFERROR(AA1808/W1808,"")</f>
        <v/>
      </c>
      <c r="AC1808" s="122" t="n">
        <v>0</v>
      </c>
      <c r="AD1808" s="122" t="n">
        <v>0</v>
      </c>
      <c r="AE1808" s="122" t="n">
        <v>0</v>
      </c>
      <c r="AF1808" s="122" t="n">
        <v>0</v>
      </c>
      <c r="AG1808" s="122" t="n">
        <v>0</v>
      </c>
      <c r="AH1808" s="122" t="n">
        <v>0</v>
      </c>
      <c r="AI1808" s="54">
        <f>IFERROR(AC1808/S1808,"")</f>
        <v/>
      </c>
      <c r="AJ1808" s="54">
        <f>IFERROR(AH1808/S1808,"")</f>
        <v/>
      </c>
      <c r="AK1808" s="122" t="n">
        <v>53</v>
      </c>
      <c r="AL1808" s="122" t="n">
        <v>0</v>
      </c>
      <c r="AM1808" s="124">
        <f>IFERROR(AL1808/AA1808,"")</f>
        <v/>
      </c>
      <c r="AN1808" s="125">
        <f>IFERROR(R1808/AL1808,"")</f>
        <v/>
      </c>
      <c r="AO1808" s="122" t="n">
        <v>0</v>
      </c>
      <c r="AP1808" s="54">
        <f>IFERROR(AO1808/AL1808,"")</f>
        <v/>
      </c>
      <c r="AQ1808" s="125">
        <f>IFERROR(R1808/AO1808,"")</f>
        <v/>
      </c>
      <c r="AR1808" s="122" t="n">
        <v>0</v>
      </c>
      <c r="AS1808" s="122" t="n">
        <v>0</v>
      </c>
      <c r="AT1808" s="122">
        <f>AL1808+AR1808</f>
        <v/>
      </c>
      <c r="AU1808" s="125">
        <f>IFERROR(AO1808*Assumptions!$C$26*Assumptions!$C$27*INDEX(Assumptions!$C$18:$C$21,MATCH(H1808,Assumptions!$B$18:$B$21,0)),0)</f>
        <v/>
      </c>
    </row>
    <row r="1809">
      <c r="A1809" s="120" t="n">
        <v>46245</v>
      </c>
      <c r="B1809" s="66" t="inlineStr">
        <is>
          <t>Wk 33</t>
        </is>
      </c>
      <c r="C1809" s="66" t="inlineStr">
        <is>
          <t>Tue</t>
        </is>
      </c>
      <c r="D1809" s="66" t="inlineStr">
        <is>
          <t>Programmatic</t>
        </is>
      </c>
      <c r="E1809" s="66" t="inlineStr">
        <is>
          <t>DV360</t>
        </is>
      </c>
      <c r="F1809" s="66" t="inlineStr">
        <is>
          <t>LEP_ZA_AUG26_PROG_TD_PROSPECT_DISPLAY</t>
        </is>
      </c>
      <c r="G1809" s="66" t="inlineStr">
        <is>
          <t>Display Prospecting</t>
        </is>
      </c>
      <c r="H1809" s="66" t="inlineStr">
        <is>
          <t>Range</t>
        </is>
      </c>
      <c r="I1809" s="66" t="inlineStr">
        <is>
          <t>Range Offer</t>
        </is>
      </c>
      <c r="J1809" s="66" t="inlineStr">
        <is>
          <t>PROG_CONTEXTUAL_AUTO_NEWS</t>
        </is>
      </c>
      <c r="K1809" s="66" t="inlineStr">
        <is>
          <t>Contextual</t>
        </is>
      </c>
      <c r="L1809" s="66" t="inlineStr">
        <is>
          <t>PROG_HTML5_320x50_Range_v1</t>
        </is>
      </c>
      <c r="M1809" s="66" t="inlineStr">
        <is>
          <t>HTML5 Display 320x50</t>
        </is>
      </c>
      <c r="N1809" s="66" t="inlineStr">
        <is>
          <t>From R3 599pm</t>
        </is>
      </c>
      <c r="O1809" s="66" t="inlineStr">
        <is>
          <t>Programmatic Guaranteed / OA</t>
        </is>
      </c>
      <c r="P1809" s="66" t="inlineStr">
        <is>
          <t>Conversions (CPA)</t>
        </is>
      </c>
      <c r="Q1809" s="66" t="inlineStr">
        <is>
          <t>https://www.lepas-sa.co.za/offers</t>
        </is>
      </c>
      <c r="R1809" s="121" t="n">
        <v>137.97</v>
      </c>
      <c r="S1809" s="122" t="n">
        <v>4331</v>
      </c>
      <c r="T1809" s="122" t="n">
        <v>2062</v>
      </c>
      <c r="U1809" s="123">
        <f>IFERROR(S1809/T1809,"")</f>
        <v/>
      </c>
      <c r="V1809" s="122" t="n">
        <v>4</v>
      </c>
      <c r="W1809" s="122" t="n">
        <v>3</v>
      </c>
      <c r="X1809" s="124">
        <f>IFERROR(W1809/S1809,"")</f>
        <v/>
      </c>
      <c r="Y1809" s="121">
        <f>IFERROR(R1809/W1809,"")</f>
        <v/>
      </c>
      <c r="Z1809" s="121">
        <f>IFERROR(R1809/S1809*1000,"")</f>
        <v/>
      </c>
      <c r="AA1809" s="122" t="n">
        <v>2</v>
      </c>
      <c r="AB1809" s="54">
        <f>IFERROR(AA1809/W1809,"")</f>
        <v/>
      </c>
      <c r="AC1809" s="122" t="n">
        <v>0</v>
      </c>
      <c r="AD1809" s="122" t="n">
        <v>0</v>
      </c>
      <c r="AE1809" s="122" t="n">
        <v>0</v>
      </c>
      <c r="AF1809" s="122" t="n">
        <v>0</v>
      </c>
      <c r="AG1809" s="122" t="n">
        <v>0</v>
      </c>
      <c r="AH1809" s="122" t="n">
        <v>0</v>
      </c>
      <c r="AI1809" s="54">
        <f>IFERROR(AC1809/S1809,"")</f>
        <v/>
      </c>
      <c r="AJ1809" s="54">
        <f>IFERROR(AH1809/S1809,"")</f>
        <v/>
      </c>
      <c r="AK1809" s="122" t="n">
        <v>10</v>
      </c>
      <c r="AL1809" s="122" t="n">
        <v>0</v>
      </c>
      <c r="AM1809" s="124">
        <f>IFERROR(AL1809/AA1809,"")</f>
        <v/>
      </c>
      <c r="AN1809" s="125">
        <f>IFERROR(R1809/AL1809,"")</f>
        <v/>
      </c>
      <c r="AO1809" s="122" t="n">
        <v>0</v>
      </c>
      <c r="AP1809" s="54">
        <f>IFERROR(AO1809/AL1809,"")</f>
        <v/>
      </c>
      <c r="AQ1809" s="125">
        <f>IFERROR(R1809/AO1809,"")</f>
        <v/>
      </c>
      <c r="AR1809" s="122" t="n">
        <v>0</v>
      </c>
      <c r="AS1809" s="122" t="n">
        <v>0</v>
      </c>
      <c r="AT1809" s="122">
        <f>AL1809+AR1809</f>
        <v/>
      </c>
      <c r="AU1809" s="125">
        <f>IFERROR(AO1809*Assumptions!$C$26*Assumptions!$C$27*INDEX(Assumptions!$C$18:$C$21,MATCH(H1809,Assumptions!$B$18:$B$21,0)),0)</f>
        <v/>
      </c>
    </row>
    <row r="1810">
      <c r="A1810" s="120" t="n">
        <v>46246</v>
      </c>
      <c r="B1810" s="66" t="inlineStr">
        <is>
          <t>Wk 33</t>
        </is>
      </c>
      <c r="C1810" s="66" t="inlineStr">
        <is>
          <t>Wed</t>
        </is>
      </c>
      <c r="D1810" s="66" t="inlineStr">
        <is>
          <t>Programmatic</t>
        </is>
      </c>
      <c r="E1810" s="66" t="inlineStr">
        <is>
          <t>DV360</t>
        </is>
      </c>
      <c r="F1810" s="66" t="inlineStr">
        <is>
          <t>LEP_ZA_AUG26_PROG_TD_PROSPECT_DISPLAY</t>
        </is>
      </c>
      <c r="G1810" s="66" t="inlineStr">
        <is>
          <t>Display Prospecting</t>
        </is>
      </c>
      <c r="H1810" s="66" t="inlineStr">
        <is>
          <t>Range</t>
        </is>
      </c>
      <c r="I1810" s="66" t="inlineStr">
        <is>
          <t>Range Offer</t>
        </is>
      </c>
      <c r="J1810" s="66" t="inlineStr">
        <is>
          <t>PROG_CONTEXTUAL_AUTO_NEWS</t>
        </is>
      </c>
      <c r="K1810" s="66" t="inlineStr">
        <is>
          <t>Contextual</t>
        </is>
      </c>
      <c r="L1810" s="66" t="inlineStr">
        <is>
          <t>PROG_HTML5_320x50_Range_v1</t>
        </is>
      </c>
      <c r="M1810" s="66" t="inlineStr">
        <is>
          <t>HTML5 Display 320x50</t>
        </is>
      </c>
      <c r="N1810" s="66" t="inlineStr">
        <is>
          <t>From R3 599pm</t>
        </is>
      </c>
      <c r="O1810" s="66" t="inlineStr">
        <is>
          <t>Programmatic Guaranteed / OA</t>
        </is>
      </c>
      <c r="P1810" s="66" t="inlineStr">
        <is>
          <t>Conversions (CPA)</t>
        </is>
      </c>
      <c r="Q1810" s="66" t="inlineStr">
        <is>
          <t>https://www.lepas-sa.co.za/offers</t>
        </is>
      </c>
      <c r="R1810" s="121" t="n">
        <v>125.68</v>
      </c>
      <c r="S1810" s="122" t="n">
        <v>8635</v>
      </c>
      <c r="T1810" s="122" t="n">
        <v>5550</v>
      </c>
      <c r="U1810" s="123">
        <f>IFERROR(S1810/T1810,"")</f>
        <v/>
      </c>
      <c r="V1810" s="122" t="n">
        <v>9</v>
      </c>
      <c r="W1810" s="122" t="n">
        <v>7</v>
      </c>
      <c r="X1810" s="124">
        <f>IFERROR(W1810/S1810,"")</f>
        <v/>
      </c>
      <c r="Y1810" s="121">
        <f>IFERROR(R1810/W1810,"")</f>
        <v/>
      </c>
      <c r="Z1810" s="121">
        <f>IFERROR(R1810/S1810*1000,"")</f>
        <v/>
      </c>
      <c r="AA1810" s="122" t="n">
        <v>4</v>
      </c>
      <c r="AB1810" s="54">
        <f>IFERROR(AA1810/W1810,"")</f>
        <v/>
      </c>
      <c r="AC1810" s="122" t="n">
        <v>0</v>
      </c>
      <c r="AD1810" s="122" t="n">
        <v>0</v>
      </c>
      <c r="AE1810" s="122" t="n">
        <v>0</v>
      </c>
      <c r="AF1810" s="122" t="n">
        <v>0</v>
      </c>
      <c r="AG1810" s="122" t="n">
        <v>0</v>
      </c>
      <c r="AH1810" s="122" t="n">
        <v>0</v>
      </c>
      <c r="AI1810" s="54">
        <f>IFERROR(AC1810/S1810,"")</f>
        <v/>
      </c>
      <c r="AJ1810" s="54">
        <f>IFERROR(AH1810/S1810,"")</f>
        <v/>
      </c>
      <c r="AK1810" s="122" t="n">
        <v>35</v>
      </c>
      <c r="AL1810" s="122" t="n">
        <v>0</v>
      </c>
      <c r="AM1810" s="124">
        <f>IFERROR(AL1810/AA1810,"")</f>
        <v/>
      </c>
      <c r="AN1810" s="125">
        <f>IFERROR(R1810/AL1810,"")</f>
        <v/>
      </c>
      <c r="AO1810" s="122" t="n">
        <v>0</v>
      </c>
      <c r="AP1810" s="54">
        <f>IFERROR(AO1810/AL1810,"")</f>
        <v/>
      </c>
      <c r="AQ1810" s="125">
        <f>IFERROR(R1810/AO1810,"")</f>
        <v/>
      </c>
      <c r="AR1810" s="122" t="n">
        <v>0</v>
      </c>
      <c r="AS1810" s="122" t="n">
        <v>0</v>
      </c>
      <c r="AT1810" s="122">
        <f>AL1810+AR1810</f>
        <v/>
      </c>
      <c r="AU1810" s="125">
        <f>IFERROR(AO1810*Assumptions!$C$26*Assumptions!$C$27*INDEX(Assumptions!$C$18:$C$21,MATCH(H1810,Assumptions!$B$18:$B$21,0)),0)</f>
        <v/>
      </c>
    </row>
    <row r="1811">
      <c r="A1811" s="120" t="n">
        <v>46247</v>
      </c>
      <c r="B1811" s="66" t="inlineStr">
        <is>
          <t>Wk 33</t>
        </is>
      </c>
      <c r="C1811" s="66" t="inlineStr">
        <is>
          <t>Thu</t>
        </is>
      </c>
      <c r="D1811" s="66" t="inlineStr">
        <is>
          <t>Programmatic</t>
        </is>
      </c>
      <c r="E1811" s="66" t="inlineStr">
        <is>
          <t>DV360</t>
        </is>
      </c>
      <c r="F1811" s="66" t="inlineStr">
        <is>
          <t>LEP_ZA_AUG26_PROG_TD_PROSPECT_DISPLAY</t>
        </is>
      </c>
      <c r="G1811" s="66" t="inlineStr">
        <is>
          <t>Display Prospecting</t>
        </is>
      </c>
      <c r="H1811" s="66" t="inlineStr">
        <is>
          <t>Range</t>
        </is>
      </c>
      <c r="I1811" s="66" t="inlineStr">
        <is>
          <t>Range Offer</t>
        </is>
      </c>
      <c r="J1811" s="66" t="inlineStr">
        <is>
          <t>PROG_CONTEXTUAL_AUTO_NEWS</t>
        </is>
      </c>
      <c r="K1811" s="66" t="inlineStr">
        <is>
          <t>Contextual</t>
        </is>
      </c>
      <c r="L1811" s="66" t="inlineStr">
        <is>
          <t>PROG_HTML5_320x50_Range_v1</t>
        </is>
      </c>
      <c r="M1811" s="66" t="inlineStr">
        <is>
          <t>HTML5 Display 320x50</t>
        </is>
      </c>
      <c r="N1811" s="66" t="inlineStr">
        <is>
          <t>From R3 599pm</t>
        </is>
      </c>
      <c r="O1811" s="66" t="inlineStr">
        <is>
          <t>Programmatic Guaranteed / OA</t>
        </is>
      </c>
      <c r="P1811" s="66" t="inlineStr">
        <is>
          <t>Conversions (CPA)</t>
        </is>
      </c>
      <c r="Q1811" s="66" t="inlineStr">
        <is>
          <t>https://www.lepas-sa.co.za/offers</t>
        </is>
      </c>
      <c r="R1811" s="121" t="n">
        <v>133.79</v>
      </c>
      <c r="S1811" s="122" t="n">
        <v>7662</v>
      </c>
      <c r="T1811" s="122" t="n">
        <v>3144</v>
      </c>
      <c r="U1811" s="123">
        <f>IFERROR(S1811/T1811,"")</f>
        <v/>
      </c>
      <c r="V1811" s="122" t="n">
        <v>18</v>
      </c>
      <c r="W1811" s="122" t="n">
        <v>13</v>
      </c>
      <c r="X1811" s="124">
        <f>IFERROR(W1811/S1811,"")</f>
        <v/>
      </c>
      <c r="Y1811" s="121">
        <f>IFERROR(R1811/W1811,"")</f>
        <v/>
      </c>
      <c r="Z1811" s="121">
        <f>IFERROR(R1811/S1811*1000,"")</f>
        <v/>
      </c>
      <c r="AA1811" s="122" t="n">
        <v>8</v>
      </c>
      <c r="AB1811" s="54">
        <f>IFERROR(AA1811/W1811,"")</f>
        <v/>
      </c>
      <c r="AC1811" s="122" t="n">
        <v>0</v>
      </c>
      <c r="AD1811" s="122" t="n">
        <v>0</v>
      </c>
      <c r="AE1811" s="122" t="n">
        <v>0</v>
      </c>
      <c r="AF1811" s="122" t="n">
        <v>0</v>
      </c>
      <c r="AG1811" s="122" t="n">
        <v>0</v>
      </c>
      <c r="AH1811" s="122" t="n">
        <v>0</v>
      </c>
      <c r="AI1811" s="54">
        <f>IFERROR(AC1811/S1811,"")</f>
        <v/>
      </c>
      <c r="AJ1811" s="54">
        <f>IFERROR(AH1811/S1811,"")</f>
        <v/>
      </c>
      <c r="AK1811" s="122" t="n">
        <v>38</v>
      </c>
      <c r="AL1811" s="122" t="n">
        <v>0</v>
      </c>
      <c r="AM1811" s="124">
        <f>IFERROR(AL1811/AA1811,"")</f>
        <v/>
      </c>
      <c r="AN1811" s="125">
        <f>IFERROR(R1811/AL1811,"")</f>
        <v/>
      </c>
      <c r="AO1811" s="122" t="n">
        <v>0</v>
      </c>
      <c r="AP1811" s="54">
        <f>IFERROR(AO1811/AL1811,"")</f>
        <v/>
      </c>
      <c r="AQ1811" s="125">
        <f>IFERROR(R1811/AO1811,"")</f>
        <v/>
      </c>
      <c r="AR1811" s="122" t="n">
        <v>0</v>
      </c>
      <c r="AS1811" s="122" t="n">
        <v>0</v>
      </c>
      <c r="AT1811" s="122">
        <f>AL1811+AR1811</f>
        <v/>
      </c>
      <c r="AU1811" s="125">
        <f>IFERROR(AO1811*Assumptions!$C$26*Assumptions!$C$27*INDEX(Assumptions!$C$18:$C$21,MATCH(H1811,Assumptions!$B$18:$B$21,0)),0)</f>
        <v/>
      </c>
    </row>
    <row r="1812">
      <c r="A1812" s="120" t="n">
        <v>46248</v>
      </c>
      <c r="B1812" s="66" t="inlineStr">
        <is>
          <t>Wk 33</t>
        </is>
      </c>
      <c r="C1812" s="66" t="inlineStr">
        <is>
          <t>Fri</t>
        </is>
      </c>
      <c r="D1812" s="66" t="inlineStr">
        <is>
          <t>Programmatic</t>
        </is>
      </c>
      <c r="E1812" s="66" t="inlineStr">
        <is>
          <t>DV360</t>
        </is>
      </c>
      <c r="F1812" s="66" t="inlineStr">
        <is>
          <t>LEP_ZA_AUG26_PROG_TD_PROSPECT_DISPLAY</t>
        </is>
      </c>
      <c r="G1812" s="66" t="inlineStr">
        <is>
          <t>Display Prospecting</t>
        </is>
      </c>
      <c r="H1812" s="66" t="inlineStr">
        <is>
          <t>Range</t>
        </is>
      </c>
      <c r="I1812" s="66" t="inlineStr">
        <is>
          <t>Range Offer</t>
        </is>
      </c>
      <c r="J1812" s="66" t="inlineStr">
        <is>
          <t>PROG_CONTEXTUAL_AUTO_NEWS</t>
        </is>
      </c>
      <c r="K1812" s="66" t="inlineStr">
        <is>
          <t>Contextual</t>
        </is>
      </c>
      <c r="L1812" s="66" t="inlineStr">
        <is>
          <t>PROG_HTML5_320x50_Range_v1</t>
        </is>
      </c>
      <c r="M1812" s="66" t="inlineStr">
        <is>
          <t>HTML5 Display 320x50</t>
        </is>
      </c>
      <c r="N1812" s="66" t="inlineStr">
        <is>
          <t>From R3 599pm</t>
        </is>
      </c>
      <c r="O1812" s="66" t="inlineStr">
        <is>
          <t>Programmatic Guaranteed / OA</t>
        </is>
      </c>
      <c r="P1812" s="66" t="inlineStr">
        <is>
          <t>Conversions (CPA)</t>
        </is>
      </c>
      <c r="Q1812" s="66" t="inlineStr">
        <is>
          <t>https://www.lepas-sa.co.za/offers</t>
        </is>
      </c>
      <c r="R1812" s="121" t="n">
        <v>160.57</v>
      </c>
      <c r="S1812" s="122" t="n">
        <v>5537</v>
      </c>
      <c r="T1812" s="122" t="n">
        <v>2577</v>
      </c>
      <c r="U1812" s="123">
        <f>IFERROR(S1812/T1812,"")</f>
        <v/>
      </c>
      <c r="V1812" s="122" t="n">
        <v>13</v>
      </c>
      <c r="W1812" s="122" t="n">
        <v>10</v>
      </c>
      <c r="X1812" s="124">
        <f>IFERROR(W1812/S1812,"")</f>
        <v/>
      </c>
      <c r="Y1812" s="121">
        <f>IFERROR(R1812/W1812,"")</f>
        <v/>
      </c>
      <c r="Z1812" s="121">
        <f>IFERROR(R1812/S1812*1000,"")</f>
        <v/>
      </c>
      <c r="AA1812" s="122" t="n">
        <v>5</v>
      </c>
      <c r="AB1812" s="54">
        <f>IFERROR(AA1812/W1812,"")</f>
        <v/>
      </c>
      <c r="AC1812" s="122" t="n">
        <v>0</v>
      </c>
      <c r="AD1812" s="122" t="n">
        <v>0</v>
      </c>
      <c r="AE1812" s="122" t="n">
        <v>0</v>
      </c>
      <c r="AF1812" s="122" t="n">
        <v>0</v>
      </c>
      <c r="AG1812" s="122" t="n">
        <v>0</v>
      </c>
      <c r="AH1812" s="122" t="n">
        <v>0</v>
      </c>
      <c r="AI1812" s="54">
        <f>IFERROR(AC1812/S1812,"")</f>
        <v/>
      </c>
      <c r="AJ1812" s="54">
        <f>IFERROR(AH1812/S1812,"")</f>
        <v/>
      </c>
      <c r="AK1812" s="122" t="n">
        <v>31</v>
      </c>
      <c r="AL1812" s="122" t="n">
        <v>0</v>
      </c>
      <c r="AM1812" s="124">
        <f>IFERROR(AL1812/AA1812,"")</f>
        <v/>
      </c>
      <c r="AN1812" s="125">
        <f>IFERROR(R1812/AL1812,"")</f>
        <v/>
      </c>
      <c r="AO1812" s="122" t="n">
        <v>0</v>
      </c>
      <c r="AP1812" s="54">
        <f>IFERROR(AO1812/AL1812,"")</f>
        <v/>
      </c>
      <c r="AQ1812" s="125">
        <f>IFERROR(R1812/AO1812,"")</f>
        <v/>
      </c>
      <c r="AR1812" s="122" t="n">
        <v>0</v>
      </c>
      <c r="AS1812" s="122" t="n">
        <v>0</v>
      </c>
      <c r="AT1812" s="122">
        <f>AL1812+AR1812</f>
        <v/>
      </c>
      <c r="AU1812" s="125">
        <f>IFERROR(AO1812*Assumptions!$C$26*Assumptions!$C$27*INDEX(Assumptions!$C$18:$C$21,MATCH(H1812,Assumptions!$B$18:$B$21,0)),0)</f>
        <v/>
      </c>
    </row>
    <row r="1813">
      <c r="A1813" s="120" t="n">
        <v>46249</v>
      </c>
      <c r="B1813" s="66" t="inlineStr">
        <is>
          <t>Wk 33</t>
        </is>
      </c>
      <c r="C1813" s="66" t="inlineStr">
        <is>
          <t>Sat</t>
        </is>
      </c>
      <c r="D1813" s="66" t="inlineStr">
        <is>
          <t>Programmatic</t>
        </is>
      </c>
      <c r="E1813" s="66" t="inlineStr">
        <is>
          <t>DV360</t>
        </is>
      </c>
      <c r="F1813" s="66" t="inlineStr">
        <is>
          <t>LEP_ZA_AUG26_PROG_TD_PROSPECT_DISPLAY</t>
        </is>
      </c>
      <c r="G1813" s="66" t="inlineStr">
        <is>
          <t>Display Prospecting</t>
        </is>
      </c>
      <c r="H1813" s="66" t="inlineStr">
        <is>
          <t>Range</t>
        </is>
      </c>
      <c r="I1813" s="66" t="inlineStr">
        <is>
          <t>Range Offer</t>
        </is>
      </c>
      <c r="J1813" s="66" t="inlineStr">
        <is>
          <t>PROG_CONTEXTUAL_AUTO_NEWS</t>
        </is>
      </c>
      <c r="K1813" s="66" t="inlineStr">
        <is>
          <t>Contextual</t>
        </is>
      </c>
      <c r="L1813" s="66" t="inlineStr">
        <is>
          <t>PROG_HTML5_320x50_Range_v1</t>
        </is>
      </c>
      <c r="M1813" s="66" t="inlineStr">
        <is>
          <t>HTML5 Display 320x50</t>
        </is>
      </c>
      <c r="N1813" s="66" t="inlineStr">
        <is>
          <t>From R3 599pm</t>
        </is>
      </c>
      <c r="O1813" s="66" t="inlineStr">
        <is>
          <t>Programmatic Guaranteed / OA</t>
        </is>
      </c>
      <c r="P1813" s="66" t="inlineStr">
        <is>
          <t>Conversions (CPA)</t>
        </is>
      </c>
      <c r="Q1813" s="66" t="inlineStr">
        <is>
          <t>https://www.lepas-sa.co.za/offers</t>
        </is>
      </c>
      <c r="R1813" s="121" t="n">
        <v>163.76</v>
      </c>
      <c r="S1813" s="122" t="n">
        <v>5936</v>
      </c>
      <c r="T1813" s="122" t="n">
        <v>2881</v>
      </c>
      <c r="U1813" s="123">
        <f>IFERROR(S1813/T1813,"")</f>
        <v/>
      </c>
      <c r="V1813" s="122" t="n">
        <v>9</v>
      </c>
      <c r="W1813" s="122" t="n">
        <v>7</v>
      </c>
      <c r="X1813" s="124">
        <f>IFERROR(W1813/S1813,"")</f>
        <v/>
      </c>
      <c r="Y1813" s="121">
        <f>IFERROR(R1813/W1813,"")</f>
        <v/>
      </c>
      <c r="Z1813" s="121">
        <f>IFERROR(R1813/S1813*1000,"")</f>
        <v/>
      </c>
      <c r="AA1813" s="122" t="n">
        <v>4</v>
      </c>
      <c r="AB1813" s="54">
        <f>IFERROR(AA1813/W1813,"")</f>
        <v/>
      </c>
      <c r="AC1813" s="122" t="n">
        <v>0</v>
      </c>
      <c r="AD1813" s="122" t="n">
        <v>0</v>
      </c>
      <c r="AE1813" s="122" t="n">
        <v>0</v>
      </c>
      <c r="AF1813" s="122" t="n">
        <v>0</v>
      </c>
      <c r="AG1813" s="122" t="n">
        <v>0</v>
      </c>
      <c r="AH1813" s="122" t="n">
        <v>0</v>
      </c>
      <c r="AI1813" s="54">
        <f>IFERROR(AC1813/S1813,"")</f>
        <v/>
      </c>
      <c r="AJ1813" s="54">
        <f>IFERROR(AH1813/S1813,"")</f>
        <v/>
      </c>
      <c r="AK1813" s="122" t="n">
        <v>10</v>
      </c>
      <c r="AL1813" s="122" t="n">
        <v>0</v>
      </c>
      <c r="AM1813" s="124">
        <f>IFERROR(AL1813/AA1813,"")</f>
        <v/>
      </c>
      <c r="AN1813" s="125">
        <f>IFERROR(R1813/AL1813,"")</f>
        <v/>
      </c>
      <c r="AO1813" s="122" t="n">
        <v>0</v>
      </c>
      <c r="AP1813" s="54">
        <f>IFERROR(AO1813/AL1813,"")</f>
        <v/>
      </c>
      <c r="AQ1813" s="125">
        <f>IFERROR(R1813/AO1813,"")</f>
        <v/>
      </c>
      <c r="AR1813" s="122" t="n">
        <v>0</v>
      </c>
      <c r="AS1813" s="122" t="n">
        <v>0</v>
      </c>
      <c r="AT1813" s="122">
        <f>AL1813+AR1813</f>
        <v/>
      </c>
      <c r="AU1813" s="125">
        <f>IFERROR(AO1813*Assumptions!$C$26*Assumptions!$C$27*INDEX(Assumptions!$C$18:$C$21,MATCH(H1813,Assumptions!$B$18:$B$21,0)),0)</f>
        <v/>
      </c>
    </row>
    <row r="1814">
      <c r="A1814" s="120" t="n">
        <v>46250</v>
      </c>
      <c r="B1814" s="66" t="inlineStr">
        <is>
          <t>Wk 33</t>
        </is>
      </c>
      <c r="C1814" s="66" t="inlineStr">
        <is>
          <t>Sun</t>
        </is>
      </c>
      <c r="D1814" s="66" t="inlineStr">
        <is>
          <t>Programmatic</t>
        </is>
      </c>
      <c r="E1814" s="66" t="inlineStr">
        <is>
          <t>DV360</t>
        </is>
      </c>
      <c r="F1814" s="66" t="inlineStr">
        <is>
          <t>LEP_ZA_AUG26_PROG_TD_PROSPECT_DISPLAY</t>
        </is>
      </c>
      <c r="G1814" s="66" t="inlineStr">
        <is>
          <t>Display Prospecting</t>
        </is>
      </c>
      <c r="H1814" s="66" t="inlineStr">
        <is>
          <t>Range</t>
        </is>
      </c>
      <c r="I1814" s="66" t="inlineStr">
        <is>
          <t>Range Offer</t>
        </is>
      </c>
      <c r="J1814" s="66" t="inlineStr">
        <is>
          <t>PROG_CONTEXTUAL_AUTO_NEWS</t>
        </is>
      </c>
      <c r="K1814" s="66" t="inlineStr">
        <is>
          <t>Contextual</t>
        </is>
      </c>
      <c r="L1814" s="66" t="inlineStr">
        <is>
          <t>PROG_HTML5_320x50_Range_v1</t>
        </is>
      </c>
      <c r="M1814" s="66" t="inlineStr">
        <is>
          <t>HTML5 Display 320x50</t>
        </is>
      </c>
      <c r="N1814" s="66" t="inlineStr">
        <is>
          <t>From R3 599pm</t>
        </is>
      </c>
      <c r="O1814" s="66" t="inlineStr">
        <is>
          <t>Programmatic Guaranteed / OA</t>
        </is>
      </c>
      <c r="P1814" s="66" t="inlineStr">
        <is>
          <t>Conversions (CPA)</t>
        </is>
      </c>
      <c r="Q1814" s="66" t="inlineStr">
        <is>
          <t>https://www.lepas-sa.co.za/offers</t>
        </is>
      </c>
      <c r="R1814" s="121" t="n">
        <v>109.81</v>
      </c>
      <c r="S1814" s="122" t="n">
        <v>6760</v>
      </c>
      <c r="T1814" s="122" t="n">
        <v>3350</v>
      </c>
      <c r="U1814" s="123">
        <f>IFERROR(S1814/T1814,"")</f>
        <v/>
      </c>
      <c r="V1814" s="122" t="n">
        <v>11</v>
      </c>
      <c r="W1814" s="122" t="n">
        <v>8</v>
      </c>
      <c r="X1814" s="124">
        <f>IFERROR(W1814/S1814,"")</f>
        <v/>
      </c>
      <c r="Y1814" s="121">
        <f>IFERROR(R1814/W1814,"")</f>
        <v/>
      </c>
      <c r="Z1814" s="121">
        <f>IFERROR(R1814/S1814*1000,"")</f>
        <v/>
      </c>
      <c r="AA1814" s="122" t="n">
        <v>4</v>
      </c>
      <c r="AB1814" s="54">
        <f>IFERROR(AA1814/W1814,"")</f>
        <v/>
      </c>
      <c r="AC1814" s="122" t="n">
        <v>0</v>
      </c>
      <c r="AD1814" s="122" t="n">
        <v>0</v>
      </c>
      <c r="AE1814" s="122" t="n">
        <v>0</v>
      </c>
      <c r="AF1814" s="122" t="n">
        <v>0</v>
      </c>
      <c r="AG1814" s="122" t="n">
        <v>0</v>
      </c>
      <c r="AH1814" s="122" t="n">
        <v>0</v>
      </c>
      <c r="AI1814" s="54">
        <f>IFERROR(AC1814/S1814,"")</f>
        <v/>
      </c>
      <c r="AJ1814" s="54">
        <f>IFERROR(AH1814/S1814,"")</f>
        <v/>
      </c>
      <c r="AK1814" s="122" t="n">
        <v>28</v>
      </c>
      <c r="AL1814" s="122" t="n">
        <v>0</v>
      </c>
      <c r="AM1814" s="124">
        <f>IFERROR(AL1814/AA1814,"")</f>
        <v/>
      </c>
      <c r="AN1814" s="125">
        <f>IFERROR(R1814/AL1814,"")</f>
        <v/>
      </c>
      <c r="AO1814" s="122" t="n">
        <v>0</v>
      </c>
      <c r="AP1814" s="54">
        <f>IFERROR(AO1814/AL1814,"")</f>
        <v/>
      </c>
      <c r="AQ1814" s="125">
        <f>IFERROR(R1814/AO1814,"")</f>
        <v/>
      </c>
      <c r="AR1814" s="122" t="n">
        <v>0</v>
      </c>
      <c r="AS1814" s="122" t="n">
        <v>0</v>
      </c>
      <c r="AT1814" s="122">
        <f>AL1814+AR1814</f>
        <v/>
      </c>
      <c r="AU1814" s="125">
        <f>IFERROR(AO1814*Assumptions!$C$26*Assumptions!$C$27*INDEX(Assumptions!$C$18:$C$21,MATCH(H1814,Assumptions!$B$18:$B$21,0)),0)</f>
        <v/>
      </c>
    </row>
    <row r="1815">
      <c r="A1815" s="120" t="n">
        <v>46251</v>
      </c>
      <c r="B1815" s="66" t="inlineStr">
        <is>
          <t>Wk 34</t>
        </is>
      </c>
      <c r="C1815" s="66" t="inlineStr">
        <is>
          <t>Mon</t>
        </is>
      </c>
      <c r="D1815" s="66" t="inlineStr">
        <is>
          <t>Programmatic</t>
        </is>
      </c>
      <c r="E1815" s="66" t="inlineStr">
        <is>
          <t>DV360</t>
        </is>
      </c>
      <c r="F1815" s="66" t="inlineStr">
        <is>
          <t>LEP_ZA_AUG26_PROG_TD_PROSPECT_DISPLAY</t>
        </is>
      </c>
      <c r="G1815" s="66" t="inlineStr">
        <is>
          <t>Display Prospecting</t>
        </is>
      </c>
      <c r="H1815" s="66" t="inlineStr">
        <is>
          <t>Range</t>
        </is>
      </c>
      <c r="I1815" s="66" t="inlineStr">
        <is>
          <t>Range Offer</t>
        </is>
      </c>
      <c r="J1815" s="66" t="inlineStr">
        <is>
          <t>PROG_CONTEXTUAL_AUTO_NEWS</t>
        </is>
      </c>
      <c r="K1815" s="66" t="inlineStr">
        <is>
          <t>Contextual</t>
        </is>
      </c>
      <c r="L1815" s="66" t="inlineStr">
        <is>
          <t>PROG_HTML5_320x50_Range_v1</t>
        </is>
      </c>
      <c r="M1815" s="66" t="inlineStr">
        <is>
          <t>HTML5 Display 320x50</t>
        </is>
      </c>
      <c r="N1815" s="66" t="inlineStr">
        <is>
          <t>From R3 599pm</t>
        </is>
      </c>
      <c r="O1815" s="66" t="inlineStr">
        <is>
          <t>Programmatic Guaranteed / OA</t>
        </is>
      </c>
      <c r="P1815" s="66" t="inlineStr">
        <is>
          <t>Conversions (CPA)</t>
        </is>
      </c>
      <c r="Q1815" s="66" t="inlineStr">
        <is>
          <t>https://www.lepas-sa.co.za/offers</t>
        </is>
      </c>
      <c r="R1815" s="121" t="n">
        <v>128.43</v>
      </c>
      <c r="S1815" s="122" t="n">
        <v>4850</v>
      </c>
      <c r="T1815" s="122" t="n">
        <v>2638</v>
      </c>
      <c r="U1815" s="123">
        <f>IFERROR(S1815/T1815,"")</f>
        <v/>
      </c>
      <c r="V1815" s="122" t="n">
        <v>10</v>
      </c>
      <c r="W1815" s="122" t="n">
        <v>8</v>
      </c>
      <c r="X1815" s="124">
        <f>IFERROR(W1815/S1815,"")</f>
        <v/>
      </c>
      <c r="Y1815" s="121">
        <f>IFERROR(R1815/W1815,"")</f>
        <v/>
      </c>
      <c r="Z1815" s="121">
        <f>IFERROR(R1815/S1815*1000,"")</f>
        <v/>
      </c>
      <c r="AA1815" s="122" t="n">
        <v>4</v>
      </c>
      <c r="AB1815" s="54">
        <f>IFERROR(AA1815/W1815,"")</f>
        <v/>
      </c>
      <c r="AC1815" s="122" t="n">
        <v>0</v>
      </c>
      <c r="AD1815" s="122" t="n">
        <v>0</v>
      </c>
      <c r="AE1815" s="122" t="n">
        <v>0</v>
      </c>
      <c r="AF1815" s="122" t="n">
        <v>0</v>
      </c>
      <c r="AG1815" s="122" t="n">
        <v>0</v>
      </c>
      <c r="AH1815" s="122" t="n">
        <v>0</v>
      </c>
      <c r="AI1815" s="54">
        <f>IFERROR(AC1815/S1815,"")</f>
        <v/>
      </c>
      <c r="AJ1815" s="54">
        <f>IFERROR(AH1815/S1815,"")</f>
        <v/>
      </c>
      <c r="AK1815" s="122" t="n">
        <v>28</v>
      </c>
      <c r="AL1815" s="122" t="n">
        <v>0</v>
      </c>
      <c r="AM1815" s="124">
        <f>IFERROR(AL1815/AA1815,"")</f>
        <v/>
      </c>
      <c r="AN1815" s="125">
        <f>IFERROR(R1815/AL1815,"")</f>
        <v/>
      </c>
      <c r="AO1815" s="122" t="n">
        <v>0</v>
      </c>
      <c r="AP1815" s="54">
        <f>IFERROR(AO1815/AL1815,"")</f>
        <v/>
      </c>
      <c r="AQ1815" s="125">
        <f>IFERROR(R1815/AO1815,"")</f>
        <v/>
      </c>
      <c r="AR1815" s="122" t="n">
        <v>0</v>
      </c>
      <c r="AS1815" s="122" t="n">
        <v>0</v>
      </c>
      <c r="AT1815" s="122">
        <f>AL1815+AR1815</f>
        <v/>
      </c>
      <c r="AU1815" s="125">
        <f>IFERROR(AO1815*Assumptions!$C$26*Assumptions!$C$27*INDEX(Assumptions!$C$18:$C$21,MATCH(H1815,Assumptions!$B$18:$B$21,0)),0)</f>
        <v/>
      </c>
    </row>
    <row r="1816">
      <c r="A1816" s="120" t="n">
        <v>46252</v>
      </c>
      <c r="B1816" s="66" t="inlineStr">
        <is>
          <t>Wk 34</t>
        </is>
      </c>
      <c r="C1816" s="66" t="inlineStr">
        <is>
          <t>Tue</t>
        </is>
      </c>
      <c r="D1816" s="66" t="inlineStr">
        <is>
          <t>Programmatic</t>
        </is>
      </c>
      <c r="E1816" s="66" t="inlineStr">
        <is>
          <t>DV360</t>
        </is>
      </c>
      <c r="F1816" s="66" t="inlineStr">
        <is>
          <t>LEP_ZA_AUG26_PROG_TD_PROSPECT_DISPLAY</t>
        </is>
      </c>
      <c r="G1816" s="66" t="inlineStr">
        <is>
          <t>Display Prospecting</t>
        </is>
      </c>
      <c r="H1816" s="66" t="inlineStr">
        <is>
          <t>Range</t>
        </is>
      </c>
      <c r="I1816" s="66" t="inlineStr">
        <is>
          <t>Range Offer</t>
        </is>
      </c>
      <c r="J1816" s="66" t="inlineStr">
        <is>
          <t>PROG_CONTEXTUAL_AUTO_NEWS</t>
        </is>
      </c>
      <c r="K1816" s="66" t="inlineStr">
        <is>
          <t>Contextual</t>
        </is>
      </c>
      <c r="L1816" s="66" t="inlineStr">
        <is>
          <t>PROG_HTML5_320x50_Range_v1</t>
        </is>
      </c>
      <c r="M1816" s="66" t="inlineStr">
        <is>
          <t>HTML5 Display 320x50</t>
        </is>
      </c>
      <c r="N1816" s="66" t="inlineStr">
        <is>
          <t>From R3 599pm</t>
        </is>
      </c>
      <c r="O1816" s="66" t="inlineStr">
        <is>
          <t>Programmatic Guaranteed / OA</t>
        </is>
      </c>
      <c r="P1816" s="66" t="inlineStr">
        <is>
          <t>Conversions (CPA)</t>
        </is>
      </c>
      <c r="Q1816" s="66" t="inlineStr">
        <is>
          <t>https://www.lepas-sa.co.za/offers</t>
        </is>
      </c>
      <c r="R1816" s="121" t="n">
        <v>136.37</v>
      </c>
      <c r="S1816" s="122" t="n">
        <v>4467</v>
      </c>
      <c r="T1816" s="122" t="n">
        <v>1641</v>
      </c>
      <c r="U1816" s="123">
        <f>IFERROR(S1816/T1816,"")</f>
        <v/>
      </c>
      <c r="V1816" s="122" t="n">
        <v>5</v>
      </c>
      <c r="W1816" s="122" t="n">
        <v>4</v>
      </c>
      <c r="X1816" s="124">
        <f>IFERROR(W1816/S1816,"")</f>
        <v/>
      </c>
      <c r="Y1816" s="121">
        <f>IFERROR(R1816/W1816,"")</f>
        <v/>
      </c>
      <c r="Z1816" s="121">
        <f>IFERROR(R1816/S1816*1000,"")</f>
        <v/>
      </c>
      <c r="AA1816" s="122" t="n">
        <v>2</v>
      </c>
      <c r="AB1816" s="54">
        <f>IFERROR(AA1816/W1816,"")</f>
        <v/>
      </c>
      <c r="AC1816" s="122" t="n">
        <v>0</v>
      </c>
      <c r="AD1816" s="122" t="n">
        <v>0</v>
      </c>
      <c r="AE1816" s="122" t="n">
        <v>0</v>
      </c>
      <c r="AF1816" s="122" t="n">
        <v>0</v>
      </c>
      <c r="AG1816" s="122" t="n">
        <v>0</v>
      </c>
      <c r="AH1816" s="122" t="n">
        <v>0</v>
      </c>
      <c r="AI1816" s="54">
        <f>IFERROR(AC1816/S1816,"")</f>
        <v/>
      </c>
      <c r="AJ1816" s="54">
        <f>IFERROR(AH1816/S1816,"")</f>
        <v/>
      </c>
      <c r="AK1816" s="122" t="n">
        <v>26</v>
      </c>
      <c r="AL1816" s="122" t="n">
        <v>0</v>
      </c>
      <c r="AM1816" s="124">
        <f>IFERROR(AL1816/AA1816,"")</f>
        <v/>
      </c>
      <c r="AN1816" s="125">
        <f>IFERROR(R1816/AL1816,"")</f>
        <v/>
      </c>
      <c r="AO1816" s="122" t="n">
        <v>0</v>
      </c>
      <c r="AP1816" s="54">
        <f>IFERROR(AO1816/AL1816,"")</f>
        <v/>
      </c>
      <c r="AQ1816" s="125">
        <f>IFERROR(R1816/AO1816,"")</f>
        <v/>
      </c>
      <c r="AR1816" s="122" t="n">
        <v>0</v>
      </c>
      <c r="AS1816" s="122" t="n">
        <v>0</v>
      </c>
      <c r="AT1816" s="122">
        <f>AL1816+AR1816</f>
        <v/>
      </c>
      <c r="AU1816" s="125">
        <f>IFERROR(AO1816*Assumptions!$C$26*Assumptions!$C$27*INDEX(Assumptions!$C$18:$C$21,MATCH(H1816,Assumptions!$B$18:$B$21,0)),0)</f>
        <v/>
      </c>
    </row>
    <row r="1817">
      <c r="A1817" s="120" t="n">
        <v>46253</v>
      </c>
      <c r="B1817" s="66" t="inlineStr">
        <is>
          <t>Wk 34</t>
        </is>
      </c>
      <c r="C1817" s="66" t="inlineStr">
        <is>
          <t>Wed</t>
        </is>
      </c>
      <c r="D1817" s="66" t="inlineStr">
        <is>
          <t>Programmatic</t>
        </is>
      </c>
      <c r="E1817" s="66" t="inlineStr">
        <is>
          <t>DV360</t>
        </is>
      </c>
      <c r="F1817" s="66" t="inlineStr">
        <is>
          <t>LEP_ZA_AUG26_PROG_TD_PROSPECT_DISPLAY</t>
        </is>
      </c>
      <c r="G1817" s="66" t="inlineStr">
        <is>
          <t>Display Prospecting</t>
        </is>
      </c>
      <c r="H1817" s="66" t="inlineStr">
        <is>
          <t>Range</t>
        </is>
      </c>
      <c r="I1817" s="66" t="inlineStr">
        <is>
          <t>Range Offer</t>
        </is>
      </c>
      <c r="J1817" s="66" t="inlineStr">
        <is>
          <t>PROG_CONTEXTUAL_AUTO_NEWS</t>
        </is>
      </c>
      <c r="K1817" s="66" t="inlineStr">
        <is>
          <t>Contextual</t>
        </is>
      </c>
      <c r="L1817" s="66" t="inlineStr">
        <is>
          <t>PROG_HTML5_320x50_Range_v1</t>
        </is>
      </c>
      <c r="M1817" s="66" t="inlineStr">
        <is>
          <t>HTML5 Display 320x50</t>
        </is>
      </c>
      <c r="N1817" s="66" t="inlineStr">
        <is>
          <t>From R3 599pm</t>
        </is>
      </c>
      <c r="O1817" s="66" t="inlineStr">
        <is>
          <t>Programmatic Guaranteed / OA</t>
        </is>
      </c>
      <c r="P1817" s="66" t="inlineStr">
        <is>
          <t>Conversions (CPA)</t>
        </is>
      </c>
      <c r="Q1817" s="66" t="inlineStr">
        <is>
          <t>https://www.lepas-sa.co.za/offers</t>
        </is>
      </c>
      <c r="R1817" s="121" t="n">
        <v>148.34</v>
      </c>
      <c r="S1817" s="122" t="n">
        <v>7675</v>
      </c>
      <c r="T1817" s="122" t="n">
        <v>3283</v>
      </c>
      <c r="U1817" s="123">
        <f>IFERROR(S1817/T1817,"")</f>
        <v/>
      </c>
      <c r="V1817" s="122" t="n">
        <v>10</v>
      </c>
      <c r="W1817" s="122" t="n">
        <v>8</v>
      </c>
      <c r="X1817" s="124">
        <f>IFERROR(W1817/S1817,"")</f>
        <v/>
      </c>
      <c r="Y1817" s="121">
        <f>IFERROR(R1817/W1817,"")</f>
        <v/>
      </c>
      <c r="Z1817" s="121">
        <f>IFERROR(R1817/S1817*1000,"")</f>
        <v/>
      </c>
      <c r="AA1817" s="122" t="n">
        <v>5</v>
      </c>
      <c r="AB1817" s="54">
        <f>IFERROR(AA1817/W1817,"")</f>
        <v/>
      </c>
      <c r="AC1817" s="122" t="n">
        <v>0</v>
      </c>
      <c r="AD1817" s="122" t="n">
        <v>0</v>
      </c>
      <c r="AE1817" s="122" t="n">
        <v>0</v>
      </c>
      <c r="AF1817" s="122" t="n">
        <v>0</v>
      </c>
      <c r="AG1817" s="122" t="n">
        <v>0</v>
      </c>
      <c r="AH1817" s="122" t="n">
        <v>0</v>
      </c>
      <c r="AI1817" s="54">
        <f>IFERROR(AC1817/S1817,"")</f>
        <v/>
      </c>
      <c r="AJ1817" s="54">
        <f>IFERROR(AH1817/S1817,"")</f>
        <v/>
      </c>
      <c r="AK1817" s="122" t="n">
        <v>20</v>
      </c>
      <c r="AL1817" s="122" t="n">
        <v>0</v>
      </c>
      <c r="AM1817" s="124">
        <f>IFERROR(AL1817/AA1817,"")</f>
        <v/>
      </c>
      <c r="AN1817" s="125">
        <f>IFERROR(R1817/AL1817,"")</f>
        <v/>
      </c>
      <c r="AO1817" s="122" t="n">
        <v>0</v>
      </c>
      <c r="AP1817" s="54">
        <f>IFERROR(AO1817/AL1817,"")</f>
        <v/>
      </c>
      <c r="AQ1817" s="125">
        <f>IFERROR(R1817/AO1817,"")</f>
        <v/>
      </c>
      <c r="AR1817" s="122" t="n">
        <v>0</v>
      </c>
      <c r="AS1817" s="122" t="n">
        <v>0</v>
      </c>
      <c r="AT1817" s="122">
        <f>AL1817+AR1817</f>
        <v/>
      </c>
      <c r="AU1817" s="125">
        <f>IFERROR(AO1817*Assumptions!$C$26*Assumptions!$C$27*INDEX(Assumptions!$C$18:$C$21,MATCH(H1817,Assumptions!$B$18:$B$21,0)),0)</f>
        <v/>
      </c>
    </row>
    <row r="1818">
      <c r="A1818" s="120" t="n">
        <v>46254</v>
      </c>
      <c r="B1818" s="66" t="inlineStr">
        <is>
          <t>Wk 34</t>
        </is>
      </c>
      <c r="C1818" s="66" t="inlineStr">
        <is>
          <t>Thu</t>
        </is>
      </c>
      <c r="D1818" s="66" t="inlineStr">
        <is>
          <t>Programmatic</t>
        </is>
      </c>
      <c r="E1818" s="66" t="inlineStr">
        <is>
          <t>DV360</t>
        </is>
      </c>
      <c r="F1818" s="66" t="inlineStr">
        <is>
          <t>LEP_ZA_AUG26_PROG_TD_PROSPECT_DISPLAY</t>
        </is>
      </c>
      <c r="G1818" s="66" t="inlineStr">
        <is>
          <t>Display Prospecting</t>
        </is>
      </c>
      <c r="H1818" s="66" t="inlineStr">
        <is>
          <t>Range</t>
        </is>
      </c>
      <c r="I1818" s="66" t="inlineStr">
        <is>
          <t>Range Offer</t>
        </is>
      </c>
      <c r="J1818" s="66" t="inlineStr">
        <is>
          <t>PROG_CONTEXTUAL_AUTO_NEWS</t>
        </is>
      </c>
      <c r="K1818" s="66" t="inlineStr">
        <is>
          <t>Contextual</t>
        </is>
      </c>
      <c r="L1818" s="66" t="inlineStr">
        <is>
          <t>PROG_HTML5_320x50_Range_v1</t>
        </is>
      </c>
      <c r="M1818" s="66" t="inlineStr">
        <is>
          <t>HTML5 Display 320x50</t>
        </is>
      </c>
      <c r="N1818" s="66" t="inlineStr">
        <is>
          <t>From R3 599pm</t>
        </is>
      </c>
      <c r="O1818" s="66" t="inlineStr">
        <is>
          <t>Programmatic Guaranteed / OA</t>
        </is>
      </c>
      <c r="P1818" s="66" t="inlineStr">
        <is>
          <t>Conversions (CPA)</t>
        </is>
      </c>
      <c r="Q1818" s="66" t="inlineStr">
        <is>
          <t>https://www.lepas-sa.co.za/offers</t>
        </is>
      </c>
      <c r="R1818" s="121" t="n">
        <v>130.4</v>
      </c>
      <c r="S1818" s="122" t="n">
        <v>6918</v>
      </c>
      <c r="T1818" s="122" t="n">
        <v>2958</v>
      </c>
      <c r="U1818" s="123">
        <f>IFERROR(S1818/T1818,"")</f>
        <v/>
      </c>
      <c r="V1818" s="122" t="n">
        <v>13</v>
      </c>
      <c r="W1818" s="122" t="n">
        <v>10</v>
      </c>
      <c r="X1818" s="124">
        <f>IFERROR(W1818/S1818,"")</f>
        <v/>
      </c>
      <c r="Y1818" s="121">
        <f>IFERROR(R1818/W1818,"")</f>
        <v/>
      </c>
      <c r="Z1818" s="121">
        <f>IFERROR(R1818/S1818*1000,"")</f>
        <v/>
      </c>
      <c r="AA1818" s="122" t="n">
        <v>7</v>
      </c>
      <c r="AB1818" s="54">
        <f>IFERROR(AA1818/W1818,"")</f>
        <v/>
      </c>
      <c r="AC1818" s="122" t="n">
        <v>0</v>
      </c>
      <c r="AD1818" s="122" t="n">
        <v>0</v>
      </c>
      <c r="AE1818" s="122" t="n">
        <v>0</v>
      </c>
      <c r="AF1818" s="122" t="n">
        <v>0</v>
      </c>
      <c r="AG1818" s="122" t="n">
        <v>0</v>
      </c>
      <c r="AH1818" s="122" t="n">
        <v>0</v>
      </c>
      <c r="AI1818" s="54">
        <f>IFERROR(AC1818/S1818,"")</f>
        <v/>
      </c>
      <c r="AJ1818" s="54">
        <f>IFERROR(AH1818/S1818,"")</f>
        <v/>
      </c>
      <c r="AK1818" s="122" t="n">
        <v>15</v>
      </c>
      <c r="AL1818" s="122" t="n">
        <v>0</v>
      </c>
      <c r="AM1818" s="124">
        <f>IFERROR(AL1818/AA1818,"")</f>
        <v/>
      </c>
      <c r="AN1818" s="125">
        <f>IFERROR(R1818/AL1818,"")</f>
        <v/>
      </c>
      <c r="AO1818" s="122" t="n">
        <v>0</v>
      </c>
      <c r="AP1818" s="54">
        <f>IFERROR(AO1818/AL1818,"")</f>
        <v/>
      </c>
      <c r="AQ1818" s="125">
        <f>IFERROR(R1818/AO1818,"")</f>
        <v/>
      </c>
      <c r="AR1818" s="122" t="n">
        <v>0</v>
      </c>
      <c r="AS1818" s="122" t="n">
        <v>0</v>
      </c>
      <c r="AT1818" s="122">
        <f>AL1818+AR1818</f>
        <v/>
      </c>
      <c r="AU1818" s="125">
        <f>IFERROR(AO1818*Assumptions!$C$26*Assumptions!$C$27*INDEX(Assumptions!$C$18:$C$21,MATCH(H1818,Assumptions!$B$18:$B$21,0)),0)</f>
        <v/>
      </c>
    </row>
    <row r="1819">
      <c r="A1819" s="120" t="n">
        <v>46255</v>
      </c>
      <c r="B1819" s="66" t="inlineStr">
        <is>
          <t>Wk 34</t>
        </is>
      </c>
      <c r="C1819" s="66" t="inlineStr">
        <is>
          <t>Fri</t>
        </is>
      </c>
      <c r="D1819" s="66" t="inlineStr">
        <is>
          <t>Programmatic</t>
        </is>
      </c>
      <c r="E1819" s="66" t="inlineStr">
        <is>
          <t>DV360</t>
        </is>
      </c>
      <c r="F1819" s="66" t="inlineStr">
        <is>
          <t>LEP_ZA_AUG26_PROG_TD_PROSPECT_DISPLAY</t>
        </is>
      </c>
      <c r="G1819" s="66" t="inlineStr">
        <is>
          <t>Display Prospecting</t>
        </is>
      </c>
      <c r="H1819" s="66" t="inlineStr">
        <is>
          <t>Range</t>
        </is>
      </c>
      <c r="I1819" s="66" t="inlineStr">
        <is>
          <t>Range Offer</t>
        </is>
      </c>
      <c r="J1819" s="66" t="inlineStr">
        <is>
          <t>PROG_CONTEXTUAL_AUTO_NEWS</t>
        </is>
      </c>
      <c r="K1819" s="66" t="inlineStr">
        <is>
          <t>Contextual</t>
        </is>
      </c>
      <c r="L1819" s="66" t="inlineStr">
        <is>
          <t>PROG_HTML5_320x50_Range_v1</t>
        </is>
      </c>
      <c r="M1819" s="66" t="inlineStr">
        <is>
          <t>HTML5 Display 320x50</t>
        </is>
      </c>
      <c r="N1819" s="66" t="inlineStr">
        <is>
          <t>From R3 599pm</t>
        </is>
      </c>
      <c r="O1819" s="66" t="inlineStr">
        <is>
          <t>Programmatic Guaranteed / OA</t>
        </is>
      </c>
      <c r="P1819" s="66" t="inlineStr">
        <is>
          <t>Conversions (CPA)</t>
        </is>
      </c>
      <c r="Q1819" s="66" t="inlineStr">
        <is>
          <t>https://www.lepas-sa.co.za/offers</t>
        </is>
      </c>
      <c r="R1819" s="121" t="n">
        <v>132.87</v>
      </c>
      <c r="S1819" s="122" t="n">
        <v>4742</v>
      </c>
      <c r="T1819" s="122" t="n">
        <v>2923</v>
      </c>
      <c r="U1819" s="123">
        <f>IFERROR(S1819/T1819,"")</f>
        <v/>
      </c>
      <c r="V1819" s="122" t="n">
        <v>13</v>
      </c>
      <c r="W1819" s="122" t="n">
        <v>9</v>
      </c>
      <c r="X1819" s="124">
        <f>IFERROR(W1819/S1819,"")</f>
        <v/>
      </c>
      <c r="Y1819" s="121">
        <f>IFERROR(R1819/W1819,"")</f>
        <v/>
      </c>
      <c r="Z1819" s="121">
        <f>IFERROR(R1819/S1819*1000,"")</f>
        <v/>
      </c>
      <c r="AA1819" s="122" t="n">
        <v>6</v>
      </c>
      <c r="AB1819" s="54">
        <f>IFERROR(AA1819/W1819,"")</f>
        <v/>
      </c>
      <c r="AC1819" s="122" t="n">
        <v>0</v>
      </c>
      <c r="AD1819" s="122" t="n">
        <v>0</v>
      </c>
      <c r="AE1819" s="122" t="n">
        <v>0</v>
      </c>
      <c r="AF1819" s="122" t="n">
        <v>0</v>
      </c>
      <c r="AG1819" s="122" t="n">
        <v>0</v>
      </c>
      <c r="AH1819" s="122" t="n">
        <v>0</v>
      </c>
      <c r="AI1819" s="54">
        <f>IFERROR(AC1819/S1819,"")</f>
        <v/>
      </c>
      <c r="AJ1819" s="54">
        <f>IFERROR(AH1819/S1819,"")</f>
        <v/>
      </c>
      <c r="AK1819" s="122" t="n">
        <v>23</v>
      </c>
      <c r="AL1819" s="122" t="n">
        <v>1</v>
      </c>
      <c r="AM1819" s="124">
        <f>IFERROR(AL1819/AA1819,"")</f>
        <v/>
      </c>
      <c r="AN1819" s="125">
        <f>IFERROR(R1819/AL1819,"")</f>
        <v/>
      </c>
      <c r="AO1819" s="122" t="n">
        <v>0</v>
      </c>
      <c r="AP1819" s="54">
        <f>IFERROR(AO1819/AL1819,"")</f>
        <v/>
      </c>
      <c r="AQ1819" s="125">
        <f>IFERROR(R1819/AO1819,"")</f>
        <v/>
      </c>
      <c r="AR1819" s="122" t="n">
        <v>2</v>
      </c>
      <c r="AS1819" s="122" t="n">
        <v>2</v>
      </c>
      <c r="AT1819" s="122">
        <f>AL1819+AR1819</f>
        <v/>
      </c>
      <c r="AU1819" s="125">
        <f>IFERROR(AO1819*Assumptions!$C$26*Assumptions!$C$27*INDEX(Assumptions!$C$18:$C$21,MATCH(H1819,Assumptions!$B$18:$B$21,0)),0)</f>
        <v/>
      </c>
    </row>
    <row r="1820">
      <c r="A1820" s="120" t="n">
        <v>46256</v>
      </c>
      <c r="B1820" s="66" t="inlineStr">
        <is>
          <t>Wk 34</t>
        </is>
      </c>
      <c r="C1820" s="66" t="inlineStr">
        <is>
          <t>Sat</t>
        </is>
      </c>
      <c r="D1820" s="66" t="inlineStr">
        <is>
          <t>Programmatic</t>
        </is>
      </c>
      <c r="E1820" s="66" t="inlineStr">
        <is>
          <t>DV360</t>
        </is>
      </c>
      <c r="F1820" s="66" t="inlineStr">
        <is>
          <t>LEP_ZA_AUG26_PROG_TD_PROSPECT_DISPLAY</t>
        </is>
      </c>
      <c r="G1820" s="66" t="inlineStr">
        <is>
          <t>Display Prospecting</t>
        </is>
      </c>
      <c r="H1820" s="66" t="inlineStr">
        <is>
          <t>Range</t>
        </is>
      </c>
      <c r="I1820" s="66" t="inlineStr">
        <is>
          <t>Range Offer</t>
        </is>
      </c>
      <c r="J1820" s="66" t="inlineStr">
        <is>
          <t>PROG_CONTEXTUAL_AUTO_NEWS</t>
        </is>
      </c>
      <c r="K1820" s="66" t="inlineStr">
        <is>
          <t>Contextual</t>
        </is>
      </c>
      <c r="L1820" s="66" t="inlineStr">
        <is>
          <t>PROG_HTML5_320x50_Range_v1</t>
        </is>
      </c>
      <c r="M1820" s="66" t="inlineStr">
        <is>
          <t>HTML5 Display 320x50</t>
        </is>
      </c>
      <c r="N1820" s="66" t="inlineStr">
        <is>
          <t>From R3 599pm</t>
        </is>
      </c>
      <c r="O1820" s="66" t="inlineStr">
        <is>
          <t>Programmatic Guaranteed / OA</t>
        </is>
      </c>
      <c r="P1820" s="66" t="inlineStr">
        <is>
          <t>Conversions (CPA)</t>
        </is>
      </c>
      <c r="Q1820" s="66" t="inlineStr">
        <is>
          <t>https://www.lepas-sa.co.za/offers</t>
        </is>
      </c>
      <c r="R1820" s="121" t="n">
        <v>137.89</v>
      </c>
      <c r="S1820" s="122" t="n">
        <v>5181</v>
      </c>
      <c r="T1820" s="122" t="n">
        <v>1871</v>
      </c>
      <c r="U1820" s="123">
        <f>IFERROR(S1820/T1820,"")</f>
        <v/>
      </c>
      <c r="V1820" s="122" t="n">
        <v>13</v>
      </c>
      <c r="W1820" s="122" t="n">
        <v>10</v>
      </c>
      <c r="X1820" s="124">
        <f>IFERROR(W1820/S1820,"")</f>
        <v/>
      </c>
      <c r="Y1820" s="121">
        <f>IFERROR(R1820/W1820,"")</f>
        <v/>
      </c>
      <c r="Z1820" s="121">
        <f>IFERROR(R1820/S1820*1000,"")</f>
        <v/>
      </c>
      <c r="AA1820" s="122" t="n">
        <v>5</v>
      </c>
      <c r="AB1820" s="54">
        <f>IFERROR(AA1820/W1820,"")</f>
        <v/>
      </c>
      <c r="AC1820" s="122" t="n">
        <v>0</v>
      </c>
      <c r="AD1820" s="122" t="n">
        <v>0</v>
      </c>
      <c r="AE1820" s="122" t="n">
        <v>0</v>
      </c>
      <c r="AF1820" s="122" t="n">
        <v>0</v>
      </c>
      <c r="AG1820" s="122" t="n">
        <v>0</v>
      </c>
      <c r="AH1820" s="122" t="n">
        <v>0</v>
      </c>
      <c r="AI1820" s="54">
        <f>IFERROR(AC1820/S1820,"")</f>
        <v/>
      </c>
      <c r="AJ1820" s="54">
        <f>IFERROR(AH1820/S1820,"")</f>
        <v/>
      </c>
      <c r="AK1820" s="122" t="n">
        <v>28</v>
      </c>
      <c r="AL1820" s="122" t="n">
        <v>0</v>
      </c>
      <c r="AM1820" s="124">
        <f>IFERROR(AL1820/AA1820,"")</f>
        <v/>
      </c>
      <c r="AN1820" s="125">
        <f>IFERROR(R1820/AL1820,"")</f>
        <v/>
      </c>
      <c r="AO1820" s="122" t="n">
        <v>0</v>
      </c>
      <c r="AP1820" s="54">
        <f>IFERROR(AO1820/AL1820,"")</f>
        <v/>
      </c>
      <c r="AQ1820" s="125">
        <f>IFERROR(R1820/AO1820,"")</f>
        <v/>
      </c>
      <c r="AR1820" s="122" t="n">
        <v>0</v>
      </c>
      <c r="AS1820" s="122" t="n">
        <v>0</v>
      </c>
      <c r="AT1820" s="122">
        <f>AL1820+AR1820</f>
        <v/>
      </c>
      <c r="AU1820" s="125">
        <f>IFERROR(AO1820*Assumptions!$C$26*Assumptions!$C$27*INDEX(Assumptions!$C$18:$C$21,MATCH(H1820,Assumptions!$B$18:$B$21,0)),0)</f>
        <v/>
      </c>
    </row>
    <row r="1821">
      <c r="A1821" s="120" t="n">
        <v>46257</v>
      </c>
      <c r="B1821" s="66" t="inlineStr">
        <is>
          <t>Wk 34</t>
        </is>
      </c>
      <c r="C1821" s="66" t="inlineStr">
        <is>
          <t>Sun</t>
        </is>
      </c>
      <c r="D1821" s="66" t="inlineStr">
        <is>
          <t>Programmatic</t>
        </is>
      </c>
      <c r="E1821" s="66" t="inlineStr">
        <is>
          <t>DV360</t>
        </is>
      </c>
      <c r="F1821" s="66" t="inlineStr">
        <is>
          <t>LEP_ZA_AUG26_PROG_TD_PROSPECT_DISPLAY</t>
        </is>
      </c>
      <c r="G1821" s="66" t="inlineStr">
        <is>
          <t>Display Prospecting</t>
        </is>
      </c>
      <c r="H1821" s="66" t="inlineStr">
        <is>
          <t>Range</t>
        </is>
      </c>
      <c r="I1821" s="66" t="inlineStr">
        <is>
          <t>Range Offer</t>
        </is>
      </c>
      <c r="J1821" s="66" t="inlineStr">
        <is>
          <t>PROG_CONTEXTUAL_AUTO_NEWS</t>
        </is>
      </c>
      <c r="K1821" s="66" t="inlineStr">
        <is>
          <t>Contextual</t>
        </is>
      </c>
      <c r="L1821" s="66" t="inlineStr">
        <is>
          <t>PROG_HTML5_320x50_Range_v1</t>
        </is>
      </c>
      <c r="M1821" s="66" t="inlineStr">
        <is>
          <t>HTML5 Display 320x50</t>
        </is>
      </c>
      <c r="N1821" s="66" t="inlineStr">
        <is>
          <t>From R3 599pm</t>
        </is>
      </c>
      <c r="O1821" s="66" t="inlineStr">
        <is>
          <t>Programmatic Guaranteed / OA</t>
        </is>
      </c>
      <c r="P1821" s="66" t="inlineStr">
        <is>
          <t>Conversions (CPA)</t>
        </is>
      </c>
      <c r="Q1821" s="66" t="inlineStr">
        <is>
          <t>https://www.lepas-sa.co.za/offers</t>
        </is>
      </c>
      <c r="R1821" s="121" t="n">
        <v>128.05</v>
      </c>
      <c r="S1821" s="122" t="n">
        <v>6702</v>
      </c>
      <c r="T1821" s="122" t="n">
        <v>3122</v>
      </c>
      <c r="U1821" s="123">
        <f>IFERROR(S1821/T1821,"")</f>
        <v/>
      </c>
      <c r="V1821" s="122" t="n">
        <v>12</v>
      </c>
      <c r="W1821" s="122" t="n">
        <v>9</v>
      </c>
      <c r="X1821" s="124">
        <f>IFERROR(W1821/S1821,"")</f>
        <v/>
      </c>
      <c r="Y1821" s="121">
        <f>IFERROR(R1821/W1821,"")</f>
        <v/>
      </c>
      <c r="Z1821" s="121">
        <f>IFERROR(R1821/S1821*1000,"")</f>
        <v/>
      </c>
      <c r="AA1821" s="122" t="n">
        <v>5</v>
      </c>
      <c r="AB1821" s="54">
        <f>IFERROR(AA1821/W1821,"")</f>
        <v/>
      </c>
      <c r="AC1821" s="122" t="n">
        <v>0</v>
      </c>
      <c r="AD1821" s="122" t="n">
        <v>0</v>
      </c>
      <c r="AE1821" s="122" t="n">
        <v>0</v>
      </c>
      <c r="AF1821" s="122" t="n">
        <v>0</v>
      </c>
      <c r="AG1821" s="122" t="n">
        <v>0</v>
      </c>
      <c r="AH1821" s="122" t="n">
        <v>0</v>
      </c>
      <c r="AI1821" s="54">
        <f>IFERROR(AC1821/S1821,"")</f>
        <v/>
      </c>
      <c r="AJ1821" s="54">
        <f>IFERROR(AH1821/S1821,"")</f>
        <v/>
      </c>
      <c r="AK1821" s="122" t="n">
        <v>8</v>
      </c>
      <c r="AL1821" s="122" t="n">
        <v>0</v>
      </c>
      <c r="AM1821" s="124">
        <f>IFERROR(AL1821/AA1821,"")</f>
        <v/>
      </c>
      <c r="AN1821" s="125">
        <f>IFERROR(R1821/AL1821,"")</f>
        <v/>
      </c>
      <c r="AO1821" s="122" t="n">
        <v>0</v>
      </c>
      <c r="AP1821" s="54">
        <f>IFERROR(AO1821/AL1821,"")</f>
        <v/>
      </c>
      <c r="AQ1821" s="125">
        <f>IFERROR(R1821/AO1821,"")</f>
        <v/>
      </c>
      <c r="AR1821" s="122" t="n">
        <v>0</v>
      </c>
      <c r="AS1821" s="122" t="n">
        <v>0</v>
      </c>
      <c r="AT1821" s="122">
        <f>AL1821+AR1821</f>
        <v/>
      </c>
      <c r="AU1821" s="125">
        <f>IFERROR(AO1821*Assumptions!$C$26*Assumptions!$C$27*INDEX(Assumptions!$C$18:$C$21,MATCH(H1821,Assumptions!$B$18:$B$21,0)),0)</f>
        <v/>
      </c>
    </row>
    <row r="1822">
      <c r="A1822" s="120" t="n">
        <v>46258</v>
      </c>
      <c r="B1822" s="66" t="inlineStr">
        <is>
          <t>Wk 35</t>
        </is>
      </c>
      <c r="C1822" s="66" t="inlineStr">
        <is>
          <t>Mon</t>
        </is>
      </c>
      <c r="D1822" s="66" t="inlineStr">
        <is>
          <t>Programmatic</t>
        </is>
      </c>
      <c r="E1822" s="66" t="inlineStr">
        <is>
          <t>DV360</t>
        </is>
      </c>
      <c r="F1822" s="66" t="inlineStr">
        <is>
          <t>LEP_ZA_AUG26_PROG_TD_PROSPECT_DISPLAY</t>
        </is>
      </c>
      <c r="G1822" s="66" t="inlineStr">
        <is>
          <t>Display Prospecting</t>
        </is>
      </c>
      <c r="H1822" s="66" t="inlineStr">
        <is>
          <t>Range</t>
        </is>
      </c>
      <c r="I1822" s="66" t="inlineStr">
        <is>
          <t>Range Offer</t>
        </is>
      </c>
      <c r="J1822" s="66" t="inlineStr">
        <is>
          <t>PROG_CONTEXTUAL_AUTO_NEWS</t>
        </is>
      </c>
      <c r="K1822" s="66" t="inlineStr">
        <is>
          <t>Contextual</t>
        </is>
      </c>
      <c r="L1822" s="66" t="inlineStr">
        <is>
          <t>PROG_HTML5_320x50_Range_v1</t>
        </is>
      </c>
      <c r="M1822" s="66" t="inlineStr">
        <is>
          <t>HTML5 Display 320x50</t>
        </is>
      </c>
      <c r="N1822" s="66" t="inlineStr">
        <is>
          <t>From R3 599pm</t>
        </is>
      </c>
      <c r="O1822" s="66" t="inlineStr">
        <is>
          <t>Programmatic Guaranteed / OA</t>
        </is>
      </c>
      <c r="P1822" s="66" t="inlineStr">
        <is>
          <t>Conversions (CPA)</t>
        </is>
      </c>
      <c r="Q1822" s="66" t="inlineStr">
        <is>
          <t>https://www.lepas-sa.co.za/offers</t>
        </is>
      </c>
      <c r="R1822" s="121" t="n">
        <v>118.37</v>
      </c>
      <c r="S1822" s="122" t="n">
        <v>5047</v>
      </c>
      <c r="T1822" s="122" t="n">
        <v>2860</v>
      </c>
      <c r="U1822" s="123">
        <f>IFERROR(S1822/T1822,"")</f>
        <v/>
      </c>
      <c r="V1822" s="122" t="n">
        <v>9</v>
      </c>
      <c r="W1822" s="122" t="n">
        <v>6</v>
      </c>
      <c r="X1822" s="124">
        <f>IFERROR(W1822/S1822,"")</f>
        <v/>
      </c>
      <c r="Y1822" s="121">
        <f>IFERROR(R1822/W1822,"")</f>
        <v/>
      </c>
      <c r="Z1822" s="121">
        <f>IFERROR(R1822/S1822*1000,"")</f>
        <v/>
      </c>
      <c r="AA1822" s="122" t="n">
        <v>3</v>
      </c>
      <c r="AB1822" s="54">
        <f>IFERROR(AA1822/W1822,"")</f>
        <v/>
      </c>
      <c r="AC1822" s="122" t="n">
        <v>0</v>
      </c>
      <c r="AD1822" s="122" t="n">
        <v>0</v>
      </c>
      <c r="AE1822" s="122" t="n">
        <v>0</v>
      </c>
      <c r="AF1822" s="122" t="n">
        <v>0</v>
      </c>
      <c r="AG1822" s="122" t="n">
        <v>0</v>
      </c>
      <c r="AH1822" s="122" t="n">
        <v>0</v>
      </c>
      <c r="AI1822" s="54">
        <f>IFERROR(AC1822/S1822,"")</f>
        <v/>
      </c>
      <c r="AJ1822" s="54">
        <f>IFERROR(AH1822/S1822,"")</f>
        <v/>
      </c>
      <c r="AK1822" s="122" t="n">
        <v>15</v>
      </c>
      <c r="AL1822" s="122" t="n">
        <v>0</v>
      </c>
      <c r="AM1822" s="124">
        <f>IFERROR(AL1822/AA1822,"")</f>
        <v/>
      </c>
      <c r="AN1822" s="125">
        <f>IFERROR(R1822/AL1822,"")</f>
        <v/>
      </c>
      <c r="AO1822" s="122" t="n">
        <v>0</v>
      </c>
      <c r="AP1822" s="54">
        <f>IFERROR(AO1822/AL1822,"")</f>
        <v/>
      </c>
      <c r="AQ1822" s="125">
        <f>IFERROR(R1822/AO1822,"")</f>
        <v/>
      </c>
      <c r="AR1822" s="122" t="n">
        <v>0</v>
      </c>
      <c r="AS1822" s="122" t="n">
        <v>0</v>
      </c>
      <c r="AT1822" s="122">
        <f>AL1822+AR1822</f>
        <v/>
      </c>
      <c r="AU1822" s="125">
        <f>IFERROR(AO1822*Assumptions!$C$26*Assumptions!$C$27*INDEX(Assumptions!$C$18:$C$21,MATCH(H1822,Assumptions!$B$18:$B$21,0)),0)</f>
        <v/>
      </c>
    </row>
    <row r="1823">
      <c r="A1823" s="120" t="n">
        <v>46259</v>
      </c>
      <c r="B1823" s="66" t="inlineStr">
        <is>
          <t>Wk 35</t>
        </is>
      </c>
      <c r="C1823" s="66" t="inlineStr">
        <is>
          <t>Tue</t>
        </is>
      </c>
      <c r="D1823" s="66" t="inlineStr">
        <is>
          <t>Programmatic</t>
        </is>
      </c>
      <c r="E1823" s="66" t="inlineStr">
        <is>
          <t>DV360</t>
        </is>
      </c>
      <c r="F1823" s="66" t="inlineStr">
        <is>
          <t>LEP_ZA_AUG26_PROG_TD_PROSPECT_DISPLAY</t>
        </is>
      </c>
      <c r="G1823" s="66" t="inlineStr">
        <is>
          <t>Display Prospecting</t>
        </is>
      </c>
      <c r="H1823" s="66" t="inlineStr">
        <is>
          <t>Range</t>
        </is>
      </c>
      <c r="I1823" s="66" t="inlineStr">
        <is>
          <t>Range Offer</t>
        </is>
      </c>
      <c r="J1823" s="66" t="inlineStr">
        <is>
          <t>PROG_CONTEXTUAL_AUTO_NEWS</t>
        </is>
      </c>
      <c r="K1823" s="66" t="inlineStr">
        <is>
          <t>Contextual</t>
        </is>
      </c>
      <c r="L1823" s="66" t="inlineStr">
        <is>
          <t>PROG_HTML5_320x50_Range_v1</t>
        </is>
      </c>
      <c r="M1823" s="66" t="inlineStr">
        <is>
          <t>HTML5 Display 320x50</t>
        </is>
      </c>
      <c r="N1823" s="66" t="inlineStr">
        <is>
          <t>From R3 599pm</t>
        </is>
      </c>
      <c r="O1823" s="66" t="inlineStr">
        <is>
          <t>Programmatic Guaranteed / OA</t>
        </is>
      </c>
      <c r="P1823" s="66" t="inlineStr">
        <is>
          <t>Conversions (CPA)</t>
        </is>
      </c>
      <c r="Q1823" s="66" t="inlineStr">
        <is>
          <t>https://www.lepas-sa.co.za/offers</t>
        </is>
      </c>
      <c r="R1823" s="121" t="n">
        <v>108.86</v>
      </c>
      <c r="S1823" s="122" t="n">
        <v>6743</v>
      </c>
      <c r="T1823" s="122" t="n">
        <v>3424</v>
      </c>
      <c r="U1823" s="123">
        <f>IFERROR(S1823/T1823,"")</f>
        <v/>
      </c>
      <c r="V1823" s="122" t="n">
        <v>6</v>
      </c>
      <c r="W1823" s="122" t="n">
        <v>5</v>
      </c>
      <c r="X1823" s="124">
        <f>IFERROR(W1823/S1823,"")</f>
        <v/>
      </c>
      <c r="Y1823" s="121">
        <f>IFERROR(R1823/W1823,"")</f>
        <v/>
      </c>
      <c r="Z1823" s="121">
        <f>IFERROR(R1823/S1823*1000,"")</f>
        <v/>
      </c>
      <c r="AA1823" s="122" t="n">
        <v>4</v>
      </c>
      <c r="AB1823" s="54">
        <f>IFERROR(AA1823/W1823,"")</f>
        <v/>
      </c>
      <c r="AC1823" s="122" t="n">
        <v>0</v>
      </c>
      <c r="AD1823" s="122" t="n">
        <v>0</v>
      </c>
      <c r="AE1823" s="122" t="n">
        <v>0</v>
      </c>
      <c r="AF1823" s="122" t="n">
        <v>0</v>
      </c>
      <c r="AG1823" s="122" t="n">
        <v>0</v>
      </c>
      <c r="AH1823" s="122" t="n">
        <v>0</v>
      </c>
      <c r="AI1823" s="54">
        <f>IFERROR(AC1823/S1823,"")</f>
        <v/>
      </c>
      <c r="AJ1823" s="54">
        <f>IFERROR(AH1823/S1823,"")</f>
        <v/>
      </c>
      <c r="AK1823" s="122" t="n">
        <v>29</v>
      </c>
      <c r="AL1823" s="122" t="n">
        <v>0</v>
      </c>
      <c r="AM1823" s="124">
        <f>IFERROR(AL1823/AA1823,"")</f>
        <v/>
      </c>
      <c r="AN1823" s="125">
        <f>IFERROR(R1823/AL1823,"")</f>
        <v/>
      </c>
      <c r="AO1823" s="122" t="n">
        <v>0</v>
      </c>
      <c r="AP1823" s="54">
        <f>IFERROR(AO1823/AL1823,"")</f>
        <v/>
      </c>
      <c r="AQ1823" s="125">
        <f>IFERROR(R1823/AO1823,"")</f>
        <v/>
      </c>
      <c r="AR1823" s="122" t="n">
        <v>0</v>
      </c>
      <c r="AS1823" s="122" t="n">
        <v>0</v>
      </c>
      <c r="AT1823" s="122">
        <f>AL1823+AR1823</f>
        <v/>
      </c>
      <c r="AU1823" s="125">
        <f>IFERROR(AO1823*Assumptions!$C$26*Assumptions!$C$27*INDEX(Assumptions!$C$18:$C$21,MATCH(H1823,Assumptions!$B$18:$B$21,0)),0)</f>
        <v/>
      </c>
    </row>
    <row r="1824">
      <c r="A1824" s="120" t="n">
        <v>46260</v>
      </c>
      <c r="B1824" s="66" t="inlineStr">
        <is>
          <t>Wk 35</t>
        </is>
      </c>
      <c r="C1824" s="66" t="inlineStr">
        <is>
          <t>Wed</t>
        </is>
      </c>
      <c r="D1824" s="66" t="inlineStr">
        <is>
          <t>Programmatic</t>
        </is>
      </c>
      <c r="E1824" s="66" t="inlineStr">
        <is>
          <t>DV360</t>
        </is>
      </c>
      <c r="F1824" s="66" t="inlineStr">
        <is>
          <t>LEP_ZA_AUG26_PROG_TD_PROSPECT_DISPLAY</t>
        </is>
      </c>
      <c r="G1824" s="66" t="inlineStr">
        <is>
          <t>Display Prospecting</t>
        </is>
      </c>
      <c r="H1824" s="66" t="inlineStr">
        <is>
          <t>Range</t>
        </is>
      </c>
      <c r="I1824" s="66" t="inlineStr">
        <is>
          <t>Range Offer</t>
        </is>
      </c>
      <c r="J1824" s="66" t="inlineStr">
        <is>
          <t>PROG_CONTEXTUAL_AUTO_NEWS</t>
        </is>
      </c>
      <c r="K1824" s="66" t="inlineStr">
        <is>
          <t>Contextual</t>
        </is>
      </c>
      <c r="L1824" s="66" t="inlineStr">
        <is>
          <t>PROG_HTML5_320x50_Range_v1</t>
        </is>
      </c>
      <c r="M1824" s="66" t="inlineStr">
        <is>
          <t>HTML5 Display 320x50</t>
        </is>
      </c>
      <c r="N1824" s="66" t="inlineStr">
        <is>
          <t>From R3 599pm</t>
        </is>
      </c>
      <c r="O1824" s="66" t="inlineStr">
        <is>
          <t>Programmatic Guaranteed / OA</t>
        </is>
      </c>
      <c r="P1824" s="66" t="inlineStr">
        <is>
          <t>Conversions (CPA)</t>
        </is>
      </c>
      <c r="Q1824" s="66" t="inlineStr">
        <is>
          <t>https://www.lepas-sa.co.za/offers</t>
        </is>
      </c>
      <c r="R1824" s="121" t="n">
        <v>145.15</v>
      </c>
      <c r="S1824" s="122" t="n">
        <v>5282</v>
      </c>
      <c r="T1824" s="122" t="n">
        <v>3182</v>
      </c>
      <c r="U1824" s="123">
        <f>IFERROR(S1824/T1824,"")</f>
        <v/>
      </c>
      <c r="V1824" s="122" t="n">
        <v>4</v>
      </c>
      <c r="W1824" s="122" t="n">
        <v>3</v>
      </c>
      <c r="X1824" s="124">
        <f>IFERROR(W1824/S1824,"")</f>
        <v/>
      </c>
      <c r="Y1824" s="121">
        <f>IFERROR(R1824/W1824,"")</f>
        <v/>
      </c>
      <c r="Z1824" s="121">
        <f>IFERROR(R1824/S1824*1000,"")</f>
        <v/>
      </c>
      <c r="AA1824" s="122" t="n">
        <v>2</v>
      </c>
      <c r="AB1824" s="54">
        <f>IFERROR(AA1824/W1824,"")</f>
        <v/>
      </c>
      <c r="AC1824" s="122" t="n">
        <v>0</v>
      </c>
      <c r="AD1824" s="122" t="n">
        <v>0</v>
      </c>
      <c r="AE1824" s="122" t="n">
        <v>0</v>
      </c>
      <c r="AF1824" s="122" t="n">
        <v>0</v>
      </c>
      <c r="AG1824" s="122" t="n">
        <v>0</v>
      </c>
      <c r="AH1824" s="122" t="n">
        <v>0</v>
      </c>
      <c r="AI1824" s="54">
        <f>IFERROR(AC1824/S1824,"")</f>
        <v/>
      </c>
      <c r="AJ1824" s="54">
        <f>IFERROR(AH1824/S1824,"")</f>
        <v/>
      </c>
      <c r="AK1824" s="122" t="n">
        <v>15</v>
      </c>
      <c r="AL1824" s="122" t="n">
        <v>0</v>
      </c>
      <c r="AM1824" s="124">
        <f>IFERROR(AL1824/AA1824,"")</f>
        <v/>
      </c>
      <c r="AN1824" s="125">
        <f>IFERROR(R1824/AL1824,"")</f>
        <v/>
      </c>
      <c r="AO1824" s="122" t="n">
        <v>0</v>
      </c>
      <c r="AP1824" s="54">
        <f>IFERROR(AO1824/AL1824,"")</f>
        <v/>
      </c>
      <c r="AQ1824" s="125">
        <f>IFERROR(R1824/AO1824,"")</f>
        <v/>
      </c>
      <c r="AR1824" s="122" t="n">
        <v>0</v>
      </c>
      <c r="AS1824" s="122" t="n">
        <v>0</v>
      </c>
      <c r="AT1824" s="122">
        <f>AL1824+AR1824</f>
        <v/>
      </c>
      <c r="AU1824" s="125">
        <f>IFERROR(AO1824*Assumptions!$C$26*Assumptions!$C$27*INDEX(Assumptions!$C$18:$C$21,MATCH(H1824,Assumptions!$B$18:$B$21,0)),0)</f>
        <v/>
      </c>
    </row>
    <row r="1825">
      <c r="A1825" s="120" t="n">
        <v>46261</v>
      </c>
      <c r="B1825" s="66" t="inlineStr">
        <is>
          <t>Wk 35</t>
        </is>
      </c>
      <c r="C1825" s="66" t="inlineStr">
        <is>
          <t>Thu</t>
        </is>
      </c>
      <c r="D1825" s="66" t="inlineStr">
        <is>
          <t>Programmatic</t>
        </is>
      </c>
      <c r="E1825" s="66" t="inlineStr">
        <is>
          <t>DV360</t>
        </is>
      </c>
      <c r="F1825" s="66" t="inlineStr">
        <is>
          <t>LEP_ZA_AUG26_PROG_TD_PROSPECT_DISPLAY</t>
        </is>
      </c>
      <c r="G1825" s="66" t="inlineStr">
        <is>
          <t>Display Prospecting</t>
        </is>
      </c>
      <c r="H1825" s="66" t="inlineStr">
        <is>
          <t>Range</t>
        </is>
      </c>
      <c r="I1825" s="66" t="inlineStr">
        <is>
          <t>Range Offer</t>
        </is>
      </c>
      <c r="J1825" s="66" t="inlineStr">
        <is>
          <t>PROG_CONTEXTUAL_AUTO_NEWS</t>
        </is>
      </c>
      <c r="K1825" s="66" t="inlineStr">
        <is>
          <t>Contextual</t>
        </is>
      </c>
      <c r="L1825" s="66" t="inlineStr">
        <is>
          <t>PROG_HTML5_320x50_Range_v1</t>
        </is>
      </c>
      <c r="M1825" s="66" t="inlineStr">
        <is>
          <t>HTML5 Display 320x50</t>
        </is>
      </c>
      <c r="N1825" s="66" t="inlineStr">
        <is>
          <t>From R3 599pm</t>
        </is>
      </c>
      <c r="O1825" s="66" t="inlineStr">
        <is>
          <t>Programmatic Guaranteed / OA</t>
        </is>
      </c>
      <c r="P1825" s="66" t="inlineStr">
        <is>
          <t>Conversions (CPA)</t>
        </is>
      </c>
      <c r="Q1825" s="66" t="inlineStr">
        <is>
          <t>https://www.lepas-sa.co.za/offers</t>
        </is>
      </c>
      <c r="R1825" s="121" t="n">
        <v>160.55</v>
      </c>
      <c r="S1825" s="122" t="n">
        <v>7568</v>
      </c>
      <c r="T1825" s="122" t="n">
        <v>3169</v>
      </c>
      <c r="U1825" s="123">
        <f>IFERROR(S1825/T1825,"")</f>
        <v/>
      </c>
      <c r="V1825" s="122" t="n">
        <v>13</v>
      </c>
      <c r="W1825" s="122" t="n">
        <v>10</v>
      </c>
      <c r="X1825" s="124">
        <f>IFERROR(W1825/S1825,"")</f>
        <v/>
      </c>
      <c r="Y1825" s="121">
        <f>IFERROR(R1825/W1825,"")</f>
        <v/>
      </c>
      <c r="Z1825" s="121">
        <f>IFERROR(R1825/S1825*1000,"")</f>
        <v/>
      </c>
      <c r="AA1825" s="122" t="n">
        <v>7</v>
      </c>
      <c r="AB1825" s="54">
        <f>IFERROR(AA1825/W1825,"")</f>
        <v/>
      </c>
      <c r="AC1825" s="122" t="n">
        <v>0</v>
      </c>
      <c r="AD1825" s="122" t="n">
        <v>0</v>
      </c>
      <c r="AE1825" s="122" t="n">
        <v>0</v>
      </c>
      <c r="AF1825" s="122" t="n">
        <v>0</v>
      </c>
      <c r="AG1825" s="122" t="n">
        <v>0</v>
      </c>
      <c r="AH1825" s="122" t="n">
        <v>0</v>
      </c>
      <c r="AI1825" s="54">
        <f>IFERROR(AC1825/S1825,"")</f>
        <v/>
      </c>
      <c r="AJ1825" s="54">
        <f>IFERROR(AH1825/S1825,"")</f>
        <v/>
      </c>
      <c r="AK1825" s="122" t="n">
        <v>19</v>
      </c>
      <c r="AL1825" s="122" t="n">
        <v>0</v>
      </c>
      <c r="AM1825" s="124">
        <f>IFERROR(AL1825/AA1825,"")</f>
        <v/>
      </c>
      <c r="AN1825" s="125">
        <f>IFERROR(R1825/AL1825,"")</f>
        <v/>
      </c>
      <c r="AO1825" s="122" t="n">
        <v>0</v>
      </c>
      <c r="AP1825" s="54">
        <f>IFERROR(AO1825/AL1825,"")</f>
        <v/>
      </c>
      <c r="AQ1825" s="125">
        <f>IFERROR(R1825/AO1825,"")</f>
        <v/>
      </c>
      <c r="AR1825" s="122" t="n">
        <v>0</v>
      </c>
      <c r="AS1825" s="122" t="n">
        <v>0</v>
      </c>
      <c r="AT1825" s="122">
        <f>AL1825+AR1825</f>
        <v/>
      </c>
      <c r="AU1825" s="125">
        <f>IFERROR(AO1825*Assumptions!$C$26*Assumptions!$C$27*INDEX(Assumptions!$C$18:$C$21,MATCH(H1825,Assumptions!$B$18:$B$21,0)),0)</f>
        <v/>
      </c>
    </row>
    <row r="1826">
      <c r="A1826" s="120" t="n">
        <v>46262</v>
      </c>
      <c r="B1826" s="66" t="inlineStr">
        <is>
          <t>Wk 35</t>
        </is>
      </c>
      <c r="C1826" s="66" t="inlineStr">
        <is>
          <t>Fri</t>
        </is>
      </c>
      <c r="D1826" s="66" t="inlineStr">
        <is>
          <t>Programmatic</t>
        </is>
      </c>
      <c r="E1826" s="66" t="inlineStr">
        <is>
          <t>DV360</t>
        </is>
      </c>
      <c r="F1826" s="66" t="inlineStr">
        <is>
          <t>LEP_ZA_AUG26_PROG_TD_PROSPECT_DISPLAY</t>
        </is>
      </c>
      <c r="G1826" s="66" t="inlineStr">
        <is>
          <t>Display Prospecting</t>
        </is>
      </c>
      <c r="H1826" s="66" t="inlineStr">
        <is>
          <t>Range</t>
        </is>
      </c>
      <c r="I1826" s="66" t="inlineStr">
        <is>
          <t>Range Offer</t>
        </is>
      </c>
      <c r="J1826" s="66" t="inlineStr">
        <is>
          <t>PROG_CONTEXTUAL_AUTO_NEWS</t>
        </is>
      </c>
      <c r="K1826" s="66" t="inlineStr">
        <is>
          <t>Contextual</t>
        </is>
      </c>
      <c r="L1826" s="66" t="inlineStr">
        <is>
          <t>PROG_HTML5_320x50_Range_v1</t>
        </is>
      </c>
      <c r="M1826" s="66" t="inlineStr">
        <is>
          <t>HTML5 Display 320x50</t>
        </is>
      </c>
      <c r="N1826" s="66" t="inlineStr">
        <is>
          <t>From R3 599pm</t>
        </is>
      </c>
      <c r="O1826" s="66" t="inlineStr">
        <is>
          <t>Programmatic Guaranteed / OA</t>
        </is>
      </c>
      <c r="P1826" s="66" t="inlineStr">
        <is>
          <t>Conversions (CPA)</t>
        </is>
      </c>
      <c r="Q1826" s="66" t="inlineStr">
        <is>
          <t>https://www.lepas-sa.co.za/offers</t>
        </is>
      </c>
      <c r="R1826" s="121" t="n">
        <v>191.86</v>
      </c>
      <c r="S1826" s="122" t="n">
        <v>8022</v>
      </c>
      <c r="T1826" s="122" t="n">
        <v>2836</v>
      </c>
      <c r="U1826" s="123">
        <f>IFERROR(S1826/T1826,"")</f>
        <v/>
      </c>
      <c r="V1826" s="122" t="n">
        <v>22</v>
      </c>
      <c r="W1826" s="122" t="n">
        <v>17</v>
      </c>
      <c r="X1826" s="124">
        <f>IFERROR(W1826/S1826,"")</f>
        <v/>
      </c>
      <c r="Y1826" s="121">
        <f>IFERROR(R1826/W1826,"")</f>
        <v/>
      </c>
      <c r="Z1826" s="121">
        <f>IFERROR(R1826/S1826*1000,"")</f>
        <v/>
      </c>
      <c r="AA1826" s="122" t="n">
        <v>10</v>
      </c>
      <c r="AB1826" s="54">
        <f>IFERROR(AA1826/W1826,"")</f>
        <v/>
      </c>
      <c r="AC1826" s="122" t="n">
        <v>0</v>
      </c>
      <c r="AD1826" s="122" t="n">
        <v>0</v>
      </c>
      <c r="AE1826" s="122" t="n">
        <v>0</v>
      </c>
      <c r="AF1826" s="122" t="n">
        <v>0</v>
      </c>
      <c r="AG1826" s="122" t="n">
        <v>0</v>
      </c>
      <c r="AH1826" s="122" t="n">
        <v>0</v>
      </c>
      <c r="AI1826" s="54">
        <f>IFERROR(AC1826/S1826,"")</f>
        <v/>
      </c>
      <c r="AJ1826" s="54">
        <f>IFERROR(AH1826/S1826,"")</f>
        <v/>
      </c>
      <c r="AK1826" s="122" t="n">
        <v>14</v>
      </c>
      <c r="AL1826" s="122" t="n">
        <v>0</v>
      </c>
      <c r="AM1826" s="124">
        <f>IFERROR(AL1826/AA1826,"")</f>
        <v/>
      </c>
      <c r="AN1826" s="125">
        <f>IFERROR(R1826/AL1826,"")</f>
        <v/>
      </c>
      <c r="AO1826" s="122" t="n">
        <v>0</v>
      </c>
      <c r="AP1826" s="54">
        <f>IFERROR(AO1826/AL1826,"")</f>
        <v/>
      </c>
      <c r="AQ1826" s="125">
        <f>IFERROR(R1826/AO1826,"")</f>
        <v/>
      </c>
      <c r="AR1826" s="122" t="n">
        <v>0</v>
      </c>
      <c r="AS1826" s="122" t="n">
        <v>0</v>
      </c>
      <c r="AT1826" s="122">
        <f>AL1826+AR1826</f>
        <v/>
      </c>
      <c r="AU1826" s="125">
        <f>IFERROR(AO1826*Assumptions!$C$26*Assumptions!$C$27*INDEX(Assumptions!$C$18:$C$21,MATCH(H1826,Assumptions!$B$18:$B$21,0)),0)</f>
        <v/>
      </c>
    </row>
    <row r="1827">
      <c r="A1827" s="120" t="n">
        <v>46263</v>
      </c>
      <c r="B1827" s="66" t="inlineStr">
        <is>
          <t>Wk 35</t>
        </is>
      </c>
      <c r="C1827" s="66" t="inlineStr">
        <is>
          <t>Sat</t>
        </is>
      </c>
      <c r="D1827" s="66" t="inlineStr">
        <is>
          <t>Programmatic</t>
        </is>
      </c>
      <c r="E1827" s="66" t="inlineStr">
        <is>
          <t>DV360</t>
        </is>
      </c>
      <c r="F1827" s="66" t="inlineStr">
        <is>
          <t>LEP_ZA_AUG26_PROG_TD_PROSPECT_DISPLAY</t>
        </is>
      </c>
      <c r="G1827" s="66" t="inlineStr">
        <is>
          <t>Display Prospecting</t>
        </is>
      </c>
      <c r="H1827" s="66" t="inlineStr">
        <is>
          <t>Range</t>
        </is>
      </c>
      <c r="I1827" s="66" t="inlineStr">
        <is>
          <t>Range Offer</t>
        </is>
      </c>
      <c r="J1827" s="66" t="inlineStr">
        <is>
          <t>PROG_CONTEXTUAL_AUTO_NEWS</t>
        </is>
      </c>
      <c r="K1827" s="66" t="inlineStr">
        <is>
          <t>Contextual</t>
        </is>
      </c>
      <c r="L1827" s="66" t="inlineStr">
        <is>
          <t>PROG_HTML5_320x50_Range_v1</t>
        </is>
      </c>
      <c r="M1827" s="66" t="inlineStr">
        <is>
          <t>HTML5 Display 320x50</t>
        </is>
      </c>
      <c r="N1827" s="66" t="inlineStr">
        <is>
          <t>From R3 599pm</t>
        </is>
      </c>
      <c r="O1827" s="66" t="inlineStr">
        <is>
          <t>Programmatic Guaranteed / OA</t>
        </is>
      </c>
      <c r="P1827" s="66" t="inlineStr">
        <is>
          <t>Conversions (CPA)</t>
        </is>
      </c>
      <c r="Q1827" s="66" t="inlineStr">
        <is>
          <t>https://www.lepas-sa.co.za/offers</t>
        </is>
      </c>
      <c r="R1827" s="121" t="n">
        <v>183.52</v>
      </c>
      <c r="S1827" s="122" t="n">
        <v>9958</v>
      </c>
      <c r="T1827" s="122" t="n">
        <v>4971</v>
      </c>
      <c r="U1827" s="123">
        <f>IFERROR(S1827/T1827,"")</f>
        <v/>
      </c>
      <c r="V1827" s="122" t="n">
        <v>21</v>
      </c>
      <c r="W1827" s="122" t="n">
        <v>17</v>
      </c>
      <c r="X1827" s="124">
        <f>IFERROR(W1827/S1827,"")</f>
        <v/>
      </c>
      <c r="Y1827" s="121">
        <f>IFERROR(R1827/W1827,"")</f>
        <v/>
      </c>
      <c r="Z1827" s="121">
        <f>IFERROR(R1827/S1827*1000,"")</f>
        <v/>
      </c>
      <c r="AA1827" s="122" t="n">
        <v>10</v>
      </c>
      <c r="AB1827" s="54">
        <f>IFERROR(AA1827/W1827,"")</f>
        <v/>
      </c>
      <c r="AC1827" s="122" t="n">
        <v>0</v>
      </c>
      <c r="AD1827" s="122" t="n">
        <v>0</v>
      </c>
      <c r="AE1827" s="122" t="n">
        <v>0</v>
      </c>
      <c r="AF1827" s="122" t="n">
        <v>0</v>
      </c>
      <c r="AG1827" s="122" t="n">
        <v>0</v>
      </c>
      <c r="AH1827" s="122" t="n">
        <v>0</v>
      </c>
      <c r="AI1827" s="54">
        <f>IFERROR(AC1827/S1827,"")</f>
        <v/>
      </c>
      <c r="AJ1827" s="54">
        <f>IFERROR(AH1827/S1827,"")</f>
        <v/>
      </c>
      <c r="AK1827" s="122" t="n">
        <v>58</v>
      </c>
      <c r="AL1827" s="122" t="n">
        <v>1</v>
      </c>
      <c r="AM1827" s="124">
        <f>IFERROR(AL1827/AA1827,"")</f>
        <v/>
      </c>
      <c r="AN1827" s="125">
        <f>IFERROR(R1827/AL1827,"")</f>
        <v/>
      </c>
      <c r="AO1827" s="122" t="n">
        <v>0</v>
      </c>
      <c r="AP1827" s="54">
        <f>IFERROR(AO1827/AL1827,"")</f>
        <v/>
      </c>
      <c r="AQ1827" s="125">
        <f>IFERROR(R1827/AO1827,"")</f>
        <v/>
      </c>
      <c r="AR1827" s="122" t="n">
        <v>2</v>
      </c>
      <c r="AS1827" s="122" t="n">
        <v>1</v>
      </c>
      <c r="AT1827" s="122">
        <f>AL1827+AR1827</f>
        <v/>
      </c>
      <c r="AU1827" s="125">
        <f>IFERROR(AO1827*Assumptions!$C$26*Assumptions!$C$27*INDEX(Assumptions!$C$18:$C$21,MATCH(H1827,Assumptions!$B$18:$B$21,0)),0)</f>
        <v/>
      </c>
    </row>
    <row r="1828">
      <c r="A1828" s="120" t="n">
        <v>46264</v>
      </c>
      <c r="B1828" s="66" t="inlineStr">
        <is>
          <t>Wk 35</t>
        </is>
      </c>
      <c r="C1828" s="66" t="inlineStr">
        <is>
          <t>Sun</t>
        </is>
      </c>
      <c r="D1828" s="66" t="inlineStr">
        <is>
          <t>Programmatic</t>
        </is>
      </c>
      <c r="E1828" s="66" t="inlineStr">
        <is>
          <t>DV360</t>
        </is>
      </c>
      <c r="F1828" s="66" t="inlineStr">
        <is>
          <t>LEP_ZA_AUG26_PROG_TD_PROSPECT_DISPLAY</t>
        </is>
      </c>
      <c r="G1828" s="66" t="inlineStr">
        <is>
          <t>Display Prospecting</t>
        </is>
      </c>
      <c r="H1828" s="66" t="inlineStr">
        <is>
          <t>Range</t>
        </is>
      </c>
      <c r="I1828" s="66" t="inlineStr">
        <is>
          <t>Range Offer</t>
        </is>
      </c>
      <c r="J1828" s="66" t="inlineStr">
        <is>
          <t>PROG_CONTEXTUAL_AUTO_NEWS</t>
        </is>
      </c>
      <c r="K1828" s="66" t="inlineStr">
        <is>
          <t>Contextual</t>
        </is>
      </c>
      <c r="L1828" s="66" t="inlineStr">
        <is>
          <t>PROG_HTML5_320x50_Range_v1</t>
        </is>
      </c>
      <c r="M1828" s="66" t="inlineStr">
        <is>
          <t>HTML5 Display 320x50</t>
        </is>
      </c>
      <c r="N1828" s="66" t="inlineStr">
        <is>
          <t>From R3 599pm</t>
        </is>
      </c>
      <c r="O1828" s="66" t="inlineStr">
        <is>
          <t>Programmatic Guaranteed / OA</t>
        </is>
      </c>
      <c r="P1828" s="66" t="inlineStr">
        <is>
          <t>Conversions (CPA)</t>
        </is>
      </c>
      <c r="Q1828" s="66" t="inlineStr">
        <is>
          <t>https://www.lepas-sa.co.za/offers</t>
        </is>
      </c>
      <c r="R1828" s="121" t="n">
        <v>137.76</v>
      </c>
      <c r="S1828" s="122" t="n">
        <v>4212</v>
      </c>
      <c r="T1828" s="122" t="n">
        <v>1621</v>
      </c>
      <c r="U1828" s="123">
        <f>IFERROR(S1828/T1828,"")</f>
        <v/>
      </c>
      <c r="V1828" s="122" t="n">
        <v>6</v>
      </c>
      <c r="W1828" s="122" t="n">
        <v>4</v>
      </c>
      <c r="X1828" s="124">
        <f>IFERROR(W1828/S1828,"")</f>
        <v/>
      </c>
      <c r="Y1828" s="121">
        <f>IFERROR(R1828/W1828,"")</f>
        <v/>
      </c>
      <c r="Z1828" s="121">
        <f>IFERROR(R1828/S1828*1000,"")</f>
        <v/>
      </c>
      <c r="AA1828" s="122" t="n">
        <v>3</v>
      </c>
      <c r="AB1828" s="54">
        <f>IFERROR(AA1828/W1828,"")</f>
        <v/>
      </c>
      <c r="AC1828" s="122" t="n">
        <v>0</v>
      </c>
      <c r="AD1828" s="122" t="n">
        <v>0</v>
      </c>
      <c r="AE1828" s="122" t="n">
        <v>0</v>
      </c>
      <c r="AF1828" s="122" t="n">
        <v>0</v>
      </c>
      <c r="AG1828" s="122" t="n">
        <v>0</v>
      </c>
      <c r="AH1828" s="122" t="n">
        <v>0</v>
      </c>
      <c r="AI1828" s="54">
        <f>IFERROR(AC1828/S1828,"")</f>
        <v/>
      </c>
      <c r="AJ1828" s="54">
        <f>IFERROR(AH1828/S1828,"")</f>
        <v/>
      </c>
      <c r="AK1828" s="122" t="n">
        <v>12</v>
      </c>
      <c r="AL1828" s="122" t="n">
        <v>0</v>
      </c>
      <c r="AM1828" s="124">
        <f>IFERROR(AL1828/AA1828,"")</f>
        <v/>
      </c>
      <c r="AN1828" s="125">
        <f>IFERROR(R1828/AL1828,"")</f>
        <v/>
      </c>
      <c r="AO1828" s="122" t="n">
        <v>0</v>
      </c>
      <c r="AP1828" s="54">
        <f>IFERROR(AO1828/AL1828,"")</f>
        <v/>
      </c>
      <c r="AQ1828" s="125">
        <f>IFERROR(R1828/AO1828,"")</f>
        <v/>
      </c>
      <c r="AR1828" s="122" t="n">
        <v>0</v>
      </c>
      <c r="AS1828" s="122" t="n">
        <v>0</v>
      </c>
      <c r="AT1828" s="122">
        <f>AL1828+AR1828</f>
        <v/>
      </c>
      <c r="AU1828" s="125">
        <f>IFERROR(AO1828*Assumptions!$C$26*Assumptions!$C$27*INDEX(Assumptions!$C$18:$C$21,MATCH(H1828,Assumptions!$B$18:$B$21,0)),0)</f>
        <v/>
      </c>
    </row>
    <row r="1829">
      <c r="A1829" s="120" t="n">
        <v>46265</v>
      </c>
      <c r="B1829" s="66" t="inlineStr">
        <is>
          <t>Wk 36</t>
        </is>
      </c>
      <c r="C1829" s="66" t="inlineStr">
        <is>
          <t>Mon</t>
        </is>
      </c>
      <c r="D1829" s="66" t="inlineStr">
        <is>
          <t>Programmatic</t>
        </is>
      </c>
      <c r="E1829" s="66" t="inlineStr">
        <is>
          <t>DV360</t>
        </is>
      </c>
      <c r="F1829" s="66" t="inlineStr">
        <is>
          <t>LEP_ZA_AUG26_PROG_TD_PROSPECT_DISPLAY</t>
        </is>
      </c>
      <c r="G1829" s="66" t="inlineStr">
        <is>
          <t>Display Prospecting</t>
        </is>
      </c>
      <c r="H1829" s="66" t="inlineStr">
        <is>
          <t>Range</t>
        </is>
      </c>
      <c r="I1829" s="66" t="inlineStr">
        <is>
          <t>Range Offer</t>
        </is>
      </c>
      <c r="J1829" s="66" t="inlineStr">
        <is>
          <t>PROG_CONTEXTUAL_AUTO_NEWS</t>
        </is>
      </c>
      <c r="K1829" s="66" t="inlineStr">
        <is>
          <t>Contextual</t>
        </is>
      </c>
      <c r="L1829" s="66" t="inlineStr">
        <is>
          <t>PROG_HTML5_320x50_Range_v1</t>
        </is>
      </c>
      <c r="M1829" s="66" t="inlineStr">
        <is>
          <t>HTML5 Display 320x50</t>
        </is>
      </c>
      <c r="N1829" s="66" t="inlineStr">
        <is>
          <t>From R3 599pm</t>
        </is>
      </c>
      <c r="O1829" s="66" t="inlineStr">
        <is>
          <t>Programmatic Guaranteed / OA</t>
        </is>
      </c>
      <c r="P1829" s="66" t="inlineStr">
        <is>
          <t>Conversions (CPA)</t>
        </is>
      </c>
      <c r="Q1829" s="66" t="inlineStr">
        <is>
          <t>https://www.lepas-sa.co.za/offers</t>
        </is>
      </c>
      <c r="R1829" s="121" t="n">
        <v>140</v>
      </c>
      <c r="S1829" s="122" t="n">
        <v>5861</v>
      </c>
      <c r="T1829" s="122" t="n">
        <v>2111</v>
      </c>
      <c r="U1829" s="123">
        <f>IFERROR(S1829/T1829,"")</f>
        <v/>
      </c>
      <c r="V1829" s="122" t="n">
        <v>13</v>
      </c>
      <c r="W1829" s="122" t="n">
        <v>11</v>
      </c>
      <c r="X1829" s="124">
        <f>IFERROR(W1829/S1829,"")</f>
        <v/>
      </c>
      <c r="Y1829" s="121">
        <f>IFERROR(R1829/W1829,"")</f>
        <v/>
      </c>
      <c r="Z1829" s="121">
        <f>IFERROR(R1829/S1829*1000,"")</f>
        <v/>
      </c>
      <c r="AA1829" s="122" t="n">
        <v>8</v>
      </c>
      <c r="AB1829" s="54">
        <f>IFERROR(AA1829/W1829,"")</f>
        <v/>
      </c>
      <c r="AC1829" s="122" t="n">
        <v>0</v>
      </c>
      <c r="AD1829" s="122" t="n">
        <v>0</v>
      </c>
      <c r="AE1829" s="122" t="n">
        <v>0</v>
      </c>
      <c r="AF1829" s="122" t="n">
        <v>0</v>
      </c>
      <c r="AG1829" s="122" t="n">
        <v>0</v>
      </c>
      <c r="AH1829" s="122" t="n">
        <v>0</v>
      </c>
      <c r="AI1829" s="54">
        <f>IFERROR(AC1829/S1829,"")</f>
        <v/>
      </c>
      <c r="AJ1829" s="54">
        <f>IFERROR(AH1829/S1829,"")</f>
        <v/>
      </c>
      <c r="AK1829" s="122" t="n">
        <v>30</v>
      </c>
      <c r="AL1829" s="122" t="n">
        <v>0</v>
      </c>
      <c r="AM1829" s="124">
        <f>IFERROR(AL1829/AA1829,"")</f>
        <v/>
      </c>
      <c r="AN1829" s="125">
        <f>IFERROR(R1829/AL1829,"")</f>
        <v/>
      </c>
      <c r="AO1829" s="122" t="n">
        <v>0</v>
      </c>
      <c r="AP1829" s="54">
        <f>IFERROR(AO1829/AL1829,"")</f>
        <v/>
      </c>
      <c r="AQ1829" s="125">
        <f>IFERROR(R1829/AO1829,"")</f>
        <v/>
      </c>
      <c r="AR1829" s="122" t="n">
        <v>0</v>
      </c>
      <c r="AS1829" s="122" t="n">
        <v>0</v>
      </c>
      <c r="AT1829" s="122">
        <f>AL1829+AR1829</f>
        <v/>
      </c>
      <c r="AU1829" s="125">
        <f>IFERROR(AO1829*Assumptions!$C$26*Assumptions!$C$27*INDEX(Assumptions!$C$18:$C$21,MATCH(H1829,Assumptions!$B$18:$B$21,0)),0)</f>
        <v/>
      </c>
    </row>
    <row r="1830">
      <c r="A1830" s="120" t="n">
        <v>46235</v>
      </c>
      <c r="B1830" s="66" t="inlineStr">
        <is>
          <t>Wk 31</t>
        </is>
      </c>
      <c r="C1830" s="66" t="inlineStr">
        <is>
          <t>Sat</t>
        </is>
      </c>
      <c r="D1830" s="66" t="inlineStr">
        <is>
          <t>Programmatic</t>
        </is>
      </c>
      <c r="E1830" s="66" t="inlineStr">
        <is>
          <t>DV360</t>
        </is>
      </c>
      <c r="F1830" s="66" t="inlineStr">
        <is>
          <t>LEP_ZA_AUG26_PROG_TD_PROSPECT_DISPLAY</t>
        </is>
      </c>
      <c r="G1830" s="66" t="inlineStr">
        <is>
          <t>Display Prospecting</t>
        </is>
      </c>
      <c r="H1830" s="66" t="inlineStr">
        <is>
          <t>Range</t>
        </is>
      </c>
      <c r="I1830" s="66" t="inlineStr">
        <is>
          <t>Range Offer</t>
        </is>
      </c>
      <c r="J1830" s="66" t="inlineStr">
        <is>
          <t>PROG_3PD_INMKT_AUTO</t>
        </is>
      </c>
      <c r="K1830" s="66" t="inlineStr">
        <is>
          <t>In-Market</t>
        </is>
      </c>
      <c r="L1830" s="66" t="inlineStr">
        <is>
          <t>PROG_HTML5_300x600_Models_v1</t>
        </is>
      </c>
      <c r="M1830" s="66" t="inlineStr">
        <is>
          <t>HTML5 Display 300x600</t>
        </is>
      </c>
      <c r="N1830" s="66" t="inlineStr">
        <is>
          <t>Three models. One test drive.</t>
        </is>
      </c>
      <c r="O1830" s="66" t="inlineStr">
        <is>
          <t>Programmatic Guaranteed / OA</t>
        </is>
      </c>
      <c r="P1830" s="66" t="inlineStr">
        <is>
          <t>Conversions (CPA)</t>
        </is>
      </c>
      <c r="Q1830" s="66" t="inlineStr">
        <is>
          <t>https://www.lepas-sa.co.za/offers</t>
        </is>
      </c>
      <c r="R1830" s="121" t="n">
        <v>173.13</v>
      </c>
      <c r="S1830" s="122" t="n">
        <v>7027</v>
      </c>
      <c r="T1830" s="122" t="n">
        <v>3626</v>
      </c>
      <c r="U1830" s="123">
        <f>IFERROR(S1830/T1830,"")</f>
        <v/>
      </c>
      <c r="V1830" s="122" t="n">
        <v>34</v>
      </c>
      <c r="W1830" s="122" t="n">
        <v>28</v>
      </c>
      <c r="X1830" s="124">
        <f>IFERROR(W1830/S1830,"")</f>
        <v/>
      </c>
      <c r="Y1830" s="121">
        <f>IFERROR(R1830/W1830,"")</f>
        <v/>
      </c>
      <c r="Z1830" s="121">
        <f>IFERROR(R1830/S1830*1000,"")</f>
        <v/>
      </c>
      <c r="AA1830" s="122" t="n">
        <v>19</v>
      </c>
      <c r="AB1830" s="54">
        <f>IFERROR(AA1830/W1830,"")</f>
        <v/>
      </c>
      <c r="AC1830" s="122" t="n">
        <v>0</v>
      </c>
      <c r="AD1830" s="122" t="n">
        <v>0</v>
      </c>
      <c r="AE1830" s="122" t="n">
        <v>0</v>
      </c>
      <c r="AF1830" s="122" t="n">
        <v>0</v>
      </c>
      <c r="AG1830" s="122" t="n">
        <v>0</v>
      </c>
      <c r="AH1830" s="122" t="n">
        <v>0</v>
      </c>
      <c r="AI1830" s="54">
        <f>IFERROR(AC1830/S1830,"")</f>
        <v/>
      </c>
      <c r="AJ1830" s="54">
        <f>IFERROR(AH1830/S1830,"")</f>
        <v/>
      </c>
      <c r="AK1830" s="122" t="n">
        <v>19</v>
      </c>
      <c r="AL1830" s="122" t="n">
        <v>1</v>
      </c>
      <c r="AM1830" s="124">
        <f>IFERROR(AL1830/AA1830,"")</f>
        <v/>
      </c>
      <c r="AN1830" s="125">
        <f>IFERROR(R1830/AL1830,"")</f>
        <v/>
      </c>
      <c r="AO1830" s="122" t="n">
        <v>1</v>
      </c>
      <c r="AP1830" s="54">
        <f>IFERROR(AO1830/AL1830,"")</f>
        <v/>
      </c>
      <c r="AQ1830" s="125">
        <f>IFERROR(R1830/AO1830,"")</f>
        <v/>
      </c>
      <c r="AR1830" s="122" t="n">
        <v>2</v>
      </c>
      <c r="AS1830" s="122" t="n">
        <v>2</v>
      </c>
      <c r="AT1830" s="122">
        <f>AL1830+AR1830</f>
        <v/>
      </c>
      <c r="AU1830" s="125">
        <f>IFERROR(AO1830*Assumptions!$C$26*Assumptions!$C$27*INDEX(Assumptions!$C$18:$C$21,MATCH(H1830,Assumptions!$B$18:$B$21,0)),0)</f>
        <v/>
      </c>
    </row>
    <row r="1831">
      <c r="A1831" s="120" t="n">
        <v>46236</v>
      </c>
      <c r="B1831" s="66" t="inlineStr">
        <is>
          <t>Wk 31</t>
        </is>
      </c>
      <c r="C1831" s="66" t="inlineStr">
        <is>
          <t>Sun</t>
        </is>
      </c>
      <c r="D1831" s="66" t="inlineStr">
        <is>
          <t>Programmatic</t>
        </is>
      </c>
      <c r="E1831" s="66" t="inlineStr">
        <is>
          <t>DV360</t>
        </is>
      </c>
      <c r="F1831" s="66" t="inlineStr">
        <is>
          <t>LEP_ZA_AUG26_PROG_TD_PROSPECT_DISPLAY</t>
        </is>
      </c>
      <c r="G1831" s="66" t="inlineStr">
        <is>
          <t>Display Prospecting</t>
        </is>
      </c>
      <c r="H1831" s="66" t="inlineStr">
        <is>
          <t>Range</t>
        </is>
      </c>
      <c r="I1831" s="66" t="inlineStr">
        <is>
          <t>Range Offer</t>
        </is>
      </c>
      <c r="J1831" s="66" t="inlineStr">
        <is>
          <t>PROG_3PD_INMKT_AUTO</t>
        </is>
      </c>
      <c r="K1831" s="66" t="inlineStr">
        <is>
          <t>In-Market</t>
        </is>
      </c>
      <c r="L1831" s="66" t="inlineStr">
        <is>
          <t>PROG_HTML5_300x600_Models_v1</t>
        </is>
      </c>
      <c r="M1831" s="66" t="inlineStr">
        <is>
          <t>HTML5 Display 300x600</t>
        </is>
      </c>
      <c r="N1831" s="66" t="inlineStr">
        <is>
          <t>Three models. One test drive.</t>
        </is>
      </c>
      <c r="O1831" s="66" t="inlineStr">
        <is>
          <t>Programmatic Guaranteed / OA</t>
        </is>
      </c>
      <c r="P1831" s="66" t="inlineStr">
        <is>
          <t>Conversions (CPA)</t>
        </is>
      </c>
      <c r="Q1831" s="66" t="inlineStr">
        <is>
          <t>https://www.lepas-sa.co.za/offers</t>
        </is>
      </c>
      <c r="R1831" s="121" t="n">
        <v>158.72</v>
      </c>
      <c r="S1831" s="122" t="n">
        <v>5232</v>
      </c>
      <c r="T1831" s="122" t="n">
        <v>2535</v>
      </c>
      <c r="U1831" s="123">
        <f>IFERROR(S1831/T1831,"")</f>
        <v/>
      </c>
      <c r="V1831" s="122" t="n">
        <v>12</v>
      </c>
      <c r="W1831" s="122" t="n">
        <v>9</v>
      </c>
      <c r="X1831" s="124">
        <f>IFERROR(W1831/S1831,"")</f>
        <v/>
      </c>
      <c r="Y1831" s="121">
        <f>IFERROR(R1831/W1831,"")</f>
        <v/>
      </c>
      <c r="Z1831" s="121">
        <f>IFERROR(R1831/S1831*1000,"")</f>
        <v/>
      </c>
      <c r="AA1831" s="122" t="n">
        <v>5</v>
      </c>
      <c r="AB1831" s="54">
        <f>IFERROR(AA1831/W1831,"")</f>
        <v/>
      </c>
      <c r="AC1831" s="122" t="n">
        <v>0</v>
      </c>
      <c r="AD1831" s="122" t="n">
        <v>0</v>
      </c>
      <c r="AE1831" s="122" t="n">
        <v>0</v>
      </c>
      <c r="AF1831" s="122" t="n">
        <v>0</v>
      </c>
      <c r="AG1831" s="122" t="n">
        <v>0</v>
      </c>
      <c r="AH1831" s="122" t="n">
        <v>0</v>
      </c>
      <c r="AI1831" s="54">
        <f>IFERROR(AC1831/S1831,"")</f>
        <v/>
      </c>
      <c r="AJ1831" s="54">
        <f>IFERROR(AH1831/S1831,"")</f>
        <v/>
      </c>
      <c r="AK1831" s="122" t="n">
        <v>20</v>
      </c>
      <c r="AL1831" s="122" t="n">
        <v>0</v>
      </c>
      <c r="AM1831" s="124">
        <f>IFERROR(AL1831/AA1831,"")</f>
        <v/>
      </c>
      <c r="AN1831" s="125">
        <f>IFERROR(R1831/AL1831,"")</f>
        <v/>
      </c>
      <c r="AO1831" s="122" t="n">
        <v>0</v>
      </c>
      <c r="AP1831" s="54">
        <f>IFERROR(AO1831/AL1831,"")</f>
        <v/>
      </c>
      <c r="AQ1831" s="125">
        <f>IFERROR(R1831/AO1831,"")</f>
        <v/>
      </c>
      <c r="AR1831" s="122" t="n">
        <v>0</v>
      </c>
      <c r="AS1831" s="122" t="n">
        <v>0</v>
      </c>
      <c r="AT1831" s="122">
        <f>AL1831+AR1831</f>
        <v/>
      </c>
      <c r="AU1831" s="125">
        <f>IFERROR(AO1831*Assumptions!$C$26*Assumptions!$C$27*INDEX(Assumptions!$C$18:$C$21,MATCH(H1831,Assumptions!$B$18:$B$21,0)),0)</f>
        <v/>
      </c>
    </row>
    <row r="1832">
      <c r="A1832" s="120" t="n">
        <v>46237</v>
      </c>
      <c r="B1832" s="66" t="inlineStr">
        <is>
          <t>Wk 32</t>
        </is>
      </c>
      <c r="C1832" s="66" t="inlineStr">
        <is>
          <t>Mon</t>
        </is>
      </c>
      <c r="D1832" s="66" t="inlineStr">
        <is>
          <t>Programmatic</t>
        </is>
      </c>
      <c r="E1832" s="66" t="inlineStr">
        <is>
          <t>DV360</t>
        </is>
      </c>
      <c r="F1832" s="66" t="inlineStr">
        <is>
          <t>LEP_ZA_AUG26_PROG_TD_PROSPECT_DISPLAY</t>
        </is>
      </c>
      <c r="G1832" s="66" t="inlineStr">
        <is>
          <t>Display Prospecting</t>
        </is>
      </c>
      <c r="H1832" s="66" t="inlineStr">
        <is>
          <t>Range</t>
        </is>
      </c>
      <c r="I1832" s="66" t="inlineStr">
        <is>
          <t>Range Offer</t>
        </is>
      </c>
      <c r="J1832" s="66" t="inlineStr">
        <is>
          <t>PROG_3PD_INMKT_AUTO</t>
        </is>
      </c>
      <c r="K1832" s="66" t="inlineStr">
        <is>
          <t>In-Market</t>
        </is>
      </c>
      <c r="L1832" s="66" t="inlineStr">
        <is>
          <t>PROG_HTML5_300x600_Models_v1</t>
        </is>
      </c>
      <c r="M1832" s="66" t="inlineStr">
        <is>
          <t>HTML5 Display 300x600</t>
        </is>
      </c>
      <c r="N1832" s="66" t="inlineStr">
        <is>
          <t>Three models. One test drive.</t>
        </is>
      </c>
      <c r="O1832" s="66" t="inlineStr">
        <is>
          <t>Programmatic Guaranteed / OA</t>
        </is>
      </c>
      <c r="P1832" s="66" t="inlineStr">
        <is>
          <t>Conversions (CPA)</t>
        </is>
      </c>
      <c r="Q1832" s="66" t="inlineStr">
        <is>
          <t>https://www.lepas-sa.co.za/offers</t>
        </is>
      </c>
      <c r="R1832" s="121" t="n">
        <v>149.86</v>
      </c>
      <c r="S1832" s="122" t="n">
        <v>4098</v>
      </c>
      <c r="T1832" s="122" t="n">
        <v>3293</v>
      </c>
      <c r="U1832" s="123">
        <f>IFERROR(S1832/T1832,"")</f>
        <v/>
      </c>
      <c r="V1832" s="122" t="n">
        <v>20</v>
      </c>
      <c r="W1832" s="122" t="n">
        <v>14</v>
      </c>
      <c r="X1832" s="124">
        <f>IFERROR(W1832/S1832,"")</f>
        <v/>
      </c>
      <c r="Y1832" s="121">
        <f>IFERROR(R1832/W1832,"")</f>
        <v/>
      </c>
      <c r="Z1832" s="121">
        <f>IFERROR(R1832/S1832*1000,"")</f>
        <v/>
      </c>
      <c r="AA1832" s="122" t="n">
        <v>8</v>
      </c>
      <c r="AB1832" s="54">
        <f>IFERROR(AA1832/W1832,"")</f>
        <v/>
      </c>
      <c r="AC1832" s="122" t="n">
        <v>0</v>
      </c>
      <c r="AD1832" s="122" t="n">
        <v>0</v>
      </c>
      <c r="AE1832" s="122" t="n">
        <v>0</v>
      </c>
      <c r="AF1832" s="122" t="n">
        <v>0</v>
      </c>
      <c r="AG1832" s="122" t="n">
        <v>0</v>
      </c>
      <c r="AH1832" s="122" t="n">
        <v>0</v>
      </c>
      <c r="AI1832" s="54">
        <f>IFERROR(AC1832/S1832,"")</f>
        <v/>
      </c>
      <c r="AJ1832" s="54">
        <f>IFERROR(AH1832/S1832,"")</f>
        <v/>
      </c>
      <c r="AK1832" s="122" t="n">
        <v>22</v>
      </c>
      <c r="AL1832" s="122" t="n">
        <v>0</v>
      </c>
      <c r="AM1832" s="124">
        <f>IFERROR(AL1832/AA1832,"")</f>
        <v/>
      </c>
      <c r="AN1832" s="125">
        <f>IFERROR(R1832/AL1832,"")</f>
        <v/>
      </c>
      <c r="AO1832" s="122" t="n">
        <v>0</v>
      </c>
      <c r="AP1832" s="54">
        <f>IFERROR(AO1832/AL1832,"")</f>
        <v/>
      </c>
      <c r="AQ1832" s="125">
        <f>IFERROR(R1832/AO1832,"")</f>
        <v/>
      </c>
      <c r="AR1832" s="122" t="n">
        <v>0</v>
      </c>
      <c r="AS1832" s="122" t="n">
        <v>0</v>
      </c>
      <c r="AT1832" s="122">
        <f>AL1832+AR1832</f>
        <v/>
      </c>
      <c r="AU1832" s="125">
        <f>IFERROR(AO1832*Assumptions!$C$26*Assumptions!$C$27*INDEX(Assumptions!$C$18:$C$21,MATCH(H1832,Assumptions!$B$18:$B$21,0)),0)</f>
        <v/>
      </c>
    </row>
    <row r="1833">
      <c r="A1833" s="120" t="n">
        <v>46238</v>
      </c>
      <c r="B1833" s="66" t="inlineStr">
        <is>
          <t>Wk 32</t>
        </is>
      </c>
      <c r="C1833" s="66" t="inlineStr">
        <is>
          <t>Tue</t>
        </is>
      </c>
      <c r="D1833" s="66" t="inlineStr">
        <is>
          <t>Programmatic</t>
        </is>
      </c>
      <c r="E1833" s="66" t="inlineStr">
        <is>
          <t>DV360</t>
        </is>
      </c>
      <c r="F1833" s="66" t="inlineStr">
        <is>
          <t>LEP_ZA_AUG26_PROG_TD_PROSPECT_DISPLAY</t>
        </is>
      </c>
      <c r="G1833" s="66" t="inlineStr">
        <is>
          <t>Display Prospecting</t>
        </is>
      </c>
      <c r="H1833" s="66" t="inlineStr">
        <is>
          <t>Range</t>
        </is>
      </c>
      <c r="I1833" s="66" t="inlineStr">
        <is>
          <t>Range Offer</t>
        </is>
      </c>
      <c r="J1833" s="66" t="inlineStr">
        <is>
          <t>PROG_3PD_INMKT_AUTO</t>
        </is>
      </c>
      <c r="K1833" s="66" t="inlineStr">
        <is>
          <t>In-Market</t>
        </is>
      </c>
      <c r="L1833" s="66" t="inlineStr">
        <is>
          <t>PROG_HTML5_300x600_Models_v1</t>
        </is>
      </c>
      <c r="M1833" s="66" t="inlineStr">
        <is>
          <t>HTML5 Display 300x600</t>
        </is>
      </c>
      <c r="N1833" s="66" t="inlineStr">
        <is>
          <t>Three models. One test drive.</t>
        </is>
      </c>
      <c r="O1833" s="66" t="inlineStr">
        <is>
          <t>Programmatic Guaranteed / OA</t>
        </is>
      </c>
      <c r="P1833" s="66" t="inlineStr">
        <is>
          <t>Conversions (CPA)</t>
        </is>
      </c>
      <c r="Q1833" s="66" t="inlineStr">
        <is>
          <t>https://www.lepas-sa.co.za/offers</t>
        </is>
      </c>
      <c r="R1833" s="121" t="n">
        <v>172.88</v>
      </c>
      <c r="S1833" s="122" t="n">
        <v>4059</v>
      </c>
      <c r="T1833" s="122" t="n">
        <v>2054</v>
      </c>
      <c r="U1833" s="123">
        <f>IFERROR(S1833/T1833,"")</f>
        <v/>
      </c>
      <c r="V1833" s="122" t="n">
        <v>9</v>
      </c>
      <c r="W1833" s="122" t="n">
        <v>7</v>
      </c>
      <c r="X1833" s="124">
        <f>IFERROR(W1833/S1833,"")</f>
        <v/>
      </c>
      <c r="Y1833" s="121">
        <f>IFERROR(R1833/W1833,"")</f>
        <v/>
      </c>
      <c r="Z1833" s="121">
        <f>IFERROR(R1833/S1833*1000,"")</f>
        <v/>
      </c>
      <c r="AA1833" s="122" t="n">
        <v>4</v>
      </c>
      <c r="AB1833" s="54">
        <f>IFERROR(AA1833/W1833,"")</f>
        <v/>
      </c>
      <c r="AC1833" s="122" t="n">
        <v>0</v>
      </c>
      <c r="AD1833" s="122" t="n">
        <v>0</v>
      </c>
      <c r="AE1833" s="122" t="n">
        <v>0</v>
      </c>
      <c r="AF1833" s="122" t="n">
        <v>0</v>
      </c>
      <c r="AG1833" s="122" t="n">
        <v>0</v>
      </c>
      <c r="AH1833" s="122" t="n">
        <v>0</v>
      </c>
      <c r="AI1833" s="54">
        <f>IFERROR(AC1833/S1833,"")</f>
        <v/>
      </c>
      <c r="AJ1833" s="54">
        <f>IFERROR(AH1833/S1833,"")</f>
        <v/>
      </c>
      <c r="AK1833" s="122" t="n">
        <v>18</v>
      </c>
      <c r="AL1833" s="122" t="n">
        <v>1</v>
      </c>
      <c r="AM1833" s="124">
        <f>IFERROR(AL1833/AA1833,"")</f>
        <v/>
      </c>
      <c r="AN1833" s="125">
        <f>IFERROR(R1833/AL1833,"")</f>
        <v/>
      </c>
      <c r="AO1833" s="122" t="n">
        <v>1</v>
      </c>
      <c r="AP1833" s="54">
        <f>IFERROR(AO1833/AL1833,"")</f>
        <v/>
      </c>
      <c r="AQ1833" s="125">
        <f>IFERROR(R1833/AO1833,"")</f>
        <v/>
      </c>
      <c r="AR1833" s="122" t="n">
        <v>2</v>
      </c>
      <c r="AS1833" s="122" t="n">
        <v>1</v>
      </c>
      <c r="AT1833" s="122">
        <f>AL1833+AR1833</f>
        <v/>
      </c>
      <c r="AU1833" s="125">
        <f>IFERROR(AO1833*Assumptions!$C$26*Assumptions!$C$27*INDEX(Assumptions!$C$18:$C$21,MATCH(H1833,Assumptions!$B$18:$B$21,0)),0)</f>
        <v/>
      </c>
    </row>
    <row r="1834">
      <c r="A1834" s="120" t="n">
        <v>46239</v>
      </c>
      <c r="B1834" s="66" t="inlineStr">
        <is>
          <t>Wk 32</t>
        </is>
      </c>
      <c r="C1834" s="66" t="inlineStr">
        <is>
          <t>Wed</t>
        </is>
      </c>
      <c r="D1834" s="66" t="inlineStr">
        <is>
          <t>Programmatic</t>
        </is>
      </c>
      <c r="E1834" s="66" t="inlineStr">
        <is>
          <t>DV360</t>
        </is>
      </c>
      <c r="F1834" s="66" t="inlineStr">
        <is>
          <t>LEP_ZA_AUG26_PROG_TD_PROSPECT_DISPLAY</t>
        </is>
      </c>
      <c r="G1834" s="66" t="inlineStr">
        <is>
          <t>Display Prospecting</t>
        </is>
      </c>
      <c r="H1834" s="66" t="inlineStr">
        <is>
          <t>Range</t>
        </is>
      </c>
      <c r="I1834" s="66" t="inlineStr">
        <is>
          <t>Range Offer</t>
        </is>
      </c>
      <c r="J1834" s="66" t="inlineStr">
        <is>
          <t>PROG_3PD_INMKT_AUTO</t>
        </is>
      </c>
      <c r="K1834" s="66" t="inlineStr">
        <is>
          <t>In-Market</t>
        </is>
      </c>
      <c r="L1834" s="66" t="inlineStr">
        <is>
          <t>PROG_HTML5_300x600_Models_v1</t>
        </is>
      </c>
      <c r="M1834" s="66" t="inlineStr">
        <is>
          <t>HTML5 Display 300x600</t>
        </is>
      </c>
      <c r="N1834" s="66" t="inlineStr">
        <is>
          <t>Three models. One test drive.</t>
        </is>
      </c>
      <c r="O1834" s="66" t="inlineStr">
        <is>
          <t>Programmatic Guaranteed / OA</t>
        </is>
      </c>
      <c r="P1834" s="66" t="inlineStr">
        <is>
          <t>Conversions (CPA)</t>
        </is>
      </c>
      <c r="Q1834" s="66" t="inlineStr">
        <is>
          <t>https://www.lepas-sa.co.za/offers</t>
        </is>
      </c>
      <c r="R1834" s="121" t="n">
        <v>185.54</v>
      </c>
      <c r="S1834" s="122" t="n">
        <v>4366</v>
      </c>
      <c r="T1834" s="122" t="n">
        <v>2706</v>
      </c>
      <c r="U1834" s="123">
        <f>IFERROR(S1834/T1834,"")</f>
        <v/>
      </c>
      <c r="V1834" s="122" t="n">
        <v>11</v>
      </c>
      <c r="W1834" s="122" t="n">
        <v>8</v>
      </c>
      <c r="X1834" s="124">
        <f>IFERROR(W1834/S1834,"")</f>
        <v/>
      </c>
      <c r="Y1834" s="121">
        <f>IFERROR(R1834/W1834,"")</f>
        <v/>
      </c>
      <c r="Z1834" s="121">
        <f>IFERROR(R1834/S1834*1000,"")</f>
        <v/>
      </c>
      <c r="AA1834" s="122" t="n">
        <v>4</v>
      </c>
      <c r="AB1834" s="54">
        <f>IFERROR(AA1834/W1834,"")</f>
        <v/>
      </c>
      <c r="AC1834" s="122" t="n">
        <v>0</v>
      </c>
      <c r="AD1834" s="122" t="n">
        <v>0</v>
      </c>
      <c r="AE1834" s="122" t="n">
        <v>0</v>
      </c>
      <c r="AF1834" s="122" t="n">
        <v>0</v>
      </c>
      <c r="AG1834" s="122" t="n">
        <v>0</v>
      </c>
      <c r="AH1834" s="122" t="n">
        <v>0</v>
      </c>
      <c r="AI1834" s="54">
        <f>IFERROR(AC1834/S1834,"")</f>
        <v/>
      </c>
      <c r="AJ1834" s="54">
        <f>IFERROR(AH1834/S1834,"")</f>
        <v/>
      </c>
      <c r="AK1834" s="122" t="n">
        <v>14</v>
      </c>
      <c r="AL1834" s="122" t="n">
        <v>0</v>
      </c>
      <c r="AM1834" s="124">
        <f>IFERROR(AL1834/AA1834,"")</f>
        <v/>
      </c>
      <c r="AN1834" s="125">
        <f>IFERROR(R1834/AL1834,"")</f>
        <v/>
      </c>
      <c r="AO1834" s="122" t="n">
        <v>0</v>
      </c>
      <c r="AP1834" s="54">
        <f>IFERROR(AO1834/AL1834,"")</f>
        <v/>
      </c>
      <c r="AQ1834" s="125">
        <f>IFERROR(R1834/AO1834,"")</f>
        <v/>
      </c>
      <c r="AR1834" s="122" t="n">
        <v>0</v>
      </c>
      <c r="AS1834" s="122" t="n">
        <v>0</v>
      </c>
      <c r="AT1834" s="122">
        <f>AL1834+AR1834</f>
        <v/>
      </c>
      <c r="AU1834" s="125">
        <f>IFERROR(AO1834*Assumptions!$C$26*Assumptions!$C$27*INDEX(Assumptions!$C$18:$C$21,MATCH(H1834,Assumptions!$B$18:$B$21,0)),0)</f>
        <v/>
      </c>
    </row>
    <row r="1835">
      <c r="A1835" s="120" t="n">
        <v>46240</v>
      </c>
      <c r="B1835" s="66" t="inlineStr">
        <is>
          <t>Wk 32</t>
        </is>
      </c>
      <c r="C1835" s="66" t="inlineStr">
        <is>
          <t>Thu</t>
        </is>
      </c>
      <c r="D1835" s="66" t="inlineStr">
        <is>
          <t>Programmatic</t>
        </is>
      </c>
      <c r="E1835" s="66" t="inlineStr">
        <is>
          <t>DV360</t>
        </is>
      </c>
      <c r="F1835" s="66" t="inlineStr">
        <is>
          <t>LEP_ZA_AUG26_PROG_TD_PROSPECT_DISPLAY</t>
        </is>
      </c>
      <c r="G1835" s="66" t="inlineStr">
        <is>
          <t>Display Prospecting</t>
        </is>
      </c>
      <c r="H1835" s="66" t="inlineStr">
        <is>
          <t>Range</t>
        </is>
      </c>
      <c r="I1835" s="66" t="inlineStr">
        <is>
          <t>Range Offer</t>
        </is>
      </c>
      <c r="J1835" s="66" t="inlineStr">
        <is>
          <t>PROG_3PD_INMKT_AUTO</t>
        </is>
      </c>
      <c r="K1835" s="66" t="inlineStr">
        <is>
          <t>In-Market</t>
        </is>
      </c>
      <c r="L1835" s="66" t="inlineStr">
        <is>
          <t>PROG_HTML5_300x600_Models_v1</t>
        </is>
      </c>
      <c r="M1835" s="66" t="inlineStr">
        <is>
          <t>HTML5 Display 300x600</t>
        </is>
      </c>
      <c r="N1835" s="66" t="inlineStr">
        <is>
          <t>Three models. One test drive.</t>
        </is>
      </c>
      <c r="O1835" s="66" t="inlineStr">
        <is>
          <t>Programmatic Guaranteed / OA</t>
        </is>
      </c>
      <c r="P1835" s="66" t="inlineStr">
        <is>
          <t>Conversions (CPA)</t>
        </is>
      </c>
      <c r="Q1835" s="66" t="inlineStr">
        <is>
          <t>https://www.lepas-sa.co.za/offers</t>
        </is>
      </c>
      <c r="R1835" s="121" t="n">
        <v>180.1</v>
      </c>
      <c r="S1835" s="122" t="n">
        <v>8983</v>
      </c>
      <c r="T1835" s="122" t="n">
        <v>4404</v>
      </c>
      <c r="U1835" s="123">
        <f>IFERROR(S1835/T1835,"")</f>
        <v/>
      </c>
      <c r="V1835" s="122" t="n">
        <v>19</v>
      </c>
      <c r="W1835" s="122" t="n">
        <v>14</v>
      </c>
      <c r="X1835" s="124">
        <f>IFERROR(W1835/S1835,"")</f>
        <v/>
      </c>
      <c r="Y1835" s="121">
        <f>IFERROR(R1835/W1835,"")</f>
        <v/>
      </c>
      <c r="Z1835" s="121">
        <f>IFERROR(R1835/S1835*1000,"")</f>
        <v/>
      </c>
      <c r="AA1835" s="122" t="n">
        <v>8</v>
      </c>
      <c r="AB1835" s="54">
        <f>IFERROR(AA1835/W1835,"")</f>
        <v/>
      </c>
      <c r="AC1835" s="122" t="n">
        <v>0</v>
      </c>
      <c r="AD1835" s="122" t="n">
        <v>0</v>
      </c>
      <c r="AE1835" s="122" t="n">
        <v>0</v>
      </c>
      <c r="AF1835" s="122" t="n">
        <v>0</v>
      </c>
      <c r="AG1835" s="122" t="n">
        <v>0</v>
      </c>
      <c r="AH1835" s="122" t="n">
        <v>0</v>
      </c>
      <c r="AI1835" s="54">
        <f>IFERROR(AC1835/S1835,"")</f>
        <v/>
      </c>
      <c r="AJ1835" s="54">
        <f>IFERROR(AH1835/S1835,"")</f>
        <v/>
      </c>
      <c r="AK1835" s="122" t="n">
        <v>14</v>
      </c>
      <c r="AL1835" s="122" t="n">
        <v>0</v>
      </c>
      <c r="AM1835" s="124">
        <f>IFERROR(AL1835/AA1835,"")</f>
        <v/>
      </c>
      <c r="AN1835" s="125">
        <f>IFERROR(R1835/AL1835,"")</f>
        <v/>
      </c>
      <c r="AO1835" s="122" t="n">
        <v>0</v>
      </c>
      <c r="AP1835" s="54">
        <f>IFERROR(AO1835/AL1835,"")</f>
        <v/>
      </c>
      <c r="AQ1835" s="125">
        <f>IFERROR(R1835/AO1835,"")</f>
        <v/>
      </c>
      <c r="AR1835" s="122" t="n">
        <v>0</v>
      </c>
      <c r="AS1835" s="122" t="n">
        <v>0</v>
      </c>
      <c r="AT1835" s="122">
        <f>AL1835+AR1835</f>
        <v/>
      </c>
      <c r="AU1835" s="125">
        <f>IFERROR(AO1835*Assumptions!$C$26*Assumptions!$C$27*INDEX(Assumptions!$C$18:$C$21,MATCH(H1835,Assumptions!$B$18:$B$21,0)),0)</f>
        <v/>
      </c>
    </row>
    <row r="1836">
      <c r="A1836" s="120" t="n">
        <v>46241</v>
      </c>
      <c r="B1836" s="66" t="inlineStr">
        <is>
          <t>Wk 32</t>
        </is>
      </c>
      <c r="C1836" s="66" t="inlineStr">
        <is>
          <t>Fri</t>
        </is>
      </c>
      <c r="D1836" s="66" t="inlineStr">
        <is>
          <t>Programmatic</t>
        </is>
      </c>
      <c r="E1836" s="66" t="inlineStr">
        <is>
          <t>DV360</t>
        </is>
      </c>
      <c r="F1836" s="66" t="inlineStr">
        <is>
          <t>LEP_ZA_AUG26_PROG_TD_PROSPECT_DISPLAY</t>
        </is>
      </c>
      <c r="G1836" s="66" t="inlineStr">
        <is>
          <t>Display Prospecting</t>
        </is>
      </c>
      <c r="H1836" s="66" t="inlineStr">
        <is>
          <t>Range</t>
        </is>
      </c>
      <c r="I1836" s="66" t="inlineStr">
        <is>
          <t>Range Offer</t>
        </is>
      </c>
      <c r="J1836" s="66" t="inlineStr">
        <is>
          <t>PROG_3PD_INMKT_AUTO</t>
        </is>
      </c>
      <c r="K1836" s="66" t="inlineStr">
        <is>
          <t>In-Market</t>
        </is>
      </c>
      <c r="L1836" s="66" t="inlineStr">
        <is>
          <t>PROG_HTML5_300x600_Models_v1</t>
        </is>
      </c>
      <c r="M1836" s="66" t="inlineStr">
        <is>
          <t>HTML5 Display 300x600</t>
        </is>
      </c>
      <c r="N1836" s="66" t="inlineStr">
        <is>
          <t>Three models. One test drive.</t>
        </is>
      </c>
      <c r="O1836" s="66" t="inlineStr">
        <is>
          <t>Programmatic Guaranteed / OA</t>
        </is>
      </c>
      <c r="P1836" s="66" t="inlineStr">
        <is>
          <t>Conversions (CPA)</t>
        </is>
      </c>
      <c r="Q1836" s="66" t="inlineStr">
        <is>
          <t>https://www.lepas-sa.co.za/offers</t>
        </is>
      </c>
      <c r="R1836" s="121" t="n">
        <v>212.88</v>
      </c>
      <c r="S1836" s="122" t="n">
        <v>9403</v>
      </c>
      <c r="T1836" s="122" t="n">
        <v>4374</v>
      </c>
      <c r="U1836" s="123">
        <f>IFERROR(S1836/T1836,"")</f>
        <v/>
      </c>
      <c r="V1836" s="122" t="n">
        <v>26</v>
      </c>
      <c r="W1836" s="122" t="n">
        <v>21</v>
      </c>
      <c r="X1836" s="124">
        <f>IFERROR(W1836/S1836,"")</f>
        <v/>
      </c>
      <c r="Y1836" s="121">
        <f>IFERROR(R1836/W1836,"")</f>
        <v/>
      </c>
      <c r="Z1836" s="121">
        <f>IFERROR(R1836/S1836*1000,"")</f>
        <v/>
      </c>
      <c r="AA1836" s="122" t="n">
        <v>13</v>
      </c>
      <c r="AB1836" s="54">
        <f>IFERROR(AA1836/W1836,"")</f>
        <v/>
      </c>
      <c r="AC1836" s="122" t="n">
        <v>0</v>
      </c>
      <c r="AD1836" s="122" t="n">
        <v>0</v>
      </c>
      <c r="AE1836" s="122" t="n">
        <v>0</v>
      </c>
      <c r="AF1836" s="122" t="n">
        <v>0</v>
      </c>
      <c r="AG1836" s="122" t="n">
        <v>0</v>
      </c>
      <c r="AH1836" s="122" t="n">
        <v>0</v>
      </c>
      <c r="AI1836" s="54">
        <f>IFERROR(AC1836/S1836,"")</f>
        <v/>
      </c>
      <c r="AJ1836" s="54">
        <f>IFERROR(AH1836/S1836,"")</f>
        <v/>
      </c>
      <c r="AK1836" s="122" t="n">
        <v>36</v>
      </c>
      <c r="AL1836" s="122" t="n">
        <v>1</v>
      </c>
      <c r="AM1836" s="124">
        <f>IFERROR(AL1836/AA1836,"")</f>
        <v/>
      </c>
      <c r="AN1836" s="125">
        <f>IFERROR(R1836/AL1836,"")</f>
        <v/>
      </c>
      <c r="AO1836" s="122" t="n">
        <v>0</v>
      </c>
      <c r="AP1836" s="54">
        <f>IFERROR(AO1836/AL1836,"")</f>
        <v/>
      </c>
      <c r="AQ1836" s="125">
        <f>IFERROR(R1836/AO1836,"")</f>
        <v/>
      </c>
      <c r="AR1836" s="122" t="n">
        <v>3</v>
      </c>
      <c r="AS1836" s="122" t="n">
        <v>1</v>
      </c>
      <c r="AT1836" s="122">
        <f>AL1836+AR1836</f>
        <v/>
      </c>
      <c r="AU1836" s="125">
        <f>IFERROR(AO1836*Assumptions!$C$26*Assumptions!$C$27*INDEX(Assumptions!$C$18:$C$21,MATCH(H1836,Assumptions!$B$18:$B$21,0)),0)</f>
        <v/>
      </c>
    </row>
    <row r="1837">
      <c r="A1837" s="120" t="n">
        <v>46242</v>
      </c>
      <c r="B1837" s="66" t="inlineStr">
        <is>
          <t>Wk 32</t>
        </is>
      </c>
      <c r="C1837" s="66" t="inlineStr">
        <is>
          <t>Sat</t>
        </is>
      </c>
      <c r="D1837" s="66" t="inlineStr">
        <is>
          <t>Programmatic</t>
        </is>
      </c>
      <c r="E1837" s="66" t="inlineStr">
        <is>
          <t>DV360</t>
        </is>
      </c>
      <c r="F1837" s="66" t="inlineStr">
        <is>
          <t>LEP_ZA_AUG26_PROG_TD_PROSPECT_DISPLAY</t>
        </is>
      </c>
      <c r="G1837" s="66" t="inlineStr">
        <is>
          <t>Display Prospecting</t>
        </is>
      </c>
      <c r="H1837" s="66" t="inlineStr">
        <is>
          <t>Range</t>
        </is>
      </c>
      <c r="I1837" s="66" t="inlineStr">
        <is>
          <t>Range Offer</t>
        </is>
      </c>
      <c r="J1837" s="66" t="inlineStr">
        <is>
          <t>PROG_3PD_INMKT_AUTO</t>
        </is>
      </c>
      <c r="K1837" s="66" t="inlineStr">
        <is>
          <t>In-Market</t>
        </is>
      </c>
      <c r="L1837" s="66" t="inlineStr">
        <is>
          <t>PROG_HTML5_300x600_Models_v1</t>
        </is>
      </c>
      <c r="M1837" s="66" t="inlineStr">
        <is>
          <t>HTML5 Display 300x600</t>
        </is>
      </c>
      <c r="N1837" s="66" t="inlineStr">
        <is>
          <t>Three models. One test drive.</t>
        </is>
      </c>
      <c r="O1837" s="66" t="inlineStr">
        <is>
          <t>Programmatic Guaranteed / OA</t>
        </is>
      </c>
      <c r="P1837" s="66" t="inlineStr">
        <is>
          <t>Conversions (CPA)</t>
        </is>
      </c>
      <c r="Q1837" s="66" t="inlineStr">
        <is>
          <t>https://www.lepas-sa.co.za/offers</t>
        </is>
      </c>
      <c r="R1837" s="121" t="n">
        <v>206.39</v>
      </c>
      <c r="S1837" s="122" t="n">
        <v>9233</v>
      </c>
      <c r="T1837" s="122" t="n">
        <v>4502</v>
      </c>
      <c r="U1837" s="123">
        <f>IFERROR(S1837/T1837,"")</f>
        <v/>
      </c>
      <c r="V1837" s="122" t="n">
        <v>40</v>
      </c>
      <c r="W1837" s="122" t="n">
        <v>30</v>
      </c>
      <c r="X1837" s="124">
        <f>IFERROR(W1837/S1837,"")</f>
        <v/>
      </c>
      <c r="Y1837" s="121">
        <f>IFERROR(R1837/W1837,"")</f>
        <v/>
      </c>
      <c r="Z1837" s="121">
        <f>IFERROR(R1837/S1837*1000,"")</f>
        <v/>
      </c>
      <c r="AA1837" s="122" t="n">
        <v>20</v>
      </c>
      <c r="AB1837" s="54">
        <f>IFERROR(AA1837/W1837,"")</f>
        <v/>
      </c>
      <c r="AC1837" s="122" t="n">
        <v>0</v>
      </c>
      <c r="AD1837" s="122" t="n">
        <v>0</v>
      </c>
      <c r="AE1837" s="122" t="n">
        <v>0</v>
      </c>
      <c r="AF1837" s="122" t="n">
        <v>0</v>
      </c>
      <c r="AG1837" s="122" t="n">
        <v>0</v>
      </c>
      <c r="AH1837" s="122" t="n">
        <v>0</v>
      </c>
      <c r="AI1837" s="54">
        <f>IFERROR(AC1837/S1837,"")</f>
        <v/>
      </c>
      <c r="AJ1837" s="54">
        <f>IFERROR(AH1837/S1837,"")</f>
        <v/>
      </c>
      <c r="AK1837" s="122" t="n">
        <v>24</v>
      </c>
      <c r="AL1837" s="122" t="n">
        <v>0</v>
      </c>
      <c r="AM1837" s="124">
        <f>IFERROR(AL1837/AA1837,"")</f>
        <v/>
      </c>
      <c r="AN1837" s="125">
        <f>IFERROR(R1837/AL1837,"")</f>
        <v/>
      </c>
      <c r="AO1837" s="122" t="n">
        <v>0</v>
      </c>
      <c r="AP1837" s="54">
        <f>IFERROR(AO1837/AL1837,"")</f>
        <v/>
      </c>
      <c r="AQ1837" s="125">
        <f>IFERROR(R1837/AO1837,"")</f>
        <v/>
      </c>
      <c r="AR1837" s="122" t="n">
        <v>0</v>
      </c>
      <c r="AS1837" s="122" t="n">
        <v>0</v>
      </c>
      <c r="AT1837" s="122">
        <f>AL1837+AR1837</f>
        <v/>
      </c>
      <c r="AU1837" s="125">
        <f>IFERROR(AO1837*Assumptions!$C$26*Assumptions!$C$27*INDEX(Assumptions!$C$18:$C$21,MATCH(H1837,Assumptions!$B$18:$B$21,0)),0)</f>
        <v/>
      </c>
    </row>
    <row r="1838">
      <c r="A1838" s="120" t="n">
        <v>46243</v>
      </c>
      <c r="B1838" s="66" t="inlineStr">
        <is>
          <t>Wk 32</t>
        </is>
      </c>
      <c r="C1838" s="66" t="inlineStr">
        <is>
          <t>Sun</t>
        </is>
      </c>
      <c r="D1838" s="66" t="inlineStr">
        <is>
          <t>Programmatic</t>
        </is>
      </c>
      <c r="E1838" s="66" t="inlineStr">
        <is>
          <t>DV360</t>
        </is>
      </c>
      <c r="F1838" s="66" t="inlineStr">
        <is>
          <t>LEP_ZA_AUG26_PROG_TD_PROSPECT_DISPLAY</t>
        </is>
      </c>
      <c r="G1838" s="66" t="inlineStr">
        <is>
          <t>Display Prospecting</t>
        </is>
      </c>
      <c r="H1838" s="66" t="inlineStr">
        <is>
          <t>Range</t>
        </is>
      </c>
      <c r="I1838" s="66" t="inlineStr">
        <is>
          <t>Range Offer</t>
        </is>
      </c>
      <c r="J1838" s="66" t="inlineStr">
        <is>
          <t>PROG_3PD_INMKT_AUTO</t>
        </is>
      </c>
      <c r="K1838" s="66" t="inlineStr">
        <is>
          <t>In-Market</t>
        </is>
      </c>
      <c r="L1838" s="66" t="inlineStr">
        <is>
          <t>PROG_HTML5_300x600_Models_v1</t>
        </is>
      </c>
      <c r="M1838" s="66" t="inlineStr">
        <is>
          <t>HTML5 Display 300x600</t>
        </is>
      </c>
      <c r="N1838" s="66" t="inlineStr">
        <is>
          <t>Three models. One test drive.</t>
        </is>
      </c>
      <c r="O1838" s="66" t="inlineStr">
        <is>
          <t>Programmatic Guaranteed / OA</t>
        </is>
      </c>
      <c r="P1838" s="66" t="inlineStr">
        <is>
          <t>Conversions (CPA)</t>
        </is>
      </c>
      <c r="Q1838" s="66" t="inlineStr">
        <is>
          <t>https://www.lepas-sa.co.za/offers</t>
        </is>
      </c>
      <c r="R1838" s="121" t="n">
        <v>170.95</v>
      </c>
      <c r="S1838" s="122" t="n">
        <v>5632</v>
      </c>
      <c r="T1838" s="122" t="n">
        <v>2827</v>
      </c>
      <c r="U1838" s="123">
        <f>IFERROR(S1838/T1838,"")</f>
        <v/>
      </c>
      <c r="V1838" s="122" t="n">
        <v>20</v>
      </c>
      <c r="W1838" s="122" t="n">
        <v>15</v>
      </c>
      <c r="X1838" s="124">
        <f>IFERROR(W1838/S1838,"")</f>
        <v/>
      </c>
      <c r="Y1838" s="121">
        <f>IFERROR(R1838/W1838,"")</f>
        <v/>
      </c>
      <c r="Z1838" s="121">
        <f>IFERROR(R1838/S1838*1000,"")</f>
        <v/>
      </c>
      <c r="AA1838" s="122" t="n">
        <v>11</v>
      </c>
      <c r="AB1838" s="54">
        <f>IFERROR(AA1838/W1838,"")</f>
        <v/>
      </c>
      <c r="AC1838" s="122" t="n">
        <v>0</v>
      </c>
      <c r="AD1838" s="122" t="n">
        <v>0</v>
      </c>
      <c r="AE1838" s="122" t="n">
        <v>0</v>
      </c>
      <c r="AF1838" s="122" t="n">
        <v>0</v>
      </c>
      <c r="AG1838" s="122" t="n">
        <v>0</v>
      </c>
      <c r="AH1838" s="122" t="n">
        <v>0</v>
      </c>
      <c r="AI1838" s="54">
        <f>IFERROR(AC1838/S1838,"")</f>
        <v/>
      </c>
      <c r="AJ1838" s="54">
        <f>IFERROR(AH1838/S1838,"")</f>
        <v/>
      </c>
      <c r="AK1838" s="122" t="n">
        <v>34</v>
      </c>
      <c r="AL1838" s="122" t="n">
        <v>0</v>
      </c>
      <c r="AM1838" s="124">
        <f>IFERROR(AL1838/AA1838,"")</f>
        <v/>
      </c>
      <c r="AN1838" s="125">
        <f>IFERROR(R1838/AL1838,"")</f>
        <v/>
      </c>
      <c r="AO1838" s="122" t="n">
        <v>0</v>
      </c>
      <c r="AP1838" s="54">
        <f>IFERROR(AO1838/AL1838,"")</f>
        <v/>
      </c>
      <c r="AQ1838" s="125">
        <f>IFERROR(R1838/AO1838,"")</f>
        <v/>
      </c>
      <c r="AR1838" s="122" t="n">
        <v>0</v>
      </c>
      <c r="AS1838" s="122" t="n">
        <v>0</v>
      </c>
      <c r="AT1838" s="122">
        <f>AL1838+AR1838</f>
        <v/>
      </c>
      <c r="AU1838" s="125">
        <f>IFERROR(AO1838*Assumptions!$C$26*Assumptions!$C$27*INDEX(Assumptions!$C$18:$C$21,MATCH(H1838,Assumptions!$B$18:$B$21,0)),0)</f>
        <v/>
      </c>
    </row>
    <row r="1839">
      <c r="A1839" s="120" t="n">
        <v>46244</v>
      </c>
      <c r="B1839" s="66" t="inlineStr">
        <is>
          <t>Wk 33</t>
        </is>
      </c>
      <c r="C1839" s="66" t="inlineStr">
        <is>
          <t>Mon</t>
        </is>
      </c>
      <c r="D1839" s="66" t="inlineStr">
        <is>
          <t>Programmatic</t>
        </is>
      </c>
      <c r="E1839" s="66" t="inlineStr">
        <is>
          <t>DV360</t>
        </is>
      </c>
      <c r="F1839" s="66" t="inlineStr">
        <is>
          <t>LEP_ZA_AUG26_PROG_TD_PROSPECT_DISPLAY</t>
        </is>
      </c>
      <c r="G1839" s="66" t="inlineStr">
        <is>
          <t>Display Prospecting</t>
        </is>
      </c>
      <c r="H1839" s="66" t="inlineStr">
        <is>
          <t>Range</t>
        </is>
      </c>
      <c r="I1839" s="66" t="inlineStr">
        <is>
          <t>Range Offer</t>
        </is>
      </c>
      <c r="J1839" s="66" t="inlineStr">
        <is>
          <t>PROG_3PD_INMKT_AUTO</t>
        </is>
      </c>
      <c r="K1839" s="66" t="inlineStr">
        <is>
          <t>In-Market</t>
        </is>
      </c>
      <c r="L1839" s="66" t="inlineStr">
        <is>
          <t>PROG_HTML5_300x600_Models_v1</t>
        </is>
      </c>
      <c r="M1839" s="66" t="inlineStr">
        <is>
          <t>HTML5 Display 300x600</t>
        </is>
      </c>
      <c r="N1839" s="66" t="inlineStr">
        <is>
          <t>Three models. One test drive.</t>
        </is>
      </c>
      <c r="O1839" s="66" t="inlineStr">
        <is>
          <t>Programmatic Guaranteed / OA</t>
        </is>
      </c>
      <c r="P1839" s="66" t="inlineStr">
        <is>
          <t>Conversions (CPA)</t>
        </is>
      </c>
      <c r="Q1839" s="66" t="inlineStr">
        <is>
          <t>https://www.lepas-sa.co.za/offers</t>
        </is>
      </c>
      <c r="R1839" s="121" t="n">
        <v>189.22</v>
      </c>
      <c r="S1839" s="122" t="n">
        <v>6617</v>
      </c>
      <c r="T1839" s="122" t="n">
        <v>3099</v>
      </c>
      <c r="U1839" s="123">
        <f>IFERROR(S1839/T1839,"")</f>
        <v/>
      </c>
      <c r="V1839" s="122" t="n">
        <v>28</v>
      </c>
      <c r="W1839" s="122" t="n">
        <v>22</v>
      </c>
      <c r="X1839" s="124">
        <f>IFERROR(W1839/S1839,"")</f>
        <v/>
      </c>
      <c r="Y1839" s="121">
        <f>IFERROR(R1839/W1839,"")</f>
        <v/>
      </c>
      <c r="Z1839" s="121">
        <f>IFERROR(R1839/S1839*1000,"")</f>
        <v/>
      </c>
      <c r="AA1839" s="122" t="n">
        <v>16</v>
      </c>
      <c r="AB1839" s="54">
        <f>IFERROR(AA1839/W1839,"")</f>
        <v/>
      </c>
      <c r="AC1839" s="122" t="n">
        <v>0</v>
      </c>
      <c r="AD1839" s="122" t="n">
        <v>0</v>
      </c>
      <c r="AE1839" s="122" t="n">
        <v>0</v>
      </c>
      <c r="AF1839" s="122" t="n">
        <v>0</v>
      </c>
      <c r="AG1839" s="122" t="n">
        <v>0</v>
      </c>
      <c r="AH1839" s="122" t="n">
        <v>0</v>
      </c>
      <c r="AI1839" s="54">
        <f>IFERROR(AC1839/S1839,"")</f>
        <v/>
      </c>
      <c r="AJ1839" s="54">
        <f>IFERROR(AH1839/S1839,"")</f>
        <v/>
      </c>
      <c r="AK1839" s="122" t="n">
        <v>36</v>
      </c>
      <c r="AL1839" s="122" t="n">
        <v>0</v>
      </c>
      <c r="AM1839" s="124">
        <f>IFERROR(AL1839/AA1839,"")</f>
        <v/>
      </c>
      <c r="AN1839" s="125">
        <f>IFERROR(R1839/AL1839,"")</f>
        <v/>
      </c>
      <c r="AO1839" s="122" t="n">
        <v>0</v>
      </c>
      <c r="AP1839" s="54">
        <f>IFERROR(AO1839/AL1839,"")</f>
        <v/>
      </c>
      <c r="AQ1839" s="125">
        <f>IFERROR(R1839/AO1839,"")</f>
        <v/>
      </c>
      <c r="AR1839" s="122" t="n">
        <v>0</v>
      </c>
      <c r="AS1839" s="122" t="n">
        <v>0</v>
      </c>
      <c r="AT1839" s="122">
        <f>AL1839+AR1839</f>
        <v/>
      </c>
      <c r="AU1839" s="125">
        <f>IFERROR(AO1839*Assumptions!$C$26*Assumptions!$C$27*INDEX(Assumptions!$C$18:$C$21,MATCH(H1839,Assumptions!$B$18:$B$21,0)),0)</f>
        <v/>
      </c>
    </row>
    <row r="1840">
      <c r="A1840" s="120" t="n">
        <v>46245</v>
      </c>
      <c r="B1840" s="66" t="inlineStr">
        <is>
          <t>Wk 33</t>
        </is>
      </c>
      <c r="C1840" s="66" t="inlineStr">
        <is>
          <t>Tue</t>
        </is>
      </c>
      <c r="D1840" s="66" t="inlineStr">
        <is>
          <t>Programmatic</t>
        </is>
      </c>
      <c r="E1840" s="66" t="inlineStr">
        <is>
          <t>DV360</t>
        </is>
      </c>
      <c r="F1840" s="66" t="inlineStr">
        <is>
          <t>LEP_ZA_AUG26_PROG_TD_PROSPECT_DISPLAY</t>
        </is>
      </c>
      <c r="G1840" s="66" t="inlineStr">
        <is>
          <t>Display Prospecting</t>
        </is>
      </c>
      <c r="H1840" s="66" t="inlineStr">
        <is>
          <t>Range</t>
        </is>
      </c>
      <c r="I1840" s="66" t="inlineStr">
        <is>
          <t>Range Offer</t>
        </is>
      </c>
      <c r="J1840" s="66" t="inlineStr">
        <is>
          <t>PROG_3PD_INMKT_AUTO</t>
        </is>
      </c>
      <c r="K1840" s="66" t="inlineStr">
        <is>
          <t>In-Market</t>
        </is>
      </c>
      <c r="L1840" s="66" t="inlineStr">
        <is>
          <t>PROG_HTML5_300x600_Models_v1</t>
        </is>
      </c>
      <c r="M1840" s="66" t="inlineStr">
        <is>
          <t>HTML5 Display 300x600</t>
        </is>
      </c>
      <c r="N1840" s="66" t="inlineStr">
        <is>
          <t>Three models. One test drive.</t>
        </is>
      </c>
      <c r="O1840" s="66" t="inlineStr">
        <is>
          <t>Programmatic Guaranteed / OA</t>
        </is>
      </c>
      <c r="P1840" s="66" t="inlineStr">
        <is>
          <t>Conversions (CPA)</t>
        </is>
      </c>
      <c r="Q1840" s="66" t="inlineStr">
        <is>
          <t>https://www.lepas-sa.co.za/offers</t>
        </is>
      </c>
      <c r="R1840" s="121" t="n">
        <v>200.36</v>
      </c>
      <c r="S1840" s="122" t="n">
        <v>8823</v>
      </c>
      <c r="T1840" s="122" t="n">
        <v>3993</v>
      </c>
      <c r="U1840" s="123">
        <f>IFERROR(S1840/T1840,"")</f>
        <v/>
      </c>
      <c r="V1840" s="122" t="n">
        <v>12</v>
      </c>
      <c r="W1840" s="122" t="n">
        <v>10</v>
      </c>
      <c r="X1840" s="124">
        <f>IFERROR(W1840/S1840,"")</f>
        <v/>
      </c>
      <c r="Y1840" s="121">
        <f>IFERROR(R1840/W1840,"")</f>
        <v/>
      </c>
      <c r="Z1840" s="121">
        <f>IFERROR(R1840/S1840*1000,"")</f>
        <v/>
      </c>
      <c r="AA1840" s="122" t="n">
        <v>7</v>
      </c>
      <c r="AB1840" s="54">
        <f>IFERROR(AA1840/W1840,"")</f>
        <v/>
      </c>
      <c r="AC1840" s="122" t="n">
        <v>0</v>
      </c>
      <c r="AD1840" s="122" t="n">
        <v>0</v>
      </c>
      <c r="AE1840" s="122" t="n">
        <v>0</v>
      </c>
      <c r="AF1840" s="122" t="n">
        <v>0</v>
      </c>
      <c r="AG1840" s="122" t="n">
        <v>0</v>
      </c>
      <c r="AH1840" s="122" t="n">
        <v>0</v>
      </c>
      <c r="AI1840" s="54">
        <f>IFERROR(AC1840/S1840,"")</f>
        <v/>
      </c>
      <c r="AJ1840" s="54">
        <f>IFERROR(AH1840/S1840,"")</f>
        <v/>
      </c>
      <c r="AK1840" s="122" t="n">
        <v>23</v>
      </c>
      <c r="AL1840" s="122" t="n">
        <v>0</v>
      </c>
      <c r="AM1840" s="124">
        <f>IFERROR(AL1840/AA1840,"")</f>
        <v/>
      </c>
      <c r="AN1840" s="125">
        <f>IFERROR(R1840/AL1840,"")</f>
        <v/>
      </c>
      <c r="AO1840" s="122" t="n">
        <v>0</v>
      </c>
      <c r="AP1840" s="54">
        <f>IFERROR(AO1840/AL1840,"")</f>
        <v/>
      </c>
      <c r="AQ1840" s="125">
        <f>IFERROR(R1840/AO1840,"")</f>
        <v/>
      </c>
      <c r="AR1840" s="122" t="n">
        <v>0</v>
      </c>
      <c r="AS1840" s="122" t="n">
        <v>0</v>
      </c>
      <c r="AT1840" s="122">
        <f>AL1840+AR1840</f>
        <v/>
      </c>
      <c r="AU1840" s="125">
        <f>IFERROR(AO1840*Assumptions!$C$26*Assumptions!$C$27*INDEX(Assumptions!$C$18:$C$21,MATCH(H1840,Assumptions!$B$18:$B$21,0)),0)</f>
        <v/>
      </c>
    </row>
    <row r="1841">
      <c r="A1841" s="120" t="n">
        <v>46246</v>
      </c>
      <c r="B1841" s="66" t="inlineStr">
        <is>
          <t>Wk 33</t>
        </is>
      </c>
      <c r="C1841" s="66" t="inlineStr">
        <is>
          <t>Wed</t>
        </is>
      </c>
      <c r="D1841" s="66" t="inlineStr">
        <is>
          <t>Programmatic</t>
        </is>
      </c>
      <c r="E1841" s="66" t="inlineStr">
        <is>
          <t>DV360</t>
        </is>
      </c>
      <c r="F1841" s="66" t="inlineStr">
        <is>
          <t>LEP_ZA_AUG26_PROG_TD_PROSPECT_DISPLAY</t>
        </is>
      </c>
      <c r="G1841" s="66" t="inlineStr">
        <is>
          <t>Display Prospecting</t>
        </is>
      </c>
      <c r="H1841" s="66" t="inlineStr">
        <is>
          <t>Range</t>
        </is>
      </c>
      <c r="I1841" s="66" t="inlineStr">
        <is>
          <t>Range Offer</t>
        </is>
      </c>
      <c r="J1841" s="66" t="inlineStr">
        <is>
          <t>PROG_3PD_INMKT_AUTO</t>
        </is>
      </c>
      <c r="K1841" s="66" t="inlineStr">
        <is>
          <t>In-Market</t>
        </is>
      </c>
      <c r="L1841" s="66" t="inlineStr">
        <is>
          <t>PROG_HTML5_300x600_Models_v1</t>
        </is>
      </c>
      <c r="M1841" s="66" t="inlineStr">
        <is>
          <t>HTML5 Display 300x600</t>
        </is>
      </c>
      <c r="N1841" s="66" t="inlineStr">
        <is>
          <t>Three models. One test drive.</t>
        </is>
      </c>
      <c r="O1841" s="66" t="inlineStr">
        <is>
          <t>Programmatic Guaranteed / OA</t>
        </is>
      </c>
      <c r="P1841" s="66" t="inlineStr">
        <is>
          <t>Conversions (CPA)</t>
        </is>
      </c>
      <c r="Q1841" s="66" t="inlineStr">
        <is>
          <t>https://www.lepas-sa.co.za/offers</t>
        </is>
      </c>
      <c r="R1841" s="121" t="n">
        <v>197.09</v>
      </c>
      <c r="S1841" s="122" t="n">
        <v>9017</v>
      </c>
      <c r="T1841" s="122" t="n">
        <v>4725</v>
      </c>
      <c r="U1841" s="123">
        <f>IFERROR(S1841/T1841,"")</f>
        <v/>
      </c>
      <c r="V1841" s="122" t="n">
        <v>25</v>
      </c>
      <c r="W1841" s="122" t="n">
        <v>18</v>
      </c>
      <c r="X1841" s="124">
        <f>IFERROR(W1841/S1841,"")</f>
        <v/>
      </c>
      <c r="Y1841" s="121">
        <f>IFERROR(R1841/W1841,"")</f>
        <v/>
      </c>
      <c r="Z1841" s="121">
        <f>IFERROR(R1841/S1841*1000,"")</f>
        <v/>
      </c>
      <c r="AA1841" s="122" t="n">
        <v>10</v>
      </c>
      <c r="AB1841" s="54">
        <f>IFERROR(AA1841/W1841,"")</f>
        <v/>
      </c>
      <c r="AC1841" s="122" t="n">
        <v>0</v>
      </c>
      <c r="AD1841" s="122" t="n">
        <v>0</v>
      </c>
      <c r="AE1841" s="122" t="n">
        <v>0</v>
      </c>
      <c r="AF1841" s="122" t="n">
        <v>0</v>
      </c>
      <c r="AG1841" s="122" t="n">
        <v>0</v>
      </c>
      <c r="AH1841" s="122" t="n">
        <v>0</v>
      </c>
      <c r="AI1841" s="54">
        <f>IFERROR(AC1841/S1841,"")</f>
        <v/>
      </c>
      <c r="AJ1841" s="54">
        <f>IFERROR(AH1841/S1841,"")</f>
        <v/>
      </c>
      <c r="AK1841" s="122" t="n">
        <v>23</v>
      </c>
      <c r="AL1841" s="122" t="n">
        <v>0</v>
      </c>
      <c r="AM1841" s="124">
        <f>IFERROR(AL1841/AA1841,"")</f>
        <v/>
      </c>
      <c r="AN1841" s="125">
        <f>IFERROR(R1841/AL1841,"")</f>
        <v/>
      </c>
      <c r="AO1841" s="122" t="n">
        <v>0</v>
      </c>
      <c r="AP1841" s="54">
        <f>IFERROR(AO1841/AL1841,"")</f>
        <v/>
      </c>
      <c r="AQ1841" s="125">
        <f>IFERROR(R1841/AO1841,"")</f>
        <v/>
      </c>
      <c r="AR1841" s="122" t="n">
        <v>0</v>
      </c>
      <c r="AS1841" s="122" t="n">
        <v>0</v>
      </c>
      <c r="AT1841" s="122">
        <f>AL1841+AR1841</f>
        <v/>
      </c>
      <c r="AU1841" s="125">
        <f>IFERROR(AO1841*Assumptions!$C$26*Assumptions!$C$27*INDEX(Assumptions!$C$18:$C$21,MATCH(H1841,Assumptions!$B$18:$B$21,0)),0)</f>
        <v/>
      </c>
    </row>
    <row r="1842">
      <c r="A1842" s="120" t="n">
        <v>46247</v>
      </c>
      <c r="B1842" s="66" t="inlineStr">
        <is>
          <t>Wk 33</t>
        </is>
      </c>
      <c r="C1842" s="66" t="inlineStr">
        <is>
          <t>Thu</t>
        </is>
      </c>
      <c r="D1842" s="66" t="inlineStr">
        <is>
          <t>Programmatic</t>
        </is>
      </c>
      <c r="E1842" s="66" t="inlineStr">
        <is>
          <t>DV360</t>
        </is>
      </c>
      <c r="F1842" s="66" t="inlineStr">
        <is>
          <t>LEP_ZA_AUG26_PROG_TD_PROSPECT_DISPLAY</t>
        </is>
      </c>
      <c r="G1842" s="66" t="inlineStr">
        <is>
          <t>Display Prospecting</t>
        </is>
      </c>
      <c r="H1842" s="66" t="inlineStr">
        <is>
          <t>Range</t>
        </is>
      </c>
      <c r="I1842" s="66" t="inlineStr">
        <is>
          <t>Range Offer</t>
        </is>
      </c>
      <c r="J1842" s="66" t="inlineStr">
        <is>
          <t>PROG_3PD_INMKT_AUTO</t>
        </is>
      </c>
      <c r="K1842" s="66" t="inlineStr">
        <is>
          <t>In-Market</t>
        </is>
      </c>
      <c r="L1842" s="66" t="inlineStr">
        <is>
          <t>PROG_HTML5_300x600_Models_v1</t>
        </is>
      </c>
      <c r="M1842" s="66" t="inlineStr">
        <is>
          <t>HTML5 Display 300x600</t>
        </is>
      </c>
      <c r="N1842" s="66" t="inlineStr">
        <is>
          <t>Three models. One test drive.</t>
        </is>
      </c>
      <c r="O1842" s="66" t="inlineStr">
        <is>
          <t>Programmatic Guaranteed / OA</t>
        </is>
      </c>
      <c r="P1842" s="66" t="inlineStr">
        <is>
          <t>Conversions (CPA)</t>
        </is>
      </c>
      <c r="Q1842" s="66" t="inlineStr">
        <is>
          <t>https://www.lepas-sa.co.za/offers</t>
        </is>
      </c>
      <c r="R1842" s="121" t="n">
        <v>236.7</v>
      </c>
      <c r="S1842" s="122" t="n">
        <v>7880</v>
      </c>
      <c r="T1842" s="122" t="n">
        <v>4608</v>
      </c>
      <c r="U1842" s="123">
        <f>IFERROR(S1842/T1842,"")</f>
        <v/>
      </c>
      <c r="V1842" s="122" t="n">
        <v>25</v>
      </c>
      <c r="W1842" s="122" t="n">
        <v>20</v>
      </c>
      <c r="X1842" s="124">
        <f>IFERROR(W1842/S1842,"")</f>
        <v/>
      </c>
      <c r="Y1842" s="121">
        <f>IFERROR(R1842/W1842,"")</f>
        <v/>
      </c>
      <c r="Z1842" s="121">
        <f>IFERROR(R1842/S1842*1000,"")</f>
        <v/>
      </c>
      <c r="AA1842" s="122" t="n">
        <v>13</v>
      </c>
      <c r="AB1842" s="54">
        <f>IFERROR(AA1842/W1842,"")</f>
        <v/>
      </c>
      <c r="AC1842" s="122" t="n">
        <v>0</v>
      </c>
      <c r="AD1842" s="122" t="n">
        <v>0</v>
      </c>
      <c r="AE1842" s="122" t="n">
        <v>0</v>
      </c>
      <c r="AF1842" s="122" t="n">
        <v>0</v>
      </c>
      <c r="AG1842" s="122" t="n">
        <v>0</v>
      </c>
      <c r="AH1842" s="122" t="n">
        <v>0</v>
      </c>
      <c r="AI1842" s="54">
        <f>IFERROR(AC1842/S1842,"")</f>
        <v/>
      </c>
      <c r="AJ1842" s="54">
        <f>IFERROR(AH1842/S1842,"")</f>
        <v/>
      </c>
      <c r="AK1842" s="122" t="n">
        <v>19</v>
      </c>
      <c r="AL1842" s="122" t="n">
        <v>0</v>
      </c>
      <c r="AM1842" s="124">
        <f>IFERROR(AL1842/AA1842,"")</f>
        <v/>
      </c>
      <c r="AN1842" s="125">
        <f>IFERROR(R1842/AL1842,"")</f>
        <v/>
      </c>
      <c r="AO1842" s="122" t="n">
        <v>0</v>
      </c>
      <c r="AP1842" s="54">
        <f>IFERROR(AO1842/AL1842,"")</f>
        <v/>
      </c>
      <c r="AQ1842" s="125">
        <f>IFERROR(R1842/AO1842,"")</f>
        <v/>
      </c>
      <c r="AR1842" s="122" t="n">
        <v>0</v>
      </c>
      <c r="AS1842" s="122" t="n">
        <v>0</v>
      </c>
      <c r="AT1842" s="122">
        <f>AL1842+AR1842</f>
        <v/>
      </c>
      <c r="AU1842" s="125">
        <f>IFERROR(AO1842*Assumptions!$C$26*Assumptions!$C$27*INDEX(Assumptions!$C$18:$C$21,MATCH(H1842,Assumptions!$B$18:$B$21,0)),0)</f>
        <v/>
      </c>
    </row>
    <row r="1843">
      <c r="A1843" s="120" t="n">
        <v>46248</v>
      </c>
      <c r="B1843" s="66" t="inlineStr">
        <is>
          <t>Wk 33</t>
        </is>
      </c>
      <c r="C1843" s="66" t="inlineStr">
        <is>
          <t>Fri</t>
        </is>
      </c>
      <c r="D1843" s="66" t="inlineStr">
        <is>
          <t>Programmatic</t>
        </is>
      </c>
      <c r="E1843" s="66" t="inlineStr">
        <is>
          <t>DV360</t>
        </is>
      </c>
      <c r="F1843" s="66" t="inlineStr">
        <is>
          <t>LEP_ZA_AUG26_PROG_TD_PROSPECT_DISPLAY</t>
        </is>
      </c>
      <c r="G1843" s="66" t="inlineStr">
        <is>
          <t>Display Prospecting</t>
        </is>
      </c>
      <c r="H1843" s="66" t="inlineStr">
        <is>
          <t>Range</t>
        </is>
      </c>
      <c r="I1843" s="66" t="inlineStr">
        <is>
          <t>Range Offer</t>
        </is>
      </c>
      <c r="J1843" s="66" t="inlineStr">
        <is>
          <t>PROG_3PD_INMKT_AUTO</t>
        </is>
      </c>
      <c r="K1843" s="66" t="inlineStr">
        <is>
          <t>In-Market</t>
        </is>
      </c>
      <c r="L1843" s="66" t="inlineStr">
        <is>
          <t>PROG_HTML5_300x600_Models_v1</t>
        </is>
      </c>
      <c r="M1843" s="66" t="inlineStr">
        <is>
          <t>HTML5 Display 300x600</t>
        </is>
      </c>
      <c r="N1843" s="66" t="inlineStr">
        <is>
          <t>Three models. One test drive.</t>
        </is>
      </c>
      <c r="O1843" s="66" t="inlineStr">
        <is>
          <t>Programmatic Guaranteed / OA</t>
        </is>
      </c>
      <c r="P1843" s="66" t="inlineStr">
        <is>
          <t>Conversions (CPA)</t>
        </is>
      </c>
      <c r="Q1843" s="66" t="inlineStr">
        <is>
          <t>https://www.lepas-sa.co.za/offers</t>
        </is>
      </c>
      <c r="R1843" s="121" t="n">
        <v>206.29</v>
      </c>
      <c r="S1843" s="122" t="n">
        <v>6435</v>
      </c>
      <c r="T1843" s="122" t="n">
        <v>2495</v>
      </c>
      <c r="U1843" s="123">
        <f>IFERROR(S1843/T1843,"")</f>
        <v/>
      </c>
      <c r="V1843" s="122" t="n">
        <v>13</v>
      </c>
      <c r="W1843" s="122" t="n">
        <v>11</v>
      </c>
      <c r="X1843" s="124">
        <f>IFERROR(W1843/S1843,"")</f>
        <v/>
      </c>
      <c r="Y1843" s="121">
        <f>IFERROR(R1843/W1843,"")</f>
        <v/>
      </c>
      <c r="Z1843" s="121">
        <f>IFERROR(R1843/S1843*1000,"")</f>
        <v/>
      </c>
      <c r="AA1843" s="122" t="n">
        <v>6</v>
      </c>
      <c r="AB1843" s="54">
        <f>IFERROR(AA1843/W1843,"")</f>
        <v/>
      </c>
      <c r="AC1843" s="122" t="n">
        <v>0</v>
      </c>
      <c r="AD1843" s="122" t="n">
        <v>0</v>
      </c>
      <c r="AE1843" s="122" t="n">
        <v>0</v>
      </c>
      <c r="AF1843" s="122" t="n">
        <v>0</v>
      </c>
      <c r="AG1843" s="122" t="n">
        <v>0</v>
      </c>
      <c r="AH1843" s="122" t="n">
        <v>0</v>
      </c>
      <c r="AI1843" s="54">
        <f>IFERROR(AC1843/S1843,"")</f>
        <v/>
      </c>
      <c r="AJ1843" s="54">
        <f>IFERROR(AH1843/S1843,"")</f>
        <v/>
      </c>
      <c r="AK1843" s="122" t="n">
        <v>30</v>
      </c>
      <c r="AL1843" s="122" t="n">
        <v>0</v>
      </c>
      <c r="AM1843" s="124">
        <f>IFERROR(AL1843/AA1843,"")</f>
        <v/>
      </c>
      <c r="AN1843" s="125">
        <f>IFERROR(R1843/AL1843,"")</f>
        <v/>
      </c>
      <c r="AO1843" s="122" t="n">
        <v>0</v>
      </c>
      <c r="AP1843" s="54">
        <f>IFERROR(AO1843/AL1843,"")</f>
        <v/>
      </c>
      <c r="AQ1843" s="125">
        <f>IFERROR(R1843/AO1843,"")</f>
        <v/>
      </c>
      <c r="AR1843" s="122" t="n">
        <v>0</v>
      </c>
      <c r="AS1843" s="122" t="n">
        <v>0</v>
      </c>
      <c r="AT1843" s="122">
        <f>AL1843+AR1843</f>
        <v/>
      </c>
      <c r="AU1843" s="125">
        <f>IFERROR(AO1843*Assumptions!$C$26*Assumptions!$C$27*INDEX(Assumptions!$C$18:$C$21,MATCH(H1843,Assumptions!$B$18:$B$21,0)),0)</f>
        <v/>
      </c>
    </row>
    <row r="1844">
      <c r="A1844" s="120" t="n">
        <v>46249</v>
      </c>
      <c r="B1844" s="66" t="inlineStr">
        <is>
          <t>Wk 33</t>
        </is>
      </c>
      <c r="C1844" s="66" t="inlineStr">
        <is>
          <t>Sat</t>
        </is>
      </c>
      <c r="D1844" s="66" t="inlineStr">
        <is>
          <t>Programmatic</t>
        </is>
      </c>
      <c r="E1844" s="66" t="inlineStr">
        <is>
          <t>DV360</t>
        </is>
      </c>
      <c r="F1844" s="66" t="inlineStr">
        <is>
          <t>LEP_ZA_AUG26_PROG_TD_PROSPECT_DISPLAY</t>
        </is>
      </c>
      <c r="G1844" s="66" t="inlineStr">
        <is>
          <t>Display Prospecting</t>
        </is>
      </c>
      <c r="H1844" s="66" t="inlineStr">
        <is>
          <t>Range</t>
        </is>
      </c>
      <c r="I1844" s="66" t="inlineStr">
        <is>
          <t>Range Offer</t>
        </is>
      </c>
      <c r="J1844" s="66" t="inlineStr">
        <is>
          <t>PROG_3PD_INMKT_AUTO</t>
        </is>
      </c>
      <c r="K1844" s="66" t="inlineStr">
        <is>
          <t>In-Market</t>
        </is>
      </c>
      <c r="L1844" s="66" t="inlineStr">
        <is>
          <t>PROG_HTML5_300x600_Models_v1</t>
        </is>
      </c>
      <c r="M1844" s="66" t="inlineStr">
        <is>
          <t>HTML5 Display 300x600</t>
        </is>
      </c>
      <c r="N1844" s="66" t="inlineStr">
        <is>
          <t>Three models. One test drive.</t>
        </is>
      </c>
      <c r="O1844" s="66" t="inlineStr">
        <is>
          <t>Programmatic Guaranteed / OA</t>
        </is>
      </c>
      <c r="P1844" s="66" t="inlineStr">
        <is>
          <t>Conversions (CPA)</t>
        </is>
      </c>
      <c r="Q1844" s="66" t="inlineStr">
        <is>
          <t>https://www.lepas-sa.co.za/offers</t>
        </is>
      </c>
      <c r="R1844" s="121" t="n">
        <v>185.1</v>
      </c>
      <c r="S1844" s="122" t="n">
        <v>5035</v>
      </c>
      <c r="T1844" s="122" t="n">
        <v>2675</v>
      </c>
      <c r="U1844" s="123">
        <f>IFERROR(S1844/T1844,"")</f>
        <v/>
      </c>
      <c r="V1844" s="122" t="n">
        <v>19</v>
      </c>
      <c r="W1844" s="122" t="n">
        <v>15</v>
      </c>
      <c r="X1844" s="124">
        <f>IFERROR(W1844/S1844,"")</f>
        <v/>
      </c>
      <c r="Y1844" s="121">
        <f>IFERROR(R1844/W1844,"")</f>
        <v/>
      </c>
      <c r="Z1844" s="121">
        <f>IFERROR(R1844/S1844*1000,"")</f>
        <v/>
      </c>
      <c r="AA1844" s="122" t="n">
        <v>10</v>
      </c>
      <c r="AB1844" s="54">
        <f>IFERROR(AA1844/W1844,"")</f>
        <v/>
      </c>
      <c r="AC1844" s="122" t="n">
        <v>0</v>
      </c>
      <c r="AD1844" s="122" t="n">
        <v>0</v>
      </c>
      <c r="AE1844" s="122" t="n">
        <v>0</v>
      </c>
      <c r="AF1844" s="122" t="n">
        <v>0</v>
      </c>
      <c r="AG1844" s="122" t="n">
        <v>0</v>
      </c>
      <c r="AH1844" s="122" t="n">
        <v>0</v>
      </c>
      <c r="AI1844" s="54">
        <f>IFERROR(AC1844/S1844,"")</f>
        <v/>
      </c>
      <c r="AJ1844" s="54">
        <f>IFERROR(AH1844/S1844,"")</f>
        <v/>
      </c>
      <c r="AK1844" s="122" t="n">
        <v>15</v>
      </c>
      <c r="AL1844" s="122" t="n">
        <v>1</v>
      </c>
      <c r="AM1844" s="124">
        <f>IFERROR(AL1844/AA1844,"")</f>
        <v/>
      </c>
      <c r="AN1844" s="125">
        <f>IFERROR(R1844/AL1844,"")</f>
        <v/>
      </c>
      <c r="AO1844" s="122" t="n">
        <v>0</v>
      </c>
      <c r="AP1844" s="54">
        <f>IFERROR(AO1844/AL1844,"")</f>
        <v/>
      </c>
      <c r="AQ1844" s="125">
        <f>IFERROR(R1844/AO1844,"")</f>
        <v/>
      </c>
      <c r="AR1844" s="122" t="n">
        <v>2</v>
      </c>
      <c r="AS1844" s="122" t="n">
        <v>1</v>
      </c>
      <c r="AT1844" s="122">
        <f>AL1844+AR1844</f>
        <v/>
      </c>
      <c r="AU1844" s="125">
        <f>IFERROR(AO1844*Assumptions!$C$26*Assumptions!$C$27*INDEX(Assumptions!$C$18:$C$21,MATCH(H1844,Assumptions!$B$18:$B$21,0)),0)</f>
        <v/>
      </c>
    </row>
    <row r="1845">
      <c r="A1845" s="120" t="n">
        <v>46250</v>
      </c>
      <c r="B1845" s="66" t="inlineStr">
        <is>
          <t>Wk 33</t>
        </is>
      </c>
      <c r="C1845" s="66" t="inlineStr">
        <is>
          <t>Sun</t>
        </is>
      </c>
      <c r="D1845" s="66" t="inlineStr">
        <is>
          <t>Programmatic</t>
        </is>
      </c>
      <c r="E1845" s="66" t="inlineStr">
        <is>
          <t>DV360</t>
        </is>
      </c>
      <c r="F1845" s="66" t="inlineStr">
        <is>
          <t>LEP_ZA_AUG26_PROG_TD_PROSPECT_DISPLAY</t>
        </is>
      </c>
      <c r="G1845" s="66" t="inlineStr">
        <is>
          <t>Display Prospecting</t>
        </is>
      </c>
      <c r="H1845" s="66" t="inlineStr">
        <is>
          <t>Range</t>
        </is>
      </c>
      <c r="I1845" s="66" t="inlineStr">
        <is>
          <t>Range Offer</t>
        </is>
      </c>
      <c r="J1845" s="66" t="inlineStr">
        <is>
          <t>PROG_3PD_INMKT_AUTO</t>
        </is>
      </c>
      <c r="K1845" s="66" t="inlineStr">
        <is>
          <t>In-Market</t>
        </is>
      </c>
      <c r="L1845" s="66" t="inlineStr">
        <is>
          <t>PROG_HTML5_300x600_Models_v1</t>
        </is>
      </c>
      <c r="M1845" s="66" t="inlineStr">
        <is>
          <t>HTML5 Display 300x600</t>
        </is>
      </c>
      <c r="N1845" s="66" t="inlineStr">
        <is>
          <t>Three models. One test drive.</t>
        </is>
      </c>
      <c r="O1845" s="66" t="inlineStr">
        <is>
          <t>Programmatic Guaranteed / OA</t>
        </is>
      </c>
      <c r="P1845" s="66" t="inlineStr">
        <is>
          <t>Conversions (CPA)</t>
        </is>
      </c>
      <c r="Q1845" s="66" t="inlineStr">
        <is>
          <t>https://www.lepas-sa.co.za/offers</t>
        </is>
      </c>
      <c r="R1845" s="121" t="n">
        <v>146.44</v>
      </c>
      <c r="S1845" s="122" t="n">
        <v>6236</v>
      </c>
      <c r="T1845" s="122" t="n">
        <v>2441</v>
      </c>
      <c r="U1845" s="123">
        <f>IFERROR(S1845/T1845,"")</f>
        <v/>
      </c>
      <c r="V1845" s="122" t="n">
        <v>12</v>
      </c>
      <c r="W1845" s="122" t="n">
        <v>9</v>
      </c>
      <c r="X1845" s="124">
        <f>IFERROR(W1845/S1845,"")</f>
        <v/>
      </c>
      <c r="Y1845" s="121">
        <f>IFERROR(R1845/W1845,"")</f>
        <v/>
      </c>
      <c r="Z1845" s="121">
        <f>IFERROR(R1845/S1845*1000,"")</f>
        <v/>
      </c>
      <c r="AA1845" s="122" t="n">
        <v>6</v>
      </c>
      <c r="AB1845" s="54">
        <f>IFERROR(AA1845/W1845,"")</f>
        <v/>
      </c>
      <c r="AC1845" s="122" t="n">
        <v>0</v>
      </c>
      <c r="AD1845" s="122" t="n">
        <v>0</v>
      </c>
      <c r="AE1845" s="122" t="n">
        <v>0</v>
      </c>
      <c r="AF1845" s="122" t="n">
        <v>0</v>
      </c>
      <c r="AG1845" s="122" t="n">
        <v>0</v>
      </c>
      <c r="AH1845" s="122" t="n">
        <v>0</v>
      </c>
      <c r="AI1845" s="54">
        <f>IFERROR(AC1845/S1845,"")</f>
        <v/>
      </c>
      <c r="AJ1845" s="54">
        <f>IFERROR(AH1845/S1845,"")</f>
        <v/>
      </c>
      <c r="AK1845" s="122" t="n">
        <v>17</v>
      </c>
      <c r="AL1845" s="122" t="n">
        <v>0</v>
      </c>
      <c r="AM1845" s="124">
        <f>IFERROR(AL1845/AA1845,"")</f>
        <v/>
      </c>
      <c r="AN1845" s="125">
        <f>IFERROR(R1845/AL1845,"")</f>
        <v/>
      </c>
      <c r="AO1845" s="122" t="n">
        <v>0</v>
      </c>
      <c r="AP1845" s="54">
        <f>IFERROR(AO1845/AL1845,"")</f>
        <v/>
      </c>
      <c r="AQ1845" s="125">
        <f>IFERROR(R1845/AO1845,"")</f>
        <v/>
      </c>
      <c r="AR1845" s="122" t="n">
        <v>0</v>
      </c>
      <c r="AS1845" s="122" t="n">
        <v>0</v>
      </c>
      <c r="AT1845" s="122">
        <f>AL1845+AR1845</f>
        <v/>
      </c>
      <c r="AU1845" s="125">
        <f>IFERROR(AO1845*Assumptions!$C$26*Assumptions!$C$27*INDEX(Assumptions!$C$18:$C$21,MATCH(H1845,Assumptions!$B$18:$B$21,0)),0)</f>
        <v/>
      </c>
    </row>
    <row r="1846">
      <c r="A1846" s="120" t="n">
        <v>46251</v>
      </c>
      <c r="B1846" s="66" t="inlineStr">
        <is>
          <t>Wk 34</t>
        </is>
      </c>
      <c r="C1846" s="66" t="inlineStr">
        <is>
          <t>Mon</t>
        </is>
      </c>
      <c r="D1846" s="66" t="inlineStr">
        <is>
          <t>Programmatic</t>
        </is>
      </c>
      <c r="E1846" s="66" t="inlineStr">
        <is>
          <t>DV360</t>
        </is>
      </c>
      <c r="F1846" s="66" t="inlineStr">
        <is>
          <t>LEP_ZA_AUG26_PROG_TD_PROSPECT_DISPLAY</t>
        </is>
      </c>
      <c r="G1846" s="66" t="inlineStr">
        <is>
          <t>Display Prospecting</t>
        </is>
      </c>
      <c r="H1846" s="66" t="inlineStr">
        <is>
          <t>Range</t>
        </is>
      </c>
      <c r="I1846" s="66" t="inlineStr">
        <is>
          <t>Range Offer</t>
        </is>
      </c>
      <c r="J1846" s="66" t="inlineStr">
        <is>
          <t>PROG_3PD_INMKT_AUTO</t>
        </is>
      </c>
      <c r="K1846" s="66" t="inlineStr">
        <is>
          <t>In-Market</t>
        </is>
      </c>
      <c r="L1846" s="66" t="inlineStr">
        <is>
          <t>PROG_HTML5_300x600_Models_v1</t>
        </is>
      </c>
      <c r="M1846" s="66" t="inlineStr">
        <is>
          <t>HTML5 Display 300x600</t>
        </is>
      </c>
      <c r="N1846" s="66" t="inlineStr">
        <is>
          <t>Three models. One test drive.</t>
        </is>
      </c>
      <c r="O1846" s="66" t="inlineStr">
        <is>
          <t>Programmatic Guaranteed / OA</t>
        </is>
      </c>
      <c r="P1846" s="66" t="inlineStr">
        <is>
          <t>Conversions (CPA)</t>
        </is>
      </c>
      <c r="Q1846" s="66" t="inlineStr">
        <is>
          <t>https://www.lepas-sa.co.za/offers</t>
        </is>
      </c>
      <c r="R1846" s="121" t="n">
        <v>158.47</v>
      </c>
      <c r="S1846" s="122" t="n">
        <v>4148</v>
      </c>
      <c r="T1846" s="122" t="n">
        <v>2717</v>
      </c>
      <c r="U1846" s="123">
        <f>IFERROR(S1846/T1846,"")</f>
        <v/>
      </c>
      <c r="V1846" s="122" t="n">
        <v>9</v>
      </c>
      <c r="W1846" s="122" t="n">
        <v>8</v>
      </c>
      <c r="X1846" s="124">
        <f>IFERROR(W1846/S1846,"")</f>
        <v/>
      </c>
      <c r="Y1846" s="121">
        <f>IFERROR(R1846/W1846,"")</f>
        <v/>
      </c>
      <c r="Z1846" s="121">
        <f>IFERROR(R1846/S1846*1000,"")</f>
        <v/>
      </c>
      <c r="AA1846" s="122" t="n">
        <v>5</v>
      </c>
      <c r="AB1846" s="54">
        <f>IFERROR(AA1846/W1846,"")</f>
        <v/>
      </c>
      <c r="AC1846" s="122" t="n">
        <v>0</v>
      </c>
      <c r="AD1846" s="122" t="n">
        <v>0</v>
      </c>
      <c r="AE1846" s="122" t="n">
        <v>0</v>
      </c>
      <c r="AF1846" s="122" t="n">
        <v>0</v>
      </c>
      <c r="AG1846" s="122" t="n">
        <v>0</v>
      </c>
      <c r="AH1846" s="122" t="n">
        <v>0</v>
      </c>
      <c r="AI1846" s="54">
        <f>IFERROR(AC1846/S1846,"")</f>
        <v/>
      </c>
      <c r="AJ1846" s="54">
        <f>IFERROR(AH1846/S1846,"")</f>
        <v/>
      </c>
      <c r="AK1846" s="122" t="n">
        <v>10</v>
      </c>
      <c r="AL1846" s="122" t="n">
        <v>0</v>
      </c>
      <c r="AM1846" s="124">
        <f>IFERROR(AL1846/AA1846,"")</f>
        <v/>
      </c>
      <c r="AN1846" s="125">
        <f>IFERROR(R1846/AL1846,"")</f>
        <v/>
      </c>
      <c r="AO1846" s="122" t="n">
        <v>0</v>
      </c>
      <c r="AP1846" s="54">
        <f>IFERROR(AO1846/AL1846,"")</f>
        <v/>
      </c>
      <c r="AQ1846" s="125">
        <f>IFERROR(R1846/AO1846,"")</f>
        <v/>
      </c>
      <c r="AR1846" s="122" t="n">
        <v>0</v>
      </c>
      <c r="AS1846" s="122" t="n">
        <v>0</v>
      </c>
      <c r="AT1846" s="122">
        <f>AL1846+AR1846</f>
        <v/>
      </c>
      <c r="AU1846" s="125">
        <f>IFERROR(AO1846*Assumptions!$C$26*Assumptions!$C$27*INDEX(Assumptions!$C$18:$C$21,MATCH(H1846,Assumptions!$B$18:$B$21,0)),0)</f>
        <v/>
      </c>
    </row>
    <row r="1847">
      <c r="A1847" s="120" t="n">
        <v>46252</v>
      </c>
      <c r="B1847" s="66" t="inlineStr">
        <is>
          <t>Wk 34</t>
        </is>
      </c>
      <c r="C1847" s="66" t="inlineStr">
        <is>
          <t>Tue</t>
        </is>
      </c>
      <c r="D1847" s="66" t="inlineStr">
        <is>
          <t>Programmatic</t>
        </is>
      </c>
      <c r="E1847" s="66" t="inlineStr">
        <is>
          <t>DV360</t>
        </is>
      </c>
      <c r="F1847" s="66" t="inlineStr">
        <is>
          <t>LEP_ZA_AUG26_PROG_TD_PROSPECT_DISPLAY</t>
        </is>
      </c>
      <c r="G1847" s="66" t="inlineStr">
        <is>
          <t>Display Prospecting</t>
        </is>
      </c>
      <c r="H1847" s="66" t="inlineStr">
        <is>
          <t>Range</t>
        </is>
      </c>
      <c r="I1847" s="66" t="inlineStr">
        <is>
          <t>Range Offer</t>
        </is>
      </c>
      <c r="J1847" s="66" t="inlineStr">
        <is>
          <t>PROG_3PD_INMKT_AUTO</t>
        </is>
      </c>
      <c r="K1847" s="66" t="inlineStr">
        <is>
          <t>In-Market</t>
        </is>
      </c>
      <c r="L1847" s="66" t="inlineStr">
        <is>
          <t>PROG_HTML5_300x600_Models_v1</t>
        </is>
      </c>
      <c r="M1847" s="66" t="inlineStr">
        <is>
          <t>HTML5 Display 300x600</t>
        </is>
      </c>
      <c r="N1847" s="66" t="inlineStr">
        <is>
          <t>Three models. One test drive.</t>
        </is>
      </c>
      <c r="O1847" s="66" t="inlineStr">
        <is>
          <t>Programmatic Guaranteed / OA</t>
        </is>
      </c>
      <c r="P1847" s="66" t="inlineStr">
        <is>
          <t>Conversions (CPA)</t>
        </is>
      </c>
      <c r="Q1847" s="66" t="inlineStr">
        <is>
          <t>https://www.lepas-sa.co.za/offers</t>
        </is>
      </c>
      <c r="R1847" s="121" t="n">
        <v>205.21</v>
      </c>
      <c r="S1847" s="122" t="n">
        <v>4828</v>
      </c>
      <c r="T1847" s="122" t="n">
        <v>1907</v>
      </c>
      <c r="U1847" s="123">
        <f>IFERROR(S1847/T1847,"")</f>
        <v/>
      </c>
      <c r="V1847" s="122" t="n">
        <v>13</v>
      </c>
      <c r="W1847" s="122" t="n">
        <v>11</v>
      </c>
      <c r="X1847" s="124">
        <f>IFERROR(W1847/S1847,"")</f>
        <v/>
      </c>
      <c r="Y1847" s="121">
        <f>IFERROR(R1847/W1847,"")</f>
        <v/>
      </c>
      <c r="Z1847" s="121">
        <f>IFERROR(R1847/S1847*1000,"")</f>
        <v/>
      </c>
      <c r="AA1847" s="122" t="n">
        <v>6</v>
      </c>
      <c r="AB1847" s="54">
        <f>IFERROR(AA1847/W1847,"")</f>
        <v/>
      </c>
      <c r="AC1847" s="122" t="n">
        <v>0</v>
      </c>
      <c r="AD1847" s="122" t="n">
        <v>0</v>
      </c>
      <c r="AE1847" s="122" t="n">
        <v>0</v>
      </c>
      <c r="AF1847" s="122" t="n">
        <v>0</v>
      </c>
      <c r="AG1847" s="122" t="n">
        <v>0</v>
      </c>
      <c r="AH1847" s="122" t="n">
        <v>0</v>
      </c>
      <c r="AI1847" s="54">
        <f>IFERROR(AC1847/S1847,"")</f>
        <v/>
      </c>
      <c r="AJ1847" s="54">
        <f>IFERROR(AH1847/S1847,"")</f>
        <v/>
      </c>
      <c r="AK1847" s="122" t="n">
        <v>26</v>
      </c>
      <c r="AL1847" s="122" t="n">
        <v>0</v>
      </c>
      <c r="AM1847" s="124">
        <f>IFERROR(AL1847/AA1847,"")</f>
        <v/>
      </c>
      <c r="AN1847" s="125">
        <f>IFERROR(R1847/AL1847,"")</f>
        <v/>
      </c>
      <c r="AO1847" s="122" t="n">
        <v>0</v>
      </c>
      <c r="AP1847" s="54">
        <f>IFERROR(AO1847/AL1847,"")</f>
        <v/>
      </c>
      <c r="AQ1847" s="125">
        <f>IFERROR(R1847/AO1847,"")</f>
        <v/>
      </c>
      <c r="AR1847" s="122" t="n">
        <v>0</v>
      </c>
      <c r="AS1847" s="122" t="n">
        <v>0</v>
      </c>
      <c r="AT1847" s="122">
        <f>AL1847+AR1847</f>
        <v/>
      </c>
      <c r="AU1847" s="125">
        <f>IFERROR(AO1847*Assumptions!$C$26*Assumptions!$C$27*INDEX(Assumptions!$C$18:$C$21,MATCH(H1847,Assumptions!$B$18:$B$21,0)),0)</f>
        <v/>
      </c>
    </row>
    <row r="1848">
      <c r="A1848" s="120" t="n">
        <v>46253</v>
      </c>
      <c r="B1848" s="66" t="inlineStr">
        <is>
          <t>Wk 34</t>
        </is>
      </c>
      <c r="C1848" s="66" t="inlineStr">
        <is>
          <t>Wed</t>
        </is>
      </c>
      <c r="D1848" s="66" t="inlineStr">
        <is>
          <t>Programmatic</t>
        </is>
      </c>
      <c r="E1848" s="66" t="inlineStr">
        <is>
          <t>DV360</t>
        </is>
      </c>
      <c r="F1848" s="66" t="inlineStr">
        <is>
          <t>LEP_ZA_AUG26_PROG_TD_PROSPECT_DISPLAY</t>
        </is>
      </c>
      <c r="G1848" s="66" t="inlineStr">
        <is>
          <t>Display Prospecting</t>
        </is>
      </c>
      <c r="H1848" s="66" t="inlineStr">
        <is>
          <t>Range</t>
        </is>
      </c>
      <c r="I1848" s="66" t="inlineStr">
        <is>
          <t>Range Offer</t>
        </is>
      </c>
      <c r="J1848" s="66" t="inlineStr">
        <is>
          <t>PROG_3PD_INMKT_AUTO</t>
        </is>
      </c>
      <c r="K1848" s="66" t="inlineStr">
        <is>
          <t>In-Market</t>
        </is>
      </c>
      <c r="L1848" s="66" t="inlineStr">
        <is>
          <t>PROG_HTML5_300x600_Models_v1</t>
        </is>
      </c>
      <c r="M1848" s="66" t="inlineStr">
        <is>
          <t>HTML5 Display 300x600</t>
        </is>
      </c>
      <c r="N1848" s="66" t="inlineStr">
        <is>
          <t>Three models. One test drive.</t>
        </is>
      </c>
      <c r="O1848" s="66" t="inlineStr">
        <is>
          <t>Programmatic Guaranteed / OA</t>
        </is>
      </c>
      <c r="P1848" s="66" t="inlineStr">
        <is>
          <t>Conversions (CPA)</t>
        </is>
      </c>
      <c r="Q1848" s="66" t="inlineStr">
        <is>
          <t>https://www.lepas-sa.co.za/offers</t>
        </is>
      </c>
      <c r="R1848" s="121" t="n">
        <v>193.99</v>
      </c>
      <c r="S1848" s="122" t="n">
        <v>5060</v>
      </c>
      <c r="T1848" s="122" t="n">
        <v>2803</v>
      </c>
      <c r="U1848" s="123">
        <f>IFERROR(S1848/T1848,"")</f>
        <v/>
      </c>
      <c r="V1848" s="122" t="n">
        <v>15</v>
      </c>
      <c r="W1848" s="122" t="n">
        <v>12</v>
      </c>
      <c r="X1848" s="124">
        <f>IFERROR(W1848/S1848,"")</f>
        <v/>
      </c>
      <c r="Y1848" s="121">
        <f>IFERROR(R1848/W1848,"")</f>
        <v/>
      </c>
      <c r="Z1848" s="121">
        <f>IFERROR(R1848/S1848*1000,"")</f>
        <v/>
      </c>
      <c r="AA1848" s="122" t="n">
        <v>7</v>
      </c>
      <c r="AB1848" s="54">
        <f>IFERROR(AA1848/W1848,"")</f>
        <v/>
      </c>
      <c r="AC1848" s="122" t="n">
        <v>0</v>
      </c>
      <c r="AD1848" s="122" t="n">
        <v>0</v>
      </c>
      <c r="AE1848" s="122" t="n">
        <v>0</v>
      </c>
      <c r="AF1848" s="122" t="n">
        <v>0</v>
      </c>
      <c r="AG1848" s="122" t="n">
        <v>0</v>
      </c>
      <c r="AH1848" s="122" t="n">
        <v>0</v>
      </c>
      <c r="AI1848" s="54">
        <f>IFERROR(AC1848/S1848,"")</f>
        <v/>
      </c>
      <c r="AJ1848" s="54">
        <f>IFERROR(AH1848/S1848,"")</f>
        <v/>
      </c>
      <c r="AK1848" s="122" t="n">
        <v>14</v>
      </c>
      <c r="AL1848" s="122" t="n">
        <v>0</v>
      </c>
      <c r="AM1848" s="124">
        <f>IFERROR(AL1848/AA1848,"")</f>
        <v/>
      </c>
      <c r="AN1848" s="125">
        <f>IFERROR(R1848/AL1848,"")</f>
        <v/>
      </c>
      <c r="AO1848" s="122" t="n">
        <v>0</v>
      </c>
      <c r="AP1848" s="54">
        <f>IFERROR(AO1848/AL1848,"")</f>
        <v/>
      </c>
      <c r="AQ1848" s="125">
        <f>IFERROR(R1848/AO1848,"")</f>
        <v/>
      </c>
      <c r="AR1848" s="122" t="n">
        <v>0</v>
      </c>
      <c r="AS1848" s="122" t="n">
        <v>0</v>
      </c>
      <c r="AT1848" s="122">
        <f>AL1848+AR1848</f>
        <v/>
      </c>
      <c r="AU1848" s="125">
        <f>IFERROR(AO1848*Assumptions!$C$26*Assumptions!$C$27*INDEX(Assumptions!$C$18:$C$21,MATCH(H1848,Assumptions!$B$18:$B$21,0)),0)</f>
        <v/>
      </c>
    </row>
    <row r="1849">
      <c r="A1849" s="120" t="n">
        <v>46254</v>
      </c>
      <c r="B1849" s="66" t="inlineStr">
        <is>
          <t>Wk 34</t>
        </is>
      </c>
      <c r="C1849" s="66" t="inlineStr">
        <is>
          <t>Thu</t>
        </is>
      </c>
      <c r="D1849" s="66" t="inlineStr">
        <is>
          <t>Programmatic</t>
        </is>
      </c>
      <c r="E1849" s="66" t="inlineStr">
        <is>
          <t>DV360</t>
        </is>
      </c>
      <c r="F1849" s="66" t="inlineStr">
        <is>
          <t>LEP_ZA_AUG26_PROG_TD_PROSPECT_DISPLAY</t>
        </is>
      </c>
      <c r="G1849" s="66" t="inlineStr">
        <is>
          <t>Display Prospecting</t>
        </is>
      </c>
      <c r="H1849" s="66" t="inlineStr">
        <is>
          <t>Range</t>
        </is>
      </c>
      <c r="I1849" s="66" t="inlineStr">
        <is>
          <t>Range Offer</t>
        </is>
      </c>
      <c r="J1849" s="66" t="inlineStr">
        <is>
          <t>PROG_3PD_INMKT_AUTO</t>
        </is>
      </c>
      <c r="K1849" s="66" t="inlineStr">
        <is>
          <t>In-Market</t>
        </is>
      </c>
      <c r="L1849" s="66" t="inlineStr">
        <is>
          <t>PROG_HTML5_300x600_Models_v1</t>
        </is>
      </c>
      <c r="M1849" s="66" t="inlineStr">
        <is>
          <t>HTML5 Display 300x600</t>
        </is>
      </c>
      <c r="N1849" s="66" t="inlineStr">
        <is>
          <t>Three models. One test drive.</t>
        </is>
      </c>
      <c r="O1849" s="66" t="inlineStr">
        <is>
          <t>Programmatic Guaranteed / OA</t>
        </is>
      </c>
      <c r="P1849" s="66" t="inlineStr">
        <is>
          <t>Conversions (CPA)</t>
        </is>
      </c>
      <c r="Q1849" s="66" t="inlineStr">
        <is>
          <t>https://www.lepas-sa.co.za/offers</t>
        </is>
      </c>
      <c r="R1849" s="121" t="n">
        <v>206.5</v>
      </c>
      <c r="S1849" s="122" t="n">
        <v>6444</v>
      </c>
      <c r="T1849" s="122" t="n">
        <v>2385</v>
      </c>
      <c r="U1849" s="123">
        <f>IFERROR(S1849/T1849,"")</f>
        <v/>
      </c>
      <c r="V1849" s="122" t="n">
        <v>23</v>
      </c>
      <c r="W1849" s="122" t="n">
        <v>16</v>
      </c>
      <c r="X1849" s="124">
        <f>IFERROR(W1849/S1849,"")</f>
        <v/>
      </c>
      <c r="Y1849" s="121">
        <f>IFERROR(R1849/W1849,"")</f>
        <v/>
      </c>
      <c r="Z1849" s="121">
        <f>IFERROR(R1849/S1849*1000,"")</f>
        <v/>
      </c>
      <c r="AA1849" s="122" t="n">
        <v>10</v>
      </c>
      <c r="AB1849" s="54">
        <f>IFERROR(AA1849/W1849,"")</f>
        <v/>
      </c>
      <c r="AC1849" s="122" t="n">
        <v>0</v>
      </c>
      <c r="AD1849" s="122" t="n">
        <v>0</v>
      </c>
      <c r="AE1849" s="122" t="n">
        <v>0</v>
      </c>
      <c r="AF1849" s="122" t="n">
        <v>0</v>
      </c>
      <c r="AG1849" s="122" t="n">
        <v>0</v>
      </c>
      <c r="AH1849" s="122" t="n">
        <v>0</v>
      </c>
      <c r="AI1849" s="54">
        <f>IFERROR(AC1849/S1849,"")</f>
        <v/>
      </c>
      <c r="AJ1849" s="54">
        <f>IFERROR(AH1849/S1849,"")</f>
        <v/>
      </c>
      <c r="AK1849" s="122" t="n">
        <v>20</v>
      </c>
      <c r="AL1849" s="122" t="n">
        <v>0</v>
      </c>
      <c r="AM1849" s="124">
        <f>IFERROR(AL1849/AA1849,"")</f>
        <v/>
      </c>
      <c r="AN1849" s="125">
        <f>IFERROR(R1849/AL1849,"")</f>
        <v/>
      </c>
      <c r="AO1849" s="122" t="n">
        <v>0</v>
      </c>
      <c r="AP1849" s="54">
        <f>IFERROR(AO1849/AL1849,"")</f>
        <v/>
      </c>
      <c r="AQ1849" s="125">
        <f>IFERROR(R1849/AO1849,"")</f>
        <v/>
      </c>
      <c r="AR1849" s="122" t="n">
        <v>0</v>
      </c>
      <c r="AS1849" s="122" t="n">
        <v>0</v>
      </c>
      <c r="AT1849" s="122">
        <f>AL1849+AR1849</f>
        <v/>
      </c>
      <c r="AU1849" s="125">
        <f>IFERROR(AO1849*Assumptions!$C$26*Assumptions!$C$27*INDEX(Assumptions!$C$18:$C$21,MATCH(H1849,Assumptions!$B$18:$B$21,0)),0)</f>
        <v/>
      </c>
    </row>
    <row r="1850">
      <c r="A1850" s="120" t="n">
        <v>46255</v>
      </c>
      <c r="B1850" s="66" t="inlineStr">
        <is>
          <t>Wk 34</t>
        </is>
      </c>
      <c r="C1850" s="66" t="inlineStr">
        <is>
          <t>Fri</t>
        </is>
      </c>
      <c r="D1850" s="66" t="inlineStr">
        <is>
          <t>Programmatic</t>
        </is>
      </c>
      <c r="E1850" s="66" t="inlineStr">
        <is>
          <t>DV360</t>
        </is>
      </c>
      <c r="F1850" s="66" t="inlineStr">
        <is>
          <t>LEP_ZA_AUG26_PROG_TD_PROSPECT_DISPLAY</t>
        </is>
      </c>
      <c r="G1850" s="66" t="inlineStr">
        <is>
          <t>Display Prospecting</t>
        </is>
      </c>
      <c r="H1850" s="66" t="inlineStr">
        <is>
          <t>Range</t>
        </is>
      </c>
      <c r="I1850" s="66" t="inlineStr">
        <is>
          <t>Range Offer</t>
        </is>
      </c>
      <c r="J1850" s="66" t="inlineStr">
        <is>
          <t>PROG_3PD_INMKT_AUTO</t>
        </is>
      </c>
      <c r="K1850" s="66" t="inlineStr">
        <is>
          <t>In-Market</t>
        </is>
      </c>
      <c r="L1850" s="66" t="inlineStr">
        <is>
          <t>PROG_HTML5_300x600_Models_v1</t>
        </is>
      </c>
      <c r="M1850" s="66" t="inlineStr">
        <is>
          <t>HTML5 Display 300x600</t>
        </is>
      </c>
      <c r="N1850" s="66" t="inlineStr">
        <is>
          <t>Three models. One test drive.</t>
        </is>
      </c>
      <c r="O1850" s="66" t="inlineStr">
        <is>
          <t>Programmatic Guaranteed / OA</t>
        </is>
      </c>
      <c r="P1850" s="66" t="inlineStr">
        <is>
          <t>Conversions (CPA)</t>
        </is>
      </c>
      <c r="Q1850" s="66" t="inlineStr">
        <is>
          <t>https://www.lepas-sa.co.za/offers</t>
        </is>
      </c>
      <c r="R1850" s="121" t="n">
        <v>223.26</v>
      </c>
      <c r="S1850" s="122" t="n">
        <v>6859</v>
      </c>
      <c r="T1850" s="122" t="n">
        <v>2946</v>
      </c>
      <c r="U1850" s="123">
        <f>IFERROR(S1850/T1850,"")</f>
        <v/>
      </c>
      <c r="V1850" s="122" t="n">
        <v>16</v>
      </c>
      <c r="W1850" s="122" t="n">
        <v>11</v>
      </c>
      <c r="X1850" s="124">
        <f>IFERROR(W1850/S1850,"")</f>
        <v/>
      </c>
      <c r="Y1850" s="121">
        <f>IFERROR(R1850/W1850,"")</f>
        <v/>
      </c>
      <c r="Z1850" s="121">
        <f>IFERROR(R1850/S1850*1000,"")</f>
        <v/>
      </c>
      <c r="AA1850" s="122" t="n">
        <v>6</v>
      </c>
      <c r="AB1850" s="54">
        <f>IFERROR(AA1850/W1850,"")</f>
        <v/>
      </c>
      <c r="AC1850" s="122" t="n">
        <v>0</v>
      </c>
      <c r="AD1850" s="122" t="n">
        <v>0</v>
      </c>
      <c r="AE1850" s="122" t="n">
        <v>0</v>
      </c>
      <c r="AF1850" s="122" t="n">
        <v>0</v>
      </c>
      <c r="AG1850" s="122" t="n">
        <v>0</v>
      </c>
      <c r="AH1850" s="122" t="n">
        <v>0</v>
      </c>
      <c r="AI1850" s="54">
        <f>IFERROR(AC1850/S1850,"")</f>
        <v/>
      </c>
      <c r="AJ1850" s="54">
        <f>IFERROR(AH1850/S1850,"")</f>
        <v/>
      </c>
      <c r="AK1850" s="122" t="n">
        <v>39</v>
      </c>
      <c r="AL1850" s="122" t="n">
        <v>0</v>
      </c>
      <c r="AM1850" s="124">
        <f>IFERROR(AL1850/AA1850,"")</f>
        <v/>
      </c>
      <c r="AN1850" s="125">
        <f>IFERROR(R1850/AL1850,"")</f>
        <v/>
      </c>
      <c r="AO1850" s="122" t="n">
        <v>0</v>
      </c>
      <c r="AP1850" s="54">
        <f>IFERROR(AO1850/AL1850,"")</f>
        <v/>
      </c>
      <c r="AQ1850" s="125">
        <f>IFERROR(R1850/AO1850,"")</f>
        <v/>
      </c>
      <c r="AR1850" s="122" t="n">
        <v>0</v>
      </c>
      <c r="AS1850" s="122" t="n">
        <v>0</v>
      </c>
      <c r="AT1850" s="122">
        <f>AL1850+AR1850</f>
        <v/>
      </c>
      <c r="AU1850" s="125">
        <f>IFERROR(AO1850*Assumptions!$C$26*Assumptions!$C$27*INDEX(Assumptions!$C$18:$C$21,MATCH(H1850,Assumptions!$B$18:$B$21,0)),0)</f>
        <v/>
      </c>
    </row>
    <row r="1851">
      <c r="A1851" s="120" t="n">
        <v>46256</v>
      </c>
      <c r="B1851" s="66" t="inlineStr">
        <is>
          <t>Wk 34</t>
        </is>
      </c>
      <c r="C1851" s="66" t="inlineStr">
        <is>
          <t>Sat</t>
        </is>
      </c>
      <c r="D1851" s="66" t="inlineStr">
        <is>
          <t>Programmatic</t>
        </is>
      </c>
      <c r="E1851" s="66" t="inlineStr">
        <is>
          <t>DV360</t>
        </is>
      </c>
      <c r="F1851" s="66" t="inlineStr">
        <is>
          <t>LEP_ZA_AUG26_PROG_TD_PROSPECT_DISPLAY</t>
        </is>
      </c>
      <c r="G1851" s="66" t="inlineStr">
        <is>
          <t>Display Prospecting</t>
        </is>
      </c>
      <c r="H1851" s="66" t="inlineStr">
        <is>
          <t>Range</t>
        </is>
      </c>
      <c r="I1851" s="66" t="inlineStr">
        <is>
          <t>Range Offer</t>
        </is>
      </c>
      <c r="J1851" s="66" t="inlineStr">
        <is>
          <t>PROG_3PD_INMKT_AUTO</t>
        </is>
      </c>
      <c r="K1851" s="66" t="inlineStr">
        <is>
          <t>In-Market</t>
        </is>
      </c>
      <c r="L1851" s="66" t="inlineStr">
        <is>
          <t>PROG_HTML5_300x600_Models_v1</t>
        </is>
      </c>
      <c r="M1851" s="66" t="inlineStr">
        <is>
          <t>HTML5 Display 300x600</t>
        </is>
      </c>
      <c r="N1851" s="66" t="inlineStr">
        <is>
          <t>Three models. One test drive.</t>
        </is>
      </c>
      <c r="O1851" s="66" t="inlineStr">
        <is>
          <t>Programmatic Guaranteed / OA</t>
        </is>
      </c>
      <c r="P1851" s="66" t="inlineStr">
        <is>
          <t>Conversions (CPA)</t>
        </is>
      </c>
      <c r="Q1851" s="66" t="inlineStr">
        <is>
          <t>https://www.lepas-sa.co.za/offers</t>
        </is>
      </c>
      <c r="R1851" s="121" t="n">
        <v>207.83</v>
      </c>
      <c r="S1851" s="122" t="n">
        <v>6158</v>
      </c>
      <c r="T1851" s="122" t="n">
        <v>2382</v>
      </c>
      <c r="U1851" s="123">
        <f>IFERROR(S1851/T1851,"")</f>
        <v/>
      </c>
      <c r="V1851" s="122" t="n">
        <v>13</v>
      </c>
      <c r="W1851" s="122" t="n">
        <v>10</v>
      </c>
      <c r="X1851" s="124">
        <f>IFERROR(W1851/S1851,"")</f>
        <v/>
      </c>
      <c r="Y1851" s="121">
        <f>IFERROR(R1851/W1851,"")</f>
        <v/>
      </c>
      <c r="Z1851" s="121">
        <f>IFERROR(R1851/S1851*1000,"")</f>
        <v/>
      </c>
      <c r="AA1851" s="122" t="n">
        <v>6</v>
      </c>
      <c r="AB1851" s="54">
        <f>IFERROR(AA1851/W1851,"")</f>
        <v/>
      </c>
      <c r="AC1851" s="122" t="n">
        <v>0</v>
      </c>
      <c r="AD1851" s="122" t="n">
        <v>0</v>
      </c>
      <c r="AE1851" s="122" t="n">
        <v>0</v>
      </c>
      <c r="AF1851" s="122" t="n">
        <v>0</v>
      </c>
      <c r="AG1851" s="122" t="n">
        <v>0</v>
      </c>
      <c r="AH1851" s="122" t="n">
        <v>0</v>
      </c>
      <c r="AI1851" s="54">
        <f>IFERROR(AC1851/S1851,"")</f>
        <v/>
      </c>
      <c r="AJ1851" s="54">
        <f>IFERROR(AH1851/S1851,"")</f>
        <v/>
      </c>
      <c r="AK1851" s="122" t="n">
        <v>28</v>
      </c>
      <c r="AL1851" s="122" t="n">
        <v>0</v>
      </c>
      <c r="AM1851" s="124">
        <f>IFERROR(AL1851/AA1851,"")</f>
        <v/>
      </c>
      <c r="AN1851" s="125">
        <f>IFERROR(R1851/AL1851,"")</f>
        <v/>
      </c>
      <c r="AO1851" s="122" t="n">
        <v>0</v>
      </c>
      <c r="AP1851" s="54">
        <f>IFERROR(AO1851/AL1851,"")</f>
        <v/>
      </c>
      <c r="AQ1851" s="125">
        <f>IFERROR(R1851/AO1851,"")</f>
        <v/>
      </c>
      <c r="AR1851" s="122" t="n">
        <v>0</v>
      </c>
      <c r="AS1851" s="122" t="n">
        <v>0</v>
      </c>
      <c r="AT1851" s="122">
        <f>AL1851+AR1851</f>
        <v/>
      </c>
      <c r="AU1851" s="125">
        <f>IFERROR(AO1851*Assumptions!$C$26*Assumptions!$C$27*INDEX(Assumptions!$C$18:$C$21,MATCH(H1851,Assumptions!$B$18:$B$21,0)),0)</f>
        <v/>
      </c>
    </row>
    <row r="1852">
      <c r="A1852" s="120" t="n">
        <v>46257</v>
      </c>
      <c r="B1852" s="66" t="inlineStr">
        <is>
          <t>Wk 34</t>
        </is>
      </c>
      <c r="C1852" s="66" t="inlineStr">
        <is>
          <t>Sun</t>
        </is>
      </c>
      <c r="D1852" s="66" t="inlineStr">
        <is>
          <t>Programmatic</t>
        </is>
      </c>
      <c r="E1852" s="66" t="inlineStr">
        <is>
          <t>DV360</t>
        </is>
      </c>
      <c r="F1852" s="66" t="inlineStr">
        <is>
          <t>LEP_ZA_AUG26_PROG_TD_PROSPECT_DISPLAY</t>
        </is>
      </c>
      <c r="G1852" s="66" t="inlineStr">
        <is>
          <t>Display Prospecting</t>
        </is>
      </c>
      <c r="H1852" s="66" t="inlineStr">
        <is>
          <t>Range</t>
        </is>
      </c>
      <c r="I1852" s="66" t="inlineStr">
        <is>
          <t>Range Offer</t>
        </is>
      </c>
      <c r="J1852" s="66" t="inlineStr">
        <is>
          <t>PROG_3PD_INMKT_AUTO</t>
        </is>
      </c>
      <c r="K1852" s="66" t="inlineStr">
        <is>
          <t>In-Market</t>
        </is>
      </c>
      <c r="L1852" s="66" t="inlineStr">
        <is>
          <t>PROG_HTML5_300x600_Models_v1</t>
        </is>
      </c>
      <c r="M1852" s="66" t="inlineStr">
        <is>
          <t>HTML5 Display 300x600</t>
        </is>
      </c>
      <c r="N1852" s="66" t="inlineStr">
        <is>
          <t>Three models. One test drive.</t>
        </is>
      </c>
      <c r="O1852" s="66" t="inlineStr">
        <is>
          <t>Programmatic Guaranteed / OA</t>
        </is>
      </c>
      <c r="P1852" s="66" t="inlineStr">
        <is>
          <t>Conversions (CPA)</t>
        </is>
      </c>
      <c r="Q1852" s="66" t="inlineStr">
        <is>
          <t>https://www.lepas-sa.co.za/offers</t>
        </is>
      </c>
      <c r="R1852" s="121" t="n">
        <v>157.71</v>
      </c>
      <c r="S1852" s="122" t="n">
        <v>3972</v>
      </c>
      <c r="T1852" s="122" t="n">
        <v>2166</v>
      </c>
      <c r="U1852" s="123">
        <f>IFERROR(S1852/T1852,"")</f>
        <v/>
      </c>
      <c r="V1852" s="122" t="n">
        <v>10</v>
      </c>
      <c r="W1852" s="122" t="n">
        <v>8</v>
      </c>
      <c r="X1852" s="124">
        <f>IFERROR(W1852/S1852,"")</f>
        <v/>
      </c>
      <c r="Y1852" s="121">
        <f>IFERROR(R1852/W1852,"")</f>
        <v/>
      </c>
      <c r="Z1852" s="121">
        <f>IFERROR(R1852/S1852*1000,"")</f>
        <v/>
      </c>
      <c r="AA1852" s="122" t="n">
        <v>5</v>
      </c>
      <c r="AB1852" s="54">
        <f>IFERROR(AA1852/W1852,"")</f>
        <v/>
      </c>
      <c r="AC1852" s="122" t="n">
        <v>0</v>
      </c>
      <c r="AD1852" s="122" t="n">
        <v>0</v>
      </c>
      <c r="AE1852" s="122" t="n">
        <v>0</v>
      </c>
      <c r="AF1852" s="122" t="n">
        <v>0</v>
      </c>
      <c r="AG1852" s="122" t="n">
        <v>0</v>
      </c>
      <c r="AH1852" s="122" t="n">
        <v>0</v>
      </c>
      <c r="AI1852" s="54">
        <f>IFERROR(AC1852/S1852,"")</f>
        <v/>
      </c>
      <c r="AJ1852" s="54">
        <f>IFERROR(AH1852/S1852,"")</f>
        <v/>
      </c>
      <c r="AK1852" s="122" t="n">
        <v>5</v>
      </c>
      <c r="AL1852" s="122" t="n">
        <v>0</v>
      </c>
      <c r="AM1852" s="124">
        <f>IFERROR(AL1852/AA1852,"")</f>
        <v/>
      </c>
      <c r="AN1852" s="125">
        <f>IFERROR(R1852/AL1852,"")</f>
        <v/>
      </c>
      <c r="AO1852" s="122" t="n">
        <v>0</v>
      </c>
      <c r="AP1852" s="54">
        <f>IFERROR(AO1852/AL1852,"")</f>
        <v/>
      </c>
      <c r="AQ1852" s="125">
        <f>IFERROR(R1852/AO1852,"")</f>
        <v/>
      </c>
      <c r="AR1852" s="122" t="n">
        <v>0</v>
      </c>
      <c r="AS1852" s="122" t="n">
        <v>0</v>
      </c>
      <c r="AT1852" s="122">
        <f>AL1852+AR1852</f>
        <v/>
      </c>
      <c r="AU1852" s="125">
        <f>IFERROR(AO1852*Assumptions!$C$26*Assumptions!$C$27*INDEX(Assumptions!$C$18:$C$21,MATCH(H1852,Assumptions!$B$18:$B$21,0)),0)</f>
        <v/>
      </c>
    </row>
    <row r="1853">
      <c r="A1853" s="120" t="n">
        <v>46258</v>
      </c>
      <c r="B1853" s="66" t="inlineStr">
        <is>
          <t>Wk 35</t>
        </is>
      </c>
      <c r="C1853" s="66" t="inlineStr">
        <is>
          <t>Mon</t>
        </is>
      </c>
      <c r="D1853" s="66" t="inlineStr">
        <is>
          <t>Programmatic</t>
        </is>
      </c>
      <c r="E1853" s="66" t="inlineStr">
        <is>
          <t>DV360</t>
        </is>
      </c>
      <c r="F1853" s="66" t="inlineStr">
        <is>
          <t>LEP_ZA_AUG26_PROG_TD_PROSPECT_DISPLAY</t>
        </is>
      </c>
      <c r="G1853" s="66" t="inlineStr">
        <is>
          <t>Display Prospecting</t>
        </is>
      </c>
      <c r="H1853" s="66" t="inlineStr">
        <is>
          <t>Range</t>
        </is>
      </c>
      <c r="I1853" s="66" t="inlineStr">
        <is>
          <t>Range Offer</t>
        </is>
      </c>
      <c r="J1853" s="66" t="inlineStr">
        <is>
          <t>PROG_3PD_INMKT_AUTO</t>
        </is>
      </c>
      <c r="K1853" s="66" t="inlineStr">
        <is>
          <t>In-Market</t>
        </is>
      </c>
      <c r="L1853" s="66" t="inlineStr">
        <is>
          <t>PROG_HTML5_300x600_Models_v1</t>
        </is>
      </c>
      <c r="M1853" s="66" t="inlineStr">
        <is>
          <t>HTML5 Display 300x600</t>
        </is>
      </c>
      <c r="N1853" s="66" t="inlineStr">
        <is>
          <t>Three models. One test drive.</t>
        </is>
      </c>
      <c r="O1853" s="66" t="inlineStr">
        <is>
          <t>Programmatic Guaranteed / OA</t>
        </is>
      </c>
      <c r="P1853" s="66" t="inlineStr">
        <is>
          <t>Conversions (CPA)</t>
        </is>
      </c>
      <c r="Q1853" s="66" t="inlineStr">
        <is>
          <t>https://www.lepas-sa.co.za/offers</t>
        </is>
      </c>
      <c r="R1853" s="121" t="n">
        <v>195.58</v>
      </c>
      <c r="S1853" s="122" t="n">
        <v>4623</v>
      </c>
      <c r="T1853" s="122" t="n">
        <v>1974</v>
      </c>
      <c r="U1853" s="123">
        <f>IFERROR(S1853/T1853,"")</f>
        <v/>
      </c>
      <c r="V1853" s="122" t="n">
        <v>12</v>
      </c>
      <c r="W1853" s="122" t="n">
        <v>9</v>
      </c>
      <c r="X1853" s="124">
        <f>IFERROR(W1853/S1853,"")</f>
        <v/>
      </c>
      <c r="Y1853" s="121">
        <f>IFERROR(R1853/W1853,"")</f>
        <v/>
      </c>
      <c r="Z1853" s="121">
        <f>IFERROR(R1853/S1853*1000,"")</f>
        <v/>
      </c>
      <c r="AA1853" s="122" t="n">
        <v>6</v>
      </c>
      <c r="AB1853" s="54">
        <f>IFERROR(AA1853/W1853,"")</f>
        <v/>
      </c>
      <c r="AC1853" s="122" t="n">
        <v>0</v>
      </c>
      <c r="AD1853" s="122" t="n">
        <v>0</v>
      </c>
      <c r="AE1853" s="122" t="n">
        <v>0</v>
      </c>
      <c r="AF1853" s="122" t="n">
        <v>0</v>
      </c>
      <c r="AG1853" s="122" t="n">
        <v>0</v>
      </c>
      <c r="AH1853" s="122" t="n">
        <v>0</v>
      </c>
      <c r="AI1853" s="54">
        <f>IFERROR(AC1853/S1853,"")</f>
        <v/>
      </c>
      <c r="AJ1853" s="54">
        <f>IFERROR(AH1853/S1853,"")</f>
        <v/>
      </c>
      <c r="AK1853" s="122" t="n">
        <v>10</v>
      </c>
      <c r="AL1853" s="122" t="n">
        <v>0</v>
      </c>
      <c r="AM1853" s="124">
        <f>IFERROR(AL1853/AA1853,"")</f>
        <v/>
      </c>
      <c r="AN1853" s="125">
        <f>IFERROR(R1853/AL1853,"")</f>
        <v/>
      </c>
      <c r="AO1853" s="122" t="n">
        <v>0</v>
      </c>
      <c r="AP1853" s="54">
        <f>IFERROR(AO1853/AL1853,"")</f>
        <v/>
      </c>
      <c r="AQ1853" s="125">
        <f>IFERROR(R1853/AO1853,"")</f>
        <v/>
      </c>
      <c r="AR1853" s="122" t="n">
        <v>0</v>
      </c>
      <c r="AS1853" s="122" t="n">
        <v>0</v>
      </c>
      <c r="AT1853" s="122">
        <f>AL1853+AR1853</f>
        <v/>
      </c>
      <c r="AU1853" s="125">
        <f>IFERROR(AO1853*Assumptions!$C$26*Assumptions!$C$27*INDEX(Assumptions!$C$18:$C$21,MATCH(H1853,Assumptions!$B$18:$B$21,0)),0)</f>
        <v/>
      </c>
    </row>
    <row r="1854">
      <c r="A1854" s="120" t="n">
        <v>46259</v>
      </c>
      <c r="B1854" s="66" t="inlineStr">
        <is>
          <t>Wk 35</t>
        </is>
      </c>
      <c r="C1854" s="66" t="inlineStr">
        <is>
          <t>Tue</t>
        </is>
      </c>
      <c r="D1854" s="66" t="inlineStr">
        <is>
          <t>Programmatic</t>
        </is>
      </c>
      <c r="E1854" s="66" t="inlineStr">
        <is>
          <t>DV360</t>
        </is>
      </c>
      <c r="F1854" s="66" t="inlineStr">
        <is>
          <t>LEP_ZA_AUG26_PROG_TD_PROSPECT_DISPLAY</t>
        </is>
      </c>
      <c r="G1854" s="66" t="inlineStr">
        <is>
          <t>Display Prospecting</t>
        </is>
      </c>
      <c r="H1854" s="66" t="inlineStr">
        <is>
          <t>Range</t>
        </is>
      </c>
      <c r="I1854" s="66" t="inlineStr">
        <is>
          <t>Range Offer</t>
        </is>
      </c>
      <c r="J1854" s="66" t="inlineStr">
        <is>
          <t>PROG_3PD_INMKT_AUTO</t>
        </is>
      </c>
      <c r="K1854" s="66" t="inlineStr">
        <is>
          <t>In-Market</t>
        </is>
      </c>
      <c r="L1854" s="66" t="inlineStr">
        <is>
          <t>PROG_HTML5_300x600_Models_v1</t>
        </is>
      </c>
      <c r="M1854" s="66" t="inlineStr">
        <is>
          <t>HTML5 Display 300x600</t>
        </is>
      </c>
      <c r="N1854" s="66" t="inlineStr">
        <is>
          <t>Three models. One test drive.</t>
        </is>
      </c>
      <c r="O1854" s="66" t="inlineStr">
        <is>
          <t>Programmatic Guaranteed / OA</t>
        </is>
      </c>
      <c r="P1854" s="66" t="inlineStr">
        <is>
          <t>Conversions (CPA)</t>
        </is>
      </c>
      <c r="Q1854" s="66" t="inlineStr">
        <is>
          <t>https://www.lepas-sa.co.za/offers</t>
        </is>
      </c>
      <c r="R1854" s="121" t="n">
        <v>206.95</v>
      </c>
      <c r="S1854" s="122" t="n">
        <v>6987</v>
      </c>
      <c r="T1854" s="122" t="n">
        <v>2706</v>
      </c>
      <c r="U1854" s="123">
        <f>IFERROR(S1854/T1854,"")</f>
        <v/>
      </c>
      <c r="V1854" s="122" t="n">
        <v>7</v>
      </c>
      <c r="W1854" s="122" t="n">
        <v>6</v>
      </c>
      <c r="X1854" s="124">
        <f>IFERROR(W1854/S1854,"")</f>
        <v/>
      </c>
      <c r="Y1854" s="121">
        <f>IFERROR(R1854/W1854,"")</f>
        <v/>
      </c>
      <c r="Z1854" s="121">
        <f>IFERROR(R1854/S1854*1000,"")</f>
        <v/>
      </c>
      <c r="AA1854" s="122" t="n">
        <v>4</v>
      </c>
      <c r="AB1854" s="54">
        <f>IFERROR(AA1854/W1854,"")</f>
        <v/>
      </c>
      <c r="AC1854" s="122" t="n">
        <v>0</v>
      </c>
      <c r="AD1854" s="122" t="n">
        <v>0</v>
      </c>
      <c r="AE1854" s="122" t="n">
        <v>0</v>
      </c>
      <c r="AF1854" s="122" t="n">
        <v>0</v>
      </c>
      <c r="AG1854" s="122" t="n">
        <v>0</v>
      </c>
      <c r="AH1854" s="122" t="n">
        <v>0</v>
      </c>
      <c r="AI1854" s="54">
        <f>IFERROR(AC1854/S1854,"")</f>
        <v/>
      </c>
      <c r="AJ1854" s="54">
        <f>IFERROR(AH1854/S1854,"")</f>
        <v/>
      </c>
      <c r="AK1854" s="122" t="n">
        <v>38</v>
      </c>
      <c r="AL1854" s="122" t="n">
        <v>0</v>
      </c>
      <c r="AM1854" s="124">
        <f>IFERROR(AL1854/AA1854,"")</f>
        <v/>
      </c>
      <c r="AN1854" s="125">
        <f>IFERROR(R1854/AL1854,"")</f>
        <v/>
      </c>
      <c r="AO1854" s="122" t="n">
        <v>0</v>
      </c>
      <c r="AP1854" s="54">
        <f>IFERROR(AO1854/AL1854,"")</f>
        <v/>
      </c>
      <c r="AQ1854" s="125">
        <f>IFERROR(R1854/AO1854,"")</f>
        <v/>
      </c>
      <c r="AR1854" s="122" t="n">
        <v>0</v>
      </c>
      <c r="AS1854" s="122" t="n">
        <v>0</v>
      </c>
      <c r="AT1854" s="122">
        <f>AL1854+AR1854</f>
        <v/>
      </c>
      <c r="AU1854" s="125">
        <f>IFERROR(AO1854*Assumptions!$C$26*Assumptions!$C$27*INDEX(Assumptions!$C$18:$C$21,MATCH(H1854,Assumptions!$B$18:$B$21,0)),0)</f>
        <v/>
      </c>
    </row>
    <row r="1855">
      <c r="A1855" s="120" t="n">
        <v>46260</v>
      </c>
      <c r="B1855" s="66" t="inlineStr">
        <is>
          <t>Wk 35</t>
        </is>
      </c>
      <c r="C1855" s="66" t="inlineStr">
        <is>
          <t>Wed</t>
        </is>
      </c>
      <c r="D1855" s="66" t="inlineStr">
        <is>
          <t>Programmatic</t>
        </is>
      </c>
      <c r="E1855" s="66" t="inlineStr">
        <is>
          <t>DV360</t>
        </is>
      </c>
      <c r="F1855" s="66" t="inlineStr">
        <is>
          <t>LEP_ZA_AUG26_PROG_TD_PROSPECT_DISPLAY</t>
        </is>
      </c>
      <c r="G1855" s="66" t="inlineStr">
        <is>
          <t>Display Prospecting</t>
        </is>
      </c>
      <c r="H1855" s="66" t="inlineStr">
        <is>
          <t>Range</t>
        </is>
      </c>
      <c r="I1855" s="66" t="inlineStr">
        <is>
          <t>Range Offer</t>
        </is>
      </c>
      <c r="J1855" s="66" t="inlineStr">
        <is>
          <t>PROG_3PD_INMKT_AUTO</t>
        </is>
      </c>
      <c r="K1855" s="66" t="inlineStr">
        <is>
          <t>In-Market</t>
        </is>
      </c>
      <c r="L1855" s="66" t="inlineStr">
        <is>
          <t>PROG_HTML5_300x600_Models_v1</t>
        </is>
      </c>
      <c r="M1855" s="66" t="inlineStr">
        <is>
          <t>HTML5 Display 300x600</t>
        </is>
      </c>
      <c r="N1855" s="66" t="inlineStr">
        <is>
          <t>Three models. One test drive.</t>
        </is>
      </c>
      <c r="O1855" s="66" t="inlineStr">
        <is>
          <t>Programmatic Guaranteed / OA</t>
        </is>
      </c>
      <c r="P1855" s="66" t="inlineStr">
        <is>
          <t>Conversions (CPA)</t>
        </is>
      </c>
      <c r="Q1855" s="66" t="inlineStr">
        <is>
          <t>https://www.lepas-sa.co.za/offers</t>
        </is>
      </c>
      <c r="R1855" s="121" t="n">
        <v>169.43</v>
      </c>
      <c r="S1855" s="122" t="n">
        <v>6393</v>
      </c>
      <c r="T1855" s="122" t="n">
        <v>3861</v>
      </c>
      <c r="U1855" s="123">
        <f>IFERROR(S1855/T1855,"")</f>
        <v/>
      </c>
      <c r="V1855" s="122" t="n">
        <v>17</v>
      </c>
      <c r="W1855" s="122" t="n">
        <v>13</v>
      </c>
      <c r="X1855" s="124">
        <f>IFERROR(W1855/S1855,"")</f>
        <v/>
      </c>
      <c r="Y1855" s="121">
        <f>IFERROR(R1855/W1855,"")</f>
        <v/>
      </c>
      <c r="Z1855" s="121">
        <f>IFERROR(R1855/S1855*1000,"")</f>
        <v/>
      </c>
      <c r="AA1855" s="122" t="n">
        <v>8</v>
      </c>
      <c r="AB1855" s="54">
        <f>IFERROR(AA1855/W1855,"")</f>
        <v/>
      </c>
      <c r="AC1855" s="122" t="n">
        <v>0</v>
      </c>
      <c r="AD1855" s="122" t="n">
        <v>0</v>
      </c>
      <c r="AE1855" s="122" t="n">
        <v>0</v>
      </c>
      <c r="AF1855" s="122" t="n">
        <v>0</v>
      </c>
      <c r="AG1855" s="122" t="n">
        <v>0</v>
      </c>
      <c r="AH1855" s="122" t="n">
        <v>0</v>
      </c>
      <c r="AI1855" s="54">
        <f>IFERROR(AC1855/S1855,"")</f>
        <v/>
      </c>
      <c r="AJ1855" s="54">
        <f>IFERROR(AH1855/S1855,"")</f>
        <v/>
      </c>
      <c r="AK1855" s="122" t="n">
        <v>13</v>
      </c>
      <c r="AL1855" s="122" t="n">
        <v>1</v>
      </c>
      <c r="AM1855" s="124">
        <f>IFERROR(AL1855/AA1855,"")</f>
        <v/>
      </c>
      <c r="AN1855" s="125">
        <f>IFERROR(R1855/AL1855,"")</f>
        <v/>
      </c>
      <c r="AO1855" s="122" t="n">
        <v>1</v>
      </c>
      <c r="AP1855" s="54">
        <f>IFERROR(AO1855/AL1855,"")</f>
        <v/>
      </c>
      <c r="AQ1855" s="125">
        <f>IFERROR(R1855/AO1855,"")</f>
        <v/>
      </c>
      <c r="AR1855" s="122" t="n">
        <v>3</v>
      </c>
      <c r="AS1855" s="122" t="n">
        <v>0</v>
      </c>
      <c r="AT1855" s="122">
        <f>AL1855+AR1855</f>
        <v/>
      </c>
      <c r="AU1855" s="125">
        <f>IFERROR(AO1855*Assumptions!$C$26*Assumptions!$C$27*INDEX(Assumptions!$C$18:$C$21,MATCH(H1855,Assumptions!$B$18:$B$21,0)),0)</f>
        <v/>
      </c>
    </row>
    <row r="1856">
      <c r="A1856" s="120" t="n">
        <v>46261</v>
      </c>
      <c r="B1856" s="66" t="inlineStr">
        <is>
          <t>Wk 35</t>
        </is>
      </c>
      <c r="C1856" s="66" t="inlineStr">
        <is>
          <t>Thu</t>
        </is>
      </c>
      <c r="D1856" s="66" t="inlineStr">
        <is>
          <t>Programmatic</t>
        </is>
      </c>
      <c r="E1856" s="66" t="inlineStr">
        <is>
          <t>DV360</t>
        </is>
      </c>
      <c r="F1856" s="66" t="inlineStr">
        <is>
          <t>LEP_ZA_AUG26_PROG_TD_PROSPECT_DISPLAY</t>
        </is>
      </c>
      <c r="G1856" s="66" t="inlineStr">
        <is>
          <t>Display Prospecting</t>
        </is>
      </c>
      <c r="H1856" s="66" t="inlineStr">
        <is>
          <t>Range</t>
        </is>
      </c>
      <c r="I1856" s="66" t="inlineStr">
        <is>
          <t>Range Offer</t>
        </is>
      </c>
      <c r="J1856" s="66" t="inlineStr">
        <is>
          <t>PROG_3PD_INMKT_AUTO</t>
        </is>
      </c>
      <c r="K1856" s="66" t="inlineStr">
        <is>
          <t>In-Market</t>
        </is>
      </c>
      <c r="L1856" s="66" t="inlineStr">
        <is>
          <t>PROG_HTML5_300x600_Models_v1</t>
        </is>
      </c>
      <c r="M1856" s="66" t="inlineStr">
        <is>
          <t>HTML5 Display 300x600</t>
        </is>
      </c>
      <c r="N1856" s="66" t="inlineStr">
        <is>
          <t>Three models. One test drive.</t>
        </is>
      </c>
      <c r="O1856" s="66" t="inlineStr">
        <is>
          <t>Programmatic Guaranteed / OA</t>
        </is>
      </c>
      <c r="P1856" s="66" t="inlineStr">
        <is>
          <t>Conversions (CPA)</t>
        </is>
      </c>
      <c r="Q1856" s="66" t="inlineStr">
        <is>
          <t>https://www.lepas-sa.co.za/offers</t>
        </is>
      </c>
      <c r="R1856" s="121" t="n">
        <v>248.42</v>
      </c>
      <c r="S1856" s="122" t="n">
        <v>7067</v>
      </c>
      <c r="T1856" s="122" t="n">
        <v>2507</v>
      </c>
      <c r="U1856" s="123">
        <f>IFERROR(S1856/T1856,"")</f>
        <v/>
      </c>
      <c r="V1856" s="122" t="n">
        <v>6</v>
      </c>
      <c r="W1856" s="122" t="n">
        <v>5</v>
      </c>
      <c r="X1856" s="124">
        <f>IFERROR(W1856/S1856,"")</f>
        <v/>
      </c>
      <c r="Y1856" s="121">
        <f>IFERROR(R1856/W1856,"")</f>
        <v/>
      </c>
      <c r="Z1856" s="121">
        <f>IFERROR(R1856/S1856*1000,"")</f>
        <v/>
      </c>
      <c r="AA1856" s="122" t="n">
        <v>4</v>
      </c>
      <c r="AB1856" s="54">
        <f>IFERROR(AA1856/W1856,"")</f>
        <v/>
      </c>
      <c r="AC1856" s="122" t="n">
        <v>0</v>
      </c>
      <c r="AD1856" s="122" t="n">
        <v>0</v>
      </c>
      <c r="AE1856" s="122" t="n">
        <v>0</v>
      </c>
      <c r="AF1856" s="122" t="n">
        <v>0</v>
      </c>
      <c r="AG1856" s="122" t="n">
        <v>0</v>
      </c>
      <c r="AH1856" s="122" t="n">
        <v>0</v>
      </c>
      <c r="AI1856" s="54">
        <f>IFERROR(AC1856/S1856,"")</f>
        <v/>
      </c>
      <c r="AJ1856" s="54">
        <f>IFERROR(AH1856/S1856,"")</f>
        <v/>
      </c>
      <c r="AK1856" s="122" t="n">
        <v>20</v>
      </c>
      <c r="AL1856" s="122" t="n">
        <v>0</v>
      </c>
      <c r="AM1856" s="124">
        <f>IFERROR(AL1856/AA1856,"")</f>
        <v/>
      </c>
      <c r="AN1856" s="125">
        <f>IFERROR(R1856/AL1856,"")</f>
        <v/>
      </c>
      <c r="AO1856" s="122" t="n">
        <v>0</v>
      </c>
      <c r="AP1856" s="54">
        <f>IFERROR(AO1856/AL1856,"")</f>
        <v/>
      </c>
      <c r="AQ1856" s="125">
        <f>IFERROR(R1856/AO1856,"")</f>
        <v/>
      </c>
      <c r="AR1856" s="122" t="n">
        <v>0</v>
      </c>
      <c r="AS1856" s="122" t="n">
        <v>0</v>
      </c>
      <c r="AT1856" s="122">
        <f>AL1856+AR1856</f>
        <v/>
      </c>
      <c r="AU1856" s="125">
        <f>IFERROR(AO1856*Assumptions!$C$26*Assumptions!$C$27*INDEX(Assumptions!$C$18:$C$21,MATCH(H1856,Assumptions!$B$18:$B$21,0)),0)</f>
        <v/>
      </c>
    </row>
    <row r="1857">
      <c r="A1857" s="120" t="n">
        <v>46262</v>
      </c>
      <c r="B1857" s="66" t="inlineStr">
        <is>
          <t>Wk 35</t>
        </is>
      </c>
      <c r="C1857" s="66" t="inlineStr">
        <is>
          <t>Fri</t>
        </is>
      </c>
      <c r="D1857" s="66" t="inlineStr">
        <is>
          <t>Programmatic</t>
        </is>
      </c>
      <c r="E1857" s="66" t="inlineStr">
        <is>
          <t>DV360</t>
        </is>
      </c>
      <c r="F1857" s="66" t="inlineStr">
        <is>
          <t>LEP_ZA_AUG26_PROG_TD_PROSPECT_DISPLAY</t>
        </is>
      </c>
      <c r="G1857" s="66" t="inlineStr">
        <is>
          <t>Display Prospecting</t>
        </is>
      </c>
      <c r="H1857" s="66" t="inlineStr">
        <is>
          <t>Range</t>
        </is>
      </c>
      <c r="I1857" s="66" t="inlineStr">
        <is>
          <t>Range Offer</t>
        </is>
      </c>
      <c r="J1857" s="66" t="inlineStr">
        <is>
          <t>PROG_3PD_INMKT_AUTO</t>
        </is>
      </c>
      <c r="K1857" s="66" t="inlineStr">
        <is>
          <t>In-Market</t>
        </is>
      </c>
      <c r="L1857" s="66" t="inlineStr">
        <is>
          <t>PROG_HTML5_300x600_Models_v1</t>
        </is>
      </c>
      <c r="M1857" s="66" t="inlineStr">
        <is>
          <t>HTML5 Display 300x600</t>
        </is>
      </c>
      <c r="N1857" s="66" t="inlineStr">
        <is>
          <t>Three models. One test drive.</t>
        </is>
      </c>
      <c r="O1857" s="66" t="inlineStr">
        <is>
          <t>Programmatic Guaranteed / OA</t>
        </is>
      </c>
      <c r="P1857" s="66" t="inlineStr">
        <is>
          <t>Conversions (CPA)</t>
        </is>
      </c>
      <c r="Q1857" s="66" t="inlineStr">
        <is>
          <t>https://www.lepas-sa.co.za/offers</t>
        </is>
      </c>
      <c r="R1857" s="121" t="n">
        <v>256.11</v>
      </c>
      <c r="S1857" s="122" t="n">
        <v>12227</v>
      </c>
      <c r="T1857" s="122" t="n">
        <v>5494</v>
      </c>
      <c r="U1857" s="123">
        <f>IFERROR(S1857/T1857,"")</f>
        <v/>
      </c>
      <c r="V1857" s="122" t="n">
        <v>20</v>
      </c>
      <c r="W1857" s="122" t="n">
        <v>16</v>
      </c>
      <c r="X1857" s="124">
        <f>IFERROR(W1857/S1857,"")</f>
        <v/>
      </c>
      <c r="Y1857" s="121">
        <f>IFERROR(R1857/W1857,"")</f>
        <v/>
      </c>
      <c r="Z1857" s="121">
        <f>IFERROR(R1857/S1857*1000,"")</f>
        <v/>
      </c>
      <c r="AA1857" s="122" t="n">
        <v>9</v>
      </c>
      <c r="AB1857" s="54">
        <f>IFERROR(AA1857/W1857,"")</f>
        <v/>
      </c>
      <c r="AC1857" s="122" t="n">
        <v>0</v>
      </c>
      <c r="AD1857" s="122" t="n">
        <v>0</v>
      </c>
      <c r="AE1857" s="122" t="n">
        <v>0</v>
      </c>
      <c r="AF1857" s="122" t="n">
        <v>0</v>
      </c>
      <c r="AG1857" s="122" t="n">
        <v>0</v>
      </c>
      <c r="AH1857" s="122" t="n">
        <v>0</v>
      </c>
      <c r="AI1857" s="54">
        <f>IFERROR(AC1857/S1857,"")</f>
        <v/>
      </c>
      <c r="AJ1857" s="54">
        <f>IFERROR(AH1857/S1857,"")</f>
        <v/>
      </c>
      <c r="AK1857" s="122" t="n">
        <v>46</v>
      </c>
      <c r="AL1857" s="122" t="n">
        <v>0</v>
      </c>
      <c r="AM1857" s="124">
        <f>IFERROR(AL1857/AA1857,"")</f>
        <v/>
      </c>
      <c r="AN1857" s="125">
        <f>IFERROR(R1857/AL1857,"")</f>
        <v/>
      </c>
      <c r="AO1857" s="122" t="n">
        <v>0</v>
      </c>
      <c r="AP1857" s="54">
        <f>IFERROR(AO1857/AL1857,"")</f>
        <v/>
      </c>
      <c r="AQ1857" s="125">
        <f>IFERROR(R1857/AO1857,"")</f>
        <v/>
      </c>
      <c r="AR1857" s="122" t="n">
        <v>0</v>
      </c>
      <c r="AS1857" s="122" t="n">
        <v>0</v>
      </c>
      <c r="AT1857" s="122">
        <f>AL1857+AR1857</f>
        <v/>
      </c>
      <c r="AU1857" s="125">
        <f>IFERROR(AO1857*Assumptions!$C$26*Assumptions!$C$27*INDEX(Assumptions!$C$18:$C$21,MATCH(H1857,Assumptions!$B$18:$B$21,0)),0)</f>
        <v/>
      </c>
    </row>
    <row r="1858">
      <c r="A1858" s="120" t="n">
        <v>46263</v>
      </c>
      <c r="B1858" s="66" t="inlineStr">
        <is>
          <t>Wk 35</t>
        </is>
      </c>
      <c r="C1858" s="66" t="inlineStr">
        <is>
          <t>Sat</t>
        </is>
      </c>
      <c r="D1858" s="66" t="inlineStr">
        <is>
          <t>Programmatic</t>
        </is>
      </c>
      <c r="E1858" s="66" t="inlineStr">
        <is>
          <t>DV360</t>
        </is>
      </c>
      <c r="F1858" s="66" t="inlineStr">
        <is>
          <t>LEP_ZA_AUG26_PROG_TD_PROSPECT_DISPLAY</t>
        </is>
      </c>
      <c r="G1858" s="66" t="inlineStr">
        <is>
          <t>Display Prospecting</t>
        </is>
      </c>
      <c r="H1858" s="66" t="inlineStr">
        <is>
          <t>Range</t>
        </is>
      </c>
      <c r="I1858" s="66" t="inlineStr">
        <is>
          <t>Range Offer</t>
        </is>
      </c>
      <c r="J1858" s="66" t="inlineStr">
        <is>
          <t>PROG_3PD_INMKT_AUTO</t>
        </is>
      </c>
      <c r="K1858" s="66" t="inlineStr">
        <is>
          <t>In-Market</t>
        </is>
      </c>
      <c r="L1858" s="66" t="inlineStr">
        <is>
          <t>PROG_HTML5_300x600_Models_v1</t>
        </is>
      </c>
      <c r="M1858" s="66" t="inlineStr">
        <is>
          <t>HTML5 Display 300x600</t>
        </is>
      </c>
      <c r="N1858" s="66" t="inlineStr">
        <is>
          <t>Three models. One test drive.</t>
        </is>
      </c>
      <c r="O1858" s="66" t="inlineStr">
        <is>
          <t>Programmatic Guaranteed / OA</t>
        </is>
      </c>
      <c r="P1858" s="66" t="inlineStr">
        <is>
          <t>Conversions (CPA)</t>
        </is>
      </c>
      <c r="Q1858" s="66" t="inlineStr">
        <is>
          <t>https://www.lepas-sa.co.za/offers</t>
        </is>
      </c>
      <c r="R1858" s="121" t="n">
        <v>231.04</v>
      </c>
      <c r="S1858" s="122" t="n">
        <v>6576</v>
      </c>
      <c r="T1858" s="122" t="n">
        <v>2353</v>
      </c>
      <c r="U1858" s="123">
        <f>IFERROR(S1858/T1858,"")</f>
        <v/>
      </c>
      <c r="V1858" s="122" t="n">
        <v>17</v>
      </c>
      <c r="W1858" s="122" t="n">
        <v>12</v>
      </c>
      <c r="X1858" s="124">
        <f>IFERROR(W1858/S1858,"")</f>
        <v/>
      </c>
      <c r="Y1858" s="121">
        <f>IFERROR(R1858/W1858,"")</f>
        <v/>
      </c>
      <c r="Z1858" s="121">
        <f>IFERROR(R1858/S1858*1000,"")</f>
        <v/>
      </c>
      <c r="AA1858" s="122" t="n">
        <v>8</v>
      </c>
      <c r="AB1858" s="54">
        <f>IFERROR(AA1858/W1858,"")</f>
        <v/>
      </c>
      <c r="AC1858" s="122" t="n">
        <v>0</v>
      </c>
      <c r="AD1858" s="122" t="n">
        <v>0</v>
      </c>
      <c r="AE1858" s="122" t="n">
        <v>0</v>
      </c>
      <c r="AF1858" s="122" t="n">
        <v>0</v>
      </c>
      <c r="AG1858" s="122" t="n">
        <v>0</v>
      </c>
      <c r="AH1858" s="122" t="n">
        <v>0</v>
      </c>
      <c r="AI1858" s="54">
        <f>IFERROR(AC1858/S1858,"")</f>
        <v/>
      </c>
      <c r="AJ1858" s="54">
        <f>IFERROR(AH1858/S1858,"")</f>
        <v/>
      </c>
      <c r="AK1858" s="122" t="n">
        <v>9</v>
      </c>
      <c r="AL1858" s="122" t="n">
        <v>0</v>
      </c>
      <c r="AM1858" s="124">
        <f>IFERROR(AL1858/AA1858,"")</f>
        <v/>
      </c>
      <c r="AN1858" s="125">
        <f>IFERROR(R1858/AL1858,"")</f>
        <v/>
      </c>
      <c r="AO1858" s="122" t="n">
        <v>0</v>
      </c>
      <c r="AP1858" s="54">
        <f>IFERROR(AO1858/AL1858,"")</f>
        <v/>
      </c>
      <c r="AQ1858" s="125">
        <f>IFERROR(R1858/AO1858,"")</f>
        <v/>
      </c>
      <c r="AR1858" s="122" t="n">
        <v>0</v>
      </c>
      <c r="AS1858" s="122" t="n">
        <v>0</v>
      </c>
      <c r="AT1858" s="122">
        <f>AL1858+AR1858</f>
        <v/>
      </c>
      <c r="AU1858" s="125">
        <f>IFERROR(AO1858*Assumptions!$C$26*Assumptions!$C$27*INDEX(Assumptions!$C$18:$C$21,MATCH(H1858,Assumptions!$B$18:$B$21,0)),0)</f>
        <v/>
      </c>
    </row>
    <row r="1859">
      <c r="A1859" s="120" t="n">
        <v>46264</v>
      </c>
      <c r="B1859" s="66" t="inlineStr">
        <is>
          <t>Wk 35</t>
        </is>
      </c>
      <c r="C1859" s="66" t="inlineStr">
        <is>
          <t>Sun</t>
        </is>
      </c>
      <c r="D1859" s="66" t="inlineStr">
        <is>
          <t>Programmatic</t>
        </is>
      </c>
      <c r="E1859" s="66" t="inlineStr">
        <is>
          <t>DV360</t>
        </is>
      </c>
      <c r="F1859" s="66" t="inlineStr">
        <is>
          <t>LEP_ZA_AUG26_PROG_TD_PROSPECT_DISPLAY</t>
        </is>
      </c>
      <c r="G1859" s="66" t="inlineStr">
        <is>
          <t>Display Prospecting</t>
        </is>
      </c>
      <c r="H1859" s="66" t="inlineStr">
        <is>
          <t>Range</t>
        </is>
      </c>
      <c r="I1859" s="66" t="inlineStr">
        <is>
          <t>Range Offer</t>
        </is>
      </c>
      <c r="J1859" s="66" t="inlineStr">
        <is>
          <t>PROG_3PD_INMKT_AUTO</t>
        </is>
      </c>
      <c r="K1859" s="66" t="inlineStr">
        <is>
          <t>In-Market</t>
        </is>
      </c>
      <c r="L1859" s="66" t="inlineStr">
        <is>
          <t>PROG_HTML5_300x600_Models_v1</t>
        </is>
      </c>
      <c r="M1859" s="66" t="inlineStr">
        <is>
          <t>HTML5 Display 300x600</t>
        </is>
      </c>
      <c r="N1859" s="66" t="inlineStr">
        <is>
          <t>Three models. One test drive.</t>
        </is>
      </c>
      <c r="O1859" s="66" t="inlineStr">
        <is>
          <t>Programmatic Guaranteed / OA</t>
        </is>
      </c>
      <c r="P1859" s="66" t="inlineStr">
        <is>
          <t>Conversions (CPA)</t>
        </is>
      </c>
      <c r="Q1859" s="66" t="inlineStr">
        <is>
          <t>https://www.lepas-sa.co.za/offers</t>
        </is>
      </c>
      <c r="R1859" s="121" t="n">
        <v>181.49</v>
      </c>
      <c r="S1859" s="122" t="n">
        <v>4807</v>
      </c>
      <c r="T1859" s="122" t="n">
        <v>1858</v>
      </c>
      <c r="U1859" s="123">
        <f>IFERROR(S1859/T1859,"")</f>
        <v/>
      </c>
      <c r="V1859" s="122" t="n">
        <v>11</v>
      </c>
      <c r="W1859" s="122" t="n">
        <v>8</v>
      </c>
      <c r="X1859" s="124">
        <f>IFERROR(W1859/S1859,"")</f>
        <v/>
      </c>
      <c r="Y1859" s="121">
        <f>IFERROR(R1859/W1859,"")</f>
        <v/>
      </c>
      <c r="Z1859" s="121">
        <f>IFERROR(R1859/S1859*1000,"")</f>
        <v/>
      </c>
      <c r="AA1859" s="122" t="n">
        <v>5</v>
      </c>
      <c r="AB1859" s="54">
        <f>IFERROR(AA1859/W1859,"")</f>
        <v/>
      </c>
      <c r="AC1859" s="122" t="n">
        <v>0</v>
      </c>
      <c r="AD1859" s="122" t="n">
        <v>0</v>
      </c>
      <c r="AE1859" s="122" t="n">
        <v>0</v>
      </c>
      <c r="AF1859" s="122" t="n">
        <v>0</v>
      </c>
      <c r="AG1859" s="122" t="n">
        <v>0</v>
      </c>
      <c r="AH1859" s="122" t="n">
        <v>0</v>
      </c>
      <c r="AI1859" s="54">
        <f>IFERROR(AC1859/S1859,"")</f>
        <v/>
      </c>
      <c r="AJ1859" s="54">
        <f>IFERROR(AH1859/S1859,"")</f>
        <v/>
      </c>
      <c r="AK1859" s="122" t="n">
        <v>21</v>
      </c>
      <c r="AL1859" s="122" t="n">
        <v>0</v>
      </c>
      <c r="AM1859" s="124">
        <f>IFERROR(AL1859/AA1859,"")</f>
        <v/>
      </c>
      <c r="AN1859" s="125">
        <f>IFERROR(R1859/AL1859,"")</f>
        <v/>
      </c>
      <c r="AO1859" s="122" t="n">
        <v>0</v>
      </c>
      <c r="AP1859" s="54">
        <f>IFERROR(AO1859/AL1859,"")</f>
        <v/>
      </c>
      <c r="AQ1859" s="125">
        <f>IFERROR(R1859/AO1859,"")</f>
        <v/>
      </c>
      <c r="AR1859" s="122" t="n">
        <v>0</v>
      </c>
      <c r="AS1859" s="122" t="n">
        <v>0</v>
      </c>
      <c r="AT1859" s="122">
        <f>AL1859+AR1859</f>
        <v/>
      </c>
      <c r="AU1859" s="125">
        <f>IFERROR(AO1859*Assumptions!$C$26*Assumptions!$C$27*INDEX(Assumptions!$C$18:$C$21,MATCH(H1859,Assumptions!$B$18:$B$21,0)),0)</f>
        <v/>
      </c>
    </row>
    <row r="1860">
      <c r="A1860" s="120" t="n">
        <v>46265</v>
      </c>
      <c r="B1860" s="66" t="inlineStr">
        <is>
          <t>Wk 36</t>
        </is>
      </c>
      <c r="C1860" s="66" t="inlineStr">
        <is>
          <t>Mon</t>
        </is>
      </c>
      <c r="D1860" s="66" t="inlineStr">
        <is>
          <t>Programmatic</t>
        </is>
      </c>
      <c r="E1860" s="66" t="inlineStr">
        <is>
          <t>DV360</t>
        </is>
      </c>
      <c r="F1860" s="66" t="inlineStr">
        <is>
          <t>LEP_ZA_AUG26_PROG_TD_PROSPECT_DISPLAY</t>
        </is>
      </c>
      <c r="G1860" s="66" t="inlineStr">
        <is>
          <t>Display Prospecting</t>
        </is>
      </c>
      <c r="H1860" s="66" t="inlineStr">
        <is>
          <t>Range</t>
        </is>
      </c>
      <c r="I1860" s="66" t="inlineStr">
        <is>
          <t>Range Offer</t>
        </is>
      </c>
      <c r="J1860" s="66" t="inlineStr">
        <is>
          <t>PROG_3PD_INMKT_AUTO</t>
        </is>
      </c>
      <c r="K1860" s="66" t="inlineStr">
        <is>
          <t>In-Market</t>
        </is>
      </c>
      <c r="L1860" s="66" t="inlineStr">
        <is>
          <t>PROG_HTML5_300x600_Models_v1</t>
        </is>
      </c>
      <c r="M1860" s="66" t="inlineStr">
        <is>
          <t>HTML5 Display 300x600</t>
        </is>
      </c>
      <c r="N1860" s="66" t="inlineStr">
        <is>
          <t>Three models. One test drive.</t>
        </is>
      </c>
      <c r="O1860" s="66" t="inlineStr">
        <is>
          <t>Programmatic Guaranteed / OA</t>
        </is>
      </c>
      <c r="P1860" s="66" t="inlineStr">
        <is>
          <t>Conversions (CPA)</t>
        </is>
      </c>
      <c r="Q1860" s="66" t="inlineStr">
        <is>
          <t>https://www.lepas-sa.co.za/offers</t>
        </is>
      </c>
      <c r="R1860" s="121" t="n">
        <v>194.06</v>
      </c>
      <c r="S1860" s="122" t="n">
        <v>5742</v>
      </c>
      <c r="T1860" s="122" t="n">
        <v>2194</v>
      </c>
      <c r="U1860" s="123">
        <f>IFERROR(S1860/T1860,"")</f>
        <v/>
      </c>
      <c r="V1860" s="122" t="n">
        <v>9</v>
      </c>
      <c r="W1860" s="122" t="n">
        <v>8</v>
      </c>
      <c r="X1860" s="124">
        <f>IFERROR(W1860/S1860,"")</f>
        <v/>
      </c>
      <c r="Y1860" s="121">
        <f>IFERROR(R1860/W1860,"")</f>
        <v/>
      </c>
      <c r="Z1860" s="121">
        <f>IFERROR(R1860/S1860*1000,"")</f>
        <v/>
      </c>
      <c r="AA1860" s="122" t="n">
        <v>5</v>
      </c>
      <c r="AB1860" s="54">
        <f>IFERROR(AA1860/W1860,"")</f>
        <v/>
      </c>
      <c r="AC1860" s="122" t="n">
        <v>0</v>
      </c>
      <c r="AD1860" s="122" t="n">
        <v>0</v>
      </c>
      <c r="AE1860" s="122" t="n">
        <v>0</v>
      </c>
      <c r="AF1860" s="122" t="n">
        <v>0</v>
      </c>
      <c r="AG1860" s="122" t="n">
        <v>0</v>
      </c>
      <c r="AH1860" s="122" t="n">
        <v>0</v>
      </c>
      <c r="AI1860" s="54">
        <f>IFERROR(AC1860/S1860,"")</f>
        <v/>
      </c>
      <c r="AJ1860" s="54">
        <f>IFERROR(AH1860/S1860,"")</f>
        <v/>
      </c>
      <c r="AK1860" s="122" t="n">
        <v>26</v>
      </c>
      <c r="AL1860" s="122" t="n">
        <v>0</v>
      </c>
      <c r="AM1860" s="124">
        <f>IFERROR(AL1860/AA1860,"")</f>
        <v/>
      </c>
      <c r="AN1860" s="125">
        <f>IFERROR(R1860/AL1860,"")</f>
        <v/>
      </c>
      <c r="AO1860" s="122" t="n">
        <v>0</v>
      </c>
      <c r="AP1860" s="54">
        <f>IFERROR(AO1860/AL1860,"")</f>
        <v/>
      </c>
      <c r="AQ1860" s="125">
        <f>IFERROR(R1860/AO1860,"")</f>
        <v/>
      </c>
      <c r="AR1860" s="122" t="n">
        <v>0</v>
      </c>
      <c r="AS1860" s="122" t="n">
        <v>0</v>
      </c>
      <c r="AT1860" s="122">
        <f>AL1860+AR1860</f>
        <v/>
      </c>
      <c r="AU1860" s="125">
        <f>IFERROR(AO1860*Assumptions!$C$26*Assumptions!$C$27*INDEX(Assumptions!$C$18:$C$21,MATCH(H1860,Assumptions!$B$18:$B$21,0)),0)</f>
        <v/>
      </c>
    </row>
    <row r="1861">
      <c r="A1861" s="120" t="n">
        <v>46235</v>
      </c>
      <c r="B1861" s="66" t="inlineStr">
        <is>
          <t>Wk 31</t>
        </is>
      </c>
      <c r="C1861" s="66" t="inlineStr">
        <is>
          <t>Sat</t>
        </is>
      </c>
      <c r="D1861" s="66" t="inlineStr">
        <is>
          <t>Programmatic</t>
        </is>
      </c>
      <c r="E1861" s="66" t="inlineStr">
        <is>
          <t>DV360</t>
        </is>
      </c>
      <c r="F1861" s="66" t="inlineStr">
        <is>
          <t>LEP_ZA_AUG26_PROG_TD_PROSPECT_DISPLAY</t>
        </is>
      </c>
      <c r="G1861" s="66" t="inlineStr">
        <is>
          <t>Display Prospecting</t>
        </is>
      </c>
      <c r="H1861" s="66" t="inlineStr">
        <is>
          <t>Range</t>
        </is>
      </c>
      <c r="I1861" s="66" t="inlineStr">
        <is>
          <t>Range Offer</t>
        </is>
      </c>
      <c r="J1861" s="66" t="inlineStr">
        <is>
          <t>PROG_3PD_INMKT_AUTO</t>
        </is>
      </c>
      <c r="K1861" s="66" t="inlineStr">
        <is>
          <t>In-Market</t>
        </is>
      </c>
      <c r="L1861" s="66" t="inlineStr">
        <is>
          <t>PROG_HTML5_300x250_Range_v1</t>
        </is>
      </c>
      <c r="M1861" s="66" t="inlineStr">
        <is>
          <t>HTML5 Display 300x250</t>
        </is>
      </c>
      <c r="N1861" s="66" t="inlineStr">
        <is>
          <t>Book a Lepas test drive</t>
        </is>
      </c>
      <c r="O1861" s="66" t="inlineStr">
        <is>
          <t>Programmatic Guaranteed / OA</t>
        </is>
      </c>
      <c r="P1861" s="66" t="inlineStr">
        <is>
          <t>Conversions (CPA)</t>
        </is>
      </c>
      <c r="Q1861" s="66" t="inlineStr">
        <is>
          <t>https://www.lepas-sa.co.za/offers</t>
        </is>
      </c>
      <c r="R1861" s="121" t="n">
        <v>167.61</v>
      </c>
      <c r="S1861" s="122" t="n">
        <v>4031</v>
      </c>
      <c r="T1861" s="122" t="n">
        <v>1848</v>
      </c>
      <c r="U1861" s="123">
        <f>IFERROR(S1861/T1861,"")</f>
        <v/>
      </c>
      <c r="V1861" s="122" t="n">
        <v>14</v>
      </c>
      <c r="W1861" s="122" t="n">
        <v>12</v>
      </c>
      <c r="X1861" s="124">
        <f>IFERROR(W1861/S1861,"")</f>
        <v/>
      </c>
      <c r="Y1861" s="121">
        <f>IFERROR(R1861/W1861,"")</f>
        <v/>
      </c>
      <c r="Z1861" s="121">
        <f>IFERROR(R1861/S1861*1000,"")</f>
        <v/>
      </c>
      <c r="AA1861" s="122" t="n">
        <v>8</v>
      </c>
      <c r="AB1861" s="54">
        <f>IFERROR(AA1861/W1861,"")</f>
        <v/>
      </c>
      <c r="AC1861" s="122" t="n">
        <v>0</v>
      </c>
      <c r="AD1861" s="122" t="n">
        <v>0</v>
      </c>
      <c r="AE1861" s="122" t="n">
        <v>0</v>
      </c>
      <c r="AF1861" s="122" t="n">
        <v>0</v>
      </c>
      <c r="AG1861" s="122" t="n">
        <v>0</v>
      </c>
      <c r="AH1861" s="122" t="n">
        <v>0</v>
      </c>
      <c r="AI1861" s="54">
        <f>IFERROR(AC1861/S1861,"")</f>
        <v/>
      </c>
      <c r="AJ1861" s="54">
        <f>IFERROR(AH1861/S1861,"")</f>
        <v/>
      </c>
      <c r="AK1861" s="122" t="n">
        <v>21</v>
      </c>
      <c r="AL1861" s="122" t="n">
        <v>0</v>
      </c>
      <c r="AM1861" s="124">
        <f>IFERROR(AL1861/AA1861,"")</f>
        <v/>
      </c>
      <c r="AN1861" s="125">
        <f>IFERROR(R1861/AL1861,"")</f>
        <v/>
      </c>
      <c r="AO1861" s="122" t="n">
        <v>0</v>
      </c>
      <c r="AP1861" s="54">
        <f>IFERROR(AO1861/AL1861,"")</f>
        <v/>
      </c>
      <c r="AQ1861" s="125">
        <f>IFERROR(R1861/AO1861,"")</f>
        <v/>
      </c>
      <c r="AR1861" s="122" t="n">
        <v>0</v>
      </c>
      <c r="AS1861" s="122" t="n">
        <v>0</v>
      </c>
      <c r="AT1861" s="122">
        <f>AL1861+AR1861</f>
        <v/>
      </c>
      <c r="AU1861" s="125">
        <f>IFERROR(AO1861*Assumptions!$C$26*Assumptions!$C$27*INDEX(Assumptions!$C$18:$C$21,MATCH(H1861,Assumptions!$B$18:$B$21,0)),0)</f>
        <v/>
      </c>
    </row>
    <row r="1862">
      <c r="A1862" s="120" t="n">
        <v>46236</v>
      </c>
      <c r="B1862" s="66" t="inlineStr">
        <is>
          <t>Wk 31</t>
        </is>
      </c>
      <c r="C1862" s="66" t="inlineStr">
        <is>
          <t>Sun</t>
        </is>
      </c>
      <c r="D1862" s="66" t="inlineStr">
        <is>
          <t>Programmatic</t>
        </is>
      </c>
      <c r="E1862" s="66" t="inlineStr">
        <is>
          <t>DV360</t>
        </is>
      </c>
      <c r="F1862" s="66" t="inlineStr">
        <is>
          <t>LEP_ZA_AUG26_PROG_TD_PROSPECT_DISPLAY</t>
        </is>
      </c>
      <c r="G1862" s="66" t="inlineStr">
        <is>
          <t>Display Prospecting</t>
        </is>
      </c>
      <c r="H1862" s="66" t="inlineStr">
        <is>
          <t>Range</t>
        </is>
      </c>
      <c r="I1862" s="66" t="inlineStr">
        <is>
          <t>Range Offer</t>
        </is>
      </c>
      <c r="J1862" s="66" t="inlineStr">
        <is>
          <t>PROG_3PD_INMKT_AUTO</t>
        </is>
      </c>
      <c r="K1862" s="66" t="inlineStr">
        <is>
          <t>In-Market</t>
        </is>
      </c>
      <c r="L1862" s="66" t="inlineStr">
        <is>
          <t>PROG_HTML5_300x250_Range_v1</t>
        </is>
      </c>
      <c r="M1862" s="66" t="inlineStr">
        <is>
          <t>HTML5 Display 300x250</t>
        </is>
      </c>
      <c r="N1862" s="66" t="inlineStr">
        <is>
          <t>Book a Lepas test drive</t>
        </is>
      </c>
      <c r="O1862" s="66" t="inlineStr">
        <is>
          <t>Programmatic Guaranteed / OA</t>
        </is>
      </c>
      <c r="P1862" s="66" t="inlineStr">
        <is>
          <t>Conversions (CPA)</t>
        </is>
      </c>
      <c r="Q1862" s="66" t="inlineStr">
        <is>
          <t>https://www.lepas-sa.co.za/offers</t>
        </is>
      </c>
      <c r="R1862" s="121" t="n">
        <v>117.63</v>
      </c>
      <c r="S1862" s="122" t="n">
        <v>3429</v>
      </c>
      <c r="T1862" s="122" t="n">
        <v>2008</v>
      </c>
      <c r="U1862" s="123">
        <f>IFERROR(S1862/T1862,"")</f>
        <v/>
      </c>
      <c r="V1862" s="122" t="n">
        <v>17</v>
      </c>
      <c r="W1862" s="122" t="n">
        <v>12</v>
      </c>
      <c r="X1862" s="124">
        <f>IFERROR(W1862/S1862,"")</f>
        <v/>
      </c>
      <c r="Y1862" s="121">
        <f>IFERROR(R1862/W1862,"")</f>
        <v/>
      </c>
      <c r="Z1862" s="121">
        <f>IFERROR(R1862/S1862*1000,"")</f>
        <v/>
      </c>
      <c r="AA1862" s="122" t="n">
        <v>8</v>
      </c>
      <c r="AB1862" s="54">
        <f>IFERROR(AA1862/W1862,"")</f>
        <v/>
      </c>
      <c r="AC1862" s="122" t="n">
        <v>0</v>
      </c>
      <c r="AD1862" s="122" t="n">
        <v>0</v>
      </c>
      <c r="AE1862" s="122" t="n">
        <v>0</v>
      </c>
      <c r="AF1862" s="122" t="n">
        <v>0</v>
      </c>
      <c r="AG1862" s="122" t="n">
        <v>0</v>
      </c>
      <c r="AH1862" s="122" t="n">
        <v>0</v>
      </c>
      <c r="AI1862" s="54">
        <f>IFERROR(AC1862/S1862,"")</f>
        <v/>
      </c>
      <c r="AJ1862" s="54">
        <f>IFERROR(AH1862/S1862,"")</f>
        <v/>
      </c>
      <c r="AK1862" s="122" t="n">
        <v>5</v>
      </c>
      <c r="AL1862" s="122" t="n">
        <v>0</v>
      </c>
      <c r="AM1862" s="124">
        <f>IFERROR(AL1862/AA1862,"")</f>
        <v/>
      </c>
      <c r="AN1862" s="125">
        <f>IFERROR(R1862/AL1862,"")</f>
        <v/>
      </c>
      <c r="AO1862" s="122" t="n">
        <v>0</v>
      </c>
      <c r="AP1862" s="54">
        <f>IFERROR(AO1862/AL1862,"")</f>
        <v/>
      </c>
      <c r="AQ1862" s="125">
        <f>IFERROR(R1862/AO1862,"")</f>
        <v/>
      </c>
      <c r="AR1862" s="122" t="n">
        <v>0</v>
      </c>
      <c r="AS1862" s="122" t="n">
        <v>0</v>
      </c>
      <c r="AT1862" s="122">
        <f>AL1862+AR1862</f>
        <v/>
      </c>
      <c r="AU1862" s="125">
        <f>IFERROR(AO1862*Assumptions!$C$26*Assumptions!$C$27*INDEX(Assumptions!$C$18:$C$21,MATCH(H1862,Assumptions!$B$18:$B$21,0)),0)</f>
        <v/>
      </c>
    </row>
    <row r="1863">
      <c r="A1863" s="120" t="n">
        <v>46237</v>
      </c>
      <c r="B1863" s="66" t="inlineStr">
        <is>
          <t>Wk 32</t>
        </is>
      </c>
      <c r="C1863" s="66" t="inlineStr">
        <is>
          <t>Mon</t>
        </is>
      </c>
      <c r="D1863" s="66" t="inlineStr">
        <is>
          <t>Programmatic</t>
        </is>
      </c>
      <c r="E1863" s="66" t="inlineStr">
        <is>
          <t>DV360</t>
        </is>
      </c>
      <c r="F1863" s="66" t="inlineStr">
        <is>
          <t>LEP_ZA_AUG26_PROG_TD_PROSPECT_DISPLAY</t>
        </is>
      </c>
      <c r="G1863" s="66" t="inlineStr">
        <is>
          <t>Display Prospecting</t>
        </is>
      </c>
      <c r="H1863" s="66" t="inlineStr">
        <is>
          <t>Range</t>
        </is>
      </c>
      <c r="I1863" s="66" t="inlineStr">
        <is>
          <t>Range Offer</t>
        </is>
      </c>
      <c r="J1863" s="66" t="inlineStr">
        <is>
          <t>PROG_3PD_INMKT_AUTO</t>
        </is>
      </c>
      <c r="K1863" s="66" t="inlineStr">
        <is>
          <t>In-Market</t>
        </is>
      </c>
      <c r="L1863" s="66" t="inlineStr">
        <is>
          <t>PROG_HTML5_300x250_Range_v1</t>
        </is>
      </c>
      <c r="M1863" s="66" t="inlineStr">
        <is>
          <t>HTML5 Display 300x250</t>
        </is>
      </c>
      <c r="N1863" s="66" t="inlineStr">
        <is>
          <t>Book a Lepas test drive</t>
        </is>
      </c>
      <c r="O1863" s="66" t="inlineStr">
        <is>
          <t>Programmatic Guaranteed / OA</t>
        </is>
      </c>
      <c r="P1863" s="66" t="inlineStr">
        <is>
          <t>Conversions (CPA)</t>
        </is>
      </c>
      <c r="Q1863" s="66" t="inlineStr">
        <is>
          <t>https://www.lepas-sa.co.za/offers</t>
        </is>
      </c>
      <c r="R1863" s="121" t="n">
        <v>120.38</v>
      </c>
      <c r="S1863" s="122" t="n">
        <v>3778</v>
      </c>
      <c r="T1863" s="122" t="n">
        <v>1986</v>
      </c>
      <c r="U1863" s="123">
        <f>IFERROR(S1863/T1863,"")</f>
        <v/>
      </c>
      <c r="V1863" s="122" t="n">
        <v>19</v>
      </c>
      <c r="W1863" s="122" t="n">
        <v>14</v>
      </c>
      <c r="X1863" s="124">
        <f>IFERROR(W1863/S1863,"")</f>
        <v/>
      </c>
      <c r="Y1863" s="121">
        <f>IFERROR(R1863/W1863,"")</f>
        <v/>
      </c>
      <c r="Z1863" s="121">
        <f>IFERROR(R1863/S1863*1000,"")</f>
        <v/>
      </c>
      <c r="AA1863" s="122" t="n">
        <v>10</v>
      </c>
      <c r="AB1863" s="54">
        <f>IFERROR(AA1863/W1863,"")</f>
        <v/>
      </c>
      <c r="AC1863" s="122" t="n">
        <v>0</v>
      </c>
      <c r="AD1863" s="122" t="n">
        <v>0</v>
      </c>
      <c r="AE1863" s="122" t="n">
        <v>0</v>
      </c>
      <c r="AF1863" s="122" t="n">
        <v>0</v>
      </c>
      <c r="AG1863" s="122" t="n">
        <v>0</v>
      </c>
      <c r="AH1863" s="122" t="n">
        <v>0</v>
      </c>
      <c r="AI1863" s="54">
        <f>IFERROR(AC1863/S1863,"")</f>
        <v/>
      </c>
      <c r="AJ1863" s="54">
        <f>IFERROR(AH1863/S1863,"")</f>
        <v/>
      </c>
      <c r="AK1863" s="122" t="n">
        <v>10</v>
      </c>
      <c r="AL1863" s="122" t="n">
        <v>0</v>
      </c>
      <c r="AM1863" s="124">
        <f>IFERROR(AL1863/AA1863,"")</f>
        <v/>
      </c>
      <c r="AN1863" s="125">
        <f>IFERROR(R1863/AL1863,"")</f>
        <v/>
      </c>
      <c r="AO1863" s="122" t="n">
        <v>0</v>
      </c>
      <c r="AP1863" s="54">
        <f>IFERROR(AO1863/AL1863,"")</f>
        <v/>
      </c>
      <c r="AQ1863" s="125">
        <f>IFERROR(R1863/AO1863,"")</f>
        <v/>
      </c>
      <c r="AR1863" s="122" t="n">
        <v>0</v>
      </c>
      <c r="AS1863" s="122" t="n">
        <v>0</v>
      </c>
      <c r="AT1863" s="122">
        <f>AL1863+AR1863</f>
        <v/>
      </c>
      <c r="AU1863" s="125">
        <f>IFERROR(AO1863*Assumptions!$C$26*Assumptions!$C$27*INDEX(Assumptions!$C$18:$C$21,MATCH(H1863,Assumptions!$B$18:$B$21,0)),0)</f>
        <v/>
      </c>
    </row>
    <row r="1864">
      <c r="A1864" s="120" t="n">
        <v>46238</v>
      </c>
      <c r="B1864" s="66" t="inlineStr">
        <is>
          <t>Wk 32</t>
        </is>
      </c>
      <c r="C1864" s="66" t="inlineStr">
        <is>
          <t>Tue</t>
        </is>
      </c>
      <c r="D1864" s="66" t="inlineStr">
        <is>
          <t>Programmatic</t>
        </is>
      </c>
      <c r="E1864" s="66" t="inlineStr">
        <is>
          <t>DV360</t>
        </is>
      </c>
      <c r="F1864" s="66" t="inlineStr">
        <is>
          <t>LEP_ZA_AUG26_PROG_TD_PROSPECT_DISPLAY</t>
        </is>
      </c>
      <c r="G1864" s="66" t="inlineStr">
        <is>
          <t>Display Prospecting</t>
        </is>
      </c>
      <c r="H1864" s="66" t="inlineStr">
        <is>
          <t>Range</t>
        </is>
      </c>
      <c r="I1864" s="66" t="inlineStr">
        <is>
          <t>Range Offer</t>
        </is>
      </c>
      <c r="J1864" s="66" t="inlineStr">
        <is>
          <t>PROG_3PD_INMKT_AUTO</t>
        </is>
      </c>
      <c r="K1864" s="66" t="inlineStr">
        <is>
          <t>In-Market</t>
        </is>
      </c>
      <c r="L1864" s="66" t="inlineStr">
        <is>
          <t>PROG_HTML5_300x250_Range_v1</t>
        </is>
      </c>
      <c r="M1864" s="66" t="inlineStr">
        <is>
          <t>HTML5 Display 300x250</t>
        </is>
      </c>
      <c r="N1864" s="66" t="inlineStr">
        <is>
          <t>Book a Lepas test drive</t>
        </is>
      </c>
      <c r="O1864" s="66" t="inlineStr">
        <is>
          <t>Programmatic Guaranteed / OA</t>
        </is>
      </c>
      <c r="P1864" s="66" t="inlineStr">
        <is>
          <t>Conversions (CPA)</t>
        </is>
      </c>
      <c r="Q1864" s="66" t="inlineStr">
        <is>
          <t>https://www.lepas-sa.co.za/offers</t>
        </is>
      </c>
      <c r="R1864" s="121" t="n">
        <v>122.98</v>
      </c>
      <c r="S1864" s="122" t="n">
        <v>4437</v>
      </c>
      <c r="T1864" s="122" t="n">
        <v>2831</v>
      </c>
      <c r="U1864" s="123">
        <f>IFERROR(S1864/T1864,"")</f>
        <v/>
      </c>
      <c r="V1864" s="122" t="n">
        <v>14</v>
      </c>
      <c r="W1864" s="122" t="n">
        <v>10</v>
      </c>
      <c r="X1864" s="124">
        <f>IFERROR(W1864/S1864,"")</f>
        <v/>
      </c>
      <c r="Y1864" s="121">
        <f>IFERROR(R1864/W1864,"")</f>
        <v/>
      </c>
      <c r="Z1864" s="121">
        <f>IFERROR(R1864/S1864*1000,"")</f>
        <v/>
      </c>
      <c r="AA1864" s="122" t="n">
        <v>6</v>
      </c>
      <c r="AB1864" s="54">
        <f>IFERROR(AA1864/W1864,"")</f>
        <v/>
      </c>
      <c r="AC1864" s="122" t="n">
        <v>0</v>
      </c>
      <c r="AD1864" s="122" t="n">
        <v>0</v>
      </c>
      <c r="AE1864" s="122" t="n">
        <v>0</v>
      </c>
      <c r="AF1864" s="122" t="n">
        <v>0</v>
      </c>
      <c r="AG1864" s="122" t="n">
        <v>0</v>
      </c>
      <c r="AH1864" s="122" t="n">
        <v>0</v>
      </c>
      <c r="AI1864" s="54">
        <f>IFERROR(AC1864/S1864,"")</f>
        <v/>
      </c>
      <c r="AJ1864" s="54">
        <f>IFERROR(AH1864/S1864,"")</f>
        <v/>
      </c>
      <c r="AK1864" s="122" t="n">
        <v>11</v>
      </c>
      <c r="AL1864" s="122" t="n">
        <v>0</v>
      </c>
      <c r="AM1864" s="124">
        <f>IFERROR(AL1864/AA1864,"")</f>
        <v/>
      </c>
      <c r="AN1864" s="125">
        <f>IFERROR(R1864/AL1864,"")</f>
        <v/>
      </c>
      <c r="AO1864" s="122" t="n">
        <v>0</v>
      </c>
      <c r="AP1864" s="54">
        <f>IFERROR(AO1864/AL1864,"")</f>
        <v/>
      </c>
      <c r="AQ1864" s="125">
        <f>IFERROR(R1864/AO1864,"")</f>
        <v/>
      </c>
      <c r="AR1864" s="122" t="n">
        <v>0</v>
      </c>
      <c r="AS1864" s="122" t="n">
        <v>0</v>
      </c>
      <c r="AT1864" s="122">
        <f>AL1864+AR1864</f>
        <v/>
      </c>
      <c r="AU1864" s="125">
        <f>IFERROR(AO1864*Assumptions!$C$26*Assumptions!$C$27*INDEX(Assumptions!$C$18:$C$21,MATCH(H1864,Assumptions!$B$18:$B$21,0)),0)</f>
        <v/>
      </c>
    </row>
    <row r="1865">
      <c r="A1865" s="120" t="n">
        <v>46239</v>
      </c>
      <c r="B1865" s="66" t="inlineStr">
        <is>
          <t>Wk 32</t>
        </is>
      </c>
      <c r="C1865" s="66" t="inlineStr">
        <is>
          <t>Wed</t>
        </is>
      </c>
      <c r="D1865" s="66" t="inlineStr">
        <is>
          <t>Programmatic</t>
        </is>
      </c>
      <c r="E1865" s="66" t="inlineStr">
        <is>
          <t>DV360</t>
        </is>
      </c>
      <c r="F1865" s="66" t="inlineStr">
        <is>
          <t>LEP_ZA_AUG26_PROG_TD_PROSPECT_DISPLAY</t>
        </is>
      </c>
      <c r="G1865" s="66" t="inlineStr">
        <is>
          <t>Display Prospecting</t>
        </is>
      </c>
      <c r="H1865" s="66" t="inlineStr">
        <is>
          <t>Range</t>
        </is>
      </c>
      <c r="I1865" s="66" t="inlineStr">
        <is>
          <t>Range Offer</t>
        </is>
      </c>
      <c r="J1865" s="66" t="inlineStr">
        <is>
          <t>PROG_3PD_INMKT_AUTO</t>
        </is>
      </c>
      <c r="K1865" s="66" t="inlineStr">
        <is>
          <t>In-Market</t>
        </is>
      </c>
      <c r="L1865" s="66" t="inlineStr">
        <is>
          <t>PROG_HTML5_300x250_Range_v1</t>
        </is>
      </c>
      <c r="M1865" s="66" t="inlineStr">
        <is>
          <t>HTML5 Display 300x250</t>
        </is>
      </c>
      <c r="N1865" s="66" t="inlineStr">
        <is>
          <t>Book a Lepas test drive</t>
        </is>
      </c>
      <c r="O1865" s="66" t="inlineStr">
        <is>
          <t>Programmatic Guaranteed / OA</t>
        </is>
      </c>
      <c r="P1865" s="66" t="inlineStr">
        <is>
          <t>Conversions (CPA)</t>
        </is>
      </c>
      <c r="Q1865" s="66" t="inlineStr">
        <is>
          <t>https://www.lepas-sa.co.za/offers</t>
        </is>
      </c>
      <c r="R1865" s="121" t="n">
        <v>153.36</v>
      </c>
      <c r="S1865" s="122" t="n">
        <v>6769</v>
      </c>
      <c r="T1865" s="122" t="n">
        <v>3171</v>
      </c>
      <c r="U1865" s="123">
        <f>IFERROR(S1865/T1865,"")</f>
        <v/>
      </c>
      <c r="V1865" s="122" t="n">
        <v>22</v>
      </c>
      <c r="W1865" s="122" t="n">
        <v>17</v>
      </c>
      <c r="X1865" s="124">
        <f>IFERROR(W1865/S1865,"")</f>
        <v/>
      </c>
      <c r="Y1865" s="121">
        <f>IFERROR(R1865/W1865,"")</f>
        <v/>
      </c>
      <c r="Z1865" s="121">
        <f>IFERROR(R1865/S1865*1000,"")</f>
        <v/>
      </c>
      <c r="AA1865" s="122" t="n">
        <v>11</v>
      </c>
      <c r="AB1865" s="54">
        <f>IFERROR(AA1865/W1865,"")</f>
        <v/>
      </c>
      <c r="AC1865" s="122" t="n">
        <v>0</v>
      </c>
      <c r="AD1865" s="122" t="n">
        <v>0</v>
      </c>
      <c r="AE1865" s="122" t="n">
        <v>0</v>
      </c>
      <c r="AF1865" s="122" t="n">
        <v>0</v>
      </c>
      <c r="AG1865" s="122" t="n">
        <v>0</v>
      </c>
      <c r="AH1865" s="122" t="n">
        <v>0</v>
      </c>
      <c r="AI1865" s="54">
        <f>IFERROR(AC1865/S1865,"")</f>
        <v/>
      </c>
      <c r="AJ1865" s="54">
        <f>IFERROR(AH1865/S1865,"")</f>
        <v/>
      </c>
      <c r="AK1865" s="122" t="n">
        <v>29</v>
      </c>
      <c r="AL1865" s="122" t="n">
        <v>0</v>
      </c>
      <c r="AM1865" s="124">
        <f>IFERROR(AL1865/AA1865,"")</f>
        <v/>
      </c>
      <c r="AN1865" s="125">
        <f>IFERROR(R1865/AL1865,"")</f>
        <v/>
      </c>
      <c r="AO1865" s="122" t="n">
        <v>0</v>
      </c>
      <c r="AP1865" s="54">
        <f>IFERROR(AO1865/AL1865,"")</f>
        <v/>
      </c>
      <c r="AQ1865" s="125">
        <f>IFERROR(R1865/AO1865,"")</f>
        <v/>
      </c>
      <c r="AR1865" s="122" t="n">
        <v>0</v>
      </c>
      <c r="AS1865" s="122" t="n">
        <v>0</v>
      </c>
      <c r="AT1865" s="122">
        <f>AL1865+AR1865</f>
        <v/>
      </c>
      <c r="AU1865" s="125">
        <f>IFERROR(AO1865*Assumptions!$C$26*Assumptions!$C$27*INDEX(Assumptions!$C$18:$C$21,MATCH(H1865,Assumptions!$B$18:$B$21,0)),0)</f>
        <v/>
      </c>
    </row>
    <row r="1866">
      <c r="A1866" s="120" t="n">
        <v>46240</v>
      </c>
      <c r="B1866" s="66" t="inlineStr">
        <is>
          <t>Wk 32</t>
        </is>
      </c>
      <c r="C1866" s="66" t="inlineStr">
        <is>
          <t>Thu</t>
        </is>
      </c>
      <c r="D1866" s="66" t="inlineStr">
        <is>
          <t>Programmatic</t>
        </is>
      </c>
      <c r="E1866" s="66" t="inlineStr">
        <is>
          <t>DV360</t>
        </is>
      </c>
      <c r="F1866" s="66" t="inlineStr">
        <is>
          <t>LEP_ZA_AUG26_PROG_TD_PROSPECT_DISPLAY</t>
        </is>
      </c>
      <c r="G1866" s="66" t="inlineStr">
        <is>
          <t>Display Prospecting</t>
        </is>
      </c>
      <c r="H1866" s="66" t="inlineStr">
        <is>
          <t>Range</t>
        </is>
      </c>
      <c r="I1866" s="66" t="inlineStr">
        <is>
          <t>Range Offer</t>
        </is>
      </c>
      <c r="J1866" s="66" t="inlineStr">
        <is>
          <t>PROG_3PD_INMKT_AUTO</t>
        </is>
      </c>
      <c r="K1866" s="66" t="inlineStr">
        <is>
          <t>In-Market</t>
        </is>
      </c>
      <c r="L1866" s="66" t="inlineStr">
        <is>
          <t>PROG_HTML5_300x250_Range_v1</t>
        </is>
      </c>
      <c r="M1866" s="66" t="inlineStr">
        <is>
          <t>HTML5 Display 300x250</t>
        </is>
      </c>
      <c r="N1866" s="66" t="inlineStr">
        <is>
          <t>Book a Lepas test drive</t>
        </is>
      </c>
      <c r="O1866" s="66" t="inlineStr">
        <is>
          <t>Programmatic Guaranteed / OA</t>
        </is>
      </c>
      <c r="P1866" s="66" t="inlineStr">
        <is>
          <t>Conversions (CPA)</t>
        </is>
      </c>
      <c r="Q1866" s="66" t="inlineStr">
        <is>
          <t>https://www.lepas-sa.co.za/offers</t>
        </is>
      </c>
      <c r="R1866" s="121" t="n">
        <v>142.84</v>
      </c>
      <c r="S1866" s="122" t="n">
        <v>5597</v>
      </c>
      <c r="T1866" s="122" t="n">
        <v>2740</v>
      </c>
      <c r="U1866" s="123">
        <f>IFERROR(S1866/T1866,"")</f>
        <v/>
      </c>
      <c r="V1866" s="122" t="n">
        <v>12</v>
      </c>
      <c r="W1866" s="122" t="n">
        <v>9</v>
      </c>
      <c r="X1866" s="124">
        <f>IFERROR(W1866/S1866,"")</f>
        <v/>
      </c>
      <c r="Y1866" s="121">
        <f>IFERROR(R1866/W1866,"")</f>
        <v/>
      </c>
      <c r="Z1866" s="121">
        <f>IFERROR(R1866/S1866*1000,"")</f>
        <v/>
      </c>
      <c r="AA1866" s="122" t="n">
        <v>6</v>
      </c>
      <c r="AB1866" s="54">
        <f>IFERROR(AA1866/W1866,"")</f>
        <v/>
      </c>
      <c r="AC1866" s="122" t="n">
        <v>0</v>
      </c>
      <c r="AD1866" s="122" t="n">
        <v>0</v>
      </c>
      <c r="AE1866" s="122" t="n">
        <v>0</v>
      </c>
      <c r="AF1866" s="122" t="n">
        <v>0</v>
      </c>
      <c r="AG1866" s="122" t="n">
        <v>0</v>
      </c>
      <c r="AH1866" s="122" t="n">
        <v>0</v>
      </c>
      <c r="AI1866" s="54">
        <f>IFERROR(AC1866/S1866,"")</f>
        <v/>
      </c>
      <c r="AJ1866" s="54">
        <f>IFERROR(AH1866/S1866,"")</f>
        <v/>
      </c>
      <c r="AK1866" s="122" t="n">
        <v>24</v>
      </c>
      <c r="AL1866" s="122" t="n">
        <v>0</v>
      </c>
      <c r="AM1866" s="124">
        <f>IFERROR(AL1866/AA1866,"")</f>
        <v/>
      </c>
      <c r="AN1866" s="125">
        <f>IFERROR(R1866/AL1866,"")</f>
        <v/>
      </c>
      <c r="AO1866" s="122" t="n">
        <v>0</v>
      </c>
      <c r="AP1866" s="54">
        <f>IFERROR(AO1866/AL1866,"")</f>
        <v/>
      </c>
      <c r="AQ1866" s="125">
        <f>IFERROR(R1866/AO1866,"")</f>
        <v/>
      </c>
      <c r="AR1866" s="122" t="n">
        <v>0</v>
      </c>
      <c r="AS1866" s="122" t="n">
        <v>0</v>
      </c>
      <c r="AT1866" s="122">
        <f>AL1866+AR1866</f>
        <v/>
      </c>
      <c r="AU1866" s="125">
        <f>IFERROR(AO1866*Assumptions!$C$26*Assumptions!$C$27*INDEX(Assumptions!$C$18:$C$21,MATCH(H1866,Assumptions!$B$18:$B$21,0)),0)</f>
        <v/>
      </c>
    </row>
    <row r="1867">
      <c r="A1867" s="120" t="n">
        <v>46241</v>
      </c>
      <c r="B1867" s="66" t="inlineStr">
        <is>
          <t>Wk 32</t>
        </is>
      </c>
      <c r="C1867" s="66" t="inlineStr">
        <is>
          <t>Fri</t>
        </is>
      </c>
      <c r="D1867" s="66" t="inlineStr">
        <is>
          <t>Programmatic</t>
        </is>
      </c>
      <c r="E1867" s="66" t="inlineStr">
        <is>
          <t>DV360</t>
        </is>
      </c>
      <c r="F1867" s="66" t="inlineStr">
        <is>
          <t>LEP_ZA_AUG26_PROG_TD_PROSPECT_DISPLAY</t>
        </is>
      </c>
      <c r="G1867" s="66" t="inlineStr">
        <is>
          <t>Display Prospecting</t>
        </is>
      </c>
      <c r="H1867" s="66" t="inlineStr">
        <is>
          <t>Range</t>
        </is>
      </c>
      <c r="I1867" s="66" t="inlineStr">
        <is>
          <t>Range Offer</t>
        </is>
      </c>
      <c r="J1867" s="66" t="inlineStr">
        <is>
          <t>PROG_3PD_INMKT_AUTO</t>
        </is>
      </c>
      <c r="K1867" s="66" t="inlineStr">
        <is>
          <t>In-Market</t>
        </is>
      </c>
      <c r="L1867" s="66" t="inlineStr">
        <is>
          <t>PROG_HTML5_300x250_Range_v1</t>
        </is>
      </c>
      <c r="M1867" s="66" t="inlineStr">
        <is>
          <t>HTML5 Display 300x250</t>
        </is>
      </c>
      <c r="N1867" s="66" t="inlineStr">
        <is>
          <t>Book a Lepas test drive</t>
        </is>
      </c>
      <c r="O1867" s="66" t="inlineStr">
        <is>
          <t>Programmatic Guaranteed / OA</t>
        </is>
      </c>
      <c r="P1867" s="66" t="inlineStr">
        <is>
          <t>Conversions (CPA)</t>
        </is>
      </c>
      <c r="Q1867" s="66" t="inlineStr">
        <is>
          <t>https://www.lepas-sa.co.za/offers</t>
        </is>
      </c>
      <c r="R1867" s="121" t="n">
        <v>151.85</v>
      </c>
      <c r="S1867" s="122" t="n">
        <v>6035</v>
      </c>
      <c r="T1867" s="122" t="n">
        <v>3750</v>
      </c>
      <c r="U1867" s="123">
        <f>IFERROR(S1867/T1867,"")</f>
        <v/>
      </c>
      <c r="V1867" s="122" t="n">
        <v>27</v>
      </c>
      <c r="W1867" s="122" t="n">
        <v>21</v>
      </c>
      <c r="X1867" s="124">
        <f>IFERROR(W1867/S1867,"")</f>
        <v/>
      </c>
      <c r="Y1867" s="121">
        <f>IFERROR(R1867/W1867,"")</f>
        <v/>
      </c>
      <c r="Z1867" s="121">
        <f>IFERROR(R1867/S1867*1000,"")</f>
        <v/>
      </c>
      <c r="AA1867" s="122" t="n">
        <v>14</v>
      </c>
      <c r="AB1867" s="54">
        <f>IFERROR(AA1867/W1867,"")</f>
        <v/>
      </c>
      <c r="AC1867" s="122" t="n">
        <v>0</v>
      </c>
      <c r="AD1867" s="122" t="n">
        <v>0</v>
      </c>
      <c r="AE1867" s="122" t="n">
        <v>0</v>
      </c>
      <c r="AF1867" s="122" t="n">
        <v>0</v>
      </c>
      <c r="AG1867" s="122" t="n">
        <v>0</v>
      </c>
      <c r="AH1867" s="122" t="n">
        <v>0</v>
      </c>
      <c r="AI1867" s="54">
        <f>IFERROR(AC1867/S1867,"")</f>
        <v/>
      </c>
      <c r="AJ1867" s="54">
        <f>IFERROR(AH1867/S1867,"")</f>
        <v/>
      </c>
      <c r="AK1867" s="122" t="n">
        <v>12</v>
      </c>
      <c r="AL1867" s="122" t="n">
        <v>1</v>
      </c>
      <c r="AM1867" s="124">
        <f>IFERROR(AL1867/AA1867,"")</f>
        <v/>
      </c>
      <c r="AN1867" s="125">
        <f>IFERROR(R1867/AL1867,"")</f>
        <v/>
      </c>
      <c r="AO1867" s="122" t="n">
        <v>1</v>
      </c>
      <c r="AP1867" s="54">
        <f>IFERROR(AO1867/AL1867,"")</f>
        <v/>
      </c>
      <c r="AQ1867" s="125">
        <f>IFERROR(R1867/AO1867,"")</f>
        <v/>
      </c>
      <c r="AR1867" s="122" t="n">
        <v>3</v>
      </c>
      <c r="AS1867" s="122" t="n">
        <v>1</v>
      </c>
      <c r="AT1867" s="122">
        <f>AL1867+AR1867</f>
        <v/>
      </c>
      <c r="AU1867" s="125">
        <f>IFERROR(AO1867*Assumptions!$C$26*Assumptions!$C$27*INDEX(Assumptions!$C$18:$C$21,MATCH(H1867,Assumptions!$B$18:$B$21,0)),0)</f>
        <v/>
      </c>
    </row>
    <row r="1868">
      <c r="A1868" s="120" t="n">
        <v>46242</v>
      </c>
      <c r="B1868" s="66" t="inlineStr">
        <is>
          <t>Wk 32</t>
        </is>
      </c>
      <c r="C1868" s="66" t="inlineStr">
        <is>
          <t>Sat</t>
        </is>
      </c>
      <c r="D1868" s="66" t="inlineStr">
        <is>
          <t>Programmatic</t>
        </is>
      </c>
      <c r="E1868" s="66" t="inlineStr">
        <is>
          <t>DV360</t>
        </is>
      </c>
      <c r="F1868" s="66" t="inlineStr">
        <is>
          <t>LEP_ZA_AUG26_PROG_TD_PROSPECT_DISPLAY</t>
        </is>
      </c>
      <c r="G1868" s="66" t="inlineStr">
        <is>
          <t>Display Prospecting</t>
        </is>
      </c>
      <c r="H1868" s="66" t="inlineStr">
        <is>
          <t>Range</t>
        </is>
      </c>
      <c r="I1868" s="66" t="inlineStr">
        <is>
          <t>Range Offer</t>
        </is>
      </c>
      <c r="J1868" s="66" t="inlineStr">
        <is>
          <t>PROG_3PD_INMKT_AUTO</t>
        </is>
      </c>
      <c r="K1868" s="66" t="inlineStr">
        <is>
          <t>In-Market</t>
        </is>
      </c>
      <c r="L1868" s="66" t="inlineStr">
        <is>
          <t>PROG_HTML5_300x250_Range_v1</t>
        </is>
      </c>
      <c r="M1868" s="66" t="inlineStr">
        <is>
          <t>HTML5 Display 300x250</t>
        </is>
      </c>
      <c r="N1868" s="66" t="inlineStr">
        <is>
          <t>Book a Lepas test drive</t>
        </is>
      </c>
      <c r="O1868" s="66" t="inlineStr">
        <is>
          <t>Programmatic Guaranteed / OA</t>
        </is>
      </c>
      <c r="P1868" s="66" t="inlineStr">
        <is>
          <t>Conversions (CPA)</t>
        </is>
      </c>
      <c r="Q1868" s="66" t="inlineStr">
        <is>
          <t>https://www.lepas-sa.co.za/offers</t>
        </is>
      </c>
      <c r="R1868" s="121" t="n">
        <v>192.71</v>
      </c>
      <c r="S1868" s="122" t="n">
        <v>5622</v>
      </c>
      <c r="T1868" s="122" t="n">
        <v>2761</v>
      </c>
      <c r="U1868" s="123">
        <f>IFERROR(S1868/T1868,"")</f>
        <v/>
      </c>
      <c r="V1868" s="122" t="n">
        <v>7</v>
      </c>
      <c r="W1868" s="122" t="n">
        <v>5</v>
      </c>
      <c r="X1868" s="124">
        <f>IFERROR(W1868/S1868,"")</f>
        <v/>
      </c>
      <c r="Y1868" s="121">
        <f>IFERROR(R1868/W1868,"")</f>
        <v/>
      </c>
      <c r="Z1868" s="121">
        <f>IFERROR(R1868/S1868*1000,"")</f>
        <v/>
      </c>
      <c r="AA1868" s="122" t="n">
        <v>3</v>
      </c>
      <c r="AB1868" s="54">
        <f>IFERROR(AA1868/W1868,"")</f>
        <v/>
      </c>
      <c r="AC1868" s="122" t="n">
        <v>0</v>
      </c>
      <c r="AD1868" s="122" t="n">
        <v>0</v>
      </c>
      <c r="AE1868" s="122" t="n">
        <v>0</v>
      </c>
      <c r="AF1868" s="122" t="n">
        <v>0</v>
      </c>
      <c r="AG1868" s="122" t="n">
        <v>0</v>
      </c>
      <c r="AH1868" s="122" t="n">
        <v>0</v>
      </c>
      <c r="AI1868" s="54">
        <f>IFERROR(AC1868/S1868,"")</f>
        <v/>
      </c>
      <c r="AJ1868" s="54">
        <f>IFERROR(AH1868/S1868,"")</f>
        <v/>
      </c>
      <c r="AK1868" s="122" t="n">
        <v>31</v>
      </c>
      <c r="AL1868" s="122" t="n">
        <v>0</v>
      </c>
      <c r="AM1868" s="124">
        <f>IFERROR(AL1868/AA1868,"")</f>
        <v/>
      </c>
      <c r="AN1868" s="125">
        <f>IFERROR(R1868/AL1868,"")</f>
        <v/>
      </c>
      <c r="AO1868" s="122" t="n">
        <v>0</v>
      </c>
      <c r="AP1868" s="54">
        <f>IFERROR(AO1868/AL1868,"")</f>
        <v/>
      </c>
      <c r="AQ1868" s="125">
        <f>IFERROR(R1868/AO1868,"")</f>
        <v/>
      </c>
      <c r="AR1868" s="122" t="n">
        <v>0</v>
      </c>
      <c r="AS1868" s="122" t="n">
        <v>0</v>
      </c>
      <c r="AT1868" s="122">
        <f>AL1868+AR1868</f>
        <v/>
      </c>
      <c r="AU1868" s="125">
        <f>IFERROR(AO1868*Assumptions!$C$26*Assumptions!$C$27*INDEX(Assumptions!$C$18:$C$21,MATCH(H1868,Assumptions!$B$18:$B$21,0)),0)</f>
        <v/>
      </c>
    </row>
    <row r="1869">
      <c r="A1869" s="120" t="n">
        <v>46243</v>
      </c>
      <c r="B1869" s="66" t="inlineStr">
        <is>
          <t>Wk 32</t>
        </is>
      </c>
      <c r="C1869" s="66" t="inlineStr">
        <is>
          <t>Sun</t>
        </is>
      </c>
      <c r="D1869" s="66" t="inlineStr">
        <is>
          <t>Programmatic</t>
        </is>
      </c>
      <c r="E1869" s="66" t="inlineStr">
        <is>
          <t>DV360</t>
        </is>
      </c>
      <c r="F1869" s="66" t="inlineStr">
        <is>
          <t>LEP_ZA_AUG26_PROG_TD_PROSPECT_DISPLAY</t>
        </is>
      </c>
      <c r="G1869" s="66" t="inlineStr">
        <is>
          <t>Display Prospecting</t>
        </is>
      </c>
      <c r="H1869" s="66" t="inlineStr">
        <is>
          <t>Range</t>
        </is>
      </c>
      <c r="I1869" s="66" t="inlineStr">
        <is>
          <t>Range Offer</t>
        </is>
      </c>
      <c r="J1869" s="66" t="inlineStr">
        <is>
          <t>PROG_3PD_INMKT_AUTO</t>
        </is>
      </c>
      <c r="K1869" s="66" t="inlineStr">
        <is>
          <t>In-Market</t>
        </is>
      </c>
      <c r="L1869" s="66" t="inlineStr">
        <is>
          <t>PROG_HTML5_300x250_Range_v1</t>
        </is>
      </c>
      <c r="M1869" s="66" t="inlineStr">
        <is>
          <t>HTML5 Display 300x250</t>
        </is>
      </c>
      <c r="N1869" s="66" t="inlineStr">
        <is>
          <t>Book a Lepas test drive</t>
        </is>
      </c>
      <c r="O1869" s="66" t="inlineStr">
        <is>
          <t>Programmatic Guaranteed / OA</t>
        </is>
      </c>
      <c r="P1869" s="66" t="inlineStr">
        <is>
          <t>Conversions (CPA)</t>
        </is>
      </c>
      <c r="Q1869" s="66" t="inlineStr">
        <is>
          <t>https://www.lepas-sa.co.za/offers</t>
        </is>
      </c>
      <c r="R1869" s="121" t="n">
        <v>120.96</v>
      </c>
      <c r="S1869" s="122" t="n">
        <v>3643</v>
      </c>
      <c r="T1869" s="122" t="n">
        <v>1620</v>
      </c>
      <c r="U1869" s="123">
        <f>IFERROR(S1869/T1869,"")</f>
        <v/>
      </c>
      <c r="V1869" s="122" t="n">
        <v>9</v>
      </c>
      <c r="W1869" s="122" t="n">
        <v>7</v>
      </c>
      <c r="X1869" s="124">
        <f>IFERROR(W1869/S1869,"")</f>
        <v/>
      </c>
      <c r="Y1869" s="121">
        <f>IFERROR(R1869/W1869,"")</f>
        <v/>
      </c>
      <c r="Z1869" s="121">
        <f>IFERROR(R1869/S1869*1000,"")</f>
        <v/>
      </c>
      <c r="AA1869" s="122" t="n">
        <v>4</v>
      </c>
      <c r="AB1869" s="54">
        <f>IFERROR(AA1869/W1869,"")</f>
        <v/>
      </c>
      <c r="AC1869" s="122" t="n">
        <v>0</v>
      </c>
      <c r="AD1869" s="122" t="n">
        <v>0</v>
      </c>
      <c r="AE1869" s="122" t="n">
        <v>0</v>
      </c>
      <c r="AF1869" s="122" t="n">
        <v>0</v>
      </c>
      <c r="AG1869" s="122" t="n">
        <v>0</v>
      </c>
      <c r="AH1869" s="122" t="n">
        <v>0</v>
      </c>
      <c r="AI1869" s="54">
        <f>IFERROR(AC1869/S1869,"")</f>
        <v/>
      </c>
      <c r="AJ1869" s="54">
        <f>IFERROR(AH1869/S1869,"")</f>
        <v/>
      </c>
      <c r="AK1869" s="122" t="n">
        <v>10</v>
      </c>
      <c r="AL1869" s="122" t="n">
        <v>1</v>
      </c>
      <c r="AM1869" s="124">
        <f>IFERROR(AL1869/AA1869,"")</f>
        <v/>
      </c>
      <c r="AN1869" s="125">
        <f>IFERROR(R1869/AL1869,"")</f>
        <v/>
      </c>
      <c r="AO1869" s="122" t="n">
        <v>1</v>
      </c>
      <c r="AP1869" s="54">
        <f>IFERROR(AO1869/AL1869,"")</f>
        <v/>
      </c>
      <c r="AQ1869" s="125">
        <f>IFERROR(R1869/AO1869,"")</f>
        <v/>
      </c>
      <c r="AR1869" s="122" t="n">
        <v>2</v>
      </c>
      <c r="AS1869" s="122" t="n">
        <v>1</v>
      </c>
      <c r="AT1869" s="122">
        <f>AL1869+AR1869</f>
        <v/>
      </c>
      <c r="AU1869" s="125">
        <f>IFERROR(AO1869*Assumptions!$C$26*Assumptions!$C$27*INDEX(Assumptions!$C$18:$C$21,MATCH(H1869,Assumptions!$B$18:$B$21,0)),0)</f>
        <v/>
      </c>
    </row>
    <row r="1870">
      <c r="A1870" s="120" t="n">
        <v>46244</v>
      </c>
      <c r="B1870" s="66" t="inlineStr">
        <is>
          <t>Wk 33</t>
        </is>
      </c>
      <c r="C1870" s="66" t="inlineStr">
        <is>
          <t>Mon</t>
        </is>
      </c>
      <c r="D1870" s="66" t="inlineStr">
        <is>
          <t>Programmatic</t>
        </is>
      </c>
      <c r="E1870" s="66" t="inlineStr">
        <is>
          <t>DV360</t>
        </is>
      </c>
      <c r="F1870" s="66" t="inlineStr">
        <is>
          <t>LEP_ZA_AUG26_PROG_TD_PROSPECT_DISPLAY</t>
        </is>
      </c>
      <c r="G1870" s="66" t="inlineStr">
        <is>
          <t>Display Prospecting</t>
        </is>
      </c>
      <c r="H1870" s="66" t="inlineStr">
        <is>
          <t>Range</t>
        </is>
      </c>
      <c r="I1870" s="66" t="inlineStr">
        <is>
          <t>Range Offer</t>
        </is>
      </c>
      <c r="J1870" s="66" t="inlineStr">
        <is>
          <t>PROG_3PD_INMKT_AUTO</t>
        </is>
      </c>
      <c r="K1870" s="66" t="inlineStr">
        <is>
          <t>In-Market</t>
        </is>
      </c>
      <c r="L1870" s="66" t="inlineStr">
        <is>
          <t>PROG_HTML5_300x250_Range_v1</t>
        </is>
      </c>
      <c r="M1870" s="66" t="inlineStr">
        <is>
          <t>HTML5 Display 300x250</t>
        </is>
      </c>
      <c r="N1870" s="66" t="inlineStr">
        <is>
          <t>Book a Lepas test drive</t>
        </is>
      </c>
      <c r="O1870" s="66" t="inlineStr">
        <is>
          <t>Programmatic Guaranteed / OA</t>
        </is>
      </c>
      <c r="P1870" s="66" t="inlineStr">
        <is>
          <t>Conversions (CPA)</t>
        </is>
      </c>
      <c r="Q1870" s="66" t="inlineStr">
        <is>
          <t>https://www.lepas-sa.co.za/offers</t>
        </is>
      </c>
      <c r="R1870" s="121" t="n">
        <v>163.22</v>
      </c>
      <c r="S1870" s="122" t="n">
        <v>5995</v>
      </c>
      <c r="T1870" s="122" t="n">
        <v>3164</v>
      </c>
      <c r="U1870" s="123">
        <f>IFERROR(S1870/T1870,"")</f>
        <v/>
      </c>
      <c r="V1870" s="122" t="n">
        <v>7</v>
      </c>
      <c r="W1870" s="122" t="n">
        <v>6</v>
      </c>
      <c r="X1870" s="124">
        <f>IFERROR(W1870/S1870,"")</f>
        <v/>
      </c>
      <c r="Y1870" s="121">
        <f>IFERROR(R1870/W1870,"")</f>
        <v/>
      </c>
      <c r="Z1870" s="121">
        <f>IFERROR(R1870/S1870*1000,"")</f>
        <v/>
      </c>
      <c r="AA1870" s="122" t="n">
        <v>4</v>
      </c>
      <c r="AB1870" s="54">
        <f>IFERROR(AA1870/W1870,"")</f>
        <v/>
      </c>
      <c r="AC1870" s="122" t="n">
        <v>0</v>
      </c>
      <c r="AD1870" s="122" t="n">
        <v>0</v>
      </c>
      <c r="AE1870" s="122" t="n">
        <v>0</v>
      </c>
      <c r="AF1870" s="122" t="n">
        <v>0</v>
      </c>
      <c r="AG1870" s="122" t="n">
        <v>0</v>
      </c>
      <c r="AH1870" s="122" t="n">
        <v>0</v>
      </c>
      <c r="AI1870" s="54">
        <f>IFERROR(AC1870/S1870,"")</f>
        <v/>
      </c>
      <c r="AJ1870" s="54">
        <f>IFERROR(AH1870/S1870,"")</f>
        <v/>
      </c>
      <c r="AK1870" s="122" t="n">
        <v>8</v>
      </c>
      <c r="AL1870" s="122" t="n">
        <v>0</v>
      </c>
      <c r="AM1870" s="124">
        <f>IFERROR(AL1870/AA1870,"")</f>
        <v/>
      </c>
      <c r="AN1870" s="125">
        <f>IFERROR(R1870/AL1870,"")</f>
        <v/>
      </c>
      <c r="AO1870" s="122" t="n">
        <v>0</v>
      </c>
      <c r="AP1870" s="54">
        <f>IFERROR(AO1870/AL1870,"")</f>
        <v/>
      </c>
      <c r="AQ1870" s="125">
        <f>IFERROR(R1870/AO1870,"")</f>
        <v/>
      </c>
      <c r="AR1870" s="122" t="n">
        <v>0</v>
      </c>
      <c r="AS1870" s="122" t="n">
        <v>0</v>
      </c>
      <c r="AT1870" s="122">
        <f>AL1870+AR1870</f>
        <v/>
      </c>
      <c r="AU1870" s="125">
        <f>IFERROR(AO1870*Assumptions!$C$26*Assumptions!$C$27*INDEX(Assumptions!$C$18:$C$21,MATCH(H1870,Assumptions!$B$18:$B$21,0)),0)</f>
        <v/>
      </c>
    </row>
    <row r="1871">
      <c r="A1871" s="120" t="n">
        <v>46245</v>
      </c>
      <c r="B1871" s="66" t="inlineStr">
        <is>
          <t>Wk 33</t>
        </is>
      </c>
      <c r="C1871" s="66" t="inlineStr">
        <is>
          <t>Tue</t>
        </is>
      </c>
      <c r="D1871" s="66" t="inlineStr">
        <is>
          <t>Programmatic</t>
        </is>
      </c>
      <c r="E1871" s="66" t="inlineStr">
        <is>
          <t>DV360</t>
        </is>
      </c>
      <c r="F1871" s="66" t="inlineStr">
        <is>
          <t>LEP_ZA_AUG26_PROG_TD_PROSPECT_DISPLAY</t>
        </is>
      </c>
      <c r="G1871" s="66" t="inlineStr">
        <is>
          <t>Display Prospecting</t>
        </is>
      </c>
      <c r="H1871" s="66" t="inlineStr">
        <is>
          <t>Range</t>
        </is>
      </c>
      <c r="I1871" s="66" t="inlineStr">
        <is>
          <t>Range Offer</t>
        </is>
      </c>
      <c r="J1871" s="66" t="inlineStr">
        <is>
          <t>PROG_3PD_INMKT_AUTO</t>
        </is>
      </c>
      <c r="K1871" s="66" t="inlineStr">
        <is>
          <t>In-Market</t>
        </is>
      </c>
      <c r="L1871" s="66" t="inlineStr">
        <is>
          <t>PROG_HTML5_300x250_Range_v1</t>
        </is>
      </c>
      <c r="M1871" s="66" t="inlineStr">
        <is>
          <t>HTML5 Display 300x250</t>
        </is>
      </c>
      <c r="N1871" s="66" t="inlineStr">
        <is>
          <t>Book a Lepas test drive</t>
        </is>
      </c>
      <c r="O1871" s="66" t="inlineStr">
        <is>
          <t>Programmatic Guaranteed / OA</t>
        </is>
      </c>
      <c r="P1871" s="66" t="inlineStr">
        <is>
          <t>Conversions (CPA)</t>
        </is>
      </c>
      <c r="Q1871" s="66" t="inlineStr">
        <is>
          <t>https://www.lepas-sa.co.za/offers</t>
        </is>
      </c>
      <c r="R1871" s="121" t="n">
        <v>125.62</v>
      </c>
      <c r="S1871" s="122" t="n">
        <v>2916</v>
      </c>
      <c r="T1871" s="122" t="n">
        <v>1561</v>
      </c>
      <c r="U1871" s="123">
        <f>IFERROR(S1871/T1871,"")</f>
        <v/>
      </c>
      <c r="V1871" s="122" t="n">
        <v>7</v>
      </c>
      <c r="W1871" s="122" t="n">
        <v>5</v>
      </c>
      <c r="X1871" s="124">
        <f>IFERROR(W1871/S1871,"")</f>
        <v/>
      </c>
      <c r="Y1871" s="121">
        <f>IFERROR(R1871/W1871,"")</f>
        <v/>
      </c>
      <c r="Z1871" s="121">
        <f>IFERROR(R1871/S1871*1000,"")</f>
        <v/>
      </c>
      <c r="AA1871" s="122" t="n">
        <v>4</v>
      </c>
      <c r="AB1871" s="54">
        <f>IFERROR(AA1871/W1871,"")</f>
        <v/>
      </c>
      <c r="AC1871" s="122" t="n">
        <v>0</v>
      </c>
      <c r="AD1871" s="122" t="n">
        <v>0</v>
      </c>
      <c r="AE1871" s="122" t="n">
        <v>0</v>
      </c>
      <c r="AF1871" s="122" t="n">
        <v>0</v>
      </c>
      <c r="AG1871" s="122" t="n">
        <v>0</v>
      </c>
      <c r="AH1871" s="122" t="n">
        <v>0</v>
      </c>
      <c r="AI1871" s="54">
        <f>IFERROR(AC1871/S1871,"")</f>
        <v/>
      </c>
      <c r="AJ1871" s="54">
        <f>IFERROR(AH1871/S1871,"")</f>
        <v/>
      </c>
      <c r="AK1871" s="122" t="n">
        <v>6</v>
      </c>
      <c r="AL1871" s="122" t="n">
        <v>0</v>
      </c>
      <c r="AM1871" s="124">
        <f>IFERROR(AL1871/AA1871,"")</f>
        <v/>
      </c>
      <c r="AN1871" s="125">
        <f>IFERROR(R1871/AL1871,"")</f>
        <v/>
      </c>
      <c r="AO1871" s="122" t="n">
        <v>0</v>
      </c>
      <c r="AP1871" s="54">
        <f>IFERROR(AO1871/AL1871,"")</f>
        <v/>
      </c>
      <c r="AQ1871" s="125">
        <f>IFERROR(R1871/AO1871,"")</f>
        <v/>
      </c>
      <c r="AR1871" s="122" t="n">
        <v>0</v>
      </c>
      <c r="AS1871" s="122" t="n">
        <v>0</v>
      </c>
      <c r="AT1871" s="122">
        <f>AL1871+AR1871</f>
        <v/>
      </c>
      <c r="AU1871" s="125">
        <f>IFERROR(AO1871*Assumptions!$C$26*Assumptions!$C$27*INDEX(Assumptions!$C$18:$C$21,MATCH(H1871,Assumptions!$B$18:$B$21,0)),0)</f>
        <v/>
      </c>
    </row>
    <row r="1872">
      <c r="A1872" s="120" t="n">
        <v>46246</v>
      </c>
      <c r="B1872" s="66" t="inlineStr">
        <is>
          <t>Wk 33</t>
        </is>
      </c>
      <c r="C1872" s="66" t="inlineStr">
        <is>
          <t>Wed</t>
        </is>
      </c>
      <c r="D1872" s="66" t="inlineStr">
        <is>
          <t>Programmatic</t>
        </is>
      </c>
      <c r="E1872" s="66" t="inlineStr">
        <is>
          <t>DV360</t>
        </is>
      </c>
      <c r="F1872" s="66" t="inlineStr">
        <is>
          <t>LEP_ZA_AUG26_PROG_TD_PROSPECT_DISPLAY</t>
        </is>
      </c>
      <c r="G1872" s="66" t="inlineStr">
        <is>
          <t>Display Prospecting</t>
        </is>
      </c>
      <c r="H1872" s="66" t="inlineStr">
        <is>
          <t>Range</t>
        </is>
      </c>
      <c r="I1872" s="66" t="inlineStr">
        <is>
          <t>Range Offer</t>
        </is>
      </c>
      <c r="J1872" s="66" t="inlineStr">
        <is>
          <t>PROG_3PD_INMKT_AUTO</t>
        </is>
      </c>
      <c r="K1872" s="66" t="inlineStr">
        <is>
          <t>In-Market</t>
        </is>
      </c>
      <c r="L1872" s="66" t="inlineStr">
        <is>
          <t>PROG_HTML5_300x250_Range_v1</t>
        </is>
      </c>
      <c r="M1872" s="66" t="inlineStr">
        <is>
          <t>HTML5 Display 300x250</t>
        </is>
      </c>
      <c r="N1872" s="66" t="inlineStr">
        <is>
          <t>Book a Lepas test drive</t>
        </is>
      </c>
      <c r="O1872" s="66" t="inlineStr">
        <is>
          <t>Programmatic Guaranteed / OA</t>
        </is>
      </c>
      <c r="P1872" s="66" t="inlineStr">
        <is>
          <t>Conversions (CPA)</t>
        </is>
      </c>
      <c r="Q1872" s="66" t="inlineStr">
        <is>
          <t>https://www.lepas-sa.co.za/offers</t>
        </is>
      </c>
      <c r="R1872" s="121" t="n">
        <v>139.27</v>
      </c>
      <c r="S1872" s="122" t="n">
        <v>3927</v>
      </c>
      <c r="T1872" s="122" t="n">
        <v>1629</v>
      </c>
      <c r="U1872" s="123">
        <f>IFERROR(S1872/T1872,"")</f>
        <v/>
      </c>
      <c r="V1872" s="122" t="n">
        <v>13</v>
      </c>
      <c r="W1872" s="122" t="n">
        <v>10</v>
      </c>
      <c r="X1872" s="124">
        <f>IFERROR(W1872/S1872,"")</f>
        <v/>
      </c>
      <c r="Y1872" s="121">
        <f>IFERROR(R1872/W1872,"")</f>
        <v/>
      </c>
      <c r="Z1872" s="121">
        <f>IFERROR(R1872/S1872*1000,"")</f>
        <v/>
      </c>
      <c r="AA1872" s="122" t="n">
        <v>6</v>
      </c>
      <c r="AB1872" s="54">
        <f>IFERROR(AA1872/W1872,"")</f>
        <v/>
      </c>
      <c r="AC1872" s="122" t="n">
        <v>0</v>
      </c>
      <c r="AD1872" s="122" t="n">
        <v>0</v>
      </c>
      <c r="AE1872" s="122" t="n">
        <v>0</v>
      </c>
      <c r="AF1872" s="122" t="n">
        <v>0</v>
      </c>
      <c r="AG1872" s="122" t="n">
        <v>0</v>
      </c>
      <c r="AH1872" s="122" t="n">
        <v>0</v>
      </c>
      <c r="AI1872" s="54">
        <f>IFERROR(AC1872/S1872,"")</f>
        <v/>
      </c>
      <c r="AJ1872" s="54">
        <f>IFERROR(AH1872/S1872,"")</f>
        <v/>
      </c>
      <c r="AK1872" s="122" t="n">
        <v>9</v>
      </c>
      <c r="AL1872" s="122" t="n">
        <v>0</v>
      </c>
      <c r="AM1872" s="124">
        <f>IFERROR(AL1872/AA1872,"")</f>
        <v/>
      </c>
      <c r="AN1872" s="125">
        <f>IFERROR(R1872/AL1872,"")</f>
        <v/>
      </c>
      <c r="AO1872" s="122" t="n">
        <v>0</v>
      </c>
      <c r="AP1872" s="54">
        <f>IFERROR(AO1872/AL1872,"")</f>
        <v/>
      </c>
      <c r="AQ1872" s="125">
        <f>IFERROR(R1872/AO1872,"")</f>
        <v/>
      </c>
      <c r="AR1872" s="122" t="n">
        <v>0</v>
      </c>
      <c r="AS1872" s="122" t="n">
        <v>0</v>
      </c>
      <c r="AT1872" s="122">
        <f>AL1872+AR1872</f>
        <v/>
      </c>
      <c r="AU1872" s="125">
        <f>IFERROR(AO1872*Assumptions!$C$26*Assumptions!$C$27*INDEX(Assumptions!$C$18:$C$21,MATCH(H1872,Assumptions!$B$18:$B$21,0)),0)</f>
        <v/>
      </c>
    </row>
    <row r="1873">
      <c r="A1873" s="120" t="n">
        <v>46247</v>
      </c>
      <c r="B1873" s="66" t="inlineStr">
        <is>
          <t>Wk 33</t>
        </is>
      </c>
      <c r="C1873" s="66" t="inlineStr">
        <is>
          <t>Thu</t>
        </is>
      </c>
      <c r="D1873" s="66" t="inlineStr">
        <is>
          <t>Programmatic</t>
        </is>
      </c>
      <c r="E1873" s="66" t="inlineStr">
        <is>
          <t>DV360</t>
        </is>
      </c>
      <c r="F1873" s="66" t="inlineStr">
        <is>
          <t>LEP_ZA_AUG26_PROG_TD_PROSPECT_DISPLAY</t>
        </is>
      </c>
      <c r="G1873" s="66" t="inlineStr">
        <is>
          <t>Display Prospecting</t>
        </is>
      </c>
      <c r="H1873" s="66" t="inlineStr">
        <is>
          <t>Range</t>
        </is>
      </c>
      <c r="I1873" s="66" t="inlineStr">
        <is>
          <t>Range Offer</t>
        </is>
      </c>
      <c r="J1873" s="66" t="inlineStr">
        <is>
          <t>PROG_3PD_INMKT_AUTO</t>
        </is>
      </c>
      <c r="K1873" s="66" t="inlineStr">
        <is>
          <t>In-Market</t>
        </is>
      </c>
      <c r="L1873" s="66" t="inlineStr">
        <is>
          <t>PROG_HTML5_300x250_Range_v1</t>
        </is>
      </c>
      <c r="M1873" s="66" t="inlineStr">
        <is>
          <t>HTML5 Display 300x250</t>
        </is>
      </c>
      <c r="N1873" s="66" t="inlineStr">
        <is>
          <t>Book a Lepas test drive</t>
        </is>
      </c>
      <c r="O1873" s="66" t="inlineStr">
        <is>
          <t>Programmatic Guaranteed / OA</t>
        </is>
      </c>
      <c r="P1873" s="66" t="inlineStr">
        <is>
          <t>Conversions (CPA)</t>
        </is>
      </c>
      <c r="Q1873" s="66" t="inlineStr">
        <is>
          <t>https://www.lepas-sa.co.za/offers</t>
        </is>
      </c>
      <c r="R1873" s="121" t="n">
        <v>139.62</v>
      </c>
      <c r="S1873" s="122" t="n">
        <v>3552</v>
      </c>
      <c r="T1873" s="122" t="n">
        <v>2325</v>
      </c>
      <c r="U1873" s="123">
        <f>IFERROR(S1873/T1873,"")</f>
        <v/>
      </c>
      <c r="V1873" s="122" t="n">
        <v>15</v>
      </c>
      <c r="W1873" s="122" t="n">
        <v>12</v>
      </c>
      <c r="X1873" s="124">
        <f>IFERROR(W1873/S1873,"")</f>
        <v/>
      </c>
      <c r="Y1873" s="121">
        <f>IFERROR(R1873/W1873,"")</f>
        <v/>
      </c>
      <c r="Z1873" s="121">
        <f>IFERROR(R1873/S1873*1000,"")</f>
        <v/>
      </c>
      <c r="AA1873" s="122" t="n">
        <v>8</v>
      </c>
      <c r="AB1873" s="54">
        <f>IFERROR(AA1873/W1873,"")</f>
        <v/>
      </c>
      <c r="AC1873" s="122" t="n">
        <v>0</v>
      </c>
      <c r="AD1873" s="122" t="n">
        <v>0</v>
      </c>
      <c r="AE1873" s="122" t="n">
        <v>0</v>
      </c>
      <c r="AF1873" s="122" t="n">
        <v>0</v>
      </c>
      <c r="AG1873" s="122" t="n">
        <v>0</v>
      </c>
      <c r="AH1873" s="122" t="n">
        <v>0</v>
      </c>
      <c r="AI1873" s="54">
        <f>IFERROR(AC1873/S1873,"")</f>
        <v/>
      </c>
      <c r="AJ1873" s="54">
        <f>IFERROR(AH1873/S1873,"")</f>
        <v/>
      </c>
      <c r="AK1873" s="122" t="n">
        <v>15</v>
      </c>
      <c r="AL1873" s="122" t="n">
        <v>0</v>
      </c>
      <c r="AM1873" s="124">
        <f>IFERROR(AL1873/AA1873,"")</f>
        <v/>
      </c>
      <c r="AN1873" s="125">
        <f>IFERROR(R1873/AL1873,"")</f>
        <v/>
      </c>
      <c r="AO1873" s="122" t="n">
        <v>0</v>
      </c>
      <c r="AP1873" s="54">
        <f>IFERROR(AO1873/AL1873,"")</f>
        <v/>
      </c>
      <c r="AQ1873" s="125">
        <f>IFERROR(R1873/AO1873,"")</f>
        <v/>
      </c>
      <c r="AR1873" s="122" t="n">
        <v>0</v>
      </c>
      <c r="AS1873" s="122" t="n">
        <v>0</v>
      </c>
      <c r="AT1873" s="122">
        <f>AL1873+AR1873</f>
        <v/>
      </c>
      <c r="AU1873" s="125">
        <f>IFERROR(AO1873*Assumptions!$C$26*Assumptions!$C$27*INDEX(Assumptions!$C$18:$C$21,MATCH(H1873,Assumptions!$B$18:$B$21,0)),0)</f>
        <v/>
      </c>
    </row>
    <row r="1874">
      <c r="A1874" s="120" t="n">
        <v>46248</v>
      </c>
      <c r="B1874" s="66" t="inlineStr">
        <is>
          <t>Wk 33</t>
        </is>
      </c>
      <c r="C1874" s="66" t="inlineStr">
        <is>
          <t>Fri</t>
        </is>
      </c>
      <c r="D1874" s="66" t="inlineStr">
        <is>
          <t>Programmatic</t>
        </is>
      </c>
      <c r="E1874" s="66" t="inlineStr">
        <is>
          <t>DV360</t>
        </is>
      </c>
      <c r="F1874" s="66" t="inlineStr">
        <is>
          <t>LEP_ZA_AUG26_PROG_TD_PROSPECT_DISPLAY</t>
        </is>
      </c>
      <c r="G1874" s="66" t="inlineStr">
        <is>
          <t>Display Prospecting</t>
        </is>
      </c>
      <c r="H1874" s="66" t="inlineStr">
        <is>
          <t>Range</t>
        </is>
      </c>
      <c r="I1874" s="66" t="inlineStr">
        <is>
          <t>Range Offer</t>
        </is>
      </c>
      <c r="J1874" s="66" t="inlineStr">
        <is>
          <t>PROG_3PD_INMKT_AUTO</t>
        </is>
      </c>
      <c r="K1874" s="66" t="inlineStr">
        <is>
          <t>In-Market</t>
        </is>
      </c>
      <c r="L1874" s="66" t="inlineStr">
        <is>
          <t>PROG_HTML5_300x250_Range_v1</t>
        </is>
      </c>
      <c r="M1874" s="66" t="inlineStr">
        <is>
          <t>HTML5 Display 300x250</t>
        </is>
      </c>
      <c r="N1874" s="66" t="inlineStr">
        <is>
          <t>Book a Lepas test drive</t>
        </is>
      </c>
      <c r="O1874" s="66" t="inlineStr">
        <is>
          <t>Programmatic Guaranteed / OA</t>
        </is>
      </c>
      <c r="P1874" s="66" t="inlineStr">
        <is>
          <t>Conversions (CPA)</t>
        </is>
      </c>
      <c r="Q1874" s="66" t="inlineStr">
        <is>
          <t>https://www.lepas-sa.co.za/offers</t>
        </is>
      </c>
      <c r="R1874" s="121" t="n">
        <v>165.91</v>
      </c>
      <c r="S1874" s="122" t="n">
        <v>6600</v>
      </c>
      <c r="T1874" s="122" t="n">
        <v>4319</v>
      </c>
      <c r="U1874" s="123">
        <f>IFERROR(S1874/T1874,"")</f>
        <v/>
      </c>
      <c r="V1874" s="122" t="n">
        <v>18</v>
      </c>
      <c r="W1874" s="122" t="n">
        <v>14</v>
      </c>
      <c r="X1874" s="124">
        <f>IFERROR(W1874/S1874,"")</f>
        <v/>
      </c>
      <c r="Y1874" s="121">
        <f>IFERROR(R1874/W1874,"")</f>
        <v/>
      </c>
      <c r="Z1874" s="121">
        <f>IFERROR(R1874/S1874*1000,"")</f>
        <v/>
      </c>
      <c r="AA1874" s="122" t="n">
        <v>9</v>
      </c>
      <c r="AB1874" s="54">
        <f>IFERROR(AA1874/W1874,"")</f>
        <v/>
      </c>
      <c r="AC1874" s="122" t="n">
        <v>0</v>
      </c>
      <c r="AD1874" s="122" t="n">
        <v>0</v>
      </c>
      <c r="AE1874" s="122" t="n">
        <v>0</v>
      </c>
      <c r="AF1874" s="122" t="n">
        <v>0</v>
      </c>
      <c r="AG1874" s="122" t="n">
        <v>0</v>
      </c>
      <c r="AH1874" s="122" t="n">
        <v>0</v>
      </c>
      <c r="AI1874" s="54">
        <f>IFERROR(AC1874/S1874,"")</f>
        <v/>
      </c>
      <c r="AJ1874" s="54">
        <f>IFERROR(AH1874/S1874,"")</f>
        <v/>
      </c>
      <c r="AK1874" s="122" t="n">
        <v>8</v>
      </c>
      <c r="AL1874" s="122" t="n">
        <v>0</v>
      </c>
      <c r="AM1874" s="124">
        <f>IFERROR(AL1874/AA1874,"")</f>
        <v/>
      </c>
      <c r="AN1874" s="125">
        <f>IFERROR(R1874/AL1874,"")</f>
        <v/>
      </c>
      <c r="AO1874" s="122" t="n">
        <v>0</v>
      </c>
      <c r="AP1874" s="54">
        <f>IFERROR(AO1874/AL1874,"")</f>
        <v/>
      </c>
      <c r="AQ1874" s="125">
        <f>IFERROR(R1874/AO1874,"")</f>
        <v/>
      </c>
      <c r="AR1874" s="122" t="n">
        <v>0</v>
      </c>
      <c r="AS1874" s="122" t="n">
        <v>0</v>
      </c>
      <c r="AT1874" s="122">
        <f>AL1874+AR1874</f>
        <v/>
      </c>
      <c r="AU1874" s="125">
        <f>IFERROR(AO1874*Assumptions!$C$26*Assumptions!$C$27*INDEX(Assumptions!$C$18:$C$21,MATCH(H1874,Assumptions!$B$18:$B$21,0)),0)</f>
        <v/>
      </c>
    </row>
    <row r="1875">
      <c r="A1875" s="120" t="n">
        <v>46249</v>
      </c>
      <c r="B1875" s="66" t="inlineStr">
        <is>
          <t>Wk 33</t>
        </is>
      </c>
      <c r="C1875" s="66" t="inlineStr">
        <is>
          <t>Sat</t>
        </is>
      </c>
      <c r="D1875" s="66" t="inlineStr">
        <is>
          <t>Programmatic</t>
        </is>
      </c>
      <c r="E1875" s="66" t="inlineStr">
        <is>
          <t>DV360</t>
        </is>
      </c>
      <c r="F1875" s="66" t="inlineStr">
        <is>
          <t>LEP_ZA_AUG26_PROG_TD_PROSPECT_DISPLAY</t>
        </is>
      </c>
      <c r="G1875" s="66" t="inlineStr">
        <is>
          <t>Display Prospecting</t>
        </is>
      </c>
      <c r="H1875" s="66" t="inlineStr">
        <is>
          <t>Range</t>
        </is>
      </c>
      <c r="I1875" s="66" t="inlineStr">
        <is>
          <t>Range Offer</t>
        </is>
      </c>
      <c r="J1875" s="66" t="inlineStr">
        <is>
          <t>PROG_3PD_INMKT_AUTO</t>
        </is>
      </c>
      <c r="K1875" s="66" t="inlineStr">
        <is>
          <t>In-Market</t>
        </is>
      </c>
      <c r="L1875" s="66" t="inlineStr">
        <is>
          <t>PROG_HTML5_300x250_Range_v1</t>
        </is>
      </c>
      <c r="M1875" s="66" t="inlineStr">
        <is>
          <t>HTML5 Display 300x250</t>
        </is>
      </c>
      <c r="N1875" s="66" t="inlineStr">
        <is>
          <t>Book a Lepas test drive</t>
        </is>
      </c>
      <c r="O1875" s="66" t="inlineStr">
        <is>
          <t>Programmatic Guaranteed / OA</t>
        </is>
      </c>
      <c r="P1875" s="66" t="inlineStr">
        <is>
          <t>Conversions (CPA)</t>
        </is>
      </c>
      <c r="Q1875" s="66" t="inlineStr">
        <is>
          <t>https://www.lepas-sa.co.za/offers</t>
        </is>
      </c>
      <c r="R1875" s="121" t="n">
        <v>168.15</v>
      </c>
      <c r="S1875" s="122" t="n">
        <v>5385</v>
      </c>
      <c r="T1875" s="122" t="n">
        <v>2309</v>
      </c>
      <c r="U1875" s="123">
        <f>IFERROR(S1875/T1875,"")</f>
        <v/>
      </c>
      <c r="V1875" s="122" t="n">
        <v>11</v>
      </c>
      <c r="W1875" s="122" t="n">
        <v>8</v>
      </c>
      <c r="X1875" s="124">
        <f>IFERROR(W1875/S1875,"")</f>
        <v/>
      </c>
      <c r="Y1875" s="121">
        <f>IFERROR(R1875/W1875,"")</f>
        <v/>
      </c>
      <c r="Z1875" s="121">
        <f>IFERROR(R1875/S1875*1000,"")</f>
        <v/>
      </c>
      <c r="AA1875" s="122" t="n">
        <v>6</v>
      </c>
      <c r="AB1875" s="54">
        <f>IFERROR(AA1875/W1875,"")</f>
        <v/>
      </c>
      <c r="AC1875" s="122" t="n">
        <v>0</v>
      </c>
      <c r="AD1875" s="122" t="n">
        <v>0</v>
      </c>
      <c r="AE1875" s="122" t="n">
        <v>0</v>
      </c>
      <c r="AF1875" s="122" t="n">
        <v>0</v>
      </c>
      <c r="AG1875" s="122" t="n">
        <v>0</v>
      </c>
      <c r="AH1875" s="122" t="n">
        <v>0</v>
      </c>
      <c r="AI1875" s="54">
        <f>IFERROR(AC1875/S1875,"")</f>
        <v/>
      </c>
      <c r="AJ1875" s="54">
        <f>IFERROR(AH1875/S1875,"")</f>
        <v/>
      </c>
      <c r="AK1875" s="122" t="n">
        <v>16</v>
      </c>
      <c r="AL1875" s="122" t="n">
        <v>0</v>
      </c>
      <c r="AM1875" s="124">
        <f>IFERROR(AL1875/AA1875,"")</f>
        <v/>
      </c>
      <c r="AN1875" s="125">
        <f>IFERROR(R1875/AL1875,"")</f>
        <v/>
      </c>
      <c r="AO1875" s="122" t="n">
        <v>0</v>
      </c>
      <c r="AP1875" s="54">
        <f>IFERROR(AO1875/AL1875,"")</f>
        <v/>
      </c>
      <c r="AQ1875" s="125">
        <f>IFERROR(R1875/AO1875,"")</f>
        <v/>
      </c>
      <c r="AR1875" s="122" t="n">
        <v>0</v>
      </c>
      <c r="AS1875" s="122" t="n">
        <v>0</v>
      </c>
      <c r="AT1875" s="122">
        <f>AL1875+AR1875</f>
        <v/>
      </c>
      <c r="AU1875" s="125">
        <f>IFERROR(AO1875*Assumptions!$C$26*Assumptions!$C$27*INDEX(Assumptions!$C$18:$C$21,MATCH(H1875,Assumptions!$B$18:$B$21,0)),0)</f>
        <v/>
      </c>
    </row>
    <row r="1876">
      <c r="A1876" s="120" t="n">
        <v>46250</v>
      </c>
      <c r="B1876" s="66" t="inlineStr">
        <is>
          <t>Wk 33</t>
        </is>
      </c>
      <c r="C1876" s="66" t="inlineStr">
        <is>
          <t>Sun</t>
        </is>
      </c>
      <c r="D1876" s="66" t="inlineStr">
        <is>
          <t>Programmatic</t>
        </is>
      </c>
      <c r="E1876" s="66" t="inlineStr">
        <is>
          <t>DV360</t>
        </is>
      </c>
      <c r="F1876" s="66" t="inlineStr">
        <is>
          <t>LEP_ZA_AUG26_PROG_TD_PROSPECT_DISPLAY</t>
        </is>
      </c>
      <c r="G1876" s="66" t="inlineStr">
        <is>
          <t>Display Prospecting</t>
        </is>
      </c>
      <c r="H1876" s="66" t="inlineStr">
        <is>
          <t>Range</t>
        </is>
      </c>
      <c r="I1876" s="66" t="inlineStr">
        <is>
          <t>Range Offer</t>
        </is>
      </c>
      <c r="J1876" s="66" t="inlineStr">
        <is>
          <t>PROG_3PD_INMKT_AUTO</t>
        </is>
      </c>
      <c r="K1876" s="66" t="inlineStr">
        <is>
          <t>In-Market</t>
        </is>
      </c>
      <c r="L1876" s="66" t="inlineStr">
        <is>
          <t>PROG_HTML5_300x250_Range_v1</t>
        </is>
      </c>
      <c r="M1876" s="66" t="inlineStr">
        <is>
          <t>HTML5 Display 300x250</t>
        </is>
      </c>
      <c r="N1876" s="66" t="inlineStr">
        <is>
          <t>Book a Lepas test drive</t>
        </is>
      </c>
      <c r="O1876" s="66" t="inlineStr">
        <is>
          <t>Programmatic Guaranteed / OA</t>
        </is>
      </c>
      <c r="P1876" s="66" t="inlineStr">
        <is>
          <t>Conversions (CPA)</t>
        </is>
      </c>
      <c r="Q1876" s="66" t="inlineStr">
        <is>
          <t>https://www.lepas-sa.co.za/offers</t>
        </is>
      </c>
      <c r="R1876" s="121" t="n">
        <v>131.68</v>
      </c>
      <c r="S1876" s="122" t="n">
        <v>3545</v>
      </c>
      <c r="T1876" s="122" t="n">
        <v>1532</v>
      </c>
      <c r="U1876" s="123">
        <f>IFERROR(S1876/T1876,"")</f>
        <v/>
      </c>
      <c r="V1876" s="122" t="n">
        <v>15</v>
      </c>
      <c r="W1876" s="122" t="n">
        <v>11</v>
      </c>
      <c r="X1876" s="124">
        <f>IFERROR(W1876/S1876,"")</f>
        <v/>
      </c>
      <c r="Y1876" s="121">
        <f>IFERROR(R1876/W1876,"")</f>
        <v/>
      </c>
      <c r="Z1876" s="121">
        <f>IFERROR(R1876/S1876*1000,"")</f>
        <v/>
      </c>
      <c r="AA1876" s="122" t="n">
        <v>7</v>
      </c>
      <c r="AB1876" s="54">
        <f>IFERROR(AA1876/W1876,"")</f>
        <v/>
      </c>
      <c r="AC1876" s="122" t="n">
        <v>0</v>
      </c>
      <c r="AD1876" s="122" t="n">
        <v>0</v>
      </c>
      <c r="AE1876" s="122" t="n">
        <v>0</v>
      </c>
      <c r="AF1876" s="122" t="n">
        <v>0</v>
      </c>
      <c r="AG1876" s="122" t="n">
        <v>0</v>
      </c>
      <c r="AH1876" s="122" t="n">
        <v>0</v>
      </c>
      <c r="AI1876" s="54">
        <f>IFERROR(AC1876/S1876,"")</f>
        <v/>
      </c>
      <c r="AJ1876" s="54">
        <f>IFERROR(AH1876/S1876,"")</f>
        <v/>
      </c>
      <c r="AK1876" s="122" t="n">
        <v>16</v>
      </c>
      <c r="AL1876" s="122" t="n">
        <v>0</v>
      </c>
      <c r="AM1876" s="124">
        <f>IFERROR(AL1876/AA1876,"")</f>
        <v/>
      </c>
      <c r="AN1876" s="125">
        <f>IFERROR(R1876/AL1876,"")</f>
        <v/>
      </c>
      <c r="AO1876" s="122" t="n">
        <v>0</v>
      </c>
      <c r="AP1876" s="54">
        <f>IFERROR(AO1876/AL1876,"")</f>
        <v/>
      </c>
      <c r="AQ1876" s="125">
        <f>IFERROR(R1876/AO1876,"")</f>
        <v/>
      </c>
      <c r="AR1876" s="122" t="n">
        <v>0</v>
      </c>
      <c r="AS1876" s="122" t="n">
        <v>0</v>
      </c>
      <c r="AT1876" s="122">
        <f>AL1876+AR1876</f>
        <v/>
      </c>
      <c r="AU1876" s="125">
        <f>IFERROR(AO1876*Assumptions!$C$26*Assumptions!$C$27*INDEX(Assumptions!$C$18:$C$21,MATCH(H1876,Assumptions!$B$18:$B$21,0)),0)</f>
        <v/>
      </c>
    </row>
    <row r="1877">
      <c r="A1877" s="120" t="n">
        <v>46251</v>
      </c>
      <c r="B1877" s="66" t="inlineStr">
        <is>
          <t>Wk 34</t>
        </is>
      </c>
      <c r="C1877" s="66" t="inlineStr">
        <is>
          <t>Mon</t>
        </is>
      </c>
      <c r="D1877" s="66" t="inlineStr">
        <is>
          <t>Programmatic</t>
        </is>
      </c>
      <c r="E1877" s="66" t="inlineStr">
        <is>
          <t>DV360</t>
        </is>
      </c>
      <c r="F1877" s="66" t="inlineStr">
        <is>
          <t>LEP_ZA_AUG26_PROG_TD_PROSPECT_DISPLAY</t>
        </is>
      </c>
      <c r="G1877" s="66" t="inlineStr">
        <is>
          <t>Display Prospecting</t>
        </is>
      </c>
      <c r="H1877" s="66" t="inlineStr">
        <is>
          <t>Range</t>
        </is>
      </c>
      <c r="I1877" s="66" t="inlineStr">
        <is>
          <t>Range Offer</t>
        </is>
      </c>
      <c r="J1877" s="66" t="inlineStr">
        <is>
          <t>PROG_3PD_INMKT_AUTO</t>
        </is>
      </c>
      <c r="K1877" s="66" t="inlineStr">
        <is>
          <t>In-Market</t>
        </is>
      </c>
      <c r="L1877" s="66" t="inlineStr">
        <is>
          <t>PROG_HTML5_300x250_Range_v1</t>
        </is>
      </c>
      <c r="M1877" s="66" t="inlineStr">
        <is>
          <t>HTML5 Display 300x250</t>
        </is>
      </c>
      <c r="N1877" s="66" t="inlineStr">
        <is>
          <t>Book a Lepas test drive</t>
        </is>
      </c>
      <c r="O1877" s="66" t="inlineStr">
        <is>
          <t>Programmatic Guaranteed / OA</t>
        </is>
      </c>
      <c r="P1877" s="66" t="inlineStr">
        <is>
          <t>Conversions (CPA)</t>
        </is>
      </c>
      <c r="Q1877" s="66" t="inlineStr">
        <is>
          <t>https://www.lepas-sa.co.za/offers</t>
        </is>
      </c>
      <c r="R1877" s="121" t="n">
        <v>124.13</v>
      </c>
      <c r="S1877" s="122" t="n">
        <v>3841</v>
      </c>
      <c r="T1877" s="122" t="n">
        <v>1659</v>
      </c>
      <c r="U1877" s="123">
        <f>IFERROR(S1877/T1877,"")</f>
        <v/>
      </c>
      <c r="V1877" s="122" t="n">
        <v>8</v>
      </c>
      <c r="W1877" s="122" t="n">
        <v>6</v>
      </c>
      <c r="X1877" s="124">
        <f>IFERROR(W1877/S1877,"")</f>
        <v/>
      </c>
      <c r="Y1877" s="121">
        <f>IFERROR(R1877/W1877,"")</f>
        <v/>
      </c>
      <c r="Z1877" s="121">
        <f>IFERROR(R1877/S1877*1000,"")</f>
        <v/>
      </c>
      <c r="AA1877" s="122" t="n">
        <v>4</v>
      </c>
      <c r="AB1877" s="54">
        <f>IFERROR(AA1877/W1877,"")</f>
        <v/>
      </c>
      <c r="AC1877" s="122" t="n">
        <v>0</v>
      </c>
      <c r="AD1877" s="122" t="n">
        <v>0</v>
      </c>
      <c r="AE1877" s="122" t="n">
        <v>0</v>
      </c>
      <c r="AF1877" s="122" t="n">
        <v>0</v>
      </c>
      <c r="AG1877" s="122" t="n">
        <v>0</v>
      </c>
      <c r="AH1877" s="122" t="n">
        <v>0</v>
      </c>
      <c r="AI1877" s="54">
        <f>IFERROR(AC1877/S1877,"")</f>
        <v/>
      </c>
      <c r="AJ1877" s="54">
        <f>IFERROR(AH1877/S1877,"")</f>
        <v/>
      </c>
      <c r="AK1877" s="122" t="n">
        <v>8</v>
      </c>
      <c r="AL1877" s="122" t="n">
        <v>0</v>
      </c>
      <c r="AM1877" s="124">
        <f>IFERROR(AL1877/AA1877,"")</f>
        <v/>
      </c>
      <c r="AN1877" s="125">
        <f>IFERROR(R1877/AL1877,"")</f>
        <v/>
      </c>
      <c r="AO1877" s="122" t="n">
        <v>0</v>
      </c>
      <c r="AP1877" s="54">
        <f>IFERROR(AO1877/AL1877,"")</f>
        <v/>
      </c>
      <c r="AQ1877" s="125">
        <f>IFERROR(R1877/AO1877,"")</f>
        <v/>
      </c>
      <c r="AR1877" s="122" t="n">
        <v>0</v>
      </c>
      <c r="AS1877" s="122" t="n">
        <v>0</v>
      </c>
      <c r="AT1877" s="122">
        <f>AL1877+AR1877</f>
        <v/>
      </c>
      <c r="AU1877" s="125">
        <f>IFERROR(AO1877*Assumptions!$C$26*Assumptions!$C$27*INDEX(Assumptions!$C$18:$C$21,MATCH(H1877,Assumptions!$B$18:$B$21,0)),0)</f>
        <v/>
      </c>
    </row>
    <row r="1878">
      <c r="A1878" s="120" t="n">
        <v>46252</v>
      </c>
      <c r="B1878" s="66" t="inlineStr">
        <is>
          <t>Wk 34</t>
        </is>
      </c>
      <c r="C1878" s="66" t="inlineStr">
        <is>
          <t>Tue</t>
        </is>
      </c>
      <c r="D1878" s="66" t="inlineStr">
        <is>
          <t>Programmatic</t>
        </is>
      </c>
      <c r="E1878" s="66" t="inlineStr">
        <is>
          <t>DV360</t>
        </is>
      </c>
      <c r="F1878" s="66" t="inlineStr">
        <is>
          <t>LEP_ZA_AUG26_PROG_TD_PROSPECT_DISPLAY</t>
        </is>
      </c>
      <c r="G1878" s="66" t="inlineStr">
        <is>
          <t>Display Prospecting</t>
        </is>
      </c>
      <c r="H1878" s="66" t="inlineStr">
        <is>
          <t>Range</t>
        </is>
      </c>
      <c r="I1878" s="66" t="inlineStr">
        <is>
          <t>Range Offer</t>
        </is>
      </c>
      <c r="J1878" s="66" t="inlineStr">
        <is>
          <t>PROG_3PD_INMKT_AUTO</t>
        </is>
      </c>
      <c r="K1878" s="66" t="inlineStr">
        <is>
          <t>In-Market</t>
        </is>
      </c>
      <c r="L1878" s="66" t="inlineStr">
        <is>
          <t>PROG_HTML5_300x250_Range_v1</t>
        </is>
      </c>
      <c r="M1878" s="66" t="inlineStr">
        <is>
          <t>HTML5 Display 300x250</t>
        </is>
      </c>
      <c r="N1878" s="66" t="inlineStr">
        <is>
          <t>Book a Lepas test drive</t>
        </is>
      </c>
      <c r="O1878" s="66" t="inlineStr">
        <is>
          <t>Programmatic Guaranteed / OA</t>
        </is>
      </c>
      <c r="P1878" s="66" t="inlineStr">
        <is>
          <t>Conversions (CPA)</t>
        </is>
      </c>
      <c r="Q1878" s="66" t="inlineStr">
        <is>
          <t>https://www.lepas-sa.co.za/offers</t>
        </is>
      </c>
      <c r="R1878" s="121" t="n">
        <v>139.97</v>
      </c>
      <c r="S1878" s="122" t="n">
        <v>3751</v>
      </c>
      <c r="T1878" s="122" t="n">
        <v>2032</v>
      </c>
      <c r="U1878" s="123">
        <f>IFERROR(S1878/T1878,"")</f>
        <v/>
      </c>
      <c r="V1878" s="122" t="n">
        <v>13</v>
      </c>
      <c r="W1878" s="122" t="n">
        <v>11</v>
      </c>
      <c r="X1878" s="124">
        <f>IFERROR(W1878/S1878,"")</f>
        <v/>
      </c>
      <c r="Y1878" s="121">
        <f>IFERROR(R1878/W1878,"")</f>
        <v/>
      </c>
      <c r="Z1878" s="121">
        <f>IFERROR(R1878/S1878*1000,"")</f>
        <v/>
      </c>
      <c r="AA1878" s="122" t="n">
        <v>6</v>
      </c>
      <c r="AB1878" s="54">
        <f>IFERROR(AA1878/W1878,"")</f>
        <v/>
      </c>
      <c r="AC1878" s="122" t="n">
        <v>0</v>
      </c>
      <c r="AD1878" s="122" t="n">
        <v>0</v>
      </c>
      <c r="AE1878" s="122" t="n">
        <v>0</v>
      </c>
      <c r="AF1878" s="122" t="n">
        <v>0</v>
      </c>
      <c r="AG1878" s="122" t="n">
        <v>0</v>
      </c>
      <c r="AH1878" s="122" t="n">
        <v>0</v>
      </c>
      <c r="AI1878" s="54">
        <f>IFERROR(AC1878/S1878,"")</f>
        <v/>
      </c>
      <c r="AJ1878" s="54">
        <f>IFERROR(AH1878/S1878,"")</f>
        <v/>
      </c>
      <c r="AK1878" s="122" t="n">
        <v>4</v>
      </c>
      <c r="AL1878" s="122" t="n">
        <v>0</v>
      </c>
      <c r="AM1878" s="124">
        <f>IFERROR(AL1878/AA1878,"")</f>
        <v/>
      </c>
      <c r="AN1878" s="125">
        <f>IFERROR(R1878/AL1878,"")</f>
        <v/>
      </c>
      <c r="AO1878" s="122" t="n">
        <v>0</v>
      </c>
      <c r="AP1878" s="54">
        <f>IFERROR(AO1878/AL1878,"")</f>
        <v/>
      </c>
      <c r="AQ1878" s="125">
        <f>IFERROR(R1878/AO1878,"")</f>
        <v/>
      </c>
      <c r="AR1878" s="122" t="n">
        <v>0</v>
      </c>
      <c r="AS1878" s="122" t="n">
        <v>0</v>
      </c>
      <c r="AT1878" s="122">
        <f>AL1878+AR1878</f>
        <v/>
      </c>
      <c r="AU1878" s="125">
        <f>IFERROR(AO1878*Assumptions!$C$26*Assumptions!$C$27*INDEX(Assumptions!$C$18:$C$21,MATCH(H1878,Assumptions!$B$18:$B$21,0)),0)</f>
        <v/>
      </c>
    </row>
    <row r="1879">
      <c r="A1879" s="120" t="n">
        <v>46253</v>
      </c>
      <c r="B1879" s="66" t="inlineStr">
        <is>
          <t>Wk 34</t>
        </is>
      </c>
      <c r="C1879" s="66" t="inlineStr">
        <is>
          <t>Wed</t>
        </is>
      </c>
      <c r="D1879" s="66" t="inlineStr">
        <is>
          <t>Programmatic</t>
        </is>
      </c>
      <c r="E1879" s="66" t="inlineStr">
        <is>
          <t>DV360</t>
        </is>
      </c>
      <c r="F1879" s="66" t="inlineStr">
        <is>
          <t>LEP_ZA_AUG26_PROG_TD_PROSPECT_DISPLAY</t>
        </is>
      </c>
      <c r="G1879" s="66" t="inlineStr">
        <is>
          <t>Display Prospecting</t>
        </is>
      </c>
      <c r="H1879" s="66" t="inlineStr">
        <is>
          <t>Range</t>
        </is>
      </c>
      <c r="I1879" s="66" t="inlineStr">
        <is>
          <t>Range Offer</t>
        </is>
      </c>
      <c r="J1879" s="66" t="inlineStr">
        <is>
          <t>PROG_3PD_INMKT_AUTO</t>
        </is>
      </c>
      <c r="K1879" s="66" t="inlineStr">
        <is>
          <t>In-Market</t>
        </is>
      </c>
      <c r="L1879" s="66" t="inlineStr">
        <is>
          <t>PROG_HTML5_300x250_Range_v1</t>
        </is>
      </c>
      <c r="M1879" s="66" t="inlineStr">
        <is>
          <t>HTML5 Display 300x250</t>
        </is>
      </c>
      <c r="N1879" s="66" t="inlineStr">
        <is>
          <t>Book a Lepas test drive</t>
        </is>
      </c>
      <c r="O1879" s="66" t="inlineStr">
        <is>
          <t>Programmatic Guaranteed / OA</t>
        </is>
      </c>
      <c r="P1879" s="66" t="inlineStr">
        <is>
          <t>Conversions (CPA)</t>
        </is>
      </c>
      <c r="Q1879" s="66" t="inlineStr">
        <is>
          <t>https://www.lepas-sa.co.za/offers</t>
        </is>
      </c>
      <c r="R1879" s="121" t="n">
        <v>143.39</v>
      </c>
      <c r="S1879" s="122" t="n">
        <v>5676</v>
      </c>
      <c r="T1879" s="122" t="n">
        <v>3052</v>
      </c>
      <c r="U1879" s="123">
        <f>IFERROR(S1879/T1879,"")</f>
        <v/>
      </c>
      <c r="V1879" s="122" t="n">
        <v>7</v>
      </c>
      <c r="W1879" s="122" t="n">
        <v>5</v>
      </c>
      <c r="X1879" s="124">
        <f>IFERROR(W1879/S1879,"")</f>
        <v/>
      </c>
      <c r="Y1879" s="121">
        <f>IFERROR(R1879/W1879,"")</f>
        <v/>
      </c>
      <c r="Z1879" s="121">
        <f>IFERROR(R1879/S1879*1000,"")</f>
        <v/>
      </c>
      <c r="AA1879" s="122" t="n">
        <v>4</v>
      </c>
      <c r="AB1879" s="54">
        <f>IFERROR(AA1879/W1879,"")</f>
        <v/>
      </c>
      <c r="AC1879" s="122" t="n">
        <v>0</v>
      </c>
      <c r="AD1879" s="122" t="n">
        <v>0</v>
      </c>
      <c r="AE1879" s="122" t="n">
        <v>0</v>
      </c>
      <c r="AF1879" s="122" t="n">
        <v>0</v>
      </c>
      <c r="AG1879" s="122" t="n">
        <v>0</v>
      </c>
      <c r="AH1879" s="122" t="n">
        <v>0</v>
      </c>
      <c r="AI1879" s="54">
        <f>IFERROR(AC1879/S1879,"")</f>
        <v/>
      </c>
      <c r="AJ1879" s="54">
        <f>IFERROR(AH1879/S1879,"")</f>
        <v/>
      </c>
      <c r="AK1879" s="122" t="n">
        <v>18</v>
      </c>
      <c r="AL1879" s="122" t="n">
        <v>0</v>
      </c>
      <c r="AM1879" s="124">
        <f>IFERROR(AL1879/AA1879,"")</f>
        <v/>
      </c>
      <c r="AN1879" s="125">
        <f>IFERROR(R1879/AL1879,"")</f>
        <v/>
      </c>
      <c r="AO1879" s="122" t="n">
        <v>0</v>
      </c>
      <c r="AP1879" s="54">
        <f>IFERROR(AO1879/AL1879,"")</f>
        <v/>
      </c>
      <c r="AQ1879" s="125">
        <f>IFERROR(R1879/AO1879,"")</f>
        <v/>
      </c>
      <c r="AR1879" s="122" t="n">
        <v>0</v>
      </c>
      <c r="AS1879" s="122" t="n">
        <v>0</v>
      </c>
      <c r="AT1879" s="122">
        <f>AL1879+AR1879</f>
        <v/>
      </c>
      <c r="AU1879" s="125">
        <f>IFERROR(AO1879*Assumptions!$C$26*Assumptions!$C$27*INDEX(Assumptions!$C$18:$C$21,MATCH(H1879,Assumptions!$B$18:$B$21,0)),0)</f>
        <v/>
      </c>
    </row>
    <row r="1880">
      <c r="A1880" s="120" t="n">
        <v>46254</v>
      </c>
      <c r="B1880" s="66" t="inlineStr">
        <is>
          <t>Wk 34</t>
        </is>
      </c>
      <c r="C1880" s="66" t="inlineStr">
        <is>
          <t>Thu</t>
        </is>
      </c>
      <c r="D1880" s="66" t="inlineStr">
        <is>
          <t>Programmatic</t>
        </is>
      </c>
      <c r="E1880" s="66" t="inlineStr">
        <is>
          <t>DV360</t>
        </is>
      </c>
      <c r="F1880" s="66" t="inlineStr">
        <is>
          <t>LEP_ZA_AUG26_PROG_TD_PROSPECT_DISPLAY</t>
        </is>
      </c>
      <c r="G1880" s="66" t="inlineStr">
        <is>
          <t>Display Prospecting</t>
        </is>
      </c>
      <c r="H1880" s="66" t="inlineStr">
        <is>
          <t>Range</t>
        </is>
      </c>
      <c r="I1880" s="66" t="inlineStr">
        <is>
          <t>Range Offer</t>
        </is>
      </c>
      <c r="J1880" s="66" t="inlineStr">
        <is>
          <t>PROG_3PD_INMKT_AUTO</t>
        </is>
      </c>
      <c r="K1880" s="66" t="inlineStr">
        <is>
          <t>In-Market</t>
        </is>
      </c>
      <c r="L1880" s="66" t="inlineStr">
        <is>
          <t>PROG_HTML5_300x250_Range_v1</t>
        </is>
      </c>
      <c r="M1880" s="66" t="inlineStr">
        <is>
          <t>HTML5 Display 300x250</t>
        </is>
      </c>
      <c r="N1880" s="66" t="inlineStr">
        <is>
          <t>Book a Lepas test drive</t>
        </is>
      </c>
      <c r="O1880" s="66" t="inlineStr">
        <is>
          <t>Programmatic Guaranteed / OA</t>
        </is>
      </c>
      <c r="P1880" s="66" t="inlineStr">
        <is>
          <t>Conversions (CPA)</t>
        </is>
      </c>
      <c r="Q1880" s="66" t="inlineStr">
        <is>
          <t>https://www.lepas-sa.co.za/offers</t>
        </is>
      </c>
      <c r="R1880" s="121" t="n">
        <v>153.4</v>
      </c>
      <c r="S1880" s="122" t="n">
        <v>4106</v>
      </c>
      <c r="T1880" s="122" t="n">
        <v>1552</v>
      </c>
      <c r="U1880" s="123">
        <f>IFERROR(S1880/T1880,"")</f>
        <v/>
      </c>
      <c r="V1880" s="122" t="n">
        <v>4</v>
      </c>
      <c r="W1880" s="122" t="n">
        <v>3</v>
      </c>
      <c r="X1880" s="124">
        <f>IFERROR(W1880/S1880,"")</f>
        <v/>
      </c>
      <c r="Y1880" s="121">
        <f>IFERROR(R1880/W1880,"")</f>
        <v/>
      </c>
      <c r="Z1880" s="121">
        <f>IFERROR(R1880/S1880*1000,"")</f>
        <v/>
      </c>
      <c r="AA1880" s="122" t="n">
        <v>1</v>
      </c>
      <c r="AB1880" s="54">
        <f>IFERROR(AA1880/W1880,"")</f>
        <v/>
      </c>
      <c r="AC1880" s="122" t="n">
        <v>0</v>
      </c>
      <c r="AD1880" s="122" t="n">
        <v>0</v>
      </c>
      <c r="AE1880" s="122" t="n">
        <v>0</v>
      </c>
      <c r="AF1880" s="122" t="n">
        <v>0</v>
      </c>
      <c r="AG1880" s="122" t="n">
        <v>0</v>
      </c>
      <c r="AH1880" s="122" t="n">
        <v>0</v>
      </c>
      <c r="AI1880" s="54">
        <f>IFERROR(AC1880/S1880,"")</f>
        <v/>
      </c>
      <c r="AJ1880" s="54">
        <f>IFERROR(AH1880/S1880,"")</f>
        <v/>
      </c>
      <c r="AK1880" s="122" t="n">
        <v>19</v>
      </c>
      <c r="AL1880" s="122" t="n">
        <v>0</v>
      </c>
      <c r="AM1880" s="124">
        <f>IFERROR(AL1880/AA1880,"")</f>
        <v/>
      </c>
      <c r="AN1880" s="125">
        <f>IFERROR(R1880/AL1880,"")</f>
        <v/>
      </c>
      <c r="AO1880" s="122" t="n">
        <v>0</v>
      </c>
      <c r="AP1880" s="54">
        <f>IFERROR(AO1880/AL1880,"")</f>
        <v/>
      </c>
      <c r="AQ1880" s="125">
        <f>IFERROR(R1880/AO1880,"")</f>
        <v/>
      </c>
      <c r="AR1880" s="122" t="n">
        <v>0</v>
      </c>
      <c r="AS1880" s="122" t="n">
        <v>0</v>
      </c>
      <c r="AT1880" s="122">
        <f>AL1880+AR1880</f>
        <v/>
      </c>
      <c r="AU1880" s="125">
        <f>IFERROR(AO1880*Assumptions!$C$26*Assumptions!$C$27*INDEX(Assumptions!$C$18:$C$21,MATCH(H1880,Assumptions!$B$18:$B$21,0)),0)</f>
        <v/>
      </c>
    </row>
    <row r="1881">
      <c r="A1881" s="120" t="n">
        <v>46255</v>
      </c>
      <c r="B1881" s="66" t="inlineStr">
        <is>
          <t>Wk 34</t>
        </is>
      </c>
      <c r="C1881" s="66" t="inlineStr">
        <is>
          <t>Fri</t>
        </is>
      </c>
      <c r="D1881" s="66" t="inlineStr">
        <is>
          <t>Programmatic</t>
        </is>
      </c>
      <c r="E1881" s="66" t="inlineStr">
        <is>
          <t>DV360</t>
        </is>
      </c>
      <c r="F1881" s="66" t="inlineStr">
        <is>
          <t>LEP_ZA_AUG26_PROG_TD_PROSPECT_DISPLAY</t>
        </is>
      </c>
      <c r="G1881" s="66" t="inlineStr">
        <is>
          <t>Display Prospecting</t>
        </is>
      </c>
      <c r="H1881" s="66" t="inlineStr">
        <is>
          <t>Range</t>
        </is>
      </c>
      <c r="I1881" s="66" t="inlineStr">
        <is>
          <t>Range Offer</t>
        </is>
      </c>
      <c r="J1881" s="66" t="inlineStr">
        <is>
          <t>PROG_3PD_INMKT_AUTO</t>
        </is>
      </c>
      <c r="K1881" s="66" t="inlineStr">
        <is>
          <t>In-Market</t>
        </is>
      </c>
      <c r="L1881" s="66" t="inlineStr">
        <is>
          <t>PROG_HTML5_300x250_Range_v1</t>
        </is>
      </c>
      <c r="M1881" s="66" t="inlineStr">
        <is>
          <t>HTML5 Display 300x250</t>
        </is>
      </c>
      <c r="N1881" s="66" t="inlineStr">
        <is>
          <t>Book a Lepas test drive</t>
        </is>
      </c>
      <c r="O1881" s="66" t="inlineStr">
        <is>
          <t>Programmatic Guaranteed / OA</t>
        </is>
      </c>
      <c r="P1881" s="66" t="inlineStr">
        <is>
          <t>Conversions (CPA)</t>
        </is>
      </c>
      <c r="Q1881" s="66" t="inlineStr">
        <is>
          <t>https://www.lepas-sa.co.za/offers</t>
        </is>
      </c>
      <c r="R1881" s="121" t="n">
        <v>181.28</v>
      </c>
      <c r="S1881" s="122" t="n">
        <v>5185</v>
      </c>
      <c r="T1881" s="122" t="n">
        <v>2087</v>
      </c>
      <c r="U1881" s="123">
        <f>IFERROR(S1881/T1881,"")</f>
        <v/>
      </c>
      <c r="V1881" s="122" t="n">
        <v>15</v>
      </c>
      <c r="W1881" s="122" t="n">
        <v>12</v>
      </c>
      <c r="X1881" s="124">
        <f>IFERROR(W1881/S1881,"")</f>
        <v/>
      </c>
      <c r="Y1881" s="121">
        <f>IFERROR(R1881/W1881,"")</f>
        <v/>
      </c>
      <c r="Z1881" s="121">
        <f>IFERROR(R1881/S1881*1000,"")</f>
        <v/>
      </c>
      <c r="AA1881" s="122" t="n">
        <v>7</v>
      </c>
      <c r="AB1881" s="54">
        <f>IFERROR(AA1881/W1881,"")</f>
        <v/>
      </c>
      <c r="AC1881" s="122" t="n">
        <v>0</v>
      </c>
      <c r="AD1881" s="122" t="n">
        <v>0</v>
      </c>
      <c r="AE1881" s="122" t="n">
        <v>0</v>
      </c>
      <c r="AF1881" s="122" t="n">
        <v>0</v>
      </c>
      <c r="AG1881" s="122" t="n">
        <v>0</v>
      </c>
      <c r="AH1881" s="122" t="n">
        <v>0</v>
      </c>
      <c r="AI1881" s="54">
        <f>IFERROR(AC1881/S1881,"")</f>
        <v/>
      </c>
      <c r="AJ1881" s="54">
        <f>IFERROR(AH1881/S1881,"")</f>
        <v/>
      </c>
      <c r="AK1881" s="122" t="n">
        <v>9</v>
      </c>
      <c r="AL1881" s="122" t="n">
        <v>0</v>
      </c>
      <c r="AM1881" s="124">
        <f>IFERROR(AL1881/AA1881,"")</f>
        <v/>
      </c>
      <c r="AN1881" s="125">
        <f>IFERROR(R1881/AL1881,"")</f>
        <v/>
      </c>
      <c r="AO1881" s="122" t="n">
        <v>0</v>
      </c>
      <c r="AP1881" s="54">
        <f>IFERROR(AO1881/AL1881,"")</f>
        <v/>
      </c>
      <c r="AQ1881" s="125">
        <f>IFERROR(R1881/AO1881,"")</f>
        <v/>
      </c>
      <c r="AR1881" s="122" t="n">
        <v>0</v>
      </c>
      <c r="AS1881" s="122" t="n">
        <v>0</v>
      </c>
      <c r="AT1881" s="122">
        <f>AL1881+AR1881</f>
        <v/>
      </c>
      <c r="AU1881" s="125">
        <f>IFERROR(AO1881*Assumptions!$C$26*Assumptions!$C$27*INDEX(Assumptions!$C$18:$C$21,MATCH(H1881,Assumptions!$B$18:$B$21,0)),0)</f>
        <v/>
      </c>
    </row>
    <row r="1882">
      <c r="A1882" s="120" t="n">
        <v>46256</v>
      </c>
      <c r="B1882" s="66" t="inlineStr">
        <is>
          <t>Wk 34</t>
        </is>
      </c>
      <c r="C1882" s="66" t="inlineStr">
        <is>
          <t>Sat</t>
        </is>
      </c>
      <c r="D1882" s="66" t="inlineStr">
        <is>
          <t>Programmatic</t>
        </is>
      </c>
      <c r="E1882" s="66" t="inlineStr">
        <is>
          <t>DV360</t>
        </is>
      </c>
      <c r="F1882" s="66" t="inlineStr">
        <is>
          <t>LEP_ZA_AUG26_PROG_TD_PROSPECT_DISPLAY</t>
        </is>
      </c>
      <c r="G1882" s="66" t="inlineStr">
        <is>
          <t>Display Prospecting</t>
        </is>
      </c>
      <c r="H1882" s="66" t="inlineStr">
        <is>
          <t>Range</t>
        </is>
      </c>
      <c r="I1882" s="66" t="inlineStr">
        <is>
          <t>Range Offer</t>
        </is>
      </c>
      <c r="J1882" s="66" t="inlineStr">
        <is>
          <t>PROG_3PD_INMKT_AUTO</t>
        </is>
      </c>
      <c r="K1882" s="66" t="inlineStr">
        <is>
          <t>In-Market</t>
        </is>
      </c>
      <c r="L1882" s="66" t="inlineStr">
        <is>
          <t>PROG_HTML5_300x250_Range_v1</t>
        </is>
      </c>
      <c r="M1882" s="66" t="inlineStr">
        <is>
          <t>HTML5 Display 300x250</t>
        </is>
      </c>
      <c r="N1882" s="66" t="inlineStr">
        <is>
          <t>Book a Lepas test drive</t>
        </is>
      </c>
      <c r="O1882" s="66" t="inlineStr">
        <is>
          <t>Programmatic Guaranteed / OA</t>
        </is>
      </c>
      <c r="P1882" s="66" t="inlineStr">
        <is>
          <t>Conversions (CPA)</t>
        </is>
      </c>
      <c r="Q1882" s="66" t="inlineStr">
        <is>
          <t>https://www.lepas-sa.co.za/offers</t>
        </is>
      </c>
      <c r="R1882" s="121" t="n">
        <v>150.47</v>
      </c>
      <c r="S1882" s="122" t="n">
        <v>3534</v>
      </c>
      <c r="T1882" s="122" t="n">
        <v>1316</v>
      </c>
      <c r="U1882" s="123">
        <f>IFERROR(S1882/T1882,"")</f>
        <v/>
      </c>
      <c r="V1882" s="122" t="n">
        <v>10</v>
      </c>
      <c r="W1882" s="122" t="n">
        <v>8</v>
      </c>
      <c r="X1882" s="124">
        <f>IFERROR(W1882/S1882,"")</f>
        <v/>
      </c>
      <c r="Y1882" s="121">
        <f>IFERROR(R1882/W1882,"")</f>
        <v/>
      </c>
      <c r="Z1882" s="121">
        <f>IFERROR(R1882/S1882*1000,"")</f>
        <v/>
      </c>
      <c r="AA1882" s="122" t="n">
        <v>5</v>
      </c>
      <c r="AB1882" s="54">
        <f>IFERROR(AA1882/W1882,"")</f>
        <v/>
      </c>
      <c r="AC1882" s="122" t="n">
        <v>0</v>
      </c>
      <c r="AD1882" s="122" t="n">
        <v>0</v>
      </c>
      <c r="AE1882" s="122" t="n">
        <v>0</v>
      </c>
      <c r="AF1882" s="122" t="n">
        <v>0</v>
      </c>
      <c r="AG1882" s="122" t="n">
        <v>0</v>
      </c>
      <c r="AH1882" s="122" t="n">
        <v>0</v>
      </c>
      <c r="AI1882" s="54">
        <f>IFERROR(AC1882/S1882,"")</f>
        <v/>
      </c>
      <c r="AJ1882" s="54">
        <f>IFERROR(AH1882/S1882,"")</f>
        <v/>
      </c>
      <c r="AK1882" s="122" t="n">
        <v>9</v>
      </c>
      <c r="AL1882" s="122" t="n">
        <v>0</v>
      </c>
      <c r="AM1882" s="124">
        <f>IFERROR(AL1882/AA1882,"")</f>
        <v/>
      </c>
      <c r="AN1882" s="125">
        <f>IFERROR(R1882/AL1882,"")</f>
        <v/>
      </c>
      <c r="AO1882" s="122" t="n">
        <v>0</v>
      </c>
      <c r="AP1882" s="54">
        <f>IFERROR(AO1882/AL1882,"")</f>
        <v/>
      </c>
      <c r="AQ1882" s="125">
        <f>IFERROR(R1882/AO1882,"")</f>
        <v/>
      </c>
      <c r="AR1882" s="122" t="n">
        <v>0</v>
      </c>
      <c r="AS1882" s="122" t="n">
        <v>0</v>
      </c>
      <c r="AT1882" s="122">
        <f>AL1882+AR1882</f>
        <v/>
      </c>
      <c r="AU1882" s="125">
        <f>IFERROR(AO1882*Assumptions!$C$26*Assumptions!$C$27*INDEX(Assumptions!$C$18:$C$21,MATCH(H1882,Assumptions!$B$18:$B$21,0)),0)</f>
        <v/>
      </c>
    </row>
    <row r="1883">
      <c r="A1883" s="120" t="n">
        <v>46257</v>
      </c>
      <c r="B1883" s="66" t="inlineStr">
        <is>
          <t>Wk 34</t>
        </is>
      </c>
      <c r="C1883" s="66" t="inlineStr">
        <is>
          <t>Sun</t>
        </is>
      </c>
      <c r="D1883" s="66" t="inlineStr">
        <is>
          <t>Programmatic</t>
        </is>
      </c>
      <c r="E1883" s="66" t="inlineStr">
        <is>
          <t>DV360</t>
        </is>
      </c>
      <c r="F1883" s="66" t="inlineStr">
        <is>
          <t>LEP_ZA_AUG26_PROG_TD_PROSPECT_DISPLAY</t>
        </is>
      </c>
      <c r="G1883" s="66" t="inlineStr">
        <is>
          <t>Display Prospecting</t>
        </is>
      </c>
      <c r="H1883" s="66" t="inlineStr">
        <is>
          <t>Range</t>
        </is>
      </c>
      <c r="I1883" s="66" t="inlineStr">
        <is>
          <t>Range Offer</t>
        </is>
      </c>
      <c r="J1883" s="66" t="inlineStr">
        <is>
          <t>PROG_3PD_INMKT_AUTO</t>
        </is>
      </c>
      <c r="K1883" s="66" t="inlineStr">
        <is>
          <t>In-Market</t>
        </is>
      </c>
      <c r="L1883" s="66" t="inlineStr">
        <is>
          <t>PROG_HTML5_300x250_Range_v1</t>
        </is>
      </c>
      <c r="M1883" s="66" t="inlineStr">
        <is>
          <t>HTML5 Display 300x250</t>
        </is>
      </c>
      <c r="N1883" s="66" t="inlineStr">
        <is>
          <t>Book a Lepas test drive</t>
        </is>
      </c>
      <c r="O1883" s="66" t="inlineStr">
        <is>
          <t>Programmatic Guaranteed / OA</t>
        </is>
      </c>
      <c r="P1883" s="66" t="inlineStr">
        <is>
          <t>Conversions (CPA)</t>
        </is>
      </c>
      <c r="Q1883" s="66" t="inlineStr">
        <is>
          <t>https://www.lepas-sa.co.za/offers</t>
        </is>
      </c>
      <c r="R1883" s="121" t="n">
        <v>143.06</v>
      </c>
      <c r="S1883" s="122" t="n">
        <v>4406</v>
      </c>
      <c r="T1883" s="122" t="n">
        <v>2206</v>
      </c>
      <c r="U1883" s="123">
        <f>IFERROR(S1883/T1883,"")</f>
        <v/>
      </c>
      <c r="V1883" s="122" t="n">
        <v>13</v>
      </c>
      <c r="W1883" s="122" t="n">
        <v>11</v>
      </c>
      <c r="X1883" s="124">
        <f>IFERROR(W1883/S1883,"")</f>
        <v/>
      </c>
      <c r="Y1883" s="121">
        <f>IFERROR(R1883/W1883,"")</f>
        <v/>
      </c>
      <c r="Z1883" s="121">
        <f>IFERROR(R1883/S1883*1000,"")</f>
        <v/>
      </c>
      <c r="AA1883" s="122" t="n">
        <v>7</v>
      </c>
      <c r="AB1883" s="54">
        <f>IFERROR(AA1883/W1883,"")</f>
        <v/>
      </c>
      <c r="AC1883" s="122" t="n">
        <v>0</v>
      </c>
      <c r="AD1883" s="122" t="n">
        <v>0</v>
      </c>
      <c r="AE1883" s="122" t="n">
        <v>0</v>
      </c>
      <c r="AF1883" s="122" t="n">
        <v>0</v>
      </c>
      <c r="AG1883" s="122" t="n">
        <v>0</v>
      </c>
      <c r="AH1883" s="122" t="n">
        <v>0</v>
      </c>
      <c r="AI1883" s="54">
        <f>IFERROR(AC1883/S1883,"")</f>
        <v/>
      </c>
      <c r="AJ1883" s="54">
        <f>IFERROR(AH1883/S1883,"")</f>
        <v/>
      </c>
      <c r="AK1883" s="122" t="n">
        <v>15</v>
      </c>
      <c r="AL1883" s="122" t="n">
        <v>1</v>
      </c>
      <c r="AM1883" s="124">
        <f>IFERROR(AL1883/AA1883,"")</f>
        <v/>
      </c>
      <c r="AN1883" s="125">
        <f>IFERROR(R1883/AL1883,"")</f>
        <v/>
      </c>
      <c r="AO1883" s="122" t="n">
        <v>1</v>
      </c>
      <c r="AP1883" s="54">
        <f>IFERROR(AO1883/AL1883,"")</f>
        <v/>
      </c>
      <c r="AQ1883" s="125">
        <f>IFERROR(R1883/AO1883,"")</f>
        <v/>
      </c>
      <c r="AR1883" s="122" t="n">
        <v>2</v>
      </c>
      <c r="AS1883" s="122" t="n">
        <v>1</v>
      </c>
      <c r="AT1883" s="122">
        <f>AL1883+AR1883</f>
        <v/>
      </c>
      <c r="AU1883" s="125">
        <f>IFERROR(AO1883*Assumptions!$C$26*Assumptions!$C$27*INDEX(Assumptions!$C$18:$C$21,MATCH(H1883,Assumptions!$B$18:$B$21,0)),0)</f>
        <v/>
      </c>
    </row>
    <row r="1884">
      <c r="A1884" s="120" t="n">
        <v>46258</v>
      </c>
      <c r="B1884" s="66" t="inlineStr">
        <is>
          <t>Wk 35</t>
        </is>
      </c>
      <c r="C1884" s="66" t="inlineStr">
        <is>
          <t>Mon</t>
        </is>
      </c>
      <c r="D1884" s="66" t="inlineStr">
        <is>
          <t>Programmatic</t>
        </is>
      </c>
      <c r="E1884" s="66" t="inlineStr">
        <is>
          <t>DV360</t>
        </is>
      </c>
      <c r="F1884" s="66" t="inlineStr">
        <is>
          <t>LEP_ZA_AUG26_PROG_TD_PROSPECT_DISPLAY</t>
        </is>
      </c>
      <c r="G1884" s="66" t="inlineStr">
        <is>
          <t>Display Prospecting</t>
        </is>
      </c>
      <c r="H1884" s="66" t="inlineStr">
        <is>
          <t>Range</t>
        </is>
      </c>
      <c r="I1884" s="66" t="inlineStr">
        <is>
          <t>Range Offer</t>
        </is>
      </c>
      <c r="J1884" s="66" t="inlineStr">
        <is>
          <t>PROG_3PD_INMKT_AUTO</t>
        </is>
      </c>
      <c r="K1884" s="66" t="inlineStr">
        <is>
          <t>In-Market</t>
        </is>
      </c>
      <c r="L1884" s="66" t="inlineStr">
        <is>
          <t>PROG_HTML5_300x250_Range_v1</t>
        </is>
      </c>
      <c r="M1884" s="66" t="inlineStr">
        <is>
          <t>HTML5 Display 300x250</t>
        </is>
      </c>
      <c r="N1884" s="66" t="inlineStr">
        <is>
          <t>Book a Lepas test drive</t>
        </is>
      </c>
      <c r="O1884" s="66" t="inlineStr">
        <is>
          <t>Programmatic Guaranteed / OA</t>
        </is>
      </c>
      <c r="P1884" s="66" t="inlineStr">
        <is>
          <t>Conversions (CPA)</t>
        </is>
      </c>
      <c r="Q1884" s="66" t="inlineStr">
        <is>
          <t>https://www.lepas-sa.co.za/offers</t>
        </is>
      </c>
      <c r="R1884" s="121" t="n">
        <v>131.87</v>
      </c>
      <c r="S1884" s="122" t="n">
        <v>5164</v>
      </c>
      <c r="T1884" s="122" t="n">
        <v>2007</v>
      </c>
      <c r="U1884" s="123">
        <f>IFERROR(S1884/T1884,"")</f>
        <v/>
      </c>
      <c r="V1884" s="122" t="n">
        <v>16</v>
      </c>
      <c r="W1884" s="122" t="n">
        <v>13</v>
      </c>
      <c r="X1884" s="124">
        <f>IFERROR(W1884/S1884,"")</f>
        <v/>
      </c>
      <c r="Y1884" s="121">
        <f>IFERROR(R1884/W1884,"")</f>
        <v/>
      </c>
      <c r="Z1884" s="121">
        <f>IFERROR(R1884/S1884*1000,"")</f>
        <v/>
      </c>
      <c r="AA1884" s="122" t="n">
        <v>8</v>
      </c>
      <c r="AB1884" s="54">
        <f>IFERROR(AA1884/W1884,"")</f>
        <v/>
      </c>
      <c r="AC1884" s="122" t="n">
        <v>0</v>
      </c>
      <c r="AD1884" s="122" t="n">
        <v>0</v>
      </c>
      <c r="AE1884" s="122" t="n">
        <v>0</v>
      </c>
      <c r="AF1884" s="122" t="n">
        <v>0</v>
      </c>
      <c r="AG1884" s="122" t="n">
        <v>0</v>
      </c>
      <c r="AH1884" s="122" t="n">
        <v>0</v>
      </c>
      <c r="AI1884" s="54">
        <f>IFERROR(AC1884/S1884,"")</f>
        <v/>
      </c>
      <c r="AJ1884" s="54">
        <f>IFERROR(AH1884/S1884,"")</f>
        <v/>
      </c>
      <c r="AK1884" s="122" t="n">
        <v>19</v>
      </c>
      <c r="AL1884" s="122" t="n">
        <v>0</v>
      </c>
      <c r="AM1884" s="124">
        <f>IFERROR(AL1884/AA1884,"")</f>
        <v/>
      </c>
      <c r="AN1884" s="125">
        <f>IFERROR(R1884/AL1884,"")</f>
        <v/>
      </c>
      <c r="AO1884" s="122" t="n">
        <v>0</v>
      </c>
      <c r="AP1884" s="54">
        <f>IFERROR(AO1884/AL1884,"")</f>
        <v/>
      </c>
      <c r="AQ1884" s="125">
        <f>IFERROR(R1884/AO1884,"")</f>
        <v/>
      </c>
      <c r="AR1884" s="122" t="n">
        <v>0</v>
      </c>
      <c r="AS1884" s="122" t="n">
        <v>0</v>
      </c>
      <c r="AT1884" s="122">
        <f>AL1884+AR1884</f>
        <v/>
      </c>
      <c r="AU1884" s="125">
        <f>IFERROR(AO1884*Assumptions!$C$26*Assumptions!$C$27*INDEX(Assumptions!$C$18:$C$21,MATCH(H1884,Assumptions!$B$18:$B$21,0)),0)</f>
        <v/>
      </c>
    </row>
    <row r="1885">
      <c r="A1885" s="120" t="n">
        <v>46259</v>
      </c>
      <c r="B1885" s="66" t="inlineStr">
        <is>
          <t>Wk 35</t>
        </is>
      </c>
      <c r="C1885" s="66" t="inlineStr">
        <is>
          <t>Tue</t>
        </is>
      </c>
      <c r="D1885" s="66" t="inlineStr">
        <is>
          <t>Programmatic</t>
        </is>
      </c>
      <c r="E1885" s="66" t="inlineStr">
        <is>
          <t>DV360</t>
        </is>
      </c>
      <c r="F1885" s="66" t="inlineStr">
        <is>
          <t>LEP_ZA_AUG26_PROG_TD_PROSPECT_DISPLAY</t>
        </is>
      </c>
      <c r="G1885" s="66" t="inlineStr">
        <is>
          <t>Display Prospecting</t>
        </is>
      </c>
      <c r="H1885" s="66" t="inlineStr">
        <is>
          <t>Range</t>
        </is>
      </c>
      <c r="I1885" s="66" t="inlineStr">
        <is>
          <t>Range Offer</t>
        </is>
      </c>
      <c r="J1885" s="66" t="inlineStr">
        <is>
          <t>PROG_3PD_INMKT_AUTO</t>
        </is>
      </c>
      <c r="K1885" s="66" t="inlineStr">
        <is>
          <t>In-Market</t>
        </is>
      </c>
      <c r="L1885" s="66" t="inlineStr">
        <is>
          <t>PROG_HTML5_300x250_Range_v1</t>
        </is>
      </c>
      <c r="M1885" s="66" t="inlineStr">
        <is>
          <t>HTML5 Display 300x250</t>
        </is>
      </c>
      <c r="N1885" s="66" t="inlineStr">
        <is>
          <t>Book a Lepas test drive</t>
        </is>
      </c>
      <c r="O1885" s="66" t="inlineStr">
        <is>
          <t>Programmatic Guaranteed / OA</t>
        </is>
      </c>
      <c r="P1885" s="66" t="inlineStr">
        <is>
          <t>Conversions (CPA)</t>
        </is>
      </c>
      <c r="Q1885" s="66" t="inlineStr">
        <is>
          <t>https://www.lepas-sa.co.za/offers</t>
        </is>
      </c>
      <c r="R1885" s="121" t="n">
        <v>151.7</v>
      </c>
      <c r="S1885" s="122" t="n">
        <v>3811</v>
      </c>
      <c r="T1885" s="122" t="n">
        <v>1519</v>
      </c>
      <c r="U1885" s="123">
        <f>IFERROR(S1885/T1885,"")</f>
        <v/>
      </c>
      <c r="V1885" s="122" t="n">
        <v>10</v>
      </c>
      <c r="W1885" s="122" t="n">
        <v>8</v>
      </c>
      <c r="X1885" s="124">
        <f>IFERROR(W1885/S1885,"")</f>
        <v/>
      </c>
      <c r="Y1885" s="121">
        <f>IFERROR(R1885/W1885,"")</f>
        <v/>
      </c>
      <c r="Z1885" s="121">
        <f>IFERROR(R1885/S1885*1000,"")</f>
        <v/>
      </c>
      <c r="AA1885" s="122" t="n">
        <v>5</v>
      </c>
      <c r="AB1885" s="54">
        <f>IFERROR(AA1885/W1885,"")</f>
        <v/>
      </c>
      <c r="AC1885" s="122" t="n">
        <v>0</v>
      </c>
      <c r="AD1885" s="122" t="n">
        <v>0</v>
      </c>
      <c r="AE1885" s="122" t="n">
        <v>0</v>
      </c>
      <c r="AF1885" s="122" t="n">
        <v>0</v>
      </c>
      <c r="AG1885" s="122" t="n">
        <v>0</v>
      </c>
      <c r="AH1885" s="122" t="n">
        <v>0</v>
      </c>
      <c r="AI1885" s="54">
        <f>IFERROR(AC1885/S1885,"")</f>
        <v/>
      </c>
      <c r="AJ1885" s="54">
        <f>IFERROR(AH1885/S1885,"")</f>
        <v/>
      </c>
      <c r="AK1885" s="122" t="n">
        <v>7</v>
      </c>
      <c r="AL1885" s="122" t="n">
        <v>1</v>
      </c>
      <c r="AM1885" s="124">
        <f>IFERROR(AL1885/AA1885,"")</f>
        <v/>
      </c>
      <c r="AN1885" s="125">
        <f>IFERROR(R1885/AL1885,"")</f>
        <v/>
      </c>
      <c r="AO1885" s="122" t="n">
        <v>0</v>
      </c>
      <c r="AP1885" s="54">
        <f>IFERROR(AO1885/AL1885,"")</f>
        <v/>
      </c>
      <c r="AQ1885" s="125">
        <f>IFERROR(R1885/AO1885,"")</f>
        <v/>
      </c>
      <c r="AR1885" s="122" t="n">
        <v>3</v>
      </c>
      <c r="AS1885" s="122" t="n">
        <v>1</v>
      </c>
      <c r="AT1885" s="122">
        <f>AL1885+AR1885</f>
        <v/>
      </c>
      <c r="AU1885" s="125">
        <f>IFERROR(AO1885*Assumptions!$C$26*Assumptions!$C$27*INDEX(Assumptions!$C$18:$C$21,MATCH(H1885,Assumptions!$B$18:$B$21,0)),0)</f>
        <v/>
      </c>
    </row>
    <row r="1886">
      <c r="A1886" s="120" t="n">
        <v>46260</v>
      </c>
      <c r="B1886" s="66" t="inlineStr">
        <is>
          <t>Wk 35</t>
        </is>
      </c>
      <c r="C1886" s="66" t="inlineStr">
        <is>
          <t>Wed</t>
        </is>
      </c>
      <c r="D1886" s="66" t="inlineStr">
        <is>
          <t>Programmatic</t>
        </is>
      </c>
      <c r="E1886" s="66" t="inlineStr">
        <is>
          <t>DV360</t>
        </is>
      </c>
      <c r="F1886" s="66" t="inlineStr">
        <is>
          <t>LEP_ZA_AUG26_PROG_TD_PROSPECT_DISPLAY</t>
        </is>
      </c>
      <c r="G1886" s="66" t="inlineStr">
        <is>
          <t>Display Prospecting</t>
        </is>
      </c>
      <c r="H1886" s="66" t="inlineStr">
        <is>
          <t>Range</t>
        </is>
      </c>
      <c r="I1886" s="66" t="inlineStr">
        <is>
          <t>Range Offer</t>
        </is>
      </c>
      <c r="J1886" s="66" t="inlineStr">
        <is>
          <t>PROG_3PD_INMKT_AUTO</t>
        </is>
      </c>
      <c r="K1886" s="66" t="inlineStr">
        <is>
          <t>In-Market</t>
        </is>
      </c>
      <c r="L1886" s="66" t="inlineStr">
        <is>
          <t>PROG_HTML5_300x250_Range_v1</t>
        </is>
      </c>
      <c r="M1886" s="66" t="inlineStr">
        <is>
          <t>HTML5 Display 300x250</t>
        </is>
      </c>
      <c r="N1886" s="66" t="inlineStr">
        <is>
          <t>Book a Lepas test drive</t>
        </is>
      </c>
      <c r="O1886" s="66" t="inlineStr">
        <is>
          <t>Programmatic Guaranteed / OA</t>
        </is>
      </c>
      <c r="P1886" s="66" t="inlineStr">
        <is>
          <t>Conversions (CPA)</t>
        </is>
      </c>
      <c r="Q1886" s="66" t="inlineStr">
        <is>
          <t>https://www.lepas-sa.co.za/offers</t>
        </is>
      </c>
      <c r="R1886" s="121" t="n">
        <v>164.58</v>
      </c>
      <c r="S1886" s="122" t="n">
        <v>4915</v>
      </c>
      <c r="T1886" s="122" t="n">
        <v>2262</v>
      </c>
      <c r="U1886" s="123">
        <f>IFERROR(S1886/T1886,"")</f>
        <v/>
      </c>
      <c r="V1886" s="122" t="n">
        <v>5</v>
      </c>
      <c r="W1886" s="122" t="n">
        <v>4</v>
      </c>
      <c r="X1886" s="124">
        <f>IFERROR(W1886/S1886,"")</f>
        <v/>
      </c>
      <c r="Y1886" s="121">
        <f>IFERROR(R1886/W1886,"")</f>
        <v/>
      </c>
      <c r="Z1886" s="121">
        <f>IFERROR(R1886/S1886*1000,"")</f>
        <v/>
      </c>
      <c r="AA1886" s="122" t="n">
        <v>3</v>
      </c>
      <c r="AB1886" s="54">
        <f>IFERROR(AA1886/W1886,"")</f>
        <v/>
      </c>
      <c r="AC1886" s="122" t="n">
        <v>0</v>
      </c>
      <c r="AD1886" s="122" t="n">
        <v>0</v>
      </c>
      <c r="AE1886" s="122" t="n">
        <v>0</v>
      </c>
      <c r="AF1886" s="122" t="n">
        <v>0</v>
      </c>
      <c r="AG1886" s="122" t="n">
        <v>0</v>
      </c>
      <c r="AH1886" s="122" t="n">
        <v>0</v>
      </c>
      <c r="AI1886" s="54">
        <f>IFERROR(AC1886/S1886,"")</f>
        <v/>
      </c>
      <c r="AJ1886" s="54">
        <f>IFERROR(AH1886/S1886,"")</f>
        <v/>
      </c>
      <c r="AK1886" s="122" t="n">
        <v>28</v>
      </c>
      <c r="AL1886" s="122" t="n">
        <v>0</v>
      </c>
      <c r="AM1886" s="124">
        <f>IFERROR(AL1886/AA1886,"")</f>
        <v/>
      </c>
      <c r="AN1886" s="125">
        <f>IFERROR(R1886/AL1886,"")</f>
        <v/>
      </c>
      <c r="AO1886" s="122" t="n">
        <v>0</v>
      </c>
      <c r="AP1886" s="54">
        <f>IFERROR(AO1886/AL1886,"")</f>
        <v/>
      </c>
      <c r="AQ1886" s="125">
        <f>IFERROR(R1886/AO1886,"")</f>
        <v/>
      </c>
      <c r="AR1886" s="122" t="n">
        <v>0</v>
      </c>
      <c r="AS1886" s="122" t="n">
        <v>0</v>
      </c>
      <c r="AT1886" s="122">
        <f>AL1886+AR1886</f>
        <v/>
      </c>
      <c r="AU1886" s="125">
        <f>IFERROR(AO1886*Assumptions!$C$26*Assumptions!$C$27*INDEX(Assumptions!$C$18:$C$21,MATCH(H1886,Assumptions!$B$18:$B$21,0)),0)</f>
        <v/>
      </c>
    </row>
    <row r="1887">
      <c r="A1887" s="120" t="n">
        <v>46261</v>
      </c>
      <c r="B1887" s="66" t="inlineStr">
        <is>
          <t>Wk 35</t>
        </is>
      </c>
      <c r="C1887" s="66" t="inlineStr">
        <is>
          <t>Thu</t>
        </is>
      </c>
      <c r="D1887" s="66" t="inlineStr">
        <is>
          <t>Programmatic</t>
        </is>
      </c>
      <c r="E1887" s="66" t="inlineStr">
        <is>
          <t>DV360</t>
        </is>
      </c>
      <c r="F1887" s="66" t="inlineStr">
        <is>
          <t>LEP_ZA_AUG26_PROG_TD_PROSPECT_DISPLAY</t>
        </is>
      </c>
      <c r="G1887" s="66" t="inlineStr">
        <is>
          <t>Display Prospecting</t>
        </is>
      </c>
      <c r="H1887" s="66" t="inlineStr">
        <is>
          <t>Range</t>
        </is>
      </c>
      <c r="I1887" s="66" t="inlineStr">
        <is>
          <t>Range Offer</t>
        </is>
      </c>
      <c r="J1887" s="66" t="inlineStr">
        <is>
          <t>PROG_3PD_INMKT_AUTO</t>
        </is>
      </c>
      <c r="K1887" s="66" t="inlineStr">
        <is>
          <t>In-Market</t>
        </is>
      </c>
      <c r="L1887" s="66" t="inlineStr">
        <is>
          <t>PROG_HTML5_300x250_Range_v1</t>
        </is>
      </c>
      <c r="M1887" s="66" t="inlineStr">
        <is>
          <t>HTML5 Display 300x250</t>
        </is>
      </c>
      <c r="N1887" s="66" t="inlineStr">
        <is>
          <t>Book a Lepas test drive</t>
        </is>
      </c>
      <c r="O1887" s="66" t="inlineStr">
        <is>
          <t>Programmatic Guaranteed / OA</t>
        </is>
      </c>
      <c r="P1887" s="66" t="inlineStr">
        <is>
          <t>Conversions (CPA)</t>
        </is>
      </c>
      <c r="Q1887" s="66" t="inlineStr">
        <is>
          <t>https://www.lepas-sa.co.za/offers</t>
        </is>
      </c>
      <c r="R1887" s="121" t="n">
        <v>188.91</v>
      </c>
      <c r="S1887" s="122" t="n">
        <v>5870</v>
      </c>
      <c r="T1887" s="122" t="n">
        <v>2543</v>
      </c>
      <c r="U1887" s="123">
        <f>IFERROR(S1887/T1887,"")</f>
        <v/>
      </c>
      <c r="V1887" s="122" t="n">
        <v>5</v>
      </c>
      <c r="W1887" s="122" t="n">
        <v>5</v>
      </c>
      <c r="X1887" s="124">
        <f>IFERROR(W1887/S1887,"")</f>
        <v/>
      </c>
      <c r="Y1887" s="121">
        <f>IFERROR(R1887/W1887,"")</f>
        <v/>
      </c>
      <c r="Z1887" s="121">
        <f>IFERROR(R1887/S1887*1000,"")</f>
        <v/>
      </c>
      <c r="AA1887" s="122" t="n">
        <v>4</v>
      </c>
      <c r="AB1887" s="54">
        <f>IFERROR(AA1887/W1887,"")</f>
        <v/>
      </c>
      <c r="AC1887" s="122" t="n">
        <v>0</v>
      </c>
      <c r="AD1887" s="122" t="n">
        <v>0</v>
      </c>
      <c r="AE1887" s="122" t="n">
        <v>0</v>
      </c>
      <c r="AF1887" s="122" t="n">
        <v>0</v>
      </c>
      <c r="AG1887" s="122" t="n">
        <v>0</v>
      </c>
      <c r="AH1887" s="122" t="n">
        <v>0</v>
      </c>
      <c r="AI1887" s="54">
        <f>IFERROR(AC1887/S1887,"")</f>
        <v/>
      </c>
      <c r="AJ1887" s="54">
        <f>IFERROR(AH1887/S1887,"")</f>
        <v/>
      </c>
      <c r="AK1887" s="122" t="n">
        <v>17</v>
      </c>
      <c r="AL1887" s="122" t="n">
        <v>0</v>
      </c>
      <c r="AM1887" s="124">
        <f>IFERROR(AL1887/AA1887,"")</f>
        <v/>
      </c>
      <c r="AN1887" s="125">
        <f>IFERROR(R1887/AL1887,"")</f>
        <v/>
      </c>
      <c r="AO1887" s="122" t="n">
        <v>0</v>
      </c>
      <c r="AP1887" s="54">
        <f>IFERROR(AO1887/AL1887,"")</f>
        <v/>
      </c>
      <c r="AQ1887" s="125">
        <f>IFERROR(R1887/AO1887,"")</f>
        <v/>
      </c>
      <c r="AR1887" s="122" t="n">
        <v>0</v>
      </c>
      <c r="AS1887" s="122" t="n">
        <v>0</v>
      </c>
      <c r="AT1887" s="122">
        <f>AL1887+AR1887</f>
        <v/>
      </c>
      <c r="AU1887" s="125">
        <f>IFERROR(AO1887*Assumptions!$C$26*Assumptions!$C$27*INDEX(Assumptions!$C$18:$C$21,MATCH(H1887,Assumptions!$B$18:$B$21,0)),0)</f>
        <v/>
      </c>
    </row>
    <row r="1888">
      <c r="A1888" s="120" t="n">
        <v>46262</v>
      </c>
      <c r="B1888" s="66" t="inlineStr">
        <is>
          <t>Wk 35</t>
        </is>
      </c>
      <c r="C1888" s="66" t="inlineStr">
        <is>
          <t>Fri</t>
        </is>
      </c>
      <c r="D1888" s="66" t="inlineStr">
        <is>
          <t>Programmatic</t>
        </is>
      </c>
      <c r="E1888" s="66" t="inlineStr">
        <is>
          <t>DV360</t>
        </is>
      </c>
      <c r="F1888" s="66" t="inlineStr">
        <is>
          <t>LEP_ZA_AUG26_PROG_TD_PROSPECT_DISPLAY</t>
        </is>
      </c>
      <c r="G1888" s="66" t="inlineStr">
        <is>
          <t>Display Prospecting</t>
        </is>
      </c>
      <c r="H1888" s="66" t="inlineStr">
        <is>
          <t>Range</t>
        </is>
      </c>
      <c r="I1888" s="66" t="inlineStr">
        <is>
          <t>Range Offer</t>
        </is>
      </c>
      <c r="J1888" s="66" t="inlineStr">
        <is>
          <t>PROG_3PD_INMKT_AUTO</t>
        </is>
      </c>
      <c r="K1888" s="66" t="inlineStr">
        <is>
          <t>In-Market</t>
        </is>
      </c>
      <c r="L1888" s="66" t="inlineStr">
        <is>
          <t>PROG_HTML5_300x250_Range_v1</t>
        </is>
      </c>
      <c r="M1888" s="66" t="inlineStr">
        <is>
          <t>HTML5 Display 300x250</t>
        </is>
      </c>
      <c r="N1888" s="66" t="inlineStr">
        <is>
          <t>Book a Lepas test drive</t>
        </is>
      </c>
      <c r="O1888" s="66" t="inlineStr">
        <is>
          <t>Programmatic Guaranteed / OA</t>
        </is>
      </c>
      <c r="P1888" s="66" t="inlineStr">
        <is>
          <t>Conversions (CPA)</t>
        </is>
      </c>
      <c r="Q1888" s="66" t="inlineStr">
        <is>
          <t>https://www.lepas-sa.co.za/offers</t>
        </is>
      </c>
      <c r="R1888" s="121" t="n">
        <v>206.85</v>
      </c>
      <c r="S1888" s="122" t="n">
        <v>5901</v>
      </c>
      <c r="T1888" s="122" t="n">
        <v>3264</v>
      </c>
      <c r="U1888" s="123">
        <f>IFERROR(S1888/T1888,"")</f>
        <v/>
      </c>
      <c r="V1888" s="122" t="n">
        <v>14</v>
      </c>
      <c r="W1888" s="122" t="n">
        <v>11</v>
      </c>
      <c r="X1888" s="124">
        <f>IFERROR(W1888/S1888,"")</f>
        <v/>
      </c>
      <c r="Y1888" s="121">
        <f>IFERROR(R1888/W1888,"")</f>
        <v/>
      </c>
      <c r="Z1888" s="121">
        <f>IFERROR(R1888/S1888*1000,"")</f>
        <v/>
      </c>
      <c r="AA1888" s="122" t="n">
        <v>7</v>
      </c>
      <c r="AB1888" s="54">
        <f>IFERROR(AA1888/W1888,"")</f>
        <v/>
      </c>
      <c r="AC1888" s="122" t="n">
        <v>0</v>
      </c>
      <c r="AD1888" s="122" t="n">
        <v>0</v>
      </c>
      <c r="AE1888" s="122" t="n">
        <v>0</v>
      </c>
      <c r="AF1888" s="122" t="n">
        <v>0</v>
      </c>
      <c r="AG1888" s="122" t="n">
        <v>0</v>
      </c>
      <c r="AH1888" s="122" t="n">
        <v>0</v>
      </c>
      <c r="AI1888" s="54">
        <f>IFERROR(AC1888/S1888,"")</f>
        <v/>
      </c>
      <c r="AJ1888" s="54">
        <f>IFERROR(AH1888/S1888,"")</f>
        <v/>
      </c>
      <c r="AK1888" s="122" t="n">
        <v>22</v>
      </c>
      <c r="AL1888" s="122" t="n">
        <v>0</v>
      </c>
      <c r="AM1888" s="124">
        <f>IFERROR(AL1888/AA1888,"")</f>
        <v/>
      </c>
      <c r="AN1888" s="125">
        <f>IFERROR(R1888/AL1888,"")</f>
        <v/>
      </c>
      <c r="AO1888" s="122" t="n">
        <v>0</v>
      </c>
      <c r="AP1888" s="54">
        <f>IFERROR(AO1888/AL1888,"")</f>
        <v/>
      </c>
      <c r="AQ1888" s="125">
        <f>IFERROR(R1888/AO1888,"")</f>
        <v/>
      </c>
      <c r="AR1888" s="122" t="n">
        <v>0</v>
      </c>
      <c r="AS1888" s="122" t="n">
        <v>0</v>
      </c>
      <c r="AT1888" s="122">
        <f>AL1888+AR1888</f>
        <v/>
      </c>
      <c r="AU1888" s="125">
        <f>IFERROR(AO1888*Assumptions!$C$26*Assumptions!$C$27*INDEX(Assumptions!$C$18:$C$21,MATCH(H1888,Assumptions!$B$18:$B$21,0)),0)</f>
        <v/>
      </c>
    </row>
    <row r="1889">
      <c r="A1889" s="120" t="n">
        <v>46263</v>
      </c>
      <c r="B1889" s="66" t="inlineStr">
        <is>
          <t>Wk 35</t>
        </is>
      </c>
      <c r="C1889" s="66" t="inlineStr">
        <is>
          <t>Sat</t>
        </is>
      </c>
      <c r="D1889" s="66" t="inlineStr">
        <is>
          <t>Programmatic</t>
        </is>
      </c>
      <c r="E1889" s="66" t="inlineStr">
        <is>
          <t>DV360</t>
        </is>
      </c>
      <c r="F1889" s="66" t="inlineStr">
        <is>
          <t>LEP_ZA_AUG26_PROG_TD_PROSPECT_DISPLAY</t>
        </is>
      </c>
      <c r="G1889" s="66" t="inlineStr">
        <is>
          <t>Display Prospecting</t>
        </is>
      </c>
      <c r="H1889" s="66" t="inlineStr">
        <is>
          <t>Range</t>
        </is>
      </c>
      <c r="I1889" s="66" t="inlineStr">
        <is>
          <t>Range Offer</t>
        </is>
      </c>
      <c r="J1889" s="66" t="inlineStr">
        <is>
          <t>PROG_3PD_INMKT_AUTO</t>
        </is>
      </c>
      <c r="K1889" s="66" t="inlineStr">
        <is>
          <t>In-Market</t>
        </is>
      </c>
      <c r="L1889" s="66" t="inlineStr">
        <is>
          <t>PROG_HTML5_300x250_Range_v1</t>
        </is>
      </c>
      <c r="M1889" s="66" t="inlineStr">
        <is>
          <t>HTML5 Display 300x250</t>
        </is>
      </c>
      <c r="N1889" s="66" t="inlineStr">
        <is>
          <t>Book a Lepas test drive</t>
        </is>
      </c>
      <c r="O1889" s="66" t="inlineStr">
        <is>
          <t>Programmatic Guaranteed / OA</t>
        </is>
      </c>
      <c r="P1889" s="66" t="inlineStr">
        <is>
          <t>Conversions (CPA)</t>
        </is>
      </c>
      <c r="Q1889" s="66" t="inlineStr">
        <is>
          <t>https://www.lepas-sa.co.za/offers</t>
        </is>
      </c>
      <c r="R1889" s="121" t="n">
        <v>220</v>
      </c>
      <c r="S1889" s="122" t="n">
        <v>5484</v>
      </c>
      <c r="T1889" s="122" t="n">
        <v>2310</v>
      </c>
      <c r="U1889" s="123">
        <f>IFERROR(S1889/T1889,"")</f>
        <v/>
      </c>
      <c r="V1889" s="122" t="n">
        <v>20</v>
      </c>
      <c r="W1889" s="122" t="n">
        <v>15</v>
      </c>
      <c r="X1889" s="124">
        <f>IFERROR(W1889/S1889,"")</f>
        <v/>
      </c>
      <c r="Y1889" s="121">
        <f>IFERROR(R1889/W1889,"")</f>
        <v/>
      </c>
      <c r="Z1889" s="121">
        <f>IFERROR(R1889/S1889*1000,"")</f>
        <v/>
      </c>
      <c r="AA1889" s="122" t="n">
        <v>11</v>
      </c>
      <c r="AB1889" s="54">
        <f>IFERROR(AA1889/W1889,"")</f>
        <v/>
      </c>
      <c r="AC1889" s="122" t="n">
        <v>0</v>
      </c>
      <c r="AD1889" s="122" t="n">
        <v>0</v>
      </c>
      <c r="AE1889" s="122" t="n">
        <v>0</v>
      </c>
      <c r="AF1889" s="122" t="n">
        <v>0</v>
      </c>
      <c r="AG1889" s="122" t="n">
        <v>0</v>
      </c>
      <c r="AH1889" s="122" t="n">
        <v>0</v>
      </c>
      <c r="AI1889" s="54">
        <f>IFERROR(AC1889/S1889,"")</f>
        <v/>
      </c>
      <c r="AJ1889" s="54">
        <f>IFERROR(AH1889/S1889,"")</f>
        <v/>
      </c>
      <c r="AK1889" s="122" t="n">
        <v>13</v>
      </c>
      <c r="AL1889" s="122" t="n">
        <v>0</v>
      </c>
      <c r="AM1889" s="124">
        <f>IFERROR(AL1889/AA1889,"")</f>
        <v/>
      </c>
      <c r="AN1889" s="125">
        <f>IFERROR(R1889/AL1889,"")</f>
        <v/>
      </c>
      <c r="AO1889" s="122" t="n">
        <v>0</v>
      </c>
      <c r="AP1889" s="54">
        <f>IFERROR(AO1889/AL1889,"")</f>
        <v/>
      </c>
      <c r="AQ1889" s="125">
        <f>IFERROR(R1889/AO1889,"")</f>
        <v/>
      </c>
      <c r="AR1889" s="122" t="n">
        <v>0</v>
      </c>
      <c r="AS1889" s="122" t="n">
        <v>0</v>
      </c>
      <c r="AT1889" s="122">
        <f>AL1889+AR1889</f>
        <v/>
      </c>
      <c r="AU1889" s="125">
        <f>IFERROR(AO1889*Assumptions!$C$26*Assumptions!$C$27*INDEX(Assumptions!$C$18:$C$21,MATCH(H1889,Assumptions!$B$18:$B$21,0)),0)</f>
        <v/>
      </c>
    </row>
    <row r="1890">
      <c r="A1890" s="120" t="n">
        <v>46264</v>
      </c>
      <c r="B1890" s="66" t="inlineStr">
        <is>
          <t>Wk 35</t>
        </is>
      </c>
      <c r="C1890" s="66" t="inlineStr">
        <is>
          <t>Sun</t>
        </is>
      </c>
      <c r="D1890" s="66" t="inlineStr">
        <is>
          <t>Programmatic</t>
        </is>
      </c>
      <c r="E1890" s="66" t="inlineStr">
        <is>
          <t>DV360</t>
        </is>
      </c>
      <c r="F1890" s="66" t="inlineStr">
        <is>
          <t>LEP_ZA_AUG26_PROG_TD_PROSPECT_DISPLAY</t>
        </is>
      </c>
      <c r="G1890" s="66" t="inlineStr">
        <is>
          <t>Display Prospecting</t>
        </is>
      </c>
      <c r="H1890" s="66" t="inlineStr">
        <is>
          <t>Range</t>
        </is>
      </c>
      <c r="I1890" s="66" t="inlineStr">
        <is>
          <t>Range Offer</t>
        </is>
      </c>
      <c r="J1890" s="66" t="inlineStr">
        <is>
          <t>PROG_3PD_INMKT_AUTO</t>
        </is>
      </c>
      <c r="K1890" s="66" t="inlineStr">
        <is>
          <t>In-Market</t>
        </is>
      </c>
      <c r="L1890" s="66" t="inlineStr">
        <is>
          <t>PROG_HTML5_300x250_Range_v1</t>
        </is>
      </c>
      <c r="M1890" s="66" t="inlineStr">
        <is>
          <t>HTML5 Display 300x250</t>
        </is>
      </c>
      <c r="N1890" s="66" t="inlineStr">
        <is>
          <t>Book a Lepas test drive</t>
        </is>
      </c>
      <c r="O1890" s="66" t="inlineStr">
        <is>
          <t>Programmatic Guaranteed / OA</t>
        </is>
      </c>
      <c r="P1890" s="66" t="inlineStr">
        <is>
          <t>Conversions (CPA)</t>
        </is>
      </c>
      <c r="Q1890" s="66" t="inlineStr">
        <is>
          <t>https://www.lepas-sa.co.za/offers</t>
        </is>
      </c>
      <c r="R1890" s="121" t="n">
        <v>156.18</v>
      </c>
      <c r="S1890" s="122" t="n">
        <v>4663</v>
      </c>
      <c r="T1890" s="122" t="n">
        <v>2418</v>
      </c>
      <c r="U1890" s="123">
        <f>IFERROR(S1890/T1890,"")</f>
        <v/>
      </c>
      <c r="V1890" s="122" t="n">
        <v>17</v>
      </c>
      <c r="W1890" s="122" t="n">
        <v>13</v>
      </c>
      <c r="X1890" s="124">
        <f>IFERROR(W1890/S1890,"")</f>
        <v/>
      </c>
      <c r="Y1890" s="121">
        <f>IFERROR(R1890/W1890,"")</f>
        <v/>
      </c>
      <c r="Z1890" s="121">
        <f>IFERROR(R1890/S1890*1000,"")</f>
        <v/>
      </c>
      <c r="AA1890" s="122" t="n">
        <v>7</v>
      </c>
      <c r="AB1890" s="54">
        <f>IFERROR(AA1890/W1890,"")</f>
        <v/>
      </c>
      <c r="AC1890" s="122" t="n">
        <v>0</v>
      </c>
      <c r="AD1890" s="122" t="n">
        <v>0</v>
      </c>
      <c r="AE1890" s="122" t="n">
        <v>0</v>
      </c>
      <c r="AF1890" s="122" t="n">
        <v>0</v>
      </c>
      <c r="AG1890" s="122" t="n">
        <v>0</v>
      </c>
      <c r="AH1890" s="122" t="n">
        <v>0</v>
      </c>
      <c r="AI1890" s="54">
        <f>IFERROR(AC1890/S1890,"")</f>
        <v/>
      </c>
      <c r="AJ1890" s="54">
        <f>IFERROR(AH1890/S1890,"")</f>
        <v/>
      </c>
      <c r="AK1890" s="122" t="n">
        <v>24</v>
      </c>
      <c r="AL1890" s="122" t="n">
        <v>0</v>
      </c>
      <c r="AM1890" s="124">
        <f>IFERROR(AL1890/AA1890,"")</f>
        <v/>
      </c>
      <c r="AN1890" s="125">
        <f>IFERROR(R1890/AL1890,"")</f>
        <v/>
      </c>
      <c r="AO1890" s="122" t="n">
        <v>0</v>
      </c>
      <c r="AP1890" s="54">
        <f>IFERROR(AO1890/AL1890,"")</f>
        <v/>
      </c>
      <c r="AQ1890" s="125">
        <f>IFERROR(R1890/AO1890,"")</f>
        <v/>
      </c>
      <c r="AR1890" s="122" t="n">
        <v>0</v>
      </c>
      <c r="AS1890" s="122" t="n">
        <v>0</v>
      </c>
      <c r="AT1890" s="122">
        <f>AL1890+AR1890</f>
        <v/>
      </c>
      <c r="AU1890" s="125">
        <f>IFERROR(AO1890*Assumptions!$C$26*Assumptions!$C$27*INDEX(Assumptions!$C$18:$C$21,MATCH(H1890,Assumptions!$B$18:$B$21,0)),0)</f>
        <v/>
      </c>
    </row>
    <row r="1891">
      <c r="A1891" s="120" t="n">
        <v>46265</v>
      </c>
      <c r="B1891" s="66" t="inlineStr">
        <is>
          <t>Wk 36</t>
        </is>
      </c>
      <c r="C1891" s="66" t="inlineStr">
        <is>
          <t>Mon</t>
        </is>
      </c>
      <c r="D1891" s="66" t="inlineStr">
        <is>
          <t>Programmatic</t>
        </is>
      </c>
      <c r="E1891" s="66" t="inlineStr">
        <is>
          <t>DV360</t>
        </is>
      </c>
      <c r="F1891" s="66" t="inlineStr">
        <is>
          <t>LEP_ZA_AUG26_PROG_TD_PROSPECT_DISPLAY</t>
        </is>
      </c>
      <c r="G1891" s="66" t="inlineStr">
        <is>
          <t>Display Prospecting</t>
        </is>
      </c>
      <c r="H1891" s="66" t="inlineStr">
        <is>
          <t>Range</t>
        </is>
      </c>
      <c r="I1891" s="66" t="inlineStr">
        <is>
          <t>Range Offer</t>
        </is>
      </c>
      <c r="J1891" s="66" t="inlineStr">
        <is>
          <t>PROG_3PD_INMKT_AUTO</t>
        </is>
      </c>
      <c r="K1891" s="66" t="inlineStr">
        <is>
          <t>In-Market</t>
        </is>
      </c>
      <c r="L1891" s="66" t="inlineStr">
        <is>
          <t>PROG_HTML5_300x250_Range_v1</t>
        </is>
      </c>
      <c r="M1891" s="66" t="inlineStr">
        <is>
          <t>HTML5 Display 300x250</t>
        </is>
      </c>
      <c r="N1891" s="66" t="inlineStr">
        <is>
          <t>Book a Lepas test drive</t>
        </is>
      </c>
      <c r="O1891" s="66" t="inlineStr">
        <is>
          <t>Programmatic Guaranteed / OA</t>
        </is>
      </c>
      <c r="P1891" s="66" t="inlineStr">
        <is>
          <t>Conversions (CPA)</t>
        </is>
      </c>
      <c r="Q1891" s="66" t="inlineStr">
        <is>
          <t>https://www.lepas-sa.co.za/offers</t>
        </is>
      </c>
      <c r="R1891" s="121" t="n">
        <v>150.66</v>
      </c>
      <c r="S1891" s="122" t="n">
        <v>4072</v>
      </c>
      <c r="T1891" s="122" t="n">
        <v>1601</v>
      </c>
      <c r="U1891" s="123">
        <f>IFERROR(S1891/T1891,"")</f>
        <v/>
      </c>
      <c r="V1891" s="122" t="n">
        <v>6</v>
      </c>
      <c r="W1891" s="122" t="n">
        <v>4</v>
      </c>
      <c r="X1891" s="124">
        <f>IFERROR(W1891/S1891,"")</f>
        <v/>
      </c>
      <c r="Y1891" s="121">
        <f>IFERROR(R1891/W1891,"")</f>
        <v/>
      </c>
      <c r="Z1891" s="121">
        <f>IFERROR(R1891/S1891*1000,"")</f>
        <v/>
      </c>
      <c r="AA1891" s="122" t="n">
        <v>2</v>
      </c>
      <c r="AB1891" s="54">
        <f>IFERROR(AA1891/W1891,"")</f>
        <v/>
      </c>
      <c r="AC1891" s="122" t="n">
        <v>0</v>
      </c>
      <c r="AD1891" s="122" t="n">
        <v>0</v>
      </c>
      <c r="AE1891" s="122" t="n">
        <v>0</v>
      </c>
      <c r="AF1891" s="122" t="n">
        <v>0</v>
      </c>
      <c r="AG1891" s="122" t="n">
        <v>0</v>
      </c>
      <c r="AH1891" s="122" t="n">
        <v>0</v>
      </c>
      <c r="AI1891" s="54">
        <f>IFERROR(AC1891/S1891,"")</f>
        <v/>
      </c>
      <c r="AJ1891" s="54">
        <f>IFERROR(AH1891/S1891,"")</f>
        <v/>
      </c>
      <c r="AK1891" s="122" t="n">
        <v>5</v>
      </c>
      <c r="AL1891" s="122" t="n">
        <v>0</v>
      </c>
      <c r="AM1891" s="124">
        <f>IFERROR(AL1891/AA1891,"")</f>
        <v/>
      </c>
      <c r="AN1891" s="125">
        <f>IFERROR(R1891/AL1891,"")</f>
        <v/>
      </c>
      <c r="AO1891" s="122" t="n">
        <v>0</v>
      </c>
      <c r="AP1891" s="54">
        <f>IFERROR(AO1891/AL1891,"")</f>
        <v/>
      </c>
      <c r="AQ1891" s="125">
        <f>IFERROR(R1891/AO1891,"")</f>
        <v/>
      </c>
      <c r="AR1891" s="122" t="n">
        <v>0</v>
      </c>
      <c r="AS1891" s="122" t="n">
        <v>0</v>
      </c>
      <c r="AT1891" s="122">
        <f>AL1891+AR1891</f>
        <v/>
      </c>
      <c r="AU1891" s="125">
        <f>IFERROR(AO1891*Assumptions!$C$26*Assumptions!$C$27*INDEX(Assumptions!$C$18:$C$21,MATCH(H1891,Assumptions!$B$18:$B$21,0)),0)</f>
        <v/>
      </c>
    </row>
    <row r="1892">
      <c r="A1892" s="120" t="n">
        <v>46240</v>
      </c>
      <c r="B1892" s="66" t="inlineStr">
        <is>
          <t>Wk 32</t>
        </is>
      </c>
      <c r="C1892" s="66" t="inlineStr">
        <is>
          <t>Thu</t>
        </is>
      </c>
      <c r="D1892" s="66" t="inlineStr">
        <is>
          <t>Programmatic</t>
        </is>
      </c>
      <c r="E1892" s="66" t="inlineStr">
        <is>
          <t>DV360</t>
        </is>
      </c>
      <c r="F1892" s="66" t="inlineStr">
        <is>
          <t>LEP_ZA_AUG26_PROG_TD_PROSPECT_DISPLAY</t>
        </is>
      </c>
      <c r="G1892" s="66" t="inlineStr">
        <is>
          <t>Display Prospecting</t>
        </is>
      </c>
      <c r="H1892" s="66" t="inlineStr">
        <is>
          <t>Range</t>
        </is>
      </c>
      <c r="I1892" s="66" t="inlineStr">
        <is>
          <t>Range Offer</t>
        </is>
      </c>
      <c r="J1892" s="66" t="inlineStr">
        <is>
          <t>PROG_3PD_INMKT_AUTO</t>
        </is>
      </c>
      <c r="K1892" s="66" t="inlineStr">
        <is>
          <t>In-Market</t>
        </is>
      </c>
      <c r="L1892" s="66" t="inlineStr">
        <is>
          <t>PROG_HTML5_970x250_Hero_v1</t>
        </is>
      </c>
      <c r="M1892" s="66" t="inlineStr">
        <is>
          <t>HTML5 Display 970x250</t>
        </is>
      </c>
      <c r="N1892" s="66" t="inlineStr">
        <is>
          <t>The Lepas range has landed</t>
        </is>
      </c>
      <c r="O1892" s="66" t="inlineStr">
        <is>
          <t>Programmatic Guaranteed / OA</t>
        </is>
      </c>
      <c r="P1892" s="66" t="inlineStr">
        <is>
          <t>Conversions (CPA)</t>
        </is>
      </c>
      <c r="Q1892" s="66" t="inlineStr">
        <is>
          <t>https://www.lepas-sa.co.za/offers</t>
        </is>
      </c>
      <c r="R1892" s="121" t="n">
        <v>114.32</v>
      </c>
      <c r="S1892" s="122" t="n">
        <v>3557</v>
      </c>
      <c r="T1892" s="122" t="n">
        <v>2662</v>
      </c>
      <c r="U1892" s="123">
        <f>IFERROR(S1892/T1892,"")</f>
        <v/>
      </c>
      <c r="V1892" s="122" t="n">
        <v>7</v>
      </c>
      <c r="W1892" s="122" t="n">
        <v>6</v>
      </c>
      <c r="X1892" s="124">
        <f>IFERROR(W1892/S1892,"")</f>
        <v/>
      </c>
      <c r="Y1892" s="121">
        <f>IFERROR(R1892/W1892,"")</f>
        <v/>
      </c>
      <c r="Z1892" s="121">
        <f>IFERROR(R1892/S1892*1000,"")</f>
        <v/>
      </c>
      <c r="AA1892" s="122" t="n">
        <v>5</v>
      </c>
      <c r="AB1892" s="54">
        <f>IFERROR(AA1892/W1892,"")</f>
        <v/>
      </c>
      <c r="AC1892" s="122" t="n">
        <v>0</v>
      </c>
      <c r="AD1892" s="122" t="n">
        <v>0</v>
      </c>
      <c r="AE1892" s="122" t="n">
        <v>0</v>
      </c>
      <c r="AF1892" s="122" t="n">
        <v>0</v>
      </c>
      <c r="AG1892" s="122" t="n">
        <v>0</v>
      </c>
      <c r="AH1892" s="122" t="n">
        <v>0</v>
      </c>
      <c r="AI1892" s="54">
        <f>IFERROR(AC1892/S1892,"")</f>
        <v/>
      </c>
      <c r="AJ1892" s="54">
        <f>IFERROR(AH1892/S1892,"")</f>
        <v/>
      </c>
      <c r="AK1892" s="122" t="n">
        <v>21</v>
      </c>
      <c r="AL1892" s="122" t="n">
        <v>0</v>
      </c>
      <c r="AM1892" s="124">
        <f>IFERROR(AL1892/AA1892,"")</f>
        <v/>
      </c>
      <c r="AN1892" s="125">
        <f>IFERROR(R1892/AL1892,"")</f>
        <v/>
      </c>
      <c r="AO1892" s="122" t="n">
        <v>0</v>
      </c>
      <c r="AP1892" s="54">
        <f>IFERROR(AO1892/AL1892,"")</f>
        <v/>
      </c>
      <c r="AQ1892" s="125">
        <f>IFERROR(R1892/AO1892,"")</f>
        <v/>
      </c>
      <c r="AR1892" s="122" t="n">
        <v>0</v>
      </c>
      <c r="AS1892" s="122" t="n">
        <v>0</v>
      </c>
      <c r="AT1892" s="122">
        <f>AL1892+AR1892</f>
        <v/>
      </c>
      <c r="AU1892" s="125">
        <f>IFERROR(AO1892*Assumptions!$C$26*Assumptions!$C$27*INDEX(Assumptions!$C$18:$C$21,MATCH(H1892,Assumptions!$B$18:$B$21,0)),0)</f>
        <v/>
      </c>
    </row>
    <row r="1893">
      <c r="A1893" s="120" t="n">
        <v>46241</v>
      </c>
      <c r="B1893" s="66" t="inlineStr">
        <is>
          <t>Wk 32</t>
        </is>
      </c>
      <c r="C1893" s="66" t="inlineStr">
        <is>
          <t>Fri</t>
        </is>
      </c>
      <c r="D1893" s="66" t="inlineStr">
        <is>
          <t>Programmatic</t>
        </is>
      </c>
      <c r="E1893" s="66" t="inlineStr">
        <is>
          <t>DV360</t>
        </is>
      </c>
      <c r="F1893" s="66" t="inlineStr">
        <is>
          <t>LEP_ZA_AUG26_PROG_TD_PROSPECT_DISPLAY</t>
        </is>
      </c>
      <c r="G1893" s="66" t="inlineStr">
        <is>
          <t>Display Prospecting</t>
        </is>
      </c>
      <c r="H1893" s="66" t="inlineStr">
        <is>
          <t>Range</t>
        </is>
      </c>
      <c r="I1893" s="66" t="inlineStr">
        <is>
          <t>Range Offer</t>
        </is>
      </c>
      <c r="J1893" s="66" t="inlineStr">
        <is>
          <t>PROG_3PD_INMKT_AUTO</t>
        </is>
      </c>
      <c r="K1893" s="66" t="inlineStr">
        <is>
          <t>In-Market</t>
        </is>
      </c>
      <c r="L1893" s="66" t="inlineStr">
        <is>
          <t>PROG_HTML5_970x250_Hero_v1</t>
        </is>
      </c>
      <c r="M1893" s="66" t="inlineStr">
        <is>
          <t>HTML5 Display 970x250</t>
        </is>
      </c>
      <c r="N1893" s="66" t="inlineStr">
        <is>
          <t>The Lepas range has landed</t>
        </is>
      </c>
      <c r="O1893" s="66" t="inlineStr">
        <is>
          <t>Programmatic Guaranteed / OA</t>
        </is>
      </c>
      <c r="P1893" s="66" t="inlineStr">
        <is>
          <t>Conversions (CPA)</t>
        </is>
      </c>
      <c r="Q1893" s="66" t="inlineStr">
        <is>
          <t>https://www.lepas-sa.co.za/offers</t>
        </is>
      </c>
      <c r="R1893" s="121" t="n">
        <v>115.13</v>
      </c>
      <c r="S1893" s="122" t="n">
        <v>5320</v>
      </c>
      <c r="T1893" s="122" t="n">
        <v>2414</v>
      </c>
      <c r="U1893" s="123">
        <f>IFERROR(S1893/T1893,"")</f>
        <v/>
      </c>
      <c r="V1893" s="122" t="n">
        <v>16</v>
      </c>
      <c r="W1893" s="122" t="n">
        <v>13</v>
      </c>
      <c r="X1893" s="124">
        <f>IFERROR(W1893/S1893,"")</f>
        <v/>
      </c>
      <c r="Y1893" s="121">
        <f>IFERROR(R1893/W1893,"")</f>
        <v/>
      </c>
      <c r="Z1893" s="121">
        <f>IFERROR(R1893/S1893*1000,"")</f>
        <v/>
      </c>
      <c r="AA1893" s="122" t="n">
        <v>8</v>
      </c>
      <c r="AB1893" s="54">
        <f>IFERROR(AA1893/W1893,"")</f>
        <v/>
      </c>
      <c r="AC1893" s="122" t="n">
        <v>0</v>
      </c>
      <c r="AD1893" s="122" t="n">
        <v>0</v>
      </c>
      <c r="AE1893" s="122" t="n">
        <v>0</v>
      </c>
      <c r="AF1893" s="122" t="n">
        <v>0</v>
      </c>
      <c r="AG1893" s="122" t="n">
        <v>0</v>
      </c>
      <c r="AH1893" s="122" t="n">
        <v>0</v>
      </c>
      <c r="AI1893" s="54">
        <f>IFERROR(AC1893/S1893,"")</f>
        <v/>
      </c>
      <c r="AJ1893" s="54">
        <f>IFERROR(AH1893/S1893,"")</f>
        <v/>
      </c>
      <c r="AK1893" s="122" t="n">
        <v>8</v>
      </c>
      <c r="AL1893" s="122" t="n">
        <v>0</v>
      </c>
      <c r="AM1893" s="124">
        <f>IFERROR(AL1893/AA1893,"")</f>
        <v/>
      </c>
      <c r="AN1893" s="125">
        <f>IFERROR(R1893/AL1893,"")</f>
        <v/>
      </c>
      <c r="AO1893" s="122" t="n">
        <v>0</v>
      </c>
      <c r="AP1893" s="54">
        <f>IFERROR(AO1893/AL1893,"")</f>
        <v/>
      </c>
      <c r="AQ1893" s="125">
        <f>IFERROR(R1893/AO1893,"")</f>
        <v/>
      </c>
      <c r="AR1893" s="122" t="n">
        <v>0</v>
      </c>
      <c r="AS1893" s="122" t="n">
        <v>0</v>
      </c>
      <c r="AT1893" s="122">
        <f>AL1893+AR1893</f>
        <v/>
      </c>
      <c r="AU1893" s="125">
        <f>IFERROR(AO1893*Assumptions!$C$26*Assumptions!$C$27*INDEX(Assumptions!$C$18:$C$21,MATCH(H1893,Assumptions!$B$18:$B$21,0)),0)</f>
        <v/>
      </c>
    </row>
    <row r="1894">
      <c r="A1894" s="120" t="n">
        <v>46242</v>
      </c>
      <c r="B1894" s="66" t="inlineStr">
        <is>
          <t>Wk 32</t>
        </is>
      </c>
      <c r="C1894" s="66" t="inlineStr">
        <is>
          <t>Sat</t>
        </is>
      </c>
      <c r="D1894" s="66" t="inlineStr">
        <is>
          <t>Programmatic</t>
        </is>
      </c>
      <c r="E1894" s="66" t="inlineStr">
        <is>
          <t>DV360</t>
        </is>
      </c>
      <c r="F1894" s="66" t="inlineStr">
        <is>
          <t>LEP_ZA_AUG26_PROG_TD_PROSPECT_DISPLAY</t>
        </is>
      </c>
      <c r="G1894" s="66" t="inlineStr">
        <is>
          <t>Display Prospecting</t>
        </is>
      </c>
      <c r="H1894" s="66" t="inlineStr">
        <is>
          <t>Range</t>
        </is>
      </c>
      <c r="I1894" s="66" t="inlineStr">
        <is>
          <t>Range Offer</t>
        </is>
      </c>
      <c r="J1894" s="66" t="inlineStr">
        <is>
          <t>PROG_3PD_INMKT_AUTO</t>
        </is>
      </c>
      <c r="K1894" s="66" t="inlineStr">
        <is>
          <t>In-Market</t>
        </is>
      </c>
      <c r="L1894" s="66" t="inlineStr">
        <is>
          <t>PROG_HTML5_970x250_Hero_v1</t>
        </is>
      </c>
      <c r="M1894" s="66" t="inlineStr">
        <is>
          <t>HTML5 Display 970x250</t>
        </is>
      </c>
      <c r="N1894" s="66" t="inlineStr">
        <is>
          <t>The Lepas range has landed</t>
        </is>
      </c>
      <c r="O1894" s="66" t="inlineStr">
        <is>
          <t>Programmatic Guaranteed / OA</t>
        </is>
      </c>
      <c r="P1894" s="66" t="inlineStr">
        <is>
          <t>Conversions (CPA)</t>
        </is>
      </c>
      <c r="Q1894" s="66" t="inlineStr">
        <is>
          <t>https://www.lepas-sa.co.za/offers</t>
        </is>
      </c>
      <c r="R1894" s="121" t="n">
        <v>136.75</v>
      </c>
      <c r="S1894" s="122" t="n">
        <v>3946</v>
      </c>
      <c r="T1894" s="122" t="n">
        <v>2377</v>
      </c>
      <c r="U1894" s="123">
        <f>IFERROR(S1894/T1894,"")</f>
        <v/>
      </c>
      <c r="V1894" s="122" t="n">
        <v>19</v>
      </c>
      <c r="W1894" s="122" t="n">
        <v>15</v>
      </c>
      <c r="X1894" s="124">
        <f>IFERROR(W1894/S1894,"")</f>
        <v/>
      </c>
      <c r="Y1894" s="121">
        <f>IFERROR(R1894/W1894,"")</f>
        <v/>
      </c>
      <c r="Z1894" s="121">
        <f>IFERROR(R1894/S1894*1000,"")</f>
        <v/>
      </c>
      <c r="AA1894" s="122" t="n">
        <v>9</v>
      </c>
      <c r="AB1894" s="54">
        <f>IFERROR(AA1894/W1894,"")</f>
        <v/>
      </c>
      <c r="AC1894" s="122" t="n">
        <v>0</v>
      </c>
      <c r="AD1894" s="122" t="n">
        <v>0</v>
      </c>
      <c r="AE1894" s="122" t="n">
        <v>0</v>
      </c>
      <c r="AF1894" s="122" t="n">
        <v>0</v>
      </c>
      <c r="AG1894" s="122" t="n">
        <v>0</v>
      </c>
      <c r="AH1894" s="122" t="n">
        <v>0</v>
      </c>
      <c r="AI1894" s="54">
        <f>IFERROR(AC1894/S1894,"")</f>
        <v/>
      </c>
      <c r="AJ1894" s="54">
        <f>IFERROR(AH1894/S1894,"")</f>
        <v/>
      </c>
      <c r="AK1894" s="122" t="n">
        <v>20</v>
      </c>
      <c r="AL1894" s="122" t="n">
        <v>0</v>
      </c>
      <c r="AM1894" s="124">
        <f>IFERROR(AL1894/AA1894,"")</f>
        <v/>
      </c>
      <c r="AN1894" s="125">
        <f>IFERROR(R1894/AL1894,"")</f>
        <v/>
      </c>
      <c r="AO1894" s="122" t="n">
        <v>0</v>
      </c>
      <c r="AP1894" s="54">
        <f>IFERROR(AO1894/AL1894,"")</f>
        <v/>
      </c>
      <c r="AQ1894" s="125">
        <f>IFERROR(R1894/AO1894,"")</f>
        <v/>
      </c>
      <c r="AR1894" s="122" t="n">
        <v>0</v>
      </c>
      <c r="AS1894" s="122" t="n">
        <v>0</v>
      </c>
      <c r="AT1894" s="122">
        <f>AL1894+AR1894</f>
        <v/>
      </c>
      <c r="AU1894" s="125">
        <f>IFERROR(AO1894*Assumptions!$C$26*Assumptions!$C$27*INDEX(Assumptions!$C$18:$C$21,MATCH(H1894,Assumptions!$B$18:$B$21,0)),0)</f>
        <v/>
      </c>
    </row>
    <row r="1895">
      <c r="A1895" s="120" t="n">
        <v>46243</v>
      </c>
      <c r="B1895" s="66" t="inlineStr">
        <is>
          <t>Wk 32</t>
        </is>
      </c>
      <c r="C1895" s="66" t="inlineStr">
        <is>
          <t>Sun</t>
        </is>
      </c>
      <c r="D1895" s="66" t="inlineStr">
        <is>
          <t>Programmatic</t>
        </is>
      </c>
      <c r="E1895" s="66" t="inlineStr">
        <is>
          <t>DV360</t>
        </is>
      </c>
      <c r="F1895" s="66" t="inlineStr">
        <is>
          <t>LEP_ZA_AUG26_PROG_TD_PROSPECT_DISPLAY</t>
        </is>
      </c>
      <c r="G1895" s="66" t="inlineStr">
        <is>
          <t>Display Prospecting</t>
        </is>
      </c>
      <c r="H1895" s="66" t="inlineStr">
        <is>
          <t>Range</t>
        </is>
      </c>
      <c r="I1895" s="66" t="inlineStr">
        <is>
          <t>Range Offer</t>
        </is>
      </c>
      <c r="J1895" s="66" t="inlineStr">
        <is>
          <t>PROG_3PD_INMKT_AUTO</t>
        </is>
      </c>
      <c r="K1895" s="66" t="inlineStr">
        <is>
          <t>In-Market</t>
        </is>
      </c>
      <c r="L1895" s="66" t="inlineStr">
        <is>
          <t>PROG_HTML5_970x250_Hero_v1</t>
        </is>
      </c>
      <c r="M1895" s="66" t="inlineStr">
        <is>
          <t>HTML5 Display 970x250</t>
        </is>
      </c>
      <c r="N1895" s="66" t="inlineStr">
        <is>
          <t>The Lepas range has landed</t>
        </is>
      </c>
      <c r="O1895" s="66" t="inlineStr">
        <is>
          <t>Programmatic Guaranteed / OA</t>
        </is>
      </c>
      <c r="P1895" s="66" t="inlineStr">
        <is>
          <t>Conversions (CPA)</t>
        </is>
      </c>
      <c r="Q1895" s="66" t="inlineStr">
        <is>
          <t>https://www.lepas-sa.co.za/offers</t>
        </is>
      </c>
      <c r="R1895" s="121" t="n">
        <v>92.98999999999999</v>
      </c>
      <c r="S1895" s="122" t="n">
        <v>3335</v>
      </c>
      <c r="T1895" s="122" t="n">
        <v>2364</v>
      </c>
      <c r="U1895" s="123">
        <f>IFERROR(S1895/T1895,"")</f>
        <v/>
      </c>
      <c r="V1895" s="122" t="n">
        <v>16</v>
      </c>
      <c r="W1895" s="122" t="n">
        <v>13</v>
      </c>
      <c r="X1895" s="124">
        <f>IFERROR(W1895/S1895,"")</f>
        <v/>
      </c>
      <c r="Y1895" s="121">
        <f>IFERROR(R1895/W1895,"")</f>
        <v/>
      </c>
      <c r="Z1895" s="121">
        <f>IFERROR(R1895/S1895*1000,"")</f>
        <v/>
      </c>
      <c r="AA1895" s="122" t="n">
        <v>8</v>
      </c>
      <c r="AB1895" s="54">
        <f>IFERROR(AA1895/W1895,"")</f>
        <v/>
      </c>
      <c r="AC1895" s="122" t="n">
        <v>0</v>
      </c>
      <c r="AD1895" s="122" t="n">
        <v>0</v>
      </c>
      <c r="AE1895" s="122" t="n">
        <v>0</v>
      </c>
      <c r="AF1895" s="122" t="n">
        <v>0</v>
      </c>
      <c r="AG1895" s="122" t="n">
        <v>0</v>
      </c>
      <c r="AH1895" s="122" t="n">
        <v>0</v>
      </c>
      <c r="AI1895" s="54">
        <f>IFERROR(AC1895/S1895,"")</f>
        <v/>
      </c>
      <c r="AJ1895" s="54">
        <f>IFERROR(AH1895/S1895,"")</f>
        <v/>
      </c>
      <c r="AK1895" s="122" t="n">
        <v>8</v>
      </c>
      <c r="AL1895" s="122" t="n">
        <v>0</v>
      </c>
      <c r="AM1895" s="124">
        <f>IFERROR(AL1895/AA1895,"")</f>
        <v/>
      </c>
      <c r="AN1895" s="125">
        <f>IFERROR(R1895/AL1895,"")</f>
        <v/>
      </c>
      <c r="AO1895" s="122" t="n">
        <v>0</v>
      </c>
      <c r="AP1895" s="54">
        <f>IFERROR(AO1895/AL1895,"")</f>
        <v/>
      </c>
      <c r="AQ1895" s="125">
        <f>IFERROR(R1895/AO1895,"")</f>
        <v/>
      </c>
      <c r="AR1895" s="122" t="n">
        <v>0</v>
      </c>
      <c r="AS1895" s="122" t="n">
        <v>0</v>
      </c>
      <c r="AT1895" s="122">
        <f>AL1895+AR1895</f>
        <v/>
      </c>
      <c r="AU1895" s="125">
        <f>IFERROR(AO1895*Assumptions!$C$26*Assumptions!$C$27*INDEX(Assumptions!$C$18:$C$21,MATCH(H1895,Assumptions!$B$18:$B$21,0)),0)</f>
        <v/>
      </c>
    </row>
    <row r="1896">
      <c r="A1896" s="120" t="n">
        <v>46244</v>
      </c>
      <c r="B1896" s="66" t="inlineStr">
        <is>
          <t>Wk 33</t>
        </is>
      </c>
      <c r="C1896" s="66" t="inlineStr">
        <is>
          <t>Mon</t>
        </is>
      </c>
      <c r="D1896" s="66" t="inlineStr">
        <is>
          <t>Programmatic</t>
        </is>
      </c>
      <c r="E1896" s="66" t="inlineStr">
        <is>
          <t>DV360</t>
        </is>
      </c>
      <c r="F1896" s="66" t="inlineStr">
        <is>
          <t>LEP_ZA_AUG26_PROG_TD_PROSPECT_DISPLAY</t>
        </is>
      </c>
      <c r="G1896" s="66" t="inlineStr">
        <is>
          <t>Display Prospecting</t>
        </is>
      </c>
      <c r="H1896" s="66" t="inlineStr">
        <is>
          <t>Range</t>
        </is>
      </c>
      <c r="I1896" s="66" t="inlineStr">
        <is>
          <t>Range Offer</t>
        </is>
      </c>
      <c r="J1896" s="66" t="inlineStr">
        <is>
          <t>PROG_3PD_INMKT_AUTO</t>
        </is>
      </c>
      <c r="K1896" s="66" t="inlineStr">
        <is>
          <t>In-Market</t>
        </is>
      </c>
      <c r="L1896" s="66" t="inlineStr">
        <is>
          <t>PROG_HTML5_970x250_Hero_v1</t>
        </is>
      </c>
      <c r="M1896" s="66" t="inlineStr">
        <is>
          <t>HTML5 Display 970x250</t>
        </is>
      </c>
      <c r="N1896" s="66" t="inlineStr">
        <is>
          <t>The Lepas range has landed</t>
        </is>
      </c>
      <c r="O1896" s="66" t="inlineStr">
        <is>
          <t>Programmatic Guaranteed / OA</t>
        </is>
      </c>
      <c r="P1896" s="66" t="inlineStr">
        <is>
          <t>Conversions (CPA)</t>
        </is>
      </c>
      <c r="Q1896" s="66" t="inlineStr">
        <is>
          <t>https://www.lepas-sa.co.za/offers</t>
        </is>
      </c>
      <c r="R1896" s="121" t="n">
        <v>132.57</v>
      </c>
      <c r="S1896" s="122" t="n">
        <v>4443</v>
      </c>
      <c r="T1896" s="122" t="n">
        <v>1839</v>
      </c>
      <c r="U1896" s="123">
        <f>IFERROR(S1896/T1896,"")</f>
        <v/>
      </c>
      <c r="V1896" s="122" t="n">
        <v>9</v>
      </c>
      <c r="W1896" s="122" t="n">
        <v>7</v>
      </c>
      <c r="X1896" s="124">
        <f>IFERROR(W1896/S1896,"")</f>
        <v/>
      </c>
      <c r="Y1896" s="121">
        <f>IFERROR(R1896/W1896,"")</f>
        <v/>
      </c>
      <c r="Z1896" s="121">
        <f>IFERROR(R1896/S1896*1000,"")</f>
        <v/>
      </c>
      <c r="AA1896" s="122" t="n">
        <v>5</v>
      </c>
      <c r="AB1896" s="54">
        <f>IFERROR(AA1896/W1896,"")</f>
        <v/>
      </c>
      <c r="AC1896" s="122" t="n">
        <v>0</v>
      </c>
      <c r="AD1896" s="122" t="n">
        <v>0</v>
      </c>
      <c r="AE1896" s="122" t="n">
        <v>0</v>
      </c>
      <c r="AF1896" s="122" t="n">
        <v>0</v>
      </c>
      <c r="AG1896" s="122" t="n">
        <v>0</v>
      </c>
      <c r="AH1896" s="122" t="n">
        <v>0</v>
      </c>
      <c r="AI1896" s="54">
        <f>IFERROR(AC1896/S1896,"")</f>
        <v/>
      </c>
      <c r="AJ1896" s="54">
        <f>IFERROR(AH1896/S1896,"")</f>
        <v/>
      </c>
      <c r="AK1896" s="122" t="n">
        <v>21</v>
      </c>
      <c r="AL1896" s="122" t="n">
        <v>0</v>
      </c>
      <c r="AM1896" s="124">
        <f>IFERROR(AL1896/AA1896,"")</f>
        <v/>
      </c>
      <c r="AN1896" s="125">
        <f>IFERROR(R1896/AL1896,"")</f>
        <v/>
      </c>
      <c r="AO1896" s="122" t="n">
        <v>0</v>
      </c>
      <c r="AP1896" s="54">
        <f>IFERROR(AO1896/AL1896,"")</f>
        <v/>
      </c>
      <c r="AQ1896" s="125">
        <f>IFERROR(R1896/AO1896,"")</f>
        <v/>
      </c>
      <c r="AR1896" s="122" t="n">
        <v>0</v>
      </c>
      <c r="AS1896" s="122" t="n">
        <v>0</v>
      </c>
      <c r="AT1896" s="122">
        <f>AL1896+AR1896</f>
        <v/>
      </c>
      <c r="AU1896" s="125">
        <f>IFERROR(AO1896*Assumptions!$C$26*Assumptions!$C$27*INDEX(Assumptions!$C$18:$C$21,MATCH(H1896,Assumptions!$B$18:$B$21,0)),0)</f>
        <v/>
      </c>
    </row>
    <row r="1897">
      <c r="A1897" s="120" t="n">
        <v>46245</v>
      </c>
      <c r="B1897" s="66" t="inlineStr">
        <is>
          <t>Wk 33</t>
        </is>
      </c>
      <c r="C1897" s="66" t="inlineStr">
        <is>
          <t>Tue</t>
        </is>
      </c>
      <c r="D1897" s="66" t="inlineStr">
        <is>
          <t>Programmatic</t>
        </is>
      </c>
      <c r="E1897" s="66" t="inlineStr">
        <is>
          <t>DV360</t>
        </is>
      </c>
      <c r="F1897" s="66" t="inlineStr">
        <is>
          <t>LEP_ZA_AUG26_PROG_TD_PROSPECT_DISPLAY</t>
        </is>
      </c>
      <c r="G1897" s="66" t="inlineStr">
        <is>
          <t>Display Prospecting</t>
        </is>
      </c>
      <c r="H1897" s="66" t="inlineStr">
        <is>
          <t>Range</t>
        </is>
      </c>
      <c r="I1897" s="66" t="inlineStr">
        <is>
          <t>Range Offer</t>
        </is>
      </c>
      <c r="J1897" s="66" t="inlineStr">
        <is>
          <t>PROG_3PD_INMKT_AUTO</t>
        </is>
      </c>
      <c r="K1897" s="66" t="inlineStr">
        <is>
          <t>In-Market</t>
        </is>
      </c>
      <c r="L1897" s="66" t="inlineStr">
        <is>
          <t>PROG_HTML5_970x250_Hero_v1</t>
        </is>
      </c>
      <c r="M1897" s="66" t="inlineStr">
        <is>
          <t>HTML5 Display 970x250</t>
        </is>
      </c>
      <c r="N1897" s="66" t="inlineStr">
        <is>
          <t>The Lepas range has landed</t>
        </is>
      </c>
      <c r="O1897" s="66" t="inlineStr">
        <is>
          <t>Programmatic Guaranteed / OA</t>
        </is>
      </c>
      <c r="P1897" s="66" t="inlineStr">
        <is>
          <t>Conversions (CPA)</t>
        </is>
      </c>
      <c r="Q1897" s="66" t="inlineStr">
        <is>
          <t>https://www.lepas-sa.co.za/offers</t>
        </is>
      </c>
      <c r="R1897" s="121" t="n">
        <v>120.56</v>
      </c>
      <c r="S1897" s="122" t="n">
        <v>6200</v>
      </c>
      <c r="T1897" s="122" t="n">
        <v>3559</v>
      </c>
      <c r="U1897" s="123">
        <f>IFERROR(S1897/T1897,"")</f>
        <v/>
      </c>
      <c r="V1897" s="122" t="n">
        <v>17</v>
      </c>
      <c r="W1897" s="122" t="n">
        <v>12</v>
      </c>
      <c r="X1897" s="124">
        <f>IFERROR(W1897/S1897,"")</f>
        <v/>
      </c>
      <c r="Y1897" s="121">
        <f>IFERROR(R1897/W1897,"")</f>
        <v/>
      </c>
      <c r="Z1897" s="121">
        <f>IFERROR(R1897/S1897*1000,"")</f>
        <v/>
      </c>
      <c r="AA1897" s="122" t="n">
        <v>8</v>
      </c>
      <c r="AB1897" s="54">
        <f>IFERROR(AA1897/W1897,"")</f>
        <v/>
      </c>
      <c r="AC1897" s="122" t="n">
        <v>0</v>
      </c>
      <c r="AD1897" s="122" t="n">
        <v>0</v>
      </c>
      <c r="AE1897" s="122" t="n">
        <v>0</v>
      </c>
      <c r="AF1897" s="122" t="n">
        <v>0</v>
      </c>
      <c r="AG1897" s="122" t="n">
        <v>0</v>
      </c>
      <c r="AH1897" s="122" t="n">
        <v>0</v>
      </c>
      <c r="AI1897" s="54">
        <f>IFERROR(AC1897/S1897,"")</f>
        <v/>
      </c>
      <c r="AJ1897" s="54">
        <f>IFERROR(AH1897/S1897,"")</f>
        <v/>
      </c>
      <c r="AK1897" s="122" t="n">
        <v>17</v>
      </c>
      <c r="AL1897" s="122" t="n">
        <v>0</v>
      </c>
      <c r="AM1897" s="124">
        <f>IFERROR(AL1897/AA1897,"")</f>
        <v/>
      </c>
      <c r="AN1897" s="125">
        <f>IFERROR(R1897/AL1897,"")</f>
        <v/>
      </c>
      <c r="AO1897" s="122" t="n">
        <v>0</v>
      </c>
      <c r="AP1897" s="54">
        <f>IFERROR(AO1897/AL1897,"")</f>
        <v/>
      </c>
      <c r="AQ1897" s="125">
        <f>IFERROR(R1897/AO1897,"")</f>
        <v/>
      </c>
      <c r="AR1897" s="122" t="n">
        <v>0</v>
      </c>
      <c r="AS1897" s="122" t="n">
        <v>0</v>
      </c>
      <c r="AT1897" s="122">
        <f>AL1897+AR1897</f>
        <v/>
      </c>
      <c r="AU1897" s="125">
        <f>IFERROR(AO1897*Assumptions!$C$26*Assumptions!$C$27*INDEX(Assumptions!$C$18:$C$21,MATCH(H1897,Assumptions!$B$18:$B$21,0)),0)</f>
        <v/>
      </c>
    </row>
    <row r="1898">
      <c r="A1898" s="120" t="n">
        <v>46246</v>
      </c>
      <c r="B1898" s="66" t="inlineStr">
        <is>
          <t>Wk 33</t>
        </is>
      </c>
      <c r="C1898" s="66" t="inlineStr">
        <is>
          <t>Wed</t>
        </is>
      </c>
      <c r="D1898" s="66" t="inlineStr">
        <is>
          <t>Programmatic</t>
        </is>
      </c>
      <c r="E1898" s="66" t="inlineStr">
        <is>
          <t>DV360</t>
        </is>
      </c>
      <c r="F1898" s="66" t="inlineStr">
        <is>
          <t>LEP_ZA_AUG26_PROG_TD_PROSPECT_DISPLAY</t>
        </is>
      </c>
      <c r="G1898" s="66" t="inlineStr">
        <is>
          <t>Display Prospecting</t>
        </is>
      </c>
      <c r="H1898" s="66" t="inlineStr">
        <is>
          <t>Range</t>
        </is>
      </c>
      <c r="I1898" s="66" t="inlineStr">
        <is>
          <t>Range Offer</t>
        </is>
      </c>
      <c r="J1898" s="66" t="inlineStr">
        <is>
          <t>PROG_3PD_INMKT_AUTO</t>
        </is>
      </c>
      <c r="K1898" s="66" t="inlineStr">
        <is>
          <t>In-Market</t>
        </is>
      </c>
      <c r="L1898" s="66" t="inlineStr">
        <is>
          <t>PROG_HTML5_970x250_Hero_v1</t>
        </is>
      </c>
      <c r="M1898" s="66" t="inlineStr">
        <is>
          <t>HTML5 Display 970x250</t>
        </is>
      </c>
      <c r="N1898" s="66" t="inlineStr">
        <is>
          <t>The Lepas range has landed</t>
        </is>
      </c>
      <c r="O1898" s="66" t="inlineStr">
        <is>
          <t>Programmatic Guaranteed / OA</t>
        </is>
      </c>
      <c r="P1898" s="66" t="inlineStr">
        <is>
          <t>Conversions (CPA)</t>
        </is>
      </c>
      <c r="Q1898" s="66" t="inlineStr">
        <is>
          <t>https://www.lepas-sa.co.za/offers</t>
        </is>
      </c>
      <c r="R1898" s="121" t="n">
        <v>117.51</v>
      </c>
      <c r="S1898" s="122" t="n">
        <v>3149</v>
      </c>
      <c r="T1898" s="122" t="n">
        <v>1520</v>
      </c>
      <c r="U1898" s="123">
        <f>IFERROR(S1898/T1898,"")</f>
        <v/>
      </c>
      <c r="V1898" s="122" t="n">
        <v>15</v>
      </c>
      <c r="W1898" s="122" t="n">
        <v>11</v>
      </c>
      <c r="X1898" s="124">
        <f>IFERROR(W1898/S1898,"")</f>
        <v/>
      </c>
      <c r="Y1898" s="121">
        <f>IFERROR(R1898/W1898,"")</f>
        <v/>
      </c>
      <c r="Z1898" s="121">
        <f>IFERROR(R1898/S1898*1000,"")</f>
        <v/>
      </c>
      <c r="AA1898" s="122" t="n">
        <v>6</v>
      </c>
      <c r="AB1898" s="54">
        <f>IFERROR(AA1898/W1898,"")</f>
        <v/>
      </c>
      <c r="AC1898" s="122" t="n">
        <v>0</v>
      </c>
      <c r="AD1898" s="122" t="n">
        <v>0</v>
      </c>
      <c r="AE1898" s="122" t="n">
        <v>0</v>
      </c>
      <c r="AF1898" s="122" t="n">
        <v>0</v>
      </c>
      <c r="AG1898" s="122" t="n">
        <v>0</v>
      </c>
      <c r="AH1898" s="122" t="n">
        <v>0</v>
      </c>
      <c r="AI1898" s="54">
        <f>IFERROR(AC1898/S1898,"")</f>
        <v/>
      </c>
      <c r="AJ1898" s="54">
        <f>IFERROR(AH1898/S1898,"")</f>
        <v/>
      </c>
      <c r="AK1898" s="122" t="n">
        <v>8</v>
      </c>
      <c r="AL1898" s="122" t="n">
        <v>1</v>
      </c>
      <c r="AM1898" s="124">
        <f>IFERROR(AL1898/AA1898,"")</f>
        <v/>
      </c>
      <c r="AN1898" s="125">
        <f>IFERROR(R1898/AL1898,"")</f>
        <v/>
      </c>
      <c r="AO1898" s="122" t="n">
        <v>0</v>
      </c>
      <c r="AP1898" s="54">
        <f>IFERROR(AO1898/AL1898,"")</f>
        <v/>
      </c>
      <c r="AQ1898" s="125">
        <f>IFERROR(R1898/AO1898,"")</f>
        <v/>
      </c>
      <c r="AR1898" s="122" t="n">
        <v>1</v>
      </c>
      <c r="AS1898" s="122" t="n">
        <v>1</v>
      </c>
      <c r="AT1898" s="122">
        <f>AL1898+AR1898</f>
        <v/>
      </c>
      <c r="AU1898" s="125">
        <f>IFERROR(AO1898*Assumptions!$C$26*Assumptions!$C$27*INDEX(Assumptions!$C$18:$C$21,MATCH(H1898,Assumptions!$B$18:$B$21,0)),0)</f>
        <v/>
      </c>
    </row>
    <row r="1899">
      <c r="A1899" s="120" t="n">
        <v>46247</v>
      </c>
      <c r="B1899" s="66" t="inlineStr">
        <is>
          <t>Wk 33</t>
        </is>
      </c>
      <c r="C1899" s="66" t="inlineStr">
        <is>
          <t>Thu</t>
        </is>
      </c>
      <c r="D1899" s="66" t="inlineStr">
        <is>
          <t>Programmatic</t>
        </is>
      </c>
      <c r="E1899" s="66" t="inlineStr">
        <is>
          <t>DV360</t>
        </is>
      </c>
      <c r="F1899" s="66" t="inlineStr">
        <is>
          <t>LEP_ZA_AUG26_PROG_TD_PROSPECT_DISPLAY</t>
        </is>
      </c>
      <c r="G1899" s="66" t="inlineStr">
        <is>
          <t>Display Prospecting</t>
        </is>
      </c>
      <c r="H1899" s="66" t="inlineStr">
        <is>
          <t>Range</t>
        </is>
      </c>
      <c r="I1899" s="66" t="inlineStr">
        <is>
          <t>Range Offer</t>
        </is>
      </c>
      <c r="J1899" s="66" t="inlineStr">
        <is>
          <t>PROG_3PD_INMKT_AUTO</t>
        </is>
      </c>
      <c r="K1899" s="66" t="inlineStr">
        <is>
          <t>In-Market</t>
        </is>
      </c>
      <c r="L1899" s="66" t="inlineStr">
        <is>
          <t>PROG_HTML5_970x250_Hero_v1</t>
        </is>
      </c>
      <c r="M1899" s="66" t="inlineStr">
        <is>
          <t>HTML5 Display 970x250</t>
        </is>
      </c>
      <c r="N1899" s="66" t="inlineStr">
        <is>
          <t>The Lepas range has landed</t>
        </is>
      </c>
      <c r="O1899" s="66" t="inlineStr">
        <is>
          <t>Programmatic Guaranteed / OA</t>
        </is>
      </c>
      <c r="P1899" s="66" t="inlineStr">
        <is>
          <t>Conversions (CPA)</t>
        </is>
      </c>
      <c r="Q1899" s="66" t="inlineStr">
        <is>
          <t>https://www.lepas-sa.co.za/offers</t>
        </is>
      </c>
      <c r="R1899" s="121" t="n">
        <v>141.4</v>
      </c>
      <c r="S1899" s="122" t="n">
        <v>3882</v>
      </c>
      <c r="T1899" s="122" t="n">
        <v>1915</v>
      </c>
      <c r="U1899" s="123">
        <f>IFERROR(S1899/T1899,"")</f>
        <v/>
      </c>
      <c r="V1899" s="122" t="n">
        <v>16</v>
      </c>
      <c r="W1899" s="122" t="n">
        <v>12</v>
      </c>
      <c r="X1899" s="124">
        <f>IFERROR(W1899/S1899,"")</f>
        <v/>
      </c>
      <c r="Y1899" s="121">
        <f>IFERROR(R1899/W1899,"")</f>
        <v/>
      </c>
      <c r="Z1899" s="121">
        <f>IFERROR(R1899/S1899*1000,"")</f>
        <v/>
      </c>
      <c r="AA1899" s="122" t="n">
        <v>6</v>
      </c>
      <c r="AB1899" s="54">
        <f>IFERROR(AA1899/W1899,"")</f>
        <v/>
      </c>
      <c r="AC1899" s="122" t="n">
        <v>0</v>
      </c>
      <c r="AD1899" s="122" t="n">
        <v>0</v>
      </c>
      <c r="AE1899" s="122" t="n">
        <v>0</v>
      </c>
      <c r="AF1899" s="122" t="n">
        <v>0</v>
      </c>
      <c r="AG1899" s="122" t="n">
        <v>0</v>
      </c>
      <c r="AH1899" s="122" t="n">
        <v>0</v>
      </c>
      <c r="AI1899" s="54">
        <f>IFERROR(AC1899/S1899,"")</f>
        <v/>
      </c>
      <c r="AJ1899" s="54">
        <f>IFERROR(AH1899/S1899,"")</f>
        <v/>
      </c>
      <c r="AK1899" s="122" t="n">
        <v>11</v>
      </c>
      <c r="AL1899" s="122" t="n">
        <v>1</v>
      </c>
      <c r="AM1899" s="124">
        <f>IFERROR(AL1899/AA1899,"")</f>
        <v/>
      </c>
      <c r="AN1899" s="125">
        <f>IFERROR(R1899/AL1899,"")</f>
        <v/>
      </c>
      <c r="AO1899" s="122" t="n">
        <v>0</v>
      </c>
      <c r="AP1899" s="54">
        <f>IFERROR(AO1899/AL1899,"")</f>
        <v/>
      </c>
      <c r="AQ1899" s="125">
        <f>IFERROR(R1899/AO1899,"")</f>
        <v/>
      </c>
      <c r="AR1899" s="122" t="n">
        <v>2</v>
      </c>
      <c r="AS1899" s="122" t="n">
        <v>1</v>
      </c>
      <c r="AT1899" s="122">
        <f>AL1899+AR1899</f>
        <v/>
      </c>
      <c r="AU1899" s="125">
        <f>IFERROR(AO1899*Assumptions!$C$26*Assumptions!$C$27*INDEX(Assumptions!$C$18:$C$21,MATCH(H1899,Assumptions!$B$18:$B$21,0)),0)</f>
        <v/>
      </c>
    </row>
    <row r="1900">
      <c r="A1900" s="120" t="n">
        <v>46248</v>
      </c>
      <c r="B1900" s="66" t="inlineStr">
        <is>
          <t>Wk 33</t>
        </is>
      </c>
      <c r="C1900" s="66" t="inlineStr">
        <is>
          <t>Fri</t>
        </is>
      </c>
      <c r="D1900" s="66" t="inlineStr">
        <is>
          <t>Programmatic</t>
        </is>
      </c>
      <c r="E1900" s="66" t="inlineStr">
        <is>
          <t>DV360</t>
        </is>
      </c>
      <c r="F1900" s="66" t="inlineStr">
        <is>
          <t>LEP_ZA_AUG26_PROG_TD_PROSPECT_DISPLAY</t>
        </is>
      </c>
      <c r="G1900" s="66" t="inlineStr">
        <is>
          <t>Display Prospecting</t>
        </is>
      </c>
      <c r="H1900" s="66" t="inlineStr">
        <is>
          <t>Range</t>
        </is>
      </c>
      <c r="I1900" s="66" t="inlineStr">
        <is>
          <t>Range Offer</t>
        </is>
      </c>
      <c r="J1900" s="66" t="inlineStr">
        <is>
          <t>PROG_3PD_INMKT_AUTO</t>
        </is>
      </c>
      <c r="K1900" s="66" t="inlineStr">
        <is>
          <t>In-Market</t>
        </is>
      </c>
      <c r="L1900" s="66" t="inlineStr">
        <is>
          <t>PROG_HTML5_970x250_Hero_v1</t>
        </is>
      </c>
      <c r="M1900" s="66" t="inlineStr">
        <is>
          <t>HTML5 Display 970x250</t>
        </is>
      </c>
      <c r="N1900" s="66" t="inlineStr">
        <is>
          <t>The Lepas range has landed</t>
        </is>
      </c>
      <c r="O1900" s="66" t="inlineStr">
        <is>
          <t>Programmatic Guaranteed / OA</t>
        </is>
      </c>
      <c r="P1900" s="66" t="inlineStr">
        <is>
          <t>Conversions (CPA)</t>
        </is>
      </c>
      <c r="Q1900" s="66" t="inlineStr">
        <is>
          <t>https://www.lepas-sa.co.za/offers</t>
        </is>
      </c>
      <c r="R1900" s="121" t="n">
        <v>133.11</v>
      </c>
      <c r="S1900" s="122" t="n">
        <v>4867</v>
      </c>
      <c r="T1900" s="122" t="n">
        <v>2123</v>
      </c>
      <c r="U1900" s="123">
        <f>IFERROR(S1900/T1900,"")</f>
        <v/>
      </c>
      <c r="V1900" s="122" t="n">
        <v>5</v>
      </c>
      <c r="W1900" s="122" t="n">
        <v>4</v>
      </c>
      <c r="X1900" s="124">
        <f>IFERROR(W1900/S1900,"")</f>
        <v/>
      </c>
      <c r="Y1900" s="121">
        <f>IFERROR(R1900/W1900,"")</f>
        <v/>
      </c>
      <c r="Z1900" s="121">
        <f>IFERROR(R1900/S1900*1000,"")</f>
        <v/>
      </c>
      <c r="AA1900" s="122" t="n">
        <v>2</v>
      </c>
      <c r="AB1900" s="54">
        <f>IFERROR(AA1900/W1900,"")</f>
        <v/>
      </c>
      <c r="AC1900" s="122" t="n">
        <v>0</v>
      </c>
      <c r="AD1900" s="122" t="n">
        <v>0</v>
      </c>
      <c r="AE1900" s="122" t="n">
        <v>0</v>
      </c>
      <c r="AF1900" s="122" t="n">
        <v>0</v>
      </c>
      <c r="AG1900" s="122" t="n">
        <v>0</v>
      </c>
      <c r="AH1900" s="122" t="n">
        <v>0</v>
      </c>
      <c r="AI1900" s="54">
        <f>IFERROR(AC1900/S1900,"")</f>
        <v/>
      </c>
      <c r="AJ1900" s="54">
        <f>IFERROR(AH1900/S1900,"")</f>
        <v/>
      </c>
      <c r="AK1900" s="122" t="n">
        <v>18</v>
      </c>
      <c r="AL1900" s="122" t="n">
        <v>0</v>
      </c>
      <c r="AM1900" s="124">
        <f>IFERROR(AL1900/AA1900,"")</f>
        <v/>
      </c>
      <c r="AN1900" s="125">
        <f>IFERROR(R1900/AL1900,"")</f>
        <v/>
      </c>
      <c r="AO1900" s="122" t="n">
        <v>0</v>
      </c>
      <c r="AP1900" s="54">
        <f>IFERROR(AO1900/AL1900,"")</f>
        <v/>
      </c>
      <c r="AQ1900" s="125">
        <f>IFERROR(R1900/AO1900,"")</f>
        <v/>
      </c>
      <c r="AR1900" s="122" t="n">
        <v>0</v>
      </c>
      <c r="AS1900" s="122" t="n">
        <v>0</v>
      </c>
      <c r="AT1900" s="122">
        <f>AL1900+AR1900</f>
        <v/>
      </c>
      <c r="AU1900" s="125">
        <f>IFERROR(AO1900*Assumptions!$C$26*Assumptions!$C$27*INDEX(Assumptions!$C$18:$C$21,MATCH(H1900,Assumptions!$B$18:$B$21,0)),0)</f>
        <v/>
      </c>
    </row>
    <row r="1901">
      <c r="A1901" s="120" t="n">
        <v>46249</v>
      </c>
      <c r="B1901" s="66" t="inlineStr">
        <is>
          <t>Wk 33</t>
        </is>
      </c>
      <c r="C1901" s="66" t="inlineStr">
        <is>
          <t>Sat</t>
        </is>
      </c>
      <c r="D1901" s="66" t="inlineStr">
        <is>
          <t>Programmatic</t>
        </is>
      </c>
      <c r="E1901" s="66" t="inlineStr">
        <is>
          <t>DV360</t>
        </is>
      </c>
      <c r="F1901" s="66" t="inlineStr">
        <is>
          <t>LEP_ZA_AUG26_PROG_TD_PROSPECT_DISPLAY</t>
        </is>
      </c>
      <c r="G1901" s="66" t="inlineStr">
        <is>
          <t>Display Prospecting</t>
        </is>
      </c>
      <c r="H1901" s="66" t="inlineStr">
        <is>
          <t>Range</t>
        </is>
      </c>
      <c r="I1901" s="66" t="inlineStr">
        <is>
          <t>Range Offer</t>
        </is>
      </c>
      <c r="J1901" s="66" t="inlineStr">
        <is>
          <t>PROG_3PD_INMKT_AUTO</t>
        </is>
      </c>
      <c r="K1901" s="66" t="inlineStr">
        <is>
          <t>In-Market</t>
        </is>
      </c>
      <c r="L1901" s="66" t="inlineStr">
        <is>
          <t>PROG_HTML5_970x250_Hero_v1</t>
        </is>
      </c>
      <c r="M1901" s="66" t="inlineStr">
        <is>
          <t>HTML5 Display 970x250</t>
        </is>
      </c>
      <c r="N1901" s="66" t="inlineStr">
        <is>
          <t>The Lepas range has landed</t>
        </is>
      </c>
      <c r="O1901" s="66" t="inlineStr">
        <is>
          <t>Programmatic Guaranteed / OA</t>
        </is>
      </c>
      <c r="P1901" s="66" t="inlineStr">
        <is>
          <t>Conversions (CPA)</t>
        </is>
      </c>
      <c r="Q1901" s="66" t="inlineStr">
        <is>
          <t>https://www.lepas-sa.co.za/offers</t>
        </is>
      </c>
      <c r="R1901" s="121" t="n">
        <v>138.76</v>
      </c>
      <c r="S1901" s="122" t="n">
        <v>3716</v>
      </c>
      <c r="T1901" s="122" t="n">
        <v>1735</v>
      </c>
      <c r="U1901" s="123">
        <f>IFERROR(S1901/T1901,"")</f>
        <v/>
      </c>
      <c r="V1901" s="122" t="n">
        <v>10</v>
      </c>
      <c r="W1901" s="122" t="n">
        <v>9</v>
      </c>
      <c r="X1901" s="124">
        <f>IFERROR(W1901/S1901,"")</f>
        <v/>
      </c>
      <c r="Y1901" s="121">
        <f>IFERROR(R1901/W1901,"")</f>
        <v/>
      </c>
      <c r="Z1901" s="121">
        <f>IFERROR(R1901/S1901*1000,"")</f>
        <v/>
      </c>
      <c r="AA1901" s="122" t="n">
        <v>6</v>
      </c>
      <c r="AB1901" s="54">
        <f>IFERROR(AA1901/W1901,"")</f>
        <v/>
      </c>
      <c r="AC1901" s="122" t="n">
        <v>0</v>
      </c>
      <c r="AD1901" s="122" t="n">
        <v>0</v>
      </c>
      <c r="AE1901" s="122" t="n">
        <v>0</v>
      </c>
      <c r="AF1901" s="122" t="n">
        <v>0</v>
      </c>
      <c r="AG1901" s="122" t="n">
        <v>0</v>
      </c>
      <c r="AH1901" s="122" t="n">
        <v>0</v>
      </c>
      <c r="AI1901" s="54">
        <f>IFERROR(AC1901/S1901,"")</f>
        <v/>
      </c>
      <c r="AJ1901" s="54">
        <f>IFERROR(AH1901/S1901,"")</f>
        <v/>
      </c>
      <c r="AK1901" s="122" t="n">
        <v>21</v>
      </c>
      <c r="AL1901" s="122" t="n">
        <v>0</v>
      </c>
      <c r="AM1901" s="124">
        <f>IFERROR(AL1901/AA1901,"")</f>
        <v/>
      </c>
      <c r="AN1901" s="125">
        <f>IFERROR(R1901/AL1901,"")</f>
        <v/>
      </c>
      <c r="AO1901" s="122" t="n">
        <v>0</v>
      </c>
      <c r="AP1901" s="54">
        <f>IFERROR(AO1901/AL1901,"")</f>
        <v/>
      </c>
      <c r="AQ1901" s="125">
        <f>IFERROR(R1901/AO1901,"")</f>
        <v/>
      </c>
      <c r="AR1901" s="122" t="n">
        <v>0</v>
      </c>
      <c r="AS1901" s="122" t="n">
        <v>0</v>
      </c>
      <c r="AT1901" s="122">
        <f>AL1901+AR1901</f>
        <v/>
      </c>
      <c r="AU1901" s="125">
        <f>IFERROR(AO1901*Assumptions!$C$26*Assumptions!$C$27*INDEX(Assumptions!$C$18:$C$21,MATCH(H1901,Assumptions!$B$18:$B$21,0)),0)</f>
        <v/>
      </c>
    </row>
    <row r="1902">
      <c r="A1902" s="120" t="n">
        <v>46250</v>
      </c>
      <c r="B1902" s="66" t="inlineStr">
        <is>
          <t>Wk 33</t>
        </is>
      </c>
      <c r="C1902" s="66" t="inlineStr">
        <is>
          <t>Sun</t>
        </is>
      </c>
      <c r="D1902" s="66" t="inlineStr">
        <is>
          <t>Programmatic</t>
        </is>
      </c>
      <c r="E1902" s="66" t="inlineStr">
        <is>
          <t>DV360</t>
        </is>
      </c>
      <c r="F1902" s="66" t="inlineStr">
        <is>
          <t>LEP_ZA_AUG26_PROG_TD_PROSPECT_DISPLAY</t>
        </is>
      </c>
      <c r="G1902" s="66" t="inlineStr">
        <is>
          <t>Display Prospecting</t>
        </is>
      </c>
      <c r="H1902" s="66" t="inlineStr">
        <is>
          <t>Range</t>
        </is>
      </c>
      <c r="I1902" s="66" t="inlineStr">
        <is>
          <t>Range Offer</t>
        </is>
      </c>
      <c r="J1902" s="66" t="inlineStr">
        <is>
          <t>PROG_3PD_INMKT_AUTO</t>
        </is>
      </c>
      <c r="K1902" s="66" t="inlineStr">
        <is>
          <t>In-Market</t>
        </is>
      </c>
      <c r="L1902" s="66" t="inlineStr">
        <is>
          <t>PROG_HTML5_970x250_Hero_v1</t>
        </is>
      </c>
      <c r="M1902" s="66" t="inlineStr">
        <is>
          <t>HTML5 Display 970x250</t>
        </is>
      </c>
      <c r="N1902" s="66" t="inlineStr">
        <is>
          <t>The Lepas range has landed</t>
        </is>
      </c>
      <c r="O1902" s="66" t="inlineStr">
        <is>
          <t>Programmatic Guaranteed / OA</t>
        </is>
      </c>
      <c r="P1902" s="66" t="inlineStr">
        <is>
          <t>Conversions (CPA)</t>
        </is>
      </c>
      <c r="Q1902" s="66" t="inlineStr">
        <is>
          <t>https://www.lepas-sa.co.za/offers</t>
        </is>
      </c>
      <c r="R1902" s="121" t="n">
        <v>86.65000000000001</v>
      </c>
      <c r="S1902" s="122" t="n">
        <v>2597</v>
      </c>
      <c r="T1902" s="122" t="n">
        <v>1605</v>
      </c>
      <c r="U1902" s="123">
        <f>IFERROR(S1902/T1902,"")</f>
        <v/>
      </c>
      <c r="V1902" s="122" t="n">
        <v>2</v>
      </c>
      <c r="W1902" s="122" t="n">
        <v>2</v>
      </c>
      <c r="X1902" s="124">
        <f>IFERROR(W1902/S1902,"")</f>
        <v/>
      </c>
      <c r="Y1902" s="121">
        <f>IFERROR(R1902/W1902,"")</f>
        <v/>
      </c>
      <c r="Z1902" s="121">
        <f>IFERROR(R1902/S1902*1000,"")</f>
        <v/>
      </c>
      <c r="AA1902" s="122" t="n">
        <v>1</v>
      </c>
      <c r="AB1902" s="54">
        <f>IFERROR(AA1902/W1902,"")</f>
        <v/>
      </c>
      <c r="AC1902" s="122" t="n">
        <v>0</v>
      </c>
      <c r="AD1902" s="122" t="n">
        <v>0</v>
      </c>
      <c r="AE1902" s="122" t="n">
        <v>0</v>
      </c>
      <c r="AF1902" s="122" t="n">
        <v>0</v>
      </c>
      <c r="AG1902" s="122" t="n">
        <v>0</v>
      </c>
      <c r="AH1902" s="122" t="n">
        <v>0</v>
      </c>
      <c r="AI1902" s="54">
        <f>IFERROR(AC1902/S1902,"")</f>
        <v/>
      </c>
      <c r="AJ1902" s="54">
        <f>IFERROR(AH1902/S1902,"")</f>
        <v/>
      </c>
      <c r="AK1902" s="122" t="n">
        <v>14</v>
      </c>
      <c r="AL1902" s="122" t="n">
        <v>0</v>
      </c>
      <c r="AM1902" s="124">
        <f>IFERROR(AL1902/AA1902,"")</f>
        <v/>
      </c>
      <c r="AN1902" s="125">
        <f>IFERROR(R1902/AL1902,"")</f>
        <v/>
      </c>
      <c r="AO1902" s="122" t="n">
        <v>0</v>
      </c>
      <c r="AP1902" s="54">
        <f>IFERROR(AO1902/AL1902,"")</f>
        <v/>
      </c>
      <c r="AQ1902" s="125">
        <f>IFERROR(R1902/AO1902,"")</f>
        <v/>
      </c>
      <c r="AR1902" s="122" t="n">
        <v>0</v>
      </c>
      <c r="AS1902" s="122" t="n">
        <v>0</v>
      </c>
      <c r="AT1902" s="122">
        <f>AL1902+AR1902</f>
        <v/>
      </c>
      <c r="AU1902" s="125">
        <f>IFERROR(AO1902*Assumptions!$C$26*Assumptions!$C$27*INDEX(Assumptions!$C$18:$C$21,MATCH(H1902,Assumptions!$B$18:$B$21,0)),0)</f>
        <v/>
      </c>
    </row>
    <row r="1903">
      <c r="A1903" s="120" t="n">
        <v>46251</v>
      </c>
      <c r="B1903" s="66" t="inlineStr">
        <is>
          <t>Wk 34</t>
        </is>
      </c>
      <c r="C1903" s="66" t="inlineStr">
        <is>
          <t>Mon</t>
        </is>
      </c>
      <c r="D1903" s="66" t="inlineStr">
        <is>
          <t>Programmatic</t>
        </is>
      </c>
      <c r="E1903" s="66" t="inlineStr">
        <is>
          <t>DV360</t>
        </is>
      </c>
      <c r="F1903" s="66" t="inlineStr">
        <is>
          <t>LEP_ZA_AUG26_PROG_TD_PROSPECT_DISPLAY</t>
        </is>
      </c>
      <c r="G1903" s="66" t="inlineStr">
        <is>
          <t>Display Prospecting</t>
        </is>
      </c>
      <c r="H1903" s="66" t="inlineStr">
        <is>
          <t>Range</t>
        </is>
      </c>
      <c r="I1903" s="66" t="inlineStr">
        <is>
          <t>Range Offer</t>
        </is>
      </c>
      <c r="J1903" s="66" t="inlineStr">
        <is>
          <t>PROG_3PD_INMKT_AUTO</t>
        </is>
      </c>
      <c r="K1903" s="66" t="inlineStr">
        <is>
          <t>In-Market</t>
        </is>
      </c>
      <c r="L1903" s="66" t="inlineStr">
        <is>
          <t>PROG_HTML5_970x250_Hero_v1</t>
        </is>
      </c>
      <c r="M1903" s="66" t="inlineStr">
        <is>
          <t>HTML5 Display 970x250</t>
        </is>
      </c>
      <c r="N1903" s="66" t="inlineStr">
        <is>
          <t>The Lepas range has landed</t>
        </is>
      </c>
      <c r="O1903" s="66" t="inlineStr">
        <is>
          <t>Programmatic Guaranteed / OA</t>
        </is>
      </c>
      <c r="P1903" s="66" t="inlineStr">
        <is>
          <t>Conversions (CPA)</t>
        </is>
      </c>
      <c r="Q1903" s="66" t="inlineStr">
        <is>
          <t>https://www.lepas-sa.co.za/offers</t>
        </is>
      </c>
      <c r="R1903" s="121" t="n">
        <v>91.15000000000001</v>
      </c>
      <c r="S1903" s="122" t="n">
        <v>3375</v>
      </c>
      <c r="T1903" s="122" t="n">
        <v>1347</v>
      </c>
      <c r="U1903" s="123">
        <f>IFERROR(S1903/T1903,"")</f>
        <v/>
      </c>
      <c r="V1903" s="122" t="n">
        <v>13</v>
      </c>
      <c r="W1903" s="122" t="n">
        <v>9</v>
      </c>
      <c r="X1903" s="124">
        <f>IFERROR(W1903/S1903,"")</f>
        <v/>
      </c>
      <c r="Y1903" s="121">
        <f>IFERROR(R1903/W1903,"")</f>
        <v/>
      </c>
      <c r="Z1903" s="121">
        <f>IFERROR(R1903/S1903*1000,"")</f>
        <v/>
      </c>
      <c r="AA1903" s="122" t="n">
        <v>5</v>
      </c>
      <c r="AB1903" s="54">
        <f>IFERROR(AA1903/W1903,"")</f>
        <v/>
      </c>
      <c r="AC1903" s="122" t="n">
        <v>0</v>
      </c>
      <c r="AD1903" s="122" t="n">
        <v>0</v>
      </c>
      <c r="AE1903" s="122" t="n">
        <v>0</v>
      </c>
      <c r="AF1903" s="122" t="n">
        <v>0</v>
      </c>
      <c r="AG1903" s="122" t="n">
        <v>0</v>
      </c>
      <c r="AH1903" s="122" t="n">
        <v>0</v>
      </c>
      <c r="AI1903" s="54">
        <f>IFERROR(AC1903/S1903,"")</f>
        <v/>
      </c>
      <c r="AJ1903" s="54">
        <f>IFERROR(AH1903/S1903,"")</f>
        <v/>
      </c>
      <c r="AK1903" s="122" t="n">
        <v>14</v>
      </c>
      <c r="AL1903" s="122" t="n">
        <v>1</v>
      </c>
      <c r="AM1903" s="124">
        <f>IFERROR(AL1903/AA1903,"")</f>
        <v/>
      </c>
      <c r="AN1903" s="125">
        <f>IFERROR(R1903/AL1903,"")</f>
        <v/>
      </c>
      <c r="AO1903" s="122" t="n">
        <v>1</v>
      </c>
      <c r="AP1903" s="54">
        <f>IFERROR(AO1903/AL1903,"")</f>
        <v/>
      </c>
      <c r="AQ1903" s="125">
        <f>IFERROR(R1903/AO1903,"")</f>
        <v/>
      </c>
      <c r="AR1903" s="122" t="n">
        <v>3</v>
      </c>
      <c r="AS1903" s="122" t="n">
        <v>1</v>
      </c>
      <c r="AT1903" s="122">
        <f>AL1903+AR1903</f>
        <v/>
      </c>
      <c r="AU1903" s="125">
        <f>IFERROR(AO1903*Assumptions!$C$26*Assumptions!$C$27*INDEX(Assumptions!$C$18:$C$21,MATCH(H1903,Assumptions!$B$18:$B$21,0)),0)</f>
        <v/>
      </c>
    </row>
    <row r="1904">
      <c r="A1904" s="120" t="n">
        <v>46252</v>
      </c>
      <c r="B1904" s="66" t="inlineStr">
        <is>
          <t>Wk 34</t>
        </is>
      </c>
      <c r="C1904" s="66" t="inlineStr">
        <is>
          <t>Tue</t>
        </is>
      </c>
      <c r="D1904" s="66" t="inlineStr">
        <is>
          <t>Programmatic</t>
        </is>
      </c>
      <c r="E1904" s="66" t="inlineStr">
        <is>
          <t>DV360</t>
        </is>
      </c>
      <c r="F1904" s="66" t="inlineStr">
        <is>
          <t>LEP_ZA_AUG26_PROG_TD_PROSPECT_DISPLAY</t>
        </is>
      </c>
      <c r="G1904" s="66" t="inlineStr">
        <is>
          <t>Display Prospecting</t>
        </is>
      </c>
      <c r="H1904" s="66" t="inlineStr">
        <is>
          <t>Range</t>
        </is>
      </c>
      <c r="I1904" s="66" t="inlineStr">
        <is>
          <t>Range Offer</t>
        </is>
      </c>
      <c r="J1904" s="66" t="inlineStr">
        <is>
          <t>PROG_3PD_INMKT_AUTO</t>
        </is>
      </c>
      <c r="K1904" s="66" t="inlineStr">
        <is>
          <t>In-Market</t>
        </is>
      </c>
      <c r="L1904" s="66" t="inlineStr">
        <is>
          <t>PROG_HTML5_970x250_Hero_v1</t>
        </is>
      </c>
      <c r="M1904" s="66" t="inlineStr">
        <is>
          <t>HTML5 Display 970x250</t>
        </is>
      </c>
      <c r="N1904" s="66" t="inlineStr">
        <is>
          <t>The Lepas range has landed</t>
        </is>
      </c>
      <c r="O1904" s="66" t="inlineStr">
        <is>
          <t>Programmatic Guaranteed / OA</t>
        </is>
      </c>
      <c r="P1904" s="66" t="inlineStr">
        <is>
          <t>Conversions (CPA)</t>
        </is>
      </c>
      <c r="Q1904" s="66" t="inlineStr">
        <is>
          <t>https://www.lepas-sa.co.za/offers</t>
        </is>
      </c>
      <c r="R1904" s="121" t="n">
        <v>105.22</v>
      </c>
      <c r="S1904" s="122" t="n">
        <v>4004</v>
      </c>
      <c r="T1904" s="122" t="n">
        <v>1563</v>
      </c>
      <c r="U1904" s="123">
        <f>IFERROR(S1904/T1904,"")</f>
        <v/>
      </c>
      <c r="V1904" s="122" t="n">
        <v>6</v>
      </c>
      <c r="W1904" s="122" t="n">
        <v>5</v>
      </c>
      <c r="X1904" s="124">
        <f>IFERROR(W1904/S1904,"")</f>
        <v/>
      </c>
      <c r="Y1904" s="121">
        <f>IFERROR(R1904/W1904,"")</f>
        <v/>
      </c>
      <c r="Z1904" s="121">
        <f>IFERROR(R1904/S1904*1000,"")</f>
        <v/>
      </c>
      <c r="AA1904" s="122" t="n">
        <v>4</v>
      </c>
      <c r="AB1904" s="54">
        <f>IFERROR(AA1904/W1904,"")</f>
        <v/>
      </c>
      <c r="AC1904" s="122" t="n">
        <v>0</v>
      </c>
      <c r="AD1904" s="122" t="n">
        <v>0</v>
      </c>
      <c r="AE1904" s="122" t="n">
        <v>0</v>
      </c>
      <c r="AF1904" s="122" t="n">
        <v>0</v>
      </c>
      <c r="AG1904" s="122" t="n">
        <v>0</v>
      </c>
      <c r="AH1904" s="122" t="n">
        <v>0</v>
      </c>
      <c r="AI1904" s="54">
        <f>IFERROR(AC1904/S1904,"")</f>
        <v/>
      </c>
      <c r="AJ1904" s="54">
        <f>IFERROR(AH1904/S1904,"")</f>
        <v/>
      </c>
      <c r="AK1904" s="122" t="n">
        <v>15</v>
      </c>
      <c r="AL1904" s="122" t="n">
        <v>0</v>
      </c>
      <c r="AM1904" s="124">
        <f>IFERROR(AL1904/AA1904,"")</f>
        <v/>
      </c>
      <c r="AN1904" s="125">
        <f>IFERROR(R1904/AL1904,"")</f>
        <v/>
      </c>
      <c r="AO1904" s="122" t="n">
        <v>0</v>
      </c>
      <c r="AP1904" s="54">
        <f>IFERROR(AO1904/AL1904,"")</f>
        <v/>
      </c>
      <c r="AQ1904" s="125">
        <f>IFERROR(R1904/AO1904,"")</f>
        <v/>
      </c>
      <c r="AR1904" s="122" t="n">
        <v>0</v>
      </c>
      <c r="AS1904" s="122" t="n">
        <v>0</v>
      </c>
      <c r="AT1904" s="122">
        <f>AL1904+AR1904</f>
        <v/>
      </c>
      <c r="AU1904" s="125">
        <f>IFERROR(AO1904*Assumptions!$C$26*Assumptions!$C$27*INDEX(Assumptions!$C$18:$C$21,MATCH(H1904,Assumptions!$B$18:$B$21,0)),0)</f>
        <v/>
      </c>
    </row>
    <row r="1905">
      <c r="A1905" s="120" t="n">
        <v>46253</v>
      </c>
      <c r="B1905" s="66" t="inlineStr">
        <is>
          <t>Wk 34</t>
        </is>
      </c>
      <c r="C1905" s="66" t="inlineStr">
        <is>
          <t>Wed</t>
        </is>
      </c>
      <c r="D1905" s="66" t="inlineStr">
        <is>
          <t>Programmatic</t>
        </is>
      </c>
      <c r="E1905" s="66" t="inlineStr">
        <is>
          <t>DV360</t>
        </is>
      </c>
      <c r="F1905" s="66" t="inlineStr">
        <is>
          <t>LEP_ZA_AUG26_PROG_TD_PROSPECT_DISPLAY</t>
        </is>
      </c>
      <c r="G1905" s="66" t="inlineStr">
        <is>
          <t>Display Prospecting</t>
        </is>
      </c>
      <c r="H1905" s="66" t="inlineStr">
        <is>
          <t>Range</t>
        </is>
      </c>
      <c r="I1905" s="66" t="inlineStr">
        <is>
          <t>Range Offer</t>
        </is>
      </c>
      <c r="J1905" s="66" t="inlineStr">
        <is>
          <t>PROG_3PD_INMKT_AUTO</t>
        </is>
      </c>
      <c r="K1905" s="66" t="inlineStr">
        <is>
          <t>In-Market</t>
        </is>
      </c>
      <c r="L1905" s="66" t="inlineStr">
        <is>
          <t>PROG_HTML5_970x250_Hero_v1</t>
        </is>
      </c>
      <c r="M1905" s="66" t="inlineStr">
        <is>
          <t>HTML5 Display 970x250</t>
        </is>
      </c>
      <c r="N1905" s="66" t="inlineStr">
        <is>
          <t>The Lepas range has landed</t>
        </is>
      </c>
      <c r="O1905" s="66" t="inlineStr">
        <is>
          <t>Programmatic Guaranteed / OA</t>
        </is>
      </c>
      <c r="P1905" s="66" t="inlineStr">
        <is>
          <t>Conversions (CPA)</t>
        </is>
      </c>
      <c r="Q1905" s="66" t="inlineStr">
        <is>
          <t>https://www.lepas-sa.co.za/offers</t>
        </is>
      </c>
      <c r="R1905" s="121" t="n">
        <v>131.21</v>
      </c>
      <c r="S1905" s="122" t="n">
        <v>5296</v>
      </c>
      <c r="T1905" s="122" t="n">
        <v>3463</v>
      </c>
      <c r="U1905" s="123">
        <f>IFERROR(S1905/T1905,"")</f>
        <v/>
      </c>
      <c r="V1905" s="122" t="n">
        <v>13</v>
      </c>
      <c r="W1905" s="122" t="n">
        <v>10</v>
      </c>
      <c r="X1905" s="124">
        <f>IFERROR(W1905/S1905,"")</f>
        <v/>
      </c>
      <c r="Y1905" s="121">
        <f>IFERROR(R1905/W1905,"")</f>
        <v/>
      </c>
      <c r="Z1905" s="121">
        <f>IFERROR(R1905/S1905*1000,"")</f>
        <v/>
      </c>
      <c r="AA1905" s="122" t="n">
        <v>6</v>
      </c>
      <c r="AB1905" s="54">
        <f>IFERROR(AA1905/W1905,"")</f>
        <v/>
      </c>
      <c r="AC1905" s="122" t="n">
        <v>0</v>
      </c>
      <c r="AD1905" s="122" t="n">
        <v>0</v>
      </c>
      <c r="AE1905" s="122" t="n">
        <v>0</v>
      </c>
      <c r="AF1905" s="122" t="n">
        <v>0</v>
      </c>
      <c r="AG1905" s="122" t="n">
        <v>0</v>
      </c>
      <c r="AH1905" s="122" t="n">
        <v>0</v>
      </c>
      <c r="AI1905" s="54">
        <f>IFERROR(AC1905/S1905,"")</f>
        <v/>
      </c>
      <c r="AJ1905" s="54">
        <f>IFERROR(AH1905/S1905,"")</f>
        <v/>
      </c>
      <c r="AK1905" s="122" t="n">
        <v>16</v>
      </c>
      <c r="AL1905" s="122" t="n">
        <v>0</v>
      </c>
      <c r="AM1905" s="124">
        <f>IFERROR(AL1905/AA1905,"")</f>
        <v/>
      </c>
      <c r="AN1905" s="125">
        <f>IFERROR(R1905/AL1905,"")</f>
        <v/>
      </c>
      <c r="AO1905" s="122" t="n">
        <v>0</v>
      </c>
      <c r="AP1905" s="54">
        <f>IFERROR(AO1905/AL1905,"")</f>
        <v/>
      </c>
      <c r="AQ1905" s="125">
        <f>IFERROR(R1905/AO1905,"")</f>
        <v/>
      </c>
      <c r="AR1905" s="122" t="n">
        <v>0</v>
      </c>
      <c r="AS1905" s="122" t="n">
        <v>0</v>
      </c>
      <c r="AT1905" s="122">
        <f>AL1905+AR1905</f>
        <v/>
      </c>
      <c r="AU1905" s="125">
        <f>IFERROR(AO1905*Assumptions!$C$26*Assumptions!$C$27*INDEX(Assumptions!$C$18:$C$21,MATCH(H1905,Assumptions!$B$18:$B$21,0)),0)</f>
        <v/>
      </c>
    </row>
    <row r="1906">
      <c r="A1906" s="120" t="n">
        <v>46254</v>
      </c>
      <c r="B1906" s="66" t="inlineStr">
        <is>
          <t>Wk 34</t>
        </is>
      </c>
      <c r="C1906" s="66" t="inlineStr">
        <is>
          <t>Thu</t>
        </is>
      </c>
      <c r="D1906" s="66" t="inlineStr">
        <is>
          <t>Programmatic</t>
        </is>
      </c>
      <c r="E1906" s="66" t="inlineStr">
        <is>
          <t>DV360</t>
        </is>
      </c>
      <c r="F1906" s="66" t="inlineStr">
        <is>
          <t>LEP_ZA_AUG26_PROG_TD_PROSPECT_DISPLAY</t>
        </is>
      </c>
      <c r="G1906" s="66" t="inlineStr">
        <is>
          <t>Display Prospecting</t>
        </is>
      </c>
      <c r="H1906" s="66" t="inlineStr">
        <is>
          <t>Range</t>
        </is>
      </c>
      <c r="I1906" s="66" t="inlineStr">
        <is>
          <t>Range Offer</t>
        </is>
      </c>
      <c r="J1906" s="66" t="inlineStr">
        <is>
          <t>PROG_3PD_INMKT_AUTO</t>
        </is>
      </c>
      <c r="K1906" s="66" t="inlineStr">
        <is>
          <t>In-Market</t>
        </is>
      </c>
      <c r="L1906" s="66" t="inlineStr">
        <is>
          <t>PROG_HTML5_970x250_Hero_v1</t>
        </is>
      </c>
      <c r="M1906" s="66" t="inlineStr">
        <is>
          <t>HTML5 Display 970x250</t>
        </is>
      </c>
      <c r="N1906" s="66" t="inlineStr">
        <is>
          <t>The Lepas range has landed</t>
        </is>
      </c>
      <c r="O1906" s="66" t="inlineStr">
        <is>
          <t>Programmatic Guaranteed / OA</t>
        </is>
      </c>
      <c r="P1906" s="66" t="inlineStr">
        <is>
          <t>Conversions (CPA)</t>
        </is>
      </c>
      <c r="Q1906" s="66" t="inlineStr">
        <is>
          <t>https://www.lepas-sa.co.za/offers</t>
        </is>
      </c>
      <c r="R1906" s="121" t="n">
        <v>109.03</v>
      </c>
      <c r="S1906" s="122" t="n">
        <v>4344</v>
      </c>
      <c r="T1906" s="122" t="n">
        <v>1637</v>
      </c>
      <c r="U1906" s="123">
        <f>IFERROR(S1906/T1906,"")</f>
        <v/>
      </c>
      <c r="V1906" s="122" t="n">
        <v>5</v>
      </c>
      <c r="W1906" s="122" t="n">
        <v>4</v>
      </c>
      <c r="X1906" s="124">
        <f>IFERROR(W1906/S1906,"")</f>
        <v/>
      </c>
      <c r="Y1906" s="121">
        <f>IFERROR(R1906/W1906,"")</f>
        <v/>
      </c>
      <c r="Z1906" s="121">
        <f>IFERROR(R1906/S1906*1000,"")</f>
        <v/>
      </c>
      <c r="AA1906" s="122" t="n">
        <v>3</v>
      </c>
      <c r="AB1906" s="54">
        <f>IFERROR(AA1906/W1906,"")</f>
        <v/>
      </c>
      <c r="AC1906" s="122" t="n">
        <v>0</v>
      </c>
      <c r="AD1906" s="122" t="n">
        <v>0</v>
      </c>
      <c r="AE1906" s="122" t="n">
        <v>0</v>
      </c>
      <c r="AF1906" s="122" t="n">
        <v>0</v>
      </c>
      <c r="AG1906" s="122" t="n">
        <v>0</v>
      </c>
      <c r="AH1906" s="122" t="n">
        <v>0</v>
      </c>
      <c r="AI1906" s="54">
        <f>IFERROR(AC1906/S1906,"")</f>
        <v/>
      </c>
      <c r="AJ1906" s="54">
        <f>IFERROR(AH1906/S1906,"")</f>
        <v/>
      </c>
      <c r="AK1906" s="122" t="n">
        <v>22</v>
      </c>
      <c r="AL1906" s="122" t="n">
        <v>0</v>
      </c>
      <c r="AM1906" s="124">
        <f>IFERROR(AL1906/AA1906,"")</f>
        <v/>
      </c>
      <c r="AN1906" s="125">
        <f>IFERROR(R1906/AL1906,"")</f>
        <v/>
      </c>
      <c r="AO1906" s="122" t="n">
        <v>0</v>
      </c>
      <c r="AP1906" s="54">
        <f>IFERROR(AO1906/AL1906,"")</f>
        <v/>
      </c>
      <c r="AQ1906" s="125">
        <f>IFERROR(R1906/AO1906,"")</f>
        <v/>
      </c>
      <c r="AR1906" s="122" t="n">
        <v>0</v>
      </c>
      <c r="AS1906" s="122" t="n">
        <v>0</v>
      </c>
      <c r="AT1906" s="122">
        <f>AL1906+AR1906</f>
        <v/>
      </c>
      <c r="AU1906" s="125">
        <f>IFERROR(AO1906*Assumptions!$C$26*Assumptions!$C$27*INDEX(Assumptions!$C$18:$C$21,MATCH(H1906,Assumptions!$B$18:$B$21,0)),0)</f>
        <v/>
      </c>
    </row>
    <row r="1907">
      <c r="A1907" s="120" t="n">
        <v>46255</v>
      </c>
      <c r="B1907" s="66" t="inlineStr">
        <is>
          <t>Wk 34</t>
        </is>
      </c>
      <c r="C1907" s="66" t="inlineStr">
        <is>
          <t>Fri</t>
        </is>
      </c>
      <c r="D1907" s="66" t="inlineStr">
        <is>
          <t>Programmatic</t>
        </is>
      </c>
      <c r="E1907" s="66" t="inlineStr">
        <is>
          <t>DV360</t>
        </is>
      </c>
      <c r="F1907" s="66" t="inlineStr">
        <is>
          <t>LEP_ZA_AUG26_PROG_TD_PROSPECT_DISPLAY</t>
        </is>
      </c>
      <c r="G1907" s="66" t="inlineStr">
        <is>
          <t>Display Prospecting</t>
        </is>
      </c>
      <c r="H1907" s="66" t="inlineStr">
        <is>
          <t>Range</t>
        </is>
      </c>
      <c r="I1907" s="66" t="inlineStr">
        <is>
          <t>Range Offer</t>
        </is>
      </c>
      <c r="J1907" s="66" t="inlineStr">
        <is>
          <t>PROG_3PD_INMKT_AUTO</t>
        </is>
      </c>
      <c r="K1907" s="66" t="inlineStr">
        <is>
          <t>In-Market</t>
        </is>
      </c>
      <c r="L1907" s="66" t="inlineStr">
        <is>
          <t>PROG_HTML5_970x250_Hero_v1</t>
        </is>
      </c>
      <c r="M1907" s="66" t="inlineStr">
        <is>
          <t>HTML5 Display 970x250</t>
        </is>
      </c>
      <c r="N1907" s="66" t="inlineStr">
        <is>
          <t>The Lepas range has landed</t>
        </is>
      </c>
      <c r="O1907" s="66" t="inlineStr">
        <is>
          <t>Programmatic Guaranteed / OA</t>
        </is>
      </c>
      <c r="P1907" s="66" t="inlineStr">
        <is>
          <t>Conversions (CPA)</t>
        </is>
      </c>
      <c r="Q1907" s="66" t="inlineStr">
        <is>
          <t>https://www.lepas-sa.co.za/offers</t>
        </is>
      </c>
      <c r="R1907" s="121" t="n">
        <v>123.27</v>
      </c>
      <c r="S1907" s="122" t="n">
        <v>2792</v>
      </c>
      <c r="T1907" s="122" t="n">
        <v>1474</v>
      </c>
      <c r="U1907" s="123">
        <f>IFERROR(S1907/T1907,"")</f>
        <v/>
      </c>
      <c r="V1907" s="122" t="n">
        <v>6</v>
      </c>
      <c r="W1907" s="122" t="n">
        <v>4</v>
      </c>
      <c r="X1907" s="124">
        <f>IFERROR(W1907/S1907,"")</f>
        <v/>
      </c>
      <c r="Y1907" s="121">
        <f>IFERROR(R1907/W1907,"")</f>
        <v/>
      </c>
      <c r="Z1907" s="121">
        <f>IFERROR(R1907/S1907*1000,"")</f>
        <v/>
      </c>
      <c r="AA1907" s="122" t="n">
        <v>3</v>
      </c>
      <c r="AB1907" s="54">
        <f>IFERROR(AA1907/W1907,"")</f>
        <v/>
      </c>
      <c r="AC1907" s="122" t="n">
        <v>0</v>
      </c>
      <c r="AD1907" s="122" t="n">
        <v>0</v>
      </c>
      <c r="AE1907" s="122" t="n">
        <v>0</v>
      </c>
      <c r="AF1907" s="122" t="n">
        <v>0</v>
      </c>
      <c r="AG1907" s="122" t="n">
        <v>0</v>
      </c>
      <c r="AH1907" s="122" t="n">
        <v>0</v>
      </c>
      <c r="AI1907" s="54">
        <f>IFERROR(AC1907/S1907,"")</f>
        <v/>
      </c>
      <c r="AJ1907" s="54">
        <f>IFERROR(AH1907/S1907,"")</f>
        <v/>
      </c>
      <c r="AK1907" s="122" t="n">
        <v>13</v>
      </c>
      <c r="AL1907" s="122" t="n">
        <v>0</v>
      </c>
      <c r="AM1907" s="124">
        <f>IFERROR(AL1907/AA1907,"")</f>
        <v/>
      </c>
      <c r="AN1907" s="125">
        <f>IFERROR(R1907/AL1907,"")</f>
        <v/>
      </c>
      <c r="AO1907" s="122" t="n">
        <v>0</v>
      </c>
      <c r="AP1907" s="54">
        <f>IFERROR(AO1907/AL1907,"")</f>
        <v/>
      </c>
      <c r="AQ1907" s="125">
        <f>IFERROR(R1907/AO1907,"")</f>
        <v/>
      </c>
      <c r="AR1907" s="122" t="n">
        <v>0</v>
      </c>
      <c r="AS1907" s="122" t="n">
        <v>0</v>
      </c>
      <c r="AT1907" s="122">
        <f>AL1907+AR1907</f>
        <v/>
      </c>
      <c r="AU1907" s="125">
        <f>IFERROR(AO1907*Assumptions!$C$26*Assumptions!$C$27*INDEX(Assumptions!$C$18:$C$21,MATCH(H1907,Assumptions!$B$18:$B$21,0)),0)</f>
        <v/>
      </c>
    </row>
    <row r="1908">
      <c r="A1908" s="120" t="n">
        <v>46256</v>
      </c>
      <c r="B1908" s="66" t="inlineStr">
        <is>
          <t>Wk 34</t>
        </is>
      </c>
      <c r="C1908" s="66" t="inlineStr">
        <is>
          <t>Sat</t>
        </is>
      </c>
      <c r="D1908" s="66" t="inlineStr">
        <is>
          <t>Programmatic</t>
        </is>
      </c>
      <c r="E1908" s="66" t="inlineStr">
        <is>
          <t>DV360</t>
        </is>
      </c>
      <c r="F1908" s="66" t="inlineStr">
        <is>
          <t>LEP_ZA_AUG26_PROG_TD_PROSPECT_DISPLAY</t>
        </is>
      </c>
      <c r="G1908" s="66" t="inlineStr">
        <is>
          <t>Display Prospecting</t>
        </is>
      </c>
      <c r="H1908" s="66" t="inlineStr">
        <is>
          <t>Range</t>
        </is>
      </c>
      <c r="I1908" s="66" t="inlineStr">
        <is>
          <t>Range Offer</t>
        </is>
      </c>
      <c r="J1908" s="66" t="inlineStr">
        <is>
          <t>PROG_3PD_INMKT_AUTO</t>
        </is>
      </c>
      <c r="K1908" s="66" t="inlineStr">
        <is>
          <t>In-Market</t>
        </is>
      </c>
      <c r="L1908" s="66" t="inlineStr">
        <is>
          <t>PROG_HTML5_970x250_Hero_v1</t>
        </is>
      </c>
      <c r="M1908" s="66" t="inlineStr">
        <is>
          <t>HTML5 Display 970x250</t>
        </is>
      </c>
      <c r="N1908" s="66" t="inlineStr">
        <is>
          <t>The Lepas range has landed</t>
        </is>
      </c>
      <c r="O1908" s="66" t="inlineStr">
        <is>
          <t>Programmatic Guaranteed / OA</t>
        </is>
      </c>
      <c r="P1908" s="66" t="inlineStr">
        <is>
          <t>Conversions (CPA)</t>
        </is>
      </c>
      <c r="Q1908" s="66" t="inlineStr">
        <is>
          <t>https://www.lepas-sa.co.za/offers</t>
        </is>
      </c>
      <c r="R1908" s="121" t="n">
        <v>138.36</v>
      </c>
      <c r="S1908" s="122" t="n">
        <v>3932</v>
      </c>
      <c r="T1908" s="122" t="n">
        <v>1722</v>
      </c>
      <c r="U1908" s="123">
        <f>IFERROR(S1908/T1908,"")</f>
        <v/>
      </c>
      <c r="V1908" s="122" t="n">
        <v>8</v>
      </c>
      <c r="W1908" s="122" t="n">
        <v>6</v>
      </c>
      <c r="X1908" s="124">
        <f>IFERROR(W1908/S1908,"")</f>
        <v/>
      </c>
      <c r="Y1908" s="121">
        <f>IFERROR(R1908/W1908,"")</f>
        <v/>
      </c>
      <c r="Z1908" s="121">
        <f>IFERROR(R1908/S1908*1000,"")</f>
        <v/>
      </c>
      <c r="AA1908" s="122" t="n">
        <v>4</v>
      </c>
      <c r="AB1908" s="54">
        <f>IFERROR(AA1908/W1908,"")</f>
        <v/>
      </c>
      <c r="AC1908" s="122" t="n">
        <v>0</v>
      </c>
      <c r="AD1908" s="122" t="n">
        <v>0</v>
      </c>
      <c r="AE1908" s="122" t="n">
        <v>0</v>
      </c>
      <c r="AF1908" s="122" t="n">
        <v>0</v>
      </c>
      <c r="AG1908" s="122" t="n">
        <v>0</v>
      </c>
      <c r="AH1908" s="122" t="n">
        <v>0</v>
      </c>
      <c r="AI1908" s="54">
        <f>IFERROR(AC1908/S1908,"")</f>
        <v/>
      </c>
      <c r="AJ1908" s="54">
        <f>IFERROR(AH1908/S1908,"")</f>
        <v/>
      </c>
      <c r="AK1908" s="122" t="n">
        <v>12</v>
      </c>
      <c r="AL1908" s="122" t="n">
        <v>0</v>
      </c>
      <c r="AM1908" s="124">
        <f>IFERROR(AL1908/AA1908,"")</f>
        <v/>
      </c>
      <c r="AN1908" s="125">
        <f>IFERROR(R1908/AL1908,"")</f>
        <v/>
      </c>
      <c r="AO1908" s="122" t="n">
        <v>0</v>
      </c>
      <c r="AP1908" s="54">
        <f>IFERROR(AO1908/AL1908,"")</f>
        <v/>
      </c>
      <c r="AQ1908" s="125">
        <f>IFERROR(R1908/AO1908,"")</f>
        <v/>
      </c>
      <c r="AR1908" s="122" t="n">
        <v>0</v>
      </c>
      <c r="AS1908" s="122" t="n">
        <v>0</v>
      </c>
      <c r="AT1908" s="122">
        <f>AL1908+AR1908</f>
        <v/>
      </c>
      <c r="AU1908" s="125">
        <f>IFERROR(AO1908*Assumptions!$C$26*Assumptions!$C$27*INDEX(Assumptions!$C$18:$C$21,MATCH(H1908,Assumptions!$B$18:$B$21,0)),0)</f>
        <v/>
      </c>
    </row>
    <row r="1909">
      <c r="A1909" s="120" t="n">
        <v>46257</v>
      </c>
      <c r="B1909" s="66" t="inlineStr">
        <is>
          <t>Wk 34</t>
        </is>
      </c>
      <c r="C1909" s="66" t="inlineStr">
        <is>
          <t>Sun</t>
        </is>
      </c>
      <c r="D1909" s="66" t="inlineStr">
        <is>
          <t>Programmatic</t>
        </is>
      </c>
      <c r="E1909" s="66" t="inlineStr">
        <is>
          <t>DV360</t>
        </is>
      </c>
      <c r="F1909" s="66" t="inlineStr">
        <is>
          <t>LEP_ZA_AUG26_PROG_TD_PROSPECT_DISPLAY</t>
        </is>
      </c>
      <c r="G1909" s="66" t="inlineStr">
        <is>
          <t>Display Prospecting</t>
        </is>
      </c>
      <c r="H1909" s="66" t="inlineStr">
        <is>
          <t>Range</t>
        </is>
      </c>
      <c r="I1909" s="66" t="inlineStr">
        <is>
          <t>Range Offer</t>
        </is>
      </c>
      <c r="J1909" s="66" t="inlineStr">
        <is>
          <t>PROG_3PD_INMKT_AUTO</t>
        </is>
      </c>
      <c r="K1909" s="66" t="inlineStr">
        <is>
          <t>In-Market</t>
        </is>
      </c>
      <c r="L1909" s="66" t="inlineStr">
        <is>
          <t>PROG_HTML5_970x250_Hero_v1</t>
        </is>
      </c>
      <c r="M1909" s="66" t="inlineStr">
        <is>
          <t>HTML5 Display 970x250</t>
        </is>
      </c>
      <c r="N1909" s="66" t="inlineStr">
        <is>
          <t>The Lepas range has landed</t>
        </is>
      </c>
      <c r="O1909" s="66" t="inlineStr">
        <is>
          <t>Programmatic Guaranteed / OA</t>
        </is>
      </c>
      <c r="P1909" s="66" t="inlineStr">
        <is>
          <t>Conversions (CPA)</t>
        </is>
      </c>
      <c r="Q1909" s="66" t="inlineStr">
        <is>
          <t>https://www.lepas-sa.co.za/offers</t>
        </is>
      </c>
      <c r="R1909" s="121" t="n">
        <v>112.09</v>
      </c>
      <c r="S1909" s="122" t="n">
        <v>3306</v>
      </c>
      <c r="T1909" s="122" t="n">
        <v>1513</v>
      </c>
      <c r="U1909" s="123">
        <f>IFERROR(S1909/T1909,"")</f>
        <v/>
      </c>
      <c r="V1909" s="122" t="n">
        <v>10</v>
      </c>
      <c r="W1909" s="122" t="n">
        <v>8</v>
      </c>
      <c r="X1909" s="124">
        <f>IFERROR(W1909/S1909,"")</f>
        <v/>
      </c>
      <c r="Y1909" s="121">
        <f>IFERROR(R1909/W1909,"")</f>
        <v/>
      </c>
      <c r="Z1909" s="121">
        <f>IFERROR(R1909/S1909*1000,"")</f>
        <v/>
      </c>
      <c r="AA1909" s="122" t="n">
        <v>6</v>
      </c>
      <c r="AB1909" s="54">
        <f>IFERROR(AA1909/W1909,"")</f>
        <v/>
      </c>
      <c r="AC1909" s="122" t="n">
        <v>0</v>
      </c>
      <c r="AD1909" s="122" t="n">
        <v>0</v>
      </c>
      <c r="AE1909" s="122" t="n">
        <v>0</v>
      </c>
      <c r="AF1909" s="122" t="n">
        <v>0</v>
      </c>
      <c r="AG1909" s="122" t="n">
        <v>0</v>
      </c>
      <c r="AH1909" s="122" t="n">
        <v>0</v>
      </c>
      <c r="AI1909" s="54">
        <f>IFERROR(AC1909/S1909,"")</f>
        <v/>
      </c>
      <c r="AJ1909" s="54">
        <f>IFERROR(AH1909/S1909,"")</f>
        <v/>
      </c>
      <c r="AK1909" s="122" t="n">
        <v>17</v>
      </c>
      <c r="AL1909" s="122" t="n">
        <v>1</v>
      </c>
      <c r="AM1909" s="124">
        <f>IFERROR(AL1909/AA1909,"")</f>
        <v/>
      </c>
      <c r="AN1909" s="125">
        <f>IFERROR(R1909/AL1909,"")</f>
        <v/>
      </c>
      <c r="AO1909" s="122" t="n">
        <v>1</v>
      </c>
      <c r="AP1909" s="54">
        <f>IFERROR(AO1909/AL1909,"")</f>
        <v/>
      </c>
      <c r="AQ1909" s="125">
        <f>IFERROR(R1909/AO1909,"")</f>
        <v/>
      </c>
      <c r="AR1909" s="122" t="n">
        <v>2</v>
      </c>
      <c r="AS1909" s="122" t="n">
        <v>1</v>
      </c>
      <c r="AT1909" s="122">
        <f>AL1909+AR1909</f>
        <v/>
      </c>
      <c r="AU1909" s="125">
        <f>IFERROR(AO1909*Assumptions!$C$26*Assumptions!$C$27*INDEX(Assumptions!$C$18:$C$21,MATCH(H1909,Assumptions!$B$18:$B$21,0)),0)</f>
        <v/>
      </c>
    </row>
    <row r="1910">
      <c r="A1910" s="120" t="n">
        <v>46258</v>
      </c>
      <c r="B1910" s="66" t="inlineStr">
        <is>
          <t>Wk 35</t>
        </is>
      </c>
      <c r="C1910" s="66" t="inlineStr">
        <is>
          <t>Mon</t>
        </is>
      </c>
      <c r="D1910" s="66" t="inlineStr">
        <is>
          <t>Programmatic</t>
        </is>
      </c>
      <c r="E1910" s="66" t="inlineStr">
        <is>
          <t>DV360</t>
        </is>
      </c>
      <c r="F1910" s="66" t="inlineStr">
        <is>
          <t>LEP_ZA_AUG26_PROG_TD_PROSPECT_DISPLAY</t>
        </is>
      </c>
      <c r="G1910" s="66" t="inlineStr">
        <is>
          <t>Display Prospecting</t>
        </is>
      </c>
      <c r="H1910" s="66" t="inlineStr">
        <is>
          <t>Range</t>
        </is>
      </c>
      <c r="I1910" s="66" t="inlineStr">
        <is>
          <t>Range Offer</t>
        </is>
      </c>
      <c r="J1910" s="66" t="inlineStr">
        <is>
          <t>PROG_3PD_INMKT_AUTO</t>
        </is>
      </c>
      <c r="K1910" s="66" t="inlineStr">
        <is>
          <t>In-Market</t>
        </is>
      </c>
      <c r="L1910" s="66" t="inlineStr">
        <is>
          <t>PROG_HTML5_970x250_Hero_v1</t>
        </is>
      </c>
      <c r="M1910" s="66" t="inlineStr">
        <is>
          <t>HTML5 Display 970x250</t>
        </is>
      </c>
      <c r="N1910" s="66" t="inlineStr">
        <is>
          <t>The Lepas range has landed</t>
        </is>
      </c>
      <c r="O1910" s="66" t="inlineStr">
        <is>
          <t>Programmatic Guaranteed / OA</t>
        </is>
      </c>
      <c r="P1910" s="66" t="inlineStr">
        <is>
          <t>Conversions (CPA)</t>
        </is>
      </c>
      <c r="Q1910" s="66" t="inlineStr">
        <is>
          <t>https://www.lepas-sa.co.za/offers</t>
        </is>
      </c>
      <c r="R1910" s="121" t="n">
        <v>116.04</v>
      </c>
      <c r="S1910" s="122" t="n">
        <v>3737</v>
      </c>
      <c r="T1910" s="122" t="n">
        <v>1451</v>
      </c>
      <c r="U1910" s="123">
        <f>IFERROR(S1910/T1910,"")</f>
        <v/>
      </c>
      <c r="V1910" s="122" t="n">
        <v>7</v>
      </c>
      <c r="W1910" s="122" t="n">
        <v>5</v>
      </c>
      <c r="X1910" s="124">
        <f>IFERROR(W1910/S1910,"")</f>
        <v/>
      </c>
      <c r="Y1910" s="121">
        <f>IFERROR(R1910/W1910,"")</f>
        <v/>
      </c>
      <c r="Z1910" s="121">
        <f>IFERROR(R1910/S1910*1000,"")</f>
        <v/>
      </c>
      <c r="AA1910" s="122" t="n">
        <v>3</v>
      </c>
      <c r="AB1910" s="54">
        <f>IFERROR(AA1910/W1910,"")</f>
        <v/>
      </c>
      <c r="AC1910" s="122" t="n">
        <v>0</v>
      </c>
      <c r="AD1910" s="122" t="n">
        <v>0</v>
      </c>
      <c r="AE1910" s="122" t="n">
        <v>0</v>
      </c>
      <c r="AF1910" s="122" t="n">
        <v>0</v>
      </c>
      <c r="AG1910" s="122" t="n">
        <v>0</v>
      </c>
      <c r="AH1910" s="122" t="n">
        <v>0</v>
      </c>
      <c r="AI1910" s="54">
        <f>IFERROR(AC1910/S1910,"")</f>
        <v/>
      </c>
      <c r="AJ1910" s="54">
        <f>IFERROR(AH1910/S1910,"")</f>
        <v/>
      </c>
      <c r="AK1910" s="122" t="n">
        <v>5</v>
      </c>
      <c r="AL1910" s="122" t="n">
        <v>0</v>
      </c>
      <c r="AM1910" s="124">
        <f>IFERROR(AL1910/AA1910,"")</f>
        <v/>
      </c>
      <c r="AN1910" s="125">
        <f>IFERROR(R1910/AL1910,"")</f>
        <v/>
      </c>
      <c r="AO1910" s="122" t="n">
        <v>0</v>
      </c>
      <c r="AP1910" s="54">
        <f>IFERROR(AO1910/AL1910,"")</f>
        <v/>
      </c>
      <c r="AQ1910" s="125">
        <f>IFERROR(R1910/AO1910,"")</f>
        <v/>
      </c>
      <c r="AR1910" s="122" t="n">
        <v>0</v>
      </c>
      <c r="AS1910" s="122" t="n">
        <v>0</v>
      </c>
      <c r="AT1910" s="122">
        <f>AL1910+AR1910</f>
        <v/>
      </c>
      <c r="AU1910" s="125">
        <f>IFERROR(AO1910*Assumptions!$C$26*Assumptions!$C$27*INDEX(Assumptions!$C$18:$C$21,MATCH(H1910,Assumptions!$B$18:$B$21,0)),0)</f>
        <v/>
      </c>
    </row>
    <row r="1911">
      <c r="A1911" s="120" t="n">
        <v>46259</v>
      </c>
      <c r="B1911" s="66" t="inlineStr">
        <is>
          <t>Wk 35</t>
        </is>
      </c>
      <c r="C1911" s="66" t="inlineStr">
        <is>
          <t>Tue</t>
        </is>
      </c>
      <c r="D1911" s="66" t="inlineStr">
        <is>
          <t>Programmatic</t>
        </is>
      </c>
      <c r="E1911" s="66" t="inlineStr">
        <is>
          <t>DV360</t>
        </is>
      </c>
      <c r="F1911" s="66" t="inlineStr">
        <is>
          <t>LEP_ZA_AUG26_PROG_TD_PROSPECT_DISPLAY</t>
        </is>
      </c>
      <c r="G1911" s="66" t="inlineStr">
        <is>
          <t>Display Prospecting</t>
        </is>
      </c>
      <c r="H1911" s="66" t="inlineStr">
        <is>
          <t>Range</t>
        </is>
      </c>
      <c r="I1911" s="66" t="inlineStr">
        <is>
          <t>Range Offer</t>
        </is>
      </c>
      <c r="J1911" s="66" t="inlineStr">
        <is>
          <t>PROG_3PD_INMKT_AUTO</t>
        </is>
      </c>
      <c r="K1911" s="66" t="inlineStr">
        <is>
          <t>In-Market</t>
        </is>
      </c>
      <c r="L1911" s="66" t="inlineStr">
        <is>
          <t>PROG_HTML5_970x250_Hero_v1</t>
        </is>
      </c>
      <c r="M1911" s="66" t="inlineStr">
        <is>
          <t>HTML5 Display 970x250</t>
        </is>
      </c>
      <c r="N1911" s="66" t="inlineStr">
        <is>
          <t>The Lepas range has landed</t>
        </is>
      </c>
      <c r="O1911" s="66" t="inlineStr">
        <is>
          <t>Programmatic Guaranteed / OA</t>
        </is>
      </c>
      <c r="P1911" s="66" t="inlineStr">
        <is>
          <t>Conversions (CPA)</t>
        </is>
      </c>
      <c r="Q1911" s="66" t="inlineStr">
        <is>
          <t>https://www.lepas-sa.co.za/offers</t>
        </is>
      </c>
      <c r="R1911" s="121" t="n">
        <v>111.47</v>
      </c>
      <c r="S1911" s="122" t="n">
        <v>2944</v>
      </c>
      <c r="T1911" s="122" t="n">
        <v>1117</v>
      </c>
      <c r="U1911" s="123">
        <f>IFERROR(S1911/T1911,"")</f>
        <v/>
      </c>
      <c r="V1911" s="122" t="n">
        <v>8</v>
      </c>
      <c r="W1911" s="122" t="n">
        <v>6</v>
      </c>
      <c r="X1911" s="124">
        <f>IFERROR(W1911/S1911,"")</f>
        <v/>
      </c>
      <c r="Y1911" s="121">
        <f>IFERROR(R1911/W1911,"")</f>
        <v/>
      </c>
      <c r="Z1911" s="121">
        <f>IFERROR(R1911/S1911*1000,"")</f>
        <v/>
      </c>
      <c r="AA1911" s="122" t="n">
        <v>4</v>
      </c>
      <c r="AB1911" s="54">
        <f>IFERROR(AA1911/W1911,"")</f>
        <v/>
      </c>
      <c r="AC1911" s="122" t="n">
        <v>0</v>
      </c>
      <c r="AD1911" s="122" t="n">
        <v>0</v>
      </c>
      <c r="AE1911" s="122" t="n">
        <v>0</v>
      </c>
      <c r="AF1911" s="122" t="n">
        <v>0</v>
      </c>
      <c r="AG1911" s="122" t="n">
        <v>0</v>
      </c>
      <c r="AH1911" s="122" t="n">
        <v>0</v>
      </c>
      <c r="AI1911" s="54">
        <f>IFERROR(AC1911/S1911,"")</f>
        <v/>
      </c>
      <c r="AJ1911" s="54">
        <f>IFERROR(AH1911/S1911,"")</f>
        <v/>
      </c>
      <c r="AK1911" s="122" t="n">
        <v>11</v>
      </c>
      <c r="AL1911" s="122" t="n">
        <v>0</v>
      </c>
      <c r="AM1911" s="124">
        <f>IFERROR(AL1911/AA1911,"")</f>
        <v/>
      </c>
      <c r="AN1911" s="125">
        <f>IFERROR(R1911/AL1911,"")</f>
        <v/>
      </c>
      <c r="AO1911" s="122" t="n">
        <v>0</v>
      </c>
      <c r="AP1911" s="54">
        <f>IFERROR(AO1911/AL1911,"")</f>
        <v/>
      </c>
      <c r="AQ1911" s="125">
        <f>IFERROR(R1911/AO1911,"")</f>
        <v/>
      </c>
      <c r="AR1911" s="122" t="n">
        <v>0</v>
      </c>
      <c r="AS1911" s="122" t="n">
        <v>0</v>
      </c>
      <c r="AT1911" s="122">
        <f>AL1911+AR1911</f>
        <v/>
      </c>
      <c r="AU1911" s="125">
        <f>IFERROR(AO1911*Assumptions!$C$26*Assumptions!$C$27*INDEX(Assumptions!$C$18:$C$21,MATCH(H1911,Assumptions!$B$18:$B$21,0)),0)</f>
        <v/>
      </c>
    </row>
    <row r="1912">
      <c r="A1912" s="120" t="n">
        <v>46260</v>
      </c>
      <c r="B1912" s="66" t="inlineStr">
        <is>
          <t>Wk 35</t>
        </is>
      </c>
      <c r="C1912" s="66" t="inlineStr">
        <is>
          <t>Wed</t>
        </is>
      </c>
      <c r="D1912" s="66" t="inlineStr">
        <is>
          <t>Programmatic</t>
        </is>
      </c>
      <c r="E1912" s="66" t="inlineStr">
        <is>
          <t>DV360</t>
        </is>
      </c>
      <c r="F1912" s="66" t="inlineStr">
        <is>
          <t>LEP_ZA_AUG26_PROG_TD_PROSPECT_DISPLAY</t>
        </is>
      </c>
      <c r="G1912" s="66" t="inlineStr">
        <is>
          <t>Display Prospecting</t>
        </is>
      </c>
      <c r="H1912" s="66" t="inlineStr">
        <is>
          <t>Range</t>
        </is>
      </c>
      <c r="I1912" s="66" t="inlineStr">
        <is>
          <t>Range Offer</t>
        </is>
      </c>
      <c r="J1912" s="66" t="inlineStr">
        <is>
          <t>PROG_3PD_INMKT_AUTO</t>
        </is>
      </c>
      <c r="K1912" s="66" t="inlineStr">
        <is>
          <t>In-Market</t>
        </is>
      </c>
      <c r="L1912" s="66" t="inlineStr">
        <is>
          <t>PROG_HTML5_970x250_Hero_v1</t>
        </is>
      </c>
      <c r="M1912" s="66" t="inlineStr">
        <is>
          <t>HTML5 Display 970x250</t>
        </is>
      </c>
      <c r="N1912" s="66" t="inlineStr">
        <is>
          <t>The Lepas range has landed</t>
        </is>
      </c>
      <c r="O1912" s="66" t="inlineStr">
        <is>
          <t>Programmatic Guaranteed / OA</t>
        </is>
      </c>
      <c r="P1912" s="66" t="inlineStr">
        <is>
          <t>Conversions (CPA)</t>
        </is>
      </c>
      <c r="Q1912" s="66" t="inlineStr">
        <is>
          <t>https://www.lepas-sa.co.za/offers</t>
        </is>
      </c>
      <c r="R1912" s="121" t="n">
        <v>118.79</v>
      </c>
      <c r="S1912" s="122" t="n">
        <v>5664</v>
      </c>
      <c r="T1912" s="122" t="n">
        <v>2243</v>
      </c>
      <c r="U1912" s="123">
        <f>IFERROR(S1912/T1912,"")</f>
        <v/>
      </c>
      <c r="V1912" s="122" t="n">
        <v>22</v>
      </c>
      <c r="W1912" s="122" t="n">
        <v>17</v>
      </c>
      <c r="X1912" s="124">
        <f>IFERROR(W1912/S1912,"")</f>
        <v/>
      </c>
      <c r="Y1912" s="121">
        <f>IFERROR(R1912/W1912,"")</f>
        <v/>
      </c>
      <c r="Z1912" s="121">
        <f>IFERROR(R1912/S1912*1000,"")</f>
        <v/>
      </c>
      <c r="AA1912" s="122" t="n">
        <v>12</v>
      </c>
      <c r="AB1912" s="54">
        <f>IFERROR(AA1912/W1912,"")</f>
        <v/>
      </c>
      <c r="AC1912" s="122" t="n">
        <v>0</v>
      </c>
      <c r="AD1912" s="122" t="n">
        <v>0</v>
      </c>
      <c r="AE1912" s="122" t="n">
        <v>0</v>
      </c>
      <c r="AF1912" s="122" t="n">
        <v>0</v>
      </c>
      <c r="AG1912" s="122" t="n">
        <v>0</v>
      </c>
      <c r="AH1912" s="122" t="n">
        <v>0</v>
      </c>
      <c r="AI1912" s="54">
        <f>IFERROR(AC1912/S1912,"")</f>
        <v/>
      </c>
      <c r="AJ1912" s="54">
        <f>IFERROR(AH1912/S1912,"")</f>
        <v/>
      </c>
      <c r="AK1912" s="122" t="n">
        <v>16</v>
      </c>
      <c r="AL1912" s="122" t="n">
        <v>0</v>
      </c>
      <c r="AM1912" s="124">
        <f>IFERROR(AL1912/AA1912,"")</f>
        <v/>
      </c>
      <c r="AN1912" s="125">
        <f>IFERROR(R1912/AL1912,"")</f>
        <v/>
      </c>
      <c r="AO1912" s="122" t="n">
        <v>0</v>
      </c>
      <c r="AP1912" s="54">
        <f>IFERROR(AO1912/AL1912,"")</f>
        <v/>
      </c>
      <c r="AQ1912" s="125">
        <f>IFERROR(R1912/AO1912,"")</f>
        <v/>
      </c>
      <c r="AR1912" s="122" t="n">
        <v>0</v>
      </c>
      <c r="AS1912" s="122" t="n">
        <v>0</v>
      </c>
      <c r="AT1912" s="122">
        <f>AL1912+AR1912</f>
        <v/>
      </c>
      <c r="AU1912" s="125">
        <f>IFERROR(AO1912*Assumptions!$C$26*Assumptions!$C$27*INDEX(Assumptions!$C$18:$C$21,MATCH(H1912,Assumptions!$B$18:$B$21,0)),0)</f>
        <v/>
      </c>
    </row>
    <row r="1913">
      <c r="A1913" s="120" t="n">
        <v>46261</v>
      </c>
      <c r="B1913" s="66" t="inlineStr">
        <is>
          <t>Wk 35</t>
        </is>
      </c>
      <c r="C1913" s="66" t="inlineStr">
        <is>
          <t>Thu</t>
        </is>
      </c>
      <c r="D1913" s="66" t="inlineStr">
        <is>
          <t>Programmatic</t>
        </is>
      </c>
      <c r="E1913" s="66" t="inlineStr">
        <is>
          <t>DV360</t>
        </is>
      </c>
      <c r="F1913" s="66" t="inlineStr">
        <is>
          <t>LEP_ZA_AUG26_PROG_TD_PROSPECT_DISPLAY</t>
        </is>
      </c>
      <c r="G1913" s="66" t="inlineStr">
        <is>
          <t>Display Prospecting</t>
        </is>
      </c>
      <c r="H1913" s="66" t="inlineStr">
        <is>
          <t>Range</t>
        </is>
      </c>
      <c r="I1913" s="66" t="inlineStr">
        <is>
          <t>Range Offer</t>
        </is>
      </c>
      <c r="J1913" s="66" t="inlineStr">
        <is>
          <t>PROG_3PD_INMKT_AUTO</t>
        </is>
      </c>
      <c r="K1913" s="66" t="inlineStr">
        <is>
          <t>In-Market</t>
        </is>
      </c>
      <c r="L1913" s="66" t="inlineStr">
        <is>
          <t>PROG_HTML5_970x250_Hero_v1</t>
        </is>
      </c>
      <c r="M1913" s="66" t="inlineStr">
        <is>
          <t>HTML5 Display 970x250</t>
        </is>
      </c>
      <c r="N1913" s="66" t="inlineStr">
        <is>
          <t>The Lepas range has landed</t>
        </is>
      </c>
      <c r="O1913" s="66" t="inlineStr">
        <is>
          <t>Programmatic Guaranteed / OA</t>
        </is>
      </c>
      <c r="P1913" s="66" t="inlineStr">
        <is>
          <t>Conversions (CPA)</t>
        </is>
      </c>
      <c r="Q1913" s="66" t="inlineStr">
        <is>
          <t>https://www.lepas-sa.co.za/offers</t>
        </is>
      </c>
      <c r="R1913" s="121" t="n">
        <v>125.33</v>
      </c>
      <c r="S1913" s="122" t="n">
        <v>3032</v>
      </c>
      <c r="T1913" s="122" t="n">
        <v>1200</v>
      </c>
      <c r="U1913" s="123">
        <f>IFERROR(S1913/T1913,"")</f>
        <v/>
      </c>
      <c r="V1913" s="122" t="n">
        <v>4</v>
      </c>
      <c r="W1913" s="122" t="n">
        <v>3</v>
      </c>
      <c r="X1913" s="124">
        <f>IFERROR(W1913/S1913,"")</f>
        <v/>
      </c>
      <c r="Y1913" s="121">
        <f>IFERROR(R1913/W1913,"")</f>
        <v/>
      </c>
      <c r="Z1913" s="121">
        <f>IFERROR(R1913/S1913*1000,"")</f>
        <v/>
      </c>
      <c r="AA1913" s="122" t="n">
        <v>2</v>
      </c>
      <c r="AB1913" s="54">
        <f>IFERROR(AA1913/W1913,"")</f>
        <v/>
      </c>
      <c r="AC1913" s="122" t="n">
        <v>0</v>
      </c>
      <c r="AD1913" s="122" t="n">
        <v>0</v>
      </c>
      <c r="AE1913" s="122" t="n">
        <v>0</v>
      </c>
      <c r="AF1913" s="122" t="n">
        <v>0</v>
      </c>
      <c r="AG1913" s="122" t="n">
        <v>0</v>
      </c>
      <c r="AH1913" s="122" t="n">
        <v>0</v>
      </c>
      <c r="AI1913" s="54">
        <f>IFERROR(AC1913/S1913,"")</f>
        <v/>
      </c>
      <c r="AJ1913" s="54">
        <f>IFERROR(AH1913/S1913,"")</f>
        <v/>
      </c>
      <c r="AK1913" s="122" t="n">
        <v>16</v>
      </c>
      <c r="AL1913" s="122" t="n">
        <v>0</v>
      </c>
      <c r="AM1913" s="124">
        <f>IFERROR(AL1913/AA1913,"")</f>
        <v/>
      </c>
      <c r="AN1913" s="125">
        <f>IFERROR(R1913/AL1913,"")</f>
        <v/>
      </c>
      <c r="AO1913" s="122" t="n">
        <v>0</v>
      </c>
      <c r="AP1913" s="54">
        <f>IFERROR(AO1913/AL1913,"")</f>
        <v/>
      </c>
      <c r="AQ1913" s="125">
        <f>IFERROR(R1913/AO1913,"")</f>
        <v/>
      </c>
      <c r="AR1913" s="122" t="n">
        <v>0</v>
      </c>
      <c r="AS1913" s="122" t="n">
        <v>0</v>
      </c>
      <c r="AT1913" s="122">
        <f>AL1913+AR1913</f>
        <v/>
      </c>
      <c r="AU1913" s="125">
        <f>IFERROR(AO1913*Assumptions!$C$26*Assumptions!$C$27*INDEX(Assumptions!$C$18:$C$21,MATCH(H1913,Assumptions!$B$18:$B$21,0)),0)</f>
        <v/>
      </c>
    </row>
    <row r="1914">
      <c r="A1914" s="120" t="n">
        <v>46262</v>
      </c>
      <c r="B1914" s="66" t="inlineStr">
        <is>
          <t>Wk 35</t>
        </is>
      </c>
      <c r="C1914" s="66" t="inlineStr">
        <is>
          <t>Fri</t>
        </is>
      </c>
      <c r="D1914" s="66" t="inlineStr">
        <is>
          <t>Programmatic</t>
        </is>
      </c>
      <c r="E1914" s="66" t="inlineStr">
        <is>
          <t>DV360</t>
        </is>
      </c>
      <c r="F1914" s="66" t="inlineStr">
        <is>
          <t>LEP_ZA_AUG26_PROG_TD_PROSPECT_DISPLAY</t>
        </is>
      </c>
      <c r="G1914" s="66" t="inlineStr">
        <is>
          <t>Display Prospecting</t>
        </is>
      </c>
      <c r="H1914" s="66" t="inlineStr">
        <is>
          <t>Range</t>
        </is>
      </c>
      <c r="I1914" s="66" t="inlineStr">
        <is>
          <t>Range Offer</t>
        </is>
      </c>
      <c r="J1914" s="66" t="inlineStr">
        <is>
          <t>PROG_3PD_INMKT_AUTO</t>
        </is>
      </c>
      <c r="K1914" s="66" t="inlineStr">
        <is>
          <t>In-Market</t>
        </is>
      </c>
      <c r="L1914" s="66" t="inlineStr">
        <is>
          <t>PROG_HTML5_970x250_Hero_v1</t>
        </is>
      </c>
      <c r="M1914" s="66" t="inlineStr">
        <is>
          <t>HTML5 Display 970x250</t>
        </is>
      </c>
      <c r="N1914" s="66" t="inlineStr">
        <is>
          <t>The Lepas range has landed</t>
        </is>
      </c>
      <c r="O1914" s="66" t="inlineStr">
        <is>
          <t>Programmatic Guaranteed / OA</t>
        </is>
      </c>
      <c r="P1914" s="66" t="inlineStr">
        <is>
          <t>Conversions (CPA)</t>
        </is>
      </c>
      <c r="Q1914" s="66" t="inlineStr">
        <is>
          <t>https://www.lepas-sa.co.za/offers</t>
        </is>
      </c>
      <c r="R1914" s="121" t="n">
        <v>135.16</v>
      </c>
      <c r="S1914" s="122" t="n">
        <v>4143</v>
      </c>
      <c r="T1914" s="122" t="n">
        <v>2008</v>
      </c>
      <c r="U1914" s="123">
        <f>IFERROR(S1914/T1914,"")</f>
        <v/>
      </c>
      <c r="V1914" s="122" t="n">
        <v>4</v>
      </c>
      <c r="W1914" s="122" t="n">
        <v>3</v>
      </c>
      <c r="X1914" s="124">
        <f>IFERROR(W1914/S1914,"")</f>
        <v/>
      </c>
      <c r="Y1914" s="121">
        <f>IFERROR(R1914/W1914,"")</f>
        <v/>
      </c>
      <c r="Z1914" s="121">
        <f>IFERROR(R1914/S1914*1000,"")</f>
        <v/>
      </c>
      <c r="AA1914" s="122" t="n">
        <v>2</v>
      </c>
      <c r="AB1914" s="54">
        <f>IFERROR(AA1914/W1914,"")</f>
        <v/>
      </c>
      <c r="AC1914" s="122" t="n">
        <v>0</v>
      </c>
      <c r="AD1914" s="122" t="n">
        <v>0</v>
      </c>
      <c r="AE1914" s="122" t="n">
        <v>0</v>
      </c>
      <c r="AF1914" s="122" t="n">
        <v>0</v>
      </c>
      <c r="AG1914" s="122" t="n">
        <v>0</v>
      </c>
      <c r="AH1914" s="122" t="n">
        <v>0</v>
      </c>
      <c r="AI1914" s="54">
        <f>IFERROR(AC1914/S1914,"")</f>
        <v/>
      </c>
      <c r="AJ1914" s="54">
        <f>IFERROR(AH1914/S1914,"")</f>
        <v/>
      </c>
      <c r="AK1914" s="122" t="n">
        <v>19</v>
      </c>
      <c r="AL1914" s="122" t="n">
        <v>0</v>
      </c>
      <c r="AM1914" s="124">
        <f>IFERROR(AL1914/AA1914,"")</f>
        <v/>
      </c>
      <c r="AN1914" s="125">
        <f>IFERROR(R1914/AL1914,"")</f>
        <v/>
      </c>
      <c r="AO1914" s="122" t="n">
        <v>0</v>
      </c>
      <c r="AP1914" s="54">
        <f>IFERROR(AO1914/AL1914,"")</f>
        <v/>
      </c>
      <c r="AQ1914" s="125">
        <f>IFERROR(R1914/AO1914,"")</f>
        <v/>
      </c>
      <c r="AR1914" s="122" t="n">
        <v>0</v>
      </c>
      <c r="AS1914" s="122" t="n">
        <v>0</v>
      </c>
      <c r="AT1914" s="122">
        <f>AL1914+AR1914</f>
        <v/>
      </c>
      <c r="AU1914" s="125">
        <f>IFERROR(AO1914*Assumptions!$C$26*Assumptions!$C$27*INDEX(Assumptions!$C$18:$C$21,MATCH(H1914,Assumptions!$B$18:$B$21,0)),0)</f>
        <v/>
      </c>
    </row>
    <row r="1915">
      <c r="A1915" s="120" t="n">
        <v>46263</v>
      </c>
      <c r="B1915" s="66" t="inlineStr">
        <is>
          <t>Wk 35</t>
        </is>
      </c>
      <c r="C1915" s="66" t="inlineStr">
        <is>
          <t>Sat</t>
        </is>
      </c>
      <c r="D1915" s="66" t="inlineStr">
        <is>
          <t>Programmatic</t>
        </is>
      </c>
      <c r="E1915" s="66" t="inlineStr">
        <is>
          <t>DV360</t>
        </is>
      </c>
      <c r="F1915" s="66" t="inlineStr">
        <is>
          <t>LEP_ZA_AUG26_PROG_TD_PROSPECT_DISPLAY</t>
        </is>
      </c>
      <c r="G1915" s="66" t="inlineStr">
        <is>
          <t>Display Prospecting</t>
        </is>
      </c>
      <c r="H1915" s="66" t="inlineStr">
        <is>
          <t>Range</t>
        </is>
      </c>
      <c r="I1915" s="66" t="inlineStr">
        <is>
          <t>Range Offer</t>
        </is>
      </c>
      <c r="J1915" s="66" t="inlineStr">
        <is>
          <t>PROG_3PD_INMKT_AUTO</t>
        </is>
      </c>
      <c r="K1915" s="66" t="inlineStr">
        <is>
          <t>In-Market</t>
        </is>
      </c>
      <c r="L1915" s="66" t="inlineStr">
        <is>
          <t>PROG_HTML5_970x250_Hero_v1</t>
        </is>
      </c>
      <c r="M1915" s="66" t="inlineStr">
        <is>
          <t>HTML5 Display 970x250</t>
        </is>
      </c>
      <c r="N1915" s="66" t="inlineStr">
        <is>
          <t>The Lepas range has landed</t>
        </is>
      </c>
      <c r="O1915" s="66" t="inlineStr">
        <is>
          <t>Programmatic Guaranteed / OA</t>
        </is>
      </c>
      <c r="P1915" s="66" t="inlineStr">
        <is>
          <t>Conversions (CPA)</t>
        </is>
      </c>
      <c r="Q1915" s="66" t="inlineStr">
        <is>
          <t>https://www.lepas-sa.co.za/offers</t>
        </is>
      </c>
      <c r="R1915" s="121" t="n">
        <v>131.02</v>
      </c>
      <c r="S1915" s="122" t="n">
        <v>3257</v>
      </c>
      <c r="T1915" s="122" t="n">
        <v>1249</v>
      </c>
      <c r="U1915" s="123">
        <f>IFERROR(S1915/T1915,"")</f>
        <v/>
      </c>
      <c r="V1915" s="122" t="n">
        <v>5</v>
      </c>
      <c r="W1915" s="122" t="n">
        <v>4</v>
      </c>
      <c r="X1915" s="124">
        <f>IFERROR(W1915/S1915,"")</f>
        <v/>
      </c>
      <c r="Y1915" s="121">
        <f>IFERROR(R1915/W1915,"")</f>
        <v/>
      </c>
      <c r="Z1915" s="121">
        <f>IFERROR(R1915/S1915*1000,"")</f>
        <v/>
      </c>
      <c r="AA1915" s="122" t="n">
        <v>2</v>
      </c>
      <c r="AB1915" s="54">
        <f>IFERROR(AA1915/W1915,"")</f>
        <v/>
      </c>
      <c r="AC1915" s="122" t="n">
        <v>0</v>
      </c>
      <c r="AD1915" s="122" t="n">
        <v>0</v>
      </c>
      <c r="AE1915" s="122" t="n">
        <v>0</v>
      </c>
      <c r="AF1915" s="122" t="n">
        <v>0</v>
      </c>
      <c r="AG1915" s="122" t="n">
        <v>0</v>
      </c>
      <c r="AH1915" s="122" t="n">
        <v>0</v>
      </c>
      <c r="AI1915" s="54">
        <f>IFERROR(AC1915/S1915,"")</f>
        <v/>
      </c>
      <c r="AJ1915" s="54">
        <f>IFERROR(AH1915/S1915,"")</f>
        <v/>
      </c>
      <c r="AK1915" s="122" t="n">
        <v>9</v>
      </c>
      <c r="AL1915" s="122" t="n">
        <v>0</v>
      </c>
      <c r="AM1915" s="124">
        <f>IFERROR(AL1915/AA1915,"")</f>
        <v/>
      </c>
      <c r="AN1915" s="125">
        <f>IFERROR(R1915/AL1915,"")</f>
        <v/>
      </c>
      <c r="AO1915" s="122" t="n">
        <v>0</v>
      </c>
      <c r="AP1915" s="54">
        <f>IFERROR(AO1915/AL1915,"")</f>
        <v/>
      </c>
      <c r="AQ1915" s="125">
        <f>IFERROR(R1915/AO1915,"")</f>
        <v/>
      </c>
      <c r="AR1915" s="122" t="n">
        <v>0</v>
      </c>
      <c r="AS1915" s="122" t="n">
        <v>0</v>
      </c>
      <c r="AT1915" s="122">
        <f>AL1915+AR1915</f>
        <v/>
      </c>
      <c r="AU1915" s="125">
        <f>IFERROR(AO1915*Assumptions!$C$26*Assumptions!$C$27*INDEX(Assumptions!$C$18:$C$21,MATCH(H1915,Assumptions!$B$18:$B$21,0)),0)</f>
        <v/>
      </c>
    </row>
    <row r="1916">
      <c r="A1916" s="120" t="n">
        <v>46264</v>
      </c>
      <c r="B1916" s="66" t="inlineStr">
        <is>
          <t>Wk 35</t>
        </is>
      </c>
      <c r="C1916" s="66" t="inlineStr">
        <is>
          <t>Sun</t>
        </is>
      </c>
      <c r="D1916" s="66" t="inlineStr">
        <is>
          <t>Programmatic</t>
        </is>
      </c>
      <c r="E1916" s="66" t="inlineStr">
        <is>
          <t>DV360</t>
        </is>
      </c>
      <c r="F1916" s="66" t="inlineStr">
        <is>
          <t>LEP_ZA_AUG26_PROG_TD_PROSPECT_DISPLAY</t>
        </is>
      </c>
      <c r="G1916" s="66" t="inlineStr">
        <is>
          <t>Display Prospecting</t>
        </is>
      </c>
      <c r="H1916" s="66" t="inlineStr">
        <is>
          <t>Range</t>
        </is>
      </c>
      <c r="I1916" s="66" t="inlineStr">
        <is>
          <t>Range Offer</t>
        </is>
      </c>
      <c r="J1916" s="66" t="inlineStr">
        <is>
          <t>PROG_3PD_INMKT_AUTO</t>
        </is>
      </c>
      <c r="K1916" s="66" t="inlineStr">
        <is>
          <t>In-Market</t>
        </is>
      </c>
      <c r="L1916" s="66" t="inlineStr">
        <is>
          <t>PROG_HTML5_970x250_Hero_v1</t>
        </is>
      </c>
      <c r="M1916" s="66" t="inlineStr">
        <is>
          <t>HTML5 Display 970x250</t>
        </is>
      </c>
      <c r="N1916" s="66" t="inlineStr">
        <is>
          <t>The Lepas range has landed</t>
        </is>
      </c>
      <c r="O1916" s="66" t="inlineStr">
        <is>
          <t>Programmatic Guaranteed / OA</t>
        </is>
      </c>
      <c r="P1916" s="66" t="inlineStr">
        <is>
          <t>Conversions (CPA)</t>
        </is>
      </c>
      <c r="Q1916" s="66" t="inlineStr">
        <is>
          <t>https://www.lepas-sa.co.za/offers</t>
        </is>
      </c>
      <c r="R1916" s="121" t="n">
        <v>112.42</v>
      </c>
      <c r="S1916" s="122" t="n">
        <v>3157</v>
      </c>
      <c r="T1916" s="122" t="n">
        <v>1081</v>
      </c>
      <c r="U1916" s="123">
        <f>IFERROR(S1916/T1916,"")</f>
        <v/>
      </c>
      <c r="V1916" s="122" t="n">
        <v>9</v>
      </c>
      <c r="W1916" s="122" t="n">
        <v>7</v>
      </c>
      <c r="X1916" s="124">
        <f>IFERROR(W1916/S1916,"")</f>
        <v/>
      </c>
      <c r="Y1916" s="121">
        <f>IFERROR(R1916/W1916,"")</f>
        <v/>
      </c>
      <c r="Z1916" s="121">
        <f>IFERROR(R1916/S1916*1000,"")</f>
        <v/>
      </c>
      <c r="AA1916" s="122" t="n">
        <v>5</v>
      </c>
      <c r="AB1916" s="54">
        <f>IFERROR(AA1916/W1916,"")</f>
        <v/>
      </c>
      <c r="AC1916" s="122" t="n">
        <v>0</v>
      </c>
      <c r="AD1916" s="122" t="n">
        <v>0</v>
      </c>
      <c r="AE1916" s="122" t="n">
        <v>0</v>
      </c>
      <c r="AF1916" s="122" t="n">
        <v>0</v>
      </c>
      <c r="AG1916" s="122" t="n">
        <v>0</v>
      </c>
      <c r="AH1916" s="122" t="n">
        <v>0</v>
      </c>
      <c r="AI1916" s="54">
        <f>IFERROR(AC1916/S1916,"")</f>
        <v/>
      </c>
      <c r="AJ1916" s="54">
        <f>IFERROR(AH1916/S1916,"")</f>
        <v/>
      </c>
      <c r="AK1916" s="122" t="n">
        <v>15</v>
      </c>
      <c r="AL1916" s="122" t="n">
        <v>0</v>
      </c>
      <c r="AM1916" s="124">
        <f>IFERROR(AL1916/AA1916,"")</f>
        <v/>
      </c>
      <c r="AN1916" s="125">
        <f>IFERROR(R1916/AL1916,"")</f>
        <v/>
      </c>
      <c r="AO1916" s="122" t="n">
        <v>0</v>
      </c>
      <c r="AP1916" s="54">
        <f>IFERROR(AO1916/AL1916,"")</f>
        <v/>
      </c>
      <c r="AQ1916" s="125">
        <f>IFERROR(R1916/AO1916,"")</f>
        <v/>
      </c>
      <c r="AR1916" s="122" t="n">
        <v>0</v>
      </c>
      <c r="AS1916" s="122" t="n">
        <v>0</v>
      </c>
      <c r="AT1916" s="122">
        <f>AL1916+AR1916</f>
        <v/>
      </c>
      <c r="AU1916" s="125">
        <f>IFERROR(AO1916*Assumptions!$C$26*Assumptions!$C$27*INDEX(Assumptions!$C$18:$C$21,MATCH(H1916,Assumptions!$B$18:$B$21,0)),0)</f>
        <v/>
      </c>
    </row>
    <row r="1917">
      <c r="A1917" s="120" t="n">
        <v>46265</v>
      </c>
      <c r="B1917" s="66" t="inlineStr">
        <is>
          <t>Wk 36</t>
        </is>
      </c>
      <c r="C1917" s="66" t="inlineStr">
        <is>
          <t>Mon</t>
        </is>
      </c>
      <c r="D1917" s="66" t="inlineStr">
        <is>
          <t>Programmatic</t>
        </is>
      </c>
      <c r="E1917" s="66" t="inlineStr">
        <is>
          <t>DV360</t>
        </is>
      </c>
      <c r="F1917" s="66" t="inlineStr">
        <is>
          <t>LEP_ZA_AUG26_PROG_TD_PROSPECT_DISPLAY</t>
        </is>
      </c>
      <c r="G1917" s="66" t="inlineStr">
        <is>
          <t>Display Prospecting</t>
        </is>
      </c>
      <c r="H1917" s="66" t="inlineStr">
        <is>
          <t>Range</t>
        </is>
      </c>
      <c r="I1917" s="66" t="inlineStr">
        <is>
          <t>Range Offer</t>
        </is>
      </c>
      <c r="J1917" s="66" t="inlineStr">
        <is>
          <t>PROG_3PD_INMKT_AUTO</t>
        </is>
      </c>
      <c r="K1917" s="66" t="inlineStr">
        <is>
          <t>In-Market</t>
        </is>
      </c>
      <c r="L1917" s="66" t="inlineStr">
        <is>
          <t>PROG_HTML5_970x250_Hero_v1</t>
        </is>
      </c>
      <c r="M1917" s="66" t="inlineStr">
        <is>
          <t>HTML5 Display 970x250</t>
        </is>
      </c>
      <c r="N1917" s="66" t="inlineStr">
        <is>
          <t>The Lepas range has landed</t>
        </is>
      </c>
      <c r="O1917" s="66" t="inlineStr">
        <is>
          <t>Programmatic Guaranteed / OA</t>
        </is>
      </c>
      <c r="P1917" s="66" t="inlineStr">
        <is>
          <t>Conversions (CPA)</t>
        </is>
      </c>
      <c r="Q1917" s="66" t="inlineStr">
        <is>
          <t>https://www.lepas-sa.co.za/offers</t>
        </is>
      </c>
      <c r="R1917" s="121" t="n">
        <v>130.34</v>
      </c>
      <c r="S1917" s="122" t="n">
        <v>4577</v>
      </c>
      <c r="T1917" s="122" t="n">
        <v>1623</v>
      </c>
      <c r="U1917" s="123">
        <f>IFERROR(S1917/T1917,"")</f>
        <v/>
      </c>
      <c r="V1917" s="122" t="n">
        <v>12</v>
      </c>
      <c r="W1917" s="122" t="n">
        <v>9</v>
      </c>
      <c r="X1917" s="124">
        <f>IFERROR(W1917/S1917,"")</f>
        <v/>
      </c>
      <c r="Y1917" s="121">
        <f>IFERROR(R1917/W1917,"")</f>
        <v/>
      </c>
      <c r="Z1917" s="121">
        <f>IFERROR(R1917/S1917*1000,"")</f>
        <v/>
      </c>
      <c r="AA1917" s="122" t="n">
        <v>5</v>
      </c>
      <c r="AB1917" s="54">
        <f>IFERROR(AA1917/W1917,"")</f>
        <v/>
      </c>
      <c r="AC1917" s="122" t="n">
        <v>0</v>
      </c>
      <c r="AD1917" s="122" t="n">
        <v>0</v>
      </c>
      <c r="AE1917" s="122" t="n">
        <v>0</v>
      </c>
      <c r="AF1917" s="122" t="n">
        <v>0</v>
      </c>
      <c r="AG1917" s="122" t="n">
        <v>0</v>
      </c>
      <c r="AH1917" s="122" t="n">
        <v>0</v>
      </c>
      <c r="AI1917" s="54">
        <f>IFERROR(AC1917/S1917,"")</f>
        <v/>
      </c>
      <c r="AJ1917" s="54">
        <f>IFERROR(AH1917/S1917,"")</f>
        <v/>
      </c>
      <c r="AK1917" s="122" t="n">
        <v>25</v>
      </c>
      <c r="AL1917" s="122" t="n">
        <v>0</v>
      </c>
      <c r="AM1917" s="124">
        <f>IFERROR(AL1917/AA1917,"")</f>
        <v/>
      </c>
      <c r="AN1917" s="125">
        <f>IFERROR(R1917/AL1917,"")</f>
        <v/>
      </c>
      <c r="AO1917" s="122" t="n">
        <v>0</v>
      </c>
      <c r="AP1917" s="54">
        <f>IFERROR(AO1917/AL1917,"")</f>
        <v/>
      </c>
      <c r="AQ1917" s="125">
        <f>IFERROR(R1917/AO1917,"")</f>
        <v/>
      </c>
      <c r="AR1917" s="122" t="n">
        <v>0</v>
      </c>
      <c r="AS1917" s="122" t="n">
        <v>0</v>
      </c>
      <c r="AT1917" s="122">
        <f>AL1917+AR1917</f>
        <v/>
      </c>
      <c r="AU1917" s="125">
        <f>IFERROR(AO1917*Assumptions!$C$26*Assumptions!$C$27*INDEX(Assumptions!$C$18:$C$21,MATCH(H1917,Assumptions!$B$18:$B$21,0)),0)</f>
        <v/>
      </c>
    </row>
    <row r="1918">
      <c r="A1918" s="120" t="n">
        <v>46235</v>
      </c>
      <c r="B1918" s="66" t="inlineStr">
        <is>
          <t>Wk 31</t>
        </is>
      </c>
      <c r="C1918" s="66" t="inlineStr">
        <is>
          <t>Sat</t>
        </is>
      </c>
      <c r="D1918" s="66" t="inlineStr">
        <is>
          <t>Programmatic</t>
        </is>
      </c>
      <c r="E1918" s="66" t="inlineStr">
        <is>
          <t>DV360</t>
        </is>
      </c>
      <c r="F1918" s="66" t="inlineStr">
        <is>
          <t>LEP_ZA_AUG26_PROG_TD_PROSPECT_DISPLAY</t>
        </is>
      </c>
      <c r="G1918" s="66" t="inlineStr">
        <is>
          <t>Display Prospecting</t>
        </is>
      </c>
      <c r="H1918" s="66" t="inlineStr">
        <is>
          <t>Range</t>
        </is>
      </c>
      <c r="I1918" s="66" t="inlineStr">
        <is>
          <t>Range Offer</t>
        </is>
      </c>
      <c r="J1918" s="66" t="inlineStr">
        <is>
          <t>PROG_GEO_DEALER_RADIUS</t>
        </is>
      </c>
      <c r="K1918" s="66" t="inlineStr">
        <is>
          <t>Prospecting</t>
        </is>
      </c>
      <c r="L1918" s="66" t="inlineStr">
        <is>
          <t>PROG_HTML5_320x50_Range_v1</t>
        </is>
      </c>
      <c r="M1918" s="66" t="inlineStr">
        <is>
          <t>HTML5 Display 320x50</t>
        </is>
      </c>
      <c r="N1918" s="66" t="inlineStr">
        <is>
          <t>From R3 599pm</t>
        </is>
      </c>
      <c r="O1918" s="66" t="inlineStr">
        <is>
          <t>Programmatic Guaranteed / OA</t>
        </is>
      </c>
      <c r="P1918" s="66" t="inlineStr">
        <is>
          <t>Conversions (CPA)</t>
        </is>
      </c>
      <c r="Q1918" s="66" t="inlineStr">
        <is>
          <t>https://www.lepas-sa.co.za/offers</t>
        </is>
      </c>
      <c r="R1918" s="121" t="n">
        <v>135.17</v>
      </c>
      <c r="S1918" s="122" t="n">
        <v>6913</v>
      </c>
      <c r="T1918" s="122" t="n">
        <v>3149</v>
      </c>
      <c r="U1918" s="123">
        <f>IFERROR(S1918/T1918,"")</f>
        <v/>
      </c>
      <c r="V1918" s="122" t="n">
        <v>16</v>
      </c>
      <c r="W1918" s="122" t="n">
        <v>13</v>
      </c>
      <c r="X1918" s="124">
        <f>IFERROR(W1918/S1918,"")</f>
        <v/>
      </c>
      <c r="Y1918" s="121">
        <f>IFERROR(R1918/W1918,"")</f>
        <v/>
      </c>
      <c r="Z1918" s="121">
        <f>IFERROR(R1918/S1918*1000,"")</f>
        <v/>
      </c>
      <c r="AA1918" s="122" t="n">
        <v>9</v>
      </c>
      <c r="AB1918" s="54">
        <f>IFERROR(AA1918/W1918,"")</f>
        <v/>
      </c>
      <c r="AC1918" s="122" t="n">
        <v>0</v>
      </c>
      <c r="AD1918" s="122" t="n">
        <v>0</v>
      </c>
      <c r="AE1918" s="122" t="n">
        <v>0</v>
      </c>
      <c r="AF1918" s="122" t="n">
        <v>0</v>
      </c>
      <c r="AG1918" s="122" t="n">
        <v>0</v>
      </c>
      <c r="AH1918" s="122" t="n">
        <v>0</v>
      </c>
      <c r="AI1918" s="54">
        <f>IFERROR(AC1918/S1918,"")</f>
        <v/>
      </c>
      <c r="AJ1918" s="54">
        <f>IFERROR(AH1918/S1918,"")</f>
        <v/>
      </c>
      <c r="AK1918" s="122" t="n">
        <v>24</v>
      </c>
      <c r="AL1918" s="122" t="n">
        <v>0</v>
      </c>
      <c r="AM1918" s="124">
        <f>IFERROR(AL1918/AA1918,"")</f>
        <v/>
      </c>
      <c r="AN1918" s="125">
        <f>IFERROR(R1918/AL1918,"")</f>
        <v/>
      </c>
      <c r="AO1918" s="122" t="n">
        <v>0</v>
      </c>
      <c r="AP1918" s="54">
        <f>IFERROR(AO1918/AL1918,"")</f>
        <v/>
      </c>
      <c r="AQ1918" s="125">
        <f>IFERROR(R1918/AO1918,"")</f>
        <v/>
      </c>
      <c r="AR1918" s="122" t="n">
        <v>0</v>
      </c>
      <c r="AS1918" s="122" t="n">
        <v>0</v>
      </c>
      <c r="AT1918" s="122">
        <f>AL1918+AR1918</f>
        <v/>
      </c>
      <c r="AU1918" s="125">
        <f>IFERROR(AO1918*Assumptions!$C$26*Assumptions!$C$27*INDEX(Assumptions!$C$18:$C$21,MATCH(H1918,Assumptions!$B$18:$B$21,0)),0)</f>
        <v/>
      </c>
    </row>
    <row r="1919">
      <c r="A1919" s="120" t="n">
        <v>46236</v>
      </c>
      <c r="B1919" s="66" t="inlineStr">
        <is>
          <t>Wk 31</t>
        </is>
      </c>
      <c r="C1919" s="66" t="inlineStr">
        <is>
          <t>Sun</t>
        </is>
      </c>
      <c r="D1919" s="66" t="inlineStr">
        <is>
          <t>Programmatic</t>
        </is>
      </c>
      <c r="E1919" s="66" t="inlineStr">
        <is>
          <t>DV360</t>
        </is>
      </c>
      <c r="F1919" s="66" t="inlineStr">
        <is>
          <t>LEP_ZA_AUG26_PROG_TD_PROSPECT_DISPLAY</t>
        </is>
      </c>
      <c r="G1919" s="66" t="inlineStr">
        <is>
          <t>Display Prospecting</t>
        </is>
      </c>
      <c r="H1919" s="66" t="inlineStr">
        <is>
          <t>Range</t>
        </is>
      </c>
      <c r="I1919" s="66" t="inlineStr">
        <is>
          <t>Range Offer</t>
        </is>
      </c>
      <c r="J1919" s="66" t="inlineStr">
        <is>
          <t>PROG_GEO_DEALER_RADIUS</t>
        </is>
      </c>
      <c r="K1919" s="66" t="inlineStr">
        <is>
          <t>Prospecting</t>
        </is>
      </c>
      <c r="L1919" s="66" t="inlineStr">
        <is>
          <t>PROG_HTML5_320x50_Range_v1</t>
        </is>
      </c>
      <c r="M1919" s="66" t="inlineStr">
        <is>
          <t>HTML5 Display 320x50</t>
        </is>
      </c>
      <c r="N1919" s="66" t="inlineStr">
        <is>
          <t>From R3 599pm</t>
        </is>
      </c>
      <c r="O1919" s="66" t="inlineStr">
        <is>
          <t>Programmatic Guaranteed / OA</t>
        </is>
      </c>
      <c r="P1919" s="66" t="inlineStr">
        <is>
          <t>Conversions (CPA)</t>
        </is>
      </c>
      <c r="Q1919" s="66" t="inlineStr">
        <is>
          <t>https://www.lepas-sa.co.za/offers</t>
        </is>
      </c>
      <c r="R1919" s="121" t="n">
        <v>97.40000000000001</v>
      </c>
      <c r="S1919" s="122" t="n">
        <v>3118</v>
      </c>
      <c r="T1919" s="122" t="n">
        <v>1767</v>
      </c>
      <c r="U1919" s="123">
        <f>IFERROR(S1919/T1919,"")</f>
        <v/>
      </c>
      <c r="V1919" s="122" t="n">
        <v>7</v>
      </c>
      <c r="W1919" s="122" t="n">
        <v>5</v>
      </c>
      <c r="X1919" s="124">
        <f>IFERROR(W1919/S1919,"")</f>
        <v/>
      </c>
      <c r="Y1919" s="121">
        <f>IFERROR(R1919/W1919,"")</f>
        <v/>
      </c>
      <c r="Z1919" s="121">
        <f>IFERROR(R1919/S1919*1000,"")</f>
        <v/>
      </c>
      <c r="AA1919" s="122" t="n">
        <v>3</v>
      </c>
      <c r="AB1919" s="54">
        <f>IFERROR(AA1919/W1919,"")</f>
        <v/>
      </c>
      <c r="AC1919" s="122" t="n">
        <v>0</v>
      </c>
      <c r="AD1919" s="122" t="n">
        <v>0</v>
      </c>
      <c r="AE1919" s="122" t="n">
        <v>0</v>
      </c>
      <c r="AF1919" s="122" t="n">
        <v>0</v>
      </c>
      <c r="AG1919" s="122" t="n">
        <v>0</v>
      </c>
      <c r="AH1919" s="122" t="n">
        <v>0</v>
      </c>
      <c r="AI1919" s="54">
        <f>IFERROR(AC1919/S1919,"")</f>
        <v/>
      </c>
      <c r="AJ1919" s="54">
        <f>IFERROR(AH1919/S1919,"")</f>
        <v/>
      </c>
      <c r="AK1919" s="122" t="n">
        <v>9</v>
      </c>
      <c r="AL1919" s="122" t="n">
        <v>0</v>
      </c>
      <c r="AM1919" s="124">
        <f>IFERROR(AL1919/AA1919,"")</f>
        <v/>
      </c>
      <c r="AN1919" s="125">
        <f>IFERROR(R1919/AL1919,"")</f>
        <v/>
      </c>
      <c r="AO1919" s="122" t="n">
        <v>0</v>
      </c>
      <c r="AP1919" s="54">
        <f>IFERROR(AO1919/AL1919,"")</f>
        <v/>
      </c>
      <c r="AQ1919" s="125">
        <f>IFERROR(R1919/AO1919,"")</f>
        <v/>
      </c>
      <c r="AR1919" s="122" t="n">
        <v>0</v>
      </c>
      <c r="AS1919" s="122" t="n">
        <v>0</v>
      </c>
      <c r="AT1919" s="122">
        <f>AL1919+AR1919</f>
        <v/>
      </c>
      <c r="AU1919" s="125">
        <f>IFERROR(AO1919*Assumptions!$C$26*Assumptions!$C$27*INDEX(Assumptions!$C$18:$C$21,MATCH(H1919,Assumptions!$B$18:$B$21,0)),0)</f>
        <v/>
      </c>
    </row>
    <row r="1920">
      <c r="A1920" s="120" t="n">
        <v>46237</v>
      </c>
      <c r="B1920" s="66" t="inlineStr">
        <is>
          <t>Wk 32</t>
        </is>
      </c>
      <c r="C1920" s="66" t="inlineStr">
        <is>
          <t>Mon</t>
        </is>
      </c>
      <c r="D1920" s="66" t="inlineStr">
        <is>
          <t>Programmatic</t>
        </is>
      </c>
      <c r="E1920" s="66" t="inlineStr">
        <is>
          <t>DV360</t>
        </is>
      </c>
      <c r="F1920" s="66" t="inlineStr">
        <is>
          <t>LEP_ZA_AUG26_PROG_TD_PROSPECT_DISPLAY</t>
        </is>
      </c>
      <c r="G1920" s="66" t="inlineStr">
        <is>
          <t>Display Prospecting</t>
        </is>
      </c>
      <c r="H1920" s="66" t="inlineStr">
        <is>
          <t>Range</t>
        </is>
      </c>
      <c r="I1920" s="66" t="inlineStr">
        <is>
          <t>Range Offer</t>
        </is>
      </c>
      <c r="J1920" s="66" t="inlineStr">
        <is>
          <t>PROG_GEO_DEALER_RADIUS</t>
        </is>
      </c>
      <c r="K1920" s="66" t="inlineStr">
        <is>
          <t>Prospecting</t>
        </is>
      </c>
      <c r="L1920" s="66" t="inlineStr">
        <is>
          <t>PROG_HTML5_320x50_Range_v1</t>
        </is>
      </c>
      <c r="M1920" s="66" t="inlineStr">
        <is>
          <t>HTML5 Display 320x50</t>
        </is>
      </c>
      <c r="N1920" s="66" t="inlineStr">
        <is>
          <t>From R3 599pm</t>
        </is>
      </c>
      <c r="O1920" s="66" t="inlineStr">
        <is>
          <t>Programmatic Guaranteed / OA</t>
        </is>
      </c>
      <c r="P1920" s="66" t="inlineStr">
        <is>
          <t>Conversions (CPA)</t>
        </is>
      </c>
      <c r="Q1920" s="66" t="inlineStr">
        <is>
          <t>https://www.lepas-sa.co.za/offers</t>
        </is>
      </c>
      <c r="R1920" s="121" t="n">
        <v>127.87</v>
      </c>
      <c r="S1920" s="122" t="n">
        <v>5903</v>
      </c>
      <c r="T1920" s="122" t="n">
        <v>3521</v>
      </c>
      <c r="U1920" s="123">
        <f>IFERROR(S1920/T1920,"")</f>
        <v/>
      </c>
      <c r="V1920" s="122" t="n">
        <v>10</v>
      </c>
      <c r="W1920" s="122" t="n">
        <v>7</v>
      </c>
      <c r="X1920" s="124">
        <f>IFERROR(W1920/S1920,"")</f>
        <v/>
      </c>
      <c r="Y1920" s="121">
        <f>IFERROR(R1920/W1920,"")</f>
        <v/>
      </c>
      <c r="Z1920" s="121">
        <f>IFERROR(R1920/S1920*1000,"")</f>
        <v/>
      </c>
      <c r="AA1920" s="122" t="n">
        <v>4</v>
      </c>
      <c r="AB1920" s="54">
        <f>IFERROR(AA1920/W1920,"")</f>
        <v/>
      </c>
      <c r="AC1920" s="122" t="n">
        <v>0</v>
      </c>
      <c r="AD1920" s="122" t="n">
        <v>0</v>
      </c>
      <c r="AE1920" s="122" t="n">
        <v>0</v>
      </c>
      <c r="AF1920" s="122" t="n">
        <v>0</v>
      </c>
      <c r="AG1920" s="122" t="n">
        <v>0</v>
      </c>
      <c r="AH1920" s="122" t="n">
        <v>0</v>
      </c>
      <c r="AI1920" s="54">
        <f>IFERROR(AC1920/S1920,"")</f>
        <v/>
      </c>
      <c r="AJ1920" s="54">
        <f>IFERROR(AH1920/S1920,"")</f>
        <v/>
      </c>
      <c r="AK1920" s="122" t="n">
        <v>25</v>
      </c>
      <c r="AL1920" s="122" t="n">
        <v>0</v>
      </c>
      <c r="AM1920" s="124">
        <f>IFERROR(AL1920/AA1920,"")</f>
        <v/>
      </c>
      <c r="AN1920" s="125">
        <f>IFERROR(R1920/AL1920,"")</f>
        <v/>
      </c>
      <c r="AO1920" s="122" t="n">
        <v>0</v>
      </c>
      <c r="AP1920" s="54">
        <f>IFERROR(AO1920/AL1920,"")</f>
        <v/>
      </c>
      <c r="AQ1920" s="125">
        <f>IFERROR(R1920/AO1920,"")</f>
        <v/>
      </c>
      <c r="AR1920" s="122" t="n">
        <v>0</v>
      </c>
      <c r="AS1920" s="122" t="n">
        <v>0</v>
      </c>
      <c r="AT1920" s="122">
        <f>AL1920+AR1920</f>
        <v/>
      </c>
      <c r="AU1920" s="125">
        <f>IFERROR(AO1920*Assumptions!$C$26*Assumptions!$C$27*INDEX(Assumptions!$C$18:$C$21,MATCH(H1920,Assumptions!$B$18:$B$21,0)),0)</f>
        <v/>
      </c>
    </row>
    <row r="1921">
      <c r="A1921" s="120" t="n">
        <v>46238</v>
      </c>
      <c r="B1921" s="66" t="inlineStr">
        <is>
          <t>Wk 32</t>
        </is>
      </c>
      <c r="C1921" s="66" t="inlineStr">
        <is>
          <t>Tue</t>
        </is>
      </c>
      <c r="D1921" s="66" t="inlineStr">
        <is>
          <t>Programmatic</t>
        </is>
      </c>
      <c r="E1921" s="66" t="inlineStr">
        <is>
          <t>DV360</t>
        </is>
      </c>
      <c r="F1921" s="66" t="inlineStr">
        <is>
          <t>LEP_ZA_AUG26_PROG_TD_PROSPECT_DISPLAY</t>
        </is>
      </c>
      <c r="G1921" s="66" t="inlineStr">
        <is>
          <t>Display Prospecting</t>
        </is>
      </c>
      <c r="H1921" s="66" t="inlineStr">
        <is>
          <t>Range</t>
        </is>
      </c>
      <c r="I1921" s="66" t="inlineStr">
        <is>
          <t>Range Offer</t>
        </is>
      </c>
      <c r="J1921" s="66" t="inlineStr">
        <is>
          <t>PROG_GEO_DEALER_RADIUS</t>
        </is>
      </c>
      <c r="K1921" s="66" t="inlineStr">
        <is>
          <t>Prospecting</t>
        </is>
      </c>
      <c r="L1921" s="66" t="inlineStr">
        <is>
          <t>PROG_HTML5_320x50_Range_v1</t>
        </is>
      </c>
      <c r="M1921" s="66" t="inlineStr">
        <is>
          <t>HTML5 Display 320x50</t>
        </is>
      </c>
      <c r="N1921" s="66" t="inlineStr">
        <is>
          <t>From R3 599pm</t>
        </is>
      </c>
      <c r="O1921" s="66" t="inlineStr">
        <is>
          <t>Programmatic Guaranteed / OA</t>
        </is>
      </c>
      <c r="P1921" s="66" t="inlineStr">
        <is>
          <t>Conversions (CPA)</t>
        </is>
      </c>
      <c r="Q1921" s="66" t="inlineStr">
        <is>
          <t>https://www.lepas-sa.co.za/offers</t>
        </is>
      </c>
      <c r="R1921" s="121" t="n">
        <v>117.77</v>
      </c>
      <c r="S1921" s="122" t="n">
        <v>5065</v>
      </c>
      <c r="T1921" s="122" t="n">
        <v>3867</v>
      </c>
      <c r="U1921" s="123">
        <f>IFERROR(S1921/T1921,"")</f>
        <v/>
      </c>
      <c r="V1921" s="122" t="n">
        <v>22</v>
      </c>
      <c r="W1921" s="122" t="n">
        <v>17</v>
      </c>
      <c r="X1921" s="124">
        <f>IFERROR(W1921/S1921,"")</f>
        <v/>
      </c>
      <c r="Y1921" s="121">
        <f>IFERROR(R1921/W1921,"")</f>
        <v/>
      </c>
      <c r="Z1921" s="121">
        <f>IFERROR(R1921/S1921*1000,"")</f>
        <v/>
      </c>
      <c r="AA1921" s="122" t="n">
        <v>12</v>
      </c>
      <c r="AB1921" s="54">
        <f>IFERROR(AA1921/W1921,"")</f>
        <v/>
      </c>
      <c r="AC1921" s="122" t="n">
        <v>0</v>
      </c>
      <c r="AD1921" s="122" t="n">
        <v>0</v>
      </c>
      <c r="AE1921" s="122" t="n">
        <v>0</v>
      </c>
      <c r="AF1921" s="122" t="n">
        <v>0</v>
      </c>
      <c r="AG1921" s="122" t="n">
        <v>0</v>
      </c>
      <c r="AH1921" s="122" t="n">
        <v>0</v>
      </c>
      <c r="AI1921" s="54">
        <f>IFERROR(AC1921/S1921,"")</f>
        <v/>
      </c>
      <c r="AJ1921" s="54">
        <f>IFERROR(AH1921/S1921,"")</f>
        <v/>
      </c>
      <c r="AK1921" s="122" t="n">
        <v>11</v>
      </c>
      <c r="AL1921" s="122" t="n">
        <v>0</v>
      </c>
      <c r="AM1921" s="124">
        <f>IFERROR(AL1921/AA1921,"")</f>
        <v/>
      </c>
      <c r="AN1921" s="125">
        <f>IFERROR(R1921/AL1921,"")</f>
        <v/>
      </c>
      <c r="AO1921" s="122" t="n">
        <v>0</v>
      </c>
      <c r="AP1921" s="54">
        <f>IFERROR(AO1921/AL1921,"")</f>
        <v/>
      </c>
      <c r="AQ1921" s="125">
        <f>IFERROR(R1921/AO1921,"")</f>
        <v/>
      </c>
      <c r="AR1921" s="122" t="n">
        <v>0</v>
      </c>
      <c r="AS1921" s="122" t="n">
        <v>0</v>
      </c>
      <c r="AT1921" s="122">
        <f>AL1921+AR1921</f>
        <v/>
      </c>
      <c r="AU1921" s="125">
        <f>IFERROR(AO1921*Assumptions!$C$26*Assumptions!$C$27*INDEX(Assumptions!$C$18:$C$21,MATCH(H1921,Assumptions!$B$18:$B$21,0)),0)</f>
        <v/>
      </c>
    </row>
    <row r="1922">
      <c r="A1922" s="120" t="n">
        <v>46239</v>
      </c>
      <c r="B1922" s="66" t="inlineStr">
        <is>
          <t>Wk 32</t>
        </is>
      </c>
      <c r="C1922" s="66" t="inlineStr">
        <is>
          <t>Wed</t>
        </is>
      </c>
      <c r="D1922" s="66" t="inlineStr">
        <is>
          <t>Programmatic</t>
        </is>
      </c>
      <c r="E1922" s="66" t="inlineStr">
        <is>
          <t>DV360</t>
        </is>
      </c>
      <c r="F1922" s="66" t="inlineStr">
        <is>
          <t>LEP_ZA_AUG26_PROG_TD_PROSPECT_DISPLAY</t>
        </is>
      </c>
      <c r="G1922" s="66" t="inlineStr">
        <is>
          <t>Display Prospecting</t>
        </is>
      </c>
      <c r="H1922" s="66" t="inlineStr">
        <is>
          <t>Range</t>
        </is>
      </c>
      <c r="I1922" s="66" t="inlineStr">
        <is>
          <t>Range Offer</t>
        </is>
      </c>
      <c r="J1922" s="66" t="inlineStr">
        <is>
          <t>PROG_GEO_DEALER_RADIUS</t>
        </is>
      </c>
      <c r="K1922" s="66" t="inlineStr">
        <is>
          <t>Prospecting</t>
        </is>
      </c>
      <c r="L1922" s="66" t="inlineStr">
        <is>
          <t>PROG_HTML5_320x50_Range_v1</t>
        </is>
      </c>
      <c r="M1922" s="66" t="inlineStr">
        <is>
          <t>HTML5 Display 320x50</t>
        </is>
      </c>
      <c r="N1922" s="66" t="inlineStr">
        <is>
          <t>From R3 599pm</t>
        </is>
      </c>
      <c r="O1922" s="66" t="inlineStr">
        <is>
          <t>Programmatic Guaranteed / OA</t>
        </is>
      </c>
      <c r="P1922" s="66" t="inlineStr">
        <is>
          <t>Conversions (CPA)</t>
        </is>
      </c>
      <c r="Q1922" s="66" t="inlineStr">
        <is>
          <t>https://www.lepas-sa.co.za/offers</t>
        </is>
      </c>
      <c r="R1922" s="121" t="n">
        <v>159.66</v>
      </c>
      <c r="S1922" s="122" t="n">
        <v>6810</v>
      </c>
      <c r="T1922" s="122" t="n">
        <v>3292</v>
      </c>
      <c r="U1922" s="123">
        <f>IFERROR(S1922/T1922,"")</f>
        <v/>
      </c>
      <c r="V1922" s="122" t="n">
        <v>8</v>
      </c>
      <c r="W1922" s="122" t="n">
        <v>7</v>
      </c>
      <c r="X1922" s="124">
        <f>IFERROR(W1922/S1922,"")</f>
        <v/>
      </c>
      <c r="Y1922" s="121">
        <f>IFERROR(R1922/W1922,"")</f>
        <v/>
      </c>
      <c r="Z1922" s="121">
        <f>IFERROR(R1922/S1922*1000,"")</f>
        <v/>
      </c>
      <c r="AA1922" s="122" t="n">
        <v>4</v>
      </c>
      <c r="AB1922" s="54">
        <f>IFERROR(AA1922/W1922,"")</f>
        <v/>
      </c>
      <c r="AC1922" s="122" t="n">
        <v>0</v>
      </c>
      <c r="AD1922" s="122" t="n">
        <v>0</v>
      </c>
      <c r="AE1922" s="122" t="n">
        <v>0</v>
      </c>
      <c r="AF1922" s="122" t="n">
        <v>0</v>
      </c>
      <c r="AG1922" s="122" t="n">
        <v>0</v>
      </c>
      <c r="AH1922" s="122" t="n">
        <v>0</v>
      </c>
      <c r="AI1922" s="54">
        <f>IFERROR(AC1922/S1922,"")</f>
        <v/>
      </c>
      <c r="AJ1922" s="54">
        <f>IFERROR(AH1922/S1922,"")</f>
        <v/>
      </c>
      <c r="AK1922" s="122" t="n">
        <v>34</v>
      </c>
      <c r="AL1922" s="122" t="n">
        <v>0</v>
      </c>
      <c r="AM1922" s="124">
        <f>IFERROR(AL1922/AA1922,"")</f>
        <v/>
      </c>
      <c r="AN1922" s="125">
        <f>IFERROR(R1922/AL1922,"")</f>
        <v/>
      </c>
      <c r="AO1922" s="122" t="n">
        <v>0</v>
      </c>
      <c r="AP1922" s="54">
        <f>IFERROR(AO1922/AL1922,"")</f>
        <v/>
      </c>
      <c r="AQ1922" s="125">
        <f>IFERROR(R1922/AO1922,"")</f>
        <v/>
      </c>
      <c r="AR1922" s="122" t="n">
        <v>0</v>
      </c>
      <c r="AS1922" s="122" t="n">
        <v>0</v>
      </c>
      <c r="AT1922" s="122">
        <f>AL1922+AR1922</f>
        <v/>
      </c>
      <c r="AU1922" s="125">
        <f>IFERROR(AO1922*Assumptions!$C$26*Assumptions!$C$27*INDEX(Assumptions!$C$18:$C$21,MATCH(H1922,Assumptions!$B$18:$B$21,0)),0)</f>
        <v/>
      </c>
    </row>
    <row r="1923">
      <c r="A1923" s="120" t="n">
        <v>46240</v>
      </c>
      <c r="B1923" s="66" t="inlineStr">
        <is>
          <t>Wk 32</t>
        </is>
      </c>
      <c r="C1923" s="66" t="inlineStr">
        <is>
          <t>Thu</t>
        </is>
      </c>
      <c r="D1923" s="66" t="inlineStr">
        <is>
          <t>Programmatic</t>
        </is>
      </c>
      <c r="E1923" s="66" t="inlineStr">
        <is>
          <t>DV360</t>
        </is>
      </c>
      <c r="F1923" s="66" t="inlineStr">
        <is>
          <t>LEP_ZA_AUG26_PROG_TD_PROSPECT_DISPLAY</t>
        </is>
      </c>
      <c r="G1923" s="66" t="inlineStr">
        <is>
          <t>Display Prospecting</t>
        </is>
      </c>
      <c r="H1923" s="66" t="inlineStr">
        <is>
          <t>Range</t>
        </is>
      </c>
      <c r="I1923" s="66" t="inlineStr">
        <is>
          <t>Range Offer</t>
        </is>
      </c>
      <c r="J1923" s="66" t="inlineStr">
        <is>
          <t>PROG_GEO_DEALER_RADIUS</t>
        </is>
      </c>
      <c r="K1923" s="66" t="inlineStr">
        <is>
          <t>Prospecting</t>
        </is>
      </c>
      <c r="L1923" s="66" t="inlineStr">
        <is>
          <t>PROG_HTML5_320x50_Range_v1</t>
        </is>
      </c>
      <c r="M1923" s="66" t="inlineStr">
        <is>
          <t>HTML5 Display 320x50</t>
        </is>
      </c>
      <c r="N1923" s="66" t="inlineStr">
        <is>
          <t>From R3 599pm</t>
        </is>
      </c>
      <c r="O1923" s="66" t="inlineStr">
        <is>
          <t>Programmatic Guaranteed / OA</t>
        </is>
      </c>
      <c r="P1923" s="66" t="inlineStr">
        <is>
          <t>Conversions (CPA)</t>
        </is>
      </c>
      <c r="Q1923" s="66" t="inlineStr">
        <is>
          <t>https://www.lepas-sa.co.za/offers</t>
        </is>
      </c>
      <c r="R1923" s="121" t="n">
        <v>176.34</v>
      </c>
      <c r="S1923" s="122" t="n">
        <v>5686</v>
      </c>
      <c r="T1923" s="122" t="n">
        <v>2476</v>
      </c>
      <c r="U1923" s="123">
        <f>IFERROR(S1923/T1923,"")</f>
        <v/>
      </c>
      <c r="V1923" s="122" t="n">
        <v>12</v>
      </c>
      <c r="W1923" s="122" t="n">
        <v>9</v>
      </c>
      <c r="X1923" s="124">
        <f>IFERROR(W1923/S1923,"")</f>
        <v/>
      </c>
      <c r="Y1923" s="121">
        <f>IFERROR(R1923/W1923,"")</f>
        <v/>
      </c>
      <c r="Z1923" s="121">
        <f>IFERROR(R1923/S1923*1000,"")</f>
        <v/>
      </c>
      <c r="AA1923" s="122" t="n">
        <v>7</v>
      </c>
      <c r="AB1923" s="54">
        <f>IFERROR(AA1923/W1923,"")</f>
        <v/>
      </c>
      <c r="AC1923" s="122" t="n">
        <v>0</v>
      </c>
      <c r="AD1923" s="122" t="n">
        <v>0</v>
      </c>
      <c r="AE1923" s="122" t="n">
        <v>0</v>
      </c>
      <c r="AF1923" s="122" t="n">
        <v>0</v>
      </c>
      <c r="AG1923" s="122" t="n">
        <v>0</v>
      </c>
      <c r="AH1923" s="122" t="n">
        <v>0</v>
      </c>
      <c r="AI1923" s="54">
        <f>IFERROR(AC1923/S1923,"")</f>
        <v/>
      </c>
      <c r="AJ1923" s="54">
        <f>IFERROR(AH1923/S1923,"")</f>
        <v/>
      </c>
      <c r="AK1923" s="122" t="n">
        <v>19</v>
      </c>
      <c r="AL1923" s="122" t="n">
        <v>0</v>
      </c>
      <c r="AM1923" s="124">
        <f>IFERROR(AL1923/AA1923,"")</f>
        <v/>
      </c>
      <c r="AN1923" s="125">
        <f>IFERROR(R1923/AL1923,"")</f>
        <v/>
      </c>
      <c r="AO1923" s="122" t="n">
        <v>0</v>
      </c>
      <c r="AP1923" s="54">
        <f>IFERROR(AO1923/AL1923,"")</f>
        <v/>
      </c>
      <c r="AQ1923" s="125">
        <f>IFERROR(R1923/AO1923,"")</f>
        <v/>
      </c>
      <c r="AR1923" s="122" t="n">
        <v>0</v>
      </c>
      <c r="AS1923" s="122" t="n">
        <v>0</v>
      </c>
      <c r="AT1923" s="122">
        <f>AL1923+AR1923</f>
        <v/>
      </c>
      <c r="AU1923" s="125">
        <f>IFERROR(AO1923*Assumptions!$C$26*Assumptions!$C$27*INDEX(Assumptions!$C$18:$C$21,MATCH(H1923,Assumptions!$B$18:$B$21,0)),0)</f>
        <v/>
      </c>
    </row>
    <row r="1924">
      <c r="A1924" s="120" t="n">
        <v>46241</v>
      </c>
      <c r="B1924" s="66" t="inlineStr">
        <is>
          <t>Wk 32</t>
        </is>
      </c>
      <c r="C1924" s="66" t="inlineStr">
        <is>
          <t>Fri</t>
        </is>
      </c>
      <c r="D1924" s="66" t="inlineStr">
        <is>
          <t>Programmatic</t>
        </is>
      </c>
      <c r="E1924" s="66" t="inlineStr">
        <is>
          <t>DV360</t>
        </is>
      </c>
      <c r="F1924" s="66" t="inlineStr">
        <is>
          <t>LEP_ZA_AUG26_PROG_TD_PROSPECT_DISPLAY</t>
        </is>
      </c>
      <c r="G1924" s="66" t="inlineStr">
        <is>
          <t>Display Prospecting</t>
        </is>
      </c>
      <c r="H1924" s="66" t="inlineStr">
        <is>
          <t>Range</t>
        </is>
      </c>
      <c r="I1924" s="66" t="inlineStr">
        <is>
          <t>Range Offer</t>
        </is>
      </c>
      <c r="J1924" s="66" t="inlineStr">
        <is>
          <t>PROG_GEO_DEALER_RADIUS</t>
        </is>
      </c>
      <c r="K1924" s="66" t="inlineStr">
        <is>
          <t>Prospecting</t>
        </is>
      </c>
      <c r="L1924" s="66" t="inlineStr">
        <is>
          <t>PROG_HTML5_320x50_Range_v1</t>
        </is>
      </c>
      <c r="M1924" s="66" t="inlineStr">
        <is>
          <t>HTML5 Display 320x50</t>
        </is>
      </c>
      <c r="N1924" s="66" t="inlineStr">
        <is>
          <t>From R3 599pm</t>
        </is>
      </c>
      <c r="O1924" s="66" t="inlineStr">
        <is>
          <t>Programmatic Guaranteed / OA</t>
        </is>
      </c>
      <c r="P1924" s="66" t="inlineStr">
        <is>
          <t>Conversions (CPA)</t>
        </is>
      </c>
      <c r="Q1924" s="66" t="inlineStr">
        <is>
          <t>https://www.lepas-sa.co.za/offers</t>
        </is>
      </c>
      <c r="R1924" s="121" t="n">
        <v>166.13</v>
      </c>
      <c r="S1924" s="122" t="n">
        <v>7170</v>
      </c>
      <c r="T1924" s="122" t="n">
        <v>3549</v>
      </c>
      <c r="U1924" s="123">
        <f>IFERROR(S1924/T1924,"")</f>
        <v/>
      </c>
      <c r="V1924" s="122" t="n">
        <v>19</v>
      </c>
      <c r="W1924" s="122" t="n">
        <v>14</v>
      </c>
      <c r="X1924" s="124">
        <f>IFERROR(W1924/S1924,"")</f>
        <v/>
      </c>
      <c r="Y1924" s="121">
        <f>IFERROR(R1924/W1924,"")</f>
        <v/>
      </c>
      <c r="Z1924" s="121">
        <f>IFERROR(R1924/S1924*1000,"")</f>
        <v/>
      </c>
      <c r="AA1924" s="122" t="n">
        <v>9</v>
      </c>
      <c r="AB1924" s="54">
        <f>IFERROR(AA1924/W1924,"")</f>
        <v/>
      </c>
      <c r="AC1924" s="122" t="n">
        <v>0</v>
      </c>
      <c r="AD1924" s="122" t="n">
        <v>0</v>
      </c>
      <c r="AE1924" s="122" t="n">
        <v>0</v>
      </c>
      <c r="AF1924" s="122" t="n">
        <v>0</v>
      </c>
      <c r="AG1924" s="122" t="n">
        <v>0</v>
      </c>
      <c r="AH1924" s="122" t="n">
        <v>0</v>
      </c>
      <c r="AI1924" s="54">
        <f>IFERROR(AC1924/S1924,"")</f>
        <v/>
      </c>
      <c r="AJ1924" s="54">
        <f>IFERROR(AH1924/S1924,"")</f>
        <v/>
      </c>
      <c r="AK1924" s="122" t="n">
        <v>37</v>
      </c>
      <c r="AL1924" s="122" t="n">
        <v>0</v>
      </c>
      <c r="AM1924" s="124">
        <f>IFERROR(AL1924/AA1924,"")</f>
        <v/>
      </c>
      <c r="AN1924" s="125">
        <f>IFERROR(R1924/AL1924,"")</f>
        <v/>
      </c>
      <c r="AO1924" s="122" t="n">
        <v>0</v>
      </c>
      <c r="AP1924" s="54">
        <f>IFERROR(AO1924/AL1924,"")</f>
        <v/>
      </c>
      <c r="AQ1924" s="125">
        <f>IFERROR(R1924/AO1924,"")</f>
        <v/>
      </c>
      <c r="AR1924" s="122" t="n">
        <v>0</v>
      </c>
      <c r="AS1924" s="122" t="n">
        <v>0</v>
      </c>
      <c r="AT1924" s="122">
        <f>AL1924+AR1924</f>
        <v/>
      </c>
      <c r="AU1924" s="125">
        <f>IFERROR(AO1924*Assumptions!$C$26*Assumptions!$C$27*INDEX(Assumptions!$C$18:$C$21,MATCH(H1924,Assumptions!$B$18:$B$21,0)),0)</f>
        <v/>
      </c>
    </row>
    <row r="1925">
      <c r="A1925" s="120" t="n">
        <v>46242</v>
      </c>
      <c r="B1925" s="66" t="inlineStr">
        <is>
          <t>Wk 32</t>
        </is>
      </c>
      <c r="C1925" s="66" t="inlineStr">
        <is>
          <t>Sat</t>
        </is>
      </c>
      <c r="D1925" s="66" t="inlineStr">
        <is>
          <t>Programmatic</t>
        </is>
      </c>
      <c r="E1925" s="66" t="inlineStr">
        <is>
          <t>DV360</t>
        </is>
      </c>
      <c r="F1925" s="66" t="inlineStr">
        <is>
          <t>LEP_ZA_AUG26_PROG_TD_PROSPECT_DISPLAY</t>
        </is>
      </c>
      <c r="G1925" s="66" t="inlineStr">
        <is>
          <t>Display Prospecting</t>
        </is>
      </c>
      <c r="H1925" s="66" t="inlineStr">
        <is>
          <t>Range</t>
        </is>
      </c>
      <c r="I1925" s="66" t="inlineStr">
        <is>
          <t>Range Offer</t>
        </is>
      </c>
      <c r="J1925" s="66" t="inlineStr">
        <is>
          <t>PROG_GEO_DEALER_RADIUS</t>
        </is>
      </c>
      <c r="K1925" s="66" t="inlineStr">
        <is>
          <t>Prospecting</t>
        </is>
      </c>
      <c r="L1925" s="66" t="inlineStr">
        <is>
          <t>PROG_HTML5_320x50_Range_v1</t>
        </is>
      </c>
      <c r="M1925" s="66" t="inlineStr">
        <is>
          <t>HTML5 Display 320x50</t>
        </is>
      </c>
      <c r="N1925" s="66" t="inlineStr">
        <is>
          <t>From R3 599pm</t>
        </is>
      </c>
      <c r="O1925" s="66" t="inlineStr">
        <is>
          <t>Programmatic Guaranteed / OA</t>
        </is>
      </c>
      <c r="P1925" s="66" t="inlineStr">
        <is>
          <t>Conversions (CPA)</t>
        </is>
      </c>
      <c r="Q1925" s="66" t="inlineStr">
        <is>
          <t>https://www.lepas-sa.co.za/offers</t>
        </is>
      </c>
      <c r="R1925" s="121" t="n">
        <v>166.25</v>
      </c>
      <c r="S1925" s="122" t="n">
        <v>4871</v>
      </c>
      <c r="T1925" s="122" t="n">
        <v>2104</v>
      </c>
      <c r="U1925" s="123">
        <f>IFERROR(S1925/T1925,"")</f>
        <v/>
      </c>
      <c r="V1925" s="122" t="n">
        <v>9</v>
      </c>
      <c r="W1925" s="122" t="n">
        <v>7</v>
      </c>
      <c r="X1925" s="124">
        <f>IFERROR(W1925/S1925,"")</f>
        <v/>
      </c>
      <c r="Y1925" s="121">
        <f>IFERROR(R1925/W1925,"")</f>
        <v/>
      </c>
      <c r="Z1925" s="121">
        <f>IFERROR(R1925/S1925*1000,"")</f>
        <v/>
      </c>
      <c r="AA1925" s="122" t="n">
        <v>4</v>
      </c>
      <c r="AB1925" s="54">
        <f>IFERROR(AA1925/W1925,"")</f>
        <v/>
      </c>
      <c r="AC1925" s="122" t="n">
        <v>0</v>
      </c>
      <c r="AD1925" s="122" t="n">
        <v>0</v>
      </c>
      <c r="AE1925" s="122" t="n">
        <v>0</v>
      </c>
      <c r="AF1925" s="122" t="n">
        <v>0</v>
      </c>
      <c r="AG1925" s="122" t="n">
        <v>0</v>
      </c>
      <c r="AH1925" s="122" t="n">
        <v>0</v>
      </c>
      <c r="AI1925" s="54">
        <f>IFERROR(AC1925/S1925,"")</f>
        <v/>
      </c>
      <c r="AJ1925" s="54">
        <f>IFERROR(AH1925/S1925,"")</f>
        <v/>
      </c>
      <c r="AK1925" s="122" t="n">
        <v>11</v>
      </c>
      <c r="AL1925" s="122" t="n">
        <v>0</v>
      </c>
      <c r="AM1925" s="124">
        <f>IFERROR(AL1925/AA1925,"")</f>
        <v/>
      </c>
      <c r="AN1925" s="125">
        <f>IFERROR(R1925/AL1925,"")</f>
        <v/>
      </c>
      <c r="AO1925" s="122" t="n">
        <v>0</v>
      </c>
      <c r="AP1925" s="54">
        <f>IFERROR(AO1925/AL1925,"")</f>
        <v/>
      </c>
      <c r="AQ1925" s="125">
        <f>IFERROR(R1925/AO1925,"")</f>
        <v/>
      </c>
      <c r="AR1925" s="122" t="n">
        <v>0</v>
      </c>
      <c r="AS1925" s="122" t="n">
        <v>0</v>
      </c>
      <c r="AT1925" s="122">
        <f>AL1925+AR1925</f>
        <v/>
      </c>
      <c r="AU1925" s="125">
        <f>IFERROR(AO1925*Assumptions!$C$26*Assumptions!$C$27*INDEX(Assumptions!$C$18:$C$21,MATCH(H1925,Assumptions!$B$18:$B$21,0)),0)</f>
        <v/>
      </c>
    </row>
    <row r="1926">
      <c r="A1926" s="120" t="n">
        <v>46243</v>
      </c>
      <c r="B1926" s="66" t="inlineStr">
        <is>
          <t>Wk 32</t>
        </is>
      </c>
      <c r="C1926" s="66" t="inlineStr">
        <is>
          <t>Sun</t>
        </is>
      </c>
      <c r="D1926" s="66" t="inlineStr">
        <is>
          <t>Programmatic</t>
        </is>
      </c>
      <c r="E1926" s="66" t="inlineStr">
        <is>
          <t>DV360</t>
        </is>
      </c>
      <c r="F1926" s="66" t="inlineStr">
        <is>
          <t>LEP_ZA_AUG26_PROG_TD_PROSPECT_DISPLAY</t>
        </is>
      </c>
      <c r="G1926" s="66" t="inlineStr">
        <is>
          <t>Display Prospecting</t>
        </is>
      </c>
      <c r="H1926" s="66" t="inlineStr">
        <is>
          <t>Range</t>
        </is>
      </c>
      <c r="I1926" s="66" t="inlineStr">
        <is>
          <t>Range Offer</t>
        </is>
      </c>
      <c r="J1926" s="66" t="inlineStr">
        <is>
          <t>PROG_GEO_DEALER_RADIUS</t>
        </is>
      </c>
      <c r="K1926" s="66" t="inlineStr">
        <is>
          <t>Prospecting</t>
        </is>
      </c>
      <c r="L1926" s="66" t="inlineStr">
        <is>
          <t>PROG_HTML5_320x50_Range_v1</t>
        </is>
      </c>
      <c r="M1926" s="66" t="inlineStr">
        <is>
          <t>HTML5 Display 320x50</t>
        </is>
      </c>
      <c r="N1926" s="66" t="inlineStr">
        <is>
          <t>From R3 599pm</t>
        </is>
      </c>
      <c r="O1926" s="66" t="inlineStr">
        <is>
          <t>Programmatic Guaranteed / OA</t>
        </is>
      </c>
      <c r="P1926" s="66" t="inlineStr">
        <is>
          <t>Conversions (CPA)</t>
        </is>
      </c>
      <c r="Q1926" s="66" t="inlineStr">
        <is>
          <t>https://www.lepas-sa.co.za/offers</t>
        </is>
      </c>
      <c r="R1926" s="121" t="n">
        <v>108.13</v>
      </c>
      <c r="S1926" s="122" t="n">
        <v>3069</v>
      </c>
      <c r="T1926" s="122" t="n">
        <v>1333</v>
      </c>
      <c r="U1926" s="123">
        <f>IFERROR(S1926/T1926,"")</f>
        <v/>
      </c>
      <c r="V1926" s="122" t="n">
        <v>6</v>
      </c>
      <c r="W1926" s="122" t="n">
        <v>4</v>
      </c>
      <c r="X1926" s="124">
        <f>IFERROR(W1926/S1926,"")</f>
        <v/>
      </c>
      <c r="Y1926" s="121">
        <f>IFERROR(R1926/W1926,"")</f>
        <v/>
      </c>
      <c r="Z1926" s="121">
        <f>IFERROR(R1926/S1926*1000,"")</f>
        <v/>
      </c>
      <c r="AA1926" s="122" t="n">
        <v>3</v>
      </c>
      <c r="AB1926" s="54">
        <f>IFERROR(AA1926/W1926,"")</f>
        <v/>
      </c>
      <c r="AC1926" s="122" t="n">
        <v>0</v>
      </c>
      <c r="AD1926" s="122" t="n">
        <v>0</v>
      </c>
      <c r="AE1926" s="122" t="n">
        <v>0</v>
      </c>
      <c r="AF1926" s="122" t="n">
        <v>0</v>
      </c>
      <c r="AG1926" s="122" t="n">
        <v>0</v>
      </c>
      <c r="AH1926" s="122" t="n">
        <v>0</v>
      </c>
      <c r="AI1926" s="54">
        <f>IFERROR(AC1926/S1926,"")</f>
        <v/>
      </c>
      <c r="AJ1926" s="54">
        <f>IFERROR(AH1926/S1926,"")</f>
        <v/>
      </c>
      <c r="AK1926" s="122" t="n">
        <v>8</v>
      </c>
      <c r="AL1926" s="122" t="n">
        <v>0</v>
      </c>
      <c r="AM1926" s="124">
        <f>IFERROR(AL1926/AA1926,"")</f>
        <v/>
      </c>
      <c r="AN1926" s="125">
        <f>IFERROR(R1926/AL1926,"")</f>
        <v/>
      </c>
      <c r="AO1926" s="122" t="n">
        <v>0</v>
      </c>
      <c r="AP1926" s="54">
        <f>IFERROR(AO1926/AL1926,"")</f>
        <v/>
      </c>
      <c r="AQ1926" s="125">
        <f>IFERROR(R1926/AO1926,"")</f>
        <v/>
      </c>
      <c r="AR1926" s="122" t="n">
        <v>0</v>
      </c>
      <c r="AS1926" s="122" t="n">
        <v>0</v>
      </c>
      <c r="AT1926" s="122">
        <f>AL1926+AR1926</f>
        <v/>
      </c>
      <c r="AU1926" s="125">
        <f>IFERROR(AO1926*Assumptions!$C$26*Assumptions!$C$27*INDEX(Assumptions!$C$18:$C$21,MATCH(H1926,Assumptions!$B$18:$B$21,0)),0)</f>
        <v/>
      </c>
    </row>
    <row r="1927">
      <c r="A1927" s="120" t="n">
        <v>46244</v>
      </c>
      <c r="B1927" s="66" t="inlineStr">
        <is>
          <t>Wk 33</t>
        </is>
      </c>
      <c r="C1927" s="66" t="inlineStr">
        <is>
          <t>Mon</t>
        </is>
      </c>
      <c r="D1927" s="66" t="inlineStr">
        <is>
          <t>Programmatic</t>
        </is>
      </c>
      <c r="E1927" s="66" t="inlineStr">
        <is>
          <t>DV360</t>
        </is>
      </c>
      <c r="F1927" s="66" t="inlineStr">
        <is>
          <t>LEP_ZA_AUG26_PROG_TD_PROSPECT_DISPLAY</t>
        </is>
      </c>
      <c r="G1927" s="66" t="inlineStr">
        <is>
          <t>Display Prospecting</t>
        </is>
      </c>
      <c r="H1927" s="66" t="inlineStr">
        <is>
          <t>Range</t>
        </is>
      </c>
      <c r="I1927" s="66" t="inlineStr">
        <is>
          <t>Range Offer</t>
        </is>
      </c>
      <c r="J1927" s="66" t="inlineStr">
        <is>
          <t>PROG_GEO_DEALER_RADIUS</t>
        </is>
      </c>
      <c r="K1927" s="66" t="inlineStr">
        <is>
          <t>Prospecting</t>
        </is>
      </c>
      <c r="L1927" s="66" t="inlineStr">
        <is>
          <t>PROG_HTML5_320x50_Range_v1</t>
        </is>
      </c>
      <c r="M1927" s="66" t="inlineStr">
        <is>
          <t>HTML5 Display 320x50</t>
        </is>
      </c>
      <c r="N1927" s="66" t="inlineStr">
        <is>
          <t>From R3 599pm</t>
        </is>
      </c>
      <c r="O1927" s="66" t="inlineStr">
        <is>
          <t>Programmatic Guaranteed / OA</t>
        </is>
      </c>
      <c r="P1927" s="66" t="inlineStr">
        <is>
          <t>Conversions (CPA)</t>
        </is>
      </c>
      <c r="Q1927" s="66" t="inlineStr">
        <is>
          <t>https://www.lepas-sa.co.za/offers</t>
        </is>
      </c>
      <c r="R1927" s="121" t="n">
        <v>168.86</v>
      </c>
      <c r="S1927" s="122" t="n">
        <v>8150</v>
      </c>
      <c r="T1927" s="122" t="n">
        <v>3830</v>
      </c>
      <c r="U1927" s="123">
        <f>IFERROR(S1927/T1927,"")</f>
        <v/>
      </c>
      <c r="V1927" s="122" t="n">
        <v>24</v>
      </c>
      <c r="W1927" s="122" t="n">
        <v>20</v>
      </c>
      <c r="X1927" s="124">
        <f>IFERROR(W1927/S1927,"")</f>
        <v/>
      </c>
      <c r="Y1927" s="121">
        <f>IFERROR(R1927/W1927,"")</f>
        <v/>
      </c>
      <c r="Z1927" s="121">
        <f>IFERROR(R1927/S1927*1000,"")</f>
        <v/>
      </c>
      <c r="AA1927" s="122" t="n">
        <v>13</v>
      </c>
      <c r="AB1927" s="54">
        <f>IFERROR(AA1927/W1927,"")</f>
        <v/>
      </c>
      <c r="AC1927" s="122" t="n">
        <v>0</v>
      </c>
      <c r="AD1927" s="122" t="n">
        <v>0</v>
      </c>
      <c r="AE1927" s="122" t="n">
        <v>0</v>
      </c>
      <c r="AF1927" s="122" t="n">
        <v>0</v>
      </c>
      <c r="AG1927" s="122" t="n">
        <v>0</v>
      </c>
      <c r="AH1927" s="122" t="n">
        <v>0</v>
      </c>
      <c r="AI1927" s="54">
        <f>IFERROR(AC1927/S1927,"")</f>
        <v/>
      </c>
      <c r="AJ1927" s="54">
        <f>IFERROR(AH1927/S1927,"")</f>
        <v/>
      </c>
      <c r="AK1927" s="122" t="n">
        <v>19</v>
      </c>
      <c r="AL1927" s="122" t="n">
        <v>1</v>
      </c>
      <c r="AM1927" s="124">
        <f>IFERROR(AL1927/AA1927,"")</f>
        <v/>
      </c>
      <c r="AN1927" s="125">
        <f>IFERROR(R1927/AL1927,"")</f>
        <v/>
      </c>
      <c r="AO1927" s="122" t="n">
        <v>0</v>
      </c>
      <c r="AP1927" s="54">
        <f>IFERROR(AO1927/AL1927,"")</f>
        <v/>
      </c>
      <c r="AQ1927" s="125">
        <f>IFERROR(R1927/AO1927,"")</f>
        <v/>
      </c>
      <c r="AR1927" s="122" t="n">
        <v>2</v>
      </c>
      <c r="AS1927" s="122" t="n">
        <v>0</v>
      </c>
      <c r="AT1927" s="122">
        <f>AL1927+AR1927</f>
        <v/>
      </c>
      <c r="AU1927" s="125">
        <f>IFERROR(AO1927*Assumptions!$C$26*Assumptions!$C$27*INDEX(Assumptions!$C$18:$C$21,MATCH(H1927,Assumptions!$B$18:$B$21,0)),0)</f>
        <v/>
      </c>
    </row>
    <row r="1928">
      <c r="A1928" s="120" t="n">
        <v>46245</v>
      </c>
      <c r="B1928" s="66" t="inlineStr">
        <is>
          <t>Wk 33</t>
        </is>
      </c>
      <c r="C1928" s="66" t="inlineStr">
        <is>
          <t>Tue</t>
        </is>
      </c>
      <c r="D1928" s="66" t="inlineStr">
        <is>
          <t>Programmatic</t>
        </is>
      </c>
      <c r="E1928" s="66" t="inlineStr">
        <is>
          <t>DV360</t>
        </is>
      </c>
      <c r="F1928" s="66" t="inlineStr">
        <is>
          <t>LEP_ZA_AUG26_PROG_TD_PROSPECT_DISPLAY</t>
        </is>
      </c>
      <c r="G1928" s="66" t="inlineStr">
        <is>
          <t>Display Prospecting</t>
        </is>
      </c>
      <c r="H1928" s="66" t="inlineStr">
        <is>
          <t>Range</t>
        </is>
      </c>
      <c r="I1928" s="66" t="inlineStr">
        <is>
          <t>Range Offer</t>
        </is>
      </c>
      <c r="J1928" s="66" t="inlineStr">
        <is>
          <t>PROG_GEO_DEALER_RADIUS</t>
        </is>
      </c>
      <c r="K1928" s="66" t="inlineStr">
        <is>
          <t>Prospecting</t>
        </is>
      </c>
      <c r="L1928" s="66" t="inlineStr">
        <is>
          <t>PROG_HTML5_320x50_Range_v1</t>
        </is>
      </c>
      <c r="M1928" s="66" t="inlineStr">
        <is>
          <t>HTML5 Display 320x50</t>
        </is>
      </c>
      <c r="N1928" s="66" t="inlineStr">
        <is>
          <t>From R3 599pm</t>
        </is>
      </c>
      <c r="O1928" s="66" t="inlineStr">
        <is>
          <t>Programmatic Guaranteed / OA</t>
        </is>
      </c>
      <c r="P1928" s="66" t="inlineStr">
        <is>
          <t>Conversions (CPA)</t>
        </is>
      </c>
      <c r="Q1928" s="66" t="inlineStr">
        <is>
          <t>https://www.lepas-sa.co.za/offers</t>
        </is>
      </c>
      <c r="R1928" s="121" t="n">
        <v>118.44</v>
      </c>
      <c r="S1928" s="122" t="n">
        <v>6833</v>
      </c>
      <c r="T1928" s="122" t="n">
        <v>3024</v>
      </c>
      <c r="U1928" s="123">
        <f>IFERROR(S1928/T1928,"")</f>
        <v/>
      </c>
      <c r="V1928" s="122" t="n">
        <v>15</v>
      </c>
      <c r="W1928" s="122" t="n">
        <v>12</v>
      </c>
      <c r="X1928" s="124">
        <f>IFERROR(W1928/S1928,"")</f>
        <v/>
      </c>
      <c r="Y1928" s="121">
        <f>IFERROR(R1928/W1928,"")</f>
        <v/>
      </c>
      <c r="Z1928" s="121">
        <f>IFERROR(R1928/S1928*1000,"")</f>
        <v/>
      </c>
      <c r="AA1928" s="122" t="n">
        <v>8</v>
      </c>
      <c r="AB1928" s="54">
        <f>IFERROR(AA1928/W1928,"")</f>
        <v/>
      </c>
      <c r="AC1928" s="122" t="n">
        <v>0</v>
      </c>
      <c r="AD1928" s="122" t="n">
        <v>0</v>
      </c>
      <c r="AE1928" s="122" t="n">
        <v>0</v>
      </c>
      <c r="AF1928" s="122" t="n">
        <v>0</v>
      </c>
      <c r="AG1928" s="122" t="n">
        <v>0</v>
      </c>
      <c r="AH1928" s="122" t="n">
        <v>0</v>
      </c>
      <c r="AI1928" s="54">
        <f>IFERROR(AC1928/S1928,"")</f>
        <v/>
      </c>
      <c r="AJ1928" s="54">
        <f>IFERROR(AH1928/S1928,"")</f>
        <v/>
      </c>
      <c r="AK1928" s="122" t="n">
        <v>23</v>
      </c>
      <c r="AL1928" s="122" t="n">
        <v>0</v>
      </c>
      <c r="AM1928" s="124">
        <f>IFERROR(AL1928/AA1928,"")</f>
        <v/>
      </c>
      <c r="AN1928" s="125">
        <f>IFERROR(R1928/AL1928,"")</f>
        <v/>
      </c>
      <c r="AO1928" s="122" t="n">
        <v>0</v>
      </c>
      <c r="AP1928" s="54">
        <f>IFERROR(AO1928/AL1928,"")</f>
        <v/>
      </c>
      <c r="AQ1928" s="125">
        <f>IFERROR(R1928/AO1928,"")</f>
        <v/>
      </c>
      <c r="AR1928" s="122" t="n">
        <v>0</v>
      </c>
      <c r="AS1928" s="122" t="n">
        <v>0</v>
      </c>
      <c r="AT1928" s="122">
        <f>AL1928+AR1928</f>
        <v/>
      </c>
      <c r="AU1928" s="125">
        <f>IFERROR(AO1928*Assumptions!$C$26*Assumptions!$C$27*INDEX(Assumptions!$C$18:$C$21,MATCH(H1928,Assumptions!$B$18:$B$21,0)),0)</f>
        <v/>
      </c>
    </row>
    <row r="1929">
      <c r="A1929" s="120" t="n">
        <v>46246</v>
      </c>
      <c r="B1929" s="66" t="inlineStr">
        <is>
          <t>Wk 33</t>
        </is>
      </c>
      <c r="C1929" s="66" t="inlineStr">
        <is>
          <t>Wed</t>
        </is>
      </c>
      <c r="D1929" s="66" t="inlineStr">
        <is>
          <t>Programmatic</t>
        </is>
      </c>
      <c r="E1929" s="66" t="inlineStr">
        <is>
          <t>DV360</t>
        </is>
      </c>
      <c r="F1929" s="66" t="inlineStr">
        <is>
          <t>LEP_ZA_AUG26_PROG_TD_PROSPECT_DISPLAY</t>
        </is>
      </c>
      <c r="G1929" s="66" t="inlineStr">
        <is>
          <t>Display Prospecting</t>
        </is>
      </c>
      <c r="H1929" s="66" t="inlineStr">
        <is>
          <t>Range</t>
        </is>
      </c>
      <c r="I1929" s="66" t="inlineStr">
        <is>
          <t>Range Offer</t>
        </is>
      </c>
      <c r="J1929" s="66" t="inlineStr">
        <is>
          <t>PROG_GEO_DEALER_RADIUS</t>
        </is>
      </c>
      <c r="K1929" s="66" t="inlineStr">
        <is>
          <t>Prospecting</t>
        </is>
      </c>
      <c r="L1929" s="66" t="inlineStr">
        <is>
          <t>PROG_HTML5_320x50_Range_v1</t>
        </is>
      </c>
      <c r="M1929" s="66" t="inlineStr">
        <is>
          <t>HTML5 Display 320x50</t>
        </is>
      </c>
      <c r="N1929" s="66" t="inlineStr">
        <is>
          <t>From R3 599pm</t>
        </is>
      </c>
      <c r="O1929" s="66" t="inlineStr">
        <is>
          <t>Programmatic Guaranteed / OA</t>
        </is>
      </c>
      <c r="P1929" s="66" t="inlineStr">
        <is>
          <t>Conversions (CPA)</t>
        </is>
      </c>
      <c r="Q1929" s="66" t="inlineStr">
        <is>
          <t>https://www.lepas-sa.co.za/offers</t>
        </is>
      </c>
      <c r="R1929" s="121" t="n">
        <v>123.44</v>
      </c>
      <c r="S1929" s="122" t="n">
        <v>4229</v>
      </c>
      <c r="T1929" s="122" t="n">
        <v>2710</v>
      </c>
      <c r="U1929" s="123">
        <f>IFERROR(S1929/T1929,"")</f>
        <v/>
      </c>
      <c r="V1929" s="122" t="n">
        <v>9</v>
      </c>
      <c r="W1929" s="122" t="n">
        <v>7</v>
      </c>
      <c r="X1929" s="124">
        <f>IFERROR(W1929/S1929,"")</f>
        <v/>
      </c>
      <c r="Y1929" s="121">
        <f>IFERROR(R1929/W1929,"")</f>
        <v/>
      </c>
      <c r="Z1929" s="121">
        <f>IFERROR(R1929/S1929*1000,"")</f>
        <v/>
      </c>
      <c r="AA1929" s="122" t="n">
        <v>4</v>
      </c>
      <c r="AB1929" s="54">
        <f>IFERROR(AA1929/W1929,"")</f>
        <v/>
      </c>
      <c r="AC1929" s="122" t="n">
        <v>0</v>
      </c>
      <c r="AD1929" s="122" t="n">
        <v>0</v>
      </c>
      <c r="AE1929" s="122" t="n">
        <v>0</v>
      </c>
      <c r="AF1929" s="122" t="n">
        <v>0</v>
      </c>
      <c r="AG1929" s="122" t="n">
        <v>0</v>
      </c>
      <c r="AH1929" s="122" t="n">
        <v>0</v>
      </c>
      <c r="AI1929" s="54">
        <f>IFERROR(AC1929/S1929,"")</f>
        <v/>
      </c>
      <c r="AJ1929" s="54">
        <f>IFERROR(AH1929/S1929,"")</f>
        <v/>
      </c>
      <c r="AK1929" s="122" t="n">
        <v>5</v>
      </c>
      <c r="AL1929" s="122" t="n">
        <v>0</v>
      </c>
      <c r="AM1929" s="124">
        <f>IFERROR(AL1929/AA1929,"")</f>
        <v/>
      </c>
      <c r="AN1929" s="125">
        <f>IFERROR(R1929/AL1929,"")</f>
        <v/>
      </c>
      <c r="AO1929" s="122" t="n">
        <v>0</v>
      </c>
      <c r="AP1929" s="54">
        <f>IFERROR(AO1929/AL1929,"")</f>
        <v/>
      </c>
      <c r="AQ1929" s="125">
        <f>IFERROR(R1929/AO1929,"")</f>
        <v/>
      </c>
      <c r="AR1929" s="122" t="n">
        <v>0</v>
      </c>
      <c r="AS1929" s="122" t="n">
        <v>0</v>
      </c>
      <c r="AT1929" s="122">
        <f>AL1929+AR1929</f>
        <v/>
      </c>
      <c r="AU1929" s="125">
        <f>IFERROR(AO1929*Assumptions!$C$26*Assumptions!$C$27*INDEX(Assumptions!$C$18:$C$21,MATCH(H1929,Assumptions!$B$18:$B$21,0)),0)</f>
        <v/>
      </c>
    </row>
    <row r="1930">
      <c r="A1930" s="120" t="n">
        <v>46247</v>
      </c>
      <c r="B1930" s="66" t="inlineStr">
        <is>
          <t>Wk 33</t>
        </is>
      </c>
      <c r="C1930" s="66" t="inlineStr">
        <is>
          <t>Thu</t>
        </is>
      </c>
      <c r="D1930" s="66" t="inlineStr">
        <is>
          <t>Programmatic</t>
        </is>
      </c>
      <c r="E1930" s="66" t="inlineStr">
        <is>
          <t>DV360</t>
        </is>
      </c>
      <c r="F1930" s="66" t="inlineStr">
        <is>
          <t>LEP_ZA_AUG26_PROG_TD_PROSPECT_DISPLAY</t>
        </is>
      </c>
      <c r="G1930" s="66" t="inlineStr">
        <is>
          <t>Display Prospecting</t>
        </is>
      </c>
      <c r="H1930" s="66" t="inlineStr">
        <is>
          <t>Range</t>
        </is>
      </c>
      <c r="I1930" s="66" t="inlineStr">
        <is>
          <t>Range Offer</t>
        </is>
      </c>
      <c r="J1930" s="66" t="inlineStr">
        <is>
          <t>PROG_GEO_DEALER_RADIUS</t>
        </is>
      </c>
      <c r="K1930" s="66" t="inlineStr">
        <is>
          <t>Prospecting</t>
        </is>
      </c>
      <c r="L1930" s="66" t="inlineStr">
        <is>
          <t>PROG_HTML5_320x50_Range_v1</t>
        </is>
      </c>
      <c r="M1930" s="66" t="inlineStr">
        <is>
          <t>HTML5 Display 320x50</t>
        </is>
      </c>
      <c r="N1930" s="66" t="inlineStr">
        <is>
          <t>From R3 599pm</t>
        </is>
      </c>
      <c r="O1930" s="66" t="inlineStr">
        <is>
          <t>Programmatic Guaranteed / OA</t>
        </is>
      </c>
      <c r="P1930" s="66" t="inlineStr">
        <is>
          <t>Conversions (CPA)</t>
        </is>
      </c>
      <c r="Q1930" s="66" t="inlineStr">
        <is>
          <t>https://www.lepas-sa.co.za/offers</t>
        </is>
      </c>
      <c r="R1930" s="121" t="n">
        <v>136.91</v>
      </c>
      <c r="S1930" s="122" t="n">
        <v>4411</v>
      </c>
      <c r="T1930" s="122" t="n">
        <v>2400</v>
      </c>
      <c r="U1930" s="123">
        <f>IFERROR(S1930/T1930,"")</f>
        <v/>
      </c>
      <c r="V1930" s="122" t="n">
        <v>11</v>
      </c>
      <c r="W1930" s="122" t="n">
        <v>8</v>
      </c>
      <c r="X1930" s="124">
        <f>IFERROR(W1930/S1930,"")</f>
        <v/>
      </c>
      <c r="Y1930" s="121">
        <f>IFERROR(R1930/W1930,"")</f>
        <v/>
      </c>
      <c r="Z1930" s="121">
        <f>IFERROR(R1930/S1930*1000,"")</f>
        <v/>
      </c>
      <c r="AA1930" s="122" t="n">
        <v>5</v>
      </c>
      <c r="AB1930" s="54">
        <f>IFERROR(AA1930/W1930,"")</f>
        <v/>
      </c>
      <c r="AC1930" s="122" t="n">
        <v>0</v>
      </c>
      <c r="AD1930" s="122" t="n">
        <v>0</v>
      </c>
      <c r="AE1930" s="122" t="n">
        <v>0</v>
      </c>
      <c r="AF1930" s="122" t="n">
        <v>0</v>
      </c>
      <c r="AG1930" s="122" t="n">
        <v>0</v>
      </c>
      <c r="AH1930" s="122" t="n">
        <v>0</v>
      </c>
      <c r="AI1930" s="54">
        <f>IFERROR(AC1930/S1930,"")</f>
        <v/>
      </c>
      <c r="AJ1930" s="54">
        <f>IFERROR(AH1930/S1930,"")</f>
        <v/>
      </c>
      <c r="AK1930" s="122" t="n">
        <v>17</v>
      </c>
      <c r="AL1930" s="122" t="n">
        <v>0</v>
      </c>
      <c r="AM1930" s="124">
        <f>IFERROR(AL1930/AA1930,"")</f>
        <v/>
      </c>
      <c r="AN1930" s="125">
        <f>IFERROR(R1930/AL1930,"")</f>
        <v/>
      </c>
      <c r="AO1930" s="122" t="n">
        <v>0</v>
      </c>
      <c r="AP1930" s="54">
        <f>IFERROR(AO1930/AL1930,"")</f>
        <v/>
      </c>
      <c r="AQ1930" s="125">
        <f>IFERROR(R1930/AO1930,"")</f>
        <v/>
      </c>
      <c r="AR1930" s="122" t="n">
        <v>0</v>
      </c>
      <c r="AS1930" s="122" t="n">
        <v>0</v>
      </c>
      <c r="AT1930" s="122">
        <f>AL1930+AR1930</f>
        <v/>
      </c>
      <c r="AU1930" s="125">
        <f>IFERROR(AO1930*Assumptions!$C$26*Assumptions!$C$27*INDEX(Assumptions!$C$18:$C$21,MATCH(H1930,Assumptions!$B$18:$B$21,0)),0)</f>
        <v/>
      </c>
    </row>
    <row r="1931">
      <c r="A1931" s="120" t="n">
        <v>46248</v>
      </c>
      <c r="B1931" s="66" t="inlineStr">
        <is>
          <t>Wk 33</t>
        </is>
      </c>
      <c r="C1931" s="66" t="inlineStr">
        <is>
          <t>Fri</t>
        </is>
      </c>
      <c r="D1931" s="66" t="inlineStr">
        <is>
          <t>Programmatic</t>
        </is>
      </c>
      <c r="E1931" s="66" t="inlineStr">
        <is>
          <t>DV360</t>
        </is>
      </c>
      <c r="F1931" s="66" t="inlineStr">
        <is>
          <t>LEP_ZA_AUG26_PROG_TD_PROSPECT_DISPLAY</t>
        </is>
      </c>
      <c r="G1931" s="66" t="inlineStr">
        <is>
          <t>Display Prospecting</t>
        </is>
      </c>
      <c r="H1931" s="66" t="inlineStr">
        <is>
          <t>Range</t>
        </is>
      </c>
      <c r="I1931" s="66" t="inlineStr">
        <is>
          <t>Range Offer</t>
        </is>
      </c>
      <c r="J1931" s="66" t="inlineStr">
        <is>
          <t>PROG_GEO_DEALER_RADIUS</t>
        </is>
      </c>
      <c r="K1931" s="66" t="inlineStr">
        <is>
          <t>Prospecting</t>
        </is>
      </c>
      <c r="L1931" s="66" t="inlineStr">
        <is>
          <t>PROG_HTML5_320x50_Range_v1</t>
        </is>
      </c>
      <c r="M1931" s="66" t="inlineStr">
        <is>
          <t>HTML5 Display 320x50</t>
        </is>
      </c>
      <c r="N1931" s="66" t="inlineStr">
        <is>
          <t>From R3 599pm</t>
        </is>
      </c>
      <c r="O1931" s="66" t="inlineStr">
        <is>
          <t>Programmatic Guaranteed / OA</t>
        </is>
      </c>
      <c r="P1931" s="66" t="inlineStr">
        <is>
          <t>Conversions (CPA)</t>
        </is>
      </c>
      <c r="Q1931" s="66" t="inlineStr">
        <is>
          <t>https://www.lepas-sa.co.za/offers</t>
        </is>
      </c>
      <c r="R1931" s="121" t="n">
        <v>160.28</v>
      </c>
      <c r="S1931" s="122" t="n">
        <v>7379</v>
      </c>
      <c r="T1931" s="122" t="n">
        <v>3074</v>
      </c>
      <c r="U1931" s="123">
        <f>IFERROR(S1931/T1931,"")</f>
        <v/>
      </c>
      <c r="V1931" s="122" t="n">
        <v>23</v>
      </c>
      <c r="W1931" s="122" t="n">
        <v>17</v>
      </c>
      <c r="X1931" s="124">
        <f>IFERROR(W1931/S1931,"")</f>
        <v/>
      </c>
      <c r="Y1931" s="121">
        <f>IFERROR(R1931/W1931,"")</f>
        <v/>
      </c>
      <c r="Z1931" s="121">
        <f>IFERROR(R1931/S1931*1000,"")</f>
        <v/>
      </c>
      <c r="AA1931" s="122" t="n">
        <v>12</v>
      </c>
      <c r="AB1931" s="54">
        <f>IFERROR(AA1931/W1931,"")</f>
        <v/>
      </c>
      <c r="AC1931" s="122" t="n">
        <v>0</v>
      </c>
      <c r="AD1931" s="122" t="n">
        <v>0</v>
      </c>
      <c r="AE1931" s="122" t="n">
        <v>0</v>
      </c>
      <c r="AF1931" s="122" t="n">
        <v>0</v>
      </c>
      <c r="AG1931" s="122" t="n">
        <v>0</v>
      </c>
      <c r="AH1931" s="122" t="n">
        <v>0</v>
      </c>
      <c r="AI1931" s="54">
        <f>IFERROR(AC1931/S1931,"")</f>
        <v/>
      </c>
      <c r="AJ1931" s="54">
        <f>IFERROR(AH1931/S1931,"")</f>
        <v/>
      </c>
      <c r="AK1931" s="122" t="n">
        <v>28</v>
      </c>
      <c r="AL1931" s="122" t="n">
        <v>0</v>
      </c>
      <c r="AM1931" s="124">
        <f>IFERROR(AL1931/AA1931,"")</f>
        <v/>
      </c>
      <c r="AN1931" s="125">
        <f>IFERROR(R1931/AL1931,"")</f>
        <v/>
      </c>
      <c r="AO1931" s="122" t="n">
        <v>0</v>
      </c>
      <c r="AP1931" s="54">
        <f>IFERROR(AO1931/AL1931,"")</f>
        <v/>
      </c>
      <c r="AQ1931" s="125">
        <f>IFERROR(R1931/AO1931,"")</f>
        <v/>
      </c>
      <c r="AR1931" s="122" t="n">
        <v>0</v>
      </c>
      <c r="AS1931" s="122" t="n">
        <v>0</v>
      </c>
      <c r="AT1931" s="122">
        <f>AL1931+AR1931</f>
        <v/>
      </c>
      <c r="AU1931" s="125">
        <f>IFERROR(AO1931*Assumptions!$C$26*Assumptions!$C$27*INDEX(Assumptions!$C$18:$C$21,MATCH(H1931,Assumptions!$B$18:$B$21,0)),0)</f>
        <v/>
      </c>
    </row>
    <row r="1932">
      <c r="A1932" s="120" t="n">
        <v>46249</v>
      </c>
      <c r="B1932" s="66" t="inlineStr">
        <is>
          <t>Wk 33</t>
        </is>
      </c>
      <c r="C1932" s="66" t="inlineStr">
        <is>
          <t>Sat</t>
        </is>
      </c>
      <c r="D1932" s="66" t="inlineStr">
        <is>
          <t>Programmatic</t>
        </is>
      </c>
      <c r="E1932" s="66" t="inlineStr">
        <is>
          <t>DV360</t>
        </is>
      </c>
      <c r="F1932" s="66" t="inlineStr">
        <is>
          <t>LEP_ZA_AUG26_PROG_TD_PROSPECT_DISPLAY</t>
        </is>
      </c>
      <c r="G1932" s="66" t="inlineStr">
        <is>
          <t>Display Prospecting</t>
        </is>
      </c>
      <c r="H1932" s="66" t="inlineStr">
        <is>
          <t>Range</t>
        </is>
      </c>
      <c r="I1932" s="66" t="inlineStr">
        <is>
          <t>Range Offer</t>
        </is>
      </c>
      <c r="J1932" s="66" t="inlineStr">
        <is>
          <t>PROG_GEO_DEALER_RADIUS</t>
        </is>
      </c>
      <c r="K1932" s="66" t="inlineStr">
        <is>
          <t>Prospecting</t>
        </is>
      </c>
      <c r="L1932" s="66" t="inlineStr">
        <is>
          <t>PROG_HTML5_320x50_Range_v1</t>
        </is>
      </c>
      <c r="M1932" s="66" t="inlineStr">
        <is>
          <t>HTML5 Display 320x50</t>
        </is>
      </c>
      <c r="N1932" s="66" t="inlineStr">
        <is>
          <t>From R3 599pm</t>
        </is>
      </c>
      <c r="O1932" s="66" t="inlineStr">
        <is>
          <t>Programmatic Guaranteed / OA</t>
        </is>
      </c>
      <c r="P1932" s="66" t="inlineStr">
        <is>
          <t>Conversions (CPA)</t>
        </is>
      </c>
      <c r="Q1932" s="66" t="inlineStr">
        <is>
          <t>https://www.lepas-sa.co.za/offers</t>
        </is>
      </c>
      <c r="R1932" s="121" t="n">
        <v>157.3</v>
      </c>
      <c r="S1932" s="122" t="n">
        <v>4878</v>
      </c>
      <c r="T1932" s="122" t="n">
        <v>3330</v>
      </c>
      <c r="U1932" s="123">
        <f>IFERROR(S1932/T1932,"")</f>
        <v/>
      </c>
      <c r="V1932" s="122" t="n">
        <v>11</v>
      </c>
      <c r="W1932" s="122" t="n">
        <v>8</v>
      </c>
      <c r="X1932" s="124">
        <f>IFERROR(W1932/S1932,"")</f>
        <v/>
      </c>
      <c r="Y1932" s="121">
        <f>IFERROR(R1932/W1932,"")</f>
        <v/>
      </c>
      <c r="Z1932" s="121">
        <f>IFERROR(R1932/S1932*1000,"")</f>
        <v/>
      </c>
      <c r="AA1932" s="122" t="n">
        <v>5</v>
      </c>
      <c r="AB1932" s="54">
        <f>IFERROR(AA1932/W1932,"")</f>
        <v/>
      </c>
      <c r="AC1932" s="122" t="n">
        <v>0</v>
      </c>
      <c r="AD1932" s="122" t="n">
        <v>0</v>
      </c>
      <c r="AE1932" s="122" t="n">
        <v>0</v>
      </c>
      <c r="AF1932" s="122" t="n">
        <v>0</v>
      </c>
      <c r="AG1932" s="122" t="n">
        <v>0</v>
      </c>
      <c r="AH1932" s="122" t="n">
        <v>0</v>
      </c>
      <c r="AI1932" s="54">
        <f>IFERROR(AC1932/S1932,"")</f>
        <v/>
      </c>
      <c r="AJ1932" s="54">
        <f>IFERROR(AH1932/S1932,"")</f>
        <v/>
      </c>
      <c r="AK1932" s="122" t="n">
        <v>22</v>
      </c>
      <c r="AL1932" s="122" t="n">
        <v>0</v>
      </c>
      <c r="AM1932" s="124">
        <f>IFERROR(AL1932/AA1932,"")</f>
        <v/>
      </c>
      <c r="AN1932" s="125">
        <f>IFERROR(R1932/AL1932,"")</f>
        <v/>
      </c>
      <c r="AO1932" s="122" t="n">
        <v>0</v>
      </c>
      <c r="AP1932" s="54">
        <f>IFERROR(AO1932/AL1932,"")</f>
        <v/>
      </c>
      <c r="AQ1932" s="125">
        <f>IFERROR(R1932/AO1932,"")</f>
        <v/>
      </c>
      <c r="AR1932" s="122" t="n">
        <v>0</v>
      </c>
      <c r="AS1932" s="122" t="n">
        <v>0</v>
      </c>
      <c r="AT1932" s="122">
        <f>AL1932+AR1932</f>
        <v/>
      </c>
      <c r="AU1932" s="125">
        <f>IFERROR(AO1932*Assumptions!$C$26*Assumptions!$C$27*INDEX(Assumptions!$C$18:$C$21,MATCH(H1932,Assumptions!$B$18:$B$21,0)),0)</f>
        <v/>
      </c>
    </row>
    <row r="1933">
      <c r="A1933" s="120" t="n">
        <v>46250</v>
      </c>
      <c r="B1933" s="66" t="inlineStr">
        <is>
          <t>Wk 33</t>
        </is>
      </c>
      <c r="C1933" s="66" t="inlineStr">
        <is>
          <t>Sun</t>
        </is>
      </c>
      <c r="D1933" s="66" t="inlineStr">
        <is>
          <t>Programmatic</t>
        </is>
      </c>
      <c r="E1933" s="66" t="inlineStr">
        <is>
          <t>DV360</t>
        </is>
      </c>
      <c r="F1933" s="66" t="inlineStr">
        <is>
          <t>LEP_ZA_AUG26_PROG_TD_PROSPECT_DISPLAY</t>
        </is>
      </c>
      <c r="G1933" s="66" t="inlineStr">
        <is>
          <t>Display Prospecting</t>
        </is>
      </c>
      <c r="H1933" s="66" t="inlineStr">
        <is>
          <t>Range</t>
        </is>
      </c>
      <c r="I1933" s="66" t="inlineStr">
        <is>
          <t>Range Offer</t>
        </is>
      </c>
      <c r="J1933" s="66" t="inlineStr">
        <is>
          <t>PROG_GEO_DEALER_RADIUS</t>
        </is>
      </c>
      <c r="K1933" s="66" t="inlineStr">
        <is>
          <t>Prospecting</t>
        </is>
      </c>
      <c r="L1933" s="66" t="inlineStr">
        <is>
          <t>PROG_HTML5_320x50_Range_v1</t>
        </is>
      </c>
      <c r="M1933" s="66" t="inlineStr">
        <is>
          <t>HTML5 Display 320x50</t>
        </is>
      </c>
      <c r="N1933" s="66" t="inlineStr">
        <is>
          <t>From R3 599pm</t>
        </is>
      </c>
      <c r="O1933" s="66" t="inlineStr">
        <is>
          <t>Programmatic Guaranteed / OA</t>
        </is>
      </c>
      <c r="P1933" s="66" t="inlineStr">
        <is>
          <t>Conversions (CPA)</t>
        </is>
      </c>
      <c r="Q1933" s="66" t="inlineStr">
        <is>
          <t>https://www.lepas-sa.co.za/offers</t>
        </is>
      </c>
      <c r="R1933" s="121" t="n">
        <v>137.78</v>
      </c>
      <c r="S1933" s="122" t="n">
        <v>4537</v>
      </c>
      <c r="T1933" s="122" t="n">
        <v>2062</v>
      </c>
      <c r="U1933" s="123">
        <f>IFERROR(S1933/T1933,"")</f>
        <v/>
      </c>
      <c r="V1933" s="122" t="n">
        <v>12</v>
      </c>
      <c r="W1933" s="122" t="n">
        <v>10</v>
      </c>
      <c r="X1933" s="124">
        <f>IFERROR(W1933/S1933,"")</f>
        <v/>
      </c>
      <c r="Y1933" s="121">
        <f>IFERROR(R1933/W1933,"")</f>
        <v/>
      </c>
      <c r="Z1933" s="121">
        <f>IFERROR(R1933/S1933*1000,"")</f>
        <v/>
      </c>
      <c r="AA1933" s="122" t="n">
        <v>6</v>
      </c>
      <c r="AB1933" s="54">
        <f>IFERROR(AA1933/W1933,"")</f>
        <v/>
      </c>
      <c r="AC1933" s="122" t="n">
        <v>0</v>
      </c>
      <c r="AD1933" s="122" t="n">
        <v>0</v>
      </c>
      <c r="AE1933" s="122" t="n">
        <v>0</v>
      </c>
      <c r="AF1933" s="122" t="n">
        <v>0</v>
      </c>
      <c r="AG1933" s="122" t="n">
        <v>0</v>
      </c>
      <c r="AH1933" s="122" t="n">
        <v>0</v>
      </c>
      <c r="AI1933" s="54">
        <f>IFERROR(AC1933/S1933,"")</f>
        <v/>
      </c>
      <c r="AJ1933" s="54">
        <f>IFERROR(AH1933/S1933,"")</f>
        <v/>
      </c>
      <c r="AK1933" s="122" t="n">
        <v>17</v>
      </c>
      <c r="AL1933" s="122" t="n">
        <v>0</v>
      </c>
      <c r="AM1933" s="124">
        <f>IFERROR(AL1933/AA1933,"")</f>
        <v/>
      </c>
      <c r="AN1933" s="125">
        <f>IFERROR(R1933/AL1933,"")</f>
        <v/>
      </c>
      <c r="AO1933" s="122" t="n">
        <v>0</v>
      </c>
      <c r="AP1933" s="54">
        <f>IFERROR(AO1933/AL1933,"")</f>
        <v/>
      </c>
      <c r="AQ1933" s="125">
        <f>IFERROR(R1933/AO1933,"")</f>
        <v/>
      </c>
      <c r="AR1933" s="122" t="n">
        <v>0</v>
      </c>
      <c r="AS1933" s="122" t="n">
        <v>0</v>
      </c>
      <c r="AT1933" s="122">
        <f>AL1933+AR1933</f>
        <v/>
      </c>
      <c r="AU1933" s="125">
        <f>IFERROR(AO1933*Assumptions!$C$26*Assumptions!$C$27*INDEX(Assumptions!$C$18:$C$21,MATCH(H1933,Assumptions!$B$18:$B$21,0)),0)</f>
        <v/>
      </c>
    </row>
    <row r="1934">
      <c r="A1934" s="120" t="n">
        <v>46251</v>
      </c>
      <c r="B1934" s="66" t="inlineStr">
        <is>
          <t>Wk 34</t>
        </is>
      </c>
      <c r="C1934" s="66" t="inlineStr">
        <is>
          <t>Mon</t>
        </is>
      </c>
      <c r="D1934" s="66" t="inlineStr">
        <is>
          <t>Programmatic</t>
        </is>
      </c>
      <c r="E1934" s="66" t="inlineStr">
        <is>
          <t>DV360</t>
        </is>
      </c>
      <c r="F1934" s="66" t="inlineStr">
        <is>
          <t>LEP_ZA_AUG26_PROG_TD_PROSPECT_DISPLAY</t>
        </is>
      </c>
      <c r="G1934" s="66" t="inlineStr">
        <is>
          <t>Display Prospecting</t>
        </is>
      </c>
      <c r="H1934" s="66" t="inlineStr">
        <is>
          <t>Range</t>
        </is>
      </c>
      <c r="I1934" s="66" t="inlineStr">
        <is>
          <t>Range Offer</t>
        </is>
      </c>
      <c r="J1934" s="66" t="inlineStr">
        <is>
          <t>PROG_GEO_DEALER_RADIUS</t>
        </is>
      </c>
      <c r="K1934" s="66" t="inlineStr">
        <is>
          <t>Prospecting</t>
        </is>
      </c>
      <c r="L1934" s="66" t="inlineStr">
        <is>
          <t>PROG_HTML5_320x50_Range_v1</t>
        </is>
      </c>
      <c r="M1934" s="66" t="inlineStr">
        <is>
          <t>HTML5 Display 320x50</t>
        </is>
      </c>
      <c r="N1934" s="66" t="inlineStr">
        <is>
          <t>From R3 599pm</t>
        </is>
      </c>
      <c r="O1934" s="66" t="inlineStr">
        <is>
          <t>Programmatic Guaranteed / OA</t>
        </is>
      </c>
      <c r="P1934" s="66" t="inlineStr">
        <is>
          <t>Conversions (CPA)</t>
        </is>
      </c>
      <c r="Q1934" s="66" t="inlineStr">
        <is>
          <t>https://www.lepas-sa.co.za/offers</t>
        </is>
      </c>
      <c r="R1934" s="121" t="n">
        <v>146.48</v>
      </c>
      <c r="S1934" s="122" t="n">
        <v>6047</v>
      </c>
      <c r="T1934" s="122" t="n">
        <v>3108</v>
      </c>
      <c r="U1934" s="123">
        <f>IFERROR(S1934/T1934,"")</f>
        <v/>
      </c>
      <c r="V1934" s="122" t="n">
        <v>13</v>
      </c>
      <c r="W1934" s="122" t="n">
        <v>10</v>
      </c>
      <c r="X1934" s="124">
        <f>IFERROR(W1934/S1934,"")</f>
        <v/>
      </c>
      <c r="Y1934" s="121">
        <f>IFERROR(R1934/W1934,"")</f>
        <v/>
      </c>
      <c r="Z1934" s="121">
        <f>IFERROR(R1934/S1934*1000,"")</f>
        <v/>
      </c>
      <c r="AA1934" s="122" t="n">
        <v>6</v>
      </c>
      <c r="AB1934" s="54">
        <f>IFERROR(AA1934/W1934,"")</f>
        <v/>
      </c>
      <c r="AC1934" s="122" t="n">
        <v>0</v>
      </c>
      <c r="AD1934" s="122" t="n">
        <v>0</v>
      </c>
      <c r="AE1934" s="122" t="n">
        <v>0</v>
      </c>
      <c r="AF1934" s="122" t="n">
        <v>0</v>
      </c>
      <c r="AG1934" s="122" t="n">
        <v>0</v>
      </c>
      <c r="AH1934" s="122" t="n">
        <v>0</v>
      </c>
      <c r="AI1934" s="54">
        <f>IFERROR(AC1934/S1934,"")</f>
        <v/>
      </c>
      <c r="AJ1934" s="54">
        <f>IFERROR(AH1934/S1934,"")</f>
        <v/>
      </c>
      <c r="AK1934" s="122" t="n">
        <v>15</v>
      </c>
      <c r="AL1934" s="122" t="n">
        <v>1</v>
      </c>
      <c r="AM1934" s="124">
        <f>IFERROR(AL1934/AA1934,"")</f>
        <v/>
      </c>
      <c r="AN1934" s="125">
        <f>IFERROR(R1934/AL1934,"")</f>
        <v/>
      </c>
      <c r="AO1934" s="122" t="n">
        <v>0</v>
      </c>
      <c r="AP1934" s="54">
        <f>IFERROR(AO1934/AL1934,"")</f>
        <v/>
      </c>
      <c r="AQ1934" s="125">
        <f>IFERROR(R1934/AO1934,"")</f>
        <v/>
      </c>
      <c r="AR1934" s="122" t="n">
        <v>2</v>
      </c>
      <c r="AS1934" s="122" t="n">
        <v>2</v>
      </c>
      <c r="AT1934" s="122">
        <f>AL1934+AR1934</f>
        <v/>
      </c>
      <c r="AU1934" s="125">
        <f>IFERROR(AO1934*Assumptions!$C$26*Assumptions!$C$27*INDEX(Assumptions!$C$18:$C$21,MATCH(H1934,Assumptions!$B$18:$B$21,0)),0)</f>
        <v/>
      </c>
    </row>
    <row r="1935">
      <c r="A1935" s="120" t="n">
        <v>46252</v>
      </c>
      <c r="B1935" s="66" t="inlineStr">
        <is>
          <t>Wk 34</t>
        </is>
      </c>
      <c r="C1935" s="66" t="inlineStr">
        <is>
          <t>Tue</t>
        </is>
      </c>
      <c r="D1935" s="66" t="inlineStr">
        <is>
          <t>Programmatic</t>
        </is>
      </c>
      <c r="E1935" s="66" t="inlineStr">
        <is>
          <t>DV360</t>
        </is>
      </c>
      <c r="F1935" s="66" t="inlineStr">
        <is>
          <t>LEP_ZA_AUG26_PROG_TD_PROSPECT_DISPLAY</t>
        </is>
      </c>
      <c r="G1935" s="66" t="inlineStr">
        <is>
          <t>Display Prospecting</t>
        </is>
      </c>
      <c r="H1935" s="66" t="inlineStr">
        <is>
          <t>Range</t>
        </is>
      </c>
      <c r="I1935" s="66" t="inlineStr">
        <is>
          <t>Range Offer</t>
        </is>
      </c>
      <c r="J1935" s="66" t="inlineStr">
        <is>
          <t>PROG_GEO_DEALER_RADIUS</t>
        </is>
      </c>
      <c r="K1935" s="66" t="inlineStr">
        <is>
          <t>Prospecting</t>
        </is>
      </c>
      <c r="L1935" s="66" t="inlineStr">
        <is>
          <t>PROG_HTML5_320x50_Range_v1</t>
        </is>
      </c>
      <c r="M1935" s="66" t="inlineStr">
        <is>
          <t>HTML5 Display 320x50</t>
        </is>
      </c>
      <c r="N1935" s="66" t="inlineStr">
        <is>
          <t>From R3 599pm</t>
        </is>
      </c>
      <c r="O1935" s="66" t="inlineStr">
        <is>
          <t>Programmatic Guaranteed / OA</t>
        </is>
      </c>
      <c r="P1935" s="66" t="inlineStr">
        <is>
          <t>Conversions (CPA)</t>
        </is>
      </c>
      <c r="Q1935" s="66" t="inlineStr">
        <is>
          <t>https://www.lepas-sa.co.za/offers</t>
        </is>
      </c>
      <c r="R1935" s="121" t="n">
        <v>142.21</v>
      </c>
      <c r="S1935" s="122" t="n">
        <v>7016</v>
      </c>
      <c r="T1935" s="122" t="n">
        <v>3156</v>
      </c>
      <c r="U1935" s="123">
        <f>IFERROR(S1935/T1935,"")</f>
        <v/>
      </c>
      <c r="V1935" s="122" t="n">
        <v>24</v>
      </c>
      <c r="W1935" s="122" t="n">
        <v>18</v>
      </c>
      <c r="X1935" s="124">
        <f>IFERROR(W1935/S1935,"")</f>
        <v/>
      </c>
      <c r="Y1935" s="121">
        <f>IFERROR(R1935/W1935,"")</f>
        <v/>
      </c>
      <c r="Z1935" s="121">
        <f>IFERROR(R1935/S1935*1000,"")</f>
        <v/>
      </c>
      <c r="AA1935" s="122" t="n">
        <v>10</v>
      </c>
      <c r="AB1935" s="54">
        <f>IFERROR(AA1935/W1935,"")</f>
        <v/>
      </c>
      <c r="AC1935" s="122" t="n">
        <v>0</v>
      </c>
      <c r="AD1935" s="122" t="n">
        <v>0</v>
      </c>
      <c r="AE1935" s="122" t="n">
        <v>0</v>
      </c>
      <c r="AF1935" s="122" t="n">
        <v>0</v>
      </c>
      <c r="AG1935" s="122" t="n">
        <v>0</v>
      </c>
      <c r="AH1935" s="122" t="n">
        <v>0</v>
      </c>
      <c r="AI1935" s="54">
        <f>IFERROR(AC1935/S1935,"")</f>
        <v/>
      </c>
      <c r="AJ1935" s="54">
        <f>IFERROR(AH1935/S1935,"")</f>
        <v/>
      </c>
      <c r="AK1935" s="122" t="n">
        <v>25</v>
      </c>
      <c r="AL1935" s="122" t="n">
        <v>0</v>
      </c>
      <c r="AM1935" s="124">
        <f>IFERROR(AL1935/AA1935,"")</f>
        <v/>
      </c>
      <c r="AN1935" s="125">
        <f>IFERROR(R1935/AL1935,"")</f>
        <v/>
      </c>
      <c r="AO1935" s="122" t="n">
        <v>0</v>
      </c>
      <c r="AP1935" s="54">
        <f>IFERROR(AO1935/AL1935,"")</f>
        <v/>
      </c>
      <c r="AQ1935" s="125">
        <f>IFERROR(R1935/AO1935,"")</f>
        <v/>
      </c>
      <c r="AR1935" s="122" t="n">
        <v>0</v>
      </c>
      <c r="AS1935" s="122" t="n">
        <v>0</v>
      </c>
      <c r="AT1935" s="122">
        <f>AL1935+AR1935</f>
        <v/>
      </c>
      <c r="AU1935" s="125">
        <f>IFERROR(AO1935*Assumptions!$C$26*Assumptions!$C$27*INDEX(Assumptions!$C$18:$C$21,MATCH(H1935,Assumptions!$B$18:$B$21,0)),0)</f>
        <v/>
      </c>
    </row>
    <row r="1936">
      <c r="A1936" s="120" t="n">
        <v>46253</v>
      </c>
      <c r="B1936" s="66" t="inlineStr">
        <is>
          <t>Wk 34</t>
        </is>
      </c>
      <c r="C1936" s="66" t="inlineStr">
        <is>
          <t>Wed</t>
        </is>
      </c>
      <c r="D1936" s="66" t="inlineStr">
        <is>
          <t>Programmatic</t>
        </is>
      </c>
      <c r="E1936" s="66" t="inlineStr">
        <is>
          <t>DV360</t>
        </is>
      </c>
      <c r="F1936" s="66" t="inlineStr">
        <is>
          <t>LEP_ZA_AUG26_PROG_TD_PROSPECT_DISPLAY</t>
        </is>
      </c>
      <c r="G1936" s="66" t="inlineStr">
        <is>
          <t>Display Prospecting</t>
        </is>
      </c>
      <c r="H1936" s="66" t="inlineStr">
        <is>
          <t>Range</t>
        </is>
      </c>
      <c r="I1936" s="66" t="inlineStr">
        <is>
          <t>Range Offer</t>
        </is>
      </c>
      <c r="J1936" s="66" t="inlineStr">
        <is>
          <t>PROG_GEO_DEALER_RADIUS</t>
        </is>
      </c>
      <c r="K1936" s="66" t="inlineStr">
        <is>
          <t>Prospecting</t>
        </is>
      </c>
      <c r="L1936" s="66" t="inlineStr">
        <is>
          <t>PROG_HTML5_320x50_Range_v1</t>
        </is>
      </c>
      <c r="M1936" s="66" t="inlineStr">
        <is>
          <t>HTML5 Display 320x50</t>
        </is>
      </c>
      <c r="N1936" s="66" t="inlineStr">
        <is>
          <t>From R3 599pm</t>
        </is>
      </c>
      <c r="O1936" s="66" t="inlineStr">
        <is>
          <t>Programmatic Guaranteed / OA</t>
        </is>
      </c>
      <c r="P1936" s="66" t="inlineStr">
        <is>
          <t>Conversions (CPA)</t>
        </is>
      </c>
      <c r="Q1936" s="66" t="inlineStr">
        <is>
          <t>https://www.lepas-sa.co.za/offers</t>
        </is>
      </c>
      <c r="R1936" s="121" t="n">
        <v>145.52</v>
      </c>
      <c r="S1936" s="122" t="n">
        <v>5749</v>
      </c>
      <c r="T1936" s="122" t="n">
        <v>3572</v>
      </c>
      <c r="U1936" s="123">
        <f>IFERROR(S1936/T1936,"")</f>
        <v/>
      </c>
      <c r="V1936" s="122" t="n">
        <v>8</v>
      </c>
      <c r="W1936" s="122" t="n">
        <v>6</v>
      </c>
      <c r="X1936" s="124">
        <f>IFERROR(W1936/S1936,"")</f>
        <v/>
      </c>
      <c r="Y1936" s="121">
        <f>IFERROR(R1936/W1936,"")</f>
        <v/>
      </c>
      <c r="Z1936" s="121">
        <f>IFERROR(R1936/S1936*1000,"")</f>
        <v/>
      </c>
      <c r="AA1936" s="122" t="n">
        <v>4</v>
      </c>
      <c r="AB1936" s="54">
        <f>IFERROR(AA1936/W1936,"")</f>
        <v/>
      </c>
      <c r="AC1936" s="122" t="n">
        <v>0</v>
      </c>
      <c r="AD1936" s="122" t="n">
        <v>0</v>
      </c>
      <c r="AE1936" s="122" t="n">
        <v>0</v>
      </c>
      <c r="AF1936" s="122" t="n">
        <v>0</v>
      </c>
      <c r="AG1936" s="122" t="n">
        <v>0</v>
      </c>
      <c r="AH1936" s="122" t="n">
        <v>0</v>
      </c>
      <c r="AI1936" s="54">
        <f>IFERROR(AC1936/S1936,"")</f>
        <v/>
      </c>
      <c r="AJ1936" s="54">
        <f>IFERROR(AH1936/S1936,"")</f>
        <v/>
      </c>
      <c r="AK1936" s="122" t="n">
        <v>34</v>
      </c>
      <c r="AL1936" s="122" t="n">
        <v>0</v>
      </c>
      <c r="AM1936" s="124">
        <f>IFERROR(AL1936/AA1936,"")</f>
        <v/>
      </c>
      <c r="AN1936" s="125">
        <f>IFERROR(R1936/AL1936,"")</f>
        <v/>
      </c>
      <c r="AO1936" s="122" t="n">
        <v>0</v>
      </c>
      <c r="AP1936" s="54">
        <f>IFERROR(AO1936/AL1936,"")</f>
        <v/>
      </c>
      <c r="AQ1936" s="125">
        <f>IFERROR(R1936/AO1936,"")</f>
        <v/>
      </c>
      <c r="AR1936" s="122" t="n">
        <v>0</v>
      </c>
      <c r="AS1936" s="122" t="n">
        <v>0</v>
      </c>
      <c r="AT1936" s="122">
        <f>AL1936+AR1936</f>
        <v/>
      </c>
      <c r="AU1936" s="125">
        <f>IFERROR(AO1936*Assumptions!$C$26*Assumptions!$C$27*INDEX(Assumptions!$C$18:$C$21,MATCH(H1936,Assumptions!$B$18:$B$21,0)),0)</f>
        <v/>
      </c>
    </row>
    <row r="1937">
      <c r="A1937" s="120" t="n">
        <v>46254</v>
      </c>
      <c r="B1937" s="66" t="inlineStr">
        <is>
          <t>Wk 34</t>
        </is>
      </c>
      <c r="C1937" s="66" t="inlineStr">
        <is>
          <t>Thu</t>
        </is>
      </c>
      <c r="D1937" s="66" t="inlineStr">
        <is>
          <t>Programmatic</t>
        </is>
      </c>
      <c r="E1937" s="66" t="inlineStr">
        <is>
          <t>DV360</t>
        </is>
      </c>
      <c r="F1937" s="66" t="inlineStr">
        <is>
          <t>LEP_ZA_AUG26_PROG_TD_PROSPECT_DISPLAY</t>
        </is>
      </c>
      <c r="G1937" s="66" t="inlineStr">
        <is>
          <t>Display Prospecting</t>
        </is>
      </c>
      <c r="H1937" s="66" t="inlineStr">
        <is>
          <t>Range</t>
        </is>
      </c>
      <c r="I1937" s="66" t="inlineStr">
        <is>
          <t>Range Offer</t>
        </is>
      </c>
      <c r="J1937" s="66" t="inlineStr">
        <is>
          <t>PROG_GEO_DEALER_RADIUS</t>
        </is>
      </c>
      <c r="K1937" s="66" t="inlineStr">
        <is>
          <t>Prospecting</t>
        </is>
      </c>
      <c r="L1937" s="66" t="inlineStr">
        <is>
          <t>PROG_HTML5_320x50_Range_v1</t>
        </is>
      </c>
      <c r="M1937" s="66" t="inlineStr">
        <is>
          <t>HTML5 Display 320x50</t>
        </is>
      </c>
      <c r="N1937" s="66" t="inlineStr">
        <is>
          <t>From R3 599pm</t>
        </is>
      </c>
      <c r="O1937" s="66" t="inlineStr">
        <is>
          <t>Programmatic Guaranteed / OA</t>
        </is>
      </c>
      <c r="P1937" s="66" t="inlineStr">
        <is>
          <t>Conversions (CPA)</t>
        </is>
      </c>
      <c r="Q1937" s="66" t="inlineStr">
        <is>
          <t>https://www.lepas-sa.co.za/offers</t>
        </is>
      </c>
      <c r="R1937" s="121" t="n">
        <v>165.86</v>
      </c>
      <c r="S1937" s="122" t="n">
        <v>10218</v>
      </c>
      <c r="T1937" s="122" t="n">
        <v>3748</v>
      </c>
      <c r="U1937" s="123">
        <f>IFERROR(S1937/T1937,"")</f>
        <v/>
      </c>
      <c r="V1937" s="122" t="n">
        <v>29</v>
      </c>
      <c r="W1937" s="122" t="n">
        <v>21</v>
      </c>
      <c r="X1937" s="124">
        <f>IFERROR(W1937/S1937,"")</f>
        <v/>
      </c>
      <c r="Y1937" s="121">
        <f>IFERROR(R1937/W1937,"")</f>
        <v/>
      </c>
      <c r="Z1937" s="121">
        <f>IFERROR(R1937/S1937*1000,"")</f>
        <v/>
      </c>
      <c r="AA1937" s="122" t="n">
        <v>14</v>
      </c>
      <c r="AB1937" s="54">
        <f>IFERROR(AA1937/W1937,"")</f>
        <v/>
      </c>
      <c r="AC1937" s="122" t="n">
        <v>0</v>
      </c>
      <c r="AD1937" s="122" t="n">
        <v>0</v>
      </c>
      <c r="AE1937" s="122" t="n">
        <v>0</v>
      </c>
      <c r="AF1937" s="122" t="n">
        <v>0</v>
      </c>
      <c r="AG1937" s="122" t="n">
        <v>0</v>
      </c>
      <c r="AH1937" s="122" t="n">
        <v>0</v>
      </c>
      <c r="AI1937" s="54">
        <f>IFERROR(AC1937/S1937,"")</f>
        <v/>
      </c>
      <c r="AJ1937" s="54">
        <f>IFERROR(AH1937/S1937,"")</f>
        <v/>
      </c>
      <c r="AK1937" s="122" t="n">
        <v>34</v>
      </c>
      <c r="AL1937" s="122" t="n">
        <v>0</v>
      </c>
      <c r="AM1937" s="124">
        <f>IFERROR(AL1937/AA1937,"")</f>
        <v/>
      </c>
      <c r="AN1937" s="125">
        <f>IFERROR(R1937/AL1937,"")</f>
        <v/>
      </c>
      <c r="AO1937" s="122" t="n">
        <v>0</v>
      </c>
      <c r="AP1937" s="54">
        <f>IFERROR(AO1937/AL1937,"")</f>
        <v/>
      </c>
      <c r="AQ1937" s="125">
        <f>IFERROR(R1937/AO1937,"")</f>
        <v/>
      </c>
      <c r="AR1937" s="122" t="n">
        <v>0</v>
      </c>
      <c r="AS1937" s="122" t="n">
        <v>0</v>
      </c>
      <c r="AT1937" s="122">
        <f>AL1937+AR1937</f>
        <v/>
      </c>
      <c r="AU1937" s="125">
        <f>IFERROR(AO1937*Assumptions!$C$26*Assumptions!$C$27*INDEX(Assumptions!$C$18:$C$21,MATCH(H1937,Assumptions!$B$18:$B$21,0)),0)</f>
        <v/>
      </c>
    </row>
    <row r="1938">
      <c r="A1938" s="120" t="n">
        <v>46255</v>
      </c>
      <c r="B1938" s="66" t="inlineStr">
        <is>
          <t>Wk 34</t>
        </is>
      </c>
      <c r="C1938" s="66" t="inlineStr">
        <is>
          <t>Fri</t>
        </is>
      </c>
      <c r="D1938" s="66" t="inlineStr">
        <is>
          <t>Programmatic</t>
        </is>
      </c>
      <c r="E1938" s="66" t="inlineStr">
        <is>
          <t>DV360</t>
        </is>
      </c>
      <c r="F1938" s="66" t="inlineStr">
        <is>
          <t>LEP_ZA_AUG26_PROG_TD_PROSPECT_DISPLAY</t>
        </is>
      </c>
      <c r="G1938" s="66" t="inlineStr">
        <is>
          <t>Display Prospecting</t>
        </is>
      </c>
      <c r="H1938" s="66" t="inlineStr">
        <is>
          <t>Range</t>
        </is>
      </c>
      <c r="I1938" s="66" t="inlineStr">
        <is>
          <t>Range Offer</t>
        </is>
      </c>
      <c r="J1938" s="66" t="inlineStr">
        <is>
          <t>PROG_GEO_DEALER_RADIUS</t>
        </is>
      </c>
      <c r="K1938" s="66" t="inlineStr">
        <is>
          <t>Prospecting</t>
        </is>
      </c>
      <c r="L1938" s="66" t="inlineStr">
        <is>
          <t>PROG_HTML5_320x50_Range_v1</t>
        </is>
      </c>
      <c r="M1938" s="66" t="inlineStr">
        <is>
          <t>HTML5 Display 320x50</t>
        </is>
      </c>
      <c r="N1938" s="66" t="inlineStr">
        <is>
          <t>From R3 599pm</t>
        </is>
      </c>
      <c r="O1938" s="66" t="inlineStr">
        <is>
          <t>Programmatic Guaranteed / OA</t>
        </is>
      </c>
      <c r="P1938" s="66" t="inlineStr">
        <is>
          <t>Conversions (CPA)</t>
        </is>
      </c>
      <c r="Q1938" s="66" t="inlineStr">
        <is>
          <t>https://www.lepas-sa.co.za/offers</t>
        </is>
      </c>
      <c r="R1938" s="121" t="n">
        <v>154.76</v>
      </c>
      <c r="S1938" s="122" t="n">
        <v>9600</v>
      </c>
      <c r="T1938" s="122" t="n">
        <v>5975</v>
      </c>
      <c r="U1938" s="123">
        <f>IFERROR(S1938/T1938,"")</f>
        <v/>
      </c>
      <c r="V1938" s="122" t="n">
        <v>17</v>
      </c>
      <c r="W1938" s="122" t="n">
        <v>14</v>
      </c>
      <c r="X1938" s="124">
        <f>IFERROR(W1938/S1938,"")</f>
        <v/>
      </c>
      <c r="Y1938" s="121">
        <f>IFERROR(R1938/W1938,"")</f>
        <v/>
      </c>
      <c r="Z1938" s="121">
        <f>IFERROR(R1938/S1938*1000,"")</f>
        <v/>
      </c>
      <c r="AA1938" s="122" t="n">
        <v>7</v>
      </c>
      <c r="AB1938" s="54">
        <f>IFERROR(AA1938/W1938,"")</f>
        <v/>
      </c>
      <c r="AC1938" s="122" t="n">
        <v>0</v>
      </c>
      <c r="AD1938" s="122" t="n">
        <v>0</v>
      </c>
      <c r="AE1938" s="122" t="n">
        <v>0</v>
      </c>
      <c r="AF1938" s="122" t="n">
        <v>0</v>
      </c>
      <c r="AG1938" s="122" t="n">
        <v>0</v>
      </c>
      <c r="AH1938" s="122" t="n">
        <v>0</v>
      </c>
      <c r="AI1938" s="54">
        <f>IFERROR(AC1938/S1938,"")</f>
        <v/>
      </c>
      <c r="AJ1938" s="54">
        <f>IFERROR(AH1938/S1938,"")</f>
        <v/>
      </c>
      <c r="AK1938" s="122" t="n">
        <v>10</v>
      </c>
      <c r="AL1938" s="122" t="n">
        <v>0</v>
      </c>
      <c r="AM1938" s="124">
        <f>IFERROR(AL1938/AA1938,"")</f>
        <v/>
      </c>
      <c r="AN1938" s="125">
        <f>IFERROR(R1938/AL1938,"")</f>
        <v/>
      </c>
      <c r="AO1938" s="122" t="n">
        <v>0</v>
      </c>
      <c r="AP1938" s="54">
        <f>IFERROR(AO1938/AL1938,"")</f>
        <v/>
      </c>
      <c r="AQ1938" s="125">
        <f>IFERROR(R1938/AO1938,"")</f>
        <v/>
      </c>
      <c r="AR1938" s="122" t="n">
        <v>0</v>
      </c>
      <c r="AS1938" s="122" t="n">
        <v>0</v>
      </c>
      <c r="AT1938" s="122">
        <f>AL1938+AR1938</f>
        <v/>
      </c>
      <c r="AU1938" s="125">
        <f>IFERROR(AO1938*Assumptions!$C$26*Assumptions!$C$27*INDEX(Assumptions!$C$18:$C$21,MATCH(H1938,Assumptions!$B$18:$B$21,0)),0)</f>
        <v/>
      </c>
    </row>
    <row r="1939">
      <c r="A1939" s="120" t="n">
        <v>46256</v>
      </c>
      <c r="B1939" s="66" t="inlineStr">
        <is>
          <t>Wk 34</t>
        </is>
      </c>
      <c r="C1939" s="66" t="inlineStr">
        <is>
          <t>Sat</t>
        </is>
      </c>
      <c r="D1939" s="66" t="inlineStr">
        <is>
          <t>Programmatic</t>
        </is>
      </c>
      <c r="E1939" s="66" t="inlineStr">
        <is>
          <t>DV360</t>
        </is>
      </c>
      <c r="F1939" s="66" t="inlineStr">
        <is>
          <t>LEP_ZA_AUG26_PROG_TD_PROSPECT_DISPLAY</t>
        </is>
      </c>
      <c r="G1939" s="66" t="inlineStr">
        <is>
          <t>Display Prospecting</t>
        </is>
      </c>
      <c r="H1939" s="66" t="inlineStr">
        <is>
          <t>Range</t>
        </is>
      </c>
      <c r="I1939" s="66" t="inlineStr">
        <is>
          <t>Range Offer</t>
        </is>
      </c>
      <c r="J1939" s="66" t="inlineStr">
        <is>
          <t>PROG_GEO_DEALER_RADIUS</t>
        </is>
      </c>
      <c r="K1939" s="66" t="inlineStr">
        <is>
          <t>Prospecting</t>
        </is>
      </c>
      <c r="L1939" s="66" t="inlineStr">
        <is>
          <t>PROG_HTML5_320x50_Range_v1</t>
        </is>
      </c>
      <c r="M1939" s="66" t="inlineStr">
        <is>
          <t>HTML5 Display 320x50</t>
        </is>
      </c>
      <c r="N1939" s="66" t="inlineStr">
        <is>
          <t>From R3 599pm</t>
        </is>
      </c>
      <c r="O1939" s="66" t="inlineStr">
        <is>
          <t>Programmatic Guaranteed / OA</t>
        </is>
      </c>
      <c r="P1939" s="66" t="inlineStr">
        <is>
          <t>Conversions (CPA)</t>
        </is>
      </c>
      <c r="Q1939" s="66" t="inlineStr">
        <is>
          <t>https://www.lepas-sa.co.za/offers</t>
        </is>
      </c>
      <c r="R1939" s="121" t="n">
        <v>149.48</v>
      </c>
      <c r="S1939" s="122" t="n">
        <v>5758</v>
      </c>
      <c r="T1939" s="122" t="n">
        <v>2429</v>
      </c>
      <c r="U1939" s="123">
        <f>IFERROR(S1939/T1939,"")</f>
        <v/>
      </c>
      <c r="V1939" s="122" t="n">
        <v>7</v>
      </c>
      <c r="W1939" s="122" t="n">
        <v>6</v>
      </c>
      <c r="X1939" s="124">
        <f>IFERROR(W1939/S1939,"")</f>
        <v/>
      </c>
      <c r="Y1939" s="121">
        <f>IFERROR(R1939/W1939,"")</f>
        <v/>
      </c>
      <c r="Z1939" s="121">
        <f>IFERROR(R1939/S1939*1000,"")</f>
        <v/>
      </c>
      <c r="AA1939" s="122" t="n">
        <v>4</v>
      </c>
      <c r="AB1939" s="54">
        <f>IFERROR(AA1939/W1939,"")</f>
        <v/>
      </c>
      <c r="AC1939" s="122" t="n">
        <v>0</v>
      </c>
      <c r="AD1939" s="122" t="n">
        <v>0</v>
      </c>
      <c r="AE1939" s="122" t="n">
        <v>0</v>
      </c>
      <c r="AF1939" s="122" t="n">
        <v>0</v>
      </c>
      <c r="AG1939" s="122" t="n">
        <v>0</v>
      </c>
      <c r="AH1939" s="122" t="n">
        <v>0</v>
      </c>
      <c r="AI1939" s="54">
        <f>IFERROR(AC1939/S1939,"")</f>
        <v/>
      </c>
      <c r="AJ1939" s="54">
        <f>IFERROR(AH1939/S1939,"")</f>
        <v/>
      </c>
      <c r="AK1939" s="122" t="n">
        <v>17</v>
      </c>
      <c r="AL1939" s="122" t="n">
        <v>0</v>
      </c>
      <c r="AM1939" s="124">
        <f>IFERROR(AL1939/AA1939,"")</f>
        <v/>
      </c>
      <c r="AN1939" s="125">
        <f>IFERROR(R1939/AL1939,"")</f>
        <v/>
      </c>
      <c r="AO1939" s="122" t="n">
        <v>0</v>
      </c>
      <c r="AP1939" s="54">
        <f>IFERROR(AO1939/AL1939,"")</f>
        <v/>
      </c>
      <c r="AQ1939" s="125">
        <f>IFERROR(R1939/AO1939,"")</f>
        <v/>
      </c>
      <c r="AR1939" s="122" t="n">
        <v>0</v>
      </c>
      <c r="AS1939" s="122" t="n">
        <v>0</v>
      </c>
      <c r="AT1939" s="122">
        <f>AL1939+AR1939</f>
        <v/>
      </c>
      <c r="AU1939" s="125">
        <f>IFERROR(AO1939*Assumptions!$C$26*Assumptions!$C$27*INDEX(Assumptions!$C$18:$C$21,MATCH(H1939,Assumptions!$B$18:$B$21,0)),0)</f>
        <v/>
      </c>
    </row>
    <row r="1940">
      <c r="A1940" s="120" t="n">
        <v>46257</v>
      </c>
      <c r="B1940" s="66" t="inlineStr">
        <is>
          <t>Wk 34</t>
        </is>
      </c>
      <c r="C1940" s="66" t="inlineStr">
        <is>
          <t>Sun</t>
        </is>
      </c>
      <c r="D1940" s="66" t="inlineStr">
        <is>
          <t>Programmatic</t>
        </is>
      </c>
      <c r="E1940" s="66" t="inlineStr">
        <is>
          <t>DV360</t>
        </is>
      </c>
      <c r="F1940" s="66" t="inlineStr">
        <is>
          <t>LEP_ZA_AUG26_PROG_TD_PROSPECT_DISPLAY</t>
        </is>
      </c>
      <c r="G1940" s="66" t="inlineStr">
        <is>
          <t>Display Prospecting</t>
        </is>
      </c>
      <c r="H1940" s="66" t="inlineStr">
        <is>
          <t>Range</t>
        </is>
      </c>
      <c r="I1940" s="66" t="inlineStr">
        <is>
          <t>Range Offer</t>
        </is>
      </c>
      <c r="J1940" s="66" t="inlineStr">
        <is>
          <t>PROG_GEO_DEALER_RADIUS</t>
        </is>
      </c>
      <c r="K1940" s="66" t="inlineStr">
        <is>
          <t>Prospecting</t>
        </is>
      </c>
      <c r="L1940" s="66" t="inlineStr">
        <is>
          <t>PROG_HTML5_320x50_Range_v1</t>
        </is>
      </c>
      <c r="M1940" s="66" t="inlineStr">
        <is>
          <t>HTML5 Display 320x50</t>
        </is>
      </c>
      <c r="N1940" s="66" t="inlineStr">
        <is>
          <t>From R3 599pm</t>
        </is>
      </c>
      <c r="O1940" s="66" t="inlineStr">
        <is>
          <t>Programmatic Guaranteed / OA</t>
        </is>
      </c>
      <c r="P1940" s="66" t="inlineStr">
        <is>
          <t>Conversions (CPA)</t>
        </is>
      </c>
      <c r="Q1940" s="66" t="inlineStr">
        <is>
          <t>https://www.lepas-sa.co.za/offers</t>
        </is>
      </c>
      <c r="R1940" s="121" t="n">
        <v>111.32</v>
      </c>
      <c r="S1940" s="122" t="n">
        <v>5484</v>
      </c>
      <c r="T1940" s="122" t="n">
        <v>2956</v>
      </c>
      <c r="U1940" s="123">
        <f>IFERROR(S1940/T1940,"")</f>
        <v/>
      </c>
      <c r="V1940" s="122" t="n">
        <v>12</v>
      </c>
      <c r="W1940" s="122" t="n">
        <v>10</v>
      </c>
      <c r="X1940" s="124">
        <f>IFERROR(W1940/S1940,"")</f>
        <v/>
      </c>
      <c r="Y1940" s="121">
        <f>IFERROR(R1940/W1940,"")</f>
        <v/>
      </c>
      <c r="Z1940" s="121">
        <f>IFERROR(R1940/S1940*1000,"")</f>
        <v/>
      </c>
      <c r="AA1940" s="122" t="n">
        <v>6</v>
      </c>
      <c r="AB1940" s="54">
        <f>IFERROR(AA1940/W1940,"")</f>
        <v/>
      </c>
      <c r="AC1940" s="122" t="n">
        <v>0</v>
      </c>
      <c r="AD1940" s="122" t="n">
        <v>0</v>
      </c>
      <c r="AE1940" s="122" t="n">
        <v>0</v>
      </c>
      <c r="AF1940" s="122" t="n">
        <v>0</v>
      </c>
      <c r="AG1940" s="122" t="n">
        <v>0</v>
      </c>
      <c r="AH1940" s="122" t="n">
        <v>0</v>
      </c>
      <c r="AI1940" s="54">
        <f>IFERROR(AC1940/S1940,"")</f>
        <v/>
      </c>
      <c r="AJ1940" s="54">
        <f>IFERROR(AH1940/S1940,"")</f>
        <v/>
      </c>
      <c r="AK1940" s="122" t="n">
        <v>23</v>
      </c>
      <c r="AL1940" s="122" t="n">
        <v>0</v>
      </c>
      <c r="AM1940" s="124">
        <f>IFERROR(AL1940/AA1940,"")</f>
        <v/>
      </c>
      <c r="AN1940" s="125">
        <f>IFERROR(R1940/AL1940,"")</f>
        <v/>
      </c>
      <c r="AO1940" s="122" t="n">
        <v>0</v>
      </c>
      <c r="AP1940" s="54">
        <f>IFERROR(AO1940/AL1940,"")</f>
        <v/>
      </c>
      <c r="AQ1940" s="125">
        <f>IFERROR(R1940/AO1940,"")</f>
        <v/>
      </c>
      <c r="AR1940" s="122" t="n">
        <v>0</v>
      </c>
      <c r="AS1940" s="122" t="n">
        <v>0</v>
      </c>
      <c r="AT1940" s="122">
        <f>AL1940+AR1940</f>
        <v/>
      </c>
      <c r="AU1940" s="125">
        <f>IFERROR(AO1940*Assumptions!$C$26*Assumptions!$C$27*INDEX(Assumptions!$C$18:$C$21,MATCH(H1940,Assumptions!$B$18:$B$21,0)),0)</f>
        <v/>
      </c>
    </row>
    <row r="1941">
      <c r="A1941" s="120" t="n">
        <v>46258</v>
      </c>
      <c r="B1941" s="66" t="inlineStr">
        <is>
          <t>Wk 35</t>
        </is>
      </c>
      <c r="C1941" s="66" t="inlineStr">
        <is>
          <t>Mon</t>
        </is>
      </c>
      <c r="D1941" s="66" t="inlineStr">
        <is>
          <t>Programmatic</t>
        </is>
      </c>
      <c r="E1941" s="66" t="inlineStr">
        <is>
          <t>DV360</t>
        </is>
      </c>
      <c r="F1941" s="66" t="inlineStr">
        <is>
          <t>LEP_ZA_AUG26_PROG_TD_PROSPECT_DISPLAY</t>
        </is>
      </c>
      <c r="G1941" s="66" t="inlineStr">
        <is>
          <t>Display Prospecting</t>
        </is>
      </c>
      <c r="H1941" s="66" t="inlineStr">
        <is>
          <t>Range</t>
        </is>
      </c>
      <c r="I1941" s="66" t="inlineStr">
        <is>
          <t>Range Offer</t>
        </is>
      </c>
      <c r="J1941" s="66" t="inlineStr">
        <is>
          <t>PROG_GEO_DEALER_RADIUS</t>
        </is>
      </c>
      <c r="K1941" s="66" t="inlineStr">
        <is>
          <t>Prospecting</t>
        </is>
      </c>
      <c r="L1941" s="66" t="inlineStr">
        <is>
          <t>PROG_HTML5_320x50_Range_v1</t>
        </is>
      </c>
      <c r="M1941" s="66" t="inlineStr">
        <is>
          <t>HTML5 Display 320x50</t>
        </is>
      </c>
      <c r="N1941" s="66" t="inlineStr">
        <is>
          <t>From R3 599pm</t>
        </is>
      </c>
      <c r="O1941" s="66" t="inlineStr">
        <is>
          <t>Programmatic Guaranteed / OA</t>
        </is>
      </c>
      <c r="P1941" s="66" t="inlineStr">
        <is>
          <t>Conversions (CPA)</t>
        </is>
      </c>
      <c r="Q1941" s="66" t="inlineStr">
        <is>
          <t>https://www.lepas-sa.co.za/offers</t>
        </is>
      </c>
      <c r="R1941" s="121" t="n">
        <v>140.48</v>
      </c>
      <c r="S1941" s="122" t="n">
        <v>4385</v>
      </c>
      <c r="T1941" s="122" t="n">
        <v>1598</v>
      </c>
      <c r="U1941" s="123">
        <f>IFERROR(S1941/T1941,"")</f>
        <v/>
      </c>
      <c r="V1941" s="122" t="n">
        <v>11</v>
      </c>
      <c r="W1941" s="122" t="n">
        <v>8</v>
      </c>
      <c r="X1941" s="124">
        <f>IFERROR(W1941/S1941,"")</f>
        <v/>
      </c>
      <c r="Y1941" s="121">
        <f>IFERROR(R1941/W1941,"")</f>
        <v/>
      </c>
      <c r="Z1941" s="121">
        <f>IFERROR(R1941/S1941*1000,"")</f>
        <v/>
      </c>
      <c r="AA1941" s="122" t="n">
        <v>5</v>
      </c>
      <c r="AB1941" s="54">
        <f>IFERROR(AA1941/W1941,"")</f>
        <v/>
      </c>
      <c r="AC1941" s="122" t="n">
        <v>0</v>
      </c>
      <c r="AD1941" s="122" t="n">
        <v>0</v>
      </c>
      <c r="AE1941" s="122" t="n">
        <v>0</v>
      </c>
      <c r="AF1941" s="122" t="n">
        <v>0</v>
      </c>
      <c r="AG1941" s="122" t="n">
        <v>0</v>
      </c>
      <c r="AH1941" s="122" t="n">
        <v>0</v>
      </c>
      <c r="AI1941" s="54">
        <f>IFERROR(AC1941/S1941,"")</f>
        <v/>
      </c>
      <c r="AJ1941" s="54">
        <f>IFERROR(AH1941/S1941,"")</f>
        <v/>
      </c>
      <c r="AK1941" s="122" t="n">
        <v>7</v>
      </c>
      <c r="AL1941" s="122" t="n">
        <v>0</v>
      </c>
      <c r="AM1941" s="124">
        <f>IFERROR(AL1941/AA1941,"")</f>
        <v/>
      </c>
      <c r="AN1941" s="125">
        <f>IFERROR(R1941/AL1941,"")</f>
        <v/>
      </c>
      <c r="AO1941" s="122" t="n">
        <v>0</v>
      </c>
      <c r="AP1941" s="54">
        <f>IFERROR(AO1941/AL1941,"")</f>
        <v/>
      </c>
      <c r="AQ1941" s="125">
        <f>IFERROR(R1941/AO1941,"")</f>
        <v/>
      </c>
      <c r="AR1941" s="122" t="n">
        <v>0</v>
      </c>
      <c r="AS1941" s="122" t="n">
        <v>0</v>
      </c>
      <c r="AT1941" s="122">
        <f>AL1941+AR1941</f>
        <v/>
      </c>
      <c r="AU1941" s="125">
        <f>IFERROR(AO1941*Assumptions!$C$26*Assumptions!$C$27*INDEX(Assumptions!$C$18:$C$21,MATCH(H1941,Assumptions!$B$18:$B$21,0)),0)</f>
        <v/>
      </c>
    </row>
    <row r="1942">
      <c r="A1942" s="120" t="n">
        <v>46259</v>
      </c>
      <c r="B1942" s="66" t="inlineStr">
        <is>
          <t>Wk 35</t>
        </is>
      </c>
      <c r="C1942" s="66" t="inlineStr">
        <is>
          <t>Tue</t>
        </is>
      </c>
      <c r="D1942" s="66" t="inlineStr">
        <is>
          <t>Programmatic</t>
        </is>
      </c>
      <c r="E1942" s="66" t="inlineStr">
        <is>
          <t>DV360</t>
        </is>
      </c>
      <c r="F1942" s="66" t="inlineStr">
        <is>
          <t>LEP_ZA_AUG26_PROG_TD_PROSPECT_DISPLAY</t>
        </is>
      </c>
      <c r="G1942" s="66" t="inlineStr">
        <is>
          <t>Display Prospecting</t>
        </is>
      </c>
      <c r="H1942" s="66" t="inlineStr">
        <is>
          <t>Range</t>
        </is>
      </c>
      <c r="I1942" s="66" t="inlineStr">
        <is>
          <t>Range Offer</t>
        </is>
      </c>
      <c r="J1942" s="66" t="inlineStr">
        <is>
          <t>PROG_GEO_DEALER_RADIUS</t>
        </is>
      </c>
      <c r="K1942" s="66" t="inlineStr">
        <is>
          <t>Prospecting</t>
        </is>
      </c>
      <c r="L1942" s="66" t="inlineStr">
        <is>
          <t>PROG_HTML5_320x50_Range_v1</t>
        </is>
      </c>
      <c r="M1942" s="66" t="inlineStr">
        <is>
          <t>HTML5 Display 320x50</t>
        </is>
      </c>
      <c r="N1942" s="66" t="inlineStr">
        <is>
          <t>From R3 599pm</t>
        </is>
      </c>
      <c r="O1942" s="66" t="inlineStr">
        <is>
          <t>Programmatic Guaranteed / OA</t>
        </is>
      </c>
      <c r="P1942" s="66" t="inlineStr">
        <is>
          <t>Conversions (CPA)</t>
        </is>
      </c>
      <c r="Q1942" s="66" t="inlineStr">
        <is>
          <t>https://www.lepas-sa.co.za/offers</t>
        </is>
      </c>
      <c r="R1942" s="121" t="n">
        <v>148.26</v>
      </c>
      <c r="S1942" s="122" t="n">
        <v>5502</v>
      </c>
      <c r="T1942" s="122" t="n">
        <v>2830</v>
      </c>
      <c r="U1942" s="123">
        <f>IFERROR(S1942/T1942,"")</f>
        <v/>
      </c>
      <c r="V1942" s="122" t="n">
        <v>13</v>
      </c>
      <c r="W1942" s="122" t="n">
        <v>10</v>
      </c>
      <c r="X1942" s="124">
        <f>IFERROR(W1942/S1942,"")</f>
        <v/>
      </c>
      <c r="Y1942" s="121">
        <f>IFERROR(R1942/W1942,"")</f>
        <v/>
      </c>
      <c r="Z1942" s="121">
        <f>IFERROR(R1942/S1942*1000,"")</f>
        <v/>
      </c>
      <c r="AA1942" s="122" t="n">
        <v>6</v>
      </c>
      <c r="AB1942" s="54">
        <f>IFERROR(AA1942/W1942,"")</f>
        <v/>
      </c>
      <c r="AC1942" s="122" t="n">
        <v>0</v>
      </c>
      <c r="AD1942" s="122" t="n">
        <v>0</v>
      </c>
      <c r="AE1942" s="122" t="n">
        <v>0</v>
      </c>
      <c r="AF1942" s="122" t="n">
        <v>0</v>
      </c>
      <c r="AG1942" s="122" t="n">
        <v>0</v>
      </c>
      <c r="AH1942" s="122" t="n">
        <v>0</v>
      </c>
      <c r="AI1942" s="54">
        <f>IFERROR(AC1942/S1942,"")</f>
        <v/>
      </c>
      <c r="AJ1942" s="54">
        <f>IFERROR(AH1942/S1942,"")</f>
        <v/>
      </c>
      <c r="AK1942" s="122" t="n">
        <v>17</v>
      </c>
      <c r="AL1942" s="122" t="n">
        <v>0</v>
      </c>
      <c r="AM1942" s="124">
        <f>IFERROR(AL1942/AA1942,"")</f>
        <v/>
      </c>
      <c r="AN1942" s="125">
        <f>IFERROR(R1942/AL1942,"")</f>
        <v/>
      </c>
      <c r="AO1942" s="122" t="n">
        <v>0</v>
      </c>
      <c r="AP1942" s="54">
        <f>IFERROR(AO1942/AL1942,"")</f>
        <v/>
      </c>
      <c r="AQ1942" s="125">
        <f>IFERROR(R1942/AO1942,"")</f>
        <v/>
      </c>
      <c r="AR1942" s="122" t="n">
        <v>0</v>
      </c>
      <c r="AS1942" s="122" t="n">
        <v>0</v>
      </c>
      <c r="AT1942" s="122">
        <f>AL1942+AR1942</f>
        <v/>
      </c>
      <c r="AU1942" s="125">
        <f>IFERROR(AO1942*Assumptions!$C$26*Assumptions!$C$27*INDEX(Assumptions!$C$18:$C$21,MATCH(H1942,Assumptions!$B$18:$B$21,0)),0)</f>
        <v/>
      </c>
    </row>
    <row r="1943">
      <c r="A1943" s="120" t="n">
        <v>46260</v>
      </c>
      <c r="B1943" s="66" t="inlineStr">
        <is>
          <t>Wk 35</t>
        </is>
      </c>
      <c r="C1943" s="66" t="inlineStr">
        <is>
          <t>Wed</t>
        </is>
      </c>
      <c r="D1943" s="66" t="inlineStr">
        <is>
          <t>Programmatic</t>
        </is>
      </c>
      <c r="E1943" s="66" t="inlineStr">
        <is>
          <t>DV360</t>
        </is>
      </c>
      <c r="F1943" s="66" t="inlineStr">
        <is>
          <t>LEP_ZA_AUG26_PROG_TD_PROSPECT_DISPLAY</t>
        </is>
      </c>
      <c r="G1943" s="66" t="inlineStr">
        <is>
          <t>Display Prospecting</t>
        </is>
      </c>
      <c r="H1943" s="66" t="inlineStr">
        <is>
          <t>Range</t>
        </is>
      </c>
      <c r="I1943" s="66" t="inlineStr">
        <is>
          <t>Range Offer</t>
        </is>
      </c>
      <c r="J1943" s="66" t="inlineStr">
        <is>
          <t>PROG_GEO_DEALER_RADIUS</t>
        </is>
      </c>
      <c r="K1943" s="66" t="inlineStr">
        <is>
          <t>Prospecting</t>
        </is>
      </c>
      <c r="L1943" s="66" t="inlineStr">
        <is>
          <t>PROG_HTML5_320x50_Range_v1</t>
        </is>
      </c>
      <c r="M1943" s="66" t="inlineStr">
        <is>
          <t>HTML5 Display 320x50</t>
        </is>
      </c>
      <c r="N1943" s="66" t="inlineStr">
        <is>
          <t>From R3 599pm</t>
        </is>
      </c>
      <c r="O1943" s="66" t="inlineStr">
        <is>
          <t>Programmatic Guaranteed / OA</t>
        </is>
      </c>
      <c r="P1943" s="66" t="inlineStr">
        <is>
          <t>Conversions (CPA)</t>
        </is>
      </c>
      <c r="Q1943" s="66" t="inlineStr">
        <is>
          <t>https://www.lepas-sa.co.za/offers</t>
        </is>
      </c>
      <c r="R1943" s="121" t="n">
        <v>157.66</v>
      </c>
      <c r="S1943" s="122" t="n">
        <v>6882</v>
      </c>
      <c r="T1943" s="122" t="n">
        <v>2775</v>
      </c>
      <c r="U1943" s="123">
        <f>IFERROR(S1943/T1943,"")</f>
        <v/>
      </c>
      <c r="V1943" s="122" t="n">
        <v>6</v>
      </c>
      <c r="W1943" s="122" t="n">
        <v>5</v>
      </c>
      <c r="X1943" s="124">
        <f>IFERROR(W1943/S1943,"")</f>
        <v/>
      </c>
      <c r="Y1943" s="121">
        <f>IFERROR(R1943/W1943,"")</f>
        <v/>
      </c>
      <c r="Z1943" s="121">
        <f>IFERROR(R1943/S1943*1000,"")</f>
        <v/>
      </c>
      <c r="AA1943" s="122" t="n">
        <v>3</v>
      </c>
      <c r="AB1943" s="54">
        <f>IFERROR(AA1943/W1943,"")</f>
        <v/>
      </c>
      <c r="AC1943" s="122" t="n">
        <v>0</v>
      </c>
      <c r="AD1943" s="122" t="n">
        <v>0</v>
      </c>
      <c r="AE1943" s="122" t="n">
        <v>0</v>
      </c>
      <c r="AF1943" s="122" t="n">
        <v>0</v>
      </c>
      <c r="AG1943" s="122" t="n">
        <v>0</v>
      </c>
      <c r="AH1943" s="122" t="n">
        <v>0</v>
      </c>
      <c r="AI1943" s="54">
        <f>IFERROR(AC1943/S1943,"")</f>
        <v/>
      </c>
      <c r="AJ1943" s="54">
        <f>IFERROR(AH1943/S1943,"")</f>
        <v/>
      </c>
      <c r="AK1943" s="122" t="n">
        <v>33</v>
      </c>
      <c r="AL1943" s="122" t="n">
        <v>0</v>
      </c>
      <c r="AM1943" s="124">
        <f>IFERROR(AL1943/AA1943,"")</f>
        <v/>
      </c>
      <c r="AN1943" s="125">
        <f>IFERROR(R1943/AL1943,"")</f>
        <v/>
      </c>
      <c r="AO1943" s="122" t="n">
        <v>0</v>
      </c>
      <c r="AP1943" s="54">
        <f>IFERROR(AO1943/AL1943,"")</f>
        <v/>
      </c>
      <c r="AQ1943" s="125">
        <f>IFERROR(R1943/AO1943,"")</f>
        <v/>
      </c>
      <c r="AR1943" s="122" t="n">
        <v>0</v>
      </c>
      <c r="AS1943" s="122" t="n">
        <v>0</v>
      </c>
      <c r="AT1943" s="122">
        <f>AL1943+AR1943</f>
        <v/>
      </c>
      <c r="AU1943" s="125">
        <f>IFERROR(AO1943*Assumptions!$C$26*Assumptions!$C$27*INDEX(Assumptions!$C$18:$C$21,MATCH(H1943,Assumptions!$B$18:$B$21,0)),0)</f>
        <v/>
      </c>
    </row>
    <row r="1944">
      <c r="A1944" s="120" t="n">
        <v>46261</v>
      </c>
      <c r="B1944" s="66" t="inlineStr">
        <is>
          <t>Wk 35</t>
        </is>
      </c>
      <c r="C1944" s="66" t="inlineStr">
        <is>
          <t>Thu</t>
        </is>
      </c>
      <c r="D1944" s="66" t="inlineStr">
        <is>
          <t>Programmatic</t>
        </is>
      </c>
      <c r="E1944" s="66" t="inlineStr">
        <is>
          <t>DV360</t>
        </is>
      </c>
      <c r="F1944" s="66" t="inlineStr">
        <is>
          <t>LEP_ZA_AUG26_PROG_TD_PROSPECT_DISPLAY</t>
        </is>
      </c>
      <c r="G1944" s="66" t="inlineStr">
        <is>
          <t>Display Prospecting</t>
        </is>
      </c>
      <c r="H1944" s="66" t="inlineStr">
        <is>
          <t>Range</t>
        </is>
      </c>
      <c r="I1944" s="66" t="inlineStr">
        <is>
          <t>Range Offer</t>
        </is>
      </c>
      <c r="J1944" s="66" t="inlineStr">
        <is>
          <t>PROG_GEO_DEALER_RADIUS</t>
        </is>
      </c>
      <c r="K1944" s="66" t="inlineStr">
        <is>
          <t>Prospecting</t>
        </is>
      </c>
      <c r="L1944" s="66" t="inlineStr">
        <is>
          <t>PROG_HTML5_320x50_Range_v1</t>
        </is>
      </c>
      <c r="M1944" s="66" t="inlineStr">
        <is>
          <t>HTML5 Display 320x50</t>
        </is>
      </c>
      <c r="N1944" s="66" t="inlineStr">
        <is>
          <t>From R3 599pm</t>
        </is>
      </c>
      <c r="O1944" s="66" t="inlineStr">
        <is>
          <t>Programmatic Guaranteed / OA</t>
        </is>
      </c>
      <c r="P1944" s="66" t="inlineStr">
        <is>
          <t>Conversions (CPA)</t>
        </is>
      </c>
      <c r="Q1944" s="66" t="inlineStr">
        <is>
          <t>https://www.lepas-sa.co.za/offers</t>
        </is>
      </c>
      <c r="R1944" s="121" t="n">
        <v>164.24</v>
      </c>
      <c r="S1944" s="122" t="n">
        <v>5884</v>
      </c>
      <c r="T1944" s="122" t="n">
        <v>3219</v>
      </c>
      <c r="U1944" s="123">
        <f>IFERROR(S1944/T1944,"")</f>
        <v/>
      </c>
      <c r="V1944" s="122" t="n">
        <v>5</v>
      </c>
      <c r="W1944" s="122" t="n">
        <v>3</v>
      </c>
      <c r="X1944" s="124">
        <f>IFERROR(W1944/S1944,"")</f>
        <v/>
      </c>
      <c r="Y1944" s="121">
        <f>IFERROR(R1944/W1944,"")</f>
        <v/>
      </c>
      <c r="Z1944" s="121">
        <f>IFERROR(R1944/S1944*1000,"")</f>
        <v/>
      </c>
      <c r="AA1944" s="122" t="n">
        <v>2</v>
      </c>
      <c r="AB1944" s="54">
        <f>IFERROR(AA1944/W1944,"")</f>
        <v/>
      </c>
      <c r="AC1944" s="122" t="n">
        <v>0</v>
      </c>
      <c r="AD1944" s="122" t="n">
        <v>0</v>
      </c>
      <c r="AE1944" s="122" t="n">
        <v>0</v>
      </c>
      <c r="AF1944" s="122" t="n">
        <v>0</v>
      </c>
      <c r="AG1944" s="122" t="n">
        <v>0</v>
      </c>
      <c r="AH1944" s="122" t="n">
        <v>0</v>
      </c>
      <c r="AI1944" s="54">
        <f>IFERROR(AC1944/S1944,"")</f>
        <v/>
      </c>
      <c r="AJ1944" s="54">
        <f>IFERROR(AH1944/S1944,"")</f>
        <v/>
      </c>
      <c r="AK1944" s="122" t="n">
        <v>34</v>
      </c>
      <c r="AL1944" s="122" t="n">
        <v>0</v>
      </c>
      <c r="AM1944" s="124">
        <f>IFERROR(AL1944/AA1944,"")</f>
        <v/>
      </c>
      <c r="AN1944" s="125">
        <f>IFERROR(R1944/AL1944,"")</f>
        <v/>
      </c>
      <c r="AO1944" s="122" t="n">
        <v>0</v>
      </c>
      <c r="AP1944" s="54">
        <f>IFERROR(AO1944/AL1944,"")</f>
        <v/>
      </c>
      <c r="AQ1944" s="125">
        <f>IFERROR(R1944/AO1944,"")</f>
        <v/>
      </c>
      <c r="AR1944" s="122" t="n">
        <v>0</v>
      </c>
      <c r="AS1944" s="122" t="n">
        <v>0</v>
      </c>
      <c r="AT1944" s="122">
        <f>AL1944+AR1944</f>
        <v/>
      </c>
      <c r="AU1944" s="125">
        <f>IFERROR(AO1944*Assumptions!$C$26*Assumptions!$C$27*INDEX(Assumptions!$C$18:$C$21,MATCH(H1944,Assumptions!$B$18:$B$21,0)),0)</f>
        <v/>
      </c>
    </row>
    <row r="1945">
      <c r="A1945" s="120" t="n">
        <v>46262</v>
      </c>
      <c r="B1945" s="66" t="inlineStr">
        <is>
          <t>Wk 35</t>
        </is>
      </c>
      <c r="C1945" s="66" t="inlineStr">
        <is>
          <t>Fri</t>
        </is>
      </c>
      <c r="D1945" s="66" t="inlineStr">
        <is>
          <t>Programmatic</t>
        </is>
      </c>
      <c r="E1945" s="66" t="inlineStr">
        <is>
          <t>DV360</t>
        </is>
      </c>
      <c r="F1945" s="66" t="inlineStr">
        <is>
          <t>LEP_ZA_AUG26_PROG_TD_PROSPECT_DISPLAY</t>
        </is>
      </c>
      <c r="G1945" s="66" t="inlineStr">
        <is>
          <t>Display Prospecting</t>
        </is>
      </c>
      <c r="H1945" s="66" t="inlineStr">
        <is>
          <t>Range</t>
        </is>
      </c>
      <c r="I1945" s="66" t="inlineStr">
        <is>
          <t>Range Offer</t>
        </is>
      </c>
      <c r="J1945" s="66" t="inlineStr">
        <is>
          <t>PROG_GEO_DEALER_RADIUS</t>
        </is>
      </c>
      <c r="K1945" s="66" t="inlineStr">
        <is>
          <t>Prospecting</t>
        </is>
      </c>
      <c r="L1945" s="66" t="inlineStr">
        <is>
          <t>PROG_HTML5_320x50_Range_v1</t>
        </is>
      </c>
      <c r="M1945" s="66" t="inlineStr">
        <is>
          <t>HTML5 Display 320x50</t>
        </is>
      </c>
      <c r="N1945" s="66" t="inlineStr">
        <is>
          <t>From R3 599pm</t>
        </is>
      </c>
      <c r="O1945" s="66" t="inlineStr">
        <is>
          <t>Programmatic Guaranteed / OA</t>
        </is>
      </c>
      <c r="P1945" s="66" t="inlineStr">
        <is>
          <t>Conversions (CPA)</t>
        </is>
      </c>
      <c r="Q1945" s="66" t="inlineStr">
        <is>
          <t>https://www.lepas-sa.co.za/offers</t>
        </is>
      </c>
      <c r="R1945" s="121" t="n">
        <v>208.43</v>
      </c>
      <c r="S1945" s="122" t="n">
        <v>10476</v>
      </c>
      <c r="T1945" s="122" t="n">
        <v>4585</v>
      </c>
      <c r="U1945" s="123">
        <f>IFERROR(S1945/T1945,"")</f>
        <v/>
      </c>
      <c r="V1945" s="122" t="n">
        <v>30</v>
      </c>
      <c r="W1945" s="122" t="n">
        <v>21</v>
      </c>
      <c r="X1945" s="124">
        <f>IFERROR(W1945/S1945,"")</f>
        <v/>
      </c>
      <c r="Y1945" s="121">
        <f>IFERROR(R1945/W1945,"")</f>
        <v/>
      </c>
      <c r="Z1945" s="121">
        <f>IFERROR(R1945/S1945*1000,"")</f>
        <v/>
      </c>
      <c r="AA1945" s="122" t="n">
        <v>13</v>
      </c>
      <c r="AB1945" s="54">
        <f>IFERROR(AA1945/W1945,"")</f>
        <v/>
      </c>
      <c r="AC1945" s="122" t="n">
        <v>0</v>
      </c>
      <c r="AD1945" s="122" t="n">
        <v>0</v>
      </c>
      <c r="AE1945" s="122" t="n">
        <v>0</v>
      </c>
      <c r="AF1945" s="122" t="n">
        <v>0</v>
      </c>
      <c r="AG1945" s="122" t="n">
        <v>0</v>
      </c>
      <c r="AH1945" s="122" t="n">
        <v>0</v>
      </c>
      <c r="AI1945" s="54">
        <f>IFERROR(AC1945/S1945,"")</f>
        <v/>
      </c>
      <c r="AJ1945" s="54">
        <f>IFERROR(AH1945/S1945,"")</f>
        <v/>
      </c>
      <c r="AK1945" s="122" t="n">
        <v>16</v>
      </c>
      <c r="AL1945" s="122" t="n">
        <v>0</v>
      </c>
      <c r="AM1945" s="124">
        <f>IFERROR(AL1945/AA1945,"")</f>
        <v/>
      </c>
      <c r="AN1945" s="125">
        <f>IFERROR(R1945/AL1945,"")</f>
        <v/>
      </c>
      <c r="AO1945" s="122" t="n">
        <v>0</v>
      </c>
      <c r="AP1945" s="54">
        <f>IFERROR(AO1945/AL1945,"")</f>
        <v/>
      </c>
      <c r="AQ1945" s="125">
        <f>IFERROR(R1945/AO1945,"")</f>
        <v/>
      </c>
      <c r="AR1945" s="122" t="n">
        <v>0</v>
      </c>
      <c r="AS1945" s="122" t="n">
        <v>0</v>
      </c>
      <c r="AT1945" s="122">
        <f>AL1945+AR1945</f>
        <v/>
      </c>
      <c r="AU1945" s="125">
        <f>IFERROR(AO1945*Assumptions!$C$26*Assumptions!$C$27*INDEX(Assumptions!$C$18:$C$21,MATCH(H1945,Assumptions!$B$18:$B$21,0)),0)</f>
        <v/>
      </c>
    </row>
    <row r="1946">
      <c r="A1946" s="120" t="n">
        <v>46263</v>
      </c>
      <c r="B1946" s="66" t="inlineStr">
        <is>
          <t>Wk 35</t>
        </is>
      </c>
      <c r="C1946" s="66" t="inlineStr">
        <is>
          <t>Sat</t>
        </is>
      </c>
      <c r="D1946" s="66" t="inlineStr">
        <is>
          <t>Programmatic</t>
        </is>
      </c>
      <c r="E1946" s="66" t="inlineStr">
        <is>
          <t>DV360</t>
        </is>
      </c>
      <c r="F1946" s="66" t="inlineStr">
        <is>
          <t>LEP_ZA_AUG26_PROG_TD_PROSPECT_DISPLAY</t>
        </is>
      </c>
      <c r="G1946" s="66" t="inlineStr">
        <is>
          <t>Display Prospecting</t>
        </is>
      </c>
      <c r="H1946" s="66" t="inlineStr">
        <is>
          <t>Range</t>
        </is>
      </c>
      <c r="I1946" s="66" t="inlineStr">
        <is>
          <t>Range Offer</t>
        </is>
      </c>
      <c r="J1946" s="66" t="inlineStr">
        <is>
          <t>PROG_GEO_DEALER_RADIUS</t>
        </is>
      </c>
      <c r="K1946" s="66" t="inlineStr">
        <is>
          <t>Prospecting</t>
        </is>
      </c>
      <c r="L1946" s="66" t="inlineStr">
        <is>
          <t>PROG_HTML5_320x50_Range_v1</t>
        </is>
      </c>
      <c r="M1946" s="66" t="inlineStr">
        <is>
          <t>HTML5 Display 320x50</t>
        </is>
      </c>
      <c r="N1946" s="66" t="inlineStr">
        <is>
          <t>From R3 599pm</t>
        </is>
      </c>
      <c r="O1946" s="66" t="inlineStr">
        <is>
          <t>Programmatic Guaranteed / OA</t>
        </is>
      </c>
      <c r="P1946" s="66" t="inlineStr">
        <is>
          <t>Conversions (CPA)</t>
        </is>
      </c>
      <c r="Q1946" s="66" t="inlineStr">
        <is>
          <t>https://www.lepas-sa.co.za/offers</t>
        </is>
      </c>
      <c r="R1946" s="121" t="n">
        <v>169.62</v>
      </c>
      <c r="S1946" s="122" t="n">
        <v>8457</v>
      </c>
      <c r="T1946" s="122" t="n">
        <v>4772</v>
      </c>
      <c r="U1946" s="123">
        <f>IFERROR(S1946/T1946,"")</f>
        <v/>
      </c>
      <c r="V1946" s="122" t="n">
        <v>14</v>
      </c>
      <c r="W1946" s="122" t="n">
        <v>11</v>
      </c>
      <c r="X1946" s="124">
        <f>IFERROR(W1946/S1946,"")</f>
        <v/>
      </c>
      <c r="Y1946" s="121">
        <f>IFERROR(R1946/W1946,"")</f>
        <v/>
      </c>
      <c r="Z1946" s="121">
        <f>IFERROR(R1946/S1946*1000,"")</f>
        <v/>
      </c>
      <c r="AA1946" s="122" t="n">
        <v>7</v>
      </c>
      <c r="AB1946" s="54">
        <f>IFERROR(AA1946/W1946,"")</f>
        <v/>
      </c>
      <c r="AC1946" s="122" t="n">
        <v>0</v>
      </c>
      <c r="AD1946" s="122" t="n">
        <v>0</v>
      </c>
      <c r="AE1946" s="122" t="n">
        <v>0</v>
      </c>
      <c r="AF1946" s="122" t="n">
        <v>0</v>
      </c>
      <c r="AG1946" s="122" t="n">
        <v>0</v>
      </c>
      <c r="AH1946" s="122" t="n">
        <v>0</v>
      </c>
      <c r="AI1946" s="54">
        <f>IFERROR(AC1946/S1946,"")</f>
        <v/>
      </c>
      <c r="AJ1946" s="54">
        <f>IFERROR(AH1946/S1946,"")</f>
        <v/>
      </c>
      <c r="AK1946" s="122" t="n">
        <v>36</v>
      </c>
      <c r="AL1946" s="122" t="n">
        <v>0</v>
      </c>
      <c r="AM1946" s="124">
        <f>IFERROR(AL1946/AA1946,"")</f>
        <v/>
      </c>
      <c r="AN1946" s="125">
        <f>IFERROR(R1946/AL1946,"")</f>
        <v/>
      </c>
      <c r="AO1946" s="122" t="n">
        <v>0</v>
      </c>
      <c r="AP1946" s="54">
        <f>IFERROR(AO1946/AL1946,"")</f>
        <v/>
      </c>
      <c r="AQ1946" s="125">
        <f>IFERROR(R1946/AO1946,"")</f>
        <v/>
      </c>
      <c r="AR1946" s="122" t="n">
        <v>0</v>
      </c>
      <c r="AS1946" s="122" t="n">
        <v>0</v>
      </c>
      <c r="AT1946" s="122">
        <f>AL1946+AR1946</f>
        <v/>
      </c>
      <c r="AU1946" s="125">
        <f>IFERROR(AO1946*Assumptions!$C$26*Assumptions!$C$27*INDEX(Assumptions!$C$18:$C$21,MATCH(H1946,Assumptions!$B$18:$B$21,0)),0)</f>
        <v/>
      </c>
    </row>
    <row r="1947">
      <c r="A1947" s="120" t="n">
        <v>46264</v>
      </c>
      <c r="B1947" s="66" t="inlineStr">
        <is>
          <t>Wk 35</t>
        </is>
      </c>
      <c r="C1947" s="66" t="inlineStr">
        <is>
          <t>Sun</t>
        </is>
      </c>
      <c r="D1947" s="66" t="inlineStr">
        <is>
          <t>Programmatic</t>
        </is>
      </c>
      <c r="E1947" s="66" t="inlineStr">
        <is>
          <t>DV360</t>
        </is>
      </c>
      <c r="F1947" s="66" t="inlineStr">
        <is>
          <t>LEP_ZA_AUG26_PROG_TD_PROSPECT_DISPLAY</t>
        </is>
      </c>
      <c r="G1947" s="66" t="inlineStr">
        <is>
          <t>Display Prospecting</t>
        </is>
      </c>
      <c r="H1947" s="66" t="inlineStr">
        <is>
          <t>Range</t>
        </is>
      </c>
      <c r="I1947" s="66" t="inlineStr">
        <is>
          <t>Range Offer</t>
        </is>
      </c>
      <c r="J1947" s="66" t="inlineStr">
        <is>
          <t>PROG_GEO_DEALER_RADIUS</t>
        </is>
      </c>
      <c r="K1947" s="66" t="inlineStr">
        <is>
          <t>Prospecting</t>
        </is>
      </c>
      <c r="L1947" s="66" t="inlineStr">
        <is>
          <t>PROG_HTML5_320x50_Range_v1</t>
        </is>
      </c>
      <c r="M1947" s="66" t="inlineStr">
        <is>
          <t>HTML5 Display 320x50</t>
        </is>
      </c>
      <c r="N1947" s="66" t="inlineStr">
        <is>
          <t>From R3 599pm</t>
        </is>
      </c>
      <c r="O1947" s="66" t="inlineStr">
        <is>
          <t>Programmatic Guaranteed / OA</t>
        </is>
      </c>
      <c r="P1947" s="66" t="inlineStr">
        <is>
          <t>Conversions (CPA)</t>
        </is>
      </c>
      <c r="Q1947" s="66" t="inlineStr">
        <is>
          <t>https://www.lepas-sa.co.za/offers</t>
        </is>
      </c>
      <c r="R1947" s="121" t="n">
        <v>140.8</v>
      </c>
      <c r="S1947" s="122" t="n">
        <v>4370</v>
      </c>
      <c r="T1947" s="122" t="n">
        <v>2300</v>
      </c>
      <c r="U1947" s="123">
        <f>IFERROR(S1947/T1947,"")</f>
        <v/>
      </c>
      <c r="V1947" s="122" t="n">
        <v>4</v>
      </c>
      <c r="W1947" s="122" t="n">
        <v>3</v>
      </c>
      <c r="X1947" s="124">
        <f>IFERROR(W1947/S1947,"")</f>
        <v/>
      </c>
      <c r="Y1947" s="121">
        <f>IFERROR(R1947/W1947,"")</f>
        <v/>
      </c>
      <c r="Z1947" s="121">
        <f>IFERROR(R1947/S1947*1000,"")</f>
        <v/>
      </c>
      <c r="AA1947" s="122" t="n">
        <v>2</v>
      </c>
      <c r="AB1947" s="54">
        <f>IFERROR(AA1947/W1947,"")</f>
        <v/>
      </c>
      <c r="AC1947" s="122" t="n">
        <v>0</v>
      </c>
      <c r="AD1947" s="122" t="n">
        <v>0</v>
      </c>
      <c r="AE1947" s="122" t="n">
        <v>0</v>
      </c>
      <c r="AF1947" s="122" t="n">
        <v>0</v>
      </c>
      <c r="AG1947" s="122" t="n">
        <v>0</v>
      </c>
      <c r="AH1947" s="122" t="n">
        <v>0</v>
      </c>
      <c r="AI1947" s="54">
        <f>IFERROR(AC1947/S1947,"")</f>
        <v/>
      </c>
      <c r="AJ1947" s="54">
        <f>IFERROR(AH1947/S1947,"")</f>
        <v/>
      </c>
      <c r="AK1947" s="122" t="n">
        <v>10</v>
      </c>
      <c r="AL1947" s="122" t="n">
        <v>0</v>
      </c>
      <c r="AM1947" s="124">
        <f>IFERROR(AL1947/AA1947,"")</f>
        <v/>
      </c>
      <c r="AN1947" s="125">
        <f>IFERROR(R1947/AL1947,"")</f>
        <v/>
      </c>
      <c r="AO1947" s="122" t="n">
        <v>0</v>
      </c>
      <c r="AP1947" s="54">
        <f>IFERROR(AO1947/AL1947,"")</f>
        <v/>
      </c>
      <c r="AQ1947" s="125">
        <f>IFERROR(R1947/AO1947,"")</f>
        <v/>
      </c>
      <c r="AR1947" s="122" t="n">
        <v>0</v>
      </c>
      <c r="AS1947" s="122" t="n">
        <v>0</v>
      </c>
      <c r="AT1947" s="122">
        <f>AL1947+AR1947</f>
        <v/>
      </c>
      <c r="AU1947" s="125">
        <f>IFERROR(AO1947*Assumptions!$C$26*Assumptions!$C$27*INDEX(Assumptions!$C$18:$C$21,MATCH(H1947,Assumptions!$B$18:$B$21,0)),0)</f>
        <v/>
      </c>
    </row>
    <row r="1948">
      <c r="A1948" s="120" t="n">
        <v>46265</v>
      </c>
      <c r="B1948" s="66" t="inlineStr">
        <is>
          <t>Wk 36</t>
        </is>
      </c>
      <c r="C1948" s="66" t="inlineStr">
        <is>
          <t>Mon</t>
        </is>
      </c>
      <c r="D1948" s="66" t="inlineStr">
        <is>
          <t>Programmatic</t>
        </is>
      </c>
      <c r="E1948" s="66" t="inlineStr">
        <is>
          <t>DV360</t>
        </is>
      </c>
      <c r="F1948" s="66" t="inlineStr">
        <is>
          <t>LEP_ZA_AUG26_PROG_TD_PROSPECT_DISPLAY</t>
        </is>
      </c>
      <c r="G1948" s="66" t="inlineStr">
        <is>
          <t>Display Prospecting</t>
        </is>
      </c>
      <c r="H1948" s="66" t="inlineStr">
        <is>
          <t>Range</t>
        </is>
      </c>
      <c r="I1948" s="66" t="inlineStr">
        <is>
          <t>Range Offer</t>
        </is>
      </c>
      <c r="J1948" s="66" t="inlineStr">
        <is>
          <t>PROG_GEO_DEALER_RADIUS</t>
        </is>
      </c>
      <c r="K1948" s="66" t="inlineStr">
        <is>
          <t>Prospecting</t>
        </is>
      </c>
      <c r="L1948" s="66" t="inlineStr">
        <is>
          <t>PROG_HTML5_320x50_Range_v1</t>
        </is>
      </c>
      <c r="M1948" s="66" t="inlineStr">
        <is>
          <t>HTML5 Display 320x50</t>
        </is>
      </c>
      <c r="N1948" s="66" t="inlineStr">
        <is>
          <t>From R3 599pm</t>
        </is>
      </c>
      <c r="O1948" s="66" t="inlineStr">
        <is>
          <t>Programmatic Guaranteed / OA</t>
        </is>
      </c>
      <c r="P1948" s="66" t="inlineStr">
        <is>
          <t>Conversions (CPA)</t>
        </is>
      </c>
      <c r="Q1948" s="66" t="inlineStr">
        <is>
          <t>https://www.lepas-sa.co.za/offers</t>
        </is>
      </c>
      <c r="R1948" s="121" t="n">
        <v>144.03</v>
      </c>
      <c r="S1948" s="122" t="n">
        <v>4552</v>
      </c>
      <c r="T1948" s="122" t="n">
        <v>2402</v>
      </c>
      <c r="U1948" s="123">
        <f>IFERROR(S1948/T1948,"")</f>
        <v/>
      </c>
      <c r="V1948" s="122" t="n">
        <v>11</v>
      </c>
      <c r="W1948" s="122" t="n">
        <v>8</v>
      </c>
      <c r="X1948" s="124">
        <f>IFERROR(W1948/S1948,"")</f>
        <v/>
      </c>
      <c r="Y1948" s="121">
        <f>IFERROR(R1948/W1948,"")</f>
        <v/>
      </c>
      <c r="Z1948" s="121">
        <f>IFERROR(R1948/S1948*1000,"")</f>
        <v/>
      </c>
      <c r="AA1948" s="122" t="n">
        <v>5</v>
      </c>
      <c r="AB1948" s="54">
        <f>IFERROR(AA1948/W1948,"")</f>
        <v/>
      </c>
      <c r="AC1948" s="122" t="n">
        <v>0</v>
      </c>
      <c r="AD1948" s="122" t="n">
        <v>0</v>
      </c>
      <c r="AE1948" s="122" t="n">
        <v>0</v>
      </c>
      <c r="AF1948" s="122" t="n">
        <v>0</v>
      </c>
      <c r="AG1948" s="122" t="n">
        <v>0</v>
      </c>
      <c r="AH1948" s="122" t="n">
        <v>0</v>
      </c>
      <c r="AI1948" s="54">
        <f>IFERROR(AC1948/S1948,"")</f>
        <v/>
      </c>
      <c r="AJ1948" s="54">
        <f>IFERROR(AH1948/S1948,"")</f>
        <v/>
      </c>
      <c r="AK1948" s="122" t="n">
        <v>15</v>
      </c>
      <c r="AL1948" s="122" t="n">
        <v>0</v>
      </c>
      <c r="AM1948" s="124">
        <f>IFERROR(AL1948/AA1948,"")</f>
        <v/>
      </c>
      <c r="AN1948" s="125">
        <f>IFERROR(R1948/AL1948,"")</f>
        <v/>
      </c>
      <c r="AO1948" s="122" t="n">
        <v>0</v>
      </c>
      <c r="AP1948" s="54">
        <f>IFERROR(AO1948/AL1948,"")</f>
        <v/>
      </c>
      <c r="AQ1948" s="125">
        <f>IFERROR(R1948/AO1948,"")</f>
        <v/>
      </c>
      <c r="AR1948" s="122" t="n">
        <v>0</v>
      </c>
      <c r="AS1948" s="122" t="n">
        <v>0</v>
      </c>
      <c r="AT1948" s="122">
        <f>AL1948+AR1948</f>
        <v/>
      </c>
      <c r="AU1948" s="125">
        <f>IFERROR(AO1948*Assumptions!$C$26*Assumptions!$C$27*INDEX(Assumptions!$C$18:$C$21,MATCH(H1948,Assumptions!$B$18:$B$21,0)),0)</f>
        <v/>
      </c>
    </row>
    <row r="1949">
      <c r="A1949" s="120" t="n">
        <v>46235</v>
      </c>
      <c r="B1949" s="66" t="inlineStr">
        <is>
          <t>Wk 31</t>
        </is>
      </c>
      <c r="C1949" s="66" t="inlineStr">
        <is>
          <t>Sat</t>
        </is>
      </c>
      <c r="D1949" s="66" t="inlineStr">
        <is>
          <t>Programmatic</t>
        </is>
      </c>
      <c r="E1949" s="66" t="inlineStr">
        <is>
          <t>DV360</t>
        </is>
      </c>
      <c r="F1949" s="66" t="inlineStr">
        <is>
          <t>LEP_ZA_AUG26_PROG_TD_PROSPECT_DISPLAY</t>
        </is>
      </c>
      <c r="G1949" s="66" t="inlineStr">
        <is>
          <t>Display Prospecting</t>
        </is>
      </c>
      <c r="H1949" s="66" t="inlineStr">
        <is>
          <t>Range</t>
        </is>
      </c>
      <c r="I1949" s="66" t="inlineStr">
        <is>
          <t>Range Offer</t>
        </is>
      </c>
      <c r="J1949" s="66" t="inlineStr">
        <is>
          <t>PROG_GEO_DEALER_RADIUS</t>
        </is>
      </c>
      <c r="K1949" s="66" t="inlineStr">
        <is>
          <t>Prospecting</t>
        </is>
      </c>
      <c r="L1949" s="66" t="inlineStr">
        <is>
          <t>PROG_HTML5_300x250_Dealer_v1</t>
        </is>
      </c>
      <c r="M1949" s="66" t="inlineStr">
        <is>
          <t>HTML5 Display 300x250</t>
        </is>
      </c>
      <c r="N1949" s="66" t="inlineStr">
        <is>
          <t>A dealer near you has slots</t>
        </is>
      </c>
      <c r="O1949" s="66" t="inlineStr">
        <is>
          <t>Programmatic Guaranteed / OA</t>
        </is>
      </c>
      <c r="P1949" s="66" t="inlineStr">
        <is>
          <t>Conversions (CPA)</t>
        </is>
      </c>
      <c r="Q1949" s="66" t="inlineStr">
        <is>
          <t>https://www.lepas-sa.co.za/offers</t>
        </is>
      </c>
      <c r="R1949" s="121" t="n">
        <v>119.18</v>
      </c>
      <c r="S1949" s="122" t="n">
        <v>5456</v>
      </c>
      <c r="T1949" s="122" t="n">
        <v>4414</v>
      </c>
      <c r="U1949" s="123">
        <f>IFERROR(S1949/T1949,"")</f>
        <v/>
      </c>
      <c r="V1949" s="122" t="n">
        <v>11</v>
      </c>
      <c r="W1949" s="122" t="n">
        <v>8</v>
      </c>
      <c r="X1949" s="124">
        <f>IFERROR(W1949/S1949,"")</f>
        <v/>
      </c>
      <c r="Y1949" s="121">
        <f>IFERROR(R1949/W1949,"")</f>
        <v/>
      </c>
      <c r="Z1949" s="121">
        <f>IFERROR(R1949/S1949*1000,"")</f>
        <v/>
      </c>
      <c r="AA1949" s="122" t="n">
        <v>5</v>
      </c>
      <c r="AB1949" s="54">
        <f>IFERROR(AA1949/W1949,"")</f>
        <v/>
      </c>
      <c r="AC1949" s="122" t="n">
        <v>0</v>
      </c>
      <c r="AD1949" s="122" t="n">
        <v>0</v>
      </c>
      <c r="AE1949" s="122" t="n">
        <v>0</v>
      </c>
      <c r="AF1949" s="122" t="n">
        <v>0</v>
      </c>
      <c r="AG1949" s="122" t="n">
        <v>0</v>
      </c>
      <c r="AH1949" s="122" t="n">
        <v>0</v>
      </c>
      <c r="AI1949" s="54">
        <f>IFERROR(AC1949/S1949,"")</f>
        <v/>
      </c>
      <c r="AJ1949" s="54">
        <f>IFERROR(AH1949/S1949,"")</f>
        <v/>
      </c>
      <c r="AK1949" s="122" t="n">
        <v>13</v>
      </c>
      <c r="AL1949" s="122" t="n">
        <v>0</v>
      </c>
      <c r="AM1949" s="124">
        <f>IFERROR(AL1949/AA1949,"")</f>
        <v/>
      </c>
      <c r="AN1949" s="125">
        <f>IFERROR(R1949/AL1949,"")</f>
        <v/>
      </c>
      <c r="AO1949" s="122" t="n">
        <v>0</v>
      </c>
      <c r="AP1949" s="54">
        <f>IFERROR(AO1949/AL1949,"")</f>
        <v/>
      </c>
      <c r="AQ1949" s="125">
        <f>IFERROR(R1949/AO1949,"")</f>
        <v/>
      </c>
      <c r="AR1949" s="122" t="n">
        <v>0</v>
      </c>
      <c r="AS1949" s="122" t="n">
        <v>0</v>
      </c>
      <c r="AT1949" s="122">
        <f>AL1949+AR1949</f>
        <v/>
      </c>
      <c r="AU1949" s="125">
        <f>IFERROR(AO1949*Assumptions!$C$26*Assumptions!$C$27*INDEX(Assumptions!$C$18:$C$21,MATCH(H1949,Assumptions!$B$18:$B$21,0)),0)</f>
        <v/>
      </c>
    </row>
    <row r="1950">
      <c r="A1950" s="120" t="n">
        <v>46236</v>
      </c>
      <c r="B1950" s="66" t="inlineStr">
        <is>
          <t>Wk 31</t>
        </is>
      </c>
      <c r="C1950" s="66" t="inlineStr">
        <is>
          <t>Sun</t>
        </is>
      </c>
      <c r="D1950" s="66" t="inlineStr">
        <is>
          <t>Programmatic</t>
        </is>
      </c>
      <c r="E1950" s="66" t="inlineStr">
        <is>
          <t>DV360</t>
        </is>
      </c>
      <c r="F1950" s="66" t="inlineStr">
        <is>
          <t>LEP_ZA_AUG26_PROG_TD_PROSPECT_DISPLAY</t>
        </is>
      </c>
      <c r="G1950" s="66" t="inlineStr">
        <is>
          <t>Display Prospecting</t>
        </is>
      </c>
      <c r="H1950" s="66" t="inlineStr">
        <is>
          <t>Range</t>
        </is>
      </c>
      <c r="I1950" s="66" t="inlineStr">
        <is>
          <t>Range Offer</t>
        </is>
      </c>
      <c r="J1950" s="66" t="inlineStr">
        <is>
          <t>PROG_GEO_DEALER_RADIUS</t>
        </is>
      </c>
      <c r="K1950" s="66" t="inlineStr">
        <is>
          <t>Prospecting</t>
        </is>
      </c>
      <c r="L1950" s="66" t="inlineStr">
        <is>
          <t>PROG_HTML5_300x250_Dealer_v1</t>
        </is>
      </c>
      <c r="M1950" s="66" t="inlineStr">
        <is>
          <t>HTML5 Display 300x250</t>
        </is>
      </c>
      <c r="N1950" s="66" t="inlineStr">
        <is>
          <t>A dealer near you has slots</t>
        </is>
      </c>
      <c r="O1950" s="66" t="inlineStr">
        <is>
          <t>Programmatic Guaranteed / OA</t>
        </is>
      </c>
      <c r="P1950" s="66" t="inlineStr">
        <is>
          <t>Conversions (CPA)</t>
        </is>
      </c>
      <c r="Q1950" s="66" t="inlineStr">
        <is>
          <t>https://www.lepas-sa.co.za/offers</t>
        </is>
      </c>
      <c r="R1950" s="121" t="n">
        <v>96.79000000000001</v>
      </c>
      <c r="S1950" s="122" t="n">
        <v>2831</v>
      </c>
      <c r="T1950" s="122" t="n">
        <v>1530</v>
      </c>
      <c r="U1950" s="123">
        <f>IFERROR(S1950/T1950,"")</f>
        <v/>
      </c>
      <c r="V1950" s="122" t="n">
        <v>7</v>
      </c>
      <c r="W1950" s="122" t="n">
        <v>5</v>
      </c>
      <c r="X1950" s="124">
        <f>IFERROR(W1950/S1950,"")</f>
        <v/>
      </c>
      <c r="Y1950" s="121">
        <f>IFERROR(R1950/W1950,"")</f>
        <v/>
      </c>
      <c r="Z1950" s="121">
        <f>IFERROR(R1950/S1950*1000,"")</f>
        <v/>
      </c>
      <c r="AA1950" s="122" t="n">
        <v>3</v>
      </c>
      <c r="AB1950" s="54">
        <f>IFERROR(AA1950/W1950,"")</f>
        <v/>
      </c>
      <c r="AC1950" s="122" t="n">
        <v>0</v>
      </c>
      <c r="AD1950" s="122" t="n">
        <v>0</v>
      </c>
      <c r="AE1950" s="122" t="n">
        <v>0</v>
      </c>
      <c r="AF1950" s="122" t="n">
        <v>0</v>
      </c>
      <c r="AG1950" s="122" t="n">
        <v>0</v>
      </c>
      <c r="AH1950" s="122" t="n">
        <v>0</v>
      </c>
      <c r="AI1950" s="54">
        <f>IFERROR(AC1950/S1950,"")</f>
        <v/>
      </c>
      <c r="AJ1950" s="54">
        <f>IFERROR(AH1950/S1950,"")</f>
        <v/>
      </c>
      <c r="AK1950" s="122" t="n">
        <v>15</v>
      </c>
      <c r="AL1950" s="122" t="n">
        <v>0</v>
      </c>
      <c r="AM1950" s="124">
        <f>IFERROR(AL1950/AA1950,"")</f>
        <v/>
      </c>
      <c r="AN1950" s="125">
        <f>IFERROR(R1950/AL1950,"")</f>
        <v/>
      </c>
      <c r="AO1950" s="122" t="n">
        <v>0</v>
      </c>
      <c r="AP1950" s="54">
        <f>IFERROR(AO1950/AL1950,"")</f>
        <v/>
      </c>
      <c r="AQ1950" s="125">
        <f>IFERROR(R1950/AO1950,"")</f>
        <v/>
      </c>
      <c r="AR1950" s="122" t="n">
        <v>0</v>
      </c>
      <c r="AS1950" s="122" t="n">
        <v>0</v>
      </c>
      <c r="AT1950" s="122">
        <f>AL1950+AR1950</f>
        <v/>
      </c>
      <c r="AU1950" s="125">
        <f>IFERROR(AO1950*Assumptions!$C$26*Assumptions!$C$27*INDEX(Assumptions!$C$18:$C$21,MATCH(H1950,Assumptions!$B$18:$B$21,0)),0)</f>
        <v/>
      </c>
    </row>
    <row r="1951">
      <c r="A1951" s="120" t="n">
        <v>46237</v>
      </c>
      <c r="B1951" s="66" t="inlineStr">
        <is>
          <t>Wk 32</t>
        </is>
      </c>
      <c r="C1951" s="66" t="inlineStr">
        <is>
          <t>Mon</t>
        </is>
      </c>
      <c r="D1951" s="66" t="inlineStr">
        <is>
          <t>Programmatic</t>
        </is>
      </c>
      <c r="E1951" s="66" t="inlineStr">
        <is>
          <t>DV360</t>
        </is>
      </c>
      <c r="F1951" s="66" t="inlineStr">
        <is>
          <t>LEP_ZA_AUG26_PROG_TD_PROSPECT_DISPLAY</t>
        </is>
      </c>
      <c r="G1951" s="66" t="inlineStr">
        <is>
          <t>Display Prospecting</t>
        </is>
      </c>
      <c r="H1951" s="66" t="inlineStr">
        <is>
          <t>Range</t>
        </is>
      </c>
      <c r="I1951" s="66" t="inlineStr">
        <is>
          <t>Range Offer</t>
        </is>
      </c>
      <c r="J1951" s="66" t="inlineStr">
        <is>
          <t>PROG_GEO_DEALER_RADIUS</t>
        </is>
      </c>
      <c r="K1951" s="66" t="inlineStr">
        <is>
          <t>Prospecting</t>
        </is>
      </c>
      <c r="L1951" s="66" t="inlineStr">
        <is>
          <t>PROG_HTML5_300x250_Dealer_v1</t>
        </is>
      </c>
      <c r="M1951" s="66" t="inlineStr">
        <is>
          <t>HTML5 Display 300x250</t>
        </is>
      </c>
      <c r="N1951" s="66" t="inlineStr">
        <is>
          <t>A dealer near you has slots</t>
        </is>
      </c>
      <c r="O1951" s="66" t="inlineStr">
        <is>
          <t>Programmatic Guaranteed / OA</t>
        </is>
      </c>
      <c r="P1951" s="66" t="inlineStr">
        <is>
          <t>Conversions (CPA)</t>
        </is>
      </c>
      <c r="Q1951" s="66" t="inlineStr">
        <is>
          <t>https://www.lepas-sa.co.za/offers</t>
        </is>
      </c>
      <c r="R1951" s="121" t="n">
        <v>99.39</v>
      </c>
      <c r="S1951" s="122" t="n">
        <v>4845</v>
      </c>
      <c r="T1951" s="122" t="n">
        <v>2553</v>
      </c>
      <c r="U1951" s="123">
        <f>IFERROR(S1951/T1951,"")</f>
        <v/>
      </c>
      <c r="V1951" s="122" t="n">
        <v>19</v>
      </c>
      <c r="W1951" s="122" t="n">
        <v>16</v>
      </c>
      <c r="X1951" s="124">
        <f>IFERROR(W1951/S1951,"")</f>
        <v/>
      </c>
      <c r="Y1951" s="121">
        <f>IFERROR(R1951/W1951,"")</f>
        <v/>
      </c>
      <c r="Z1951" s="121">
        <f>IFERROR(R1951/S1951*1000,"")</f>
        <v/>
      </c>
      <c r="AA1951" s="122" t="n">
        <v>10</v>
      </c>
      <c r="AB1951" s="54">
        <f>IFERROR(AA1951/W1951,"")</f>
        <v/>
      </c>
      <c r="AC1951" s="122" t="n">
        <v>0</v>
      </c>
      <c r="AD1951" s="122" t="n">
        <v>0</v>
      </c>
      <c r="AE1951" s="122" t="n">
        <v>0</v>
      </c>
      <c r="AF1951" s="122" t="n">
        <v>0</v>
      </c>
      <c r="AG1951" s="122" t="n">
        <v>0</v>
      </c>
      <c r="AH1951" s="122" t="n">
        <v>0</v>
      </c>
      <c r="AI1951" s="54">
        <f>IFERROR(AC1951/S1951,"")</f>
        <v/>
      </c>
      <c r="AJ1951" s="54">
        <f>IFERROR(AH1951/S1951,"")</f>
        <v/>
      </c>
      <c r="AK1951" s="122" t="n">
        <v>11</v>
      </c>
      <c r="AL1951" s="122" t="n">
        <v>0</v>
      </c>
      <c r="AM1951" s="124">
        <f>IFERROR(AL1951/AA1951,"")</f>
        <v/>
      </c>
      <c r="AN1951" s="125">
        <f>IFERROR(R1951/AL1951,"")</f>
        <v/>
      </c>
      <c r="AO1951" s="122" t="n">
        <v>0</v>
      </c>
      <c r="AP1951" s="54">
        <f>IFERROR(AO1951/AL1951,"")</f>
        <v/>
      </c>
      <c r="AQ1951" s="125">
        <f>IFERROR(R1951/AO1951,"")</f>
        <v/>
      </c>
      <c r="AR1951" s="122" t="n">
        <v>0</v>
      </c>
      <c r="AS1951" s="122" t="n">
        <v>0</v>
      </c>
      <c r="AT1951" s="122">
        <f>AL1951+AR1951</f>
        <v/>
      </c>
      <c r="AU1951" s="125">
        <f>IFERROR(AO1951*Assumptions!$C$26*Assumptions!$C$27*INDEX(Assumptions!$C$18:$C$21,MATCH(H1951,Assumptions!$B$18:$B$21,0)),0)</f>
        <v/>
      </c>
    </row>
    <row r="1952">
      <c r="A1952" s="120" t="n">
        <v>46238</v>
      </c>
      <c r="B1952" s="66" t="inlineStr">
        <is>
          <t>Wk 32</t>
        </is>
      </c>
      <c r="C1952" s="66" t="inlineStr">
        <is>
          <t>Tue</t>
        </is>
      </c>
      <c r="D1952" s="66" t="inlineStr">
        <is>
          <t>Programmatic</t>
        </is>
      </c>
      <c r="E1952" s="66" t="inlineStr">
        <is>
          <t>DV360</t>
        </is>
      </c>
      <c r="F1952" s="66" t="inlineStr">
        <is>
          <t>LEP_ZA_AUG26_PROG_TD_PROSPECT_DISPLAY</t>
        </is>
      </c>
      <c r="G1952" s="66" t="inlineStr">
        <is>
          <t>Display Prospecting</t>
        </is>
      </c>
      <c r="H1952" s="66" t="inlineStr">
        <is>
          <t>Range</t>
        </is>
      </c>
      <c r="I1952" s="66" t="inlineStr">
        <is>
          <t>Range Offer</t>
        </is>
      </c>
      <c r="J1952" s="66" t="inlineStr">
        <is>
          <t>PROG_GEO_DEALER_RADIUS</t>
        </is>
      </c>
      <c r="K1952" s="66" t="inlineStr">
        <is>
          <t>Prospecting</t>
        </is>
      </c>
      <c r="L1952" s="66" t="inlineStr">
        <is>
          <t>PROG_HTML5_300x250_Dealer_v1</t>
        </is>
      </c>
      <c r="M1952" s="66" t="inlineStr">
        <is>
          <t>HTML5 Display 300x250</t>
        </is>
      </c>
      <c r="N1952" s="66" t="inlineStr">
        <is>
          <t>A dealer near you has slots</t>
        </is>
      </c>
      <c r="O1952" s="66" t="inlineStr">
        <is>
          <t>Programmatic Guaranteed / OA</t>
        </is>
      </c>
      <c r="P1952" s="66" t="inlineStr">
        <is>
          <t>Conversions (CPA)</t>
        </is>
      </c>
      <c r="Q1952" s="66" t="inlineStr">
        <is>
          <t>https://www.lepas-sa.co.za/offers</t>
        </is>
      </c>
      <c r="R1952" s="121" t="n">
        <v>95.93000000000001</v>
      </c>
      <c r="S1952" s="122" t="n">
        <v>3560</v>
      </c>
      <c r="T1952" s="122" t="n">
        <v>1918</v>
      </c>
      <c r="U1952" s="123">
        <f>IFERROR(S1952/T1952,"")</f>
        <v/>
      </c>
      <c r="V1952" s="122" t="n">
        <v>5</v>
      </c>
      <c r="W1952" s="122" t="n">
        <v>4</v>
      </c>
      <c r="X1952" s="124">
        <f>IFERROR(W1952/S1952,"")</f>
        <v/>
      </c>
      <c r="Y1952" s="121">
        <f>IFERROR(R1952/W1952,"")</f>
        <v/>
      </c>
      <c r="Z1952" s="121">
        <f>IFERROR(R1952/S1952*1000,"")</f>
        <v/>
      </c>
      <c r="AA1952" s="122" t="n">
        <v>2</v>
      </c>
      <c r="AB1952" s="54">
        <f>IFERROR(AA1952/W1952,"")</f>
        <v/>
      </c>
      <c r="AC1952" s="122" t="n">
        <v>0</v>
      </c>
      <c r="AD1952" s="122" t="n">
        <v>0</v>
      </c>
      <c r="AE1952" s="122" t="n">
        <v>0</v>
      </c>
      <c r="AF1952" s="122" t="n">
        <v>0</v>
      </c>
      <c r="AG1952" s="122" t="n">
        <v>0</v>
      </c>
      <c r="AH1952" s="122" t="n">
        <v>0</v>
      </c>
      <c r="AI1952" s="54">
        <f>IFERROR(AC1952/S1952,"")</f>
        <v/>
      </c>
      <c r="AJ1952" s="54">
        <f>IFERROR(AH1952/S1952,"")</f>
        <v/>
      </c>
      <c r="AK1952" s="122" t="n">
        <v>9</v>
      </c>
      <c r="AL1952" s="122" t="n">
        <v>0</v>
      </c>
      <c r="AM1952" s="124">
        <f>IFERROR(AL1952/AA1952,"")</f>
        <v/>
      </c>
      <c r="AN1952" s="125">
        <f>IFERROR(R1952/AL1952,"")</f>
        <v/>
      </c>
      <c r="AO1952" s="122" t="n">
        <v>0</v>
      </c>
      <c r="AP1952" s="54">
        <f>IFERROR(AO1952/AL1952,"")</f>
        <v/>
      </c>
      <c r="AQ1952" s="125">
        <f>IFERROR(R1952/AO1952,"")</f>
        <v/>
      </c>
      <c r="AR1952" s="122" t="n">
        <v>0</v>
      </c>
      <c r="AS1952" s="122" t="n">
        <v>0</v>
      </c>
      <c r="AT1952" s="122">
        <f>AL1952+AR1952</f>
        <v/>
      </c>
      <c r="AU1952" s="125">
        <f>IFERROR(AO1952*Assumptions!$C$26*Assumptions!$C$27*INDEX(Assumptions!$C$18:$C$21,MATCH(H1952,Assumptions!$B$18:$B$21,0)),0)</f>
        <v/>
      </c>
    </row>
    <row r="1953">
      <c r="A1953" s="120" t="n">
        <v>46239</v>
      </c>
      <c r="B1953" s="66" t="inlineStr">
        <is>
          <t>Wk 32</t>
        </is>
      </c>
      <c r="C1953" s="66" t="inlineStr">
        <is>
          <t>Wed</t>
        </is>
      </c>
      <c r="D1953" s="66" t="inlineStr">
        <is>
          <t>Programmatic</t>
        </is>
      </c>
      <c r="E1953" s="66" t="inlineStr">
        <is>
          <t>DV360</t>
        </is>
      </c>
      <c r="F1953" s="66" t="inlineStr">
        <is>
          <t>LEP_ZA_AUG26_PROG_TD_PROSPECT_DISPLAY</t>
        </is>
      </c>
      <c r="G1953" s="66" t="inlineStr">
        <is>
          <t>Display Prospecting</t>
        </is>
      </c>
      <c r="H1953" s="66" t="inlineStr">
        <is>
          <t>Range</t>
        </is>
      </c>
      <c r="I1953" s="66" t="inlineStr">
        <is>
          <t>Range Offer</t>
        </is>
      </c>
      <c r="J1953" s="66" t="inlineStr">
        <is>
          <t>PROG_GEO_DEALER_RADIUS</t>
        </is>
      </c>
      <c r="K1953" s="66" t="inlineStr">
        <is>
          <t>Prospecting</t>
        </is>
      </c>
      <c r="L1953" s="66" t="inlineStr">
        <is>
          <t>PROG_HTML5_300x250_Dealer_v1</t>
        </is>
      </c>
      <c r="M1953" s="66" t="inlineStr">
        <is>
          <t>HTML5 Display 300x250</t>
        </is>
      </c>
      <c r="N1953" s="66" t="inlineStr">
        <is>
          <t>A dealer near you has slots</t>
        </is>
      </c>
      <c r="O1953" s="66" t="inlineStr">
        <is>
          <t>Programmatic Guaranteed / OA</t>
        </is>
      </c>
      <c r="P1953" s="66" t="inlineStr">
        <is>
          <t>Conversions (CPA)</t>
        </is>
      </c>
      <c r="Q1953" s="66" t="inlineStr">
        <is>
          <t>https://www.lepas-sa.co.za/offers</t>
        </is>
      </c>
      <c r="R1953" s="121" t="n">
        <v>127.4</v>
      </c>
      <c r="S1953" s="122" t="n">
        <v>5835</v>
      </c>
      <c r="T1953" s="122" t="n">
        <v>3478</v>
      </c>
      <c r="U1953" s="123">
        <f>IFERROR(S1953/T1953,"")</f>
        <v/>
      </c>
      <c r="V1953" s="122" t="n">
        <v>17</v>
      </c>
      <c r="W1953" s="122" t="n">
        <v>14</v>
      </c>
      <c r="X1953" s="124">
        <f>IFERROR(W1953/S1953,"")</f>
        <v/>
      </c>
      <c r="Y1953" s="121">
        <f>IFERROR(R1953/W1953,"")</f>
        <v/>
      </c>
      <c r="Z1953" s="121">
        <f>IFERROR(R1953/S1953*1000,"")</f>
        <v/>
      </c>
      <c r="AA1953" s="122" t="n">
        <v>9</v>
      </c>
      <c r="AB1953" s="54">
        <f>IFERROR(AA1953/W1953,"")</f>
        <v/>
      </c>
      <c r="AC1953" s="122" t="n">
        <v>0</v>
      </c>
      <c r="AD1953" s="122" t="n">
        <v>0</v>
      </c>
      <c r="AE1953" s="122" t="n">
        <v>0</v>
      </c>
      <c r="AF1953" s="122" t="n">
        <v>0</v>
      </c>
      <c r="AG1953" s="122" t="n">
        <v>0</v>
      </c>
      <c r="AH1953" s="122" t="n">
        <v>0</v>
      </c>
      <c r="AI1953" s="54">
        <f>IFERROR(AC1953/S1953,"")</f>
        <v/>
      </c>
      <c r="AJ1953" s="54">
        <f>IFERROR(AH1953/S1953,"")</f>
        <v/>
      </c>
      <c r="AK1953" s="122" t="n">
        <v>13</v>
      </c>
      <c r="AL1953" s="122" t="n">
        <v>0</v>
      </c>
      <c r="AM1953" s="124">
        <f>IFERROR(AL1953/AA1953,"")</f>
        <v/>
      </c>
      <c r="AN1953" s="125">
        <f>IFERROR(R1953/AL1953,"")</f>
        <v/>
      </c>
      <c r="AO1953" s="122" t="n">
        <v>0</v>
      </c>
      <c r="AP1953" s="54">
        <f>IFERROR(AO1953/AL1953,"")</f>
        <v/>
      </c>
      <c r="AQ1953" s="125">
        <f>IFERROR(R1953/AO1953,"")</f>
        <v/>
      </c>
      <c r="AR1953" s="122" t="n">
        <v>0</v>
      </c>
      <c r="AS1953" s="122" t="n">
        <v>0</v>
      </c>
      <c r="AT1953" s="122">
        <f>AL1953+AR1953</f>
        <v/>
      </c>
      <c r="AU1953" s="125">
        <f>IFERROR(AO1953*Assumptions!$C$26*Assumptions!$C$27*INDEX(Assumptions!$C$18:$C$21,MATCH(H1953,Assumptions!$B$18:$B$21,0)),0)</f>
        <v/>
      </c>
    </row>
    <row r="1954">
      <c r="A1954" s="120" t="n">
        <v>46240</v>
      </c>
      <c r="B1954" s="66" t="inlineStr">
        <is>
          <t>Wk 32</t>
        </is>
      </c>
      <c r="C1954" s="66" t="inlineStr">
        <is>
          <t>Thu</t>
        </is>
      </c>
      <c r="D1954" s="66" t="inlineStr">
        <is>
          <t>Programmatic</t>
        </is>
      </c>
      <c r="E1954" s="66" t="inlineStr">
        <is>
          <t>DV360</t>
        </is>
      </c>
      <c r="F1954" s="66" t="inlineStr">
        <is>
          <t>LEP_ZA_AUG26_PROG_TD_PROSPECT_DISPLAY</t>
        </is>
      </c>
      <c r="G1954" s="66" t="inlineStr">
        <is>
          <t>Display Prospecting</t>
        </is>
      </c>
      <c r="H1954" s="66" t="inlineStr">
        <is>
          <t>Range</t>
        </is>
      </c>
      <c r="I1954" s="66" t="inlineStr">
        <is>
          <t>Range Offer</t>
        </is>
      </c>
      <c r="J1954" s="66" t="inlineStr">
        <is>
          <t>PROG_GEO_DEALER_RADIUS</t>
        </is>
      </c>
      <c r="K1954" s="66" t="inlineStr">
        <is>
          <t>Prospecting</t>
        </is>
      </c>
      <c r="L1954" s="66" t="inlineStr">
        <is>
          <t>PROG_HTML5_300x250_Dealer_v1</t>
        </is>
      </c>
      <c r="M1954" s="66" t="inlineStr">
        <is>
          <t>HTML5 Display 300x250</t>
        </is>
      </c>
      <c r="N1954" s="66" t="inlineStr">
        <is>
          <t>A dealer near you has slots</t>
        </is>
      </c>
      <c r="O1954" s="66" t="inlineStr">
        <is>
          <t>Programmatic Guaranteed / OA</t>
        </is>
      </c>
      <c r="P1954" s="66" t="inlineStr">
        <is>
          <t>Conversions (CPA)</t>
        </is>
      </c>
      <c r="Q1954" s="66" t="inlineStr">
        <is>
          <t>https://www.lepas-sa.co.za/offers</t>
        </is>
      </c>
      <c r="R1954" s="121" t="n">
        <v>130.19</v>
      </c>
      <c r="S1954" s="122" t="n">
        <v>7316</v>
      </c>
      <c r="T1954" s="122" t="n">
        <v>3219</v>
      </c>
      <c r="U1954" s="123">
        <f>IFERROR(S1954/T1954,"")</f>
        <v/>
      </c>
      <c r="V1954" s="122" t="n">
        <v>10</v>
      </c>
      <c r="W1954" s="122" t="n">
        <v>8</v>
      </c>
      <c r="X1954" s="124">
        <f>IFERROR(W1954/S1954,"")</f>
        <v/>
      </c>
      <c r="Y1954" s="121">
        <f>IFERROR(R1954/W1954,"")</f>
        <v/>
      </c>
      <c r="Z1954" s="121">
        <f>IFERROR(R1954/S1954*1000,"")</f>
        <v/>
      </c>
      <c r="AA1954" s="122" t="n">
        <v>5</v>
      </c>
      <c r="AB1954" s="54">
        <f>IFERROR(AA1954/W1954,"")</f>
        <v/>
      </c>
      <c r="AC1954" s="122" t="n">
        <v>0</v>
      </c>
      <c r="AD1954" s="122" t="n">
        <v>0</v>
      </c>
      <c r="AE1954" s="122" t="n">
        <v>0</v>
      </c>
      <c r="AF1954" s="122" t="n">
        <v>0</v>
      </c>
      <c r="AG1954" s="122" t="n">
        <v>0</v>
      </c>
      <c r="AH1954" s="122" t="n">
        <v>0</v>
      </c>
      <c r="AI1954" s="54">
        <f>IFERROR(AC1954/S1954,"")</f>
        <v/>
      </c>
      <c r="AJ1954" s="54">
        <f>IFERROR(AH1954/S1954,"")</f>
        <v/>
      </c>
      <c r="AK1954" s="122" t="n">
        <v>36</v>
      </c>
      <c r="AL1954" s="122" t="n">
        <v>0</v>
      </c>
      <c r="AM1954" s="124">
        <f>IFERROR(AL1954/AA1954,"")</f>
        <v/>
      </c>
      <c r="AN1954" s="125">
        <f>IFERROR(R1954/AL1954,"")</f>
        <v/>
      </c>
      <c r="AO1954" s="122" t="n">
        <v>0</v>
      </c>
      <c r="AP1954" s="54">
        <f>IFERROR(AO1954/AL1954,"")</f>
        <v/>
      </c>
      <c r="AQ1954" s="125">
        <f>IFERROR(R1954/AO1954,"")</f>
        <v/>
      </c>
      <c r="AR1954" s="122" t="n">
        <v>0</v>
      </c>
      <c r="AS1954" s="122" t="n">
        <v>0</v>
      </c>
      <c r="AT1954" s="122">
        <f>AL1954+AR1954</f>
        <v/>
      </c>
      <c r="AU1954" s="125">
        <f>IFERROR(AO1954*Assumptions!$C$26*Assumptions!$C$27*INDEX(Assumptions!$C$18:$C$21,MATCH(H1954,Assumptions!$B$18:$B$21,0)),0)</f>
        <v/>
      </c>
    </row>
    <row r="1955">
      <c r="A1955" s="120" t="n">
        <v>46241</v>
      </c>
      <c r="B1955" s="66" t="inlineStr">
        <is>
          <t>Wk 32</t>
        </is>
      </c>
      <c r="C1955" s="66" t="inlineStr">
        <is>
          <t>Fri</t>
        </is>
      </c>
      <c r="D1955" s="66" t="inlineStr">
        <is>
          <t>Programmatic</t>
        </is>
      </c>
      <c r="E1955" s="66" t="inlineStr">
        <is>
          <t>DV360</t>
        </is>
      </c>
      <c r="F1955" s="66" t="inlineStr">
        <is>
          <t>LEP_ZA_AUG26_PROG_TD_PROSPECT_DISPLAY</t>
        </is>
      </c>
      <c r="G1955" s="66" t="inlineStr">
        <is>
          <t>Display Prospecting</t>
        </is>
      </c>
      <c r="H1955" s="66" t="inlineStr">
        <is>
          <t>Range</t>
        </is>
      </c>
      <c r="I1955" s="66" t="inlineStr">
        <is>
          <t>Range Offer</t>
        </is>
      </c>
      <c r="J1955" s="66" t="inlineStr">
        <is>
          <t>PROG_GEO_DEALER_RADIUS</t>
        </is>
      </c>
      <c r="K1955" s="66" t="inlineStr">
        <is>
          <t>Prospecting</t>
        </is>
      </c>
      <c r="L1955" s="66" t="inlineStr">
        <is>
          <t>PROG_HTML5_300x250_Dealer_v1</t>
        </is>
      </c>
      <c r="M1955" s="66" t="inlineStr">
        <is>
          <t>HTML5 Display 300x250</t>
        </is>
      </c>
      <c r="N1955" s="66" t="inlineStr">
        <is>
          <t>A dealer near you has slots</t>
        </is>
      </c>
      <c r="O1955" s="66" t="inlineStr">
        <is>
          <t>Programmatic Guaranteed / OA</t>
        </is>
      </c>
      <c r="P1955" s="66" t="inlineStr">
        <is>
          <t>Conversions (CPA)</t>
        </is>
      </c>
      <c r="Q1955" s="66" t="inlineStr">
        <is>
          <t>https://www.lepas-sa.co.za/offers</t>
        </is>
      </c>
      <c r="R1955" s="121" t="n">
        <v>134.34</v>
      </c>
      <c r="S1955" s="122" t="n">
        <v>7698</v>
      </c>
      <c r="T1955" s="122" t="n">
        <v>3752</v>
      </c>
      <c r="U1955" s="123">
        <f>IFERROR(S1955/T1955,"")</f>
        <v/>
      </c>
      <c r="V1955" s="122" t="n">
        <v>24</v>
      </c>
      <c r="W1955" s="122" t="n">
        <v>19</v>
      </c>
      <c r="X1955" s="124">
        <f>IFERROR(W1955/S1955,"")</f>
        <v/>
      </c>
      <c r="Y1955" s="121">
        <f>IFERROR(R1955/W1955,"")</f>
        <v/>
      </c>
      <c r="Z1955" s="121">
        <f>IFERROR(R1955/S1955*1000,"")</f>
        <v/>
      </c>
      <c r="AA1955" s="122" t="n">
        <v>11</v>
      </c>
      <c r="AB1955" s="54">
        <f>IFERROR(AA1955/W1955,"")</f>
        <v/>
      </c>
      <c r="AC1955" s="122" t="n">
        <v>0</v>
      </c>
      <c r="AD1955" s="122" t="n">
        <v>0</v>
      </c>
      <c r="AE1955" s="122" t="n">
        <v>0</v>
      </c>
      <c r="AF1955" s="122" t="n">
        <v>0</v>
      </c>
      <c r="AG1955" s="122" t="n">
        <v>0</v>
      </c>
      <c r="AH1955" s="122" t="n">
        <v>0</v>
      </c>
      <c r="AI1955" s="54">
        <f>IFERROR(AC1955/S1955,"")</f>
        <v/>
      </c>
      <c r="AJ1955" s="54">
        <f>IFERROR(AH1955/S1955,"")</f>
        <v/>
      </c>
      <c r="AK1955" s="122" t="n">
        <v>20</v>
      </c>
      <c r="AL1955" s="122" t="n">
        <v>0</v>
      </c>
      <c r="AM1955" s="124">
        <f>IFERROR(AL1955/AA1955,"")</f>
        <v/>
      </c>
      <c r="AN1955" s="125">
        <f>IFERROR(R1955/AL1955,"")</f>
        <v/>
      </c>
      <c r="AO1955" s="122" t="n">
        <v>0</v>
      </c>
      <c r="AP1955" s="54">
        <f>IFERROR(AO1955/AL1955,"")</f>
        <v/>
      </c>
      <c r="AQ1955" s="125">
        <f>IFERROR(R1955/AO1955,"")</f>
        <v/>
      </c>
      <c r="AR1955" s="122" t="n">
        <v>0</v>
      </c>
      <c r="AS1955" s="122" t="n">
        <v>0</v>
      </c>
      <c r="AT1955" s="122">
        <f>AL1955+AR1955</f>
        <v/>
      </c>
      <c r="AU1955" s="125">
        <f>IFERROR(AO1955*Assumptions!$C$26*Assumptions!$C$27*INDEX(Assumptions!$C$18:$C$21,MATCH(H1955,Assumptions!$B$18:$B$21,0)),0)</f>
        <v/>
      </c>
    </row>
    <row r="1956">
      <c r="A1956" s="120" t="n">
        <v>46242</v>
      </c>
      <c r="B1956" s="66" t="inlineStr">
        <is>
          <t>Wk 32</t>
        </is>
      </c>
      <c r="C1956" s="66" t="inlineStr">
        <is>
          <t>Sat</t>
        </is>
      </c>
      <c r="D1956" s="66" t="inlineStr">
        <is>
          <t>Programmatic</t>
        </is>
      </c>
      <c r="E1956" s="66" t="inlineStr">
        <is>
          <t>DV360</t>
        </is>
      </c>
      <c r="F1956" s="66" t="inlineStr">
        <is>
          <t>LEP_ZA_AUG26_PROG_TD_PROSPECT_DISPLAY</t>
        </is>
      </c>
      <c r="G1956" s="66" t="inlineStr">
        <is>
          <t>Display Prospecting</t>
        </is>
      </c>
      <c r="H1956" s="66" t="inlineStr">
        <is>
          <t>Range</t>
        </is>
      </c>
      <c r="I1956" s="66" t="inlineStr">
        <is>
          <t>Range Offer</t>
        </is>
      </c>
      <c r="J1956" s="66" t="inlineStr">
        <is>
          <t>PROG_GEO_DEALER_RADIUS</t>
        </is>
      </c>
      <c r="K1956" s="66" t="inlineStr">
        <is>
          <t>Prospecting</t>
        </is>
      </c>
      <c r="L1956" s="66" t="inlineStr">
        <is>
          <t>PROG_HTML5_300x250_Dealer_v1</t>
        </is>
      </c>
      <c r="M1956" s="66" t="inlineStr">
        <is>
          <t>HTML5 Display 300x250</t>
        </is>
      </c>
      <c r="N1956" s="66" t="inlineStr">
        <is>
          <t>A dealer near you has slots</t>
        </is>
      </c>
      <c r="O1956" s="66" t="inlineStr">
        <is>
          <t>Programmatic Guaranteed / OA</t>
        </is>
      </c>
      <c r="P1956" s="66" t="inlineStr">
        <is>
          <t>Conversions (CPA)</t>
        </is>
      </c>
      <c r="Q1956" s="66" t="inlineStr">
        <is>
          <t>https://www.lepas-sa.co.za/offers</t>
        </is>
      </c>
      <c r="R1956" s="121" t="n">
        <v>139.28</v>
      </c>
      <c r="S1956" s="122" t="n">
        <v>6558</v>
      </c>
      <c r="T1956" s="122" t="n">
        <v>3209</v>
      </c>
      <c r="U1956" s="123">
        <f>IFERROR(S1956/T1956,"")</f>
        <v/>
      </c>
      <c r="V1956" s="122" t="n">
        <v>24</v>
      </c>
      <c r="W1956" s="122" t="n">
        <v>17</v>
      </c>
      <c r="X1956" s="124">
        <f>IFERROR(W1956/S1956,"")</f>
        <v/>
      </c>
      <c r="Y1956" s="121">
        <f>IFERROR(R1956/W1956,"")</f>
        <v/>
      </c>
      <c r="Z1956" s="121">
        <f>IFERROR(R1956/S1956*1000,"")</f>
        <v/>
      </c>
      <c r="AA1956" s="122" t="n">
        <v>11</v>
      </c>
      <c r="AB1956" s="54">
        <f>IFERROR(AA1956/W1956,"")</f>
        <v/>
      </c>
      <c r="AC1956" s="122" t="n">
        <v>0</v>
      </c>
      <c r="AD1956" s="122" t="n">
        <v>0</v>
      </c>
      <c r="AE1956" s="122" t="n">
        <v>0</v>
      </c>
      <c r="AF1956" s="122" t="n">
        <v>0</v>
      </c>
      <c r="AG1956" s="122" t="n">
        <v>0</v>
      </c>
      <c r="AH1956" s="122" t="n">
        <v>0</v>
      </c>
      <c r="AI1956" s="54">
        <f>IFERROR(AC1956/S1956,"")</f>
        <v/>
      </c>
      <c r="AJ1956" s="54">
        <f>IFERROR(AH1956/S1956,"")</f>
        <v/>
      </c>
      <c r="AK1956" s="122" t="n">
        <v>35</v>
      </c>
      <c r="AL1956" s="122" t="n">
        <v>0</v>
      </c>
      <c r="AM1956" s="124">
        <f>IFERROR(AL1956/AA1956,"")</f>
        <v/>
      </c>
      <c r="AN1956" s="125">
        <f>IFERROR(R1956/AL1956,"")</f>
        <v/>
      </c>
      <c r="AO1956" s="122" t="n">
        <v>0</v>
      </c>
      <c r="AP1956" s="54">
        <f>IFERROR(AO1956/AL1956,"")</f>
        <v/>
      </c>
      <c r="AQ1956" s="125">
        <f>IFERROR(R1956/AO1956,"")</f>
        <v/>
      </c>
      <c r="AR1956" s="122" t="n">
        <v>0</v>
      </c>
      <c r="AS1956" s="122" t="n">
        <v>0</v>
      </c>
      <c r="AT1956" s="122">
        <f>AL1956+AR1956</f>
        <v/>
      </c>
      <c r="AU1956" s="125">
        <f>IFERROR(AO1956*Assumptions!$C$26*Assumptions!$C$27*INDEX(Assumptions!$C$18:$C$21,MATCH(H1956,Assumptions!$B$18:$B$21,0)),0)</f>
        <v/>
      </c>
    </row>
    <row r="1957">
      <c r="A1957" s="120" t="n">
        <v>46243</v>
      </c>
      <c r="B1957" s="66" t="inlineStr">
        <is>
          <t>Wk 32</t>
        </is>
      </c>
      <c r="C1957" s="66" t="inlineStr">
        <is>
          <t>Sun</t>
        </is>
      </c>
      <c r="D1957" s="66" t="inlineStr">
        <is>
          <t>Programmatic</t>
        </is>
      </c>
      <c r="E1957" s="66" t="inlineStr">
        <is>
          <t>DV360</t>
        </is>
      </c>
      <c r="F1957" s="66" t="inlineStr">
        <is>
          <t>LEP_ZA_AUG26_PROG_TD_PROSPECT_DISPLAY</t>
        </is>
      </c>
      <c r="G1957" s="66" t="inlineStr">
        <is>
          <t>Display Prospecting</t>
        </is>
      </c>
      <c r="H1957" s="66" t="inlineStr">
        <is>
          <t>Range</t>
        </is>
      </c>
      <c r="I1957" s="66" t="inlineStr">
        <is>
          <t>Range Offer</t>
        </is>
      </c>
      <c r="J1957" s="66" t="inlineStr">
        <is>
          <t>PROG_GEO_DEALER_RADIUS</t>
        </is>
      </c>
      <c r="K1957" s="66" t="inlineStr">
        <is>
          <t>Prospecting</t>
        </is>
      </c>
      <c r="L1957" s="66" t="inlineStr">
        <is>
          <t>PROG_HTML5_300x250_Dealer_v1</t>
        </is>
      </c>
      <c r="M1957" s="66" t="inlineStr">
        <is>
          <t>HTML5 Display 300x250</t>
        </is>
      </c>
      <c r="N1957" s="66" t="inlineStr">
        <is>
          <t>A dealer near you has slots</t>
        </is>
      </c>
      <c r="O1957" s="66" t="inlineStr">
        <is>
          <t>Programmatic Guaranteed / OA</t>
        </is>
      </c>
      <c r="P1957" s="66" t="inlineStr">
        <is>
          <t>Conversions (CPA)</t>
        </is>
      </c>
      <c r="Q1957" s="66" t="inlineStr">
        <is>
          <t>https://www.lepas-sa.co.za/offers</t>
        </is>
      </c>
      <c r="R1957" s="121" t="n">
        <v>108.29</v>
      </c>
      <c r="S1957" s="122" t="n">
        <v>3468</v>
      </c>
      <c r="T1957" s="122" t="n">
        <v>1668</v>
      </c>
      <c r="U1957" s="123">
        <f>IFERROR(S1957/T1957,"")</f>
        <v/>
      </c>
      <c r="V1957" s="122" t="n">
        <v>5</v>
      </c>
      <c r="W1957" s="122" t="n">
        <v>4</v>
      </c>
      <c r="X1957" s="124">
        <f>IFERROR(W1957/S1957,"")</f>
        <v/>
      </c>
      <c r="Y1957" s="121">
        <f>IFERROR(R1957/W1957,"")</f>
        <v/>
      </c>
      <c r="Z1957" s="121">
        <f>IFERROR(R1957/S1957*1000,"")</f>
        <v/>
      </c>
      <c r="AA1957" s="122" t="n">
        <v>2</v>
      </c>
      <c r="AB1957" s="54">
        <f>IFERROR(AA1957/W1957,"")</f>
        <v/>
      </c>
      <c r="AC1957" s="122" t="n">
        <v>0</v>
      </c>
      <c r="AD1957" s="122" t="n">
        <v>0</v>
      </c>
      <c r="AE1957" s="122" t="n">
        <v>0</v>
      </c>
      <c r="AF1957" s="122" t="n">
        <v>0</v>
      </c>
      <c r="AG1957" s="122" t="n">
        <v>0</v>
      </c>
      <c r="AH1957" s="122" t="n">
        <v>0</v>
      </c>
      <c r="AI1957" s="54">
        <f>IFERROR(AC1957/S1957,"")</f>
        <v/>
      </c>
      <c r="AJ1957" s="54">
        <f>IFERROR(AH1957/S1957,"")</f>
        <v/>
      </c>
      <c r="AK1957" s="122" t="n">
        <v>18</v>
      </c>
      <c r="AL1957" s="122" t="n">
        <v>0</v>
      </c>
      <c r="AM1957" s="124">
        <f>IFERROR(AL1957/AA1957,"")</f>
        <v/>
      </c>
      <c r="AN1957" s="125">
        <f>IFERROR(R1957/AL1957,"")</f>
        <v/>
      </c>
      <c r="AO1957" s="122" t="n">
        <v>0</v>
      </c>
      <c r="AP1957" s="54">
        <f>IFERROR(AO1957/AL1957,"")</f>
        <v/>
      </c>
      <c r="AQ1957" s="125">
        <f>IFERROR(R1957/AO1957,"")</f>
        <v/>
      </c>
      <c r="AR1957" s="122" t="n">
        <v>0</v>
      </c>
      <c r="AS1957" s="122" t="n">
        <v>0</v>
      </c>
      <c r="AT1957" s="122">
        <f>AL1957+AR1957</f>
        <v/>
      </c>
      <c r="AU1957" s="125">
        <f>IFERROR(AO1957*Assumptions!$C$26*Assumptions!$C$27*INDEX(Assumptions!$C$18:$C$21,MATCH(H1957,Assumptions!$B$18:$B$21,0)),0)</f>
        <v/>
      </c>
    </row>
    <row r="1958">
      <c r="A1958" s="120" t="n">
        <v>46244</v>
      </c>
      <c r="B1958" s="66" t="inlineStr">
        <is>
          <t>Wk 33</t>
        </is>
      </c>
      <c r="C1958" s="66" t="inlineStr">
        <is>
          <t>Mon</t>
        </is>
      </c>
      <c r="D1958" s="66" t="inlineStr">
        <is>
          <t>Programmatic</t>
        </is>
      </c>
      <c r="E1958" s="66" t="inlineStr">
        <is>
          <t>DV360</t>
        </is>
      </c>
      <c r="F1958" s="66" t="inlineStr">
        <is>
          <t>LEP_ZA_AUG26_PROG_TD_PROSPECT_DISPLAY</t>
        </is>
      </c>
      <c r="G1958" s="66" t="inlineStr">
        <is>
          <t>Display Prospecting</t>
        </is>
      </c>
      <c r="H1958" s="66" t="inlineStr">
        <is>
          <t>Range</t>
        </is>
      </c>
      <c r="I1958" s="66" t="inlineStr">
        <is>
          <t>Range Offer</t>
        </is>
      </c>
      <c r="J1958" s="66" t="inlineStr">
        <is>
          <t>PROG_GEO_DEALER_RADIUS</t>
        </is>
      </c>
      <c r="K1958" s="66" t="inlineStr">
        <is>
          <t>Prospecting</t>
        </is>
      </c>
      <c r="L1958" s="66" t="inlineStr">
        <is>
          <t>PROG_HTML5_300x250_Dealer_v1</t>
        </is>
      </c>
      <c r="M1958" s="66" t="inlineStr">
        <is>
          <t>HTML5 Display 300x250</t>
        </is>
      </c>
      <c r="N1958" s="66" t="inlineStr">
        <is>
          <t>A dealer near you has slots</t>
        </is>
      </c>
      <c r="O1958" s="66" t="inlineStr">
        <is>
          <t>Programmatic Guaranteed / OA</t>
        </is>
      </c>
      <c r="P1958" s="66" t="inlineStr">
        <is>
          <t>Conversions (CPA)</t>
        </is>
      </c>
      <c r="Q1958" s="66" t="inlineStr">
        <is>
          <t>https://www.lepas-sa.co.za/offers</t>
        </is>
      </c>
      <c r="R1958" s="121" t="n">
        <v>123.07</v>
      </c>
      <c r="S1958" s="122" t="n">
        <v>5202</v>
      </c>
      <c r="T1958" s="122" t="n">
        <v>3004</v>
      </c>
      <c r="U1958" s="123">
        <f>IFERROR(S1958/T1958,"")</f>
        <v/>
      </c>
      <c r="V1958" s="122" t="n">
        <v>13</v>
      </c>
      <c r="W1958" s="122" t="n">
        <v>10</v>
      </c>
      <c r="X1958" s="124">
        <f>IFERROR(W1958/S1958,"")</f>
        <v/>
      </c>
      <c r="Y1958" s="121">
        <f>IFERROR(R1958/W1958,"")</f>
        <v/>
      </c>
      <c r="Z1958" s="121">
        <f>IFERROR(R1958/S1958*1000,"")</f>
        <v/>
      </c>
      <c r="AA1958" s="122" t="n">
        <v>7</v>
      </c>
      <c r="AB1958" s="54">
        <f>IFERROR(AA1958/W1958,"")</f>
        <v/>
      </c>
      <c r="AC1958" s="122" t="n">
        <v>0</v>
      </c>
      <c r="AD1958" s="122" t="n">
        <v>0</v>
      </c>
      <c r="AE1958" s="122" t="n">
        <v>0</v>
      </c>
      <c r="AF1958" s="122" t="n">
        <v>0</v>
      </c>
      <c r="AG1958" s="122" t="n">
        <v>0</v>
      </c>
      <c r="AH1958" s="122" t="n">
        <v>0</v>
      </c>
      <c r="AI1958" s="54">
        <f>IFERROR(AC1958/S1958,"")</f>
        <v/>
      </c>
      <c r="AJ1958" s="54">
        <f>IFERROR(AH1958/S1958,"")</f>
        <v/>
      </c>
      <c r="AK1958" s="122" t="n">
        <v>14</v>
      </c>
      <c r="AL1958" s="122" t="n">
        <v>0</v>
      </c>
      <c r="AM1958" s="124">
        <f>IFERROR(AL1958/AA1958,"")</f>
        <v/>
      </c>
      <c r="AN1958" s="125">
        <f>IFERROR(R1958/AL1958,"")</f>
        <v/>
      </c>
      <c r="AO1958" s="122" t="n">
        <v>0</v>
      </c>
      <c r="AP1958" s="54">
        <f>IFERROR(AO1958/AL1958,"")</f>
        <v/>
      </c>
      <c r="AQ1958" s="125">
        <f>IFERROR(R1958/AO1958,"")</f>
        <v/>
      </c>
      <c r="AR1958" s="122" t="n">
        <v>0</v>
      </c>
      <c r="AS1958" s="122" t="n">
        <v>0</v>
      </c>
      <c r="AT1958" s="122">
        <f>AL1958+AR1958</f>
        <v/>
      </c>
      <c r="AU1958" s="125">
        <f>IFERROR(AO1958*Assumptions!$C$26*Assumptions!$C$27*INDEX(Assumptions!$C$18:$C$21,MATCH(H1958,Assumptions!$B$18:$B$21,0)),0)</f>
        <v/>
      </c>
    </row>
    <row r="1959">
      <c r="A1959" s="120" t="n">
        <v>46245</v>
      </c>
      <c r="B1959" s="66" t="inlineStr">
        <is>
          <t>Wk 33</t>
        </is>
      </c>
      <c r="C1959" s="66" t="inlineStr">
        <is>
          <t>Tue</t>
        </is>
      </c>
      <c r="D1959" s="66" t="inlineStr">
        <is>
          <t>Programmatic</t>
        </is>
      </c>
      <c r="E1959" s="66" t="inlineStr">
        <is>
          <t>DV360</t>
        </is>
      </c>
      <c r="F1959" s="66" t="inlineStr">
        <is>
          <t>LEP_ZA_AUG26_PROG_TD_PROSPECT_DISPLAY</t>
        </is>
      </c>
      <c r="G1959" s="66" t="inlineStr">
        <is>
          <t>Display Prospecting</t>
        </is>
      </c>
      <c r="H1959" s="66" t="inlineStr">
        <is>
          <t>Range</t>
        </is>
      </c>
      <c r="I1959" s="66" t="inlineStr">
        <is>
          <t>Range Offer</t>
        </is>
      </c>
      <c r="J1959" s="66" t="inlineStr">
        <is>
          <t>PROG_GEO_DEALER_RADIUS</t>
        </is>
      </c>
      <c r="K1959" s="66" t="inlineStr">
        <is>
          <t>Prospecting</t>
        </is>
      </c>
      <c r="L1959" s="66" t="inlineStr">
        <is>
          <t>PROG_HTML5_300x250_Dealer_v1</t>
        </is>
      </c>
      <c r="M1959" s="66" t="inlineStr">
        <is>
          <t>HTML5 Display 300x250</t>
        </is>
      </c>
      <c r="N1959" s="66" t="inlineStr">
        <is>
          <t>A dealer near you has slots</t>
        </is>
      </c>
      <c r="O1959" s="66" t="inlineStr">
        <is>
          <t>Programmatic Guaranteed / OA</t>
        </is>
      </c>
      <c r="P1959" s="66" t="inlineStr">
        <is>
          <t>Conversions (CPA)</t>
        </is>
      </c>
      <c r="Q1959" s="66" t="inlineStr">
        <is>
          <t>https://www.lepas-sa.co.za/offers</t>
        </is>
      </c>
      <c r="R1959" s="121" t="n">
        <v>94.65000000000001</v>
      </c>
      <c r="S1959" s="122" t="n">
        <v>3752</v>
      </c>
      <c r="T1959" s="122" t="n">
        <v>2045</v>
      </c>
      <c r="U1959" s="123">
        <f>IFERROR(S1959/T1959,"")</f>
        <v/>
      </c>
      <c r="V1959" s="122" t="n">
        <v>7</v>
      </c>
      <c r="W1959" s="122" t="n">
        <v>5</v>
      </c>
      <c r="X1959" s="124">
        <f>IFERROR(W1959/S1959,"")</f>
        <v/>
      </c>
      <c r="Y1959" s="121">
        <f>IFERROR(R1959/W1959,"")</f>
        <v/>
      </c>
      <c r="Z1959" s="121">
        <f>IFERROR(R1959/S1959*1000,"")</f>
        <v/>
      </c>
      <c r="AA1959" s="122" t="n">
        <v>4</v>
      </c>
      <c r="AB1959" s="54">
        <f>IFERROR(AA1959/W1959,"")</f>
        <v/>
      </c>
      <c r="AC1959" s="122" t="n">
        <v>0</v>
      </c>
      <c r="AD1959" s="122" t="n">
        <v>0</v>
      </c>
      <c r="AE1959" s="122" t="n">
        <v>0</v>
      </c>
      <c r="AF1959" s="122" t="n">
        <v>0</v>
      </c>
      <c r="AG1959" s="122" t="n">
        <v>0</v>
      </c>
      <c r="AH1959" s="122" t="n">
        <v>0</v>
      </c>
      <c r="AI1959" s="54">
        <f>IFERROR(AC1959/S1959,"")</f>
        <v/>
      </c>
      <c r="AJ1959" s="54">
        <f>IFERROR(AH1959/S1959,"")</f>
        <v/>
      </c>
      <c r="AK1959" s="122" t="n">
        <v>7</v>
      </c>
      <c r="AL1959" s="122" t="n">
        <v>0</v>
      </c>
      <c r="AM1959" s="124">
        <f>IFERROR(AL1959/AA1959,"")</f>
        <v/>
      </c>
      <c r="AN1959" s="125">
        <f>IFERROR(R1959/AL1959,"")</f>
        <v/>
      </c>
      <c r="AO1959" s="122" t="n">
        <v>0</v>
      </c>
      <c r="AP1959" s="54">
        <f>IFERROR(AO1959/AL1959,"")</f>
        <v/>
      </c>
      <c r="AQ1959" s="125">
        <f>IFERROR(R1959/AO1959,"")</f>
        <v/>
      </c>
      <c r="AR1959" s="122" t="n">
        <v>0</v>
      </c>
      <c r="AS1959" s="122" t="n">
        <v>0</v>
      </c>
      <c r="AT1959" s="122">
        <f>AL1959+AR1959</f>
        <v/>
      </c>
      <c r="AU1959" s="125">
        <f>IFERROR(AO1959*Assumptions!$C$26*Assumptions!$C$27*INDEX(Assumptions!$C$18:$C$21,MATCH(H1959,Assumptions!$B$18:$B$21,0)),0)</f>
        <v/>
      </c>
    </row>
    <row r="1960">
      <c r="A1960" s="120" t="n">
        <v>46246</v>
      </c>
      <c r="B1960" s="66" t="inlineStr">
        <is>
          <t>Wk 33</t>
        </is>
      </c>
      <c r="C1960" s="66" t="inlineStr">
        <is>
          <t>Wed</t>
        </is>
      </c>
      <c r="D1960" s="66" t="inlineStr">
        <is>
          <t>Programmatic</t>
        </is>
      </c>
      <c r="E1960" s="66" t="inlineStr">
        <is>
          <t>DV360</t>
        </is>
      </c>
      <c r="F1960" s="66" t="inlineStr">
        <is>
          <t>LEP_ZA_AUG26_PROG_TD_PROSPECT_DISPLAY</t>
        </is>
      </c>
      <c r="G1960" s="66" t="inlineStr">
        <is>
          <t>Display Prospecting</t>
        </is>
      </c>
      <c r="H1960" s="66" t="inlineStr">
        <is>
          <t>Range</t>
        </is>
      </c>
      <c r="I1960" s="66" t="inlineStr">
        <is>
          <t>Range Offer</t>
        </is>
      </c>
      <c r="J1960" s="66" t="inlineStr">
        <is>
          <t>PROG_GEO_DEALER_RADIUS</t>
        </is>
      </c>
      <c r="K1960" s="66" t="inlineStr">
        <is>
          <t>Prospecting</t>
        </is>
      </c>
      <c r="L1960" s="66" t="inlineStr">
        <is>
          <t>PROG_HTML5_300x250_Dealer_v1</t>
        </is>
      </c>
      <c r="M1960" s="66" t="inlineStr">
        <is>
          <t>HTML5 Display 300x250</t>
        </is>
      </c>
      <c r="N1960" s="66" t="inlineStr">
        <is>
          <t>A dealer near you has slots</t>
        </is>
      </c>
      <c r="O1960" s="66" t="inlineStr">
        <is>
          <t>Programmatic Guaranteed / OA</t>
        </is>
      </c>
      <c r="P1960" s="66" t="inlineStr">
        <is>
          <t>Conversions (CPA)</t>
        </is>
      </c>
      <c r="Q1960" s="66" t="inlineStr">
        <is>
          <t>https://www.lepas-sa.co.za/offers</t>
        </is>
      </c>
      <c r="R1960" s="121" t="n">
        <v>111.58</v>
      </c>
      <c r="S1960" s="122" t="n">
        <v>4127</v>
      </c>
      <c r="T1960" s="122" t="n">
        <v>2054</v>
      </c>
      <c r="U1960" s="123">
        <f>IFERROR(S1960/T1960,"")</f>
        <v/>
      </c>
      <c r="V1960" s="122" t="n">
        <v>7</v>
      </c>
      <c r="W1960" s="122" t="n">
        <v>5</v>
      </c>
      <c r="X1960" s="124">
        <f>IFERROR(W1960/S1960,"")</f>
        <v/>
      </c>
      <c r="Y1960" s="121">
        <f>IFERROR(R1960/W1960,"")</f>
        <v/>
      </c>
      <c r="Z1960" s="121">
        <f>IFERROR(R1960/S1960*1000,"")</f>
        <v/>
      </c>
      <c r="AA1960" s="122" t="n">
        <v>4</v>
      </c>
      <c r="AB1960" s="54">
        <f>IFERROR(AA1960/W1960,"")</f>
        <v/>
      </c>
      <c r="AC1960" s="122" t="n">
        <v>0</v>
      </c>
      <c r="AD1960" s="122" t="n">
        <v>0</v>
      </c>
      <c r="AE1960" s="122" t="n">
        <v>0</v>
      </c>
      <c r="AF1960" s="122" t="n">
        <v>0</v>
      </c>
      <c r="AG1960" s="122" t="n">
        <v>0</v>
      </c>
      <c r="AH1960" s="122" t="n">
        <v>0</v>
      </c>
      <c r="AI1960" s="54">
        <f>IFERROR(AC1960/S1960,"")</f>
        <v/>
      </c>
      <c r="AJ1960" s="54">
        <f>IFERROR(AH1960/S1960,"")</f>
        <v/>
      </c>
      <c r="AK1960" s="122" t="n">
        <v>11</v>
      </c>
      <c r="AL1960" s="122" t="n">
        <v>0</v>
      </c>
      <c r="AM1960" s="124">
        <f>IFERROR(AL1960/AA1960,"")</f>
        <v/>
      </c>
      <c r="AN1960" s="125">
        <f>IFERROR(R1960/AL1960,"")</f>
        <v/>
      </c>
      <c r="AO1960" s="122" t="n">
        <v>0</v>
      </c>
      <c r="AP1960" s="54">
        <f>IFERROR(AO1960/AL1960,"")</f>
        <v/>
      </c>
      <c r="AQ1960" s="125">
        <f>IFERROR(R1960/AO1960,"")</f>
        <v/>
      </c>
      <c r="AR1960" s="122" t="n">
        <v>0</v>
      </c>
      <c r="AS1960" s="122" t="n">
        <v>0</v>
      </c>
      <c r="AT1960" s="122">
        <f>AL1960+AR1960</f>
        <v/>
      </c>
      <c r="AU1960" s="125">
        <f>IFERROR(AO1960*Assumptions!$C$26*Assumptions!$C$27*INDEX(Assumptions!$C$18:$C$21,MATCH(H1960,Assumptions!$B$18:$B$21,0)),0)</f>
        <v/>
      </c>
    </row>
    <row r="1961">
      <c r="A1961" s="120" t="n">
        <v>46247</v>
      </c>
      <c r="B1961" s="66" t="inlineStr">
        <is>
          <t>Wk 33</t>
        </is>
      </c>
      <c r="C1961" s="66" t="inlineStr">
        <is>
          <t>Thu</t>
        </is>
      </c>
      <c r="D1961" s="66" t="inlineStr">
        <is>
          <t>Programmatic</t>
        </is>
      </c>
      <c r="E1961" s="66" t="inlineStr">
        <is>
          <t>DV360</t>
        </is>
      </c>
      <c r="F1961" s="66" t="inlineStr">
        <is>
          <t>LEP_ZA_AUG26_PROG_TD_PROSPECT_DISPLAY</t>
        </is>
      </c>
      <c r="G1961" s="66" t="inlineStr">
        <is>
          <t>Display Prospecting</t>
        </is>
      </c>
      <c r="H1961" s="66" t="inlineStr">
        <is>
          <t>Range</t>
        </is>
      </c>
      <c r="I1961" s="66" t="inlineStr">
        <is>
          <t>Range Offer</t>
        </is>
      </c>
      <c r="J1961" s="66" t="inlineStr">
        <is>
          <t>PROG_GEO_DEALER_RADIUS</t>
        </is>
      </c>
      <c r="K1961" s="66" t="inlineStr">
        <is>
          <t>Prospecting</t>
        </is>
      </c>
      <c r="L1961" s="66" t="inlineStr">
        <is>
          <t>PROG_HTML5_300x250_Dealer_v1</t>
        </is>
      </c>
      <c r="M1961" s="66" t="inlineStr">
        <is>
          <t>HTML5 Display 300x250</t>
        </is>
      </c>
      <c r="N1961" s="66" t="inlineStr">
        <is>
          <t>A dealer near you has slots</t>
        </is>
      </c>
      <c r="O1961" s="66" t="inlineStr">
        <is>
          <t>Programmatic Guaranteed / OA</t>
        </is>
      </c>
      <c r="P1961" s="66" t="inlineStr">
        <is>
          <t>Conversions (CPA)</t>
        </is>
      </c>
      <c r="Q1961" s="66" t="inlineStr">
        <is>
          <t>https://www.lepas-sa.co.za/offers</t>
        </is>
      </c>
      <c r="R1961" s="121" t="n">
        <v>134.23</v>
      </c>
      <c r="S1961" s="122" t="n">
        <v>5040</v>
      </c>
      <c r="T1961" s="122" t="n">
        <v>3057</v>
      </c>
      <c r="U1961" s="123">
        <f>IFERROR(S1961/T1961,"")</f>
        <v/>
      </c>
      <c r="V1961" s="122" t="n">
        <v>7</v>
      </c>
      <c r="W1961" s="122" t="n">
        <v>5</v>
      </c>
      <c r="X1961" s="124">
        <f>IFERROR(W1961/S1961,"")</f>
        <v/>
      </c>
      <c r="Y1961" s="121">
        <f>IFERROR(R1961/W1961,"")</f>
        <v/>
      </c>
      <c r="Z1961" s="121">
        <f>IFERROR(R1961/S1961*1000,"")</f>
        <v/>
      </c>
      <c r="AA1961" s="122" t="n">
        <v>4</v>
      </c>
      <c r="AB1961" s="54">
        <f>IFERROR(AA1961/W1961,"")</f>
        <v/>
      </c>
      <c r="AC1961" s="122" t="n">
        <v>0</v>
      </c>
      <c r="AD1961" s="122" t="n">
        <v>0</v>
      </c>
      <c r="AE1961" s="122" t="n">
        <v>0</v>
      </c>
      <c r="AF1961" s="122" t="n">
        <v>0</v>
      </c>
      <c r="AG1961" s="122" t="n">
        <v>0</v>
      </c>
      <c r="AH1961" s="122" t="n">
        <v>0</v>
      </c>
      <c r="AI1961" s="54">
        <f>IFERROR(AC1961/S1961,"")</f>
        <v/>
      </c>
      <c r="AJ1961" s="54">
        <f>IFERROR(AH1961/S1961,"")</f>
        <v/>
      </c>
      <c r="AK1961" s="122" t="n">
        <v>22</v>
      </c>
      <c r="AL1961" s="122" t="n">
        <v>0</v>
      </c>
      <c r="AM1961" s="124">
        <f>IFERROR(AL1961/AA1961,"")</f>
        <v/>
      </c>
      <c r="AN1961" s="125">
        <f>IFERROR(R1961/AL1961,"")</f>
        <v/>
      </c>
      <c r="AO1961" s="122" t="n">
        <v>0</v>
      </c>
      <c r="AP1961" s="54">
        <f>IFERROR(AO1961/AL1961,"")</f>
        <v/>
      </c>
      <c r="AQ1961" s="125">
        <f>IFERROR(R1961/AO1961,"")</f>
        <v/>
      </c>
      <c r="AR1961" s="122" t="n">
        <v>0</v>
      </c>
      <c r="AS1961" s="122" t="n">
        <v>0</v>
      </c>
      <c r="AT1961" s="122">
        <f>AL1961+AR1961</f>
        <v/>
      </c>
      <c r="AU1961" s="125">
        <f>IFERROR(AO1961*Assumptions!$C$26*Assumptions!$C$27*INDEX(Assumptions!$C$18:$C$21,MATCH(H1961,Assumptions!$B$18:$B$21,0)),0)</f>
        <v/>
      </c>
    </row>
    <row r="1962">
      <c r="A1962" s="120" t="n">
        <v>46248</v>
      </c>
      <c r="B1962" s="66" t="inlineStr">
        <is>
          <t>Wk 33</t>
        </is>
      </c>
      <c r="C1962" s="66" t="inlineStr">
        <is>
          <t>Fri</t>
        </is>
      </c>
      <c r="D1962" s="66" t="inlineStr">
        <is>
          <t>Programmatic</t>
        </is>
      </c>
      <c r="E1962" s="66" t="inlineStr">
        <is>
          <t>DV360</t>
        </is>
      </c>
      <c r="F1962" s="66" t="inlineStr">
        <is>
          <t>LEP_ZA_AUG26_PROG_TD_PROSPECT_DISPLAY</t>
        </is>
      </c>
      <c r="G1962" s="66" t="inlineStr">
        <is>
          <t>Display Prospecting</t>
        </is>
      </c>
      <c r="H1962" s="66" t="inlineStr">
        <is>
          <t>Range</t>
        </is>
      </c>
      <c r="I1962" s="66" t="inlineStr">
        <is>
          <t>Range Offer</t>
        </is>
      </c>
      <c r="J1962" s="66" t="inlineStr">
        <is>
          <t>PROG_GEO_DEALER_RADIUS</t>
        </is>
      </c>
      <c r="K1962" s="66" t="inlineStr">
        <is>
          <t>Prospecting</t>
        </is>
      </c>
      <c r="L1962" s="66" t="inlineStr">
        <is>
          <t>PROG_HTML5_300x250_Dealer_v1</t>
        </is>
      </c>
      <c r="M1962" s="66" t="inlineStr">
        <is>
          <t>HTML5 Display 300x250</t>
        </is>
      </c>
      <c r="N1962" s="66" t="inlineStr">
        <is>
          <t>A dealer near you has slots</t>
        </is>
      </c>
      <c r="O1962" s="66" t="inlineStr">
        <is>
          <t>Programmatic Guaranteed / OA</t>
        </is>
      </c>
      <c r="P1962" s="66" t="inlineStr">
        <is>
          <t>Conversions (CPA)</t>
        </is>
      </c>
      <c r="Q1962" s="66" t="inlineStr">
        <is>
          <t>https://www.lepas-sa.co.za/offers</t>
        </is>
      </c>
      <c r="R1962" s="121" t="n">
        <v>112.99</v>
      </c>
      <c r="S1962" s="122" t="n">
        <v>4490</v>
      </c>
      <c r="T1962" s="122" t="n">
        <v>2648</v>
      </c>
      <c r="U1962" s="123">
        <f>IFERROR(S1962/T1962,"")</f>
        <v/>
      </c>
      <c r="V1962" s="122" t="n">
        <v>6</v>
      </c>
      <c r="W1962" s="122" t="n">
        <v>4</v>
      </c>
      <c r="X1962" s="124">
        <f>IFERROR(W1962/S1962,"")</f>
        <v/>
      </c>
      <c r="Y1962" s="121">
        <f>IFERROR(R1962/W1962,"")</f>
        <v/>
      </c>
      <c r="Z1962" s="121">
        <f>IFERROR(R1962/S1962*1000,"")</f>
        <v/>
      </c>
      <c r="AA1962" s="122" t="n">
        <v>2</v>
      </c>
      <c r="AB1962" s="54">
        <f>IFERROR(AA1962/W1962,"")</f>
        <v/>
      </c>
      <c r="AC1962" s="122" t="n">
        <v>0</v>
      </c>
      <c r="AD1962" s="122" t="n">
        <v>0</v>
      </c>
      <c r="AE1962" s="122" t="n">
        <v>0</v>
      </c>
      <c r="AF1962" s="122" t="n">
        <v>0</v>
      </c>
      <c r="AG1962" s="122" t="n">
        <v>0</v>
      </c>
      <c r="AH1962" s="122" t="n">
        <v>0</v>
      </c>
      <c r="AI1962" s="54">
        <f>IFERROR(AC1962/S1962,"")</f>
        <v/>
      </c>
      <c r="AJ1962" s="54">
        <f>IFERROR(AH1962/S1962,"")</f>
        <v/>
      </c>
      <c r="AK1962" s="122" t="n">
        <v>23</v>
      </c>
      <c r="AL1962" s="122" t="n">
        <v>0</v>
      </c>
      <c r="AM1962" s="124">
        <f>IFERROR(AL1962/AA1962,"")</f>
        <v/>
      </c>
      <c r="AN1962" s="125">
        <f>IFERROR(R1962/AL1962,"")</f>
        <v/>
      </c>
      <c r="AO1962" s="122" t="n">
        <v>0</v>
      </c>
      <c r="AP1962" s="54">
        <f>IFERROR(AO1962/AL1962,"")</f>
        <v/>
      </c>
      <c r="AQ1962" s="125">
        <f>IFERROR(R1962/AO1962,"")</f>
        <v/>
      </c>
      <c r="AR1962" s="122" t="n">
        <v>0</v>
      </c>
      <c r="AS1962" s="122" t="n">
        <v>0</v>
      </c>
      <c r="AT1962" s="122">
        <f>AL1962+AR1962</f>
        <v/>
      </c>
      <c r="AU1962" s="125">
        <f>IFERROR(AO1962*Assumptions!$C$26*Assumptions!$C$27*INDEX(Assumptions!$C$18:$C$21,MATCH(H1962,Assumptions!$B$18:$B$21,0)),0)</f>
        <v/>
      </c>
    </row>
    <row r="1963">
      <c r="A1963" s="120" t="n">
        <v>46249</v>
      </c>
      <c r="B1963" s="66" t="inlineStr">
        <is>
          <t>Wk 33</t>
        </is>
      </c>
      <c r="C1963" s="66" t="inlineStr">
        <is>
          <t>Sat</t>
        </is>
      </c>
      <c r="D1963" s="66" t="inlineStr">
        <is>
          <t>Programmatic</t>
        </is>
      </c>
      <c r="E1963" s="66" t="inlineStr">
        <is>
          <t>DV360</t>
        </is>
      </c>
      <c r="F1963" s="66" t="inlineStr">
        <is>
          <t>LEP_ZA_AUG26_PROG_TD_PROSPECT_DISPLAY</t>
        </is>
      </c>
      <c r="G1963" s="66" t="inlineStr">
        <is>
          <t>Display Prospecting</t>
        </is>
      </c>
      <c r="H1963" s="66" t="inlineStr">
        <is>
          <t>Range</t>
        </is>
      </c>
      <c r="I1963" s="66" t="inlineStr">
        <is>
          <t>Range Offer</t>
        </is>
      </c>
      <c r="J1963" s="66" t="inlineStr">
        <is>
          <t>PROG_GEO_DEALER_RADIUS</t>
        </is>
      </c>
      <c r="K1963" s="66" t="inlineStr">
        <is>
          <t>Prospecting</t>
        </is>
      </c>
      <c r="L1963" s="66" t="inlineStr">
        <is>
          <t>PROG_HTML5_300x250_Dealer_v1</t>
        </is>
      </c>
      <c r="M1963" s="66" t="inlineStr">
        <is>
          <t>HTML5 Display 300x250</t>
        </is>
      </c>
      <c r="N1963" s="66" t="inlineStr">
        <is>
          <t>A dealer near you has slots</t>
        </is>
      </c>
      <c r="O1963" s="66" t="inlineStr">
        <is>
          <t>Programmatic Guaranteed / OA</t>
        </is>
      </c>
      <c r="P1963" s="66" t="inlineStr">
        <is>
          <t>Conversions (CPA)</t>
        </is>
      </c>
      <c r="Q1963" s="66" t="inlineStr">
        <is>
          <t>https://www.lepas-sa.co.za/offers</t>
        </is>
      </c>
      <c r="R1963" s="121" t="n">
        <v>139.35</v>
      </c>
      <c r="S1963" s="122" t="n">
        <v>5257</v>
      </c>
      <c r="T1963" s="122" t="n">
        <v>2671</v>
      </c>
      <c r="U1963" s="123">
        <f>IFERROR(S1963/T1963,"")</f>
        <v/>
      </c>
      <c r="V1963" s="122" t="n">
        <v>12</v>
      </c>
      <c r="W1963" s="122" t="n">
        <v>9</v>
      </c>
      <c r="X1963" s="124">
        <f>IFERROR(W1963/S1963,"")</f>
        <v/>
      </c>
      <c r="Y1963" s="121">
        <f>IFERROR(R1963/W1963,"")</f>
        <v/>
      </c>
      <c r="Z1963" s="121">
        <f>IFERROR(R1963/S1963*1000,"")</f>
        <v/>
      </c>
      <c r="AA1963" s="122" t="n">
        <v>6</v>
      </c>
      <c r="AB1963" s="54">
        <f>IFERROR(AA1963/W1963,"")</f>
        <v/>
      </c>
      <c r="AC1963" s="122" t="n">
        <v>0</v>
      </c>
      <c r="AD1963" s="122" t="n">
        <v>0</v>
      </c>
      <c r="AE1963" s="122" t="n">
        <v>0</v>
      </c>
      <c r="AF1963" s="122" t="n">
        <v>0</v>
      </c>
      <c r="AG1963" s="122" t="n">
        <v>0</v>
      </c>
      <c r="AH1963" s="122" t="n">
        <v>0</v>
      </c>
      <c r="AI1963" s="54">
        <f>IFERROR(AC1963/S1963,"")</f>
        <v/>
      </c>
      <c r="AJ1963" s="54">
        <f>IFERROR(AH1963/S1963,"")</f>
        <v/>
      </c>
      <c r="AK1963" s="122" t="n">
        <v>13</v>
      </c>
      <c r="AL1963" s="122" t="n">
        <v>1</v>
      </c>
      <c r="AM1963" s="124">
        <f>IFERROR(AL1963/AA1963,"")</f>
        <v/>
      </c>
      <c r="AN1963" s="125">
        <f>IFERROR(R1963/AL1963,"")</f>
        <v/>
      </c>
      <c r="AO1963" s="122" t="n">
        <v>0</v>
      </c>
      <c r="AP1963" s="54">
        <f>IFERROR(AO1963/AL1963,"")</f>
        <v/>
      </c>
      <c r="AQ1963" s="125">
        <f>IFERROR(R1963/AO1963,"")</f>
        <v/>
      </c>
      <c r="AR1963" s="122" t="n">
        <v>1</v>
      </c>
      <c r="AS1963" s="122" t="n">
        <v>1</v>
      </c>
      <c r="AT1963" s="122">
        <f>AL1963+AR1963</f>
        <v/>
      </c>
      <c r="AU1963" s="125">
        <f>IFERROR(AO1963*Assumptions!$C$26*Assumptions!$C$27*INDEX(Assumptions!$C$18:$C$21,MATCH(H1963,Assumptions!$B$18:$B$21,0)),0)</f>
        <v/>
      </c>
    </row>
    <row r="1964">
      <c r="A1964" s="120" t="n">
        <v>46250</v>
      </c>
      <c r="B1964" s="66" t="inlineStr">
        <is>
          <t>Wk 33</t>
        </is>
      </c>
      <c r="C1964" s="66" t="inlineStr">
        <is>
          <t>Sun</t>
        </is>
      </c>
      <c r="D1964" s="66" t="inlineStr">
        <is>
          <t>Programmatic</t>
        </is>
      </c>
      <c r="E1964" s="66" t="inlineStr">
        <is>
          <t>DV360</t>
        </is>
      </c>
      <c r="F1964" s="66" t="inlineStr">
        <is>
          <t>LEP_ZA_AUG26_PROG_TD_PROSPECT_DISPLAY</t>
        </is>
      </c>
      <c r="G1964" s="66" t="inlineStr">
        <is>
          <t>Display Prospecting</t>
        </is>
      </c>
      <c r="H1964" s="66" t="inlineStr">
        <is>
          <t>Range</t>
        </is>
      </c>
      <c r="I1964" s="66" t="inlineStr">
        <is>
          <t>Range Offer</t>
        </is>
      </c>
      <c r="J1964" s="66" t="inlineStr">
        <is>
          <t>PROG_GEO_DEALER_RADIUS</t>
        </is>
      </c>
      <c r="K1964" s="66" t="inlineStr">
        <is>
          <t>Prospecting</t>
        </is>
      </c>
      <c r="L1964" s="66" t="inlineStr">
        <is>
          <t>PROG_HTML5_300x250_Dealer_v1</t>
        </is>
      </c>
      <c r="M1964" s="66" t="inlineStr">
        <is>
          <t>HTML5 Display 300x250</t>
        </is>
      </c>
      <c r="N1964" s="66" t="inlineStr">
        <is>
          <t>A dealer near you has slots</t>
        </is>
      </c>
      <c r="O1964" s="66" t="inlineStr">
        <is>
          <t>Programmatic Guaranteed / OA</t>
        </is>
      </c>
      <c r="P1964" s="66" t="inlineStr">
        <is>
          <t>Conversions (CPA)</t>
        </is>
      </c>
      <c r="Q1964" s="66" t="inlineStr">
        <is>
          <t>https://www.lepas-sa.co.za/offers</t>
        </is>
      </c>
      <c r="R1964" s="121" t="n">
        <v>107.09</v>
      </c>
      <c r="S1964" s="122" t="n">
        <v>4167</v>
      </c>
      <c r="T1964" s="122" t="n">
        <v>2131</v>
      </c>
      <c r="U1964" s="123">
        <f>IFERROR(S1964/T1964,"")</f>
        <v/>
      </c>
      <c r="V1964" s="122" t="n">
        <v>6</v>
      </c>
      <c r="W1964" s="122" t="n">
        <v>5</v>
      </c>
      <c r="X1964" s="124">
        <f>IFERROR(W1964/S1964,"")</f>
        <v/>
      </c>
      <c r="Y1964" s="121">
        <f>IFERROR(R1964/W1964,"")</f>
        <v/>
      </c>
      <c r="Z1964" s="121">
        <f>IFERROR(R1964/S1964*1000,"")</f>
        <v/>
      </c>
      <c r="AA1964" s="122" t="n">
        <v>3</v>
      </c>
      <c r="AB1964" s="54">
        <f>IFERROR(AA1964/W1964,"")</f>
        <v/>
      </c>
      <c r="AC1964" s="122" t="n">
        <v>0</v>
      </c>
      <c r="AD1964" s="122" t="n">
        <v>0</v>
      </c>
      <c r="AE1964" s="122" t="n">
        <v>0</v>
      </c>
      <c r="AF1964" s="122" t="n">
        <v>0</v>
      </c>
      <c r="AG1964" s="122" t="n">
        <v>0</v>
      </c>
      <c r="AH1964" s="122" t="n">
        <v>0</v>
      </c>
      <c r="AI1964" s="54">
        <f>IFERROR(AC1964/S1964,"")</f>
        <v/>
      </c>
      <c r="AJ1964" s="54">
        <f>IFERROR(AH1964/S1964,"")</f>
        <v/>
      </c>
      <c r="AK1964" s="122" t="n">
        <v>7</v>
      </c>
      <c r="AL1964" s="122" t="n">
        <v>0</v>
      </c>
      <c r="AM1964" s="124">
        <f>IFERROR(AL1964/AA1964,"")</f>
        <v/>
      </c>
      <c r="AN1964" s="125">
        <f>IFERROR(R1964/AL1964,"")</f>
        <v/>
      </c>
      <c r="AO1964" s="122" t="n">
        <v>0</v>
      </c>
      <c r="AP1964" s="54">
        <f>IFERROR(AO1964/AL1964,"")</f>
        <v/>
      </c>
      <c r="AQ1964" s="125">
        <f>IFERROR(R1964/AO1964,"")</f>
        <v/>
      </c>
      <c r="AR1964" s="122" t="n">
        <v>0</v>
      </c>
      <c r="AS1964" s="122" t="n">
        <v>0</v>
      </c>
      <c r="AT1964" s="122">
        <f>AL1964+AR1964</f>
        <v/>
      </c>
      <c r="AU1964" s="125">
        <f>IFERROR(AO1964*Assumptions!$C$26*Assumptions!$C$27*INDEX(Assumptions!$C$18:$C$21,MATCH(H1964,Assumptions!$B$18:$B$21,0)),0)</f>
        <v/>
      </c>
    </row>
    <row r="1965">
      <c r="A1965" s="120" t="n">
        <v>46251</v>
      </c>
      <c r="B1965" s="66" t="inlineStr">
        <is>
          <t>Wk 34</t>
        </is>
      </c>
      <c r="C1965" s="66" t="inlineStr">
        <is>
          <t>Mon</t>
        </is>
      </c>
      <c r="D1965" s="66" t="inlineStr">
        <is>
          <t>Programmatic</t>
        </is>
      </c>
      <c r="E1965" s="66" t="inlineStr">
        <is>
          <t>DV360</t>
        </is>
      </c>
      <c r="F1965" s="66" t="inlineStr">
        <is>
          <t>LEP_ZA_AUG26_PROG_TD_PROSPECT_DISPLAY</t>
        </is>
      </c>
      <c r="G1965" s="66" t="inlineStr">
        <is>
          <t>Display Prospecting</t>
        </is>
      </c>
      <c r="H1965" s="66" t="inlineStr">
        <is>
          <t>Range</t>
        </is>
      </c>
      <c r="I1965" s="66" t="inlineStr">
        <is>
          <t>Range Offer</t>
        </is>
      </c>
      <c r="J1965" s="66" t="inlineStr">
        <is>
          <t>PROG_GEO_DEALER_RADIUS</t>
        </is>
      </c>
      <c r="K1965" s="66" t="inlineStr">
        <is>
          <t>Prospecting</t>
        </is>
      </c>
      <c r="L1965" s="66" t="inlineStr">
        <is>
          <t>PROG_HTML5_300x250_Dealer_v1</t>
        </is>
      </c>
      <c r="M1965" s="66" t="inlineStr">
        <is>
          <t>HTML5 Display 300x250</t>
        </is>
      </c>
      <c r="N1965" s="66" t="inlineStr">
        <is>
          <t>A dealer near you has slots</t>
        </is>
      </c>
      <c r="O1965" s="66" t="inlineStr">
        <is>
          <t>Programmatic Guaranteed / OA</t>
        </is>
      </c>
      <c r="P1965" s="66" t="inlineStr">
        <is>
          <t>Conversions (CPA)</t>
        </is>
      </c>
      <c r="Q1965" s="66" t="inlineStr">
        <is>
          <t>https://www.lepas-sa.co.za/offers</t>
        </is>
      </c>
      <c r="R1965" s="121" t="n">
        <v>113.83</v>
      </c>
      <c r="S1965" s="122" t="n">
        <v>3690</v>
      </c>
      <c r="T1965" s="122" t="n">
        <v>1418</v>
      </c>
      <c r="U1965" s="123">
        <f>IFERROR(S1965/T1965,"")</f>
        <v/>
      </c>
      <c r="V1965" s="122" t="n">
        <v>10</v>
      </c>
      <c r="W1965" s="122" t="n">
        <v>8</v>
      </c>
      <c r="X1965" s="124">
        <f>IFERROR(W1965/S1965,"")</f>
        <v/>
      </c>
      <c r="Y1965" s="121">
        <f>IFERROR(R1965/W1965,"")</f>
        <v/>
      </c>
      <c r="Z1965" s="121">
        <f>IFERROR(R1965/S1965*1000,"")</f>
        <v/>
      </c>
      <c r="AA1965" s="122" t="n">
        <v>6</v>
      </c>
      <c r="AB1965" s="54">
        <f>IFERROR(AA1965/W1965,"")</f>
        <v/>
      </c>
      <c r="AC1965" s="122" t="n">
        <v>0</v>
      </c>
      <c r="AD1965" s="122" t="n">
        <v>0</v>
      </c>
      <c r="AE1965" s="122" t="n">
        <v>0</v>
      </c>
      <c r="AF1965" s="122" t="n">
        <v>0</v>
      </c>
      <c r="AG1965" s="122" t="n">
        <v>0</v>
      </c>
      <c r="AH1965" s="122" t="n">
        <v>0</v>
      </c>
      <c r="AI1965" s="54">
        <f>IFERROR(AC1965/S1965,"")</f>
        <v/>
      </c>
      <c r="AJ1965" s="54">
        <f>IFERROR(AH1965/S1965,"")</f>
        <v/>
      </c>
      <c r="AK1965" s="122" t="n">
        <v>11</v>
      </c>
      <c r="AL1965" s="122" t="n">
        <v>0</v>
      </c>
      <c r="AM1965" s="124">
        <f>IFERROR(AL1965/AA1965,"")</f>
        <v/>
      </c>
      <c r="AN1965" s="125">
        <f>IFERROR(R1965/AL1965,"")</f>
        <v/>
      </c>
      <c r="AO1965" s="122" t="n">
        <v>0</v>
      </c>
      <c r="AP1965" s="54">
        <f>IFERROR(AO1965/AL1965,"")</f>
        <v/>
      </c>
      <c r="AQ1965" s="125">
        <f>IFERROR(R1965/AO1965,"")</f>
        <v/>
      </c>
      <c r="AR1965" s="122" t="n">
        <v>0</v>
      </c>
      <c r="AS1965" s="122" t="n">
        <v>0</v>
      </c>
      <c r="AT1965" s="122">
        <f>AL1965+AR1965</f>
        <v/>
      </c>
      <c r="AU1965" s="125">
        <f>IFERROR(AO1965*Assumptions!$C$26*Assumptions!$C$27*INDEX(Assumptions!$C$18:$C$21,MATCH(H1965,Assumptions!$B$18:$B$21,0)),0)</f>
        <v/>
      </c>
    </row>
    <row r="1966">
      <c r="A1966" s="120" t="n">
        <v>46252</v>
      </c>
      <c r="B1966" s="66" t="inlineStr">
        <is>
          <t>Wk 34</t>
        </is>
      </c>
      <c r="C1966" s="66" t="inlineStr">
        <is>
          <t>Tue</t>
        </is>
      </c>
      <c r="D1966" s="66" t="inlineStr">
        <is>
          <t>Programmatic</t>
        </is>
      </c>
      <c r="E1966" s="66" t="inlineStr">
        <is>
          <t>DV360</t>
        </is>
      </c>
      <c r="F1966" s="66" t="inlineStr">
        <is>
          <t>LEP_ZA_AUG26_PROG_TD_PROSPECT_DISPLAY</t>
        </is>
      </c>
      <c r="G1966" s="66" t="inlineStr">
        <is>
          <t>Display Prospecting</t>
        </is>
      </c>
      <c r="H1966" s="66" t="inlineStr">
        <is>
          <t>Range</t>
        </is>
      </c>
      <c r="I1966" s="66" t="inlineStr">
        <is>
          <t>Range Offer</t>
        </is>
      </c>
      <c r="J1966" s="66" t="inlineStr">
        <is>
          <t>PROG_GEO_DEALER_RADIUS</t>
        </is>
      </c>
      <c r="K1966" s="66" t="inlineStr">
        <is>
          <t>Prospecting</t>
        </is>
      </c>
      <c r="L1966" s="66" t="inlineStr">
        <is>
          <t>PROG_HTML5_300x250_Dealer_v1</t>
        </is>
      </c>
      <c r="M1966" s="66" t="inlineStr">
        <is>
          <t>HTML5 Display 300x250</t>
        </is>
      </c>
      <c r="N1966" s="66" t="inlineStr">
        <is>
          <t>A dealer near you has slots</t>
        </is>
      </c>
      <c r="O1966" s="66" t="inlineStr">
        <is>
          <t>Programmatic Guaranteed / OA</t>
        </is>
      </c>
      <c r="P1966" s="66" t="inlineStr">
        <is>
          <t>Conversions (CPA)</t>
        </is>
      </c>
      <c r="Q1966" s="66" t="inlineStr">
        <is>
          <t>https://www.lepas-sa.co.za/offers</t>
        </is>
      </c>
      <c r="R1966" s="121" t="n">
        <v>103.5</v>
      </c>
      <c r="S1966" s="122" t="n">
        <v>3548</v>
      </c>
      <c r="T1966" s="122" t="n">
        <v>1900</v>
      </c>
      <c r="U1966" s="123">
        <f>IFERROR(S1966/T1966,"")</f>
        <v/>
      </c>
      <c r="V1966" s="122" t="n">
        <v>4</v>
      </c>
      <c r="W1966" s="122" t="n">
        <v>3</v>
      </c>
      <c r="X1966" s="124">
        <f>IFERROR(W1966/S1966,"")</f>
        <v/>
      </c>
      <c r="Y1966" s="121">
        <f>IFERROR(R1966/W1966,"")</f>
        <v/>
      </c>
      <c r="Z1966" s="121">
        <f>IFERROR(R1966/S1966*1000,"")</f>
        <v/>
      </c>
      <c r="AA1966" s="122" t="n">
        <v>2</v>
      </c>
      <c r="AB1966" s="54">
        <f>IFERROR(AA1966/W1966,"")</f>
        <v/>
      </c>
      <c r="AC1966" s="122" t="n">
        <v>0</v>
      </c>
      <c r="AD1966" s="122" t="n">
        <v>0</v>
      </c>
      <c r="AE1966" s="122" t="n">
        <v>0</v>
      </c>
      <c r="AF1966" s="122" t="n">
        <v>0</v>
      </c>
      <c r="AG1966" s="122" t="n">
        <v>0</v>
      </c>
      <c r="AH1966" s="122" t="n">
        <v>0</v>
      </c>
      <c r="AI1966" s="54">
        <f>IFERROR(AC1966/S1966,"")</f>
        <v/>
      </c>
      <c r="AJ1966" s="54">
        <f>IFERROR(AH1966/S1966,"")</f>
        <v/>
      </c>
      <c r="AK1966" s="122" t="n">
        <v>14</v>
      </c>
      <c r="AL1966" s="122" t="n">
        <v>0</v>
      </c>
      <c r="AM1966" s="124">
        <f>IFERROR(AL1966/AA1966,"")</f>
        <v/>
      </c>
      <c r="AN1966" s="125">
        <f>IFERROR(R1966/AL1966,"")</f>
        <v/>
      </c>
      <c r="AO1966" s="122" t="n">
        <v>0</v>
      </c>
      <c r="AP1966" s="54">
        <f>IFERROR(AO1966/AL1966,"")</f>
        <v/>
      </c>
      <c r="AQ1966" s="125">
        <f>IFERROR(R1966/AO1966,"")</f>
        <v/>
      </c>
      <c r="AR1966" s="122" t="n">
        <v>0</v>
      </c>
      <c r="AS1966" s="122" t="n">
        <v>0</v>
      </c>
      <c r="AT1966" s="122">
        <f>AL1966+AR1966</f>
        <v/>
      </c>
      <c r="AU1966" s="125">
        <f>IFERROR(AO1966*Assumptions!$C$26*Assumptions!$C$27*INDEX(Assumptions!$C$18:$C$21,MATCH(H1966,Assumptions!$B$18:$B$21,0)),0)</f>
        <v/>
      </c>
    </row>
    <row r="1967">
      <c r="A1967" s="120" t="n">
        <v>46253</v>
      </c>
      <c r="B1967" s="66" t="inlineStr">
        <is>
          <t>Wk 34</t>
        </is>
      </c>
      <c r="C1967" s="66" t="inlineStr">
        <is>
          <t>Wed</t>
        </is>
      </c>
      <c r="D1967" s="66" t="inlineStr">
        <is>
          <t>Programmatic</t>
        </is>
      </c>
      <c r="E1967" s="66" t="inlineStr">
        <is>
          <t>DV360</t>
        </is>
      </c>
      <c r="F1967" s="66" t="inlineStr">
        <is>
          <t>LEP_ZA_AUG26_PROG_TD_PROSPECT_DISPLAY</t>
        </is>
      </c>
      <c r="G1967" s="66" t="inlineStr">
        <is>
          <t>Display Prospecting</t>
        </is>
      </c>
      <c r="H1967" s="66" t="inlineStr">
        <is>
          <t>Range</t>
        </is>
      </c>
      <c r="I1967" s="66" t="inlineStr">
        <is>
          <t>Range Offer</t>
        </is>
      </c>
      <c r="J1967" s="66" t="inlineStr">
        <is>
          <t>PROG_GEO_DEALER_RADIUS</t>
        </is>
      </c>
      <c r="K1967" s="66" t="inlineStr">
        <is>
          <t>Prospecting</t>
        </is>
      </c>
      <c r="L1967" s="66" t="inlineStr">
        <is>
          <t>PROG_HTML5_300x250_Dealer_v1</t>
        </is>
      </c>
      <c r="M1967" s="66" t="inlineStr">
        <is>
          <t>HTML5 Display 300x250</t>
        </is>
      </c>
      <c r="N1967" s="66" t="inlineStr">
        <is>
          <t>A dealer near you has slots</t>
        </is>
      </c>
      <c r="O1967" s="66" t="inlineStr">
        <is>
          <t>Programmatic Guaranteed / OA</t>
        </is>
      </c>
      <c r="P1967" s="66" t="inlineStr">
        <is>
          <t>Conversions (CPA)</t>
        </is>
      </c>
      <c r="Q1967" s="66" t="inlineStr">
        <is>
          <t>https://www.lepas-sa.co.za/offers</t>
        </is>
      </c>
      <c r="R1967" s="121" t="n">
        <v>121.31</v>
      </c>
      <c r="S1967" s="122" t="n">
        <v>3569</v>
      </c>
      <c r="T1967" s="122" t="n">
        <v>1647</v>
      </c>
      <c r="U1967" s="123">
        <f>IFERROR(S1967/T1967,"")</f>
        <v/>
      </c>
      <c r="V1967" s="122" t="n">
        <v>10</v>
      </c>
      <c r="W1967" s="122" t="n">
        <v>8</v>
      </c>
      <c r="X1967" s="124">
        <f>IFERROR(W1967/S1967,"")</f>
        <v/>
      </c>
      <c r="Y1967" s="121">
        <f>IFERROR(R1967/W1967,"")</f>
        <v/>
      </c>
      <c r="Z1967" s="121">
        <f>IFERROR(R1967/S1967*1000,"")</f>
        <v/>
      </c>
      <c r="AA1967" s="122" t="n">
        <v>5</v>
      </c>
      <c r="AB1967" s="54">
        <f>IFERROR(AA1967/W1967,"")</f>
        <v/>
      </c>
      <c r="AC1967" s="122" t="n">
        <v>0</v>
      </c>
      <c r="AD1967" s="122" t="n">
        <v>0</v>
      </c>
      <c r="AE1967" s="122" t="n">
        <v>0</v>
      </c>
      <c r="AF1967" s="122" t="n">
        <v>0</v>
      </c>
      <c r="AG1967" s="122" t="n">
        <v>0</v>
      </c>
      <c r="AH1967" s="122" t="n">
        <v>0</v>
      </c>
      <c r="AI1967" s="54">
        <f>IFERROR(AC1967/S1967,"")</f>
        <v/>
      </c>
      <c r="AJ1967" s="54">
        <f>IFERROR(AH1967/S1967,"")</f>
        <v/>
      </c>
      <c r="AK1967" s="122" t="n">
        <v>6</v>
      </c>
      <c r="AL1967" s="122" t="n">
        <v>0</v>
      </c>
      <c r="AM1967" s="124">
        <f>IFERROR(AL1967/AA1967,"")</f>
        <v/>
      </c>
      <c r="AN1967" s="125">
        <f>IFERROR(R1967/AL1967,"")</f>
        <v/>
      </c>
      <c r="AO1967" s="122" t="n">
        <v>0</v>
      </c>
      <c r="AP1967" s="54">
        <f>IFERROR(AO1967/AL1967,"")</f>
        <v/>
      </c>
      <c r="AQ1967" s="125">
        <f>IFERROR(R1967/AO1967,"")</f>
        <v/>
      </c>
      <c r="AR1967" s="122" t="n">
        <v>0</v>
      </c>
      <c r="AS1967" s="122" t="n">
        <v>0</v>
      </c>
      <c r="AT1967" s="122">
        <f>AL1967+AR1967</f>
        <v/>
      </c>
      <c r="AU1967" s="125">
        <f>IFERROR(AO1967*Assumptions!$C$26*Assumptions!$C$27*INDEX(Assumptions!$C$18:$C$21,MATCH(H1967,Assumptions!$B$18:$B$21,0)),0)</f>
        <v/>
      </c>
    </row>
    <row r="1968">
      <c r="A1968" s="120" t="n">
        <v>46254</v>
      </c>
      <c r="B1968" s="66" t="inlineStr">
        <is>
          <t>Wk 34</t>
        </is>
      </c>
      <c r="C1968" s="66" t="inlineStr">
        <is>
          <t>Thu</t>
        </is>
      </c>
      <c r="D1968" s="66" t="inlineStr">
        <is>
          <t>Programmatic</t>
        </is>
      </c>
      <c r="E1968" s="66" t="inlineStr">
        <is>
          <t>DV360</t>
        </is>
      </c>
      <c r="F1968" s="66" t="inlineStr">
        <is>
          <t>LEP_ZA_AUG26_PROG_TD_PROSPECT_DISPLAY</t>
        </is>
      </c>
      <c r="G1968" s="66" t="inlineStr">
        <is>
          <t>Display Prospecting</t>
        </is>
      </c>
      <c r="H1968" s="66" t="inlineStr">
        <is>
          <t>Range</t>
        </is>
      </c>
      <c r="I1968" s="66" t="inlineStr">
        <is>
          <t>Range Offer</t>
        </is>
      </c>
      <c r="J1968" s="66" t="inlineStr">
        <is>
          <t>PROG_GEO_DEALER_RADIUS</t>
        </is>
      </c>
      <c r="K1968" s="66" t="inlineStr">
        <is>
          <t>Prospecting</t>
        </is>
      </c>
      <c r="L1968" s="66" t="inlineStr">
        <is>
          <t>PROG_HTML5_300x250_Dealer_v1</t>
        </is>
      </c>
      <c r="M1968" s="66" t="inlineStr">
        <is>
          <t>HTML5 Display 300x250</t>
        </is>
      </c>
      <c r="N1968" s="66" t="inlineStr">
        <is>
          <t>A dealer near you has slots</t>
        </is>
      </c>
      <c r="O1968" s="66" t="inlineStr">
        <is>
          <t>Programmatic Guaranteed / OA</t>
        </is>
      </c>
      <c r="P1968" s="66" t="inlineStr">
        <is>
          <t>Conversions (CPA)</t>
        </is>
      </c>
      <c r="Q1968" s="66" t="inlineStr">
        <is>
          <t>https://www.lepas-sa.co.za/offers</t>
        </is>
      </c>
      <c r="R1968" s="121" t="n">
        <v>138.19</v>
      </c>
      <c r="S1968" s="122" t="n">
        <v>6041</v>
      </c>
      <c r="T1968" s="122" t="n">
        <v>2685</v>
      </c>
      <c r="U1968" s="123">
        <f>IFERROR(S1968/T1968,"")</f>
        <v/>
      </c>
      <c r="V1968" s="122" t="n">
        <v>9</v>
      </c>
      <c r="W1968" s="122" t="n">
        <v>7</v>
      </c>
      <c r="X1968" s="124">
        <f>IFERROR(W1968/S1968,"")</f>
        <v/>
      </c>
      <c r="Y1968" s="121">
        <f>IFERROR(R1968/W1968,"")</f>
        <v/>
      </c>
      <c r="Z1968" s="121">
        <f>IFERROR(R1968/S1968*1000,"")</f>
        <v/>
      </c>
      <c r="AA1968" s="122" t="n">
        <v>4</v>
      </c>
      <c r="AB1968" s="54">
        <f>IFERROR(AA1968/W1968,"")</f>
        <v/>
      </c>
      <c r="AC1968" s="122" t="n">
        <v>0</v>
      </c>
      <c r="AD1968" s="122" t="n">
        <v>0</v>
      </c>
      <c r="AE1968" s="122" t="n">
        <v>0</v>
      </c>
      <c r="AF1968" s="122" t="n">
        <v>0</v>
      </c>
      <c r="AG1968" s="122" t="n">
        <v>0</v>
      </c>
      <c r="AH1968" s="122" t="n">
        <v>0</v>
      </c>
      <c r="AI1968" s="54">
        <f>IFERROR(AC1968/S1968,"")</f>
        <v/>
      </c>
      <c r="AJ1968" s="54">
        <f>IFERROR(AH1968/S1968,"")</f>
        <v/>
      </c>
      <c r="AK1968" s="122" t="n">
        <v>12</v>
      </c>
      <c r="AL1968" s="122" t="n">
        <v>0</v>
      </c>
      <c r="AM1968" s="124">
        <f>IFERROR(AL1968/AA1968,"")</f>
        <v/>
      </c>
      <c r="AN1968" s="125">
        <f>IFERROR(R1968/AL1968,"")</f>
        <v/>
      </c>
      <c r="AO1968" s="122" t="n">
        <v>0</v>
      </c>
      <c r="AP1968" s="54">
        <f>IFERROR(AO1968/AL1968,"")</f>
        <v/>
      </c>
      <c r="AQ1968" s="125">
        <f>IFERROR(R1968/AO1968,"")</f>
        <v/>
      </c>
      <c r="AR1968" s="122" t="n">
        <v>0</v>
      </c>
      <c r="AS1968" s="122" t="n">
        <v>0</v>
      </c>
      <c r="AT1968" s="122">
        <f>AL1968+AR1968</f>
        <v/>
      </c>
      <c r="AU1968" s="125">
        <f>IFERROR(AO1968*Assumptions!$C$26*Assumptions!$C$27*INDEX(Assumptions!$C$18:$C$21,MATCH(H1968,Assumptions!$B$18:$B$21,0)),0)</f>
        <v/>
      </c>
    </row>
    <row r="1969">
      <c r="A1969" s="120" t="n">
        <v>46255</v>
      </c>
      <c r="B1969" s="66" t="inlineStr">
        <is>
          <t>Wk 34</t>
        </is>
      </c>
      <c r="C1969" s="66" t="inlineStr">
        <is>
          <t>Fri</t>
        </is>
      </c>
      <c r="D1969" s="66" t="inlineStr">
        <is>
          <t>Programmatic</t>
        </is>
      </c>
      <c r="E1969" s="66" t="inlineStr">
        <is>
          <t>DV360</t>
        </is>
      </c>
      <c r="F1969" s="66" t="inlineStr">
        <is>
          <t>LEP_ZA_AUG26_PROG_TD_PROSPECT_DISPLAY</t>
        </is>
      </c>
      <c r="G1969" s="66" t="inlineStr">
        <is>
          <t>Display Prospecting</t>
        </is>
      </c>
      <c r="H1969" s="66" t="inlineStr">
        <is>
          <t>Range</t>
        </is>
      </c>
      <c r="I1969" s="66" t="inlineStr">
        <is>
          <t>Range Offer</t>
        </is>
      </c>
      <c r="J1969" s="66" t="inlineStr">
        <is>
          <t>PROG_GEO_DEALER_RADIUS</t>
        </is>
      </c>
      <c r="K1969" s="66" t="inlineStr">
        <is>
          <t>Prospecting</t>
        </is>
      </c>
      <c r="L1969" s="66" t="inlineStr">
        <is>
          <t>PROG_HTML5_300x250_Dealer_v1</t>
        </is>
      </c>
      <c r="M1969" s="66" t="inlineStr">
        <is>
          <t>HTML5 Display 300x250</t>
        </is>
      </c>
      <c r="N1969" s="66" t="inlineStr">
        <is>
          <t>A dealer near you has slots</t>
        </is>
      </c>
      <c r="O1969" s="66" t="inlineStr">
        <is>
          <t>Programmatic Guaranteed / OA</t>
        </is>
      </c>
      <c r="P1969" s="66" t="inlineStr">
        <is>
          <t>Conversions (CPA)</t>
        </is>
      </c>
      <c r="Q1969" s="66" t="inlineStr">
        <is>
          <t>https://www.lepas-sa.co.za/offers</t>
        </is>
      </c>
      <c r="R1969" s="121" t="n">
        <v>135.03</v>
      </c>
      <c r="S1969" s="122" t="n">
        <v>6288</v>
      </c>
      <c r="T1969" s="122" t="n">
        <v>2298</v>
      </c>
      <c r="U1969" s="123">
        <f>IFERROR(S1969/T1969,"")</f>
        <v/>
      </c>
      <c r="V1969" s="122" t="n">
        <v>20</v>
      </c>
      <c r="W1969" s="122" t="n">
        <v>14</v>
      </c>
      <c r="X1969" s="124">
        <f>IFERROR(W1969/S1969,"")</f>
        <v/>
      </c>
      <c r="Y1969" s="121">
        <f>IFERROR(R1969/W1969,"")</f>
        <v/>
      </c>
      <c r="Z1969" s="121">
        <f>IFERROR(R1969/S1969*1000,"")</f>
        <v/>
      </c>
      <c r="AA1969" s="122" t="n">
        <v>9</v>
      </c>
      <c r="AB1969" s="54">
        <f>IFERROR(AA1969/W1969,"")</f>
        <v/>
      </c>
      <c r="AC1969" s="122" t="n">
        <v>0</v>
      </c>
      <c r="AD1969" s="122" t="n">
        <v>0</v>
      </c>
      <c r="AE1969" s="122" t="n">
        <v>0</v>
      </c>
      <c r="AF1969" s="122" t="n">
        <v>0</v>
      </c>
      <c r="AG1969" s="122" t="n">
        <v>0</v>
      </c>
      <c r="AH1969" s="122" t="n">
        <v>0</v>
      </c>
      <c r="AI1969" s="54">
        <f>IFERROR(AC1969/S1969,"")</f>
        <v/>
      </c>
      <c r="AJ1969" s="54">
        <f>IFERROR(AH1969/S1969,"")</f>
        <v/>
      </c>
      <c r="AK1969" s="122" t="n">
        <v>33</v>
      </c>
      <c r="AL1969" s="122" t="n">
        <v>0</v>
      </c>
      <c r="AM1969" s="124">
        <f>IFERROR(AL1969/AA1969,"")</f>
        <v/>
      </c>
      <c r="AN1969" s="125">
        <f>IFERROR(R1969/AL1969,"")</f>
        <v/>
      </c>
      <c r="AO1969" s="122" t="n">
        <v>0</v>
      </c>
      <c r="AP1969" s="54">
        <f>IFERROR(AO1969/AL1969,"")</f>
        <v/>
      </c>
      <c r="AQ1969" s="125">
        <f>IFERROR(R1969/AO1969,"")</f>
        <v/>
      </c>
      <c r="AR1969" s="122" t="n">
        <v>0</v>
      </c>
      <c r="AS1969" s="122" t="n">
        <v>0</v>
      </c>
      <c r="AT1969" s="122">
        <f>AL1969+AR1969</f>
        <v/>
      </c>
      <c r="AU1969" s="125">
        <f>IFERROR(AO1969*Assumptions!$C$26*Assumptions!$C$27*INDEX(Assumptions!$C$18:$C$21,MATCH(H1969,Assumptions!$B$18:$B$21,0)),0)</f>
        <v/>
      </c>
    </row>
    <row r="1970">
      <c r="A1970" s="120" t="n">
        <v>46256</v>
      </c>
      <c r="B1970" s="66" t="inlineStr">
        <is>
          <t>Wk 34</t>
        </is>
      </c>
      <c r="C1970" s="66" t="inlineStr">
        <is>
          <t>Sat</t>
        </is>
      </c>
      <c r="D1970" s="66" t="inlineStr">
        <is>
          <t>Programmatic</t>
        </is>
      </c>
      <c r="E1970" s="66" t="inlineStr">
        <is>
          <t>DV360</t>
        </is>
      </c>
      <c r="F1970" s="66" t="inlineStr">
        <is>
          <t>LEP_ZA_AUG26_PROG_TD_PROSPECT_DISPLAY</t>
        </is>
      </c>
      <c r="G1970" s="66" t="inlineStr">
        <is>
          <t>Display Prospecting</t>
        </is>
      </c>
      <c r="H1970" s="66" t="inlineStr">
        <is>
          <t>Range</t>
        </is>
      </c>
      <c r="I1970" s="66" t="inlineStr">
        <is>
          <t>Range Offer</t>
        </is>
      </c>
      <c r="J1970" s="66" t="inlineStr">
        <is>
          <t>PROG_GEO_DEALER_RADIUS</t>
        </is>
      </c>
      <c r="K1970" s="66" t="inlineStr">
        <is>
          <t>Prospecting</t>
        </is>
      </c>
      <c r="L1970" s="66" t="inlineStr">
        <is>
          <t>PROG_HTML5_300x250_Dealer_v1</t>
        </is>
      </c>
      <c r="M1970" s="66" t="inlineStr">
        <is>
          <t>HTML5 Display 300x250</t>
        </is>
      </c>
      <c r="N1970" s="66" t="inlineStr">
        <is>
          <t>A dealer near you has slots</t>
        </is>
      </c>
      <c r="O1970" s="66" t="inlineStr">
        <is>
          <t>Programmatic Guaranteed / OA</t>
        </is>
      </c>
      <c r="P1970" s="66" t="inlineStr">
        <is>
          <t>Conversions (CPA)</t>
        </is>
      </c>
      <c r="Q1970" s="66" t="inlineStr">
        <is>
          <t>https://www.lepas-sa.co.za/offers</t>
        </is>
      </c>
      <c r="R1970" s="121" t="n">
        <v>120.42</v>
      </c>
      <c r="S1970" s="122" t="n">
        <v>6305</v>
      </c>
      <c r="T1970" s="122" t="n">
        <v>3543</v>
      </c>
      <c r="U1970" s="123">
        <f>IFERROR(S1970/T1970,"")</f>
        <v/>
      </c>
      <c r="V1970" s="122" t="n">
        <v>13</v>
      </c>
      <c r="W1970" s="122" t="n">
        <v>11</v>
      </c>
      <c r="X1970" s="124">
        <f>IFERROR(W1970/S1970,"")</f>
        <v/>
      </c>
      <c r="Y1970" s="121">
        <f>IFERROR(R1970/W1970,"")</f>
        <v/>
      </c>
      <c r="Z1970" s="121">
        <f>IFERROR(R1970/S1970*1000,"")</f>
        <v/>
      </c>
      <c r="AA1970" s="122" t="n">
        <v>8</v>
      </c>
      <c r="AB1970" s="54">
        <f>IFERROR(AA1970/W1970,"")</f>
        <v/>
      </c>
      <c r="AC1970" s="122" t="n">
        <v>0</v>
      </c>
      <c r="AD1970" s="122" t="n">
        <v>0</v>
      </c>
      <c r="AE1970" s="122" t="n">
        <v>0</v>
      </c>
      <c r="AF1970" s="122" t="n">
        <v>0</v>
      </c>
      <c r="AG1970" s="122" t="n">
        <v>0</v>
      </c>
      <c r="AH1970" s="122" t="n">
        <v>0</v>
      </c>
      <c r="AI1970" s="54">
        <f>IFERROR(AC1970/S1970,"")</f>
        <v/>
      </c>
      <c r="AJ1970" s="54">
        <f>IFERROR(AH1970/S1970,"")</f>
        <v/>
      </c>
      <c r="AK1970" s="122" t="n">
        <v>22</v>
      </c>
      <c r="AL1970" s="122" t="n">
        <v>0</v>
      </c>
      <c r="AM1970" s="124">
        <f>IFERROR(AL1970/AA1970,"")</f>
        <v/>
      </c>
      <c r="AN1970" s="125">
        <f>IFERROR(R1970/AL1970,"")</f>
        <v/>
      </c>
      <c r="AO1970" s="122" t="n">
        <v>0</v>
      </c>
      <c r="AP1970" s="54">
        <f>IFERROR(AO1970/AL1970,"")</f>
        <v/>
      </c>
      <c r="AQ1970" s="125">
        <f>IFERROR(R1970/AO1970,"")</f>
        <v/>
      </c>
      <c r="AR1970" s="122" t="n">
        <v>0</v>
      </c>
      <c r="AS1970" s="122" t="n">
        <v>0</v>
      </c>
      <c r="AT1970" s="122">
        <f>AL1970+AR1970</f>
        <v/>
      </c>
      <c r="AU1970" s="125">
        <f>IFERROR(AO1970*Assumptions!$C$26*Assumptions!$C$27*INDEX(Assumptions!$C$18:$C$21,MATCH(H1970,Assumptions!$B$18:$B$21,0)),0)</f>
        <v/>
      </c>
    </row>
    <row r="1971">
      <c r="A1971" s="120" t="n">
        <v>46257</v>
      </c>
      <c r="B1971" s="66" t="inlineStr">
        <is>
          <t>Wk 34</t>
        </is>
      </c>
      <c r="C1971" s="66" t="inlineStr">
        <is>
          <t>Sun</t>
        </is>
      </c>
      <c r="D1971" s="66" t="inlineStr">
        <is>
          <t>Programmatic</t>
        </is>
      </c>
      <c r="E1971" s="66" t="inlineStr">
        <is>
          <t>DV360</t>
        </is>
      </c>
      <c r="F1971" s="66" t="inlineStr">
        <is>
          <t>LEP_ZA_AUG26_PROG_TD_PROSPECT_DISPLAY</t>
        </is>
      </c>
      <c r="G1971" s="66" t="inlineStr">
        <is>
          <t>Display Prospecting</t>
        </is>
      </c>
      <c r="H1971" s="66" t="inlineStr">
        <is>
          <t>Range</t>
        </is>
      </c>
      <c r="I1971" s="66" t="inlineStr">
        <is>
          <t>Range Offer</t>
        </is>
      </c>
      <c r="J1971" s="66" t="inlineStr">
        <is>
          <t>PROG_GEO_DEALER_RADIUS</t>
        </is>
      </c>
      <c r="K1971" s="66" t="inlineStr">
        <is>
          <t>Prospecting</t>
        </is>
      </c>
      <c r="L1971" s="66" t="inlineStr">
        <is>
          <t>PROG_HTML5_300x250_Dealer_v1</t>
        </is>
      </c>
      <c r="M1971" s="66" t="inlineStr">
        <is>
          <t>HTML5 Display 300x250</t>
        </is>
      </c>
      <c r="N1971" s="66" t="inlineStr">
        <is>
          <t>A dealer near you has slots</t>
        </is>
      </c>
      <c r="O1971" s="66" t="inlineStr">
        <is>
          <t>Programmatic Guaranteed / OA</t>
        </is>
      </c>
      <c r="P1971" s="66" t="inlineStr">
        <is>
          <t>Conversions (CPA)</t>
        </is>
      </c>
      <c r="Q1971" s="66" t="inlineStr">
        <is>
          <t>https://www.lepas-sa.co.za/offers</t>
        </is>
      </c>
      <c r="R1971" s="121" t="n">
        <v>93.54000000000001</v>
      </c>
      <c r="S1971" s="122" t="n">
        <v>4064</v>
      </c>
      <c r="T1971" s="122" t="n">
        <v>1756</v>
      </c>
      <c r="U1971" s="123">
        <f>IFERROR(S1971/T1971,"")</f>
        <v/>
      </c>
      <c r="V1971" s="122" t="n">
        <v>11</v>
      </c>
      <c r="W1971" s="122" t="n">
        <v>9</v>
      </c>
      <c r="X1971" s="124">
        <f>IFERROR(W1971/S1971,"")</f>
        <v/>
      </c>
      <c r="Y1971" s="121">
        <f>IFERROR(R1971/W1971,"")</f>
        <v/>
      </c>
      <c r="Z1971" s="121">
        <f>IFERROR(R1971/S1971*1000,"")</f>
        <v/>
      </c>
      <c r="AA1971" s="122" t="n">
        <v>6</v>
      </c>
      <c r="AB1971" s="54">
        <f>IFERROR(AA1971/W1971,"")</f>
        <v/>
      </c>
      <c r="AC1971" s="122" t="n">
        <v>0</v>
      </c>
      <c r="AD1971" s="122" t="n">
        <v>0</v>
      </c>
      <c r="AE1971" s="122" t="n">
        <v>0</v>
      </c>
      <c r="AF1971" s="122" t="n">
        <v>0</v>
      </c>
      <c r="AG1971" s="122" t="n">
        <v>0</v>
      </c>
      <c r="AH1971" s="122" t="n">
        <v>0</v>
      </c>
      <c r="AI1971" s="54">
        <f>IFERROR(AC1971/S1971,"")</f>
        <v/>
      </c>
      <c r="AJ1971" s="54">
        <f>IFERROR(AH1971/S1971,"")</f>
        <v/>
      </c>
      <c r="AK1971" s="122" t="n">
        <v>10</v>
      </c>
      <c r="AL1971" s="122" t="n">
        <v>0</v>
      </c>
      <c r="AM1971" s="124">
        <f>IFERROR(AL1971/AA1971,"")</f>
        <v/>
      </c>
      <c r="AN1971" s="125">
        <f>IFERROR(R1971/AL1971,"")</f>
        <v/>
      </c>
      <c r="AO1971" s="122" t="n">
        <v>0</v>
      </c>
      <c r="AP1971" s="54">
        <f>IFERROR(AO1971/AL1971,"")</f>
        <v/>
      </c>
      <c r="AQ1971" s="125">
        <f>IFERROR(R1971/AO1971,"")</f>
        <v/>
      </c>
      <c r="AR1971" s="122" t="n">
        <v>0</v>
      </c>
      <c r="AS1971" s="122" t="n">
        <v>0</v>
      </c>
      <c r="AT1971" s="122">
        <f>AL1971+AR1971</f>
        <v/>
      </c>
      <c r="AU1971" s="125">
        <f>IFERROR(AO1971*Assumptions!$C$26*Assumptions!$C$27*INDEX(Assumptions!$C$18:$C$21,MATCH(H1971,Assumptions!$B$18:$B$21,0)),0)</f>
        <v/>
      </c>
    </row>
    <row r="1972">
      <c r="A1972" s="120" t="n">
        <v>46258</v>
      </c>
      <c r="B1972" s="66" t="inlineStr">
        <is>
          <t>Wk 35</t>
        </is>
      </c>
      <c r="C1972" s="66" t="inlineStr">
        <is>
          <t>Mon</t>
        </is>
      </c>
      <c r="D1972" s="66" t="inlineStr">
        <is>
          <t>Programmatic</t>
        </is>
      </c>
      <c r="E1972" s="66" t="inlineStr">
        <is>
          <t>DV360</t>
        </is>
      </c>
      <c r="F1972" s="66" t="inlineStr">
        <is>
          <t>LEP_ZA_AUG26_PROG_TD_PROSPECT_DISPLAY</t>
        </is>
      </c>
      <c r="G1972" s="66" t="inlineStr">
        <is>
          <t>Display Prospecting</t>
        </is>
      </c>
      <c r="H1972" s="66" t="inlineStr">
        <is>
          <t>Range</t>
        </is>
      </c>
      <c r="I1972" s="66" t="inlineStr">
        <is>
          <t>Range Offer</t>
        </is>
      </c>
      <c r="J1972" s="66" t="inlineStr">
        <is>
          <t>PROG_GEO_DEALER_RADIUS</t>
        </is>
      </c>
      <c r="K1972" s="66" t="inlineStr">
        <is>
          <t>Prospecting</t>
        </is>
      </c>
      <c r="L1972" s="66" t="inlineStr">
        <is>
          <t>PROG_HTML5_300x250_Dealer_v1</t>
        </is>
      </c>
      <c r="M1972" s="66" t="inlineStr">
        <is>
          <t>HTML5 Display 300x250</t>
        </is>
      </c>
      <c r="N1972" s="66" t="inlineStr">
        <is>
          <t>A dealer near you has slots</t>
        </is>
      </c>
      <c r="O1972" s="66" t="inlineStr">
        <is>
          <t>Programmatic Guaranteed / OA</t>
        </is>
      </c>
      <c r="P1972" s="66" t="inlineStr">
        <is>
          <t>Conversions (CPA)</t>
        </is>
      </c>
      <c r="Q1972" s="66" t="inlineStr">
        <is>
          <t>https://www.lepas-sa.co.za/offers</t>
        </is>
      </c>
      <c r="R1972" s="121" t="n">
        <v>97.43000000000001</v>
      </c>
      <c r="S1972" s="122" t="n">
        <v>3087</v>
      </c>
      <c r="T1972" s="122" t="n">
        <v>1921</v>
      </c>
      <c r="U1972" s="123">
        <f>IFERROR(S1972/T1972,"")</f>
        <v/>
      </c>
      <c r="V1972" s="122" t="n">
        <v>9</v>
      </c>
      <c r="W1972" s="122" t="n">
        <v>7</v>
      </c>
      <c r="X1972" s="124">
        <f>IFERROR(W1972/S1972,"")</f>
        <v/>
      </c>
      <c r="Y1972" s="121">
        <f>IFERROR(R1972/W1972,"")</f>
        <v/>
      </c>
      <c r="Z1972" s="121">
        <f>IFERROR(R1972/S1972*1000,"")</f>
        <v/>
      </c>
      <c r="AA1972" s="122" t="n">
        <v>4</v>
      </c>
      <c r="AB1972" s="54">
        <f>IFERROR(AA1972/W1972,"")</f>
        <v/>
      </c>
      <c r="AC1972" s="122" t="n">
        <v>0</v>
      </c>
      <c r="AD1972" s="122" t="n">
        <v>0</v>
      </c>
      <c r="AE1972" s="122" t="n">
        <v>0</v>
      </c>
      <c r="AF1972" s="122" t="n">
        <v>0</v>
      </c>
      <c r="AG1972" s="122" t="n">
        <v>0</v>
      </c>
      <c r="AH1972" s="122" t="n">
        <v>0</v>
      </c>
      <c r="AI1972" s="54">
        <f>IFERROR(AC1972/S1972,"")</f>
        <v/>
      </c>
      <c r="AJ1972" s="54">
        <f>IFERROR(AH1972/S1972,"")</f>
        <v/>
      </c>
      <c r="AK1972" s="122" t="n">
        <v>5</v>
      </c>
      <c r="AL1972" s="122" t="n">
        <v>0</v>
      </c>
      <c r="AM1972" s="124">
        <f>IFERROR(AL1972/AA1972,"")</f>
        <v/>
      </c>
      <c r="AN1972" s="125">
        <f>IFERROR(R1972/AL1972,"")</f>
        <v/>
      </c>
      <c r="AO1972" s="122" t="n">
        <v>0</v>
      </c>
      <c r="AP1972" s="54">
        <f>IFERROR(AO1972/AL1972,"")</f>
        <v/>
      </c>
      <c r="AQ1972" s="125">
        <f>IFERROR(R1972/AO1972,"")</f>
        <v/>
      </c>
      <c r="AR1972" s="122" t="n">
        <v>0</v>
      </c>
      <c r="AS1972" s="122" t="n">
        <v>0</v>
      </c>
      <c r="AT1972" s="122">
        <f>AL1972+AR1972</f>
        <v/>
      </c>
      <c r="AU1972" s="125">
        <f>IFERROR(AO1972*Assumptions!$C$26*Assumptions!$C$27*INDEX(Assumptions!$C$18:$C$21,MATCH(H1972,Assumptions!$B$18:$B$21,0)),0)</f>
        <v/>
      </c>
    </row>
    <row r="1973">
      <c r="A1973" s="120" t="n">
        <v>46259</v>
      </c>
      <c r="B1973" s="66" t="inlineStr">
        <is>
          <t>Wk 35</t>
        </is>
      </c>
      <c r="C1973" s="66" t="inlineStr">
        <is>
          <t>Tue</t>
        </is>
      </c>
      <c r="D1973" s="66" t="inlineStr">
        <is>
          <t>Programmatic</t>
        </is>
      </c>
      <c r="E1973" s="66" t="inlineStr">
        <is>
          <t>DV360</t>
        </is>
      </c>
      <c r="F1973" s="66" t="inlineStr">
        <is>
          <t>LEP_ZA_AUG26_PROG_TD_PROSPECT_DISPLAY</t>
        </is>
      </c>
      <c r="G1973" s="66" t="inlineStr">
        <is>
          <t>Display Prospecting</t>
        </is>
      </c>
      <c r="H1973" s="66" t="inlineStr">
        <is>
          <t>Range</t>
        </is>
      </c>
      <c r="I1973" s="66" t="inlineStr">
        <is>
          <t>Range Offer</t>
        </is>
      </c>
      <c r="J1973" s="66" t="inlineStr">
        <is>
          <t>PROG_GEO_DEALER_RADIUS</t>
        </is>
      </c>
      <c r="K1973" s="66" t="inlineStr">
        <is>
          <t>Prospecting</t>
        </is>
      </c>
      <c r="L1973" s="66" t="inlineStr">
        <is>
          <t>PROG_HTML5_300x250_Dealer_v1</t>
        </is>
      </c>
      <c r="M1973" s="66" t="inlineStr">
        <is>
          <t>HTML5 Display 300x250</t>
        </is>
      </c>
      <c r="N1973" s="66" t="inlineStr">
        <is>
          <t>A dealer near you has slots</t>
        </is>
      </c>
      <c r="O1973" s="66" t="inlineStr">
        <is>
          <t>Programmatic Guaranteed / OA</t>
        </is>
      </c>
      <c r="P1973" s="66" t="inlineStr">
        <is>
          <t>Conversions (CPA)</t>
        </is>
      </c>
      <c r="Q1973" s="66" t="inlineStr">
        <is>
          <t>https://www.lepas-sa.co.za/offers</t>
        </is>
      </c>
      <c r="R1973" s="121" t="n">
        <v>90.98</v>
      </c>
      <c r="S1973" s="122" t="n">
        <v>4254</v>
      </c>
      <c r="T1973" s="122" t="n">
        <v>1958</v>
      </c>
      <c r="U1973" s="123">
        <f>IFERROR(S1973/T1973,"")</f>
        <v/>
      </c>
      <c r="V1973" s="122" t="n">
        <v>8</v>
      </c>
      <c r="W1973" s="122" t="n">
        <v>6</v>
      </c>
      <c r="X1973" s="124">
        <f>IFERROR(W1973/S1973,"")</f>
        <v/>
      </c>
      <c r="Y1973" s="121">
        <f>IFERROR(R1973/W1973,"")</f>
        <v/>
      </c>
      <c r="Z1973" s="121">
        <f>IFERROR(R1973/S1973*1000,"")</f>
        <v/>
      </c>
      <c r="AA1973" s="122" t="n">
        <v>4</v>
      </c>
      <c r="AB1973" s="54">
        <f>IFERROR(AA1973/W1973,"")</f>
        <v/>
      </c>
      <c r="AC1973" s="122" t="n">
        <v>0</v>
      </c>
      <c r="AD1973" s="122" t="n">
        <v>0</v>
      </c>
      <c r="AE1973" s="122" t="n">
        <v>0</v>
      </c>
      <c r="AF1973" s="122" t="n">
        <v>0</v>
      </c>
      <c r="AG1973" s="122" t="n">
        <v>0</v>
      </c>
      <c r="AH1973" s="122" t="n">
        <v>0</v>
      </c>
      <c r="AI1973" s="54">
        <f>IFERROR(AC1973/S1973,"")</f>
        <v/>
      </c>
      <c r="AJ1973" s="54">
        <f>IFERROR(AH1973/S1973,"")</f>
        <v/>
      </c>
      <c r="AK1973" s="122" t="n">
        <v>18</v>
      </c>
      <c r="AL1973" s="122" t="n">
        <v>1</v>
      </c>
      <c r="AM1973" s="124">
        <f>IFERROR(AL1973/AA1973,"")</f>
        <v/>
      </c>
      <c r="AN1973" s="125">
        <f>IFERROR(R1973/AL1973,"")</f>
        <v/>
      </c>
      <c r="AO1973" s="122" t="n">
        <v>1</v>
      </c>
      <c r="AP1973" s="54">
        <f>IFERROR(AO1973/AL1973,"")</f>
        <v/>
      </c>
      <c r="AQ1973" s="125">
        <f>IFERROR(R1973/AO1973,"")</f>
        <v/>
      </c>
      <c r="AR1973" s="122" t="n">
        <v>2</v>
      </c>
      <c r="AS1973" s="122" t="n">
        <v>2</v>
      </c>
      <c r="AT1973" s="122">
        <f>AL1973+AR1973</f>
        <v/>
      </c>
      <c r="AU1973" s="125">
        <f>IFERROR(AO1973*Assumptions!$C$26*Assumptions!$C$27*INDEX(Assumptions!$C$18:$C$21,MATCH(H1973,Assumptions!$B$18:$B$21,0)),0)</f>
        <v/>
      </c>
    </row>
    <row r="1974">
      <c r="A1974" s="120" t="n">
        <v>46260</v>
      </c>
      <c r="B1974" s="66" t="inlineStr">
        <is>
          <t>Wk 35</t>
        </is>
      </c>
      <c r="C1974" s="66" t="inlineStr">
        <is>
          <t>Wed</t>
        </is>
      </c>
      <c r="D1974" s="66" t="inlineStr">
        <is>
          <t>Programmatic</t>
        </is>
      </c>
      <c r="E1974" s="66" t="inlineStr">
        <is>
          <t>DV360</t>
        </is>
      </c>
      <c r="F1974" s="66" t="inlineStr">
        <is>
          <t>LEP_ZA_AUG26_PROG_TD_PROSPECT_DISPLAY</t>
        </is>
      </c>
      <c r="G1974" s="66" t="inlineStr">
        <is>
          <t>Display Prospecting</t>
        </is>
      </c>
      <c r="H1974" s="66" t="inlineStr">
        <is>
          <t>Range</t>
        </is>
      </c>
      <c r="I1974" s="66" t="inlineStr">
        <is>
          <t>Range Offer</t>
        </is>
      </c>
      <c r="J1974" s="66" t="inlineStr">
        <is>
          <t>PROG_GEO_DEALER_RADIUS</t>
        </is>
      </c>
      <c r="K1974" s="66" t="inlineStr">
        <is>
          <t>Prospecting</t>
        </is>
      </c>
      <c r="L1974" s="66" t="inlineStr">
        <is>
          <t>PROG_HTML5_300x250_Dealer_v1</t>
        </is>
      </c>
      <c r="M1974" s="66" t="inlineStr">
        <is>
          <t>HTML5 Display 300x250</t>
        </is>
      </c>
      <c r="N1974" s="66" t="inlineStr">
        <is>
          <t>A dealer near you has slots</t>
        </is>
      </c>
      <c r="O1974" s="66" t="inlineStr">
        <is>
          <t>Programmatic Guaranteed / OA</t>
        </is>
      </c>
      <c r="P1974" s="66" t="inlineStr">
        <is>
          <t>Conversions (CPA)</t>
        </is>
      </c>
      <c r="Q1974" s="66" t="inlineStr">
        <is>
          <t>https://www.lepas-sa.co.za/offers</t>
        </is>
      </c>
      <c r="R1974" s="121" t="n">
        <v>117.44</v>
      </c>
      <c r="S1974" s="122" t="n">
        <v>4634</v>
      </c>
      <c r="T1974" s="122" t="n">
        <v>1919</v>
      </c>
      <c r="U1974" s="123">
        <f>IFERROR(S1974/T1974,"")</f>
        <v/>
      </c>
      <c r="V1974" s="122" t="n">
        <v>5</v>
      </c>
      <c r="W1974" s="122" t="n">
        <v>4</v>
      </c>
      <c r="X1974" s="124">
        <f>IFERROR(W1974/S1974,"")</f>
        <v/>
      </c>
      <c r="Y1974" s="121">
        <f>IFERROR(R1974/W1974,"")</f>
        <v/>
      </c>
      <c r="Z1974" s="121">
        <f>IFERROR(R1974/S1974*1000,"")</f>
        <v/>
      </c>
      <c r="AA1974" s="122" t="n">
        <v>2</v>
      </c>
      <c r="AB1974" s="54">
        <f>IFERROR(AA1974/W1974,"")</f>
        <v/>
      </c>
      <c r="AC1974" s="122" t="n">
        <v>0</v>
      </c>
      <c r="AD1974" s="122" t="n">
        <v>0</v>
      </c>
      <c r="AE1974" s="122" t="n">
        <v>0</v>
      </c>
      <c r="AF1974" s="122" t="n">
        <v>0</v>
      </c>
      <c r="AG1974" s="122" t="n">
        <v>0</v>
      </c>
      <c r="AH1974" s="122" t="n">
        <v>0</v>
      </c>
      <c r="AI1974" s="54">
        <f>IFERROR(AC1974/S1974,"")</f>
        <v/>
      </c>
      <c r="AJ1974" s="54">
        <f>IFERROR(AH1974/S1974,"")</f>
        <v/>
      </c>
      <c r="AK1974" s="122" t="n">
        <v>21</v>
      </c>
      <c r="AL1974" s="122" t="n">
        <v>0</v>
      </c>
      <c r="AM1974" s="124">
        <f>IFERROR(AL1974/AA1974,"")</f>
        <v/>
      </c>
      <c r="AN1974" s="125">
        <f>IFERROR(R1974/AL1974,"")</f>
        <v/>
      </c>
      <c r="AO1974" s="122" t="n">
        <v>0</v>
      </c>
      <c r="AP1974" s="54">
        <f>IFERROR(AO1974/AL1974,"")</f>
        <v/>
      </c>
      <c r="AQ1974" s="125">
        <f>IFERROR(R1974/AO1974,"")</f>
        <v/>
      </c>
      <c r="AR1974" s="122" t="n">
        <v>0</v>
      </c>
      <c r="AS1974" s="122" t="n">
        <v>0</v>
      </c>
      <c r="AT1974" s="122">
        <f>AL1974+AR1974</f>
        <v/>
      </c>
      <c r="AU1974" s="125">
        <f>IFERROR(AO1974*Assumptions!$C$26*Assumptions!$C$27*INDEX(Assumptions!$C$18:$C$21,MATCH(H1974,Assumptions!$B$18:$B$21,0)),0)</f>
        <v/>
      </c>
    </row>
    <row r="1975">
      <c r="A1975" s="120" t="n">
        <v>46261</v>
      </c>
      <c r="B1975" s="66" t="inlineStr">
        <is>
          <t>Wk 35</t>
        </is>
      </c>
      <c r="C1975" s="66" t="inlineStr">
        <is>
          <t>Thu</t>
        </is>
      </c>
      <c r="D1975" s="66" t="inlineStr">
        <is>
          <t>Programmatic</t>
        </is>
      </c>
      <c r="E1975" s="66" t="inlineStr">
        <is>
          <t>DV360</t>
        </is>
      </c>
      <c r="F1975" s="66" t="inlineStr">
        <is>
          <t>LEP_ZA_AUG26_PROG_TD_PROSPECT_DISPLAY</t>
        </is>
      </c>
      <c r="G1975" s="66" t="inlineStr">
        <is>
          <t>Display Prospecting</t>
        </is>
      </c>
      <c r="H1975" s="66" t="inlineStr">
        <is>
          <t>Range</t>
        </is>
      </c>
      <c r="I1975" s="66" t="inlineStr">
        <is>
          <t>Range Offer</t>
        </is>
      </c>
      <c r="J1975" s="66" t="inlineStr">
        <is>
          <t>PROG_GEO_DEALER_RADIUS</t>
        </is>
      </c>
      <c r="K1975" s="66" t="inlineStr">
        <is>
          <t>Prospecting</t>
        </is>
      </c>
      <c r="L1975" s="66" t="inlineStr">
        <is>
          <t>PROG_HTML5_300x250_Dealer_v1</t>
        </is>
      </c>
      <c r="M1975" s="66" t="inlineStr">
        <is>
          <t>HTML5 Display 300x250</t>
        </is>
      </c>
      <c r="N1975" s="66" t="inlineStr">
        <is>
          <t>A dealer near you has slots</t>
        </is>
      </c>
      <c r="O1975" s="66" t="inlineStr">
        <is>
          <t>Programmatic Guaranteed / OA</t>
        </is>
      </c>
      <c r="P1975" s="66" t="inlineStr">
        <is>
          <t>Conversions (CPA)</t>
        </is>
      </c>
      <c r="Q1975" s="66" t="inlineStr">
        <is>
          <t>https://www.lepas-sa.co.za/offers</t>
        </is>
      </c>
      <c r="R1975" s="121" t="n">
        <v>157.05</v>
      </c>
      <c r="S1975" s="122" t="n">
        <v>5631</v>
      </c>
      <c r="T1975" s="122" t="n">
        <v>3209</v>
      </c>
      <c r="U1975" s="123">
        <f>IFERROR(S1975/T1975,"")</f>
        <v/>
      </c>
      <c r="V1975" s="122" t="n">
        <v>17</v>
      </c>
      <c r="W1975" s="122" t="n">
        <v>12</v>
      </c>
      <c r="X1975" s="124">
        <f>IFERROR(W1975/S1975,"")</f>
        <v/>
      </c>
      <c r="Y1975" s="121">
        <f>IFERROR(R1975/W1975,"")</f>
        <v/>
      </c>
      <c r="Z1975" s="121">
        <f>IFERROR(R1975/S1975*1000,"")</f>
        <v/>
      </c>
      <c r="AA1975" s="122" t="n">
        <v>8</v>
      </c>
      <c r="AB1975" s="54">
        <f>IFERROR(AA1975/W1975,"")</f>
        <v/>
      </c>
      <c r="AC1975" s="122" t="n">
        <v>0</v>
      </c>
      <c r="AD1975" s="122" t="n">
        <v>0</v>
      </c>
      <c r="AE1975" s="122" t="n">
        <v>0</v>
      </c>
      <c r="AF1975" s="122" t="n">
        <v>0</v>
      </c>
      <c r="AG1975" s="122" t="n">
        <v>0</v>
      </c>
      <c r="AH1975" s="122" t="n">
        <v>0</v>
      </c>
      <c r="AI1975" s="54">
        <f>IFERROR(AC1975/S1975,"")</f>
        <v/>
      </c>
      <c r="AJ1975" s="54">
        <f>IFERROR(AH1975/S1975,"")</f>
        <v/>
      </c>
      <c r="AK1975" s="122" t="n">
        <v>30</v>
      </c>
      <c r="AL1975" s="122" t="n">
        <v>1</v>
      </c>
      <c r="AM1975" s="124">
        <f>IFERROR(AL1975/AA1975,"")</f>
        <v/>
      </c>
      <c r="AN1975" s="125">
        <f>IFERROR(R1975/AL1975,"")</f>
        <v/>
      </c>
      <c r="AO1975" s="122" t="n">
        <v>0</v>
      </c>
      <c r="AP1975" s="54">
        <f>IFERROR(AO1975/AL1975,"")</f>
        <v/>
      </c>
      <c r="AQ1975" s="125">
        <f>IFERROR(R1975/AO1975,"")</f>
        <v/>
      </c>
      <c r="AR1975" s="122" t="n">
        <v>2</v>
      </c>
      <c r="AS1975" s="122" t="n">
        <v>1</v>
      </c>
      <c r="AT1975" s="122">
        <f>AL1975+AR1975</f>
        <v/>
      </c>
      <c r="AU1975" s="125">
        <f>IFERROR(AO1975*Assumptions!$C$26*Assumptions!$C$27*INDEX(Assumptions!$C$18:$C$21,MATCH(H1975,Assumptions!$B$18:$B$21,0)),0)</f>
        <v/>
      </c>
    </row>
    <row r="1976">
      <c r="A1976" s="120" t="n">
        <v>46262</v>
      </c>
      <c r="B1976" s="66" t="inlineStr">
        <is>
          <t>Wk 35</t>
        </is>
      </c>
      <c r="C1976" s="66" t="inlineStr">
        <is>
          <t>Fri</t>
        </is>
      </c>
      <c r="D1976" s="66" t="inlineStr">
        <is>
          <t>Programmatic</t>
        </is>
      </c>
      <c r="E1976" s="66" t="inlineStr">
        <is>
          <t>DV360</t>
        </is>
      </c>
      <c r="F1976" s="66" t="inlineStr">
        <is>
          <t>LEP_ZA_AUG26_PROG_TD_PROSPECT_DISPLAY</t>
        </is>
      </c>
      <c r="G1976" s="66" t="inlineStr">
        <is>
          <t>Display Prospecting</t>
        </is>
      </c>
      <c r="H1976" s="66" t="inlineStr">
        <is>
          <t>Range</t>
        </is>
      </c>
      <c r="I1976" s="66" t="inlineStr">
        <is>
          <t>Range Offer</t>
        </is>
      </c>
      <c r="J1976" s="66" t="inlineStr">
        <is>
          <t>PROG_GEO_DEALER_RADIUS</t>
        </is>
      </c>
      <c r="K1976" s="66" t="inlineStr">
        <is>
          <t>Prospecting</t>
        </is>
      </c>
      <c r="L1976" s="66" t="inlineStr">
        <is>
          <t>PROG_HTML5_300x250_Dealer_v1</t>
        </is>
      </c>
      <c r="M1976" s="66" t="inlineStr">
        <is>
          <t>HTML5 Display 300x250</t>
        </is>
      </c>
      <c r="N1976" s="66" t="inlineStr">
        <is>
          <t>A dealer near you has slots</t>
        </is>
      </c>
      <c r="O1976" s="66" t="inlineStr">
        <is>
          <t>Programmatic Guaranteed / OA</t>
        </is>
      </c>
      <c r="P1976" s="66" t="inlineStr">
        <is>
          <t>Conversions (CPA)</t>
        </is>
      </c>
      <c r="Q1976" s="66" t="inlineStr">
        <is>
          <t>https://www.lepas-sa.co.za/offers</t>
        </is>
      </c>
      <c r="R1976" s="121" t="n">
        <v>163.64</v>
      </c>
      <c r="S1976" s="122" t="n">
        <v>6182</v>
      </c>
      <c r="T1976" s="122" t="n">
        <v>2938</v>
      </c>
      <c r="U1976" s="123">
        <f>IFERROR(S1976/T1976,"")</f>
        <v/>
      </c>
      <c r="V1976" s="122" t="n">
        <v>7</v>
      </c>
      <c r="W1976" s="122" t="n">
        <v>5</v>
      </c>
      <c r="X1976" s="124">
        <f>IFERROR(W1976/S1976,"")</f>
        <v/>
      </c>
      <c r="Y1976" s="121">
        <f>IFERROR(R1976/W1976,"")</f>
        <v/>
      </c>
      <c r="Z1976" s="121">
        <f>IFERROR(R1976/S1976*1000,"")</f>
        <v/>
      </c>
      <c r="AA1976" s="122" t="n">
        <v>2</v>
      </c>
      <c r="AB1976" s="54">
        <f>IFERROR(AA1976/W1976,"")</f>
        <v/>
      </c>
      <c r="AC1976" s="122" t="n">
        <v>0</v>
      </c>
      <c r="AD1976" s="122" t="n">
        <v>0</v>
      </c>
      <c r="AE1976" s="122" t="n">
        <v>0</v>
      </c>
      <c r="AF1976" s="122" t="n">
        <v>0</v>
      </c>
      <c r="AG1976" s="122" t="n">
        <v>0</v>
      </c>
      <c r="AH1976" s="122" t="n">
        <v>0</v>
      </c>
      <c r="AI1976" s="54">
        <f>IFERROR(AC1976/S1976,"")</f>
        <v/>
      </c>
      <c r="AJ1976" s="54">
        <f>IFERROR(AH1976/S1976,"")</f>
        <v/>
      </c>
      <c r="AK1976" s="122" t="n">
        <v>30</v>
      </c>
      <c r="AL1976" s="122" t="n">
        <v>0</v>
      </c>
      <c r="AM1976" s="124">
        <f>IFERROR(AL1976/AA1976,"")</f>
        <v/>
      </c>
      <c r="AN1976" s="125">
        <f>IFERROR(R1976/AL1976,"")</f>
        <v/>
      </c>
      <c r="AO1976" s="122" t="n">
        <v>0</v>
      </c>
      <c r="AP1976" s="54">
        <f>IFERROR(AO1976/AL1976,"")</f>
        <v/>
      </c>
      <c r="AQ1976" s="125">
        <f>IFERROR(R1976/AO1976,"")</f>
        <v/>
      </c>
      <c r="AR1976" s="122" t="n">
        <v>0</v>
      </c>
      <c r="AS1976" s="122" t="n">
        <v>0</v>
      </c>
      <c r="AT1976" s="122">
        <f>AL1976+AR1976</f>
        <v/>
      </c>
      <c r="AU1976" s="125">
        <f>IFERROR(AO1976*Assumptions!$C$26*Assumptions!$C$27*INDEX(Assumptions!$C$18:$C$21,MATCH(H1976,Assumptions!$B$18:$B$21,0)),0)</f>
        <v/>
      </c>
    </row>
    <row r="1977">
      <c r="A1977" s="120" t="n">
        <v>46263</v>
      </c>
      <c r="B1977" s="66" t="inlineStr">
        <is>
          <t>Wk 35</t>
        </is>
      </c>
      <c r="C1977" s="66" t="inlineStr">
        <is>
          <t>Sat</t>
        </is>
      </c>
      <c r="D1977" s="66" t="inlineStr">
        <is>
          <t>Programmatic</t>
        </is>
      </c>
      <c r="E1977" s="66" t="inlineStr">
        <is>
          <t>DV360</t>
        </is>
      </c>
      <c r="F1977" s="66" t="inlineStr">
        <is>
          <t>LEP_ZA_AUG26_PROG_TD_PROSPECT_DISPLAY</t>
        </is>
      </c>
      <c r="G1977" s="66" t="inlineStr">
        <is>
          <t>Display Prospecting</t>
        </is>
      </c>
      <c r="H1977" s="66" t="inlineStr">
        <is>
          <t>Range</t>
        </is>
      </c>
      <c r="I1977" s="66" t="inlineStr">
        <is>
          <t>Range Offer</t>
        </is>
      </c>
      <c r="J1977" s="66" t="inlineStr">
        <is>
          <t>PROG_GEO_DEALER_RADIUS</t>
        </is>
      </c>
      <c r="K1977" s="66" t="inlineStr">
        <is>
          <t>Prospecting</t>
        </is>
      </c>
      <c r="L1977" s="66" t="inlineStr">
        <is>
          <t>PROG_HTML5_300x250_Dealer_v1</t>
        </is>
      </c>
      <c r="M1977" s="66" t="inlineStr">
        <is>
          <t>HTML5 Display 300x250</t>
        </is>
      </c>
      <c r="N1977" s="66" t="inlineStr">
        <is>
          <t>A dealer near you has slots</t>
        </is>
      </c>
      <c r="O1977" s="66" t="inlineStr">
        <is>
          <t>Programmatic Guaranteed / OA</t>
        </is>
      </c>
      <c r="P1977" s="66" t="inlineStr">
        <is>
          <t>Conversions (CPA)</t>
        </is>
      </c>
      <c r="Q1977" s="66" t="inlineStr">
        <is>
          <t>https://www.lepas-sa.co.za/offers</t>
        </is>
      </c>
      <c r="R1977" s="121" t="n">
        <v>126.72</v>
      </c>
      <c r="S1977" s="122" t="n">
        <v>3309</v>
      </c>
      <c r="T1977" s="122" t="n">
        <v>1168</v>
      </c>
      <c r="U1977" s="123">
        <f>IFERROR(S1977/T1977,"")</f>
        <v/>
      </c>
      <c r="V1977" s="122" t="n">
        <v>6</v>
      </c>
      <c r="W1977" s="122" t="n">
        <v>4</v>
      </c>
      <c r="X1977" s="124">
        <f>IFERROR(W1977/S1977,"")</f>
        <v/>
      </c>
      <c r="Y1977" s="121">
        <f>IFERROR(R1977/W1977,"")</f>
        <v/>
      </c>
      <c r="Z1977" s="121">
        <f>IFERROR(R1977/S1977*1000,"")</f>
        <v/>
      </c>
      <c r="AA1977" s="122" t="n">
        <v>2</v>
      </c>
      <c r="AB1977" s="54">
        <f>IFERROR(AA1977/W1977,"")</f>
        <v/>
      </c>
      <c r="AC1977" s="122" t="n">
        <v>0</v>
      </c>
      <c r="AD1977" s="122" t="n">
        <v>0</v>
      </c>
      <c r="AE1977" s="122" t="n">
        <v>0</v>
      </c>
      <c r="AF1977" s="122" t="n">
        <v>0</v>
      </c>
      <c r="AG1977" s="122" t="n">
        <v>0</v>
      </c>
      <c r="AH1977" s="122" t="n">
        <v>0</v>
      </c>
      <c r="AI1977" s="54">
        <f>IFERROR(AC1977/S1977,"")</f>
        <v/>
      </c>
      <c r="AJ1977" s="54">
        <f>IFERROR(AH1977/S1977,"")</f>
        <v/>
      </c>
      <c r="AK1977" s="122" t="n">
        <v>3</v>
      </c>
      <c r="AL1977" s="122" t="n">
        <v>0</v>
      </c>
      <c r="AM1977" s="124">
        <f>IFERROR(AL1977/AA1977,"")</f>
        <v/>
      </c>
      <c r="AN1977" s="125">
        <f>IFERROR(R1977/AL1977,"")</f>
        <v/>
      </c>
      <c r="AO1977" s="122" t="n">
        <v>0</v>
      </c>
      <c r="AP1977" s="54">
        <f>IFERROR(AO1977/AL1977,"")</f>
        <v/>
      </c>
      <c r="AQ1977" s="125">
        <f>IFERROR(R1977/AO1977,"")</f>
        <v/>
      </c>
      <c r="AR1977" s="122" t="n">
        <v>0</v>
      </c>
      <c r="AS1977" s="122" t="n">
        <v>0</v>
      </c>
      <c r="AT1977" s="122">
        <f>AL1977+AR1977</f>
        <v/>
      </c>
      <c r="AU1977" s="125">
        <f>IFERROR(AO1977*Assumptions!$C$26*Assumptions!$C$27*INDEX(Assumptions!$C$18:$C$21,MATCH(H1977,Assumptions!$B$18:$B$21,0)),0)</f>
        <v/>
      </c>
    </row>
    <row r="1978">
      <c r="A1978" s="120" t="n">
        <v>46264</v>
      </c>
      <c r="B1978" s="66" t="inlineStr">
        <is>
          <t>Wk 35</t>
        </is>
      </c>
      <c r="C1978" s="66" t="inlineStr">
        <is>
          <t>Sun</t>
        </is>
      </c>
      <c r="D1978" s="66" t="inlineStr">
        <is>
          <t>Programmatic</t>
        </is>
      </c>
      <c r="E1978" s="66" t="inlineStr">
        <is>
          <t>DV360</t>
        </is>
      </c>
      <c r="F1978" s="66" t="inlineStr">
        <is>
          <t>LEP_ZA_AUG26_PROG_TD_PROSPECT_DISPLAY</t>
        </is>
      </c>
      <c r="G1978" s="66" t="inlineStr">
        <is>
          <t>Display Prospecting</t>
        </is>
      </c>
      <c r="H1978" s="66" t="inlineStr">
        <is>
          <t>Range</t>
        </is>
      </c>
      <c r="I1978" s="66" t="inlineStr">
        <is>
          <t>Range Offer</t>
        </is>
      </c>
      <c r="J1978" s="66" t="inlineStr">
        <is>
          <t>PROG_GEO_DEALER_RADIUS</t>
        </is>
      </c>
      <c r="K1978" s="66" t="inlineStr">
        <is>
          <t>Prospecting</t>
        </is>
      </c>
      <c r="L1978" s="66" t="inlineStr">
        <is>
          <t>PROG_HTML5_300x250_Dealer_v1</t>
        </is>
      </c>
      <c r="M1978" s="66" t="inlineStr">
        <is>
          <t>HTML5 Display 300x250</t>
        </is>
      </c>
      <c r="N1978" s="66" t="inlineStr">
        <is>
          <t>A dealer near you has slots</t>
        </is>
      </c>
      <c r="O1978" s="66" t="inlineStr">
        <is>
          <t>Programmatic Guaranteed / OA</t>
        </is>
      </c>
      <c r="P1978" s="66" t="inlineStr">
        <is>
          <t>Conversions (CPA)</t>
        </is>
      </c>
      <c r="Q1978" s="66" t="inlineStr">
        <is>
          <t>https://www.lepas-sa.co.za/offers</t>
        </is>
      </c>
      <c r="R1978" s="121" t="n">
        <v>115.04</v>
      </c>
      <c r="S1978" s="122" t="n">
        <v>4743</v>
      </c>
      <c r="T1978" s="122" t="n">
        <v>2352</v>
      </c>
      <c r="U1978" s="123">
        <f>IFERROR(S1978/T1978,"")</f>
        <v/>
      </c>
      <c r="V1978" s="122" t="n">
        <v>5</v>
      </c>
      <c r="W1978" s="122" t="n">
        <v>3</v>
      </c>
      <c r="X1978" s="124">
        <f>IFERROR(W1978/S1978,"")</f>
        <v/>
      </c>
      <c r="Y1978" s="121">
        <f>IFERROR(R1978/W1978,"")</f>
        <v/>
      </c>
      <c r="Z1978" s="121">
        <f>IFERROR(R1978/S1978*1000,"")</f>
        <v/>
      </c>
      <c r="AA1978" s="122" t="n">
        <v>1</v>
      </c>
      <c r="AB1978" s="54">
        <f>IFERROR(AA1978/W1978,"")</f>
        <v/>
      </c>
      <c r="AC1978" s="122" t="n">
        <v>0</v>
      </c>
      <c r="AD1978" s="122" t="n">
        <v>0</v>
      </c>
      <c r="AE1978" s="122" t="n">
        <v>0</v>
      </c>
      <c r="AF1978" s="122" t="n">
        <v>0</v>
      </c>
      <c r="AG1978" s="122" t="n">
        <v>0</v>
      </c>
      <c r="AH1978" s="122" t="n">
        <v>0</v>
      </c>
      <c r="AI1978" s="54">
        <f>IFERROR(AC1978/S1978,"")</f>
        <v/>
      </c>
      <c r="AJ1978" s="54">
        <f>IFERROR(AH1978/S1978,"")</f>
        <v/>
      </c>
      <c r="AK1978" s="122" t="n">
        <v>8</v>
      </c>
      <c r="AL1978" s="122" t="n">
        <v>0</v>
      </c>
      <c r="AM1978" s="124">
        <f>IFERROR(AL1978/AA1978,"")</f>
        <v/>
      </c>
      <c r="AN1978" s="125">
        <f>IFERROR(R1978/AL1978,"")</f>
        <v/>
      </c>
      <c r="AO1978" s="122" t="n">
        <v>0</v>
      </c>
      <c r="AP1978" s="54">
        <f>IFERROR(AO1978/AL1978,"")</f>
        <v/>
      </c>
      <c r="AQ1978" s="125">
        <f>IFERROR(R1978/AO1978,"")</f>
        <v/>
      </c>
      <c r="AR1978" s="122" t="n">
        <v>0</v>
      </c>
      <c r="AS1978" s="122" t="n">
        <v>0</v>
      </c>
      <c r="AT1978" s="122">
        <f>AL1978+AR1978</f>
        <v/>
      </c>
      <c r="AU1978" s="125">
        <f>IFERROR(AO1978*Assumptions!$C$26*Assumptions!$C$27*INDEX(Assumptions!$C$18:$C$21,MATCH(H1978,Assumptions!$B$18:$B$21,0)),0)</f>
        <v/>
      </c>
    </row>
    <row r="1979">
      <c r="A1979" s="120" t="n">
        <v>46265</v>
      </c>
      <c r="B1979" s="66" t="inlineStr">
        <is>
          <t>Wk 36</t>
        </is>
      </c>
      <c r="C1979" s="66" t="inlineStr">
        <is>
          <t>Mon</t>
        </is>
      </c>
      <c r="D1979" s="66" t="inlineStr">
        <is>
          <t>Programmatic</t>
        </is>
      </c>
      <c r="E1979" s="66" t="inlineStr">
        <is>
          <t>DV360</t>
        </is>
      </c>
      <c r="F1979" s="66" t="inlineStr">
        <is>
          <t>LEP_ZA_AUG26_PROG_TD_PROSPECT_DISPLAY</t>
        </is>
      </c>
      <c r="G1979" s="66" t="inlineStr">
        <is>
          <t>Display Prospecting</t>
        </is>
      </c>
      <c r="H1979" s="66" t="inlineStr">
        <is>
          <t>Range</t>
        </is>
      </c>
      <c r="I1979" s="66" t="inlineStr">
        <is>
          <t>Range Offer</t>
        </is>
      </c>
      <c r="J1979" s="66" t="inlineStr">
        <is>
          <t>PROG_GEO_DEALER_RADIUS</t>
        </is>
      </c>
      <c r="K1979" s="66" t="inlineStr">
        <is>
          <t>Prospecting</t>
        </is>
      </c>
      <c r="L1979" s="66" t="inlineStr">
        <is>
          <t>PROG_HTML5_300x250_Dealer_v1</t>
        </is>
      </c>
      <c r="M1979" s="66" t="inlineStr">
        <is>
          <t>HTML5 Display 300x250</t>
        </is>
      </c>
      <c r="N1979" s="66" t="inlineStr">
        <is>
          <t>A dealer near you has slots</t>
        </is>
      </c>
      <c r="O1979" s="66" t="inlineStr">
        <is>
          <t>Programmatic Guaranteed / OA</t>
        </is>
      </c>
      <c r="P1979" s="66" t="inlineStr">
        <is>
          <t>Conversions (CPA)</t>
        </is>
      </c>
      <c r="Q1979" s="66" t="inlineStr">
        <is>
          <t>https://www.lepas-sa.co.za/offers</t>
        </is>
      </c>
      <c r="R1979" s="121" t="n">
        <v>133.67</v>
      </c>
      <c r="S1979" s="122" t="n">
        <v>4171</v>
      </c>
      <c r="T1979" s="122" t="n">
        <v>1882</v>
      </c>
      <c r="U1979" s="123">
        <f>IFERROR(S1979/T1979,"")</f>
        <v/>
      </c>
      <c r="V1979" s="122" t="n">
        <v>4</v>
      </c>
      <c r="W1979" s="122" t="n">
        <v>3</v>
      </c>
      <c r="X1979" s="124">
        <f>IFERROR(W1979/S1979,"")</f>
        <v/>
      </c>
      <c r="Y1979" s="121">
        <f>IFERROR(R1979/W1979,"")</f>
        <v/>
      </c>
      <c r="Z1979" s="121">
        <f>IFERROR(R1979/S1979*1000,"")</f>
        <v/>
      </c>
      <c r="AA1979" s="122" t="n">
        <v>2</v>
      </c>
      <c r="AB1979" s="54">
        <f>IFERROR(AA1979/W1979,"")</f>
        <v/>
      </c>
      <c r="AC1979" s="122" t="n">
        <v>0</v>
      </c>
      <c r="AD1979" s="122" t="n">
        <v>0</v>
      </c>
      <c r="AE1979" s="122" t="n">
        <v>0</v>
      </c>
      <c r="AF1979" s="122" t="n">
        <v>0</v>
      </c>
      <c r="AG1979" s="122" t="n">
        <v>0</v>
      </c>
      <c r="AH1979" s="122" t="n">
        <v>0</v>
      </c>
      <c r="AI1979" s="54">
        <f>IFERROR(AC1979/S1979,"")</f>
        <v/>
      </c>
      <c r="AJ1979" s="54">
        <f>IFERROR(AH1979/S1979,"")</f>
        <v/>
      </c>
      <c r="AK1979" s="122" t="n">
        <v>19</v>
      </c>
      <c r="AL1979" s="122" t="n">
        <v>0</v>
      </c>
      <c r="AM1979" s="124">
        <f>IFERROR(AL1979/AA1979,"")</f>
        <v/>
      </c>
      <c r="AN1979" s="125">
        <f>IFERROR(R1979/AL1979,"")</f>
        <v/>
      </c>
      <c r="AO1979" s="122" t="n">
        <v>0</v>
      </c>
      <c r="AP1979" s="54">
        <f>IFERROR(AO1979/AL1979,"")</f>
        <v/>
      </c>
      <c r="AQ1979" s="125">
        <f>IFERROR(R1979/AO1979,"")</f>
        <v/>
      </c>
      <c r="AR1979" s="122" t="n">
        <v>0</v>
      </c>
      <c r="AS1979" s="122" t="n">
        <v>0</v>
      </c>
      <c r="AT1979" s="122">
        <f>AL1979+AR1979</f>
        <v/>
      </c>
      <c r="AU1979" s="125">
        <f>IFERROR(AO1979*Assumptions!$C$26*Assumptions!$C$27*INDEX(Assumptions!$C$18:$C$21,MATCH(H1979,Assumptions!$B$18:$B$21,0)),0)</f>
        <v/>
      </c>
    </row>
    <row r="1980">
      <c r="A1980" s="120" t="n">
        <v>46235</v>
      </c>
      <c r="B1980" s="66" t="inlineStr">
        <is>
          <t>Wk 31</t>
        </is>
      </c>
      <c r="C1980" s="66" t="inlineStr">
        <is>
          <t>Sat</t>
        </is>
      </c>
      <c r="D1980" s="66" t="inlineStr">
        <is>
          <t>Programmatic</t>
        </is>
      </c>
      <c r="E1980" s="66" t="inlineStr">
        <is>
          <t>DV360</t>
        </is>
      </c>
      <c r="F1980" s="66" t="inlineStr">
        <is>
          <t>LEP_ZA_AUG26_PROG_TD_PROSPECT_DISPLAY</t>
        </is>
      </c>
      <c r="G1980" s="66" t="inlineStr">
        <is>
          <t>Display Prospecting</t>
        </is>
      </c>
      <c r="H1980" s="66" t="inlineStr">
        <is>
          <t>Range</t>
        </is>
      </c>
      <c r="I1980" s="66" t="inlineStr">
        <is>
          <t>Range Offer</t>
        </is>
      </c>
      <c r="J1980" s="66" t="inlineStr">
        <is>
          <t>PROG_GEO_DEALER_RADIUS</t>
        </is>
      </c>
      <c r="K1980" s="66" t="inlineStr">
        <is>
          <t>Prospecting</t>
        </is>
      </c>
      <c r="L1980" s="66" t="inlineStr">
        <is>
          <t>PROG_HTML5_728x90_Range_v1</t>
        </is>
      </c>
      <c r="M1980" s="66" t="inlineStr">
        <is>
          <t>HTML5 Display 728x90</t>
        </is>
      </c>
      <c r="N1980" s="66" t="inlineStr">
        <is>
          <t>Book a Lepas test drive</t>
        </is>
      </c>
      <c r="O1980" s="66" t="inlineStr">
        <is>
          <t>Programmatic Guaranteed / OA</t>
        </is>
      </c>
      <c r="P1980" s="66" t="inlineStr">
        <is>
          <t>Conversions (CPA)</t>
        </is>
      </c>
      <c r="Q1980" s="66" t="inlineStr">
        <is>
          <t>https://www.lepas-sa.co.za/offers</t>
        </is>
      </c>
      <c r="R1980" s="121" t="n">
        <v>97.15000000000001</v>
      </c>
      <c r="S1980" s="122" t="n">
        <v>2975</v>
      </c>
      <c r="T1980" s="122" t="n">
        <v>1836</v>
      </c>
      <c r="U1980" s="123">
        <f>IFERROR(S1980/T1980,"")</f>
        <v/>
      </c>
      <c r="V1980" s="122" t="n">
        <v>6</v>
      </c>
      <c r="W1980" s="122" t="n">
        <v>4</v>
      </c>
      <c r="X1980" s="124">
        <f>IFERROR(W1980/S1980,"")</f>
        <v/>
      </c>
      <c r="Y1980" s="121">
        <f>IFERROR(R1980/W1980,"")</f>
        <v/>
      </c>
      <c r="Z1980" s="121">
        <f>IFERROR(R1980/S1980*1000,"")</f>
        <v/>
      </c>
      <c r="AA1980" s="122" t="n">
        <v>2</v>
      </c>
      <c r="AB1980" s="54">
        <f>IFERROR(AA1980/W1980,"")</f>
        <v/>
      </c>
      <c r="AC1980" s="122" t="n">
        <v>0</v>
      </c>
      <c r="AD1980" s="122" t="n">
        <v>0</v>
      </c>
      <c r="AE1980" s="122" t="n">
        <v>0</v>
      </c>
      <c r="AF1980" s="122" t="n">
        <v>0</v>
      </c>
      <c r="AG1980" s="122" t="n">
        <v>0</v>
      </c>
      <c r="AH1980" s="122" t="n">
        <v>0</v>
      </c>
      <c r="AI1980" s="54">
        <f>IFERROR(AC1980/S1980,"")</f>
        <v/>
      </c>
      <c r="AJ1980" s="54">
        <f>IFERROR(AH1980/S1980,"")</f>
        <v/>
      </c>
      <c r="AK1980" s="122" t="n">
        <v>17</v>
      </c>
      <c r="AL1980" s="122" t="n">
        <v>0</v>
      </c>
      <c r="AM1980" s="124">
        <f>IFERROR(AL1980/AA1980,"")</f>
        <v/>
      </c>
      <c r="AN1980" s="125">
        <f>IFERROR(R1980/AL1980,"")</f>
        <v/>
      </c>
      <c r="AO1980" s="122" t="n">
        <v>0</v>
      </c>
      <c r="AP1980" s="54">
        <f>IFERROR(AO1980/AL1980,"")</f>
        <v/>
      </c>
      <c r="AQ1980" s="125">
        <f>IFERROR(R1980/AO1980,"")</f>
        <v/>
      </c>
      <c r="AR1980" s="122" t="n">
        <v>0</v>
      </c>
      <c r="AS1980" s="122" t="n">
        <v>0</v>
      </c>
      <c r="AT1980" s="122">
        <f>AL1980+AR1980</f>
        <v/>
      </c>
      <c r="AU1980" s="125">
        <f>IFERROR(AO1980*Assumptions!$C$26*Assumptions!$C$27*INDEX(Assumptions!$C$18:$C$21,MATCH(H1980,Assumptions!$B$18:$B$21,0)),0)</f>
        <v/>
      </c>
    </row>
    <row r="1981">
      <c r="A1981" s="120" t="n">
        <v>46236</v>
      </c>
      <c r="B1981" s="66" t="inlineStr">
        <is>
          <t>Wk 31</t>
        </is>
      </c>
      <c r="C1981" s="66" t="inlineStr">
        <is>
          <t>Sun</t>
        </is>
      </c>
      <c r="D1981" s="66" t="inlineStr">
        <is>
          <t>Programmatic</t>
        </is>
      </c>
      <c r="E1981" s="66" t="inlineStr">
        <is>
          <t>DV360</t>
        </is>
      </c>
      <c r="F1981" s="66" t="inlineStr">
        <is>
          <t>LEP_ZA_AUG26_PROG_TD_PROSPECT_DISPLAY</t>
        </is>
      </c>
      <c r="G1981" s="66" t="inlineStr">
        <is>
          <t>Display Prospecting</t>
        </is>
      </c>
      <c r="H1981" s="66" t="inlineStr">
        <is>
          <t>Range</t>
        </is>
      </c>
      <c r="I1981" s="66" t="inlineStr">
        <is>
          <t>Range Offer</t>
        </is>
      </c>
      <c r="J1981" s="66" t="inlineStr">
        <is>
          <t>PROG_GEO_DEALER_RADIUS</t>
        </is>
      </c>
      <c r="K1981" s="66" t="inlineStr">
        <is>
          <t>Prospecting</t>
        </is>
      </c>
      <c r="L1981" s="66" t="inlineStr">
        <is>
          <t>PROG_HTML5_728x90_Range_v1</t>
        </is>
      </c>
      <c r="M1981" s="66" t="inlineStr">
        <is>
          <t>HTML5 Display 728x90</t>
        </is>
      </c>
      <c r="N1981" s="66" t="inlineStr">
        <is>
          <t>Book a Lepas test drive</t>
        </is>
      </c>
      <c r="O1981" s="66" t="inlineStr">
        <is>
          <t>Programmatic Guaranteed / OA</t>
        </is>
      </c>
      <c r="P1981" s="66" t="inlineStr">
        <is>
          <t>Conversions (CPA)</t>
        </is>
      </c>
      <c r="Q1981" s="66" t="inlineStr">
        <is>
          <t>https://www.lepas-sa.co.za/offers</t>
        </is>
      </c>
      <c r="R1981" s="121" t="n">
        <v>73.62</v>
      </c>
      <c r="S1981" s="122" t="n">
        <v>2661</v>
      </c>
      <c r="T1981" s="122" t="n">
        <v>2003</v>
      </c>
      <c r="U1981" s="123">
        <f>IFERROR(S1981/T1981,"")</f>
        <v/>
      </c>
      <c r="V1981" s="122" t="n">
        <v>8</v>
      </c>
      <c r="W1981" s="122" t="n">
        <v>7</v>
      </c>
      <c r="X1981" s="124">
        <f>IFERROR(W1981/S1981,"")</f>
        <v/>
      </c>
      <c r="Y1981" s="121">
        <f>IFERROR(R1981/W1981,"")</f>
        <v/>
      </c>
      <c r="Z1981" s="121">
        <f>IFERROR(R1981/S1981*1000,"")</f>
        <v/>
      </c>
      <c r="AA1981" s="122" t="n">
        <v>4</v>
      </c>
      <c r="AB1981" s="54">
        <f>IFERROR(AA1981/W1981,"")</f>
        <v/>
      </c>
      <c r="AC1981" s="122" t="n">
        <v>0</v>
      </c>
      <c r="AD1981" s="122" t="n">
        <v>0</v>
      </c>
      <c r="AE1981" s="122" t="n">
        <v>0</v>
      </c>
      <c r="AF1981" s="122" t="n">
        <v>0</v>
      </c>
      <c r="AG1981" s="122" t="n">
        <v>0</v>
      </c>
      <c r="AH1981" s="122" t="n">
        <v>0</v>
      </c>
      <c r="AI1981" s="54">
        <f>IFERROR(AC1981/S1981,"")</f>
        <v/>
      </c>
      <c r="AJ1981" s="54">
        <f>IFERROR(AH1981/S1981,"")</f>
        <v/>
      </c>
      <c r="AK1981" s="122" t="n">
        <v>12</v>
      </c>
      <c r="AL1981" s="122" t="n">
        <v>0</v>
      </c>
      <c r="AM1981" s="124">
        <f>IFERROR(AL1981/AA1981,"")</f>
        <v/>
      </c>
      <c r="AN1981" s="125">
        <f>IFERROR(R1981/AL1981,"")</f>
        <v/>
      </c>
      <c r="AO1981" s="122" t="n">
        <v>0</v>
      </c>
      <c r="AP1981" s="54">
        <f>IFERROR(AO1981/AL1981,"")</f>
        <v/>
      </c>
      <c r="AQ1981" s="125">
        <f>IFERROR(R1981/AO1981,"")</f>
        <v/>
      </c>
      <c r="AR1981" s="122" t="n">
        <v>0</v>
      </c>
      <c r="AS1981" s="122" t="n">
        <v>0</v>
      </c>
      <c r="AT1981" s="122">
        <f>AL1981+AR1981</f>
        <v/>
      </c>
      <c r="AU1981" s="125">
        <f>IFERROR(AO1981*Assumptions!$C$26*Assumptions!$C$27*INDEX(Assumptions!$C$18:$C$21,MATCH(H1981,Assumptions!$B$18:$B$21,0)),0)</f>
        <v/>
      </c>
    </row>
    <row r="1982">
      <c r="A1982" s="120" t="n">
        <v>46237</v>
      </c>
      <c r="B1982" s="66" t="inlineStr">
        <is>
          <t>Wk 32</t>
        </is>
      </c>
      <c r="C1982" s="66" t="inlineStr">
        <is>
          <t>Mon</t>
        </is>
      </c>
      <c r="D1982" s="66" t="inlineStr">
        <is>
          <t>Programmatic</t>
        </is>
      </c>
      <c r="E1982" s="66" t="inlineStr">
        <is>
          <t>DV360</t>
        </is>
      </c>
      <c r="F1982" s="66" t="inlineStr">
        <is>
          <t>LEP_ZA_AUG26_PROG_TD_PROSPECT_DISPLAY</t>
        </is>
      </c>
      <c r="G1982" s="66" t="inlineStr">
        <is>
          <t>Display Prospecting</t>
        </is>
      </c>
      <c r="H1982" s="66" t="inlineStr">
        <is>
          <t>Range</t>
        </is>
      </c>
      <c r="I1982" s="66" t="inlineStr">
        <is>
          <t>Range Offer</t>
        </is>
      </c>
      <c r="J1982" s="66" t="inlineStr">
        <is>
          <t>PROG_GEO_DEALER_RADIUS</t>
        </is>
      </c>
      <c r="K1982" s="66" t="inlineStr">
        <is>
          <t>Prospecting</t>
        </is>
      </c>
      <c r="L1982" s="66" t="inlineStr">
        <is>
          <t>PROG_HTML5_728x90_Range_v1</t>
        </is>
      </c>
      <c r="M1982" s="66" t="inlineStr">
        <is>
          <t>HTML5 Display 728x90</t>
        </is>
      </c>
      <c r="N1982" s="66" t="inlineStr">
        <is>
          <t>Book a Lepas test drive</t>
        </is>
      </c>
      <c r="O1982" s="66" t="inlineStr">
        <is>
          <t>Programmatic Guaranteed / OA</t>
        </is>
      </c>
      <c r="P1982" s="66" t="inlineStr">
        <is>
          <t>Conversions (CPA)</t>
        </is>
      </c>
      <c r="Q1982" s="66" t="inlineStr">
        <is>
          <t>https://www.lepas-sa.co.za/offers</t>
        </is>
      </c>
      <c r="R1982" s="121" t="n">
        <v>74.5</v>
      </c>
      <c r="S1982" s="122" t="n">
        <v>2304</v>
      </c>
      <c r="T1982" s="122" t="n">
        <v>1077</v>
      </c>
      <c r="U1982" s="123">
        <f>IFERROR(S1982/T1982,"")</f>
        <v/>
      </c>
      <c r="V1982" s="122" t="n">
        <v>7</v>
      </c>
      <c r="W1982" s="122" t="n">
        <v>6</v>
      </c>
      <c r="X1982" s="124">
        <f>IFERROR(W1982/S1982,"")</f>
        <v/>
      </c>
      <c r="Y1982" s="121">
        <f>IFERROR(R1982/W1982,"")</f>
        <v/>
      </c>
      <c r="Z1982" s="121">
        <f>IFERROR(R1982/S1982*1000,"")</f>
        <v/>
      </c>
      <c r="AA1982" s="122" t="n">
        <v>3</v>
      </c>
      <c r="AB1982" s="54">
        <f>IFERROR(AA1982/W1982,"")</f>
        <v/>
      </c>
      <c r="AC1982" s="122" t="n">
        <v>0</v>
      </c>
      <c r="AD1982" s="122" t="n">
        <v>0</v>
      </c>
      <c r="AE1982" s="122" t="n">
        <v>0</v>
      </c>
      <c r="AF1982" s="122" t="n">
        <v>0</v>
      </c>
      <c r="AG1982" s="122" t="n">
        <v>0</v>
      </c>
      <c r="AH1982" s="122" t="n">
        <v>0</v>
      </c>
      <c r="AI1982" s="54">
        <f>IFERROR(AC1982/S1982,"")</f>
        <v/>
      </c>
      <c r="AJ1982" s="54">
        <f>IFERROR(AH1982/S1982,"")</f>
        <v/>
      </c>
      <c r="AK1982" s="122" t="n">
        <v>12</v>
      </c>
      <c r="AL1982" s="122" t="n">
        <v>0</v>
      </c>
      <c r="AM1982" s="124">
        <f>IFERROR(AL1982/AA1982,"")</f>
        <v/>
      </c>
      <c r="AN1982" s="125">
        <f>IFERROR(R1982/AL1982,"")</f>
        <v/>
      </c>
      <c r="AO1982" s="122" t="n">
        <v>0</v>
      </c>
      <c r="AP1982" s="54">
        <f>IFERROR(AO1982/AL1982,"")</f>
        <v/>
      </c>
      <c r="AQ1982" s="125">
        <f>IFERROR(R1982/AO1982,"")</f>
        <v/>
      </c>
      <c r="AR1982" s="122" t="n">
        <v>0</v>
      </c>
      <c r="AS1982" s="122" t="n">
        <v>0</v>
      </c>
      <c r="AT1982" s="122">
        <f>AL1982+AR1982</f>
        <v/>
      </c>
      <c r="AU1982" s="125">
        <f>IFERROR(AO1982*Assumptions!$C$26*Assumptions!$C$27*INDEX(Assumptions!$C$18:$C$21,MATCH(H1982,Assumptions!$B$18:$B$21,0)),0)</f>
        <v/>
      </c>
    </row>
    <row r="1983">
      <c r="A1983" s="120" t="n">
        <v>46238</v>
      </c>
      <c r="B1983" s="66" t="inlineStr">
        <is>
          <t>Wk 32</t>
        </is>
      </c>
      <c r="C1983" s="66" t="inlineStr">
        <is>
          <t>Tue</t>
        </is>
      </c>
      <c r="D1983" s="66" t="inlineStr">
        <is>
          <t>Programmatic</t>
        </is>
      </c>
      <c r="E1983" s="66" t="inlineStr">
        <is>
          <t>DV360</t>
        </is>
      </c>
      <c r="F1983" s="66" t="inlineStr">
        <is>
          <t>LEP_ZA_AUG26_PROG_TD_PROSPECT_DISPLAY</t>
        </is>
      </c>
      <c r="G1983" s="66" t="inlineStr">
        <is>
          <t>Display Prospecting</t>
        </is>
      </c>
      <c r="H1983" s="66" t="inlineStr">
        <is>
          <t>Range</t>
        </is>
      </c>
      <c r="I1983" s="66" t="inlineStr">
        <is>
          <t>Range Offer</t>
        </is>
      </c>
      <c r="J1983" s="66" t="inlineStr">
        <is>
          <t>PROG_GEO_DEALER_RADIUS</t>
        </is>
      </c>
      <c r="K1983" s="66" t="inlineStr">
        <is>
          <t>Prospecting</t>
        </is>
      </c>
      <c r="L1983" s="66" t="inlineStr">
        <is>
          <t>PROG_HTML5_728x90_Range_v1</t>
        </is>
      </c>
      <c r="M1983" s="66" t="inlineStr">
        <is>
          <t>HTML5 Display 728x90</t>
        </is>
      </c>
      <c r="N1983" s="66" t="inlineStr">
        <is>
          <t>Book a Lepas test drive</t>
        </is>
      </c>
      <c r="O1983" s="66" t="inlineStr">
        <is>
          <t>Programmatic Guaranteed / OA</t>
        </is>
      </c>
      <c r="P1983" s="66" t="inlineStr">
        <is>
          <t>Conversions (CPA)</t>
        </is>
      </c>
      <c r="Q1983" s="66" t="inlineStr">
        <is>
          <t>https://www.lepas-sa.co.za/offers</t>
        </is>
      </c>
      <c r="R1983" s="121" t="n">
        <v>76.52</v>
      </c>
      <c r="S1983" s="122" t="n">
        <v>4104</v>
      </c>
      <c r="T1983" s="122" t="n">
        <v>2980</v>
      </c>
      <c r="U1983" s="123">
        <f>IFERROR(S1983/T1983,"")</f>
        <v/>
      </c>
      <c r="V1983" s="122" t="n">
        <v>17</v>
      </c>
      <c r="W1983" s="122" t="n">
        <v>12</v>
      </c>
      <c r="X1983" s="124">
        <f>IFERROR(W1983/S1983,"")</f>
        <v/>
      </c>
      <c r="Y1983" s="121">
        <f>IFERROR(R1983/W1983,"")</f>
        <v/>
      </c>
      <c r="Z1983" s="121">
        <f>IFERROR(R1983/S1983*1000,"")</f>
        <v/>
      </c>
      <c r="AA1983" s="122" t="n">
        <v>9</v>
      </c>
      <c r="AB1983" s="54">
        <f>IFERROR(AA1983/W1983,"")</f>
        <v/>
      </c>
      <c r="AC1983" s="122" t="n">
        <v>0</v>
      </c>
      <c r="AD1983" s="122" t="n">
        <v>0</v>
      </c>
      <c r="AE1983" s="122" t="n">
        <v>0</v>
      </c>
      <c r="AF1983" s="122" t="n">
        <v>0</v>
      </c>
      <c r="AG1983" s="122" t="n">
        <v>0</v>
      </c>
      <c r="AH1983" s="122" t="n">
        <v>0</v>
      </c>
      <c r="AI1983" s="54">
        <f>IFERROR(AC1983/S1983,"")</f>
        <v/>
      </c>
      <c r="AJ1983" s="54">
        <f>IFERROR(AH1983/S1983,"")</f>
        <v/>
      </c>
      <c r="AK1983" s="122" t="n">
        <v>6</v>
      </c>
      <c r="AL1983" s="122" t="n">
        <v>0</v>
      </c>
      <c r="AM1983" s="124">
        <f>IFERROR(AL1983/AA1983,"")</f>
        <v/>
      </c>
      <c r="AN1983" s="125">
        <f>IFERROR(R1983/AL1983,"")</f>
        <v/>
      </c>
      <c r="AO1983" s="122" t="n">
        <v>0</v>
      </c>
      <c r="AP1983" s="54">
        <f>IFERROR(AO1983/AL1983,"")</f>
        <v/>
      </c>
      <c r="AQ1983" s="125">
        <f>IFERROR(R1983/AO1983,"")</f>
        <v/>
      </c>
      <c r="AR1983" s="122" t="n">
        <v>0</v>
      </c>
      <c r="AS1983" s="122" t="n">
        <v>0</v>
      </c>
      <c r="AT1983" s="122">
        <f>AL1983+AR1983</f>
        <v/>
      </c>
      <c r="AU1983" s="125">
        <f>IFERROR(AO1983*Assumptions!$C$26*Assumptions!$C$27*INDEX(Assumptions!$C$18:$C$21,MATCH(H1983,Assumptions!$B$18:$B$21,0)),0)</f>
        <v/>
      </c>
    </row>
    <row r="1984">
      <c r="A1984" s="120" t="n">
        <v>46239</v>
      </c>
      <c r="B1984" s="66" t="inlineStr">
        <is>
          <t>Wk 32</t>
        </is>
      </c>
      <c r="C1984" s="66" t="inlineStr">
        <is>
          <t>Wed</t>
        </is>
      </c>
      <c r="D1984" s="66" t="inlineStr">
        <is>
          <t>Programmatic</t>
        </is>
      </c>
      <c r="E1984" s="66" t="inlineStr">
        <is>
          <t>DV360</t>
        </is>
      </c>
      <c r="F1984" s="66" t="inlineStr">
        <is>
          <t>LEP_ZA_AUG26_PROG_TD_PROSPECT_DISPLAY</t>
        </is>
      </c>
      <c r="G1984" s="66" t="inlineStr">
        <is>
          <t>Display Prospecting</t>
        </is>
      </c>
      <c r="H1984" s="66" t="inlineStr">
        <is>
          <t>Range</t>
        </is>
      </c>
      <c r="I1984" s="66" t="inlineStr">
        <is>
          <t>Range Offer</t>
        </is>
      </c>
      <c r="J1984" s="66" t="inlineStr">
        <is>
          <t>PROG_GEO_DEALER_RADIUS</t>
        </is>
      </c>
      <c r="K1984" s="66" t="inlineStr">
        <is>
          <t>Prospecting</t>
        </is>
      </c>
      <c r="L1984" s="66" t="inlineStr">
        <is>
          <t>PROG_HTML5_728x90_Range_v1</t>
        </is>
      </c>
      <c r="M1984" s="66" t="inlineStr">
        <is>
          <t>HTML5 Display 728x90</t>
        </is>
      </c>
      <c r="N1984" s="66" t="inlineStr">
        <is>
          <t>Book a Lepas test drive</t>
        </is>
      </c>
      <c r="O1984" s="66" t="inlineStr">
        <is>
          <t>Programmatic Guaranteed / OA</t>
        </is>
      </c>
      <c r="P1984" s="66" t="inlineStr">
        <is>
          <t>Conversions (CPA)</t>
        </is>
      </c>
      <c r="Q1984" s="66" t="inlineStr">
        <is>
          <t>https://www.lepas-sa.co.za/offers</t>
        </is>
      </c>
      <c r="R1984" s="121" t="n">
        <v>80.14</v>
      </c>
      <c r="S1984" s="122" t="n">
        <v>2429</v>
      </c>
      <c r="T1984" s="122" t="n">
        <v>1301</v>
      </c>
      <c r="U1984" s="123">
        <f>IFERROR(S1984/T1984,"")</f>
        <v/>
      </c>
      <c r="V1984" s="122" t="n">
        <v>8</v>
      </c>
      <c r="W1984" s="122" t="n">
        <v>6</v>
      </c>
      <c r="X1984" s="124">
        <f>IFERROR(W1984/S1984,"")</f>
        <v/>
      </c>
      <c r="Y1984" s="121">
        <f>IFERROR(R1984/W1984,"")</f>
        <v/>
      </c>
      <c r="Z1984" s="121">
        <f>IFERROR(R1984/S1984*1000,"")</f>
        <v/>
      </c>
      <c r="AA1984" s="122" t="n">
        <v>4</v>
      </c>
      <c r="AB1984" s="54">
        <f>IFERROR(AA1984/W1984,"")</f>
        <v/>
      </c>
      <c r="AC1984" s="122" t="n">
        <v>0</v>
      </c>
      <c r="AD1984" s="122" t="n">
        <v>0</v>
      </c>
      <c r="AE1984" s="122" t="n">
        <v>0</v>
      </c>
      <c r="AF1984" s="122" t="n">
        <v>0</v>
      </c>
      <c r="AG1984" s="122" t="n">
        <v>0</v>
      </c>
      <c r="AH1984" s="122" t="n">
        <v>0</v>
      </c>
      <c r="AI1984" s="54">
        <f>IFERROR(AC1984/S1984,"")</f>
        <v/>
      </c>
      <c r="AJ1984" s="54">
        <f>IFERROR(AH1984/S1984,"")</f>
        <v/>
      </c>
      <c r="AK1984" s="122" t="n">
        <v>14</v>
      </c>
      <c r="AL1984" s="122" t="n">
        <v>0</v>
      </c>
      <c r="AM1984" s="124">
        <f>IFERROR(AL1984/AA1984,"")</f>
        <v/>
      </c>
      <c r="AN1984" s="125">
        <f>IFERROR(R1984/AL1984,"")</f>
        <v/>
      </c>
      <c r="AO1984" s="122" t="n">
        <v>0</v>
      </c>
      <c r="AP1984" s="54">
        <f>IFERROR(AO1984/AL1984,"")</f>
        <v/>
      </c>
      <c r="AQ1984" s="125">
        <f>IFERROR(R1984/AO1984,"")</f>
        <v/>
      </c>
      <c r="AR1984" s="122" t="n">
        <v>0</v>
      </c>
      <c r="AS1984" s="122" t="n">
        <v>0</v>
      </c>
      <c r="AT1984" s="122">
        <f>AL1984+AR1984</f>
        <v/>
      </c>
      <c r="AU1984" s="125">
        <f>IFERROR(AO1984*Assumptions!$C$26*Assumptions!$C$27*INDEX(Assumptions!$C$18:$C$21,MATCH(H1984,Assumptions!$B$18:$B$21,0)),0)</f>
        <v/>
      </c>
    </row>
    <row r="1985">
      <c r="A1985" s="120" t="n">
        <v>46240</v>
      </c>
      <c r="B1985" s="66" t="inlineStr">
        <is>
          <t>Wk 32</t>
        </is>
      </c>
      <c r="C1985" s="66" t="inlineStr">
        <is>
          <t>Thu</t>
        </is>
      </c>
      <c r="D1985" s="66" t="inlineStr">
        <is>
          <t>Programmatic</t>
        </is>
      </c>
      <c r="E1985" s="66" t="inlineStr">
        <is>
          <t>DV360</t>
        </is>
      </c>
      <c r="F1985" s="66" t="inlineStr">
        <is>
          <t>LEP_ZA_AUG26_PROG_TD_PROSPECT_DISPLAY</t>
        </is>
      </c>
      <c r="G1985" s="66" t="inlineStr">
        <is>
          <t>Display Prospecting</t>
        </is>
      </c>
      <c r="H1985" s="66" t="inlineStr">
        <is>
          <t>Range</t>
        </is>
      </c>
      <c r="I1985" s="66" t="inlineStr">
        <is>
          <t>Range Offer</t>
        </is>
      </c>
      <c r="J1985" s="66" t="inlineStr">
        <is>
          <t>PROG_GEO_DEALER_RADIUS</t>
        </is>
      </c>
      <c r="K1985" s="66" t="inlineStr">
        <is>
          <t>Prospecting</t>
        </is>
      </c>
      <c r="L1985" s="66" t="inlineStr">
        <is>
          <t>PROG_HTML5_728x90_Range_v1</t>
        </is>
      </c>
      <c r="M1985" s="66" t="inlineStr">
        <is>
          <t>HTML5 Display 728x90</t>
        </is>
      </c>
      <c r="N1985" s="66" t="inlineStr">
        <is>
          <t>Book a Lepas test drive</t>
        </is>
      </c>
      <c r="O1985" s="66" t="inlineStr">
        <is>
          <t>Programmatic Guaranteed / OA</t>
        </is>
      </c>
      <c r="P1985" s="66" t="inlineStr">
        <is>
          <t>Conversions (CPA)</t>
        </is>
      </c>
      <c r="Q1985" s="66" t="inlineStr">
        <is>
          <t>https://www.lepas-sa.co.za/offers</t>
        </is>
      </c>
      <c r="R1985" s="121" t="n">
        <v>105.37</v>
      </c>
      <c r="S1985" s="122" t="n">
        <v>3738</v>
      </c>
      <c r="T1985" s="122" t="n">
        <v>1616</v>
      </c>
      <c r="U1985" s="123">
        <f>IFERROR(S1985/T1985,"")</f>
        <v/>
      </c>
      <c r="V1985" s="122" t="n">
        <v>8</v>
      </c>
      <c r="W1985" s="122" t="n">
        <v>6</v>
      </c>
      <c r="X1985" s="124">
        <f>IFERROR(W1985/S1985,"")</f>
        <v/>
      </c>
      <c r="Y1985" s="121">
        <f>IFERROR(R1985/W1985,"")</f>
        <v/>
      </c>
      <c r="Z1985" s="121">
        <f>IFERROR(R1985/S1985*1000,"")</f>
        <v/>
      </c>
      <c r="AA1985" s="122" t="n">
        <v>4</v>
      </c>
      <c r="AB1985" s="54">
        <f>IFERROR(AA1985/W1985,"")</f>
        <v/>
      </c>
      <c r="AC1985" s="122" t="n">
        <v>0</v>
      </c>
      <c r="AD1985" s="122" t="n">
        <v>0</v>
      </c>
      <c r="AE1985" s="122" t="n">
        <v>0</v>
      </c>
      <c r="AF1985" s="122" t="n">
        <v>0</v>
      </c>
      <c r="AG1985" s="122" t="n">
        <v>0</v>
      </c>
      <c r="AH1985" s="122" t="n">
        <v>0</v>
      </c>
      <c r="AI1985" s="54">
        <f>IFERROR(AC1985/S1985,"")</f>
        <v/>
      </c>
      <c r="AJ1985" s="54">
        <f>IFERROR(AH1985/S1985,"")</f>
        <v/>
      </c>
      <c r="AK1985" s="122" t="n">
        <v>7</v>
      </c>
      <c r="AL1985" s="122" t="n">
        <v>1</v>
      </c>
      <c r="AM1985" s="124">
        <f>IFERROR(AL1985/AA1985,"")</f>
        <v/>
      </c>
      <c r="AN1985" s="125">
        <f>IFERROR(R1985/AL1985,"")</f>
        <v/>
      </c>
      <c r="AO1985" s="122" t="n">
        <v>1</v>
      </c>
      <c r="AP1985" s="54">
        <f>IFERROR(AO1985/AL1985,"")</f>
        <v/>
      </c>
      <c r="AQ1985" s="125">
        <f>IFERROR(R1985/AO1985,"")</f>
        <v/>
      </c>
      <c r="AR1985" s="122" t="n">
        <v>2</v>
      </c>
      <c r="AS1985" s="122" t="n">
        <v>2</v>
      </c>
      <c r="AT1985" s="122">
        <f>AL1985+AR1985</f>
        <v/>
      </c>
      <c r="AU1985" s="125">
        <f>IFERROR(AO1985*Assumptions!$C$26*Assumptions!$C$27*INDEX(Assumptions!$C$18:$C$21,MATCH(H1985,Assumptions!$B$18:$B$21,0)),0)</f>
        <v/>
      </c>
    </row>
    <row r="1986">
      <c r="A1986" s="120" t="n">
        <v>46241</v>
      </c>
      <c r="B1986" s="66" t="inlineStr">
        <is>
          <t>Wk 32</t>
        </is>
      </c>
      <c r="C1986" s="66" t="inlineStr">
        <is>
          <t>Fri</t>
        </is>
      </c>
      <c r="D1986" s="66" t="inlineStr">
        <is>
          <t>Programmatic</t>
        </is>
      </c>
      <c r="E1986" s="66" t="inlineStr">
        <is>
          <t>DV360</t>
        </is>
      </c>
      <c r="F1986" s="66" t="inlineStr">
        <is>
          <t>LEP_ZA_AUG26_PROG_TD_PROSPECT_DISPLAY</t>
        </is>
      </c>
      <c r="G1986" s="66" t="inlineStr">
        <is>
          <t>Display Prospecting</t>
        </is>
      </c>
      <c r="H1986" s="66" t="inlineStr">
        <is>
          <t>Range</t>
        </is>
      </c>
      <c r="I1986" s="66" t="inlineStr">
        <is>
          <t>Range Offer</t>
        </is>
      </c>
      <c r="J1986" s="66" t="inlineStr">
        <is>
          <t>PROG_GEO_DEALER_RADIUS</t>
        </is>
      </c>
      <c r="K1986" s="66" t="inlineStr">
        <is>
          <t>Prospecting</t>
        </is>
      </c>
      <c r="L1986" s="66" t="inlineStr">
        <is>
          <t>PROG_HTML5_728x90_Range_v1</t>
        </is>
      </c>
      <c r="M1986" s="66" t="inlineStr">
        <is>
          <t>HTML5 Display 728x90</t>
        </is>
      </c>
      <c r="N1986" s="66" t="inlineStr">
        <is>
          <t>Book a Lepas test drive</t>
        </is>
      </c>
      <c r="O1986" s="66" t="inlineStr">
        <is>
          <t>Programmatic Guaranteed / OA</t>
        </is>
      </c>
      <c r="P1986" s="66" t="inlineStr">
        <is>
          <t>Conversions (CPA)</t>
        </is>
      </c>
      <c r="Q1986" s="66" t="inlineStr">
        <is>
          <t>https://www.lepas-sa.co.za/offers</t>
        </is>
      </c>
      <c r="R1986" s="121" t="n">
        <v>98.68000000000001</v>
      </c>
      <c r="S1986" s="122" t="n">
        <v>4579</v>
      </c>
      <c r="T1986" s="122" t="n">
        <v>2034</v>
      </c>
      <c r="U1986" s="123">
        <f>IFERROR(S1986/T1986,"")</f>
        <v/>
      </c>
      <c r="V1986" s="122" t="n">
        <v>9</v>
      </c>
      <c r="W1986" s="122" t="n">
        <v>8</v>
      </c>
      <c r="X1986" s="124">
        <f>IFERROR(W1986/S1986,"")</f>
        <v/>
      </c>
      <c r="Y1986" s="121">
        <f>IFERROR(R1986/W1986,"")</f>
        <v/>
      </c>
      <c r="Z1986" s="121">
        <f>IFERROR(R1986/S1986*1000,"")</f>
        <v/>
      </c>
      <c r="AA1986" s="122" t="n">
        <v>5</v>
      </c>
      <c r="AB1986" s="54">
        <f>IFERROR(AA1986/W1986,"")</f>
        <v/>
      </c>
      <c r="AC1986" s="122" t="n">
        <v>0</v>
      </c>
      <c r="AD1986" s="122" t="n">
        <v>0</v>
      </c>
      <c r="AE1986" s="122" t="n">
        <v>0</v>
      </c>
      <c r="AF1986" s="122" t="n">
        <v>0</v>
      </c>
      <c r="AG1986" s="122" t="n">
        <v>0</v>
      </c>
      <c r="AH1986" s="122" t="n">
        <v>0</v>
      </c>
      <c r="AI1986" s="54">
        <f>IFERROR(AC1986/S1986,"")</f>
        <v/>
      </c>
      <c r="AJ1986" s="54">
        <f>IFERROR(AH1986/S1986,"")</f>
        <v/>
      </c>
      <c r="AK1986" s="122" t="n">
        <v>22</v>
      </c>
      <c r="AL1986" s="122" t="n">
        <v>0</v>
      </c>
      <c r="AM1986" s="124">
        <f>IFERROR(AL1986/AA1986,"")</f>
        <v/>
      </c>
      <c r="AN1986" s="125">
        <f>IFERROR(R1986/AL1986,"")</f>
        <v/>
      </c>
      <c r="AO1986" s="122" t="n">
        <v>0</v>
      </c>
      <c r="AP1986" s="54">
        <f>IFERROR(AO1986/AL1986,"")</f>
        <v/>
      </c>
      <c r="AQ1986" s="125">
        <f>IFERROR(R1986/AO1986,"")</f>
        <v/>
      </c>
      <c r="AR1986" s="122" t="n">
        <v>0</v>
      </c>
      <c r="AS1986" s="122" t="n">
        <v>0</v>
      </c>
      <c r="AT1986" s="122">
        <f>AL1986+AR1986</f>
        <v/>
      </c>
      <c r="AU1986" s="125">
        <f>IFERROR(AO1986*Assumptions!$C$26*Assumptions!$C$27*INDEX(Assumptions!$C$18:$C$21,MATCH(H1986,Assumptions!$B$18:$B$21,0)),0)</f>
        <v/>
      </c>
    </row>
    <row r="1987">
      <c r="A1987" s="120" t="n">
        <v>46242</v>
      </c>
      <c r="B1987" s="66" t="inlineStr">
        <is>
          <t>Wk 32</t>
        </is>
      </c>
      <c r="C1987" s="66" t="inlineStr">
        <is>
          <t>Sat</t>
        </is>
      </c>
      <c r="D1987" s="66" t="inlineStr">
        <is>
          <t>Programmatic</t>
        </is>
      </c>
      <c r="E1987" s="66" t="inlineStr">
        <is>
          <t>DV360</t>
        </is>
      </c>
      <c r="F1987" s="66" t="inlineStr">
        <is>
          <t>LEP_ZA_AUG26_PROG_TD_PROSPECT_DISPLAY</t>
        </is>
      </c>
      <c r="G1987" s="66" t="inlineStr">
        <is>
          <t>Display Prospecting</t>
        </is>
      </c>
      <c r="H1987" s="66" t="inlineStr">
        <is>
          <t>Range</t>
        </is>
      </c>
      <c r="I1987" s="66" t="inlineStr">
        <is>
          <t>Range Offer</t>
        </is>
      </c>
      <c r="J1987" s="66" t="inlineStr">
        <is>
          <t>PROG_GEO_DEALER_RADIUS</t>
        </is>
      </c>
      <c r="K1987" s="66" t="inlineStr">
        <is>
          <t>Prospecting</t>
        </is>
      </c>
      <c r="L1987" s="66" t="inlineStr">
        <is>
          <t>PROG_HTML5_728x90_Range_v1</t>
        </is>
      </c>
      <c r="M1987" s="66" t="inlineStr">
        <is>
          <t>HTML5 Display 728x90</t>
        </is>
      </c>
      <c r="N1987" s="66" t="inlineStr">
        <is>
          <t>Book a Lepas test drive</t>
        </is>
      </c>
      <c r="O1987" s="66" t="inlineStr">
        <is>
          <t>Programmatic Guaranteed / OA</t>
        </is>
      </c>
      <c r="P1987" s="66" t="inlineStr">
        <is>
          <t>Conversions (CPA)</t>
        </is>
      </c>
      <c r="Q1987" s="66" t="inlineStr">
        <is>
          <t>https://www.lepas-sa.co.za/offers</t>
        </is>
      </c>
      <c r="R1987" s="121" t="n">
        <v>89.90000000000001</v>
      </c>
      <c r="S1987" s="122" t="n">
        <v>2587</v>
      </c>
      <c r="T1987" s="122" t="n">
        <v>1403</v>
      </c>
      <c r="U1987" s="123">
        <f>IFERROR(S1987/T1987,"")</f>
        <v/>
      </c>
      <c r="V1987" s="122" t="n">
        <v>3</v>
      </c>
      <c r="W1987" s="122" t="n">
        <v>2</v>
      </c>
      <c r="X1987" s="124">
        <f>IFERROR(W1987/S1987,"")</f>
        <v/>
      </c>
      <c r="Y1987" s="121">
        <f>IFERROR(R1987/W1987,"")</f>
        <v/>
      </c>
      <c r="Z1987" s="121">
        <f>IFERROR(R1987/S1987*1000,"")</f>
        <v/>
      </c>
      <c r="AA1987" s="122" t="n">
        <v>1</v>
      </c>
      <c r="AB1987" s="54">
        <f>IFERROR(AA1987/W1987,"")</f>
        <v/>
      </c>
      <c r="AC1987" s="122" t="n">
        <v>0</v>
      </c>
      <c r="AD1987" s="122" t="n">
        <v>0</v>
      </c>
      <c r="AE1987" s="122" t="n">
        <v>0</v>
      </c>
      <c r="AF1987" s="122" t="n">
        <v>0</v>
      </c>
      <c r="AG1987" s="122" t="n">
        <v>0</v>
      </c>
      <c r="AH1987" s="122" t="n">
        <v>0</v>
      </c>
      <c r="AI1987" s="54">
        <f>IFERROR(AC1987/S1987,"")</f>
        <v/>
      </c>
      <c r="AJ1987" s="54">
        <f>IFERROR(AH1987/S1987,"")</f>
        <v/>
      </c>
      <c r="AK1987" s="122" t="n">
        <v>11</v>
      </c>
      <c r="AL1987" s="122" t="n">
        <v>0</v>
      </c>
      <c r="AM1987" s="124">
        <f>IFERROR(AL1987/AA1987,"")</f>
        <v/>
      </c>
      <c r="AN1987" s="125">
        <f>IFERROR(R1987/AL1987,"")</f>
        <v/>
      </c>
      <c r="AO1987" s="122" t="n">
        <v>0</v>
      </c>
      <c r="AP1987" s="54">
        <f>IFERROR(AO1987/AL1987,"")</f>
        <v/>
      </c>
      <c r="AQ1987" s="125">
        <f>IFERROR(R1987/AO1987,"")</f>
        <v/>
      </c>
      <c r="AR1987" s="122" t="n">
        <v>0</v>
      </c>
      <c r="AS1987" s="122" t="n">
        <v>0</v>
      </c>
      <c r="AT1987" s="122">
        <f>AL1987+AR1987</f>
        <v/>
      </c>
      <c r="AU1987" s="125">
        <f>IFERROR(AO1987*Assumptions!$C$26*Assumptions!$C$27*INDEX(Assumptions!$C$18:$C$21,MATCH(H1987,Assumptions!$B$18:$B$21,0)),0)</f>
        <v/>
      </c>
    </row>
    <row r="1988">
      <c r="A1988" s="120" t="n">
        <v>46243</v>
      </c>
      <c r="B1988" s="66" t="inlineStr">
        <is>
          <t>Wk 32</t>
        </is>
      </c>
      <c r="C1988" s="66" t="inlineStr">
        <is>
          <t>Sun</t>
        </is>
      </c>
      <c r="D1988" s="66" t="inlineStr">
        <is>
          <t>Programmatic</t>
        </is>
      </c>
      <c r="E1988" s="66" t="inlineStr">
        <is>
          <t>DV360</t>
        </is>
      </c>
      <c r="F1988" s="66" t="inlineStr">
        <is>
          <t>LEP_ZA_AUG26_PROG_TD_PROSPECT_DISPLAY</t>
        </is>
      </c>
      <c r="G1988" s="66" t="inlineStr">
        <is>
          <t>Display Prospecting</t>
        </is>
      </c>
      <c r="H1988" s="66" t="inlineStr">
        <is>
          <t>Range</t>
        </is>
      </c>
      <c r="I1988" s="66" t="inlineStr">
        <is>
          <t>Range Offer</t>
        </is>
      </c>
      <c r="J1988" s="66" t="inlineStr">
        <is>
          <t>PROG_GEO_DEALER_RADIUS</t>
        </is>
      </c>
      <c r="K1988" s="66" t="inlineStr">
        <is>
          <t>Prospecting</t>
        </is>
      </c>
      <c r="L1988" s="66" t="inlineStr">
        <is>
          <t>PROG_HTML5_728x90_Range_v1</t>
        </is>
      </c>
      <c r="M1988" s="66" t="inlineStr">
        <is>
          <t>HTML5 Display 728x90</t>
        </is>
      </c>
      <c r="N1988" s="66" t="inlineStr">
        <is>
          <t>Book a Lepas test drive</t>
        </is>
      </c>
      <c r="O1988" s="66" t="inlineStr">
        <is>
          <t>Programmatic Guaranteed / OA</t>
        </is>
      </c>
      <c r="P1988" s="66" t="inlineStr">
        <is>
          <t>Conversions (CPA)</t>
        </is>
      </c>
      <c r="Q1988" s="66" t="inlineStr">
        <is>
          <t>https://www.lepas-sa.co.za/offers</t>
        </is>
      </c>
      <c r="R1988" s="121" t="n">
        <v>84.19</v>
      </c>
      <c r="S1988" s="122" t="n">
        <v>2965</v>
      </c>
      <c r="T1988" s="122" t="n">
        <v>1702</v>
      </c>
      <c r="U1988" s="123">
        <f>IFERROR(S1988/T1988,"")</f>
        <v/>
      </c>
      <c r="V1988" s="122" t="n">
        <v>10</v>
      </c>
      <c r="W1988" s="122" t="n">
        <v>8</v>
      </c>
      <c r="X1988" s="124">
        <f>IFERROR(W1988/S1988,"")</f>
        <v/>
      </c>
      <c r="Y1988" s="121">
        <f>IFERROR(R1988/W1988,"")</f>
        <v/>
      </c>
      <c r="Z1988" s="121">
        <f>IFERROR(R1988/S1988*1000,"")</f>
        <v/>
      </c>
      <c r="AA1988" s="122" t="n">
        <v>5</v>
      </c>
      <c r="AB1988" s="54">
        <f>IFERROR(AA1988/W1988,"")</f>
        <v/>
      </c>
      <c r="AC1988" s="122" t="n">
        <v>0</v>
      </c>
      <c r="AD1988" s="122" t="n">
        <v>0</v>
      </c>
      <c r="AE1988" s="122" t="n">
        <v>0</v>
      </c>
      <c r="AF1988" s="122" t="n">
        <v>0</v>
      </c>
      <c r="AG1988" s="122" t="n">
        <v>0</v>
      </c>
      <c r="AH1988" s="122" t="n">
        <v>0</v>
      </c>
      <c r="AI1988" s="54">
        <f>IFERROR(AC1988/S1988,"")</f>
        <v/>
      </c>
      <c r="AJ1988" s="54">
        <f>IFERROR(AH1988/S1988,"")</f>
        <v/>
      </c>
      <c r="AK1988" s="122" t="n">
        <v>6</v>
      </c>
      <c r="AL1988" s="122" t="n">
        <v>0</v>
      </c>
      <c r="AM1988" s="124">
        <f>IFERROR(AL1988/AA1988,"")</f>
        <v/>
      </c>
      <c r="AN1988" s="125">
        <f>IFERROR(R1988/AL1988,"")</f>
        <v/>
      </c>
      <c r="AO1988" s="122" t="n">
        <v>0</v>
      </c>
      <c r="AP1988" s="54">
        <f>IFERROR(AO1988/AL1988,"")</f>
        <v/>
      </c>
      <c r="AQ1988" s="125">
        <f>IFERROR(R1988/AO1988,"")</f>
        <v/>
      </c>
      <c r="AR1988" s="122" t="n">
        <v>0</v>
      </c>
      <c r="AS1988" s="122" t="n">
        <v>0</v>
      </c>
      <c r="AT1988" s="122">
        <f>AL1988+AR1988</f>
        <v/>
      </c>
      <c r="AU1988" s="125">
        <f>IFERROR(AO1988*Assumptions!$C$26*Assumptions!$C$27*INDEX(Assumptions!$C$18:$C$21,MATCH(H1988,Assumptions!$B$18:$B$21,0)),0)</f>
        <v/>
      </c>
    </row>
    <row r="1989">
      <c r="A1989" s="120" t="n">
        <v>46244</v>
      </c>
      <c r="B1989" s="66" t="inlineStr">
        <is>
          <t>Wk 33</t>
        </is>
      </c>
      <c r="C1989" s="66" t="inlineStr">
        <is>
          <t>Mon</t>
        </is>
      </c>
      <c r="D1989" s="66" t="inlineStr">
        <is>
          <t>Programmatic</t>
        </is>
      </c>
      <c r="E1989" s="66" t="inlineStr">
        <is>
          <t>DV360</t>
        </is>
      </c>
      <c r="F1989" s="66" t="inlineStr">
        <is>
          <t>LEP_ZA_AUG26_PROG_TD_PROSPECT_DISPLAY</t>
        </is>
      </c>
      <c r="G1989" s="66" t="inlineStr">
        <is>
          <t>Display Prospecting</t>
        </is>
      </c>
      <c r="H1989" s="66" t="inlineStr">
        <is>
          <t>Range</t>
        </is>
      </c>
      <c r="I1989" s="66" t="inlineStr">
        <is>
          <t>Range Offer</t>
        </is>
      </c>
      <c r="J1989" s="66" t="inlineStr">
        <is>
          <t>PROG_GEO_DEALER_RADIUS</t>
        </is>
      </c>
      <c r="K1989" s="66" t="inlineStr">
        <is>
          <t>Prospecting</t>
        </is>
      </c>
      <c r="L1989" s="66" t="inlineStr">
        <is>
          <t>PROG_HTML5_728x90_Range_v1</t>
        </is>
      </c>
      <c r="M1989" s="66" t="inlineStr">
        <is>
          <t>HTML5 Display 728x90</t>
        </is>
      </c>
      <c r="N1989" s="66" t="inlineStr">
        <is>
          <t>Book a Lepas test drive</t>
        </is>
      </c>
      <c r="O1989" s="66" t="inlineStr">
        <is>
          <t>Programmatic Guaranteed / OA</t>
        </is>
      </c>
      <c r="P1989" s="66" t="inlineStr">
        <is>
          <t>Conversions (CPA)</t>
        </is>
      </c>
      <c r="Q1989" s="66" t="inlineStr">
        <is>
          <t>https://www.lepas-sa.co.za/offers</t>
        </is>
      </c>
      <c r="R1989" s="121" t="n">
        <v>106.39</v>
      </c>
      <c r="S1989" s="122" t="n">
        <v>4509</v>
      </c>
      <c r="T1989" s="122" t="n">
        <v>3080</v>
      </c>
      <c r="U1989" s="123">
        <f>IFERROR(S1989/T1989,"")</f>
        <v/>
      </c>
      <c r="V1989" s="122" t="n">
        <v>5</v>
      </c>
      <c r="W1989" s="122" t="n">
        <v>4</v>
      </c>
      <c r="X1989" s="124">
        <f>IFERROR(W1989/S1989,"")</f>
        <v/>
      </c>
      <c r="Y1989" s="121">
        <f>IFERROR(R1989/W1989,"")</f>
        <v/>
      </c>
      <c r="Z1989" s="121">
        <f>IFERROR(R1989/S1989*1000,"")</f>
        <v/>
      </c>
      <c r="AA1989" s="122" t="n">
        <v>3</v>
      </c>
      <c r="AB1989" s="54">
        <f>IFERROR(AA1989/W1989,"")</f>
        <v/>
      </c>
      <c r="AC1989" s="122" t="n">
        <v>0</v>
      </c>
      <c r="AD1989" s="122" t="n">
        <v>0</v>
      </c>
      <c r="AE1989" s="122" t="n">
        <v>0</v>
      </c>
      <c r="AF1989" s="122" t="n">
        <v>0</v>
      </c>
      <c r="AG1989" s="122" t="n">
        <v>0</v>
      </c>
      <c r="AH1989" s="122" t="n">
        <v>0</v>
      </c>
      <c r="AI1989" s="54">
        <f>IFERROR(AC1989/S1989,"")</f>
        <v/>
      </c>
      <c r="AJ1989" s="54">
        <f>IFERROR(AH1989/S1989,"")</f>
        <v/>
      </c>
      <c r="AK1989" s="122" t="n">
        <v>23</v>
      </c>
      <c r="AL1989" s="122" t="n">
        <v>0</v>
      </c>
      <c r="AM1989" s="124">
        <f>IFERROR(AL1989/AA1989,"")</f>
        <v/>
      </c>
      <c r="AN1989" s="125">
        <f>IFERROR(R1989/AL1989,"")</f>
        <v/>
      </c>
      <c r="AO1989" s="122" t="n">
        <v>0</v>
      </c>
      <c r="AP1989" s="54">
        <f>IFERROR(AO1989/AL1989,"")</f>
        <v/>
      </c>
      <c r="AQ1989" s="125">
        <f>IFERROR(R1989/AO1989,"")</f>
        <v/>
      </c>
      <c r="AR1989" s="122" t="n">
        <v>0</v>
      </c>
      <c r="AS1989" s="122" t="n">
        <v>0</v>
      </c>
      <c r="AT1989" s="122">
        <f>AL1989+AR1989</f>
        <v/>
      </c>
      <c r="AU1989" s="125">
        <f>IFERROR(AO1989*Assumptions!$C$26*Assumptions!$C$27*INDEX(Assumptions!$C$18:$C$21,MATCH(H1989,Assumptions!$B$18:$B$21,0)),0)</f>
        <v/>
      </c>
    </row>
    <row r="1990">
      <c r="A1990" s="120" t="n">
        <v>46245</v>
      </c>
      <c r="B1990" s="66" t="inlineStr">
        <is>
          <t>Wk 33</t>
        </is>
      </c>
      <c r="C1990" s="66" t="inlineStr">
        <is>
          <t>Tue</t>
        </is>
      </c>
      <c r="D1990" s="66" t="inlineStr">
        <is>
          <t>Programmatic</t>
        </is>
      </c>
      <c r="E1990" s="66" t="inlineStr">
        <is>
          <t>DV360</t>
        </is>
      </c>
      <c r="F1990" s="66" t="inlineStr">
        <is>
          <t>LEP_ZA_AUG26_PROG_TD_PROSPECT_DISPLAY</t>
        </is>
      </c>
      <c r="G1990" s="66" t="inlineStr">
        <is>
          <t>Display Prospecting</t>
        </is>
      </c>
      <c r="H1990" s="66" t="inlineStr">
        <is>
          <t>Range</t>
        </is>
      </c>
      <c r="I1990" s="66" t="inlineStr">
        <is>
          <t>Range Offer</t>
        </is>
      </c>
      <c r="J1990" s="66" t="inlineStr">
        <is>
          <t>PROG_GEO_DEALER_RADIUS</t>
        </is>
      </c>
      <c r="K1990" s="66" t="inlineStr">
        <is>
          <t>Prospecting</t>
        </is>
      </c>
      <c r="L1990" s="66" t="inlineStr">
        <is>
          <t>PROG_HTML5_728x90_Range_v1</t>
        </is>
      </c>
      <c r="M1990" s="66" t="inlineStr">
        <is>
          <t>HTML5 Display 728x90</t>
        </is>
      </c>
      <c r="N1990" s="66" t="inlineStr">
        <is>
          <t>Book a Lepas test drive</t>
        </is>
      </c>
      <c r="O1990" s="66" t="inlineStr">
        <is>
          <t>Programmatic Guaranteed / OA</t>
        </is>
      </c>
      <c r="P1990" s="66" t="inlineStr">
        <is>
          <t>Conversions (CPA)</t>
        </is>
      </c>
      <c r="Q1990" s="66" t="inlineStr">
        <is>
          <t>https://www.lepas-sa.co.za/offers</t>
        </is>
      </c>
      <c r="R1990" s="121" t="n">
        <v>84.25</v>
      </c>
      <c r="S1990" s="122" t="n">
        <v>2649</v>
      </c>
      <c r="T1990" s="122" t="n">
        <v>1104</v>
      </c>
      <c r="U1990" s="123">
        <f>IFERROR(S1990/T1990,"")</f>
        <v/>
      </c>
      <c r="V1990" s="122" t="n">
        <v>9</v>
      </c>
      <c r="W1990" s="122" t="n">
        <v>7</v>
      </c>
      <c r="X1990" s="124">
        <f>IFERROR(W1990/S1990,"")</f>
        <v/>
      </c>
      <c r="Y1990" s="121">
        <f>IFERROR(R1990/W1990,"")</f>
        <v/>
      </c>
      <c r="Z1990" s="121">
        <f>IFERROR(R1990/S1990*1000,"")</f>
        <v/>
      </c>
      <c r="AA1990" s="122" t="n">
        <v>4</v>
      </c>
      <c r="AB1990" s="54">
        <f>IFERROR(AA1990/W1990,"")</f>
        <v/>
      </c>
      <c r="AC1990" s="122" t="n">
        <v>0</v>
      </c>
      <c r="AD1990" s="122" t="n">
        <v>0</v>
      </c>
      <c r="AE1990" s="122" t="n">
        <v>0</v>
      </c>
      <c r="AF1990" s="122" t="n">
        <v>0</v>
      </c>
      <c r="AG1990" s="122" t="n">
        <v>0</v>
      </c>
      <c r="AH1990" s="122" t="n">
        <v>0</v>
      </c>
      <c r="AI1990" s="54">
        <f>IFERROR(AC1990/S1990,"")</f>
        <v/>
      </c>
      <c r="AJ1990" s="54">
        <f>IFERROR(AH1990/S1990,"")</f>
        <v/>
      </c>
      <c r="AK1990" s="122" t="n">
        <v>5</v>
      </c>
      <c r="AL1990" s="122" t="n">
        <v>0</v>
      </c>
      <c r="AM1990" s="124">
        <f>IFERROR(AL1990/AA1990,"")</f>
        <v/>
      </c>
      <c r="AN1990" s="125">
        <f>IFERROR(R1990/AL1990,"")</f>
        <v/>
      </c>
      <c r="AO1990" s="122" t="n">
        <v>0</v>
      </c>
      <c r="AP1990" s="54">
        <f>IFERROR(AO1990/AL1990,"")</f>
        <v/>
      </c>
      <c r="AQ1990" s="125">
        <f>IFERROR(R1990/AO1990,"")</f>
        <v/>
      </c>
      <c r="AR1990" s="122" t="n">
        <v>0</v>
      </c>
      <c r="AS1990" s="122" t="n">
        <v>0</v>
      </c>
      <c r="AT1990" s="122">
        <f>AL1990+AR1990</f>
        <v/>
      </c>
      <c r="AU1990" s="125">
        <f>IFERROR(AO1990*Assumptions!$C$26*Assumptions!$C$27*INDEX(Assumptions!$C$18:$C$21,MATCH(H1990,Assumptions!$B$18:$B$21,0)),0)</f>
        <v/>
      </c>
    </row>
    <row r="1991">
      <c r="A1991" s="120" t="n">
        <v>46246</v>
      </c>
      <c r="B1991" s="66" t="inlineStr">
        <is>
          <t>Wk 33</t>
        </is>
      </c>
      <c r="C1991" s="66" t="inlineStr">
        <is>
          <t>Wed</t>
        </is>
      </c>
      <c r="D1991" s="66" t="inlineStr">
        <is>
          <t>Programmatic</t>
        </is>
      </c>
      <c r="E1991" s="66" t="inlineStr">
        <is>
          <t>DV360</t>
        </is>
      </c>
      <c r="F1991" s="66" t="inlineStr">
        <is>
          <t>LEP_ZA_AUG26_PROG_TD_PROSPECT_DISPLAY</t>
        </is>
      </c>
      <c r="G1991" s="66" t="inlineStr">
        <is>
          <t>Display Prospecting</t>
        </is>
      </c>
      <c r="H1991" s="66" t="inlineStr">
        <is>
          <t>Range</t>
        </is>
      </c>
      <c r="I1991" s="66" t="inlineStr">
        <is>
          <t>Range Offer</t>
        </is>
      </c>
      <c r="J1991" s="66" t="inlineStr">
        <is>
          <t>PROG_GEO_DEALER_RADIUS</t>
        </is>
      </c>
      <c r="K1991" s="66" t="inlineStr">
        <is>
          <t>Prospecting</t>
        </is>
      </c>
      <c r="L1991" s="66" t="inlineStr">
        <is>
          <t>PROG_HTML5_728x90_Range_v1</t>
        </is>
      </c>
      <c r="M1991" s="66" t="inlineStr">
        <is>
          <t>HTML5 Display 728x90</t>
        </is>
      </c>
      <c r="N1991" s="66" t="inlineStr">
        <is>
          <t>Book a Lepas test drive</t>
        </is>
      </c>
      <c r="O1991" s="66" t="inlineStr">
        <is>
          <t>Programmatic Guaranteed / OA</t>
        </is>
      </c>
      <c r="P1991" s="66" t="inlineStr">
        <is>
          <t>Conversions (CPA)</t>
        </is>
      </c>
      <c r="Q1991" s="66" t="inlineStr">
        <is>
          <t>https://www.lepas-sa.co.za/offers</t>
        </is>
      </c>
      <c r="R1991" s="121" t="n">
        <v>81.51000000000001</v>
      </c>
      <c r="S1991" s="122" t="n">
        <v>2432</v>
      </c>
      <c r="T1991" s="122" t="n">
        <v>971</v>
      </c>
      <c r="U1991" s="123">
        <f>IFERROR(S1991/T1991,"")</f>
        <v/>
      </c>
      <c r="V1991" s="122" t="n">
        <v>7</v>
      </c>
      <c r="W1991" s="122" t="n">
        <v>6</v>
      </c>
      <c r="X1991" s="124">
        <f>IFERROR(W1991/S1991,"")</f>
        <v/>
      </c>
      <c r="Y1991" s="121">
        <f>IFERROR(R1991/W1991,"")</f>
        <v/>
      </c>
      <c r="Z1991" s="121">
        <f>IFERROR(R1991/S1991*1000,"")</f>
        <v/>
      </c>
      <c r="AA1991" s="122" t="n">
        <v>4</v>
      </c>
      <c r="AB1991" s="54">
        <f>IFERROR(AA1991/W1991,"")</f>
        <v/>
      </c>
      <c r="AC1991" s="122" t="n">
        <v>0</v>
      </c>
      <c r="AD1991" s="122" t="n">
        <v>0</v>
      </c>
      <c r="AE1991" s="122" t="n">
        <v>0</v>
      </c>
      <c r="AF1991" s="122" t="n">
        <v>0</v>
      </c>
      <c r="AG1991" s="122" t="n">
        <v>0</v>
      </c>
      <c r="AH1991" s="122" t="n">
        <v>0</v>
      </c>
      <c r="AI1991" s="54">
        <f>IFERROR(AC1991/S1991,"")</f>
        <v/>
      </c>
      <c r="AJ1991" s="54">
        <f>IFERROR(AH1991/S1991,"")</f>
        <v/>
      </c>
      <c r="AK1991" s="122" t="n">
        <v>10</v>
      </c>
      <c r="AL1991" s="122" t="n">
        <v>0</v>
      </c>
      <c r="AM1991" s="124">
        <f>IFERROR(AL1991/AA1991,"")</f>
        <v/>
      </c>
      <c r="AN1991" s="125">
        <f>IFERROR(R1991/AL1991,"")</f>
        <v/>
      </c>
      <c r="AO1991" s="122" t="n">
        <v>0</v>
      </c>
      <c r="AP1991" s="54">
        <f>IFERROR(AO1991/AL1991,"")</f>
        <v/>
      </c>
      <c r="AQ1991" s="125">
        <f>IFERROR(R1991/AO1991,"")</f>
        <v/>
      </c>
      <c r="AR1991" s="122" t="n">
        <v>0</v>
      </c>
      <c r="AS1991" s="122" t="n">
        <v>0</v>
      </c>
      <c r="AT1991" s="122">
        <f>AL1991+AR1991</f>
        <v/>
      </c>
      <c r="AU1991" s="125">
        <f>IFERROR(AO1991*Assumptions!$C$26*Assumptions!$C$27*INDEX(Assumptions!$C$18:$C$21,MATCH(H1991,Assumptions!$B$18:$B$21,0)),0)</f>
        <v/>
      </c>
    </row>
    <row r="1992">
      <c r="A1992" s="120" t="n">
        <v>46247</v>
      </c>
      <c r="B1992" s="66" t="inlineStr">
        <is>
          <t>Wk 33</t>
        </is>
      </c>
      <c r="C1992" s="66" t="inlineStr">
        <is>
          <t>Thu</t>
        </is>
      </c>
      <c r="D1992" s="66" t="inlineStr">
        <is>
          <t>Programmatic</t>
        </is>
      </c>
      <c r="E1992" s="66" t="inlineStr">
        <is>
          <t>DV360</t>
        </is>
      </c>
      <c r="F1992" s="66" t="inlineStr">
        <is>
          <t>LEP_ZA_AUG26_PROG_TD_PROSPECT_DISPLAY</t>
        </is>
      </c>
      <c r="G1992" s="66" t="inlineStr">
        <is>
          <t>Display Prospecting</t>
        </is>
      </c>
      <c r="H1992" s="66" t="inlineStr">
        <is>
          <t>Range</t>
        </is>
      </c>
      <c r="I1992" s="66" t="inlineStr">
        <is>
          <t>Range Offer</t>
        </is>
      </c>
      <c r="J1992" s="66" t="inlineStr">
        <is>
          <t>PROG_GEO_DEALER_RADIUS</t>
        </is>
      </c>
      <c r="K1992" s="66" t="inlineStr">
        <is>
          <t>Prospecting</t>
        </is>
      </c>
      <c r="L1992" s="66" t="inlineStr">
        <is>
          <t>PROG_HTML5_728x90_Range_v1</t>
        </is>
      </c>
      <c r="M1992" s="66" t="inlineStr">
        <is>
          <t>HTML5 Display 728x90</t>
        </is>
      </c>
      <c r="N1992" s="66" t="inlineStr">
        <is>
          <t>Book a Lepas test drive</t>
        </is>
      </c>
      <c r="O1992" s="66" t="inlineStr">
        <is>
          <t>Programmatic Guaranteed / OA</t>
        </is>
      </c>
      <c r="P1992" s="66" t="inlineStr">
        <is>
          <t>Conversions (CPA)</t>
        </is>
      </c>
      <c r="Q1992" s="66" t="inlineStr">
        <is>
          <t>https://www.lepas-sa.co.za/offers</t>
        </is>
      </c>
      <c r="R1992" s="121" t="n">
        <v>95.15000000000001</v>
      </c>
      <c r="S1992" s="122" t="n">
        <v>4032</v>
      </c>
      <c r="T1992" s="122" t="n">
        <v>2182</v>
      </c>
      <c r="U1992" s="123">
        <f>IFERROR(S1992/T1992,"")</f>
        <v/>
      </c>
      <c r="V1992" s="122" t="n">
        <v>8</v>
      </c>
      <c r="W1992" s="122" t="n">
        <v>6</v>
      </c>
      <c r="X1992" s="124">
        <f>IFERROR(W1992/S1992,"")</f>
        <v/>
      </c>
      <c r="Y1992" s="121">
        <f>IFERROR(R1992/W1992,"")</f>
        <v/>
      </c>
      <c r="Z1992" s="121">
        <f>IFERROR(R1992/S1992*1000,"")</f>
        <v/>
      </c>
      <c r="AA1992" s="122" t="n">
        <v>4</v>
      </c>
      <c r="AB1992" s="54">
        <f>IFERROR(AA1992/W1992,"")</f>
        <v/>
      </c>
      <c r="AC1992" s="122" t="n">
        <v>0</v>
      </c>
      <c r="AD1992" s="122" t="n">
        <v>0</v>
      </c>
      <c r="AE1992" s="122" t="n">
        <v>0</v>
      </c>
      <c r="AF1992" s="122" t="n">
        <v>0</v>
      </c>
      <c r="AG1992" s="122" t="n">
        <v>0</v>
      </c>
      <c r="AH1992" s="122" t="n">
        <v>0</v>
      </c>
      <c r="AI1992" s="54">
        <f>IFERROR(AC1992/S1992,"")</f>
        <v/>
      </c>
      <c r="AJ1992" s="54">
        <f>IFERROR(AH1992/S1992,"")</f>
        <v/>
      </c>
      <c r="AK1992" s="122" t="n">
        <v>18</v>
      </c>
      <c r="AL1992" s="122" t="n">
        <v>0</v>
      </c>
      <c r="AM1992" s="124">
        <f>IFERROR(AL1992/AA1992,"")</f>
        <v/>
      </c>
      <c r="AN1992" s="125">
        <f>IFERROR(R1992/AL1992,"")</f>
        <v/>
      </c>
      <c r="AO1992" s="122" t="n">
        <v>0</v>
      </c>
      <c r="AP1992" s="54">
        <f>IFERROR(AO1992/AL1992,"")</f>
        <v/>
      </c>
      <c r="AQ1992" s="125">
        <f>IFERROR(R1992/AO1992,"")</f>
        <v/>
      </c>
      <c r="AR1992" s="122" t="n">
        <v>0</v>
      </c>
      <c r="AS1992" s="122" t="n">
        <v>0</v>
      </c>
      <c r="AT1992" s="122">
        <f>AL1992+AR1992</f>
        <v/>
      </c>
      <c r="AU1992" s="125">
        <f>IFERROR(AO1992*Assumptions!$C$26*Assumptions!$C$27*INDEX(Assumptions!$C$18:$C$21,MATCH(H1992,Assumptions!$B$18:$B$21,0)),0)</f>
        <v/>
      </c>
    </row>
    <row r="1993">
      <c r="A1993" s="120" t="n">
        <v>46248</v>
      </c>
      <c r="B1993" s="66" t="inlineStr">
        <is>
          <t>Wk 33</t>
        </is>
      </c>
      <c r="C1993" s="66" t="inlineStr">
        <is>
          <t>Fri</t>
        </is>
      </c>
      <c r="D1993" s="66" t="inlineStr">
        <is>
          <t>Programmatic</t>
        </is>
      </c>
      <c r="E1993" s="66" t="inlineStr">
        <is>
          <t>DV360</t>
        </is>
      </c>
      <c r="F1993" s="66" t="inlineStr">
        <is>
          <t>LEP_ZA_AUG26_PROG_TD_PROSPECT_DISPLAY</t>
        </is>
      </c>
      <c r="G1993" s="66" t="inlineStr">
        <is>
          <t>Display Prospecting</t>
        </is>
      </c>
      <c r="H1993" s="66" t="inlineStr">
        <is>
          <t>Range</t>
        </is>
      </c>
      <c r="I1993" s="66" t="inlineStr">
        <is>
          <t>Range Offer</t>
        </is>
      </c>
      <c r="J1993" s="66" t="inlineStr">
        <is>
          <t>PROG_GEO_DEALER_RADIUS</t>
        </is>
      </c>
      <c r="K1993" s="66" t="inlineStr">
        <is>
          <t>Prospecting</t>
        </is>
      </c>
      <c r="L1993" s="66" t="inlineStr">
        <is>
          <t>PROG_HTML5_728x90_Range_v1</t>
        </is>
      </c>
      <c r="M1993" s="66" t="inlineStr">
        <is>
          <t>HTML5 Display 728x90</t>
        </is>
      </c>
      <c r="N1993" s="66" t="inlineStr">
        <is>
          <t>Book a Lepas test drive</t>
        </is>
      </c>
      <c r="O1993" s="66" t="inlineStr">
        <is>
          <t>Programmatic Guaranteed / OA</t>
        </is>
      </c>
      <c r="P1993" s="66" t="inlineStr">
        <is>
          <t>Conversions (CPA)</t>
        </is>
      </c>
      <c r="Q1993" s="66" t="inlineStr">
        <is>
          <t>https://www.lepas-sa.co.za/offers</t>
        </is>
      </c>
      <c r="R1993" s="121" t="n">
        <v>98.09999999999999</v>
      </c>
      <c r="S1993" s="122" t="n">
        <v>3947</v>
      </c>
      <c r="T1993" s="122" t="n">
        <v>2109</v>
      </c>
      <c r="U1993" s="123">
        <f>IFERROR(S1993/T1993,"")</f>
        <v/>
      </c>
      <c r="V1993" s="122" t="n">
        <v>12</v>
      </c>
      <c r="W1993" s="122" t="n">
        <v>10</v>
      </c>
      <c r="X1993" s="124">
        <f>IFERROR(W1993/S1993,"")</f>
        <v/>
      </c>
      <c r="Y1993" s="121">
        <f>IFERROR(R1993/W1993,"")</f>
        <v/>
      </c>
      <c r="Z1993" s="121">
        <f>IFERROR(R1993/S1993*1000,"")</f>
        <v/>
      </c>
      <c r="AA1993" s="122" t="n">
        <v>6</v>
      </c>
      <c r="AB1993" s="54">
        <f>IFERROR(AA1993/W1993,"")</f>
        <v/>
      </c>
      <c r="AC1993" s="122" t="n">
        <v>0</v>
      </c>
      <c r="AD1993" s="122" t="n">
        <v>0</v>
      </c>
      <c r="AE1993" s="122" t="n">
        <v>0</v>
      </c>
      <c r="AF1993" s="122" t="n">
        <v>0</v>
      </c>
      <c r="AG1993" s="122" t="n">
        <v>0</v>
      </c>
      <c r="AH1993" s="122" t="n">
        <v>0</v>
      </c>
      <c r="AI1993" s="54">
        <f>IFERROR(AC1993/S1993,"")</f>
        <v/>
      </c>
      <c r="AJ1993" s="54">
        <f>IFERROR(AH1993/S1993,"")</f>
        <v/>
      </c>
      <c r="AK1993" s="122" t="n">
        <v>11</v>
      </c>
      <c r="AL1993" s="122" t="n">
        <v>0</v>
      </c>
      <c r="AM1993" s="124">
        <f>IFERROR(AL1993/AA1993,"")</f>
        <v/>
      </c>
      <c r="AN1993" s="125">
        <f>IFERROR(R1993/AL1993,"")</f>
        <v/>
      </c>
      <c r="AO1993" s="122" t="n">
        <v>0</v>
      </c>
      <c r="AP1993" s="54">
        <f>IFERROR(AO1993/AL1993,"")</f>
        <v/>
      </c>
      <c r="AQ1993" s="125">
        <f>IFERROR(R1993/AO1993,"")</f>
        <v/>
      </c>
      <c r="AR1993" s="122" t="n">
        <v>0</v>
      </c>
      <c r="AS1993" s="122" t="n">
        <v>0</v>
      </c>
      <c r="AT1993" s="122">
        <f>AL1993+AR1993</f>
        <v/>
      </c>
      <c r="AU1993" s="125">
        <f>IFERROR(AO1993*Assumptions!$C$26*Assumptions!$C$27*INDEX(Assumptions!$C$18:$C$21,MATCH(H1993,Assumptions!$B$18:$B$21,0)),0)</f>
        <v/>
      </c>
    </row>
    <row r="1994">
      <c r="A1994" s="120" t="n">
        <v>46249</v>
      </c>
      <c r="B1994" s="66" t="inlineStr">
        <is>
          <t>Wk 33</t>
        </is>
      </c>
      <c r="C1994" s="66" t="inlineStr">
        <is>
          <t>Sat</t>
        </is>
      </c>
      <c r="D1994" s="66" t="inlineStr">
        <is>
          <t>Programmatic</t>
        </is>
      </c>
      <c r="E1994" s="66" t="inlineStr">
        <is>
          <t>DV360</t>
        </is>
      </c>
      <c r="F1994" s="66" t="inlineStr">
        <is>
          <t>LEP_ZA_AUG26_PROG_TD_PROSPECT_DISPLAY</t>
        </is>
      </c>
      <c r="G1994" s="66" t="inlineStr">
        <is>
          <t>Display Prospecting</t>
        </is>
      </c>
      <c r="H1994" s="66" t="inlineStr">
        <is>
          <t>Range</t>
        </is>
      </c>
      <c r="I1994" s="66" t="inlineStr">
        <is>
          <t>Range Offer</t>
        </is>
      </c>
      <c r="J1994" s="66" t="inlineStr">
        <is>
          <t>PROG_GEO_DEALER_RADIUS</t>
        </is>
      </c>
      <c r="K1994" s="66" t="inlineStr">
        <is>
          <t>Prospecting</t>
        </is>
      </c>
      <c r="L1994" s="66" t="inlineStr">
        <is>
          <t>PROG_HTML5_728x90_Range_v1</t>
        </is>
      </c>
      <c r="M1994" s="66" t="inlineStr">
        <is>
          <t>HTML5 Display 728x90</t>
        </is>
      </c>
      <c r="N1994" s="66" t="inlineStr">
        <is>
          <t>Book a Lepas test drive</t>
        </is>
      </c>
      <c r="O1994" s="66" t="inlineStr">
        <is>
          <t>Programmatic Guaranteed / OA</t>
        </is>
      </c>
      <c r="P1994" s="66" t="inlineStr">
        <is>
          <t>Conversions (CPA)</t>
        </is>
      </c>
      <c r="Q1994" s="66" t="inlineStr">
        <is>
          <t>https://www.lepas-sa.co.za/offers</t>
        </is>
      </c>
      <c r="R1994" s="121" t="n">
        <v>84.2</v>
      </c>
      <c r="S1994" s="122" t="n">
        <v>2715</v>
      </c>
      <c r="T1994" s="122" t="n">
        <v>1325</v>
      </c>
      <c r="U1994" s="123">
        <f>IFERROR(S1994/T1994,"")</f>
        <v/>
      </c>
      <c r="V1994" s="122" t="n">
        <v>8</v>
      </c>
      <c r="W1994" s="122" t="n">
        <v>7</v>
      </c>
      <c r="X1994" s="124">
        <f>IFERROR(W1994/S1994,"")</f>
        <v/>
      </c>
      <c r="Y1994" s="121">
        <f>IFERROR(R1994/W1994,"")</f>
        <v/>
      </c>
      <c r="Z1994" s="121">
        <f>IFERROR(R1994/S1994*1000,"")</f>
        <v/>
      </c>
      <c r="AA1994" s="122" t="n">
        <v>5</v>
      </c>
      <c r="AB1994" s="54">
        <f>IFERROR(AA1994/W1994,"")</f>
        <v/>
      </c>
      <c r="AC1994" s="122" t="n">
        <v>0</v>
      </c>
      <c r="AD1994" s="122" t="n">
        <v>0</v>
      </c>
      <c r="AE1994" s="122" t="n">
        <v>0</v>
      </c>
      <c r="AF1994" s="122" t="n">
        <v>0</v>
      </c>
      <c r="AG1994" s="122" t="n">
        <v>0</v>
      </c>
      <c r="AH1994" s="122" t="n">
        <v>0</v>
      </c>
      <c r="AI1994" s="54">
        <f>IFERROR(AC1994/S1994,"")</f>
        <v/>
      </c>
      <c r="AJ1994" s="54">
        <f>IFERROR(AH1994/S1994,"")</f>
        <v/>
      </c>
      <c r="AK1994" s="122" t="n">
        <v>6</v>
      </c>
      <c r="AL1994" s="122" t="n">
        <v>0</v>
      </c>
      <c r="AM1994" s="124">
        <f>IFERROR(AL1994/AA1994,"")</f>
        <v/>
      </c>
      <c r="AN1994" s="125">
        <f>IFERROR(R1994/AL1994,"")</f>
        <v/>
      </c>
      <c r="AO1994" s="122" t="n">
        <v>0</v>
      </c>
      <c r="AP1994" s="54">
        <f>IFERROR(AO1994/AL1994,"")</f>
        <v/>
      </c>
      <c r="AQ1994" s="125">
        <f>IFERROR(R1994/AO1994,"")</f>
        <v/>
      </c>
      <c r="AR1994" s="122" t="n">
        <v>0</v>
      </c>
      <c r="AS1994" s="122" t="n">
        <v>0</v>
      </c>
      <c r="AT1994" s="122">
        <f>AL1994+AR1994</f>
        <v/>
      </c>
      <c r="AU1994" s="125">
        <f>IFERROR(AO1994*Assumptions!$C$26*Assumptions!$C$27*INDEX(Assumptions!$C$18:$C$21,MATCH(H1994,Assumptions!$B$18:$B$21,0)),0)</f>
        <v/>
      </c>
    </row>
    <row r="1995">
      <c r="A1995" s="120" t="n">
        <v>46250</v>
      </c>
      <c r="B1995" s="66" t="inlineStr">
        <is>
          <t>Wk 33</t>
        </is>
      </c>
      <c r="C1995" s="66" t="inlineStr">
        <is>
          <t>Sun</t>
        </is>
      </c>
      <c r="D1995" s="66" t="inlineStr">
        <is>
          <t>Programmatic</t>
        </is>
      </c>
      <c r="E1995" s="66" t="inlineStr">
        <is>
          <t>DV360</t>
        </is>
      </c>
      <c r="F1995" s="66" t="inlineStr">
        <is>
          <t>LEP_ZA_AUG26_PROG_TD_PROSPECT_DISPLAY</t>
        </is>
      </c>
      <c r="G1995" s="66" t="inlineStr">
        <is>
          <t>Display Prospecting</t>
        </is>
      </c>
      <c r="H1995" s="66" t="inlineStr">
        <is>
          <t>Range</t>
        </is>
      </c>
      <c r="I1995" s="66" t="inlineStr">
        <is>
          <t>Range Offer</t>
        </is>
      </c>
      <c r="J1995" s="66" t="inlineStr">
        <is>
          <t>PROG_GEO_DEALER_RADIUS</t>
        </is>
      </c>
      <c r="K1995" s="66" t="inlineStr">
        <is>
          <t>Prospecting</t>
        </is>
      </c>
      <c r="L1995" s="66" t="inlineStr">
        <is>
          <t>PROG_HTML5_728x90_Range_v1</t>
        </is>
      </c>
      <c r="M1995" s="66" t="inlineStr">
        <is>
          <t>HTML5 Display 728x90</t>
        </is>
      </c>
      <c r="N1995" s="66" t="inlineStr">
        <is>
          <t>Book a Lepas test drive</t>
        </is>
      </c>
      <c r="O1995" s="66" t="inlineStr">
        <is>
          <t>Programmatic Guaranteed / OA</t>
        </is>
      </c>
      <c r="P1995" s="66" t="inlineStr">
        <is>
          <t>Conversions (CPA)</t>
        </is>
      </c>
      <c r="Q1995" s="66" t="inlineStr">
        <is>
          <t>https://www.lepas-sa.co.za/offers</t>
        </is>
      </c>
      <c r="R1995" s="121" t="n">
        <v>73.55</v>
      </c>
      <c r="S1995" s="122" t="n">
        <v>2363</v>
      </c>
      <c r="T1995" s="122" t="n">
        <v>954</v>
      </c>
      <c r="U1995" s="123">
        <f>IFERROR(S1995/T1995,"")</f>
        <v/>
      </c>
      <c r="V1995" s="122" t="n">
        <v>8</v>
      </c>
      <c r="W1995" s="122" t="n">
        <v>6</v>
      </c>
      <c r="X1995" s="124">
        <f>IFERROR(W1995/S1995,"")</f>
        <v/>
      </c>
      <c r="Y1995" s="121">
        <f>IFERROR(R1995/W1995,"")</f>
        <v/>
      </c>
      <c r="Z1995" s="121">
        <f>IFERROR(R1995/S1995*1000,"")</f>
        <v/>
      </c>
      <c r="AA1995" s="122" t="n">
        <v>4</v>
      </c>
      <c r="AB1995" s="54">
        <f>IFERROR(AA1995/W1995,"")</f>
        <v/>
      </c>
      <c r="AC1995" s="122" t="n">
        <v>0</v>
      </c>
      <c r="AD1995" s="122" t="n">
        <v>0</v>
      </c>
      <c r="AE1995" s="122" t="n">
        <v>0</v>
      </c>
      <c r="AF1995" s="122" t="n">
        <v>0</v>
      </c>
      <c r="AG1995" s="122" t="n">
        <v>0</v>
      </c>
      <c r="AH1995" s="122" t="n">
        <v>0</v>
      </c>
      <c r="AI1995" s="54">
        <f>IFERROR(AC1995/S1995,"")</f>
        <v/>
      </c>
      <c r="AJ1995" s="54">
        <f>IFERROR(AH1995/S1995,"")</f>
        <v/>
      </c>
      <c r="AK1995" s="122" t="n">
        <v>3</v>
      </c>
      <c r="AL1995" s="122" t="n">
        <v>0</v>
      </c>
      <c r="AM1995" s="124">
        <f>IFERROR(AL1995/AA1995,"")</f>
        <v/>
      </c>
      <c r="AN1995" s="125">
        <f>IFERROR(R1995/AL1995,"")</f>
        <v/>
      </c>
      <c r="AO1995" s="122" t="n">
        <v>0</v>
      </c>
      <c r="AP1995" s="54">
        <f>IFERROR(AO1995/AL1995,"")</f>
        <v/>
      </c>
      <c r="AQ1995" s="125">
        <f>IFERROR(R1995/AO1995,"")</f>
        <v/>
      </c>
      <c r="AR1995" s="122" t="n">
        <v>0</v>
      </c>
      <c r="AS1995" s="122" t="n">
        <v>0</v>
      </c>
      <c r="AT1995" s="122">
        <f>AL1995+AR1995</f>
        <v/>
      </c>
      <c r="AU1995" s="125">
        <f>IFERROR(AO1995*Assumptions!$C$26*Assumptions!$C$27*INDEX(Assumptions!$C$18:$C$21,MATCH(H1995,Assumptions!$B$18:$B$21,0)),0)</f>
        <v/>
      </c>
    </row>
    <row r="1996">
      <c r="A1996" s="120" t="n">
        <v>46251</v>
      </c>
      <c r="B1996" s="66" t="inlineStr">
        <is>
          <t>Wk 34</t>
        </is>
      </c>
      <c r="C1996" s="66" t="inlineStr">
        <is>
          <t>Mon</t>
        </is>
      </c>
      <c r="D1996" s="66" t="inlineStr">
        <is>
          <t>Programmatic</t>
        </is>
      </c>
      <c r="E1996" s="66" t="inlineStr">
        <is>
          <t>DV360</t>
        </is>
      </c>
      <c r="F1996" s="66" t="inlineStr">
        <is>
          <t>LEP_ZA_AUG26_PROG_TD_PROSPECT_DISPLAY</t>
        </is>
      </c>
      <c r="G1996" s="66" t="inlineStr">
        <is>
          <t>Display Prospecting</t>
        </is>
      </c>
      <c r="H1996" s="66" t="inlineStr">
        <is>
          <t>Range</t>
        </is>
      </c>
      <c r="I1996" s="66" t="inlineStr">
        <is>
          <t>Range Offer</t>
        </is>
      </c>
      <c r="J1996" s="66" t="inlineStr">
        <is>
          <t>PROG_GEO_DEALER_RADIUS</t>
        </is>
      </c>
      <c r="K1996" s="66" t="inlineStr">
        <is>
          <t>Prospecting</t>
        </is>
      </c>
      <c r="L1996" s="66" t="inlineStr">
        <is>
          <t>PROG_HTML5_728x90_Range_v1</t>
        </is>
      </c>
      <c r="M1996" s="66" t="inlineStr">
        <is>
          <t>HTML5 Display 728x90</t>
        </is>
      </c>
      <c r="N1996" s="66" t="inlineStr">
        <is>
          <t>Book a Lepas test drive</t>
        </is>
      </c>
      <c r="O1996" s="66" t="inlineStr">
        <is>
          <t>Programmatic Guaranteed / OA</t>
        </is>
      </c>
      <c r="P1996" s="66" t="inlineStr">
        <is>
          <t>Conversions (CPA)</t>
        </is>
      </c>
      <c r="Q1996" s="66" t="inlineStr">
        <is>
          <t>https://www.lepas-sa.co.za/offers</t>
        </is>
      </c>
      <c r="R1996" s="121" t="n">
        <v>84.47</v>
      </c>
      <c r="S1996" s="122" t="n">
        <v>2838</v>
      </c>
      <c r="T1996" s="122" t="n">
        <v>1124</v>
      </c>
      <c r="U1996" s="123">
        <f>IFERROR(S1996/T1996,"")</f>
        <v/>
      </c>
      <c r="V1996" s="122" t="n">
        <v>8</v>
      </c>
      <c r="W1996" s="122" t="n">
        <v>6</v>
      </c>
      <c r="X1996" s="124">
        <f>IFERROR(W1996/S1996,"")</f>
        <v/>
      </c>
      <c r="Y1996" s="121">
        <f>IFERROR(R1996/W1996,"")</f>
        <v/>
      </c>
      <c r="Z1996" s="121">
        <f>IFERROR(R1996/S1996*1000,"")</f>
        <v/>
      </c>
      <c r="AA1996" s="122" t="n">
        <v>3</v>
      </c>
      <c r="AB1996" s="54">
        <f>IFERROR(AA1996/W1996,"")</f>
        <v/>
      </c>
      <c r="AC1996" s="122" t="n">
        <v>0</v>
      </c>
      <c r="AD1996" s="122" t="n">
        <v>0</v>
      </c>
      <c r="AE1996" s="122" t="n">
        <v>0</v>
      </c>
      <c r="AF1996" s="122" t="n">
        <v>0</v>
      </c>
      <c r="AG1996" s="122" t="n">
        <v>0</v>
      </c>
      <c r="AH1996" s="122" t="n">
        <v>0</v>
      </c>
      <c r="AI1996" s="54">
        <f>IFERROR(AC1996/S1996,"")</f>
        <v/>
      </c>
      <c r="AJ1996" s="54">
        <f>IFERROR(AH1996/S1996,"")</f>
        <v/>
      </c>
      <c r="AK1996" s="122" t="n">
        <v>14</v>
      </c>
      <c r="AL1996" s="122" t="n">
        <v>0</v>
      </c>
      <c r="AM1996" s="124">
        <f>IFERROR(AL1996/AA1996,"")</f>
        <v/>
      </c>
      <c r="AN1996" s="125">
        <f>IFERROR(R1996/AL1996,"")</f>
        <v/>
      </c>
      <c r="AO1996" s="122" t="n">
        <v>0</v>
      </c>
      <c r="AP1996" s="54">
        <f>IFERROR(AO1996/AL1996,"")</f>
        <v/>
      </c>
      <c r="AQ1996" s="125">
        <f>IFERROR(R1996/AO1996,"")</f>
        <v/>
      </c>
      <c r="AR1996" s="122" t="n">
        <v>0</v>
      </c>
      <c r="AS1996" s="122" t="n">
        <v>0</v>
      </c>
      <c r="AT1996" s="122">
        <f>AL1996+AR1996</f>
        <v/>
      </c>
      <c r="AU1996" s="125">
        <f>IFERROR(AO1996*Assumptions!$C$26*Assumptions!$C$27*INDEX(Assumptions!$C$18:$C$21,MATCH(H1996,Assumptions!$B$18:$B$21,0)),0)</f>
        <v/>
      </c>
    </row>
    <row r="1997">
      <c r="A1997" s="120" t="n">
        <v>46252</v>
      </c>
      <c r="B1997" s="66" t="inlineStr">
        <is>
          <t>Wk 34</t>
        </is>
      </c>
      <c r="C1997" s="66" t="inlineStr">
        <is>
          <t>Tue</t>
        </is>
      </c>
      <c r="D1997" s="66" t="inlineStr">
        <is>
          <t>Programmatic</t>
        </is>
      </c>
      <c r="E1997" s="66" t="inlineStr">
        <is>
          <t>DV360</t>
        </is>
      </c>
      <c r="F1997" s="66" t="inlineStr">
        <is>
          <t>LEP_ZA_AUG26_PROG_TD_PROSPECT_DISPLAY</t>
        </is>
      </c>
      <c r="G1997" s="66" t="inlineStr">
        <is>
          <t>Display Prospecting</t>
        </is>
      </c>
      <c r="H1997" s="66" t="inlineStr">
        <is>
          <t>Range</t>
        </is>
      </c>
      <c r="I1997" s="66" t="inlineStr">
        <is>
          <t>Range Offer</t>
        </is>
      </c>
      <c r="J1997" s="66" t="inlineStr">
        <is>
          <t>PROG_GEO_DEALER_RADIUS</t>
        </is>
      </c>
      <c r="K1997" s="66" t="inlineStr">
        <is>
          <t>Prospecting</t>
        </is>
      </c>
      <c r="L1997" s="66" t="inlineStr">
        <is>
          <t>PROG_HTML5_728x90_Range_v1</t>
        </is>
      </c>
      <c r="M1997" s="66" t="inlineStr">
        <is>
          <t>HTML5 Display 728x90</t>
        </is>
      </c>
      <c r="N1997" s="66" t="inlineStr">
        <is>
          <t>Book a Lepas test drive</t>
        </is>
      </c>
      <c r="O1997" s="66" t="inlineStr">
        <is>
          <t>Programmatic Guaranteed / OA</t>
        </is>
      </c>
      <c r="P1997" s="66" t="inlineStr">
        <is>
          <t>Conversions (CPA)</t>
        </is>
      </c>
      <c r="Q1997" s="66" t="inlineStr">
        <is>
          <t>https://www.lepas-sa.co.za/offers</t>
        </is>
      </c>
      <c r="R1997" s="121" t="n">
        <v>75.56999999999999</v>
      </c>
      <c r="S1997" s="122" t="n">
        <v>3831</v>
      </c>
      <c r="T1997" s="122" t="n">
        <v>1413</v>
      </c>
      <c r="U1997" s="123">
        <f>IFERROR(S1997/T1997,"")</f>
        <v/>
      </c>
      <c r="V1997" s="122" t="n">
        <v>13</v>
      </c>
      <c r="W1997" s="122" t="n">
        <v>9</v>
      </c>
      <c r="X1997" s="124">
        <f>IFERROR(W1997/S1997,"")</f>
        <v/>
      </c>
      <c r="Y1997" s="121">
        <f>IFERROR(R1997/W1997,"")</f>
        <v/>
      </c>
      <c r="Z1997" s="121">
        <f>IFERROR(R1997/S1997*1000,"")</f>
        <v/>
      </c>
      <c r="AA1997" s="122" t="n">
        <v>6</v>
      </c>
      <c r="AB1997" s="54">
        <f>IFERROR(AA1997/W1997,"")</f>
        <v/>
      </c>
      <c r="AC1997" s="122" t="n">
        <v>0</v>
      </c>
      <c r="AD1997" s="122" t="n">
        <v>0</v>
      </c>
      <c r="AE1997" s="122" t="n">
        <v>0</v>
      </c>
      <c r="AF1997" s="122" t="n">
        <v>0</v>
      </c>
      <c r="AG1997" s="122" t="n">
        <v>0</v>
      </c>
      <c r="AH1997" s="122" t="n">
        <v>0</v>
      </c>
      <c r="AI1997" s="54">
        <f>IFERROR(AC1997/S1997,"")</f>
        <v/>
      </c>
      <c r="AJ1997" s="54">
        <f>IFERROR(AH1997/S1997,"")</f>
        <v/>
      </c>
      <c r="AK1997" s="122" t="n">
        <v>18</v>
      </c>
      <c r="AL1997" s="122" t="n">
        <v>0</v>
      </c>
      <c r="AM1997" s="124">
        <f>IFERROR(AL1997/AA1997,"")</f>
        <v/>
      </c>
      <c r="AN1997" s="125">
        <f>IFERROR(R1997/AL1997,"")</f>
        <v/>
      </c>
      <c r="AO1997" s="122" t="n">
        <v>0</v>
      </c>
      <c r="AP1997" s="54">
        <f>IFERROR(AO1997/AL1997,"")</f>
        <v/>
      </c>
      <c r="AQ1997" s="125">
        <f>IFERROR(R1997/AO1997,"")</f>
        <v/>
      </c>
      <c r="AR1997" s="122" t="n">
        <v>0</v>
      </c>
      <c r="AS1997" s="122" t="n">
        <v>0</v>
      </c>
      <c r="AT1997" s="122">
        <f>AL1997+AR1997</f>
        <v/>
      </c>
      <c r="AU1997" s="125">
        <f>IFERROR(AO1997*Assumptions!$C$26*Assumptions!$C$27*INDEX(Assumptions!$C$18:$C$21,MATCH(H1997,Assumptions!$B$18:$B$21,0)),0)</f>
        <v/>
      </c>
    </row>
    <row r="1998">
      <c r="A1998" s="120" t="n">
        <v>46253</v>
      </c>
      <c r="B1998" s="66" t="inlineStr">
        <is>
          <t>Wk 34</t>
        </is>
      </c>
      <c r="C1998" s="66" t="inlineStr">
        <is>
          <t>Wed</t>
        </is>
      </c>
      <c r="D1998" s="66" t="inlineStr">
        <is>
          <t>Programmatic</t>
        </is>
      </c>
      <c r="E1998" s="66" t="inlineStr">
        <is>
          <t>DV360</t>
        </is>
      </c>
      <c r="F1998" s="66" t="inlineStr">
        <is>
          <t>LEP_ZA_AUG26_PROG_TD_PROSPECT_DISPLAY</t>
        </is>
      </c>
      <c r="G1998" s="66" t="inlineStr">
        <is>
          <t>Display Prospecting</t>
        </is>
      </c>
      <c r="H1998" s="66" t="inlineStr">
        <is>
          <t>Range</t>
        </is>
      </c>
      <c r="I1998" s="66" t="inlineStr">
        <is>
          <t>Range Offer</t>
        </is>
      </c>
      <c r="J1998" s="66" t="inlineStr">
        <is>
          <t>PROG_GEO_DEALER_RADIUS</t>
        </is>
      </c>
      <c r="K1998" s="66" t="inlineStr">
        <is>
          <t>Prospecting</t>
        </is>
      </c>
      <c r="L1998" s="66" t="inlineStr">
        <is>
          <t>PROG_HTML5_728x90_Range_v1</t>
        </is>
      </c>
      <c r="M1998" s="66" t="inlineStr">
        <is>
          <t>HTML5 Display 728x90</t>
        </is>
      </c>
      <c r="N1998" s="66" t="inlineStr">
        <is>
          <t>Book a Lepas test drive</t>
        </is>
      </c>
      <c r="O1998" s="66" t="inlineStr">
        <is>
          <t>Programmatic Guaranteed / OA</t>
        </is>
      </c>
      <c r="P1998" s="66" t="inlineStr">
        <is>
          <t>Conversions (CPA)</t>
        </is>
      </c>
      <c r="Q1998" s="66" t="inlineStr">
        <is>
          <t>https://www.lepas-sa.co.za/offers</t>
        </is>
      </c>
      <c r="R1998" s="121" t="n">
        <v>90.29000000000001</v>
      </c>
      <c r="S1998" s="122" t="n">
        <v>3247</v>
      </c>
      <c r="T1998" s="122" t="n">
        <v>1370</v>
      </c>
      <c r="U1998" s="123">
        <f>IFERROR(S1998/T1998,"")</f>
        <v/>
      </c>
      <c r="V1998" s="122" t="n">
        <v>9</v>
      </c>
      <c r="W1998" s="122" t="n">
        <v>7</v>
      </c>
      <c r="X1998" s="124">
        <f>IFERROR(W1998/S1998,"")</f>
        <v/>
      </c>
      <c r="Y1998" s="121">
        <f>IFERROR(R1998/W1998,"")</f>
        <v/>
      </c>
      <c r="Z1998" s="121">
        <f>IFERROR(R1998/S1998*1000,"")</f>
        <v/>
      </c>
      <c r="AA1998" s="122" t="n">
        <v>4</v>
      </c>
      <c r="AB1998" s="54">
        <f>IFERROR(AA1998/W1998,"")</f>
        <v/>
      </c>
      <c r="AC1998" s="122" t="n">
        <v>0</v>
      </c>
      <c r="AD1998" s="122" t="n">
        <v>0</v>
      </c>
      <c r="AE1998" s="122" t="n">
        <v>0</v>
      </c>
      <c r="AF1998" s="122" t="n">
        <v>0</v>
      </c>
      <c r="AG1998" s="122" t="n">
        <v>0</v>
      </c>
      <c r="AH1998" s="122" t="n">
        <v>0</v>
      </c>
      <c r="AI1998" s="54">
        <f>IFERROR(AC1998/S1998,"")</f>
        <v/>
      </c>
      <c r="AJ1998" s="54">
        <f>IFERROR(AH1998/S1998,"")</f>
        <v/>
      </c>
      <c r="AK1998" s="122" t="n">
        <v>13</v>
      </c>
      <c r="AL1998" s="122" t="n">
        <v>0</v>
      </c>
      <c r="AM1998" s="124">
        <f>IFERROR(AL1998/AA1998,"")</f>
        <v/>
      </c>
      <c r="AN1998" s="125">
        <f>IFERROR(R1998/AL1998,"")</f>
        <v/>
      </c>
      <c r="AO1998" s="122" t="n">
        <v>0</v>
      </c>
      <c r="AP1998" s="54">
        <f>IFERROR(AO1998/AL1998,"")</f>
        <v/>
      </c>
      <c r="AQ1998" s="125">
        <f>IFERROR(R1998/AO1998,"")</f>
        <v/>
      </c>
      <c r="AR1998" s="122" t="n">
        <v>0</v>
      </c>
      <c r="AS1998" s="122" t="n">
        <v>0</v>
      </c>
      <c r="AT1998" s="122">
        <f>AL1998+AR1998</f>
        <v/>
      </c>
      <c r="AU1998" s="125">
        <f>IFERROR(AO1998*Assumptions!$C$26*Assumptions!$C$27*INDEX(Assumptions!$C$18:$C$21,MATCH(H1998,Assumptions!$B$18:$B$21,0)),0)</f>
        <v/>
      </c>
    </row>
    <row r="1999">
      <c r="A1999" s="120" t="n">
        <v>46254</v>
      </c>
      <c r="B1999" s="66" t="inlineStr">
        <is>
          <t>Wk 34</t>
        </is>
      </c>
      <c r="C1999" s="66" t="inlineStr">
        <is>
          <t>Thu</t>
        </is>
      </c>
      <c r="D1999" s="66" t="inlineStr">
        <is>
          <t>Programmatic</t>
        </is>
      </c>
      <c r="E1999" s="66" t="inlineStr">
        <is>
          <t>DV360</t>
        </is>
      </c>
      <c r="F1999" s="66" t="inlineStr">
        <is>
          <t>LEP_ZA_AUG26_PROG_TD_PROSPECT_DISPLAY</t>
        </is>
      </c>
      <c r="G1999" s="66" t="inlineStr">
        <is>
          <t>Display Prospecting</t>
        </is>
      </c>
      <c r="H1999" s="66" t="inlineStr">
        <is>
          <t>Range</t>
        </is>
      </c>
      <c r="I1999" s="66" t="inlineStr">
        <is>
          <t>Range Offer</t>
        </is>
      </c>
      <c r="J1999" s="66" t="inlineStr">
        <is>
          <t>PROG_GEO_DEALER_RADIUS</t>
        </is>
      </c>
      <c r="K1999" s="66" t="inlineStr">
        <is>
          <t>Prospecting</t>
        </is>
      </c>
      <c r="L1999" s="66" t="inlineStr">
        <is>
          <t>PROG_HTML5_728x90_Range_v1</t>
        </is>
      </c>
      <c r="M1999" s="66" t="inlineStr">
        <is>
          <t>HTML5 Display 728x90</t>
        </is>
      </c>
      <c r="N1999" s="66" t="inlineStr">
        <is>
          <t>Book a Lepas test drive</t>
        </is>
      </c>
      <c r="O1999" s="66" t="inlineStr">
        <is>
          <t>Programmatic Guaranteed / OA</t>
        </is>
      </c>
      <c r="P1999" s="66" t="inlineStr">
        <is>
          <t>Conversions (CPA)</t>
        </is>
      </c>
      <c r="Q1999" s="66" t="inlineStr">
        <is>
          <t>https://www.lepas-sa.co.za/offers</t>
        </is>
      </c>
      <c r="R1999" s="121" t="n">
        <v>83.62</v>
      </c>
      <c r="S1999" s="122" t="n">
        <v>2290</v>
      </c>
      <c r="T1999" s="122" t="n">
        <v>1037</v>
      </c>
      <c r="U1999" s="123">
        <f>IFERROR(S1999/T1999,"")</f>
        <v/>
      </c>
      <c r="V1999" s="122" t="n">
        <v>6</v>
      </c>
      <c r="W1999" s="122" t="n">
        <v>5</v>
      </c>
      <c r="X1999" s="124">
        <f>IFERROR(W1999/S1999,"")</f>
        <v/>
      </c>
      <c r="Y1999" s="121">
        <f>IFERROR(R1999/W1999,"")</f>
        <v/>
      </c>
      <c r="Z1999" s="121">
        <f>IFERROR(R1999/S1999*1000,"")</f>
        <v/>
      </c>
      <c r="AA1999" s="122" t="n">
        <v>3</v>
      </c>
      <c r="AB1999" s="54">
        <f>IFERROR(AA1999/W1999,"")</f>
        <v/>
      </c>
      <c r="AC1999" s="122" t="n">
        <v>0</v>
      </c>
      <c r="AD1999" s="122" t="n">
        <v>0</v>
      </c>
      <c r="AE1999" s="122" t="n">
        <v>0</v>
      </c>
      <c r="AF1999" s="122" t="n">
        <v>0</v>
      </c>
      <c r="AG1999" s="122" t="n">
        <v>0</v>
      </c>
      <c r="AH1999" s="122" t="n">
        <v>0</v>
      </c>
      <c r="AI1999" s="54">
        <f>IFERROR(AC1999/S1999,"")</f>
        <v/>
      </c>
      <c r="AJ1999" s="54">
        <f>IFERROR(AH1999/S1999,"")</f>
        <v/>
      </c>
      <c r="AK1999" s="122" t="n">
        <v>12</v>
      </c>
      <c r="AL1999" s="122" t="n">
        <v>0</v>
      </c>
      <c r="AM1999" s="124">
        <f>IFERROR(AL1999/AA1999,"")</f>
        <v/>
      </c>
      <c r="AN1999" s="125">
        <f>IFERROR(R1999/AL1999,"")</f>
        <v/>
      </c>
      <c r="AO1999" s="122" t="n">
        <v>0</v>
      </c>
      <c r="AP1999" s="54">
        <f>IFERROR(AO1999/AL1999,"")</f>
        <v/>
      </c>
      <c r="AQ1999" s="125">
        <f>IFERROR(R1999/AO1999,"")</f>
        <v/>
      </c>
      <c r="AR1999" s="122" t="n">
        <v>0</v>
      </c>
      <c r="AS1999" s="122" t="n">
        <v>0</v>
      </c>
      <c r="AT1999" s="122">
        <f>AL1999+AR1999</f>
        <v/>
      </c>
      <c r="AU1999" s="125">
        <f>IFERROR(AO1999*Assumptions!$C$26*Assumptions!$C$27*INDEX(Assumptions!$C$18:$C$21,MATCH(H1999,Assumptions!$B$18:$B$21,0)),0)</f>
        <v/>
      </c>
    </row>
    <row r="2000">
      <c r="A2000" s="120" t="n">
        <v>46255</v>
      </c>
      <c r="B2000" s="66" t="inlineStr">
        <is>
          <t>Wk 34</t>
        </is>
      </c>
      <c r="C2000" s="66" t="inlineStr">
        <is>
          <t>Fri</t>
        </is>
      </c>
      <c r="D2000" s="66" t="inlineStr">
        <is>
          <t>Programmatic</t>
        </is>
      </c>
      <c r="E2000" s="66" t="inlineStr">
        <is>
          <t>DV360</t>
        </is>
      </c>
      <c r="F2000" s="66" t="inlineStr">
        <is>
          <t>LEP_ZA_AUG26_PROG_TD_PROSPECT_DISPLAY</t>
        </is>
      </c>
      <c r="G2000" s="66" t="inlineStr">
        <is>
          <t>Display Prospecting</t>
        </is>
      </c>
      <c r="H2000" s="66" t="inlineStr">
        <is>
          <t>Range</t>
        </is>
      </c>
      <c r="I2000" s="66" t="inlineStr">
        <is>
          <t>Range Offer</t>
        </is>
      </c>
      <c r="J2000" s="66" t="inlineStr">
        <is>
          <t>PROG_GEO_DEALER_RADIUS</t>
        </is>
      </c>
      <c r="K2000" s="66" t="inlineStr">
        <is>
          <t>Prospecting</t>
        </is>
      </c>
      <c r="L2000" s="66" t="inlineStr">
        <is>
          <t>PROG_HTML5_728x90_Range_v1</t>
        </is>
      </c>
      <c r="M2000" s="66" t="inlineStr">
        <is>
          <t>HTML5 Display 728x90</t>
        </is>
      </c>
      <c r="N2000" s="66" t="inlineStr">
        <is>
          <t>Book a Lepas test drive</t>
        </is>
      </c>
      <c r="O2000" s="66" t="inlineStr">
        <is>
          <t>Programmatic Guaranteed / OA</t>
        </is>
      </c>
      <c r="P2000" s="66" t="inlineStr">
        <is>
          <t>Conversions (CPA)</t>
        </is>
      </c>
      <c r="Q2000" s="66" t="inlineStr">
        <is>
          <t>https://www.lepas-sa.co.za/offers</t>
        </is>
      </c>
      <c r="R2000" s="121" t="n">
        <v>109.81</v>
      </c>
      <c r="S2000" s="122" t="n">
        <v>4908</v>
      </c>
      <c r="T2000" s="122" t="n">
        <v>2251</v>
      </c>
      <c r="U2000" s="123">
        <f>IFERROR(S2000/T2000,"")</f>
        <v/>
      </c>
      <c r="V2000" s="122" t="n">
        <v>6</v>
      </c>
      <c r="W2000" s="122" t="n">
        <v>5</v>
      </c>
      <c r="X2000" s="124">
        <f>IFERROR(W2000/S2000,"")</f>
        <v/>
      </c>
      <c r="Y2000" s="121">
        <f>IFERROR(R2000/W2000,"")</f>
        <v/>
      </c>
      <c r="Z2000" s="121">
        <f>IFERROR(R2000/S2000*1000,"")</f>
        <v/>
      </c>
      <c r="AA2000" s="122" t="n">
        <v>3</v>
      </c>
      <c r="AB2000" s="54">
        <f>IFERROR(AA2000/W2000,"")</f>
        <v/>
      </c>
      <c r="AC2000" s="122" t="n">
        <v>0</v>
      </c>
      <c r="AD2000" s="122" t="n">
        <v>0</v>
      </c>
      <c r="AE2000" s="122" t="n">
        <v>0</v>
      </c>
      <c r="AF2000" s="122" t="n">
        <v>0</v>
      </c>
      <c r="AG2000" s="122" t="n">
        <v>0</v>
      </c>
      <c r="AH2000" s="122" t="n">
        <v>0</v>
      </c>
      <c r="AI2000" s="54">
        <f>IFERROR(AC2000/S2000,"")</f>
        <v/>
      </c>
      <c r="AJ2000" s="54">
        <f>IFERROR(AH2000/S2000,"")</f>
        <v/>
      </c>
      <c r="AK2000" s="122" t="n">
        <v>12</v>
      </c>
      <c r="AL2000" s="122" t="n">
        <v>0</v>
      </c>
      <c r="AM2000" s="124">
        <f>IFERROR(AL2000/AA2000,"")</f>
        <v/>
      </c>
      <c r="AN2000" s="125">
        <f>IFERROR(R2000/AL2000,"")</f>
        <v/>
      </c>
      <c r="AO2000" s="122" t="n">
        <v>0</v>
      </c>
      <c r="AP2000" s="54">
        <f>IFERROR(AO2000/AL2000,"")</f>
        <v/>
      </c>
      <c r="AQ2000" s="125">
        <f>IFERROR(R2000/AO2000,"")</f>
        <v/>
      </c>
      <c r="AR2000" s="122" t="n">
        <v>0</v>
      </c>
      <c r="AS2000" s="122" t="n">
        <v>0</v>
      </c>
      <c r="AT2000" s="122">
        <f>AL2000+AR2000</f>
        <v/>
      </c>
      <c r="AU2000" s="125">
        <f>IFERROR(AO2000*Assumptions!$C$26*Assumptions!$C$27*INDEX(Assumptions!$C$18:$C$21,MATCH(H2000,Assumptions!$B$18:$B$21,0)),0)</f>
        <v/>
      </c>
    </row>
    <row r="2001">
      <c r="A2001" s="120" t="n">
        <v>46256</v>
      </c>
      <c r="B2001" s="66" t="inlineStr">
        <is>
          <t>Wk 34</t>
        </is>
      </c>
      <c r="C2001" s="66" t="inlineStr">
        <is>
          <t>Sat</t>
        </is>
      </c>
      <c r="D2001" s="66" t="inlineStr">
        <is>
          <t>Programmatic</t>
        </is>
      </c>
      <c r="E2001" s="66" t="inlineStr">
        <is>
          <t>DV360</t>
        </is>
      </c>
      <c r="F2001" s="66" t="inlineStr">
        <is>
          <t>LEP_ZA_AUG26_PROG_TD_PROSPECT_DISPLAY</t>
        </is>
      </c>
      <c r="G2001" s="66" t="inlineStr">
        <is>
          <t>Display Prospecting</t>
        </is>
      </c>
      <c r="H2001" s="66" t="inlineStr">
        <is>
          <t>Range</t>
        </is>
      </c>
      <c r="I2001" s="66" t="inlineStr">
        <is>
          <t>Range Offer</t>
        </is>
      </c>
      <c r="J2001" s="66" t="inlineStr">
        <is>
          <t>PROG_GEO_DEALER_RADIUS</t>
        </is>
      </c>
      <c r="K2001" s="66" t="inlineStr">
        <is>
          <t>Prospecting</t>
        </is>
      </c>
      <c r="L2001" s="66" t="inlineStr">
        <is>
          <t>PROG_HTML5_728x90_Range_v1</t>
        </is>
      </c>
      <c r="M2001" s="66" t="inlineStr">
        <is>
          <t>HTML5 Display 728x90</t>
        </is>
      </c>
      <c r="N2001" s="66" t="inlineStr">
        <is>
          <t>Book a Lepas test drive</t>
        </is>
      </c>
      <c r="O2001" s="66" t="inlineStr">
        <is>
          <t>Programmatic Guaranteed / OA</t>
        </is>
      </c>
      <c r="P2001" s="66" t="inlineStr">
        <is>
          <t>Conversions (CPA)</t>
        </is>
      </c>
      <c r="Q2001" s="66" t="inlineStr">
        <is>
          <t>https://www.lepas-sa.co.za/offers</t>
        </is>
      </c>
      <c r="R2001" s="121" t="n">
        <v>98.79000000000001</v>
      </c>
      <c r="S2001" s="122" t="n">
        <v>3888</v>
      </c>
      <c r="T2001" s="122" t="n">
        <v>2432</v>
      </c>
      <c r="U2001" s="123">
        <f>IFERROR(S2001/T2001,"")</f>
        <v/>
      </c>
      <c r="V2001" s="122" t="n">
        <v>8</v>
      </c>
      <c r="W2001" s="122" t="n">
        <v>6</v>
      </c>
      <c r="X2001" s="124">
        <f>IFERROR(W2001/S2001,"")</f>
        <v/>
      </c>
      <c r="Y2001" s="121">
        <f>IFERROR(R2001/W2001,"")</f>
        <v/>
      </c>
      <c r="Z2001" s="121">
        <f>IFERROR(R2001/S2001*1000,"")</f>
        <v/>
      </c>
      <c r="AA2001" s="122" t="n">
        <v>4</v>
      </c>
      <c r="AB2001" s="54">
        <f>IFERROR(AA2001/W2001,"")</f>
        <v/>
      </c>
      <c r="AC2001" s="122" t="n">
        <v>0</v>
      </c>
      <c r="AD2001" s="122" t="n">
        <v>0</v>
      </c>
      <c r="AE2001" s="122" t="n">
        <v>0</v>
      </c>
      <c r="AF2001" s="122" t="n">
        <v>0</v>
      </c>
      <c r="AG2001" s="122" t="n">
        <v>0</v>
      </c>
      <c r="AH2001" s="122" t="n">
        <v>0</v>
      </c>
      <c r="AI2001" s="54">
        <f>IFERROR(AC2001/S2001,"")</f>
        <v/>
      </c>
      <c r="AJ2001" s="54">
        <f>IFERROR(AH2001/S2001,"")</f>
        <v/>
      </c>
      <c r="AK2001" s="122" t="n">
        <v>8</v>
      </c>
      <c r="AL2001" s="122" t="n">
        <v>0</v>
      </c>
      <c r="AM2001" s="124">
        <f>IFERROR(AL2001/AA2001,"")</f>
        <v/>
      </c>
      <c r="AN2001" s="125">
        <f>IFERROR(R2001/AL2001,"")</f>
        <v/>
      </c>
      <c r="AO2001" s="122" t="n">
        <v>0</v>
      </c>
      <c r="AP2001" s="54">
        <f>IFERROR(AO2001/AL2001,"")</f>
        <v/>
      </c>
      <c r="AQ2001" s="125">
        <f>IFERROR(R2001/AO2001,"")</f>
        <v/>
      </c>
      <c r="AR2001" s="122" t="n">
        <v>0</v>
      </c>
      <c r="AS2001" s="122" t="n">
        <v>0</v>
      </c>
      <c r="AT2001" s="122">
        <f>AL2001+AR2001</f>
        <v/>
      </c>
      <c r="AU2001" s="125">
        <f>IFERROR(AO2001*Assumptions!$C$26*Assumptions!$C$27*INDEX(Assumptions!$C$18:$C$21,MATCH(H2001,Assumptions!$B$18:$B$21,0)),0)</f>
        <v/>
      </c>
    </row>
    <row r="2002">
      <c r="A2002" s="120" t="n">
        <v>46257</v>
      </c>
      <c r="B2002" s="66" t="inlineStr">
        <is>
          <t>Wk 34</t>
        </is>
      </c>
      <c r="C2002" s="66" t="inlineStr">
        <is>
          <t>Sun</t>
        </is>
      </c>
      <c r="D2002" s="66" t="inlineStr">
        <is>
          <t>Programmatic</t>
        </is>
      </c>
      <c r="E2002" s="66" t="inlineStr">
        <is>
          <t>DV360</t>
        </is>
      </c>
      <c r="F2002" s="66" t="inlineStr">
        <is>
          <t>LEP_ZA_AUG26_PROG_TD_PROSPECT_DISPLAY</t>
        </is>
      </c>
      <c r="G2002" s="66" t="inlineStr">
        <is>
          <t>Display Prospecting</t>
        </is>
      </c>
      <c r="H2002" s="66" t="inlineStr">
        <is>
          <t>Range</t>
        </is>
      </c>
      <c r="I2002" s="66" t="inlineStr">
        <is>
          <t>Range Offer</t>
        </is>
      </c>
      <c r="J2002" s="66" t="inlineStr">
        <is>
          <t>PROG_GEO_DEALER_RADIUS</t>
        </is>
      </c>
      <c r="K2002" s="66" t="inlineStr">
        <is>
          <t>Prospecting</t>
        </is>
      </c>
      <c r="L2002" s="66" t="inlineStr">
        <is>
          <t>PROG_HTML5_728x90_Range_v1</t>
        </is>
      </c>
      <c r="M2002" s="66" t="inlineStr">
        <is>
          <t>HTML5 Display 728x90</t>
        </is>
      </c>
      <c r="N2002" s="66" t="inlineStr">
        <is>
          <t>Book a Lepas test drive</t>
        </is>
      </c>
      <c r="O2002" s="66" t="inlineStr">
        <is>
          <t>Programmatic Guaranteed / OA</t>
        </is>
      </c>
      <c r="P2002" s="66" t="inlineStr">
        <is>
          <t>Conversions (CPA)</t>
        </is>
      </c>
      <c r="Q2002" s="66" t="inlineStr">
        <is>
          <t>https://www.lepas-sa.co.za/offers</t>
        </is>
      </c>
      <c r="R2002" s="121" t="n">
        <v>83.72</v>
      </c>
      <c r="S2002" s="122" t="n">
        <v>4985</v>
      </c>
      <c r="T2002" s="122" t="n">
        <v>1954</v>
      </c>
      <c r="U2002" s="123">
        <f>IFERROR(S2002/T2002,"")</f>
        <v/>
      </c>
      <c r="V2002" s="122" t="n">
        <v>16</v>
      </c>
      <c r="W2002" s="122" t="n">
        <v>11</v>
      </c>
      <c r="X2002" s="124">
        <f>IFERROR(W2002/S2002,"")</f>
        <v/>
      </c>
      <c r="Y2002" s="121">
        <f>IFERROR(R2002/W2002,"")</f>
        <v/>
      </c>
      <c r="Z2002" s="121">
        <f>IFERROR(R2002/S2002*1000,"")</f>
        <v/>
      </c>
      <c r="AA2002" s="122" t="n">
        <v>6</v>
      </c>
      <c r="AB2002" s="54">
        <f>IFERROR(AA2002/W2002,"")</f>
        <v/>
      </c>
      <c r="AC2002" s="122" t="n">
        <v>0</v>
      </c>
      <c r="AD2002" s="122" t="n">
        <v>0</v>
      </c>
      <c r="AE2002" s="122" t="n">
        <v>0</v>
      </c>
      <c r="AF2002" s="122" t="n">
        <v>0</v>
      </c>
      <c r="AG2002" s="122" t="n">
        <v>0</v>
      </c>
      <c r="AH2002" s="122" t="n">
        <v>0</v>
      </c>
      <c r="AI2002" s="54">
        <f>IFERROR(AC2002/S2002,"")</f>
        <v/>
      </c>
      <c r="AJ2002" s="54">
        <f>IFERROR(AH2002/S2002,"")</f>
        <v/>
      </c>
      <c r="AK2002" s="122" t="n">
        <v>7</v>
      </c>
      <c r="AL2002" s="122" t="n">
        <v>0</v>
      </c>
      <c r="AM2002" s="124">
        <f>IFERROR(AL2002/AA2002,"")</f>
        <v/>
      </c>
      <c r="AN2002" s="125">
        <f>IFERROR(R2002/AL2002,"")</f>
        <v/>
      </c>
      <c r="AO2002" s="122" t="n">
        <v>0</v>
      </c>
      <c r="AP2002" s="54">
        <f>IFERROR(AO2002/AL2002,"")</f>
        <v/>
      </c>
      <c r="AQ2002" s="125">
        <f>IFERROR(R2002/AO2002,"")</f>
        <v/>
      </c>
      <c r="AR2002" s="122" t="n">
        <v>0</v>
      </c>
      <c r="AS2002" s="122" t="n">
        <v>0</v>
      </c>
      <c r="AT2002" s="122">
        <f>AL2002+AR2002</f>
        <v/>
      </c>
      <c r="AU2002" s="125">
        <f>IFERROR(AO2002*Assumptions!$C$26*Assumptions!$C$27*INDEX(Assumptions!$C$18:$C$21,MATCH(H2002,Assumptions!$B$18:$B$21,0)),0)</f>
        <v/>
      </c>
    </row>
    <row r="2003">
      <c r="A2003" s="120" t="n">
        <v>46258</v>
      </c>
      <c r="B2003" s="66" t="inlineStr">
        <is>
          <t>Wk 35</t>
        </is>
      </c>
      <c r="C2003" s="66" t="inlineStr">
        <is>
          <t>Mon</t>
        </is>
      </c>
      <c r="D2003" s="66" t="inlineStr">
        <is>
          <t>Programmatic</t>
        </is>
      </c>
      <c r="E2003" s="66" t="inlineStr">
        <is>
          <t>DV360</t>
        </is>
      </c>
      <c r="F2003" s="66" t="inlineStr">
        <is>
          <t>LEP_ZA_AUG26_PROG_TD_PROSPECT_DISPLAY</t>
        </is>
      </c>
      <c r="G2003" s="66" t="inlineStr">
        <is>
          <t>Display Prospecting</t>
        </is>
      </c>
      <c r="H2003" s="66" t="inlineStr">
        <is>
          <t>Range</t>
        </is>
      </c>
      <c r="I2003" s="66" t="inlineStr">
        <is>
          <t>Range Offer</t>
        </is>
      </c>
      <c r="J2003" s="66" t="inlineStr">
        <is>
          <t>PROG_GEO_DEALER_RADIUS</t>
        </is>
      </c>
      <c r="K2003" s="66" t="inlineStr">
        <is>
          <t>Prospecting</t>
        </is>
      </c>
      <c r="L2003" s="66" t="inlineStr">
        <is>
          <t>PROG_HTML5_728x90_Range_v1</t>
        </is>
      </c>
      <c r="M2003" s="66" t="inlineStr">
        <is>
          <t>HTML5 Display 728x90</t>
        </is>
      </c>
      <c r="N2003" s="66" t="inlineStr">
        <is>
          <t>Book a Lepas test drive</t>
        </is>
      </c>
      <c r="O2003" s="66" t="inlineStr">
        <is>
          <t>Programmatic Guaranteed / OA</t>
        </is>
      </c>
      <c r="P2003" s="66" t="inlineStr">
        <is>
          <t>Conversions (CPA)</t>
        </is>
      </c>
      <c r="Q2003" s="66" t="inlineStr">
        <is>
          <t>https://www.lepas-sa.co.za/offers</t>
        </is>
      </c>
      <c r="R2003" s="121" t="n">
        <v>79.12</v>
      </c>
      <c r="S2003" s="122" t="n">
        <v>3165</v>
      </c>
      <c r="T2003" s="122" t="n">
        <v>1434</v>
      </c>
      <c r="U2003" s="123">
        <f>IFERROR(S2003/T2003,"")</f>
        <v/>
      </c>
      <c r="V2003" s="122" t="n">
        <v>6</v>
      </c>
      <c r="W2003" s="122" t="n">
        <v>4</v>
      </c>
      <c r="X2003" s="124">
        <f>IFERROR(W2003/S2003,"")</f>
        <v/>
      </c>
      <c r="Y2003" s="121">
        <f>IFERROR(R2003/W2003,"")</f>
        <v/>
      </c>
      <c r="Z2003" s="121">
        <f>IFERROR(R2003/S2003*1000,"")</f>
        <v/>
      </c>
      <c r="AA2003" s="122" t="n">
        <v>2</v>
      </c>
      <c r="AB2003" s="54">
        <f>IFERROR(AA2003/W2003,"")</f>
        <v/>
      </c>
      <c r="AC2003" s="122" t="n">
        <v>0</v>
      </c>
      <c r="AD2003" s="122" t="n">
        <v>0</v>
      </c>
      <c r="AE2003" s="122" t="n">
        <v>0</v>
      </c>
      <c r="AF2003" s="122" t="n">
        <v>0</v>
      </c>
      <c r="AG2003" s="122" t="n">
        <v>0</v>
      </c>
      <c r="AH2003" s="122" t="n">
        <v>0</v>
      </c>
      <c r="AI2003" s="54">
        <f>IFERROR(AC2003/S2003,"")</f>
        <v/>
      </c>
      <c r="AJ2003" s="54">
        <f>IFERROR(AH2003/S2003,"")</f>
        <v/>
      </c>
      <c r="AK2003" s="122" t="n">
        <v>5</v>
      </c>
      <c r="AL2003" s="122" t="n">
        <v>0</v>
      </c>
      <c r="AM2003" s="124">
        <f>IFERROR(AL2003/AA2003,"")</f>
        <v/>
      </c>
      <c r="AN2003" s="125">
        <f>IFERROR(R2003/AL2003,"")</f>
        <v/>
      </c>
      <c r="AO2003" s="122" t="n">
        <v>0</v>
      </c>
      <c r="AP2003" s="54">
        <f>IFERROR(AO2003/AL2003,"")</f>
        <v/>
      </c>
      <c r="AQ2003" s="125">
        <f>IFERROR(R2003/AO2003,"")</f>
        <v/>
      </c>
      <c r="AR2003" s="122" t="n">
        <v>0</v>
      </c>
      <c r="AS2003" s="122" t="n">
        <v>0</v>
      </c>
      <c r="AT2003" s="122">
        <f>AL2003+AR2003</f>
        <v/>
      </c>
      <c r="AU2003" s="125">
        <f>IFERROR(AO2003*Assumptions!$C$26*Assumptions!$C$27*INDEX(Assumptions!$C$18:$C$21,MATCH(H2003,Assumptions!$B$18:$B$21,0)),0)</f>
        <v/>
      </c>
    </row>
    <row r="2004">
      <c r="A2004" s="120" t="n">
        <v>46259</v>
      </c>
      <c r="B2004" s="66" t="inlineStr">
        <is>
          <t>Wk 35</t>
        </is>
      </c>
      <c r="C2004" s="66" t="inlineStr">
        <is>
          <t>Tue</t>
        </is>
      </c>
      <c r="D2004" s="66" t="inlineStr">
        <is>
          <t>Programmatic</t>
        </is>
      </c>
      <c r="E2004" s="66" t="inlineStr">
        <is>
          <t>DV360</t>
        </is>
      </c>
      <c r="F2004" s="66" t="inlineStr">
        <is>
          <t>LEP_ZA_AUG26_PROG_TD_PROSPECT_DISPLAY</t>
        </is>
      </c>
      <c r="G2004" s="66" t="inlineStr">
        <is>
          <t>Display Prospecting</t>
        </is>
      </c>
      <c r="H2004" s="66" t="inlineStr">
        <is>
          <t>Range</t>
        </is>
      </c>
      <c r="I2004" s="66" t="inlineStr">
        <is>
          <t>Range Offer</t>
        </is>
      </c>
      <c r="J2004" s="66" t="inlineStr">
        <is>
          <t>PROG_GEO_DEALER_RADIUS</t>
        </is>
      </c>
      <c r="K2004" s="66" t="inlineStr">
        <is>
          <t>Prospecting</t>
        </is>
      </c>
      <c r="L2004" s="66" t="inlineStr">
        <is>
          <t>PROG_HTML5_728x90_Range_v1</t>
        </is>
      </c>
      <c r="M2004" s="66" t="inlineStr">
        <is>
          <t>HTML5 Display 728x90</t>
        </is>
      </c>
      <c r="N2004" s="66" t="inlineStr">
        <is>
          <t>Book a Lepas test drive</t>
        </is>
      </c>
      <c r="O2004" s="66" t="inlineStr">
        <is>
          <t>Programmatic Guaranteed / OA</t>
        </is>
      </c>
      <c r="P2004" s="66" t="inlineStr">
        <is>
          <t>Conversions (CPA)</t>
        </is>
      </c>
      <c r="Q2004" s="66" t="inlineStr">
        <is>
          <t>https://www.lepas-sa.co.za/offers</t>
        </is>
      </c>
      <c r="R2004" s="121" t="n">
        <v>82.81999999999999</v>
      </c>
      <c r="S2004" s="122" t="n">
        <v>2550</v>
      </c>
      <c r="T2004" s="122" t="n">
        <v>876</v>
      </c>
      <c r="U2004" s="123">
        <f>IFERROR(S2004/T2004,"")</f>
        <v/>
      </c>
      <c r="V2004" s="122" t="n">
        <v>3</v>
      </c>
      <c r="W2004" s="122" t="n">
        <v>2</v>
      </c>
      <c r="X2004" s="124">
        <f>IFERROR(W2004/S2004,"")</f>
        <v/>
      </c>
      <c r="Y2004" s="121">
        <f>IFERROR(R2004/W2004,"")</f>
        <v/>
      </c>
      <c r="Z2004" s="121">
        <f>IFERROR(R2004/S2004*1000,"")</f>
        <v/>
      </c>
      <c r="AA2004" s="122" t="n">
        <v>2</v>
      </c>
      <c r="AB2004" s="54">
        <f>IFERROR(AA2004/W2004,"")</f>
        <v/>
      </c>
      <c r="AC2004" s="122" t="n">
        <v>0</v>
      </c>
      <c r="AD2004" s="122" t="n">
        <v>0</v>
      </c>
      <c r="AE2004" s="122" t="n">
        <v>0</v>
      </c>
      <c r="AF2004" s="122" t="n">
        <v>0</v>
      </c>
      <c r="AG2004" s="122" t="n">
        <v>0</v>
      </c>
      <c r="AH2004" s="122" t="n">
        <v>0</v>
      </c>
      <c r="AI2004" s="54">
        <f>IFERROR(AC2004/S2004,"")</f>
        <v/>
      </c>
      <c r="AJ2004" s="54">
        <f>IFERROR(AH2004/S2004,"")</f>
        <v/>
      </c>
      <c r="AK2004" s="122" t="n">
        <v>5</v>
      </c>
      <c r="AL2004" s="122" t="n">
        <v>0</v>
      </c>
      <c r="AM2004" s="124">
        <f>IFERROR(AL2004/AA2004,"")</f>
        <v/>
      </c>
      <c r="AN2004" s="125">
        <f>IFERROR(R2004/AL2004,"")</f>
        <v/>
      </c>
      <c r="AO2004" s="122" t="n">
        <v>0</v>
      </c>
      <c r="AP2004" s="54">
        <f>IFERROR(AO2004/AL2004,"")</f>
        <v/>
      </c>
      <c r="AQ2004" s="125">
        <f>IFERROR(R2004/AO2004,"")</f>
        <v/>
      </c>
      <c r="AR2004" s="122" t="n">
        <v>0</v>
      </c>
      <c r="AS2004" s="122" t="n">
        <v>0</v>
      </c>
      <c r="AT2004" s="122">
        <f>AL2004+AR2004</f>
        <v/>
      </c>
      <c r="AU2004" s="125">
        <f>IFERROR(AO2004*Assumptions!$C$26*Assumptions!$C$27*INDEX(Assumptions!$C$18:$C$21,MATCH(H2004,Assumptions!$B$18:$B$21,0)),0)</f>
        <v/>
      </c>
    </row>
    <row r="2005">
      <c r="A2005" s="120" t="n">
        <v>46260</v>
      </c>
      <c r="B2005" s="66" t="inlineStr">
        <is>
          <t>Wk 35</t>
        </is>
      </c>
      <c r="C2005" s="66" t="inlineStr">
        <is>
          <t>Wed</t>
        </is>
      </c>
      <c r="D2005" s="66" t="inlineStr">
        <is>
          <t>Programmatic</t>
        </is>
      </c>
      <c r="E2005" s="66" t="inlineStr">
        <is>
          <t>DV360</t>
        </is>
      </c>
      <c r="F2005" s="66" t="inlineStr">
        <is>
          <t>LEP_ZA_AUG26_PROG_TD_PROSPECT_DISPLAY</t>
        </is>
      </c>
      <c r="G2005" s="66" t="inlineStr">
        <is>
          <t>Display Prospecting</t>
        </is>
      </c>
      <c r="H2005" s="66" t="inlineStr">
        <is>
          <t>Range</t>
        </is>
      </c>
      <c r="I2005" s="66" t="inlineStr">
        <is>
          <t>Range Offer</t>
        </is>
      </c>
      <c r="J2005" s="66" t="inlineStr">
        <is>
          <t>PROG_GEO_DEALER_RADIUS</t>
        </is>
      </c>
      <c r="K2005" s="66" t="inlineStr">
        <is>
          <t>Prospecting</t>
        </is>
      </c>
      <c r="L2005" s="66" t="inlineStr">
        <is>
          <t>PROG_HTML5_728x90_Range_v1</t>
        </is>
      </c>
      <c r="M2005" s="66" t="inlineStr">
        <is>
          <t>HTML5 Display 728x90</t>
        </is>
      </c>
      <c r="N2005" s="66" t="inlineStr">
        <is>
          <t>Book a Lepas test drive</t>
        </is>
      </c>
      <c r="O2005" s="66" t="inlineStr">
        <is>
          <t>Programmatic Guaranteed / OA</t>
        </is>
      </c>
      <c r="P2005" s="66" t="inlineStr">
        <is>
          <t>Conversions (CPA)</t>
        </is>
      </c>
      <c r="Q2005" s="66" t="inlineStr">
        <is>
          <t>https://www.lepas-sa.co.za/offers</t>
        </is>
      </c>
      <c r="R2005" s="121" t="n">
        <v>92.3</v>
      </c>
      <c r="S2005" s="122" t="n">
        <v>2846</v>
      </c>
      <c r="T2005" s="122" t="n">
        <v>1079</v>
      </c>
      <c r="U2005" s="123">
        <f>IFERROR(S2005/T2005,"")</f>
        <v/>
      </c>
      <c r="V2005" s="122" t="n">
        <v>2</v>
      </c>
      <c r="W2005" s="122" t="n">
        <v>2</v>
      </c>
      <c r="X2005" s="124">
        <f>IFERROR(W2005/S2005,"")</f>
        <v/>
      </c>
      <c r="Y2005" s="121">
        <f>IFERROR(R2005/W2005,"")</f>
        <v/>
      </c>
      <c r="Z2005" s="121">
        <f>IFERROR(R2005/S2005*1000,"")</f>
        <v/>
      </c>
      <c r="AA2005" s="122" t="n">
        <v>1</v>
      </c>
      <c r="AB2005" s="54">
        <f>IFERROR(AA2005/W2005,"")</f>
        <v/>
      </c>
      <c r="AC2005" s="122" t="n">
        <v>0</v>
      </c>
      <c r="AD2005" s="122" t="n">
        <v>0</v>
      </c>
      <c r="AE2005" s="122" t="n">
        <v>0</v>
      </c>
      <c r="AF2005" s="122" t="n">
        <v>0</v>
      </c>
      <c r="AG2005" s="122" t="n">
        <v>0</v>
      </c>
      <c r="AH2005" s="122" t="n">
        <v>0</v>
      </c>
      <c r="AI2005" s="54">
        <f>IFERROR(AC2005/S2005,"")</f>
        <v/>
      </c>
      <c r="AJ2005" s="54">
        <f>IFERROR(AH2005/S2005,"")</f>
        <v/>
      </c>
      <c r="AK2005" s="122" t="n">
        <v>6</v>
      </c>
      <c r="AL2005" s="122" t="n">
        <v>0</v>
      </c>
      <c r="AM2005" s="124">
        <f>IFERROR(AL2005/AA2005,"")</f>
        <v/>
      </c>
      <c r="AN2005" s="125">
        <f>IFERROR(R2005/AL2005,"")</f>
        <v/>
      </c>
      <c r="AO2005" s="122" t="n">
        <v>0</v>
      </c>
      <c r="AP2005" s="54">
        <f>IFERROR(AO2005/AL2005,"")</f>
        <v/>
      </c>
      <c r="AQ2005" s="125">
        <f>IFERROR(R2005/AO2005,"")</f>
        <v/>
      </c>
      <c r="AR2005" s="122" t="n">
        <v>0</v>
      </c>
      <c r="AS2005" s="122" t="n">
        <v>0</v>
      </c>
      <c r="AT2005" s="122">
        <f>AL2005+AR2005</f>
        <v/>
      </c>
      <c r="AU2005" s="125">
        <f>IFERROR(AO2005*Assumptions!$C$26*Assumptions!$C$27*INDEX(Assumptions!$C$18:$C$21,MATCH(H2005,Assumptions!$B$18:$B$21,0)),0)</f>
        <v/>
      </c>
    </row>
    <row r="2006">
      <c r="A2006" s="120" t="n">
        <v>46261</v>
      </c>
      <c r="B2006" s="66" t="inlineStr">
        <is>
          <t>Wk 35</t>
        </is>
      </c>
      <c r="C2006" s="66" t="inlineStr">
        <is>
          <t>Thu</t>
        </is>
      </c>
      <c r="D2006" s="66" t="inlineStr">
        <is>
          <t>Programmatic</t>
        </is>
      </c>
      <c r="E2006" s="66" t="inlineStr">
        <is>
          <t>DV360</t>
        </is>
      </c>
      <c r="F2006" s="66" t="inlineStr">
        <is>
          <t>LEP_ZA_AUG26_PROG_TD_PROSPECT_DISPLAY</t>
        </is>
      </c>
      <c r="G2006" s="66" t="inlineStr">
        <is>
          <t>Display Prospecting</t>
        </is>
      </c>
      <c r="H2006" s="66" t="inlineStr">
        <is>
          <t>Range</t>
        </is>
      </c>
      <c r="I2006" s="66" t="inlineStr">
        <is>
          <t>Range Offer</t>
        </is>
      </c>
      <c r="J2006" s="66" t="inlineStr">
        <is>
          <t>PROG_GEO_DEALER_RADIUS</t>
        </is>
      </c>
      <c r="K2006" s="66" t="inlineStr">
        <is>
          <t>Prospecting</t>
        </is>
      </c>
      <c r="L2006" s="66" t="inlineStr">
        <is>
          <t>PROG_HTML5_728x90_Range_v1</t>
        </is>
      </c>
      <c r="M2006" s="66" t="inlineStr">
        <is>
          <t>HTML5 Display 728x90</t>
        </is>
      </c>
      <c r="N2006" s="66" t="inlineStr">
        <is>
          <t>Book a Lepas test drive</t>
        </is>
      </c>
      <c r="O2006" s="66" t="inlineStr">
        <is>
          <t>Programmatic Guaranteed / OA</t>
        </is>
      </c>
      <c r="P2006" s="66" t="inlineStr">
        <is>
          <t>Conversions (CPA)</t>
        </is>
      </c>
      <c r="Q2006" s="66" t="inlineStr">
        <is>
          <t>https://www.lepas-sa.co.za/offers</t>
        </is>
      </c>
      <c r="R2006" s="121" t="n">
        <v>92.87</v>
      </c>
      <c r="S2006" s="122" t="n">
        <v>2652</v>
      </c>
      <c r="T2006" s="122" t="n">
        <v>986</v>
      </c>
      <c r="U2006" s="123">
        <f>IFERROR(S2006/T2006,"")</f>
        <v/>
      </c>
      <c r="V2006" s="122" t="n">
        <v>2</v>
      </c>
      <c r="W2006" s="122" t="n">
        <v>2</v>
      </c>
      <c r="X2006" s="124">
        <f>IFERROR(W2006/S2006,"")</f>
        <v/>
      </c>
      <c r="Y2006" s="121">
        <f>IFERROR(R2006/W2006,"")</f>
        <v/>
      </c>
      <c r="Z2006" s="121">
        <f>IFERROR(R2006/S2006*1000,"")</f>
        <v/>
      </c>
      <c r="AA2006" s="122" t="n">
        <v>1</v>
      </c>
      <c r="AB2006" s="54">
        <f>IFERROR(AA2006/W2006,"")</f>
        <v/>
      </c>
      <c r="AC2006" s="122" t="n">
        <v>0</v>
      </c>
      <c r="AD2006" s="122" t="n">
        <v>0</v>
      </c>
      <c r="AE2006" s="122" t="n">
        <v>0</v>
      </c>
      <c r="AF2006" s="122" t="n">
        <v>0</v>
      </c>
      <c r="AG2006" s="122" t="n">
        <v>0</v>
      </c>
      <c r="AH2006" s="122" t="n">
        <v>0</v>
      </c>
      <c r="AI2006" s="54">
        <f>IFERROR(AC2006/S2006,"")</f>
        <v/>
      </c>
      <c r="AJ2006" s="54">
        <f>IFERROR(AH2006/S2006,"")</f>
        <v/>
      </c>
      <c r="AK2006" s="122" t="n">
        <v>9</v>
      </c>
      <c r="AL2006" s="122" t="n">
        <v>0</v>
      </c>
      <c r="AM2006" s="124">
        <f>IFERROR(AL2006/AA2006,"")</f>
        <v/>
      </c>
      <c r="AN2006" s="125">
        <f>IFERROR(R2006/AL2006,"")</f>
        <v/>
      </c>
      <c r="AO2006" s="122" t="n">
        <v>0</v>
      </c>
      <c r="AP2006" s="54">
        <f>IFERROR(AO2006/AL2006,"")</f>
        <v/>
      </c>
      <c r="AQ2006" s="125">
        <f>IFERROR(R2006/AO2006,"")</f>
        <v/>
      </c>
      <c r="AR2006" s="122" t="n">
        <v>0</v>
      </c>
      <c r="AS2006" s="122" t="n">
        <v>0</v>
      </c>
      <c r="AT2006" s="122">
        <f>AL2006+AR2006</f>
        <v/>
      </c>
      <c r="AU2006" s="125">
        <f>IFERROR(AO2006*Assumptions!$C$26*Assumptions!$C$27*INDEX(Assumptions!$C$18:$C$21,MATCH(H2006,Assumptions!$B$18:$B$21,0)),0)</f>
        <v/>
      </c>
    </row>
    <row r="2007">
      <c r="A2007" s="120" t="n">
        <v>46262</v>
      </c>
      <c r="B2007" s="66" t="inlineStr">
        <is>
          <t>Wk 35</t>
        </is>
      </c>
      <c r="C2007" s="66" t="inlineStr">
        <is>
          <t>Fri</t>
        </is>
      </c>
      <c r="D2007" s="66" t="inlineStr">
        <is>
          <t>Programmatic</t>
        </is>
      </c>
      <c r="E2007" s="66" t="inlineStr">
        <is>
          <t>DV360</t>
        </is>
      </c>
      <c r="F2007" s="66" t="inlineStr">
        <is>
          <t>LEP_ZA_AUG26_PROG_TD_PROSPECT_DISPLAY</t>
        </is>
      </c>
      <c r="G2007" s="66" t="inlineStr">
        <is>
          <t>Display Prospecting</t>
        </is>
      </c>
      <c r="H2007" s="66" t="inlineStr">
        <is>
          <t>Range</t>
        </is>
      </c>
      <c r="I2007" s="66" t="inlineStr">
        <is>
          <t>Range Offer</t>
        </is>
      </c>
      <c r="J2007" s="66" t="inlineStr">
        <is>
          <t>PROG_GEO_DEALER_RADIUS</t>
        </is>
      </c>
      <c r="K2007" s="66" t="inlineStr">
        <is>
          <t>Prospecting</t>
        </is>
      </c>
      <c r="L2007" s="66" t="inlineStr">
        <is>
          <t>PROG_HTML5_728x90_Range_v1</t>
        </is>
      </c>
      <c r="M2007" s="66" t="inlineStr">
        <is>
          <t>HTML5 Display 728x90</t>
        </is>
      </c>
      <c r="N2007" s="66" t="inlineStr">
        <is>
          <t>Book a Lepas test drive</t>
        </is>
      </c>
      <c r="O2007" s="66" t="inlineStr">
        <is>
          <t>Programmatic Guaranteed / OA</t>
        </is>
      </c>
      <c r="P2007" s="66" t="inlineStr">
        <is>
          <t>Conversions (CPA)</t>
        </is>
      </c>
      <c r="Q2007" s="66" t="inlineStr">
        <is>
          <t>https://www.lepas-sa.co.za/offers</t>
        </is>
      </c>
      <c r="R2007" s="121" t="n">
        <v>121.21</v>
      </c>
      <c r="S2007" s="122" t="n">
        <v>4988</v>
      </c>
      <c r="T2007" s="122" t="n">
        <v>1920</v>
      </c>
      <c r="U2007" s="123">
        <f>IFERROR(S2007/T2007,"")</f>
        <v/>
      </c>
      <c r="V2007" s="122" t="n">
        <v>12</v>
      </c>
      <c r="W2007" s="122" t="n">
        <v>9</v>
      </c>
      <c r="X2007" s="124">
        <f>IFERROR(W2007/S2007,"")</f>
        <v/>
      </c>
      <c r="Y2007" s="121">
        <f>IFERROR(R2007/W2007,"")</f>
        <v/>
      </c>
      <c r="Z2007" s="121">
        <f>IFERROR(R2007/S2007*1000,"")</f>
        <v/>
      </c>
      <c r="AA2007" s="122" t="n">
        <v>6</v>
      </c>
      <c r="AB2007" s="54">
        <f>IFERROR(AA2007/W2007,"")</f>
        <v/>
      </c>
      <c r="AC2007" s="122" t="n">
        <v>0</v>
      </c>
      <c r="AD2007" s="122" t="n">
        <v>0</v>
      </c>
      <c r="AE2007" s="122" t="n">
        <v>0</v>
      </c>
      <c r="AF2007" s="122" t="n">
        <v>0</v>
      </c>
      <c r="AG2007" s="122" t="n">
        <v>0</v>
      </c>
      <c r="AH2007" s="122" t="n">
        <v>0</v>
      </c>
      <c r="AI2007" s="54">
        <f>IFERROR(AC2007/S2007,"")</f>
        <v/>
      </c>
      <c r="AJ2007" s="54">
        <f>IFERROR(AH2007/S2007,"")</f>
        <v/>
      </c>
      <c r="AK2007" s="122" t="n">
        <v>27</v>
      </c>
      <c r="AL2007" s="122" t="n">
        <v>0</v>
      </c>
      <c r="AM2007" s="124">
        <f>IFERROR(AL2007/AA2007,"")</f>
        <v/>
      </c>
      <c r="AN2007" s="125">
        <f>IFERROR(R2007/AL2007,"")</f>
        <v/>
      </c>
      <c r="AO2007" s="122" t="n">
        <v>0</v>
      </c>
      <c r="AP2007" s="54">
        <f>IFERROR(AO2007/AL2007,"")</f>
        <v/>
      </c>
      <c r="AQ2007" s="125">
        <f>IFERROR(R2007/AO2007,"")</f>
        <v/>
      </c>
      <c r="AR2007" s="122" t="n">
        <v>0</v>
      </c>
      <c r="AS2007" s="122" t="n">
        <v>0</v>
      </c>
      <c r="AT2007" s="122">
        <f>AL2007+AR2007</f>
        <v/>
      </c>
      <c r="AU2007" s="125">
        <f>IFERROR(AO2007*Assumptions!$C$26*Assumptions!$C$27*INDEX(Assumptions!$C$18:$C$21,MATCH(H2007,Assumptions!$B$18:$B$21,0)),0)</f>
        <v/>
      </c>
    </row>
    <row r="2008">
      <c r="A2008" s="120" t="n">
        <v>46263</v>
      </c>
      <c r="B2008" s="66" t="inlineStr">
        <is>
          <t>Wk 35</t>
        </is>
      </c>
      <c r="C2008" s="66" t="inlineStr">
        <is>
          <t>Sat</t>
        </is>
      </c>
      <c r="D2008" s="66" t="inlineStr">
        <is>
          <t>Programmatic</t>
        </is>
      </c>
      <c r="E2008" s="66" t="inlineStr">
        <is>
          <t>DV360</t>
        </is>
      </c>
      <c r="F2008" s="66" t="inlineStr">
        <is>
          <t>LEP_ZA_AUG26_PROG_TD_PROSPECT_DISPLAY</t>
        </is>
      </c>
      <c r="G2008" s="66" t="inlineStr">
        <is>
          <t>Display Prospecting</t>
        </is>
      </c>
      <c r="H2008" s="66" t="inlineStr">
        <is>
          <t>Range</t>
        </is>
      </c>
      <c r="I2008" s="66" t="inlineStr">
        <is>
          <t>Range Offer</t>
        </is>
      </c>
      <c r="J2008" s="66" t="inlineStr">
        <is>
          <t>PROG_GEO_DEALER_RADIUS</t>
        </is>
      </c>
      <c r="K2008" s="66" t="inlineStr">
        <is>
          <t>Prospecting</t>
        </is>
      </c>
      <c r="L2008" s="66" t="inlineStr">
        <is>
          <t>PROG_HTML5_728x90_Range_v1</t>
        </is>
      </c>
      <c r="M2008" s="66" t="inlineStr">
        <is>
          <t>HTML5 Display 728x90</t>
        </is>
      </c>
      <c r="N2008" s="66" t="inlineStr">
        <is>
          <t>Book a Lepas test drive</t>
        </is>
      </c>
      <c r="O2008" s="66" t="inlineStr">
        <is>
          <t>Programmatic Guaranteed / OA</t>
        </is>
      </c>
      <c r="P2008" s="66" t="inlineStr">
        <is>
          <t>Conversions (CPA)</t>
        </is>
      </c>
      <c r="Q2008" s="66" t="inlineStr">
        <is>
          <t>https://www.lepas-sa.co.za/offers</t>
        </is>
      </c>
      <c r="R2008" s="121" t="n">
        <v>107.1</v>
      </c>
      <c r="S2008" s="122" t="n">
        <v>3577</v>
      </c>
      <c r="T2008" s="122" t="n">
        <v>1236</v>
      </c>
      <c r="U2008" s="123">
        <f>IFERROR(S2008/T2008,"")</f>
        <v/>
      </c>
      <c r="V2008" s="122" t="n">
        <v>9</v>
      </c>
      <c r="W2008" s="122" t="n">
        <v>6</v>
      </c>
      <c r="X2008" s="124">
        <f>IFERROR(W2008/S2008,"")</f>
        <v/>
      </c>
      <c r="Y2008" s="121">
        <f>IFERROR(R2008/W2008,"")</f>
        <v/>
      </c>
      <c r="Z2008" s="121">
        <f>IFERROR(R2008/S2008*1000,"")</f>
        <v/>
      </c>
      <c r="AA2008" s="122" t="n">
        <v>4</v>
      </c>
      <c r="AB2008" s="54">
        <f>IFERROR(AA2008/W2008,"")</f>
        <v/>
      </c>
      <c r="AC2008" s="122" t="n">
        <v>0</v>
      </c>
      <c r="AD2008" s="122" t="n">
        <v>0</v>
      </c>
      <c r="AE2008" s="122" t="n">
        <v>0</v>
      </c>
      <c r="AF2008" s="122" t="n">
        <v>0</v>
      </c>
      <c r="AG2008" s="122" t="n">
        <v>0</v>
      </c>
      <c r="AH2008" s="122" t="n">
        <v>0</v>
      </c>
      <c r="AI2008" s="54">
        <f>IFERROR(AC2008/S2008,"")</f>
        <v/>
      </c>
      <c r="AJ2008" s="54">
        <f>IFERROR(AH2008/S2008,"")</f>
        <v/>
      </c>
      <c r="AK2008" s="122" t="n">
        <v>19</v>
      </c>
      <c r="AL2008" s="122" t="n">
        <v>0</v>
      </c>
      <c r="AM2008" s="124">
        <f>IFERROR(AL2008/AA2008,"")</f>
        <v/>
      </c>
      <c r="AN2008" s="125">
        <f>IFERROR(R2008/AL2008,"")</f>
        <v/>
      </c>
      <c r="AO2008" s="122" t="n">
        <v>0</v>
      </c>
      <c r="AP2008" s="54">
        <f>IFERROR(AO2008/AL2008,"")</f>
        <v/>
      </c>
      <c r="AQ2008" s="125">
        <f>IFERROR(R2008/AO2008,"")</f>
        <v/>
      </c>
      <c r="AR2008" s="122" t="n">
        <v>0</v>
      </c>
      <c r="AS2008" s="122" t="n">
        <v>0</v>
      </c>
      <c r="AT2008" s="122">
        <f>AL2008+AR2008</f>
        <v/>
      </c>
      <c r="AU2008" s="125">
        <f>IFERROR(AO2008*Assumptions!$C$26*Assumptions!$C$27*INDEX(Assumptions!$C$18:$C$21,MATCH(H2008,Assumptions!$B$18:$B$21,0)),0)</f>
        <v/>
      </c>
    </row>
    <row r="2009">
      <c r="A2009" s="120" t="n">
        <v>46264</v>
      </c>
      <c r="B2009" s="66" t="inlineStr">
        <is>
          <t>Wk 35</t>
        </is>
      </c>
      <c r="C2009" s="66" t="inlineStr">
        <is>
          <t>Sun</t>
        </is>
      </c>
      <c r="D2009" s="66" t="inlineStr">
        <is>
          <t>Programmatic</t>
        </is>
      </c>
      <c r="E2009" s="66" t="inlineStr">
        <is>
          <t>DV360</t>
        </is>
      </c>
      <c r="F2009" s="66" t="inlineStr">
        <is>
          <t>LEP_ZA_AUG26_PROG_TD_PROSPECT_DISPLAY</t>
        </is>
      </c>
      <c r="G2009" s="66" t="inlineStr">
        <is>
          <t>Display Prospecting</t>
        </is>
      </c>
      <c r="H2009" s="66" t="inlineStr">
        <is>
          <t>Range</t>
        </is>
      </c>
      <c r="I2009" s="66" t="inlineStr">
        <is>
          <t>Range Offer</t>
        </is>
      </c>
      <c r="J2009" s="66" t="inlineStr">
        <is>
          <t>PROG_GEO_DEALER_RADIUS</t>
        </is>
      </c>
      <c r="K2009" s="66" t="inlineStr">
        <is>
          <t>Prospecting</t>
        </is>
      </c>
      <c r="L2009" s="66" t="inlineStr">
        <is>
          <t>PROG_HTML5_728x90_Range_v1</t>
        </is>
      </c>
      <c r="M2009" s="66" t="inlineStr">
        <is>
          <t>HTML5 Display 728x90</t>
        </is>
      </c>
      <c r="N2009" s="66" t="inlineStr">
        <is>
          <t>Book a Lepas test drive</t>
        </is>
      </c>
      <c r="O2009" s="66" t="inlineStr">
        <is>
          <t>Programmatic Guaranteed / OA</t>
        </is>
      </c>
      <c r="P2009" s="66" t="inlineStr">
        <is>
          <t>Conversions (CPA)</t>
        </is>
      </c>
      <c r="Q2009" s="66" t="inlineStr">
        <is>
          <t>https://www.lepas-sa.co.za/offers</t>
        </is>
      </c>
      <c r="R2009" s="121" t="n">
        <v>82.61</v>
      </c>
      <c r="S2009" s="122" t="n">
        <v>2478</v>
      </c>
      <c r="T2009" s="122" t="n">
        <v>927</v>
      </c>
      <c r="U2009" s="123">
        <f>IFERROR(S2009/T2009,"")</f>
        <v/>
      </c>
      <c r="V2009" s="122" t="n">
        <v>4</v>
      </c>
      <c r="W2009" s="122" t="n">
        <v>3</v>
      </c>
      <c r="X2009" s="124">
        <f>IFERROR(W2009/S2009,"")</f>
        <v/>
      </c>
      <c r="Y2009" s="121">
        <f>IFERROR(R2009/W2009,"")</f>
        <v/>
      </c>
      <c r="Z2009" s="121">
        <f>IFERROR(R2009/S2009*1000,"")</f>
        <v/>
      </c>
      <c r="AA2009" s="122" t="n">
        <v>2</v>
      </c>
      <c r="AB2009" s="54">
        <f>IFERROR(AA2009/W2009,"")</f>
        <v/>
      </c>
      <c r="AC2009" s="122" t="n">
        <v>0</v>
      </c>
      <c r="AD2009" s="122" t="n">
        <v>0</v>
      </c>
      <c r="AE2009" s="122" t="n">
        <v>0</v>
      </c>
      <c r="AF2009" s="122" t="n">
        <v>0</v>
      </c>
      <c r="AG2009" s="122" t="n">
        <v>0</v>
      </c>
      <c r="AH2009" s="122" t="n">
        <v>0</v>
      </c>
      <c r="AI2009" s="54">
        <f>IFERROR(AC2009/S2009,"")</f>
        <v/>
      </c>
      <c r="AJ2009" s="54">
        <f>IFERROR(AH2009/S2009,"")</f>
        <v/>
      </c>
      <c r="AK2009" s="122" t="n">
        <v>6</v>
      </c>
      <c r="AL2009" s="122" t="n">
        <v>0</v>
      </c>
      <c r="AM2009" s="124">
        <f>IFERROR(AL2009/AA2009,"")</f>
        <v/>
      </c>
      <c r="AN2009" s="125">
        <f>IFERROR(R2009/AL2009,"")</f>
        <v/>
      </c>
      <c r="AO2009" s="122" t="n">
        <v>0</v>
      </c>
      <c r="AP2009" s="54">
        <f>IFERROR(AO2009/AL2009,"")</f>
        <v/>
      </c>
      <c r="AQ2009" s="125">
        <f>IFERROR(R2009/AO2009,"")</f>
        <v/>
      </c>
      <c r="AR2009" s="122" t="n">
        <v>0</v>
      </c>
      <c r="AS2009" s="122" t="n">
        <v>0</v>
      </c>
      <c r="AT2009" s="122">
        <f>AL2009+AR2009</f>
        <v/>
      </c>
      <c r="AU2009" s="125">
        <f>IFERROR(AO2009*Assumptions!$C$26*Assumptions!$C$27*INDEX(Assumptions!$C$18:$C$21,MATCH(H2009,Assumptions!$B$18:$B$21,0)),0)</f>
        <v/>
      </c>
    </row>
    <row r="2010">
      <c r="A2010" s="120" t="n">
        <v>46265</v>
      </c>
      <c r="B2010" s="66" t="inlineStr">
        <is>
          <t>Wk 36</t>
        </is>
      </c>
      <c r="C2010" s="66" t="inlineStr">
        <is>
          <t>Mon</t>
        </is>
      </c>
      <c r="D2010" s="66" t="inlineStr">
        <is>
          <t>Programmatic</t>
        </is>
      </c>
      <c r="E2010" s="66" t="inlineStr">
        <is>
          <t>DV360</t>
        </is>
      </c>
      <c r="F2010" s="66" t="inlineStr">
        <is>
          <t>LEP_ZA_AUG26_PROG_TD_PROSPECT_DISPLAY</t>
        </is>
      </c>
      <c r="G2010" s="66" t="inlineStr">
        <is>
          <t>Display Prospecting</t>
        </is>
      </c>
      <c r="H2010" s="66" t="inlineStr">
        <is>
          <t>Range</t>
        </is>
      </c>
      <c r="I2010" s="66" t="inlineStr">
        <is>
          <t>Range Offer</t>
        </is>
      </c>
      <c r="J2010" s="66" t="inlineStr">
        <is>
          <t>PROG_GEO_DEALER_RADIUS</t>
        </is>
      </c>
      <c r="K2010" s="66" t="inlineStr">
        <is>
          <t>Prospecting</t>
        </is>
      </c>
      <c r="L2010" s="66" t="inlineStr">
        <is>
          <t>PROG_HTML5_728x90_Range_v1</t>
        </is>
      </c>
      <c r="M2010" s="66" t="inlineStr">
        <is>
          <t>HTML5 Display 728x90</t>
        </is>
      </c>
      <c r="N2010" s="66" t="inlineStr">
        <is>
          <t>Book a Lepas test drive</t>
        </is>
      </c>
      <c r="O2010" s="66" t="inlineStr">
        <is>
          <t>Programmatic Guaranteed / OA</t>
        </is>
      </c>
      <c r="P2010" s="66" t="inlineStr">
        <is>
          <t>Conversions (CPA)</t>
        </is>
      </c>
      <c r="Q2010" s="66" t="inlineStr">
        <is>
          <t>https://www.lepas-sa.co.za/offers</t>
        </is>
      </c>
      <c r="R2010" s="121" t="n">
        <v>80.09999999999999</v>
      </c>
      <c r="S2010" s="122" t="n">
        <v>3978</v>
      </c>
      <c r="T2010" s="122" t="n">
        <v>1382</v>
      </c>
      <c r="U2010" s="123">
        <f>IFERROR(S2010/T2010,"")</f>
        <v/>
      </c>
      <c r="V2010" s="122" t="n">
        <v>8</v>
      </c>
      <c r="W2010" s="122" t="n">
        <v>6</v>
      </c>
      <c r="X2010" s="124">
        <f>IFERROR(W2010/S2010,"")</f>
        <v/>
      </c>
      <c r="Y2010" s="121">
        <f>IFERROR(R2010/W2010,"")</f>
        <v/>
      </c>
      <c r="Z2010" s="121">
        <f>IFERROR(R2010/S2010*1000,"")</f>
        <v/>
      </c>
      <c r="AA2010" s="122" t="n">
        <v>4</v>
      </c>
      <c r="AB2010" s="54">
        <f>IFERROR(AA2010/W2010,"")</f>
        <v/>
      </c>
      <c r="AC2010" s="122" t="n">
        <v>0</v>
      </c>
      <c r="AD2010" s="122" t="n">
        <v>0</v>
      </c>
      <c r="AE2010" s="122" t="n">
        <v>0</v>
      </c>
      <c r="AF2010" s="122" t="n">
        <v>0</v>
      </c>
      <c r="AG2010" s="122" t="n">
        <v>0</v>
      </c>
      <c r="AH2010" s="122" t="n">
        <v>0</v>
      </c>
      <c r="AI2010" s="54">
        <f>IFERROR(AC2010/S2010,"")</f>
        <v/>
      </c>
      <c r="AJ2010" s="54">
        <f>IFERROR(AH2010/S2010,"")</f>
        <v/>
      </c>
      <c r="AK2010" s="122" t="n">
        <v>15</v>
      </c>
      <c r="AL2010" s="122" t="n">
        <v>0</v>
      </c>
      <c r="AM2010" s="124">
        <f>IFERROR(AL2010/AA2010,"")</f>
        <v/>
      </c>
      <c r="AN2010" s="125">
        <f>IFERROR(R2010/AL2010,"")</f>
        <v/>
      </c>
      <c r="AO2010" s="122" t="n">
        <v>0</v>
      </c>
      <c r="AP2010" s="54">
        <f>IFERROR(AO2010/AL2010,"")</f>
        <v/>
      </c>
      <c r="AQ2010" s="125">
        <f>IFERROR(R2010/AO2010,"")</f>
        <v/>
      </c>
      <c r="AR2010" s="122" t="n">
        <v>0</v>
      </c>
      <c r="AS2010" s="122" t="n">
        <v>0</v>
      </c>
      <c r="AT2010" s="122">
        <f>AL2010+AR2010</f>
        <v/>
      </c>
      <c r="AU2010" s="125">
        <f>IFERROR(AO2010*Assumptions!$C$26*Assumptions!$C$27*INDEX(Assumptions!$C$18:$C$21,MATCH(H2010,Assumptions!$B$18:$B$21,0)),0)</f>
        <v/>
      </c>
    </row>
    <row r="2011">
      <c r="A2011" s="120" t="n">
        <v>46235</v>
      </c>
      <c r="B2011" s="66" t="inlineStr">
        <is>
          <t>Wk 31</t>
        </is>
      </c>
      <c r="C2011" s="66" t="inlineStr">
        <is>
          <t>Sat</t>
        </is>
      </c>
      <c r="D2011" s="66" t="inlineStr">
        <is>
          <t>Programmatic</t>
        </is>
      </c>
      <c r="E2011" s="66" t="inlineStr">
        <is>
          <t>DV360</t>
        </is>
      </c>
      <c r="F2011" s="66" t="inlineStr">
        <is>
          <t>LEP_ZA_AUG26_PROG_TD_VIDEO_OLV</t>
        </is>
      </c>
      <c r="G2011" s="66" t="inlineStr">
        <is>
          <t>Online Video / CTV</t>
        </is>
      </c>
      <c r="H2011" s="66" t="inlineStr">
        <is>
          <t>Range</t>
        </is>
      </c>
      <c r="I2011" s="66" t="inlineStr">
        <is>
          <t>Range Offer</t>
        </is>
      </c>
      <c r="J2011" s="66" t="inlineStr">
        <is>
          <t>PROG_OLV_PREROLL_AUTO</t>
        </is>
      </c>
      <c r="K2011" s="66" t="inlineStr">
        <is>
          <t>Contextual</t>
        </is>
      </c>
      <c r="L2011" s="66" t="inlineStr">
        <is>
          <t>PROG_OLV_20s_RangeFilm_v1</t>
        </is>
      </c>
      <c r="M2011" s="66" t="inlineStr">
        <is>
          <t>Video 16:9 Pre-roll</t>
        </is>
      </c>
      <c r="N2011" s="66" t="inlineStr">
        <is>
          <t>Meet the Lepas range</t>
        </is>
      </c>
      <c r="O2011" s="66" t="inlineStr">
        <is>
          <t>Auction - Fixed CPM</t>
        </is>
      </c>
      <c r="P2011" s="66" t="inlineStr">
        <is>
          <t>Completed Views + CPA</t>
        </is>
      </c>
      <c r="Q2011" s="66" t="inlineStr">
        <is>
          <t>https://www.lepas-sa.co.za/offers</t>
        </is>
      </c>
      <c r="R2011" s="121" t="n">
        <v>222.17</v>
      </c>
      <c r="S2011" s="122" t="n">
        <v>9646</v>
      </c>
      <c r="T2011" s="122" t="n">
        <v>6148</v>
      </c>
      <c r="U2011" s="123">
        <f>IFERROR(S2011/T2011,"")</f>
        <v/>
      </c>
      <c r="V2011" s="122" t="n">
        <v>26</v>
      </c>
      <c r="W2011" s="122" t="n">
        <v>22</v>
      </c>
      <c r="X2011" s="124">
        <f>IFERROR(W2011/S2011,"")</f>
        <v/>
      </c>
      <c r="Y2011" s="121">
        <f>IFERROR(R2011/W2011,"")</f>
        <v/>
      </c>
      <c r="Z2011" s="121">
        <f>IFERROR(R2011/S2011*1000,"")</f>
        <v/>
      </c>
      <c r="AA2011" s="122" t="n">
        <v>13</v>
      </c>
      <c r="AB2011" s="54">
        <f>IFERROR(AA2011/W2011,"")</f>
        <v/>
      </c>
      <c r="AC2011" s="122" t="n">
        <v>3913</v>
      </c>
      <c r="AD2011" s="122" t="n">
        <v>2208</v>
      </c>
      <c r="AE2011" s="122" t="n">
        <v>1557</v>
      </c>
      <c r="AF2011" s="122" t="n">
        <v>1048</v>
      </c>
      <c r="AG2011" s="122" t="n">
        <v>719</v>
      </c>
      <c r="AH2011" s="122" t="n">
        <v>517</v>
      </c>
      <c r="AI2011" s="54">
        <f>IFERROR(AC2011/S2011,"")</f>
        <v/>
      </c>
      <c r="AJ2011" s="54">
        <f>IFERROR(AH2011/S2011,"")</f>
        <v/>
      </c>
      <c r="AK2011" s="122" t="n">
        <v>44</v>
      </c>
      <c r="AL2011" s="122" t="n">
        <v>1</v>
      </c>
      <c r="AM2011" s="124">
        <f>IFERROR(AL2011/AA2011,"")</f>
        <v/>
      </c>
      <c r="AN2011" s="125">
        <f>IFERROR(R2011/AL2011,"")</f>
        <v/>
      </c>
      <c r="AO2011" s="122" t="n">
        <v>1</v>
      </c>
      <c r="AP2011" s="54">
        <f>IFERROR(AO2011/AL2011,"")</f>
        <v/>
      </c>
      <c r="AQ2011" s="125">
        <f>IFERROR(R2011/AO2011,"")</f>
        <v/>
      </c>
      <c r="AR2011" s="122" t="n">
        <v>2</v>
      </c>
      <c r="AS2011" s="122" t="n">
        <v>1</v>
      </c>
      <c r="AT2011" s="122">
        <f>AL2011+AR2011</f>
        <v/>
      </c>
      <c r="AU2011" s="125">
        <f>IFERROR(AO2011*Assumptions!$C$26*Assumptions!$C$27*INDEX(Assumptions!$C$18:$C$21,MATCH(H2011,Assumptions!$B$18:$B$21,0)),0)</f>
        <v/>
      </c>
    </row>
    <row r="2012">
      <c r="A2012" s="120" t="n">
        <v>46236</v>
      </c>
      <c r="B2012" s="66" t="inlineStr">
        <is>
          <t>Wk 31</t>
        </is>
      </c>
      <c r="C2012" s="66" t="inlineStr">
        <is>
          <t>Sun</t>
        </is>
      </c>
      <c r="D2012" s="66" t="inlineStr">
        <is>
          <t>Programmatic</t>
        </is>
      </c>
      <c r="E2012" s="66" t="inlineStr">
        <is>
          <t>DV360</t>
        </is>
      </c>
      <c r="F2012" s="66" t="inlineStr">
        <is>
          <t>LEP_ZA_AUG26_PROG_TD_VIDEO_OLV</t>
        </is>
      </c>
      <c r="G2012" s="66" t="inlineStr">
        <is>
          <t>Online Video / CTV</t>
        </is>
      </c>
      <c r="H2012" s="66" t="inlineStr">
        <is>
          <t>Range</t>
        </is>
      </c>
      <c r="I2012" s="66" t="inlineStr">
        <is>
          <t>Range Offer</t>
        </is>
      </c>
      <c r="J2012" s="66" t="inlineStr">
        <is>
          <t>PROG_OLV_PREROLL_AUTO</t>
        </is>
      </c>
      <c r="K2012" s="66" t="inlineStr">
        <is>
          <t>Contextual</t>
        </is>
      </c>
      <c r="L2012" s="66" t="inlineStr">
        <is>
          <t>PROG_OLV_20s_RangeFilm_v1</t>
        </is>
      </c>
      <c r="M2012" s="66" t="inlineStr">
        <is>
          <t>Video 16:9 Pre-roll</t>
        </is>
      </c>
      <c r="N2012" s="66" t="inlineStr">
        <is>
          <t>Meet the Lepas range</t>
        </is>
      </c>
      <c r="O2012" s="66" t="inlineStr">
        <is>
          <t>Auction - Fixed CPM</t>
        </is>
      </c>
      <c r="P2012" s="66" t="inlineStr">
        <is>
          <t>Completed Views + CPA</t>
        </is>
      </c>
      <c r="Q2012" s="66" t="inlineStr">
        <is>
          <t>https://www.lepas-sa.co.za/offers</t>
        </is>
      </c>
      <c r="R2012" s="121" t="n">
        <v>176.01</v>
      </c>
      <c r="S2012" s="122" t="n">
        <v>9442</v>
      </c>
      <c r="T2012" s="122" t="n">
        <v>6109</v>
      </c>
      <c r="U2012" s="123">
        <f>IFERROR(S2012/T2012,"")</f>
        <v/>
      </c>
      <c r="V2012" s="122" t="n">
        <v>22</v>
      </c>
      <c r="W2012" s="122" t="n">
        <v>16</v>
      </c>
      <c r="X2012" s="124">
        <f>IFERROR(W2012/S2012,"")</f>
        <v/>
      </c>
      <c r="Y2012" s="121">
        <f>IFERROR(R2012/W2012,"")</f>
        <v/>
      </c>
      <c r="Z2012" s="121">
        <f>IFERROR(R2012/S2012*1000,"")</f>
        <v/>
      </c>
      <c r="AA2012" s="122" t="n">
        <v>10</v>
      </c>
      <c r="AB2012" s="54">
        <f>IFERROR(AA2012/W2012,"")</f>
        <v/>
      </c>
      <c r="AC2012" s="122" t="n">
        <v>3692</v>
      </c>
      <c r="AD2012" s="122" t="n">
        <v>1637</v>
      </c>
      <c r="AE2012" s="122" t="n">
        <v>1372</v>
      </c>
      <c r="AF2012" s="122" t="n">
        <v>721</v>
      </c>
      <c r="AG2012" s="122" t="n">
        <v>480</v>
      </c>
      <c r="AH2012" s="122" t="n">
        <v>313</v>
      </c>
      <c r="AI2012" s="54">
        <f>IFERROR(AC2012/S2012,"")</f>
        <v/>
      </c>
      <c r="AJ2012" s="54">
        <f>IFERROR(AH2012/S2012,"")</f>
        <v/>
      </c>
      <c r="AK2012" s="122" t="n">
        <v>36</v>
      </c>
      <c r="AL2012" s="122" t="n">
        <v>0</v>
      </c>
      <c r="AM2012" s="124">
        <f>IFERROR(AL2012/AA2012,"")</f>
        <v/>
      </c>
      <c r="AN2012" s="125">
        <f>IFERROR(R2012/AL2012,"")</f>
        <v/>
      </c>
      <c r="AO2012" s="122" t="n">
        <v>0</v>
      </c>
      <c r="AP2012" s="54">
        <f>IFERROR(AO2012/AL2012,"")</f>
        <v/>
      </c>
      <c r="AQ2012" s="125">
        <f>IFERROR(R2012/AO2012,"")</f>
        <v/>
      </c>
      <c r="AR2012" s="122" t="n">
        <v>0</v>
      </c>
      <c r="AS2012" s="122" t="n">
        <v>0</v>
      </c>
      <c r="AT2012" s="122">
        <f>AL2012+AR2012</f>
        <v/>
      </c>
      <c r="AU2012" s="125">
        <f>IFERROR(AO2012*Assumptions!$C$26*Assumptions!$C$27*INDEX(Assumptions!$C$18:$C$21,MATCH(H2012,Assumptions!$B$18:$B$21,0)),0)</f>
        <v/>
      </c>
    </row>
    <row r="2013">
      <c r="A2013" s="120" t="n">
        <v>46237</v>
      </c>
      <c r="B2013" s="66" t="inlineStr">
        <is>
          <t>Wk 32</t>
        </is>
      </c>
      <c r="C2013" s="66" t="inlineStr">
        <is>
          <t>Mon</t>
        </is>
      </c>
      <c r="D2013" s="66" t="inlineStr">
        <is>
          <t>Programmatic</t>
        </is>
      </c>
      <c r="E2013" s="66" t="inlineStr">
        <is>
          <t>DV360</t>
        </is>
      </c>
      <c r="F2013" s="66" t="inlineStr">
        <is>
          <t>LEP_ZA_AUG26_PROG_TD_VIDEO_OLV</t>
        </is>
      </c>
      <c r="G2013" s="66" t="inlineStr">
        <is>
          <t>Online Video / CTV</t>
        </is>
      </c>
      <c r="H2013" s="66" t="inlineStr">
        <is>
          <t>Range</t>
        </is>
      </c>
      <c r="I2013" s="66" t="inlineStr">
        <is>
          <t>Range Offer</t>
        </is>
      </c>
      <c r="J2013" s="66" t="inlineStr">
        <is>
          <t>PROG_OLV_PREROLL_AUTO</t>
        </is>
      </c>
      <c r="K2013" s="66" t="inlineStr">
        <is>
          <t>Contextual</t>
        </is>
      </c>
      <c r="L2013" s="66" t="inlineStr">
        <is>
          <t>PROG_OLV_20s_RangeFilm_v1</t>
        </is>
      </c>
      <c r="M2013" s="66" t="inlineStr">
        <is>
          <t>Video 16:9 Pre-roll</t>
        </is>
      </c>
      <c r="N2013" s="66" t="inlineStr">
        <is>
          <t>Meet the Lepas range</t>
        </is>
      </c>
      <c r="O2013" s="66" t="inlineStr">
        <is>
          <t>Auction - Fixed CPM</t>
        </is>
      </c>
      <c r="P2013" s="66" t="inlineStr">
        <is>
          <t>Completed Views + CPA</t>
        </is>
      </c>
      <c r="Q2013" s="66" t="inlineStr">
        <is>
          <t>https://www.lepas-sa.co.za/offers</t>
        </is>
      </c>
      <c r="R2013" s="121" t="n">
        <v>153.26</v>
      </c>
      <c r="S2013" s="122" t="n">
        <v>7595</v>
      </c>
      <c r="T2013" s="122" t="n">
        <v>3661</v>
      </c>
      <c r="U2013" s="123">
        <f>IFERROR(S2013/T2013,"")</f>
        <v/>
      </c>
      <c r="V2013" s="122" t="n">
        <v>23</v>
      </c>
      <c r="W2013" s="122" t="n">
        <v>18</v>
      </c>
      <c r="X2013" s="124">
        <f>IFERROR(W2013/S2013,"")</f>
        <v/>
      </c>
      <c r="Y2013" s="121">
        <f>IFERROR(R2013/W2013,"")</f>
        <v/>
      </c>
      <c r="Z2013" s="121">
        <f>IFERROR(R2013/S2013*1000,"")</f>
        <v/>
      </c>
      <c r="AA2013" s="122" t="n">
        <v>13</v>
      </c>
      <c r="AB2013" s="54">
        <f>IFERROR(AA2013/W2013,"")</f>
        <v/>
      </c>
      <c r="AC2013" s="122" t="n">
        <v>2053</v>
      </c>
      <c r="AD2013" s="122" t="n">
        <v>998</v>
      </c>
      <c r="AE2013" s="122" t="n">
        <v>984</v>
      </c>
      <c r="AF2013" s="122" t="n">
        <v>573</v>
      </c>
      <c r="AG2013" s="122" t="n">
        <v>390</v>
      </c>
      <c r="AH2013" s="122" t="n">
        <v>279</v>
      </c>
      <c r="AI2013" s="54">
        <f>IFERROR(AC2013/S2013,"")</f>
        <v/>
      </c>
      <c r="AJ2013" s="54">
        <f>IFERROR(AH2013/S2013,"")</f>
        <v/>
      </c>
      <c r="AK2013" s="122" t="n">
        <v>8</v>
      </c>
      <c r="AL2013" s="122" t="n">
        <v>1</v>
      </c>
      <c r="AM2013" s="124">
        <f>IFERROR(AL2013/AA2013,"")</f>
        <v/>
      </c>
      <c r="AN2013" s="125">
        <f>IFERROR(R2013/AL2013,"")</f>
        <v/>
      </c>
      <c r="AO2013" s="122" t="n">
        <v>0</v>
      </c>
      <c r="AP2013" s="54">
        <f>IFERROR(AO2013/AL2013,"")</f>
        <v/>
      </c>
      <c r="AQ2013" s="125">
        <f>IFERROR(R2013/AO2013,"")</f>
        <v/>
      </c>
      <c r="AR2013" s="122" t="n">
        <v>2</v>
      </c>
      <c r="AS2013" s="122" t="n">
        <v>1</v>
      </c>
      <c r="AT2013" s="122">
        <f>AL2013+AR2013</f>
        <v/>
      </c>
      <c r="AU2013" s="125">
        <f>IFERROR(AO2013*Assumptions!$C$26*Assumptions!$C$27*INDEX(Assumptions!$C$18:$C$21,MATCH(H2013,Assumptions!$B$18:$B$21,0)),0)</f>
        <v/>
      </c>
    </row>
    <row r="2014">
      <c r="A2014" s="120" t="n">
        <v>46238</v>
      </c>
      <c r="B2014" s="66" t="inlineStr">
        <is>
          <t>Wk 32</t>
        </is>
      </c>
      <c r="C2014" s="66" t="inlineStr">
        <is>
          <t>Tue</t>
        </is>
      </c>
      <c r="D2014" s="66" t="inlineStr">
        <is>
          <t>Programmatic</t>
        </is>
      </c>
      <c r="E2014" s="66" t="inlineStr">
        <is>
          <t>DV360</t>
        </is>
      </c>
      <c r="F2014" s="66" t="inlineStr">
        <is>
          <t>LEP_ZA_AUG26_PROG_TD_VIDEO_OLV</t>
        </is>
      </c>
      <c r="G2014" s="66" t="inlineStr">
        <is>
          <t>Online Video / CTV</t>
        </is>
      </c>
      <c r="H2014" s="66" t="inlineStr">
        <is>
          <t>Range</t>
        </is>
      </c>
      <c r="I2014" s="66" t="inlineStr">
        <is>
          <t>Range Offer</t>
        </is>
      </c>
      <c r="J2014" s="66" t="inlineStr">
        <is>
          <t>PROG_OLV_PREROLL_AUTO</t>
        </is>
      </c>
      <c r="K2014" s="66" t="inlineStr">
        <is>
          <t>Contextual</t>
        </is>
      </c>
      <c r="L2014" s="66" t="inlineStr">
        <is>
          <t>PROG_OLV_20s_RangeFilm_v1</t>
        </is>
      </c>
      <c r="M2014" s="66" t="inlineStr">
        <is>
          <t>Video 16:9 Pre-roll</t>
        </is>
      </c>
      <c r="N2014" s="66" t="inlineStr">
        <is>
          <t>Meet the Lepas range</t>
        </is>
      </c>
      <c r="O2014" s="66" t="inlineStr">
        <is>
          <t>Auction - Fixed CPM</t>
        </is>
      </c>
      <c r="P2014" s="66" t="inlineStr">
        <is>
          <t>Completed Views + CPA</t>
        </is>
      </c>
      <c r="Q2014" s="66" t="inlineStr">
        <is>
          <t>https://www.lepas-sa.co.za/offers</t>
        </is>
      </c>
      <c r="R2014" s="121" t="n">
        <v>180.1</v>
      </c>
      <c r="S2014" s="122" t="n">
        <v>5894</v>
      </c>
      <c r="T2014" s="122" t="n">
        <v>2773</v>
      </c>
      <c r="U2014" s="123">
        <f>IFERROR(S2014/T2014,"")</f>
        <v/>
      </c>
      <c r="V2014" s="122" t="n">
        <v>23</v>
      </c>
      <c r="W2014" s="122" t="n">
        <v>17</v>
      </c>
      <c r="X2014" s="124">
        <f>IFERROR(W2014/S2014,"")</f>
        <v/>
      </c>
      <c r="Y2014" s="121">
        <f>IFERROR(R2014/W2014,"")</f>
        <v/>
      </c>
      <c r="Z2014" s="121">
        <f>IFERROR(R2014/S2014*1000,"")</f>
        <v/>
      </c>
      <c r="AA2014" s="122" t="n">
        <v>10</v>
      </c>
      <c r="AB2014" s="54">
        <f>IFERROR(AA2014/W2014,"")</f>
        <v/>
      </c>
      <c r="AC2014" s="122" t="n">
        <v>2179</v>
      </c>
      <c r="AD2014" s="122" t="n">
        <v>1256</v>
      </c>
      <c r="AE2014" s="122" t="n">
        <v>903</v>
      </c>
      <c r="AF2014" s="122" t="n">
        <v>594</v>
      </c>
      <c r="AG2014" s="122" t="n">
        <v>469</v>
      </c>
      <c r="AH2014" s="122" t="n">
        <v>318</v>
      </c>
      <c r="AI2014" s="54">
        <f>IFERROR(AC2014/S2014,"")</f>
        <v/>
      </c>
      <c r="AJ2014" s="54">
        <f>IFERROR(AH2014/S2014,"")</f>
        <v/>
      </c>
      <c r="AK2014" s="122" t="n">
        <v>10</v>
      </c>
      <c r="AL2014" s="122" t="n">
        <v>0</v>
      </c>
      <c r="AM2014" s="124">
        <f>IFERROR(AL2014/AA2014,"")</f>
        <v/>
      </c>
      <c r="AN2014" s="125">
        <f>IFERROR(R2014/AL2014,"")</f>
        <v/>
      </c>
      <c r="AO2014" s="122" t="n">
        <v>0</v>
      </c>
      <c r="AP2014" s="54">
        <f>IFERROR(AO2014/AL2014,"")</f>
        <v/>
      </c>
      <c r="AQ2014" s="125">
        <f>IFERROR(R2014/AO2014,"")</f>
        <v/>
      </c>
      <c r="AR2014" s="122" t="n">
        <v>0</v>
      </c>
      <c r="AS2014" s="122" t="n">
        <v>0</v>
      </c>
      <c r="AT2014" s="122">
        <f>AL2014+AR2014</f>
        <v/>
      </c>
      <c r="AU2014" s="125">
        <f>IFERROR(AO2014*Assumptions!$C$26*Assumptions!$C$27*INDEX(Assumptions!$C$18:$C$21,MATCH(H2014,Assumptions!$B$18:$B$21,0)),0)</f>
        <v/>
      </c>
    </row>
    <row r="2015">
      <c r="A2015" s="120" t="n">
        <v>46239</v>
      </c>
      <c r="B2015" s="66" t="inlineStr">
        <is>
          <t>Wk 32</t>
        </is>
      </c>
      <c r="C2015" s="66" t="inlineStr">
        <is>
          <t>Wed</t>
        </is>
      </c>
      <c r="D2015" s="66" t="inlineStr">
        <is>
          <t>Programmatic</t>
        </is>
      </c>
      <c r="E2015" s="66" t="inlineStr">
        <is>
          <t>DV360</t>
        </is>
      </c>
      <c r="F2015" s="66" t="inlineStr">
        <is>
          <t>LEP_ZA_AUG26_PROG_TD_VIDEO_OLV</t>
        </is>
      </c>
      <c r="G2015" s="66" t="inlineStr">
        <is>
          <t>Online Video / CTV</t>
        </is>
      </c>
      <c r="H2015" s="66" t="inlineStr">
        <is>
          <t>Range</t>
        </is>
      </c>
      <c r="I2015" s="66" t="inlineStr">
        <is>
          <t>Range Offer</t>
        </is>
      </c>
      <c r="J2015" s="66" t="inlineStr">
        <is>
          <t>PROG_OLV_PREROLL_AUTO</t>
        </is>
      </c>
      <c r="K2015" s="66" t="inlineStr">
        <is>
          <t>Contextual</t>
        </is>
      </c>
      <c r="L2015" s="66" t="inlineStr">
        <is>
          <t>PROG_OLV_20s_RangeFilm_v1</t>
        </is>
      </c>
      <c r="M2015" s="66" t="inlineStr">
        <is>
          <t>Video 16:9 Pre-roll</t>
        </is>
      </c>
      <c r="N2015" s="66" t="inlineStr">
        <is>
          <t>Meet the Lepas range</t>
        </is>
      </c>
      <c r="O2015" s="66" t="inlineStr">
        <is>
          <t>Auction - Fixed CPM</t>
        </is>
      </c>
      <c r="P2015" s="66" t="inlineStr">
        <is>
          <t>Completed Views + CPA</t>
        </is>
      </c>
      <c r="Q2015" s="66" t="inlineStr">
        <is>
          <t>https://www.lepas-sa.co.za/offers</t>
        </is>
      </c>
      <c r="R2015" s="121" t="n">
        <v>199.26</v>
      </c>
      <c r="S2015" s="122" t="n">
        <v>12536</v>
      </c>
      <c r="T2015" s="122" t="n">
        <v>6353</v>
      </c>
      <c r="U2015" s="123">
        <f>IFERROR(S2015/T2015,"")</f>
        <v/>
      </c>
      <c r="V2015" s="122" t="n">
        <v>35</v>
      </c>
      <c r="W2015" s="122" t="n">
        <v>29</v>
      </c>
      <c r="X2015" s="124">
        <f>IFERROR(W2015/S2015,"")</f>
        <v/>
      </c>
      <c r="Y2015" s="121">
        <f>IFERROR(R2015/W2015,"")</f>
        <v/>
      </c>
      <c r="Z2015" s="121">
        <f>IFERROR(R2015/S2015*1000,"")</f>
        <v/>
      </c>
      <c r="AA2015" s="122" t="n">
        <v>18</v>
      </c>
      <c r="AB2015" s="54">
        <f>IFERROR(AA2015/W2015,"")</f>
        <v/>
      </c>
      <c r="AC2015" s="122" t="n">
        <v>3044</v>
      </c>
      <c r="AD2015" s="122" t="n">
        <v>1681</v>
      </c>
      <c r="AE2015" s="122" t="n">
        <v>1411</v>
      </c>
      <c r="AF2015" s="122" t="n">
        <v>824</v>
      </c>
      <c r="AG2015" s="122" t="n">
        <v>593</v>
      </c>
      <c r="AH2015" s="122" t="n">
        <v>360</v>
      </c>
      <c r="AI2015" s="54">
        <f>IFERROR(AC2015/S2015,"")</f>
        <v/>
      </c>
      <c r="AJ2015" s="54">
        <f>IFERROR(AH2015/S2015,"")</f>
        <v/>
      </c>
      <c r="AK2015" s="122" t="n">
        <v>25</v>
      </c>
      <c r="AL2015" s="122" t="n">
        <v>0</v>
      </c>
      <c r="AM2015" s="124">
        <f>IFERROR(AL2015/AA2015,"")</f>
        <v/>
      </c>
      <c r="AN2015" s="125">
        <f>IFERROR(R2015/AL2015,"")</f>
        <v/>
      </c>
      <c r="AO2015" s="122" t="n">
        <v>0</v>
      </c>
      <c r="AP2015" s="54">
        <f>IFERROR(AO2015/AL2015,"")</f>
        <v/>
      </c>
      <c r="AQ2015" s="125">
        <f>IFERROR(R2015/AO2015,"")</f>
        <v/>
      </c>
      <c r="AR2015" s="122" t="n">
        <v>0</v>
      </c>
      <c r="AS2015" s="122" t="n">
        <v>0</v>
      </c>
      <c r="AT2015" s="122">
        <f>AL2015+AR2015</f>
        <v/>
      </c>
      <c r="AU2015" s="125">
        <f>IFERROR(AO2015*Assumptions!$C$26*Assumptions!$C$27*INDEX(Assumptions!$C$18:$C$21,MATCH(H2015,Assumptions!$B$18:$B$21,0)),0)</f>
        <v/>
      </c>
    </row>
    <row r="2016">
      <c r="A2016" s="120" t="n">
        <v>46240</v>
      </c>
      <c r="B2016" s="66" t="inlineStr">
        <is>
          <t>Wk 32</t>
        </is>
      </c>
      <c r="C2016" s="66" t="inlineStr">
        <is>
          <t>Thu</t>
        </is>
      </c>
      <c r="D2016" s="66" t="inlineStr">
        <is>
          <t>Programmatic</t>
        </is>
      </c>
      <c r="E2016" s="66" t="inlineStr">
        <is>
          <t>DV360</t>
        </is>
      </c>
      <c r="F2016" s="66" t="inlineStr">
        <is>
          <t>LEP_ZA_AUG26_PROG_TD_VIDEO_OLV</t>
        </is>
      </c>
      <c r="G2016" s="66" t="inlineStr">
        <is>
          <t>Online Video / CTV</t>
        </is>
      </c>
      <c r="H2016" s="66" t="inlineStr">
        <is>
          <t>Range</t>
        </is>
      </c>
      <c r="I2016" s="66" t="inlineStr">
        <is>
          <t>Range Offer</t>
        </is>
      </c>
      <c r="J2016" s="66" t="inlineStr">
        <is>
          <t>PROG_OLV_PREROLL_AUTO</t>
        </is>
      </c>
      <c r="K2016" s="66" t="inlineStr">
        <is>
          <t>Contextual</t>
        </is>
      </c>
      <c r="L2016" s="66" t="inlineStr">
        <is>
          <t>PROG_OLV_20s_RangeFilm_v1</t>
        </is>
      </c>
      <c r="M2016" s="66" t="inlineStr">
        <is>
          <t>Video 16:9 Pre-roll</t>
        </is>
      </c>
      <c r="N2016" s="66" t="inlineStr">
        <is>
          <t>Meet the Lepas range</t>
        </is>
      </c>
      <c r="O2016" s="66" t="inlineStr">
        <is>
          <t>Auction - Fixed CPM</t>
        </is>
      </c>
      <c r="P2016" s="66" t="inlineStr">
        <is>
          <t>Completed Views + CPA</t>
        </is>
      </c>
      <c r="Q2016" s="66" t="inlineStr">
        <is>
          <t>https://www.lepas-sa.co.za/offers</t>
        </is>
      </c>
      <c r="R2016" s="121" t="n">
        <v>222.09</v>
      </c>
      <c r="S2016" s="122" t="n">
        <v>9677</v>
      </c>
      <c r="T2016" s="122" t="n">
        <v>4159</v>
      </c>
      <c r="U2016" s="123">
        <f>IFERROR(S2016/T2016,"")</f>
        <v/>
      </c>
      <c r="V2016" s="122" t="n">
        <v>30</v>
      </c>
      <c r="W2016" s="122" t="n">
        <v>25</v>
      </c>
      <c r="X2016" s="124">
        <f>IFERROR(W2016/S2016,"")</f>
        <v/>
      </c>
      <c r="Y2016" s="121">
        <f>IFERROR(R2016/W2016,"")</f>
        <v/>
      </c>
      <c r="Z2016" s="121">
        <f>IFERROR(R2016/S2016*1000,"")</f>
        <v/>
      </c>
      <c r="AA2016" s="122" t="n">
        <v>17</v>
      </c>
      <c r="AB2016" s="54">
        <f>IFERROR(AA2016/W2016,"")</f>
        <v/>
      </c>
      <c r="AC2016" s="122" t="n">
        <v>2489</v>
      </c>
      <c r="AD2016" s="122" t="n">
        <v>1411</v>
      </c>
      <c r="AE2016" s="122" t="n">
        <v>955</v>
      </c>
      <c r="AF2016" s="122" t="n">
        <v>677</v>
      </c>
      <c r="AG2016" s="122" t="n">
        <v>503</v>
      </c>
      <c r="AH2016" s="122" t="n">
        <v>332</v>
      </c>
      <c r="AI2016" s="54">
        <f>IFERROR(AC2016/S2016,"")</f>
        <v/>
      </c>
      <c r="AJ2016" s="54">
        <f>IFERROR(AH2016/S2016,"")</f>
        <v/>
      </c>
      <c r="AK2016" s="122" t="n">
        <v>42</v>
      </c>
      <c r="AL2016" s="122" t="n">
        <v>1</v>
      </c>
      <c r="AM2016" s="124">
        <f>IFERROR(AL2016/AA2016,"")</f>
        <v/>
      </c>
      <c r="AN2016" s="125">
        <f>IFERROR(R2016/AL2016,"")</f>
        <v/>
      </c>
      <c r="AO2016" s="122" t="n">
        <v>1</v>
      </c>
      <c r="AP2016" s="54">
        <f>IFERROR(AO2016/AL2016,"")</f>
        <v/>
      </c>
      <c r="AQ2016" s="125">
        <f>IFERROR(R2016/AO2016,"")</f>
        <v/>
      </c>
      <c r="AR2016" s="122" t="n">
        <v>3</v>
      </c>
      <c r="AS2016" s="122" t="n">
        <v>1</v>
      </c>
      <c r="AT2016" s="122">
        <f>AL2016+AR2016</f>
        <v/>
      </c>
      <c r="AU2016" s="125">
        <f>IFERROR(AO2016*Assumptions!$C$26*Assumptions!$C$27*INDEX(Assumptions!$C$18:$C$21,MATCH(H2016,Assumptions!$B$18:$B$21,0)),0)</f>
        <v/>
      </c>
    </row>
    <row r="2017">
      <c r="A2017" s="120" t="n">
        <v>46241</v>
      </c>
      <c r="B2017" s="66" t="inlineStr">
        <is>
          <t>Wk 32</t>
        </is>
      </c>
      <c r="C2017" s="66" t="inlineStr">
        <is>
          <t>Fri</t>
        </is>
      </c>
      <c r="D2017" s="66" t="inlineStr">
        <is>
          <t>Programmatic</t>
        </is>
      </c>
      <c r="E2017" s="66" t="inlineStr">
        <is>
          <t>DV360</t>
        </is>
      </c>
      <c r="F2017" s="66" t="inlineStr">
        <is>
          <t>LEP_ZA_AUG26_PROG_TD_VIDEO_OLV</t>
        </is>
      </c>
      <c r="G2017" s="66" t="inlineStr">
        <is>
          <t>Online Video / CTV</t>
        </is>
      </c>
      <c r="H2017" s="66" t="inlineStr">
        <is>
          <t>Range</t>
        </is>
      </c>
      <c r="I2017" s="66" t="inlineStr">
        <is>
          <t>Range Offer</t>
        </is>
      </c>
      <c r="J2017" s="66" t="inlineStr">
        <is>
          <t>PROG_OLV_PREROLL_AUTO</t>
        </is>
      </c>
      <c r="K2017" s="66" t="inlineStr">
        <is>
          <t>Contextual</t>
        </is>
      </c>
      <c r="L2017" s="66" t="inlineStr">
        <is>
          <t>PROG_OLV_20s_RangeFilm_v1</t>
        </is>
      </c>
      <c r="M2017" s="66" t="inlineStr">
        <is>
          <t>Video 16:9 Pre-roll</t>
        </is>
      </c>
      <c r="N2017" s="66" t="inlineStr">
        <is>
          <t>Meet the Lepas range</t>
        </is>
      </c>
      <c r="O2017" s="66" t="inlineStr">
        <is>
          <t>Auction - Fixed CPM</t>
        </is>
      </c>
      <c r="P2017" s="66" t="inlineStr">
        <is>
          <t>Completed Views + CPA</t>
        </is>
      </c>
      <c r="Q2017" s="66" t="inlineStr">
        <is>
          <t>https://www.lepas-sa.co.za/offers</t>
        </is>
      </c>
      <c r="R2017" s="121" t="n">
        <v>228.09</v>
      </c>
      <c r="S2017" s="122" t="n">
        <v>13002</v>
      </c>
      <c r="T2017" s="122" t="n">
        <v>8166</v>
      </c>
      <c r="U2017" s="123">
        <f>IFERROR(S2017/T2017,"")</f>
        <v/>
      </c>
      <c r="V2017" s="122" t="n">
        <v>32</v>
      </c>
      <c r="W2017" s="122" t="n">
        <v>25</v>
      </c>
      <c r="X2017" s="124">
        <f>IFERROR(W2017/S2017,"")</f>
        <v/>
      </c>
      <c r="Y2017" s="121">
        <f>IFERROR(R2017/W2017,"")</f>
        <v/>
      </c>
      <c r="Z2017" s="121">
        <f>IFERROR(R2017/S2017*1000,"")</f>
        <v/>
      </c>
      <c r="AA2017" s="122" t="n">
        <v>15</v>
      </c>
      <c r="AB2017" s="54">
        <f>IFERROR(AA2017/W2017,"")</f>
        <v/>
      </c>
      <c r="AC2017" s="122" t="n">
        <v>5101</v>
      </c>
      <c r="AD2017" s="122" t="n">
        <v>2555</v>
      </c>
      <c r="AE2017" s="122" t="n">
        <v>2193</v>
      </c>
      <c r="AF2017" s="122" t="n">
        <v>1226</v>
      </c>
      <c r="AG2017" s="122" t="n">
        <v>869</v>
      </c>
      <c r="AH2017" s="122" t="n">
        <v>552</v>
      </c>
      <c r="AI2017" s="54">
        <f>IFERROR(AC2017/S2017,"")</f>
        <v/>
      </c>
      <c r="AJ2017" s="54">
        <f>IFERROR(AH2017/S2017,"")</f>
        <v/>
      </c>
      <c r="AK2017" s="122" t="n">
        <v>59</v>
      </c>
      <c r="AL2017" s="122" t="n">
        <v>0</v>
      </c>
      <c r="AM2017" s="124">
        <f>IFERROR(AL2017/AA2017,"")</f>
        <v/>
      </c>
      <c r="AN2017" s="125">
        <f>IFERROR(R2017/AL2017,"")</f>
        <v/>
      </c>
      <c r="AO2017" s="122" t="n">
        <v>0</v>
      </c>
      <c r="AP2017" s="54">
        <f>IFERROR(AO2017/AL2017,"")</f>
        <v/>
      </c>
      <c r="AQ2017" s="125">
        <f>IFERROR(R2017/AO2017,"")</f>
        <v/>
      </c>
      <c r="AR2017" s="122" t="n">
        <v>0</v>
      </c>
      <c r="AS2017" s="122" t="n">
        <v>0</v>
      </c>
      <c r="AT2017" s="122">
        <f>AL2017+AR2017</f>
        <v/>
      </c>
      <c r="AU2017" s="125">
        <f>IFERROR(AO2017*Assumptions!$C$26*Assumptions!$C$27*INDEX(Assumptions!$C$18:$C$21,MATCH(H2017,Assumptions!$B$18:$B$21,0)),0)</f>
        <v/>
      </c>
    </row>
    <row r="2018">
      <c r="A2018" s="120" t="n">
        <v>46242</v>
      </c>
      <c r="B2018" s="66" t="inlineStr">
        <is>
          <t>Wk 32</t>
        </is>
      </c>
      <c r="C2018" s="66" t="inlineStr">
        <is>
          <t>Sat</t>
        </is>
      </c>
      <c r="D2018" s="66" t="inlineStr">
        <is>
          <t>Programmatic</t>
        </is>
      </c>
      <c r="E2018" s="66" t="inlineStr">
        <is>
          <t>DV360</t>
        </is>
      </c>
      <c r="F2018" s="66" t="inlineStr">
        <is>
          <t>LEP_ZA_AUG26_PROG_TD_VIDEO_OLV</t>
        </is>
      </c>
      <c r="G2018" s="66" t="inlineStr">
        <is>
          <t>Online Video / CTV</t>
        </is>
      </c>
      <c r="H2018" s="66" t="inlineStr">
        <is>
          <t>Range</t>
        </is>
      </c>
      <c r="I2018" s="66" t="inlineStr">
        <is>
          <t>Range Offer</t>
        </is>
      </c>
      <c r="J2018" s="66" t="inlineStr">
        <is>
          <t>PROG_OLV_PREROLL_AUTO</t>
        </is>
      </c>
      <c r="K2018" s="66" t="inlineStr">
        <is>
          <t>Contextual</t>
        </is>
      </c>
      <c r="L2018" s="66" t="inlineStr">
        <is>
          <t>PROG_OLV_20s_RangeFilm_v1</t>
        </is>
      </c>
      <c r="M2018" s="66" t="inlineStr">
        <is>
          <t>Video 16:9 Pre-roll</t>
        </is>
      </c>
      <c r="N2018" s="66" t="inlineStr">
        <is>
          <t>Meet the Lepas range</t>
        </is>
      </c>
      <c r="O2018" s="66" t="inlineStr">
        <is>
          <t>Auction - Fixed CPM</t>
        </is>
      </c>
      <c r="P2018" s="66" t="inlineStr">
        <is>
          <t>Completed Views + CPA</t>
        </is>
      </c>
      <c r="Q2018" s="66" t="inlineStr">
        <is>
          <t>https://www.lepas-sa.co.za/offers</t>
        </is>
      </c>
      <c r="R2018" s="121" t="n">
        <v>237.12</v>
      </c>
      <c r="S2018" s="122" t="n">
        <v>8622</v>
      </c>
      <c r="T2018" s="122" t="n">
        <v>5274</v>
      </c>
      <c r="U2018" s="123">
        <f>IFERROR(S2018/T2018,"")</f>
        <v/>
      </c>
      <c r="V2018" s="122" t="n">
        <v>8</v>
      </c>
      <c r="W2018" s="122" t="n">
        <v>7</v>
      </c>
      <c r="X2018" s="124">
        <f>IFERROR(W2018/S2018,"")</f>
        <v/>
      </c>
      <c r="Y2018" s="121">
        <f>IFERROR(R2018/W2018,"")</f>
        <v/>
      </c>
      <c r="Z2018" s="121">
        <f>IFERROR(R2018/S2018*1000,"")</f>
        <v/>
      </c>
      <c r="AA2018" s="122" t="n">
        <v>3</v>
      </c>
      <c r="AB2018" s="54">
        <f>IFERROR(AA2018/W2018,"")</f>
        <v/>
      </c>
      <c r="AC2018" s="122" t="n">
        <v>3382</v>
      </c>
      <c r="AD2018" s="122" t="n">
        <v>2063</v>
      </c>
      <c r="AE2018" s="122" t="n">
        <v>1726</v>
      </c>
      <c r="AF2018" s="122" t="n">
        <v>1194</v>
      </c>
      <c r="AG2018" s="122" t="n">
        <v>852</v>
      </c>
      <c r="AH2018" s="122" t="n">
        <v>578</v>
      </c>
      <c r="AI2018" s="54">
        <f>IFERROR(AC2018/S2018,"")</f>
        <v/>
      </c>
      <c r="AJ2018" s="54">
        <f>IFERROR(AH2018/S2018,"")</f>
        <v/>
      </c>
      <c r="AK2018" s="122" t="n">
        <v>12</v>
      </c>
      <c r="AL2018" s="122" t="n">
        <v>0</v>
      </c>
      <c r="AM2018" s="124">
        <f>IFERROR(AL2018/AA2018,"")</f>
        <v/>
      </c>
      <c r="AN2018" s="125">
        <f>IFERROR(R2018/AL2018,"")</f>
        <v/>
      </c>
      <c r="AO2018" s="122" t="n">
        <v>0</v>
      </c>
      <c r="AP2018" s="54">
        <f>IFERROR(AO2018/AL2018,"")</f>
        <v/>
      </c>
      <c r="AQ2018" s="125">
        <f>IFERROR(R2018/AO2018,"")</f>
        <v/>
      </c>
      <c r="AR2018" s="122" t="n">
        <v>0</v>
      </c>
      <c r="AS2018" s="122" t="n">
        <v>0</v>
      </c>
      <c r="AT2018" s="122">
        <f>AL2018+AR2018</f>
        <v/>
      </c>
      <c r="AU2018" s="125">
        <f>IFERROR(AO2018*Assumptions!$C$26*Assumptions!$C$27*INDEX(Assumptions!$C$18:$C$21,MATCH(H2018,Assumptions!$B$18:$B$21,0)),0)</f>
        <v/>
      </c>
    </row>
    <row r="2019">
      <c r="A2019" s="120" t="n">
        <v>46243</v>
      </c>
      <c r="B2019" s="66" t="inlineStr">
        <is>
          <t>Wk 32</t>
        </is>
      </c>
      <c r="C2019" s="66" t="inlineStr">
        <is>
          <t>Sun</t>
        </is>
      </c>
      <c r="D2019" s="66" t="inlineStr">
        <is>
          <t>Programmatic</t>
        </is>
      </c>
      <c r="E2019" s="66" t="inlineStr">
        <is>
          <t>DV360</t>
        </is>
      </c>
      <c r="F2019" s="66" t="inlineStr">
        <is>
          <t>LEP_ZA_AUG26_PROG_TD_VIDEO_OLV</t>
        </is>
      </c>
      <c r="G2019" s="66" t="inlineStr">
        <is>
          <t>Online Video / CTV</t>
        </is>
      </c>
      <c r="H2019" s="66" t="inlineStr">
        <is>
          <t>Range</t>
        </is>
      </c>
      <c r="I2019" s="66" t="inlineStr">
        <is>
          <t>Range Offer</t>
        </is>
      </c>
      <c r="J2019" s="66" t="inlineStr">
        <is>
          <t>PROG_OLV_PREROLL_AUTO</t>
        </is>
      </c>
      <c r="K2019" s="66" t="inlineStr">
        <is>
          <t>Contextual</t>
        </is>
      </c>
      <c r="L2019" s="66" t="inlineStr">
        <is>
          <t>PROG_OLV_20s_RangeFilm_v1</t>
        </is>
      </c>
      <c r="M2019" s="66" t="inlineStr">
        <is>
          <t>Video 16:9 Pre-roll</t>
        </is>
      </c>
      <c r="N2019" s="66" t="inlineStr">
        <is>
          <t>Meet the Lepas range</t>
        </is>
      </c>
      <c r="O2019" s="66" t="inlineStr">
        <is>
          <t>Auction - Fixed CPM</t>
        </is>
      </c>
      <c r="P2019" s="66" t="inlineStr">
        <is>
          <t>Completed Views + CPA</t>
        </is>
      </c>
      <c r="Q2019" s="66" t="inlineStr">
        <is>
          <t>https://www.lepas-sa.co.za/offers</t>
        </is>
      </c>
      <c r="R2019" s="121" t="n">
        <v>168.58</v>
      </c>
      <c r="S2019" s="122" t="n">
        <v>9219</v>
      </c>
      <c r="T2019" s="122" t="n">
        <v>4418</v>
      </c>
      <c r="U2019" s="123">
        <f>IFERROR(S2019/T2019,"")</f>
        <v/>
      </c>
      <c r="V2019" s="122" t="n">
        <v>6</v>
      </c>
      <c r="W2019" s="122" t="n">
        <v>5</v>
      </c>
      <c r="X2019" s="124">
        <f>IFERROR(W2019/S2019,"")</f>
        <v/>
      </c>
      <c r="Y2019" s="121">
        <f>IFERROR(R2019/W2019,"")</f>
        <v/>
      </c>
      <c r="Z2019" s="121">
        <f>IFERROR(R2019/S2019*1000,"")</f>
        <v/>
      </c>
      <c r="AA2019" s="122" t="n">
        <v>3</v>
      </c>
      <c r="AB2019" s="54">
        <f>IFERROR(AA2019/W2019,"")</f>
        <v/>
      </c>
      <c r="AC2019" s="122" t="n">
        <v>2275</v>
      </c>
      <c r="AD2019" s="122" t="n">
        <v>1307</v>
      </c>
      <c r="AE2019" s="122" t="n">
        <v>1118</v>
      </c>
      <c r="AF2019" s="122" t="n">
        <v>780</v>
      </c>
      <c r="AG2019" s="122" t="n">
        <v>529</v>
      </c>
      <c r="AH2019" s="122" t="n">
        <v>374</v>
      </c>
      <c r="AI2019" s="54">
        <f>IFERROR(AC2019/S2019,"")</f>
        <v/>
      </c>
      <c r="AJ2019" s="54">
        <f>IFERROR(AH2019/S2019,"")</f>
        <v/>
      </c>
      <c r="AK2019" s="122" t="n">
        <v>40</v>
      </c>
      <c r="AL2019" s="122" t="n">
        <v>0</v>
      </c>
      <c r="AM2019" s="124">
        <f>IFERROR(AL2019/AA2019,"")</f>
        <v/>
      </c>
      <c r="AN2019" s="125">
        <f>IFERROR(R2019/AL2019,"")</f>
        <v/>
      </c>
      <c r="AO2019" s="122" t="n">
        <v>0</v>
      </c>
      <c r="AP2019" s="54">
        <f>IFERROR(AO2019/AL2019,"")</f>
        <v/>
      </c>
      <c r="AQ2019" s="125">
        <f>IFERROR(R2019/AO2019,"")</f>
        <v/>
      </c>
      <c r="AR2019" s="122" t="n">
        <v>0</v>
      </c>
      <c r="AS2019" s="122" t="n">
        <v>0</v>
      </c>
      <c r="AT2019" s="122">
        <f>AL2019+AR2019</f>
        <v/>
      </c>
      <c r="AU2019" s="125">
        <f>IFERROR(AO2019*Assumptions!$C$26*Assumptions!$C$27*INDEX(Assumptions!$C$18:$C$21,MATCH(H2019,Assumptions!$B$18:$B$21,0)),0)</f>
        <v/>
      </c>
    </row>
    <row r="2020">
      <c r="A2020" s="120" t="n">
        <v>46244</v>
      </c>
      <c r="B2020" s="66" t="inlineStr">
        <is>
          <t>Wk 33</t>
        </is>
      </c>
      <c r="C2020" s="66" t="inlineStr">
        <is>
          <t>Mon</t>
        </is>
      </c>
      <c r="D2020" s="66" t="inlineStr">
        <is>
          <t>Programmatic</t>
        </is>
      </c>
      <c r="E2020" s="66" t="inlineStr">
        <is>
          <t>DV360</t>
        </is>
      </c>
      <c r="F2020" s="66" t="inlineStr">
        <is>
          <t>LEP_ZA_AUG26_PROG_TD_VIDEO_OLV</t>
        </is>
      </c>
      <c r="G2020" s="66" t="inlineStr">
        <is>
          <t>Online Video / CTV</t>
        </is>
      </c>
      <c r="H2020" s="66" t="inlineStr">
        <is>
          <t>Range</t>
        </is>
      </c>
      <c r="I2020" s="66" t="inlineStr">
        <is>
          <t>Range Offer</t>
        </is>
      </c>
      <c r="J2020" s="66" t="inlineStr">
        <is>
          <t>PROG_OLV_PREROLL_AUTO</t>
        </is>
      </c>
      <c r="K2020" s="66" t="inlineStr">
        <is>
          <t>Contextual</t>
        </is>
      </c>
      <c r="L2020" s="66" t="inlineStr">
        <is>
          <t>PROG_OLV_20s_RangeFilm_v1</t>
        </is>
      </c>
      <c r="M2020" s="66" t="inlineStr">
        <is>
          <t>Video 16:9 Pre-roll</t>
        </is>
      </c>
      <c r="N2020" s="66" t="inlineStr">
        <is>
          <t>Meet the Lepas range</t>
        </is>
      </c>
      <c r="O2020" s="66" t="inlineStr">
        <is>
          <t>Auction - Fixed CPM</t>
        </is>
      </c>
      <c r="P2020" s="66" t="inlineStr">
        <is>
          <t>Completed Views + CPA</t>
        </is>
      </c>
      <c r="Q2020" s="66" t="inlineStr">
        <is>
          <t>https://www.lepas-sa.co.za/offers</t>
        </is>
      </c>
      <c r="R2020" s="121" t="n">
        <v>207.86</v>
      </c>
      <c r="S2020" s="122" t="n">
        <v>7148</v>
      </c>
      <c r="T2020" s="122" t="n">
        <v>2962</v>
      </c>
      <c r="U2020" s="123">
        <f>IFERROR(S2020/T2020,"")</f>
        <v/>
      </c>
      <c r="V2020" s="122" t="n">
        <v>7</v>
      </c>
      <c r="W2020" s="122" t="n">
        <v>6</v>
      </c>
      <c r="X2020" s="124">
        <f>IFERROR(W2020/S2020,"")</f>
        <v/>
      </c>
      <c r="Y2020" s="121">
        <f>IFERROR(R2020/W2020,"")</f>
        <v/>
      </c>
      <c r="Z2020" s="121">
        <f>IFERROR(R2020/S2020*1000,"")</f>
        <v/>
      </c>
      <c r="AA2020" s="122" t="n">
        <v>3</v>
      </c>
      <c r="AB2020" s="54">
        <f>IFERROR(AA2020/W2020,"")</f>
        <v/>
      </c>
      <c r="AC2020" s="122" t="n">
        <v>2188</v>
      </c>
      <c r="AD2020" s="122" t="n">
        <v>1225</v>
      </c>
      <c r="AE2020" s="122" t="n">
        <v>877</v>
      </c>
      <c r="AF2020" s="122" t="n">
        <v>550</v>
      </c>
      <c r="AG2020" s="122" t="n">
        <v>367</v>
      </c>
      <c r="AH2020" s="122" t="n">
        <v>261</v>
      </c>
      <c r="AI2020" s="54">
        <f>IFERROR(AC2020/S2020,"")</f>
        <v/>
      </c>
      <c r="AJ2020" s="54">
        <f>IFERROR(AH2020/S2020,"")</f>
        <v/>
      </c>
      <c r="AK2020" s="122" t="n">
        <v>28</v>
      </c>
      <c r="AL2020" s="122" t="n">
        <v>0</v>
      </c>
      <c r="AM2020" s="124">
        <f>IFERROR(AL2020/AA2020,"")</f>
        <v/>
      </c>
      <c r="AN2020" s="125">
        <f>IFERROR(R2020/AL2020,"")</f>
        <v/>
      </c>
      <c r="AO2020" s="122" t="n">
        <v>0</v>
      </c>
      <c r="AP2020" s="54">
        <f>IFERROR(AO2020/AL2020,"")</f>
        <v/>
      </c>
      <c r="AQ2020" s="125">
        <f>IFERROR(R2020/AO2020,"")</f>
        <v/>
      </c>
      <c r="AR2020" s="122" t="n">
        <v>0</v>
      </c>
      <c r="AS2020" s="122" t="n">
        <v>0</v>
      </c>
      <c r="AT2020" s="122">
        <f>AL2020+AR2020</f>
        <v/>
      </c>
      <c r="AU2020" s="125">
        <f>IFERROR(AO2020*Assumptions!$C$26*Assumptions!$C$27*INDEX(Assumptions!$C$18:$C$21,MATCH(H2020,Assumptions!$B$18:$B$21,0)),0)</f>
        <v/>
      </c>
    </row>
    <row r="2021">
      <c r="A2021" s="120" t="n">
        <v>46245</v>
      </c>
      <c r="B2021" s="66" t="inlineStr">
        <is>
          <t>Wk 33</t>
        </is>
      </c>
      <c r="C2021" s="66" t="inlineStr">
        <is>
          <t>Tue</t>
        </is>
      </c>
      <c r="D2021" s="66" t="inlineStr">
        <is>
          <t>Programmatic</t>
        </is>
      </c>
      <c r="E2021" s="66" t="inlineStr">
        <is>
          <t>DV360</t>
        </is>
      </c>
      <c r="F2021" s="66" t="inlineStr">
        <is>
          <t>LEP_ZA_AUG26_PROG_TD_VIDEO_OLV</t>
        </is>
      </c>
      <c r="G2021" s="66" t="inlineStr">
        <is>
          <t>Online Video / CTV</t>
        </is>
      </c>
      <c r="H2021" s="66" t="inlineStr">
        <is>
          <t>Range</t>
        </is>
      </c>
      <c r="I2021" s="66" t="inlineStr">
        <is>
          <t>Range Offer</t>
        </is>
      </c>
      <c r="J2021" s="66" t="inlineStr">
        <is>
          <t>PROG_OLV_PREROLL_AUTO</t>
        </is>
      </c>
      <c r="K2021" s="66" t="inlineStr">
        <is>
          <t>Contextual</t>
        </is>
      </c>
      <c r="L2021" s="66" t="inlineStr">
        <is>
          <t>PROG_OLV_20s_RangeFilm_v1</t>
        </is>
      </c>
      <c r="M2021" s="66" t="inlineStr">
        <is>
          <t>Video 16:9 Pre-roll</t>
        </is>
      </c>
      <c r="N2021" s="66" t="inlineStr">
        <is>
          <t>Meet the Lepas range</t>
        </is>
      </c>
      <c r="O2021" s="66" t="inlineStr">
        <is>
          <t>Auction - Fixed CPM</t>
        </is>
      </c>
      <c r="P2021" s="66" t="inlineStr">
        <is>
          <t>Completed Views + CPA</t>
        </is>
      </c>
      <c r="Q2021" s="66" t="inlineStr">
        <is>
          <t>https://www.lepas-sa.co.za/offers</t>
        </is>
      </c>
      <c r="R2021" s="121" t="n">
        <v>209.02</v>
      </c>
      <c r="S2021" s="122" t="n">
        <v>8790</v>
      </c>
      <c r="T2021" s="122" t="n">
        <v>4301</v>
      </c>
      <c r="U2021" s="123">
        <f>IFERROR(S2021/T2021,"")</f>
        <v/>
      </c>
      <c r="V2021" s="122" t="n">
        <v>28</v>
      </c>
      <c r="W2021" s="122" t="n">
        <v>20</v>
      </c>
      <c r="X2021" s="124">
        <f>IFERROR(W2021/S2021,"")</f>
        <v/>
      </c>
      <c r="Y2021" s="121">
        <f>IFERROR(R2021/W2021,"")</f>
        <v/>
      </c>
      <c r="Z2021" s="121">
        <f>IFERROR(R2021/S2021*1000,"")</f>
        <v/>
      </c>
      <c r="AA2021" s="122" t="n">
        <v>12</v>
      </c>
      <c r="AB2021" s="54">
        <f>IFERROR(AA2021/W2021,"")</f>
        <v/>
      </c>
      <c r="AC2021" s="122" t="n">
        <v>3097</v>
      </c>
      <c r="AD2021" s="122" t="n">
        <v>1824</v>
      </c>
      <c r="AE2021" s="122" t="n">
        <v>1454</v>
      </c>
      <c r="AF2021" s="122" t="n">
        <v>761</v>
      </c>
      <c r="AG2021" s="122" t="n">
        <v>579</v>
      </c>
      <c r="AH2021" s="122" t="n">
        <v>382</v>
      </c>
      <c r="AI2021" s="54">
        <f>IFERROR(AC2021/S2021,"")</f>
        <v/>
      </c>
      <c r="AJ2021" s="54">
        <f>IFERROR(AH2021/S2021,"")</f>
        <v/>
      </c>
      <c r="AK2021" s="122" t="n">
        <v>40</v>
      </c>
      <c r="AL2021" s="122" t="n">
        <v>0</v>
      </c>
      <c r="AM2021" s="124">
        <f>IFERROR(AL2021/AA2021,"")</f>
        <v/>
      </c>
      <c r="AN2021" s="125">
        <f>IFERROR(R2021/AL2021,"")</f>
        <v/>
      </c>
      <c r="AO2021" s="122" t="n">
        <v>0</v>
      </c>
      <c r="AP2021" s="54">
        <f>IFERROR(AO2021/AL2021,"")</f>
        <v/>
      </c>
      <c r="AQ2021" s="125">
        <f>IFERROR(R2021/AO2021,"")</f>
        <v/>
      </c>
      <c r="AR2021" s="122" t="n">
        <v>0</v>
      </c>
      <c r="AS2021" s="122" t="n">
        <v>0</v>
      </c>
      <c r="AT2021" s="122">
        <f>AL2021+AR2021</f>
        <v/>
      </c>
      <c r="AU2021" s="125">
        <f>IFERROR(AO2021*Assumptions!$C$26*Assumptions!$C$27*INDEX(Assumptions!$C$18:$C$21,MATCH(H2021,Assumptions!$B$18:$B$21,0)),0)</f>
        <v/>
      </c>
    </row>
    <row r="2022">
      <c r="A2022" s="120" t="n">
        <v>46246</v>
      </c>
      <c r="B2022" s="66" t="inlineStr">
        <is>
          <t>Wk 33</t>
        </is>
      </c>
      <c r="C2022" s="66" t="inlineStr">
        <is>
          <t>Wed</t>
        </is>
      </c>
      <c r="D2022" s="66" t="inlineStr">
        <is>
          <t>Programmatic</t>
        </is>
      </c>
      <c r="E2022" s="66" t="inlineStr">
        <is>
          <t>DV360</t>
        </is>
      </c>
      <c r="F2022" s="66" t="inlineStr">
        <is>
          <t>LEP_ZA_AUG26_PROG_TD_VIDEO_OLV</t>
        </is>
      </c>
      <c r="G2022" s="66" t="inlineStr">
        <is>
          <t>Online Video / CTV</t>
        </is>
      </c>
      <c r="H2022" s="66" t="inlineStr">
        <is>
          <t>Range</t>
        </is>
      </c>
      <c r="I2022" s="66" t="inlineStr">
        <is>
          <t>Range Offer</t>
        </is>
      </c>
      <c r="J2022" s="66" t="inlineStr">
        <is>
          <t>PROG_OLV_PREROLL_AUTO</t>
        </is>
      </c>
      <c r="K2022" s="66" t="inlineStr">
        <is>
          <t>Contextual</t>
        </is>
      </c>
      <c r="L2022" s="66" t="inlineStr">
        <is>
          <t>PROG_OLV_20s_RangeFilm_v1</t>
        </is>
      </c>
      <c r="M2022" s="66" t="inlineStr">
        <is>
          <t>Video 16:9 Pre-roll</t>
        </is>
      </c>
      <c r="N2022" s="66" t="inlineStr">
        <is>
          <t>Meet the Lepas range</t>
        </is>
      </c>
      <c r="O2022" s="66" t="inlineStr">
        <is>
          <t>Auction - Fixed CPM</t>
        </is>
      </c>
      <c r="P2022" s="66" t="inlineStr">
        <is>
          <t>Completed Views + CPA</t>
        </is>
      </c>
      <c r="Q2022" s="66" t="inlineStr">
        <is>
          <t>https://www.lepas-sa.co.za/offers</t>
        </is>
      </c>
      <c r="R2022" s="121" t="n">
        <v>190.42</v>
      </c>
      <c r="S2022" s="122" t="n">
        <v>6842</v>
      </c>
      <c r="T2022" s="122" t="n">
        <v>4017</v>
      </c>
      <c r="U2022" s="123">
        <f>IFERROR(S2022/T2022,"")</f>
        <v/>
      </c>
      <c r="V2022" s="122" t="n">
        <v>15</v>
      </c>
      <c r="W2022" s="122" t="n">
        <v>11</v>
      </c>
      <c r="X2022" s="124">
        <f>IFERROR(W2022/S2022,"")</f>
        <v/>
      </c>
      <c r="Y2022" s="121">
        <f>IFERROR(R2022/W2022,"")</f>
        <v/>
      </c>
      <c r="Z2022" s="121">
        <f>IFERROR(R2022/S2022*1000,"")</f>
        <v/>
      </c>
      <c r="AA2022" s="122" t="n">
        <v>7</v>
      </c>
      <c r="AB2022" s="54">
        <f>IFERROR(AA2022/W2022,"")</f>
        <v/>
      </c>
      <c r="AC2022" s="122" t="n">
        <v>2390</v>
      </c>
      <c r="AD2022" s="122" t="n">
        <v>1402</v>
      </c>
      <c r="AE2022" s="122" t="n">
        <v>1064</v>
      </c>
      <c r="AF2022" s="122" t="n">
        <v>680</v>
      </c>
      <c r="AG2022" s="122" t="n">
        <v>479</v>
      </c>
      <c r="AH2022" s="122" t="n">
        <v>285</v>
      </c>
      <c r="AI2022" s="54">
        <f>IFERROR(AC2022/S2022,"")</f>
        <v/>
      </c>
      <c r="AJ2022" s="54">
        <f>IFERROR(AH2022/S2022,"")</f>
        <v/>
      </c>
      <c r="AK2022" s="122" t="n">
        <v>41</v>
      </c>
      <c r="AL2022" s="122" t="n">
        <v>0</v>
      </c>
      <c r="AM2022" s="124">
        <f>IFERROR(AL2022/AA2022,"")</f>
        <v/>
      </c>
      <c r="AN2022" s="125">
        <f>IFERROR(R2022/AL2022,"")</f>
        <v/>
      </c>
      <c r="AO2022" s="122" t="n">
        <v>0</v>
      </c>
      <c r="AP2022" s="54">
        <f>IFERROR(AO2022/AL2022,"")</f>
        <v/>
      </c>
      <c r="AQ2022" s="125">
        <f>IFERROR(R2022/AO2022,"")</f>
        <v/>
      </c>
      <c r="AR2022" s="122" t="n">
        <v>0</v>
      </c>
      <c r="AS2022" s="122" t="n">
        <v>0</v>
      </c>
      <c r="AT2022" s="122">
        <f>AL2022+AR2022</f>
        <v/>
      </c>
      <c r="AU2022" s="125">
        <f>IFERROR(AO2022*Assumptions!$C$26*Assumptions!$C$27*INDEX(Assumptions!$C$18:$C$21,MATCH(H2022,Assumptions!$B$18:$B$21,0)),0)</f>
        <v/>
      </c>
    </row>
    <row r="2023">
      <c r="A2023" s="120" t="n">
        <v>46247</v>
      </c>
      <c r="B2023" s="66" t="inlineStr">
        <is>
          <t>Wk 33</t>
        </is>
      </c>
      <c r="C2023" s="66" t="inlineStr">
        <is>
          <t>Thu</t>
        </is>
      </c>
      <c r="D2023" s="66" t="inlineStr">
        <is>
          <t>Programmatic</t>
        </is>
      </c>
      <c r="E2023" s="66" t="inlineStr">
        <is>
          <t>DV360</t>
        </is>
      </c>
      <c r="F2023" s="66" t="inlineStr">
        <is>
          <t>LEP_ZA_AUG26_PROG_TD_VIDEO_OLV</t>
        </is>
      </c>
      <c r="G2023" s="66" t="inlineStr">
        <is>
          <t>Online Video / CTV</t>
        </is>
      </c>
      <c r="H2023" s="66" t="inlineStr">
        <is>
          <t>Range</t>
        </is>
      </c>
      <c r="I2023" s="66" t="inlineStr">
        <is>
          <t>Range Offer</t>
        </is>
      </c>
      <c r="J2023" s="66" t="inlineStr">
        <is>
          <t>PROG_OLV_PREROLL_AUTO</t>
        </is>
      </c>
      <c r="K2023" s="66" t="inlineStr">
        <is>
          <t>Contextual</t>
        </is>
      </c>
      <c r="L2023" s="66" t="inlineStr">
        <is>
          <t>PROG_OLV_20s_RangeFilm_v1</t>
        </is>
      </c>
      <c r="M2023" s="66" t="inlineStr">
        <is>
          <t>Video 16:9 Pre-roll</t>
        </is>
      </c>
      <c r="N2023" s="66" t="inlineStr">
        <is>
          <t>Meet the Lepas range</t>
        </is>
      </c>
      <c r="O2023" s="66" t="inlineStr">
        <is>
          <t>Auction - Fixed CPM</t>
        </is>
      </c>
      <c r="P2023" s="66" t="inlineStr">
        <is>
          <t>Completed Views + CPA</t>
        </is>
      </c>
      <c r="Q2023" s="66" t="inlineStr">
        <is>
          <t>https://www.lepas-sa.co.za/offers</t>
        </is>
      </c>
      <c r="R2023" s="121" t="n">
        <v>254.25</v>
      </c>
      <c r="S2023" s="122" t="n">
        <v>8797</v>
      </c>
      <c r="T2023" s="122" t="n">
        <v>5431</v>
      </c>
      <c r="U2023" s="123">
        <f>IFERROR(S2023/T2023,"")</f>
        <v/>
      </c>
      <c r="V2023" s="122" t="n">
        <v>15</v>
      </c>
      <c r="W2023" s="122" t="n">
        <v>11</v>
      </c>
      <c r="X2023" s="124">
        <f>IFERROR(W2023/S2023,"")</f>
        <v/>
      </c>
      <c r="Y2023" s="121">
        <f>IFERROR(R2023/W2023,"")</f>
        <v/>
      </c>
      <c r="Z2023" s="121">
        <f>IFERROR(R2023/S2023*1000,"")</f>
        <v/>
      </c>
      <c r="AA2023" s="122" t="n">
        <v>7</v>
      </c>
      <c r="AB2023" s="54">
        <f>IFERROR(AA2023/W2023,"")</f>
        <v/>
      </c>
      <c r="AC2023" s="122" t="n">
        <v>2497</v>
      </c>
      <c r="AD2023" s="122" t="n">
        <v>1183</v>
      </c>
      <c r="AE2023" s="122" t="n">
        <v>1341</v>
      </c>
      <c r="AF2023" s="122" t="n">
        <v>951</v>
      </c>
      <c r="AG2023" s="122" t="n">
        <v>629</v>
      </c>
      <c r="AH2023" s="122" t="n">
        <v>413</v>
      </c>
      <c r="AI2023" s="54">
        <f>IFERROR(AC2023/S2023,"")</f>
        <v/>
      </c>
      <c r="AJ2023" s="54">
        <f>IFERROR(AH2023/S2023,"")</f>
        <v/>
      </c>
      <c r="AK2023" s="122" t="n">
        <v>33</v>
      </c>
      <c r="AL2023" s="122" t="n">
        <v>0</v>
      </c>
      <c r="AM2023" s="124">
        <f>IFERROR(AL2023/AA2023,"")</f>
        <v/>
      </c>
      <c r="AN2023" s="125">
        <f>IFERROR(R2023/AL2023,"")</f>
        <v/>
      </c>
      <c r="AO2023" s="122" t="n">
        <v>0</v>
      </c>
      <c r="AP2023" s="54">
        <f>IFERROR(AO2023/AL2023,"")</f>
        <v/>
      </c>
      <c r="AQ2023" s="125">
        <f>IFERROR(R2023/AO2023,"")</f>
        <v/>
      </c>
      <c r="AR2023" s="122" t="n">
        <v>0</v>
      </c>
      <c r="AS2023" s="122" t="n">
        <v>0</v>
      </c>
      <c r="AT2023" s="122">
        <f>AL2023+AR2023</f>
        <v/>
      </c>
      <c r="AU2023" s="125">
        <f>IFERROR(AO2023*Assumptions!$C$26*Assumptions!$C$27*INDEX(Assumptions!$C$18:$C$21,MATCH(H2023,Assumptions!$B$18:$B$21,0)),0)</f>
        <v/>
      </c>
    </row>
    <row r="2024">
      <c r="A2024" s="120" t="n">
        <v>46248</v>
      </c>
      <c r="B2024" s="66" t="inlineStr">
        <is>
          <t>Wk 33</t>
        </is>
      </c>
      <c r="C2024" s="66" t="inlineStr">
        <is>
          <t>Fri</t>
        </is>
      </c>
      <c r="D2024" s="66" t="inlineStr">
        <is>
          <t>Programmatic</t>
        </is>
      </c>
      <c r="E2024" s="66" t="inlineStr">
        <is>
          <t>DV360</t>
        </is>
      </c>
      <c r="F2024" s="66" t="inlineStr">
        <is>
          <t>LEP_ZA_AUG26_PROG_TD_VIDEO_OLV</t>
        </is>
      </c>
      <c r="G2024" s="66" t="inlineStr">
        <is>
          <t>Online Video / CTV</t>
        </is>
      </c>
      <c r="H2024" s="66" t="inlineStr">
        <is>
          <t>Range</t>
        </is>
      </c>
      <c r="I2024" s="66" t="inlineStr">
        <is>
          <t>Range Offer</t>
        </is>
      </c>
      <c r="J2024" s="66" t="inlineStr">
        <is>
          <t>PROG_OLV_PREROLL_AUTO</t>
        </is>
      </c>
      <c r="K2024" s="66" t="inlineStr">
        <is>
          <t>Contextual</t>
        </is>
      </c>
      <c r="L2024" s="66" t="inlineStr">
        <is>
          <t>PROG_OLV_20s_RangeFilm_v1</t>
        </is>
      </c>
      <c r="M2024" s="66" t="inlineStr">
        <is>
          <t>Video 16:9 Pre-roll</t>
        </is>
      </c>
      <c r="N2024" s="66" t="inlineStr">
        <is>
          <t>Meet the Lepas range</t>
        </is>
      </c>
      <c r="O2024" s="66" t="inlineStr">
        <is>
          <t>Auction - Fixed CPM</t>
        </is>
      </c>
      <c r="P2024" s="66" t="inlineStr">
        <is>
          <t>Completed Views + CPA</t>
        </is>
      </c>
      <c r="Q2024" s="66" t="inlineStr">
        <is>
          <t>https://www.lepas-sa.co.za/offers</t>
        </is>
      </c>
      <c r="R2024" s="121" t="n">
        <v>204.14</v>
      </c>
      <c r="S2024" s="122" t="n">
        <v>7388</v>
      </c>
      <c r="T2024" s="122" t="n">
        <v>3297</v>
      </c>
      <c r="U2024" s="123">
        <f>IFERROR(S2024/T2024,"")</f>
        <v/>
      </c>
      <c r="V2024" s="122" t="n">
        <v>21</v>
      </c>
      <c r="W2024" s="122" t="n">
        <v>16</v>
      </c>
      <c r="X2024" s="124">
        <f>IFERROR(W2024/S2024,"")</f>
        <v/>
      </c>
      <c r="Y2024" s="121">
        <f>IFERROR(R2024/W2024,"")</f>
        <v/>
      </c>
      <c r="Z2024" s="121">
        <f>IFERROR(R2024/S2024*1000,"")</f>
        <v/>
      </c>
      <c r="AA2024" s="122" t="n">
        <v>11</v>
      </c>
      <c r="AB2024" s="54">
        <f>IFERROR(AA2024/W2024,"")</f>
        <v/>
      </c>
      <c r="AC2024" s="122" t="n">
        <v>2876</v>
      </c>
      <c r="AD2024" s="122" t="n">
        <v>1778</v>
      </c>
      <c r="AE2024" s="122" t="n">
        <v>1045</v>
      </c>
      <c r="AF2024" s="122" t="n">
        <v>711</v>
      </c>
      <c r="AG2024" s="122" t="n">
        <v>451</v>
      </c>
      <c r="AH2024" s="122" t="n">
        <v>278</v>
      </c>
      <c r="AI2024" s="54">
        <f>IFERROR(AC2024/S2024,"")</f>
        <v/>
      </c>
      <c r="AJ2024" s="54">
        <f>IFERROR(AH2024/S2024,"")</f>
        <v/>
      </c>
      <c r="AK2024" s="122" t="n">
        <v>31</v>
      </c>
      <c r="AL2024" s="122" t="n">
        <v>1</v>
      </c>
      <c r="AM2024" s="124">
        <f>IFERROR(AL2024/AA2024,"")</f>
        <v/>
      </c>
      <c r="AN2024" s="125">
        <f>IFERROR(R2024/AL2024,"")</f>
        <v/>
      </c>
      <c r="AO2024" s="122" t="n">
        <v>1</v>
      </c>
      <c r="AP2024" s="54">
        <f>IFERROR(AO2024/AL2024,"")</f>
        <v/>
      </c>
      <c r="AQ2024" s="125">
        <f>IFERROR(R2024/AO2024,"")</f>
        <v/>
      </c>
      <c r="AR2024" s="122" t="n">
        <v>2</v>
      </c>
      <c r="AS2024" s="122" t="n">
        <v>1</v>
      </c>
      <c r="AT2024" s="122">
        <f>AL2024+AR2024</f>
        <v/>
      </c>
      <c r="AU2024" s="125">
        <f>IFERROR(AO2024*Assumptions!$C$26*Assumptions!$C$27*INDEX(Assumptions!$C$18:$C$21,MATCH(H2024,Assumptions!$B$18:$B$21,0)),0)</f>
        <v/>
      </c>
    </row>
    <row r="2025">
      <c r="A2025" s="120" t="n">
        <v>46249</v>
      </c>
      <c r="B2025" s="66" t="inlineStr">
        <is>
          <t>Wk 33</t>
        </is>
      </c>
      <c r="C2025" s="66" t="inlineStr">
        <is>
          <t>Sat</t>
        </is>
      </c>
      <c r="D2025" s="66" t="inlineStr">
        <is>
          <t>Programmatic</t>
        </is>
      </c>
      <c r="E2025" s="66" t="inlineStr">
        <is>
          <t>DV360</t>
        </is>
      </c>
      <c r="F2025" s="66" t="inlineStr">
        <is>
          <t>LEP_ZA_AUG26_PROG_TD_VIDEO_OLV</t>
        </is>
      </c>
      <c r="G2025" s="66" t="inlineStr">
        <is>
          <t>Online Video / CTV</t>
        </is>
      </c>
      <c r="H2025" s="66" t="inlineStr">
        <is>
          <t>Range</t>
        </is>
      </c>
      <c r="I2025" s="66" t="inlineStr">
        <is>
          <t>Range Offer</t>
        </is>
      </c>
      <c r="J2025" s="66" t="inlineStr">
        <is>
          <t>PROG_OLV_PREROLL_AUTO</t>
        </is>
      </c>
      <c r="K2025" s="66" t="inlineStr">
        <is>
          <t>Contextual</t>
        </is>
      </c>
      <c r="L2025" s="66" t="inlineStr">
        <is>
          <t>PROG_OLV_20s_RangeFilm_v1</t>
        </is>
      </c>
      <c r="M2025" s="66" t="inlineStr">
        <is>
          <t>Video 16:9 Pre-roll</t>
        </is>
      </c>
      <c r="N2025" s="66" t="inlineStr">
        <is>
          <t>Meet the Lepas range</t>
        </is>
      </c>
      <c r="O2025" s="66" t="inlineStr">
        <is>
          <t>Auction - Fixed CPM</t>
        </is>
      </c>
      <c r="P2025" s="66" t="inlineStr">
        <is>
          <t>Completed Views + CPA</t>
        </is>
      </c>
      <c r="Q2025" s="66" t="inlineStr">
        <is>
          <t>https://www.lepas-sa.co.za/offers</t>
        </is>
      </c>
      <c r="R2025" s="121" t="n">
        <v>215.1</v>
      </c>
      <c r="S2025" s="122" t="n">
        <v>9154</v>
      </c>
      <c r="T2025" s="122" t="n">
        <v>6293</v>
      </c>
      <c r="U2025" s="123">
        <f>IFERROR(S2025/T2025,"")</f>
        <v/>
      </c>
      <c r="V2025" s="122" t="n">
        <v>10</v>
      </c>
      <c r="W2025" s="122" t="n">
        <v>9</v>
      </c>
      <c r="X2025" s="124">
        <f>IFERROR(W2025/S2025,"")</f>
        <v/>
      </c>
      <c r="Y2025" s="121">
        <f>IFERROR(R2025/W2025,"")</f>
        <v/>
      </c>
      <c r="Z2025" s="121">
        <f>IFERROR(R2025/S2025*1000,"")</f>
        <v/>
      </c>
      <c r="AA2025" s="122" t="n">
        <v>5</v>
      </c>
      <c r="AB2025" s="54">
        <f>IFERROR(AA2025/W2025,"")</f>
        <v/>
      </c>
      <c r="AC2025" s="122" t="n">
        <v>2504</v>
      </c>
      <c r="AD2025" s="122" t="n">
        <v>1509</v>
      </c>
      <c r="AE2025" s="122" t="n">
        <v>1143</v>
      </c>
      <c r="AF2025" s="122" t="n">
        <v>686</v>
      </c>
      <c r="AG2025" s="122" t="n">
        <v>534</v>
      </c>
      <c r="AH2025" s="122" t="n">
        <v>340</v>
      </c>
      <c r="AI2025" s="54">
        <f>IFERROR(AC2025/S2025,"")</f>
        <v/>
      </c>
      <c r="AJ2025" s="54">
        <f>IFERROR(AH2025/S2025,"")</f>
        <v/>
      </c>
      <c r="AK2025" s="122" t="n">
        <v>41</v>
      </c>
      <c r="AL2025" s="122" t="n">
        <v>0</v>
      </c>
      <c r="AM2025" s="124">
        <f>IFERROR(AL2025/AA2025,"")</f>
        <v/>
      </c>
      <c r="AN2025" s="125">
        <f>IFERROR(R2025/AL2025,"")</f>
        <v/>
      </c>
      <c r="AO2025" s="122" t="n">
        <v>0</v>
      </c>
      <c r="AP2025" s="54">
        <f>IFERROR(AO2025/AL2025,"")</f>
        <v/>
      </c>
      <c r="AQ2025" s="125">
        <f>IFERROR(R2025/AO2025,"")</f>
        <v/>
      </c>
      <c r="AR2025" s="122" t="n">
        <v>0</v>
      </c>
      <c r="AS2025" s="122" t="n">
        <v>0</v>
      </c>
      <c r="AT2025" s="122">
        <f>AL2025+AR2025</f>
        <v/>
      </c>
      <c r="AU2025" s="125">
        <f>IFERROR(AO2025*Assumptions!$C$26*Assumptions!$C$27*INDEX(Assumptions!$C$18:$C$21,MATCH(H2025,Assumptions!$B$18:$B$21,0)),0)</f>
        <v/>
      </c>
    </row>
    <row r="2026">
      <c r="A2026" s="120" t="n">
        <v>46250</v>
      </c>
      <c r="B2026" s="66" t="inlineStr">
        <is>
          <t>Wk 33</t>
        </is>
      </c>
      <c r="C2026" s="66" t="inlineStr">
        <is>
          <t>Sun</t>
        </is>
      </c>
      <c r="D2026" s="66" t="inlineStr">
        <is>
          <t>Programmatic</t>
        </is>
      </c>
      <c r="E2026" s="66" t="inlineStr">
        <is>
          <t>DV360</t>
        </is>
      </c>
      <c r="F2026" s="66" t="inlineStr">
        <is>
          <t>LEP_ZA_AUG26_PROG_TD_VIDEO_OLV</t>
        </is>
      </c>
      <c r="G2026" s="66" t="inlineStr">
        <is>
          <t>Online Video / CTV</t>
        </is>
      </c>
      <c r="H2026" s="66" t="inlineStr">
        <is>
          <t>Range</t>
        </is>
      </c>
      <c r="I2026" s="66" t="inlineStr">
        <is>
          <t>Range Offer</t>
        </is>
      </c>
      <c r="J2026" s="66" t="inlineStr">
        <is>
          <t>PROG_OLV_PREROLL_AUTO</t>
        </is>
      </c>
      <c r="K2026" s="66" t="inlineStr">
        <is>
          <t>Contextual</t>
        </is>
      </c>
      <c r="L2026" s="66" t="inlineStr">
        <is>
          <t>PROG_OLV_20s_RangeFilm_v1</t>
        </is>
      </c>
      <c r="M2026" s="66" t="inlineStr">
        <is>
          <t>Video 16:9 Pre-roll</t>
        </is>
      </c>
      <c r="N2026" s="66" t="inlineStr">
        <is>
          <t>Meet the Lepas range</t>
        </is>
      </c>
      <c r="O2026" s="66" t="inlineStr">
        <is>
          <t>Auction - Fixed CPM</t>
        </is>
      </c>
      <c r="P2026" s="66" t="inlineStr">
        <is>
          <t>Completed Views + CPA</t>
        </is>
      </c>
      <c r="Q2026" s="66" t="inlineStr">
        <is>
          <t>https://www.lepas-sa.co.za/offers</t>
        </is>
      </c>
      <c r="R2026" s="121" t="n">
        <v>192.45</v>
      </c>
      <c r="S2026" s="122" t="n">
        <v>6986</v>
      </c>
      <c r="T2026" s="122" t="n">
        <v>3576</v>
      </c>
      <c r="U2026" s="123">
        <f>IFERROR(S2026/T2026,"")</f>
        <v/>
      </c>
      <c r="V2026" s="122" t="n">
        <v>16</v>
      </c>
      <c r="W2026" s="122" t="n">
        <v>12</v>
      </c>
      <c r="X2026" s="124">
        <f>IFERROR(W2026/S2026,"")</f>
        <v/>
      </c>
      <c r="Y2026" s="121">
        <f>IFERROR(R2026/W2026,"")</f>
        <v/>
      </c>
      <c r="Z2026" s="121">
        <f>IFERROR(R2026/S2026*1000,"")</f>
        <v/>
      </c>
      <c r="AA2026" s="122" t="n">
        <v>8</v>
      </c>
      <c r="AB2026" s="54">
        <f>IFERROR(AA2026/W2026,"")</f>
        <v/>
      </c>
      <c r="AC2026" s="122" t="n">
        <v>2531</v>
      </c>
      <c r="AD2026" s="122" t="n">
        <v>1220</v>
      </c>
      <c r="AE2026" s="122" t="n">
        <v>942</v>
      </c>
      <c r="AF2026" s="122" t="n">
        <v>568</v>
      </c>
      <c r="AG2026" s="122" t="n">
        <v>415</v>
      </c>
      <c r="AH2026" s="122" t="n">
        <v>253</v>
      </c>
      <c r="AI2026" s="54">
        <f>IFERROR(AC2026/S2026,"")</f>
        <v/>
      </c>
      <c r="AJ2026" s="54">
        <f>IFERROR(AH2026/S2026,"")</f>
        <v/>
      </c>
      <c r="AK2026" s="122" t="n">
        <v>18</v>
      </c>
      <c r="AL2026" s="122" t="n">
        <v>0</v>
      </c>
      <c r="AM2026" s="124">
        <f>IFERROR(AL2026/AA2026,"")</f>
        <v/>
      </c>
      <c r="AN2026" s="125">
        <f>IFERROR(R2026/AL2026,"")</f>
        <v/>
      </c>
      <c r="AO2026" s="122" t="n">
        <v>0</v>
      </c>
      <c r="AP2026" s="54">
        <f>IFERROR(AO2026/AL2026,"")</f>
        <v/>
      </c>
      <c r="AQ2026" s="125">
        <f>IFERROR(R2026/AO2026,"")</f>
        <v/>
      </c>
      <c r="AR2026" s="122" t="n">
        <v>0</v>
      </c>
      <c r="AS2026" s="122" t="n">
        <v>0</v>
      </c>
      <c r="AT2026" s="122">
        <f>AL2026+AR2026</f>
        <v/>
      </c>
      <c r="AU2026" s="125">
        <f>IFERROR(AO2026*Assumptions!$C$26*Assumptions!$C$27*INDEX(Assumptions!$C$18:$C$21,MATCH(H2026,Assumptions!$B$18:$B$21,0)),0)</f>
        <v/>
      </c>
    </row>
    <row r="2027">
      <c r="A2027" s="120" t="n">
        <v>46251</v>
      </c>
      <c r="B2027" s="66" t="inlineStr">
        <is>
          <t>Wk 34</t>
        </is>
      </c>
      <c r="C2027" s="66" t="inlineStr">
        <is>
          <t>Mon</t>
        </is>
      </c>
      <c r="D2027" s="66" t="inlineStr">
        <is>
          <t>Programmatic</t>
        </is>
      </c>
      <c r="E2027" s="66" t="inlineStr">
        <is>
          <t>DV360</t>
        </is>
      </c>
      <c r="F2027" s="66" t="inlineStr">
        <is>
          <t>LEP_ZA_AUG26_PROG_TD_VIDEO_OLV</t>
        </is>
      </c>
      <c r="G2027" s="66" t="inlineStr">
        <is>
          <t>Online Video / CTV</t>
        </is>
      </c>
      <c r="H2027" s="66" t="inlineStr">
        <is>
          <t>Range</t>
        </is>
      </c>
      <c r="I2027" s="66" t="inlineStr">
        <is>
          <t>Range Offer</t>
        </is>
      </c>
      <c r="J2027" s="66" t="inlineStr">
        <is>
          <t>PROG_OLV_PREROLL_AUTO</t>
        </is>
      </c>
      <c r="K2027" s="66" t="inlineStr">
        <is>
          <t>Contextual</t>
        </is>
      </c>
      <c r="L2027" s="66" t="inlineStr">
        <is>
          <t>PROG_OLV_20s_RangeFilm_v1</t>
        </is>
      </c>
      <c r="M2027" s="66" t="inlineStr">
        <is>
          <t>Video 16:9 Pre-roll</t>
        </is>
      </c>
      <c r="N2027" s="66" t="inlineStr">
        <is>
          <t>Meet the Lepas range</t>
        </is>
      </c>
      <c r="O2027" s="66" t="inlineStr">
        <is>
          <t>Auction - Fixed CPM</t>
        </is>
      </c>
      <c r="P2027" s="66" t="inlineStr">
        <is>
          <t>Completed Views + CPA</t>
        </is>
      </c>
      <c r="Q2027" s="66" t="inlineStr">
        <is>
          <t>https://www.lepas-sa.co.za/offers</t>
        </is>
      </c>
      <c r="R2027" s="121" t="n">
        <v>183.7</v>
      </c>
      <c r="S2027" s="122" t="n">
        <v>8014</v>
      </c>
      <c r="T2027" s="122" t="n">
        <v>3616</v>
      </c>
      <c r="U2027" s="123">
        <f>IFERROR(S2027/T2027,"")</f>
        <v/>
      </c>
      <c r="V2027" s="122" t="n">
        <v>20</v>
      </c>
      <c r="W2027" s="122" t="n">
        <v>16</v>
      </c>
      <c r="X2027" s="124">
        <f>IFERROR(W2027/S2027,"")</f>
        <v/>
      </c>
      <c r="Y2027" s="121">
        <f>IFERROR(R2027/W2027,"")</f>
        <v/>
      </c>
      <c r="Z2027" s="121">
        <f>IFERROR(R2027/S2027*1000,"")</f>
        <v/>
      </c>
      <c r="AA2027" s="122" t="n">
        <v>11</v>
      </c>
      <c r="AB2027" s="54">
        <f>IFERROR(AA2027/W2027,"")</f>
        <v/>
      </c>
      <c r="AC2027" s="122" t="n">
        <v>2047</v>
      </c>
      <c r="AD2027" s="122" t="n">
        <v>1033</v>
      </c>
      <c r="AE2027" s="122" t="n">
        <v>874</v>
      </c>
      <c r="AF2027" s="122" t="n">
        <v>500</v>
      </c>
      <c r="AG2027" s="122" t="n">
        <v>327</v>
      </c>
      <c r="AH2027" s="122" t="n">
        <v>181</v>
      </c>
      <c r="AI2027" s="54">
        <f>IFERROR(AC2027/S2027,"")</f>
        <v/>
      </c>
      <c r="AJ2027" s="54">
        <f>IFERROR(AH2027/S2027,"")</f>
        <v/>
      </c>
      <c r="AK2027" s="122" t="n">
        <v>16</v>
      </c>
      <c r="AL2027" s="122" t="n">
        <v>0</v>
      </c>
      <c r="AM2027" s="124">
        <f>IFERROR(AL2027/AA2027,"")</f>
        <v/>
      </c>
      <c r="AN2027" s="125">
        <f>IFERROR(R2027/AL2027,"")</f>
        <v/>
      </c>
      <c r="AO2027" s="122" t="n">
        <v>0</v>
      </c>
      <c r="AP2027" s="54">
        <f>IFERROR(AO2027/AL2027,"")</f>
        <v/>
      </c>
      <c r="AQ2027" s="125">
        <f>IFERROR(R2027/AO2027,"")</f>
        <v/>
      </c>
      <c r="AR2027" s="122" t="n">
        <v>0</v>
      </c>
      <c r="AS2027" s="122" t="n">
        <v>0</v>
      </c>
      <c r="AT2027" s="122">
        <f>AL2027+AR2027</f>
        <v/>
      </c>
      <c r="AU2027" s="125">
        <f>IFERROR(AO2027*Assumptions!$C$26*Assumptions!$C$27*INDEX(Assumptions!$C$18:$C$21,MATCH(H2027,Assumptions!$B$18:$B$21,0)),0)</f>
        <v/>
      </c>
    </row>
    <row r="2028">
      <c r="A2028" s="120" t="n">
        <v>46252</v>
      </c>
      <c r="B2028" s="66" t="inlineStr">
        <is>
          <t>Wk 34</t>
        </is>
      </c>
      <c r="C2028" s="66" t="inlineStr">
        <is>
          <t>Tue</t>
        </is>
      </c>
      <c r="D2028" s="66" t="inlineStr">
        <is>
          <t>Programmatic</t>
        </is>
      </c>
      <c r="E2028" s="66" t="inlineStr">
        <is>
          <t>DV360</t>
        </is>
      </c>
      <c r="F2028" s="66" t="inlineStr">
        <is>
          <t>LEP_ZA_AUG26_PROG_TD_VIDEO_OLV</t>
        </is>
      </c>
      <c r="G2028" s="66" t="inlineStr">
        <is>
          <t>Online Video / CTV</t>
        </is>
      </c>
      <c r="H2028" s="66" t="inlineStr">
        <is>
          <t>Range</t>
        </is>
      </c>
      <c r="I2028" s="66" t="inlineStr">
        <is>
          <t>Range Offer</t>
        </is>
      </c>
      <c r="J2028" s="66" t="inlineStr">
        <is>
          <t>PROG_OLV_PREROLL_AUTO</t>
        </is>
      </c>
      <c r="K2028" s="66" t="inlineStr">
        <is>
          <t>Contextual</t>
        </is>
      </c>
      <c r="L2028" s="66" t="inlineStr">
        <is>
          <t>PROG_OLV_20s_RangeFilm_v1</t>
        </is>
      </c>
      <c r="M2028" s="66" t="inlineStr">
        <is>
          <t>Video 16:9 Pre-roll</t>
        </is>
      </c>
      <c r="N2028" s="66" t="inlineStr">
        <is>
          <t>Meet the Lepas range</t>
        </is>
      </c>
      <c r="O2028" s="66" t="inlineStr">
        <is>
          <t>Auction - Fixed CPM</t>
        </is>
      </c>
      <c r="P2028" s="66" t="inlineStr">
        <is>
          <t>Completed Views + CPA</t>
        </is>
      </c>
      <c r="Q2028" s="66" t="inlineStr">
        <is>
          <t>https://www.lepas-sa.co.za/offers</t>
        </is>
      </c>
      <c r="R2028" s="121" t="n">
        <v>175.73</v>
      </c>
      <c r="S2028" s="122" t="n">
        <v>6726</v>
      </c>
      <c r="T2028" s="122" t="n">
        <v>3059</v>
      </c>
      <c r="U2028" s="123">
        <f>IFERROR(S2028/T2028,"")</f>
        <v/>
      </c>
      <c r="V2028" s="122" t="n">
        <v>9</v>
      </c>
      <c r="W2028" s="122" t="n">
        <v>7</v>
      </c>
      <c r="X2028" s="124">
        <f>IFERROR(W2028/S2028,"")</f>
        <v/>
      </c>
      <c r="Y2028" s="121">
        <f>IFERROR(R2028/W2028,"")</f>
        <v/>
      </c>
      <c r="Z2028" s="121">
        <f>IFERROR(R2028/S2028*1000,"")</f>
        <v/>
      </c>
      <c r="AA2028" s="122" t="n">
        <v>5</v>
      </c>
      <c r="AB2028" s="54">
        <f>IFERROR(AA2028/W2028,"")</f>
        <v/>
      </c>
      <c r="AC2028" s="122" t="n">
        <v>1725</v>
      </c>
      <c r="AD2028" s="122" t="n">
        <v>929</v>
      </c>
      <c r="AE2028" s="122" t="n">
        <v>705</v>
      </c>
      <c r="AF2028" s="122" t="n">
        <v>375</v>
      </c>
      <c r="AG2028" s="122" t="n">
        <v>270</v>
      </c>
      <c r="AH2028" s="122" t="n">
        <v>155</v>
      </c>
      <c r="AI2028" s="54">
        <f>IFERROR(AC2028/S2028,"")</f>
        <v/>
      </c>
      <c r="AJ2028" s="54">
        <f>IFERROR(AH2028/S2028,"")</f>
        <v/>
      </c>
      <c r="AK2028" s="122" t="n">
        <v>18</v>
      </c>
      <c r="AL2028" s="122" t="n">
        <v>0</v>
      </c>
      <c r="AM2028" s="124">
        <f>IFERROR(AL2028/AA2028,"")</f>
        <v/>
      </c>
      <c r="AN2028" s="125">
        <f>IFERROR(R2028/AL2028,"")</f>
        <v/>
      </c>
      <c r="AO2028" s="122" t="n">
        <v>0</v>
      </c>
      <c r="AP2028" s="54">
        <f>IFERROR(AO2028/AL2028,"")</f>
        <v/>
      </c>
      <c r="AQ2028" s="125">
        <f>IFERROR(R2028/AO2028,"")</f>
        <v/>
      </c>
      <c r="AR2028" s="122" t="n">
        <v>0</v>
      </c>
      <c r="AS2028" s="122" t="n">
        <v>0</v>
      </c>
      <c r="AT2028" s="122">
        <f>AL2028+AR2028</f>
        <v/>
      </c>
      <c r="AU2028" s="125">
        <f>IFERROR(AO2028*Assumptions!$C$26*Assumptions!$C$27*INDEX(Assumptions!$C$18:$C$21,MATCH(H2028,Assumptions!$B$18:$B$21,0)),0)</f>
        <v/>
      </c>
    </row>
    <row r="2029">
      <c r="A2029" s="120" t="n">
        <v>46253</v>
      </c>
      <c r="B2029" s="66" t="inlineStr">
        <is>
          <t>Wk 34</t>
        </is>
      </c>
      <c r="C2029" s="66" t="inlineStr">
        <is>
          <t>Wed</t>
        </is>
      </c>
      <c r="D2029" s="66" t="inlineStr">
        <is>
          <t>Programmatic</t>
        </is>
      </c>
      <c r="E2029" s="66" t="inlineStr">
        <is>
          <t>DV360</t>
        </is>
      </c>
      <c r="F2029" s="66" t="inlineStr">
        <is>
          <t>LEP_ZA_AUG26_PROG_TD_VIDEO_OLV</t>
        </is>
      </c>
      <c r="G2029" s="66" t="inlineStr">
        <is>
          <t>Online Video / CTV</t>
        </is>
      </c>
      <c r="H2029" s="66" t="inlineStr">
        <is>
          <t>Range</t>
        </is>
      </c>
      <c r="I2029" s="66" t="inlineStr">
        <is>
          <t>Range Offer</t>
        </is>
      </c>
      <c r="J2029" s="66" t="inlineStr">
        <is>
          <t>PROG_OLV_PREROLL_AUTO</t>
        </is>
      </c>
      <c r="K2029" s="66" t="inlineStr">
        <is>
          <t>Contextual</t>
        </is>
      </c>
      <c r="L2029" s="66" t="inlineStr">
        <is>
          <t>PROG_OLV_20s_RangeFilm_v1</t>
        </is>
      </c>
      <c r="M2029" s="66" t="inlineStr">
        <is>
          <t>Video 16:9 Pre-roll</t>
        </is>
      </c>
      <c r="N2029" s="66" t="inlineStr">
        <is>
          <t>Meet the Lepas range</t>
        </is>
      </c>
      <c r="O2029" s="66" t="inlineStr">
        <is>
          <t>Auction - Fixed CPM</t>
        </is>
      </c>
      <c r="P2029" s="66" t="inlineStr">
        <is>
          <t>Completed Views + CPA</t>
        </is>
      </c>
      <c r="Q2029" s="66" t="inlineStr">
        <is>
          <t>https://www.lepas-sa.co.za/offers</t>
        </is>
      </c>
      <c r="R2029" s="121" t="n">
        <v>219.68</v>
      </c>
      <c r="S2029" s="122" t="n">
        <v>9195</v>
      </c>
      <c r="T2029" s="122" t="n">
        <v>5417</v>
      </c>
      <c r="U2029" s="123">
        <f>IFERROR(S2029/T2029,"")</f>
        <v/>
      </c>
      <c r="V2029" s="122" t="n">
        <v>14</v>
      </c>
      <c r="W2029" s="122" t="n">
        <v>10</v>
      </c>
      <c r="X2029" s="124">
        <f>IFERROR(W2029/S2029,"")</f>
        <v/>
      </c>
      <c r="Y2029" s="121">
        <f>IFERROR(R2029/W2029,"")</f>
        <v/>
      </c>
      <c r="Z2029" s="121">
        <f>IFERROR(R2029/S2029*1000,"")</f>
        <v/>
      </c>
      <c r="AA2029" s="122" t="n">
        <v>7</v>
      </c>
      <c r="AB2029" s="54">
        <f>IFERROR(AA2029/W2029,"")</f>
        <v/>
      </c>
      <c r="AC2029" s="122" t="n">
        <v>3426</v>
      </c>
      <c r="AD2029" s="122" t="n">
        <v>1529</v>
      </c>
      <c r="AE2029" s="122" t="n">
        <v>1879</v>
      </c>
      <c r="AF2029" s="122" t="n">
        <v>1152</v>
      </c>
      <c r="AG2029" s="122" t="n">
        <v>832</v>
      </c>
      <c r="AH2029" s="122" t="n">
        <v>473</v>
      </c>
      <c r="AI2029" s="54">
        <f>IFERROR(AC2029/S2029,"")</f>
        <v/>
      </c>
      <c r="AJ2029" s="54">
        <f>IFERROR(AH2029/S2029,"")</f>
        <v/>
      </c>
      <c r="AK2029" s="122" t="n">
        <v>48</v>
      </c>
      <c r="AL2029" s="122" t="n">
        <v>0</v>
      </c>
      <c r="AM2029" s="124">
        <f>IFERROR(AL2029/AA2029,"")</f>
        <v/>
      </c>
      <c r="AN2029" s="125">
        <f>IFERROR(R2029/AL2029,"")</f>
        <v/>
      </c>
      <c r="AO2029" s="122" t="n">
        <v>0</v>
      </c>
      <c r="AP2029" s="54">
        <f>IFERROR(AO2029/AL2029,"")</f>
        <v/>
      </c>
      <c r="AQ2029" s="125">
        <f>IFERROR(R2029/AO2029,"")</f>
        <v/>
      </c>
      <c r="AR2029" s="122" t="n">
        <v>0</v>
      </c>
      <c r="AS2029" s="122" t="n">
        <v>0</v>
      </c>
      <c r="AT2029" s="122">
        <f>AL2029+AR2029</f>
        <v/>
      </c>
      <c r="AU2029" s="125">
        <f>IFERROR(AO2029*Assumptions!$C$26*Assumptions!$C$27*INDEX(Assumptions!$C$18:$C$21,MATCH(H2029,Assumptions!$B$18:$B$21,0)),0)</f>
        <v/>
      </c>
    </row>
    <row r="2030">
      <c r="A2030" s="120" t="n">
        <v>46254</v>
      </c>
      <c r="B2030" s="66" t="inlineStr">
        <is>
          <t>Wk 34</t>
        </is>
      </c>
      <c r="C2030" s="66" t="inlineStr">
        <is>
          <t>Thu</t>
        </is>
      </c>
      <c r="D2030" s="66" t="inlineStr">
        <is>
          <t>Programmatic</t>
        </is>
      </c>
      <c r="E2030" s="66" t="inlineStr">
        <is>
          <t>DV360</t>
        </is>
      </c>
      <c r="F2030" s="66" t="inlineStr">
        <is>
          <t>LEP_ZA_AUG26_PROG_TD_VIDEO_OLV</t>
        </is>
      </c>
      <c r="G2030" s="66" t="inlineStr">
        <is>
          <t>Online Video / CTV</t>
        </is>
      </c>
      <c r="H2030" s="66" t="inlineStr">
        <is>
          <t>Range</t>
        </is>
      </c>
      <c r="I2030" s="66" t="inlineStr">
        <is>
          <t>Range Offer</t>
        </is>
      </c>
      <c r="J2030" s="66" t="inlineStr">
        <is>
          <t>PROG_OLV_PREROLL_AUTO</t>
        </is>
      </c>
      <c r="K2030" s="66" t="inlineStr">
        <is>
          <t>Contextual</t>
        </is>
      </c>
      <c r="L2030" s="66" t="inlineStr">
        <is>
          <t>PROG_OLV_20s_RangeFilm_v1</t>
        </is>
      </c>
      <c r="M2030" s="66" t="inlineStr">
        <is>
          <t>Video 16:9 Pre-roll</t>
        </is>
      </c>
      <c r="N2030" s="66" t="inlineStr">
        <is>
          <t>Meet the Lepas range</t>
        </is>
      </c>
      <c r="O2030" s="66" t="inlineStr">
        <is>
          <t>Auction - Fixed CPM</t>
        </is>
      </c>
      <c r="P2030" s="66" t="inlineStr">
        <is>
          <t>Completed Views + CPA</t>
        </is>
      </c>
      <c r="Q2030" s="66" t="inlineStr">
        <is>
          <t>https://www.lepas-sa.co.za/offers</t>
        </is>
      </c>
      <c r="R2030" s="121" t="n">
        <v>246.32</v>
      </c>
      <c r="S2030" s="122" t="n">
        <v>8004</v>
      </c>
      <c r="T2030" s="122" t="n">
        <v>4918</v>
      </c>
      <c r="U2030" s="123">
        <f>IFERROR(S2030/T2030,"")</f>
        <v/>
      </c>
      <c r="V2030" s="122" t="n">
        <v>19</v>
      </c>
      <c r="W2030" s="122" t="n">
        <v>14</v>
      </c>
      <c r="X2030" s="124">
        <f>IFERROR(W2030/S2030,"")</f>
        <v/>
      </c>
      <c r="Y2030" s="121">
        <f>IFERROR(R2030/W2030,"")</f>
        <v/>
      </c>
      <c r="Z2030" s="121">
        <f>IFERROR(R2030/S2030*1000,"")</f>
        <v/>
      </c>
      <c r="AA2030" s="122" t="n">
        <v>9</v>
      </c>
      <c r="AB2030" s="54">
        <f>IFERROR(AA2030/W2030,"")</f>
        <v/>
      </c>
      <c r="AC2030" s="122" t="n">
        <v>2237</v>
      </c>
      <c r="AD2030" s="122" t="n">
        <v>1122</v>
      </c>
      <c r="AE2030" s="122" t="n">
        <v>1135</v>
      </c>
      <c r="AF2030" s="122" t="n">
        <v>771</v>
      </c>
      <c r="AG2030" s="122" t="n">
        <v>564</v>
      </c>
      <c r="AH2030" s="122" t="n">
        <v>320</v>
      </c>
      <c r="AI2030" s="54">
        <f>IFERROR(AC2030/S2030,"")</f>
        <v/>
      </c>
      <c r="AJ2030" s="54">
        <f>IFERROR(AH2030/S2030,"")</f>
        <v/>
      </c>
      <c r="AK2030" s="122" t="n">
        <v>15</v>
      </c>
      <c r="AL2030" s="122" t="n">
        <v>0</v>
      </c>
      <c r="AM2030" s="124">
        <f>IFERROR(AL2030/AA2030,"")</f>
        <v/>
      </c>
      <c r="AN2030" s="125">
        <f>IFERROR(R2030/AL2030,"")</f>
        <v/>
      </c>
      <c r="AO2030" s="122" t="n">
        <v>0</v>
      </c>
      <c r="AP2030" s="54">
        <f>IFERROR(AO2030/AL2030,"")</f>
        <v/>
      </c>
      <c r="AQ2030" s="125">
        <f>IFERROR(R2030/AO2030,"")</f>
        <v/>
      </c>
      <c r="AR2030" s="122" t="n">
        <v>0</v>
      </c>
      <c r="AS2030" s="122" t="n">
        <v>0</v>
      </c>
      <c r="AT2030" s="122">
        <f>AL2030+AR2030</f>
        <v/>
      </c>
      <c r="AU2030" s="125">
        <f>IFERROR(AO2030*Assumptions!$C$26*Assumptions!$C$27*INDEX(Assumptions!$C$18:$C$21,MATCH(H2030,Assumptions!$B$18:$B$21,0)),0)</f>
        <v/>
      </c>
    </row>
    <row r="2031">
      <c r="A2031" s="120" t="n">
        <v>46255</v>
      </c>
      <c r="B2031" s="66" t="inlineStr">
        <is>
          <t>Wk 34</t>
        </is>
      </c>
      <c r="C2031" s="66" t="inlineStr">
        <is>
          <t>Fri</t>
        </is>
      </c>
      <c r="D2031" s="66" t="inlineStr">
        <is>
          <t>Programmatic</t>
        </is>
      </c>
      <c r="E2031" s="66" t="inlineStr">
        <is>
          <t>DV360</t>
        </is>
      </c>
      <c r="F2031" s="66" t="inlineStr">
        <is>
          <t>LEP_ZA_AUG26_PROG_TD_VIDEO_OLV</t>
        </is>
      </c>
      <c r="G2031" s="66" t="inlineStr">
        <is>
          <t>Online Video / CTV</t>
        </is>
      </c>
      <c r="H2031" s="66" t="inlineStr">
        <is>
          <t>Range</t>
        </is>
      </c>
      <c r="I2031" s="66" t="inlineStr">
        <is>
          <t>Range Offer</t>
        </is>
      </c>
      <c r="J2031" s="66" t="inlineStr">
        <is>
          <t>PROG_OLV_PREROLL_AUTO</t>
        </is>
      </c>
      <c r="K2031" s="66" t="inlineStr">
        <is>
          <t>Contextual</t>
        </is>
      </c>
      <c r="L2031" s="66" t="inlineStr">
        <is>
          <t>PROG_OLV_20s_RangeFilm_v1</t>
        </is>
      </c>
      <c r="M2031" s="66" t="inlineStr">
        <is>
          <t>Video 16:9 Pre-roll</t>
        </is>
      </c>
      <c r="N2031" s="66" t="inlineStr">
        <is>
          <t>Meet the Lepas range</t>
        </is>
      </c>
      <c r="O2031" s="66" t="inlineStr">
        <is>
          <t>Auction - Fixed CPM</t>
        </is>
      </c>
      <c r="P2031" s="66" t="inlineStr">
        <is>
          <t>Completed Views + CPA</t>
        </is>
      </c>
      <c r="Q2031" s="66" t="inlineStr">
        <is>
          <t>https://www.lepas-sa.co.za/offers</t>
        </is>
      </c>
      <c r="R2031" s="121" t="n">
        <v>266.55</v>
      </c>
      <c r="S2031" s="122" t="n">
        <v>17967</v>
      </c>
      <c r="T2031" s="122" t="n">
        <v>6745</v>
      </c>
      <c r="U2031" s="123">
        <f>IFERROR(S2031/T2031,"")</f>
        <v/>
      </c>
      <c r="V2031" s="122" t="n">
        <v>28</v>
      </c>
      <c r="W2031" s="122" t="n">
        <v>20</v>
      </c>
      <c r="X2031" s="124">
        <f>IFERROR(W2031/S2031,"")</f>
        <v/>
      </c>
      <c r="Y2031" s="121">
        <f>IFERROR(R2031/W2031,"")</f>
        <v/>
      </c>
      <c r="Z2031" s="121">
        <f>IFERROR(R2031/S2031*1000,"")</f>
        <v/>
      </c>
      <c r="AA2031" s="122" t="n">
        <v>14</v>
      </c>
      <c r="AB2031" s="54">
        <f>IFERROR(AA2031/W2031,"")</f>
        <v/>
      </c>
      <c r="AC2031" s="122" t="n">
        <v>5456</v>
      </c>
      <c r="AD2031" s="122" t="n">
        <v>2931</v>
      </c>
      <c r="AE2031" s="122" t="n">
        <v>2813</v>
      </c>
      <c r="AF2031" s="122" t="n">
        <v>1493</v>
      </c>
      <c r="AG2031" s="122" t="n">
        <v>1029</v>
      </c>
      <c r="AH2031" s="122" t="n">
        <v>603</v>
      </c>
      <c r="AI2031" s="54">
        <f>IFERROR(AC2031/S2031,"")</f>
        <v/>
      </c>
      <c r="AJ2031" s="54">
        <f>IFERROR(AH2031/S2031,"")</f>
        <v/>
      </c>
      <c r="AK2031" s="122" t="n">
        <v>92</v>
      </c>
      <c r="AL2031" s="122" t="n">
        <v>0</v>
      </c>
      <c r="AM2031" s="124">
        <f>IFERROR(AL2031/AA2031,"")</f>
        <v/>
      </c>
      <c r="AN2031" s="125">
        <f>IFERROR(R2031/AL2031,"")</f>
        <v/>
      </c>
      <c r="AO2031" s="122" t="n">
        <v>0</v>
      </c>
      <c r="AP2031" s="54">
        <f>IFERROR(AO2031/AL2031,"")</f>
        <v/>
      </c>
      <c r="AQ2031" s="125">
        <f>IFERROR(R2031/AO2031,"")</f>
        <v/>
      </c>
      <c r="AR2031" s="122" t="n">
        <v>0</v>
      </c>
      <c r="AS2031" s="122" t="n">
        <v>0</v>
      </c>
      <c r="AT2031" s="122">
        <f>AL2031+AR2031</f>
        <v/>
      </c>
      <c r="AU2031" s="125">
        <f>IFERROR(AO2031*Assumptions!$C$26*Assumptions!$C$27*INDEX(Assumptions!$C$18:$C$21,MATCH(H2031,Assumptions!$B$18:$B$21,0)),0)</f>
        <v/>
      </c>
    </row>
    <row r="2032">
      <c r="A2032" s="120" t="n">
        <v>46256</v>
      </c>
      <c r="B2032" s="66" t="inlineStr">
        <is>
          <t>Wk 34</t>
        </is>
      </c>
      <c r="C2032" s="66" t="inlineStr">
        <is>
          <t>Sat</t>
        </is>
      </c>
      <c r="D2032" s="66" t="inlineStr">
        <is>
          <t>Programmatic</t>
        </is>
      </c>
      <c r="E2032" s="66" t="inlineStr">
        <is>
          <t>DV360</t>
        </is>
      </c>
      <c r="F2032" s="66" t="inlineStr">
        <is>
          <t>LEP_ZA_AUG26_PROG_TD_VIDEO_OLV</t>
        </is>
      </c>
      <c r="G2032" s="66" t="inlineStr">
        <is>
          <t>Online Video / CTV</t>
        </is>
      </c>
      <c r="H2032" s="66" t="inlineStr">
        <is>
          <t>Range</t>
        </is>
      </c>
      <c r="I2032" s="66" t="inlineStr">
        <is>
          <t>Range Offer</t>
        </is>
      </c>
      <c r="J2032" s="66" t="inlineStr">
        <is>
          <t>PROG_OLV_PREROLL_AUTO</t>
        </is>
      </c>
      <c r="K2032" s="66" t="inlineStr">
        <is>
          <t>Contextual</t>
        </is>
      </c>
      <c r="L2032" s="66" t="inlineStr">
        <is>
          <t>PROG_OLV_20s_RangeFilm_v1</t>
        </is>
      </c>
      <c r="M2032" s="66" t="inlineStr">
        <is>
          <t>Video 16:9 Pre-roll</t>
        </is>
      </c>
      <c r="N2032" s="66" t="inlineStr">
        <is>
          <t>Meet the Lepas range</t>
        </is>
      </c>
      <c r="O2032" s="66" t="inlineStr">
        <is>
          <t>Auction - Fixed CPM</t>
        </is>
      </c>
      <c r="P2032" s="66" t="inlineStr">
        <is>
          <t>Completed Views + CPA</t>
        </is>
      </c>
      <c r="Q2032" s="66" t="inlineStr">
        <is>
          <t>https://www.lepas-sa.co.za/offers</t>
        </is>
      </c>
      <c r="R2032" s="121" t="n">
        <v>251.69</v>
      </c>
      <c r="S2032" s="122" t="n">
        <v>14553</v>
      </c>
      <c r="T2032" s="122" t="n">
        <v>5564</v>
      </c>
      <c r="U2032" s="123">
        <f>IFERROR(S2032/T2032,"")</f>
        <v/>
      </c>
      <c r="V2032" s="122" t="n">
        <v>13</v>
      </c>
      <c r="W2032" s="122" t="n">
        <v>9</v>
      </c>
      <c r="X2032" s="124">
        <f>IFERROR(W2032/S2032,"")</f>
        <v/>
      </c>
      <c r="Y2032" s="121">
        <f>IFERROR(R2032/W2032,"")</f>
        <v/>
      </c>
      <c r="Z2032" s="121">
        <f>IFERROR(R2032/S2032*1000,"")</f>
        <v/>
      </c>
      <c r="AA2032" s="122" t="n">
        <v>6</v>
      </c>
      <c r="AB2032" s="54">
        <f>IFERROR(AA2032/W2032,"")</f>
        <v/>
      </c>
      <c r="AC2032" s="122" t="n">
        <v>5588</v>
      </c>
      <c r="AD2032" s="122" t="n">
        <v>2812</v>
      </c>
      <c r="AE2032" s="122" t="n">
        <v>2215</v>
      </c>
      <c r="AF2032" s="122" t="n">
        <v>1507</v>
      </c>
      <c r="AG2032" s="122" t="n">
        <v>968</v>
      </c>
      <c r="AH2032" s="122" t="n">
        <v>636</v>
      </c>
      <c r="AI2032" s="54">
        <f>IFERROR(AC2032/S2032,"")</f>
        <v/>
      </c>
      <c r="AJ2032" s="54">
        <f>IFERROR(AH2032/S2032,"")</f>
        <v/>
      </c>
      <c r="AK2032" s="122" t="n">
        <v>71</v>
      </c>
      <c r="AL2032" s="122" t="n">
        <v>0</v>
      </c>
      <c r="AM2032" s="124">
        <f>IFERROR(AL2032/AA2032,"")</f>
        <v/>
      </c>
      <c r="AN2032" s="125">
        <f>IFERROR(R2032/AL2032,"")</f>
        <v/>
      </c>
      <c r="AO2032" s="122" t="n">
        <v>0</v>
      </c>
      <c r="AP2032" s="54">
        <f>IFERROR(AO2032/AL2032,"")</f>
        <v/>
      </c>
      <c r="AQ2032" s="125">
        <f>IFERROR(R2032/AO2032,"")</f>
        <v/>
      </c>
      <c r="AR2032" s="122" t="n">
        <v>0</v>
      </c>
      <c r="AS2032" s="122" t="n">
        <v>0</v>
      </c>
      <c r="AT2032" s="122">
        <f>AL2032+AR2032</f>
        <v/>
      </c>
      <c r="AU2032" s="125">
        <f>IFERROR(AO2032*Assumptions!$C$26*Assumptions!$C$27*INDEX(Assumptions!$C$18:$C$21,MATCH(H2032,Assumptions!$B$18:$B$21,0)),0)</f>
        <v/>
      </c>
    </row>
    <row r="2033">
      <c r="A2033" s="120" t="n">
        <v>46257</v>
      </c>
      <c r="B2033" s="66" t="inlineStr">
        <is>
          <t>Wk 34</t>
        </is>
      </c>
      <c r="C2033" s="66" t="inlineStr">
        <is>
          <t>Sun</t>
        </is>
      </c>
      <c r="D2033" s="66" t="inlineStr">
        <is>
          <t>Programmatic</t>
        </is>
      </c>
      <c r="E2033" s="66" t="inlineStr">
        <is>
          <t>DV360</t>
        </is>
      </c>
      <c r="F2033" s="66" t="inlineStr">
        <is>
          <t>LEP_ZA_AUG26_PROG_TD_VIDEO_OLV</t>
        </is>
      </c>
      <c r="G2033" s="66" t="inlineStr">
        <is>
          <t>Online Video / CTV</t>
        </is>
      </c>
      <c r="H2033" s="66" t="inlineStr">
        <is>
          <t>Range</t>
        </is>
      </c>
      <c r="I2033" s="66" t="inlineStr">
        <is>
          <t>Range Offer</t>
        </is>
      </c>
      <c r="J2033" s="66" t="inlineStr">
        <is>
          <t>PROG_OLV_PREROLL_AUTO</t>
        </is>
      </c>
      <c r="K2033" s="66" t="inlineStr">
        <is>
          <t>Contextual</t>
        </is>
      </c>
      <c r="L2033" s="66" t="inlineStr">
        <is>
          <t>PROG_OLV_20s_RangeFilm_v1</t>
        </is>
      </c>
      <c r="M2033" s="66" t="inlineStr">
        <is>
          <t>Video 16:9 Pre-roll</t>
        </is>
      </c>
      <c r="N2033" s="66" t="inlineStr">
        <is>
          <t>Meet the Lepas range</t>
        </is>
      </c>
      <c r="O2033" s="66" t="inlineStr">
        <is>
          <t>Auction - Fixed CPM</t>
        </is>
      </c>
      <c r="P2033" s="66" t="inlineStr">
        <is>
          <t>Completed Views + CPA</t>
        </is>
      </c>
      <c r="Q2033" s="66" t="inlineStr">
        <is>
          <t>https://www.lepas-sa.co.za/offers</t>
        </is>
      </c>
      <c r="R2033" s="121" t="n">
        <v>188.27</v>
      </c>
      <c r="S2033" s="122" t="n">
        <v>6922</v>
      </c>
      <c r="T2033" s="122" t="n">
        <v>2649</v>
      </c>
      <c r="U2033" s="123">
        <f>IFERROR(S2033/T2033,"")</f>
        <v/>
      </c>
      <c r="V2033" s="122" t="n">
        <v>4</v>
      </c>
      <c r="W2033" s="122" t="n">
        <v>3</v>
      </c>
      <c r="X2033" s="124">
        <f>IFERROR(W2033/S2033,"")</f>
        <v/>
      </c>
      <c r="Y2033" s="121">
        <f>IFERROR(R2033/W2033,"")</f>
        <v/>
      </c>
      <c r="Z2033" s="121">
        <f>IFERROR(R2033/S2033*1000,"")</f>
        <v/>
      </c>
      <c r="AA2033" s="122" t="n">
        <v>2</v>
      </c>
      <c r="AB2033" s="54">
        <f>IFERROR(AA2033/W2033,"")</f>
        <v/>
      </c>
      <c r="AC2033" s="122" t="n">
        <v>2559</v>
      </c>
      <c r="AD2033" s="122" t="n">
        <v>1261</v>
      </c>
      <c r="AE2033" s="122" t="n">
        <v>1259</v>
      </c>
      <c r="AF2033" s="122" t="n">
        <v>688</v>
      </c>
      <c r="AG2033" s="122" t="n">
        <v>472</v>
      </c>
      <c r="AH2033" s="122" t="n">
        <v>321</v>
      </c>
      <c r="AI2033" s="54">
        <f>IFERROR(AC2033/S2033,"")</f>
        <v/>
      </c>
      <c r="AJ2033" s="54">
        <f>IFERROR(AH2033/S2033,"")</f>
        <v/>
      </c>
      <c r="AK2033" s="122" t="n">
        <v>11</v>
      </c>
      <c r="AL2033" s="122" t="n">
        <v>0</v>
      </c>
      <c r="AM2033" s="124">
        <f>IFERROR(AL2033/AA2033,"")</f>
        <v/>
      </c>
      <c r="AN2033" s="125">
        <f>IFERROR(R2033/AL2033,"")</f>
        <v/>
      </c>
      <c r="AO2033" s="122" t="n">
        <v>0</v>
      </c>
      <c r="AP2033" s="54">
        <f>IFERROR(AO2033/AL2033,"")</f>
        <v/>
      </c>
      <c r="AQ2033" s="125">
        <f>IFERROR(R2033/AO2033,"")</f>
        <v/>
      </c>
      <c r="AR2033" s="122" t="n">
        <v>0</v>
      </c>
      <c r="AS2033" s="122" t="n">
        <v>0</v>
      </c>
      <c r="AT2033" s="122">
        <f>AL2033+AR2033</f>
        <v/>
      </c>
      <c r="AU2033" s="125">
        <f>IFERROR(AO2033*Assumptions!$C$26*Assumptions!$C$27*INDEX(Assumptions!$C$18:$C$21,MATCH(H2033,Assumptions!$B$18:$B$21,0)),0)</f>
        <v/>
      </c>
    </row>
    <row r="2034">
      <c r="A2034" s="120" t="n">
        <v>46258</v>
      </c>
      <c r="B2034" s="66" t="inlineStr">
        <is>
          <t>Wk 35</t>
        </is>
      </c>
      <c r="C2034" s="66" t="inlineStr">
        <is>
          <t>Mon</t>
        </is>
      </c>
      <c r="D2034" s="66" t="inlineStr">
        <is>
          <t>Programmatic</t>
        </is>
      </c>
      <c r="E2034" s="66" t="inlineStr">
        <is>
          <t>DV360</t>
        </is>
      </c>
      <c r="F2034" s="66" t="inlineStr">
        <is>
          <t>LEP_ZA_AUG26_PROG_TD_VIDEO_OLV</t>
        </is>
      </c>
      <c r="G2034" s="66" t="inlineStr">
        <is>
          <t>Online Video / CTV</t>
        </is>
      </c>
      <c r="H2034" s="66" t="inlineStr">
        <is>
          <t>Range</t>
        </is>
      </c>
      <c r="I2034" s="66" t="inlineStr">
        <is>
          <t>Range Offer</t>
        </is>
      </c>
      <c r="J2034" s="66" t="inlineStr">
        <is>
          <t>PROG_OLV_PREROLL_AUTO</t>
        </is>
      </c>
      <c r="K2034" s="66" t="inlineStr">
        <is>
          <t>Contextual</t>
        </is>
      </c>
      <c r="L2034" s="66" t="inlineStr">
        <is>
          <t>PROG_OLV_20s_RangeFilm_v1</t>
        </is>
      </c>
      <c r="M2034" s="66" t="inlineStr">
        <is>
          <t>Video 16:9 Pre-roll</t>
        </is>
      </c>
      <c r="N2034" s="66" t="inlineStr">
        <is>
          <t>Meet the Lepas range</t>
        </is>
      </c>
      <c r="O2034" s="66" t="inlineStr">
        <is>
          <t>Auction - Fixed CPM</t>
        </is>
      </c>
      <c r="P2034" s="66" t="inlineStr">
        <is>
          <t>Completed Views + CPA</t>
        </is>
      </c>
      <c r="Q2034" s="66" t="inlineStr">
        <is>
          <t>https://www.lepas-sa.co.za/offers</t>
        </is>
      </c>
      <c r="R2034" s="121" t="n">
        <v>212.22</v>
      </c>
      <c r="S2034" s="122" t="n">
        <v>9687</v>
      </c>
      <c r="T2034" s="122" t="n">
        <v>3391</v>
      </c>
      <c r="U2034" s="123">
        <f>IFERROR(S2034/T2034,"")</f>
        <v/>
      </c>
      <c r="V2034" s="122" t="n">
        <v>10</v>
      </c>
      <c r="W2034" s="122" t="n">
        <v>7</v>
      </c>
      <c r="X2034" s="124">
        <f>IFERROR(W2034/S2034,"")</f>
        <v/>
      </c>
      <c r="Y2034" s="121">
        <f>IFERROR(R2034/W2034,"")</f>
        <v/>
      </c>
      <c r="Z2034" s="121">
        <f>IFERROR(R2034/S2034*1000,"")</f>
        <v/>
      </c>
      <c r="AA2034" s="122" t="n">
        <v>4</v>
      </c>
      <c r="AB2034" s="54">
        <f>IFERROR(AA2034/W2034,"")</f>
        <v/>
      </c>
      <c r="AC2034" s="122" t="n">
        <v>2395</v>
      </c>
      <c r="AD2034" s="122" t="n">
        <v>1422</v>
      </c>
      <c r="AE2034" s="122" t="n">
        <v>984</v>
      </c>
      <c r="AF2034" s="122" t="n">
        <v>648</v>
      </c>
      <c r="AG2034" s="122" t="n">
        <v>486</v>
      </c>
      <c r="AH2034" s="122" t="n">
        <v>310</v>
      </c>
      <c r="AI2034" s="54">
        <f>IFERROR(AC2034/S2034,"")</f>
        <v/>
      </c>
      <c r="AJ2034" s="54">
        <f>IFERROR(AH2034/S2034,"")</f>
        <v/>
      </c>
      <c r="AK2034" s="122" t="n">
        <v>42</v>
      </c>
      <c r="AL2034" s="122" t="n">
        <v>0</v>
      </c>
      <c r="AM2034" s="124">
        <f>IFERROR(AL2034/AA2034,"")</f>
        <v/>
      </c>
      <c r="AN2034" s="125">
        <f>IFERROR(R2034/AL2034,"")</f>
        <v/>
      </c>
      <c r="AO2034" s="122" t="n">
        <v>0</v>
      </c>
      <c r="AP2034" s="54">
        <f>IFERROR(AO2034/AL2034,"")</f>
        <v/>
      </c>
      <c r="AQ2034" s="125">
        <f>IFERROR(R2034/AO2034,"")</f>
        <v/>
      </c>
      <c r="AR2034" s="122" t="n">
        <v>0</v>
      </c>
      <c r="AS2034" s="122" t="n">
        <v>0</v>
      </c>
      <c r="AT2034" s="122">
        <f>AL2034+AR2034</f>
        <v/>
      </c>
      <c r="AU2034" s="125">
        <f>IFERROR(AO2034*Assumptions!$C$26*Assumptions!$C$27*INDEX(Assumptions!$C$18:$C$21,MATCH(H2034,Assumptions!$B$18:$B$21,0)),0)</f>
        <v/>
      </c>
    </row>
    <row r="2035">
      <c r="A2035" s="120" t="n">
        <v>46259</v>
      </c>
      <c r="B2035" s="66" t="inlineStr">
        <is>
          <t>Wk 35</t>
        </is>
      </c>
      <c r="C2035" s="66" t="inlineStr">
        <is>
          <t>Tue</t>
        </is>
      </c>
      <c r="D2035" s="66" t="inlineStr">
        <is>
          <t>Programmatic</t>
        </is>
      </c>
      <c r="E2035" s="66" t="inlineStr">
        <is>
          <t>DV360</t>
        </is>
      </c>
      <c r="F2035" s="66" t="inlineStr">
        <is>
          <t>LEP_ZA_AUG26_PROG_TD_VIDEO_OLV</t>
        </is>
      </c>
      <c r="G2035" s="66" t="inlineStr">
        <is>
          <t>Online Video / CTV</t>
        </is>
      </c>
      <c r="H2035" s="66" t="inlineStr">
        <is>
          <t>Range</t>
        </is>
      </c>
      <c r="I2035" s="66" t="inlineStr">
        <is>
          <t>Range Offer</t>
        </is>
      </c>
      <c r="J2035" s="66" t="inlineStr">
        <is>
          <t>PROG_OLV_PREROLL_AUTO</t>
        </is>
      </c>
      <c r="K2035" s="66" t="inlineStr">
        <is>
          <t>Contextual</t>
        </is>
      </c>
      <c r="L2035" s="66" t="inlineStr">
        <is>
          <t>PROG_OLV_20s_RangeFilm_v1</t>
        </is>
      </c>
      <c r="M2035" s="66" t="inlineStr">
        <is>
          <t>Video 16:9 Pre-roll</t>
        </is>
      </c>
      <c r="N2035" s="66" t="inlineStr">
        <is>
          <t>Meet the Lepas range</t>
        </is>
      </c>
      <c r="O2035" s="66" t="inlineStr">
        <is>
          <t>Auction - Fixed CPM</t>
        </is>
      </c>
      <c r="P2035" s="66" t="inlineStr">
        <is>
          <t>Completed Views + CPA</t>
        </is>
      </c>
      <c r="Q2035" s="66" t="inlineStr">
        <is>
          <t>https://www.lepas-sa.co.za/offers</t>
        </is>
      </c>
      <c r="R2035" s="121" t="n">
        <v>179.51</v>
      </c>
      <c r="S2035" s="122" t="n">
        <v>10837</v>
      </c>
      <c r="T2035" s="122" t="n">
        <v>5331</v>
      </c>
      <c r="U2035" s="123">
        <f>IFERROR(S2035/T2035,"")</f>
        <v/>
      </c>
      <c r="V2035" s="122" t="n">
        <v>17</v>
      </c>
      <c r="W2035" s="122" t="n">
        <v>13</v>
      </c>
      <c r="X2035" s="124">
        <f>IFERROR(W2035/S2035,"")</f>
        <v/>
      </c>
      <c r="Y2035" s="121">
        <f>IFERROR(R2035/W2035,"")</f>
        <v/>
      </c>
      <c r="Z2035" s="121">
        <f>IFERROR(R2035/S2035*1000,"")</f>
        <v/>
      </c>
      <c r="AA2035" s="122" t="n">
        <v>10</v>
      </c>
      <c r="AB2035" s="54">
        <f>IFERROR(AA2035/W2035,"")</f>
        <v/>
      </c>
      <c r="AC2035" s="122" t="n">
        <v>2783</v>
      </c>
      <c r="AD2035" s="122" t="n">
        <v>1339</v>
      </c>
      <c r="AE2035" s="122" t="n">
        <v>1041</v>
      </c>
      <c r="AF2035" s="122" t="n">
        <v>630</v>
      </c>
      <c r="AG2035" s="122" t="n">
        <v>496</v>
      </c>
      <c r="AH2035" s="122" t="n">
        <v>327</v>
      </c>
      <c r="AI2035" s="54">
        <f>IFERROR(AC2035/S2035,"")</f>
        <v/>
      </c>
      <c r="AJ2035" s="54">
        <f>IFERROR(AH2035/S2035,"")</f>
        <v/>
      </c>
      <c r="AK2035" s="122" t="n">
        <v>18</v>
      </c>
      <c r="AL2035" s="122" t="n">
        <v>0</v>
      </c>
      <c r="AM2035" s="124">
        <f>IFERROR(AL2035/AA2035,"")</f>
        <v/>
      </c>
      <c r="AN2035" s="125">
        <f>IFERROR(R2035/AL2035,"")</f>
        <v/>
      </c>
      <c r="AO2035" s="122" t="n">
        <v>0</v>
      </c>
      <c r="AP2035" s="54">
        <f>IFERROR(AO2035/AL2035,"")</f>
        <v/>
      </c>
      <c r="AQ2035" s="125">
        <f>IFERROR(R2035/AO2035,"")</f>
        <v/>
      </c>
      <c r="AR2035" s="122" t="n">
        <v>0</v>
      </c>
      <c r="AS2035" s="122" t="n">
        <v>0</v>
      </c>
      <c r="AT2035" s="122">
        <f>AL2035+AR2035</f>
        <v/>
      </c>
      <c r="AU2035" s="125">
        <f>IFERROR(AO2035*Assumptions!$C$26*Assumptions!$C$27*INDEX(Assumptions!$C$18:$C$21,MATCH(H2035,Assumptions!$B$18:$B$21,0)),0)</f>
        <v/>
      </c>
    </row>
    <row r="2036">
      <c r="A2036" s="120" t="n">
        <v>46260</v>
      </c>
      <c r="B2036" s="66" t="inlineStr">
        <is>
          <t>Wk 35</t>
        </is>
      </c>
      <c r="C2036" s="66" t="inlineStr">
        <is>
          <t>Wed</t>
        </is>
      </c>
      <c r="D2036" s="66" t="inlineStr">
        <is>
          <t>Programmatic</t>
        </is>
      </c>
      <c r="E2036" s="66" t="inlineStr">
        <is>
          <t>DV360</t>
        </is>
      </c>
      <c r="F2036" s="66" t="inlineStr">
        <is>
          <t>LEP_ZA_AUG26_PROG_TD_VIDEO_OLV</t>
        </is>
      </c>
      <c r="G2036" s="66" t="inlineStr">
        <is>
          <t>Online Video / CTV</t>
        </is>
      </c>
      <c r="H2036" s="66" t="inlineStr">
        <is>
          <t>Range</t>
        </is>
      </c>
      <c r="I2036" s="66" t="inlineStr">
        <is>
          <t>Range Offer</t>
        </is>
      </c>
      <c r="J2036" s="66" t="inlineStr">
        <is>
          <t>PROG_OLV_PREROLL_AUTO</t>
        </is>
      </c>
      <c r="K2036" s="66" t="inlineStr">
        <is>
          <t>Contextual</t>
        </is>
      </c>
      <c r="L2036" s="66" t="inlineStr">
        <is>
          <t>PROG_OLV_20s_RangeFilm_v1</t>
        </is>
      </c>
      <c r="M2036" s="66" t="inlineStr">
        <is>
          <t>Video 16:9 Pre-roll</t>
        </is>
      </c>
      <c r="N2036" s="66" t="inlineStr">
        <is>
          <t>Meet the Lepas range</t>
        </is>
      </c>
      <c r="O2036" s="66" t="inlineStr">
        <is>
          <t>Auction - Fixed CPM</t>
        </is>
      </c>
      <c r="P2036" s="66" t="inlineStr">
        <is>
          <t>Completed Views + CPA</t>
        </is>
      </c>
      <c r="Q2036" s="66" t="inlineStr">
        <is>
          <t>https://www.lepas-sa.co.za/offers</t>
        </is>
      </c>
      <c r="R2036" s="121" t="n">
        <v>216.9</v>
      </c>
      <c r="S2036" s="122" t="n">
        <v>8305</v>
      </c>
      <c r="T2036" s="122" t="n">
        <v>4760</v>
      </c>
      <c r="U2036" s="123">
        <f>IFERROR(S2036/T2036,"")</f>
        <v/>
      </c>
      <c r="V2036" s="122" t="n">
        <v>8</v>
      </c>
      <c r="W2036" s="122" t="n">
        <v>7</v>
      </c>
      <c r="X2036" s="124">
        <f>IFERROR(W2036/S2036,"")</f>
        <v/>
      </c>
      <c r="Y2036" s="121">
        <f>IFERROR(R2036/W2036,"")</f>
        <v/>
      </c>
      <c r="Z2036" s="121">
        <f>IFERROR(R2036/S2036*1000,"")</f>
        <v/>
      </c>
      <c r="AA2036" s="122" t="n">
        <v>5</v>
      </c>
      <c r="AB2036" s="54">
        <f>IFERROR(AA2036/W2036,"")</f>
        <v/>
      </c>
      <c r="AC2036" s="122" t="n">
        <v>3360</v>
      </c>
      <c r="AD2036" s="122" t="n">
        <v>1888</v>
      </c>
      <c r="AE2036" s="122" t="n">
        <v>1326</v>
      </c>
      <c r="AF2036" s="122" t="n">
        <v>903</v>
      </c>
      <c r="AG2036" s="122" t="n">
        <v>590</v>
      </c>
      <c r="AH2036" s="122" t="n">
        <v>348</v>
      </c>
      <c r="AI2036" s="54">
        <f>IFERROR(AC2036/S2036,"")</f>
        <v/>
      </c>
      <c r="AJ2036" s="54">
        <f>IFERROR(AH2036/S2036,"")</f>
        <v/>
      </c>
      <c r="AK2036" s="122" t="n">
        <v>23</v>
      </c>
      <c r="AL2036" s="122" t="n">
        <v>1</v>
      </c>
      <c r="AM2036" s="124">
        <f>IFERROR(AL2036/AA2036,"")</f>
        <v/>
      </c>
      <c r="AN2036" s="125">
        <f>IFERROR(R2036/AL2036,"")</f>
        <v/>
      </c>
      <c r="AO2036" s="122" t="n">
        <v>1</v>
      </c>
      <c r="AP2036" s="54">
        <f>IFERROR(AO2036/AL2036,"")</f>
        <v/>
      </c>
      <c r="AQ2036" s="125">
        <f>IFERROR(R2036/AO2036,"")</f>
        <v/>
      </c>
      <c r="AR2036" s="122" t="n">
        <v>1</v>
      </c>
      <c r="AS2036" s="122" t="n">
        <v>1</v>
      </c>
      <c r="AT2036" s="122">
        <f>AL2036+AR2036</f>
        <v/>
      </c>
      <c r="AU2036" s="125">
        <f>IFERROR(AO2036*Assumptions!$C$26*Assumptions!$C$27*INDEX(Assumptions!$C$18:$C$21,MATCH(H2036,Assumptions!$B$18:$B$21,0)),0)</f>
        <v/>
      </c>
    </row>
    <row r="2037">
      <c r="A2037" s="120" t="n">
        <v>46261</v>
      </c>
      <c r="B2037" s="66" t="inlineStr">
        <is>
          <t>Wk 35</t>
        </is>
      </c>
      <c r="C2037" s="66" t="inlineStr">
        <is>
          <t>Thu</t>
        </is>
      </c>
      <c r="D2037" s="66" t="inlineStr">
        <is>
          <t>Programmatic</t>
        </is>
      </c>
      <c r="E2037" s="66" t="inlineStr">
        <is>
          <t>DV360</t>
        </is>
      </c>
      <c r="F2037" s="66" t="inlineStr">
        <is>
          <t>LEP_ZA_AUG26_PROG_TD_VIDEO_OLV</t>
        </is>
      </c>
      <c r="G2037" s="66" t="inlineStr">
        <is>
          <t>Online Video / CTV</t>
        </is>
      </c>
      <c r="H2037" s="66" t="inlineStr">
        <is>
          <t>Range</t>
        </is>
      </c>
      <c r="I2037" s="66" t="inlineStr">
        <is>
          <t>Range Offer</t>
        </is>
      </c>
      <c r="J2037" s="66" t="inlineStr">
        <is>
          <t>PROG_OLV_PREROLL_AUTO</t>
        </is>
      </c>
      <c r="K2037" s="66" t="inlineStr">
        <is>
          <t>Contextual</t>
        </is>
      </c>
      <c r="L2037" s="66" t="inlineStr">
        <is>
          <t>PROG_OLV_20s_RangeFilm_v1</t>
        </is>
      </c>
      <c r="M2037" s="66" t="inlineStr">
        <is>
          <t>Video 16:9 Pre-roll</t>
        </is>
      </c>
      <c r="N2037" s="66" t="inlineStr">
        <is>
          <t>Meet the Lepas range</t>
        </is>
      </c>
      <c r="O2037" s="66" t="inlineStr">
        <is>
          <t>Auction - Fixed CPM</t>
        </is>
      </c>
      <c r="P2037" s="66" t="inlineStr">
        <is>
          <t>Completed Views + CPA</t>
        </is>
      </c>
      <c r="Q2037" s="66" t="inlineStr">
        <is>
          <t>https://www.lepas-sa.co.za/offers</t>
        </is>
      </c>
      <c r="R2037" s="121" t="n">
        <v>276.85</v>
      </c>
      <c r="S2037" s="122" t="n">
        <v>12240</v>
      </c>
      <c r="T2037" s="122" t="n">
        <v>5361</v>
      </c>
      <c r="U2037" s="123">
        <f>IFERROR(S2037/T2037,"")</f>
        <v/>
      </c>
      <c r="V2037" s="122" t="n">
        <v>26</v>
      </c>
      <c r="W2037" s="122" t="n">
        <v>19</v>
      </c>
      <c r="X2037" s="124">
        <f>IFERROR(W2037/S2037,"")</f>
        <v/>
      </c>
      <c r="Y2037" s="121">
        <f>IFERROR(R2037/W2037,"")</f>
        <v/>
      </c>
      <c r="Z2037" s="121">
        <f>IFERROR(R2037/S2037*1000,"")</f>
        <v/>
      </c>
      <c r="AA2037" s="122" t="n">
        <v>12</v>
      </c>
      <c r="AB2037" s="54">
        <f>IFERROR(AA2037/W2037,"")</f>
        <v/>
      </c>
      <c r="AC2037" s="122" t="n">
        <v>3380</v>
      </c>
      <c r="AD2037" s="122" t="n">
        <v>1496</v>
      </c>
      <c r="AE2037" s="122" t="n">
        <v>1498</v>
      </c>
      <c r="AF2037" s="122" t="n">
        <v>1058</v>
      </c>
      <c r="AG2037" s="122" t="n">
        <v>686</v>
      </c>
      <c r="AH2037" s="122" t="n">
        <v>421</v>
      </c>
      <c r="AI2037" s="54">
        <f>IFERROR(AC2037/S2037,"")</f>
        <v/>
      </c>
      <c r="AJ2037" s="54">
        <f>IFERROR(AH2037/S2037,"")</f>
        <v/>
      </c>
      <c r="AK2037" s="122" t="n">
        <v>49</v>
      </c>
      <c r="AL2037" s="122" t="n">
        <v>0</v>
      </c>
      <c r="AM2037" s="124">
        <f>IFERROR(AL2037/AA2037,"")</f>
        <v/>
      </c>
      <c r="AN2037" s="125">
        <f>IFERROR(R2037/AL2037,"")</f>
        <v/>
      </c>
      <c r="AO2037" s="122" t="n">
        <v>0</v>
      </c>
      <c r="AP2037" s="54">
        <f>IFERROR(AO2037/AL2037,"")</f>
        <v/>
      </c>
      <c r="AQ2037" s="125">
        <f>IFERROR(R2037/AO2037,"")</f>
        <v/>
      </c>
      <c r="AR2037" s="122" t="n">
        <v>0</v>
      </c>
      <c r="AS2037" s="122" t="n">
        <v>0</v>
      </c>
      <c r="AT2037" s="122">
        <f>AL2037+AR2037</f>
        <v/>
      </c>
      <c r="AU2037" s="125">
        <f>IFERROR(AO2037*Assumptions!$C$26*Assumptions!$C$27*INDEX(Assumptions!$C$18:$C$21,MATCH(H2037,Assumptions!$B$18:$B$21,0)),0)</f>
        <v/>
      </c>
    </row>
    <row r="2038">
      <c r="A2038" s="120" t="n">
        <v>46262</v>
      </c>
      <c r="B2038" s="66" t="inlineStr">
        <is>
          <t>Wk 35</t>
        </is>
      </c>
      <c r="C2038" s="66" t="inlineStr">
        <is>
          <t>Fri</t>
        </is>
      </c>
      <c r="D2038" s="66" t="inlineStr">
        <is>
          <t>Programmatic</t>
        </is>
      </c>
      <c r="E2038" s="66" t="inlineStr">
        <is>
          <t>DV360</t>
        </is>
      </c>
      <c r="F2038" s="66" t="inlineStr">
        <is>
          <t>LEP_ZA_AUG26_PROG_TD_VIDEO_OLV</t>
        </is>
      </c>
      <c r="G2038" s="66" t="inlineStr">
        <is>
          <t>Online Video / CTV</t>
        </is>
      </c>
      <c r="H2038" s="66" t="inlineStr">
        <is>
          <t>Range</t>
        </is>
      </c>
      <c r="I2038" s="66" t="inlineStr">
        <is>
          <t>Range Offer</t>
        </is>
      </c>
      <c r="J2038" s="66" t="inlineStr">
        <is>
          <t>PROG_OLV_PREROLL_AUTO</t>
        </is>
      </c>
      <c r="K2038" s="66" t="inlineStr">
        <is>
          <t>Contextual</t>
        </is>
      </c>
      <c r="L2038" s="66" t="inlineStr">
        <is>
          <t>PROG_OLV_20s_RangeFilm_v1</t>
        </is>
      </c>
      <c r="M2038" s="66" t="inlineStr">
        <is>
          <t>Video 16:9 Pre-roll</t>
        </is>
      </c>
      <c r="N2038" s="66" t="inlineStr">
        <is>
          <t>Meet the Lepas range</t>
        </is>
      </c>
      <c r="O2038" s="66" t="inlineStr">
        <is>
          <t>Auction - Fixed CPM</t>
        </is>
      </c>
      <c r="P2038" s="66" t="inlineStr">
        <is>
          <t>Completed Views + CPA</t>
        </is>
      </c>
      <c r="Q2038" s="66" t="inlineStr">
        <is>
          <t>https://www.lepas-sa.co.za/offers</t>
        </is>
      </c>
      <c r="R2038" s="121" t="n">
        <v>298.99</v>
      </c>
      <c r="S2038" s="122" t="n">
        <v>16442</v>
      </c>
      <c r="T2038" s="122" t="n">
        <v>8029</v>
      </c>
      <c r="U2038" s="123">
        <f>IFERROR(S2038/T2038,"")</f>
        <v/>
      </c>
      <c r="V2038" s="122" t="n">
        <v>15</v>
      </c>
      <c r="W2038" s="122" t="n">
        <v>13</v>
      </c>
      <c r="X2038" s="124">
        <f>IFERROR(W2038/S2038,"")</f>
        <v/>
      </c>
      <c r="Y2038" s="121">
        <f>IFERROR(R2038/W2038,"")</f>
        <v/>
      </c>
      <c r="Z2038" s="121">
        <f>IFERROR(R2038/S2038*1000,"")</f>
        <v/>
      </c>
      <c r="AA2038" s="122" t="n">
        <v>9</v>
      </c>
      <c r="AB2038" s="54">
        <f>IFERROR(AA2038/W2038,"")</f>
        <v/>
      </c>
      <c r="AC2038" s="122" t="n">
        <v>3920</v>
      </c>
      <c r="AD2038" s="122" t="n">
        <v>1939</v>
      </c>
      <c r="AE2038" s="122" t="n">
        <v>2042</v>
      </c>
      <c r="AF2038" s="122" t="n">
        <v>1168</v>
      </c>
      <c r="AG2038" s="122" t="n">
        <v>897</v>
      </c>
      <c r="AH2038" s="122" t="n">
        <v>601</v>
      </c>
      <c r="AI2038" s="54">
        <f>IFERROR(AC2038/S2038,"")</f>
        <v/>
      </c>
      <c r="AJ2038" s="54">
        <f>IFERROR(AH2038/S2038,"")</f>
        <v/>
      </c>
      <c r="AK2038" s="122" t="n">
        <v>35</v>
      </c>
      <c r="AL2038" s="122" t="n">
        <v>0</v>
      </c>
      <c r="AM2038" s="124">
        <f>IFERROR(AL2038/AA2038,"")</f>
        <v/>
      </c>
      <c r="AN2038" s="125">
        <f>IFERROR(R2038/AL2038,"")</f>
        <v/>
      </c>
      <c r="AO2038" s="122" t="n">
        <v>0</v>
      </c>
      <c r="AP2038" s="54">
        <f>IFERROR(AO2038/AL2038,"")</f>
        <v/>
      </c>
      <c r="AQ2038" s="125">
        <f>IFERROR(R2038/AO2038,"")</f>
        <v/>
      </c>
      <c r="AR2038" s="122" t="n">
        <v>0</v>
      </c>
      <c r="AS2038" s="122" t="n">
        <v>0</v>
      </c>
      <c r="AT2038" s="122">
        <f>AL2038+AR2038</f>
        <v/>
      </c>
      <c r="AU2038" s="125">
        <f>IFERROR(AO2038*Assumptions!$C$26*Assumptions!$C$27*INDEX(Assumptions!$C$18:$C$21,MATCH(H2038,Assumptions!$B$18:$B$21,0)),0)</f>
        <v/>
      </c>
    </row>
    <row r="2039">
      <c r="A2039" s="120" t="n">
        <v>46263</v>
      </c>
      <c r="B2039" s="66" t="inlineStr">
        <is>
          <t>Wk 35</t>
        </is>
      </c>
      <c r="C2039" s="66" t="inlineStr">
        <is>
          <t>Sat</t>
        </is>
      </c>
      <c r="D2039" s="66" t="inlineStr">
        <is>
          <t>Programmatic</t>
        </is>
      </c>
      <c r="E2039" s="66" t="inlineStr">
        <is>
          <t>DV360</t>
        </is>
      </c>
      <c r="F2039" s="66" t="inlineStr">
        <is>
          <t>LEP_ZA_AUG26_PROG_TD_VIDEO_OLV</t>
        </is>
      </c>
      <c r="G2039" s="66" t="inlineStr">
        <is>
          <t>Online Video / CTV</t>
        </is>
      </c>
      <c r="H2039" s="66" t="inlineStr">
        <is>
          <t>Range</t>
        </is>
      </c>
      <c r="I2039" s="66" t="inlineStr">
        <is>
          <t>Range Offer</t>
        </is>
      </c>
      <c r="J2039" s="66" t="inlineStr">
        <is>
          <t>PROG_OLV_PREROLL_AUTO</t>
        </is>
      </c>
      <c r="K2039" s="66" t="inlineStr">
        <is>
          <t>Contextual</t>
        </is>
      </c>
      <c r="L2039" s="66" t="inlineStr">
        <is>
          <t>PROG_OLV_20s_RangeFilm_v1</t>
        </is>
      </c>
      <c r="M2039" s="66" t="inlineStr">
        <is>
          <t>Video 16:9 Pre-roll</t>
        </is>
      </c>
      <c r="N2039" s="66" t="inlineStr">
        <is>
          <t>Meet the Lepas range</t>
        </is>
      </c>
      <c r="O2039" s="66" t="inlineStr">
        <is>
          <t>Auction - Fixed CPM</t>
        </is>
      </c>
      <c r="P2039" s="66" t="inlineStr">
        <is>
          <t>Completed Views + CPA</t>
        </is>
      </c>
      <c r="Q2039" s="66" t="inlineStr">
        <is>
          <t>https://www.lepas-sa.co.za/offers</t>
        </is>
      </c>
      <c r="R2039" s="121" t="n">
        <v>247.12</v>
      </c>
      <c r="S2039" s="122" t="n">
        <v>7592</v>
      </c>
      <c r="T2039" s="122" t="n">
        <v>3273</v>
      </c>
      <c r="U2039" s="123">
        <f>IFERROR(S2039/T2039,"")</f>
        <v/>
      </c>
      <c r="V2039" s="122" t="n">
        <v>19</v>
      </c>
      <c r="W2039" s="122" t="n">
        <v>14</v>
      </c>
      <c r="X2039" s="124">
        <f>IFERROR(W2039/S2039,"")</f>
        <v/>
      </c>
      <c r="Y2039" s="121">
        <f>IFERROR(R2039/W2039,"")</f>
        <v/>
      </c>
      <c r="Z2039" s="121">
        <f>IFERROR(R2039/S2039*1000,"")</f>
        <v/>
      </c>
      <c r="AA2039" s="122" t="n">
        <v>8</v>
      </c>
      <c r="AB2039" s="54">
        <f>IFERROR(AA2039/W2039,"")</f>
        <v/>
      </c>
      <c r="AC2039" s="122" t="n">
        <v>2281</v>
      </c>
      <c r="AD2039" s="122" t="n">
        <v>1332</v>
      </c>
      <c r="AE2039" s="122" t="n">
        <v>1191</v>
      </c>
      <c r="AF2039" s="122" t="n">
        <v>680</v>
      </c>
      <c r="AG2039" s="122" t="n">
        <v>490</v>
      </c>
      <c r="AH2039" s="122" t="n">
        <v>324</v>
      </c>
      <c r="AI2039" s="54">
        <f>IFERROR(AC2039/S2039,"")</f>
        <v/>
      </c>
      <c r="AJ2039" s="54">
        <f>IFERROR(AH2039/S2039,"")</f>
        <v/>
      </c>
      <c r="AK2039" s="122" t="n">
        <v>21</v>
      </c>
      <c r="AL2039" s="122" t="n">
        <v>0</v>
      </c>
      <c r="AM2039" s="124">
        <f>IFERROR(AL2039/AA2039,"")</f>
        <v/>
      </c>
      <c r="AN2039" s="125">
        <f>IFERROR(R2039/AL2039,"")</f>
        <v/>
      </c>
      <c r="AO2039" s="122" t="n">
        <v>0</v>
      </c>
      <c r="AP2039" s="54">
        <f>IFERROR(AO2039/AL2039,"")</f>
        <v/>
      </c>
      <c r="AQ2039" s="125">
        <f>IFERROR(R2039/AO2039,"")</f>
        <v/>
      </c>
      <c r="AR2039" s="122" t="n">
        <v>0</v>
      </c>
      <c r="AS2039" s="122" t="n">
        <v>0</v>
      </c>
      <c r="AT2039" s="122">
        <f>AL2039+AR2039</f>
        <v/>
      </c>
      <c r="AU2039" s="125">
        <f>IFERROR(AO2039*Assumptions!$C$26*Assumptions!$C$27*INDEX(Assumptions!$C$18:$C$21,MATCH(H2039,Assumptions!$B$18:$B$21,0)),0)</f>
        <v/>
      </c>
    </row>
    <row r="2040">
      <c r="A2040" s="120" t="n">
        <v>46264</v>
      </c>
      <c r="B2040" s="66" t="inlineStr">
        <is>
          <t>Wk 35</t>
        </is>
      </c>
      <c r="C2040" s="66" t="inlineStr">
        <is>
          <t>Sun</t>
        </is>
      </c>
      <c r="D2040" s="66" t="inlineStr">
        <is>
          <t>Programmatic</t>
        </is>
      </c>
      <c r="E2040" s="66" t="inlineStr">
        <is>
          <t>DV360</t>
        </is>
      </c>
      <c r="F2040" s="66" t="inlineStr">
        <is>
          <t>LEP_ZA_AUG26_PROG_TD_VIDEO_OLV</t>
        </is>
      </c>
      <c r="G2040" s="66" t="inlineStr">
        <is>
          <t>Online Video / CTV</t>
        </is>
      </c>
      <c r="H2040" s="66" t="inlineStr">
        <is>
          <t>Range</t>
        </is>
      </c>
      <c r="I2040" s="66" t="inlineStr">
        <is>
          <t>Range Offer</t>
        </is>
      </c>
      <c r="J2040" s="66" t="inlineStr">
        <is>
          <t>PROG_OLV_PREROLL_AUTO</t>
        </is>
      </c>
      <c r="K2040" s="66" t="inlineStr">
        <is>
          <t>Contextual</t>
        </is>
      </c>
      <c r="L2040" s="66" t="inlineStr">
        <is>
          <t>PROG_OLV_20s_RangeFilm_v1</t>
        </is>
      </c>
      <c r="M2040" s="66" t="inlineStr">
        <is>
          <t>Video 16:9 Pre-roll</t>
        </is>
      </c>
      <c r="N2040" s="66" t="inlineStr">
        <is>
          <t>Meet the Lepas range</t>
        </is>
      </c>
      <c r="O2040" s="66" t="inlineStr">
        <is>
          <t>Auction - Fixed CPM</t>
        </is>
      </c>
      <c r="P2040" s="66" t="inlineStr">
        <is>
          <t>Completed Views + CPA</t>
        </is>
      </c>
      <c r="Q2040" s="66" t="inlineStr">
        <is>
          <t>https://www.lepas-sa.co.za/offers</t>
        </is>
      </c>
      <c r="R2040" s="121" t="n">
        <v>207.97</v>
      </c>
      <c r="S2040" s="122" t="n">
        <v>7006</v>
      </c>
      <c r="T2040" s="122" t="n">
        <v>2668</v>
      </c>
      <c r="U2040" s="123">
        <f>IFERROR(S2040/T2040,"")</f>
        <v/>
      </c>
      <c r="V2040" s="122" t="n">
        <v>14</v>
      </c>
      <c r="W2040" s="122" t="n">
        <v>10</v>
      </c>
      <c r="X2040" s="124">
        <f>IFERROR(W2040/S2040,"")</f>
        <v/>
      </c>
      <c r="Y2040" s="121">
        <f>IFERROR(R2040/W2040,"")</f>
        <v/>
      </c>
      <c r="Z2040" s="121">
        <f>IFERROR(R2040/S2040*1000,"")</f>
        <v/>
      </c>
      <c r="AA2040" s="122" t="n">
        <v>7</v>
      </c>
      <c r="AB2040" s="54">
        <f>IFERROR(AA2040/W2040,"")</f>
        <v/>
      </c>
      <c r="AC2040" s="122" t="n">
        <v>2416</v>
      </c>
      <c r="AD2040" s="122" t="n">
        <v>1081</v>
      </c>
      <c r="AE2040" s="122" t="n">
        <v>1300</v>
      </c>
      <c r="AF2040" s="122" t="n">
        <v>821</v>
      </c>
      <c r="AG2040" s="122" t="n">
        <v>589</v>
      </c>
      <c r="AH2040" s="122" t="n">
        <v>419</v>
      </c>
      <c r="AI2040" s="54">
        <f>IFERROR(AC2040/S2040,"")</f>
        <v/>
      </c>
      <c r="AJ2040" s="54">
        <f>IFERROR(AH2040/S2040,"")</f>
        <v/>
      </c>
      <c r="AK2040" s="122" t="n">
        <v>30</v>
      </c>
      <c r="AL2040" s="122" t="n">
        <v>0</v>
      </c>
      <c r="AM2040" s="124">
        <f>IFERROR(AL2040/AA2040,"")</f>
        <v/>
      </c>
      <c r="AN2040" s="125">
        <f>IFERROR(R2040/AL2040,"")</f>
        <v/>
      </c>
      <c r="AO2040" s="122" t="n">
        <v>0</v>
      </c>
      <c r="AP2040" s="54">
        <f>IFERROR(AO2040/AL2040,"")</f>
        <v/>
      </c>
      <c r="AQ2040" s="125">
        <f>IFERROR(R2040/AO2040,"")</f>
        <v/>
      </c>
      <c r="AR2040" s="122" t="n">
        <v>0</v>
      </c>
      <c r="AS2040" s="122" t="n">
        <v>0</v>
      </c>
      <c r="AT2040" s="122">
        <f>AL2040+AR2040</f>
        <v/>
      </c>
      <c r="AU2040" s="125">
        <f>IFERROR(AO2040*Assumptions!$C$26*Assumptions!$C$27*INDEX(Assumptions!$C$18:$C$21,MATCH(H2040,Assumptions!$B$18:$B$21,0)),0)</f>
        <v/>
      </c>
    </row>
    <row r="2041">
      <c r="A2041" s="120" t="n">
        <v>46265</v>
      </c>
      <c r="B2041" s="66" t="inlineStr">
        <is>
          <t>Wk 36</t>
        </is>
      </c>
      <c r="C2041" s="66" t="inlineStr">
        <is>
          <t>Mon</t>
        </is>
      </c>
      <c r="D2041" s="66" t="inlineStr">
        <is>
          <t>Programmatic</t>
        </is>
      </c>
      <c r="E2041" s="66" t="inlineStr">
        <is>
          <t>DV360</t>
        </is>
      </c>
      <c r="F2041" s="66" t="inlineStr">
        <is>
          <t>LEP_ZA_AUG26_PROG_TD_VIDEO_OLV</t>
        </is>
      </c>
      <c r="G2041" s="66" t="inlineStr">
        <is>
          <t>Online Video / CTV</t>
        </is>
      </c>
      <c r="H2041" s="66" t="inlineStr">
        <is>
          <t>Range</t>
        </is>
      </c>
      <c r="I2041" s="66" t="inlineStr">
        <is>
          <t>Range Offer</t>
        </is>
      </c>
      <c r="J2041" s="66" t="inlineStr">
        <is>
          <t>PROG_OLV_PREROLL_AUTO</t>
        </is>
      </c>
      <c r="K2041" s="66" t="inlineStr">
        <is>
          <t>Contextual</t>
        </is>
      </c>
      <c r="L2041" s="66" t="inlineStr">
        <is>
          <t>PROG_OLV_20s_RangeFilm_v1</t>
        </is>
      </c>
      <c r="M2041" s="66" t="inlineStr">
        <is>
          <t>Video 16:9 Pre-roll</t>
        </is>
      </c>
      <c r="N2041" s="66" t="inlineStr">
        <is>
          <t>Meet the Lepas range</t>
        </is>
      </c>
      <c r="O2041" s="66" t="inlineStr">
        <is>
          <t>Auction - Fixed CPM</t>
        </is>
      </c>
      <c r="P2041" s="66" t="inlineStr">
        <is>
          <t>Completed Views + CPA</t>
        </is>
      </c>
      <c r="Q2041" s="66" t="inlineStr">
        <is>
          <t>https://www.lepas-sa.co.za/offers</t>
        </is>
      </c>
      <c r="R2041" s="121" t="n">
        <v>247.24</v>
      </c>
      <c r="S2041" s="122" t="n">
        <v>7353</v>
      </c>
      <c r="T2041" s="122" t="n">
        <v>3914</v>
      </c>
      <c r="U2041" s="123">
        <f>IFERROR(S2041/T2041,"")</f>
        <v/>
      </c>
      <c r="V2041" s="122" t="n">
        <v>7</v>
      </c>
      <c r="W2041" s="122" t="n">
        <v>5</v>
      </c>
      <c r="X2041" s="124">
        <f>IFERROR(W2041/S2041,"")</f>
        <v/>
      </c>
      <c r="Y2041" s="121">
        <f>IFERROR(R2041/W2041,"")</f>
        <v/>
      </c>
      <c r="Z2041" s="121">
        <f>IFERROR(R2041/S2041*1000,"")</f>
        <v/>
      </c>
      <c r="AA2041" s="122" t="n">
        <v>3</v>
      </c>
      <c r="AB2041" s="54">
        <f>IFERROR(AA2041/W2041,"")</f>
        <v/>
      </c>
      <c r="AC2041" s="122" t="n">
        <v>2344</v>
      </c>
      <c r="AD2041" s="122" t="n">
        <v>1285</v>
      </c>
      <c r="AE2041" s="122" t="n">
        <v>910</v>
      </c>
      <c r="AF2041" s="122" t="n">
        <v>622</v>
      </c>
      <c r="AG2041" s="122" t="n">
        <v>423</v>
      </c>
      <c r="AH2041" s="122" t="n">
        <v>289</v>
      </c>
      <c r="AI2041" s="54">
        <f>IFERROR(AC2041/S2041,"")</f>
        <v/>
      </c>
      <c r="AJ2041" s="54">
        <f>IFERROR(AH2041/S2041,"")</f>
        <v/>
      </c>
      <c r="AK2041" s="122" t="n">
        <v>10</v>
      </c>
      <c r="AL2041" s="122" t="n">
        <v>0</v>
      </c>
      <c r="AM2041" s="124">
        <f>IFERROR(AL2041/AA2041,"")</f>
        <v/>
      </c>
      <c r="AN2041" s="125">
        <f>IFERROR(R2041/AL2041,"")</f>
        <v/>
      </c>
      <c r="AO2041" s="122" t="n">
        <v>0</v>
      </c>
      <c r="AP2041" s="54">
        <f>IFERROR(AO2041/AL2041,"")</f>
        <v/>
      </c>
      <c r="AQ2041" s="125">
        <f>IFERROR(R2041/AO2041,"")</f>
        <v/>
      </c>
      <c r="AR2041" s="122" t="n">
        <v>0</v>
      </c>
      <c r="AS2041" s="122" t="n">
        <v>0</v>
      </c>
      <c r="AT2041" s="122">
        <f>AL2041+AR2041</f>
        <v/>
      </c>
      <c r="AU2041" s="125">
        <f>IFERROR(AO2041*Assumptions!$C$26*Assumptions!$C$27*INDEX(Assumptions!$C$18:$C$21,MATCH(H2041,Assumptions!$B$18:$B$21,0)),0)</f>
        <v/>
      </c>
    </row>
    <row r="2042">
      <c r="A2042" s="120" t="n">
        <v>46235</v>
      </c>
      <c r="B2042" s="66" t="inlineStr">
        <is>
          <t>Wk 31</t>
        </is>
      </c>
      <c r="C2042" s="66" t="inlineStr">
        <is>
          <t>Sat</t>
        </is>
      </c>
      <c r="D2042" s="66" t="inlineStr">
        <is>
          <t>Programmatic</t>
        </is>
      </c>
      <c r="E2042" s="66" t="inlineStr">
        <is>
          <t>DV360</t>
        </is>
      </c>
      <c r="F2042" s="66" t="inlineStr">
        <is>
          <t>LEP_ZA_AUG26_PROG_TD_VIDEO_OLV</t>
        </is>
      </c>
      <c r="G2042" s="66" t="inlineStr">
        <is>
          <t>Online Video / CTV</t>
        </is>
      </c>
      <c r="H2042" s="66" t="inlineStr">
        <is>
          <t>Range</t>
        </is>
      </c>
      <c r="I2042" s="66" t="inlineStr">
        <is>
          <t>Range Offer</t>
        </is>
      </c>
      <c r="J2042" s="66" t="inlineStr">
        <is>
          <t>PROG_OLV_PREROLL_AUTO</t>
        </is>
      </c>
      <c r="K2042" s="66" t="inlineStr">
        <is>
          <t>Contextual</t>
        </is>
      </c>
      <c r="L2042" s="66" t="inlineStr">
        <is>
          <t>PROG_OLV_15s_AMUR_v1</t>
        </is>
      </c>
      <c r="M2042" s="66" t="inlineStr">
        <is>
          <t>Video 16:9 Pre-roll</t>
        </is>
      </c>
      <c r="N2042" s="66" t="inlineStr">
        <is>
          <t>AMUR from R3 599pm</t>
        </is>
      </c>
      <c r="O2042" s="66" t="inlineStr">
        <is>
          <t>Auction - Fixed CPM</t>
        </is>
      </c>
      <c r="P2042" s="66" t="inlineStr">
        <is>
          <t>Completed Views + CPA</t>
        </is>
      </c>
      <c r="Q2042" s="66" t="inlineStr">
        <is>
          <t>https://www.lepas-sa.co.za/offers</t>
        </is>
      </c>
      <c r="R2042" s="121" t="n">
        <v>180.19</v>
      </c>
      <c r="S2042" s="122" t="n">
        <v>6896</v>
      </c>
      <c r="T2042" s="122" t="n">
        <v>3990</v>
      </c>
      <c r="U2042" s="123">
        <f>IFERROR(S2042/T2042,"")</f>
        <v/>
      </c>
      <c r="V2042" s="122" t="n">
        <v>17</v>
      </c>
      <c r="W2042" s="122" t="n">
        <v>13</v>
      </c>
      <c r="X2042" s="124">
        <f>IFERROR(W2042/S2042,"")</f>
        <v/>
      </c>
      <c r="Y2042" s="121">
        <f>IFERROR(R2042/W2042,"")</f>
        <v/>
      </c>
      <c r="Z2042" s="121">
        <f>IFERROR(R2042/S2042*1000,"")</f>
        <v/>
      </c>
      <c r="AA2042" s="122" t="n">
        <v>8</v>
      </c>
      <c r="AB2042" s="54">
        <f>IFERROR(AA2042/W2042,"")</f>
        <v/>
      </c>
      <c r="AC2042" s="122" t="n">
        <v>2057</v>
      </c>
      <c r="AD2042" s="122" t="n">
        <v>936</v>
      </c>
      <c r="AE2042" s="122" t="n">
        <v>1111</v>
      </c>
      <c r="AF2042" s="122" t="n">
        <v>631</v>
      </c>
      <c r="AG2042" s="122" t="n">
        <v>411</v>
      </c>
      <c r="AH2042" s="122" t="n">
        <v>235</v>
      </c>
      <c r="AI2042" s="54">
        <f>IFERROR(AC2042/S2042,"")</f>
        <v/>
      </c>
      <c r="AJ2042" s="54">
        <f>IFERROR(AH2042/S2042,"")</f>
        <v/>
      </c>
      <c r="AK2042" s="122" t="n">
        <v>34</v>
      </c>
      <c r="AL2042" s="122" t="n">
        <v>0</v>
      </c>
      <c r="AM2042" s="124">
        <f>IFERROR(AL2042/AA2042,"")</f>
        <v/>
      </c>
      <c r="AN2042" s="125">
        <f>IFERROR(R2042/AL2042,"")</f>
        <v/>
      </c>
      <c r="AO2042" s="122" t="n">
        <v>0</v>
      </c>
      <c r="AP2042" s="54">
        <f>IFERROR(AO2042/AL2042,"")</f>
        <v/>
      </c>
      <c r="AQ2042" s="125">
        <f>IFERROR(R2042/AO2042,"")</f>
        <v/>
      </c>
      <c r="AR2042" s="122" t="n">
        <v>0</v>
      </c>
      <c r="AS2042" s="122" t="n">
        <v>0</v>
      </c>
      <c r="AT2042" s="122">
        <f>AL2042+AR2042</f>
        <v/>
      </c>
      <c r="AU2042" s="125">
        <f>IFERROR(AO2042*Assumptions!$C$26*Assumptions!$C$27*INDEX(Assumptions!$C$18:$C$21,MATCH(H2042,Assumptions!$B$18:$B$21,0)),0)</f>
        <v/>
      </c>
    </row>
    <row r="2043">
      <c r="A2043" s="120" t="n">
        <v>46236</v>
      </c>
      <c r="B2043" s="66" t="inlineStr">
        <is>
          <t>Wk 31</t>
        </is>
      </c>
      <c r="C2043" s="66" t="inlineStr">
        <is>
          <t>Sun</t>
        </is>
      </c>
      <c r="D2043" s="66" t="inlineStr">
        <is>
          <t>Programmatic</t>
        </is>
      </c>
      <c r="E2043" s="66" t="inlineStr">
        <is>
          <t>DV360</t>
        </is>
      </c>
      <c r="F2043" s="66" t="inlineStr">
        <is>
          <t>LEP_ZA_AUG26_PROG_TD_VIDEO_OLV</t>
        </is>
      </c>
      <c r="G2043" s="66" t="inlineStr">
        <is>
          <t>Online Video / CTV</t>
        </is>
      </c>
      <c r="H2043" s="66" t="inlineStr">
        <is>
          <t>Range</t>
        </is>
      </c>
      <c r="I2043" s="66" t="inlineStr">
        <is>
          <t>Range Offer</t>
        </is>
      </c>
      <c r="J2043" s="66" t="inlineStr">
        <is>
          <t>PROG_OLV_PREROLL_AUTO</t>
        </is>
      </c>
      <c r="K2043" s="66" t="inlineStr">
        <is>
          <t>Contextual</t>
        </is>
      </c>
      <c r="L2043" s="66" t="inlineStr">
        <is>
          <t>PROG_OLV_15s_AMUR_v1</t>
        </is>
      </c>
      <c r="M2043" s="66" t="inlineStr">
        <is>
          <t>Video 16:9 Pre-roll</t>
        </is>
      </c>
      <c r="N2043" s="66" t="inlineStr">
        <is>
          <t>AMUR from R3 599pm</t>
        </is>
      </c>
      <c r="O2043" s="66" t="inlineStr">
        <is>
          <t>Auction - Fixed CPM</t>
        </is>
      </c>
      <c r="P2043" s="66" t="inlineStr">
        <is>
          <t>Completed Views + CPA</t>
        </is>
      </c>
      <c r="Q2043" s="66" t="inlineStr">
        <is>
          <t>https://www.lepas-sa.co.za/offers</t>
        </is>
      </c>
      <c r="R2043" s="121" t="n">
        <v>123.73</v>
      </c>
      <c r="S2043" s="122" t="n">
        <v>4044</v>
      </c>
      <c r="T2043" s="122" t="n">
        <v>3105</v>
      </c>
      <c r="U2043" s="123">
        <f>IFERROR(S2043/T2043,"")</f>
        <v/>
      </c>
      <c r="V2043" s="122" t="n">
        <v>13</v>
      </c>
      <c r="W2043" s="122" t="n">
        <v>11</v>
      </c>
      <c r="X2043" s="124">
        <f>IFERROR(W2043/S2043,"")</f>
        <v/>
      </c>
      <c r="Y2043" s="121">
        <f>IFERROR(R2043/W2043,"")</f>
        <v/>
      </c>
      <c r="Z2043" s="121">
        <f>IFERROR(R2043/S2043*1000,"")</f>
        <v/>
      </c>
      <c r="AA2043" s="122" t="n">
        <v>7</v>
      </c>
      <c r="AB2043" s="54">
        <f>IFERROR(AA2043/W2043,"")</f>
        <v/>
      </c>
      <c r="AC2043" s="122" t="n">
        <v>921</v>
      </c>
      <c r="AD2043" s="122" t="n">
        <v>455</v>
      </c>
      <c r="AE2043" s="122" t="n">
        <v>460</v>
      </c>
      <c r="AF2043" s="122" t="n">
        <v>268</v>
      </c>
      <c r="AG2043" s="122" t="n">
        <v>213</v>
      </c>
      <c r="AH2043" s="122" t="n">
        <v>147</v>
      </c>
      <c r="AI2043" s="54">
        <f>IFERROR(AC2043/S2043,"")</f>
        <v/>
      </c>
      <c r="AJ2043" s="54">
        <f>IFERROR(AH2043/S2043,"")</f>
        <v/>
      </c>
      <c r="AK2043" s="122" t="n">
        <v>8</v>
      </c>
      <c r="AL2043" s="122" t="n">
        <v>0</v>
      </c>
      <c r="AM2043" s="124">
        <f>IFERROR(AL2043/AA2043,"")</f>
        <v/>
      </c>
      <c r="AN2043" s="125">
        <f>IFERROR(R2043/AL2043,"")</f>
        <v/>
      </c>
      <c r="AO2043" s="122" t="n">
        <v>0</v>
      </c>
      <c r="AP2043" s="54">
        <f>IFERROR(AO2043/AL2043,"")</f>
        <v/>
      </c>
      <c r="AQ2043" s="125">
        <f>IFERROR(R2043/AO2043,"")</f>
        <v/>
      </c>
      <c r="AR2043" s="122" t="n">
        <v>0</v>
      </c>
      <c r="AS2043" s="122" t="n">
        <v>0</v>
      </c>
      <c r="AT2043" s="122">
        <f>AL2043+AR2043</f>
        <v/>
      </c>
      <c r="AU2043" s="125">
        <f>IFERROR(AO2043*Assumptions!$C$26*Assumptions!$C$27*INDEX(Assumptions!$C$18:$C$21,MATCH(H2043,Assumptions!$B$18:$B$21,0)),0)</f>
        <v/>
      </c>
    </row>
    <row r="2044">
      <c r="A2044" s="120" t="n">
        <v>46237</v>
      </c>
      <c r="B2044" s="66" t="inlineStr">
        <is>
          <t>Wk 32</t>
        </is>
      </c>
      <c r="C2044" s="66" t="inlineStr">
        <is>
          <t>Mon</t>
        </is>
      </c>
      <c r="D2044" s="66" t="inlineStr">
        <is>
          <t>Programmatic</t>
        </is>
      </c>
      <c r="E2044" s="66" t="inlineStr">
        <is>
          <t>DV360</t>
        </is>
      </c>
      <c r="F2044" s="66" t="inlineStr">
        <is>
          <t>LEP_ZA_AUG26_PROG_TD_VIDEO_OLV</t>
        </is>
      </c>
      <c r="G2044" s="66" t="inlineStr">
        <is>
          <t>Online Video / CTV</t>
        </is>
      </c>
      <c r="H2044" s="66" t="inlineStr">
        <is>
          <t>Range</t>
        </is>
      </c>
      <c r="I2044" s="66" t="inlineStr">
        <is>
          <t>Range Offer</t>
        </is>
      </c>
      <c r="J2044" s="66" t="inlineStr">
        <is>
          <t>PROG_OLV_PREROLL_AUTO</t>
        </is>
      </c>
      <c r="K2044" s="66" t="inlineStr">
        <is>
          <t>Contextual</t>
        </is>
      </c>
      <c r="L2044" s="66" t="inlineStr">
        <is>
          <t>PROG_OLV_15s_AMUR_v1</t>
        </is>
      </c>
      <c r="M2044" s="66" t="inlineStr">
        <is>
          <t>Video 16:9 Pre-roll</t>
        </is>
      </c>
      <c r="N2044" s="66" t="inlineStr">
        <is>
          <t>AMUR from R3 599pm</t>
        </is>
      </c>
      <c r="O2044" s="66" t="inlineStr">
        <is>
          <t>Auction - Fixed CPM</t>
        </is>
      </c>
      <c r="P2044" s="66" t="inlineStr">
        <is>
          <t>Completed Views + CPA</t>
        </is>
      </c>
      <c r="Q2044" s="66" t="inlineStr">
        <is>
          <t>https://www.lepas-sa.co.za/offers</t>
        </is>
      </c>
      <c r="R2044" s="121" t="n">
        <v>146.01</v>
      </c>
      <c r="S2044" s="122" t="n">
        <v>5476</v>
      </c>
      <c r="T2044" s="122" t="n">
        <v>2554</v>
      </c>
      <c r="U2044" s="123">
        <f>IFERROR(S2044/T2044,"")</f>
        <v/>
      </c>
      <c r="V2044" s="122" t="n">
        <v>6</v>
      </c>
      <c r="W2044" s="122" t="n">
        <v>4</v>
      </c>
      <c r="X2044" s="124">
        <f>IFERROR(W2044/S2044,"")</f>
        <v/>
      </c>
      <c r="Y2044" s="121">
        <f>IFERROR(R2044/W2044,"")</f>
        <v/>
      </c>
      <c r="Z2044" s="121">
        <f>IFERROR(R2044/S2044*1000,"")</f>
        <v/>
      </c>
      <c r="AA2044" s="122" t="n">
        <v>3</v>
      </c>
      <c r="AB2044" s="54">
        <f>IFERROR(AA2044/W2044,"")</f>
        <v/>
      </c>
      <c r="AC2044" s="122" t="n">
        <v>1597</v>
      </c>
      <c r="AD2044" s="122" t="n">
        <v>928</v>
      </c>
      <c r="AE2044" s="122" t="n">
        <v>708</v>
      </c>
      <c r="AF2044" s="122" t="n">
        <v>395</v>
      </c>
      <c r="AG2044" s="122" t="n">
        <v>253</v>
      </c>
      <c r="AH2044" s="122" t="n">
        <v>163</v>
      </c>
      <c r="AI2044" s="54">
        <f>IFERROR(AC2044/S2044,"")</f>
        <v/>
      </c>
      <c r="AJ2044" s="54">
        <f>IFERROR(AH2044/S2044,"")</f>
        <v/>
      </c>
      <c r="AK2044" s="122" t="n">
        <v>23</v>
      </c>
      <c r="AL2044" s="122" t="n">
        <v>0</v>
      </c>
      <c r="AM2044" s="124">
        <f>IFERROR(AL2044/AA2044,"")</f>
        <v/>
      </c>
      <c r="AN2044" s="125">
        <f>IFERROR(R2044/AL2044,"")</f>
        <v/>
      </c>
      <c r="AO2044" s="122" t="n">
        <v>0</v>
      </c>
      <c r="AP2044" s="54">
        <f>IFERROR(AO2044/AL2044,"")</f>
        <v/>
      </c>
      <c r="AQ2044" s="125">
        <f>IFERROR(R2044/AO2044,"")</f>
        <v/>
      </c>
      <c r="AR2044" s="122" t="n">
        <v>0</v>
      </c>
      <c r="AS2044" s="122" t="n">
        <v>0</v>
      </c>
      <c r="AT2044" s="122">
        <f>AL2044+AR2044</f>
        <v/>
      </c>
      <c r="AU2044" s="125">
        <f>IFERROR(AO2044*Assumptions!$C$26*Assumptions!$C$27*INDEX(Assumptions!$C$18:$C$21,MATCH(H2044,Assumptions!$B$18:$B$21,0)),0)</f>
        <v/>
      </c>
    </row>
    <row r="2045">
      <c r="A2045" s="120" t="n">
        <v>46238</v>
      </c>
      <c r="B2045" s="66" t="inlineStr">
        <is>
          <t>Wk 32</t>
        </is>
      </c>
      <c r="C2045" s="66" t="inlineStr">
        <is>
          <t>Tue</t>
        </is>
      </c>
      <c r="D2045" s="66" t="inlineStr">
        <is>
          <t>Programmatic</t>
        </is>
      </c>
      <c r="E2045" s="66" t="inlineStr">
        <is>
          <t>DV360</t>
        </is>
      </c>
      <c r="F2045" s="66" t="inlineStr">
        <is>
          <t>LEP_ZA_AUG26_PROG_TD_VIDEO_OLV</t>
        </is>
      </c>
      <c r="G2045" s="66" t="inlineStr">
        <is>
          <t>Online Video / CTV</t>
        </is>
      </c>
      <c r="H2045" s="66" t="inlineStr">
        <is>
          <t>Range</t>
        </is>
      </c>
      <c r="I2045" s="66" t="inlineStr">
        <is>
          <t>Range Offer</t>
        </is>
      </c>
      <c r="J2045" s="66" t="inlineStr">
        <is>
          <t>PROG_OLV_PREROLL_AUTO</t>
        </is>
      </c>
      <c r="K2045" s="66" t="inlineStr">
        <is>
          <t>Contextual</t>
        </is>
      </c>
      <c r="L2045" s="66" t="inlineStr">
        <is>
          <t>PROG_OLV_15s_AMUR_v1</t>
        </is>
      </c>
      <c r="M2045" s="66" t="inlineStr">
        <is>
          <t>Video 16:9 Pre-roll</t>
        </is>
      </c>
      <c r="N2045" s="66" t="inlineStr">
        <is>
          <t>AMUR from R3 599pm</t>
        </is>
      </c>
      <c r="O2045" s="66" t="inlineStr">
        <is>
          <t>Auction - Fixed CPM</t>
        </is>
      </c>
      <c r="P2045" s="66" t="inlineStr">
        <is>
          <t>Completed Views + CPA</t>
        </is>
      </c>
      <c r="Q2045" s="66" t="inlineStr">
        <is>
          <t>https://www.lepas-sa.co.za/offers</t>
        </is>
      </c>
      <c r="R2045" s="121" t="n">
        <v>165.63</v>
      </c>
      <c r="S2045" s="122" t="n">
        <v>6811</v>
      </c>
      <c r="T2045" s="122" t="n">
        <v>3142</v>
      </c>
      <c r="U2045" s="123">
        <f>IFERROR(S2045/T2045,"")</f>
        <v/>
      </c>
      <c r="V2045" s="122" t="n">
        <v>18</v>
      </c>
      <c r="W2045" s="122" t="n">
        <v>13</v>
      </c>
      <c r="X2045" s="124">
        <f>IFERROR(W2045/S2045,"")</f>
        <v/>
      </c>
      <c r="Y2045" s="121">
        <f>IFERROR(R2045/W2045,"")</f>
        <v/>
      </c>
      <c r="Z2045" s="121">
        <f>IFERROR(R2045/S2045*1000,"")</f>
        <v/>
      </c>
      <c r="AA2045" s="122" t="n">
        <v>9</v>
      </c>
      <c r="AB2045" s="54">
        <f>IFERROR(AA2045/W2045,"")</f>
        <v/>
      </c>
      <c r="AC2045" s="122" t="n">
        <v>2626</v>
      </c>
      <c r="AD2045" s="122" t="n">
        <v>1352</v>
      </c>
      <c r="AE2045" s="122" t="n">
        <v>988</v>
      </c>
      <c r="AF2045" s="122" t="n">
        <v>698</v>
      </c>
      <c r="AG2045" s="122" t="n">
        <v>556</v>
      </c>
      <c r="AH2045" s="122" t="n">
        <v>330</v>
      </c>
      <c r="AI2045" s="54">
        <f>IFERROR(AC2045/S2045,"")</f>
        <v/>
      </c>
      <c r="AJ2045" s="54">
        <f>IFERROR(AH2045/S2045,"")</f>
        <v/>
      </c>
      <c r="AK2045" s="122" t="n">
        <v>21</v>
      </c>
      <c r="AL2045" s="122" t="n">
        <v>1</v>
      </c>
      <c r="AM2045" s="124">
        <f>IFERROR(AL2045/AA2045,"")</f>
        <v/>
      </c>
      <c r="AN2045" s="125">
        <f>IFERROR(R2045/AL2045,"")</f>
        <v/>
      </c>
      <c r="AO2045" s="122" t="n">
        <v>0</v>
      </c>
      <c r="AP2045" s="54">
        <f>IFERROR(AO2045/AL2045,"")</f>
        <v/>
      </c>
      <c r="AQ2045" s="125">
        <f>IFERROR(R2045/AO2045,"")</f>
        <v/>
      </c>
      <c r="AR2045" s="122" t="n">
        <v>2</v>
      </c>
      <c r="AS2045" s="122" t="n">
        <v>1</v>
      </c>
      <c r="AT2045" s="122">
        <f>AL2045+AR2045</f>
        <v/>
      </c>
      <c r="AU2045" s="125">
        <f>IFERROR(AO2045*Assumptions!$C$26*Assumptions!$C$27*INDEX(Assumptions!$C$18:$C$21,MATCH(H2045,Assumptions!$B$18:$B$21,0)),0)</f>
        <v/>
      </c>
    </row>
    <row r="2046">
      <c r="A2046" s="120" t="n">
        <v>46239</v>
      </c>
      <c r="B2046" s="66" t="inlineStr">
        <is>
          <t>Wk 32</t>
        </is>
      </c>
      <c r="C2046" s="66" t="inlineStr">
        <is>
          <t>Wed</t>
        </is>
      </c>
      <c r="D2046" s="66" t="inlineStr">
        <is>
          <t>Programmatic</t>
        </is>
      </c>
      <c r="E2046" s="66" t="inlineStr">
        <is>
          <t>DV360</t>
        </is>
      </c>
      <c r="F2046" s="66" t="inlineStr">
        <is>
          <t>LEP_ZA_AUG26_PROG_TD_VIDEO_OLV</t>
        </is>
      </c>
      <c r="G2046" s="66" t="inlineStr">
        <is>
          <t>Online Video / CTV</t>
        </is>
      </c>
      <c r="H2046" s="66" t="inlineStr">
        <is>
          <t>Range</t>
        </is>
      </c>
      <c r="I2046" s="66" t="inlineStr">
        <is>
          <t>Range Offer</t>
        </is>
      </c>
      <c r="J2046" s="66" t="inlineStr">
        <is>
          <t>PROG_OLV_PREROLL_AUTO</t>
        </is>
      </c>
      <c r="K2046" s="66" t="inlineStr">
        <is>
          <t>Contextual</t>
        </is>
      </c>
      <c r="L2046" s="66" t="inlineStr">
        <is>
          <t>PROG_OLV_15s_AMUR_v1</t>
        </is>
      </c>
      <c r="M2046" s="66" t="inlineStr">
        <is>
          <t>Video 16:9 Pre-roll</t>
        </is>
      </c>
      <c r="N2046" s="66" t="inlineStr">
        <is>
          <t>AMUR from R3 599pm</t>
        </is>
      </c>
      <c r="O2046" s="66" t="inlineStr">
        <is>
          <t>Auction - Fixed CPM</t>
        </is>
      </c>
      <c r="P2046" s="66" t="inlineStr">
        <is>
          <t>Completed Views + CPA</t>
        </is>
      </c>
      <c r="Q2046" s="66" t="inlineStr">
        <is>
          <t>https://www.lepas-sa.co.za/offers</t>
        </is>
      </c>
      <c r="R2046" s="121" t="n">
        <v>154.79</v>
      </c>
      <c r="S2046" s="122" t="n">
        <v>6286</v>
      </c>
      <c r="T2046" s="122" t="n">
        <v>4065</v>
      </c>
      <c r="U2046" s="123">
        <f>IFERROR(S2046/T2046,"")</f>
        <v/>
      </c>
      <c r="V2046" s="122" t="n">
        <v>21</v>
      </c>
      <c r="W2046" s="122" t="n">
        <v>17</v>
      </c>
      <c r="X2046" s="124">
        <f>IFERROR(W2046/S2046,"")</f>
        <v/>
      </c>
      <c r="Y2046" s="121">
        <f>IFERROR(R2046/W2046,"")</f>
        <v/>
      </c>
      <c r="Z2046" s="121">
        <f>IFERROR(R2046/S2046*1000,"")</f>
        <v/>
      </c>
      <c r="AA2046" s="122" t="n">
        <v>10</v>
      </c>
      <c r="AB2046" s="54">
        <f>IFERROR(AA2046/W2046,"")</f>
        <v/>
      </c>
      <c r="AC2046" s="122" t="n">
        <v>2372</v>
      </c>
      <c r="AD2046" s="122" t="n">
        <v>1251</v>
      </c>
      <c r="AE2046" s="122" t="n">
        <v>1279</v>
      </c>
      <c r="AF2046" s="122" t="n">
        <v>846</v>
      </c>
      <c r="AG2046" s="122" t="n">
        <v>551</v>
      </c>
      <c r="AH2046" s="122" t="n">
        <v>330</v>
      </c>
      <c r="AI2046" s="54">
        <f>IFERROR(AC2046/S2046,"")</f>
        <v/>
      </c>
      <c r="AJ2046" s="54">
        <f>IFERROR(AH2046/S2046,"")</f>
        <v/>
      </c>
      <c r="AK2046" s="122" t="n">
        <v>28</v>
      </c>
      <c r="AL2046" s="122" t="n">
        <v>0</v>
      </c>
      <c r="AM2046" s="124">
        <f>IFERROR(AL2046/AA2046,"")</f>
        <v/>
      </c>
      <c r="AN2046" s="125">
        <f>IFERROR(R2046/AL2046,"")</f>
        <v/>
      </c>
      <c r="AO2046" s="122" t="n">
        <v>0</v>
      </c>
      <c r="AP2046" s="54">
        <f>IFERROR(AO2046/AL2046,"")</f>
        <v/>
      </c>
      <c r="AQ2046" s="125">
        <f>IFERROR(R2046/AO2046,"")</f>
        <v/>
      </c>
      <c r="AR2046" s="122" t="n">
        <v>0</v>
      </c>
      <c r="AS2046" s="122" t="n">
        <v>0</v>
      </c>
      <c r="AT2046" s="122">
        <f>AL2046+AR2046</f>
        <v/>
      </c>
      <c r="AU2046" s="125">
        <f>IFERROR(AO2046*Assumptions!$C$26*Assumptions!$C$27*INDEX(Assumptions!$C$18:$C$21,MATCH(H2046,Assumptions!$B$18:$B$21,0)),0)</f>
        <v/>
      </c>
    </row>
    <row r="2047">
      <c r="A2047" s="120" t="n">
        <v>46240</v>
      </c>
      <c r="B2047" s="66" t="inlineStr">
        <is>
          <t>Wk 32</t>
        </is>
      </c>
      <c r="C2047" s="66" t="inlineStr">
        <is>
          <t>Thu</t>
        </is>
      </c>
      <c r="D2047" s="66" t="inlineStr">
        <is>
          <t>Programmatic</t>
        </is>
      </c>
      <c r="E2047" s="66" t="inlineStr">
        <is>
          <t>DV360</t>
        </is>
      </c>
      <c r="F2047" s="66" t="inlineStr">
        <is>
          <t>LEP_ZA_AUG26_PROG_TD_VIDEO_OLV</t>
        </is>
      </c>
      <c r="G2047" s="66" t="inlineStr">
        <is>
          <t>Online Video / CTV</t>
        </is>
      </c>
      <c r="H2047" s="66" t="inlineStr">
        <is>
          <t>Range</t>
        </is>
      </c>
      <c r="I2047" s="66" t="inlineStr">
        <is>
          <t>Range Offer</t>
        </is>
      </c>
      <c r="J2047" s="66" t="inlineStr">
        <is>
          <t>PROG_OLV_PREROLL_AUTO</t>
        </is>
      </c>
      <c r="K2047" s="66" t="inlineStr">
        <is>
          <t>Contextual</t>
        </is>
      </c>
      <c r="L2047" s="66" t="inlineStr">
        <is>
          <t>PROG_OLV_15s_AMUR_v1</t>
        </is>
      </c>
      <c r="M2047" s="66" t="inlineStr">
        <is>
          <t>Video 16:9 Pre-roll</t>
        </is>
      </c>
      <c r="N2047" s="66" t="inlineStr">
        <is>
          <t>AMUR from R3 599pm</t>
        </is>
      </c>
      <c r="O2047" s="66" t="inlineStr">
        <is>
          <t>Auction - Fixed CPM</t>
        </is>
      </c>
      <c r="P2047" s="66" t="inlineStr">
        <is>
          <t>Completed Views + CPA</t>
        </is>
      </c>
      <c r="Q2047" s="66" t="inlineStr">
        <is>
          <t>https://www.lepas-sa.co.za/offers</t>
        </is>
      </c>
      <c r="R2047" s="121" t="n">
        <v>163.05</v>
      </c>
      <c r="S2047" s="122" t="n">
        <v>7701</v>
      </c>
      <c r="T2047" s="122" t="n">
        <v>5665</v>
      </c>
      <c r="U2047" s="123">
        <f>IFERROR(S2047/T2047,"")</f>
        <v/>
      </c>
      <c r="V2047" s="122" t="n">
        <v>16</v>
      </c>
      <c r="W2047" s="122" t="n">
        <v>12</v>
      </c>
      <c r="X2047" s="124">
        <f>IFERROR(W2047/S2047,"")</f>
        <v/>
      </c>
      <c r="Y2047" s="121">
        <f>IFERROR(R2047/W2047,"")</f>
        <v/>
      </c>
      <c r="Z2047" s="121">
        <f>IFERROR(R2047/S2047*1000,"")</f>
        <v/>
      </c>
      <c r="AA2047" s="122" t="n">
        <v>9</v>
      </c>
      <c r="AB2047" s="54">
        <f>IFERROR(AA2047/W2047,"")</f>
        <v/>
      </c>
      <c r="AC2047" s="122" t="n">
        <v>2620</v>
      </c>
      <c r="AD2047" s="122" t="n">
        <v>1525</v>
      </c>
      <c r="AE2047" s="122" t="n">
        <v>1017</v>
      </c>
      <c r="AF2047" s="122" t="n">
        <v>693</v>
      </c>
      <c r="AG2047" s="122" t="n">
        <v>462</v>
      </c>
      <c r="AH2047" s="122" t="n">
        <v>288</v>
      </c>
      <c r="AI2047" s="54">
        <f>IFERROR(AC2047/S2047,"")</f>
        <v/>
      </c>
      <c r="AJ2047" s="54">
        <f>IFERROR(AH2047/S2047,"")</f>
        <v/>
      </c>
      <c r="AK2047" s="122" t="n">
        <v>16</v>
      </c>
      <c r="AL2047" s="122" t="n">
        <v>0</v>
      </c>
      <c r="AM2047" s="124">
        <f>IFERROR(AL2047/AA2047,"")</f>
        <v/>
      </c>
      <c r="AN2047" s="125">
        <f>IFERROR(R2047/AL2047,"")</f>
        <v/>
      </c>
      <c r="AO2047" s="122" t="n">
        <v>0</v>
      </c>
      <c r="AP2047" s="54">
        <f>IFERROR(AO2047/AL2047,"")</f>
        <v/>
      </c>
      <c r="AQ2047" s="125">
        <f>IFERROR(R2047/AO2047,"")</f>
        <v/>
      </c>
      <c r="AR2047" s="122" t="n">
        <v>0</v>
      </c>
      <c r="AS2047" s="122" t="n">
        <v>0</v>
      </c>
      <c r="AT2047" s="122">
        <f>AL2047+AR2047</f>
        <v/>
      </c>
      <c r="AU2047" s="125">
        <f>IFERROR(AO2047*Assumptions!$C$26*Assumptions!$C$27*INDEX(Assumptions!$C$18:$C$21,MATCH(H2047,Assumptions!$B$18:$B$21,0)),0)</f>
        <v/>
      </c>
    </row>
    <row r="2048">
      <c r="A2048" s="120" t="n">
        <v>46241</v>
      </c>
      <c r="B2048" s="66" t="inlineStr">
        <is>
          <t>Wk 32</t>
        </is>
      </c>
      <c r="C2048" s="66" t="inlineStr">
        <is>
          <t>Fri</t>
        </is>
      </c>
      <c r="D2048" s="66" t="inlineStr">
        <is>
          <t>Programmatic</t>
        </is>
      </c>
      <c r="E2048" s="66" t="inlineStr">
        <is>
          <t>DV360</t>
        </is>
      </c>
      <c r="F2048" s="66" t="inlineStr">
        <is>
          <t>LEP_ZA_AUG26_PROG_TD_VIDEO_OLV</t>
        </is>
      </c>
      <c r="G2048" s="66" t="inlineStr">
        <is>
          <t>Online Video / CTV</t>
        </is>
      </c>
      <c r="H2048" s="66" t="inlineStr">
        <is>
          <t>Range</t>
        </is>
      </c>
      <c r="I2048" s="66" t="inlineStr">
        <is>
          <t>Range Offer</t>
        </is>
      </c>
      <c r="J2048" s="66" t="inlineStr">
        <is>
          <t>PROG_OLV_PREROLL_AUTO</t>
        </is>
      </c>
      <c r="K2048" s="66" t="inlineStr">
        <is>
          <t>Contextual</t>
        </is>
      </c>
      <c r="L2048" s="66" t="inlineStr">
        <is>
          <t>PROG_OLV_15s_AMUR_v1</t>
        </is>
      </c>
      <c r="M2048" s="66" t="inlineStr">
        <is>
          <t>Video 16:9 Pre-roll</t>
        </is>
      </c>
      <c r="N2048" s="66" t="inlineStr">
        <is>
          <t>AMUR from R3 599pm</t>
        </is>
      </c>
      <c r="O2048" s="66" t="inlineStr">
        <is>
          <t>Auction - Fixed CPM</t>
        </is>
      </c>
      <c r="P2048" s="66" t="inlineStr">
        <is>
          <t>Completed Views + CPA</t>
        </is>
      </c>
      <c r="Q2048" s="66" t="inlineStr">
        <is>
          <t>https://www.lepas-sa.co.za/offers</t>
        </is>
      </c>
      <c r="R2048" s="121" t="n">
        <v>202.25</v>
      </c>
      <c r="S2048" s="122" t="n">
        <v>8443</v>
      </c>
      <c r="T2048" s="122" t="n">
        <v>6332</v>
      </c>
      <c r="U2048" s="123">
        <f>IFERROR(S2048/T2048,"")</f>
        <v/>
      </c>
      <c r="V2048" s="122" t="n">
        <v>20</v>
      </c>
      <c r="W2048" s="122" t="n">
        <v>16</v>
      </c>
      <c r="X2048" s="124">
        <f>IFERROR(W2048/S2048,"")</f>
        <v/>
      </c>
      <c r="Y2048" s="121">
        <f>IFERROR(R2048/W2048,"")</f>
        <v/>
      </c>
      <c r="Z2048" s="121">
        <f>IFERROR(R2048/S2048*1000,"")</f>
        <v/>
      </c>
      <c r="AA2048" s="122" t="n">
        <v>11</v>
      </c>
      <c r="AB2048" s="54">
        <f>IFERROR(AA2048/W2048,"")</f>
        <v/>
      </c>
      <c r="AC2048" s="122" t="n">
        <v>2797</v>
      </c>
      <c r="AD2048" s="122" t="n">
        <v>1585</v>
      </c>
      <c r="AE2048" s="122" t="n">
        <v>1340</v>
      </c>
      <c r="AF2048" s="122" t="n">
        <v>932</v>
      </c>
      <c r="AG2048" s="122" t="n">
        <v>743</v>
      </c>
      <c r="AH2048" s="122" t="n">
        <v>467</v>
      </c>
      <c r="AI2048" s="54">
        <f>IFERROR(AC2048/S2048,"")</f>
        <v/>
      </c>
      <c r="AJ2048" s="54">
        <f>IFERROR(AH2048/S2048,"")</f>
        <v/>
      </c>
      <c r="AK2048" s="122" t="n">
        <v>17</v>
      </c>
      <c r="AL2048" s="122" t="n">
        <v>0</v>
      </c>
      <c r="AM2048" s="124">
        <f>IFERROR(AL2048/AA2048,"")</f>
        <v/>
      </c>
      <c r="AN2048" s="125">
        <f>IFERROR(R2048/AL2048,"")</f>
        <v/>
      </c>
      <c r="AO2048" s="122" t="n">
        <v>0</v>
      </c>
      <c r="AP2048" s="54">
        <f>IFERROR(AO2048/AL2048,"")</f>
        <v/>
      </c>
      <c r="AQ2048" s="125">
        <f>IFERROR(R2048/AO2048,"")</f>
        <v/>
      </c>
      <c r="AR2048" s="122" t="n">
        <v>0</v>
      </c>
      <c r="AS2048" s="122" t="n">
        <v>0</v>
      </c>
      <c r="AT2048" s="122">
        <f>AL2048+AR2048</f>
        <v/>
      </c>
      <c r="AU2048" s="125">
        <f>IFERROR(AO2048*Assumptions!$C$26*Assumptions!$C$27*INDEX(Assumptions!$C$18:$C$21,MATCH(H2048,Assumptions!$B$18:$B$21,0)),0)</f>
        <v/>
      </c>
    </row>
    <row r="2049">
      <c r="A2049" s="120" t="n">
        <v>46242</v>
      </c>
      <c r="B2049" s="66" t="inlineStr">
        <is>
          <t>Wk 32</t>
        </is>
      </c>
      <c r="C2049" s="66" t="inlineStr">
        <is>
          <t>Sat</t>
        </is>
      </c>
      <c r="D2049" s="66" t="inlineStr">
        <is>
          <t>Programmatic</t>
        </is>
      </c>
      <c r="E2049" s="66" t="inlineStr">
        <is>
          <t>DV360</t>
        </is>
      </c>
      <c r="F2049" s="66" t="inlineStr">
        <is>
          <t>LEP_ZA_AUG26_PROG_TD_VIDEO_OLV</t>
        </is>
      </c>
      <c r="G2049" s="66" t="inlineStr">
        <is>
          <t>Online Video / CTV</t>
        </is>
      </c>
      <c r="H2049" s="66" t="inlineStr">
        <is>
          <t>Range</t>
        </is>
      </c>
      <c r="I2049" s="66" t="inlineStr">
        <is>
          <t>Range Offer</t>
        </is>
      </c>
      <c r="J2049" s="66" t="inlineStr">
        <is>
          <t>PROG_OLV_PREROLL_AUTO</t>
        </is>
      </c>
      <c r="K2049" s="66" t="inlineStr">
        <is>
          <t>Contextual</t>
        </is>
      </c>
      <c r="L2049" s="66" t="inlineStr">
        <is>
          <t>PROG_OLV_15s_AMUR_v1</t>
        </is>
      </c>
      <c r="M2049" s="66" t="inlineStr">
        <is>
          <t>Video 16:9 Pre-roll</t>
        </is>
      </c>
      <c r="N2049" s="66" t="inlineStr">
        <is>
          <t>AMUR from R3 599pm</t>
        </is>
      </c>
      <c r="O2049" s="66" t="inlineStr">
        <is>
          <t>Auction - Fixed CPM</t>
        </is>
      </c>
      <c r="P2049" s="66" t="inlineStr">
        <is>
          <t>Completed Views + CPA</t>
        </is>
      </c>
      <c r="Q2049" s="66" t="inlineStr">
        <is>
          <t>https://www.lepas-sa.co.za/offers</t>
        </is>
      </c>
      <c r="R2049" s="121" t="n">
        <v>202.15</v>
      </c>
      <c r="S2049" s="122" t="n">
        <v>9572</v>
      </c>
      <c r="T2049" s="122" t="n">
        <v>6543</v>
      </c>
      <c r="U2049" s="123">
        <f>IFERROR(S2049/T2049,"")</f>
        <v/>
      </c>
      <c r="V2049" s="122" t="n">
        <v>18</v>
      </c>
      <c r="W2049" s="122" t="n">
        <v>14</v>
      </c>
      <c r="X2049" s="124">
        <f>IFERROR(W2049/S2049,"")</f>
        <v/>
      </c>
      <c r="Y2049" s="121">
        <f>IFERROR(R2049/W2049,"")</f>
        <v/>
      </c>
      <c r="Z2049" s="121">
        <f>IFERROR(R2049/S2049*1000,"")</f>
        <v/>
      </c>
      <c r="AA2049" s="122" t="n">
        <v>10</v>
      </c>
      <c r="AB2049" s="54">
        <f>IFERROR(AA2049/W2049,"")</f>
        <v/>
      </c>
      <c r="AC2049" s="122" t="n">
        <v>3919</v>
      </c>
      <c r="AD2049" s="122" t="n">
        <v>2050</v>
      </c>
      <c r="AE2049" s="122" t="n">
        <v>1959</v>
      </c>
      <c r="AF2049" s="122" t="n">
        <v>1339</v>
      </c>
      <c r="AG2049" s="122" t="n">
        <v>931</v>
      </c>
      <c r="AH2049" s="122" t="n">
        <v>516</v>
      </c>
      <c r="AI2049" s="54">
        <f>IFERROR(AC2049/S2049,"")</f>
        <v/>
      </c>
      <c r="AJ2049" s="54">
        <f>IFERROR(AH2049/S2049,"")</f>
        <v/>
      </c>
      <c r="AK2049" s="122" t="n">
        <v>50</v>
      </c>
      <c r="AL2049" s="122" t="n">
        <v>0</v>
      </c>
      <c r="AM2049" s="124">
        <f>IFERROR(AL2049/AA2049,"")</f>
        <v/>
      </c>
      <c r="AN2049" s="125">
        <f>IFERROR(R2049/AL2049,"")</f>
        <v/>
      </c>
      <c r="AO2049" s="122" t="n">
        <v>0</v>
      </c>
      <c r="AP2049" s="54">
        <f>IFERROR(AO2049/AL2049,"")</f>
        <v/>
      </c>
      <c r="AQ2049" s="125">
        <f>IFERROR(R2049/AO2049,"")</f>
        <v/>
      </c>
      <c r="AR2049" s="122" t="n">
        <v>0</v>
      </c>
      <c r="AS2049" s="122" t="n">
        <v>0</v>
      </c>
      <c r="AT2049" s="122">
        <f>AL2049+AR2049</f>
        <v/>
      </c>
      <c r="AU2049" s="125">
        <f>IFERROR(AO2049*Assumptions!$C$26*Assumptions!$C$27*INDEX(Assumptions!$C$18:$C$21,MATCH(H2049,Assumptions!$B$18:$B$21,0)),0)</f>
        <v/>
      </c>
    </row>
    <row r="2050">
      <c r="A2050" s="120" t="n">
        <v>46243</v>
      </c>
      <c r="B2050" s="66" t="inlineStr">
        <is>
          <t>Wk 32</t>
        </is>
      </c>
      <c r="C2050" s="66" t="inlineStr">
        <is>
          <t>Sun</t>
        </is>
      </c>
      <c r="D2050" s="66" t="inlineStr">
        <is>
          <t>Programmatic</t>
        </is>
      </c>
      <c r="E2050" s="66" t="inlineStr">
        <is>
          <t>DV360</t>
        </is>
      </c>
      <c r="F2050" s="66" t="inlineStr">
        <is>
          <t>LEP_ZA_AUG26_PROG_TD_VIDEO_OLV</t>
        </is>
      </c>
      <c r="G2050" s="66" t="inlineStr">
        <is>
          <t>Online Video / CTV</t>
        </is>
      </c>
      <c r="H2050" s="66" t="inlineStr">
        <is>
          <t>Range</t>
        </is>
      </c>
      <c r="I2050" s="66" t="inlineStr">
        <is>
          <t>Range Offer</t>
        </is>
      </c>
      <c r="J2050" s="66" t="inlineStr">
        <is>
          <t>PROG_OLV_PREROLL_AUTO</t>
        </is>
      </c>
      <c r="K2050" s="66" t="inlineStr">
        <is>
          <t>Contextual</t>
        </is>
      </c>
      <c r="L2050" s="66" t="inlineStr">
        <is>
          <t>PROG_OLV_15s_AMUR_v1</t>
        </is>
      </c>
      <c r="M2050" s="66" t="inlineStr">
        <is>
          <t>Video 16:9 Pre-roll</t>
        </is>
      </c>
      <c r="N2050" s="66" t="inlineStr">
        <is>
          <t>AMUR from R3 599pm</t>
        </is>
      </c>
      <c r="O2050" s="66" t="inlineStr">
        <is>
          <t>Auction - Fixed CPM</t>
        </is>
      </c>
      <c r="P2050" s="66" t="inlineStr">
        <is>
          <t>Completed Views + CPA</t>
        </is>
      </c>
      <c r="Q2050" s="66" t="inlineStr">
        <is>
          <t>https://www.lepas-sa.co.za/offers</t>
        </is>
      </c>
      <c r="R2050" s="121" t="n">
        <v>158.04</v>
      </c>
      <c r="S2050" s="122" t="n">
        <v>5650</v>
      </c>
      <c r="T2050" s="122" t="n">
        <v>3624</v>
      </c>
      <c r="U2050" s="123">
        <f>IFERROR(S2050/T2050,"")</f>
        <v/>
      </c>
      <c r="V2050" s="122" t="n">
        <v>8</v>
      </c>
      <c r="W2050" s="122" t="n">
        <v>7</v>
      </c>
      <c r="X2050" s="124">
        <f>IFERROR(W2050/S2050,"")</f>
        <v/>
      </c>
      <c r="Y2050" s="121">
        <f>IFERROR(R2050/W2050,"")</f>
        <v/>
      </c>
      <c r="Z2050" s="121">
        <f>IFERROR(R2050/S2050*1000,"")</f>
        <v/>
      </c>
      <c r="AA2050" s="122" t="n">
        <v>4</v>
      </c>
      <c r="AB2050" s="54">
        <f>IFERROR(AA2050/W2050,"")</f>
        <v/>
      </c>
      <c r="AC2050" s="122" t="n">
        <v>2263</v>
      </c>
      <c r="AD2050" s="122" t="n">
        <v>1085</v>
      </c>
      <c r="AE2050" s="122" t="n">
        <v>1235</v>
      </c>
      <c r="AF2050" s="122" t="n">
        <v>679</v>
      </c>
      <c r="AG2050" s="122" t="n">
        <v>529</v>
      </c>
      <c r="AH2050" s="122" t="n">
        <v>329</v>
      </c>
      <c r="AI2050" s="54">
        <f>IFERROR(AC2050/S2050,"")</f>
        <v/>
      </c>
      <c r="AJ2050" s="54">
        <f>IFERROR(AH2050/S2050,"")</f>
        <v/>
      </c>
      <c r="AK2050" s="122" t="n">
        <v>13</v>
      </c>
      <c r="AL2050" s="122" t="n">
        <v>0</v>
      </c>
      <c r="AM2050" s="124">
        <f>IFERROR(AL2050/AA2050,"")</f>
        <v/>
      </c>
      <c r="AN2050" s="125">
        <f>IFERROR(R2050/AL2050,"")</f>
        <v/>
      </c>
      <c r="AO2050" s="122" t="n">
        <v>0</v>
      </c>
      <c r="AP2050" s="54">
        <f>IFERROR(AO2050/AL2050,"")</f>
        <v/>
      </c>
      <c r="AQ2050" s="125">
        <f>IFERROR(R2050/AO2050,"")</f>
        <v/>
      </c>
      <c r="AR2050" s="122" t="n">
        <v>0</v>
      </c>
      <c r="AS2050" s="122" t="n">
        <v>0</v>
      </c>
      <c r="AT2050" s="122">
        <f>AL2050+AR2050</f>
        <v/>
      </c>
      <c r="AU2050" s="125">
        <f>IFERROR(AO2050*Assumptions!$C$26*Assumptions!$C$27*INDEX(Assumptions!$C$18:$C$21,MATCH(H2050,Assumptions!$B$18:$B$21,0)),0)</f>
        <v/>
      </c>
    </row>
    <row r="2051">
      <c r="A2051" s="120" t="n">
        <v>46244</v>
      </c>
      <c r="B2051" s="66" t="inlineStr">
        <is>
          <t>Wk 33</t>
        </is>
      </c>
      <c r="C2051" s="66" t="inlineStr">
        <is>
          <t>Mon</t>
        </is>
      </c>
      <c r="D2051" s="66" t="inlineStr">
        <is>
          <t>Programmatic</t>
        </is>
      </c>
      <c r="E2051" s="66" t="inlineStr">
        <is>
          <t>DV360</t>
        </is>
      </c>
      <c r="F2051" s="66" t="inlineStr">
        <is>
          <t>LEP_ZA_AUG26_PROG_TD_VIDEO_OLV</t>
        </is>
      </c>
      <c r="G2051" s="66" t="inlineStr">
        <is>
          <t>Online Video / CTV</t>
        </is>
      </c>
      <c r="H2051" s="66" t="inlineStr">
        <is>
          <t>Range</t>
        </is>
      </c>
      <c r="I2051" s="66" t="inlineStr">
        <is>
          <t>Range Offer</t>
        </is>
      </c>
      <c r="J2051" s="66" t="inlineStr">
        <is>
          <t>PROG_OLV_PREROLL_AUTO</t>
        </is>
      </c>
      <c r="K2051" s="66" t="inlineStr">
        <is>
          <t>Contextual</t>
        </is>
      </c>
      <c r="L2051" s="66" t="inlineStr">
        <is>
          <t>PROG_OLV_15s_AMUR_v1</t>
        </is>
      </c>
      <c r="M2051" s="66" t="inlineStr">
        <is>
          <t>Video 16:9 Pre-roll</t>
        </is>
      </c>
      <c r="N2051" s="66" t="inlineStr">
        <is>
          <t>AMUR from R3 599pm</t>
        </is>
      </c>
      <c r="O2051" s="66" t="inlineStr">
        <is>
          <t>Auction - Fixed CPM</t>
        </is>
      </c>
      <c r="P2051" s="66" t="inlineStr">
        <is>
          <t>Completed Views + CPA</t>
        </is>
      </c>
      <c r="Q2051" s="66" t="inlineStr">
        <is>
          <t>https://www.lepas-sa.co.za/offers</t>
        </is>
      </c>
      <c r="R2051" s="121" t="n">
        <v>170.31</v>
      </c>
      <c r="S2051" s="122" t="n">
        <v>5461</v>
      </c>
      <c r="T2051" s="122" t="n">
        <v>2429</v>
      </c>
      <c r="U2051" s="123">
        <f>IFERROR(S2051/T2051,"")</f>
        <v/>
      </c>
      <c r="V2051" s="122" t="n">
        <v>5</v>
      </c>
      <c r="W2051" s="122" t="n">
        <v>4</v>
      </c>
      <c r="X2051" s="124">
        <f>IFERROR(W2051/S2051,"")</f>
        <v/>
      </c>
      <c r="Y2051" s="121">
        <f>IFERROR(R2051/W2051,"")</f>
        <v/>
      </c>
      <c r="Z2051" s="121">
        <f>IFERROR(R2051/S2051*1000,"")</f>
        <v/>
      </c>
      <c r="AA2051" s="122" t="n">
        <v>3</v>
      </c>
      <c r="AB2051" s="54">
        <f>IFERROR(AA2051/W2051,"")</f>
        <v/>
      </c>
      <c r="AC2051" s="122" t="n">
        <v>2057</v>
      </c>
      <c r="AD2051" s="122" t="n">
        <v>1195</v>
      </c>
      <c r="AE2051" s="122" t="n">
        <v>830</v>
      </c>
      <c r="AF2051" s="122" t="n">
        <v>573</v>
      </c>
      <c r="AG2051" s="122" t="n">
        <v>408</v>
      </c>
      <c r="AH2051" s="122" t="n">
        <v>228</v>
      </c>
      <c r="AI2051" s="54">
        <f>IFERROR(AC2051/S2051,"")</f>
        <v/>
      </c>
      <c r="AJ2051" s="54">
        <f>IFERROR(AH2051/S2051,"")</f>
        <v/>
      </c>
      <c r="AK2051" s="122" t="n">
        <v>26</v>
      </c>
      <c r="AL2051" s="122" t="n">
        <v>0</v>
      </c>
      <c r="AM2051" s="124">
        <f>IFERROR(AL2051/AA2051,"")</f>
        <v/>
      </c>
      <c r="AN2051" s="125">
        <f>IFERROR(R2051/AL2051,"")</f>
        <v/>
      </c>
      <c r="AO2051" s="122" t="n">
        <v>0</v>
      </c>
      <c r="AP2051" s="54">
        <f>IFERROR(AO2051/AL2051,"")</f>
        <v/>
      </c>
      <c r="AQ2051" s="125">
        <f>IFERROR(R2051/AO2051,"")</f>
        <v/>
      </c>
      <c r="AR2051" s="122" t="n">
        <v>0</v>
      </c>
      <c r="AS2051" s="122" t="n">
        <v>0</v>
      </c>
      <c r="AT2051" s="122">
        <f>AL2051+AR2051</f>
        <v/>
      </c>
      <c r="AU2051" s="125">
        <f>IFERROR(AO2051*Assumptions!$C$26*Assumptions!$C$27*INDEX(Assumptions!$C$18:$C$21,MATCH(H2051,Assumptions!$B$18:$B$21,0)),0)</f>
        <v/>
      </c>
    </row>
    <row r="2052">
      <c r="A2052" s="120" t="n">
        <v>46245</v>
      </c>
      <c r="B2052" s="66" t="inlineStr">
        <is>
          <t>Wk 33</t>
        </is>
      </c>
      <c r="C2052" s="66" t="inlineStr">
        <is>
          <t>Tue</t>
        </is>
      </c>
      <c r="D2052" s="66" t="inlineStr">
        <is>
          <t>Programmatic</t>
        </is>
      </c>
      <c r="E2052" s="66" t="inlineStr">
        <is>
          <t>DV360</t>
        </is>
      </c>
      <c r="F2052" s="66" t="inlineStr">
        <is>
          <t>LEP_ZA_AUG26_PROG_TD_VIDEO_OLV</t>
        </is>
      </c>
      <c r="G2052" s="66" t="inlineStr">
        <is>
          <t>Online Video / CTV</t>
        </is>
      </c>
      <c r="H2052" s="66" t="inlineStr">
        <is>
          <t>Range</t>
        </is>
      </c>
      <c r="I2052" s="66" t="inlineStr">
        <is>
          <t>Range Offer</t>
        </is>
      </c>
      <c r="J2052" s="66" t="inlineStr">
        <is>
          <t>PROG_OLV_PREROLL_AUTO</t>
        </is>
      </c>
      <c r="K2052" s="66" t="inlineStr">
        <is>
          <t>Contextual</t>
        </is>
      </c>
      <c r="L2052" s="66" t="inlineStr">
        <is>
          <t>PROG_OLV_15s_AMUR_v1</t>
        </is>
      </c>
      <c r="M2052" s="66" t="inlineStr">
        <is>
          <t>Video 16:9 Pre-roll</t>
        </is>
      </c>
      <c r="N2052" s="66" t="inlineStr">
        <is>
          <t>AMUR from R3 599pm</t>
        </is>
      </c>
      <c r="O2052" s="66" t="inlineStr">
        <is>
          <t>Auction - Fixed CPM</t>
        </is>
      </c>
      <c r="P2052" s="66" t="inlineStr">
        <is>
          <t>Completed Views + CPA</t>
        </is>
      </c>
      <c r="Q2052" s="66" t="inlineStr">
        <is>
          <t>https://www.lepas-sa.co.za/offers</t>
        </is>
      </c>
      <c r="R2052" s="121" t="n">
        <v>133.76</v>
      </c>
      <c r="S2052" s="122" t="n">
        <v>7187</v>
      </c>
      <c r="T2052" s="122" t="n">
        <v>3476</v>
      </c>
      <c r="U2052" s="123">
        <f>IFERROR(S2052/T2052,"")</f>
        <v/>
      </c>
      <c r="V2052" s="122" t="n">
        <v>16</v>
      </c>
      <c r="W2052" s="122" t="n">
        <v>13</v>
      </c>
      <c r="X2052" s="124">
        <f>IFERROR(W2052/S2052,"")</f>
        <v/>
      </c>
      <c r="Y2052" s="121">
        <f>IFERROR(R2052/W2052,"")</f>
        <v/>
      </c>
      <c r="Z2052" s="121">
        <f>IFERROR(R2052/S2052*1000,"")</f>
        <v/>
      </c>
      <c r="AA2052" s="122" t="n">
        <v>8</v>
      </c>
      <c r="AB2052" s="54">
        <f>IFERROR(AA2052/W2052,"")</f>
        <v/>
      </c>
      <c r="AC2052" s="122" t="n">
        <v>2341</v>
      </c>
      <c r="AD2052" s="122" t="n">
        <v>1091</v>
      </c>
      <c r="AE2052" s="122" t="n">
        <v>1254</v>
      </c>
      <c r="AF2052" s="122" t="n">
        <v>858</v>
      </c>
      <c r="AG2052" s="122" t="n">
        <v>661</v>
      </c>
      <c r="AH2052" s="122" t="n">
        <v>453</v>
      </c>
      <c r="AI2052" s="54">
        <f>IFERROR(AC2052/S2052,"")</f>
        <v/>
      </c>
      <c r="AJ2052" s="54">
        <f>IFERROR(AH2052/S2052,"")</f>
        <v/>
      </c>
      <c r="AK2052" s="122" t="n">
        <v>34</v>
      </c>
      <c r="AL2052" s="122" t="n">
        <v>0</v>
      </c>
      <c r="AM2052" s="124">
        <f>IFERROR(AL2052/AA2052,"")</f>
        <v/>
      </c>
      <c r="AN2052" s="125">
        <f>IFERROR(R2052/AL2052,"")</f>
        <v/>
      </c>
      <c r="AO2052" s="122" t="n">
        <v>0</v>
      </c>
      <c r="AP2052" s="54">
        <f>IFERROR(AO2052/AL2052,"")</f>
        <v/>
      </c>
      <c r="AQ2052" s="125">
        <f>IFERROR(R2052/AO2052,"")</f>
        <v/>
      </c>
      <c r="AR2052" s="122" t="n">
        <v>0</v>
      </c>
      <c r="AS2052" s="122" t="n">
        <v>0</v>
      </c>
      <c r="AT2052" s="122">
        <f>AL2052+AR2052</f>
        <v/>
      </c>
      <c r="AU2052" s="125">
        <f>IFERROR(AO2052*Assumptions!$C$26*Assumptions!$C$27*INDEX(Assumptions!$C$18:$C$21,MATCH(H2052,Assumptions!$B$18:$B$21,0)),0)</f>
        <v/>
      </c>
    </row>
    <row r="2053">
      <c r="A2053" s="120" t="n">
        <v>46246</v>
      </c>
      <c r="B2053" s="66" t="inlineStr">
        <is>
          <t>Wk 33</t>
        </is>
      </c>
      <c r="C2053" s="66" t="inlineStr">
        <is>
          <t>Wed</t>
        </is>
      </c>
      <c r="D2053" s="66" t="inlineStr">
        <is>
          <t>Programmatic</t>
        </is>
      </c>
      <c r="E2053" s="66" t="inlineStr">
        <is>
          <t>DV360</t>
        </is>
      </c>
      <c r="F2053" s="66" t="inlineStr">
        <is>
          <t>LEP_ZA_AUG26_PROG_TD_VIDEO_OLV</t>
        </is>
      </c>
      <c r="G2053" s="66" t="inlineStr">
        <is>
          <t>Online Video / CTV</t>
        </is>
      </c>
      <c r="H2053" s="66" t="inlineStr">
        <is>
          <t>Range</t>
        </is>
      </c>
      <c r="I2053" s="66" t="inlineStr">
        <is>
          <t>Range Offer</t>
        </is>
      </c>
      <c r="J2053" s="66" t="inlineStr">
        <is>
          <t>PROG_OLV_PREROLL_AUTO</t>
        </is>
      </c>
      <c r="K2053" s="66" t="inlineStr">
        <is>
          <t>Contextual</t>
        </is>
      </c>
      <c r="L2053" s="66" t="inlineStr">
        <is>
          <t>PROG_OLV_15s_AMUR_v1</t>
        </is>
      </c>
      <c r="M2053" s="66" t="inlineStr">
        <is>
          <t>Video 16:9 Pre-roll</t>
        </is>
      </c>
      <c r="N2053" s="66" t="inlineStr">
        <is>
          <t>AMUR from R3 599pm</t>
        </is>
      </c>
      <c r="O2053" s="66" t="inlineStr">
        <is>
          <t>Auction - Fixed CPM</t>
        </is>
      </c>
      <c r="P2053" s="66" t="inlineStr">
        <is>
          <t>Completed Views + CPA</t>
        </is>
      </c>
      <c r="Q2053" s="66" t="inlineStr">
        <is>
          <t>https://www.lepas-sa.co.za/offers</t>
        </is>
      </c>
      <c r="R2053" s="121" t="n">
        <v>141.43</v>
      </c>
      <c r="S2053" s="122" t="n">
        <v>4447</v>
      </c>
      <c r="T2053" s="122" t="n">
        <v>2700</v>
      </c>
      <c r="U2053" s="123">
        <f>IFERROR(S2053/T2053,"")</f>
        <v/>
      </c>
      <c r="V2053" s="122" t="n">
        <v>13</v>
      </c>
      <c r="W2053" s="122" t="n">
        <v>10</v>
      </c>
      <c r="X2053" s="124">
        <f>IFERROR(W2053/S2053,"")</f>
        <v/>
      </c>
      <c r="Y2053" s="121">
        <f>IFERROR(R2053/W2053,"")</f>
        <v/>
      </c>
      <c r="Z2053" s="121">
        <f>IFERROR(R2053/S2053*1000,"")</f>
        <v/>
      </c>
      <c r="AA2053" s="122" t="n">
        <v>6</v>
      </c>
      <c r="AB2053" s="54">
        <f>IFERROR(AA2053/W2053,"")</f>
        <v/>
      </c>
      <c r="AC2053" s="122" t="n">
        <v>1616</v>
      </c>
      <c r="AD2053" s="122" t="n">
        <v>872</v>
      </c>
      <c r="AE2053" s="122" t="n">
        <v>614</v>
      </c>
      <c r="AF2053" s="122" t="n">
        <v>331</v>
      </c>
      <c r="AG2053" s="122" t="n">
        <v>220</v>
      </c>
      <c r="AH2053" s="122" t="n">
        <v>126</v>
      </c>
      <c r="AI2053" s="54">
        <f>IFERROR(AC2053/S2053,"")</f>
        <v/>
      </c>
      <c r="AJ2053" s="54">
        <f>IFERROR(AH2053/S2053,"")</f>
        <v/>
      </c>
      <c r="AK2053" s="122" t="n">
        <v>16</v>
      </c>
      <c r="AL2053" s="122" t="n">
        <v>0</v>
      </c>
      <c r="AM2053" s="124">
        <f>IFERROR(AL2053/AA2053,"")</f>
        <v/>
      </c>
      <c r="AN2053" s="125">
        <f>IFERROR(R2053/AL2053,"")</f>
        <v/>
      </c>
      <c r="AO2053" s="122" t="n">
        <v>0</v>
      </c>
      <c r="AP2053" s="54">
        <f>IFERROR(AO2053/AL2053,"")</f>
        <v/>
      </c>
      <c r="AQ2053" s="125">
        <f>IFERROR(R2053/AO2053,"")</f>
        <v/>
      </c>
      <c r="AR2053" s="122" t="n">
        <v>0</v>
      </c>
      <c r="AS2053" s="122" t="n">
        <v>0</v>
      </c>
      <c r="AT2053" s="122">
        <f>AL2053+AR2053</f>
        <v/>
      </c>
      <c r="AU2053" s="125">
        <f>IFERROR(AO2053*Assumptions!$C$26*Assumptions!$C$27*INDEX(Assumptions!$C$18:$C$21,MATCH(H2053,Assumptions!$B$18:$B$21,0)),0)</f>
        <v/>
      </c>
    </row>
    <row r="2054">
      <c r="A2054" s="120" t="n">
        <v>46247</v>
      </c>
      <c r="B2054" s="66" t="inlineStr">
        <is>
          <t>Wk 33</t>
        </is>
      </c>
      <c r="C2054" s="66" t="inlineStr">
        <is>
          <t>Thu</t>
        </is>
      </c>
      <c r="D2054" s="66" t="inlineStr">
        <is>
          <t>Programmatic</t>
        </is>
      </c>
      <c r="E2054" s="66" t="inlineStr">
        <is>
          <t>DV360</t>
        </is>
      </c>
      <c r="F2054" s="66" t="inlineStr">
        <is>
          <t>LEP_ZA_AUG26_PROG_TD_VIDEO_OLV</t>
        </is>
      </c>
      <c r="G2054" s="66" t="inlineStr">
        <is>
          <t>Online Video / CTV</t>
        </is>
      </c>
      <c r="H2054" s="66" t="inlineStr">
        <is>
          <t>Range</t>
        </is>
      </c>
      <c r="I2054" s="66" t="inlineStr">
        <is>
          <t>Range Offer</t>
        </is>
      </c>
      <c r="J2054" s="66" t="inlineStr">
        <is>
          <t>PROG_OLV_PREROLL_AUTO</t>
        </is>
      </c>
      <c r="K2054" s="66" t="inlineStr">
        <is>
          <t>Contextual</t>
        </is>
      </c>
      <c r="L2054" s="66" t="inlineStr">
        <is>
          <t>PROG_OLV_15s_AMUR_v1</t>
        </is>
      </c>
      <c r="M2054" s="66" t="inlineStr">
        <is>
          <t>Video 16:9 Pre-roll</t>
        </is>
      </c>
      <c r="N2054" s="66" t="inlineStr">
        <is>
          <t>AMUR from R3 599pm</t>
        </is>
      </c>
      <c r="O2054" s="66" t="inlineStr">
        <is>
          <t>Auction - Fixed CPM</t>
        </is>
      </c>
      <c r="P2054" s="66" t="inlineStr">
        <is>
          <t>Completed Views + CPA</t>
        </is>
      </c>
      <c r="Q2054" s="66" t="inlineStr">
        <is>
          <t>https://www.lepas-sa.co.za/offers</t>
        </is>
      </c>
      <c r="R2054" s="121" t="n">
        <v>152.52</v>
      </c>
      <c r="S2054" s="122" t="n">
        <v>9171</v>
      </c>
      <c r="T2054" s="122" t="n">
        <v>3756</v>
      </c>
      <c r="U2054" s="123">
        <f>IFERROR(S2054/T2054,"")</f>
        <v/>
      </c>
      <c r="V2054" s="122" t="n">
        <v>16</v>
      </c>
      <c r="W2054" s="122" t="n">
        <v>13</v>
      </c>
      <c r="X2054" s="124">
        <f>IFERROR(W2054/S2054,"")</f>
        <v/>
      </c>
      <c r="Y2054" s="121">
        <f>IFERROR(R2054/W2054,"")</f>
        <v/>
      </c>
      <c r="Z2054" s="121">
        <f>IFERROR(R2054/S2054*1000,"")</f>
        <v/>
      </c>
      <c r="AA2054" s="122" t="n">
        <v>9</v>
      </c>
      <c r="AB2054" s="54">
        <f>IFERROR(AA2054/W2054,"")</f>
        <v/>
      </c>
      <c r="AC2054" s="122" t="n">
        <v>3401</v>
      </c>
      <c r="AD2054" s="122" t="n">
        <v>2093</v>
      </c>
      <c r="AE2054" s="122" t="n">
        <v>1261</v>
      </c>
      <c r="AF2054" s="122" t="n">
        <v>831</v>
      </c>
      <c r="AG2054" s="122" t="n">
        <v>543</v>
      </c>
      <c r="AH2054" s="122" t="n">
        <v>309</v>
      </c>
      <c r="AI2054" s="54">
        <f>IFERROR(AC2054/S2054,"")</f>
        <v/>
      </c>
      <c r="AJ2054" s="54">
        <f>IFERROR(AH2054/S2054,"")</f>
        <v/>
      </c>
      <c r="AK2054" s="122" t="n">
        <v>31</v>
      </c>
      <c r="AL2054" s="122" t="n">
        <v>0</v>
      </c>
      <c r="AM2054" s="124">
        <f>IFERROR(AL2054/AA2054,"")</f>
        <v/>
      </c>
      <c r="AN2054" s="125">
        <f>IFERROR(R2054/AL2054,"")</f>
        <v/>
      </c>
      <c r="AO2054" s="122" t="n">
        <v>0</v>
      </c>
      <c r="AP2054" s="54">
        <f>IFERROR(AO2054/AL2054,"")</f>
        <v/>
      </c>
      <c r="AQ2054" s="125">
        <f>IFERROR(R2054/AO2054,"")</f>
        <v/>
      </c>
      <c r="AR2054" s="122" t="n">
        <v>0</v>
      </c>
      <c r="AS2054" s="122" t="n">
        <v>0</v>
      </c>
      <c r="AT2054" s="122">
        <f>AL2054+AR2054</f>
        <v/>
      </c>
      <c r="AU2054" s="125">
        <f>IFERROR(AO2054*Assumptions!$C$26*Assumptions!$C$27*INDEX(Assumptions!$C$18:$C$21,MATCH(H2054,Assumptions!$B$18:$B$21,0)),0)</f>
        <v/>
      </c>
    </row>
    <row r="2055">
      <c r="A2055" s="120" t="n">
        <v>46248</v>
      </c>
      <c r="B2055" s="66" t="inlineStr">
        <is>
          <t>Wk 33</t>
        </is>
      </c>
      <c r="C2055" s="66" t="inlineStr">
        <is>
          <t>Fri</t>
        </is>
      </c>
      <c r="D2055" s="66" t="inlineStr">
        <is>
          <t>Programmatic</t>
        </is>
      </c>
      <c r="E2055" s="66" t="inlineStr">
        <is>
          <t>DV360</t>
        </is>
      </c>
      <c r="F2055" s="66" t="inlineStr">
        <is>
          <t>LEP_ZA_AUG26_PROG_TD_VIDEO_OLV</t>
        </is>
      </c>
      <c r="G2055" s="66" t="inlineStr">
        <is>
          <t>Online Video / CTV</t>
        </is>
      </c>
      <c r="H2055" s="66" t="inlineStr">
        <is>
          <t>Range</t>
        </is>
      </c>
      <c r="I2055" s="66" t="inlineStr">
        <is>
          <t>Range Offer</t>
        </is>
      </c>
      <c r="J2055" s="66" t="inlineStr">
        <is>
          <t>PROG_OLV_PREROLL_AUTO</t>
        </is>
      </c>
      <c r="K2055" s="66" t="inlineStr">
        <is>
          <t>Contextual</t>
        </is>
      </c>
      <c r="L2055" s="66" t="inlineStr">
        <is>
          <t>PROG_OLV_15s_AMUR_v1</t>
        </is>
      </c>
      <c r="M2055" s="66" t="inlineStr">
        <is>
          <t>Video 16:9 Pre-roll</t>
        </is>
      </c>
      <c r="N2055" s="66" t="inlineStr">
        <is>
          <t>AMUR from R3 599pm</t>
        </is>
      </c>
      <c r="O2055" s="66" t="inlineStr">
        <is>
          <t>Auction - Fixed CPM</t>
        </is>
      </c>
      <c r="P2055" s="66" t="inlineStr">
        <is>
          <t>Completed Views + CPA</t>
        </is>
      </c>
      <c r="Q2055" s="66" t="inlineStr">
        <is>
          <t>https://www.lepas-sa.co.za/offers</t>
        </is>
      </c>
      <c r="R2055" s="121" t="n">
        <v>188.17</v>
      </c>
      <c r="S2055" s="122" t="n">
        <v>7943</v>
      </c>
      <c r="T2055" s="122" t="n">
        <v>5248</v>
      </c>
      <c r="U2055" s="123">
        <f>IFERROR(S2055/T2055,"")</f>
        <v/>
      </c>
      <c r="V2055" s="122" t="n">
        <v>11</v>
      </c>
      <c r="W2055" s="122" t="n">
        <v>9</v>
      </c>
      <c r="X2055" s="124">
        <f>IFERROR(W2055/S2055,"")</f>
        <v/>
      </c>
      <c r="Y2055" s="121">
        <f>IFERROR(R2055/W2055,"")</f>
        <v/>
      </c>
      <c r="Z2055" s="121">
        <f>IFERROR(R2055/S2055*1000,"")</f>
        <v/>
      </c>
      <c r="AA2055" s="122" t="n">
        <v>5</v>
      </c>
      <c r="AB2055" s="54">
        <f>IFERROR(AA2055/W2055,"")</f>
        <v/>
      </c>
      <c r="AC2055" s="122" t="n">
        <v>2911</v>
      </c>
      <c r="AD2055" s="122" t="n">
        <v>1348</v>
      </c>
      <c r="AE2055" s="122" t="n">
        <v>1458</v>
      </c>
      <c r="AF2055" s="122" t="n">
        <v>947</v>
      </c>
      <c r="AG2055" s="122" t="n">
        <v>723</v>
      </c>
      <c r="AH2055" s="122" t="n">
        <v>426</v>
      </c>
      <c r="AI2055" s="54">
        <f>IFERROR(AC2055/S2055,"")</f>
        <v/>
      </c>
      <c r="AJ2055" s="54">
        <f>IFERROR(AH2055/S2055,"")</f>
        <v/>
      </c>
      <c r="AK2055" s="122" t="n">
        <v>32</v>
      </c>
      <c r="AL2055" s="122" t="n">
        <v>0</v>
      </c>
      <c r="AM2055" s="124">
        <f>IFERROR(AL2055/AA2055,"")</f>
        <v/>
      </c>
      <c r="AN2055" s="125">
        <f>IFERROR(R2055/AL2055,"")</f>
        <v/>
      </c>
      <c r="AO2055" s="122" t="n">
        <v>0</v>
      </c>
      <c r="AP2055" s="54">
        <f>IFERROR(AO2055/AL2055,"")</f>
        <v/>
      </c>
      <c r="AQ2055" s="125">
        <f>IFERROR(R2055/AO2055,"")</f>
        <v/>
      </c>
      <c r="AR2055" s="122" t="n">
        <v>0</v>
      </c>
      <c r="AS2055" s="122" t="n">
        <v>0</v>
      </c>
      <c r="AT2055" s="122">
        <f>AL2055+AR2055</f>
        <v/>
      </c>
      <c r="AU2055" s="125">
        <f>IFERROR(AO2055*Assumptions!$C$26*Assumptions!$C$27*INDEX(Assumptions!$C$18:$C$21,MATCH(H2055,Assumptions!$B$18:$B$21,0)),0)</f>
        <v/>
      </c>
    </row>
    <row r="2056">
      <c r="A2056" s="120" t="n">
        <v>46249</v>
      </c>
      <c r="B2056" s="66" t="inlineStr">
        <is>
          <t>Wk 33</t>
        </is>
      </c>
      <c r="C2056" s="66" t="inlineStr">
        <is>
          <t>Sat</t>
        </is>
      </c>
      <c r="D2056" s="66" t="inlineStr">
        <is>
          <t>Programmatic</t>
        </is>
      </c>
      <c r="E2056" s="66" t="inlineStr">
        <is>
          <t>DV360</t>
        </is>
      </c>
      <c r="F2056" s="66" t="inlineStr">
        <is>
          <t>LEP_ZA_AUG26_PROG_TD_VIDEO_OLV</t>
        </is>
      </c>
      <c r="G2056" s="66" t="inlineStr">
        <is>
          <t>Online Video / CTV</t>
        </is>
      </c>
      <c r="H2056" s="66" t="inlineStr">
        <is>
          <t>Range</t>
        </is>
      </c>
      <c r="I2056" s="66" t="inlineStr">
        <is>
          <t>Range Offer</t>
        </is>
      </c>
      <c r="J2056" s="66" t="inlineStr">
        <is>
          <t>PROG_OLV_PREROLL_AUTO</t>
        </is>
      </c>
      <c r="K2056" s="66" t="inlineStr">
        <is>
          <t>Contextual</t>
        </is>
      </c>
      <c r="L2056" s="66" t="inlineStr">
        <is>
          <t>PROG_OLV_15s_AMUR_v1</t>
        </is>
      </c>
      <c r="M2056" s="66" t="inlineStr">
        <is>
          <t>Video 16:9 Pre-roll</t>
        </is>
      </c>
      <c r="N2056" s="66" t="inlineStr">
        <is>
          <t>AMUR from R3 599pm</t>
        </is>
      </c>
      <c r="O2056" s="66" t="inlineStr">
        <is>
          <t>Auction - Fixed CPM</t>
        </is>
      </c>
      <c r="P2056" s="66" t="inlineStr">
        <is>
          <t>Completed Views + CPA</t>
        </is>
      </c>
      <c r="Q2056" s="66" t="inlineStr">
        <is>
          <t>https://www.lepas-sa.co.za/offers</t>
        </is>
      </c>
      <c r="R2056" s="121" t="n">
        <v>201.2</v>
      </c>
      <c r="S2056" s="122" t="n">
        <v>9282</v>
      </c>
      <c r="T2056" s="122" t="n">
        <v>5404</v>
      </c>
      <c r="U2056" s="123">
        <f>IFERROR(S2056/T2056,"")</f>
        <v/>
      </c>
      <c r="V2056" s="122" t="n">
        <v>15</v>
      </c>
      <c r="W2056" s="122" t="n">
        <v>11</v>
      </c>
      <c r="X2056" s="124">
        <f>IFERROR(W2056/S2056,"")</f>
        <v/>
      </c>
      <c r="Y2056" s="121">
        <f>IFERROR(R2056/W2056,"")</f>
        <v/>
      </c>
      <c r="Z2056" s="121">
        <f>IFERROR(R2056/S2056*1000,"")</f>
        <v/>
      </c>
      <c r="AA2056" s="122" t="n">
        <v>7</v>
      </c>
      <c r="AB2056" s="54">
        <f>IFERROR(AA2056/W2056,"")</f>
        <v/>
      </c>
      <c r="AC2056" s="122" t="n">
        <v>2718</v>
      </c>
      <c r="AD2056" s="122" t="n">
        <v>1409</v>
      </c>
      <c r="AE2056" s="122" t="n">
        <v>1012</v>
      </c>
      <c r="AF2056" s="122" t="n">
        <v>596</v>
      </c>
      <c r="AG2056" s="122" t="n">
        <v>459</v>
      </c>
      <c r="AH2056" s="122" t="n">
        <v>260</v>
      </c>
      <c r="AI2056" s="54">
        <f>IFERROR(AC2056/S2056,"")</f>
        <v/>
      </c>
      <c r="AJ2056" s="54">
        <f>IFERROR(AH2056/S2056,"")</f>
        <v/>
      </c>
      <c r="AK2056" s="122" t="n">
        <v>53</v>
      </c>
      <c r="AL2056" s="122" t="n">
        <v>0</v>
      </c>
      <c r="AM2056" s="124">
        <f>IFERROR(AL2056/AA2056,"")</f>
        <v/>
      </c>
      <c r="AN2056" s="125">
        <f>IFERROR(R2056/AL2056,"")</f>
        <v/>
      </c>
      <c r="AO2056" s="122" t="n">
        <v>0</v>
      </c>
      <c r="AP2056" s="54">
        <f>IFERROR(AO2056/AL2056,"")</f>
        <v/>
      </c>
      <c r="AQ2056" s="125">
        <f>IFERROR(R2056/AO2056,"")</f>
        <v/>
      </c>
      <c r="AR2056" s="122" t="n">
        <v>0</v>
      </c>
      <c r="AS2056" s="122" t="n">
        <v>0</v>
      </c>
      <c r="AT2056" s="122">
        <f>AL2056+AR2056</f>
        <v/>
      </c>
      <c r="AU2056" s="125">
        <f>IFERROR(AO2056*Assumptions!$C$26*Assumptions!$C$27*INDEX(Assumptions!$C$18:$C$21,MATCH(H2056,Assumptions!$B$18:$B$21,0)),0)</f>
        <v/>
      </c>
    </row>
    <row r="2057">
      <c r="A2057" s="120" t="n">
        <v>46250</v>
      </c>
      <c r="B2057" s="66" t="inlineStr">
        <is>
          <t>Wk 33</t>
        </is>
      </c>
      <c r="C2057" s="66" t="inlineStr">
        <is>
          <t>Sun</t>
        </is>
      </c>
      <c r="D2057" s="66" t="inlineStr">
        <is>
          <t>Programmatic</t>
        </is>
      </c>
      <c r="E2057" s="66" t="inlineStr">
        <is>
          <t>DV360</t>
        </is>
      </c>
      <c r="F2057" s="66" t="inlineStr">
        <is>
          <t>LEP_ZA_AUG26_PROG_TD_VIDEO_OLV</t>
        </is>
      </c>
      <c r="G2057" s="66" t="inlineStr">
        <is>
          <t>Online Video / CTV</t>
        </is>
      </c>
      <c r="H2057" s="66" t="inlineStr">
        <is>
          <t>Range</t>
        </is>
      </c>
      <c r="I2057" s="66" t="inlineStr">
        <is>
          <t>Range Offer</t>
        </is>
      </c>
      <c r="J2057" s="66" t="inlineStr">
        <is>
          <t>PROG_OLV_PREROLL_AUTO</t>
        </is>
      </c>
      <c r="K2057" s="66" t="inlineStr">
        <is>
          <t>Contextual</t>
        </is>
      </c>
      <c r="L2057" s="66" t="inlineStr">
        <is>
          <t>PROG_OLV_15s_AMUR_v1</t>
        </is>
      </c>
      <c r="M2057" s="66" t="inlineStr">
        <is>
          <t>Video 16:9 Pre-roll</t>
        </is>
      </c>
      <c r="N2057" s="66" t="inlineStr">
        <is>
          <t>AMUR from R3 599pm</t>
        </is>
      </c>
      <c r="O2057" s="66" t="inlineStr">
        <is>
          <t>Auction - Fixed CPM</t>
        </is>
      </c>
      <c r="P2057" s="66" t="inlineStr">
        <is>
          <t>Completed Views + CPA</t>
        </is>
      </c>
      <c r="Q2057" s="66" t="inlineStr">
        <is>
          <t>https://www.lepas-sa.co.za/offers</t>
        </is>
      </c>
      <c r="R2057" s="121" t="n">
        <v>117.87</v>
      </c>
      <c r="S2057" s="122" t="n">
        <v>3887</v>
      </c>
      <c r="T2057" s="122" t="n">
        <v>1540</v>
      </c>
      <c r="U2057" s="123">
        <f>IFERROR(S2057/T2057,"")</f>
        <v/>
      </c>
      <c r="V2057" s="122" t="n">
        <v>11</v>
      </c>
      <c r="W2057" s="122" t="n">
        <v>8</v>
      </c>
      <c r="X2057" s="124">
        <f>IFERROR(W2057/S2057,"")</f>
        <v/>
      </c>
      <c r="Y2057" s="121">
        <f>IFERROR(R2057/W2057,"")</f>
        <v/>
      </c>
      <c r="Z2057" s="121">
        <f>IFERROR(R2057/S2057*1000,"")</f>
        <v/>
      </c>
      <c r="AA2057" s="122" t="n">
        <v>6</v>
      </c>
      <c r="AB2057" s="54">
        <f>IFERROR(AA2057/W2057,"")</f>
        <v/>
      </c>
      <c r="AC2057" s="122" t="n">
        <v>1368</v>
      </c>
      <c r="AD2057" s="122" t="n">
        <v>687</v>
      </c>
      <c r="AE2057" s="122" t="n">
        <v>510</v>
      </c>
      <c r="AF2057" s="122" t="n">
        <v>344</v>
      </c>
      <c r="AG2057" s="122" t="n">
        <v>271</v>
      </c>
      <c r="AH2057" s="122" t="n">
        <v>172</v>
      </c>
      <c r="AI2057" s="54">
        <f>IFERROR(AC2057/S2057,"")</f>
        <v/>
      </c>
      <c r="AJ2057" s="54">
        <f>IFERROR(AH2057/S2057,"")</f>
        <v/>
      </c>
      <c r="AK2057" s="122" t="n">
        <v>8</v>
      </c>
      <c r="AL2057" s="122" t="n">
        <v>0</v>
      </c>
      <c r="AM2057" s="124">
        <f>IFERROR(AL2057/AA2057,"")</f>
        <v/>
      </c>
      <c r="AN2057" s="125">
        <f>IFERROR(R2057/AL2057,"")</f>
        <v/>
      </c>
      <c r="AO2057" s="122" t="n">
        <v>0</v>
      </c>
      <c r="AP2057" s="54">
        <f>IFERROR(AO2057/AL2057,"")</f>
        <v/>
      </c>
      <c r="AQ2057" s="125">
        <f>IFERROR(R2057/AO2057,"")</f>
        <v/>
      </c>
      <c r="AR2057" s="122" t="n">
        <v>0</v>
      </c>
      <c r="AS2057" s="122" t="n">
        <v>0</v>
      </c>
      <c r="AT2057" s="122">
        <f>AL2057+AR2057</f>
        <v/>
      </c>
      <c r="AU2057" s="125">
        <f>IFERROR(AO2057*Assumptions!$C$26*Assumptions!$C$27*INDEX(Assumptions!$C$18:$C$21,MATCH(H2057,Assumptions!$B$18:$B$21,0)),0)</f>
        <v/>
      </c>
    </row>
    <row r="2058">
      <c r="A2058" s="120" t="n">
        <v>46251</v>
      </c>
      <c r="B2058" s="66" t="inlineStr">
        <is>
          <t>Wk 34</t>
        </is>
      </c>
      <c r="C2058" s="66" t="inlineStr">
        <is>
          <t>Mon</t>
        </is>
      </c>
      <c r="D2058" s="66" t="inlineStr">
        <is>
          <t>Programmatic</t>
        </is>
      </c>
      <c r="E2058" s="66" t="inlineStr">
        <is>
          <t>DV360</t>
        </is>
      </c>
      <c r="F2058" s="66" t="inlineStr">
        <is>
          <t>LEP_ZA_AUG26_PROG_TD_VIDEO_OLV</t>
        </is>
      </c>
      <c r="G2058" s="66" t="inlineStr">
        <is>
          <t>Online Video / CTV</t>
        </is>
      </c>
      <c r="H2058" s="66" t="inlineStr">
        <is>
          <t>Range</t>
        </is>
      </c>
      <c r="I2058" s="66" t="inlineStr">
        <is>
          <t>Range Offer</t>
        </is>
      </c>
      <c r="J2058" s="66" t="inlineStr">
        <is>
          <t>PROG_OLV_PREROLL_AUTO</t>
        </is>
      </c>
      <c r="K2058" s="66" t="inlineStr">
        <is>
          <t>Contextual</t>
        </is>
      </c>
      <c r="L2058" s="66" t="inlineStr">
        <is>
          <t>PROG_OLV_15s_AMUR_v1</t>
        </is>
      </c>
      <c r="M2058" s="66" t="inlineStr">
        <is>
          <t>Video 16:9 Pre-roll</t>
        </is>
      </c>
      <c r="N2058" s="66" t="inlineStr">
        <is>
          <t>AMUR from R3 599pm</t>
        </is>
      </c>
      <c r="O2058" s="66" t="inlineStr">
        <is>
          <t>Auction - Fixed CPM</t>
        </is>
      </c>
      <c r="P2058" s="66" t="inlineStr">
        <is>
          <t>Completed Views + CPA</t>
        </is>
      </c>
      <c r="Q2058" s="66" t="inlineStr">
        <is>
          <t>https://www.lepas-sa.co.za/offers</t>
        </is>
      </c>
      <c r="R2058" s="121" t="n">
        <v>153.94</v>
      </c>
      <c r="S2058" s="122" t="n">
        <v>7686</v>
      </c>
      <c r="T2058" s="122" t="n">
        <v>3356</v>
      </c>
      <c r="U2058" s="123">
        <f>IFERROR(S2058/T2058,"")</f>
        <v/>
      </c>
      <c r="V2058" s="122" t="n">
        <v>7</v>
      </c>
      <c r="W2058" s="122" t="n">
        <v>6</v>
      </c>
      <c r="X2058" s="124">
        <f>IFERROR(W2058/S2058,"")</f>
        <v/>
      </c>
      <c r="Y2058" s="121">
        <f>IFERROR(R2058/W2058,"")</f>
        <v/>
      </c>
      <c r="Z2058" s="121">
        <f>IFERROR(R2058/S2058*1000,"")</f>
        <v/>
      </c>
      <c r="AA2058" s="122" t="n">
        <v>4</v>
      </c>
      <c r="AB2058" s="54">
        <f>IFERROR(AA2058/W2058,"")</f>
        <v/>
      </c>
      <c r="AC2058" s="122" t="n">
        <v>2721</v>
      </c>
      <c r="AD2058" s="122" t="n">
        <v>1451</v>
      </c>
      <c r="AE2058" s="122" t="n">
        <v>1406</v>
      </c>
      <c r="AF2058" s="122" t="n">
        <v>930</v>
      </c>
      <c r="AG2058" s="122" t="n">
        <v>619</v>
      </c>
      <c r="AH2058" s="122" t="n">
        <v>402</v>
      </c>
      <c r="AI2058" s="54">
        <f>IFERROR(AC2058/S2058,"")</f>
        <v/>
      </c>
      <c r="AJ2058" s="54">
        <f>IFERROR(AH2058/S2058,"")</f>
        <v/>
      </c>
      <c r="AK2058" s="122" t="n">
        <v>34</v>
      </c>
      <c r="AL2058" s="122" t="n">
        <v>0</v>
      </c>
      <c r="AM2058" s="124">
        <f>IFERROR(AL2058/AA2058,"")</f>
        <v/>
      </c>
      <c r="AN2058" s="125">
        <f>IFERROR(R2058/AL2058,"")</f>
        <v/>
      </c>
      <c r="AO2058" s="122" t="n">
        <v>0</v>
      </c>
      <c r="AP2058" s="54">
        <f>IFERROR(AO2058/AL2058,"")</f>
        <v/>
      </c>
      <c r="AQ2058" s="125">
        <f>IFERROR(R2058/AO2058,"")</f>
        <v/>
      </c>
      <c r="AR2058" s="122" t="n">
        <v>0</v>
      </c>
      <c r="AS2058" s="122" t="n">
        <v>0</v>
      </c>
      <c r="AT2058" s="122">
        <f>AL2058+AR2058</f>
        <v/>
      </c>
      <c r="AU2058" s="125">
        <f>IFERROR(AO2058*Assumptions!$C$26*Assumptions!$C$27*INDEX(Assumptions!$C$18:$C$21,MATCH(H2058,Assumptions!$B$18:$B$21,0)),0)</f>
        <v/>
      </c>
    </row>
    <row r="2059">
      <c r="A2059" s="120" t="n">
        <v>46252</v>
      </c>
      <c r="B2059" s="66" t="inlineStr">
        <is>
          <t>Wk 34</t>
        </is>
      </c>
      <c r="C2059" s="66" t="inlineStr">
        <is>
          <t>Tue</t>
        </is>
      </c>
      <c r="D2059" s="66" t="inlineStr">
        <is>
          <t>Programmatic</t>
        </is>
      </c>
      <c r="E2059" s="66" t="inlineStr">
        <is>
          <t>DV360</t>
        </is>
      </c>
      <c r="F2059" s="66" t="inlineStr">
        <is>
          <t>LEP_ZA_AUG26_PROG_TD_VIDEO_OLV</t>
        </is>
      </c>
      <c r="G2059" s="66" t="inlineStr">
        <is>
          <t>Online Video / CTV</t>
        </is>
      </c>
      <c r="H2059" s="66" t="inlineStr">
        <is>
          <t>Range</t>
        </is>
      </c>
      <c r="I2059" s="66" t="inlineStr">
        <is>
          <t>Range Offer</t>
        </is>
      </c>
      <c r="J2059" s="66" t="inlineStr">
        <is>
          <t>PROG_OLV_PREROLL_AUTO</t>
        </is>
      </c>
      <c r="K2059" s="66" t="inlineStr">
        <is>
          <t>Contextual</t>
        </is>
      </c>
      <c r="L2059" s="66" t="inlineStr">
        <is>
          <t>PROG_OLV_15s_AMUR_v1</t>
        </is>
      </c>
      <c r="M2059" s="66" t="inlineStr">
        <is>
          <t>Video 16:9 Pre-roll</t>
        </is>
      </c>
      <c r="N2059" s="66" t="inlineStr">
        <is>
          <t>AMUR from R3 599pm</t>
        </is>
      </c>
      <c r="O2059" s="66" t="inlineStr">
        <is>
          <t>Auction - Fixed CPM</t>
        </is>
      </c>
      <c r="P2059" s="66" t="inlineStr">
        <is>
          <t>Completed Views + CPA</t>
        </is>
      </c>
      <c r="Q2059" s="66" t="inlineStr">
        <is>
          <t>https://www.lepas-sa.co.za/offers</t>
        </is>
      </c>
      <c r="R2059" s="121" t="n">
        <v>140.01</v>
      </c>
      <c r="S2059" s="122" t="n">
        <v>7406</v>
      </c>
      <c r="T2059" s="122" t="n">
        <v>4043</v>
      </c>
      <c r="U2059" s="123">
        <f>IFERROR(S2059/T2059,"")</f>
        <v/>
      </c>
      <c r="V2059" s="122" t="n">
        <v>8</v>
      </c>
      <c r="W2059" s="122" t="n">
        <v>6</v>
      </c>
      <c r="X2059" s="124">
        <f>IFERROR(W2059/S2059,"")</f>
        <v/>
      </c>
      <c r="Y2059" s="121">
        <f>IFERROR(R2059/W2059,"")</f>
        <v/>
      </c>
      <c r="Z2059" s="121">
        <f>IFERROR(R2059/S2059*1000,"")</f>
        <v/>
      </c>
      <c r="AA2059" s="122" t="n">
        <v>4</v>
      </c>
      <c r="AB2059" s="54">
        <f>IFERROR(AA2059/W2059,"")</f>
        <v/>
      </c>
      <c r="AC2059" s="122" t="n">
        <v>2844</v>
      </c>
      <c r="AD2059" s="122" t="n">
        <v>1787</v>
      </c>
      <c r="AE2059" s="122" t="n">
        <v>1431</v>
      </c>
      <c r="AF2059" s="122" t="n">
        <v>846</v>
      </c>
      <c r="AG2059" s="122" t="n">
        <v>540</v>
      </c>
      <c r="AH2059" s="122" t="n">
        <v>364</v>
      </c>
      <c r="AI2059" s="54">
        <f>IFERROR(AC2059/S2059,"")</f>
        <v/>
      </c>
      <c r="AJ2059" s="54">
        <f>IFERROR(AH2059/S2059,"")</f>
        <v/>
      </c>
      <c r="AK2059" s="122" t="n">
        <v>26</v>
      </c>
      <c r="AL2059" s="122" t="n">
        <v>0</v>
      </c>
      <c r="AM2059" s="124">
        <f>IFERROR(AL2059/AA2059,"")</f>
        <v/>
      </c>
      <c r="AN2059" s="125">
        <f>IFERROR(R2059/AL2059,"")</f>
        <v/>
      </c>
      <c r="AO2059" s="122" t="n">
        <v>0</v>
      </c>
      <c r="AP2059" s="54">
        <f>IFERROR(AO2059/AL2059,"")</f>
        <v/>
      </c>
      <c r="AQ2059" s="125">
        <f>IFERROR(R2059/AO2059,"")</f>
        <v/>
      </c>
      <c r="AR2059" s="122" t="n">
        <v>0</v>
      </c>
      <c r="AS2059" s="122" t="n">
        <v>0</v>
      </c>
      <c r="AT2059" s="122">
        <f>AL2059+AR2059</f>
        <v/>
      </c>
      <c r="AU2059" s="125">
        <f>IFERROR(AO2059*Assumptions!$C$26*Assumptions!$C$27*INDEX(Assumptions!$C$18:$C$21,MATCH(H2059,Assumptions!$B$18:$B$21,0)),0)</f>
        <v/>
      </c>
    </row>
    <row r="2060">
      <c r="A2060" s="120" t="n">
        <v>46253</v>
      </c>
      <c r="B2060" s="66" t="inlineStr">
        <is>
          <t>Wk 34</t>
        </is>
      </c>
      <c r="C2060" s="66" t="inlineStr">
        <is>
          <t>Wed</t>
        </is>
      </c>
      <c r="D2060" s="66" t="inlineStr">
        <is>
          <t>Programmatic</t>
        </is>
      </c>
      <c r="E2060" s="66" t="inlineStr">
        <is>
          <t>DV360</t>
        </is>
      </c>
      <c r="F2060" s="66" t="inlineStr">
        <is>
          <t>LEP_ZA_AUG26_PROG_TD_VIDEO_OLV</t>
        </is>
      </c>
      <c r="G2060" s="66" t="inlineStr">
        <is>
          <t>Online Video / CTV</t>
        </is>
      </c>
      <c r="H2060" s="66" t="inlineStr">
        <is>
          <t>Range</t>
        </is>
      </c>
      <c r="I2060" s="66" t="inlineStr">
        <is>
          <t>Range Offer</t>
        </is>
      </c>
      <c r="J2060" s="66" t="inlineStr">
        <is>
          <t>PROG_OLV_PREROLL_AUTO</t>
        </is>
      </c>
      <c r="K2060" s="66" t="inlineStr">
        <is>
          <t>Contextual</t>
        </is>
      </c>
      <c r="L2060" s="66" t="inlineStr">
        <is>
          <t>PROG_OLV_15s_AMUR_v1</t>
        </is>
      </c>
      <c r="M2060" s="66" t="inlineStr">
        <is>
          <t>Video 16:9 Pre-roll</t>
        </is>
      </c>
      <c r="N2060" s="66" t="inlineStr">
        <is>
          <t>AMUR from R3 599pm</t>
        </is>
      </c>
      <c r="O2060" s="66" t="inlineStr">
        <is>
          <t>Auction - Fixed CPM</t>
        </is>
      </c>
      <c r="P2060" s="66" t="inlineStr">
        <is>
          <t>Completed Views + CPA</t>
        </is>
      </c>
      <c r="Q2060" s="66" t="inlineStr">
        <is>
          <t>https://www.lepas-sa.co.za/offers</t>
        </is>
      </c>
      <c r="R2060" s="121" t="n">
        <v>178.01</v>
      </c>
      <c r="S2060" s="122" t="n">
        <v>8604</v>
      </c>
      <c r="T2060" s="122" t="n">
        <v>3307</v>
      </c>
      <c r="U2060" s="123">
        <f>IFERROR(S2060/T2060,"")</f>
        <v/>
      </c>
      <c r="V2060" s="122" t="n">
        <v>20</v>
      </c>
      <c r="W2060" s="122" t="n">
        <v>16</v>
      </c>
      <c r="X2060" s="124">
        <f>IFERROR(W2060/S2060,"")</f>
        <v/>
      </c>
      <c r="Y2060" s="121">
        <f>IFERROR(R2060/W2060,"")</f>
        <v/>
      </c>
      <c r="Z2060" s="121">
        <f>IFERROR(R2060/S2060*1000,"")</f>
        <v/>
      </c>
      <c r="AA2060" s="122" t="n">
        <v>9</v>
      </c>
      <c r="AB2060" s="54">
        <f>IFERROR(AA2060/W2060,"")</f>
        <v/>
      </c>
      <c r="AC2060" s="122" t="n">
        <v>3491</v>
      </c>
      <c r="AD2060" s="122" t="n">
        <v>2010</v>
      </c>
      <c r="AE2060" s="122" t="n">
        <v>1678</v>
      </c>
      <c r="AF2060" s="122" t="n">
        <v>1091</v>
      </c>
      <c r="AG2060" s="122" t="n">
        <v>729</v>
      </c>
      <c r="AH2060" s="122" t="n">
        <v>513</v>
      </c>
      <c r="AI2060" s="54">
        <f>IFERROR(AC2060/S2060,"")</f>
        <v/>
      </c>
      <c r="AJ2060" s="54">
        <f>IFERROR(AH2060/S2060,"")</f>
        <v/>
      </c>
      <c r="AK2060" s="122" t="n">
        <v>36</v>
      </c>
      <c r="AL2060" s="122" t="n">
        <v>0</v>
      </c>
      <c r="AM2060" s="124">
        <f>IFERROR(AL2060/AA2060,"")</f>
        <v/>
      </c>
      <c r="AN2060" s="125">
        <f>IFERROR(R2060/AL2060,"")</f>
        <v/>
      </c>
      <c r="AO2060" s="122" t="n">
        <v>0</v>
      </c>
      <c r="AP2060" s="54">
        <f>IFERROR(AO2060/AL2060,"")</f>
        <v/>
      </c>
      <c r="AQ2060" s="125">
        <f>IFERROR(R2060/AO2060,"")</f>
        <v/>
      </c>
      <c r="AR2060" s="122" t="n">
        <v>0</v>
      </c>
      <c r="AS2060" s="122" t="n">
        <v>0</v>
      </c>
      <c r="AT2060" s="122">
        <f>AL2060+AR2060</f>
        <v/>
      </c>
      <c r="AU2060" s="125">
        <f>IFERROR(AO2060*Assumptions!$C$26*Assumptions!$C$27*INDEX(Assumptions!$C$18:$C$21,MATCH(H2060,Assumptions!$B$18:$B$21,0)),0)</f>
        <v/>
      </c>
    </row>
    <row r="2061">
      <c r="A2061" s="120" t="n">
        <v>46254</v>
      </c>
      <c r="B2061" s="66" t="inlineStr">
        <is>
          <t>Wk 34</t>
        </is>
      </c>
      <c r="C2061" s="66" t="inlineStr">
        <is>
          <t>Thu</t>
        </is>
      </c>
      <c r="D2061" s="66" t="inlineStr">
        <is>
          <t>Programmatic</t>
        </is>
      </c>
      <c r="E2061" s="66" t="inlineStr">
        <is>
          <t>DV360</t>
        </is>
      </c>
      <c r="F2061" s="66" t="inlineStr">
        <is>
          <t>LEP_ZA_AUG26_PROG_TD_VIDEO_OLV</t>
        </is>
      </c>
      <c r="G2061" s="66" t="inlineStr">
        <is>
          <t>Online Video / CTV</t>
        </is>
      </c>
      <c r="H2061" s="66" t="inlineStr">
        <is>
          <t>Range</t>
        </is>
      </c>
      <c r="I2061" s="66" t="inlineStr">
        <is>
          <t>Range Offer</t>
        </is>
      </c>
      <c r="J2061" s="66" t="inlineStr">
        <is>
          <t>PROG_OLV_PREROLL_AUTO</t>
        </is>
      </c>
      <c r="K2061" s="66" t="inlineStr">
        <is>
          <t>Contextual</t>
        </is>
      </c>
      <c r="L2061" s="66" t="inlineStr">
        <is>
          <t>PROG_OLV_15s_AMUR_v1</t>
        </is>
      </c>
      <c r="M2061" s="66" t="inlineStr">
        <is>
          <t>Video 16:9 Pre-roll</t>
        </is>
      </c>
      <c r="N2061" s="66" t="inlineStr">
        <is>
          <t>AMUR from R3 599pm</t>
        </is>
      </c>
      <c r="O2061" s="66" t="inlineStr">
        <is>
          <t>Auction - Fixed CPM</t>
        </is>
      </c>
      <c r="P2061" s="66" t="inlineStr">
        <is>
          <t>Completed Views + CPA</t>
        </is>
      </c>
      <c r="Q2061" s="66" t="inlineStr">
        <is>
          <t>https://www.lepas-sa.co.za/offers</t>
        </is>
      </c>
      <c r="R2061" s="121" t="n">
        <v>186.93</v>
      </c>
      <c r="S2061" s="122" t="n">
        <v>10076</v>
      </c>
      <c r="T2061" s="122" t="n">
        <v>4445</v>
      </c>
      <c r="U2061" s="123">
        <f>IFERROR(S2061/T2061,"")</f>
        <v/>
      </c>
      <c r="V2061" s="122" t="n">
        <v>18</v>
      </c>
      <c r="W2061" s="122" t="n">
        <v>15</v>
      </c>
      <c r="X2061" s="124">
        <f>IFERROR(W2061/S2061,"")</f>
        <v/>
      </c>
      <c r="Y2061" s="121">
        <f>IFERROR(R2061/W2061,"")</f>
        <v/>
      </c>
      <c r="Z2061" s="121">
        <f>IFERROR(R2061/S2061*1000,"")</f>
        <v/>
      </c>
      <c r="AA2061" s="122" t="n">
        <v>10</v>
      </c>
      <c r="AB2061" s="54">
        <f>IFERROR(AA2061/W2061,"")</f>
        <v/>
      </c>
      <c r="AC2061" s="122" t="n">
        <v>2611</v>
      </c>
      <c r="AD2061" s="122" t="n">
        <v>1612</v>
      </c>
      <c r="AE2061" s="122" t="n">
        <v>1433</v>
      </c>
      <c r="AF2061" s="122" t="n">
        <v>763</v>
      </c>
      <c r="AG2061" s="122" t="n">
        <v>564</v>
      </c>
      <c r="AH2061" s="122" t="n">
        <v>332</v>
      </c>
      <c r="AI2061" s="54">
        <f>IFERROR(AC2061/S2061,"")</f>
        <v/>
      </c>
      <c r="AJ2061" s="54">
        <f>IFERROR(AH2061/S2061,"")</f>
        <v/>
      </c>
      <c r="AK2061" s="122" t="n">
        <v>28</v>
      </c>
      <c r="AL2061" s="122" t="n">
        <v>0</v>
      </c>
      <c r="AM2061" s="124">
        <f>IFERROR(AL2061/AA2061,"")</f>
        <v/>
      </c>
      <c r="AN2061" s="125">
        <f>IFERROR(R2061/AL2061,"")</f>
        <v/>
      </c>
      <c r="AO2061" s="122" t="n">
        <v>0</v>
      </c>
      <c r="AP2061" s="54">
        <f>IFERROR(AO2061/AL2061,"")</f>
        <v/>
      </c>
      <c r="AQ2061" s="125">
        <f>IFERROR(R2061/AO2061,"")</f>
        <v/>
      </c>
      <c r="AR2061" s="122" t="n">
        <v>0</v>
      </c>
      <c r="AS2061" s="122" t="n">
        <v>0</v>
      </c>
      <c r="AT2061" s="122">
        <f>AL2061+AR2061</f>
        <v/>
      </c>
      <c r="AU2061" s="125">
        <f>IFERROR(AO2061*Assumptions!$C$26*Assumptions!$C$27*INDEX(Assumptions!$C$18:$C$21,MATCH(H2061,Assumptions!$B$18:$B$21,0)),0)</f>
        <v/>
      </c>
    </row>
    <row r="2062">
      <c r="A2062" s="120" t="n">
        <v>46255</v>
      </c>
      <c r="B2062" s="66" t="inlineStr">
        <is>
          <t>Wk 34</t>
        </is>
      </c>
      <c r="C2062" s="66" t="inlineStr">
        <is>
          <t>Fri</t>
        </is>
      </c>
      <c r="D2062" s="66" t="inlineStr">
        <is>
          <t>Programmatic</t>
        </is>
      </c>
      <c r="E2062" s="66" t="inlineStr">
        <is>
          <t>DV360</t>
        </is>
      </c>
      <c r="F2062" s="66" t="inlineStr">
        <is>
          <t>LEP_ZA_AUG26_PROG_TD_VIDEO_OLV</t>
        </is>
      </c>
      <c r="G2062" s="66" t="inlineStr">
        <is>
          <t>Online Video / CTV</t>
        </is>
      </c>
      <c r="H2062" s="66" t="inlineStr">
        <is>
          <t>Range</t>
        </is>
      </c>
      <c r="I2062" s="66" t="inlineStr">
        <is>
          <t>Range Offer</t>
        </is>
      </c>
      <c r="J2062" s="66" t="inlineStr">
        <is>
          <t>PROG_OLV_PREROLL_AUTO</t>
        </is>
      </c>
      <c r="K2062" s="66" t="inlineStr">
        <is>
          <t>Contextual</t>
        </is>
      </c>
      <c r="L2062" s="66" t="inlineStr">
        <is>
          <t>PROG_OLV_15s_AMUR_v1</t>
        </is>
      </c>
      <c r="M2062" s="66" t="inlineStr">
        <is>
          <t>Video 16:9 Pre-roll</t>
        </is>
      </c>
      <c r="N2062" s="66" t="inlineStr">
        <is>
          <t>AMUR from R3 599pm</t>
        </is>
      </c>
      <c r="O2062" s="66" t="inlineStr">
        <is>
          <t>Auction - Fixed CPM</t>
        </is>
      </c>
      <c r="P2062" s="66" t="inlineStr">
        <is>
          <t>Completed Views + CPA</t>
        </is>
      </c>
      <c r="Q2062" s="66" t="inlineStr">
        <is>
          <t>https://www.lepas-sa.co.za/offers</t>
        </is>
      </c>
      <c r="R2062" s="121" t="n">
        <v>174.03</v>
      </c>
      <c r="S2062" s="122" t="n">
        <v>11112</v>
      </c>
      <c r="T2062" s="122" t="n">
        <v>4143</v>
      </c>
      <c r="U2062" s="123">
        <f>IFERROR(S2062/T2062,"")</f>
        <v/>
      </c>
      <c r="V2062" s="122" t="n">
        <v>21</v>
      </c>
      <c r="W2062" s="122" t="n">
        <v>17</v>
      </c>
      <c r="X2062" s="124">
        <f>IFERROR(W2062/S2062,"")</f>
        <v/>
      </c>
      <c r="Y2062" s="121">
        <f>IFERROR(R2062/W2062,"")</f>
        <v/>
      </c>
      <c r="Z2062" s="121">
        <f>IFERROR(R2062/S2062*1000,"")</f>
        <v/>
      </c>
      <c r="AA2062" s="122" t="n">
        <v>12</v>
      </c>
      <c r="AB2062" s="54">
        <f>IFERROR(AA2062/W2062,"")</f>
        <v/>
      </c>
      <c r="AC2062" s="122" t="n">
        <v>2538</v>
      </c>
      <c r="AD2062" s="122" t="n">
        <v>1179</v>
      </c>
      <c r="AE2062" s="122" t="n">
        <v>1053</v>
      </c>
      <c r="AF2062" s="122" t="n">
        <v>617</v>
      </c>
      <c r="AG2062" s="122" t="n">
        <v>450</v>
      </c>
      <c r="AH2062" s="122" t="n">
        <v>295</v>
      </c>
      <c r="AI2062" s="54">
        <f>IFERROR(AC2062/S2062,"")</f>
        <v/>
      </c>
      <c r="AJ2062" s="54">
        <f>IFERROR(AH2062/S2062,"")</f>
        <v/>
      </c>
      <c r="AK2062" s="122" t="n">
        <v>52</v>
      </c>
      <c r="AL2062" s="122" t="n">
        <v>0</v>
      </c>
      <c r="AM2062" s="124">
        <f>IFERROR(AL2062/AA2062,"")</f>
        <v/>
      </c>
      <c r="AN2062" s="125">
        <f>IFERROR(R2062/AL2062,"")</f>
        <v/>
      </c>
      <c r="AO2062" s="122" t="n">
        <v>0</v>
      </c>
      <c r="AP2062" s="54">
        <f>IFERROR(AO2062/AL2062,"")</f>
        <v/>
      </c>
      <c r="AQ2062" s="125">
        <f>IFERROR(R2062/AO2062,"")</f>
        <v/>
      </c>
      <c r="AR2062" s="122" t="n">
        <v>0</v>
      </c>
      <c r="AS2062" s="122" t="n">
        <v>0</v>
      </c>
      <c r="AT2062" s="122">
        <f>AL2062+AR2062</f>
        <v/>
      </c>
      <c r="AU2062" s="125">
        <f>IFERROR(AO2062*Assumptions!$C$26*Assumptions!$C$27*INDEX(Assumptions!$C$18:$C$21,MATCH(H2062,Assumptions!$B$18:$B$21,0)),0)</f>
        <v/>
      </c>
    </row>
    <row r="2063">
      <c r="A2063" s="120" t="n">
        <v>46256</v>
      </c>
      <c r="B2063" s="66" t="inlineStr">
        <is>
          <t>Wk 34</t>
        </is>
      </c>
      <c r="C2063" s="66" t="inlineStr">
        <is>
          <t>Sat</t>
        </is>
      </c>
      <c r="D2063" s="66" t="inlineStr">
        <is>
          <t>Programmatic</t>
        </is>
      </c>
      <c r="E2063" s="66" t="inlineStr">
        <is>
          <t>DV360</t>
        </is>
      </c>
      <c r="F2063" s="66" t="inlineStr">
        <is>
          <t>LEP_ZA_AUG26_PROG_TD_VIDEO_OLV</t>
        </is>
      </c>
      <c r="G2063" s="66" t="inlineStr">
        <is>
          <t>Online Video / CTV</t>
        </is>
      </c>
      <c r="H2063" s="66" t="inlineStr">
        <is>
          <t>Range</t>
        </is>
      </c>
      <c r="I2063" s="66" t="inlineStr">
        <is>
          <t>Range Offer</t>
        </is>
      </c>
      <c r="J2063" s="66" t="inlineStr">
        <is>
          <t>PROG_OLV_PREROLL_AUTO</t>
        </is>
      </c>
      <c r="K2063" s="66" t="inlineStr">
        <is>
          <t>Contextual</t>
        </is>
      </c>
      <c r="L2063" s="66" t="inlineStr">
        <is>
          <t>PROG_OLV_15s_AMUR_v1</t>
        </is>
      </c>
      <c r="M2063" s="66" t="inlineStr">
        <is>
          <t>Video 16:9 Pre-roll</t>
        </is>
      </c>
      <c r="N2063" s="66" t="inlineStr">
        <is>
          <t>AMUR from R3 599pm</t>
        </is>
      </c>
      <c r="O2063" s="66" t="inlineStr">
        <is>
          <t>Auction - Fixed CPM</t>
        </is>
      </c>
      <c r="P2063" s="66" t="inlineStr">
        <is>
          <t>Completed Views + CPA</t>
        </is>
      </c>
      <c r="Q2063" s="66" t="inlineStr">
        <is>
          <t>https://www.lepas-sa.co.za/offers</t>
        </is>
      </c>
      <c r="R2063" s="121" t="n">
        <v>166.69</v>
      </c>
      <c r="S2063" s="122" t="n">
        <v>9912</v>
      </c>
      <c r="T2063" s="122" t="n">
        <v>3542</v>
      </c>
      <c r="U2063" s="123">
        <f>IFERROR(S2063/T2063,"")</f>
        <v/>
      </c>
      <c r="V2063" s="122" t="n">
        <v>21</v>
      </c>
      <c r="W2063" s="122" t="n">
        <v>16</v>
      </c>
      <c r="X2063" s="124">
        <f>IFERROR(W2063/S2063,"")</f>
        <v/>
      </c>
      <c r="Y2063" s="121">
        <f>IFERROR(R2063/W2063,"")</f>
        <v/>
      </c>
      <c r="Z2063" s="121">
        <f>IFERROR(R2063/S2063*1000,"")</f>
        <v/>
      </c>
      <c r="AA2063" s="122" t="n">
        <v>10</v>
      </c>
      <c r="AB2063" s="54">
        <f>IFERROR(AA2063/W2063,"")</f>
        <v/>
      </c>
      <c r="AC2063" s="122" t="n">
        <v>3322</v>
      </c>
      <c r="AD2063" s="122" t="n">
        <v>1491</v>
      </c>
      <c r="AE2063" s="122" t="n">
        <v>1587</v>
      </c>
      <c r="AF2063" s="122" t="n">
        <v>955</v>
      </c>
      <c r="AG2063" s="122" t="n">
        <v>673</v>
      </c>
      <c r="AH2063" s="122" t="n">
        <v>496</v>
      </c>
      <c r="AI2063" s="54">
        <f>IFERROR(AC2063/S2063,"")</f>
        <v/>
      </c>
      <c r="AJ2063" s="54">
        <f>IFERROR(AH2063/S2063,"")</f>
        <v/>
      </c>
      <c r="AK2063" s="122" t="n">
        <v>53</v>
      </c>
      <c r="AL2063" s="122" t="n">
        <v>0</v>
      </c>
      <c r="AM2063" s="124">
        <f>IFERROR(AL2063/AA2063,"")</f>
        <v/>
      </c>
      <c r="AN2063" s="125">
        <f>IFERROR(R2063/AL2063,"")</f>
        <v/>
      </c>
      <c r="AO2063" s="122" t="n">
        <v>0</v>
      </c>
      <c r="AP2063" s="54">
        <f>IFERROR(AO2063/AL2063,"")</f>
        <v/>
      </c>
      <c r="AQ2063" s="125">
        <f>IFERROR(R2063/AO2063,"")</f>
        <v/>
      </c>
      <c r="AR2063" s="122" t="n">
        <v>0</v>
      </c>
      <c r="AS2063" s="122" t="n">
        <v>0</v>
      </c>
      <c r="AT2063" s="122">
        <f>AL2063+AR2063</f>
        <v/>
      </c>
      <c r="AU2063" s="125">
        <f>IFERROR(AO2063*Assumptions!$C$26*Assumptions!$C$27*INDEX(Assumptions!$C$18:$C$21,MATCH(H2063,Assumptions!$B$18:$B$21,0)),0)</f>
        <v/>
      </c>
    </row>
    <row r="2064">
      <c r="A2064" s="120" t="n">
        <v>46257</v>
      </c>
      <c r="B2064" s="66" t="inlineStr">
        <is>
          <t>Wk 34</t>
        </is>
      </c>
      <c r="C2064" s="66" t="inlineStr">
        <is>
          <t>Sun</t>
        </is>
      </c>
      <c r="D2064" s="66" t="inlineStr">
        <is>
          <t>Programmatic</t>
        </is>
      </c>
      <c r="E2064" s="66" t="inlineStr">
        <is>
          <t>DV360</t>
        </is>
      </c>
      <c r="F2064" s="66" t="inlineStr">
        <is>
          <t>LEP_ZA_AUG26_PROG_TD_VIDEO_OLV</t>
        </is>
      </c>
      <c r="G2064" s="66" t="inlineStr">
        <is>
          <t>Online Video / CTV</t>
        </is>
      </c>
      <c r="H2064" s="66" t="inlineStr">
        <is>
          <t>Range</t>
        </is>
      </c>
      <c r="I2064" s="66" t="inlineStr">
        <is>
          <t>Range Offer</t>
        </is>
      </c>
      <c r="J2064" s="66" t="inlineStr">
        <is>
          <t>PROG_OLV_PREROLL_AUTO</t>
        </is>
      </c>
      <c r="K2064" s="66" t="inlineStr">
        <is>
          <t>Contextual</t>
        </is>
      </c>
      <c r="L2064" s="66" t="inlineStr">
        <is>
          <t>PROG_OLV_15s_AMUR_v1</t>
        </is>
      </c>
      <c r="M2064" s="66" t="inlineStr">
        <is>
          <t>Video 16:9 Pre-roll</t>
        </is>
      </c>
      <c r="N2064" s="66" t="inlineStr">
        <is>
          <t>AMUR from R3 599pm</t>
        </is>
      </c>
      <c r="O2064" s="66" t="inlineStr">
        <is>
          <t>Auction - Fixed CPM</t>
        </is>
      </c>
      <c r="P2064" s="66" t="inlineStr">
        <is>
          <t>Completed Views + CPA</t>
        </is>
      </c>
      <c r="Q2064" s="66" t="inlineStr">
        <is>
          <t>https://www.lepas-sa.co.za/offers</t>
        </is>
      </c>
      <c r="R2064" s="121" t="n">
        <v>153.69</v>
      </c>
      <c r="S2064" s="122" t="n">
        <v>9362</v>
      </c>
      <c r="T2064" s="122" t="n">
        <v>5196</v>
      </c>
      <c r="U2064" s="123">
        <f>IFERROR(S2064/T2064,"")</f>
        <v/>
      </c>
      <c r="V2064" s="122" t="n">
        <v>10</v>
      </c>
      <c r="W2064" s="122" t="n">
        <v>8</v>
      </c>
      <c r="X2064" s="124">
        <f>IFERROR(W2064/S2064,"")</f>
        <v/>
      </c>
      <c r="Y2064" s="121">
        <f>IFERROR(R2064/W2064,"")</f>
        <v/>
      </c>
      <c r="Z2064" s="121">
        <f>IFERROR(R2064/S2064*1000,"")</f>
        <v/>
      </c>
      <c r="AA2064" s="122" t="n">
        <v>5</v>
      </c>
      <c r="AB2064" s="54">
        <f>IFERROR(AA2064/W2064,"")</f>
        <v/>
      </c>
      <c r="AC2064" s="122" t="n">
        <v>2448</v>
      </c>
      <c r="AD2064" s="122" t="n">
        <v>1322</v>
      </c>
      <c r="AE2064" s="122" t="n">
        <v>922</v>
      </c>
      <c r="AF2064" s="122" t="n">
        <v>572</v>
      </c>
      <c r="AG2064" s="122" t="n">
        <v>447</v>
      </c>
      <c r="AH2064" s="122" t="n">
        <v>248</v>
      </c>
      <c r="AI2064" s="54">
        <f>IFERROR(AC2064/S2064,"")</f>
        <v/>
      </c>
      <c r="AJ2064" s="54">
        <f>IFERROR(AH2064/S2064,"")</f>
        <v/>
      </c>
      <c r="AK2064" s="122" t="n">
        <v>36</v>
      </c>
      <c r="AL2064" s="122" t="n">
        <v>0</v>
      </c>
      <c r="AM2064" s="124">
        <f>IFERROR(AL2064/AA2064,"")</f>
        <v/>
      </c>
      <c r="AN2064" s="125">
        <f>IFERROR(R2064/AL2064,"")</f>
        <v/>
      </c>
      <c r="AO2064" s="122" t="n">
        <v>0</v>
      </c>
      <c r="AP2064" s="54">
        <f>IFERROR(AO2064/AL2064,"")</f>
        <v/>
      </c>
      <c r="AQ2064" s="125">
        <f>IFERROR(R2064/AO2064,"")</f>
        <v/>
      </c>
      <c r="AR2064" s="122" t="n">
        <v>0</v>
      </c>
      <c r="AS2064" s="122" t="n">
        <v>0</v>
      </c>
      <c r="AT2064" s="122">
        <f>AL2064+AR2064</f>
        <v/>
      </c>
      <c r="AU2064" s="125">
        <f>IFERROR(AO2064*Assumptions!$C$26*Assumptions!$C$27*INDEX(Assumptions!$C$18:$C$21,MATCH(H2064,Assumptions!$B$18:$B$21,0)),0)</f>
        <v/>
      </c>
    </row>
    <row r="2065">
      <c r="A2065" s="120" t="n">
        <v>46258</v>
      </c>
      <c r="B2065" s="66" t="inlineStr">
        <is>
          <t>Wk 35</t>
        </is>
      </c>
      <c r="C2065" s="66" t="inlineStr">
        <is>
          <t>Mon</t>
        </is>
      </c>
      <c r="D2065" s="66" t="inlineStr">
        <is>
          <t>Programmatic</t>
        </is>
      </c>
      <c r="E2065" s="66" t="inlineStr">
        <is>
          <t>DV360</t>
        </is>
      </c>
      <c r="F2065" s="66" t="inlineStr">
        <is>
          <t>LEP_ZA_AUG26_PROG_TD_VIDEO_OLV</t>
        </is>
      </c>
      <c r="G2065" s="66" t="inlineStr">
        <is>
          <t>Online Video / CTV</t>
        </is>
      </c>
      <c r="H2065" s="66" t="inlineStr">
        <is>
          <t>Range</t>
        </is>
      </c>
      <c r="I2065" s="66" t="inlineStr">
        <is>
          <t>Range Offer</t>
        </is>
      </c>
      <c r="J2065" s="66" t="inlineStr">
        <is>
          <t>PROG_OLV_PREROLL_AUTO</t>
        </is>
      </c>
      <c r="K2065" s="66" t="inlineStr">
        <is>
          <t>Contextual</t>
        </is>
      </c>
      <c r="L2065" s="66" t="inlineStr">
        <is>
          <t>PROG_OLV_15s_AMUR_v1</t>
        </is>
      </c>
      <c r="M2065" s="66" t="inlineStr">
        <is>
          <t>Video 16:9 Pre-roll</t>
        </is>
      </c>
      <c r="N2065" s="66" t="inlineStr">
        <is>
          <t>AMUR from R3 599pm</t>
        </is>
      </c>
      <c r="O2065" s="66" t="inlineStr">
        <is>
          <t>Auction - Fixed CPM</t>
        </is>
      </c>
      <c r="P2065" s="66" t="inlineStr">
        <is>
          <t>Completed Views + CPA</t>
        </is>
      </c>
      <c r="Q2065" s="66" t="inlineStr">
        <is>
          <t>https://www.lepas-sa.co.za/offers</t>
        </is>
      </c>
      <c r="R2065" s="121" t="n">
        <v>149.34</v>
      </c>
      <c r="S2065" s="122" t="n">
        <v>6594</v>
      </c>
      <c r="T2065" s="122" t="n">
        <v>2613</v>
      </c>
      <c r="U2065" s="123">
        <f>IFERROR(S2065/T2065,"")</f>
        <v/>
      </c>
      <c r="V2065" s="122" t="n">
        <v>11</v>
      </c>
      <c r="W2065" s="122" t="n">
        <v>9</v>
      </c>
      <c r="X2065" s="124">
        <f>IFERROR(W2065/S2065,"")</f>
        <v/>
      </c>
      <c r="Y2065" s="121">
        <f>IFERROR(R2065/W2065,"")</f>
        <v/>
      </c>
      <c r="Z2065" s="121">
        <f>IFERROR(R2065/S2065*1000,"")</f>
        <v/>
      </c>
      <c r="AA2065" s="122" t="n">
        <v>5</v>
      </c>
      <c r="AB2065" s="54">
        <f>IFERROR(AA2065/W2065,"")</f>
        <v/>
      </c>
      <c r="AC2065" s="122" t="n">
        <v>1976</v>
      </c>
      <c r="AD2065" s="122" t="n">
        <v>920</v>
      </c>
      <c r="AE2065" s="122" t="n">
        <v>787</v>
      </c>
      <c r="AF2065" s="122" t="n">
        <v>539</v>
      </c>
      <c r="AG2065" s="122" t="n">
        <v>358</v>
      </c>
      <c r="AH2065" s="122" t="n">
        <v>210</v>
      </c>
      <c r="AI2065" s="54">
        <f>IFERROR(AC2065/S2065,"")</f>
        <v/>
      </c>
      <c r="AJ2065" s="54">
        <f>IFERROR(AH2065/S2065,"")</f>
        <v/>
      </c>
      <c r="AK2065" s="122" t="n">
        <v>10</v>
      </c>
      <c r="AL2065" s="122" t="n">
        <v>0</v>
      </c>
      <c r="AM2065" s="124">
        <f>IFERROR(AL2065/AA2065,"")</f>
        <v/>
      </c>
      <c r="AN2065" s="125">
        <f>IFERROR(R2065/AL2065,"")</f>
        <v/>
      </c>
      <c r="AO2065" s="122" t="n">
        <v>0</v>
      </c>
      <c r="AP2065" s="54">
        <f>IFERROR(AO2065/AL2065,"")</f>
        <v/>
      </c>
      <c r="AQ2065" s="125">
        <f>IFERROR(R2065/AO2065,"")</f>
        <v/>
      </c>
      <c r="AR2065" s="122" t="n">
        <v>0</v>
      </c>
      <c r="AS2065" s="122" t="n">
        <v>0</v>
      </c>
      <c r="AT2065" s="122">
        <f>AL2065+AR2065</f>
        <v/>
      </c>
      <c r="AU2065" s="125">
        <f>IFERROR(AO2065*Assumptions!$C$26*Assumptions!$C$27*INDEX(Assumptions!$C$18:$C$21,MATCH(H2065,Assumptions!$B$18:$B$21,0)),0)</f>
        <v/>
      </c>
    </row>
    <row r="2066">
      <c r="A2066" s="120" t="n">
        <v>46259</v>
      </c>
      <c r="B2066" s="66" t="inlineStr">
        <is>
          <t>Wk 35</t>
        </is>
      </c>
      <c r="C2066" s="66" t="inlineStr">
        <is>
          <t>Tue</t>
        </is>
      </c>
      <c r="D2066" s="66" t="inlineStr">
        <is>
          <t>Programmatic</t>
        </is>
      </c>
      <c r="E2066" s="66" t="inlineStr">
        <is>
          <t>DV360</t>
        </is>
      </c>
      <c r="F2066" s="66" t="inlineStr">
        <is>
          <t>LEP_ZA_AUG26_PROG_TD_VIDEO_OLV</t>
        </is>
      </c>
      <c r="G2066" s="66" t="inlineStr">
        <is>
          <t>Online Video / CTV</t>
        </is>
      </c>
      <c r="H2066" s="66" t="inlineStr">
        <is>
          <t>Range</t>
        </is>
      </c>
      <c r="I2066" s="66" t="inlineStr">
        <is>
          <t>Range Offer</t>
        </is>
      </c>
      <c r="J2066" s="66" t="inlineStr">
        <is>
          <t>PROG_OLV_PREROLL_AUTO</t>
        </is>
      </c>
      <c r="K2066" s="66" t="inlineStr">
        <is>
          <t>Contextual</t>
        </is>
      </c>
      <c r="L2066" s="66" t="inlineStr">
        <is>
          <t>PROG_OLV_15s_AMUR_v1</t>
        </is>
      </c>
      <c r="M2066" s="66" t="inlineStr">
        <is>
          <t>Video 16:9 Pre-roll</t>
        </is>
      </c>
      <c r="N2066" s="66" t="inlineStr">
        <is>
          <t>AMUR from R3 599pm</t>
        </is>
      </c>
      <c r="O2066" s="66" t="inlineStr">
        <is>
          <t>Auction - Fixed CPM</t>
        </is>
      </c>
      <c r="P2066" s="66" t="inlineStr">
        <is>
          <t>Completed Views + CPA</t>
        </is>
      </c>
      <c r="Q2066" s="66" t="inlineStr">
        <is>
          <t>https://www.lepas-sa.co.za/offers</t>
        </is>
      </c>
      <c r="R2066" s="121" t="n">
        <v>135.51</v>
      </c>
      <c r="S2066" s="122" t="n">
        <v>6438</v>
      </c>
      <c r="T2066" s="122" t="n">
        <v>3952</v>
      </c>
      <c r="U2066" s="123">
        <f>IFERROR(S2066/T2066,"")</f>
        <v/>
      </c>
      <c r="V2066" s="122" t="n">
        <v>7</v>
      </c>
      <c r="W2066" s="122" t="n">
        <v>5</v>
      </c>
      <c r="X2066" s="124">
        <f>IFERROR(W2066/S2066,"")</f>
        <v/>
      </c>
      <c r="Y2066" s="121">
        <f>IFERROR(R2066/W2066,"")</f>
        <v/>
      </c>
      <c r="Z2066" s="121">
        <f>IFERROR(R2066/S2066*1000,"")</f>
        <v/>
      </c>
      <c r="AA2066" s="122" t="n">
        <v>3</v>
      </c>
      <c r="AB2066" s="54">
        <f>IFERROR(AA2066/W2066,"")</f>
        <v/>
      </c>
      <c r="AC2066" s="122" t="n">
        <v>1532</v>
      </c>
      <c r="AD2066" s="122" t="n">
        <v>692</v>
      </c>
      <c r="AE2066" s="122" t="n">
        <v>593</v>
      </c>
      <c r="AF2066" s="122" t="n">
        <v>417</v>
      </c>
      <c r="AG2066" s="122" t="n">
        <v>326</v>
      </c>
      <c r="AH2066" s="122" t="n">
        <v>188</v>
      </c>
      <c r="AI2066" s="54">
        <f>IFERROR(AC2066/S2066,"")</f>
        <v/>
      </c>
      <c r="AJ2066" s="54">
        <f>IFERROR(AH2066/S2066,"")</f>
        <v/>
      </c>
      <c r="AK2066" s="122" t="n">
        <v>13</v>
      </c>
      <c r="AL2066" s="122" t="n">
        <v>0</v>
      </c>
      <c r="AM2066" s="124">
        <f>IFERROR(AL2066/AA2066,"")</f>
        <v/>
      </c>
      <c r="AN2066" s="125">
        <f>IFERROR(R2066/AL2066,"")</f>
        <v/>
      </c>
      <c r="AO2066" s="122" t="n">
        <v>0</v>
      </c>
      <c r="AP2066" s="54">
        <f>IFERROR(AO2066/AL2066,"")</f>
        <v/>
      </c>
      <c r="AQ2066" s="125">
        <f>IFERROR(R2066/AO2066,"")</f>
        <v/>
      </c>
      <c r="AR2066" s="122" t="n">
        <v>0</v>
      </c>
      <c r="AS2066" s="122" t="n">
        <v>0</v>
      </c>
      <c r="AT2066" s="122">
        <f>AL2066+AR2066</f>
        <v/>
      </c>
      <c r="AU2066" s="125">
        <f>IFERROR(AO2066*Assumptions!$C$26*Assumptions!$C$27*INDEX(Assumptions!$C$18:$C$21,MATCH(H2066,Assumptions!$B$18:$B$21,0)),0)</f>
        <v/>
      </c>
    </row>
    <row r="2067">
      <c r="A2067" s="120" t="n">
        <v>46260</v>
      </c>
      <c r="B2067" s="66" t="inlineStr">
        <is>
          <t>Wk 35</t>
        </is>
      </c>
      <c r="C2067" s="66" t="inlineStr">
        <is>
          <t>Wed</t>
        </is>
      </c>
      <c r="D2067" s="66" t="inlineStr">
        <is>
          <t>Programmatic</t>
        </is>
      </c>
      <c r="E2067" s="66" t="inlineStr">
        <is>
          <t>DV360</t>
        </is>
      </c>
      <c r="F2067" s="66" t="inlineStr">
        <is>
          <t>LEP_ZA_AUG26_PROG_TD_VIDEO_OLV</t>
        </is>
      </c>
      <c r="G2067" s="66" t="inlineStr">
        <is>
          <t>Online Video / CTV</t>
        </is>
      </c>
      <c r="H2067" s="66" t="inlineStr">
        <is>
          <t>Range</t>
        </is>
      </c>
      <c r="I2067" s="66" t="inlineStr">
        <is>
          <t>Range Offer</t>
        </is>
      </c>
      <c r="J2067" s="66" t="inlineStr">
        <is>
          <t>PROG_OLV_PREROLL_AUTO</t>
        </is>
      </c>
      <c r="K2067" s="66" t="inlineStr">
        <is>
          <t>Contextual</t>
        </is>
      </c>
      <c r="L2067" s="66" t="inlineStr">
        <is>
          <t>PROG_OLV_15s_AMUR_v1</t>
        </is>
      </c>
      <c r="M2067" s="66" t="inlineStr">
        <is>
          <t>Video 16:9 Pre-roll</t>
        </is>
      </c>
      <c r="N2067" s="66" t="inlineStr">
        <is>
          <t>AMUR from R3 599pm</t>
        </is>
      </c>
      <c r="O2067" s="66" t="inlineStr">
        <is>
          <t>Auction - Fixed CPM</t>
        </is>
      </c>
      <c r="P2067" s="66" t="inlineStr">
        <is>
          <t>Completed Views + CPA</t>
        </is>
      </c>
      <c r="Q2067" s="66" t="inlineStr">
        <is>
          <t>https://www.lepas-sa.co.za/offers</t>
        </is>
      </c>
      <c r="R2067" s="121" t="n">
        <v>157.33</v>
      </c>
      <c r="S2067" s="122" t="n">
        <v>5344</v>
      </c>
      <c r="T2067" s="122" t="n">
        <v>2834</v>
      </c>
      <c r="U2067" s="123">
        <f>IFERROR(S2067/T2067,"")</f>
        <v/>
      </c>
      <c r="V2067" s="122" t="n">
        <v>13</v>
      </c>
      <c r="W2067" s="122" t="n">
        <v>9</v>
      </c>
      <c r="X2067" s="124">
        <f>IFERROR(W2067/S2067,"")</f>
        <v/>
      </c>
      <c r="Y2067" s="121">
        <f>IFERROR(R2067/W2067,"")</f>
        <v/>
      </c>
      <c r="Z2067" s="121">
        <f>IFERROR(R2067/S2067*1000,"")</f>
        <v/>
      </c>
      <c r="AA2067" s="122" t="n">
        <v>5</v>
      </c>
      <c r="AB2067" s="54">
        <f>IFERROR(AA2067/W2067,"")</f>
        <v/>
      </c>
      <c r="AC2067" s="122" t="n">
        <v>1329</v>
      </c>
      <c r="AD2067" s="122" t="n">
        <v>621</v>
      </c>
      <c r="AE2067" s="122" t="n">
        <v>629</v>
      </c>
      <c r="AF2067" s="122" t="n">
        <v>436</v>
      </c>
      <c r="AG2067" s="122" t="n">
        <v>302</v>
      </c>
      <c r="AH2067" s="122" t="n">
        <v>192</v>
      </c>
      <c r="AI2067" s="54">
        <f>IFERROR(AC2067/S2067,"")</f>
        <v/>
      </c>
      <c r="AJ2067" s="54">
        <f>IFERROR(AH2067/S2067,"")</f>
        <v/>
      </c>
      <c r="AK2067" s="122" t="n">
        <v>23</v>
      </c>
      <c r="AL2067" s="122" t="n">
        <v>0</v>
      </c>
      <c r="AM2067" s="124">
        <f>IFERROR(AL2067/AA2067,"")</f>
        <v/>
      </c>
      <c r="AN2067" s="125">
        <f>IFERROR(R2067/AL2067,"")</f>
        <v/>
      </c>
      <c r="AO2067" s="122" t="n">
        <v>0</v>
      </c>
      <c r="AP2067" s="54">
        <f>IFERROR(AO2067/AL2067,"")</f>
        <v/>
      </c>
      <c r="AQ2067" s="125">
        <f>IFERROR(R2067/AO2067,"")</f>
        <v/>
      </c>
      <c r="AR2067" s="122" t="n">
        <v>0</v>
      </c>
      <c r="AS2067" s="122" t="n">
        <v>0</v>
      </c>
      <c r="AT2067" s="122">
        <f>AL2067+AR2067</f>
        <v/>
      </c>
      <c r="AU2067" s="125">
        <f>IFERROR(AO2067*Assumptions!$C$26*Assumptions!$C$27*INDEX(Assumptions!$C$18:$C$21,MATCH(H2067,Assumptions!$B$18:$B$21,0)),0)</f>
        <v/>
      </c>
    </row>
    <row r="2068">
      <c r="A2068" s="120" t="n">
        <v>46261</v>
      </c>
      <c r="B2068" s="66" t="inlineStr">
        <is>
          <t>Wk 35</t>
        </is>
      </c>
      <c r="C2068" s="66" t="inlineStr">
        <is>
          <t>Thu</t>
        </is>
      </c>
      <c r="D2068" s="66" t="inlineStr">
        <is>
          <t>Programmatic</t>
        </is>
      </c>
      <c r="E2068" s="66" t="inlineStr">
        <is>
          <t>DV360</t>
        </is>
      </c>
      <c r="F2068" s="66" t="inlineStr">
        <is>
          <t>LEP_ZA_AUG26_PROG_TD_VIDEO_OLV</t>
        </is>
      </c>
      <c r="G2068" s="66" t="inlineStr">
        <is>
          <t>Online Video / CTV</t>
        </is>
      </c>
      <c r="H2068" s="66" t="inlineStr">
        <is>
          <t>Range</t>
        </is>
      </c>
      <c r="I2068" s="66" t="inlineStr">
        <is>
          <t>Range Offer</t>
        </is>
      </c>
      <c r="J2068" s="66" t="inlineStr">
        <is>
          <t>PROG_OLV_PREROLL_AUTO</t>
        </is>
      </c>
      <c r="K2068" s="66" t="inlineStr">
        <is>
          <t>Contextual</t>
        </is>
      </c>
      <c r="L2068" s="66" t="inlineStr">
        <is>
          <t>PROG_OLV_15s_AMUR_v1</t>
        </is>
      </c>
      <c r="M2068" s="66" t="inlineStr">
        <is>
          <t>Video 16:9 Pre-roll</t>
        </is>
      </c>
      <c r="N2068" s="66" t="inlineStr">
        <is>
          <t>AMUR from R3 599pm</t>
        </is>
      </c>
      <c r="O2068" s="66" t="inlineStr">
        <is>
          <t>Auction - Fixed CPM</t>
        </is>
      </c>
      <c r="P2068" s="66" t="inlineStr">
        <is>
          <t>Completed Views + CPA</t>
        </is>
      </c>
      <c r="Q2068" s="66" t="inlineStr">
        <is>
          <t>https://www.lepas-sa.co.za/offers</t>
        </is>
      </c>
      <c r="R2068" s="121" t="n">
        <v>230.47</v>
      </c>
      <c r="S2068" s="122" t="n">
        <v>8231</v>
      </c>
      <c r="T2068" s="122" t="n">
        <v>3345</v>
      </c>
      <c r="U2068" s="123">
        <f>IFERROR(S2068/T2068,"")</f>
        <v/>
      </c>
      <c r="V2068" s="122" t="n">
        <v>23</v>
      </c>
      <c r="W2068" s="122" t="n">
        <v>17</v>
      </c>
      <c r="X2068" s="124">
        <f>IFERROR(W2068/S2068,"")</f>
        <v/>
      </c>
      <c r="Y2068" s="121">
        <f>IFERROR(R2068/W2068,"")</f>
        <v/>
      </c>
      <c r="Z2068" s="121">
        <f>IFERROR(R2068/S2068*1000,"")</f>
        <v/>
      </c>
      <c r="AA2068" s="122" t="n">
        <v>11</v>
      </c>
      <c r="AB2068" s="54">
        <f>IFERROR(AA2068/W2068,"")</f>
        <v/>
      </c>
      <c r="AC2068" s="122" t="n">
        <v>3021</v>
      </c>
      <c r="AD2068" s="122" t="n">
        <v>1763</v>
      </c>
      <c r="AE2068" s="122" t="n">
        <v>1350</v>
      </c>
      <c r="AF2068" s="122" t="n">
        <v>948</v>
      </c>
      <c r="AG2068" s="122" t="n">
        <v>753</v>
      </c>
      <c r="AH2068" s="122" t="n">
        <v>479</v>
      </c>
      <c r="AI2068" s="54">
        <f>IFERROR(AC2068/S2068,"")</f>
        <v/>
      </c>
      <c r="AJ2068" s="54">
        <f>IFERROR(AH2068/S2068,"")</f>
        <v/>
      </c>
      <c r="AK2068" s="122" t="n">
        <v>26</v>
      </c>
      <c r="AL2068" s="122" t="n">
        <v>0</v>
      </c>
      <c r="AM2068" s="124">
        <f>IFERROR(AL2068/AA2068,"")</f>
        <v/>
      </c>
      <c r="AN2068" s="125">
        <f>IFERROR(R2068/AL2068,"")</f>
        <v/>
      </c>
      <c r="AO2068" s="122" t="n">
        <v>0</v>
      </c>
      <c r="AP2068" s="54">
        <f>IFERROR(AO2068/AL2068,"")</f>
        <v/>
      </c>
      <c r="AQ2068" s="125">
        <f>IFERROR(R2068/AO2068,"")</f>
        <v/>
      </c>
      <c r="AR2068" s="122" t="n">
        <v>0</v>
      </c>
      <c r="AS2068" s="122" t="n">
        <v>0</v>
      </c>
      <c r="AT2068" s="122">
        <f>AL2068+AR2068</f>
        <v/>
      </c>
      <c r="AU2068" s="125">
        <f>IFERROR(AO2068*Assumptions!$C$26*Assumptions!$C$27*INDEX(Assumptions!$C$18:$C$21,MATCH(H2068,Assumptions!$B$18:$B$21,0)),0)</f>
        <v/>
      </c>
    </row>
    <row r="2069">
      <c r="A2069" s="120" t="n">
        <v>46262</v>
      </c>
      <c r="B2069" s="66" t="inlineStr">
        <is>
          <t>Wk 35</t>
        </is>
      </c>
      <c r="C2069" s="66" t="inlineStr">
        <is>
          <t>Fri</t>
        </is>
      </c>
      <c r="D2069" s="66" t="inlineStr">
        <is>
          <t>Programmatic</t>
        </is>
      </c>
      <c r="E2069" s="66" t="inlineStr">
        <is>
          <t>DV360</t>
        </is>
      </c>
      <c r="F2069" s="66" t="inlineStr">
        <is>
          <t>LEP_ZA_AUG26_PROG_TD_VIDEO_OLV</t>
        </is>
      </c>
      <c r="G2069" s="66" t="inlineStr">
        <is>
          <t>Online Video / CTV</t>
        </is>
      </c>
      <c r="H2069" s="66" t="inlineStr">
        <is>
          <t>Range</t>
        </is>
      </c>
      <c r="I2069" s="66" t="inlineStr">
        <is>
          <t>Range Offer</t>
        </is>
      </c>
      <c r="J2069" s="66" t="inlineStr">
        <is>
          <t>PROG_OLV_PREROLL_AUTO</t>
        </is>
      </c>
      <c r="K2069" s="66" t="inlineStr">
        <is>
          <t>Contextual</t>
        </is>
      </c>
      <c r="L2069" s="66" t="inlineStr">
        <is>
          <t>PROG_OLV_15s_AMUR_v1</t>
        </is>
      </c>
      <c r="M2069" s="66" t="inlineStr">
        <is>
          <t>Video 16:9 Pre-roll</t>
        </is>
      </c>
      <c r="N2069" s="66" t="inlineStr">
        <is>
          <t>AMUR from R3 599pm</t>
        </is>
      </c>
      <c r="O2069" s="66" t="inlineStr">
        <is>
          <t>Auction - Fixed CPM</t>
        </is>
      </c>
      <c r="P2069" s="66" t="inlineStr">
        <is>
          <t>Completed Views + CPA</t>
        </is>
      </c>
      <c r="Q2069" s="66" t="inlineStr">
        <is>
          <t>https://www.lepas-sa.co.za/offers</t>
        </is>
      </c>
      <c r="R2069" s="121" t="n">
        <v>231.04</v>
      </c>
      <c r="S2069" s="122" t="n">
        <v>7570</v>
      </c>
      <c r="T2069" s="122" t="n">
        <v>2737</v>
      </c>
      <c r="U2069" s="123">
        <f>IFERROR(S2069/T2069,"")</f>
        <v/>
      </c>
      <c r="V2069" s="122" t="n">
        <v>14</v>
      </c>
      <c r="W2069" s="122" t="n">
        <v>11</v>
      </c>
      <c r="X2069" s="124">
        <f>IFERROR(W2069/S2069,"")</f>
        <v/>
      </c>
      <c r="Y2069" s="121">
        <f>IFERROR(R2069/W2069,"")</f>
        <v/>
      </c>
      <c r="Z2069" s="121">
        <f>IFERROR(R2069/S2069*1000,"")</f>
        <v/>
      </c>
      <c r="AA2069" s="122" t="n">
        <v>6</v>
      </c>
      <c r="AB2069" s="54">
        <f>IFERROR(AA2069/W2069,"")</f>
        <v/>
      </c>
      <c r="AC2069" s="122" t="n">
        <v>2536</v>
      </c>
      <c r="AD2069" s="122" t="n">
        <v>1201</v>
      </c>
      <c r="AE2069" s="122" t="n">
        <v>1128</v>
      </c>
      <c r="AF2069" s="122" t="n">
        <v>617</v>
      </c>
      <c r="AG2069" s="122" t="n">
        <v>405</v>
      </c>
      <c r="AH2069" s="122" t="n">
        <v>271</v>
      </c>
      <c r="AI2069" s="54">
        <f>IFERROR(AC2069/S2069,"")</f>
        <v/>
      </c>
      <c r="AJ2069" s="54">
        <f>IFERROR(AH2069/S2069,"")</f>
        <v/>
      </c>
      <c r="AK2069" s="122" t="n">
        <v>20</v>
      </c>
      <c r="AL2069" s="122" t="n">
        <v>0</v>
      </c>
      <c r="AM2069" s="124">
        <f>IFERROR(AL2069/AA2069,"")</f>
        <v/>
      </c>
      <c r="AN2069" s="125">
        <f>IFERROR(R2069/AL2069,"")</f>
        <v/>
      </c>
      <c r="AO2069" s="122" t="n">
        <v>0</v>
      </c>
      <c r="AP2069" s="54">
        <f>IFERROR(AO2069/AL2069,"")</f>
        <v/>
      </c>
      <c r="AQ2069" s="125">
        <f>IFERROR(R2069/AO2069,"")</f>
        <v/>
      </c>
      <c r="AR2069" s="122" t="n">
        <v>0</v>
      </c>
      <c r="AS2069" s="122" t="n">
        <v>0</v>
      </c>
      <c r="AT2069" s="122">
        <f>AL2069+AR2069</f>
        <v/>
      </c>
      <c r="AU2069" s="125">
        <f>IFERROR(AO2069*Assumptions!$C$26*Assumptions!$C$27*INDEX(Assumptions!$C$18:$C$21,MATCH(H2069,Assumptions!$B$18:$B$21,0)),0)</f>
        <v/>
      </c>
    </row>
    <row r="2070">
      <c r="A2070" s="120" t="n">
        <v>46263</v>
      </c>
      <c r="B2070" s="66" t="inlineStr">
        <is>
          <t>Wk 35</t>
        </is>
      </c>
      <c r="C2070" s="66" t="inlineStr">
        <is>
          <t>Sat</t>
        </is>
      </c>
      <c r="D2070" s="66" t="inlineStr">
        <is>
          <t>Programmatic</t>
        </is>
      </c>
      <c r="E2070" s="66" t="inlineStr">
        <is>
          <t>DV360</t>
        </is>
      </c>
      <c r="F2070" s="66" t="inlineStr">
        <is>
          <t>LEP_ZA_AUG26_PROG_TD_VIDEO_OLV</t>
        </is>
      </c>
      <c r="G2070" s="66" t="inlineStr">
        <is>
          <t>Online Video / CTV</t>
        </is>
      </c>
      <c r="H2070" s="66" t="inlineStr">
        <is>
          <t>Range</t>
        </is>
      </c>
      <c r="I2070" s="66" t="inlineStr">
        <is>
          <t>Range Offer</t>
        </is>
      </c>
      <c r="J2070" s="66" t="inlineStr">
        <is>
          <t>PROG_OLV_PREROLL_AUTO</t>
        </is>
      </c>
      <c r="K2070" s="66" t="inlineStr">
        <is>
          <t>Contextual</t>
        </is>
      </c>
      <c r="L2070" s="66" t="inlineStr">
        <is>
          <t>PROG_OLV_15s_AMUR_v1</t>
        </is>
      </c>
      <c r="M2070" s="66" t="inlineStr">
        <is>
          <t>Video 16:9 Pre-roll</t>
        </is>
      </c>
      <c r="N2070" s="66" t="inlineStr">
        <is>
          <t>AMUR from R3 599pm</t>
        </is>
      </c>
      <c r="O2070" s="66" t="inlineStr">
        <is>
          <t>Auction - Fixed CPM</t>
        </is>
      </c>
      <c r="P2070" s="66" t="inlineStr">
        <is>
          <t>Completed Views + CPA</t>
        </is>
      </c>
      <c r="Q2070" s="66" t="inlineStr">
        <is>
          <t>https://www.lepas-sa.co.za/offers</t>
        </is>
      </c>
      <c r="R2070" s="121" t="n">
        <v>180.27</v>
      </c>
      <c r="S2070" s="122" t="n">
        <v>10213</v>
      </c>
      <c r="T2070" s="122" t="n">
        <v>3649</v>
      </c>
      <c r="U2070" s="123">
        <f>IFERROR(S2070/T2070,"")</f>
        <v/>
      </c>
      <c r="V2070" s="122" t="n">
        <v>19</v>
      </c>
      <c r="W2070" s="122" t="n">
        <v>14</v>
      </c>
      <c r="X2070" s="124">
        <f>IFERROR(W2070/S2070,"")</f>
        <v/>
      </c>
      <c r="Y2070" s="121">
        <f>IFERROR(R2070/W2070,"")</f>
        <v/>
      </c>
      <c r="Z2070" s="121">
        <f>IFERROR(R2070/S2070*1000,"")</f>
        <v/>
      </c>
      <c r="AA2070" s="122" t="n">
        <v>9</v>
      </c>
      <c r="AB2070" s="54">
        <f>IFERROR(AA2070/W2070,"")</f>
        <v/>
      </c>
      <c r="AC2070" s="122" t="n">
        <v>2861</v>
      </c>
      <c r="AD2070" s="122" t="n">
        <v>1615</v>
      </c>
      <c r="AE2070" s="122" t="n">
        <v>1335</v>
      </c>
      <c r="AF2070" s="122" t="n">
        <v>872</v>
      </c>
      <c r="AG2070" s="122" t="n">
        <v>628</v>
      </c>
      <c r="AH2070" s="122" t="n">
        <v>428</v>
      </c>
      <c r="AI2070" s="54">
        <f>IFERROR(AC2070/S2070,"")</f>
        <v/>
      </c>
      <c r="AJ2070" s="54">
        <f>IFERROR(AH2070/S2070,"")</f>
        <v/>
      </c>
      <c r="AK2070" s="122" t="n">
        <v>21</v>
      </c>
      <c r="AL2070" s="122" t="n">
        <v>0</v>
      </c>
      <c r="AM2070" s="124">
        <f>IFERROR(AL2070/AA2070,"")</f>
        <v/>
      </c>
      <c r="AN2070" s="125">
        <f>IFERROR(R2070/AL2070,"")</f>
        <v/>
      </c>
      <c r="AO2070" s="122" t="n">
        <v>0</v>
      </c>
      <c r="AP2070" s="54">
        <f>IFERROR(AO2070/AL2070,"")</f>
        <v/>
      </c>
      <c r="AQ2070" s="125">
        <f>IFERROR(R2070/AO2070,"")</f>
        <v/>
      </c>
      <c r="AR2070" s="122" t="n">
        <v>0</v>
      </c>
      <c r="AS2070" s="122" t="n">
        <v>0</v>
      </c>
      <c r="AT2070" s="122">
        <f>AL2070+AR2070</f>
        <v/>
      </c>
      <c r="AU2070" s="125">
        <f>IFERROR(AO2070*Assumptions!$C$26*Assumptions!$C$27*INDEX(Assumptions!$C$18:$C$21,MATCH(H2070,Assumptions!$B$18:$B$21,0)),0)</f>
        <v/>
      </c>
    </row>
    <row r="2071">
      <c r="A2071" s="120" t="n">
        <v>46264</v>
      </c>
      <c r="B2071" s="66" t="inlineStr">
        <is>
          <t>Wk 35</t>
        </is>
      </c>
      <c r="C2071" s="66" t="inlineStr">
        <is>
          <t>Sun</t>
        </is>
      </c>
      <c r="D2071" s="66" t="inlineStr">
        <is>
          <t>Programmatic</t>
        </is>
      </c>
      <c r="E2071" s="66" t="inlineStr">
        <is>
          <t>DV360</t>
        </is>
      </c>
      <c r="F2071" s="66" t="inlineStr">
        <is>
          <t>LEP_ZA_AUG26_PROG_TD_VIDEO_OLV</t>
        </is>
      </c>
      <c r="G2071" s="66" t="inlineStr">
        <is>
          <t>Online Video / CTV</t>
        </is>
      </c>
      <c r="H2071" s="66" t="inlineStr">
        <is>
          <t>Range</t>
        </is>
      </c>
      <c r="I2071" s="66" t="inlineStr">
        <is>
          <t>Range Offer</t>
        </is>
      </c>
      <c r="J2071" s="66" t="inlineStr">
        <is>
          <t>PROG_OLV_PREROLL_AUTO</t>
        </is>
      </c>
      <c r="K2071" s="66" t="inlineStr">
        <is>
          <t>Contextual</t>
        </is>
      </c>
      <c r="L2071" s="66" t="inlineStr">
        <is>
          <t>PROG_OLV_15s_AMUR_v1</t>
        </is>
      </c>
      <c r="M2071" s="66" t="inlineStr">
        <is>
          <t>Video 16:9 Pre-roll</t>
        </is>
      </c>
      <c r="N2071" s="66" t="inlineStr">
        <is>
          <t>AMUR from R3 599pm</t>
        </is>
      </c>
      <c r="O2071" s="66" t="inlineStr">
        <is>
          <t>Auction - Fixed CPM</t>
        </is>
      </c>
      <c r="P2071" s="66" t="inlineStr">
        <is>
          <t>Completed Views + CPA</t>
        </is>
      </c>
      <c r="Q2071" s="66" t="inlineStr">
        <is>
          <t>https://www.lepas-sa.co.za/offers</t>
        </is>
      </c>
      <c r="R2071" s="121" t="n">
        <v>173.29</v>
      </c>
      <c r="S2071" s="122" t="n">
        <v>5519</v>
      </c>
      <c r="T2071" s="122" t="n">
        <v>3052</v>
      </c>
      <c r="U2071" s="123">
        <f>IFERROR(S2071/T2071,"")</f>
        <v/>
      </c>
      <c r="V2071" s="122" t="n">
        <v>13</v>
      </c>
      <c r="W2071" s="122" t="n">
        <v>10</v>
      </c>
      <c r="X2071" s="124">
        <f>IFERROR(W2071/S2071,"")</f>
        <v/>
      </c>
      <c r="Y2071" s="121">
        <f>IFERROR(R2071/W2071,"")</f>
        <v/>
      </c>
      <c r="Z2071" s="121">
        <f>IFERROR(R2071/S2071*1000,"")</f>
        <v/>
      </c>
      <c r="AA2071" s="122" t="n">
        <v>6</v>
      </c>
      <c r="AB2071" s="54">
        <f>IFERROR(AA2071/W2071,"")</f>
        <v/>
      </c>
      <c r="AC2071" s="122" t="n">
        <v>1351</v>
      </c>
      <c r="AD2071" s="122" t="n">
        <v>819</v>
      </c>
      <c r="AE2071" s="122" t="n">
        <v>740</v>
      </c>
      <c r="AF2071" s="122" t="n">
        <v>506</v>
      </c>
      <c r="AG2071" s="122" t="n">
        <v>355</v>
      </c>
      <c r="AH2071" s="122" t="n">
        <v>235</v>
      </c>
      <c r="AI2071" s="54">
        <f>IFERROR(AC2071/S2071,"")</f>
        <v/>
      </c>
      <c r="AJ2071" s="54">
        <f>IFERROR(AH2071/S2071,"")</f>
        <v/>
      </c>
      <c r="AK2071" s="122" t="n">
        <v>12</v>
      </c>
      <c r="AL2071" s="122" t="n">
        <v>0</v>
      </c>
      <c r="AM2071" s="124">
        <f>IFERROR(AL2071/AA2071,"")</f>
        <v/>
      </c>
      <c r="AN2071" s="125">
        <f>IFERROR(R2071/AL2071,"")</f>
        <v/>
      </c>
      <c r="AO2071" s="122" t="n">
        <v>0</v>
      </c>
      <c r="AP2071" s="54">
        <f>IFERROR(AO2071/AL2071,"")</f>
        <v/>
      </c>
      <c r="AQ2071" s="125">
        <f>IFERROR(R2071/AO2071,"")</f>
        <v/>
      </c>
      <c r="AR2071" s="122" t="n">
        <v>0</v>
      </c>
      <c r="AS2071" s="122" t="n">
        <v>0</v>
      </c>
      <c r="AT2071" s="122">
        <f>AL2071+AR2071</f>
        <v/>
      </c>
      <c r="AU2071" s="125">
        <f>IFERROR(AO2071*Assumptions!$C$26*Assumptions!$C$27*INDEX(Assumptions!$C$18:$C$21,MATCH(H2071,Assumptions!$B$18:$B$21,0)),0)</f>
        <v/>
      </c>
    </row>
    <row r="2072">
      <c r="A2072" s="120" t="n">
        <v>46265</v>
      </c>
      <c r="B2072" s="66" t="inlineStr">
        <is>
          <t>Wk 36</t>
        </is>
      </c>
      <c r="C2072" s="66" t="inlineStr">
        <is>
          <t>Mon</t>
        </is>
      </c>
      <c r="D2072" s="66" t="inlineStr">
        <is>
          <t>Programmatic</t>
        </is>
      </c>
      <c r="E2072" s="66" t="inlineStr">
        <is>
          <t>DV360</t>
        </is>
      </c>
      <c r="F2072" s="66" t="inlineStr">
        <is>
          <t>LEP_ZA_AUG26_PROG_TD_VIDEO_OLV</t>
        </is>
      </c>
      <c r="G2072" s="66" t="inlineStr">
        <is>
          <t>Online Video / CTV</t>
        </is>
      </c>
      <c r="H2072" s="66" t="inlineStr">
        <is>
          <t>Range</t>
        </is>
      </c>
      <c r="I2072" s="66" t="inlineStr">
        <is>
          <t>Range Offer</t>
        </is>
      </c>
      <c r="J2072" s="66" t="inlineStr">
        <is>
          <t>PROG_OLV_PREROLL_AUTO</t>
        </is>
      </c>
      <c r="K2072" s="66" t="inlineStr">
        <is>
          <t>Contextual</t>
        </is>
      </c>
      <c r="L2072" s="66" t="inlineStr">
        <is>
          <t>PROG_OLV_15s_AMUR_v1</t>
        </is>
      </c>
      <c r="M2072" s="66" t="inlineStr">
        <is>
          <t>Video 16:9 Pre-roll</t>
        </is>
      </c>
      <c r="N2072" s="66" t="inlineStr">
        <is>
          <t>AMUR from R3 599pm</t>
        </is>
      </c>
      <c r="O2072" s="66" t="inlineStr">
        <is>
          <t>Auction - Fixed CPM</t>
        </is>
      </c>
      <c r="P2072" s="66" t="inlineStr">
        <is>
          <t>Completed Views + CPA</t>
        </is>
      </c>
      <c r="Q2072" s="66" t="inlineStr">
        <is>
          <t>https://www.lepas-sa.co.za/offers</t>
        </is>
      </c>
      <c r="R2072" s="121" t="n">
        <v>177.56</v>
      </c>
      <c r="S2072" s="122" t="n">
        <v>5805</v>
      </c>
      <c r="T2072" s="122" t="n">
        <v>1882</v>
      </c>
      <c r="U2072" s="123">
        <f>IFERROR(S2072/T2072,"")</f>
        <v/>
      </c>
      <c r="V2072" s="122" t="n">
        <v>12</v>
      </c>
      <c r="W2072" s="122" t="n">
        <v>9</v>
      </c>
      <c r="X2072" s="124">
        <f>IFERROR(W2072/S2072,"")</f>
        <v/>
      </c>
      <c r="Y2072" s="121">
        <f>IFERROR(R2072/W2072,"")</f>
        <v/>
      </c>
      <c r="Z2072" s="121">
        <f>IFERROR(R2072/S2072*1000,"")</f>
        <v/>
      </c>
      <c r="AA2072" s="122" t="n">
        <v>7</v>
      </c>
      <c r="AB2072" s="54">
        <f>IFERROR(AA2072/W2072,"")</f>
        <v/>
      </c>
      <c r="AC2072" s="122" t="n">
        <v>2134</v>
      </c>
      <c r="AD2072" s="122" t="n">
        <v>1063</v>
      </c>
      <c r="AE2072" s="122" t="n">
        <v>1100</v>
      </c>
      <c r="AF2072" s="122" t="n">
        <v>734</v>
      </c>
      <c r="AG2072" s="122" t="n">
        <v>566</v>
      </c>
      <c r="AH2072" s="122" t="n">
        <v>326</v>
      </c>
      <c r="AI2072" s="54">
        <f>IFERROR(AC2072/S2072,"")</f>
        <v/>
      </c>
      <c r="AJ2072" s="54">
        <f>IFERROR(AH2072/S2072,"")</f>
        <v/>
      </c>
      <c r="AK2072" s="122" t="n">
        <v>32</v>
      </c>
      <c r="AL2072" s="122" t="n">
        <v>0</v>
      </c>
      <c r="AM2072" s="124">
        <f>IFERROR(AL2072/AA2072,"")</f>
        <v/>
      </c>
      <c r="AN2072" s="125">
        <f>IFERROR(R2072/AL2072,"")</f>
        <v/>
      </c>
      <c r="AO2072" s="122" t="n">
        <v>0</v>
      </c>
      <c r="AP2072" s="54">
        <f>IFERROR(AO2072/AL2072,"")</f>
        <v/>
      </c>
      <c r="AQ2072" s="125">
        <f>IFERROR(R2072/AO2072,"")</f>
        <v/>
      </c>
      <c r="AR2072" s="122" t="n">
        <v>0</v>
      </c>
      <c r="AS2072" s="122" t="n">
        <v>0</v>
      </c>
      <c r="AT2072" s="122">
        <f>AL2072+AR2072</f>
        <v/>
      </c>
      <c r="AU2072" s="125">
        <f>IFERROR(AO2072*Assumptions!$C$26*Assumptions!$C$27*INDEX(Assumptions!$C$18:$C$21,MATCH(H2072,Assumptions!$B$18:$B$21,0)),0)</f>
        <v/>
      </c>
    </row>
    <row r="2073">
      <c r="A2073" s="120" t="n">
        <v>46235</v>
      </c>
      <c r="B2073" s="66" t="inlineStr">
        <is>
          <t>Wk 31</t>
        </is>
      </c>
      <c r="C2073" s="66" t="inlineStr">
        <is>
          <t>Sat</t>
        </is>
      </c>
      <c r="D2073" s="66" t="inlineStr">
        <is>
          <t>Programmatic</t>
        </is>
      </c>
      <c r="E2073" s="66" t="inlineStr">
        <is>
          <t>DV360</t>
        </is>
      </c>
      <c r="F2073" s="66" t="inlineStr">
        <is>
          <t>LEP_ZA_AUG26_PROG_TD_VIDEO_OLV</t>
        </is>
      </c>
      <c r="G2073" s="66" t="inlineStr">
        <is>
          <t>Online Video / CTV</t>
        </is>
      </c>
      <c r="H2073" s="66" t="inlineStr">
        <is>
          <t>Range</t>
        </is>
      </c>
      <c r="I2073" s="66" t="inlineStr">
        <is>
          <t>Range Offer</t>
        </is>
      </c>
      <c r="J2073" s="66" t="inlineStr">
        <is>
          <t>PROG_OLV_PREROLL_AUTO</t>
        </is>
      </c>
      <c r="K2073" s="66" t="inlineStr">
        <is>
          <t>Contextual</t>
        </is>
      </c>
      <c r="L2073" s="66" t="inlineStr">
        <is>
          <t>PROG_OLV_15s_PANTERA_v1</t>
        </is>
      </c>
      <c r="M2073" s="66" t="inlineStr">
        <is>
          <t>Video 16:9 Pre-roll</t>
        </is>
      </c>
      <c r="N2073" s="66" t="inlineStr">
        <is>
          <t>PANTERA. Zero deposit.</t>
        </is>
      </c>
      <c r="O2073" s="66" t="inlineStr">
        <is>
          <t>Auction - Fixed CPM</t>
        </is>
      </c>
      <c r="P2073" s="66" t="inlineStr">
        <is>
          <t>Completed Views + CPA</t>
        </is>
      </c>
      <c r="Q2073" s="66" t="inlineStr">
        <is>
          <t>https://www.lepas-sa.co.za/offers</t>
        </is>
      </c>
      <c r="R2073" s="121" t="n">
        <v>129.82</v>
      </c>
      <c r="S2073" s="122" t="n">
        <v>8887</v>
      </c>
      <c r="T2073" s="122" t="n">
        <v>5498</v>
      </c>
      <c r="U2073" s="123">
        <f>IFERROR(S2073/T2073,"")</f>
        <v/>
      </c>
      <c r="V2073" s="122" t="n">
        <v>10</v>
      </c>
      <c r="W2073" s="122" t="n">
        <v>8</v>
      </c>
      <c r="X2073" s="124">
        <f>IFERROR(W2073/S2073,"")</f>
        <v/>
      </c>
      <c r="Y2073" s="121">
        <f>IFERROR(R2073/W2073,"")</f>
        <v/>
      </c>
      <c r="Z2073" s="121">
        <f>IFERROR(R2073/S2073*1000,"")</f>
        <v/>
      </c>
      <c r="AA2073" s="122" t="n">
        <v>4</v>
      </c>
      <c r="AB2073" s="54">
        <f>IFERROR(AA2073/W2073,"")</f>
        <v/>
      </c>
      <c r="AC2073" s="122" t="n">
        <v>2003</v>
      </c>
      <c r="AD2073" s="122" t="n">
        <v>1121</v>
      </c>
      <c r="AE2073" s="122" t="n">
        <v>812</v>
      </c>
      <c r="AF2073" s="122" t="n">
        <v>491</v>
      </c>
      <c r="AG2073" s="122" t="n">
        <v>359</v>
      </c>
      <c r="AH2073" s="122" t="n">
        <v>214</v>
      </c>
      <c r="AI2073" s="54">
        <f>IFERROR(AC2073/S2073,"")</f>
        <v/>
      </c>
      <c r="AJ2073" s="54">
        <f>IFERROR(AH2073/S2073,"")</f>
        <v/>
      </c>
      <c r="AK2073" s="122" t="n">
        <v>15</v>
      </c>
      <c r="AL2073" s="122" t="n">
        <v>0</v>
      </c>
      <c r="AM2073" s="124">
        <f>IFERROR(AL2073/AA2073,"")</f>
        <v/>
      </c>
      <c r="AN2073" s="125">
        <f>IFERROR(R2073/AL2073,"")</f>
        <v/>
      </c>
      <c r="AO2073" s="122" t="n">
        <v>0</v>
      </c>
      <c r="AP2073" s="54">
        <f>IFERROR(AO2073/AL2073,"")</f>
        <v/>
      </c>
      <c r="AQ2073" s="125">
        <f>IFERROR(R2073/AO2073,"")</f>
        <v/>
      </c>
      <c r="AR2073" s="122" t="n">
        <v>0</v>
      </c>
      <c r="AS2073" s="122" t="n">
        <v>0</v>
      </c>
      <c r="AT2073" s="122">
        <f>AL2073+AR2073</f>
        <v/>
      </c>
      <c r="AU2073" s="125">
        <f>IFERROR(AO2073*Assumptions!$C$26*Assumptions!$C$27*INDEX(Assumptions!$C$18:$C$21,MATCH(H2073,Assumptions!$B$18:$B$21,0)),0)</f>
        <v/>
      </c>
    </row>
    <row r="2074">
      <c r="A2074" s="120" t="n">
        <v>46236</v>
      </c>
      <c r="B2074" s="66" t="inlineStr">
        <is>
          <t>Wk 31</t>
        </is>
      </c>
      <c r="C2074" s="66" t="inlineStr">
        <is>
          <t>Sun</t>
        </is>
      </c>
      <c r="D2074" s="66" t="inlineStr">
        <is>
          <t>Programmatic</t>
        </is>
      </c>
      <c r="E2074" s="66" t="inlineStr">
        <is>
          <t>DV360</t>
        </is>
      </c>
      <c r="F2074" s="66" t="inlineStr">
        <is>
          <t>LEP_ZA_AUG26_PROG_TD_VIDEO_OLV</t>
        </is>
      </c>
      <c r="G2074" s="66" t="inlineStr">
        <is>
          <t>Online Video / CTV</t>
        </is>
      </c>
      <c r="H2074" s="66" t="inlineStr">
        <is>
          <t>Range</t>
        </is>
      </c>
      <c r="I2074" s="66" t="inlineStr">
        <is>
          <t>Range Offer</t>
        </is>
      </c>
      <c r="J2074" s="66" t="inlineStr">
        <is>
          <t>PROG_OLV_PREROLL_AUTO</t>
        </is>
      </c>
      <c r="K2074" s="66" t="inlineStr">
        <is>
          <t>Contextual</t>
        </is>
      </c>
      <c r="L2074" s="66" t="inlineStr">
        <is>
          <t>PROG_OLV_15s_PANTERA_v1</t>
        </is>
      </c>
      <c r="M2074" s="66" t="inlineStr">
        <is>
          <t>Video 16:9 Pre-roll</t>
        </is>
      </c>
      <c r="N2074" s="66" t="inlineStr">
        <is>
          <t>PANTERA. Zero deposit.</t>
        </is>
      </c>
      <c r="O2074" s="66" t="inlineStr">
        <is>
          <t>Auction - Fixed CPM</t>
        </is>
      </c>
      <c r="P2074" s="66" t="inlineStr">
        <is>
          <t>Completed Views + CPA</t>
        </is>
      </c>
      <c r="Q2074" s="66" t="inlineStr">
        <is>
          <t>https://www.lepas-sa.co.za/offers</t>
        </is>
      </c>
      <c r="R2074" s="121" t="n">
        <v>102.08</v>
      </c>
      <c r="S2074" s="122" t="n">
        <v>3625</v>
      </c>
      <c r="T2074" s="122" t="n">
        <v>2190</v>
      </c>
      <c r="U2074" s="123">
        <f>IFERROR(S2074/T2074,"")</f>
        <v/>
      </c>
      <c r="V2074" s="122" t="n">
        <v>11</v>
      </c>
      <c r="W2074" s="122" t="n">
        <v>9</v>
      </c>
      <c r="X2074" s="124">
        <f>IFERROR(W2074/S2074,"")</f>
        <v/>
      </c>
      <c r="Y2074" s="121">
        <f>IFERROR(R2074/W2074,"")</f>
        <v/>
      </c>
      <c r="Z2074" s="121">
        <f>IFERROR(R2074/S2074*1000,"")</f>
        <v/>
      </c>
      <c r="AA2074" s="122" t="n">
        <v>7</v>
      </c>
      <c r="AB2074" s="54">
        <f>IFERROR(AA2074/W2074,"")</f>
        <v/>
      </c>
      <c r="AC2074" s="122" t="n">
        <v>1326</v>
      </c>
      <c r="AD2074" s="122" t="n">
        <v>633</v>
      </c>
      <c r="AE2074" s="122" t="n">
        <v>544</v>
      </c>
      <c r="AF2074" s="122" t="n">
        <v>321</v>
      </c>
      <c r="AG2074" s="122" t="n">
        <v>227</v>
      </c>
      <c r="AH2074" s="122" t="n">
        <v>129</v>
      </c>
      <c r="AI2074" s="54">
        <f>IFERROR(AC2074/S2074,"")</f>
        <v/>
      </c>
      <c r="AJ2074" s="54">
        <f>IFERROR(AH2074/S2074,"")</f>
        <v/>
      </c>
      <c r="AK2074" s="122" t="n">
        <v>18</v>
      </c>
      <c r="AL2074" s="122" t="n">
        <v>0</v>
      </c>
      <c r="AM2074" s="124">
        <f>IFERROR(AL2074/AA2074,"")</f>
        <v/>
      </c>
      <c r="AN2074" s="125">
        <f>IFERROR(R2074/AL2074,"")</f>
        <v/>
      </c>
      <c r="AO2074" s="122" t="n">
        <v>0</v>
      </c>
      <c r="AP2074" s="54">
        <f>IFERROR(AO2074/AL2074,"")</f>
        <v/>
      </c>
      <c r="AQ2074" s="125">
        <f>IFERROR(R2074/AO2074,"")</f>
        <v/>
      </c>
      <c r="AR2074" s="122" t="n">
        <v>0</v>
      </c>
      <c r="AS2074" s="122" t="n">
        <v>0</v>
      </c>
      <c r="AT2074" s="122">
        <f>AL2074+AR2074</f>
        <v/>
      </c>
      <c r="AU2074" s="125">
        <f>IFERROR(AO2074*Assumptions!$C$26*Assumptions!$C$27*INDEX(Assumptions!$C$18:$C$21,MATCH(H2074,Assumptions!$B$18:$B$21,0)),0)</f>
        <v/>
      </c>
    </row>
    <row r="2075">
      <c r="A2075" s="120" t="n">
        <v>46237</v>
      </c>
      <c r="B2075" s="66" t="inlineStr">
        <is>
          <t>Wk 32</t>
        </is>
      </c>
      <c r="C2075" s="66" t="inlineStr">
        <is>
          <t>Mon</t>
        </is>
      </c>
      <c r="D2075" s="66" t="inlineStr">
        <is>
          <t>Programmatic</t>
        </is>
      </c>
      <c r="E2075" s="66" t="inlineStr">
        <is>
          <t>DV360</t>
        </is>
      </c>
      <c r="F2075" s="66" t="inlineStr">
        <is>
          <t>LEP_ZA_AUG26_PROG_TD_VIDEO_OLV</t>
        </is>
      </c>
      <c r="G2075" s="66" t="inlineStr">
        <is>
          <t>Online Video / CTV</t>
        </is>
      </c>
      <c r="H2075" s="66" t="inlineStr">
        <is>
          <t>Range</t>
        </is>
      </c>
      <c r="I2075" s="66" t="inlineStr">
        <is>
          <t>Range Offer</t>
        </is>
      </c>
      <c r="J2075" s="66" t="inlineStr">
        <is>
          <t>PROG_OLV_PREROLL_AUTO</t>
        </is>
      </c>
      <c r="K2075" s="66" t="inlineStr">
        <is>
          <t>Contextual</t>
        </is>
      </c>
      <c r="L2075" s="66" t="inlineStr">
        <is>
          <t>PROG_OLV_15s_PANTERA_v1</t>
        </is>
      </c>
      <c r="M2075" s="66" t="inlineStr">
        <is>
          <t>Video 16:9 Pre-roll</t>
        </is>
      </c>
      <c r="N2075" s="66" t="inlineStr">
        <is>
          <t>PANTERA. Zero deposit.</t>
        </is>
      </c>
      <c r="O2075" s="66" t="inlineStr">
        <is>
          <t>Auction - Fixed CPM</t>
        </is>
      </c>
      <c r="P2075" s="66" t="inlineStr">
        <is>
          <t>Completed Views + CPA</t>
        </is>
      </c>
      <c r="Q2075" s="66" t="inlineStr">
        <is>
          <t>https://www.lepas-sa.co.za/offers</t>
        </is>
      </c>
      <c r="R2075" s="121" t="n">
        <v>92.97</v>
      </c>
      <c r="S2075" s="122" t="n">
        <v>5845</v>
      </c>
      <c r="T2075" s="122" t="n">
        <v>3610</v>
      </c>
      <c r="U2075" s="123">
        <f>IFERROR(S2075/T2075,"")</f>
        <v/>
      </c>
      <c r="V2075" s="122" t="n">
        <v>10</v>
      </c>
      <c r="W2075" s="122" t="n">
        <v>7</v>
      </c>
      <c r="X2075" s="124">
        <f>IFERROR(W2075/S2075,"")</f>
        <v/>
      </c>
      <c r="Y2075" s="121">
        <f>IFERROR(R2075/W2075,"")</f>
        <v/>
      </c>
      <c r="Z2075" s="121">
        <f>IFERROR(R2075/S2075*1000,"")</f>
        <v/>
      </c>
      <c r="AA2075" s="122" t="n">
        <v>4</v>
      </c>
      <c r="AB2075" s="54">
        <f>IFERROR(AA2075/W2075,"")</f>
        <v/>
      </c>
      <c r="AC2075" s="122" t="n">
        <v>1879</v>
      </c>
      <c r="AD2075" s="122" t="n">
        <v>1044</v>
      </c>
      <c r="AE2075" s="122" t="n">
        <v>982</v>
      </c>
      <c r="AF2075" s="122" t="n">
        <v>592</v>
      </c>
      <c r="AG2075" s="122" t="n">
        <v>463</v>
      </c>
      <c r="AH2075" s="122" t="n">
        <v>304</v>
      </c>
      <c r="AI2075" s="54">
        <f>IFERROR(AC2075/S2075,"")</f>
        <v/>
      </c>
      <c r="AJ2075" s="54">
        <f>IFERROR(AH2075/S2075,"")</f>
        <v/>
      </c>
      <c r="AK2075" s="122" t="n">
        <v>12</v>
      </c>
      <c r="AL2075" s="122" t="n">
        <v>0</v>
      </c>
      <c r="AM2075" s="124">
        <f>IFERROR(AL2075/AA2075,"")</f>
        <v/>
      </c>
      <c r="AN2075" s="125">
        <f>IFERROR(R2075/AL2075,"")</f>
        <v/>
      </c>
      <c r="AO2075" s="122" t="n">
        <v>0</v>
      </c>
      <c r="AP2075" s="54">
        <f>IFERROR(AO2075/AL2075,"")</f>
        <v/>
      </c>
      <c r="AQ2075" s="125">
        <f>IFERROR(R2075/AO2075,"")</f>
        <v/>
      </c>
      <c r="AR2075" s="122" t="n">
        <v>0</v>
      </c>
      <c r="AS2075" s="122" t="n">
        <v>0</v>
      </c>
      <c r="AT2075" s="122">
        <f>AL2075+AR2075</f>
        <v/>
      </c>
      <c r="AU2075" s="125">
        <f>IFERROR(AO2075*Assumptions!$C$26*Assumptions!$C$27*INDEX(Assumptions!$C$18:$C$21,MATCH(H2075,Assumptions!$B$18:$B$21,0)),0)</f>
        <v/>
      </c>
    </row>
    <row r="2076">
      <c r="A2076" s="120" t="n">
        <v>46238</v>
      </c>
      <c r="B2076" s="66" t="inlineStr">
        <is>
          <t>Wk 32</t>
        </is>
      </c>
      <c r="C2076" s="66" t="inlineStr">
        <is>
          <t>Tue</t>
        </is>
      </c>
      <c r="D2076" s="66" t="inlineStr">
        <is>
          <t>Programmatic</t>
        </is>
      </c>
      <c r="E2076" s="66" t="inlineStr">
        <is>
          <t>DV360</t>
        </is>
      </c>
      <c r="F2076" s="66" t="inlineStr">
        <is>
          <t>LEP_ZA_AUG26_PROG_TD_VIDEO_OLV</t>
        </is>
      </c>
      <c r="G2076" s="66" t="inlineStr">
        <is>
          <t>Online Video / CTV</t>
        </is>
      </c>
      <c r="H2076" s="66" t="inlineStr">
        <is>
          <t>Range</t>
        </is>
      </c>
      <c r="I2076" s="66" t="inlineStr">
        <is>
          <t>Range Offer</t>
        </is>
      </c>
      <c r="J2076" s="66" t="inlineStr">
        <is>
          <t>PROG_OLV_PREROLL_AUTO</t>
        </is>
      </c>
      <c r="K2076" s="66" t="inlineStr">
        <is>
          <t>Contextual</t>
        </is>
      </c>
      <c r="L2076" s="66" t="inlineStr">
        <is>
          <t>PROG_OLV_15s_PANTERA_v1</t>
        </is>
      </c>
      <c r="M2076" s="66" t="inlineStr">
        <is>
          <t>Video 16:9 Pre-roll</t>
        </is>
      </c>
      <c r="N2076" s="66" t="inlineStr">
        <is>
          <t>PANTERA. Zero deposit.</t>
        </is>
      </c>
      <c r="O2076" s="66" t="inlineStr">
        <is>
          <t>Auction - Fixed CPM</t>
        </is>
      </c>
      <c r="P2076" s="66" t="inlineStr">
        <is>
          <t>Completed Views + CPA</t>
        </is>
      </c>
      <c r="Q2076" s="66" t="inlineStr">
        <is>
          <t>https://www.lepas-sa.co.za/offers</t>
        </is>
      </c>
      <c r="R2076" s="121" t="n">
        <v>107.63</v>
      </c>
      <c r="S2076" s="122" t="n">
        <v>5670</v>
      </c>
      <c r="T2076" s="122" t="n">
        <v>2926</v>
      </c>
      <c r="U2076" s="123">
        <f>IFERROR(S2076/T2076,"")</f>
        <v/>
      </c>
      <c r="V2076" s="122" t="n">
        <v>19</v>
      </c>
      <c r="W2076" s="122" t="n">
        <v>15</v>
      </c>
      <c r="X2076" s="124">
        <f>IFERROR(W2076/S2076,"")</f>
        <v/>
      </c>
      <c r="Y2076" s="121">
        <f>IFERROR(R2076/W2076,"")</f>
        <v/>
      </c>
      <c r="Z2076" s="121">
        <f>IFERROR(R2076/S2076*1000,"")</f>
        <v/>
      </c>
      <c r="AA2076" s="122" t="n">
        <v>9</v>
      </c>
      <c r="AB2076" s="54">
        <f>IFERROR(AA2076/W2076,"")</f>
        <v/>
      </c>
      <c r="AC2076" s="122" t="n">
        <v>2320</v>
      </c>
      <c r="AD2076" s="122" t="n">
        <v>1225</v>
      </c>
      <c r="AE2076" s="122" t="n">
        <v>1240</v>
      </c>
      <c r="AF2076" s="122" t="n">
        <v>817</v>
      </c>
      <c r="AG2076" s="122" t="n">
        <v>527</v>
      </c>
      <c r="AH2076" s="122" t="n">
        <v>290</v>
      </c>
      <c r="AI2076" s="54">
        <f>IFERROR(AC2076/S2076,"")</f>
        <v/>
      </c>
      <c r="AJ2076" s="54">
        <f>IFERROR(AH2076/S2076,"")</f>
        <v/>
      </c>
      <c r="AK2076" s="122" t="n">
        <v>19</v>
      </c>
      <c r="AL2076" s="122" t="n">
        <v>0</v>
      </c>
      <c r="AM2076" s="124">
        <f>IFERROR(AL2076/AA2076,"")</f>
        <v/>
      </c>
      <c r="AN2076" s="125">
        <f>IFERROR(R2076/AL2076,"")</f>
        <v/>
      </c>
      <c r="AO2076" s="122" t="n">
        <v>0</v>
      </c>
      <c r="AP2076" s="54">
        <f>IFERROR(AO2076/AL2076,"")</f>
        <v/>
      </c>
      <c r="AQ2076" s="125">
        <f>IFERROR(R2076/AO2076,"")</f>
        <v/>
      </c>
      <c r="AR2076" s="122" t="n">
        <v>0</v>
      </c>
      <c r="AS2076" s="122" t="n">
        <v>0</v>
      </c>
      <c r="AT2076" s="122">
        <f>AL2076+AR2076</f>
        <v/>
      </c>
      <c r="AU2076" s="125">
        <f>IFERROR(AO2076*Assumptions!$C$26*Assumptions!$C$27*INDEX(Assumptions!$C$18:$C$21,MATCH(H2076,Assumptions!$B$18:$B$21,0)),0)</f>
        <v/>
      </c>
    </row>
    <row r="2077">
      <c r="A2077" s="120" t="n">
        <v>46239</v>
      </c>
      <c r="B2077" s="66" t="inlineStr">
        <is>
          <t>Wk 32</t>
        </is>
      </c>
      <c r="C2077" s="66" t="inlineStr">
        <is>
          <t>Wed</t>
        </is>
      </c>
      <c r="D2077" s="66" t="inlineStr">
        <is>
          <t>Programmatic</t>
        </is>
      </c>
      <c r="E2077" s="66" t="inlineStr">
        <is>
          <t>DV360</t>
        </is>
      </c>
      <c r="F2077" s="66" t="inlineStr">
        <is>
          <t>LEP_ZA_AUG26_PROG_TD_VIDEO_OLV</t>
        </is>
      </c>
      <c r="G2077" s="66" t="inlineStr">
        <is>
          <t>Online Video / CTV</t>
        </is>
      </c>
      <c r="H2077" s="66" t="inlineStr">
        <is>
          <t>Range</t>
        </is>
      </c>
      <c r="I2077" s="66" t="inlineStr">
        <is>
          <t>Range Offer</t>
        </is>
      </c>
      <c r="J2077" s="66" t="inlineStr">
        <is>
          <t>PROG_OLV_PREROLL_AUTO</t>
        </is>
      </c>
      <c r="K2077" s="66" t="inlineStr">
        <is>
          <t>Contextual</t>
        </is>
      </c>
      <c r="L2077" s="66" t="inlineStr">
        <is>
          <t>PROG_OLV_15s_PANTERA_v1</t>
        </is>
      </c>
      <c r="M2077" s="66" t="inlineStr">
        <is>
          <t>Video 16:9 Pre-roll</t>
        </is>
      </c>
      <c r="N2077" s="66" t="inlineStr">
        <is>
          <t>PANTERA. Zero deposit.</t>
        </is>
      </c>
      <c r="O2077" s="66" t="inlineStr">
        <is>
          <t>Auction - Fixed CPM</t>
        </is>
      </c>
      <c r="P2077" s="66" t="inlineStr">
        <is>
          <t>Completed Views + CPA</t>
        </is>
      </c>
      <c r="Q2077" s="66" t="inlineStr">
        <is>
          <t>https://www.lepas-sa.co.za/offers</t>
        </is>
      </c>
      <c r="R2077" s="121" t="n">
        <v>132.09</v>
      </c>
      <c r="S2077" s="122" t="n">
        <v>6091</v>
      </c>
      <c r="T2077" s="122" t="n">
        <v>4482</v>
      </c>
      <c r="U2077" s="123">
        <f>IFERROR(S2077/T2077,"")</f>
        <v/>
      </c>
      <c r="V2077" s="122" t="n">
        <v>14</v>
      </c>
      <c r="W2077" s="122" t="n">
        <v>11</v>
      </c>
      <c r="X2077" s="124">
        <f>IFERROR(W2077/S2077,"")</f>
        <v/>
      </c>
      <c r="Y2077" s="121">
        <f>IFERROR(R2077/W2077,"")</f>
        <v/>
      </c>
      <c r="Z2077" s="121">
        <f>IFERROR(R2077/S2077*1000,"")</f>
        <v/>
      </c>
      <c r="AA2077" s="122" t="n">
        <v>7</v>
      </c>
      <c r="AB2077" s="54">
        <f>IFERROR(AA2077/W2077,"")</f>
        <v/>
      </c>
      <c r="AC2077" s="122" t="n">
        <v>2181</v>
      </c>
      <c r="AD2077" s="122" t="n">
        <v>1198</v>
      </c>
      <c r="AE2077" s="122" t="n">
        <v>1138</v>
      </c>
      <c r="AF2077" s="122" t="n">
        <v>791</v>
      </c>
      <c r="AG2077" s="122" t="n">
        <v>533</v>
      </c>
      <c r="AH2077" s="122" t="n">
        <v>323</v>
      </c>
      <c r="AI2077" s="54">
        <f>IFERROR(AC2077/S2077,"")</f>
        <v/>
      </c>
      <c r="AJ2077" s="54">
        <f>IFERROR(AH2077/S2077,"")</f>
        <v/>
      </c>
      <c r="AK2077" s="122" t="n">
        <v>23</v>
      </c>
      <c r="AL2077" s="122" t="n">
        <v>0</v>
      </c>
      <c r="AM2077" s="124">
        <f>IFERROR(AL2077/AA2077,"")</f>
        <v/>
      </c>
      <c r="AN2077" s="125">
        <f>IFERROR(R2077/AL2077,"")</f>
        <v/>
      </c>
      <c r="AO2077" s="122" t="n">
        <v>0</v>
      </c>
      <c r="AP2077" s="54">
        <f>IFERROR(AO2077/AL2077,"")</f>
        <v/>
      </c>
      <c r="AQ2077" s="125">
        <f>IFERROR(R2077/AO2077,"")</f>
        <v/>
      </c>
      <c r="AR2077" s="122" t="n">
        <v>0</v>
      </c>
      <c r="AS2077" s="122" t="n">
        <v>0</v>
      </c>
      <c r="AT2077" s="122">
        <f>AL2077+AR2077</f>
        <v/>
      </c>
      <c r="AU2077" s="125">
        <f>IFERROR(AO2077*Assumptions!$C$26*Assumptions!$C$27*INDEX(Assumptions!$C$18:$C$21,MATCH(H2077,Assumptions!$B$18:$B$21,0)),0)</f>
        <v/>
      </c>
    </row>
    <row r="2078">
      <c r="A2078" s="120" t="n">
        <v>46240</v>
      </c>
      <c r="B2078" s="66" t="inlineStr">
        <is>
          <t>Wk 32</t>
        </is>
      </c>
      <c r="C2078" s="66" t="inlineStr">
        <is>
          <t>Thu</t>
        </is>
      </c>
      <c r="D2078" s="66" t="inlineStr">
        <is>
          <t>Programmatic</t>
        </is>
      </c>
      <c r="E2078" s="66" t="inlineStr">
        <is>
          <t>DV360</t>
        </is>
      </c>
      <c r="F2078" s="66" t="inlineStr">
        <is>
          <t>LEP_ZA_AUG26_PROG_TD_VIDEO_OLV</t>
        </is>
      </c>
      <c r="G2078" s="66" t="inlineStr">
        <is>
          <t>Online Video / CTV</t>
        </is>
      </c>
      <c r="H2078" s="66" t="inlineStr">
        <is>
          <t>Range</t>
        </is>
      </c>
      <c r="I2078" s="66" t="inlineStr">
        <is>
          <t>Range Offer</t>
        </is>
      </c>
      <c r="J2078" s="66" t="inlineStr">
        <is>
          <t>PROG_OLV_PREROLL_AUTO</t>
        </is>
      </c>
      <c r="K2078" s="66" t="inlineStr">
        <is>
          <t>Contextual</t>
        </is>
      </c>
      <c r="L2078" s="66" t="inlineStr">
        <is>
          <t>PROG_OLV_15s_PANTERA_v1</t>
        </is>
      </c>
      <c r="M2078" s="66" t="inlineStr">
        <is>
          <t>Video 16:9 Pre-roll</t>
        </is>
      </c>
      <c r="N2078" s="66" t="inlineStr">
        <is>
          <t>PANTERA. Zero deposit.</t>
        </is>
      </c>
      <c r="O2078" s="66" t="inlineStr">
        <is>
          <t>Auction - Fixed CPM</t>
        </is>
      </c>
      <c r="P2078" s="66" t="inlineStr">
        <is>
          <t>Completed Views + CPA</t>
        </is>
      </c>
      <c r="Q2078" s="66" t="inlineStr">
        <is>
          <t>https://www.lepas-sa.co.za/offers</t>
        </is>
      </c>
      <c r="R2078" s="121" t="n">
        <v>150.23</v>
      </c>
      <c r="S2078" s="122" t="n">
        <v>8923</v>
      </c>
      <c r="T2078" s="122" t="n">
        <v>4148</v>
      </c>
      <c r="U2078" s="123">
        <f>IFERROR(S2078/T2078,"")</f>
        <v/>
      </c>
      <c r="V2078" s="122" t="n">
        <v>36</v>
      </c>
      <c r="W2078" s="122" t="n">
        <v>29</v>
      </c>
      <c r="X2078" s="124">
        <f>IFERROR(W2078/S2078,"")</f>
        <v/>
      </c>
      <c r="Y2078" s="121">
        <f>IFERROR(R2078/W2078,"")</f>
        <v/>
      </c>
      <c r="Z2078" s="121">
        <f>IFERROR(R2078/S2078*1000,"")</f>
        <v/>
      </c>
      <c r="AA2078" s="122" t="n">
        <v>20</v>
      </c>
      <c r="AB2078" s="54">
        <f>IFERROR(AA2078/W2078,"")</f>
        <v/>
      </c>
      <c r="AC2078" s="122" t="n">
        <v>2350</v>
      </c>
      <c r="AD2078" s="122" t="n">
        <v>1059</v>
      </c>
      <c r="AE2078" s="122" t="n">
        <v>1046</v>
      </c>
      <c r="AF2078" s="122" t="n">
        <v>593</v>
      </c>
      <c r="AG2078" s="122" t="n">
        <v>387</v>
      </c>
      <c r="AH2078" s="122" t="n">
        <v>225</v>
      </c>
      <c r="AI2078" s="54">
        <f>IFERROR(AC2078/S2078,"")</f>
        <v/>
      </c>
      <c r="AJ2078" s="54">
        <f>IFERROR(AH2078/S2078,"")</f>
        <v/>
      </c>
      <c r="AK2078" s="122" t="n">
        <v>25</v>
      </c>
      <c r="AL2078" s="122" t="n">
        <v>0</v>
      </c>
      <c r="AM2078" s="124">
        <f>IFERROR(AL2078/AA2078,"")</f>
        <v/>
      </c>
      <c r="AN2078" s="125">
        <f>IFERROR(R2078/AL2078,"")</f>
        <v/>
      </c>
      <c r="AO2078" s="122" t="n">
        <v>0</v>
      </c>
      <c r="AP2078" s="54">
        <f>IFERROR(AO2078/AL2078,"")</f>
        <v/>
      </c>
      <c r="AQ2078" s="125">
        <f>IFERROR(R2078/AO2078,"")</f>
        <v/>
      </c>
      <c r="AR2078" s="122" t="n">
        <v>0</v>
      </c>
      <c r="AS2078" s="122" t="n">
        <v>0</v>
      </c>
      <c r="AT2078" s="122">
        <f>AL2078+AR2078</f>
        <v/>
      </c>
      <c r="AU2078" s="125">
        <f>IFERROR(AO2078*Assumptions!$C$26*Assumptions!$C$27*INDEX(Assumptions!$C$18:$C$21,MATCH(H2078,Assumptions!$B$18:$B$21,0)),0)</f>
        <v/>
      </c>
    </row>
    <row r="2079">
      <c r="A2079" s="120" t="n">
        <v>46241</v>
      </c>
      <c r="B2079" s="66" t="inlineStr">
        <is>
          <t>Wk 32</t>
        </is>
      </c>
      <c r="C2079" s="66" t="inlineStr">
        <is>
          <t>Fri</t>
        </is>
      </c>
      <c r="D2079" s="66" t="inlineStr">
        <is>
          <t>Programmatic</t>
        </is>
      </c>
      <c r="E2079" s="66" t="inlineStr">
        <is>
          <t>DV360</t>
        </is>
      </c>
      <c r="F2079" s="66" t="inlineStr">
        <is>
          <t>LEP_ZA_AUG26_PROG_TD_VIDEO_OLV</t>
        </is>
      </c>
      <c r="G2079" s="66" t="inlineStr">
        <is>
          <t>Online Video / CTV</t>
        </is>
      </c>
      <c r="H2079" s="66" t="inlineStr">
        <is>
          <t>Range</t>
        </is>
      </c>
      <c r="I2079" s="66" t="inlineStr">
        <is>
          <t>Range Offer</t>
        </is>
      </c>
      <c r="J2079" s="66" t="inlineStr">
        <is>
          <t>PROG_OLV_PREROLL_AUTO</t>
        </is>
      </c>
      <c r="K2079" s="66" t="inlineStr">
        <is>
          <t>Contextual</t>
        </is>
      </c>
      <c r="L2079" s="66" t="inlineStr">
        <is>
          <t>PROG_OLV_15s_PANTERA_v1</t>
        </is>
      </c>
      <c r="M2079" s="66" t="inlineStr">
        <is>
          <t>Video 16:9 Pre-roll</t>
        </is>
      </c>
      <c r="N2079" s="66" t="inlineStr">
        <is>
          <t>PANTERA. Zero deposit.</t>
        </is>
      </c>
      <c r="O2079" s="66" t="inlineStr">
        <is>
          <t>Auction - Fixed CPM</t>
        </is>
      </c>
      <c r="P2079" s="66" t="inlineStr">
        <is>
          <t>Completed Views + CPA</t>
        </is>
      </c>
      <c r="Q2079" s="66" t="inlineStr">
        <is>
          <t>https://www.lepas-sa.co.za/offers</t>
        </is>
      </c>
      <c r="R2079" s="121" t="n">
        <v>151.48</v>
      </c>
      <c r="S2079" s="122" t="n">
        <v>7074</v>
      </c>
      <c r="T2079" s="122" t="n">
        <v>3847</v>
      </c>
      <c r="U2079" s="123">
        <f>IFERROR(S2079/T2079,"")</f>
        <v/>
      </c>
      <c r="V2079" s="122" t="n">
        <v>17</v>
      </c>
      <c r="W2079" s="122" t="n">
        <v>14</v>
      </c>
      <c r="X2079" s="124">
        <f>IFERROR(W2079/S2079,"")</f>
        <v/>
      </c>
      <c r="Y2079" s="121">
        <f>IFERROR(R2079/W2079,"")</f>
        <v/>
      </c>
      <c r="Z2079" s="121">
        <f>IFERROR(R2079/S2079*1000,"")</f>
        <v/>
      </c>
      <c r="AA2079" s="122" t="n">
        <v>8</v>
      </c>
      <c r="AB2079" s="54">
        <f>IFERROR(AA2079/W2079,"")</f>
        <v/>
      </c>
      <c r="AC2079" s="122" t="n">
        <v>2707</v>
      </c>
      <c r="AD2079" s="122" t="n">
        <v>1610</v>
      </c>
      <c r="AE2079" s="122" t="n">
        <v>977</v>
      </c>
      <c r="AF2079" s="122" t="n">
        <v>595</v>
      </c>
      <c r="AG2079" s="122" t="n">
        <v>455</v>
      </c>
      <c r="AH2079" s="122" t="n">
        <v>317</v>
      </c>
      <c r="AI2079" s="54">
        <f>IFERROR(AC2079/S2079,"")</f>
        <v/>
      </c>
      <c r="AJ2079" s="54">
        <f>IFERROR(AH2079/S2079,"")</f>
        <v/>
      </c>
      <c r="AK2079" s="122" t="n">
        <v>41</v>
      </c>
      <c r="AL2079" s="122" t="n">
        <v>0</v>
      </c>
      <c r="AM2079" s="124">
        <f>IFERROR(AL2079/AA2079,"")</f>
        <v/>
      </c>
      <c r="AN2079" s="125">
        <f>IFERROR(R2079/AL2079,"")</f>
        <v/>
      </c>
      <c r="AO2079" s="122" t="n">
        <v>0</v>
      </c>
      <c r="AP2079" s="54">
        <f>IFERROR(AO2079/AL2079,"")</f>
        <v/>
      </c>
      <c r="AQ2079" s="125">
        <f>IFERROR(R2079/AO2079,"")</f>
        <v/>
      </c>
      <c r="AR2079" s="122" t="n">
        <v>0</v>
      </c>
      <c r="AS2079" s="122" t="n">
        <v>0</v>
      </c>
      <c r="AT2079" s="122">
        <f>AL2079+AR2079</f>
        <v/>
      </c>
      <c r="AU2079" s="125">
        <f>IFERROR(AO2079*Assumptions!$C$26*Assumptions!$C$27*INDEX(Assumptions!$C$18:$C$21,MATCH(H2079,Assumptions!$B$18:$B$21,0)),0)</f>
        <v/>
      </c>
    </row>
    <row r="2080">
      <c r="A2080" s="120" t="n">
        <v>46242</v>
      </c>
      <c r="B2080" s="66" t="inlineStr">
        <is>
          <t>Wk 32</t>
        </is>
      </c>
      <c r="C2080" s="66" t="inlineStr">
        <is>
          <t>Sat</t>
        </is>
      </c>
      <c r="D2080" s="66" t="inlineStr">
        <is>
          <t>Programmatic</t>
        </is>
      </c>
      <c r="E2080" s="66" t="inlineStr">
        <is>
          <t>DV360</t>
        </is>
      </c>
      <c r="F2080" s="66" t="inlineStr">
        <is>
          <t>LEP_ZA_AUG26_PROG_TD_VIDEO_OLV</t>
        </is>
      </c>
      <c r="G2080" s="66" t="inlineStr">
        <is>
          <t>Online Video / CTV</t>
        </is>
      </c>
      <c r="H2080" s="66" t="inlineStr">
        <is>
          <t>Range</t>
        </is>
      </c>
      <c r="I2080" s="66" t="inlineStr">
        <is>
          <t>Range Offer</t>
        </is>
      </c>
      <c r="J2080" s="66" t="inlineStr">
        <is>
          <t>PROG_OLV_PREROLL_AUTO</t>
        </is>
      </c>
      <c r="K2080" s="66" t="inlineStr">
        <is>
          <t>Contextual</t>
        </is>
      </c>
      <c r="L2080" s="66" t="inlineStr">
        <is>
          <t>PROG_OLV_15s_PANTERA_v1</t>
        </is>
      </c>
      <c r="M2080" s="66" t="inlineStr">
        <is>
          <t>Video 16:9 Pre-roll</t>
        </is>
      </c>
      <c r="N2080" s="66" t="inlineStr">
        <is>
          <t>PANTERA. Zero deposit.</t>
        </is>
      </c>
      <c r="O2080" s="66" t="inlineStr">
        <is>
          <t>Auction - Fixed CPM</t>
        </is>
      </c>
      <c r="P2080" s="66" t="inlineStr">
        <is>
          <t>Completed Views + CPA</t>
        </is>
      </c>
      <c r="Q2080" s="66" t="inlineStr">
        <is>
          <t>https://www.lepas-sa.co.za/offers</t>
        </is>
      </c>
      <c r="R2080" s="121" t="n">
        <v>119.43</v>
      </c>
      <c r="S2080" s="122" t="n">
        <v>3985</v>
      </c>
      <c r="T2080" s="122" t="n">
        <v>2268</v>
      </c>
      <c r="U2080" s="123">
        <f>IFERROR(S2080/T2080,"")</f>
        <v/>
      </c>
      <c r="V2080" s="122" t="n">
        <v>11</v>
      </c>
      <c r="W2080" s="122" t="n">
        <v>9</v>
      </c>
      <c r="X2080" s="124">
        <f>IFERROR(W2080/S2080,"")</f>
        <v/>
      </c>
      <c r="Y2080" s="121">
        <f>IFERROR(R2080/W2080,"")</f>
        <v/>
      </c>
      <c r="Z2080" s="121">
        <f>IFERROR(R2080/S2080*1000,"")</f>
        <v/>
      </c>
      <c r="AA2080" s="122" t="n">
        <v>6</v>
      </c>
      <c r="AB2080" s="54">
        <f>IFERROR(AA2080/W2080,"")</f>
        <v/>
      </c>
      <c r="AC2080" s="122" t="n">
        <v>1098</v>
      </c>
      <c r="AD2080" s="122" t="n">
        <v>663</v>
      </c>
      <c r="AE2080" s="122" t="n">
        <v>455</v>
      </c>
      <c r="AF2080" s="122" t="n">
        <v>289</v>
      </c>
      <c r="AG2080" s="122" t="n">
        <v>219</v>
      </c>
      <c r="AH2080" s="122" t="n">
        <v>136</v>
      </c>
      <c r="AI2080" s="54">
        <f>IFERROR(AC2080/S2080,"")</f>
        <v/>
      </c>
      <c r="AJ2080" s="54">
        <f>IFERROR(AH2080/S2080,"")</f>
        <v/>
      </c>
      <c r="AK2080" s="122" t="n">
        <v>20</v>
      </c>
      <c r="AL2080" s="122" t="n">
        <v>1</v>
      </c>
      <c r="AM2080" s="124">
        <f>IFERROR(AL2080/AA2080,"")</f>
        <v/>
      </c>
      <c r="AN2080" s="125">
        <f>IFERROR(R2080/AL2080,"")</f>
        <v/>
      </c>
      <c r="AO2080" s="122" t="n">
        <v>1</v>
      </c>
      <c r="AP2080" s="54">
        <f>IFERROR(AO2080/AL2080,"")</f>
        <v/>
      </c>
      <c r="AQ2080" s="125">
        <f>IFERROR(R2080/AO2080,"")</f>
        <v/>
      </c>
      <c r="AR2080" s="122" t="n">
        <v>3</v>
      </c>
      <c r="AS2080" s="122" t="n">
        <v>1</v>
      </c>
      <c r="AT2080" s="122">
        <f>AL2080+AR2080</f>
        <v/>
      </c>
      <c r="AU2080" s="125">
        <f>IFERROR(AO2080*Assumptions!$C$26*Assumptions!$C$27*INDEX(Assumptions!$C$18:$C$21,MATCH(H2080,Assumptions!$B$18:$B$21,0)),0)</f>
        <v/>
      </c>
    </row>
    <row r="2081">
      <c r="A2081" s="120" t="n">
        <v>46243</v>
      </c>
      <c r="B2081" s="66" t="inlineStr">
        <is>
          <t>Wk 32</t>
        </is>
      </c>
      <c r="C2081" s="66" t="inlineStr">
        <is>
          <t>Sun</t>
        </is>
      </c>
      <c r="D2081" s="66" t="inlineStr">
        <is>
          <t>Programmatic</t>
        </is>
      </c>
      <c r="E2081" s="66" t="inlineStr">
        <is>
          <t>DV360</t>
        </is>
      </c>
      <c r="F2081" s="66" t="inlineStr">
        <is>
          <t>LEP_ZA_AUG26_PROG_TD_VIDEO_OLV</t>
        </is>
      </c>
      <c r="G2081" s="66" t="inlineStr">
        <is>
          <t>Online Video / CTV</t>
        </is>
      </c>
      <c r="H2081" s="66" t="inlineStr">
        <is>
          <t>Range</t>
        </is>
      </c>
      <c r="I2081" s="66" t="inlineStr">
        <is>
          <t>Range Offer</t>
        </is>
      </c>
      <c r="J2081" s="66" t="inlineStr">
        <is>
          <t>PROG_OLV_PREROLL_AUTO</t>
        </is>
      </c>
      <c r="K2081" s="66" t="inlineStr">
        <is>
          <t>Contextual</t>
        </is>
      </c>
      <c r="L2081" s="66" t="inlineStr">
        <is>
          <t>PROG_OLV_15s_PANTERA_v1</t>
        </is>
      </c>
      <c r="M2081" s="66" t="inlineStr">
        <is>
          <t>Video 16:9 Pre-roll</t>
        </is>
      </c>
      <c r="N2081" s="66" t="inlineStr">
        <is>
          <t>PANTERA. Zero deposit.</t>
        </is>
      </c>
      <c r="O2081" s="66" t="inlineStr">
        <is>
          <t>Auction - Fixed CPM</t>
        </is>
      </c>
      <c r="P2081" s="66" t="inlineStr">
        <is>
          <t>Completed Views + CPA</t>
        </is>
      </c>
      <c r="Q2081" s="66" t="inlineStr">
        <is>
          <t>https://www.lepas-sa.co.za/offers</t>
        </is>
      </c>
      <c r="R2081" s="121" t="n">
        <v>102.94</v>
      </c>
      <c r="S2081" s="122" t="n">
        <v>6273</v>
      </c>
      <c r="T2081" s="122" t="n">
        <v>4371</v>
      </c>
      <c r="U2081" s="123">
        <f>IFERROR(S2081/T2081,"")</f>
        <v/>
      </c>
      <c r="V2081" s="122" t="n">
        <v>20</v>
      </c>
      <c r="W2081" s="122" t="n">
        <v>15</v>
      </c>
      <c r="X2081" s="124">
        <f>IFERROR(W2081/S2081,"")</f>
        <v/>
      </c>
      <c r="Y2081" s="121">
        <f>IFERROR(R2081/W2081,"")</f>
        <v/>
      </c>
      <c r="Z2081" s="121">
        <f>IFERROR(R2081/S2081*1000,"")</f>
        <v/>
      </c>
      <c r="AA2081" s="122" t="n">
        <v>9</v>
      </c>
      <c r="AB2081" s="54">
        <f>IFERROR(AA2081/W2081,"")</f>
        <v/>
      </c>
      <c r="AC2081" s="122" t="n">
        <v>2393</v>
      </c>
      <c r="AD2081" s="122" t="n">
        <v>1504</v>
      </c>
      <c r="AE2081" s="122" t="n">
        <v>981</v>
      </c>
      <c r="AF2081" s="122" t="n">
        <v>573</v>
      </c>
      <c r="AG2081" s="122" t="n">
        <v>400</v>
      </c>
      <c r="AH2081" s="122" t="n">
        <v>277</v>
      </c>
      <c r="AI2081" s="54">
        <f>IFERROR(AC2081/S2081,"")</f>
        <v/>
      </c>
      <c r="AJ2081" s="54">
        <f>IFERROR(AH2081/S2081,"")</f>
        <v/>
      </c>
      <c r="AK2081" s="122" t="n">
        <v>34</v>
      </c>
      <c r="AL2081" s="122" t="n">
        <v>1</v>
      </c>
      <c r="AM2081" s="124">
        <f>IFERROR(AL2081/AA2081,"")</f>
        <v/>
      </c>
      <c r="AN2081" s="125">
        <f>IFERROR(R2081/AL2081,"")</f>
        <v/>
      </c>
      <c r="AO2081" s="122" t="n">
        <v>0</v>
      </c>
      <c r="AP2081" s="54">
        <f>IFERROR(AO2081/AL2081,"")</f>
        <v/>
      </c>
      <c r="AQ2081" s="125">
        <f>IFERROR(R2081/AO2081,"")</f>
        <v/>
      </c>
      <c r="AR2081" s="122" t="n">
        <v>2</v>
      </c>
      <c r="AS2081" s="122" t="n">
        <v>1</v>
      </c>
      <c r="AT2081" s="122">
        <f>AL2081+AR2081</f>
        <v/>
      </c>
      <c r="AU2081" s="125">
        <f>IFERROR(AO2081*Assumptions!$C$26*Assumptions!$C$27*INDEX(Assumptions!$C$18:$C$21,MATCH(H2081,Assumptions!$B$18:$B$21,0)),0)</f>
        <v/>
      </c>
    </row>
    <row r="2082">
      <c r="A2082" s="120" t="n">
        <v>46244</v>
      </c>
      <c r="B2082" s="66" t="inlineStr">
        <is>
          <t>Wk 33</t>
        </is>
      </c>
      <c r="C2082" s="66" t="inlineStr">
        <is>
          <t>Mon</t>
        </is>
      </c>
      <c r="D2082" s="66" t="inlineStr">
        <is>
          <t>Programmatic</t>
        </is>
      </c>
      <c r="E2082" s="66" t="inlineStr">
        <is>
          <t>DV360</t>
        </is>
      </c>
      <c r="F2082" s="66" t="inlineStr">
        <is>
          <t>LEP_ZA_AUG26_PROG_TD_VIDEO_OLV</t>
        </is>
      </c>
      <c r="G2082" s="66" t="inlineStr">
        <is>
          <t>Online Video / CTV</t>
        </is>
      </c>
      <c r="H2082" s="66" t="inlineStr">
        <is>
          <t>Range</t>
        </is>
      </c>
      <c r="I2082" s="66" t="inlineStr">
        <is>
          <t>Range Offer</t>
        </is>
      </c>
      <c r="J2082" s="66" t="inlineStr">
        <is>
          <t>PROG_OLV_PREROLL_AUTO</t>
        </is>
      </c>
      <c r="K2082" s="66" t="inlineStr">
        <is>
          <t>Contextual</t>
        </is>
      </c>
      <c r="L2082" s="66" t="inlineStr">
        <is>
          <t>PROG_OLV_15s_PANTERA_v1</t>
        </is>
      </c>
      <c r="M2082" s="66" t="inlineStr">
        <is>
          <t>Video 16:9 Pre-roll</t>
        </is>
      </c>
      <c r="N2082" s="66" t="inlineStr">
        <is>
          <t>PANTERA. Zero deposit.</t>
        </is>
      </c>
      <c r="O2082" s="66" t="inlineStr">
        <is>
          <t>Auction - Fixed CPM</t>
        </is>
      </c>
      <c r="P2082" s="66" t="inlineStr">
        <is>
          <t>Completed Views + CPA</t>
        </is>
      </c>
      <c r="Q2082" s="66" t="inlineStr">
        <is>
          <t>https://www.lepas-sa.co.za/offers</t>
        </is>
      </c>
      <c r="R2082" s="121" t="n">
        <v>119.03</v>
      </c>
      <c r="S2082" s="122" t="n">
        <v>5289</v>
      </c>
      <c r="T2082" s="122" t="n">
        <v>2394</v>
      </c>
      <c r="U2082" s="123">
        <f>IFERROR(S2082/T2082,"")</f>
        <v/>
      </c>
      <c r="V2082" s="122" t="n">
        <v>14</v>
      </c>
      <c r="W2082" s="122" t="n">
        <v>11</v>
      </c>
      <c r="X2082" s="124">
        <f>IFERROR(W2082/S2082,"")</f>
        <v/>
      </c>
      <c r="Y2082" s="121">
        <f>IFERROR(R2082/W2082,"")</f>
        <v/>
      </c>
      <c r="Z2082" s="121">
        <f>IFERROR(R2082/S2082*1000,"")</f>
        <v/>
      </c>
      <c r="AA2082" s="122" t="n">
        <v>6</v>
      </c>
      <c r="AB2082" s="54">
        <f>IFERROR(AA2082/W2082,"")</f>
        <v/>
      </c>
      <c r="AC2082" s="122" t="n">
        <v>1323</v>
      </c>
      <c r="AD2082" s="122" t="n">
        <v>660</v>
      </c>
      <c r="AE2082" s="122" t="n">
        <v>637</v>
      </c>
      <c r="AF2082" s="122" t="n">
        <v>411</v>
      </c>
      <c r="AG2082" s="122" t="n">
        <v>283</v>
      </c>
      <c r="AH2082" s="122" t="n">
        <v>207</v>
      </c>
      <c r="AI2082" s="54">
        <f>IFERROR(AC2082/S2082,"")</f>
        <v/>
      </c>
      <c r="AJ2082" s="54">
        <f>IFERROR(AH2082/S2082,"")</f>
        <v/>
      </c>
      <c r="AK2082" s="122" t="n">
        <v>29</v>
      </c>
      <c r="AL2082" s="122" t="n">
        <v>0</v>
      </c>
      <c r="AM2082" s="124">
        <f>IFERROR(AL2082/AA2082,"")</f>
        <v/>
      </c>
      <c r="AN2082" s="125">
        <f>IFERROR(R2082/AL2082,"")</f>
        <v/>
      </c>
      <c r="AO2082" s="122" t="n">
        <v>0</v>
      </c>
      <c r="AP2082" s="54">
        <f>IFERROR(AO2082/AL2082,"")</f>
        <v/>
      </c>
      <c r="AQ2082" s="125">
        <f>IFERROR(R2082/AO2082,"")</f>
        <v/>
      </c>
      <c r="AR2082" s="122" t="n">
        <v>0</v>
      </c>
      <c r="AS2082" s="122" t="n">
        <v>0</v>
      </c>
      <c r="AT2082" s="122">
        <f>AL2082+AR2082</f>
        <v/>
      </c>
      <c r="AU2082" s="125">
        <f>IFERROR(AO2082*Assumptions!$C$26*Assumptions!$C$27*INDEX(Assumptions!$C$18:$C$21,MATCH(H2082,Assumptions!$B$18:$B$21,0)),0)</f>
        <v/>
      </c>
    </row>
    <row r="2083">
      <c r="A2083" s="120" t="n">
        <v>46245</v>
      </c>
      <c r="B2083" s="66" t="inlineStr">
        <is>
          <t>Wk 33</t>
        </is>
      </c>
      <c r="C2083" s="66" t="inlineStr">
        <is>
          <t>Tue</t>
        </is>
      </c>
      <c r="D2083" s="66" t="inlineStr">
        <is>
          <t>Programmatic</t>
        </is>
      </c>
      <c r="E2083" s="66" t="inlineStr">
        <is>
          <t>DV360</t>
        </is>
      </c>
      <c r="F2083" s="66" t="inlineStr">
        <is>
          <t>LEP_ZA_AUG26_PROG_TD_VIDEO_OLV</t>
        </is>
      </c>
      <c r="G2083" s="66" t="inlineStr">
        <is>
          <t>Online Video / CTV</t>
        </is>
      </c>
      <c r="H2083" s="66" t="inlineStr">
        <is>
          <t>Range</t>
        </is>
      </c>
      <c r="I2083" s="66" t="inlineStr">
        <is>
          <t>Range Offer</t>
        </is>
      </c>
      <c r="J2083" s="66" t="inlineStr">
        <is>
          <t>PROG_OLV_PREROLL_AUTO</t>
        </is>
      </c>
      <c r="K2083" s="66" t="inlineStr">
        <is>
          <t>Contextual</t>
        </is>
      </c>
      <c r="L2083" s="66" t="inlineStr">
        <is>
          <t>PROG_OLV_15s_PANTERA_v1</t>
        </is>
      </c>
      <c r="M2083" s="66" t="inlineStr">
        <is>
          <t>Video 16:9 Pre-roll</t>
        </is>
      </c>
      <c r="N2083" s="66" t="inlineStr">
        <is>
          <t>PANTERA. Zero deposit.</t>
        </is>
      </c>
      <c r="O2083" s="66" t="inlineStr">
        <is>
          <t>Auction - Fixed CPM</t>
        </is>
      </c>
      <c r="P2083" s="66" t="inlineStr">
        <is>
          <t>Completed Views + CPA</t>
        </is>
      </c>
      <c r="Q2083" s="66" t="inlineStr">
        <is>
          <t>https://www.lepas-sa.co.za/offers</t>
        </is>
      </c>
      <c r="R2083" s="121" t="n">
        <v>104.62</v>
      </c>
      <c r="S2083" s="122" t="n">
        <v>4623</v>
      </c>
      <c r="T2083" s="122" t="n">
        <v>3248</v>
      </c>
      <c r="U2083" s="123">
        <f>IFERROR(S2083/T2083,"")</f>
        <v/>
      </c>
      <c r="V2083" s="122" t="n">
        <v>13</v>
      </c>
      <c r="W2083" s="122" t="n">
        <v>11</v>
      </c>
      <c r="X2083" s="124">
        <f>IFERROR(W2083/S2083,"")</f>
        <v/>
      </c>
      <c r="Y2083" s="121">
        <f>IFERROR(R2083/W2083,"")</f>
        <v/>
      </c>
      <c r="Z2083" s="121">
        <f>IFERROR(R2083/S2083*1000,"")</f>
        <v/>
      </c>
      <c r="AA2083" s="122" t="n">
        <v>7</v>
      </c>
      <c r="AB2083" s="54">
        <f>IFERROR(AA2083/W2083,"")</f>
        <v/>
      </c>
      <c r="AC2083" s="122" t="n">
        <v>1730</v>
      </c>
      <c r="AD2083" s="122" t="n">
        <v>810</v>
      </c>
      <c r="AE2083" s="122" t="n">
        <v>651</v>
      </c>
      <c r="AF2083" s="122" t="n">
        <v>405</v>
      </c>
      <c r="AG2083" s="122" t="n">
        <v>258</v>
      </c>
      <c r="AH2083" s="122" t="n">
        <v>167</v>
      </c>
      <c r="AI2083" s="54">
        <f>IFERROR(AC2083/S2083,"")</f>
        <v/>
      </c>
      <c r="AJ2083" s="54">
        <f>IFERROR(AH2083/S2083,"")</f>
        <v/>
      </c>
      <c r="AK2083" s="122" t="n">
        <v>19</v>
      </c>
      <c r="AL2083" s="122" t="n">
        <v>0</v>
      </c>
      <c r="AM2083" s="124">
        <f>IFERROR(AL2083/AA2083,"")</f>
        <v/>
      </c>
      <c r="AN2083" s="125">
        <f>IFERROR(R2083/AL2083,"")</f>
        <v/>
      </c>
      <c r="AO2083" s="122" t="n">
        <v>0</v>
      </c>
      <c r="AP2083" s="54">
        <f>IFERROR(AO2083/AL2083,"")</f>
        <v/>
      </c>
      <c r="AQ2083" s="125">
        <f>IFERROR(R2083/AO2083,"")</f>
        <v/>
      </c>
      <c r="AR2083" s="122" t="n">
        <v>0</v>
      </c>
      <c r="AS2083" s="122" t="n">
        <v>0</v>
      </c>
      <c r="AT2083" s="122">
        <f>AL2083+AR2083</f>
        <v/>
      </c>
      <c r="AU2083" s="125">
        <f>IFERROR(AO2083*Assumptions!$C$26*Assumptions!$C$27*INDEX(Assumptions!$C$18:$C$21,MATCH(H2083,Assumptions!$B$18:$B$21,0)),0)</f>
        <v/>
      </c>
    </row>
    <row r="2084">
      <c r="A2084" s="120" t="n">
        <v>46246</v>
      </c>
      <c r="B2084" s="66" t="inlineStr">
        <is>
          <t>Wk 33</t>
        </is>
      </c>
      <c r="C2084" s="66" t="inlineStr">
        <is>
          <t>Wed</t>
        </is>
      </c>
      <c r="D2084" s="66" t="inlineStr">
        <is>
          <t>Programmatic</t>
        </is>
      </c>
      <c r="E2084" s="66" t="inlineStr">
        <is>
          <t>DV360</t>
        </is>
      </c>
      <c r="F2084" s="66" t="inlineStr">
        <is>
          <t>LEP_ZA_AUG26_PROG_TD_VIDEO_OLV</t>
        </is>
      </c>
      <c r="G2084" s="66" t="inlineStr">
        <is>
          <t>Online Video / CTV</t>
        </is>
      </c>
      <c r="H2084" s="66" t="inlineStr">
        <is>
          <t>Range</t>
        </is>
      </c>
      <c r="I2084" s="66" t="inlineStr">
        <is>
          <t>Range Offer</t>
        </is>
      </c>
      <c r="J2084" s="66" t="inlineStr">
        <is>
          <t>PROG_OLV_PREROLL_AUTO</t>
        </is>
      </c>
      <c r="K2084" s="66" t="inlineStr">
        <is>
          <t>Contextual</t>
        </is>
      </c>
      <c r="L2084" s="66" t="inlineStr">
        <is>
          <t>PROG_OLV_15s_PANTERA_v1</t>
        </is>
      </c>
      <c r="M2084" s="66" t="inlineStr">
        <is>
          <t>Video 16:9 Pre-roll</t>
        </is>
      </c>
      <c r="N2084" s="66" t="inlineStr">
        <is>
          <t>PANTERA. Zero deposit.</t>
        </is>
      </c>
      <c r="O2084" s="66" t="inlineStr">
        <is>
          <t>Auction - Fixed CPM</t>
        </is>
      </c>
      <c r="P2084" s="66" t="inlineStr">
        <is>
          <t>Completed Views + CPA</t>
        </is>
      </c>
      <c r="Q2084" s="66" t="inlineStr">
        <is>
          <t>https://www.lepas-sa.co.za/offers</t>
        </is>
      </c>
      <c r="R2084" s="121" t="n">
        <v>132.56</v>
      </c>
      <c r="S2084" s="122" t="n">
        <v>7855</v>
      </c>
      <c r="T2084" s="122" t="n">
        <v>4410</v>
      </c>
      <c r="U2084" s="123">
        <f>IFERROR(S2084/T2084,"")</f>
        <v/>
      </c>
      <c r="V2084" s="122" t="n">
        <v>18</v>
      </c>
      <c r="W2084" s="122" t="n">
        <v>13</v>
      </c>
      <c r="X2084" s="124">
        <f>IFERROR(W2084/S2084,"")</f>
        <v/>
      </c>
      <c r="Y2084" s="121">
        <f>IFERROR(R2084/W2084,"")</f>
        <v/>
      </c>
      <c r="Z2084" s="121">
        <f>IFERROR(R2084/S2084*1000,"")</f>
        <v/>
      </c>
      <c r="AA2084" s="122" t="n">
        <v>8</v>
      </c>
      <c r="AB2084" s="54">
        <f>IFERROR(AA2084/W2084,"")</f>
        <v/>
      </c>
      <c r="AC2084" s="122" t="n">
        <v>2107</v>
      </c>
      <c r="AD2084" s="122" t="n">
        <v>1239</v>
      </c>
      <c r="AE2084" s="122" t="n">
        <v>997</v>
      </c>
      <c r="AF2084" s="122" t="n">
        <v>630</v>
      </c>
      <c r="AG2084" s="122" t="n">
        <v>466</v>
      </c>
      <c r="AH2084" s="122" t="n">
        <v>319</v>
      </c>
      <c r="AI2084" s="54">
        <f>IFERROR(AC2084/S2084,"")</f>
        <v/>
      </c>
      <c r="AJ2084" s="54">
        <f>IFERROR(AH2084/S2084,"")</f>
        <v/>
      </c>
      <c r="AK2084" s="122" t="n">
        <v>41</v>
      </c>
      <c r="AL2084" s="122" t="n">
        <v>0</v>
      </c>
      <c r="AM2084" s="124">
        <f>IFERROR(AL2084/AA2084,"")</f>
        <v/>
      </c>
      <c r="AN2084" s="125">
        <f>IFERROR(R2084/AL2084,"")</f>
        <v/>
      </c>
      <c r="AO2084" s="122" t="n">
        <v>0</v>
      </c>
      <c r="AP2084" s="54">
        <f>IFERROR(AO2084/AL2084,"")</f>
        <v/>
      </c>
      <c r="AQ2084" s="125">
        <f>IFERROR(R2084/AO2084,"")</f>
        <v/>
      </c>
      <c r="AR2084" s="122" t="n">
        <v>0</v>
      </c>
      <c r="AS2084" s="122" t="n">
        <v>0</v>
      </c>
      <c r="AT2084" s="122">
        <f>AL2084+AR2084</f>
        <v/>
      </c>
      <c r="AU2084" s="125">
        <f>IFERROR(AO2084*Assumptions!$C$26*Assumptions!$C$27*INDEX(Assumptions!$C$18:$C$21,MATCH(H2084,Assumptions!$B$18:$B$21,0)),0)</f>
        <v/>
      </c>
    </row>
    <row r="2085">
      <c r="A2085" s="120" t="n">
        <v>46247</v>
      </c>
      <c r="B2085" s="66" t="inlineStr">
        <is>
          <t>Wk 33</t>
        </is>
      </c>
      <c r="C2085" s="66" t="inlineStr">
        <is>
          <t>Thu</t>
        </is>
      </c>
      <c r="D2085" s="66" t="inlineStr">
        <is>
          <t>Programmatic</t>
        </is>
      </c>
      <c r="E2085" s="66" t="inlineStr">
        <is>
          <t>DV360</t>
        </is>
      </c>
      <c r="F2085" s="66" t="inlineStr">
        <is>
          <t>LEP_ZA_AUG26_PROG_TD_VIDEO_OLV</t>
        </is>
      </c>
      <c r="G2085" s="66" t="inlineStr">
        <is>
          <t>Online Video / CTV</t>
        </is>
      </c>
      <c r="H2085" s="66" t="inlineStr">
        <is>
          <t>Range</t>
        </is>
      </c>
      <c r="I2085" s="66" t="inlineStr">
        <is>
          <t>Range Offer</t>
        </is>
      </c>
      <c r="J2085" s="66" t="inlineStr">
        <is>
          <t>PROG_OLV_PREROLL_AUTO</t>
        </is>
      </c>
      <c r="K2085" s="66" t="inlineStr">
        <is>
          <t>Contextual</t>
        </is>
      </c>
      <c r="L2085" s="66" t="inlineStr">
        <is>
          <t>PROG_OLV_15s_PANTERA_v1</t>
        </is>
      </c>
      <c r="M2085" s="66" t="inlineStr">
        <is>
          <t>Video 16:9 Pre-roll</t>
        </is>
      </c>
      <c r="N2085" s="66" t="inlineStr">
        <is>
          <t>PANTERA. Zero deposit.</t>
        </is>
      </c>
      <c r="O2085" s="66" t="inlineStr">
        <is>
          <t>Auction - Fixed CPM</t>
        </is>
      </c>
      <c r="P2085" s="66" t="inlineStr">
        <is>
          <t>Completed Views + CPA</t>
        </is>
      </c>
      <c r="Q2085" s="66" t="inlineStr">
        <is>
          <t>https://www.lepas-sa.co.za/offers</t>
        </is>
      </c>
      <c r="R2085" s="121" t="n">
        <v>134.33</v>
      </c>
      <c r="S2085" s="122" t="n">
        <v>6430</v>
      </c>
      <c r="T2085" s="122" t="n">
        <v>3002</v>
      </c>
      <c r="U2085" s="123">
        <f>IFERROR(S2085/T2085,"")</f>
        <v/>
      </c>
      <c r="V2085" s="122" t="n">
        <v>8</v>
      </c>
      <c r="W2085" s="122" t="n">
        <v>6</v>
      </c>
      <c r="X2085" s="124">
        <f>IFERROR(W2085/S2085,"")</f>
        <v/>
      </c>
      <c r="Y2085" s="121">
        <f>IFERROR(R2085/W2085,"")</f>
        <v/>
      </c>
      <c r="Z2085" s="121">
        <f>IFERROR(R2085/S2085*1000,"")</f>
        <v/>
      </c>
      <c r="AA2085" s="122" t="n">
        <v>3</v>
      </c>
      <c r="AB2085" s="54">
        <f>IFERROR(AA2085/W2085,"")</f>
        <v/>
      </c>
      <c r="AC2085" s="122" t="n">
        <v>1757</v>
      </c>
      <c r="AD2085" s="122" t="n">
        <v>779</v>
      </c>
      <c r="AE2085" s="122" t="n">
        <v>892</v>
      </c>
      <c r="AF2085" s="122" t="n">
        <v>562</v>
      </c>
      <c r="AG2085" s="122" t="n">
        <v>438</v>
      </c>
      <c r="AH2085" s="122" t="n">
        <v>286</v>
      </c>
      <c r="AI2085" s="54">
        <f>IFERROR(AC2085/S2085,"")</f>
        <v/>
      </c>
      <c r="AJ2085" s="54">
        <f>IFERROR(AH2085/S2085,"")</f>
        <v/>
      </c>
      <c r="AK2085" s="122" t="n">
        <v>37</v>
      </c>
      <c r="AL2085" s="122" t="n">
        <v>0</v>
      </c>
      <c r="AM2085" s="124">
        <f>IFERROR(AL2085/AA2085,"")</f>
        <v/>
      </c>
      <c r="AN2085" s="125">
        <f>IFERROR(R2085/AL2085,"")</f>
        <v/>
      </c>
      <c r="AO2085" s="122" t="n">
        <v>0</v>
      </c>
      <c r="AP2085" s="54">
        <f>IFERROR(AO2085/AL2085,"")</f>
        <v/>
      </c>
      <c r="AQ2085" s="125">
        <f>IFERROR(R2085/AO2085,"")</f>
        <v/>
      </c>
      <c r="AR2085" s="122" t="n">
        <v>0</v>
      </c>
      <c r="AS2085" s="122" t="n">
        <v>0</v>
      </c>
      <c r="AT2085" s="122">
        <f>AL2085+AR2085</f>
        <v/>
      </c>
      <c r="AU2085" s="125">
        <f>IFERROR(AO2085*Assumptions!$C$26*Assumptions!$C$27*INDEX(Assumptions!$C$18:$C$21,MATCH(H2085,Assumptions!$B$18:$B$21,0)),0)</f>
        <v/>
      </c>
    </row>
    <row r="2086">
      <c r="A2086" s="120" t="n">
        <v>46248</v>
      </c>
      <c r="B2086" s="66" t="inlineStr">
        <is>
          <t>Wk 33</t>
        </is>
      </c>
      <c r="C2086" s="66" t="inlineStr">
        <is>
          <t>Fri</t>
        </is>
      </c>
      <c r="D2086" s="66" t="inlineStr">
        <is>
          <t>Programmatic</t>
        </is>
      </c>
      <c r="E2086" s="66" t="inlineStr">
        <is>
          <t>DV360</t>
        </is>
      </c>
      <c r="F2086" s="66" t="inlineStr">
        <is>
          <t>LEP_ZA_AUG26_PROG_TD_VIDEO_OLV</t>
        </is>
      </c>
      <c r="G2086" s="66" t="inlineStr">
        <is>
          <t>Online Video / CTV</t>
        </is>
      </c>
      <c r="H2086" s="66" t="inlineStr">
        <is>
          <t>Range</t>
        </is>
      </c>
      <c r="I2086" s="66" t="inlineStr">
        <is>
          <t>Range Offer</t>
        </is>
      </c>
      <c r="J2086" s="66" t="inlineStr">
        <is>
          <t>PROG_OLV_PREROLL_AUTO</t>
        </is>
      </c>
      <c r="K2086" s="66" t="inlineStr">
        <is>
          <t>Contextual</t>
        </is>
      </c>
      <c r="L2086" s="66" t="inlineStr">
        <is>
          <t>PROG_OLV_15s_PANTERA_v1</t>
        </is>
      </c>
      <c r="M2086" s="66" t="inlineStr">
        <is>
          <t>Video 16:9 Pre-roll</t>
        </is>
      </c>
      <c r="N2086" s="66" t="inlineStr">
        <is>
          <t>PANTERA. Zero deposit.</t>
        </is>
      </c>
      <c r="O2086" s="66" t="inlineStr">
        <is>
          <t>Auction - Fixed CPM</t>
        </is>
      </c>
      <c r="P2086" s="66" t="inlineStr">
        <is>
          <t>Completed Views + CPA</t>
        </is>
      </c>
      <c r="Q2086" s="66" t="inlineStr">
        <is>
          <t>https://www.lepas-sa.co.za/offers</t>
        </is>
      </c>
      <c r="R2086" s="121" t="n">
        <v>133.64</v>
      </c>
      <c r="S2086" s="122" t="n">
        <v>8111</v>
      </c>
      <c r="T2086" s="122" t="n">
        <v>3799</v>
      </c>
      <c r="U2086" s="123">
        <f>IFERROR(S2086/T2086,"")</f>
        <v/>
      </c>
      <c r="V2086" s="122" t="n">
        <v>12</v>
      </c>
      <c r="W2086" s="122" t="n">
        <v>9</v>
      </c>
      <c r="X2086" s="124">
        <f>IFERROR(W2086/S2086,"")</f>
        <v/>
      </c>
      <c r="Y2086" s="121">
        <f>IFERROR(R2086/W2086,"")</f>
        <v/>
      </c>
      <c r="Z2086" s="121">
        <f>IFERROR(R2086/S2086*1000,"")</f>
        <v/>
      </c>
      <c r="AA2086" s="122" t="n">
        <v>5</v>
      </c>
      <c r="AB2086" s="54">
        <f>IFERROR(AA2086/W2086,"")</f>
        <v/>
      </c>
      <c r="AC2086" s="122" t="n">
        <v>2102</v>
      </c>
      <c r="AD2086" s="122" t="n">
        <v>1163</v>
      </c>
      <c r="AE2086" s="122" t="n">
        <v>771</v>
      </c>
      <c r="AF2086" s="122" t="n">
        <v>414</v>
      </c>
      <c r="AG2086" s="122" t="n">
        <v>303</v>
      </c>
      <c r="AH2086" s="122" t="n">
        <v>216</v>
      </c>
      <c r="AI2086" s="54">
        <f>IFERROR(AC2086/S2086,"")</f>
        <v/>
      </c>
      <c r="AJ2086" s="54">
        <f>IFERROR(AH2086/S2086,"")</f>
        <v/>
      </c>
      <c r="AK2086" s="122" t="n">
        <v>47</v>
      </c>
      <c r="AL2086" s="122" t="n">
        <v>0</v>
      </c>
      <c r="AM2086" s="124">
        <f>IFERROR(AL2086/AA2086,"")</f>
        <v/>
      </c>
      <c r="AN2086" s="125">
        <f>IFERROR(R2086/AL2086,"")</f>
        <v/>
      </c>
      <c r="AO2086" s="122" t="n">
        <v>0</v>
      </c>
      <c r="AP2086" s="54">
        <f>IFERROR(AO2086/AL2086,"")</f>
        <v/>
      </c>
      <c r="AQ2086" s="125">
        <f>IFERROR(R2086/AO2086,"")</f>
        <v/>
      </c>
      <c r="AR2086" s="122" t="n">
        <v>0</v>
      </c>
      <c r="AS2086" s="122" t="n">
        <v>0</v>
      </c>
      <c r="AT2086" s="122">
        <f>AL2086+AR2086</f>
        <v/>
      </c>
      <c r="AU2086" s="125">
        <f>IFERROR(AO2086*Assumptions!$C$26*Assumptions!$C$27*INDEX(Assumptions!$C$18:$C$21,MATCH(H2086,Assumptions!$B$18:$B$21,0)),0)</f>
        <v/>
      </c>
    </row>
    <row r="2087">
      <c r="A2087" s="120" t="n">
        <v>46249</v>
      </c>
      <c r="B2087" s="66" t="inlineStr">
        <is>
          <t>Wk 33</t>
        </is>
      </c>
      <c r="C2087" s="66" t="inlineStr">
        <is>
          <t>Sat</t>
        </is>
      </c>
      <c r="D2087" s="66" t="inlineStr">
        <is>
          <t>Programmatic</t>
        </is>
      </c>
      <c r="E2087" s="66" t="inlineStr">
        <is>
          <t>DV360</t>
        </is>
      </c>
      <c r="F2087" s="66" t="inlineStr">
        <is>
          <t>LEP_ZA_AUG26_PROG_TD_VIDEO_OLV</t>
        </is>
      </c>
      <c r="G2087" s="66" t="inlineStr">
        <is>
          <t>Online Video / CTV</t>
        </is>
      </c>
      <c r="H2087" s="66" t="inlineStr">
        <is>
          <t>Range</t>
        </is>
      </c>
      <c r="I2087" s="66" t="inlineStr">
        <is>
          <t>Range Offer</t>
        </is>
      </c>
      <c r="J2087" s="66" t="inlineStr">
        <is>
          <t>PROG_OLV_PREROLL_AUTO</t>
        </is>
      </c>
      <c r="K2087" s="66" t="inlineStr">
        <is>
          <t>Contextual</t>
        </is>
      </c>
      <c r="L2087" s="66" t="inlineStr">
        <is>
          <t>PROG_OLV_15s_PANTERA_v1</t>
        </is>
      </c>
      <c r="M2087" s="66" t="inlineStr">
        <is>
          <t>Video 16:9 Pre-roll</t>
        </is>
      </c>
      <c r="N2087" s="66" t="inlineStr">
        <is>
          <t>PANTERA. Zero deposit.</t>
        </is>
      </c>
      <c r="O2087" s="66" t="inlineStr">
        <is>
          <t>Auction - Fixed CPM</t>
        </is>
      </c>
      <c r="P2087" s="66" t="inlineStr">
        <is>
          <t>Completed Views + CPA</t>
        </is>
      </c>
      <c r="Q2087" s="66" t="inlineStr">
        <is>
          <t>https://www.lepas-sa.co.za/offers</t>
        </is>
      </c>
      <c r="R2087" s="121" t="n">
        <v>133.37</v>
      </c>
      <c r="S2087" s="122" t="n">
        <v>5167</v>
      </c>
      <c r="T2087" s="122" t="n">
        <v>2187</v>
      </c>
      <c r="U2087" s="123">
        <f>IFERROR(S2087/T2087,"")</f>
        <v/>
      </c>
      <c r="V2087" s="122" t="n">
        <v>9</v>
      </c>
      <c r="W2087" s="122" t="n">
        <v>7</v>
      </c>
      <c r="X2087" s="124">
        <f>IFERROR(W2087/S2087,"")</f>
        <v/>
      </c>
      <c r="Y2087" s="121">
        <f>IFERROR(R2087/W2087,"")</f>
        <v/>
      </c>
      <c r="Z2087" s="121">
        <f>IFERROR(R2087/S2087*1000,"")</f>
        <v/>
      </c>
      <c r="AA2087" s="122" t="n">
        <v>4</v>
      </c>
      <c r="AB2087" s="54">
        <f>IFERROR(AA2087/W2087,"")</f>
        <v/>
      </c>
      <c r="AC2087" s="122" t="n">
        <v>1170</v>
      </c>
      <c r="AD2087" s="122" t="n">
        <v>601</v>
      </c>
      <c r="AE2087" s="122" t="n">
        <v>584</v>
      </c>
      <c r="AF2087" s="122" t="n">
        <v>331</v>
      </c>
      <c r="AG2087" s="122" t="n">
        <v>233</v>
      </c>
      <c r="AH2087" s="122" t="n">
        <v>170</v>
      </c>
      <c r="AI2087" s="54">
        <f>IFERROR(AC2087/S2087,"")</f>
        <v/>
      </c>
      <c r="AJ2087" s="54">
        <f>IFERROR(AH2087/S2087,"")</f>
        <v/>
      </c>
      <c r="AK2087" s="122" t="n">
        <v>29</v>
      </c>
      <c r="AL2087" s="122" t="n">
        <v>0</v>
      </c>
      <c r="AM2087" s="124">
        <f>IFERROR(AL2087/AA2087,"")</f>
        <v/>
      </c>
      <c r="AN2087" s="125">
        <f>IFERROR(R2087/AL2087,"")</f>
        <v/>
      </c>
      <c r="AO2087" s="122" t="n">
        <v>0</v>
      </c>
      <c r="AP2087" s="54">
        <f>IFERROR(AO2087/AL2087,"")</f>
        <v/>
      </c>
      <c r="AQ2087" s="125">
        <f>IFERROR(R2087/AO2087,"")</f>
        <v/>
      </c>
      <c r="AR2087" s="122" t="n">
        <v>0</v>
      </c>
      <c r="AS2087" s="122" t="n">
        <v>0</v>
      </c>
      <c r="AT2087" s="122">
        <f>AL2087+AR2087</f>
        <v/>
      </c>
      <c r="AU2087" s="125">
        <f>IFERROR(AO2087*Assumptions!$C$26*Assumptions!$C$27*INDEX(Assumptions!$C$18:$C$21,MATCH(H2087,Assumptions!$B$18:$B$21,0)),0)</f>
        <v/>
      </c>
    </row>
    <row r="2088">
      <c r="A2088" s="120" t="n">
        <v>46250</v>
      </c>
      <c r="B2088" s="66" t="inlineStr">
        <is>
          <t>Wk 33</t>
        </is>
      </c>
      <c r="C2088" s="66" t="inlineStr">
        <is>
          <t>Sun</t>
        </is>
      </c>
      <c r="D2088" s="66" t="inlineStr">
        <is>
          <t>Programmatic</t>
        </is>
      </c>
      <c r="E2088" s="66" t="inlineStr">
        <is>
          <t>DV360</t>
        </is>
      </c>
      <c r="F2088" s="66" t="inlineStr">
        <is>
          <t>LEP_ZA_AUG26_PROG_TD_VIDEO_OLV</t>
        </is>
      </c>
      <c r="G2088" s="66" t="inlineStr">
        <is>
          <t>Online Video / CTV</t>
        </is>
      </c>
      <c r="H2088" s="66" t="inlineStr">
        <is>
          <t>Range</t>
        </is>
      </c>
      <c r="I2088" s="66" t="inlineStr">
        <is>
          <t>Range Offer</t>
        </is>
      </c>
      <c r="J2088" s="66" t="inlineStr">
        <is>
          <t>PROG_OLV_PREROLL_AUTO</t>
        </is>
      </c>
      <c r="K2088" s="66" t="inlineStr">
        <is>
          <t>Contextual</t>
        </is>
      </c>
      <c r="L2088" s="66" t="inlineStr">
        <is>
          <t>PROG_OLV_15s_PANTERA_v1</t>
        </is>
      </c>
      <c r="M2088" s="66" t="inlineStr">
        <is>
          <t>Video 16:9 Pre-roll</t>
        </is>
      </c>
      <c r="N2088" s="66" t="inlineStr">
        <is>
          <t>PANTERA. Zero deposit.</t>
        </is>
      </c>
      <c r="O2088" s="66" t="inlineStr">
        <is>
          <t>Auction - Fixed CPM</t>
        </is>
      </c>
      <c r="P2088" s="66" t="inlineStr">
        <is>
          <t>Completed Views + CPA</t>
        </is>
      </c>
      <c r="Q2088" s="66" t="inlineStr">
        <is>
          <t>https://www.lepas-sa.co.za/offers</t>
        </is>
      </c>
      <c r="R2088" s="121" t="n">
        <v>112.66</v>
      </c>
      <c r="S2088" s="122" t="n">
        <v>3407</v>
      </c>
      <c r="T2088" s="122" t="n">
        <v>1585</v>
      </c>
      <c r="U2088" s="123">
        <f>IFERROR(S2088/T2088,"")</f>
        <v/>
      </c>
      <c r="V2088" s="122" t="n">
        <v>9</v>
      </c>
      <c r="W2088" s="122" t="n">
        <v>6</v>
      </c>
      <c r="X2088" s="124">
        <f>IFERROR(W2088/S2088,"")</f>
        <v/>
      </c>
      <c r="Y2088" s="121">
        <f>IFERROR(R2088/W2088,"")</f>
        <v/>
      </c>
      <c r="Z2088" s="121">
        <f>IFERROR(R2088/S2088*1000,"")</f>
        <v/>
      </c>
      <c r="AA2088" s="122" t="n">
        <v>4</v>
      </c>
      <c r="AB2088" s="54">
        <f>IFERROR(AA2088/W2088,"")</f>
        <v/>
      </c>
      <c r="AC2088" s="122" t="n">
        <v>816</v>
      </c>
      <c r="AD2088" s="122" t="n">
        <v>416</v>
      </c>
      <c r="AE2088" s="122" t="n">
        <v>329</v>
      </c>
      <c r="AF2088" s="122" t="n">
        <v>187</v>
      </c>
      <c r="AG2088" s="122" t="n">
        <v>131</v>
      </c>
      <c r="AH2088" s="122" t="n">
        <v>75</v>
      </c>
      <c r="AI2088" s="54">
        <f>IFERROR(AC2088/S2088,"")</f>
        <v/>
      </c>
      <c r="AJ2088" s="54">
        <f>IFERROR(AH2088/S2088,"")</f>
        <v/>
      </c>
      <c r="AK2088" s="122" t="n">
        <v>18</v>
      </c>
      <c r="AL2088" s="122" t="n">
        <v>0</v>
      </c>
      <c r="AM2088" s="124">
        <f>IFERROR(AL2088/AA2088,"")</f>
        <v/>
      </c>
      <c r="AN2088" s="125">
        <f>IFERROR(R2088/AL2088,"")</f>
        <v/>
      </c>
      <c r="AO2088" s="122" t="n">
        <v>0</v>
      </c>
      <c r="AP2088" s="54">
        <f>IFERROR(AO2088/AL2088,"")</f>
        <v/>
      </c>
      <c r="AQ2088" s="125">
        <f>IFERROR(R2088/AO2088,"")</f>
        <v/>
      </c>
      <c r="AR2088" s="122" t="n">
        <v>0</v>
      </c>
      <c r="AS2088" s="122" t="n">
        <v>0</v>
      </c>
      <c r="AT2088" s="122">
        <f>AL2088+AR2088</f>
        <v/>
      </c>
      <c r="AU2088" s="125">
        <f>IFERROR(AO2088*Assumptions!$C$26*Assumptions!$C$27*INDEX(Assumptions!$C$18:$C$21,MATCH(H2088,Assumptions!$B$18:$B$21,0)),0)</f>
        <v/>
      </c>
    </row>
    <row r="2089">
      <c r="A2089" s="120" t="n">
        <v>46251</v>
      </c>
      <c r="B2089" s="66" t="inlineStr">
        <is>
          <t>Wk 34</t>
        </is>
      </c>
      <c r="C2089" s="66" t="inlineStr">
        <is>
          <t>Mon</t>
        </is>
      </c>
      <c r="D2089" s="66" t="inlineStr">
        <is>
          <t>Programmatic</t>
        </is>
      </c>
      <c r="E2089" s="66" t="inlineStr">
        <is>
          <t>DV360</t>
        </is>
      </c>
      <c r="F2089" s="66" t="inlineStr">
        <is>
          <t>LEP_ZA_AUG26_PROG_TD_VIDEO_OLV</t>
        </is>
      </c>
      <c r="G2089" s="66" t="inlineStr">
        <is>
          <t>Online Video / CTV</t>
        </is>
      </c>
      <c r="H2089" s="66" t="inlineStr">
        <is>
          <t>Range</t>
        </is>
      </c>
      <c r="I2089" s="66" t="inlineStr">
        <is>
          <t>Range Offer</t>
        </is>
      </c>
      <c r="J2089" s="66" t="inlineStr">
        <is>
          <t>PROG_OLV_PREROLL_AUTO</t>
        </is>
      </c>
      <c r="K2089" s="66" t="inlineStr">
        <is>
          <t>Contextual</t>
        </is>
      </c>
      <c r="L2089" s="66" t="inlineStr">
        <is>
          <t>PROG_OLV_15s_PANTERA_v1</t>
        </is>
      </c>
      <c r="M2089" s="66" t="inlineStr">
        <is>
          <t>Video 16:9 Pre-roll</t>
        </is>
      </c>
      <c r="N2089" s="66" t="inlineStr">
        <is>
          <t>PANTERA. Zero deposit.</t>
        </is>
      </c>
      <c r="O2089" s="66" t="inlineStr">
        <is>
          <t>Auction - Fixed CPM</t>
        </is>
      </c>
      <c r="P2089" s="66" t="inlineStr">
        <is>
          <t>Completed Views + CPA</t>
        </is>
      </c>
      <c r="Q2089" s="66" t="inlineStr">
        <is>
          <t>https://www.lepas-sa.co.za/offers</t>
        </is>
      </c>
      <c r="R2089" s="121" t="n">
        <v>101.75</v>
      </c>
      <c r="S2089" s="122" t="n">
        <v>4925</v>
      </c>
      <c r="T2089" s="122" t="n">
        <v>2427</v>
      </c>
      <c r="U2089" s="123">
        <f>IFERROR(S2089/T2089,"")</f>
        <v/>
      </c>
      <c r="V2089" s="122" t="n">
        <v>12</v>
      </c>
      <c r="W2089" s="122" t="n">
        <v>10</v>
      </c>
      <c r="X2089" s="124">
        <f>IFERROR(W2089/S2089,"")</f>
        <v/>
      </c>
      <c r="Y2089" s="121">
        <f>IFERROR(R2089/W2089,"")</f>
        <v/>
      </c>
      <c r="Z2089" s="121">
        <f>IFERROR(R2089/S2089*1000,"")</f>
        <v/>
      </c>
      <c r="AA2089" s="122" t="n">
        <v>6</v>
      </c>
      <c r="AB2089" s="54">
        <f>IFERROR(AA2089/W2089,"")</f>
        <v/>
      </c>
      <c r="AC2089" s="122" t="n">
        <v>1555</v>
      </c>
      <c r="AD2089" s="122" t="n">
        <v>738</v>
      </c>
      <c r="AE2089" s="122" t="n">
        <v>694</v>
      </c>
      <c r="AF2089" s="122" t="n">
        <v>380</v>
      </c>
      <c r="AG2089" s="122" t="n">
        <v>273</v>
      </c>
      <c r="AH2089" s="122" t="n">
        <v>173</v>
      </c>
      <c r="AI2089" s="54">
        <f>IFERROR(AC2089/S2089,"")</f>
        <v/>
      </c>
      <c r="AJ2089" s="54">
        <f>IFERROR(AH2089/S2089,"")</f>
        <v/>
      </c>
      <c r="AK2089" s="122" t="n">
        <v>15</v>
      </c>
      <c r="AL2089" s="122" t="n">
        <v>0</v>
      </c>
      <c r="AM2089" s="124">
        <f>IFERROR(AL2089/AA2089,"")</f>
        <v/>
      </c>
      <c r="AN2089" s="125">
        <f>IFERROR(R2089/AL2089,"")</f>
        <v/>
      </c>
      <c r="AO2089" s="122" t="n">
        <v>0</v>
      </c>
      <c r="AP2089" s="54">
        <f>IFERROR(AO2089/AL2089,"")</f>
        <v/>
      </c>
      <c r="AQ2089" s="125">
        <f>IFERROR(R2089/AO2089,"")</f>
        <v/>
      </c>
      <c r="AR2089" s="122" t="n">
        <v>0</v>
      </c>
      <c r="AS2089" s="122" t="n">
        <v>0</v>
      </c>
      <c r="AT2089" s="122">
        <f>AL2089+AR2089</f>
        <v/>
      </c>
      <c r="AU2089" s="125">
        <f>IFERROR(AO2089*Assumptions!$C$26*Assumptions!$C$27*INDEX(Assumptions!$C$18:$C$21,MATCH(H2089,Assumptions!$B$18:$B$21,0)),0)</f>
        <v/>
      </c>
    </row>
    <row r="2090">
      <c r="A2090" s="120" t="n">
        <v>46252</v>
      </c>
      <c r="B2090" s="66" t="inlineStr">
        <is>
          <t>Wk 34</t>
        </is>
      </c>
      <c r="C2090" s="66" t="inlineStr">
        <is>
          <t>Tue</t>
        </is>
      </c>
      <c r="D2090" s="66" t="inlineStr">
        <is>
          <t>Programmatic</t>
        </is>
      </c>
      <c r="E2090" s="66" t="inlineStr">
        <is>
          <t>DV360</t>
        </is>
      </c>
      <c r="F2090" s="66" t="inlineStr">
        <is>
          <t>LEP_ZA_AUG26_PROG_TD_VIDEO_OLV</t>
        </is>
      </c>
      <c r="G2090" s="66" t="inlineStr">
        <is>
          <t>Online Video / CTV</t>
        </is>
      </c>
      <c r="H2090" s="66" t="inlineStr">
        <is>
          <t>Range</t>
        </is>
      </c>
      <c r="I2090" s="66" t="inlineStr">
        <is>
          <t>Range Offer</t>
        </is>
      </c>
      <c r="J2090" s="66" t="inlineStr">
        <is>
          <t>PROG_OLV_PREROLL_AUTO</t>
        </is>
      </c>
      <c r="K2090" s="66" t="inlineStr">
        <is>
          <t>Contextual</t>
        </is>
      </c>
      <c r="L2090" s="66" t="inlineStr">
        <is>
          <t>PROG_OLV_15s_PANTERA_v1</t>
        </is>
      </c>
      <c r="M2090" s="66" t="inlineStr">
        <is>
          <t>Video 16:9 Pre-roll</t>
        </is>
      </c>
      <c r="N2090" s="66" t="inlineStr">
        <is>
          <t>PANTERA. Zero deposit.</t>
        </is>
      </c>
      <c r="O2090" s="66" t="inlineStr">
        <is>
          <t>Auction - Fixed CPM</t>
        </is>
      </c>
      <c r="P2090" s="66" t="inlineStr">
        <is>
          <t>Completed Views + CPA</t>
        </is>
      </c>
      <c r="Q2090" s="66" t="inlineStr">
        <is>
          <t>https://www.lepas-sa.co.za/offers</t>
        </is>
      </c>
      <c r="R2090" s="121" t="n">
        <v>100.33</v>
      </c>
      <c r="S2090" s="122" t="n">
        <v>5997</v>
      </c>
      <c r="T2090" s="122" t="n">
        <v>2336</v>
      </c>
      <c r="U2090" s="123">
        <f>IFERROR(S2090/T2090,"")</f>
        <v/>
      </c>
      <c r="V2090" s="122" t="n">
        <v>12</v>
      </c>
      <c r="W2090" s="122" t="n">
        <v>9</v>
      </c>
      <c r="X2090" s="124">
        <f>IFERROR(W2090/S2090,"")</f>
        <v/>
      </c>
      <c r="Y2090" s="121">
        <f>IFERROR(R2090/W2090,"")</f>
        <v/>
      </c>
      <c r="Z2090" s="121">
        <f>IFERROR(R2090/S2090*1000,"")</f>
        <v/>
      </c>
      <c r="AA2090" s="122" t="n">
        <v>6</v>
      </c>
      <c r="AB2090" s="54">
        <f>IFERROR(AA2090/W2090,"")</f>
        <v/>
      </c>
      <c r="AC2090" s="122" t="n">
        <v>2449</v>
      </c>
      <c r="AD2090" s="122" t="n">
        <v>1528</v>
      </c>
      <c r="AE2090" s="122" t="n">
        <v>1225</v>
      </c>
      <c r="AF2090" s="122" t="n">
        <v>836</v>
      </c>
      <c r="AG2090" s="122" t="n">
        <v>535</v>
      </c>
      <c r="AH2090" s="122" t="n">
        <v>365</v>
      </c>
      <c r="AI2090" s="54">
        <f>IFERROR(AC2090/S2090,"")</f>
        <v/>
      </c>
      <c r="AJ2090" s="54">
        <f>IFERROR(AH2090/S2090,"")</f>
        <v/>
      </c>
      <c r="AK2090" s="122" t="n">
        <v>32</v>
      </c>
      <c r="AL2090" s="122" t="n">
        <v>0</v>
      </c>
      <c r="AM2090" s="124">
        <f>IFERROR(AL2090/AA2090,"")</f>
        <v/>
      </c>
      <c r="AN2090" s="125">
        <f>IFERROR(R2090/AL2090,"")</f>
        <v/>
      </c>
      <c r="AO2090" s="122" t="n">
        <v>0</v>
      </c>
      <c r="AP2090" s="54">
        <f>IFERROR(AO2090/AL2090,"")</f>
        <v/>
      </c>
      <c r="AQ2090" s="125">
        <f>IFERROR(R2090/AO2090,"")</f>
        <v/>
      </c>
      <c r="AR2090" s="122" t="n">
        <v>0</v>
      </c>
      <c r="AS2090" s="122" t="n">
        <v>0</v>
      </c>
      <c r="AT2090" s="122">
        <f>AL2090+AR2090</f>
        <v/>
      </c>
      <c r="AU2090" s="125">
        <f>IFERROR(AO2090*Assumptions!$C$26*Assumptions!$C$27*INDEX(Assumptions!$C$18:$C$21,MATCH(H2090,Assumptions!$B$18:$B$21,0)),0)</f>
        <v/>
      </c>
    </row>
    <row r="2091">
      <c r="A2091" s="120" t="n">
        <v>46253</v>
      </c>
      <c r="B2091" s="66" t="inlineStr">
        <is>
          <t>Wk 34</t>
        </is>
      </c>
      <c r="C2091" s="66" t="inlineStr">
        <is>
          <t>Wed</t>
        </is>
      </c>
      <c r="D2091" s="66" t="inlineStr">
        <is>
          <t>Programmatic</t>
        </is>
      </c>
      <c r="E2091" s="66" t="inlineStr">
        <is>
          <t>DV360</t>
        </is>
      </c>
      <c r="F2091" s="66" t="inlineStr">
        <is>
          <t>LEP_ZA_AUG26_PROG_TD_VIDEO_OLV</t>
        </is>
      </c>
      <c r="G2091" s="66" t="inlineStr">
        <is>
          <t>Online Video / CTV</t>
        </is>
      </c>
      <c r="H2091" s="66" t="inlineStr">
        <is>
          <t>Range</t>
        </is>
      </c>
      <c r="I2091" s="66" t="inlineStr">
        <is>
          <t>Range Offer</t>
        </is>
      </c>
      <c r="J2091" s="66" t="inlineStr">
        <is>
          <t>PROG_OLV_PREROLL_AUTO</t>
        </is>
      </c>
      <c r="K2091" s="66" t="inlineStr">
        <is>
          <t>Contextual</t>
        </is>
      </c>
      <c r="L2091" s="66" t="inlineStr">
        <is>
          <t>PROG_OLV_15s_PANTERA_v1</t>
        </is>
      </c>
      <c r="M2091" s="66" t="inlineStr">
        <is>
          <t>Video 16:9 Pre-roll</t>
        </is>
      </c>
      <c r="N2091" s="66" t="inlineStr">
        <is>
          <t>PANTERA. Zero deposit.</t>
        </is>
      </c>
      <c r="O2091" s="66" t="inlineStr">
        <is>
          <t>Auction - Fixed CPM</t>
        </is>
      </c>
      <c r="P2091" s="66" t="inlineStr">
        <is>
          <t>Completed Views + CPA</t>
        </is>
      </c>
      <c r="Q2091" s="66" t="inlineStr">
        <is>
          <t>https://www.lepas-sa.co.za/offers</t>
        </is>
      </c>
      <c r="R2091" s="121" t="n">
        <v>110.64</v>
      </c>
      <c r="S2091" s="122" t="n">
        <v>4552</v>
      </c>
      <c r="T2091" s="122" t="n">
        <v>2228</v>
      </c>
      <c r="U2091" s="123">
        <f>IFERROR(S2091/T2091,"")</f>
        <v/>
      </c>
      <c r="V2091" s="122" t="n">
        <v>8</v>
      </c>
      <c r="W2091" s="122" t="n">
        <v>6</v>
      </c>
      <c r="X2091" s="124">
        <f>IFERROR(W2091/S2091,"")</f>
        <v/>
      </c>
      <c r="Y2091" s="121">
        <f>IFERROR(R2091/W2091,"")</f>
        <v/>
      </c>
      <c r="Z2091" s="121">
        <f>IFERROR(R2091/S2091*1000,"")</f>
        <v/>
      </c>
      <c r="AA2091" s="122" t="n">
        <v>4</v>
      </c>
      <c r="AB2091" s="54">
        <f>IFERROR(AA2091/W2091,"")</f>
        <v/>
      </c>
      <c r="AC2091" s="122" t="n">
        <v>1679</v>
      </c>
      <c r="AD2091" s="122" t="n">
        <v>837</v>
      </c>
      <c r="AE2091" s="122" t="n">
        <v>910</v>
      </c>
      <c r="AF2091" s="122" t="n">
        <v>585</v>
      </c>
      <c r="AG2091" s="122" t="n">
        <v>456</v>
      </c>
      <c r="AH2091" s="122" t="n">
        <v>297</v>
      </c>
      <c r="AI2091" s="54">
        <f>IFERROR(AC2091/S2091,"")</f>
        <v/>
      </c>
      <c r="AJ2091" s="54">
        <f>IFERROR(AH2091/S2091,"")</f>
        <v/>
      </c>
      <c r="AK2091" s="122" t="n">
        <v>26</v>
      </c>
      <c r="AL2091" s="122" t="n">
        <v>0</v>
      </c>
      <c r="AM2091" s="124">
        <f>IFERROR(AL2091/AA2091,"")</f>
        <v/>
      </c>
      <c r="AN2091" s="125">
        <f>IFERROR(R2091/AL2091,"")</f>
        <v/>
      </c>
      <c r="AO2091" s="122" t="n">
        <v>0</v>
      </c>
      <c r="AP2091" s="54">
        <f>IFERROR(AO2091/AL2091,"")</f>
        <v/>
      </c>
      <c r="AQ2091" s="125">
        <f>IFERROR(R2091/AO2091,"")</f>
        <v/>
      </c>
      <c r="AR2091" s="122" t="n">
        <v>0</v>
      </c>
      <c r="AS2091" s="122" t="n">
        <v>0</v>
      </c>
      <c r="AT2091" s="122">
        <f>AL2091+AR2091</f>
        <v/>
      </c>
      <c r="AU2091" s="125">
        <f>IFERROR(AO2091*Assumptions!$C$26*Assumptions!$C$27*INDEX(Assumptions!$C$18:$C$21,MATCH(H2091,Assumptions!$B$18:$B$21,0)),0)</f>
        <v/>
      </c>
    </row>
    <row r="2092">
      <c r="A2092" s="120" t="n">
        <v>46254</v>
      </c>
      <c r="B2092" s="66" t="inlineStr">
        <is>
          <t>Wk 34</t>
        </is>
      </c>
      <c r="C2092" s="66" t="inlineStr">
        <is>
          <t>Thu</t>
        </is>
      </c>
      <c r="D2092" s="66" t="inlineStr">
        <is>
          <t>Programmatic</t>
        </is>
      </c>
      <c r="E2092" s="66" t="inlineStr">
        <is>
          <t>DV360</t>
        </is>
      </c>
      <c r="F2092" s="66" t="inlineStr">
        <is>
          <t>LEP_ZA_AUG26_PROG_TD_VIDEO_OLV</t>
        </is>
      </c>
      <c r="G2092" s="66" t="inlineStr">
        <is>
          <t>Online Video / CTV</t>
        </is>
      </c>
      <c r="H2092" s="66" t="inlineStr">
        <is>
          <t>Range</t>
        </is>
      </c>
      <c r="I2092" s="66" t="inlineStr">
        <is>
          <t>Range Offer</t>
        </is>
      </c>
      <c r="J2092" s="66" t="inlineStr">
        <is>
          <t>PROG_OLV_PREROLL_AUTO</t>
        </is>
      </c>
      <c r="K2092" s="66" t="inlineStr">
        <is>
          <t>Contextual</t>
        </is>
      </c>
      <c r="L2092" s="66" t="inlineStr">
        <is>
          <t>PROG_OLV_15s_PANTERA_v1</t>
        </is>
      </c>
      <c r="M2092" s="66" t="inlineStr">
        <is>
          <t>Video 16:9 Pre-roll</t>
        </is>
      </c>
      <c r="N2092" s="66" t="inlineStr">
        <is>
          <t>PANTERA. Zero deposit.</t>
        </is>
      </c>
      <c r="O2092" s="66" t="inlineStr">
        <is>
          <t>Auction - Fixed CPM</t>
        </is>
      </c>
      <c r="P2092" s="66" t="inlineStr">
        <is>
          <t>Completed Views + CPA</t>
        </is>
      </c>
      <c r="Q2092" s="66" t="inlineStr">
        <is>
          <t>https://www.lepas-sa.co.za/offers</t>
        </is>
      </c>
      <c r="R2092" s="121" t="n">
        <v>114.96</v>
      </c>
      <c r="S2092" s="122" t="n">
        <v>4699</v>
      </c>
      <c r="T2092" s="122" t="n">
        <v>2503</v>
      </c>
      <c r="U2092" s="123">
        <f>IFERROR(S2092/T2092,"")</f>
        <v/>
      </c>
      <c r="V2092" s="122" t="n">
        <v>8</v>
      </c>
      <c r="W2092" s="122" t="n">
        <v>7</v>
      </c>
      <c r="X2092" s="124">
        <f>IFERROR(W2092/S2092,"")</f>
        <v/>
      </c>
      <c r="Y2092" s="121">
        <f>IFERROR(R2092/W2092,"")</f>
        <v/>
      </c>
      <c r="Z2092" s="121">
        <f>IFERROR(R2092/S2092*1000,"")</f>
        <v/>
      </c>
      <c r="AA2092" s="122" t="n">
        <v>5</v>
      </c>
      <c r="AB2092" s="54">
        <f>IFERROR(AA2092/W2092,"")</f>
        <v/>
      </c>
      <c r="AC2092" s="122" t="n">
        <v>1205</v>
      </c>
      <c r="AD2092" s="122" t="n">
        <v>646</v>
      </c>
      <c r="AE2092" s="122" t="n">
        <v>537</v>
      </c>
      <c r="AF2092" s="122" t="n">
        <v>322</v>
      </c>
      <c r="AG2092" s="122" t="n">
        <v>240</v>
      </c>
      <c r="AH2092" s="122" t="n">
        <v>132</v>
      </c>
      <c r="AI2092" s="54">
        <f>IFERROR(AC2092/S2092,"")</f>
        <v/>
      </c>
      <c r="AJ2092" s="54">
        <f>IFERROR(AH2092/S2092,"")</f>
        <v/>
      </c>
      <c r="AK2092" s="122" t="n">
        <v>12</v>
      </c>
      <c r="AL2092" s="122" t="n">
        <v>0</v>
      </c>
      <c r="AM2092" s="124">
        <f>IFERROR(AL2092/AA2092,"")</f>
        <v/>
      </c>
      <c r="AN2092" s="125">
        <f>IFERROR(R2092/AL2092,"")</f>
        <v/>
      </c>
      <c r="AO2092" s="122" t="n">
        <v>0</v>
      </c>
      <c r="AP2092" s="54">
        <f>IFERROR(AO2092/AL2092,"")</f>
        <v/>
      </c>
      <c r="AQ2092" s="125">
        <f>IFERROR(R2092/AO2092,"")</f>
        <v/>
      </c>
      <c r="AR2092" s="122" t="n">
        <v>0</v>
      </c>
      <c r="AS2092" s="122" t="n">
        <v>0</v>
      </c>
      <c r="AT2092" s="122">
        <f>AL2092+AR2092</f>
        <v/>
      </c>
      <c r="AU2092" s="125">
        <f>IFERROR(AO2092*Assumptions!$C$26*Assumptions!$C$27*INDEX(Assumptions!$C$18:$C$21,MATCH(H2092,Assumptions!$B$18:$B$21,0)),0)</f>
        <v/>
      </c>
    </row>
    <row r="2093">
      <c r="A2093" s="120" t="n">
        <v>46255</v>
      </c>
      <c r="B2093" s="66" t="inlineStr">
        <is>
          <t>Wk 34</t>
        </is>
      </c>
      <c r="C2093" s="66" t="inlineStr">
        <is>
          <t>Fri</t>
        </is>
      </c>
      <c r="D2093" s="66" t="inlineStr">
        <is>
          <t>Programmatic</t>
        </is>
      </c>
      <c r="E2093" s="66" t="inlineStr">
        <is>
          <t>DV360</t>
        </is>
      </c>
      <c r="F2093" s="66" t="inlineStr">
        <is>
          <t>LEP_ZA_AUG26_PROG_TD_VIDEO_OLV</t>
        </is>
      </c>
      <c r="G2093" s="66" t="inlineStr">
        <is>
          <t>Online Video / CTV</t>
        </is>
      </c>
      <c r="H2093" s="66" t="inlineStr">
        <is>
          <t>Range</t>
        </is>
      </c>
      <c r="I2093" s="66" t="inlineStr">
        <is>
          <t>Range Offer</t>
        </is>
      </c>
      <c r="J2093" s="66" t="inlineStr">
        <is>
          <t>PROG_OLV_PREROLL_AUTO</t>
        </is>
      </c>
      <c r="K2093" s="66" t="inlineStr">
        <is>
          <t>Contextual</t>
        </is>
      </c>
      <c r="L2093" s="66" t="inlineStr">
        <is>
          <t>PROG_OLV_15s_PANTERA_v1</t>
        </is>
      </c>
      <c r="M2093" s="66" t="inlineStr">
        <is>
          <t>Video 16:9 Pre-roll</t>
        </is>
      </c>
      <c r="N2093" s="66" t="inlineStr">
        <is>
          <t>PANTERA. Zero deposit.</t>
        </is>
      </c>
      <c r="O2093" s="66" t="inlineStr">
        <is>
          <t>Auction - Fixed CPM</t>
        </is>
      </c>
      <c r="P2093" s="66" t="inlineStr">
        <is>
          <t>Completed Views + CPA</t>
        </is>
      </c>
      <c r="Q2093" s="66" t="inlineStr">
        <is>
          <t>https://www.lepas-sa.co.za/offers</t>
        </is>
      </c>
      <c r="R2093" s="121" t="n">
        <v>161.66</v>
      </c>
      <c r="S2093" s="122" t="n">
        <v>8571</v>
      </c>
      <c r="T2093" s="122" t="n">
        <v>3102</v>
      </c>
      <c r="U2093" s="123">
        <f>IFERROR(S2093/T2093,"")</f>
        <v/>
      </c>
      <c r="V2093" s="122" t="n">
        <v>9</v>
      </c>
      <c r="W2093" s="122" t="n">
        <v>8</v>
      </c>
      <c r="X2093" s="124">
        <f>IFERROR(W2093/S2093,"")</f>
        <v/>
      </c>
      <c r="Y2093" s="121">
        <f>IFERROR(R2093/W2093,"")</f>
        <v/>
      </c>
      <c r="Z2093" s="121">
        <f>IFERROR(R2093/S2093*1000,"")</f>
        <v/>
      </c>
      <c r="AA2093" s="122" t="n">
        <v>5</v>
      </c>
      <c r="AB2093" s="54">
        <f>IFERROR(AA2093/W2093,"")</f>
        <v/>
      </c>
      <c r="AC2093" s="122" t="n">
        <v>2734</v>
      </c>
      <c r="AD2093" s="122" t="n">
        <v>1515</v>
      </c>
      <c r="AE2093" s="122" t="n">
        <v>1450</v>
      </c>
      <c r="AF2093" s="122" t="n">
        <v>843</v>
      </c>
      <c r="AG2093" s="122" t="n">
        <v>600</v>
      </c>
      <c r="AH2093" s="122" t="n">
        <v>435</v>
      </c>
      <c r="AI2093" s="54">
        <f>IFERROR(AC2093/S2093,"")</f>
        <v/>
      </c>
      <c r="AJ2093" s="54">
        <f>IFERROR(AH2093/S2093,"")</f>
        <v/>
      </c>
      <c r="AK2093" s="122" t="n">
        <v>17</v>
      </c>
      <c r="AL2093" s="122" t="n">
        <v>0</v>
      </c>
      <c r="AM2093" s="124">
        <f>IFERROR(AL2093/AA2093,"")</f>
        <v/>
      </c>
      <c r="AN2093" s="125">
        <f>IFERROR(R2093/AL2093,"")</f>
        <v/>
      </c>
      <c r="AO2093" s="122" t="n">
        <v>0</v>
      </c>
      <c r="AP2093" s="54">
        <f>IFERROR(AO2093/AL2093,"")</f>
        <v/>
      </c>
      <c r="AQ2093" s="125">
        <f>IFERROR(R2093/AO2093,"")</f>
        <v/>
      </c>
      <c r="AR2093" s="122" t="n">
        <v>0</v>
      </c>
      <c r="AS2093" s="122" t="n">
        <v>0</v>
      </c>
      <c r="AT2093" s="122">
        <f>AL2093+AR2093</f>
        <v/>
      </c>
      <c r="AU2093" s="125">
        <f>IFERROR(AO2093*Assumptions!$C$26*Assumptions!$C$27*INDEX(Assumptions!$C$18:$C$21,MATCH(H2093,Assumptions!$B$18:$B$21,0)),0)</f>
        <v/>
      </c>
    </row>
    <row r="2094">
      <c r="A2094" s="120" t="n">
        <v>46256</v>
      </c>
      <c r="B2094" s="66" t="inlineStr">
        <is>
          <t>Wk 34</t>
        </is>
      </c>
      <c r="C2094" s="66" t="inlineStr">
        <is>
          <t>Sat</t>
        </is>
      </c>
      <c r="D2094" s="66" t="inlineStr">
        <is>
          <t>Programmatic</t>
        </is>
      </c>
      <c r="E2094" s="66" t="inlineStr">
        <is>
          <t>DV360</t>
        </is>
      </c>
      <c r="F2094" s="66" t="inlineStr">
        <is>
          <t>LEP_ZA_AUG26_PROG_TD_VIDEO_OLV</t>
        </is>
      </c>
      <c r="G2094" s="66" t="inlineStr">
        <is>
          <t>Online Video / CTV</t>
        </is>
      </c>
      <c r="H2094" s="66" t="inlineStr">
        <is>
          <t>Range</t>
        </is>
      </c>
      <c r="I2094" s="66" t="inlineStr">
        <is>
          <t>Range Offer</t>
        </is>
      </c>
      <c r="J2094" s="66" t="inlineStr">
        <is>
          <t>PROG_OLV_PREROLL_AUTO</t>
        </is>
      </c>
      <c r="K2094" s="66" t="inlineStr">
        <is>
          <t>Contextual</t>
        </is>
      </c>
      <c r="L2094" s="66" t="inlineStr">
        <is>
          <t>PROG_OLV_15s_PANTERA_v1</t>
        </is>
      </c>
      <c r="M2094" s="66" t="inlineStr">
        <is>
          <t>Video 16:9 Pre-roll</t>
        </is>
      </c>
      <c r="N2094" s="66" t="inlineStr">
        <is>
          <t>PANTERA. Zero deposit.</t>
        </is>
      </c>
      <c r="O2094" s="66" t="inlineStr">
        <is>
          <t>Auction - Fixed CPM</t>
        </is>
      </c>
      <c r="P2094" s="66" t="inlineStr">
        <is>
          <t>Completed Views + CPA</t>
        </is>
      </c>
      <c r="Q2094" s="66" t="inlineStr">
        <is>
          <t>https://www.lepas-sa.co.za/offers</t>
        </is>
      </c>
      <c r="R2094" s="121" t="n">
        <v>136.9</v>
      </c>
      <c r="S2094" s="122" t="n">
        <v>6915</v>
      </c>
      <c r="T2094" s="122" t="n">
        <v>4123</v>
      </c>
      <c r="U2094" s="123">
        <f>IFERROR(S2094/T2094,"")</f>
        <v/>
      </c>
      <c r="V2094" s="122" t="n">
        <v>13</v>
      </c>
      <c r="W2094" s="122" t="n">
        <v>10</v>
      </c>
      <c r="X2094" s="124">
        <f>IFERROR(W2094/S2094,"")</f>
        <v/>
      </c>
      <c r="Y2094" s="121">
        <f>IFERROR(R2094/W2094,"")</f>
        <v/>
      </c>
      <c r="Z2094" s="121">
        <f>IFERROR(R2094/S2094*1000,"")</f>
        <v/>
      </c>
      <c r="AA2094" s="122" t="n">
        <v>6</v>
      </c>
      <c r="AB2094" s="54">
        <f>IFERROR(AA2094/W2094,"")</f>
        <v/>
      </c>
      <c r="AC2094" s="122" t="n">
        <v>1868</v>
      </c>
      <c r="AD2094" s="122" t="n">
        <v>1034</v>
      </c>
      <c r="AE2094" s="122" t="n">
        <v>1013</v>
      </c>
      <c r="AF2094" s="122" t="n">
        <v>629</v>
      </c>
      <c r="AG2094" s="122" t="n">
        <v>414</v>
      </c>
      <c r="AH2094" s="122" t="n">
        <v>237</v>
      </c>
      <c r="AI2094" s="54">
        <f>IFERROR(AC2094/S2094,"")</f>
        <v/>
      </c>
      <c r="AJ2094" s="54">
        <f>IFERROR(AH2094/S2094,"")</f>
        <v/>
      </c>
      <c r="AK2094" s="122" t="n">
        <v>14</v>
      </c>
      <c r="AL2094" s="122" t="n">
        <v>0</v>
      </c>
      <c r="AM2094" s="124">
        <f>IFERROR(AL2094/AA2094,"")</f>
        <v/>
      </c>
      <c r="AN2094" s="125">
        <f>IFERROR(R2094/AL2094,"")</f>
        <v/>
      </c>
      <c r="AO2094" s="122" t="n">
        <v>0</v>
      </c>
      <c r="AP2094" s="54">
        <f>IFERROR(AO2094/AL2094,"")</f>
        <v/>
      </c>
      <c r="AQ2094" s="125">
        <f>IFERROR(R2094/AO2094,"")</f>
        <v/>
      </c>
      <c r="AR2094" s="122" t="n">
        <v>0</v>
      </c>
      <c r="AS2094" s="122" t="n">
        <v>0</v>
      </c>
      <c r="AT2094" s="122">
        <f>AL2094+AR2094</f>
        <v/>
      </c>
      <c r="AU2094" s="125">
        <f>IFERROR(AO2094*Assumptions!$C$26*Assumptions!$C$27*INDEX(Assumptions!$C$18:$C$21,MATCH(H2094,Assumptions!$B$18:$B$21,0)),0)</f>
        <v/>
      </c>
    </row>
    <row r="2095">
      <c r="A2095" s="120" t="n">
        <v>46257</v>
      </c>
      <c r="B2095" s="66" t="inlineStr">
        <is>
          <t>Wk 34</t>
        </is>
      </c>
      <c r="C2095" s="66" t="inlineStr">
        <is>
          <t>Sun</t>
        </is>
      </c>
      <c r="D2095" s="66" t="inlineStr">
        <is>
          <t>Programmatic</t>
        </is>
      </c>
      <c r="E2095" s="66" t="inlineStr">
        <is>
          <t>DV360</t>
        </is>
      </c>
      <c r="F2095" s="66" t="inlineStr">
        <is>
          <t>LEP_ZA_AUG26_PROG_TD_VIDEO_OLV</t>
        </is>
      </c>
      <c r="G2095" s="66" t="inlineStr">
        <is>
          <t>Online Video / CTV</t>
        </is>
      </c>
      <c r="H2095" s="66" t="inlineStr">
        <is>
          <t>Range</t>
        </is>
      </c>
      <c r="I2095" s="66" t="inlineStr">
        <is>
          <t>Range Offer</t>
        </is>
      </c>
      <c r="J2095" s="66" t="inlineStr">
        <is>
          <t>PROG_OLV_PREROLL_AUTO</t>
        </is>
      </c>
      <c r="K2095" s="66" t="inlineStr">
        <is>
          <t>Contextual</t>
        </is>
      </c>
      <c r="L2095" s="66" t="inlineStr">
        <is>
          <t>PROG_OLV_15s_PANTERA_v1</t>
        </is>
      </c>
      <c r="M2095" s="66" t="inlineStr">
        <is>
          <t>Video 16:9 Pre-roll</t>
        </is>
      </c>
      <c r="N2095" s="66" t="inlineStr">
        <is>
          <t>PANTERA. Zero deposit.</t>
        </is>
      </c>
      <c r="O2095" s="66" t="inlineStr">
        <is>
          <t>Auction - Fixed CPM</t>
        </is>
      </c>
      <c r="P2095" s="66" t="inlineStr">
        <is>
          <t>Completed Views + CPA</t>
        </is>
      </c>
      <c r="Q2095" s="66" t="inlineStr">
        <is>
          <t>https://www.lepas-sa.co.za/offers</t>
        </is>
      </c>
      <c r="R2095" s="121" t="n">
        <v>97.75</v>
      </c>
      <c r="S2095" s="122" t="n">
        <v>3219</v>
      </c>
      <c r="T2095" s="122" t="n">
        <v>2005</v>
      </c>
      <c r="U2095" s="123">
        <f>IFERROR(S2095/T2095,"")</f>
        <v/>
      </c>
      <c r="V2095" s="122" t="n">
        <v>9</v>
      </c>
      <c r="W2095" s="122" t="n">
        <v>6</v>
      </c>
      <c r="X2095" s="124">
        <f>IFERROR(W2095/S2095,"")</f>
        <v/>
      </c>
      <c r="Y2095" s="121">
        <f>IFERROR(R2095/W2095,"")</f>
        <v/>
      </c>
      <c r="Z2095" s="121">
        <f>IFERROR(R2095/S2095*1000,"")</f>
        <v/>
      </c>
      <c r="AA2095" s="122" t="n">
        <v>4</v>
      </c>
      <c r="AB2095" s="54">
        <f>IFERROR(AA2095/W2095,"")</f>
        <v/>
      </c>
      <c r="AC2095" s="122" t="n">
        <v>711</v>
      </c>
      <c r="AD2095" s="122" t="n">
        <v>359</v>
      </c>
      <c r="AE2095" s="122" t="n">
        <v>310</v>
      </c>
      <c r="AF2095" s="122" t="n">
        <v>183</v>
      </c>
      <c r="AG2095" s="122" t="n">
        <v>135</v>
      </c>
      <c r="AH2095" s="122" t="n">
        <v>86</v>
      </c>
      <c r="AI2095" s="54">
        <f>IFERROR(AC2095/S2095,"")</f>
        <v/>
      </c>
      <c r="AJ2095" s="54">
        <f>IFERROR(AH2095/S2095,"")</f>
        <v/>
      </c>
      <c r="AK2095" s="122" t="n">
        <v>18</v>
      </c>
      <c r="AL2095" s="122" t="n">
        <v>0</v>
      </c>
      <c r="AM2095" s="124">
        <f>IFERROR(AL2095/AA2095,"")</f>
        <v/>
      </c>
      <c r="AN2095" s="125">
        <f>IFERROR(R2095/AL2095,"")</f>
        <v/>
      </c>
      <c r="AO2095" s="122" t="n">
        <v>0</v>
      </c>
      <c r="AP2095" s="54">
        <f>IFERROR(AO2095/AL2095,"")</f>
        <v/>
      </c>
      <c r="AQ2095" s="125">
        <f>IFERROR(R2095/AO2095,"")</f>
        <v/>
      </c>
      <c r="AR2095" s="122" t="n">
        <v>0</v>
      </c>
      <c r="AS2095" s="122" t="n">
        <v>0</v>
      </c>
      <c r="AT2095" s="122">
        <f>AL2095+AR2095</f>
        <v/>
      </c>
      <c r="AU2095" s="125">
        <f>IFERROR(AO2095*Assumptions!$C$26*Assumptions!$C$27*INDEX(Assumptions!$C$18:$C$21,MATCH(H2095,Assumptions!$B$18:$B$21,0)),0)</f>
        <v/>
      </c>
    </row>
    <row r="2096">
      <c r="A2096" s="120" t="n">
        <v>46258</v>
      </c>
      <c r="B2096" s="66" t="inlineStr">
        <is>
          <t>Wk 35</t>
        </is>
      </c>
      <c r="C2096" s="66" t="inlineStr">
        <is>
          <t>Mon</t>
        </is>
      </c>
      <c r="D2096" s="66" t="inlineStr">
        <is>
          <t>Programmatic</t>
        </is>
      </c>
      <c r="E2096" s="66" t="inlineStr">
        <is>
          <t>DV360</t>
        </is>
      </c>
      <c r="F2096" s="66" t="inlineStr">
        <is>
          <t>LEP_ZA_AUG26_PROG_TD_VIDEO_OLV</t>
        </is>
      </c>
      <c r="G2096" s="66" t="inlineStr">
        <is>
          <t>Online Video / CTV</t>
        </is>
      </c>
      <c r="H2096" s="66" t="inlineStr">
        <is>
          <t>Range</t>
        </is>
      </c>
      <c r="I2096" s="66" t="inlineStr">
        <is>
          <t>Range Offer</t>
        </is>
      </c>
      <c r="J2096" s="66" t="inlineStr">
        <is>
          <t>PROG_OLV_PREROLL_AUTO</t>
        </is>
      </c>
      <c r="K2096" s="66" t="inlineStr">
        <is>
          <t>Contextual</t>
        </is>
      </c>
      <c r="L2096" s="66" t="inlineStr">
        <is>
          <t>PROG_OLV_15s_PANTERA_v1</t>
        </is>
      </c>
      <c r="M2096" s="66" t="inlineStr">
        <is>
          <t>Video 16:9 Pre-roll</t>
        </is>
      </c>
      <c r="N2096" s="66" t="inlineStr">
        <is>
          <t>PANTERA. Zero deposit.</t>
        </is>
      </c>
      <c r="O2096" s="66" t="inlineStr">
        <is>
          <t>Auction - Fixed CPM</t>
        </is>
      </c>
      <c r="P2096" s="66" t="inlineStr">
        <is>
          <t>Completed Views + CPA</t>
        </is>
      </c>
      <c r="Q2096" s="66" t="inlineStr">
        <is>
          <t>https://www.lepas-sa.co.za/offers</t>
        </is>
      </c>
      <c r="R2096" s="121" t="n">
        <v>103.39</v>
      </c>
      <c r="S2096" s="122" t="n">
        <v>3661</v>
      </c>
      <c r="T2096" s="122" t="n">
        <v>1424</v>
      </c>
      <c r="U2096" s="123">
        <f>IFERROR(S2096/T2096,"")</f>
        <v/>
      </c>
      <c r="V2096" s="122" t="n">
        <v>5</v>
      </c>
      <c r="W2096" s="122" t="n">
        <v>4</v>
      </c>
      <c r="X2096" s="124">
        <f>IFERROR(W2096/S2096,"")</f>
        <v/>
      </c>
      <c r="Y2096" s="121">
        <f>IFERROR(R2096/W2096,"")</f>
        <v/>
      </c>
      <c r="Z2096" s="121">
        <f>IFERROR(R2096/S2096*1000,"")</f>
        <v/>
      </c>
      <c r="AA2096" s="122" t="n">
        <v>2</v>
      </c>
      <c r="AB2096" s="54">
        <f>IFERROR(AA2096/W2096,"")</f>
        <v/>
      </c>
      <c r="AC2096" s="122" t="n">
        <v>1076</v>
      </c>
      <c r="AD2096" s="122" t="n">
        <v>643</v>
      </c>
      <c r="AE2096" s="122" t="n">
        <v>523</v>
      </c>
      <c r="AF2096" s="122" t="n">
        <v>293</v>
      </c>
      <c r="AG2096" s="122" t="n">
        <v>214</v>
      </c>
      <c r="AH2096" s="122" t="n">
        <v>149</v>
      </c>
      <c r="AI2096" s="54">
        <f>IFERROR(AC2096/S2096,"")</f>
        <v/>
      </c>
      <c r="AJ2096" s="54">
        <f>IFERROR(AH2096/S2096,"")</f>
        <v/>
      </c>
      <c r="AK2096" s="122" t="n">
        <v>20</v>
      </c>
      <c r="AL2096" s="122" t="n">
        <v>0</v>
      </c>
      <c r="AM2096" s="124">
        <f>IFERROR(AL2096/AA2096,"")</f>
        <v/>
      </c>
      <c r="AN2096" s="125">
        <f>IFERROR(R2096/AL2096,"")</f>
        <v/>
      </c>
      <c r="AO2096" s="122" t="n">
        <v>0</v>
      </c>
      <c r="AP2096" s="54">
        <f>IFERROR(AO2096/AL2096,"")</f>
        <v/>
      </c>
      <c r="AQ2096" s="125">
        <f>IFERROR(R2096/AO2096,"")</f>
        <v/>
      </c>
      <c r="AR2096" s="122" t="n">
        <v>0</v>
      </c>
      <c r="AS2096" s="122" t="n">
        <v>0</v>
      </c>
      <c r="AT2096" s="122">
        <f>AL2096+AR2096</f>
        <v/>
      </c>
      <c r="AU2096" s="125">
        <f>IFERROR(AO2096*Assumptions!$C$26*Assumptions!$C$27*INDEX(Assumptions!$C$18:$C$21,MATCH(H2096,Assumptions!$B$18:$B$21,0)),0)</f>
        <v/>
      </c>
    </row>
    <row r="2097">
      <c r="A2097" s="120" t="n">
        <v>46259</v>
      </c>
      <c r="B2097" s="66" t="inlineStr">
        <is>
          <t>Wk 35</t>
        </is>
      </c>
      <c r="C2097" s="66" t="inlineStr">
        <is>
          <t>Tue</t>
        </is>
      </c>
      <c r="D2097" s="66" t="inlineStr">
        <is>
          <t>Programmatic</t>
        </is>
      </c>
      <c r="E2097" s="66" t="inlineStr">
        <is>
          <t>DV360</t>
        </is>
      </c>
      <c r="F2097" s="66" t="inlineStr">
        <is>
          <t>LEP_ZA_AUG26_PROG_TD_VIDEO_OLV</t>
        </is>
      </c>
      <c r="G2097" s="66" t="inlineStr">
        <is>
          <t>Online Video / CTV</t>
        </is>
      </c>
      <c r="H2097" s="66" t="inlineStr">
        <is>
          <t>Range</t>
        </is>
      </c>
      <c r="I2097" s="66" t="inlineStr">
        <is>
          <t>Range Offer</t>
        </is>
      </c>
      <c r="J2097" s="66" t="inlineStr">
        <is>
          <t>PROG_OLV_PREROLL_AUTO</t>
        </is>
      </c>
      <c r="K2097" s="66" t="inlineStr">
        <is>
          <t>Contextual</t>
        </is>
      </c>
      <c r="L2097" s="66" t="inlineStr">
        <is>
          <t>PROG_OLV_15s_PANTERA_v1</t>
        </is>
      </c>
      <c r="M2097" s="66" t="inlineStr">
        <is>
          <t>Video 16:9 Pre-roll</t>
        </is>
      </c>
      <c r="N2097" s="66" t="inlineStr">
        <is>
          <t>PANTERA. Zero deposit.</t>
        </is>
      </c>
      <c r="O2097" s="66" t="inlineStr">
        <is>
          <t>Auction - Fixed CPM</t>
        </is>
      </c>
      <c r="P2097" s="66" t="inlineStr">
        <is>
          <t>Completed Views + CPA</t>
        </is>
      </c>
      <c r="Q2097" s="66" t="inlineStr">
        <is>
          <t>https://www.lepas-sa.co.za/offers</t>
        </is>
      </c>
      <c r="R2097" s="121" t="n">
        <v>130.75</v>
      </c>
      <c r="S2097" s="122" t="n">
        <v>4928</v>
      </c>
      <c r="T2097" s="122" t="n">
        <v>2569</v>
      </c>
      <c r="U2097" s="123">
        <f>IFERROR(S2097/T2097,"")</f>
        <v/>
      </c>
      <c r="V2097" s="122" t="n">
        <v>10</v>
      </c>
      <c r="W2097" s="122" t="n">
        <v>8</v>
      </c>
      <c r="X2097" s="124">
        <f>IFERROR(W2097/S2097,"")</f>
        <v/>
      </c>
      <c r="Y2097" s="121">
        <f>IFERROR(R2097/W2097,"")</f>
        <v/>
      </c>
      <c r="Z2097" s="121">
        <f>IFERROR(R2097/S2097*1000,"")</f>
        <v/>
      </c>
      <c r="AA2097" s="122" t="n">
        <v>5</v>
      </c>
      <c r="AB2097" s="54">
        <f>IFERROR(AA2097/W2097,"")</f>
        <v/>
      </c>
      <c r="AC2097" s="122" t="n">
        <v>1851</v>
      </c>
      <c r="AD2097" s="122" t="n">
        <v>895</v>
      </c>
      <c r="AE2097" s="122" t="n">
        <v>744</v>
      </c>
      <c r="AF2097" s="122" t="n">
        <v>476</v>
      </c>
      <c r="AG2097" s="122" t="n">
        <v>300</v>
      </c>
      <c r="AH2097" s="122" t="n">
        <v>179</v>
      </c>
      <c r="AI2097" s="54">
        <f>IFERROR(AC2097/S2097,"")</f>
        <v/>
      </c>
      <c r="AJ2097" s="54">
        <f>IFERROR(AH2097/S2097,"")</f>
        <v/>
      </c>
      <c r="AK2097" s="122" t="n">
        <v>29</v>
      </c>
      <c r="AL2097" s="122" t="n">
        <v>0</v>
      </c>
      <c r="AM2097" s="124">
        <f>IFERROR(AL2097/AA2097,"")</f>
        <v/>
      </c>
      <c r="AN2097" s="125">
        <f>IFERROR(R2097/AL2097,"")</f>
        <v/>
      </c>
      <c r="AO2097" s="122" t="n">
        <v>0</v>
      </c>
      <c r="AP2097" s="54">
        <f>IFERROR(AO2097/AL2097,"")</f>
        <v/>
      </c>
      <c r="AQ2097" s="125">
        <f>IFERROR(R2097/AO2097,"")</f>
        <v/>
      </c>
      <c r="AR2097" s="122" t="n">
        <v>0</v>
      </c>
      <c r="AS2097" s="122" t="n">
        <v>0</v>
      </c>
      <c r="AT2097" s="122">
        <f>AL2097+AR2097</f>
        <v/>
      </c>
      <c r="AU2097" s="125">
        <f>IFERROR(AO2097*Assumptions!$C$26*Assumptions!$C$27*INDEX(Assumptions!$C$18:$C$21,MATCH(H2097,Assumptions!$B$18:$B$21,0)),0)</f>
        <v/>
      </c>
    </row>
    <row r="2098">
      <c r="A2098" s="120" t="n">
        <v>46260</v>
      </c>
      <c r="B2098" s="66" t="inlineStr">
        <is>
          <t>Wk 35</t>
        </is>
      </c>
      <c r="C2098" s="66" t="inlineStr">
        <is>
          <t>Wed</t>
        </is>
      </c>
      <c r="D2098" s="66" t="inlineStr">
        <is>
          <t>Programmatic</t>
        </is>
      </c>
      <c r="E2098" s="66" t="inlineStr">
        <is>
          <t>DV360</t>
        </is>
      </c>
      <c r="F2098" s="66" t="inlineStr">
        <is>
          <t>LEP_ZA_AUG26_PROG_TD_VIDEO_OLV</t>
        </is>
      </c>
      <c r="G2098" s="66" t="inlineStr">
        <is>
          <t>Online Video / CTV</t>
        </is>
      </c>
      <c r="H2098" s="66" t="inlineStr">
        <is>
          <t>Range</t>
        </is>
      </c>
      <c r="I2098" s="66" t="inlineStr">
        <is>
          <t>Range Offer</t>
        </is>
      </c>
      <c r="J2098" s="66" t="inlineStr">
        <is>
          <t>PROG_OLV_PREROLL_AUTO</t>
        </is>
      </c>
      <c r="K2098" s="66" t="inlineStr">
        <is>
          <t>Contextual</t>
        </is>
      </c>
      <c r="L2098" s="66" t="inlineStr">
        <is>
          <t>PROG_OLV_15s_PANTERA_v1</t>
        </is>
      </c>
      <c r="M2098" s="66" t="inlineStr">
        <is>
          <t>Video 16:9 Pre-roll</t>
        </is>
      </c>
      <c r="N2098" s="66" t="inlineStr">
        <is>
          <t>PANTERA. Zero deposit.</t>
        </is>
      </c>
      <c r="O2098" s="66" t="inlineStr">
        <is>
          <t>Auction - Fixed CPM</t>
        </is>
      </c>
      <c r="P2098" s="66" t="inlineStr">
        <is>
          <t>Completed Views + CPA</t>
        </is>
      </c>
      <c r="Q2098" s="66" t="inlineStr">
        <is>
          <t>https://www.lepas-sa.co.za/offers</t>
        </is>
      </c>
      <c r="R2098" s="121" t="n">
        <v>124.05</v>
      </c>
      <c r="S2098" s="122" t="n">
        <v>4804</v>
      </c>
      <c r="T2098" s="122" t="n">
        <v>1661</v>
      </c>
      <c r="U2098" s="123">
        <f>IFERROR(S2098/T2098,"")</f>
        <v/>
      </c>
      <c r="V2098" s="122" t="n">
        <v>9</v>
      </c>
      <c r="W2098" s="122" t="n">
        <v>7</v>
      </c>
      <c r="X2098" s="124">
        <f>IFERROR(W2098/S2098,"")</f>
        <v/>
      </c>
      <c r="Y2098" s="121">
        <f>IFERROR(R2098/W2098,"")</f>
        <v/>
      </c>
      <c r="Z2098" s="121">
        <f>IFERROR(R2098/S2098*1000,"")</f>
        <v/>
      </c>
      <c r="AA2098" s="122" t="n">
        <v>5</v>
      </c>
      <c r="AB2098" s="54">
        <f>IFERROR(AA2098/W2098,"")</f>
        <v/>
      </c>
      <c r="AC2098" s="122" t="n">
        <v>1815</v>
      </c>
      <c r="AD2098" s="122" t="n">
        <v>1006</v>
      </c>
      <c r="AE2098" s="122" t="n">
        <v>898</v>
      </c>
      <c r="AF2098" s="122" t="n">
        <v>497</v>
      </c>
      <c r="AG2098" s="122" t="n">
        <v>353</v>
      </c>
      <c r="AH2098" s="122" t="n">
        <v>249</v>
      </c>
      <c r="AI2098" s="54">
        <f>IFERROR(AC2098/S2098,"")</f>
        <v/>
      </c>
      <c r="AJ2098" s="54">
        <f>IFERROR(AH2098/S2098,"")</f>
        <v/>
      </c>
      <c r="AK2098" s="122" t="n">
        <v>26</v>
      </c>
      <c r="AL2098" s="122" t="n">
        <v>0</v>
      </c>
      <c r="AM2098" s="124">
        <f>IFERROR(AL2098/AA2098,"")</f>
        <v/>
      </c>
      <c r="AN2098" s="125">
        <f>IFERROR(R2098/AL2098,"")</f>
        <v/>
      </c>
      <c r="AO2098" s="122" t="n">
        <v>0</v>
      </c>
      <c r="AP2098" s="54">
        <f>IFERROR(AO2098/AL2098,"")</f>
        <v/>
      </c>
      <c r="AQ2098" s="125">
        <f>IFERROR(R2098/AO2098,"")</f>
        <v/>
      </c>
      <c r="AR2098" s="122" t="n">
        <v>0</v>
      </c>
      <c r="AS2098" s="122" t="n">
        <v>0</v>
      </c>
      <c r="AT2098" s="122">
        <f>AL2098+AR2098</f>
        <v/>
      </c>
      <c r="AU2098" s="125">
        <f>IFERROR(AO2098*Assumptions!$C$26*Assumptions!$C$27*INDEX(Assumptions!$C$18:$C$21,MATCH(H2098,Assumptions!$B$18:$B$21,0)),0)</f>
        <v/>
      </c>
    </row>
    <row r="2099">
      <c r="A2099" s="120" t="n">
        <v>46261</v>
      </c>
      <c r="B2099" s="66" t="inlineStr">
        <is>
          <t>Wk 35</t>
        </is>
      </c>
      <c r="C2099" s="66" t="inlineStr">
        <is>
          <t>Thu</t>
        </is>
      </c>
      <c r="D2099" s="66" t="inlineStr">
        <is>
          <t>Programmatic</t>
        </is>
      </c>
      <c r="E2099" s="66" t="inlineStr">
        <is>
          <t>DV360</t>
        </is>
      </c>
      <c r="F2099" s="66" t="inlineStr">
        <is>
          <t>LEP_ZA_AUG26_PROG_TD_VIDEO_OLV</t>
        </is>
      </c>
      <c r="G2099" s="66" t="inlineStr">
        <is>
          <t>Online Video / CTV</t>
        </is>
      </c>
      <c r="H2099" s="66" t="inlineStr">
        <is>
          <t>Range</t>
        </is>
      </c>
      <c r="I2099" s="66" t="inlineStr">
        <is>
          <t>Range Offer</t>
        </is>
      </c>
      <c r="J2099" s="66" t="inlineStr">
        <is>
          <t>PROG_OLV_PREROLL_AUTO</t>
        </is>
      </c>
      <c r="K2099" s="66" t="inlineStr">
        <is>
          <t>Contextual</t>
        </is>
      </c>
      <c r="L2099" s="66" t="inlineStr">
        <is>
          <t>PROG_OLV_15s_PANTERA_v1</t>
        </is>
      </c>
      <c r="M2099" s="66" t="inlineStr">
        <is>
          <t>Video 16:9 Pre-roll</t>
        </is>
      </c>
      <c r="N2099" s="66" t="inlineStr">
        <is>
          <t>PANTERA. Zero deposit.</t>
        </is>
      </c>
      <c r="O2099" s="66" t="inlineStr">
        <is>
          <t>Auction - Fixed CPM</t>
        </is>
      </c>
      <c r="P2099" s="66" t="inlineStr">
        <is>
          <t>Completed Views + CPA</t>
        </is>
      </c>
      <c r="Q2099" s="66" t="inlineStr">
        <is>
          <t>https://www.lepas-sa.co.za/offers</t>
        </is>
      </c>
      <c r="R2099" s="121" t="n">
        <v>158.17</v>
      </c>
      <c r="S2099" s="122" t="n">
        <v>6044</v>
      </c>
      <c r="T2099" s="122" t="n">
        <v>3331</v>
      </c>
      <c r="U2099" s="123">
        <f>IFERROR(S2099/T2099,"")</f>
        <v/>
      </c>
      <c r="V2099" s="122" t="n">
        <v>14</v>
      </c>
      <c r="W2099" s="122" t="n">
        <v>10</v>
      </c>
      <c r="X2099" s="124">
        <f>IFERROR(W2099/S2099,"")</f>
        <v/>
      </c>
      <c r="Y2099" s="121">
        <f>IFERROR(R2099/W2099,"")</f>
        <v/>
      </c>
      <c r="Z2099" s="121">
        <f>IFERROR(R2099/S2099*1000,"")</f>
        <v/>
      </c>
      <c r="AA2099" s="122" t="n">
        <v>7</v>
      </c>
      <c r="AB2099" s="54">
        <f>IFERROR(AA2099/W2099,"")</f>
        <v/>
      </c>
      <c r="AC2099" s="122" t="n">
        <v>2315</v>
      </c>
      <c r="AD2099" s="122" t="n">
        <v>1418</v>
      </c>
      <c r="AE2099" s="122" t="n">
        <v>969</v>
      </c>
      <c r="AF2099" s="122" t="n">
        <v>616</v>
      </c>
      <c r="AG2099" s="122" t="n">
        <v>477</v>
      </c>
      <c r="AH2099" s="122" t="n">
        <v>340</v>
      </c>
      <c r="AI2099" s="54">
        <f>IFERROR(AC2099/S2099,"")</f>
        <v/>
      </c>
      <c r="AJ2099" s="54">
        <f>IFERROR(AH2099/S2099,"")</f>
        <v/>
      </c>
      <c r="AK2099" s="122" t="n">
        <v>36</v>
      </c>
      <c r="AL2099" s="122" t="n">
        <v>0</v>
      </c>
      <c r="AM2099" s="124">
        <f>IFERROR(AL2099/AA2099,"")</f>
        <v/>
      </c>
      <c r="AN2099" s="125">
        <f>IFERROR(R2099/AL2099,"")</f>
        <v/>
      </c>
      <c r="AO2099" s="122" t="n">
        <v>0</v>
      </c>
      <c r="AP2099" s="54">
        <f>IFERROR(AO2099/AL2099,"")</f>
        <v/>
      </c>
      <c r="AQ2099" s="125">
        <f>IFERROR(R2099/AO2099,"")</f>
        <v/>
      </c>
      <c r="AR2099" s="122" t="n">
        <v>0</v>
      </c>
      <c r="AS2099" s="122" t="n">
        <v>0</v>
      </c>
      <c r="AT2099" s="122">
        <f>AL2099+AR2099</f>
        <v/>
      </c>
      <c r="AU2099" s="125">
        <f>IFERROR(AO2099*Assumptions!$C$26*Assumptions!$C$27*INDEX(Assumptions!$C$18:$C$21,MATCH(H2099,Assumptions!$B$18:$B$21,0)),0)</f>
        <v/>
      </c>
    </row>
    <row r="2100">
      <c r="A2100" s="120" t="n">
        <v>46262</v>
      </c>
      <c r="B2100" s="66" t="inlineStr">
        <is>
          <t>Wk 35</t>
        </is>
      </c>
      <c r="C2100" s="66" t="inlineStr">
        <is>
          <t>Fri</t>
        </is>
      </c>
      <c r="D2100" s="66" t="inlineStr">
        <is>
          <t>Programmatic</t>
        </is>
      </c>
      <c r="E2100" s="66" t="inlineStr">
        <is>
          <t>DV360</t>
        </is>
      </c>
      <c r="F2100" s="66" t="inlineStr">
        <is>
          <t>LEP_ZA_AUG26_PROG_TD_VIDEO_OLV</t>
        </is>
      </c>
      <c r="G2100" s="66" t="inlineStr">
        <is>
          <t>Online Video / CTV</t>
        </is>
      </c>
      <c r="H2100" s="66" t="inlineStr">
        <is>
          <t>Range</t>
        </is>
      </c>
      <c r="I2100" s="66" t="inlineStr">
        <is>
          <t>Range Offer</t>
        </is>
      </c>
      <c r="J2100" s="66" t="inlineStr">
        <is>
          <t>PROG_OLV_PREROLL_AUTO</t>
        </is>
      </c>
      <c r="K2100" s="66" t="inlineStr">
        <is>
          <t>Contextual</t>
        </is>
      </c>
      <c r="L2100" s="66" t="inlineStr">
        <is>
          <t>PROG_OLV_15s_PANTERA_v1</t>
        </is>
      </c>
      <c r="M2100" s="66" t="inlineStr">
        <is>
          <t>Video 16:9 Pre-roll</t>
        </is>
      </c>
      <c r="N2100" s="66" t="inlineStr">
        <is>
          <t>PANTERA. Zero deposit.</t>
        </is>
      </c>
      <c r="O2100" s="66" t="inlineStr">
        <is>
          <t>Auction - Fixed CPM</t>
        </is>
      </c>
      <c r="P2100" s="66" t="inlineStr">
        <is>
          <t>Completed Views + CPA</t>
        </is>
      </c>
      <c r="Q2100" s="66" t="inlineStr">
        <is>
          <t>https://www.lepas-sa.co.za/offers</t>
        </is>
      </c>
      <c r="R2100" s="121" t="n">
        <v>148.88</v>
      </c>
      <c r="S2100" s="122" t="n">
        <v>5879</v>
      </c>
      <c r="T2100" s="122" t="n">
        <v>2542</v>
      </c>
      <c r="U2100" s="123">
        <f>IFERROR(S2100/T2100,"")</f>
        <v/>
      </c>
      <c r="V2100" s="122" t="n">
        <v>16</v>
      </c>
      <c r="W2100" s="122" t="n">
        <v>12</v>
      </c>
      <c r="X2100" s="124">
        <f>IFERROR(W2100/S2100,"")</f>
        <v/>
      </c>
      <c r="Y2100" s="121">
        <f>IFERROR(R2100/W2100,"")</f>
        <v/>
      </c>
      <c r="Z2100" s="121">
        <f>IFERROR(R2100/S2100*1000,"")</f>
        <v/>
      </c>
      <c r="AA2100" s="122" t="n">
        <v>7</v>
      </c>
      <c r="AB2100" s="54">
        <f>IFERROR(AA2100/W2100,"")</f>
        <v/>
      </c>
      <c r="AC2100" s="122" t="n">
        <v>1435</v>
      </c>
      <c r="AD2100" s="122" t="n">
        <v>803</v>
      </c>
      <c r="AE2100" s="122" t="n">
        <v>567</v>
      </c>
      <c r="AF2100" s="122" t="n">
        <v>304</v>
      </c>
      <c r="AG2100" s="122" t="n">
        <v>203</v>
      </c>
      <c r="AH2100" s="122" t="n">
        <v>128</v>
      </c>
      <c r="AI2100" s="54">
        <f>IFERROR(AC2100/S2100,"")</f>
        <v/>
      </c>
      <c r="AJ2100" s="54">
        <f>IFERROR(AH2100/S2100,"")</f>
        <v/>
      </c>
      <c r="AK2100" s="122" t="n">
        <v>17</v>
      </c>
      <c r="AL2100" s="122" t="n">
        <v>0</v>
      </c>
      <c r="AM2100" s="124">
        <f>IFERROR(AL2100/AA2100,"")</f>
        <v/>
      </c>
      <c r="AN2100" s="125">
        <f>IFERROR(R2100/AL2100,"")</f>
        <v/>
      </c>
      <c r="AO2100" s="122" t="n">
        <v>0</v>
      </c>
      <c r="AP2100" s="54">
        <f>IFERROR(AO2100/AL2100,"")</f>
        <v/>
      </c>
      <c r="AQ2100" s="125">
        <f>IFERROR(R2100/AO2100,"")</f>
        <v/>
      </c>
      <c r="AR2100" s="122" t="n">
        <v>0</v>
      </c>
      <c r="AS2100" s="122" t="n">
        <v>0</v>
      </c>
      <c r="AT2100" s="122">
        <f>AL2100+AR2100</f>
        <v/>
      </c>
      <c r="AU2100" s="125">
        <f>IFERROR(AO2100*Assumptions!$C$26*Assumptions!$C$27*INDEX(Assumptions!$C$18:$C$21,MATCH(H2100,Assumptions!$B$18:$B$21,0)),0)</f>
        <v/>
      </c>
    </row>
    <row r="2101">
      <c r="A2101" s="120" t="n">
        <v>46263</v>
      </c>
      <c r="B2101" s="66" t="inlineStr">
        <is>
          <t>Wk 35</t>
        </is>
      </c>
      <c r="C2101" s="66" t="inlineStr">
        <is>
          <t>Sat</t>
        </is>
      </c>
      <c r="D2101" s="66" t="inlineStr">
        <is>
          <t>Programmatic</t>
        </is>
      </c>
      <c r="E2101" s="66" t="inlineStr">
        <is>
          <t>DV360</t>
        </is>
      </c>
      <c r="F2101" s="66" t="inlineStr">
        <is>
          <t>LEP_ZA_AUG26_PROG_TD_VIDEO_OLV</t>
        </is>
      </c>
      <c r="G2101" s="66" t="inlineStr">
        <is>
          <t>Online Video / CTV</t>
        </is>
      </c>
      <c r="H2101" s="66" t="inlineStr">
        <is>
          <t>Range</t>
        </is>
      </c>
      <c r="I2101" s="66" t="inlineStr">
        <is>
          <t>Range Offer</t>
        </is>
      </c>
      <c r="J2101" s="66" t="inlineStr">
        <is>
          <t>PROG_OLV_PREROLL_AUTO</t>
        </is>
      </c>
      <c r="K2101" s="66" t="inlineStr">
        <is>
          <t>Contextual</t>
        </is>
      </c>
      <c r="L2101" s="66" t="inlineStr">
        <is>
          <t>PROG_OLV_15s_PANTERA_v1</t>
        </is>
      </c>
      <c r="M2101" s="66" t="inlineStr">
        <is>
          <t>Video 16:9 Pre-roll</t>
        </is>
      </c>
      <c r="N2101" s="66" t="inlineStr">
        <is>
          <t>PANTERA. Zero deposit.</t>
        </is>
      </c>
      <c r="O2101" s="66" t="inlineStr">
        <is>
          <t>Auction - Fixed CPM</t>
        </is>
      </c>
      <c r="P2101" s="66" t="inlineStr">
        <is>
          <t>Completed Views + CPA</t>
        </is>
      </c>
      <c r="Q2101" s="66" t="inlineStr">
        <is>
          <t>https://www.lepas-sa.co.za/offers</t>
        </is>
      </c>
      <c r="R2101" s="121" t="n">
        <v>179.02</v>
      </c>
      <c r="S2101" s="122" t="n">
        <v>11562</v>
      </c>
      <c r="T2101" s="122" t="n">
        <v>4294</v>
      </c>
      <c r="U2101" s="123">
        <f>IFERROR(S2101/T2101,"")</f>
        <v/>
      </c>
      <c r="V2101" s="122" t="n">
        <v>13</v>
      </c>
      <c r="W2101" s="122" t="n">
        <v>10</v>
      </c>
      <c r="X2101" s="124">
        <f>IFERROR(W2101/S2101,"")</f>
        <v/>
      </c>
      <c r="Y2101" s="121">
        <f>IFERROR(R2101/W2101,"")</f>
        <v/>
      </c>
      <c r="Z2101" s="121">
        <f>IFERROR(R2101/S2101*1000,"")</f>
        <v/>
      </c>
      <c r="AA2101" s="122" t="n">
        <v>7</v>
      </c>
      <c r="AB2101" s="54">
        <f>IFERROR(AA2101/W2101,"")</f>
        <v/>
      </c>
      <c r="AC2101" s="122" t="n">
        <v>4614</v>
      </c>
      <c r="AD2101" s="122" t="n">
        <v>2391</v>
      </c>
      <c r="AE2101" s="122" t="n">
        <v>2148</v>
      </c>
      <c r="AF2101" s="122" t="n">
        <v>1237</v>
      </c>
      <c r="AG2101" s="122" t="n">
        <v>809</v>
      </c>
      <c r="AH2101" s="122" t="n">
        <v>596</v>
      </c>
      <c r="AI2101" s="54">
        <f>IFERROR(AC2101/S2101,"")</f>
        <v/>
      </c>
      <c r="AJ2101" s="54">
        <f>IFERROR(AH2101/S2101,"")</f>
        <v/>
      </c>
      <c r="AK2101" s="122" t="n">
        <v>61</v>
      </c>
      <c r="AL2101" s="122" t="n">
        <v>0</v>
      </c>
      <c r="AM2101" s="124">
        <f>IFERROR(AL2101/AA2101,"")</f>
        <v/>
      </c>
      <c r="AN2101" s="125">
        <f>IFERROR(R2101/AL2101,"")</f>
        <v/>
      </c>
      <c r="AO2101" s="122" t="n">
        <v>0</v>
      </c>
      <c r="AP2101" s="54">
        <f>IFERROR(AO2101/AL2101,"")</f>
        <v/>
      </c>
      <c r="AQ2101" s="125">
        <f>IFERROR(R2101/AO2101,"")</f>
        <v/>
      </c>
      <c r="AR2101" s="122" t="n">
        <v>0</v>
      </c>
      <c r="AS2101" s="122" t="n">
        <v>0</v>
      </c>
      <c r="AT2101" s="122">
        <f>AL2101+AR2101</f>
        <v/>
      </c>
      <c r="AU2101" s="125">
        <f>IFERROR(AO2101*Assumptions!$C$26*Assumptions!$C$27*INDEX(Assumptions!$C$18:$C$21,MATCH(H2101,Assumptions!$B$18:$B$21,0)),0)</f>
        <v/>
      </c>
    </row>
    <row r="2102">
      <c r="A2102" s="120" t="n">
        <v>46264</v>
      </c>
      <c r="B2102" s="66" t="inlineStr">
        <is>
          <t>Wk 35</t>
        </is>
      </c>
      <c r="C2102" s="66" t="inlineStr">
        <is>
          <t>Sun</t>
        </is>
      </c>
      <c r="D2102" s="66" t="inlineStr">
        <is>
          <t>Programmatic</t>
        </is>
      </c>
      <c r="E2102" s="66" t="inlineStr">
        <is>
          <t>DV360</t>
        </is>
      </c>
      <c r="F2102" s="66" t="inlineStr">
        <is>
          <t>LEP_ZA_AUG26_PROG_TD_VIDEO_OLV</t>
        </is>
      </c>
      <c r="G2102" s="66" t="inlineStr">
        <is>
          <t>Online Video / CTV</t>
        </is>
      </c>
      <c r="H2102" s="66" t="inlineStr">
        <is>
          <t>Range</t>
        </is>
      </c>
      <c r="I2102" s="66" t="inlineStr">
        <is>
          <t>Range Offer</t>
        </is>
      </c>
      <c r="J2102" s="66" t="inlineStr">
        <is>
          <t>PROG_OLV_PREROLL_AUTO</t>
        </is>
      </c>
      <c r="K2102" s="66" t="inlineStr">
        <is>
          <t>Contextual</t>
        </is>
      </c>
      <c r="L2102" s="66" t="inlineStr">
        <is>
          <t>PROG_OLV_15s_PANTERA_v1</t>
        </is>
      </c>
      <c r="M2102" s="66" t="inlineStr">
        <is>
          <t>Video 16:9 Pre-roll</t>
        </is>
      </c>
      <c r="N2102" s="66" t="inlineStr">
        <is>
          <t>PANTERA. Zero deposit.</t>
        </is>
      </c>
      <c r="O2102" s="66" t="inlineStr">
        <is>
          <t>Auction - Fixed CPM</t>
        </is>
      </c>
      <c r="P2102" s="66" t="inlineStr">
        <is>
          <t>Completed Views + CPA</t>
        </is>
      </c>
      <c r="Q2102" s="66" t="inlineStr">
        <is>
          <t>https://www.lepas-sa.co.za/offers</t>
        </is>
      </c>
      <c r="R2102" s="121" t="n">
        <v>115</v>
      </c>
      <c r="S2102" s="122" t="n">
        <v>5075</v>
      </c>
      <c r="T2102" s="122" t="n">
        <v>2632</v>
      </c>
      <c r="U2102" s="123">
        <f>IFERROR(S2102/T2102,"")</f>
        <v/>
      </c>
      <c r="V2102" s="122" t="n">
        <v>9</v>
      </c>
      <c r="W2102" s="122" t="n">
        <v>7</v>
      </c>
      <c r="X2102" s="124">
        <f>IFERROR(W2102/S2102,"")</f>
        <v/>
      </c>
      <c r="Y2102" s="121">
        <f>IFERROR(R2102/W2102,"")</f>
        <v/>
      </c>
      <c r="Z2102" s="121">
        <f>IFERROR(R2102/S2102*1000,"")</f>
        <v/>
      </c>
      <c r="AA2102" s="122" t="n">
        <v>4</v>
      </c>
      <c r="AB2102" s="54">
        <f>IFERROR(AA2102/W2102,"")</f>
        <v/>
      </c>
      <c r="AC2102" s="122" t="n">
        <v>1791</v>
      </c>
      <c r="AD2102" s="122" t="n">
        <v>866</v>
      </c>
      <c r="AE2102" s="122" t="n">
        <v>854</v>
      </c>
      <c r="AF2102" s="122" t="n">
        <v>596</v>
      </c>
      <c r="AG2102" s="122" t="n">
        <v>466</v>
      </c>
      <c r="AH2102" s="122" t="n">
        <v>310</v>
      </c>
      <c r="AI2102" s="54">
        <f>IFERROR(AC2102/S2102,"")</f>
        <v/>
      </c>
      <c r="AJ2102" s="54">
        <f>IFERROR(AH2102/S2102,"")</f>
        <v/>
      </c>
      <c r="AK2102" s="122" t="n">
        <v>10</v>
      </c>
      <c r="AL2102" s="122" t="n">
        <v>0</v>
      </c>
      <c r="AM2102" s="124">
        <f>IFERROR(AL2102/AA2102,"")</f>
        <v/>
      </c>
      <c r="AN2102" s="125">
        <f>IFERROR(R2102/AL2102,"")</f>
        <v/>
      </c>
      <c r="AO2102" s="122" t="n">
        <v>0</v>
      </c>
      <c r="AP2102" s="54">
        <f>IFERROR(AO2102/AL2102,"")</f>
        <v/>
      </c>
      <c r="AQ2102" s="125">
        <f>IFERROR(R2102/AO2102,"")</f>
        <v/>
      </c>
      <c r="AR2102" s="122" t="n">
        <v>0</v>
      </c>
      <c r="AS2102" s="122" t="n">
        <v>0</v>
      </c>
      <c r="AT2102" s="122">
        <f>AL2102+AR2102</f>
        <v/>
      </c>
      <c r="AU2102" s="125">
        <f>IFERROR(AO2102*Assumptions!$C$26*Assumptions!$C$27*INDEX(Assumptions!$C$18:$C$21,MATCH(H2102,Assumptions!$B$18:$B$21,0)),0)</f>
        <v/>
      </c>
    </row>
    <row r="2103">
      <c r="A2103" s="120" t="n">
        <v>46265</v>
      </c>
      <c r="B2103" s="66" t="inlineStr">
        <is>
          <t>Wk 36</t>
        </is>
      </c>
      <c r="C2103" s="66" t="inlineStr">
        <is>
          <t>Mon</t>
        </is>
      </c>
      <c r="D2103" s="66" t="inlineStr">
        <is>
          <t>Programmatic</t>
        </is>
      </c>
      <c r="E2103" s="66" t="inlineStr">
        <is>
          <t>DV360</t>
        </is>
      </c>
      <c r="F2103" s="66" t="inlineStr">
        <is>
          <t>LEP_ZA_AUG26_PROG_TD_VIDEO_OLV</t>
        </is>
      </c>
      <c r="G2103" s="66" t="inlineStr">
        <is>
          <t>Online Video / CTV</t>
        </is>
      </c>
      <c r="H2103" s="66" t="inlineStr">
        <is>
          <t>Range</t>
        </is>
      </c>
      <c r="I2103" s="66" t="inlineStr">
        <is>
          <t>Range Offer</t>
        </is>
      </c>
      <c r="J2103" s="66" t="inlineStr">
        <is>
          <t>PROG_OLV_PREROLL_AUTO</t>
        </is>
      </c>
      <c r="K2103" s="66" t="inlineStr">
        <is>
          <t>Contextual</t>
        </is>
      </c>
      <c r="L2103" s="66" t="inlineStr">
        <is>
          <t>PROG_OLV_15s_PANTERA_v1</t>
        </is>
      </c>
      <c r="M2103" s="66" t="inlineStr">
        <is>
          <t>Video 16:9 Pre-roll</t>
        </is>
      </c>
      <c r="N2103" s="66" t="inlineStr">
        <is>
          <t>PANTERA. Zero deposit.</t>
        </is>
      </c>
      <c r="O2103" s="66" t="inlineStr">
        <is>
          <t>Auction - Fixed CPM</t>
        </is>
      </c>
      <c r="P2103" s="66" t="inlineStr">
        <is>
          <t>Completed Views + CPA</t>
        </is>
      </c>
      <c r="Q2103" s="66" t="inlineStr">
        <is>
          <t>https://www.lepas-sa.co.za/offers</t>
        </is>
      </c>
      <c r="R2103" s="121" t="n">
        <v>112.81</v>
      </c>
      <c r="S2103" s="122" t="n">
        <v>5406</v>
      </c>
      <c r="T2103" s="122" t="n">
        <v>3104</v>
      </c>
      <c r="U2103" s="123">
        <f>IFERROR(S2103/T2103,"")</f>
        <v/>
      </c>
      <c r="V2103" s="122" t="n">
        <v>4</v>
      </c>
      <c r="W2103" s="122" t="n">
        <v>3</v>
      </c>
      <c r="X2103" s="124">
        <f>IFERROR(W2103/S2103,"")</f>
        <v/>
      </c>
      <c r="Y2103" s="121">
        <f>IFERROR(R2103/W2103,"")</f>
        <v/>
      </c>
      <c r="Z2103" s="121">
        <f>IFERROR(R2103/S2103*1000,"")</f>
        <v/>
      </c>
      <c r="AA2103" s="122" t="n">
        <v>2</v>
      </c>
      <c r="AB2103" s="54">
        <f>IFERROR(AA2103/W2103,"")</f>
        <v/>
      </c>
      <c r="AC2103" s="122" t="n">
        <v>1772</v>
      </c>
      <c r="AD2103" s="122" t="n">
        <v>860</v>
      </c>
      <c r="AE2103" s="122" t="n">
        <v>961</v>
      </c>
      <c r="AF2103" s="122" t="n">
        <v>609</v>
      </c>
      <c r="AG2103" s="122" t="n">
        <v>404</v>
      </c>
      <c r="AH2103" s="122" t="n">
        <v>227</v>
      </c>
      <c r="AI2103" s="54">
        <f>IFERROR(AC2103/S2103,"")</f>
        <v/>
      </c>
      <c r="AJ2103" s="54">
        <f>IFERROR(AH2103/S2103,"")</f>
        <v/>
      </c>
      <c r="AK2103" s="122" t="n">
        <v>20</v>
      </c>
      <c r="AL2103" s="122" t="n">
        <v>0</v>
      </c>
      <c r="AM2103" s="124">
        <f>IFERROR(AL2103/AA2103,"")</f>
        <v/>
      </c>
      <c r="AN2103" s="125">
        <f>IFERROR(R2103/AL2103,"")</f>
        <v/>
      </c>
      <c r="AO2103" s="122" t="n">
        <v>0</v>
      </c>
      <c r="AP2103" s="54">
        <f>IFERROR(AO2103/AL2103,"")</f>
        <v/>
      </c>
      <c r="AQ2103" s="125">
        <f>IFERROR(R2103/AO2103,"")</f>
        <v/>
      </c>
      <c r="AR2103" s="122" t="n">
        <v>0</v>
      </c>
      <c r="AS2103" s="122" t="n">
        <v>0</v>
      </c>
      <c r="AT2103" s="122">
        <f>AL2103+AR2103</f>
        <v/>
      </c>
      <c r="AU2103" s="125">
        <f>IFERROR(AO2103*Assumptions!$C$26*Assumptions!$C$27*INDEX(Assumptions!$C$18:$C$21,MATCH(H2103,Assumptions!$B$18:$B$21,0)),0)</f>
        <v/>
      </c>
    </row>
    <row r="2104">
      <c r="A2104" s="120" t="n">
        <v>46235</v>
      </c>
      <c r="B2104" s="66" t="inlineStr">
        <is>
          <t>Wk 31</t>
        </is>
      </c>
      <c r="C2104" s="66" t="inlineStr">
        <is>
          <t>Sat</t>
        </is>
      </c>
      <c r="D2104" s="66" t="inlineStr">
        <is>
          <t>Programmatic</t>
        </is>
      </c>
      <c r="E2104" s="66" t="inlineStr">
        <is>
          <t>DV360</t>
        </is>
      </c>
      <c r="F2104" s="66" t="inlineStr">
        <is>
          <t>LEP_ZA_AUG26_PROG_TD_VIDEO_OLV</t>
        </is>
      </c>
      <c r="G2104" s="66" t="inlineStr">
        <is>
          <t>Online Video / CTV</t>
        </is>
      </c>
      <c r="H2104" s="66" t="inlineStr">
        <is>
          <t>Range</t>
        </is>
      </c>
      <c r="I2104" s="66" t="inlineStr">
        <is>
          <t>Range Offer</t>
        </is>
      </c>
      <c r="J2104" s="66" t="inlineStr">
        <is>
          <t>PROG_CTV_HOUSEHOLD</t>
        </is>
      </c>
      <c r="K2104" s="66" t="inlineStr">
        <is>
          <t>Prospecting</t>
        </is>
      </c>
      <c r="L2104" s="66" t="inlineStr">
        <is>
          <t>PROG_CTV_30s_BrandFilm_v1</t>
        </is>
      </c>
      <c r="M2104" s="66" t="inlineStr">
        <is>
          <t>CTV 30s</t>
        </is>
      </c>
      <c r="N2104" s="66" t="inlineStr">
        <is>
          <t>The Lepas range has landed in SA</t>
        </is>
      </c>
      <c r="O2104" s="66" t="inlineStr">
        <is>
          <t>Auction - Fixed CPM</t>
        </is>
      </c>
      <c r="P2104" s="66" t="inlineStr">
        <is>
          <t>Completed Views + CPA</t>
        </is>
      </c>
      <c r="Q2104" s="66" t="inlineStr">
        <is>
          <t>https://www.lepas-sa.co.za/offers</t>
        </is>
      </c>
      <c r="R2104" s="121" t="n">
        <v>179.8</v>
      </c>
      <c r="S2104" s="122" t="n">
        <v>5700</v>
      </c>
      <c r="T2104" s="122" t="n">
        <v>4510</v>
      </c>
      <c r="U2104" s="123">
        <f>IFERROR(S2104/T2104,"")</f>
        <v/>
      </c>
      <c r="V2104" s="122" t="n">
        <v>28</v>
      </c>
      <c r="W2104" s="122" t="n">
        <v>20</v>
      </c>
      <c r="X2104" s="124">
        <f>IFERROR(W2104/S2104,"")</f>
        <v/>
      </c>
      <c r="Y2104" s="121">
        <f>IFERROR(R2104/W2104,"")</f>
        <v/>
      </c>
      <c r="Z2104" s="121">
        <f>IFERROR(R2104/S2104*1000,"")</f>
        <v/>
      </c>
      <c r="AA2104" s="122" t="n">
        <v>14</v>
      </c>
      <c r="AB2104" s="54">
        <f>IFERROR(AA2104/W2104,"")</f>
        <v/>
      </c>
      <c r="AC2104" s="122" t="n">
        <v>1484</v>
      </c>
      <c r="AD2104" s="122" t="n">
        <v>779</v>
      </c>
      <c r="AE2104" s="122" t="n">
        <v>697</v>
      </c>
      <c r="AF2104" s="122" t="n">
        <v>440</v>
      </c>
      <c r="AG2104" s="122" t="n">
        <v>335</v>
      </c>
      <c r="AH2104" s="122" t="n">
        <v>312</v>
      </c>
      <c r="AI2104" s="54">
        <f>IFERROR(AC2104/S2104,"")</f>
        <v/>
      </c>
      <c r="AJ2104" s="54">
        <f>IFERROR(AH2104/S2104,"")</f>
        <v/>
      </c>
      <c r="AK2104" s="122" t="n">
        <v>26</v>
      </c>
      <c r="AL2104" s="122" t="n">
        <v>0</v>
      </c>
      <c r="AM2104" s="124">
        <f>IFERROR(AL2104/AA2104,"")</f>
        <v/>
      </c>
      <c r="AN2104" s="125">
        <f>IFERROR(R2104/AL2104,"")</f>
        <v/>
      </c>
      <c r="AO2104" s="122" t="n">
        <v>0</v>
      </c>
      <c r="AP2104" s="54">
        <f>IFERROR(AO2104/AL2104,"")</f>
        <v/>
      </c>
      <c r="AQ2104" s="125">
        <f>IFERROR(R2104/AO2104,"")</f>
        <v/>
      </c>
      <c r="AR2104" s="122" t="n">
        <v>0</v>
      </c>
      <c r="AS2104" s="122" t="n">
        <v>0</v>
      </c>
      <c r="AT2104" s="122">
        <f>AL2104+AR2104</f>
        <v/>
      </c>
      <c r="AU2104" s="125">
        <f>IFERROR(AO2104*Assumptions!$C$26*Assumptions!$C$27*INDEX(Assumptions!$C$18:$C$21,MATCH(H2104,Assumptions!$B$18:$B$21,0)),0)</f>
        <v/>
      </c>
    </row>
    <row r="2105">
      <c r="A2105" s="120" t="n">
        <v>46236</v>
      </c>
      <c r="B2105" s="66" t="inlineStr">
        <is>
          <t>Wk 31</t>
        </is>
      </c>
      <c r="C2105" s="66" t="inlineStr">
        <is>
          <t>Sun</t>
        </is>
      </c>
      <c r="D2105" s="66" t="inlineStr">
        <is>
          <t>Programmatic</t>
        </is>
      </c>
      <c r="E2105" s="66" t="inlineStr">
        <is>
          <t>DV360</t>
        </is>
      </c>
      <c r="F2105" s="66" t="inlineStr">
        <is>
          <t>LEP_ZA_AUG26_PROG_TD_VIDEO_OLV</t>
        </is>
      </c>
      <c r="G2105" s="66" t="inlineStr">
        <is>
          <t>Online Video / CTV</t>
        </is>
      </c>
      <c r="H2105" s="66" t="inlineStr">
        <is>
          <t>Range</t>
        </is>
      </c>
      <c r="I2105" s="66" t="inlineStr">
        <is>
          <t>Range Offer</t>
        </is>
      </c>
      <c r="J2105" s="66" t="inlineStr">
        <is>
          <t>PROG_CTV_HOUSEHOLD</t>
        </is>
      </c>
      <c r="K2105" s="66" t="inlineStr">
        <is>
          <t>Prospecting</t>
        </is>
      </c>
      <c r="L2105" s="66" t="inlineStr">
        <is>
          <t>PROG_CTV_30s_BrandFilm_v1</t>
        </is>
      </c>
      <c r="M2105" s="66" t="inlineStr">
        <is>
          <t>CTV 30s</t>
        </is>
      </c>
      <c r="N2105" s="66" t="inlineStr">
        <is>
          <t>The Lepas range has landed in SA</t>
        </is>
      </c>
      <c r="O2105" s="66" t="inlineStr">
        <is>
          <t>Auction - Fixed CPM</t>
        </is>
      </c>
      <c r="P2105" s="66" t="inlineStr">
        <is>
          <t>Completed Views + CPA</t>
        </is>
      </c>
      <c r="Q2105" s="66" t="inlineStr">
        <is>
          <t>https://www.lepas-sa.co.za/offers</t>
        </is>
      </c>
      <c r="R2105" s="121" t="n">
        <v>104.82</v>
      </c>
      <c r="S2105" s="122" t="n">
        <v>3905</v>
      </c>
      <c r="T2105" s="122" t="n">
        <v>1992</v>
      </c>
      <c r="U2105" s="123">
        <f>IFERROR(S2105/T2105,"")</f>
        <v/>
      </c>
      <c r="V2105" s="122" t="n">
        <v>15</v>
      </c>
      <c r="W2105" s="122" t="n">
        <v>12</v>
      </c>
      <c r="X2105" s="124">
        <f>IFERROR(W2105/S2105,"")</f>
        <v/>
      </c>
      <c r="Y2105" s="121">
        <f>IFERROR(R2105/W2105,"")</f>
        <v/>
      </c>
      <c r="Z2105" s="121">
        <f>IFERROR(R2105/S2105*1000,"")</f>
        <v/>
      </c>
      <c r="AA2105" s="122" t="n">
        <v>8</v>
      </c>
      <c r="AB2105" s="54">
        <f>IFERROR(AA2105/W2105,"")</f>
        <v/>
      </c>
      <c r="AC2105" s="122" t="n">
        <v>1406</v>
      </c>
      <c r="AD2105" s="122" t="n">
        <v>712</v>
      </c>
      <c r="AE2105" s="122" t="n">
        <v>659</v>
      </c>
      <c r="AF2105" s="122" t="n">
        <v>379</v>
      </c>
      <c r="AG2105" s="122" t="n">
        <v>259</v>
      </c>
      <c r="AH2105" s="122" t="n">
        <v>241</v>
      </c>
      <c r="AI2105" s="54">
        <f>IFERROR(AC2105/S2105,"")</f>
        <v/>
      </c>
      <c r="AJ2105" s="54">
        <f>IFERROR(AH2105/S2105,"")</f>
        <v/>
      </c>
      <c r="AK2105" s="122" t="n">
        <v>12</v>
      </c>
      <c r="AL2105" s="122" t="n">
        <v>0</v>
      </c>
      <c r="AM2105" s="124">
        <f>IFERROR(AL2105/AA2105,"")</f>
        <v/>
      </c>
      <c r="AN2105" s="125">
        <f>IFERROR(R2105/AL2105,"")</f>
        <v/>
      </c>
      <c r="AO2105" s="122" t="n">
        <v>0</v>
      </c>
      <c r="AP2105" s="54">
        <f>IFERROR(AO2105/AL2105,"")</f>
        <v/>
      </c>
      <c r="AQ2105" s="125">
        <f>IFERROR(R2105/AO2105,"")</f>
        <v/>
      </c>
      <c r="AR2105" s="122" t="n">
        <v>0</v>
      </c>
      <c r="AS2105" s="122" t="n">
        <v>0</v>
      </c>
      <c r="AT2105" s="122">
        <f>AL2105+AR2105</f>
        <v/>
      </c>
      <c r="AU2105" s="125">
        <f>IFERROR(AO2105*Assumptions!$C$26*Assumptions!$C$27*INDEX(Assumptions!$C$18:$C$21,MATCH(H2105,Assumptions!$B$18:$B$21,0)),0)</f>
        <v/>
      </c>
    </row>
    <row r="2106">
      <c r="A2106" s="120" t="n">
        <v>46237</v>
      </c>
      <c r="B2106" s="66" t="inlineStr">
        <is>
          <t>Wk 32</t>
        </is>
      </c>
      <c r="C2106" s="66" t="inlineStr">
        <is>
          <t>Mon</t>
        </is>
      </c>
      <c r="D2106" s="66" t="inlineStr">
        <is>
          <t>Programmatic</t>
        </is>
      </c>
      <c r="E2106" s="66" t="inlineStr">
        <is>
          <t>DV360</t>
        </is>
      </c>
      <c r="F2106" s="66" t="inlineStr">
        <is>
          <t>LEP_ZA_AUG26_PROG_TD_VIDEO_OLV</t>
        </is>
      </c>
      <c r="G2106" s="66" t="inlineStr">
        <is>
          <t>Online Video / CTV</t>
        </is>
      </c>
      <c r="H2106" s="66" t="inlineStr">
        <is>
          <t>Range</t>
        </is>
      </c>
      <c r="I2106" s="66" t="inlineStr">
        <is>
          <t>Range Offer</t>
        </is>
      </c>
      <c r="J2106" s="66" t="inlineStr">
        <is>
          <t>PROG_CTV_HOUSEHOLD</t>
        </is>
      </c>
      <c r="K2106" s="66" t="inlineStr">
        <is>
          <t>Prospecting</t>
        </is>
      </c>
      <c r="L2106" s="66" t="inlineStr">
        <is>
          <t>PROG_CTV_30s_BrandFilm_v1</t>
        </is>
      </c>
      <c r="M2106" s="66" t="inlineStr">
        <is>
          <t>CTV 30s</t>
        </is>
      </c>
      <c r="N2106" s="66" t="inlineStr">
        <is>
          <t>The Lepas range has landed in SA</t>
        </is>
      </c>
      <c r="O2106" s="66" t="inlineStr">
        <is>
          <t>Auction - Fixed CPM</t>
        </is>
      </c>
      <c r="P2106" s="66" t="inlineStr">
        <is>
          <t>Completed Views + CPA</t>
        </is>
      </c>
      <c r="Q2106" s="66" t="inlineStr">
        <is>
          <t>https://www.lepas-sa.co.za/offers</t>
        </is>
      </c>
      <c r="R2106" s="121" t="n">
        <v>130.36</v>
      </c>
      <c r="S2106" s="122" t="n">
        <v>5004</v>
      </c>
      <c r="T2106" s="122" t="n">
        <v>3582</v>
      </c>
      <c r="U2106" s="123">
        <f>IFERROR(S2106/T2106,"")</f>
        <v/>
      </c>
      <c r="V2106" s="122" t="n">
        <v>5</v>
      </c>
      <c r="W2106" s="122" t="n">
        <v>4</v>
      </c>
      <c r="X2106" s="124">
        <f>IFERROR(W2106/S2106,"")</f>
        <v/>
      </c>
      <c r="Y2106" s="121">
        <f>IFERROR(R2106/W2106,"")</f>
        <v/>
      </c>
      <c r="Z2106" s="121">
        <f>IFERROR(R2106/S2106*1000,"")</f>
        <v/>
      </c>
      <c r="AA2106" s="122" t="n">
        <v>3</v>
      </c>
      <c r="AB2106" s="54">
        <f>IFERROR(AA2106/W2106,"")</f>
        <v/>
      </c>
      <c r="AC2106" s="122" t="n">
        <v>1366</v>
      </c>
      <c r="AD2106" s="122" t="n">
        <v>648</v>
      </c>
      <c r="AE2106" s="122" t="n">
        <v>692</v>
      </c>
      <c r="AF2106" s="122" t="n">
        <v>370</v>
      </c>
      <c r="AG2106" s="122" t="n">
        <v>254</v>
      </c>
      <c r="AH2106" s="122" t="n">
        <v>238</v>
      </c>
      <c r="AI2106" s="54">
        <f>IFERROR(AC2106/S2106,"")</f>
        <v/>
      </c>
      <c r="AJ2106" s="54">
        <f>IFERROR(AH2106/S2106,"")</f>
        <v/>
      </c>
      <c r="AK2106" s="122" t="n">
        <v>23</v>
      </c>
      <c r="AL2106" s="122" t="n">
        <v>0</v>
      </c>
      <c r="AM2106" s="124">
        <f>IFERROR(AL2106/AA2106,"")</f>
        <v/>
      </c>
      <c r="AN2106" s="125">
        <f>IFERROR(R2106/AL2106,"")</f>
        <v/>
      </c>
      <c r="AO2106" s="122" t="n">
        <v>0</v>
      </c>
      <c r="AP2106" s="54">
        <f>IFERROR(AO2106/AL2106,"")</f>
        <v/>
      </c>
      <c r="AQ2106" s="125">
        <f>IFERROR(R2106/AO2106,"")</f>
        <v/>
      </c>
      <c r="AR2106" s="122" t="n">
        <v>0</v>
      </c>
      <c r="AS2106" s="122" t="n">
        <v>0</v>
      </c>
      <c r="AT2106" s="122">
        <f>AL2106+AR2106</f>
        <v/>
      </c>
      <c r="AU2106" s="125">
        <f>IFERROR(AO2106*Assumptions!$C$26*Assumptions!$C$27*INDEX(Assumptions!$C$18:$C$21,MATCH(H2106,Assumptions!$B$18:$B$21,0)),0)</f>
        <v/>
      </c>
    </row>
    <row r="2107">
      <c r="A2107" s="120" t="n">
        <v>46238</v>
      </c>
      <c r="B2107" s="66" t="inlineStr">
        <is>
          <t>Wk 32</t>
        </is>
      </c>
      <c r="C2107" s="66" t="inlineStr">
        <is>
          <t>Tue</t>
        </is>
      </c>
      <c r="D2107" s="66" t="inlineStr">
        <is>
          <t>Programmatic</t>
        </is>
      </c>
      <c r="E2107" s="66" t="inlineStr">
        <is>
          <t>DV360</t>
        </is>
      </c>
      <c r="F2107" s="66" t="inlineStr">
        <is>
          <t>LEP_ZA_AUG26_PROG_TD_VIDEO_OLV</t>
        </is>
      </c>
      <c r="G2107" s="66" t="inlineStr">
        <is>
          <t>Online Video / CTV</t>
        </is>
      </c>
      <c r="H2107" s="66" t="inlineStr">
        <is>
          <t>Range</t>
        </is>
      </c>
      <c r="I2107" s="66" t="inlineStr">
        <is>
          <t>Range Offer</t>
        </is>
      </c>
      <c r="J2107" s="66" t="inlineStr">
        <is>
          <t>PROG_CTV_HOUSEHOLD</t>
        </is>
      </c>
      <c r="K2107" s="66" t="inlineStr">
        <is>
          <t>Prospecting</t>
        </is>
      </c>
      <c r="L2107" s="66" t="inlineStr">
        <is>
          <t>PROG_CTV_30s_BrandFilm_v1</t>
        </is>
      </c>
      <c r="M2107" s="66" t="inlineStr">
        <is>
          <t>CTV 30s</t>
        </is>
      </c>
      <c r="N2107" s="66" t="inlineStr">
        <is>
          <t>The Lepas range has landed in SA</t>
        </is>
      </c>
      <c r="O2107" s="66" t="inlineStr">
        <is>
          <t>Auction - Fixed CPM</t>
        </is>
      </c>
      <c r="P2107" s="66" t="inlineStr">
        <is>
          <t>Completed Views + CPA</t>
        </is>
      </c>
      <c r="Q2107" s="66" t="inlineStr">
        <is>
          <t>https://www.lepas-sa.co.za/offers</t>
        </is>
      </c>
      <c r="R2107" s="121" t="n">
        <v>135.48</v>
      </c>
      <c r="S2107" s="122" t="n">
        <v>7069</v>
      </c>
      <c r="T2107" s="122" t="n">
        <v>3831</v>
      </c>
      <c r="U2107" s="123">
        <f>IFERROR(S2107/T2107,"")</f>
        <v/>
      </c>
      <c r="V2107" s="122" t="n">
        <v>30</v>
      </c>
      <c r="W2107" s="122" t="n">
        <v>21</v>
      </c>
      <c r="X2107" s="124">
        <f>IFERROR(W2107/S2107,"")</f>
        <v/>
      </c>
      <c r="Y2107" s="121">
        <f>IFERROR(R2107/W2107,"")</f>
        <v/>
      </c>
      <c r="Z2107" s="121">
        <f>IFERROR(R2107/S2107*1000,"")</f>
        <v/>
      </c>
      <c r="AA2107" s="122" t="n">
        <v>15</v>
      </c>
      <c r="AB2107" s="54">
        <f>IFERROR(AA2107/W2107,"")</f>
        <v/>
      </c>
      <c r="AC2107" s="122" t="n">
        <v>2223</v>
      </c>
      <c r="AD2107" s="122" t="n">
        <v>1073</v>
      </c>
      <c r="AE2107" s="122" t="n">
        <v>1070</v>
      </c>
      <c r="AF2107" s="122" t="n">
        <v>594</v>
      </c>
      <c r="AG2107" s="122" t="n">
        <v>459</v>
      </c>
      <c r="AH2107" s="122" t="n">
        <v>425</v>
      </c>
      <c r="AI2107" s="54">
        <f>IFERROR(AC2107/S2107,"")</f>
        <v/>
      </c>
      <c r="AJ2107" s="54">
        <f>IFERROR(AH2107/S2107,"")</f>
        <v/>
      </c>
      <c r="AK2107" s="122" t="n">
        <v>26</v>
      </c>
      <c r="AL2107" s="122" t="n">
        <v>1</v>
      </c>
      <c r="AM2107" s="124">
        <f>IFERROR(AL2107/AA2107,"")</f>
        <v/>
      </c>
      <c r="AN2107" s="125">
        <f>IFERROR(R2107/AL2107,"")</f>
        <v/>
      </c>
      <c r="AO2107" s="122" t="n">
        <v>1</v>
      </c>
      <c r="AP2107" s="54">
        <f>IFERROR(AO2107/AL2107,"")</f>
        <v/>
      </c>
      <c r="AQ2107" s="125">
        <f>IFERROR(R2107/AO2107,"")</f>
        <v/>
      </c>
      <c r="AR2107" s="122" t="n">
        <v>2</v>
      </c>
      <c r="AS2107" s="122" t="n">
        <v>1</v>
      </c>
      <c r="AT2107" s="122">
        <f>AL2107+AR2107</f>
        <v/>
      </c>
      <c r="AU2107" s="125">
        <f>IFERROR(AO2107*Assumptions!$C$26*Assumptions!$C$27*INDEX(Assumptions!$C$18:$C$21,MATCH(H2107,Assumptions!$B$18:$B$21,0)),0)</f>
        <v/>
      </c>
    </row>
    <row r="2108">
      <c r="A2108" s="120" t="n">
        <v>46239</v>
      </c>
      <c r="B2108" s="66" t="inlineStr">
        <is>
          <t>Wk 32</t>
        </is>
      </c>
      <c r="C2108" s="66" t="inlineStr">
        <is>
          <t>Wed</t>
        </is>
      </c>
      <c r="D2108" s="66" t="inlineStr">
        <is>
          <t>Programmatic</t>
        </is>
      </c>
      <c r="E2108" s="66" t="inlineStr">
        <is>
          <t>DV360</t>
        </is>
      </c>
      <c r="F2108" s="66" t="inlineStr">
        <is>
          <t>LEP_ZA_AUG26_PROG_TD_VIDEO_OLV</t>
        </is>
      </c>
      <c r="G2108" s="66" t="inlineStr">
        <is>
          <t>Online Video / CTV</t>
        </is>
      </c>
      <c r="H2108" s="66" t="inlineStr">
        <is>
          <t>Range</t>
        </is>
      </c>
      <c r="I2108" s="66" t="inlineStr">
        <is>
          <t>Range Offer</t>
        </is>
      </c>
      <c r="J2108" s="66" t="inlineStr">
        <is>
          <t>PROG_CTV_HOUSEHOLD</t>
        </is>
      </c>
      <c r="K2108" s="66" t="inlineStr">
        <is>
          <t>Prospecting</t>
        </is>
      </c>
      <c r="L2108" s="66" t="inlineStr">
        <is>
          <t>PROG_CTV_30s_BrandFilm_v1</t>
        </is>
      </c>
      <c r="M2108" s="66" t="inlineStr">
        <is>
          <t>CTV 30s</t>
        </is>
      </c>
      <c r="N2108" s="66" t="inlineStr">
        <is>
          <t>The Lepas range has landed in SA</t>
        </is>
      </c>
      <c r="O2108" s="66" t="inlineStr">
        <is>
          <t>Auction - Fixed CPM</t>
        </is>
      </c>
      <c r="P2108" s="66" t="inlineStr">
        <is>
          <t>Completed Views + CPA</t>
        </is>
      </c>
      <c r="Q2108" s="66" t="inlineStr">
        <is>
          <t>https://www.lepas-sa.co.za/offers</t>
        </is>
      </c>
      <c r="R2108" s="121" t="n">
        <v>165.84</v>
      </c>
      <c r="S2108" s="122" t="n">
        <v>7104</v>
      </c>
      <c r="T2108" s="122" t="n">
        <v>4714</v>
      </c>
      <c r="U2108" s="123">
        <f>IFERROR(S2108/T2108,"")</f>
        <v/>
      </c>
      <c r="V2108" s="122" t="n">
        <v>13</v>
      </c>
      <c r="W2108" s="122" t="n">
        <v>11</v>
      </c>
      <c r="X2108" s="124">
        <f>IFERROR(W2108/S2108,"")</f>
        <v/>
      </c>
      <c r="Y2108" s="121">
        <f>IFERROR(R2108/W2108,"")</f>
        <v/>
      </c>
      <c r="Z2108" s="121">
        <f>IFERROR(R2108/S2108*1000,"")</f>
        <v/>
      </c>
      <c r="AA2108" s="122" t="n">
        <v>6</v>
      </c>
      <c r="AB2108" s="54">
        <f>IFERROR(AA2108/W2108,"")</f>
        <v/>
      </c>
      <c r="AC2108" s="122" t="n">
        <v>1773</v>
      </c>
      <c r="AD2108" s="122" t="n">
        <v>855</v>
      </c>
      <c r="AE2108" s="122" t="n">
        <v>707</v>
      </c>
      <c r="AF2108" s="122" t="n">
        <v>484</v>
      </c>
      <c r="AG2108" s="122" t="n">
        <v>378</v>
      </c>
      <c r="AH2108" s="122" t="n">
        <v>344</v>
      </c>
      <c r="AI2108" s="54">
        <f>IFERROR(AC2108/S2108,"")</f>
        <v/>
      </c>
      <c r="AJ2108" s="54">
        <f>IFERROR(AH2108/S2108,"")</f>
        <v/>
      </c>
      <c r="AK2108" s="122" t="n">
        <v>8</v>
      </c>
      <c r="AL2108" s="122" t="n">
        <v>0</v>
      </c>
      <c r="AM2108" s="124">
        <f>IFERROR(AL2108/AA2108,"")</f>
        <v/>
      </c>
      <c r="AN2108" s="125">
        <f>IFERROR(R2108/AL2108,"")</f>
        <v/>
      </c>
      <c r="AO2108" s="122" t="n">
        <v>0</v>
      </c>
      <c r="AP2108" s="54">
        <f>IFERROR(AO2108/AL2108,"")</f>
        <v/>
      </c>
      <c r="AQ2108" s="125">
        <f>IFERROR(R2108/AO2108,"")</f>
        <v/>
      </c>
      <c r="AR2108" s="122" t="n">
        <v>0</v>
      </c>
      <c r="AS2108" s="122" t="n">
        <v>0</v>
      </c>
      <c r="AT2108" s="122">
        <f>AL2108+AR2108</f>
        <v/>
      </c>
      <c r="AU2108" s="125">
        <f>IFERROR(AO2108*Assumptions!$C$26*Assumptions!$C$27*INDEX(Assumptions!$C$18:$C$21,MATCH(H2108,Assumptions!$B$18:$B$21,0)),0)</f>
        <v/>
      </c>
    </row>
    <row r="2109">
      <c r="A2109" s="120" t="n">
        <v>46240</v>
      </c>
      <c r="B2109" s="66" t="inlineStr">
        <is>
          <t>Wk 32</t>
        </is>
      </c>
      <c r="C2109" s="66" t="inlineStr">
        <is>
          <t>Thu</t>
        </is>
      </c>
      <c r="D2109" s="66" t="inlineStr">
        <is>
          <t>Programmatic</t>
        </is>
      </c>
      <c r="E2109" s="66" t="inlineStr">
        <is>
          <t>DV360</t>
        </is>
      </c>
      <c r="F2109" s="66" t="inlineStr">
        <is>
          <t>LEP_ZA_AUG26_PROG_TD_VIDEO_OLV</t>
        </is>
      </c>
      <c r="G2109" s="66" t="inlineStr">
        <is>
          <t>Online Video / CTV</t>
        </is>
      </c>
      <c r="H2109" s="66" t="inlineStr">
        <is>
          <t>Range</t>
        </is>
      </c>
      <c r="I2109" s="66" t="inlineStr">
        <is>
          <t>Range Offer</t>
        </is>
      </c>
      <c r="J2109" s="66" t="inlineStr">
        <is>
          <t>PROG_CTV_HOUSEHOLD</t>
        </is>
      </c>
      <c r="K2109" s="66" t="inlineStr">
        <is>
          <t>Prospecting</t>
        </is>
      </c>
      <c r="L2109" s="66" t="inlineStr">
        <is>
          <t>PROG_CTV_30s_BrandFilm_v1</t>
        </is>
      </c>
      <c r="M2109" s="66" t="inlineStr">
        <is>
          <t>CTV 30s</t>
        </is>
      </c>
      <c r="N2109" s="66" t="inlineStr">
        <is>
          <t>The Lepas range has landed in SA</t>
        </is>
      </c>
      <c r="O2109" s="66" t="inlineStr">
        <is>
          <t>Auction - Fixed CPM</t>
        </is>
      </c>
      <c r="P2109" s="66" t="inlineStr">
        <is>
          <t>Completed Views + CPA</t>
        </is>
      </c>
      <c r="Q2109" s="66" t="inlineStr">
        <is>
          <t>https://www.lepas-sa.co.za/offers</t>
        </is>
      </c>
      <c r="R2109" s="121" t="n">
        <v>170.63</v>
      </c>
      <c r="S2109" s="122" t="n">
        <v>6305</v>
      </c>
      <c r="T2109" s="122" t="n">
        <v>3250</v>
      </c>
      <c r="U2109" s="123">
        <f>IFERROR(S2109/T2109,"")</f>
        <v/>
      </c>
      <c r="V2109" s="122" t="n">
        <v>14</v>
      </c>
      <c r="W2109" s="122" t="n">
        <v>10</v>
      </c>
      <c r="X2109" s="124">
        <f>IFERROR(W2109/S2109,"")</f>
        <v/>
      </c>
      <c r="Y2109" s="121">
        <f>IFERROR(R2109/W2109,"")</f>
        <v/>
      </c>
      <c r="Z2109" s="121">
        <f>IFERROR(R2109/S2109*1000,"")</f>
        <v/>
      </c>
      <c r="AA2109" s="122" t="n">
        <v>6</v>
      </c>
      <c r="AB2109" s="54">
        <f>IFERROR(AA2109/W2109,"")</f>
        <v/>
      </c>
      <c r="AC2109" s="122" t="n">
        <v>2277</v>
      </c>
      <c r="AD2109" s="122" t="n">
        <v>1020</v>
      </c>
      <c r="AE2109" s="122" t="n">
        <v>1066</v>
      </c>
      <c r="AF2109" s="122" t="n">
        <v>657</v>
      </c>
      <c r="AG2109" s="122" t="n">
        <v>475</v>
      </c>
      <c r="AH2109" s="122" t="n">
        <v>444</v>
      </c>
      <c r="AI2109" s="54">
        <f>IFERROR(AC2109/S2109,"")</f>
        <v/>
      </c>
      <c r="AJ2109" s="54">
        <f>IFERROR(AH2109/S2109,"")</f>
        <v/>
      </c>
      <c r="AK2109" s="122" t="n">
        <v>9</v>
      </c>
      <c r="AL2109" s="122" t="n">
        <v>0</v>
      </c>
      <c r="AM2109" s="124">
        <f>IFERROR(AL2109/AA2109,"")</f>
        <v/>
      </c>
      <c r="AN2109" s="125">
        <f>IFERROR(R2109/AL2109,"")</f>
        <v/>
      </c>
      <c r="AO2109" s="122" t="n">
        <v>0</v>
      </c>
      <c r="AP2109" s="54">
        <f>IFERROR(AO2109/AL2109,"")</f>
        <v/>
      </c>
      <c r="AQ2109" s="125">
        <f>IFERROR(R2109/AO2109,"")</f>
        <v/>
      </c>
      <c r="AR2109" s="122" t="n">
        <v>0</v>
      </c>
      <c r="AS2109" s="122" t="n">
        <v>0</v>
      </c>
      <c r="AT2109" s="122">
        <f>AL2109+AR2109</f>
        <v/>
      </c>
      <c r="AU2109" s="125">
        <f>IFERROR(AO2109*Assumptions!$C$26*Assumptions!$C$27*INDEX(Assumptions!$C$18:$C$21,MATCH(H2109,Assumptions!$B$18:$B$21,0)),0)</f>
        <v/>
      </c>
    </row>
    <row r="2110">
      <c r="A2110" s="120" t="n">
        <v>46241</v>
      </c>
      <c r="B2110" s="66" t="inlineStr">
        <is>
          <t>Wk 32</t>
        </is>
      </c>
      <c r="C2110" s="66" t="inlineStr">
        <is>
          <t>Fri</t>
        </is>
      </c>
      <c r="D2110" s="66" t="inlineStr">
        <is>
          <t>Programmatic</t>
        </is>
      </c>
      <c r="E2110" s="66" t="inlineStr">
        <is>
          <t>DV360</t>
        </is>
      </c>
      <c r="F2110" s="66" t="inlineStr">
        <is>
          <t>LEP_ZA_AUG26_PROG_TD_VIDEO_OLV</t>
        </is>
      </c>
      <c r="G2110" s="66" t="inlineStr">
        <is>
          <t>Online Video / CTV</t>
        </is>
      </c>
      <c r="H2110" s="66" t="inlineStr">
        <is>
          <t>Range</t>
        </is>
      </c>
      <c r="I2110" s="66" t="inlineStr">
        <is>
          <t>Range Offer</t>
        </is>
      </c>
      <c r="J2110" s="66" t="inlineStr">
        <is>
          <t>PROG_CTV_HOUSEHOLD</t>
        </is>
      </c>
      <c r="K2110" s="66" t="inlineStr">
        <is>
          <t>Prospecting</t>
        </is>
      </c>
      <c r="L2110" s="66" t="inlineStr">
        <is>
          <t>PROG_CTV_30s_BrandFilm_v1</t>
        </is>
      </c>
      <c r="M2110" s="66" t="inlineStr">
        <is>
          <t>CTV 30s</t>
        </is>
      </c>
      <c r="N2110" s="66" t="inlineStr">
        <is>
          <t>The Lepas range has landed in SA</t>
        </is>
      </c>
      <c r="O2110" s="66" t="inlineStr">
        <is>
          <t>Auction - Fixed CPM</t>
        </is>
      </c>
      <c r="P2110" s="66" t="inlineStr">
        <is>
          <t>Completed Views + CPA</t>
        </is>
      </c>
      <c r="Q2110" s="66" t="inlineStr">
        <is>
          <t>https://www.lepas-sa.co.za/offers</t>
        </is>
      </c>
      <c r="R2110" s="121" t="n">
        <v>153.48</v>
      </c>
      <c r="S2110" s="122" t="n">
        <v>8367</v>
      </c>
      <c r="T2110" s="122" t="n">
        <v>4230</v>
      </c>
      <c r="U2110" s="123">
        <f>IFERROR(S2110/T2110,"")</f>
        <v/>
      </c>
      <c r="V2110" s="122" t="n">
        <v>20</v>
      </c>
      <c r="W2110" s="122" t="n">
        <v>14</v>
      </c>
      <c r="X2110" s="124">
        <f>IFERROR(W2110/S2110,"")</f>
        <v/>
      </c>
      <c r="Y2110" s="121">
        <f>IFERROR(R2110/W2110,"")</f>
        <v/>
      </c>
      <c r="Z2110" s="121">
        <f>IFERROR(R2110/S2110*1000,"")</f>
        <v/>
      </c>
      <c r="AA2110" s="122" t="n">
        <v>9</v>
      </c>
      <c r="AB2110" s="54">
        <f>IFERROR(AA2110/W2110,"")</f>
        <v/>
      </c>
      <c r="AC2110" s="122" t="n">
        <v>2166</v>
      </c>
      <c r="AD2110" s="122" t="n">
        <v>1033</v>
      </c>
      <c r="AE2110" s="122" t="n">
        <v>822</v>
      </c>
      <c r="AF2110" s="122" t="n">
        <v>490</v>
      </c>
      <c r="AG2110" s="122" t="n">
        <v>374</v>
      </c>
      <c r="AH2110" s="122" t="n">
        <v>351</v>
      </c>
      <c r="AI2110" s="54">
        <f>IFERROR(AC2110/S2110,"")</f>
        <v/>
      </c>
      <c r="AJ2110" s="54">
        <f>IFERROR(AH2110/S2110,"")</f>
        <v/>
      </c>
      <c r="AK2110" s="122" t="n">
        <v>45</v>
      </c>
      <c r="AL2110" s="122" t="n">
        <v>1</v>
      </c>
      <c r="AM2110" s="124">
        <f>IFERROR(AL2110/AA2110,"")</f>
        <v/>
      </c>
      <c r="AN2110" s="125">
        <f>IFERROR(R2110/AL2110,"")</f>
        <v/>
      </c>
      <c r="AO2110" s="122" t="n">
        <v>0</v>
      </c>
      <c r="AP2110" s="54">
        <f>IFERROR(AO2110/AL2110,"")</f>
        <v/>
      </c>
      <c r="AQ2110" s="125">
        <f>IFERROR(R2110/AO2110,"")</f>
        <v/>
      </c>
      <c r="AR2110" s="122" t="n">
        <v>2</v>
      </c>
      <c r="AS2110" s="122" t="n">
        <v>0</v>
      </c>
      <c r="AT2110" s="122">
        <f>AL2110+AR2110</f>
        <v/>
      </c>
      <c r="AU2110" s="125">
        <f>IFERROR(AO2110*Assumptions!$C$26*Assumptions!$C$27*INDEX(Assumptions!$C$18:$C$21,MATCH(H2110,Assumptions!$B$18:$B$21,0)),0)</f>
        <v/>
      </c>
    </row>
    <row r="2111">
      <c r="A2111" s="120" t="n">
        <v>46242</v>
      </c>
      <c r="B2111" s="66" t="inlineStr">
        <is>
          <t>Wk 32</t>
        </is>
      </c>
      <c r="C2111" s="66" t="inlineStr">
        <is>
          <t>Sat</t>
        </is>
      </c>
      <c r="D2111" s="66" t="inlineStr">
        <is>
          <t>Programmatic</t>
        </is>
      </c>
      <c r="E2111" s="66" t="inlineStr">
        <is>
          <t>DV360</t>
        </is>
      </c>
      <c r="F2111" s="66" t="inlineStr">
        <is>
          <t>LEP_ZA_AUG26_PROG_TD_VIDEO_OLV</t>
        </is>
      </c>
      <c r="G2111" s="66" t="inlineStr">
        <is>
          <t>Online Video / CTV</t>
        </is>
      </c>
      <c r="H2111" s="66" t="inlineStr">
        <is>
          <t>Range</t>
        </is>
      </c>
      <c r="I2111" s="66" t="inlineStr">
        <is>
          <t>Range Offer</t>
        </is>
      </c>
      <c r="J2111" s="66" t="inlineStr">
        <is>
          <t>PROG_CTV_HOUSEHOLD</t>
        </is>
      </c>
      <c r="K2111" s="66" t="inlineStr">
        <is>
          <t>Prospecting</t>
        </is>
      </c>
      <c r="L2111" s="66" t="inlineStr">
        <is>
          <t>PROG_CTV_30s_BrandFilm_v1</t>
        </is>
      </c>
      <c r="M2111" s="66" t="inlineStr">
        <is>
          <t>CTV 30s</t>
        </is>
      </c>
      <c r="N2111" s="66" t="inlineStr">
        <is>
          <t>The Lepas range has landed in SA</t>
        </is>
      </c>
      <c r="O2111" s="66" t="inlineStr">
        <is>
          <t>Auction - Fixed CPM</t>
        </is>
      </c>
      <c r="P2111" s="66" t="inlineStr">
        <is>
          <t>Completed Views + CPA</t>
        </is>
      </c>
      <c r="Q2111" s="66" t="inlineStr">
        <is>
          <t>https://www.lepas-sa.co.za/offers</t>
        </is>
      </c>
      <c r="R2111" s="121" t="n">
        <v>185.86</v>
      </c>
      <c r="S2111" s="122" t="n">
        <v>8111</v>
      </c>
      <c r="T2111" s="122" t="n">
        <v>4933</v>
      </c>
      <c r="U2111" s="123">
        <f>IFERROR(S2111/T2111,"")</f>
        <v/>
      </c>
      <c r="V2111" s="122" t="n">
        <v>6</v>
      </c>
      <c r="W2111" s="122" t="n">
        <v>5</v>
      </c>
      <c r="X2111" s="124">
        <f>IFERROR(W2111/S2111,"")</f>
        <v/>
      </c>
      <c r="Y2111" s="121">
        <f>IFERROR(R2111/W2111,"")</f>
        <v/>
      </c>
      <c r="Z2111" s="121">
        <f>IFERROR(R2111/S2111*1000,"")</f>
        <v/>
      </c>
      <c r="AA2111" s="122" t="n">
        <v>3</v>
      </c>
      <c r="AB2111" s="54">
        <f>IFERROR(AA2111/W2111,"")</f>
        <v/>
      </c>
      <c r="AC2111" s="122" t="n">
        <v>3324</v>
      </c>
      <c r="AD2111" s="122" t="n">
        <v>2030</v>
      </c>
      <c r="AE2111" s="122" t="n">
        <v>1717</v>
      </c>
      <c r="AF2111" s="122" t="n">
        <v>1208</v>
      </c>
      <c r="AG2111" s="122" t="n">
        <v>821</v>
      </c>
      <c r="AH2111" s="122" t="n">
        <v>770</v>
      </c>
      <c r="AI2111" s="54">
        <f>IFERROR(AC2111/S2111,"")</f>
        <v/>
      </c>
      <c r="AJ2111" s="54">
        <f>IFERROR(AH2111/S2111,"")</f>
        <v/>
      </c>
      <c r="AK2111" s="122" t="n">
        <v>25</v>
      </c>
      <c r="AL2111" s="122" t="n">
        <v>1</v>
      </c>
      <c r="AM2111" s="124">
        <f>IFERROR(AL2111/AA2111,"")</f>
        <v/>
      </c>
      <c r="AN2111" s="125">
        <f>IFERROR(R2111/AL2111,"")</f>
        <v/>
      </c>
      <c r="AO2111" s="122" t="n">
        <v>0</v>
      </c>
      <c r="AP2111" s="54">
        <f>IFERROR(AO2111/AL2111,"")</f>
        <v/>
      </c>
      <c r="AQ2111" s="125">
        <f>IFERROR(R2111/AO2111,"")</f>
        <v/>
      </c>
      <c r="AR2111" s="122" t="n">
        <v>2</v>
      </c>
      <c r="AS2111" s="122" t="n">
        <v>1</v>
      </c>
      <c r="AT2111" s="122">
        <f>AL2111+AR2111</f>
        <v/>
      </c>
      <c r="AU2111" s="125">
        <f>IFERROR(AO2111*Assumptions!$C$26*Assumptions!$C$27*INDEX(Assumptions!$C$18:$C$21,MATCH(H2111,Assumptions!$B$18:$B$21,0)),0)</f>
        <v/>
      </c>
    </row>
    <row r="2112">
      <c r="A2112" s="120" t="n">
        <v>46243</v>
      </c>
      <c r="B2112" s="66" t="inlineStr">
        <is>
          <t>Wk 32</t>
        </is>
      </c>
      <c r="C2112" s="66" t="inlineStr">
        <is>
          <t>Sun</t>
        </is>
      </c>
      <c r="D2112" s="66" t="inlineStr">
        <is>
          <t>Programmatic</t>
        </is>
      </c>
      <c r="E2112" s="66" t="inlineStr">
        <is>
          <t>DV360</t>
        </is>
      </c>
      <c r="F2112" s="66" t="inlineStr">
        <is>
          <t>LEP_ZA_AUG26_PROG_TD_VIDEO_OLV</t>
        </is>
      </c>
      <c r="G2112" s="66" t="inlineStr">
        <is>
          <t>Online Video / CTV</t>
        </is>
      </c>
      <c r="H2112" s="66" t="inlineStr">
        <is>
          <t>Range</t>
        </is>
      </c>
      <c r="I2112" s="66" t="inlineStr">
        <is>
          <t>Range Offer</t>
        </is>
      </c>
      <c r="J2112" s="66" t="inlineStr">
        <is>
          <t>PROG_CTV_HOUSEHOLD</t>
        </is>
      </c>
      <c r="K2112" s="66" t="inlineStr">
        <is>
          <t>Prospecting</t>
        </is>
      </c>
      <c r="L2112" s="66" t="inlineStr">
        <is>
          <t>PROG_CTV_30s_BrandFilm_v1</t>
        </is>
      </c>
      <c r="M2112" s="66" t="inlineStr">
        <is>
          <t>CTV 30s</t>
        </is>
      </c>
      <c r="N2112" s="66" t="inlineStr">
        <is>
          <t>The Lepas range has landed in SA</t>
        </is>
      </c>
      <c r="O2112" s="66" t="inlineStr">
        <is>
          <t>Auction - Fixed CPM</t>
        </is>
      </c>
      <c r="P2112" s="66" t="inlineStr">
        <is>
          <t>Completed Views + CPA</t>
        </is>
      </c>
      <c r="Q2112" s="66" t="inlineStr">
        <is>
          <t>https://www.lepas-sa.co.za/offers</t>
        </is>
      </c>
      <c r="R2112" s="121" t="n">
        <v>129.08</v>
      </c>
      <c r="S2112" s="122" t="n">
        <v>5048</v>
      </c>
      <c r="T2112" s="122" t="n">
        <v>2491</v>
      </c>
      <c r="U2112" s="123">
        <f>IFERROR(S2112/T2112,"")</f>
        <v/>
      </c>
      <c r="V2112" s="122" t="n">
        <v>7</v>
      </c>
      <c r="W2112" s="122" t="n">
        <v>6</v>
      </c>
      <c r="X2112" s="124">
        <f>IFERROR(W2112/S2112,"")</f>
        <v/>
      </c>
      <c r="Y2112" s="121">
        <f>IFERROR(R2112/W2112,"")</f>
        <v/>
      </c>
      <c r="Z2112" s="121">
        <f>IFERROR(R2112/S2112*1000,"")</f>
        <v/>
      </c>
      <c r="AA2112" s="122" t="n">
        <v>4</v>
      </c>
      <c r="AB2112" s="54">
        <f>IFERROR(AA2112/W2112,"")</f>
        <v/>
      </c>
      <c r="AC2112" s="122" t="n">
        <v>1249</v>
      </c>
      <c r="AD2112" s="122" t="n">
        <v>573</v>
      </c>
      <c r="AE2112" s="122" t="n">
        <v>616</v>
      </c>
      <c r="AF2112" s="122" t="n">
        <v>386</v>
      </c>
      <c r="AG2112" s="122" t="n">
        <v>253</v>
      </c>
      <c r="AH2112" s="122" t="n">
        <v>245</v>
      </c>
      <c r="AI2112" s="54">
        <f>IFERROR(AC2112/S2112,"")</f>
        <v/>
      </c>
      <c r="AJ2112" s="54">
        <f>IFERROR(AH2112/S2112,"")</f>
        <v/>
      </c>
      <c r="AK2112" s="122" t="n">
        <v>5</v>
      </c>
      <c r="AL2112" s="122" t="n">
        <v>0</v>
      </c>
      <c r="AM2112" s="124">
        <f>IFERROR(AL2112/AA2112,"")</f>
        <v/>
      </c>
      <c r="AN2112" s="125">
        <f>IFERROR(R2112/AL2112,"")</f>
        <v/>
      </c>
      <c r="AO2112" s="122" t="n">
        <v>0</v>
      </c>
      <c r="AP2112" s="54">
        <f>IFERROR(AO2112/AL2112,"")</f>
        <v/>
      </c>
      <c r="AQ2112" s="125">
        <f>IFERROR(R2112/AO2112,"")</f>
        <v/>
      </c>
      <c r="AR2112" s="122" t="n">
        <v>0</v>
      </c>
      <c r="AS2112" s="122" t="n">
        <v>0</v>
      </c>
      <c r="AT2112" s="122">
        <f>AL2112+AR2112</f>
        <v/>
      </c>
      <c r="AU2112" s="125">
        <f>IFERROR(AO2112*Assumptions!$C$26*Assumptions!$C$27*INDEX(Assumptions!$C$18:$C$21,MATCH(H2112,Assumptions!$B$18:$B$21,0)),0)</f>
        <v/>
      </c>
    </row>
    <row r="2113">
      <c r="A2113" s="120" t="n">
        <v>46244</v>
      </c>
      <c r="B2113" s="66" t="inlineStr">
        <is>
          <t>Wk 33</t>
        </is>
      </c>
      <c r="C2113" s="66" t="inlineStr">
        <is>
          <t>Mon</t>
        </is>
      </c>
      <c r="D2113" s="66" t="inlineStr">
        <is>
          <t>Programmatic</t>
        </is>
      </c>
      <c r="E2113" s="66" t="inlineStr">
        <is>
          <t>DV360</t>
        </is>
      </c>
      <c r="F2113" s="66" t="inlineStr">
        <is>
          <t>LEP_ZA_AUG26_PROG_TD_VIDEO_OLV</t>
        </is>
      </c>
      <c r="G2113" s="66" t="inlineStr">
        <is>
          <t>Online Video / CTV</t>
        </is>
      </c>
      <c r="H2113" s="66" t="inlineStr">
        <is>
          <t>Range</t>
        </is>
      </c>
      <c r="I2113" s="66" t="inlineStr">
        <is>
          <t>Range Offer</t>
        </is>
      </c>
      <c r="J2113" s="66" t="inlineStr">
        <is>
          <t>PROG_CTV_HOUSEHOLD</t>
        </is>
      </c>
      <c r="K2113" s="66" t="inlineStr">
        <is>
          <t>Prospecting</t>
        </is>
      </c>
      <c r="L2113" s="66" t="inlineStr">
        <is>
          <t>PROG_CTV_30s_BrandFilm_v1</t>
        </is>
      </c>
      <c r="M2113" s="66" t="inlineStr">
        <is>
          <t>CTV 30s</t>
        </is>
      </c>
      <c r="N2113" s="66" t="inlineStr">
        <is>
          <t>The Lepas range has landed in SA</t>
        </is>
      </c>
      <c r="O2113" s="66" t="inlineStr">
        <is>
          <t>Auction - Fixed CPM</t>
        </is>
      </c>
      <c r="P2113" s="66" t="inlineStr">
        <is>
          <t>Completed Views + CPA</t>
        </is>
      </c>
      <c r="Q2113" s="66" t="inlineStr">
        <is>
          <t>https://www.lepas-sa.co.za/offers</t>
        </is>
      </c>
      <c r="R2113" s="121" t="n">
        <v>156.54</v>
      </c>
      <c r="S2113" s="122" t="n">
        <v>6914</v>
      </c>
      <c r="T2113" s="122" t="n">
        <v>3595</v>
      </c>
      <c r="U2113" s="123">
        <f>IFERROR(S2113/T2113,"")</f>
        <v/>
      </c>
      <c r="V2113" s="122" t="n">
        <v>7</v>
      </c>
      <c r="W2113" s="122" t="n">
        <v>5</v>
      </c>
      <c r="X2113" s="124">
        <f>IFERROR(W2113/S2113,"")</f>
        <v/>
      </c>
      <c r="Y2113" s="121">
        <f>IFERROR(R2113/W2113,"")</f>
        <v/>
      </c>
      <c r="Z2113" s="121">
        <f>IFERROR(R2113/S2113*1000,"")</f>
        <v/>
      </c>
      <c r="AA2113" s="122" t="n">
        <v>3</v>
      </c>
      <c r="AB2113" s="54">
        <f>IFERROR(AA2113/W2113,"")</f>
        <v/>
      </c>
      <c r="AC2113" s="122" t="n">
        <v>2755</v>
      </c>
      <c r="AD2113" s="122" t="n">
        <v>1303</v>
      </c>
      <c r="AE2113" s="122" t="n">
        <v>1391</v>
      </c>
      <c r="AF2113" s="122" t="n">
        <v>755</v>
      </c>
      <c r="AG2113" s="122" t="n">
        <v>558</v>
      </c>
      <c r="AH2113" s="122" t="n">
        <v>531</v>
      </c>
      <c r="AI2113" s="54">
        <f>IFERROR(AC2113/S2113,"")</f>
        <v/>
      </c>
      <c r="AJ2113" s="54">
        <f>IFERROR(AH2113/S2113,"")</f>
        <v/>
      </c>
      <c r="AK2113" s="122" t="n">
        <v>40</v>
      </c>
      <c r="AL2113" s="122" t="n">
        <v>0</v>
      </c>
      <c r="AM2113" s="124">
        <f>IFERROR(AL2113/AA2113,"")</f>
        <v/>
      </c>
      <c r="AN2113" s="125">
        <f>IFERROR(R2113/AL2113,"")</f>
        <v/>
      </c>
      <c r="AO2113" s="122" t="n">
        <v>0</v>
      </c>
      <c r="AP2113" s="54">
        <f>IFERROR(AO2113/AL2113,"")</f>
        <v/>
      </c>
      <c r="AQ2113" s="125">
        <f>IFERROR(R2113/AO2113,"")</f>
        <v/>
      </c>
      <c r="AR2113" s="122" t="n">
        <v>0</v>
      </c>
      <c r="AS2113" s="122" t="n">
        <v>0</v>
      </c>
      <c r="AT2113" s="122">
        <f>AL2113+AR2113</f>
        <v/>
      </c>
      <c r="AU2113" s="125">
        <f>IFERROR(AO2113*Assumptions!$C$26*Assumptions!$C$27*INDEX(Assumptions!$C$18:$C$21,MATCH(H2113,Assumptions!$B$18:$B$21,0)),0)</f>
        <v/>
      </c>
    </row>
    <row r="2114">
      <c r="A2114" s="120" t="n">
        <v>46245</v>
      </c>
      <c r="B2114" s="66" t="inlineStr">
        <is>
          <t>Wk 33</t>
        </is>
      </c>
      <c r="C2114" s="66" t="inlineStr">
        <is>
          <t>Tue</t>
        </is>
      </c>
      <c r="D2114" s="66" t="inlineStr">
        <is>
          <t>Programmatic</t>
        </is>
      </c>
      <c r="E2114" s="66" t="inlineStr">
        <is>
          <t>DV360</t>
        </is>
      </c>
      <c r="F2114" s="66" t="inlineStr">
        <is>
          <t>LEP_ZA_AUG26_PROG_TD_VIDEO_OLV</t>
        </is>
      </c>
      <c r="G2114" s="66" t="inlineStr">
        <is>
          <t>Online Video / CTV</t>
        </is>
      </c>
      <c r="H2114" s="66" t="inlineStr">
        <is>
          <t>Range</t>
        </is>
      </c>
      <c r="I2114" s="66" t="inlineStr">
        <is>
          <t>Range Offer</t>
        </is>
      </c>
      <c r="J2114" s="66" t="inlineStr">
        <is>
          <t>PROG_CTV_HOUSEHOLD</t>
        </is>
      </c>
      <c r="K2114" s="66" t="inlineStr">
        <is>
          <t>Prospecting</t>
        </is>
      </c>
      <c r="L2114" s="66" t="inlineStr">
        <is>
          <t>PROG_CTV_30s_BrandFilm_v1</t>
        </is>
      </c>
      <c r="M2114" s="66" t="inlineStr">
        <is>
          <t>CTV 30s</t>
        </is>
      </c>
      <c r="N2114" s="66" t="inlineStr">
        <is>
          <t>The Lepas range has landed in SA</t>
        </is>
      </c>
      <c r="O2114" s="66" t="inlineStr">
        <is>
          <t>Auction - Fixed CPM</t>
        </is>
      </c>
      <c r="P2114" s="66" t="inlineStr">
        <is>
          <t>Completed Views + CPA</t>
        </is>
      </c>
      <c r="Q2114" s="66" t="inlineStr">
        <is>
          <t>https://www.lepas-sa.co.za/offers</t>
        </is>
      </c>
      <c r="R2114" s="121" t="n">
        <v>164.2</v>
      </c>
      <c r="S2114" s="122" t="n">
        <v>5081</v>
      </c>
      <c r="T2114" s="122" t="n">
        <v>2325</v>
      </c>
      <c r="U2114" s="123">
        <f>IFERROR(S2114/T2114,"")</f>
        <v/>
      </c>
      <c r="V2114" s="122" t="n">
        <v>19</v>
      </c>
      <c r="W2114" s="122" t="n">
        <v>14</v>
      </c>
      <c r="X2114" s="124">
        <f>IFERROR(W2114/S2114,"")</f>
        <v/>
      </c>
      <c r="Y2114" s="121">
        <f>IFERROR(R2114/W2114,"")</f>
        <v/>
      </c>
      <c r="Z2114" s="121">
        <f>IFERROR(R2114/S2114*1000,"")</f>
        <v/>
      </c>
      <c r="AA2114" s="122" t="n">
        <v>8</v>
      </c>
      <c r="AB2114" s="54">
        <f>IFERROR(AA2114/W2114,"")</f>
        <v/>
      </c>
      <c r="AC2114" s="122" t="n">
        <v>2059</v>
      </c>
      <c r="AD2114" s="122" t="n">
        <v>944</v>
      </c>
      <c r="AE2114" s="122" t="n">
        <v>1024</v>
      </c>
      <c r="AF2114" s="122" t="n">
        <v>540</v>
      </c>
      <c r="AG2114" s="122" t="n">
        <v>421</v>
      </c>
      <c r="AH2114" s="122" t="n">
        <v>406</v>
      </c>
      <c r="AI2114" s="54">
        <f>IFERROR(AC2114/S2114,"")</f>
        <v/>
      </c>
      <c r="AJ2114" s="54">
        <f>IFERROR(AH2114/S2114,"")</f>
        <v/>
      </c>
      <c r="AK2114" s="122" t="n">
        <v>12</v>
      </c>
      <c r="AL2114" s="122" t="n">
        <v>0</v>
      </c>
      <c r="AM2114" s="124">
        <f>IFERROR(AL2114/AA2114,"")</f>
        <v/>
      </c>
      <c r="AN2114" s="125">
        <f>IFERROR(R2114/AL2114,"")</f>
        <v/>
      </c>
      <c r="AO2114" s="122" t="n">
        <v>0</v>
      </c>
      <c r="AP2114" s="54">
        <f>IFERROR(AO2114/AL2114,"")</f>
        <v/>
      </c>
      <c r="AQ2114" s="125">
        <f>IFERROR(R2114/AO2114,"")</f>
        <v/>
      </c>
      <c r="AR2114" s="122" t="n">
        <v>0</v>
      </c>
      <c r="AS2114" s="122" t="n">
        <v>0</v>
      </c>
      <c r="AT2114" s="122">
        <f>AL2114+AR2114</f>
        <v/>
      </c>
      <c r="AU2114" s="125">
        <f>IFERROR(AO2114*Assumptions!$C$26*Assumptions!$C$27*INDEX(Assumptions!$C$18:$C$21,MATCH(H2114,Assumptions!$B$18:$B$21,0)),0)</f>
        <v/>
      </c>
    </row>
    <row r="2115">
      <c r="A2115" s="120" t="n">
        <v>46246</v>
      </c>
      <c r="B2115" s="66" t="inlineStr">
        <is>
          <t>Wk 33</t>
        </is>
      </c>
      <c r="C2115" s="66" t="inlineStr">
        <is>
          <t>Wed</t>
        </is>
      </c>
      <c r="D2115" s="66" t="inlineStr">
        <is>
          <t>Programmatic</t>
        </is>
      </c>
      <c r="E2115" s="66" t="inlineStr">
        <is>
          <t>DV360</t>
        </is>
      </c>
      <c r="F2115" s="66" t="inlineStr">
        <is>
          <t>LEP_ZA_AUG26_PROG_TD_VIDEO_OLV</t>
        </is>
      </c>
      <c r="G2115" s="66" t="inlineStr">
        <is>
          <t>Online Video / CTV</t>
        </is>
      </c>
      <c r="H2115" s="66" t="inlineStr">
        <is>
          <t>Range</t>
        </is>
      </c>
      <c r="I2115" s="66" t="inlineStr">
        <is>
          <t>Range Offer</t>
        </is>
      </c>
      <c r="J2115" s="66" t="inlineStr">
        <is>
          <t>PROG_CTV_HOUSEHOLD</t>
        </is>
      </c>
      <c r="K2115" s="66" t="inlineStr">
        <is>
          <t>Prospecting</t>
        </is>
      </c>
      <c r="L2115" s="66" t="inlineStr">
        <is>
          <t>PROG_CTV_30s_BrandFilm_v1</t>
        </is>
      </c>
      <c r="M2115" s="66" t="inlineStr">
        <is>
          <t>CTV 30s</t>
        </is>
      </c>
      <c r="N2115" s="66" t="inlineStr">
        <is>
          <t>The Lepas range has landed in SA</t>
        </is>
      </c>
      <c r="O2115" s="66" t="inlineStr">
        <is>
          <t>Auction - Fixed CPM</t>
        </is>
      </c>
      <c r="P2115" s="66" t="inlineStr">
        <is>
          <t>Completed Views + CPA</t>
        </is>
      </c>
      <c r="Q2115" s="66" t="inlineStr">
        <is>
          <t>https://www.lepas-sa.co.za/offers</t>
        </is>
      </c>
      <c r="R2115" s="121" t="n">
        <v>133.65</v>
      </c>
      <c r="S2115" s="122" t="n">
        <v>4264</v>
      </c>
      <c r="T2115" s="122" t="n">
        <v>1747</v>
      </c>
      <c r="U2115" s="123">
        <f>IFERROR(S2115/T2115,"")</f>
        <v/>
      </c>
      <c r="V2115" s="122" t="n">
        <v>11</v>
      </c>
      <c r="W2115" s="122" t="n">
        <v>9</v>
      </c>
      <c r="X2115" s="124">
        <f>IFERROR(W2115/S2115,"")</f>
        <v/>
      </c>
      <c r="Y2115" s="121">
        <f>IFERROR(R2115/W2115,"")</f>
        <v/>
      </c>
      <c r="Z2115" s="121">
        <f>IFERROR(R2115/S2115*1000,"")</f>
        <v/>
      </c>
      <c r="AA2115" s="122" t="n">
        <v>5</v>
      </c>
      <c r="AB2115" s="54">
        <f>IFERROR(AA2115/W2115,"")</f>
        <v/>
      </c>
      <c r="AC2115" s="122" t="n">
        <v>1228</v>
      </c>
      <c r="AD2115" s="122" t="n">
        <v>718</v>
      </c>
      <c r="AE2115" s="122" t="n">
        <v>624</v>
      </c>
      <c r="AF2115" s="122" t="n">
        <v>399</v>
      </c>
      <c r="AG2115" s="122" t="n">
        <v>319</v>
      </c>
      <c r="AH2115" s="122" t="n">
        <v>304</v>
      </c>
      <c r="AI2115" s="54">
        <f>IFERROR(AC2115/S2115,"")</f>
        <v/>
      </c>
      <c r="AJ2115" s="54">
        <f>IFERROR(AH2115/S2115,"")</f>
        <v/>
      </c>
      <c r="AK2115" s="122" t="n">
        <v>21</v>
      </c>
      <c r="AL2115" s="122" t="n">
        <v>0</v>
      </c>
      <c r="AM2115" s="124">
        <f>IFERROR(AL2115/AA2115,"")</f>
        <v/>
      </c>
      <c r="AN2115" s="125">
        <f>IFERROR(R2115/AL2115,"")</f>
        <v/>
      </c>
      <c r="AO2115" s="122" t="n">
        <v>0</v>
      </c>
      <c r="AP2115" s="54">
        <f>IFERROR(AO2115/AL2115,"")</f>
        <v/>
      </c>
      <c r="AQ2115" s="125">
        <f>IFERROR(R2115/AO2115,"")</f>
        <v/>
      </c>
      <c r="AR2115" s="122" t="n">
        <v>0</v>
      </c>
      <c r="AS2115" s="122" t="n">
        <v>0</v>
      </c>
      <c r="AT2115" s="122">
        <f>AL2115+AR2115</f>
        <v/>
      </c>
      <c r="AU2115" s="125">
        <f>IFERROR(AO2115*Assumptions!$C$26*Assumptions!$C$27*INDEX(Assumptions!$C$18:$C$21,MATCH(H2115,Assumptions!$B$18:$B$21,0)),0)</f>
        <v/>
      </c>
    </row>
    <row r="2116">
      <c r="A2116" s="120" t="n">
        <v>46247</v>
      </c>
      <c r="B2116" s="66" t="inlineStr">
        <is>
          <t>Wk 33</t>
        </is>
      </c>
      <c r="C2116" s="66" t="inlineStr">
        <is>
          <t>Thu</t>
        </is>
      </c>
      <c r="D2116" s="66" t="inlineStr">
        <is>
          <t>Programmatic</t>
        </is>
      </c>
      <c r="E2116" s="66" t="inlineStr">
        <is>
          <t>DV360</t>
        </is>
      </c>
      <c r="F2116" s="66" t="inlineStr">
        <is>
          <t>LEP_ZA_AUG26_PROG_TD_VIDEO_OLV</t>
        </is>
      </c>
      <c r="G2116" s="66" t="inlineStr">
        <is>
          <t>Online Video / CTV</t>
        </is>
      </c>
      <c r="H2116" s="66" t="inlineStr">
        <is>
          <t>Range</t>
        </is>
      </c>
      <c r="I2116" s="66" t="inlineStr">
        <is>
          <t>Range Offer</t>
        </is>
      </c>
      <c r="J2116" s="66" t="inlineStr">
        <is>
          <t>PROG_CTV_HOUSEHOLD</t>
        </is>
      </c>
      <c r="K2116" s="66" t="inlineStr">
        <is>
          <t>Prospecting</t>
        </is>
      </c>
      <c r="L2116" s="66" t="inlineStr">
        <is>
          <t>PROG_CTV_30s_BrandFilm_v1</t>
        </is>
      </c>
      <c r="M2116" s="66" t="inlineStr">
        <is>
          <t>CTV 30s</t>
        </is>
      </c>
      <c r="N2116" s="66" t="inlineStr">
        <is>
          <t>The Lepas range has landed in SA</t>
        </is>
      </c>
      <c r="O2116" s="66" t="inlineStr">
        <is>
          <t>Auction - Fixed CPM</t>
        </is>
      </c>
      <c r="P2116" s="66" t="inlineStr">
        <is>
          <t>Completed Views + CPA</t>
        </is>
      </c>
      <c r="Q2116" s="66" t="inlineStr">
        <is>
          <t>https://www.lepas-sa.co.za/offers</t>
        </is>
      </c>
      <c r="R2116" s="121" t="n">
        <v>180.67</v>
      </c>
      <c r="S2116" s="122" t="n">
        <v>8187</v>
      </c>
      <c r="T2116" s="122" t="n">
        <v>4951</v>
      </c>
      <c r="U2116" s="123">
        <f>IFERROR(S2116/T2116,"")</f>
        <v/>
      </c>
      <c r="V2116" s="122" t="n">
        <v>25</v>
      </c>
      <c r="W2116" s="122" t="n">
        <v>21</v>
      </c>
      <c r="X2116" s="124">
        <f>IFERROR(W2116/S2116,"")</f>
        <v/>
      </c>
      <c r="Y2116" s="121">
        <f>IFERROR(R2116/W2116,"")</f>
        <v/>
      </c>
      <c r="Z2116" s="121">
        <f>IFERROR(R2116/S2116*1000,"")</f>
        <v/>
      </c>
      <c r="AA2116" s="122" t="n">
        <v>13</v>
      </c>
      <c r="AB2116" s="54">
        <f>IFERROR(AA2116/W2116,"")</f>
        <v/>
      </c>
      <c r="AC2116" s="122" t="n">
        <v>2463</v>
      </c>
      <c r="AD2116" s="122" t="n">
        <v>1120</v>
      </c>
      <c r="AE2116" s="122" t="n">
        <v>1034</v>
      </c>
      <c r="AF2116" s="122" t="n">
        <v>675</v>
      </c>
      <c r="AG2116" s="122" t="n">
        <v>529</v>
      </c>
      <c r="AH2116" s="122" t="n">
        <v>499</v>
      </c>
      <c r="AI2116" s="54">
        <f>IFERROR(AC2116/S2116,"")</f>
        <v/>
      </c>
      <c r="AJ2116" s="54">
        <f>IFERROR(AH2116/S2116,"")</f>
        <v/>
      </c>
      <c r="AK2116" s="122" t="n">
        <v>24</v>
      </c>
      <c r="AL2116" s="122" t="n">
        <v>0</v>
      </c>
      <c r="AM2116" s="124">
        <f>IFERROR(AL2116/AA2116,"")</f>
        <v/>
      </c>
      <c r="AN2116" s="125">
        <f>IFERROR(R2116/AL2116,"")</f>
        <v/>
      </c>
      <c r="AO2116" s="122" t="n">
        <v>0</v>
      </c>
      <c r="AP2116" s="54">
        <f>IFERROR(AO2116/AL2116,"")</f>
        <v/>
      </c>
      <c r="AQ2116" s="125">
        <f>IFERROR(R2116/AO2116,"")</f>
        <v/>
      </c>
      <c r="AR2116" s="122" t="n">
        <v>0</v>
      </c>
      <c r="AS2116" s="122" t="n">
        <v>0</v>
      </c>
      <c r="AT2116" s="122">
        <f>AL2116+AR2116</f>
        <v/>
      </c>
      <c r="AU2116" s="125">
        <f>IFERROR(AO2116*Assumptions!$C$26*Assumptions!$C$27*INDEX(Assumptions!$C$18:$C$21,MATCH(H2116,Assumptions!$B$18:$B$21,0)),0)</f>
        <v/>
      </c>
    </row>
    <row r="2117">
      <c r="A2117" s="120" t="n">
        <v>46248</v>
      </c>
      <c r="B2117" s="66" t="inlineStr">
        <is>
          <t>Wk 33</t>
        </is>
      </c>
      <c r="C2117" s="66" t="inlineStr">
        <is>
          <t>Fri</t>
        </is>
      </c>
      <c r="D2117" s="66" t="inlineStr">
        <is>
          <t>Programmatic</t>
        </is>
      </c>
      <c r="E2117" s="66" t="inlineStr">
        <is>
          <t>DV360</t>
        </is>
      </c>
      <c r="F2117" s="66" t="inlineStr">
        <is>
          <t>LEP_ZA_AUG26_PROG_TD_VIDEO_OLV</t>
        </is>
      </c>
      <c r="G2117" s="66" t="inlineStr">
        <is>
          <t>Online Video / CTV</t>
        </is>
      </c>
      <c r="H2117" s="66" t="inlineStr">
        <is>
          <t>Range</t>
        </is>
      </c>
      <c r="I2117" s="66" t="inlineStr">
        <is>
          <t>Range Offer</t>
        </is>
      </c>
      <c r="J2117" s="66" t="inlineStr">
        <is>
          <t>PROG_CTV_HOUSEHOLD</t>
        </is>
      </c>
      <c r="K2117" s="66" t="inlineStr">
        <is>
          <t>Prospecting</t>
        </is>
      </c>
      <c r="L2117" s="66" t="inlineStr">
        <is>
          <t>PROG_CTV_30s_BrandFilm_v1</t>
        </is>
      </c>
      <c r="M2117" s="66" t="inlineStr">
        <is>
          <t>CTV 30s</t>
        </is>
      </c>
      <c r="N2117" s="66" t="inlineStr">
        <is>
          <t>The Lepas range has landed in SA</t>
        </is>
      </c>
      <c r="O2117" s="66" t="inlineStr">
        <is>
          <t>Auction - Fixed CPM</t>
        </is>
      </c>
      <c r="P2117" s="66" t="inlineStr">
        <is>
          <t>Completed Views + CPA</t>
        </is>
      </c>
      <c r="Q2117" s="66" t="inlineStr">
        <is>
          <t>https://www.lepas-sa.co.za/offers</t>
        </is>
      </c>
      <c r="R2117" s="121" t="n">
        <v>184.49</v>
      </c>
      <c r="S2117" s="122" t="n">
        <v>7505</v>
      </c>
      <c r="T2117" s="122" t="n">
        <v>4235</v>
      </c>
      <c r="U2117" s="123">
        <f>IFERROR(S2117/T2117,"")</f>
        <v/>
      </c>
      <c r="V2117" s="122" t="n">
        <v>15</v>
      </c>
      <c r="W2117" s="122" t="n">
        <v>11</v>
      </c>
      <c r="X2117" s="124">
        <f>IFERROR(W2117/S2117,"")</f>
        <v/>
      </c>
      <c r="Y2117" s="121">
        <f>IFERROR(R2117/W2117,"")</f>
        <v/>
      </c>
      <c r="Z2117" s="121">
        <f>IFERROR(R2117/S2117*1000,"")</f>
        <v/>
      </c>
      <c r="AA2117" s="122" t="n">
        <v>8</v>
      </c>
      <c r="AB2117" s="54">
        <f>IFERROR(AA2117/W2117,"")</f>
        <v/>
      </c>
      <c r="AC2117" s="122" t="n">
        <v>2364</v>
      </c>
      <c r="AD2117" s="122" t="n">
        <v>1263</v>
      </c>
      <c r="AE2117" s="122" t="n">
        <v>1117</v>
      </c>
      <c r="AF2117" s="122" t="n">
        <v>782</v>
      </c>
      <c r="AG2117" s="122" t="n">
        <v>558</v>
      </c>
      <c r="AH2117" s="122" t="n">
        <v>527</v>
      </c>
      <c r="AI2117" s="54">
        <f>IFERROR(AC2117/S2117,"")</f>
        <v/>
      </c>
      <c r="AJ2117" s="54">
        <f>IFERROR(AH2117/S2117,"")</f>
        <v/>
      </c>
      <c r="AK2117" s="122" t="n">
        <v>40</v>
      </c>
      <c r="AL2117" s="122" t="n">
        <v>0</v>
      </c>
      <c r="AM2117" s="124">
        <f>IFERROR(AL2117/AA2117,"")</f>
        <v/>
      </c>
      <c r="AN2117" s="125">
        <f>IFERROR(R2117/AL2117,"")</f>
        <v/>
      </c>
      <c r="AO2117" s="122" t="n">
        <v>0</v>
      </c>
      <c r="AP2117" s="54">
        <f>IFERROR(AO2117/AL2117,"")</f>
        <v/>
      </c>
      <c r="AQ2117" s="125">
        <f>IFERROR(R2117/AO2117,"")</f>
        <v/>
      </c>
      <c r="AR2117" s="122" t="n">
        <v>0</v>
      </c>
      <c r="AS2117" s="122" t="n">
        <v>0</v>
      </c>
      <c r="AT2117" s="122">
        <f>AL2117+AR2117</f>
        <v/>
      </c>
      <c r="AU2117" s="125">
        <f>IFERROR(AO2117*Assumptions!$C$26*Assumptions!$C$27*INDEX(Assumptions!$C$18:$C$21,MATCH(H2117,Assumptions!$B$18:$B$21,0)),0)</f>
        <v/>
      </c>
    </row>
    <row r="2118">
      <c r="A2118" s="120" t="n">
        <v>46249</v>
      </c>
      <c r="B2118" s="66" t="inlineStr">
        <is>
          <t>Wk 33</t>
        </is>
      </c>
      <c r="C2118" s="66" t="inlineStr">
        <is>
          <t>Sat</t>
        </is>
      </c>
      <c r="D2118" s="66" t="inlineStr">
        <is>
          <t>Programmatic</t>
        </is>
      </c>
      <c r="E2118" s="66" t="inlineStr">
        <is>
          <t>DV360</t>
        </is>
      </c>
      <c r="F2118" s="66" t="inlineStr">
        <is>
          <t>LEP_ZA_AUG26_PROG_TD_VIDEO_OLV</t>
        </is>
      </c>
      <c r="G2118" s="66" t="inlineStr">
        <is>
          <t>Online Video / CTV</t>
        </is>
      </c>
      <c r="H2118" s="66" t="inlineStr">
        <is>
          <t>Range</t>
        </is>
      </c>
      <c r="I2118" s="66" t="inlineStr">
        <is>
          <t>Range Offer</t>
        </is>
      </c>
      <c r="J2118" s="66" t="inlineStr">
        <is>
          <t>PROG_CTV_HOUSEHOLD</t>
        </is>
      </c>
      <c r="K2118" s="66" t="inlineStr">
        <is>
          <t>Prospecting</t>
        </is>
      </c>
      <c r="L2118" s="66" t="inlineStr">
        <is>
          <t>PROG_CTV_30s_BrandFilm_v1</t>
        </is>
      </c>
      <c r="M2118" s="66" t="inlineStr">
        <is>
          <t>CTV 30s</t>
        </is>
      </c>
      <c r="N2118" s="66" t="inlineStr">
        <is>
          <t>The Lepas range has landed in SA</t>
        </is>
      </c>
      <c r="O2118" s="66" t="inlineStr">
        <is>
          <t>Auction - Fixed CPM</t>
        </is>
      </c>
      <c r="P2118" s="66" t="inlineStr">
        <is>
          <t>Completed Views + CPA</t>
        </is>
      </c>
      <c r="Q2118" s="66" t="inlineStr">
        <is>
          <t>https://www.lepas-sa.co.za/offers</t>
        </is>
      </c>
      <c r="R2118" s="121" t="n">
        <v>171.83</v>
      </c>
      <c r="S2118" s="122" t="n">
        <v>7702</v>
      </c>
      <c r="T2118" s="122" t="n">
        <v>5329</v>
      </c>
      <c r="U2118" s="123">
        <f>IFERROR(S2118/T2118,"")</f>
        <v/>
      </c>
      <c r="V2118" s="122" t="n">
        <v>15</v>
      </c>
      <c r="W2118" s="122" t="n">
        <v>11</v>
      </c>
      <c r="X2118" s="124">
        <f>IFERROR(W2118/S2118,"")</f>
        <v/>
      </c>
      <c r="Y2118" s="121">
        <f>IFERROR(R2118/W2118,"")</f>
        <v/>
      </c>
      <c r="Z2118" s="121">
        <f>IFERROR(R2118/S2118*1000,"")</f>
        <v/>
      </c>
      <c r="AA2118" s="122" t="n">
        <v>7</v>
      </c>
      <c r="AB2118" s="54">
        <f>IFERROR(AA2118/W2118,"")</f>
        <v/>
      </c>
      <c r="AC2118" s="122" t="n">
        <v>1962</v>
      </c>
      <c r="AD2118" s="122" t="n">
        <v>1139</v>
      </c>
      <c r="AE2118" s="122" t="n">
        <v>854</v>
      </c>
      <c r="AF2118" s="122" t="n">
        <v>459</v>
      </c>
      <c r="AG2118" s="122" t="n">
        <v>359</v>
      </c>
      <c r="AH2118" s="122" t="n">
        <v>325</v>
      </c>
      <c r="AI2118" s="54">
        <f>IFERROR(AC2118/S2118,"")</f>
        <v/>
      </c>
      <c r="AJ2118" s="54">
        <f>IFERROR(AH2118/S2118,"")</f>
        <v/>
      </c>
      <c r="AK2118" s="122" t="n">
        <v>26</v>
      </c>
      <c r="AL2118" s="122" t="n">
        <v>0</v>
      </c>
      <c r="AM2118" s="124">
        <f>IFERROR(AL2118/AA2118,"")</f>
        <v/>
      </c>
      <c r="AN2118" s="125">
        <f>IFERROR(R2118/AL2118,"")</f>
        <v/>
      </c>
      <c r="AO2118" s="122" t="n">
        <v>0</v>
      </c>
      <c r="AP2118" s="54">
        <f>IFERROR(AO2118/AL2118,"")</f>
        <v/>
      </c>
      <c r="AQ2118" s="125">
        <f>IFERROR(R2118/AO2118,"")</f>
        <v/>
      </c>
      <c r="AR2118" s="122" t="n">
        <v>0</v>
      </c>
      <c r="AS2118" s="122" t="n">
        <v>0</v>
      </c>
      <c r="AT2118" s="122">
        <f>AL2118+AR2118</f>
        <v/>
      </c>
      <c r="AU2118" s="125">
        <f>IFERROR(AO2118*Assumptions!$C$26*Assumptions!$C$27*INDEX(Assumptions!$C$18:$C$21,MATCH(H2118,Assumptions!$B$18:$B$21,0)),0)</f>
        <v/>
      </c>
    </row>
    <row r="2119">
      <c r="A2119" s="120" t="n">
        <v>46250</v>
      </c>
      <c r="B2119" s="66" t="inlineStr">
        <is>
          <t>Wk 33</t>
        </is>
      </c>
      <c r="C2119" s="66" t="inlineStr">
        <is>
          <t>Sun</t>
        </is>
      </c>
      <c r="D2119" s="66" t="inlineStr">
        <is>
          <t>Programmatic</t>
        </is>
      </c>
      <c r="E2119" s="66" t="inlineStr">
        <is>
          <t>DV360</t>
        </is>
      </c>
      <c r="F2119" s="66" t="inlineStr">
        <is>
          <t>LEP_ZA_AUG26_PROG_TD_VIDEO_OLV</t>
        </is>
      </c>
      <c r="G2119" s="66" t="inlineStr">
        <is>
          <t>Online Video / CTV</t>
        </is>
      </c>
      <c r="H2119" s="66" t="inlineStr">
        <is>
          <t>Range</t>
        </is>
      </c>
      <c r="I2119" s="66" t="inlineStr">
        <is>
          <t>Range Offer</t>
        </is>
      </c>
      <c r="J2119" s="66" t="inlineStr">
        <is>
          <t>PROG_CTV_HOUSEHOLD</t>
        </is>
      </c>
      <c r="K2119" s="66" t="inlineStr">
        <is>
          <t>Prospecting</t>
        </is>
      </c>
      <c r="L2119" s="66" t="inlineStr">
        <is>
          <t>PROG_CTV_30s_BrandFilm_v1</t>
        </is>
      </c>
      <c r="M2119" s="66" t="inlineStr">
        <is>
          <t>CTV 30s</t>
        </is>
      </c>
      <c r="N2119" s="66" t="inlineStr">
        <is>
          <t>The Lepas range has landed in SA</t>
        </is>
      </c>
      <c r="O2119" s="66" t="inlineStr">
        <is>
          <t>Auction - Fixed CPM</t>
        </is>
      </c>
      <c r="P2119" s="66" t="inlineStr">
        <is>
          <t>Completed Views + CPA</t>
        </is>
      </c>
      <c r="Q2119" s="66" t="inlineStr">
        <is>
          <t>https://www.lepas-sa.co.za/offers</t>
        </is>
      </c>
      <c r="R2119" s="121" t="n">
        <v>117.79</v>
      </c>
      <c r="S2119" s="122" t="n">
        <v>4003</v>
      </c>
      <c r="T2119" s="122" t="n">
        <v>1670</v>
      </c>
      <c r="U2119" s="123">
        <f>IFERROR(S2119/T2119,"")</f>
        <v/>
      </c>
      <c r="V2119" s="122" t="n">
        <v>6</v>
      </c>
      <c r="W2119" s="122" t="n">
        <v>5</v>
      </c>
      <c r="X2119" s="124">
        <f>IFERROR(W2119/S2119,"")</f>
        <v/>
      </c>
      <c r="Y2119" s="121">
        <f>IFERROR(R2119/W2119,"")</f>
        <v/>
      </c>
      <c r="Z2119" s="121">
        <f>IFERROR(R2119/S2119*1000,"")</f>
        <v/>
      </c>
      <c r="AA2119" s="122" t="n">
        <v>4</v>
      </c>
      <c r="AB2119" s="54">
        <f>IFERROR(AA2119/W2119,"")</f>
        <v/>
      </c>
      <c r="AC2119" s="122" t="n">
        <v>1257</v>
      </c>
      <c r="AD2119" s="122" t="n">
        <v>778</v>
      </c>
      <c r="AE2119" s="122" t="n">
        <v>602</v>
      </c>
      <c r="AF2119" s="122" t="n">
        <v>337</v>
      </c>
      <c r="AG2119" s="122" t="n">
        <v>227</v>
      </c>
      <c r="AH2119" s="122" t="n">
        <v>211</v>
      </c>
      <c r="AI2119" s="54">
        <f>IFERROR(AC2119/S2119,"")</f>
        <v/>
      </c>
      <c r="AJ2119" s="54">
        <f>IFERROR(AH2119/S2119,"")</f>
        <v/>
      </c>
      <c r="AK2119" s="122" t="n">
        <v>5</v>
      </c>
      <c r="AL2119" s="122" t="n">
        <v>0</v>
      </c>
      <c r="AM2119" s="124">
        <f>IFERROR(AL2119/AA2119,"")</f>
        <v/>
      </c>
      <c r="AN2119" s="125">
        <f>IFERROR(R2119/AL2119,"")</f>
        <v/>
      </c>
      <c r="AO2119" s="122" t="n">
        <v>0</v>
      </c>
      <c r="AP2119" s="54">
        <f>IFERROR(AO2119/AL2119,"")</f>
        <v/>
      </c>
      <c r="AQ2119" s="125">
        <f>IFERROR(R2119/AO2119,"")</f>
        <v/>
      </c>
      <c r="AR2119" s="122" t="n">
        <v>0</v>
      </c>
      <c r="AS2119" s="122" t="n">
        <v>0</v>
      </c>
      <c r="AT2119" s="122">
        <f>AL2119+AR2119</f>
        <v/>
      </c>
      <c r="AU2119" s="125">
        <f>IFERROR(AO2119*Assumptions!$C$26*Assumptions!$C$27*INDEX(Assumptions!$C$18:$C$21,MATCH(H2119,Assumptions!$B$18:$B$21,0)),0)</f>
        <v/>
      </c>
    </row>
    <row r="2120">
      <c r="A2120" s="120" t="n">
        <v>46251</v>
      </c>
      <c r="B2120" s="66" t="inlineStr">
        <is>
          <t>Wk 34</t>
        </is>
      </c>
      <c r="C2120" s="66" t="inlineStr">
        <is>
          <t>Mon</t>
        </is>
      </c>
      <c r="D2120" s="66" t="inlineStr">
        <is>
          <t>Programmatic</t>
        </is>
      </c>
      <c r="E2120" s="66" t="inlineStr">
        <is>
          <t>DV360</t>
        </is>
      </c>
      <c r="F2120" s="66" t="inlineStr">
        <is>
          <t>LEP_ZA_AUG26_PROG_TD_VIDEO_OLV</t>
        </is>
      </c>
      <c r="G2120" s="66" t="inlineStr">
        <is>
          <t>Online Video / CTV</t>
        </is>
      </c>
      <c r="H2120" s="66" t="inlineStr">
        <is>
          <t>Range</t>
        </is>
      </c>
      <c r="I2120" s="66" t="inlineStr">
        <is>
          <t>Range Offer</t>
        </is>
      </c>
      <c r="J2120" s="66" t="inlineStr">
        <is>
          <t>PROG_CTV_HOUSEHOLD</t>
        </is>
      </c>
      <c r="K2120" s="66" t="inlineStr">
        <is>
          <t>Prospecting</t>
        </is>
      </c>
      <c r="L2120" s="66" t="inlineStr">
        <is>
          <t>PROG_CTV_30s_BrandFilm_v1</t>
        </is>
      </c>
      <c r="M2120" s="66" t="inlineStr">
        <is>
          <t>CTV 30s</t>
        </is>
      </c>
      <c r="N2120" s="66" t="inlineStr">
        <is>
          <t>The Lepas range has landed in SA</t>
        </is>
      </c>
      <c r="O2120" s="66" t="inlineStr">
        <is>
          <t>Auction - Fixed CPM</t>
        </is>
      </c>
      <c r="P2120" s="66" t="inlineStr">
        <is>
          <t>Completed Views + CPA</t>
        </is>
      </c>
      <c r="Q2120" s="66" t="inlineStr">
        <is>
          <t>https://www.lepas-sa.co.za/offers</t>
        </is>
      </c>
      <c r="R2120" s="121" t="n">
        <v>151.26</v>
      </c>
      <c r="S2120" s="122" t="n">
        <v>7777</v>
      </c>
      <c r="T2120" s="122" t="n">
        <v>3388</v>
      </c>
      <c r="U2120" s="123">
        <f>IFERROR(S2120/T2120,"")</f>
        <v/>
      </c>
      <c r="V2120" s="122" t="n">
        <v>18</v>
      </c>
      <c r="W2120" s="122" t="n">
        <v>14</v>
      </c>
      <c r="X2120" s="124">
        <f>IFERROR(W2120/S2120,"")</f>
        <v/>
      </c>
      <c r="Y2120" s="121">
        <f>IFERROR(R2120/W2120,"")</f>
        <v/>
      </c>
      <c r="Z2120" s="121">
        <f>IFERROR(R2120/S2120*1000,"")</f>
        <v/>
      </c>
      <c r="AA2120" s="122" t="n">
        <v>9</v>
      </c>
      <c r="AB2120" s="54">
        <f>IFERROR(AA2120/W2120,"")</f>
        <v/>
      </c>
      <c r="AC2120" s="122" t="n">
        <v>3109</v>
      </c>
      <c r="AD2120" s="122" t="n">
        <v>1947</v>
      </c>
      <c r="AE2120" s="122" t="n">
        <v>1236</v>
      </c>
      <c r="AF2120" s="122" t="n">
        <v>742</v>
      </c>
      <c r="AG2120" s="122" t="n">
        <v>568</v>
      </c>
      <c r="AH2120" s="122" t="n">
        <v>543</v>
      </c>
      <c r="AI2120" s="54">
        <f>IFERROR(AC2120/S2120,"")</f>
        <v/>
      </c>
      <c r="AJ2120" s="54">
        <f>IFERROR(AH2120/S2120,"")</f>
        <v/>
      </c>
      <c r="AK2120" s="122" t="n">
        <v>28</v>
      </c>
      <c r="AL2120" s="122" t="n">
        <v>0</v>
      </c>
      <c r="AM2120" s="124">
        <f>IFERROR(AL2120/AA2120,"")</f>
        <v/>
      </c>
      <c r="AN2120" s="125">
        <f>IFERROR(R2120/AL2120,"")</f>
        <v/>
      </c>
      <c r="AO2120" s="122" t="n">
        <v>0</v>
      </c>
      <c r="AP2120" s="54">
        <f>IFERROR(AO2120/AL2120,"")</f>
        <v/>
      </c>
      <c r="AQ2120" s="125">
        <f>IFERROR(R2120/AO2120,"")</f>
        <v/>
      </c>
      <c r="AR2120" s="122" t="n">
        <v>0</v>
      </c>
      <c r="AS2120" s="122" t="n">
        <v>0</v>
      </c>
      <c r="AT2120" s="122">
        <f>AL2120+AR2120</f>
        <v/>
      </c>
      <c r="AU2120" s="125">
        <f>IFERROR(AO2120*Assumptions!$C$26*Assumptions!$C$27*INDEX(Assumptions!$C$18:$C$21,MATCH(H2120,Assumptions!$B$18:$B$21,0)),0)</f>
        <v/>
      </c>
    </row>
    <row r="2121">
      <c r="A2121" s="120" t="n">
        <v>46252</v>
      </c>
      <c r="B2121" s="66" t="inlineStr">
        <is>
          <t>Wk 34</t>
        </is>
      </c>
      <c r="C2121" s="66" t="inlineStr">
        <is>
          <t>Tue</t>
        </is>
      </c>
      <c r="D2121" s="66" t="inlineStr">
        <is>
          <t>Programmatic</t>
        </is>
      </c>
      <c r="E2121" s="66" t="inlineStr">
        <is>
          <t>DV360</t>
        </is>
      </c>
      <c r="F2121" s="66" t="inlineStr">
        <is>
          <t>LEP_ZA_AUG26_PROG_TD_VIDEO_OLV</t>
        </is>
      </c>
      <c r="G2121" s="66" t="inlineStr">
        <is>
          <t>Online Video / CTV</t>
        </is>
      </c>
      <c r="H2121" s="66" t="inlineStr">
        <is>
          <t>Range</t>
        </is>
      </c>
      <c r="I2121" s="66" t="inlineStr">
        <is>
          <t>Range Offer</t>
        </is>
      </c>
      <c r="J2121" s="66" t="inlineStr">
        <is>
          <t>PROG_CTV_HOUSEHOLD</t>
        </is>
      </c>
      <c r="K2121" s="66" t="inlineStr">
        <is>
          <t>Prospecting</t>
        </is>
      </c>
      <c r="L2121" s="66" t="inlineStr">
        <is>
          <t>PROG_CTV_30s_BrandFilm_v1</t>
        </is>
      </c>
      <c r="M2121" s="66" t="inlineStr">
        <is>
          <t>CTV 30s</t>
        </is>
      </c>
      <c r="N2121" s="66" t="inlineStr">
        <is>
          <t>The Lepas range has landed in SA</t>
        </is>
      </c>
      <c r="O2121" s="66" t="inlineStr">
        <is>
          <t>Auction - Fixed CPM</t>
        </is>
      </c>
      <c r="P2121" s="66" t="inlineStr">
        <is>
          <t>Completed Views + CPA</t>
        </is>
      </c>
      <c r="Q2121" s="66" t="inlineStr">
        <is>
          <t>https://www.lepas-sa.co.za/offers</t>
        </is>
      </c>
      <c r="R2121" s="121" t="n">
        <v>161.46</v>
      </c>
      <c r="S2121" s="122" t="n">
        <v>7488</v>
      </c>
      <c r="T2121" s="122" t="n">
        <v>3190</v>
      </c>
      <c r="U2121" s="123">
        <f>IFERROR(S2121/T2121,"")</f>
        <v/>
      </c>
      <c r="V2121" s="122" t="n">
        <v>22</v>
      </c>
      <c r="W2121" s="122" t="n">
        <v>17</v>
      </c>
      <c r="X2121" s="124">
        <f>IFERROR(W2121/S2121,"")</f>
        <v/>
      </c>
      <c r="Y2121" s="121">
        <f>IFERROR(R2121/W2121,"")</f>
        <v/>
      </c>
      <c r="Z2121" s="121">
        <f>IFERROR(R2121/S2121*1000,"")</f>
        <v/>
      </c>
      <c r="AA2121" s="122" t="n">
        <v>11</v>
      </c>
      <c r="AB2121" s="54">
        <f>IFERROR(AA2121/W2121,"")</f>
        <v/>
      </c>
      <c r="AC2121" s="122" t="n">
        <v>2691</v>
      </c>
      <c r="AD2121" s="122" t="n">
        <v>1487</v>
      </c>
      <c r="AE2121" s="122" t="n">
        <v>989</v>
      </c>
      <c r="AF2121" s="122" t="n">
        <v>539</v>
      </c>
      <c r="AG2121" s="122" t="n">
        <v>392</v>
      </c>
      <c r="AH2121" s="122" t="n">
        <v>373</v>
      </c>
      <c r="AI2121" s="54">
        <f>IFERROR(AC2121/S2121,"")</f>
        <v/>
      </c>
      <c r="AJ2121" s="54">
        <f>IFERROR(AH2121/S2121,"")</f>
        <v/>
      </c>
      <c r="AK2121" s="122" t="n">
        <v>43</v>
      </c>
      <c r="AL2121" s="122" t="n">
        <v>0</v>
      </c>
      <c r="AM2121" s="124">
        <f>IFERROR(AL2121/AA2121,"")</f>
        <v/>
      </c>
      <c r="AN2121" s="125">
        <f>IFERROR(R2121/AL2121,"")</f>
        <v/>
      </c>
      <c r="AO2121" s="122" t="n">
        <v>0</v>
      </c>
      <c r="AP2121" s="54">
        <f>IFERROR(AO2121/AL2121,"")</f>
        <v/>
      </c>
      <c r="AQ2121" s="125">
        <f>IFERROR(R2121/AO2121,"")</f>
        <v/>
      </c>
      <c r="AR2121" s="122" t="n">
        <v>0</v>
      </c>
      <c r="AS2121" s="122" t="n">
        <v>0</v>
      </c>
      <c r="AT2121" s="122">
        <f>AL2121+AR2121</f>
        <v/>
      </c>
      <c r="AU2121" s="125">
        <f>IFERROR(AO2121*Assumptions!$C$26*Assumptions!$C$27*INDEX(Assumptions!$C$18:$C$21,MATCH(H2121,Assumptions!$B$18:$B$21,0)),0)</f>
        <v/>
      </c>
    </row>
    <row r="2122">
      <c r="A2122" s="120" t="n">
        <v>46253</v>
      </c>
      <c r="B2122" s="66" t="inlineStr">
        <is>
          <t>Wk 34</t>
        </is>
      </c>
      <c r="C2122" s="66" t="inlineStr">
        <is>
          <t>Wed</t>
        </is>
      </c>
      <c r="D2122" s="66" t="inlineStr">
        <is>
          <t>Programmatic</t>
        </is>
      </c>
      <c r="E2122" s="66" t="inlineStr">
        <is>
          <t>DV360</t>
        </is>
      </c>
      <c r="F2122" s="66" t="inlineStr">
        <is>
          <t>LEP_ZA_AUG26_PROG_TD_VIDEO_OLV</t>
        </is>
      </c>
      <c r="G2122" s="66" t="inlineStr">
        <is>
          <t>Online Video / CTV</t>
        </is>
      </c>
      <c r="H2122" s="66" t="inlineStr">
        <is>
          <t>Range</t>
        </is>
      </c>
      <c r="I2122" s="66" t="inlineStr">
        <is>
          <t>Range Offer</t>
        </is>
      </c>
      <c r="J2122" s="66" t="inlineStr">
        <is>
          <t>PROG_CTV_HOUSEHOLD</t>
        </is>
      </c>
      <c r="K2122" s="66" t="inlineStr">
        <is>
          <t>Prospecting</t>
        </is>
      </c>
      <c r="L2122" s="66" t="inlineStr">
        <is>
          <t>PROG_CTV_30s_BrandFilm_v1</t>
        </is>
      </c>
      <c r="M2122" s="66" t="inlineStr">
        <is>
          <t>CTV 30s</t>
        </is>
      </c>
      <c r="N2122" s="66" t="inlineStr">
        <is>
          <t>The Lepas range has landed in SA</t>
        </is>
      </c>
      <c r="O2122" s="66" t="inlineStr">
        <is>
          <t>Auction - Fixed CPM</t>
        </is>
      </c>
      <c r="P2122" s="66" t="inlineStr">
        <is>
          <t>Completed Views + CPA</t>
        </is>
      </c>
      <c r="Q2122" s="66" t="inlineStr">
        <is>
          <t>https://www.lepas-sa.co.za/offers</t>
        </is>
      </c>
      <c r="R2122" s="121" t="n">
        <v>142.45</v>
      </c>
      <c r="S2122" s="122" t="n">
        <v>4802</v>
      </c>
      <c r="T2122" s="122" t="n">
        <v>1905</v>
      </c>
      <c r="U2122" s="123">
        <f>IFERROR(S2122/T2122,"")</f>
        <v/>
      </c>
      <c r="V2122" s="122" t="n">
        <v>9</v>
      </c>
      <c r="W2122" s="122" t="n">
        <v>7</v>
      </c>
      <c r="X2122" s="124">
        <f>IFERROR(W2122/S2122,"")</f>
        <v/>
      </c>
      <c r="Y2122" s="121">
        <f>IFERROR(R2122/W2122,"")</f>
        <v/>
      </c>
      <c r="Z2122" s="121">
        <f>IFERROR(R2122/S2122*1000,"")</f>
        <v/>
      </c>
      <c r="AA2122" s="122" t="n">
        <v>5</v>
      </c>
      <c r="AB2122" s="54">
        <f>IFERROR(AA2122/W2122,"")</f>
        <v/>
      </c>
      <c r="AC2122" s="122" t="n">
        <v>1901</v>
      </c>
      <c r="AD2122" s="122" t="n">
        <v>924</v>
      </c>
      <c r="AE2122" s="122" t="n">
        <v>982</v>
      </c>
      <c r="AF2122" s="122" t="n">
        <v>531</v>
      </c>
      <c r="AG2122" s="122" t="n">
        <v>424</v>
      </c>
      <c r="AH2122" s="122" t="n">
        <v>406</v>
      </c>
      <c r="AI2122" s="54">
        <f>IFERROR(AC2122/S2122,"")</f>
        <v/>
      </c>
      <c r="AJ2122" s="54">
        <f>IFERROR(AH2122/S2122,"")</f>
        <v/>
      </c>
      <c r="AK2122" s="122" t="n">
        <v>16</v>
      </c>
      <c r="AL2122" s="122" t="n">
        <v>0</v>
      </c>
      <c r="AM2122" s="124">
        <f>IFERROR(AL2122/AA2122,"")</f>
        <v/>
      </c>
      <c r="AN2122" s="125">
        <f>IFERROR(R2122/AL2122,"")</f>
        <v/>
      </c>
      <c r="AO2122" s="122" t="n">
        <v>0</v>
      </c>
      <c r="AP2122" s="54">
        <f>IFERROR(AO2122/AL2122,"")</f>
        <v/>
      </c>
      <c r="AQ2122" s="125">
        <f>IFERROR(R2122/AO2122,"")</f>
        <v/>
      </c>
      <c r="AR2122" s="122" t="n">
        <v>0</v>
      </c>
      <c r="AS2122" s="122" t="n">
        <v>0</v>
      </c>
      <c r="AT2122" s="122">
        <f>AL2122+AR2122</f>
        <v/>
      </c>
      <c r="AU2122" s="125">
        <f>IFERROR(AO2122*Assumptions!$C$26*Assumptions!$C$27*INDEX(Assumptions!$C$18:$C$21,MATCH(H2122,Assumptions!$B$18:$B$21,0)),0)</f>
        <v/>
      </c>
    </row>
    <row r="2123">
      <c r="A2123" s="120" t="n">
        <v>46254</v>
      </c>
      <c r="B2123" s="66" t="inlineStr">
        <is>
          <t>Wk 34</t>
        </is>
      </c>
      <c r="C2123" s="66" t="inlineStr">
        <is>
          <t>Thu</t>
        </is>
      </c>
      <c r="D2123" s="66" t="inlineStr">
        <is>
          <t>Programmatic</t>
        </is>
      </c>
      <c r="E2123" s="66" t="inlineStr">
        <is>
          <t>DV360</t>
        </is>
      </c>
      <c r="F2123" s="66" t="inlineStr">
        <is>
          <t>LEP_ZA_AUG26_PROG_TD_VIDEO_OLV</t>
        </is>
      </c>
      <c r="G2123" s="66" t="inlineStr">
        <is>
          <t>Online Video / CTV</t>
        </is>
      </c>
      <c r="H2123" s="66" t="inlineStr">
        <is>
          <t>Range</t>
        </is>
      </c>
      <c r="I2123" s="66" t="inlineStr">
        <is>
          <t>Range Offer</t>
        </is>
      </c>
      <c r="J2123" s="66" t="inlineStr">
        <is>
          <t>PROG_CTV_HOUSEHOLD</t>
        </is>
      </c>
      <c r="K2123" s="66" t="inlineStr">
        <is>
          <t>Prospecting</t>
        </is>
      </c>
      <c r="L2123" s="66" t="inlineStr">
        <is>
          <t>PROG_CTV_30s_BrandFilm_v1</t>
        </is>
      </c>
      <c r="M2123" s="66" t="inlineStr">
        <is>
          <t>CTV 30s</t>
        </is>
      </c>
      <c r="N2123" s="66" t="inlineStr">
        <is>
          <t>The Lepas range has landed in SA</t>
        </is>
      </c>
      <c r="O2123" s="66" t="inlineStr">
        <is>
          <t>Auction - Fixed CPM</t>
        </is>
      </c>
      <c r="P2123" s="66" t="inlineStr">
        <is>
          <t>Completed Views + CPA</t>
        </is>
      </c>
      <c r="Q2123" s="66" t="inlineStr">
        <is>
          <t>https://www.lepas-sa.co.za/offers</t>
        </is>
      </c>
      <c r="R2123" s="121" t="n">
        <v>156.3</v>
      </c>
      <c r="S2123" s="122" t="n">
        <v>5828</v>
      </c>
      <c r="T2123" s="122" t="n">
        <v>3527</v>
      </c>
      <c r="U2123" s="123">
        <f>IFERROR(S2123/T2123,"")</f>
        <v/>
      </c>
      <c r="V2123" s="122" t="n">
        <v>18</v>
      </c>
      <c r="W2123" s="122" t="n">
        <v>13</v>
      </c>
      <c r="X2123" s="124">
        <f>IFERROR(W2123/S2123,"")</f>
        <v/>
      </c>
      <c r="Y2123" s="121">
        <f>IFERROR(R2123/W2123,"")</f>
        <v/>
      </c>
      <c r="Z2123" s="121">
        <f>IFERROR(R2123/S2123*1000,"")</f>
        <v/>
      </c>
      <c r="AA2123" s="122" t="n">
        <v>9</v>
      </c>
      <c r="AB2123" s="54">
        <f>IFERROR(AA2123/W2123,"")</f>
        <v/>
      </c>
      <c r="AC2123" s="122" t="n">
        <v>1905</v>
      </c>
      <c r="AD2123" s="122" t="n">
        <v>1186</v>
      </c>
      <c r="AE2123" s="122" t="n">
        <v>1024</v>
      </c>
      <c r="AF2123" s="122" t="n">
        <v>682</v>
      </c>
      <c r="AG2123" s="122" t="n">
        <v>447</v>
      </c>
      <c r="AH2123" s="122" t="n">
        <v>420</v>
      </c>
      <c r="AI2123" s="54">
        <f>IFERROR(AC2123/S2123,"")</f>
        <v/>
      </c>
      <c r="AJ2123" s="54">
        <f>IFERROR(AH2123/S2123,"")</f>
        <v/>
      </c>
      <c r="AK2123" s="122" t="n">
        <v>21</v>
      </c>
      <c r="AL2123" s="122" t="n">
        <v>0</v>
      </c>
      <c r="AM2123" s="124">
        <f>IFERROR(AL2123/AA2123,"")</f>
        <v/>
      </c>
      <c r="AN2123" s="125">
        <f>IFERROR(R2123/AL2123,"")</f>
        <v/>
      </c>
      <c r="AO2123" s="122" t="n">
        <v>0</v>
      </c>
      <c r="AP2123" s="54">
        <f>IFERROR(AO2123/AL2123,"")</f>
        <v/>
      </c>
      <c r="AQ2123" s="125">
        <f>IFERROR(R2123/AO2123,"")</f>
        <v/>
      </c>
      <c r="AR2123" s="122" t="n">
        <v>0</v>
      </c>
      <c r="AS2123" s="122" t="n">
        <v>0</v>
      </c>
      <c r="AT2123" s="122">
        <f>AL2123+AR2123</f>
        <v/>
      </c>
      <c r="AU2123" s="125">
        <f>IFERROR(AO2123*Assumptions!$C$26*Assumptions!$C$27*INDEX(Assumptions!$C$18:$C$21,MATCH(H2123,Assumptions!$B$18:$B$21,0)),0)</f>
        <v/>
      </c>
    </row>
    <row r="2124">
      <c r="A2124" s="120" t="n">
        <v>46255</v>
      </c>
      <c r="B2124" s="66" t="inlineStr">
        <is>
          <t>Wk 34</t>
        </is>
      </c>
      <c r="C2124" s="66" t="inlineStr">
        <is>
          <t>Fri</t>
        </is>
      </c>
      <c r="D2124" s="66" t="inlineStr">
        <is>
          <t>Programmatic</t>
        </is>
      </c>
      <c r="E2124" s="66" t="inlineStr">
        <is>
          <t>DV360</t>
        </is>
      </c>
      <c r="F2124" s="66" t="inlineStr">
        <is>
          <t>LEP_ZA_AUG26_PROG_TD_VIDEO_OLV</t>
        </is>
      </c>
      <c r="G2124" s="66" t="inlineStr">
        <is>
          <t>Online Video / CTV</t>
        </is>
      </c>
      <c r="H2124" s="66" t="inlineStr">
        <is>
          <t>Range</t>
        </is>
      </c>
      <c r="I2124" s="66" t="inlineStr">
        <is>
          <t>Range Offer</t>
        </is>
      </c>
      <c r="J2124" s="66" t="inlineStr">
        <is>
          <t>PROG_CTV_HOUSEHOLD</t>
        </is>
      </c>
      <c r="K2124" s="66" t="inlineStr">
        <is>
          <t>Prospecting</t>
        </is>
      </c>
      <c r="L2124" s="66" t="inlineStr">
        <is>
          <t>PROG_CTV_30s_BrandFilm_v1</t>
        </is>
      </c>
      <c r="M2124" s="66" t="inlineStr">
        <is>
          <t>CTV 30s</t>
        </is>
      </c>
      <c r="N2124" s="66" t="inlineStr">
        <is>
          <t>The Lepas range has landed in SA</t>
        </is>
      </c>
      <c r="O2124" s="66" t="inlineStr">
        <is>
          <t>Auction - Fixed CPM</t>
        </is>
      </c>
      <c r="P2124" s="66" t="inlineStr">
        <is>
          <t>Completed Views + CPA</t>
        </is>
      </c>
      <c r="Q2124" s="66" t="inlineStr">
        <is>
          <t>https://www.lepas-sa.co.za/offers</t>
        </is>
      </c>
      <c r="R2124" s="121" t="n">
        <v>169.99</v>
      </c>
      <c r="S2124" s="122" t="n">
        <v>7442</v>
      </c>
      <c r="T2124" s="122" t="n">
        <v>4562</v>
      </c>
      <c r="U2124" s="123">
        <f>IFERROR(S2124/T2124,"")</f>
        <v/>
      </c>
      <c r="V2124" s="122" t="n">
        <v>7</v>
      </c>
      <c r="W2124" s="122" t="n">
        <v>5</v>
      </c>
      <c r="X2124" s="124">
        <f>IFERROR(W2124/S2124,"")</f>
        <v/>
      </c>
      <c r="Y2124" s="121">
        <f>IFERROR(R2124/W2124,"")</f>
        <v/>
      </c>
      <c r="Z2124" s="121">
        <f>IFERROR(R2124/S2124*1000,"")</f>
        <v/>
      </c>
      <c r="AA2124" s="122" t="n">
        <v>3</v>
      </c>
      <c r="AB2124" s="54">
        <f>IFERROR(AA2124/W2124,"")</f>
        <v/>
      </c>
      <c r="AC2124" s="122" t="n">
        <v>2586</v>
      </c>
      <c r="AD2124" s="122" t="n">
        <v>1587</v>
      </c>
      <c r="AE2124" s="122" t="n">
        <v>935</v>
      </c>
      <c r="AF2124" s="122" t="n">
        <v>655</v>
      </c>
      <c r="AG2124" s="122" t="n">
        <v>414</v>
      </c>
      <c r="AH2124" s="122" t="n">
        <v>380</v>
      </c>
      <c r="AI2124" s="54">
        <f>IFERROR(AC2124/S2124,"")</f>
        <v/>
      </c>
      <c r="AJ2124" s="54">
        <f>IFERROR(AH2124/S2124,"")</f>
        <v/>
      </c>
      <c r="AK2124" s="122" t="n">
        <v>45</v>
      </c>
      <c r="AL2124" s="122" t="n">
        <v>0</v>
      </c>
      <c r="AM2124" s="124">
        <f>IFERROR(AL2124/AA2124,"")</f>
        <v/>
      </c>
      <c r="AN2124" s="125">
        <f>IFERROR(R2124/AL2124,"")</f>
        <v/>
      </c>
      <c r="AO2124" s="122" t="n">
        <v>0</v>
      </c>
      <c r="AP2124" s="54">
        <f>IFERROR(AO2124/AL2124,"")</f>
        <v/>
      </c>
      <c r="AQ2124" s="125">
        <f>IFERROR(R2124/AO2124,"")</f>
        <v/>
      </c>
      <c r="AR2124" s="122" t="n">
        <v>0</v>
      </c>
      <c r="AS2124" s="122" t="n">
        <v>0</v>
      </c>
      <c r="AT2124" s="122">
        <f>AL2124+AR2124</f>
        <v/>
      </c>
      <c r="AU2124" s="125">
        <f>IFERROR(AO2124*Assumptions!$C$26*Assumptions!$C$27*INDEX(Assumptions!$C$18:$C$21,MATCH(H2124,Assumptions!$B$18:$B$21,0)),0)</f>
        <v/>
      </c>
    </row>
    <row r="2125">
      <c r="A2125" s="120" t="n">
        <v>46256</v>
      </c>
      <c r="B2125" s="66" t="inlineStr">
        <is>
          <t>Wk 34</t>
        </is>
      </c>
      <c r="C2125" s="66" t="inlineStr">
        <is>
          <t>Sat</t>
        </is>
      </c>
      <c r="D2125" s="66" t="inlineStr">
        <is>
          <t>Programmatic</t>
        </is>
      </c>
      <c r="E2125" s="66" t="inlineStr">
        <is>
          <t>DV360</t>
        </is>
      </c>
      <c r="F2125" s="66" t="inlineStr">
        <is>
          <t>LEP_ZA_AUG26_PROG_TD_VIDEO_OLV</t>
        </is>
      </c>
      <c r="G2125" s="66" t="inlineStr">
        <is>
          <t>Online Video / CTV</t>
        </is>
      </c>
      <c r="H2125" s="66" t="inlineStr">
        <is>
          <t>Range</t>
        </is>
      </c>
      <c r="I2125" s="66" t="inlineStr">
        <is>
          <t>Range Offer</t>
        </is>
      </c>
      <c r="J2125" s="66" t="inlineStr">
        <is>
          <t>PROG_CTV_HOUSEHOLD</t>
        </is>
      </c>
      <c r="K2125" s="66" t="inlineStr">
        <is>
          <t>Prospecting</t>
        </is>
      </c>
      <c r="L2125" s="66" t="inlineStr">
        <is>
          <t>PROG_CTV_30s_BrandFilm_v1</t>
        </is>
      </c>
      <c r="M2125" s="66" t="inlineStr">
        <is>
          <t>CTV 30s</t>
        </is>
      </c>
      <c r="N2125" s="66" t="inlineStr">
        <is>
          <t>The Lepas range has landed in SA</t>
        </is>
      </c>
      <c r="O2125" s="66" t="inlineStr">
        <is>
          <t>Auction - Fixed CPM</t>
        </is>
      </c>
      <c r="P2125" s="66" t="inlineStr">
        <is>
          <t>Completed Views + CPA</t>
        </is>
      </c>
      <c r="Q2125" s="66" t="inlineStr">
        <is>
          <t>https://www.lepas-sa.co.za/offers</t>
        </is>
      </c>
      <c r="R2125" s="121" t="n">
        <v>155.04</v>
      </c>
      <c r="S2125" s="122" t="n">
        <v>5392</v>
      </c>
      <c r="T2125" s="122" t="n">
        <v>2178</v>
      </c>
      <c r="U2125" s="123">
        <f>IFERROR(S2125/T2125,"")</f>
        <v/>
      </c>
      <c r="V2125" s="122" t="n">
        <v>8</v>
      </c>
      <c r="W2125" s="122" t="n">
        <v>6</v>
      </c>
      <c r="X2125" s="124">
        <f>IFERROR(W2125/S2125,"")</f>
        <v/>
      </c>
      <c r="Y2125" s="121">
        <f>IFERROR(R2125/W2125,"")</f>
        <v/>
      </c>
      <c r="Z2125" s="121">
        <f>IFERROR(R2125/S2125*1000,"")</f>
        <v/>
      </c>
      <c r="AA2125" s="122" t="n">
        <v>3</v>
      </c>
      <c r="AB2125" s="54">
        <f>IFERROR(AA2125/W2125,"")</f>
        <v/>
      </c>
      <c r="AC2125" s="122" t="n">
        <v>2037</v>
      </c>
      <c r="AD2125" s="122" t="n">
        <v>1256</v>
      </c>
      <c r="AE2125" s="122" t="n">
        <v>970</v>
      </c>
      <c r="AF2125" s="122" t="n">
        <v>668</v>
      </c>
      <c r="AG2125" s="122" t="n">
        <v>483</v>
      </c>
      <c r="AH2125" s="122" t="n">
        <v>462</v>
      </c>
      <c r="AI2125" s="54">
        <f>IFERROR(AC2125/S2125,"")</f>
        <v/>
      </c>
      <c r="AJ2125" s="54">
        <f>IFERROR(AH2125/S2125,"")</f>
        <v/>
      </c>
      <c r="AK2125" s="122" t="n">
        <v>22</v>
      </c>
      <c r="AL2125" s="122" t="n">
        <v>0</v>
      </c>
      <c r="AM2125" s="124">
        <f>IFERROR(AL2125/AA2125,"")</f>
        <v/>
      </c>
      <c r="AN2125" s="125">
        <f>IFERROR(R2125/AL2125,"")</f>
        <v/>
      </c>
      <c r="AO2125" s="122" t="n">
        <v>0</v>
      </c>
      <c r="AP2125" s="54">
        <f>IFERROR(AO2125/AL2125,"")</f>
        <v/>
      </c>
      <c r="AQ2125" s="125">
        <f>IFERROR(R2125/AO2125,"")</f>
        <v/>
      </c>
      <c r="AR2125" s="122" t="n">
        <v>0</v>
      </c>
      <c r="AS2125" s="122" t="n">
        <v>0</v>
      </c>
      <c r="AT2125" s="122">
        <f>AL2125+AR2125</f>
        <v/>
      </c>
      <c r="AU2125" s="125">
        <f>IFERROR(AO2125*Assumptions!$C$26*Assumptions!$C$27*INDEX(Assumptions!$C$18:$C$21,MATCH(H2125,Assumptions!$B$18:$B$21,0)),0)</f>
        <v/>
      </c>
    </row>
    <row r="2126">
      <c r="A2126" s="120" t="n">
        <v>46257</v>
      </c>
      <c r="B2126" s="66" t="inlineStr">
        <is>
          <t>Wk 34</t>
        </is>
      </c>
      <c r="C2126" s="66" t="inlineStr">
        <is>
          <t>Sun</t>
        </is>
      </c>
      <c r="D2126" s="66" t="inlineStr">
        <is>
          <t>Programmatic</t>
        </is>
      </c>
      <c r="E2126" s="66" t="inlineStr">
        <is>
          <t>DV360</t>
        </is>
      </c>
      <c r="F2126" s="66" t="inlineStr">
        <is>
          <t>LEP_ZA_AUG26_PROG_TD_VIDEO_OLV</t>
        </is>
      </c>
      <c r="G2126" s="66" t="inlineStr">
        <is>
          <t>Online Video / CTV</t>
        </is>
      </c>
      <c r="H2126" s="66" t="inlineStr">
        <is>
          <t>Range</t>
        </is>
      </c>
      <c r="I2126" s="66" t="inlineStr">
        <is>
          <t>Range Offer</t>
        </is>
      </c>
      <c r="J2126" s="66" t="inlineStr">
        <is>
          <t>PROG_CTV_HOUSEHOLD</t>
        </is>
      </c>
      <c r="K2126" s="66" t="inlineStr">
        <is>
          <t>Prospecting</t>
        </is>
      </c>
      <c r="L2126" s="66" t="inlineStr">
        <is>
          <t>PROG_CTV_30s_BrandFilm_v1</t>
        </is>
      </c>
      <c r="M2126" s="66" t="inlineStr">
        <is>
          <t>CTV 30s</t>
        </is>
      </c>
      <c r="N2126" s="66" t="inlineStr">
        <is>
          <t>The Lepas range has landed in SA</t>
        </is>
      </c>
      <c r="O2126" s="66" t="inlineStr">
        <is>
          <t>Auction - Fixed CPM</t>
        </is>
      </c>
      <c r="P2126" s="66" t="inlineStr">
        <is>
          <t>Completed Views + CPA</t>
        </is>
      </c>
      <c r="Q2126" s="66" t="inlineStr">
        <is>
          <t>https://www.lepas-sa.co.za/offers</t>
        </is>
      </c>
      <c r="R2126" s="121" t="n">
        <v>144.73</v>
      </c>
      <c r="S2126" s="122" t="n">
        <v>5062</v>
      </c>
      <c r="T2126" s="122" t="n">
        <v>2010</v>
      </c>
      <c r="U2126" s="123">
        <f>IFERROR(S2126/T2126,"")</f>
        <v/>
      </c>
      <c r="V2126" s="122" t="n">
        <v>12</v>
      </c>
      <c r="W2126" s="122" t="n">
        <v>9</v>
      </c>
      <c r="X2126" s="124">
        <f>IFERROR(W2126/S2126,"")</f>
        <v/>
      </c>
      <c r="Y2126" s="121">
        <f>IFERROR(R2126/W2126,"")</f>
        <v/>
      </c>
      <c r="Z2126" s="121">
        <f>IFERROR(R2126/S2126*1000,"")</f>
        <v/>
      </c>
      <c r="AA2126" s="122" t="n">
        <v>6</v>
      </c>
      <c r="AB2126" s="54">
        <f>IFERROR(AA2126/W2126,"")</f>
        <v/>
      </c>
      <c r="AC2126" s="122" t="n">
        <v>1638</v>
      </c>
      <c r="AD2126" s="122" t="n">
        <v>1030</v>
      </c>
      <c r="AE2126" s="122" t="n">
        <v>711</v>
      </c>
      <c r="AF2126" s="122" t="n">
        <v>399</v>
      </c>
      <c r="AG2126" s="122" t="n">
        <v>255</v>
      </c>
      <c r="AH2126" s="122" t="n">
        <v>238</v>
      </c>
      <c r="AI2126" s="54">
        <f>IFERROR(AC2126/S2126,"")</f>
        <v/>
      </c>
      <c r="AJ2126" s="54">
        <f>IFERROR(AH2126/S2126,"")</f>
        <v/>
      </c>
      <c r="AK2126" s="122" t="n">
        <v>21</v>
      </c>
      <c r="AL2126" s="122" t="n">
        <v>0</v>
      </c>
      <c r="AM2126" s="124">
        <f>IFERROR(AL2126/AA2126,"")</f>
        <v/>
      </c>
      <c r="AN2126" s="125">
        <f>IFERROR(R2126/AL2126,"")</f>
        <v/>
      </c>
      <c r="AO2126" s="122" t="n">
        <v>0</v>
      </c>
      <c r="AP2126" s="54">
        <f>IFERROR(AO2126/AL2126,"")</f>
        <v/>
      </c>
      <c r="AQ2126" s="125">
        <f>IFERROR(R2126/AO2126,"")</f>
        <v/>
      </c>
      <c r="AR2126" s="122" t="n">
        <v>0</v>
      </c>
      <c r="AS2126" s="122" t="n">
        <v>0</v>
      </c>
      <c r="AT2126" s="122">
        <f>AL2126+AR2126</f>
        <v/>
      </c>
      <c r="AU2126" s="125">
        <f>IFERROR(AO2126*Assumptions!$C$26*Assumptions!$C$27*INDEX(Assumptions!$C$18:$C$21,MATCH(H2126,Assumptions!$B$18:$B$21,0)),0)</f>
        <v/>
      </c>
    </row>
    <row r="2127">
      <c r="A2127" s="120" t="n">
        <v>46258</v>
      </c>
      <c r="B2127" s="66" t="inlineStr">
        <is>
          <t>Wk 35</t>
        </is>
      </c>
      <c r="C2127" s="66" t="inlineStr">
        <is>
          <t>Mon</t>
        </is>
      </c>
      <c r="D2127" s="66" t="inlineStr">
        <is>
          <t>Programmatic</t>
        </is>
      </c>
      <c r="E2127" s="66" t="inlineStr">
        <is>
          <t>DV360</t>
        </is>
      </c>
      <c r="F2127" s="66" t="inlineStr">
        <is>
          <t>LEP_ZA_AUG26_PROG_TD_VIDEO_OLV</t>
        </is>
      </c>
      <c r="G2127" s="66" t="inlineStr">
        <is>
          <t>Online Video / CTV</t>
        </is>
      </c>
      <c r="H2127" s="66" t="inlineStr">
        <is>
          <t>Range</t>
        </is>
      </c>
      <c r="I2127" s="66" t="inlineStr">
        <is>
          <t>Range Offer</t>
        </is>
      </c>
      <c r="J2127" s="66" t="inlineStr">
        <is>
          <t>PROG_CTV_HOUSEHOLD</t>
        </is>
      </c>
      <c r="K2127" s="66" t="inlineStr">
        <is>
          <t>Prospecting</t>
        </is>
      </c>
      <c r="L2127" s="66" t="inlineStr">
        <is>
          <t>PROG_CTV_30s_BrandFilm_v1</t>
        </is>
      </c>
      <c r="M2127" s="66" t="inlineStr">
        <is>
          <t>CTV 30s</t>
        </is>
      </c>
      <c r="N2127" s="66" t="inlineStr">
        <is>
          <t>The Lepas range has landed in SA</t>
        </is>
      </c>
      <c r="O2127" s="66" t="inlineStr">
        <is>
          <t>Auction - Fixed CPM</t>
        </is>
      </c>
      <c r="P2127" s="66" t="inlineStr">
        <is>
          <t>Completed Views + CPA</t>
        </is>
      </c>
      <c r="Q2127" s="66" t="inlineStr">
        <is>
          <t>https://www.lepas-sa.co.za/offers</t>
        </is>
      </c>
      <c r="R2127" s="121" t="n">
        <v>127.44</v>
      </c>
      <c r="S2127" s="122" t="n">
        <v>3535</v>
      </c>
      <c r="T2127" s="122" t="n">
        <v>1217</v>
      </c>
      <c r="U2127" s="123">
        <f>IFERROR(S2127/T2127,"")</f>
        <v/>
      </c>
      <c r="V2127" s="122" t="n">
        <v>5</v>
      </c>
      <c r="W2127" s="122" t="n">
        <v>4</v>
      </c>
      <c r="X2127" s="124">
        <f>IFERROR(W2127/S2127,"")</f>
        <v/>
      </c>
      <c r="Y2127" s="121">
        <f>IFERROR(R2127/W2127,"")</f>
        <v/>
      </c>
      <c r="Z2127" s="121">
        <f>IFERROR(R2127/S2127*1000,"")</f>
        <v/>
      </c>
      <c r="AA2127" s="122" t="n">
        <v>3</v>
      </c>
      <c r="AB2127" s="54">
        <f>IFERROR(AA2127/W2127,"")</f>
        <v/>
      </c>
      <c r="AC2127" s="122" t="n">
        <v>1233</v>
      </c>
      <c r="AD2127" s="122" t="n">
        <v>681</v>
      </c>
      <c r="AE2127" s="122" t="n">
        <v>499</v>
      </c>
      <c r="AF2127" s="122" t="n">
        <v>278</v>
      </c>
      <c r="AG2127" s="122" t="n">
        <v>195</v>
      </c>
      <c r="AH2127" s="122" t="n">
        <v>186</v>
      </c>
      <c r="AI2127" s="54">
        <f>IFERROR(AC2127/S2127,"")</f>
        <v/>
      </c>
      <c r="AJ2127" s="54">
        <f>IFERROR(AH2127/S2127,"")</f>
        <v/>
      </c>
      <c r="AK2127" s="122" t="n">
        <v>20</v>
      </c>
      <c r="AL2127" s="122" t="n">
        <v>0</v>
      </c>
      <c r="AM2127" s="124">
        <f>IFERROR(AL2127/AA2127,"")</f>
        <v/>
      </c>
      <c r="AN2127" s="125">
        <f>IFERROR(R2127/AL2127,"")</f>
        <v/>
      </c>
      <c r="AO2127" s="122" t="n">
        <v>0</v>
      </c>
      <c r="AP2127" s="54">
        <f>IFERROR(AO2127/AL2127,"")</f>
        <v/>
      </c>
      <c r="AQ2127" s="125">
        <f>IFERROR(R2127/AO2127,"")</f>
        <v/>
      </c>
      <c r="AR2127" s="122" t="n">
        <v>0</v>
      </c>
      <c r="AS2127" s="122" t="n">
        <v>0</v>
      </c>
      <c r="AT2127" s="122">
        <f>AL2127+AR2127</f>
        <v/>
      </c>
      <c r="AU2127" s="125">
        <f>IFERROR(AO2127*Assumptions!$C$26*Assumptions!$C$27*INDEX(Assumptions!$C$18:$C$21,MATCH(H2127,Assumptions!$B$18:$B$21,0)),0)</f>
        <v/>
      </c>
    </row>
    <row r="2128">
      <c r="A2128" s="120" t="n">
        <v>46259</v>
      </c>
      <c r="B2128" s="66" t="inlineStr">
        <is>
          <t>Wk 35</t>
        </is>
      </c>
      <c r="C2128" s="66" t="inlineStr">
        <is>
          <t>Tue</t>
        </is>
      </c>
      <c r="D2128" s="66" t="inlineStr">
        <is>
          <t>Programmatic</t>
        </is>
      </c>
      <c r="E2128" s="66" t="inlineStr">
        <is>
          <t>DV360</t>
        </is>
      </c>
      <c r="F2128" s="66" t="inlineStr">
        <is>
          <t>LEP_ZA_AUG26_PROG_TD_VIDEO_OLV</t>
        </is>
      </c>
      <c r="G2128" s="66" t="inlineStr">
        <is>
          <t>Online Video / CTV</t>
        </is>
      </c>
      <c r="H2128" s="66" t="inlineStr">
        <is>
          <t>Range</t>
        </is>
      </c>
      <c r="I2128" s="66" t="inlineStr">
        <is>
          <t>Range Offer</t>
        </is>
      </c>
      <c r="J2128" s="66" t="inlineStr">
        <is>
          <t>PROG_CTV_HOUSEHOLD</t>
        </is>
      </c>
      <c r="K2128" s="66" t="inlineStr">
        <is>
          <t>Prospecting</t>
        </is>
      </c>
      <c r="L2128" s="66" t="inlineStr">
        <is>
          <t>PROG_CTV_30s_BrandFilm_v1</t>
        </is>
      </c>
      <c r="M2128" s="66" t="inlineStr">
        <is>
          <t>CTV 30s</t>
        </is>
      </c>
      <c r="N2128" s="66" t="inlineStr">
        <is>
          <t>The Lepas range has landed in SA</t>
        </is>
      </c>
      <c r="O2128" s="66" t="inlineStr">
        <is>
          <t>Auction - Fixed CPM</t>
        </is>
      </c>
      <c r="P2128" s="66" t="inlineStr">
        <is>
          <t>Completed Views + CPA</t>
        </is>
      </c>
      <c r="Q2128" s="66" t="inlineStr">
        <is>
          <t>https://www.lepas-sa.co.za/offers</t>
        </is>
      </c>
      <c r="R2128" s="121" t="n">
        <v>145.63</v>
      </c>
      <c r="S2128" s="122" t="n">
        <v>6773</v>
      </c>
      <c r="T2128" s="122" t="n">
        <v>4133</v>
      </c>
      <c r="U2128" s="123">
        <f>IFERROR(S2128/T2128,"")</f>
        <v/>
      </c>
      <c r="V2128" s="122" t="n">
        <v>10</v>
      </c>
      <c r="W2128" s="122" t="n">
        <v>9</v>
      </c>
      <c r="X2128" s="124">
        <f>IFERROR(W2128/S2128,"")</f>
        <v/>
      </c>
      <c r="Y2128" s="121">
        <f>IFERROR(R2128/W2128,"")</f>
        <v/>
      </c>
      <c r="Z2128" s="121">
        <f>IFERROR(R2128/S2128*1000,"")</f>
        <v/>
      </c>
      <c r="AA2128" s="122" t="n">
        <v>6</v>
      </c>
      <c r="AB2128" s="54">
        <f>IFERROR(AA2128/W2128,"")</f>
        <v/>
      </c>
      <c r="AC2128" s="122" t="n">
        <v>2604</v>
      </c>
      <c r="AD2128" s="122" t="n">
        <v>1348</v>
      </c>
      <c r="AE2128" s="122" t="n">
        <v>1246</v>
      </c>
      <c r="AF2128" s="122" t="n">
        <v>790</v>
      </c>
      <c r="AG2128" s="122" t="n">
        <v>524</v>
      </c>
      <c r="AH2128" s="122" t="n">
        <v>507</v>
      </c>
      <c r="AI2128" s="54">
        <f>IFERROR(AC2128/S2128,"")</f>
        <v/>
      </c>
      <c r="AJ2128" s="54">
        <f>IFERROR(AH2128/S2128,"")</f>
        <v/>
      </c>
      <c r="AK2128" s="122" t="n">
        <v>19</v>
      </c>
      <c r="AL2128" s="122" t="n">
        <v>0</v>
      </c>
      <c r="AM2128" s="124">
        <f>IFERROR(AL2128/AA2128,"")</f>
        <v/>
      </c>
      <c r="AN2128" s="125">
        <f>IFERROR(R2128/AL2128,"")</f>
        <v/>
      </c>
      <c r="AO2128" s="122" t="n">
        <v>0</v>
      </c>
      <c r="AP2128" s="54">
        <f>IFERROR(AO2128/AL2128,"")</f>
        <v/>
      </c>
      <c r="AQ2128" s="125">
        <f>IFERROR(R2128/AO2128,"")</f>
        <v/>
      </c>
      <c r="AR2128" s="122" t="n">
        <v>0</v>
      </c>
      <c r="AS2128" s="122" t="n">
        <v>0</v>
      </c>
      <c r="AT2128" s="122">
        <f>AL2128+AR2128</f>
        <v/>
      </c>
      <c r="AU2128" s="125">
        <f>IFERROR(AO2128*Assumptions!$C$26*Assumptions!$C$27*INDEX(Assumptions!$C$18:$C$21,MATCH(H2128,Assumptions!$B$18:$B$21,0)),0)</f>
        <v/>
      </c>
    </row>
    <row r="2129">
      <c r="A2129" s="120" t="n">
        <v>46260</v>
      </c>
      <c r="B2129" s="66" t="inlineStr">
        <is>
          <t>Wk 35</t>
        </is>
      </c>
      <c r="C2129" s="66" t="inlineStr">
        <is>
          <t>Wed</t>
        </is>
      </c>
      <c r="D2129" s="66" t="inlineStr">
        <is>
          <t>Programmatic</t>
        </is>
      </c>
      <c r="E2129" s="66" t="inlineStr">
        <is>
          <t>DV360</t>
        </is>
      </c>
      <c r="F2129" s="66" t="inlineStr">
        <is>
          <t>LEP_ZA_AUG26_PROG_TD_VIDEO_OLV</t>
        </is>
      </c>
      <c r="G2129" s="66" t="inlineStr">
        <is>
          <t>Online Video / CTV</t>
        </is>
      </c>
      <c r="H2129" s="66" t="inlineStr">
        <is>
          <t>Range</t>
        </is>
      </c>
      <c r="I2129" s="66" t="inlineStr">
        <is>
          <t>Range Offer</t>
        </is>
      </c>
      <c r="J2129" s="66" t="inlineStr">
        <is>
          <t>PROG_CTV_HOUSEHOLD</t>
        </is>
      </c>
      <c r="K2129" s="66" t="inlineStr">
        <is>
          <t>Prospecting</t>
        </is>
      </c>
      <c r="L2129" s="66" t="inlineStr">
        <is>
          <t>PROG_CTV_30s_BrandFilm_v1</t>
        </is>
      </c>
      <c r="M2129" s="66" t="inlineStr">
        <is>
          <t>CTV 30s</t>
        </is>
      </c>
      <c r="N2129" s="66" t="inlineStr">
        <is>
          <t>The Lepas range has landed in SA</t>
        </is>
      </c>
      <c r="O2129" s="66" t="inlineStr">
        <is>
          <t>Auction - Fixed CPM</t>
        </is>
      </c>
      <c r="P2129" s="66" t="inlineStr">
        <is>
          <t>Completed Views + CPA</t>
        </is>
      </c>
      <c r="Q2129" s="66" t="inlineStr">
        <is>
          <t>https://www.lepas-sa.co.za/offers</t>
        </is>
      </c>
      <c r="R2129" s="121" t="n">
        <v>157.06</v>
      </c>
      <c r="S2129" s="122" t="n">
        <v>5205</v>
      </c>
      <c r="T2129" s="122" t="n">
        <v>3044</v>
      </c>
      <c r="U2129" s="123">
        <f>IFERROR(S2129/T2129,"")</f>
        <v/>
      </c>
      <c r="V2129" s="122" t="n">
        <v>17</v>
      </c>
      <c r="W2129" s="122" t="n">
        <v>12</v>
      </c>
      <c r="X2129" s="124">
        <f>IFERROR(W2129/S2129,"")</f>
        <v/>
      </c>
      <c r="Y2129" s="121">
        <f>IFERROR(R2129/W2129,"")</f>
        <v/>
      </c>
      <c r="Z2129" s="121">
        <f>IFERROR(R2129/S2129*1000,"")</f>
        <v/>
      </c>
      <c r="AA2129" s="122" t="n">
        <v>8</v>
      </c>
      <c r="AB2129" s="54">
        <f>IFERROR(AA2129/W2129,"")</f>
        <v/>
      </c>
      <c r="AC2129" s="122" t="n">
        <v>1985</v>
      </c>
      <c r="AD2129" s="122" t="n">
        <v>970</v>
      </c>
      <c r="AE2129" s="122" t="n">
        <v>910</v>
      </c>
      <c r="AF2129" s="122" t="n">
        <v>584</v>
      </c>
      <c r="AG2129" s="122" t="n">
        <v>455</v>
      </c>
      <c r="AH2129" s="122" t="n">
        <v>417</v>
      </c>
      <c r="AI2129" s="54">
        <f>IFERROR(AC2129/S2129,"")</f>
        <v/>
      </c>
      <c r="AJ2129" s="54">
        <f>IFERROR(AH2129/S2129,"")</f>
        <v/>
      </c>
      <c r="AK2129" s="122" t="n">
        <v>13</v>
      </c>
      <c r="AL2129" s="122" t="n">
        <v>0</v>
      </c>
      <c r="AM2129" s="124">
        <f>IFERROR(AL2129/AA2129,"")</f>
        <v/>
      </c>
      <c r="AN2129" s="125">
        <f>IFERROR(R2129/AL2129,"")</f>
        <v/>
      </c>
      <c r="AO2129" s="122" t="n">
        <v>0</v>
      </c>
      <c r="AP2129" s="54">
        <f>IFERROR(AO2129/AL2129,"")</f>
        <v/>
      </c>
      <c r="AQ2129" s="125">
        <f>IFERROR(R2129/AO2129,"")</f>
        <v/>
      </c>
      <c r="AR2129" s="122" t="n">
        <v>0</v>
      </c>
      <c r="AS2129" s="122" t="n">
        <v>0</v>
      </c>
      <c r="AT2129" s="122">
        <f>AL2129+AR2129</f>
        <v/>
      </c>
      <c r="AU2129" s="125">
        <f>IFERROR(AO2129*Assumptions!$C$26*Assumptions!$C$27*INDEX(Assumptions!$C$18:$C$21,MATCH(H2129,Assumptions!$B$18:$B$21,0)),0)</f>
        <v/>
      </c>
    </row>
    <row r="2130">
      <c r="A2130" s="120" t="n">
        <v>46261</v>
      </c>
      <c r="B2130" s="66" t="inlineStr">
        <is>
          <t>Wk 35</t>
        </is>
      </c>
      <c r="C2130" s="66" t="inlineStr">
        <is>
          <t>Thu</t>
        </is>
      </c>
      <c r="D2130" s="66" t="inlineStr">
        <is>
          <t>Programmatic</t>
        </is>
      </c>
      <c r="E2130" s="66" t="inlineStr">
        <is>
          <t>DV360</t>
        </is>
      </c>
      <c r="F2130" s="66" t="inlineStr">
        <is>
          <t>LEP_ZA_AUG26_PROG_TD_VIDEO_OLV</t>
        </is>
      </c>
      <c r="G2130" s="66" t="inlineStr">
        <is>
          <t>Online Video / CTV</t>
        </is>
      </c>
      <c r="H2130" s="66" t="inlineStr">
        <is>
          <t>Range</t>
        </is>
      </c>
      <c r="I2130" s="66" t="inlineStr">
        <is>
          <t>Range Offer</t>
        </is>
      </c>
      <c r="J2130" s="66" t="inlineStr">
        <is>
          <t>PROG_CTV_HOUSEHOLD</t>
        </is>
      </c>
      <c r="K2130" s="66" t="inlineStr">
        <is>
          <t>Prospecting</t>
        </is>
      </c>
      <c r="L2130" s="66" t="inlineStr">
        <is>
          <t>PROG_CTV_30s_BrandFilm_v1</t>
        </is>
      </c>
      <c r="M2130" s="66" t="inlineStr">
        <is>
          <t>CTV 30s</t>
        </is>
      </c>
      <c r="N2130" s="66" t="inlineStr">
        <is>
          <t>The Lepas range has landed in SA</t>
        </is>
      </c>
      <c r="O2130" s="66" t="inlineStr">
        <is>
          <t>Auction - Fixed CPM</t>
        </is>
      </c>
      <c r="P2130" s="66" t="inlineStr">
        <is>
          <t>Completed Views + CPA</t>
        </is>
      </c>
      <c r="Q2130" s="66" t="inlineStr">
        <is>
          <t>https://www.lepas-sa.co.za/offers</t>
        </is>
      </c>
      <c r="R2130" s="121" t="n">
        <v>190.71</v>
      </c>
      <c r="S2130" s="122" t="n">
        <v>7480</v>
      </c>
      <c r="T2130" s="122" t="n">
        <v>2615</v>
      </c>
      <c r="U2130" s="123">
        <f>IFERROR(S2130/T2130,"")</f>
        <v/>
      </c>
      <c r="V2130" s="122" t="n">
        <v>14</v>
      </c>
      <c r="W2130" s="122" t="n">
        <v>11</v>
      </c>
      <c r="X2130" s="124">
        <f>IFERROR(W2130/S2130,"")</f>
        <v/>
      </c>
      <c r="Y2130" s="121">
        <f>IFERROR(R2130/W2130,"")</f>
        <v/>
      </c>
      <c r="Z2130" s="121">
        <f>IFERROR(R2130/S2130*1000,"")</f>
        <v/>
      </c>
      <c r="AA2130" s="122" t="n">
        <v>7</v>
      </c>
      <c r="AB2130" s="54">
        <f>IFERROR(AA2130/W2130,"")</f>
        <v/>
      </c>
      <c r="AC2130" s="122" t="n">
        <v>1837</v>
      </c>
      <c r="AD2130" s="122" t="n">
        <v>1146</v>
      </c>
      <c r="AE2130" s="122" t="n">
        <v>921</v>
      </c>
      <c r="AF2130" s="122" t="n">
        <v>498</v>
      </c>
      <c r="AG2130" s="122" t="n">
        <v>398</v>
      </c>
      <c r="AH2130" s="122" t="n">
        <v>373</v>
      </c>
      <c r="AI2130" s="54">
        <f>IFERROR(AC2130/S2130,"")</f>
        <v/>
      </c>
      <c r="AJ2130" s="54">
        <f>IFERROR(AH2130/S2130,"")</f>
        <v/>
      </c>
      <c r="AK2130" s="122" t="n">
        <v>26</v>
      </c>
      <c r="AL2130" s="122" t="n">
        <v>0</v>
      </c>
      <c r="AM2130" s="124">
        <f>IFERROR(AL2130/AA2130,"")</f>
        <v/>
      </c>
      <c r="AN2130" s="125">
        <f>IFERROR(R2130/AL2130,"")</f>
        <v/>
      </c>
      <c r="AO2130" s="122" t="n">
        <v>0</v>
      </c>
      <c r="AP2130" s="54">
        <f>IFERROR(AO2130/AL2130,"")</f>
        <v/>
      </c>
      <c r="AQ2130" s="125">
        <f>IFERROR(R2130/AO2130,"")</f>
        <v/>
      </c>
      <c r="AR2130" s="122" t="n">
        <v>0</v>
      </c>
      <c r="AS2130" s="122" t="n">
        <v>0</v>
      </c>
      <c r="AT2130" s="122">
        <f>AL2130+AR2130</f>
        <v/>
      </c>
      <c r="AU2130" s="125">
        <f>IFERROR(AO2130*Assumptions!$C$26*Assumptions!$C$27*INDEX(Assumptions!$C$18:$C$21,MATCH(H2130,Assumptions!$B$18:$B$21,0)),0)</f>
        <v/>
      </c>
    </row>
    <row r="2131">
      <c r="A2131" s="120" t="n">
        <v>46262</v>
      </c>
      <c r="B2131" s="66" t="inlineStr">
        <is>
          <t>Wk 35</t>
        </is>
      </c>
      <c r="C2131" s="66" t="inlineStr">
        <is>
          <t>Fri</t>
        </is>
      </c>
      <c r="D2131" s="66" t="inlineStr">
        <is>
          <t>Programmatic</t>
        </is>
      </c>
      <c r="E2131" s="66" t="inlineStr">
        <is>
          <t>DV360</t>
        </is>
      </c>
      <c r="F2131" s="66" t="inlineStr">
        <is>
          <t>LEP_ZA_AUG26_PROG_TD_VIDEO_OLV</t>
        </is>
      </c>
      <c r="G2131" s="66" t="inlineStr">
        <is>
          <t>Online Video / CTV</t>
        </is>
      </c>
      <c r="H2131" s="66" t="inlineStr">
        <is>
          <t>Range</t>
        </is>
      </c>
      <c r="I2131" s="66" t="inlineStr">
        <is>
          <t>Range Offer</t>
        </is>
      </c>
      <c r="J2131" s="66" t="inlineStr">
        <is>
          <t>PROG_CTV_HOUSEHOLD</t>
        </is>
      </c>
      <c r="K2131" s="66" t="inlineStr">
        <is>
          <t>Prospecting</t>
        </is>
      </c>
      <c r="L2131" s="66" t="inlineStr">
        <is>
          <t>PROG_CTV_30s_BrandFilm_v1</t>
        </is>
      </c>
      <c r="M2131" s="66" t="inlineStr">
        <is>
          <t>CTV 30s</t>
        </is>
      </c>
      <c r="N2131" s="66" t="inlineStr">
        <is>
          <t>The Lepas range has landed in SA</t>
        </is>
      </c>
      <c r="O2131" s="66" t="inlineStr">
        <is>
          <t>Auction - Fixed CPM</t>
        </is>
      </c>
      <c r="P2131" s="66" t="inlineStr">
        <is>
          <t>Completed Views + CPA</t>
        </is>
      </c>
      <c r="Q2131" s="66" t="inlineStr">
        <is>
          <t>https://www.lepas-sa.co.za/offers</t>
        </is>
      </c>
      <c r="R2131" s="121" t="n">
        <v>215.67</v>
      </c>
      <c r="S2131" s="122" t="n">
        <v>11900</v>
      </c>
      <c r="T2131" s="122" t="n">
        <v>5351</v>
      </c>
      <c r="U2131" s="123">
        <f>IFERROR(S2131/T2131,"")</f>
        <v/>
      </c>
      <c r="V2131" s="122" t="n">
        <v>16</v>
      </c>
      <c r="W2131" s="122" t="n">
        <v>12</v>
      </c>
      <c r="X2131" s="124">
        <f>IFERROR(W2131/S2131,"")</f>
        <v/>
      </c>
      <c r="Y2131" s="121">
        <f>IFERROR(R2131/W2131,"")</f>
        <v/>
      </c>
      <c r="Z2131" s="121">
        <f>IFERROR(R2131/S2131*1000,"")</f>
        <v/>
      </c>
      <c r="AA2131" s="122" t="n">
        <v>7</v>
      </c>
      <c r="AB2131" s="54">
        <f>IFERROR(AA2131/W2131,"")</f>
        <v/>
      </c>
      <c r="AC2131" s="122" t="n">
        <v>4857</v>
      </c>
      <c r="AD2131" s="122" t="n">
        <v>2831</v>
      </c>
      <c r="AE2131" s="122" t="n">
        <v>2426</v>
      </c>
      <c r="AF2131" s="122" t="n">
        <v>1322</v>
      </c>
      <c r="AG2131" s="122" t="n">
        <v>1039</v>
      </c>
      <c r="AH2131" s="122" t="n">
        <v>963</v>
      </c>
      <c r="AI2131" s="54">
        <f>IFERROR(AC2131/S2131,"")</f>
        <v/>
      </c>
      <c r="AJ2131" s="54">
        <f>IFERROR(AH2131/S2131,"")</f>
        <v/>
      </c>
      <c r="AK2131" s="122" t="n">
        <v>51</v>
      </c>
      <c r="AL2131" s="122" t="n">
        <v>0</v>
      </c>
      <c r="AM2131" s="124">
        <f>IFERROR(AL2131/AA2131,"")</f>
        <v/>
      </c>
      <c r="AN2131" s="125">
        <f>IFERROR(R2131/AL2131,"")</f>
        <v/>
      </c>
      <c r="AO2131" s="122" t="n">
        <v>0</v>
      </c>
      <c r="AP2131" s="54">
        <f>IFERROR(AO2131/AL2131,"")</f>
        <v/>
      </c>
      <c r="AQ2131" s="125">
        <f>IFERROR(R2131/AO2131,"")</f>
        <v/>
      </c>
      <c r="AR2131" s="122" t="n">
        <v>0</v>
      </c>
      <c r="AS2131" s="122" t="n">
        <v>0</v>
      </c>
      <c r="AT2131" s="122">
        <f>AL2131+AR2131</f>
        <v/>
      </c>
      <c r="AU2131" s="125">
        <f>IFERROR(AO2131*Assumptions!$C$26*Assumptions!$C$27*INDEX(Assumptions!$C$18:$C$21,MATCH(H2131,Assumptions!$B$18:$B$21,0)),0)</f>
        <v/>
      </c>
    </row>
    <row r="2132">
      <c r="A2132" s="120" t="n">
        <v>46263</v>
      </c>
      <c r="B2132" s="66" t="inlineStr">
        <is>
          <t>Wk 35</t>
        </is>
      </c>
      <c r="C2132" s="66" t="inlineStr">
        <is>
          <t>Sat</t>
        </is>
      </c>
      <c r="D2132" s="66" t="inlineStr">
        <is>
          <t>Programmatic</t>
        </is>
      </c>
      <c r="E2132" s="66" t="inlineStr">
        <is>
          <t>DV360</t>
        </is>
      </c>
      <c r="F2132" s="66" t="inlineStr">
        <is>
          <t>LEP_ZA_AUG26_PROG_TD_VIDEO_OLV</t>
        </is>
      </c>
      <c r="G2132" s="66" t="inlineStr">
        <is>
          <t>Online Video / CTV</t>
        </is>
      </c>
      <c r="H2132" s="66" t="inlineStr">
        <is>
          <t>Range</t>
        </is>
      </c>
      <c r="I2132" s="66" t="inlineStr">
        <is>
          <t>Range Offer</t>
        </is>
      </c>
      <c r="J2132" s="66" t="inlineStr">
        <is>
          <t>PROG_CTV_HOUSEHOLD</t>
        </is>
      </c>
      <c r="K2132" s="66" t="inlineStr">
        <is>
          <t>Prospecting</t>
        </is>
      </c>
      <c r="L2132" s="66" t="inlineStr">
        <is>
          <t>PROG_CTV_30s_BrandFilm_v1</t>
        </is>
      </c>
      <c r="M2132" s="66" t="inlineStr">
        <is>
          <t>CTV 30s</t>
        </is>
      </c>
      <c r="N2132" s="66" t="inlineStr">
        <is>
          <t>The Lepas range has landed in SA</t>
        </is>
      </c>
      <c r="O2132" s="66" t="inlineStr">
        <is>
          <t>Auction - Fixed CPM</t>
        </is>
      </c>
      <c r="P2132" s="66" t="inlineStr">
        <is>
          <t>Completed Views + CPA</t>
        </is>
      </c>
      <c r="Q2132" s="66" t="inlineStr">
        <is>
          <t>https://www.lepas-sa.co.za/offers</t>
        </is>
      </c>
      <c r="R2132" s="121" t="n">
        <v>228.62</v>
      </c>
      <c r="S2132" s="122" t="n">
        <v>13668</v>
      </c>
      <c r="T2132" s="122" t="n">
        <v>6861</v>
      </c>
      <c r="U2132" s="123">
        <f>IFERROR(S2132/T2132,"")</f>
        <v/>
      </c>
      <c r="V2132" s="122" t="n">
        <v>24</v>
      </c>
      <c r="W2132" s="122" t="n">
        <v>18</v>
      </c>
      <c r="X2132" s="124">
        <f>IFERROR(W2132/S2132,"")</f>
        <v/>
      </c>
      <c r="Y2132" s="121">
        <f>IFERROR(R2132/W2132,"")</f>
        <v/>
      </c>
      <c r="Z2132" s="121">
        <f>IFERROR(R2132/S2132*1000,"")</f>
        <v/>
      </c>
      <c r="AA2132" s="122" t="n">
        <v>13</v>
      </c>
      <c r="AB2132" s="54">
        <f>IFERROR(AA2132/W2132,"")</f>
        <v/>
      </c>
      <c r="AC2132" s="122" t="n">
        <v>5595</v>
      </c>
      <c r="AD2132" s="122" t="n">
        <v>2634</v>
      </c>
      <c r="AE2132" s="122" t="n">
        <v>2287</v>
      </c>
      <c r="AF2132" s="122" t="n">
        <v>1403</v>
      </c>
      <c r="AG2132" s="122" t="n">
        <v>888</v>
      </c>
      <c r="AH2132" s="122" t="n">
        <v>810</v>
      </c>
      <c r="AI2132" s="54">
        <f>IFERROR(AC2132/S2132,"")</f>
        <v/>
      </c>
      <c r="AJ2132" s="54">
        <f>IFERROR(AH2132/S2132,"")</f>
        <v/>
      </c>
      <c r="AK2132" s="122" t="n">
        <v>42</v>
      </c>
      <c r="AL2132" s="122" t="n">
        <v>0</v>
      </c>
      <c r="AM2132" s="124">
        <f>IFERROR(AL2132/AA2132,"")</f>
        <v/>
      </c>
      <c r="AN2132" s="125">
        <f>IFERROR(R2132/AL2132,"")</f>
        <v/>
      </c>
      <c r="AO2132" s="122" t="n">
        <v>0</v>
      </c>
      <c r="AP2132" s="54">
        <f>IFERROR(AO2132/AL2132,"")</f>
        <v/>
      </c>
      <c r="AQ2132" s="125">
        <f>IFERROR(R2132/AO2132,"")</f>
        <v/>
      </c>
      <c r="AR2132" s="122" t="n">
        <v>0</v>
      </c>
      <c r="AS2132" s="122" t="n">
        <v>0</v>
      </c>
      <c r="AT2132" s="122">
        <f>AL2132+AR2132</f>
        <v/>
      </c>
      <c r="AU2132" s="125">
        <f>IFERROR(AO2132*Assumptions!$C$26*Assumptions!$C$27*INDEX(Assumptions!$C$18:$C$21,MATCH(H2132,Assumptions!$B$18:$B$21,0)),0)</f>
        <v/>
      </c>
    </row>
    <row r="2133">
      <c r="A2133" s="120" t="n">
        <v>46264</v>
      </c>
      <c r="B2133" s="66" t="inlineStr">
        <is>
          <t>Wk 35</t>
        </is>
      </c>
      <c r="C2133" s="66" t="inlineStr">
        <is>
          <t>Sun</t>
        </is>
      </c>
      <c r="D2133" s="66" t="inlineStr">
        <is>
          <t>Programmatic</t>
        </is>
      </c>
      <c r="E2133" s="66" t="inlineStr">
        <is>
          <t>DV360</t>
        </is>
      </c>
      <c r="F2133" s="66" t="inlineStr">
        <is>
          <t>LEP_ZA_AUG26_PROG_TD_VIDEO_OLV</t>
        </is>
      </c>
      <c r="G2133" s="66" t="inlineStr">
        <is>
          <t>Online Video / CTV</t>
        </is>
      </c>
      <c r="H2133" s="66" t="inlineStr">
        <is>
          <t>Range</t>
        </is>
      </c>
      <c r="I2133" s="66" t="inlineStr">
        <is>
          <t>Range Offer</t>
        </is>
      </c>
      <c r="J2133" s="66" t="inlineStr">
        <is>
          <t>PROG_CTV_HOUSEHOLD</t>
        </is>
      </c>
      <c r="K2133" s="66" t="inlineStr">
        <is>
          <t>Prospecting</t>
        </is>
      </c>
      <c r="L2133" s="66" t="inlineStr">
        <is>
          <t>PROG_CTV_30s_BrandFilm_v1</t>
        </is>
      </c>
      <c r="M2133" s="66" t="inlineStr">
        <is>
          <t>CTV 30s</t>
        </is>
      </c>
      <c r="N2133" s="66" t="inlineStr">
        <is>
          <t>The Lepas range has landed in SA</t>
        </is>
      </c>
      <c r="O2133" s="66" t="inlineStr">
        <is>
          <t>Auction - Fixed CPM</t>
        </is>
      </c>
      <c r="P2133" s="66" t="inlineStr">
        <is>
          <t>Completed Views + CPA</t>
        </is>
      </c>
      <c r="Q2133" s="66" t="inlineStr">
        <is>
          <t>https://www.lepas-sa.co.za/offers</t>
        </is>
      </c>
      <c r="R2133" s="121" t="n">
        <v>136.66</v>
      </c>
      <c r="S2133" s="122" t="n">
        <v>5361</v>
      </c>
      <c r="T2133" s="122" t="n">
        <v>1863</v>
      </c>
      <c r="U2133" s="123">
        <f>IFERROR(S2133/T2133,"")</f>
        <v/>
      </c>
      <c r="V2133" s="122" t="n">
        <v>13</v>
      </c>
      <c r="W2133" s="122" t="n">
        <v>10</v>
      </c>
      <c r="X2133" s="124">
        <f>IFERROR(W2133/S2133,"")</f>
        <v/>
      </c>
      <c r="Y2133" s="121">
        <f>IFERROR(R2133/W2133,"")</f>
        <v/>
      </c>
      <c r="Z2133" s="121">
        <f>IFERROR(R2133/S2133*1000,"")</f>
        <v/>
      </c>
      <c r="AA2133" s="122" t="n">
        <v>7</v>
      </c>
      <c r="AB2133" s="54">
        <f>IFERROR(AA2133/W2133,"")</f>
        <v/>
      </c>
      <c r="AC2133" s="122" t="n">
        <v>1236</v>
      </c>
      <c r="AD2133" s="122" t="n">
        <v>553</v>
      </c>
      <c r="AE2133" s="122" t="n">
        <v>533</v>
      </c>
      <c r="AF2133" s="122" t="n">
        <v>283</v>
      </c>
      <c r="AG2133" s="122" t="n">
        <v>204</v>
      </c>
      <c r="AH2133" s="122" t="n">
        <v>186</v>
      </c>
      <c r="AI2133" s="54">
        <f>IFERROR(AC2133/S2133,"")</f>
        <v/>
      </c>
      <c r="AJ2133" s="54">
        <f>IFERROR(AH2133/S2133,"")</f>
        <v/>
      </c>
      <c r="AK2133" s="122" t="n">
        <v>7</v>
      </c>
      <c r="AL2133" s="122" t="n">
        <v>1</v>
      </c>
      <c r="AM2133" s="124">
        <f>IFERROR(AL2133/AA2133,"")</f>
        <v/>
      </c>
      <c r="AN2133" s="125">
        <f>IFERROR(R2133/AL2133,"")</f>
        <v/>
      </c>
      <c r="AO2133" s="122" t="n">
        <v>1</v>
      </c>
      <c r="AP2133" s="54">
        <f>IFERROR(AO2133/AL2133,"")</f>
        <v/>
      </c>
      <c r="AQ2133" s="125">
        <f>IFERROR(R2133/AO2133,"")</f>
        <v/>
      </c>
      <c r="AR2133" s="122" t="n">
        <v>2</v>
      </c>
      <c r="AS2133" s="122" t="n">
        <v>1</v>
      </c>
      <c r="AT2133" s="122">
        <f>AL2133+AR2133</f>
        <v/>
      </c>
      <c r="AU2133" s="125">
        <f>IFERROR(AO2133*Assumptions!$C$26*Assumptions!$C$27*INDEX(Assumptions!$C$18:$C$21,MATCH(H2133,Assumptions!$B$18:$B$21,0)),0)</f>
        <v/>
      </c>
    </row>
    <row r="2134">
      <c r="A2134" s="120" t="n">
        <v>46265</v>
      </c>
      <c r="B2134" s="66" t="inlineStr">
        <is>
          <t>Wk 36</t>
        </is>
      </c>
      <c r="C2134" s="66" t="inlineStr">
        <is>
          <t>Mon</t>
        </is>
      </c>
      <c r="D2134" s="66" t="inlineStr">
        <is>
          <t>Programmatic</t>
        </is>
      </c>
      <c r="E2134" s="66" t="inlineStr">
        <is>
          <t>DV360</t>
        </is>
      </c>
      <c r="F2134" s="66" t="inlineStr">
        <is>
          <t>LEP_ZA_AUG26_PROG_TD_VIDEO_OLV</t>
        </is>
      </c>
      <c r="G2134" s="66" t="inlineStr">
        <is>
          <t>Online Video / CTV</t>
        </is>
      </c>
      <c r="H2134" s="66" t="inlineStr">
        <is>
          <t>Range</t>
        </is>
      </c>
      <c r="I2134" s="66" t="inlineStr">
        <is>
          <t>Range Offer</t>
        </is>
      </c>
      <c r="J2134" s="66" t="inlineStr">
        <is>
          <t>PROG_CTV_HOUSEHOLD</t>
        </is>
      </c>
      <c r="K2134" s="66" t="inlineStr">
        <is>
          <t>Prospecting</t>
        </is>
      </c>
      <c r="L2134" s="66" t="inlineStr">
        <is>
          <t>PROG_CTV_30s_BrandFilm_v1</t>
        </is>
      </c>
      <c r="M2134" s="66" t="inlineStr">
        <is>
          <t>CTV 30s</t>
        </is>
      </c>
      <c r="N2134" s="66" t="inlineStr">
        <is>
          <t>The Lepas range has landed in SA</t>
        </is>
      </c>
      <c r="O2134" s="66" t="inlineStr">
        <is>
          <t>Auction - Fixed CPM</t>
        </is>
      </c>
      <c r="P2134" s="66" t="inlineStr">
        <is>
          <t>Completed Views + CPA</t>
        </is>
      </c>
      <c r="Q2134" s="66" t="inlineStr">
        <is>
          <t>https://www.lepas-sa.co.za/offers</t>
        </is>
      </c>
      <c r="R2134" s="121" t="n">
        <v>150.66</v>
      </c>
      <c r="S2134" s="122" t="n">
        <v>4327</v>
      </c>
      <c r="T2134" s="122" t="n">
        <v>2323</v>
      </c>
      <c r="U2134" s="123">
        <f>IFERROR(S2134/T2134,"")</f>
        <v/>
      </c>
      <c r="V2134" s="122" t="n">
        <v>11</v>
      </c>
      <c r="W2134" s="122" t="n">
        <v>8</v>
      </c>
      <c r="X2134" s="124">
        <f>IFERROR(W2134/S2134,"")</f>
        <v/>
      </c>
      <c r="Y2134" s="121">
        <f>IFERROR(R2134/W2134,"")</f>
        <v/>
      </c>
      <c r="Z2134" s="121">
        <f>IFERROR(R2134/S2134*1000,"")</f>
        <v/>
      </c>
      <c r="AA2134" s="122" t="n">
        <v>4</v>
      </c>
      <c r="AB2134" s="54">
        <f>IFERROR(AA2134/W2134,"")</f>
        <v/>
      </c>
      <c r="AC2134" s="122" t="n">
        <v>1191</v>
      </c>
      <c r="AD2134" s="122" t="n">
        <v>549</v>
      </c>
      <c r="AE2134" s="122" t="n">
        <v>556</v>
      </c>
      <c r="AF2134" s="122" t="n">
        <v>359</v>
      </c>
      <c r="AG2134" s="122" t="n">
        <v>283</v>
      </c>
      <c r="AH2134" s="122" t="n">
        <v>263</v>
      </c>
      <c r="AI2134" s="54">
        <f>IFERROR(AC2134/S2134,"")</f>
        <v/>
      </c>
      <c r="AJ2134" s="54">
        <f>IFERROR(AH2134/S2134,"")</f>
        <v/>
      </c>
      <c r="AK2134" s="122" t="n">
        <v>19</v>
      </c>
      <c r="AL2134" s="122" t="n">
        <v>0</v>
      </c>
      <c r="AM2134" s="124">
        <f>IFERROR(AL2134/AA2134,"")</f>
        <v/>
      </c>
      <c r="AN2134" s="125">
        <f>IFERROR(R2134/AL2134,"")</f>
        <v/>
      </c>
      <c r="AO2134" s="122" t="n">
        <v>0</v>
      </c>
      <c r="AP2134" s="54">
        <f>IFERROR(AO2134/AL2134,"")</f>
        <v/>
      </c>
      <c r="AQ2134" s="125">
        <f>IFERROR(R2134/AO2134,"")</f>
        <v/>
      </c>
      <c r="AR2134" s="122" t="n">
        <v>0</v>
      </c>
      <c r="AS2134" s="122" t="n">
        <v>0</v>
      </c>
      <c r="AT2134" s="122">
        <f>AL2134+AR2134</f>
        <v/>
      </c>
      <c r="AU2134" s="125">
        <f>IFERROR(AO2134*Assumptions!$C$26*Assumptions!$C$27*INDEX(Assumptions!$C$18:$C$21,MATCH(H2134,Assumptions!$B$18:$B$21,0)),0)</f>
        <v/>
      </c>
    </row>
    <row r="2135">
      <c r="A2135" s="120" t="n">
        <v>46235</v>
      </c>
      <c r="B2135" s="66" t="inlineStr">
        <is>
          <t>Wk 31</t>
        </is>
      </c>
      <c r="C2135" s="66" t="inlineStr">
        <is>
          <t>Sat</t>
        </is>
      </c>
      <c r="D2135" s="66" t="inlineStr">
        <is>
          <t>Programmatic</t>
        </is>
      </c>
      <c r="E2135" s="66" t="inlineStr">
        <is>
          <t>DV360</t>
        </is>
      </c>
      <c r="F2135" s="66" t="inlineStr">
        <is>
          <t>LEP_ZA_AUG26_PROG_TD_VIDEO_OLV</t>
        </is>
      </c>
      <c r="G2135" s="66" t="inlineStr">
        <is>
          <t>Online Video / CTV</t>
        </is>
      </c>
      <c r="H2135" s="66" t="inlineStr">
        <is>
          <t>Range</t>
        </is>
      </c>
      <c r="I2135" s="66" t="inlineStr">
        <is>
          <t>Range Offer</t>
        </is>
      </c>
      <c r="J2135" s="66" t="inlineStr">
        <is>
          <t>PROG_CTV_HOUSEHOLD</t>
        </is>
      </c>
      <c r="K2135" s="66" t="inlineStr">
        <is>
          <t>Prospecting</t>
        </is>
      </c>
      <c r="L2135" s="66" t="inlineStr">
        <is>
          <t>PROG_OLV_20s_RangeFilm_v1</t>
        </is>
      </c>
      <c r="M2135" s="66" t="inlineStr">
        <is>
          <t>Video 16:9 Pre-roll</t>
        </is>
      </c>
      <c r="N2135" s="66" t="inlineStr">
        <is>
          <t>Meet the Lepas range</t>
        </is>
      </c>
      <c r="O2135" s="66" t="inlineStr">
        <is>
          <t>Auction - Fixed CPM</t>
        </is>
      </c>
      <c r="P2135" s="66" t="inlineStr">
        <is>
          <t>Completed Views + CPA</t>
        </is>
      </c>
      <c r="Q2135" s="66" t="inlineStr">
        <is>
          <t>https://www.lepas-sa.co.za/offers</t>
        </is>
      </c>
      <c r="R2135" s="121" t="n">
        <v>122.09</v>
      </c>
      <c r="S2135" s="122" t="n">
        <v>6266</v>
      </c>
      <c r="T2135" s="122" t="n">
        <v>5013</v>
      </c>
      <c r="U2135" s="123">
        <f>IFERROR(S2135/T2135,"")</f>
        <v/>
      </c>
      <c r="V2135" s="122" t="n">
        <v>20</v>
      </c>
      <c r="W2135" s="122" t="n">
        <v>16</v>
      </c>
      <c r="X2135" s="124">
        <f>IFERROR(W2135/S2135,"")</f>
        <v/>
      </c>
      <c r="Y2135" s="121">
        <f>IFERROR(R2135/W2135,"")</f>
        <v/>
      </c>
      <c r="Z2135" s="121">
        <f>IFERROR(R2135/S2135*1000,"")</f>
        <v/>
      </c>
      <c r="AA2135" s="122" t="n">
        <v>10</v>
      </c>
      <c r="AB2135" s="54">
        <f>IFERROR(AA2135/W2135,"")</f>
        <v/>
      </c>
      <c r="AC2135" s="122" t="n">
        <v>1440</v>
      </c>
      <c r="AD2135" s="122" t="n">
        <v>677</v>
      </c>
      <c r="AE2135" s="122" t="n">
        <v>688</v>
      </c>
      <c r="AF2135" s="122" t="n">
        <v>393</v>
      </c>
      <c r="AG2135" s="122" t="n">
        <v>258</v>
      </c>
      <c r="AH2135" s="122" t="n">
        <v>169</v>
      </c>
      <c r="AI2135" s="54">
        <f>IFERROR(AC2135/S2135,"")</f>
        <v/>
      </c>
      <c r="AJ2135" s="54">
        <f>IFERROR(AH2135/S2135,"")</f>
        <v/>
      </c>
      <c r="AK2135" s="122" t="n">
        <v>9</v>
      </c>
      <c r="AL2135" s="122" t="n">
        <v>0</v>
      </c>
      <c r="AM2135" s="124">
        <f>IFERROR(AL2135/AA2135,"")</f>
        <v/>
      </c>
      <c r="AN2135" s="125">
        <f>IFERROR(R2135/AL2135,"")</f>
        <v/>
      </c>
      <c r="AO2135" s="122" t="n">
        <v>0</v>
      </c>
      <c r="AP2135" s="54">
        <f>IFERROR(AO2135/AL2135,"")</f>
        <v/>
      </c>
      <c r="AQ2135" s="125">
        <f>IFERROR(R2135/AO2135,"")</f>
        <v/>
      </c>
      <c r="AR2135" s="122" t="n">
        <v>0</v>
      </c>
      <c r="AS2135" s="122" t="n">
        <v>0</v>
      </c>
      <c r="AT2135" s="122">
        <f>AL2135+AR2135</f>
        <v/>
      </c>
      <c r="AU2135" s="125">
        <f>IFERROR(AO2135*Assumptions!$C$26*Assumptions!$C$27*INDEX(Assumptions!$C$18:$C$21,MATCH(H2135,Assumptions!$B$18:$B$21,0)),0)</f>
        <v/>
      </c>
    </row>
    <row r="2136">
      <c r="A2136" s="120" t="n">
        <v>46236</v>
      </c>
      <c r="B2136" s="66" t="inlineStr">
        <is>
          <t>Wk 31</t>
        </is>
      </c>
      <c r="C2136" s="66" t="inlineStr">
        <is>
          <t>Sun</t>
        </is>
      </c>
      <c r="D2136" s="66" t="inlineStr">
        <is>
          <t>Programmatic</t>
        </is>
      </c>
      <c r="E2136" s="66" t="inlineStr">
        <is>
          <t>DV360</t>
        </is>
      </c>
      <c r="F2136" s="66" t="inlineStr">
        <is>
          <t>LEP_ZA_AUG26_PROG_TD_VIDEO_OLV</t>
        </is>
      </c>
      <c r="G2136" s="66" t="inlineStr">
        <is>
          <t>Online Video / CTV</t>
        </is>
      </c>
      <c r="H2136" s="66" t="inlineStr">
        <is>
          <t>Range</t>
        </is>
      </c>
      <c r="I2136" s="66" t="inlineStr">
        <is>
          <t>Range Offer</t>
        </is>
      </c>
      <c r="J2136" s="66" t="inlineStr">
        <is>
          <t>PROG_CTV_HOUSEHOLD</t>
        </is>
      </c>
      <c r="K2136" s="66" t="inlineStr">
        <is>
          <t>Prospecting</t>
        </is>
      </c>
      <c r="L2136" s="66" t="inlineStr">
        <is>
          <t>PROG_OLV_20s_RangeFilm_v1</t>
        </is>
      </c>
      <c r="M2136" s="66" t="inlineStr">
        <is>
          <t>Video 16:9 Pre-roll</t>
        </is>
      </c>
      <c r="N2136" s="66" t="inlineStr">
        <is>
          <t>Meet the Lepas range</t>
        </is>
      </c>
      <c r="O2136" s="66" t="inlineStr">
        <is>
          <t>Auction - Fixed CPM</t>
        </is>
      </c>
      <c r="P2136" s="66" t="inlineStr">
        <is>
          <t>Completed Views + CPA</t>
        </is>
      </c>
      <c r="Q2136" s="66" t="inlineStr">
        <is>
          <t>https://www.lepas-sa.co.za/offers</t>
        </is>
      </c>
      <c r="R2136" s="121" t="n">
        <v>100.7</v>
      </c>
      <c r="S2136" s="122" t="n">
        <v>3661</v>
      </c>
      <c r="T2136" s="122" t="n">
        <v>1681</v>
      </c>
      <c r="U2136" s="123">
        <f>IFERROR(S2136/T2136,"")</f>
        <v/>
      </c>
      <c r="V2136" s="122" t="n">
        <v>5</v>
      </c>
      <c r="W2136" s="122" t="n">
        <v>4</v>
      </c>
      <c r="X2136" s="124">
        <f>IFERROR(W2136/S2136,"")</f>
        <v/>
      </c>
      <c r="Y2136" s="121">
        <f>IFERROR(R2136/W2136,"")</f>
        <v/>
      </c>
      <c r="Z2136" s="121">
        <f>IFERROR(R2136/S2136*1000,"")</f>
        <v/>
      </c>
      <c r="AA2136" s="122" t="n">
        <v>3</v>
      </c>
      <c r="AB2136" s="54">
        <f>IFERROR(AA2136/W2136,"")</f>
        <v/>
      </c>
      <c r="AC2136" s="122" t="n">
        <v>1286</v>
      </c>
      <c r="AD2136" s="122" t="n">
        <v>772</v>
      </c>
      <c r="AE2136" s="122" t="n">
        <v>523</v>
      </c>
      <c r="AF2136" s="122" t="n">
        <v>302</v>
      </c>
      <c r="AG2136" s="122" t="n">
        <v>206</v>
      </c>
      <c r="AH2136" s="122" t="n">
        <v>131</v>
      </c>
      <c r="AI2136" s="54">
        <f>IFERROR(AC2136/S2136,"")</f>
        <v/>
      </c>
      <c r="AJ2136" s="54">
        <f>IFERROR(AH2136/S2136,"")</f>
        <v/>
      </c>
      <c r="AK2136" s="122" t="n">
        <v>15</v>
      </c>
      <c r="AL2136" s="122" t="n">
        <v>0</v>
      </c>
      <c r="AM2136" s="124">
        <f>IFERROR(AL2136/AA2136,"")</f>
        <v/>
      </c>
      <c r="AN2136" s="125">
        <f>IFERROR(R2136/AL2136,"")</f>
        <v/>
      </c>
      <c r="AO2136" s="122" t="n">
        <v>0</v>
      </c>
      <c r="AP2136" s="54">
        <f>IFERROR(AO2136/AL2136,"")</f>
        <v/>
      </c>
      <c r="AQ2136" s="125">
        <f>IFERROR(R2136/AO2136,"")</f>
        <v/>
      </c>
      <c r="AR2136" s="122" t="n">
        <v>0</v>
      </c>
      <c r="AS2136" s="122" t="n">
        <v>0</v>
      </c>
      <c r="AT2136" s="122">
        <f>AL2136+AR2136</f>
        <v/>
      </c>
      <c r="AU2136" s="125">
        <f>IFERROR(AO2136*Assumptions!$C$26*Assumptions!$C$27*INDEX(Assumptions!$C$18:$C$21,MATCH(H2136,Assumptions!$B$18:$B$21,0)),0)</f>
        <v/>
      </c>
    </row>
    <row r="2137">
      <c r="A2137" s="120" t="n">
        <v>46237</v>
      </c>
      <c r="B2137" s="66" t="inlineStr">
        <is>
          <t>Wk 32</t>
        </is>
      </c>
      <c r="C2137" s="66" t="inlineStr">
        <is>
          <t>Mon</t>
        </is>
      </c>
      <c r="D2137" s="66" t="inlineStr">
        <is>
          <t>Programmatic</t>
        </is>
      </c>
      <c r="E2137" s="66" t="inlineStr">
        <is>
          <t>DV360</t>
        </is>
      </c>
      <c r="F2137" s="66" t="inlineStr">
        <is>
          <t>LEP_ZA_AUG26_PROG_TD_VIDEO_OLV</t>
        </is>
      </c>
      <c r="G2137" s="66" t="inlineStr">
        <is>
          <t>Online Video / CTV</t>
        </is>
      </c>
      <c r="H2137" s="66" t="inlineStr">
        <is>
          <t>Range</t>
        </is>
      </c>
      <c r="I2137" s="66" t="inlineStr">
        <is>
          <t>Range Offer</t>
        </is>
      </c>
      <c r="J2137" s="66" t="inlineStr">
        <is>
          <t>PROG_CTV_HOUSEHOLD</t>
        </is>
      </c>
      <c r="K2137" s="66" t="inlineStr">
        <is>
          <t>Prospecting</t>
        </is>
      </c>
      <c r="L2137" s="66" t="inlineStr">
        <is>
          <t>PROG_OLV_20s_RangeFilm_v1</t>
        </is>
      </c>
      <c r="M2137" s="66" t="inlineStr">
        <is>
          <t>Video 16:9 Pre-roll</t>
        </is>
      </c>
      <c r="N2137" s="66" t="inlineStr">
        <is>
          <t>Meet the Lepas range</t>
        </is>
      </c>
      <c r="O2137" s="66" t="inlineStr">
        <is>
          <t>Auction - Fixed CPM</t>
        </is>
      </c>
      <c r="P2137" s="66" t="inlineStr">
        <is>
          <t>Completed Views + CPA</t>
        </is>
      </c>
      <c r="Q2137" s="66" t="inlineStr">
        <is>
          <t>https://www.lepas-sa.co.za/offers</t>
        </is>
      </c>
      <c r="R2137" s="121" t="n">
        <v>109.73</v>
      </c>
      <c r="S2137" s="122" t="n">
        <v>3541</v>
      </c>
      <c r="T2137" s="122" t="n">
        <v>2318</v>
      </c>
      <c r="U2137" s="123">
        <f>IFERROR(S2137/T2137,"")</f>
        <v/>
      </c>
      <c r="V2137" s="122" t="n">
        <v>11</v>
      </c>
      <c r="W2137" s="122" t="n">
        <v>9</v>
      </c>
      <c r="X2137" s="124">
        <f>IFERROR(W2137/S2137,"")</f>
        <v/>
      </c>
      <c r="Y2137" s="121">
        <f>IFERROR(R2137/W2137,"")</f>
        <v/>
      </c>
      <c r="Z2137" s="121">
        <f>IFERROR(R2137/S2137*1000,"")</f>
        <v/>
      </c>
      <c r="AA2137" s="122" t="n">
        <v>5</v>
      </c>
      <c r="AB2137" s="54">
        <f>IFERROR(AA2137/W2137,"")</f>
        <v/>
      </c>
      <c r="AC2137" s="122" t="n">
        <v>1198</v>
      </c>
      <c r="AD2137" s="122" t="n">
        <v>565</v>
      </c>
      <c r="AE2137" s="122" t="n">
        <v>535</v>
      </c>
      <c r="AF2137" s="122" t="n">
        <v>325</v>
      </c>
      <c r="AG2137" s="122" t="n">
        <v>250</v>
      </c>
      <c r="AH2137" s="122" t="n">
        <v>157</v>
      </c>
      <c r="AI2137" s="54">
        <f>IFERROR(AC2137/S2137,"")</f>
        <v/>
      </c>
      <c r="AJ2137" s="54">
        <f>IFERROR(AH2137/S2137,"")</f>
        <v/>
      </c>
      <c r="AK2137" s="122" t="n">
        <v>6</v>
      </c>
      <c r="AL2137" s="122" t="n">
        <v>0</v>
      </c>
      <c r="AM2137" s="124">
        <f>IFERROR(AL2137/AA2137,"")</f>
        <v/>
      </c>
      <c r="AN2137" s="125">
        <f>IFERROR(R2137/AL2137,"")</f>
        <v/>
      </c>
      <c r="AO2137" s="122" t="n">
        <v>0</v>
      </c>
      <c r="AP2137" s="54">
        <f>IFERROR(AO2137/AL2137,"")</f>
        <v/>
      </c>
      <c r="AQ2137" s="125">
        <f>IFERROR(R2137/AO2137,"")</f>
        <v/>
      </c>
      <c r="AR2137" s="122" t="n">
        <v>0</v>
      </c>
      <c r="AS2137" s="122" t="n">
        <v>0</v>
      </c>
      <c r="AT2137" s="122">
        <f>AL2137+AR2137</f>
        <v/>
      </c>
      <c r="AU2137" s="125">
        <f>IFERROR(AO2137*Assumptions!$C$26*Assumptions!$C$27*INDEX(Assumptions!$C$18:$C$21,MATCH(H2137,Assumptions!$B$18:$B$21,0)),0)</f>
        <v/>
      </c>
    </row>
    <row r="2138">
      <c r="A2138" s="120" t="n">
        <v>46238</v>
      </c>
      <c r="B2138" s="66" t="inlineStr">
        <is>
          <t>Wk 32</t>
        </is>
      </c>
      <c r="C2138" s="66" t="inlineStr">
        <is>
          <t>Tue</t>
        </is>
      </c>
      <c r="D2138" s="66" t="inlineStr">
        <is>
          <t>Programmatic</t>
        </is>
      </c>
      <c r="E2138" s="66" t="inlineStr">
        <is>
          <t>DV360</t>
        </is>
      </c>
      <c r="F2138" s="66" t="inlineStr">
        <is>
          <t>LEP_ZA_AUG26_PROG_TD_VIDEO_OLV</t>
        </is>
      </c>
      <c r="G2138" s="66" t="inlineStr">
        <is>
          <t>Online Video / CTV</t>
        </is>
      </c>
      <c r="H2138" s="66" t="inlineStr">
        <is>
          <t>Range</t>
        </is>
      </c>
      <c r="I2138" s="66" t="inlineStr">
        <is>
          <t>Range Offer</t>
        </is>
      </c>
      <c r="J2138" s="66" t="inlineStr">
        <is>
          <t>PROG_CTV_HOUSEHOLD</t>
        </is>
      </c>
      <c r="K2138" s="66" t="inlineStr">
        <is>
          <t>Prospecting</t>
        </is>
      </c>
      <c r="L2138" s="66" t="inlineStr">
        <is>
          <t>PROG_OLV_20s_RangeFilm_v1</t>
        </is>
      </c>
      <c r="M2138" s="66" t="inlineStr">
        <is>
          <t>Video 16:9 Pre-roll</t>
        </is>
      </c>
      <c r="N2138" s="66" t="inlineStr">
        <is>
          <t>Meet the Lepas range</t>
        </is>
      </c>
      <c r="O2138" s="66" t="inlineStr">
        <is>
          <t>Auction - Fixed CPM</t>
        </is>
      </c>
      <c r="P2138" s="66" t="inlineStr">
        <is>
          <t>Completed Views + CPA</t>
        </is>
      </c>
      <c r="Q2138" s="66" t="inlineStr">
        <is>
          <t>https://www.lepas-sa.co.za/offers</t>
        </is>
      </c>
      <c r="R2138" s="121" t="n">
        <v>101.68</v>
      </c>
      <c r="S2138" s="122" t="n">
        <v>3943</v>
      </c>
      <c r="T2138" s="122" t="n">
        <v>1984</v>
      </c>
      <c r="U2138" s="123">
        <f>IFERROR(S2138/T2138,"")</f>
        <v/>
      </c>
      <c r="V2138" s="122" t="n">
        <v>8</v>
      </c>
      <c r="W2138" s="122" t="n">
        <v>7</v>
      </c>
      <c r="X2138" s="124">
        <f>IFERROR(W2138/S2138,"")</f>
        <v/>
      </c>
      <c r="Y2138" s="121">
        <f>IFERROR(R2138/W2138,"")</f>
        <v/>
      </c>
      <c r="Z2138" s="121">
        <f>IFERROR(R2138/S2138*1000,"")</f>
        <v/>
      </c>
      <c r="AA2138" s="122" t="n">
        <v>4</v>
      </c>
      <c r="AB2138" s="54">
        <f>IFERROR(AA2138/W2138,"")</f>
        <v/>
      </c>
      <c r="AC2138" s="122" t="n">
        <v>955</v>
      </c>
      <c r="AD2138" s="122" t="n">
        <v>428</v>
      </c>
      <c r="AE2138" s="122" t="n">
        <v>445</v>
      </c>
      <c r="AF2138" s="122" t="n">
        <v>253</v>
      </c>
      <c r="AG2138" s="122" t="n">
        <v>184</v>
      </c>
      <c r="AH2138" s="122" t="n">
        <v>115</v>
      </c>
      <c r="AI2138" s="54">
        <f>IFERROR(AC2138/S2138,"")</f>
        <v/>
      </c>
      <c r="AJ2138" s="54">
        <f>IFERROR(AH2138/S2138,"")</f>
        <v/>
      </c>
      <c r="AK2138" s="122" t="n">
        <v>19</v>
      </c>
      <c r="AL2138" s="122" t="n">
        <v>1</v>
      </c>
      <c r="AM2138" s="124">
        <f>IFERROR(AL2138/AA2138,"")</f>
        <v/>
      </c>
      <c r="AN2138" s="125">
        <f>IFERROR(R2138/AL2138,"")</f>
        <v/>
      </c>
      <c r="AO2138" s="122" t="n">
        <v>0</v>
      </c>
      <c r="AP2138" s="54">
        <f>IFERROR(AO2138/AL2138,"")</f>
        <v/>
      </c>
      <c r="AQ2138" s="125">
        <f>IFERROR(R2138/AO2138,"")</f>
        <v/>
      </c>
      <c r="AR2138" s="122" t="n">
        <v>1</v>
      </c>
      <c r="AS2138" s="122" t="n">
        <v>1</v>
      </c>
      <c r="AT2138" s="122">
        <f>AL2138+AR2138</f>
        <v/>
      </c>
      <c r="AU2138" s="125">
        <f>IFERROR(AO2138*Assumptions!$C$26*Assumptions!$C$27*INDEX(Assumptions!$C$18:$C$21,MATCH(H2138,Assumptions!$B$18:$B$21,0)),0)</f>
        <v/>
      </c>
    </row>
    <row r="2139">
      <c r="A2139" s="120" t="n">
        <v>46239</v>
      </c>
      <c r="B2139" s="66" t="inlineStr">
        <is>
          <t>Wk 32</t>
        </is>
      </c>
      <c r="C2139" s="66" t="inlineStr">
        <is>
          <t>Wed</t>
        </is>
      </c>
      <c r="D2139" s="66" t="inlineStr">
        <is>
          <t>Programmatic</t>
        </is>
      </c>
      <c r="E2139" s="66" t="inlineStr">
        <is>
          <t>DV360</t>
        </is>
      </c>
      <c r="F2139" s="66" t="inlineStr">
        <is>
          <t>LEP_ZA_AUG26_PROG_TD_VIDEO_OLV</t>
        </is>
      </c>
      <c r="G2139" s="66" t="inlineStr">
        <is>
          <t>Online Video / CTV</t>
        </is>
      </c>
      <c r="H2139" s="66" t="inlineStr">
        <is>
          <t>Range</t>
        </is>
      </c>
      <c r="I2139" s="66" t="inlineStr">
        <is>
          <t>Range Offer</t>
        </is>
      </c>
      <c r="J2139" s="66" t="inlineStr">
        <is>
          <t>PROG_CTV_HOUSEHOLD</t>
        </is>
      </c>
      <c r="K2139" s="66" t="inlineStr">
        <is>
          <t>Prospecting</t>
        </is>
      </c>
      <c r="L2139" s="66" t="inlineStr">
        <is>
          <t>PROG_OLV_20s_RangeFilm_v1</t>
        </is>
      </c>
      <c r="M2139" s="66" t="inlineStr">
        <is>
          <t>Video 16:9 Pre-roll</t>
        </is>
      </c>
      <c r="N2139" s="66" t="inlineStr">
        <is>
          <t>Meet the Lepas range</t>
        </is>
      </c>
      <c r="O2139" s="66" t="inlineStr">
        <is>
          <t>Auction - Fixed CPM</t>
        </is>
      </c>
      <c r="P2139" s="66" t="inlineStr">
        <is>
          <t>Completed Views + CPA</t>
        </is>
      </c>
      <c r="Q2139" s="66" t="inlineStr">
        <is>
          <t>https://www.lepas-sa.co.za/offers</t>
        </is>
      </c>
      <c r="R2139" s="121" t="n">
        <v>121.59</v>
      </c>
      <c r="S2139" s="122" t="n">
        <v>6983</v>
      </c>
      <c r="T2139" s="122" t="n">
        <v>3741</v>
      </c>
      <c r="U2139" s="123">
        <f>IFERROR(S2139/T2139,"")</f>
        <v/>
      </c>
      <c r="V2139" s="122" t="n">
        <v>23</v>
      </c>
      <c r="W2139" s="122" t="n">
        <v>18</v>
      </c>
      <c r="X2139" s="124">
        <f>IFERROR(W2139/S2139,"")</f>
        <v/>
      </c>
      <c r="Y2139" s="121">
        <f>IFERROR(R2139/W2139,"")</f>
        <v/>
      </c>
      <c r="Z2139" s="121">
        <f>IFERROR(R2139/S2139*1000,"")</f>
        <v/>
      </c>
      <c r="AA2139" s="122" t="n">
        <v>11</v>
      </c>
      <c r="AB2139" s="54">
        <f>IFERROR(AA2139/W2139,"")</f>
        <v/>
      </c>
      <c r="AC2139" s="122" t="n">
        <v>1881</v>
      </c>
      <c r="AD2139" s="122" t="n">
        <v>927</v>
      </c>
      <c r="AE2139" s="122" t="n">
        <v>708</v>
      </c>
      <c r="AF2139" s="122" t="n">
        <v>396</v>
      </c>
      <c r="AG2139" s="122" t="n">
        <v>289</v>
      </c>
      <c r="AH2139" s="122" t="n">
        <v>185</v>
      </c>
      <c r="AI2139" s="54">
        <f>IFERROR(AC2139/S2139,"")</f>
        <v/>
      </c>
      <c r="AJ2139" s="54">
        <f>IFERROR(AH2139/S2139,"")</f>
        <v/>
      </c>
      <c r="AK2139" s="122" t="n">
        <v>32</v>
      </c>
      <c r="AL2139" s="122" t="n">
        <v>0</v>
      </c>
      <c r="AM2139" s="124">
        <f>IFERROR(AL2139/AA2139,"")</f>
        <v/>
      </c>
      <c r="AN2139" s="125">
        <f>IFERROR(R2139/AL2139,"")</f>
        <v/>
      </c>
      <c r="AO2139" s="122" t="n">
        <v>0</v>
      </c>
      <c r="AP2139" s="54">
        <f>IFERROR(AO2139/AL2139,"")</f>
        <v/>
      </c>
      <c r="AQ2139" s="125">
        <f>IFERROR(R2139/AO2139,"")</f>
        <v/>
      </c>
      <c r="AR2139" s="122" t="n">
        <v>0</v>
      </c>
      <c r="AS2139" s="122" t="n">
        <v>0</v>
      </c>
      <c r="AT2139" s="122">
        <f>AL2139+AR2139</f>
        <v/>
      </c>
      <c r="AU2139" s="125">
        <f>IFERROR(AO2139*Assumptions!$C$26*Assumptions!$C$27*INDEX(Assumptions!$C$18:$C$21,MATCH(H2139,Assumptions!$B$18:$B$21,0)),0)</f>
        <v/>
      </c>
    </row>
    <row r="2140">
      <c r="A2140" s="120" t="n">
        <v>46240</v>
      </c>
      <c r="B2140" s="66" t="inlineStr">
        <is>
          <t>Wk 32</t>
        </is>
      </c>
      <c r="C2140" s="66" t="inlineStr">
        <is>
          <t>Thu</t>
        </is>
      </c>
      <c r="D2140" s="66" t="inlineStr">
        <is>
          <t>Programmatic</t>
        </is>
      </c>
      <c r="E2140" s="66" t="inlineStr">
        <is>
          <t>DV360</t>
        </is>
      </c>
      <c r="F2140" s="66" t="inlineStr">
        <is>
          <t>LEP_ZA_AUG26_PROG_TD_VIDEO_OLV</t>
        </is>
      </c>
      <c r="G2140" s="66" t="inlineStr">
        <is>
          <t>Online Video / CTV</t>
        </is>
      </c>
      <c r="H2140" s="66" t="inlineStr">
        <is>
          <t>Range</t>
        </is>
      </c>
      <c r="I2140" s="66" t="inlineStr">
        <is>
          <t>Range Offer</t>
        </is>
      </c>
      <c r="J2140" s="66" t="inlineStr">
        <is>
          <t>PROG_CTV_HOUSEHOLD</t>
        </is>
      </c>
      <c r="K2140" s="66" t="inlineStr">
        <is>
          <t>Prospecting</t>
        </is>
      </c>
      <c r="L2140" s="66" t="inlineStr">
        <is>
          <t>PROG_OLV_20s_RangeFilm_v1</t>
        </is>
      </c>
      <c r="M2140" s="66" t="inlineStr">
        <is>
          <t>Video 16:9 Pre-roll</t>
        </is>
      </c>
      <c r="N2140" s="66" t="inlineStr">
        <is>
          <t>Meet the Lepas range</t>
        </is>
      </c>
      <c r="O2140" s="66" t="inlineStr">
        <is>
          <t>Auction - Fixed CPM</t>
        </is>
      </c>
      <c r="P2140" s="66" t="inlineStr">
        <is>
          <t>Completed Views + CPA</t>
        </is>
      </c>
      <c r="Q2140" s="66" t="inlineStr">
        <is>
          <t>https://www.lepas-sa.co.za/offers</t>
        </is>
      </c>
      <c r="R2140" s="121" t="n">
        <v>151.27</v>
      </c>
      <c r="S2140" s="122" t="n">
        <v>4604</v>
      </c>
      <c r="T2140" s="122" t="n">
        <v>3510</v>
      </c>
      <c r="U2140" s="123">
        <f>IFERROR(S2140/T2140,"")</f>
        <v/>
      </c>
      <c r="V2140" s="122" t="n">
        <v>12</v>
      </c>
      <c r="W2140" s="122" t="n">
        <v>10</v>
      </c>
      <c r="X2140" s="124">
        <f>IFERROR(W2140/S2140,"")</f>
        <v/>
      </c>
      <c r="Y2140" s="121">
        <f>IFERROR(R2140/W2140,"")</f>
        <v/>
      </c>
      <c r="Z2140" s="121">
        <f>IFERROR(R2140/S2140*1000,"")</f>
        <v/>
      </c>
      <c r="AA2140" s="122" t="n">
        <v>7</v>
      </c>
      <c r="AB2140" s="54">
        <f>IFERROR(AA2140/W2140,"")</f>
        <v/>
      </c>
      <c r="AC2140" s="122" t="n">
        <v>1811</v>
      </c>
      <c r="AD2140" s="122" t="n">
        <v>953</v>
      </c>
      <c r="AE2140" s="122" t="n">
        <v>923</v>
      </c>
      <c r="AF2140" s="122" t="n">
        <v>566</v>
      </c>
      <c r="AG2140" s="122" t="n">
        <v>396</v>
      </c>
      <c r="AH2140" s="122" t="n">
        <v>233</v>
      </c>
      <c r="AI2140" s="54">
        <f>IFERROR(AC2140/S2140,"")</f>
        <v/>
      </c>
      <c r="AJ2140" s="54">
        <f>IFERROR(AH2140/S2140,"")</f>
        <v/>
      </c>
      <c r="AK2140" s="122" t="n">
        <v>22</v>
      </c>
      <c r="AL2140" s="122" t="n">
        <v>1</v>
      </c>
      <c r="AM2140" s="124">
        <f>IFERROR(AL2140/AA2140,"")</f>
        <v/>
      </c>
      <c r="AN2140" s="125">
        <f>IFERROR(R2140/AL2140,"")</f>
        <v/>
      </c>
      <c r="AO2140" s="122" t="n">
        <v>1</v>
      </c>
      <c r="AP2140" s="54">
        <f>IFERROR(AO2140/AL2140,"")</f>
        <v/>
      </c>
      <c r="AQ2140" s="125">
        <f>IFERROR(R2140/AO2140,"")</f>
        <v/>
      </c>
      <c r="AR2140" s="122" t="n">
        <v>1</v>
      </c>
      <c r="AS2140" s="122" t="n">
        <v>1</v>
      </c>
      <c r="AT2140" s="122">
        <f>AL2140+AR2140</f>
        <v/>
      </c>
      <c r="AU2140" s="125">
        <f>IFERROR(AO2140*Assumptions!$C$26*Assumptions!$C$27*INDEX(Assumptions!$C$18:$C$21,MATCH(H2140,Assumptions!$B$18:$B$21,0)),0)</f>
        <v/>
      </c>
    </row>
    <row r="2141">
      <c r="A2141" s="120" t="n">
        <v>46241</v>
      </c>
      <c r="B2141" s="66" t="inlineStr">
        <is>
          <t>Wk 32</t>
        </is>
      </c>
      <c r="C2141" s="66" t="inlineStr">
        <is>
          <t>Fri</t>
        </is>
      </c>
      <c r="D2141" s="66" t="inlineStr">
        <is>
          <t>Programmatic</t>
        </is>
      </c>
      <c r="E2141" s="66" t="inlineStr">
        <is>
          <t>DV360</t>
        </is>
      </c>
      <c r="F2141" s="66" t="inlineStr">
        <is>
          <t>LEP_ZA_AUG26_PROG_TD_VIDEO_OLV</t>
        </is>
      </c>
      <c r="G2141" s="66" t="inlineStr">
        <is>
          <t>Online Video / CTV</t>
        </is>
      </c>
      <c r="H2141" s="66" t="inlineStr">
        <is>
          <t>Range</t>
        </is>
      </c>
      <c r="I2141" s="66" t="inlineStr">
        <is>
          <t>Range Offer</t>
        </is>
      </c>
      <c r="J2141" s="66" t="inlineStr">
        <is>
          <t>PROG_CTV_HOUSEHOLD</t>
        </is>
      </c>
      <c r="K2141" s="66" t="inlineStr">
        <is>
          <t>Prospecting</t>
        </is>
      </c>
      <c r="L2141" s="66" t="inlineStr">
        <is>
          <t>PROG_OLV_20s_RangeFilm_v1</t>
        </is>
      </c>
      <c r="M2141" s="66" t="inlineStr">
        <is>
          <t>Video 16:9 Pre-roll</t>
        </is>
      </c>
      <c r="N2141" s="66" t="inlineStr">
        <is>
          <t>Meet the Lepas range</t>
        </is>
      </c>
      <c r="O2141" s="66" t="inlineStr">
        <is>
          <t>Auction - Fixed CPM</t>
        </is>
      </c>
      <c r="P2141" s="66" t="inlineStr">
        <is>
          <t>Completed Views + CPA</t>
        </is>
      </c>
      <c r="Q2141" s="66" t="inlineStr">
        <is>
          <t>https://www.lepas-sa.co.za/offers</t>
        </is>
      </c>
      <c r="R2141" s="121" t="n">
        <v>129.01</v>
      </c>
      <c r="S2141" s="122" t="n">
        <v>3938</v>
      </c>
      <c r="T2141" s="122" t="n">
        <v>2129</v>
      </c>
      <c r="U2141" s="123">
        <f>IFERROR(S2141/T2141,"")</f>
        <v/>
      </c>
      <c r="V2141" s="122" t="n">
        <v>4</v>
      </c>
      <c r="W2141" s="122" t="n">
        <v>3</v>
      </c>
      <c r="X2141" s="124">
        <f>IFERROR(W2141/S2141,"")</f>
        <v/>
      </c>
      <c r="Y2141" s="121">
        <f>IFERROR(R2141/W2141,"")</f>
        <v/>
      </c>
      <c r="Z2141" s="121">
        <f>IFERROR(R2141/S2141*1000,"")</f>
        <v/>
      </c>
      <c r="AA2141" s="122" t="n">
        <v>1</v>
      </c>
      <c r="AB2141" s="54">
        <f>IFERROR(AA2141/W2141,"")</f>
        <v/>
      </c>
      <c r="AC2141" s="122" t="n">
        <v>1384</v>
      </c>
      <c r="AD2141" s="122" t="n">
        <v>661</v>
      </c>
      <c r="AE2141" s="122" t="n">
        <v>623</v>
      </c>
      <c r="AF2141" s="122" t="n">
        <v>430</v>
      </c>
      <c r="AG2141" s="122" t="n">
        <v>333</v>
      </c>
      <c r="AH2141" s="122" t="n">
        <v>204</v>
      </c>
      <c r="AI2141" s="54">
        <f>IFERROR(AC2141/S2141,"")</f>
        <v/>
      </c>
      <c r="AJ2141" s="54">
        <f>IFERROR(AH2141/S2141,"")</f>
        <v/>
      </c>
      <c r="AK2141" s="122" t="n">
        <v>6</v>
      </c>
      <c r="AL2141" s="122" t="n">
        <v>0</v>
      </c>
      <c r="AM2141" s="124">
        <f>IFERROR(AL2141/AA2141,"")</f>
        <v/>
      </c>
      <c r="AN2141" s="125">
        <f>IFERROR(R2141/AL2141,"")</f>
        <v/>
      </c>
      <c r="AO2141" s="122" t="n">
        <v>0</v>
      </c>
      <c r="AP2141" s="54">
        <f>IFERROR(AO2141/AL2141,"")</f>
        <v/>
      </c>
      <c r="AQ2141" s="125">
        <f>IFERROR(R2141/AO2141,"")</f>
        <v/>
      </c>
      <c r="AR2141" s="122" t="n">
        <v>0</v>
      </c>
      <c r="AS2141" s="122" t="n">
        <v>0</v>
      </c>
      <c r="AT2141" s="122">
        <f>AL2141+AR2141</f>
        <v/>
      </c>
      <c r="AU2141" s="125">
        <f>IFERROR(AO2141*Assumptions!$C$26*Assumptions!$C$27*INDEX(Assumptions!$C$18:$C$21,MATCH(H2141,Assumptions!$B$18:$B$21,0)),0)</f>
        <v/>
      </c>
    </row>
    <row r="2142">
      <c r="A2142" s="120" t="n">
        <v>46242</v>
      </c>
      <c r="B2142" s="66" t="inlineStr">
        <is>
          <t>Wk 32</t>
        </is>
      </c>
      <c r="C2142" s="66" t="inlineStr">
        <is>
          <t>Sat</t>
        </is>
      </c>
      <c r="D2142" s="66" t="inlineStr">
        <is>
          <t>Programmatic</t>
        </is>
      </c>
      <c r="E2142" s="66" t="inlineStr">
        <is>
          <t>DV360</t>
        </is>
      </c>
      <c r="F2142" s="66" t="inlineStr">
        <is>
          <t>LEP_ZA_AUG26_PROG_TD_VIDEO_OLV</t>
        </is>
      </c>
      <c r="G2142" s="66" t="inlineStr">
        <is>
          <t>Online Video / CTV</t>
        </is>
      </c>
      <c r="H2142" s="66" t="inlineStr">
        <is>
          <t>Range</t>
        </is>
      </c>
      <c r="I2142" s="66" t="inlineStr">
        <is>
          <t>Range Offer</t>
        </is>
      </c>
      <c r="J2142" s="66" t="inlineStr">
        <is>
          <t>PROG_CTV_HOUSEHOLD</t>
        </is>
      </c>
      <c r="K2142" s="66" t="inlineStr">
        <is>
          <t>Prospecting</t>
        </is>
      </c>
      <c r="L2142" s="66" t="inlineStr">
        <is>
          <t>PROG_OLV_20s_RangeFilm_v1</t>
        </is>
      </c>
      <c r="M2142" s="66" t="inlineStr">
        <is>
          <t>Video 16:9 Pre-roll</t>
        </is>
      </c>
      <c r="N2142" s="66" t="inlineStr">
        <is>
          <t>Meet the Lepas range</t>
        </is>
      </c>
      <c r="O2142" s="66" t="inlineStr">
        <is>
          <t>Auction - Fixed CPM</t>
        </is>
      </c>
      <c r="P2142" s="66" t="inlineStr">
        <is>
          <t>Completed Views + CPA</t>
        </is>
      </c>
      <c r="Q2142" s="66" t="inlineStr">
        <is>
          <t>https://www.lepas-sa.co.za/offers</t>
        </is>
      </c>
      <c r="R2142" s="121" t="n">
        <v>133</v>
      </c>
      <c r="S2142" s="122" t="n">
        <v>6017</v>
      </c>
      <c r="T2142" s="122" t="n">
        <v>4042</v>
      </c>
      <c r="U2142" s="123">
        <f>IFERROR(S2142/T2142,"")</f>
        <v/>
      </c>
      <c r="V2142" s="122" t="n">
        <v>23</v>
      </c>
      <c r="W2142" s="122" t="n">
        <v>18</v>
      </c>
      <c r="X2142" s="124">
        <f>IFERROR(W2142/S2142,"")</f>
        <v/>
      </c>
      <c r="Y2142" s="121">
        <f>IFERROR(R2142/W2142,"")</f>
        <v/>
      </c>
      <c r="Z2142" s="121">
        <f>IFERROR(R2142/S2142*1000,"")</f>
        <v/>
      </c>
      <c r="AA2142" s="122" t="n">
        <v>12</v>
      </c>
      <c r="AB2142" s="54">
        <f>IFERROR(AA2142/W2142,"")</f>
        <v/>
      </c>
      <c r="AC2142" s="122" t="n">
        <v>1658</v>
      </c>
      <c r="AD2142" s="122" t="n">
        <v>906</v>
      </c>
      <c r="AE2142" s="122" t="n">
        <v>864</v>
      </c>
      <c r="AF2142" s="122" t="n">
        <v>505</v>
      </c>
      <c r="AG2142" s="122" t="n">
        <v>389</v>
      </c>
      <c r="AH2142" s="122" t="n">
        <v>218</v>
      </c>
      <c r="AI2142" s="54">
        <f>IFERROR(AC2142/S2142,"")</f>
        <v/>
      </c>
      <c r="AJ2142" s="54">
        <f>IFERROR(AH2142/S2142,"")</f>
        <v/>
      </c>
      <c r="AK2142" s="122" t="n">
        <v>30</v>
      </c>
      <c r="AL2142" s="122" t="n">
        <v>0</v>
      </c>
      <c r="AM2142" s="124">
        <f>IFERROR(AL2142/AA2142,"")</f>
        <v/>
      </c>
      <c r="AN2142" s="125">
        <f>IFERROR(R2142/AL2142,"")</f>
        <v/>
      </c>
      <c r="AO2142" s="122" t="n">
        <v>0</v>
      </c>
      <c r="AP2142" s="54">
        <f>IFERROR(AO2142/AL2142,"")</f>
        <v/>
      </c>
      <c r="AQ2142" s="125">
        <f>IFERROR(R2142/AO2142,"")</f>
        <v/>
      </c>
      <c r="AR2142" s="122" t="n">
        <v>0</v>
      </c>
      <c r="AS2142" s="122" t="n">
        <v>0</v>
      </c>
      <c r="AT2142" s="122">
        <f>AL2142+AR2142</f>
        <v/>
      </c>
      <c r="AU2142" s="125">
        <f>IFERROR(AO2142*Assumptions!$C$26*Assumptions!$C$27*INDEX(Assumptions!$C$18:$C$21,MATCH(H2142,Assumptions!$B$18:$B$21,0)),0)</f>
        <v/>
      </c>
    </row>
    <row r="2143">
      <c r="A2143" s="120" t="n">
        <v>46243</v>
      </c>
      <c r="B2143" s="66" t="inlineStr">
        <is>
          <t>Wk 32</t>
        </is>
      </c>
      <c r="C2143" s="66" t="inlineStr">
        <is>
          <t>Sun</t>
        </is>
      </c>
      <c r="D2143" s="66" t="inlineStr">
        <is>
          <t>Programmatic</t>
        </is>
      </c>
      <c r="E2143" s="66" t="inlineStr">
        <is>
          <t>DV360</t>
        </is>
      </c>
      <c r="F2143" s="66" t="inlineStr">
        <is>
          <t>LEP_ZA_AUG26_PROG_TD_VIDEO_OLV</t>
        </is>
      </c>
      <c r="G2143" s="66" t="inlineStr">
        <is>
          <t>Online Video / CTV</t>
        </is>
      </c>
      <c r="H2143" s="66" t="inlineStr">
        <is>
          <t>Range</t>
        </is>
      </c>
      <c r="I2143" s="66" t="inlineStr">
        <is>
          <t>Range Offer</t>
        </is>
      </c>
      <c r="J2143" s="66" t="inlineStr">
        <is>
          <t>PROG_CTV_HOUSEHOLD</t>
        </is>
      </c>
      <c r="K2143" s="66" t="inlineStr">
        <is>
          <t>Prospecting</t>
        </is>
      </c>
      <c r="L2143" s="66" t="inlineStr">
        <is>
          <t>PROG_OLV_20s_RangeFilm_v1</t>
        </is>
      </c>
      <c r="M2143" s="66" t="inlineStr">
        <is>
          <t>Video 16:9 Pre-roll</t>
        </is>
      </c>
      <c r="N2143" s="66" t="inlineStr">
        <is>
          <t>Meet the Lepas range</t>
        </is>
      </c>
      <c r="O2143" s="66" t="inlineStr">
        <is>
          <t>Auction - Fixed CPM</t>
        </is>
      </c>
      <c r="P2143" s="66" t="inlineStr">
        <is>
          <t>Completed Views + CPA</t>
        </is>
      </c>
      <c r="Q2143" s="66" t="inlineStr">
        <is>
          <t>https://www.lepas-sa.co.za/offers</t>
        </is>
      </c>
      <c r="R2143" s="121" t="n">
        <v>99.05</v>
      </c>
      <c r="S2143" s="122" t="n">
        <v>3280</v>
      </c>
      <c r="T2143" s="122" t="n">
        <v>1437</v>
      </c>
      <c r="U2143" s="123">
        <f>IFERROR(S2143/T2143,"")</f>
        <v/>
      </c>
      <c r="V2143" s="122" t="n">
        <v>5</v>
      </c>
      <c r="W2143" s="122" t="n">
        <v>3</v>
      </c>
      <c r="X2143" s="124">
        <f>IFERROR(W2143/S2143,"")</f>
        <v/>
      </c>
      <c r="Y2143" s="121">
        <f>IFERROR(R2143/W2143,"")</f>
        <v/>
      </c>
      <c r="Z2143" s="121">
        <f>IFERROR(R2143/S2143*1000,"")</f>
        <v/>
      </c>
      <c r="AA2143" s="122" t="n">
        <v>2</v>
      </c>
      <c r="AB2143" s="54">
        <f>IFERROR(AA2143/W2143,"")</f>
        <v/>
      </c>
      <c r="AC2143" s="122" t="n">
        <v>1338</v>
      </c>
      <c r="AD2143" s="122" t="n">
        <v>697</v>
      </c>
      <c r="AE2143" s="122" t="n">
        <v>551</v>
      </c>
      <c r="AF2143" s="122" t="n">
        <v>337</v>
      </c>
      <c r="AG2143" s="122" t="n">
        <v>216</v>
      </c>
      <c r="AH2143" s="122" t="n">
        <v>138</v>
      </c>
      <c r="AI2143" s="54">
        <f>IFERROR(AC2143/S2143,"")</f>
        <v/>
      </c>
      <c r="AJ2143" s="54">
        <f>IFERROR(AH2143/S2143,"")</f>
        <v/>
      </c>
      <c r="AK2143" s="122" t="n">
        <v>16</v>
      </c>
      <c r="AL2143" s="122" t="n">
        <v>0</v>
      </c>
      <c r="AM2143" s="124">
        <f>IFERROR(AL2143/AA2143,"")</f>
        <v/>
      </c>
      <c r="AN2143" s="125">
        <f>IFERROR(R2143/AL2143,"")</f>
        <v/>
      </c>
      <c r="AO2143" s="122" t="n">
        <v>0</v>
      </c>
      <c r="AP2143" s="54">
        <f>IFERROR(AO2143/AL2143,"")</f>
        <v/>
      </c>
      <c r="AQ2143" s="125">
        <f>IFERROR(R2143/AO2143,"")</f>
        <v/>
      </c>
      <c r="AR2143" s="122" t="n">
        <v>0</v>
      </c>
      <c r="AS2143" s="122" t="n">
        <v>0</v>
      </c>
      <c r="AT2143" s="122">
        <f>AL2143+AR2143</f>
        <v/>
      </c>
      <c r="AU2143" s="125">
        <f>IFERROR(AO2143*Assumptions!$C$26*Assumptions!$C$27*INDEX(Assumptions!$C$18:$C$21,MATCH(H2143,Assumptions!$B$18:$B$21,0)),0)</f>
        <v/>
      </c>
    </row>
    <row r="2144">
      <c r="A2144" s="120" t="n">
        <v>46244</v>
      </c>
      <c r="B2144" s="66" t="inlineStr">
        <is>
          <t>Wk 33</t>
        </is>
      </c>
      <c r="C2144" s="66" t="inlineStr">
        <is>
          <t>Mon</t>
        </is>
      </c>
      <c r="D2144" s="66" t="inlineStr">
        <is>
          <t>Programmatic</t>
        </is>
      </c>
      <c r="E2144" s="66" t="inlineStr">
        <is>
          <t>DV360</t>
        </is>
      </c>
      <c r="F2144" s="66" t="inlineStr">
        <is>
          <t>LEP_ZA_AUG26_PROG_TD_VIDEO_OLV</t>
        </is>
      </c>
      <c r="G2144" s="66" t="inlineStr">
        <is>
          <t>Online Video / CTV</t>
        </is>
      </c>
      <c r="H2144" s="66" t="inlineStr">
        <is>
          <t>Range</t>
        </is>
      </c>
      <c r="I2144" s="66" t="inlineStr">
        <is>
          <t>Range Offer</t>
        </is>
      </c>
      <c r="J2144" s="66" t="inlineStr">
        <is>
          <t>PROG_CTV_HOUSEHOLD</t>
        </is>
      </c>
      <c r="K2144" s="66" t="inlineStr">
        <is>
          <t>Prospecting</t>
        </is>
      </c>
      <c r="L2144" s="66" t="inlineStr">
        <is>
          <t>PROG_OLV_20s_RangeFilm_v1</t>
        </is>
      </c>
      <c r="M2144" s="66" t="inlineStr">
        <is>
          <t>Video 16:9 Pre-roll</t>
        </is>
      </c>
      <c r="N2144" s="66" t="inlineStr">
        <is>
          <t>Meet the Lepas range</t>
        </is>
      </c>
      <c r="O2144" s="66" t="inlineStr">
        <is>
          <t>Auction - Fixed CPM</t>
        </is>
      </c>
      <c r="P2144" s="66" t="inlineStr">
        <is>
          <t>Completed Views + CPA</t>
        </is>
      </c>
      <c r="Q2144" s="66" t="inlineStr">
        <is>
          <t>https://www.lepas-sa.co.za/offers</t>
        </is>
      </c>
      <c r="R2144" s="121" t="n">
        <v>121.25</v>
      </c>
      <c r="S2144" s="122" t="n">
        <v>4684</v>
      </c>
      <c r="T2144" s="122" t="n">
        <v>2655</v>
      </c>
      <c r="U2144" s="123">
        <f>IFERROR(S2144/T2144,"")</f>
        <v/>
      </c>
      <c r="V2144" s="122" t="n">
        <v>16</v>
      </c>
      <c r="W2144" s="122" t="n">
        <v>12</v>
      </c>
      <c r="X2144" s="124">
        <f>IFERROR(W2144/S2144,"")</f>
        <v/>
      </c>
      <c r="Y2144" s="121">
        <f>IFERROR(R2144/W2144,"")</f>
        <v/>
      </c>
      <c r="Z2144" s="121">
        <f>IFERROR(R2144/S2144*1000,"")</f>
        <v/>
      </c>
      <c r="AA2144" s="122" t="n">
        <v>7</v>
      </c>
      <c r="AB2144" s="54">
        <f>IFERROR(AA2144/W2144,"")</f>
        <v/>
      </c>
      <c r="AC2144" s="122" t="n">
        <v>1580</v>
      </c>
      <c r="AD2144" s="122" t="n">
        <v>978</v>
      </c>
      <c r="AE2144" s="122" t="n">
        <v>601</v>
      </c>
      <c r="AF2144" s="122" t="n">
        <v>329</v>
      </c>
      <c r="AG2144" s="122" t="n">
        <v>229</v>
      </c>
      <c r="AH2144" s="122" t="n">
        <v>129</v>
      </c>
      <c r="AI2144" s="54">
        <f>IFERROR(AC2144/S2144,"")</f>
        <v/>
      </c>
      <c r="AJ2144" s="54">
        <f>IFERROR(AH2144/S2144,"")</f>
        <v/>
      </c>
      <c r="AK2144" s="122" t="n">
        <v>14</v>
      </c>
      <c r="AL2144" s="122" t="n">
        <v>0</v>
      </c>
      <c r="AM2144" s="124">
        <f>IFERROR(AL2144/AA2144,"")</f>
        <v/>
      </c>
      <c r="AN2144" s="125">
        <f>IFERROR(R2144/AL2144,"")</f>
        <v/>
      </c>
      <c r="AO2144" s="122" t="n">
        <v>0</v>
      </c>
      <c r="AP2144" s="54">
        <f>IFERROR(AO2144/AL2144,"")</f>
        <v/>
      </c>
      <c r="AQ2144" s="125">
        <f>IFERROR(R2144/AO2144,"")</f>
        <v/>
      </c>
      <c r="AR2144" s="122" t="n">
        <v>0</v>
      </c>
      <c r="AS2144" s="122" t="n">
        <v>0</v>
      </c>
      <c r="AT2144" s="122">
        <f>AL2144+AR2144</f>
        <v/>
      </c>
      <c r="AU2144" s="125">
        <f>IFERROR(AO2144*Assumptions!$C$26*Assumptions!$C$27*INDEX(Assumptions!$C$18:$C$21,MATCH(H2144,Assumptions!$B$18:$B$21,0)),0)</f>
        <v/>
      </c>
    </row>
    <row r="2145">
      <c r="A2145" s="120" t="n">
        <v>46245</v>
      </c>
      <c r="B2145" s="66" t="inlineStr">
        <is>
          <t>Wk 33</t>
        </is>
      </c>
      <c r="C2145" s="66" t="inlineStr">
        <is>
          <t>Tue</t>
        </is>
      </c>
      <c r="D2145" s="66" t="inlineStr">
        <is>
          <t>Programmatic</t>
        </is>
      </c>
      <c r="E2145" s="66" t="inlineStr">
        <is>
          <t>DV360</t>
        </is>
      </c>
      <c r="F2145" s="66" t="inlineStr">
        <is>
          <t>LEP_ZA_AUG26_PROG_TD_VIDEO_OLV</t>
        </is>
      </c>
      <c r="G2145" s="66" t="inlineStr">
        <is>
          <t>Online Video / CTV</t>
        </is>
      </c>
      <c r="H2145" s="66" t="inlineStr">
        <is>
          <t>Range</t>
        </is>
      </c>
      <c r="I2145" s="66" t="inlineStr">
        <is>
          <t>Range Offer</t>
        </is>
      </c>
      <c r="J2145" s="66" t="inlineStr">
        <is>
          <t>PROG_CTV_HOUSEHOLD</t>
        </is>
      </c>
      <c r="K2145" s="66" t="inlineStr">
        <is>
          <t>Prospecting</t>
        </is>
      </c>
      <c r="L2145" s="66" t="inlineStr">
        <is>
          <t>PROG_OLV_20s_RangeFilm_v1</t>
        </is>
      </c>
      <c r="M2145" s="66" t="inlineStr">
        <is>
          <t>Video 16:9 Pre-roll</t>
        </is>
      </c>
      <c r="N2145" s="66" t="inlineStr">
        <is>
          <t>Meet the Lepas range</t>
        </is>
      </c>
      <c r="O2145" s="66" t="inlineStr">
        <is>
          <t>Auction - Fixed CPM</t>
        </is>
      </c>
      <c r="P2145" s="66" t="inlineStr">
        <is>
          <t>Completed Views + CPA</t>
        </is>
      </c>
      <c r="Q2145" s="66" t="inlineStr">
        <is>
          <t>https://www.lepas-sa.co.za/offers</t>
        </is>
      </c>
      <c r="R2145" s="121" t="n">
        <v>122.01</v>
      </c>
      <c r="S2145" s="122" t="n">
        <v>3906</v>
      </c>
      <c r="T2145" s="122" t="n">
        <v>1695</v>
      </c>
      <c r="U2145" s="123">
        <f>IFERROR(S2145/T2145,"")</f>
        <v/>
      </c>
      <c r="V2145" s="122" t="n">
        <v>11</v>
      </c>
      <c r="W2145" s="122" t="n">
        <v>9</v>
      </c>
      <c r="X2145" s="124">
        <f>IFERROR(W2145/S2145,"")</f>
        <v/>
      </c>
      <c r="Y2145" s="121">
        <f>IFERROR(R2145/W2145,"")</f>
        <v/>
      </c>
      <c r="Z2145" s="121">
        <f>IFERROR(R2145/S2145*1000,"")</f>
        <v/>
      </c>
      <c r="AA2145" s="122" t="n">
        <v>5</v>
      </c>
      <c r="AB2145" s="54">
        <f>IFERROR(AA2145/W2145,"")</f>
        <v/>
      </c>
      <c r="AC2145" s="122" t="n">
        <v>1438</v>
      </c>
      <c r="AD2145" s="122" t="n">
        <v>784</v>
      </c>
      <c r="AE2145" s="122" t="n">
        <v>600</v>
      </c>
      <c r="AF2145" s="122" t="n">
        <v>420</v>
      </c>
      <c r="AG2145" s="122" t="n">
        <v>282</v>
      </c>
      <c r="AH2145" s="122" t="n">
        <v>192</v>
      </c>
      <c r="AI2145" s="54">
        <f>IFERROR(AC2145/S2145,"")</f>
        <v/>
      </c>
      <c r="AJ2145" s="54">
        <f>IFERROR(AH2145/S2145,"")</f>
        <v/>
      </c>
      <c r="AK2145" s="122" t="n">
        <v>7</v>
      </c>
      <c r="AL2145" s="122" t="n">
        <v>0</v>
      </c>
      <c r="AM2145" s="124">
        <f>IFERROR(AL2145/AA2145,"")</f>
        <v/>
      </c>
      <c r="AN2145" s="125">
        <f>IFERROR(R2145/AL2145,"")</f>
        <v/>
      </c>
      <c r="AO2145" s="122" t="n">
        <v>0</v>
      </c>
      <c r="AP2145" s="54">
        <f>IFERROR(AO2145/AL2145,"")</f>
        <v/>
      </c>
      <c r="AQ2145" s="125">
        <f>IFERROR(R2145/AO2145,"")</f>
        <v/>
      </c>
      <c r="AR2145" s="122" t="n">
        <v>0</v>
      </c>
      <c r="AS2145" s="122" t="n">
        <v>0</v>
      </c>
      <c r="AT2145" s="122">
        <f>AL2145+AR2145</f>
        <v/>
      </c>
      <c r="AU2145" s="125">
        <f>IFERROR(AO2145*Assumptions!$C$26*Assumptions!$C$27*INDEX(Assumptions!$C$18:$C$21,MATCH(H2145,Assumptions!$B$18:$B$21,0)),0)</f>
        <v/>
      </c>
    </row>
    <row r="2146">
      <c r="A2146" s="120" t="n">
        <v>46246</v>
      </c>
      <c r="B2146" s="66" t="inlineStr">
        <is>
          <t>Wk 33</t>
        </is>
      </c>
      <c r="C2146" s="66" t="inlineStr">
        <is>
          <t>Wed</t>
        </is>
      </c>
      <c r="D2146" s="66" t="inlineStr">
        <is>
          <t>Programmatic</t>
        </is>
      </c>
      <c r="E2146" s="66" t="inlineStr">
        <is>
          <t>DV360</t>
        </is>
      </c>
      <c r="F2146" s="66" t="inlineStr">
        <is>
          <t>LEP_ZA_AUG26_PROG_TD_VIDEO_OLV</t>
        </is>
      </c>
      <c r="G2146" s="66" t="inlineStr">
        <is>
          <t>Online Video / CTV</t>
        </is>
      </c>
      <c r="H2146" s="66" t="inlineStr">
        <is>
          <t>Range</t>
        </is>
      </c>
      <c r="I2146" s="66" t="inlineStr">
        <is>
          <t>Range Offer</t>
        </is>
      </c>
      <c r="J2146" s="66" t="inlineStr">
        <is>
          <t>PROG_CTV_HOUSEHOLD</t>
        </is>
      </c>
      <c r="K2146" s="66" t="inlineStr">
        <is>
          <t>Prospecting</t>
        </is>
      </c>
      <c r="L2146" s="66" t="inlineStr">
        <is>
          <t>PROG_OLV_20s_RangeFilm_v1</t>
        </is>
      </c>
      <c r="M2146" s="66" t="inlineStr">
        <is>
          <t>Video 16:9 Pre-roll</t>
        </is>
      </c>
      <c r="N2146" s="66" t="inlineStr">
        <is>
          <t>Meet the Lepas range</t>
        </is>
      </c>
      <c r="O2146" s="66" t="inlineStr">
        <is>
          <t>Auction - Fixed CPM</t>
        </is>
      </c>
      <c r="P2146" s="66" t="inlineStr">
        <is>
          <t>Completed Views + CPA</t>
        </is>
      </c>
      <c r="Q2146" s="66" t="inlineStr">
        <is>
          <t>https://www.lepas-sa.co.za/offers</t>
        </is>
      </c>
      <c r="R2146" s="121" t="n">
        <v>123.68</v>
      </c>
      <c r="S2146" s="122" t="n">
        <v>3433</v>
      </c>
      <c r="T2146" s="122" t="n">
        <v>1443</v>
      </c>
      <c r="U2146" s="123">
        <f>IFERROR(S2146/T2146,"")</f>
        <v/>
      </c>
      <c r="V2146" s="122" t="n">
        <v>7</v>
      </c>
      <c r="W2146" s="122" t="n">
        <v>5</v>
      </c>
      <c r="X2146" s="124">
        <f>IFERROR(W2146/S2146,"")</f>
        <v/>
      </c>
      <c r="Y2146" s="121">
        <f>IFERROR(R2146/W2146,"")</f>
        <v/>
      </c>
      <c r="Z2146" s="121">
        <f>IFERROR(R2146/S2146*1000,"")</f>
        <v/>
      </c>
      <c r="AA2146" s="122" t="n">
        <v>3</v>
      </c>
      <c r="AB2146" s="54">
        <f>IFERROR(AA2146/W2146,"")</f>
        <v/>
      </c>
      <c r="AC2146" s="122" t="n">
        <v>1014</v>
      </c>
      <c r="AD2146" s="122" t="n">
        <v>479</v>
      </c>
      <c r="AE2146" s="122" t="n">
        <v>536</v>
      </c>
      <c r="AF2146" s="122" t="n">
        <v>357</v>
      </c>
      <c r="AG2146" s="122" t="n">
        <v>236</v>
      </c>
      <c r="AH2146" s="122" t="n">
        <v>146</v>
      </c>
      <c r="AI2146" s="54">
        <f>IFERROR(AC2146/S2146,"")</f>
        <v/>
      </c>
      <c r="AJ2146" s="54">
        <f>IFERROR(AH2146/S2146,"")</f>
        <v/>
      </c>
      <c r="AK2146" s="122" t="n">
        <v>13</v>
      </c>
      <c r="AL2146" s="122" t="n">
        <v>0</v>
      </c>
      <c r="AM2146" s="124">
        <f>IFERROR(AL2146/AA2146,"")</f>
        <v/>
      </c>
      <c r="AN2146" s="125">
        <f>IFERROR(R2146/AL2146,"")</f>
        <v/>
      </c>
      <c r="AO2146" s="122" t="n">
        <v>0</v>
      </c>
      <c r="AP2146" s="54">
        <f>IFERROR(AO2146/AL2146,"")</f>
        <v/>
      </c>
      <c r="AQ2146" s="125">
        <f>IFERROR(R2146/AO2146,"")</f>
        <v/>
      </c>
      <c r="AR2146" s="122" t="n">
        <v>0</v>
      </c>
      <c r="AS2146" s="122" t="n">
        <v>0</v>
      </c>
      <c r="AT2146" s="122">
        <f>AL2146+AR2146</f>
        <v/>
      </c>
      <c r="AU2146" s="125">
        <f>IFERROR(AO2146*Assumptions!$C$26*Assumptions!$C$27*INDEX(Assumptions!$C$18:$C$21,MATCH(H2146,Assumptions!$B$18:$B$21,0)),0)</f>
        <v/>
      </c>
    </row>
    <row r="2147">
      <c r="A2147" s="120" t="n">
        <v>46247</v>
      </c>
      <c r="B2147" s="66" t="inlineStr">
        <is>
          <t>Wk 33</t>
        </is>
      </c>
      <c r="C2147" s="66" t="inlineStr">
        <is>
          <t>Thu</t>
        </is>
      </c>
      <c r="D2147" s="66" t="inlineStr">
        <is>
          <t>Programmatic</t>
        </is>
      </c>
      <c r="E2147" s="66" t="inlineStr">
        <is>
          <t>DV360</t>
        </is>
      </c>
      <c r="F2147" s="66" t="inlineStr">
        <is>
          <t>LEP_ZA_AUG26_PROG_TD_VIDEO_OLV</t>
        </is>
      </c>
      <c r="G2147" s="66" t="inlineStr">
        <is>
          <t>Online Video / CTV</t>
        </is>
      </c>
      <c r="H2147" s="66" t="inlineStr">
        <is>
          <t>Range</t>
        </is>
      </c>
      <c r="I2147" s="66" t="inlineStr">
        <is>
          <t>Range Offer</t>
        </is>
      </c>
      <c r="J2147" s="66" t="inlineStr">
        <is>
          <t>PROG_CTV_HOUSEHOLD</t>
        </is>
      </c>
      <c r="K2147" s="66" t="inlineStr">
        <is>
          <t>Prospecting</t>
        </is>
      </c>
      <c r="L2147" s="66" t="inlineStr">
        <is>
          <t>PROG_OLV_20s_RangeFilm_v1</t>
        </is>
      </c>
      <c r="M2147" s="66" t="inlineStr">
        <is>
          <t>Video 16:9 Pre-roll</t>
        </is>
      </c>
      <c r="N2147" s="66" t="inlineStr">
        <is>
          <t>Meet the Lepas range</t>
        </is>
      </c>
      <c r="O2147" s="66" t="inlineStr">
        <is>
          <t>Auction - Fixed CPM</t>
        </is>
      </c>
      <c r="P2147" s="66" t="inlineStr">
        <is>
          <t>Completed Views + CPA</t>
        </is>
      </c>
      <c r="Q2147" s="66" t="inlineStr">
        <is>
          <t>https://www.lepas-sa.co.za/offers</t>
        </is>
      </c>
      <c r="R2147" s="121" t="n">
        <v>152.71</v>
      </c>
      <c r="S2147" s="122" t="n">
        <v>8688</v>
      </c>
      <c r="T2147" s="122" t="n">
        <v>5966</v>
      </c>
      <c r="U2147" s="123">
        <f>IFERROR(S2147/T2147,"")</f>
        <v/>
      </c>
      <c r="V2147" s="122" t="n">
        <v>12</v>
      </c>
      <c r="W2147" s="122" t="n">
        <v>10</v>
      </c>
      <c r="X2147" s="124">
        <f>IFERROR(W2147/S2147,"")</f>
        <v/>
      </c>
      <c r="Y2147" s="121">
        <f>IFERROR(R2147/W2147,"")</f>
        <v/>
      </c>
      <c r="Z2147" s="121">
        <f>IFERROR(R2147/S2147*1000,"")</f>
        <v/>
      </c>
      <c r="AA2147" s="122" t="n">
        <v>7</v>
      </c>
      <c r="AB2147" s="54">
        <f>IFERROR(AA2147/W2147,"")</f>
        <v/>
      </c>
      <c r="AC2147" s="122" t="n">
        <v>1969</v>
      </c>
      <c r="AD2147" s="122" t="n">
        <v>1067</v>
      </c>
      <c r="AE2147" s="122" t="n">
        <v>980</v>
      </c>
      <c r="AF2147" s="122" t="n">
        <v>644</v>
      </c>
      <c r="AG2147" s="122" t="n">
        <v>503</v>
      </c>
      <c r="AH2147" s="122" t="n">
        <v>307</v>
      </c>
      <c r="AI2147" s="54">
        <f>IFERROR(AC2147/S2147,"")</f>
        <v/>
      </c>
      <c r="AJ2147" s="54">
        <f>IFERROR(AH2147/S2147,"")</f>
        <v/>
      </c>
      <c r="AK2147" s="122" t="n">
        <v>13</v>
      </c>
      <c r="AL2147" s="122" t="n">
        <v>0</v>
      </c>
      <c r="AM2147" s="124">
        <f>IFERROR(AL2147/AA2147,"")</f>
        <v/>
      </c>
      <c r="AN2147" s="125">
        <f>IFERROR(R2147/AL2147,"")</f>
        <v/>
      </c>
      <c r="AO2147" s="122" t="n">
        <v>0</v>
      </c>
      <c r="AP2147" s="54">
        <f>IFERROR(AO2147/AL2147,"")</f>
        <v/>
      </c>
      <c r="AQ2147" s="125">
        <f>IFERROR(R2147/AO2147,"")</f>
        <v/>
      </c>
      <c r="AR2147" s="122" t="n">
        <v>0</v>
      </c>
      <c r="AS2147" s="122" t="n">
        <v>0</v>
      </c>
      <c r="AT2147" s="122">
        <f>AL2147+AR2147</f>
        <v/>
      </c>
      <c r="AU2147" s="125">
        <f>IFERROR(AO2147*Assumptions!$C$26*Assumptions!$C$27*INDEX(Assumptions!$C$18:$C$21,MATCH(H2147,Assumptions!$B$18:$B$21,0)),0)</f>
        <v/>
      </c>
    </row>
    <row r="2148">
      <c r="A2148" s="120" t="n">
        <v>46248</v>
      </c>
      <c r="B2148" s="66" t="inlineStr">
        <is>
          <t>Wk 33</t>
        </is>
      </c>
      <c r="C2148" s="66" t="inlineStr">
        <is>
          <t>Fri</t>
        </is>
      </c>
      <c r="D2148" s="66" t="inlineStr">
        <is>
          <t>Programmatic</t>
        </is>
      </c>
      <c r="E2148" s="66" t="inlineStr">
        <is>
          <t>DV360</t>
        </is>
      </c>
      <c r="F2148" s="66" t="inlineStr">
        <is>
          <t>LEP_ZA_AUG26_PROG_TD_VIDEO_OLV</t>
        </is>
      </c>
      <c r="G2148" s="66" t="inlineStr">
        <is>
          <t>Online Video / CTV</t>
        </is>
      </c>
      <c r="H2148" s="66" t="inlineStr">
        <is>
          <t>Range</t>
        </is>
      </c>
      <c r="I2148" s="66" t="inlineStr">
        <is>
          <t>Range Offer</t>
        </is>
      </c>
      <c r="J2148" s="66" t="inlineStr">
        <is>
          <t>PROG_CTV_HOUSEHOLD</t>
        </is>
      </c>
      <c r="K2148" s="66" t="inlineStr">
        <is>
          <t>Prospecting</t>
        </is>
      </c>
      <c r="L2148" s="66" t="inlineStr">
        <is>
          <t>PROG_OLV_20s_RangeFilm_v1</t>
        </is>
      </c>
      <c r="M2148" s="66" t="inlineStr">
        <is>
          <t>Video 16:9 Pre-roll</t>
        </is>
      </c>
      <c r="N2148" s="66" t="inlineStr">
        <is>
          <t>Meet the Lepas range</t>
        </is>
      </c>
      <c r="O2148" s="66" t="inlineStr">
        <is>
          <t>Auction - Fixed CPM</t>
        </is>
      </c>
      <c r="P2148" s="66" t="inlineStr">
        <is>
          <t>Completed Views + CPA</t>
        </is>
      </c>
      <c r="Q2148" s="66" t="inlineStr">
        <is>
          <t>https://www.lepas-sa.co.za/offers</t>
        </is>
      </c>
      <c r="R2148" s="121" t="n">
        <v>151.39</v>
      </c>
      <c r="S2148" s="122" t="n">
        <v>7995</v>
      </c>
      <c r="T2148" s="122" t="n">
        <v>3430</v>
      </c>
      <c r="U2148" s="123">
        <f>IFERROR(S2148/T2148,"")</f>
        <v/>
      </c>
      <c r="V2148" s="122" t="n">
        <v>14</v>
      </c>
      <c r="W2148" s="122" t="n">
        <v>11</v>
      </c>
      <c r="X2148" s="124">
        <f>IFERROR(W2148/S2148,"")</f>
        <v/>
      </c>
      <c r="Y2148" s="121">
        <f>IFERROR(R2148/W2148,"")</f>
        <v/>
      </c>
      <c r="Z2148" s="121">
        <f>IFERROR(R2148/S2148*1000,"")</f>
        <v/>
      </c>
      <c r="AA2148" s="122" t="n">
        <v>6</v>
      </c>
      <c r="AB2148" s="54">
        <f>IFERROR(AA2148/W2148,"")</f>
        <v/>
      </c>
      <c r="AC2148" s="122" t="n">
        <v>2950</v>
      </c>
      <c r="AD2148" s="122" t="n">
        <v>1560</v>
      </c>
      <c r="AE2148" s="122" t="n">
        <v>1618</v>
      </c>
      <c r="AF2148" s="122" t="n">
        <v>991</v>
      </c>
      <c r="AG2148" s="122" t="n">
        <v>696</v>
      </c>
      <c r="AH2148" s="122" t="n">
        <v>439</v>
      </c>
      <c r="AI2148" s="54">
        <f>IFERROR(AC2148/S2148,"")</f>
        <v/>
      </c>
      <c r="AJ2148" s="54">
        <f>IFERROR(AH2148/S2148,"")</f>
        <v/>
      </c>
      <c r="AK2148" s="122" t="n">
        <v>42</v>
      </c>
      <c r="AL2148" s="122" t="n">
        <v>1</v>
      </c>
      <c r="AM2148" s="124">
        <f>IFERROR(AL2148/AA2148,"")</f>
        <v/>
      </c>
      <c r="AN2148" s="125">
        <f>IFERROR(R2148/AL2148,"")</f>
        <v/>
      </c>
      <c r="AO2148" s="122" t="n">
        <v>1</v>
      </c>
      <c r="AP2148" s="54">
        <f>IFERROR(AO2148/AL2148,"")</f>
        <v/>
      </c>
      <c r="AQ2148" s="125">
        <f>IFERROR(R2148/AO2148,"")</f>
        <v/>
      </c>
      <c r="AR2148" s="122" t="n">
        <v>3</v>
      </c>
      <c r="AS2148" s="122" t="n">
        <v>1</v>
      </c>
      <c r="AT2148" s="122">
        <f>AL2148+AR2148</f>
        <v/>
      </c>
      <c r="AU2148" s="125">
        <f>IFERROR(AO2148*Assumptions!$C$26*Assumptions!$C$27*INDEX(Assumptions!$C$18:$C$21,MATCH(H2148,Assumptions!$B$18:$B$21,0)),0)</f>
        <v/>
      </c>
    </row>
    <row r="2149">
      <c r="A2149" s="120" t="n">
        <v>46249</v>
      </c>
      <c r="B2149" s="66" t="inlineStr">
        <is>
          <t>Wk 33</t>
        </is>
      </c>
      <c r="C2149" s="66" t="inlineStr">
        <is>
          <t>Sat</t>
        </is>
      </c>
      <c r="D2149" s="66" t="inlineStr">
        <is>
          <t>Programmatic</t>
        </is>
      </c>
      <c r="E2149" s="66" t="inlineStr">
        <is>
          <t>DV360</t>
        </is>
      </c>
      <c r="F2149" s="66" t="inlineStr">
        <is>
          <t>LEP_ZA_AUG26_PROG_TD_VIDEO_OLV</t>
        </is>
      </c>
      <c r="G2149" s="66" t="inlineStr">
        <is>
          <t>Online Video / CTV</t>
        </is>
      </c>
      <c r="H2149" s="66" t="inlineStr">
        <is>
          <t>Range</t>
        </is>
      </c>
      <c r="I2149" s="66" t="inlineStr">
        <is>
          <t>Range Offer</t>
        </is>
      </c>
      <c r="J2149" s="66" t="inlineStr">
        <is>
          <t>PROG_CTV_HOUSEHOLD</t>
        </is>
      </c>
      <c r="K2149" s="66" t="inlineStr">
        <is>
          <t>Prospecting</t>
        </is>
      </c>
      <c r="L2149" s="66" t="inlineStr">
        <is>
          <t>PROG_OLV_20s_RangeFilm_v1</t>
        </is>
      </c>
      <c r="M2149" s="66" t="inlineStr">
        <is>
          <t>Video 16:9 Pre-roll</t>
        </is>
      </c>
      <c r="N2149" s="66" t="inlineStr">
        <is>
          <t>Meet the Lepas range</t>
        </is>
      </c>
      <c r="O2149" s="66" t="inlineStr">
        <is>
          <t>Auction - Fixed CPM</t>
        </is>
      </c>
      <c r="P2149" s="66" t="inlineStr">
        <is>
          <t>Completed Views + CPA</t>
        </is>
      </c>
      <c r="Q2149" s="66" t="inlineStr">
        <is>
          <t>https://www.lepas-sa.co.za/offers</t>
        </is>
      </c>
      <c r="R2149" s="121" t="n">
        <v>147.79</v>
      </c>
      <c r="S2149" s="122" t="n">
        <v>4956</v>
      </c>
      <c r="T2149" s="122" t="n">
        <v>3182</v>
      </c>
      <c r="U2149" s="123">
        <f>IFERROR(S2149/T2149,"")</f>
        <v/>
      </c>
      <c r="V2149" s="122" t="n">
        <v>14</v>
      </c>
      <c r="W2149" s="122" t="n">
        <v>10</v>
      </c>
      <c r="X2149" s="124">
        <f>IFERROR(W2149/S2149,"")</f>
        <v/>
      </c>
      <c r="Y2149" s="121">
        <f>IFERROR(R2149/W2149,"")</f>
        <v/>
      </c>
      <c r="Z2149" s="121">
        <f>IFERROR(R2149/S2149*1000,"")</f>
        <v/>
      </c>
      <c r="AA2149" s="122" t="n">
        <v>6</v>
      </c>
      <c r="AB2149" s="54">
        <f>IFERROR(AA2149/W2149,"")</f>
        <v/>
      </c>
      <c r="AC2149" s="122" t="n">
        <v>1677</v>
      </c>
      <c r="AD2149" s="122" t="n">
        <v>1025</v>
      </c>
      <c r="AE2149" s="122" t="n">
        <v>896</v>
      </c>
      <c r="AF2149" s="122" t="n">
        <v>547</v>
      </c>
      <c r="AG2149" s="122" t="n">
        <v>413</v>
      </c>
      <c r="AH2149" s="122" t="n">
        <v>240</v>
      </c>
      <c r="AI2149" s="54">
        <f>IFERROR(AC2149/S2149,"")</f>
        <v/>
      </c>
      <c r="AJ2149" s="54">
        <f>IFERROR(AH2149/S2149,"")</f>
        <v/>
      </c>
      <c r="AK2149" s="122" t="n">
        <v>17</v>
      </c>
      <c r="AL2149" s="122" t="n">
        <v>0</v>
      </c>
      <c r="AM2149" s="124">
        <f>IFERROR(AL2149/AA2149,"")</f>
        <v/>
      </c>
      <c r="AN2149" s="125">
        <f>IFERROR(R2149/AL2149,"")</f>
        <v/>
      </c>
      <c r="AO2149" s="122" t="n">
        <v>0</v>
      </c>
      <c r="AP2149" s="54">
        <f>IFERROR(AO2149/AL2149,"")</f>
        <v/>
      </c>
      <c r="AQ2149" s="125">
        <f>IFERROR(R2149/AO2149,"")</f>
        <v/>
      </c>
      <c r="AR2149" s="122" t="n">
        <v>0</v>
      </c>
      <c r="AS2149" s="122" t="n">
        <v>0</v>
      </c>
      <c r="AT2149" s="122">
        <f>AL2149+AR2149</f>
        <v/>
      </c>
      <c r="AU2149" s="125">
        <f>IFERROR(AO2149*Assumptions!$C$26*Assumptions!$C$27*INDEX(Assumptions!$C$18:$C$21,MATCH(H2149,Assumptions!$B$18:$B$21,0)),0)</f>
        <v/>
      </c>
    </row>
    <row r="2150">
      <c r="A2150" s="120" t="n">
        <v>46250</v>
      </c>
      <c r="B2150" s="66" t="inlineStr">
        <is>
          <t>Wk 33</t>
        </is>
      </c>
      <c r="C2150" s="66" t="inlineStr">
        <is>
          <t>Sun</t>
        </is>
      </c>
      <c r="D2150" s="66" t="inlineStr">
        <is>
          <t>Programmatic</t>
        </is>
      </c>
      <c r="E2150" s="66" t="inlineStr">
        <is>
          <t>DV360</t>
        </is>
      </c>
      <c r="F2150" s="66" t="inlineStr">
        <is>
          <t>LEP_ZA_AUG26_PROG_TD_VIDEO_OLV</t>
        </is>
      </c>
      <c r="G2150" s="66" t="inlineStr">
        <is>
          <t>Online Video / CTV</t>
        </is>
      </c>
      <c r="H2150" s="66" t="inlineStr">
        <is>
          <t>Range</t>
        </is>
      </c>
      <c r="I2150" s="66" t="inlineStr">
        <is>
          <t>Range Offer</t>
        </is>
      </c>
      <c r="J2150" s="66" t="inlineStr">
        <is>
          <t>PROG_CTV_HOUSEHOLD</t>
        </is>
      </c>
      <c r="K2150" s="66" t="inlineStr">
        <is>
          <t>Prospecting</t>
        </is>
      </c>
      <c r="L2150" s="66" t="inlineStr">
        <is>
          <t>PROG_OLV_20s_RangeFilm_v1</t>
        </is>
      </c>
      <c r="M2150" s="66" t="inlineStr">
        <is>
          <t>Video 16:9 Pre-roll</t>
        </is>
      </c>
      <c r="N2150" s="66" t="inlineStr">
        <is>
          <t>Meet the Lepas range</t>
        </is>
      </c>
      <c r="O2150" s="66" t="inlineStr">
        <is>
          <t>Auction - Fixed CPM</t>
        </is>
      </c>
      <c r="P2150" s="66" t="inlineStr">
        <is>
          <t>Completed Views + CPA</t>
        </is>
      </c>
      <c r="Q2150" s="66" t="inlineStr">
        <is>
          <t>https://www.lepas-sa.co.za/offers</t>
        </is>
      </c>
      <c r="R2150" s="121" t="n">
        <v>115.21</v>
      </c>
      <c r="S2150" s="122" t="n">
        <v>5523</v>
      </c>
      <c r="T2150" s="122" t="n">
        <v>3483</v>
      </c>
      <c r="U2150" s="123">
        <f>IFERROR(S2150/T2150,"")</f>
        <v/>
      </c>
      <c r="V2150" s="122" t="n">
        <v>20</v>
      </c>
      <c r="W2150" s="122" t="n">
        <v>15</v>
      </c>
      <c r="X2150" s="124">
        <f>IFERROR(W2150/S2150,"")</f>
        <v/>
      </c>
      <c r="Y2150" s="121">
        <f>IFERROR(R2150/W2150,"")</f>
        <v/>
      </c>
      <c r="Z2150" s="121">
        <f>IFERROR(R2150/S2150*1000,"")</f>
        <v/>
      </c>
      <c r="AA2150" s="122" t="n">
        <v>10</v>
      </c>
      <c r="AB2150" s="54">
        <f>IFERROR(AA2150/W2150,"")</f>
        <v/>
      </c>
      <c r="AC2150" s="122" t="n">
        <v>1976</v>
      </c>
      <c r="AD2150" s="122" t="n">
        <v>1035</v>
      </c>
      <c r="AE2150" s="122" t="n">
        <v>1033</v>
      </c>
      <c r="AF2150" s="122" t="n">
        <v>644</v>
      </c>
      <c r="AG2150" s="122" t="n">
        <v>491</v>
      </c>
      <c r="AH2150" s="122" t="n">
        <v>318</v>
      </c>
      <c r="AI2150" s="54">
        <f>IFERROR(AC2150/S2150,"")</f>
        <v/>
      </c>
      <c r="AJ2150" s="54">
        <f>IFERROR(AH2150/S2150,"")</f>
        <v/>
      </c>
      <c r="AK2150" s="122" t="n">
        <v>25</v>
      </c>
      <c r="AL2150" s="122" t="n">
        <v>0</v>
      </c>
      <c r="AM2150" s="124">
        <f>IFERROR(AL2150/AA2150,"")</f>
        <v/>
      </c>
      <c r="AN2150" s="125">
        <f>IFERROR(R2150/AL2150,"")</f>
        <v/>
      </c>
      <c r="AO2150" s="122" t="n">
        <v>0</v>
      </c>
      <c r="AP2150" s="54">
        <f>IFERROR(AO2150/AL2150,"")</f>
        <v/>
      </c>
      <c r="AQ2150" s="125">
        <f>IFERROR(R2150/AO2150,"")</f>
        <v/>
      </c>
      <c r="AR2150" s="122" t="n">
        <v>0</v>
      </c>
      <c r="AS2150" s="122" t="n">
        <v>0</v>
      </c>
      <c r="AT2150" s="122">
        <f>AL2150+AR2150</f>
        <v/>
      </c>
      <c r="AU2150" s="125">
        <f>IFERROR(AO2150*Assumptions!$C$26*Assumptions!$C$27*INDEX(Assumptions!$C$18:$C$21,MATCH(H2150,Assumptions!$B$18:$B$21,0)),0)</f>
        <v/>
      </c>
    </row>
    <row r="2151">
      <c r="A2151" s="120" t="n">
        <v>46251</v>
      </c>
      <c r="B2151" s="66" t="inlineStr">
        <is>
          <t>Wk 34</t>
        </is>
      </c>
      <c r="C2151" s="66" t="inlineStr">
        <is>
          <t>Mon</t>
        </is>
      </c>
      <c r="D2151" s="66" t="inlineStr">
        <is>
          <t>Programmatic</t>
        </is>
      </c>
      <c r="E2151" s="66" t="inlineStr">
        <is>
          <t>DV360</t>
        </is>
      </c>
      <c r="F2151" s="66" t="inlineStr">
        <is>
          <t>LEP_ZA_AUG26_PROG_TD_VIDEO_OLV</t>
        </is>
      </c>
      <c r="G2151" s="66" t="inlineStr">
        <is>
          <t>Online Video / CTV</t>
        </is>
      </c>
      <c r="H2151" s="66" t="inlineStr">
        <is>
          <t>Range</t>
        </is>
      </c>
      <c r="I2151" s="66" t="inlineStr">
        <is>
          <t>Range Offer</t>
        </is>
      </c>
      <c r="J2151" s="66" t="inlineStr">
        <is>
          <t>PROG_CTV_HOUSEHOLD</t>
        </is>
      </c>
      <c r="K2151" s="66" t="inlineStr">
        <is>
          <t>Prospecting</t>
        </is>
      </c>
      <c r="L2151" s="66" t="inlineStr">
        <is>
          <t>PROG_OLV_20s_RangeFilm_v1</t>
        </is>
      </c>
      <c r="M2151" s="66" t="inlineStr">
        <is>
          <t>Video 16:9 Pre-roll</t>
        </is>
      </c>
      <c r="N2151" s="66" t="inlineStr">
        <is>
          <t>Meet the Lepas range</t>
        </is>
      </c>
      <c r="O2151" s="66" t="inlineStr">
        <is>
          <t>Auction - Fixed CPM</t>
        </is>
      </c>
      <c r="P2151" s="66" t="inlineStr">
        <is>
          <t>Completed Views + CPA</t>
        </is>
      </c>
      <c r="Q2151" s="66" t="inlineStr">
        <is>
          <t>https://www.lepas-sa.co.za/offers</t>
        </is>
      </c>
      <c r="R2151" s="121" t="n">
        <v>109.83</v>
      </c>
      <c r="S2151" s="122" t="n">
        <v>5406</v>
      </c>
      <c r="T2151" s="122" t="n">
        <v>2772</v>
      </c>
      <c r="U2151" s="123">
        <f>IFERROR(S2151/T2151,"")</f>
        <v/>
      </c>
      <c r="V2151" s="122" t="n">
        <v>9</v>
      </c>
      <c r="W2151" s="122" t="n">
        <v>7</v>
      </c>
      <c r="X2151" s="124">
        <f>IFERROR(W2151/S2151,"")</f>
        <v/>
      </c>
      <c r="Y2151" s="121">
        <f>IFERROR(R2151/W2151,"")</f>
        <v/>
      </c>
      <c r="Z2151" s="121">
        <f>IFERROR(R2151/S2151*1000,"")</f>
        <v/>
      </c>
      <c r="AA2151" s="122" t="n">
        <v>5</v>
      </c>
      <c r="AB2151" s="54">
        <f>IFERROR(AA2151/W2151,"")</f>
        <v/>
      </c>
      <c r="AC2151" s="122" t="n">
        <v>1868</v>
      </c>
      <c r="AD2151" s="122" t="n">
        <v>1154</v>
      </c>
      <c r="AE2151" s="122" t="n">
        <v>853</v>
      </c>
      <c r="AF2151" s="122" t="n">
        <v>457</v>
      </c>
      <c r="AG2151" s="122" t="n">
        <v>327</v>
      </c>
      <c r="AH2151" s="122" t="n">
        <v>225</v>
      </c>
      <c r="AI2151" s="54">
        <f>IFERROR(AC2151/S2151,"")</f>
        <v/>
      </c>
      <c r="AJ2151" s="54">
        <f>IFERROR(AH2151/S2151,"")</f>
        <v/>
      </c>
      <c r="AK2151" s="122" t="n">
        <v>14</v>
      </c>
      <c r="AL2151" s="122" t="n">
        <v>0</v>
      </c>
      <c r="AM2151" s="124">
        <f>IFERROR(AL2151/AA2151,"")</f>
        <v/>
      </c>
      <c r="AN2151" s="125">
        <f>IFERROR(R2151/AL2151,"")</f>
        <v/>
      </c>
      <c r="AO2151" s="122" t="n">
        <v>0</v>
      </c>
      <c r="AP2151" s="54">
        <f>IFERROR(AO2151/AL2151,"")</f>
        <v/>
      </c>
      <c r="AQ2151" s="125">
        <f>IFERROR(R2151/AO2151,"")</f>
        <v/>
      </c>
      <c r="AR2151" s="122" t="n">
        <v>0</v>
      </c>
      <c r="AS2151" s="122" t="n">
        <v>0</v>
      </c>
      <c r="AT2151" s="122">
        <f>AL2151+AR2151</f>
        <v/>
      </c>
      <c r="AU2151" s="125">
        <f>IFERROR(AO2151*Assumptions!$C$26*Assumptions!$C$27*INDEX(Assumptions!$C$18:$C$21,MATCH(H2151,Assumptions!$B$18:$B$21,0)),0)</f>
        <v/>
      </c>
    </row>
    <row r="2152">
      <c r="A2152" s="120" t="n">
        <v>46252</v>
      </c>
      <c r="B2152" s="66" t="inlineStr">
        <is>
          <t>Wk 34</t>
        </is>
      </c>
      <c r="C2152" s="66" t="inlineStr">
        <is>
          <t>Tue</t>
        </is>
      </c>
      <c r="D2152" s="66" t="inlineStr">
        <is>
          <t>Programmatic</t>
        </is>
      </c>
      <c r="E2152" s="66" t="inlineStr">
        <is>
          <t>DV360</t>
        </is>
      </c>
      <c r="F2152" s="66" t="inlineStr">
        <is>
          <t>LEP_ZA_AUG26_PROG_TD_VIDEO_OLV</t>
        </is>
      </c>
      <c r="G2152" s="66" t="inlineStr">
        <is>
          <t>Online Video / CTV</t>
        </is>
      </c>
      <c r="H2152" s="66" t="inlineStr">
        <is>
          <t>Range</t>
        </is>
      </c>
      <c r="I2152" s="66" t="inlineStr">
        <is>
          <t>Range Offer</t>
        </is>
      </c>
      <c r="J2152" s="66" t="inlineStr">
        <is>
          <t>PROG_CTV_HOUSEHOLD</t>
        </is>
      </c>
      <c r="K2152" s="66" t="inlineStr">
        <is>
          <t>Prospecting</t>
        </is>
      </c>
      <c r="L2152" s="66" t="inlineStr">
        <is>
          <t>PROG_OLV_20s_RangeFilm_v1</t>
        </is>
      </c>
      <c r="M2152" s="66" t="inlineStr">
        <is>
          <t>Video 16:9 Pre-roll</t>
        </is>
      </c>
      <c r="N2152" s="66" t="inlineStr">
        <is>
          <t>Meet the Lepas range</t>
        </is>
      </c>
      <c r="O2152" s="66" t="inlineStr">
        <is>
          <t>Auction - Fixed CPM</t>
        </is>
      </c>
      <c r="P2152" s="66" t="inlineStr">
        <is>
          <t>Completed Views + CPA</t>
        </is>
      </c>
      <c r="Q2152" s="66" t="inlineStr">
        <is>
          <t>https://www.lepas-sa.co.za/offers</t>
        </is>
      </c>
      <c r="R2152" s="121" t="n">
        <v>133.19</v>
      </c>
      <c r="S2152" s="122" t="n">
        <v>4822</v>
      </c>
      <c r="T2152" s="122" t="n">
        <v>1929</v>
      </c>
      <c r="U2152" s="123">
        <f>IFERROR(S2152/T2152,"")</f>
        <v/>
      </c>
      <c r="V2152" s="122" t="n">
        <v>10</v>
      </c>
      <c r="W2152" s="122" t="n">
        <v>8</v>
      </c>
      <c r="X2152" s="124">
        <f>IFERROR(W2152/S2152,"")</f>
        <v/>
      </c>
      <c r="Y2152" s="121">
        <f>IFERROR(R2152/W2152,"")</f>
        <v/>
      </c>
      <c r="Z2152" s="121">
        <f>IFERROR(R2152/S2152*1000,"")</f>
        <v/>
      </c>
      <c r="AA2152" s="122" t="n">
        <v>4</v>
      </c>
      <c r="AB2152" s="54">
        <f>IFERROR(AA2152/W2152,"")</f>
        <v/>
      </c>
      <c r="AC2152" s="122" t="n">
        <v>1131</v>
      </c>
      <c r="AD2152" s="122" t="n">
        <v>618</v>
      </c>
      <c r="AE2152" s="122" t="n">
        <v>556</v>
      </c>
      <c r="AF2152" s="122" t="n">
        <v>384</v>
      </c>
      <c r="AG2152" s="122" t="n">
        <v>267</v>
      </c>
      <c r="AH2152" s="122" t="n">
        <v>153</v>
      </c>
      <c r="AI2152" s="54">
        <f>IFERROR(AC2152/S2152,"")</f>
        <v/>
      </c>
      <c r="AJ2152" s="54">
        <f>IFERROR(AH2152/S2152,"")</f>
        <v/>
      </c>
      <c r="AK2152" s="122" t="n">
        <v>28</v>
      </c>
      <c r="AL2152" s="122" t="n">
        <v>0</v>
      </c>
      <c r="AM2152" s="124">
        <f>IFERROR(AL2152/AA2152,"")</f>
        <v/>
      </c>
      <c r="AN2152" s="125">
        <f>IFERROR(R2152/AL2152,"")</f>
        <v/>
      </c>
      <c r="AO2152" s="122" t="n">
        <v>0</v>
      </c>
      <c r="AP2152" s="54">
        <f>IFERROR(AO2152/AL2152,"")</f>
        <v/>
      </c>
      <c r="AQ2152" s="125">
        <f>IFERROR(R2152/AO2152,"")</f>
        <v/>
      </c>
      <c r="AR2152" s="122" t="n">
        <v>0</v>
      </c>
      <c r="AS2152" s="122" t="n">
        <v>0</v>
      </c>
      <c r="AT2152" s="122">
        <f>AL2152+AR2152</f>
        <v/>
      </c>
      <c r="AU2152" s="125">
        <f>IFERROR(AO2152*Assumptions!$C$26*Assumptions!$C$27*INDEX(Assumptions!$C$18:$C$21,MATCH(H2152,Assumptions!$B$18:$B$21,0)),0)</f>
        <v/>
      </c>
    </row>
    <row r="2153">
      <c r="A2153" s="120" t="n">
        <v>46253</v>
      </c>
      <c r="B2153" s="66" t="inlineStr">
        <is>
          <t>Wk 34</t>
        </is>
      </c>
      <c r="C2153" s="66" t="inlineStr">
        <is>
          <t>Wed</t>
        </is>
      </c>
      <c r="D2153" s="66" t="inlineStr">
        <is>
          <t>Programmatic</t>
        </is>
      </c>
      <c r="E2153" s="66" t="inlineStr">
        <is>
          <t>DV360</t>
        </is>
      </c>
      <c r="F2153" s="66" t="inlineStr">
        <is>
          <t>LEP_ZA_AUG26_PROG_TD_VIDEO_OLV</t>
        </is>
      </c>
      <c r="G2153" s="66" t="inlineStr">
        <is>
          <t>Online Video / CTV</t>
        </is>
      </c>
      <c r="H2153" s="66" t="inlineStr">
        <is>
          <t>Range</t>
        </is>
      </c>
      <c r="I2153" s="66" t="inlineStr">
        <is>
          <t>Range Offer</t>
        </is>
      </c>
      <c r="J2153" s="66" t="inlineStr">
        <is>
          <t>PROG_CTV_HOUSEHOLD</t>
        </is>
      </c>
      <c r="K2153" s="66" t="inlineStr">
        <is>
          <t>Prospecting</t>
        </is>
      </c>
      <c r="L2153" s="66" t="inlineStr">
        <is>
          <t>PROG_OLV_20s_RangeFilm_v1</t>
        </is>
      </c>
      <c r="M2153" s="66" t="inlineStr">
        <is>
          <t>Video 16:9 Pre-roll</t>
        </is>
      </c>
      <c r="N2153" s="66" t="inlineStr">
        <is>
          <t>Meet the Lepas range</t>
        </is>
      </c>
      <c r="O2153" s="66" t="inlineStr">
        <is>
          <t>Auction - Fixed CPM</t>
        </is>
      </c>
      <c r="P2153" s="66" t="inlineStr">
        <is>
          <t>Completed Views + CPA</t>
        </is>
      </c>
      <c r="Q2153" s="66" t="inlineStr">
        <is>
          <t>https://www.lepas-sa.co.za/offers</t>
        </is>
      </c>
      <c r="R2153" s="121" t="n">
        <v>109.85</v>
      </c>
      <c r="S2153" s="122" t="n">
        <v>3773</v>
      </c>
      <c r="T2153" s="122" t="n">
        <v>2276</v>
      </c>
      <c r="U2153" s="123">
        <f>IFERROR(S2153/T2153,"")</f>
        <v/>
      </c>
      <c r="V2153" s="122" t="n">
        <v>4</v>
      </c>
      <c r="W2153" s="122" t="n">
        <v>3</v>
      </c>
      <c r="X2153" s="124">
        <f>IFERROR(W2153/S2153,"")</f>
        <v/>
      </c>
      <c r="Y2153" s="121">
        <f>IFERROR(R2153/W2153,"")</f>
        <v/>
      </c>
      <c r="Z2153" s="121">
        <f>IFERROR(R2153/S2153*1000,"")</f>
        <v/>
      </c>
      <c r="AA2153" s="122" t="n">
        <v>2</v>
      </c>
      <c r="AB2153" s="54">
        <f>IFERROR(AA2153/W2153,"")</f>
        <v/>
      </c>
      <c r="AC2153" s="122" t="n">
        <v>1107</v>
      </c>
      <c r="AD2153" s="122" t="n">
        <v>500</v>
      </c>
      <c r="AE2153" s="122" t="n">
        <v>427</v>
      </c>
      <c r="AF2153" s="122" t="n">
        <v>284</v>
      </c>
      <c r="AG2153" s="122" t="n">
        <v>224</v>
      </c>
      <c r="AH2153" s="122" t="n">
        <v>125</v>
      </c>
      <c r="AI2153" s="54">
        <f>IFERROR(AC2153/S2153,"")</f>
        <v/>
      </c>
      <c r="AJ2153" s="54">
        <f>IFERROR(AH2153/S2153,"")</f>
        <v/>
      </c>
      <c r="AK2153" s="122" t="n">
        <v>13</v>
      </c>
      <c r="AL2153" s="122" t="n">
        <v>0</v>
      </c>
      <c r="AM2153" s="124">
        <f>IFERROR(AL2153/AA2153,"")</f>
        <v/>
      </c>
      <c r="AN2153" s="125">
        <f>IFERROR(R2153/AL2153,"")</f>
        <v/>
      </c>
      <c r="AO2153" s="122" t="n">
        <v>0</v>
      </c>
      <c r="AP2153" s="54">
        <f>IFERROR(AO2153/AL2153,"")</f>
        <v/>
      </c>
      <c r="AQ2153" s="125">
        <f>IFERROR(R2153/AO2153,"")</f>
        <v/>
      </c>
      <c r="AR2153" s="122" t="n">
        <v>0</v>
      </c>
      <c r="AS2153" s="122" t="n">
        <v>0</v>
      </c>
      <c r="AT2153" s="122">
        <f>AL2153+AR2153</f>
        <v/>
      </c>
      <c r="AU2153" s="125">
        <f>IFERROR(AO2153*Assumptions!$C$26*Assumptions!$C$27*INDEX(Assumptions!$C$18:$C$21,MATCH(H2153,Assumptions!$B$18:$B$21,0)),0)</f>
        <v/>
      </c>
    </row>
    <row r="2154">
      <c r="A2154" s="120" t="n">
        <v>46254</v>
      </c>
      <c r="B2154" s="66" t="inlineStr">
        <is>
          <t>Wk 34</t>
        </is>
      </c>
      <c r="C2154" s="66" t="inlineStr">
        <is>
          <t>Thu</t>
        </is>
      </c>
      <c r="D2154" s="66" t="inlineStr">
        <is>
          <t>Programmatic</t>
        </is>
      </c>
      <c r="E2154" s="66" t="inlineStr">
        <is>
          <t>DV360</t>
        </is>
      </c>
      <c r="F2154" s="66" t="inlineStr">
        <is>
          <t>LEP_ZA_AUG26_PROG_TD_VIDEO_OLV</t>
        </is>
      </c>
      <c r="G2154" s="66" t="inlineStr">
        <is>
          <t>Online Video / CTV</t>
        </is>
      </c>
      <c r="H2154" s="66" t="inlineStr">
        <is>
          <t>Range</t>
        </is>
      </c>
      <c r="I2154" s="66" t="inlineStr">
        <is>
          <t>Range Offer</t>
        </is>
      </c>
      <c r="J2154" s="66" t="inlineStr">
        <is>
          <t>PROG_CTV_HOUSEHOLD</t>
        </is>
      </c>
      <c r="K2154" s="66" t="inlineStr">
        <is>
          <t>Prospecting</t>
        </is>
      </c>
      <c r="L2154" s="66" t="inlineStr">
        <is>
          <t>PROG_OLV_20s_RangeFilm_v1</t>
        </is>
      </c>
      <c r="M2154" s="66" t="inlineStr">
        <is>
          <t>Video 16:9 Pre-roll</t>
        </is>
      </c>
      <c r="N2154" s="66" t="inlineStr">
        <is>
          <t>Meet the Lepas range</t>
        </is>
      </c>
      <c r="O2154" s="66" t="inlineStr">
        <is>
          <t>Auction - Fixed CPM</t>
        </is>
      </c>
      <c r="P2154" s="66" t="inlineStr">
        <is>
          <t>Completed Views + CPA</t>
        </is>
      </c>
      <c r="Q2154" s="66" t="inlineStr">
        <is>
          <t>https://www.lepas-sa.co.za/offers</t>
        </is>
      </c>
      <c r="R2154" s="121" t="n">
        <v>125.47</v>
      </c>
      <c r="S2154" s="122" t="n">
        <v>7554</v>
      </c>
      <c r="T2154" s="122" t="n">
        <v>3575</v>
      </c>
      <c r="U2154" s="123">
        <f>IFERROR(S2154/T2154,"")</f>
        <v/>
      </c>
      <c r="V2154" s="122" t="n">
        <v>11</v>
      </c>
      <c r="W2154" s="122" t="n">
        <v>9</v>
      </c>
      <c r="X2154" s="124">
        <f>IFERROR(W2154/S2154,"")</f>
        <v/>
      </c>
      <c r="Y2154" s="121">
        <f>IFERROR(R2154/W2154,"")</f>
        <v/>
      </c>
      <c r="Z2154" s="121">
        <f>IFERROR(R2154/S2154*1000,"")</f>
        <v/>
      </c>
      <c r="AA2154" s="122" t="n">
        <v>6</v>
      </c>
      <c r="AB2154" s="54">
        <f>IFERROR(AA2154/W2154,"")</f>
        <v/>
      </c>
      <c r="AC2154" s="122" t="n">
        <v>3064</v>
      </c>
      <c r="AD2154" s="122" t="n">
        <v>1702</v>
      </c>
      <c r="AE2154" s="122" t="n">
        <v>1358</v>
      </c>
      <c r="AF2154" s="122" t="n">
        <v>737</v>
      </c>
      <c r="AG2154" s="122" t="n">
        <v>526</v>
      </c>
      <c r="AH2154" s="122" t="n">
        <v>324</v>
      </c>
      <c r="AI2154" s="54">
        <f>IFERROR(AC2154/S2154,"")</f>
        <v/>
      </c>
      <c r="AJ2154" s="54">
        <f>IFERROR(AH2154/S2154,"")</f>
        <v/>
      </c>
      <c r="AK2154" s="122" t="n">
        <v>17</v>
      </c>
      <c r="AL2154" s="122" t="n">
        <v>0</v>
      </c>
      <c r="AM2154" s="124">
        <f>IFERROR(AL2154/AA2154,"")</f>
        <v/>
      </c>
      <c r="AN2154" s="125">
        <f>IFERROR(R2154/AL2154,"")</f>
        <v/>
      </c>
      <c r="AO2154" s="122" t="n">
        <v>0</v>
      </c>
      <c r="AP2154" s="54">
        <f>IFERROR(AO2154/AL2154,"")</f>
        <v/>
      </c>
      <c r="AQ2154" s="125">
        <f>IFERROR(R2154/AO2154,"")</f>
        <v/>
      </c>
      <c r="AR2154" s="122" t="n">
        <v>0</v>
      </c>
      <c r="AS2154" s="122" t="n">
        <v>0</v>
      </c>
      <c r="AT2154" s="122">
        <f>AL2154+AR2154</f>
        <v/>
      </c>
      <c r="AU2154" s="125">
        <f>IFERROR(AO2154*Assumptions!$C$26*Assumptions!$C$27*INDEX(Assumptions!$C$18:$C$21,MATCH(H2154,Assumptions!$B$18:$B$21,0)),0)</f>
        <v/>
      </c>
    </row>
    <row r="2155">
      <c r="A2155" s="120" t="n">
        <v>46255</v>
      </c>
      <c r="B2155" s="66" t="inlineStr">
        <is>
          <t>Wk 34</t>
        </is>
      </c>
      <c r="C2155" s="66" t="inlineStr">
        <is>
          <t>Fri</t>
        </is>
      </c>
      <c r="D2155" s="66" t="inlineStr">
        <is>
          <t>Programmatic</t>
        </is>
      </c>
      <c r="E2155" s="66" t="inlineStr">
        <is>
          <t>DV360</t>
        </is>
      </c>
      <c r="F2155" s="66" t="inlineStr">
        <is>
          <t>LEP_ZA_AUG26_PROG_TD_VIDEO_OLV</t>
        </is>
      </c>
      <c r="G2155" s="66" t="inlineStr">
        <is>
          <t>Online Video / CTV</t>
        </is>
      </c>
      <c r="H2155" s="66" t="inlineStr">
        <is>
          <t>Range</t>
        </is>
      </c>
      <c r="I2155" s="66" t="inlineStr">
        <is>
          <t>Range Offer</t>
        </is>
      </c>
      <c r="J2155" s="66" t="inlineStr">
        <is>
          <t>PROG_CTV_HOUSEHOLD</t>
        </is>
      </c>
      <c r="K2155" s="66" t="inlineStr">
        <is>
          <t>Prospecting</t>
        </is>
      </c>
      <c r="L2155" s="66" t="inlineStr">
        <is>
          <t>PROG_OLV_20s_RangeFilm_v1</t>
        </is>
      </c>
      <c r="M2155" s="66" t="inlineStr">
        <is>
          <t>Video 16:9 Pre-roll</t>
        </is>
      </c>
      <c r="N2155" s="66" t="inlineStr">
        <is>
          <t>Meet the Lepas range</t>
        </is>
      </c>
      <c r="O2155" s="66" t="inlineStr">
        <is>
          <t>Auction - Fixed CPM</t>
        </is>
      </c>
      <c r="P2155" s="66" t="inlineStr">
        <is>
          <t>Completed Views + CPA</t>
        </is>
      </c>
      <c r="Q2155" s="66" t="inlineStr">
        <is>
          <t>https://www.lepas-sa.co.za/offers</t>
        </is>
      </c>
      <c r="R2155" s="121" t="n">
        <v>124.49</v>
      </c>
      <c r="S2155" s="122" t="n">
        <v>4898</v>
      </c>
      <c r="T2155" s="122" t="n">
        <v>1934</v>
      </c>
      <c r="U2155" s="123">
        <f>IFERROR(S2155/T2155,"")</f>
        <v/>
      </c>
      <c r="V2155" s="122" t="n">
        <v>10</v>
      </c>
      <c r="W2155" s="122" t="n">
        <v>7</v>
      </c>
      <c r="X2155" s="124">
        <f>IFERROR(W2155/S2155,"")</f>
        <v/>
      </c>
      <c r="Y2155" s="121">
        <f>IFERROR(R2155/W2155,"")</f>
        <v/>
      </c>
      <c r="Z2155" s="121">
        <f>IFERROR(R2155/S2155*1000,"")</f>
        <v/>
      </c>
      <c r="AA2155" s="122" t="n">
        <v>5</v>
      </c>
      <c r="AB2155" s="54">
        <f>IFERROR(AA2155/W2155,"")</f>
        <v/>
      </c>
      <c r="AC2155" s="122" t="n">
        <v>1559</v>
      </c>
      <c r="AD2155" s="122" t="n">
        <v>848</v>
      </c>
      <c r="AE2155" s="122" t="n">
        <v>743</v>
      </c>
      <c r="AF2155" s="122" t="n">
        <v>438</v>
      </c>
      <c r="AG2155" s="122" t="n">
        <v>319</v>
      </c>
      <c r="AH2155" s="122" t="n">
        <v>178</v>
      </c>
      <c r="AI2155" s="54">
        <f>IFERROR(AC2155/S2155,"")</f>
        <v/>
      </c>
      <c r="AJ2155" s="54">
        <f>IFERROR(AH2155/S2155,"")</f>
        <v/>
      </c>
      <c r="AK2155" s="122" t="n">
        <v>10</v>
      </c>
      <c r="AL2155" s="122" t="n">
        <v>0</v>
      </c>
      <c r="AM2155" s="124">
        <f>IFERROR(AL2155/AA2155,"")</f>
        <v/>
      </c>
      <c r="AN2155" s="125">
        <f>IFERROR(R2155/AL2155,"")</f>
        <v/>
      </c>
      <c r="AO2155" s="122" t="n">
        <v>0</v>
      </c>
      <c r="AP2155" s="54">
        <f>IFERROR(AO2155/AL2155,"")</f>
        <v/>
      </c>
      <c r="AQ2155" s="125">
        <f>IFERROR(R2155/AO2155,"")</f>
        <v/>
      </c>
      <c r="AR2155" s="122" t="n">
        <v>0</v>
      </c>
      <c r="AS2155" s="122" t="n">
        <v>0</v>
      </c>
      <c r="AT2155" s="122">
        <f>AL2155+AR2155</f>
        <v/>
      </c>
      <c r="AU2155" s="125">
        <f>IFERROR(AO2155*Assumptions!$C$26*Assumptions!$C$27*INDEX(Assumptions!$C$18:$C$21,MATCH(H2155,Assumptions!$B$18:$B$21,0)),0)</f>
        <v/>
      </c>
    </row>
    <row r="2156">
      <c r="A2156" s="120" t="n">
        <v>46256</v>
      </c>
      <c r="B2156" s="66" t="inlineStr">
        <is>
          <t>Wk 34</t>
        </is>
      </c>
      <c r="C2156" s="66" t="inlineStr">
        <is>
          <t>Sat</t>
        </is>
      </c>
      <c r="D2156" s="66" t="inlineStr">
        <is>
          <t>Programmatic</t>
        </is>
      </c>
      <c r="E2156" s="66" t="inlineStr">
        <is>
          <t>DV360</t>
        </is>
      </c>
      <c r="F2156" s="66" t="inlineStr">
        <is>
          <t>LEP_ZA_AUG26_PROG_TD_VIDEO_OLV</t>
        </is>
      </c>
      <c r="G2156" s="66" t="inlineStr">
        <is>
          <t>Online Video / CTV</t>
        </is>
      </c>
      <c r="H2156" s="66" t="inlineStr">
        <is>
          <t>Range</t>
        </is>
      </c>
      <c r="I2156" s="66" t="inlineStr">
        <is>
          <t>Range Offer</t>
        </is>
      </c>
      <c r="J2156" s="66" t="inlineStr">
        <is>
          <t>PROG_CTV_HOUSEHOLD</t>
        </is>
      </c>
      <c r="K2156" s="66" t="inlineStr">
        <is>
          <t>Prospecting</t>
        </is>
      </c>
      <c r="L2156" s="66" t="inlineStr">
        <is>
          <t>PROG_OLV_20s_RangeFilm_v1</t>
        </is>
      </c>
      <c r="M2156" s="66" t="inlineStr">
        <is>
          <t>Video 16:9 Pre-roll</t>
        </is>
      </c>
      <c r="N2156" s="66" t="inlineStr">
        <is>
          <t>Meet the Lepas range</t>
        </is>
      </c>
      <c r="O2156" s="66" t="inlineStr">
        <is>
          <t>Auction - Fixed CPM</t>
        </is>
      </c>
      <c r="P2156" s="66" t="inlineStr">
        <is>
          <t>Completed Views + CPA</t>
        </is>
      </c>
      <c r="Q2156" s="66" t="inlineStr">
        <is>
          <t>https://www.lepas-sa.co.za/offers</t>
        </is>
      </c>
      <c r="R2156" s="121" t="n">
        <v>149.55</v>
      </c>
      <c r="S2156" s="122" t="n">
        <v>5771</v>
      </c>
      <c r="T2156" s="122" t="n">
        <v>3129</v>
      </c>
      <c r="U2156" s="123">
        <f>IFERROR(S2156/T2156,"")</f>
        <v/>
      </c>
      <c r="V2156" s="122" t="n">
        <v>10</v>
      </c>
      <c r="W2156" s="122" t="n">
        <v>8</v>
      </c>
      <c r="X2156" s="124">
        <f>IFERROR(W2156/S2156,"")</f>
        <v/>
      </c>
      <c r="Y2156" s="121">
        <f>IFERROR(R2156/W2156,"")</f>
        <v/>
      </c>
      <c r="Z2156" s="121">
        <f>IFERROR(R2156/S2156*1000,"")</f>
        <v/>
      </c>
      <c r="AA2156" s="122" t="n">
        <v>5</v>
      </c>
      <c r="AB2156" s="54">
        <f>IFERROR(AA2156/W2156,"")</f>
        <v/>
      </c>
      <c r="AC2156" s="122" t="n">
        <v>2113</v>
      </c>
      <c r="AD2156" s="122" t="n">
        <v>1174</v>
      </c>
      <c r="AE2156" s="122" t="n">
        <v>1063</v>
      </c>
      <c r="AF2156" s="122" t="n">
        <v>629</v>
      </c>
      <c r="AG2156" s="122" t="n">
        <v>471</v>
      </c>
      <c r="AH2156" s="122" t="n">
        <v>337</v>
      </c>
      <c r="AI2156" s="54">
        <f>IFERROR(AC2156/S2156,"")</f>
        <v/>
      </c>
      <c r="AJ2156" s="54">
        <f>IFERROR(AH2156/S2156,"")</f>
        <v/>
      </c>
      <c r="AK2156" s="122" t="n">
        <v>30</v>
      </c>
      <c r="AL2156" s="122" t="n">
        <v>0</v>
      </c>
      <c r="AM2156" s="124">
        <f>IFERROR(AL2156/AA2156,"")</f>
        <v/>
      </c>
      <c r="AN2156" s="125">
        <f>IFERROR(R2156/AL2156,"")</f>
        <v/>
      </c>
      <c r="AO2156" s="122" t="n">
        <v>0</v>
      </c>
      <c r="AP2156" s="54">
        <f>IFERROR(AO2156/AL2156,"")</f>
        <v/>
      </c>
      <c r="AQ2156" s="125">
        <f>IFERROR(R2156/AO2156,"")</f>
        <v/>
      </c>
      <c r="AR2156" s="122" t="n">
        <v>0</v>
      </c>
      <c r="AS2156" s="122" t="n">
        <v>0</v>
      </c>
      <c r="AT2156" s="122">
        <f>AL2156+AR2156</f>
        <v/>
      </c>
      <c r="AU2156" s="125">
        <f>IFERROR(AO2156*Assumptions!$C$26*Assumptions!$C$27*INDEX(Assumptions!$C$18:$C$21,MATCH(H2156,Assumptions!$B$18:$B$21,0)),0)</f>
        <v/>
      </c>
    </row>
    <row r="2157">
      <c r="A2157" s="120" t="n">
        <v>46257</v>
      </c>
      <c r="B2157" s="66" t="inlineStr">
        <is>
          <t>Wk 34</t>
        </is>
      </c>
      <c r="C2157" s="66" t="inlineStr">
        <is>
          <t>Sun</t>
        </is>
      </c>
      <c r="D2157" s="66" t="inlineStr">
        <is>
          <t>Programmatic</t>
        </is>
      </c>
      <c r="E2157" s="66" t="inlineStr">
        <is>
          <t>DV360</t>
        </is>
      </c>
      <c r="F2157" s="66" t="inlineStr">
        <is>
          <t>LEP_ZA_AUG26_PROG_TD_VIDEO_OLV</t>
        </is>
      </c>
      <c r="G2157" s="66" t="inlineStr">
        <is>
          <t>Online Video / CTV</t>
        </is>
      </c>
      <c r="H2157" s="66" t="inlineStr">
        <is>
          <t>Range</t>
        </is>
      </c>
      <c r="I2157" s="66" t="inlineStr">
        <is>
          <t>Range Offer</t>
        </is>
      </c>
      <c r="J2157" s="66" t="inlineStr">
        <is>
          <t>PROG_CTV_HOUSEHOLD</t>
        </is>
      </c>
      <c r="K2157" s="66" t="inlineStr">
        <is>
          <t>Prospecting</t>
        </is>
      </c>
      <c r="L2157" s="66" t="inlineStr">
        <is>
          <t>PROG_OLV_20s_RangeFilm_v1</t>
        </is>
      </c>
      <c r="M2157" s="66" t="inlineStr">
        <is>
          <t>Video 16:9 Pre-roll</t>
        </is>
      </c>
      <c r="N2157" s="66" t="inlineStr">
        <is>
          <t>Meet the Lepas range</t>
        </is>
      </c>
      <c r="O2157" s="66" t="inlineStr">
        <is>
          <t>Auction - Fixed CPM</t>
        </is>
      </c>
      <c r="P2157" s="66" t="inlineStr">
        <is>
          <t>Completed Views + CPA</t>
        </is>
      </c>
      <c r="Q2157" s="66" t="inlineStr">
        <is>
          <t>https://www.lepas-sa.co.za/offers</t>
        </is>
      </c>
      <c r="R2157" s="121" t="n">
        <v>118.38</v>
      </c>
      <c r="S2157" s="122" t="n">
        <v>3694</v>
      </c>
      <c r="T2157" s="122" t="n">
        <v>1292</v>
      </c>
      <c r="U2157" s="123">
        <f>IFERROR(S2157/T2157,"")</f>
        <v/>
      </c>
      <c r="V2157" s="122" t="n">
        <v>4</v>
      </c>
      <c r="W2157" s="122" t="n">
        <v>3</v>
      </c>
      <c r="X2157" s="124">
        <f>IFERROR(W2157/S2157,"")</f>
        <v/>
      </c>
      <c r="Y2157" s="121">
        <f>IFERROR(R2157/W2157,"")</f>
        <v/>
      </c>
      <c r="Z2157" s="121">
        <f>IFERROR(R2157/S2157*1000,"")</f>
        <v/>
      </c>
      <c r="AA2157" s="122" t="n">
        <v>2</v>
      </c>
      <c r="AB2157" s="54">
        <f>IFERROR(AA2157/W2157,"")</f>
        <v/>
      </c>
      <c r="AC2157" s="122" t="n">
        <v>1158</v>
      </c>
      <c r="AD2157" s="122" t="n">
        <v>587</v>
      </c>
      <c r="AE2157" s="122" t="n">
        <v>573</v>
      </c>
      <c r="AF2157" s="122" t="n">
        <v>302</v>
      </c>
      <c r="AG2157" s="122" t="n">
        <v>215</v>
      </c>
      <c r="AH2157" s="122" t="n">
        <v>153</v>
      </c>
      <c r="AI2157" s="54">
        <f>IFERROR(AC2157/S2157,"")</f>
        <v/>
      </c>
      <c r="AJ2157" s="54">
        <f>IFERROR(AH2157/S2157,"")</f>
        <v/>
      </c>
      <c r="AK2157" s="122" t="n">
        <v>6</v>
      </c>
      <c r="AL2157" s="122" t="n">
        <v>0</v>
      </c>
      <c r="AM2157" s="124">
        <f>IFERROR(AL2157/AA2157,"")</f>
        <v/>
      </c>
      <c r="AN2157" s="125">
        <f>IFERROR(R2157/AL2157,"")</f>
        <v/>
      </c>
      <c r="AO2157" s="122" t="n">
        <v>0</v>
      </c>
      <c r="AP2157" s="54">
        <f>IFERROR(AO2157/AL2157,"")</f>
        <v/>
      </c>
      <c r="AQ2157" s="125">
        <f>IFERROR(R2157/AO2157,"")</f>
        <v/>
      </c>
      <c r="AR2157" s="122" t="n">
        <v>0</v>
      </c>
      <c r="AS2157" s="122" t="n">
        <v>0</v>
      </c>
      <c r="AT2157" s="122">
        <f>AL2157+AR2157</f>
        <v/>
      </c>
      <c r="AU2157" s="125">
        <f>IFERROR(AO2157*Assumptions!$C$26*Assumptions!$C$27*INDEX(Assumptions!$C$18:$C$21,MATCH(H2157,Assumptions!$B$18:$B$21,0)),0)</f>
        <v/>
      </c>
    </row>
    <row r="2158">
      <c r="A2158" s="120" t="n">
        <v>46258</v>
      </c>
      <c r="B2158" s="66" t="inlineStr">
        <is>
          <t>Wk 35</t>
        </is>
      </c>
      <c r="C2158" s="66" t="inlineStr">
        <is>
          <t>Mon</t>
        </is>
      </c>
      <c r="D2158" s="66" t="inlineStr">
        <is>
          <t>Programmatic</t>
        </is>
      </c>
      <c r="E2158" s="66" t="inlineStr">
        <is>
          <t>DV360</t>
        </is>
      </c>
      <c r="F2158" s="66" t="inlineStr">
        <is>
          <t>LEP_ZA_AUG26_PROG_TD_VIDEO_OLV</t>
        </is>
      </c>
      <c r="G2158" s="66" t="inlineStr">
        <is>
          <t>Online Video / CTV</t>
        </is>
      </c>
      <c r="H2158" s="66" t="inlineStr">
        <is>
          <t>Range</t>
        </is>
      </c>
      <c r="I2158" s="66" t="inlineStr">
        <is>
          <t>Range Offer</t>
        </is>
      </c>
      <c r="J2158" s="66" t="inlineStr">
        <is>
          <t>PROG_CTV_HOUSEHOLD</t>
        </is>
      </c>
      <c r="K2158" s="66" t="inlineStr">
        <is>
          <t>Prospecting</t>
        </is>
      </c>
      <c r="L2158" s="66" t="inlineStr">
        <is>
          <t>PROG_OLV_20s_RangeFilm_v1</t>
        </is>
      </c>
      <c r="M2158" s="66" t="inlineStr">
        <is>
          <t>Video 16:9 Pre-roll</t>
        </is>
      </c>
      <c r="N2158" s="66" t="inlineStr">
        <is>
          <t>Meet the Lepas range</t>
        </is>
      </c>
      <c r="O2158" s="66" t="inlineStr">
        <is>
          <t>Auction - Fixed CPM</t>
        </is>
      </c>
      <c r="P2158" s="66" t="inlineStr">
        <is>
          <t>Completed Views + CPA</t>
        </is>
      </c>
      <c r="Q2158" s="66" t="inlineStr">
        <is>
          <t>https://www.lepas-sa.co.za/offers</t>
        </is>
      </c>
      <c r="R2158" s="121" t="n">
        <v>108.05</v>
      </c>
      <c r="S2158" s="122" t="n">
        <v>3274</v>
      </c>
      <c r="T2158" s="122" t="n">
        <v>1280</v>
      </c>
      <c r="U2158" s="123">
        <f>IFERROR(S2158/T2158,"")</f>
        <v/>
      </c>
      <c r="V2158" s="122" t="n">
        <v>8</v>
      </c>
      <c r="W2158" s="122" t="n">
        <v>6</v>
      </c>
      <c r="X2158" s="124">
        <f>IFERROR(W2158/S2158,"")</f>
        <v/>
      </c>
      <c r="Y2158" s="121">
        <f>IFERROR(R2158/W2158,"")</f>
        <v/>
      </c>
      <c r="Z2158" s="121">
        <f>IFERROR(R2158/S2158*1000,"")</f>
        <v/>
      </c>
      <c r="AA2158" s="122" t="n">
        <v>4</v>
      </c>
      <c r="AB2158" s="54">
        <f>IFERROR(AA2158/W2158,"")</f>
        <v/>
      </c>
      <c r="AC2158" s="122" t="n">
        <v>1197</v>
      </c>
      <c r="AD2158" s="122" t="n">
        <v>690</v>
      </c>
      <c r="AE2158" s="122" t="n">
        <v>513</v>
      </c>
      <c r="AF2158" s="122" t="n">
        <v>339</v>
      </c>
      <c r="AG2158" s="122" t="n">
        <v>216</v>
      </c>
      <c r="AH2158" s="122" t="n">
        <v>135</v>
      </c>
      <c r="AI2158" s="54">
        <f>IFERROR(AC2158/S2158,"")</f>
        <v/>
      </c>
      <c r="AJ2158" s="54">
        <f>IFERROR(AH2158/S2158,"")</f>
        <v/>
      </c>
      <c r="AK2158" s="122" t="n">
        <v>6</v>
      </c>
      <c r="AL2158" s="122" t="n">
        <v>0</v>
      </c>
      <c r="AM2158" s="124">
        <f>IFERROR(AL2158/AA2158,"")</f>
        <v/>
      </c>
      <c r="AN2158" s="125">
        <f>IFERROR(R2158/AL2158,"")</f>
        <v/>
      </c>
      <c r="AO2158" s="122" t="n">
        <v>0</v>
      </c>
      <c r="AP2158" s="54">
        <f>IFERROR(AO2158/AL2158,"")</f>
        <v/>
      </c>
      <c r="AQ2158" s="125">
        <f>IFERROR(R2158/AO2158,"")</f>
        <v/>
      </c>
      <c r="AR2158" s="122" t="n">
        <v>0</v>
      </c>
      <c r="AS2158" s="122" t="n">
        <v>0</v>
      </c>
      <c r="AT2158" s="122">
        <f>AL2158+AR2158</f>
        <v/>
      </c>
      <c r="AU2158" s="125">
        <f>IFERROR(AO2158*Assumptions!$C$26*Assumptions!$C$27*INDEX(Assumptions!$C$18:$C$21,MATCH(H2158,Assumptions!$B$18:$B$21,0)),0)</f>
        <v/>
      </c>
    </row>
    <row r="2159">
      <c r="A2159" s="120" t="n">
        <v>46259</v>
      </c>
      <c r="B2159" s="66" t="inlineStr">
        <is>
          <t>Wk 35</t>
        </is>
      </c>
      <c r="C2159" s="66" t="inlineStr">
        <is>
          <t>Tue</t>
        </is>
      </c>
      <c r="D2159" s="66" t="inlineStr">
        <is>
          <t>Programmatic</t>
        </is>
      </c>
      <c r="E2159" s="66" t="inlineStr">
        <is>
          <t>DV360</t>
        </is>
      </c>
      <c r="F2159" s="66" t="inlineStr">
        <is>
          <t>LEP_ZA_AUG26_PROG_TD_VIDEO_OLV</t>
        </is>
      </c>
      <c r="G2159" s="66" t="inlineStr">
        <is>
          <t>Online Video / CTV</t>
        </is>
      </c>
      <c r="H2159" s="66" t="inlineStr">
        <is>
          <t>Range</t>
        </is>
      </c>
      <c r="I2159" s="66" t="inlineStr">
        <is>
          <t>Range Offer</t>
        </is>
      </c>
      <c r="J2159" s="66" t="inlineStr">
        <is>
          <t>PROG_CTV_HOUSEHOLD</t>
        </is>
      </c>
      <c r="K2159" s="66" t="inlineStr">
        <is>
          <t>Prospecting</t>
        </is>
      </c>
      <c r="L2159" s="66" t="inlineStr">
        <is>
          <t>PROG_OLV_20s_RangeFilm_v1</t>
        </is>
      </c>
      <c r="M2159" s="66" t="inlineStr">
        <is>
          <t>Video 16:9 Pre-roll</t>
        </is>
      </c>
      <c r="N2159" s="66" t="inlineStr">
        <is>
          <t>Meet the Lepas range</t>
        </is>
      </c>
      <c r="O2159" s="66" t="inlineStr">
        <is>
          <t>Auction - Fixed CPM</t>
        </is>
      </c>
      <c r="P2159" s="66" t="inlineStr">
        <is>
          <t>Completed Views + CPA</t>
        </is>
      </c>
      <c r="Q2159" s="66" t="inlineStr">
        <is>
          <t>https://www.lepas-sa.co.za/offers</t>
        </is>
      </c>
      <c r="R2159" s="121" t="n">
        <v>101.93</v>
      </c>
      <c r="S2159" s="122" t="n">
        <v>3673</v>
      </c>
      <c r="T2159" s="122" t="n">
        <v>1762</v>
      </c>
      <c r="U2159" s="123">
        <f>IFERROR(S2159/T2159,"")</f>
        <v/>
      </c>
      <c r="V2159" s="122" t="n">
        <v>4</v>
      </c>
      <c r="W2159" s="122" t="n">
        <v>3</v>
      </c>
      <c r="X2159" s="124">
        <f>IFERROR(W2159/S2159,"")</f>
        <v/>
      </c>
      <c r="Y2159" s="121">
        <f>IFERROR(R2159/W2159,"")</f>
        <v/>
      </c>
      <c r="Z2159" s="121">
        <f>IFERROR(R2159/S2159*1000,"")</f>
        <v/>
      </c>
      <c r="AA2159" s="122" t="n">
        <v>2</v>
      </c>
      <c r="AB2159" s="54">
        <f>IFERROR(AA2159/W2159,"")</f>
        <v/>
      </c>
      <c r="AC2159" s="122" t="n">
        <v>824</v>
      </c>
      <c r="AD2159" s="122" t="n">
        <v>404</v>
      </c>
      <c r="AE2159" s="122" t="n">
        <v>315</v>
      </c>
      <c r="AF2159" s="122" t="n">
        <v>214</v>
      </c>
      <c r="AG2159" s="122" t="n">
        <v>158</v>
      </c>
      <c r="AH2159" s="122" t="n">
        <v>90</v>
      </c>
      <c r="AI2159" s="54">
        <f>IFERROR(AC2159/S2159,"")</f>
        <v/>
      </c>
      <c r="AJ2159" s="54">
        <f>IFERROR(AH2159/S2159,"")</f>
        <v/>
      </c>
      <c r="AK2159" s="122" t="n">
        <v>10</v>
      </c>
      <c r="AL2159" s="122" t="n">
        <v>0</v>
      </c>
      <c r="AM2159" s="124">
        <f>IFERROR(AL2159/AA2159,"")</f>
        <v/>
      </c>
      <c r="AN2159" s="125">
        <f>IFERROR(R2159/AL2159,"")</f>
        <v/>
      </c>
      <c r="AO2159" s="122" t="n">
        <v>0</v>
      </c>
      <c r="AP2159" s="54">
        <f>IFERROR(AO2159/AL2159,"")</f>
        <v/>
      </c>
      <c r="AQ2159" s="125">
        <f>IFERROR(R2159/AO2159,"")</f>
        <v/>
      </c>
      <c r="AR2159" s="122" t="n">
        <v>0</v>
      </c>
      <c r="AS2159" s="122" t="n">
        <v>0</v>
      </c>
      <c r="AT2159" s="122">
        <f>AL2159+AR2159</f>
        <v/>
      </c>
      <c r="AU2159" s="125">
        <f>IFERROR(AO2159*Assumptions!$C$26*Assumptions!$C$27*INDEX(Assumptions!$C$18:$C$21,MATCH(H2159,Assumptions!$B$18:$B$21,0)),0)</f>
        <v/>
      </c>
    </row>
    <row r="2160">
      <c r="A2160" s="120" t="n">
        <v>46260</v>
      </c>
      <c r="B2160" s="66" t="inlineStr">
        <is>
          <t>Wk 35</t>
        </is>
      </c>
      <c r="C2160" s="66" t="inlineStr">
        <is>
          <t>Wed</t>
        </is>
      </c>
      <c r="D2160" s="66" t="inlineStr">
        <is>
          <t>Programmatic</t>
        </is>
      </c>
      <c r="E2160" s="66" t="inlineStr">
        <is>
          <t>DV360</t>
        </is>
      </c>
      <c r="F2160" s="66" t="inlineStr">
        <is>
          <t>LEP_ZA_AUG26_PROG_TD_VIDEO_OLV</t>
        </is>
      </c>
      <c r="G2160" s="66" t="inlineStr">
        <is>
          <t>Online Video / CTV</t>
        </is>
      </c>
      <c r="H2160" s="66" t="inlineStr">
        <is>
          <t>Range</t>
        </is>
      </c>
      <c r="I2160" s="66" t="inlineStr">
        <is>
          <t>Range Offer</t>
        </is>
      </c>
      <c r="J2160" s="66" t="inlineStr">
        <is>
          <t>PROG_CTV_HOUSEHOLD</t>
        </is>
      </c>
      <c r="K2160" s="66" t="inlineStr">
        <is>
          <t>Prospecting</t>
        </is>
      </c>
      <c r="L2160" s="66" t="inlineStr">
        <is>
          <t>PROG_OLV_20s_RangeFilm_v1</t>
        </is>
      </c>
      <c r="M2160" s="66" t="inlineStr">
        <is>
          <t>Video 16:9 Pre-roll</t>
        </is>
      </c>
      <c r="N2160" s="66" t="inlineStr">
        <is>
          <t>Meet the Lepas range</t>
        </is>
      </c>
      <c r="O2160" s="66" t="inlineStr">
        <is>
          <t>Auction - Fixed CPM</t>
        </is>
      </c>
      <c r="P2160" s="66" t="inlineStr">
        <is>
          <t>Completed Views + CPA</t>
        </is>
      </c>
      <c r="Q2160" s="66" t="inlineStr">
        <is>
          <t>https://www.lepas-sa.co.za/offers</t>
        </is>
      </c>
      <c r="R2160" s="121" t="n">
        <v>111.19</v>
      </c>
      <c r="S2160" s="122" t="n">
        <v>4705</v>
      </c>
      <c r="T2160" s="122" t="n">
        <v>2578</v>
      </c>
      <c r="U2160" s="123">
        <f>IFERROR(S2160/T2160,"")</f>
        <v/>
      </c>
      <c r="V2160" s="122" t="n">
        <v>4</v>
      </c>
      <c r="W2160" s="122" t="n">
        <v>3</v>
      </c>
      <c r="X2160" s="124">
        <f>IFERROR(W2160/S2160,"")</f>
        <v/>
      </c>
      <c r="Y2160" s="121">
        <f>IFERROR(R2160/W2160,"")</f>
        <v/>
      </c>
      <c r="Z2160" s="121">
        <f>IFERROR(R2160/S2160*1000,"")</f>
        <v/>
      </c>
      <c r="AA2160" s="122" t="n">
        <v>2</v>
      </c>
      <c r="AB2160" s="54">
        <f>IFERROR(AA2160/W2160,"")</f>
        <v/>
      </c>
      <c r="AC2160" s="122" t="n">
        <v>1039</v>
      </c>
      <c r="AD2160" s="122" t="n">
        <v>591</v>
      </c>
      <c r="AE2160" s="122" t="n">
        <v>515</v>
      </c>
      <c r="AF2160" s="122" t="n">
        <v>357</v>
      </c>
      <c r="AG2160" s="122" t="n">
        <v>231</v>
      </c>
      <c r="AH2160" s="122" t="n">
        <v>167</v>
      </c>
      <c r="AI2160" s="54">
        <f>IFERROR(AC2160/S2160,"")</f>
        <v/>
      </c>
      <c r="AJ2160" s="54">
        <f>IFERROR(AH2160/S2160,"")</f>
        <v/>
      </c>
      <c r="AK2160" s="122" t="n">
        <v>23</v>
      </c>
      <c r="AL2160" s="122" t="n">
        <v>0</v>
      </c>
      <c r="AM2160" s="124">
        <f>IFERROR(AL2160/AA2160,"")</f>
        <v/>
      </c>
      <c r="AN2160" s="125">
        <f>IFERROR(R2160/AL2160,"")</f>
        <v/>
      </c>
      <c r="AO2160" s="122" t="n">
        <v>0</v>
      </c>
      <c r="AP2160" s="54">
        <f>IFERROR(AO2160/AL2160,"")</f>
        <v/>
      </c>
      <c r="AQ2160" s="125">
        <f>IFERROR(R2160/AO2160,"")</f>
        <v/>
      </c>
      <c r="AR2160" s="122" t="n">
        <v>0</v>
      </c>
      <c r="AS2160" s="122" t="n">
        <v>0</v>
      </c>
      <c r="AT2160" s="122">
        <f>AL2160+AR2160</f>
        <v/>
      </c>
      <c r="AU2160" s="125">
        <f>IFERROR(AO2160*Assumptions!$C$26*Assumptions!$C$27*INDEX(Assumptions!$C$18:$C$21,MATCH(H2160,Assumptions!$B$18:$B$21,0)),0)</f>
        <v/>
      </c>
    </row>
    <row r="2161">
      <c r="A2161" s="120" t="n">
        <v>46261</v>
      </c>
      <c r="B2161" s="66" t="inlineStr">
        <is>
          <t>Wk 35</t>
        </is>
      </c>
      <c r="C2161" s="66" t="inlineStr">
        <is>
          <t>Thu</t>
        </is>
      </c>
      <c r="D2161" s="66" t="inlineStr">
        <is>
          <t>Programmatic</t>
        </is>
      </c>
      <c r="E2161" s="66" t="inlineStr">
        <is>
          <t>DV360</t>
        </is>
      </c>
      <c r="F2161" s="66" t="inlineStr">
        <is>
          <t>LEP_ZA_AUG26_PROG_TD_VIDEO_OLV</t>
        </is>
      </c>
      <c r="G2161" s="66" t="inlineStr">
        <is>
          <t>Online Video / CTV</t>
        </is>
      </c>
      <c r="H2161" s="66" t="inlineStr">
        <is>
          <t>Range</t>
        </is>
      </c>
      <c r="I2161" s="66" t="inlineStr">
        <is>
          <t>Range Offer</t>
        </is>
      </c>
      <c r="J2161" s="66" t="inlineStr">
        <is>
          <t>PROG_CTV_HOUSEHOLD</t>
        </is>
      </c>
      <c r="K2161" s="66" t="inlineStr">
        <is>
          <t>Prospecting</t>
        </is>
      </c>
      <c r="L2161" s="66" t="inlineStr">
        <is>
          <t>PROG_OLV_20s_RangeFilm_v1</t>
        </is>
      </c>
      <c r="M2161" s="66" t="inlineStr">
        <is>
          <t>Video 16:9 Pre-roll</t>
        </is>
      </c>
      <c r="N2161" s="66" t="inlineStr">
        <is>
          <t>Meet the Lepas range</t>
        </is>
      </c>
      <c r="O2161" s="66" t="inlineStr">
        <is>
          <t>Auction - Fixed CPM</t>
        </is>
      </c>
      <c r="P2161" s="66" t="inlineStr">
        <is>
          <t>Completed Views + CPA</t>
        </is>
      </c>
      <c r="Q2161" s="66" t="inlineStr">
        <is>
          <t>https://www.lepas-sa.co.za/offers</t>
        </is>
      </c>
      <c r="R2161" s="121" t="n">
        <v>170.7</v>
      </c>
      <c r="S2161" s="122" t="n">
        <v>9610</v>
      </c>
      <c r="T2161" s="122" t="n">
        <v>3434</v>
      </c>
      <c r="U2161" s="123">
        <f>IFERROR(S2161/T2161,"")</f>
        <v/>
      </c>
      <c r="V2161" s="122" t="n">
        <v>26</v>
      </c>
      <c r="W2161" s="122" t="n">
        <v>20</v>
      </c>
      <c r="X2161" s="124">
        <f>IFERROR(W2161/S2161,"")</f>
        <v/>
      </c>
      <c r="Y2161" s="121">
        <f>IFERROR(R2161/W2161,"")</f>
        <v/>
      </c>
      <c r="Z2161" s="121">
        <f>IFERROR(R2161/S2161*1000,"")</f>
        <v/>
      </c>
      <c r="AA2161" s="122" t="n">
        <v>15</v>
      </c>
      <c r="AB2161" s="54">
        <f>IFERROR(AA2161/W2161,"")</f>
        <v/>
      </c>
      <c r="AC2161" s="122" t="n">
        <v>3108</v>
      </c>
      <c r="AD2161" s="122" t="n">
        <v>1450</v>
      </c>
      <c r="AE2161" s="122" t="n">
        <v>1185</v>
      </c>
      <c r="AF2161" s="122" t="n">
        <v>655</v>
      </c>
      <c r="AG2161" s="122" t="n">
        <v>504</v>
      </c>
      <c r="AH2161" s="122" t="n">
        <v>366</v>
      </c>
      <c r="AI2161" s="54">
        <f>IFERROR(AC2161/S2161,"")</f>
        <v/>
      </c>
      <c r="AJ2161" s="54">
        <f>IFERROR(AH2161/S2161,"")</f>
        <v/>
      </c>
      <c r="AK2161" s="122" t="n">
        <v>23</v>
      </c>
      <c r="AL2161" s="122" t="n">
        <v>0</v>
      </c>
      <c r="AM2161" s="124">
        <f>IFERROR(AL2161/AA2161,"")</f>
        <v/>
      </c>
      <c r="AN2161" s="125">
        <f>IFERROR(R2161/AL2161,"")</f>
        <v/>
      </c>
      <c r="AO2161" s="122" t="n">
        <v>0</v>
      </c>
      <c r="AP2161" s="54">
        <f>IFERROR(AO2161/AL2161,"")</f>
        <v/>
      </c>
      <c r="AQ2161" s="125">
        <f>IFERROR(R2161/AO2161,"")</f>
        <v/>
      </c>
      <c r="AR2161" s="122" t="n">
        <v>0</v>
      </c>
      <c r="AS2161" s="122" t="n">
        <v>0</v>
      </c>
      <c r="AT2161" s="122">
        <f>AL2161+AR2161</f>
        <v/>
      </c>
      <c r="AU2161" s="125">
        <f>IFERROR(AO2161*Assumptions!$C$26*Assumptions!$C$27*INDEX(Assumptions!$C$18:$C$21,MATCH(H2161,Assumptions!$B$18:$B$21,0)),0)</f>
        <v/>
      </c>
    </row>
    <row r="2162">
      <c r="A2162" s="120" t="n">
        <v>46262</v>
      </c>
      <c r="B2162" s="66" t="inlineStr">
        <is>
          <t>Wk 35</t>
        </is>
      </c>
      <c r="C2162" s="66" t="inlineStr">
        <is>
          <t>Fri</t>
        </is>
      </c>
      <c r="D2162" s="66" t="inlineStr">
        <is>
          <t>Programmatic</t>
        </is>
      </c>
      <c r="E2162" s="66" t="inlineStr">
        <is>
          <t>DV360</t>
        </is>
      </c>
      <c r="F2162" s="66" t="inlineStr">
        <is>
          <t>LEP_ZA_AUG26_PROG_TD_VIDEO_OLV</t>
        </is>
      </c>
      <c r="G2162" s="66" t="inlineStr">
        <is>
          <t>Online Video / CTV</t>
        </is>
      </c>
      <c r="H2162" s="66" t="inlineStr">
        <is>
          <t>Range</t>
        </is>
      </c>
      <c r="I2162" s="66" t="inlineStr">
        <is>
          <t>Range Offer</t>
        </is>
      </c>
      <c r="J2162" s="66" t="inlineStr">
        <is>
          <t>PROG_CTV_HOUSEHOLD</t>
        </is>
      </c>
      <c r="K2162" s="66" t="inlineStr">
        <is>
          <t>Prospecting</t>
        </is>
      </c>
      <c r="L2162" s="66" t="inlineStr">
        <is>
          <t>PROG_OLV_20s_RangeFilm_v1</t>
        </is>
      </c>
      <c r="M2162" s="66" t="inlineStr">
        <is>
          <t>Video 16:9 Pre-roll</t>
        </is>
      </c>
      <c r="N2162" s="66" t="inlineStr">
        <is>
          <t>Meet the Lepas range</t>
        </is>
      </c>
      <c r="O2162" s="66" t="inlineStr">
        <is>
          <t>Auction - Fixed CPM</t>
        </is>
      </c>
      <c r="P2162" s="66" t="inlineStr">
        <is>
          <t>Completed Views + CPA</t>
        </is>
      </c>
      <c r="Q2162" s="66" t="inlineStr">
        <is>
          <t>https://www.lepas-sa.co.za/offers</t>
        </is>
      </c>
      <c r="R2162" s="121" t="n">
        <v>143.77</v>
      </c>
      <c r="S2162" s="122" t="n">
        <v>4634</v>
      </c>
      <c r="T2162" s="122" t="n">
        <v>1609</v>
      </c>
      <c r="U2162" s="123">
        <f>IFERROR(S2162/T2162,"")</f>
        <v/>
      </c>
      <c r="V2162" s="122" t="n">
        <v>4</v>
      </c>
      <c r="W2162" s="122" t="n">
        <v>4</v>
      </c>
      <c r="X2162" s="124">
        <f>IFERROR(W2162/S2162,"")</f>
        <v/>
      </c>
      <c r="Y2162" s="121">
        <f>IFERROR(R2162/W2162,"")</f>
        <v/>
      </c>
      <c r="Z2162" s="121">
        <f>IFERROR(R2162/S2162*1000,"")</f>
        <v/>
      </c>
      <c r="AA2162" s="122" t="n">
        <v>2</v>
      </c>
      <c r="AB2162" s="54">
        <f>IFERROR(AA2162/W2162,"")</f>
        <v/>
      </c>
      <c r="AC2162" s="122" t="n">
        <v>1828</v>
      </c>
      <c r="AD2162" s="122" t="n">
        <v>1084</v>
      </c>
      <c r="AE2162" s="122" t="n">
        <v>780</v>
      </c>
      <c r="AF2162" s="122" t="n">
        <v>457</v>
      </c>
      <c r="AG2162" s="122" t="n">
        <v>355</v>
      </c>
      <c r="AH2162" s="122" t="n">
        <v>238</v>
      </c>
      <c r="AI2162" s="54">
        <f>IFERROR(AC2162/S2162,"")</f>
        <v/>
      </c>
      <c r="AJ2162" s="54">
        <f>IFERROR(AH2162/S2162,"")</f>
        <v/>
      </c>
      <c r="AK2162" s="122" t="n">
        <v>24</v>
      </c>
      <c r="AL2162" s="122" t="n">
        <v>0</v>
      </c>
      <c r="AM2162" s="124">
        <f>IFERROR(AL2162/AA2162,"")</f>
        <v/>
      </c>
      <c r="AN2162" s="125">
        <f>IFERROR(R2162/AL2162,"")</f>
        <v/>
      </c>
      <c r="AO2162" s="122" t="n">
        <v>0</v>
      </c>
      <c r="AP2162" s="54">
        <f>IFERROR(AO2162/AL2162,"")</f>
        <v/>
      </c>
      <c r="AQ2162" s="125">
        <f>IFERROR(R2162/AO2162,"")</f>
        <v/>
      </c>
      <c r="AR2162" s="122" t="n">
        <v>0</v>
      </c>
      <c r="AS2162" s="122" t="n">
        <v>0</v>
      </c>
      <c r="AT2162" s="122">
        <f>AL2162+AR2162</f>
        <v/>
      </c>
      <c r="AU2162" s="125">
        <f>IFERROR(AO2162*Assumptions!$C$26*Assumptions!$C$27*INDEX(Assumptions!$C$18:$C$21,MATCH(H2162,Assumptions!$B$18:$B$21,0)),0)</f>
        <v/>
      </c>
    </row>
    <row r="2163">
      <c r="A2163" s="120" t="n">
        <v>46263</v>
      </c>
      <c r="B2163" s="66" t="inlineStr">
        <is>
          <t>Wk 35</t>
        </is>
      </c>
      <c r="C2163" s="66" t="inlineStr">
        <is>
          <t>Sat</t>
        </is>
      </c>
      <c r="D2163" s="66" t="inlineStr">
        <is>
          <t>Programmatic</t>
        </is>
      </c>
      <c r="E2163" s="66" t="inlineStr">
        <is>
          <t>DV360</t>
        </is>
      </c>
      <c r="F2163" s="66" t="inlineStr">
        <is>
          <t>LEP_ZA_AUG26_PROG_TD_VIDEO_OLV</t>
        </is>
      </c>
      <c r="G2163" s="66" t="inlineStr">
        <is>
          <t>Online Video / CTV</t>
        </is>
      </c>
      <c r="H2163" s="66" t="inlineStr">
        <is>
          <t>Range</t>
        </is>
      </c>
      <c r="I2163" s="66" t="inlineStr">
        <is>
          <t>Range Offer</t>
        </is>
      </c>
      <c r="J2163" s="66" t="inlineStr">
        <is>
          <t>PROG_CTV_HOUSEHOLD</t>
        </is>
      </c>
      <c r="K2163" s="66" t="inlineStr">
        <is>
          <t>Prospecting</t>
        </is>
      </c>
      <c r="L2163" s="66" t="inlineStr">
        <is>
          <t>PROG_OLV_20s_RangeFilm_v1</t>
        </is>
      </c>
      <c r="M2163" s="66" t="inlineStr">
        <is>
          <t>Video 16:9 Pre-roll</t>
        </is>
      </c>
      <c r="N2163" s="66" t="inlineStr">
        <is>
          <t>Meet the Lepas range</t>
        </is>
      </c>
      <c r="O2163" s="66" t="inlineStr">
        <is>
          <t>Auction - Fixed CPM</t>
        </is>
      </c>
      <c r="P2163" s="66" t="inlineStr">
        <is>
          <t>Completed Views + CPA</t>
        </is>
      </c>
      <c r="Q2163" s="66" t="inlineStr">
        <is>
          <t>https://www.lepas-sa.co.za/offers</t>
        </is>
      </c>
      <c r="R2163" s="121" t="n">
        <v>171.77</v>
      </c>
      <c r="S2163" s="122" t="n">
        <v>8098</v>
      </c>
      <c r="T2163" s="122" t="n">
        <v>3889</v>
      </c>
      <c r="U2163" s="123">
        <f>IFERROR(S2163/T2163,"")</f>
        <v/>
      </c>
      <c r="V2163" s="122" t="n">
        <v>13</v>
      </c>
      <c r="W2163" s="122" t="n">
        <v>10</v>
      </c>
      <c r="X2163" s="124">
        <f>IFERROR(W2163/S2163,"")</f>
        <v/>
      </c>
      <c r="Y2163" s="121">
        <f>IFERROR(R2163/W2163,"")</f>
        <v/>
      </c>
      <c r="Z2163" s="121">
        <f>IFERROR(R2163/S2163*1000,"")</f>
        <v/>
      </c>
      <c r="AA2163" s="122" t="n">
        <v>7</v>
      </c>
      <c r="AB2163" s="54">
        <f>IFERROR(AA2163/W2163,"")</f>
        <v/>
      </c>
      <c r="AC2163" s="122" t="n">
        <v>2680</v>
      </c>
      <c r="AD2163" s="122" t="n">
        <v>1320</v>
      </c>
      <c r="AE2163" s="122" t="n">
        <v>1442</v>
      </c>
      <c r="AF2163" s="122" t="n">
        <v>911</v>
      </c>
      <c r="AG2163" s="122" t="n">
        <v>721</v>
      </c>
      <c r="AH2163" s="122" t="n">
        <v>513</v>
      </c>
      <c r="AI2163" s="54">
        <f>IFERROR(AC2163/S2163,"")</f>
        <v/>
      </c>
      <c r="AJ2163" s="54">
        <f>IFERROR(AH2163/S2163,"")</f>
        <v/>
      </c>
      <c r="AK2163" s="122" t="n">
        <v>10</v>
      </c>
      <c r="AL2163" s="122" t="n">
        <v>1</v>
      </c>
      <c r="AM2163" s="124">
        <f>IFERROR(AL2163/AA2163,"")</f>
        <v/>
      </c>
      <c r="AN2163" s="125">
        <f>IFERROR(R2163/AL2163,"")</f>
        <v/>
      </c>
      <c r="AO2163" s="122" t="n">
        <v>1</v>
      </c>
      <c r="AP2163" s="54">
        <f>IFERROR(AO2163/AL2163,"")</f>
        <v/>
      </c>
      <c r="AQ2163" s="125">
        <f>IFERROR(R2163/AO2163,"")</f>
        <v/>
      </c>
      <c r="AR2163" s="122" t="n">
        <v>3</v>
      </c>
      <c r="AS2163" s="122" t="n">
        <v>1</v>
      </c>
      <c r="AT2163" s="122">
        <f>AL2163+AR2163</f>
        <v/>
      </c>
      <c r="AU2163" s="125">
        <f>IFERROR(AO2163*Assumptions!$C$26*Assumptions!$C$27*INDEX(Assumptions!$C$18:$C$21,MATCH(H2163,Assumptions!$B$18:$B$21,0)),0)</f>
        <v/>
      </c>
    </row>
    <row r="2164">
      <c r="A2164" s="120" t="n">
        <v>46264</v>
      </c>
      <c r="B2164" s="66" t="inlineStr">
        <is>
          <t>Wk 35</t>
        </is>
      </c>
      <c r="C2164" s="66" t="inlineStr">
        <is>
          <t>Sun</t>
        </is>
      </c>
      <c r="D2164" s="66" t="inlineStr">
        <is>
          <t>Programmatic</t>
        </is>
      </c>
      <c r="E2164" s="66" t="inlineStr">
        <is>
          <t>DV360</t>
        </is>
      </c>
      <c r="F2164" s="66" t="inlineStr">
        <is>
          <t>LEP_ZA_AUG26_PROG_TD_VIDEO_OLV</t>
        </is>
      </c>
      <c r="G2164" s="66" t="inlineStr">
        <is>
          <t>Online Video / CTV</t>
        </is>
      </c>
      <c r="H2164" s="66" t="inlineStr">
        <is>
          <t>Range</t>
        </is>
      </c>
      <c r="I2164" s="66" t="inlineStr">
        <is>
          <t>Range Offer</t>
        </is>
      </c>
      <c r="J2164" s="66" t="inlineStr">
        <is>
          <t>PROG_CTV_HOUSEHOLD</t>
        </is>
      </c>
      <c r="K2164" s="66" t="inlineStr">
        <is>
          <t>Prospecting</t>
        </is>
      </c>
      <c r="L2164" s="66" t="inlineStr">
        <is>
          <t>PROG_OLV_20s_RangeFilm_v1</t>
        </is>
      </c>
      <c r="M2164" s="66" t="inlineStr">
        <is>
          <t>Video 16:9 Pre-roll</t>
        </is>
      </c>
      <c r="N2164" s="66" t="inlineStr">
        <is>
          <t>Meet the Lepas range</t>
        </is>
      </c>
      <c r="O2164" s="66" t="inlineStr">
        <is>
          <t>Auction - Fixed CPM</t>
        </is>
      </c>
      <c r="P2164" s="66" t="inlineStr">
        <is>
          <t>Completed Views + CPA</t>
        </is>
      </c>
      <c r="Q2164" s="66" t="inlineStr">
        <is>
          <t>https://www.lepas-sa.co.za/offers</t>
        </is>
      </c>
      <c r="R2164" s="121" t="n">
        <v>135.66</v>
      </c>
      <c r="S2164" s="122" t="n">
        <v>4870</v>
      </c>
      <c r="T2164" s="122" t="n">
        <v>1666</v>
      </c>
      <c r="U2164" s="123">
        <f>IFERROR(S2164/T2164,"")</f>
        <v/>
      </c>
      <c r="V2164" s="122" t="n">
        <v>4</v>
      </c>
      <c r="W2164" s="122" t="n">
        <v>3</v>
      </c>
      <c r="X2164" s="124">
        <f>IFERROR(W2164/S2164,"")</f>
        <v/>
      </c>
      <c r="Y2164" s="121">
        <f>IFERROR(R2164/W2164,"")</f>
        <v/>
      </c>
      <c r="Z2164" s="121">
        <f>IFERROR(R2164/S2164*1000,"")</f>
        <v/>
      </c>
      <c r="AA2164" s="122" t="n">
        <v>2</v>
      </c>
      <c r="AB2164" s="54">
        <f>IFERROR(AA2164/W2164,"")</f>
        <v/>
      </c>
      <c r="AC2164" s="122" t="n">
        <v>1628</v>
      </c>
      <c r="AD2164" s="122" t="n">
        <v>875</v>
      </c>
      <c r="AE2164" s="122" t="n">
        <v>802</v>
      </c>
      <c r="AF2164" s="122" t="n">
        <v>464</v>
      </c>
      <c r="AG2164" s="122" t="n">
        <v>363</v>
      </c>
      <c r="AH2164" s="122" t="n">
        <v>234</v>
      </c>
      <c r="AI2164" s="54">
        <f>IFERROR(AC2164/S2164,"")</f>
        <v/>
      </c>
      <c r="AJ2164" s="54">
        <f>IFERROR(AH2164/S2164,"")</f>
        <v/>
      </c>
      <c r="AK2164" s="122" t="n">
        <v>21</v>
      </c>
      <c r="AL2164" s="122" t="n">
        <v>0</v>
      </c>
      <c r="AM2164" s="124">
        <f>IFERROR(AL2164/AA2164,"")</f>
        <v/>
      </c>
      <c r="AN2164" s="125">
        <f>IFERROR(R2164/AL2164,"")</f>
        <v/>
      </c>
      <c r="AO2164" s="122" t="n">
        <v>0</v>
      </c>
      <c r="AP2164" s="54">
        <f>IFERROR(AO2164/AL2164,"")</f>
        <v/>
      </c>
      <c r="AQ2164" s="125">
        <f>IFERROR(R2164/AO2164,"")</f>
        <v/>
      </c>
      <c r="AR2164" s="122" t="n">
        <v>0</v>
      </c>
      <c r="AS2164" s="122" t="n">
        <v>0</v>
      </c>
      <c r="AT2164" s="122">
        <f>AL2164+AR2164</f>
        <v/>
      </c>
      <c r="AU2164" s="125">
        <f>IFERROR(AO2164*Assumptions!$C$26*Assumptions!$C$27*INDEX(Assumptions!$C$18:$C$21,MATCH(H2164,Assumptions!$B$18:$B$21,0)),0)</f>
        <v/>
      </c>
    </row>
    <row r="2165">
      <c r="A2165" s="120" t="n">
        <v>46265</v>
      </c>
      <c r="B2165" s="66" t="inlineStr">
        <is>
          <t>Wk 36</t>
        </is>
      </c>
      <c r="C2165" s="66" t="inlineStr">
        <is>
          <t>Mon</t>
        </is>
      </c>
      <c r="D2165" s="66" t="inlineStr">
        <is>
          <t>Programmatic</t>
        </is>
      </c>
      <c r="E2165" s="66" t="inlineStr">
        <is>
          <t>DV360</t>
        </is>
      </c>
      <c r="F2165" s="66" t="inlineStr">
        <is>
          <t>LEP_ZA_AUG26_PROG_TD_VIDEO_OLV</t>
        </is>
      </c>
      <c r="G2165" s="66" t="inlineStr">
        <is>
          <t>Online Video / CTV</t>
        </is>
      </c>
      <c r="H2165" s="66" t="inlineStr">
        <is>
          <t>Range</t>
        </is>
      </c>
      <c r="I2165" s="66" t="inlineStr">
        <is>
          <t>Range Offer</t>
        </is>
      </c>
      <c r="J2165" s="66" t="inlineStr">
        <is>
          <t>PROG_CTV_HOUSEHOLD</t>
        </is>
      </c>
      <c r="K2165" s="66" t="inlineStr">
        <is>
          <t>Prospecting</t>
        </is>
      </c>
      <c r="L2165" s="66" t="inlineStr">
        <is>
          <t>PROG_OLV_20s_RangeFilm_v1</t>
        </is>
      </c>
      <c r="M2165" s="66" t="inlineStr">
        <is>
          <t>Video 16:9 Pre-roll</t>
        </is>
      </c>
      <c r="N2165" s="66" t="inlineStr">
        <is>
          <t>Meet the Lepas range</t>
        </is>
      </c>
      <c r="O2165" s="66" t="inlineStr">
        <is>
          <t>Auction - Fixed CPM</t>
        </is>
      </c>
      <c r="P2165" s="66" t="inlineStr">
        <is>
          <t>Completed Views + CPA</t>
        </is>
      </c>
      <c r="Q2165" s="66" t="inlineStr">
        <is>
          <t>https://www.lepas-sa.co.za/offers</t>
        </is>
      </c>
      <c r="R2165" s="121" t="n">
        <v>114.2</v>
      </c>
      <c r="S2165" s="122" t="n">
        <v>3465</v>
      </c>
      <c r="T2165" s="122" t="n">
        <v>1190</v>
      </c>
      <c r="U2165" s="123">
        <f>IFERROR(S2165/T2165,"")</f>
        <v/>
      </c>
      <c r="V2165" s="122" t="n">
        <v>4</v>
      </c>
      <c r="W2165" s="122" t="n">
        <v>3</v>
      </c>
      <c r="X2165" s="124">
        <f>IFERROR(W2165/S2165,"")</f>
        <v/>
      </c>
      <c r="Y2165" s="121">
        <f>IFERROR(R2165/W2165,"")</f>
        <v/>
      </c>
      <c r="Z2165" s="121">
        <f>IFERROR(R2165/S2165*1000,"")</f>
        <v/>
      </c>
      <c r="AA2165" s="122" t="n">
        <v>1</v>
      </c>
      <c r="AB2165" s="54">
        <f>IFERROR(AA2165/W2165,"")</f>
        <v/>
      </c>
      <c r="AC2165" s="122" t="n">
        <v>783</v>
      </c>
      <c r="AD2165" s="122" t="n">
        <v>421</v>
      </c>
      <c r="AE2165" s="122" t="n">
        <v>337</v>
      </c>
      <c r="AF2165" s="122" t="n">
        <v>196</v>
      </c>
      <c r="AG2165" s="122" t="n">
        <v>129</v>
      </c>
      <c r="AH2165" s="122" t="n">
        <v>73</v>
      </c>
      <c r="AI2165" s="54">
        <f>IFERROR(AC2165/S2165,"")</f>
        <v/>
      </c>
      <c r="AJ2165" s="54">
        <f>IFERROR(AH2165/S2165,"")</f>
        <v/>
      </c>
      <c r="AK2165" s="122" t="n">
        <v>21</v>
      </c>
      <c r="AL2165" s="122" t="n">
        <v>0</v>
      </c>
      <c r="AM2165" s="124">
        <f>IFERROR(AL2165/AA2165,"")</f>
        <v/>
      </c>
      <c r="AN2165" s="125">
        <f>IFERROR(R2165/AL2165,"")</f>
        <v/>
      </c>
      <c r="AO2165" s="122" t="n">
        <v>0</v>
      </c>
      <c r="AP2165" s="54">
        <f>IFERROR(AO2165/AL2165,"")</f>
        <v/>
      </c>
      <c r="AQ2165" s="125">
        <f>IFERROR(R2165/AO2165,"")</f>
        <v/>
      </c>
      <c r="AR2165" s="122" t="n">
        <v>0</v>
      </c>
      <c r="AS2165" s="122" t="n">
        <v>0</v>
      </c>
      <c r="AT2165" s="122">
        <f>AL2165+AR2165</f>
        <v/>
      </c>
      <c r="AU2165" s="125">
        <f>IFERROR(AO2165*Assumptions!$C$26*Assumptions!$C$27*INDEX(Assumptions!$C$18:$C$21,MATCH(H2165,Assumptions!$B$18:$B$21,0)),0)</f>
        <v/>
      </c>
    </row>
    <row r="2166">
      <c r="A2166" s="120" t="n">
        <v>46244</v>
      </c>
      <c r="B2166" s="66" t="inlineStr">
        <is>
          <t>Wk 33</t>
        </is>
      </c>
      <c r="C2166" s="66" t="inlineStr">
        <is>
          <t>Mon</t>
        </is>
      </c>
      <c r="D2166" s="66" t="inlineStr">
        <is>
          <t>Programmatic</t>
        </is>
      </c>
      <c r="E2166" s="66" t="inlineStr">
        <is>
          <t>DV360</t>
        </is>
      </c>
      <c r="F2166" s="66" t="inlineStr">
        <is>
          <t>LEP_ZA_AUG26_PROG_TD_VIDEO_OLV</t>
        </is>
      </c>
      <c r="G2166" s="66" t="inlineStr">
        <is>
          <t>Online Video / CTV</t>
        </is>
      </c>
      <c r="H2166" s="66" t="inlineStr">
        <is>
          <t>Range</t>
        </is>
      </c>
      <c r="I2166" s="66" t="inlineStr">
        <is>
          <t>Range Offer</t>
        </is>
      </c>
      <c r="J2166" s="66" t="inlineStr">
        <is>
          <t>PROG_CTV_HOUSEHOLD</t>
        </is>
      </c>
      <c r="K2166" s="66" t="inlineStr">
        <is>
          <t>Prospecting</t>
        </is>
      </c>
      <c r="L2166" s="66" t="inlineStr">
        <is>
          <t>PROG_CTV_15s_OfferCut_v1</t>
        </is>
      </c>
      <c r="M2166" s="66" t="inlineStr">
        <is>
          <t>CTV 15s</t>
        </is>
      </c>
      <c r="N2166" s="66" t="inlineStr">
        <is>
          <t>Zero deposit offers end 31 August</t>
        </is>
      </c>
      <c r="O2166" s="66" t="inlineStr">
        <is>
          <t>Auction - Fixed CPM</t>
        </is>
      </c>
      <c r="P2166" s="66" t="inlineStr">
        <is>
          <t>Completed Views + CPA</t>
        </is>
      </c>
      <c r="Q2166" s="66" t="inlineStr">
        <is>
          <t>https://www.lepas-sa.co.za/offers</t>
        </is>
      </c>
      <c r="R2166" s="121" t="n">
        <v>117.1</v>
      </c>
      <c r="S2166" s="122" t="n">
        <v>4593</v>
      </c>
      <c r="T2166" s="122" t="n">
        <v>3015</v>
      </c>
      <c r="U2166" s="123">
        <f>IFERROR(S2166/T2166,"")</f>
        <v/>
      </c>
      <c r="V2166" s="122" t="n">
        <v>5</v>
      </c>
      <c r="W2166" s="122" t="n">
        <v>4</v>
      </c>
      <c r="X2166" s="124">
        <f>IFERROR(W2166/S2166,"")</f>
        <v/>
      </c>
      <c r="Y2166" s="121">
        <f>IFERROR(R2166/W2166,"")</f>
        <v/>
      </c>
      <c r="Z2166" s="121">
        <f>IFERROR(R2166/S2166*1000,"")</f>
        <v/>
      </c>
      <c r="AA2166" s="122" t="n">
        <v>3</v>
      </c>
      <c r="AB2166" s="54">
        <f>IFERROR(AA2166/W2166,"")</f>
        <v/>
      </c>
      <c r="AC2166" s="122" t="n">
        <v>1560</v>
      </c>
      <c r="AD2166" s="122" t="n">
        <v>764</v>
      </c>
      <c r="AE2166" s="122" t="n">
        <v>816</v>
      </c>
      <c r="AF2166" s="122" t="n">
        <v>544</v>
      </c>
      <c r="AG2166" s="122" t="n">
        <v>359</v>
      </c>
      <c r="AH2166" s="122" t="n">
        <v>343</v>
      </c>
      <c r="AI2166" s="54">
        <f>IFERROR(AC2166/S2166,"")</f>
        <v/>
      </c>
      <c r="AJ2166" s="54">
        <f>IFERROR(AH2166/S2166,"")</f>
        <v/>
      </c>
      <c r="AK2166" s="122" t="n">
        <v>12</v>
      </c>
      <c r="AL2166" s="122" t="n">
        <v>0</v>
      </c>
      <c r="AM2166" s="124">
        <f>IFERROR(AL2166/AA2166,"")</f>
        <v/>
      </c>
      <c r="AN2166" s="125">
        <f>IFERROR(R2166/AL2166,"")</f>
        <v/>
      </c>
      <c r="AO2166" s="122" t="n">
        <v>0</v>
      </c>
      <c r="AP2166" s="54">
        <f>IFERROR(AO2166/AL2166,"")</f>
        <v/>
      </c>
      <c r="AQ2166" s="125">
        <f>IFERROR(R2166/AO2166,"")</f>
        <v/>
      </c>
      <c r="AR2166" s="122" t="n">
        <v>0</v>
      </c>
      <c r="AS2166" s="122" t="n">
        <v>0</v>
      </c>
      <c r="AT2166" s="122">
        <f>AL2166+AR2166</f>
        <v/>
      </c>
      <c r="AU2166" s="125">
        <f>IFERROR(AO2166*Assumptions!$C$26*Assumptions!$C$27*INDEX(Assumptions!$C$18:$C$21,MATCH(H2166,Assumptions!$B$18:$B$21,0)),0)</f>
        <v/>
      </c>
    </row>
    <row r="2167">
      <c r="A2167" s="120" t="n">
        <v>46245</v>
      </c>
      <c r="B2167" s="66" t="inlineStr">
        <is>
          <t>Wk 33</t>
        </is>
      </c>
      <c r="C2167" s="66" t="inlineStr">
        <is>
          <t>Tue</t>
        </is>
      </c>
      <c r="D2167" s="66" t="inlineStr">
        <is>
          <t>Programmatic</t>
        </is>
      </c>
      <c r="E2167" s="66" t="inlineStr">
        <is>
          <t>DV360</t>
        </is>
      </c>
      <c r="F2167" s="66" t="inlineStr">
        <is>
          <t>LEP_ZA_AUG26_PROG_TD_VIDEO_OLV</t>
        </is>
      </c>
      <c r="G2167" s="66" t="inlineStr">
        <is>
          <t>Online Video / CTV</t>
        </is>
      </c>
      <c r="H2167" s="66" t="inlineStr">
        <is>
          <t>Range</t>
        </is>
      </c>
      <c r="I2167" s="66" t="inlineStr">
        <is>
          <t>Range Offer</t>
        </is>
      </c>
      <c r="J2167" s="66" t="inlineStr">
        <is>
          <t>PROG_CTV_HOUSEHOLD</t>
        </is>
      </c>
      <c r="K2167" s="66" t="inlineStr">
        <is>
          <t>Prospecting</t>
        </is>
      </c>
      <c r="L2167" s="66" t="inlineStr">
        <is>
          <t>PROG_CTV_15s_OfferCut_v1</t>
        </is>
      </c>
      <c r="M2167" s="66" t="inlineStr">
        <is>
          <t>CTV 15s</t>
        </is>
      </c>
      <c r="N2167" s="66" t="inlineStr">
        <is>
          <t>Zero deposit offers end 31 August</t>
        </is>
      </c>
      <c r="O2167" s="66" t="inlineStr">
        <is>
          <t>Auction - Fixed CPM</t>
        </is>
      </c>
      <c r="P2167" s="66" t="inlineStr">
        <is>
          <t>Completed Views + CPA</t>
        </is>
      </c>
      <c r="Q2167" s="66" t="inlineStr">
        <is>
          <t>https://www.lepas-sa.co.za/offers</t>
        </is>
      </c>
      <c r="R2167" s="121" t="n">
        <v>101.27</v>
      </c>
      <c r="S2167" s="122" t="n">
        <v>2829</v>
      </c>
      <c r="T2167" s="122" t="n">
        <v>1848</v>
      </c>
      <c r="U2167" s="123">
        <f>IFERROR(S2167/T2167,"")</f>
        <v/>
      </c>
      <c r="V2167" s="122" t="n">
        <v>12</v>
      </c>
      <c r="W2167" s="122" t="n">
        <v>9</v>
      </c>
      <c r="X2167" s="124">
        <f>IFERROR(W2167/S2167,"")</f>
        <v/>
      </c>
      <c r="Y2167" s="121">
        <f>IFERROR(R2167/W2167,"")</f>
        <v/>
      </c>
      <c r="Z2167" s="121">
        <f>IFERROR(R2167/S2167*1000,"")</f>
        <v/>
      </c>
      <c r="AA2167" s="122" t="n">
        <v>5</v>
      </c>
      <c r="AB2167" s="54">
        <f>IFERROR(AA2167/W2167,"")</f>
        <v/>
      </c>
      <c r="AC2167" s="122" t="n">
        <v>903</v>
      </c>
      <c r="AD2167" s="122" t="n">
        <v>550</v>
      </c>
      <c r="AE2167" s="122" t="n">
        <v>491</v>
      </c>
      <c r="AF2167" s="122" t="n">
        <v>258</v>
      </c>
      <c r="AG2167" s="122" t="n">
        <v>205</v>
      </c>
      <c r="AH2167" s="122" t="n">
        <v>192</v>
      </c>
      <c r="AI2167" s="54">
        <f>IFERROR(AC2167/S2167,"")</f>
        <v/>
      </c>
      <c r="AJ2167" s="54">
        <f>IFERROR(AH2167/S2167,"")</f>
        <v/>
      </c>
      <c r="AK2167" s="122" t="n">
        <v>10</v>
      </c>
      <c r="AL2167" s="122" t="n">
        <v>0</v>
      </c>
      <c r="AM2167" s="124">
        <f>IFERROR(AL2167/AA2167,"")</f>
        <v/>
      </c>
      <c r="AN2167" s="125">
        <f>IFERROR(R2167/AL2167,"")</f>
        <v/>
      </c>
      <c r="AO2167" s="122" t="n">
        <v>0</v>
      </c>
      <c r="AP2167" s="54">
        <f>IFERROR(AO2167/AL2167,"")</f>
        <v/>
      </c>
      <c r="AQ2167" s="125">
        <f>IFERROR(R2167/AO2167,"")</f>
        <v/>
      </c>
      <c r="AR2167" s="122" t="n">
        <v>0</v>
      </c>
      <c r="AS2167" s="122" t="n">
        <v>0</v>
      </c>
      <c r="AT2167" s="122">
        <f>AL2167+AR2167</f>
        <v/>
      </c>
      <c r="AU2167" s="125">
        <f>IFERROR(AO2167*Assumptions!$C$26*Assumptions!$C$27*INDEX(Assumptions!$C$18:$C$21,MATCH(H2167,Assumptions!$B$18:$B$21,0)),0)</f>
        <v/>
      </c>
    </row>
    <row r="2168">
      <c r="A2168" s="120" t="n">
        <v>46246</v>
      </c>
      <c r="B2168" s="66" t="inlineStr">
        <is>
          <t>Wk 33</t>
        </is>
      </c>
      <c r="C2168" s="66" t="inlineStr">
        <is>
          <t>Wed</t>
        </is>
      </c>
      <c r="D2168" s="66" t="inlineStr">
        <is>
          <t>Programmatic</t>
        </is>
      </c>
      <c r="E2168" s="66" t="inlineStr">
        <is>
          <t>DV360</t>
        </is>
      </c>
      <c r="F2168" s="66" t="inlineStr">
        <is>
          <t>LEP_ZA_AUG26_PROG_TD_VIDEO_OLV</t>
        </is>
      </c>
      <c r="G2168" s="66" t="inlineStr">
        <is>
          <t>Online Video / CTV</t>
        </is>
      </c>
      <c r="H2168" s="66" t="inlineStr">
        <is>
          <t>Range</t>
        </is>
      </c>
      <c r="I2168" s="66" t="inlineStr">
        <is>
          <t>Range Offer</t>
        </is>
      </c>
      <c r="J2168" s="66" t="inlineStr">
        <is>
          <t>PROG_CTV_HOUSEHOLD</t>
        </is>
      </c>
      <c r="K2168" s="66" t="inlineStr">
        <is>
          <t>Prospecting</t>
        </is>
      </c>
      <c r="L2168" s="66" t="inlineStr">
        <is>
          <t>PROG_CTV_15s_OfferCut_v1</t>
        </is>
      </c>
      <c r="M2168" s="66" t="inlineStr">
        <is>
          <t>CTV 15s</t>
        </is>
      </c>
      <c r="N2168" s="66" t="inlineStr">
        <is>
          <t>Zero deposit offers end 31 August</t>
        </is>
      </c>
      <c r="O2168" s="66" t="inlineStr">
        <is>
          <t>Auction - Fixed CPM</t>
        </is>
      </c>
      <c r="P2168" s="66" t="inlineStr">
        <is>
          <t>Completed Views + CPA</t>
        </is>
      </c>
      <c r="Q2168" s="66" t="inlineStr">
        <is>
          <t>https://www.lepas-sa.co.za/offers</t>
        </is>
      </c>
      <c r="R2168" s="121" t="n">
        <v>101.11</v>
      </c>
      <c r="S2168" s="122" t="n">
        <v>3565</v>
      </c>
      <c r="T2168" s="122" t="n">
        <v>1417</v>
      </c>
      <c r="U2168" s="123">
        <f>IFERROR(S2168/T2168,"")</f>
        <v/>
      </c>
      <c r="V2168" s="122" t="n">
        <v>11</v>
      </c>
      <c r="W2168" s="122" t="n">
        <v>8</v>
      </c>
      <c r="X2168" s="124">
        <f>IFERROR(W2168/S2168,"")</f>
        <v/>
      </c>
      <c r="Y2168" s="121">
        <f>IFERROR(R2168/W2168,"")</f>
        <v/>
      </c>
      <c r="Z2168" s="121">
        <f>IFERROR(R2168/S2168*1000,"")</f>
        <v/>
      </c>
      <c r="AA2168" s="122" t="n">
        <v>5</v>
      </c>
      <c r="AB2168" s="54">
        <f>IFERROR(AA2168/W2168,"")</f>
        <v/>
      </c>
      <c r="AC2168" s="122" t="n">
        <v>1141</v>
      </c>
      <c r="AD2168" s="122" t="n">
        <v>627</v>
      </c>
      <c r="AE2168" s="122" t="n">
        <v>555</v>
      </c>
      <c r="AF2168" s="122" t="n">
        <v>381</v>
      </c>
      <c r="AG2168" s="122" t="n">
        <v>242</v>
      </c>
      <c r="AH2168" s="122" t="n">
        <v>223</v>
      </c>
      <c r="AI2168" s="54">
        <f>IFERROR(AC2168/S2168,"")</f>
        <v/>
      </c>
      <c r="AJ2168" s="54">
        <f>IFERROR(AH2168/S2168,"")</f>
        <v/>
      </c>
      <c r="AK2168" s="122" t="n">
        <v>12</v>
      </c>
      <c r="AL2168" s="122" t="n">
        <v>0</v>
      </c>
      <c r="AM2168" s="124">
        <f>IFERROR(AL2168/AA2168,"")</f>
        <v/>
      </c>
      <c r="AN2168" s="125">
        <f>IFERROR(R2168/AL2168,"")</f>
        <v/>
      </c>
      <c r="AO2168" s="122" t="n">
        <v>0</v>
      </c>
      <c r="AP2168" s="54">
        <f>IFERROR(AO2168/AL2168,"")</f>
        <v/>
      </c>
      <c r="AQ2168" s="125">
        <f>IFERROR(R2168/AO2168,"")</f>
        <v/>
      </c>
      <c r="AR2168" s="122" t="n">
        <v>0</v>
      </c>
      <c r="AS2168" s="122" t="n">
        <v>0</v>
      </c>
      <c r="AT2168" s="122">
        <f>AL2168+AR2168</f>
        <v/>
      </c>
      <c r="AU2168" s="125">
        <f>IFERROR(AO2168*Assumptions!$C$26*Assumptions!$C$27*INDEX(Assumptions!$C$18:$C$21,MATCH(H2168,Assumptions!$B$18:$B$21,0)),0)</f>
        <v/>
      </c>
    </row>
    <row r="2169">
      <c r="A2169" s="120" t="n">
        <v>46247</v>
      </c>
      <c r="B2169" s="66" t="inlineStr">
        <is>
          <t>Wk 33</t>
        </is>
      </c>
      <c r="C2169" s="66" t="inlineStr">
        <is>
          <t>Thu</t>
        </is>
      </c>
      <c r="D2169" s="66" t="inlineStr">
        <is>
          <t>Programmatic</t>
        </is>
      </c>
      <c r="E2169" s="66" t="inlineStr">
        <is>
          <t>DV360</t>
        </is>
      </c>
      <c r="F2169" s="66" t="inlineStr">
        <is>
          <t>LEP_ZA_AUG26_PROG_TD_VIDEO_OLV</t>
        </is>
      </c>
      <c r="G2169" s="66" t="inlineStr">
        <is>
          <t>Online Video / CTV</t>
        </is>
      </c>
      <c r="H2169" s="66" t="inlineStr">
        <is>
          <t>Range</t>
        </is>
      </c>
      <c r="I2169" s="66" t="inlineStr">
        <is>
          <t>Range Offer</t>
        </is>
      </c>
      <c r="J2169" s="66" t="inlineStr">
        <is>
          <t>PROG_CTV_HOUSEHOLD</t>
        </is>
      </c>
      <c r="K2169" s="66" t="inlineStr">
        <is>
          <t>Prospecting</t>
        </is>
      </c>
      <c r="L2169" s="66" t="inlineStr">
        <is>
          <t>PROG_CTV_15s_OfferCut_v1</t>
        </is>
      </c>
      <c r="M2169" s="66" t="inlineStr">
        <is>
          <t>CTV 15s</t>
        </is>
      </c>
      <c r="N2169" s="66" t="inlineStr">
        <is>
          <t>Zero deposit offers end 31 August</t>
        </is>
      </c>
      <c r="O2169" s="66" t="inlineStr">
        <is>
          <t>Auction - Fixed CPM</t>
        </is>
      </c>
      <c r="P2169" s="66" t="inlineStr">
        <is>
          <t>Completed Views + CPA</t>
        </is>
      </c>
      <c r="Q2169" s="66" t="inlineStr">
        <is>
          <t>https://www.lepas-sa.co.za/offers</t>
        </is>
      </c>
      <c r="R2169" s="121" t="n">
        <v>114.85</v>
      </c>
      <c r="S2169" s="122" t="n">
        <v>4049</v>
      </c>
      <c r="T2169" s="122" t="n">
        <v>1871</v>
      </c>
      <c r="U2169" s="123">
        <f>IFERROR(S2169/T2169,"")</f>
        <v/>
      </c>
      <c r="V2169" s="122" t="n">
        <v>8</v>
      </c>
      <c r="W2169" s="122" t="n">
        <v>7</v>
      </c>
      <c r="X2169" s="124">
        <f>IFERROR(W2169/S2169,"")</f>
        <v/>
      </c>
      <c r="Y2169" s="121">
        <f>IFERROR(R2169/W2169,"")</f>
        <v/>
      </c>
      <c r="Z2169" s="121">
        <f>IFERROR(R2169/S2169*1000,"")</f>
        <v/>
      </c>
      <c r="AA2169" s="122" t="n">
        <v>4</v>
      </c>
      <c r="AB2169" s="54">
        <f>IFERROR(AA2169/W2169,"")</f>
        <v/>
      </c>
      <c r="AC2169" s="122" t="n">
        <v>1611</v>
      </c>
      <c r="AD2169" s="122" t="n">
        <v>947</v>
      </c>
      <c r="AE2169" s="122" t="n">
        <v>810</v>
      </c>
      <c r="AF2169" s="122" t="n">
        <v>454</v>
      </c>
      <c r="AG2169" s="122" t="n">
        <v>335</v>
      </c>
      <c r="AH2169" s="122" t="n">
        <v>323</v>
      </c>
      <c r="AI2169" s="54">
        <f>IFERROR(AC2169/S2169,"")</f>
        <v/>
      </c>
      <c r="AJ2169" s="54">
        <f>IFERROR(AH2169/S2169,"")</f>
        <v/>
      </c>
      <c r="AK2169" s="122" t="n">
        <v>18</v>
      </c>
      <c r="AL2169" s="122" t="n">
        <v>0</v>
      </c>
      <c r="AM2169" s="124">
        <f>IFERROR(AL2169/AA2169,"")</f>
        <v/>
      </c>
      <c r="AN2169" s="125">
        <f>IFERROR(R2169/AL2169,"")</f>
        <v/>
      </c>
      <c r="AO2169" s="122" t="n">
        <v>0</v>
      </c>
      <c r="AP2169" s="54">
        <f>IFERROR(AO2169/AL2169,"")</f>
        <v/>
      </c>
      <c r="AQ2169" s="125">
        <f>IFERROR(R2169/AO2169,"")</f>
        <v/>
      </c>
      <c r="AR2169" s="122" t="n">
        <v>0</v>
      </c>
      <c r="AS2169" s="122" t="n">
        <v>0</v>
      </c>
      <c r="AT2169" s="122">
        <f>AL2169+AR2169</f>
        <v/>
      </c>
      <c r="AU2169" s="125">
        <f>IFERROR(AO2169*Assumptions!$C$26*Assumptions!$C$27*INDEX(Assumptions!$C$18:$C$21,MATCH(H2169,Assumptions!$B$18:$B$21,0)),0)</f>
        <v/>
      </c>
    </row>
    <row r="2170">
      <c r="A2170" s="120" t="n">
        <v>46248</v>
      </c>
      <c r="B2170" s="66" t="inlineStr">
        <is>
          <t>Wk 33</t>
        </is>
      </c>
      <c r="C2170" s="66" t="inlineStr">
        <is>
          <t>Fri</t>
        </is>
      </c>
      <c r="D2170" s="66" t="inlineStr">
        <is>
          <t>Programmatic</t>
        </is>
      </c>
      <c r="E2170" s="66" t="inlineStr">
        <is>
          <t>DV360</t>
        </is>
      </c>
      <c r="F2170" s="66" t="inlineStr">
        <is>
          <t>LEP_ZA_AUG26_PROG_TD_VIDEO_OLV</t>
        </is>
      </c>
      <c r="G2170" s="66" t="inlineStr">
        <is>
          <t>Online Video / CTV</t>
        </is>
      </c>
      <c r="H2170" s="66" t="inlineStr">
        <is>
          <t>Range</t>
        </is>
      </c>
      <c r="I2170" s="66" t="inlineStr">
        <is>
          <t>Range Offer</t>
        </is>
      </c>
      <c r="J2170" s="66" t="inlineStr">
        <is>
          <t>PROG_CTV_HOUSEHOLD</t>
        </is>
      </c>
      <c r="K2170" s="66" t="inlineStr">
        <is>
          <t>Prospecting</t>
        </is>
      </c>
      <c r="L2170" s="66" t="inlineStr">
        <is>
          <t>PROG_CTV_15s_OfferCut_v1</t>
        </is>
      </c>
      <c r="M2170" s="66" t="inlineStr">
        <is>
          <t>CTV 15s</t>
        </is>
      </c>
      <c r="N2170" s="66" t="inlineStr">
        <is>
          <t>Zero deposit offers end 31 August</t>
        </is>
      </c>
      <c r="O2170" s="66" t="inlineStr">
        <is>
          <t>Auction - Fixed CPM</t>
        </is>
      </c>
      <c r="P2170" s="66" t="inlineStr">
        <is>
          <t>Completed Views + CPA</t>
        </is>
      </c>
      <c r="Q2170" s="66" t="inlineStr">
        <is>
          <t>https://www.lepas-sa.co.za/offers</t>
        </is>
      </c>
      <c r="R2170" s="121" t="n">
        <v>116.93</v>
      </c>
      <c r="S2170" s="122" t="n">
        <v>4712</v>
      </c>
      <c r="T2170" s="122" t="n">
        <v>2019</v>
      </c>
      <c r="U2170" s="123">
        <f>IFERROR(S2170/T2170,"")</f>
        <v/>
      </c>
      <c r="V2170" s="122" t="n">
        <v>13</v>
      </c>
      <c r="W2170" s="122" t="n">
        <v>9</v>
      </c>
      <c r="X2170" s="124">
        <f>IFERROR(W2170/S2170,"")</f>
        <v/>
      </c>
      <c r="Y2170" s="121">
        <f>IFERROR(R2170/W2170,"")</f>
        <v/>
      </c>
      <c r="Z2170" s="121">
        <f>IFERROR(R2170/S2170*1000,"")</f>
        <v/>
      </c>
      <c r="AA2170" s="122" t="n">
        <v>6</v>
      </c>
      <c r="AB2170" s="54">
        <f>IFERROR(AA2170/W2170,"")</f>
        <v/>
      </c>
      <c r="AC2170" s="122" t="n">
        <v>1873</v>
      </c>
      <c r="AD2170" s="122" t="n">
        <v>902</v>
      </c>
      <c r="AE2170" s="122" t="n">
        <v>972</v>
      </c>
      <c r="AF2170" s="122" t="n">
        <v>536</v>
      </c>
      <c r="AG2170" s="122" t="n">
        <v>351</v>
      </c>
      <c r="AH2170" s="122" t="n">
        <v>318</v>
      </c>
      <c r="AI2170" s="54">
        <f>IFERROR(AC2170/S2170,"")</f>
        <v/>
      </c>
      <c r="AJ2170" s="54">
        <f>IFERROR(AH2170/S2170,"")</f>
        <v/>
      </c>
      <c r="AK2170" s="122" t="n">
        <v>26</v>
      </c>
      <c r="AL2170" s="122" t="n">
        <v>0</v>
      </c>
      <c r="AM2170" s="124">
        <f>IFERROR(AL2170/AA2170,"")</f>
        <v/>
      </c>
      <c r="AN2170" s="125">
        <f>IFERROR(R2170/AL2170,"")</f>
        <v/>
      </c>
      <c r="AO2170" s="122" t="n">
        <v>0</v>
      </c>
      <c r="AP2170" s="54">
        <f>IFERROR(AO2170/AL2170,"")</f>
        <v/>
      </c>
      <c r="AQ2170" s="125">
        <f>IFERROR(R2170/AO2170,"")</f>
        <v/>
      </c>
      <c r="AR2170" s="122" t="n">
        <v>0</v>
      </c>
      <c r="AS2170" s="122" t="n">
        <v>0</v>
      </c>
      <c r="AT2170" s="122">
        <f>AL2170+AR2170</f>
        <v/>
      </c>
      <c r="AU2170" s="125">
        <f>IFERROR(AO2170*Assumptions!$C$26*Assumptions!$C$27*INDEX(Assumptions!$C$18:$C$21,MATCH(H2170,Assumptions!$B$18:$B$21,0)),0)</f>
        <v/>
      </c>
    </row>
    <row r="2171">
      <c r="A2171" s="120" t="n">
        <v>46249</v>
      </c>
      <c r="B2171" s="66" t="inlineStr">
        <is>
          <t>Wk 33</t>
        </is>
      </c>
      <c r="C2171" s="66" t="inlineStr">
        <is>
          <t>Sat</t>
        </is>
      </c>
      <c r="D2171" s="66" t="inlineStr">
        <is>
          <t>Programmatic</t>
        </is>
      </c>
      <c r="E2171" s="66" t="inlineStr">
        <is>
          <t>DV360</t>
        </is>
      </c>
      <c r="F2171" s="66" t="inlineStr">
        <is>
          <t>LEP_ZA_AUG26_PROG_TD_VIDEO_OLV</t>
        </is>
      </c>
      <c r="G2171" s="66" t="inlineStr">
        <is>
          <t>Online Video / CTV</t>
        </is>
      </c>
      <c r="H2171" s="66" t="inlineStr">
        <is>
          <t>Range</t>
        </is>
      </c>
      <c r="I2171" s="66" t="inlineStr">
        <is>
          <t>Range Offer</t>
        </is>
      </c>
      <c r="J2171" s="66" t="inlineStr">
        <is>
          <t>PROG_CTV_HOUSEHOLD</t>
        </is>
      </c>
      <c r="K2171" s="66" t="inlineStr">
        <is>
          <t>Prospecting</t>
        </is>
      </c>
      <c r="L2171" s="66" t="inlineStr">
        <is>
          <t>PROG_CTV_15s_OfferCut_v1</t>
        </is>
      </c>
      <c r="M2171" s="66" t="inlineStr">
        <is>
          <t>CTV 15s</t>
        </is>
      </c>
      <c r="N2171" s="66" t="inlineStr">
        <is>
          <t>Zero deposit offers end 31 August</t>
        </is>
      </c>
      <c r="O2171" s="66" t="inlineStr">
        <is>
          <t>Auction - Fixed CPM</t>
        </is>
      </c>
      <c r="P2171" s="66" t="inlineStr">
        <is>
          <t>Completed Views + CPA</t>
        </is>
      </c>
      <c r="Q2171" s="66" t="inlineStr">
        <is>
          <t>https://www.lepas-sa.co.za/offers</t>
        </is>
      </c>
      <c r="R2171" s="121" t="n">
        <v>98.42</v>
      </c>
      <c r="S2171" s="122" t="n">
        <v>3395</v>
      </c>
      <c r="T2171" s="122" t="n">
        <v>1498</v>
      </c>
      <c r="U2171" s="123">
        <f>IFERROR(S2171/T2171,"")</f>
        <v/>
      </c>
      <c r="V2171" s="122" t="n">
        <v>8</v>
      </c>
      <c r="W2171" s="122" t="n">
        <v>6</v>
      </c>
      <c r="X2171" s="124">
        <f>IFERROR(W2171/S2171,"")</f>
        <v/>
      </c>
      <c r="Y2171" s="121">
        <f>IFERROR(R2171/W2171,"")</f>
        <v/>
      </c>
      <c r="Z2171" s="121">
        <f>IFERROR(R2171/S2171*1000,"")</f>
        <v/>
      </c>
      <c r="AA2171" s="122" t="n">
        <v>4</v>
      </c>
      <c r="AB2171" s="54">
        <f>IFERROR(AA2171/W2171,"")</f>
        <v/>
      </c>
      <c r="AC2171" s="122" t="n">
        <v>902</v>
      </c>
      <c r="AD2171" s="122" t="n">
        <v>530</v>
      </c>
      <c r="AE2171" s="122" t="n">
        <v>446</v>
      </c>
      <c r="AF2171" s="122" t="n">
        <v>237</v>
      </c>
      <c r="AG2171" s="122" t="n">
        <v>152</v>
      </c>
      <c r="AH2171" s="122" t="n">
        <v>148</v>
      </c>
      <c r="AI2171" s="54">
        <f>IFERROR(AC2171/S2171,"")</f>
        <v/>
      </c>
      <c r="AJ2171" s="54">
        <f>IFERROR(AH2171/S2171,"")</f>
        <v/>
      </c>
      <c r="AK2171" s="122" t="n">
        <v>9</v>
      </c>
      <c r="AL2171" s="122" t="n">
        <v>1</v>
      </c>
      <c r="AM2171" s="124">
        <f>IFERROR(AL2171/AA2171,"")</f>
        <v/>
      </c>
      <c r="AN2171" s="125">
        <f>IFERROR(R2171/AL2171,"")</f>
        <v/>
      </c>
      <c r="AO2171" s="122" t="n">
        <v>0</v>
      </c>
      <c r="AP2171" s="54">
        <f>IFERROR(AO2171/AL2171,"")</f>
        <v/>
      </c>
      <c r="AQ2171" s="125">
        <f>IFERROR(R2171/AO2171,"")</f>
        <v/>
      </c>
      <c r="AR2171" s="122" t="n">
        <v>2</v>
      </c>
      <c r="AS2171" s="122" t="n">
        <v>1</v>
      </c>
      <c r="AT2171" s="122">
        <f>AL2171+AR2171</f>
        <v/>
      </c>
      <c r="AU2171" s="125">
        <f>IFERROR(AO2171*Assumptions!$C$26*Assumptions!$C$27*INDEX(Assumptions!$C$18:$C$21,MATCH(H2171,Assumptions!$B$18:$B$21,0)),0)</f>
        <v/>
      </c>
    </row>
    <row r="2172">
      <c r="A2172" s="120" t="n">
        <v>46250</v>
      </c>
      <c r="B2172" s="66" t="inlineStr">
        <is>
          <t>Wk 33</t>
        </is>
      </c>
      <c r="C2172" s="66" t="inlineStr">
        <is>
          <t>Sun</t>
        </is>
      </c>
      <c r="D2172" s="66" t="inlineStr">
        <is>
          <t>Programmatic</t>
        </is>
      </c>
      <c r="E2172" s="66" t="inlineStr">
        <is>
          <t>DV360</t>
        </is>
      </c>
      <c r="F2172" s="66" t="inlineStr">
        <is>
          <t>LEP_ZA_AUG26_PROG_TD_VIDEO_OLV</t>
        </is>
      </c>
      <c r="G2172" s="66" t="inlineStr">
        <is>
          <t>Online Video / CTV</t>
        </is>
      </c>
      <c r="H2172" s="66" t="inlineStr">
        <is>
          <t>Range</t>
        </is>
      </c>
      <c r="I2172" s="66" t="inlineStr">
        <is>
          <t>Range Offer</t>
        </is>
      </c>
      <c r="J2172" s="66" t="inlineStr">
        <is>
          <t>PROG_CTV_HOUSEHOLD</t>
        </is>
      </c>
      <c r="K2172" s="66" t="inlineStr">
        <is>
          <t>Prospecting</t>
        </is>
      </c>
      <c r="L2172" s="66" t="inlineStr">
        <is>
          <t>PROG_CTV_15s_OfferCut_v1</t>
        </is>
      </c>
      <c r="M2172" s="66" t="inlineStr">
        <is>
          <t>CTV 15s</t>
        </is>
      </c>
      <c r="N2172" s="66" t="inlineStr">
        <is>
          <t>Zero deposit offers end 31 August</t>
        </is>
      </c>
      <c r="O2172" s="66" t="inlineStr">
        <is>
          <t>Auction - Fixed CPM</t>
        </is>
      </c>
      <c r="P2172" s="66" t="inlineStr">
        <is>
          <t>Completed Views + CPA</t>
        </is>
      </c>
      <c r="Q2172" s="66" t="inlineStr">
        <is>
          <t>https://www.lepas-sa.co.za/offers</t>
        </is>
      </c>
      <c r="R2172" s="121" t="n">
        <v>76.31999999999999</v>
      </c>
      <c r="S2172" s="122" t="n">
        <v>2245</v>
      </c>
      <c r="T2172" s="122" t="n">
        <v>1097</v>
      </c>
      <c r="U2172" s="123">
        <f>IFERROR(S2172/T2172,"")</f>
        <v/>
      </c>
      <c r="V2172" s="122" t="n">
        <v>10</v>
      </c>
      <c r="W2172" s="122" t="n">
        <v>8</v>
      </c>
      <c r="X2172" s="124">
        <f>IFERROR(W2172/S2172,"")</f>
        <v/>
      </c>
      <c r="Y2172" s="121">
        <f>IFERROR(R2172/W2172,"")</f>
        <v/>
      </c>
      <c r="Z2172" s="121">
        <f>IFERROR(R2172/S2172*1000,"")</f>
        <v/>
      </c>
      <c r="AA2172" s="122" t="n">
        <v>6</v>
      </c>
      <c r="AB2172" s="54">
        <f>IFERROR(AA2172/W2172,"")</f>
        <v/>
      </c>
      <c r="AC2172" s="122" t="n">
        <v>826</v>
      </c>
      <c r="AD2172" s="122" t="n">
        <v>398</v>
      </c>
      <c r="AE2172" s="122" t="n">
        <v>408</v>
      </c>
      <c r="AF2172" s="122" t="n">
        <v>277</v>
      </c>
      <c r="AG2172" s="122" t="n">
        <v>207</v>
      </c>
      <c r="AH2172" s="122" t="n">
        <v>190</v>
      </c>
      <c r="AI2172" s="54">
        <f>IFERROR(AC2172/S2172,"")</f>
        <v/>
      </c>
      <c r="AJ2172" s="54">
        <f>IFERROR(AH2172/S2172,"")</f>
        <v/>
      </c>
      <c r="AK2172" s="122" t="n">
        <v>5</v>
      </c>
      <c r="AL2172" s="122" t="n">
        <v>0</v>
      </c>
      <c r="AM2172" s="124">
        <f>IFERROR(AL2172/AA2172,"")</f>
        <v/>
      </c>
      <c r="AN2172" s="125">
        <f>IFERROR(R2172/AL2172,"")</f>
        <v/>
      </c>
      <c r="AO2172" s="122" t="n">
        <v>0</v>
      </c>
      <c r="AP2172" s="54">
        <f>IFERROR(AO2172/AL2172,"")</f>
        <v/>
      </c>
      <c r="AQ2172" s="125">
        <f>IFERROR(R2172/AO2172,"")</f>
        <v/>
      </c>
      <c r="AR2172" s="122" t="n">
        <v>0</v>
      </c>
      <c r="AS2172" s="122" t="n">
        <v>0</v>
      </c>
      <c r="AT2172" s="122">
        <f>AL2172+AR2172</f>
        <v/>
      </c>
      <c r="AU2172" s="125">
        <f>IFERROR(AO2172*Assumptions!$C$26*Assumptions!$C$27*INDEX(Assumptions!$C$18:$C$21,MATCH(H2172,Assumptions!$B$18:$B$21,0)),0)</f>
        <v/>
      </c>
    </row>
    <row r="2173">
      <c r="A2173" s="120" t="n">
        <v>46251</v>
      </c>
      <c r="B2173" s="66" t="inlineStr">
        <is>
          <t>Wk 34</t>
        </is>
      </c>
      <c r="C2173" s="66" t="inlineStr">
        <is>
          <t>Mon</t>
        </is>
      </c>
      <c r="D2173" s="66" t="inlineStr">
        <is>
          <t>Programmatic</t>
        </is>
      </c>
      <c r="E2173" s="66" t="inlineStr">
        <is>
          <t>DV360</t>
        </is>
      </c>
      <c r="F2173" s="66" t="inlineStr">
        <is>
          <t>LEP_ZA_AUG26_PROG_TD_VIDEO_OLV</t>
        </is>
      </c>
      <c r="G2173" s="66" t="inlineStr">
        <is>
          <t>Online Video / CTV</t>
        </is>
      </c>
      <c r="H2173" s="66" t="inlineStr">
        <is>
          <t>Range</t>
        </is>
      </c>
      <c r="I2173" s="66" t="inlineStr">
        <is>
          <t>Range Offer</t>
        </is>
      </c>
      <c r="J2173" s="66" t="inlineStr">
        <is>
          <t>PROG_CTV_HOUSEHOLD</t>
        </is>
      </c>
      <c r="K2173" s="66" t="inlineStr">
        <is>
          <t>Prospecting</t>
        </is>
      </c>
      <c r="L2173" s="66" t="inlineStr">
        <is>
          <t>PROG_CTV_15s_OfferCut_v1</t>
        </is>
      </c>
      <c r="M2173" s="66" t="inlineStr">
        <is>
          <t>CTV 15s</t>
        </is>
      </c>
      <c r="N2173" s="66" t="inlineStr">
        <is>
          <t>Zero deposit offers end 31 August</t>
        </is>
      </c>
      <c r="O2173" s="66" t="inlineStr">
        <is>
          <t>Auction - Fixed CPM</t>
        </is>
      </c>
      <c r="P2173" s="66" t="inlineStr">
        <is>
          <t>Completed Views + CPA</t>
        </is>
      </c>
      <c r="Q2173" s="66" t="inlineStr">
        <is>
          <t>https://www.lepas-sa.co.za/offers</t>
        </is>
      </c>
      <c r="R2173" s="121" t="n">
        <v>77.84999999999999</v>
      </c>
      <c r="S2173" s="122" t="n">
        <v>2746</v>
      </c>
      <c r="T2173" s="122" t="n">
        <v>1706</v>
      </c>
      <c r="U2173" s="123">
        <f>IFERROR(S2173/T2173,"")</f>
        <v/>
      </c>
      <c r="V2173" s="122" t="n">
        <v>10</v>
      </c>
      <c r="W2173" s="122" t="n">
        <v>8</v>
      </c>
      <c r="X2173" s="124">
        <f>IFERROR(W2173/S2173,"")</f>
        <v/>
      </c>
      <c r="Y2173" s="121">
        <f>IFERROR(R2173/W2173,"")</f>
        <v/>
      </c>
      <c r="Z2173" s="121">
        <f>IFERROR(R2173/S2173*1000,"")</f>
        <v/>
      </c>
      <c r="AA2173" s="122" t="n">
        <v>5</v>
      </c>
      <c r="AB2173" s="54">
        <f>IFERROR(AA2173/W2173,"")</f>
        <v/>
      </c>
      <c r="AC2173" s="122" t="n">
        <v>966</v>
      </c>
      <c r="AD2173" s="122" t="n">
        <v>541</v>
      </c>
      <c r="AE2173" s="122" t="n">
        <v>530</v>
      </c>
      <c r="AF2173" s="122" t="n">
        <v>327</v>
      </c>
      <c r="AG2173" s="122" t="n">
        <v>206</v>
      </c>
      <c r="AH2173" s="122" t="n">
        <v>189</v>
      </c>
      <c r="AI2173" s="54">
        <f>IFERROR(AC2173/S2173,"")</f>
        <v/>
      </c>
      <c r="AJ2173" s="54">
        <f>IFERROR(AH2173/S2173,"")</f>
        <v/>
      </c>
      <c r="AK2173" s="122" t="n">
        <v>8</v>
      </c>
      <c r="AL2173" s="122" t="n">
        <v>0</v>
      </c>
      <c r="AM2173" s="124">
        <f>IFERROR(AL2173/AA2173,"")</f>
        <v/>
      </c>
      <c r="AN2173" s="125">
        <f>IFERROR(R2173/AL2173,"")</f>
        <v/>
      </c>
      <c r="AO2173" s="122" t="n">
        <v>0</v>
      </c>
      <c r="AP2173" s="54">
        <f>IFERROR(AO2173/AL2173,"")</f>
        <v/>
      </c>
      <c r="AQ2173" s="125">
        <f>IFERROR(R2173/AO2173,"")</f>
        <v/>
      </c>
      <c r="AR2173" s="122" t="n">
        <v>0</v>
      </c>
      <c r="AS2173" s="122" t="n">
        <v>0</v>
      </c>
      <c r="AT2173" s="122">
        <f>AL2173+AR2173</f>
        <v/>
      </c>
      <c r="AU2173" s="125">
        <f>IFERROR(AO2173*Assumptions!$C$26*Assumptions!$C$27*INDEX(Assumptions!$C$18:$C$21,MATCH(H2173,Assumptions!$B$18:$B$21,0)),0)</f>
        <v/>
      </c>
    </row>
    <row r="2174">
      <c r="A2174" s="120" t="n">
        <v>46252</v>
      </c>
      <c r="B2174" s="66" t="inlineStr">
        <is>
          <t>Wk 34</t>
        </is>
      </c>
      <c r="C2174" s="66" t="inlineStr">
        <is>
          <t>Tue</t>
        </is>
      </c>
      <c r="D2174" s="66" t="inlineStr">
        <is>
          <t>Programmatic</t>
        </is>
      </c>
      <c r="E2174" s="66" t="inlineStr">
        <is>
          <t>DV360</t>
        </is>
      </c>
      <c r="F2174" s="66" t="inlineStr">
        <is>
          <t>LEP_ZA_AUG26_PROG_TD_VIDEO_OLV</t>
        </is>
      </c>
      <c r="G2174" s="66" t="inlineStr">
        <is>
          <t>Online Video / CTV</t>
        </is>
      </c>
      <c r="H2174" s="66" t="inlineStr">
        <is>
          <t>Range</t>
        </is>
      </c>
      <c r="I2174" s="66" t="inlineStr">
        <is>
          <t>Range Offer</t>
        </is>
      </c>
      <c r="J2174" s="66" t="inlineStr">
        <is>
          <t>PROG_CTV_HOUSEHOLD</t>
        </is>
      </c>
      <c r="K2174" s="66" t="inlineStr">
        <is>
          <t>Prospecting</t>
        </is>
      </c>
      <c r="L2174" s="66" t="inlineStr">
        <is>
          <t>PROG_CTV_15s_OfferCut_v1</t>
        </is>
      </c>
      <c r="M2174" s="66" t="inlineStr">
        <is>
          <t>CTV 15s</t>
        </is>
      </c>
      <c r="N2174" s="66" t="inlineStr">
        <is>
          <t>Zero deposit offers end 31 August</t>
        </is>
      </c>
      <c r="O2174" s="66" t="inlineStr">
        <is>
          <t>Auction - Fixed CPM</t>
        </is>
      </c>
      <c r="P2174" s="66" t="inlineStr">
        <is>
          <t>Completed Views + CPA</t>
        </is>
      </c>
      <c r="Q2174" s="66" t="inlineStr">
        <is>
          <t>https://www.lepas-sa.co.za/offers</t>
        </is>
      </c>
      <c r="R2174" s="121" t="n">
        <v>99.79000000000001</v>
      </c>
      <c r="S2174" s="122" t="n">
        <v>3328</v>
      </c>
      <c r="T2174" s="122" t="n">
        <v>1615</v>
      </c>
      <c r="U2174" s="123">
        <f>IFERROR(S2174/T2174,"")</f>
        <v/>
      </c>
      <c r="V2174" s="122" t="n">
        <v>3</v>
      </c>
      <c r="W2174" s="122" t="n">
        <v>2</v>
      </c>
      <c r="X2174" s="124">
        <f>IFERROR(W2174/S2174,"")</f>
        <v/>
      </c>
      <c r="Y2174" s="121">
        <f>IFERROR(R2174/W2174,"")</f>
        <v/>
      </c>
      <c r="Z2174" s="121">
        <f>IFERROR(R2174/S2174*1000,"")</f>
        <v/>
      </c>
      <c r="AA2174" s="122" t="n">
        <v>2</v>
      </c>
      <c r="AB2174" s="54">
        <f>IFERROR(AA2174/W2174,"")</f>
        <v/>
      </c>
      <c r="AC2174" s="122" t="n">
        <v>1020</v>
      </c>
      <c r="AD2174" s="122" t="n">
        <v>587</v>
      </c>
      <c r="AE2174" s="122" t="n">
        <v>510</v>
      </c>
      <c r="AF2174" s="122" t="n">
        <v>359</v>
      </c>
      <c r="AG2174" s="122" t="n">
        <v>264</v>
      </c>
      <c r="AH2174" s="122" t="n">
        <v>242</v>
      </c>
      <c r="AI2174" s="54">
        <f>IFERROR(AC2174/S2174,"")</f>
        <v/>
      </c>
      <c r="AJ2174" s="54">
        <f>IFERROR(AH2174/S2174,"")</f>
        <v/>
      </c>
      <c r="AK2174" s="122" t="n">
        <v>12</v>
      </c>
      <c r="AL2174" s="122" t="n">
        <v>0</v>
      </c>
      <c r="AM2174" s="124">
        <f>IFERROR(AL2174/AA2174,"")</f>
        <v/>
      </c>
      <c r="AN2174" s="125">
        <f>IFERROR(R2174/AL2174,"")</f>
        <v/>
      </c>
      <c r="AO2174" s="122" t="n">
        <v>0</v>
      </c>
      <c r="AP2174" s="54">
        <f>IFERROR(AO2174/AL2174,"")</f>
        <v/>
      </c>
      <c r="AQ2174" s="125">
        <f>IFERROR(R2174/AO2174,"")</f>
        <v/>
      </c>
      <c r="AR2174" s="122" t="n">
        <v>0</v>
      </c>
      <c r="AS2174" s="122" t="n">
        <v>0</v>
      </c>
      <c r="AT2174" s="122">
        <f>AL2174+AR2174</f>
        <v/>
      </c>
      <c r="AU2174" s="125">
        <f>IFERROR(AO2174*Assumptions!$C$26*Assumptions!$C$27*INDEX(Assumptions!$C$18:$C$21,MATCH(H2174,Assumptions!$B$18:$B$21,0)),0)</f>
        <v/>
      </c>
    </row>
    <row r="2175">
      <c r="A2175" s="120" t="n">
        <v>46253</v>
      </c>
      <c r="B2175" s="66" t="inlineStr">
        <is>
          <t>Wk 34</t>
        </is>
      </c>
      <c r="C2175" s="66" t="inlineStr">
        <is>
          <t>Wed</t>
        </is>
      </c>
      <c r="D2175" s="66" t="inlineStr">
        <is>
          <t>Programmatic</t>
        </is>
      </c>
      <c r="E2175" s="66" t="inlineStr">
        <is>
          <t>DV360</t>
        </is>
      </c>
      <c r="F2175" s="66" t="inlineStr">
        <is>
          <t>LEP_ZA_AUG26_PROG_TD_VIDEO_OLV</t>
        </is>
      </c>
      <c r="G2175" s="66" t="inlineStr">
        <is>
          <t>Online Video / CTV</t>
        </is>
      </c>
      <c r="H2175" s="66" t="inlineStr">
        <is>
          <t>Range</t>
        </is>
      </c>
      <c r="I2175" s="66" t="inlineStr">
        <is>
          <t>Range Offer</t>
        </is>
      </c>
      <c r="J2175" s="66" t="inlineStr">
        <is>
          <t>PROG_CTV_HOUSEHOLD</t>
        </is>
      </c>
      <c r="K2175" s="66" t="inlineStr">
        <is>
          <t>Prospecting</t>
        </is>
      </c>
      <c r="L2175" s="66" t="inlineStr">
        <is>
          <t>PROG_CTV_15s_OfferCut_v1</t>
        </is>
      </c>
      <c r="M2175" s="66" t="inlineStr">
        <is>
          <t>CTV 15s</t>
        </is>
      </c>
      <c r="N2175" s="66" t="inlineStr">
        <is>
          <t>Zero deposit offers end 31 August</t>
        </is>
      </c>
      <c r="O2175" s="66" t="inlineStr">
        <is>
          <t>Auction - Fixed CPM</t>
        </is>
      </c>
      <c r="P2175" s="66" t="inlineStr">
        <is>
          <t>Completed Views + CPA</t>
        </is>
      </c>
      <c r="Q2175" s="66" t="inlineStr">
        <is>
          <t>https://www.lepas-sa.co.za/offers</t>
        </is>
      </c>
      <c r="R2175" s="121" t="n">
        <v>101.8</v>
      </c>
      <c r="S2175" s="122" t="n">
        <v>4162</v>
      </c>
      <c r="T2175" s="122" t="n">
        <v>1599</v>
      </c>
      <c r="U2175" s="123">
        <f>IFERROR(S2175/T2175,"")</f>
        <v/>
      </c>
      <c r="V2175" s="122" t="n">
        <v>11</v>
      </c>
      <c r="W2175" s="122" t="n">
        <v>8</v>
      </c>
      <c r="X2175" s="124">
        <f>IFERROR(W2175/S2175,"")</f>
        <v/>
      </c>
      <c r="Y2175" s="121">
        <f>IFERROR(R2175/W2175,"")</f>
        <v/>
      </c>
      <c r="Z2175" s="121">
        <f>IFERROR(R2175/S2175*1000,"")</f>
        <v/>
      </c>
      <c r="AA2175" s="122" t="n">
        <v>6</v>
      </c>
      <c r="AB2175" s="54">
        <f>IFERROR(AA2175/W2175,"")</f>
        <v/>
      </c>
      <c r="AC2175" s="122" t="n">
        <v>1149</v>
      </c>
      <c r="AD2175" s="122" t="n">
        <v>549</v>
      </c>
      <c r="AE2175" s="122" t="n">
        <v>624</v>
      </c>
      <c r="AF2175" s="122" t="n">
        <v>386</v>
      </c>
      <c r="AG2175" s="122" t="n">
        <v>267</v>
      </c>
      <c r="AH2175" s="122" t="n">
        <v>242</v>
      </c>
      <c r="AI2175" s="54">
        <f>IFERROR(AC2175/S2175,"")</f>
        <v/>
      </c>
      <c r="AJ2175" s="54">
        <f>IFERROR(AH2175/S2175,"")</f>
        <v/>
      </c>
      <c r="AK2175" s="122" t="n">
        <v>10</v>
      </c>
      <c r="AL2175" s="122" t="n">
        <v>0</v>
      </c>
      <c r="AM2175" s="124">
        <f>IFERROR(AL2175/AA2175,"")</f>
        <v/>
      </c>
      <c r="AN2175" s="125">
        <f>IFERROR(R2175/AL2175,"")</f>
        <v/>
      </c>
      <c r="AO2175" s="122" t="n">
        <v>0</v>
      </c>
      <c r="AP2175" s="54">
        <f>IFERROR(AO2175/AL2175,"")</f>
        <v/>
      </c>
      <c r="AQ2175" s="125">
        <f>IFERROR(R2175/AO2175,"")</f>
        <v/>
      </c>
      <c r="AR2175" s="122" t="n">
        <v>0</v>
      </c>
      <c r="AS2175" s="122" t="n">
        <v>0</v>
      </c>
      <c r="AT2175" s="122">
        <f>AL2175+AR2175</f>
        <v/>
      </c>
      <c r="AU2175" s="125">
        <f>IFERROR(AO2175*Assumptions!$C$26*Assumptions!$C$27*INDEX(Assumptions!$C$18:$C$21,MATCH(H2175,Assumptions!$B$18:$B$21,0)),0)</f>
        <v/>
      </c>
    </row>
    <row r="2176">
      <c r="A2176" s="120" t="n">
        <v>46254</v>
      </c>
      <c r="B2176" s="66" t="inlineStr">
        <is>
          <t>Wk 34</t>
        </is>
      </c>
      <c r="C2176" s="66" t="inlineStr">
        <is>
          <t>Thu</t>
        </is>
      </c>
      <c r="D2176" s="66" t="inlineStr">
        <is>
          <t>Programmatic</t>
        </is>
      </c>
      <c r="E2176" s="66" t="inlineStr">
        <is>
          <t>DV360</t>
        </is>
      </c>
      <c r="F2176" s="66" t="inlineStr">
        <is>
          <t>LEP_ZA_AUG26_PROG_TD_VIDEO_OLV</t>
        </is>
      </c>
      <c r="G2176" s="66" t="inlineStr">
        <is>
          <t>Online Video / CTV</t>
        </is>
      </c>
      <c r="H2176" s="66" t="inlineStr">
        <is>
          <t>Range</t>
        </is>
      </c>
      <c r="I2176" s="66" t="inlineStr">
        <is>
          <t>Range Offer</t>
        </is>
      </c>
      <c r="J2176" s="66" t="inlineStr">
        <is>
          <t>PROG_CTV_HOUSEHOLD</t>
        </is>
      </c>
      <c r="K2176" s="66" t="inlineStr">
        <is>
          <t>Prospecting</t>
        </is>
      </c>
      <c r="L2176" s="66" t="inlineStr">
        <is>
          <t>PROG_CTV_15s_OfferCut_v1</t>
        </is>
      </c>
      <c r="M2176" s="66" t="inlineStr">
        <is>
          <t>CTV 15s</t>
        </is>
      </c>
      <c r="N2176" s="66" t="inlineStr">
        <is>
          <t>Zero deposit offers end 31 August</t>
        </is>
      </c>
      <c r="O2176" s="66" t="inlineStr">
        <is>
          <t>Auction - Fixed CPM</t>
        </is>
      </c>
      <c r="P2176" s="66" t="inlineStr">
        <is>
          <t>Completed Views + CPA</t>
        </is>
      </c>
      <c r="Q2176" s="66" t="inlineStr">
        <is>
          <t>https://www.lepas-sa.co.za/offers</t>
        </is>
      </c>
      <c r="R2176" s="121" t="n">
        <v>110.45</v>
      </c>
      <c r="S2176" s="122" t="n">
        <v>5175</v>
      </c>
      <c r="T2176" s="122" t="n">
        <v>2433</v>
      </c>
      <c r="U2176" s="123">
        <f>IFERROR(S2176/T2176,"")</f>
        <v/>
      </c>
      <c r="V2176" s="122" t="n">
        <v>7</v>
      </c>
      <c r="W2176" s="122" t="n">
        <v>5</v>
      </c>
      <c r="X2176" s="124">
        <f>IFERROR(W2176/S2176,"")</f>
        <v/>
      </c>
      <c r="Y2176" s="121">
        <f>IFERROR(R2176/W2176,"")</f>
        <v/>
      </c>
      <c r="Z2176" s="121">
        <f>IFERROR(R2176/S2176*1000,"")</f>
        <v/>
      </c>
      <c r="AA2176" s="122" t="n">
        <v>3</v>
      </c>
      <c r="AB2176" s="54">
        <f>IFERROR(AA2176/W2176,"")</f>
        <v/>
      </c>
      <c r="AC2176" s="122" t="n">
        <v>1459</v>
      </c>
      <c r="AD2176" s="122" t="n">
        <v>748</v>
      </c>
      <c r="AE2176" s="122" t="n">
        <v>780</v>
      </c>
      <c r="AF2176" s="122" t="n">
        <v>464</v>
      </c>
      <c r="AG2176" s="122" t="n">
        <v>334</v>
      </c>
      <c r="AH2176" s="122" t="n">
        <v>309</v>
      </c>
      <c r="AI2176" s="54">
        <f>IFERROR(AC2176/S2176,"")</f>
        <v/>
      </c>
      <c r="AJ2176" s="54">
        <f>IFERROR(AH2176/S2176,"")</f>
        <v/>
      </c>
      <c r="AK2176" s="122" t="n">
        <v>15</v>
      </c>
      <c r="AL2176" s="122" t="n">
        <v>0</v>
      </c>
      <c r="AM2176" s="124">
        <f>IFERROR(AL2176/AA2176,"")</f>
        <v/>
      </c>
      <c r="AN2176" s="125">
        <f>IFERROR(R2176/AL2176,"")</f>
        <v/>
      </c>
      <c r="AO2176" s="122" t="n">
        <v>0</v>
      </c>
      <c r="AP2176" s="54">
        <f>IFERROR(AO2176/AL2176,"")</f>
        <v/>
      </c>
      <c r="AQ2176" s="125">
        <f>IFERROR(R2176/AO2176,"")</f>
        <v/>
      </c>
      <c r="AR2176" s="122" t="n">
        <v>0</v>
      </c>
      <c r="AS2176" s="122" t="n">
        <v>0</v>
      </c>
      <c r="AT2176" s="122">
        <f>AL2176+AR2176</f>
        <v/>
      </c>
      <c r="AU2176" s="125">
        <f>IFERROR(AO2176*Assumptions!$C$26*Assumptions!$C$27*INDEX(Assumptions!$C$18:$C$21,MATCH(H2176,Assumptions!$B$18:$B$21,0)),0)</f>
        <v/>
      </c>
    </row>
    <row r="2177">
      <c r="A2177" s="120" t="n">
        <v>46255</v>
      </c>
      <c r="B2177" s="66" t="inlineStr">
        <is>
          <t>Wk 34</t>
        </is>
      </c>
      <c r="C2177" s="66" t="inlineStr">
        <is>
          <t>Fri</t>
        </is>
      </c>
      <c r="D2177" s="66" t="inlineStr">
        <is>
          <t>Programmatic</t>
        </is>
      </c>
      <c r="E2177" s="66" t="inlineStr">
        <is>
          <t>DV360</t>
        </is>
      </c>
      <c r="F2177" s="66" t="inlineStr">
        <is>
          <t>LEP_ZA_AUG26_PROG_TD_VIDEO_OLV</t>
        </is>
      </c>
      <c r="G2177" s="66" t="inlineStr">
        <is>
          <t>Online Video / CTV</t>
        </is>
      </c>
      <c r="H2177" s="66" t="inlineStr">
        <is>
          <t>Range</t>
        </is>
      </c>
      <c r="I2177" s="66" t="inlineStr">
        <is>
          <t>Range Offer</t>
        </is>
      </c>
      <c r="J2177" s="66" t="inlineStr">
        <is>
          <t>PROG_CTV_HOUSEHOLD</t>
        </is>
      </c>
      <c r="K2177" s="66" t="inlineStr">
        <is>
          <t>Prospecting</t>
        </is>
      </c>
      <c r="L2177" s="66" t="inlineStr">
        <is>
          <t>PROG_CTV_15s_OfferCut_v1</t>
        </is>
      </c>
      <c r="M2177" s="66" t="inlineStr">
        <is>
          <t>CTV 15s</t>
        </is>
      </c>
      <c r="N2177" s="66" t="inlineStr">
        <is>
          <t>Zero deposit offers end 31 August</t>
        </is>
      </c>
      <c r="O2177" s="66" t="inlineStr">
        <is>
          <t>Auction - Fixed CPM</t>
        </is>
      </c>
      <c r="P2177" s="66" t="inlineStr">
        <is>
          <t>Completed Views + CPA</t>
        </is>
      </c>
      <c r="Q2177" s="66" t="inlineStr">
        <is>
          <t>https://www.lepas-sa.co.za/offers</t>
        </is>
      </c>
      <c r="R2177" s="121" t="n">
        <v>108.12</v>
      </c>
      <c r="S2177" s="122" t="n">
        <v>6002</v>
      </c>
      <c r="T2177" s="122" t="n">
        <v>2215</v>
      </c>
      <c r="U2177" s="123">
        <f>IFERROR(S2177/T2177,"")</f>
        <v/>
      </c>
      <c r="V2177" s="122" t="n">
        <v>10</v>
      </c>
      <c r="W2177" s="122" t="n">
        <v>8</v>
      </c>
      <c r="X2177" s="124">
        <f>IFERROR(W2177/S2177,"")</f>
        <v/>
      </c>
      <c r="Y2177" s="121">
        <f>IFERROR(R2177/W2177,"")</f>
        <v/>
      </c>
      <c r="Z2177" s="121">
        <f>IFERROR(R2177/S2177*1000,"")</f>
        <v/>
      </c>
      <c r="AA2177" s="122" t="n">
        <v>5</v>
      </c>
      <c r="AB2177" s="54">
        <f>IFERROR(AA2177/W2177,"")</f>
        <v/>
      </c>
      <c r="AC2177" s="122" t="n">
        <v>2284</v>
      </c>
      <c r="AD2177" s="122" t="n">
        <v>1310</v>
      </c>
      <c r="AE2177" s="122" t="n">
        <v>1101</v>
      </c>
      <c r="AF2177" s="122" t="n">
        <v>767</v>
      </c>
      <c r="AG2177" s="122" t="n">
        <v>549</v>
      </c>
      <c r="AH2177" s="122" t="n">
        <v>498</v>
      </c>
      <c r="AI2177" s="54">
        <f>IFERROR(AC2177/S2177,"")</f>
        <v/>
      </c>
      <c r="AJ2177" s="54">
        <f>IFERROR(AH2177/S2177,"")</f>
        <v/>
      </c>
      <c r="AK2177" s="122" t="n">
        <v>9</v>
      </c>
      <c r="AL2177" s="122" t="n">
        <v>0</v>
      </c>
      <c r="AM2177" s="124">
        <f>IFERROR(AL2177/AA2177,"")</f>
        <v/>
      </c>
      <c r="AN2177" s="125">
        <f>IFERROR(R2177/AL2177,"")</f>
        <v/>
      </c>
      <c r="AO2177" s="122" t="n">
        <v>0</v>
      </c>
      <c r="AP2177" s="54">
        <f>IFERROR(AO2177/AL2177,"")</f>
        <v/>
      </c>
      <c r="AQ2177" s="125">
        <f>IFERROR(R2177/AO2177,"")</f>
        <v/>
      </c>
      <c r="AR2177" s="122" t="n">
        <v>0</v>
      </c>
      <c r="AS2177" s="122" t="n">
        <v>0</v>
      </c>
      <c r="AT2177" s="122">
        <f>AL2177+AR2177</f>
        <v/>
      </c>
      <c r="AU2177" s="125">
        <f>IFERROR(AO2177*Assumptions!$C$26*Assumptions!$C$27*INDEX(Assumptions!$C$18:$C$21,MATCH(H2177,Assumptions!$B$18:$B$21,0)),0)</f>
        <v/>
      </c>
    </row>
    <row r="2178">
      <c r="A2178" s="120" t="n">
        <v>46256</v>
      </c>
      <c r="B2178" s="66" t="inlineStr">
        <is>
          <t>Wk 34</t>
        </is>
      </c>
      <c r="C2178" s="66" t="inlineStr">
        <is>
          <t>Sat</t>
        </is>
      </c>
      <c r="D2178" s="66" t="inlineStr">
        <is>
          <t>Programmatic</t>
        </is>
      </c>
      <c r="E2178" s="66" t="inlineStr">
        <is>
          <t>DV360</t>
        </is>
      </c>
      <c r="F2178" s="66" t="inlineStr">
        <is>
          <t>LEP_ZA_AUG26_PROG_TD_VIDEO_OLV</t>
        </is>
      </c>
      <c r="G2178" s="66" t="inlineStr">
        <is>
          <t>Online Video / CTV</t>
        </is>
      </c>
      <c r="H2178" s="66" t="inlineStr">
        <is>
          <t>Range</t>
        </is>
      </c>
      <c r="I2178" s="66" t="inlineStr">
        <is>
          <t>Range Offer</t>
        </is>
      </c>
      <c r="J2178" s="66" t="inlineStr">
        <is>
          <t>PROG_CTV_HOUSEHOLD</t>
        </is>
      </c>
      <c r="K2178" s="66" t="inlineStr">
        <is>
          <t>Prospecting</t>
        </is>
      </c>
      <c r="L2178" s="66" t="inlineStr">
        <is>
          <t>PROG_CTV_15s_OfferCut_v1</t>
        </is>
      </c>
      <c r="M2178" s="66" t="inlineStr">
        <is>
          <t>CTV 15s</t>
        </is>
      </c>
      <c r="N2178" s="66" t="inlineStr">
        <is>
          <t>Zero deposit offers end 31 August</t>
        </is>
      </c>
      <c r="O2178" s="66" t="inlineStr">
        <is>
          <t>Auction - Fixed CPM</t>
        </is>
      </c>
      <c r="P2178" s="66" t="inlineStr">
        <is>
          <t>Completed Views + CPA</t>
        </is>
      </c>
      <c r="Q2178" s="66" t="inlineStr">
        <is>
          <t>https://www.lepas-sa.co.za/offers</t>
        </is>
      </c>
      <c r="R2178" s="121" t="n">
        <v>114.08</v>
      </c>
      <c r="S2178" s="122" t="n">
        <v>5026</v>
      </c>
      <c r="T2178" s="122" t="n">
        <v>2209</v>
      </c>
      <c r="U2178" s="123">
        <f>IFERROR(S2178/T2178,"")</f>
        <v/>
      </c>
      <c r="V2178" s="122" t="n">
        <v>18</v>
      </c>
      <c r="W2178" s="122" t="n">
        <v>14</v>
      </c>
      <c r="X2178" s="124">
        <f>IFERROR(W2178/S2178,"")</f>
        <v/>
      </c>
      <c r="Y2178" s="121">
        <f>IFERROR(R2178/W2178,"")</f>
        <v/>
      </c>
      <c r="Z2178" s="121">
        <f>IFERROR(R2178/S2178*1000,"")</f>
        <v/>
      </c>
      <c r="AA2178" s="122" t="n">
        <v>9</v>
      </c>
      <c r="AB2178" s="54">
        <f>IFERROR(AA2178/W2178,"")</f>
        <v/>
      </c>
      <c r="AC2178" s="122" t="n">
        <v>1957</v>
      </c>
      <c r="AD2178" s="122" t="n">
        <v>1095</v>
      </c>
      <c r="AE2178" s="122" t="n">
        <v>837</v>
      </c>
      <c r="AF2178" s="122" t="n">
        <v>547</v>
      </c>
      <c r="AG2178" s="122" t="n">
        <v>425</v>
      </c>
      <c r="AH2178" s="122" t="n">
        <v>405</v>
      </c>
      <c r="AI2178" s="54">
        <f>IFERROR(AC2178/S2178,"")</f>
        <v/>
      </c>
      <c r="AJ2178" s="54">
        <f>IFERROR(AH2178/S2178,"")</f>
        <v/>
      </c>
      <c r="AK2178" s="122" t="n">
        <v>29</v>
      </c>
      <c r="AL2178" s="122" t="n">
        <v>0</v>
      </c>
      <c r="AM2178" s="124">
        <f>IFERROR(AL2178/AA2178,"")</f>
        <v/>
      </c>
      <c r="AN2178" s="125">
        <f>IFERROR(R2178/AL2178,"")</f>
        <v/>
      </c>
      <c r="AO2178" s="122" t="n">
        <v>0</v>
      </c>
      <c r="AP2178" s="54">
        <f>IFERROR(AO2178/AL2178,"")</f>
        <v/>
      </c>
      <c r="AQ2178" s="125">
        <f>IFERROR(R2178/AO2178,"")</f>
        <v/>
      </c>
      <c r="AR2178" s="122" t="n">
        <v>0</v>
      </c>
      <c r="AS2178" s="122" t="n">
        <v>0</v>
      </c>
      <c r="AT2178" s="122">
        <f>AL2178+AR2178</f>
        <v/>
      </c>
      <c r="AU2178" s="125">
        <f>IFERROR(AO2178*Assumptions!$C$26*Assumptions!$C$27*INDEX(Assumptions!$C$18:$C$21,MATCH(H2178,Assumptions!$B$18:$B$21,0)),0)</f>
        <v/>
      </c>
    </row>
    <row r="2179">
      <c r="A2179" s="120" t="n">
        <v>46257</v>
      </c>
      <c r="B2179" s="66" t="inlineStr">
        <is>
          <t>Wk 34</t>
        </is>
      </c>
      <c r="C2179" s="66" t="inlineStr">
        <is>
          <t>Sun</t>
        </is>
      </c>
      <c r="D2179" s="66" t="inlineStr">
        <is>
          <t>Programmatic</t>
        </is>
      </c>
      <c r="E2179" s="66" t="inlineStr">
        <is>
          <t>DV360</t>
        </is>
      </c>
      <c r="F2179" s="66" t="inlineStr">
        <is>
          <t>LEP_ZA_AUG26_PROG_TD_VIDEO_OLV</t>
        </is>
      </c>
      <c r="G2179" s="66" t="inlineStr">
        <is>
          <t>Online Video / CTV</t>
        </is>
      </c>
      <c r="H2179" s="66" t="inlineStr">
        <is>
          <t>Range</t>
        </is>
      </c>
      <c r="I2179" s="66" t="inlineStr">
        <is>
          <t>Range Offer</t>
        </is>
      </c>
      <c r="J2179" s="66" t="inlineStr">
        <is>
          <t>PROG_CTV_HOUSEHOLD</t>
        </is>
      </c>
      <c r="K2179" s="66" t="inlineStr">
        <is>
          <t>Prospecting</t>
        </is>
      </c>
      <c r="L2179" s="66" t="inlineStr">
        <is>
          <t>PROG_CTV_15s_OfferCut_v1</t>
        </is>
      </c>
      <c r="M2179" s="66" t="inlineStr">
        <is>
          <t>CTV 15s</t>
        </is>
      </c>
      <c r="N2179" s="66" t="inlineStr">
        <is>
          <t>Zero deposit offers end 31 August</t>
        </is>
      </c>
      <c r="O2179" s="66" t="inlineStr">
        <is>
          <t>Auction - Fixed CPM</t>
        </is>
      </c>
      <c r="P2179" s="66" t="inlineStr">
        <is>
          <t>Completed Views + CPA</t>
        </is>
      </c>
      <c r="Q2179" s="66" t="inlineStr">
        <is>
          <t>https://www.lepas-sa.co.za/offers</t>
        </is>
      </c>
      <c r="R2179" s="121" t="n">
        <v>83.67</v>
      </c>
      <c r="S2179" s="122" t="n">
        <v>4005</v>
      </c>
      <c r="T2179" s="122" t="n">
        <v>2463</v>
      </c>
      <c r="U2179" s="123">
        <f>IFERROR(S2179/T2179,"")</f>
        <v/>
      </c>
      <c r="V2179" s="122" t="n">
        <v>10</v>
      </c>
      <c r="W2179" s="122" t="n">
        <v>8</v>
      </c>
      <c r="X2179" s="124">
        <f>IFERROR(W2179/S2179,"")</f>
        <v/>
      </c>
      <c r="Y2179" s="121">
        <f>IFERROR(R2179/W2179,"")</f>
        <v/>
      </c>
      <c r="Z2179" s="121">
        <f>IFERROR(R2179/S2179*1000,"")</f>
        <v/>
      </c>
      <c r="AA2179" s="122" t="n">
        <v>5</v>
      </c>
      <c r="AB2179" s="54">
        <f>IFERROR(AA2179/W2179,"")</f>
        <v/>
      </c>
      <c r="AC2179" s="122" t="n">
        <v>1140</v>
      </c>
      <c r="AD2179" s="122" t="n">
        <v>692</v>
      </c>
      <c r="AE2179" s="122" t="n">
        <v>550</v>
      </c>
      <c r="AF2179" s="122" t="n">
        <v>350</v>
      </c>
      <c r="AG2179" s="122" t="n">
        <v>245</v>
      </c>
      <c r="AH2179" s="122" t="n">
        <v>227</v>
      </c>
      <c r="AI2179" s="54">
        <f>IFERROR(AC2179/S2179,"")</f>
        <v/>
      </c>
      <c r="AJ2179" s="54">
        <f>IFERROR(AH2179/S2179,"")</f>
        <v/>
      </c>
      <c r="AK2179" s="122" t="n">
        <v>10</v>
      </c>
      <c r="AL2179" s="122" t="n">
        <v>0</v>
      </c>
      <c r="AM2179" s="124">
        <f>IFERROR(AL2179/AA2179,"")</f>
        <v/>
      </c>
      <c r="AN2179" s="125">
        <f>IFERROR(R2179/AL2179,"")</f>
        <v/>
      </c>
      <c r="AO2179" s="122" t="n">
        <v>0</v>
      </c>
      <c r="AP2179" s="54">
        <f>IFERROR(AO2179/AL2179,"")</f>
        <v/>
      </c>
      <c r="AQ2179" s="125">
        <f>IFERROR(R2179/AO2179,"")</f>
        <v/>
      </c>
      <c r="AR2179" s="122" t="n">
        <v>0</v>
      </c>
      <c r="AS2179" s="122" t="n">
        <v>0</v>
      </c>
      <c r="AT2179" s="122">
        <f>AL2179+AR2179</f>
        <v/>
      </c>
      <c r="AU2179" s="125">
        <f>IFERROR(AO2179*Assumptions!$C$26*Assumptions!$C$27*INDEX(Assumptions!$C$18:$C$21,MATCH(H2179,Assumptions!$B$18:$B$21,0)),0)</f>
        <v/>
      </c>
    </row>
    <row r="2180">
      <c r="A2180" s="120" t="n">
        <v>46258</v>
      </c>
      <c r="B2180" s="66" t="inlineStr">
        <is>
          <t>Wk 35</t>
        </is>
      </c>
      <c r="C2180" s="66" t="inlineStr">
        <is>
          <t>Mon</t>
        </is>
      </c>
      <c r="D2180" s="66" t="inlineStr">
        <is>
          <t>Programmatic</t>
        </is>
      </c>
      <c r="E2180" s="66" t="inlineStr">
        <is>
          <t>DV360</t>
        </is>
      </c>
      <c r="F2180" s="66" t="inlineStr">
        <is>
          <t>LEP_ZA_AUG26_PROG_TD_VIDEO_OLV</t>
        </is>
      </c>
      <c r="G2180" s="66" t="inlineStr">
        <is>
          <t>Online Video / CTV</t>
        </is>
      </c>
      <c r="H2180" s="66" t="inlineStr">
        <is>
          <t>Range</t>
        </is>
      </c>
      <c r="I2180" s="66" t="inlineStr">
        <is>
          <t>Range Offer</t>
        </is>
      </c>
      <c r="J2180" s="66" t="inlineStr">
        <is>
          <t>PROG_CTV_HOUSEHOLD</t>
        </is>
      </c>
      <c r="K2180" s="66" t="inlineStr">
        <is>
          <t>Prospecting</t>
        </is>
      </c>
      <c r="L2180" s="66" t="inlineStr">
        <is>
          <t>PROG_CTV_15s_OfferCut_v1</t>
        </is>
      </c>
      <c r="M2180" s="66" t="inlineStr">
        <is>
          <t>CTV 15s</t>
        </is>
      </c>
      <c r="N2180" s="66" t="inlineStr">
        <is>
          <t>Zero deposit offers end 31 August</t>
        </is>
      </c>
      <c r="O2180" s="66" t="inlineStr">
        <is>
          <t>Auction - Fixed CPM</t>
        </is>
      </c>
      <c r="P2180" s="66" t="inlineStr">
        <is>
          <t>Completed Views + CPA</t>
        </is>
      </c>
      <c r="Q2180" s="66" t="inlineStr">
        <is>
          <t>https://www.lepas-sa.co.za/offers</t>
        </is>
      </c>
      <c r="R2180" s="121" t="n">
        <v>83.26000000000001</v>
      </c>
      <c r="S2180" s="122" t="n">
        <v>2672</v>
      </c>
      <c r="T2180" s="122" t="n">
        <v>1149</v>
      </c>
      <c r="U2180" s="123">
        <f>IFERROR(S2180/T2180,"")</f>
        <v/>
      </c>
      <c r="V2180" s="122" t="n">
        <v>8</v>
      </c>
      <c r="W2180" s="122" t="n">
        <v>6</v>
      </c>
      <c r="X2180" s="124">
        <f>IFERROR(W2180/S2180,"")</f>
        <v/>
      </c>
      <c r="Y2180" s="121">
        <f>IFERROR(R2180/W2180,"")</f>
        <v/>
      </c>
      <c r="Z2180" s="121">
        <f>IFERROR(R2180/S2180*1000,"")</f>
        <v/>
      </c>
      <c r="AA2180" s="122" t="n">
        <v>4</v>
      </c>
      <c r="AB2180" s="54">
        <f>IFERROR(AA2180/W2180,"")</f>
        <v/>
      </c>
      <c r="AC2180" s="122" t="n">
        <v>752</v>
      </c>
      <c r="AD2180" s="122" t="n">
        <v>359</v>
      </c>
      <c r="AE2180" s="122" t="n">
        <v>404</v>
      </c>
      <c r="AF2180" s="122" t="n">
        <v>227</v>
      </c>
      <c r="AG2180" s="122" t="n">
        <v>176</v>
      </c>
      <c r="AH2180" s="122" t="n">
        <v>169</v>
      </c>
      <c r="AI2180" s="54">
        <f>IFERROR(AC2180/S2180,"")</f>
        <v/>
      </c>
      <c r="AJ2180" s="54">
        <f>IFERROR(AH2180/S2180,"")</f>
        <v/>
      </c>
      <c r="AK2180" s="122" t="n">
        <v>6</v>
      </c>
      <c r="AL2180" s="122" t="n">
        <v>0</v>
      </c>
      <c r="AM2180" s="124">
        <f>IFERROR(AL2180/AA2180,"")</f>
        <v/>
      </c>
      <c r="AN2180" s="125">
        <f>IFERROR(R2180/AL2180,"")</f>
        <v/>
      </c>
      <c r="AO2180" s="122" t="n">
        <v>0</v>
      </c>
      <c r="AP2180" s="54">
        <f>IFERROR(AO2180/AL2180,"")</f>
        <v/>
      </c>
      <c r="AQ2180" s="125">
        <f>IFERROR(R2180/AO2180,"")</f>
        <v/>
      </c>
      <c r="AR2180" s="122" t="n">
        <v>0</v>
      </c>
      <c r="AS2180" s="122" t="n">
        <v>0</v>
      </c>
      <c r="AT2180" s="122">
        <f>AL2180+AR2180</f>
        <v/>
      </c>
      <c r="AU2180" s="125">
        <f>IFERROR(AO2180*Assumptions!$C$26*Assumptions!$C$27*INDEX(Assumptions!$C$18:$C$21,MATCH(H2180,Assumptions!$B$18:$B$21,0)),0)</f>
        <v/>
      </c>
    </row>
    <row r="2181">
      <c r="A2181" s="120" t="n">
        <v>46259</v>
      </c>
      <c r="B2181" s="66" t="inlineStr">
        <is>
          <t>Wk 35</t>
        </is>
      </c>
      <c r="C2181" s="66" t="inlineStr">
        <is>
          <t>Tue</t>
        </is>
      </c>
      <c r="D2181" s="66" t="inlineStr">
        <is>
          <t>Programmatic</t>
        </is>
      </c>
      <c r="E2181" s="66" t="inlineStr">
        <is>
          <t>DV360</t>
        </is>
      </c>
      <c r="F2181" s="66" t="inlineStr">
        <is>
          <t>LEP_ZA_AUG26_PROG_TD_VIDEO_OLV</t>
        </is>
      </c>
      <c r="G2181" s="66" t="inlineStr">
        <is>
          <t>Online Video / CTV</t>
        </is>
      </c>
      <c r="H2181" s="66" t="inlineStr">
        <is>
          <t>Range</t>
        </is>
      </c>
      <c r="I2181" s="66" t="inlineStr">
        <is>
          <t>Range Offer</t>
        </is>
      </c>
      <c r="J2181" s="66" t="inlineStr">
        <is>
          <t>PROG_CTV_HOUSEHOLD</t>
        </is>
      </c>
      <c r="K2181" s="66" t="inlineStr">
        <is>
          <t>Prospecting</t>
        </is>
      </c>
      <c r="L2181" s="66" t="inlineStr">
        <is>
          <t>PROG_CTV_15s_OfferCut_v1</t>
        </is>
      </c>
      <c r="M2181" s="66" t="inlineStr">
        <is>
          <t>CTV 15s</t>
        </is>
      </c>
      <c r="N2181" s="66" t="inlineStr">
        <is>
          <t>Zero deposit offers end 31 August</t>
        </is>
      </c>
      <c r="O2181" s="66" t="inlineStr">
        <is>
          <t>Auction - Fixed CPM</t>
        </is>
      </c>
      <c r="P2181" s="66" t="inlineStr">
        <is>
          <t>Completed Views + CPA</t>
        </is>
      </c>
      <c r="Q2181" s="66" t="inlineStr">
        <is>
          <t>https://www.lepas-sa.co.za/offers</t>
        </is>
      </c>
      <c r="R2181" s="121" t="n">
        <v>92.75</v>
      </c>
      <c r="S2181" s="122" t="n">
        <v>3778</v>
      </c>
      <c r="T2181" s="122" t="n">
        <v>2016</v>
      </c>
      <c r="U2181" s="123">
        <f>IFERROR(S2181/T2181,"")</f>
        <v/>
      </c>
      <c r="V2181" s="122" t="n">
        <v>9</v>
      </c>
      <c r="W2181" s="122" t="n">
        <v>6</v>
      </c>
      <c r="X2181" s="124">
        <f>IFERROR(W2181/S2181,"")</f>
        <v/>
      </c>
      <c r="Y2181" s="121">
        <f>IFERROR(R2181/W2181,"")</f>
        <v/>
      </c>
      <c r="Z2181" s="121">
        <f>IFERROR(R2181/S2181*1000,"")</f>
        <v/>
      </c>
      <c r="AA2181" s="122" t="n">
        <v>3</v>
      </c>
      <c r="AB2181" s="54">
        <f>IFERROR(AA2181/W2181,"")</f>
        <v/>
      </c>
      <c r="AC2181" s="122" t="n">
        <v>1160</v>
      </c>
      <c r="AD2181" s="122" t="n">
        <v>653</v>
      </c>
      <c r="AE2181" s="122" t="n">
        <v>633</v>
      </c>
      <c r="AF2181" s="122" t="n">
        <v>391</v>
      </c>
      <c r="AG2181" s="122" t="n">
        <v>309</v>
      </c>
      <c r="AH2181" s="122" t="n">
        <v>292</v>
      </c>
      <c r="AI2181" s="54">
        <f>IFERROR(AC2181/S2181,"")</f>
        <v/>
      </c>
      <c r="AJ2181" s="54">
        <f>IFERROR(AH2181/S2181,"")</f>
        <v/>
      </c>
      <c r="AK2181" s="122" t="n">
        <v>22</v>
      </c>
      <c r="AL2181" s="122" t="n">
        <v>0</v>
      </c>
      <c r="AM2181" s="124">
        <f>IFERROR(AL2181/AA2181,"")</f>
        <v/>
      </c>
      <c r="AN2181" s="125">
        <f>IFERROR(R2181/AL2181,"")</f>
        <v/>
      </c>
      <c r="AO2181" s="122" t="n">
        <v>0</v>
      </c>
      <c r="AP2181" s="54">
        <f>IFERROR(AO2181/AL2181,"")</f>
        <v/>
      </c>
      <c r="AQ2181" s="125">
        <f>IFERROR(R2181/AO2181,"")</f>
        <v/>
      </c>
      <c r="AR2181" s="122" t="n">
        <v>0</v>
      </c>
      <c r="AS2181" s="122" t="n">
        <v>0</v>
      </c>
      <c r="AT2181" s="122">
        <f>AL2181+AR2181</f>
        <v/>
      </c>
      <c r="AU2181" s="125">
        <f>IFERROR(AO2181*Assumptions!$C$26*Assumptions!$C$27*INDEX(Assumptions!$C$18:$C$21,MATCH(H2181,Assumptions!$B$18:$B$21,0)),0)</f>
        <v/>
      </c>
    </row>
    <row r="2182">
      <c r="A2182" s="120" t="n">
        <v>46260</v>
      </c>
      <c r="B2182" s="66" t="inlineStr">
        <is>
          <t>Wk 35</t>
        </is>
      </c>
      <c r="C2182" s="66" t="inlineStr">
        <is>
          <t>Wed</t>
        </is>
      </c>
      <c r="D2182" s="66" t="inlineStr">
        <is>
          <t>Programmatic</t>
        </is>
      </c>
      <c r="E2182" s="66" t="inlineStr">
        <is>
          <t>DV360</t>
        </is>
      </c>
      <c r="F2182" s="66" t="inlineStr">
        <is>
          <t>LEP_ZA_AUG26_PROG_TD_VIDEO_OLV</t>
        </is>
      </c>
      <c r="G2182" s="66" t="inlineStr">
        <is>
          <t>Online Video / CTV</t>
        </is>
      </c>
      <c r="H2182" s="66" t="inlineStr">
        <is>
          <t>Range</t>
        </is>
      </c>
      <c r="I2182" s="66" t="inlineStr">
        <is>
          <t>Range Offer</t>
        </is>
      </c>
      <c r="J2182" s="66" t="inlineStr">
        <is>
          <t>PROG_CTV_HOUSEHOLD</t>
        </is>
      </c>
      <c r="K2182" s="66" t="inlineStr">
        <is>
          <t>Prospecting</t>
        </is>
      </c>
      <c r="L2182" s="66" t="inlineStr">
        <is>
          <t>PROG_CTV_15s_OfferCut_v1</t>
        </is>
      </c>
      <c r="M2182" s="66" t="inlineStr">
        <is>
          <t>CTV 15s</t>
        </is>
      </c>
      <c r="N2182" s="66" t="inlineStr">
        <is>
          <t>Zero deposit offers end 31 August</t>
        </is>
      </c>
      <c r="O2182" s="66" t="inlineStr">
        <is>
          <t>Auction - Fixed CPM</t>
        </is>
      </c>
      <c r="P2182" s="66" t="inlineStr">
        <is>
          <t>Completed Views + CPA</t>
        </is>
      </c>
      <c r="Q2182" s="66" t="inlineStr">
        <is>
          <t>https://www.lepas-sa.co.za/offers</t>
        </is>
      </c>
      <c r="R2182" s="121" t="n">
        <v>97.14</v>
      </c>
      <c r="S2182" s="122" t="n">
        <v>6010</v>
      </c>
      <c r="T2182" s="122" t="n">
        <v>2473</v>
      </c>
      <c r="U2182" s="123">
        <f>IFERROR(S2182/T2182,"")</f>
        <v/>
      </c>
      <c r="V2182" s="122" t="n">
        <v>18</v>
      </c>
      <c r="W2182" s="122" t="n">
        <v>14</v>
      </c>
      <c r="X2182" s="124">
        <f>IFERROR(W2182/S2182,"")</f>
        <v/>
      </c>
      <c r="Y2182" s="121">
        <f>IFERROR(R2182/W2182,"")</f>
        <v/>
      </c>
      <c r="Z2182" s="121">
        <f>IFERROR(R2182/S2182*1000,"")</f>
        <v/>
      </c>
      <c r="AA2182" s="122" t="n">
        <v>9</v>
      </c>
      <c r="AB2182" s="54">
        <f>IFERROR(AA2182/W2182,"")</f>
        <v/>
      </c>
      <c r="AC2182" s="122" t="n">
        <v>1830</v>
      </c>
      <c r="AD2182" s="122" t="n">
        <v>846</v>
      </c>
      <c r="AE2182" s="122" t="n">
        <v>861</v>
      </c>
      <c r="AF2182" s="122" t="n">
        <v>522</v>
      </c>
      <c r="AG2182" s="122" t="n">
        <v>355</v>
      </c>
      <c r="AH2182" s="122" t="n">
        <v>343</v>
      </c>
      <c r="AI2182" s="54">
        <f>IFERROR(AC2182/S2182,"")</f>
        <v/>
      </c>
      <c r="AJ2182" s="54">
        <f>IFERROR(AH2182/S2182,"")</f>
        <v/>
      </c>
      <c r="AK2182" s="122" t="n">
        <v>34</v>
      </c>
      <c r="AL2182" s="122" t="n">
        <v>0</v>
      </c>
      <c r="AM2182" s="124">
        <f>IFERROR(AL2182/AA2182,"")</f>
        <v/>
      </c>
      <c r="AN2182" s="125">
        <f>IFERROR(R2182/AL2182,"")</f>
        <v/>
      </c>
      <c r="AO2182" s="122" t="n">
        <v>0</v>
      </c>
      <c r="AP2182" s="54">
        <f>IFERROR(AO2182/AL2182,"")</f>
        <v/>
      </c>
      <c r="AQ2182" s="125">
        <f>IFERROR(R2182/AO2182,"")</f>
        <v/>
      </c>
      <c r="AR2182" s="122" t="n">
        <v>0</v>
      </c>
      <c r="AS2182" s="122" t="n">
        <v>0</v>
      </c>
      <c r="AT2182" s="122">
        <f>AL2182+AR2182</f>
        <v/>
      </c>
      <c r="AU2182" s="125">
        <f>IFERROR(AO2182*Assumptions!$C$26*Assumptions!$C$27*INDEX(Assumptions!$C$18:$C$21,MATCH(H2182,Assumptions!$B$18:$B$21,0)),0)</f>
        <v/>
      </c>
    </row>
    <row r="2183">
      <c r="A2183" s="120" t="n">
        <v>46261</v>
      </c>
      <c r="B2183" s="66" t="inlineStr">
        <is>
          <t>Wk 35</t>
        </is>
      </c>
      <c r="C2183" s="66" t="inlineStr">
        <is>
          <t>Thu</t>
        </is>
      </c>
      <c r="D2183" s="66" t="inlineStr">
        <is>
          <t>Programmatic</t>
        </is>
      </c>
      <c r="E2183" s="66" t="inlineStr">
        <is>
          <t>DV360</t>
        </is>
      </c>
      <c r="F2183" s="66" t="inlineStr">
        <is>
          <t>LEP_ZA_AUG26_PROG_TD_VIDEO_OLV</t>
        </is>
      </c>
      <c r="G2183" s="66" t="inlineStr">
        <is>
          <t>Online Video / CTV</t>
        </is>
      </c>
      <c r="H2183" s="66" t="inlineStr">
        <is>
          <t>Range</t>
        </is>
      </c>
      <c r="I2183" s="66" t="inlineStr">
        <is>
          <t>Range Offer</t>
        </is>
      </c>
      <c r="J2183" s="66" t="inlineStr">
        <is>
          <t>PROG_CTV_HOUSEHOLD</t>
        </is>
      </c>
      <c r="K2183" s="66" t="inlineStr">
        <is>
          <t>Prospecting</t>
        </is>
      </c>
      <c r="L2183" s="66" t="inlineStr">
        <is>
          <t>PROG_CTV_15s_OfferCut_v1</t>
        </is>
      </c>
      <c r="M2183" s="66" t="inlineStr">
        <is>
          <t>CTV 15s</t>
        </is>
      </c>
      <c r="N2183" s="66" t="inlineStr">
        <is>
          <t>Zero deposit offers end 31 August</t>
        </is>
      </c>
      <c r="O2183" s="66" t="inlineStr">
        <is>
          <t>Auction - Fixed CPM</t>
        </is>
      </c>
      <c r="P2183" s="66" t="inlineStr">
        <is>
          <t>Completed Views + CPA</t>
        </is>
      </c>
      <c r="Q2183" s="66" t="inlineStr">
        <is>
          <t>https://www.lepas-sa.co.za/offers</t>
        </is>
      </c>
      <c r="R2183" s="121" t="n">
        <v>133.85</v>
      </c>
      <c r="S2183" s="122" t="n">
        <v>5336</v>
      </c>
      <c r="T2183" s="122" t="n">
        <v>2250</v>
      </c>
      <c r="U2183" s="123">
        <f>IFERROR(S2183/T2183,"")</f>
        <v/>
      </c>
      <c r="V2183" s="122" t="n">
        <v>9</v>
      </c>
      <c r="W2183" s="122" t="n">
        <v>6</v>
      </c>
      <c r="X2183" s="124">
        <f>IFERROR(W2183/S2183,"")</f>
        <v/>
      </c>
      <c r="Y2183" s="121">
        <f>IFERROR(R2183/W2183,"")</f>
        <v/>
      </c>
      <c r="Z2183" s="121">
        <f>IFERROR(R2183/S2183*1000,"")</f>
        <v/>
      </c>
      <c r="AA2183" s="122" t="n">
        <v>4</v>
      </c>
      <c r="AB2183" s="54">
        <f>IFERROR(AA2183/W2183,"")</f>
        <v/>
      </c>
      <c r="AC2183" s="122" t="n">
        <v>1922</v>
      </c>
      <c r="AD2183" s="122" t="n">
        <v>1071</v>
      </c>
      <c r="AE2183" s="122" t="n">
        <v>875</v>
      </c>
      <c r="AF2183" s="122" t="n">
        <v>508</v>
      </c>
      <c r="AG2183" s="122" t="n">
        <v>399</v>
      </c>
      <c r="AH2183" s="122" t="n">
        <v>365</v>
      </c>
      <c r="AI2183" s="54">
        <f>IFERROR(AC2183/S2183,"")</f>
        <v/>
      </c>
      <c r="AJ2183" s="54">
        <f>IFERROR(AH2183/S2183,"")</f>
        <v/>
      </c>
      <c r="AK2183" s="122" t="n">
        <v>10</v>
      </c>
      <c r="AL2183" s="122" t="n">
        <v>0</v>
      </c>
      <c r="AM2183" s="124">
        <f>IFERROR(AL2183/AA2183,"")</f>
        <v/>
      </c>
      <c r="AN2183" s="125">
        <f>IFERROR(R2183/AL2183,"")</f>
        <v/>
      </c>
      <c r="AO2183" s="122" t="n">
        <v>0</v>
      </c>
      <c r="AP2183" s="54">
        <f>IFERROR(AO2183/AL2183,"")</f>
        <v/>
      </c>
      <c r="AQ2183" s="125">
        <f>IFERROR(R2183/AO2183,"")</f>
        <v/>
      </c>
      <c r="AR2183" s="122" t="n">
        <v>0</v>
      </c>
      <c r="AS2183" s="122" t="n">
        <v>0</v>
      </c>
      <c r="AT2183" s="122">
        <f>AL2183+AR2183</f>
        <v/>
      </c>
      <c r="AU2183" s="125">
        <f>IFERROR(AO2183*Assumptions!$C$26*Assumptions!$C$27*INDEX(Assumptions!$C$18:$C$21,MATCH(H2183,Assumptions!$B$18:$B$21,0)),0)</f>
        <v/>
      </c>
    </row>
    <row r="2184">
      <c r="A2184" s="120" t="n">
        <v>46262</v>
      </c>
      <c r="B2184" s="66" t="inlineStr">
        <is>
          <t>Wk 35</t>
        </is>
      </c>
      <c r="C2184" s="66" t="inlineStr">
        <is>
          <t>Fri</t>
        </is>
      </c>
      <c r="D2184" s="66" t="inlineStr">
        <is>
          <t>Programmatic</t>
        </is>
      </c>
      <c r="E2184" s="66" t="inlineStr">
        <is>
          <t>DV360</t>
        </is>
      </c>
      <c r="F2184" s="66" t="inlineStr">
        <is>
          <t>LEP_ZA_AUG26_PROG_TD_VIDEO_OLV</t>
        </is>
      </c>
      <c r="G2184" s="66" t="inlineStr">
        <is>
          <t>Online Video / CTV</t>
        </is>
      </c>
      <c r="H2184" s="66" t="inlineStr">
        <is>
          <t>Range</t>
        </is>
      </c>
      <c r="I2184" s="66" t="inlineStr">
        <is>
          <t>Range Offer</t>
        </is>
      </c>
      <c r="J2184" s="66" t="inlineStr">
        <is>
          <t>PROG_CTV_HOUSEHOLD</t>
        </is>
      </c>
      <c r="K2184" s="66" t="inlineStr">
        <is>
          <t>Prospecting</t>
        </is>
      </c>
      <c r="L2184" s="66" t="inlineStr">
        <is>
          <t>PROG_CTV_15s_OfferCut_v1</t>
        </is>
      </c>
      <c r="M2184" s="66" t="inlineStr">
        <is>
          <t>CTV 15s</t>
        </is>
      </c>
      <c r="N2184" s="66" t="inlineStr">
        <is>
          <t>Zero deposit offers end 31 August</t>
        </is>
      </c>
      <c r="O2184" s="66" t="inlineStr">
        <is>
          <t>Auction - Fixed CPM</t>
        </is>
      </c>
      <c r="P2184" s="66" t="inlineStr">
        <is>
          <t>Completed Views + CPA</t>
        </is>
      </c>
      <c r="Q2184" s="66" t="inlineStr">
        <is>
          <t>https://www.lepas-sa.co.za/offers</t>
        </is>
      </c>
      <c r="R2184" s="121" t="n">
        <v>138</v>
      </c>
      <c r="S2184" s="122" t="n">
        <v>4368</v>
      </c>
      <c r="T2184" s="122" t="n">
        <v>1869</v>
      </c>
      <c r="U2184" s="123">
        <f>IFERROR(S2184/T2184,"")</f>
        <v/>
      </c>
      <c r="V2184" s="122" t="n">
        <v>8</v>
      </c>
      <c r="W2184" s="122" t="n">
        <v>6</v>
      </c>
      <c r="X2184" s="124">
        <f>IFERROR(W2184/S2184,"")</f>
        <v/>
      </c>
      <c r="Y2184" s="121">
        <f>IFERROR(R2184/W2184,"")</f>
        <v/>
      </c>
      <c r="Z2184" s="121">
        <f>IFERROR(R2184/S2184*1000,"")</f>
        <v/>
      </c>
      <c r="AA2184" s="122" t="n">
        <v>3</v>
      </c>
      <c r="AB2184" s="54">
        <f>IFERROR(AA2184/W2184,"")</f>
        <v/>
      </c>
      <c r="AC2184" s="122" t="n">
        <v>992</v>
      </c>
      <c r="AD2184" s="122" t="n">
        <v>591</v>
      </c>
      <c r="AE2184" s="122" t="n">
        <v>466</v>
      </c>
      <c r="AF2184" s="122" t="n">
        <v>282</v>
      </c>
      <c r="AG2184" s="122" t="n">
        <v>220</v>
      </c>
      <c r="AH2184" s="122" t="n">
        <v>200</v>
      </c>
      <c r="AI2184" s="54">
        <f>IFERROR(AC2184/S2184,"")</f>
        <v/>
      </c>
      <c r="AJ2184" s="54">
        <f>IFERROR(AH2184/S2184,"")</f>
        <v/>
      </c>
      <c r="AK2184" s="122" t="n">
        <v>20</v>
      </c>
      <c r="AL2184" s="122" t="n">
        <v>0</v>
      </c>
      <c r="AM2184" s="124">
        <f>IFERROR(AL2184/AA2184,"")</f>
        <v/>
      </c>
      <c r="AN2184" s="125">
        <f>IFERROR(R2184/AL2184,"")</f>
        <v/>
      </c>
      <c r="AO2184" s="122" t="n">
        <v>0</v>
      </c>
      <c r="AP2184" s="54">
        <f>IFERROR(AO2184/AL2184,"")</f>
        <v/>
      </c>
      <c r="AQ2184" s="125">
        <f>IFERROR(R2184/AO2184,"")</f>
        <v/>
      </c>
      <c r="AR2184" s="122" t="n">
        <v>0</v>
      </c>
      <c r="AS2184" s="122" t="n">
        <v>0</v>
      </c>
      <c r="AT2184" s="122">
        <f>AL2184+AR2184</f>
        <v/>
      </c>
      <c r="AU2184" s="125">
        <f>IFERROR(AO2184*Assumptions!$C$26*Assumptions!$C$27*INDEX(Assumptions!$C$18:$C$21,MATCH(H2184,Assumptions!$B$18:$B$21,0)),0)</f>
        <v/>
      </c>
    </row>
    <row r="2185">
      <c r="A2185" s="120" t="n">
        <v>46263</v>
      </c>
      <c r="B2185" s="66" t="inlineStr">
        <is>
          <t>Wk 35</t>
        </is>
      </c>
      <c r="C2185" s="66" t="inlineStr">
        <is>
          <t>Sat</t>
        </is>
      </c>
      <c r="D2185" s="66" t="inlineStr">
        <is>
          <t>Programmatic</t>
        </is>
      </c>
      <c r="E2185" s="66" t="inlineStr">
        <is>
          <t>DV360</t>
        </is>
      </c>
      <c r="F2185" s="66" t="inlineStr">
        <is>
          <t>LEP_ZA_AUG26_PROG_TD_VIDEO_OLV</t>
        </is>
      </c>
      <c r="G2185" s="66" t="inlineStr">
        <is>
          <t>Online Video / CTV</t>
        </is>
      </c>
      <c r="H2185" s="66" t="inlineStr">
        <is>
          <t>Range</t>
        </is>
      </c>
      <c r="I2185" s="66" t="inlineStr">
        <is>
          <t>Range Offer</t>
        </is>
      </c>
      <c r="J2185" s="66" t="inlineStr">
        <is>
          <t>PROG_CTV_HOUSEHOLD</t>
        </is>
      </c>
      <c r="K2185" s="66" t="inlineStr">
        <is>
          <t>Prospecting</t>
        </is>
      </c>
      <c r="L2185" s="66" t="inlineStr">
        <is>
          <t>PROG_CTV_15s_OfferCut_v1</t>
        </is>
      </c>
      <c r="M2185" s="66" t="inlineStr">
        <is>
          <t>CTV 15s</t>
        </is>
      </c>
      <c r="N2185" s="66" t="inlineStr">
        <is>
          <t>Zero deposit offers end 31 August</t>
        </is>
      </c>
      <c r="O2185" s="66" t="inlineStr">
        <is>
          <t>Auction - Fixed CPM</t>
        </is>
      </c>
      <c r="P2185" s="66" t="inlineStr">
        <is>
          <t>Completed Views + CPA</t>
        </is>
      </c>
      <c r="Q2185" s="66" t="inlineStr">
        <is>
          <t>https://www.lepas-sa.co.za/offers</t>
        </is>
      </c>
      <c r="R2185" s="121" t="n">
        <v>127.98</v>
      </c>
      <c r="S2185" s="122" t="n">
        <v>4934</v>
      </c>
      <c r="T2185" s="122" t="n">
        <v>2046</v>
      </c>
      <c r="U2185" s="123">
        <f>IFERROR(S2185/T2185,"")</f>
        <v/>
      </c>
      <c r="V2185" s="122" t="n">
        <v>5</v>
      </c>
      <c r="W2185" s="122" t="n">
        <v>4</v>
      </c>
      <c r="X2185" s="124">
        <f>IFERROR(W2185/S2185,"")</f>
        <v/>
      </c>
      <c r="Y2185" s="121">
        <f>IFERROR(R2185/W2185,"")</f>
        <v/>
      </c>
      <c r="Z2185" s="121">
        <f>IFERROR(R2185/S2185*1000,"")</f>
        <v/>
      </c>
      <c r="AA2185" s="122" t="n">
        <v>2</v>
      </c>
      <c r="AB2185" s="54">
        <f>IFERROR(AA2185/W2185,"")</f>
        <v/>
      </c>
      <c r="AC2185" s="122" t="n">
        <v>1832</v>
      </c>
      <c r="AD2185" s="122" t="n">
        <v>849</v>
      </c>
      <c r="AE2185" s="122" t="n">
        <v>870</v>
      </c>
      <c r="AF2185" s="122" t="n">
        <v>561</v>
      </c>
      <c r="AG2185" s="122" t="n">
        <v>448</v>
      </c>
      <c r="AH2185" s="122" t="n">
        <v>415</v>
      </c>
      <c r="AI2185" s="54">
        <f>IFERROR(AC2185/S2185,"")</f>
        <v/>
      </c>
      <c r="AJ2185" s="54">
        <f>IFERROR(AH2185/S2185,"")</f>
        <v/>
      </c>
      <c r="AK2185" s="122" t="n">
        <v>5</v>
      </c>
      <c r="AL2185" s="122" t="n">
        <v>0</v>
      </c>
      <c r="AM2185" s="124">
        <f>IFERROR(AL2185/AA2185,"")</f>
        <v/>
      </c>
      <c r="AN2185" s="125">
        <f>IFERROR(R2185/AL2185,"")</f>
        <v/>
      </c>
      <c r="AO2185" s="122" t="n">
        <v>0</v>
      </c>
      <c r="AP2185" s="54">
        <f>IFERROR(AO2185/AL2185,"")</f>
        <v/>
      </c>
      <c r="AQ2185" s="125">
        <f>IFERROR(R2185/AO2185,"")</f>
        <v/>
      </c>
      <c r="AR2185" s="122" t="n">
        <v>0</v>
      </c>
      <c r="AS2185" s="122" t="n">
        <v>0</v>
      </c>
      <c r="AT2185" s="122">
        <f>AL2185+AR2185</f>
        <v/>
      </c>
      <c r="AU2185" s="125">
        <f>IFERROR(AO2185*Assumptions!$C$26*Assumptions!$C$27*INDEX(Assumptions!$C$18:$C$21,MATCH(H2185,Assumptions!$B$18:$B$21,0)),0)</f>
        <v/>
      </c>
    </row>
    <row r="2186">
      <c r="A2186" s="120" t="n">
        <v>46264</v>
      </c>
      <c r="B2186" s="66" t="inlineStr">
        <is>
          <t>Wk 35</t>
        </is>
      </c>
      <c r="C2186" s="66" t="inlineStr">
        <is>
          <t>Sun</t>
        </is>
      </c>
      <c r="D2186" s="66" t="inlineStr">
        <is>
          <t>Programmatic</t>
        </is>
      </c>
      <c r="E2186" s="66" t="inlineStr">
        <is>
          <t>DV360</t>
        </is>
      </c>
      <c r="F2186" s="66" t="inlineStr">
        <is>
          <t>LEP_ZA_AUG26_PROG_TD_VIDEO_OLV</t>
        </is>
      </c>
      <c r="G2186" s="66" t="inlineStr">
        <is>
          <t>Online Video / CTV</t>
        </is>
      </c>
      <c r="H2186" s="66" t="inlineStr">
        <is>
          <t>Range</t>
        </is>
      </c>
      <c r="I2186" s="66" t="inlineStr">
        <is>
          <t>Range Offer</t>
        </is>
      </c>
      <c r="J2186" s="66" t="inlineStr">
        <is>
          <t>PROG_CTV_HOUSEHOLD</t>
        </is>
      </c>
      <c r="K2186" s="66" t="inlineStr">
        <is>
          <t>Prospecting</t>
        </is>
      </c>
      <c r="L2186" s="66" t="inlineStr">
        <is>
          <t>PROG_CTV_15s_OfferCut_v1</t>
        </is>
      </c>
      <c r="M2186" s="66" t="inlineStr">
        <is>
          <t>CTV 15s</t>
        </is>
      </c>
      <c r="N2186" s="66" t="inlineStr">
        <is>
          <t>Zero deposit offers end 31 August</t>
        </is>
      </c>
      <c r="O2186" s="66" t="inlineStr">
        <is>
          <t>Auction - Fixed CPM</t>
        </is>
      </c>
      <c r="P2186" s="66" t="inlineStr">
        <is>
          <t>Completed Views + CPA</t>
        </is>
      </c>
      <c r="Q2186" s="66" t="inlineStr">
        <is>
          <t>https://www.lepas-sa.co.za/offers</t>
        </is>
      </c>
      <c r="R2186" s="121" t="n">
        <v>95.29000000000001</v>
      </c>
      <c r="S2186" s="122" t="n">
        <v>2909</v>
      </c>
      <c r="T2186" s="122" t="n">
        <v>1059</v>
      </c>
      <c r="U2186" s="123">
        <f>IFERROR(S2186/T2186,"")</f>
        <v/>
      </c>
      <c r="V2186" s="122" t="n">
        <v>6</v>
      </c>
      <c r="W2186" s="122" t="n">
        <v>5</v>
      </c>
      <c r="X2186" s="124">
        <f>IFERROR(W2186/S2186,"")</f>
        <v/>
      </c>
      <c r="Y2186" s="121">
        <f>IFERROR(R2186/W2186,"")</f>
        <v/>
      </c>
      <c r="Z2186" s="121">
        <f>IFERROR(R2186/S2186*1000,"")</f>
        <v/>
      </c>
      <c r="AA2186" s="122" t="n">
        <v>3</v>
      </c>
      <c r="AB2186" s="54">
        <f>IFERROR(AA2186/W2186,"")</f>
        <v/>
      </c>
      <c r="AC2186" s="122" t="n">
        <v>819</v>
      </c>
      <c r="AD2186" s="122" t="n">
        <v>500</v>
      </c>
      <c r="AE2186" s="122" t="n">
        <v>406</v>
      </c>
      <c r="AF2186" s="122" t="n">
        <v>247</v>
      </c>
      <c r="AG2186" s="122" t="n">
        <v>166</v>
      </c>
      <c r="AH2186" s="122" t="n">
        <v>160</v>
      </c>
      <c r="AI2186" s="54">
        <f>IFERROR(AC2186/S2186,"")</f>
        <v/>
      </c>
      <c r="AJ2186" s="54">
        <f>IFERROR(AH2186/S2186,"")</f>
        <v/>
      </c>
      <c r="AK2186" s="122" t="n">
        <v>4</v>
      </c>
      <c r="AL2186" s="122" t="n">
        <v>0</v>
      </c>
      <c r="AM2186" s="124">
        <f>IFERROR(AL2186/AA2186,"")</f>
        <v/>
      </c>
      <c r="AN2186" s="125">
        <f>IFERROR(R2186/AL2186,"")</f>
        <v/>
      </c>
      <c r="AO2186" s="122" t="n">
        <v>0</v>
      </c>
      <c r="AP2186" s="54">
        <f>IFERROR(AO2186/AL2186,"")</f>
        <v/>
      </c>
      <c r="AQ2186" s="125">
        <f>IFERROR(R2186/AO2186,"")</f>
        <v/>
      </c>
      <c r="AR2186" s="122" t="n">
        <v>0</v>
      </c>
      <c r="AS2186" s="122" t="n">
        <v>0</v>
      </c>
      <c r="AT2186" s="122">
        <f>AL2186+AR2186</f>
        <v/>
      </c>
      <c r="AU2186" s="125">
        <f>IFERROR(AO2186*Assumptions!$C$26*Assumptions!$C$27*INDEX(Assumptions!$C$18:$C$21,MATCH(H2186,Assumptions!$B$18:$B$21,0)),0)</f>
        <v/>
      </c>
    </row>
    <row r="2187">
      <c r="A2187" s="120" t="n">
        <v>46265</v>
      </c>
      <c r="B2187" s="66" t="inlineStr">
        <is>
          <t>Wk 36</t>
        </is>
      </c>
      <c r="C2187" s="66" t="inlineStr">
        <is>
          <t>Mon</t>
        </is>
      </c>
      <c r="D2187" s="66" t="inlineStr">
        <is>
          <t>Programmatic</t>
        </is>
      </c>
      <c r="E2187" s="66" t="inlineStr">
        <is>
          <t>DV360</t>
        </is>
      </c>
      <c r="F2187" s="66" t="inlineStr">
        <is>
          <t>LEP_ZA_AUG26_PROG_TD_VIDEO_OLV</t>
        </is>
      </c>
      <c r="G2187" s="66" t="inlineStr">
        <is>
          <t>Online Video / CTV</t>
        </is>
      </c>
      <c r="H2187" s="66" t="inlineStr">
        <is>
          <t>Range</t>
        </is>
      </c>
      <c r="I2187" s="66" t="inlineStr">
        <is>
          <t>Range Offer</t>
        </is>
      </c>
      <c r="J2187" s="66" t="inlineStr">
        <is>
          <t>PROG_CTV_HOUSEHOLD</t>
        </is>
      </c>
      <c r="K2187" s="66" t="inlineStr">
        <is>
          <t>Prospecting</t>
        </is>
      </c>
      <c r="L2187" s="66" t="inlineStr">
        <is>
          <t>PROG_CTV_15s_OfferCut_v1</t>
        </is>
      </c>
      <c r="M2187" s="66" t="inlineStr">
        <is>
          <t>CTV 15s</t>
        </is>
      </c>
      <c r="N2187" s="66" t="inlineStr">
        <is>
          <t>Zero deposit offers end 31 August</t>
        </is>
      </c>
      <c r="O2187" s="66" t="inlineStr">
        <is>
          <t>Auction - Fixed CPM</t>
        </is>
      </c>
      <c r="P2187" s="66" t="inlineStr">
        <is>
          <t>Completed Views + CPA</t>
        </is>
      </c>
      <c r="Q2187" s="66" t="inlineStr">
        <is>
          <t>https://www.lepas-sa.co.za/offers</t>
        </is>
      </c>
      <c r="R2187" s="121" t="n">
        <v>95.04000000000001</v>
      </c>
      <c r="S2187" s="122" t="n">
        <v>3040</v>
      </c>
      <c r="T2187" s="122" t="n">
        <v>1685</v>
      </c>
      <c r="U2187" s="123">
        <f>IFERROR(S2187/T2187,"")</f>
        <v/>
      </c>
      <c r="V2187" s="122" t="n">
        <v>3</v>
      </c>
      <c r="W2187" s="122" t="n">
        <v>2</v>
      </c>
      <c r="X2187" s="124">
        <f>IFERROR(W2187/S2187,"")</f>
        <v/>
      </c>
      <c r="Y2187" s="121">
        <f>IFERROR(R2187/W2187,"")</f>
        <v/>
      </c>
      <c r="Z2187" s="121">
        <f>IFERROR(R2187/S2187*1000,"")</f>
        <v/>
      </c>
      <c r="AA2187" s="122" t="n">
        <v>2</v>
      </c>
      <c r="AB2187" s="54">
        <f>IFERROR(AA2187/W2187,"")</f>
        <v/>
      </c>
      <c r="AC2187" s="122" t="n">
        <v>908</v>
      </c>
      <c r="AD2187" s="122" t="n">
        <v>508</v>
      </c>
      <c r="AE2187" s="122" t="n">
        <v>485</v>
      </c>
      <c r="AF2187" s="122" t="n">
        <v>261</v>
      </c>
      <c r="AG2187" s="122" t="n">
        <v>181</v>
      </c>
      <c r="AH2187" s="122" t="n">
        <v>175</v>
      </c>
      <c r="AI2187" s="54">
        <f>IFERROR(AC2187/S2187,"")</f>
        <v/>
      </c>
      <c r="AJ2187" s="54">
        <f>IFERROR(AH2187/S2187,"")</f>
        <v/>
      </c>
      <c r="AK2187" s="122" t="n">
        <v>17</v>
      </c>
      <c r="AL2187" s="122" t="n">
        <v>0</v>
      </c>
      <c r="AM2187" s="124">
        <f>IFERROR(AL2187/AA2187,"")</f>
        <v/>
      </c>
      <c r="AN2187" s="125">
        <f>IFERROR(R2187/AL2187,"")</f>
        <v/>
      </c>
      <c r="AO2187" s="122" t="n">
        <v>0</v>
      </c>
      <c r="AP2187" s="54">
        <f>IFERROR(AO2187/AL2187,"")</f>
        <v/>
      </c>
      <c r="AQ2187" s="125">
        <f>IFERROR(R2187/AO2187,"")</f>
        <v/>
      </c>
      <c r="AR2187" s="122" t="n">
        <v>0</v>
      </c>
      <c r="AS2187" s="122" t="n">
        <v>0</v>
      </c>
      <c r="AT2187" s="122">
        <f>AL2187+AR2187</f>
        <v/>
      </c>
      <c r="AU2187" s="125">
        <f>IFERROR(AO2187*Assumptions!$C$26*Assumptions!$C$27*INDEX(Assumptions!$C$18:$C$21,MATCH(H2187,Assumptions!$B$18:$B$21,0)),0)</f>
        <v/>
      </c>
    </row>
    <row r="2188">
      <c r="A2188" s="120" t="n">
        <v>46235</v>
      </c>
      <c r="B2188" s="66" t="inlineStr">
        <is>
          <t>Wk 31</t>
        </is>
      </c>
      <c r="C2188" s="66" t="inlineStr">
        <is>
          <t>Sat</t>
        </is>
      </c>
      <c r="D2188" s="66" t="inlineStr">
        <is>
          <t>Programmatic</t>
        </is>
      </c>
      <c r="E2188" s="66" t="inlineStr">
        <is>
          <t>DV360</t>
        </is>
      </c>
      <c r="F2188" s="66" t="inlineStr">
        <is>
          <t>LEP_ZA_AUG26_PROG_TD_VIDEO_OLV</t>
        </is>
      </c>
      <c r="G2188" s="66" t="inlineStr">
        <is>
          <t>Online Video / CTV</t>
        </is>
      </c>
      <c r="H2188" s="66" t="inlineStr">
        <is>
          <t>Range</t>
        </is>
      </c>
      <c r="I2188" s="66" t="inlineStr">
        <is>
          <t>Range Offer</t>
        </is>
      </c>
      <c r="J2188" s="66" t="inlineStr">
        <is>
          <t>PROG_OLV_RMKT_VIEWERS</t>
        </is>
      </c>
      <c r="K2188" s="66" t="inlineStr">
        <is>
          <t>Retargeting</t>
        </is>
      </c>
      <c r="L2188" s="66" t="inlineStr">
        <is>
          <t>PROG_OLV_15s_AMUR_v1</t>
        </is>
      </c>
      <c r="M2188" s="66" t="inlineStr">
        <is>
          <t>Video 16:9 Pre-roll</t>
        </is>
      </c>
      <c r="N2188" s="66" t="inlineStr">
        <is>
          <t>AMUR from R3 599pm</t>
        </is>
      </c>
      <c r="O2188" s="66" t="inlineStr">
        <is>
          <t>Auction - Fixed CPM</t>
        </is>
      </c>
      <c r="P2188" s="66" t="inlineStr">
        <is>
          <t>Completed Views + CPA</t>
        </is>
      </c>
      <c r="Q2188" s="66" t="inlineStr">
        <is>
          <t>https://www.lepas-sa.co.za/book-a-test-drive</t>
        </is>
      </c>
      <c r="R2188" s="121" t="n">
        <v>90.55</v>
      </c>
      <c r="S2188" s="122" t="n">
        <v>3330</v>
      </c>
      <c r="T2188" s="122" t="n">
        <v>2442</v>
      </c>
      <c r="U2188" s="123">
        <f>IFERROR(S2188/T2188,"")</f>
        <v/>
      </c>
      <c r="V2188" s="122" t="n">
        <v>19</v>
      </c>
      <c r="W2188" s="122" t="n">
        <v>15</v>
      </c>
      <c r="X2188" s="124">
        <f>IFERROR(W2188/S2188,"")</f>
        <v/>
      </c>
      <c r="Y2188" s="121">
        <f>IFERROR(R2188/W2188,"")</f>
        <v/>
      </c>
      <c r="Z2188" s="121">
        <f>IFERROR(R2188/S2188*1000,"")</f>
        <v/>
      </c>
      <c r="AA2188" s="122" t="n">
        <v>10</v>
      </c>
      <c r="AB2188" s="54">
        <f>IFERROR(AA2188/W2188,"")</f>
        <v/>
      </c>
      <c r="AC2188" s="122" t="n">
        <v>1349</v>
      </c>
      <c r="AD2188" s="122" t="n">
        <v>679</v>
      </c>
      <c r="AE2188" s="122" t="n">
        <v>700</v>
      </c>
      <c r="AF2188" s="122" t="n">
        <v>414</v>
      </c>
      <c r="AG2188" s="122" t="n">
        <v>314</v>
      </c>
      <c r="AH2188" s="122" t="n">
        <v>190</v>
      </c>
      <c r="AI2188" s="54">
        <f>IFERROR(AC2188/S2188,"")</f>
        <v/>
      </c>
      <c r="AJ2188" s="54">
        <f>IFERROR(AH2188/S2188,"")</f>
        <v/>
      </c>
      <c r="AK2188" s="122" t="n">
        <v>18</v>
      </c>
      <c r="AL2188" s="122" t="n">
        <v>1</v>
      </c>
      <c r="AM2188" s="124">
        <f>IFERROR(AL2188/AA2188,"")</f>
        <v/>
      </c>
      <c r="AN2188" s="125">
        <f>IFERROR(R2188/AL2188,"")</f>
        <v/>
      </c>
      <c r="AO2188" s="122" t="n">
        <v>0</v>
      </c>
      <c r="AP2188" s="54">
        <f>IFERROR(AO2188/AL2188,"")</f>
        <v/>
      </c>
      <c r="AQ2188" s="125">
        <f>IFERROR(R2188/AO2188,"")</f>
        <v/>
      </c>
      <c r="AR2188" s="122" t="n">
        <v>3</v>
      </c>
      <c r="AS2188" s="122" t="n">
        <v>1</v>
      </c>
      <c r="AT2188" s="122">
        <f>AL2188+AR2188</f>
        <v/>
      </c>
      <c r="AU2188" s="125">
        <f>IFERROR(AO2188*Assumptions!$C$26*Assumptions!$C$27*INDEX(Assumptions!$C$18:$C$21,MATCH(H2188,Assumptions!$B$18:$B$21,0)),0)</f>
        <v/>
      </c>
    </row>
    <row r="2189">
      <c r="A2189" s="120" t="n">
        <v>46236</v>
      </c>
      <c r="B2189" s="66" t="inlineStr">
        <is>
          <t>Wk 31</t>
        </is>
      </c>
      <c r="C2189" s="66" t="inlineStr">
        <is>
          <t>Sun</t>
        </is>
      </c>
      <c r="D2189" s="66" t="inlineStr">
        <is>
          <t>Programmatic</t>
        </is>
      </c>
      <c r="E2189" s="66" t="inlineStr">
        <is>
          <t>DV360</t>
        </is>
      </c>
      <c r="F2189" s="66" t="inlineStr">
        <is>
          <t>LEP_ZA_AUG26_PROG_TD_VIDEO_OLV</t>
        </is>
      </c>
      <c r="G2189" s="66" t="inlineStr">
        <is>
          <t>Online Video / CTV</t>
        </is>
      </c>
      <c r="H2189" s="66" t="inlineStr">
        <is>
          <t>Range</t>
        </is>
      </c>
      <c r="I2189" s="66" t="inlineStr">
        <is>
          <t>Range Offer</t>
        </is>
      </c>
      <c r="J2189" s="66" t="inlineStr">
        <is>
          <t>PROG_OLV_RMKT_VIEWERS</t>
        </is>
      </c>
      <c r="K2189" s="66" t="inlineStr">
        <is>
          <t>Retargeting</t>
        </is>
      </c>
      <c r="L2189" s="66" t="inlineStr">
        <is>
          <t>PROG_OLV_15s_AMUR_v1</t>
        </is>
      </c>
      <c r="M2189" s="66" t="inlineStr">
        <is>
          <t>Video 16:9 Pre-roll</t>
        </is>
      </c>
      <c r="N2189" s="66" t="inlineStr">
        <is>
          <t>AMUR from R3 599pm</t>
        </is>
      </c>
      <c r="O2189" s="66" t="inlineStr">
        <is>
          <t>Auction - Fixed CPM</t>
        </is>
      </c>
      <c r="P2189" s="66" t="inlineStr">
        <is>
          <t>Completed Views + CPA</t>
        </is>
      </c>
      <c r="Q2189" s="66" t="inlineStr">
        <is>
          <t>https://www.lepas-sa.co.za/book-a-test-drive</t>
        </is>
      </c>
      <c r="R2189" s="121" t="n">
        <v>70</v>
      </c>
      <c r="S2189" s="122" t="n">
        <v>1712</v>
      </c>
      <c r="T2189" s="122" t="n">
        <v>939</v>
      </c>
      <c r="U2189" s="123">
        <f>IFERROR(S2189/T2189,"")</f>
        <v/>
      </c>
      <c r="V2189" s="122" t="n">
        <v>9</v>
      </c>
      <c r="W2189" s="122" t="n">
        <v>7</v>
      </c>
      <c r="X2189" s="124">
        <f>IFERROR(W2189/S2189,"")</f>
        <v/>
      </c>
      <c r="Y2189" s="121">
        <f>IFERROR(R2189/W2189,"")</f>
        <v/>
      </c>
      <c r="Z2189" s="121">
        <f>IFERROR(R2189/S2189*1000,"")</f>
        <v/>
      </c>
      <c r="AA2189" s="122" t="n">
        <v>5</v>
      </c>
      <c r="AB2189" s="54">
        <f>IFERROR(AA2189/W2189,"")</f>
        <v/>
      </c>
      <c r="AC2189" s="122" t="n">
        <v>598</v>
      </c>
      <c r="AD2189" s="122" t="n">
        <v>376</v>
      </c>
      <c r="AE2189" s="122" t="n">
        <v>287</v>
      </c>
      <c r="AF2189" s="122" t="n">
        <v>161</v>
      </c>
      <c r="AG2189" s="122" t="n">
        <v>110</v>
      </c>
      <c r="AH2189" s="122" t="n">
        <v>76</v>
      </c>
      <c r="AI2189" s="54">
        <f>IFERROR(AC2189/S2189,"")</f>
        <v/>
      </c>
      <c r="AJ2189" s="54">
        <f>IFERROR(AH2189/S2189,"")</f>
        <v/>
      </c>
      <c r="AK2189" s="122" t="n">
        <v>3</v>
      </c>
      <c r="AL2189" s="122" t="n">
        <v>0</v>
      </c>
      <c r="AM2189" s="124">
        <f>IFERROR(AL2189/AA2189,"")</f>
        <v/>
      </c>
      <c r="AN2189" s="125">
        <f>IFERROR(R2189/AL2189,"")</f>
        <v/>
      </c>
      <c r="AO2189" s="122" t="n">
        <v>0</v>
      </c>
      <c r="AP2189" s="54">
        <f>IFERROR(AO2189/AL2189,"")</f>
        <v/>
      </c>
      <c r="AQ2189" s="125">
        <f>IFERROR(R2189/AO2189,"")</f>
        <v/>
      </c>
      <c r="AR2189" s="122" t="n">
        <v>0</v>
      </c>
      <c r="AS2189" s="122" t="n">
        <v>0</v>
      </c>
      <c r="AT2189" s="122">
        <f>AL2189+AR2189</f>
        <v/>
      </c>
      <c r="AU2189" s="125">
        <f>IFERROR(AO2189*Assumptions!$C$26*Assumptions!$C$27*INDEX(Assumptions!$C$18:$C$21,MATCH(H2189,Assumptions!$B$18:$B$21,0)),0)</f>
        <v/>
      </c>
    </row>
    <row r="2190">
      <c r="A2190" s="120" t="n">
        <v>46237</v>
      </c>
      <c r="B2190" s="66" t="inlineStr">
        <is>
          <t>Wk 32</t>
        </is>
      </c>
      <c r="C2190" s="66" t="inlineStr">
        <is>
          <t>Mon</t>
        </is>
      </c>
      <c r="D2190" s="66" t="inlineStr">
        <is>
          <t>Programmatic</t>
        </is>
      </c>
      <c r="E2190" s="66" t="inlineStr">
        <is>
          <t>DV360</t>
        </is>
      </c>
      <c r="F2190" s="66" t="inlineStr">
        <is>
          <t>LEP_ZA_AUG26_PROG_TD_VIDEO_OLV</t>
        </is>
      </c>
      <c r="G2190" s="66" t="inlineStr">
        <is>
          <t>Online Video / CTV</t>
        </is>
      </c>
      <c r="H2190" s="66" t="inlineStr">
        <is>
          <t>Range</t>
        </is>
      </c>
      <c r="I2190" s="66" t="inlineStr">
        <is>
          <t>Range Offer</t>
        </is>
      </c>
      <c r="J2190" s="66" t="inlineStr">
        <is>
          <t>PROG_OLV_RMKT_VIEWERS</t>
        </is>
      </c>
      <c r="K2190" s="66" t="inlineStr">
        <is>
          <t>Retargeting</t>
        </is>
      </c>
      <c r="L2190" s="66" t="inlineStr">
        <is>
          <t>PROG_OLV_15s_AMUR_v1</t>
        </is>
      </c>
      <c r="M2190" s="66" t="inlineStr">
        <is>
          <t>Video 16:9 Pre-roll</t>
        </is>
      </c>
      <c r="N2190" s="66" t="inlineStr">
        <is>
          <t>AMUR from R3 599pm</t>
        </is>
      </c>
      <c r="O2190" s="66" t="inlineStr">
        <is>
          <t>Auction - Fixed CPM</t>
        </is>
      </c>
      <c r="P2190" s="66" t="inlineStr">
        <is>
          <t>Completed Views + CPA</t>
        </is>
      </c>
      <c r="Q2190" s="66" t="inlineStr">
        <is>
          <t>https://www.lepas-sa.co.za/book-a-test-drive</t>
        </is>
      </c>
      <c r="R2190" s="121" t="n">
        <v>96.84999999999999</v>
      </c>
      <c r="S2190" s="122" t="n">
        <v>2270</v>
      </c>
      <c r="T2190" s="122" t="n">
        <v>1465</v>
      </c>
      <c r="U2190" s="123">
        <f>IFERROR(S2190/T2190,"")</f>
        <v/>
      </c>
      <c r="V2190" s="122" t="n">
        <v>8</v>
      </c>
      <c r="W2190" s="122" t="n">
        <v>7</v>
      </c>
      <c r="X2190" s="124">
        <f>IFERROR(W2190/S2190,"")</f>
        <v/>
      </c>
      <c r="Y2190" s="121">
        <f>IFERROR(R2190/W2190,"")</f>
        <v/>
      </c>
      <c r="Z2190" s="121">
        <f>IFERROR(R2190/S2190*1000,"")</f>
        <v/>
      </c>
      <c r="AA2190" s="122" t="n">
        <v>4</v>
      </c>
      <c r="AB2190" s="54">
        <f>IFERROR(AA2190/W2190,"")</f>
        <v/>
      </c>
      <c r="AC2190" s="122" t="n">
        <v>777</v>
      </c>
      <c r="AD2190" s="122" t="n">
        <v>435</v>
      </c>
      <c r="AE2190" s="122" t="n">
        <v>336</v>
      </c>
      <c r="AF2190" s="122" t="n">
        <v>187</v>
      </c>
      <c r="AG2190" s="122" t="n">
        <v>135</v>
      </c>
      <c r="AH2190" s="122" t="n">
        <v>90</v>
      </c>
      <c r="AI2190" s="54">
        <f>IFERROR(AC2190/S2190,"")</f>
        <v/>
      </c>
      <c r="AJ2190" s="54">
        <f>IFERROR(AH2190/S2190,"")</f>
        <v/>
      </c>
      <c r="AK2190" s="122" t="n">
        <v>5</v>
      </c>
      <c r="AL2190" s="122" t="n">
        <v>0</v>
      </c>
      <c r="AM2190" s="124">
        <f>IFERROR(AL2190/AA2190,"")</f>
        <v/>
      </c>
      <c r="AN2190" s="125">
        <f>IFERROR(R2190/AL2190,"")</f>
        <v/>
      </c>
      <c r="AO2190" s="122" t="n">
        <v>0</v>
      </c>
      <c r="AP2190" s="54">
        <f>IFERROR(AO2190/AL2190,"")</f>
        <v/>
      </c>
      <c r="AQ2190" s="125">
        <f>IFERROR(R2190/AO2190,"")</f>
        <v/>
      </c>
      <c r="AR2190" s="122" t="n">
        <v>0</v>
      </c>
      <c r="AS2190" s="122" t="n">
        <v>0</v>
      </c>
      <c r="AT2190" s="122">
        <f>AL2190+AR2190</f>
        <v/>
      </c>
      <c r="AU2190" s="125">
        <f>IFERROR(AO2190*Assumptions!$C$26*Assumptions!$C$27*INDEX(Assumptions!$C$18:$C$21,MATCH(H2190,Assumptions!$B$18:$B$21,0)),0)</f>
        <v/>
      </c>
    </row>
    <row r="2191">
      <c r="A2191" s="120" t="n">
        <v>46238</v>
      </c>
      <c r="B2191" s="66" t="inlineStr">
        <is>
          <t>Wk 32</t>
        </is>
      </c>
      <c r="C2191" s="66" t="inlineStr">
        <is>
          <t>Tue</t>
        </is>
      </c>
      <c r="D2191" s="66" t="inlineStr">
        <is>
          <t>Programmatic</t>
        </is>
      </c>
      <c r="E2191" s="66" t="inlineStr">
        <is>
          <t>DV360</t>
        </is>
      </c>
      <c r="F2191" s="66" t="inlineStr">
        <is>
          <t>LEP_ZA_AUG26_PROG_TD_VIDEO_OLV</t>
        </is>
      </c>
      <c r="G2191" s="66" t="inlineStr">
        <is>
          <t>Online Video / CTV</t>
        </is>
      </c>
      <c r="H2191" s="66" t="inlineStr">
        <is>
          <t>Range</t>
        </is>
      </c>
      <c r="I2191" s="66" t="inlineStr">
        <is>
          <t>Range Offer</t>
        </is>
      </c>
      <c r="J2191" s="66" t="inlineStr">
        <is>
          <t>PROG_OLV_RMKT_VIEWERS</t>
        </is>
      </c>
      <c r="K2191" s="66" t="inlineStr">
        <is>
          <t>Retargeting</t>
        </is>
      </c>
      <c r="L2191" s="66" t="inlineStr">
        <is>
          <t>PROG_OLV_15s_AMUR_v1</t>
        </is>
      </c>
      <c r="M2191" s="66" t="inlineStr">
        <is>
          <t>Video 16:9 Pre-roll</t>
        </is>
      </c>
      <c r="N2191" s="66" t="inlineStr">
        <is>
          <t>AMUR from R3 599pm</t>
        </is>
      </c>
      <c r="O2191" s="66" t="inlineStr">
        <is>
          <t>Auction - Fixed CPM</t>
        </is>
      </c>
      <c r="P2191" s="66" t="inlineStr">
        <is>
          <t>Completed Views + CPA</t>
        </is>
      </c>
      <c r="Q2191" s="66" t="inlineStr">
        <is>
          <t>https://www.lepas-sa.co.za/book-a-test-drive</t>
        </is>
      </c>
      <c r="R2191" s="121" t="n">
        <v>103.87</v>
      </c>
      <c r="S2191" s="122" t="n">
        <v>3358</v>
      </c>
      <c r="T2191" s="122" t="n">
        <v>2369</v>
      </c>
      <c r="U2191" s="123">
        <f>IFERROR(S2191/T2191,"")</f>
        <v/>
      </c>
      <c r="V2191" s="122" t="n">
        <v>12</v>
      </c>
      <c r="W2191" s="122" t="n">
        <v>9</v>
      </c>
      <c r="X2191" s="124">
        <f>IFERROR(W2191/S2191,"")</f>
        <v/>
      </c>
      <c r="Y2191" s="121">
        <f>IFERROR(R2191/W2191,"")</f>
        <v/>
      </c>
      <c r="Z2191" s="121">
        <f>IFERROR(R2191/S2191*1000,"")</f>
        <v/>
      </c>
      <c r="AA2191" s="122" t="n">
        <v>5</v>
      </c>
      <c r="AB2191" s="54">
        <f>IFERROR(AA2191/W2191,"")</f>
        <v/>
      </c>
      <c r="AC2191" s="122" t="n">
        <v>920</v>
      </c>
      <c r="AD2191" s="122" t="n">
        <v>525</v>
      </c>
      <c r="AE2191" s="122" t="n">
        <v>463</v>
      </c>
      <c r="AF2191" s="122" t="n">
        <v>294</v>
      </c>
      <c r="AG2191" s="122" t="n">
        <v>233</v>
      </c>
      <c r="AH2191" s="122" t="n">
        <v>129</v>
      </c>
      <c r="AI2191" s="54">
        <f>IFERROR(AC2191/S2191,"")</f>
        <v/>
      </c>
      <c r="AJ2191" s="54">
        <f>IFERROR(AH2191/S2191,"")</f>
        <v/>
      </c>
      <c r="AK2191" s="122" t="n">
        <v>11</v>
      </c>
      <c r="AL2191" s="122" t="n">
        <v>0</v>
      </c>
      <c r="AM2191" s="124">
        <f>IFERROR(AL2191/AA2191,"")</f>
        <v/>
      </c>
      <c r="AN2191" s="125">
        <f>IFERROR(R2191/AL2191,"")</f>
        <v/>
      </c>
      <c r="AO2191" s="122" t="n">
        <v>0</v>
      </c>
      <c r="AP2191" s="54">
        <f>IFERROR(AO2191/AL2191,"")</f>
        <v/>
      </c>
      <c r="AQ2191" s="125">
        <f>IFERROR(R2191/AO2191,"")</f>
        <v/>
      </c>
      <c r="AR2191" s="122" t="n">
        <v>0</v>
      </c>
      <c r="AS2191" s="122" t="n">
        <v>0</v>
      </c>
      <c r="AT2191" s="122">
        <f>AL2191+AR2191</f>
        <v/>
      </c>
      <c r="AU2191" s="125">
        <f>IFERROR(AO2191*Assumptions!$C$26*Assumptions!$C$27*INDEX(Assumptions!$C$18:$C$21,MATCH(H2191,Assumptions!$B$18:$B$21,0)),0)</f>
        <v/>
      </c>
    </row>
    <row r="2192">
      <c r="A2192" s="120" t="n">
        <v>46239</v>
      </c>
      <c r="B2192" s="66" t="inlineStr">
        <is>
          <t>Wk 32</t>
        </is>
      </c>
      <c r="C2192" s="66" t="inlineStr">
        <is>
          <t>Wed</t>
        </is>
      </c>
      <c r="D2192" s="66" t="inlineStr">
        <is>
          <t>Programmatic</t>
        </is>
      </c>
      <c r="E2192" s="66" t="inlineStr">
        <is>
          <t>DV360</t>
        </is>
      </c>
      <c r="F2192" s="66" t="inlineStr">
        <is>
          <t>LEP_ZA_AUG26_PROG_TD_VIDEO_OLV</t>
        </is>
      </c>
      <c r="G2192" s="66" t="inlineStr">
        <is>
          <t>Online Video / CTV</t>
        </is>
      </c>
      <c r="H2192" s="66" t="inlineStr">
        <is>
          <t>Range</t>
        </is>
      </c>
      <c r="I2192" s="66" t="inlineStr">
        <is>
          <t>Range Offer</t>
        </is>
      </c>
      <c r="J2192" s="66" t="inlineStr">
        <is>
          <t>PROG_OLV_RMKT_VIEWERS</t>
        </is>
      </c>
      <c r="K2192" s="66" t="inlineStr">
        <is>
          <t>Retargeting</t>
        </is>
      </c>
      <c r="L2192" s="66" t="inlineStr">
        <is>
          <t>PROG_OLV_15s_AMUR_v1</t>
        </is>
      </c>
      <c r="M2192" s="66" t="inlineStr">
        <is>
          <t>Video 16:9 Pre-roll</t>
        </is>
      </c>
      <c r="N2192" s="66" t="inlineStr">
        <is>
          <t>AMUR from R3 599pm</t>
        </is>
      </c>
      <c r="O2192" s="66" t="inlineStr">
        <is>
          <t>Auction - Fixed CPM</t>
        </is>
      </c>
      <c r="P2192" s="66" t="inlineStr">
        <is>
          <t>Completed Views + CPA</t>
        </is>
      </c>
      <c r="Q2192" s="66" t="inlineStr">
        <is>
          <t>https://www.lepas-sa.co.za/book-a-test-drive</t>
        </is>
      </c>
      <c r="R2192" s="121" t="n">
        <v>116.15</v>
      </c>
      <c r="S2192" s="122" t="n">
        <v>4284</v>
      </c>
      <c r="T2192" s="122" t="n">
        <v>3128</v>
      </c>
      <c r="U2192" s="123">
        <f>IFERROR(S2192/T2192,"")</f>
        <v/>
      </c>
      <c r="V2192" s="122" t="n">
        <v>11</v>
      </c>
      <c r="W2192" s="122" t="n">
        <v>9</v>
      </c>
      <c r="X2192" s="124">
        <f>IFERROR(W2192/S2192,"")</f>
        <v/>
      </c>
      <c r="Y2192" s="121">
        <f>IFERROR(R2192/W2192,"")</f>
        <v/>
      </c>
      <c r="Z2192" s="121">
        <f>IFERROR(R2192/S2192*1000,"")</f>
        <v/>
      </c>
      <c r="AA2192" s="122" t="n">
        <v>5</v>
      </c>
      <c r="AB2192" s="54">
        <f>IFERROR(AA2192/W2192,"")</f>
        <v/>
      </c>
      <c r="AC2192" s="122" t="n">
        <v>1692</v>
      </c>
      <c r="AD2192" s="122" t="n">
        <v>938</v>
      </c>
      <c r="AE2192" s="122" t="n">
        <v>727</v>
      </c>
      <c r="AF2192" s="122" t="n">
        <v>505</v>
      </c>
      <c r="AG2192" s="122" t="n">
        <v>341</v>
      </c>
      <c r="AH2192" s="122" t="n">
        <v>198</v>
      </c>
      <c r="AI2192" s="54">
        <f>IFERROR(AC2192/S2192,"")</f>
        <v/>
      </c>
      <c r="AJ2192" s="54">
        <f>IFERROR(AH2192/S2192,"")</f>
        <v/>
      </c>
      <c r="AK2192" s="122" t="n">
        <v>22</v>
      </c>
      <c r="AL2192" s="122" t="n">
        <v>1</v>
      </c>
      <c r="AM2192" s="124">
        <f>IFERROR(AL2192/AA2192,"")</f>
        <v/>
      </c>
      <c r="AN2192" s="125">
        <f>IFERROR(R2192/AL2192,"")</f>
        <v/>
      </c>
      <c r="AO2192" s="122" t="n">
        <v>1</v>
      </c>
      <c r="AP2192" s="54">
        <f>IFERROR(AO2192/AL2192,"")</f>
        <v/>
      </c>
      <c r="AQ2192" s="125">
        <f>IFERROR(R2192/AO2192,"")</f>
        <v/>
      </c>
      <c r="AR2192" s="122" t="n">
        <v>3</v>
      </c>
      <c r="AS2192" s="122" t="n">
        <v>0</v>
      </c>
      <c r="AT2192" s="122">
        <f>AL2192+AR2192</f>
        <v/>
      </c>
      <c r="AU2192" s="125">
        <f>IFERROR(AO2192*Assumptions!$C$26*Assumptions!$C$27*INDEX(Assumptions!$C$18:$C$21,MATCH(H2192,Assumptions!$B$18:$B$21,0)),0)</f>
        <v/>
      </c>
    </row>
    <row r="2193">
      <c r="A2193" s="120" t="n">
        <v>46240</v>
      </c>
      <c r="B2193" s="66" t="inlineStr">
        <is>
          <t>Wk 32</t>
        </is>
      </c>
      <c r="C2193" s="66" t="inlineStr">
        <is>
          <t>Thu</t>
        </is>
      </c>
      <c r="D2193" s="66" t="inlineStr">
        <is>
          <t>Programmatic</t>
        </is>
      </c>
      <c r="E2193" s="66" t="inlineStr">
        <is>
          <t>DV360</t>
        </is>
      </c>
      <c r="F2193" s="66" t="inlineStr">
        <is>
          <t>LEP_ZA_AUG26_PROG_TD_VIDEO_OLV</t>
        </is>
      </c>
      <c r="G2193" s="66" t="inlineStr">
        <is>
          <t>Online Video / CTV</t>
        </is>
      </c>
      <c r="H2193" s="66" t="inlineStr">
        <is>
          <t>Range</t>
        </is>
      </c>
      <c r="I2193" s="66" t="inlineStr">
        <is>
          <t>Range Offer</t>
        </is>
      </c>
      <c r="J2193" s="66" t="inlineStr">
        <is>
          <t>PROG_OLV_RMKT_VIEWERS</t>
        </is>
      </c>
      <c r="K2193" s="66" t="inlineStr">
        <is>
          <t>Retargeting</t>
        </is>
      </c>
      <c r="L2193" s="66" t="inlineStr">
        <is>
          <t>PROG_OLV_15s_AMUR_v1</t>
        </is>
      </c>
      <c r="M2193" s="66" t="inlineStr">
        <is>
          <t>Video 16:9 Pre-roll</t>
        </is>
      </c>
      <c r="N2193" s="66" t="inlineStr">
        <is>
          <t>AMUR from R3 599pm</t>
        </is>
      </c>
      <c r="O2193" s="66" t="inlineStr">
        <is>
          <t>Auction - Fixed CPM</t>
        </is>
      </c>
      <c r="P2193" s="66" t="inlineStr">
        <is>
          <t>Completed Views + CPA</t>
        </is>
      </c>
      <c r="Q2193" s="66" t="inlineStr">
        <is>
          <t>https://www.lepas-sa.co.za/book-a-test-drive</t>
        </is>
      </c>
      <c r="R2193" s="121" t="n">
        <v>118.03</v>
      </c>
      <c r="S2193" s="122" t="n">
        <v>3438</v>
      </c>
      <c r="T2193" s="122" t="n">
        <v>2207</v>
      </c>
      <c r="U2193" s="123">
        <f>IFERROR(S2193/T2193,"")</f>
        <v/>
      </c>
      <c r="V2193" s="122" t="n">
        <v>24</v>
      </c>
      <c r="W2193" s="122" t="n">
        <v>20</v>
      </c>
      <c r="X2193" s="124">
        <f>IFERROR(W2193/S2193,"")</f>
        <v/>
      </c>
      <c r="Y2193" s="121">
        <f>IFERROR(R2193/W2193,"")</f>
        <v/>
      </c>
      <c r="Z2193" s="121">
        <f>IFERROR(R2193/S2193*1000,"")</f>
        <v/>
      </c>
      <c r="AA2193" s="122" t="n">
        <v>13</v>
      </c>
      <c r="AB2193" s="54">
        <f>IFERROR(AA2193/W2193,"")</f>
        <v/>
      </c>
      <c r="AC2193" s="122" t="n">
        <v>914</v>
      </c>
      <c r="AD2193" s="122" t="n">
        <v>479</v>
      </c>
      <c r="AE2193" s="122" t="n">
        <v>491</v>
      </c>
      <c r="AF2193" s="122" t="n">
        <v>297</v>
      </c>
      <c r="AG2193" s="122" t="n">
        <v>208</v>
      </c>
      <c r="AH2193" s="122" t="n">
        <v>127</v>
      </c>
      <c r="AI2193" s="54">
        <f>IFERROR(AC2193/S2193,"")</f>
        <v/>
      </c>
      <c r="AJ2193" s="54">
        <f>IFERROR(AH2193/S2193,"")</f>
        <v/>
      </c>
      <c r="AK2193" s="122" t="n">
        <v>18</v>
      </c>
      <c r="AL2193" s="122" t="n">
        <v>0</v>
      </c>
      <c r="AM2193" s="124">
        <f>IFERROR(AL2193/AA2193,"")</f>
        <v/>
      </c>
      <c r="AN2193" s="125">
        <f>IFERROR(R2193/AL2193,"")</f>
        <v/>
      </c>
      <c r="AO2193" s="122" t="n">
        <v>0</v>
      </c>
      <c r="AP2193" s="54">
        <f>IFERROR(AO2193/AL2193,"")</f>
        <v/>
      </c>
      <c r="AQ2193" s="125">
        <f>IFERROR(R2193/AO2193,"")</f>
        <v/>
      </c>
      <c r="AR2193" s="122" t="n">
        <v>0</v>
      </c>
      <c r="AS2193" s="122" t="n">
        <v>0</v>
      </c>
      <c r="AT2193" s="122">
        <f>AL2193+AR2193</f>
        <v/>
      </c>
      <c r="AU2193" s="125">
        <f>IFERROR(AO2193*Assumptions!$C$26*Assumptions!$C$27*INDEX(Assumptions!$C$18:$C$21,MATCH(H2193,Assumptions!$B$18:$B$21,0)),0)</f>
        <v/>
      </c>
    </row>
    <row r="2194">
      <c r="A2194" s="120" t="n">
        <v>46241</v>
      </c>
      <c r="B2194" s="66" t="inlineStr">
        <is>
          <t>Wk 32</t>
        </is>
      </c>
      <c r="C2194" s="66" t="inlineStr">
        <is>
          <t>Fri</t>
        </is>
      </c>
      <c r="D2194" s="66" t="inlineStr">
        <is>
          <t>Programmatic</t>
        </is>
      </c>
      <c r="E2194" s="66" t="inlineStr">
        <is>
          <t>DV360</t>
        </is>
      </c>
      <c r="F2194" s="66" t="inlineStr">
        <is>
          <t>LEP_ZA_AUG26_PROG_TD_VIDEO_OLV</t>
        </is>
      </c>
      <c r="G2194" s="66" t="inlineStr">
        <is>
          <t>Online Video / CTV</t>
        </is>
      </c>
      <c r="H2194" s="66" t="inlineStr">
        <is>
          <t>Range</t>
        </is>
      </c>
      <c r="I2194" s="66" t="inlineStr">
        <is>
          <t>Range Offer</t>
        </is>
      </c>
      <c r="J2194" s="66" t="inlineStr">
        <is>
          <t>PROG_OLV_RMKT_VIEWERS</t>
        </is>
      </c>
      <c r="K2194" s="66" t="inlineStr">
        <is>
          <t>Retargeting</t>
        </is>
      </c>
      <c r="L2194" s="66" t="inlineStr">
        <is>
          <t>PROG_OLV_15s_AMUR_v1</t>
        </is>
      </c>
      <c r="M2194" s="66" t="inlineStr">
        <is>
          <t>Video 16:9 Pre-roll</t>
        </is>
      </c>
      <c r="N2194" s="66" t="inlineStr">
        <is>
          <t>AMUR from R3 599pm</t>
        </is>
      </c>
      <c r="O2194" s="66" t="inlineStr">
        <is>
          <t>Auction - Fixed CPM</t>
        </is>
      </c>
      <c r="P2194" s="66" t="inlineStr">
        <is>
          <t>Completed Views + CPA</t>
        </is>
      </c>
      <c r="Q2194" s="66" t="inlineStr">
        <is>
          <t>https://www.lepas-sa.co.za/book-a-test-drive</t>
        </is>
      </c>
      <c r="R2194" s="121" t="n">
        <v>132.9</v>
      </c>
      <c r="S2194" s="122" t="n">
        <v>3303</v>
      </c>
      <c r="T2194" s="122" t="n">
        <v>1635</v>
      </c>
      <c r="U2194" s="123">
        <f>IFERROR(S2194/T2194,"")</f>
        <v/>
      </c>
      <c r="V2194" s="122" t="n">
        <v>14</v>
      </c>
      <c r="W2194" s="122" t="n">
        <v>12</v>
      </c>
      <c r="X2194" s="124">
        <f>IFERROR(W2194/S2194,"")</f>
        <v/>
      </c>
      <c r="Y2194" s="121">
        <f>IFERROR(R2194/W2194,"")</f>
        <v/>
      </c>
      <c r="Z2194" s="121">
        <f>IFERROR(R2194/S2194*1000,"")</f>
        <v/>
      </c>
      <c r="AA2194" s="122" t="n">
        <v>6</v>
      </c>
      <c r="AB2194" s="54">
        <f>IFERROR(AA2194/W2194,"")</f>
        <v/>
      </c>
      <c r="AC2194" s="122" t="n">
        <v>1040</v>
      </c>
      <c r="AD2194" s="122" t="n">
        <v>472</v>
      </c>
      <c r="AE2194" s="122" t="n">
        <v>431</v>
      </c>
      <c r="AF2194" s="122" t="n">
        <v>290</v>
      </c>
      <c r="AG2194" s="122" t="n">
        <v>206</v>
      </c>
      <c r="AH2194" s="122" t="n">
        <v>115</v>
      </c>
      <c r="AI2194" s="54">
        <f>IFERROR(AC2194/S2194,"")</f>
        <v/>
      </c>
      <c r="AJ2194" s="54">
        <f>IFERROR(AH2194/S2194,"")</f>
        <v/>
      </c>
      <c r="AK2194" s="122" t="n">
        <v>6</v>
      </c>
      <c r="AL2194" s="122" t="n">
        <v>0</v>
      </c>
      <c r="AM2194" s="124">
        <f>IFERROR(AL2194/AA2194,"")</f>
        <v/>
      </c>
      <c r="AN2194" s="125">
        <f>IFERROR(R2194/AL2194,"")</f>
        <v/>
      </c>
      <c r="AO2194" s="122" t="n">
        <v>0</v>
      </c>
      <c r="AP2194" s="54">
        <f>IFERROR(AO2194/AL2194,"")</f>
        <v/>
      </c>
      <c r="AQ2194" s="125">
        <f>IFERROR(R2194/AO2194,"")</f>
        <v/>
      </c>
      <c r="AR2194" s="122" t="n">
        <v>0</v>
      </c>
      <c r="AS2194" s="122" t="n">
        <v>0</v>
      </c>
      <c r="AT2194" s="122">
        <f>AL2194+AR2194</f>
        <v/>
      </c>
      <c r="AU2194" s="125">
        <f>IFERROR(AO2194*Assumptions!$C$26*Assumptions!$C$27*INDEX(Assumptions!$C$18:$C$21,MATCH(H2194,Assumptions!$B$18:$B$21,0)),0)</f>
        <v/>
      </c>
    </row>
    <row r="2195">
      <c r="A2195" s="120" t="n">
        <v>46242</v>
      </c>
      <c r="B2195" s="66" t="inlineStr">
        <is>
          <t>Wk 32</t>
        </is>
      </c>
      <c r="C2195" s="66" t="inlineStr">
        <is>
          <t>Sat</t>
        </is>
      </c>
      <c r="D2195" s="66" t="inlineStr">
        <is>
          <t>Programmatic</t>
        </is>
      </c>
      <c r="E2195" s="66" t="inlineStr">
        <is>
          <t>DV360</t>
        </is>
      </c>
      <c r="F2195" s="66" t="inlineStr">
        <is>
          <t>LEP_ZA_AUG26_PROG_TD_VIDEO_OLV</t>
        </is>
      </c>
      <c r="G2195" s="66" t="inlineStr">
        <is>
          <t>Online Video / CTV</t>
        </is>
      </c>
      <c r="H2195" s="66" t="inlineStr">
        <is>
          <t>Range</t>
        </is>
      </c>
      <c r="I2195" s="66" t="inlineStr">
        <is>
          <t>Range Offer</t>
        </is>
      </c>
      <c r="J2195" s="66" t="inlineStr">
        <is>
          <t>PROG_OLV_RMKT_VIEWERS</t>
        </is>
      </c>
      <c r="K2195" s="66" t="inlineStr">
        <is>
          <t>Retargeting</t>
        </is>
      </c>
      <c r="L2195" s="66" t="inlineStr">
        <is>
          <t>PROG_OLV_15s_AMUR_v1</t>
        </is>
      </c>
      <c r="M2195" s="66" t="inlineStr">
        <is>
          <t>Video 16:9 Pre-roll</t>
        </is>
      </c>
      <c r="N2195" s="66" t="inlineStr">
        <is>
          <t>AMUR from R3 599pm</t>
        </is>
      </c>
      <c r="O2195" s="66" t="inlineStr">
        <is>
          <t>Auction - Fixed CPM</t>
        </is>
      </c>
      <c r="P2195" s="66" t="inlineStr">
        <is>
          <t>Completed Views + CPA</t>
        </is>
      </c>
      <c r="Q2195" s="66" t="inlineStr">
        <is>
          <t>https://www.lepas-sa.co.za/book-a-test-drive</t>
        </is>
      </c>
      <c r="R2195" s="121" t="n">
        <v>123.22</v>
      </c>
      <c r="S2195" s="122" t="n">
        <v>2936</v>
      </c>
      <c r="T2195" s="122" t="n">
        <v>1301</v>
      </c>
      <c r="U2195" s="123">
        <f>IFERROR(S2195/T2195,"")</f>
        <v/>
      </c>
      <c r="V2195" s="122" t="n">
        <v>21</v>
      </c>
      <c r="W2195" s="122" t="n">
        <v>16</v>
      </c>
      <c r="X2195" s="124">
        <f>IFERROR(W2195/S2195,"")</f>
        <v/>
      </c>
      <c r="Y2195" s="121">
        <f>IFERROR(R2195/W2195,"")</f>
        <v/>
      </c>
      <c r="Z2195" s="121">
        <f>IFERROR(R2195/S2195*1000,"")</f>
        <v/>
      </c>
      <c r="AA2195" s="122" t="n">
        <v>9</v>
      </c>
      <c r="AB2195" s="54">
        <f>IFERROR(AA2195/W2195,"")</f>
        <v/>
      </c>
      <c r="AC2195" s="122" t="n">
        <v>877</v>
      </c>
      <c r="AD2195" s="122" t="n">
        <v>529</v>
      </c>
      <c r="AE2195" s="122" t="n">
        <v>401</v>
      </c>
      <c r="AF2195" s="122" t="n">
        <v>223</v>
      </c>
      <c r="AG2195" s="122" t="n">
        <v>169</v>
      </c>
      <c r="AH2195" s="122" t="n">
        <v>107</v>
      </c>
      <c r="AI2195" s="54">
        <f>IFERROR(AC2195/S2195,"")</f>
        <v/>
      </c>
      <c r="AJ2195" s="54">
        <f>IFERROR(AH2195/S2195,"")</f>
        <v/>
      </c>
      <c r="AK2195" s="122" t="n">
        <v>13</v>
      </c>
      <c r="AL2195" s="122" t="n">
        <v>0</v>
      </c>
      <c r="AM2195" s="124">
        <f>IFERROR(AL2195/AA2195,"")</f>
        <v/>
      </c>
      <c r="AN2195" s="125">
        <f>IFERROR(R2195/AL2195,"")</f>
        <v/>
      </c>
      <c r="AO2195" s="122" t="n">
        <v>0</v>
      </c>
      <c r="AP2195" s="54">
        <f>IFERROR(AO2195/AL2195,"")</f>
        <v/>
      </c>
      <c r="AQ2195" s="125">
        <f>IFERROR(R2195/AO2195,"")</f>
        <v/>
      </c>
      <c r="AR2195" s="122" t="n">
        <v>0</v>
      </c>
      <c r="AS2195" s="122" t="n">
        <v>0</v>
      </c>
      <c r="AT2195" s="122">
        <f>AL2195+AR2195</f>
        <v/>
      </c>
      <c r="AU2195" s="125">
        <f>IFERROR(AO2195*Assumptions!$C$26*Assumptions!$C$27*INDEX(Assumptions!$C$18:$C$21,MATCH(H2195,Assumptions!$B$18:$B$21,0)),0)</f>
        <v/>
      </c>
    </row>
    <row r="2196">
      <c r="A2196" s="120" t="n">
        <v>46243</v>
      </c>
      <c r="B2196" s="66" t="inlineStr">
        <is>
          <t>Wk 32</t>
        </is>
      </c>
      <c r="C2196" s="66" t="inlineStr">
        <is>
          <t>Sun</t>
        </is>
      </c>
      <c r="D2196" s="66" t="inlineStr">
        <is>
          <t>Programmatic</t>
        </is>
      </c>
      <c r="E2196" s="66" t="inlineStr">
        <is>
          <t>DV360</t>
        </is>
      </c>
      <c r="F2196" s="66" t="inlineStr">
        <is>
          <t>LEP_ZA_AUG26_PROG_TD_VIDEO_OLV</t>
        </is>
      </c>
      <c r="G2196" s="66" t="inlineStr">
        <is>
          <t>Online Video / CTV</t>
        </is>
      </c>
      <c r="H2196" s="66" t="inlineStr">
        <is>
          <t>Range</t>
        </is>
      </c>
      <c r="I2196" s="66" t="inlineStr">
        <is>
          <t>Range Offer</t>
        </is>
      </c>
      <c r="J2196" s="66" t="inlineStr">
        <is>
          <t>PROG_OLV_RMKT_VIEWERS</t>
        </is>
      </c>
      <c r="K2196" s="66" t="inlineStr">
        <is>
          <t>Retargeting</t>
        </is>
      </c>
      <c r="L2196" s="66" t="inlineStr">
        <is>
          <t>PROG_OLV_15s_AMUR_v1</t>
        </is>
      </c>
      <c r="M2196" s="66" t="inlineStr">
        <is>
          <t>Video 16:9 Pre-roll</t>
        </is>
      </c>
      <c r="N2196" s="66" t="inlineStr">
        <is>
          <t>AMUR from R3 599pm</t>
        </is>
      </c>
      <c r="O2196" s="66" t="inlineStr">
        <is>
          <t>Auction - Fixed CPM</t>
        </is>
      </c>
      <c r="P2196" s="66" t="inlineStr">
        <is>
          <t>Completed Views + CPA</t>
        </is>
      </c>
      <c r="Q2196" s="66" t="inlineStr">
        <is>
          <t>https://www.lepas-sa.co.za/book-a-test-drive</t>
        </is>
      </c>
      <c r="R2196" s="121" t="n">
        <v>78.48999999999999</v>
      </c>
      <c r="S2196" s="122" t="n">
        <v>2414</v>
      </c>
      <c r="T2196" s="122" t="n">
        <v>1684</v>
      </c>
      <c r="U2196" s="123">
        <f>IFERROR(S2196/T2196,"")</f>
        <v/>
      </c>
      <c r="V2196" s="122" t="n">
        <v>12</v>
      </c>
      <c r="W2196" s="122" t="n">
        <v>10</v>
      </c>
      <c r="X2196" s="124">
        <f>IFERROR(W2196/S2196,"")</f>
        <v/>
      </c>
      <c r="Y2196" s="121">
        <f>IFERROR(R2196/W2196,"")</f>
        <v/>
      </c>
      <c r="Z2196" s="121">
        <f>IFERROR(R2196/S2196*1000,"")</f>
        <v/>
      </c>
      <c r="AA2196" s="122" t="n">
        <v>6</v>
      </c>
      <c r="AB2196" s="54">
        <f>IFERROR(AA2196/W2196,"")</f>
        <v/>
      </c>
      <c r="AC2196" s="122" t="n">
        <v>733</v>
      </c>
      <c r="AD2196" s="122" t="n">
        <v>374</v>
      </c>
      <c r="AE2196" s="122" t="n">
        <v>304</v>
      </c>
      <c r="AF2196" s="122" t="n">
        <v>187</v>
      </c>
      <c r="AG2196" s="122" t="n">
        <v>141</v>
      </c>
      <c r="AH2196" s="122" t="n">
        <v>102</v>
      </c>
      <c r="AI2196" s="54">
        <f>IFERROR(AC2196/S2196,"")</f>
        <v/>
      </c>
      <c r="AJ2196" s="54">
        <f>IFERROR(AH2196/S2196,"")</f>
        <v/>
      </c>
      <c r="AK2196" s="122" t="n">
        <v>13</v>
      </c>
      <c r="AL2196" s="122" t="n">
        <v>0</v>
      </c>
      <c r="AM2196" s="124">
        <f>IFERROR(AL2196/AA2196,"")</f>
        <v/>
      </c>
      <c r="AN2196" s="125">
        <f>IFERROR(R2196/AL2196,"")</f>
        <v/>
      </c>
      <c r="AO2196" s="122" t="n">
        <v>0</v>
      </c>
      <c r="AP2196" s="54">
        <f>IFERROR(AO2196/AL2196,"")</f>
        <v/>
      </c>
      <c r="AQ2196" s="125">
        <f>IFERROR(R2196/AO2196,"")</f>
        <v/>
      </c>
      <c r="AR2196" s="122" t="n">
        <v>0</v>
      </c>
      <c r="AS2196" s="122" t="n">
        <v>0</v>
      </c>
      <c r="AT2196" s="122">
        <f>AL2196+AR2196</f>
        <v/>
      </c>
      <c r="AU2196" s="125">
        <f>IFERROR(AO2196*Assumptions!$C$26*Assumptions!$C$27*INDEX(Assumptions!$C$18:$C$21,MATCH(H2196,Assumptions!$B$18:$B$21,0)),0)</f>
        <v/>
      </c>
    </row>
    <row r="2197">
      <c r="A2197" s="120" t="n">
        <v>46244</v>
      </c>
      <c r="B2197" s="66" t="inlineStr">
        <is>
          <t>Wk 33</t>
        </is>
      </c>
      <c r="C2197" s="66" t="inlineStr">
        <is>
          <t>Mon</t>
        </is>
      </c>
      <c r="D2197" s="66" t="inlineStr">
        <is>
          <t>Programmatic</t>
        </is>
      </c>
      <c r="E2197" s="66" t="inlineStr">
        <is>
          <t>DV360</t>
        </is>
      </c>
      <c r="F2197" s="66" t="inlineStr">
        <is>
          <t>LEP_ZA_AUG26_PROG_TD_VIDEO_OLV</t>
        </is>
      </c>
      <c r="G2197" s="66" t="inlineStr">
        <is>
          <t>Online Video / CTV</t>
        </is>
      </c>
      <c r="H2197" s="66" t="inlineStr">
        <is>
          <t>Range</t>
        </is>
      </c>
      <c r="I2197" s="66" t="inlineStr">
        <is>
          <t>Range Offer</t>
        </is>
      </c>
      <c r="J2197" s="66" t="inlineStr">
        <is>
          <t>PROG_OLV_RMKT_VIEWERS</t>
        </is>
      </c>
      <c r="K2197" s="66" t="inlineStr">
        <is>
          <t>Retargeting</t>
        </is>
      </c>
      <c r="L2197" s="66" t="inlineStr">
        <is>
          <t>PROG_OLV_15s_AMUR_v1</t>
        </is>
      </c>
      <c r="M2197" s="66" t="inlineStr">
        <is>
          <t>Video 16:9 Pre-roll</t>
        </is>
      </c>
      <c r="N2197" s="66" t="inlineStr">
        <is>
          <t>AMUR from R3 599pm</t>
        </is>
      </c>
      <c r="O2197" s="66" t="inlineStr">
        <is>
          <t>Auction - Fixed CPM</t>
        </is>
      </c>
      <c r="P2197" s="66" t="inlineStr">
        <is>
          <t>Completed Views + CPA</t>
        </is>
      </c>
      <c r="Q2197" s="66" t="inlineStr">
        <is>
          <t>https://www.lepas-sa.co.za/book-a-test-drive</t>
        </is>
      </c>
      <c r="R2197" s="121" t="n">
        <v>96.56</v>
      </c>
      <c r="S2197" s="122" t="n">
        <v>2598</v>
      </c>
      <c r="T2197" s="122" t="n">
        <v>1302</v>
      </c>
      <c r="U2197" s="123">
        <f>IFERROR(S2197/T2197,"")</f>
        <v/>
      </c>
      <c r="V2197" s="122" t="n">
        <v>21</v>
      </c>
      <c r="W2197" s="122" t="n">
        <v>15</v>
      </c>
      <c r="X2197" s="124">
        <f>IFERROR(W2197/S2197,"")</f>
        <v/>
      </c>
      <c r="Y2197" s="121">
        <f>IFERROR(R2197/W2197,"")</f>
        <v/>
      </c>
      <c r="Z2197" s="121">
        <f>IFERROR(R2197/S2197*1000,"")</f>
        <v/>
      </c>
      <c r="AA2197" s="122" t="n">
        <v>10</v>
      </c>
      <c r="AB2197" s="54">
        <f>IFERROR(AA2197/W2197,"")</f>
        <v/>
      </c>
      <c r="AC2197" s="122" t="n">
        <v>719</v>
      </c>
      <c r="AD2197" s="122" t="n">
        <v>434</v>
      </c>
      <c r="AE2197" s="122" t="n">
        <v>371</v>
      </c>
      <c r="AF2197" s="122" t="n">
        <v>243</v>
      </c>
      <c r="AG2197" s="122" t="n">
        <v>179</v>
      </c>
      <c r="AH2197" s="122" t="n">
        <v>103</v>
      </c>
      <c r="AI2197" s="54">
        <f>IFERROR(AC2197/S2197,"")</f>
        <v/>
      </c>
      <c r="AJ2197" s="54">
        <f>IFERROR(AH2197/S2197,"")</f>
        <v/>
      </c>
      <c r="AK2197" s="122" t="n">
        <v>13</v>
      </c>
      <c r="AL2197" s="122" t="n">
        <v>0</v>
      </c>
      <c r="AM2197" s="124">
        <f>IFERROR(AL2197/AA2197,"")</f>
        <v/>
      </c>
      <c r="AN2197" s="125">
        <f>IFERROR(R2197/AL2197,"")</f>
        <v/>
      </c>
      <c r="AO2197" s="122" t="n">
        <v>0</v>
      </c>
      <c r="AP2197" s="54">
        <f>IFERROR(AO2197/AL2197,"")</f>
        <v/>
      </c>
      <c r="AQ2197" s="125">
        <f>IFERROR(R2197/AO2197,"")</f>
        <v/>
      </c>
      <c r="AR2197" s="122" t="n">
        <v>0</v>
      </c>
      <c r="AS2197" s="122" t="n">
        <v>0</v>
      </c>
      <c r="AT2197" s="122">
        <f>AL2197+AR2197</f>
        <v/>
      </c>
      <c r="AU2197" s="125">
        <f>IFERROR(AO2197*Assumptions!$C$26*Assumptions!$C$27*INDEX(Assumptions!$C$18:$C$21,MATCH(H2197,Assumptions!$B$18:$B$21,0)),0)</f>
        <v/>
      </c>
    </row>
    <row r="2198">
      <c r="A2198" s="120" t="n">
        <v>46245</v>
      </c>
      <c r="B2198" s="66" t="inlineStr">
        <is>
          <t>Wk 33</t>
        </is>
      </c>
      <c r="C2198" s="66" t="inlineStr">
        <is>
          <t>Tue</t>
        </is>
      </c>
      <c r="D2198" s="66" t="inlineStr">
        <is>
          <t>Programmatic</t>
        </is>
      </c>
      <c r="E2198" s="66" t="inlineStr">
        <is>
          <t>DV360</t>
        </is>
      </c>
      <c r="F2198" s="66" t="inlineStr">
        <is>
          <t>LEP_ZA_AUG26_PROG_TD_VIDEO_OLV</t>
        </is>
      </c>
      <c r="G2198" s="66" t="inlineStr">
        <is>
          <t>Online Video / CTV</t>
        </is>
      </c>
      <c r="H2198" s="66" t="inlineStr">
        <is>
          <t>Range</t>
        </is>
      </c>
      <c r="I2198" s="66" t="inlineStr">
        <is>
          <t>Range Offer</t>
        </is>
      </c>
      <c r="J2198" s="66" t="inlineStr">
        <is>
          <t>PROG_OLV_RMKT_VIEWERS</t>
        </is>
      </c>
      <c r="K2198" s="66" t="inlineStr">
        <is>
          <t>Retargeting</t>
        </is>
      </c>
      <c r="L2198" s="66" t="inlineStr">
        <is>
          <t>PROG_OLV_15s_AMUR_v1</t>
        </is>
      </c>
      <c r="M2198" s="66" t="inlineStr">
        <is>
          <t>Video 16:9 Pre-roll</t>
        </is>
      </c>
      <c r="N2198" s="66" t="inlineStr">
        <is>
          <t>AMUR from R3 599pm</t>
        </is>
      </c>
      <c r="O2198" s="66" t="inlineStr">
        <is>
          <t>Auction - Fixed CPM</t>
        </is>
      </c>
      <c r="P2198" s="66" t="inlineStr">
        <is>
          <t>Completed Views + CPA</t>
        </is>
      </c>
      <c r="Q2198" s="66" t="inlineStr">
        <is>
          <t>https://www.lepas-sa.co.za/book-a-test-drive</t>
        </is>
      </c>
      <c r="R2198" s="121" t="n">
        <v>110.92</v>
      </c>
      <c r="S2198" s="122" t="n">
        <v>4409</v>
      </c>
      <c r="T2198" s="122" t="n">
        <v>1972</v>
      </c>
      <c r="U2198" s="123">
        <f>IFERROR(S2198/T2198,"")</f>
        <v/>
      </c>
      <c r="V2198" s="122" t="n">
        <v>20</v>
      </c>
      <c r="W2198" s="122" t="n">
        <v>16</v>
      </c>
      <c r="X2198" s="124">
        <f>IFERROR(W2198/S2198,"")</f>
        <v/>
      </c>
      <c r="Y2198" s="121">
        <f>IFERROR(R2198/W2198,"")</f>
        <v/>
      </c>
      <c r="Z2198" s="121">
        <f>IFERROR(R2198/S2198*1000,"")</f>
        <v/>
      </c>
      <c r="AA2198" s="122" t="n">
        <v>10</v>
      </c>
      <c r="AB2198" s="54">
        <f>IFERROR(AA2198/W2198,"")</f>
        <v/>
      </c>
      <c r="AC2198" s="122" t="n">
        <v>1433</v>
      </c>
      <c r="AD2198" s="122" t="n">
        <v>666</v>
      </c>
      <c r="AE2198" s="122" t="n">
        <v>692</v>
      </c>
      <c r="AF2198" s="122" t="n">
        <v>487</v>
      </c>
      <c r="AG2198" s="122" t="n">
        <v>384</v>
      </c>
      <c r="AH2198" s="122" t="n">
        <v>242</v>
      </c>
      <c r="AI2198" s="54">
        <f>IFERROR(AC2198/S2198,"")</f>
        <v/>
      </c>
      <c r="AJ2198" s="54">
        <f>IFERROR(AH2198/S2198,"")</f>
        <v/>
      </c>
      <c r="AK2198" s="122" t="n">
        <v>5</v>
      </c>
      <c r="AL2198" s="122" t="n">
        <v>0</v>
      </c>
      <c r="AM2198" s="124">
        <f>IFERROR(AL2198/AA2198,"")</f>
        <v/>
      </c>
      <c r="AN2198" s="125">
        <f>IFERROR(R2198/AL2198,"")</f>
        <v/>
      </c>
      <c r="AO2198" s="122" t="n">
        <v>0</v>
      </c>
      <c r="AP2198" s="54">
        <f>IFERROR(AO2198/AL2198,"")</f>
        <v/>
      </c>
      <c r="AQ2198" s="125">
        <f>IFERROR(R2198/AO2198,"")</f>
        <v/>
      </c>
      <c r="AR2198" s="122" t="n">
        <v>0</v>
      </c>
      <c r="AS2198" s="122" t="n">
        <v>0</v>
      </c>
      <c r="AT2198" s="122">
        <f>AL2198+AR2198</f>
        <v/>
      </c>
      <c r="AU2198" s="125">
        <f>IFERROR(AO2198*Assumptions!$C$26*Assumptions!$C$27*INDEX(Assumptions!$C$18:$C$21,MATCH(H2198,Assumptions!$B$18:$B$21,0)),0)</f>
        <v/>
      </c>
    </row>
    <row r="2199">
      <c r="A2199" s="120" t="n">
        <v>46246</v>
      </c>
      <c r="B2199" s="66" t="inlineStr">
        <is>
          <t>Wk 33</t>
        </is>
      </c>
      <c r="C2199" s="66" t="inlineStr">
        <is>
          <t>Wed</t>
        </is>
      </c>
      <c r="D2199" s="66" t="inlineStr">
        <is>
          <t>Programmatic</t>
        </is>
      </c>
      <c r="E2199" s="66" t="inlineStr">
        <is>
          <t>DV360</t>
        </is>
      </c>
      <c r="F2199" s="66" t="inlineStr">
        <is>
          <t>LEP_ZA_AUG26_PROG_TD_VIDEO_OLV</t>
        </is>
      </c>
      <c r="G2199" s="66" t="inlineStr">
        <is>
          <t>Online Video / CTV</t>
        </is>
      </c>
      <c r="H2199" s="66" t="inlineStr">
        <is>
          <t>Range</t>
        </is>
      </c>
      <c r="I2199" s="66" t="inlineStr">
        <is>
          <t>Range Offer</t>
        </is>
      </c>
      <c r="J2199" s="66" t="inlineStr">
        <is>
          <t>PROG_OLV_RMKT_VIEWERS</t>
        </is>
      </c>
      <c r="K2199" s="66" t="inlineStr">
        <is>
          <t>Retargeting</t>
        </is>
      </c>
      <c r="L2199" s="66" t="inlineStr">
        <is>
          <t>PROG_OLV_15s_AMUR_v1</t>
        </is>
      </c>
      <c r="M2199" s="66" t="inlineStr">
        <is>
          <t>Video 16:9 Pre-roll</t>
        </is>
      </c>
      <c r="N2199" s="66" t="inlineStr">
        <is>
          <t>AMUR from R3 599pm</t>
        </is>
      </c>
      <c r="O2199" s="66" t="inlineStr">
        <is>
          <t>Auction - Fixed CPM</t>
        </is>
      </c>
      <c r="P2199" s="66" t="inlineStr">
        <is>
          <t>Completed Views + CPA</t>
        </is>
      </c>
      <c r="Q2199" s="66" t="inlineStr">
        <is>
          <t>https://www.lepas-sa.co.za/book-a-test-drive</t>
        </is>
      </c>
      <c r="R2199" s="121" t="n">
        <v>92.18000000000001</v>
      </c>
      <c r="S2199" s="122" t="n">
        <v>3849</v>
      </c>
      <c r="T2199" s="122" t="n">
        <v>2440</v>
      </c>
      <c r="U2199" s="123">
        <f>IFERROR(S2199/T2199,"")</f>
        <v/>
      </c>
      <c r="V2199" s="122" t="n">
        <v>12</v>
      </c>
      <c r="W2199" s="122" t="n">
        <v>9</v>
      </c>
      <c r="X2199" s="124">
        <f>IFERROR(W2199/S2199,"")</f>
        <v/>
      </c>
      <c r="Y2199" s="121">
        <f>IFERROR(R2199/W2199,"")</f>
        <v/>
      </c>
      <c r="Z2199" s="121">
        <f>IFERROR(R2199/S2199*1000,"")</f>
        <v/>
      </c>
      <c r="AA2199" s="122" t="n">
        <v>6</v>
      </c>
      <c r="AB2199" s="54">
        <f>IFERROR(AA2199/W2199,"")</f>
        <v/>
      </c>
      <c r="AC2199" s="122" t="n">
        <v>960</v>
      </c>
      <c r="AD2199" s="122" t="n">
        <v>564</v>
      </c>
      <c r="AE2199" s="122" t="n">
        <v>494</v>
      </c>
      <c r="AF2199" s="122" t="n">
        <v>332</v>
      </c>
      <c r="AG2199" s="122" t="n">
        <v>244</v>
      </c>
      <c r="AH2199" s="122" t="n">
        <v>169</v>
      </c>
      <c r="AI2199" s="54">
        <f>IFERROR(AC2199/S2199,"")</f>
        <v/>
      </c>
      <c r="AJ2199" s="54">
        <f>IFERROR(AH2199/S2199,"")</f>
        <v/>
      </c>
      <c r="AK2199" s="122" t="n">
        <v>13</v>
      </c>
      <c r="AL2199" s="122" t="n">
        <v>0</v>
      </c>
      <c r="AM2199" s="124">
        <f>IFERROR(AL2199/AA2199,"")</f>
        <v/>
      </c>
      <c r="AN2199" s="125">
        <f>IFERROR(R2199/AL2199,"")</f>
        <v/>
      </c>
      <c r="AO2199" s="122" t="n">
        <v>0</v>
      </c>
      <c r="AP2199" s="54">
        <f>IFERROR(AO2199/AL2199,"")</f>
        <v/>
      </c>
      <c r="AQ2199" s="125">
        <f>IFERROR(R2199/AO2199,"")</f>
        <v/>
      </c>
      <c r="AR2199" s="122" t="n">
        <v>0</v>
      </c>
      <c r="AS2199" s="122" t="n">
        <v>0</v>
      </c>
      <c r="AT2199" s="122">
        <f>AL2199+AR2199</f>
        <v/>
      </c>
      <c r="AU2199" s="125">
        <f>IFERROR(AO2199*Assumptions!$C$26*Assumptions!$C$27*INDEX(Assumptions!$C$18:$C$21,MATCH(H2199,Assumptions!$B$18:$B$21,0)),0)</f>
        <v/>
      </c>
    </row>
    <row r="2200">
      <c r="A2200" s="120" t="n">
        <v>46247</v>
      </c>
      <c r="B2200" s="66" t="inlineStr">
        <is>
          <t>Wk 33</t>
        </is>
      </c>
      <c r="C2200" s="66" t="inlineStr">
        <is>
          <t>Thu</t>
        </is>
      </c>
      <c r="D2200" s="66" t="inlineStr">
        <is>
          <t>Programmatic</t>
        </is>
      </c>
      <c r="E2200" s="66" t="inlineStr">
        <is>
          <t>DV360</t>
        </is>
      </c>
      <c r="F2200" s="66" t="inlineStr">
        <is>
          <t>LEP_ZA_AUG26_PROG_TD_VIDEO_OLV</t>
        </is>
      </c>
      <c r="G2200" s="66" t="inlineStr">
        <is>
          <t>Online Video / CTV</t>
        </is>
      </c>
      <c r="H2200" s="66" t="inlineStr">
        <is>
          <t>Range</t>
        </is>
      </c>
      <c r="I2200" s="66" t="inlineStr">
        <is>
          <t>Range Offer</t>
        </is>
      </c>
      <c r="J2200" s="66" t="inlineStr">
        <is>
          <t>PROG_OLV_RMKT_VIEWERS</t>
        </is>
      </c>
      <c r="K2200" s="66" t="inlineStr">
        <is>
          <t>Retargeting</t>
        </is>
      </c>
      <c r="L2200" s="66" t="inlineStr">
        <is>
          <t>PROG_OLV_15s_AMUR_v1</t>
        </is>
      </c>
      <c r="M2200" s="66" t="inlineStr">
        <is>
          <t>Video 16:9 Pre-roll</t>
        </is>
      </c>
      <c r="N2200" s="66" t="inlineStr">
        <is>
          <t>AMUR from R3 599pm</t>
        </is>
      </c>
      <c r="O2200" s="66" t="inlineStr">
        <is>
          <t>Auction - Fixed CPM</t>
        </is>
      </c>
      <c r="P2200" s="66" t="inlineStr">
        <is>
          <t>Completed Views + CPA</t>
        </is>
      </c>
      <c r="Q2200" s="66" t="inlineStr">
        <is>
          <t>https://www.lepas-sa.co.za/book-a-test-drive</t>
        </is>
      </c>
      <c r="R2200" s="121" t="n">
        <v>111.39</v>
      </c>
      <c r="S2200" s="122" t="n">
        <v>4595</v>
      </c>
      <c r="T2200" s="122" t="n">
        <v>1904</v>
      </c>
      <c r="U2200" s="123">
        <f>IFERROR(S2200/T2200,"")</f>
        <v/>
      </c>
      <c r="V2200" s="122" t="n">
        <v>9</v>
      </c>
      <c r="W2200" s="122" t="n">
        <v>7</v>
      </c>
      <c r="X2200" s="124">
        <f>IFERROR(W2200/S2200,"")</f>
        <v/>
      </c>
      <c r="Y2200" s="121">
        <f>IFERROR(R2200/W2200,"")</f>
        <v/>
      </c>
      <c r="Z2200" s="121">
        <f>IFERROR(R2200/S2200*1000,"")</f>
        <v/>
      </c>
      <c r="AA2200" s="122" t="n">
        <v>5</v>
      </c>
      <c r="AB2200" s="54">
        <f>IFERROR(AA2200/W2200,"")</f>
        <v/>
      </c>
      <c r="AC2200" s="122" t="n">
        <v>1290</v>
      </c>
      <c r="AD2200" s="122" t="n">
        <v>773</v>
      </c>
      <c r="AE2200" s="122" t="n">
        <v>499</v>
      </c>
      <c r="AF2200" s="122" t="n">
        <v>352</v>
      </c>
      <c r="AG2200" s="122" t="n">
        <v>253</v>
      </c>
      <c r="AH2200" s="122" t="n">
        <v>171</v>
      </c>
      <c r="AI2200" s="54">
        <f>IFERROR(AC2200/S2200,"")</f>
        <v/>
      </c>
      <c r="AJ2200" s="54">
        <f>IFERROR(AH2200/S2200,"")</f>
        <v/>
      </c>
      <c r="AK2200" s="122" t="n">
        <v>25</v>
      </c>
      <c r="AL2200" s="122" t="n">
        <v>1</v>
      </c>
      <c r="AM2200" s="124">
        <f>IFERROR(AL2200/AA2200,"")</f>
        <v/>
      </c>
      <c r="AN2200" s="125">
        <f>IFERROR(R2200/AL2200,"")</f>
        <v/>
      </c>
      <c r="AO2200" s="122" t="n">
        <v>0</v>
      </c>
      <c r="AP2200" s="54">
        <f>IFERROR(AO2200/AL2200,"")</f>
        <v/>
      </c>
      <c r="AQ2200" s="125">
        <f>IFERROR(R2200/AO2200,"")</f>
        <v/>
      </c>
      <c r="AR2200" s="122" t="n">
        <v>2</v>
      </c>
      <c r="AS2200" s="122" t="n">
        <v>1</v>
      </c>
      <c r="AT2200" s="122">
        <f>AL2200+AR2200</f>
        <v/>
      </c>
      <c r="AU2200" s="125">
        <f>IFERROR(AO2200*Assumptions!$C$26*Assumptions!$C$27*INDEX(Assumptions!$C$18:$C$21,MATCH(H2200,Assumptions!$B$18:$B$21,0)),0)</f>
        <v/>
      </c>
    </row>
    <row r="2201">
      <c r="A2201" s="120" t="n">
        <v>46248</v>
      </c>
      <c r="B2201" s="66" t="inlineStr">
        <is>
          <t>Wk 33</t>
        </is>
      </c>
      <c r="C2201" s="66" t="inlineStr">
        <is>
          <t>Fri</t>
        </is>
      </c>
      <c r="D2201" s="66" t="inlineStr">
        <is>
          <t>Programmatic</t>
        </is>
      </c>
      <c r="E2201" s="66" t="inlineStr">
        <is>
          <t>DV360</t>
        </is>
      </c>
      <c r="F2201" s="66" t="inlineStr">
        <is>
          <t>LEP_ZA_AUG26_PROG_TD_VIDEO_OLV</t>
        </is>
      </c>
      <c r="G2201" s="66" t="inlineStr">
        <is>
          <t>Online Video / CTV</t>
        </is>
      </c>
      <c r="H2201" s="66" t="inlineStr">
        <is>
          <t>Range</t>
        </is>
      </c>
      <c r="I2201" s="66" t="inlineStr">
        <is>
          <t>Range Offer</t>
        </is>
      </c>
      <c r="J2201" s="66" t="inlineStr">
        <is>
          <t>PROG_OLV_RMKT_VIEWERS</t>
        </is>
      </c>
      <c r="K2201" s="66" t="inlineStr">
        <is>
          <t>Retargeting</t>
        </is>
      </c>
      <c r="L2201" s="66" t="inlineStr">
        <is>
          <t>PROG_OLV_15s_AMUR_v1</t>
        </is>
      </c>
      <c r="M2201" s="66" t="inlineStr">
        <is>
          <t>Video 16:9 Pre-roll</t>
        </is>
      </c>
      <c r="N2201" s="66" t="inlineStr">
        <is>
          <t>AMUR from R3 599pm</t>
        </is>
      </c>
      <c r="O2201" s="66" t="inlineStr">
        <is>
          <t>Auction - Fixed CPM</t>
        </is>
      </c>
      <c r="P2201" s="66" t="inlineStr">
        <is>
          <t>Completed Views + CPA</t>
        </is>
      </c>
      <c r="Q2201" s="66" t="inlineStr">
        <is>
          <t>https://www.lepas-sa.co.za/book-a-test-drive</t>
        </is>
      </c>
      <c r="R2201" s="121" t="n">
        <v>123.21</v>
      </c>
      <c r="S2201" s="122" t="n">
        <v>3780</v>
      </c>
      <c r="T2201" s="122" t="n">
        <v>2101</v>
      </c>
      <c r="U2201" s="123">
        <f>IFERROR(S2201/T2201,"")</f>
        <v/>
      </c>
      <c r="V2201" s="122" t="n">
        <v>24</v>
      </c>
      <c r="W2201" s="122" t="n">
        <v>17</v>
      </c>
      <c r="X2201" s="124">
        <f>IFERROR(W2201/S2201,"")</f>
        <v/>
      </c>
      <c r="Y2201" s="121">
        <f>IFERROR(R2201/W2201,"")</f>
        <v/>
      </c>
      <c r="Z2201" s="121">
        <f>IFERROR(R2201/S2201*1000,"")</f>
        <v/>
      </c>
      <c r="AA2201" s="122" t="n">
        <v>11</v>
      </c>
      <c r="AB2201" s="54">
        <f>IFERROR(AA2201/W2201,"")</f>
        <v/>
      </c>
      <c r="AC2201" s="122" t="n">
        <v>1331</v>
      </c>
      <c r="AD2201" s="122" t="n">
        <v>753</v>
      </c>
      <c r="AE2201" s="122" t="n">
        <v>682</v>
      </c>
      <c r="AF2201" s="122" t="n">
        <v>378</v>
      </c>
      <c r="AG2201" s="122" t="n">
        <v>270</v>
      </c>
      <c r="AH2201" s="122" t="n">
        <v>171</v>
      </c>
      <c r="AI2201" s="54">
        <f>IFERROR(AC2201/S2201,"")</f>
        <v/>
      </c>
      <c r="AJ2201" s="54">
        <f>IFERROR(AH2201/S2201,"")</f>
        <v/>
      </c>
      <c r="AK2201" s="122" t="n">
        <v>19</v>
      </c>
      <c r="AL2201" s="122" t="n">
        <v>0</v>
      </c>
      <c r="AM2201" s="124">
        <f>IFERROR(AL2201/AA2201,"")</f>
        <v/>
      </c>
      <c r="AN2201" s="125">
        <f>IFERROR(R2201/AL2201,"")</f>
        <v/>
      </c>
      <c r="AO2201" s="122" t="n">
        <v>0</v>
      </c>
      <c r="AP2201" s="54">
        <f>IFERROR(AO2201/AL2201,"")</f>
        <v/>
      </c>
      <c r="AQ2201" s="125">
        <f>IFERROR(R2201/AO2201,"")</f>
        <v/>
      </c>
      <c r="AR2201" s="122" t="n">
        <v>0</v>
      </c>
      <c r="AS2201" s="122" t="n">
        <v>0</v>
      </c>
      <c r="AT2201" s="122">
        <f>AL2201+AR2201</f>
        <v/>
      </c>
      <c r="AU2201" s="125">
        <f>IFERROR(AO2201*Assumptions!$C$26*Assumptions!$C$27*INDEX(Assumptions!$C$18:$C$21,MATCH(H2201,Assumptions!$B$18:$B$21,0)),0)</f>
        <v/>
      </c>
    </row>
    <row r="2202">
      <c r="A2202" s="120" t="n">
        <v>46249</v>
      </c>
      <c r="B2202" s="66" t="inlineStr">
        <is>
          <t>Wk 33</t>
        </is>
      </c>
      <c r="C2202" s="66" t="inlineStr">
        <is>
          <t>Sat</t>
        </is>
      </c>
      <c r="D2202" s="66" t="inlineStr">
        <is>
          <t>Programmatic</t>
        </is>
      </c>
      <c r="E2202" s="66" t="inlineStr">
        <is>
          <t>DV360</t>
        </is>
      </c>
      <c r="F2202" s="66" t="inlineStr">
        <is>
          <t>LEP_ZA_AUG26_PROG_TD_VIDEO_OLV</t>
        </is>
      </c>
      <c r="G2202" s="66" t="inlineStr">
        <is>
          <t>Online Video / CTV</t>
        </is>
      </c>
      <c r="H2202" s="66" t="inlineStr">
        <is>
          <t>Range</t>
        </is>
      </c>
      <c r="I2202" s="66" t="inlineStr">
        <is>
          <t>Range Offer</t>
        </is>
      </c>
      <c r="J2202" s="66" t="inlineStr">
        <is>
          <t>PROG_OLV_RMKT_VIEWERS</t>
        </is>
      </c>
      <c r="K2202" s="66" t="inlineStr">
        <is>
          <t>Retargeting</t>
        </is>
      </c>
      <c r="L2202" s="66" t="inlineStr">
        <is>
          <t>PROG_OLV_15s_AMUR_v1</t>
        </is>
      </c>
      <c r="M2202" s="66" t="inlineStr">
        <is>
          <t>Video 16:9 Pre-roll</t>
        </is>
      </c>
      <c r="N2202" s="66" t="inlineStr">
        <is>
          <t>AMUR from R3 599pm</t>
        </is>
      </c>
      <c r="O2202" s="66" t="inlineStr">
        <is>
          <t>Auction - Fixed CPM</t>
        </is>
      </c>
      <c r="P2202" s="66" t="inlineStr">
        <is>
          <t>Completed Views + CPA</t>
        </is>
      </c>
      <c r="Q2202" s="66" t="inlineStr">
        <is>
          <t>https://www.lepas-sa.co.za/book-a-test-drive</t>
        </is>
      </c>
      <c r="R2202" s="121" t="n">
        <v>130.7</v>
      </c>
      <c r="S2202" s="122" t="n">
        <v>4611</v>
      </c>
      <c r="T2202" s="122" t="n">
        <v>2498</v>
      </c>
      <c r="U2202" s="123">
        <f>IFERROR(S2202/T2202,"")</f>
        <v/>
      </c>
      <c r="V2202" s="122" t="n">
        <v>11</v>
      </c>
      <c r="W2202" s="122" t="n">
        <v>8</v>
      </c>
      <c r="X2202" s="124">
        <f>IFERROR(W2202/S2202,"")</f>
        <v/>
      </c>
      <c r="Y2202" s="121">
        <f>IFERROR(R2202/W2202,"")</f>
        <v/>
      </c>
      <c r="Z2202" s="121">
        <f>IFERROR(R2202/S2202*1000,"")</f>
        <v/>
      </c>
      <c r="AA2202" s="122" t="n">
        <v>6</v>
      </c>
      <c r="AB2202" s="54">
        <f>IFERROR(AA2202/W2202,"")</f>
        <v/>
      </c>
      <c r="AC2202" s="122" t="n">
        <v>1368</v>
      </c>
      <c r="AD2202" s="122" t="n">
        <v>846</v>
      </c>
      <c r="AE2202" s="122" t="n">
        <v>579</v>
      </c>
      <c r="AF2202" s="122" t="n">
        <v>327</v>
      </c>
      <c r="AG2202" s="122" t="n">
        <v>249</v>
      </c>
      <c r="AH2202" s="122" t="n">
        <v>163</v>
      </c>
      <c r="AI2202" s="54">
        <f>IFERROR(AC2202/S2202,"")</f>
        <v/>
      </c>
      <c r="AJ2202" s="54">
        <f>IFERROR(AH2202/S2202,"")</f>
        <v/>
      </c>
      <c r="AK2202" s="122" t="n">
        <v>12</v>
      </c>
      <c r="AL2202" s="122" t="n">
        <v>1</v>
      </c>
      <c r="AM2202" s="124">
        <f>IFERROR(AL2202/AA2202,"")</f>
        <v/>
      </c>
      <c r="AN2202" s="125">
        <f>IFERROR(R2202/AL2202,"")</f>
        <v/>
      </c>
      <c r="AO2202" s="122" t="n">
        <v>0</v>
      </c>
      <c r="AP2202" s="54">
        <f>IFERROR(AO2202/AL2202,"")</f>
        <v/>
      </c>
      <c r="AQ2202" s="125">
        <f>IFERROR(R2202/AO2202,"")</f>
        <v/>
      </c>
      <c r="AR2202" s="122" t="n">
        <v>3</v>
      </c>
      <c r="AS2202" s="122" t="n">
        <v>1</v>
      </c>
      <c r="AT2202" s="122">
        <f>AL2202+AR2202</f>
        <v/>
      </c>
      <c r="AU2202" s="125">
        <f>IFERROR(AO2202*Assumptions!$C$26*Assumptions!$C$27*INDEX(Assumptions!$C$18:$C$21,MATCH(H2202,Assumptions!$B$18:$B$21,0)),0)</f>
        <v/>
      </c>
    </row>
    <row r="2203">
      <c r="A2203" s="120" t="n">
        <v>46250</v>
      </c>
      <c r="B2203" s="66" t="inlineStr">
        <is>
          <t>Wk 33</t>
        </is>
      </c>
      <c r="C2203" s="66" t="inlineStr">
        <is>
          <t>Sun</t>
        </is>
      </c>
      <c r="D2203" s="66" t="inlineStr">
        <is>
          <t>Programmatic</t>
        </is>
      </c>
      <c r="E2203" s="66" t="inlineStr">
        <is>
          <t>DV360</t>
        </is>
      </c>
      <c r="F2203" s="66" t="inlineStr">
        <is>
          <t>LEP_ZA_AUG26_PROG_TD_VIDEO_OLV</t>
        </is>
      </c>
      <c r="G2203" s="66" t="inlineStr">
        <is>
          <t>Online Video / CTV</t>
        </is>
      </c>
      <c r="H2203" s="66" t="inlineStr">
        <is>
          <t>Range</t>
        </is>
      </c>
      <c r="I2203" s="66" t="inlineStr">
        <is>
          <t>Range Offer</t>
        </is>
      </c>
      <c r="J2203" s="66" t="inlineStr">
        <is>
          <t>PROG_OLV_RMKT_VIEWERS</t>
        </is>
      </c>
      <c r="K2203" s="66" t="inlineStr">
        <is>
          <t>Retargeting</t>
        </is>
      </c>
      <c r="L2203" s="66" t="inlineStr">
        <is>
          <t>PROG_OLV_15s_AMUR_v1</t>
        </is>
      </c>
      <c r="M2203" s="66" t="inlineStr">
        <is>
          <t>Video 16:9 Pre-roll</t>
        </is>
      </c>
      <c r="N2203" s="66" t="inlineStr">
        <is>
          <t>AMUR from R3 599pm</t>
        </is>
      </c>
      <c r="O2203" s="66" t="inlineStr">
        <is>
          <t>Auction - Fixed CPM</t>
        </is>
      </c>
      <c r="P2203" s="66" t="inlineStr">
        <is>
          <t>Completed Views + CPA</t>
        </is>
      </c>
      <c r="Q2203" s="66" t="inlineStr">
        <is>
          <t>https://www.lepas-sa.co.za/book-a-test-drive</t>
        </is>
      </c>
      <c r="R2203" s="121" t="n">
        <v>88.34</v>
      </c>
      <c r="S2203" s="122" t="n">
        <v>2620</v>
      </c>
      <c r="T2203" s="122" t="n">
        <v>1168</v>
      </c>
      <c r="U2203" s="123">
        <f>IFERROR(S2203/T2203,"")</f>
        <v/>
      </c>
      <c r="V2203" s="122" t="n">
        <v>18</v>
      </c>
      <c r="W2203" s="122" t="n">
        <v>14</v>
      </c>
      <c r="X2203" s="124">
        <f>IFERROR(W2203/S2203,"")</f>
        <v/>
      </c>
      <c r="Y2203" s="121">
        <f>IFERROR(R2203/W2203,"")</f>
        <v/>
      </c>
      <c r="Z2203" s="121">
        <f>IFERROR(R2203/S2203*1000,"")</f>
        <v/>
      </c>
      <c r="AA2203" s="122" t="n">
        <v>9</v>
      </c>
      <c r="AB2203" s="54">
        <f>IFERROR(AA2203/W2203,"")</f>
        <v/>
      </c>
      <c r="AC2203" s="122" t="n">
        <v>1056</v>
      </c>
      <c r="AD2203" s="122" t="n">
        <v>582</v>
      </c>
      <c r="AE2203" s="122" t="n">
        <v>412</v>
      </c>
      <c r="AF2203" s="122" t="n">
        <v>234</v>
      </c>
      <c r="AG2203" s="122" t="n">
        <v>172</v>
      </c>
      <c r="AH2203" s="122" t="n">
        <v>106</v>
      </c>
      <c r="AI2203" s="54">
        <f>IFERROR(AC2203/S2203,"")</f>
        <v/>
      </c>
      <c r="AJ2203" s="54">
        <f>IFERROR(AH2203/S2203,"")</f>
        <v/>
      </c>
      <c r="AK2203" s="122" t="n">
        <v>15</v>
      </c>
      <c r="AL2203" s="122" t="n">
        <v>1</v>
      </c>
      <c r="AM2203" s="124">
        <f>IFERROR(AL2203/AA2203,"")</f>
        <v/>
      </c>
      <c r="AN2203" s="125">
        <f>IFERROR(R2203/AL2203,"")</f>
        <v/>
      </c>
      <c r="AO2203" s="122" t="n">
        <v>1</v>
      </c>
      <c r="AP2203" s="54">
        <f>IFERROR(AO2203/AL2203,"")</f>
        <v/>
      </c>
      <c r="AQ2203" s="125">
        <f>IFERROR(R2203/AO2203,"")</f>
        <v/>
      </c>
      <c r="AR2203" s="122" t="n">
        <v>3</v>
      </c>
      <c r="AS2203" s="122" t="n">
        <v>1</v>
      </c>
      <c r="AT2203" s="122">
        <f>AL2203+AR2203</f>
        <v/>
      </c>
      <c r="AU2203" s="125">
        <f>IFERROR(AO2203*Assumptions!$C$26*Assumptions!$C$27*INDEX(Assumptions!$C$18:$C$21,MATCH(H2203,Assumptions!$B$18:$B$21,0)),0)</f>
        <v/>
      </c>
    </row>
    <row r="2204">
      <c r="A2204" s="120" t="n">
        <v>46251</v>
      </c>
      <c r="B2204" s="66" t="inlineStr">
        <is>
          <t>Wk 34</t>
        </is>
      </c>
      <c r="C2204" s="66" t="inlineStr">
        <is>
          <t>Mon</t>
        </is>
      </c>
      <c r="D2204" s="66" t="inlineStr">
        <is>
          <t>Programmatic</t>
        </is>
      </c>
      <c r="E2204" s="66" t="inlineStr">
        <is>
          <t>DV360</t>
        </is>
      </c>
      <c r="F2204" s="66" t="inlineStr">
        <is>
          <t>LEP_ZA_AUG26_PROG_TD_VIDEO_OLV</t>
        </is>
      </c>
      <c r="G2204" s="66" t="inlineStr">
        <is>
          <t>Online Video / CTV</t>
        </is>
      </c>
      <c r="H2204" s="66" t="inlineStr">
        <is>
          <t>Range</t>
        </is>
      </c>
      <c r="I2204" s="66" t="inlineStr">
        <is>
          <t>Range Offer</t>
        </is>
      </c>
      <c r="J2204" s="66" t="inlineStr">
        <is>
          <t>PROG_OLV_RMKT_VIEWERS</t>
        </is>
      </c>
      <c r="K2204" s="66" t="inlineStr">
        <is>
          <t>Retargeting</t>
        </is>
      </c>
      <c r="L2204" s="66" t="inlineStr">
        <is>
          <t>PROG_OLV_15s_AMUR_v1</t>
        </is>
      </c>
      <c r="M2204" s="66" t="inlineStr">
        <is>
          <t>Video 16:9 Pre-roll</t>
        </is>
      </c>
      <c r="N2204" s="66" t="inlineStr">
        <is>
          <t>AMUR from R3 599pm</t>
        </is>
      </c>
      <c r="O2204" s="66" t="inlineStr">
        <is>
          <t>Auction - Fixed CPM</t>
        </is>
      </c>
      <c r="P2204" s="66" t="inlineStr">
        <is>
          <t>Completed Views + CPA</t>
        </is>
      </c>
      <c r="Q2204" s="66" t="inlineStr">
        <is>
          <t>https://www.lepas-sa.co.za/book-a-test-drive</t>
        </is>
      </c>
      <c r="R2204" s="121" t="n">
        <v>97.2</v>
      </c>
      <c r="S2204" s="122" t="n">
        <v>2377</v>
      </c>
      <c r="T2204" s="122" t="n">
        <v>931</v>
      </c>
      <c r="U2204" s="123">
        <f>IFERROR(S2204/T2204,"")</f>
        <v/>
      </c>
      <c r="V2204" s="122" t="n">
        <v>14</v>
      </c>
      <c r="W2204" s="122" t="n">
        <v>10</v>
      </c>
      <c r="X2204" s="124">
        <f>IFERROR(W2204/S2204,"")</f>
        <v/>
      </c>
      <c r="Y2204" s="121">
        <f>IFERROR(R2204/W2204,"")</f>
        <v/>
      </c>
      <c r="Z2204" s="121">
        <f>IFERROR(R2204/S2204*1000,"")</f>
        <v/>
      </c>
      <c r="AA2204" s="122" t="n">
        <v>7</v>
      </c>
      <c r="AB2204" s="54">
        <f>IFERROR(AA2204/W2204,"")</f>
        <v/>
      </c>
      <c r="AC2204" s="122" t="n">
        <v>566</v>
      </c>
      <c r="AD2204" s="122" t="n">
        <v>336</v>
      </c>
      <c r="AE2204" s="122" t="n">
        <v>215</v>
      </c>
      <c r="AF2204" s="122" t="n">
        <v>130</v>
      </c>
      <c r="AG2204" s="122" t="n">
        <v>95</v>
      </c>
      <c r="AH2204" s="122" t="n">
        <v>53</v>
      </c>
      <c r="AI2204" s="54">
        <f>IFERROR(AC2204/S2204,"")</f>
        <v/>
      </c>
      <c r="AJ2204" s="54">
        <f>IFERROR(AH2204/S2204,"")</f>
        <v/>
      </c>
      <c r="AK2204" s="122" t="n">
        <v>7</v>
      </c>
      <c r="AL2204" s="122" t="n">
        <v>0</v>
      </c>
      <c r="AM2204" s="124">
        <f>IFERROR(AL2204/AA2204,"")</f>
        <v/>
      </c>
      <c r="AN2204" s="125">
        <f>IFERROR(R2204/AL2204,"")</f>
        <v/>
      </c>
      <c r="AO2204" s="122" t="n">
        <v>0</v>
      </c>
      <c r="AP2204" s="54">
        <f>IFERROR(AO2204/AL2204,"")</f>
        <v/>
      </c>
      <c r="AQ2204" s="125">
        <f>IFERROR(R2204/AO2204,"")</f>
        <v/>
      </c>
      <c r="AR2204" s="122" t="n">
        <v>0</v>
      </c>
      <c r="AS2204" s="122" t="n">
        <v>0</v>
      </c>
      <c r="AT2204" s="122">
        <f>AL2204+AR2204</f>
        <v/>
      </c>
      <c r="AU2204" s="125">
        <f>IFERROR(AO2204*Assumptions!$C$26*Assumptions!$C$27*INDEX(Assumptions!$C$18:$C$21,MATCH(H2204,Assumptions!$B$18:$B$21,0)),0)</f>
        <v/>
      </c>
    </row>
    <row r="2205">
      <c r="A2205" s="120" t="n">
        <v>46252</v>
      </c>
      <c r="B2205" s="66" t="inlineStr">
        <is>
          <t>Wk 34</t>
        </is>
      </c>
      <c r="C2205" s="66" t="inlineStr">
        <is>
          <t>Tue</t>
        </is>
      </c>
      <c r="D2205" s="66" t="inlineStr">
        <is>
          <t>Programmatic</t>
        </is>
      </c>
      <c r="E2205" s="66" t="inlineStr">
        <is>
          <t>DV360</t>
        </is>
      </c>
      <c r="F2205" s="66" t="inlineStr">
        <is>
          <t>LEP_ZA_AUG26_PROG_TD_VIDEO_OLV</t>
        </is>
      </c>
      <c r="G2205" s="66" t="inlineStr">
        <is>
          <t>Online Video / CTV</t>
        </is>
      </c>
      <c r="H2205" s="66" t="inlineStr">
        <is>
          <t>Range</t>
        </is>
      </c>
      <c r="I2205" s="66" t="inlineStr">
        <is>
          <t>Range Offer</t>
        </is>
      </c>
      <c r="J2205" s="66" t="inlineStr">
        <is>
          <t>PROG_OLV_RMKT_VIEWERS</t>
        </is>
      </c>
      <c r="K2205" s="66" t="inlineStr">
        <is>
          <t>Retargeting</t>
        </is>
      </c>
      <c r="L2205" s="66" t="inlineStr">
        <is>
          <t>PROG_OLV_15s_AMUR_v1</t>
        </is>
      </c>
      <c r="M2205" s="66" t="inlineStr">
        <is>
          <t>Video 16:9 Pre-roll</t>
        </is>
      </c>
      <c r="N2205" s="66" t="inlineStr">
        <is>
          <t>AMUR from R3 599pm</t>
        </is>
      </c>
      <c r="O2205" s="66" t="inlineStr">
        <is>
          <t>Auction - Fixed CPM</t>
        </is>
      </c>
      <c r="P2205" s="66" t="inlineStr">
        <is>
          <t>Completed Views + CPA</t>
        </is>
      </c>
      <c r="Q2205" s="66" t="inlineStr">
        <is>
          <t>https://www.lepas-sa.co.za/book-a-test-drive</t>
        </is>
      </c>
      <c r="R2205" s="121" t="n">
        <v>111.86</v>
      </c>
      <c r="S2205" s="122" t="n">
        <v>2606</v>
      </c>
      <c r="T2205" s="122" t="n">
        <v>1313</v>
      </c>
      <c r="U2205" s="123">
        <f>IFERROR(S2205/T2205,"")</f>
        <v/>
      </c>
      <c r="V2205" s="122" t="n">
        <v>8</v>
      </c>
      <c r="W2205" s="122" t="n">
        <v>6</v>
      </c>
      <c r="X2205" s="124">
        <f>IFERROR(W2205/S2205,"")</f>
        <v/>
      </c>
      <c r="Y2205" s="121">
        <f>IFERROR(R2205/W2205,"")</f>
        <v/>
      </c>
      <c r="Z2205" s="121">
        <f>IFERROR(R2205/S2205*1000,"")</f>
        <v/>
      </c>
      <c r="AA2205" s="122" t="n">
        <v>3</v>
      </c>
      <c r="AB2205" s="54">
        <f>IFERROR(AA2205/W2205,"")</f>
        <v/>
      </c>
      <c r="AC2205" s="122" t="n">
        <v>682</v>
      </c>
      <c r="AD2205" s="122" t="n">
        <v>412</v>
      </c>
      <c r="AE2205" s="122" t="n">
        <v>328</v>
      </c>
      <c r="AF2205" s="122" t="n">
        <v>225</v>
      </c>
      <c r="AG2205" s="122" t="n">
        <v>176</v>
      </c>
      <c r="AH2205" s="122" t="n">
        <v>117</v>
      </c>
      <c r="AI2205" s="54">
        <f>IFERROR(AC2205/S2205,"")</f>
        <v/>
      </c>
      <c r="AJ2205" s="54">
        <f>IFERROR(AH2205/S2205,"")</f>
        <v/>
      </c>
      <c r="AK2205" s="122" t="n">
        <v>14</v>
      </c>
      <c r="AL2205" s="122" t="n">
        <v>0</v>
      </c>
      <c r="AM2205" s="124">
        <f>IFERROR(AL2205/AA2205,"")</f>
        <v/>
      </c>
      <c r="AN2205" s="125">
        <f>IFERROR(R2205/AL2205,"")</f>
        <v/>
      </c>
      <c r="AO2205" s="122" t="n">
        <v>0</v>
      </c>
      <c r="AP2205" s="54">
        <f>IFERROR(AO2205/AL2205,"")</f>
        <v/>
      </c>
      <c r="AQ2205" s="125">
        <f>IFERROR(R2205/AO2205,"")</f>
        <v/>
      </c>
      <c r="AR2205" s="122" t="n">
        <v>0</v>
      </c>
      <c r="AS2205" s="122" t="n">
        <v>0</v>
      </c>
      <c r="AT2205" s="122">
        <f>AL2205+AR2205</f>
        <v/>
      </c>
      <c r="AU2205" s="125">
        <f>IFERROR(AO2205*Assumptions!$C$26*Assumptions!$C$27*INDEX(Assumptions!$C$18:$C$21,MATCH(H2205,Assumptions!$B$18:$B$21,0)),0)</f>
        <v/>
      </c>
    </row>
    <row r="2206">
      <c r="A2206" s="120" t="n">
        <v>46253</v>
      </c>
      <c r="B2206" s="66" t="inlineStr">
        <is>
          <t>Wk 34</t>
        </is>
      </c>
      <c r="C2206" s="66" t="inlineStr">
        <is>
          <t>Wed</t>
        </is>
      </c>
      <c r="D2206" s="66" t="inlineStr">
        <is>
          <t>Programmatic</t>
        </is>
      </c>
      <c r="E2206" s="66" t="inlineStr">
        <is>
          <t>DV360</t>
        </is>
      </c>
      <c r="F2206" s="66" t="inlineStr">
        <is>
          <t>LEP_ZA_AUG26_PROG_TD_VIDEO_OLV</t>
        </is>
      </c>
      <c r="G2206" s="66" t="inlineStr">
        <is>
          <t>Online Video / CTV</t>
        </is>
      </c>
      <c r="H2206" s="66" t="inlineStr">
        <is>
          <t>Range</t>
        </is>
      </c>
      <c r="I2206" s="66" t="inlineStr">
        <is>
          <t>Range Offer</t>
        </is>
      </c>
      <c r="J2206" s="66" t="inlineStr">
        <is>
          <t>PROG_OLV_RMKT_VIEWERS</t>
        </is>
      </c>
      <c r="K2206" s="66" t="inlineStr">
        <is>
          <t>Retargeting</t>
        </is>
      </c>
      <c r="L2206" s="66" t="inlineStr">
        <is>
          <t>PROG_OLV_15s_AMUR_v1</t>
        </is>
      </c>
      <c r="M2206" s="66" t="inlineStr">
        <is>
          <t>Video 16:9 Pre-roll</t>
        </is>
      </c>
      <c r="N2206" s="66" t="inlineStr">
        <is>
          <t>AMUR from R3 599pm</t>
        </is>
      </c>
      <c r="O2206" s="66" t="inlineStr">
        <is>
          <t>Auction - Fixed CPM</t>
        </is>
      </c>
      <c r="P2206" s="66" t="inlineStr">
        <is>
          <t>Completed Views + CPA</t>
        </is>
      </c>
      <c r="Q2206" s="66" t="inlineStr">
        <is>
          <t>https://www.lepas-sa.co.za/book-a-test-drive</t>
        </is>
      </c>
      <c r="R2206" s="121" t="n">
        <v>98.98999999999999</v>
      </c>
      <c r="S2206" s="122" t="n">
        <v>2619</v>
      </c>
      <c r="T2206" s="122" t="n">
        <v>1136</v>
      </c>
      <c r="U2206" s="123">
        <f>IFERROR(S2206/T2206,"")</f>
        <v/>
      </c>
      <c r="V2206" s="122" t="n">
        <v>11</v>
      </c>
      <c r="W2206" s="122" t="n">
        <v>8</v>
      </c>
      <c r="X2206" s="124">
        <f>IFERROR(W2206/S2206,"")</f>
        <v/>
      </c>
      <c r="Y2206" s="121">
        <f>IFERROR(R2206/W2206,"")</f>
        <v/>
      </c>
      <c r="Z2206" s="121">
        <f>IFERROR(R2206/S2206*1000,"")</f>
        <v/>
      </c>
      <c r="AA2206" s="122" t="n">
        <v>5</v>
      </c>
      <c r="AB2206" s="54">
        <f>IFERROR(AA2206/W2206,"")</f>
        <v/>
      </c>
      <c r="AC2206" s="122" t="n">
        <v>891</v>
      </c>
      <c r="AD2206" s="122" t="n">
        <v>517</v>
      </c>
      <c r="AE2206" s="122" t="n">
        <v>483</v>
      </c>
      <c r="AF2206" s="122" t="n">
        <v>313</v>
      </c>
      <c r="AG2206" s="122" t="n">
        <v>202</v>
      </c>
      <c r="AH2206" s="122" t="n">
        <v>145</v>
      </c>
      <c r="AI2206" s="54">
        <f>IFERROR(AC2206/S2206,"")</f>
        <v/>
      </c>
      <c r="AJ2206" s="54">
        <f>IFERROR(AH2206/S2206,"")</f>
        <v/>
      </c>
      <c r="AK2206" s="122" t="n">
        <v>8</v>
      </c>
      <c r="AL2206" s="122" t="n">
        <v>0</v>
      </c>
      <c r="AM2206" s="124">
        <f>IFERROR(AL2206/AA2206,"")</f>
        <v/>
      </c>
      <c r="AN2206" s="125">
        <f>IFERROR(R2206/AL2206,"")</f>
        <v/>
      </c>
      <c r="AO2206" s="122" t="n">
        <v>0</v>
      </c>
      <c r="AP2206" s="54">
        <f>IFERROR(AO2206/AL2206,"")</f>
        <v/>
      </c>
      <c r="AQ2206" s="125">
        <f>IFERROR(R2206/AO2206,"")</f>
        <v/>
      </c>
      <c r="AR2206" s="122" t="n">
        <v>0</v>
      </c>
      <c r="AS2206" s="122" t="n">
        <v>0</v>
      </c>
      <c r="AT2206" s="122">
        <f>AL2206+AR2206</f>
        <v/>
      </c>
      <c r="AU2206" s="125">
        <f>IFERROR(AO2206*Assumptions!$C$26*Assumptions!$C$27*INDEX(Assumptions!$C$18:$C$21,MATCH(H2206,Assumptions!$B$18:$B$21,0)),0)</f>
        <v/>
      </c>
    </row>
    <row r="2207">
      <c r="A2207" s="120" t="n">
        <v>46254</v>
      </c>
      <c r="B2207" s="66" t="inlineStr">
        <is>
          <t>Wk 34</t>
        </is>
      </c>
      <c r="C2207" s="66" t="inlineStr">
        <is>
          <t>Thu</t>
        </is>
      </c>
      <c r="D2207" s="66" t="inlineStr">
        <is>
          <t>Programmatic</t>
        </is>
      </c>
      <c r="E2207" s="66" t="inlineStr">
        <is>
          <t>DV360</t>
        </is>
      </c>
      <c r="F2207" s="66" t="inlineStr">
        <is>
          <t>LEP_ZA_AUG26_PROG_TD_VIDEO_OLV</t>
        </is>
      </c>
      <c r="G2207" s="66" t="inlineStr">
        <is>
          <t>Online Video / CTV</t>
        </is>
      </c>
      <c r="H2207" s="66" t="inlineStr">
        <is>
          <t>Range</t>
        </is>
      </c>
      <c r="I2207" s="66" t="inlineStr">
        <is>
          <t>Range Offer</t>
        </is>
      </c>
      <c r="J2207" s="66" t="inlineStr">
        <is>
          <t>PROG_OLV_RMKT_VIEWERS</t>
        </is>
      </c>
      <c r="K2207" s="66" t="inlineStr">
        <is>
          <t>Retargeting</t>
        </is>
      </c>
      <c r="L2207" s="66" t="inlineStr">
        <is>
          <t>PROG_OLV_15s_AMUR_v1</t>
        </is>
      </c>
      <c r="M2207" s="66" t="inlineStr">
        <is>
          <t>Video 16:9 Pre-roll</t>
        </is>
      </c>
      <c r="N2207" s="66" t="inlineStr">
        <is>
          <t>AMUR from R3 599pm</t>
        </is>
      </c>
      <c r="O2207" s="66" t="inlineStr">
        <is>
          <t>Auction - Fixed CPM</t>
        </is>
      </c>
      <c r="P2207" s="66" t="inlineStr">
        <is>
          <t>Completed Views + CPA</t>
        </is>
      </c>
      <c r="Q2207" s="66" t="inlineStr">
        <is>
          <t>https://www.lepas-sa.co.za/book-a-test-drive</t>
        </is>
      </c>
      <c r="R2207" s="121" t="n">
        <v>107.89</v>
      </c>
      <c r="S2207" s="122" t="n">
        <v>4460</v>
      </c>
      <c r="T2207" s="122" t="n">
        <v>2163</v>
      </c>
      <c r="U2207" s="123">
        <f>IFERROR(S2207/T2207,"")</f>
        <v/>
      </c>
      <c r="V2207" s="122" t="n">
        <v>11</v>
      </c>
      <c r="W2207" s="122" t="n">
        <v>9</v>
      </c>
      <c r="X2207" s="124">
        <f>IFERROR(W2207/S2207,"")</f>
        <v/>
      </c>
      <c r="Y2207" s="121">
        <f>IFERROR(R2207/W2207,"")</f>
        <v/>
      </c>
      <c r="Z2207" s="121">
        <f>IFERROR(R2207/S2207*1000,"")</f>
        <v/>
      </c>
      <c r="AA2207" s="122" t="n">
        <v>7</v>
      </c>
      <c r="AB2207" s="54">
        <f>IFERROR(AA2207/W2207,"")</f>
        <v/>
      </c>
      <c r="AC2207" s="122" t="n">
        <v>1561</v>
      </c>
      <c r="AD2207" s="122" t="n">
        <v>940</v>
      </c>
      <c r="AE2207" s="122" t="n">
        <v>596</v>
      </c>
      <c r="AF2207" s="122" t="n">
        <v>323</v>
      </c>
      <c r="AG2207" s="122" t="n">
        <v>243</v>
      </c>
      <c r="AH2207" s="122" t="n">
        <v>140</v>
      </c>
      <c r="AI2207" s="54">
        <f>IFERROR(AC2207/S2207,"")</f>
        <v/>
      </c>
      <c r="AJ2207" s="54">
        <f>IFERROR(AH2207/S2207,"")</f>
        <v/>
      </c>
      <c r="AK2207" s="122" t="n">
        <v>16</v>
      </c>
      <c r="AL2207" s="122" t="n">
        <v>1</v>
      </c>
      <c r="AM2207" s="124">
        <f>IFERROR(AL2207/AA2207,"")</f>
        <v/>
      </c>
      <c r="AN2207" s="125">
        <f>IFERROR(R2207/AL2207,"")</f>
        <v/>
      </c>
      <c r="AO2207" s="122" t="n">
        <v>1</v>
      </c>
      <c r="AP2207" s="54">
        <f>IFERROR(AO2207/AL2207,"")</f>
        <v/>
      </c>
      <c r="AQ2207" s="125">
        <f>IFERROR(R2207/AO2207,"")</f>
        <v/>
      </c>
      <c r="AR2207" s="122" t="n">
        <v>3</v>
      </c>
      <c r="AS2207" s="122" t="n">
        <v>1</v>
      </c>
      <c r="AT2207" s="122">
        <f>AL2207+AR2207</f>
        <v/>
      </c>
      <c r="AU2207" s="125">
        <f>IFERROR(AO2207*Assumptions!$C$26*Assumptions!$C$27*INDEX(Assumptions!$C$18:$C$21,MATCH(H2207,Assumptions!$B$18:$B$21,0)),0)</f>
        <v/>
      </c>
    </row>
    <row r="2208">
      <c r="A2208" s="120" t="n">
        <v>46255</v>
      </c>
      <c r="B2208" s="66" t="inlineStr">
        <is>
          <t>Wk 34</t>
        </is>
      </c>
      <c r="C2208" s="66" t="inlineStr">
        <is>
          <t>Fri</t>
        </is>
      </c>
      <c r="D2208" s="66" t="inlineStr">
        <is>
          <t>Programmatic</t>
        </is>
      </c>
      <c r="E2208" s="66" t="inlineStr">
        <is>
          <t>DV360</t>
        </is>
      </c>
      <c r="F2208" s="66" t="inlineStr">
        <is>
          <t>LEP_ZA_AUG26_PROG_TD_VIDEO_OLV</t>
        </is>
      </c>
      <c r="G2208" s="66" t="inlineStr">
        <is>
          <t>Online Video / CTV</t>
        </is>
      </c>
      <c r="H2208" s="66" t="inlineStr">
        <is>
          <t>Range</t>
        </is>
      </c>
      <c r="I2208" s="66" t="inlineStr">
        <is>
          <t>Range Offer</t>
        </is>
      </c>
      <c r="J2208" s="66" t="inlineStr">
        <is>
          <t>PROG_OLV_RMKT_VIEWERS</t>
        </is>
      </c>
      <c r="K2208" s="66" t="inlineStr">
        <is>
          <t>Retargeting</t>
        </is>
      </c>
      <c r="L2208" s="66" t="inlineStr">
        <is>
          <t>PROG_OLV_15s_AMUR_v1</t>
        </is>
      </c>
      <c r="M2208" s="66" t="inlineStr">
        <is>
          <t>Video 16:9 Pre-roll</t>
        </is>
      </c>
      <c r="N2208" s="66" t="inlineStr">
        <is>
          <t>AMUR from R3 599pm</t>
        </is>
      </c>
      <c r="O2208" s="66" t="inlineStr">
        <is>
          <t>Auction - Fixed CPM</t>
        </is>
      </c>
      <c r="P2208" s="66" t="inlineStr">
        <is>
          <t>Completed Views + CPA</t>
        </is>
      </c>
      <c r="Q2208" s="66" t="inlineStr">
        <is>
          <t>https://www.lepas-sa.co.za/book-a-test-drive</t>
        </is>
      </c>
      <c r="R2208" s="121" t="n">
        <v>117.24</v>
      </c>
      <c r="S2208" s="122" t="n">
        <v>2914</v>
      </c>
      <c r="T2208" s="122" t="n">
        <v>1630</v>
      </c>
      <c r="U2208" s="123">
        <f>IFERROR(S2208/T2208,"")</f>
        <v/>
      </c>
      <c r="V2208" s="122" t="n">
        <v>16</v>
      </c>
      <c r="W2208" s="122" t="n">
        <v>13</v>
      </c>
      <c r="X2208" s="124">
        <f>IFERROR(W2208/S2208,"")</f>
        <v/>
      </c>
      <c r="Y2208" s="121">
        <f>IFERROR(R2208/W2208,"")</f>
        <v/>
      </c>
      <c r="Z2208" s="121">
        <f>IFERROR(R2208/S2208*1000,"")</f>
        <v/>
      </c>
      <c r="AA2208" s="122" t="n">
        <v>9</v>
      </c>
      <c r="AB2208" s="54">
        <f>IFERROR(AA2208/W2208,"")</f>
        <v/>
      </c>
      <c r="AC2208" s="122" t="n">
        <v>1025</v>
      </c>
      <c r="AD2208" s="122" t="n">
        <v>613</v>
      </c>
      <c r="AE2208" s="122" t="n">
        <v>506</v>
      </c>
      <c r="AF2208" s="122" t="n">
        <v>280</v>
      </c>
      <c r="AG2208" s="122" t="n">
        <v>197</v>
      </c>
      <c r="AH2208" s="122" t="n">
        <v>124</v>
      </c>
      <c r="AI2208" s="54">
        <f>IFERROR(AC2208/S2208,"")</f>
        <v/>
      </c>
      <c r="AJ2208" s="54">
        <f>IFERROR(AH2208/S2208,"")</f>
        <v/>
      </c>
      <c r="AK2208" s="122" t="n">
        <v>7</v>
      </c>
      <c r="AL2208" s="122" t="n">
        <v>0</v>
      </c>
      <c r="AM2208" s="124">
        <f>IFERROR(AL2208/AA2208,"")</f>
        <v/>
      </c>
      <c r="AN2208" s="125">
        <f>IFERROR(R2208/AL2208,"")</f>
        <v/>
      </c>
      <c r="AO2208" s="122" t="n">
        <v>0</v>
      </c>
      <c r="AP2208" s="54">
        <f>IFERROR(AO2208/AL2208,"")</f>
        <v/>
      </c>
      <c r="AQ2208" s="125">
        <f>IFERROR(R2208/AO2208,"")</f>
        <v/>
      </c>
      <c r="AR2208" s="122" t="n">
        <v>0</v>
      </c>
      <c r="AS2208" s="122" t="n">
        <v>0</v>
      </c>
      <c r="AT2208" s="122">
        <f>AL2208+AR2208</f>
        <v/>
      </c>
      <c r="AU2208" s="125">
        <f>IFERROR(AO2208*Assumptions!$C$26*Assumptions!$C$27*INDEX(Assumptions!$C$18:$C$21,MATCH(H2208,Assumptions!$B$18:$B$21,0)),0)</f>
        <v/>
      </c>
    </row>
    <row r="2209">
      <c r="A2209" s="120" t="n">
        <v>46256</v>
      </c>
      <c r="B2209" s="66" t="inlineStr">
        <is>
          <t>Wk 34</t>
        </is>
      </c>
      <c r="C2209" s="66" t="inlineStr">
        <is>
          <t>Sat</t>
        </is>
      </c>
      <c r="D2209" s="66" t="inlineStr">
        <is>
          <t>Programmatic</t>
        </is>
      </c>
      <c r="E2209" s="66" t="inlineStr">
        <is>
          <t>DV360</t>
        </is>
      </c>
      <c r="F2209" s="66" t="inlineStr">
        <is>
          <t>LEP_ZA_AUG26_PROG_TD_VIDEO_OLV</t>
        </is>
      </c>
      <c r="G2209" s="66" t="inlineStr">
        <is>
          <t>Online Video / CTV</t>
        </is>
      </c>
      <c r="H2209" s="66" t="inlineStr">
        <is>
          <t>Range</t>
        </is>
      </c>
      <c r="I2209" s="66" t="inlineStr">
        <is>
          <t>Range Offer</t>
        </is>
      </c>
      <c r="J2209" s="66" t="inlineStr">
        <is>
          <t>PROG_OLV_RMKT_VIEWERS</t>
        </is>
      </c>
      <c r="K2209" s="66" t="inlineStr">
        <is>
          <t>Retargeting</t>
        </is>
      </c>
      <c r="L2209" s="66" t="inlineStr">
        <is>
          <t>PROG_OLV_15s_AMUR_v1</t>
        </is>
      </c>
      <c r="M2209" s="66" t="inlineStr">
        <is>
          <t>Video 16:9 Pre-roll</t>
        </is>
      </c>
      <c r="N2209" s="66" t="inlineStr">
        <is>
          <t>AMUR from R3 599pm</t>
        </is>
      </c>
      <c r="O2209" s="66" t="inlineStr">
        <is>
          <t>Auction - Fixed CPM</t>
        </is>
      </c>
      <c r="P2209" s="66" t="inlineStr">
        <is>
          <t>Completed Views + CPA</t>
        </is>
      </c>
      <c r="Q2209" s="66" t="inlineStr">
        <is>
          <t>https://www.lepas-sa.co.za/book-a-test-drive</t>
        </is>
      </c>
      <c r="R2209" s="121" t="n">
        <v>120.38</v>
      </c>
      <c r="S2209" s="122" t="n">
        <v>4064</v>
      </c>
      <c r="T2209" s="122" t="n">
        <v>1832</v>
      </c>
      <c r="U2209" s="123">
        <f>IFERROR(S2209/T2209,"")</f>
        <v/>
      </c>
      <c r="V2209" s="122" t="n">
        <v>21</v>
      </c>
      <c r="W2209" s="122" t="n">
        <v>15</v>
      </c>
      <c r="X2209" s="124">
        <f>IFERROR(W2209/S2209,"")</f>
        <v/>
      </c>
      <c r="Y2209" s="121">
        <f>IFERROR(R2209/W2209,"")</f>
        <v/>
      </c>
      <c r="Z2209" s="121">
        <f>IFERROR(R2209/S2209*1000,"")</f>
        <v/>
      </c>
      <c r="AA2209" s="122" t="n">
        <v>9</v>
      </c>
      <c r="AB2209" s="54">
        <f>IFERROR(AA2209/W2209,"")</f>
        <v/>
      </c>
      <c r="AC2209" s="122" t="n">
        <v>1395</v>
      </c>
      <c r="AD2209" s="122" t="n">
        <v>816</v>
      </c>
      <c r="AE2209" s="122" t="n">
        <v>555</v>
      </c>
      <c r="AF2209" s="122" t="n">
        <v>317</v>
      </c>
      <c r="AG2209" s="122" t="n">
        <v>228</v>
      </c>
      <c r="AH2209" s="122" t="n">
        <v>152</v>
      </c>
      <c r="AI2209" s="54">
        <f>IFERROR(AC2209/S2209,"")</f>
        <v/>
      </c>
      <c r="AJ2209" s="54">
        <f>IFERROR(AH2209/S2209,"")</f>
        <v/>
      </c>
      <c r="AK2209" s="122" t="n">
        <v>5</v>
      </c>
      <c r="AL2209" s="122" t="n">
        <v>1</v>
      </c>
      <c r="AM2209" s="124">
        <f>IFERROR(AL2209/AA2209,"")</f>
        <v/>
      </c>
      <c r="AN2209" s="125">
        <f>IFERROR(R2209/AL2209,"")</f>
        <v/>
      </c>
      <c r="AO2209" s="122" t="n">
        <v>1</v>
      </c>
      <c r="AP2209" s="54">
        <f>IFERROR(AO2209/AL2209,"")</f>
        <v/>
      </c>
      <c r="AQ2209" s="125">
        <f>IFERROR(R2209/AO2209,"")</f>
        <v/>
      </c>
      <c r="AR2209" s="122" t="n">
        <v>2</v>
      </c>
      <c r="AS2209" s="122" t="n">
        <v>0</v>
      </c>
      <c r="AT2209" s="122">
        <f>AL2209+AR2209</f>
        <v/>
      </c>
      <c r="AU2209" s="125">
        <f>IFERROR(AO2209*Assumptions!$C$26*Assumptions!$C$27*INDEX(Assumptions!$C$18:$C$21,MATCH(H2209,Assumptions!$B$18:$B$21,0)),0)</f>
        <v/>
      </c>
    </row>
    <row r="2210">
      <c r="A2210" s="120" t="n">
        <v>46257</v>
      </c>
      <c r="B2210" s="66" t="inlineStr">
        <is>
          <t>Wk 34</t>
        </is>
      </c>
      <c r="C2210" s="66" t="inlineStr">
        <is>
          <t>Sun</t>
        </is>
      </c>
      <c r="D2210" s="66" t="inlineStr">
        <is>
          <t>Programmatic</t>
        </is>
      </c>
      <c r="E2210" s="66" t="inlineStr">
        <is>
          <t>DV360</t>
        </is>
      </c>
      <c r="F2210" s="66" t="inlineStr">
        <is>
          <t>LEP_ZA_AUG26_PROG_TD_VIDEO_OLV</t>
        </is>
      </c>
      <c r="G2210" s="66" t="inlineStr">
        <is>
          <t>Online Video / CTV</t>
        </is>
      </c>
      <c r="H2210" s="66" t="inlineStr">
        <is>
          <t>Range</t>
        </is>
      </c>
      <c r="I2210" s="66" t="inlineStr">
        <is>
          <t>Range Offer</t>
        </is>
      </c>
      <c r="J2210" s="66" t="inlineStr">
        <is>
          <t>PROG_OLV_RMKT_VIEWERS</t>
        </is>
      </c>
      <c r="K2210" s="66" t="inlineStr">
        <is>
          <t>Retargeting</t>
        </is>
      </c>
      <c r="L2210" s="66" t="inlineStr">
        <is>
          <t>PROG_OLV_15s_AMUR_v1</t>
        </is>
      </c>
      <c r="M2210" s="66" t="inlineStr">
        <is>
          <t>Video 16:9 Pre-roll</t>
        </is>
      </c>
      <c r="N2210" s="66" t="inlineStr">
        <is>
          <t>AMUR from R3 599pm</t>
        </is>
      </c>
      <c r="O2210" s="66" t="inlineStr">
        <is>
          <t>Auction - Fixed CPM</t>
        </is>
      </c>
      <c r="P2210" s="66" t="inlineStr">
        <is>
          <t>Completed Views + CPA</t>
        </is>
      </c>
      <c r="Q2210" s="66" t="inlineStr">
        <is>
          <t>https://www.lepas-sa.co.za/book-a-test-drive</t>
        </is>
      </c>
      <c r="R2210" s="121" t="n">
        <v>98.42</v>
      </c>
      <c r="S2210" s="122" t="n">
        <v>4185</v>
      </c>
      <c r="T2210" s="122" t="n">
        <v>2063</v>
      </c>
      <c r="U2210" s="123">
        <f>IFERROR(S2210/T2210,"")</f>
        <v/>
      </c>
      <c r="V2210" s="122" t="n">
        <v>23</v>
      </c>
      <c r="W2210" s="122" t="n">
        <v>19</v>
      </c>
      <c r="X2210" s="124">
        <f>IFERROR(W2210/S2210,"")</f>
        <v/>
      </c>
      <c r="Y2210" s="121">
        <f>IFERROR(R2210/W2210,"")</f>
        <v/>
      </c>
      <c r="Z2210" s="121">
        <f>IFERROR(R2210/S2210*1000,"")</f>
        <v/>
      </c>
      <c r="AA2210" s="122" t="n">
        <v>13</v>
      </c>
      <c r="AB2210" s="54">
        <f>IFERROR(AA2210/W2210,"")</f>
        <v/>
      </c>
      <c r="AC2210" s="122" t="n">
        <v>1404</v>
      </c>
      <c r="AD2210" s="122" t="n">
        <v>869</v>
      </c>
      <c r="AE2210" s="122" t="n">
        <v>719</v>
      </c>
      <c r="AF2210" s="122" t="n">
        <v>450</v>
      </c>
      <c r="AG2210" s="122" t="n">
        <v>313</v>
      </c>
      <c r="AH2210" s="122" t="n">
        <v>223</v>
      </c>
      <c r="AI2210" s="54">
        <f>IFERROR(AC2210/S2210,"")</f>
        <v/>
      </c>
      <c r="AJ2210" s="54">
        <f>IFERROR(AH2210/S2210,"")</f>
        <v/>
      </c>
      <c r="AK2210" s="122" t="n">
        <v>13</v>
      </c>
      <c r="AL2210" s="122" t="n">
        <v>1</v>
      </c>
      <c r="AM2210" s="124">
        <f>IFERROR(AL2210/AA2210,"")</f>
        <v/>
      </c>
      <c r="AN2210" s="125">
        <f>IFERROR(R2210/AL2210,"")</f>
        <v/>
      </c>
      <c r="AO2210" s="122" t="n">
        <v>1</v>
      </c>
      <c r="AP2210" s="54">
        <f>IFERROR(AO2210/AL2210,"")</f>
        <v/>
      </c>
      <c r="AQ2210" s="125">
        <f>IFERROR(R2210/AO2210,"")</f>
        <v/>
      </c>
      <c r="AR2210" s="122" t="n">
        <v>3</v>
      </c>
      <c r="AS2210" s="122" t="n">
        <v>1</v>
      </c>
      <c r="AT2210" s="122">
        <f>AL2210+AR2210</f>
        <v/>
      </c>
      <c r="AU2210" s="125">
        <f>IFERROR(AO2210*Assumptions!$C$26*Assumptions!$C$27*INDEX(Assumptions!$C$18:$C$21,MATCH(H2210,Assumptions!$B$18:$B$21,0)),0)</f>
        <v/>
      </c>
    </row>
    <row r="2211">
      <c r="A2211" s="120" t="n">
        <v>46258</v>
      </c>
      <c r="B2211" s="66" t="inlineStr">
        <is>
          <t>Wk 35</t>
        </is>
      </c>
      <c r="C2211" s="66" t="inlineStr">
        <is>
          <t>Mon</t>
        </is>
      </c>
      <c r="D2211" s="66" t="inlineStr">
        <is>
          <t>Programmatic</t>
        </is>
      </c>
      <c r="E2211" s="66" t="inlineStr">
        <is>
          <t>DV360</t>
        </is>
      </c>
      <c r="F2211" s="66" t="inlineStr">
        <is>
          <t>LEP_ZA_AUG26_PROG_TD_VIDEO_OLV</t>
        </is>
      </c>
      <c r="G2211" s="66" t="inlineStr">
        <is>
          <t>Online Video / CTV</t>
        </is>
      </c>
      <c r="H2211" s="66" t="inlineStr">
        <is>
          <t>Range</t>
        </is>
      </c>
      <c r="I2211" s="66" t="inlineStr">
        <is>
          <t>Range Offer</t>
        </is>
      </c>
      <c r="J2211" s="66" t="inlineStr">
        <is>
          <t>PROG_OLV_RMKT_VIEWERS</t>
        </is>
      </c>
      <c r="K2211" s="66" t="inlineStr">
        <is>
          <t>Retargeting</t>
        </is>
      </c>
      <c r="L2211" s="66" t="inlineStr">
        <is>
          <t>PROG_OLV_15s_AMUR_v1</t>
        </is>
      </c>
      <c r="M2211" s="66" t="inlineStr">
        <is>
          <t>Video 16:9 Pre-roll</t>
        </is>
      </c>
      <c r="N2211" s="66" t="inlineStr">
        <is>
          <t>AMUR from R3 599pm</t>
        </is>
      </c>
      <c r="O2211" s="66" t="inlineStr">
        <is>
          <t>Auction - Fixed CPM</t>
        </is>
      </c>
      <c r="P2211" s="66" t="inlineStr">
        <is>
          <t>Completed Views + CPA</t>
        </is>
      </c>
      <c r="Q2211" s="66" t="inlineStr">
        <is>
          <t>https://www.lepas-sa.co.za/book-a-test-drive</t>
        </is>
      </c>
      <c r="R2211" s="121" t="n">
        <v>87.55</v>
      </c>
      <c r="S2211" s="122" t="n">
        <v>2676</v>
      </c>
      <c r="T2211" s="122" t="n">
        <v>1635</v>
      </c>
      <c r="U2211" s="123">
        <f>IFERROR(S2211/T2211,"")</f>
        <v/>
      </c>
      <c r="V2211" s="122" t="n">
        <v>12</v>
      </c>
      <c r="W2211" s="122" t="n">
        <v>9</v>
      </c>
      <c r="X2211" s="124">
        <f>IFERROR(W2211/S2211,"")</f>
        <v/>
      </c>
      <c r="Y2211" s="121">
        <f>IFERROR(R2211/W2211,"")</f>
        <v/>
      </c>
      <c r="Z2211" s="121">
        <f>IFERROR(R2211/S2211*1000,"")</f>
        <v/>
      </c>
      <c r="AA2211" s="122" t="n">
        <v>5</v>
      </c>
      <c r="AB2211" s="54">
        <f>IFERROR(AA2211/W2211,"")</f>
        <v/>
      </c>
      <c r="AC2211" s="122" t="n">
        <v>671</v>
      </c>
      <c r="AD2211" s="122" t="n">
        <v>315</v>
      </c>
      <c r="AE2211" s="122" t="n">
        <v>249</v>
      </c>
      <c r="AF2211" s="122" t="n">
        <v>130</v>
      </c>
      <c r="AG2211" s="122" t="n">
        <v>97</v>
      </c>
      <c r="AH2211" s="122" t="n">
        <v>63</v>
      </c>
      <c r="AI2211" s="54">
        <f>IFERROR(AC2211/S2211,"")</f>
        <v/>
      </c>
      <c r="AJ2211" s="54">
        <f>IFERROR(AH2211/S2211,"")</f>
        <v/>
      </c>
      <c r="AK2211" s="122" t="n">
        <v>6</v>
      </c>
      <c r="AL2211" s="122" t="n">
        <v>0</v>
      </c>
      <c r="AM2211" s="124">
        <f>IFERROR(AL2211/AA2211,"")</f>
        <v/>
      </c>
      <c r="AN2211" s="125">
        <f>IFERROR(R2211/AL2211,"")</f>
        <v/>
      </c>
      <c r="AO2211" s="122" t="n">
        <v>0</v>
      </c>
      <c r="AP2211" s="54">
        <f>IFERROR(AO2211/AL2211,"")</f>
        <v/>
      </c>
      <c r="AQ2211" s="125">
        <f>IFERROR(R2211/AO2211,"")</f>
        <v/>
      </c>
      <c r="AR2211" s="122" t="n">
        <v>0</v>
      </c>
      <c r="AS2211" s="122" t="n">
        <v>0</v>
      </c>
      <c r="AT2211" s="122">
        <f>AL2211+AR2211</f>
        <v/>
      </c>
      <c r="AU2211" s="125">
        <f>IFERROR(AO2211*Assumptions!$C$26*Assumptions!$C$27*INDEX(Assumptions!$C$18:$C$21,MATCH(H2211,Assumptions!$B$18:$B$21,0)),0)</f>
        <v/>
      </c>
    </row>
    <row r="2212">
      <c r="A2212" s="120" t="n">
        <v>46259</v>
      </c>
      <c r="B2212" s="66" t="inlineStr">
        <is>
          <t>Wk 35</t>
        </is>
      </c>
      <c r="C2212" s="66" t="inlineStr">
        <is>
          <t>Tue</t>
        </is>
      </c>
      <c r="D2212" s="66" t="inlineStr">
        <is>
          <t>Programmatic</t>
        </is>
      </c>
      <c r="E2212" s="66" t="inlineStr">
        <is>
          <t>DV360</t>
        </is>
      </c>
      <c r="F2212" s="66" t="inlineStr">
        <is>
          <t>LEP_ZA_AUG26_PROG_TD_VIDEO_OLV</t>
        </is>
      </c>
      <c r="G2212" s="66" t="inlineStr">
        <is>
          <t>Online Video / CTV</t>
        </is>
      </c>
      <c r="H2212" s="66" t="inlineStr">
        <is>
          <t>Range</t>
        </is>
      </c>
      <c r="I2212" s="66" t="inlineStr">
        <is>
          <t>Range Offer</t>
        </is>
      </c>
      <c r="J2212" s="66" t="inlineStr">
        <is>
          <t>PROG_OLV_RMKT_VIEWERS</t>
        </is>
      </c>
      <c r="K2212" s="66" t="inlineStr">
        <is>
          <t>Retargeting</t>
        </is>
      </c>
      <c r="L2212" s="66" t="inlineStr">
        <is>
          <t>PROG_OLV_15s_AMUR_v1</t>
        </is>
      </c>
      <c r="M2212" s="66" t="inlineStr">
        <is>
          <t>Video 16:9 Pre-roll</t>
        </is>
      </c>
      <c r="N2212" s="66" t="inlineStr">
        <is>
          <t>AMUR from R3 599pm</t>
        </is>
      </c>
      <c r="O2212" s="66" t="inlineStr">
        <is>
          <t>Auction - Fixed CPM</t>
        </is>
      </c>
      <c r="P2212" s="66" t="inlineStr">
        <is>
          <t>Completed Views + CPA</t>
        </is>
      </c>
      <c r="Q2212" s="66" t="inlineStr">
        <is>
          <t>https://www.lepas-sa.co.za/book-a-test-drive</t>
        </is>
      </c>
      <c r="R2212" s="121" t="n">
        <v>98.42</v>
      </c>
      <c r="S2212" s="122" t="n">
        <v>3149</v>
      </c>
      <c r="T2212" s="122" t="n">
        <v>1559</v>
      </c>
      <c r="U2212" s="123">
        <f>IFERROR(S2212/T2212,"")</f>
        <v/>
      </c>
      <c r="V2212" s="122" t="n">
        <v>17</v>
      </c>
      <c r="W2212" s="122" t="n">
        <v>13</v>
      </c>
      <c r="X2212" s="124">
        <f>IFERROR(W2212/S2212,"")</f>
        <v/>
      </c>
      <c r="Y2212" s="121">
        <f>IFERROR(R2212/W2212,"")</f>
        <v/>
      </c>
      <c r="Z2212" s="121">
        <f>IFERROR(R2212/S2212*1000,"")</f>
        <v/>
      </c>
      <c r="AA2212" s="122" t="n">
        <v>8</v>
      </c>
      <c r="AB2212" s="54">
        <f>IFERROR(AA2212/W2212,"")</f>
        <v/>
      </c>
      <c r="AC2212" s="122" t="n">
        <v>1116</v>
      </c>
      <c r="AD2212" s="122" t="n">
        <v>571</v>
      </c>
      <c r="AE2212" s="122" t="n">
        <v>556</v>
      </c>
      <c r="AF2212" s="122" t="n">
        <v>289</v>
      </c>
      <c r="AG2212" s="122" t="n">
        <v>197</v>
      </c>
      <c r="AH2212" s="122" t="n">
        <v>123</v>
      </c>
      <c r="AI2212" s="54">
        <f>IFERROR(AC2212/S2212,"")</f>
        <v/>
      </c>
      <c r="AJ2212" s="54">
        <f>IFERROR(AH2212/S2212,"")</f>
        <v/>
      </c>
      <c r="AK2212" s="122" t="n">
        <v>6</v>
      </c>
      <c r="AL2212" s="122" t="n">
        <v>0</v>
      </c>
      <c r="AM2212" s="124">
        <f>IFERROR(AL2212/AA2212,"")</f>
        <v/>
      </c>
      <c r="AN2212" s="125">
        <f>IFERROR(R2212/AL2212,"")</f>
        <v/>
      </c>
      <c r="AO2212" s="122" t="n">
        <v>0</v>
      </c>
      <c r="AP2212" s="54">
        <f>IFERROR(AO2212/AL2212,"")</f>
        <v/>
      </c>
      <c r="AQ2212" s="125">
        <f>IFERROR(R2212/AO2212,"")</f>
        <v/>
      </c>
      <c r="AR2212" s="122" t="n">
        <v>0</v>
      </c>
      <c r="AS2212" s="122" t="n">
        <v>0</v>
      </c>
      <c r="AT2212" s="122">
        <f>AL2212+AR2212</f>
        <v/>
      </c>
      <c r="AU2212" s="125">
        <f>IFERROR(AO2212*Assumptions!$C$26*Assumptions!$C$27*INDEX(Assumptions!$C$18:$C$21,MATCH(H2212,Assumptions!$B$18:$B$21,0)),0)</f>
        <v/>
      </c>
    </row>
    <row r="2213">
      <c r="A2213" s="120" t="n">
        <v>46260</v>
      </c>
      <c r="B2213" s="66" t="inlineStr">
        <is>
          <t>Wk 35</t>
        </is>
      </c>
      <c r="C2213" s="66" t="inlineStr">
        <is>
          <t>Wed</t>
        </is>
      </c>
      <c r="D2213" s="66" t="inlineStr">
        <is>
          <t>Programmatic</t>
        </is>
      </c>
      <c r="E2213" s="66" t="inlineStr">
        <is>
          <t>DV360</t>
        </is>
      </c>
      <c r="F2213" s="66" t="inlineStr">
        <is>
          <t>LEP_ZA_AUG26_PROG_TD_VIDEO_OLV</t>
        </is>
      </c>
      <c r="G2213" s="66" t="inlineStr">
        <is>
          <t>Online Video / CTV</t>
        </is>
      </c>
      <c r="H2213" s="66" t="inlineStr">
        <is>
          <t>Range</t>
        </is>
      </c>
      <c r="I2213" s="66" t="inlineStr">
        <is>
          <t>Range Offer</t>
        </is>
      </c>
      <c r="J2213" s="66" t="inlineStr">
        <is>
          <t>PROG_OLV_RMKT_VIEWERS</t>
        </is>
      </c>
      <c r="K2213" s="66" t="inlineStr">
        <is>
          <t>Retargeting</t>
        </is>
      </c>
      <c r="L2213" s="66" t="inlineStr">
        <is>
          <t>PROG_OLV_15s_AMUR_v1</t>
        </is>
      </c>
      <c r="M2213" s="66" t="inlineStr">
        <is>
          <t>Video 16:9 Pre-roll</t>
        </is>
      </c>
      <c r="N2213" s="66" t="inlineStr">
        <is>
          <t>AMUR from R3 599pm</t>
        </is>
      </c>
      <c r="O2213" s="66" t="inlineStr">
        <is>
          <t>Auction - Fixed CPM</t>
        </is>
      </c>
      <c r="P2213" s="66" t="inlineStr">
        <is>
          <t>Completed Views + CPA</t>
        </is>
      </c>
      <c r="Q2213" s="66" t="inlineStr">
        <is>
          <t>https://www.lepas-sa.co.za/book-a-test-drive</t>
        </is>
      </c>
      <c r="R2213" s="121" t="n">
        <v>117.37</v>
      </c>
      <c r="S2213" s="122" t="n">
        <v>2905</v>
      </c>
      <c r="T2213" s="122" t="n">
        <v>1392</v>
      </c>
      <c r="U2213" s="123">
        <f>IFERROR(S2213/T2213,"")</f>
        <v/>
      </c>
      <c r="V2213" s="122" t="n">
        <v>10</v>
      </c>
      <c r="W2213" s="122" t="n">
        <v>8</v>
      </c>
      <c r="X2213" s="124">
        <f>IFERROR(W2213/S2213,"")</f>
        <v/>
      </c>
      <c r="Y2213" s="121">
        <f>IFERROR(R2213/W2213,"")</f>
        <v/>
      </c>
      <c r="Z2213" s="121">
        <f>IFERROR(R2213/S2213*1000,"")</f>
        <v/>
      </c>
      <c r="AA2213" s="122" t="n">
        <v>5</v>
      </c>
      <c r="AB2213" s="54">
        <f>IFERROR(AA2213/W2213,"")</f>
        <v/>
      </c>
      <c r="AC2213" s="122" t="n">
        <v>972</v>
      </c>
      <c r="AD2213" s="122" t="n">
        <v>502</v>
      </c>
      <c r="AE2213" s="122" t="n">
        <v>369</v>
      </c>
      <c r="AF2213" s="122" t="n">
        <v>220</v>
      </c>
      <c r="AG2213" s="122" t="n">
        <v>162</v>
      </c>
      <c r="AH2213" s="122" t="n">
        <v>114</v>
      </c>
      <c r="AI2213" s="54">
        <f>IFERROR(AC2213/S2213,"")</f>
        <v/>
      </c>
      <c r="AJ2213" s="54">
        <f>IFERROR(AH2213/S2213,"")</f>
        <v/>
      </c>
      <c r="AK2213" s="122" t="n">
        <v>7</v>
      </c>
      <c r="AL2213" s="122" t="n">
        <v>0</v>
      </c>
      <c r="AM2213" s="124">
        <f>IFERROR(AL2213/AA2213,"")</f>
        <v/>
      </c>
      <c r="AN2213" s="125">
        <f>IFERROR(R2213/AL2213,"")</f>
        <v/>
      </c>
      <c r="AO2213" s="122" t="n">
        <v>0</v>
      </c>
      <c r="AP2213" s="54">
        <f>IFERROR(AO2213/AL2213,"")</f>
        <v/>
      </c>
      <c r="AQ2213" s="125">
        <f>IFERROR(R2213/AO2213,"")</f>
        <v/>
      </c>
      <c r="AR2213" s="122" t="n">
        <v>0</v>
      </c>
      <c r="AS2213" s="122" t="n">
        <v>0</v>
      </c>
      <c r="AT2213" s="122">
        <f>AL2213+AR2213</f>
        <v/>
      </c>
      <c r="AU2213" s="125">
        <f>IFERROR(AO2213*Assumptions!$C$26*Assumptions!$C$27*INDEX(Assumptions!$C$18:$C$21,MATCH(H2213,Assumptions!$B$18:$B$21,0)),0)</f>
        <v/>
      </c>
    </row>
    <row r="2214">
      <c r="A2214" s="120" t="n">
        <v>46261</v>
      </c>
      <c r="B2214" s="66" t="inlineStr">
        <is>
          <t>Wk 35</t>
        </is>
      </c>
      <c r="C2214" s="66" t="inlineStr">
        <is>
          <t>Thu</t>
        </is>
      </c>
      <c r="D2214" s="66" t="inlineStr">
        <is>
          <t>Programmatic</t>
        </is>
      </c>
      <c r="E2214" s="66" t="inlineStr">
        <is>
          <t>DV360</t>
        </is>
      </c>
      <c r="F2214" s="66" t="inlineStr">
        <is>
          <t>LEP_ZA_AUG26_PROG_TD_VIDEO_OLV</t>
        </is>
      </c>
      <c r="G2214" s="66" t="inlineStr">
        <is>
          <t>Online Video / CTV</t>
        </is>
      </c>
      <c r="H2214" s="66" t="inlineStr">
        <is>
          <t>Range</t>
        </is>
      </c>
      <c r="I2214" s="66" t="inlineStr">
        <is>
          <t>Range Offer</t>
        </is>
      </c>
      <c r="J2214" s="66" t="inlineStr">
        <is>
          <t>PROG_OLV_RMKT_VIEWERS</t>
        </is>
      </c>
      <c r="K2214" s="66" t="inlineStr">
        <is>
          <t>Retargeting</t>
        </is>
      </c>
      <c r="L2214" s="66" t="inlineStr">
        <is>
          <t>PROG_OLV_15s_AMUR_v1</t>
        </is>
      </c>
      <c r="M2214" s="66" t="inlineStr">
        <is>
          <t>Video 16:9 Pre-roll</t>
        </is>
      </c>
      <c r="N2214" s="66" t="inlineStr">
        <is>
          <t>AMUR from R3 599pm</t>
        </is>
      </c>
      <c r="O2214" s="66" t="inlineStr">
        <is>
          <t>Auction - Fixed CPM</t>
        </is>
      </c>
      <c r="P2214" s="66" t="inlineStr">
        <is>
          <t>Completed Views + CPA</t>
        </is>
      </c>
      <c r="Q2214" s="66" t="inlineStr">
        <is>
          <t>https://www.lepas-sa.co.za/book-a-test-drive</t>
        </is>
      </c>
      <c r="R2214" s="121" t="n">
        <v>135.31</v>
      </c>
      <c r="S2214" s="122" t="n">
        <v>4191</v>
      </c>
      <c r="T2214" s="122" t="n">
        <v>2439</v>
      </c>
      <c r="U2214" s="123">
        <f>IFERROR(S2214/T2214,"")</f>
        <v/>
      </c>
      <c r="V2214" s="122" t="n">
        <v>20</v>
      </c>
      <c r="W2214" s="122" t="n">
        <v>16</v>
      </c>
      <c r="X2214" s="124">
        <f>IFERROR(W2214/S2214,"")</f>
        <v/>
      </c>
      <c r="Y2214" s="121">
        <f>IFERROR(R2214/W2214,"")</f>
        <v/>
      </c>
      <c r="Z2214" s="121">
        <f>IFERROR(R2214/S2214*1000,"")</f>
        <v/>
      </c>
      <c r="AA2214" s="122" t="n">
        <v>11</v>
      </c>
      <c r="AB2214" s="54">
        <f>IFERROR(AA2214/W2214,"")</f>
        <v/>
      </c>
      <c r="AC2214" s="122" t="n">
        <v>1649</v>
      </c>
      <c r="AD2214" s="122" t="n">
        <v>1012</v>
      </c>
      <c r="AE2214" s="122" t="n">
        <v>803</v>
      </c>
      <c r="AF2214" s="122" t="n">
        <v>537</v>
      </c>
      <c r="AG2214" s="122" t="n">
        <v>401</v>
      </c>
      <c r="AH2214" s="122" t="n">
        <v>274</v>
      </c>
      <c r="AI2214" s="54">
        <f>IFERROR(AC2214/S2214,"")</f>
        <v/>
      </c>
      <c r="AJ2214" s="54">
        <f>IFERROR(AH2214/S2214,"")</f>
        <v/>
      </c>
      <c r="AK2214" s="122" t="n">
        <v>16</v>
      </c>
      <c r="AL2214" s="122" t="n">
        <v>0</v>
      </c>
      <c r="AM2214" s="124">
        <f>IFERROR(AL2214/AA2214,"")</f>
        <v/>
      </c>
      <c r="AN2214" s="125">
        <f>IFERROR(R2214/AL2214,"")</f>
        <v/>
      </c>
      <c r="AO2214" s="122" t="n">
        <v>0</v>
      </c>
      <c r="AP2214" s="54">
        <f>IFERROR(AO2214/AL2214,"")</f>
        <v/>
      </c>
      <c r="AQ2214" s="125">
        <f>IFERROR(R2214/AO2214,"")</f>
        <v/>
      </c>
      <c r="AR2214" s="122" t="n">
        <v>0</v>
      </c>
      <c r="AS2214" s="122" t="n">
        <v>0</v>
      </c>
      <c r="AT2214" s="122">
        <f>AL2214+AR2214</f>
        <v/>
      </c>
      <c r="AU2214" s="125">
        <f>IFERROR(AO2214*Assumptions!$C$26*Assumptions!$C$27*INDEX(Assumptions!$C$18:$C$21,MATCH(H2214,Assumptions!$B$18:$B$21,0)),0)</f>
        <v/>
      </c>
    </row>
    <row r="2215">
      <c r="A2215" s="120" t="n">
        <v>46262</v>
      </c>
      <c r="B2215" s="66" t="inlineStr">
        <is>
          <t>Wk 35</t>
        </is>
      </c>
      <c r="C2215" s="66" t="inlineStr">
        <is>
          <t>Fri</t>
        </is>
      </c>
      <c r="D2215" s="66" t="inlineStr">
        <is>
          <t>Programmatic</t>
        </is>
      </c>
      <c r="E2215" s="66" t="inlineStr">
        <is>
          <t>DV360</t>
        </is>
      </c>
      <c r="F2215" s="66" t="inlineStr">
        <is>
          <t>LEP_ZA_AUG26_PROG_TD_VIDEO_OLV</t>
        </is>
      </c>
      <c r="G2215" s="66" t="inlineStr">
        <is>
          <t>Online Video / CTV</t>
        </is>
      </c>
      <c r="H2215" s="66" t="inlineStr">
        <is>
          <t>Range</t>
        </is>
      </c>
      <c r="I2215" s="66" t="inlineStr">
        <is>
          <t>Range Offer</t>
        </is>
      </c>
      <c r="J2215" s="66" t="inlineStr">
        <is>
          <t>PROG_OLV_RMKT_VIEWERS</t>
        </is>
      </c>
      <c r="K2215" s="66" t="inlineStr">
        <is>
          <t>Retargeting</t>
        </is>
      </c>
      <c r="L2215" s="66" t="inlineStr">
        <is>
          <t>PROG_OLV_15s_AMUR_v1</t>
        </is>
      </c>
      <c r="M2215" s="66" t="inlineStr">
        <is>
          <t>Video 16:9 Pre-roll</t>
        </is>
      </c>
      <c r="N2215" s="66" t="inlineStr">
        <is>
          <t>AMUR from R3 599pm</t>
        </is>
      </c>
      <c r="O2215" s="66" t="inlineStr">
        <is>
          <t>Auction - Fixed CPM</t>
        </is>
      </c>
      <c r="P2215" s="66" t="inlineStr">
        <is>
          <t>Completed Views + CPA</t>
        </is>
      </c>
      <c r="Q2215" s="66" t="inlineStr">
        <is>
          <t>https://www.lepas-sa.co.za/book-a-test-drive</t>
        </is>
      </c>
      <c r="R2215" s="121" t="n">
        <v>132.01</v>
      </c>
      <c r="S2215" s="122" t="n">
        <v>4756</v>
      </c>
      <c r="T2215" s="122" t="n">
        <v>1986</v>
      </c>
      <c r="U2215" s="123">
        <f>IFERROR(S2215/T2215,"")</f>
        <v/>
      </c>
      <c r="V2215" s="122" t="n">
        <v>11</v>
      </c>
      <c r="W2215" s="122" t="n">
        <v>8</v>
      </c>
      <c r="X2215" s="124">
        <f>IFERROR(W2215/S2215,"")</f>
        <v/>
      </c>
      <c r="Y2215" s="121">
        <f>IFERROR(R2215/W2215,"")</f>
        <v/>
      </c>
      <c r="Z2215" s="121">
        <f>IFERROR(R2215/S2215*1000,"")</f>
        <v/>
      </c>
      <c r="AA2215" s="122" t="n">
        <v>6</v>
      </c>
      <c r="AB2215" s="54">
        <f>IFERROR(AA2215/W2215,"")</f>
        <v/>
      </c>
      <c r="AC2215" s="122" t="n">
        <v>1596</v>
      </c>
      <c r="AD2215" s="122" t="n">
        <v>849</v>
      </c>
      <c r="AE2215" s="122" t="n">
        <v>579</v>
      </c>
      <c r="AF2215" s="122" t="n">
        <v>348</v>
      </c>
      <c r="AG2215" s="122" t="n">
        <v>263</v>
      </c>
      <c r="AH2215" s="122" t="n">
        <v>157</v>
      </c>
      <c r="AI2215" s="54">
        <f>IFERROR(AC2215/S2215,"")</f>
        <v/>
      </c>
      <c r="AJ2215" s="54">
        <f>IFERROR(AH2215/S2215,"")</f>
        <v/>
      </c>
      <c r="AK2215" s="122" t="n">
        <v>24</v>
      </c>
      <c r="AL2215" s="122" t="n">
        <v>0</v>
      </c>
      <c r="AM2215" s="124">
        <f>IFERROR(AL2215/AA2215,"")</f>
        <v/>
      </c>
      <c r="AN2215" s="125">
        <f>IFERROR(R2215/AL2215,"")</f>
        <v/>
      </c>
      <c r="AO2215" s="122" t="n">
        <v>0</v>
      </c>
      <c r="AP2215" s="54">
        <f>IFERROR(AO2215/AL2215,"")</f>
        <v/>
      </c>
      <c r="AQ2215" s="125">
        <f>IFERROR(R2215/AO2215,"")</f>
        <v/>
      </c>
      <c r="AR2215" s="122" t="n">
        <v>0</v>
      </c>
      <c r="AS2215" s="122" t="n">
        <v>0</v>
      </c>
      <c r="AT2215" s="122">
        <f>AL2215+AR2215</f>
        <v/>
      </c>
      <c r="AU2215" s="125">
        <f>IFERROR(AO2215*Assumptions!$C$26*Assumptions!$C$27*INDEX(Assumptions!$C$18:$C$21,MATCH(H2215,Assumptions!$B$18:$B$21,0)),0)</f>
        <v/>
      </c>
    </row>
    <row r="2216">
      <c r="A2216" s="120" t="n">
        <v>46263</v>
      </c>
      <c r="B2216" s="66" t="inlineStr">
        <is>
          <t>Wk 35</t>
        </is>
      </c>
      <c r="C2216" s="66" t="inlineStr">
        <is>
          <t>Sat</t>
        </is>
      </c>
      <c r="D2216" s="66" t="inlineStr">
        <is>
          <t>Programmatic</t>
        </is>
      </c>
      <c r="E2216" s="66" t="inlineStr">
        <is>
          <t>DV360</t>
        </is>
      </c>
      <c r="F2216" s="66" t="inlineStr">
        <is>
          <t>LEP_ZA_AUG26_PROG_TD_VIDEO_OLV</t>
        </is>
      </c>
      <c r="G2216" s="66" t="inlineStr">
        <is>
          <t>Online Video / CTV</t>
        </is>
      </c>
      <c r="H2216" s="66" t="inlineStr">
        <is>
          <t>Range</t>
        </is>
      </c>
      <c r="I2216" s="66" t="inlineStr">
        <is>
          <t>Range Offer</t>
        </is>
      </c>
      <c r="J2216" s="66" t="inlineStr">
        <is>
          <t>PROG_OLV_RMKT_VIEWERS</t>
        </is>
      </c>
      <c r="K2216" s="66" t="inlineStr">
        <is>
          <t>Retargeting</t>
        </is>
      </c>
      <c r="L2216" s="66" t="inlineStr">
        <is>
          <t>PROG_OLV_15s_AMUR_v1</t>
        </is>
      </c>
      <c r="M2216" s="66" t="inlineStr">
        <is>
          <t>Video 16:9 Pre-roll</t>
        </is>
      </c>
      <c r="N2216" s="66" t="inlineStr">
        <is>
          <t>AMUR from R3 599pm</t>
        </is>
      </c>
      <c r="O2216" s="66" t="inlineStr">
        <is>
          <t>Auction - Fixed CPM</t>
        </is>
      </c>
      <c r="P2216" s="66" t="inlineStr">
        <is>
          <t>Completed Views + CPA</t>
        </is>
      </c>
      <c r="Q2216" s="66" t="inlineStr">
        <is>
          <t>https://www.lepas-sa.co.za/book-a-test-drive</t>
        </is>
      </c>
      <c r="R2216" s="121" t="n">
        <v>152.39</v>
      </c>
      <c r="S2216" s="122" t="n">
        <v>5707</v>
      </c>
      <c r="T2216" s="122" t="n">
        <v>2791</v>
      </c>
      <c r="U2216" s="123">
        <f>IFERROR(S2216/T2216,"")</f>
        <v/>
      </c>
      <c r="V2216" s="122" t="n">
        <v>31</v>
      </c>
      <c r="W2216" s="122" t="n">
        <v>22</v>
      </c>
      <c r="X2216" s="124">
        <f>IFERROR(W2216/S2216,"")</f>
        <v/>
      </c>
      <c r="Y2216" s="121">
        <f>IFERROR(R2216/W2216,"")</f>
        <v/>
      </c>
      <c r="Z2216" s="121">
        <f>IFERROR(R2216/S2216*1000,"")</f>
        <v/>
      </c>
      <c r="AA2216" s="122" t="n">
        <v>15</v>
      </c>
      <c r="AB2216" s="54">
        <f>IFERROR(AA2216/W2216,"")</f>
        <v/>
      </c>
      <c r="AC2216" s="122" t="n">
        <v>2309</v>
      </c>
      <c r="AD2216" s="122" t="n">
        <v>1393</v>
      </c>
      <c r="AE2216" s="122" t="n">
        <v>1217</v>
      </c>
      <c r="AF2216" s="122" t="n">
        <v>679</v>
      </c>
      <c r="AG2216" s="122" t="n">
        <v>448</v>
      </c>
      <c r="AH2216" s="122" t="n">
        <v>323</v>
      </c>
      <c r="AI2216" s="54">
        <f>IFERROR(AC2216/S2216,"")</f>
        <v/>
      </c>
      <c r="AJ2216" s="54">
        <f>IFERROR(AH2216/S2216,"")</f>
        <v/>
      </c>
      <c r="AK2216" s="122" t="n">
        <v>6</v>
      </c>
      <c r="AL2216" s="122" t="n">
        <v>1</v>
      </c>
      <c r="AM2216" s="124">
        <f>IFERROR(AL2216/AA2216,"")</f>
        <v/>
      </c>
      <c r="AN2216" s="125">
        <f>IFERROR(R2216/AL2216,"")</f>
        <v/>
      </c>
      <c r="AO2216" s="122" t="n">
        <v>1</v>
      </c>
      <c r="AP2216" s="54">
        <f>IFERROR(AO2216/AL2216,"")</f>
        <v/>
      </c>
      <c r="AQ2216" s="125">
        <f>IFERROR(R2216/AO2216,"")</f>
        <v/>
      </c>
      <c r="AR2216" s="122" t="n">
        <v>3</v>
      </c>
      <c r="AS2216" s="122" t="n">
        <v>1</v>
      </c>
      <c r="AT2216" s="122">
        <f>AL2216+AR2216</f>
        <v/>
      </c>
      <c r="AU2216" s="125">
        <f>IFERROR(AO2216*Assumptions!$C$26*Assumptions!$C$27*INDEX(Assumptions!$C$18:$C$21,MATCH(H2216,Assumptions!$B$18:$B$21,0)),0)</f>
        <v/>
      </c>
    </row>
    <row r="2217">
      <c r="A2217" s="120" t="n">
        <v>46264</v>
      </c>
      <c r="B2217" s="66" t="inlineStr">
        <is>
          <t>Wk 35</t>
        </is>
      </c>
      <c r="C2217" s="66" t="inlineStr">
        <is>
          <t>Sun</t>
        </is>
      </c>
      <c r="D2217" s="66" t="inlineStr">
        <is>
          <t>Programmatic</t>
        </is>
      </c>
      <c r="E2217" s="66" t="inlineStr">
        <is>
          <t>DV360</t>
        </is>
      </c>
      <c r="F2217" s="66" t="inlineStr">
        <is>
          <t>LEP_ZA_AUG26_PROG_TD_VIDEO_OLV</t>
        </is>
      </c>
      <c r="G2217" s="66" t="inlineStr">
        <is>
          <t>Online Video / CTV</t>
        </is>
      </c>
      <c r="H2217" s="66" t="inlineStr">
        <is>
          <t>Range</t>
        </is>
      </c>
      <c r="I2217" s="66" t="inlineStr">
        <is>
          <t>Range Offer</t>
        </is>
      </c>
      <c r="J2217" s="66" t="inlineStr">
        <is>
          <t>PROG_OLV_RMKT_VIEWERS</t>
        </is>
      </c>
      <c r="K2217" s="66" t="inlineStr">
        <is>
          <t>Retargeting</t>
        </is>
      </c>
      <c r="L2217" s="66" t="inlineStr">
        <is>
          <t>PROG_OLV_15s_AMUR_v1</t>
        </is>
      </c>
      <c r="M2217" s="66" t="inlineStr">
        <is>
          <t>Video 16:9 Pre-roll</t>
        </is>
      </c>
      <c r="N2217" s="66" t="inlineStr">
        <is>
          <t>AMUR from R3 599pm</t>
        </is>
      </c>
      <c r="O2217" s="66" t="inlineStr">
        <is>
          <t>Auction - Fixed CPM</t>
        </is>
      </c>
      <c r="P2217" s="66" t="inlineStr">
        <is>
          <t>Completed Views + CPA</t>
        </is>
      </c>
      <c r="Q2217" s="66" t="inlineStr">
        <is>
          <t>https://www.lepas-sa.co.za/book-a-test-drive</t>
        </is>
      </c>
      <c r="R2217" s="121" t="n">
        <v>91.11</v>
      </c>
      <c r="S2217" s="122" t="n">
        <v>2749</v>
      </c>
      <c r="T2217" s="122" t="n">
        <v>936</v>
      </c>
      <c r="U2217" s="123">
        <f>IFERROR(S2217/T2217,"")</f>
        <v/>
      </c>
      <c r="V2217" s="122" t="n">
        <v>4</v>
      </c>
      <c r="W2217" s="122" t="n">
        <v>3</v>
      </c>
      <c r="X2217" s="124">
        <f>IFERROR(W2217/S2217,"")</f>
        <v/>
      </c>
      <c r="Y2217" s="121">
        <f>IFERROR(R2217/W2217,"")</f>
        <v/>
      </c>
      <c r="Z2217" s="121">
        <f>IFERROR(R2217/S2217*1000,"")</f>
        <v/>
      </c>
      <c r="AA2217" s="122" t="n">
        <v>1</v>
      </c>
      <c r="AB2217" s="54">
        <f>IFERROR(AA2217/W2217,"")</f>
        <v/>
      </c>
      <c r="AC2217" s="122" t="n">
        <v>1074</v>
      </c>
      <c r="AD2217" s="122" t="n">
        <v>532</v>
      </c>
      <c r="AE2217" s="122" t="n">
        <v>548</v>
      </c>
      <c r="AF2217" s="122" t="n">
        <v>352</v>
      </c>
      <c r="AG2217" s="122" t="n">
        <v>278</v>
      </c>
      <c r="AH2217" s="122" t="n">
        <v>162</v>
      </c>
      <c r="AI2217" s="54">
        <f>IFERROR(AC2217/S2217,"")</f>
        <v/>
      </c>
      <c r="AJ2217" s="54">
        <f>IFERROR(AH2217/S2217,"")</f>
        <v/>
      </c>
      <c r="AK2217" s="122" t="n">
        <v>14</v>
      </c>
      <c r="AL2217" s="122" t="n">
        <v>0</v>
      </c>
      <c r="AM2217" s="124">
        <f>IFERROR(AL2217/AA2217,"")</f>
        <v/>
      </c>
      <c r="AN2217" s="125">
        <f>IFERROR(R2217/AL2217,"")</f>
        <v/>
      </c>
      <c r="AO2217" s="122" t="n">
        <v>0</v>
      </c>
      <c r="AP2217" s="54">
        <f>IFERROR(AO2217/AL2217,"")</f>
        <v/>
      </c>
      <c r="AQ2217" s="125">
        <f>IFERROR(R2217/AO2217,"")</f>
        <v/>
      </c>
      <c r="AR2217" s="122" t="n">
        <v>0</v>
      </c>
      <c r="AS2217" s="122" t="n">
        <v>0</v>
      </c>
      <c r="AT2217" s="122">
        <f>AL2217+AR2217</f>
        <v/>
      </c>
      <c r="AU2217" s="125">
        <f>IFERROR(AO2217*Assumptions!$C$26*Assumptions!$C$27*INDEX(Assumptions!$C$18:$C$21,MATCH(H2217,Assumptions!$B$18:$B$21,0)),0)</f>
        <v/>
      </c>
    </row>
    <row r="2218">
      <c r="A2218" s="120" t="n">
        <v>46265</v>
      </c>
      <c r="B2218" s="66" t="inlineStr">
        <is>
          <t>Wk 36</t>
        </is>
      </c>
      <c r="C2218" s="66" t="inlineStr">
        <is>
          <t>Mon</t>
        </is>
      </c>
      <c r="D2218" s="66" t="inlineStr">
        <is>
          <t>Programmatic</t>
        </is>
      </c>
      <c r="E2218" s="66" t="inlineStr">
        <is>
          <t>DV360</t>
        </is>
      </c>
      <c r="F2218" s="66" t="inlineStr">
        <is>
          <t>LEP_ZA_AUG26_PROG_TD_VIDEO_OLV</t>
        </is>
      </c>
      <c r="G2218" s="66" t="inlineStr">
        <is>
          <t>Online Video / CTV</t>
        </is>
      </c>
      <c r="H2218" s="66" t="inlineStr">
        <is>
          <t>Range</t>
        </is>
      </c>
      <c r="I2218" s="66" t="inlineStr">
        <is>
          <t>Range Offer</t>
        </is>
      </c>
      <c r="J2218" s="66" t="inlineStr">
        <is>
          <t>PROG_OLV_RMKT_VIEWERS</t>
        </is>
      </c>
      <c r="K2218" s="66" t="inlineStr">
        <is>
          <t>Retargeting</t>
        </is>
      </c>
      <c r="L2218" s="66" t="inlineStr">
        <is>
          <t>PROG_OLV_15s_AMUR_v1</t>
        </is>
      </c>
      <c r="M2218" s="66" t="inlineStr">
        <is>
          <t>Video 16:9 Pre-roll</t>
        </is>
      </c>
      <c r="N2218" s="66" t="inlineStr">
        <is>
          <t>AMUR from R3 599pm</t>
        </is>
      </c>
      <c r="O2218" s="66" t="inlineStr">
        <is>
          <t>Auction - Fixed CPM</t>
        </is>
      </c>
      <c r="P2218" s="66" t="inlineStr">
        <is>
          <t>Completed Views + CPA</t>
        </is>
      </c>
      <c r="Q2218" s="66" t="inlineStr">
        <is>
          <t>https://www.lepas-sa.co.za/book-a-test-drive</t>
        </is>
      </c>
      <c r="R2218" s="121" t="n">
        <v>100.22</v>
      </c>
      <c r="S2218" s="122" t="n">
        <v>2254</v>
      </c>
      <c r="T2218" s="122" t="n">
        <v>1015</v>
      </c>
      <c r="U2218" s="123">
        <f>IFERROR(S2218/T2218,"")</f>
        <v/>
      </c>
      <c r="V2218" s="122" t="n">
        <v>5</v>
      </c>
      <c r="W2218" s="122" t="n">
        <v>4</v>
      </c>
      <c r="X2218" s="124">
        <f>IFERROR(W2218/S2218,"")</f>
        <v/>
      </c>
      <c r="Y2218" s="121">
        <f>IFERROR(R2218/W2218,"")</f>
        <v/>
      </c>
      <c r="Z2218" s="121">
        <f>IFERROR(R2218/S2218*1000,"")</f>
        <v/>
      </c>
      <c r="AA2218" s="122" t="n">
        <v>3</v>
      </c>
      <c r="AB2218" s="54">
        <f>IFERROR(AA2218/W2218,"")</f>
        <v/>
      </c>
      <c r="AC2218" s="122" t="n">
        <v>771</v>
      </c>
      <c r="AD2218" s="122" t="n">
        <v>340</v>
      </c>
      <c r="AE2218" s="122" t="n">
        <v>302</v>
      </c>
      <c r="AF2218" s="122" t="n">
        <v>187</v>
      </c>
      <c r="AG2218" s="122" t="n">
        <v>127</v>
      </c>
      <c r="AH2218" s="122" t="n">
        <v>77</v>
      </c>
      <c r="AI2218" s="54">
        <f>IFERROR(AC2218/S2218,"")</f>
        <v/>
      </c>
      <c r="AJ2218" s="54">
        <f>IFERROR(AH2218/S2218,"")</f>
        <v/>
      </c>
      <c r="AK2218" s="122" t="n">
        <v>3</v>
      </c>
      <c r="AL2218" s="122" t="n">
        <v>0</v>
      </c>
      <c r="AM2218" s="124">
        <f>IFERROR(AL2218/AA2218,"")</f>
        <v/>
      </c>
      <c r="AN2218" s="125">
        <f>IFERROR(R2218/AL2218,"")</f>
        <v/>
      </c>
      <c r="AO2218" s="122" t="n">
        <v>0</v>
      </c>
      <c r="AP2218" s="54">
        <f>IFERROR(AO2218/AL2218,"")</f>
        <v/>
      </c>
      <c r="AQ2218" s="125">
        <f>IFERROR(R2218/AO2218,"")</f>
        <v/>
      </c>
      <c r="AR2218" s="122" t="n">
        <v>0</v>
      </c>
      <c r="AS2218" s="122" t="n">
        <v>0</v>
      </c>
      <c r="AT2218" s="122">
        <f>AL2218+AR2218</f>
        <v/>
      </c>
      <c r="AU2218" s="125">
        <f>IFERROR(AO2218*Assumptions!$C$26*Assumptions!$C$27*INDEX(Assumptions!$C$18:$C$21,MATCH(H2218,Assumptions!$B$18:$B$21,0)),0)</f>
        <v/>
      </c>
    </row>
    <row r="2219">
      <c r="A2219" s="120" t="n">
        <v>46235</v>
      </c>
      <c r="B2219" s="66" t="inlineStr">
        <is>
          <t>Wk 31</t>
        </is>
      </c>
      <c r="C2219" s="66" t="inlineStr">
        <is>
          <t>Sat</t>
        </is>
      </c>
      <c r="D2219" s="66" t="inlineStr">
        <is>
          <t>Programmatic</t>
        </is>
      </c>
      <c r="E2219" s="66" t="inlineStr">
        <is>
          <t>DV360</t>
        </is>
      </c>
      <c r="F2219" s="66" t="inlineStr">
        <is>
          <t>LEP_ZA_AUG26_PROG_TD_VIDEO_OLV</t>
        </is>
      </c>
      <c r="G2219" s="66" t="inlineStr">
        <is>
          <t>Online Video / CTV</t>
        </is>
      </c>
      <c r="H2219" s="66" t="inlineStr">
        <is>
          <t>Range</t>
        </is>
      </c>
      <c r="I2219" s="66" t="inlineStr">
        <is>
          <t>Range Offer</t>
        </is>
      </c>
      <c r="J2219" s="66" t="inlineStr">
        <is>
          <t>PROG_OLV_RMKT_VIEWERS</t>
        </is>
      </c>
      <c r="K2219" s="66" t="inlineStr">
        <is>
          <t>Retargeting</t>
        </is>
      </c>
      <c r="L2219" s="66" t="inlineStr">
        <is>
          <t>PROG_OLV_15s_PANTERA_v1</t>
        </is>
      </c>
      <c r="M2219" s="66" t="inlineStr">
        <is>
          <t>Video 16:9 Pre-roll</t>
        </is>
      </c>
      <c r="N2219" s="66" t="inlineStr">
        <is>
          <t>PANTERA. Zero deposit.</t>
        </is>
      </c>
      <c r="O2219" s="66" t="inlineStr">
        <is>
          <t>Auction - Fixed CPM</t>
        </is>
      </c>
      <c r="P2219" s="66" t="inlineStr">
        <is>
          <t>Completed Views + CPA</t>
        </is>
      </c>
      <c r="Q2219" s="66" t="inlineStr">
        <is>
          <t>https://www.lepas-sa.co.za/book-a-test-drive</t>
        </is>
      </c>
      <c r="R2219" s="121" t="n">
        <v>86.17</v>
      </c>
      <c r="S2219" s="122" t="n">
        <v>3572</v>
      </c>
      <c r="T2219" s="122" t="n">
        <v>2789</v>
      </c>
      <c r="U2219" s="123">
        <f>IFERROR(S2219/T2219,"")</f>
        <v/>
      </c>
      <c r="V2219" s="122" t="n">
        <v>11</v>
      </c>
      <c r="W2219" s="122" t="n">
        <v>9</v>
      </c>
      <c r="X2219" s="124">
        <f>IFERROR(W2219/S2219,"")</f>
        <v/>
      </c>
      <c r="Y2219" s="121">
        <f>IFERROR(R2219/W2219,"")</f>
        <v/>
      </c>
      <c r="Z2219" s="121">
        <f>IFERROR(R2219/S2219*1000,"")</f>
        <v/>
      </c>
      <c r="AA2219" s="122" t="n">
        <v>5</v>
      </c>
      <c r="AB2219" s="54">
        <f>IFERROR(AA2219/W2219,"")</f>
        <v/>
      </c>
      <c r="AC2219" s="122" t="n">
        <v>1222</v>
      </c>
      <c r="AD2219" s="122" t="n">
        <v>669</v>
      </c>
      <c r="AE2219" s="122" t="n">
        <v>630</v>
      </c>
      <c r="AF2219" s="122" t="n">
        <v>377</v>
      </c>
      <c r="AG2219" s="122" t="n">
        <v>285</v>
      </c>
      <c r="AH2219" s="122" t="n">
        <v>184</v>
      </c>
      <c r="AI2219" s="54">
        <f>IFERROR(AC2219/S2219,"")</f>
        <v/>
      </c>
      <c r="AJ2219" s="54">
        <f>IFERROR(AH2219/S2219,"")</f>
        <v/>
      </c>
      <c r="AK2219" s="122" t="n">
        <v>15</v>
      </c>
      <c r="AL2219" s="122" t="n">
        <v>1</v>
      </c>
      <c r="AM2219" s="124">
        <f>IFERROR(AL2219/AA2219,"")</f>
        <v/>
      </c>
      <c r="AN2219" s="125">
        <f>IFERROR(R2219/AL2219,"")</f>
        <v/>
      </c>
      <c r="AO2219" s="122" t="n">
        <v>1</v>
      </c>
      <c r="AP2219" s="54">
        <f>IFERROR(AO2219/AL2219,"")</f>
        <v/>
      </c>
      <c r="AQ2219" s="125">
        <f>IFERROR(R2219/AO2219,"")</f>
        <v/>
      </c>
      <c r="AR2219" s="122" t="n">
        <v>3</v>
      </c>
      <c r="AS2219" s="122" t="n">
        <v>0</v>
      </c>
      <c r="AT2219" s="122">
        <f>AL2219+AR2219</f>
        <v/>
      </c>
      <c r="AU2219" s="125">
        <f>IFERROR(AO2219*Assumptions!$C$26*Assumptions!$C$27*INDEX(Assumptions!$C$18:$C$21,MATCH(H2219,Assumptions!$B$18:$B$21,0)),0)</f>
        <v/>
      </c>
    </row>
    <row r="2220">
      <c r="A2220" s="120" t="n">
        <v>46236</v>
      </c>
      <c r="B2220" s="66" t="inlineStr">
        <is>
          <t>Wk 31</t>
        </is>
      </c>
      <c r="C2220" s="66" t="inlineStr">
        <is>
          <t>Sun</t>
        </is>
      </c>
      <c r="D2220" s="66" t="inlineStr">
        <is>
          <t>Programmatic</t>
        </is>
      </c>
      <c r="E2220" s="66" t="inlineStr">
        <is>
          <t>DV360</t>
        </is>
      </c>
      <c r="F2220" s="66" t="inlineStr">
        <is>
          <t>LEP_ZA_AUG26_PROG_TD_VIDEO_OLV</t>
        </is>
      </c>
      <c r="G2220" s="66" t="inlineStr">
        <is>
          <t>Online Video / CTV</t>
        </is>
      </c>
      <c r="H2220" s="66" t="inlineStr">
        <is>
          <t>Range</t>
        </is>
      </c>
      <c r="I2220" s="66" t="inlineStr">
        <is>
          <t>Range Offer</t>
        </is>
      </c>
      <c r="J2220" s="66" t="inlineStr">
        <is>
          <t>PROG_OLV_RMKT_VIEWERS</t>
        </is>
      </c>
      <c r="K2220" s="66" t="inlineStr">
        <is>
          <t>Retargeting</t>
        </is>
      </c>
      <c r="L2220" s="66" t="inlineStr">
        <is>
          <t>PROG_OLV_15s_PANTERA_v1</t>
        </is>
      </c>
      <c r="M2220" s="66" t="inlineStr">
        <is>
          <t>Video 16:9 Pre-roll</t>
        </is>
      </c>
      <c r="N2220" s="66" t="inlineStr">
        <is>
          <t>PANTERA. Zero deposit.</t>
        </is>
      </c>
      <c r="O2220" s="66" t="inlineStr">
        <is>
          <t>Auction - Fixed CPM</t>
        </is>
      </c>
      <c r="P2220" s="66" t="inlineStr">
        <is>
          <t>Completed Views + CPA</t>
        </is>
      </c>
      <c r="Q2220" s="66" t="inlineStr">
        <is>
          <t>https://www.lepas-sa.co.za/book-a-test-drive</t>
        </is>
      </c>
      <c r="R2220" s="121" t="n">
        <v>60.06</v>
      </c>
      <c r="S2220" s="122" t="n">
        <v>1252</v>
      </c>
      <c r="T2220" s="122" t="n">
        <v>761</v>
      </c>
      <c r="U2220" s="123">
        <f>IFERROR(S2220/T2220,"")</f>
        <v/>
      </c>
      <c r="V2220" s="122" t="n">
        <v>9</v>
      </c>
      <c r="W2220" s="122" t="n">
        <v>8</v>
      </c>
      <c r="X2220" s="124">
        <f>IFERROR(W2220/S2220,"")</f>
        <v/>
      </c>
      <c r="Y2220" s="121">
        <f>IFERROR(R2220/W2220,"")</f>
        <v/>
      </c>
      <c r="Z2220" s="121">
        <f>IFERROR(R2220/S2220*1000,"")</f>
        <v/>
      </c>
      <c r="AA2220" s="122" t="n">
        <v>5</v>
      </c>
      <c r="AB2220" s="54">
        <f>IFERROR(AA2220/W2220,"")</f>
        <v/>
      </c>
      <c r="AC2220" s="122" t="n">
        <v>463</v>
      </c>
      <c r="AD2220" s="122" t="n">
        <v>288</v>
      </c>
      <c r="AE2220" s="122" t="n">
        <v>191</v>
      </c>
      <c r="AF2220" s="122" t="n">
        <v>114</v>
      </c>
      <c r="AG2220" s="122" t="n">
        <v>85</v>
      </c>
      <c r="AH2220" s="122" t="n">
        <v>54</v>
      </c>
      <c r="AI2220" s="54">
        <f>IFERROR(AC2220/S2220,"")</f>
        <v/>
      </c>
      <c r="AJ2220" s="54">
        <f>IFERROR(AH2220/S2220,"")</f>
        <v/>
      </c>
      <c r="AK2220" s="122" t="n">
        <v>2</v>
      </c>
      <c r="AL2220" s="122" t="n">
        <v>0</v>
      </c>
      <c r="AM2220" s="124">
        <f>IFERROR(AL2220/AA2220,"")</f>
        <v/>
      </c>
      <c r="AN2220" s="125">
        <f>IFERROR(R2220/AL2220,"")</f>
        <v/>
      </c>
      <c r="AO2220" s="122" t="n">
        <v>0</v>
      </c>
      <c r="AP2220" s="54">
        <f>IFERROR(AO2220/AL2220,"")</f>
        <v/>
      </c>
      <c r="AQ2220" s="125">
        <f>IFERROR(R2220/AO2220,"")</f>
        <v/>
      </c>
      <c r="AR2220" s="122" t="n">
        <v>0</v>
      </c>
      <c r="AS2220" s="122" t="n">
        <v>0</v>
      </c>
      <c r="AT2220" s="122">
        <f>AL2220+AR2220</f>
        <v/>
      </c>
      <c r="AU2220" s="125">
        <f>IFERROR(AO2220*Assumptions!$C$26*Assumptions!$C$27*INDEX(Assumptions!$C$18:$C$21,MATCH(H2220,Assumptions!$B$18:$B$21,0)),0)</f>
        <v/>
      </c>
    </row>
    <row r="2221">
      <c r="A2221" s="120" t="n">
        <v>46237</v>
      </c>
      <c r="B2221" s="66" t="inlineStr">
        <is>
          <t>Wk 32</t>
        </is>
      </c>
      <c r="C2221" s="66" t="inlineStr">
        <is>
          <t>Mon</t>
        </is>
      </c>
      <c r="D2221" s="66" t="inlineStr">
        <is>
          <t>Programmatic</t>
        </is>
      </c>
      <c r="E2221" s="66" t="inlineStr">
        <is>
          <t>DV360</t>
        </is>
      </c>
      <c r="F2221" s="66" t="inlineStr">
        <is>
          <t>LEP_ZA_AUG26_PROG_TD_VIDEO_OLV</t>
        </is>
      </c>
      <c r="G2221" s="66" t="inlineStr">
        <is>
          <t>Online Video / CTV</t>
        </is>
      </c>
      <c r="H2221" s="66" t="inlineStr">
        <is>
          <t>Range</t>
        </is>
      </c>
      <c r="I2221" s="66" t="inlineStr">
        <is>
          <t>Range Offer</t>
        </is>
      </c>
      <c r="J2221" s="66" t="inlineStr">
        <is>
          <t>PROG_OLV_RMKT_VIEWERS</t>
        </is>
      </c>
      <c r="K2221" s="66" t="inlineStr">
        <is>
          <t>Retargeting</t>
        </is>
      </c>
      <c r="L2221" s="66" t="inlineStr">
        <is>
          <t>PROG_OLV_15s_PANTERA_v1</t>
        </is>
      </c>
      <c r="M2221" s="66" t="inlineStr">
        <is>
          <t>Video 16:9 Pre-roll</t>
        </is>
      </c>
      <c r="N2221" s="66" t="inlineStr">
        <is>
          <t>PANTERA. Zero deposit.</t>
        </is>
      </c>
      <c r="O2221" s="66" t="inlineStr">
        <is>
          <t>Auction - Fixed CPM</t>
        </is>
      </c>
      <c r="P2221" s="66" t="inlineStr">
        <is>
          <t>Completed Views + CPA</t>
        </is>
      </c>
      <c r="Q2221" s="66" t="inlineStr">
        <is>
          <t>https://www.lepas-sa.co.za/book-a-test-drive</t>
        </is>
      </c>
      <c r="R2221" s="121" t="n">
        <v>75.08</v>
      </c>
      <c r="S2221" s="122" t="n">
        <v>1550</v>
      </c>
      <c r="T2221" s="122" t="n">
        <v>837</v>
      </c>
      <c r="U2221" s="123">
        <f>IFERROR(S2221/T2221,"")</f>
        <v/>
      </c>
      <c r="V2221" s="122" t="n">
        <v>7</v>
      </c>
      <c r="W2221" s="122" t="n">
        <v>5</v>
      </c>
      <c r="X2221" s="124">
        <f>IFERROR(W2221/S2221,"")</f>
        <v/>
      </c>
      <c r="Y2221" s="121">
        <f>IFERROR(R2221/W2221,"")</f>
        <v/>
      </c>
      <c r="Z2221" s="121">
        <f>IFERROR(R2221/S2221*1000,"")</f>
        <v/>
      </c>
      <c r="AA2221" s="122" t="n">
        <v>3</v>
      </c>
      <c r="AB2221" s="54">
        <f>IFERROR(AA2221/W2221,"")</f>
        <v/>
      </c>
      <c r="AC2221" s="122" t="n">
        <v>493</v>
      </c>
      <c r="AD2221" s="122" t="n">
        <v>236</v>
      </c>
      <c r="AE2221" s="122" t="n">
        <v>209</v>
      </c>
      <c r="AF2221" s="122" t="n">
        <v>143</v>
      </c>
      <c r="AG2221" s="122" t="n">
        <v>114</v>
      </c>
      <c r="AH2221" s="122" t="n">
        <v>72</v>
      </c>
      <c r="AI2221" s="54">
        <f>IFERROR(AC2221/S2221,"")</f>
        <v/>
      </c>
      <c r="AJ2221" s="54">
        <f>IFERROR(AH2221/S2221,"")</f>
        <v/>
      </c>
      <c r="AK2221" s="122" t="n">
        <v>7</v>
      </c>
      <c r="AL2221" s="122" t="n">
        <v>0</v>
      </c>
      <c r="AM2221" s="124">
        <f>IFERROR(AL2221/AA2221,"")</f>
        <v/>
      </c>
      <c r="AN2221" s="125">
        <f>IFERROR(R2221/AL2221,"")</f>
        <v/>
      </c>
      <c r="AO2221" s="122" t="n">
        <v>0</v>
      </c>
      <c r="AP2221" s="54">
        <f>IFERROR(AO2221/AL2221,"")</f>
        <v/>
      </c>
      <c r="AQ2221" s="125">
        <f>IFERROR(R2221/AO2221,"")</f>
        <v/>
      </c>
      <c r="AR2221" s="122" t="n">
        <v>0</v>
      </c>
      <c r="AS2221" s="122" t="n">
        <v>0</v>
      </c>
      <c r="AT2221" s="122">
        <f>AL2221+AR2221</f>
        <v/>
      </c>
      <c r="AU2221" s="125">
        <f>IFERROR(AO2221*Assumptions!$C$26*Assumptions!$C$27*INDEX(Assumptions!$C$18:$C$21,MATCH(H2221,Assumptions!$B$18:$B$21,0)),0)</f>
        <v/>
      </c>
    </row>
    <row r="2222">
      <c r="A2222" s="120" t="n">
        <v>46238</v>
      </c>
      <c r="B2222" s="66" t="inlineStr">
        <is>
          <t>Wk 32</t>
        </is>
      </c>
      <c r="C2222" s="66" t="inlineStr">
        <is>
          <t>Tue</t>
        </is>
      </c>
      <c r="D2222" s="66" t="inlineStr">
        <is>
          <t>Programmatic</t>
        </is>
      </c>
      <c r="E2222" s="66" t="inlineStr">
        <is>
          <t>DV360</t>
        </is>
      </c>
      <c r="F2222" s="66" t="inlineStr">
        <is>
          <t>LEP_ZA_AUG26_PROG_TD_VIDEO_OLV</t>
        </is>
      </c>
      <c r="G2222" s="66" t="inlineStr">
        <is>
          <t>Online Video / CTV</t>
        </is>
      </c>
      <c r="H2222" s="66" t="inlineStr">
        <is>
          <t>Range</t>
        </is>
      </c>
      <c r="I2222" s="66" t="inlineStr">
        <is>
          <t>Range Offer</t>
        </is>
      </c>
      <c r="J2222" s="66" t="inlineStr">
        <is>
          <t>PROG_OLV_RMKT_VIEWERS</t>
        </is>
      </c>
      <c r="K2222" s="66" t="inlineStr">
        <is>
          <t>Retargeting</t>
        </is>
      </c>
      <c r="L2222" s="66" t="inlineStr">
        <is>
          <t>PROG_OLV_15s_PANTERA_v1</t>
        </is>
      </c>
      <c r="M2222" s="66" t="inlineStr">
        <is>
          <t>Video 16:9 Pre-roll</t>
        </is>
      </c>
      <c r="N2222" s="66" t="inlineStr">
        <is>
          <t>PANTERA. Zero deposit.</t>
        </is>
      </c>
      <c r="O2222" s="66" t="inlineStr">
        <is>
          <t>Auction - Fixed CPM</t>
        </is>
      </c>
      <c r="P2222" s="66" t="inlineStr">
        <is>
          <t>Completed Views + CPA</t>
        </is>
      </c>
      <c r="Q2222" s="66" t="inlineStr">
        <is>
          <t>https://www.lepas-sa.co.za/book-a-test-drive</t>
        </is>
      </c>
      <c r="R2222" s="121" t="n">
        <v>68.78</v>
      </c>
      <c r="S2222" s="122" t="n">
        <v>3125</v>
      </c>
      <c r="T2222" s="122" t="n">
        <v>1582</v>
      </c>
      <c r="U2222" s="123">
        <f>IFERROR(S2222/T2222,"")</f>
        <v/>
      </c>
      <c r="V2222" s="122" t="n">
        <v>19</v>
      </c>
      <c r="W2222" s="122" t="n">
        <v>14</v>
      </c>
      <c r="X2222" s="124">
        <f>IFERROR(W2222/S2222,"")</f>
        <v/>
      </c>
      <c r="Y2222" s="121">
        <f>IFERROR(R2222/W2222,"")</f>
        <v/>
      </c>
      <c r="Z2222" s="121">
        <f>IFERROR(R2222/S2222*1000,"")</f>
        <v/>
      </c>
      <c r="AA2222" s="122" t="n">
        <v>7</v>
      </c>
      <c r="AB2222" s="54">
        <f>IFERROR(AA2222/W2222,"")</f>
        <v/>
      </c>
      <c r="AC2222" s="122" t="n">
        <v>911</v>
      </c>
      <c r="AD2222" s="122" t="n">
        <v>464</v>
      </c>
      <c r="AE2222" s="122" t="n">
        <v>420</v>
      </c>
      <c r="AF2222" s="122" t="n">
        <v>285</v>
      </c>
      <c r="AG2222" s="122" t="n">
        <v>210</v>
      </c>
      <c r="AH2222" s="122" t="n">
        <v>117</v>
      </c>
      <c r="AI2222" s="54">
        <f>IFERROR(AC2222/S2222,"")</f>
        <v/>
      </c>
      <c r="AJ2222" s="54">
        <f>IFERROR(AH2222/S2222,"")</f>
        <v/>
      </c>
      <c r="AK2222" s="122" t="n">
        <v>4</v>
      </c>
      <c r="AL2222" s="122" t="n">
        <v>1</v>
      </c>
      <c r="AM2222" s="124">
        <f>IFERROR(AL2222/AA2222,"")</f>
        <v/>
      </c>
      <c r="AN2222" s="125">
        <f>IFERROR(R2222/AL2222,"")</f>
        <v/>
      </c>
      <c r="AO2222" s="122" t="n">
        <v>1</v>
      </c>
      <c r="AP2222" s="54">
        <f>IFERROR(AO2222/AL2222,"")</f>
        <v/>
      </c>
      <c r="AQ2222" s="125">
        <f>IFERROR(R2222/AO2222,"")</f>
        <v/>
      </c>
      <c r="AR2222" s="122" t="n">
        <v>3</v>
      </c>
      <c r="AS2222" s="122" t="n">
        <v>1</v>
      </c>
      <c r="AT2222" s="122">
        <f>AL2222+AR2222</f>
        <v/>
      </c>
      <c r="AU2222" s="125">
        <f>IFERROR(AO2222*Assumptions!$C$26*Assumptions!$C$27*INDEX(Assumptions!$C$18:$C$21,MATCH(H2222,Assumptions!$B$18:$B$21,0)),0)</f>
        <v/>
      </c>
    </row>
    <row r="2223">
      <c r="A2223" s="120" t="n">
        <v>46239</v>
      </c>
      <c r="B2223" s="66" t="inlineStr">
        <is>
          <t>Wk 32</t>
        </is>
      </c>
      <c r="C2223" s="66" t="inlineStr">
        <is>
          <t>Wed</t>
        </is>
      </c>
      <c r="D2223" s="66" t="inlineStr">
        <is>
          <t>Programmatic</t>
        </is>
      </c>
      <c r="E2223" s="66" t="inlineStr">
        <is>
          <t>DV360</t>
        </is>
      </c>
      <c r="F2223" s="66" t="inlineStr">
        <is>
          <t>LEP_ZA_AUG26_PROG_TD_VIDEO_OLV</t>
        </is>
      </c>
      <c r="G2223" s="66" t="inlineStr">
        <is>
          <t>Online Video / CTV</t>
        </is>
      </c>
      <c r="H2223" s="66" t="inlineStr">
        <is>
          <t>Range</t>
        </is>
      </c>
      <c r="I2223" s="66" t="inlineStr">
        <is>
          <t>Range Offer</t>
        </is>
      </c>
      <c r="J2223" s="66" t="inlineStr">
        <is>
          <t>PROG_OLV_RMKT_VIEWERS</t>
        </is>
      </c>
      <c r="K2223" s="66" t="inlineStr">
        <is>
          <t>Retargeting</t>
        </is>
      </c>
      <c r="L2223" s="66" t="inlineStr">
        <is>
          <t>PROG_OLV_15s_PANTERA_v1</t>
        </is>
      </c>
      <c r="M2223" s="66" t="inlineStr">
        <is>
          <t>Video 16:9 Pre-roll</t>
        </is>
      </c>
      <c r="N2223" s="66" t="inlineStr">
        <is>
          <t>PANTERA. Zero deposit.</t>
        </is>
      </c>
      <c r="O2223" s="66" t="inlineStr">
        <is>
          <t>Auction - Fixed CPM</t>
        </is>
      </c>
      <c r="P2223" s="66" t="inlineStr">
        <is>
          <t>Completed Views + CPA</t>
        </is>
      </c>
      <c r="Q2223" s="66" t="inlineStr">
        <is>
          <t>https://www.lepas-sa.co.za/book-a-test-drive</t>
        </is>
      </c>
      <c r="R2223" s="121" t="n">
        <v>69.88</v>
      </c>
      <c r="S2223" s="122" t="n">
        <v>1637</v>
      </c>
      <c r="T2223" s="122" t="n">
        <v>821</v>
      </c>
      <c r="U2223" s="123">
        <f>IFERROR(S2223/T2223,"")</f>
        <v/>
      </c>
      <c r="V2223" s="122" t="n">
        <v>5</v>
      </c>
      <c r="W2223" s="122" t="n">
        <v>4</v>
      </c>
      <c r="X2223" s="124">
        <f>IFERROR(W2223/S2223,"")</f>
        <v/>
      </c>
      <c r="Y2223" s="121">
        <f>IFERROR(R2223/W2223,"")</f>
        <v/>
      </c>
      <c r="Z2223" s="121">
        <f>IFERROR(R2223/S2223*1000,"")</f>
        <v/>
      </c>
      <c r="AA2223" s="122" t="n">
        <v>3</v>
      </c>
      <c r="AB2223" s="54">
        <f>IFERROR(AA2223/W2223,"")</f>
        <v/>
      </c>
      <c r="AC2223" s="122" t="n">
        <v>621</v>
      </c>
      <c r="AD2223" s="122" t="n">
        <v>329</v>
      </c>
      <c r="AE2223" s="122" t="n">
        <v>268</v>
      </c>
      <c r="AF2223" s="122" t="n">
        <v>153</v>
      </c>
      <c r="AG2223" s="122" t="n">
        <v>112</v>
      </c>
      <c r="AH2223" s="122" t="n">
        <v>73</v>
      </c>
      <c r="AI2223" s="54">
        <f>IFERROR(AC2223/S2223,"")</f>
        <v/>
      </c>
      <c r="AJ2223" s="54">
        <f>IFERROR(AH2223/S2223,"")</f>
        <v/>
      </c>
      <c r="AK2223" s="122" t="n">
        <v>7</v>
      </c>
      <c r="AL2223" s="122" t="n">
        <v>0</v>
      </c>
      <c r="AM2223" s="124">
        <f>IFERROR(AL2223/AA2223,"")</f>
        <v/>
      </c>
      <c r="AN2223" s="125">
        <f>IFERROR(R2223/AL2223,"")</f>
        <v/>
      </c>
      <c r="AO2223" s="122" t="n">
        <v>0</v>
      </c>
      <c r="AP2223" s="54">
        <f>IFERROR(AO2223/AL2223,"")</f>
        <v/>
      </c>
      <c r="AQ2223" s="125">
        <f>IFERROR(R2223/AO2223,"")</f>
        <v/>
      </c>
      <c r="AR2223" s="122" t="n">
        <v>0</v>
      </c>
      <c r="AS2223" s="122" t="n">
        <v>0</v>
      </c>
      <c r="AT2223" s="122">
        <f>AL2223+AR2223</f>
        <v/>
      </c>
      <c r="AU2223" s="125">
        <f>IFERROR(AO2223*Assumptions!$C$26*Assumptions!$C$27*INDEX(Assumptions!$C$18:$C$21,MATCH(H2223,Assumptions!$B$18:$B$21,0)),0)</f>
        <v/>
      </c>
    </row>
    <row r="2224">
      <c r="A2224" s="120" t="n">
        <v>46240</v>
      </c>
      <c r="B2224" s="66" t="inlineStr">
        <is>
          <t>Wk 32</t>
        </is>
      </c>
      <c r="C2224" s="66" t="inlineStr">
        <is>
          <t>Thu</t>
        </is>
      </c>
      <c r="D2224" s="66" t="inlineStr">
        <is>
          <t>Programmatic</t>
        </is>
      </c>
      <c r="E2224" s="66" t="inlineStr">
        <is>
          <t>DV360</t>
        </is>
      </c>
      <c r="F2224" s="66" t="inlineStr">
        <is>
          <t>LEP_ZA_AUG26_PROG_TD_VIDEO_OLV</t>
        </is>
      </c>
      <c r="G2224" s="66" t="inlineStr">
        <is>
          <t>Online Video / CTV</t>
        </is>
      </c>
      <c r="H2224" s="66" t="inlineStr">
        <is>
          <t>Range</t>
        </is>
      </c>
      <c r="I2224" s="66" t="inlineStr">
        <is>
          <t>Range Offer</t>
        </is>
      </c>
      <c r="J2224" s="66" t="inlineStr">
        <is>
          <t>PROG_OLV_RMKT_VIEWERS</t>
        </is>
      </c>
      <c r="K2224" s="66" t="inlineStr">
        <is>
          <t>Retargeting</t>
        </is>
      </c>
      <c r="L2224" s="66" t="inlineStr">
        <is>
          <t>PROG_OLV_15s_PANTERA_v1</t>
        </is>
      </c>
      <c r="M2224" s="66" t="inlineStr">
        <is>
          <t>Video 16:9 Pre-roll</t>
        </is>
      </c>
      <c r="N2224" s="66" t="inlineStr">
        <is>
          <t>PANTERA. Zero deposit.</t>
        </is>
      </c>
      <c r="O2224" s="66" t="inlineStr">
        <is>
          <t>Auction - Fixed CPM</t>
        </is>
      </c>
      <c r="P2224" s="66" t="inlineStr">
        <is>
          <t>Completed Views + CPA</t>
        </is>
      </c>
      <c r="Q2224" s="66" t="inlineStr">
        <is>
          <t>https://www.lepas-sa.co.za/book-a-test-drive</t>
        </is>
      </c>
      <c r="R2224" s="121" t="n">
        <v>94.73</v>
      </c>
      <c r="S2224" s="122" t="n">
        <v>4056</v>
      </c>
      <c r="T2224" s="122" t="n">
        <v>1819</v>
      </c>
      <c r="U2224" s="123">
        <f>IFERROR(S2224/T2224,"")</f>
        <v/>
      </c>
      <c r="V2224" s="122" t="n">
        <v>30</v>
      </c>
      <c r="W2224" s="122" t="n">
        <v>22</v>
      </c>
      <c r="X2224" s="124">
        <f>IFERROR(W2224/S2224,"")</f>
        <v/>
      </c>
      <c r="Y2224" s="121">
        <f>IFERROR(R2224/W2224,"")</f>
        <v/>
      </c>
      <c r="Z2224" s="121">
        <f>IFERROR(R2224/S2224*1000,"")</f>
        <v/>
      </c>
      <c r="AA2224" s="122" t="n">
        <v>13</v>
      </c>
      <c r="AB2224" s="54">
        <f>IFERROR(AA2224/W2224,"")</f>
        <v/>
      </c>
      <c r="AC2224" s="122" t="n">
        <v>951</v>
      </c>
      <c r="AD2224" s="122" t="n">
        <v>492</v>
      </c>
      <c r="AE2224" s="122" t="n">
        <v>421</v>
      </c>
      <c r="AF2224" s="122" t="n">
        <v>296</v>
      </c>
      <c r="AG2224" s="122" t="n">
        <v>194</v>
      </c>
      <c r="AH2224" s="122" t="n">
        <v>112</v>
      </c>
      <c r="AI2224" s="54">
        <f>IFERROR(AC2224/S2224,"")</f>
        <v/>
      </c>
      <c r="AJ2224" s="54">
        <f>IFERROR(AH2224/S2224,"")</f>
        <v/>
      </c>
      <c r="AK2224" s="122" t="n">
        <v>12</v>
      </c>
      <c r="AL2224" s="122" t="n">
        <v>1</v>
      </c>
      <c r="AM2224" s="124">
        <f>IFERROR(AL2224/AA2224,"")</f>
        <v/>
      </c>
      <c r="AN2224" s="125">
        <f>IFERROR(R2224/AL2224,"")</f>
        <v/>
      </c>
      <c r="AO2224" s="122" t="n">
        <v>1</v>
      </c>
      <c r="AP2224" s="54">
        <f>IFERROR(AO2224/AL2224,"")</f>
        <v/>
      </c>
      <c r="AQ2224" s="125">
        <f>IFERROR(R2224/AO2224,"")</f>
        <v/>
      </c>
      <c r="AR2224" s="122" t="n">
        <v>2</v>
      </c>
      <c r="AS2224" s="122" t="n">
        <v>1</v>
      </c>
      <c r="AT2224" s="122">
        <f>AL2224+AR2224</f>
        <v/>
      </c>
      <c r="AU2224" s="125">
        <f>IFERROR(AO2224*Assumptions!$C$26*Assumptions!$C$27*INDEX(Assumptions!$C$18:$C$21,MATCH(H2224,Assumptions!$B$18:$B$21,0)),0)</f>
        <v/>
      </c>
    </row>
    <row r="2225">
      <c r="A2225" s="120" t="n">
        <v>46241</v>
      </c>
      <c r="B2225" s="66" t="inlineStr">
        <is>
          <t>Wk 32</t>
        </is>
      </c>
      <c r="C2225" s="66" t="inlineStr">
        <is>
          <t>Fri</t>
        </is>
      </c>
      <c r="D2225" s="66" t="inlineStr">
        <is>
          <t>Programmatic</t>
        </is>
      </c>
      <c r="E2225" s="66" t="inlineStr">
        <is>
          <t>DV360</t>
        </is>
      </c>
      <c r="F2225" s="66" t="inlineStr">
        <is>
          <t>LEP_ZA_AUG26_PROG_TD_VIDEO_OLV</t>
        </is>
      </c>
      <c r="G2225" s="66" t="inlineStr">
        <is>
          <t>Online Video / CTV</t>
        </is>
      </c>
      <c r="H2225" s="66" t="inlineStr">
        <is>
          <t>Range</t>
        </is>
      </c>
      <c r="I2225" s="66" t="inlineStr">
        <is>
          <t>Range Offer</t>
        </is>
      </c>
      <c r="J2225" s="66" t="inlineStr">
        <is>
          <t>PROG_OLV_RMKT_VIEWERS</t>
        </is>
      </c>
      <c r="K2225" s="66" t="inlineStr">
        <is>
          <t>Retargeting</t>
        </is>
      </c>
      <c r="L2225" s="66" t="inlineStr">
        <is>
          <t>PROG_OLV_15s_PANTERA_v1</t>
        </is>
      </c>
      <c r="M2225" s="66" t="inlineStr">
        <is>
          <t>Video 16:9 Pre-roll</t>
        </is>
      </c>
      <c r="N2225" s="66" t="inlineStr">
        <is>
          <t>PANTERA. Zero deposit.</t>
        </is>
      </c>
      <c r="O2225" s="66" t="inlineStr">
        <is>
          <t>Auction - Fixed CPM</t>
        </is>
      </c>
      <c r="P2225" s="66" t="inlineStr">
        <is>
          <t>Completed Views + CPA</t>
        </is>
      </c>
      <c r="Q2225" s="66" t="inlineStr">
        <is>
          <t>https://www.lepas-sa.co.za/book-a-test-drive</t>
        </is>
      </c>
      <c r="R2225" s="121" t="n">
        <v>100.87</v>
      </c>
      <c r="S2225" s="122" t="n">
        <v>3330</v>
      </c>
      <c r="T2225" s="122" t="n">
        <v>1403</v>
      </c>
      <c r="U2225" s="123">
        <f>IFERROR(S2225/T2225,"")</f>
        <v/>
      </c>
      <c r="V2225" s="122" t="n">
        <v>8</v>
      </c>
      <c r="W2225" s="122" t="n">
        <v>7</v>
      </c>
      <c r="X2225" s="124">
        <f>IFERROR(W2225/S2225,"")</f>
        <v/>
      </c>
      <c r="Y2225" s="121">
        <f>IFERROR(R2225/W2225,"")</f>
        <v/>
      </c>
      <c r="Z2225" s="121">
        <f>IFERROR(R2225/S2225*1000,"")</f>
        <v/>
      </c>
      <c r="AA2225" s="122" t="n">
        <v>4</v>
      </c>
      <c r="AB2225" s="54">
        <f>IFERROR(AA2225/W2225,"")</f>
        <v/>
      </c>
      <c r="AC2225" s="122" t="n">
        <v>1089</v>
      </c>
      <c r="AD2225" s="122" t="n">
        <v>499</v>
      </c>
      <c r="AE2225" s="122" t="n">
        <v>426</v>
      </c>
      <c r="AF2225" s="122" t="n">
        <v>286</v>
      </c>
      <c r="AG2225" s="122" t="n">
        <v>216</v>
      </c>
      <c r="AH2225" s="122" t="n">
        <v>151</v>
      </c>
      <c r="AI2225" s="54">
        <f>IFERROR(AC2225/S2225,"")</f>
        <v/>
      </c>
      <c r="AJ2225" s="54">
        <f>IFERROR(AH2225/S2225,"")</f>
        <v/>
      </c>
      <c r="AK2225" s="122" t="n">
        <v>4</v>
      </c>
      <c r="AL2225" s="122" t="n">
        <v>0</v>
      </c>
      <c r="AM2225" s="124">
        <f>IFERROR(AL2225/AA2225,"")</f>
        <v/>
      </c>
      <c r="AN2225" s="125">
        <f>IFERROR(R2225/AL2225,"")</f>
        <v/>
      </c>
      <c r="AO2225" s="122" t="n">
        <v>0</v>
      </c>
      <c r="AP2225" s="54">
        <f>IFERROR(AO2225/AL2225,"")</f>
        <v/>
      </c>
      <c r="AQ2225" s="125">
        <f>IFERROR(R2225/AO2225,"")</f>
        <v/>
      </c>
      <c r="AR2225" s="122" t="n">
        <v>0</v>
      </c>
      <c r="AS2225" s="122" t="n">
        <v>0</v>
      </c>
      <c r="AT2225" s="122">
        <f>AL2225+AR2225</f>
        <v/>
      </c>
      <c r="AU2225" s="125">
        <f>IFERROR(AO2225*Assumptions!$C$26*Assumptions!$C$27*INDEX(Assumptions!$C$18:$C$21,MATCH(H2225,Assumptions!$B$18:$B$21,0)),0)</f>
        <v/>
      </c>
    </row>
    <row r="2226">
      <c r="A2226" s="120" t="n">
        <v>46242</v>
      </c>
      <c r="B2226" s="66" t="inlineStr">
        <is>
          <t>Wk 32</t>
        </is>
      </c>
      <c r="C2226" s="66" t="inlineStr">
        <is>
          <t>Sat</t>
        </is>
      </c>
      <c r="D2226" s="66" t="inlineStr">
        <is>
          <t>Programmatic</t>
        </is>
      </c>
      <c r="E2226" s="66" t="inlineStr">
        <is>
          <t>DV360</t>
        </is>
      </c>
      <c r="F2226" s="66" t="inlineStr">
        <is>
          <t>LEP_ZA_AUG26_PROG_TD_VIDEO_OLV</t>
        </is>
      </c>
      <c r="G2226" s="66" t="inlineStr">
        <is>
          <t>Online Video / CTV</t>
        </is>
      </c>
      <c r="H2226" s="66" t="inlineStr">
        <is>
          <t>Range</t>
        </is>
      </c>
      <c r="I2226" s="66" t="inlineStr">
        <is>
          <t>Range Offer</t>
        </is>
      </c>
      <c r="J2226" s="66" t="inlineStr">
        <is>
          <t>PROG_OLV_RMKT_VIEWERS</t>
        </is>
      </c>
      <c r="K2226" s="66" t="inlineStr">
        <is>
          <t>Retargeting</t>
        </is>
      </c>
      <c r="L2226" s="66" t="inlineStr">
        <is>
          <t>PROG_OLV_15s_PANTERA_v1</t>
        </is>
      </c>
      <c r="M2226" s="66" t="inlineStr">
        <is>
          <t>Video 16:9 Pre-roll</t>
        </is>
      </c>
      <c r="N2226" s="66" t="inlineStr">
        <is>
          <t>PANTERA. Zero deposit.</t>
        </is>
      </c>
      <c r="O2226" s="66" t="inlineStr">
        <is>
          <t>Auction - Fixed CPM</t>
        </is>
      </c>
      <c r="P2226" s="66" t="inlineStr">
        <is>
          <t>Completed Views + CPA</t>
        </is>
      </c>
      <c r="Q2226" s="66" t="inlineStr">
        <is>
          <t>https://www.lepas-sa.co.za/book-a-test-drive</t>
        </is>
      </c>
      <c r="R2226" s="121" t="n">
        <v>98.81</v>
      </c>
      <c r="S2226" s="122" t="n">
        <v>2320</v>
      </c>
      <c r="T2226" s="122" t="n">
        <v>1055</v>
      </c>
      <c r="U2226" s="123">
        <f>IFERROR(S2226/T2226,"")</f>
        <v/>
      </c>
      <c r="V2226" s="122" t="n">
        <v>12</v>
      </c>
      <c r="W2226" s="122" t="n">
        <v>10</v>
      </c>
      <c r="X2226" s="124">
        <f>IFERROR(W2226/S2226,"")</f>
        <v/>
      </c>
      <c r="Y2226" s="121">
        <f>IFERROR(R2226/W2226,"")</f>
        <v/>
      </c>
      <c r="Z2226" s="121">
        <f>IFERROR(R2226/S2226*1000,"")</f>
        <v/>
      </c>
      <c r="AA2226" s="122" t="n">
        <v>6</v>
      </c>
      <c r="AB2226" s="54">
        <f>IFERROR(AA2226/W2226,"")</f>
        <v/>
      </c>
      <c r="AC2226" s="122" t="n">
        <v>744</v>
      </c>
      <c r="AD2226" s="122" t="n">
        <v>351</v>
      </c>
      <c r="AE2226" s="122" t="n">
        <v>387</v>
      </c>
      <c r="AF2226" s="122" t="n">
        <v>224</v>
      </c>
      <c r="AG2226" s="122" t="n">
        <v>168</v>
      </c>
      <c r="AH2226" s="122" t="n">
        <v>96</v>
      </c>
      <c r="AI2226" s="54">
        <f>IFERROR(AC2226/S2226,"")</f>
        <v/>
      </c>
      <c r="AJ2226" s="54">
        <f>IFERROR(AH2226/S2226,"")</f>
        <v/>
      </c>
      <c r="AK2226" s="122" t="n">
        <v>4</v>
      </c>
      <c r="AL2226" s="122" t="n">
        <v>0</v>
      </c>
      <c r="AM2226" s="124">
        <f>IFERROR(AL2226/AA2226,"")</f>
        <v/>
      </c>
      <c r="AN2226" s="125">
        <f>IFERROR(R2226/AL2226,"")</f>
        <v/>
      </c>
      <c r="AO2226" s="122" t="n">
        <v>0</v>
      </c>
      <c r="AP2226" s="54">
        <f>IFERROR(AO2226/AL2226,"")</f>
        <v/>
      </c>
      <c r="AQ2226" s="125">
        <f>IFERROR(R2226/AO2226,"")</f>
        <v/>
      </c>
      <c r="AR2226" s="122" t="n">
        <v>0</v>
      </c>
      <c r="AS2226" s="122" t="n">
        <v>0</v>
      </c>
      <c r="AT2226" s="122">
        <f>AL2226+AR2226</f>
        <v/>
      </c>
      <c r="AU2226" s="125">
        <f>IFERROR(AO2226*Assumptions!$C$26*Assumptions!$C$27*INDEX(Assumptions!$C$18:$C$21,MATCH(H2226,Assumptions!$B$18:$B$21,0)),0)</f>
        <v/>
      </c>
    </row>
    <row r="2227">
      <c r="A2227" s="120" t="n">
        <v>46243</v>
      </c>
      <c r="B2227" s="66" t="inlineStr">
        <is>
          <t>Wk 32</t>
        </is>
      </c>
      <c r="C2227" s="66" t="inlineStr">
        <is>
          <t>Sun</t>
        </is>
      </c>
      <c r="D2227" s="66" t="inlineStr">
        <is>
          <t>Programmatic</t>
        </is>
      </c>
      <c r="E2227" s="66" t="inlineStr">
        <is>
          <t>DV360</t>
        </is>
      </c>
      <c r="F2227" s="66" t="inlineStr">
        <is>
          <t>LEP_ZA_AUG26_PROG_TD_VIDEO_OLV</t>
        </is>
      </c>
      <c r="G2227" s="66" t="inlineStr">
        <is>
          <t>Online Video / CTV</t>
        </is>
      </c>
      <c r="H2227" s="66" t="inlineStr">
        <is>
          <t>Range</t>
        </is>
      </c>
      <c r="I2227" s="66" t="inlineStr">
        <is>
          <t>Range Offer</t>
        </is>
      </c>
      <c r="J2227" s="66" t="inlineStr">
        <is>
          <t>PROG_OLV_RMKT_VIEWERS</t>
        </is>
      </c>
      <c r="K2227" s="66" t="inlineStr">
        <is>
          <t>Retargeting</t>
        </is>
      </c>
      <c r="L2227" s="66" t="inlineStr">
        <is>
          <t>PROG_OLV_15s_PANTERA_v1</t>
        </is>
      </c>
      <c r="M2227" s="66" t="inlineStr">
        <is>
          <t>Video 16:9 Pre-roll</t>
        </is>
      </c>
      <c r="N2227" s="66" t="inlineStr">
        <is>
          <t>PANTERA. Zero deposit.</t>
        </is>
      </c>
      <c r="O2227" s="66" t="inlineStr">
        <is>
          <t>Auction - Fixed CPM</t>
        </is>
      </c>
      <c r="P2227" s="66" t="inlineStr">
        <is>
          <t>Completed Views + CPA</t>
        </is>
      </c>
      <c r="Q2227" s="66" t="inlineStr">
        <is>
          <t>https://www.lepas-sa.co.za/book-a-test-drive</t>
        </is>
      </c>
      <c r="R2227" s="121" t="n">
        <v>72.53</v>
      </c>
      <c r="S2227" s="122" t="n">
        <v>1908</v>
      </c>
      <c r="T2227" s="122" t="n">
        <v>1362</v>
      </c>
      <c r="U2227" s="123">
        <f>IFERROR(S2227/T2227,"")</f>
        <v/>
      </c>
      <c r="V2227" s="122" t="n">
        <v>11</v>
      </c>
      <c r="W2227" s="122" t="n">
        <v>9</v>
      </c>
      <c r="X2227" s="124">
        <f>IFERROR(W2227/S2227,"")</f>
        <v/>
      </c>
      <c r="Y2227" s="121">
        <f>IFERROR(R2227/W2227,"")</f>
        <v/>
      </c>
      <c r="Z2227" s="121">
        <f>IFERROR(R2227/S2227*1000,"")</f>
        <v/>
      </c>
      <c r="AA2227" s="122" t="n">
        <v>6</v>
      </c>
      <c r="AB2227" s="54">
        <f>IFERROR(AA2227/W2227,"")</f>
        <v/>
      </c>
      <c r="AC2227" s="122" t="n">
        <v>592</v>
      </c>
      <c r="AD2227" s="122" t="n">
        <v>346</v>
      </c>
      <c r="AE2227" s="122" t="n">
        <v>244</v>
      </c>
      <c r="AF2227" s="122" t="n">
        <v>159</v>
      </c>
      <c r="AG2227" s="122" t="n">
        <v>124</v>
      </c>
      <c r="AH2227" s="122" t="n">
        <v>80</v>
      </c>
      <c r="AI2227" s="54">
        <f>IFERROR(AC2227/S2227,"")</f>
        <v/>
      </c>
      <c r="AJ2227" s="54">
        <f>IFERROR(AH2227/S2227,"")</f>
        <v/>
      </c>
      <c r="AK2227" s="122" t="n">
        <v>10</v>
      </c>
      <c r="AL2227" s="122" t="n">
        <v>0</v>
      </c>
      <c r="AM2227" s="124">
        <f>IFERROR(AL2227/AA2227,"")</f>
        <v/>
      </c>
      <c r="AN2227" s="125">
        <f>IFERROR(R2227/AL2227,"")</f>
        <v/>
      </c>
      <c r="AO2227" s="122" t="n">
        <v>0</v>
      </c>
      <c r="AP2227" s="54">
        <f>IFERROR(AO2227/AL2227,"")</f>
        <v/>
      </c>
      <c r="AQ2227" s="125">
        <f>IFERROR(R2227/AO2227,"")</f>
        <v/>
      </c>
      <c r="AR2227" s="122" t="n">
        <v>0</v>
      </c>
      <c r="AS2227" s="122" t="n">
        <v>0</v>
      </c>
      <c r="AT2227" s="122">
        <f>AL2227+AR2227</f>
        <v/>
      </c>
      <c r="AU2227" s="125">
        <f>IFERROR(AO2227*Assumptions!$C$26*Assumptions!$C$27*INDEX(Assumptions!$C$18:$C$21,MATCH(H2227,Assumptions!$B$18:$B$21,0)),0)</f>
        <v/>
      </c>
    </row>
    <row r="2228">
      <c r="A2228" s="120" t="n">
        <v>46244</v>
      </c>
      <c r="B2228" s="66" t="inlineStr">
        <is>
          <t>Wk 33</t>
        </is>
      </c>
      <c r="C2228" s="66" t="inlineStr">
        <is>
          <t>Mon</t>
        </is>
      </c>
      <c r="D2228" s="66" t="inlineStr">
        <is>
          <t>Programmatic</t>
        </is>
      </c>
      <c r="E2228" s="66" t="inlineStr">
        <is>
          <t>DV360</t>
        </is>
      </c>
      <c r="F2228" s="66" t="inlineStr">
        <is>
          <t>LEP_ZA_AUG26_PROG_TD_VIDEO_OLV</t>
        </is>
      </c>
      <c r="G2228" s="66" t="inlineStr">
        <is>
          <t>Online Video / CTV</t>
        </is>
      </c>
      <c r="H2228" s="66" t="inlineStr">
        <is>
          <t>Range</t>
        </is>
      </c>
      <c r="I2228" s="66" t="inlineStr">
        <is>
          <t>Range Offer</t>
        </is>
      </c>
      <c r="J2228" s="66" t="inlineStr">
        <is>
          <t>PROG_OLV_RMKT_VIEWERS</t>
        </is>
      </c>
      <c r="K2228" s="66" t="inlineStr">
        <is>
          <t>Retargeting</t>
        </is>
      </c>
      <c r="L2228" s="66" t="inlineStr">
        <is>
          <t>PROG_OLV_15s_PANTERA_v1</t>
        </is>
      </c>
      <c r="M2228" s="66" t="inlineStr">
        <is>
          <t>Video 16:9 Pre-roll</t>
        </is>
      </c>
      <c r="N2228" s="66" t="inlineStr">
        <is>
          <t>PANTERA. Zero deposit.</t>
        </is>
      </c>
      <c r="O2228" s="66" t="inlineStr">
        <is>
          <t>Auction - Fixed CPM</t>
        </is>
      </c>
      <c r="P2228" s="66" t="inlineStr">
        <is>
          <t>Completed Views + CPA</t>
        </is>
      </c>
      <c r="Q2228" s="66" t="inlineStr">
        <is>
          <t>https://www.lepas-sa.co.za/book-a-test-drive</t>
        </is>
      </c>
      <c r="R2228" s="121" t="n">
        <v>75.73999999999999</v>
      </c>
      <c r="S2228" s="122" t="n">
        <v>1616</v>
      </c>
      <c r="T2228" s="122" t="n">
        <v>1125</v>
      </c>
      <c r="U2228" s="123">
        <f>IFERROR(S2228/T2228,"")</f>
        <v/>
      </c>
      <c r="V2228" s="122" t="n">
        <v>4</v>
      </c>
      <c r="W2228" s="122" t="n">
        <v>3</v>
      </c>
      <c r="X2228" s="124">
        <f>IFERROR(W2228/S2228,"")</f>
        <v/>
      </c>
      <c r="Y2228" s="121">
        <f>IFERROR(R2228/W2228,"")</f>
        <v/>
      </c>
      <c r="Z2228" s="121">
        <f>IFERROR(R2228/S2228*1000,"")</f>
        <v/>
      </c>
      <c r="AA2228" s="122" t="n">
        <v>2</v>
      </c>
      <c r="AB2228" s="54">
        <f>IFERROR(AA2228/W2228,"")</f>
        <v/>
      </c>
      <c r="AC2228" s="122" t="n">
        <v>514</v>
      </c>
      <c r="AD2228" s="122" t="n">
        <v>305</v>
      </c>
      <c r="AE2228" s="122" t="n">
        <v>224</v>
      </c>
      <c r="AF2228" s="122" t="n">
        <v>143</v>
      </c>
      <c r="AG2228" s="122" t="n">
        <v>105</v>
      </c>
      <c r="AH2228" s="122" t="n">
        <v>73</v>
      </c>
      <c r="AI2228" s="54">
        <f>IFERROR(AC2228/S2228,"")</f>
        <v/>
      </c>
      <c r="AJ2228" s="54">
        <f>IFERROR(AH2228/S2228,"")</f>
        <v/>
      </c>
      <c r="AK2228" s="122" t="n">
        <v>9</v>
      </c>
      <c r="AL2228" s="122" t="n">
        <v>0</v>
      </c>
      <c r="AM2228" s="124">
        <f>IFERROR(AL2228/AA2228,"")</f>
        <v/>
      </c>
      <c r="AN2228" s="125">
        <f>IFERROR(R2228/AL2228,"")</f>
        <v/>
      </c>
      <c r="AO2228" s="122" t="n">
        <v>0</v>
      </c>
      <c r="AP2228" s="54">
        <f>IFERROR(AO2228/AL2228,"")</f>
        <v/>
      </c>
      <c r="AQ2228" s="125">
        <f>IFERROR(R2228/AO2228,"")</f>
        <v/>
      </c>
      <c r="AR2228" s="122" t="n">
        <v>0</v>
      </c>
      <c r="AS2228" s="122" t="n">
        <v>0</v>
      </c>
      <c r="AT2228" s="122">
        <f>AL2228+AR2228</f>
        <v/>
      </c>
      <c r="AU2228" s="125">
        <f>IFERROR(AO2228*Assumptions!$C$26*Assumptions!$C$27*INDEX(Assumptions!$C$18:$C$21,MATCH(H2228,Assumptions!$B$18:$B$21,0)),0)</f>
        <v/>
      </c>
    </row>
    <row r="2229">
      <c r="A2229" s="120" t="n">
        <v>46245</v>
      </c>
      <c r="B2229" s="66" t="inlineStr">
        <is>
          <t>Wk 33</t>
        </is>
      </c>
      <c r="C2229" s="66" t="inlineStr">
        <is>
          <t>Tue</t>
        </is>
      </c>
      <c r="D2229" s="66" t="inlineStr">
        <is>
          <t>Programmatic</t>
        </is>
      </c>
      <c r="E2229" s="66" t="inlineStr">
        <is>
          <t>DV360</t>
        </is>
      </c>
      <c r="F2229" s="66" t="inlineStr">
        <is>
          <t>LEP_ZA_AUG26_PROG_TD_VIDEO_OLV</t>
        </is>
      </c>
      <c r="G2229" s="66" t="inlineStr">
        <is>
          <t>Online Video / CTV</t>
        </is>
      </c>
      <c r="H2229" s="66" t="inlineStr">
        <is>
          <t>Range</t>
        </is>
      </c>
      <c r="I2229" s="66" t="inlineStr">
        <is>
          <t>Range Offer</t>
        </is>
      </c>
      <c r="J2229" s="66" t="inlineStr">
        <is>
          <t>PROG_OLV_RMKT_VIEWERS</t>
        </is>
      </c>
      <c r="K2229" s="66" t="inlineStr">
        <is>
          <t>Retargeting</t>
        </is>
      </c>
      <c r="L2229" s="66" t="inlineStr">
        <is>
          <t>PROG_OLV_15s_PANTERA_v1</t>
        </is>
      </c>
      <c r="M2229" s="66" t="inlineStr">
        <is>
          <t>Video 16:9 Pre-roll</t>
        </is>
      </c>
      <c r="N2229" s="66" t="inlineStr">
        <is>
          <t>PANTERA. Zero deposit.</t>
        </is>
      </c>
      <c r="O2229" s="66" t="inlineStr">
        <is>
          <t>Auction - Fixed CPM</t>
        </is>
      </c>
      <c r="P2229" s="66" t="inlineStr">
        <is>
          <t>Completed Views + CPA</t>
        </is>
      </c>
      <c r="Q2229" s="66" t="inlineStr">
        <is>
          <t>https://www.lepas-sa.co.za/book-a-test-drive</t>
        </is>
      </c>
      <c r="R2229" s="121" t="n">
        <v>74.11</v>
      </c>
      <c r="S2229" s="122" t="n">
        <v>1997</v>
      </c>
      <c r="T2229" s="122" t="n">
        <v>1008</v>
      </c>
      <c r="U2229" s="123">
        <f>IFERROR(S2229/T2229,"")</f>
        <v/>
      </c>
      <c r="V2229" s="122" t="n">
        <v>14</v>
      </c>
      <c r="W2229" s="122" t="n">
        <v>10</v>
      </c>
      <c r="X2229" s="124">
        <f>IFERROR(W2229/S2229,"")</f>
        <v/>
      </c>
      <c r="Y2229" s="121">
        <f>IFERROR(R2229/W2229,"")</f>
        <v/>
      </c>
      <c r="Z2229" s="121">
        <f>IFERROR(R2229/S2229*1000,"")</f>
        <v/>
      </c>
      <c r="AA2229" s="122" t="n">
        <v>6</v>
      </c>
      <c r="AB2229" s="54">
        <f>IFERROR(AA2229/W2229,"")</f>
        <v/>
      </c>
      <c r="AC2229" s="122" t="n">
        <v>725</v>
      </c>
      <c r="AD2229" s="122" t="n">
        <v>333</v>
      </c>
      <c r="AE2229" s="122" t="n">
        <v>334</v>
      </c>
      <c r="AF2229" s="122" t="n">
        <v>193</v>
      </c>
      <c r="AG2229" s="122" t="n">
        <v>133</v>
      </c>
      <c r="AH2229" s="122" t="n">
        <v>85</v>
      </c>
      <c r="AI2229" s="54">
        <f>IFERROR(AC2229/S2229,"")</f>
        <v/>
      </c>
      <c r="AJ2229" s="54">
        <f>IFERROR(AH2229/S2229,"")</f>
        <v/>
      </c>
      <c r="AK2229" s="122" t="n">
        <v>7</v>
      </c>
      <c r="AL2229" s="122" t="n">
        <v>0</v>
      </c>
      <c r="AM2229" s="124">
        <f>IFERROR(AL2229/AA2229,"")</f>
        <v/>
      </c>
      <c r="AN2229" s="125">
        <f>IFERROR(R2229/AL2229,"")</f>
        <v/>
      </c>
      <c r="AO2229" s="122" t="n">
        <v>0</v>
      </c>
      <c r="AP2229" s="54">
        <f>IFERROR(AO2229/AL2229,"")</f>
        <v/>
      </c>
      <c r="AQ2229" s="125">
        <f>IFERROR(R2229/AO2229,"")</f>
        <v/>
      </c>
      <c r="AR2229" s="122" t="n">
        <v>0</v>
      </c>
      <c r="AS2229" s="122" t="n">
        <v>0</v>
      </c>
      <c r="AT2229" s="122">
        <f>AL2229+AR2229</f>
        <v/>
      </c>
      <c r="AU2229" s="125">
        <f>IFERROR(AO2229*Assumptions!$C$26*Assumptions!$C$27*INDEX(Assumptions!$C$18:$C$21,MATCH(H2229,Assumptions!$B$18:$B$21,0)),0)</f>
        <v/>
      </c>
    </row>
    <row r="2230">
      <c r="A2230" s="120" t="n">
        <v>46246</v>
      </c>
      <c r="B2230" s="66" t="inlineStr">
        <is>
          <t>Wk 33</t>
        </is>
      </c>
      <c r="C2230" s="66" t="inlineStr">
        <is>
          <t>Wed</t>
        </is>
      </c>
      <c r="D2230" s="66" t="inlineStr">
        <is>
          <t>Programmatic</t>
        </is>
      </c>
      <c r="E2230" s="66" t="inlineStr">
        <is>
          <t>DV360</t>
        </is>
      </c>
      <c r="F2230" s="66" t="inlineStr">
        <is>
          <t>LEP_ZA_AUG26_PROG_TD_VIDEO_OLV</t>
        </is>
      </c>
      <c r="G2230" s="66" t="inlineStr">
        <is>
          <t>Online Video / CTV</t>
        </is>
      </c>
      <c r="H2230" s="66" t="inlineStr">
        <is>
          <t>Range</t>
        </is>
      </c>
      <c r="I2230" s="66" t="inlineStr">
        <is>
          <t>Range Offer</t>
        </is>
      </c>
      <c r="J2230" s="66" t="inlineStr">
        <is>
          <t>PROG_OLV_RMKT_VIEWERS</t>
        </is>
      </c>
      <c r="K2230" s="66" t="inlineStr">
        <is>
          <t>Retargeting</t>
        </is>
      </c>
      <c r="L2230" s="66" t="inlineStr">
        <is>
          <t>PROG_OLV_15s_PANTERA_v1</t>
        </is>
      </c>
      <c r="M2230" s="66" t="inlineStr">
        <is>
          <t>Video 16:9 Pre-roll</t>
        </is>
      </c>
      <c r="N2230" s="66" t="inlineStr">
        <is>
          <t>PANTERA. Zero deposit.</t>
        </is>
      </c>
      <c r="O2230" s="66" t="inlineStr">
        <is>
          <t>Auction - Fixed CPM</t>
        </is>
      </c>
      <c r="P2230" s="66" t="inlineStr">
        <is>
          <t>Completed Views + CPA</t>
        </is>
      </c>
      <c r="Q2230" s="66" t="inlineStr">
        <is>
          <t>https://www.lepas-sa.co.za/book-a-test-drive</t>
        </is>
      </c>
      <c r="R2230" s="121" t="n">
        <v>69.29000000000001</v>
      </c>
      <c r="S2230" s="122" t="n">
        <v>2637</v>
      </c>
      <c r="T2230" s="122" t="n">
        <v>1399</v>
      </c>
      <c r="U2230" s="123">
        <f>IFERROR(S2230/T2230,"")</f>
        <v/>
      </c>
      <c r="V2230" s="122" t="n">
        <v>19</v>
      </c>
      <c r="W2230" s="122" t="n">
        <v>15</v>
      </c>
      <c r="X2230" s="124">
        <f>IFERROR(W2230/S2230,"")</f>
        <v/>
      </c>
      <c r="Y2230" s="121">
        <f>IFERROR(R2230/W2230,"")</f>
        <v/>
      </c>
      <c r="Z2230" s="121">
        <f>IFERROR(R2230/S2230*1000,"")</f>
        <v/>
      </c>
      <c r="AA2230" s="122" t="n">
        <v>9</v>
      </c>
      <c r="AB2230" s="54">
        <f>IFERROR(AA2230/W2230,"")</f>
        <v/>
      </c>
      <c r="AC2230" s="122" t="n">
        <v>1027</v>
      </c>
      <c r="AD2230" s="122" t="n">
        <v>579</v>
      </c>
      <c r="AE2230" s="122" t="n">
        <v>559</v>
      </c>
      <c r="AF2230" s="122" t="n">
        <v>361</v>
      </c>
      <c r="AG2230" s="122" t="n">
        <v>287</v>
      </c>
      <c r="AH2230" s="122" t="n">
        <v>189</v>
      </c>
      <c r="AI2230" s="54">
        <f>IFERROR(AC2230/S2230,"")</f>
        <v/>
      </c>
      <c r="AJ2230" s="54">
        <f>IFERROR(AH2230/S2230,"")</f>
        <v/>
      </c>
      <c r="AK2230" s="122" t="n">
        <v>9</v>
      </c>
      <c r="AL2230" s="122" t="n">
        <v>0</v>
      </c>
      <c r="AM2230" s="124">
        <f>IFERROR(AL2230/AA2230,"")</f>
        <v/>
      </c>
      <c r="AN2230" s="125">
        <f>IFERROR(R2230/AL2230,"")</f>
        <v/>
      </c>
      <c r="AO2230" s="122" t="n">
        <v>0</v>
      </c>
      <c r="AP2230" s="54">
        <f>IFERROR(AO2230/AL2230,"")</f>
        <v/>
      </c>
      <c r="AQ2230" s="125">
        <f>IFERROR(R2230/AO2230,"")</f>
        <v/>
      </c>
      <c r="AR2230" s="122" t="n">
        <v>0</v>
      </c>
      <c r="AS2230" s="122" t="n">
        <v>0</v>
      </c>
      <c r="AT2230" s="122">
        <f>AL2230+AR2230</f>
        <v/>
      </c>
      <c r="AU2230" s="125">
        <f>IFERROR(AO2230*Assumptions!$C$26*Assumptions!$C$27*INDEX(Assumptions!$C$18:$C$21,MATCH(H2230,Assumptions!$B$18:$B$21,0)),0)</f>
        <v/>
      </c>
    </row>
    <row r="2231">
      <c r="A2231" s="120" t="n">
        <v>46247</v>
      </c>
      <c r="B2231" s="66" t="inlineStr">
        <is>
          <t>Wk 33</t>
        </is>
      </c>
      <c r="C2231" s="66" t="inlineStr">
        <is>
          <t>Thu</t>
        </is>
      </c>
      <c r="D2231" s="66" t="inlineStr">
        <is>
          <t>Programmatic</t>
        </is>
      </c>
      <c r="E2231" s="66" t="inlineStr">
        <is>
          <t>DV360</t>
        </is>
      </c>
      <c r="F2231" s="66" t="inlineStr">
        <is>
          <t>LEP_ZA_AUG26_PROG_TD_VIDEO_OLV</t>
        </is>
      </c>
      <c r="G2231" s="66" t="inlineStr">
        <is>
          <t>Online Video / CTV</t>
        </is>
      </c>
      <c r="H2231" s="66" t="inlineStr">
        <is>
          <t>Range</t>
        </is>
      </c>
      <c r="I2231" s="66" t="inlineStr">
        <is>
          <t>Range Offer</t>
        </is>
      </c>
      <c r="J2231" s="66" t="inlineStr">
        <is>
          <t>PROG_OLV_RMKT_VIEWERS</t>
        </is>
      </c>
      <c r="K2231" s="66" t="inlineStr">
        <is>
          <t>Retargeting</t>
        </is>
      </c>
      <c r="L2231" s="66" t="inlineStr">
        <is>
          <t>PROG_OLV_15s_PANTERA_v1</t>
        </is>
      </c>
      <c r="M2231" s="66" t="inlineStr">
        <is>
          <t>Video 16:9 Pre-roll</t>
        </is>
      </c>
      <c r="N2231" s="66" t="inlineStr">
        <is>
          <t>PANTERA. Zero deposit.</t>
        </is>
      </c>
      <c r="O2231" s="66" t="inlineStr">
        <is>
          <t>Auction - Fixed CPM</t>
        </is>
      </c>
      <c r="P2231" s="66" t="inlineStr">
        <is>
          <t>Completed Views + CPA</t>
        </is>
      </c>
      <c r="Q2231" s="66" t="inlineStr">
        <is>
          <t>https://www.lepas-sa.co.za/book-a-test-drive</t>
        </is>
      </c>
      <c r="R2231" s="121" t="n">
        <v>84.72</v>
      </c>
      <c r="S2231" s="122" t="n">
        <v>2753</v>
      </c>
      <c r="T2231" s="122" t="n">
        <v>1385</v>
      </c>
      <c r="U2231" s="123">
        <f>IFERROR(S2231/T2231,"")</f>
        <v/>
      </c>
      <c r="V2231" s="122" t="n">
        <v>5</v>
      </c>
      <c r="W2231" s="122" t="n">
        <v>4</v>
      </c>
      <c r="X2231" s="124">
        <f>IFERROR(W2231/S2231,"")</f>
        <v/>
      </c>
      <c r="Y2231" s="121">
        <f>IFERROR(R2231/W2231,"")</f>
        <v/>
      </c>
      <c r="Z2231" s="121">
        <f>IFERROR(R2231/S2231*1000,"")</f>
        <v/>
      </c>
      <c r="AA2231" s="122" t="n">
        <v>3</v>
      </c>
      <c r="AB2231" s="54">
        <f>IFERROR(AA2231/W2231,"")</f>
        <v/>
      </c>
      <c r="AC2231" s="122" t="n">
        <v>638</v>
      </c>
      <c r="AD2231" s="122" t="n">
        <v>287</v>
      </c>
      <c r="AE2231" s="122" t="n">
        <v>302</v>
      </c>
      <c r="AF2231" s="122" t="n">
        <v>201</v>
      </c>
      <c r="AG2231" s="122" t="n">
        <v>143</v>
      </c>
      <c r="AH2231" s="122" t="n">
        <v>85</v>
      </c>
      <c r="AI2231" s="54">
        <f>IFERROR(AC2231/S2231,"")</f>
        <v/>
      </c>
      <c r="AJ2231" s="54">
        <f>IFERROR(AH2231/S2231,"")</f>
        <v/>
      </c>
      <c r="AK2231" s="122" t="n">
        <v>12</v>
      </c>
      <c r="AL2231" s="122" t="n">
        <v>0</v>
      </c>
      <c r="AM2231" s="124">
        <f>IFERROR(AL2231/AA2231,"")</f>
        <v/>
      </c>
      <c r="AN2231" s="125">
        <f>IFERROR(R2231/AL2231,"")</f>
        <v/>
      </c>
      <c r="AO2231" s="122" t="n">
        <v>0</v>
      </c>
      <c r="AP2231" s="54">
        <f>IFERROR(AO2231/AL2231,"")</f>
        <v/>
      </c>
      <c r="AQ2231" s="125">
        <f>IFERROR(R2231/AO2231,"")</f>
        <v/>
      </c>
      <c r="AR2231" s="122" t="n">
        <v>0</v>
      </c>
      <c r="AS2231" s="122" t="n">
        <v>0</v>
      </c>
      <c r="AT2231" s="122">
        <f>AL2231+AR2231</f>
        <v/>
      </c>
      <c r="AU2231" s="125">
        <f>IFERROR(AO2231*Assumptions!$C$26*Assumptions!$C$27*INDEX(Assumptions!$C$18:$C$21,MATCH(H2231,Assumptions!$B$18:$B$21,0)),0)</f>
        <v/>
      </c>
    </row>
    <row r="2232">
      <c r="A2232" s="120" t="n">
        <v>46248</v>
      </c>
      <c r="B2232" s="66" t="inlineStr">
        <is>
          <t>Wk 33</t>
        </is>
      </c>
      <c r="C2232" s="66" t="inlineStr">
        <is>
          <t>Fri</t>
        </is>
      </c>
      <c r="D2232" s="66" t="inlineStr">
        <is>
          <t>Programmatic</t>
        </is>
      </c>
      <c r="E2232" s="66" t="inlineStr">
        <is>
          <t>DV360</t>
        </is>
      </c>
      <c r="F2232" s="66" t="inlineStr">
        <is>
          <t>LEP_ZA_AUG26_PROG_TD_VIDEO_OLV</t>
        </is>
      </c>
      <c r="G2232" s="66" t="inlineStr">
        <is>
          <t>Online Video / CTV</t>
        </is>
      </c>
      <c r="H2232" s="66" t="inlineStr">
        <is>
          <t>Range</t>
        </is>
      </c>
      <c r="I2232" s="66" t="inlineStr">
        <is>
          <t>Range Offer</t>
        </is>
      </c>
      <c r="J2232" s="66" t="inlineStr">
        <is>
          <t>PROG_OLV_RMKT_VIEWERS</t>
        </is>
      </c>
      <c r="K2232" s="66" t="inlineStr">
        <is>
          <t>Retargeting</t>
        </is>
      </c>
      <c r="L2232" s="66" t="inlineStr">
        <is>
          <t>PROG_OLV_15s_PANTERA_v1</t>
        </is>
      </c>
      <c r="M2232" s="66" t="inlineStr">
        <is>
          <t>Video 16:9 Pre-roll</t>
        </is>
      </c>
      <c r="N2232" s="66" t="inlineStr">
        <is>
          <t>PANTERA. Zero deposit.</t>
        </is>
      </c>
      <c r="O2232" s="66" t="inlineStr">
        <is>
          <t>Auction - Fixed CPM</t>
        </is>
      </c>
      <c r="P2232" s="66" t="inlineStr">
        <is>
          <t>Completed Views + CPA</t>
        </is>
      </c>
      <c r="Q2232" s="66" t="inlineStr">
        <is>
          <t>https://www.lepas-sa.co.za/book-a-test-drive</t>
        </is>
      </c>
      <c r="R2232" s="121" t="n">
        <v>94.56999999999999</v>
      </c>
      <c r="S2232" s="122" t="n">
        <v>2102</v>
      </c>
      <c r="T2232" s="122" t="n">
        <v>967</v>
      </c>
      <c r="U2232" s="123">
        <f>IFERROR(S2232/T2232,"")</f>
        <v/>
      </c>
      <c r="V2232" s="122" t="n">
        <v>7</v>
      </c>
      <c r="W2232" s="122" t="n">
        <v>6</v>
      </c>
      <c r="X2232" s="124">
        <f>IFERROR(W2232/S2232,"")</f>
        <v/>
      </c>
      <c r="Y2232" s="121">
        <f>IFERROR(R2232/W2232,"")</f>
        <v/>
      </c>
      <c r="Z2232" s="121">
        <f>IFERROR(R2232/S2232*1000,"")</f>
        <v/>
      </c>
      <c r="AA2232" s="122" t="n">
        <v>4</v>
      </c>
      <c r="AB2232" s="54">
        <f>IFERROR(AA2232/W2232,"")</f>
        <v/>
      </c>
      <c r="AC2232" s="122" t="n">
        <v>773</v>
      </c>
      <c r="AD2232" s="122" t="n">
        <v>397</v>
      </c>
      <c r="AE2232" s="122" t="n">
        <v>324</v>
      </c>
      <c r="AF2232" s="122" t="n">
        <v>216</v>
      </c>
      <c r="AG2232" s="122" t="n">
        <v>159</v>
      </c>
      <c r="AH2232" s="122" t="n">
        <v>108</v>
      </c>
      <c r="AI2232" s="54">
        <f>IFERROR(AC2232/S2232,"")</f>
        <v/>
      </c>
      <c r="AJ2232" s="54">
        <f>IFERROR(AH2232/S2232,"")</f>
        <v/>
      </c>
      <c r="AK2232" s="122" t="n">
        <v>7</v>
      </c>
      <c r="AL2232" s="122" t="n">
        <v>0</v>
      </c>
      <c r="AM2232" s="124">
        <f>IFERROR(AL2232/AA2232,"")</f>
        <v/>
      </c>
      <c r="AN2232" s="125">
        <f>IFERROR(R2232/AL2232,"")</f>
        <v/>
      </c>
      <c r="AO2232" s="122" t="n">
        <v>0</v>
      </c>
      <c r="AP2232" s="54">
        <f>IFERROR(AO2232/AL2232,"")</f>
        <v/>
      </c>
      <c r="AQ2232" s="125">
        <f>IFERROR(R2232/AO2232,"")</f>
        <v/>
      </c>
      <c r="AR2232" s="122" t="n">
        <v>0</v>
      </c>
      <c r="AS2232" s="122" t="n">
        <v>0</v>
      </c>
      <c r="AT2232" s="122">
        <f>AL2232+AR2232</f>
        <v/>
      </c>
      <c r="AU2232" s="125">
        <f>IFERROR(AO2232*Assumptions!$C$26*Assumptions!$C$27*INDEX(Assumptions!$C$18:$C$21,MATCH(H2232,Assumptions!$B$18:$B$21,0)),0)</f>
        <v/>
      </c>
    </row>
    <row r="2233">
      <c r="A2233" s="120" t="n">
        <v>46249</v>
      </c>
      <c r="B2233" s="66" t="inlineStr">
        <is>
          <t>Wk 33</t>
        </is>
      </c>
      <c r="C2233" s="66" t="inlineStr">
        <is>
          <t>Sat</t>
        </is>
      </c>
      <c r="D2233" s="66" t="inlineStr">
        <is>
          <t>Programmatic</t>
        </is>
      </c>
      <c r="E2233" s="66" t="inlineStr">
        <is>
          <t>DV360</t>
        </is>
      </c>
      <c r="F2233" s="66" t="inlineStr">
        <is>
          <t>LEP_ZA_AUG26_PROG_TD_VIDEO_OLV</t>
        </is>
      </c>
      <c r="G2233" s="66" t="inlineStr">
        <is>
          <t>Online Video / CTV</t>
        </is>
      </c>
      <c r="H2233" s="66" t="inlineStr">
        <is>
          <t>Range</t>
        </is>
      </c>
      <c r="I2233" s="66" t="inlineStr">
        <is>
          <t>Range Offer</t>
        </is>
      </c>
      <c r="J2233" s="66" t="inlineStr">
        <is>
          <t>PROG_OLV_RMKT_VIEWERS</t>
        </is>
      </c>
      <c r="K2233" s="66" t="inlineStr">
        <is>
          <t>Retargeting</t>
        </is>
      </c>
      <c r="L2233" s="66" t="inlineStr">
        <is>
          <t>PROG_OLV_15s_PANTERA_v1</t>
        </is>
      </c>
      <c r="M2233" s="66" t="inlineStr">
        <is>
          <t>Video 16:9 Pre-roll</t>
        </is>
      </c>
      <c r="N2233" s="66" t="inlineStr">
        <is>
          <t>PANTERA. Zero deposit.</t>
        </is>
      </c>
      <c r="O2233" s="66" t="inlineStr">
        <is>
          <t>Auction - Fixed CPM</t>
        </is>
      </c>
      <c r="P2233" s="66" t="inlineStr">
        <is>
          <t>Completed Views + CPA</t>
        </is>
      </c>
      <c r="Q2233" s="66" t="inlineStr">
        <is>
          <t>https://www.lepas-sa.co.za/book-a-test-drive</t>
        </is>
      </c>
      <c r="R2233" s="121" t="n">
        <v>91.93000000000001</v>
      </c>
      <c r="S2233" s="122" t="n">
        <v>1977</v>
      </c>
      <c r="T2233" s="122" t="n">
        <v>847</v>
      </c>
      <c r="U2233" s="123">
        <f>IFERROR(S2233/T2233,"")</f>
        <v/>
      </c>
      <c r="V2233" s="122" t="n">
        <v>6</v>
      </c>
      <c r="W2233" s="122" t="n">
        <v>4</v>
      </c>
      <c r="X2233" s="124">
        <f>IFERROR(W2233/S2233,"")</f>
        <v/>
      </c>
      <c r="Y2233" s="121">
        <f>IFERROR(R2233/W2233,"")</f>
        <v/>
      </c>
      <c r="Z2233" s="121">
        <f>IFERROR(R2233/S2233*1000,"")</f>
        <v/>
      </c>
      <c r="AA2233" s="122" t="n">
        <v>2</v>
      </c>
      <c r="AB2233" s="54">
        <f>IFERROR(AA2233/W2233,"")</f>
        <v/>
      </c>
      <c r="AC2233" s="122" t="n">
        <v>572</v>
      </c>
      <c r="AD2233" s="122" t="n">
        <v>271</v>
      </c>
      <c r="AE2233" s="122" t="n">
        <v>310</v>
      </c>
      <c r="AF2233" s="122" t="n">
        <v>213</v>
      </c>
      <c r="AG2233" s="122" t="n">
        <v>155</v>
      </c>
      <c r="AH2233" s="122" t="n">
        <v>112</v>
      </c>
      <c r="AI2233" s="54">
        <f>IFERROR(AC2233/S2233,"")</f>
        <v/>
      </c>
      <c r="AJ2233" s="54">
        <f>IFERROR(AH2233/S2233,"")</f>
        <v/>
      </c>
      <c r="AK2233" s="122" t="n">
        <v>9</v>
      </c>
      <c r="AL2233" s="122" t="n">
        <v>0</v>
      </c>
      <c r="AM2233" s="124">
        <f>IFERROR(AL2233/AA2233,"")</f>
        <v/>
      </c>
      <c r="AN2233" s="125">
        <f>IFERROR(R2233/AL2233,"")</f>
        <v/>
      </c>
      <c r="AO2233" s="122" t="n">
        <v>0</v>
      </c>
      <c r="AP2233" s="54">
        <f>IFERROR(AO2233/AL2233,"")</f>
        <v/>
      </c>
      <c r="AQ2233" s="125">
        <f>IFERROR(R2233/AO2233,"")</f>
        <v/>
      </c>
      <c r="AR2233" s="122" t="n">
        <v>0</v>
      </c>
      <c r="AS2233" s="122" t="n">
        <v>0</v>
      </c>
      <c r="AT2233" s="122">
        <f>AL2233+AR2233</f>
        <v/>
      </c>
      <c r="AU2233" s="125">
        <f>IFERROR(AO2233*Assumptions!$C$26*Assumptions!$C$27*INDEX(Assumptions!$C$18:$C$21,MATCH(H2233,Assumptions!$B$18:$B$21,0)),0)</f>
        <v/>
      </c>
    </row>
    <row r="2234">
      <c r="A2234" s="120" t="n">
        <v>46250</v>
      </c>
      <c r="B2234" s="66" t="inlineStr">
        <is>
          <t>Wk 33</t>
        </is>
      </c>
      <c r="C2234" s="66" t="inlineStr">
        <is>
          <t>Sun</t>
        </is>
      </c>
      <c r="D2234" s="66" t="inlineStr">
        <is>
          <t>Programmatic</t>
        </is>
      </c>
      <c r="E2234" s="66" t="inlineStr">
        <is>
          <t>DV360</t>
        </is>
      </c>
      <c r="F2234" s="66" t="inlineStr">
        <is>
          <t>LEP_ZA_AUG26_PROG_TD_VIDEO_OLV</t>
        </is>
      </c>
      <c r="G2234" s="66" t="inlineStr">
        <is>
          <t>Online Video / CTV</t>
        </is>
      </c>
      <c r="H2234" s="66" t="inlineStr">
        <is>
          <t>Range</t>
        </is>
      </c>
      <c r="I2234" s="66" t="inlineStr">
        <is>
          <t>Range Offer</t>
        </is>
      </c>
      <c r="J2234" s="66" t="inlineStr">
        <is>
          <t>PROG_OLV_RMKT_VIEWERS</t>
        </is>
      </c>
      <c r="K2234" s="66" t="inlineStr">
        <is>
          <t>Retargeting</t>
        </is>
      </c>
      <c r="L2234" s="66" t="inlineStr">
        <is>
          <t>PROG_OLV_15s_PANTERA_v1</t>
        </is>
      </c>
      <c r="M2234" s="66" t="inlineStr">
        <is>
          <t>Video 16:9 Pre-roll</t>
        </is>
      </c>
      <c r="N2234" s="66" t="inlineStr">
        <is>
          <t>PANTERA. Zero deposit.</t>
        </is>
      </c>
      <c r="O2234" s="66" t="inlineStr">
        <is>
          <t>Auction - Fixed CPM</t>
        </is>
      </c>
      <c r="P2234" s="66" t="inlineStr">
        <is>
          <t>Completed Views + CPA</t>
        </is>
      </c>
      <c r="Q2234" s="66" t="inlineStr">
        <is>
          <t>https://www.lepas-sa.co.za/book-a-test-drive</t>
        </is>
      </c>
      <c r="R2234" s="121" t="n">
        <v>63.02</v>
      </c>
      <c r="S2234" s="122" t="n">
        <v>2124</v>
      </c>
      <c r="T2234" s="122" t="n">
        <v>895</v>
      </c>
      <c r="U2234" s="123">
        <f>IFERROR(S2234/T2234,"")</f>
        <v/>
      </c>
      <c r="V2234" s="122" t="n">
        <v>5</v>
      </c>
      <c r="W2234" s="122" t="n">
        <v>3</v>
      </c>
      <c r="X2234" s="124">
        <f>IFERROR(W2234/S2234,"")</f>
        <v/>
      </c>
      <c r="Y2234" s="121">
        <f>IFERROR(R2234/W2234,"")</f>
        <v/>
      </c>
      <c r="Z2234" s="121">
        <f>IFERROR(R2234/S2234*1000,"")</f>
        <v/>
      </c>
      <c r="AA2234" s="122" t="n">
        <v>2</v>
      </c>
      <c r="AB2234" s="54">
        <f>IFERROR(AA2234/W2234,"")</f>
        <v/>
      </c>
      <c r="AC2234" s="122" t="n">
        <v>646</v>
      </c>
      <c r="AD2234" s="122" t="n">
        <v>355</v>
      </c>
      <c r="AE2234" s="122" t="n">
        <v>331</v>
      </c>
      <c r="AF2234" s="122" t="n">
        <v>175</v>
      </c>
      <c r="AG2234" s="122" t="n">
        <v>121</v>
      </c>
      <c r="AH2234" s="122" t="n">
        <v>83</v>
      </c>
      <c r="AI2234" s="54">
        <f>IFERROR(AC2234/S2234,"")</f>
        <v/>
      </c>
      <c r="AJ2234" s="54">
        <f>IFERROR(AH2234/S2234,"")</f>
        <v/>
      </c>
      <c r="AK2234" s="122" t="n">
        <v>8</v>
      </c>
      <c r="AL2234" s="122" t="n">
        <v>1</v>
      </c>
      <c r="AM2234" s="124">
        <f>IFERROR(AL2234/AA2234,"")</f>
        <v/>
      </c>
      <c r="AN2234" s="125">
        <f>IFERROR(R2234/AL2234,"")</f>
        <v/>
      </c>
      <c r="AO2234" s="122" t="n">
        <v>0</v>
      </c>
      <c r="AP2234" s="54">
        <f>IFERROR(AO2234/AL2234,"")</f>
        <v/>
      </c>
      <c r="AQ2234" s="125">
        <f>IFERROR(R2234/AO2234,"")</f>
        <v/>
      </c>
      <c r="AR2234" s="122" t="n">
        <v>2</v>
      </c>
      <c r="AS2234" s="122" t="n">
        <v>1</v>
      </c>
      <c r="AT2234" s="122">
        <f>AL2234+AR2234</f>
        <v/>
      </c>
      <c r="AU2234" s="125">
        <f>IFERROR(AO2234*Assumptions!$C$26*Assumptions!$C$27*INDEX(Assumptions!$C$18:$C$21,MATCH(H2234,Assumptions!$B$18:$B$21,0)),0)</f>
        <v/>
      </c>
    </row>
    <row r="2235">
      <c r="A2235" s="120" t="n">
        <v>46251</v>
      </c>
      <c r="B2235" s="66" t="inlineStr">
        <is>
          <t>Wk 34</t>
        </is>
      </c>
      <c r="C2235" s="66" t="inlineStr">
        <is>
          <t>Mon</t>
        </is>
      </c>
      <c r="D2235" s="66" t="inlineStr">
        <is>
          <t>Programmatic</t>
        </is>
      </c>
      <c r="E2235" s="66" t="inlineStr">
        <is>
          <t>DV360</t>
        </is>
      </c>
      <c r="F2235" s="66" t="inlineStr">
        <is>
          <t>LEP_ZA_AUG26_PROG_TD_VIDEO_OLV</t>
        </is>
      </c>
      <c r="G2235" s="66" t="inlineStr">
        <is>
          <t>Online Video / CTV</t>
        </is>
      </c>
      <c r="H2235" s="66" t="inlineStr">
        <is>
          <t>Range</t>
        </is>
      </c>
      <c r="I2235" s="66" t="inlineStr">
        <is>
          <t>Range Offer</t>
        </is>
      </c>
      <c r="J2235" s="66" t="inlineStr">
        <is>
          <t>PROG_OLV_RMKT_VIEWERS</t>
        </is>
      </c>
      <c r="K2235" s="66" t="inlineStr">
        <is>
          <t>Retargeting</t>
        </is>
      </c>
      <c r="L2235" s="66" t="inlineStr">
        <is>
          <t>PROG_OLV_15s_PANTERA_v1</t>
        </is>
      </c>
      <c r="M2235" s="66" t="inlineStr">
        <is>
          <t>Video 16:9 Pre-roll</t>
        </is>
      </c>
      <c r="N2235" s="66" t="inlineStr">
        <is>
          <t>PANTERA. Zero deposit.</t>
        </is>
      </c>
      <c r="O2235" s="66" t="inlineStr">
        <is>
          <t>Auction - Fixed CPM</t>
        </is>
      </c>
      <c r="P2235" s="66" t="inlineStr">
        <is>
          <t>Completed Views + CPA</t>
        </is>
      </c>
      <c r="Q2235" s="66" t="inlineStr">
        <is>
          <t>https://www.lepas-sa.co.za/book-a-test-drive</t>
        </is>
      </c>
      <c r="R2235" s="121" t="n">
        <v>77.33</v>
      </c>
      <c r="S2235" s="122" t="n">
        <v>2261</v>
      </c>
      <c r="T2235" s="122" t="n">
        <v>1363</v>
      </c>
      <c r="U2235" s="123">
        <f>IFERROR(S2235/T2235,"")</f>
        <v/>
      </c>
      <c r="V2235" s="122" t="n">
        <v>18</v>
      </c>
      <c r="W2235" s="122" t="n">
        <v>13</v>
      </c>
      <c r="X2235" s="124">
        <f>IFERROR(W2235/S2235,"")</f>
        <v/>
      </c>
      <c r="Y2235" s="121">
        <f>IFERROR(R2235/W2235,"")</f>
        <v/>
      </c>
      <c r="Z2235" s="121">
        <f>IFERROR(R2235/S2235*1000,"")</f>
        <v/>
      </c>
      <c r="AA2235" s="122" t="n">
        <v>7</v>
      </c>
      <c r="AB2235" s="54">
        <f>IFERROR(AA2235/W2235,"")</f>
        <v/>
      </c>
      <c r="AC2235" s="122" t="n">
        <v>503</v>
      </c>
      <c r="AD2235" s="122" t="n">
        <v>304</v>
      </c>
      <c r="AE2235" s="122" t="n">
        <v>266</v>
      </c>
      <c r="AF2235" s="122" t="n">
        <v>186</v>
      </c>
      <c r="AG2235" s="122" t="n">
        <v>130</v>
      </c>
      <c r="AH2235" s="122" t="n">
        <v>88</v>
      </c>
      <c r="AI2235" s="54">
        <f>IFERROR(AC2235/S2235,"")</f>
        <v/>
      </c>
      <c r="AJ2235" s="54">
        <f>IFERROR(AH2235/S2235,"")</f>
        <v/>
      </c>
      <c r="AK2235" s="122" t="n">
        <v>14</v>
      </c>
      <c r="AL2235" s="122" t="n">
        <v>0</v>
      </c>
      <c r="AM2235" s="124">
        <f>IFERROR(AL2235/AA2235,"")</f>
        <v/>
      </c>
      <c r="AN2235" s="125">
        <f>IFERROR(R2235/AL2235,"")</f>
        <v/>
      </c>
      <c r="AO2235" s="122" t="n">
        <v>0</v>
      </c>
      <c r="AP2235" s="54">
        <f>IFERROR(AO2235/AL2235,"")</f>
        <v/>
      </c>
      <c r="AQ2235" s="125">
        <f>IFERROR(R2235/AO2235,"")</f>
        <v/>
      </c>
      <c r="AR2235" s="122" t="n">
        <v>0</v>
      </c>
      <c r="AS2235" s="122" t="n">
        <v>0</v>
      </c>
      <c r="AT2235" s="122">
        <f>AL2235+AR2235</f>
        <v/>
      </c>
      <c r="AU2235" s="125">
        <f>IFERROR(AO2235*Assumptions!$C$26*Assumptions!$C$27*INDEX(Assumptions!$C$18:$C$21,MATCH(H2235,Assumptions!$B$18:$B$21,0)),0)</f>
        <v/>
      </c>
    </row>
    <row r="2236">
      <c r="A2236" s="120" t="n">
        <v>46252</v>
      </c>
      <c r="B2236" s="66" t="inlineStr">
        <is>
          <t>Wk 34</t>
        </is>
      </c>
      <c r="C2236" s="66" t="inlineStr">
        <is>
          <t>Tue</t>
        </is>
      </c>
      <c r="D2236" s="66" t="inlineStr">
        <is>
          <t>Programmatic</t>
        </is>
      </c>
      <c r="E2236" s="66" t="inlineStr">
        <is>
          <t>DV360</t>
        </is>
      </c>
      <c r="F2236" s="66" t="inlineStr">
        <is>
          <t>LEP_ZA_AUG26_PROG_TD_VIDEO_OLV</t>
        </is>
      </c>
      <c r="G2236" s="66" t="inlineStr">
        <is>
          <t>Online Video / CTV</t>
        </is>
      </c>
      <c r="H2236" s="66" t="inlineStr">
        <is>
          <t>Range</t>
        </is>
      </c>
      <c r="I2236" s="66" t="inlineStr">
        <is>
          <t>Range Offer</t>
        </is>
      </c>
      <c r="J2236" s="66" t="inlineStr">
        <is>
          <t>PROG_OLV_RMKT_VIEWERS</t>
        </is>
      </c>
      <c r="K2236" s="66" t="inlineStr">
        <is>
          <t>Retargeting</t>
        </is>
      </c>
      <c r="L2236" s="66" t="inlineStr">
        <is>
          <t>PROG_OLV_15s_PANTERA_v1</t>
        </is>
      </c>
      <c r="M2236" s="66" t="inlineStr">
        <is>
          <t>Video 16:9 Pre-roll</t>
        </is>
      </c>
      <c r="N2236" s="66" t="inlineStr">
        <is>
          <t>PANTERA. Zero deposit.</t>
        </is>
      </c>
      <c r="O2236" s="66" t="inlineStr">
        <is>
          <t>Auction - Fixed CPM</t>
        </is>
      </c>
      <c r="P2236" s="66" t="inlineStr">
        <is>
          <t>Completed Views + CPA</t>
        </is>
      </c>
      <c r="Q2236" s="66" t="inlineStr">
        <is>
          <t>https://www.lepas-sa.co.za/book-a-test-drive</t>
        </is>
      </c>
      <c r="R2236" s="121" t="n">
        <v>81.55</v>
      </c>
      <c r="S2236" s="122" t="n">
        <v>1702</v>
      </c>
      <c r="T2236" s="122" t="n">
        <v>947</v>
      </c>
      <c r="U2236" s="123">
        <f>IFERROR(S2236/T2236,"")</f>
        <v/>
      </c>
      <c r="V2236" s="122" t="n">
        <v>11</v>
      </c>
      <c r="W2236" s="122" t="n">
        <v>8</v>
      </c>
      <c r="X2236" s="124">
        <f>IFERROR(W2236/S2236,"")</f>
        <v/>
      </c>
      <c r="Y2236" s="121">
        <f>IFERROR(R2236/W2236,"")</f>
        <v/>
      </c>
      <c r="Z2236" s="121">
        <f>IFERROR(R2236/S2236*1000,"")</f>
        <v/>
      </c>
      <c r="AA2236" s="122" t="n">
        <v>5</v>
      </c>
      <c r="AB2236" s="54">
        <f>IFERROR(AA2236/W2236,"")</f>
        <v/>
      </c>
      <c r="AC2236" s="122" t="n">
        <v>625</v>
      </c>
      <c r="AD2236" s="122" t="n">
        <v>353</v>
      </c>
      <c r="AE2236" s="122" t="n">
        <v>242</v>
      </c>
      <c r="AF2236" s="122" t="n">
        <v>161</v>
      </c>
      <c r="AG2236" s="122" t="n">
        <v>123</v>
      </c>
      <c r="AH2236" s="122" t="n">
        <v>68</v>
      </c>
      <c r="AI2236" s="54">
        <f>IFERROR(AC2236/S2236,"")</f>
        <v/>
      </c>
      <c r="AJ2236" s="54">
        <f>IFERROR(AH2236/S2236,"")</f>
        <v/>
      </c>
      <c r="AK2236" s="122" t="n">
        <v>7</v>
      </c>
      <c r="AL2236" s="122" t="n">
        <v>1</v>
      </c>
      <c r="AM2236" s="124">
        <f>IFERROR(AL2236/AA2236,"")</f>
        <v/>
      </c>
      <c r="AN2236" s="125">
        <f>IFERROR(R2236/AL2236,"")</f>
        <v/>
      </c>
      <c r="AO2236" s="122" t="n">
        <v>0</v>
      </c>
      <c r="AP2236" s="54">
        <f>IFERROR(AO2236/AL2236,"")</f>
        <v/>
      </c>
      <c r="AQ2236" s="125">
        <f>IFERROR(R2236/AO2236,"")</f>
        <v/>
      </c>
      <c r="AR2236" s="122" t="n">
        <v>2</v>
      </c>
      <c r="AS2236" s="122" t="n">
        <v>1</v>
      </c>
      <c r="AT2236" s="122">
        <f>AL2236+AR2236</f>
        <v/>
      </c>
      <c r="AU2236" s="125">
        <f>IFERROR(AO2236*Assumptions!$C$26*Assumptions!$C$27*INDEX(Assumptions!$C$18:$C$21,MATCH(H2236,Assumptions!$B$18:$B$21,0)),0)</f>
        <v/>
      </c>
    </row>
    <row r="2237">
      <c r="A2237" s="120" t="n">
        <v>46253</v>
      </c>
      <c r="B2237" s="66" t="inlineStr">
        <is>
          <t>Wk 34</t>
        </is>
      </c>
      <c r="C2237" s="66" t="inlineStr">
        <is>
          <t>Wed</t>
        </is>
      </c>
      <c r="D2237" s="66" t="inlineStr">
        <is>
          <t>Programmatic</t>
        </is>
      </c>
      <c r="E2237" s="66" t="inlineStr">
        <is>
          <t>DV360</t>
        </is>
      </c>
      <c r="F2237" s="66" t="inlineStr">
        <is>
          <t>LEP_ZA_AUG26_PROG_TD_VIDEO_OLV</t>
        </is>
      </c>
      <c r="G2237" s="66" t="inlineStr">
        <is>
          <t>Online Video / CTV</t>
        </is>
      </c>
      <c r="H2237" s="66" t="inlineStr">
        <is>
          <t>Range</t>
        </is>
      </c>
      <c r="I2237" s="66" t="inlineStr">
        <is>
          <t>Range Offer</t>
        </is>
      </c>
      <c r="J2237" s="66" t="inlineStr">
        <is>
          <t>PROG_OLV_RMKT_VIEWERS</t>
        </is>
      </c>
      <c r="K2237" s="66" t="inlineStr">
        <is>
          <t>Retargeting</t>
        </is>
      </c>
      <c r="L2237" s="66" t="inlineStr">
        <is>
          <t>PROG_OLV_15s_PANTERA_v1</t>
        </is>
      </c>
      <c r="M2237" s="66" t="inlineStr">
        <is>
          <t>Video 16:9 Pre-roll</t>
        </is>
      </c>
      <c r="N2237" s="66" t="inlineStr">
        <is>
          <t>PANTERA. Zero deposit.</t>
        </is>
      </c>
      <c r="O2237" s="66" t="inlineStr">
        <is>
          <t>Auction - Fixed CPM</t>
        </is>
      </c>
      <c r="P2237" s="66" t="inlineStr">
        <is>
          <t>Completed Views + CPA</t>
        </is>
      </c>
      <c r="Q2237" s="66" t="inlineStr">
        <is>
          <t>https://www.lepas-sa.co.za/book-a-test-drive</t>
        </is>
      </c>
      <c r="R2237" s="121" t="n">
        <v>74.58</v>
      </c>
      <c r="S2237" s="122" t="n">
        <v>2067</v>
      </c>
      <c r="T2237" s="122" t="n">
        <v>820</v>
      </c>
      <c r="U2237" s="123">
        <f>IFERROR(S2237/T2237,"")</f>
        <v/>
      </c>
      <c r="V2237" s="122" t="n">
        <v>4</v>
      </c>
      <c r="W2237" s="122" t="n">
        <v>4</v>
      </c>
      <c r="X2237" s="124">
        <f>IFERROR(W2237/S2237,"")</f>
        <v/>
      </c>
      <c r="Y2237" s="121">
        <f>IFERROR(R2237/W2237,"")</f>
        <v/>
      </c>
      <c r="Z2237" s="121">
        <f>IFERROR(R2237/S2237*1000,"")</f>
        <v/>
      </c>
      <c r="AA2237" s="122" t="n">
        <v>3</v>
      </c>
      <c r="AB2237" s="54">
        <f>IFERROR(AA2237/W2237,"")</f>
        <v/>
      </c>
      <c r="AC2237" s="122" t="n">
        <v>629</v>
      </c>
      <c r="AD2237" s="122" t="n">
        <v>385</v>
      </c>
      <c r="AE2237" s="122" t="n">
        <v>291</v>
      </c>
      <c r="AF2237" s="122" t="n">
        <v>171</v>
      </c>
      <c r="AG2237" s="122" t="n">
        <v>119</v>
      </c>
      <c r="AH2237" s="122" t="n">
        <v>72</v>
      </c>
      <c r="AI2237" s="54">
        <f>IFERROR(AC2237/S2237,"")</f>
        <v/>
      </c>
      <c r="AJ2237" s="54">
        <f>IFERROR(AH2237/S2237,"")</f>
        <v/>
      </c>
      <c r="AK2237" s="122" t="n">
        <v>10</v>
      </c>
      <c r="AL2237" s="122" t="n">
        <v>0</v>
      </c>
      <c r="AM2237" s="124">
        <f>IFERROR(AL2237/AA2237,"")</f>
        <v/>
      </c>
      <c r="AN2237" s="125">
        <f>IFERROR(R2237/AL2237,"")</f>
        <v/>
      </c>
      <c r="AO2237" s="122" t="n">
        <v>0</v>
      </c>
      <c r="AP2237" s="54">
        <f>IFERROR(AO2237/AL2237,"")</f>
        <v/>
      </c>
      <c r="AQ2237" s="125">
        <f>IFERROR(R2237/AO2237,"")</f>
        <v/>
      </c>
      <c r="AR2237" s="122" t="n">
        <v>0</v>
      </c>
      <c r="AS2237" s="122" t="n">
        <v>0</v>
      </c>
      <c r="AT2237" s="122">
        <f>AL2237+AR2237</f>
        <v/>
      </c>
      <c r="AU2237" s="125">
        <f>IFERROR(AO2237*Assumptions!$C$26*Assumptions!$C$27*INDEX(Assumptions!$C$18:$C$21,MATCH(H2237,Assumptions!$B$18:$B$21,0)),0)</f>
        <v/>
      </c>
    </row>
    <row r="2238">
      <c r="A2238" s="120" t="n">
        <v>46254</v>
      </c>
      <c r="B2238" s="66" t="inlineStr">
        <is>
          <t>Wk 34</t>
        </is>
      </c>
      <c r="C2238" s="66" t="inlineStr">
        <is>
          <t>Thu</t>
        </is>
      </c>
      <c r="D2238" s="66" t="inlineStr">
        <is>
          <t>Programmatic</t>
        </is>
      </c>
      <c r="E2238" s="66" t="inlineStr">
        <is>
          <t>DV360</t>
        </is>
      </c>
      <c r="F2238" s="66" t="inlineStr">
        <is>
          <t>LEP_ZA_AUG26_PROG_TD_VIDEO_OLV</t>
        </is>
      </c>
      <c r="G2238" s="66" t="inlineStr">
        <is>
          <t>Online Video / CTV</t>
        </is>
      </c>
      <c r="H2238" s="66" t="inlineStr">
        <is>
          <t>Range</t>
        </is>
      </c>
      <c r="I2238" s="66" t="inlineStr">
        <is>
          <t>Range Offer</t>
        </is>
      </c>
      <c r="J2238" s="66" t="inlineStr">
        <is>
          <t>PROG_OLV_RMKT_VIEWERS</t>
        </is>
      </c>
      <c r="K2238" s="66" t="inlineStr">
        <is>
          <t>Retargeting</t>
        </is>
      </c>
      <c r="L2238" s="66" t="inlineStr">
        <is>
          <t>PROG_OLV_15s_PANTERA_v1</t>
        </is>
      </c>
      <c r="M2238" s="66" t="inlineStr">
        <is>
          <t>Video 16:9 Pre-roll</t>
        </is>
      </c>
      <c r="N2238" s="66" t="inlineStr">
        <is>
          <t>PANTERA. Zero deposit.</t>
        </is>
      </c>
      <c r="O2238" s="66" t="inlineStr">
        <is>
          <t>Auction - Fixed CPM</t>
        </is>
      </c>
      <c r="P2238" s="66" t="inlineStr">
        <is>
          <t>Completed Views + CPA</t>
        </is>
      </c>
      <c r="Q2238" s="66" t="inlineStr">
        <is>
          <t>https://www.lepas-sa.co.za/book-a-test-drive</t>
        </is>
      </c>
      <c r="R2238" s="121" t="n">
        <v>76.75</v>
      </c>
      <c r="S2238" s="122" t="n">
        <v>2266</v>
      </c>
      <c r="T2238" s="122" t="n">
        <v>1064</v>
      </c>
      <c r="U2238" s="123">
        <f>IFERROR(S2238/T2238,"")</f>
        <v/>
      </c>
      <c r="V2238" s="122" t="n">
        <v>7</v>
      </c>
      <c r="W2238" s="122" t="n">
        <v>6</v>
      </c>
      <c r="X2238" s="124">
        <f>IFERROR(W2238/S2238,"")</f>
        <v/>
      </c>
      <c r="Y2238" s="121">
        <f>IFERROR(R2238/W2238,"")</f>
        <v/>
      </c>
      <c r="Z2238" s="121">
        <f>IFERROR(R2238/S2238*1000,"")</f>
        <v/>
      </c>
      <c r="AA2238" s="122" t="n">
        <v>4</v>
      </c>
      <c r="AB2238" s="54">
        <f>IFERROR(AA2238/W2238,"")</f>
        <v/>
      </c>
      <c r="AC2238" s="122" t="n">
        <v>562</v>
      </c>
      <c r="AD2238" s="122" t="n">
        <v>311</v>
      </c>
      <c r="AE2238" s="122" t="n">
        <v>241</v>
      </c>
      <c r="AF2238" s="122" t="n">
        <v>168</v>
      </c>
      <c r="AG2238" s="122" t="n">
        <v>116</v>
      </c>
      <c r="AH2238" s="122" t="n">
        <v>65</v>
      </c>
      <c r="AI2238" s="54">
        <f>IFERROR(AC2238/S2238,"")</f>
        <v/>
      </c>
      <c r="AJ2238" s="54">
        <f>IFERROR(AH2238/S2238,"")</f>
        <v/>
      </c>
      <c r="AK2238" s="122" t="n">
        <v>3</v>
      </c>
      <c r="AL2238" s="122" t="n">
        <v>0</v>
      </c>
      <c r="AM2238" s="124">
        <f>IFERROR(AL2238/AA2238,"")</f>
        <v/>
      </c>
      <c r="AN2238" s="125">
        <f>IFERROR(R2238/AL2238,"")</f>
        <v/>
      </c>
      <c r="AO2238" s="122" t="n">
        <v>0</v>
      </c>
      <c r="AP2238" s="54">
        <f>IFERROR(AO2238/AL2238,"")</f>
        <v/>
      </c>
      <c r="AQ2238" s="125">
        <f>IFERROR(R2238/AO2238,"")</f>
        <v/>
      </c>
      <c r="AR2238" s="122" t="n">
        <v>0</v>
      </c>
      <c r="AS2238" s="122" t="n">
        <v>0</v>
      </c>
      <c r="AT2238" s="122">
        <f>AL2238+AR2238</f>
        <v/>
      </c>
      <c r="AU2238" s="125">
        <f>IFERROR(AO2238*Assumptions!$C$26*Assumptions!$C$27*INDEX(Assumptions!$C$18:$C$21,MATCH(H2238,Assumptions!$B$18:$B$21,0)),0)</f>
        <v/>
      </c>
    </row>
    <row r="2239">
      <c r="A2239" s="120" t="n">
        <v>46255</v>
      </c>
      <c r="B2239" s="66" t="inlineStr">
        <is>
          <t>Wk 34</t>
        </is>
      </c>
      <c r="C2239" s="66" t="inlineStr">
        <is>
          <t>Fri</t>
        </is>
      </c>
      <c r="D2239" s="66" t="inlineStr">
        <is>
          <t>Programmatic</t>
        </is>
      </c>
      <c r="E2239" s="66" t="inlineStr">
        <is>
          <t>DV360</t>
        </is>
      </c>
      <c r="F2239" s="66" t="inlineStr">
        <is>
          <t>LEP_ZA_AUG26_PROG_TD_VIDEO_OLV</t>
        </is>
      </c>
      <c r="G2239" s="66" t="inlineStr">
        <is>
          <t>Online Video / CTV</t>
        </is>
      </c>
      <c r="H2239" s="66" t="inlineStr">
        <is>
          <t>Range</t>
        </is>
      </c>
      <c r="I2239" s="66" t="inlineStr">
        <is>
          <t>Range Offer</t>
        </is>
      </c>
      <c r="J2239" s="66" t="inlineStr">
        <is>
          <t>PROG_OLV_RMKT_VIEWERS</t>
        </is>
      </c>
      <c r="K2239" s="66" t="inlineStr">
        <is>
          <t>Retargeting</t>
        </is>
      </c>
      <c r="L2239" s="66" t="inlineStr">
        <is>
          <t>PROG_OLV_15s_PANTERA_v1</t>
        </is>
      </c>
      <c r="M2239" s="66" t="inlineStr">
        <is>
          <t>Video 16:9 Pre-roll</t>
        </is>
      </c>
      <c r="N2239" s="66" t="inlineStr">
        <is>
          <t>PANTERA. Zero deposit.</t>
        </is>
      </c>
      <c r="O2239" s="66" t="inlineStr">
        <is>
          <t>Auction - Fixed CPM</t>
        </is>
      </c>
      <c r="P2239" s="66" t="inlineStr">
        <is>
          <t>Completed Views + CPA</t>
        </is>
      </c>
      <c r="Q2239" s="66" t="inlineStr">
        <is>
          <t>https://www.lepas-sa.co.za/book-a-test-drive</t>
        </is>
      </c>
      <c r="R2239" s="121" t="n">
        <v>77.98</v>
      </c>
      <c r="S2239" s="122" t="n">
        <v>1676</v>
      </c>
      <c r="T2239" s="122" t="n">
        <v>785</v>
      </c>
      <c r="U2239" s="123">
        <f>IFERROR(S2239/T2239,"")</f>
        <v/>
      </c>
      <c r="V2239" s="122" t="n">
        <v>6</v>
      </c>
      <c r="W2239" s="122" t="n">
        <v>5</v>
      </c>
      <c r="X2239" s="124">
        <f>IFERROR(W2239/S2239,"")</f>
        <v/>
      </c>
      <c r="Y2239" s="121">
        <f>IFERROR(R2239/W2239,"")</f>
        <v/>
      </c>
      <c r="Z2239" s="121">
        <f>IFERROR(R2239/S2239*1000,"")</f>
        <v/>
      </c>
      <c r="AA2239" s="122" t="n">
        <v>4</v>
      </c>
      <c r="AB2239" s="54">
        <f>IFERROR(AA2239/W2239,"")</f>
        <v/>
      </c>
      <c r="AC2239" s="122" t="n">
        <v>518</v>
      </c>
      <c r="AD2239" s="122" t="n">
        <v>272</v>
      </c>
      <c r="AE2239" s="122" t="n">
        <v>281</v>
      </c>
      <c r="AF2239" s="122" t="n">
        <v>146</v>
      </c>
      <c r="AG2239" s="122" t="n">
        <v>97</v>
      </c>
      <c r="AH2239" s="122" t="n">
        <v>56</v>
      </c>
      <c r="AI2239" s="54">
        <f>IFERROR(AC2239/S2239,"")</f>
        <v/>
      </c>
      <c r="AJ2239" s="54">
        <f>IFERROR(AH2239/S2239,"")</f>
        <v/>
      </c>
      <c r="AK2239" s="122" t="n">
        <v>9</v>
      </c>
      <c r="AL2239" s="122" t="n">
        <v>0</v>
      </c>
      <c r="AM2239" s="124">
        <f>IFERROR(AL2239/AA2239,"")</f>
        <v/>
      </c>
      <c r="AN2239" s="125">
        <f>IFERROR(R2239/AL2239,"")</f>
        <v/>
      </c>
      <c r="AO2239" s="122" t="n">
        <v>0</v>
      </c>
      <c r="AP2239" s="54">
        <f>IFERROR(AO2239/AL2239,"")</f>
        <v/>
      </c>
      <c r="AQ2239" s="125">
        <f>IFERROR(R2239/AO2239,"")</f>
        <v/>
      </c>
      <c r="AR2239" s="122" t="n">
        <v>0</v>
      </c>
      <c r="AS2239" s="122" t="n">
        <v>0</v>
      </c>
      <c r="AT2239" s="122">
        <f>AL2239+AR2239</f>
        <v/>
      </c>
      <c r="AU2239" s="125">
        <f>IFERROR(AO2239*Assumptions!$C$26*Assumptions!$C$27*INDEX(Assumptions!$C$18:$C$21,MATCH(H2239,Assumptions!$B$18:$B$21,0)),0)</f>
        <v/>
      </c>
    </row>
    <row r="2240">
      <c r="A2240" s="120" t="n">
        <v>46256</v>
      </c>
      <c r="B2240" s="66" t="inlineStr">
        <is>
          <t>Wk 34</t>
        </is>
      </c>
      <c r="C2240" s="66" t="inlineStr">
        <is>
          <t>Sat</t>
        </is>
      </c>
      <c r="D2240" s="66" t="inlineStr">
        <is>
          <t>Programmatic</t>
        </is>
      </c>
      <c r="E2240" s="66" t="inlineStr">
        <is>
          <t>DV360</t>
        </is>
      </c>
      <c r="F2240" s="66" t="inlineStr">
        <is>
          <t>LEP_ZA_AUG26_PROG_TD_VIDEO_OLV</t>
        </is>
      </c>
      <c r="G2240" s="66" t="inlineStr">
        <is>
          <t>Online Video / CTV</t>
        </is>
      </c>
      <c r="H2240" s="66" t="inlineStr">
        <is>
          <t>Range</t>
        </is>
      </c>
      <c r="I2240" s="66" t="inlineStr">
        <is>
          <t>Range Offer</t>
        </is>
      </c>
      <c r="J2240" s="66" t="inlineStr">
        <is>
          <t>PROG_OLV_RMKT_VIEWERS</t>
        </is>
      </c>
      <c r="K2240" s="66" t="inlineStr">
        <is>
          <t>Retargeting</t>
        </is>
      </c>
      <c r="L2240" s="66" t="inlineStr">
        <is>
          <t>PROG_OLV_15s_PANTERA_v1</t>
        </is>
      </c>
      <c r="M2240" s="66" t="inlineStr">
        <is>
          <t>Video 16:9 Pre-roll</t>
        </is>
      </c>
      <c r="N2240" s="66" t="inlineStr">
        <is>
          <t>PANTERA. Zero deposit.</t>
        </is>
      </c>
      <c r="O2240" s="66" t="inlineStr">
        <is>
          <t>Auction - Fixed CPM</t>
        </is>
      </c>
      <c r="P2240" s="66" t="inlineStr">
        <is>
          <t>Completed Views + CPA</t>
        </is>
      </c>
      <c r="Q2240" s="66" t="inlineStr">
        <is>
          <t>https://www.lepas-sa.co.za/book-a-test-drive</t>
        </is>
      </c>
      <c r="R2240" s="121" t="n">
        <v>83.64</v>
      </c>
      <c r="S2240" s="122" t="n">
        <v>2378</v>
      </c>
      <c r="T2240" s="122" t="n">
        <v>1066</v>
      </c>
      <c r="U2240" s="123">
        <f>IFERROR(S2240/T2240,"")</f>
        <v/>
      </c>
      <c r="V2240" s="122" t="n">
        <v>7</v>
      </c>
      <c r="W2240" s="122" t="n">
        <v>5</v>
      </c>
      <c r="X2240" s="124">
        <f>IFERROR(W2240/S2240,"")</f>
        <v/>
      </c>
      <c r="Y2240" s="121">
        <f>IFERROR(R2240/W2240,"")</f>
        <v/>
      </c>
      <c r="Z2240" s="121">
        <f>IFERROR(R2240/S2240*1000,"")</f>
        <v/>
      </c>
      <c r="AA2240" s="122" t="n">
        <v>3</v>
      </c>
      <c r="AB2240" s="54">
        <f>IFERROR(AA2240/W2240,"")</f>
        <v/>
      </c>
      <c r="AC2240" s="122" t="n">
        <v>805</v>
      </c>
      <c r="AD2240" s="122" t="n">
        <v>450</v>
      </c>
      <c r="AE2240" s="122" t="n">
        <v>380</v>
      </c>
      <c r="AF2240" s="122" t="n">
        <v>213</v>
      </c>
      <c r="AG2240" s="122" t="n">
        <v>153</v>
      </c>
      <c r="AH2240" s="122" t="n">
        <v>90</v>
      </c>
      <c r="AI2240" s="54">
        <f>IFERROR(AC2240/S2240,"")</f>
        <v/>
      </c>
      <c r="AJ2240" s="54">
        <f>IFERROR(AH2240/S2240,"")</f>
        <v/>
      </c>
      <c r="AK2240" s="122" t="n">
        <v>3</v>
      </c>
      <c r="AL2240" s="122" t="n">
        <v>0</v>
      </c>
      <c r="AM2240" s="124">
        <f>IFERROR(AL2240/AA2240,"")</f>
        <v/>
      </c>
      <c r="AN2240" s="125">
        <f>IFERROR(R2240/AL2240,"")</f>
        <v/>
      </c>
      <c r="AO2240" s="122" t="n">
        <v>0</v>
      </c>
      <c r="AP2240" s="54">
        <f>IFERROR(AO2240/AL2240,"")</f>
        <v/>
      </c>
      <c r="AQ2240" s="125">
        <f>IFERROR(R2240/AO2240,"")</f>
        <v/>
      </c>
      <c r="AR2240" s="122" t="n">
        <v>0</v>
      </c>
      <c r="AS2240" s="122" t="n">
        <v>0</v>
      </c>
      <c r="AT2240" s="122">
        <f>AL2240+AR2240</f>
        <v/>
      </c>
      <c r="AU2240" s="125">
        <f>IFERROR(AO2240*Assumptions!$C$26*Assumptions!$C$27*INDEX(Assumptions!$C$18:$C$21,MATCH(H2240,Assumptions!$B$18:$B$21,0)),0)</f>
        <v/>
      </c>
    </row>
    <row r="2241">
      <c r="A2241" s="120" t="n">
        <v>46257</v>
      </c>
      <c r="B2241" s="66" t="inlineStr">
        <is>
          <t>Wk 34</t>
        </is>
      </c>
      <c r="C2241" s="66" t="inlineStr">
        <is>
          <t>Sun</t>
        </is>
      </c>
      <c r="D2241" s="66" t="inlineStr">
        <is>
          <t>Programmatic</t>
        </is>
      </c>
      <c r="E2241" s="66" t="inlineStr">
        <is>
          <t>DV360</t>
        </is>
      </c>
      <c r="F2241" s="66" t="inlineStr">
        <is>
          <t>LEP_ZA_AUG26_PROG_TD_VIDEO_OLV</t>
        </is>
      </c>
      <c r="G2241" s="66" t="inlineStr">
        <is>
          <t>Online Video / CTV</t>
        </is>
      </c>
      <c r="H2241" s="66" t="inlineStr">
        <is>
          <t>Range</t>
        </is>
      </c>
      <c r="I2241" s="66" t="inlineStr">
        <is>
          <t>Range Offer</t>
        </is>
      </c>
      <c r="J2241" s="66" t="inlineStr">
        <is>
          <t>PROG_OLV_RMKT_VIEWERS</t>
        </is>
      </c>
      <c r="K2241" s="66" t="inlineStr">
        <is>
          <t>Retargeting</t>
        </is>
      </c>
      <c r="L2241" s="66" t="inlineStr">
        <is>
          <t>PROG_OLV_15s_PANTERA_v1</t>
        </is>
      </c>
      <c r="M2241" s="66" t="inlineStr">
        <is>
          <t>Video 16:9 Pre-roll</t>
        </is>
      </c>
      <c r="N2241" s="66" t="inlineStr">
        <is>
          <t>PANTERA. Zero deposit.</t>
        </is>
      </c>
      <c r="O2241" s="66" t="inlineStr">
        <is>
          <t>Auction - Fixed CPM</t>
        </is>
      </c>
      <c r="P2241" s="66" t="inlineStr">
        <is>
          <t>Completed Views + CPA</t>
        </is>
      </c>
      <c r="Q2241" s="66" t="inlineStr">
        <is>
          <t>https://www.lepas-sa.co.za/book-a-test-drive</t>
        </is>
      </c>
      <c r="R2241" s="121" t="n">
        <v>66.79000000000001</v>
      </c>
      <c r="S2241" s="122" t="n">
        <v>2478</v>
      </c>
      <c r="T2241" s="122" t="n">
        <v>1063</v>
      </c>
      <c r="U2241" s="123">
        <f>IFERROR(S2241/T2241,"")</f>
        <v/>
      </c>
      <c r="V2241" s="122" t="n">
        <v>9</v>
      </c>
      <c r="W2241" s="122" t="n">
        <v>7</v>
      </c>
      <c r="X2241" s="124">
        <f>IFERROR(W2241/S2241,"")</f>
        <v/>
      </c>
      <c r="Y2241" s="121">
        <f>IFERROR(R2241/W2241,"")</f>
        <v/>
      </c>
      <c r="Z2241" s="121">
        <f>IFERROR(R2241/S2241*1000,"")</f>
        <v/>
      </c>
      <c r="AA2241" s="122" t="n">
        <v>5</v>
      </c>
      <c r="AB2241" s="54">
        <f>IFERROR(AA2241/W2241,"")</f>
        <v/>
      </c>
      <c r="AC2241" s="122" t="n">
        <v>943</v>
      </c>
      <c r="AD2241" s="122" t="n">
        <v>588</v>
      </c>
      <c r="AE2241" s="122" t="n">
        <v>361</v>
      </c>
      <c r="AF2241" s="122" t="n">
        <v>198</v>
      </c>
      <c r="AG2241" s="122" t="n">
        <v>126</v>
      </c>
      <c r="AH2241" s="122" t="n">
        <v>78</v>
      </c>
      <c r="AI2241" s="54">
        <f>IFERROR(AC2241/S2241,"")</f>
        <v/>
      </c>
      <c r="AJ2241" s="54">
        <f>IFERROR(AH2241/S2241,"")</f>
        <v/>
      </c>
      <c r="AK2241" s="122" t="n">
        <v>11</v>
      </c>
      <c r="AL2241" s="122" t="n">
        <v>0</v>
      </c>
      <c r="AM2241" s="124">
        <f>IFERROR(AL2241/AA2241,"")</f>
        <v/>
      </c>
      <c r="AN2241" s="125">
        <f>IFERROR(R2241/AL2241,"")</f>
        <v/>
      </c>
      <c r="AO2241" s="122" t="n">
        <v>0</v>
      </c>
      <c r="AP2241" s="54">
        <f>IFERROR(AO2241/AL2241,"")</f>
        <v/>
      </c>
      <c r="AQ2241" s="125">
        <f>IFERROR(R2241/AO2241,"")</f>
        <v/>
      </c>
      <c r="AR2241" s="122" t="n">
        <v>0</v>
      </c>
      <c r="AS2241" s="122" t="n">
        <v>0</v>
      </c>
      <c r="AT2241" s="122">
        <f>AL2241+AR2241</f>
        <v/>
      </c>
      <c r="AU2241" s="125">
        <f>IFERROR(AO2241*Assumptions!$C$26*Assumptions!$C$27*INDEX(Assumptions!$C$18:$C$21,MATCH(H2241,Assumptions!$B$18:$B$21,0)),0)</f>
        <v/>
      </c>
    </row>
    <row r="2242">
      <c r="A2242" s="120" t="n">
        <v>46258</v>
      </c>
      <c r="B2242" s="66" t="inlineStr">
        <is>
          <t>Wk 35</t>
        </is>
      </c>
      <c r="C2242" s="66" t="inlineStr">
        <is>
          <t>Mon</t>
        </is>
      </c>
      <c r="D2242" s="66" t="inlineStr">
        <is>
          <t>Programmatic</t>
        </is>
      </c>
      <c r="E2242" s="66" t="inlineStr">
        <is>
          <t>DV360</t>
        </is>
      </c>
      <c r="F2242" s="66" t="inlineStr">
        <is>
          <t>LEP_ZA_AUG26_PROG_TD_VIDEO_OLV</t>
        </is>
      </c>
      <c r="G2242" s="66" t="inlineStr">
        <is>
          <t>Online Video / CTV</t>
        </is>
      </c>
      <c r="H2242" s="66" t="inlineStr">
        <is>
          <t>Range</t>
        </is>
      </c>
      <c r="I2242" s="66" t="inlineStr">
        <is>
          <t>Range Offer</t>
        </is>
      </c>
      <c r="J2242" s="66" t="inlineStr">
        <is>
          <t>PROG_OLV_RMKT_VIEWERS</t>
        </is>
      </c>
      <c r="K2242" s="66" t="inlineStr">
        <is>
          <t>Retargeting</t>
        </is>
      </c>
      <c r="L2242" s="66" t="inlineStr">
        <is>
          <t>PROG_OLV_15s_PANTERA_v1</t>
        </is>
      </c>
      <c r="M2242" s="66" t="inlineStr">
        <is>
          <t>Video 16:9 Pre-roll</t>
        </is>
      </c>
      <c r="N2242" s="66" t="inlineStr">
        <is>
          <t>PANTERA. Zero deposit.</t>
        </is>
      </c>
      <c r="O2242" s="66" t="inlineStr">
        <is>
          <t>Auction - Fixed CPM</t>
        </is>
      </c>
      <c r="P2242" s="66" t="inlineStr">
        <is>
          <t>Completed Views + CPA</t>
        </is>
      </c>
      <c r="Q2242" s="66" t="inlineStr">
        <is>
          <t>https://www.lepas-sa.co.za/book-a-test-drive</t>
        </is>
      </c>
      <c r="R2242" s="121" t="n">
        <v>76.55</v>
      </c>
      <c r="S2242" s="122" t="n">
        <v>2111</v>
      </c>
      <c r="T2242" s="122" t="n">
        <v>745</v>
      </c>
      <c r="U2242" s="123">
        <f>IFERROR(S2242/T2242,"")</f>
        <v/>
      </c>
      <c r="V2242" s="122" t="n">
        <v>7</v>
      </c>
      <c r="W2242" s="122" t="n">
        <v>6</v>
      </c>
      <c r="X2242" s="124">
        <f>IFERROR(W2242/S2242,"")</f>
        <v/>
      </c>
      <c r="Y2242" s="121">
        <f>IFERROR(R2242/W2242,"")</f>
        <v/>
      </c>
      <c r="Z2242" s="121">
        <f>IFERROR(R2242/S2242*1000,"")</f>
        <v/>
      </c>
      <c r="AA2242" s="122" t="n">
        <v>4</v>
      </c>
      <c r="AB2242" s="54">
        <f>IFERROR(AA2242/W2242,"")</f>
        <v/>
      </c>
      <c r="AC2242" s="122" t="n">
        <v>518</v>
      </c>
      <c r="AD2242" s="122" t="n">
        <v>293</v>
      </c>
      <c r="AE2242" s="122" t="n">
        <v>250</v>
      </c>
      <c r="AF2242" s="122" t="n">
        <v>162</v>
      </c>
      <c r="AG2242" s="122" t="n">
        <v>106</v>
      </c>
      <c r="AH2242" s="122" t="n">
        <v>65</v>
      </c>
      <c r="AI2242" s="54">
        <f>IFERROR(AC2242/S2242,"")</f>
        <v/>
      </c>
      <c r="AJ2242" s="54">
        <f>IFERROR(AH2242/S2242,"")</f>
        <v/>
      </c>
      <c r="AK2242" s="122" t="n">
        <v>5</v>
      </c>
      <c r="AL2242" s="122" t="n">
        <v>1</v>
      </c>
      <c r="AM2242" s="124">
        <f>IFERROR(AL2242/AA2242,"")</f>
        <v/>
      </c>
      <c r="AN2242" s="125">
        <f>IFERROR(R2242/AL2242,"")</f>
        <v/>
      </c>
      <c r="AO2242" s="122" t="n">
        <v>0</v>
      </c>
      <c r="AP2242" s="54">
        <f>IFERROR(AO2242/AL2242,"")</f>
        <v/>
      </c>
      <c r="AQ2242" s="125">
        <f>IFERROR(R2242/AO2242,"")</f>
        <v/>
      </c>
      <c r="AR2242" s="122" t="n">
        <v>2</v>
      </c>
      <c r="AS2242" s="122" t="n">
        <v>0</v>
      </c>
      <c r="AT2242" s="122">
        <f>AL2242+AR2242</f>
        <v/>
      </c>
      <c r="AU2242" s="125">
        <f>IFERROR(AO2242*Assumptions!$C$26*Assumptions!$C$27*INDEX(Assumptions!$C$18:$C$21,MATCH(H2242,Assumptions!$B$18:$B$21,0)),0)</f>
        <v/>
      </c>
    </row>
    <row r="2243">
      <c r="A2243" s="120" t="n">
        <v>46259</v>
      </c>
      <c r="B2243" s="66" t="inlineStr">
        <is>
          <t>Wk 35</t>
        </is>
      </c>
      <c r="C2243" s="66" t="inlineStr">
        <is>
          <t>Tue</t>
        </is>
      </c>
      <c r="D2243" s="66" t="inlineStr">
        <is>
          <t>Programmatic</t>
        </is>
      </c>
      <c r="E2243" s="66" t="inlineStr">
        <is>
          <t>DV360</t>
        </is>
      </c>
      <c r="F2243" s="66" t="inlineStr">
        <is>
          <t>LEP_ZA_AUG26_PROG_TD_VIDEO_OLV</t>
        </is>
      </c>
      <c r="G2243" s="66" t="inlineStr">
        <is>
          <t>Online Video / CTV</t>
        </is>
      </c>
      <c r="H2243" s="66" t="inlineStr">
        <is>
          <t>Range</t>
        </is>
      </c>
      <c r="I2243" s="66" t="inlineStr">
        <is>
          <t>Range Offer</t>
        </is>
      </c>
      <c r="J2243" s="66" t="inlineStr">
        <is>
          <t>PROG_OLV_RMKT_VIEWERS</t>
        </is>
      </c>
      <c r="K2243" s="66" t="inlineStr">
        <is>
          <t>Retargeting</t>
        </is>
      </c>
      <c r="L2243" s="66" t="inlineStr">
        <is>
          <t>PROG_OLV_15s_PANTERA_v1</t>
        </is>
      </c>
      <c r="M2243" s="66" t="inlineStr">
        <is>
          <t>Video 16:9 Pre-roll</t>
        </is>
      </c>
      <c r="N2243" s="66" t="inlineStr">
        <is>
          <t>PANTERA. Zero deposit.</t>
        </is>
      </c>
      <c r="O2243" s="66" t="inlineStr">
        <is>
          <t>Auction - Fixed CPM</t>
        </is>
      </c>
      <c r="P2243" s="66" t="inlineStr">
        <is>
          <t>Completed Views + CPA</t>
        </is>
      </c>
      <c r="Q2243" s="66" t="inlineStr">
        <is>
          <t>https://www.lepas-sa.co.za/book-a-test-drive</t>
        </is>
      </c>
      <c r="R2243" s="121" t="n">
        <v>72.54000000000001</v>
      </c>
      <c r="S2243" s="122" t="n">
        <v>2098</v>
      </c>
      <c r="T2243" s="122" t="n">
        <v>715</v>
      </c>
      <c r="U2243" s="123">
        <f>IFERROR(S2243/T2243,"")</f>
        <v/>
      </c>
      <c r="V2243" s="122" t="n">
        <v>8</v>
      </c>
      <c r="W2243" s="122" t="n">
        <v>6</v>
      </c>
      <c r="X2243" s="124">
        <f>IFERROR(W2243/S2243,"")</f>
        <v/>
      </c>
      <c r="Y2243" s="121">
        <f>IFERROR(R2243/W2243,"")</f>
        <v/>
      </c>
      <c r="Z2243" s="121">
        <f>IFERROR(R2243/S2243*1000,"")</f>
        <v/>
      </c>
      <c r="AA2243" s="122" t="n">
        <v>4</v>
      </c>
      <c r="AB2243" s="54">
        <f>IFERROR(AA2243/W2243,"")</f>
        <v/>
      </c>
      <c r="AC2243" s="122" t="n">
        <v>609</v>
      </c>
      <c r="AD2243" s="122" t="n">
        <v>292</v>
      </c>
      <c r="AE2243" s="122" t="n">
        <v>259</v>
      </c>
      <c r="AF2243" s="122" t="n">
        <v>149</v>
      </c>
      <c r="AG2243" s="122" t="n">
        <v>111</v>
      </c>
      <c r="AH2243" s="122" t="n">
        <v>66</v>
      </c>
      <c r="AI2243" s="54">
        <f>IFERROR(AC2243/S2243,"")</f>
        <v/>
      </c>
      <c r="AJ2243" s="54">
        <f>IFERROR(AH2243/S2243,"")</f>
        <v/>
      </c>
      <c r="AK2243" s="122" t="n">
        <v>11</v>
      </c>
      <c r="AL2243" s="122" t="n">
        <v>0</v>
      </c>
      <c r="AM2243" s="124">
        <f>IFERROR(AL2243/AA2243,"")</f>
        <v/>
      </c>
      <c r="AN2243" s="125">
        <f>IFERROR(R2243/AL2243,"")</f>
        <v/>
      </c>
      <c r="AO2243" s="122" t="n">
        <v>0</v>
      </c>
      <c r="AP2243" s="54">
        <f>IFERROR(AO2243/AL2243,"")</f>
        <v/>
      </c>
      <c r="AQ2243" s="125">
        <f>IFERROR(R2243/AO2243,"")</f>
        <v/>
      </c>
      <c r="AR2243" s="122" t="n">
        <v>0</v>
      </c>
      <c r="AS2243" s="122" t="n">
        <v>0</v>
      </c>
      <c r="AT2243" s="122">
        <f>AL2243+AR2243</f>
        <v/>
      </c>
      <c r="AU2243" s="125">
        <f>IFERROR(AO2243*Assumptions!$C$26*Assumptions!$C$27*INDEX(Assumptions!$C$18:$C$21,MATCH(H2243,Assumptions!$B$18:$B$21,0)),0)</f>
        <v/>
      </c>
    </row>
    <row r="2244">
      <c r="A2244" s="120" t="n">
        <v>46260</v>
      </c>
      <c r="B2244" s="66" t="inlineStr">
        <is>
          <t>Wk 35</t>
        </is>
      </c>
      <c r="C2244" s="66" t="inlineStr">
        <is>
          <t>Wed</t>
        </is>
      </c>
      <c r="D2244" s="66" t="inlineStr">
        <is>
          <t>Programmatic</t>
        </is>
      </c>
      <c r="E2244" s="66" t="inlineStr">
        <is>
          <t>DV360</t>
        </is>
      </c>
      <c r="F2244" s="66" t="inlineStr">
        <is>
          <t>LEP_ZA_AUG26_PROG_TD_VIDEO_OLV</t>
        </is>
      </c>
      <c r="G2244" s="66" t="inlineStr">
        <is>
          <t>Online Video / CTV</t>
        </is>
      </c>
      <c r="H2244" s="66" t="inlineStr">
        <is>
          <t>Range</t>
        </is>
      </c>
      <c r="I2244" s="66" t="inlineStr">
        <is>
          <t>Range Offer</t>
        </is>
      </c>
      <c r="J2244" s="66" t="inlineStr">
        <is>
          <t>PROG_OLV_RMKT_VIEWERS</t>
        </is>
      </c>
      <c r="K2244" s="66" t="inlineStr">
        <is>
          <t>Retargeting</t>
        </is>
      </c>
      <c r="L2244" s="66" t="inlineStr">
        <is>
          <t>PROG_OLV_15s_PANTERA_v1</t>
        </is>
      </c>
      <c r="M2244" s="66" t="inlineStr">
        <is>
          <t>Video 16:9 Pre-roll</t>
        </is>
      </c>
      <c r="N2244" s="66" t="inlineStr">
        <is>
          <t>PANTERA. Zero deposit.</t>
        </is>
      </c>
      <c r="O2244" s="66" t="inlineStr">
        <is>
          <t>Auction - Fixed CPM</t>
        </is>
      </c>
      <c r="P2244" s="66" t="inlineStr">
        <is>
          <t>Completed Views + CPA</t>
        </is>
      </c>
      <c r="Q2244" s="66" t="inlineStr">
        <is>
          <t>https://www.lepas-sa.co.za/book-a-test-drive</t>
        </is>
      </c>
      <c r="R2244" s="121" t="n">
        <v>88</v>
      </c>
      <c r="S2244" s="122" t="n">
        <v>2508</v>
      </c>
      <c r="T2244" s="122" t="n">
        <v>1171</v>
      </c>
      <c r="U2244" s="123">
        <f>IFERROR(S2244/T2244,"")</f>
        <v/>
      </c>
      <c r="V2244" s="122" t="n">
        <v>14</v>
      </c>
      <c r="W2244" s="122" t="n">
        <v>10</v>
      </c>
      <c r="X2244" s="124">
        <f>IFERROR(W2244/S2244,"")</f>
        <v/>
      </c>
      <c r="Y2244" s="121">
        <f>IFERROR(R2244/W2244,"")</f>
        <v/>
      </c>
      <c r="Z2244" s="121">
        <f>IFERROR(R2244/S2244*1000,"")</f>
        <v/>
      </c>
      <c r="AA2244" s="122" t="n">
        <v>6</v>
      </c>
      <c r="AB2244" s="54">
        <f>IFERROR(AA2244/W2244,"")</f>
        <v/>
      </c>
      <c r="AC2244" s="122" t="n">
        <v>631</v>
      </c>
      <c r="AD2244" s="122" t="n">
        <v>326</v>
      </c>
      <c r="AE2244" s="122" t="n">
        <v>259</v>
      </c>
      <c r="AF2244" s="122" t="n">
        <v>159</v>
      </c>
      <c r="AG2244" s="122" t="n">
        <v>116</v>
      </c>
      <c r="AH2244" s="122" t="n">
        <v>71</v>
      </c>
      <c r="AI2244" s="54">
        <f>IFERROR(AC2244/S2244,"")</f>
        <v/>
      </c>
      <c r="AJ2244" s="54">
        <f>IFERROR(AH2244/S2244,"")</f>
        <v/>
      </c>
      <c r="AK2244" s="122" t="n">
        <v>3</v>
      </c>
      <c r="AL2244" s="122" t="n">
        <v>0</v>
      </c>
      <c r="AM2244" s="124">
        <f>IFERROR(AL2244/AA2244,"")</f>
        <v/>
      </c>
      <c r="AN2244" s="125">
        <f>IFERROR(R2244/AL2244,"")</f>
        <v/>
      </c>
      <c r="AO2244" s="122" t="n">
        <v>0</v>
      </c>
      <c r="AP2244" s="54">
        <f>IFERROR(AO2244/AL2244,"")</f>
        <v/>
      </c>
      <c r="AQ2244" s="125">
        <f>IFERROR(R2244/AO2244,"")</f>
        <v/>
      </c>
      <c r="AR2244" s="122" t="n">
        <v>0</v>
      </c>
      <c r="AS2244" s="122" t="n">
        <v>0</v>
      </c>
      <c r="AT2244" s="122">
        <f>AL2244+AR2244</f>
        <v/>
      </c>
      <c r="AU2244" s="125">
        <f>IFERROR(AO2244*Assumptions!$C$26*Assumptions!$C$27*INDEX(Assumptions!$C$18:$C$21,MATCH(H2244,Assumptions!$B$18:$B$21,0)),0)</f>
        <v/>
      </c>
    </row>
    <row r="2245">
      <c r="A2245" s="120" t="n">
        <v>46261</v>
      </c>
      <c r="B2245" s="66" t="inlineStr">
        <is>
          <t>Wk 35</t>
        </is>
      </c>
      <c r="C2245" s="66" t="inlineStr">
        <is>
          <t>Thu</t>
        </is>
      </c>
      <c r="D2245" s="66" t="inlineStr">
        <is>
          <t>Programmatic</t>
        </is>
      </c>
      <c r="E2245" s="66" t="inlineStr">
        <is>
          <t>DV360</t>
        </is>
      </c>
      <c r="F2245" s="66" t="inlineStr">
        <is>
          <t>LEP_ZA_AUG26_PROG_TD_VIDEO_OLV</t>
        </is>
      </c>
      <c r="G2245" s="66" t="inlineStr">
        <is>
          <t>Online Video / CTV</t>
        </is>
      </c>
      <c r="H2245" s="66" t="inlineStr">
        <is>
          <t>Range</t>
        </is>
      </c>
      <c r="I2245" s="66" t="inlineStr">
        <is>
          <t>Range Offer</t>
        </is>
      </c>
      <c r="J2245" s="66" t="inlineStr">
        <is>
          <t>PROG_OLV_RMKT_VIEWERS</t>
        </is>
      </c>
      <c r="K2245" s="66" t="inlineStr">
        <is>
          <t>Retargeting</t>
        </is>
      </c>
      <c r="L2245" s="66" t="inlineStr">
        <is>
          <t>PROG_OLV_15s_PANTERA_v1</t>
        </is>
      </c>
      <c r="M2245" s="66" t="inlineStr">
        <is>
          <t>Video 16:9 Pre-roll</t>
        </is>
      </c>
      <c r="N2245" s="66" t="inlineStr">
        <is>
          <t>PANTERA. Zero deposit.</t>
        </is>
      </c>
      <c r="O2245" s="66" t="inlineStr">
        <is>
          <t>Auction - Fixed CPM</t>
        </is>
      </c>
      <c r="P2245" s="66" t="inlineStr">
        <is>
          <t>Completed Views + CPA</t>
        </is>
      </c>
      <c r="Q2245" s="66" t="inlineStr">
        <is>
          <t>https://www.lepas-sa.co.za/book-a-test-drive</t>
        </is>
      </c>
      <c r="R2245" s="121" t="n">
        <v>88.31</v>
      </c>
      <c r="S2245" s="122" t="n">
        <v>2173</v>
      </c>
      <c r="T2245" s="122" t="n">
        <v>911</v>
      </c>
      <c r="U2245" s="123">
        <f>IFERROR(S2245/T2245,"")</f>
        <v/>
      </c>
      <c r="V2245" s="122" t="n">
        <v>9</v>
      </c>
      <c r="W2245" s="122" t="n">
        <v>7</v>
      </c>
      <c r="X2245" s="124">
        <f>IFERROR(W2245/S2245,"")</f>
        <v/>
      </c>
      <c r="Y2245" s="121">
        <f>IFERROR(R2245/W2245,"")</f>
        <v/>
      </c>
      <c r="Z2245" s="121">
        <f>IFERROR(R2245/S2245*1000,"")</f>
        <v/>
      </c>
      <c r="AA2245" s="122" t="n">
        <v>5</v>
      </c>
      <c r="AB2245" s="54">
        <f>IFERROR(AA2245/W2245,"")</f>
        <v/>
      </c>
      <c r="AC2245" s="122" t="n">
        <v>852</v>
      </c>
      <c r="AD2245" s="122" t="n">
        <v>470</v>
      </c>
      <c r="AE2245" s="122" t="n">
        <v>400</v>
      </c>
      <c r="AF2245" s="122" t="n">
        <v>228</v>
      </c>
      <c r="AG2245" s="122" t="n">
        <v>156</v>
      </c>
      <c r="AH2245" s="122" t="n">
        <v>112</v>
      </c>
      <c r="AI2245" s="54">
        <f>IFERROR(AC2245/S2245,"")</f>
        <v/>
      </c>
      <c r="AJ2245" s="54">
        <f>IFERROR(AH2245/S2245,"")</f>
        <v/>
      </c>
      <c r="AK2245" s="122" t="n">
        <v>6</v>
      </c>
      <c r="AL2245" s="122" t="n">
        <v>1</v>
      </c>
      <c r="AM2245" s="124">
        <f>IFERROR(AL2245/AA2245,"")</f>
        <v/>
      </c>
      <c r="AN2245" s="125">
        <f>IFERROR(R2245/AL2245,"")</f>
        <v/>
      </c>
      <c r="AO2245" s="122" t="n">
        <v>0</v>
      </c>
      <c r="AP2245" s="54">
        <f>IFERROR(AO2245/AL2245,"")</f>
        <v/>
      </c>
      <c r="AQ2245" s="125">
        <f>IFERROR(R2245/AO2245,"")</f>
        <v/>
      </c>
      <c r="AR2245" s="122" t="n">
        <v>2</v>
      </c>
      <c r="AS2245" s="122" t="n">
        <v>1</v>
      </c>
      <c r="AT2245" s="122">
        <f>AL2245+AR2245</f>
        <v/>
      </c>
      <c r="AU2245" s="125">
        <f>IFERROR(AO2245*Assumptions!$C$26*Assumptions!$C$27*INDEX(Assumptions!$C$18:$C$21,MATCH(H2245,Assumptions!$B$18:$B$21,0)),0)</f>
        <v/>
      </c>
    </row>
    <row r="2246">
      <c r="A2246" s="120" t="n">
        <v>46262</v>
      </c>
      <c r="B2246" s="66" t="inlineStr">
        <is>
          <t>Wk 35</t>
        </is>
      </c>
      <c r="C2246" s="66" t="inlineStr">
        <is>
          <t>Fri</t>
        </is>
      </c>
      <c r="D2246" s="66" t="inlineStr">
        <is>
          <t>Programmatic</t>
        </is>
      </c>
      <c r="E2246" s="66" t="inlineStr">
        <is>
          <t>DV360</t>
        </is>
      </c>
      <c r="F2246" s="66" t="inlineStr">
        <is>
          <t>LEP_ZA_AUG26_PROG_TD_VIDEO_OLV</t>
        </is>
      </c>
      <c r="G2246" s="66" t="inlineStr">
        <is>
          <t>Online Video / CTV</t>
        </is>
      </c>
      <c r="H2246" s="66" t="inlineStr">
        <is>
          <t>Range</t>
        </is>
      </c>
      <c r="I2246" s="66" t="inlineStr">
        <is>
          <t>Range Offer</t>
        </is>
      </c>
      <c r="J2246" s="66" t="inlineStr">
        <is>
          <t>PROG_OLV_RMKT_VIEWERS</t>
        </is>
      </c>
      <c r="K2246" s="66" t="inlineStr">
        <is>
          <t>Retargeting</t>
        </is>
      </c>
      <c r="L2246" s="66" t="inlineStr">
        <is>
          <t>PROG_OLV_15s_PANTERA_v1</t>
        </is>
      </c>
      <c r="M2246" s="66" t="inlineStr">
        <is>
          <t>Video 16:9 Pre-roll</t>
        </is>
      </c>
      <c r="N2246" s="66" t="inlineStr">
        <is>
          <t>PANTERA. Zero deposit.</t>
        </is>
      </c>
      <c r="O2246" s="66" t="inlineStr">
        <is>
          <t>Auction - Fixed CPM</t>
        </is>
      </c>
      <c r="P2246" s="66" t="inlineStr">
        <is>
          <t>Completed Views + CPA</t>
        </is>
      </c>
      <c r="Q2246" s="66" t="inlineStr">
        <is>
          <t>https://www.lepas-sa.co.za/book-a-test-drive</t>
        </is>
      </c>
      <c r="R2246" s="121" t="n">
        <v>110.73</v>
      </c>
      <c r="S2246" s="122" t="n">
        <v>3749</v>
      </c>
      <c r="T2246" s="122" t="n">
        <v>2054</v>
      </c>
      <c r="U2246" s="123">
        <f>IFERROR(S2246/T2246,"")</f>
        <v/>
      </c>
      <c r="V2246" s="122" t="n">
        <v>21</v>
      </c>
      <c r="W2246" s="122" t="n">
        <v>16</v>
      </c>
      <c r="X2246" s="124">
        <f>IFERROR(W2246/S2246,"")</f>
        <v/>
      </c>
      <c r="Y2246" s="121">
        <f>IFERROR(R2246/W2246,"")</f>
        <v/>
      </c>
      <c r="Z2246" s="121">
        <f>IFERROR(R2246/S2246*1000,"")</f>
        <v/>
      </c>
      <c r="AA2246" s="122" t="n">
        <v>11</v>
      </c>
      <c r="AB2246" s="54">
        <f>IFERROR(AA2246/W2246,"")</f>
        <v/>
      </c>
      <c r="AC2246" s="122" t="n">
        <v>1433</v>
      </c>
      <c r="AD2246" s="122" t="n">
        <v>670</v>
      </c>
      <c r="AE2246" s="122" t="n">
        <v>586</v>
      </c>
      <c r="AF2246" s="122" t="n">
        <v>360</v>
      </c>
      <c r="AG2246" s="122" t="n">
        <v>273</v>
      </c>
      <c r="AH2246" s="122" t="n">
        <v>198</v>
      </c>
      <c r="AI2246" s="54">
        <f>IFERROR(AC2246/S2246,"")</f>
        <v/>
      </c>
      <c r="AJ2246" s="54">
        <f>IFERROR(AH2246/S2246,"")</f>
        <v/>
      </c>
      <c r="AK2246" s="122" t="n">
        <v>9</v>
      </c>
      <c r="AL2246" s="122" t="n">
        <v>0</v>
      </c>
      <c r="AM2246" s="124">
        <f>IFERROR(AL2246/AA2246,"")</f>
        <v/>
      </c>
      <c r="AN2246" s="125">
        <f>IFERROR(R2246/AL2246,"")</f>
        <v/>
      </c>
      <c r="AO2246" s="122" t="n">
        <v>0</v>
      </c>
      <c r="AP2246" s="54">
        <f>IFERROR(AO2246/AL2246,"")</f>
        <v/>
      </c>
      <c r="AQ2246" s="125">
        <f>IFERROR(R2246/AO2246,"")</f>
        <v/>
      </c>
      <c r="AR2246" s="122" t="n">
        <v>0</v>
      </c>
      <c r="AS2246" s="122" t="n">
        <v>0</v>
      </c>
      <c r="AT2246" s="122">
        <f>AL2246+AR2246</f>
        <v/>
      </c>
      <c r="AU2246" s="125">
        <f>IFERROR(AO2246*Assumptions!$C$26*Assumptions!$C$27*INDEX(Assumptions!$C$18:$C$21,MATCH(H2246,Assumptions!$B$18:$B$21,0)),0)</f>
        <v/>
      </c>
    </row>
    <row r="2247">
      <c r="A2247" s="120" t="n">
        <v>46263</v>
      </c>
      <c r="B2247" s="66" t="inlineStr">
        <is>
          <t>Wk 35</t>
        </is>
      </c>
      <c r="C2247" s="66" t="inlineStr">
        <is>
          <t>Sat</t>
        </is>
      </c>
      <c r="D2247" s="66" t="inlineStr">
        <is>
          <t>Programmatic</t>
        </is>
      </c>
      <c r="E2247" s="66" t="inlineStr">
        <is>
          <t>DV360</t>
        </is>
      </c>
      <c r="F2247" s="66" t="inlineStr">
        <is>
          <t>LEP_ZA_AUG26_PROG_TD_VIDEO_OLV</t>
        </is>
      </c>
      <c r="G2247" s="66" t="inlineStr">
        <is>
          <t>Online Video / CTV</t>
        </is>
      </c>
      <c r="H2247" s="66" t="inlineStr">
        <is>
          <t>Range</t>
        </is>
      </c>
      <c r="I2247" s="66" t="inlineStr">
        <is>
          <t>Range Offer</t>
        </is>
      </c>
      <c r="J2247" s="66" t="inlineStr">
        <is>
          <t>PROG_OLV_RMKT_VIEWERS</t>
        </is>
      </c>
      <c r="K2247" s="66" t="inlineStr">
        <is>
          <t>Retargeting</t>
        </is>
      </c>
      <c r="L2247" s="66" t="inlineStr">
        <is>
          <t>PROG_OLV_15s_PANTERA_v1</t>
        </is>
      </c>
      <c r="M2247" s="66" t="inlineStr">
        <is>
          <t>Video 16:9 Pre-roll</t>
        </is>
      </c>
      <c r="N2247" s="66" t="inlineStr">
        <is>
          <t>PANTERA. Zero deposit.</t>
        </is>
      </c>
      <c r="O2247" s="66" t="inlineStr">
        <is>
          <t>Auction - Fixed CPM</t>
        </is>
      </c>
      <c r="P2247" s="66" t="inlineStr">
        <is>
          <t>Completed Views + CPA</t>
        </is>
      </c>
      <c r="Q2247" s="66" t="inlineStr">
        <is>
          <t>https://www.lepas-sa.co.za/book-a-test-drive</t>
        </is>
      </c>
      <c r="R2247" s="121" t="n">
        <v>102.37</v>
      </c>
      <c r="S2247" s="122" t="n">
        <v>2805</v>
      </c>
      <c r="T2247" s="122" t="n">
        <v>1463</v>
      </c>
      <c r="U2247" s="123">
        <f>IFERROR(S2247/T2247,"")</f>
        <v/>
      </c>
      <c r="V2247" s="122" t="n">
        <v>7</v>
      </c>
      <c r="W2247" s="122" t="n">
        <v>5</v>
      </c>
      <c r="X2247" s="124">
        <f>IFERROR(W2247/S2247,"")</f>
        <v/>
      </c>
      <c r="Y2247" s="121">
        <f>IFERROR(R2247/W2247,"")</f>
        <v/>
      </c>
      <c r="Z2247" s="121">
        <f>IFERROR(R2247/S2247*1000,"")</f>
        <v/>
      </c>
      <c r="AA2247" s="122" t="n">
        <v>3</v>
      </c>
      <c r="AB2247" s="54">
        <f>IFERROR(AA2247/W2247,"")</f>
        <v/>
      </c>
      <c r="AC2247" s="122" t="n">
        <v>1100</v>
      </c>
      <c r="AD2247" s="122" t="n">
        <v>663</v>
      </c>
      <c r="AE2247" s="122" t="n">
        <v>472</v>
      </c>
      <c r="AF2247" s="122" t="n">
        <v>310</v>
      </c>
      <c r="AG2247" s="122" t="n">
        <v>210</v>
      </c>
      <c r="AH2247" s="122" t="n">
        <v>122</v>
      </c>
      <c r="AI2247" s="54">
        <f>IFERROR(AC2247/S2247,"")</f>
        <v/>
      </c>
      <c r="AJ2247" s="54">
        <f>IFERROR(AH2247/S2247,"")</f>
        <v/>
      </c>
      <c r="AK2247" s="122" t="n">
        <v>6</v>
      </c>
      <c r="AL2247" s="122" t="n">
        <v>0</v>
      </c>
      <c r="AM2247" s="124">
        <f>IFERROR(AL2247/AA2247,"")</f>
        <v/>
      </c>
      <c r="AN2247" s="125">
        <f>IFERROR(R2247/AL2247,"")</f>
        <v/>
      </c>
      <c r="AO2247" s="122" t="n">
        <v>0</v>
      </c>
      <c r="AP2247" s="54">
        <f>IFERROR(AO2247/AL2247,"")</f>
        <v/>
      </c>
      <c r="AQ2247" s="125">
        <f>IFERROR(R2247/AO2247,"")</f>
        <v/>
      </c>
      <c r="AR2247" s="122" t="n">
        <v>0</v>
      </c>
      <c r="AS2247" s="122" t="n">
        <v>0</v>
      </c>
      <c r="AT2247" s="122">
        <f>AL2247+AR2247</f>
        <v/>
      </c>
      <c r="AU2247" s="125">
        <f>IFERROR(AO2247*Assumptions!$C$26*Assumptions!$C$27*INDEX(Assumptions!$C$18:$C$21,MATCH(H2247,Assumptions!$B$18:$B$21,0)),0)</f>
        <v/>
      </c>
    </row>
    <row r="2248">
      <c r="A2248" s="120" t="n">
        <v>46264</v>
      </c>
      <c r="B2248" s="66" t="inlineStr">
        <is>
          <t>Wk 35</t>
        </is>
      </c>
      <c r="C2248" s="66" t="inlineStr">
        <is>
          <t>Sun</t>
        </is>
      </c>
      <c r="D2248" s="66" t="inlineStr">
        <is>
          <t>Programmatic</t>
        </is>
      </c>
      <c r="E2248" s="66" t="inlineStr">
        <is>
          <t>DV360</t>
        </is>
      </c>
      <c r="F2248" s="66" t="inlineStr">
        <is>
          <t>LEP_ZA_AUG26_PROG_TD_VIDEO_OLV</t>
        </is>
      </c>
      <c r="G2248" s="66" t="inlineStr">
        <is>
          <t>Online Video / CTV</t>
        </is>
      </c>
      <c r="H2248" s="66" t="inlineStr">
        <is>
          <t>Range</t>
        </is>
      </c>
      <c r="I2248" s="66" t="inlineStr">
        <is>
          <t>Range Offer</t>
        </is>
      </c>
      <c r="J2248" s="66" t="inlineStr">
        <is>
          <t>PROG_OLV_RMKT_VIEWERS</t>
        </is>
      </c>
      <c r="K2248" s="66" t="inlineStr">
        <is>
          <t>Retargeting</t>
        </is>
      </c>
      <c r="L2248" s="66" t="inlineStr">
        <is>
          <t>PROG_OLV_15s_PANTERA_v1</t>
        </is>
      </c>
      <c r="M2248" s="66" t="inlineStr">
        <is>
          <t>Video 16:9 Pre-roll</t>
        </is>
      </c>
      <c r="N2248" s="66" t="inlineStr">
        <is>
          <t>PANTERA. Zero deposit.</t>
        </is>
      </c>
      <c r="O2248" s="66" t="inlineStr">
        <is>
          <t>Auction - Fixed CPM</t>
        </is>
      </c>
      <c r="P2248" s="66" t="inlineStr">
        <is>
          <t>Completed Views + CPA</t>
        </is>
      </c>
      <c r="Q2248" s="66" t="inlineStr">
        <is>
          <t>https://www.lepas-sa.co.za/book-a-test-drive</t>
        </is>
      </c>
      <c r="R2248" s="121" t="n">
        <v>69.20999999999999</v>
      </c>
      <c r="S2248" s="122" t="n">
        <v>1968</v>
      </c>
      <c r="T2248" s="122" t="n">
        <v>659</v>
      </c>
      <c r="U2248" s="123">
        <f>IFERROR(S2248/T2248,"")</f>
        <v/>
      </c>
      <c r="V2248" s="122" t="n">
        <v>4</v>
      </c>
      <c r="W2248" s="122" t="n">
        <v>3</v>
      </c>
      <c r="X2248" s="124">
        <f>IFERROR(W2248/S2248,"")</f>
        <v/>
      </c>
      <c r="Y2248" s="121">
        <f>IFERROR(R2248/W2248,"")</f>
        <v/>
      </c>
      <c r="Z2248" s="121">
        <f>IFERROR(R2248/S2248*1000,"")</f>
        <v/>
      </c>
      <c r="AA2248" s="122" t="n">
        <v>1</v>
      </c>
      <c r="AB2248" s="54">
        <f>IFERROR(AA2248/W2248,"")</f>
        <v/>
      </c>
      <c r="AC2248" s="122" t="n">
        <v>572</v>
      </c>
      <c r="AD2248" s="122" t="n">
        <v>265</v>
      </c>
      <c r="AE2248" s="122" t="n">
        <v>248</v>
      </c>
      <c r="AF2248" s="122" t="n">
        <v>156</v>
      </c>
      <c r="AG2248" s="122" t="n">
        <v>107</v>
      </c>
      <c r="AH2248" s="122" t="n">
        <v>69</v>
      </c>
      <c r="AI2248" s="54">
        <f>IFERROR(AC2248/S2248,"")</f>
        <v/>
      </c>
      <c r="AJ2248" s="54">
        <f>IFERROR(AH2248/S2248,"")</f>
        <v/>
      </c>
      <c r="AK2248" s="122" t="n">
        <v>3</v>
      </c>
      <c r="AL2248" s="122" t="n">
        <v>0</v>
      </c>
      <c r="AM2248" s="124">
        <f>IFERROR(AL2248/AA2248,"")</f>
        <v/>
      </c>
      <c r="AN2248" s="125">
        <f>IFERROR(R2248/AL2248,"")</f>
        <v/>
      </c>
      <c r="AO2248" s="122" t="n">
        <v>0</v>
      </c>
      <c r="AP2248" s="54">
        <f>IFERROR(AO2248/AL2248,"")</f>
        <v/>
      </c>
      <c r="AQ2248" s="125">
        <f>IFERROR(R2248/AO2248,"")</f>
        <v/>
      </c>
      <c r="AR2248" s="122" t="n">
        <v>0</v>
      </c>
      <c r="AS2248" s="122" t="n">
        <v>0</v>
      </c>
      <c r="AT2248" s="122">
        <f>AL2248+AR2248</f>
        <v/>
      </c>
      <c r="AU2248" s="125">
        <f>IFERROR(AO2248*Assumptions!$C$26*Assumptions!$C$27*INDEX(Assumptions!$C$18:$C$21,MATCH(H2248,Assumptions!$B$18:$B$21,0)),0)</f>
        <v/>
      </c>
    </row>
    <row r="2249">
      <c r="A2249" s="120" t="n">
        <v>46265</v>
      </c>
      <c r="B2249" s="66" t="inlineStr">
        <is>
          <t>Wk 36</t>
        </is>
      </c>
      <c r="C2249" s="66" t="inlineStr">
        <is>
          <t>Mon</t>
        </is>
      </c>
      <c r="D2249" s="66" t="inlineStr">
        <is>
          <t>Programmatic</t>
        </is>
      </c>
      <c r="E2249" s="66" t="inlineStr">
        <is>
          <t>DV360</t>
        </is>
      </c>
      <c r="F2249" s="66" t="inlineStr">
        <is>
          <t>LEP_ZA_AUG26_PROG_TD_VIDEO_OLV</t>
        </is>
      </c>
      <c r="G2249" s="66" t="inlineStr">
        <is>
          <t>Online Video / CTV</t>
        </is>
      </c>
      <c r="H2249" s="66" t="inlineStr">
        <is>
          <t>Range</t>
        </is>
      </c>
      <c r="I2249" s="66" t="inlineStr">
        <is>
          <t>Range Offer</t>
        </is>
      </c>
      <c r="J2249" s="66" t="inlineStr">
        <is>
          <t>PROG_OLV_RMKT_VIEWERS</t>
        </is>
      </c>
      <c r="K2249" s="66" t="inlineStr">
        <is>
          <t>Retargeting</t>
        </is>
      </c>
      <c r="L2249" s="66" t="inlineStr">
        <is>
          <t>PROG_OLV_15s_PANTERA_v1</t>
        </is>
      </c>
      <c r="M2249" s="66" t="inlineStr">
        <is>
          <t>Video 16:9 Pre-roll</t>
        </is>
      </c>
      <c r="N2249" s="66" t="inlineStr">
        <is>
          <t>PANTERA. Zero deposit.</t>
        </is>
      </c>
      <c r="O2249" s="66" t="inlineStr">
        <is>
          <t>Auction - Fixed CPM</t>
        </is>
      </c>
      <c r="P2249" s="66" t="inlineStr">
        <is>
          <t>Completed Views + CPA</t>
        </is>
      </c>
      <c r="Q2249" s="66" t="inlineStr">
        <is>
          <t>https://www.lepas-sa.co.za/book-a-test-drive</t>
        </is>
      </c>
      <c r="R2249" s="121" t="n">
        <v>80.65000000000001</v>
      </c>
      <c r="S2249" s="122" t="n">
        <v>2477</v>
      </c>
      <c r="T2249" s="122" t="n">
        <v>999</v>
      </c>
      <c r="U2249" s="123">
        <f>IFERROR(S2249/T2249,"")</f>
        <v/>
      </c>
      <c r="V2249" s="122" t="n">
        <v>10</v>
      </c>
      <c r="W2249" s="122" t="n">
        <v>7</v>
      </c>
      <c r="X2249" s="124">
        <f>IFERROR(W2249/S2249,"")</f>
        <v/>
      </c>
      <c r="Y2249" s="121">
        <f>IFERROR(R2249/W2249,"")</f>
        <v/>
      </c>
      <c r="Z2249" s="121">
        <f>IFERROR(R2249/S2249*1000,"")</f>
        <v/>
      </c>
      <c r="AA2249" s="122" t="n">
        <v>5</v>
      </c>
      <c r="AB2249" s="54">
        <f>IFERROR(AA2249/W2249,"")</f>
        <v/>
      </c>
      <c r="AC2249" s="122" t="n">
        <v>900</v>
      </c>
      <c r="AD2249" s="122" t="n">
        <v>539</v>
      </c>
      <c r="AE2249" s="122" t="n">
        <v>408</v>
      </c>
      <c r="AF2249" s="122" t="n">
        <v>267</v>
      </c>
      <c r="AG2249" s="122" t="n">
        <v>180</v>
      </c>
      <c r="AH2249" s="122" t="n">
        <v>111</v>
      </c>
      <c r="AI2249" s="54">
        <f>IFERROR(AC2249/S2249,"")</f>
        <v/>
      </c>
      <c r="AJ2249" s="54">
        <f>IFERROR(AH2249/S2249,"")</f>
        <v/>
      </c>
      <c r="AK2249" s="122" t="n">
        <v>7</v>
      </c>
      <c r="AL2249" s="122" t="n">
        <v>0</v>
      </c>
      <c r="AM2249" s="124">
        <f>IFERROR(AL2249/AA2249,"")</f>
        <v/>
      </c>
      <c r="AN2249" s="125">
        <f>IFERROR(R2249/AL2249,"")</f>
        <v/>
      </c>
      <c r="AO2249" s="122" t="n">
        <v>0</v>
      </c>
      <c r="AP2249" s="54">
        <f>IFERROR(AO2249/AL2249,"")</f>
        <v/>
      </c>
      <c r="AQ2249" s="125">
        <f>IFERROR(R2249/AO2249,"")</f>
        <v/>
      </c>
      <c r="AR2249" s="122" t="n">
        <v>0</v>
      </c>
      <c r="AS2249" s="122" t="n">
        <v>0</v>
      </c>
      <c r="AT2249" s="122">
        <f>AL2249+AR2249</f>
        <v/>
      </c>
      <c r="AU2249" s="125">
        <f>IFERROR(AO2249*Assumptions!$C$26*Assumptions!$C$27*INDEX(Assumptions!$C$18:$C$21,MATCH(H2249,Assumptions!$B$18:$B$21,0)),0)</f>
        <v/>
      </c>
    </row>
    <row r="2250">
      <c r="A2250" s="120" t="n">
        <v>46235</v>
      </c>
      <c r="B2250" s="66" t="inlineStr">
        <is>
          <t>Wk 31</t>
        </is>
      </c>
      <c r="C2250" s="66" t="inlineStr">
        <is>
          <t>Sat</t>
        </is>
      </c>
      <c r="D2250" s="66" t="inlineStr">
        <is>
          <t>Programmatic</t>
        </is>
      </c>
      <c r="E2250" s="66" t="inlineStr">
        <is>
          <t>DV360</t>
        </is>
      </c>
      <c r="F2250" s="66" t="inlineStr">
        <is>
          <t>LEP_ZA_AUG26_PROG_TD_VIDEO_OLV</t>
        </is>
      </c>
      <c r="G2250" s="66" t="inlineStr">
        <is>
          <t>Online Video / CTV</t>
        </is>
      </c>
      <c r="H2250" s="66" t="inlineStr">
        <is>
          <t>Range</t>
        </is>
      </c>
      <c r="I2250" s="66" t="inlineStr">
        <is>
          <t>Range Offer</t>
        </is>
      </c>
      <c r="J2250" s="66" t="inlineStr">
        <is>
          <t>PROG_OLV_RMKT_VIEWERS</t>
        </is>
      </c>
      <c r="K2250" s="66" t="inlineStr">
        <is>
          <t>Retargeting</t>
        </is>
      </c>
      <c r="L2250" s="66" t="inlineStr">
        <is>
          <t>PROG_OLV_10s_BookNow_v1</t>
        </is>
      </c>
      <c r="M2250" s="66" t="inlineStr">
        <is>
          <t>Video 16:9 Bumper</t>
        </is>
      </c>
      <c r="N2250" s="66" t="inlineStr">
        <is>
          <t>Book your test drive</t>
        </is>
      </c>
      <c r="O2250" s="66" t="inlineStr">
        <is>
          <t>Auction - Fixed CPM</t>
        </is>
      </c>
      <c r="P2250" s="66" t="inlineStr">
        <is>
          <t>Completed Views + CPA</t>
        </is>
      </c>
      <c r="Q2250" s="66" t="inlineStr">
        <is>
          <t>https://www.lepas-sa.co.za/book-a-test-drive</t>
        </is>
      </c>
      <c r="R2250" s="121" t="n">
        <v>71.48999999999999</v>
      </c>
      <c r="S2250" s="122" t="n">
        <v>1565</v>
      </c>
      <c r="T2250" s="122" t="n">
        <v>800</v>
      </c>
      <c r="U2250" s="123">
        <f>IFERROR(S2250/T2250,"")</f>
        <v/>
      </c>
      <c r="V2250" s="122" t="n">
        <v>13</v>
      </c>
      <c r="W2250" s="122" t="n">
        <v>10</v>
      </c>
      <c r="X2250" s="124">
        <f>IFERROR(W2250/S2250,"")</f>
        <v/>
      </c>
      <c r="Y2250" s="121">
        <f>IFERROR(R2250/W2250,"")</f>
        <v/>
      </c>
      <c r="Z2250" s="121">
        <f>IFERROR(R2250/S2250*1000,"")</f>
        <v/>
      </c>
      <c r="AA2250" s="122" t="n">
        <v>6</v>
      </c>
      <c r="AB2250" s="54">
        <f>IFERROR(AA2250/W2250,"")</f>
        <v/>
      </c>
      <c r="AC2250" s="122" t="n">
        <v>537</v>
      </c>
      <c r="AD2250" s="122" t="n">
        <v>323</v>
      </c>
      <c r="AE2250" s="122" t="n">
        <v>205</v>
      </c>
      <c r="AF2250" s="122" t="n">
        <v>131</v>
      </c>
      <c r="AG2250" s="122" t="n">
        <v>83</v>
      </c>
      <c r="AH2250" s="122" t="n">
        <v>55</v>
      </c>
      <c r="AI2250" s="54">
        <f>IFERROR(AC2250/S2250,"")</f>
        <v/>
      </c>
      <c r="AJ2250" s="54">
        <f>IFERROR(AH2250/S2250,"")</f>
        <v/>
      </c>
      <c r="AK2250" s="122" t="n">
        <v>9</v>
      </c>
      <c r="AL2250" s="122" t="n">
        <v>0</v>
      </c>
      <c r="AM2250" s="124">
        <f>IFERROR(AL2250/AA2250,"")</f>
        <v/>
      </c>
      <c r="AN2250" s="125">
        <f>IFERROR(R2250/AL2250,"")</f>
        <v/>
      </c>
      <c r="AO2250" s="122" t="n">
        <v>0</v>
      </c>
      <c r="AP2250" s="54">
        <f>IFERROR(AO2250/AL2250,"")</f>
        <v/>
      </c>
      <c r="AQ2250" s="125">
        <f>IFERROR(R2250/AO2250,"")</f>
        <v/>
      </c>
      <c r="AR2250" s="122" t="n">
        <v>0</v>
      </c>
      <c r="AS2250" s="122" t="n">
        <v>0</v>
      </c>
      <c r="AT2250" s="122">
        <f>AL2250+AR2250</f>
        <v/>
      </c>
      <c r="AU2250" s="125">
        <f>IFERROR(AO2250*Assumptions!$C$26*Assumptions!$C$27*INDEX(Assumptions!$C$18:$C$21,MATCH(H2250,Assumptions!$B$18:$B$21,0)),0)</f>
        <v/>
      </c>
    </row>
    <row r="2251">
      <c r="A2251" s="120" t="n">
        <v>46236</v>
      </c>
      <c r="B2251" s="66" t="inlineStr">
        <is>
          <t>Wk 31</t>
        </is>
      </c>
      <c r="C2251" s="66" t="inlineStr">
        <is>
          <t>Sun</t>
        </is>
      </c>
      <c r="D2251" s="66" t="inlineStr">
        <is>
          <t>Programmatic</t>
        </is>
      </c>
      <c r="E2251" s="66" t="inlineStr">
        <is>
          <t>DV360</t>
        </is>
      </c>
      <c r="F2251" s="66" t="inlineStr">
        <is>
          <t>LEP_ZA_AUG26_PROG_TD_VIDEO_OLV</t>
        </is>
      </c>
      <c r="G2251" s="66" t="inlineStr">
        <is>
          <t>Online Video / CTV</t>
        </is>
      </c>
      <c r="H2251" s="66" t="inlineStr">
        <is>
          <t>Range</t>
        </is>
      </c>
      <c r="I2251" s="66" t="inlineStr">
        <is>
          <t>Range Offer</t>
        </is>
      </c>
      <c r="J2251" s="66" t="inlineStr">
        <is>
          <t>PROG_OLV_RMKT_VIEWERS</t>
        </is>
      </c>
      <c r="K2251" s="66" t="inlineStr">
        <is>
          <t>Retargeting</t>
        </is>
      </c>
      <c r="L2251" s="66" t="inlineStr">
        <is>
          <t>PROG_OLV_10s_BookNow_v1</t>
        </is>
      </c>
      <c r="M2251" s="66" t="inlineStr">
        <is>
          <t>Video 16:9 Bumper</t>
        </is>
      </c>
      <c r="N2251" s="66" t="inlineStr">
        <is>
          <t>Book your test drive</t>
        </is>
      </c>
      <c r="O2251" s="66" t="inlineStr">
        <is>
          <t>Auction - Fixed CPM</t>
        </is>
      </c>
      <c r="P2251" s="66" t="inlineStr">
        <is>
          <t>Completed Views + CPA</t>
        </is>
      </c>
      <c r="Q2251" s="66" t="inlineStr">
        <is>
          <t>https://www.lepas-sa.co.za/book-a-test-drive</t>
        </is>
      </c>
      <c r="R2251" s="121" t="n">
        <v>52.45</v>
      </c>
      <c r="S2251" s="122" t="n">
        <v>2274</v>
      </c>
      <c r="T2251" s="122" t="n">
        <v>1757</v>
      </c>
      <c r="U2251" s="123">
        <f>IFERROR(S2251/T2251,"")</f>
        <v/>
      </c>
      <c r="V2251" s="122" t="n">
        <v>15</v>
      </c>
      <c r="W2251" s="122" t="n">
        <v>13</v>
      </c>
      <c r="X2251" s="124">
        <f>IFERROR(W2251/S2251,"")</f>
        <v/>
      </c>
      <c r="Y2251" s="121">
        <f>IFERROR(R2251/W2251,"")</f>
        <v/>
      </c>
      <c r="Z2251" s="121">
        <f>IFERROR(R2251/S2251*1000,"")</f>
        <v/>
      </c>
      <c r="AA2251" s="122" t="n">
        <v>8</v>
      </c>
      <c r="AB2251" s="54">
        <f>IFERROR(AA2251/W2251,"")</f>
        <v/>
      </c>
      <c r="AC2251" s="122" t="n">
        <v>810</v>
      </c>
      <c r="AD2251" s="122" t="n">
        <v>428</v>
      </c>
      <c r="AE2251" s="122" t="n">
        <v>333</v>
      </c>
      <c r="AF2251" s="122" t="n">
        <v>178</v>
      </c>
      <c r="AG2251" s="122" t="n">
        <v>119</v>
      </c>
      <c r="AH2251" s="122" t="n">
        <v>75</v>
      </c>
      <c r="AI2251" s="54">
        <f>IFERROR(AC2251/S2251,"")</f>
        <v/>
      </c>
      <c r="AJ2251" s="54">
        <f>IFERROR(AH2251/S2251,"")</f>
        <v/>
      </c>
      <c r="AK2251" s="122" t="n">
        <v>4</v>
      </c>
      <c r="AL2251" s="122" t="n">
        <v>1</v>
      </c>
      <c r="AM2251" s="124">
        <f>IFERROR(AL2251/AA2251,"")</f>
        <v/>
      </c>
      <c r="AN2251" s="125">
        <f>IFERROR(R2251/AL2251,"")</f>
        <v/>
      </c>
      <c r="AO2251" s="122" t="n">
        <v>0</v>
      </c>
      <c r="AP2251" s="54">
        <f>IFERROR(AO2251/AL2251,"")</f>
        <v/>
      </c>
      <c r="AQ2251" s="125">
        <f>IFERROR(R2251/AO2251,"")</f>
        <v/>
      </c>
      <c r="AR2251" s="122" t="n">
        <v>1</v>
      </c>
      <c r="AS2251" s="122" t="n">
        <v>1</v>
      </c>
      <c r="AT2251" s="122">
        <f>AL2251+AR2251</f>
        <v/>
      </c>
      <c r="AU2251" s="125">
        <f>IFERROR(AO2251*Assumptions!$C$26*Assumptions!$C$27*INDEX(Assumptions!$C$18:$C$21,MATCH(H2251,Assumptions!$B$18:$B$21,0)),0)</f>
        <v/>
      </c>
    </row>
    <row r="2252">
      <c r="A2252" s="120" t="n">
        <v>46237</v>
      </c>
      <c r="B2252" s="66" t="inlineStr">
        <is>
          <t>Wk 32</t>
        </is>
      </c>
      <c r="C2252" s="66" t="inlineStr">
        <is>
          <t>Mon</t>
        </is>
      </c>
      <c r="D2252" s="66" t="inlineStr">
        <is>
          <t>Programmatic</t>
        </is>
      </c>
      <c r="E2252" s="66" t="inlineStr">
        <is>
          <t>DV360</t>
        </is>
      </c>
      <c r="F2252" s="66" t="inlineStr">
        <is>
          <t>LEP_ZA_AUG26_PROG_TD_VIDEO_OLV</t>
        </is>
      </c>
      <c r="G2252" s="66" t="inlineStr">
        <is>
          <t>Online Video / CTV</t>
        </is>
      </c>
      <c r="H2252" s="66" t="inlineStr">
        <is>
          <t>Range</t>
        </is>
      </c>
      <c r="I2252" s="66" t="inlineStr">
        <is>
          <t>Range Offer</t>
        </is>
      </c>
      <c r="J2252" s="66" t="inlineStr">
        <is>
          <t>PROG_OLV_RMKT_VIEWERS</t>
        </is>
      </c>
      <c r="K2252" s="66" t="inlineStr">
        <is>
          <t>Retargeting</t>
        </is>
      </c>
      <c r="L2252" s="66" t="inlineStr">
        <is>
          <t>PROG_OLV_10s_BookNow_v1</t>
        </is>
      </c>
      <c r="M2252" s="66" t="inlineStr">
        <is>
          <t>Video 16:9 Bumper</t>
        </is>
      </c>
      <c r="N2252" s="66" t="inlineStr">
        <is>
          <t>Book your test drive</t>
        </is>
      </c>
      <c r="O2252" s="66" t="inlineStr">
        <is>
          <t>Auction - Fixed CPM</t>
        </is>
      </c>
      <c r="P2252" s="66" t="inlineStr">
        <is>
          <t>Completed Views + CPA</t>
        </is>
      </c>
      <c r="Q2252" s="66" t="inlineStr">
        <is>
          <t>https://www.lepas-sa.co.za/book-a-test-drive</t>
        </is>
      </c>
      <c r="R2252" s="121" t="n">
        <v>57.77</v>
      </c>
      <c r="S2252" s="122" t="n">
        <v>1288</v>
      </c>
      <c r="T2252" s="122" t="n">
        <v>882</v>
      </c>
      <c r="U2252" s="123">
        <f>IFERROR(S2252/T2252,"")</f>
        <v/>
      </c>
      <c r="V2252" s="122" t="n">
        <v>8</v>
      </c>
      <c r="W2252" s="122" t="n">
        <v>6</v>
      </c>
      <c r="X2252" s="124">
        <f>IFERROR(W2252/S2252,"")</f>
        <v/>
      </c>
      <c r="Y2252" s="121">
        <f>IFERROR(R2252/W2252,"")</f>
        <v/>
      </c>
      <c r="Z2252" s="121">
        <f>IFERROR(R2252/S2252*1000,"")</f>
        <v/>
      </c>
      <c r="AA2252" s="122" t="n">
        <v>4</v>
      </c>
      <c r="AB2252" s="54">
        <f>IFERROR(AA2252/W2252,"")</f>
        <v/>
      </c>
      <c r="AC2252" s="122" t="n">
        <v>454</v>
      </c>
      <c r="AD2252" s="122" t="n">
        <v>270</v>
      </c>
      <c r="AE2252" s="122" t="n">
        <v>209</v>
      </c>
      <c r="AF2252" s="122" t="n">
        <v>129</v>
      </c>
      <c r="AG2252" s="122" t="n">
        <v>92</v>
      </c>
      <c r="AH2252" s="122" t="n">
        <v>66</v>
      </c>
      <c r="AI2252" s="54">
        <f>IFERROR(AC2252/S2252,"")</f>
        <v/>
      </c>
      <c r="AJ2252" s="54">
        <f>IFERROR(AH2252/S2252,"")</f>
        <v/>
      </c>
      <c r="AK2252" s="122" t="n">
        <v>3</v>
      </c>
      <c r="AL2252" s="122" t="n">
        <v>0</v>
      </c>
      <c r="AM2252" s="124">
        <f>IFERROR(AL2252/AA2252,"")</f>
        <v/>
      </c>
      <c r="AN2252" s="125">
        <f>IFERROR(R2252/AL2252,"")</f>
        <v/>
      </c>
      <c r="AO2252" s="122" t="n">
        <v>0</v>
      </c>
      <c r="AP2252" s="54">
        <f>IFERROR(AO2252/AL2252,"")</f>
        <v/>
      </c>
      <c r="AQ2252" s="125">
        <f>IFERROR(R2252/AO2252,"")</f>
        <v/>
      </c>
      <c r="AR2252" s="122" t="n">
        <v>0</v>
      </c>
      <c r="AS2252" s="122" t="n">
        <v>0</v>
      </c>
      <c r="AT2252" s="122">
        <f>AL2252+AR2252</f>
        <v/>
      </c>
      <c r="AU2252" s="125">
        <f>IFERROR(AO2252*Assumptions!$C$26*Assumptions!$C$27*INDEX(Assumptions!$C$18:$C$21,MATCH(H2252,Assumptions!$B$18:$B$21,0)),0)</f>
        <v/>
      </c>
    </row>
    <row r="2253">
      <c r="A2253" s="120" t="n">
        <v>46238</v>
      </c>
      <c r="B2253" s="66" t="inlineStr">
        <is>
          <t>Wk 32</t>
        </is>
      </c>
      <c r="C2253" s="66" t="inlineStr">
        <is>
          <t>Tue</t>
        </is>
      </c>
      <c r="D2253" s="66" t="inlineStr">
        <is>
          <t>Programmatic</t>
        </is>
      </c>
      <c r="E2253" s="66" t="inlineStr">
        <is>
          <t>DV360</t>
        </is>
      </c>
      <c r="F2253" s="66" t="inlineStr">
        <is>
          <t>LEP_ZA_AUG26_PROG_TD_VIDEO_OLV</t>
        </is>
      </c>
      <c r="G2253" s="66" t="inlineStr">
        <is>
          <t>Online Video / CTV</t>
        </is>
      </c>
      <c r="H2253" s="66" t="inlineStr">
        <is>
          <t>Range</t>
        </is>
      </c>
      <c r="I2253" s="66" t="inlineStr">
        <is>
          <t>Range Offer</t>
        </is>
      </c>
      <c r="J2253" s="66" t="inlineStr">
        <is>
          <t>PROG_OLV_RMKT_VIEWERS</t>
        </is>
      </c>
      <c r="K2253" s="66" t="inlineStr">
        <is>
          <t>Retargeting</t>
        </is>
      </c>
      <c r="L2253" s="66" t="inlineStr">
        <is>
          <t>PROG_OLV_10s_BookNow_v1</t>
        </is>
      </c>
      <c r="M2253" s="66" t="inlineStr">
        <is>
          <t>Video 16:9 Bumper</t>
        </is>
      </c>
      <c r="N2253" s="66" t="inlineStr">
        <is>
          <t>Book your test drive</t>
        </is>
      </c>
      <c r="O2253" s="66" t="inlineStr">
        <is>
          <t>Auction - Fixed CPM</t>
        </is>
      </c>
      <c r="P2253" s="66" t="inlineStr">
        <is>
          <t>Completed Views + CPA</t>
        </is>
      </c>
      <c r="Q2253" s="66" t="inlineStr">
        <is>
          <t>https://www.lepas-sa.co.za/book-a-test-drive</t>
        </is>
      </c>
      <c r="R2253" s="121" t="n">
        <v>54.77</v>
      </c>
      <c r="S2253" s="122" t="n">
        <v>2435</v>
      </c>
      <c r="T2253" s="122" t="n">
        <v>1157</v>
      </c>
      <c r="U2253" s="123">
        <f>IFERROR(S2253/T2253,"")</f>
        <v/>
      </c>
      <c r="V2253" s="122" t="n">
        <v>21</v>
      </c>
      <c r="W2253" s="122" t="n">
        <v>16</v>
      </c>
      <c r="X2253" s="124">
        <f>IFERROR(W2253/S2253,"")</f>
        <v/>
      </c>
      <c r="Y2253" s="121">
        <f>IFERROR(R2253/W2253,"")</f>
        <v/>
      </c>
      <c r="Z2253" s="121">
        <f>IFERROR(R2253/S2253*1000,"")</f>
        <v/>
      </c>
      <c r="AA2253" s="122" t="n">
        <v>10</v>
      </c>
      <c r="AB2253" s="54">
        <f>IFERROR(AA2253/W2253,"")</f>
        <v/>
      </c>
      <c r="AC2253" s="122" t="n">
        <v>821</v>
      </c>
      <c r="AD2253" s="122" t="n">
        <v>376</v>
      </c>
      <c r="AE2253" s="122" t="n">
        <v>384</v>
      </c>
      <c r="AF2253" s="122" t="n">
        <v>265</v>
      </c>
      <c r="AG2253" s="122" t="n">
        <v>171</v>
      </c>
      <c r="AH2253" s="122" t="n">
        <v>103</v>
      </c>
      <c r="AI2253" s="54">
        <f>IFERROR(AC2253/S2253,"")</f>
        <v/>
      </c>
      <c r="AJ2253" s="54">
        <f>IFERROR(AH2253/S2253,"")</f>
        <v/>
      </c>
      <c r="AK2253" s="122" t="n">
        <v>7</v>
      </c>
      <c r="AL2253" s="122" t="n">
        <v>1</v>
      </c>
      <c r="AM2253" s="124">
        <f>IFERROR(AL2253/AA2253,"")</f>
        <v/>
      </c>
      <c r="AN2253" s="125">
        <f>IFERROR(R2253/AL2253,"")</f>
        <v/>
      </c>
      <c r="AO2253" s="122" t="n">
        <v>1</v>
      </c>
      <c r="AP2253" s="54">
        <f>IFERROR(AO2253/AL2253,"")</f>
        <v/>
      </c>
      <c r="AQ2253" s="125">
        <f>IFERROR(R2253/AO2253,"")</f>
        <v/>
      </c>
      <c r="AR2253" s="122" t="n">
        <v>2</v>
      </c>
      <c r="AS2253" s="122" t="n">
        <v>0</v>
      </c>
      <c r="AT2253" s="122">
        <f>AL2253+AR2253</f>
        <v/>
      </c>
      <c r="AU2253" s="125">
        <f>IFERROR(AO2253*Assumptions!$C$26*Assumptions!$C$27*INDEX(Assumptions!$C$18:$C$21,MATCH(H2253,Assumptions!$B$18:$B$21,0)),0)</f>
        <v/>
      </c>
    </row>
    <row r="2254">
      <c r="A2254" s="120" t="n">
        <v>46239</v>
      </c>
      <c r="B2254" s="66" t="inlineStr">
        <is>
          <t>Wk 32</t>
        </is>
      </c>
      <c r="C2254" s="66" t="inlineStr">
        <is>
          <t>Wed</t>
        </is>
      </c>
      <c r="D2254" s="66" t="inlineStr">
        <is>
          <t>Programmatic</t>
        </is>
      </c>
      <c r="E2254" s="66" t="inlineStr">
        <is>
          <t>DV360</t>
        </is>
      </c>
      <c r="F2254" s="66" t="inlineStr">
        <is>
          <t>LEP_ZA_AUG26_PROG_TD_VIDEO_OLV</t>
        </is>
      </c>
      <c r="G2254" s="66" t="inlineStr">
        <is>
          <t>Online Video / CTV</t>
        </is>
      </c>
      <c r="H2254" s="66" t="inlineStr">
        <is>
          <t>Range</t>
        </is>
      </c>
      <c r="I2254" s="66" t="inlineStr">
        <is>
          <t>Range Offer</t>
        </is>
      </c>
      <c r="J2254" s="66" t="inlineStr">
        <is>
          <t>PROG_OLV_RMKT_VIEWERS</t>
        </is>
      </c>
      <c r="K2254" s="66" t="inlineStr">
        <is>
          <t>Retargeting</t>
        </is>
      </c>
      <c r="L2254" s="66" t="inlineStr">
        <is>
          <t>PROG_OLV_10s_BookNow_v1</t>
        </is>
      </c>
      <c r="M2254" s="66" t="inlineStr">
        <is>
          <t>Video 16:9 Bumper</t>
        </is>
      </c>
      <c r="N2254" s="66" t="inlineStr">
        <is>
          <t>Book your test drive</t>
        </is>
      </c>
      <c r="O2254" s="66" t="inlineStr">
        <is>
          <t>Auction - Fixed CPM</t>
        </is>
      </c>
      <c r="P2254" s="66" t="inlineStr">
        <is>
          <t>Completed Views + CPA</t>
        </is>
      </c>
      <c r="Q2254" s="66" t="inlineStr">
        <is>
          <t>https://www.lepas-sa.co.za/book-a-test-drive</t>
        </is>
      </c>
      <c r="R2254" s="121" t="n">
        <v>63.56</v>
      </c>
      <c r="S2254" s="122" t="n">
        <v>1933</v>
      </c>
      <c r="T2254" s="122" t="n">
        <v>1012</v>
      </c>
      <c r="U2254" s="123">
        <f>IFERROR(S2254/T2254,"")</f>
        <v/>
      </c>
      <c r="V2254" s="122" t="n">
        <v>18</v>
      </c>
      <c r="W2254" s="122" t="n">
        <v>13</v>
      </c>
      <c r="X2254" s="124">
        <f>IFERROR(W2254/S2254,"")</f>
        <v/>
      </c>
      <c r="Y2254" s="121">
        <f>IFERROR(R2254/W2254,"")</f>
        <v/>
      </c>
      <c r="Z2254" s="121">
        <f>IFERROR(R2254/S2254*1000,"")</f>
        <v/>
      </c>
      <c r="AA2254" s="122" t="n">
        <v>9</v>
      </c>
      <c r="AB2254" s="54">
        <f>IFERROR(AA2254/W2254,"")</f>
        <v/>
      </c>
      <c r="AC2254" s="122" t="n">
        <v>754</v>
      </c>
      <c r="AD2254" s="122" t="n">
        <v>455</v>
      </c>
      <c r="AE2254" s="122" t="n">
        <v>343</v>
      </c>
      <c r="AF2254" s="122" t="n">
        <v>227</v>
      </c>
      <c r="AG2254" s="122" t="n">
        <v>158</v>
      </c>
      <c r="AH2254" s="122" t="n">
        <v>93</v>
      </c>
      <c r="AI2254" s="54">
        <f>IFERROR(AC2254/S2254,"")</f>
        <v/>
      </c>
      <c r="AJ2254" s="54">
        <f>IFERROR(AH2254/S2254,"")</f>
        <v/>
      </c>
      <c r="AK2254" s="122" t="n">
        <v>11</v>
      </c>
      <c r="AL2254" s="122" t="n">
        <v>1</v>
      </c>
      <c r="AM2254" s="124">
        <f>IFERROR(AL2254/AA2254,"")</f>
        <v/>
      </c>
      <c r="AN2254" s="125">
        <f>IFERROR(R2254/AL2254,"")</f>
        <v/>
      </c>
      <c r="AO2254" s="122" t="n">
        <v>0</v>
      </c>
      <c r="AP2254" s="54">
        <f>IFERROR(AO2254/AL2254,"")</f>
        <v/>
      </c>
      <c r="AQ2254" s="125">
        <f>IFERROR(R2254/AO2254,"")</f>
        <v/>
      </c>
      <c r="AR2254" s="122" t="n">
        <v>3</v>
      </c>
      <c r="AS2254" s="122" t="n">
        <v>1</v>
      </c>
      <c r="AT2254" s="122">
        <f>AL2254+AR2254</f>
        <v/>
      </c>
      <c r="AU2254" s="125">
        <f>IFERROR(AO2254*Assumptions!$C$26*Assumptions!$C$27*INDEX(Assumptions!$C$18:$C$21,MATCH(H2254,Assumptions!$B$18:$B$21,0)),0)</f>
        <v/>
      </c>
    </row>
    <row r="2255">
      <c r="A2255" s="120" t="n">
        <v>46240</v>
      </c>
      <c r="B2255" s="66" t="inlineStr">
        <is>
          <t>Wk 32</t>
        </is>
      </c>
      <c r="C2255" s="66" t="inlineStr">
        <is>
          <t>Thu</t>
        </is>
      </c>
      <c r="D2255" s="66" t="inlineStr">
        <is>
          <t>Programmatic</t>
        </is>
      </c>
      <c r="E2255" s="66" t="inlineStr">
        <is>
          <t>DV360</t>
        </is>
      </c>
      <c r="F2255" s="66" t="inlineStr">
        <is>
          <t>LEP_ZA_AUG26_PROG_TD_VIDEO_OLV</t>
        </is>
      </c>
      <c r="G2255" s="66" t="inlineStr">
        <is>
          <t>Online Video / CTV</t>
        </is>
      </c>
      <c r="H2255" s="66" t="inlineStr">
        <is>
          <t>Range</t>
        </is>
      </c>
      <c r="I2255" s="66" t="inlineStr">
        <is>
          <t>Range Offer</t>
        </is>
      </c>
      <c r="J2255" s="66" t="inlineStr">
        <is>
          <t>PROG_OLV_RMKT_VIEWERS</t>
        </is>
      </c>
      <c r="K2255" s="66" t="inlineStr">
        <is>
          <t>Retargeting</t>
        </is>
      </c>
      <c r="L2255" s="66" t="inlineStr">
        <is>
          <t>PROG_OLV_10s_BookNow_v1</t>
        </is>
      </c>
      <c r="M2255" s="66" t="inlineStr">
        <is>
          <t>Video 16:9 Bumper</t>
        </is>
      </c>
      <c r="N2255" s="66" t="inlineStr">
        <is>
          <t>Book your test drive</t>
        </is>
      </c>
      <c r="O2255" s="66" t="inlineStr">
        <is>
          <t>Auction - Fixed CPM</t>
        </is>
      </c>
      <c r="P2255" s="66" t="inlineStr">
        <is>
          <t>Completed Views + CPA</t>
        </is>
      </c>
      <c r="Q2255" s="66" t="inlineStr">
        <is>
          <t>https://www.lepas-sa.co.za/book-a-test-drive</t>
        </is>
      </c>
      <c r="R2255" s="121" t="n">
        <v>65.81999999999999</v>
      </c>
      <c r="S2255" s="122" t="n">
        <v>1890</v>
      </c>
      <c r="T2255" s="122" t="n">
        <v>818</v>
      </c>
      <c r="U2255" s="123">
        <f>IFERROR(S2255/T2255,"")</f>
        <v/>
      </c>
      <c r="V2255" s="122" t="n">
        <v>7</v>
      </c>
      <c r="W2255" s="122" t="n">
        <v>6</v>
      </c>
      <c r="X2255" s="124">
        <f>IFERROR(W2255/S2255,"")</f>
        <v/>
      </c>
      <c r="Y2255" s="121">
        <f>IFERROR(R2255/W2255,"")</f>
        <v/>
      </c>
      <c r="Z2255" s="121">
        <f>IFERROR(R2255/S2255*1000,"")</f>
        <v/>
      </c>
      <c r="AA2255" s="122" t="n">
        <v>4</v>
      </c>
      <c r="AB2255" s="54">
        <f>IFERROR(AA2255/W2255,"")</f>
        <v/>
      </c>
      <c r="AC2255" s="122" t="n">
        <v>753</v>
      </c>
      <c r="AD2255" s="122" t="n">
        <v>406</v>
      </c>
      <c r="AE2255" s="122" t="n">
        <v>413</v>
      </c>
      <c r="AF2255" s="122" t="n">
        <v>243</v>
      </c>
      <c r="AG2255" s="122" t="n">
        <v>189</v>
      </c>
      <c r="AH2255" s="122" t="n">
        <v>132</v>
      </c>
      <c r="AI2255" s="54">
        <f>IFERROR(AC2255/S2255,"")</f>
        <v/>
      </c>
      <c r="AJ2255" s="54">
        <f>IFERROR(AH2255/S2255,"")</f>
        <v/>
      </c>
      <c r="AK2255" s="122" t="n">
        <v>8</v>
      </c>
      <c r="AL2255" s="122" t="n">
        <v>0</v>
      </c>
      <c r="AM2255" s="124">
        <f>IFERROR(AL2255/AA2255,"")</f>
        <v/>
      </c>
      <c r="AN2255" s="125">
        <f>IFERROR(R2255/AL2255,"")</f>
        <v/>
      </c>
      <c r="AO2255" s="122" t="n">
        <v>0</v>
      </c>
      <c r="AP2255" s="54">
        <f>IFERROR(AO2255/AL2255,"")</f>
        <v/>
      </c>
      <c r="AQ2255" s="125">
        <f>IFERROR(R2255/AO2255,"")</f>
        <v/>
      </c>
      <c r="AR2255" s="122" t="n">
        <v>0</v>
      </c>
      <c r="AS2255" s="122" t="n">
        <v>0</v>
      </c>
      <c r="AT2255" s="122">
        <f>AL2255+AR2255</f>
        <v/>
      </c>
      <c r="AU2255" s="125">
        <f>IFERROR(AO2255*Assumptions!$C$26*Assumptions!$C$27*INDEX(Assumptions!$C$18:$C$21,MATCH(H2255,Assumptions!$B$18:$B$21,0)),0)</f>
        <v/>
      </c>
    </row>
    <row r="2256">
      <c r="A2256" s="120" t="n">
        <v>46241</v>
      </c>
      <c r="B2256" s="66" t="inlineStr">
        <is>
          <t>Wk 32</t>
        </is>
      </c>
      <c r="C2256" s="66" t="inlineStr">
        <is>
          <t>Fri</t>
        </is>
      </c>
      <c r="D2256" s="66" t="inlineStr">
        <is>
          <t>Programmatic</t>
        </is>
      </c>
      <c r="E2256" s="66" t="inlineStr">
        <is>
          <t>DV360</t>
        </is>
      </c>
      <c r="F2256" s="66" t="inlineStr">
        <is>
          <t>LEP_ZA_AUG26_PROG_TD_VIDEO_OLV</t>
        </is>
      </c>
      <c r="G2256" s="66" t="inlineStr">
        <is>
          <t>Online Video / CTV</t>
        </is>
      </c>
      <c r="H2256" s="66" t="inlineStr">
        <is>
          <t>Range</t>
        </is>
      </c>
      <c r="I2256" s="66" t="inlineStr">
        <is>
          <t>Range Offer</t>
        </is>
      </c>
      <c r="J2256" s="66" t="inlineStr">
        <is>
          <t>PROG_OLV_RMKT_VIEWERS</t>
        </is>
      </c>
      <c r="K2256" s="66" t="inlineStr">
        <is>
          <t>Retargeting</t>
        </is>
      </c>
      <c r="L2256" s="66" t="inlineStr">
        <is>
          <t>PROG_OLV_10s_BookNow_v1</t>
        </is>
      </c>
      <c r="M2256" s="66" t="inlineStr">
        <is>
          <t>Video 16:9 Bumper</t>
        </is>
      </c>
      <c r="N2256" s="66" t="inlineStr">
        <is>
          <t>Book your test drive</t>
        </is>
      </c>
      <c r="O2256" s="66" t="inlineStr">
        <is>
          <t>Auction - Fixed CPM</t>
        </is>
      </c>
      <c r="P2256" s="66" t="inlineStr">
        <is>
          <t>Completed Views + CPA</t>
        </is>
      </c>
      <c r="Q2256" s="66" t="inlineStr">
        <is>
          <t>https://www.lepas-sa.co.za/book-a-test-drive</t>
        </is>
      </c>
      <c r="R2256" s="121" t="n">
        <v>69.48</v>
      </c>
      <c r="S2256" s="122" t="n">
        <v>1893</v>
      </c>
      <c r="T2256" s="122" t="n">
        <v>1271</v>
      </c>
      <c r="U2256" s="123">
        <f>IFERROR(S2256/T2256,"")</f>
        <v/>
      </c>
      <c r="V2256" s="122" t="n">
        <v>6</v>
      </c>
      <c r="W2256" s="122" t="n">
        <v>5</v>
      </c>
      <c r="X2256" s="124">
        <f>IFERROR(W2256/S2256,"")</f>
        <v/>
      </c>
      <c r="Y2256" s="121">
        <f>IFERROR(R2256/W2256,"")</f>
        <v/>
      </c>
      <c r="Z2256" s="121">
        <f>IFERROR(R2256/S2256*1000,"")</f>
        <v/>
      </c>
      <c r="AA2256" s="122" t="n">
        <v>4</v>
      </c>
      <c r="AB2256" s="54">
        <f>IFERROR(AA2256/W2256,"")</f>
        <v/>
      </c>
      <c r="AC2256" s="122" t="n">
        <v>504</v>
      </c>
      <c r="AD2256" s="122" t="n">
        <v>298</v>
      </c>
      <c r="AE2256" s="122" t="n">
        <v>186</v>
      </c>
      <c r="AF2256" s="122" t="n">
        <v>102</v>
      </c>
      <c r="AG2256" s="122" t="n">
        <v>71</v>
      </c>
      <c r="AH2256" s="122" t="n">
        <v>45</v>
      </c>
      <c r="AI2256" s="54">
        <f>IFERROR(AC2256/S2256,"")</f>
        <v/>
      </c>
      <c r="AJ2256" s="54">
        <f>IFERROR(AH2256/S2256,"")</f>
        <v/>
      </c>
      <c r="AK2256" s="122" t="n">
        <v>10</v>
      </c>
      <c r="AL2256" s="122" t="n">
        <v>0</v>
      </c>
      <c r="AM2256" s="124">
        <f>IFERROR(AL2256/AA2256,"")</f>
        <v/>
      </c>
      <c r="AN2256" s="125">
        <f>IFERROR(R2256/AL2256,"")</f>
        <v/>
      </c>
      <c r="AO2256" s="122" t="n">
        <v>0</v>
      </c>
      <c r="AP2256" s="54">
        <f>IFERROR(AO2256/AL2256,"")</f>
        <v/>
      </c>
      <c r="AQ2256" s="125">
        <f>IFERROR(R2256/AO2256,"")</f>
        <v/>
      </c>
      <c r="AR2256" s="122" t="n">
        <v>0</v>
      </c>
      <c r="AS2256" s="122" t="n">
        <v>0</v>
      </c>
      <c r="AT2256" s="122">
        <f>AL2256+AR2256</f>
        <v/>
      </c>
      <c r="AU2256" s="125">
        <f>IFERROR(AO2256*Assumptions!$C$26*Assumptions!$C$27*INDEX(Assumptions!$C$18:$C$21,MATCH(H2256,Assumptions!$B$18:$B$21,0)),0)</f>
        <v/>
      </c>
    </row>
    <row r="2257">
      <c r="A2257" s="120" t="n">
        <v>46242</v>
      </c>
      <c r="B2257" s="66" t="inlineStr">
        <is>
          <t>Wk 32</t>
        </is>
      </c>
      <c r="C2257" s="66" t="inlineStr">
        <is>
          <t>Sat</t>
        </is>
      </c>
      <c r="D2257" s="66" t="inlineStr">
        <is>
          <t>Programmatic</t>
        </is>
      </c>
      <c r="E2257" s="66" t="inlineStr">
        <is>
          <t>DV360</t>
        </is>
      </c>
      <c r="F2257" s="66" t="inlineStr">
        <is>
          <t>LEP_ZA_AUG26_PROG_TD_VIDEO_OLV</t>
        </is>
      </c>
      <c r="G2257" s="66" t="inlineStr">
        <is>
          <t>Online Video / CTV</t>
        </is>
      </c>
      <c r="H2257" s="66" t="inlineStr">
        <is>
          <t>Range</t>
        </is>
      </c>
      <c r="I2257" s="66" t="inlineStr">
        <is>
          <t>Range Offer</t>
        </is>
      </c>
      <c r="J2257" s="66" t="inlineStr">
        <is>
          <t>PROG_OLV_RMKT_VIEWERS</t>
        </is>
      </c>
      <c r="K2257" s="66" t="inlineStr">
        <is>
          <t>Retargeting</t>
        </is>
      </c>
      <c r="L2257" s="66" t="inlineStr">
        <is>
          <t>PROG_OLV_10s_BookNow_v1</t>
        </is>
      </c>
      <c r="M2257" s="66" t="inlineStr">
        <is>
          <t>Video 16:9 Bumper</t>
        </is>
      </c>
      <c r="N2257" s="66" t="inlineStr">
        <is>
          <t>Book your test drive</t>
        </is>
      </c>
      <c r="O2257" s="66" t="inlineStr">
        <is>
          <t>Auction - Fixed CPM</t>
        </is>
      </c>
      <c r="P2257" s="66" t="inlineStr">
        <is>
          <t>Completed Views + CPA</t>
        </is>
      </c>
      <c r="Q2257" s="66" t="inlineStr">
        <is>
          <t>https://www.lepas-sa.co.za/book-a-test-drive</t>
        </is>
      </c>
      <c r="R2257" s="121" t="n">
        <v>74.65000000000001</v>
      </c>
      <c r="S2257" s="122" t="n">
        <v>2070</v>
      </c>
      <c r="T2257" s="122" t="n">
        <v>1486</v>
      </c>
      <c r="U2257" s="123">
        <f>IFERROR(S2257/T2257,"")</f>
        <v/>
      </c>
      <c r="V2257" s="122" t="n">
        <v>9</v>
      </c>
      <c r="W2257" s="122" t="n">
        <v>7</v>
      </c>
      <c r="X2257" s="124">
        <f>IFERROR(W2257/S2257,"")</f>
        <v/>
      </c>
      <c r="Y2257" s="121">
        <f>IFERROR(R2257/W2257,"")</f>
        <v/>
      </c>
      <c r="Z2257" s="121">
        <f>IFERROR(R2257/S2257*1000,"")</f>
        <v/>
      </c>
      <c r="AA2257" s="122" t="n">
        <v>4</v>
      </c>
      <c r="AB2257" s="54">
        <f>IFERROR(AA2257/W2257,"")</f>
        <v/>
      </c>
      <c r="AC2257" s="122" t="n">
        <v>523</v>
      </c>
      <c r="AD2257" s="122" t="n">
        <v>314</v>
      </c>
      <c r="AE2257" s="122" t="n">
        <v>230</v>
      </c>
      <c r="AF2257" s="122" t="n">
        <v>120</v>
      </c>
      <c r="AG2257" s="122" t="n">
        <v>82</v>
      </c>
      <c r="AH2257" s="122" t="n">
        <v>50</v>
      </c>
      <c r="AI2257" s="54">
        <f>IFERROR(AC2257/S2257,"")</f>
        <v/>
      </c>
      <c r="AJ2257" s="54">
        <f>IFERROR(AH2257/S2257,"")</f>
        <v/>
      </c>
      <c r="AK2257" s="122" t="n">
        <v>8</v>
      </c>
      <c r="AL2257" s="122" t="n">
        <v>0</v>
      </c>
      <c r="AM2257" s="124">
        <f>IFERROR(AL2257/AA2257,"")</f>
        <v/>
      </c>
      <c r="AN2257" s="125">
        <f>IFERROR(R2257/AL2257,"")</f>
        <v/>
      </c>
      <c r="AO2257" s="122" t="n">
        <v>0</v>
      </c>
      <c r="AP2257" s="54">
        <f>IFERROR(AO2257/AL2257,"")</f>
        <v/>
      </c>
      <c r="AQ2257" s="125">
        <f>IFERROR(R2257/AO2257,"")</f>
        <v/>
      </c>
      <c r="AR2257" s="122" t="n">
        <v>0</v>
      </c>
      <c r="AS2257" s="122" t="n">
        <v>0</v>
      </c>
      <c r="AT2257" s="122">
        <f>AL2257+AR2257</f>
        <v/>
      </c>
      <c r="AU2257" s="125">
        <f>IFERROR(AO2257*Assumptions!$C$26*Assumptions!$C$27*INDEX(Assumptions!$C$18:$C$21,MATCH(H2257,Assumptions!$B$18:$B$21,0)),0)</f>
        <v/>
      </c>
    </row>
    <row r="2258">
      <c r="A2258" s="120" t="n">
        <v>46243</v>
      </c>
      <c r="B2258" s="66" t="inlineStr">
        <is>
          <t>Wk 32</t>
        </is>
      </c>
      <c r="C2258" s="66" t="inlineStr">
        <is>
          <t>Sun</t>
        </is>
      </c>
      <c r="D2258" s="66" t="inlineStr">
        <is>
          <t>Programmatic</t>
        </is>
      </c>
      <c r="E2258" s="66" t="inlineStr">
        <is>
          <t>DV360</t>
        </is>
      </c>
      <c r="F2258" s="66" t="inlineStr">
        <is>
          <t>LEP_ZA_AUG26_PROG_TD_VIDEO_OLV</t>
        </is>
      </c>
      <c r="G2258" s="66" t="inlineStr">
        <is>
          <t>Online Video / CTV</t>
        </is>
      </c>
      <c r="H2258" s="66" t="inlineStr">
        <is>
          <t>Range</t>
        </is>
      </c>
      <c r="I2258" s="66" t="inlineStr">
        <is>
          <t>Range Offer</t>
        </is>
      </c>
      <c r="J2258" s="66" t="inlineStr">
        <is>
          <t>PROG_OLV_RMKT_VIEWERS</t>
        </is>
      </c>
      <c r="K2258" s="66" t="inlineStr">
        <is>
          <t>Retargeting</t>
        </is>
      </c>
      <c r="L2258" s="66" t="inlineStr">
        <is>
          <t>PROG_OLV_10s_BookNow_v1</t>
        </is>
      </c>
      <c r="M2258" s="66" t="inlineStr">
        <is>
          <t>Video 16:9 Bumper</t>
        </is>
      </c>
      <c r="N2258" s="66" t="inlineStr">
        <is>
          <t>Book your test drive</t>
        </is>
      </c>
      <c r="O2258" s="66" t="inlineStr">
        <is>
          <t>Auction - Fixed CPM</t>
        </is>
      </c>
      <c r="P2258" s="66" t="inlineStr">
        <is>
          <t>Completed Views + CPA</t>
        </is>
      </c>
      <c r="Q2258" s="66" t="inlineStr">
        <is>
          <t>https://www.lepas-sa.co.za/book-a-test-drive</t>
        </is>
      </c>
      <c r="R2258" s="121" t="n">
        <v>45.91</v>
      </c>
      <c r="S2258" s="122" t="n">
        <v>1232</v>
      </c>
      <c r="T2258" s="122" t="n">
        <v>570</v>
      </c>
      <c r="U2258" s="123">
        <f>IFERROR(S2258/T2258,"")</f>
        <v/>
      </c>
      <c r="V2258" s="122" t="n">
        <v>8</v>
      </c>
      <c r="W2258" s="122" t="n">
        <v>6</v>
      </c>
      <c r="X2258" s="124">
        <f>IFERROR(W2258/S2258,"")</f>
        <v/>
      </c>
      <c r="Y2258" s="121">
        <f>IFERROR(R2258/W2258,"")</f>
        <v/>
      </c>
      <c r="Z2258" s="121">
        <f>IFERROR(R2258/S2258*1000,"")</f>
        <v/>
      </c>
      <c r="AA2258" s="122" t="n">
        <v>4</v>
      </c>
      <c r="AB2258" s="54">
        <f>IFERROR(AA2258/W2258,"")</f>
        <v/>
      </c>
      <c r="AC2258" s="122" t="n">
        <v>442</v>
      </c>
      <c r="AD2258" s="122" t="n">
        <v>241</v>
      </c>
      <c r="AE2258" s="122" t="n">
        <v>203</v>
      </c>
      <c r="AF2258" s="122" t="n">
        <v>115</v>
      </c>
      <c r="AG2258" s="122" t="n">
        <v>84</v>
      </c>
      <c r="AH2258" s="122" t="n">
        <v>56</v>
      </c>
      <c r="AI2258" s="54">
        <f>IFERROR(AC2258/S2258,"")</f>
        <v/>
      </c>
      <c r="AJ2258" s="54">
        <f>IFERROR(AH2258/S2258,"")</f>
        <v/>
      </c>
      <c r="AK2258" s="122" t="n">
        <v>6</v>
      </c>
      <c r="AL2258" s="122" t="n">
        <v>0</v>
      </c>
      <c r="AM2258" s="124">
        <f>IFERROR(AL2258/AA2258,"")</f>
        <v/>
      </c>
      <c r="AN2258" s="125">
        <f>IFERROR(R2258/AL2258,"")</f>
        <v/>
      </c>
      <c r="AO2258" s="122" t="n">
        <v>0</v>
      </c>
      <c r="AP2258" s="54">
        <f>IFERROR(AO2258/AL2258,"")</f>
        <v/>
      </c>
      <c r="AQ2258" s="125">
        <f>IFERROR(R2258/AO2258,"")</f>
        <v/>
      </c>
      <c r="AR2258" s="122" t="n">
        <v>0</v>
      </c>
      <c r="AS2258" s="122" t="n">
        <v>0</v>
      </c>
      <c r="AT2258" s="122">
        <f>AL2258+AR2258</f>
        <v/>
      </c>
      <c r="AU2258" s="125">
        <f>IFERROR(AO2258*Assumptions!$C$26*Assumptions!$C$27*INDEX(Assumptions!$C$18:$C$21,MATCH(H2258,Assumptions!$B$18:$B$21,0)),0)</f>
        <v/>
      </c>
    </row>
    <row r="2259">
      <c r="A2259" s="120" t="n">
        <v>46244</v>
      </c>
      <c r="B2259" s="66" t="inlineStr">
        <is>
          <t>Wk 33</t>
        </is>
      </c>
      <c r="C2259" s="66" t="inlineStr">
        <is>
          <t>Mon</t>
        </is>
      </c>
      <c r="D2259" s="66" t="inlineStr">
        <is>
          <t>Programmatic</t>
        </is>
      </c>
      <c r="E2259" s="66" t="inlineStr">
        <is>
          <t>DV360</t>
        </is>
      </c>
      <c r="F2259" s="66" t="inlineStr">
        <is>
          <t>LEP_ZA_AUG26_PROG_TD_VIDEO_OLV</t>
        </is>
      </c>
      <c r="G2259" s="66" t="inlineStr">
        <is>
          <t>Online Video / CTV</t>
        </is>
      </c>
      <c r="H2259" s="66" t="inlineStr">
        <is>
          <t>Range</t>
        </is>
      </c>
      <c r="I2259" s="66" t="inlineStr">
        <is>
          <t>Range Offer</t>
        </is>
      </c>
      <c r="J2259" s="66" t="inlineStr">
        <is>
          <t>PROG_OLV_RMKT_VIEWERS</t>
        </is>
      </c>
      <c r="K2259" s="66" t="inlineStr">
        <is>
          <t>Retargeting</t>
        </is>
      </c>
      <c r="L2259" s="66" t="inlineStr">
        <is>
          <t>PROG_OLV_10s_BookNow_v1</t>
        </is>
      </c>
      <c r="M2259" s="66" t="inlineStr">
        <is>
          <t>Video 16:9 Bumper</t>
        </is>
      </c>
      <c r="N2259" s="66" t="inlineStr">
        <is>
          <t>Book your test drive</t>
        </is>
      </c>
      <c r="O2259" s="66" t="inlineStr">
        <is>
          <t>Auction - Fixed CPM</t>
        </is>
      </c>
      <c r="P2259" s="66" t="inlineStr">
        <is>
          <t>Completed Views + CPA</t>
        </is>
      </c>
      <c r="Q2259" s="66" t="inlineStr">
        <is>
          <t>https://www.lepas-sa.co.za/book-a-test-drive</t>
        </is>
      </c>
      <c r="R2259" s="121" t="n">
        <v>67.05</v>
      </c>
      <c r="S2259" s="122" t="n">
        <v>2133</v>
      </c>
      <c r="T2259" s="122" t="n">
        <v>1485</v>
      </c>
      <c r="U2259" s="123">
        <f>IFERROR(S2259/T2259,"")</f>
        <v/>
      </c>
      <c r="V2259" s="122" t="n">
        <v>9</v>
      </c>
      <c r="W2259" s="122" t="n">
        <v>7</v>
      </c>
      <c r="X2259" s="124">
        <f>IFERROR(W2259/S2259,"")</f>
        <v/>
      </c>
      <c r="Y2259" s="121">
        <f>IFERROR(R2259/W2259,"")</f>
        <v/>
      </c>
      <c r="Z2259" s="121">
        <f>IFERROR(R2259/S2259*1000,"")</f>
        <v/>
      </c>
      <c r="AA2259" s="122" t="n">
        <v>4</v>
      </c>
      <c r="AB2259" s="54">
        <f>IFERROR(AA2259/W2259,"")</f>
        <v/>
      </c>
      <c r="AC2259" s="122" t="n">
        <v>712</v>
      </c>
      <c r="AD2259" s="122" t="n">
        <v>379</v>
      </c>
      <c r="AE2259" s="122" t="n">
        <v>335</v>
      </c>
      <c r="AF2259" s="122" t="n">
        <v>183</v>
      </c>
      <c r="AG2259" s="122" t="n">
        <v>140</v>
      </c>
      <c r="AH2259" s="122" t="n">
        <v>81</v>
      </c>
      <c r="AI2259" s="54">
        <f>IFERROR(AC2259/S2259,"")</f>
        <v/>
      </c>
      <c r="AJ2259" s="54">
        <f>IFERROR(AH2259/S2259,"")</f>
        <v/>
      </c>
      <c r="AK2259" s="122" t="n">
        <v>4</v>
      </c>
      <c r="AL2259" s="122" t="n">
        <v>0</v>
      </c>
      <c r="AM2259" s="124">
        <f>IFERROR(AL2259/AA2259,"")</f>
        <v/>
      </c>
      <c r="AN2259" s="125">
        <f>IFERROR(R2259/AL2259,"")</f>
        <v/>
      </c>
      <c r="AO2259" s="122" t="n">
        <v>0</v>
      </c>
      <c r="AP2259" s="54">
        <f>IFERROR(AO2259/AL2259,"")</f>
        <v/>
      </c>
      <c r="AQ2259" s="125">
        <f>IFERROR(R2259/AO2259,"")</f>
        <v/>
      </c>
      <c r="AR2259" s="122" t="n">
        <v>0</v>
      </c>
      <c r="AS2259" s="122" t="n">
        <v>0</v>
      </c>
      <c r="AT2259" s="122">
        <f>AL2259+AR2259</f>
        <v/>
      </c>
      <c r="AU2259" s="125">
        <f>IFERROR(AO2259*Assumptions!$C$26*Assumptions!$C$27*INDEX(Assumptions!$C$18:$C$21,MATCH(H2259,Assumptions!$B$18:$B$21,0)),0)</f>
        <v/>
      </c>
    </row>
    <row r="2260">
      <c r="A2260" s="120" t="n">
        <v>46245</v>
      </c>
      <c r="B2260" s="66" t="inlineStr">
        <is>
          <t>Wk 33</t>
        </is>
      </c>
      <c r="C2260" s="66" t="inlineStr">
        <is>
          <t>Tue</t>
        </is>
      </c>
      <c r="D2260" s="66" t="inlineStr">
        <is>
          <t>Programmatic</t>
        </is>
      </c>
      <c r="E2260" s="66" t="inlineStr">
        <is>
          <t>DV360</t>
        </is>
      </c>
      <c r="F2260" s="66" t="inlineStr">
        <is>
          <t>LEP_ZA_AUG26_PROG_TD_VIDEO_OLV</t>
        </is>
      </c>
      <c r="G2260" s="66" t="inlineStr">
        <is>
          <t>Online Video / CTV</t>
        </is>
      </c>
      <c r="H2260" s="66" t="inlineStr">
        <is>
          <t>Range</t>
        </is>
      </c>
      <c r="I2260" s="66" t="inlineStr">
        <is>
          <t>Range Offer</t>
        </is>
      </c>
      <c r="J2260" s="66" t="inlineStr">
        <is>
          <t>PROG_OLV_RMKT_VIEWERS</t>
        </is>
      </c>
      <c r="K2260" s="66" t="inlineStr">
        <is>
          <t>Retargeting</t>
        </is>
      </c>
      <c r="L2260" s="66" t="inlineStr">
        <is>
          <t>PROG_OLV_10s_BookNow_v1</t>
        </is>
      </c>
      <c r="M2260" s="66" t="inlineStr">
        <is>
          <t>Video 16:9 Bumper</t>
        </is>
      </c>
      <c r="N2260" s="66" t="inlineStr">
        <is>
          <t>Book your test drive</t>
        </is>
      </c>
      <c r="O2260" s="66" t="inlineStr">
        <is>
          <t>Auction - Fixed CPM</t>
        </is>
      </c>
      <c r="P2260" s="66" t="inlineStr">
        <is>
          <t>Completed Views + CPA</t>
        </is>
      </c>
      <c r="Q2260" s="66" t="inlineStr">
        <is>
          <t>https://www.lepas-sa.co.za/book-a-test-drive</t>
        </is>
      </c>
      <c r="R2260" s="121" t="n">
        <v>54.58</v>
      </c>
      <c r="S2260" s="122" t="n">
        <v>1243</v>
      </c>
      <c r="T2260" s="122" t="n">
        <v>548</v>
      </c>
      <c r="U2260" s="123">
        <f>IFERROR(S2260/T2260,"")</f>
        <v/>
      </c>
      <c r="V2260" s="122" t="n">
        <v>6</v>
      </c>
      <c r="W2260" s="122" t="n">
        <v>4</v>
      </c>
      <c r="X2260" s="124">
        <f>IFERROR(W2260/S2260,"")</f>
        <v/>
      </c>
      <c r="Y2260" s="121">
        <f>IFERROR(R2260/W2260,"")</f>
        <v/>
      </c>
      <c r="Z2260" s="121">
        <f>IFERROR(R2260/S2260*1000,"")</f>
        <v/>
      </c>
      <c r="AA2260" s="122" t="n">
        <v>2</v>
      </c>
      <c r="AB2260" s="54">
        <f>IFERROR(AA2260/W2260,"")</f>
        <v/>
      </c>
      <c r="AC2260" s="122" t="n">
        <v>480</v>
      </c>
      <c r="AD2260" s="122" t="n">
        <v>225</v>
      </c>
      <c r="AE2260" s="122" t="n">
        <v>211</v>
      </c>
      <c r="AF2260" s="122" t="n">
        <v>148</v>
      </c>
      <c r="AG2260" s="122" t="n">
        <v>118</v>
      </c>
      <c r="AH2260" s="122" t="n">
        <v>77</v>
      </c>
      <c r="AI2260" s="54">
        <f>IFERROR(AC2260/S2260,"")</f>
        <v/>
      </c>
      <c r="AJ2260" s="54">
        <f>IFERROR(AH2260/S2260,"")</f>
        <v/>
      </c>
      <c r="AK2260" s="122" t="n">
        <v>4</v>
      </c>
      <c r="AL2260" s="122" t="n">
        <v>0</v>
      </c>
      <c r="AM2260" s="124">
        <f>IFERROR(AL2260/AA2260,"")</f>
        <v/>
      </c>
      <c r="AN2260" s="125">
        <f>IFERROR(R2260/AL2260,"")</f>
        <v/>
      </c>
      <c r="AO2260" s="122" t="n">
        <v>0</v>
      </c>
      <c r="AP2260" s="54">
        <f>IFERROR(AO2260/AL2260,"")</f>
        <v/>
      </c>
      <c r="AQ2260" s="125">
        <f>IFERROR(R2260/AO2260,"")</f>
        <v/>
      </c>
      <c r="AR2260" s="122" t="n">
        <v>0</v>
      </c>
      <c r="AS2260" s="122" t="n">
        <v>0</v>
      </c>
      <c r="AT2260" s="122">
        <f>AL2260+AR2260</f>
        <v/>
      </c>
      <c r="AU2260" s="125">
        <f>IFERROR(AO2260*Assumptions!$C$26*Assumptions!$C$27*INDEX(Assumptions!$C$18:$C$21,MATCH(H2260,Assumptions!$B$18:$B$21,0)),0)</f>
        <v/>
      </c>
    </row>
    <row r="2261">
      <c r="A2261" s="120" t="n">
        <v>46246</v>
      </c>
      <c r="B2261" s="66" t="inlineStr">
        <is>
          <t>Wk 33</t>
        </is>
      </c>
      <c r="C2261" s="66" t="inlineStr">
        <is>
          <t>Wed</t>
        </is>
      </c>
      <c r="D2261" s="66" t="inlineStr">
        <is>
          <t>Programmatic</t>
        </is>
      </c>
      <c r="E2261" s="66" t="inlineStr">
        <is>
          <t>DV360</t>
        </is>
      </c>
      <c r="F2261" s="66" t="inlineStr">
        <is>
          <t>LEP_ZA_AUG26_PROG_TD_VIDEO_OLV</t>
        </is>
      </c>
      <c r="G2261" s="66" t="inlineStr">
        <is>
          <t>Online Video / CTV</t>
        </is>
      </c>
      <c r="H2261" s="66" t="inlineStr">
        <is>
          <t>Range</t>
        </is>
      </c>
      <c r="I2261" s="66" t="inlineStr">
        <is>
          <t>Range Offer</t>
        </is>
      </c>
      <c r="J2261" s="66" t="inlineStr">
        <is>
          <t>PROG_OLV_RMKT_VIEWERS</t>
        </is>
      </c>
      <c r="K2261" s="66" t="inlineStr">
        <is>
          <t>Retargeting</t>
        </is>
      </c>
      <c r="L2261" s="66" t="inlineStr">
        <is>
          <t>PROG_OLV_10s_BookNow_v1</t>
        </is>
      </c>
      <c r="M2261" s="66" t="inlineStr">
        <is>
          <t>Video 16:9 Bumper</t>
        </is>
      </c>
      <c r="N2261" s="66" t="inlineStr">
        <is>
          <t>Book your test drive</t>
        </is>
      </c>
      <c r="O2261" s="66" t="inlineStr">
        <is>
          <t>Auction - Fixed CPM</t>
        </is>
      </c>
      <c r="P2261" s="66" t="inlineStr">
        <is>
          <t>Completed Views + CPA</t>
        </is>
      </c>
      <c r="Q2261" s="66" t="inlineStr">
        <is>
          <t>https://www.lepas-sa.co.za/book-a-test-drive</t>
        </is>
      </c>
      <c r="R2261" s="121" t="n">
        <v>60.05</v>
      </c>
      <c r="S2261" s="122" t="n">
        <v>1249</v>
      </c>
      <c r="T2261" s="122" t="n">
        <v>608</v>
      </c>
      <c r="U2261" s="123">
        <f>IFERROR(S2261/T2261,"")</f>
        <v/>
      </c>
      <c r="V2261" s="122" t="n">
        <v>3</v>
      </c>
      <c r="W2261" s="122" t="n">
        <v>2</v>
      </c>
      <c r="X2261" s="124">
        <f>IFERROR(W2261/S2261,"")</f>
        <v/>
      </c>
      <c r="Y2261" s="121">
        <f>IFERROR(R2261/W2261,"")</f>
        <v/>
      </c>
      <c r="Z2261" s="121">
        <f>IFERROR(R2261/S2261*1000,"")</f>
        <v/>
      </c>
      <c r="AA2261" s="122" t="n">
        <v>1</v>
      </c>
      <c r="AB2261" s="54">
        <f>IFERROR(AA2261/W2261,"")</f>
        <v/>
      </c>
      <c r="AC2261" s="122" t="n">
        <v>497</v>
      </c>
      <c r="AD2261" s="122" t="n">
        <v>231</v>
      </c>
      <c r="AE2261" s="122" t="n">
        <v>232</v>
      </c>
      <c r="AF2261" s="122" t="n">
        <v>133</v>
      </c>
      <c r="AG2261" s="122" t="n">
        <v>86</v>
      </c>
      <c r="AH2261" s="122" t="n">
        <v>56</v>
      </c>
      <c r="AI2261" s="54">
        <f>IFERROR(AC2261/S2261,"")</f>
        <v/>
      </c>
      <c r="AJ2261" s="54">
        <f>IFERROR(AH2261/S2261,"")</f>
        <v/>
      </c>
      <c r="AK2261" s="122" t="n">
        <v>4</v>
      </c>
      <c r="AL2261" s="122" t="n">
        <v>0</v>
      </c>
      <c r="AM2261" s="124">
        <f>IFERROR(AL2261/AA2261,"")</f>
        <v/>
      </c>
      <c r="AN2261" s="125">
        <f>IFERROR(R2261/AL2261,"")</f>
        <v/>
      </c>
      <c r="AO2261" s="122" t="n">
        <v>0</v>
      </c>
      <c r="AP2261" s="54">
        <f>IFERROR(AO2261/AL2261,"")</f>
        <v/>
      </c>
      <c r="AQ2261" s="125">
        <f>IFERROR(R2261/AO2261,"")</f>
        <v/>
      </c>
      <c r="AR2261" s="122" t="n">
        <v>0</v>
      </c>
      <c r="AS2261" s="122" t="n">
        <v>0</v>
      </c>
      <c r="AT2261" s="122">
        <f>AL2261+AR2261</f>
        <v/>
      </c>
      <c r="AU2261" s="125">
        <f>IFERROR(AO2261*Assumptions!$C$26*Assumptions!$C$27*INDEX(Assumptions!$C$18:$C$21,MATCH(H2261,Assumptions!$B$18:$B$21,0)),0)</f>
        <v/>
      </c>
    </row>
    <row r="2262">
      <c r="A2262" s="120" t="n">
        <v>46247</v>
      </c>
      <c r="B2262" s="66" t="inlineStr">
        <is>
          <t>Wk 33</t>
        </is>
      </c>
      <c r="C2262" s="66" t="inlineStr">
        <is>
          <t>Thu</t>
        </is>
      </c>
      <c r="D2262" s="66" t="inlineStr">
        <is>
          <t>Programmatic</t>
        </is>
      </c>
      <c r="E2262" s="66" t="inlineStr">
        <is>
          <t>DV360</t>
        </is>
      </c>
      <c r="F2262" s="66" t="inlineStr">
        <is>
          <t>LEP_ZA_AUG26_PROG_TD_VIDEO_OLV</t>
        </is>
      </c>
      <c r="G2262" s="66" t="inlineStr">
        <is>
          <t>Online Video / CTV</t>
        </is>
      </c>
      <c r="H2262" s="66" t="inlineStr">
        <is>
          <t>Range</t>
        </is>
      </c>
      <c r="I2262" s="66" t="inlineStr">
        <is>
          <t>Range Offer</t>
        </is>
      </c>
      <c r="J2262" s="66" t="inlineStr">
        <is>
          <t>PROG_OLV_RMKT_VIEWERS</t>
        </is>
      </c>
      <c r="K2262" s="66" t="inlineStr">
        <is>
          <t>Retargeting</t>
        </is>
      </c>
      <c r="L2262" s="66" t="inlineStr">
        <is>
          <t>PROG_OLV_10s_BookNow_v1</t>
        </is>
      </c>
      <c r="M2262" s="66" t="inlineStr">
        <is>
          <t>Video 16:9 Bumper</t>
        </is>
      </c>
      <c r="N2262" s="66" t="inlineStr">
        <is>
          <t>Book your test drive</t>
        </is>
      </c>
      <c r="O2262" s="66" t="inlineStr">
        <is>
          <t>Auction - Fixed CPM</t>
        </is>
      </c>
      <c r="P2262" s="66" t="inlineStr">
        <is>
          <t>Completed Views + CPA</t>
        </is>
      </c>
      <c r="Q2262" s="66" t="inlineStr">
        <is>
          <t>https://www.lepas-sa.co.za/book-a-test-drive</t>
        </is>
      </c>
      <c r="R2262" s="121" t="n">
        <v>70.8</v>
      </c>
      <c r="S2262" s="122" t="n">
        <v>2066</v>
      </c>
      <c r="T2262" s="122" t="n">
        <v>1002</v>
      </c>
      <c r="U2262" s="123">
        <f>IFERROR(S2262/T2262,"")</f>
        <v/>
      </c>
      <c r="V2262" s="122" t="n">
        <v>14</v>
      </c>
      <c r="W2262" s="122" t="n">
        <v>11</v>
      </c>
      <c r="X2262" s="124">
        <f>IFERROR(W2262/S2262,"")</f>
        <v/>
      </c>
      <c r="Y2262" s="121">
        <f>IFERROR(R2262/W2262,"")</f>
        <v/>
      </c>
      <c r="Z2262" s="121">
        <f>IFERROR(R2262/S2262*1000,"")</f>
        <v/>
      </c>
      <c r="AA2262" s="122" t="n">
        <v>8</v>
      </c>
      <c r="AB2262" s="54">
        <f>IFERROR(AA2262/W2262,"")</f>
        <v/>
      </c>
      <c r="AC2262" s="122" t="n">
        <v>830</v>
      </c>
      <c r="AD2262" s="122" t="n">
        <v>449</v>
      </c>
      <c r="AE2262" s="122" t="n">
        <v>316</v>
      </c>
      <c r="AF2262" s="122" t="n">
        <v>216</v>
      </c>
      <c r="AG2262" s="122" t="n">
        <v>136</v>
      </c>
      <c r="AH2262" s="122" t="n">
        <v>90</v>
      </c>
      <c r="AI2262" s="54">
        <f>IFERROR(AC2262/S2262,"")</f>
        <v/>
      </c>
      <c r="AJ2262" s="54">
        <f>IFERROR(AH2262/S2262,"")</f>
        <v/>
      </c>
      <c r="AK2262" s="122" t="n">
        <v>8</v>
      </c>
      <c r="AL2262" s="122" t="n">
        <v>0</v>
      </c>
      <c r="AM2262" s="124">
        <f>IFERROR(AL2262/AA2262,"")</f>
        <v/>
      </c>
      <c r="AN2262" s="125">
        <f>IFERROR(R2262/AL2262,"")</f>
        <v/>
      </c>
      <c r="AO2262" s="122" t="n">
        <v>0</v>
      </c>
      <c r="AP2262" s="54">
        <f>IFERROR(AO2262/AL2262,"")</f>
        <v/>
      </c>
      <c r="AQ2262" s="125">
        <f>IFERROR(R2262/AO2262,"")</f>
        <v/>
      </c>
      <c r="AR2262" s="122" t="n">
        <v>0</v>
      </c>
      <c r="AS2262" s="122" t="n">
        <v>0</v>
      </c>
      <c r="AT2262" s="122">
        <f>AL2262+AR2262</f>
        <v/>
      </c>
      <c r="AU2262" s="125">
        <f>IFERROR(AO2262*Assumptions!$C$26*Assumptions!$C$27*INDEX(Assumptions!$C$18:$C$21,MATCH(H2262,Assumptions!$B$18:$B$21,0)),0)</f>
        <v/>
      </c>
    </row>
    <row r="2263">
      <c r="A2263" s="120" t="n">
        <v>46248</v>
      </c>
      <c r="B2263" s="66" t="inlineStr">
        <is>
          <t>Wk 33</t>
        </is>
      </c>
      <c r="C2263" s="66" t="inlineStr">
        <is>
          <t>Fri</t>
        </is>
      </c>
      <c r="D2263" s="66" t="inlineStr">
        <is>
          <t>Programmatic</t>
        </is>
      </c>
      <c r="E2263" s="66" t="inlineStr">
        <is>
          <t>DV360</t>
        </is>
      </c>
      <c r="F2263" s="66" t="inlineStr">
        <is>
          <t>LEP_ZA_AUG26_PROG_TD_VIDEO_OLV</t>
        </is>
      </c>
      <c r="G2263" s="66" t="inlineStr">
        <is>
          <t>Online Video / CTV</t>
        </is>
      </c>
      <c r="H2263" s="66" t="inlineStr">
        <is>
          <t>Range</t>
        </is>
      </c>
      <c r="I2263" s="66" t="inlineStr">
        <is>
          <t>Range Offer</t>
        </is>
      </c>
      <c r="J2263" s="66" t="inlineStr">
        <is>
          <t>PROG_OLV_RMKT_VIEWERS</t>
        </is>
      </c>
      <c r="K2263" s="66" t="inlineStr">
        <is>
          <t>Retargeting</t>
        </is>
      </c>
      <c r="L2263" s="66" t="inlineStr">
        <is>
          <t>PROG_OLV_10s_BookNow_v1</t>
        </is>
      </c>
      <c r="M2263" s="66" t="inlineStr">
        <is>
          <t>Video 16:9 Bumper</t>
        </is>
      </c>
      <c r="N2263" s="66" t="inlineStr">
        <is>
          <t>Book your test drive</t>
        </is>
      </c>
      <c r="O2263" s="66" t="inlineStr">
        <is>
          <t>Auction - Fixed CPM</t>
        </is>
      </c>
      <c r="P2263" s="66" t="inlineStr">
        <is>
          <t>Completed Views + CPA</t>
        </is>
      </c>
      <c r="Q2263" s="66" t="inlineStr">
        <is>
          <t>https://www.lepas-sa.co.za/book-a-test-drive</t>
        </is>
      </c>
      <c r="R2263" s="121" t="n">
        <v>66.95</v>
      </c>
      <c r="S2263" s="122" t="n">
        <v>1756</v>
      </c>
      <c r="T2263" s="122" t="n">
        <v>1053</v>
      </c>
      <c r="U2263" s="123">
        <f>IFERROR(S2263/T2263,"")</f>
        <v/>
      </c>
      <c r="V2263" s="122" t="n">
        <v>11</v>
      </c>
      <c r="W2263" s="122" t="n">
        <v>8</v>
      </c>
      <c r="X2263" s="124">
        <f>IFERROR(W2263/S2263,"")</f>
        <v/>
      </c>
      <c r="Y2263" s="121">
        <f>IFERROR(R2263/W2263,"")</f>
        <v/>
      </c>
      <c r="Z2263" s="121">
        <f>IFERROR(R2263/S2263*1000,"")</f>
        <v/>
      </c>
      <c r="AA2263" s="122" t="n">
        <v>5</v>
      </c>
      <c r="AB2263" s="54">
        <f>IFERROR(AA2263/W2263,"")</f>
        <v/>
      </c>
      <c r="AC2263" s="122" t="n">
        <v>400</v>
      </c>
      <c r="AD2263" s="122" t="n">
        <v>183</v>
      </c>
      <c r="AE2263" s="122" t="n">
        <v>159</v>
      </c>
      <c r="AF2263" s="122" t="n">
        <v>102</v>
      </c>
      <c r="AG2263" s="122" t="n">
        <v>70</v>
      </c>
      <c r="AH2263" s="122" t="n">
        <v>39</v>
      </c>
      <c r="AI2263" s="54">
        <f>IFERROR(AC2263/S2263,"")</f>
        <v/>
      </c>
      <c r="AJ2263" s="54">
        <f>IFERROR(AH2263/S2263,"")</f>
        <v/>
      </c>
      <c r="AK2263" s="122" t="n">
        <v>10</v>
      </c>
      <c r="AL2263" s="122" t="n">
        <v>0</v>
      </c>
      <c r="AM2263" s="124">
        <f>IFERROR(AL2263/AA2263,"")</f>
        <v/>
      </c>
      <c r="AN2263" s="125">
        <f>IFERROR(R2263/AL2263,"")</f>
        <v/>
      </c>
      <c r="AO2263" s="122" t="n">
        <v>0</v>
      </c>
      <c r="AP2263" s="54">
        <f>IFERROR(AO2263/AL2263,"")</f>
        <v/>
      </c>
      <c r="AQ2263" s="125">
        <f>IFERROR(R2263/AO2263,"")</f>
        <v/>
      </c>
      <c r="AR2263" s="122" t="n">
        <v>0</v>
      </c>
      <c r="AS2263" s="122" t="n">
        <v>0</v>
      </c>
      <c r="AT2263" s="122">
        <f>AL2263+AR2263</f>
        <v/>
      </c>
      <c r="AU2263" s="125">
        <f>IFERROR(AO2263*Assumptions!$C$26*Assumptions!$C$27*INDEX(Assumptions!$C$18:$C$21,MATCH(H2263,Assumptions!$B$18:$B$21,0)),0)</f>
        <v/>
      </c>
    </row>
    <row r="2264">
      <c r="A2264" s="120" t="n">
        <v>46249</v>
      </c>
      <c r="B2264" s="66" t="inlineStr">
        <is>
          <t>Wk 33</t>
        </is>
      </c>
      <c r="C2264" s="66" t="inlineStr">
        <is>
          <t>Sat</t>
        </is>
      </c>
      <c r="D2264" s="66" t="inlineStr">
        <is>
          <t>Programmatic</t>
        </is>
      </c>
      <c r="E2264" s="66" t="inlineStr">
        <is>
          <t>DV360</t>
        </is>
      </c>
      <c r="F2264" s="66" t="inlineStr">
        <is>
          <t>LEP_ZA_AUG26_PROG_TD_VIDEO_OLV</t>
        </is>
      </c>
      <c r="G2264" s="66" t="inlineStr">
        <is>
          <t>Online Video / CTV</t>
        </is>
      </c>
      <c r="H2264" s="66" t="inlineStr">
        <is>
          <t>Range</t>
        </is>
      </c>
      <c r="I2264" s="66" t="inlineStr">
        <is>
          <t>Range Offer</t>
        </is>
      </c>
      <c r="J2264" s="66" t="inlineStr">
        <is>
          <t>PROG_OLV_RMKT_VIEWERS</t>
        </is>
      </c>
      <c r="K2264" s="66" t="inlineStr">
        <is>
          <t>Retargeting</t>
        </is>
      </c>
      <c r="L2264" s="66" t="inlineStr">
        <is>
          <t>PROG_OLV_10s_BookNow_v1</t>
        </is>
      </c>
      <c r="M2264" s="66" t="inlineStr">
        <is>
          <t>Video 16:9 Bumper</t>
        </is>
      </c>
      <c r="N2264" s="66" t="inlineStr">
        <is>
          <t>Book your test drive</t>
        </is>
      </c>
      <c r="O2264" s="66" t="inlineStr">
        <is>
          <t>Auction - Fixed CPM</t>
        </is>
      </c>
      <c r="P2264" s="66" t="inlineStr">
        <is>
          <t>Completed Views + CPA</t>
        </is>
      </c>
      <c r="Q2264" s="66" t="inlineStr">
        <is>
          <t>https://www.lepas-sa.co.za/book-a-test-drive</t>
        </is>
      </c>
      <c r="R2264" s="121" t="n">
        <v>78.91</v>
      </c>
      <c r="S2264" s="122" t="n">
        <v>1798</v>
      </c>
      <c r="T2264" s="122" t="n">
        <v>714</v>
      </c>
      <c r="U2264" s="123">
        <f>IFERROR(S2264/T2264,"")</f>
        <v/>
      </c>
      <c r="V2264" s="122" t="n">
        <v>7</v>
      </c>
      <c r="W2264" s="122" t="n">
        <v>5</v>
      </c>
      <c r="X2264" s="124">
        <f>IFERROR(W2264/S2264,"")</f>
        <v/>
      </c>
      <c r="Y2264" s="121">
        <f>IFERROR(R2264/W2264,"")</f>
        <v/>
      </c>
      <c r="Z2264" s="121">
        <f>IFERROR(R2264/S2264*1000,"")</f>
        <v/>
      </c>
      <c r="AA2264" s="122" t="n">
        <v>4</v>
      </c>
      <c r="AB2264" s="54">
        <f>IFERROR(AA2264/W2264,"")</f>
        <v/>
      </c>
      <c r="AC2264" s="122" t="n">
        <v>649</v>
      </c>
      <c r="AD2264" s="122" t="n">
        <v>402</v>
      </c>
      <c r="AE2264" s="122" t="n">
        <v>266</v>
      </c>
      <c r="AF2264" s="122" t="n">
        <v>183</v>
      </c>
      <c r="AG2264" s="122" t="n">
        <v>146</v>
      </c>
      <c r="AH2264" s="122" t="n">
        <v>80</v>
      </c>
      <c r="AI2264" s="54">
        <f>IFERROR(AC2264/S2264,"")</f>
        <v/>
      </c>
      <c r="AJ2264" s="54">
        <f>IFERROR(AH2264/S2264,"")</f>
        <v/>
      </c>
      <c r="AK2264" s="122" t="n">
        <v>3</v>
      </c>
      <c r="AL2264" s="122" t="n">
        <v>1</v>
      </c>
      <c r="AM2264" s="124">
        <f>IFERROR(AL2264/AA2264,"")</f>
        <v/>
      </c>
      <c r="AN2264" s="125">
        <f>IFERROR(R2264/AL2264,"")</f>
        <v/>
      </c>
      <c r="AO2264" s="122" t="n">
        <v>1</v>
      </c>
      <c r="AP2264" s="54">
        <f>IFERROR(AO2264/AL2264,"")</f>
        <v/>
      </c>
      <c r="AQ2264" s="125">
        <f>IFERROR(R2264/AO2264,"")</f>
        <v/>
      </c>
      <c r="AR2264" s="122" t="n">
        <v>1</v>
      </c>
      <c r="AS2264" s="122" t="n">
        <v>1</v>
      </c>
      <c r="AT2264" s="122">
        <f>AL2264+AR2264</f>
        <v/>
      </c>
      <c r="AU2264" s="125">
        <f>IFERROR(AO2264*Assumptions!$C$26*Assumptions!$C$27*INDEX(Assumptions!$C$18:$C$21,MATCH(H2264,Assumptions!$B$18:$B$21,0)),0)</f>
        <v/>
      </c>
    </row>
    <row r="2265">
      <c r="A2265" s="120" t="n">
        <v>46250</v>
      </c>
      <c r="B2265" s="66" t="inlineStr">
        <is>
          <t>Wk 33</t>
        </is>
      </c>
      <c r="C2265" s="66" t="inlineStr">
        <is>
          <t>Sun</t>
        </is>
      </c>
      <c r="D2265" s="66" t="inlineStr">
        <is>
          <t>Programmatic</t>
        </is>
      </c>
      <c r="E2265" s="66" t="inlineStr">
        <is>
          <t>DV360</t>
        </is>
      </c>
      <c r="F2265" s="66" t="inlineStr">
        <is>
          <t>LEP_ZA_AUG26_PROG_TD_VIDEO_OLV</t>
        </is>
      </c>
      <c r="G2265" s="66" t="inlineStr">
        <is>
          <t>Online Video / CTV</t>
        </is>
      </c>
      <c r="H2265" s="66" t="inlineStr">
        <is>
          <t>Range</t>
        </is>
      </c>
      <c r="I2265" s="66" t="inlineStr">
        <is>
          <t>Range Offer</t>
        </is>
      </c>
      <c r="J2265" s="66" t="inlineStr">
        <is>
          <t>PROG_OLV_RMKT_VIEWERS</t>
        </is>
      </c>
      <c r="K2265" s="66" t="inlineStr">
        <is>
          <t>Retargeting</t>
        </is>
      </c>
      <c r="L2265" s="66" t="inlineStr">
        <is>
          <t>PROG_OLV_10s_BookNow_v1</t>
        </is>
      </c>
      <c r="M2265" s="66" t="inlineStr">
        <is>
          <t>Video 16:9 Bumper</t>
        </is>
      </c>
      <c r="N2265" s="66" t="inlineStr">
        <is>
          <t>Book your test drive</t>
        </is>
      </c>
      <c r="O2265" s="66" t="inlineStr">
        <is>
          <t>Auction - Fixed CPM</t>
        </is>
      </c>
      <c r="P2265" s="66" t="inlineStr">
        <is>
          <t>Completed Views + CPA</t>
        </is>
      </c>
      <c r="Q2265" s="66" t="inlineStr">
        <is>
          <t>https://www.lepas-sa.co.za/book-a-test-drive</t>
        </is>
      </c>
      <c r="R2265" s="121" t="n">
        <v>47.83</v>
      </c>
      <c r="S2265" s="122" t="n">
        <v>1499</v>
      </c>
      <c r="T2265" s="122" t="n">
        <v>739</v>
      </c>
      <c r="U2265" s="123">
        <f>IFERROR(S2265/T2265,"")</f>
        <v/>
      </c>
      <c r="V2265" s="122" t="n">
        <v>4</v>
      </c>
      <c r="W2265" s="122" t="n">
        <v>3</v>
      </c>
      <c r="X2265" s="124">
        <f>IFERROR(W2265/S2265,"")</f>
        <v/>
      </c>
      <c r="Y2265" s="121">
        <f>IFERROR(R2265/W2265,"")</f>
        <v/>
      </c>
      <c r="Z2265" s="121">
        <f>IFERROR(R2265/S2265*1000,"")</f>
        <v/>
      </c>
      <c r="AA2265" s="122" t="n">
        <v>2</v>
      </c>
      <c r="AB2265" s="54">
        <f>IFERROR(AA2265/W2265,"")</f>
        <v/>
      </c>
      <c r="AC2265" s="122" t="n">
        <v>537</v>
      </c>
      <c r="AD2265" s="122" t="n">
        <v>258</v>
      </c>
      <c r="AE2265" s="122" t="n">
        <v>287</v>
      </c>
      <c r="AF2265" s="122" t="n">
        <v>154</v>
      </c>
      <c r="AG2265" s="122" t="n">
        <v>118</v>
      </c>
      <c r="AH2265" s="122" t="n">
        <v>72</v>
      </c>
      <c r="AI2265" s="54">
        <f>IFERROR(AC2265/S2265,"")</f>
        <v/>
      </c>
      <c r="AJ2265" s="54">
        <f>IFERROR(AH2265/S2265,"")</f>
        <v/>
      </c>
      <c r="AK2265" s="122" t="n">
        <v>6</v>
      </c>
      <c r="AL2265" s="122" t="n">
        <v>0</v>
      </c>
      <c r="AM2265" s="124">
        <f>IFERROR(AL2265/AA2265,"")</f>
        <v/>
      </c>
      <c r="AN2265" s="125">
        <f>IFERROR(R2265/AL2265,"")</f>
        <v/>
      </c>
      <c r="AO2265" s="122" t="n">
        <v>0</v>
      </c>
      <c r="AP2265" s="54">
        <f>IFERROR(AO2265/AL2265,"")</f>
        <v/>
      </c>
      <c r="AQ2265" s="125">
        <f>IFERROR(R2265/AO2265,"")</f>
        <v/>
      </c>
      <c r="AR2265" s="122" t="n">
        <v>0</v>
      </c>
      <c r="AS2265" s="122" t="n">
        <v>0</v>
      </c>
      <c r="AT2265" s="122">
        <f>AL2265+AR2265</f>
        <v/>
      </c>
      <c r="AU2265" s="125">
        <f>IFERROR(AO2265*Assumptions!$C$26*Assumptions!$C$27*INDEX(Assumptions!$C$18:$C$21,MATCH(H2265,Assumptions!$B$18:$B$21,0)),0)</f>
        <v/>
      </c>
    </row>
    <row r="2266">
      <c r="A2266" s="120" t="n">
        <v>46251</v>
      </c>
      <c r="B2266" s="66" t="inlineStr">
        <is>
          <t>Wk 34</t>
        </is>
      </c>
      <c r="C2266" s="66" t="inlineStr">
        <is>
          <t>Mon</t>
        </is>
      </c>
      <c r="D2266" s="66" t="inlineStr">
        <is>
          <t>Programmatic</t>
        </is>
      </c>
      <c r="E2266" s="66" t="inlineStr">
        <is>
          <t>DV360</t>
        </is>
      </c>
      <c r="F2266" s="66" t="inlineStr">
        <is>
          <t>LEP_ZA_AUG26_PROG_TD_VIDEO_OLV</t>
        </is>
      </c>
      <c r="G2266" s="66" t="inlineStr">
        <is>
          <t>Online Video / CTV</t>
        </is>
      </c>
      <c r="H2266" s="66" t="inlineStr">
        <is>
          <t>Range</t>
        </is>
      </c>
      <c r="I2266" s="66" t="inlineStr">
        <is>
          <t>Range Offer</t>
        </is>
      </c>
      <c r="J2266" s="66" t="inlineStr">
        <is>
          <t>PROG_OLV_RMKT_VIEWERS</t>
        </is>
      </c>
      <c r="K2266" s="66" t="inlineStr">
        <is>
          <t>Retargeting</t>
        </is>
      </c>
      <c r="L2266" s="66" t="inlineStr">
        <is>
          <t>PROG_OLV_10s_BookNow_v1</t>
        </is>
      </c>
      <c r="M2266" s="66" t="inlineStr">
        <is>
          <t>Video 16:9 Bumper</t>
        </is>
      </c>
      <c r="N2266" s="66" t="inlineStr">
        <is>
          <t>Book your test drive</t>
        </is>
      </c>
      <c r="O2266" s="66" t="inlineStr">
        <is>
          <t>Auction - Fixed CPM</t>
        </is>
      </c>
      <c r="P2266" s="66" t="inlineStr">
        <is>
          <t>Completed Views + CPA</t>
        </is>
      </c>
      <c r="Q2266" s="66" t="inlineStr">
        <is>
          <t>https://www.lepas-sa.co.za/book-a-test-drive</t>
        </is>
      </c>
      <c r="R2266" s="121" t="n">
        <v>65.11</v>
      </c>
      <c r="S2266" s="122" t="n">
        <v>1605</v>
      </c>
      <c r="T2266" s="122" t="n">
        <v>717</v>
      </c>
      <c r="U2266" s="123">
        <f>IFERROR(S2266/T2266,"")</f>
        <v/>
      </c>
      <c r="V2266" s="122" t="n">
        <v>2</v>
      </c>
      <c r="W2266" s="122" t="n">
        <v>2</v>
      </c>
      <c r="X2266" s="124">
        <f>IFERROR(W2266/S2266,"")</f>
        <v/>
      </c>
      <c r="Y2266" s="121">
        <f>IFERROR(R2266/W2266,"")</f>
        <v/>
      </c>
      <c r="Z2266" s="121">
        <f>IFERROR(R2266/S2266*1000,"")</f>
        <v/>
      </c>
      <c r="AA2266" s="122" t="n">
        <v>2</v>
      </c>
      <c r="AB2266" s="54">
        <f>IFERROR(AA2266/W2266,"")</f>
        <v/>
      </c>
      <c r="AC2266" s="122" t="n">
        <v>354</v>
      </c>
      <c r="AD2266" s="122" t="n">
        <v>160</v>
      </c>
      <c r="AE2266" s="122" t="n">
        <v>151</v>
      </c>
      <c r="AF2266" s="122" t="n">
        <v>89</v>
      </c>
      <c r="AG2266" s="122" t="n">
        <v>62</v>
      </c>
      <c r="AH2266" s="122" t="n">
        <v>45</v>
      </c>
      <c r="AI2266" s="54">
        <f>IFERROR(AC2266/S2266,"")</f>
        <v/>
      </c>
      <c r="AJ2266" s="54">
        <f>IFERROR(AH2266/S2266,"")</f>
        <v/>
      </c>
      <c r="AK2266" s="122" t="n">
        <v>2</v>
      </c>
      <c r="AL2266" s="122" t="n">
        <v>0</v>
      </c>
      <c r="AM2266" s="124">
        <f>IFERROR(AL2266/AA2266,"")</f>
        <v/>
      </c>
      <c r="AN2266" s="125">
        <f>IFERROR(R2266/AL2266,"")</f>
        <v/>
      </c>
      <c r="AO2266" s="122" t="n">
        <v>0</v>
      </c>
      <c r="AP2266" s="54">
        <f>IFERROR(AO2266/AL2266,"")</f>
        <v/>
      </c>
      <c r="AQ2266" s="125">
        <f>IFERROR(R2266/AO2266,"")</f>
        <v/>
      </c>
      <c r="AR2266" s="122" t="n">
        <v>0</v>
      </c>
      <c r="AS2266" s="122" t="n">
        <v>0</v>
      </c>
      <c r="AT2266" s="122">
        <f>AL2266+AR2266</f>
        <v/>
      </c>
      <c r="AU2266" s="125">
        <f>IFERROR(AO2266*Assumptions!$C$26*Assumptions!$C$27*INDEX(Assumptions!$C$18:$C$21,MATCH(H2266,Assumptions!$B$18:$B$21,0)),0)</f>
        <v/>
      </c>
    </row>
    <row r="2267">
      <c r="A2267" s="120" t="n">
        <v>46252</v>
      </c>
      <c r="B2267" s="66" t="inlineStr">
        <is>
          <t>Wk 34</t>
        </is>
      </c>
      <c r="C2267" s="66" t="inlineStr">
        <is>
          <t>Tue</t>
        </is>
      </c>
      <c r="D2267" s="66" t="inlineStr">
        <is>
          <t>Programmatic</t>
        </is>
      </c>
      <c r="E2267" s="66" t="inlineStr">
        <is>
          <t>DV360</t>
        </is>
      </c>
      <c r="F2267" s="66" t="inlineStr">
        <is>
          <t>LEP_ZA_AUG26_PROG_TD_VIDEO_OLV</t>
        </is>
      </c>
      <c r="G2267" s="66" t="inlineStr">
        <is>
          <t>Online Video / CTV</t>
        </is>
      </c>
      <c r="H2267" s="66" t="inlineStr">
        <is>
          <t>Range</t>
        </is>
      </c>
      <c r="I2267" s="66" t="inlineStr">
        <is>
          <t>Range Offer</t>
        </is>
      </c>
      <c r="J2267" s="66" t="inlineStr">
        <is>
          <t>PROG_OLV_RMKT_VIEWERS</t>
        </is>
      </c>
      <c r="K2267" s="66" t="inlineStr">
        <is>
          <t>Retargeting</t>
        </is>
      </c>
      <c r="L2267" s="66" t="inlineStr">
        <is>
          <t>PROG_OLV_10s_BookNow_v1</t>
        </is>
      </c>
      <c r="M2267" s="66" t="inlineStr">
        <is>
          <t>Video 16:9 Bumper</t>
        </is>
      </c>
      <c r="N2267" s="66" t="inlineStr">
        <is>
          <t>Book your test drive</t>
        </is>
      </c>
      <c r="O2267" s="66" t="inlineStr">
        <is>
          <t>Auction - Fixed CPM</t>
        </is>
      </c>
      <c r="P2267" s="66" t="inlineStr">
        <is>
          <t>Completed Views + CPA</t>
        </is>
      </c>
      <c r="Q2267" s="66" t="inlineStr">
        <is>
          <t>https://www.lepas-sa.co.za/book-a-test-drive</t>
        </is>
      </c>
      <c r="R2267" s="121" t="n">
        <v>62.35</v>
      </c>
      <c r="S2267" s="122" t="n">
        <v>1751</v>
      </c>
      <c r="T2267" s="122" t="n">
        <v>1140</v>
      </c>
      <c r="U2267" s="123">
        <f>IFERROR(S2267/T2267,"")</f>
        <v/>
      </c>
      <c r="V2267" s="122" t="n">
        <v>9</v>
      </c>
      <c r="W2267" s="122" t="n">
        <v>7</v>
      </c>
      <c r="X2267" s="124">
        <f>IFERROR(W2267/S2267,"")</f>
        <v/>
      </c>
      <c r="Y2267" s="121">
        <f>IFERROR(R2267/W2267,"")</f>
        <v/>
      </c>
      <c r="Z2267" s="121">
        <f>IFERROR(R2267/S2267*1000,"")</f>
        <v/>
      </c>
      <c r="AA2267" s="122" t="n">
        <v>4</v>
      </c>
      <c r="AB2267" s="54">
        <f>IFERROR(AA2267/W2267,"")</f>
        <v/>
      </c>
      <c r="AC2267" s="122" t="n">
        <v>516</v>
      </c>
      <c r="AD2267" s="122" t="n">
        <v>316</v>
      </c>
      <c r="AE2267" s="122" t="n">
        <v>264</v>
      </c>
      <c r="AF2267" s="122" t="n">
        <v>178</v>
      </c>
      <c r="AG2267" s="122" t="n">
        <v>115</v>
      </c>
      <c r="AH2267" s="122" t="n">
        <v>65</v>
      </c>
      <c r="AI2267" s="54">
        <f>IFERROR(AC2267/S2267,"")</f>
        <v/>
      </c>
      <c r="AJ2267" s="54">
        <f>IFERROR(AH2267/S2267,"")</f>
        <v/>
      </c>
      <c r="AK2267" s="122" t="n">
        <v>9</v>
      </c>
      <c r="AL2267" s="122" t="n">
        <v>0</v>
      </c>
      <c r="AM2267" s="124">
        <f>IFERROR(AL2267/AA2267,"")</f>
        <v/>
      </c>
      <c r="AN2267" s="125">
        <f>IFERROR(R2267/AL2267,"")</f>
        <v/>
      </c>
      <c r="AO2267" s="122" t="n">
        <v>0</v>
      </c>
      <c r="AP2267" s="54">
        <f>IFERROR(AO2267/AL2267,"")</f>
        <v/>
      </c>
      <c r="AQ2267" s="125">
        <f>IFERROR(R2267/AO2267,"")</f>
        <v/>
      </c>
      <c r="AR2267" s="122" t="n">
        <v>0</v>
      </c>
      <c r="AS2267" s="122" t="n">
        <v>0</v>
      </c>
      <c r="AT2267" s="122">
        <f>AL2267+AR2267</f>
        <v/>
      </c>
      <c r="AU2267" s="125">
        <f>IFERROR(AO2267*Assumptions!$C$26*Assumptions!$C$27*INDEX(Assumptions!$C$18:$C$21,MATCH(H2267,Assumptions!$B$18:$B$21,0)),0)</f>
        <v/>
      </c>
    </row>
    <row r="2268">
      <c r="A2268" s="120" t="n">
        <v>46253</v>
      </c>
      <c r="B2268" s="66" t="inlineStr">
        <is>
          <t>Wk 34</t>
        </is>
      </c>
      <c r="C2268" s="66" t="inlineStr">
        <is>
          <t>Wed</t>
        </is>
      </c>
      <c r="D2268" s="66" t="inlineStr">
        <is>
          <t>Programmatic</t>
        </is>
      </c>
      <c r="E2268" s="66" t="inlineStr">
        <is>
          <t>DV360</t>
        </is>
      </c>
      <c r="F2268" s="66" t="inlineStr">
        <is>
          <t>LEP_ZA_AUG26_PROG_TD_VIDEO_OLV</t>
        </is>
      </c>
      <c r="G2268" s="66" t="inlineStr">
        <is>
          <t>Online Video / CTV</t>
        </is>
      </c>
      <c r="H2268" s="66" t="inlineStr">
        <is>
          <t>Range</t>
        </is>
      </c>
      <c r="I2268" s="66" t="inlineStr">
        <is>
          <t>Range Offer</t>
        </is>
      </c>
      <c r="J2268" s="66" t="inlineStr">
        <is>
          <t>PROG_OLV_RMKT_VIEWERS</t>
        </is>
      </c>
      <c r="K2268" s="66" t="inlineStr">
        <is>
          <t>Retargeting</t>
        </is>
      </c>
      <c r="L2268" s="66" t="inlineStr">
        <is>
          <t>PROG_OLV_10s_BookNow_v1</t>
        </is>
      </c>
      <c r="M2268" s="66" t="inlineStr">
        <is>
          <t>Video 16:9 Bumper</t>
        </is>
      </c>
      <c r="N2268" s="66" t="inlineStr">
        <is>
          <t>Book your test drive</t>
        </is>
      </c>
      <c r="O2268" s="66" t="inlineStr">
        <is>
          <t>Auction - Fixed CPM</t>
        </is>
      </c>
      <c r="P2268" s="66" t="inlineStr">
        <is>
          <t>Completed Views + CPA</t>
        </is>
      </c>
      <c r="Q2268" s="66" t="inlineStr">
        <is>
          <t>https://www.lepas-sa.co.za/book-a-test-drive</t>
        </is>
      </c>
      <c r="R2268" s="121" t="n">
        <v>54.59</v>
      </c>
      <c r="S2268" s="122" t="n">
        <v>2401</v>
      </c>
      <c r="T2268" s="122" t="n">
        <v>1467</v>
      </c>
      <c r="U2268" s="123">
        <f>IFERROR(S2268/T2268,"")</f>
        <v/>
      </c>
      <c r="V2268" s="122" t="n">
        <v>6</v>
      </c>
      <c r="W2268" s="122" t="n">
        <v>4</v>
      </c>
      <c r="X2268" s="124">
        <f>IFERROR(W2268/S2268,"")</f>
        <v/>
      </c>
      <c r="Y2268" s="121">
        <f>IFERROR(R2268/W2268,"")</f>
        <v/>
      </c>
      <c r="Z2268" s="121">
        <f>IFERROR(R2268/S2268*1000,"")</f>
        <v/>
      </c>
      <c r="AA2268" s="122" t="n">
        <v>2</v>
      </c>
      <c r="AB2268" s="54">
        <f>IFERROR(AA2268/W2268,"")</f>
        <v/>
      </c>
      <c r="AC2268" s="122" t="n">
        <v>886</v>
      </c>
      <c r="AD2268" s="122" t="n">
        <v>432</v>
      </c>
      <c r="AE2268" s="122" t="n">
        <v>440</v>
      </c>
      <c r="AF2268" s="122" t="n">
        <v>248</v>
      </c>
      <c r="AG2268" s="122" t="n">
        <v>192</v>
      </c>
      <c r="AH2268" s="122" t="n">
        <v>108</v>
      </c>
      <c r="AI2268" s="54">
        <f>IFERROR(AC2268/S2268,"")</f>
        <v/>
      </c>
      <c r="AJ2268" s="54">
        <f>IFERROR(AH2268/S2268,"")</f>
        <v/>
      </c>
      <c r="AK2268" s="122" t="n">
        <v>7</v>
      </c>
      <c r="AL2268" s="122" t="n">
        <v>0</v>
      </c>
      <c r="AM2268" s="124">
        <f>IFERROR(AL2268/AA2268,"")</f>
        <v/>
      </c>
      <c r="AN2268" s="125">
        <f>IFERROR(R2268/AL2268,"")</f>
        <v/>
      </c>
      <c r="AO2268" s="122" t="n">
        <v>0</v>
      </c>
      <c r="AP2268" s="54">
        <f>IFERROR(AO2268/AL2268,"")</f>
        <v/>
      </c>
      <c r="AQ2268" s="125">
        <f>IFERROR(R2268/AO2268,"")</f>
        <v/>
      </c>
      <c r="AR2268" s="122" t="n">
        <v>0</v>
      </c>
      <c r="AS2268" s="122" t="n">
        <v>0</v>
      </c>
      <c r="AT2268" s="122">
        <f>AL2268+AR2268</f>
        <v/>
      </c>
      <c r="AU2268" s="125">
        <f>IFERROR(AO2268*Assumptions!$C$26*Assumptions!$C$27*INDEX(Assumptions!$C$18:$C$21,MATCH(H2268,Assumptions!$B$18:$B$21,0)),0)</f>
        <v/>
      </c>
    </row>
    <row r="2269">
      <c r="A2269" s="120" t="n">
        <v>46254</v>
      </c>
      <c r="B2269" s="66" t="inlineStr">
        <is>
          <t>Wk 34</t>
        </is>
      </c>
      <c r="C2269" s="66" t="inlineStr">
        <is>
          <t>Thu</t>
        </is>
      </c>
      <c r="D2269" s="66" t="inlineStr">
        <is>
          <t>Programmatic</t>
        </is>
      </c>
      <c r="E2269" s="66" t="inlineStr">
        <is>
          <t>DV360</t>
        </is>
      </c>
      <c r="F2269" s="66" t="inlineStr">
        <is>
          <t>LEP_ZA_AUG26_PROG_TD_VIDEO_OLV</t>
        </is>
      </c>
      <c r="G2269" s="66" t="inlineStr">
        <is>
          <t>Online Video / CTV</t>
        </is>
      </c>
      <c r="H2269" s="66" t="inlineStr">
        <is>
          <t>Range</t>
        </is>
      </c>
      <c r="I2269" s="66" t="inlineStr">
        <is>
          <t>Range Offer</t>
        </is>
      </c>
      <c r="J2269" s="66" t="inlineStr">
        <is>
          <t>PROG_OLV_RMKT_VIEWERS</t>
        </is>
      </c>
      <c r="K2269" s="66" t="inlineStr">
        <is>
          <t>Retargeting</t>
        </is>
      </c>
      <c r="L2269" s="66" t="inlineStr">
        <is>
          <t>PROG_OLV_10s_BookNow_v1</t>
        </is>
      </c>
      <c r="M2269" s="66" t="inlineStr">
        <is>
          <t>Video 16:9 Bumper</t>
        </is>
      </c>
      <c r="N2269" s="66" t="inlineStr">
        <is>
          <t>Book your test drive</t>
        </is>
      </c>
      <c r="O2269" s="66" t="inlineStr">
        <is>
          <t>Auction - Fixed CPM</t>
        </is>
      </c>
      <c r="P2269" s="66" t="inlineStr">
        <is>
          <t>Completed Views + CPA</t>
        </is>
      </c>
      <c r="Q2269" s="66" t="inlineStr">
        <is>
          <t>https://www.lepas-sa.co.za/book-a-test-drive</t>
        </is>
      </c>
      <c r="R2269" s="121" t="n">
        <v>72.29000000000001</v>
      </c>
      <c r="S2269" s="122" t="n">
        <v>2080</v>
      </c>
      <c r="T2269" s="122" t="n">
        <v>851</v>
      </c>
      <c r="U2269" s="123">
        <f>IFERROR(S2269/T2269,"")</f>
        <v/>
      </c>
      <c r="V2269" s="122" t="n">
        <v>8</v>
      </c>
      <c r="W2269" s="122" t="n">
        <v>7</v>
      </c>
      <c r="X2269" s="124">
        <f>IFERROR(W2269/S2269,"")</f>
        <v/>
      </c>
      <c r="Y2269" s="121">
        <f>IFERROR(R2269/W2269,"")</f>
        <v/>
      </c>
      <c r="Z2269" s="121">
        <f>IFERROR(R2269/S2269*1000,"")</f>
        <v/>
      </c>
      <c r="AA2269" s="122" t="n">
        <v>5</v>
      </c>
      <c r="AB2269" s="54">
        <f>IFERROR(AA2269/W2269,"")</f>
        <v/>
      </c>
      <c r="AC2269" s="122" t="n">
        <v>835</v>
      </c>
      <c r="AD2269" s="122" t="n">
        <v>468</v>
      </c>
      <c r="AE2269" s="122" t="n">
        <v>395</v>
      </c>
      <c r="AF2269" s="122" t="n">
        <v>267</v>
      </c>
      <c r="AG2269" s="122" t="n">
        <v>173</v>
      </c>
      <c r="AH2269" s="122" t="n">
        <v>98</v>
      </c>
      <c r="AI2269" s="54">
        <f>IFERROR(AC2269/S2269,"")</f>
        <v/>
      </c>
      <c r="AJ2269" s="54">
        <f>IFERROR(AH2269/S2269,"")</f>
        <v/>
      </c>
      <c r="AK2269" s="122" t="n">
        <v>6</v>
      </c>
      <c r="AL2269" s="122" t="n">
        <v>0</v>
      </c>
      <c r="AM2269" s="124">
        <f>IFERROR(AL2269/AA2269,"")</f>
        <v/>
      </c>
      <c r="AN2269" s="125">
        <f>IFERROR(R2269/AL2269,"")</f>
        <v/>
      </c>
      <c r="AO2269" s="122" t="n">
        <v>0</v>
      </c>
      <c r="AP2269" s="54">
        <f>IFERROR(AO2269/AL2269,"")</f>
        <v/>
      </c>
      <c r="AQ2269" s="125">
        <f>IFERROR(R2269/AO2269,"")</f>
        <v/>
      </c>
      <c r="AR2269" s="122" t="n">
        <v>0</v>
      </c>
      <c r="AS2269" s="122" t="n">
        <v>0</v>
      </c>
      <c r="AT2269" s="122">
        <f>AL2269+AR2269</f>
        <v/>
      </c>
      <c r="AU2269" s="125">
        <f>IFERROR(AO2269*Assumptions!$C$26*Assumptions!$C$27*INDEX(Assumptions!$C$18:$C$21,MATCH(H2269,Assumptions!$B$18:$B$21,0)),0)</f>
        <v/>
      </c>
    </row>
    <row r="2270">
      <c r="A2270" s="120" t="n">
        <v>46255</v>
      </c>
      <c r="B2270" s="66" t="inlineStr">
        <is>
          <t>Wk 34</t>
        </is>
      </c>
      <c r="C2270" s="66" t="inlineStr">
        <is>
          <t>Fri</t>
        </is>
      </c>
      <c r="D2270" s="66" t="inlineStr">
        <is>
          <t>Programmatic</t>
        </is>
      </c>
      <c r="E2270" s="66" t="inlineStr">
        <is>
          <t>DV360</t>
        </is>
      </c>
      <c r="F2270" s="66" t="inlineStr">
        <is>
          <t>LEP_ZA_AUG26_PROG_TD_VIDEO_OLV</t>
        </is>
      </c>
      <c r="G2270" s="66" t="inlineStr">
        <is>
          <t>Online Video / CTV</t>
        </is>
      </c>
      <c r="H2270" s="66" t="inlineStr">
        <is>
          <t>Range</t>
        </is>
      </c>
      <c r="I2270" s="66" t="inlineStr">
        <is>
          <t>Range Offer</t>
        </is>
      </c>
      <c r="J2270" s="66" t="inlineStr">
        <is>
          <t>PROG_OLV_RMKT_VIEWERS</t>
        </is>
      </c>
      <c r="K2270" s="66" t="inlineStr">
        <is>
          <t>Retargeting</t>
        </is>
      </c>
      <c r="L2270" s="66" t="inlineStr">
        <is>
          <t>PROG_OLV_10s_BookNow_v1</t>
        </is>
      </c>
      <c r="M2270" s="66" t="inlineStr">
        <is>
          <t>Video 16:9 Bumper</t>
        </is>
      </c>
      <c r="N2270" s="66" t="inlineStr">
        <is>
          <t>Book your test drive</t>
        </is>
      </c>
      <c r="O2270" s="66" t="inlineStr">
        <is>
          <t>Auction - Fixed CPM</t>
        </is>
      </c>
      <c r="P2270" s="66" t="inlineStr">
        <is>
          <t>Completed Views + CPA</t>
        </is>
      </c>
      <c r="Q2270" s="66" t="inlineStr">
        <is>
          <t>https://www.lepas-sa.co.za/book-a-test-drive</t>
        </is>
      </c>
      <c r="R2270" s="121" t="n">
        <v>68.68000000000001</v>
      </c>
      <c r="S2270" s="122" t="n">
        <v>2517</v>
      </c>
      <c r="T2270" s="122" t="n">
        <v>1196</v>
      </c>
      <c r="U2270" s="123">
        <f>IFERROR(S2270/T2270,"")</f>
        <v/>
      </c>
      <c r="V2270" s="122" t="n">
        <v>13</v>
      </c>
      <c r="W2270" s="122" t="n">
        <v>10</v>
      </c>
      <c r="X2270" s="124">
        <f>IFERROR(W2270/S2270,"")</f>
        <v/>
      </c>
      <c r="Y2270" s="121">
        <f>IFERROR(R2270/W2270,"")</f>
        <v/>
      </c>
      <c r="Z2270" s="121">
        <f>IFERROR(R2270/S2270*1000,"")</f>
        <v/>
      </c>
      <c r="AA2270" s="122" t="n">
        <v>8</v>
      </c>
      <c r="AB2270" s="54">
        <f>IFERROR(AA2270/W2270,"")</f>
        <v/>
      </c>
      <c r="AC2270" s="122" t="n">
        <v>868</v>
      </c>
      <c r="AD2270" s="122" t="n">
        <v>463</v>
      </c>
      <c r="AE2270" s="122" t="n">
        <v>453</v>
      </c>
      <c r="AF2270" s="122" t="n">
        <v>243</v>
      </c>
      <c r="AG2270" s="122" t="n">
        <v>160</v>
      </c>
      <c r="AH2270" s="122" t="n">
        <v>115</v>
      </c>
      <c r="AI2270" s="54">
        <f>IFERROR(AC2270/S2270,"")</f>
        <v/>
      </c>
      <c r="AJ2270" s="54">
        <f>IFERROR(AH2270/S2270,"")</f>
        <v/>
      </c>
      <c r="AK2270" s="122" t="n">
        <v>7</v>
      </c>
      <c r="AL2270" s="122" t="n">
        <v>1</v>
      </c>
      <c r="AM2270" s="124">
        <f>IFERROR(AL2270/AA2270,"")</f>
        <v/>
      </c>
      <c r="AN2270" s="125">
        <f>IFERROR(R2270/AL2270,"")</f>
        <v/>
      </c>
      <c r="AO2270" s="122" t="n">
        <v>1</v>
      </c>
      <c r="AP2270" s="54">
        <f>IFERROR(AO2270/AL2270,"")</f>
        <v/>
      </c>
      <c r="AQ2270" s="125">
        <f>IFERROR(R2270/AO2270,"")</f>
        <v/>
      </c>
      <c r="AR2270" s="122" t="n">
        <v>2</v>
      </c>
      <c r="AS2270" s="122" t="n">
        <v>1</v>
      </c>
      <c r="AT2270" s="122">
        <f>AL2270+AR2270</f>
        <v/>
      </c>
      <c r="AU2270" s="125">
        <f>IFERROR(AO2270*Assumptions!$C$26*Assumptions!$C$27*INDEX(Assumptions!$C$18:$C$21,MATCH(H2270,Assumptions!$B$18:$B$21,0)),0)</f>
        <v/>
      </c>
    </row>
    <row r="2271">
      <c r="A2271" s="120" t="n">
        <v>46256</v>
      </c>
      <c r="B2271" s="66" t="inlineStr">
        <is>
          <t>Wk 34</t>
        </is>
      </c>
      <c r="C2271" s="66" t="inlineStr">
        <is>
          <t>Sat</t>
        </is>
      </c>
      <c r="D2271" s="66" t="inlineStr">
        <is>
          <t>Programmatic</t>
        </is>
      </c>
      <c r="E2271" s="66" t="inlineStr">
        <is>
          <t>DV360</t>
        </is>
      </c>
      <c r="F2271" s="66" t="inlineStr">
        <is>
          <t>LEP_ZA_AUG26_PROG_TD_VIDEO_OLV</t>
        </is>
      </c>
      <c r="G2271" s="66" t="inlineStr">
        <is>
          <t>Online Video / CTV</t>
        </is>
      </c>
      <c r="H2271" s="66" t="inlineStr">
        <is>
          <t>Range</t>
        </is>
      </c>
      <c r="I2271" s="66" t="inlineStr">
        <is>
          <t>Range Offer</t>
        </is>
      </c>
      <c r="J2271" s="66" t="inlineStr">
        <is>
          <t>PROG_OLV_RMKT_VIEWERS</t>
        </is>
      </c>
      <c r="K2271" s="66" t="inlineStr">
        <is>
          <t>Retargeting</t>
        </is>
      </c>
      <c r="L2271" s="66" t="inlineStr">
        <is>
          <t>PROG_OLV_10s_BookNow_v1</t>
        </is>
      </c>
      <c r="M2271" s="66" t="inlineStr">
        <is>
          <t>Video 16:9 Bumper</t>
        </is>
      </c>
      <c r="N2271" s="66" t="inlineStr">
        <is>
          <t>Book your test drive</t>
        </is>
      </c>
      <c r="O2271" s="66" t="inlineStr">
        <is>
          <t>Auction - Fixed CPM</t>
        </is>
      </c>
      <c r="P2271" s="66" t="inlineStr">
        <is>
          <t>Completed Views + CPA</t>
        </is>
      </c>
      <c r="Q2271" s="66" t="inlineStr">
        <is>
          <t>https://www.lepas-sa.co.za/book-a-test-drive</t>
        </is>
      </c>
      <c r="R2271" s="121" t="n">
        <v>61.7</v>
      </c>
      <c r="S2271" s="122" t="n">
        <v>1470</v>
      </c>
      <c r="T2271" s="122" t="n">
        <v>814</v>
      </c>
      <c r="U2271" s="123">
        <f>IFERROR(S2271/T2271,"")</f>
        <v/>
      </c>
      <c r="V2271" s="122" t="n">
        <v>7</v>
      </c>
      <c r="W2271" s="122" t="n">
        <v>5</v>
      </c>
      <c r="X2271" s="124">
        <f>IFERROR(W2271/S2271,"")</f>
        <v/>
      </c>
      <c r="Y2271" s="121">
        <f>IFERROR(R2271/W2271,"")</f>
        <v/>
      </c>
      <c r="Z2271" s="121">
        <f>IFERROR(R2271/S2271*1000,"")</f>
        <v/>
      </c>
      <c r="AA2271" s="122" t="n">
        <v>4</v>
      </c>
      <c r="AB2271" s="54">
        <f>IFERROR(AA2271/W2271,"")</f>
        <v/>
      </c>
      <c r="AC2271" s="122" t="n">
        <v>514</v>
      </c>
      <c r="AD2271" s="122" t="n">
        <v>296</v>
      </c>
      <c r="AE2271" s="122" t="n">
        <v>187</v>
      </c>
      <c r="AF2271" s="122" t="n">
        <v>128</v>
      </c>
      <c r="AG2271" s="122" t="n">
        <v>96</v>
      </c>
      <c r="AH2271" s="122" t="n">
        <v>62</v>
      </c>
      <c r="AI2271" s="54">
        <f>IFERROR(AC2271/S2271,"")</f>
        <v/>
      </c>
      <c r="AJ2271" s="54">
        <f>IFERROR(AH2271/S2271,"")</f>
        <v/>
      </c>
      <c r="AK2271" s="122" t="n">
        <v>5</v>
      </c>
      <c r="AL2271" s="122" t="n">
        <v>0</v>
      </c>
      <c r="AM2271" s="124">
        <f>IFERROR(AL2271/AA2271,"")</f>
        <v/>
      </c>
      <c r="AN2271" s="125">
        <f>IFERROR(R2271/AL2271,"")</f>
        <v/>
      </c>
      <c r="AO2271" s="122" t="n">
        <v>0</v>
      </c>
      <c r="AP2271" s="54">
        <f>IFERROR(AO2271/AL2271,"")</f>
        <v/>
      </c>
      <c r="AQ2271" s="125">
        <f>IFERROR(R2271/AO2271,"")</f>
        <v/>
      </c>
      <c r="AR2271" s="122" t="n">
        <v>0</v>
      </c>
      <c r="AS2271" s="122" t="n">
        <v>0</v>
      </c>
      <c r="AT2271" s="122">
        <f>AL2271+AR2271</f>
        <v/>
      </c>
      <c r="AU2271" s="125">
        <f>IFERROR(AO2271*Assumptions!$C$26*Assumptions!$C$27*INDEX(Assumptions!$C$18:$C$21,MATCH(H2271,Assumptions!$B$18:$B$21,0)),0)</f>
        <v/>
      </c>
    </row>
    <row r="2272">
      <c r="A2272" s="120" t="n">
        <v>46257</v>
      </c>
      <c r="B2272" s="66" t="inlineStr">
        <is>
          <t>Wk 34</t>
        </is>
      </c>
      <c r="C2272" s="66" t="inlineStr">
        <is>
          <t>Sun</t>
        </is>
      </c>
      <c r="D2272" s="66" t="inlineStr">
        <is>
          <t>Programmatic</t>
        </is>
      </c>
      <c r="E2272" s="66" t="inlineStr">
        <is>
          <t>DV360</t>
        </is>
      </c>
      <c r="F2272" s="66" t="inlineStr">
        <is>
          <t>LEP_ZA_AUG26_PROG_TD_VIDEO_OLV</t>
        </is>
      </c>
      <c r="G2272" s="66" t="inlineStr">
        <is>
          <t>Online Video / CTV</t>
        </is>
      </c>
      <c r="H2272" s="66" t="inlineStr">
        <is>
          <t>Range</t>
        </is>
      </c>
      <c r="I2272" s="66" t="inlineStr">
        <is>
          <t>Range Offer</t>
        </is>
      </c>
      <c r="J2272" s="66" t="inlineStr">
        <is>
          <t>PROG_OLV_RMKT_VIEWERS</t>
        </is>
      </c>
      <c r="K2272" s="66" t="inlineStr">
        <is>
          <t>Retargeting</t>
        </is>
      </c>
      <c r="L2272" s="66" t="inlineStr">
        <is>
          <t>PROG_OLV_10s_BookNow_v1</t>
        </is>
      </c>
      <c r="M2272" s="66" t="inlineStr">
        <is>
          <t>Video 16:9 Bumper</t>
        </is>
      </c>
      <c r="N2272" s="66" t="inlineStr">
        <is>
          <t>Book your test drive</t>
        </is>
      </c>
      <c r="O2272" s="66" t="inlineStr">
        <is>
          <t>Auction - Fixed CPM</t>
        </is>
      </c>
      <c r="P2272" s="66" t="inlineStr">
        <is>
          <t>Completed Views + CPA</t>
        </is>
      </c>
      <c r="Q2272" s="66" t="inlineStr">
        <is>
          <t>https://www.lepas-sa.co.za/book-a-test-drive</t>
        </is>
      </c>
      <c r="R2272" s="121" t="n">
        <v>53.3</v>
      </c>
      <c r="S2272" s="122" t="n">
        <v>1588</v>
      </c>
      <c r="T2272" s="122" t="n">
        <v>629</v>
      </c>
      <c r="U2272" s="123">
        <f>IFERROR(S2272/T2272,"")</f>
        <v/>
      </c>
      <c r="V2272" s="122" t="n">
        <v>6</v>
      </c>
      <c r="W2272" s="122" t="n">
        <v>5</v>
      </c>
      <c r="X2272" s="124">
        <f>IFERROR(W2272/S2272,"")</f>
        <v/>
      </c>
      <c r="Y2272" s="121">
        <f>IFERROR(R2272/W2272,"")</f>
        <v/>
      </c>
      <c r="Z2272" s="121">
        <f>IFERROR(R2272/S2272*1000,"")</f>
        <v/>
      </c>
      <c r="AA2272" s="122" t="n">
        <v>3</v>
      </c>
      <c r="AB2272" s="54">
        <f>IFERROR(AA2272/W2272,"")</f>
        <v/>
      </c>
      <c r="AC2272" s="122" t="n">
        <v>352</v>
      </c>
      <c r="AD2272" s="122" t="n">
        <v>169</v>
      </c>
      <c r="AE2272" s="122" t="n">
        <v>149</v>
      </c>
      <c r="AF2272" s="122" t="n">
        <v>96</v>
      </c>
      <c r="AG2272" s="122" t="n">
        <v>62</v>
      </c>
      <c r="AH2272" s="122" t="n">
        <v>35</v>
      </c>
      <c r="AI2272" s="54">
        <f>IFERROR(AC2272/S2272,"")</f>
        <v/>
      </c>
      <c r="AJ2272" s="54">
        <f>IFERROR(AH2272/S2272,"")</f>
        <v/>
      </c>
      <c r="AK2272" s="122" t="n">
        <v>3</v>
      </c>
      <c r="AL2272" s="122" t="n">
        <v>0</v>
      </c>
      <c r="AM2272" s="124">
        <f>IFERROR(AL2272/AA2272,"")</f>
        <v/>
      </c>
      <c r="AN2272" s="125">
        <f>IFERROR(R2272/AL2272,"")</f>
        <v/>
      </c>
      <c r="AO2272" s="122" t="n">
        <v>0</v>
      </c>
      <c r="AP2272" s="54">
        <f>IFERROR(AO2272/AL2272,"")</f>
        <v/>
      </c>
      <c r="AQ2272" s="125">
        <f>IFERROR(R2272/AO2272,"")</f>
        <v/>
      </c>
      <c r="AR2272" s="122" t="n">
        <v>0</v>
      </c>
      <c r="AS2272" s="122" t="n">
        <v>0</v>
      </c>
      <c r="AT2272" s="122">
        <f>AL2272+AR2272</f>
        <v/>
      </c>
      <c r="AU2272" s="125">
        <f>IFERROR(AO2272*Assumptions!$C$26*Assumptions!$C$27*INDEX(Assumptions!$C$18:$C$21,MATCH(H2272,Assumptions!$B$18:$B$21,0)),0)</f>
        <v/>
      </c>
    </row>
    <row r="2273">
      <c r="A2273" s="120" t="n">
        <v>46258</v>
      </c>
      <c r="B2273" s="66" t="inlineStr">
        <is>
          <t>Wk 35</t>
        </is>
      </c>
      <c r="C2273" s="66" t="inlineStr">
        <is>
          <t>Mon</t>
        </is>
      </c>
      <c r="D2273" s="66" t="inlineStr">
        <is>
          <t>Programmatic</t>
        </is>
      </c>
      <c r="E2273" s="66" t="inlineStr">
        <is>
          <t>DV360</t>
        </is>
      </c>
      <c r="F2273" s="66" t="inlineStr">
        <is>
          <t>LEP_ZA_AUG26_PROG_TD_VIDEO_OLV</t>
        </is>
      </c>
      <c r="G2273" s="66" t="inlineStr">
        <is>
          <t>Online Video / CTV</t>
        </is>
      </c>
      <c r="H2273" s="66" t="inlineStr">
        <is>
          <t>Range</t>
        </is>
      </c>
      <c r="I2273" s="66" t="inlineStr">
        <is>
          <t>Range Offer</t>
        </is>
      </c>
      <c r="J2273" s="66" t="inlineStr">
        <is>
          <t>PROG_OLV_RMKT_VIEWERS</t>
        </is>
      </c>
      <c r="K2273" s="66" t="inlineStr">
        <is>
          <t>Retargeting</t>
        </is>
      </c>
      <c r="L2273" s="66" t="inlineStr">
        <is>
          <t>PROG_OLV_10s_BookNow_v1</t>
        </is>
      </c>
      <c r="M2273" s="66" t="inlineStr">
        <is>
          <t>Video 16:9 Bumper</t>
        </is>
      </c>
      <c r="N2273" s="66" t="inlineStr">
        <is>
          <t>Book your test drive</t>
        </is>
      </c>
      <c r="O2273" s="66" t="inlineStr">
        <is>
          <t>Auction - Fixed CPM</t>
        </is>
      </c>
      <c r="P2273" s="66" t="inlineStr">
        <is>
          <t>Completed Views + CPA</t>
        </is>
      </c>
      <c r="Q2273" s="66" t="inlineStr">
        <is>
          <t>https://www.lepas-sa.co.za/book-a-test-drive</t>
        </is>
      </c>
      <c r="R2273" s="121" t="n">
        <v>62.91</v>
      </c>
      <c r="S2273" s="122" t="n">
        <v>1677</v>
      </c>
      <c r="T2273" s="122" t="n">
        <v>985</v>
      </c>
      <c r="U2273" s="123">
        <f>IFERROR(S2273/T2273,"")</f>
        <v/>
      </c>
      <c r="V2273" s="122" t="n">
        <v>9</v>
      </c>
      <c r="W2273" s="122" t="n">
        <v>7</v>
      </c>
      <c r="X2273" s="124">
        <f>IFERROR(W2273/S2273,"")</f>
        <v/>
      </c>
      <c r="Y2273" s="121">
        <f>IFERROR(R2273/W2273,"")</f>
        <v/>
      </c>
      <c r="Z2273" s="121">
        <f>IFERROR(R2273/S2273*1000,"")</f>
        <v/>
      </c>
      <c r="AA2273" s="122" t="n">
        <v>4</v>
      </c>
      <c r="AB2273" s="54">
        <f>IFERROR(AA2273/W2273,"")</f>
        <v/>
      </c>
      <c r="AC2273" s="122" t="n">
        <v>628</v>
      </c>
      <c r="AD2273" s="122" t="n">
        <v>333</v>
      </c>
      <c r="AE2273" s="122" t="n">
        <v>266</v>
      </c>
      <c r="AF2273" s="122" t="n">
        <v>163</v>
      </c>
      <c r="AG2273" s="122" t="n">
        <v>127</v>
      </c>
      <c r="AH2273" s="122" t="n">
        <v>88</v>
      </c>
      <c r="AI2273" s="54">
        <f>IFERROR(AC2273/S2273,"")</f>
        <v/>
      </c>
      <c r="AJ2273" s="54">
        <f>IFERROR(AH2273/S2273,"")</f>
        <v/>
      </c>
      <c r="AK2273" s="122" t="n">
        <v>10</v>
      </c>
      <c r="AL2273" s="122" t="n">
        <v>0</v>
      </c>
      <c r="AM2273" s="124">
        <f>IFERROR(AL2273/AA2273,"")</f>
        <v/>
      </c>
      <c r="AN2273" s="125">
        <f>IFERROR(R2273/AL2273,"")</f>
        <v/>
      </c>
      <c r="AO2273" s="122" t="n">
        <v>0</v>
      </c>
      <c r="AP2273" s="54">
        <f>IFERROR(AO2273/AL2273,"")</f>
        <v/>
      </c>
      <c r="AQ2273" s="125">
        <f>IFERROR(R2273/AO2273,"")</f>
        <v/>
      </c>
      <c r="AR2273" s="122" t="n">
        <v>0</v>
      </c>
      <c r="AS2273" s="122" t="n">
        <v>0</v>
      </c>
      <c r="AT2273" s="122">
        <f>AL2273+AR2273</f>
        <v/>
      </c>
      <c r="AU2273" s="125">
        <f>IFERROR(AO2273*Assumptions!$C$26*Assumptions!$C$27*INDEX(Assumptions!$C$18:$C$21,MATCH(H2273,Assumptions!$B$18:$B$21,0)),0)</f>
        <v/>
      </c>
    </row>
    <row r="2274">
      <c r="A2274" s="120" t="n">
        <v>46259</v>
      </c>
      <c r="B2274" s="66" t="inlineStr">
        <is>
          <t>Wk 35</t>
        </is>
      </c>
      <c r="C2274" s="66" t="inlineStr">
        <is>
          <t>Tue</t>
        </is>
      </c>
      <c r="D2274" s="66" t="inlineStr">
        <is>
          <t>Programmatic</t>
        </is>
      </c>
      <c r="E2274" s="66" t="inlineStr">
        <is>
          <t>DV360</t>
        </is>
      </c>
      <c r="F2274" s="66" t="inlineStr">
        <is>
          <t>LEP_ZA_AUG26_PROG_TD_VIDEO_OLV</t>
        </is>
      </c>
      <c r="G2274" s="66" t="inlineStr">
        <is>
          <t>Online Video / CTV</t>
        </is>
      </c>
      <c r="H2274" s="66" t="inlineStr">
        <is>
          <t>Range</t>
        </is>
      </c>
      <c r="I2274" s="66" t="inlineStr">
        <is>
          <t>Range Offer</t>
        </is>
      </c>
      <c r="J2274" s="66" t="inlineStr">
        <is>
          <t>PROG_OLV_RMKT_VIEWERS</t>
        </is>
      </c>
      <c r="K2274" s="66" t="inlineStr">
        <is>
          <t>Retargeting</t>
        </is>
      </c>
      <c r="L2274" s="66" t="inlineStr">
        <is>
          <t>PROG_OLV_10s_BookNow_v1</t>
        </is>
      </c>
      <c r="M2274" s="66" t="inlineStr">
        <is>
          <t>Video 16:9 Bumper</t>
        </is>
      </c>
      <c r="N2274" s="66" t="inlineStr">
        <is>
          <t>Book your test drive</t>
        </is>
      </c>
      <c r="O2274" s="66" t="inlineStr">
        <is>
          <t>Auction - Fixed CPM</t>
        </is>
      </c>
      <c r="P2274" s="66" t="inlineStr">
        <is>
          <t>Completed Views + CPA</t>
        </is>
      </c>
      <c r="Q2274" s="66" t="inlineStr">
        <is>
          <t>https://www.lepas-sa.co.za/book-a-test-drive</t>
        </is>
      </c>
      <c r="R2274" s="121" t="n">
        <v>65.94</v>
      </c>
      <c r="S2274" s="122" t="n">
        <v>2044</v>
      </c>
      <c r="T2274" s="122" t="n">
        <v>1025</v>
      </c>
      <c r="U2274" s="123">
        <f>IFERROR(S2274/T2274,"")</f>
        <v/>
      </c>
      <c r="V2274" s="122" t="n">
        <v>6</v>
      </c>
      <c r="W2274" s="122" t="n">
        <v>5</v>
      </c>
      <c r="X2274" s="124">
        <f>IFERROR(W2274/S2274,"")</f>
        <v/>
      </c>
      <c r="Y2274" s="121">
        <f>IFERROR(R2274/W2274,"")</f>
        <v/>
      </c>
      <c r="Z2274" s="121">
        <f>IFERROR(R2274/S2274*1000,"")</f>
        <v/>
      </c>
      <c r="AA2274" s="122" t="n">
        <v>3</v>
      </c>
      <c r="AB2274" s="54">
        <f>IFERROR(AA2274/W2274,"")</f>
        <v/>
      </c>
      <c r="AC2274" s="122" t="n">
        <v>554</v>
      </c>
      <c r="AD2274" s="122" t="n">
        <v>283</v>
      </c>
      <c r="AE2274" s="122" t="n">
        <v>253</v>
      </c>
      <c r="AF2274" s="122" t="n">
        <v>133</v>
      </c>
      <c r="AG2274" s="122" t="n">
        <v>95</v>
      </c>
      <c r="AH2274" s="122" t="n">
        <v>67</v>
      </c>
      <c r="AI2274" s="54">
        <f>IFERROR(AC2274/S2274,"")</f>
        <v/>
      </c>
      <c r="AJ2274" s="54">
        <f>IFERROR(AH2274/S2274,"")</f>
        <v/>
      </c>
      <c r="AK2274" s="122" t="n">
        <v>10</v>
      </c>
      <c r="AL2274" s="122" t="n">
        <v>0</v>
      </c>
      <c r="AM2274" s="124">
        <f>IFERROR(AL2274/AA2274,"")</f>
        <v/>
      </c>
      <c r="AN2274" s="125">
        <f>IFERROR(R2274/AL2274,"")</f>
        <v/>
      </c>
      <c r="AO2274" s="122" t="n">
        <v>0</v>
      </c>
      <c r="AP2274" s="54">
        <f>IFERROR(AO2274/AL2274,"")</f>
        <v/>
      </c>
      <c r="AQ2274" s="125">
        <f>IFERROR(R2274/AO2274,"")</f>
        <v/>
      </c>
      <c r="AR2274" s="122" t="n">
        <v>0</v>
      </c>
      <c r="AS2274" s="122" t="n">
        <v>0</v>
      </c>
      <c r="AT2274" s="122">
        <f>AL2274+AR2274</f>
        <v/>
      </c>
      <c r="AU2274" s="125">
        <f>IFERROR(AO2274*Assumptions!$C$26*Assumptions!$C$27*INDEX(Assumptions!$C$18:$C$21,MATCH(H2274,Assumptions!$B$18:$B$21,0)),0)</f>
        <v/>
      </c>
    </row>
    <row r="2275">
      <c r="A2275" s="120" t="n">
        <v>46260</v>
      </c>
      <c r="B2275" s="66" t="inlineStr">
        <is>
          <t>Wk 35</t>
        </is>
      </c>
      <c r="C2275" s="66" t="inlineStr">
        <is>
          <t>Wed</t>
        </is>
      </c>
      <c r="D2275" s="66" t="inlineStr">
        <is>
          <t>Programmatic</t>
        </is>
      </c>
      <c r="E2275" s="66" t="inlineStr">
        <is>
          <t>DV360</t>
        </is>
      </c>
      <c r="F2275" s="66" t="inlineStr">
        <is>
          <t>LEP_ZA_AUG26_PROG_TD_VIDEO_OLV</t>
        </is>
      </c>
      <c r="G2275" s="66" t="inlineStr">
        <is>
          <t>Online Video / CTV</t>
        </is>
      </c>
      <c r="H2275" s="66" t="inlineStr">
        <is>
          <t>Range</t>
        </is>
      </c>
      <c r="I2275" s="66" t="inlineStr">
        <is>
          <t>Range Offer</t>
        </is>
      </c>
      <c r="J2275" s="66" t="inlineStr">
        <is>
          <t>PROG_OLV_RMKT_VIEWERS</t>
        </is>
      </c>
      <c r="K2275" s="66" t="inlineStr">
        <is>
          <t>Retargeting</t>
        </is>
      </c>
      <c r="L2275" s="66" t="inlineStr">
        <is>
          <t>PROG_OLV_10s_BookNow_v1</t>
        </is>
      </c>
      <c r="M2275" s="66" t="inlineStr">
        <is>
          <t>Video 16:9 Bumper</t>
        </is>
      </c>
      <c r="N2275" s="66" t="inlineStr">
        <is>
          <t>Book your test drive</t>
        </is>
      </c>
      <c r="O2275" s="66" t="inlineStr">
        <is>
          <t>Auction - Fixed CPM</t>
        </is>
      </c>
      <c r="P2275" s="66" t="inlineStr">
        <is>
          <t>Completed Views + CPA</t>
        </is>
      </c>
      <c r="Q2275" s="66" t="inlineStr">
        <is>
          <t>https://www.lepas-sa.co.za/book-a-test-drive</t>
        </is>
      </c>
      <c r="R2275" s="121" t="n">
        <v>54.26</v>
      </c>
      <c r="S2275" s="122" t="n">
        <v>1175</v>
      </c>
      <c r="T2275" s="122" t="n">
        <v>601</v>
      </c>
      <c r="U2275" s="123">
        <f>IFERROR(S2275/T2275,"")</f>
        <v/>
      </c>
      <c r="V2275" s="122" t="n">
        <v>7</v>
      </c>
      <c r="W2275" s="122" t="n">
        <v>5</v>
      </c>
      <c r="X2275" s="124">
        <f>IFERROR(W2275/S2275,"")</f>
        <v/>
      </c>
      <c r="Y2275" s="121">
        <f>IFERROR(R2275/W2275,"")</f>
        <v/>
      </c>
      <c r="Z2275" s="121">
        <f>IFERROR(R2275/S2275*1000,"")</f>
        <v/>
      </c>
      <c r="AA2275" s="122" t="n">
        <v>3</v>
      </c>
      <c r="AB2275" s="54">
        <f>IFERROR(AA2275/W2275,"")</f>
        <v/>
      </c>
      <c r="AC2275" s="122" t="n">
        <v>463</v>
      </c>
      <c r="AD2275" s="122" t="n">
        <v>260</v>
      </c>
      <c r="AE2275" s="122" t="n">
        <v>195</v>
      </c>
      <c r="AF2275" s="122" t="n">
        <v>136</v>
      </c>
      <c r="AG2275" s="122" t="n">
        <v>107</v>
      </c>
      <c r="AH2275" s="122" t="n">
        <v>63</v>
      </c>
      <c r="AI2275" s="54">
        <f>IFERROR(AC2275/S2275,"")</f>
        <v/>
      </c>
      <c r="AJ2275" s="54">
        <f>IFERROR(AH2275/S2275,"")</f>
        <v/>
      </c>
      <c r="AK2275" s="122" t="n">
        <v>5</v>
      </c>
      <c r="AL2275" s="122" t="n">
        <v>1</v>
      </c>
      <c r="AM2275" s="124">
        <f>IFERROR(AL2275/AA2275,"")</f>
        <v/>
      </c>
      <c r="AN2275" s="125">
        <f>IFERROR(R2275/AL2275,"")</f>
        <v/>
      </c>
      <c r="AO2275" s="122" t="n">
        <v>1</v>
      </c>
      <c r="AP2275" s="54">
        <f>IFERROR(AO2275/AL2275,"")</f>
        <v/>
      </c>
      <c r="AQ2275" s="125">
        <f>IFERROR(R2275/AO2275,"")</f>
        <v/>
      </c>
      <c r="AR2275" s="122" t="n">
        <v>2</v>
      </c>
      <c r="AS2275" s="122" t="n">
        <v>1</v>
      </c>
      <c r="AT2275" s="122">
        <f>AL2275+AR2275</f>
        <v/>
      </c>
      <c r="AU2275" s="125">
        <f>IFERROR(AO2275*Assumptions!$C$26*Assumptions!$C$27*INDEX(Assumptions!$C$18:$C$21,MATCH(H2275,Assumptions!$B$18:$B$21,0)),0)</f>
        <v/>
      </c>
    </row>
    <row r="2276">
      <c r="A2276" s="120" t="n">
        <v>46261</v>
      </c>
      <c r="B2276" s="66" t="inlineStr">
        <is>
          <t>Wk 35</t>
        </is>
      </c>
      <c r="C2276" s="66" t="inlineStr">
        <is>
          <t>Thu</t>
        </is>
      </c>
      <c r="D2276" s="66" t="inlineStr">
        <is>
          <t>Programmatic</t>
        </is>
      </c>
      <c r="E2276" s="66" t="inlineStr">
        <is>
          <t>DV360</t>
        </is>
      </c>
      <c r="F2276" s="66" t="inlineStr">
        <is>
          <t>LEP_ZA_AUG26_PROG_TD_VIDEO_OLV</t>
        </is>
      </c>
      <c r="G2276" s="66" t="inlineStr">
        <is>
          <t>Online Video / CTV</t>
        </is>
      </c>
      <c r="H2276" s="66" t="inlineStr">
        <is>
          <t>Range</t>
        </is>
      </c>
      <c r="I2276" s="66" t="inlineStr">
        <is>
          <t>Range Offer</t>
        </is>
      </c>
      <c r="J2276" s="66" t="inlineStr">
        <is>
          <t>PROG_OLV_RMKT_VIEWERS</t>
        </is>
      </c>
      <c r="K2276" s="66" t="inlineStr">
        <is>
          <t>Retargeting</t>
        </is>
      </c>
      <c r="L2276" s="66" t="inlineStr">
        <is>
          <t>PROG_OLV_10s_BookNow_v1</t>
        </is>
      </c>
      <c r="M2276" s="66" t="inlineStr">
        <is>
          <t>Video 16:9 Bumper</t>
        </is>
      </c>
      <c r="N2276" s="66" t="inlineStr">
        <is>
          <t>Book your test drive</t>
        </is>
      </c>
      <c r="O2276" s="66" t="inlineStr">
        <is>
          <t>Auction - Fixed CPM</t>
        </is>
      </c>
      <c r="P2276" s="66" t="inlineStr">
        <is>
          <t>Completed Views + CPA</t>
        </is>
      </c>
      <c r="Q2276" s="66" t="inlineStr">
        <is>
          <t>https://www.lepas-sa.co.za/book-a-test-drive</t>
        </is>
      </c>
      <c r="R2276" s="121" t="n">
        <v>69.8</v>
      </c>
      <c r="S2276" s="122" t="n">
        <v>1470</v>
      </c>
      <c r="T2276" s="122" t="n">
        <v>533</v>
      </c>
      <c r="U2276" s="123">
        <f>IFERROR(S2276/T2276,"")</f>
        <v/>
      </c>
      <c r="V2276" s="122" t="n">
        <v>6</v>
      </c>
      <c r="W2276" s="122" t="n">
        <v>5</v>
      </c>
      <c r="X2276" s="124">
        <f>IFERROR(W2276/S2276,"")</f>
        <v/>
      </c>
      <c r="Y2276" s="121">
        <f>IFERROR(R2276/W2276,"")</f>
        <v/>
      </c>
      <c r="Z2276" s="121">
        <f>IFERROR(R2276/S2276*1000,"")</f>
        <v/>
      </c>
      <c r="AA2276" s="122" t="n">
        <v>3</v>
      </c>
      <c r="AB2276" s="54">
        <f>IFERROR(AA2276/W2276,"")</f>
        <v/>
      </c>
      <c r="AC2276" s="122" t="n">
        <v>516</v>
      </c>
      <c r="AD2276" s="122" t="n">
        <v>278</v>
      </c>
      <c r="AE2276" s="122" t="n">
        <v>264</v>
      </c>
      <c r="AF2276" s="122" t="n">
        <v>154</v>
      </c>
      <c r="AG2276" s="122" t="n">
        <v>108</v>
      </c>
      <c r="AH2276" s="122" t="n">
        <v>63</v>
      </c>
      <c r="AI2276" s="54">
        <f>IFERROR(AC2276/S2276,"")</f>
        <v/>
      </c>
      <c r="AJ2276" s="54">
        <f>IFERROR(AH2276/S2276,"")</f>
        <v/>
      </c>
      <c r="AK2276" s="122" t="n">
        <v>2</v>
      </c>
      <c r="AL2276" s="122" t="n">
        <v>0</v>
      </c>
      <c r="AM2276" s="124">
        <f>IFERROR(AL2276/AA2276,"")</f>
        <v/>
      </c>
      <c r="AN2276" s="125">
        <f>IFERROR(R2276/AL2276,"")</f>
        <v/>
      </c>
      <c r="AO2276" s="122" t="n">
        <v>0</v>
      </c>
      <c r="AP2276" s="54">
        <f>IFERROR(AO2276/AL2276,"")</f>
        <v/>
      </c>
      <c r="AQ2276" s="125">
        <f>IFERROR(R2276/AO2276,"")</f>
        <v/>
      </c>
      <c r="AR2276" s="122" t="n">
        <v>0</v>
      </c>
      <c r="AS2276" s="122" t="n">
        <v>0</v>
      </c>
      <c r="AT2276" s="122">
        <f>AL2276+AR2276</f>
        <v/>
      </c>
      <c r="AU2276" s="125">
        <f>IFERROR(AO2276*Assumptions!$C$26*Assumptions!$C$27*INDEX(Assumptions!$C$18:$C$21,MATCH(H2276,Assumptions!$B$18:$B$21,0)),0)</f>
        <v/>
      </c>
    </row>
    <row r="2277">
      <c r="A2277" s="120" t="n">
        <v>46262</v>
      </c>
      <c r="B2277" s="66" t="inlineStr">
        <is>
          <t>Wk 35</t>
        </is>
      </c>
      <c r="C2277" s="66" t="inlineStr">
        <is>
          <t>Fri</t>
        </is>
      </c>
      <c r="D2277" s="66" t="inlineStr">
        <is>
          <t>Programmatic</t>
        </is>
      </c>
      <c r="E2277" s="66" t="inlineStr">
        <is>
          <t>DV360</t>
        </is>
      </c>
      <c r="F2277" s="66" t="inlineStr">
        <is>
          <t>LEP_ZA_AUG26_PROG_TD_VIDEO_OLV</t>
        </is>
      </c>
      <c r="G2277" s="66" t="inlineStr">
        <is>
          <t>Online Video / CTV</t>
        </is>
      </c>
      <c r="H2277" s="66" t="inlineStr">
        <is>
          <t>Range</t>
        </is>
      </c>
      <c r="I2277" s="66" t="inlineStr">
        <is>
          <t>Range Offer</t>
        </is>
      </c>
      <c r="J2277" s="66" t="inlineStr">
        <is>
          <t>PROG_OLV_RMKT_VIEWERS</t>
        </is>
      </c>
      <c r="K2277" s="66" t="inlineStr">
        <is>
          <t>Retargeting</t>
        </is>
      </c>
      <c r="L2277" s="66" t="inlineStr">
        <is>
          <t>PROG_OLV_10s_BookNow_v1</t>
        </is>
      </c>
      <c r="M2277" s="66" t="inlineStr">
        <is>
          <t>Video 16:9 Bumper</t>
        </is>
      </c>
      <c r="N2277" s="66" t="inlineStr">
        <is>
          <t>Book your test drive</t>
        </is>
      </c>
      <c r="O2277" s="66" t="inlineStr">
        <is>
          <t>Auction - Fixed CPM</t>
        </is>
      </c>
      <c r="P2277" s="66" t="inlineStr">
        <is>
          <t>Completed Views + CPA</t>
        </is>
      </c>
      <c r="Q2277" s="66" t="inlineStr">
        <is>
          <t>https://www.lepas-sa.co.za/book-a-test-drive</t>
        </is>
      </c>
      <c r="R2277" s="121" t="n">
        <v>83.5</v>
      </c>
      <c r="S2277" s="122" t="n">
        <v>2061</v>
      </c>
      <c r="T2277" s="122" t="n">
        <v>1057</v>
      </c>
      <c r="U2277" s="123">
        <f>IFERROR(S2277/T2277,"")</f>
        <v/>
      </c>
      <c r="V2277" s="122" t="n">
        <v>8</v>
      </c>
      <c r="W2277" s="122" t="n">
        <v>6</v>
      </c>
      <c r="X2277" s="124">
        <f>IFERROR(W2277/S2277,"")</f>
        <v/>
      </c>
      <c r="Y2277" s="121">
        <f>IFERROR(R2277/W2277,"")</f>
        <v/>
      </c>
      <c r="Z2277" s="121">
        <f>IFERROR(R2277/S2277*1000,"")</f>
        <v/>
      </c>
      <c r="AA2277" s="122" t="n">
        <v>4</v>
      </c>
      <c r="AB2277" s="54">
        <f>IFERROR(AA2277/W2277,"")</f>
        <v/>
      </c>
      <c r="AC2277" s="122" t="n">
        <v>655</v>
      </c>
      <c r="AD2277" s="122" t="n">
        <v>401</v>
      </c>
      <c r="AE2277" s="122" t="n">
        <v>349</v>
      </c>
      <c r="AF2277" s="122" t="n">
        <v>183</v>
      </c>
      <c r="AG2277" s="122" t="n">
        <v>123</v>
      </c>
      <c r="AH2277" s="122" t="n">
        <v>89</v>
      </c>
      <c r="AI2277" s="54">
        <f>IFERROR(AC2277/S2277,"")</f>
        <v/>
      </c>
      <c r="AJ2277" s="54">
        <f>IFERROR(AH2277/S2277,"")</f>
        <v/>
      </c>
      <c r="AK2277" s="122" t="n">
        <v>5</v>
      </c>
      <c r="AL2277" s="122" t="n">
        <v>1</v>
      </c>
      <c r="AM2277" s="124">
        <f>IFERROR(AL2277/AA2277,"")</f>
        <v/>
      </c>
      <c r="AN2277" s="125">
        <f>IFERROR(R2277/AL2277,"")</f>
        <v/>
      </c>
      <c r="AO2277" s="122" t="n">
        <v>0</v>
      </c>
      <c r="AP2277" s="54">
        <f>IFERROR(AO2277/AL2277,"")</f>
        <v/>
      </c>
      <c r="AQ2277" s="125">
        <f>IFERROR(R2277/AO2277,"")</f>
        <v/>
      </c>
      <c r="AR2277" s="122" t="n">
        <v>2</v>
      </c>
      <c r="AS2277" s="122" t="n">
        <v>1</v>
      </c>
      <c r="AT2277" s="122">
        <f>AL2277+AR2277</f>
        <v/>
      </c>
      <c r="AU2277" s="125">
        <f>IFERROR(AO2277*Assumptions!$C$26*Assumptions!$C$27*INDEX(Assumptions!$C$18:$C$21,MATCH(H2277,Assumptions!$B$18:$B$21,0)),0)</f>
        <v/>
      </c>
    </row>
    <row r="2278">
      <c r="A2278" s="120" t="n">
        <v>46263</v>
      </c>
      <c r="B2278" s="66" t="inlineStr">
        <is>
          <t>Wk 35</t>
        </is>
      </c>
      <c r="C2278" s="66" t="inlineStr">
        <is>
          <t>Sat</t>
        </is>
      </c>
      <c r="D2278" s="66" t="inlineStr">
        <is>
          <t>Programmatic</t>
        </is>
      </c>
      <c r="E2278" s="66" t="inlineStr">
        <is>
          <t>DV360</t>
        </is>
      </c>
      <c r="F2278" s="66" t="inlineStr">
        <is>
          <t>LEP_ZA_AUG26_PROG_TD_VIDEO_OLV</t>
        </is>
      </c>
      <c r="G2278" s="66" t="inlineStr">
        <is>
          <t>Online Video / CTV</t>
        </is>
      </c>
      <c r="H2278" s="66" t="inlineStr">
        <is>
          <t>Range</t>
        </is>
      </c>
      <c r="I2278" s="66" t="inlineStr">
        <is>
          <t>Range Offer</t>
        </is>
      </c>
      <c r="J2278" s="66" t="inlineStr">
        <is>
          <t>PROG_OLV_RMKT_VIEWERS</t>
        </is>
      </c>
      <c r="K2278" s="66" t="inlineStr">
        <is>
          <t>Retargeting</t>
        </is>
      </c>
      <c r="L2278" s="66" t="inlineStr">
        <is>
          <t>PROG_OLV_10s_BookNow_v1</t>
        </is>
      </c>
      <c r="M2278" s="66" t="inlineStr">
        <is>
          <t>Video 16:9 Bumper</t>
        </is>
      </c>
      <c r="N2278" s="66" t="inlineStr">
        <is>
          <t>Book your test drive</t>
        </is>
      </c>
      <c r="O2278" s="66" t="inlineStr">
        <is>
          <t>Auction - Fixed CPM</t>
        </is>
      </c>
      <c r="P2278" s="66" t="inlineStr">
        <is>
          <t>Completed Views + CPA</t>
        </is>
      </c>
      <c r="Q2278" s="66" t="inlineStr">
        <is>
          <t>https://www.lepas-sa.co.za/book-a-test-drive</t>
        </is>
      </c>
      <c r="R2278" s="121" t="n">
        <v>89.51000000000001</v>
      </c>
      <c r="S2278" s="122" t="n">
        <v>3318</v>
      </c>
      <c r="T2278" s="122" t="n">
        <v>1238</v>
      </c>
      <c r="U2278" s="123">
        <f>IFERROR(S2278/T2278,"")</f>
        <v/>
      </c>
      <c r="V2278" s="122" t="n">
        <v>13</v>
      </c>
      <c r="W2278" s="122" t="n">
        <v>9</v>
      </c>
      <c r="X2278" s="124">
        <f>IFERROR(W2278/S2278,"")</f>
        <v/>
      </c>
      <c r="Y2278" s="121">
        <f>IFERROR(R2278/W2278,"")</f>
        <v/>
      </c>
      <c r="Z2278" s="121">
        <f>IFERROR(R2278/S2278*1000,"")</f>
        <v/>
      </c>
      <c r="AA2278" s="122" t="n">
        <v>7</v>
      </c>
      <c r="AB2278" s="54">
        <f>IFERROR(AA2278/W2278,"")</f>
        <v/>
      </c>
      <c r="AC2278" s="122" t="n">
        <v>829</v>
      </c>
      <c r="AD2278" s="122" t="n">
        <v>371</v>
      </c>
      <c r="AE2278" s="122" t="n">
        <v>432</v>
      </c>
      <c r="AF2278" s="122" t="n">
        <v>274</v>
      </c>
      <c r="AG2278" s="122" t="n">
        <v>190</v>
      </c>
      <c r="AH2278" s="122" t="n">
        <v>128</v>
      </c>
      <c r="AI2278" s="54">
        <f>IFERROR(AC2278/S2278,"")</f>
        <v/>
      </c>
      <c r="AJ2278" s="54">
        <f>IFERROR(AH2278/S2278,"")</f>
        <v/>
      </c>
      <c r="AK2278" s="122" t="n">
        <v>6</v>
      </c>
      <c r="AL2278" s="122" t="n">
        <v>0</v>
      </c>
      <c r="AM2278" s="124">
        <f>IFERROR(AL2278/AA2278,"")</f>
        <v/>
      </c>
      <c r="AN2278" s="125">
        <f>IFERROR(R2278/AL2278,"")</f>
        <v/>
      </c>
      <c r="AO2278" s="122" t="n">
        <v>0</v>
      </c>
      <c r="AP2278" s="54">
        <f>IFERROR(AO2278/AL2278,"")</f>
        <v/>
      </c>
      <c r="AQ2278" s="125">
        <f>IFERROR(R2278/AO2278,"")</f>
        <v/>
      </c>
      <c r="AR2278" s="122" t="n">
        <v>0</v>
      </c>
      <c r="AS2278" s="122" t="n">
        <v>0</v>
      </c>
      <c r="AT2278" s="122">
        <f>AL2278+AR2278</f>
        <v/>
      </c>
      <c r="AU2278" s="125">
        <f>IFERROR(AO2278*Assumptions!$C$26*Assumptions!$C$27*INDEX(Assumptions!$C$18:$C$21,MATCH(H2278,Assumptions!$B$18:$B$21,0)),0)</f>
        <v/>
      </c>
    </row>
    <row r="2279">
      <c r="A2279" s="120" t="n">
        <v>46264</v>
      </c>
      <c r="B2279" s="66" t="inlineStr">
        <is>
          <t>Wk 35</t>
        </is>
      </c>
      <c r="C2279" s="66" t="inlineStr">
        <is>
          <t>Sun</t>
        </is>
      </c>
      <c r="D2279" s="66" t="inlineStr">
        <is>
          <t>Programmatic</t>
        </is>
      </c>
      <c r="E2279" s="66" t="inlineStr">
        <is>
          <t>DV360</t>
        </is>
      </c>
      <c r="F2279" s="66" t="inlineStr">
        <is>
          <t>LEP_ZA_AUG26_PROG_TD_VIDEO_OLV</t>
        </is>
      </c>
      <c r="G2279" s="66" t="inlineStr">
        <is>
          <t>Online Video / CTV</t>
        </is>
      </c>
      <c r="H2279" s="66" t="inlineStr">
        <is>
          <t>Range</t>
        </is>
      </c>
      <c r="I2279" s="66" t="inlineStr">
        <is>
          <t>Range Offer</t>
        </is>
      </c>
      <c r="J2279" s="66" t="inlineStr">
        <is>
          <t>PROG_OLV_RMKT_VIEWERS</t>
        </is>
      </c>
      <c r="K2279" s="66" t="inlineStr">
        <is>
          <t>Retargeting</t>
        </is>
      </c>
      <c r="L2279" s="66" t="inlineStr">
        <is>
          <t>PROG_OLV_10s_BookNow_v1</t>
        </is>
      </c>
      <c r="M2279" s="66" t="inlineStr">
        <is>
          <t>Video 16:9 Bumper</t>
        </is>
      </c>
      <c r="N2279" s="66" t="inlineStr">
        <is>
          <t>Book your test drive</t>
        </is>
      </c>
      <c r="O2279" s="66" t="inlineStr">
        <is>
          <t>Auction - Fixed CPM</t>
        </is>
      </c>
      <c r="P2279" s="66" t="inlineStr">
        <is>
          <t>Completed Views + CPA</t>
        </is>
      </c>
      <c r="Q2279" s="66" t="inlineStr">
        <is>
          <t>https://www.lepas-sa.co.za/book-a-test-drive</t>
        </is>
      </c>
      <c r="R2279" s="121" t="n">
        <v>62.14</v>
      </c>
      <c r="S2279" s="122" t="n">
        <v>1774</v>
      </c>
      <c r="T2279" s="122" t="n">
        <v>854</v>
      </c>
      <c r="U2279" s="123">
        <f>IFERROR(S2279/T2279,"")</f>
        <v/>
      </c>
      <c r="V2279" s="122" t="n">
        <v>7</v>
      </c>
      <c r="W2279" s="122" t="n">
        <v>6</v>
      </c>
      <c r="X2279" s="124">
        <f>IFERROR(W2279/S2279,"")</f>
        <v/>
      </c>
      <c r="Y2279" s="121">
        <f>IFERROR(R2279/W2279,"")</f>
        <v/>
      </c>
      <c r="Z2279" s="121">
        <f>IFERROR(R2279/S2279*1000,"")</f>
        <v/>
      </c>
      <c r="AA2279" s="122" t="n">
        <v>4</v>
      </c>
      <c r="AB2279" s="54">
        <f>IFERROR(AA2279/W2279,"")</f>
        <v/>
      </c>
      <c r="AC2279" s="122" t="n">
        <v>517</v>
      </c>
      <c r="AD2279" s="122" t="n">
        <v>306</v>
      </c>
      <c r="AE2279" s="122" t="n">
        <v>211</v>
      </c>
      <c r="AF2279" s="122" t="n">
        <v>140</v>
      </c>
      <c r="AG2279" s="122" t="n">
        <v>100</v>
      </c>
      <c r="AH2279" s="122" t="n">
        <v>61</v>
      </c>
      <c r="AI2279" s="54">
        <f>IFERROR(AC2279/S2279,"")</f>
        <v/>
      </c>
      <c r="AJ2279" s="54">
        <f>IFERROR(AH2279/S2279,"")</f>
        <v/>
      </c>
      <c r="AK2279" s="122" t="n">
        <v>10</v>
      </c>
      <c r="AL2279" s="122" t="n">
        <v>1</v>
      </c>
      <c r="AM2279" s="124">
        <f>IFERROR(AL2279/AA2279,"")</f>
        <v/>
      </c>
      <c r="AN2279" s="125">
        <f>IFERROR(R2279/AL2279,"")</f>
        <v/>
      </c>
      <c r="AO2279" s="122" t="n">
        <v>0</v>
      </c>
      <c r="AP2279" s="54">
        <f>IFERROR(AO2279/AL2279,"")</f>
        <v/>
      </c>
      <c r="AQ2279" s="125">
        <f>IFERROR(R2279/AO2279,"")</f>
        <v/>
      </c>
      <c r="AR2279" s="122" t="n">
        <v>2</v>
      </c>
      <c r="AS2279" s="122" t="n">
        <v>1</v>
      </c>
      <c r="AT2279" s="122">
        <f>AL2279+AR2279</f>
        <v/>
      </c>
      <c r="AU2279" s="125">
        <f>IFERROR(AO2279*Assumptions!$C$26*Assumptions!$C$27*INDEX(Assumptions!$C$18:$C$21,MATCH(H2279,Assumptions!$B$18:$B$21,0)),0)</f>
        <v/>
      </c>
    </row>
    <row r="2280">
      <c r="A2280" s="120" t="n">
        <v>46265</v>
      </c>
      <c r="B2280" s="66" t="inlineStr">
        <is>
          <t>Wk 36</t>
        </is>
      </c>
      <c r="C2280" s="66" t="inlineStr">
        <is>
          <t>Mon</t>
        </is>
      </c>
      <c r="D2280" s="66" t="inlineStr">
        <is>
          <t>Programmatic</t>
        </is>
      </c>
      <c r="E2280" s="66" t="inlineStr">
        <is>
          <t>DV360</t>
        </is>
      </c>
      <c r="F2280" s="66" t="inlineStr">
        <is>
          <t>LEP_ZA_AUG26_PROG_TD_VIDEO_OLV</t>
        </is>
      </c>
      <c r="G2280" s="66" t="inlineStr">
        <is>
          <t>Online Video / CTV</t>
        </is>
      </c>
      <c r="H2280" s="66" t="inlineStr">
        <is>
          <t>Range</t>
        </is>
      </c>
      <c r="I2280" s="66" t="inlineStr">
        <is>
          <t>Range Offer</t>
        </is>
      </c>
      <c r="J2280" s="66" t="inlineStr">
        <is>
          <t>PROG_OLV_RMKT_VIEWERS</t>
        </is>
      </c>
      <c r="K2280" s="66" t="inlineStr">
        <is>
          <t>Retargeting</t>
        </is>
      </c>
      <c r="L2280" s="66" t="inlineStr">
        <is>
          <t>PROG_OLV_10s_BookNow_v1</t>
        </is>
      </c>
      <c r="M2280" s="66" t="inlineStr">
        <is>
          <t>Video 16:9 Bumper</t>
        </is>
      </c>
      <c r="N2280" s="66" t="inlineStr">
        <is>
          <t>Book your test drive</t>
        </is>
      </c>
      <c r="O2280" s="66" t="inlineStr">
        <is>
          <t>Auction - Fixed CPM</t>
        </is>
      </c>
      <c r="P2280" s="66" t="inlineStr">
        <is>
          <t>Completed Views + CPA</t>
        </is>
      </c>
      <c r="Q2280" s="66" t="inlineStr">
        <is>
          <t>https://www.lepas-sa.co.za/book-a-test-drive</t>
        </is>
      </c>
      <c r="R2280" s="121" t="n">
        <v>73.26000000000001</v>
      </c>
      <c r="S2280" s="122" t="n">
        <v>2175</v>
      </c>
      <c r="T2280" s="122" t="n">
        <v>723</v>
      </c>
      <c r="U2280" s="123">
        <f>IFERROR(S2280/T2280,"")</f>
        <v/>
      </c>
      <c r="V2280" s="122" t="n">
        <v>4</v>
      </c>
      <c r="W2280" s="122" t="n">
        <v>3</v>
      </c>
      <c r="X2280" s="124">
        <f>IFERROR(W2280/S2280,"")</f>
        <v/>
      </c>
      <c r="Y2280" s="121">
        <f>IFERROR(R2280/W2280,"")</f>
        <v/>
      </c>
      <c r="Z2280" s="121">
        <f>IFERROR(R2280/S2280*1000,"")</f>
        <v/>
      </c>
      <c r="AA2280" s="122" t="n">
        <v>1</v>
      </c>
      <c r="AB2280" s="54">
        <f>IFERROR(AA2280/W2280,"")</f>
        <v/>
      </c>
      <c r="AC2280" s="122" t="n">
        <v>730</v>
      </c>
      <c r="AD2280" s="122" t="n">
        <v>382</v>
      </c>
      <c r="AE2280" s="122" t="n">
        <v>330</v>
      </c>
      <c r="AF2280" s="122" t="n">
        <v>221</v>
      </c>
      <c r="AG2280" s="122" t="n">
        <v>170</v>
      </c>
      <c r="AH2280" s="122" t="n">
        <v>114</v>
      </c>
      <c r="AI2280" s="54">
        <f>IFERROR(AC2280/S2280,"")</f>
        <v/>
      </c>
      <c r="AJ2280" s="54">
        <f>IFERROR(AH2280/S2280,"")</f>
        <v/>
      </c>
      <c r="AK2280" s="122" t="n">
        <v>10</v>
      </c>
      <c r="AL2280" s="122" t="n">
        <v>0</v>
      </c>
      <c r="AM2280" s="124">
        <f>IFERROR(AL2280/AA2280,"")</f>
        <v/>
      </c>
      <c r="AN2280" s="125">
        <f>IFERROR(R2280/AL2280,"")</f>
        <v/>
      </c>
      <c r="AO2280" s="122" t="n">
        <v>0</v>
      </c>
      <c r="AP2280" s="54">
        <f>IFERROR(AO2280/AL2280,"")</f>
        <v/>
      </c>
      <c r="AQ2280" s="125">
        <f>IFERROR(R2280/AO2280,"")</f>
        <v/>
      </c>
      <c r="AR2280" s="122" t="n">
        <v>0</v>
      </c>
      <c r="AS2280" s="122" t="n">
        <v>0</v>
      </c>
      <c r="AT2280" s="122">
        <f>AL2280+AR2280</f>
        <v/>
      </c>
      <c r="AU2280" s="125">
        <f>IFERROR(AO2280*Assumptions!$C$26*Assumptions!$C$27*INDEX(Assumptions!$C$18:$C$21,MATCH(H2280,Assumptions!$B$18:$B$21,0)),0)</f>
        <v/>
      </c>
    </row>
    <row r="2281">
      <c r="A2281" s="120" t="n">
        <v>46235</v>
      </c>
      <c r="B2281" s="66" t="inlineStr">
        <is>
          <t>Wk 31</t>
        </is>
      </c>
      <c r="C2281" s="66" t="inlineStr">
        <is>
          <t>Sat</t>
        </is>
      </c>
      <c r="D2281" s="66" t="inlineStr">
        <is>
          <t>Programmatic</t>
        </is>
      </c>
      <c r="E2281" s="66" t="inlineStr">
        <is>
          <t>DV360</t>
        </is>
      </c>
      <c r="F2281" s="66" t="inlineStr">
        <is>
          <t>LEP_ZA_AUG26_PROG_RMKT_DYNAMIC</t>
        </is>
      </c>
      <c r="G2281" s="66" t="inlineStr">
        <is>
          <t>Dynamic Retargeting</t>
        </is>
      </c>
      <c r="H2281" s="66" t="inlineStr">
        <is>
          <t>Range</t>
        </is>
      </c>
      <c r="I2281" s="66" t="inlineStr">
        <is>
          <t>Range Offer</t>
        </is>
      </c>
      <c r="J2281" s="66" t="inlineStr">
        <is>
          <t>PROG_DYN_RMKT_7D</t>
        </is>
      </c>
      <c r="K2281" s="66" t="inlineStr">
        <is>
          <t>Retargeting</t>
        </is>
      </c>
      <c r="L2281" s="66" t="inlineStr">
        <is>
          <t>PROG_DYN_300x250_ModelSeen_v1</t>
        </is>
      </c>
      <c r="M2281" s="66" t="inlineStr">
        <is>
          <t>Dynamic Display 300x250</t>
        </is>
      </c>
      <c r="N2281" s="66" t="inlineStr">
        <is>
          <t>Still thinking about it?</t>
        </is>
      </c>
      <c r="O2281" s="66" t="inlineStr">
        <is>
          <t>Auction - Lowest Cost</t>
        </is>
      </c>
      <c r="P2281" s="66" t="inlineStr">
        <is>
          <t>Conversions (CPA)</t>
        </is>
      </c>
      <c r="Q2281" s="66" t="inlineStr">
        <is>
          <t>https://www.lepas-sa.co.za/book-a-test-drive</t>
        </is>
      </c>
      <c r="R2281" s="121" t="n">
        <v>133.95</v>
      </c>
      <c r="S2281" s="122" t="n">
        <v>2942</v>
      </c>
      <c r="T2281" s="122" t="n">
        <v>1424</v>
      </c>
      <c r="U2281" s="123">
        <f>IFERROR(S2281/T2281,"")</f>
        <v/>
      </c>
      <c r="V2281" s="122" t="n">
        <v>22</v>
      </c>
      <c r="W2281" s="122" t="n">
        <v>18</v>
      </c>
      <c r="X2281" s="124">
        <f>IFERROR(W2281/S2281,"")</f>
        <v/>
      </c>
      <c r="Y2281" s="121">
        <f>IFERROR(R2281/W2281,"")</f>
        <v/>
      </c>
      <c r="Z2281" s="121">
        <f>IFERROR(R2281/S2281*1000,"")</f>
        <v/>
      </c>
      <c r="AA2281" s="122" t="n">
        <v>11</v>
      </c>
      <c r="AB2281" s="54">
        <f>IFERROR(AA2281/W2281,"")</f>
        <v/>
      </c>
      <c r="AC2281" s="122" t="n">
        <v>0</v>
      </c>
      <c r="AD2281" s="122" t="n">
        <v>0</v>
      </c>
      <c r="AE2281" s="122" t="n">
        <v>0</v>
      </c>
      <c r="AF2281" s="122" t="n">
        <v>0</v>
      </c>
      <c r="AG2281" s="122" t="n">
        <v>0</v>
      </c>
      <c r="AH2281" s="122" t="n">
        <v>0</v>
      </c>
      <c r="AI2281" s="54">
        <f>IFERROR(AC2281/S2281,"")</f>
        <v/>
      </c>
      <c r="AJ2281" s="54">
        <f>IFERROR(AH2281/S2281,"")</f>
        <v/>
      </c>
      <c r="AK2281" s="122" t="n">
        <v>5</v>
      </c>
      <c r="AL2281" s="122" t="n">
        <v>1</v>
      </c>
      <c r="AM2281" s="124">
        <f>IFERROR(AL2281/AA2281,"")</f>
        <v/>
      </c>
      <c r="AN2281" s="125">
        <f>IFERROR(R2281/AL2281,"")</f>
        <v/>
      </c>
      <c r="AO2281" s="122" t="n">
        <v>1</v>
      </c>
      <c r="AP2281" s="54">
        <f>IFERROR(AO2281/AL2281,"")</f>
        <v/>
      </c>
      <c r="AQ2281" s="125">
        <f>IFERROR(R2281/AO2281,"")</f>
        <v/>
      </c>
      <c r="AR2281" s="122" t="n">
        <v>2</v>
      </c>
      <c r="AS2281" s="122" t="n">
        <v>2</v>
      </c>
      <c r="AT2281" s="122">
        <f>AL2281+AR2281</f>
        <v/>
      </c>
      <c r="AU2281" s="125">
        <f>IFERROR(AO2281*Assumptions!$C$26*Assumptions!$C$27*INDEX(Assumptions!$C$18:$C$21,MATCH(H2281,Assumptions!$B$18:$B$21,0)),0)</f>
        <v/>
      </c>
    </row>
    <row r="2282">
      <c r="A2282" s="120" t="n">
        <v>46236</v>
      </c>
      <c r="B2282" s="66" t="inlineStr">
        <is>
          <t>Wk 31</t>
        </is>
      </c>
      <c r="C2282" s="66" t="inlineStr">
        <is>
          <t>Sun</t>
        </is>
      </c>
      <c r="D2282" s="66" t="inlineStr">
        <is>
          <t>Programmatic</t>
        </is>
      </c>
      <c r="E2282" s="66" t="inlineStr">
        <is>
          <t>DV360</t>
        </is>
      </c>
      <c r="F2282" s="66" t="inlineStr">
        <is>
          <t>LEP_ZA_AUG26_PROG_RMKT_DYNAMIC</t>
        </is>
      </c>
      <c r="G2282" s="66" t="inlineStr">
        <is>
          <t>Dynamic Retargeting</t>
        </is>
      </c>
      <c r="H2282" s="66" t="inlineStr">
        <is>
          <t>Range</t>
        </is>
      </c>
      <c r="I2282" s="66" t="inlineStr">
        <is>
          <t>Range Offer</t>
        </is>
      </c>
      <c r="J2282" s="66" t="inlineStr">
        <is>
          <t>PROG_DYN_RMKT_7D</t>
        </is>
      </c>
      <c r="K2282" s="66" t="inlineStr">
        <is>
          <t>Retargeting</t>
        </is>
      </c>
      <c r="L2282" s="66" t="inlineStr">
        <is>
          <t>PROG_DYN_300x250_ModelSeen_v1</t>
        </is>
      </c>
      <c r="M2282" s="66" t="inlineStr">
        <is>
          <t>Dynamic Display 300x250</t>
        </is>
      </c>
      <c r="N2282" s="66" t="inlineStr">
        <is>
          <t>Still thinking about it?</t>
        </is>
      </c>
      <c r="O2282" s="66" t="inlineStr">
        <is>
          <t>Auction - Lowest Cost</t>
        </is>
      </c>
      <c r="P2282" s="66" t="inlineStr">
        <is>
          <t>Conversions (CPA)</t>
        </is>
      </c>
      <c r="Q2282" s="66" t="inlineStr">
        <is>
          <t>https://www.lepas-sa.co.za/book-a-test-drive</t>
        </is>
      </c>
      <c r="R2282" s="121" t="n">
        <v>85.98</v>
      </c>
      <c r="S2282" s="122" t="n">
        <v>3060</v>
      </c>
      <c r="T2282" s="122" t="n">
        <v>2385</v>
      </c>
      <c r="U2282" s="123">
        <f>IFERROR(S2282/T2282,"")</f>
        <v/>
      </c>
      <c r="V2282" s="122" t="n">
        <v>29</v>
      </c>
      <c r="W2282" s="122" t="n">
        <v>21</v>
      </c>
      <c r="X2282" s="124">
        <f>IFERROR(W2282/S2282,"")</f>
        <v/>
      </c>
      <c r="Y2282" s="121">
        <f>IFERROR(R2282/W2282,"")</f>
        <v/>
      </c>
      <c r="Z2282" s="121">
        <f>IFERROR(R2282/S2282*1000,"")</f>
        <v/>
      </c>
      <c r="AA2282" s="122" t="n">
        <v>12</v>
      </c>
      <c r="AB2282" s="54">
        <f>IFERROR(AA2282/W2282,"")</f>
        <v/>
      </c>
      <c r="AC2282" s="122" t="n">
        <v>0</v>
      </c>
      <c r="AD2282" s="122" t="n">
        <v>0</v>
      </c>
      <c r="AE2282" s="122" t="n">
        <v>0</v>
      </c>
      <c r="AF2282" s="122" t="n">
        <v>0</v>
      </c>
      <c r="AG2282" s="122" t="n">
        <v>0</v>
      </c>
      <c r="AH2282" s="122" t="n">
        <v>0</v>
      </c>
      <c r="AI2282" s="54">
        <f>IFERROR(AC2282/S2282,"")</f>
        <v/>
      </c>
      <c r="AJ2282" s="54">
        <f>IFERROR(AH2282/S2282,"")</f>
        <v/>
      </c>
      <c r="AK2282" s="122" t="n">
        <v>17</v>
      </c>
      <c r="AL2282" s="122" t="n">
        <v>0</v>
      </c>
      <c r="AM2282" s="124">
        <f>IFERROR(AL2282/AA2282,"")</f>
        <v/>
      </c>
      <c r="AN2282" s="125">
        <f>IFERROR(R2282/AL2282,"")</f>
        <v/>
      </c>
      <c r="AO2282" s="122" t="n">
        <v>0</v>
      </c>
      <c r="AP2282" s="54">
        <f>IFERROR(AO2282/AL2282,"")</f>
        <v/>
      </c>
      <c r="AQ2282" s="125">
        <f>IFERROR(R2282/AO2282,"")</f>
        <v/>
      </c>
      <c r="AR2282" s="122" t="n">
        <v>0</v>
      </c>
      <c r="AS2282" s="122" t="n">
        <v>0</v>
      </c>
      <c r="AT2282" s="122">
        <f>AL2282+AR2282</f>
        <v/>
      </c>
      <c r="AU2282" s="125">
        <f>IFERROR(AO2282*Assumptions!$C$26*Assumptions!$C$27*INDEX(Assumptions!$C$18:$C$21,MATCH(H2282,Assumptions!$B$18:$B$21,0)),0)</f>
        <v/>
      </c>
    </row>
    <row r="2283">
      <c r="A2283" s="120" t="n">
        <v>46237</v>
      </c>
      <c r="B2283" s="66" t="inlineStr">
        <is>
          <t>Wk 32</t>
        </is>
      </c>
      <c r="C2283" s="66" t="inlineStr">
        <is>
          <t>Mon</t>
        </is>
      </c>
      <c r="D2283" s="66" t="inlineStr">
        <is>
          <t>Programmatic</t>
        </is>
      </c>
      <c r="E2283" s="66" t="inlineStr">
        <is>
          <t>DV360</t>
        </is>
      </c>
      <c r="F2283" s="66" t="inlineStr">
        <is>
          <t>LEP_ZA_AUG26_PROG_RMKT_DYNAMIC</t>
        </is>
      </c>
      <c r="G2283" s="66" t="inlineStr">
        <is>
          <t>Dynamic Retargeting</t>
        </is>
      </c>
      <c r="H2283" s="66" t="inlineStr">
        <is>
          <t>Range</t>
        </is>
      </c>
      <c r="I2283" s="66" t="inlineStr">
        <is>
          <t>Range Offer</t>
        </is>
      </c>
      <c r="J2283" s="66" t="inlineStr">
        <is>
          <t>PROG_DYN_RMKT_7D</t>
        </is>
      </c>
      <c r="K2283" s="66" t="inlineStr">
        <is>
          <t>Retargeting</t>
        </is>
      </c>
      <c r="L2283" s="66" t="inlineStr">
        <is>
          <t>PROG_DYN_300x250_ModelSeen_v1</t>
        </is>
      </c>
      <c r="M2283" s="66" t="inlineStr">
        <is>
          <t>Dynamic Display 300x250</t>
        </is>
      </c>
      <c r="N2283" s="66" t="inlineStr">
        <is>
          <t>Still thinking about it?</t>
        </is>
      </c>
      <c r="O2283" s="66" t="inlineStr">
        <is>
          <t>Auction - Lowest Cost</t>
        </is>
      </c>
      <c r="P2283" s="66" t="inlineStr">
        <is>
          <t>Conversions (CPA)</t>
        </is>
      </c>
      <c r="Q2283" s="66" t="inlineStr">
        <is>
          <t>https://www.lepas-sa.co.za/book-a-test-drive</t>
        </is>
      </c>
      <c r="R2283" s="121" t="n">
        <v>103.17</v>
      </c>
      <c r="S2283" s="122" t="n">
        <v>2440</v>
      </c>
      <c r="T2283" s="122" t="n">
        <v>1277</v>
      </c>
      <c r="U2283" s="123">
        <f>IFERROR(S2283/T2283,"")</f>
        <v/>
      </c>
      <c r="V2283" s="122" t="n">
        <v>14</v>
      </c>
      <c r="W2283" s="122" t="n">
        <v>11</v>
      </c>
      <c r="X2283" s="124">
        <f>IFERROR(W2283/S2283,"")</f>
        <v/>
      </c>
      <c r="Y2283" s="121">
        <f>IFERROR(R2283/W2283,"")</f>
        <v/>
      </c>
      <c r="Z2283" s="121">
        <f>IFERROR(R2283/S2283*1000,"")</f>
        <v/>
      </c>
      <c r="AA2283" s="122" t="n">
        <v>8</v>
      </c>
      <c r="AB2283" s="54">
        <f>IFERROR(AA2283/W2283,"")</f>
        <v/>
      </c>
      <c r="AC2283" s="122" t="n">
        <v>0</v>
      </c>
      <c r="AD2283" s="122" t="n">
        <v>0</v>
      </c>
      <c r="AE2283" s="122" t="n">
        <v>0</v>
      </c>
      <c r="AF2283" s="122" t="n">
        <v>0</v>
      </c>
      <c r="AG2283" s="122" t="n">
        <v>0</v>
      </c>
      <c r="AH2283" s="122" t="n">
        <v>0</v>
      </c>
      <c r="AI2283" s="54">
        <f>IFERROR(AC2283/S2283,"")</f>
        <v/>
      </c>
      <c r="AJ2283" s="54">
        <f>IFERROR(AH2283/S2283,"")</f>
        <v/>
      </c>
      <c r="AK2283" s="122" t="n">
        <v>7</v>
      </c>
      <c r="AL2283" s="122" t="n">
        <v>1</v>
      </c>
      <c r="AM2283" s="124">
        <f>IFERROR(AL2283/AA2283,"")</f>
        <v/>
      </c>
      <c r="AN2283" s="125">
        <f>IFERROR(R2283/AL2283,"")</f>
        <v/>
      </c>
      <c r="AO2283" s="122" t="n">
        <v>1</v>
      </c>
      <c r="AP2283" s="54">
        <f>IFERROR(AO2283/AL2283,"")</f>
        <v/>
      </c>
      <c r="AQ2283" s="125">
        <f>IFERROR(R2283/AO2283,"")</f>
        <v/>
      </c>
      <c r="AR2283" s="122" t="n">
        <v>2</v>
      </c>
      <c r="AS2283" s="122" t="n">
        <v>0</v>
      </c>
      <c r="AT2283" s="122">
        <f>AL2283+AR2283</f>
        <v/>
      </c>
      <c r="AU2283" s="125">
        <f>IFERROR(AO2283*Assumptions!$C$26*Assumptions!$C$27*INDEX(Assumptions!$C$18:$C$21,MATCH(H2283,Assumptions!$B$18:$B$21,0)),0)</f>
        <v/>
      </c>
    </row>
    <row r="2284">
      <c r="A2284" s="120" t="n">
        <v>46238</v>
      </c>
      <c r="B2284" s="66" t="inlineStr">
        <is>
          <t>Wk 32</t>
        </is>
      </c>
      <c r="C2284" s="66" t="inlineStr">
        <is>
          <t>Tue</t>
        </is>
      </c>
      <c r="D2284" s="66" t="inlineStr">
        <is>
          <t>Programmatic</t>
        </is>
      </c>
      <c r="E2284" s="66" t="inlineStr">
        <is>
          <t>DV360</t>
        </is>
      </c>
      <c r="F2284" s="66" t="inlineStr">
        <is>
          <t>LEP_ZA_AUG26_PROG_RMKT_DYNAMIC</t>
        </is>
      </c>
      <c r="G2284" s="66" t="inlineStr">
        <is>
          <t>Dynamic Retargeting</t>
        </is>
      </c>
      <c r="H2284" s="66" t="inlineStr">
        <is>
          <t>Range</t>
        </is>
      </c>
      <c r="I2284" s="66" t="inlineStr">
        <is>
          <t>Range Offer</t>
        </is>
      </c>
      <c r="J2284" s="66" t="inlineStr">
        <is>
          <t>PROG_DYN_RMKT_7D</t>
        </is>
      </c>
      <c r="K2284" s="66" t="inlineStr">
        <is>
          <t>Retargeting</t>
        </is>
      </c>
      <c r="L2284" s="66" t="inlineStr">
        <is>
          <t>PROG_DYN_300x250_ModelSeen_v1</t>
        </is>
      </c>
      <c r="M2284" s="66" t="inlineStr">
        <is>
          <t>Dynamic Display 300x250</t>
        </is>
      </c>
      <c r="N2284" s="66" t="inlineStr">
        <is>
          <t>Still thinking about it?</t>
        </is>
      </c>
      <c r="O2284" s="66" t="inlineStr">
        <is>
          <t>Auction - Lowest Cost</t>
        </is>
      </c>
      <c r="P2284" s="66" t="inlineStr">
        <is>
          <t>Conversions (CPA)</t>
        </is>
      </c>
      <c r="Q2284" s="66" t="inlineStr">
        <is>
          <t>https://www.lepas-sa.co.za/book-a-test-drive</t>
        </is>
      </c>
      <c r="R2284" s="121" t="n">
        <v>118.33</v>
      </c>
      <c r="S2284" s="122" t="n">
        <v>2960</v>
      </c>
      <c r="T2284" s="122" t="n">
        <v>1616</v>
      </c>
      <c r="U2284" s="123">
        <f>IFERROR(S2284/T2284,"")</f>
        <v/>
      </c>
      <c r="V2284" s="122" t="n">
        <v>17</v>
      </c>
      <c r="W2284" s="122" t="n">
        <v>13</v>
      </c>
      <c r="X2284" s="124">
        <f>IFERROR(W2284/S2284,"")</f>
        <v/>
      </c>
      <c r="Y2284" s="121">
        <f>IFERROR(R2284/W2284,"")</f>
        <v/>
      </c>
      <c r="Z2284" s="121">
        <f>IFERROR(R2284/S2284*1000,"")</f>
        <v/>
      </c>
      <c r="AA2284" s="122" t="n">
        <v>8</v>
      </c>
      <c r="AB2284" s="54">
        <f>IFERROR(AA2284/W2284,"")</f>
        <v/>
      </c>
      <c r="AC2284" s="122" t="n">
        <v>0</v>
      </c>
      <c r="AD2284" s="122" t="n">
        <v>0</v>
      </c>
      <c r="AE2284" s="122" t="n">
        <v>0</v>
      </c>
      <c r="AF2284" s="122" t="n">
        <v>0</v>
      </c>
      <c r="AG2284" s="122" t="n">
        <v>0</v>
      </c>
      <c r="AH2284" s="122" t="n">
        <v>0</v>
      </c>
      <c r="AI2284" s="54">
        <f>IFERROR(AC2284/S2284,"")</f>
        <v/>
      </c>
      <c r="AJ2284" s="54">
        <f>IFERROR(AH2284/S2284,"")</f>
        <v/>
      </c>
      <c r="AK2284" s="122" t="n">
        <v>12</v>
      </c>
      <c r="AL2284" s="122" t="n">
        <v>0</v>
      </c>
      <c r="AM2284" s="124">
        <f>IFERROR(AL2284/AA2284,"")</f>
        <v/>
      </c>
      <c r="AN2284" s="125">
        <f>IFERROR(R2284/AL2284,"")</f>
        <v/>
      </c>
      <c r="AO2284" s="122" t="n">
        <v>0</v>
      </c>
      <c r="AP2284" s="54">
        <f>IFERROR(AO2284/AL2284,"")</f>
        <v/>
      </c>
      <c r="AQ2284" s="125">
        <f>IFERROR(R2284/AO2284,"")</f>
        <v/>
      </c>
      <c r="AR2284" s="122" t="n">
        <v>0</v>
      </c>
      <c r="AS2284" s="122" t="n">
        <v>0</v>
      </c>
      <c r="AT2284" s="122">
        <f>AL2284+AR2284</f>
        <v/>
      </c>
      <c r="AU2284" s="125">
        <f>IFERROR(AO2284*Assumptions!$C$26*Assumptions!$C$27*INDEX(Assumptions!$C$18:$C$21,MATCH(H2284,Assumptions!$B$18:$B$21,0)),0)</f>
        <v/>
      </c>
    </row>
    <row r="2285">
      <c r="A2285" s="120" t="n">
        <v>46239</v>
      </c>
      <c r="B2285" s="66" t="inlineStr">
        <is>
          <t>Wk 32</t>
        </is>
      </c>
      <c r="C2285" s="66" t="inlineStr">
        <is>
          <t>Wed</t>
        </is>
      </c>
      <c r="D2285" s="66" t="inlineStr">
        <is>
          <t>Programmatic</t>
        </is>
      </c>
      <c r="E2285" s="66" t="inlineStr">
        <is>
          <t>DV360</t>
        </is>
      </c>
      <c r="F2285" s="66" t="inlineStr">
        <is>
          <t>LEP_ZA_AUG26_PROG_RMKT_DYNAMIC</t>
        </is>
      </c>
      <c r="G2285" s="66" t="inlineStr">
        <is>
          <t>Dynamic Retargeting</t>
        </is>
      </c>
      <c r="H2285" s="66" t="inlineStr">
        <is>
          <t>Range</t>
        </is>
      </c>
      <c r="I2285" s="66" t="inlineStr">
        <is>
          <t>Range Offer</t>
        </is>
      </c>
      <c r="J2285" s="66" t="inlineStr">
        <is>
          <t>PROG_DYN_RMKT_7D</t>
        </is>
      </c>
      <c r="K2285" s="66" t="inlineStr">
        <is>
          <t>Retargeting</t>
        </is>
      </c>
      <c r="L2285" s="66" t="inlineStr">
        <is>
          <t>PROG_DYN_300x250_ModelSeen_v1</t>
        </is>
      </c>
      <c r="M2285" s="66" t="inlineStr">
        <is>
          <t>Dynamic Display 300x250</t>
        </is>
      </c>
      <c r="N2285" s="66" t="inlineStr">
        <is>
          <t>Still thinking about it?</t>
        </is>
      </c>
      <c r="O2285" s="66" t="inlineStr">
        <is>
          <t>Auction - Lowest Cost</t>
        </is>
      </c>
      <c r="P2285" s="66" t="inlineStr">
        <is>
          <t>Conversions (CPA)</t>
        </is>
      </c>
      <c r="Q2285" s="66" t="inlineStr">
        <is>
          <t>https://www.lepas-sa.co.za/book-a-test-drive</t>
        </is>
      </c>
      <c r="R2285" s="121" t="n">
        <v>114.33</v>
      </c>
      <c r="S2285" s="122" t="n">
        <v>4724</v>
      </c>
      <c r="T2285" s="122" t="n">
        <v>3725</v>
      </c>
      <c r="U2285" s="123">
        <f>IFERROR(S2285/T2285,"")</f>
        <v/>
      </c>
      <c r="V2285" s="122" t="n">
        <v>35</v>
      </c>
      <c r="W2285" s="122" t="n">
        <v>25</v>
      </c>
      <c r="X2285" s="124">
        <f>IFERROR(W2285/S2285,"")</f>
        <v/>
      </c>
      <c r="Y2285" s="121">
        <f>IFERROR(R2285/W2285,"")</f>
        <v/>
      </c>
      <c r="Z2285" s="121">
        <f>IFERROR(R2285/S2285*1000,"")</f>
        <v/>
      </c>
      <c r="AA2285" s="122" t="n">
        <v>17</v>
      </c>
      <c r="AB2285" s="54">
        <f>IFERROR(AA2285/W2285,"")</f>
        <v/>
      </c>
      <c r="AC2285" s="122" t="n">
        <v>0</v>
      </c>
      <c r="AD2285" s="122" t="n">
        <v>0</v>
      </c>
      <c r="AE2285" s="122" t="n">
        <v>0</v>
      </c>
      <c r="AF2285" s="122" t="n">
        <v>0</v>
      </c>
      <c r="AG2285" s="122" t="n">
        <v>0</v>
      </c>
      <c r="AH2285" s="122" t="n">
        <v>0</v>
      </c>
      <c r="AI2285" s="54">
        <f>IFERROR(AC2285/S2285,"")</f>
        <v/>
      </c>
      <c r="AJ2285" s="54">
        <f>IFERROR(AH2285/S2285,"")</f>
        <v/>
      </c>
      <c r="AK2285" s="122" t="n">
        <v>16</v>
      </c>
      <c r="AL2285" s="122" t="n">
        <v>1</v>
      </c>
      <c r="AM2285" s="124">
        <f>IFERROR(AL2285/AA2285,"")</f>
        <v/>
      </c>
      <c r="AN2285" s="125">
        <f>IFERROR(R2285/AL2285,"")</f>
        <v/>
      </c>
      <c r="AO2285" s="122" t="n">
        <v>0</v>
      </c>
      <c r="AP2285" s="54">
        <f>IFERROR(AO2285/AL2285,"")</f>
        <v/>
      </c>
      <c r="AQ2285" s="125">
        <f>IFERROR(R2285/AO2285,"")</f>
        <v/>
      </c>
      <c r="AR2285" s="122" t="n">
        <v>2</v>
      </c>
      <c r="AS2285" s="122" t="n">
        <v>2</v>
      </c>
      <c r="AT2285" s="122">
        <f>AL2285+AR2285</f>
        <v/>
      </c>
      <c r="AU2285" s="125">
        <f>IFERROR(AO2285*Assumptions!$C$26*Assumptions!$C$27*INDEX(Assumptions!$C$18:$C$21,MATCH(H2285,Assumptions!$B$18:$B$21,0)),0)</f>
        <v/>
      </c>
    </row>
    <row r="2286">
      <c r="A2286" s="120" t="n">
        <v>46240</v>
      </c>
      <c r="B2286" s="66" t="inlineStr">
        <is>
          <t>Wk 32</t>
        </is>
      </c>
      <c r="C2286" s="66" t="inlineStr">
        <is>
          <t>Thu</t>
        </is>
      </c>
      <c r="D2286" s="66" t="inlineStr">
        <is>
          <t>Programmatic</t>
        </is>
      </c>
      <c r="E2286" s="66" t="inlineStr">
        <is>
          <t>DV360</t>
        </is>
      </c>
      <c r="F2286" s="66" t="inlineStr">
        <is>
          <t>LEP_ZA_AUG26_PROG_RMKT_DYNAMIC</t>
        </is>
      </c>
      <c r="G2286" s="66" t="inlineStr">
        <is>
          <t>Dynamic Retargeting</t>
        </is>
      </c>
      <c r="H2286" s="66" t="inlineStr">
        <is>
          <t>Range</t>
        </is>
      </c>
      <c r="I2286" s="66" t="inlineStr">
        <is>
          <t>Range Offer</t>
        </is>
      </c>
      <c r="J2286" s="66" t="inlineStr">
        <is>
          <t>PROG_DYN_RMKT_7D</t>
        </is>
      </c>
      <c r="K2286" s="66" t="inlineStr">
        <is>
          <t>Retargeting</t>
        </is>
      </c>
      <c r="L2286" s="66" t="inlineStr">
        <is>
          <t>PROG_DYN_300x250_ModelSeen_v1</t>
        </is>
      </c>
      <c r="M2286" s="66" t="inlineStr">
        <is>
          <t>Dynamic Display 300x250</t>
        </is>
      </c>
      <c r="N2286" s="66" t="inlineStr">
        <is>
          <t>Still thinking about it?</t>
        </is>
      </c>
      <c r="O2286" s="66" t="inlineStr">
        <is>
          <t>Auction - Lowest Cost</t>
        </is>
      </c>
      <c r="P2286" s="66" t="inlineStr">
        <is>
          <t>Conversions (CPA)</t>
        </is>
      </c>
      <c r="Q2286" s="66" t="inlineStr">
        <is>
          <t>https://www.lepas-sa.co.za/book-a-test-drive</t>
        </is>
      </c>
      <c r="R2286" s="121" t="n">
        <v>144.66</v>
      </c>
      <c r="S2286" s="122" t="n">
        <v>4356</v>
      </c>
      <c r="T2286" s="122" t="n">
        <v>1926</v>
      </c>
      <c r="U2286" s="123">
        <f>IFERROR(S2286/T2286,"")</f>
        <v/>
      </c>
      <c r="V2286" s="122" t="n">
        <v>22</v>
      </c>
      <c r="W2286" s="122" t="n">
        <v>16</v>
      </c>
      <c r="X2286" s="124">
        <f>IFERROR(W2286/S2286,"")</f>
        <v/>
      </c>
      <c r="Y2286" s="121">
        <f>IFERROR(R2286/W2286,"")</f>
        <v/>
      </c>
      <c r="Z2286" s="121">
        <f>IFERROR(R2286/S2286*1000,"")</f>
        <v/>
      </c>
      <c r="AA2286" s="122" t="n">
        <v>11</v>
      </c>
      <c r="AB2286" s="54">
        <f>IFERROR(AA2286/W2286,"")</f>
        <v/>
      </c>
      <c r="AC2286" s="122" t="n">
        <v>0</v>
      </c>
      <c r="AD2286" s="122" t="n">
        <v>0</v>
      </c>
      <c r="AE2286" s="122" t="n">
        <v>0</v>
      </c>
      <c r="AF2286" s="122" t="n">
        <v>0</v>
      </c>
      <c r="AG2286" s="122" t="n">
        <v>0</v>
      </c>
      <c r="AH2286" s="122" t="n">
        <v>0</v>
      </c>
      <c r="AI2286" s="54">
        <f>IFERROR(AC2286/S2286,"")</f>
        <v/>
      </c>
      <c r="AJ2286" s="54">
        <f>IFERROR(AH2286/S2286,"")</f>
        <v/>
      </c>
      <c r="AK2286" s="122" t="n">
        <v>25</v>
      </c>
      <c r="AL2286" s="122" t="n">
        <v>1</v>
      </c>
      <c r="AM2286" s="124">
        <f>IFERROR(AL2286/AA2286,"")</f>
        <v/>
      </c>
      <c r="AN2286" s="125">
        <f>IFERROR(R2286/AL2286,"")</f>
        <v/>
      </c>
      <c r="AO2286" s="122" t="n">
        <v>1</v>
      </c>
      <c r="AP2286" s="54">
        <f>IFERROR(AO2286/AL2286,"")</f>
        <v/>
      </c>
      <c r="AQ2286" s="125">
        <f>IFERROR(R2286/AO2286,"")</f>
        <v/>
      </c>
      <c r="AR2286" s="122" t="n">
        <v>2</v>
      </c>
      <c r="AS2286" s="122" t="n">
        <v>0</v>
      </c>
      <c r="AT2286" s="122">
        <f>AL2286+AR2286</f>
        <v/>
      </c>
      <c r="AU2286" s="125">
        <f>IFERROR(AO2286*Assumptions!$C$26*Assumptions!$C$27*INDEX(Assumptions!$C$18:$C$21,MATCH(H2286,Assumptions!$B$18:$B$21,0)),0)</f>
        <v/>
      </c>
    </row>
    <row r="2287">
      <c r="A2287" s="120" t="n">
        <v>46241</v>
      </c>
      <c r="B2287" s="66" t="inlineStr">
        <is>
          <t>Wk 32</t>
        </is>
      </c>
      <c r="C2287" s="66" t="inlineStr">
        <is>
          <t>Fri</t>
        </is>
      </c>
      <c r="D2287" s="66" t="inlineStr">
        <is>
          <t>Programmatic</t>
        </is>
      </c>
      <c r="E2287" s="66" t="inlineStr">
        <is>
          <t>DV360</t>
        </is>
      </c>
      <c r="F2287" s="66" t="inlineStr">
        <is>
          <t>LEP_ZA_AUG26_PROG_RMKT_DYNAMIC</t>
        </is>
      </c>
      <c r="G2287" s="66" t="inlineStr">
        <is>
          <t>Dynamic Retargeting</t>
        </is>
      </c>
      <c r="H2287" s="66" t="inlineStr">
        <is>
          <t>Range</t>
        </is>
      </c>
      <c r="I2287" s="66" t="inlineStr">
        <is>
          <t>Range Offer</t>
        </is>
      </c>
      <c r="J2287" s="66" t="inlineStr">
        <is>
          <t>PROG_DYN_RMKT_7D</t>
        </is>
      </c>
      <c r="K2287" s="66" t="inlineStr">
        <is>
          <t>Retargeting</t>
        </is>
      </c>
      <c r="L2287" s="66" t="inlineStr">
        <is>
          <t>PROG_DYN_300x250_ModelSeen_v1</t>
        </is>
      </c>
      <c r="M2287" s="66" t="inlineStr">
        <is>
          <t>Dynamic Display 300x250</t>
        </is>
      </c>
      <c r="N2287" s="66" t="inlineStr">
        <is>
          <t>Still thinking about it?</t>
        </is>
      </c>
      <c r="O2287" s="66" t="inlineStr">
        <is>
          <t>Auction - Lowest Cost</t>
        </is>
      </c>
      <c r="P2287" s="66" t="inlineStr">
        <is>
          <t>Conversions (CPA)</t>
        </is>
      </c>
      <c r="Q2287" s="66" t="inlineStr">
        <is>
          <t>https://www.lepas-sa.co.za/book-a-test-drive</t>
        </is>
      </c>
      <c r="R2287" s="121" t="n">
        <v>148.36</v>
      </c>
      <c r="S2287" s="122" t="n">
        <v>5162</v>
      </c>
      <c r="T2287" s="122" t="n">
        <v>3434</v>
      </c>
      <c r="U2287" s="123">
        <f>IFERROR(S2287/T2287,"")</f>
        <v/>
      </c>
      <c r="V2287" s="122" t="n">
        <v>12</v>
      </c>
      <c r="W2287" s="122" t="n">
        <v>10</v>
      </c>
      <c r="X2287" s="124">
        <f>IFERROR(W2287/S2287,"")</f>
        <v/>
      </c>
      <c r="Y2287" s="121">
        <f>IFERROR(R2287/W2287,"")</f>
        <v/>
      </c>
      <c r="Z2287" s="121">
        <f>IFERROR(R2287/S2287*1000,"")</f>
        <v/>
      </c>
      <c r="AA2287" s="122" t="n">
        <v>6</v>
      </c>
      <c r="AB2287" s="54">
        <f>IFERROR(AA2287/W2287,"")</f>
        <v/>
      </c>
      <c r="AC2287" s="122" t="n">
        <v>0</v>
      </c>
      <c r="AD2287" s="122" t="n">
        <v>0</v>
      </c>
      <c r="AE2287" s="122" t="n">
        <v>0</v>
      </c>
      <c r="AF2287" s="122" t="n">
        <v>0</v>
      </c>
      <c r="AG2287" s="122" t="n">
        <v>0</v>
      </c>
      <c r="AH2287" s="122" t="n">
        <v>0</v>
      </c>
      <c r="AI2287" s="54">
        <f>IFERROR(AC2287/S2287,"")</f>
        <v/>
      </c>
      <c r="AJ2287" s="54">
        <f>IFERROR(AH2287/S2287,"")</f>
        <v/>
      </c>
      <c r="AK2287" s="122" t="n">
        <v>16</v>
      </c>
      <c r="AL2287" s="122" t="n">
        <v>0</v>
      </c>
      <c r="AM2287" s="124">
        <f>IFERROR(AL2287/AA2287,"")</f>
        <v/>
      </c>
      <c r="AN2287" s="125">
        <f>IFERROR(R2287/AL2287,"")</f>
        <v/>
      </c>
      <c r="AO2287" s="122" t="n">
        <v>0</v>
      </c>
      <c r="AP2287" s="54">
        <f>IFERROR(AO2287/AL2287,"")</f>
        <v/>
      </c>
      <c r="AQ2287" s="125">
        <f>IFERROR(R2287/AO2287,"")</f>
        <v/>
      </c>
      <c r="AR2287" s="122" t="n">
        <v>0</v>
      </c>
      <c r="AS2287" s="122" t="n">
        <v>0</v>
      </c>
      <c r="AT2287" s="122">
        <f>AL2287+AR2287</f>
        <v/>
      </c>
      <c r="AU2287" s="125">
        <f>IFERROR(AO2287*Assumptions!$C$26*Assumptions!$C$27*INDEX(Assumptions!$C$18:$C$21,MATCH(H2287,Assumptions!$B$18:$B$21,0)),0)</f>
        <v/>
      </c>
    </row>
    <row r="2288">
      <c r="A2288" s="120" t="n">
        <v>46242</v>
      </c>
      <c r="B2288" s="66" t="inlineStr">
        <is>
          <t>Wk 32</t>
        </is>
      </c>
      <c r="C2288" s="66" t="inlineStr">
        <is>
          <t>Sat</t>
        </is>
      </c>
      <c r="D2288" s="66" t="inlineStr">
        <is>
          <t>Programmatic</t>
        </is>
      </c>
      <c r="E2288" s="66" t="inlineStr">
        <is>
          <t>DV360</t>
        </is>
      </c>
      <c r="F2288" s="66" t="inlineStr">
        <is>
          <t>LEP_ZA_AUG26_PROG_RMKT_DYNAMIC</t>
        </is>
      </c>
      <c r="G2288" s="66" t="inlineStr">
        <is>
          <t>Dynamic Retargeting</t>
        </is>
      </c>
      <c r="H2288" s="66" t="inlineStr">
        <is>
          <t>Range</t>
        </is>
      </c>
      <c r="I2288" s="66" t="inlineStr">
        <is>
          <t>Range Offer</t>
        </is>
      </c>
      <c r="J2288" s="66" t="inlineStr">
        <is>
          <t>PROG_DYN_RMKT_7D</t>
        </is>
      </c>
      <c r="K2288" s="66" t="inlineStr">
        <is>
          <t>Retargeting</t>
        </is>
      </c>
      <c r="L2288" s="66" t="inlineStr">
        <is>
          <t>PROG_DYN_300x250_ModelSeen_v1</t>
        </is>
      </c>
      <c r="M2288" s="66" t="inlineStr">
        <is>
          <t>Dynamic Display 300x250</t>
        </is>
      </c>
      <c r="N2288" s="66" t="inlineStr">
        <is>
          <t>Still thinking about it?</t>
        </is>
      </c>
      <c r="O2288" s="66" t="inlineStr">
        <is>
          <t>Auction - Lowest Cost</t>
        </is>
      </c>
      <c r="P2288" s="66" t="inlineStr">
        <is>
          <t>Conversions (CPA)</t>
        </is>
      </c>
      <c r="Q2288" s="66" t="inlineStr">
        <is>
          <t>https://www.lepas-sa.co.za/book-a-test-drive</t>
        </is>
      </c>
      <c r="R2288" s="121" t="n">
        <v>166.16</v>
      </c>
      <c r="S2288" s="122" t="n">
        <v>5397</v>
      </c>
      <c r="T2288" s="122" t="n">
        <v>3867</v>
      </c>
      <c r="U2288" s="123">
        <f>IFERROR(S2288/T2288,"")</f>
        <v/>
      </c>
      <c r="V2288" s="122" t="n">
        <v>31</v>
      </c>
      <c r="W2288" s="122" t="n">
        <v>25</v>
      </c>
      <c r="X2288" s="124">
        <f>IFERROR(W2288/S2288,"")</f>
        <v/>
      </c>
      <c r="Y2288" s="121">
        <f>IFERROR(R2288/W2288,"")</f>
        <v/>
      </c>
      <c r="Z2288" s="121">
        <f>IFERROR(R2288/S2288*1000,"")</f>
        <v/>
      </c>
      <c r="AA2288" s="122" t="n">
        <v>16</v>
      </c>
      <c r="AB2288" s="54">
        <f>IFERROR(AA2288/W2288,"")</f>
        <v/>
      </c>
      <c r="AC2288" s="122" t="n">
        <v>0</v>
      </c>
      <c r="AD2288" s="122" t="n">
        <v>0</v>
      </c>
      <c r="AE2288" s="122" t="n">
        <v>0</v>
      </c>
      <c r="AF2288" s="122" t="n">
        <v>0</v>
      </c>
      <c r="AG2288" s="122" t="n">
        <v>0</v>
      </c>
      <c r="AH2288" s="122" t="n">
        <v>0</v>
      </c>
      <c r="AI2288" s="54">
        <f>IFERROR(AC2288/S2288,"")</f>
        <v/>
      </c>
      <c r="AJ2288" s="54">
        <f>IFERROR(AH2288/S2288,"")</f>
        <v/>
      </c>
      <c r="AK2288" s="122" t="n">
        <v>30</v>
      </c>
      <c r="AL2288" s="122" t="n">
        <v>1</v>
      </c>
      <c r="AM2288" s="124">
        <f>IFERROR(AL2288/AA2288,"")</f>
        <v/>
      </c>
      <c r="AN2288" s="125">
        <f>IFERROR(R2288/AL2288,"")</f>
        <v/>
      </c>
      <c r="AO2288" s="122" t="n">
        <v>1</v>
      </c>
      <c r="AP2288" s="54">
        <f>IFERROR(AO2288/AL2288,"")</f>
        <v/>
      </c>
      <c r="AQ2288" s="125">
        <f>IFERROR(R2288/AO2288,"")</f>
        <v/>
      </c>
      <c r="AR2288" s="122" t="n">
        <v>2</v>
      </c>
      <c r="AS2288" s="122" t="n">
        <v>2</v>
      </c>
      <c r="AT2288" s="122">
        <f>AL2288+AR2288</f>
        <v/>
      </c>
      <c r="AU2288" s="125">
        <f>IFERROR(AO2288*Assumptions!$C$26*Assumptions!$C$27*INDEX(Assumptions!$C$18:$C$21,MATCH(H2288,Assumptions!$B$18:$B$21,0)),0)</f>
        <v/>
      </c>
    </row>
    <row r="2289">
      <c r="A2289" s="120" t="n">
        <v>46243</v>
      </c>
      <c r="B2289" s="66" t="inlineStr">
        <is>
          <t>Wk 32</t>
        </is>
      </c>
      <c r="C2289" s="66" t="inlineStr">
        <is>
          <t>Sun</t>
        </is>
      </c>
      <c r="D2289" s="66" t="inlineStr">
        <is>
          <t>Programmatic</t>
        </is>
      </c>
      <c r="E2289" s="66" t="inlineStr">
        <is>
          <t>DV360</t>
        </is>
      </c>
      <c r="F2289" s="66" t="inlineStr">
        <is>
          <t>LEP_ZA_AUG26_PROG_RMKT_DYNAMIC</t>
        </is>
      </c>
      <c r="G2289" s="66" t="inlineStr">
        <is>
          <t>Dynamic Retargeting</t>
        </is>
      </c>
      <c r="H2289" s="66" t="inlineStr">
        <is>
          <t>Range</t>
        </is>
      </c>
      <c r="I2289" s="66" t="inlineStr">
        <is>
          <t>Range Offer</t>
        </is>
      </c>
      <c r="J2289" s="66" t="inlineStr">
        <is>
          <t>PROG_DYN_RMKT_7D</t>
        </is>
      </c>
      <c r="K2289" s="66" t="inlineStr">
        <is>
          <t>Retargeting</t>
        </is>
      </c>
      <c r="L2289" s="66" t="inlineStr">
        <is>
          <t>PROG_DYN_300x250_ModelSeen_v1</t>
        </is>
      </c>
      <c r="M2289" s="66" t="inlineStr">
        <is>
          <t>Dynamic Display 300x250</t>
        </is>
      </c>
      <c r="N2289" s="66" t="inlineStr">
        <is>
          <t>Still thinking about it?</t>
        </is>
      </c>
      <c r="O2289" s="66" t="inlineStr">
        <is>
          <t>Auction - Lowest Cost</t>
        </is>
      </c>
      <c r="P2289" s="66" t="inlineStr">
        <is>
          <t>Conversions (CPA)</t>
        </is>
      </c>
      <c r="Q2289" s="66" t="inlineStr">
        <is>
          <t>https://www.lepas-sa.co.za/book-a-test-drive</t>
        </is>
      </c>
      <c r="R2289" s="121" t="n">
        <v>121.45</v>
      </c>
      <c r="S2289" s="122" t="n">
        <v>3198</v>
      </c>
      <c r="T2289" s="122" t="n">
        <v>1359</v>
      </c>
      <c r="U2289" s="123">
        <f>IFERROR(S2289/T2289,"")</f>
        <v/>
      </c>
      <c r="V2289" s="122" t="n">
        <v>15</v>
      </c>
      <c r="W2289" s="122" t="n">
        <v>12</v>
      </c>
      <c r="X2289" s="124">
        <f>IFERROR(W2289/S2289,"")</f>
        <v/>
      </c>
      <c r="Y2289" s="121">
        <f>IFERROR(R2289/W2289,"")</f>
        <v/>
      </c>
      <c r="Z2289" s="121">
        <f>IFERROR(R2289/S2289*1000,"")</f>
        <v/>
      </c>
      <c r="AA2289" s="122" t="n">
        <v>7</v>
      </c>
      <c r="AB2289" s="54">
        <f>IFERROR(AA2289/W2289,"")</f>
        <v/>
      </c>
      <c r="AC2289" s="122" t="n">
        <v>0</v>
      </c>
      <c r="AD2289" s="122" t="n">
        <v>0</v>
      </c>
      <c r="AE2289" s="122" t="n">
        <v>0</v>
      </c>
      <c r="AF2289" s="122" t="n">
        <v>0</v>
      </c>
      <c r="AG2289" s="122" t="n">
        <v>0</v>
      </c>
      <c r="AH2289" s="122" t="n">
        <v>0</v>
      </c>
      <c r="AI2289" s="54">
        <f>IFERROR(AC2289/S2289,"")</f>
        <v/>
      </c>
      <c r="AJ2289" s="54">
        <f>IFERROR(AH2289/S2289,"")</f>
        <v/>
      </c>
      <c r="AK2289" s="122" t="n">
        <v>18</v>
      </c>
      <c r="AL2289" s="122" t="n">
        <v>1</v>
      </c>
      <c r="AM2289" s="124">
        <f>IFERROR(AL2289/AA2289,"")</f>
        <v/>
      </c>
      <c r="AN2289" s="125">
        <f>IFERROR(R2289/AL2289,"")</f>
        <v/>
      </c>
      <c r="AO2289" s="122" t="n">
        <v>1</v>
      </c>
      <c r="AP2289" s="54">
        <f>IFERROR(AO2289/AL2289,"")</f>
        <v/>
      </c>
      <c r="AQ2289" s="125">
        <f>IFERROR(R2289/AO2289,"")</f>
        <v/>
      </c>
      <c r="AR2289" s="122" t="n">
        <v>3</v>
      </c>
      <c r="AS2289" s="122" t="n">
        <v>1</v>
      </c>
      <c r="AT2289" s="122">
        <f>AL2289+AR2289</f>
        <v/>
      </c>
      <c r="AU2289" s="125">
        <f>IFERROR(AO2289*Assumptions!$C$26*Assumptions!$C$27*INDEX(Assumptions!$C$18:$C$21,MATCH(H2289,Assumptions!$B$18:$B$21,0)),0)</f>
        <v/>
      </c>
    </row>
    <row r="2290">
      <c r="A2290" s="120" t="n">
        <v>46244</v>
      </c>
      <c r="B2290" s="66" t="inlineStr">
        <is>
          <t>Wk 33</t>
        </is>
      </c>
      <c r="C2290" s="66" t="inlineStr">
        <is>
          <t>Mon</t>
        </is>
      </c>
      <c r="D2290" s="66" t="inlineStr">
        <is>
          <t>Programmatic</t>
        </is>
      </c>
      <c r="E2290" s="66" t="inlineStr">
        <is>
          <t>DV360</t>
        </is>
      </c>
      <c r="F2290" s="66" t="inlineStr">
        <is>
          <t>LEP_ZA_AUG26_PROG_RMKT_DYNAMIC</t>
        </is>
      </c>
      <c r="G2290" s="66" t="inlineStr">
        <is>
          <t>Dynamic Retargeting</t>
        </is>
      </c>
      <c r="H2290" s="66" t="inlineStr">
        <is>
          <t>Range</t>
        </is>
      </c>
      <c r="I2290" s="66" t="inlineStr">
        <is>
          <t>Range Offer</t>
        </is>
      </c>
      <c r="J2290" s="66" t="inlineStr">
        <is>
          <t>PROG_DYN_RMKT_7D</t>
        </is>
      </c>
      <c r="K2290" s="66" t="inlineStr">
        <is>
          <t>Retargeting</t>
        </is>
      </c>
      <c r="L2290" s="66" t="inlineStr">
        <is>
          <t>PROG_DYN_300x250_ModelSeen_v1</t>
        </is>
      </c>
      <c r="M2290" s="66" t="inlineStr">
        <is>
          <t>Dynamic Display 300x250</t>
        </is>
      </c>
      <c r="N2290" s="66" t="inlineStr">
        <is>
          <t>Still thinking about it?</t>
        </is>
      </c>
      <c r="O2290" s="66" t="inlineStr">
        <is>
          <t>Auction - Lowest Cost</t>
        </is>
      </c>
      <c r="P2290" s="66" t="inlineStr">
        <is>
          <t>Conversions (CPA)</t>
        </is>
      </c>
      <c r="Q2290" s="66" t="inlineStr">
        <is>
          <t>https://www.lepas-sa.co.za/book-a-test-drive</t>
        </is>
      </c>
      <c r="R2290" s="121" t="n">
        <v>127.11</v>
      </c>
      <c r="S2290" s="122" t="n">
        <v>3149</v>
      </c>
      <c r="T2290" s="122" t="n">
        <v>2090</v>
      </c>
      <c r="U2290" s="123">
        <f>IFERROR(S2290/T2290,"")</f>
        <v/>
      </c>
      <c r="V2290" s="122" t="n">
        <v>13</v>
      </c>
      <c r="W2290" s="122" t="n">
        <v>10</v>
      </c>
      <c r="X2290" s="124">
        <f>IFERROR(W2290/S2290,"")</f>
        <v/>
      </c>
      <c r="Y2290" s="121">
        <f>IFERROR(R2290/W2290,"")</f>
        <v/>
      </c>
      <c r="Z2290" s="121">
        <f>IFERROR(R2290/S2290*1000,"")</f>
        <v/>
      </c>
      <c r="AA2290" s="122" t="n">
        <v>6</v>
      </c>
      <c r="AB2290" s="54">
        <f>IFERROR(AA2290/W2290,"")</f>
        <v/>
      </c>
      <c r="AC2290" s="122" t="n">
        <v>0</v>
      </c>
      <c r="AD2290" s="122" t="n">
        <v>0</v>
      </c>
      <c r="AE2290" s="122" t="n">
        <v>0</v>
      </c>
      <c r="AF2290" s="122" t="n">
        <v>0</v>
      </c>
      <c r="AG2290" s="122" t="n">
        <v>0</v>
      </c>
      <c r="AH2290" s="122" t="n">
        <v>0</v>
      </c>
      <c r="AI2290" s="54">
        <f>IFERROR(AC2290/S2290,"")</f>
        <v/>
      </c>
      <c r="AJ2290" s="54">
        <f>IFERROR(AH2290/S2290,"")</f>
        <v/>
      </c>
      <c r="AK2290" s="122" t="n">
        <v>10</v>
      </c>
      <c r="AL2290" s="122" t="n">
        <v>0</v>
      </c>
      <c r="AM2290" s="124">
        <f>IFERROR(AL2290/AA2290,"")</f>
        <v/>
      </c>
      <c r="AN2290" s="125">
        <f>IFERROR(R2290/AL2290,"")</f>
        <v/>
      </c>
      <c r="AO2290" s="122" t="n">
        <v>0</v>
      </c>
      <c r="AP2290" s="54">
        <f>IFERROR(AO2290/AL2290,"")</f>
        <v/>
      </c>
      <c r="AQ2290" s="125">
        <f>IFERROR(R2290/AO2290,"")</f>
        <v/>
      </c>
      <c r="AR2290" s="122" t="n">
        <v>0</v>
      </c>
      <c r="AS2290" s="122" t="n">
        <v>0</v>
      </c>
      <c r="AT2290" s="122">
        <f>AL2290+AR2290</f>
        <v/>
      </c>
      <c r="AU2290" s="125">
        <f>IFERROR(AO2290*Assumptions!$C$26*Assumptions!$C$27*INDEX(Assumptions!$C$18:$C$21,MATCH(H2290,Assumptions!$B$18:$B$21,0)),0)</f>
        <v/>
      </c>
    </row>
    <row r="2291">
      <c r="A2291" s="120" t="n">
        <v>46245</v>
      </c>
      <c r="B2291" s="66" t="inlineStr">
        <is>
          <t>Wk 33</t>
        </is>
      </c>
      <c r="C2291" s="66" t="inlineStr">
        <is>
          <t>Tue</t>
        </is>
      </c>
      <c r="D2291" s="66" t="inlineStr">
        <is>
          <t>Programmatic</t>
        </is>
      </c>
      <c r="E2291" s="66" t="inlineStr">
        <is>
          <t>DV360</t>
        </is>
      </c>
      <c r="F2291" s="66" t="inlineStr">
        <is>
          <t>LEP_ZA_AUG26_PROG_RMKT_DYNAMIC</t>
        </is>
      </c>
      <c r="G2291" s="66" t="inlineStr">
        <is>
          <t>Dynamic Retargeting</t>
        </is>
      </c>
      <c r="H2291" s="66" t="inlineStr">
        <is>
          <t>Range</t>
        </is>
      </c>
      <c r="I2291" s="66" t="inlineStr">
        <is>
          <t>Range Offer</t>
        </is>
      </c>
      <c r="J2291" s="66" t="inlineStr">
        <is>
          <t>PROG_DYN_RMKT_7D</t>
        </is>
      </c>
      <c r="K2291" s="66" t="inlineStr">
        <is>
          <t>Retargeting</t>
        </is>
      </c>
      <c r="L2291" s="66" t="inlineStr">
        <is>
          <t>PROG_DYN_300x250_ModelSeen_v1</t>
        </is>
      </c>
      <c r="M2291" s="66" t="inlineStr">
        <is>
          <t>Dynamic Display 300x250</t>
        </is>
      </c>
      <c r="N2291" s="66" t="inlineStr">
        <is>
          <t>Still thinking about it?</t>
        </is>
      </c>
      <c r="O2291" s="66" t="inlineStr">
        <is>
          <t>Auction - Lowest Cost</t>
        </is>
      </c>
      <c r="P2291" s="66" t="inlineStr">
        <is>
          <t>Conversions (CPA)</t>
        </is>
      </c>
      <c r="Q2291" s="66" t="inlineStr">
        <is>
          <t>https://www.lepas-sa.co.za/book-a-test-drive</t>
        </is>
      </c>
      <c r="R2291" s="121" t="n">
        <v>108.62</v>
      </c>
      <c r="S2291" s="122" t="n">
        <v>3393</v>
      </c>
      <c r="T2291" s="122" t="n">
        <v>2167</v>
      </c>
      <c r="U2291" s="123">
        <f>IFERROR(S2291/T2291,"")</f>
        <v/>
      </c>
      <c r="V2291" s="122" t="n">
        <v>22</v>
      </c>
      <c r="W2291" s="122" t="n">
        <v>16</v>
      </c>
      <c r="X2291" s="124">
        <f>IFERROR(W2291/S2291,"")</f>
        <v/>
      </c>
      <c r="Y2291" s="121">
        <f>IFERROR(R2291/W2291,"")</f>
        <v/>
      </c>
      <c r="Z2291" s="121">
        <f>IFERROR(R2291/S2291*1000,"")</f>
        <v/>
      </c>
      <c r="AA2291" s="122" t="n">
        <v>9</v>
      </c>
      <c r="AB2291" s="54">
        <f>IFERROR(AA2291/W2291,"")</f>
        <v/>
      </c>
      <c r="AC2291" s="122" t="n">
        <v>0</v>
      </c>
      <c r="AD2291" s="122" t="n">
        <v>0</v>
      </c>
      <c r="AE2291" s="122" t="n">
        <v>0</v>
      </c>
      <c r="AF2291" s="122" t="n">
        <v>0</v>
      </c>
      <c r="AG2291" s="122" t="n">
        <v>0</v>
      </c>
      <c r="AH2291" s="122" t="n">
        <v>0</v>
      </c>
      <c r="AI2291" s="54">
        <f>IFERROR(AC2291/S2291,"")</f>
        <v/>
      </c>
      <c r="AJ2291" s="54">
        <f>IFERROR(AH2291/S2291,"")</f>
        <v/>
      </c>
      <c r="AK2291" s="122" t="n">
        <v>18</v>
      </c>
      <c r="AL2291" s="122" t="n">
        <v>1</v>
      </c>
      <c r="AM2291" s="124">
        <f>IFERROR(AL2291/AA2291,"")</f>
        <v/>
      </c>
      <c r="AN2291" s="125">
        <f>IFERROR(R2291/AL2291,"")</f>
        <v/>
      </c>
      <c r="AO2291" s="122" t="n">
        <v>0</v>
      </c>
      <c r="AP2291" s="54">
        <f>IFERROR(AO2291/AL2291,"")</f>
        <v/>
      </c>
      <c r="AQ2291" s="125">
        <f>IFERROR(R2291/AO2291,"")</f>
        <v/>
      </c>
      <c r="AR2291" s="122" t="n">
        <v>1</v>
      </c>
      <c r="AS2291" s="122" t="n">
        <v>1</v>
      </c>
      <c r="AT2291" s="122">
        <f>AL2291+AR2291</f>
        <v/>
      </c>
      <c r="AU2291" s="125">
        <f>IFERROR(AO2291*Assumptions!$C$26*Assumptions!$C$27*INDEX(Assumptions!$C$18:$C$21,MATCH(H2291,Assumptions!$B$18:$B$21,0)),0)</f>
        <v/>
      </c>
    </row>
    <row r="2292">
      <c r="A2292" s="120" t="n">
        <v>46246</v>
      </c>
      <c r="B2292" s="66" t="inlineStr">
        <is>
          <t>Wk 33</t>
        </is>
      </c>
      <c r="C2292" s="66" t="inlineStr">
        <is>
          <t>Wed</t>
        </is>
      </c>
      <c r="D2292" s="66" t="inlineStr">
        <is>
          <t>Programmatic</t>
        </is>
      </c>
      <c r="E2292" s="66" t="inlineStr">
        <is>
          <t>DV360</t>
        </is>
      </c>
      <c r="F2292" s="66" t="inlineStr">
        <is>
          <t>LEP_ZA_AUG26_PROG_RMKT_DYNAMIC</t>
        </is>
      </c>
      <c r="G2292" s="66" t="inlineStr">
        <is>
          <t>Dynamic Retargeting</t>
        </is>
      </c>
      <c r="H2292" s="66" t="inlineStr">
        <is>
          <t>Range</t>
        </is>
      </c>
      <c r="I2292" s="66" t="inlineStr">
        <is>
          <t>Range Offer</t>
        </is>
      </c>
      <c r="J2292" s="66" t="inlineStr">
        <is>
          <t>PROG_DYN_RMKT_7D</t>
        </is>
      </c>
      <c r="K2292" s="66" t="inlineStr">
        <is>
          <t>Retargeting</t>
        </is>
      </c>
      <c r="L2292" s="66" t="inlineStr">
        <is>
          <t>PROG_DYN_300x250_ModelSeen_v1</t>
        </is>
      </c>
      <c r="M2292" s="66" t="inlineStr">
        <is>
          <t>Dynamic Display 300x250</t>
        </is>
      </c>
      <c r="N2292" s="66" t="inlineStr">
        <is>
          <t>Still thinking about it?</t>
        </is>
      </c>
      <c r="O2292" s="66" t="inlineStr">
        <is>
          <t>Auction - Lowest Cost</t>
        </is>
      </c>
      <c r="P2292" s="66" t="inlineStr">
        <is>
          <t>Conversions (CPA)</t>
        </is>
      </c>
      <c r="Q2292" s="66" t="inlineStr">
        <is>
          <t>https://www.lepas-sa.co.za/book-a-test-drive</t>
        </is>
      </c>
      <c r="R2292" s="121" t="n">
        <v>136.48</v>
      </c>
      <c r="S2292" s="122" t="n">
        <v>5853</v>
      </c>
      <c r="T2292" s="122" t="n">
        <v>2506</v>
      </c>
      <c r="U2292" s="123">
        <f>IFERROR(S2292/T2292,"")</f>
        <v/>
      </c>
      <c r="V2292" s="122" t="n">
        <v>28</v>
      </c>
      <c r="W2292" s="122" t="n">
        <v>23</v>
      </c>
      <c r="X2292" s="124">
        <f>IFERROR(W2292/S2292,"")</f>
        <v/>
      </c>
      <c r="Y2292" s="121">
        <f>IFERROR(R2292/W2292,"")</f>
        <v/>
      </c>
      <c r="Z2292" s="121">
        <f>IFERROR(R2292/S2292*1000,"")</f>
        <v/>
      </c>
      <c r="AA2292" s="122" t="n">
        <v>16</v>
      </c>
      <c r="AB2292" s="54">
        <f>IFERROR(AA2292/W2292,"")</f>
        <v/>
      </c>
      <c r="AC2292" s="122" t="n">
        <v>0</v>
      </c>
      <c r="AD2292" s="122" t="n">
        <v>0</v>
      </c>
      <c r="AE2292" s="122" t="n">
        <v>0</v>
      </c>
      <c r="AF2292" s="122" t="n">
        <v>0</v>
      </c>
      <c r="AG2292" s="122" t="n">
        <v>0</v>
      </c>
      <c r="AH2292" s="122" t="n">
        <v>0</v>
      </c>
      <c r="AI2292" s="54">
        <f>IFERROR(AC2292/S2292,"")</f>
        <v/>
      </c>
      <c r="AJ2292" s="54">
        <f>IFERROR(AH2292/S2292,"")</f>
        <v/>
      </c>
      <c r="AK2292" s="122" t="n">
        <v>25</v>
      </c>
      <c r="AL2292" s="122" t="n">
        <v>0</v>
      </c>
      <c r="AM2292" s="124">
        <f>IFERROR(AL2292/AA2292,"")</f>
        <v/>
      </c>
      <c r="AN2292" s="125">
        <f>IFERROR(R2292/AL2292,"")</f>
        <v/>
      </c>
      <c r="AO2292" s="122" t="n">
        <v>0</v>
      </c>
      <c r="AP2292" s="54">
        <f>IFERROR(AO2292/AL2292,"")</f>
        <v/>
      </c>
      <c r="AQ2292" s="125">
        <f>IFERROR(R2292/AO2292,"")</f>
        <v/>
      </c>
      <c r="AR2292" s="122" t="n">
        <v>0</v>
      </c>
      <c r="AS2292" s="122" t="n">
        <v>0</v>
      </c>
      <c r="AT2292" s="122">
        <f>AL2292+AR2292</f>
        <v/>
      </c>
      <c r="AU2292" s="125">
        <f>IFERROR(AO2292*Assumptions!$C$26*Assumptions!$C$27*INDEX(Assumptions!$C$18:$C$21,MATCH(H2292,Assumptions!$B$18:$B$21,0)),0)</f>
        <v/>
      </c>
    </row>
    <row r="2293">
      <c r="A2293" s="120" t="n">
        <v>46247</v>
      </c>
      <c r="B2293" s="66" t="inlineStr">
        <is>
          <t>Wk 33</t>
        </is>
      </c>
      <c r="C2293" s="66" t="inlineStr">
        <is>
          <t>Thu</t>
        </is>
      </c>
      <c r="D2293" s="66" t="inlineStr">
        <is>
          <t>Programmatic</t>
        </is>
      </c>
      <c r="E2293" s="66" t="inlineStr">
        <is>
          <t>DV360</t>
        </is>
      </c>
      <c r="F2293" s="66" t="inlineStr">
        <is>
          <t>LEP_ZA_AUG26_PROG_RMKT_DYNAMIC</t>
        </is>
      </c>
      <c r="G2293" s="66" t="inlineStr">
        <is>
          <t>Dynamic Retargeting</t>
        </is>
      </c>
      <c r="H2293" s="66" t="inlineStr">
        <is>
          <t>Range</t>
        </is>
      </c>
      <c r="I2293" s="66" t="inlineStr">
        <is>
          <t>Range Offer</t>
        </is>
      </c>
      <c r="J2293" s="66" t="inlineStr">
        <is>
          <t>PROG_DYN_RMKT_7D</t>
        </is>
      </c>
      <c r="K2293" s="66" t="inlineStr">
        <is>
          <t>Retargeting</t>
        </is>
      </c>
      <c r="L2293" s="66" t="inlineStr">
        <is>
          <t>PROG_DYN_300x250_ModelSeen_v1</t>
        </is>
      </c>
      <c r="M2293" s="66" t="inlineStr">
        <is>
          <t>Dynamic Display 300x250</t>
        </is>
      </c>
      <c r="N2293" s="66" t="inlineStr">
        <is>
          <t>Still thinking about it?</t>
        </is>
      </c>
      <c r="O2293" s="66" t="inlineStr">
        <is>
          <t>Auction - Lowest Cost</t>
        </is>
      </c>
      <c r="P2293" s="66" t="inlineStr">
        <is>
          <t>Conversions (CPA)</t>
        </is>
      </c>
      <c r="Q2293" s="66" t="inlineStr">
        <is>
          <t>https://www.lepas-sa.co.za/book-a-test-drive</t>
        </is>
      </c>
      <c r="R2293" s="121" t="n">
        <v>143.72</v>
      </c>
      <c r="S2293" s="122" t="n">
        <v>5195</v>
      </c>
      <c r="T2293" s="122" t="n">
        <v>3293</v>
      </c>
      <c r="U2293" s="123">
        <f>IFERROR(S2293/T2293,"")</f>
        <v/>
      </c>
      <c r="V2293" s="122" t="n">
        <v>33</v>
      </c>
      <c r="W2293" s="122" t="n">
        <v>26</v>
      </c>
      <c r="X2293" s="124">
        <f>IFERROR(W2293/S2293,"")</f>
        <v/>
      </c>
      <c r="Y2293" s="121">
        <f>IFERROR(R2293/W2293,"")</f>
        <v/>
      </c>
      <c r="Z2293" s="121">
        <f>IFERROR(R2293/S2293*1000,"")</f>
        <v/>
      </c>
      <c r="AA2293" s="122" t="n">
        <v>18</v>
      </c>
      <c r="AB2293" s="54">
        <f>IFERROR(AA2293/W2293,"")</f>
        <v/>
      </c>
      <c r="AC2293" s="122" t="n">
        <v>0</v>
      </c>
      <c r="AD2293" s="122" t="n">
        <v>0</v>
      </c>
      <c r="AE2293" s="122" t="n">
        <v>0</v>
      </c>
      <c r="AF2293" s="122" t="n">
        <v>0</v>
      </c>
      <c r="AG2293" s="122" t="n">
        <v>0</v>
      </c>
      <c r="AH2293" s="122" t="n">
        <v>0</v>
      </c>
      <c r="AI2293" s="54">
        <f>IFERROR(AC2293/S2293,"")</f>
        <v/>
      </c>
      <c r="AJ2293" s="54">
        <f>IFERROR(AH2293/S2293,"")</f>
        <v/>
      </c>
      <c r="AK2293" s="122" t="n">
        <v>7</v>
      </c>
      <c r="AL2293" s="122" t="n">
        <v>1</v>
      </c>
      <c r="AM2293" s="124">
        <f>IFERROR(AL2293/AA2293,"")</f>
        <v/>
      </c>
      <c r="AN2293" s="125">
        <f>IFERROR(R2293/AL2293,"")</f>
        <v/>
      </c>
      <c r="AO2293" s="122" t="n">
        <v>0</v>
      </c>
      <c r="AP2293" s="54">
        <f>IFERROR(AO2293/AL2293,"")</f>
        <v/>
      </c>
      <c r="AQ2293" s="125">
        <f>IFERROR(R2293/AO2293,"")</f>
        <v/>
      </c>
      <c r="AR2293" s="122" t="n">
        <v>3</v>
      </c>
      <c r="AS2293" s="122" t="n">
        <v>0</v>
      </c>
      <c r="AT2293" s="122">
        <f>AL2293+AR2293</f>
        <v/>
      </c>
      <c r="AU2293" s="125">
        <f>IFERROR(AO2293*Assumptions!$C$26*Assumptions!$C$27*INDEX(Assumptions!$C$18:$C$21,MATCH(H2293,Assumptions!$B$18:$B$21,0)),0)</f>
        <v/>
      </c>
    </row>
    <row r="2294">
      <c r="A2294" s="120" t="n">
        <v>46248</v>
      </c>
      <c r="B2294" s="66" t="inlineStr">
        <is>
          <t>Wk 33</t>
        </is>
      </c>
      <c r="C2294" s="66" t="inlineStr">
        <is>
          <t>Fri</t>
        </is>
      </c>
      <c r="D2294" s="66" t="inlineStr">
        <is>
          <t>Programmatic</t>
        </is>
      </c>
      <c r="E2294" s="66" t="inlineStr">
        <is>
          <t>DV360</t>
        </is>
      </c>
      <c r="F2294" s="66" t="inlineStr">
        <is>
          <t>LEP_ZA_AUG26_PROG_RMKT_DYNAMIC</t>
        </is>
      </c>
      <c r="G2294" s="66" t="inlineStr">
        <is>
          <t>Dynamic Retargeting</t>
        </is>
      </c>
      <c r="H2294" s="66" t="inlineStr">
        <is>
          <t>Range</t>
        </is>
      </c>
      <c r="I2294" s="66" t="inlineStr">
        <is>
          <t>Range Offer</t>
        </is>
      </c>
      <c r="J2294" s="66" t="inlineStr">
        <is>
          <t>PROG_DYN_RMKT_7D</t>
        </is>
      </c>
      <c r="K2294" s="66" t="inlineStr">
        <is>
          <t>Retargeting</t>
        </is>
      </c>
      <c r="L2294" s="66" t="inlineStr">
        <is>
          <t>PROG_DYN_300x250_ModelSeen_v1</t>
        </is>
      </c>
      <c r="M2294" s="66" t="inlineStr">
        <is>
          <t>Dynamic Display 300x250</t>
        </is>
      </c>
      <c r="N2294" s="66" t="inlineStr">
        <is>
          <t>Still thinking about it?</t>
        </is>
      </c>
      <c r="O2294" s="66" t="inlineStr">
        <is>
          <t>Auction - Lowest Cost</t>
        </is>
      </c>
      <c r="P2294" s="66" t="inlineStr">
        <is>
          <t>Conversions (CPA)</t>
        </is>
      </c>
      <c r="Q2294" s="66" t="inlineStr">
        <is>
          <t>https://www.lepas-sa.co.za/book-a-test-drive</t>
        </is>
      </c>
      <c r="R2294" s="121" t="n">
        <v>167.79</v>
      </c>
      <c r="S2294" s="122" t="n">
        <v>6685</v>
      </c>
      <c r="T2294" s="122" t="n">
        <v>3460</v>
      </c>
      <c r="U2294" s="123">
        <f>IFERROR(S2294/T2294,"")</f>
        <v/>
      </c>
      <c r="V2294" s="122" t="n">
        <v>32</v>
      </c>
      <c r="W2294" s="122" t="n">
        <v>24</v>
      </c>
      <c r="X2294" s="124">
        <f>IFERROR(W2294/S2294,"")</f>
        <v/>
      </c>
      <c r="Y2294" s="121">
        <f>IFERROR(R2294/W2294,"")</f>
        <v/>
      </c>
      <c r="Z2294" s="121">
        <f>IFERROR(R2294/S2294*1000,"")</f>
        <v/>
      </c>
      <c r="AA2294" s="122" t="n">
        <v>14</v>
      </c>
      <c r="AB2294" s="54">
        <f>IFERROR(AA2294/W2294,"")</f>
        <v/>
      </c>
      <c r="AC2294" s="122" t="n">
        <v>0</v>
      </c>
      <c r="AD2294" s="122" t="n">
        <v>0</v>
      </c>
      <c r="AE2294" s="122" t="n">
        <v>0</v>
      </c>
      <c r="AF2294" s="122" t="n">
        <v>0</v>
      </c>
      <c r="AG2294" s="122" t="n">
        <v>0</v>
      </c>
      <c r="AH2294" s="122" t="n">
        <v>0</v>
      </c>
      <c r="AI2294" s="54">
        <f>IFERROR(AC2294/S2294,"")</f>
        <v/>
      </c>
      <c r="AJ2294" s="54">
        <f>IFERROR(AH2294/S2294,"")</f>
        <v/>
      </c>
      <c r="AK2294" s="122" t="n">
        <v>35</v>
      </c>
      <c r="AL2294" s="122" t="n">
        <v>0</v>
      </c>
      <c r="AM2294" s="124">
        <f>IFERROR(AL2294/AA2294,"")</f>
        <v/>
      </c>
      <c r="AN2294" s="125">
        <f>IFERROR(R2294/AL2294,"")</f>
        <v/>
      </c>
      <c r="AO2294" s="122" t="n">
        <v>0</v>
      </c>
      <c r="AP2294" s="54">
        <f>IFERROR(AO2294/AL2294,"")</f>
        <v/>
      </c>
      <c r="AQ2294" s="125">
        <f>IFERROR(R2294/AO2294,"")</f>
        <v/>
      </c>
      <c r="AR2294" s="122" t="n">
        <v>0</v>
      </c>
      <c r="AS2294" s="122" t="n">
        <v>0</v>
      </c>
      <c r="AT2294" s="122">
        <f>AL2294+AR2294</f>
        <v/>
      </c>
      <c r="AU2294" s="125">
        <f>IFERROR(AO2294*Assumptions!$C$26*Assumptions!$C$27*INDEX(Assumptions!$C$18:$C$21,MATCH(H2294,Assumptions!$B$18:$B$21,0)),0)</f>
        <v/>
      </c>
    </row>
    <row r="2295">
      <c r="A2295" s="120" t="n">
        <v>46249</v>
      </c>
      <c r="B2295" s="66" t="inlineStr">
        <is>
          <t>Wk 33</t>
        </is>
      </c>
      <c r="C2295" s="66" t="inlineStr">
        <is>
          <t>Sat</t>
        </is>
      </c>
      <c r="D2295" s="66" t="inlineStr">
        <is>
          <t>Programmatic</t>
        </is>
      </c>
      <c r="E2295" s="66" t="inlineStr">
        <is>
          <t>DV360</t>
        </is>
      </c>
      <c r="F2295" s="66" t="inlineStr">
        <is>
          <t>LEP_ZA_AUG26_PROG_RMKT_DYNAMIC</t>
        </is>
      </c>
      <c r="G2295" s="66" t="inlineStr">
        <is>
          <t>Dynamic Retargeting</t>
        </is>
      </c>
      <c r="H2295" s="66" t="inlineStr">
        <is>
          <t>Range</t>
        </is>
      </c>
      <c r="I2295" s="66" t="inlineStr">
        <is>
          <t>Range Offer</t>
        </is>
      </c>
      <c r="J2295" s="66" t="inlineStr">
        <is>
          <t>PROG_DYN_RMKT_7D</t>
        </is>
      </c>
      <c r="K2295" s="66" t="inlineStr">
        <is>
          <t>Retargeting</t>
        </is>
      </c>
      <c r="L2295" s="66" t="inlineStr">
        <is>
          <t>PROG_DYN_300x250_ModelSeen_v1</t>
        </is>
      </c>
      <c r="M2295" s="66" t="inlineStr">
        <is>
          <t>Dynamic Display 300x250</t>
        </is>
      </c>
      <c r="N2295" s="66" t="inlineStr">
        <is>
          <t>Still thinking about it?</t>
        </is>
      </c>
      <c r="O2295" s="66" t="inlineStr">
        <is>
          <t>Auction - Lowest Cost</t>
        </is>
      </c>
      <c r="P2295" s="66" t="inlineStr">
        <is>
          <t>Conversions (CPA)</t>
        </is>
      </c>
      <c r="Q2295" s="66" t="inlineStr">
        <is>
          <t>https://www.lepas-sa.co.za/book-a-test-drive</t>
        </is>
      </c>
      <c r="R2295" s="121" t="n">
        <v>126.9</v>
      </c>
      <c r="S2295" s="122" t="n">
        <v>4368</v>
      </c>
      <c r="T2295" s="122" t="n">
        <v>1674</v>
      </c>
      <c r="U2295" s="123">
        <f>IFERROR(S2295/T2295,"")</f>
        <v/>
      </c>
      <c r="V2295" s="122" t="n">
        <v>28</v>
      </c>
      <c r="W2295" s="122" t="n">
        <v>20</v>
      </c>
      <c r="X2295" s="124">
        <f>IFERROR(W2295/S2295,"")</f>
        <v/>
      </c>
      <c r="Y2295" s="121">
        <f>IFERROR(R2295/W2295,"")</f>
        <v/>
      </c>
      <c r="Z2295" s="121">
        <f>IFERROR(R2295/S2295*1000,"")</f>
        <v/>
      </c>
      <c r="AA2295" s="122" t="n">
        <v>12</v>
      </c>
      <c r="AB2295" s="54">
        <f>IFERROR(AA2295/W2295,"")</f>
        <v/>
      </c>
      <c r="AC2295" s="122" t="n">
        <v>0</v>
      </c>
      <c r="AD2295" s="122" t="n">
        <v>0</v>
      </c>
      <c r="AE2295" s="122" t="n">
        <v>0</v>
      </c>
      <c r="AF2295" s="122" t="n">
        <v>0</v>
      </c>
      <c r="AG2295" s="122" t="n">
        <v>0</v>
      </c>
      <c r="AH2295" s="122" t="n">
        <v>0</v>
      </c>
      <c r="AI2295" s="54">
        <f>IFERROR(AC2295/S2295,"")</f>
        <v/>
      </c>
      <c r="AJ2295" s="54">
        <f>IFERROR(AH2295/S2295,"")</f>
        <v/>
      </c>
      <c r="AK2295" s="122" t="n">
        <v>24</v>
      </c>
      <c r="AL2295" s="122" t="n">
        <v>1</v>
      </c>
      <c r="AM2295" s="124">
        <f>IFERROR(AL2295/AA2295,"")</f>
        <v/>
      </c>
      <c r="AN2295" s="125">
        <f>IFERROR(R2295/AL2295,"")</f>
        <v/>
      </c>
      <c r="AO2295" s="122" t="n">
        <v>0</v>
      </c>
      <c r="AP2295" s="54">
        <f>IFERROR(AO2295/AL2295,"")</f>
        <v/>
      </c>
      <c r="AQ2295" s="125">
        <f>IFERROR(R2295/AO2295,"")</f>
        <v/>
      </c>
      <c r="AR2295" s="122" t="n">
        <v>3</v>
      </c>
      <c r="AS2295" s="122" t="n">
        <v>1</v>
      </c>
      <c r="AT2295" s="122">
        <f>AL2295+AR2295</f>
        <v/>
      </c>
      <c r="AU2295" s="125">
        <f>IFERROR(AO2295*Assumptions!$C$26*Assumptions!$C$27*INDEX(Assumptions!$C$18:$C$21,MATCH(H2295,Assumptions!$B$18:$B$21,0)),0)</f>
        <v/>
      </c>
    </row>
    <row r="2296">
      <c r="A2296" s="120" t="n">
        <v>46250</v>
      </c>
      <c r="B2296" s="66" t="inlineStr">
        <is>
          <t>Wk 33</t>
        </is>
      </c>
      <c r="C2296" s="66" t="inlineStr">
        <is>
          <t>Sun</t>
        </is>
      </c>
      <c r="D2296" s="66" t="inlineStr">
        <is>
          <t>Programmatic</t>
        </is>
      </c>
      <c r="E2296" s="66" t="inlineStr">
        <is>
          <t>DV360</t>
        </is>
      </c>
      <c r="F2296" s="66" t="inlineStr">
        <is>
          <t>LEP_ZA_AUG26_PROG_RMKT_DYNAMIC</t>
        </is>
      </c>
      <c r="G2296" s="66" t="inlineStr">
        <is>
          <t>Dynamic Retargeting</t>
        </is>
      </c>
      <c r="H2296" s="66" t="inlineStr">
        <is>
          <t>Range</t>
        </is>
      </c>
      <c r="I2296" s="66" t="inlineStr">
        <is>
          <t>Range Offer</t>
        </is>
      </c>
      <c r="J2296" s="66" t="inlineStr">
        <is>
          <t>PROG_DYN_RMKT_7D</t>
        </is>
      </c>
      <c r="K2296" s="66" t="inlineStr">
        <is>
          <t>Retargeting</t>
        </is>
      </c>
      <c r="L2296" s="66" t="inlineStr">
        <is>
          <t>PROG_DYN_300x250_ModelSeen_v1</t>
        </is>
      </c>
      <c r="M2296" s="66" t="inlineStr">
        <is>
          <t>Dynamic Display 300x250</t>
        </is>
      </c>
      <c r="N2296" s="66" t="inlineStr">
        <is>
          <t>Still thinking about it?</t>
        </is>
      </c>
      <c r="O2296" s="66" t="inlineStr">
        <is>
          <t>Auction - Lowest Cost</t>
        </is>
      </c>
      <c r="P2296" s="66" t="inlineStr">
        <is>
          <t>Conversions (CPA)</t>
        </is>
      </c>
      <c r="Q2296" s="66" t="inlineStr">
        <is>
          <t>https://www.lepas-sa.co.za/book-a-test-drive</t>
        </is>
      </c>
      <c r="R2296" s="121" t="n">
        <v>114.2</v>
      </c>
      <c r="S2296" s="122" t="n">
        <v>2681</v>
      </c>
      <c r="T2296" s="122" t="n">
        <v>1172</v>
      </c>
      <c r="U2296" s="123">
        <f>IFERROR(S2296/T2296,"")</f>
        <v/>
      </c>
      <c r="V2296" s="122" t="n">
        <v>6</v>
      </c>
      <c r="W2296" s="122" t="n">
        <v>4</v>
      </c>
      <c r="X2296" s="124">
        <f>IFERROR(W2296/S2296,"")</f>
        <v/>
      </c>
      <c r="Y2296" s="121">
        <f>IFERROR(R2296/W2296,"")</f>
        <v/>
      </c>
      <c r="Z2296" s="121">
        <f>IFERROR(R2296/S2296*1000,"")</f>
        <v/>
      </c>
      <c r="AA2296" s="122" t="n">
        <v>2</v>
      </c>
      <c r="AB2296" s="54">
        <f>IFERROR(AA2296/W2296,"")</f>
        <v/>
      </c>
      <c r="AC2296" s="122" t="n">
        <v>0</v>
      </c>
      <c r="AD2296" s="122" t="n">
        <v>0</v>
      </c>
      <c r="AE2296" s="122" t="n">
        <v>0</v>
      </c>
      <c r="AF2296" s="122" t="n">
        <v>0</v>
      </c>
      <c r="AG2296" s="122" t="n">
        <v>0</v>
      </c>
      <c r="AH2296" s="122" t="n">
        <v>0</v>
      </c>
      <c r="AI2296" s="54">
        <f>IFERROR(AC2296/S2296,"")</f>
        <v/>
      </c>
      <c r="AJ2296" s="54">
        <f>IFERROR(AH2296/S2296,"")</f>
        <v/>
      </c>
      <c r="AK2296" s="122" t="n">
        <v>9</v>
      </c>
      <c r="AL2296" s="122" t="n">
        <v>0</v>
      </c>
      <c r="AM2296" s="124">
        <f>IFERROR(AL2296/AA2296,"")</f>
        <v/>
      </c>
      <c r="AN2296" s="125">
        <f>IFERROR(R2296/AL2296,"")</f>
        <v/>
      </c>
      <c r="AO2296" s="122" t="n">
        <v>0</v>
      </c>
      <c r="AP2296" s="54">
        <f>IFERROR(AO2296/AL2296,"")</f>
        <v/>
      </c>
      <c r="AQ2296" s="125">
        <f>IFERROR(R2296/AO2296,"")</f>
        <v/>
      </c>
      <c r="AR2296" s="122" t="n">
        <v>0</v>
      </c>
      <c r="AS2296" s="122" t="n">
        <v>0</v>
      </c>
      <c r="AT2296" s="122">
        <f>AL2296+AR2296</f>
        <v/>
      </c>
      <c r="AU2296" s="125">
        <f>IFERROR(AO2296*Assumptions!$C$26*Assumptions!$C$27*INDEX(Assumptions!$C$18:$C$21,MATCH(H2296,Assumptions!$B$18:$B$21,0)),0)</f>
        <v/>
      </c>
    </row>
    <row r="2297">
      <c r="A2297" s="120" t="n">
        <v>46251</v>
      </c>
      <c r="B2297" s="66" t="inlineStr">
        <is>
          <t>Wk 34</t>
        </is>
      </c>
      <c r="C2297" s="66" t="inlineStr">
        <is>
          <t>Mon</t>
        </is>
      </c>
      <c r="D2297" s="66" t="inlineStr">
        <is>
          <t>Programmatic</t>
        </is>
      </c>
      <c r="E2297" s="66" t="inlineStr">
        <is>
          <t>DV360</t>
        </is>
      </c>
      <c r="F2297" s="66" t="inlineStr">
        <is>
          <t>LEP_ZA_AUG26_PROG_RMKT_DYNAMIC</t>
        </is>
      </c>
      <c r="G2297" s="66" t="inlineStr">
        <is>
          <t>Dynamic Retargeting</t>
        </is>
      </c>
      <c r="H2297" s="66" t="inlineStr">
        <is>
          <t>Range</t>
        </is>
      </c>
      <c r="I2297" s="66" t="inlineStr">
        <is>
          <t>Range Offer</t>
        </is>
      </c>
      <c r="J2297" s="66" t="inlineStr">
        <is>
          <t>PROG_DYN_RMKT_7D</t>
        </is>
      </c>
      <c r="K2297" s="66" t="inlineStr">
        <is>
          <t>Retargeting</t>
        </is>
      </c>
      <c r="L2297" s="66" t="inlineStr">
        <is>
          <t>PROG_DYN_300x250_ModelSeen_v1</t>
        </is>
      </c>
      <c r="M2297" s="66" t="inlineStr">
        <is>
          <t>Dynamic Display 300x250</t>
        </is>
      </c>
      <c r="N2297" s="66" t="inlineStr">
        <is>
          <t>Still thinking about it?</t>
        </is>
      </c>
      <c r="O2297" s="66" t="inlineStr">
        <is>
          <t>Auction - Lowest Cost</t>
        </is>
      </c>
      <c r="P2297" s="66" t="inlineStr">
        <is>
          <t>Conversions (CPA)</t>
        </is>
      </c>
      <c r="Q2297" s="66" t="inlineStr">
        <is>
          <t>https://www.lepas-sa.co.za/book-a-test-drive</t>
        </is>
      </c>
      <c r="R2297" s="121" t="n">
        <v>128.18</v>
      </c>
      <c r="S2297" s="122" t="n">
        <v>3955</v>
      </c>
      <c r="T2297" s="122" t="n">
        <v>1980</v>
      </c>
      <c r="U2297" s="123">
        <f>IFERROR(S2297/T2297,"")</f>
        <v/>
      </c>
      <c r="V2297" s="122" t="n">
        <v>19</v>
      </c>
      <c r="W2297" s="122" t="n">
        <v>14</v>
      </c>
      <c r="X2297" s="124">
        <f>IFERROR(W2297/S2297,"")</f>
        <v/>
      </c>
      <c r="Y2297" s="121">
        <f>IFERROR(R2297/W2297,"")</f>
        <v/>
      </c>
      <c r="Z2297" s="121">
        <f>IFERROR(R2297/S2297*1000,"")</f>
        <v/>
      </c>
      <c r="AA2297" s="122" t="n">
        <v>9</v>
      </c>
      <c r="AB2297" s="54">
        <f>IFERROR(AA2297/W2297,"")</f>
        <v/>
      </c>
      <c r="AC2297" s="122" t="n">
        <v>0</v>
      </c>
      <c r="AD2297" s="122" t="n">
        <v>0</v>
      </c>
      <c r="AE2297" s="122" t="n">
        <v>0</v>
      </c>
      <c r="AF2297" s="122" t="n">
        <v>0</v>
      </c>
      <c r="AG2297" s="122" t="n">
        <v>0</v>
      </c>
      <c r="AH2297" s="122" t="n">
        <v>0</v>
      </c>
      <c r="AI2297" s="54">
        <f>IFERROR(AC2297/S2297,"")</f>
        <v/>
      </c>
      <c r="AJ2297" s="54">
        <f>IFERROR(AH2297/S2297,"")</f>
        <v/>
      </c>
      <c r="AK2297" s="122" t="n">
        <v>7</v>
      </c>
      <c r="AL2297" s="122" t="n">
        <v>0</v>
      </c>
      <c r="AM2297" s="124">
        <f>IFERROR(AL2297/AA2297,"")</f>
        <v/>
      </c>
      <c r="AN2297" s="125">
        <f>IFERROR(R2297/AL2297,"")</f>
        <v/>
      </c>
      <c r="AO2297" s="122" t="n">
        <v>0</v>
      </c>
      <c r="AP2297" s="54">
        <f>IFERROR(AO2297/AL2297,"")</f>
        <v/>
      </c>
      <c r="AQ2297" s="125">
        <f>IFERROR(R2297/AO2297,"")</f>
        <v/>
      </c>
      <c r="AR2297" s="122" t="n">
        <v>0</v>
      </c>
      <c r="AS2297" s="122" t="n">
        <v>0</v>
      </c>
      <c r="AT2297" s="122">
        <f>AL2297+AR2297</f>
        <v/>
      </c>
      <c r="AU2297" s="125">
        <f>IFERROR(AO2297*Assumptions!$C$26*Assumptions!$C$27*INDEX(Assumptions!$C$18:$C$21,MATCH(H2297,Assumptions!$B$18:$B$21,0)),0)</f>
        <v/>
      </c>
    </row>
    <row r="2298">
      <c r="A2298" s="120" t="n">
        <v>46252</v>
      </c>
      <c r="B2298" s="66" t="inlineStr">
        <is>
          <t>Wk 34</t>
        </is>
      </c>
      <c r="C2298" s="66" t="inlineStr">
        <is>
          <t>Tue</t>
        </is>
      </c>
      <c r="D2298" s="66" t="inlineStr">
        <is>
          <t>Programmatic</t>
        </is>
      </c>
      <c r="E2298" s="66" t="inlineStr">
        <is>
          <t>DV360</t>
        </is>
      </c>
      <c r="F2298" s="66" t="inlineStr">
        <is>
          <t>LEP_ZA_AUG26_PROG_RMKT_DYNAMIC</t>
        </is>
      </c>
      <c r="G2298" s="66" t="inlineStr">
        <is>
          <t>Dynamic Retargeting</t>
        </is>
      </c>
      <c r="H2298" s="66" t="inlineStr">
        <is>
          <t>Range</t>
        </is>
      </c>
      <c r="I2298" s="66" t="inlineStr">
        <is>
          <t>Range Offer</t>
        </is>
      </c>
      <c r="J2298" s="66" t="inlineStr">
        <is>
          <t>PROG_DYN_RMKT_7D</t>
        </is>
      </c>
      <c r="K2298" s="66" t="inlineStr">
        <is>
          <t>Retargeting</t>
        </is>
      </c>
      <c r="L2298" s="66" t="inlineStr">
        <is>
          <t>PROG_DYN_300x250_ModelSeen_v1</t>
        </is>
      </c>
      <c r="M2298" s="66" t="inlineStr">
        <is>
          <t>Dynamic Display 300x250</t>
        </is>
      </c>
      <c r="N2298" s="66" t="inlineStr">
        <is>
          <t>Still thinking about it?</t>
        </is>
      </c>
      <c r="O2298" s="66" t="inlineStr">
        <is>
          <t>Auction - Lowest Cost</t>
        </is>
      </c>
      <c r="P2298" s="66" t="inlineStr">
        <is>
          <t>Conversions (CPA)</t>
        </is>
      </c>
      <c r="Q2298" s="66" t="inlineStr">
        <is>
          <t>https://www.lepas-sa.co.za/book-a-test-drive</t>
        </is>
      </c>
      <c r="R2298" s="121" t="n">
        <v>106.13</v>
      </c>
      <c r="S2298" s="122" t="n">
        <v>2975</v>
      </c>
      <c r="T2298" s="122" t="n">
        <v>1438</v>
      </c>
      <c r="U2298" s="123">
        <f>IFERROR(S2298/T2298,"")</f>
        <v/>
      </c>
      <c r="V2298" s="122" t="n">
        <v>14</v>
      </c>
      <c r="W2298" s="122" t="n">
        <v>10</v>
      </c>
      <c r="X2298" s="124">
        <f>IFERROR(W2298/S2298,"")</f>
        <v/>
      </c>
      <c r="Y2298" s="121">
        <f>IFERROR(R2298/W2298,"")</f>
        <v/>
      </c>
      <c r="Z2298" s="121">
        <f>IFERROR(R2298/S2298*1000,"")</f>
        <v/>
      </c>
      <c r="AA2298" s="122" t="n">
        <v>5</v>
      </c>
      <c r="AB2298" s="54">
        <f>IFERROR(AA2298/W2298,"")</f>
        <v/>
      </c>
      <c r="AC2298" s="122" t="n">
        <v>0</v>
      </c>
      <c r="AD2298" s="122" t="n">
        <v>0</v>
      </c>
      <c r="AE2298" s="122" t="n">
        <v>0</v>
      </c>
      <c r="AF2298" s="122" t="n">
        <v>0</v>
      </c>
      <c r="AG2298" s="122" t="n">
        <v>0</v>
      </c>
      <c r="AH2298" s="122" t="n">
        <v>0</v>
      </c>
      <c r="AI2298" s="54">
        <f>IFERROR(AC2298/S2298,"")</f>
        <v/>
      </c>
      <c r="AJ2298" s="54">
        <f>IFERROR(AH2298/S2298,"")</f>
        <v/>
      </c>
      <c r="AK2298" s="122" t="n">
        <v>11</v>
      </c>
      <c r="AL2298" s="122" t="n">
        <v>0</v>
      </c>
      <c r="AM2298" s="124">
        <f>IFERROR(AL2298/AA2298,"")</f>
        <v/>
      </c>
      <c r="AN2298" s="125">
        <f>IFERROR(R2298/AL2298,"")</f>
        <v/>
      </c>
      <c r="AO2298" s="122" t="n">
        <v>0</v>
      </c>
      <c r="AP2298" s="54">
        <f>IFERROR(AO2298/AL2298,"")</f>
        <v/>
      </c>
      <c r="AQ2298" s="125">
        <f>IFERROR(R2298/AO2298,"")</f>
        <v/>
      </c>
      <c r="AR2298" s="122" t="n">
        <v>0</v>
      </c>
      <c r="AS2298" s="122" t="n">
        <v>0</v>
      </c>
      <c r="AT2298" s="122">
        <f>AL2298+AR2298</f>
        <v/>
      </c>
      <c r="AU2298" s="125">
        <f>IFERROR(AO2298*Assumptions!$C$26*Assumptions!$C$27*INDEX(Assumptions!$C$18:$C$21,MATCH(H2298,Assumptions!$B$18:$B$21,0)),0)</f>
        <v/>
      </c>
    </row>
    <row r="2299">
      <c r="A2299" s="120" t="n">
        <v>46253</v>
      </c>
      <c r="B2299" s="66" t="inlineStr">
        <is>
          <t>Wk 34</t>
        </is>
      </c>
      <c r="C2299" s="66" t="inlineStr">
        <is>
          <t>Wed</t>
        </is>
      </c>
      <c r="D2299" s="66" t="inlineStr">
        <is>
          <t>Programmatic</t>
        </is>
      </c>
      <c r="E2299" s="66" t="inlineStr">
        <is>
          <t>DV360</t>
        </is>
      </c>
      <c r="F2299" s="66" t="inlineStr">
        <is>
          <t>LEP_ZA_AUG26_PROG_RMKT_DYNAMIC</t>
        </is>
      </c>
      <c r="G2299" s="66" t="inlineStr">
        <is>
          <t>Dynamic Retargeting</t>
        </is>
      </c>
      <c r="H2299" s="66" t="inlineStr">
        <is>
          <t>Range</t>
        </is>
      </c>
      <c r="I2299" s="66" t="inlineStr">
        <is>
          <t>Range Offer</t>
        </is>
      </c>
      <c r="J2299" s="66" t="inlineStr">
        <is>
          <t>PROG_DYN_RMKT_7D</t>
        </is>
      </c>
      <c r="K2299" s="66" t="inlineStr">
        <is>
          <t>Retargeting</t>
        </is>
      </c>
      <c r="L2299" s="66" t="inlineStr">
        <is>
          <t>PROG_DYN_300x250_ModelSeen_v1</t>
        </is>
      </c>
      <c r="M2299" s="66" t="inlineStr">
        <is>
          <t>Dynamic Display 300x250</t>
        </is>
      </c>
      <c r="N2299" s="66" t="inlineStr">
        <is>
          <t>Still thinking about it?</t>
        </is>
      </c>
      <c r="O2299" s="66" t="inlineStr">
        <is>
          <t>Auction - Lowest Cost</t>
        </is>
      </c>
      <c r="P2299" s="66" t="inlineStr">
        <is>
          <t>Conversions (CPA)</t>
        </is>
      </c>
      <c r="Q2299" s="66" t="inlineStr">
        <is>
          <t>https://www.lepas-sa.co.za/book-a-test-drive</t>
        </is>
      </c>
      <c r="R2299" s="121" t="n">
        <v>133.04</v>
      </c>
      <c r="S2299" s="122" t="n">
        <v>5098</v>
      </c>
      <c r="T2299" s="122" t="n">
        <v>3036</v>
      </c>
      <c r="U2299" s="123">
        <f>IFERROR(S2299/T2299,"")</f>
        <v/>
      </c>
      <c r="V2299" s="122" t="n">
        <v>27</v>
      </c>
      <c r="W2299" s="122" t="n">
        <v>20</v>
      </c>
      <c r="X2299" s="124">
        <f>IFERROR(W2299/S2299,"")</f>
        <v/>
      </c>
      <c r="Y2299" s="121">
        <f>IFERROR(R2299/W2299,"")</f>
        <v/>
      </c>
      <c r="Z2299" s="121">
        <f>IFERROR(R2299/S2299*1000,"")</f>
        <v/>
      </c>
      <c r="AA2299" s="122" t="n">
        <v>14</v>
      </c>
      <c r="AB2299" s="54">
        <f>IFERROR(AA2299/W2299,"")</f>
        <v/>
      </c>
      <c r="AC2299" s="122" t="n">
        <v>0</v>
      </c>
      <c r="AD2299" s="122" t="n">
        <v>0</v>
      </c>
      <c r="AE2299" s="122" t="n">
        <v>0</v>
      </c>
      <c r="AF2299" s="122" t="n">
        <v>0</v>
      </c>
      <c r="AG2299" s="122" t="n">
        <v>0</v>
      </c>
      <c r="AH2299" s="122" t="n">
        <v>0</v>
      </c>
      <c r="AI2299" s="54">
        <f>IFERROR(AC2299/S2299,"")</f>
        <v/>
      </c>
      <c r="AJ2299" s="54">
        <f>IFERROR(AH2299/S2299,"")</f>
        <v/>
      </c>
      <c r="AK2299" s="122" t="n">
        <v>16</v>
      </c>
      <c r="AL2299" s="122" t="n">
        <v>1</v>
      </c>
      <c r="AM2299" s="124">
        <f>IFERROR(AL2299/AA2299,"")</f>
        <v/>
      </c>
      <c r="AN2299" s="125">
        <f>IFERROR(R2299/AL2299,"")</f>
        <v/>
      </c>
      <c r="AO2299" s="122" t="n">
        <v>1</v>
      </c>
      <c r="AP2299" s="54">
        <f>IFERROR(AO2299/AL2299,"")</f>
        <v/>
      </c>
      <c r="AQ2299" s="125">
        <f>IFERROR(R2299/AO2299,"")</f>
        <v/>
      </c>
      <c r="AR2299" s="122" t="n">
        <v>3</v>
      </c>
      <c r="AS2299" s="122" t="n">
        <v>1</v>
      </c>
      <c r="AT2299" s="122">
        <f>AL2299+AR2299</f>
        <v/>
      </c>
      <c r="AU2299" s="125">
        <f>IFERROR(AO2299*Assumptions!$C$26*Assumptions!$C$27*INDEX(Assumptions!$C$18:$C$21,MATCH(H2299,Assumptions!$B$18:$B$21,0)),0)</f>
        <v/>
      </c>
    </row>
    <row r="2300">
      <c r="A2300" s="120" t="n">
        <v>46254</v>
      </c>
      <c r="B2300" s="66" t="inlineStr">
        <is>
          <t>Wk 34</t>
        </is>
      </c>
      <c r="C2300" s="66" t="inlineStr">
        <is>
          <t>Thu</t>
        </is>
      </c>
      <c r="D2300" s="66" t="inlineStr">
        <is>
          <t>Programmatic</t>
        </is>
      </c>
      <c r="E2300" s="66" t="inlineStr">
        <is>
          <t>DV360</t>
        </is>
      </c>
      <c r="F2300" s="66" t="inlineStr">
        <is>
          <t>LEP_ZA_AUG26_PROG_RMKT_DYNAMIC</t>
        </is>
      </c>
      <c r="G2300" s="66" t="inlineStr">
        <is>
          <t>Dynamic Retargeting</t>
        </is>
      </c>
      <c r="H2300" s="66" t="inlineStr">
        <is>
          <t>Range</t>
        </is>
      </c>
      <c r="I2300" s="66" t="inlineStr">
        <is>
          <t>Range Offer</t>
        </is>
      </c>
      <c r="J2300" s="66" t="inlineStr">
        <is>
          <t>PROG_DYN_RMKT_7D</t>
        </is>
      </c>
      <c r="K2300" s="66" t="inlineStr">
        <is>
          <t>Retargeting</t>
        </is>
      </c>
      <c r="L2300" s="66" t="inlineStr">
        <is>
          <t>PROG_DYN_300x250_ModelSeen_v1</t>
        </is>
      </c>
      <c r="M2300" s="66" t="inlineStr">
        <is>
          <t>Dynamic Display 300x250</t>
        </is>
      </c>
      <c r="N2300" s="66" t="inlineStr">
        <is>
          <t>Still thinking about it?</t>
        </is>
      </c>
      <c r="O2300" s="66" t="inlineStr">
        <is>
          <t>Auction - Lowest Cost</t>
        </is>
      </c>
      <c r="P2300" s="66" t="inlineStr">
        <is>
          <t>Conversions (CPA)</t>
        </is>
      </c>
      <c r="Q2300" s="66" t="inlineStr">
        <is>
          <t>https://www.lepas-sa.co.za/book-a-test-drive</t>
        </is>
      </c>
      <c r="R2300" s="121" t="n">
        <v>136.17</v>
      </c>
      <c r="S2300" s="122" t="n">
        <v>4174</v>
      </c>
      <c r="T2300" s="122" t="n">
        <v>2416</v>
      </c>
      <c r="U2300" s="123">
        <f>IFERROR(S2300/T2300,"")</f>
        <v/>
      </c>
      <c r="V2300" s="122" t="n">
        <v>12</v>
      </c>
      <c r="W2300" s="122" t="n">
        <v>9</v>
      </c>
      <c r="X2300" s="124">
        <f>IFERROR(W2300/S2300,"")</f>
        <v/>
      </c>
      <c r="Y2300" s="121">
        <f>IFERROR(R2300/W2300,"")</f>
        <v/>
      </c>
      <c r="Z2300" s="121">
        <f>IFERROR(R2300/S2300*1000,"")</f>
        <v/>
      </c>
      <c r="AA2300" s="122" t="n">
        <v>5</v>
      </c>
      <c r="AB2300" s="54">
        <f>IFERROR(AA2300/W2300,"")</f>
        <v/>
      </c>
      <c r="AC2300" s="122" t="n">
        <v>0</v>
      </c>
      <c r="AD2300" s="122" t="n">
        <v>0</v>
      </c>
      <c r="AE2300" s="122" t="n">
        <v>0</v>
      </c>
      <c r="AF2300" s="122" t="n">
        <v>0</v>
      </c>
      <c r="AG2300" s="122" t="n">
        <v>0</v>
      </c>
      <c r="AH2300" s="122" t="n">
        <v>0</v>
      </c>
      <c r="AI2300" s="54">
        <f>IFERROR(AC2300/S2300,"")</f>
        <v/>
      </c>
      <c r="AJ2300" s="54">
        <f>IFERROR(AH2300/S2300,"")</f>
        <v/>
      </c>
      <c r="AK2300" s="122" t="n">
        <v>10</v>
      </c>
      <c r="AL2300" s="122" t="n">
        <v>1</v>
      </c>
      <c r="AM2300" s="124">
        <f>IFERROR(AL2300/AA2300,"")</f>
        <v/>
      </c>
      <c r="AN2300" s="125">
        <f>IFERROR(R2300/AL2300,"")</f>
        <v/>
      </c>
      <c r="AO2300" s="122" t="n">
        <v>0</v>
      </c>
      <c r="AP2300" s="54">
        <f>IFERROR(AO2300/AL2300,"")</f>
        <v/>
      </c>
      <c r="AQ2300" s="125">
        <f>IFERROR(R2300/AO2300,"")</f>
        <v/>
      </c>
      <c r="AR2300" s="122" t="n">
        <v>2</v>
      </c>
      <c r="AS2300" s="122" t="n">
        <v>1</v>
      </c>
      <c r="AT2300" s="122">
        <f>AL2300+AR2300</f>
        <v/>
      </c>
      <c r="AU2300" s="125">
        <f>IFERROR(AO2300*Assumptions!$C$26*Assumptions!$C$27*INDEX(Assumptions!$C$18:$C$21,MATCH(H2300,Assumptions!$B$18:$B$21,0)),0)</f>
        <v/>
      </c>
    </row>
    <row r="2301">
      <c r="A2301" s="120" t="n">
        <v>46255</v>
      </c>
      <c r="B2301" s="66" t="inlineStr">
        <is>
          <t>Wk 34</t>
        </is>
      </c>
      <c r="C2301" s="66" t="inlineStr">
        <is>
          <t>Fri</t>
        </is>
      </c>
      <c r="D2301" s="66" t="inlineStr">
        <is>
          <t>Programmatic</t>
        </is>
      </c>
      <c r="E2301" s="66" t="inlineStr">
        <is>
          <t>DV360</t>
        </is>
      </c>
      <c r="F2301" s="66" t="inlineStr">
        <is>
          <t>LEP_ZA_AUG26_PROG_RMKT_DYNAMIC</t>
        </is>
      </c>
      <c r="G2301" s="66" t="inlineStr">
        <is>
          <t>Dynamic Retargeting</t>
        </is>
      </c>
      <c r="H2301" s="66" t="inlineStr">
        <is>
          <t>Range</t>
        </is>
      </c>
      <c r="I2301" s="66" t="inlineStr">
        <is>
          <t>Range Offer</t>
        </is>
      </c>
      <c r="J2301" s="66" t="inlineStr">
        <is>
          <t>PROG_DYN_RMKT_7D</t>
        </is>
      </c>
      <c r="K2301" s="66" t="inlineStr">
        <is>
          <t>Retargeting</t>
        </is>
      </c>
      <c r="L2301" s="66" t="inlineStr">
        <is>
          <t>PROG_DYN_300x250_ModelSeen_v1</t>
        </is>
      </c>
      <c r="M2301" s="66" t="inlineStr">
        <is>
          <t>Dynamic Display 300x250</t>
        </is>
      </c>
      <c r="N2301" s="66" t="inlineStr">
        <is>
          <t>Still thinking about it?</t>
        </is>
      </c>
      <c r="O2301" s="66" t="inlineStr">
        <is>
          <t>Auction - Lowest Cost</t>
        </is>
      </c>
      <c r="P2301" s="66" t="inlineStr">
        <is>
          <t>Conversions (CPA)</t>
        </is>
      </c>
      <c r="Q2301" s="66" t="inlineStr">
        <is>
          <t>https://www.lepas-sa.co.za/book-a-test-drive</t>
        </is>
      </c>
      <c r="R2301" s="121" t="n">
        <v>141.26</v>
      </c>
      <c r="S2301" s="122" t="n">
        <v>4065</v>
      </c>
      <c r="T2301" s="122" t="n">
        <v>1888</v>
      </c>
      <c r="U2301" s="123">
        <f>IFERROR(S2301/T2301,"")</f>
        <v/>
      </c>
      <c r="V2301" s="122" t="n">
        <v>14</v>
      </c>
      <c r="W2301" s="122" t="n">
        <v>11</v>
      </c>
      <c r="X2301" s="124">
        <f>IFERROR(W2301/S2301,"")</f>
        <v/>
      </c>
      <c r="Y2301" s="121">
        <f>IFERROR(R2301/W2301,"")</f>
        <v/>
      </c>
      <c r="Z2301" s="121">
        <f>IFERROR(R2301/S2301*1000,"")</f>
        <v/>
      </c>
      <c r="AA2301" s="122" t="n">
        <v>7</v>
      </c>
      <c r="AB2301" s="54">
        <f>IFERROR(AA2301/W2301,"")</f>
        <v/>
      </c>
      <c r="AC2301" s="122" t="n">
        <v>0</v>
      </c>
      <c r="AD2301" s="122" t="n">
        <v>0</v>
      </c>
      <c r="AE2301" s="122" t="n">
        <v>0</v>
      </c>
      <c r="AF2301" s="122" t="n">
        <v>0</v>
      </c>
      <c r="AG2301" s="122" t="n">
        <v>0</v>
      </c>
      <c r="AH2301" s="122" t="n">
        <v>0</v>
      </c>
      <c r="AI2301" s="54">
        <f>IFERROR(AC2301/S2301,"")</f>
        <v/>
      </c>
      <c r="AJ2301" s="54">
        <f>IFERROR(AH2301/S2301,"")</f>
        <v/>
      </c>
      <c r="AK2301" s="122" t="n">
        <v>8</v>
      </c>
      <c r="AL2301" s="122" t="n">
        <v>0</v>
      </c>
      <c r="AM2301" s="124">
        <f>IFERROR(AL2301/AA2301,"")</f>
        <v/>
      </c>
      <c r="AN2301" s="125">
        <f>IFERROR(R2301/AL2301,"")</f>
        <v/>
      </c>
      <c r="AO2301" s="122" t="n">
        <v>0</v>
      </c>
      <c r="AP2301" s="54">
        <f>IFERROR(AO2301/AL2301,"")</f>
        <v/>
      </c>
      <c r="AQ2301" s="125">
        <f>IFERROR(R2301/AO2301,"")</f>
        <v/>
      </c>
      <c r="AR2301" s="122" t="n">
        <v>0</v>
      </c>
      <c r="AS2301" s="122" t="n">
        <v>0</v>
      </c>
      <c r="AT2301" s="122">
        <f>AL2301+AR2301</f>
        <v/>
      </c>
      <c r="AU2301" s="125">
        <f>IFERROR(AO2301*Assumptions!$C$26*Assumptions!$C$27*INDEX(Assumptions!$C$18:$C$21,MATCH(H2301,Assumptions!$B$18:$B$21,0)),0)</f>
        <v/>
      </c>
    </row>
    <row r="2302">
      <c r="A2302" s="120" t="n">
        <v>46256</v>
      </c>
      <c r="B2302" s="66" t="inlineStr">
        <is>
          <t>Wk 34</t>
        </is>
      </c>
      <c r="C2302" s="66" t="inlineStr">
        <is>
          <t>Sat</t>
        </is>
      </c>
      <c r="D2302" s="66" t="inlineStr">
        <is>
          <t>Programmatic</t>
        </is>
      </c>
      <c r="E2302" s="66" t="inlineStr">
        <is>
          <t>DV360</t>
        </is>
      </c>
      <c r="F2302" s="66" t="inlineStr">
        <is>
          <t>LEP_ZA_AUG26_PROG_RMKT_DYNAMIC</t>
        </is>
      </c>
      <c r="G2302" s="66" t="inlineStr">
        <is>
          <t>Dynamic Retargeting</t>
        </is>
      </c>
      <c r="H2302" s="66" t="inlineStr">
        <is>
          <t>Range</t>
        </is>
      </c>
      <c r="I2302" s="66" t="inlineStr">
        <is>
          <t>Range Offer</t>
        </is>
      </c>
      <c r="J2302" s="66" t="inlineStr">
        <is>
          <t>PROG_DYN_RMKT_7D</t>
        </is>
      </c>
      <c r="K2302" s="66" t="inlineStr">
        <is>
          <t>Retargeting</t>
        </is>
      </c>
      <c r="L2302" s="66" t="inlineStr">
        <is>
          <t>PROG_DYN_300x250_ModelSeen_v1</t>
        </is>
      </c>
      <c r="M2302" s="66" t="inlineStr">
        <is>
          <t>Dynamic Display 300x250</t>
        </is>
      </c>
      <c r="N2302" s="66" t="inlineStr">
        <is>
          <t>Still thinking about it?</t>
        </is>
      </c>
      <c r="O2302" s="66" t="inlineStr">
        <is>
          <t>Auction - Lowest Cost</t>
        </is>
      </c>
      <c r="P2302" s="66" t="inlineStr">
        <is>
          <t>Conversions (CPA)</t>
        </is>
      </c>
      <c r="Q2302" s="66" t="inlineStr">
        <is>
          <t>https://www.lepas-sa.co.za/book-a-test-drive</t>
        </is>
      </c>
      <c r="R2302" s="121" t="n">
        <v>144.21</v>
      </c>
      <c r="S2302" s="122" t="n">
        <v>3438</v>
      </c>
      <c r="T2302" s="122" t="n">
        <v>1252</v>
      </c>
      <c r="U2302" s="123">
        <f>IFERROR(S2302/T2302,"")</f>
        <v/>
      </c>
      <c r="V2302" s="122" t="n">
        <v>5</v>
      </c>
      <c r="W2302" s="122" t="n">
        <v>4</v>
      </c>
      <c r="X2302" s="124">
        <f>IFERROR(W2302/S2302,"")</f>
        <v/>
      </c>
      <c r="Y2302" s="121">
        <f>IFERROR(R2302/W2302,"")</f>
        <v/>
      </c>
      <c r="Z2302" s="121">
        <f>IFERROR(R2302/S2302*1000,"")</f>
        <v/>
      </c>
      <c r="AA2302" s="122" t="n">
        <v>3</v>
      </c>
      <c r="AB2302" s="54">
        <f>IFERROR(AA2302/W2302,"")</f>
        <v/>
      </c>
      <c r="AC2302" s="122" t="n">
        <v>0</v>
      </c>
      <c r="AD2302" s="122" t="n">
        <v>0</v>
      </c>
      <c r="AE2302" s="122" t="n">
        <v>0</v>
      </c>
      <c r="AF2302" s="122" t="n">
        <v>0</v>
      </c>
      <c r="AG2302" s="122" t="n">
        <v>0</v>
      </c>
      <c r="AH2302" s="122" t="n">
        <v>0</v>
      </c>
      <c r="AI2302" s="54">
        <f>IFERROR(AC2302/S2302,"")</f>
        <v/>
      </c>
      <c r="AJ2302" s="54">
        <f>IFERROR(AH2302/S2302,"")</f>
        <v/>
      </c>
      <c r="AK2302" s="122" t="n">
        <v>20</v>
      </c>
      <c r="AL2302" s="122" t="n">
        <v>0</v>
      </c>
      <c r="AM2302" s="124">
        <f>IFERROR(AL2302/AA2302,"")</f>
        <v/>
      </c>
      <c r="AN2302" s="125">
        <f>IFERROR(R2302/AL2302,"")</f>
        <v/>
      </c>
      <c r="AO2302" s="122" t="n">
        <v>0</v>
      </c>
      <c r="AP2302" s="54">
        <f>IFERROR(AO2302/AL2302,"")</f>
        <v/>
      </c>
      <c r="AQ2302" s="125">
        <f>IFERROR(R2302/AO2302,"")</f>
        <v/>
      </c>
      <c r="AR2302" s="122" t="n">
        <v>0</v>
      </c>
      <c r="AS2302" s="122" t="n">
        <v>0</v>
      </c>
      <c r="AT2302" s="122">
        <f>AL2302+AR2302</f>
        <v/>
      </c>
      <c r="AU2302" s="125">
        <f>IFERROR(AO2302*Assumptions!$C$26*Assumptions!$C$27*INDEX(Assumptions!$C$18:$C$21,MATCH(H2302,Assumptions!$B$18:$B$21,0)),0)</f>
        <v/>
      </c>
    </row>
    <row r="2303">
      <c r="A2303" s="120" t="n">
        <v>46257</v>
      </c>
      <c r="B2303" s="66" t="inlineStr">
        <is>
          <t>Wk 34</t>
        </is>
      </c>
      <c r="C2303" s="66" t="inlineStr">
        <is>
          <t>Sun</t>
        </is>
      </c>
      <c r="D2303" s="66" t="inlineStr">
        <is>
          <t>Programmatic</t>
        </is>
      </c>
      <c r="E2303" s="66" t="inlineStr">
        <is>
          <t>DV360</t>
        </is>
      </c>
      <c r="F2303" s="66" t="inlineStr">
        <is>
          <t>LEP_ZA_AUG26_PROG_RMKT_DYNAMIC</t>
        </is>
      </c>
      <c r="G2303" s="66" t="inlineStr">
        <is>
          <t>Dynamic Retargeting</t>
        </is>
      </c>
      <c r="H2303" s="66" t="inlineStr">
        <is>
          <t>Range</t>
        </is>
      </c>
      <c r="I2303" s="66" t="inlineStr">
        <is>
          <t>Range Offer</t>
        </is>
      </c>
      <c r="J2303" s="66" t="inlineStr">
        <is>
          <t>PROG_DYN_RMKT_7D</t>
        </is>
      </c>
      <c r="K2303" s="66" t="inlineStr">
        <is>
          <t>Retargeting</t>
        </is>
      </c>
      <c r="L2303" s="66" t="inlineStr">
        <is>
          <t>PROG_DYN_300x250_ModelSeen_v1</t>
        </is>
      </c>
      <c r="M2303" s="66" t="inlineStr">
        <is>
          <t>Dynamic Display 300x250</t>
        </is>
      </c>
      <c r="N2303" s="66" t="inlineStr">
        <is>
          <t>Still thinking about it?</t>
        </is>
      </c>
      <c r="O2303" s="66" t="inlineStr">
        <is>
          <t>Auction - Lowest Cost</t>
        </is>
      </c>
      <c r="P2303" s="66" t="inlineStr">
        <is>
          <t>Conversions (CPA)</t>
        </is>
      </c>
      <c r="Q2303" s="66" t="inlineStr">
        <is>
          <t>https://www.lepas-sa.co.za/book-a-test-drive</t>
        </is>
      </c>
      <c r="R2303" s="121" t="n">
        <v>113.86</v>
      </c>
      <c r="S2303" s="122" t="n">
        <v>3339</v>
      </c>
      <c r="T2303" s="122" t="n">
        <v>1572</v>
      </c>
      <c r="U2303" s="123">
        <f>IFERROR(S2303/T2303,"")</f>
        <v/>
      </c>
      <c r="V2303" s="122" t="n">
        <v>8</v>
      </c>
      <c r="W2303" s="122" t="n">
        <v>7</v>
      </c>
      <c r="X2303" s="124">
        <f>IFERROR(W2303/S2303,"")</f>
        <v/>
      </c>
      <c r="Y2303" s="121">
        <f>IFERROR(R2303/W2303,"")</f>
        <v/>
      </c>
      <c r="Z2303" s="121">
        <f>IFERROR(R2303/S2303*1000,"")</f>
        <v/>
      </c>
      <c r="AA2303" s="122" t="n">
        <v>4</v>
      </c>
      <c r="AB2303" s="54">
        <f>IFERROR(AA2303/W2303,"")</f>
        <v/>
      </c>
      <c r="AC2303" s="122" t="n">
        <v>0</v>
      </c>
      <c r="AD2303" s="122" t="n">
        <v>0</v>
      </c>
      <c r="AE2303" s="122" t="n">
        <v>0</v>
      </c>
      <c r="AF2303" s="122" t="n">
        <v>0</v>
      </c>
      <c r="AG2303" s="122" t="n">
        <v>0</v>
      </c>
      <c r="AH2303" s="122" t="n">
        <v>0</v>
      </c>
      <c r="AI2303" s="54">
        <f>IFERROR(AC2303/S2303,"")</f>
        <v/>
      </c>
      <c r="AJ2303" s="54">
        <f>IFERROR(AH2303/S2303,"")</f>
        <v/>
      </c>
      <c r="AK2303" s="122" t="n">
        <v>17</v>
      </c>
      <c r="AL2303" s="122" t="n">
        <v>0</v>
      </c>
      <c r="AM2303" s="124">
        <f>IFERROR(AL2303/AA2303,"")</f>
        <v/>
      </c>
      <c r="AN2303" s="125">
        <f>IFERROR(R2303/AL2303,"")</f>
        <v/>
      </c>
      <c r="AO2303" s="122" t="n">
        <v>0</v>
      </c>
      <c r="AP2303" s="54">
        <f>IFERROR(AO2303/AL2303,"")</f>
        <v/>
      </c>
      <c r="AQ2303" s="125">
        <f>IFERROR(R2303/AO2303,"")</f>
        <v/>
      </c>
      <c r="AR2303" s="122" t="n">
        <v>0</v>
      </c>
      <c r="AS2303" s="122" t="n">
        <v>0</v>
      </c>
      <c r="AT2303" s="122">
        <f>AL2303+AR2303</f>
        <v/>
      </c>
      <c r="AU2303" s="125">
        <f>IFERROR(AO2303*Assumptions!$C$26*Assumptions!$C$27*INDEX(Assumptions!$C$18:$C$21,MATCH(H2303,Assumptions!$B$18:$B$21,0)),0)</f>
        <v/>
      </c>
    </row>
    <row r="2304">
      <c r="A2304" s="120" t="n">
        <v>46258</v>
      </c>
      <c r="B2304" s="66" t="inlineStr">
        <is>
          <t>Wk 35</t>
        </is>
      </c>
      <c r="C2304" s="66" t="inlineStr">
        <is>
          <t>Mon</t>
        </is>
      </c>
      <c r="D2304" s="66" t="inlineStr">
        <is>
          <t>Programmatic</t>
        </is>
      </c>
      <c r="E2304" s="66" t="inlineStr">
        <is>
          <t>DV360</t>
        </is>
      </c>
      <c r="F2304" s="66" t="inlineStr">
        <is>
          <t>LEP_ZA_AUG26_PROG_RMKT_DYNAMIC</t>
        </is>
      </c>
      <c r="G2304" s="66" t="inlineStr">
        <is>
          <t>Dynamic Retargeting</t>
        </is>
      </c>
      <c r="H2304" s="66" t="inlineStr">
        <is>
          <t>Range</t>
        </is>
      </c>
      <c r="I2304" s="66" t="inlineStr">
        <is>
          <t>Range Offer</t>
        </is>
      </c>
      <c r="J2304" s="66" t="inlineStr">
        <is>
          <t>PROG_DYN_RMKT_7D</t>
        </is>
      </c>
      <c r="K2304" s="66" t="inlineStr">
        <is>
          <t>Retargeting</t>
        </is>
      </c>
      <c r="L2304" s="66" t="inlineStr">
        <is>
          <t>PROG_DYN_300x250_ModelSeen_v1</t>
        </is>
      </c>
      <c r="M2304" s="66" t="inlineStr">
        <is>
          <t>Dynamic Display 300x250</t>
        </is>
      </c>
      <c r="N2304" s="66" t="inlineStr">
        <is>
          <t>Still thinking about it?</t>
        </is>
      </c>
      <c r="O2304" s="66" t="inlineStr">
        <is>
          <t>Auction - Lowest Cost</t>
        </is>
      </c>
      <c r="P2304" s="66" t="inlineStr">
        <is>
          <t>Conversions (CPA)</t>
        </is>
      </c>
      <c r="Q2304" s="66" t="inlineStr">
        <is>
          <t>https://www.lepas-sa.co.za/book-a-test-drive</t>
        </is>
      </c>
      <c r="R2304" s="121" t="n">
        <v>133.61</v>
      </c>
      <c r="S2304" s="122" t="n">
        <v>3166</v>
      </c>
      <c r="T2304" s="122" t="n">
        <v>1386</v>
      </c>
      <c r="U2304" s="123">
        <f>IFERROR(S2304/T2304,"")</f>
        <v/>
      </c>
      <c r="V2304" s="122" t="n">
        <v>8</v>
      </c>
      <c r="W2304" s="122" t="n">
        <v>6</v>
      </c>
      <c r="X2304" s="124">
        <f>IFERROR(W2304/S2304,"")</f>
        <v/>
      </c>
      <c r="Y2304" s="121">
        <f>IFERROR(R2304/W2304,"")</f>
        <v/>
      </c>
      <c r="Z2304" s="121">
        <f>IFERROR(R2304/S2304*1000,"")</f>
        <v/>
      </c>
      <c r="AA2304" s="122" t="n">
        <v>4</v>
      </c>
      <c r="AB2304" s="54">
        <f>IFERROR(AA2304/W2304,"")</f>
        <v/>
      </c>
      <c r="AC2304" s="122" t="n">
        <v>0</v>
      </c>
      <c r="AD2304" s="122" t="n">
        <v>0</v>
      </c>
      <c r="AE2304" s="122" t="n">
        <v>0</v>
      </c>
      <c r="AF2304" s="122" t="n">
        <v>0</v>
      </c>
      <c r="AG2304" s="122" t="n">
        <v>0</v>
      </c>
      <c r="AH2304" s="122" t="n">
        <v>0</v>
      </c>
      <c r="AI2304" s="54">
        <f>IFERROR(AC2304/S2304,"")</f>
        <v/>
      </c>
      <c r="AJ2304" s="54">
        <f>IFERROR(AH2304/S2304,"")</f>
        <v/>
      </c>
      <c r="AK2304" s="122" t="n">
        <v>8</v>
      </c>
      <c r="AL2304" s="122" t="n">
        <v>0</v>
      </c>
      <c r="AM2304" s="124">
        <f>IFERROR(AL2304/AA2304,"")</f>
        <v/>
      </c>
      <c r="AN2304" s="125">
        <f>IFERROR(R2304/AL2304,"")</f>
        <v/>
      </c>
      <c r="AO2304" s="122" t="n">
        <v>0</v>
      </c>
      <c r="AP2304" s="54">
        <f>IFERROR(AO2304/AL2304,"")</f>
        <v/>
      </c>
      <c r="AQ2304" s="125">
        <f>IFERROR(R2304/AO2304,"")</f>
        <v/>
      </c>
      <c r="AR2304" s="122" t="n">
        <v>0</v>
      </c>
      <c r="AS2304" s="122" t="n">
        <v>0</v>
      </c>
      <c r="AT2304" s="122">
        <f>AL2304+AR2304</f>
        <v/>
      </c>
      <c r="AU2304" s="125">
        <f>IFERROR(AO2304*Assumptions!$C$26*Assumptions!$C$27*INDEX(Assumptions!$C$18:$C$21,MATCH(H2304,Assumptions!$B$18:$B$21,0)),0)</f>
        <v/>
      </c>
    </row>
    <row r="2305">
      <c r="A2305" s="120" t="n">
        <v>46259</v>
      </c>
      <c r="B2305" s="66" t="inlineStr">
        <is>
          <t>Wk 35</t>
        </is>
      </c>
      <c r="C2305" s="66" t="inlineStr">
        <is>
          <t>Tue</t>
        </is>
      </c>
      <c r="D2305" s="66" t="inlineStr">
        <is>
          <t>Programmatic</t>
        </is>
      </c>
      <c r="E2305" s="66" t="inlineStr">
        <is>
          <t>DV360</t>
        </is>
      </c>
      <c r="F2305" s="66" t="inlineStr">
        <is>
          <t>LEP_ZA_AUG26_PROG_RMKT_DYNAMIC</t>
        </is>
      </c>
      <c r="G2305" s="66" t="inlineStr">
        <is>
          <t>Dynamic Retargeting</t>
        </is>
      </c>
      <c r="H2305" s="66" t="inlineStr">
        <is>
          <t>Range</t>
        </is>
      </c>
      <c r="I2305" s="66" t="inlineStr">
        <is>
          <t>Range Offer</t>
        </is>
      </c>
      <c r="J2305" s="66" t="inlineStr">
        <is>
          <t>PROG_DYN_RMKT_7D</t>
        </is>
      </c>
      <c r="K2305" s="66" t="inlineStr">
        <is>
          <t>Retargeting</t>
        </is>
      </c>
      <c r="L2305" s="66" t="inlineStr">
        <is>
          <t>PROG_DYN_300x250_ModelSeen_v1</t>
        </is>
      </c>
      <c r="M2305" s="66" t="inlineStr">
        <is>
          <t>Dynamic Display 300x250</t>
        </is>
      </c>
      <c r="N2305" s="66" t="inlineStr">
        <is>
          <t>Still thinking about it?</t>
        </is>
      </c>
      <c r="O2305" s="66" t="inlineStr">
        <is>
          <t>Auction - Lowest Cost</t>
        </is>
      </c>
      <c r="P2305" s="66" t="inlineStr">
        <is>
          <t>Conversions (CPA)</t>
        </is>
      </c>
      <c r="Q2305" s="66" t="inlineStr">
        <is>
          <t>https://www.lepas-sa.co.za/book-a-test-drive</t>
        </is>
      </c>
      <c r="R2305" s="121" t="n">
        <v>114.94</v>
      </c>
      <c r="S2305" s="122" t="n">
        <v>3506</v>
      </c>
      <c r="T2305" s="122" t="n">
        <v>1700</v>
      </c>
      <c r="U2305" s="123">
        <f>IFERROR(S2305/T2305,"")</f>
        <v/>
      </c>
      <c r="V2305" s="122" t="n">
        <v>11</v>
      </c>
      <c r="W2305" s="122" t="n">
        <v>9</v>
      </c>
      <c r="X2305" s="124">
        <f>IFERROR(W2305/S2305,"")</f>
        <v/>
      </c>
      <c r="Y2305" s="121">
        <f>IFERROR(R2305/W2305,"")</f>
        <v/>
      </c>
      <c r="Z2305" s="121">
        <f>IFERROR(R2305/S2305*1000,"")</f>
        <v/>
      </c>
      <c r="AA2305" s="122" t="n">
        <v>5</v>
      </c>
      <c r="AB2305" s="54">
        <f>IFERROR(AA2305/W2305,"")</f>
        <v/>
      </c>
      <c r="AC2305" s="122" t="n">
        <v>0</v>
      </c>
      <c r="AD2305" s="122" t="n">
        <v>0</v>
      </c>
      <c r="AE2305" s="122" t="n">
        <v>0</v>
      </c>
      <c r="AF2305" s="122" t="n">
        <v>0</v>
      </c>
      <c r="AG2305" s="122" t="n">
        <v>0</v>
      </c>
      <c r="AH2305" s="122" t="n">
        <v>0</v>
      </c>
      <c r="AI2305" s="54">
        <f>IFERROR(AC2305/S2305,"")</f>
        <v/>
      </c>
      <c r="AJ2305" s="54">
        <f>IFERROR(AH2305/S2305,"")</f>
        <v/>
      </c>
      <c r="AK2305" s="122" t="n">
        <v>20</v>
      </c>
      <c r="AL2305" s="122" t="n">
        <v>0</v>
      </c>
      <c r="AM2305" s="124">
        <f>IFERROR(AL2305/AA2305,"")</f>
        <v/>
      </c>
      <c r="AN2305" s="125">
        <f>IFERROR(R2305/AL2305,"")</f>
        <v/>
      </c>
      <c r="AO2305" s="122" t="n">
        <v>0</v>
      </c>
      <c r="AP2305" s="54">
        <f>IFERROR(AO2305/AL2305,"")</f>
        <v/>
      </c>
      <c r="AQ2305" s="125">
        <f>IFERROR(R2305/AO2305,"")</f>
        <v/>
      </c>
      <c r="AR2305" s="122" t="n">
        <v>0</v>
      </c>
      <c r="AS2305" s="122" t="n">
        <v>0</v>
      </c>
      <c r="AT2305" s="122">
        <f>AL2305+AR2305</f>
        <v/>
      </c>
      <c r="AU2305" s="125">
        <f>IFERROR(AO2305*Assumptions!$C$26*Assumptions!$C$27*INDEX(Assumptions!$C$18:$C$21,MATCH(H2305,Assumptions!$B$18:$B$21,0)),0)</f>
        <v/>
      </c>
    </row>
    <row r="2306">
      <c r="A2306" s="120" t="n">
        <v>46260</v>
      </c>
      <c r="B2306" s="66" t="inlineStr">
        <is>
          <t>Wk 35</t>
        </is>
      </c>
      <c r="C2306" s="66" t="inlineStr">
        <is>
          <t>Wed</t>
        </is>
      </c>
      <c r="D2306" s="66" t="inlineStr">
        <is>
          <t>Programmatic</t>
        </is>
      </c>
      <c r="E2306" s="66" t="inlineStr">
        <is>
          <t>DV360</t>
        </is>
      </c>
      <c r="F2306" s="66" t="inlineStr">
        <is>
          <t>LEP_ZA_AUG26_PROG_RMKT_DYNAMIC</t>
        </is>
      </c>
      <c r="G2306" s="66" t="inlineStr">
        <is>
          <t>Dynamic Retargeting</t>
        </is>
      </c>
      <c r="H2306" s="66" t="inlineStr">
        <is>
          <t>Range</t>
        </is>
      </c>
      <c r="I2306" s="66" t="inlineStr">
        <is>
          <t>Range Offer</t>
        </is>
      </c>
      <c r="J2306" s="66" t="inlineStr">
        <is>
          <t>PROG_DYN_RMKT_7D</t>
        </is>
      </c>
      <c r="K2306" s="66" t="inlineStr">
        <is>
          <t>Retargeting</t>
        </is>
      </c>
      <c r="L2306" s="66" t="inlineStr">
        <is>
          <t>PROG_DYN_300x250_ModelSeen_v1</t>
        </is>
      </c>
      <c r="M2306" s="66" t="inlineStr">
        <is>
          <t>Dynamic Display 300x250</t>
        </is>
      </c>
      <c r="N2306" s="66" t="inlineStr">
        <is>
          <t>Still thinking about it?</t>
        </is>
      </c>
      <c r="O2306" s="66" t="inlineStr">
        <is>
          <t>Auction - Lowest Cost</t>
        </is>
      </c>
      <c r="P2306" s="66" t="inlineStr">
        <is>
          <t>Conversions (CPA)</t>
        </is>
      </c>
      <c r="Q2306" s="66" t="inlineStr">
        <is>
          <t>https://www.lepas-sa.co.za/book-a-test-drive</t>
        </is>
      </c>
      <c r="R2306" s="121" t="n">
        <v>120.29</v>
      </c>
      <c r="S2306" s="122" t="n">
        <v>2929</v>
      </c>
      <c r="T2306" s="122" t="n">
        <v>1244</v>
      </c>
      <c r="U2306" s="123">
        <f>IFERROR(S2306/T2306,"")</f>
        <v/>
      </c>
      <c r="V2306" s="122" t="n">
        <v>6</v>
      </c>
      <c r="W2306" s="122" t="n">
        <v>4</v>
      </c>
      <c r="X2306" s="124">
        <f>IFERROR(W2306/S2306,"")</f>
        <v/>
      </c>
      <c r="Y2306" s="121">
        <f>IFERROR(R2306/W2306,"")</f>
        <v/>
      </c>
      <c r="Z2306" s="121">
        <f>IFERROR(R2306/S2306*1000,"")</f>
        <v/>
      </c>
      <c r="AA2306" s="122" t="n">
        <v>2</v>
      </c>
      <c r="AB2306" s="54">
        <f>IFERROR(AA2306/W2306,"")</f>
        <v/>
      </c>
      <c r="AC2306" s="122" t="n">
        <v>0</v>
      </c>
      <c r="AD2306" s="122" t="n">
        <v>0</v>
      </c>
      <c r="AE2306" s="122" t="n">
        <v>0</v>
      </c>
      <c r="AF2306" s="122" t="n">
        <v>0</v>
      </c>
      <c r="AG2306" s="122" t="n">
        <v>0</v>
      </c>
      <c r="AH2306" s="122" t="n">
        <v>0</v>
      </c>
      <c r="AI2306" s="54">
        <f>IFERROR(AC2306/S2306,"")</f>
        <v/>
      </c>
      <c r="AJ2306" s="54">
        <f>IFERROR(AH2306/S2306,"")</f>
        <v/>
      </c>
      <c r="AK2306" s="122" t="n">
        <v>12</v>
      </c>
      <c r="AL2306" s="122" t="n">
        <v>0</v>
      </c>
      <c r="AM2306" s="124">
        <f>IFERROR(AL2306/AA2306,"")</f>
        <v/>
      </c>
      <c r="AN2306" s="125">
        <f>IFERROR(R2306/AL2306,"")</f>
        <v/>
      </c>
      <c r="AO2306" s="122" t="n">
        <v>0</v>
      </c>
      <c r="AP2306" s="54">
        <f>IFERROR(AO2306/AL2306,"")</f>
        <v/>
      </c>
      <c r="AQ2306" s="125">
        <f>IFERROR(R2306/AO2306,"")</f>
        <v/>
      </c>
      <c r="AR2306" s="122" t="n">
        <v>0</v>
      </c>
      <c r="AS2306" s="122" t="n">
        <v>0</v>
      </c>
      <c r="AT2306" s="122">
        <f>AL2306+AR2306</f>
        <v/>
      </c>
      <c r="AU2306" s="125">
        <f>IFERROR(AO2306*Assumptions!$C$26*Assumptions!$C$27*INDEX(Assumptions!$C$18:$C$21,MATCH(H2306,Assumptions!$B$18:$B$21,0)),0)</f>
        <v/>
      </c>
    </row>
    <row r="2307">
      <c r="A2307" s="120" t="n">
        <v>46261</v>
      </c>
      <c r="B2307" s="66" t="inlineStr">
        <is>
          <t>Wk 35</t>
        </is>
      </c>
      <c r="C2307" s="66" t="inlineStr">
        <is>
          <t>Thu</t>
        </is>
      </c>
      <c r="D2307" s="66" t="inlineStr">
        <is>
          <t>Programmatic</t>
        </is>
      </c>
      <c r="E2307" s="66" t="inlineStr">
        <is>
          <t>DV360</t>
        </is>
      </c>
      <c r="F2307" s="66" t="inlineStr">
        <is>
          <t>LEP_ZA_AUG26_PROG_RMKT_DYNAMIC</t>
        </is>
      </c>
      <c r="G2307" s="66" t="inlineStr">
        <is>
          <t>Dynamic Retargeting</t>
        </is>
      </c>
      <c r="H2307" s="66" t="inlineStr">
        <is>
          <t>Range</t>
        </is>
      </c>
      <c r="I2307" s="66" t="inlineStr">
        <is>
          <t>Range Offer</t>
        </is>
      </c>
      <c r="J2307" s="66" t="inlineStr">
        <is>
          <t>PROG_DYN_RMKT_7D</t>
        </is>
      </c>
      <c r="K2307" s="66" t="inlineStr">
        <is>
          <t>Retargeting</t>
        </is>
      </c>
      <c r="L2307" s="66" t="inlineStr">
        <is>
          <t>PROG_DYN_300x250_ModelSeen_v1</t>
        </is>
      </c>
      <c r="M2307" s="66" t="inlineStr">
        <is>
          <t>Dynamic Display 300x250</t>
        </is>
      </c>
      <c r="N2307" s="66" t="inlineStr">
        <is>
          <t>Still thinking about it?</t>
        </is>
      </c>
      <c r="O2307" s="66" t="inlineStr">
        <is>
          <t>Auction - Lowest Cost</t>
        </is>
      </c>
      <c r="P2307" s="66" t="inlineStr">
        <is>
          <t>Conversions (CPA)</t>
        </is>
      </c>
      <c r="Q2307" s="66" t="inlineStr">
        <is>
          <t>https://www.lepas-sa.co.za/book-a-test-drive</t>
        </is>
      </c>
      <c r="R2307" s="121" t="n">
        <v>165.28</v>
      </c>
      <c r="S2307" s="122" t="n">
        <v>3993</v>
      </c>
      <c r="T2307" s="122" t="n">
        <v>2044</v>
      </c>
      <c r="U2307" s="123">
        <f>IFERROR(S2307/T2307,"")</f>
        <v/>
      </c>
      <c r="V2307" s="122" t="n">
        <v>19</v>
      </c>
      <c r="W2307" s="122" t="n">
        <v>14</v>
      </c>
      <c r="X2307" s="124">
        <f>IFERROR(W2307/S2307,"")</f>
        <v/>
      </c>
      <c r="Y2307" s="121">
        <f>IFERROR(R2307/W2307,"")</f>
        <v/>
      </c>
      <c r="Z2307" s="121">
        <f>IFERROR(R2307/S2307*1000,"")</f>
        <v/>
      </c>
      <c r="AA2307" s="122" t="n">
        <v>9</v>
      </c>
      <c r="AB2307" s="54">
        <f>IFERROR(AA2307/W2307,"")</f>
        <v/>
      </c>
      <c r="AC2307" s="122" t="n">
        <v>0</v>
      </c>
      <c r="AD2307" s="122" t="n">
        <v>0</v>
      </c>
      <c r="AE2307" s="122" t="n">
        <v>0</v>
      </c>
      <c r="AF2307" s="122" t="n">
        <v>0</v>
      </c>
      <c r="AG2307" s="122" t="n">
        <v>0</v>
      </c>
      <c r="AH2307" s="122" t="n">
        <v>0</v>
      </c>
      <c r="AI2307" s="54">
        <f>IFERROR(AC2307/S2307,"")</f>
        <v/>
      </c>
      <c r="AJ2307" s="54">
        <f>IFERROR(AH2307/S2307,"")</f>
        <v/>
      </c>
      <c r="AK2307" s="122" t="n">
        <v>11</v>
      </c>
      <c r="AL2307" s="122" t="n">
        <v>0</v>
      </c>
      <c r="AM2307" s="124">
        <f>IFERROR(AL2307/AA2307,"")</f>
        <v/>
      </c>
      <c r="AN2307" s="125">
        <f>IFERROR(R2307/AL2307,"")</f>
        <v/>
      </c>
      <c r="AO2307" s="122" t="n">
        <v>0</v>
      </c>
      <c r="AP2307" s="54">
        <f>IFERROR(AO2307/AL2307,"")</f>
        <v/>
      </c>
      <c r="AQ2307" s="125">
        <f>IFERROR(R2307/AO2307,"")</f>
        <v/>
      </c>
      <c r="AR2307" s="122" t="n">
        <v>0</v>
      </c>
      <c r="AS2307" s="122" t="n">
        <v>0</v>
      </c>
      <c r="AT2307" s="122">
        <f>AL2307+AR2307</f>
        <v/>
      </c>
      <c r="AU2307" s="125">
        <f>IFERROR(AO2307*Assumptions!$C$26*Assumptions!$C$27*INDEX(Assumptions!$C$18:$C$21,MATCH(H2307,Assumptions!$B$18:$B$21,0)),0)</f>
        <v/>
      </c>
    </row>
    <row r="2308">
      <c r="A2308" s="120" t="n">
        <v>46262</v>
      </c>
      <c r="B2308" s="66" t="inlineStr">
        <is>
          <t>Wk 35</t>
        </is>
      </c>
      <c r="C2308" s="66" t="inlineStr">
        <is>
          <t>Fri</t>
        </is>
      </c>
      <c r="D2308" s="66" t="inlineStr">
        <is>
          <t>Programmatic</t>
        </is>
      </c>
      <c r="E2308" s="66" t="inlineStr">
        <is>
          <t>DV360</t>
        </is>
      </c>
      <c r="F2308" s="66" t="inlineStr">
        <is>
          <t>LEP_ZA_AUG26_PROG_RMKT_DYNAMIC</t>
        </is>
      </c>
      <c r="G2308" s="66" t="inlineStr">
        <is>
          <t>Dynamic Retargeting</t>
        </is>
      </c>
      <c r="H2308" s="66" t="inlineStr">
        <is>
          <t>Range</t>
        </is>
      </c>
      <c r="I2308" s="66" t="inlineStr">
        <is>
          <t>Range Offer</t>
        </is>
      </c>
      <c r="J2308" s="66" t="inlineStr">
        <is>
          <t>PROG_DYN_RMKT_7D</t>
        </is>
      </c>
      <c r="K2308" s="66" t="inlineStr">
        <is>
          <t>Retargeting</t>
        </is>
      </c>
      <c r="L2308" s="66" t="inlineStr">
        <is>
          <t>PROG_DYN_300x250_ModelSeen_v1</t>
        </is>
      </c>
      <c r="M2308" s="66" t="inlineStr">
        <is>
          <t>Dynamic Display 300x250</t>
        </is>
      </c>
      <c r="N2308" s="66" t="inlineStr">
        <is>
          <t>Still thinking about it?</t>
        </is>
      </c>
      <c r="O2308" s="66" t="inlineStr">
        <is>
          <t>Auction - Lowest Cost</t>
        </is>
      </c>
      <c r="P2308" s="66" t="inlineStr">
        <is>
          <t>Conversions (CPA)</t>
        </is>
      </c>
      <c r="Q2308" s="66" t="inlineStr">
        <is>
          <t>https://www.lepas-sa.co.za/book-a-test-drive</t>
        </is>
      </c>
      <c r="R2308" s="121" t="n">
        <v>174.29</v>
      </c>
      <c r="S2308" s="122" t="n">
        <v>3546</v>
      </c>
      <c r="T2308" s="122" t="n">
        <v>1282</v>
      </c>
      <c r="U2308" s="123">
        <f>IFERROR(S2308/T2308,"")</f>
        <v/>
      </c>
      <c r="V2308" s="122" t="n">
        <v>8</v>
      </c>
      <c r="W2308" s="122" t="n">
        <v>7</v>
      </c>
      <c r="X2308" s="124">
        <f>IFERROR(W2308/S2308,"")</f>
        <v/>
      </c>
      <c r="Y2308" s="121">
        <f>IFERROR(R2308/W2308,"")</f>
        <v/>
      </c>
      <c r="Z2308" s="121">
        <f>IFERROR(R2308/S2308*1000,"")</f>
        <v/>
      </c>
      <c r="AA2308" s="122" t="n">
        <v>4</v>
      </c>
      <c r="AB2308" s="54">
        <f>IFERROR(AA2308/W2308,"")</f>
        <v/>
      </c>
      <c r="AC2308" s="122" t="n">
        <v>0</v>
      </c>
      <c r="AD2308" s="122" t="n">
        <v>0</v>
      </c>
      <c r="AE2308" s="122" t="n">
        <v>0</v>
      </c>
      <c r="AF2308" s="122" t="n">
        <v>0</v>
      </c>
      <c r="AG2308" s="122" t="n">
        <v>0</v>
      </c>
      <c r="AH2308" s="122" t="n">
        <v>0</v>
      </c>
      <c r="AI2308" s="54">
        <f>IFERROR(AC2308/S2308,"")</f>
        <v/>
      </c>
      <c r="AJ2308" s="54">
        <f>IFERROR(AH2308/S2308,"")</f>
        <v/>
      </c>
      <c r="AK2308" s="122" t="n">
        <v>19</v>
      </c>
      <c r="AL2308" s="122" t="n">
        <v>0</v>
      </c>
      <c r="AM2308" s="124">
        <f>IFERROR(AL2308/AA2308,"")</f>
        <v/>
      </c>
      <c r="AN2308" s="125">
        <f>IFERROR(R2308/AL2308,"")</f>
        <v/>
      </c>
      <c r="AO2308" s="122" t="n">
        <v>0</v>
      </c>
      <c r="AP2308" s="54">
        <f>IFERROR(AO2308/AL2308,"")</f>
        <v/>
      </c>
      <c r="AQ2308" s="125">
        <f>IFERROR(R2308/AO2308,"")</f>
        <v/>
      </c>
      <c r="AR2308" s="122" t="n">
        <v>0</v>
      </c>
      <c r="AS2308" s="122" t="n">
        <v>0</v>
      </c>
      <c r="AT2308" s="122">
        <f>AL2308+AR2308</f>
        <v/>
      </c>
      <c r="AU2308" s="125">
        <f>IFERROR(AO2308*Assumptions!$C$26*Assumptions!$C$27*INDEX(Assumptions!$C$18:$C$21,MATCH(H2308,Assumptions!$B$18:$B$21,0)),0)</f>
        <v/>
      </c>
    </row>
    <row r="2309">
      <c r="A2309" s="120" t="n">
        <v>46263</v>
      </c>
      <c r="B2309" s="66" t="inlineStr">
        <is>
          <t>Wk 35</t>
        </is>
      </c>
      <c r="C2309" s="66" t="inlineStr">
        <is>
          <t>Sat</t>
        </is>
      </c>
      <c r="D2309" s="66" t="inlineStr">
        <is>
          <t>Programmatic</t>
        </is>
      </c>
      <c r="E2309" s="66" t="inlineStr">
        <is>
          <t>DV360</t>
        </is>
      </c>
      <c r="F2309" s="66" t="inlineStr">
        <is>
          <t>LEP_ZA_AUG26_PROG_RMKT_DYNAMIC</t>
        </is>
      </c>
      <c r="G2309" s="66" t="inlineStr">
        <is>
          <t>Dynamic Retargeting</t>
        </is>
      </c>
      <c r="H2309" s="66" t="inlineStr">
        <is>
          <t>Range</t>
        </is>
      </c>
      <c r="I2309" s="66" t="inlineStr">
        <is>
          <t>Range Offer</t>
        </is>
      </c>
      <c r="J2309" s="66" t="inlineStr">
        <is>
          <t>PROG_DYN_RMKT_7D</t>
        </is>
      </c>
      <c r="K2309" s="66" t="inlineStr">
        <is>
          <t>Retargeting</t>
        </is>
      </c>
      <c r="L2309" s="66" t="inlineStr">
        <is>
          <t>PROG_DYN_300x250_ModelSeen_v1</t>
        </is>
      </c>
      <c r="M2309" s="66" t="inlineStr">
        <is>
          <t>Dynamic Display 300x250</t>
        </is>
      </c>
      <c r="N2309" s="66" t="inlineStr">
        <is>
          <t>Still thinking about it?</t>
        </is>
      </c>
      <c r="O2309" s="66" t="inlineStr">
        <is>
          <t>Auction - Lowest Cost</t>
        </is>
      </c>
      <c r="P2309" s="66" t="inlineStr">
        <is>
          <t>Conversions (CPA)</t>
        </is>
      </c>
      <c r="Q2309" s="66" t="inlineStr">
        <is>
          <t>https://www.lepas-sa.co.za/book-a-test-drive</t>
        </is>
      </c>
      <c r="R2309" s="121" t="n">
        <v>155.29</v>
      </c>
      <c r="S2309" s="122" t="n">
        <v>5307</v>
      </c>
      <c r="T2309" s="122" t="n">
        <v>2064</v>
      </c>
      <c r="U2309" s="123">
        <f>IFERROR(S2309/T2309,"")</f>
        <v/>
      </c>
      <c r="V2309" s="122" t="n">
        <v>21</v>
      </c>
      <c r="W2309" s="122" t="n">
        <v>17</v>
      </c>
      <c r="X2309" s="124">
        <f>IFERROR(W2309/S2309,"")</f>
        <v/>
      </c>
      <c r="Y2309" s="121">
        <f>IFERROR(R2309/W2309,"")</f>
        <v/>
      </c>
      <c r="Z2309" s="121">
        <f>IFERROR(R2309/S2309*1000,"")</f>
        <v/>
      </c>
      <c r="AA2309" s="122" t="n">
        <v>12</v>
      </c>
      <c r="AB2309" s="54">
        <f>IFERROR(AA2309/W2309,"")</f>
        <v/>
      </c>
      <c r="AC2309" s="122" t="n">
        <v>0</v>
      </c>
      <c r="AD2309" s="122" t="n">
        <v>0</v>
      </c>
      <c r="AE2309" s="122" t="n">
        <v>0</v>
      </c>
      <c r="AF2309" s="122" t="n">
        <v>0</v>
      </c>
      <c r="AG2309" s="122" t="n">
        <v>0</v>
      </c>
      <c r="AH2309" s="122" t="n">
        <v>0</v>
      </c>
      <c r="AI2309" s="54">
        <f>IFERROR(AC2309/S2309,"")</f>
        <v/>
      </c>
      <c r="AJ2309" s="54">
        <f>IFERROR(AH2309/S2309,"")</f>
        <v/>
      </c>
      <c r="AK2309" s="122" t="n">
        <v>25</v>
      </c>
      <c r="AL2309" s="122" t="n">
        <v>1</v>
      </c>
      <c r="AM2309" s="124">
        <f>IFERROR(AL2309/AA2309,"")</f>
        <v/>
      </c>
      <c r="AN2309" s="125">
        <f>IFERROR(R2309/AL2309,"")</f>
        <v/>
      </c>
      <c r="AO2309" s="122" t="n">
        <v>0</v>
      </c>
      <c r="AP2309" s="54">
        <f>IFERROR(AO2309/AL2309,"")</f>
        <v/>
      </c>
      <c r="AQ2309" s="125">
        <f>IFERROR(R2309/AO2309,"")</f>
        <v/>
      </c>
      <c r="AR2309" s="122" t="n">
        <v>3</v>
      </c>
      <c r="AS2309" s="122" t="n">
        <v>1</v>
      </c>
      <c r="AT2309" s="122">
        <f>AL2309+AR2309</f>
        <v/>
      </c>
      <c r="AU2309" s="125">
        <f>IFERROR(AO2309*Assumptions!$C$26*Assumptions!$C$27*INDEX(Assumptions!$C$18:$C$21,MATCH(H2309,Assumptions!$B$18:$B$21,0)),0)</f>
        <v/>
      </c>
    </row>
    <row r="2310">
      <c r="A2310" s="120" t="n">
        <v>46264</v>
      </c>
      <c r="B2310" s="66" t="inlineStr">
        <is>
          <t>Wk 35</t>
        </is>
      </c>
      <c r="C2310" s="66" t="inlineStr">
        <is>
          <t>Sun</t>
        </is>
      </c>
      <c r="D2310" s="66" t="inlineStr">
        <is>
          <t>Programmatic</t>
        </is>
      </c>
      <c r="E2310" s="66" t="inlineStr">
        <is>
          <t>DV360</t>
        </is>
      </c>
      <c r="F2310" s="66" t="inlineStr">
        <is>
          <t>LEP_ZA_AUG26_PROG_RMKT_DYNAMIC</t>
        </is>
      </c>
      <c r="G2310" s="66" t="inlineStr">
        <is>
          <t>Dynamic Retargeting</t>
        </is>
      </c>
      <c r="H2310" s="66" t="inlineStr">
        <is>
          <t>Range</t>
        </is>
      </c>
      <c r="I2310" s="66" t="inlineStr">
        <is>
          <t>Range Offer</t>
        </is>
      </c>
      <c r="J2310" s="66" t="inlineStr">
        <is>
          <t>PROG_DYN_RMKT_7D</t>
        </is>
      </c>
      <c r="K2310" s="66" t="inlineStr">
        <is>
          <t>Retargeting</t>
        </is>
      </c>
      <c r="L2310" s="66" t="inlineStr">
        <is>
          <t>PROG_DYN_300x250_ModelSeen_v1</t>
        </is>
      </c>
      <c r="M2310" s="66" t="inlineStr">
        <is>
          <t>Dynamic Display 300x250</t>
        </is>
      </c>
      <c r="N2310" s="66" t="inlineStr">
        <is>
          <t>Still thinking about it?</t>
        </is>
      </c>
      <c r="O2310" s="66" t="inlineStr">
        <is>
          <t>Auction - Lowest Cost</t>
        </is>
      </c>
      <c r="P2310" s="66" t="inlineStr">
        <is>
          <t>Conversions (CPA)</t>
        </is>
      </c>
      <c r="Q2310" s="66" t="inlineStr">
        <is>
          <t>https://www.lepas-sa.co.za/book-a-test-drive</t>
        </is>
      </c>
      <c r="R2310" s="121" t="n">
        <v>135.08</v>
      </c>
      <c r="S2310" s="122" t="n">
        <v>3768</v>
      </c>
      <c r="T2310" s="122" t="n">
        <v>2082</v>
      </c>
      <c r="U2310" s="123">
        <f>IFERROR(S2310/T2310,"")</f>
        <v/>
      </c>
      <c r="V2310" s="122" t="n">
        <v>21</v>
      </c>
      <c r="W2310" s="122" t="n">
        <v>15</v>
      </c>
      <c r="X2310" s="124">
        <f>IFERROR(W2310/S2310,"")</f>
        <v/>
      </c>
      <c r="Y2310" s="121">
        <f>IFERROR(R2310/W2310,"")</f>
        <v/>
      </c>
      <c r="Z2310" s="121">
        <f>IFERROR(R2310/S2310*1000,"")</f>
        <v/>
      </c>
      <c r="AA2310" s="122" t="n">
        <v>10</v>
      </c>
      <c r="AB2310" s="54">
        <f>IFERROR(AA2310/W2310,"")</f>
        <v/>
      </c>
      <c r="AC2310" s="122" t="n">
        <v>0</v>
      </c>
      <c r="AD2310" s="122" t="n">
        <v>0</v>
      </c>
      <c r="AE2310" s="122" t="n">
        <v>0</v>
      </c>
      <c r="AF2310" s="122" t="n">
        <v>0</v>
      </c>
      <c r="AG2310" s="122" t="n">
        <v>0</v>
      </c>
      <c r="AH2310" s="122" t="n">
        <v>0</v>
      </c>
      <c r="AI2310" s="54">
        <f>IFERROR(AC2310/S2310,"")</f>
        <v/>
      </c>
      <c r="AJ2310" s="54">
        <f>IFERROR(AH2310/S2310,"")</f>
        <v/>
      </c>
      <c r="AK2310" s="122" t="n">
        <v>8</v>
      </c>
      <c r="AL2310" s="122" t="n">
        <v>0</v>
      </c>
      <c r="AM2310" s="124">
        <f>IFERROR(AL2310/AA2310,"")</f>
        <v/>
      </c>
      <c r="AN2310" s="125">
        <f>IFERROR(R2310/AL2310,"")</f>
        <v/>
      </c>
      <c r="AO2310" s="122" t="n">
        <v>0</v>
      </c>
      <c r="AP2310" s="54">
        <f>IFERROR(AO2310/AL2310,"")</f>
        <v/>
      </c>
      <c r="AQ2310" s="125">
        <f>IFERROR(R2310/AO2310,"")</f>
        <v/>
      </c>
      <c r="AR2310" s="122" t="n">
        <v>0</v>
      </c>
      <c r="AS2310" s="122" t="n">
        <v>0</v>
      </c>
      <c r="AT2310" s="122">
        <f>AL2310+AR2310</f>
        <v/>
      </c>
      <c r="AU2310" s="125">
        <f>IFERROR(AO2310*Assumptions!$C$26*Assumptions!$C$27*INDEX(Assumptions!$C$18:$C$21,MATCH(H2310,Assumptions!$B$18:$B$21,0)),0)</f>
        <v/>
      </c>
    </row>
    <row r="2311">
      <c r="A2311" s="120" t="n">
        <v>46265</v>
      </c>
      <c r="B2311" s="66" t="inlineStr">
        <is>
          <t>Wk 36</t>
        </is>
      </c>
      <c r="C2311" s="66" t="inlineStr">
        <is>
          <t>Mon</t>
        </is>
      </c>
      <c r="D2311" s="66" t="inlineStr">
        <is>
          <t>Programmatic</t>
        </is>
      </c>
      <c r="E2311" s="66" t="inlineStr">
        <is>
          <t>DV360</t>
        </is>
      </c>
      <c r="F2311" s="66" t="inlineStr">
        <is>
          <t>LEP_ZA_AUG26_PROG_RMKT_DYNAMIC</t>
        </is>
      </c>
      <c r="G2311" s="66" t="inlineStr">
        <is>
          <t>Dynamic Retargeting</t>
        </is>
      </c>
      <c r="H2311" s="66" t="inlineStr">
        <is>
          <t>Range</t>
        </is>
      </c>
      <c r="I2311" s="66" t="inlineStr">
        <is>
          <t>Range Offer</t>
        </is>
      </c>
      <c r="J2311" s="66" t="inlineStr">
        <is>
          <t>PROG_DYN_RMKT_7D</t>
        </is>
      </c>
      <c r="K2311" s="66" t="inlineStr">
        <is>
          <t>Retargeting</t>
        </is>
      </c>
      <c r="L2311" s="66" t="inlineStr">
        <is>
          <t>PROG_DYN_300x250_ModelSeen_v1</t>
        </is>
      </c>
      <c r="M2311" s="66" t="inlineStr">
        <is>
          <t>Dynamic Display 300x250</t>
        </is>
      </c>
      <c r="N2311" s="66" t="inlineStr">
        <is>
          <t>Still thinking about it?</t>
        </is>
      </c>
      <c r="O2311" s="66" t="inlineStr">
        <is>
          <t>Auction - Lowest Cost</t>
        </is>
      </c>
      <c r="P2311" s="66" t="inlineStr">
        <is>
          <t>Conversions (CPA)</t>
        </is>
      </c>
      <c r="Q2311" s="66" t="inlineStr">
        <is>
          <t>https://www.lepas-sa.co.za/book-a-test-drive</t>
        </is>
      </c>
      <c r="R2311" s="121" t="n">
        <v>157.03</v>
      </c>
      <c r="S2311" s="122" t="n">
        <v>5282</v>
      </c>
      <c r="T2311" s="122" t="n">
        <v>2711</v>
      </c>
      <c r="U2311" s="123">
        <f>IFERROR(S2311/T2311,"")</f>
        <v/>
      </c>
      <c r="V2311" s="122" t="n">
        <v>18</v>
      </c>
      <c r="W2311" s="122" t="n">
        <v>14</v>
      </c>
      <c r="X2311" s="124">
        <f>IFERROR(W2311/S2311,"")</f>
        <v/>
      </c>
      <c r="Y2311" s="121">
        <f>IFERROR(R2311/W2311,"")</f>
        <v/>
      </c>
      <c r="Z2311" s="121">
        <f>IFERROR(R2311/S2311*1000,"")</f>
        <v/>
      </c>
      <c r="AA2311" s="122" t="n">
        <v>9</v>
      </c>
      <c r="AB2311" s="54">
        <f>IFERROR(AA2311/W2311,"")</f>
        <v/>
      </c>
      <c r="AC2311" s="122" t="n">
        <v>0</v>
      </c>
      <c r="AD2311" s="122" t="n">
        <v>0</v>
      </c>
      <c r="AE2311" s="122" t="n">
        <v>0</v>
      </c>
      <c r="AF2311" s="122" t="n">
        <v>0</v>
      </c>
      <c r="AG2311" s="122" t="n">
        <v>0</v>
      </c>
      <c r="AH2311" s="122" t="n">
        <v>0</v>
      </c>
      <c r="AI2311" s="54">
        <f>IFERROR(AC2311/S2311,"")</f>
        <v/>
      </c>
      <c r="AJ2311" s="54">
        <f>IFERROR(AH2311/S2311,"")</f>
        <v/>
      </c>
      <c r="AK2311" s="122" t="n">
        <v>29</v>
      </c>
      <c r="AL2311" s="122" t="n">
        <v>1</v>
      </c>
      <c r="AM2311" s="124">
        <f>IFERROR(AL2311/AA2311,"")</f>
        <v/>
      </c>
      <c r="AN2311" s="125">
        <f>IFERROR(R2311/AL2311,"")</f>
        <v/>
      </c>
      <c r="AO2311" s="122" t="n">
        <v>0</v>
      </c>
      <c r="AP2311" s="54">
        <f>IFERROR(AO2311/AL2311,"")</f>
        <v/>
      </c>
      <c r="AQ2311" s="125">
        <f>IFERROR(R2311/AO2311,"")</f>
        <v/>
      </c>
      <c r="AR2311" s="122" t="n">
        <v>1</v>
      </c>
      <c r="AS2311" s="122" t="n">
        <v>2</v>
      </c>
      <c r="AT2311" s="122">
        <f>AL2311+AR2311</f>
        <v/>
      </c>
      <c r="AU2311" s="125">
        <f>IFERROR(AO2311*Assumptions!$C$26*Assumptions!$C$27*INDEX(Assumptions!$C$18:$C$21,MATCH(H2311,Assumptions!$B$18:$B$21,0)),0)</f>
        <v/>
      </c>
    </row>
    <row r="2312">
      <c r="A2312" s="120" t="n">
        <v>46235</v>
      </c>
      <c r="B2312" s="66" t="inlineStr">
        <is>
          <t>Wk 31</t>
        </is>
      </c>
      <c r="C2312" s="66" t="inlineStr">
        <is>
          <t>Sat</t>
        </is>
      </c>
      <c r="D2312" s="66" t="inlineStr">
        <is>
          <t>Programmatic</t>
        </is>
      </c>
      <c r="E2312" s="66" t="inlineStr">
        <is>
          <t>DV360</t>
        </is>
      </c>
      <c r="F2312" s="66" t="inlineStr">
        <is>
          <t>LEP_ZA_AUG26_PROG_RMKT_DYNAMIC</t>
        </is>
      </c>
      <c r="G2312" s="66" t="inlineStr">
        <is>
          <t>Dynamic Retargeting</t>
        </is>
      </c>
      <c r="H2312" s="66" t="inlineStr">
        <is>
          <t>Range</t>
        </is>
      </c>
      <c r="I2312" s="66" t="inlineStr">
        <is>
          <t>Range Offer</t>
        </is>
      </c>
      <c r="J2312" s="66" t="inlineStr">
        <is>
          <t>PROG_DYN_RMKT_7D</t>
        </is>
      </c>
      <c r="K2312" s="66" t="inlineStr">
        <is>
          <t>Retargeting</t>
        </is>
      </c>
      <c r="L2312" s="66" t="inlineStr">
        <is>
          <t>PROG_DYN_160x600_ModelSeen_v1</t>
        </is>
      </c>
      <c r="M2312" s="66" t="inlineStr">
        <is>
          <t>Dynamic Display 160x600</t>
        </is>
      </c>
      <c r="N2312" s="66" t="inlineStr">
        <is>
          <t>Still thinking about it?</t>
        </is>
      </c>
      <c r="O2312" s="66" t="inlineStr">
        <is>
          <t>Auction - Lowest Cost</t>
        </is>
      </c>
      <c r="P2312" s="66" t="inlineStr">
        <is>
          <t>Conversions (CPA)</t>
        </is>
      </c>
      <c r="Q2312" s="66" t="inlineStr">
        <is>
          <t>https://www.lepas-sa.co.za/book-a-test-drive</t>
        </is>
      </c>
      <c r="R2312" s="121" t="n">
        <v>116.28</v>
      </c>
      <c r="S2312" s="122" t="n">
        <v>4957</v>
      </c>
      <c r="T2312" s="122" t="n">
        <v>3688</v>
      </c>
      <c r="U2312" s="123">
        <f>IFERROR(S2312/T2312,"")</f>
        <v/>
      </c>
      <c r="V2312" s="122" t="n">
        <v>38</v>
      </c>
      <c r="W2312" s="122" t="n">
        <v>29</v>
      </c>
      <c r="X2312" s="124">
        <f>IFERROR(W2312/S2312,"")</f>
        <v/>
      </c>
      <c r="Y2312" s="121">
        <f>IFERROR(R2312/W2312,"")</f>
        <v/>
      </c>
      <c r="Z2312" s="121">
        <f>IFERROR(R2312/S2312*1000,"")</f>
        <v/>
      </c>
      <c r="AA2312" s="122" t="n">
        <v>19</v>
      </c>
      <c r="AB2312" s="54">
        <f>IFERROR(AA2312/W2312,"")</f>
        <v/>
      </c>
      <c r="AC2312" s="122" t="n">
        <v>0</v>
      </c>
      <c r="AD2312" s="122" t="n">
        <v>0</v>
      </c>
      <c r="AE2312" s="122" t="n">
        <v>0</v>
      </c>
      <c r="AF2312" s="122" t="n">
        <v>0</v>
      </c>
      <c r="AG2312" s="122" t="n">
        <v>0</v>
      </c>
      <c r="AH2312" s="122" t="n">
        <v>0</v>
      </c>
      <c r="AI2312" s="54">
        <f>IFERROR(AC2312/S2312,"")</f>
        <v/>
      </c>
      <c r="AJ2312" s="54">
        <f>IFERROR(AH2312/S2312,"")</f>
        <v/>
      </c>
      <c r="AK2312" s="122" t="n">
        <v>6</v>
      </c>
      <c r="AL2312" s="122" t="n">
        <v>0</v>
      </c>
      <c r="AM2312" s="124">
        <f>IFERROR(AL2312/AA2312,"")</f>
        <v/>
      </c>
      <c r="AN2312" s="125">
        <f>IFERROR(R2312/AL2312,"")</f>
        <v/>
      </c>
      <c r="AO2312" s="122" t="n">
        <v>0</v>
      </c>
      <c r="AP2312" s="54">
        <f>IFERROR(AO2312/AL2312,"")</f>
        <v/>
      </c>
      <c r="AQ2312" s="125">
        <f>IFERROR(R2312/AO2312,"")</f>
        <v/>
      </c>
      <c r="AR2312" s="122" t="n">
        <v>0</v>
      </c>
      <c r="AS2312" s="122" t="n">
        <v>0</v>
      </c>
      <c r="AT2312" s="122">
        <f>AL2312+AR2312</f>
        <v/>
      </c>
      <c r="AU2312" s="125">
        <f>IFERROR(AO2312*Assumptions!$C$26*Assumptions!$C$27*INDEX(Assumptions!$C$18:$C$21,MATCH(H2312,Assumptions!$B$18:$B$21,0)),0)</f>
        <v/>
      </c>
    </row>
    <row r="2313">
      <c r="A2313" s="120" t="n">
        <v>46236</v>
      </c>
      <c r="B2313" s="66" t="inlineStr">
        <is>
          <t>Wk 31</t>
        </is>
      </c>
      <c r="C2313" s="66" t="inlineStr">
        <is>
          <t>Sun</t>
        </is>
      </c>
      <c r="D2313" s="66" t="inlineStr">
        <is>
          <t>Programmatic</t>
        </is>
      </c>
      <c r="E2313" s="66" t="inlineStr">
        <is>
          <t>DV360</t>
        </is>
      </c>
      <c r="F2313" s="66" t="inlineStr">
        <is>
          <t>LEP_ZA_AUG26_PROG_RMKT_DYNAMIC</t>
        </is>
      </c>
      <c r="G2313" s="66" t="inlineStr">
        <is>
          <t>Dynamic Retargeting</t>
        </is>
      </c>
      <c r="H2313" s="66" t="inlineStr">
        <is>
          <t>Range</t>
        </is>
      </c>
      <c r="I2313" s="66" t="inlineStr">
        <is>
          <t>Range Offer</t>
        </is>
      </c>
      <c r="J2313" s="66" t="inlineStr">
        <is>
          <t>PROG_DYN_RMKT_7D</t>
        </is>
      </c>
      <c r="K2313" s="66" t="inlineStr">
        <is>
          <t>Retargeting</t>
        </is>
      </c>
      <c r="L2313" s="66" t="inlineStr">
        <is>
          <t>PROG_DYN_160x600_ModelSeen_v1</t>
        </is>
      </c>
      <c r="M2313" s="66" t="inlineStr">
        <is>
          <t>Dynamic Display 160x600</t>
        </is>
      </c>
      <c r="N2313" s="66" t="inlineStr">
        <is>
          <t>Still thinking about it?</t>
        </is>
      </c>
      <c r="O2313" s="66" t="inlineStr">
        <is>
          <t>Auction - Lowest Cost</t>
        </is>
      </c>
      <c r="P2313" s="66" t="inlineStr">
        <is>
          <t>Conversions (CPA)</t>
        </is>
      </c>
      <c r="Q2313" s="66" t="inlineStr">
        <is>
          <t>https://www.lepas-sa.co.za/book-a-test-drive</t>
        </is>
      </c>
      <c r="R2313" s="121" t="n">
        <v>89.48</v>
      </c>
      <c r="S2313" s="122" t="n">
        <v>3621</v>
      </c>
      <c r="T2313" s="122" t="n">
        <v>2762</v>
      </c>
      <c r="U2313" s="123">
        <f>IFERROR(S2313/T2313,"")</f>
        <v/>
      </c>
      <c r="V2313" s="122" t="n">
        <v>10</v>
      </c>
      <c r="W2313" s="122" t="n">
        <v>7</v>
      </c>
      <c r="X2313" s="124">
        <f>IFERROR(W2313/S2313,"")</f>
        <v/>
      </c>
      <c r="Y2313" s="121">
        <f>IFERROR(R2313/W2313,"")</f>
        <v/>
      </c>
      <c r="Z2313" s="121">
        <f>IFERROR(R2313/S2313*1000,"")</f>
        <v/>
      </c>
      <c r="AA2313" s="122" t="n">
        <v>5</v>
      </c>
      <c r="AB2313" s="54">
        <f>IFERROR(AA2313/W2313,"")</f>
        <v/>
      </c>
      <c r="AC2313" s="122" t="n">
        <v>0</v>
      </c>
      <c r="AD2313" s="122" t="n">
        <v>0</v>
      </c>
      <c r="AE2313" s="122" t="n">
        <v>0</v>
      </c>
      <c r="AF2313" s="122" t="n">
        <v>0</v>
      </c>
      <c r="AG2313" s="122" t="n">
        <v>0</v>
      </c>
      <c r="AH2313" s="122" t="n">
        <v>0</v>
      </c>
      <c r="AI2313" s="54">
        <f>IFERROR(AC2313/S2313,"")</f>
        <v/>
      </c>
      <c r="AJ2313" s="54">
        <f>IFERROR(AH2313/S2313,"")</f>
        <v/>
      </c>
      <c r="AK2313" s="122" t="n">
        <v>19</v>
      </c>
      <c r="AL2313" s="122" t="n">
        <v>0</v>
      </c>
      <c r="AM2313" s="124">
        <f>IFERROR(AL2313/AA2313,"")</f>
        <v/>
      </c>
      <c r="AN2313" s="125">
        <f>IFERROR(R2313/AL2313,"")</f>
        <v/>
      </c>
      <c r="AO2313" s="122" t="n">
        <v>0</v>
      </c>
      <c r="AP2313" s="54">
        <f>IFERROR(AO2313/AL2313,"")</f>
        <v/>
      </c>
      <c r="AQ2313" s="125">
        <f>IFERROR(R2313/AO2313,"")</f>
        <v/>
      </c>
      <c r="AR2313" s="122" t="n">
        <v>0</v>
      </c>
      <c r="AS2313" s="122" t="n">
        <v>0</v>
      </c>
      <c r="AT2313" s="122">
        <f>AL2313+AR2313</f>
        <v/>
      </c>
      <c r="AU2313" s="125">
        <f>IFERROR(AO2313*Assumptions!$C$26*Assumptions!$C$27*INDEX(Assumptions!$C$18:$C$21,MATCH(H2313,Assumptions!$B$18:$B$21,0)),0)</f>
        <v/>
      </c>
    </row>
    <row r="2314">
      <c r="A2314" s="120" t="n">
        <v>46237</v>
      </c>
      <c r="B2314" s="66" t="inlineStr">
        <is>
          <t>Wk 32</t>
        </is>
      </c>
      <c r="C2314" s="66" t="inlineStr">
        <is>
          <t>Mon</t>
        </is>
      </c>
      <c r="D2314" s="66" t="inlineStr">
        <is>
          <t>Programmatic</t>
        </is>
      </c>
      <c r="E2314" s="66" t="inlineStr">
        <is>
          <t>DV360</t>
        </is>
      </c>
      <c r="F2314" s="66" t="inlineStr">
        <is>
          <t>LEP_ZA_AUG26_PROG_RMKT_DYNAMIC</t>
        </is>
      </c>
      <c r="G2314" s="66" t="inlineStr">
        <is>
          <t>Dynamic Retargeting</t>
        </is>
      </c>
      <c r="H2314" s="66" t="inlineStr">
        <is>
          <t>Range</t>
        </is>
      </c>
      <c r="I2314" s="66" t="inlineStr">
        <is>
          <t>Range Offer</t>
        </is>
      </c>
      <c r="J2314" s="66" t="inlineStr">
        <is>
          <t>PROG_DYN_RMKT_7D</t>
        </is>
      </c>
      <c r="K2314" s="66" t="inlineStr">
        <is>
          <t>Retargeting</t>
        </is>
      </c>
      <c r="L2314" s="66" t="inlineStr">
        <is>
          <t>PROG_DYN_160x600_ModelSeen_v1</t>
        </is>
      </c>
      <c r="M2314" s="66" t="inlineStr">
        <is>
          <t>Dynamic Display 160x600</t>
        </is>
      </c>
      <c r="N2314" s="66" t="inlineStr">
        <is>
          <t>Still thinking about it?</t>
        </is>
      </c>
      <c r="O2314" s="66" t="inlineStr">
        <is>
          <t>Auction - Lowest Cost</t>
        </is>
      </c>
      <c r="P2314" s="66" t="inlineStr">
        <is>
          <t>Conversions (CPA)</t>
        </is>
      </c>
      <c r="Q2314" s="66" t="inlineStr">
        <is>
          <t>https://www.lepas-sa.co.za/book-a-test-drive</t>
        </is>
      </c>
      <c r="R2314" s="121" t="n">
        <v>78.59999999999999</v>
      </c>
      <c r="S2314" s="122" t="n">
        <v>2446</v>
      </c>
      <c r="T2314" s="122" t="n">
        <v>1092</v>
      </c>
      <c r="U2314" s="123">
        <f>IFERROR(S2314/T2314,"")</f>
        <v/>
      </c>
      <c r="V2314" s="122" t="n">
        <v>17</v>
      </c>
      <c r="W2314" s="122" t="n">
        <v>12</v>
      </c>
      <c r="X2314" s="124">
        <f>IFERROR(W2314/S2314,"")</f>
        <v/>
      </c>
      <c r="Y2314" s="121">
        <f>IFERROR(R2314/W2314,"")</f>
        <v/>
      </c>
      <c r="Z2314" s="121">
        <f>IFERROR(R2314/S2314*1000,"")</f>
        <v/>
      </c>
      <c r="AA2314" s="122" t="n">
        <v>8</v>
      </c>
      <c r="AB2314" s="54">
        <f>IFERROR(AA2314/W2314,"")</f>
        <v/>
      </c>
      <c r="AC2314" s="122" t="n">
        <v>0</v>
      </c>
      <c r="AD2314" s="122" t="n">
        <v>0</v>
      </c>
      <c r="AE2314" s="122" t="n">
        <v>0</v>
      </c>
      <c r="AF2314" s="122" t="n">
        <v>0</v>
      </c>
      <c r="AG2314" s="122" t="n">
        <v>0</v>
      </c>
      <c r="AH2314" s="122" t="n">
        <v>0</v>
      </c>
      <c r="AI2314" s="54">
        <f>IFERROR(AC2314/S2314,"")</f>
        <v/>
      </c>
      <c r="AJ2314" s="54">
        <f>IFERROR(AH2314/S2314,"")</f>
        <v/>
      </c>
      <c r="AK2314" s="122" t="n">
        <v>5</v>
      </c>
      <c r="AL2314" s="122" t="n">
        <v>1</v>
      </c>
      <c r="AM2314" s="124">
        <f>IFERROR(AL2314/AA2314,"")</f>
        <v/>
      </c>
      <c r="AN2314" s="125">
        <f>IFERROR(R2314/AL2314,"")</f>
        <v/>
      </c>
      <c r="AO2314" s="122" t="n">
        <v>0</v>
      </c>
      <c r="AP2314" s="54">
        <f>IFERROR(AO2314/AL2314,"")</f>
        <v/>
      </c>
      <c r="AQ2314" s="125">
        <f>IFERROR(R2314/AO2314,"")</f>
        <v/>
      </c>
      <c r="AR2314" s="122" t="n">
        <v>3</v>
      </c>
      <c r="AS2314" s="122" t="n">
        <v>1</v>
      </c>
      <c r="AT2314" s="122">
        <f>AL2314+AR2314</f>
        <v/>
      </c>
      <c r="AU2314" s="125">
        <f>IFERROR(AO2314*Assumptions!$C$26*Assumptions!$C$27*INDEX(Assumptions!$C$18:$C$21,MATCH(H2314,Assumptions!$B$18:$B$21,0)),0)</f>
        <v/>
      </c>
    </row>
    <row r="2315">
      <c r="A2315" s="120" t="n">
        <v>46238</v>
      </c>
      <c r="B2315" s="66" t="inlineStr">
        <is>
          <t>Wk 32</t>
        </is>
      </c>
      <c r="C2315" s="66" t="inlineStr">
        <is>
          <t>Tue</t>
        </is>
      </c>
      <c r="D2315" s="66" t="inlineStr">
        <is>
          <t>Programmatic</t>
        </is>
      </c>
      <c r="E2315" s="66" t="inlineStr">
        <is>
          <t>DV360</t>
        </is>
      </c>
      <c r="F2315" s="66" t="inlineStr">
        <is>
          <t>LEP_ZA_AUG26_PROG_RMKT_DYNAMIC</t>
        </is>
      </c>
      <c r="G2315" s="66" t="inlineStr">
        <is>
          <t>Dynamic Retargeting</t>
        </is>
      </c>
      <c r="H2315" s="66" t="inlineStr">
        <is>
          <t>Range</t>
        </is>
      </c>
      <c r="I2315" s="66" t="inlineStr">
        <is>
          <t>Range Offer</t>
        </is>
      </c>
      <c r="J2315" s="66" t="inlineStr">
        <is>
          <t>PROG_DYN_RMKT_7D</t>
        </is>
      </c>
      <c r="K2315" s="66" t="inlineStr">
        <is>
          <t>Retargeting</t>
        </is>
      </c>
      <c r="L2315" s="66" t="inlineStr">
        <is>
          <t>PROG_DYN_160x600_ModelSeen_v1</t>
        </is>
      </c>
      <c r="M2315" s="66" t="inlineStr">
        <is>
          <t>Dynamic Display 160x600</t>
        </is>
      </c>
      <c r="N2315" s="66" t="inlineStr">
        <is>
          <t>Still thinking about it?</t>
        </is>
      </c>
      <c r="O2315" s="66" t="inlineStr">
        <is>
          <t>Auction - Lowest Cost</t>
        </is>
      </c>
      <c r="P2315" s="66" t="inlineStr">
        <is>
          <t>Conversions (CPA)</t>
        </is>
      </c>
      <c r="Q2315" s="66" t="inlineStr">
        <is>
          <t>https://www.lepas-sa.co.za/book-a-test-drive</t>
        </is>
      </c>
      <c r="R2315" s="121" t="n">
        <v>104.04</v>
      </c>
      <c r="S2315" s="122" t="n">
        <v>4301</v>
      </c>
      <c r="T2315" s="122" t="n">
        <v>2702</v>
      </c>
      <c r="U2315" s="123">
        <f>IFERROR(S2315/T2315,"")</f>
        <v/>
      </c>
      <c r="V2315" s="122" t="n">
        <v>25</v>
      </c>
      <c r="W2315" s="122" t="n">
        <v>19</v>
      </c>
      <c r="X2315" s="124">
        <f>IFERROR(W2315/S2315,"")</f>
        <v/>
      </c>
      <c r="Y2315" s="121">
        <f>IFERROR(R2315/W2315,"")</f>
        <v/>
      </c>
      <c r="Z2315" s="121">
        <f>IFERROR(R2315/S2315*1000,"")</f>
        <v/>
      </c>
      <c r="AA2315" s="122" t="n">
        <v>11</v>
      </c>
      <c r="AB2315" s="54">
        <f>IFERROR(AA2315/W2315,"")</f>
        <v/>
      </c>
      <c r="AC2315" s="122" t="n">
        <v>0</v>
      </c>
      <c r="AD2315" s="122" t="n">
        <v>0</v>
      </c>
      <c r="AE2315" s="122" t="n">
        <v>0</v>
      </c>
      <c r="AF2315" s="122" t="n">
        <v>0</v>
      </c>
      <c r="AG2315" s="122" t="n">
        <v>0</v>
      </c>
      <c r="AH2315" s="122" t="n">
        <v>0</v>
      </c>
      <c r="AI2315" s="54">
        <f>IFERROR(AC2315/S2315,"")</f>
        <v/>
      </c>
      <c r="AJ2315" s="54">
        <f>IFERROR(AH2315/S2315,"")</f>
        <v/>
      </c>
      <c r="AK2315" s="122" t="n">
        <v>9</v>
      </c>
      <c r="AL2315" s="122" t="n">
        <v>1</v>
      </c>
      <c r="AM2315" s="124">
        <f>IFERROR(AL2315/AA2315,"")</f>
        <v/>
      </c>
      <c r="AN2315" s="125">
        <f>IFERROR(R2315/AL2315,"")</f>
        <v/>
      </c>
      <c r="AO2315" s="122" t="n">
        <v>0</v>
      </c>
      <c r="AP2315" s="54">
        <f>IFERROR(AO2315/AL2315,"")</f>
        <v/>
      </c>
      <c r="AQ2315" s="125">
        <f>IFERROR(R2315/AO2315,"")</f>
        <v/>
      </c>
      <c r="AR2315" s="122" t="n">
        <v>3</v>
      </c>
      <c r="AS2315" s="122" t="n">
        <v>1</v>
      </c>
      <c r="AT2315" s="122">
        <f>AL2315+AR2315</f>
        <v/>
      </c>
      <c r="AU2315" s="125">
        <f>IFERROR(AO2315*Assumptions!$C$26*Assumptions!$C$27*INDEX(Assumptions!$C$18:$C$21,MATCH(H2315,Assumptions!$B$18:$B$21,0)),0)</f>
        <v/>
      </c>
    </row>
    <row r="2316">
      <c r="A2316" s="120" t="n">
        <v>46239</v>
      </c>
      <c r="B2316" s="66" t="inlineStr">
        <is>
          <t>Wk 32</t>
        </is>
      </c>
      <c r="C2316" s="66" t="inlineStr">
        <is>
          <t>Wed</t>
        </is>
      </c>
      <c r="D2316" s="66" t="inlineStr">
        <is>
          <t>Programmatic</t>
        </is>
      </c>
      <c r="E2316" s="66" t="inlineStr">
        <is>
          <t>DV360</t>
        </is>
      </c>
      <c r="F2316" s="66" t="inlineStr">
        <is>
          <t>LEP_ZA_AUG26_PROG_RMKT_DYNAMIC</t>
        </is>
      </c>
      <c r="G2316" s="66" t="inlineStr">
        <is>
          <t>Dynamic Retargeting</t>
        </is>
      </c>
      <c r="H2316" s="66" t="inlineStr">
        <is>
          <t>Range</t>
        </is>
      </c>
      <c r="I2316" s="66" t="inlineStr">
        <is>
          <t>Range Offer</t>
        </is>
      </c>
      <c r="J2316" s="66" t="inlineStr">
        <is>
          <t>PROG_DYN_RMKT_7D</t>
        </is>
      </c>
      <c r="K2316" s="66" t="inlineStr">
        <is>
          <t>Retargeting</t>
        </is>
      </c>
      <c r="L2316" s="66" t="inlineStr">
        <is>
          <t>PROG_DYN_160x600_ModelSeen_v1</t>
        </is>
      </c>
      <c r="M2316" s="66" t="inlineStr">
        <is>
          <t>Dynamic Display 160x600</t>
        </is>
      </c>
      <c r="N2316" s="66" t="inlineStr">
        <is>
          <t>Still thinking about it?</t>
        </is>
      </c>
      <c r="O2316" s="66" t="inlineStr">
        <is>
          <t>Auction - Lowest Cost</t>
        </is>
      </c>
      <c r="P2316" s="66" t="inlineStr">
        <is>
          <t>Conversions (CPA)</t>
        </is>
      </c>
      <c r="Q2316" s="66" t="inlineStr">
        <is>
          <t>https://www.lepas-sa.co.za/book-a-test-drive</t>
        </is>
      </c>
      <c r="R2316" s="121" t="n">
        <v>92.55</v>
      </c>
      <c r="S2316" s="122" t="n">
        <v>2382</v>
      </c>
      <c r="T2316" s="122" t="n">
        <v>1601</v>
      </c>
      <c r="U2316" s="123">
        <f>IFERROR(S2316/T2316,"")</f>
        <v/>
      </c>
      <c r="V2316" s="122" t="n">
        <v>17</v>
      </c>
      <c r="W2316" s="122" t="n">
        <v>13</v>
      </c>
      <c r="X2316" s="124">
        <f>IFERROR(W2316/S2316,"")</f>
        <v/>
      </c>
      <c r="Y2316" s="121">
        <f>IFERROR(R2316/W2316,"")</f>
        <v/>
      </c>
      <c r="Z2316" s="121">
        <f>IFERROR(R2316/S2316*1000,"")</f>
        <v/>
      </c>
      <c r="AA2316" s="122" t="n">
        <v>8</v>
      </c>
      <c r="AB2316" s="54">
        <f>IFERROR(AA2316/W2316,"")</f>
        <v/>
      </c>
      <c r="AC2316" s="122" t="n">
        <v>0</v>
      </c>
      <c r="AD2316" s="122" t="n">
        <v>0</v>
      </c>
      <c r="AE2316" s="122" t="n">
        <v>0</v>
      </c>
      <c r="AF2316" s="122" t="n">
        <v>0</v>
      </c>
      <c r="AG2316" s="122" t="n">
        <v>0</v>
      </c>
      <c r="AH2316" s="122" t="n">
        <v>0</v>
      </c>
      <c r="AI2316" s="54">
        <f>IFERROR(AC2316/S2316,"")</f>
        <v/>
      </c>
      <c r="AJ2316" s="54">
        <f>IFERROR(AH2316/S2316,"")</f>
        <v/>
      </c>
      <c r="AK2316" s="122" t="n">
        <v>6</v>
      </c>
      <c r="AL2316" s="122" t="n">
        <v>0</v>
      </c>
      <c r="AM2316" s="124">
        <f>IFERROR(AL2316/AA2316,"")</f>
        <v/>
      </c>
      <c r="AN2316" s="125">
        <f>IFERROR(R2316/AL2316,"")</f>
        <v/>
      </c>
      <c r="AO2316" s="122" t="n">
        <v>0</v>
      </c>
      <c r="AP2316" s="54">
        <f>IFERROR(AO2316/AL2316,"")</f>
        <v/>
      </c>
      <c r="AQ2316" s="125">
        <f>IFERROR(R2316/AO2316,"")</f>
        <v/>
      </c>
      <c r="AR2316" s="122" t="n">
        <v>0</v>
      </c>
      <c r="AS2316" s="122" t="n">
        <v>0</v>
      </c>
      <c r="AT2316" s="122">
        <f>AL2316+AR2316</f>
        <v/>
      </c>
      <c r="AU2316" s="125">
        <f>IFERROR(AO2316*Assumptions!$C$26*Assumptions!$C$27*INDEX(Assumptions!$C$18:$C$21,MATCH(H2316,Assumptions!$B$18:$B$21,0)),0)</f>
        <v/>
      </c>
    </row>
    <row r="2317">
      <c r="A2317" s="120" t="n">
        <v>46240</v>
      </c>
      <c r="B2317" s="66" t="inlineStr">
        <is>
          <t>Wk 32</t>
        </is>
      </c>
      <c r="C2317" s="66" t="inlineStr">
        <is>
          <t>Thu</t>
        </is>
      </c>
      <c r="D2317" s="66" t="inlineStr">
        <is>
          <t>Programmatic</t>
        </is>
      </c>
      <c r="E2317" s="66" t="inlineStr">
        <is>
          <t>DV360</t>
        </is>
      </c>
      <c r="F2317" s="66" t="inlineStr">
        <is>
          <t>LEP_ZA_AUG26_PROG_RMKT_DYNAMIC</t>
        </is>
      </c>
      <c r="G2317" s="66" t="inlineStr">
        <is>
          <t>Dynamic Retargeting</t>
        </is>
      </c>
      <c r="H2317" s="66" t="inlineStr">
        <is>
          <t>Range</t>
        </is>
      </c>
      <c r="I2317" s="66" t="inlineStr">
        <is>
          <t>Range Offer</t>
        </is>
      </c>
      <c r="J2317" s="66" t="inlineStr">
        <is>
          <t>PROG_DYN_RMKT_7D</t>
        </is>
      </c>
      <c r="K2317" s="66" t="inlineStr">
        <is>
          <t>Retargeting</t>
        </is>
      </c>
      <c r="L2317" s="66" t="inlineStr">
        <is>
          <t>PROG_DYN_160x600_ModelSeen_v1</t>
        </is>
      </c>
      <c r="M2317" s="66" t="inlineStr">
        <is>
          <t>Dynamic Display 160x600</t>
        </is>
      </c>
      <c r="N2317" s="66" t="inlineStr">
        <is>
          <t>Still thinking about it?</t>
        </is>
      </c>
      <c r="O2317" s="66" t="inlineStr">
        <is>
          <t>Auction - Lowest Cost</t>
        </is>
      </c>
      <c r="P2317" s="66" t="inlineStr">
        <is>
          <t>Conversions (CPA)</t>
        </is>
      </c>
      <c r="Q2317" s="66" t="inlineStr">
        <is>
          <t>https://www.lepas-sa.co.za/book-a-test-drive</t>
        </is>
      </c>
      <c r="R2317" s="121" t="n">
        <v>113.64</v>
      </c>
      <c r="S2317" s="122" t="n">
        <v>3597</v>
      </c>
      <c r="T2317" s="122" t="n">
        <v>1733</v>
      </c>
      <c r="U2317" s="123">
        <f>IFERROR(S2317/T2317,"")</f>
        <v/>
      </c>
      <c r="V2317" s="122" t="n">
        <v>19</v>
      </c>
      <c r="W2317" s="122" t="n">
        <v>15</v>
      </c>
      <c r="X2317" s="124">
        <f>IFERROR(W2317/S2317,"")</f>
        <v/>
      </c>
      <c r="Y2317" s="121">
        <f>IFERROR(R2317/W2317,"")</f>
        <v/>
      </c>
      <c r="Z2317" s="121">
        <f>IFERROR(R2317/S2317*1000,"")</f>
        <v/>
      </c>
      <c r="AA2317" s="122" t="n">
        <v>10</v>
      </c>
      <c r="AB2317" s="54">
        <f>IFERROR(AA2317/W2317,"")</f>
        <v/>
      </c>
      <c r="AC2317" s="122" t="n">
        <v>0</v>
      </c>
      <c r="AD2317" s="122" t="n">
        <v>0</v>
      </c>
      <c r="AE2317" s="122" t="n">
        <v>0</v>
      </c>
      <c r="AF2317" s="122" t="n">
        <v>0</v>
      </c>
      <c r="AG2317" s="122" t="n">
        <v>0</v>
      </c>
      <c r="AH2317" s="122" t="n">
        <v>0</v>
      </c>
      <c r="AI2317" s="54">
        <f>IFERROR(AC2317/S2317,"")</f>
        <v/>
      </c>
      <c r="AJ2317" s="54">
        <f>IFERROR(AH2317/S2317,"")</f>
        <v/>
      </c>
      <c r="AK2317" s="122" t="n">
        <v>8</v>
      </c>
      <c r="AL2317" s="122" t="n">
        <v>1</v>
      </c>
      <c r="AM2317" s="124">
        <f>IFERROR(AL2317/AA2317,"")</f>
        <v/>
      </c>
      <c r="AN2317" s="125">
        <f>IFERROR(R2317/AL2317,"")</f>
        <v/>
      </c>
      <c r="AO2317" s="122" t="n">
        <v>0</v>
      </c>
      <c r="AP2317" s="54">
        <f>IFERROR(AO2317/AL2317,"")</f>
        <v/>
      </c>
      <c r="AQ2317" s="125">
        <f>IFERROR(R2317/AO2317,"")</f>
        <v/>
      </c>
      <c r="AR2317" s="122" t="n">
        <v>2</v>
      </c>
      <c r="AS2317" s="122" t="n">
        <v>1</v>
      </c>
      <c r="AT2317" s="122">
        <f>AL2317+AR2317</f>
        <v/>
      </c>
      <c r="AU2317" s="125">
        <f>IFERROR(AO2317*Assumptions!$C$26*Assumptions!$C$27*INDEX(Assumptions!$C$18:$C$21,MATCH(H2317,Assumptions!$B$18:$B$21,0)),0)</f>
        <v/>
      </c>
    </row>
    <row r="2318">
      <c r="A2318" s="120" t="n">
        <v>46241</v>
      </c>
      <c r="B2318" s="66" t="inlineStr">
        <is>
          <t>Wk 32</t>
        </is>
      </c>
      <c r="C2318" s="66" t="inlineStr">
        <is>
          <t>Fri</t>
        </is>
      </c>
      <c r="D2318" s="66" t="inlineStr">
        <is>
          <t>Programmatic</t>
        </is>
      </c>
      <c r="E2318" s="66" t="inlineStr">
        <is>
          <t>DV360</t>
        </is>
      </c>
      <c r="F2318" s="66" t="inlineStr">
        <is>
          <t>LEP_ZA_AUG26_PROG_RMKT_DYNAMIC</t>
        </is>
      </c>
      <c r="G2318" s="66" t="inlineStr">
        <is>
          <t>Dynamic Retargeting</t>
        </is>
      </c>
      <c r="H2318" s="66" t="inlineStr">
        <is>
          <t>Range</t>
        </is>
      </c>
      <c r="I2318" s="66" t="inlineStr">
        <is>
          <t>Range Offer</t>
        </is>
      </c>
      <c r="J2318" s="66" t="inlineStr">
        <is>
          <t>PROG_DYN_RMKT_7D</t>
        </is>
      </c>
      <c r="K2318" s="66" t="inlineStr">
        <is>
          <t>Retargeting</t>
        </is>
      </c>
      <c r="L2318" s="66" t="inlineStr">
        <is>
          <t>PROG_DYN_160x600_ModelSeen_v1</t>
        </is>
      </c>
      <c r="M2318" s="66" t="inlineStr">
        <is>
          <t>Dynamic Display 160x600</t>
        </is>
      </c>
      <c r="N2318" s="66" t="inlineStr">
        <is>
          <t>Still thinking about it?</t>
        </is>
      </c>
      <c r="O2318" s="66" t="inlineStr">
        <is>
          <t>Auction - Lowest Cost</t>
        </is>
      </c>
      <c r="P2318" s="66" t="inlineStr">
        <is>
          <t>Conversions (CPA)</t>
        </is>
      </c>
      <c r="Q2318" s="66" t="inlineStr">
        <is>
          <t>https://www.lepas-sa.co.za/book-a-test-drive</t>
        </is>
      </c>
      <c r="R2318" s="121" t="n">
        <v>117.15</v>
      </c>
      <c r="S2318" s="122" t="n">
        <v>3167</v>
      </c>
      <c r="T2318" s="122" t="n">
        <v>1977</v>
      </c>
      <c r="U2318" s="123">
        <f>IFERROR(S2318/T2318,"")</f>
        <v/>
      </c>
      <c r="V2318" s="122" t="n">
        <v>13</v>
      </c>
      <c r="W2318" s="122" t="n">
        <v>11</v>
      </c>
      <c r="X2318" s="124">
        <f>IFERROR(W2318/S2318,"")</f>
        <v/>
      </c>
      <c r="Y2318" s="121">
        <f>IFERROR(R2318/W2318,"")</f>
        <v/>
      </c>
      <c r="Z2318" s="121">
        <f>IFERROR(R2318/S2318*1000,"")</f>
        <v/>
      </c>
      <c r="AA2318" s="122" t="n">
        <v>6</v>
      </c>
      <c r="AB2318" s="54">
        <f>IFERROR(AA2318/W2318,"")</f>
        <v/>
      </c>
      <c r="AC2318" s="122" t="n">
        <v>0</v>
      </c>
      <c r="AD2318" s="122" t="n">
        <v>0</v>
      </c>
      <c r="AE2318" s="122" t="n">
        <v>0</v>
      </c>
      <c r="AF2318" s="122" t="n">
        <v>0</v>
      </c>
      <c r="AG2318" s="122" t="n">
        <v>0</v>
      </c>
      <c r="AH2318" s="122" t="n">
        <v>0</v>
      </c>
      <c r="AI2318" s="54">
        <f>IFERROR(AC2318/S2318,"")</f>
        <v/>
      </c>
      <c r="AJ2318" s="54">
        <f>IFERROR(AH2318/S2318,"")</f>
        <v/>
      </c>
      <c r="AK2318" s="122" t="n">
        <v>4</v>
      </c>
      <c r="AL2318" s="122" t="n">
        <v>1</v>
      </c>
      <c r="AM2318" s="124">
        <f>IFERROR(AL2318/AA2318,"")</f>
        <v/>
      </c>
      <c r="AN2318" s="125">
        <f>IFERROR(R2318/AL2318,"")</f>
        <v/>
      </c>
      <c r="AO2318" s="122" t="n">
        <v>1</v>
      </c>
      <c r="AP2318" s="54">
        <f>IFERROR(AO2318/AL2318,"")</f>
        <v/>
      </c>
      <c r="AQ2318" s="125">
        <f>IFERROR(R2318/AO2318,"")</f>
        <v/>
      </c>
      <c r="AR2318" s="122" t="n">
        <v>3</v>
      </c>
      <c r="AS2318" s="122" t="n">
        <v>1</v>
      </c>
      <c r="AT2318" s="122">
        <f>AL2318+AR2318</f>
        <v/>
      </c>
      <c r="AU2318" s="125">
        <f>IFERROR(AO2318*Assumptions!$C$26*Assumptions!$C$27*INDEX(Assumptions!$C$18:$C$21,MATCH(H2318,Assumptions!$B$18:$B$21,0)),0)</f>
        <v/>
      </c>
    </row>
    <row r="2319">
      <c r="A2319" s="120" t="n">
        <v>46242</v>
      </c>
      <c r="B2319" s="66" t="inlineStr">
        <is>
          <t>Wk 32</t>
        </is>
      </c>
      <c r="C2319" s="66" t="inlineStr">
        <is>
          <t>Sat</t>
        </is>
      </c>
      <c r="D2319" s="66" t="inlineStr">
        <is>
          <t>Programmatic</t>
        </is>
      </c>
      <c r="E2319" s="66" t="inlineStr">
        <is>
          <t>DV360</t>
        </is>
      </c>
      <c r="F2319" s="66" t="inlineStr">
        <is>
          <t>LEP_ZA_AUG26_PROG_RMKT_DYNAMIC</t>
        </is>
      </c>
      <c r="G2319" s="66" t="inlineStr">
        <is>
          <t>Dynamic Retargeting</t>
        </is>
      </c>
      <c r="H2319" s="66" t="inlineStr">
        <is>
          <t>Range</t>
        </is>
      </c>
      <c r="I2319" s="66" t="inlineStr">
        <is>
          <t>Range Offer</t>
        </is>
      </c>
      <c r="J2319" s="66" t="inlineStr">
        <is>
          <t>PROG_DYN_RMKT_7D</t>
        </is>
      </c>
      <c r="K2319" s="66" t="inlineStr">
        <is>
          <t>Retargeting</t>
        </is>
      </c>
      <c r="L2319" s="66" t="inlineStr">
        <is>
          <t>PROG_DYN_160x600_ModelSeen_v1</t>
        </is>
      </c>
      <c r="M2319" s="66" t="inlineStr">
        <is>
          <t>Dynamic Display 160x600</t>
        </is>
      </c>
      <c r="N2319" s="66" t="inlineStr">
        <is>
          <t>Still thinking about it?</t>
        </is>
      </c>
      <c r="O2319" s="66" t="inlineStr">
        <is>
          <t>Auction - Lowest Cost</t>
        </is>
      </c>
      <c r="P2319" s="66" t="inlineStr">
        <is>
          <t>Conversions (CPA)</t>
        </is>
      </c>
      <c r="Q2319" s="66" t="inlineStr">
        <is>
          <t>https://www.lepas-sa.co.za/book-a-test-drive</t>
        </is>
      </c>
      <c r="R2319" s="121" t="n">
        <v>109.18</v>
      </c>
      <c r="S2319" s="122" t="n">
        <v>2824</v>
      </c>
      <c r="T2319" s="122" t="n">
        <v>1285</v>
      </c>
      <c r="U2319" s="123">
        <f>IFERROR(S2319/T2319,"")</f>
        <v/>
      </c>
      <c r="V2319" s="122" t="n">
        <v>12</v>
      </c>
      <c r="W2319" s="122" t="n">
        <v>9</v>
      </c>
      <c r="X2319" s="124">
        <f>IFERROR(W2319/S2319,"")</f>
        <v/>
      </c>
      <c r="Y2319" s="121">
        <f>IFERROR(R2319/W2319,"")</f>
        <v/>
      </c>
      <c r="Z2319" s="121">
        <f>IFERROR(R2319/S2319*1000,"")</f>
        <v/>
      </c>
      <c r="AA2319" s="122" t="n">
        <v>6</v>
      </c>
      <c r="AB2319" s="54">
        <f>IFERROR(AA2319/W2319,"")</f>
        <v/>
      </c>
      <c r="AC2319" s="122" t="n">
        <v>0</v>
      </c>
      <c r="AD2319" s="122" t="n">
        <v>0</v>
      </c>
      <c r="AE2319" s="122" t="n">
        <v>0</v>
      </c>
      <c r="AF2319" s="122" t="n">
        <v>0</v>
      </c>
      <c r="AG2319" s="122" t="n">
        <v>0</v>
      </c>
      <c r="AH2319" s="122" t="n">
        <v>0</v>
      </c>
      <c r="AI2319" s="54">
        <f>IFERROR(AC2319/S2319,"")</f>
        <v/>
      </c>
      <c r="AJ2319" s="54">
        <f>IFERROR(AH2319/S2319,"")</f>
        <v/>
      </c>
      <c r="AK2319" s="122" t="n">
        <v>8</v>
      </c>
      <c r="AL2319" s="122" t="n">
        <v>0</v>
      </c>
      <c r="AM2319" s="124">
        <f>IFERROR(AL2319/AA2319,"")</f>
        <v/>
      </c>
      <c r="AN2319" s="125">
        <f>IFERROR(R2319/AL2319,"")</f>
        <v/>
      </c>
      <c r="AO2319" s="122" t="n">
        <v>0</v>
      </c>
      <c r="AP2319" s="54">
        <f>IFERROR(AO2319/AL2319,"")</f>
        <v/>
      </c>
      <c r="AQ2319" s="125">
        <f>IFERROR(R2319/AO2319,"")</f>
        <v/>
      </c>
      <c r="AR2319" s="122" t="n">
        <v>0</v>
      </c>
      <c r="AS2319" s="122" t="n">
        <v>0</v>
      </c>
      <c r="AT2319" s="122">
        <f>AL2319+AR2319</f>
        <v/>
      </c>
      <c r="AU2319" s="125">
        <f>IFERROR(AO2319*Assumptions!$C$26*Assumptions!$C$27*INDEX(Assumptions!$C$18:$C$21,MATCH(H2319,Assumptions!$B$18:$B$21,0)),0)</f>
        <v/>
      </c>
    </row>
    <row r="2320">
      <c r="A2320" s="120" t="n">
        <v>46243</v>
      </c>
      <c r="B2320" s="66" t="inlineStr">
        <is>
          <t>Wk 32</t>
        </is>
      </c>
      <c r="C2320" s="66" t="inlineStr">
        <is>
          <t>Sun</t>
        </is>
      </c>
      <c r="D2320" s="66" t="inlineStr">
        <is>
          <t>Programmatic</t>
        </is>
      </c>
      <c r="E2320" s="66" t="inlineStr">
        <is>
          <t>DV360</t>
        </is>
      </c>
      <c r="F2320" s="66" t="inlineStr">
        <is>
          <t>LEP_ZA_AUG26_PROG_RMKT_DYNAMIC</t>
        </is>
      </c>
      <c r="G2320" s="66" t="inlineStr">
        <is>
          <t>Dynamic Retargeting</t>
        </is>
      </c>
      <c r="H2320" s="66" t="inlineStr">
        <is>
          <t>Range</t>
        </is>
      </c>
      <c r="I2320" s="66" t="inlineStr">
        <is>
          <t>Range Offer</t>
        </is>
      </c>
      <c r="J2320" s="66" t="inlineStr">
        <is>
          <t>PROG_DYN_RMKT_7D</t>
        </is>
      </c>
      <c r="K2320" s="66" t="inlineStr">
        <is>
          <t>Retargeting</t>
        </is>
      </c>
      <c r="L2320" s="66" t="inlineStr">
        <is>
          <t>PROG_DYN_160x600_ModelSeen_v1</t>
        </is>
      </c>
      <c r="M2320" s="66" t="inlineStr">
        <is>
          <t>Dynamic Display 160x600</t>
        </is>
      </c>
      <c r="N2320" s="66" t="inlineStr">
        <is>
          <t>Still thinking about it?</t>
        </is>
      </c>
      <c r="O2320" s="66" t="inlineStr">
        <is>
          <t>Auction - Lowest Cost</t>
        </is>
      </c>
      <c r="P2320" s="66" t="inlineStr">
        <is>
          <t>Conversions (CPA)</t>
        </is>
      </c>
      <c r="Q2320" s="66" t="inlineStr">
        <is>
          <t>https://www.lepas-sa.co.za/book-a-test-drive</t>
        </is>
      </c>
      <c r="R2320" s="121" t="n">
        <v>78.83</v>
      </c>
      <c r="S2320" s="122" t="n">
        <v>2065</v>
      </c>
      <c r="T2320" s="122" t="n">
        <v>884</v>
      </c>
      <c r="U2320" s="123">
        <f>IFERROR(S2320/T2320,"")</f>
        <v/>
      </c>
      <c r="V2320" s="122" t="n">
        <v>14</v>
      </c>
      <c r="W2320" s="122" t="n">
        <v>12</v>
      </c>
      <c r="X2320" s="124">
        <f>IFERROR(W2320/S2320,"")</f>
        <v/>
      </c>
      <c r="Y2320" s="121">
        <f>IFERROR(R2320/W2320,"")</f>
        <v/>
      </c>
      <c r="Z2320" s="121">
        <f>IFERROR(R2320/S2320*1000,"")</f>
        <v/>
      </c>
      <c r="AA2320" s="122" t="n">
        <v>9</v>
      </c>
      <c r="AB2320" s="54">
        <f>IFERROR(AA2320/W2320,"")</f>
        <v/>
      </c>
      <c r="AC2320" s="122" t="n">
        <v>0</v>
      </c>
      <c r="AD2320" s="122" t="n">
        <v>0</v>
      </c>
      <c r="AE2320" s="122" t="n">
        <v>0</v>
      </c>
      <c r="AF2320" s="122" t="n">
        <v>0</v>
      </c>
      <c r="AG2320" s="122" t="n">
        <v>0</v>
      </c>
      <c r="AH2320" s="122" t="n">
        <v>0</v>
      </c>
      <c r="AI2320" s="54">
        <f>IFERROR(AC2320/S2320,"")</f>
        <v/>
      </c>
      <c r="AJ2320" s="54">
        <f>IFERROR(AH2320/S2320,"")</f>
        <v/>
      </c>
      <c r="AK2320" s="122" t="n">
        <v>6</v>
      </c>
      <c r="AL2320" s="122" t="n">
        <v>1</v>
      </c>
      <c r="AM2320" s="124">
        <f>IFERROR(AL2320/AA2320,"")</f>
        <v/>
      </c>
      <c r="AN2320" s="125">
        <f>IFERROR(R2320/AL2320,"")</f>
        <v/>
      </c>
      <c r="AO2320" s="122" t="n">
        <v>1</v>
      </c>
      <c r="AP2320" s="54">
        <f>IFERROR(AO2320/AL2320,"")</f>
        <v/>
      </c>
      <c r="AQ2320" s="125">
        <f>IFERROR(R2320/AO2320,"")</f>
        <v/>
      </c>
      <c r="AR2320" s="122" t="n">
        <v>3</v>
      </c>
      <c r="AS2320" s="122" t="n">
        <v>1</v>
      </c>
      <c r="AT2320" s="122">
        <f>AL2320+AR2320</f>
        <v/>
      </c>
      <c r="AU2320" s="125">
        <f>IFERROR(AO2320*Assumptions!$C$26*Assumptions!$C$27*INDEX(Assumptions!$C$18:$C$21,MATCH(H2320,Assumptions!$B$18:$B$21,0)),0)</f>
        <v/>
      </c>
    </row>
    <row r="2321">
      <c r="A2321" s="120" t="n">
        <v>46244</v>
      </c>
      <c r="B2321" s="66" t="inlineStr">
        <is>
          <t>Wk 33</t>
        </is>
      </c>
      <c r="C2321" s="66" t="inlineStr">
        <is>
          <t>Mon</t>
        </is>
      </c>
      <c r="D2321" s="66" t="inlineStr">
        <is>
          <t>Programmatic</t>
        </is>
      </c>
      <c r="E2321" s="66" t="inlineStr">
        <is>
          <t>DV360</t>
        </is>
      </c>
      <c r="F2321" s="66" t="inlineStr">
        <is>
          <t>LEP_ZA_AUG26_PROG_RMKT_DYNAMIC</t>
        </is>
      </c>
      <c r="G2321" s="66" t="inlineStr">
        <is>
          <t>Dynamic Retargeting</t>
        </is>
      </c>
      <c r="H2321" s="66" t="inlineStr">
        <is>
          <t>Range</t>
        </is>
      </c>
      <c r="I2321" s="66" t="inlineStr">
        <is>
          <t>Range Offer</t>
        </is>
      </c>
      <c r="J2321" s="66" t="inlineStr">
        <is>
          <t>PROG_DYN_RMKT_7D</t>
        </is>
      </c>
      <c r="K2321" s="66" t="inlineStr">
        <is>
          <t>Retargeting</t>
        </is>
      </c>
      <c r="L2321" s="66" t="inlineStr">
        <is>
          <t>PROG_DYN_160x600_ModelSeen_v1</t>
        </is>
      </c>
      <c r="M2321" s="66" t="inlineStr">
        <is>
          <t>Dynamic Display 160x600</t>
        </is>
      </c>
      <c r="N2321" s="66" t="inlineStr">
        <is>
          <t>Still thinking about it?</t>
        </is>
      </c>
      <c r="O2321" s="66" t="inlineStr">
        <is>
          <t>Auction - Lowest Cost</t>
        </is>
      </c>
      <c r="P2321" s="66" t="inlineStr">
        <is>
          <t>Conversions (CPA)</t>
        </is>
      </c>
      <c r="Q2321" s="66" t="inlineStr">
        <is>
          <t>https://www.lepas-sa.co.za/book-a-test-drive</t>
        </is>
      </c>
      <c r="R2321" s="121" t="n">
        <v>116.15</v>
      </c>
      <c r="S2321" s="122" t="n">
        <v>2984</v>
      </c>
      <c r="T2321" s="122" t="n">
        <v>1589</v>
      </c>
      <c r="U2321" s="123">
        <f>IFERROR(S2321/T2321,"")</f>
        <v/>
      </c>
      <c r="V2321" s="122" t="n">
        <v>10</v>
      </c>
      <c r="W2321" s="122" t="n">
        <v>8</v>
      </c>
      <c r="X2321" s="124">
        <f>IFERROR(W2321/S2321,"")</f>
        <v/>
      </c>
      <c r="Y2321" s="121">
        <f>IFERROR(R2321/W2321,"")</f>
        <v/>
      </c>
      <c r="Z2321" s="121">
        <f>IFERROR(R2321/S2321*1000,"")</f>
        <v/>
      </c>
      <c r="AA2321" s="122" t="n">
        <v>5</v>
      </c>
      <c r="AB2321" s="54">
        <f>IFERROR(AA2321/W2321,"")</f>
        <v/>
      </c>
      <c r="AC2321" s="122" t="n">
        <v>0</v>
      </c>
      <c r="AD2321" s="122" t="n">
        <v>0</v>
      </c>
      <c r="AE2321" s="122" t="n">
        <v>0</v>
      </c>
      <c r="AF2321" s="122" t="n">
        <v>0</v>
      </c>
      <c r="AG2321" s="122" t="n">
        <v>0</v>
      </c>
      <c r="AH2321" s="122" t="n">
        <v>0</v>
      </c>
      <c r="AI2321" s="54">
        <f>IFERROR(AC2321/S2321,"")</f>
        <v/>
      </c>
      <c r="AJ2321" s="54">
        <f>IFERROR(AH2321/S2321,"")</f>
        <v/>
      </c>
      <c r="AK2321" s="122" t="n">
        <v>15</v>
      </c>
      <c r="AL2321" s="122" t="n">
        <v>0</v>
      </c>
      <c r="AM2321" s="124">
        <f>IFERROR(AL2321/AA2321,"")</f>
        <v/>
      </c>
      <c r="AN2321" s="125">
        <f>IFERROR(R2321/AL2321,"")</f>
        <v/>
      </c>
      <c r="AO2321" s="122" t="n">
        <v>0</v>
      </c>
      <c r="AP2321" s="54">
        <f>IFERROR(AO2321/AL2321,"")</f>
        <v/>
      </c>
      <c r="AQ2321" s="125">
        <f>IFERROR(R2321/AO2321,"")</f>
        <v/>
      </c>
      <c r="AR2321" s="122" t="n">
        <v>0</v>
      </c>
      <c r="AS2321" s="122" t="n">
        <v>0</v>
      </c>
      <c r="AT2321" s="122">
        <f>AL2321+AR2321</f>
        <v/>
      </c>
      <c r="AU2321" s="125">
        <f>IFERROR(AO2321*Assumptions!$C$26*Assumptions!$C$27*INDEX(Assumptions!$C$18:$C$21,MATCH(H2321,Assumptions!$B$18:$B$21,0)),0)</f>
        <v/>
      </c>
    </row>
    <row r="2322">
      <c r="A2322" s="120" t="n">
        <v>46245</v>
      </c>
      <c r="B2322" s="66" t="inlineStr">
        <is>
          <t>Wk 33</t>
        </is>
      </c>
      <c r="C2322" s="66" t="inlineStr">
        <is>
          <t>Tue</t>
        </is>
      </c>
      <c r="D2322" s="66" t="inlineStr">
        <is>
          <t>Programmatic</t>
        </is>
      </c>
      <c r="E2322" s="66" t="inlineStr">
        <is>
          <t>DV360</t>
        </is>
      </c>
      <c r="F2322" s="66" t="inlineStr">
        <is>
          <t>LEP_ZA_AUG26_PROG_RMKT_DYNAMIC</t>
        </is>
      </c>
      <c r="G2322" s="66" t="inlineStr">
        <is>
          <t>Dynamic Retargeting</t>
        </is>
      </c>
      <c r="H2322" s="66" t="inlineStr">
        <is>
          <t>Range</t>
        </is>
      </c>
      <c r="I2322" s="66" t="inlineStr">
        <is>
          <t>Range Offer</t>
        </is>
      </c>
      <c r="J2322" s="66" t="inlineStr">
        <is>
          <t>PROG_DYN_RMKT_7D</t>
        </is>
      </c>
      <c r="K2322" s="66" t="inlineStr">
        <is>
          <t>Retargeting</t>
        </is>
      </c>
      <c r="L2322" s="66" t="inlineStr">
        <is>
          <t>PROG_DYN_160x600_ModelSeen_v1</t>
        </is>
      </c>
      <c r="M2322" s="66" t="inlineStr">
        <is>
          <t>Dynamic Display 160x600</t>
        </is>
      </c>
      <c r="N2322" s="66" t="inlineStr">
        <is>
          <t>Still thinking about it?</t>
        </is>
      </c>
      <c r="O2322" s="66" t="inlineStr">
        <is>
          <t>Auction - Lowest Cost</t>
        </is>
      </c>
      <c r="P2322" s="66" t="inlineStr">
        <is>
          <t>Conversions (CPA)</t>
        </is>
      </c>
      <c r="Q2322" s="66" t="inlineStr">
        <is>
          <t>https://www.lepas-sa.co.za/book-a-test-drive</t>
        </is>
      </c>
      <c r="R2322" s="121" t="n">
        <v>88.69</v>
      </c>
      <c r="S2322" s="122" t="n">
        <v>2822</v>
      </c>
      <c r="T2322" s="122" t="n">
        <v>1806</v>
      </c>
      <c r="U2322" s="123">
        <f>IFERROR(S2322/T2322,"")</f>
        <v/>
      </c>
      <c r="V2322" s="122" t="n">
        <v>18</v>
      </c>
      <c r="W2322" s="122" t="n">
        <v>14</v>
      </c>
      <c r="X2322" s="124">
        <f>IFERROR(W2322/S2322,"")</f>
        <v/>
      </c>
      <c r="Y2322" s="121">
        <f>IFERROR(R2322/W2322,"")</f>
        <v/>
      </c>
      <c r="Z2322" s="121">
        <f>IFERROR(R2322/S2322*1000,"")</f>
        <v/>
      </c>
      <c r="AA2322" s="122" t="n">
        <v>9</v>
      </c>
      <c r="AB2322" s="54">
        <f>IFERROR(AA2322/W2322,"")</f>
        <v/>
      </c>
      <c r="AC2322" s="122" t="n">
        <v>0</v>
      </c>
      <c r="AD2322" s="122" t="n">
        <v>0</v>
      </c>
      <c r="AE2322" s="122" t="n">
        <v>0</v>
      </c>
      <c r="AF2322" s="122" t="n">
        <v>0</v>
      </c>
      <c r="AG2322" s="122" t="n">
        <v>0</v>
      </c>
      <c r="AH2322" s="122" t="n">
        <v>0</v>
      </c>
      <c r="AI2322" s="54">
        <f>IFERROR(AC2322/S2322,"")</f>
        <v/>
      </c>
      <c r="AJ2322" s="54">
        <f>IFERROR(AH2322/S2322,"")</f>
        <v/>
      </c>
      <c r="AK2322" s="122" t="n">
        <v>12</v>
      </c>
      <c r="AL2322" s="122" t="n">
        <v>0</v>
      </c>
      <c r="AM2322" s="124">
        <f>IFERROR(AL2322/AA2322,"")</f>
        <v/>
      </c>
      <c r="AN2322" s="125">
        <f>IFERROR(R2322/AL2322,"")</f>
        <v/>
      </c>
      <c r="AO2322" s="122" t="n">
        <v>0</v>
      </c>
      <c r="AP2322" s="54">
        <f>IFERROR(AO2322/AL2322,"")</f>
        <v/>
      </c>
      <c r="AQ2322" s="125">
        <f>IFERROR(R2322/AO2322,"")</f>
        <v/>
      </c>
      <c r="AR2322" s="122" t="n">
        <v>0</v>
      </c>
      <c r="AS2322" s="122" t="n">
        <v>0</v>
      </c>
      <c r="AT2322" s="122">
        <f>AL2322+AR2322</f>
        <v/>
      </c>
      <c r="AU2322" s="125">
        <f>IFERROR(AO2322*Assumptions!$C$26*Assumptions!$C$27*INDEX(Assumptions!$C$18:$C$21,MATCH(H2322,Assumptions!$B$18:$B$21,0)),0)</f>
        <v/>
      </c>
    </row>
    <row r="2323">
      <c r="A2323" s="120" t="n">
        <v>46246</v>
      </c>
      <c r="B2323" s="66" t="inlineStr">
        <is>
          <t>Wk 33</t>
        </is>
      </c>
      <c r="C2323" s="66" t="inlineStr">
        <is>
          <t>Wed</t>
        </is>
      </c>
      <c r="D2323" s="66" t="inlineStr">
        <is>
          <t>Programmatic</t>
        </is>
      </c>
      <c r="E2323" s="66" t="inlineStr">
        <is>
          <t>DV360</t>
        </is>
      </c>
      <c r="F2323" s="66" t="inlineStr">
        <is>
          <t>LEP_ZA_AUG26_PROG_RMKT_DYNAMIC</t>
        </is>
      </c>
      <c r="G2323" s="66" t="inlineStr">
        <is>
          <t>Dynamic Retargeting</t>
        </is>
      </c>
      <c r="H2323" s="66" t="inlineStr">
        <is>
          <t>Range</t>
        </is>
      </c>
      <c r="I2323" s="66" t="inlineStr">
        <is>
          <t>Range Offer</t>
        </is>
      </c>
      <c r="J2323" s="66" t="inlineStr">
        <is>
          <t>PROG_DYN_RMKT_7D</t>
        </is>
      </c>
      <c r="K2323" s="66" t="inlineStr">
        <is>
          <t>Retargeting</t>
        </is>
      </c>
      <c r="L2323" s="66" t="inlineStr">
        <is>
          <t>PROG_DYN_160x600_ModelSeen_v1</t>
        </is>
      </c>
      <c r="M2323" s="66" t="inlineStr">
        <is>
          <t>Dynamic Display 160x600</t>
        </is>
      </c>
      <c r="N2323" s="66" t="inlineStr">
        <is>
          <t>Still thinking about it?</t>
        </is>
      </c>
      <c r="O2323" s="66" t="inlineStr">
        <is>
          <t>Auction - Lowest Cost</t>
        </is>
      </c>
      <c r="P2323" s="66" t="inlineStr">
        <is>
          <t>Conversions (CPA)</t>
        </is>
      </c>
      <c r="Q2323" s="66" t="inlineStr">
        <is>
          <t>https://www.lepas-sa.co.za/book-a-test-drive</t>
        </is>
      </c>
      <c r="R2323" s="121" t="n">
        <v>109.59</v>
      </c>
      <c r="S2323" s="122" t="n">
        <v>2861</v>
      </c>
      <c r="T2323" s="122" t="n">
        <v>2051</v>
      </c>
      <c r="U2323" s="123">
        <f>IFERROR(S2323/T2323,"")</f>
        <v/>
      </c>
      <c r="V2323" s="122" t="n">
        <v>6</v>
      </c>
      <c r="W2323" s="122" t="n">
        <v>5</v>
      </c>
      <c r="X2323" s="124">
        <f>IFERROR(W2323/S2323,"")</f>
        <v/>
      </c>
      <c r="Y2323" s="121">
        <f>IFERROR(R2323/W2323,"")</f>
        <v/>
      </c>
      <c r="Z2323" s="121">
        <f>IFERROR(R2323/S2323*1000,"")</f>
        <v/>
      </c>
      <c r="AA2323" s="122" t="n">
        <v>3</v>
      </c>
      <c r="AB2323" s="54">
        <f>IFERROR(AA2323/W2323,"")</f>
        <v/>
      </c>
      <c r="AC2323" s="122" t="n">
        <v>0</v>
      </c>
      <c r="AD2323" s="122" t="n">
        <v>0</v>
      </c>
      <c r="AE2323" s="122" t="n">
        <v>0</v>
      </c>
      <c r="AF2323" s="122" t="n">
        <v>0</v>
      </c>
      <c r="AG2323" s="122" t="n">
        <v>0</v>
      </c>
      <c r="AH2323" s="122" t="n">
        <v>0</v>
      </c>
      <c r="AI2323" s="54">
        <f>IFERROR(AC2323/S2323,"")</f>
        <v/>
      </c>
      <c r="AJ2323" s="54">
        <f>IFERROR(AH2323/S2323,"")</f>
        <v/>
      </c>
      <c r="AK2323" s="122" t="n">
        <v>17</v>
      </c>
      <c r="AL2323" s="122" t="n">
        <v>0</v>
      </c>
      <c r="AM2323" s="124">
        <f>IFERROR(AL2323/AA2323,"")</f>
        <v/>
      </c>
      <c r="AN2323" s="125">
        <f>IFERROR(R2323/AL2323,"")</f>
        <v/>
      </c>
      <c r="AO2323" s="122" t="n">
        <v>0</v>
      </c>
      <c r="AP2323" s="54">
        <f>IFERROR(AO2323/AL2323,"")</f>
        <v/>
      </c>
      <c r="AQ2323" s="125">
        <f>IFERROR(R2323/AO2323,"")</f>
        <v/>
      </c>
      <c r="AR2323" s="122" t="n">
        <v>0</v>
      </c>
      <c r="AS2323" s="122" t="n">
        <v>0</v>
      </c>
      <c r="AT2323" s="122">
        <f>AL2323+AR2323</f>
        <v/>
      </c>
      <c r="AU2323" s="125">
        <f>IFERROR(AO2323*Assumptions!$C$26*Assumptions!$C$27*INDEX(Assumptions!$C$18:$C$21,MATCH(H2323,Assumptions!$B$18:$B$21,0)),0)</f>
        <v/>
      </c>
    </row>
    <row r="2324">
      <c r="A2324" s="120" t="n">
        <v>46247</v>
      </c>
      <c r="B2324" s="66" t="inlineStr">
        <is>
          <t>Wk 33</t>
        </is>
      </c>
      <c r="C2324" s="66" t="inlineStr">
        <is>
          <t>Thu</t>
        </is>
      </c>
      <c r="D2324" s="66" t="inlineStr">
        <is>
          <t>Programmatic</t>
        </is>
      </c>
      <c r="E2324" s="66" t="inlineStr">
        <is>
          <t>DV360</t>
        </is>
      </c>
      <c r="F2324" s="66" t="inlineStr">
        <is>
          <t>LEP_ZA_AUG26_PROG_RMKT_DYNAMIC</t>
        </is>
      </c>
      <c r="G2324" s="66" t="inlineStr">
        <is>
          <t>Dynamic Retargeting</t>
        </is>
      </c>
      <c r="H2324" s="66" t="inlineStr">
        <is>
          <t>Range</t>
        </is>
      </c>
      <c r="I2324" s="66" t="inlineStr">
        <is>
          <t>Range Offer</t>
        </is>
      </c>
      <c r="J2324" s="66" t="inlineStr">
        <is>
          <t>PROG_DYN_RMKT_7D</t>
        </is>
      </c>
      <c r="K2324" s="66" t="inlineStr">
        <is>
          <t>Retargeting</t>
        </is>
      </c>
      <c r="L2324" s="66" t="inlineStr">
        <is>
          <t>PROG_DYN_160x600_ModelSeen_v1</t>
        </is>
      </c>
      <c r="M2324" s="66" t="inlineStr">
        <is>
          <t>Dynamic Display 160x600</t>
        </is>
      </c>
      <c r="N2324" s="66" t="inlineStr">
        <is>
          <t>Still thinking about it?</t>
        </is>
      </c>
      <c r="O2324" s="66" t="inlineStr">
        <is>
          <t>Auction - Lowest Cost</t>
        </is>
      </c>
      <c r="P2324" s="66" t="inlineStr">
        <is>
          <t>Conversions (CPA)</t>
        </is>
      </c>
      <c r="Q2324" s="66" t="inlineStr">
        <is>
          <t>https://www.lepas-sa.co.za/book-a-test-drive</t>
        </is>
      </c>
      <c r="R2324" s="121" t="n">
        <v>102.53</v>
      </c>
      <c r="S2324" s="122" t="n">
        <v>3440</v>
      </c>
      <c r="T2324" s="122" t="n">
        <v>1463</v>
      </c>
      <c r="U2324" s="123">
        <f>IFERROR(S2324/T2324,"")</f>
        <v/>
      </c>
      <c r="V2324" s="122" t="n">
        <v>24</v>
      </c>
      <c r="W2324" s="122" t="n">
        <v>17</v>
      </c>
      <c r="X2324" s="124">
        <f>IFERROR(W2324/S2324,"")</f>
        <v/>
      </c>
      <c r="Y2324" s="121">
        <f>IFERROR(R2324/W2324,"")</f>
        <v/>
      </c>
      <c r="Z2324" s="121">
        <f>IFERROR(R2324/S2324*1000,"")</f>
        <v/>
      </c>
      <c r="AA2324" s="122" t="n">
        <v>10</v>
      </c>
      <c r="AB2324" s="54">
        <f>IFERROR(AA2324/W2324,"")</f>
        <v/>
      </c>
      <c r="AC2324" s="122" t="n">
        <v>0</v>
      </c>
      <c r="AD2324" s="122" t="n">
        <v>0</v>
      </c>
      <c r="AE2324" s="122" t="n">
        <v>0</v>
      </c>
      <c r="AF2324" s="122" t="n">
        <v>0</v>
      </c>
      <c r="AG2324" s="122" t="n">
        <v>0</v>
      </c>
      <c r="AH2324" s="122" t="n">
        <v>0</v>
      </c>
      <c r="AI2324" s="54">
        <f>IFERROR(AC2324/S2324,"")</f>
        <v/>
      </c>
      <c r="AJ2324" s="54">
        <f>IFERROR(AH2324/S2324,"")</f>
        <v/>
      </c>
      <c r="AK2324" s="122" t="n">
        <v>20</v>
      </c>
      <c r="AL2324" s="122" t="n">
        <v>1</v>
      </c>
      <c r="AM2324" s="124">
        <f>IFERROR(AL2324/AA2324,"")</f>
        <v/>
      </c>
      <c r="AN2324" s="125">
        <f>IFERROR(R2324/AL2324,"")</f>
        <v/>
      </c>
      <c r="AO2324" s="122" t="n">
        <v>0</v>
      </c>
      <c r="AP2324" s="54">
        <f>IFERROR(AO2324/AL2324,"")</f>
        <v/>
      </c>
      <c r="AQ2324" s="125">
        <f>IFERROR(R2324/AO2324,"")</f>
        <v/>
      </c>
      <c r="AR2324" s="122" t="n">
        <v>2</v>
      </c>
      <c r="AS2324" s="122" t="n">
        <v>1</v>
      </c>
      <c r="AT2324" s="122">
        <f>AL2324+AR2324</f>
        <v/>
      </c>
      <c r="AU2324" s="125">
        <f>IFERROR(AO2324*Assumptions!$C$26*Assumptions!$C$27*INDEX(Assumptions!$C$18:$C$21,MATCH(H2324,Assumptions!$B$18:$B$21,0)),0)</f>
        <v/>
      </c>
    </row>
    <row r="2325">
      <c r="A2325" s="120" t="n">
        <v>46248</v>
      </c>
      <c r="B2325" s="66" t="inlineStr">
        <is>
          <t>Wk 33</t>
        </is>
      </c>
      <c r="C2325" s="66" t="inlineStr">
        <is>
          <t>Fri</t>
        </is>
      </c>
      <c r="D2325" s="66" t="inlineStr">
        <is>
          <t>Programmatic</t>
        </is>
      </c>
      <c r="E2325" s="66" t="inlineStr">
        <is>
          <t>DV360</t>
        </is>
      </c>
      <c r="F2325" s="66" t="inlineStr">
        <is>
          <t>LEP_ZA_AUG26_PROG_RMKT_DYNAMIC</t>
        </is>
      </c>
      <c r="G2325" s="66" t="inlineStr">
        <is>
          <t>Dynamic Retargeting</t>
        </is>
      </c>
      <c r="H2325" s="66" t="inlineStr">
        <is>
          <t>Range</t>
        </is>
      </c>
      <c r="I2325" s="66" t="inlineStr">
        <is>
          <t>Range Offer</t>
        </is>
      </c>
      <c r="J2325" s="66" t="inlineStr">
        <is>
          <t>PROG_DYN_RMKT_7D</t>
        </is>
      </c>
      <c r="K2325" s="66" t="inlineStr">
        <is>
          <t>Retargeting</t>
        </is>
      </c>
      <c r="L2325" s="66" t="inlineStr">
        <is>
          <t>PROG_DYN_160x600_ModelSeen_v1</t>
        </is>
      </c>
      <c r="M2325" s="66" t="inlineStr">
        <is>
          <t>Dynamic Display 160x600</t>
        </is>
      </c>
      <c r="N2325" s="66" t="inlineStr">
        <is>
          <t>Still thinking about it?</t>
        </is>
      </c>
      <c r="O2325" s="66" t="inlineStr">
        <is>
          <t>Auction - Lowest Cost</t>
        </is>
      </c>
      <c r="P2325" s="66" t="inlineStr">
        <is>
          <t>Conversions (CPA)</t>
        </is>
      </c>
      <c r="Q2325" s="66" t="inlineStr">
        <is>
          <t>https://www.lepas-sa.co.za/book-a-test-drive</t>
        </is>
      </c>
      <c r="R2325" s="121" t="n">
        <v>113.53</v>
      </c>
      <c r="S2325" s="122" t="n">
        <v>2899</v>
      </c>
      <c r="T2325" s="122" t="n">
        <v>1700</v>
      </c>
      <c r="U2325" s="123">
        <f>IFERROR(S2325/T2325,"")</f>
        <v/>
      </c>
      <c r="V2325" s="122" t="n">
        <v>10</v>
      </c>
      <c r="W2325" s="122" t="n">
        <v>8</v>
      </c>
      <c r="X2325" s="124">
        <f>IFERROR(W2325/S2325,"")</f>
        <v/>
      </c>
      <c r="Y2325" s="121">
        <f>IFERROR(R2325/W2325,"")</f>
        <v/>
      </c>
      <c r="Z2325" s="121">
        <f>IFERROR(R2325/S2325*1000,"")</f>
        <v/>
      </c>
      <c r="AA2325" s="122" t="n">
        <v>5</v>
      </c>
      <c r="AB2325" s="54">
        <f>IFERROR(AA2325/W2325,"")</f>
        <v/>
      </c>
      <c r="AC2325" s="122" t="n">
        <v>0</v>
      </c>
      <c r="AD2325" s="122" t="n">
        <v>0</v>
      </c>
      <c r="AE2325" s="122" t="n">
        <v>0</v>
      </c>
      <c r="AF2325" s="122" t="n">
        <v>0</v>
      </c>
      <c r="AG2325" s="122" t="n">
        <v>0</v>
      </c>
      <c r="AH2325" s="122" t="n">
        <v>0</v>
      </c>
      <c r="AI2325" s="54">
        <f>IFERROR(AC2325/S2325,"")</f>
        <v/>
      </c>
      <c r="AJ2325" s="54">
        <f>IFERROR(AH2325/S2325,"")</f>
        <v/>
      </c>
      <c r="AK2325" s="122" t="n">
        <v>13</v>
      </c>
      <c r="AL2325" s="122" t="n">
        <v>0</v>
      </c>
      <c r="AM2325" s="124">
        <f>IFERROR(AL2325/AA2325,"")</f>
        <v/>
      </c>
      <c r="AN2325" s="125">
        <f>IFERROR(R2325/AL2325,"")</f>
        <v/>
      </c>
      <c r="AO2325" s="122" t="n">
        <v>0</v>
      </c>
      <c r="AP2325" s="54">
        <f>IFERROR(AO2325/AL2325,"")</f>
        <v/>
      </c>
      <c r="AQ2325" s="125">
        <f>IFERROR(R2325/AO2325,"")</f>
        <v/>
      </c>
      <c r="AR2325" s="122" t="n">
        <v>0</v>
      </c>
      <c r="AS2325" s="122" t="n">
        <v>0</v>
      </c>
      <c r="AT2325" s="122">
        <f>AL2325+AR2325</f>
        <v/>
      </c>
      <c r="AU2325" s="125">
        <f>IFERROR(AO2325*Assumptions!$C$26*Assumptions!$C$27*INDEX(Assumptions!$C$18:$C$21,MATCH(H2325,Assumptions!$B$18:$B$21,0)),0)</f>
        <v/>
      </c>
    </row>
    <row r="2326">
      <c r="A2326" s="120" t="n">
        <v>46249</v>
      </c>
      <c r="B2326" s="66" t="inlineStr">
        <is>
          <t>Wk 33</t>
        </is>
      </c>
      <c r="C2326" s="66" t="inlineStr">
        <is>
          <t>Sat</t>
        </is>
      </c>
      <c r="D2326" s="66" t="inlineStr">
        <is>
          <t>Programmatic</t>
        </is>
      </c>
      <c r="E2326" s="66" t="inlineStr">
        <is>
          <t>DV360</t>
        </is>
      </c>
      <c r="F2326" s="66" t="inlineStr">
        <is>
          <t>LEP_ZA_AUG26_PROG_RMKT_DYNAMIC</t>
        </is>
      </c>
      <c r="G2326" s="66" t="inlineStr">
        <is>
          <t>Dynamic Retargeting</t>
        </is>
      </c>
      <c r="H2326" s="66" t="inlineStr">
        <is>
          <t>Range</t>
        </is>
      </c>
      <c r="I2326" s="66" t="inlineStr">
        <is>
          <t>Range Offer</t>
        </is>
      </c>
      <c r="J2326" s="66" t="inlineStr">
        <is>
          <t>PROG_DYN_RMKT_7D</t>
        </is>
      </c>
      <c r="K2326" s="66" t="inlineStr">
        <is>
          <t>Retargeting</t>
        </is>
      </c>
      <c r="L2326" s="66" t="inlineStr">
        <is>
          <t>PROG_DYN_160x600_ModelSeen_v1</t>
        </is>
      </c>
      <c r="M2326" s="66" t="inlineStr">
        <is>
          <t>Dynamic Display 160x600</t>
        </is>
      </c>
      <c r="N2326" s="66" t="inlineStr">
        <is>
          <t>Still thinking about it?</t>
        </is>
      </c>
      <c r="O2326" s="66" t="inlineStr">
        <is>
          <t>Auction - Lowest Cost</t>
        </is>
      </c>
      <c r="P2326" s="66" t="inlineStr">
        <is>
          <t>Conversions (CPA)</t>
        </is>
      </c>
      <c r="Q2326" s="66" t="inlineStr">
        <is>
          <t>https://www.lepas-sa.co.za/book-a-test-drive</t>
        </is>
      </c>
      <c r="R2326" s="121" t="n">
        <v>107.6</v>
      </c>
      <c r="S2326" s="122" t="n">
        <v>4165</v>
      </c>
      <c r="T2326" s="122" t="n">
        <v>1606</v>
      </c>
      <c r="U2326" s="123">
        <f>IFERROR(S2326/T2326,"")</f>
        <v/>
      </c>
      <c r="V2326" s="122" t="n">
        <v>20</v>
      </c>
      <c r="W2326" s="122" t="n">
        <v>15</v>
      </c>
      <c r="X2326" s="124">
        <f>IFERROR(W2326/S2326,"")</f>
        <v/>
      </c>
      <c r="Y2326" s="121">
        <f>IFERROR(R2326/W2326,"")</f>
        <v/>
      </c>
      <c r="Z2326" s="121">
        <f>IFERROR(R2326/S2326*1000,"")</f>
        <v/>
      </c>
      <c r="AA2326" s="122" t="n">
        <v>9</v>
      </c>
      <c r="AB2326" s="54">
        <f>IFERROR(AA2326/W2326,"")</f>
        <v/>
      </c>
      <c r="AC2326" s="122" t="n">
        <v>0</v>
      </c>
      <c r="AD2326" s="122" t="n">
        <v>0</v>
      </c>
      <c r="AE2326" s="122" t="n">
        <v>0</v>
      </c>
      <c r="AF2326" s="122" t="n">
        <v>0</v>
      </c>
      <c r="AG2326" s="122" t="n">
        <v>0</v>
      </c>
      <c r="AH2326" s="122" t="n">
        <v>0</v>
      </c>
      <c r="AI2326" s="54">
        <f>IFERROR(AC2326/S2326,"")</f>
        <v/>
      </c>
      <c r="AJ2326" s="54">
        <f>IFERROR(AH2326/S2326,"")</f>
        <v/>
      </c>
      <c r="AK2326" s="122" t="n">
        <v>10</v>
      </c>
      <c r="AL2326" s="122" t="n">
        <v>1</v>
      </c>
      <c r="AM2326" s="124">
        <f>IFERROR(AL2326/AA2326,"")</f>
        <v/>
      </c>
      <c r="AN2326" s="125">
        <f>IFERROR(R2326/AL2326,"")</f>
        <v/>
      </c>
      <c r="AO2326" s="122" t="n">
        <v>1</v>
      </c>
      <c r="AP2326" s="54">
        <f>IFERROR(AO2326/AL2326,"")</f>
        <v/>
      </c>
      <c r="AQ2326" s="125">
        <f>IFERROR(R2326/AO2326,"")</f>
        <v/>
      </c>
      <c r="AR2326" s="122" t="n">
        <v>2</v>
      </c>
      <c r="AS2326" s="122" t="n">
        <v>1</v>
      </c>
      <c r="AT2326" s="122">
        <f>AL2326+AR2326</f>
        <v/>
      </c>
      <c r="AU2326" s="125">
        <f>IFERROR(AO2326*Assumptions!$C$26*Assumptions!$C$27*INDEX(Assumptions!$C$18:$C$21,MATCH(H2326,Assumptions!$B$18:$B$21,0)),0)</f>
        <v/>
      </c>
    </row>
    <row r="2327">
      <c r="A2327" s="120" t="n">
        <v>46250</v>
      </c>
      <c r="B2327" s="66" t="inlineStr">
        <is>
          <t>Wk 33</t>
        </is>
      </c>
      <c r="C2327" s="66" t="inlineStr">
        <is>
          <t>Sun</t>
        </is>
      </c>
      <c r="D2327" s="66" t="inlineStr">
        <is>
          <t>Programmatic</t>
        </is>
      </c>
      <c r="E2327" s="66" t="inlineStr">
        <is>
          <t>DV360</t>
        </is>
      </c>
      <c r="F2327" s="66" t="inlineStr">
        <is>
          <t>LEP_ZA_AUG26_PROG_RMKT_DYNAMIC</t>
        </is>
      </c>
      <c r="G2327" s="66" t="inlineStr">
        <is>
          <t>Dynamic Retargeting</t>
        </is>
      </c>
      <c r="H2327" s="66" t="inlineStr">
        <is>
          <t>Range</t>
        </is>
      </c>
      <c r="I2327" s="66" t="inlineStr">
        <is>
          <t>Range Offer</t>
        </is>
      </c>
      <c r="J2327" s="66" t="inlineStr">
        <is>
          <t>PROG_DYN_RMKT_7D</t>
        </is>
      </c>
      <c r="K2327" s="66" t="inlineStr">
        <is>
          <t>Retargeting</t>
        </is>
      </c>
      <c r="L2327" s="66" t="inlineStr">
        <is>
          <t>PROG_DYN_160x600_ModelSeen_v1</t>
        </is>
      </c>
      <c r="M2327" s="66" t="inlineStr">
        <is>
          <t>Dynamic Display 160x600</t>
        </is>
      </c>
      <c r="N2327" s="66" t="inlineStr">
        <is>
          <t>Still thinking about it?</t>
        </is>
      </c>
      <c r="O2327" s="66" t="inlineStr">
        <is>
          <t>Auction - Lowest Cost</t>
        </is>
      </c>
      <c r="P2327" s="66" t="inlineStr">
        <is>
          <t>Conversions (CPA)</t>
        </is>
      </c>
      <c r="Q2327" s="66" t="inlineStr">
        <is>
          <t>https://www.lepas-sa.co.za/book-a-test-drive</t>
        </is>
      </c>
      <c r="R2327" s="121" t="n">
        <v>90.18000000000001</v>
      </c>
      <c r="S2327" s="122" t="n">
        <v>2501</v>
      </c>
      <c r="T2327" s="122" t="n">
        <v>991</v>
      </c>
      <c r="U2327" s="123">
        <f>IFERROR(S2327/T2327,"")</f>
        <v/>
      </c>
      <c r="V2327" s="122" t="n">
        <v>17</v>
      </c>
      <c r="W2327" s="122" t="n">
        <v>14</v>
      </c>
      <c r="X2327" s="124">
        <f>IFERROR(W2327/S2327,"")</f>
        <v/>
      </c>
      <c r="Y2327" s="121">
        <f>IFERROR(R2327/W2327,"")</f>
        <v/>
      </c>
      <c r="Z2327" s="121">
        <f>IFERROR(R2327/S2327*1000,"")</f>
        <v/>
      </c>
      <c r="AA2327" s="122" t="n">
        <v>9</v>
      </c>
      <c r="AB2327" s="54">
        <f>IFERROR(AA2327/W2327,"")</f>
        <v/>
      </c>
      <c r="AC2327" s="122" t="n">
        <v>0</v>
      </c>
      <c r="AD2327" s="122" t="n">
        <v>0</v>
      </c>
      <c r="AE2327" s="122" t="n">
        <v>0</v>
      </c>
      <c r="AF2327" s="122" t="n">
        <v>0</v>
      </c>
      <c r="AG2327" s="122" t="n">
        <v>0</v>
      </c>
      <c r="AH2327" s="122" t="n">
        <v>0</v>
      </c>
      <c r="AI2327" s="54">
        <f>IFERROR(AC2327/S2327,"")</f>
        <v/>
      </c>
      <c r="AJ2327" s="54">
        <f>IFERROR(AH2327/S2327,"")</f>
        <v/>
      </c>
      <c r="AK2327" s="122" t="n">
        <v>12</v>
      </c>
      <c r="AL2327" s="122" t="n">
        <v>0</v>
      </c>
      <c r="AM2327" s="124">
        <f>IFERROR(AL2327/AA2327,"")</f>
        <v/>
      </c>
      <c r="AN2327" s="125">
        <f>IFERROR(R2327/AL2327,"")</f>
        <v/>
      </c>
      <c r="AO2327" s="122" t="n">
        <v>0</v>
      </c>
      <c r="AP2327" s="54">
        <f>IFERROR(AO2327/AL2327,"")</f>
        <v/>
      </c>
      <c r="AQ2327" s="125">
        <f>IFERROR(R2327/AO2327,"")</f>
        <v/>
      </c>
      <c r="AR2327" s="122" t="n">
        <v>0</v>
      </c>
      <c r="AS2327" s="122" t="n">
        <v>0</v>
      </c>
      <c r="AT2327" s="122">
        <f>AL2327+AR2327</f>
        <v/>
      </c>
      <c r="AU2327" s="125">
        <f>IFERROR(AO2327*Assumptions!$C$26*Assumptions!$C$27*INDEX(Assumptions!$C$18:$C$21,MATCH(H2327,Assumptions!$B$18:$B$21,0)),0)</f>
        <v/>
      </c>
    </row>
    <row r="2328">
      <c r="A2328" s="120" t="n">
        <v>46251</v>
      </c>
      <c r="B2328" s="66" t="inlineStr">
        <is>
          <t>Wk 34</t>
        </is>
      </c>
      <c r="C2328" s="66" t="inlineStr">
        <is>
          <t>Mon</t>
        </is>
      </c>
      <c r="D2328" s="66" t="inlineStr">
        <is>
          <t>Programmatic</t>
        </is>
      </c>
      <c r="E2328" s="66" t="inlineStr">
        <is>
          <t>DV360</t>
        </is>
      </c>
      <c r="F2328" s="66" t="inlineStr">
        <is>
          <t>LEP_ZA_AUG26_PROG_RMKT_DYNAMIC</t>
        </is>
      </c>
      <c r="G2328" s="66" t="inlineStr">
        <is>
          <t>Dynamic Retargeting</t>
        </is>
      </c>
      <c r="H2328" s="66" t="inlineStr">
        <is>
          <t>Range</t>
        </is>
      </c>
      <c r="I2328" s="66" t="inlineStr">
        <is>
          <t>Range Offer</t>
        </is>
      </c>
      <c r="J2328" s="66" t="inlineStr">
        <is>
          <t>PROG_DYN_RMKT_7D</t>
        </is>
      </c>
      <c r="K2328" s="66" t="inlineStr">
        <is>
          <t>Retargeting</t>
        </is>
      </c>
      <c r="L2328" s="66" t="inlineStr">
        <is>
          <t>PROG_DYN_160x600_ModelSeen_v1</t>
        </is>
      </c>
      <c r="M2328" s="66" t="inlineStr">
        <is>
          <t>Dynamic Display 160x600</t>
        </is>
      </c>
      <c r="N2328" s="66" t="inlineStr">
        <is>
          <t>Still thinking about it?</t>
        </is>
      </c>
      <c r="O2328" s="66" t="inlineStr">
        <is>
          <t>Auction - Lowest Cost</t>
        </is>
      </c>
      <c r="P2328" s="66" t="inlineStr">
        <is>
          <t>Conversions (CPA)</t>
        </is>
      </c>
      <c r="Q2328" s="66" t="inlineStr">
        <is>
          <t>https://www.lepas-sa.co.za/book-a-test-drive</t>
        </is>
      </c>
      <c r="R2328" s="121" t="n">
        <v>106.96</v>
      </c>
      <c r="S2328" s="122" t="n">
        <v>3108</v>
      </c>
      <c r="T2328" s="122" t="n">
        <v>1632</v>
      </c>
      <c r="U2328" s="123">
        <f>IFERROR(S2328/T2328,"")</f>
        <v/>
      </c>
      <c r="V2328" s="122" t="n">
        <v>20</v>
      </c>
      <c r="W2328" s="122" t="n">
        <v>14</v>
      </c>
      <c r="X2328" s="124">
        <f>IFERROR(W2328/S2328,"")</f>
        <v/>
      </c>
      <c r="Y2328" s="121">
        <f>IFERROR(R2328/W2328,"")</f>
        <v/>
      </c>
      <c r="Z2328" s="121">
        <f>IFERROR(R2328/S2328*1000,"")</f>
        <v/>
      </c>
      <c r="AA2328" s="122" t="n">
        <v>10</v>
      </c>
      <c r="AB2328" s="54">
        <f>IFERROR(AA2328/W2328,"")</f>
        <v/>
      </c>
      <c r="AC2328" s="122" t="n">
        <v>0</v>
      </c>
      <c r="AD2328" s="122" t="n">
        <v>0</v>
      </c>
      <c r="AE2328" s="122" t="n">
        <v>0</v>
      </c>
      <c r="AF2328" s="122" t="n">
        <v>0</v>
      </c>
      <c r="AG2328" s="122" t="n">
        <v>0</v>
      </c>
      <c r="AH2328" s="122" t="n">
        <v>0</v>
      </c>
      <c r="AI2328" s="54">
        <f>IFERROR(AC2328/S2328,"")</f>
        <v/>
      </c>
      <c r="AJ2328" s="54">
        <f>IFERROR(AH2328/S2328,"")</f>
        <v/>
      </c>
      <c r="AK2328" s="122" t="n">
        <v>15</v>
      </c>
      <c r="AL2328" s="122" t="n">
        <v>1</v>
      </c>
      <c r="AM2328" s="124">
        <f>IFERROR(AL2328/AA2328,"")</f>
        <v/>
      </c>
      <c r="AN2328" s="125">
        <f>IFERROR(R2328/AL2328,"")</f>
        <v/>
      </c>
      <c r="AO2328" s="122" t="n">
        <v>1</v>
      </c>
      <c r="AP2328" s="54">
        <f>IFERROR(AO2328/AL2328,"")</f>
        <v/>
      </c>
      <c r="AQ2328" s="125">
        <f>IFERROR(R2328/AO2328,"")</f>
        <v/>
      </c>
      <c r="AR2328" s="122" t="n">
        <v>3</v>
      </c>
      <c r="AS2328" s="122" t="n">
        <v>1</v>
      </c>
      <c r="AT2328" s="122">
        <f>AL2328+AR2328</f>
        <v/>
      </c>
      <c r="AU2328" s="125">
        <f>IFERROR(AO2328*Assumptions!$C$26*Assumptions!$C$27*INDEX(Assumptions!$C$18:$C$21,MATCH(H2328,Assumptions!$B$18:$B$21,0)),0)</f>
        <v/>
      </c>
    </row>
    <row r="2329">
      <c r="A2329" s="120" t="n">
        <v>46252</v>
      </c>
      <c r="B2329" s="66" t="inlineStr">
        <is>
          <t>Wk 34</t>
        </is>
      </c>
      <c r="C2329" s="66" t="inlineStr">
        <is>
          <t>Tue</t>
        </is>
      </c>
      <c r="D2329" s="66" t="inlineStr">
        <is>
          <t>Programmatic</t>
        </is>
      </c>
      <c r="E2329" s="66" t="inlineStr">
        <is>
          <t>DV360</t>
        </is>
      </c>
      <c r="F2329" s="66" t="inlineStr">
        <is>
          <t>LEP_ZA_AUG26_PROG_RMKT_DYNAMIC</t>
        </is>
      </c>
      <c r="G2329" s="66" t="inlineStr">
        <is>
          <t>Dynamic Retargeting</t>
        </is>
      </c>
      <c r="H2329" s="66" t="inlineStr">
        <is>
          <t>Range</t>
        </is>
      </c>
      <c r="I2329" s="66" t="inlineStr">
        <is>
          <t>Range Offer</t>
        </is>
      </c>
      <c r="J2329" s="66" t="inlineStr">
        <is>
          <t>PROG_DYN_RMKT_7D</t>
        </is>
      </c>
      <c r="K2329" s="66" t="inlineStr">
        <is>
          <t>Retargeting</t>
        </is>
      </c>
      <c r="L2329" s="66" t="inlineStr">
        <is>
          <t>PROG_DYN_160x600_ModelSeen_v1</t>
        </is>
      </c>
      <c r="M2329" s="66" t="inlineStr">
        <is>
          <t>Dynamic Display 160x600</t>
        </is>
      </c>
      <c r="N2329" s="66" t="inlineStr">
        <is>
          <t>Still thinking about it?</t>
        </is>
      </c>
      <c r="O2329" s="66" t="inlineStr">
        <is>
          <t>Auction - Lowest Cost</t>
        </is>
      </c>
      <c r="P2329" s="66" t="inlineStr">
        <is>
          <t>Conversions (CPA)</t>
        </is>
      </c>
      <c r="Q2329" s="66" t="inlineStr">
        <is>
          <t>https://www.lepas-sa.co.za/book-a-test-drive</t>
        </is>
      </c>
      <c r="R2329" s="121" t="n">
        <v>84.68000000000001</v>
      </c>
      <c r="S2329" s="122" t="n">
        <v>2535</v>
      </c>
      <c r="T2329" s="122" t="n">
        <v>1102</v>
      </c>
      <c r="U2329" s="123">
        <f>IFERROR(S2329/T2329,"")</f>
        <v/>
      </c>
      <c r="V2329" s="122" t="n">
        <v>4</v>
      </c>
      <c r="W2329" s="122" t="n">
        <v>3</v>
      </c>
      <c r="X2329" s="124">
        <f>IFERROR(W2329/S2329,"")</f>
        <v/>
      </c>
      <c r="Y2329" s="121">
        <f>IFERROR(R2329/W2329,"")</f>
        <v/>
      </c>
      <c r="Z2329" s="121">
        <f>IFERROR(R2329/S2329*1000,"")</f>
        <v/>
      </c>
      <c r="AA2329" s="122" t="n">
        <v>1</v>
      </c>
      <c r="AB2329" s="54">
        <f>IFERROR(AA2329/W2329,"")</f>
        <v/>
      </c>
      <c r="AC2329" s="122" t="n">
        <v>0</v>
      </c>
      <c r="AD2329" s="122" t="n">
        <v>0</v>
      </c>
      <c r="AE2329" s="122" t="n">
        <v>0</v>
      </c>
      <c r="AF2329" s="122" t="n">
        <v>0</v>
      </c>
      <c r="AG2329" s="122" t="n">
        <v>0</v>
      </c>
      <c r="AH2329" s="122" t="n">
        <v>0</v>
      </c>
      <c r="AI2329" s="54">
        <f>IFERROR(AC2329/S2329,"")</f>
        <v/>
      </c>
      <c r="AJ2329" s="54">
        <f>IFERROR(AH2329/S2329,"")</f>
        <v/>
      </c>
      <c r="AK2329" s="122" t="n">
        <v>14</v>
      </c>
      <c r="AL2329" s="122" t="n">
        <v>0</v>
      </c>
      <c r="AM2329" s="124">
        <f>IFERROR(AL2329/AA2329,"")</f>
        <v/>
      </c>
      <c r="AN2329" s="125">
        <f>IFERROR(R2329/AL2329,"")</f>
        <v/>
      </c>
      <c r="AO2329" s="122" t="n">
        <v>0</v>
      </c>
      <c r="AP2329" s="54">
        <f>IFERROR(AO2329/AL2329,"")</f>
        <v/>
      </c>
      <c r="AQ2329" s="125">
        <f>IFERROR(R2329/AO2329,"")</f>
        <v/>
      </c>
      <c r="AR2329" s="122" t="n">
        <v>0</v>
      </c>
      <c r="AS2329" s="122" t="n">
        <v>0</v>
      </c>
      <c r="AT2329" s="122">
        <f>AL2329+AR2329</f>
        <v/>
      </c>
      <c r="AU2329" s="125">
        <f>IFERROR(AO2329*Assumptions!$C$26*Assumptions!$C$27*INDEX(Assumptions!$C$18:$C$21,MATCH(H2329,Assumptions!$B$18:$B$21,0)),0)</f>
        <v/>
      </c>
    </row>
    <row r="2330">
      <c r="A2330" s="120" t="n">
        <v>46253</v>
      </c>
      <c r="B2330" s="66" t="inlineStr">
        <is>
          <t>Wk 34</t>
        </is>
      </c>
      <c r="C2330" s="66" t="inlineStr">
        <is>
          <t>Wed</t>
        </is>
      </c>
      <c r="D2330" s="66" t="inlineStr">
        <is>
          <t>Programmatic</t>
        </is>
      </c>
      <c r="E2330" s="66" t="inlineStr">
        <is>
          <t>DV360</t>
        </is>
      </c>
      <c r="F2330" s="66" t="inlineStr">
        <is>
          <t>LEP_ZA_AUG26_PROG_RMKT_DYNAMIC</t>
        </is>
      </c>
      <c r="G2330" s="66" t="inlineStr">
        <is>
          <t>Dynamic Retargeting</t>
        </is>
      </c>
      <c r="H2330" s="66" t="inlineStr">
        <is>
          <t>Range</t>
        </is>
      </c>
      <c r="I2330" s="66" t="inlineStr">
        <is>
          <t>Range Offer</t>
        </is>
      </c>
      <c r="J2330" s="66" t="inlineStr">
        <is>
          <t>PROG_DYN_RMKT_7D</t>
        </is>
      </c>
      <c r="K2330" s="66" t="inlineStr">
        <is>
          <t>Retargeting</t>
        </is>
      </c>
      <c r="L2330" s="66" t="inlineStr">
        <is>
          <t>PROG_DYN_160x600_ModelSeen_v1</t>
        </is>
      </c>
      <c r="M2330" s="66" t="inlineStr">
        <is>
          <t>Dynamic Display 160x600</t>
        </is>
      </c>
      <c r="N2330" s="66" t="inlineStr">
        <is>
          <t>Still thinking about it?</t>
        </is>
      </c>
      <c r="O2330" s="66" t="inlineStr">
        <is>
          <t>Auction - Lowest Cost</t>
        </is>
      </c>
      <c r="P2330" s="66" t="inlineStr">
        <is>
          <t>Conversions (CPA)</t>
        </is>
      </c>
      <c r="Q2330" s="66" t="inlineStr">
        <is>
          <t>https://www.lepas-sa.co.za/book-a-test-drive</t>
        </is>
      </c>
      <c r="R2330" s="121" t="n">
        <v>87.13</v>
      </c>
      <c r="S2330" s="122" t="n">
        <v>2208</v>
      </c>
      <c r="T2330" s="122" t="n">
        <v>1100</v>
      </c>
      <c r="U2330" s="123">
        <f>IFERROR(S2330/T2330,"")</f>
        <v/>
      </c>
      <c r="V2330" s="122" t="n">
        <v>8</v>
      </c>
      <c r="W2330" s="122" t="n">
        <v>7</v>
      </c>
      <c r="X2330" s="124">
        <f>IFERROR(W2330/S2330,"")</f>
        <v/>
      </c>
      <c r="Y2330" s="121">
        <f>IFERROR(R2330/W2330,"")</f>
        <v/>
      </c>
      <c r="Z2330" s="121">
        <f>IFERROR(R2330/S2330*1000,"")</f>
        <v/>
      </c>
      <c r="AA2330" s="122" t="n">
        <v>4</v>
      </c>
      <c r="AB2330" s="54">
        <f>IFERROR(AA2330/W2330,"")</f>
        <v/>
      </c>
      <c r="AC2330" s="122" t="n">
        <v>0</v>
      </c>
      <c r="AD2330" s="122" t="n">
        <v>0</v>
      </c>
      <c r="AE2330" s="122" t="n">
        <v>0</v>
      </c>
      <c r="AF2330" s="122" t="n">
        <v>0</v>
      </c>
      <c r="AG2330" s="122" t="n">
        <v>0</v>
      </c>
      <c r="AH2330" s="122" t="n">
        <v>0</v>
      </c>
      <c r="AI2330" s="54">
        <f>IFERROR(AC2330/S2330,"")</f>
        <v/>
      </c>
      <c r="AJ2330" s="54">
        <f>IFERROR(AH2330/S2330,"")</f>
        <v/>
      </c>
      <c r="AK2330" s="122" t="n">
        <v>6</v>
      </c>
      <c r="AL2330" s="122" t="n">
        <v>1</v>
      </c>
      <c r="AM2330" s="124">
        <f>IFERROR(AL2330/AA2330,"")</f>
        <v/>
      </c>
      <c r="AN2330" s="125">
        <f>IFERROR(R2330/AL2330,"")</f>
        <v/>
      </c>
      <c r="AO2330" s="122" t="n">
        <v>0</v>
      </c>
      <c r="AP2330" s="54">
        <f>IFERROR(AO2330/AL2330,"")</f>
        <v/>
      </c>
      <c r="AQ2330" s="125">
        <f>IFERROR(R2330/AO2330,"")</f>
        <v/>
      </c>
      <c r="AR2330" s="122" t="n">
        <v>4</v>
      </c>
      <c r="AS2330" s="122" t="n">
        <v>1</v>
      </c>
      <c r="AT2330" s="122">
        <f>AL2330+AR2330</f>
        <v/>
      </c>
      <c r="AU2330" s="125">
        <f>IFERROR(AO2330*Assumptions!$C$26*Assumptions!$C$27*INDEX(Assumptions!$C$18:$C$21,MATCH(H2330,Assumptions!$B$18:$B$21,0)),0)</f>
        <v/>
      </c>
    </row>
    <row r="2331">
      <c r="A2331" s="120" t="n">
        <v>46254</v>
      </c>
      <c r="B2331" s="66" t="inlineStr">
        <is>
          <t>Wk 34</t>
        </is>
      </c>
      <c r="C2331" s="66" t="inlineStr">
        <is>
          <t>Thu</t>
        </is>
      </c>
      <c r="D2331" s="66" t="inlineStr">
        <is>
          <t>Programmatic</t>
        </is>
      </c>
      <c r="E2331" s="66" t="inlineStr">
        <is>
          <t>DV360</t>
        </is>
      </c>
      <c r="F2331" s="66" t="inlineStr">
        <is>
          <t>LEP_ZA_AUG26_PROG_RMKT_DYNAMIC</t>
        </is>
      </c>
      <c r="G2331" s="66" t="inlineStr">
        <is>
          <t>Dynamic Retargeting</t>
        </is>
      </c>
      <c r="H2331" s="66" t="inlineStr">
        <is>
          <t>Range</t>
        </is>
      </c>
      <c r="I2331" s="66" t="inlineStr">
        <is>
          <t>Range Offer</t>
        </is>
      </c>
      <c r="J2331" s="66" t="inlineStr">
        <is>
          <t>PROG_DYN_RMKT_7D</t>
        </is>
      </c>
      <c r="K2331" s="66" t="inlineStr">
        <is>
          <t>Retargeting</t>
        </is>
      </c>
      <c r="L2331" s="66" t="inlineStr">
        <is>
          <t>PROG_DYN_160x600_ModelSeen_v1</t>
        </is>
      </c>
      <c r="M2331" s="66" t="inlineStr">
        <is>
          <t>Dynamic Display 160x600</t>
        </is>
      </c>
      <c r="N2331" s="66" t="inlineStr">
        <is>
          <t>Still thinking about it?</t>
        </is>
      </c>
      <c r="O2331" s="66" t="inlineStr">
        <is>
          <t>Auction - Lowest Cost</t>
        </is>
      </c>
      <c r="P2331" s="66" t="inlineStr">
        <is>
          <t>Conversions (CPA)</t>
        </is>
      </c>
      <c r="Q2331" s="66" t="inlineStr">
        <is>
          <t>https://www.lepas-sa.co.za/book-a-test-drive</t>
        </is>
      </c>
      <c r="R2331" s="121" t="n">
        <v>102.64</v>
      </c>
      <c r="S2331" s="122" t="n">
        <v>3393</v>
      </c>
      <c r="T2331" s="122" t="n">
        <v>1654</v>
      </c>
      <c r="U2331" s="123">
        <f>IFERROR(S2331/T2331,"")</f>
        <v/>
      </c>
      <c r="V2331" s="122" t="n">
        <v>16</v>
      </c>
      <c r="W2331" s="122" t="n">
        <v>13</v>
      </c>
      <c r="X2331" s="124">
        <f>IFERROR(W2331/S2331,"")</f>
        <v/>
      </c>
      <c r="Y2331" s="121">
        <f>IFERROR(R2331/W2331,"")</f>
        <v/>
      </c>
      <c r="Z2331" s="121">
        <f>IFERROR(R2331/S2331*1000,"")</f>
        <v/>
      </c>
      <c r="AA2331" s="122" t="n">
        <v>9</v>
      </c>
      <c r="AB2331" s="54">
        <f>IFERROR(AA2331/W2331,"")</f>
        <v/>
      </c>
      <c r="AC2331" s="122" t="n">
        <v>0</v>
      </c>
      <c r="AD2331" s="122" t="n">
        <v>0</v>
      </c>
      <c r="AE2331" s="122" t="n">
        <v>0</v>
      </c>
      <c r="AF2331" s="122" t="n">
        <v>0</v>
      </c>
      <c r="AG2331" s="122" t="n">
        <v>0</v>
      </c>
      <c r="AH2331" s="122" t="n">
        <v>0</v>
      </c>
      <c r="AI2331" s="54">
        <f>IFERROR(AC2331/S2331,"")</f>
        <v/>
      </c>
      <c r="AJ2331" s="54">
        <f>IFERROR(AH2331/S2331,"")</f>
        <v/>
      </c>
      <c r="AK2331" s="122" t="n">
        <v>6</v>
      </c>
      <c r="AL2331" s="122" t="n">
        <v>0</v>
      </c>
      <c r="AM2331" s="124">
        <f>IFERROR(AL2331/AA2331,"")</f>
        <v/>
      </c>
      <c r="AN2331" s="125">
        <f>IFERROR(R2331/AL2331,"")</f>
        <v/>
      </c>
      <c r="AO2331" s="122" t="n">
        <v>0</v>
      </c>
      <c r="AP2331" s="54">
        <f>IFERROR(AO2331/AL2331,"")</f>
        <v/>
      </c>
      <c r="AQ2331" s="125">
        <f>IFERROR(R2331/AO2331,"")</f>
        <v/>
      </c>
      <c r="AR2331" s="122" t="n">
        <v>0</v>
      </c>
      <c r="AS2331" s="122" t="n">
        <v>0</v>
      </c>
      <c r="AT2331" s="122">
        <f>AL2331+AR2331</f>
        <v/>
      </c>
      <c r="AU2331" s="125">
        <f>IFERROR(AO2331*Assumptions!$C$26*Assumptions!$C$27*INDEX(Assumptions!$C$18:$C$21,MATCH(H2331,Assumptions!$B$18:$B$21,0)),0)</f>
        <v/>
      </c>
    </row>
    <row r="2332">
      <c r="A2332" s="120" t="n">
        <v>46255</v>
      </c>
      <c r="B2332" s="66" t="inlineStr">
        <is>
          <t>Wk 34</t>
        </is>
      </c>
      <c r="C2332" s="66" t="inlineStr">
        <is>
          <t>Fri</t>
        </is>
      </c>
      <c r="D2332" s="66" t="inlineStr">
        <is>
          <t>Programmatic</t>
        </is>
      </c>
      <c r="E2332" s="66" t="inlineStr">
        <is>
          <t>DV360</t>
        </is>
      </c>
      <c r="F2332" s="66" t="inlineStr">
        <is>
          <t>LEP_ZA_AUG26_PROG_RMKT_DYNAMIC</t>
        </is>
      </c>
      <c r="G2332" s="66" t="inlineStr">
        <is>
          <t>Dynamic Retargeting</t>
        </is>
      </c>
      <c r="H2332" s="66" t="inlineStr">
        <is>
          <t>Range</t>
        </is>
      </c>
      <c r="I2332" s="66" t="inlineStr">
        <is>
          <t>Range Offer</t>
        </is>
      </c>
      <c r="J2332" s="66" t="inlineStr">
        <is>
          <t>PROG_DYN_RMKT_7D</t>
        </is>
      </c>
      <c r="K2332" s="66" t="inlineStr">
        <is>
          <t>Retargeting</t>
        </is>
      </c>
      <c r="L2332" s="66" t="inlineStr">
        <is>
          <t>PROG_DYN_160x600_ModelSeen_v1</t>
        </is>
      </c>
      <c r="M2332" s="66" t="inlineStr">
        <is>
          <t>Dynamic Display 160x600</t>
        </is>
      </c>
      <c r="N2332" s="66" t="inlineStr">
        <is>
          <t>Still thinking about it?</t>
        </is>
      </c>
      <c r="O2332" s="66" t="inlineStr">
        <is>
          <t>Auction - Lowest Cost</t>
        </is>
      </c>
      <c r="P2332" s="66" t="inlineStr">
        <is>
          <t>Conversions (CPA)</t>
        </is>
      </c>
      <c r="Q2332" s="66" t="inlineStr">
        <is>
          <t>https://www.lepas-sa.co.za/book-a-test-drive</t>
        </is>
      </c>
      <c r="R2332" s="121" t="n">
        <v>124.22</v>
      </c>
      <c r="S2332" s="122" t="n">
        <v>3695</v>
      </c>
      <c r="T2332" s="122" t="n">
        <v>2382</v>
      </c>
      <c r="U2332" s="123">
        <f>IFERROR(S2332/T2332,"")</f>
        <v/>
      </c>
      <c r="V2332" s="122" t="n">
        <v>17</v>
      </c>
      <c r="W2332" s="122" t="n">
        <v>14</v>
      </c>
      <c r="X2332" s="124">
        <f>IFERROR(W2332/S2332,"")</f>
        <v/>
      </c>
      <c r="Y2332" s="121">
        <f>IFERROR(R2332/W2332,"")</f>
        <v/>
      </c>
      <c r="Z2332" s="121">
        <f>IFERROR(R2332/S2332*1000,"")</f>
        <v/>
      </c>
      <c r="AA2332" s="122" t="n">
        <v>9</v>
      </c>
      <c r="AB2332" s="54">
        <f>IFERROR(AA2332/W2332,"")</f>
        <v/>
      </c>
      <c r="AC2332" s="122" t="n">
        <v>0</v>
      </c>
      <c r="AD2332" s="122" t="n">
        <v>0</v>
      </c>
      <c r="AE2332" s="122" t="n">
        <v>0</v>
      </c>
      <c r="AF2332" s="122" t="n">
        <v>0</v>
      </c>
      <c r="AG2332" s="122" t="n">
        <v>0</v>
      </c>
      <c r="AH2332" s="122" t="n">
        <v>0</v>
      </c>
      <c r="AI2332" s="54">
        <f>IFERROR(AC2332/S2332,"")</f>
        <v/>
      </c>
      <c r="AJ2332" s="54">
        <f>IFERROR(AH2332/S2332,"")</f>
        <v/>
      </c>
      <c r="AK2332" s="122" t="n">
        <v>11</v>
      </c>
      <c r="AL2332" s="122" t="n">
        <v>0</v>
      </c>
      <c r="AM2332" s="124">
        <f>IFERROR(AL2332/AA2332,"")</f>
        <v/>
      </c>
      <c r="AN2332" s="125">
        <f>IFERROR(R2332/AL2332,"")</f>
        <v/>
      </c>
      <c r="AO2332" s="122" t="n">
        <v>0</v>
      </c>
      <c r="AP2332" s="54">
        <f>IFERROR(AO2332/AL2332,"")</f>
        <v/>
      </c>
      <c r="AQ2332" s="125">
        <f>IFERROR(R2332/AO2332,"")</f>
        <v/>
      </c>
      <c r="AR2332" s="122" t="n">
        <v>0</v>
      </c>
      <c r="AS2332" s="122" t="n">
        <v>0</v>
      </c>
      <c r="AT2332" s="122">
        <f>AL2332+AR2332</f>
        <v/>
      </c>
      <c r="AU2332" s="125">
        <f>IFERROR(AO2332*Assumptions!$C$26*Assumptions!$C$27*INDEX(Assumptions!$C$18:$C$21,MATCH(H2332,Assumptions!$B$18:$B$21,0)),0)</f>
        <v/>
      </c>
    </row>
    <row r="2333">
      <c r="A2333" s="120" t="n">
        <v>46256</v>
      </c>
      <c r="B2333" s="66" t="inlineStr">
        <is>
          <t>Wk 34</t>
        </is>
      </c>
      <c r="C2333" s="66" t="inlineStr">
        <is>
          <t>Sat</t>
        </is>
      </c>
      <c r="D2333" s="66" t="inlineStr">
        <is>
          <t>Programmatic</t>
        </is>
      </c>
      <c r="E2333" s="66" t="inlineStr">
        <is>
          <t>DV360</t>
        </is>
      </c>
      <c r="F2333" s="66" t="inlineStr">
        <is>
          <t>LEP_ZA_AUG26_PROG_RMKT_DYNAMIC</t>
        </is>
      </c>
      <c r="G2333" s="66" t="inlineStr">
        <is>
          <t>Dynamic Retargeting</t>
        </is>
      </c>
      <c r="H2333" s="66" t="inlineStr">
        <is>
          <t>Range</t>
        </is>
      </c>
      <c r="I2333" s="66" t="inlineStr">
        <is>
          <t>Range Offer</t>
        </is>
      </c>
      <c r="J2333" s="66" t="inlineStr">
        <is>
          <t>PROG_DYN_RMKT_7D</t>
        </is>
      </c>
      <c r="K2333" s="66" t="inlineStr">
        <is>
          <t>Retargeting</t>
        </is>
      </c>
      <c r="L2333" s="66" t="inlineStr">
        <is>
          <t>PROG_DYN_160x600_ModelSeen_v1</t>
        </is>
      </c>
      <c r="M2333" s="66" t="inlineStr">
        <is>
          <t>Dynamic Display 160x600</t>
        </is>
      </c>
      <c r="N2333" s="66" t="inlineStr">
        <is>
          <t>Still thinking about it?</t>
        </is>
      </c>
      <c r="O2333" s="66" t="inlineStr">
        <is>
          <t>Auction - Lowest Cost</t>
        </is>
      </c>
      <c r="P2333" s="66" t="inlineStr">
        <is>
          <t>Conversions (CPA)</t>
        </is>
      </c>
      <c r="Q2333" s="66" t="inlineStr">
        <is>
          <t>https://www.lepas-sa.co.za/book-a-test-drive</t>
        </is>
      </c>
      <c r="R2333" s="121" t="n">
        <v>99.26000000000001</v>
      </c>
      <c r="S2333" s="122" t="n">
        <v>3096</v>
      </c>
      <c r="T2333" s="122" t="n">
        <v>1615</v>
      </c>
      <c r="U2333" s="123">
        <f>IFERROR(S2333/T2333,"")</f>
        <v/>
      </c>
      <c r="V2333" s="122" t="n">
        <v>11</v>
      </c>
      <c r="W2333" s="122" t="n">
        <v>9</v>
      </c>
      <c r="X2333" s="124">
        <f>IFERROR(W2333/S2333,"")</f>
        <v/>
      </c>
      <c r="Y2333" s="121">
        <f>IFERROR(R2333/W2333,"")</f>
        <v/>
      </c>
      <c r="Z2333" s="121">
        <f>IFERROR(R2333/S2333*1000,"")</f>
        <v/>
      </c>
      <c r="AA2333" s="122" t="n">
        <v>5</v>
      </c>
      <c r="AB2333" s="54">
        <f>IFERROR(AA2333/W2333,"")</f>
        <v/>
      </c>
      <c r="AC2333" s="122" t="n">
        <v>0</v>
      </c>
      <c r="AD2333" s="122" t="n">
        <v>0</v>
      </c>
      <c r="AE2333" s="122" t="n">
        <v>0</v>
      </c>
      <c r="AF2333" s="122" t="n">
        <v>0</v>
      </c>
      <c r="AG2333" s="122" t="n">
        <v>0</v>
      </c>
      <c r="AH2333" s="122" t="n">
        <v>0</v>
      </c>
      <c r="AI2333" s="54">
        <f>IFERROR(AC2333/S2333,"")</f>
        <v/>
      </c>
      <c r="AJ2333" s="54">
        <f>IFERROR(AH2333/S2333,"")</f>
        <v/>
      </c>
      <c r="AK2333" s="122" t="n">
        <v>16</v>
      </c>
      <c r="AL2333" s="122" t="n">
        <v>0</v>
      </c>
      <c r="AM2333" s="124">
        <f>IFERROR(AL2333/AA2333,"")</f>
        <v/>
      </c>
      <c r="AN2333" s="125">
        <f>IFERROR(R2333/AL2333,"")</f>
        <v/>
      </c>
      <c r="AO2333" s="122" t="n">
        <v>0</v>
      </c>
      <c r="AP2333" s="54">
        <f>IFERROR(AO2333/AL2333,"")</f>
        <v/>
      </c>
      <c r="AQ2333" s="125">
        <f>IFERROR(R2333/AO2333,"")</f>
        <v/>
      </c>
      <c r="AR2333" s="122" t="n">
        <v>0</v>
      </c>
      <c r="AS2333" s="122" t="n">
        <v>0</v>
      </c>
      <c r="AT2333" s="122">
        <f>AL2333+AR2333</f>
        <v/>
      </c>
      <c r="AU2333" s="125">
        <f>IFERROR(AO2333*Assumptions!$C$26*Assumptions!$C$27*INDEX(Assumptions!$C$18:$C$21,MATCH(H2333,Assumptions!$B$18:$B$21,0)),0)</f>
        <v/>
      </c>
    </row>
    <row r="2334">
      <c r="A2334" s="120" t="n">
        <v>46257</v>
      </c>
      <c r="B2334" s="66" t="inlineStr">
        <is>
          <t>Wk 34</t>
        </is>
      </c>
      <c r="C2334" s="66" t="inlineStr">
        <is>
          <t>Sun</t>
        </is>
      </c>
      <c r="D2334" s="66" t="inlineStr">
        <is>
          <t>Programmatic</t>
        </is>
      </c>
      <c r="E2334" s="66" t="inlineStr">
        <is>
          <t>DV360</t>
        </is>
      </c>
      <c r="F2334" s="66" t="inlineStr">
        <is>
          <t>LEP_ZA_AUG26_PROG_RMKT_DYNAMIC</t>
        </is>
      </c>
      <c r="G2334" s="66" t="inlineStr">
        <is>
          <t>Dynamic Retargeting</t>
        </is>
      </c>
      <c r="H2334" s="66" t="inlineStr">
        <is>
          <t>Range</t>
        </is>
      </c>
      <c r="I2334" s="66" t="inlineStr">
        <is>
          <t>Range Offer</t>
        </is>
      </c>
      <c r="J2334" s="66" t="inlineStr">
        <is>
          <t>PROG_DYN_RMKT_7D</t>
        </is>
      </c>
      <c r="K2334" s="66" t="inlineStr">
        <is>
          <t>Retargeting</t>
        </is>
      </c>
      <c r="L2334" s="66" t="inlineStr">
        <is>
          <t>PROG_DYN_160x600_ModelSeen_v1</t>
        </is>
      </c>
      <c r="M2334" s="66" t="inlineStr">
        <is>
          <t>Dynamic Display 160x600</t>
        </is>
      </c>
      <c r="N2334" s="66" t="inlineStr">
        <is>
          <t>Still thinking about it?</t>
        </is>
      </c>
      <c r="O2334" s="66" t="inlineStr">
        <is>
          <t>Auction - Lowest Cost</t>
        </is>
      </c>
      <c r="P2334" s="66" t="inlineStr">
        <is>
          <t>Conversions (CPA)</t>
        </is>
      </c>
      <c r="Q2334" s="66" t="inlineStr">
        <is>
          <t>https://www.lepas-sa.co.za/book-a-test-drive</t>
        </is>
      </c>
      <c r="R2334" s="121" t="n">
        <v>82.95999999999999</v>
      </c>
      <c r="S2334" s="122" t="n">
        <v>2950</v>
      </c>
      <c r="T2334" s="122" t="n">
        <v>1394</v>
      </c>
      <c r="U2334" s="123">
        <f>IFERROR(S2334/T2334,"")</f>
        <v/>
      </c>
      <c r="V2334" s="122" t="n">
        <v>8</v>
      </c>
      <c r="W2334" s="122" t="n">
        <v>6</v>
      </c>
      <c r="X2334" s="124">
        <f>IFERROR(W2334/S2334,"")</f>
        <v/>
      </c>
      <c r="Y2334" s="121">
        <f>IFERROR(R2334/W2334,"")</f>
        <v/>
      </c>
      <c r="Z2334" s="121">
        <f>IFERROR(R2334/S2334*1000,"")</f>
        <v/>
      </c>
      <c r="AA2334" s="122" t="n">
        <v>4</v>
      </c>
      <c r="AB2334" s="54">
        <f>IFERROR(AA2334/W2334,"")</f>
        <v/>
      </c>
      <c r="AC2334" s="122" t="n">
        <v>0</v>
      </c>
      <c r="AD2334" s="122" t="n">
        <v>0</v>
      </c>
      <c r="AE2334" s="122" t="n">
        <v>0</v>
      </c>
      <c r="AF2334" s="122" t="n">
        <v>0</v>
      </c>
      <c r="AG2334" s="122" t="n">
        <v>0</v>
      </c>
      <c r="AH2334" s="122" t="n">
        <v>0</v>
      </c>
      <c r="AI2334" s="54">
        <f>IFERROR(AC2334/S2334,"")</f>
        <v/>
      </c>
      <c r="AJ2334" s="54">
        <f>IFERROR(AH2334/S2334,"")</f>
        <v/>
      </c>
      <c r="AK2334" s="122" t="n">
        <v>13</v>
      </c>
      <c r="AL2334" s="122" t="n">
        <v>0</v>
      </c>
      <c r="AM2334" s="124">
        <f>IFERROR(AL2334/AA2334,"")</f>
        <v/>
      </c>
      <c r="AN2334" s="125">
        <f>IFERROR(R2334/AL2334,"")</f>
        <v/>
      </c>
      <c r="AO2334" s="122" t="n">
        <v>0</v>
      </c>
      <c r="AP2334" s="54">
        <f>IFERROR(AO2334/AL2334,"")</f>
        <v/>
      </c>
      <c r="AQ2334" s="125">
        <f>IFERROR(R2334/AO2334,"")</f>
        <v/>
      </c>
      <c r="AR2334" s="122" t="n">
        <v>0</v>
      </c>
      <c r="AS2334" s="122" t="n">
        <v>0</v>
      </c>
      <c r="AT2334" s="122">
        <f>AL2334+AR2334</f>
        <v/>
      </c>
      <c r="AU2334" s="125">
        <f>IFERROR(AO2334*Assumptions!$C$26*Assumptions!$C$27*INDEX(Assumptions!$C$18:$C$21,MATCH(H2334,Assumptions!$B$18:$B$21,0)),0)</f>
        <v/>
      </c>
    </row>
    <row r="2335">
      <c r="A2335" s="120" t="n">
        <v>46258</v>
      </c>
      <c r="B2335" s="66" t="inlineStr">
        <is>
          <t>Wk 35</t>
        </is>
      </c>
      <c r="C2335" s="66" t="inlineStr">
        <is>
          <t>Mon</t>
        </is>
      </c>
      <c r="D2335" s="66" t="inlineStr">
        <is>
          <t>Programmatic</t>
        </is>
      </c>
      <c r="E2335" s="66" t="inlineStr">
        <is>
          <t>DV360</t>
        </is>
      </c>
      <c r="F2335" s="66" t="inlineStr">
        <is>
          <t>LEP_ZA_AUG26_PROG_RMKT_DYNAMIC</t>
        </is>
      </c>
      <c r="G2335" s="66" t="inlineStr">
        <is>
          <t>Dynamic Retargeting</t>
        </is>
      </c>
      <c r="H2335" s="66" t="inlineStr">
        <is>
          <t>Range</t>
        </is>
      </c>
      <c r="I2335" s="66" t="inlineStr">
        <is>
          <t>Range Offer</t>
        </is>
      </c>
      <c r="J2335" s="66" t="inlineStr">
        <is>
          <t>PROG_DYN_RMKT_7D</t>
        </is>
      </c>
      <c r="K2335" s="66" t="inlineStr">
        <is>
          <t>Retargeting</t>
        </is>
      </c>
      <c r="L2335" s="66" t="inlineStr">
        <is>
          <t>PROG_DYN_160x600_ModelSeen_v1</t>
        </is>
      </c>
      <c r="M2335" s="66" t="inlineStr">
        <is>
          <t>Dynamic Display 160x600</t>
        </is>
      </c>
      <c r="N2335" s="66" t="inlineStr">
        <is>
          <t>Still thinking about it?</t>
        </is>
      </c>
      <c r="O2335" s="66" t="inlineStr">
        <is>
          <t>Auction - Lowest Cost</t>
        </is>
      </c>
      <c r="P2335" s="66" t="inlineStr">
        <is>
          <t>Conversions (CPA)</t>
        </is>
      </c>
      <c r="Q2335" s="66" t="inlineStr">
        <is>
          <t>https://www.lepas-sa.co.za/book-a-test-drive</t>
        </is>
      </c>
      <c r="R2335" s="121" t="n">
        <v>89.90000000000001</v>
      </c>
      <c r="S2335" s="122" t="n">
        <v>3213</v>
      </c>
      <c r="T2335" s="122" t="n">
        <v>1279</v>
      </c>
      <c r="U2335" s="123">
        <f>IFERROR(S2335/T2335,"")</f>
        <v/>
      </c>
      <c r="V2335" s="122" t="n">
        <v>19</v>
      </c>
      <c r="W2335" s="122" t="n">
        <v>14</v>
      </c>
      <c r="X2335" s="124">
        <f>IFERROR(W2335/S2335,"")</f>
        <v/>
      </c>
      <c r="Y2335" s="121">
        <f>IFERROR(R2335/W2335,"")</f>
        <v/>
      </c>
      <c r="Z2335" s="121">
        <f>IFERROR(R2335/S2335*1000,"")</f>
        <v/>
      </c>
      <c r="AA2335" s="122" t="n">
        <v>10</v>
      </c>
      <c r="AB2335" s="54">
        <f>IFERROR(AA2335/W2335,"")</f>
        <v/>
      </c>
      <c r="AC2335" s="122" t="n">
        <v>0</v>
      </c>
      <c r="AD2335" s="122" t="n">
        <v>0</v>
      </c>
      <c r="AE2335" s="122" t="n">
        <v>0</v>
      </c>
      <c r="AF2335" s="122" t="n">
        <v>0</v>
      </c>
      <c r="AG2335" s="122" t="n">
        <v>0</v>
      </c>
      <c r="AH2335" s="122" t="n">
        <v>0</v>
      </c>
      <c r="AI2335" s="54">
        <f>IFERROR(AC2335/S2335,"")</f>
        <v/>
      </c>
      <c r="AJ2335" s="54">
        <f>IFERROR(AH2335/S2335,"")</f>
        <v/>
      </c>
      <c r="AK2335" s="122" t="n">
        <v>18</v>
      </c>
      <c r="AL2335" s="122" t="n">
        <v>0</v>
      </c>
      <c r="AM2335" s="124">
        <f>IFERROR(AL2335/AA2335,"")</f>
        <v/>
      </c>
      <c r="AN2335" s="125">
        <f>IFERROR(R2335/AL2335,"")</f>
        <v/>
      </c>
      <c r="AO2335" s="122" t="n">
        <v>0</v>
      </c>
      <c r="AP2335" s="54">
        <f>IFERROR(AO2335/AL2335,"")</f>
        <v/>
      </c>
      <c r="AQ2335" s="125">
        <f>IFERROR(R2335/AO2335,"")</f>
        <v/>
      </c>
      <c r="AR2335" s="122" t="n">
        <v>0</v>
      </c>
      <c r="AS2335" s="122" t="n">
        <v>0</v>
      </c>
      <c r="AT2335" s="122">
        <f>AL2335+AR2335</f>
        <v/>
      </c>
      <c r="AU2335" s="125">
        <f>IFERROR(AO2335*Assumptions!$C$26*Assumptions!$C$27*INDEX(Assumptions!$C$18:$C$21,MATCH(H2335,Assumptions!$B$18:$B$21,0)),0)</f>
        <v/>
      </c>
    </row>
    <row r="2336">
      <c r="A2336" s="120" t="n">
        <v>46259</v>
      </c>
      <c r="B2336" s="66" t="inlineStr">
        <is>
          <t>Wk 35</t>
        </is>
      </c>
      <c r="C2336" s="66" t="inlineStr">
        <is>
          <t>Tue</t>
        </is>
      </c>
      <c r="D2336" s="66" t="inlineStr">
        <is>
          <t>Programmatic</t>
        </is>
      </c>
      <c r="E2336" s="66" t="inlineStr">
        <is>
          <t>DV360</t>
        </is>
      </c>
      <c r="F2336" s="66" t="inlineStr">
        <is>
          <t>LEP_ZA_AUG26_PROG_RMKT_DYNAMIC</t>
        </is>
      </c>
      <c r="G2336" s="66" t="inlineStr">
        <is>
          <t>Dynamic Retargeting</t>
        </is>
      </c>
      <c r="H2336" s="66" t="inlineStr">
        <is>
          <t>Range</t>
        </is>
      </c>
      <c r="I2336" s="66" t="inlineStr">
        <is>
          <t>Range Offer</t>
        </is>
      </c>
      <c r="J2336" s="66" t="inlineStr">
        <is>
          <t>PROG_DYN_RMKT_7D</t>
        </is>
      </c>
      <c r="K2336" s="66" t="inlineStr">
        <is>
          <t>Retargeting</t>
        </is>
      </c>
      <c r="L2336" s="66" t="inlineStr">
        <is>
          <t>PROG_DYN_160x600_ModelSeen_v1</t>
        </is>
      </c>
      <c r="M2336" s="66" t="inlineStr">
        <is>
          <t>Dynamic Display 160x600</t>
        </is>
      </c>
      <c r="N2336" s="66" t="inlineStr">
        <is>
          <t>Still thinking about it?</t>
        </is>
      </c>
      <c r="O2336" s="66" t="inlineStr">
        <is>
          <t>Auction - Lowest Cost</t>
        </is>
      </c>
      <c r="P2336" s="66" t="inlineStr">
        <is>
          <t>Conversions (CPA)</t>
        </is>
      </c>
      <c r="Q2336" s="66" t="inlineStr">
        <is>
          <t>https://www.lepas-sa.co.za/book-a-test-drive</t>
        </is>
      </c>
      <c r="R2336" s="121" t="n">
        <v>108.42</v>
      </c>
      <c r="S2336" s="122" t="n">
        <v>4006</v>
      </c>
      <c r="T2336" s="122" t="n">
        <v>2100</v>
      </c>
      <c r="U2336" s="123">
        <f>IFERROR(S2336/T2336,"")</f>
        <v/>
      </c>
      <c r="V2336" s="122" t="n">
        <v>25</v>
      </c>
      <c r="W2336" s="122" t="n">
        <v>18</v>
      </c>
      <c r="X2336" s="124">
        <f>IFERROR(W2336/S2336,"")</f>
        <v/>
      </c>
      <c r="Y2336" s="121">
        <f>IFERROR(R2336/W2336,"")</f>
        <v/>
      </c>
      <c r="Z2336" s="121">
        <f>IFERROR(R2336/S2336*1000,"")</f>
        <v/>
      </c>
      <c r="AA2336" s="122" t="n">
        <v>10</v>
      </c>
      <c r="AB2336" s="54">
        <f>IFERROR(AA2336/W2336,"")</f>
        <v/>
      </c>
      <c r="AC2336" s="122" t="n">
        <v>0</v>
      </c>
      <c r="AD2336" s="122" t="n">
        <v>0</v>
      </c>
      <c r="AE2336" s="122" t="n">
        <v>0</v>
      </c>
      <c r="AF2336" s="122" t="n">
        <v>0</v>
      </c>
      <c r="AG2336" s="122" t="n">
        <v>0</v>
      </c>
      <c r="AH2336" s="122" t="n">
        <v>0</v>
      </c>
      <c r="AI2336" s="54">
        <f>IFERROR(AC2336/S2336,"")</f>
        <v/>
      </c>
      <c r="AJ2336" s="54">
        <f>IFERROR(AH2336/S2336,"")</f>
        <v/>
      </c>
      <c r="AK2336" s="122" t="n">
        <v>12</v>
      </c>
      <c r="AL2336" s="122" t="n">
        <v>1</v>
      </c>
      <c r="AM2336" s="124">
        <f>IFERROR(AL2336/AA2336,"")</f>
        <v/>
      </c>
      <c r="AN2336" s="125">
        <f>IFERROR(R2336/AL2336,"")</f>
        <v/>
      </c>
      <c r="AO2336" s="122" t="n">
        <v>1</v>
      </c>
      <c r="AP2336" s="54">
        <f>IFERROR(AO2336/AL2336,"")</f>
        <v/>
      </c>
      <c r="AQ2336" s="125">
        <f>IFERROR(R2336/AO2336,"")</f>
        <v/>
      </c>
      <c r="AR2336" s="122" t="n">
        <v>2</v>
      </c>
      <c r="AS2336" s="122" t="n">
        <v>0</v>
      </c>
      <c r="AT2336" s="122">
        <f>AL2336+AR2336</f>
        <v/>
      </c>
      <c r="AU2336" s="125">
        <f>IFERROR(AO2336*Assumptions!$C$26*Assumptions!$C$27*INDEX(Assumptions!$C$18:$C$21,MATCH(H2336,Assumptions!$B$18:$B$21,0)),0)</f>
        <v/>
      </c>
    </row>
    <row r="2337">
      <c r="A2337" s="120" t="n">
        <v>46260</v>
      </c>
      <c r="B2337" s="66" t="inlineStr">
        <is>
          <t>Wk 35</t>
        </is>
      </c>
      <c r="C2337" s="66" t="inlineStr">
        <is>
          <t>Wed</t>
        </is>
      </c>
      <c r="D2337" s="66" t="inlineStr">
        <is>
          <t>Programmatic</t>
        </is>
      </c>
      <c r="E2337" s="66" t="inlineStr">
        <is>
          <t>DV360</t>
        </is>
      </c>
      <c r="F2337" s="66" t="inlineStr">
        <is>
          <t>LEP_ZA_AUG26_PROG_RMKT_DYNAMIC</t>
        </is>
      </c>
      <c r="G2337" s="66" t="inlineStr">
        <is>
          <t>Dynamic Retargeting</t>
        </is>
      </c>
      <c r="H2337" s="66" t="inlineStr">
        <is>
          <t>Range</t>
        </is>
      </c>
      <c r="I2337" s="66" t="inlineStr">
        <is>
          <t>Range Offer</t>
        </is>
      </c>
      <c r="J2337" s="66" t="inlineStr">
        <is>
          <t>PROG_DYN_RMKT_7D</t>
        </is>
      </c>
      <c r="K2337" s="66" t="inlineStr">
        <is>
          <t>Retargeting</t>
        </is>
      </c>
      <c r="L2337" s="66" t="inlineStr">
        <is>
          <t>PROG_DYN_160x600_ModelSeen_v1</t>
        </is>
      </c>
      <c r="M2337" s="66" t="inlineStr">
        <is>
          <t>Dynamic Display 160x600</t>
        </is>
      </c>
      <c r="N2337" s="66" t="inlineStr">
        <is>
          <t>Still thinking about it?</t>
        </is>
      </c>
      <c r="O2337" s="66" t="inlineStr">
        <is>
          <t>Auction - Lowest Cost</t>
        </is>
      </c>
      <c r="P2337" s="66" t="inlineStr">
        <is>
          <t>Conversions (CPA)</t>
        </is>
      </c>
      <c r="Q2337" s="66" t="inlineStr">
        <is>
          <t>https://www.lepas-sa.co.za/book-a-test-drive</t>
        </is>
      </c>
      <c r="R2337" s="121" t="n">
        <v>101.99</v>
      </c>
      <c r="S2337" s="122" t="n">
        <v>3365</v>
      </c>
      <c r="T2337" s="122" t="n">
        <v>1529</v>
      </c>
      <c r="U2337" s="123">
        <f>IFERROR(S2337/T2337,"")</f>
        <v/>
      </c>
      <c r="V2337" s="122" t="n">
        <v>13</v>
      </c>
      <c r="W2337" s="122" t="n">
        <v>10</v>
      </c>
      <c r="X2337" s="124">
        <f>IFERROR(W2337/S2337,"")</f>
        <v/>
      </c>
      <c r="Y2337" s="121">
        <f>IFERROR(R2337/W2337,"")</f>
        <v/>
      </c>
      <c r="Z2337" s="121">
        <f>IFERROR(R2337/S2337*1000,"")</f>
        <v/>
      </c>
      <c r="AA2337" s="122" t="n">
        <v>5</v>
      </c>
      <c r="AB2337" s="54">
        <f>IFERROR(AA2337/W2337,"")</f>
        <v/>
      </c>
      <c r="AC2337" s="122" t="n">
        <v>0</v>
      </c>
      <c r="AD2337" s="122" t="n">
        <v>0</v>
      </c>
      <c r="AE2337" s="122" t="n">
        <v>0</v>
      </c>
      <c r="AF2337" s="122" t="n">
        <v>0</v>
      </c>
      <c r="AG2337" s="122" t="n">
        <v>0</v>
      </c>
      <c r="AH2337" s="122" t="n">
        <v>0</v>
      </c>
      <c r="AI2337" s="54">
        <f>IFERROR(AC2337/S2337,"")</f>
        <v/>
      </c>
      <c r="AJ2337" s="54">
        <f>IFERROR(AH2337/S2337,"")</f>
        <v/>
      </c>
      <c r="AK2337" s="122" t="n">
        <v>18</v>
      </c>
      <c r="AL2337" s="122" t="n">
        <v>0</v>
      </c>
      <c r="AM2337" s="124">
        <f>IFERROR(AL2337/AA2337,"")</f>
        <v/>
      </c>
      <c r="AN2337" s="125">
        <f>IFERROR(R2337/AL2337,"")</f>
        <v/>
      </c>
      <c r="AO2337" s="122" t="n">
        <v>0</v>
      </c>
      <c r="AP2337" s="54">
        <f>IFERROR(AO2337/AL2337,"")</f>
        <v/>
      </c>
      <c r="AQ2337" s="125">
        <f>IFERROR(R2337/AO2337,"")</f>
        <v/>
      </c>
      <c r="AR2337" s="122" t="n">
        <v>0</v>
      </c>
      <c r="AS2337" s="122" t="n">
        <v>0</v>
      </c>
      <c r="AT2337" s="122">
        <f>AL2337+AR2337</f>
        <v/>
      </c>
      <c r="AU2337" s="125">
        <f>IFERROR(AO2337*Assumptions!$C$26*Assumptions!$C$27*INDEX(Assumptions!$C$18:$C$21,MATCH(H2337,Assumptions!$B$18:$B$21,0)),0)</f>
        <v/>
      </c>
    </row>
    <row r="2338">
      <c r="A2338" s="120" t="n">
        <v>46261</v>
      </c>
      <c r="B2338" s="66" t="inlineStr">
        <is>
          <t>Wk 35</t>
        </is>
      </c>
      <c r="C2338" s="66" t="inlineStr">
        <is>
          <t>Thu</t>
        </is>
      </c>
      <c r="D2338" s="66" t="inlineStr">
        <is>
          <t>Programmatic</t>
        </is>
      </c>
      <c r="E2338" s="66" t="inlineStr">
        <is>
          <t>DV360</t>
        </is>
      </c>
      <c r="F2338" s="66" t="inlineStr">
        <is>
          <t>LEP_ZA_AUG26_PROG_RMKT_DYNAMIC</t>
        </is>
      </c>
      <c r="G2338" s="66" t="inlineStr">
        <is>
          <t>Dynamic Retargeting</t>
        </is>
      </c>
      <c r="H2338" s="66" t="inlineStr">
        <is>
          <t>Range</t>
        </is>
      </c>
      <c r="I2338" s="66" t="inlineStr">
        <is>
          <t>Range Offer</t>
        </is>
      </c>
      <c r="J2338" s="66" t="inlineStr">
        <is>
          <t>PROG_DYN_RMKT_7D</t>
        </is>
      </c>
      <c r="K2338" s="66" t="inlineStr">
        <is>
          <t>Retargeting</t>
        </is>
      </c>
      <c r="L2338" s="66" t="inlineStr">
        <is>
          <t>PROG_DYN_160x600_ModelSeen_v1</t>
        </is>
      </c>
      <c r="M2338" s="66" t="inlineStr">
        <is>
          <t>Dynamic Display 160x600</t>
        </is>
      </c>
      <c r="N2338" s="66" t="inlineStr">
        <is>
          <t>Still thinking about it?</t>
        </is>
      </c>
      <c r="O2338" s="66" t="inlineStr">
        <is>
          <t>Auction - Lowest Cost</t>
        </is>
      </c>
      <c r="P2338" s="66" t="inlineStr">
        <is>
          <t>Conversions (CPA)</t>
        </is>
      </c>
      <c r="Q2338" s="66" t="inlineStr">
        <is>
          <t>https://www.lepas-sa.co.za/book-a-test-drive</t>
        </is>
      </c>
      <c r="R2338" s="121" t="n">
        <v>137.24</v>
      </c>
      <c r="S2338" s="122" t="n">
        <v>4473</v>
      </c>
      <c r="T2338" s="122" t="n">
        <v>2315</v>
      </c>
      <c r="U2338" s="123">
        <f>IFERROR(S2338/T2338,"")</f>
        <v/>
      </c>
      <c r="V2338" s="122" t="n">
        <v>8</v>
      </c>
      <c r="W2338" s="122" t="n">
        <v>7</v>
      </c>
      <c r="X2338" s="124">
        <f>IFERROR(W2338/S2338,"")</f>
        <v/>
      </c>
      <c r="Y2338" s="121">
        <f>IFERROR(R2338/W2338,"")</f>
        <v/>
      </c>
      <c r="Z2338" s="121">
        <f>IFERROR(R2338/S2338*1000,"")</f>
        <v/>
      </c>
      <c r="AA2338" s="122" t="n">
        <v>5</v>
      </c>
      <c r="AB2338" s="54">
        <f>IFERROR(AA2338/W2338,"")</f>
        <v/>
      </c>
      <c r="AC2338" s="122" t="n">
        <v>0</v>
      </c>
      <c r="AD2338" s="122" t="n">
        <v>0</v>
      </c>
      <c r="AE2338" s="122" t="n">
        <v>0</v>
      </c>
      <c r="AF2338" s="122" t="n">
        <v>0</v>
      </c>
      <c r="AG2338" s="122" t="n">
        <v>0</v>
      </c>
      <c r="AH2338" s="122" t="n">
        <v>0</v>
      </c>
      <c r="AI2338" s="54">
        <f>IFERROR(AC2338/S2338,"")</f>
        <v/>
      </c>
      <c r="AJ2338" s="54">
        <f>IFERROR(AH2338/S2338,"")</f>
        <v/>
      </c>
      <c r="AK2338" s="122" t="n">
        <v>8</v>
      </c>
      <c r="AL2338" s="122" t="n">
        <v>0</v>
      </c>
      <c r="AM2338" s="124">
        <f>IFERROR(AL2338/AA2338,"")</f>
        <v/>
      </c>
      <c r="AN2338" s="125">
        <f>IFERROR(R2338/AL2338,"")</f>
        <v/>
      </c>
      <c r="AO2338" s="122" t="n">
        <v>0</v>
      </c>
      <c r="AP2338" s="54">
        <f>IFERROR(AO2338/AL2338,"")</f>
        <v/>
      </c>
      <c r="AQ2338" s="125">
        <f>IFERROR(R2338/AO2338,"")</f>
        <v/>
      </c>
      <c r="AR2338" s="122" t="n">
        <v>0</v>
      </c>
      <c r="AS2338" s="122" t="n">
        <v>0</v>
      </c>
      <c r="AT2338" s="122">
        <f>AL2338+AR2338</f>
        <v/>
      </c>
      <c r="AU2338" s="125">
        <f>IFERROR(AO2338*Assumptions!$C$26*Assumptions!$C$27*INDEX(Assumptions!$C$18:$C$21,MATCH(H2338,Assumptions!$B$18:$B$21,0)),0)</f>
        <v/>
      </c>
    </row>
    <row r="2339">
      <c r="A2339" s="120" t="n">
        <v>46262</v>
      </c>
      <c r="B2339" s="66" t="inlineStr">
        <is>
          <t>Wk 35</t>
        </is>
      </c>
      <c r="C2339" s="66" t="inlineStr">
        <is>
          <t>Fri</t>
        </is>
      </c>
      <c r="D2339" s="66" t="inlineStr">
        <is>
          <t>Programmatic</t>
        </is>
      </c>
      <c r="E2339" s="66" t="inlineStr">
        <is>
          <t>DV360</t>
        </is>
      </c>
      <c r="F2339" s="66" t="inlineStr">
        <is>
          <t>LEP_ZA_AUG26_PROG_RMKT_DYNAMIC</t>
        </is>
      </c>
      <c r="G2339" s="66" t="inlineStr">
        <is>
          <t>Dynamic Retargeting</t>
        </is>
      </c>
      <c r="H2339" s="66" t="inlineStr">
        <is>
          <t>Range</t>
        </is>
      </c>
      <c r="I2339" s="66" t="inlineStr">
        <is>
          <t>Range Offer</t>
        </is>
      </c>
      <c r="J2339" s="66" t="inlineStr">
        <is>
          <t>PROG_DYN_RMKT_7D</t>
        </is>
      </c>
      <c r="K2339" s="66" t="inlineStr">
        <is>
          <t>Retargeting</t>
        </is>
      </c>
      <c r="L2339" s="66" t="inlineStr">
        <is>
          <t>PROG_DYN_160x600_ModelSeen_v1</t>
        </is>
      </c>
      <c r="M2339" s="66" t="inlineStr">
        <is>
          <t>Dynamic Display 160x600</t>
        </is>
      </c>
      <c r="N2339" s="66" t="inlineStr">
        <is>
          <t>Still thinking about it?</t>
        </is>
      </c>
      <c r="O2339" s="66" t="inlineStr">
        <is>
          <t>Auction - Lowest Cost</t>
        </is>
      </c>
      <c r="P2339" s="66" t="inlineStr">
        <is>
          <t>Conversions (CPA)</t>
        </is>
      </c>
      <c r="Q2339" s="66" t="inlineStr">
        <is>
          <t>https://www.lepas-sa.co.za/book-a-test-drive</t>
        </is>
      </c>
      <c r="R2339" s="121" t="n">
        <v>140.84</v>
      </c>
      <c r="S2339" s="122" t="n">
        <v>3502</v>
      </c>
      <c r="T2339" s="122" t="n">
        <v>2010</v>
      </c>
      <c r="U2339" s="123">
        <f>IFERROR(S2339/T2339,"")</f>
        <v/>
      </c>
      <c r="V2339" s="122" t="n">
        <v>16</v>
      </c>
      <c r="W2339" s="122" t="n">
        <v>12</v>
      </c>
      <c r="X2339" s="124">
        <f>IFERROR(W2339/S2339,"")</f>
        <v/>
      </c>
      <c r="Y2339" s="121">
        <f>IFERROR(R2339/W2339,"")</f>
        <v/>
      </c>
      <c r="Z2339" s="121">
        <f>IFERROR(R2339/S2339*1000,"")</f>
        <v/>
      </c>
      <c r="AA2339" s="122" t="n">
        <v>9</v>
      </c>
      <c r="AB2339" s="54">
        <f>IFERROR(AA2339/W2339,"")</f>
        <v/>
      </c>
      <c r="AC2339" s="122" t="n">
        <v>0</v>
      </c>
      <c r="AD2339" s="122" t="n">
        <v>0</v>
      </c>
      <c r="AE2339" s="122" t="n">
        <v>0</v>
      </c>
      <c r="AF2339" s="122" t="n">
        <v>0</v>
      </c>
      <c r="AG2339" s="122" t="n">
        <v>0</v>
      </c>
      <c r="AH2339" s="122" t="n">
        <v>0</v>
      </c>
      <c r="AI2339" s="54">
        <f>IFERROR(AC2339/S2339,"")</f>
        <v/>
      </c>
      <c r="AJ2339" s="54">
        <f>IFERROR(AH2339/S2339,"")</f>
        <v/>
      </c>
      <c r="AK2339" s="122" t="n">
        <v>14</v>
      </c>
      <c r="AL2339" s="122" t="n">
        <v>1</v>
      </c>
      <c r="AM2339" s="124">
        <f>IFERROR(AL2339/AA2339,"")</f>
        <v/>
      </c>
      <c r="AN2339" s="125">
        <f>IFERROR(R2339/AL2339,"")</f>
        <v/>
      </c>
      <c r="AO2339" s="122" t="n">
        <v>0</v>
      </c>
      <c r="AP2339" s="54">
        <f>IFERROR(AO2339/AL2339,"")</f>
        <v/>
      </c>
      <c r="AQ2339" s="125">
        <f>IFERROR(R2339/AO2339,"")</f>
        <v/>
      </c>
      <c r="AR2339" s="122" t="n">
        <v>3</v>
      </c>
      <c r="AS2339" s="122" t="n">
        <v>1</v>
      </c>
      <c r="AT2339" s="122">
        <f>AL2339+AR2339</f>
        <v/>
      </c>
      <c r="AU2339" s="125">
        <f>IFERROR(AO2339*Assumptions!$C$26*Assumptions!$C$27*INDEX(Assumptions!$C$18:$C$21,MATCH(H2339,Assumptions!$B$18:$B$21,0)),0)</f>
        <v/>
      </c>
    </row>
    <row r="2340">
      <c r="A2340" s="120" t="n">
        <v>46263</v>
      </c>
      <c r="B2340" s="66" t="inlineStr">
        <is>
          <t>Wk 35</t>
        </is>
      </c>
      <c r="C2340" s="66" t="inlineStr">
        <is>
          <t>Sat</t>
        </is>
      </c>
      <c r="D2340" s="66" t="inlineStr">
        <is>
          <t>Programmatic</t>
        </is>
      </c>
      <c r="E2340" s="66" t="inlineStr">
        <is>
          <t>DV360</t>
        </is>
      </c>
      <c r="F2340" s="66" t="inlineStr">
        <is>
          <t>LEP_ZA_AUG26_PROG_RMKT_DYNAMIC</t>
        </is>
      </c>
      <c r="G2340" s="66" t="inlineStr">
        <is>
          <t>Dynamic Retargeting</t>
        </is>
      </c>
      <c r="H2340" s="66" t="inlineStr">
        <is>
          <t>Range</t>
        </is>
      </c>
      <c r="I2340" s="66" t="inlineStr">
        <is>
          <t>Range Offer</t>
        </is>
      </c>
      <c r="J2340" s="66" t="inlineStr">
        <is>
          <t>PROG_DYN_RMKT_7D</t>
        </is>
      </c>
      <c r="K2340" s="66" t="inlineStr">
        <is>
          <t>Retargeting</t>
        </is>
      </c>
      <c r="L2340" s="66" t="inlineStr">
        <is>
          <t>PROG_DYN_160x600_ModelSeen_v1</t>
        </is>
      </c>
      <c r="M2340" s="66" t="inlineStr">
        <is>
          <t>Dynamic Display 160x600</t>
        </is>
      </c>
      <c r="N2340" s="66" t="inlineStr">
        <is>
          <t>Still thinking about it?</t>
        </is>
      </c>
      <c r="O2340" s="66" t="inlineStr">
        <is>
          <t>Auction - Lowest Cost</t>
        </is>
      </c>
      <c r="P2340" s="66" t="inlineStr">
        <is>
          <t>Conversions (CPA)</t>
        </is>
      </c>
      <c r="Q2340" s="66" t="inlineStr">
        <is>
          <t>https://www.lepas-sa.co.za/book-a-test-drive</t>
        </is>
      </c>
      <c r="R2340" s="121" t="n">
        <v>121.52</v>
      </c>
      <c r="S2340" s="122" t="n">
        <v>2960</v>
      </c>
      <c r="T2340" s="122" t="n">
        <v>1445</v>
      </c>
      <c r="U2340" s="123">
        <f>IFERROR(S2340/T2340,"")</f>
        <v/>
      </c>
      <c r="V2340" s="122" t="n">
        <v>5</v>
      </c>
      <c r="W2340" s="122" t="n">
        <v>4</v>
      </c>
      <c r="X2340" s="124">
        <f>IFERROR(W2340/S2340,"")</f>
        <v/>
      </c>
      <c r="Y2340" s="121">
        <f>IFERROR(R2340/W2340,"")</f>
        <v/>
      </c>
      <c r="Z2340" s="121">
        <f>IFERROR(R2340/S2340*1000,"")</f>
        <v/>
      </c>
      <c r="AA2340" s="122" t="n">
        <v>3</v>
      </c>
      <c r="AB2340" s="54">
        <f>IFERROR(AA2340/W2340,"")</f>
        <v/>
      </c>
      <c r="AC2340" s="122" t="n">
        <v>0</v>
      </c>
      <c r="AD2340" s="122" t="n">
        <v>0</v>
      </c>
      <c r="AE2340" s="122" t="n">
        <v>0</v>
      </c>
      <c r="AF2340" s="122" t="n">
        <v>0</v>
      </c>
      <c r="AG2340" s="122" t="n">
        <v>0</v>
      </c>
      <c r="AH2340" s="122" t="n">
        <v>0</v>
      </c>
      <c r="AI2340" s="54">
        <f>IFERROR(AC2340/S2340,"")</f>
        <v/>
      </c>
      <c r="AJ2340" s="54">
        <f>IFERROR(AH2340/S2340,"")</f>
        <v/>
      </c>
      <c r="AK2340" s="122" t="n">
        <v>9</v>
      </c>
      <c r="AL2340" s="122" t="n">
        <v>0</v>
      </c>
      <c r="AM2340" s="124">
        <f>IFERROR(AL2340/AA2340,"")</f>
        <v/>
      </c>
      <c r="AN2340" s="125">
        <f>IFERROR(R2340/AL2340,"")</f>
        <v/>
      </c>
      <c r="AO2340" s="122" t="n">
        <v>0</v>
      </c>
      <c r="AP2340" s="54">
        <f>IFERROR(AO2340/AL2340,"")</f>
        <v/>
      </c>
      <c r="AQ2340" s="125">
        <f>IFERROR(R2340/AO2340,"")</f>
        <v/>
      </c>
      <c r="AR2340" s="122" t="n">
        <v>0</v>
      </c>
      <c r="AS2340" s="122" t="n">
        <v>0</v>
      </c>
      <c r="AT2340" s="122">
        <f>AL2340+AR2340</f>
        <v/>
      </c>
      <c r="AU2340" s="125">
        <f>IFERROR(AO2340*Assumptions!$C$26*Assumptions!$C$27*INDEX(Assumptions!$C$18:$C$21,MATCH(H2340,Assumptions!$B$18:$B$21,0)),0)</f>
        <v/>
      </c>
    </row>
    <row r="2341">
      <c r="A2341" s="120" t="n">
        <v>46264</v>
      </c>
      <c r="B2341" s="66" t="inlineStr">
        <is>
          <t>Wk 35</t>
        </is>
      </c>
      <c r="C2341" s="66" t="inlineStr">
        <is>
          <t>Sun</t>
        </is>
      </c>
      <c r="D2341" s="66" t="inlineStr">
        <is>
          <t>Programmatic</t>
        </is>
      </c>
      <c r="E2341" s="66" t="inlineStr">
        <is>
          <t>DV360</t>
        </is>
      </c>
      <c r="F2341" s="66" t="inlineStr">
        <is>
          <t>LEP_ZA_AUG26_PROG_RMKT_DYNAMIC</t>
        </is>
      </c>
      <c r="G2341" s="66" t="inlineStr">
        <is>
          <t>Dynamic Retargeting</t>
        </is>
      </c>
      <c r="H2341" s="66" t="inlineStr">
        <is>
          <t>Range</t>
        </is>
      </c>
      <c r="I2341" s="66" t="inlineStr">
        <is>
          <t>Range Offer</t>
        </is>
      </c>
      <c r="J2341" s="66" t="inlineStr">
        <is>
          <t>PROG_DYN_RMKT_7D</t>
        </is>
      </c>
      <c r="K2341" s="66" t="inlineStr">
        <is>
          <t>Retargeting</t>
        </is>
      </c>
      <c r="L2341" s="66" t="inlineStr">
        <is>
          <t>PROG_DYN_160x600_ModelSeen_v1</t>
        </is>
      </c>
      <c r="M2341" s="66" t="inlineStr">
        <is>
          <t>Dynamic Display 160x600</t>
        </is>
      </c>
      <c r="N2341" s="66" t="inlineStr">
        <is>
          <t>Still thinking about it?</t>
        </is>
      </c>
      <c r="O2341" s="66" t="inlineStr">
        <is>
          <t>Auction - Lowest Cost</t>
        </is>
      </c>
      <c r="P2341" s="66" t="inlineStr">
        <is>
          <t>Conversions (CPA)</t>
        </is>
      </c>
      <c r="Q2341" s="66" t="inlineStr">
        <is>
          <t>https://www.lepas-sa.co.za/book-a-test-drive</t>
        </is>
      </c>
      <c r="R2341" s="121" t="n">
        <v>107.64</v>
      </c>
      <c r="S2341" s="122" t="n">
        <v>2673</v>
      </c>
      <c r="T2341" s="122" t="n">
        <v>934</v>
      </c>
      <c r="U2341" s="123">
        <f>IFERROR(S2341/T2341,"")</f>
        <v/>
      </c>
      <c r="V2341" s="122" t="n">
        <v>10</v>
      </c>
      <c r="W2341" s="122" t="n">
        <v>7</v>
      </c>
      <c r="X2341" s="124">
        <f>IFERROR(W2341/S2341,"")</f>
        <v/>
      </c>
      <c r="Y2341" s="121">
        <f>IFERROR(R2341/W2341,"")</f>
        <v/>
      </c>
      <c r="Z2341" s="121">
        <f>IFERROR(R2341/S2341*1000,"")</f>
        <v/>
      </c>
      <c r="AA2341" s="122" t="n">
        <v>4</v>
      </c>
      <c r="AB2341" s="54">
        <f>IFERROR(AA2341/W2341,"")</f>
        <v/>
      </c>
      <c r="AC2341" s="122" t="n">
        <v>0</v>
      </c>
      <c r="AD2341" s="122" t="n">
        <v>0</v>
      </c>
      <c r="AE2341" s="122" t="n">
        <v>0</v>
      </c>
      <c r="AF2341" s="122" t="n">
        <v>0</v>
      </c>
      <c r="AG2341" s="122" t="n">
        <v>0</v>
      </c>
      <c r="AH2341" s="122" t="n">
        <v>0</v>
      </c>
      <c r="AI2341" s="54">
        <f>IFERROR(AC2341/S2341,"")</f>
        <v/>
      </c>
      <c r="AJ2341" s="54">
        <f>IFERROR(AH2341/S2341,"")</f>
        <v/>
      </c>
      <c r="AK2341" s="122" t="n">
        <v>8</v>
      </c>
      <c r="AL2341" s="122" t="n">
        <v>0</v>
      </c>
      <c r="AM2341" s="124">
        <f>IFERROR(AL2341/AA2341,"")</f>
        <v/>
      </c>
      <c r="AN2341" s="125">
        <f>IFERROR(R2341/AL2341,"")</f>
        <v/>
      </c>
      <c r="AO2341" s="122" t="n">
        <v>0</v>
      </c>
      <c r="AP2341" s="54">
        <f>IFERROR(AO2341/AL2341,"")</f>
        <v/>
      </c>
      <c r="AQ2341" s="125">
        <f>IFERROR(R2341/AO2341,"")</f>
        <v/>
      </c>
      <c r="AR2341" s="122" t="n">
        <v>0</v>
      </c>
      <c r="AS2341" s="122" t="n">
        <v>0</v>
      </c>
      <c r="AT2341" s="122">
        <f>AL2341+AR2341</f>
        <v/>
      </c>
      <c r="AU2341" s="125">
        <f>IFERROR(AO2341*Assumptions!$C$26*Assumptions!$C$27*INDEX(Assumptions!$C$18:$C$21,MATCH(H2341,Assumptions!$B$18:$B$21,0)),0)</f>
        <v/>
      </c>
    </row>
    <row r="2342">
      <c r="A2342" s="120" t="n">
        <v>46265</v>
      </c>
      <c r="B2342" s="66" t="inlineStr">
        <is>
          <t>Wk 36</t>
        </is>
      </c>
      <c r="C2342" s="66" t="inlineStr">
        <is>
          <t>Mon</t>
        </is>
      </c>
      <c r="D2342" s="66" t="inlineStr">
        <is>
          <t>Programmatic</t>
        </is>
      </c>
      <c r="E2342" s="66" t="inlineStr">
        <is>
          <t>DV360</t>
        </is>
      </c>
      <c r="F2342" s="66" t="inlineStr">
        <is>
          <t>LEP_ZA_AUG26_PROG_RMKT_DYNAMIC</t>
        </is>
      </c>
      <c r="G2342" s="66" t="inlineStr">
        <is>
          <t>Dynamic Retargeting</t>
        </is>
      </c>
      <c r="H2342" s="66" t="inlineStr">
        <is>
          <t>Range</t>
        </is>
      </c>
      <c r="I2342" s="66" t="inlineStr">
        <is>
          <t>Range Offer</t>
        </is>
      </c>
      <c r="J2342" s="66" t="inlineStr">
        <is>
          <t>PROG_DYN_RMKT_7D</t>
        </is>
      </c>
      <c r="K2342" s="66" t="inlineStr">
        <is>
          <t>Retargeting</t>
        </is>
      </c>
      <c r="L2342" s="66" t="inlineStr">
        <is>
          <t>PROG_DYN_160x600_ModelSeen_v1</t>
        </is>
      </c>
      <c r="M2342" s="66" t="inlineStr">
        <is>
          <t>Dynamic Display 160x600</t>
        </is>
      </c>
      <c r="N2342" s="66" t="inlineStr">
        <is>
          <t>Still thinking about it?</t>
        </is>
      </c>
      <c r="O2342" s="66" t="inlineStr">
        <is>
          <t>Auction - Lowest Cost</t>
        </is>
      </c>
      <c r="P2342" s="66" t="inlineStr">
        <is>
          <t>Conversions (CPA)</t>
        </is>
      </c>
      <c r="Q2342" s="66" t="inlineStr">
        <is>
          <t>https://www.lepas-sa.co.za/book-a-test-drive</t>
        </is>
      </c>
      <c r="R2342" s="121" t="n">
        <v>93.34999999999999</v>
      </c>
      <c r="S2342" s="122" t="n">
        <v>3339</v>
      </c>
      <c r="T2342" s="122" t="n">
        <v>1112</v>
      </c>
      <c r="U2342" s="123">
        <f>IFERROR(S2342/T2342,"")</f>
        <v/>
      </c>
      <c r="V2342" s="122" t="n">
        <v>10</v>
      </c>
      <c r="W2342" s="122" t="n">
        <v>8</v>
      </c>
      <c r="X2342" s="124">
        <f>IFERROR(W2342/S2342,"")</f>
        <v/>
      </c>
      <c r="Y2342" s="121">
        <f>IFERROR(R2342/W2342,"")</f>
        <v/>
      </c>
      <c r="Z2342" s="121">
        <f>IFERROR(R2342/S2342*1000,"")</f>
        <v/>
      </c>
      <c r="AA2342" s="122" t="n">
        <v>5</v>
      </c>
      <c r="AB2342" s="54">
        <f>IFERROR(AA2342/W2342,"")</f>
        <v/>
      </c>
      <c r="AC2342" s="122" t="n">
        <v>0</v>
      </c>
      <c r="AD2342" s="122" t="n">
        <v>0</v>
      </c>
      <c r="AE2342" s="122" t="n">
        <v>0</v>
      </c>
      <c r="AF2342" s="122" t="n">
        <v>0</v>
      </c>
      <c r="AG2342" s="122" t="n">
        <v>0</v>
      </c>
      <c r="AH2342" s="122" t="n">
        <v>0</v>
      </c>
      <c r="AI2342" s="54">
        <f>IFERROR(AC2342/S2342,"")</f>
        <v/>
      </c>
      <c r="AJ2342" s="54">
        <f>IFERROR(AH2342/S2342,"")</f>
        <v/>
      </c>
      <c r="AK2342" s="122" t="n">
        <v>16</v>
      </c>
      <c r="AL2342" s="122" t="n">
        <v>1</v>
      </c>
      <c r="AM2342" s="124">
        <f>IFERROR(AL2342/AA2342,"")</f>
        <v/>
      </c>
      <c r="AN2342" s="125">
        <f>IFERROR(R2342/AL2342,"")</f>
        <v/>
      </c>
      <c r="AO2342" s="122" t="n">
        <v>1</v>
      </c>
      <c r="AP2342" s="54">
        <f>IFERROR(AO2342/AL2342,"")</f>
        <v/>
      </c>
      <c r="AQ2342" s="125">
        <f>IFERROR(R2342/AO2342,"")</f>
        <v/>
      </c>
      <c r="AR2342" s="122" t="n">
        <v>2</v>
      </c>
      <c r="AS2342" s="122" t="n">
        <v>1</v>
      </c>
      <c r="AT2342" s="122">
        <f>AL2342+AR2342</f>
        <v/>
      </c>
      <c r="AU2342" s="125">
        <f>IFERROR(AO2342*Assumptions!$C$26*Assumptions!$C$27*INDEX(Assumptions!$C$18:$C$21,MATCH(H2342,Assumptions!$B$18:$B$21,0)),0)</f>
        <v/>
      </c>
    </row>
    <row r="2343">
      <c r="A2343" s="120" t="n">
        <v>46235</v>
      </c>
      <c r="B2343" s="66" t="inlineStr">
        <is>
          <t>Wk 31</t>
        </is>
      </c>
      <c r="C2343" s="66" t="inlineStr">
        <is>
          <t>Sat</t>
        </is>
      </c>
      <c r="D2343" s="66" t="inlineStr">
        <is>
          <t>Programmatic</t>
        </is>
      </c>
      <c r="E2343" s="66" t="inlineStr">
        <is>
          <t>DV360</t>
        </is>
      </c>
      <c r="F2343" s="66" t="inlineStr">
        <is>
          <t>LEP_ZA_AUG26_PROG_RMKT_DYNAMIC</t>
        </is>
      </c>
      <c r="G2343" s="66" t="inlineStr">
        <is>
          <t>Dynamic Retargeting</t>
        </is>
      </c>
      <c r="H2343" s="66" t="inlineStr">
        <is>
          <t>Range</t>
        </is>
      </c>
      <c r="I2343" s="66" t="inlineStr">
        <is>
          <t>Range Offer</t>
        </is>
      </c>
      <c r="J2343" s="66" t="inlineStr">
        <is>
          <t>PROG_DYN_RMKT_7D</t>
        </is>
      </c>
      <c r="K2343" s="66" t="inlineStr">
        <is>
          <t>Retargeting</t>
        </is>
      </c>
      <c r="L2343" s="66" t="inlineStr">
        <is>
          <t>PROG_DYN_320x50_BookNow_v1</t>
        </is>
      </c>
      <c r="M2343" s="66" t="inlineStr">
        <is>
          <t>Dynamic Display 320x50</t>
        </is>
      </c>
      <c r="N2343" s="66" t="inlineStr">
        <is>
          <t>Book your test drive</t>
        </is>
      </c>
      <c r="O2343" s="66" t="inlineStr">
        <is>
          <t>Auction - Lowest Cost</t>
        </is>
      </c>
      <c r="P2343" s="66" t="inlineStr">
        <is>
          <t>Conversions (CPA)</t>
        </is>
      </c>
      <c r="Q2343" s="66" t="inlineStr">
        <is>
          <t>https://www.lepas-sa.co.za/book-a-test-drive</t>
        </is>
      </c>
      <c r="R2343" s="121" t="n">
        <v>73.58</v>
      </c>
      <c r="S2343" s="122" t="n">
        <v>1980</v>
      </c>
      <c r="T2343" s="122" t="n">
        <v>1023</v>
      </c>
      <c r="U2343" s="123">
        <f>IFERROR(S2343/T2343,"")</f>
        <v/>
      </c>
      <c r="V2343" s="122" t="n">
        <v>7</v>
      </c>
      <c r="W2343" s="122" t="n">
        <v>6</v>
      </c>
      <c r="X2343" s="124">
        <f>IFERROR(W2343/S2343,"")</f>
        <v/>
      </c>
      <c r="Y2343" s="121">
        <f>IFERROR(R2343/W2343,"")</f>
        <v/>
      </c>
      <c r="Z2343" s="121">
        <f>IFERROR(R2343/S2343*1000,"")</f>
        <v/>
      </c>
      <c r="AA2343" s="122" t="n">
        <v>3</v>
      </c>
      <c r="AB2343" s="54">
        <f>IFERROR(AA2343/W2343,"")</f>
        <v/>
      </c>
      <c r="AC2343" s="122" t="n">
        <v>0</v>
      </c>
      <c r="AD2343" s="122" t="n">
        <v>0</v>
      </c>
      <c r="AE2343" s="122" t="n">
        <v>0</v>
      </c>
      <c r="AF2343" s="122" t="n">
        <v>0</v>
      </c>
      <c r="AG2343" s="122" t="n">
        <v>0</v>
      </c>
      <c r="AH2343" s="122" t="n">
        <v>0</v>
      </c>
      <c r="AI2343" s="54">
        <f>IFERROR(AC2343/S2343,"")</f>
        <v/>
      </c>
      <c r="AJ2343" s="54">
        <f>IFERROR(AH2343/S2343,"")</f>
        <v/>
      </c>
      <c r="AK2343" s="122" t="n">
        <v>4</v>
      </c>
      <c r="AL2343" s="122" t="n">
        <v>1</v>
      </c>
      <c r="AM2343" s="124">
        <f>IFERROR(AL2343/AA2343,"")</f>
        <v/>
      </c>
      <c r="AN2343" s="125">
        <f>IFERROR(R2343/AL2343,"")</f>
        <v/>
      </c>
      <c r="AO2343" s="122" t="n">
        <v>1</v>
      </c>
      <c r="AP2343" s="54">
        <f>IFERROR(AO2343/AL2343,"")</f>
        <v/>
      </c>
      <c r="AQ2343" s="125">
        <f>IFERROR(R2343/AO2343,"")</f>
        <v/>
      </c>
      <c r="AR2343" s="122" t="n">
        <v>2</v>
      </c>
      <c r="AS2343" s="122" t="n">
        <v>1</v>
      </c>
      <c r="AT2343" s="122">
        <f>AL2343+AR2343</f>
        <v/>
      </c>
      <c r="AU2343" s="125">
        <f>IFERROR(AO2343*Assumptions!$C$26*Assumptions!$C$27*INDEX(Assumptions!$C$18:$C$21,MATCH(H2343,Assumptions!$B$18:$B$21,0)),0)</f>
        <v/>
      </c>
    </row>
    <row r="2344">
      <c r="A2344" s="120" t="n">
        <v>46236</v>
      </c>
      <c r="B2344" s="66" t="inlineStr">
        <is>
          <t>Wk 31</t>
        </is>
      </c>
      <c r="C2344" s="66" t="inlineStr">
        <is>
          <t>Sun</t>
        </is>
      </c>
      <c r="D2344" s="66" t="inlineStr">
        <is>
          <t>Programmatic</t>
        </is>
      </c>
      <c r="E2344" s="66" t="inlineStr">
        <is>
          <t>DV360</t>
        </is>
      </c>
      <c r="F2344" s="66" t="inlineStr">
        <is>
          <t>LEP_ZA_AUG26_PROG_RMKT_DYNAMIC</t>
        </is>
      </c>
      <c r="G2344" s="66" t="inlineStr">
        <is>
          <t>Dynamic Retargeting</t>
        </is>
      </c>
      <c r="H2344" s="66" t="inlineStr">
        <is>
          <t>Range</t>
        </is>
      </c>
      <c r="I2344" s="66" t="inlineStr">
        <is>
          <t>Range Offer</t>
        </is>
      </c>
      <c r="J2344" s="66" t="inlineStr">
        <is>
          <t>PROG_DYN_RMKT_7D</t>
        </is>
      </c>
      <c r="K2344" s="66" t="inlineStr">
        <is>
          <t>Retargeting</t>
        </is>
      </c>
      <c r="L2344" s="66" t="inlineStr">
        <is>
          <t>PROG_DYN_320x50_BookNow_v1</t>
        </is>
      </c>
      <c r="M2344" s="66" t="inlineStr">
        <is>
          <t>Dynamic Display 320x50</t>
        </is>
      </c>
      <c r="N2344" s="66" t="inlineStr">
        <is>
          <t>Book your test drive</t>
        </is>
      </c>
      <c r="O2344" s="66" t="inlineStr">
        <is>
          <t>Auction - Lowest Cost</t>
        </is>
      </c>
      <c r="P2344" s="66" t="inlineStr">
        <is>
          <t>Conversions (CPA)</t>
        </is>
      </c>
      <c r="Q2344" s="66" t="inlineStr">
        <is>
          <t>https://www.lepas-sa.co.za/book-a-test-drive</t>
        </is>
      </c>
      <c r="R2344" s="121" t="n">
        <v>53.78</v>
      </c>
      <c r="S2344" s="122" t="n">
        <v>1412</v>
      </c>
      <c r="T2344" s="122" t="n">
        <v>845</v>
      </c>
      <c r="U2344" s="123">
        <f>IFERROR(S2344/T2344,"")</f>
        <v/>
      </c>
      <c r="V2344" s="122" t="n">
        <v>6</v>
      </c>
      <c r="W2344" s="122" t="n">
        <v>4</v>
      </c>
      <c r="X2344" s="124">
        <f>IFERROR(W2344/S2344,"")</f>
        <v/>
      </c>
      <c r="Y2344" s="121">
        <f>IFERROR(R2344/W2344,"")</f>
        <v/>
      </c>
      <c r="Z2344" s="121">
        <f>IFERROR(R2344/S2344*1000,"")</f>
        <v/>
      </c>
      <c r="AA2344" s="122" t="n">
        <v>3</v>
      </c>
      <c r="AB2344" s="54">
        <f>IFERROR(AA2344/W2344,"")</f>
        <v/>
      </c>
      <c r="AC2344" s="122" t="n">
        <v>0</v>
      </c>
      <c r="AD2344" s="122" t="n">
        <v>0</v>
      </c>
      <c r="AE2344" s="122" t="n">
        <v>0</v>
      </c>
      <c r="AF2344" s="122" t="n">
        <v>0</v>
      </c>
      <c r="AG2344" s="122" t="n">
        <v>0</v>
      </c>
      <c r="AH2344" s="122" t="n">
        <v>0</v>
      </c>
      <c r="AI2344" s="54">
        <f>IFERROR(AC2344/S2344,"")</f>
        <v/>
      </c>
      <c r="AJ2344" s="54">
        <f>IFERROR(AH2344/S2344,"")</f>
        <v/>
      </c>
      <c r="AK2344" s="122" t="n">
        <v>6</v>
      </c>
      <c r="AL2344" s="122" t="n">
        <v>0</v>
      </c>
      <c r="AM2344" s="124">
        <f>IFERROR(AL2344/AA2344,"")</f>
        <v/>
      </c>
      <c r="AN2344" s="125">
        <f>IFERROR(R2344/AL2344,"")</f>
        <v/>
      </c>
      <c r="AO2344" s="122" t="n">
        <v>0</v>
      </c>
      <c r="AP2344" s="54">
        <f>IFERROR(AO2344/AL2344,"")</f>
        <v/>
      </c>
      <c r="AQ2344" s="125">
        <f>IFERROR(R2344/AO2344,"")</f>
        <v/>
      </c>
      <c r="AR2344" s="122" t="n">
        <v>0</v>
      </c>
      <c r="AS2344" s="122" t="n">
        <v>0</v>
      </c>
      <c r="AT2344" s="122">
        <f>AL2344+AR2344</f>
        <v/>
      </c>
      <c r="AU2344" s="125">
        <f>IFERROR(AO2344*Assumptions!$C$26*Assumptions!$C$27*INDEX(Assumptions!$C$18:$C$21,MATCH(H2344,Assumptions!$B$18:$B$21,0)),0)</f>
        <v/>
      </c>
    </row>
    <row r="2345">
      <c r="A2345" s="120" t="n">
        <v>46237</v>
      </c>
      <c r="B2345" s="66" t="inlineStr">
        <is>
          <t>Wk 32</t>
        </is>
      </c>
      <c r="C2345" s="66" t="inlineStr">
        <is>
          <t>Mon</t>
        </is>
      </c>
      <c r="D2345" s="66" t="inlineStr">
        <is>
          <t>Programmatic</t>
        </is>
      </c>
      <c r="E2345" s="66" t="inlineStr">
        <is>
          <t>DV360</t>
        </is>
      </c>
      <c r="F2345" s="66" t="inlineStr">
        <is>
          <t>LEP_ZA_AUG26_PROG_RMKT_DYNAMIC</t>
        </is>
      </c>
      <c r="G2345" s="66" t="inlineStr">
        <is>
          <t>Dynamic Retargeting</t>
        </is>
      </c>
      <c r="H2345" s="66" t="inlineStr">
        <is>
          <t>Range</t>
        </is>
      </c>
      <c r="I2345" s="66" t="inlineStr">
        <is>
          <t>Range Offer</t>
        </is>
      </c>
      <c r="J2345" s="66" t="inlineStr">
        <is>
          <t>PROG_DYN_RMKT_7D</t>
        </is>
      </c>
      <c r="K2345" s="66" t="inlineStr">
        <is>
          <t>Retargeting</t>
        </is>
      </c>
      <c r="L2345" s="66" t="inlineStr">
        <is>
          <t>PROG_DYN_320x50_BookNow_v1</t>
        </is>
      </c>
      <c r="M2345" s="66" t="inlineStr">
        <is>
          <t>Dynamic Display 320x50</t>
        </is>
      </c>
      <c r="N2345" s="66" t="inlineStr">
        <is>
          <t>Book your test drive</t>
        </is>
      </c>
      <c r="O2345" s="66" t="inlineStr">
        <is>
          <t>Auction - Lowest Cost</t>
        </is>
      </c>
      <c r="P2345" s="66" t="inlineStr">
        <is>
          <t>Conversions (CPA)</t>
        </is>
      </c>
      <c r="Q2345" s="66" t="inlineStr">
        <is>
          <t>https://www.lepas-sa.co.za/book-a-test-drive</t>
        </is>
      </c>
      <c r="R2345" s="121" t="n">
        <v>57.76</v>
      </c>
      <c r="S2345" s="122" t="n">
        <v>2629</v>
      </c>
      <c r="T2345" s="122" t="n">
        <v>1278</v>
      </c>
      <c r="U2345" s="123">
        <f>IFERROR(S2345/T2345,"")</f>
        <v/>
      </c>
      <c r="V2345" s="122" t="n">
        <v>22</v>
      </c>
      <c r="W2345" s="122" t="n">
        <v>17</v>
      </c>
      <c r="X2345" s="124">
        <f>IFERROR(W2345/S2345,"")</f>
        <v/>
      </c>
      <c r="Y2345" s="121">
        <f>IFERROR(R2345/W2345,"")</f>
        <v/>
      </c>
      <c r="Z2345" s="121">
        <f>IFERROR(R2345/S2345*1000,"")</f>
        <v/>
      </c>
      <c r="AA2345" s="122" t="n">
        <v>12</v>
      </c>
      <c r="AB2345" s="54">
        <f>IFERROR(AA2345/W2345,"")</f>
        <v/>
      </c>
      <c r="AC2345" s="122" t="n">
        <v>0</v>
      </c>
      <c r="AD2345" s="122" t="n">
        <v>0</v>
      </c>
      <c r="AE2345" s="122" t="n">
        <v>0</v>
      </c>
      <c r="AF2345" s="122" t="n">
        <v>0</v>
      </c>
      <c r="AG2345" s="122" t="n">
        <v>0</v>
      </c>
      <c r="AH2345" s="122" t="n">
        <v>0</v>
      </c>
      <c r="AI2345" s="54">
        <f>IFERROR(AC2345/S2345,"")</f>
        <v/>
      </c>
      <c r="AJ2345" s="54">
        <f>IFERROR(AH2345/S2345,"")</f>
        <v/>
      </c>
      <c r="AK2345" s="122" t="n">
        <v>5</v>
      </c>
      <c r="AL2345" s="122" t="n">
        <v>0</v>
      </c>
      <c r="AM2345" s="124">
        <f>IFERROR(AL2345/AA2345,"")</f>
        <v/>
      </c>
      <c r="AN2345" s="125">
        <f>IFERROR(R2345/AL2345,"")</f>
        <v/>
      </c>
      <c r="AO2345" s="122" t="n">
        <v>0</v>
      </c>
      <c r="AP2345" s="54">
        <f>IFERROR(AO2345/AL2345,"")</f>
        <v/>
      </c>
      <c r="AQ2345" s="125">
        <f>IFERROR(R2345/AO2345,"")</f>
        <v/>
      </c>
      <c r="AR2345" s="122" t="n">
        <v>0</v>
      </c>
      <c r="AS2345" s="122" t="n">
        <v>0</v>
      </c>
      <c r="AT2345" s="122">
        <f>AL2345+AR2345</f>
        <v/>
      </c>
      <c r="AU2345" s="125">
        <f>IFERROR(AO2345*Assumptions!$C$26*Assumptions!$C$27*INDEX(Assumptions!$C$18:$C$21,MATCH(H2345,Assumptions!$B$18:$B$21,0)),0)</f>
        <v/>
      </c>
    </row>
    <row r="2346">
      <c r="A2346" s="120" t="n">
        <v>46238</v>
      </c>
      <c r="B2346" s="66" t="inlineStr">
        <is>
          <t>Wk 32</t>
        </is>
      </c>
      <c r="C2346" s="66" t="inlineStr">
        <is>
          <t>Tue</t>
        </is>
      </c>
      <c r="D2346" s="66" t="inlineStr">
        <is>
          <t>Programmatic</t>
        </is>
      </c>
      <c r="E2346" s="66" t="inlineStr">
        <is>
          <t>DV360</t>
        </is>
      </c>
      <c r="F2346" s="66" t="inlineStr">
        <is>
          <t>LEP_ZA_AUG26_PROG_RMKT_DYNAMIC</t>
        </is>
      </c>
      <c r="G2346" s="66" t="inlineStr">
        <is>
          <t>Dynamic Retargeting</t>
        </is>
      </c>
      <c r="H2346" s="66" t="inlineStr">
        <is>
          <t>Range</t>
        </is>
      </c>
      <c r="I2346" s="66" t="inlineStr">
        <is>
          <t>Range Offer</t>
        </is>
      </c>
      <c r="J2346" s="66" t="inlineStr">
        <is>
          <t>PROG_DYN_RMKT_7D</t>
        </is>
      </c>
      <c r="K2346" s="66" t="inlineStr">
        <is>
          <t>Retargeting</t>
        </is>
      </c>
      <c r="L2346" s="66" t="inlineStr">
        <is>
          <t>PROG_DYN_320x50_BookNow_v1</t>
        </is>
      </c>
      <c r="M2346" s="66" t="inlineStr">
        <is>
          <t>Dynamic Display 320x50</t>
        </is>
      </c>
      <c r="N2346" s="66" t="inlineStr">
        <is>
          <t>Book your test drive</t>
        </is>
      </c>
      <c r="O2346" s="66" t="inlineStr">
        <is>
          <t>Auction - Lowest Cost</t>
        </is>
      </c>
      <c r="P2346" s="66" t="inlineStr">
        <is>
          <t>Conversions (CPA)</t>
        </is>
      </c>
      <c r="Q2346" s="66" t="inlineStr">
        <is>
          <t>https://www.lepas-sa.co.za/book-a-test-drive</t>
        </is>
      </c>
      <c r="R2346" s="121" t="n">
        <v>65.27</v>
      </c>
      <c r="S2346" s="122" t="n">
        <v>1864</v>
      </c>
      <c r="T2346" s="122" t="n">
        <v>1423</v>
      </c>
      <c r="U2346" s="123">
        <f>IFERROR(S2346/T2346,"")</f>
        <v/>
      </c>
      <c r="V2346" s="122" t="n">
        <v>14</v>
      </c>
      <c r="W2346" s="122" t="n">
        <v>11</v>
      </c>
      <c r="X2346" s="124">
        <f>IFERROR(W2346/S2346,"")</f>
        <v/>
      </c>
      <c r="Y2346" s="121">
        <f>IFERROR(R2346/W2346,"")</f>
        <v/>
      </c>
      <c r="Z2346" s="121">
        <f>IFERROR(R2346/S2346*1000,"")</f>
        <v/>
      </c>
      <c r="AA2346" s="122" t="n">
        <v>7</v>
      </c>
      <c r="AB2346" s="54">
        <f>IFERROR(AA2346/W2346,"")</f>
        <v/>
      </c>
      <c r="AC2346" s="122" t="n">
        <v>0</v>
      </c>
      <c r="AD2346" s="122" t="n">
        <v>0</v>
      </c>
      <c r="AE2346" s="122" t="n">
        <v>0</v>
      </c>
      <c r="AF2346" s="122" t="n">
        <v>0</v>
      </c>
      <c r="AG2346" s="122" t="n">
        <v>0</v>
      </c>
      <c r="AH2346" s="122" t="n">
        <v>0</v>
      </c>
      <c r="AI2346" s="54">
        <f>IFERROR(AC2346/S2346,"")</f>
        <v/>
      </c>
      <c r="AJ2346" s="54">
        <f>IFERROR(AH2346/S2346,"")</f>
        <v/>
      </c>
      <c r="AK2346" s="122" t="n">
        <v>9</v>
      </c>
      <c r="AL2346" s="122" t="n">
        <v>0</v>
      </c>
      <c r="AM2346" s="124">
        <f>IFERROR(AL2346/AA2346,"")</f>
        <v/>
      </c>
      <c r="AN2346" s="125">
        <f>IFERROR(R2346/AL2346,"")</f>
        <v/>
      </c>
      <c r="AO2346" s="122" t="n">
        <v>0</v>
      </c>
      <c r="AP2346" s="54">
        <f>IFERROR(AO2346/AL2346,"")</f>
        <v/>
      </c>
      <c r="AQ2346" s="125">
        <f>IFERROR(R2346/AO2346,"")</f>
        <v/>
      </c>
      <c r="AR2346" s="122" t="n">
        <v>0</v>
      </c>
      <c r="AS2346" s="122" t="n">
        <v>0</v>
      </c>
      <c r="AT2346" s="122">
        <f>AL2346+AR2346</f>
        <v/>
      </c>
      <c r="AU2346" s="125">
        <f>IFERROR(AO2346*Assumptions!$C$26*Assumptions!$C$27*INDEX(Assumptions!$C$18:$C$21,MATCH(H2346,Assumptions!$B$18:$B$21,0)),0)</f>
        <v/>
      </c>
    </row>
    <row r="2347">
      <c r="A2347" s="120" t="n">
        <v>46239</v>
      </c>
      <c r="B2347" s="66" t="inlineStr">
        <is>
          <t>Wk 32</t>
        </is>
      </c>
      <c r="C2347" s="66" t="inlineStr">
        <is>
          <t>Wed</t>
        </is>
      </c>
      <c r="D2347" s="66" t="inlineStr">
        <is>
          <t>Programmatic</t>
        </is>
      </c>
      <c r="E2347" s="66" t="inlineStr">
        <is>
          <t>DV360</t>
        </is>
      </c>
      <c r="F2347" s="66" t="inlineStr">
        <is>
          <t>LEP_ZA_AUG26_PROG_RMKT_DYNAMIC</t>
        </is>
      </c>
      <c r="G2347" s="66" t="inlineStr">
        <is>
          <t>Dynamic Retargeting</t>
        </is>
      </c>
      <c r="H2347" s="66" t="inlineStr">
        <is>
          <t>Range</t>
        </is>
      </c>
      <c r="I2347" s="66" t="inlineStr">
        <is>
          <t>Range Offer</t>
        </is>
      </c>
      <c r="J2347" s="66" t="inlineStr">
        <is>
          <t>PROG_DYN_RMKT_7D</t>
        </is>
      </c>
      <c r="K2347" s="66" t="inlineStr">
        <is>
          <t>Retargeting</t>
        </is>
      </c>
      <c r="L2347" s="66" t="inlineStr">
        <is>
          <t>PROG_DYN_320x50_BookNow_v1</t>
        </is>
      </c>
      <c r="M2347" s="66" t="inlineStr">
        <is>
          <t>Dynamic Display 320x50</t>
        </is>
      </c>
      <c r="N2347" s="66" t="inlineStr">
        <is>
          <t>Book your test drive</t>
        </is>
      </c>
      <c r="O2347" s="66" t="inlineStr">
        <is>
          <t>Auction - Lowest Cost</t>
        </is>
      </c>
      <c r="P2347" s="66" t="inlineStr">
        <is>
          <t>Conversions (CPA)</t>
        </is>
      </c>
      <c r="Q2347" s="66" t="inlineStr">
        <is>
          <t>https://www.lepas-sa.co.za/book-a-test-drive</t>
        </is>
      </c>
      <c r="R2347" s="121" t="n">
        <v>88.16</v>
      </c>
      <c r="S2347" s="122" t="n">
        <v>3833</v>
      </c>
      <c r="T2347" s="122" t="n">
        <v>1721</v>
      </c>
      <c r="U2347" s="123">
        <f>IFERROR(S2347/T2347,"")</f>
        <v/>
      </c>
      <c r="V2347" s="122" t="n">
        <v>15</v>
      </c>
      <c r="W2347" s="122" t="n">
        <v>11</v>
      </c>
      <c r="X2347" s="124">
        <f>IFERROR(W2347/S2347,"")</f>
        <v/>
      </c>
      <c r="Y2347" s="121">
        <f>IFERROR(R2347/W2347,"")</f>
        <v/>
      </c>
      <c r="Z2347" s="121">
        <f>IFERROR(R2347/S2347*1000,"")</f>
        <v/>
      </c>
      <c r="AA2347" s="122" t="n">
        <v>7</v>
      </c>
      <c r="AB2347" s="54">
        <f>IFERROR(AA2347/W2347,"")</f>
        <v/>
      </c>
      <c r="AC2347" s="122" t="n">
        <v>0</v>
      </c>
      <c r="AD2347" s="122" t="n">
        <v>0</v>
      </c>
      <c r="AE2347" s="122" t="n">
        <v>0</v>
      </c>
      <c r="AF2347" s="122" t="n">
        <v>0</v>
      </c>
      <c r="AG2347" s="122" t="n">
        <v>0</v>
      </c>
      <c r="AH2347" s="122" t="n">
        <v>0</v>
      </c>
      <c r="AI2347" s="54">
        <f>IFERROR(AC2347/S2347,"")</f>
        <v/>
      </c>
      <c r="AJ2347" s="54">
        <f>IFERROR(AH2347/S2347,"")</f>
        <v/>
      </c>
      <c r="AK2347" s="122" t="n">
        <v>18</v>
      </c>
      <c r="AL2347" s="122" t="n">
        <v>0</v>
      </c>
      <c r="AM2347" s="124">
        <f>IFERROR(AL2347/AA2347,"")</f>
        <v/>
      </c>
      <c r="AN2347" s="125">
        <f>IFERROR(R2347/AL2347,"")</f>
        <v/>
      </c>
      <c r="AO2347" s="122" t="n">
        <v>0</v>
      </c>
      <c r="AP2347" s="54">
        <f>IFERROR(AO2347/AL2347,"")</f>
        <v/>
      </c>
      <c r="AQ2347" s="125">
        <f>IFERROR(R2347/AO2347,"")</f>
        <v/>
      </c>
      <c r="AR2347" s="122" t="n">
        <v>0</v>
      </c>
      <c r="AS2347" s="122" t="n">
        <v>0</v>
      </c>
      <c r="AT2347" s="122">
        <f>AL2347+AR2347</f>
        <v/>
      </c>
      <c r="AU2347" s="125">
        <f>IFERROR(AO2347*Assumptions!$C$26*Assumptions!$C$27*INDEX(Assumptions!$C$18:$C$21,MATCH(H2347,Assumptions!$B$18:$B$21,0)),0)</f>
        <v/>
      </c>
    </row>
    <row r="2348">
      <c r="A2348" s="120" t="n">
        <v>46240</v>
      </c>
      <c r="B2348" s="66" t="inlineStr">
        <is>
          <t>Wk 32</t>
        </is>
      </c>
      <c r="C2348" s="66" t="inlineStr">
        <is>
          <t>Thu</t>
        </is>
      </c>
      <c r="D2348" s="66" t="inlineStr">
        <is>
          <t>Programmatic</t>
        </is>
      </c>
      <c r="E2348" s="66" t="inlineStr">
        <is>
          <t>DV360</t>
        </is>
      </c>
      <c r="F2348" s="66" t="inlineStr">
        <is>
          <t>LEP_ZA_AUG26_PROG_RMKT_DYNAMIC</t>
        </is>
      </c>
      <c r="G2348" s="66" t="inlineStr">
        <is>
          <t>Dynamic Retargeting</t>
        </is>
      </c>
      <c r="H2348" s="66" t="inlineStr">
        <is>
          <t>Range</t>
        </is>
      </c>
      <c r="I2348" s="66" t="inlineStr">
        <is>
          <t>Range Offer</t>
        </is>
      </c>
      <c r="J2348" s="66" t="inlineStr">
        <is>
          <t>PROG_DYN_RMKT_7D</t>
        </is>
      </c>
      <c r="K2348" s="66" t="inlineStr">
        <is>
          <t>Retargeting</t>
        </is>
      </c>
      <c r="L2348" s="66" t="inlineStr">
        <is>
          <t>PROG_DYN_320x50_BookNow_v1</t>
        </is>
      </c>
      <c r="M2348" s="66" t="inlineStr">
        <is>
          <t>Dynamic Display 320x50</t>
        </is>
      </c>
      <c r="N2348" s="66" t="inlineStr">
        <is>
          <t>Book your test drive</t>
        </is>
      </c>
      <c r="O2348" s="66" t="inlineStr">
        <is>
          <t>Auction - Lowest Cost</t>
        </is>
      </c>
      <c r="P2348" s="66" t="inlineStr">
        <is>
          <t>Conversions (CPA)</t>
        </is>
      </c>
      <c r="Q2348" s="66" t="inlineStr">
        <is>
          <t>https://www.lepas-sa.co.za/book-a-test-drive</t>
        </is>
      </c>
      <c r="R2348" s="121" t="n">
        <v>81.93000000000001</v>
      </c>
      <c r="S2348" s="122" t="n">
        <v>2126</v>
      </c>
      <c r="T2348" s="122" t="n">
        <v>1613</v>
      </c>
      <c r="U2348" s="123">
        <f>IFERROR(S2348/T2348,"")</f>
        <v/>
      </c>
      <c r="V2348" s="122" t="n">
        <v>13</v>
      </c>
      <c r="W2348" s="122" t="n">
        <v>9</v>
      </c>
      <c r="X2348" s="124">
        <f>IFERROR(W2348/S2348,"")</f>
        <v/>
      </c>
      <c r="Y2348" s="121">
        <f>IFERROR(R2348/W2348,"")</f>
        <v/>
      </c>
      <c r="Z2348" s="121">
        <f>IFERROR(R2348/S2348*1000,"")</f>
        <v/>
      </c>
      <c r="AA2348" s="122" t="n">
        <v>5</v>
      </c>
      <c r="AB2348" s="54">
        <f>IFERROR(AA2348/W2348,"")</f>
        <v/>
      </c>
      <c r="AC2348" s="122" t="n">
        <v>0</v>
      </c>
      <c r="AD2348" s="122" t="n">
        <v>0</v>
      </c>
      <c r="AE2348" s="122" t="n">
        <v>0</v>
      </c>
      <c r="AF2348" s="122" t="n">
        <v>0</v>
      </c>
      <c r="AG2348" s="122" t="n">
        <v>0</v>
      </c>
      <c r="AH2348" s="122" t="n">
        <v>0</v>
      </c>
      <c r="AI2348" s="54">
        <f>IFERROR(AC2348/S2348,"")</f>
        <v/>
      </c>
      <c r="AJ2348" s="54">
        <f>IFERROR(AH2348/S2348,"")</f>
        <v/>
      </c>
      <c r="AK2348" s="122" t="n">
        <v>2</v>
      </c>
      <c r="AL2348" s="122" t="n">
        <v>0</v>
      </c>
      <c r="AM2348" s="124">
        <f>IFERROR(AL2348/AA2348,"")</f>
        <v/>
      </c>
      <c r="AN2348" s="125">
        <f>IFERROR(R2348/AL2348,"")</f>
        <v/>
      </c>
      <c r="AO2348" s="122" t="n">
        <v>0</v>
      </c>
      <c r="AP2348" s="54">
        <f>IFERROR(AO2348/AL2348,"")</f>
        <v/>
      </c>
      <c r="AQ2348" s="125">
        <f>IFERROR(R2348/AO2348,"")</f>
        <v/>
      </c>
      <c r="AR2348" s="122" t="n">
        <v>0</v>
      </c>
      <c r="AS2348" s="122" t="n">
        <v>0</v>
      </c>
      <c r="AT2348" s="122">
        <f>AL2348+AR2348</f>
        <v/>
      </c>
      <c r="AU2348" s="125">
        <f>IFERROR(AO2348*Assumptions!$C$26*Assumptions!$C$27*INDEX(Assumptions!$C$18:$C$21,MATCH(H2348,Assumptions!$B$18:$B$21,0)),0)</f>
        <v/>
      </c>
    </row>
    <row r="2349">
      <c r="A2349" s="120" t="n">
        <v>46241</v>
      </c>
      <c r="B2349" s="66" t="inlineStr">
        <is>
          <t>Wk 32</t>
        </is>
      </c>
      <c r="C2349" s="66" t="inlineStr">
        <is>
          <t>Fri</t>
        </is>
      </c>
      <c r="D2349" s="66" t="inlineStr">
        <is>
          <t>Programmatic</t>
        </is>
      </c>
      <c r="E2349" s="66" t="inlineStr">
        <is>
          <t>DV360</t>
        </is>
      </c>
      <c r="F2349" s="66" t="inlineStr">
        <is>
          <t>LEP_ZA_AUG26_PROG_RMKT_DYNAMIC</t>
        </is>
      </c>
      <c r="G2349" s="66" t="inlineStr">
        <is>
          <t>Dynamic Retargeting</t>
        </is>
      </c>
      <c r="H2349" s="66" t="inlineStr">
        <is>
          <t>Range</t>
        </is>
      </c>
      <c r="I2349" s="66" t="inlineStr">
        <is>
          <t>Range Offer</t>
        </is>
      </c>
      <c r="J2349" s="66" t="inlineStr">
        <is>
          <t>PROG_DYN_RMKT_7D</t>
        </is>
      </c>
      <c r="K2349" s="66" t="inlineStr">
        <is>
          <t>Retargeting</t>
        </is>
      </c>
      <c r="L2349" s="66" t="inlineStr">
        <is>
          <t>PROG_DYN_320x50_BookNow_v1</t>
        </is>
      </c>
      <c r="M2349" s="66" t="inlineStr">
        <is>
          <t>Dynamic Display 320x50</t>
        </is>
      </c>
      <c r="N2349" s="66" t="inlineStr">
        <is>
          <t>Book your test drive</t>
        </is>
      </c>
      <c r="O2349" s="66" t="inlineStr">
        <is>
          <t>Auction - Lowest Cost</t>
        </is>
      </c>
      <c r="P2349" s="66" t="inlineStr">
        <is>
          <t>Conversions (CPA)</t>
        </is>
      </c>
      <c r="Q2349" s="66" t="inlineStr">
        <is>
          <t>https://www.lepas-sa.co.za/book-a-test-drive</t>
        </is>
      </c>
      <c r="R2349" s="121" t="n">
        <v>94.34999999999999</v>
      </c>
      <c r="S2349" s="122" t="n">
        <v>3801</v>
      </c>
      <c r="T2349" s="122" t="n">
        <v>2032</v>
      </c>
      <c r="U2349" s="123">
        <f>IFERROR(S2349/T2349,"")</f>
        <v/>
      </c>
      <c r="V2349" s="122" t="n">
        <v>17</v>
      </c>
      <c r="W2349" s="122" t="n">
        <v>12</v>
      </c>
      <c r="X2349" s="124">
        <f>IFERROR(W2349/S2349,"")</f>
        <v/>
      </c>
      <c r="Y2349" s="121">
        <f>IFERROR(R2349/W2349,"")</f>
        <v/>
      </c>
      <c r="Z2349" s="121">
        <f>IFERROR(R2349/S2349*1000,"")</f>
        <v/>
      </c>
      <c r="AA2349" s="122" t="n">
        <v>9</v>
      </c>
      <c r="AB2349" s="54">
        <f>IFERROR(AA2349/W2349,"")</f>
        <v/>
      </c>
      <c r="AC2349" s="122" t="n">
        <v>0</v>
      </c>
      <c r="AD2349" s="122" t="n">
        <v>0</v>
      </c>
      <c r="AE2349" s="122" t="n">
        <v>0</v>
      </c>
      <c r="AF2349" s="122" t="n">
        <v>0</v>
      </c>
      <c r="AG2349" s="122" t="n">
        <v>0</v>
      </c>
      <c r="AH2349" s="122" t="n">
        <v>0</v>
      </c>
      <c r="AI2349" s="54">
        <f>IFERROR(AC2349/S2349,"")</f>
        <v/>
      </c>
      <c r="AJ2349" s="54">
        <f>IFERROR(AH2349/S2349,"")</f>
        <v/>
      </c>
      <c r="AK2349" s="122" t="n">
        <v>7</v>
      </c>
      <c r="AL2349" s="122" t="n">
        <v>0</v>
      </c>
      <c r="AM2349" s="124">
        <f>IFERROR(AL2349/AA2349,"")</f>
        <v/>
      </c>
      <c r="AN2349" s="125">
        <f>IFERROR(R2349/AL2349,"")</f>
        <v/>
      </c>
      <c r="AO2349" s="122" t="n">
        <v>0</v>
      </c>
      <c r="AP2349" s="54">
        <f>IFERROR(AO2349/AL2349,"")</f>
        <v/>
      </c>
      <c r="AQ2349" s="125">
        <f>IFERROR(R2349/AO2349,"")</f>
        <v/>
      </c>
      <c r="AR2349" s="122" t="n">
        <v>0</v>
      </c>
      <c r="AS2349" s="122" t="n">
        <v>0</v>
      </c>
      <c r="AT2349" s="122">
        <f>AL2349+AR2349</f>
        <v/>
      </c>
      <c r="AU2349" s="125">
        <f>IFERROR(AO2349*Assumptions!$C$26*Assumptions!$C$27*INDEX(Assumptions!$C$18:$C$21,MATCH(H2349,Assumptions!$B$18:$B$21,0)),0)</f>
        <v/>
      </c>
    </row>
    <row r="2350">
      <c r="A2350" s="120" t="n">
        <v>46242</v>
      </c>
      <c r="B2350" s="66" t="inlineStr">
        <is>
          <t>Wk 32</t>
        </is>
      </c>
      <c r="C2350" s="66" t="inlineStr">
        <is>
          <t>Sat</t>
        </is>
      </c>
      <c r="D2350" s="66" t="inlineStr">
        <is>
          <t>Programmatic</t>
        </is>
      </c>
      <c r="E2350" s="66" t="inlineStr">
        <is>
          <t>DV360</t>
        </is>
      </c>
      <c r="F2350" s="66" t="inlineStr">
        <is>
          <t>LEP_ZA_AUG26_PROG_RMKT_DYNAMIC</t>
        </is>
      </c>
      <c r="G2350" s="66" t="inlineStr">
        <is>
          <t>Dynamic Retargeting</t>
        </is>
      </c>
      <c r="H2350" s="66" t="inlineStr">
        <is>
          <t>Range</t>
        </is>
      </c>
      <c r="I2350" s="66" t="inlineStr">
        <is>
          <t>Range Offer</t>
        </is>
      </c>
      <c r="J2350" s="66" t="inlineStr">
        <is>
          <t>PROG_DYN_RMKT_7D</t>
        </is>
      </c>
      <c r="K2350" s="66" t="inlineStr">
        <is>
          <t>Retargeting</t>
        </is>
      </c>
      <c r="L2350" s="66" t="inlineStr">
        <is>
          <t>PROG_DYN_320x50_BookNow_v1</t>
        </is>
      </c>
      <c r="M2350" s="66" t="inlineStr">
        <is>
          <t>Dynamic Display 320x50</t>
        </is>
      </c>
      <c r="N2350" s="66" t="inlineStr">
        <is>
          <t>Book your test drive</t>
        </is>
      </c>
      <c r="O2350" s="66" t="inlineStr">
        <is>
          <t>Auction - Lowest Cost</t>
        </is>
      </c>
      <c r="P2350" s="66" t="inlineStr">
        <is>
          <t>Conversions (CPA)</t>
        </is>
      </c>
      <c r="Q2350" s="66" t="inlineStr">
        <is>
          <t>https://www.lepas-sa.co.za/book-a-test-drive</t>
        </is>
      </c>
      <c r="R2350" s="121" t="n">
        <v>99.40000000000001</v>
      </c>
      <c r="S2350" s="122" t="n">
        <v>3926</v>
      </c>
      <c r="T2350" s="122" t="n">
        <v>1989</v>
      </c>
      <c r="U2350" s="123">
        <f>IFERROR(S2350/T2350,"")</f>
        <v/>
      </c>
      <c r="V2350" s="122" t="n">
        <v>11</v>
      </c>
      <c r="W2350" s="122" t="n">
        <v>9</v>
      </c>
      <c r="X2350" s="124">
        <f>IFERROR(W2350/S2350,"")</f>
        <v/>
      </c>
      <c r="Y2350" s="121">
        <f>IFERROR(R2350/W2350,"")</f>
        <v/>
      </c>
      <c r="Z2350" s="121">
        <f>IFERROR(R2350/S2350*1000,"")</f>
        <v/>
      </c>
      <c r="AA2350" s="122" t="n">
        <v>5</v>
      </c>
      <c r="AB2350" s="54">
        <f>IFERROR(AA2350/W2350,"")</f>
        <v/>
      </c>
      <c r="AC2350" s="122" t="n">
        <v>0</v>
      </c>
      <c r="AD2350" s="122" t="n">
        <v>0</v>
      </c>
      <c r="AE2350" s="122" t="n">
        <v>0</v>
      </c>
      <c r="AF2350" s="122" t="n">
        <v>0</v>
      </c>
      <c r="AG2350" s="122" t="n">
        <v>0</v>
      </c>
      <c r="AH2350" s="122" t="n">
        <v>0</v>
      </c>
      <c r="AI2350" s="54">
        <f>IFERROR(AC2350/S2350,"")</f>
        <v/>
      </c>
      <c r="AJ2350" s="54">
        <f>IFERROR(AH2350/S2350,"")</f>
        <v/>
      </c>
      <c r="AK2350" s="122" t="n">
        <v>5</v>
      </c>
      <c r="AL2350" s="122" t="n">
        <v>0</v>
      </c>
      <c r="AM2350" s="124">
        <f>IFERROR(AL2350/AA2350,"")</f>
        <v/>
      </c>
      <c r="AN2350" s="125">
        <f>IFERROR(R2350/AL2350,"")</f>
        <v/>
      </c>
      <c r="AO2350" s="122" t="n">
        <v>0</v>
      </c>
      <c r="AP2350" s="54">
        <f>IFERROR(AO2350/AL2350,"")</f>
        <v/>
      </c>
      <c r="AQ2350" s="125">
        <f>IFERROR(R2350/AO2350,"")</f>
        <v/>
      </c>
      <c r="AR2350" s="122" t="n">
        <v>0</v>
      </c>
      <c r="AS2350" s="122" t="n">
        <v>0</v>
      </c>
      <c r="AT2350" s="122">
        <f>AL2350+AR2350</f>
        <v/>
      </c>
      <c r="AU2350" s="125">
        <f>IFERROR(AO2350*Assumptions!$C$26*Assumptions!$C$27*INDEX(Assumptions!$C$18:$C$21,MATCH(H2350,Assumptions!$B$18:$B$21,0)),0)</f>
        <v/>
      </c>
    </row>
    <row r="2351">
      <c r="A2351" s="120" t="n">
        <v>46243</v>
      </c>
      <c r="B2351" s="66" t="inlineStr">
        <is>
          <t>Wk 32</t>
        </is>
      </c>
      <c r="C2351" s="66" t="inlineStr">
        <is>
          <t>Sun</t>
        </is>
      </c>
      <c r="D2351" s="66" t="inlineStr">
        <is>
          <t>Programmatic</t>
        </is>
      </c>
      <c r="E2351" s="66" t="inlineStr">
        <is>
          <t>DV360</t>
        </is>
      </c>
      <c r="F2351" s="66" t="inlineStr">
        <is>
          <t>LEP_ZA_AUG26_PROG_RMKT_DYNAMIC</t>
        </is>
      </c>
      <c r="G2351" s="66" t="inlineStr">
        <is>
          <t>Dynamic Retargeting</t>
        </is>
      </c>
      <c r="H2351" s="66" t="inlineStr">
        <is>
          <t>Range</t>
        </is>
      </c>
      <c r="I2351" s="66" t="inlineStr">
        <is>
          <t>Range Offer</t>
        </is>
      </c>
      <c r="J2351" s="66" t="inlineStr">
        <is>
          <t>PROG_DYN_RMKT_7D</t>
        </is>
      </c>
      <c r="K2351" s="66" t="inlineStr">
        <is>
          <t>Retargeting</t>
        </is>
      </c>
      <c r="L2351" s="66" t="inlineStr">
        <is>
          <t>PROG_DYN_320x50_BookNow_v1</t>
        </is>
      </c>
      <c r="M2351" s="66" t="inlineStr">
        <is>
          <t>Dynamic Display 320x50</t>
        </is>
      </c>
      <c r="N2351" s="66" t="inlineStr">
        <is>
          <t>Book your test drive</t>
        </is>
      </c>
      <c r="O2351" s="66" t="inlineStr">
        <is>
          <t>Auction - Lowest Cost</t>
        </is>
      </c>
      <c r="P2351" s="66" t="inlineStr">
        <is>
          <t>Conversions (CPA)</t>
        </is>
      </c>
      <c r="Q2351" s="66" t="inlineStr">
        <is>
          <t>https://www.lepas-sa.co.za/book-a-test-drive</t>
        </is>
      </c>
      <c r="R2351" s="121" t="n">
        <v>57.69</v>
      </c>
      <c r="S2351" s="122" t="n">
        <v>1592</v>
      </c>
      <c r="T2351" s="122" t="n">
        <v>929</v>
      </c>
      <c r="U2351" s="123">
        <f>IFERROR(S2351/T2351,"")</f>
        <v/>
      </c>
      <c r="V2351" s="122" t="n">
        <v>5</v>
      </c>
      <c r="W2351" s="122" t="n">
        <v>4</v>
      </c>
      <c r="X2351" s="124">
        <f>IFERROR(W2351/S2351,"")</f>
        <v/>
      </c>
      <c r="Y2351" s="121">
        <f>IFERROR(R2351/W2351,"")</f>
        <v/>
      </c>
      <c r="Z2351" s="121">
        <f>IFERROR(R2351/S2351*1000,"")</f>
        <v/>
      </c>
      <c r="AA2351" s="122" t="n">
        <v>2</v>
      </c>
      <c r="AB2351" s="54">
        <f>IFERROR(AA2351/W2351,"")</f>
        <v/>
      </c>
      <c r="AC2351" s="122" t="n">
        <v>0</v>
      </c>
      <c r="AD2351" s="122" t="n">
        <v>0</v>
      </c>
      <c r="AE2351" s="122" t="n">
        <v>0</v>
      </c>
      <c r="AF2351" s="122" t="n">
        <v>0</v>
      </c>
      <c r="AG2351" s="122" t="n">
        <v>0</v>
      </c>
      <c r="AH2351" s="122" t="n">
        <v>0</v>
      </c>
      <c r="AI2351" s="54">
        <f>IFERROR(AC2351/S2351,"")</f>
        <v/>
      </c>
      <c r="AJ2351" s="54">
        <f>IFERROR(AH2351/S2351,"")</f>
        <v/>
      </c>
      <c r="AK2351" s="122" t="n">
        <v>8</v>
      </c>
      <c r="AL2351" s="122" t="n">
        <v>0</v>
      </c>
      <c r="AM2351" s="124">
        <f>IFERROR(AL2351/AA2351,"")</f>
        <v/>
      </c>
      <c r="AN2351" s="125">
        <f>IFERROR(R2351/AL2351,"")</f>
        <v/>
      </c>
      <c r="AO2351" s="122" t="n">
        <v>0</v>
      </c>
      <c r="AP2351" s="54">
        <f>IFERROR(AO2351/AL2351,"")</f>
        <v/>
      </c>
      <c r="AQ2351" s="125">
        <f>IFERROR(R2351/AO2351,"")</f>
        <v/>
      </c>
      <c r="AR2351" s="122" t="n">
        <v>0</v>
      </c>
      <c r="AS2351" s="122" t="n">
        <v>0</v>
      </c>
      <c r="AT2351" s="122">
        <f>AL2351+AR2351</f>
        <v/>
      </c>
      <c r="AU2351" s="125">
        <f>IFERROR(AO2351*Assumptions!$C$26*Assumptions!$C$27*INDEX(Assumptions!$C$18:$C$21,MATCH(H2351,Assumptions!$B$18:$B$21,0)),0)</f>
        <v/>
      </c>
    </row>
    <row r="2352">
      <c r="A2352" s="120" t="n">
        <v>46244</v>
      </c>
      <c r="B2352" s="66" t="inlineStr">
        <is>
          <t>Wk 33</t>
        </is>
      </c>
      <c r="C2352" s="66" t="inlineStr">
        <is>
          <t>Mon</t>
        </is>
      </c>
      <c r="D2352" s="66" t="inlineStr">
        <is>
          <t>Programmatic</t>
        </is>
      </c>
      <c r="E2352" s="66" t="inlineStr">
        <is>
          <t>DV360</t>
        </is>
      </c>
      <c r="F2352" s="66" t="inlineStr">
        <is>
          <t>LEP_ZA_AUG26_PROG_RMKT_DYNAMIC</t>
        </is>
      </c>
      <c r="G2352" s="66" t="inlineStr">
        <is>
          <t>Dynamic Retargeting</t>
        </is>
      </c>
      <c r="H2352" s="66" t="inlineStr">
        <is>
          <t>Range</t>
        </is>
      </c>
      <c r="I2352" s="66" t="inlineStr">
        <is>
          <t>Range Offer</t>
        </is>
      </c>
      <c r="J2352" s="66" t="inlineStr">
        <is>
          <t>PROG_DYN_RMKT_7D</t>
        </is>
      </c>
      <c r="K2352" s="66" t="inlineStr">
        <is>
          <t>Retargeting</t>
        </is>
      </c>
      <c r="L2352" s="66" t="inlineStr">
        <is>
          <t>PROG_DYN_320x50_BookNow_v1</t>
        </is>
      </c>
      <c r="M2352" s="66" t="inlineStr">
        <is>
          <t>Dynamic Display 320x50</t>
        </is>
      </c>
      <c r="N2352" s="66" t="inlineStr">
        <is>
          <t>Book your test drive</t>
        </is>
      </c>
      <c r="O2352" s="66" t="inlineStr">
        <is>
          <t>Auction - Lowest Cost</t>
        </is>
      </c>
      <c r="P2352" s="66" t="inlineStr">
        <is>
          <t>Conversions (CPA)</t>
        </is>
      </c>
      <c r="Q2352" s="66" t="inlineStr">
        <is>
          <t>https://www.lepas-sa.co.za/book-a-test-drive</t>
        </is>
      </c>
      <c r="R2352" s="121" t="n">
        <v>93.22</v>
      </c>
      <c r="S2352" s="122" t="n">
        <v>2246</v>
      </c>
      <c r="T2352" s="122" t="n">
        <v>1473</v>
      </c>
      <c r="U2352" s="123">
        <f>IFERROR(S2352/T2352,"")</f>
        <v/>
      </c>
      <c r="V2352" s="122" t="n">
        <v>7</v>
      </c>
      <c r="W2352" s="122" t="n">
        <v>5</v>
      </c>
      <c r="X2352" s="124">
        <f>IFERROR(W2352/S2352,"")</f>
        <v/>
      </c>
      <c r="Y2352" s="121">
        <f>IFERROR(R2352/W2352,"")</f>
        <v/>
      </c>
      <c r="Z2352" s="121">
        <f>IFERROR(R2352/S2352*1000,"")</f>
        <v/>
      </c>
      <c r="AA2352" s="122" t="n">
        <v>4</v>
      </c>
      <c r="AB2352" s="54">
        <f>IFERROR(AA2352/W2352,"")</f>
        <v/>
      </c>
      <c r="AC2352" s="122" t="n">
        <v>0</v>
      </c>
      <c r="AD2352" s="122" t="n">
        <v>0</v>
      </c>
      <c r="AE2352" s="122" t="n">
        <v>0</v>
      </c>
      <c r="AF2352" s="122" t="n">
        <v>0</v>
      </c>
      <c r="AG2352" s="122" t="n">
        <v>0</v>
      </c>
      <c r="AH2352" s="122" t="n">
        <v>0</v>
      </c>
      <c r="AI2352" s="54">
        <f>IFERROR(AC2352/S2352,"")</f>
        <v/>
      </c>
      <c r="AJ2352" s="54">
        <f>IFERROR(AH2352/S2352,"")</f>
        <v/>
      </c>
      <c r="AK2352" s="122" t="n">
        <v>6</v>
      </c>
      <c r="AL2352" s="122" t="n">
        <v>1</v>
      </c>
      <c r="AM2352" s="124">
        <f>IFERROR(AL2352/AA2352,"")</f>
        <v/>
      </c>
      <c r="AN2352" s="125">
        <f>IFERROR(R2352/AL2352,"")</f>
        <v/>
      </c>
      <c r="AO2352" s="122" t="n">
        <v>0</v>
      </c>
      <c r="AP2352" s="54">
        <f>IFERROR(AO2352/AL2352,"")</f>
        <v/>
      </c>
      <c r="AQ2352" s="125">
        <f>IFERROR(R2352/AO2352,"")</f>
        <v/>
      </c>
      <c r="AR2352" s="122" t="n">
        <v>2</v>
      </c>
      <c r="AS2352" s="122" t="n">
        <v>1</v>
      </c>
      <c r="AT2352" s="122">
        <f>AL2352+AR2352</f>
        <v/>
      </c>
      <c r="AU2352" s="125">
        <f>IFERROR(AO2352*Assumptions!$C$26*Assumptions!$C$27*INDEX(Assumptions!$C$18:$C$21,MATCH(H2352,Assumptions!$B$18:$B$21,0)),0)</f>
        <v/>
      </c>
    </row>
    <row r="2353">
      <c r="A2353" s="120" t="n">
        <v>46245</v>
      </c>
      <c r="B2353" s="66" t="inlineStr">
        <is>
          <t>Wk 33</t>
        </is>
      </c>
      <c r="C2353" s="66" t="inlineStr">
        <is>
          <t>Tue</t>
        </is>
      </c>
      <c r="D2353" s="66" t="inlineStr">
        <is>
          <t>Programmatic</t>
        </is>
      </c>
      <c r="E2353" s="66" t="inlineStr">
        <is>
          <t>DV360</t>
        </is>
      </c>
      <c r="F2353" s="66" t="inlineStr">
        <is>
          <t>LEP_ZA_AUG26_PROG_RMKT_DYNAMIC</t>
        </is>
      </c>
      <c r="G2353" s="66" t="inlineStr">
        <is>
          <t>Dynamic Retargeting</t>
        </is>
      </c>
      <c r="H2353" s="66" t="inlineStr">
        <is>
          <t>Range</t>
        </is>
      </c>
      <c r="I2353" s="66" t="inlineStr">
        <is>
          <t>Range Offer</t>
        </is>
      </c>
      <c r="J2353" s="66" t="inlineStr">
        <is>
          <t>PROG_DYN_RMKT_7D</t>
        </is>
      </c>
      <c r="K2353" s="66" t="inlineStr">
        <is>
          <t>Retargeting</t>
        </is>
      </c>
      <c r="L2353" s="66" t="inlineStr">
        <is>
          <t>PROG_DYN_320x50_BookNow_v1</t>
        </is>
      </c>
      <c r="M2353" s="66" t="inlineStr">
        <is>
          <t>Dynamic Display 320x50</t>
        </is>
      </c>
      <c r="N2353" s="66" t="inlineStr">
        <is>
          <t>Book your test drive</t>
        </is>
      </c>
      <c r="O2353" s="66" t="inlineStr">
        <is>
          <t>Auction - Lowest Cost</t>
        </is>
      </c>
      <c r="P2353" s="66" t="inlineStr">
        <is>
          <t>Conversions (CPA)</t>
        </is>
      </c>
      <c r="Q2353" s="66" t="inlineStr">
        <is>
          <t>https://www.lepas-sa.co.za/book-a-test-drive</t>
        </is>
      </c>
      <c r="R2353" s="121" t="n">
        <v>70.56</v>
      </c>
      <c r="S2353" s="122" t="n">
        <v>1799</v>
      </c>
      <c r="T2353" s="122" t="n">
        <v>1055</v>
      </c>
      <c r="U2353" s="123">
        <f>IFERROR(S2353/T2353,"")</f>
        <v/>
      </c>
      <c r="V2353" s="122" t="n">
        <v>8</v>
      </c>
      <c r="W2353" s="122" t="n">
        <v>7</v>
      </c>
      <c r="X2353" s="124">
        <f>IFERROR(W2353/S2353,"")</f>
        <v/>
      </c>
      <c r="Y2353" s="121">
        <f>IFERROR(R2353/W2353,"")</f>
        <v/>
      </c>
      <c r="Z2353" s="121">
        <f>IFERROR(R2353/S2353*1000,"")</f>
        <v/>
      </c>
      <c r="AA2353" s="122" t="n">
        <v>5</v>
      </c>
      <c r="AB2353" s="54">
        <f>IFERROR(AA2353/W2353,"")</f>
        <v/>
      </c>
      <c r="AC2353" s="122" t="n">
        <v>0</v>
      </c>
      <c r="AD2353" s="122" t="n">
        <v>0</v>
      </c>
      <c r="AE2353" s="122" t="n">
        <v>0</v>
      </c>
      <c r="AF2353" s="122" t="n">
        <v>0</v>
      </c>
      <c r="AG2353" s="122" t="n">
        <v>0</v>
      </c>
      <c r="AH2353" s="122" t="n">
        <v>0</v>
      </c>
      <c r="AI2353" s="54">
        <f>IFERROR(AC2353/S2353,"")</f>
        <v/>
      </c>
      <c r="AJ2353" s="54">
        <f>IFERROR(AH2353/S2353,"")</f>
        <v/>
      </c>
      <c r="AK2353" s="122" t="n">
        <v>9</v>
      </c>
      <c r="AL2353" s="122" t="n">
        <v>0</v>
      </c>
      <c r="AM2353" s="124">
        <f>IFERROR(AL2353/AA2353,"")</f>
        <v/>
      </c>
      <c r="AN2353" s="125">
        <f>IFERROR(R2353/AL2353,"")</f>
        <v/>
      </c>
      <c r="AO2353" s="122" t="n">
        <v>0</v>
      </c>
      <c r="AP2353" s="54">
        <f>IFERROR(AO2353/AL2353,"")</f>
        <v/>
      </c>
      <c r="AQ2353" s="125">
        <f>IFERROR(R2353/AO2353,"")</f>
        <v/>
      </c>
      <c r="AR2353" s="122" t="n">
        <v>0</v>
      </c>
      <c r="AS2353" s="122" t="n">
        <v>0</v>
      </c>
      <c r="AT2353" s="122">
        <f>AL2353+AR2353</f>
        <v/>
      </c>
      <c r="AU2353" s="125">
        <f>IFERROR(AO2353*Assumptions!$C$26*Assumptions!$C$27*INDEX(Assumptions!$C$18:$C$21,MATCH(H2353,Assumptions!$B$18:$B$21,0)),0)</f>
        <v/>
      </c>
    </row>
    <row r="2354">
      <c r="A2354" s="120" t="n">
        <v>46246</v>
      </c>
      <c r="B2354" s="66" t="inlineStr">
        <is>
          <t>Wk 33</t>
        </is>
      </c>
      <c r="C2354" s="66" t="inlineStr">
        <is>
          <t>Wed</t>
        </is>
      </c>
      <c r="D2354" s="66" t="inlineStr">
        <is>
          <t>Programmatic</t>
        </is>
      </c>
      <c r="E2354" s="66" t="inlineStr">
        <is>
          <t>DV360</t>
        </is>
      </c>
      <c r="F2354" s="66" t="inlineStr">
        <is>
          <t>LEP_ZA_AUG26_PROG_RMKT_DYNAMIC</t>
        </is>
      </c>
      <c r="G2354" s="66" t="inlineStr">
        <is>
          <t>Dynamic Retargeting</t>
        </is>
      </c>
      <c r="H2354" s="66" t="inlineStr">
        <is>
          <t>Range</t>
        </is>
      </c>
      <c r="I2354" s="66" t="inlineStr">
        <is>
          <t>Range Offer</t>
        </is>
      </c>
      <c r="J2354" s="66" t="inlineStr">
        <is>
          <t>PROG_DYN_RMKT_7D</t>
        </is>
      </c>
      <c r="K2354" s="66" t="inlineStr">
        <is>
          <t>Retargeting</t>
        </is>
      </c>
      <c r="L2354" s="66" t="inlineStr">
        <is>
          <t>PROG_DYN_320x50_BookNow_v1</t>
        </is>
      </c>
      <c r="M2354" s="66" t="inlineStr">
        <is>
          <t>Dynamic Display 320x50</t>
        </is>
      </c>
      <c r="N2354" s="66" t="inlineStr">
        <is>
          <t>Book your test drive</t>
        </is>
      </c>
      <c r="O2354" s="66" t="inlineStr">
        <is>
          <t>Auction - Lowest Cost</t>
        </is>
      </c>
      <c r="P2354" s="66" t="inlineStr">
        <is>
          <t>Conversions (CPA)</t>
        </is>
      </c>
      <c r="Q2354" s="66" t="inlineStr">
        <is>
          <t>https://www.lepas-sa.co.za/book-a-test-drive</t>
        </is>
      </c>
      <c r="R2354" s="121" t="n">
        <v>67.77</v>
      </c>
      <c r="S2354" s="122" t="n">
        <v>2375</v>
      </c>
      <c r="T2354" s="122" t="n">
        <v>1064</v>
      </c>
      <c r="U2354" s="123">
        <f>IFERROR(S2354/T2354,"")</f>
        <v/>
      </c>
      <c r="V2354" s="122" t="n">
        <v>7</v>
      </c>
      <c r="W2354" s="122" t="n">
        <v>6</v>
      </c>
      <c r="X2354" s="124">
        <f>IFERROR(W2354/S2354,"")</f>
        <v/>
      </c>
      <c r="Y2354" s="121">
        <f>IFERROR(R2354/W2354,"")</f>
        <v/>
      </c>
      <c r="Z2354" s="121">
        <f>IFERROR(R2354/S2354*1000,"")</f>
        <v/>
      </c>
      <c r="AA2354" s="122" t="n">
        <v>4</v>
      </c>
      <c r="AB2354" s="54">
        <f>IFERROR(AA2354/W2354,"")</f>
        <v/>
      </c>
      <c r="AC2354" s="122" t="n">
        <v>0</v>
      </c>
      <c r="AD2354" s="122" t="n">
        <v>0</v>
      </c>
      <c r="AE2354" s="122" t="n">
        <v>0</v>
      </c>
      <c r="AF2354" s="122" t="n">
        <v>0</v>
      </c>
      <c r="AG2354" s="122" t="n">
        <v>0</v>
      </c>
      <c r="AH2354" s="122" t="n">
        <v>0</v>
      </c>
      <c r="AI2354" s="54">
        <f>IFERROR(AC2354/S2354,"")</f>
        <v/>
      </c>
      <c r="AJ2354" s="54">
        <f>IFERROR(AH2354/S2354,"")</f>
        <v/>
      </c>
      <c r="AK2354" s="122" t="n">
        <v>8</v>
      </c>
      <c r="AL2354" s="122" t="n">
        <v>0</v>
      </c>
      <c r="AM2354" s="124">
        <f>IFERROR(AL2354/AA2354,"")</f>
        <v/>
      </c>
      <c r="AN2354" s="125">
        <f>IFERROR(R2354/AL2354,"")</f>
        <v/>
      </c>
      <c r="AO2354" s="122" t="n">
        <v>0</v>
      </c>
      <c r="AP2354" s="54">
        <f>IFERROR(AO2354/AL2354,"")</f>
        <v/>
      </c>
      <c r="AQ2354" s="125">
        <f>IFERROR(R2354/AO2354,"")</f>
        <v/>
      </c>
      <c r="AR2354" s="122" t="n">
        <v>0</v>
      </c>
      <c r="AS2354" s="122" t="n">
        <v>0</v>
      </c>
      <c r="AT2354" s="122">
        <f>AL2354+AR2354</f>
        <v/>
      </c>
      <c r="AU2354" s="125">
        <f>IFERROR(AO2354*Assumptions!$C$26*Assumptions!$C$27*INDEX(Assumptions!$C$18:$C$21,MATCH(H2354,Assumptions!$B$18:$B$21,0)),0)</f>
        <v/>
      </c>
    </row>
    <row r="2355">
      <c r="A2355" s="120" t="n">
        <v>46247</v>
      </c>
      <c r="B2355" s="66" t="inlineStr">
        <is>
          <t>Wk 33</t>
        </is>
      </c>
      <c r="C2355" s="66" t="inlineStr">
        <is>
          <t>Thu</t>
        </is>
      </c>
      <c r="D2355" s="66" t="inlineStr">
        <is>
          <t>Programmatic</t>
        </is>
      </c>
      <c r="E2355" s="66" t="inlineStr">
        <is>
          <t>DV360</t>
        </is>
      </c>
      <c r="F2355" s="66" t="inlineStr">
        <is>
          <t>LEP_ZA_AUG26_PROG_RMKT_DYNAMIC</t>
        </is>
      </c>
      <c r="G2355" s="66" t="inlineStr">
        <is>
          <t>Dynamic Retargeting</t>
        </is>
      </c>
      <c r="H2355" s="66" t="inlineStr">
        <is>
          <t>Range</t>
        </is>
      </c>
      <c r="I2355" s="66" t="inlineStr">
        <is>
          <t>Range Offer</t>
        </is>
      </c>
      <c r="J2355" s="66" t="inlineStr">
        <is>
          <t>PROG_DYN_RMKT_7D</t>
        </is>
      </c>
      <c r="K2355" s="66" t="inlineStr">
        <is>
          <t>Retargeting</t>
        </is>
      </c>
      <c r="L2355" s="66" t="inlineStr">
        <is>
          <t>PROG_DYN_320x50_BookNow_v1</t>
        </is>
      </c>
      <c r="M2355" s="66" t="inlineStr">
        <is>
          <t>Dynamic Display 320x50</t>
        </is>
      </c>
      <c r="N2355" s="66" t="inlineStr">
        <is>
          <t>Book your test drive</t>
        </is>
      </c>
      <c r="O2355" s="66" t="inlineStr">
        <is>
          <t>Auction - Lowest Cost</t>
        </is>
      </c>
      <c r="P2355" s="66" t="inlineStr">
        <is>
          <t>Conversions (CPA)</t>
        </is>
      </c>
      <c r="Q2355" s="66" t="inlineStr">
        <is>
          <t>https://www.lepas-sa.co.za/book-a-test-drive</t>
        </is>
      </c>
      <c r="R2355" s="121" t="n">
        <v>96.08</v>
      </c>
      <c r="S2355" s="122" t="n">
        <v>2642</v>
      </c>
      <c r="T2355" s="122" t="n">
        <v>1582</v>
      </c>
      <c r="U2355" s="123">
        <f>IFERROR(S2355/T2355,"")</f>
        <v/>
      </c>
      <c r="V2355" s="122" t="n">
        <v>14</v>
      </c>
      <c r="W2355" s="122" t="n">
        <v>12</v>
      </c>
      <c r="X2355" s="124">
        <f>IFERROR(W2355/S2355,"")</f>
        <v/>
      </c>
      <c r="Y2355" s="121">
        <f>IFERROR(R2355/W2355,"")</f>
        <v/>
      </c>
      <c r="Z2355" s="121">
        <f>IFERROR(R2355/S2355*1000,"")</f>
        <v/>
      </c>
      <c r="AA2355" s="122" t="n">
        <v>7</v>
      </c>
      <c r="AB2355" s="54">
        <f>IFERROR(AA2355/W2355,"")</f>
        <v/>
      </c>
      <c r="AC2355" s="122" t="n">
        <v>0</v>
      </c>
      <c r="AD2355" s="122" t="n">
        <v>0</v>
      </c>
      <c r="AE2355" s="122" t="n">
        <v>0</v>
      </c>
      <c r="AF2355" s="122" t="n">
        <v>0</v>
      </c>
      <c r="AG2355" s="122" t="n">
        <v>0</v>
      </c>
      <c r="AH2355" s="122" t="n">
        <v>0</v>
      </c>
      <c r="AI2355" s="54">
        <f>IFERROR(AC2355/S2355,"")</f>
        <v/>
      </c>
      <c r="AJ2355" s="54">
        <f>IFERROR(AH2355/S2355,"")</f>
        <v/>
      </c>
      <c r="AK2355" s="122" t="n">
        <v>12</v>
      </c>
      <c r="AL2355" s="122" t="n">
        <v>0</v>
      </c>
      <c r="AM2355" s="124">
        <f>IFERROR(AL2355/AA2355,"")</f>
        <v/>
      </c>
      <c r="AN2355" s="125">
        <f>IFERROR(R2355/AL2355,"")</f>
        <v/>
      </c>
      <c r="AO2355" s="122" t="n">
        <v>0</v>
      </c>
      <c r="AP2355" s="54">
        <f>IFERROR(AO2355/AL2355,"")</f>
        <v/>
      </c>
      <c r="AQ2355" s="125">
        <f>IFERROR(R2355/AO2355,"")</f>
        <v/>
      </c>
      <c r="AR2355" s="122" t="n">
        <v>0</v>
      </c>
      <c r="AS2355" s="122" t="n">
        <v>0</v>
      </c>
      <c r="AT2355" s="122">
        <f>AL2355+AR2355</f>
        <v/>
      </c>
      <c r="AU2355" s="125">
        <f>IFERROR(AO2355*Assumptions!$C$26*Assumptions!$C$27*INDEX(Assumptions!$C$18:$C$21,MATCH(H2355,Assumptions!$B$18:$B$21,0)),0)</f>
        <v/>
      </c>
    </row>
    <row r="2356">
      <c r="A2356" s="120" t="n">
        <v>46248</v>
      </c>
      <c r="B2356" s="66" t="inlineStr">
        <is>
          <t>Wk 33</t>
        </is>
      </c>
      <c r="C2356" s="66" t="inlineStr">
        <is>
          <t>Fri</t>
        </is>
      </c>
      <c r="D2356" s="66" t="inlineStr">
        <is>
          <t>Programmatic</t>
        </is>
      </c>
      <c r="E2356" s="66" t="inlineStr">
        <is>
          <t>DV360</t>
        </is>
      </c>
      <c r="F2356" s="66" t="inlineStr">
        <is>
          <t>LEP_ZA_AUG26_PROG_RMKT_DYNAMIC</t>
        </is>
      </c>
      <c r="G2356" s="66" t="inlineStr">
        <is>
          <t>Dynamic Retargeting</t>
        </is>
      </c>
      <c r="H2356" s="66" t="inlineStr">
        <is>
          <t>Range</t>
        </is>
      </c>
      <c r="I2356" s="66" t="inlineStr">
        <is>
          <t>Range Offer</t>
        </is>
      </c>
      <c r="J2356" s="66" t="inlineStr">
        <is>
          <t>PROG_DYN_RMKT_7D</t>
        </is>
      </c>
      <c r="K2356" s="66" t="inlineStr">
        <is>
          <t>Retargeting</t>
        </is>
      </c>
      <c r="L2356" s="66" t="inlineStr">
        <is>
          <t>PROG_DYN_320x50_BookNow_v1</t>
        </is>
      </c>
      <c r="M2356" s="66" t="inlineStr">
        <is>
          <t>Dynamic Display 320x50</t>
        </is>
      </c>
      <c r="N2356" s="66" t="inlineStr">
        <is>
          <t>Book your test drive</t>
        </is>
      </c>
      <c r="O2356" s="66" t="inlineStr">
        <is>
          <t>Auction - Lowest Cost</t>
        </is>
      </c>
      <c r="P2356" s="66" t="inlineStr">
        <is>
          <t>Conversions (CPA)</t>
        </is>
      </c>
      <c r="Q2356" s="66" t="inlineStr">
        <is>
          <t>https://www.lepas-sa.co.za/book-a-test-drive</t>
        </is>
      </c>
      <c r="R2356" s="121" t="n">
        <v>81.75</v>
      </c>
      <c r="S2356" s="122" t="n">
        <v>2246</v>
      </c>
      <c r="T2356" s="122" t="n">
        <v>953</v>
      </c>
      <c r="U2356" s="123">
        <f>IFERROR(S2356/T2356,"")</f>
        <v/>
      </c>
      <c r="V2356" s="122" t="n">
        <v>8</v>
      </c>
      <c r="W2356" s="122" t="n">
        <v>7</v>
      </c>
      <c r="X2356" s="124">
        <f>IFERROR(W2356/S2356,"")</f>
        <v/>
      </c>
      <c r="Y2356" s="121">
        <f>IFERROR(R2356/W2356,"")</f>
        <v/>
      </c>
      <c r="Z2356" s="121">
        <f>IFERROR(R2356/S2356*1000,"")</f>
        <v/>
      </c>
      <c r="AA2356" s="122" t="n">
        <v>3</v>
      </c>
      <c r="AB2356" s="54">
        <f>IFERROR(AA2356/W2356,"")</f>
        <v/>
      </c>
      <c r="AC2356" s="122" t="n">
        <v>0</v>
      </c>
      <c r="AD2356" s="122" t="n">
        <v>0</v>
      </c>
      <c r="AE2356" s="122" t="n">
        <v>0</v>
      </c>
      <c r="AF2356" s="122" t="n">
        <v>0</v>
      </c>
      <c r="AG2356" s="122" t="n">
        <v>0</v>
      </c>
      <c r="AH2356" s="122" t="n">
        <v>0</v>
      </c>
      <c r="AI2356" s="54">
        <f>IFERROR(AC2356/S2356,"")</f>
        <v/>
      </c>
      <c r="AJ2356" s="54">
        <f>IFERROR(AH2356/S2356,"")</f>
        <v/>
      </c>
      <c r="AK2356" s="122" t="n">
        <v>8</v>
      </c>
      <c r="AL2356" s="122" t="n">
        <v>0</v>
      </c>
      <c r="AM2356" s="124">
        <f>IFERROR(AL2356/AA2356,"")</f>
        <v/>
      </c>
      <c r="AN2356" s="125">
        <f>IFERROR(R2356/AL2356,"")</f>
        <v/>
      </c>
      <c r="AO2356" s="122" t="n">
        <v>0</v>
      </c>
      <c r="AP2356" s="54">
        <f>IFERROR(AO2356/AL2356,"")</f>
        <v/>
      </c>
      <c r="AQ2356" s="125">
        <f>IFERROR(R2356/AO2356,"")</f>
        <v/>
      </c>
      <c r="AR2356" s="122" t="n">
        <v>0</v>
      </c>
      <c r="AS2356" s="122" t="n">
        <v>0</v>
      </c>
      <c r="AT2356" s="122">
        <f>AL2356+AR2356</f>
        <v/>
      </c>
      <c r="AU2356" s="125">
        <f>IFERROR(AO2356*Assumptions!$C$26*Assumptions!$C$27*INDEX(Assumptions!$C$18:$C$21,MATCH(H2356,Assumptions!$B$18:$B$21,0)),0)</f>
        <v/>
      </c>
    </row>
    <row r="2357">
      <c r="A2357" s="120" t="n">
        <v>46249</v>
      </c>
      <c r="B2357" s="66" t="inlineStr">
        <is>
          <t>Wk 33</t>
        </is>
      </c>
      <c r="C2357" s="66" t="inlineStr">
        <is>
          <t>Sat</t>
        </is>
      </c>
      <c r="D2357" s="66" t="inlineStr">
        <is>
          <t>Programmatic</t>
        </is>
      </c>
      <c r="E2357" s="66" t="inlineStr">
        <is>
          <t>DV360</t>
        </is>
      </c>
      <c r="F2357" s="66" t="inlineStr">
        <is>
          <t>LEP_ZA_AUG26_PROG_RMKT_DYNAMIC</t>
        </is>
      </c>
      <c r="G2357" s="66" t="inlineStr">
        <is>
          <t>Dynamic Retargeting</t>
        </is>
      </c>
      <c r="H2357" s="66" t="inlineStr">
        <is>
          <t>Range</t>
        </is>
      </c>
      <c r="I2357" s="66" t="inlineStr">
        <is>
          <t>Range Offer</t>
        </is>
      </c>
      <c r="J2357" s="66" t="inlineStr">
        <is>
          <t>PROG_DYN_RMKT_7D</t>
        </is>
      </c>
      <c r="K2357" s="66" t="inlineStr">
        <is>
          <t>Retargeting</t>
        </is>
      </c>
      <c r="L2357" s="66" t="inlineStr">
        <is>
          <t>PROG_DYN_320x50_BookNow_v1</t>
        </is>
      </c>
      <c r="M2357" s="66" t="inlineStr">
        <is>
          <t>Dynamic Display 320x50</t>
        </is>
      </c>
      <c r="N2357" s="66" t="inlineStr">
        <is>
          <t>Book your test drive</t>
        </is>
      </c>
      <c r="O2357" s="66" t="inlineStr">
        <is>
          <t>Auction - Lowest Cost</t>
        </is>
      </c>
      <c r="P2357" s="66" t="inlineStr">
        <is>
          <t>Conversions (CPA)</t>
        </is>
      </c>
      <c r="Q2357" s="66" t="inlineStr">
        <is>
          <t>https://www.lepas-sa.co.za/book-a-test-drive</t>
        </is>
      </c>
      <c r="R2357" s="121" t="n">
        <v>96.52</v>
      </c>
      <c r="S2357" s="122" t="n">
        <v>2809</v>
      </c>
      <c r="T2357" s="122" t="n">
        <v>1746</v>
      </c>
      <c r="U2357" s="123">
        <f>IFERROR(S2357/T2357,"")</f>
        <v/>
      </c>
      <c r="V2357" s="122" t="n">
        <v>14</v>
      </c>
      <c r="W2357" s="122" t="n">
        <v>11</v>
      </c>
      <c r="X2357" s="124">
        <f>IFERROR(W2357/S2357,"")</f>
        <v/>
      </c>
      <c r="Y2357" s="121">
        <f>IFERROR(R2357/W2357,"")</f>
        <v/>
      </c>
      <c r="Z2357" s="121">
        <f>IFERROR(R2357/S2357*1000,"")</f>
        <v/>
      </c>
      <c r="AA2357" s="122" t="n">
        <v>8</v>
      </c>
      <c r="AB2357" s="54">
        <f>IFERROR(AA2357/W2357,"")</f>
        <v/>
      </c>
      <c r="AC2357" s="122" t="n">
        <v>0</v>
      </c>
      <c r="AD2357" s="122" t="n">
        <v>0</v>
      </c>
      <c r="AE2357" s="122" t="n">
        <v>0</v>
      </c>
      <c r="AF2357" s="122" t="n">
        <v>0</v>
      </c>
      <c r="AG2357" s="122" t="n">
        <v>0</v>
      </c>
      <c r="AH2357" s="122" t="n">
        <v>0</v>
      </c>
      <c r="AI2357" s="54">
        <f>IFERROR(AC2357/S2357,"")</f>
        <v/>
      </c>
      <c r="AJ2357" s="54">
        <f>IFERROR(AH2357/S2357,"")</f>
        <v/>
      </c>
      <c r="AK2357" s="122" t="n">
        <v>16</v>
      </c>
      <c r="AL2357" s="122" t="n">
        <v>1</v>
      </c>
      <c r="AM2357" s="124">
        <f>IFERROR(AL2357/AA2357,"")</f>
        <v/>
      </c>
      <c r="AN2357" s="125">
        <f>IFERROR(R2357/AL2357,"")</f>
        <v/>
      </c>
      <c r="AO2357" s="122" t="n">
        <v>1</v>
      </c>
      <c r="AP2357" s="54">
        <f>IFERROR(AO2357/AL2357,"")</f>
        <v/>
      </c>
      <c r="AQ2357" s="125">
        <f>IFERROR(R2357/AO2357,"")</f>
        <v/>
      </c>
      <c r="AR2357" s="122" t="n">
        <v>1</v>
      </c>
      <c r="AS2357" s="122" t="n">
        <v>1</v>
      </c>
      <c r="AT2357" s="122">
        <f>AL2357+AR2357</f>
        <v/>
      </c>
      <c r="AU2357" s="125">
        <f>IFERROR(AO2357*Assumptions!$C$26*Assumptions!$C$27*INDEX(Assumptions!$C$18:$C$21,MATCH(H2357,Assumptions!$B$18:$B$21,0)),0)</f>
        <v/>
      </c>
    </row>
    <row r="2358">
      <c r="A2358" s="120" t="n">
        <v>46250</v>
      </c>
      <c r="B2358" s="66" t="inlineStr">
        <is>
          <t>Wk 33</t>
        </is>
      </c>
      <c r="C2358" s="66" t="inlineStr">
        <is>
          <t>Sun</t>
        </is>
      </c>
      <c r="D2358" s="66" t="inlineStr">
        <is>
          <t>Programmatic</t>
        </is>
      </c>
      <c r="E2358" s="66" t="inlineStr">
        <is>
          <t>DV360</t>
        </is>
      </c>
      <c r="F2358" s="66" t="inlineStr">
        <is>
          <t>LEP_ZA_AUG26_PROG_RMKT_DYNAMIC</t>
        </is>
      </c>
      <c r="G2358" s="66" t="inlineStr">
        <is>
          <t>Dynamic Retargeting</t>
        </is>
      </c>
      <c r="H2358" s="66" t="inlineStr">
        <is>
          <t>Range</t>
        </is>
      </c>
      <c r="I2358" s="66" t="inlineStr">
        <is>
          <t>Range Offer</t>
        </is>
      </c>
      <c r="J2358" s="66" t="inlineStr">
        <is>
          <t>PROG_DYN_RMKT_7D</t>
        </is>
      </c>
      <c r="K2358" s="66" t="inlineStr">
        <is>
          <t>Retargeting</t>
        </is>
      </c>
      <c r="L2358" s="66" t="inlineStr">
        <is>
          <t>PROG_DYN_320x50_BookNow_v1</t>
        </is>
      </c>
      <c r="M2358" s="66" t="inlineStr">
        <is>
          <t>Dynamic Display 320x50</t>
        </is>
      </c>
      <c r="N2358" s="66" t="inlineStr">
        <is>
          <t>Book your test drive</t>
        </is>
      </c>
      <c r="O2358" s="66" t="inlineStr">
        <is>
          <t>Auction - Lowest Cost</t>
        </is>
      </c>
      <c r="P2358" s="66" t="inlineStr">
        <is>
          <t>Conversions (CPA)</t>
        </is>
      </c>
      <c r="Q2358" s="66" t="inlineStr">
        <is>
          <t>https://www.lepas-sa.co.za/book-a-test-drive</t>
        </is>
      </c>
      <c r="R2358" s="121" t="n">
        <v>58.26</v>
      </c>
      <c r="S2358" s="122" t="n">
        <v>1940</v>
      </c>
      <c r="T2358" s="122" t="n">
        <v>1117</v>
      </c>
      <c r="U2358" s="123">
        <f>IFERROR(S2358/T2358,"")</f>
        <v/>
      </c>
      <c r="V2358" s="122" t="n">
        <v>7</v>
      </c>
      <c r="W2358" s="122" t="n">
        <v>5</v>
      </c>
      <c r="X2358" s="124">
        <f>IFERROR(W2358/S2358,"")</f>
        <v/>
      </c>
      <c r="Y2358" s="121">
        <f>IFERROR(R2358/W2358,"")</f>
        <v/>
      </c>
      <c r="Z2358" s="121">
        <f>IFERROR(R2358/S2358*1000,"")</f>
        <v/>
      </c>
      <c r="AA2358" s="122" t="n">
        <v>3</v>
      </c>
      <c r="AB2358" s="54">
        <f>IFERROR(AA2358/W2358,"")</f>
        <v/>
      </c>
      <c r="AC2358" s="122" t="n">
        <v>0</v>
      </c>
      <c r="AD2358" s="122" t="n">
        <v>0</v>
      </c>
      <c r="AE2358" s="122" t="n">
        <v>0</v>
      </c>
      <c r="AF2358" s="122" t="n">
        <v>0</v>
      </c>
      <c r="AG2358" s="122" t="n">
        <v>0</v>
      </c>
      <c r="AH2358" s="122" t="n">
        <v>0</v>
      </c>
      <c r="AI2358" s="54">
        <f>IFERROR(AC2358/S2358,"")</f>
        <v/>
      </c>
      <c r="AJ2358" s="54">
        <f>IFERROR(AH2358/S2358,"")</f>
        <v/>
      </c>
      <c r="AK2358" s="122" t="n">
        <v>10</v>
      </c>
      <c r="AL2358" s="122" t="n">
        <v>0</v>
      </c>
      <c r="AM2358" s="124">
        <f>IFERROR(AL2358/AA2358,"")</f>
        <v/>
      </c>
      <c r="AN2358" s="125">
        <f>IFERROR(R2358/AL2358,"")</f>
        <v/>
      </c>
      <c r="AO2358" s="122" t="n">
        <v>0</v>
      </c>
      <c r="AP2358" s="54">
        <f>IFERROR(AO2358/AL2358,"")</f>
        <v/>
      </c>
      <c r="AQ2358" s="125">
        <f>IFERROR(R2358/AO2358,"")</f>
        <v/>
      </c>
      <c r="AR2358" s="122" t="n">
        <v>0</v>
      </c>
      <c r="AS2358" s="122" t="n">
        <v>0</v>
      </c>
      <c r="AT2358" s="122">
        <f>AL2358+AR2358</f>
        <v/>
      </c>
      <c r="AU2358" s="125">
        <f>IFERROR(AO2358*Assumptions!$C$26*Assumptions!$C$27*INDEX(Assumptions!$C$18:$C$21,MATCH(H2358,Assumptions!$B$18:$B$21,0)),0)</f>
        <v/>
      </c>
    </row>
    <row r="2359">
      <c r="A2359" s="120" t="n">
        <v>46251</v>
      </c>
      <c r="B2359" s="66" t="inlineStr">
        <is>
          <t>Wk 34</t>
        </is>
      </c>
      <c r="C2359" s="66" t="inlineStr">
        <is>
          <t>Mon</t>
        </is>
      </c>
      <c r="D2359" s="66" t="inlineStr">
        <is>
          <t>Programmatic</t>
        </is>
      </c>
      <c r="E2359" s="66" t="inlineStr">
        <is>
          <t>DV360</t>
        </is>
      </c>
      <c r="F2359" s="66" t="inlineStr">
        <is>
          <t>LEP_ZA_AUG26_PROG_RMKT_DYNAMIC</t>
        </is>
      </c>
      <c r="G2359" s="66" t="inlineStr">
        <is>
          <t>Dynamic Retargeting</t>
        </is>
      </c>
      <c r="H2359" s="66" t="inlineStr">
        <is>
          <t>Range</t>
        </is>
      </c>
      <c r="I2359" s="66" t="inlineStr">
        <is>
          <t>Range Offer</t>
        </is>
      </c>
      <c r="J2359" s="66" t="inlineStr">
        <is>
          <t>PROG_DYN_RMKT_7D</t>
        </is>
      </c>
      <c r="K2359" s="66" t="inlineStr">
        <is>
          <t>Retargeting</t>
        </is>
      </c>
      <c r="L2359" s="66" t="inlineStr">
        <is>
          <t>PROG_DYN_320x50_BookNow_v1</t>
        </is>
      </c>
      <c r="M2359" s="66" t="inlineStr">
        <is>
          <t>Dynamic Display 320x50</t>
        </is>
      </c>
      <c r="N2359" s="66" t="inlineStr">
        <is>
          <t>Book your test drive</t>
        </is>
      </c>
      <c r="O2359" s="66" t="inlineStr">
        <is>
          <t>Auction - Lowest Cost</t>
        </is>
      </c>
      <c r="P2359" s="66" t="inlineStr">
        <is>
          <t>Conversions (CPA)</t>
        </is>
      </c>
      <c r="Q2359" s="66" t="inlineStr">
        <is>
          <t>https://www.lepas-sa.co.za/book-a-test-drive</t>
        </is>
      </c>
      <c r="R2359" s="121" t="n">
        <v>61.23</v>
      </c>
      <c r="S2359" s="122" t="n">
        <v>1417</v>
      </c>
      <c r="T2359" s="122" t="n">
        <v>663</v>
      </c>
      <c r="U2359" s="123">
        <f>IFERROR(S2359/T2359,"")</f>
        <v/>
      </c>
      <c r="V2359" s="122" t="n">
        <v>2</v>
      </c>
      <c r="W2359" s="122" t="n">
        <v>2</v>
      </c>
      <c r="X2359" s="124">
        <f>IFERROR(W2359/S2359,"")</f>
        <v/>
      </c>
      <c r="Y2359" s="121">
        <f>IFERROR(R2359/W2359,"")</f>
        <v/>
      </c>
      <c r="Z2359" s="121">
        <f>IFERROR(R2359/S2359*1000,"")</f>
        <v/>
      </c>
      <c r="AA2359" s="122" t="n">
        <v>2</v>
      </c>
      <c r="AB2359" s="54">
        <f>IFERROR(AA2359/W2359,"")</f>
        <v/>
      </c>
      <c r="AC2359" s="122" t="n">
        <v>0</v>
      </c>
      <c r="AD2359" s="122" t="n">
        <v>0</v>
      </c>
      <c r="AE2359" s="122" t="n">
        <v>0</v>
      </c>
      <c r="AF2359" s="122" t="n">
        <v>0</v>
      </c>
      <c r="AG2359" s="122" t="n">
        <v>0</v>
      </c>
      <c r="AH2359" s="122" t="n">
        <v>0</v>
      </c>
      <c r="AI2359" s="54">
        <f>IFERROR(AC2359/S2359,"")</f>
        <v/>
      </c>
      <c r="AJ2359" s="54">
        <f>IFERROR(AH2359/S2359,"")</f>
        <v/>
      </c>
      <c r="AK2359" s="122" t="n">
        <v>5</v>
      </c>
      <c r="AL2359" s="122" t="n">
        <v>1</v>
      </c>
      <c r="AM2359" s="124">
        <f>IFERROR(AL2359/AA2359,"")</f>
        <v/>
      </c>
      <c r="AN2359" s="125">
        <f>IFERROR(R2359/AL2359,"")</f>
        <v/>
      </c>
      <c r="AO2359" s="122" t="n">
        <v>0</v>
      </c>
      <c r="AP2359" s="54">
        <f>IFERROR(AO2359/AL2359,"")</f>
        <v/>
      </c>
      <c r="AQ2359" s="125">
        <f>IFERROR(R2359/AO2359,"")</f>
        <v/>
      </c>
      <c r="AR2359" s="122" t="n">
        <v>1</v>
      </c>
      <c r="AS2359" s="122" t="n">
        <v>1</v>
      </c>
      <c r="AT2359" s="122">
        <f>AL2359+AR2359</f>
        <v/>
      </c>
      <c r="AU2359" s="125">
        <f>IFERROR(AO2359*Assumptions!$C$26*Assumptions!$C$27*INDEX(Assumptions!$C$18:$C$21,MATCH(H2359,Assumptions!$B$18:$B$21,0)),0)</f>
        <v/>
      </c>
    </row>
    <row r="2360">
      <c r="A2360" s="120" t="n">
        <v>46252</v>
      </c>
      <c r="B2360" s="66" t="inlineStr">
        <is>
          <t>Wk 34</t>
        </is>
      </c>
      <c r="C2360" s="66" t="inlineStr">
        <is>
          <t>Tue</t>
        </is>
      </c>
      <c r="D2360" s="66" t="inlineStr">
        <is>
          <t>Programmatic</t>
        </is>
      </c>
      <c r="E2360" s="66" t="inlineStr">
        <is>
          <t>DV360</t>
        </is>
      </c>
      <c r="F2360" s="66" t="inlineStr">
        <is>
          <t>LEP_ZA_AUG26_PROG_RMKT_DYNAMIC</t>
        </is>
      </c>
      <c r="G2360" s="66" t="inlineStr">
        <is>
          <t>Dynamic Retargeting</t>
        </is>
      </c>
      <c r="H2360" s="66" t="inlineStr">
        <is>
          <t>Range</t>
        </is>
      </c>
      <c r="I2360" s="66" t="inlineStr">
        <is>
          <t>Range Offer</t>
        </is>
      </c>
      <c r="J2360" s="66" t="inlineStr">
        <is>
          <t>PROG_DYN_RMKT_7D</t>
        </is>
      </c>
      <c r="K2360" s="66" t="inlineStr">
        <is>
          <t>Retargeting</t>
        </is>
      </c>
      <c r="L2360" s="66" t="inlineStr">
        <is>
          <t>PROG_DYN_320x50_BookNow_v1</t>
        </is>
      </c>
      <c r="M2360" s="66" t="inlineStr">
        <is>
          <t>Dynamic Display 320x50</t>
        </is>
      </c>
      <c r="N2360" s="66" t="inlineStr">
        <is>
          <t>Book your test drive</t>
        </is>
      </c>
      <c r="O2360" s="66" t="inlineStr">
        <is>
          <t>Auction - Lowest Cost</t>
        </is>
      </c>
      <c r="P2360" s="66" t="inlineStr">
        <is>
          <t>Conversions (CPA)</t>
        </is>
      </c>
      <c r="Q2360" s="66" t="inlineStr">
        <is>
          <t>https://www.lepas-sa.co.za/book-a-test-drive</t>
        </is>
      </c>
      <c r="R2360" s="121" t="n">
        <v>67.11</v>
      </c>
      <c r="S2360" s="122" t="n">
        <v>1891</v>
      </c>
      <c r="T2360" s="122" t="n">
        <v>711</v>
      </c>
      <c r="U2360" s="123">
        <f>IFERROR(S2360/T2360,"")</f>
        <v/>
      </c>
      <c r="V2360" s="122" t="n">
        <v>4</v>
      </c>
      <c r="W2360" s="122" t="n">
        <v>3</v>
      </c>
      <c r="X2360" s="124">
        <f>IFERROR(W2360/S2360,"")</f>
        <v/>
      </c>
      <c r="Y2360" s="121">
        <f>IFERROR(R2360/W2360,"")</f>
        <v/>
      </c>
      <c r="Z2360" s="121">
        <f>IFERROR(R2360/S2360*1000,"")</f>
        <v/>
      </c>
      <c r="AA2360" s="122" t="n">
        <v>2</v>
      </c>
      <c r="AB2360" s="54">
        <f>IFERROR(AA2360/W2360,"")</f>
        <v/>
      </c>
      <c r="AC2360" s="122" t="n">
        <v>0</v>
      </c>
      <c r="AD2360" s="122" t="n">
        <v>0</v>
      </c>
      <c r="AE2360" s="122" t="n">
        <v>0</v>
      </c>
      <c r="AF2360" s="122" t="n">
        <v>0</v>
      </c>
      <c r="AG2360" s="122" t="n">
        <v>0</v>
      </c>
      <c r="AH2360" s="122" t="n">
        <v>0</v>
      </c>
      <c r="AI2360" s="54">
        <f>IFERROR(AC2360/S2360,"")</f>
        <v/>
      </c>
      <c r="AJ2360" s="54">
        <f>IFERROR(AH2360/S2360,"")</f>
        <v/>
      </c>
      <c r="AK2360" s="122" t="n">
        <v>6</v>
      </c>
      <c r="AL2360" s="122" t="n">
        <v>0</v>
      </c>
      <c r="AM2360" s="124">
        <f>IFERROR(AL2360/AA2360,"")</f>
        <v/>
      </c>
      <c r="AN2360" s="125">
        <f>IFERROR(R2360/AL2360,"")</f>
        <v/>
      </c>
      <c r="AO2360" s="122" t="n">
        <v>0</v>
      </c>
      <c r="AP2360" s="54">
        <f>IFERROR(AO2360/AL2360,"")</f>
        <v/>
      </c>
      <c r="AQ2360" s="125">
        <f>IFERROR(R2360/AO2360,"")</f>
        <v/>
      </c>
      <c r="AR2360" s="122" t="n">
        <v>0</v>
      </c>
      <c r="AS2360" s="122" t="n">
        <v>0</v>
      </c>
      <c r="AT2360" s="122">
        <f>AL2360+AR2360</f>
        <v/>
      </c>
      <c r="AU2360" s="125">
        <f>IFERROR(AO2360*Assumptions!$C$26*Assumptions!$C$27*INDEX(Assumptions!$C$18:$C$21,MATCH(H2360,Assumptions!$B$18:$B$21,0)),0)</f>
        <v/>
      </c>
    </row>
    <row r="2361">
      <c r="A2361" s="120" t="n">
        <v>46253</v>
      </c>
      <c r="B2361" s="66" t="inlineStr">
        <is>
          <t>Wk 34</t>
        </is>
      </c>
      <c r="C2361" s="66" t="inlineStr">
        <is>
          <t>Wed</t>
        </is>
      </c>
      <c r="D2361" s="66" t="inlineStr">
        <is>
          <t>Programmatic</t>
        </is>
      </c>
      <c r="E2361" s="66" t="inlineStr">
        <is>
          <t>DV360</t>
        </is>
      </c>
      <c r="F2361" s="66" t="inlineStr">
        <is>
          <t>LEP_ZA_AUG26_PROG_RMKT_DYNAMIC</t>
        </is>
      </c>
      <c r="G2361" s="66" t="inlineStr">
        <is>
          <t>Dynamic Retargeting</t>
        </is>
      </c>
      <c r="H2361" s="66" t="inlineStr">
        <is>
          <t>Range</t>
        </is>
      </c>
      <c r="I2361" s="66" t="inlineStr">
        <is>
          <t>Range Offer</t>
        </is>
      </c>
      <c r="J2361" s="66" t="inlineStr">
        <is>
          <t>PROG_DYN_RMKT_7D</t>
        </is>
      </c>
      <c r="K2361" s="66" t="inlineStr">
        <is>
          <t>Retargeting</t>
        </is>
      </c>
      <c r="L2361" s="66" t="inlineStr">
        <is>
          <t>PROG_DYN_320x50_BookNow_v1</t>
        </is>
      </c>
      <c r="M2361" s="66" t="inlineStr">
        <is>
          <t>Dynamic Display 320x50</t>
        </is>
      </c>
      <c r="N2361" s="66" t="inlineStr">
        <is>
          <t>Book your test drive</t>
        </is>
      </c>
      <c r="O2361" s="66" t="inlineStr">
        <is>
          <t>Auction - Lowest Cost</t>
        </is>
      </c>
      <c r="P2361" s="66" t="inlineStr">
        <is>
          <t>Conversions (CPA)</t>
        </is>
      </c>
      <c r="Q2361" s="66" t="inlineStr">
        <is>
          <t>https://www.lepas-sa.co.za/book-a-test-drive</t>
        </is>
      </c>
      <c r="R2361" s="121" t="n">
        <v>79.8</v>
      </c>
      <c r="S2361" s="122" t="n">
        <v>1945</v>
      </c>
      <c r="T2361" s="122" t="n">
        <v>841</v>
      </c>
      <c r="U2361" s="123">
        <f>IFERROR(S2361/T2361,"")</f>
        <v/>
      </c>
      <c r="V2361" s="122" t="n">
        <v>12</v>
      </c>
      <c r="W2361" s="122" t="n">
        <v>9</v>
      </c>
      <c r="X2361" s="124">
        <f>IFERROR(W2361/S2361,"")</f>
        <v/>
      </c>
      <c r="Y2361" s="121">
        <f>IFERROR(R2361/W2361,"")</f>
        <v/>
      </c>
      <c r="Z2361" s="121">
        <f>IFERROR(R2361/S2361*1000,"")</f>
        <v/>
      </c>
      <c r="AA2361" s="122" t="n">
        <v>6</v>
      </c>
      <c r="AB2361" s="54">
        <f>IFERROR(AA2361/W2361,"")</f>
        <v/>
      </c>
      <c r="AC2361" s="122" t="n">
        <v>0</v>
      </c>
      <c r="AD2361" s="122" t="n">
        <v>0</v>
      </c>
      <c r="AE2361" s="122" t="n">
        <v>0</v>
      </c>
      <c r="AF2361" s="122" t="n">
        <v>0</v>
      </c>
      <c r="AG2361" s="122" t="n">
        <v>0</v>
      </c>
      <c r="AH2361" s="122" t="n">
        <v>0</v>
      </c>
      <c r="AI2361" s="54">
        <f>IFERROR(AC2361/S2361,"")</f>
        <v/>
      </c>
      <c r="AJ2361" s="54">
        <f>IFERROR(AH2361/S2361,"")</f>
        <v/>
      </c>
      <c r="AK2361" s="122" t="n">
        <v>4</v>
      </c>
      <c r="AL2361" s="122" t="n">
        <v>0</v>
      </c>
      <c r="AM2361" s="124">
        <f>IFERROR(AL2361/AA2361,"")</f>
        <v/>
      </c>
      <c r="AN2361" s="125">
        <f>IFERROR(R2361/AL2361,"")</f>
        <v/>
      </c>
      <c r="AO2361" s="122" t="n">
        <v>0</v>
      </c>
      <c r="AP2361" s="54">
        <f>IFERROR(AO2361/AL2361,"")</f>
        <v/>
      </c>
      <c r="AQ2361" s="125">
        <f>IFERROR(R2361/AO2361,"")</f>
        <v/>
      </c>
      <c r="AR2361" s="122" t="n">
        <v>0</v>
      </c>
      <c r="AS2361" s="122" t="n">
        <v>0</v>
      </c>
      <c r="AT2361" s="122">
        <f>AL2361+AR2361</f>
        <v/>
      </c>
      <c r="AU2361" s="125">
        <f>IFERROR(AO2361*Assumptions!$C$26*Assumptions!$C$27*INDEX(Assumptions!$C$18:$C$21,MATCH(H2361,Assumptions!$B$18:$B$21,0)),0)</f>
        <v/>
      </c>
    </row>
    <row r="2362">
      <c r="A2362" s="120" t="n">
        <v>46254</v>
      </c>
      <c r="B2362" s="66" t="inlineStr">
        <is>
          <t>Wk 34</t>
        </is>
      </c>
      <c r="C2362" s="66" t="inlineStr">
        <is>
          <t>Thu</t>
        </is>
      </c>
      <c r="D2362" s="66" t="inlineStr">
        <is>
          <t>Programmatic</t>
        </is>
      </c>
      <c r="E2362" s="66" t="inlineStr">
        <is>
          <t>DV360</t>
        </is>
      </c>
      <c r="F2362" s="66" t="inlineStr">
        <is>
          <t>LEP_ZA_AUG26_PROG_RMKT_DYNAMIC</t>
        </is>
      </c>
      <c r="G2362" s="66" t="inlineStr">
        <is>
          <t>Dynamic Retargeting</t>
        </is>
      </c>
      <c r="H2362" s="66" t="inlineStr">
        <is>
          <t>Range</t>
        </is>
      </c>
      <c r="I2362" s="66" t="inlineStr">
        <is>
          <t>Range Offer</t>
        </is>
      </c>
      <c r="J2362" s="66" t="inlineStr">
        <is>
          <t>PROG_DYN_RMKT_7D</t>
        </is>
      </c>
      <c r="K2362" s="66" t="inlineStr">
        <is>
          <t>Retargeting</t>
        </is>
      </c>
      <c r="L2362" s="66" t="inlineStr">
        <is>
          <t>PROG_DYN_320x50_BookNow_v1</t>
        </is>
      </c>
      <c r="M2362" s="66" t="inlineStr">
        <is>
          <t>Dynamic Display 320x50</t>
        </is>
      </c>
      <c r="N2362" s="66" t="inlineStr">
        <is>
          <t>Book your test drive</t>
        </is>
      </c>
      <c r="O2362" s="66" t="inlineStr">
        <is>
          <t>Auction - Lowest Cost</t>
        </is>
      </c>
      <c r="P2362" s="66" t="inlineStr">
        <is>
          <t>Conversions (CPA)</t>
        </is>
      </c>
      <c r="Q2362" s="66" t="inlineStr">
        <is>
          <t>https://www.lepas-sa.co.za/book-a-test-drive</t>
        </is>
      </c>
      <c r="R2362" s="121" t="n">
        <v>89.56</v>
      </c>
      <c r="S2362" s="122" t="n">
        <v>2803</v>
      </c>
      <c r="T2362" s="122" t="n">
        <v>1012</v>
      </c>
      <c r="U2362" s="123">
        <f>IFERROR(S2362/T2362,"")</f>
        <v/>
      </c>
      <c r="V2362" s="122" t="n">
        <v>14</v>
      </c>
      <c r="W2362" s="122" t="n">
        <v>11</v>
      </c>
      <c r="X2362" s="124">
        <f>IFERROR(W2362/S2362,"")</f>
        <v/>
      </c>
      <c r="Y2362" s="121">
        <f>IFERROR(R2362/W2362,"")</f>
        <v/>
      </c>
      <c r="Z2362" s="121">
        <f>IFERROR(R2362/S2362*1000,"")</f>
        <v/>
      </c>
      <c r="AA2362" s="122" t="n">
        <v>7</v>
      </c>
      <c r="AB2362" s="54">
        <f>IFERROR(AA2362/W2362,"")</f>
        <v/>
      </c>
      <c r="AC2362" s="122" t="n">
        <v>0</v>
      </c>
      <c r="AD2362" s="122" t="n">
        <v>0</v>
      </c>
      <c r="AE2362" s="122" t="n">
        <v>0</v>
      </c>
      <c r="AF2362" s="122" t="n">
        <v>0</v>
      </c>
      <c r="AG2362" s="122" t="n">
        <v>0</v>
      </c>
      <c r="AH2362" s="122" t="n">
        <v>0</v>
      </c>
      <c r="AI2362" s="54">
        <f>IFERROR(AC2362/S2362,"")</f>
        <v/>
      </c>
      <c r="AJ2362" s="54">
        <f>IFERROR(AH2362/S2362,"")</f>
        <v/>
      </c>
      <c r="AK2362" s="122" t="n">
        <v>13</v>
      </c>
      <c r="AL2362" s="122" t="n">
        <v>0</v>
      </c>
      <c r="AM2362" s="124">
        <f>IFERROR(AL2362/AA2362,"")</f>
        <v/>
      </c>
      <c r="AN2362" s="125">
        <f>IFERROR(R2362/AL2362,"")</f>
        <v/>
      </c>
      <c r="AO2362" s="122" t="n">
        <v>0</v>
      </c>
      <c r="AP2362" s="54">
        <f>IFERROR(AO2362/AL2362,"")</f>
        <v/>
      </c>
      <c r="AQ2362" s="125">
        <f>IFERROR(R2362/AO2362,"")</f>
        <v/>
      </c>
      <c r="AR2362" s="122" t="n">
        <v>0</v>
      </c>
      <c r="AS2362" s="122" t="n">
        <v>0</v>
      </c>
      <c r="AT2362" s="122">
        <f>AL2362+AR2362</f>
        <v/>
      </c>
      <c r="AU2362" s="125">
        <f>IFERROR(AO2362*Assumptions!$C$26*Assumptions!$C$27*INDEX(Assumptions!$C$18:$C$21,MATCH(H2362,Assumptions!$B$18:$B$21,0)),0)</f>
        <v/>
      </c>
    </row>
    <row r="2363">
      <c r="A2363" s="120" t="n">
        <v>46255</v>
      </c>
      <c r="B2363" s="66" t="inlineStr">
        <is>
          <t>Wk 34</t>
        </is>
      </c>
      <c r="C2363" s="66" t="inlineStr">
        <is>
          <t>Fri</t>
        </is>
      </c>
      <c r="D2363" s="66" t="inlineStr">
        <is>
          <t>Programmatic</t>
        </is>
      </c>
      <c r="E2363" s="66" t="inlineStr">
        <is>
          <t>DV360</t>
        </is>
      </c>
      <c r="F2363" s="66" t="inlineStr">
        <is>
          <t>LEP_ZA_AUG26_PROG_RMKT_DYNAMIC</t>
        </is>
      </c>
      <c r="G2363" s="66" t="inlineStr">
        <is>
          <t>Dynamic Retargeting</t>
        </is>
      </c>
      <c r="H2363" s="66" t="inlineStr">
        <is>
          <t>Range</t>
        </is>
      </c>
      <c r="I2363" s="66" t="inlineStr">
        <is>
          <t>Range Offer</t>
        </is>
      </c>
      <c r="J2363" s="66" t="inlineStr">
        <is>
          <t>PROG_DYN_RMKT_7D</t>
        </is>
      </c>
      <c r="K2363" s="66" t="inlineStr">
        <is>
          <t>Retargeting</t>
        </is>
      </c>
      <c r="L2363" s="66" t="inlineStr">
        <is>
          <t>PROG_DYN_320x50_BookNow_v1</t>
        </is>
      </c>
      <c r="M2363" s="66" t="inlineStr">
        <is>
          <t>Dynamic Display 320x50</t>
        </is>
      </c>
      <c r="N2363" s="66" t="inlineStr">
        <is>
          <t>Book your test drive</t>
        </is>
      </c>
      <c r="O2363" s="66" t="inlineStr">
        <is>
          <t>Auction - Lowest Cost</t>
        </is>
      </c>
      <c r="P2363" s="66" t="inlineStr">
        <is>
          <t>Conversions (CPA)</t>
        </is>
      </c>
      <c r="Q2363" s="66" t="inlineStr">
        <is>
          <t>https://www.lepas-sa.co.za/book-a-test-drive</t>
        </is>
      </c>
      <c r="R2363" s="121" t="n">
        <v>83.23</v>
      </c>
      <c r="S2363" s="122" t="n">
        <v>3076</v>
      </c>
      <c r="T2363" s="122" t="n">
        <v>1690</v>
      </c>
      <c r="U2363" s="123">
        <f>IFERROR(S2363/T2363,"")</f>
        <v/>
      </c>
      <c r="V2363" s="122" t="n">
        <v>11</v>
      </c>
      <c r="W2363" s="122" t="n">
        <v>9</v>
      </c>
      <c r="X2363" s="124">
        <f>IFERROR(W2363/S2363,"")</f>
        <v/>
      </c>
      <c r="Y2363" s="121">
        <f>IFERROR(R2363/W2363,"")</f>
        <v/>
      </c>
      <c r="Z2363" s="121">
        <f>IFERROR(R2363/S2363*1000,"")</f>
        <v/>
      </c>
      <c r="AA2363" s="122" t="n">
        <v>6</v>
      </c>
      <c r="AB2363" s="54">
        <f>IFERROR(AA2363/W2363,"")</f>
        <v/>
      </c>
      <c r="AC2363" s="122" t="n">
        <v>0</v>
      </c>
      <c r="AD2363" s="122" t="n">
        <v>0</v>
      </c>
      <c r="AE2363" s="122" t="n">
        <v>0</v>
      </c>
      <c r="AF2363" s="122" t="n">
        <v>0</v>
      </c>
      <c r="AG2363" s="122" t="n">
        <v>0</v>
      </c>
      <c r="AH2363" s="122" t="n">
        <v>0</v>
      </c>
      <c r="AI2363" s="54">
        <f>IFERROR(AC2363/S2363,"")</f>
        <v/>
      </c>
      <c r="AJ2363" s="54">
        <f>IFERROR(AH2363/S2363,"")</f>
        <v/>
      </c>
      <c r="AK2363" s="122" t="n">
        <v>6</v>
      </c>
      <c r="AL2363" s="122" t="n">
        <v>0</v>
      </c>
      <c r="AM2363" s="124">
        <f>IFERROR(AL2363/AA2363,"")</f>
        <v/>
      </c>
      <c r="AN2363" s="125">
        <f>IFERROR(R2363/AL2363,"")</f>
        <v/>
      </c>
      <c r="AO2363" s="122" t="n">
        <v>0</v>
      </c>
      <c r="AP2363" s="54">
        <f>IFERROR(AO2363/AL2363,"")</f>
        <v/>
      </c>
      <c r="AQ2363" s="125">
        <f>IFERROR(R2363/AO2363,"")</f>
        <v/>
      </c>
      <c r="AR2363" s="122" t="n">
        <v>0</v>
      </c>
      <c r="AS2363" s="122" t="n">
        <v>0</v>
      </c>
      <c r="AT2363" s="122">
        <f>AL2363+AR2363</f>
        <v/>
      </c>
      <c r="AU2363" s="125">
        <f>IFERROR(AO2363*Assumptions!$C$26*Assumptions!$C$27*INDEX(Assumptions!$C$18:$C$21,MATCH(H2363,Assumptions!$B$18:$B$21,0)),0)</f>
        <v/>
      </c>
    </row>
    <row r="2364">
      <c r="A2364" s="120" t="n">
        <v>46256</v>
      </c>
      <c r="B2364" s="66" t="inlineStr">
        <is>
          <t>Wk 34</t>
        </is>
      </c>
      <c r="C2364" s="66" t="inlineStr">
        <is>
          <t>Sat</t>
        </is>
      </c>
      <c r="D2364" s="66" t="inlineStr">
        <is>
          <t>Programmatic</t>
        </is>
      </c>
      <c r="E2364" s="66" t="inlineStr">
        <is>
          <t>DV360</t>
        </is>
      </c>
      <c r="F2364" s="66" t="inlineStr">
        <is>
          <t>LEP_ZA_AUG26_PROG_RMKT_DYNAMIC</t>
        </is>
      </c>
      <c r="G2364" s="66" t="inlineStr">
        <is>
          <t>Dynamic Retargeting</t>
        </is>
      </c>
      <c r="H2364" s="66" t="inlineStr">
        <is>
          <t>Range</t>
        </is>
      </c>
      <c r="I2364" s="66" t="inlineStr">
        <is>
          <t>Range Offer</t>
        </is>
      </c>
      <c r="J2364" s="66" t="inlineStr">
        <is>
          <t>PROG_DYN_RMKT_7D</t>
        </is>
      </c>
      <c r="K2364" s="66" t="inlineStr">
        <is>
          <t>Retargeting</t>
        </is>
      </c>
      <c r="L2364" s="66" t="inlineStr">
        <is>
          <t>PROG_DYN_320x50_BookNow_v1</t>
        </is>
      </c>
      <c r="M2364" s="66" t="inlineStr">
        <is>
          <t>Dynamic Display 320x50</t>
        </is>
      </c>
      <c r="N2364" s="66" t="inlineStr">
        <is>
          <t>Book your test drive</t>
        </is>
      </c>
      <c r="O2364" s="66" t="inlineStr">
        <is>
          <t>Auction - Lowest Cost</t>
        </is>
      </c>
      <c r="P2364" s="66" t="inlineStr">
        <is>
          <t>Conversions (CPA)</t>
        </is>
      </c>
      <c r="Q2364" s="66" t="inlineStr">
        <is>
          <t>https://www.lepas-sa.co.za/book-a-test-drive</t>
        </is>
      </c>
      <c r="R2364" s="121" t="n">
        <v>76.25</v>
      </c>
      <c r="S2364" s="122" t="n">
        <v>2552</v>
      </c>
      <c r="T2364" s="122" t="n">
        <v>1585</v>
      </c>
      <c r="U2364" s="123">
        <f>IFERROR(S2364/T2364,"")</f>
        <v/>
      </c>
      <c r="V2364" s="122" t="n">
        <v>12</v>
      </c>
      <c r="W2364" s="122" t="n">
        <v>9</v>
      </c>
      <c r="X2364" s="124">
        <f>IFERROR(W2364/S2364,"")</f>
        <v/>
      </c>
      <c r="Y2364" s="121">
        <f>IFERROR(R2364/W2364,"")</f>
        <v/>
      </c>
      <c r="Z2364" s="121">
        <f>IFERROR(R2364/S2364*1000,"")</f>
        <v/>
      </c>
      <c r="AA2364" s="122" t="n">
        <v>6</v>
      </c>
      <c r="AB2364" s="54">
        <f>IFERROR(AA2364/W2364,"")</f>
        <v/>
      </c>
      <c r="AC2364" s="122" t="n">
        <v>0</v>
      </c>
      <c r="AD2364" s="122" t="n">
        <v>0</v>
      </c>
      <c r="AE2364" s="122" t="n">
        <v>0</v>
      </c>
      <c r="AF2364" s="122" t="n">
        <v>0</v>
      </c>
      <c r="AG2364" s="122" t="n">
        <v>0</v>
      </c>
      <c r="AH2364" s="122" t="n">
        <v>0</v>
      </c>
      <c r="AI2364" s="54">
        <f>IFERROR(AC2364/S2364,"")</f>
        <v/>
      </c>
      <c r="AJ2364" s="54">
        <f>IFERROR(AH2364/S2364,"")</f>
        <v/>
      </c>
      <c r="AK2364" s="122" t="n">
        <v>7</v>
      </c>
      <c r="AL2364" s="122" t="n">
        <v>0</v>
      </c>
      <c r="AM2364" s="124">
        <f>IFERROR(AL2364/AA2364,"")</f>
        <v/>
      </c>
      <c r="AN2364" s="125">
        <f>IFERROR(R2364/AL2364,"")</f>
        <v/>
      </c>
      <c r="AO2364" s="122" t="n">
        <v>0</v>
      </c>
      <c r="AP2364" s="54">
        <f>IFERROR(AO2364/AL2364,"")</f>
        <v/>
      </c>
      <c r="AQ2364" s="125">
        <f>IFERROR(R2364/AO2364,"")</f>
        <v/>
      </c>
      <c r="AR2364" s="122" t="n">
        <v>0</v>
      </c>
      <c r="AS2364" s="122" t="n">
        <v>0</v>
      </c>
      <c r="AT2364" s="122">
        <f>AL2364+AR2364</f>
        <v/>
      </c>
      <c r="AU2364" s="125">
        <f>IFERROR(AO2364*Assumptions!$C$26*Assumptions!$C$27*INDEX(Assumptions!$C$18:$C$21,MATCH(H2364,Assumptions!$B$18:$B$21,0)),0)</f>
        <v/>
      </c>
    </row>
    <row r="2365">
      <c r="A2365" s="120" t="n">
        <v>46257</v>
      </c>
      <c r="B2365" s="66" t="inlineStr">
        <is>
          <t>Wk 34</t>
        </is>
      </c>
      <c r="C2365" s="66" t="inlineStr">
        <is>
          <t>Sun</t>
        </is>
      </c>
      <c r="D2365" s="66" t="inlineStr">
        <is>
          <t>Programmatic</t>
        </is>
      </c>
      <c r="E2365" s="66" t="inlineStr">
        <is>
          <t>DV360</t>
        </is>
      </c>
      <c r="F2365" s="66" t="inlineStr">
        <is>
          <t>LEP_ZA_AUG26_PROG_RMKT_DYNAMIC</t>
        </is>
      </c>
      <c r="G2365" s="66" t="inlineStr">
        <is>
          <t>Dynamic Retargeting</t>
        </is>
      </c>
      <c r="H2365" s="66" t="inlineStr">
        <is>
          <t>Range</t>
        </is>
      </c>
      <c r="I2365" s="66" t="inlineStr">
        <is>
          <t>Range Offer</t>
        </is>
      </c>
      <c r="J2365" s="66" t="inlineStr">
        <is>
          <t>PROG_DYN_RMKT_7D</t>
        </is>
      </c>
      <c r="K2365" s="66" t="inlineStr">
        <is>
          <t>Retargeting</t>
        </is>
      </c>
      <c r="L2365" s="66" t="inlineStr">
        <is>
          <t>PROG_DYN_320x50_BookNow_v1</t>
        </is>
      </c>
      <c r="M2365" s="66" t="inlineStr">
        <is>
          <t>Dynamic Display 320x50</t>
        </is>
      </c>
      <c r="N2365" s="66" t="inlineStr">
        <is>
          <t>Book your test drive</t>
        </is>
      </c>
      <c r="O2365" s="66" t="inlineStr">
        <is>
          <t>Auction - Lowest Cost</t>
        </is>
      </c>
      <c r="P2365" s="66" t="inlineStr">
        <is>
          <t>Conversions (CPA)</t>
        </is>
      </c>
      <c r="Q2365" s="66" t="inlineStr">
        <is>
          <t>https://www.lepas-sa.co.za/book-a-test-drive</t>
        </is>
      </c>
      <c r="R2365" s="121" t="n">
        <v>69.79000000000001</v>
      </c>
      <c r="S2365" s="122" t="n">
        <v>1928</v>
      </c>
      <c r="T2365" s="122" t="n">
        <v>956</v>
      </c>
      <c r="U2365" s="123">
        <f>IFERROR(S2365/T2365,"")</f>
        <v/>
      </c>
      <c r="V2365" s="122" t="n">
        <v>7</v>
      </c>
      <c r="W2365" s="122" t="n">
        <v>6</v>
      </c>
      <c r="X2365" s="124">
        <f>IFERROR(W2365/S2365,"")</f>
        <v/>
      </c>
      <c r="Y2365" s="121">
        <f>IFERROR(R2365/W2365,"")</f>
        <v/>
      </c>
      <c r="Z2365" s="121">
        <f>IFERROR(R2365/S2365*1000,"")</f>
        <v/>
      </c>
      <c r="AA2365" s="122" t="n">
        <v>4</v>
      </c>
      <c r="AB2365" s="54">
        <f>IFERROR(AA2365/W2365,"")</f>
        <v/>
      </c>
      <c r="AC2365" s="122" t="n">
        <v>0</v>
      </c>
      <c r="AD2365" s="122" t="n">
        <v>0</v>
      </c>
      <c r="AE2365" s="122" t="n">
        <v>0</v>
      </c>
      <c r="AF2365" s="122" t="n">
        <v>0</v>
      </c>
      <c r="AG2365" s="122" t="n">
        <v>0</v>
      </c>
      <c r="AH2365" s="122" t="n">
        <v>0</v>
      </c>
      <c r="AI2365" s="54">
        <f>IFERROR(AC2365/S2365,"")</f>
        <v/>
      </c>
      <c r="AJ2365" s="54">
        <f>IFERROR(AH2365/S2365,"")</f>
        <v/>
      </c>
      <c r="AK2365" s="122" t="n">
        <v>9</v>
      </c>
      <c r="AL2365" s="122" t="n">
        <v>0</v>
      </c>
      <c r="AM2365" s="124">
        <f>IFERROR(AL2365/AA2365,"")</f>
        <v/>
      </c>
      <c r="AN2365" s="125">
        <f>IFERROR(R2365/AL2365,"")</f>
        <v/>
      </c>
      <c r="AO2365" s="122" t="n">
        <v>0</v>
      </c>
      <c r="AP2365" s="54">
        <f>IFERROR(AO2365/AL2365,"")</f>
        <v/>
      </c>
      <c r="AQ2365" s="125">
        <f>IFERROR(R2365/AO2365,"")</f>
        <v/>
      </c>
      <c r="AR2365" s="122" t="n">
        <v>0</v>
      </c>
      <c r="AS2365" s="122" t="n">
        <v>0</v>
      </c>
      <c r="AT2365" s="122">
        <f>AL2365+AR2365</f>
        <v/>
      </c>
      <c r="AU2365" s="125">
        <f>IFERROR(AO2365*Assumptions!$C$26*Assumptions!$C$27*INDEX(Assumptions!$C$18:$C$21,MATCH(H2365,Assumptions!$B$18:$B$21,0)),0)</f>
        <v/>
      </c>
    </row>
    <row r="2366">
      <c r="A2366" s="120" t="n">
        <v>46258</v>
      </c>
      <c r="B2366" s="66" t="inlineStr">
        <is>
          <t>Wk 35</t>
        </is>
      </c>
      <c r="C2366" s="66" t="inlineStr">
        <is>
          <t>Mon</t>
        </is>
      </c>
      <c r="D2366" s="66" t="inlineStr">
        <is>
          <t>Programmatic</t>
        </is>
      </c>
      <c r="E2366" s="66" t="inlineStr">
        <is>
          <t>DV360</t>
        </is>
      </c>
      <c r="F2366" s="66" t="inlineStr">
        <is>
          <t>LEP_ZA_AUG26_PROG_RMKT_DYNAMIC</t>
        </is>
      </c>
      <c r="G2366" s="66" t="inlineStr">
        <is>
          <t>Dynamic Retargeting</t>
        </is>
      </c>
      <c r="H2366" s="66" t="inlineStr">
        <is>
          <t>Range</t>
        </is>
      </c>
      <c r="I2366" s="66" t="inlineStr">
        <is>
          <t>Range Offer</t>
        </is>
      </c>
      <c r="J2366" s="66" t="inlineStr">
        <is>
          <t>PROG_DYN_RMKT_7D</t>
        </is>
      </c>
      <c r="K2366" s="66" t="inlineStr">
        <is>
          <t>Retargeting</t>
        </is>
      </c>
      <c r="L2366" s="66" t="inlineStr">
        <is>
          <t>PROG_DYN_320x50_BookNow_v1</t>
        </is>
      </c>
      <c r="M2366" s="66" t="inlineStr">
        <is>
          <t>Dynamic Display 320x50</t>
        </is>
      </c>
      <c r="N2366" s="66" t="inlineStr">
        <is>
          <t>Book your test drive</t>
        </is>
      </c>
      <c r="O2366" s="66" t="inlineStr">
        <is>
          <t>Auction - Lowest Cost</t>
        </is>
      </c>
      <c r="P2366" s="66" t="inlineStr">
        <is>
          <t>Conversions (CPA)</t>
        </is>
      </c>
      <c r="Q2366" s="66" t="inlineStr">
        <is>
          <t>https://www.lepas-sa.co.za/book-a-test-drive</t>
        </is>
      </c>
      <c r="R2366" s="121" t="n">
        <v>77.29000000000001</v>
      </c>
      <c r="S2366" s="122" t="n">
        <v>2813</v>
      </c>
      <c r="T2366" s="122" t="n">
        <v>1763</v>
      </c>
      <c r="U2366" s="123">
        <f>IFERROR(S2366/T2366,"")</f>
        <v/>
      </c>
      <c r="V2366" s="122" t="n">
        <v>12</v>
      </c>
      <c r="W2366" s="122" t="n">
        <v>9</v>
      </c>
      <c r="X2366" s="124">
        <f>IFERROR(W2366/S2366,"")</f>
        <v/>
      </c>
      <c r="Y2366" s="121">
        <f>IFERROR(R2366/W2366,"")</f>
        <v/>
      </c>
      <c r="Z2366" s="121">
        <f>IFERROR(R2366/S2366*1000,"")</f>
        <v/>
      </c>
      <c r="AA2366" s="122" t="n">
        <v>6</v>
      </c>
      <c r="AB2366" s="54">
        <f>IFERROR(AA2366/W2366,"")</f>
        <v/>
      </c>
      <c r="AC2366" s="122" t="n">
        <v>0</v>
      </c>
      <c r="AD2366" s="122" t="n">
        <v>0</v>
      </c>
      <c r="AE2366" s="122" t="n">
        <v>0</v>
      </c>
      <c r="AF2366" s="122" t="n">
        <v>0</v>
      </c>
      <c r="AG2366" s="122" t="n">
        <v>0</v>
      </c>
      <c r="AH2366" s="122" t="n">
        <v>0</v>
      </c>
      <c r="AI2366" s="54">
        <f>IFERROR(AC2366/S2366,"")</f>
        <v/>
      </c>
      <c r="AJ2366" s="54">
        <f>IFERROR(AH2366/S2366,"")</f>
        <v/>
      </c>
      <c r="AK2366" s="122" t="n">
        <v>9</v>
      </c>
      <c r="AL2366" s="122" t="n">
        <v>1</v>
      </c>
      <c r="AM2366" s="124">
        <f>IFERROR(AL2366/AA2366,"")</f>
        <v/>
      </c>
      <c r="AN2366" s="125">
        <f>IFERROR(R2366/AL2366,"")</f>
        <v/>
      </c>
      <c r="AO2366" s="122" t="n">
        <v>0</v>
      </c>
      <c r="AP2366" s="54">
        <f>IFERROR(AO2366/AL2366,"")</f>
        <v/>
      </c>
      <c r="AQ2366" s="125">
        <f>IFERROR(R2366/AO2366,"")</f>
        <v/>
      </c>
      <c r="AR2366" s="122" t="n">
        <v>1</v>
      </c>
      <c r="AS2366" s="122" t="n">
        <v>1</v>
      </c>
      <c r="AT2366" s="122">
        <f>AL2366+AR2366</f>
        <v/>
      </c>
      <c r="AU2366" s="125">
        <f>IFERROR(AO2366*Assumptions!$C$26*Assumptions!$C$27*INDEX(Assumptions!$C$18:$C$21,MATCH(H2366,Assumptions!$B$18:$B$21,0)),0)</f>
        <v/>
      </c>
    </row>
    <row r="2367">
      <c r="A2367" s="120" t="n">
        <v>46259</v>
      </c>
      <c r="B2367" s="66" t="inlineStr">
        <is>
          <t>Wk 35</t>
        </is>
      </c>
      <c r="C2367" s="66" t="inlineStr">
        <is>
          <t>Tue</t>
        </is>
      </c>
      <c r="D2367" s="66" t="inlineStr">
        <is>
          <t>Programmatic</t>
        </is>
      </c>
      <c r="E2367" s="66" t="inlineStr">
        <is>
          <t>DV360</t>
        </is>
      </c>
      <c r="F2367" s="66" t="inlineStr">
        <is>
          <t>LEP_ZA_AUG26_PROG_RMKT_DYNAMIC</t>
        </is>
      </c>
      <c r="G2367" s="66" t="inlineStr">
        <is>
          <t>Dynamic Retargeting</t>
        </is>
      </c>
      <c r="H2367" s="66" t="inlineStr">
        <is>
          <t>Range</t>
        </is>
      </c>
      <c r="I2367" s="66" t="inlineStr">
        <is>
          <t>Range Offer</t>
        </is>
      </c>
      <c r="J2367" s="66" t="inlineStr">
        <is>
          <t>PROG_DYN_RMKT_7D</t>
        </is>
      </c>
      <c r="K2367" s="66" t="inlineStr">
        <is>
          <t>Retargeting</t>
        </is>
      </c>
      <c r="L2367" s="66" t="inlineStr">
        <is>
          <t>PROG_DYN_320x50_BookNow_v1</t>
        </is>
      </c>
      <c r="M2367" s="66" t="inlineStr">
        <is>
          <t>Dynamic Display 320x50</t>
        </is>
      </c>
      <c r="N2367" s="66" t="inlineStr">
        <is>
          <t>Book your test drive</t>
        </is>
      </c>
      <c r="O2367" s="66" t="inlineStr">
        <is>
          <t>Auction - Lowest Cost</t>
        </is>
      </c>
      <c r="P2367" s="66" t="inlineStr">
        <is>
          <t>Conversions (CPA)</t>
        </is>
      </c>
      <c r="Q2367" s="66" t="inlineStr">
        <is>
          <t>https://www.lepas-sa.co.za/book-a-test-drive</t>
        </is>
      </c>
      <c r="R2367" s="121" t="n">
        <v>82.54000000000001</v>
      </c>
      <c r="S2367" s="122" t="n">
        <v>3385</v>
      </c>
      <c r="T2367" s="122" t="n">
        <v>1741</v>
      </c>
      <c r="U2367" s="123">
        <f>IFERROR(S2367/T2367,"")</f>
        <v/>
      </c>
      <c r="V2367" s="122" t="n">
        <v>11</v>
      </c>
      <c r="W2367" s="122" t="n">
        <v>9</v>
      </c>
      <c r="X2367" s="124">
        <f>IFERROR(W2367/S2367,"")</f>
        <v/>
      </c>
      <c r="Y2367" s="121">
        <f>IFERROR(R2367/W2367,"")</f>
        <v/>
      </c>
      <c r="Z2367" s="121">
        <f>IFERROR(R2367/S2367*1000,"")</f>
        <v/>
      </c>
      <c r="AA2367" s="122" t="n">
        <v>6</v>
      </c>
      <c r="AB2367" s="54">
        <f>IFERROR(AA2367/W2367,"")</f>
        <v/>
      </c>
      <c r="AC2367" s="122" t="n">
        <v>0</v>
      </c>
      <c r="AD2367" s="122" t="n">
        <v>0</v>
      </c>
      <c r="AE2367" s="122" t="n">
        <v>0</v>
      </c>
      <c r="AF2367" s="122" t="n">
        <v>0</v>
      </c>
      <c r="AG2367" s="122" t="n">
        <v>0</v>
      </c>
      <c r="AH2367" s="122" t="n">
        <v>0</v>
      </c>
      <c r="AI2367" s="54">
        <f>IFERROR(AC2367/S2367,"")</f>
        <v/>
      </c>
      <c r="AJ2367" s="54">
        <f>IFERROR(AH2367/S2367,"")</f>
        <v/>
      </c>
      <c r="AK2367" s="122" t="n">
        <v>11</v>
      </c>
      <c r="AL2367" s="122" t="n">
        <v>0</v>
      </c>
      <c r="AM2367" s="124">
        <f>IFERROR(AL2367/AA2367,"")</f>
        <v/>
      </c>
      <c r="AN2367" s="125">
        <f>IFERROR(R2367/AL2367,"")</f>
        <v/>
      </c>
      <c r="AO2367" s="122" t="n">
        <v>0</v>
      </c>
      <c r="AP2367" s="54">
        <f>IFERROR(AO2367/AL2367,"")</f>
        <v/>
      </c>
      <c r="AQ2367" s="125">
        <f>IFERROR(R2367/AO2367,"")</f>
        <v/>
      </c>
      <c r="AR2367" s="122" t="n">
        <v>0</v>
      </c>
      <c r="AS2367" s="122" t="n">
        <v>0</v>
      </c>
      <c r="AT2367" s="122">
        <f>AL2367+AR2367</f>
        <v/>
      </c>
      <c r="AU2367" s="125">
        <f>IFERROR(AO2367*Assumptions!$C$26*Assumptions!$C$27*INDEX(Assumptions!$C$18:$C$21,MATCH(H2367,Assumptions!$B$18:$B$21,0)),0)</f>
        <v/>
      </c>
    </row>
    <row r="2368">
      <c r="A2368" s="120" t="n">
        <v>46260</v>
      </c>
      <c r="B2368" s="66" t="inlineStr">
        <is>
          <t>Wk 35</t>
        </is>
      </c>
      <c r="C2368" s="66" t="inlineStr">
        <is>
          <t>Wed</t>
        </is>
      </c>
      <c r="D2368" s="66" t="inlineStr">
        <is>
          <t>Programmatic</t>
        </is>
      </c>
      <c r="E2368" s="66" t="inlineStr">
        <is>
          <t>DV360</t>
        </is>
      </c>
      <c r="F2368" s="66" t="inlineStr">
        <is>
          <t>LEP_ZA_AUG26_PROG_RMKT_DYNAMIC</t>
        </is>
      </c>
      <c r="G2368" s="66" t="inlineStr">
        <is>
          <t>Dynamic Retargeting</t>
        </is>
      </c>
      <c r="H2368" s="66" t="inlineStr">
        <is>
          <t>Range</t>
        </is>
      </c>
      <c r="I2368" s="66" t="inlineStr">
        <is>
          <t>Range Offer</t>
        </is>
      </c>
      <c r="J2368" s="66" t="inlineStr">
        <is>
          <t>PROG_DYN_RMKT_7D</t>
        </is>
      </c>
      <c r="K2368" s="66" t="inlineStr">
        <is>
          <t>Retargeting</t>
        </is>
      </c>
      <c r="L2368" s="66" t="inlineStr">
        <is>
          <t>PROG_DYN_320x50_BookNow_v1</t>
        </is>
      </c>
      <c r="M2368" s="66" t="inlineStr">
        <is>
          <t>Dynamic Display 320x50</t>
        </is>
      </c>
      <c r="N2368" s="66" t="inlineStr">
        <is>
          <t>Book your test drive</t>
        </is>
      </c>
      <c r="O2368" s="66" t="inlineStr">
        <is>
          <t>Auction - Lowest Cost</t>
        </is>
      </c>
      <c r="P2368" s="66" t="inlineStr">
        <is>
          <t>Conversions (CPA)</t>
        </is>
      </c>
      <c r="Q2368" s="66" t="inlineStr">
        <is>
          <t>https://www.lepas-sa.co.za/book-a-test-drive</t>
        </is>
      </c>
      <c r="R2368" s="121" t="n">
        <v>81.23999999999999</v>
      </c>
      <c r="S2368" s="122" t="n">
        <v>1956</v>
      </c>
      <c r="T2368" s="122" t="n">
        <v>1187</v>
      </c>
      <c r="U2368" s="123">
        <f>IFERROR(S2368/T2368,"")</f>
        <v/>
      </c>
      <c r="V2368" s="122" t="n">
        <v>5</v>
      </c>
      <c r="W2368" s="122" t="n">
        <v>4</v>
      </c>
      <c r="X2368" s="124">
        <f>IFERROR(W2368/S2368,"")</f>
        <v/>
      </c>
      <c r="Y2368" s="121">
        <f>IFERROR(R2368/W2368,"")</f>
        <v/>
      </c>
      <c r="Z2368" s="121">
        <f>IFERROR(R2368/S2368*1000,"")</f>
        <v/>
      </c>
      <c r="AA2368" s="122" t="n">
        <v>2</v>
      </c>
      <c r="AB2368" s="54">
        <f>IFERROR(AA2368/W2368,"")</f>
        <v/>
      </c>
      <c r="AC2368" s="122" t="n">
        <v>0</v>
      </c>
      <c r="AD2368" s="122" t="n">
        <v>0</v>
      </c>
      <c r="AE2368" s="122" t="n">
        <v>0</v>
      </c>
      <c r="AF2368" s="122" t="n">
        <v>0</v>
      </c>
      <c r="AG2368" s="122" t="n">
        <v>0</v>
      </c>
      <c r="AH2368" s="122" t="n">
        <v>0</v>
      </c>
      <c r="AI2368" s="54">
        <f>IFERROR(AC2368/S2368,"")</f>
        <v/>
      </c>
      <c r="AJ2368" s="54">
        <f>IFERROR(AH2368/S2368,"")</f>
        <v/>
      </c>
      <c r="AK2368" s="122" t="n">
        <v>11</v>
      </c>
      <c r="AL2368" s="122" t="n">
        <v>0</v>
      </c>
      <c r="AM2368" s="124">
        <f>IFERROR(AL2368/AA2368,"")</f>
        <v/>
      </c>
      <c r="AN2368" s="125">
        <f>IFERROR(R2368/AL2368,"")</f>
        <v/>
      </c>
      <c r="AO2368" s="122" t="n">
        <v>0</v>
      </c>
      <c r="AP2368" s="54">
        <f>IFERROR(AO2368/AL2368,"")</f>
        <v/>
      </c>
      <c r="AQ2368" s="125">
        <f>IFERROR(R2368/AO2368,"")</f>
        <v/>
      </c>
      <c r="AR2368" s="122" t="n">
        <v>0</v>
      </c>
      <c r="AS2368" s="122" t="n">
        <v>0</v>
      </c>
      <c r="AT2368" s="122">
        <f>AL2368+AR2368</f>
        <v/>
      </c>
      <c r="AU2368" s="125">
        <f>IFERROR(AO2368*Assumptions!$C$26*Assumptions!$C$27*INDEX(Assumptions!$C$18:$C$21,MATCH(H2368,Assumptions!$B$18:$B$21,0)),0)</f>
        <v/>
      </c>
    </row>
    <row r="2369">
      <c r="A2369" s="120" t="n">
        <v>46261</v>
      </c>
      <c r="B2369" s="66" t="inlineStr">
        <is>
          <t>Wk 35</t>
        </is>
      </c>
      <c r="C2369" s="66" t="inlineStr">
        <is>
          <t>Thu</t>
        </is>
      </c>
      <c r="D2369" s="66" t="inlineStr">
        <is>
          <t>Programmatic</t>
        </is>
      </c>
      <c r="E2369" s="66" t="inlineStr">
        <is>
          <t>DV360</t>
        </is>
      </c>
      <c r="F2369" s="66" t="inlineStr">
        <is>
          <t>LEP_ZA_AUG26_PROG_RMKT_DYNAMIC</t>
        </is>
      </c>
      <c r="G2369" s="66" t="inlineStr">
        <is>
          <t>Dynamic Retargeting</t>
        </is>
      </c>
      <c r="H2369" s="66" t="inlineStr">
        <is>
          <t>Range</t>
        </is>
      </c>
      <c r="I2369" s="66" t="inlineStr">
        <is>
          <t>Range Offer</t>
        </is>
      </c>
      <c r="J2369" s="66" t="inlineStr">
        <is>
          <t>PROG_DYN_RMKT_7D</t>
        </is>
      </c>
      <c r="K2369" s="66" t="inlineStr">
        <is>
          <t>Retargeting</t>
        </is>
      </c>
      <c r="L2369" s="66" t="inlineStr">
        <is>
          <t>PROG_DYN_320x50_BookNow_v1</t>
        </is>
      </c>
      <c r="M2369" s="66" t="inlineStr">
        <is>
          <t>Dynamic Display 320x50</t>
        </is>
      </c>
      <c r="N2369" s="66" t="inlineStr">
        <is>
          <t>Book your test drive</t>
        </is>
      </c>
      <c r="O2369" s="66" t="inlineStr">
        <is>
          <t>Auction - Lowest Cost</t>
        </is>
      </c>
      <c r="P2369" s="66" t="inlineStr">
        <is>
          <t>Conversions (CPA)</t>
        </is>
      </c>
      <c r="Q2369" s="66" t="inlineStr">
        <is>
          <t>https://www.lepas-sa.co.za/book-a-test-drive</t>
        </is>
      </c>
      <c r="R2369" s="121" t="n">
        <v>84.67</v>
      </c>
      <c r="S2369" s="122" t="n">
        <v>2098</v>
      </c>
      <c r="T2369" s="122" t="n">
        <v>721</v>
      </c>
      <c r="U2369" s="123">
        <f>IFERROR(S2369/T2369,"")</f>
        <v/>
      </c>
      <c r="V2369" s="122" t="n">
        <v>12</v>
      </c>
      <c r="W2369" s="122" t="n">
        <v>10</v>
      </c>
      <c r="X2369" s="124">
        <f>IFERROR(W2369/S2369,"")</f>
        <v/>
      </c>
      <c r="Y2369" s="121">
        <f>IFERROR(R2369/W2369,"")</f>
        <v/>
      </c>
      <c r="Z2369" s="121">
        <f>IFERROR(R2369/S2369*1000,"")</f>
        <v/>
      </c>
      <c r="AA2369" s="122" t="n">
        <v>5</v>
      </c>
      <c r="AB2369" s="54">
        <f>IFERROR(AA2369/W2369,"")</f>
        <v/>
      </c>
      <c r="AC2369" s="122" t="n">
        <v>0</v>
      </c>
      <c r="AD2369" s="122" t="n">
        <v>0</v>
      </c>
      <c r="AE2369" s="122" t="n">
        <v>0</v>
      </c>
      <c r="AF2369" s="122" t="n">
        <v>0</v>
      </c>
      <c r="AG2369" s="122" t="n">
        <v>0</v>
      </c>
      <c r="AH2369" s="122" t="n">
        <v>0</v>
      </c>
      <c r="AI2369" s="54">
        <f>IFERROR(AC2369/S2369,"")</f>
        <v/>
      </c>
      <c r="AJ2369" s="54">
        <f>IFERROR(AH2369/S2369,"")</f>
        <v/>
      </c>
      <c r="AK2369" s="122" t="n">
        <v>12</v>
      </c>
      <c r="AL2369" s="122" t="n">
        <v>0</v>
      </c>
      <c r="AM2369" s="124">
        <f>IFERROR(AL2369/AA2369,"")</f>
        <v/>
      </c>
      <c r="AN2369" s="125">
        <f>IFERROR(R2369/AL2369,"")</f>
        <v/>
      </c>
      <c r="AO2369" s="122" t="n">
        <v>0</v>
      </c>
      <c r="AP2369" s="54">
        <f>IFERROR(AO2369/AL2369,"")</f>
        <v/>
      </c>
      <c r="AQ2369" s="125">
        <f>IFERROR(R2369/AO2369,"")</f>
        <v/>
      </c>
      <c r="AR2369" s="122" t="n">
        <v>0</v>
      </c>
      <c r="AS2369" s="122" t="n">
        <v>0</v>
      </c>
      <c r="AT2369" s="122">
        <f>AL2369+AR2369</f>
        <v/>
      </c>
      <c r="AU2369" s="125">
        <f>IFERROR(AO2369*Assumptions!$C$26*Assumptions!$C$27*INDEX(Assumptions!$C$18:$C$21,MATCH(H2369,Assumptions!$B$18:$B$21,0)),0)</f>
        <v/>
      </c>
    </row>
    <row r="2370">
      <c r="A2370" s="120" t="n">
        <v>46262</v>
      </c>
      <c r="B2370" s="66" t="inlineStr">
        <is>
          <t>Wk 35</t>
        </is>
      </c>
      <c r="C2370" s="66" t="inlineStr">
        <is>
          <t>Fri</t>
        </is>
      </c>
      <c r="D2370" s="66" t="inlineStr">
        <is>
          <t>Programmatic</t>
        </is>
      </c>
      <c r="E2370" s="66" t="inlineStr">
        <is>
          <t>DV360</t>
        </is>
      </c>
      <c r="F2370" s="66" t="inlineStr">
        <is>
          <t>LEP_ZA_AUG26_PROG_RMKT_DYNAMIC</t>
        </is>
      </c>
      <c r="G2370" s="66" t="inlineStr">
        <is>
          <t>Dynamic Retargeting</t>
        </is>
      </c>
      <c r="H2370" s="66" t="inlineStr">
        <is>
          <t>Range</t>
        </is>
      </c>
      <c r="I2370" s="66" t="inlineStr">
        <is>
          <t>Range Offer</t>
        </is>
      </c>
      <c r="J2370" s="66" t="inlineStr">
        <is>
          <t>PROG_DYN_RMKT_7D</t>
        </is>
      </c>
      <c r="K2370" s="66" t="inlineStr">
        <is>
          <t>Retargeting</t>
        </is>
      </c>
      <c r="L2370" s="66" t="inlineStr">
        <is>
          <t>PROG_DYN_320x50_BookNow_v1</t>
        </is>
      </c>
      <c r="M2370" s="66" t="inlineStr">
        <is>
          <t>Dynamic Display 320x50</t>
        </is>
      </c>
      <c r="N2370" s="66" t="inlineStr">
        <is>
          <t>Book your test drive</t>
        </is>
      </c>
      <c r="O2370" s="66" t="inlineStr">
        <is>
          <t>Auction - Lowest Cost</t>
        </is>
      </c>
      <c r="P2370" s="66" t="inlineStr">
        <is>
          <t>Conversions (CPA)</t>
        </is>
      </c>
      <c r="Q2370" s="66" t="inlineStr">
        <is>
          <t>https://www.lepas-sa.co.za/book-a-test-drive</t>
        </is>
      </c>
      <c r="R2370" s="121" t="n">
        <v>109.69</v>
      </c>
      <c r="S2370" s="122" t="n">
        <v>2672</v>
      </c>
      <c r="T2370" s="122" t="n">
        <v>1109</v>
      </c>
      <c r="U2370" s="123">
        <f>IFERROR(S2370/T2370,"")</f>
        <v/>
      </c>
      <c r="V2370" s="122" t="n">
        <v>14</v>
      </c>
      <c r="W2370" s="122" t="n">
        <v>10</v>
      </c>
      <c r="X2370" s="124">
        <f>IFERROR(W2370/S2370,"")</f>
        <v/>
      </c>
      <c r="Y2370" s="121">
        <f>IFERROR(R2370/W2370,"")</f>
        <v/>
      </c>
      <c r="Z2370" s="121">
        <f>IFERROR(R2370/S2370*1000,"")</f>
        <v/>
      </c>
      <c r="AA2370" s="122" t="n">
        <v>7</v>
      </c>
      <c r="AB2370" s="54">
        <f>IFERROR(AA2370/W2370,"")</f>
        <v/>
      </c>
      <c r="AC2370" s="122" t="n">
        <v>0</v>
      </c>
      <c r="AD2370" s="122" t="n">
        <v>0</v>
      </c>
      <c r="AE2370" s="122" t="n">
        <v>0</v>
      </c>
      <c r="AF2370" s="122" t="n">
        <v>0</v>
      </c>
      <c r="AG2370" s="122" t="n">
        <v>0</v>
      </c>
      <c r="AH2370" s="122" t="n">
        <v>0</v>
      </c>
      <c r="AI2370" s="54">
        <f>IFERROR(AC2370/S2370,"")</f>
        <v/>
      </c>
      <c r="AJ2370" s="54">
        <f>IFERROR(AH2370/S2370,"")</f>
        <v/>
      </c>
      <c r="AK2370" s="122" t="n">
        <v>7</v>
      </c>
      <c r="AL2370" s="122" t="n">
        <v>0</v>
      </c>
      <c r="AM2370" s="124">
        <f>IFERROR(AL2370/AA2370,"")</f>
        <v/>
      </c>
      <c r="AN2370" s="125">
        <f>IFERROR(R2370/AL2370,"")</f>
        <v/>
      </c>
      <c r="AO2370" s="122" t="n">
        <v>0</v>
      </c>
      <c r="AP2370" s="54">
        <f>IFERROR(AO2370/AL2370,"")</f>
        <v/>
      </c>
      <c r="AQ2370" s="125">
        <f>IFERROR(R2370/AO2370,"")</f>
        <v/>
      </c>
      <c r="AR2370" s="122" t="n">
        <v>0</v>
      </c>
      <c r="AS2370" s="122" t="n">
        <v>0</v>
      </c>
      <c r="AT2370" s="122">
        <f>AL2370+AR2370</f>
        <v/>
      </c>
      <c r="AU2370" s="125">
        <f>IFERROR(AO2370*Assumptions!$C$26*Assumptions!$C$27*INDEX(Assumptions!$C$18:$C$21,MATCH(H2370,Assumptions!$B$18:$B$21,0)),0)</f>
        <v/>
      </c>
    </row>
    <row r="2371">
      <c r="A2371" s="120" t="n">
        <v>46263</v>
      </c>
      <c r="B2371" s="66" t="inlineStr">
        <is>
          <t>Wk 35</t>
        </is>
      </c>
      <c r="C2371" s="66" t="inlineStr">
        <is>
          <t>Sat</t>
        </is>
      </c>
      <c r="D2371" s="66" t="inlineStr">
        <is>
          <t>Programmatic</t>
        </is>
      </c>
      <c r="E2371" s="66" t="inlineStr">
        <is>
          <t>DV360</t>
        </is>
      </c>
      <c r="F2371" s="66" t="inlineStr">
        <is>
          <t>LEP_ZA_AUG26_PROG_RMKT_DYNAMIC</t>
        </is>
      </c>
      <c r="G2371" s="66" t="inlineStr">
        <is>
          <t>Dynamic Retargeting</t>
        </is>
      </c>
      <c r="H2371" s="66" t="inlineStr">
        <is>
          <t>Range</t>
        </is>
      </c>
      <c r="I2371" s="66" t="inlineStr">
        <is>
          <t>Range Offer</t>
        </is>
      </c>
      <c r="J2371" s="66" t="inlineStr">
        <is>
          <t>PROG_DYN_RMKT_7D</t>
        </is>
      </c>
      <c r="K2371" s="66" t="inlineStr">
        <is>
          <t>Retargeting</t>
        </is>
      </c>
      <c r="L2371" s="66" t="inlineStr">
        <is>
          <t>PROG_DYN_320x50_BookNow_v1</t>
        </is>
      </c>
      <c r="M2371" s="66" t="inlineStr">
        <is>
          <t>Dynamic Display 320x50</t>
        </is>
      </c>
      <c r="N2371" s="66" t="inlineStr">
        <is>
          <t>Book your test drive</t>
        </is>
      </c>
      <c r="O2371" s="66" t="inlineStr">
        <is>
          <t>Auction - Lowest Cost</t>
        </is>
      </c>
      <c r="P2371" s="66" t="inlineStr">
        <is>
          <t>Conversions (CPA)</t>
        </is>
      </c>
      <c r="Q2371" s="66" t="inlineStr">
        <is>
          <t>https://www.lepas-sa.co.za/book-a-test-drive</t>
        </is>
      </c>
      <c r="R2371" s="121" t="n">
        <v>115.87</v>
      </c>
      <c r="S2371" s="122" t="n">
        <v>4254</v>
      </c>
      <c r="T2371" s="122" t="n">
        <v>1724</v>
      </c>
      <c r="U2371" s="123">
        <f>IFERROR(S2371/T2371,"")</f>
        <v/>
      </c>
      <c r="V2371" s="122" t="n">
        <v>21</v>
      </c>
      <c r="W2371" s="122" t="n">
        <v>15</v>
      </c>
      <c r="X2371" s="124">
        <f>IFERROR(W2371/S2371,"")</f>
        <v/>
      </c>
      <c r="Y2371" s="121">
        <f>IFERROR(R2371/W2371,"")</f>
        <v/>
      </c>
      <c r="Z2371" s="121">
        <f>IFERROR(R2371/S2371*1000,"")</f>
        <v/>
      </c>
      <c r="AA2371" s="122" t="n">
        <v>9</v>
      </c>
      <c r="AB2371" s="54">
        <f>IFERROR(AA2371/W2371,"")</f>
        <v/>
      </c>
      <c r="AC2371" s="122" t="n">
        <v>0</v>
      </c>
      <c r="AD2371" s="122" t="n">
        <v>0</v>
      </c>
      <c r="AE2371" s="122" t="n">
        <v>0</v>
      </c>
      <c r="AF2371" s="122" t="n">
        <v>0</v>
      </c>
      <c r="AG2371" s="122" t="n">
        <v>0</v>
      </c>
      <c r="AH2371" s="122" t="n">
        <v>0</v>
      </c>
      <c r="AI2371" s="54">
        <f>IFERROR(AC2371/S2371,"")</f>
        <v/>
      </c>
      <c r="AJ2371" s="54">
        <f>IFERROR(AH2371/S2371,"")</f>
        <v/>
      </c>
      <c r="AK2371" s="122" t="n">
        <v>16</v>
      </c>
      <c r="AL2371" s="122" t="n">
        <v>0</v>
      </c>
      <c r="AM2371" s="124">
        <f>IFERROR(AL2371/AA2371,"")</f>
        <v/>
      </c>
      <c r="AN2371" s="125">
        <f>IFERROR(R2371/AL2371,"")</f>
        <v/>
      </c>
      <c r="AO2371" s="122" t="n">
        <v>0</v>
      </c>
      <c r="AP2371" s="54">
        <f>IFERROR(AO2371/AL2371,"")</f>
        <v/>
      </c>
      <c r="AQ2371" s="125">
        <f>IFERROR(R2371/AO2371,"")</f>
        <v/>
      </c>
      <c r="AR2371" s="122" t="n">
        <v>0</v>
      </c>
      <c r="AS2371" s="122" t="n">
        <v>0</v>
      </c>
      <c r="AT2371" s="122">
        <f>AL2371+AR2371</f>
        <v/>
      </c>
      <c r="AU2371" s="125">
        <f>IFERROR(AO2371*Assumptions!$C$26*Assumptions!$C$27*INDEX(Assumptions!$C$18:$C$21,MATCH(H2371,Assumptions!$B$18:$B$21,0)),0)</f>
        <v/>
      </c>
    </row>
    <row r="2372">
      <c r="A2372" s="120" t="n">
        <v>46264</v>
      </c>
      <c r="B2372" s="66" t="inlineStr">
        <is>
          <t>Wk 35</t>
        </is>
      </c>
      <c r="C2372" s="66" t="inlineStr">
        <is>
          <t>Sun</t>
        </is>
      </c>
      <c r="D2372" s="66" t="inlineStr">
        <is>
          <t>Programmatic</t>
        </is>
      </c>
      <c r="E2372" s="66" t="inlineStr">
        <is>
          <t>DV360</t>
        </is>
      </c>
      <c r="F2372" s="66" t="inlineStr">
        <is>
          <t>LEP_ZA_AUG26_PROG_RMKT_DYNAMIC</t>
        </is>
      </c>
      <c r="G2372" s="66" t="inlineStr">
        <is>
          <t>Dynamic Retargeting</t>
        </is>
      </c>
      <c r="H2372" s="66" t="inlineStr">
        <is>
          <t>Range</t>
        </is>
      </c>
      <c r="I2372" s="66" t="inlineStr">
        <is>
          <t>Range Offer</t>
        </is>
      </c>
      <c r="J2372" s="66" t="inlineStr">
        <is>
          <t>PROG_DYN_RMKT_7D</t>
        </is>
      </c>
      <c r="K2372" s="66" t="inlineStr">
        <is>
          <t>Retargeting</t>
        </is>
      </c>
      <c r="L2372" s="66" t="inlineStr">
        <is>
          <t>PROG_DYN_320x50_BookNow_v1</t>
        </is>
      </c>
      <c r="M2372" s="66" t="inlineStr">
        <is>
          <t>Dynamic Display 320x50</t>
        </is>
      </c>
      <c r="N2372" s="66" t="inlineStr">
        <is>
          <t>Book your test drive</t>
        </is>
      </c>
      <c r="O2372" s="66" t="inlineStr">
        <is>
          <t>Auction - Lowest Cost</t>
        </is>
      </c>
      <c r="P2372" s="66" t="inlineStr">
        <is>
          <t>Conversions (CPA)</t>
        </is>
      </c>
      <c r="Q2372" s="66" t="inlineStr">
        <is>
          <t>https://www.lepas-sa.co.za/book-a-test-drive</t>
        </is>
      </c>
      <c r="R2372" s="121" t="n">
        <v>86.95</v>
      </c>
      <c r="S2372" s="122" t="n">
        <v>2690</v>
      </c>
      <c r="T2372" s="122" t="n">
        <v>917</v>
      </c>
      <c r="U2372" s="123">
        <f>IFERROR(S2372/T2372,"")</f>
        <v/>
      </c>
      <c r="V2372" s="122" t="n">
        <v>7</v>
      </c>
      <c r="W2372" s="122" t="n">
        <v>6</v>
      </c>
      <c r="X2372" s="124">
        <f>IFERROR(W2372/S2372,"")</f>
        <v/>
      </c>
      <c r="Y2372" s="121">
        <f>IFERROR(R2372/W2372,"")</f>
        <v/>
      </c>
      <c r="Z2372" s="121">
        <f>IFERROR(R2372/S2372*1000,"")</f>
        <v/>
      </c>
      <c r="AA2372" s="122" t="n">
        <v>4</v>
      </c>
      <c r="AB2372" s="54">
        <f>IFERROR(AA2372/W2372,"")</f>
        <v/>
      </c>
      <c r="AC2372" s="122" t="n">
        <v>0</v>
      </c>
      <c r="AD2372" s="122" t="n">
        <v>0</v>
      </c>
      <c r="AE2372" s="122" t="n">
        <v>0</v>
      </c>
      <c r="AF2372" s="122" t="n">
        <v>0</v>
      </c>
      <c r="AG2372" s="122" t="n">
        <v>0</v>
      </c>
      <c r="AH2372" s="122" t="n">
        <v>0</v>
      </c>
      <c r="AI2372" s="54">
        <f>IFERROR(AC2372/S2372,"")</f>
        <v/>
      </c>
      <c r="AJ2372" s="54">
        <f>IFERROR(AH2372/S2372,"")</f>
        <v/>
      </c>
      <c r="AK2372" s="122" t="n">
        <v>10</v>
      </c>
      <c r="AL2372" s="122" t="n">
        <v>0</v>
      </c>
      <c r="AM2372" s="124">
        <f>IFERROR(AL2372/AA2372,"")</f>
        <v/>
      </c>
      <c r="AN2372" s="125">
        <f>IFERROR(R2372/AL2372,"")</f>
        <v/>
      </c>
      <c r="AO2372" s="122" t="n">
        <v>0</v>
      </c>
      <c r="AP2372" s="54">
        <f>IFERROR(AO2372/AL2372,"")</f>
        <v/>
      </c>
      <c r="AQ2372" s="125">
        <f>IFERROR(R2372/AO2372,"")</f>
        <v/>
      </c>
      <c r="AR2372" s="122" t="n">
        <v>0</v>
      </c>
      <c r="AS2372" s="122" t="n">
        <v>0</v>
      </c>
      <c r="AT2372" s="122">
        <f>AL2372+AR2372</f>
        <v/>
      </c>
      <c r="AU2372" s="125">
        <f>IFERROR(AO2372*Assumptions!$C$26*Assumptions!$C$27*INDEX(Assumptions!$C$18:$C$21,MATCH(H2372,Assumptions!$B$18:$B$21,0)),0)</f>
        <v/>
      </c>
    </row>
    <row r="2373">
      <c r="A2373" s="120" t="n">
        <v>46265</v>
      </c>
      <c r="B2373" s="66" t="inlineStr">
        <is>
          <t>Wk 36</t>
        </is>
      </c>
      <c r="C2373" s="66" t="inlineStr">
        <is>
          <t>Mon</t>
        </is>
      </c>
      <c r="D2373" s="66" t="inlineStr">
        <is>
          <t>Programmatic</t>
        </is>
      </c>
      <c r="E2373" s="66" t="inlineStr">
        <is>
          <t>DV360</t>
        </is>
      </c>
      <c r="F2373" s="66" t="inlineStr">
        <is>
          <t>LEP_ZA_AUG26_PROG_RMKT_DYNAMIC</t>
        </is>
      </c>
      <c r="G2373" s="66" t="inlineStr">
        <is>
          <t>Dynamic Retargeting</t>
        </is>
      </c>
      <c r="H2373" s="66" t="inlineStr">
        <is>
          <t>Range</t>
        </is>
      </c>
      <c r="I2373" s="66" t="inlineStr">
        <is>
          <t>Range Offer</t>
        </is>
      </c>
      <c r="J2373" s="66" t="inlineStr">
        <is>
          <t>PROG_DYN_RMKT_7D</t>
        </is>
      </c>
      <c r="K2373" s="66" t="inlineStr">
        <is>
          <t>Retargeting</t>
        </is>
      </c>
      <c r="L2373" s="66" t="inlineStr">
        <is>
          <t>PROG_DYN_320x50_BookNow_v1</t>
        </is>
      </c>
      <c r="M2373" s="66" t="inlineStr">
        <is>
          <t>Dynamic Display 320x50</t>
        </is>
      </c>
      <c r="N2373" s="66" t="inlineStr">
        <is>
          <t>Book your test drive</t>
        </is>
      </c>
      <c r="O2373" s="66" t="inlineStr">
        <is>
          <t>Auction - Lowest Cost</t>
        </is>
      </c>
      <c r="P2373" s="66" t="inlineStr">
        <is>
          <t>Conversions (CPA)</t>
        </is>
      </c>
      <c r="Q2373" s="66" t="inlineStr">
        <is>
          <t>https://www.lepas-sa.co.za/book-a-test-drive</t>
        </is>
      </c>
      <c r="R2373" s="121" t="n">
        <v>74.04000000000001</v>
      </c>
      <c r="S2373" s="122" t="n">
        <v>1646</v>
      </c>
      <c r="T2373" s="122" t="n">
        <v>852</v>
      </c>
      <c r="U2373" s="123">
        <f>IFERROR(S2373/T2373,"")</f>
        <v/>
      </c>
      <c r="V2373" s="122" t="n">
        <v>9</v>
      </c>
      <c r="W2373" s="122" t="n">
        <v>8</v>
      </c>
      <c r="X2373" s="124">
        <f>IFERROR(W2373/S2373,"")</f>
        <v/>
      </c>
      <c r="Y2373" s="121">
        <f>IFERROR(R2373/W2373,"")</f>
        <v/>
      </c>
      <c r="Z2373" s="121">
        <f>IFERROR(R2373/S2373*1000,"")</f>
        <v/>
      </c>
      <c r="AA2373" s="122" t="n">
        <v>5</v>
      </c>
      <c r="AB2373" s="54">
        <f>IFERROR(AA2373/W2373,"")</f>
        <v/>
      </c>
      <c r="AC2373" s="122" t="n">
        <v>0</v>
      </c>
      <c r="AD2373" s="122" t="n">
        <v>0</v>
      </c>
      <c r="AE2373" s="122" t="n">
        <v>0</v>
      </c>
      <c r="AF2373" s="122" t="n">
        <v>0</v>
      </c>
      <c r="AG2373" s="122" t="n">
        <v>0</v>
      </c>
      <c r="AH2373" s="122" t="n">
        <v>0</v>
      </c>
      <c r="AI2373" s="54">
        <f>IFERROR(AC2373/S2373,"")</f>
        <v/>
      </c>
      <c r="AJ2373" s="54">
        <f>IFERROR(AH2373/S2373,"")</f>
        <v/>
      </c>
      <c r="AK2373" s="122" t="n">
        <v>2</v>
      </c>
      <c r="AL2373" s="122" t="n">
        <v>0</v>
      </c>
      <c r="AM2373" s="124">
        <f>IFERROR(AL2373/AA2373,"")</f>
        <v/>
      </c>
      <c r="AN2373" s="125">
        <f>IFERROR(R2373/AL2373,"")</f>
        <v/>
      </c>
      <c r="AO2373" s="122" t="n">
        <v>0</v>
      </c>
      <c r="AP2373" s="54">
        <f>IFERROR(AO2373/AL2373,"")</f>
        <v/>
      </c>
      <c r="AQ2373" s="125">
        <f>IFERROR(R2373/AO2373,"")</f>
        <v/>
      </c>
      <c r="AR2373" s="122" t="n">
        <v>0</v>
      </c>
      <c r="AS2373" s="122" t="n">
        <v>0</v>
      </c>
      <c r="AT2373" s="122">
        <f>AL2373+AR2373</f>
        <v/>
      </c>
      <c r="AU2373" s="125">
        <f>IFERROR(AO2373*Assumptions!$C$26*Assumptions!$C$27*INDEX(Assumptions!$C$18:$C$21,MATCH(H2373,Assumptions!$B$18:$B$21,0)),0)</f>
        <v/>
      </c>
    </row>
    <row r="2374">
      <c r="A2374" s="120" t="n">
        <v>46235</v>
      </c>
      <c r="B2374" s="66" t="inlineStr">
        <is>
          <t>Wk 31</t>
        </is>
      </c>
      <c r="C2374" s="66" t="inlineStr">
        <is>
          <t>Sat</t>
        </is>
      </c>
      <c r="D2374" s="66" t="inlineStr">
        <is>
          <t>Programmatic</t>
        </is>
      </c>
      <c r="E2374" s="66" t="inlineStr">
        <is>
          <t>DV360</t>
        </is>
      </c>
      <c r="F2374" s="66" t="inlineStr">
        <is>
          <t>LEP_ZA_AUG26_PROG_RMKT_DYNAMIC</t>
        </is>
      </c>
      <c r="G2374" s="66" t="inlineStr">
        <is>
          <t>Dynamic Retargeting</t>
        </is>
      </c>
      <c r="H2374" s="66" t="inlineStr">
        <is>
          <t>Range</t>
        </is>
      </c>
      <c r="I2374" s="66" t="inlineStr">
        <is>
          <t>Range Offer</t>
        </is>
      </c>
      <c r="J2374" s="66" t="inlineStr">
        <is>
          <t>PROG_DYN_RMKT_30D</t>
        </is>
      </c>
      <c r="K2374" s="66" t="inlineStr">
        <is>
          <t>Retargeting</t>
        </is>
      </c>
      <c r="L2374" s="66" t="inlineStr">
        <is>
          <t>PROG_DYN_300x250_ModelSeen_v1</t>
        </is>
      </c>
      <c r="M2374" s="66" t="inlineStr">
        <is>
          <t>Dynamic Display 300x250</t>
        </is>
      </c>
      <c r="N2374" s="66" t="inlineStr">
        <is>
          <t>Still thinking about it?</t>
        </is>
      </c>
      <c r="O2374" s="66" t="inlineStr">
        <is>
          <t>Auction - Lowest Cost</t>
        </is>
      </c>
      <c r="P2374" s="66" t="inlineStr">
        <is>
          <t>Conversions (CPA)</t>
        </is>
      </c>
      <c r="Q2374" s="66" t="inlineStr">
        <is>
          <t>https://www.lepas-sa.co.za/book-a-test-drive</t>
        </is>
      </c>
      <c r="R2374" s="121" t="n">
        <v>113.64</v>
      </c>
      <c r="S2374" s="122" t="n">
        <v>3075</v>
      </c>
      <c r="T2374" s="122" t="n">
        <v>2331</v>
      </c>
      <c r="U2374" s="123">
        <f>IFERROR(S2374/T2374,"")</f>
        <v/>
      </c>
      <c r="V2374" s="122" t="n">
        <v>8</v>
      </c>
      <c r="W2374" s="122" t="n">
        <v>7</v>
      </c>
      <c r="X2374" s="124">
        <f>IFERROR(W2374/S2374,"")</f>
        <v/>
      </c>
      <c r="Y2374" s="121">
        <f>IFERROR(R2374/W2374,"")</f>
        <v/>
      </c>
      <c r="Z2374" s="121">
        <f>IFERROR(R2374/S2374*1000,"")</f>
        <v/>
      </c>
      <c r="AA2374" s="122" t="n">
        <v>5</v>
      </c>
      <c r="AB2374" s="54">
        <f>IFERROR(AA2374/W2374,"")</f>
        <v/>
      </c>
      <c r="AC2374" s="122" t="n">
        <v>0</v>
      </c>
      <c r="AD2374" s="122" t="n">
        <v>0</v>
      </c>
      <c r="AE2374" s="122" t="n">
        <v>0</v>
      </c>
      <c r="AF2374" s="122" t="n">
        <v>0</v>
      </c>
      <c r="AG2374" s="122" t="n">
        <v>0</v>
      </c>
      <c r="AH2374" s="122" t="n">
        <v>0</v>
      </c>
      <c r="AI2374" s="54">
        <f>IFERROR(AC2374/S2374,"")</f>
        <v/>
      </c>
      <c r="AJ2374" s="54">
        <f>IFERROR(AH2374/S2374,"")</f>
        <v/>
      </c>
      <c r="AK2374" s="122" t="n">
        <v>17</v>
      </c>
      <c r="AL2374" s="122" t="n">
        <v>1</v>
      </c>
      <c r="AM2374" s="124">
        <f>IFERROR(AL2374/AA2374,"")</f>
        <v/>
      </c>
      <c r="AN2374" s="125">
        <f>IFERROR(R2374/AL2374,"")</f>
        <v/>
      </c>
      <c r="AO2374" s="122" t="n">
        <v>0</v>
      </c>
      <c r="AP2374" s="54">
        <f>IFERROR(AO2374/AL2374,"")</f>
        <v/>
      </c>
      <c r="AQ2374" s="125">
        <f>IFERROR(R2374/AO2374,"")</f>
        <v/>
      </c>
      <c r="AR2374" s="122" t="n">
        <v>3</v>
      </c>
      <c r="AS2374" s="122" t="n">
        <v>0</v>
      </c>
      <c r="AT2374" s="122">
        <f>AL2374+AR2374</f>
        <v/>
      </c>
      <c r="AU2374" s="125">
        <f>IFERROR(AO2374*Assumptions!$C$26*Assumptions!$C$27*INDEX(Assumptions!$C$18:$C$21,MATCH(H2374,Assumptions!$B$18:$B$21,0)),0)</f>
        <v/>
      </c>
    </row>
    <row r="2375">
      <c r="A2375" s="120" t="n">
        <v>46236</v>
      </c>
      <c r="B2375" s="66" t="inlineStr">
        <is>
          <t>Wk 31</t>
        </is>
      </c>
      <c r="C2375" s="66" t="inlineStr">
        <is>
          <t>Sun</t>
        </is>
      </c>
      <c r="D2375" s="66" t="inlineStr">
        <is>
          <t>Programmatic</t>
        </is>
      </c>
      <c r="E2375" s="66" t="inlineStr">
        <is>
          <t>DV360</t>
        </is>
      </c>
      <c r="F2375" s="66" t="inlineStr">
        <is>
          <t>LEP_ZA_AUG26_PROG_RMKT_DYNAMIC</t>
        </is>
      </c>
      <c r="G2375" s="66" t="inlineStr">
        <is>
          <t>Dynamic Retargeting</t>
        </is>
      </c>
      <c r="H2375" s="66" t="inlineStr">
        <is>
          <t>Range</t>
        </is>
      </c>
      <c r="I2375" s="66" t="inlineStr">
        <is>
          <t>Range Offer</t>
        </is>
      </c>
      <c r="J2375" s="66" t="inlineStr">
        <is>
          <t>PROG_DYN_RMKT_30D</t>
        </is>
      </c>
      <c r="K2375" s="66" t="inlineStr">
        <is>
          <t>Retargeting</t>
        </is>
      </c>
      <c r="L2375" s="66" t="inlineStr">
        <is>
          <t>PROG_DYN_300x250_ModelSeen_v1</t>
        </is>
      </c>
      <c r="M2375" s="66" t="inlineStr">
        <is>
          <t>Dynamic Display 300x250</t>
        </is>
      </c>
      <c r="N2375" s="66" t="inlineStr">
        <is>
          <t>Still thinking about it?</t>
        </is>
      </c>
      <c r="O2375" s="66" t="inlineStr">
        <is>
          <t>Auction - Lowest Cost</t>
        </is>
      </c>
      <c r="P2375" s="66" t="inlineStr">
        <is>
          <t>Conversions (CPA)</t>
        </is>
      </c>
      <c r="Q2375" s="66" t="inlineStr">
        <is>
          <t>https://www.lepas-sa.co.za/book-a-test-drive</t>
        </is>
      </c>
      <c r="R2375" s="121" t="n">
        <v>75.38</v>
      </c>
      <c r="S2375" s="122" t="n">
        <v>1973</v>
      </c>
      <c r="T2375" s="122" t="n">
        <v>1074</v>
      </c>
      <c r="U2375" s="123">
        <f>IFERROR(S2375/T2375,"")</f>
        <v/>
      </c>
      <c r="V2375" s="122" t="n">
        <v>18</v>
      </c>
      <c r="W2375" s="122" t="n">
        <v>14</v>
      </c>
      <c r="X2375" s="124">
        <f>IFERROR(W2375/S2375,"")</f>
        <v/>
      </c>
      <c r="Y2375" s="121">
        <f>IFERROR(R2375/W2375,"")</f>
        <v/>
      </c>
      <c r="Z2375" s="121">
        <f>IFERROR(R2375/S2375*1000,"")</f>
        <v/>
      </c>
      <c r="AA2375" s="122" t="n">
        <v>9</v>
      </c>
      <c r="AB2375" s="54">
        <f>IFERROR(AA2375/W2375,"")</f>
        <v/>
      </c>
      <c r="AC2375" s="122" t="n">
        <v>0</v>
      </c>
      <c r="AD2375" s="122" t="n">
        <v>0</v>
      </c>
      <c r="AE2375" s="122" t="n">
        <v>0</v>
      </c>
      <c r="AF2375" s="122" t="n">
        <v>0</v>
      </c>
      <c r="AG2375" s="122" t="n">
        <v>0</v>
      </c>
      <c r="AH2375" s="122" t="n">
        <v>0</v>
      </c>
      <c r="AI2375" s="54">
        <f>IFERROR(AC2375/S2375,"")</f>
        <v/>
      </c>
      <c r="AJ2375" s="54">
        <f>IFERROR(AH2375/S2375,"")</f>
        <v/>
      </c>
      <c r="AK2375" s="122" t="n">
        <v>8</v>
      </c>
      <c r="AL2375" s="122" t="n">
        <v>0</v>
      </c>
      <c r="AM2375" s="124">
        <f>IFERROR(AL2375/AA2375,"")</f>
        <v/>
      </c>
      <c r="AN2375" s="125">
        <f>IFERROR(R2375/AL2375,"")</f>
        <v/>
      </c>
      <c r="AO2375" s="122" t="n">
        <v>0</v>
      </c>
      <c r="AP2375" s="54">
        <f>IFERROR(AO2375/AL2375,"")</f>
        <v/>
      </c>
      <c r="AQ2375" s="125">
        <f>IFERROR(R2375/AO2375,"")</f>
        <v/>
      </c>
      <c r="AR2375" s="122" t="n">
        <v>0</v>
      </c>
      <c r="AS2375" s="122" t="n">
        <v>0</v>
      </c>
      <c r="AT2375" s="122">
        <f>AL2375+AR2375</f>
        <v/>
      </c>
      <c r="AU2375" s="125">
        <f>IFERROR(AO2375*Assumptions!$C$26*Assumptions!$C$27*INDEX(Assumptions!$C$18:$C$21,MATCH(H2375,Assumptions!$B$18:$B$21,0)),0)</f>
        <v/>
      </c>
    </row>
    <row r="2376">
      <c r="A2376" s="120" t="n">
        <v>46237</v>
      </c>
      <c r="B2376" s="66" t="inlineStr">
        <is>
          <t>Wk 32</t>
        </is>
      </c>
      <c r="C2376" s="66" t="inlineStr">
        <is>
          <t>Mon</t>
        </is>
      </c>
      <c r="D2376" s="66" t="inlineStr">
        <is>
          <t>Programmatic</t>
        </is>
      </c>
      <c r="E2376" s="66" t="inlineStr">
        <is>
          <t>DV360</t>
        </is>
      </c>
      <c r="F2376" s="66" t="inlineStr">
        <is>
          <t>LEP_ZA_AUG26_PROG_RMKT_DYNAMIC</t>
        </is>
      </c>
      <c r="G2376" s="66" t="inlineStr">
        <is>
          <t>Dynamic Retargeting</t>
        </is>
      </c>
      <c r="H2376" s="66" t="inlineStr">
        <is>
          <t>Range</t>
        </is>
      </c>
      <c r="I2376" s="66" t="inlineStr">
        <is>
          <t>Range Offer</t>
        </is>
      </c>
      <c r="J2376" s="66" t="inlineStr">
        <is>
          <t>PROG_DYN_RMKT_30D</t>
        </is>
      </c>
      <c r="K2376" s="66" t="inlineStr">
        <is>
          <t>Retargeting</t>
        </is>
      </c>
      <c r="L2376" s="66" t="inlineStr">
        <is>
          <t>PROG_DYN_300x250_ModelSeen_v1</t>
        </is>
      </c>
      <c r="M2376" s="66" t="inlineStr">
        <is>
          <t>Dynamic Display 300x250</t>
        </is>
      </c>
      <c r="N2376" s="66" t="inlineStr">
        <is>
          <t>Still thinking about it?</t>
        </is>
      </c>
      <c r="O2376" s="66" t="inlineStr">
        <is>
          <t>Auction - Lowest Cost</t>
        </is>
      </c>
      <c r="P2376" s="66" t="inlineStr">
        <is>
          <t>Conversions (CPA)</t>
        </is>
      </c>
      <c r="Q2376" s="66" t="inlineStr">
        <is>
          <t>https://www.lepas-sa.co.za/book-a-test-drive</t>
        </is>
      </c>
      <c r="R2376" s="121" t="n">
        <v>80.68000000000001</v>
      </c>
      <c r="S2376" s="122" t="n">
        <v>2759</v>
      </c>
      <c r="T2376" s="122" t="n">
        <v>1550</v>
      </c>
      <c r="U2376" s="123">
        <f>IFERROR(S2376/T2376,"")</f>
        <v/>
      </c>
      <c r="V2376" s="122" t="n">
        <v>19</v>
      </c>
      <c r="W2376" s="122" t="n">
        <v>15</v>
      </c>
      <c r="X2376" s="124">
        <f>IFERROR(W2376/S2376,"")</f>
        <v/>
      </c>
      <c r="Y2376" s="121">
        <f>IFERROR(R2376/W2376,"")</f>
        <v/>
      </c>
      <c r="Z2376" s="121">
        <f>IFERROR(R2376/S2376*1000,"")</f>
        <v/>
      </c>
      <c r="AA2376" s="122" t="n">
        <v>9</v>
      </c>
      <c r="AB2376" s="54">
        <f>IFERROR(AA2376/W2376,"")</f>
        <v/>
      </c>
      <c r="AC2376" s="122" t="n">
        <v>0</v>
      </c>
      <c r="AD2376" s="122" t="n">
        <v>0</v>
      </c>
      <c r="AE2376" s="122" t="n">
        <v>0</v>
      </c>
      <c r="AF2376" s="122" t="n">
        <v>0</v>
      </c>
      <c r="AG2376" s="122" t="n">
        <v>0</v>
      </c>
      <c r="AH2376" s="122" t="n">
        <v>0</v>
      </c>
      <c r="AI2376" s="54">
        <f>IFERROR(AC2376/S2376,"")</f>
        <v/>
      </c>
      <c r="AJ2376" s="54">
        <f>IFERROR(AH2376/S2376,"")</f>
        <v/>
      </c>
      <c r="AK2376" s="122" t="n">
        <v>16</v>
      </c>
      <c r="AL2376" s="122" t="n">
        <v>0</v>
      </c>
      <c r="AM2376" s="124">
        <f>IFERROR(AL2376/AA2376,"")</f>
        <v/>
      </c>
      <c r="AN2376" s="125">
        <f>IFERROR(R2376/AL2376,"")</f>
        <v/>
      </c>
      <c r="AO2376" s="122" t="n">
        <v>0</v>
      </c>
      <c r="AP2376" s="54">
        <f>IFERROR(AO2376/AL2376,"")</f>
        <v/>
      </c>
      <c r="AQ2376" s="125">
        <f>IFERROR(R2376/AO2376,"")</f>
        <v/>
      </c>
      <c r="AR2376" s="122" t="n">
        <v>0</v>
      </c>
      <c r="AS2376" s="122" t="n">
        <v>0</v>
      </c>
      <c r="AT2376" s="122">
        <f>AL2376+AR2376</f>
        <v/>
      </c>
      <c r="AU2376" s="125">
        <f>IFERROR(AO2376*Assumptions!$C$26*Assumptions!$C$27*INDEX(Assumptions!$C$18:$C$21,MATCH(H2376,Assumptions!$B$18:$B$21,0)),0)</f>
        <v/>
      </c>
    </row>
    <row r="2377">
      <c r="A2377" s="120" t="n">
        <v>46238</v>
      </c>
      <c r="B2377" s="66" t="inlineStr">
        <is>
          <t>Wk 32</t>
        </is>
      </c>
      <c r="C2377" s="66" t="inlineStr">
        <is>
          <t>Tue</t>
        </is>
      </c>
      <c r="D2377" s="66" t="inlineStr">
        <is>
          <t>Programmatic</t>
        </is>
      </c>
      <c r="E2377" s="66" t="inlineStr">
        <is>
          <t>DV360</t>
        </is>
      </c>
      <c r="F2377" s="66" t="inlineStr">
        <is>
          <t>LEP_ZA_AUG26_PROG_RMKT_DYNAMIC</t>
        </is>
      </c>
      <c r="G2377" s="66" t="inlineStr">
        <is>
          <t>Dynamic Retargeting</t>
        </is>
      </c>
      <c r="H2377" s="66" t="inlineStr">
        <is>
          <t>Range</t>
        </is>
      </c>
      <c r="I2377" s="66" t="inlineStr">
        <is>
          <t>Range Offer</t>
        </is>
      </c>
      <c r="J2377" s="66" t="inlineStr">
        <is>
          <t>PROG_DYN_RMKT_30D</t>
        </is>
      </c>
      <c r="K2377" s="66" t="inlineStr">
        <is>
          <t>Retargeting</t>
        </is>
      </c>
      <c r="L2377" s="66" t="inlineStr">
        <is>
          <t>PROG_DYN_300x250_ModelSeen_v1</t>
        </is>
      </c>
      <c r="M2377" s="66" t="inlineStr">
        <is>
          <t>Dynamic Display 300x250</t>
        </is>
      </c>
      <c r="N2377" s="66" t="inlineStr">
        <is>
          <t>Still thinking about it?</t>
        </is>
      </c>
      <c r="O2377" s="66" t="inlineStr">
        <is>
          <t>Auction - Lowest Cost</t>
        </is>
      </c>
      <c r="P2377" s="66" t="inlineStr">
        <is>
          <t>Conversions (CPA)</t>
        </is>
      </c>
      <c r="Q2377" s="66" t="inlineStr">
        <is>
          <t>https://www.lepas-sa.co.za/book-a-test-drive</t>
        </is>
      </c>
      <c r="R2377" s="121" t="n">
        <v>93.53</v>
      </c>
      <c r="S2377" s="122" t="n">
        <v>2867</v>
      </c>
      <c r="T2377" s="122" t="n">
        <v>1471</v>
      </c>
      <c r="U2377" s="123">
        <f>IFERROR(S2377/T2377,"")</f>
        <v/>
      </c>
      <c r="V2377" s="122" t="n">
        <v>23</v>
      </c>
      <c r="W2377" s="122" t="n">
        <v>17</v>
      </c>
      <c r="X2377" s="124">
        <f>IFERROR(W2377/S2377,"")</f>
        <v/>
      </c>
      <c r="Y2377" s="121">
        <f>IFERROR(R2377/W2377,"")</f>
        <v/>
      </c>
      <c r="Z2377" s="121">
        <f>IFERROR(R2377/S2377*1000,"")</f>
        <v/>
      </c>
      <c r="AA2377" s="122" t="n">
        <v>10</v>
      </c>
      <c r="AB2377" s="54">
        <f>IFERROR(AA2377/W2377,"")</f>
        <v/>
      </c>
      <c r="AC2377" s="122" t="n">
        <v>0</v>
      </c>
      <c r="AD2377" s="122" t="n">
        <v>0</v>
      </c>
      <c r="AE2377" s="122" t="n">
        <v>0</v>
      </c>
      <c r="AF2377" s="122" t="n">
        <v>0</v>
      </c>
      <c r="AG2377" s="122" t="n">
        <v>0</v>
      </c>
      <c r="AH2377" s="122" t="n">
        <v>0</v>
      </c>
      <c r="AI2377" s="54">
        <f>IFERROR(AC2377/S2377,"")</f>
        <v/>
      </c>
      <c r="AJ2377" s="54">
        <f>IFERROR(AH2377/S2377,"")</f>
        <v/>
      </c>
      <c r="AK2377" s="122" t="n">
        <v>9</v>
      </c>
      <c r="AL2377" s="122" t="n">
        <v>0</v>
      </c>
      <c r="AM2377" s="124">
        <f>IFERROR(AL2377/AA2377,"")</f>
        <v/>
      </c>
      <c r="AN2377" s="125">
        <f>IFERROR(R2377/AL2377,"")</f>
        <v/>
      </c>
      <c r="AO2377" s="122" t="n">
        <v>0</v>
      </c>
      <c r="AP2377" s="54">
        <f>IFERROR(AO2377/AL2377,"")</f>
        <v/>
      </c>
      <c r="AQ2377" s="125">
        <f>IFERROR(R2377/AO2377,"")</f>
        <v/>
      </c>
      <c r="AR2377" s="122" t="n">
        <v>0</v>
      </c>
      <c r="AS2377" s="122" t="n">
        <v>0</v>
      </c>
      <c r="AT2377" s="122">
        <f>AL2377+AR2377</f>
        <v/>
      </c>
      <c r="AU2377" s="125">
        <f>IFERROR(AO2377*Assumptions!$C$26*Assumptions!$C$27*INDEX(Assumptions!$C$18:$C$21,MATCH(H2377,Assumptions!$B$18:$B$21,0)),0)</f>
        <v/>
      </c>
    </row>
    <row r="2378">
      <c r="A2378" s="120" t="n">
        <v>46239</v>
      </c>
      <c r="B2378" s="66" t="inlineStr">
        <is>
          <t>Wk 32</t>
        </is>
      </c>
      <c r="C2378" s="66" t="inlineStr">
        <is>
          <t>Wed</t>
        </is>
      </c>
      <c r="D2378" s="66" t="inlineStr">
        <is>
          <t>Programmatic</t>
        </is>
      </c>
      <c r="E2378" s="66" t="inlineStr">
        <is>
          <t>DV360</t>
        </is>
      </c>
      <c r="F2378" s="66" t="inlineStr">
        <is>
          <t>LEP_ZA_AUG26_PROG_RMKT_DYNAMIC</t>
        </is>
      </c>
      <c r="G2378" s="66" t="inlineStr">
        <is>
          <t>Dynamic Retargeting</t>
        </is>
      </c>
      <c r="H2378" s="66" t="inlineStr">
        <is>
          <t>Range</t>
        </is>
      </c>
      <c r="I2378" s="66" t="inlineStr">
        <is>
          <t>Range Offer</t>
        </is>
      </c>
      <c r="J2378" s="66" t="inlineStr">
        <is>
          <t>PROG_DYN_RMKT_30D</t>
        </is>
      </c>
      <c r="K2378" s="66" t="inlineStr">
        <is>
          <t>Retargeting</t>
        </is>
      </c>
      <c r="L2378" s="66" t="inlineStr">
        <is>
          <t>PROG_DYN_300x250_ModelSeen_v1</t>
        </is>
      </c>
      <c r="M2378" s="66" t="inlineStr">
        <is>
          <t>Dynamic Display 300x250</t>
        </is>
      </c>
      <c r="N2378" s="66" t="inlineStr">
        <is>
          <t>Still thinking about it?</t>
        </is>
      </c>
      <c r="O2378" s="66" t="inlineStr">
        <is>
          <t>Auction - Lowest Cost</t>
        </is>
      </c>
      <c r="P2378" s="66" t="inlineStr">
        <is>
          <t>Conversions (CPA)</t>
        </is>
      </c>
      <c r="Q2378" s="66" t="inlineStr">
        <is>
          <t>https://www.lepas-sa.co.za/book-a-test-drive</t>
        </is>
      </c>
      <c r="R2378" s="121" t="n">
        <v>111.12</v>
      </c>
      <c r="S2378" s="122" t="n">
        <v>3684</v>
      </c>
      <c r="T2378" s="122" t="n">
        <v>2858</v>
      </c>
      <c r="U2378" s="123">
        <f>IFERROR(S2378/T2378,"")</f>
        <v/>
      </c>
      <c r="V2378" s="122" t="n">
        <v>10</v>
      </c>
      <c r="W2378" s="122" t="n">
        <v>7</v>
      </c>
      <c r="X2378" s="124">
        <f>IFERROR(W2378/S2378,"")</f>
        <v/>
      </c>
      <c r="Y2378" s="121">
        <f>IFERROR(R2378/W2378,"")</f>
        <v/>
      </c>
      <c r="Z2378" s="121">
        <f>IFERROR(R2378/S2378*1000,"")</f>
        <v/>
      </c>
      <c r="AA2378" s="122" t="n">
        <v>5</v>
      </c>
      <c r="AB2378" s="54">
        <f>IFERROR(AA2378/W2378,"")</f>
        <v/>
      </c>
      <c r="AC2378" s="122" t="n">
        <v>0</v>
      </c>
      <c r="AD2378" s="122" t="n">
        <v>0</v>
      </c>
      <c r="AE2378" s="122" t="n">
        <v>0</v>
      </c>
      <c r="AF2378" s="122" t="n">
        <v>0</v>
      </c>
      <c r="AG2378" s="122" t="n">
        <v>0</v>
      </c>
      <c r="AH2378" s="122" t="n">
        <v>0</v>
      </c>
      <c r="AI2378" s="54">
        <f>IFERROR(AC2378/S2378,"")</f>
        <v/>
      </c>
      <c r="AJ2378" s="54">
        <f>IFERROR(AH2378/S2378,"")</f>
        <v/>
      </c>
      <c r="AK2378" s="122" t="n">
        <v>8</v>
      </c>
      <c r="AL2378" s="122" t="n">
        <v>0</v>
      </c>
      <c r="AM2378" s="124">
        <f>IFERROR(AL2378/AA2378,"")</f>
        <v/>
      </c>
      <c r="AN2378" s="125">
        <f>IFERROR(R2378/AL2378,"")</f>
        <v/>
      </c>
      <c r="AO2378" s="122" t="n">
        <v>0</v>
      </c>
      <c r="AP2378" s="54">
        <f>IFERROR(AO2378/AL2378,"")</f>
        <v/>
      </c>
      <c r="AQ2378" s="125">
        <f>IFERROR(R2378/AO2378,"")</f>
        <v/>
      </c>
      <c r="AR2378" s="122" t="n">
        <v>0</v>
      </c>
      <c r="AS2378" s="122" t="n">
        <v>0</v>
      </c>
      <c r="AT2378" s="122">
        <f>AL2378+AR2378</f>
        <v/>
      </c>
      <c r="AU2378" s="125">
        <f>IFERROR(AO2378*Assumptions!$C$26*Assumptions!$C$27*INDEX(Assumptions!$C$18:$C$21,MATCH(H2378,Assumptions!$B$18:$B$21,0)),0)</f>
        <v/>
      </c>
    </row>
    <row r="2379">
      <c r="A2379" s="120" t="n">
        <v>46240</v>
      </c>
      <c r="B2379" s="66" t="inlineStr">
        <is>
          <t>Wk 32</t>
        </is>
      </c>
      <c r="C2379" s="66" t="inlineStr">
        <is>
          <t>Thu</t>
        </is>
      </c>
      <c r="D2379" s="66" t="inlineStr">
        <is>
          <t>Programmatic</t>
        </is>
      </c>
      <c r="E2379" s="66" t="inlineStr">
        <is>
          <t>DV360</t>
        </is>
      </c>
      <c r="F2379" s="66" t="inlineStr">
        <is>
          <t>LEP_ZA_AUG26_PROG_RMKT_DYNAMIC</t>
        </is>
      </c>
      <c r="G2379" s="66" t="inlineStr">
        <is>
          <t>Dynamic Retargeting</t>
        </is>
      </c>
      <c r="H2379" s="66" t="inlineStr">
        <is>
          <t>Range</t>
        </is>
      </c>
      <c r="I2379" s="66" t="inlineStr">
        <is>
          <t>Range Offer</t>
        </is>
      </c>
      <c r="J2379" s="66" t="inlineStr">
        <is>
          <t>PROG_DYN_RMKT_30D</t>
        </is>
      </c>
      <c r="K2379" s="66" t="inlineStr">
        <is>
          <t>Retargeting</t>
        </is>
      </c>
      <c r="L2379" s="66" t="inlineStr">
        <is>
          <t>PROG_DYN_300x250_ModelSeen_v1</t>
        </is>
      </c>
      <c r="M2379" s="66" t="inlineStr">
        <is>
          <t>Dynamic Display 300x250</t>
        </is>
      </c>
      <c r="N2379" s="66" t="inlineStr">
        <is>
          <t>Still thinking about it?</t>
        </is>
      </c>
      <c r="O2379" s="66" t="inlineStr">
        <is>
          <t>Auction - Lowest Cost</t>
        </is>
      </c>
      <c r="P2379" s="66" t="inlineStr">
        <is>
          <t>Conversions (CPA)</t>
        </is>
      </c>
      <c r="Q2379" s="66" t="inlineStr">
        <is>
          <t>https://www.lepas-sa.co.za/book-a-test-drive</t>
        </is>
      </c>
      <c r="R2379" s="121" t="n">
        <v>93.05</v>
      </c>
      <c r="S2379" s="122" t="n">
        <v>2667</v>
      </c>
      <c r="T2379" s="122" t="n">
        <v>1994</v>
      </c>
      <c r="U2379" s="123">
        <f>IFERROR(S2379/T2379,"")</f>
        <v/>
      </c>
      <c r="V2379" s="122" t="n">
        <v>13</v>
      </c>
      <c r="W2379" s="122" t="n">
        <v>11</v>
      </c>
      <c r="X2379" s="124">
        <f>IFERROR(W2379/S2379,"")</f>
        <v/>
      </c>
      <c r="Y2379" s="121">
        <f>IFERROR(R2379/W2379,"")</f>
        <v/>
      </c>
      <c r="Z2379" s="121">
        <f>IFERROR(R2379/S2379*1000,"")</f>
        <v/>
      </c>
      <c r="AA2379" s="122" t="n">
        <v>7</v>
      </c>
      <c r="AB2379" s="54">
        <f>IFERROR(AA2379/W2379,"")</f>
        <v/>
      </c>
      <c r="AC2379" s="122" t="n">
        <v>0</v>
      </c>
      <c r="AD2379" s="122" t="n">
        <v>0</v>
      </c>
      <c r="AE2379" s="122" t="n">
        <v>0</v>
      </c>
      <c r="AF2379" s="122" t="n">
        <v>0</v>
      </c>
      <c r="AG2379" s="122" t="n">
        <v>0</v>
      </c>
      <c r="AH2379" s="122" t="n">
        <v>0</v>
      </c>
      <c r="AI2379" s="54">
        <f>IFERROR(AC2379/S2379,"")</f>
        <v/>
      </c>
      <c r="AJ2379" s="54">
        <f>IFERROR(AH2379/S2379,"")</f>
        <v/>
      </c>
      <c r="AK2379" s="122" t="n">
        <v>10</v>
      </c>
      <c r="AL2379" s="122" t="n">
        <v>1</v>
      </c>
      <c r="AM2379" s="124">
        <f>IFERROR(AL2379/AA2379,"")</f>
        <v/>
      </c>
      <c r="AN2379" s="125">
        <f>IFERROR(R2379/AL2379,"")</f>
        <v/>
      </c>
      <c r="AO2379" s="122" t="n">
        <v>1</v>
      </c>
      <c r="AP2379" s="54">
        <f>IFERROR(AO2379/AL2379,"")</f>
        <v/>
      </c>
      <c r="AQ2379" s="125">
        <f>IFERROR(R2379/AO2379,"")</f>
        <v/>
      </c>
      <c r="AR2379" s="122" t="n">
        <v>3</v>
      </c>
      <c r="AS2379" s="122" t="n">
        <v>2</v>
      </c>
      <c r="AT2379" s="122">
        <f>AL2379+AR2379</f>
        <v/>
      </c>
      <c r="AU2379" s="125">
        <f>IFERROR(AO2379*Assumptions!$C$26*Assumptions!$C$27*INDEX(Assumptions!$C$18:$C$21,MATCH(H2379,Assumptions!$B$18:$B$21,0)),0)</f>
        <v/>
      </c>
    </row>
    <row r="2380">
      <c r="A2380" s="120" t="n">
        <v>46241</v>
      </c>
      <c r="B2380" s="66" t="inlineStr">
        <is>
          <t>Wk 32</t>
        </is>
      </c>
      <c r="C2380" s="66" t="inlineStr">
        <is>
          <t>Fri</t>
        </is>
      </c>
      <c r="D2380" s="66" t="inlineStr">
        <is>
          <t>Programmatic</t>
        </is>
      </c>
      <c r="E2380" s="66" t="inlineStr">
        <is>
          <t>DV360</t>
        </is>
      </c>
      <c r="F2380" s="66" t="inlineStr">
        <is>
          <t>LEP_ZA_AUG26_PROG_RMKT_DYNAMIC</t>
        </is>
      </c>
      <c r="G2380" s="66" t="inlineStr">
        <is>
          <t>Dynamic Retargeting</t>
        </is>
      </c>
      <c r="H2380" s="66" t="inlineStr">
        <is>
          <t>Range</t>
        </is>
      </c>
      <c r="I2380" s="66" t="inlineStr">
        <is>
          <t>Range Offer</t>
        </is>
      </c>
      <c r="J2380" s="66" t="inlineStr">
        <is>
          <t>PROG_DYN_RMKT_30D</t>
        </is>
      </c>
      <c r="K2380" s="66" t="inlineStr">
        <is>
          <t>Retargeting</t>
        </is>
      </c>
      <c r="L2380" s="66" t="inlineStr">
        <is>
          <t>PROG_DYN_300x250_ModelSeen_v1</t>
        </is>
      </c>
      <c r="M2380" s="66" t="inlineStr">
        <is>
          <t>Dynamic Display 300x250</t>
        </is>
      </c>
      <c r="N2380" s="66" t="inlineStr">
        <is>
          <t>Still thinking about it?</t>
        </is>
      </c>
      <c r="O2380" s="66" t="inlineStr">
        <is>
          <t>Auction - Lowest Cost</t>
        </is>
      </c>
      <c r="P2380" s="66" t="inlineStr">
        <is>
          <t>Conversions (CPA)</t>
        </is>
      </c>
      <c r="Q2380" s="66" t="inlineStr">
        <is>
          <t>https://www.lepas-sa.co.za/book-a-test-drive</t>
        </is>
      </c>
      <c r="R2380" s="121" t="n">
        <v>121.77</v>
      </c>
      <c r="S2380" s="122" t="n">
        <v>5334</v>
      </c>
      <c r="T2380" s="122" t="n">
        <v>3750</v>
      </c>
      <c r="U2380" s="123">
        <f>IFERROR(S2380/T2380,"")</f>
        <v/>
      </c>
      <c r="V2380" s="122" t="n">
        <v>18</v>
      </c>
      <c r="W2380" s="122" t="n">
        <v>15</v>
      </c>
      <c r="X2380" s="124">
        <f>IFERROR(W2380/S2380,"")</f>
        <v/>
      </c>
      <c r="Y2380" s="121">
        <f>IFERROR(R2380/W2380,"")</f>
        <v/>
      </c>
      <c r="Z2380" s="121">
        <f>IFERROR(R2380/S2380*1000,"")</f>
        <v/>
      </c>
      <c r="AA2380" s="122" t="n">
        <v>9</v>
      </c>
      <c r="AB2380" s="54">
        <f>IFERROR(AA2380/W2380,"")</f>
        <v/>
      </c>
      <c r="AC2380" s="122" t="n">
        <v>0</v>
      </c>
      <c r="AD2380" s="122" t="n">
        <v>0</v>
      </c>
      <c r="AE2380" s="122" t="n">
        <v>0</v>
      </c>
      <c r="AF2380" s="122" t="n">
        <v>0</v>
      </c>
      <c r="AG2380" s="122" t="n">
        <v>0</v>
      </c>
      <c r="AH2380" s="122" t="n">
        <v>0</v>
      </c>
      <c r="AI2380" s="54">
        <f>IFERROR(AC2380/S2380,"")</f>
        <v/>
      </c>
      <c r="AJ2380" s="54">
        <f>IFERROR(AH2380/S2380,"")</f>
        <v/>
      </c>
      <c r="AK2380" s="122" t="n">
        <v>17</v>
      </c>
      <c r="AL2380" s="122" t="n">
        <v>0</v>
      </c>
      <c r="AM2380" s="124">
        <f>IFERROR(AL2380/AA2380,"")</f>
        <v/>
      </c>
      <c r="AN2380" s="125">
        <f>IFERROR(R2380/AL2380,"")</f>
        <v/>
      </c>
      <c r="AO2380" s="122" t="n">
        <v>0</v>
      </c>
      <c r="AP2380" s="54">
        <f>IFERROR(AO2380/AL2380,"")</f>
        <v/>
      </c>
      <c r="AQ2380" s="125">
        <f>IFERROR(R2380/AO2380,"")</f>
        <v/>
      </c>
      <c r="AR2380" s="122" t="n">
        <v>0</v>
      </c>
      <c r="AS2380" s="122" t="n">
        <v>0</v>
      </c>
      <c r="AT2380" s="122">
        <f>AL2380+AR2380</f>
        <v/>
      </c>
      <c r="AU2380" s="125">
        <f>IFERROR(AO2380*Assumptions!$C$26*Assumptions!$C$27*INDEX(Assumptions!$C$18:$C$21,MATCH(H2380,Assumptions!$B$18:$B$21,0)),0)</f>
        <v/>
      </c>
    </row>
    <row r="2381">
      <c r="A2381" s="120" t="n">
        <v>46242</v>
      </c>
      <c r="B2381" s="66" t="inlineStr">
        <is>
          <t>Wk 32</t>
        </is>
      </c>
      <c r="C2381" s="66" t="inlineStr">
        <is>
          <t>Sat</t>
        </is>
      </c>
      <c r="D2381" s="66" t="inlineStr">
        <is>
          <t>Programmatic</t>
        </is>
      </c>
      <c r="E2381" s="66" t="inlineStr">
        <is>
          <t>DV360</t>
        </is>
      </c>
      <c r="F2381" s="66" t="inlineStr">
        <is>
          <t>LEP_ZA_AUG26_PROG_RMKT_DYNAMIC</t>
        </is>
      </c>
      <c r="G2381" s="66" t="inlineStr">
        <is>
          <t>Dynamic Retargeting</t>
        </is>
      </c>
      <c r="H2381" s="66" t="inlineStr">
        <is>
          <t>Range</t>
        </is>
      </c>
      <c r="I2381" s="66" t="inlineStr">
        <is>
          <t>Range Offer</t>
        </is>
      </c>
      <c r="J2381" s="66" t="inlineStr">
        <is>
          <t>PROG_DYN_RMKT_30D</t>
        </is>
      </c>
      <c r="K2381" s="66" t="inlineStr">
        <is>
          <t>Retargeting</t>
        </is>
      </c>
      <c r="L2381" s="66" t="inlineStr">
        <is>
          <t>PROG_DYN_300x250_ModelSeen_v1</t>
        </is>
      </c>
      <c r="M2381" s="66" t="inlineStr">
        <is>
          <t>Dynamic Display 300x250</t>
        </is>
      </c>
      <c r="N2381" s="66" t="inlineStr">
        <is>
          <t>Still thinking about it?</t>
        </is>
      </c>
      <c r="O2381" s="66" t="inlineStr">
        <is>
          <t>Auction - Lowest Cost</t>
        </is>
      </c>
      <c r="P2381" s="66" t="inlineStr">
        <is>
          <t>Conversions (CPA)</t>
        </is>
      </c>
      <c r="Q2381" s="66" t="inlineStr">
        <is>
          <t>https://www.lepas-sa.co.za/book-a-test-drive</t>
        </is>
      </c>
      <c r="R2381" s="121" t="n">
        <v>120.87</v>
      </c>
      <c r="S2381" s="122" t="n">
        <v>4033</v>
      </c>
      <c r="T2381" s="122" t="n">
        <v>2456</v>
      </c>
      <c r="U2381" s="123">
        <f>IFERROR(S2381/T2381,"")</f>
        <v/>
      </c>
      <c r="V2381" s="122" t="n">
        <v>8</v>
      </c>
      <c r="W2381" s="122" t="n">
        <v>6</v>
      </c>
      <c r="X2381" s="124">
        <f>IFERROR(W2381/S2381,"")</f>
        <v/>
      </c>
      <c r="Y2381" s="121">
        <f>IFERROR(R2381/W2381,"")</f>
        <v/>
      </c>
      <c r="Z2381" s="121">
        <f>IFERROR(R2381/S2381*1000,"")</f>
        <v/>
      </c>
      <c r="AA2381" s="122" t="n">
        <v>4</v>
      </c>
      <c r="AB2381" s="54">
        <f>IFERROR(AA2381/W2381,"")</f>
        <v/>
      </c>
      <c r="AC2381" s="122" t="n">
        <v>0</v>
      </c>
      <c r="AD2381" s="122" t="n">
        <v>0</v>
      </c>
      <c r="AE2381" s="122" t="n">
        <v>0</v>
      </c>
      <c r="AF2381" s="122" t="n">
        <v>0</v>
      </c>
      <c r="AG2381" s="122" t="n">
        <v>0</v>
      </c>
      <c r="AH2381" s="122" t="n">
        <v>0</v>
      </c>
      <c r="AI2381" s="54">
        <f>IFERROR(AC2381/S2381,"")</f>
        <v/>
      </c>
      <c r="AJ2381" s="54">
        <f>IFERROR(AH2381/S2381,"")</f>
        <v/>
      </c>
      <c r="AK2381" s="122" t="n">
        <v>13</v>
      </c>
      <c r="AL2381" s="122" t="n">
        <v>0</v>
      </c>
      <c r="AM2381" s="124">
        <f>IFERROR(AL2381/AA2381,"")</f>
        <v/>
      </c>
      <c r="AN2381" s="125">
        <f>IFERROR(R2381/AL2381,"")</f>
        <v/>
      </c>
      <c r="AO2381" s="122" t="n">
        <v>0</v>
      </c>
      <c r="AP2381" s="54">
        <f>IFERROR(AO2381/AL2381,"")</f>
        <v/>
      </c>
      <c r="AQ2381" s="125">
        <f>IFERROR(R2381/AO2381,"")</f>
        <v/>
      </c>
      <c r="AR2381" s="122" t="n">
        <v>0</v>
      </c>
      <c r="AS2381" s="122" t="n">
        <v>0</v>
      </c>
      <c r="AT2381" s="122">
        <f>AL2381+AR2381</f>
        <v/>
      </c>
      <c r="AU2381" s="125">
        <f>IFERROR(AO2381*Assumptions!$C$26*Assumptions!$C$27*INDEX(Assumptions!$C$18:$C$21,MATCH(H2381,Assumptions!$B$18:$B$21,0)),0)</f>
        <v/>
      </c>
    </row>
    <row r="2382">
      <c r="A2382" s="120" t="n">
        <v>46243</v>
      </c>
      <c r="B2382" s="66" t="inlineStr">
        <is>
          <t>Wk 32</t>
        </is>
      </c>
      <c r="C2382" s="66" t="inlineStr">
        <is>
          <t>Sun</t>
        </is>
      </c>
      <c r="D2382" s="66" t="inlineStr">
        <is>
          <t>Programmatic</t>
        </is>
      </c>
      <c r="E2382" s="66" t="inlineStr">
        <is>
          <t>DV360</t>
        </is>
      </c>
      <c r="F2382" s="66" t="inlineStr">
        <is>
          <t>LEP_ZA_AUG26_PROG_RMKT_DYNAMIC</t>
        </is>
      </c>
      <c r="G2382" s="66" t="inlineStr">
        <is>
          <t>Dynamic Retargeting</t>
        </is>
      </c>
      <c r="H2382" s="66" t="inlineStr">
        <is>
          <t>Range</t>
        </is>
      </c>
      <c r="I2382" s="66" t="inlineStr">
        <is>
          <t>Range Offer</t>
        </is>
      </c>
      <c r="J2382" s="66" t="inlineStr">
        <is>
          <t>PROG_DYN_RMKT_30D</t>
        </is>
      </c>
      <c r="K2382" s="66" t="inlineStr">
        <is>
          <t>Retargeting</t>
        </is>
      </c>
      <c r="L2382" s="66" t="inlineStr">
        <is>
          <t>PROG_DYN_300x250_ModelSeen_v1</t>
        </is>
      </c>
      <c r="M2382" s="66" t="inlineStr">
        <is>
          <t>Dynamic Display 300x250</t>
        </is>
      </c>
      <c r="N2382" s="66" t="inlineStr">
        <is>
          <t>Still thinking about it?</t>
        </is>
      </c>
      <c r="O2382" s="66" t="inlineStr">
        <is>
          <t>Auction - Lowest Cost</t>
        </is>
      </c>
      <c r="P2382" s="66" t="inlineStr">
        <is>
          <t>Conversions (CPA)</t>
        </is>
      </c>
      <c r="Q2382" s="66" t="inlineStr">
        <is>
          <t>https://www.lepas-sa.co.za/book-a-test-drive</t>
        </is>
      </c>
      <c r="R2382" s="121" t="n">
        <v>74.11</v>
      </c>
      <c r="S2382" s="122" t="n">
        <v>1600</v>
      </c>
      <c r="T2382" s="122" t="n">
        <v>945</v>
      </c>
      <c r="U2382" s="123">
        <f>IFERROR(S2382/T2382,"")</f>
        <v/>
      </c>
      <c r="V2382" s="122" t="n">
        <v>9</v>
      </c>
      <c r="W2382" s="122" t="n">
        <v>7</v>
      </c>
      <c r="X2382" s="124">
        <f>IFERROR(W2382/S2382,"")</f>
        <v/>
      </c>
      <c r="Y2382" s="121">
        <f>IFERROR(R2382/W2382,"")</f>
        <v/>
      </c>
      <c r="Z2382" s="121">
        <f>IFERROR(R2382/S2382*1000,"")</f>
        <v/>
      </c>
      <c r="AA2382" s="122" t="n">
        <v>4</v>
      </c>
      <c r="AB2382" s="54">
        <f>IFERROR(AA2382/W2382,"")</f>
        <v/>
      </c>
      <c r="AC2382" s="122" t="n">
        <v>0</v>
      </c>
      <c r="AD2382" s="122" t="n">
        <v>0</v>
      </c>
      <c r="AE2382" s="122" t="n">
        <v>0</v>
      </c>
      <c r="AF2382" s="122" t="n">
        <v>0</v>
      </c>
      <c r="AG2382" s="122" t="n">
        <v>0</v>
      </c>
      <c r="AH2382" s="122" t="n">
        <v>0</v>
      </c>
      <c r="AI2382" s="54">
        <f>IFERROR(AC2382/S2382,"")</f>
        <v/>
      </c>
      <c r="AJ2382" s="54">
        <f>IFERROR(AH2382/S2382,"")</f>
        <v/>
      </c>
      <c r="AK2382" s="122" t="n">
        <v>7</v>
      </c>
      <c r="AL2382" s="122" t="n">
        <v>0</v>
      </c>
      <c r="AM2382" s="124">
        <f>IFERROR(AL2382/AA2382,"")</f>
        <v/>
      </c>
      <c r="AN2382" s="125">
        <f>IFERROR(R2382/AL2382,"")</f>
        <v/>
      </c>
      <c r="AO2382" s="122" t="n">
        <v>0</v>
      </c>
      <c r="AP2382" s="54">
        <f>IFERROR(AO2382/AL2382,"")</f>
        <v/>
      </c>
      <c r="AQ2382" s="125">
        <f>IFERROR(R2382/AO2382,"")</f>
        <v/>
      </c>
      <c r="AR2382" s="122" t="n">
        <v>0</v>
      </c>
      <c r="AS2382" s="122" t="n">
        <v>0</v>
      </c>
      <c r="AT2382" s="122">
        <f>AL2382+AR2382</f>
        <v/>
      </c>
      <c r="AU2382" s="125">
        <f>IFERROR(AO2382*Assumptions!$C$26*Assumptions!$C$27*INDEX(Assumptions!$C$18:$C$21,MATCH(H2382,Assumptions!$B$18:$B$21,0)),0)</f>
        <v/>
      </c>
    </row>
    <row r="2383">
      <c r="A2383" s="120" t="n">
        <v>46244</v>
      </c>
      <c r="B2383" s="66" t="inlineStr">
        <is>
          <t>Wk 33</t>
        </is>
      </c>
      <c r="C2383" s="66" t="inlineStr">
        <is>
          <t>Mon</t>
        </is>
      </c>
      <c r="D2383" s="66" t="inlineStr">
        <is>
          <t>Programmatic</t>
        </is>
      </c>
      <c r="E2383" s="66" t="inlineStr">
        <is>
          <t>DV360</t>
        </is>
      </c>
      <c r="F2383" s="66" t="inlineStr">
        <is>
          <t>LEP_ZA_AUG26_PROG_RMKT_DYNAMIC</t>
        </is>
      </c>
      <c r="G2383" s="66" t="inlineStr">
        <is>
          <t>Dynamic Retargeting</t>
        </is>
      </c>
      <c r="H2383" s="66" t="inlineStr">
        <is>
          <t>Range</t>
        </is>
      </c>
      <c r="I2383" s="66" t="inlineStr">
        <is>
          <t>Range Offer</t>
        </is>
      </c>
      <c r="J2383" s="66" t="inlineStr">
        <is>
          <t>PROG_DYN_RMKT_30D</t>
        </is>
      </c>
      <c r="K2383" s="66" t="inlineStr">
        <is>
          <t>Retargeting</t>
        </is>
      </c>
      <c r="L2383" s="66" t="inlineStr">
        <is>
          <t>PROG_DYN_300x250_ModelSeen_v1</t>
        </is>
      </c>
      <c r="M2383" s="66" t="inlineStr">
        <is>
          <t>Dynamic Display 300x250</t>
        </is>
      </c>
      <c r="N2383" s="66" t="inlineStr">
        <is>
          <t>Still thinking about it?</t>
        </is>
      </c>
      <c r="O2383" s="66" t="inlineStr">
        <is>
          <t>Auction - Lowest Cost</t>
        </is>
      </c>
      <c r="P2383" s="66" t="inlineStr">
        <is>
          <t>Conversions (CPA)</t>
        </is>
      </c>
      <c r="Q2383" s="66" t="inlineStr">
        <is>
          <t>https://www.lepas-sa.co.za/book-a-test-drive</t>
        </is>
      </c>
      <c r="R2383" s="121" t="n">
        <v>118.78</v>
      </c>
      <c r="S2383" s="122" t="n">
        <v>2815</v>
      </c>
      <c r="T2383" s="122" t="n">
        <v>1586</v>
      </c>
      <c r="U2383" s="123">
        <f>IFERROR(S2383/T2383,"")</f>
        <v/>
      </c>
      <c r="V2383" s="122" t="n">
        <v>7</v>
      </c>
      <c r="W2383" s="122" t="n">
        <v>5</v>
      </c>
      <c r="X2383" s="124">
        <f>IFERROR(W2383/S2383,"")</f>
        <v/>
      </c>
      <c r="Y2383" s="121">
        <f>IFERROR(R2383/W2383,"")</f>
        <v/>
      </c>
      <c r="Z2383" s="121">
        <f>IFERROR(R2383/S2383*1000,"")</f>
        <v/>
      </c>
      <c r="AA2383" s="122" t="n">
        <v>4</v>
      </c>
      <c r="AB2383" s="54">
        <f>IFERROR(AA2383/W2383,"")</f>
        <v/>
      </c>
      <c r="AC2383" s="122" t="n">
        <v>0</v>
      </c>
      <c r="AD2383" s="122" t="n">
        <v>0</v>
      </c>
      <c r="AE2383" s="122" t="n">
        <v>0</v>
      </c>
      <c r="AF2383" s="122" t="n">
        <v>0</v>
      </c>
      <c r="AG2383" s="122" t="n">
        <v>0</v>
      </c>
      <c r="AH2383" s="122" t="n">
        <v>0</v>
      </c>
      <c r="AI2383" s="54">
        <f>IFERROR(AC2383/S2383,"")</f>
        <v/>
      </c>
      <c r="AJ2383" s="54">
        <f>IFERROR(AH2383/S2383,"")</f>
        <v/>
      </c>
      <c r="AK2383" s="122" t="n">
        <v>12</v>
      </c>
      <c r="AL2383" s="122" t="n">
        <v>0</v>
      </c>
      <c r="AM2383" s="124">
        <f>IFERROR(AL2383/AA2383,"")</f>
        <v/>
      </c>
      <c r="AN2383" s="125">
        <f>IFERROR(R2383/AL2383,"")</f>
        <v/>
      </c>
      <c r="AO2383" s="122" t="n">
        <v>0</v>
      </c>
      <c r="AP2383" s="54">
        <f>IFERROR(AO2383/AL2383,"")</f>
        <v/>
      </c>
      <c r="AQ2383" s="125">
        <f>IFERROR(R2383/AO2383,"")</f>
        <v/>
      </c>
      <c r="AR2383" s="122" t="n">
        <v>0</v>
      </c>
      <c r="AS2383" s="122" t="n">
        <v>0</v>
      </c>
      <c r="AT2383" s="122">
        <f>AL2383+AR2383</f>
        <v/>
      </c>
      <c r="AU2383" s="125">
        <f>IFERROR(AO2383*Assumptions!$C$26*Assumptions!$C$27*INDEX(Assumptions!$C$18:$C$21,MATCH(H2383,Assumptions!$B$18:$B$21,0)),0)</f>
        <v/>
      </c>
    </row>
    <row r="2384">
      <c r="A2384" s="120" t="n">
        <v>46245</v>
      </c>
      <c r="B2384" s="66" t="inlineStr">
        <is>
          <t>Wk 33</t>
        </is>
      </c>
      <c r="C2384" s="66" t="inlineStr">
        <is>
          <t>Tue</t>
        </is>
      </c>
      <c r="D2384" s="66" t="inlineStr">
        <is>
          <t>Programmatic</t>
        </is>
      </c>
      <c r="E2384" s="66" t="inlineStr">
        <is>
          <t>DV360</t>
        </is>
      </c>
      <c r="F2384" s="66" t="inlineStr">
        <is>
          <t>LEP_ZA_AUG26_PROG_RMKT_DYNAMIC</t>
        </is>
      </c>
      <c r="G2384" s="66" t="inlineStr">
        <is>
          <t>Dynamic Retargeting</t>
        </is>
      </c>
      <c r="H2384" s="66" t="inlineStr">
        <is>
          <t>Range</t>
        </is>
      </c>
      <c r="I2384" s="66" t="inlineStr">
        <is>
          <t>Range Offer</t>
        </is>
      </c>
      <c r="J2384" s="66" t="inlineStr">
        <is>
          <t>PROG_DYN_RMKT_30D</t>
        </is>
      </c>
      <c r="K2384" s="66" t="inlineStr">
        <is>
          <t>Retargeting</t>
        </is>
      </c>
      <c r="L2384" s="66" t="inlineStr">
        <is>
          <t>PROG_DYN_300x250_ModelSeen_v1</t>
        </is>
      </c>
      <c r="M2384" s="66" t="inlineStr">
        <is>
          <t>Dynamic Display 300x250</t>
        </is>
      </c>
      <c r="N2384" s="66" t="inlineStr">
        <is>
          <t>Still thinking about it?</t>
        </is>
      </c>
      <c r="O2384" s="66" t="inlineStr">
        <is>
          <t>Auction - Lowest Cost</t>
        </is>
      </c>
      <c r="P2384" s="66" t="inlineStr">
        <is>
          <t>Conversions (CPA)</t>
        </is>
      </c>
      <c r="Q2384" s="66" t="inlineStr">
        <is>
          <t>https://www.lepas-sa.co.za/book-a-test-drive</t>
        </is>
      </c>
      <c r="R2384" s="121" t="n">
        <v>97.17</v>
      </c>
      <c r="S2384" s="122" t="n">
        <v>2870</v>
      </c>
      <c r="T2384" s="122" t="n">
        <v>1235</v>
      </c>
      <c r="U2384" s="123">
        <f>IFERROR(S2384/T2384,"")</f>
        <v/>
      </c>
      <c r="V2384" s="122" t="n">
        <v>14</v>
      </c>
      <c r="W2384" s="122" t="n">
        <v>10</v>
      </c>
      <c r="X2384" s="124">
        <f>IFERROR(W2384/S2384,"")</f>
        <v/>
      </c>
      <c r="Y2384" s="121">
        <f>IFERROR(R2384/W2384,"")</f>
        <v/>
      </c>
      <c r="Z2384" s="121">
        <f>IFERROR(R2384/S2384*1000,"")</f>
        <v/>
      </c>
      <c r="AA2384" s="122" t="n">
        <v>7</v>
      </c>
      <c r="AB2384" s="54">
        <f>IFERROR(AA2384/W2384,"")</f>
        <v/>
      </c>
      <c r="AC2384" s="122" t="n">
        <v>0</v>
      </c>
      <c r="AD2384" s="122" t="n">
        <v>0</v>
      </c>
      <c r="AE2384" s="122" t="n">
        <v>0</v>
      </c>
      <c r="AF2384" s="122" t="n">
        <v>0</v>
      </c>
      <c r="AG2384" s="122" t="n">
        <v>0</v>
      </c>
      <c r="AH2384" s="122" t="n">
        <v>0</v>
      </c>
      <c r="AI2384" s="54">
        <f>IFERROR(AC2384/S2384,"")</f>
        <v/>
      </c>
      <c r="AJ2384" s="54">
        <f>IFERROR(AH2384/S2384,"")</f>
        <v/>
      </c>
      <c r="AK2384" s="122" t="n">
        <v>4</v>
      </c>
      <c r="AL2384" s="122" t="n">
        <v>1</v>
      </c>
      <c r="AM2384" s="124">
        <f>IFERROR(AL2384/AA2384,"")</f>
        <v/>
      </c>
      <c r="AN2384" s="125">
        <f>IFERROR(R2384/AL2384,"")</f>
        <v/>
      </c>
      <c r="AO2384" s="122" t="n">
        <v>1</v>
      </c>
      <c r="AP2384" s="54">
        <f>IFERROR(AO2384/AL2384,"")</f>
        <v/>
      </c>
      <c r="AQ2384" s="125">
        <f>IFERROR(R2384/AO2384,"")</f>
        <v/>
      </c>
      <c r="AR2384" s="122" t="n">
        <v>3</v>
      </c>
      <c r="AS2384" s="122" t="n">
        <v>1</v>
      </c>
      <c r="AT2384" s="122">
        <f>AL2384+AR2384</f>
        <v/>
      </c>
      <c r="AU2384" s="125">
        <f>IFERROR(AO2384*Assumptions!$C$26*Assumptions!$C$27*INDEX(Assumptions!$C$18:$C$21,MATCH(H2384,Assumptions!$B$18:$B$21,0)),0)</f>
        <v/>
      </c>
    </row>
    <row r="2385">
      <c r="A2385" s="120" t="n">
        <v>46246</v>
      </c>
      <c r="B2385" s="66" t="inlineStr">
        <is>
          <t>Wk 33</t>
        </is>
      </c>
      <c r="C2385" s="66" t="inlineStr">
        <is>
          <t>Wed</t>
        </is>
      </c>
      <c r="D2385" s="66" t="inlineStr">
        <is>
          <t>Programmatic</t>
        </is>
      </c>
      <c r="E2385" s="66" t="inlineStr">
        <is>
          <t>DV360</t>
        </is>
      </c>
      <c r="F2385" s="66" t="inlineStr">
        <is>
          <t>LEP_ZA_AUG26_PROG_RMKT_DYNAMIC</t>
        </is>
      </c>
      <c r="G2385" s="66" t="inlineStr">
        <is>
          <t>Dynamic Retargeting</t>
        </is>
      </c>
      <c r="H2385" s="66" t="inlineStr">
        <is>
          <t>Range</t>
        </is>
      </c>
      <c r="I2385" s="66" t="inlineStr">
        <is>
          <t>Range Offer</t>
        </is>
      </c>
      <c r="J2385" s="66" t="inlineStr">
        <is>
          <t>PROG_DYN_RMKT_30D</t>
        </is>
      </c>
      <c r="K2385" s="66" t="inlineStr">
        <is>
          <t>Retargeting</t>
        </is>
      </c>
      <c r="L2385" s="66" t="inlineStr">
        <is>
          <t>PROG_DYN_300x250_ModelSeen_v1</t>
        </is>
      </c>
      <c r="M2385" s="66" t="inlineStr">
        <is>
          <t>Dynamic Display 300x250</t>
        </is>
      </c>
      <c r="N2385" s="66" t="inlineStr">
        <is>
          <t>Still thinking about it?</t>
        </is>
      </c>
      <c r="O2385" s="66" t="inlineStr">
        <is>
          <t>Auction - Lowest Cost</t>
        </is>
      </c>
      <c r="P2385" s="66" t="inlineStr">
        <is>
          <t>Conversions (CPA)</t>
        </is>
      </c>
      <c r="Q2385" s="66" t="inlineStr">
        <is>
          <t>https://www.lepas-sa.co.za/book-a-test-drive</t>
        </is>
      </c>
      <c r="R2385" s="121" t="n">
        <v>110.24</v>
      </c>
      <c r="S2385" s="122" t="n">
        <v>2583</v>
      </c>
      <c r="T2385" s="122" t="n">
        <v>1393</v>
      </c>
      <c r="U2385" s="123">
        <f>IFERROR(S2385/T2385,"")</f>
        <v/>
      </c>
      <c r="V2385" s="122" t="n">
        <v>7</v>
      </c>
      <c r="W2385" s="122" t="n">
        <v>6</v>
      </c>
      <c r="X2385" s="124">
        <f>IFERROR(W2385/S2385,"")</f>
        <v/>
      </c>
      <c r="Y2385" s="121">
        <f>IFERROR(R2385/W2385,"")</f>
        <v/>
      </c>
      <c r="Z2385" s="121">
        <f>IFERROR(R2385/S2385*1000,"")</f>
        <v/>
      </c>
      <c r="AA2385" s="122" t="n">
        <v>3</v>
      </c>
      <c r="AB2385" s="54">
        <f>IFERROR(AA2385/W2385,"")</f>
        <v/>
      </c>
      <c r="AC2385" s="122" t="n">
        <v>0</v>
      </c>
      <c r="AD2385" s="122" t="n">
        <v>0</v>
      </c>
      <c r="AE2385" s="122" t="n">
        <v>0</v>
      </c>
      <c r="AF2385" s="122" t="n">
        <v>0</v>
      </c>
      <c r="AG2385" s="122" t="n">
        <v>0</v>
      </c>
      <c r="AH2385" s="122" t="n">
        <v>0</v>
      </c>
      <c r="AI2385" s="54">
        <f>IFERROR(AC2385/S2385,"")</f>
        <v/>
      </c>
      <c r="AJ2385" s="54">
        <f>IFERROR(AH2385/S2385,"")</f>
        <v/>
      </c>
      <c r="AK2385" s="122" t="n">
        <v>12</v>
      </c>
      <c r="AL2385" s="122" t="n">
        <v>0</v>
      </c>
      <c r="AM2385" s="124">
        <f>IFERROR(AL2385/AA2385,"")</f>
        <v/>
      </c>
      <c r="AN2385" s="125">
        <f>IFERROR(R2385/AL2385,"")</f>
        <v/>
      </c>
      <c r="AO2385" s="122" t="n">
        <v>0</v>
      </c>
      <c r="AP2385" s="54">
        <f>IFERROR(AO2385/AL2385,"")</f>
        <v/>
      </c>
      <c r="AQ2385" s="125">
        <f>IFERROR(R2385/AO2385,"")</f>
        <v/>
      </c>
      <c r="AR2385" s="122" t="n">
        <v>0</v>
      </c>
      <c r="AS2385" s="122" t="n">
        <v>0</v>
      </c>
      <c r="AT2385" s="122">
        <f>AL2385+AR2385</f>
        <v/>
      </c>
      <c r="AU2385" s="125">
        <f>IFERROR(AO2385*Assumptions!$C$26*Assumptions!$C$27*INDEX(Assumptions!$C$18:$C$21,MATCH(H2385,Assumptions!$B$18:$B$21,0)),0)</f>
        <v/>
      </c>
    </row>
    <row r="2386">
      <c r="A2386" s="120" t="n">
        <v>46247</v>
      </c>
      <c r="B2386" s="66" t="inlineStr">
        <is>
          <t>Wk 33</t>
        </is>
      </c>
      <c r="C2386" s="66" t="inlineStr">
        <is>
          <t>Thu</t>
        </is>
      </c>
      <c r="D2386" s="66" t="inlineStr">
        <is>
          <t>Programmatic</t>
        </is>
      </c>
      <c r="E2386" s="66" t="inlineStr">
        <is>
          <t>DV360</t>
        </is>
      </c>
      <c r="F2386" s="66" t="inlineStr">
        <is>
          <t>LEP_ZA_AUG26_PROG_RMKT_DYNAMIC</t>
        </is>
      </c>
      <c r="G2386" s="66" t="inlineStr">
        <is>
          <t>Dynamic Retargeting</t>
        </is>
      </c>
      <c r="H2386" s="66" t="inlineStr">
        <is>
          <t>Range</t>
        </is>
      </c>
      <c r="I2386" s="66" t="inlineStr">
        <is>
          <t>Range Offer</t>
        </is>
      </c>
      <c r="J2386" s="66" t="inlineStr">
        <is>
          <t>PROG_DYN_RMKT_30D</t>
        </is>
      </c>
      <c r="K2386" s="66" t="inlineStr">
        <is>
          <t>Retargeting</t>
        </is>
      </c>
      <c r="L2386" s="66" t="inlineStr">
        <is>
          <t>PROG_DYN_300x250_ModelSeen_v1</t>
        </is>
      </c>
      <c r="M2386" s="66" t="inlineStr">
        <is>
          <t>Dynamic Display 300x250</t>
        </is>
      </c>
      <c r="N2386" s="66" t="inlineStr">
        <is>
          <t>Still thinking about it?</t>
        </is>
      </c>
      <c r="O2386" s="66" t="inlineStr">
        <is>
          <t>Auction - Lowest Cost</t>
        </is>
      </c>
      <c r="P2386" s="66" t="inlineStr">
        <is>
          <t>Conversions (CPA)</t>
        </is>
      </c>
      <c r="Q2386" s="66" t="inlineStr">
        <is>
          <t>https://www.lepas-sa.co.za/book-a-test-drive</t>
        </is>
      </c>
      <c r="R2386" s="121" t="n">
        <v>112.4</v>
      </c>
      <c r="S2386" s="122" t="n">
        <v>3222</v>
      </c>
      <c r="T2386" s="122" t="n">
        <v>2223</v>
      </c>
      <c r="U2386" s="123">
        <f>IFERROR(S2386/T2386,"")</f>
        <v/>
      </c>
      <c r="V2386" s="122" t="n">
        <v>14</v>
      </c>
      <c r="W2386" s="122" t="n">
        <v>11</v>
      </c>
      <c r="X2386" s="124">
        <f>IFERROR(W2386/S2386,"")</f>
        <v/>
      </c>
      <c r="Y2386" s="121">
        <f>IFERROR(R2386/W2386,"")</f>
        <v/>
      </c>
      <c r="Z2386" s="121">
        <f>IFERROR(R2386/S2386*1000,"")</f>
        <v/>
      </c>
      <c r="AA2386" s="122" t="n">
        <v>7</v>
      </c>
      <c r="AB2386" s="54">
        <f>IFERROR(AA2386/W2386,"")</f>
        <v/>
      </c>
      <c r="AC2386" s="122" t="n">
        <v>0</v>
      </c>
      <c r="AD2386" s="122" t="n">
        <v>0</v>
      </c>
      <c r="AE2386" s="122" t="n">
        <v>0</v>
      </c>
      <c r="AF2386" s="122" t="n">
        <v>0</v>
      </c>
      <c r="AG2386" s="122" t="n">
        <v>0</v>
      </c>
      <c r="AH2386" s="122" t="n">
        <v>0</v>
      </c>
      <c r="AI2386" s="54">
        <f>IFERROR(AC2386/S2386,"")</f>
        <v/>
      </c>
      <c r="AJ2386" s="54">
        <f>IFERROR(AH2386/S2386,"")</f>
        <v/>
      </c>
      <c r="AK2386" s="122" t="n">
        <v>10</v>
      </c>
      <c r="AL2386" s="122" t="n">
        <v>1</v>
      </c>
      <c r="AM2386" s="124">
        <f>IFERROR(AL2386/AA2386,"")</f>
        <v/>
      </c>
      <c r="AN2386" s="125">
        <f>IFERROR(R2386/AL2386,"")</f>
        <v/>
      </c>
      <c r="AO2386" s="122" t="n">
        <v>1</v>
      </c>
      <c r="AP2386" s="54">
        <f>IFERROR(AO2386/AL2386,"")</f>
        <v/>
      </c>
      <c r="AQ2386" s="125">
        <f>IFERROR(R2386/AO2386,"")</f>
        <v/>
      </c>
      <c r="AR2386" s="122" t="n">
        <v>3</v>
      </c>
      <c r="AS2386" s="122" t="n">
        <v>1</v>
      </c>
      <c r="AT2386" s="122">
        <f>AL2386+AR2386</f>
        <v/>
      </c>
      <c r="AU2386" s="125">
        <f>IFERROR(AO2386*Assumptions!$C$26*Assumptions!$C$27*INDEX(Assumptions!$C$18:$C$21,MATCH(H2386,Assumptions!$B$18:$B$21,0)),0)</f>
        <v/>
      </c>
    </row>
    <row r="2387">
      <c r="A2387" s="120" t="n">
        <v>46248</v>
      </c>
      <c r="B2387" s="66" t="inlineStr">
        <is>
          <t>Wk 33</t>
        </is>
      </c>
      <c r="C2387" s="66" t="inlineStr">
        <is>
          <t>Fri</t>
        </is>
      </c>
      <c r="D2387" s="66" t="inlineStr">
        <is>
          <t>Programmatic</t>
        </is>
      </c>
      <c r="E2387" s="66" t="inlineStr">
        <is>
          <t>DV360</t>
        </is>
      </c>
      <c r="F2387" s="66" t="inlineStr">
        <is>
          <t>LEP_ZA_AUG26_PROG_RMKT_DYNAMIC</t>
        </is>
      </c>
      <c r="G2387" s="66" t="inlineStr">
        <is>
          <t>Dynamic Retargeting</t>
        </is>
      </c>
      <c r="H2387" s="66" t="inlineStr">
        <is>
          <t>Range</t>
        </is>
      </c>
      <c r="I2387" s="66" t="inlineStr">
        <is>
          <t>Range Offer</t>
        </is>
      </c>
      <c r="J2387" s="66" t="inlineStr">
        <is>
          <t>PROG_DYN_RMKT_30D</t>
        </is>
      </c>
      <c r="K2387" s="66" t="inlineStr">
        <is>
          <t>Retargeting</t>
        </is>
      </c>
      <c r="L2387" s="66" t="inlineStr">
        <is>
          <t>PROG_DYN_300x250_ModelSeen_v1</t>
        </is>
      </c>
      <c r="M2387" s="66" t="inlineStr">
        <is>
          <t>Dynamic Display 300x250</t>
        </is>
      </c>
      <c r="N2387" s="66" t="inlineStr">
        <is>
          <t>Still thinking about it?</t>
        </is>
      </c>
      <c r="O2387" s="66" t="inlineStr">
        <is>
          <t>Auction - Lowest Cost</t>
        </is>
      </c>
      <c r="P2387" s="66" t="inlineStr">
        <is>
          <t>Conversions (CPA)</t>
        </is>
      </c>
      <c r="Q2387" s="66" t="inlineStr">
        <is>
          <t>https://www.lepas-sa.co.za/book-a-test-drive</t>
        </is>
      </c>
      <c r="R2387" s="121" t="n">
        <v>125.03</v>
      </c>
      <c r="S2387" s="122" t="n">
        <v>3077</v>
      </c>
      <c r="T2387" s="122" t="n">
        <v>1950</v>
      </c>
      <c r="U2387" s="123">
        <f>IFERROR(S2387/T2387,"")</f>
        <v/>
      </c>
      <c r="V2387" s="122" t="n">
        <v>6</v>
      </c>
      <c r="W2387" s="122" t="n">
        <v>5</v>
      </c>
      <c r="X2387" s="124">
        <f>IFERROR(W2387/S2387,"")</f>
        <v/>
      </c>
      <c r="Y2387" s="121">
        <f>IFERROR(R2387/W2387,"")</f>
        <v/>
      </c>
      <c r="Z2387" s="121">
        <f>IFERROR(R2387/S2387*1000,"")</f>
        <v/>
      </c>
      <c r="AA2387" s="122" t="n">
        <v>3</v>
      </c>
      <c r="AB2387" s="54">
        <f>IFERROR(AA2387/W2387,"")</f>
        <v/>
      </c>
      <c r="AC2387" s="122" t="n">
        <v>0</v>
      </c>
      <c r="AD2387" s="122" t="n">
        <v>0</v>
      </c>
      <c r="AE2387" s="122" t="n">
        <v>0</v>
      </c>
      <c r="AF2387" s="122" t="n">
        <v>0</v>
      </c>
      <c r="AG2387" s="122" t="n">
        <v>0</v>
      </c>
      <c r="AH2387" s="122" t="n">
        <v>0</v>
      </c>
      <c r="AI2387" s="54">
        <f>IFERROR(AC2387/S2387,"")</f>
        <v/>
      </c>
      <c r="AJ2387" s="54">
        <f>IFERROR(AH2387/S2387,"")</f>
        <v/>
      </c>
      <c r="AK2387" s="122" t="n">
        <v>10</v>
      </c>
      <c r="AL2387" s="122" t="n">
        <v>0</v>
      </c>
      <c r="AM2387" s="124">
        <f>IFERROR(AL2387/AA2387,"")</f>
        <v/>
      </c>
      <c r="AN2387" s="125">
        <f>IFERROR(R2387/AL2387,"")</f>
        <v/>
      </c>
      <c r="AO2387" s="122" t="n">
        <v>0</v>
      </c>
      <c r="AP2387" s="54">
        <f>IFERROR(AO2387/AL2387,"")</f>
        <v/>
      </c>
      <c r="AQ2387" s="125">
        <f>IFERROR(R2387/AO2387,"")</f>
        <v/>
      </c>
      <c r="AR2387" s="122" t="n">
        <v>0</v>
      </c>
      <c r="AS2387" s="122" t="n">
        <v>0</v>
      </c>
      <c r="AT2387" s="122">
        <f>AL2387+AR2387</f>
        <v/>
      </c>
      <c r="AU2387" s="125">
        <f>IFERROR(AO2387*Assumptions!$C$26*Assumptions!$C$27*INDEX(Assumptions!$C$18:$C$21,MATCH(H2387,Assumptions!$B$18:$B$21,0)),0)</f>
        <v/>
      </c>
    </row>
    <row r="2388">
      <c r="A2388" s="120" t="n">
        <v>46249</v>
      </c>
      <c r="B2388" s="66" t="inlineStr">
        <is>
          <t>Wk 33</t>
        </is>
      </c>
      <c r="C2388" s="66" t="inlineStr">
        <is>
          <t>Sat</t>
        </is>
      </c>
      <c r="D2388" s="66" t="inlineStr">
        <is>
          <t>Programmatic</t>
        </is>
      </c>
      <c r="E2388" s="66" t="inlineStr">
        <is>
          <t>DV360</t>
        </is>
      </c>
      <c r="F2388" s="66" t="inlineStr">
        <is>
          <t>LEP_ZA_AUG26_PROG_RMKT_DYNAMIC</t>
        </is>
      </c>
      <c r="G2388" s="66" t="inlineStr">
        <is>
          <t>Dynamic Retargeting</t>
        </is>
      </c>
      <c r="H2388" s="66" t="inlineStr">
        <is>
          <t>Range</t>
        </is>
      </c>
      <c r="I2388" s="66" t="inlineStr">
        <is>
          <t>Range Offer</t>
        </is>
      </c>
      <c r="J2388" s="66" t="inlineStr">
        <is>
          <t>PROG_DYN_RMKT_30D</t>
        </is>
      </c>
      <c r="K2388" s="66" t="inlineStr">
        <is>
          <t>Retargeting</t>
        </is>
      </c>
      <c r="L2388" s="66" t="inlineStr">
        <is>
          <t>PROG_DYN_300x250_ModelSeen_v1</t>
        </is>
      </c>
      <c r="M2388" s="66" t="inlineStr">
        <is>
          <t>Dynamic Display 300x250</t>
        </is>
      </c>
      <c r="N2388" s="66" t="inlineStr">
        <is>
          <t>Still thinking about it?</t>
        </is>
      </c>
      <c r="O2388" s="66" t="inlineStr">
        <is>
          <t>Auction - Lowest Cost</t>
        </is>
      </c>
      <c r="P2388" s="66" t="inlineStr">
        <is>
          <t>Conversions (CPA)</t>
        </is>
      </c>
      <c r="Q2388" s="66" t="inlineStr">
        <is>
          <t>https://www.lepas-sa.co.za/book-a-test-drive</t>
        </is>
      </c>
      <c r="R2388" s="121" t="n">
        <v>94.41</v>
      </c>
      <c r="S2388" s="122" t="n">
        <v>3394</v>
      </c>
      <c r="T2388" s="122" t="n">
        <v>1329</v>
      </c>
      <c r="U2388" s="123">
        <f>IFERROR(S2388/T2388,"")</f>
        <v/>
      </c>
      <c r="V2388" s="122" t="n">
        <v>19</v>
      </c>
      <c r="W2388" s="122" t="n">
        <v>14</v>
      </c>
      <c r="X2388" s="124">
        <f>IFERROR(W2388/S2388,"")</f>
        <v/>
      </c>
      <c r="Y2388" s="121">
        <f>IFERROR(R2388/W2388,"")</f>
        <v/>
      </c>
      <c r="Z2388" s="121">
        <f>IFERROR(R2388/S2388*1000,"")</f>
        <v/>
      </c>
      <c r="AA2388" s="122" t="n">
        <v>8</v>
      </c>
      <c r="AB2388" s="54">
        <f>IFERROR(AA2388/W2388,"")</f>
        <v/>
      </c>
      <c r="AC2388" s="122" t="n">
        <v>0</v>
      </c>
      <c r="AD2388" s="122" t="n">
        <v>0</v>
      </c>
      <c r="AE2388" s="122" t="n">
        <v>0</v>
      </c>
      <c r="AF2388" s="122" t="n">
        <v>0</v>
      </c>
      <c r="AG2388" s="122" t="n">
        <v>0</v>
      </c>
      <c r="AH2388" s="122" t="n">
        <v>0</v>
      </c>
      <c r="AI2388" s="54">
        <f>IFERROR(AC2388/S2388,"")</f>
        <v/>
      </c>
      <c r="AJ2388" s="54">
        <f>IFERROR(AH2388/S2388,"")</f>
        <v/>
      </c>
      <c r="AK2388" s="122" t="n">
        <v>15</v>
      </c>
      <c r="AL2388" s="122" t="n">
        <v>1</v>
      </c>
      <c r="AM2388" s="124">
        <f>IFERROR(AL2388/AA2388,"")</f>
        <v/>
      </c>
      <c r="AN2388" s="125">
        <f>IFERROR(R2388/AL2388,"")</f>
        <v/>
      </c>
      <c r="AO2388" s="122" t="n">
        <v>1</v>
      </c>
      <c r="AP2388" s="54">
        <f>IFERROR(AO2388/AL2388,"")</f>
        <v/>
      </c>
      <c r="AQ2388" s="125">
        <f>IFERROR(R2388/AO2388,"")</f>
        <v/>
      </c>
      <c r="AR2388" s="122" t="n">
        <v>2</v>
      </c>
      <c r="AS2388" s="122" t="n">
        <v>1</v>
      </c>
      <c r="AT2388" s="122">
        <f>AL2388+AR2388</f>
        <v/>
      </c>
      <c r="AU2388" s="125">
        <f>IFERROR(AO2388*Assumptions!$C$26*Assumptions!$C$27*INDEX(Assumptions!$C$18:$C$21,MATCH(H2388,Assumptions!$B$18:$B$21,0)),0)</f>
        <v/>
      </c>
    </row>
    <row r="2389">
      <c r="A2389" s="120" t="n">
        <v>46250</v>
      </c>
      <c r="B2389" s="66" t="inlineStr">
        <is>
          <t>Wk 33</t>
        </is>
      </c>
      <c r="C2389" s="66" t="inlineStr">
        <is>
          <t>Sun</t>
        </is>
      </c>
      <c r="D2389" s="66" t="inlineStr">
        <is>
          <t>Programmatic</t>
        </is>
      </c>
      <c r="E2389" s="66" t="inlineStr">
        <is>
          <t>DV360</t>
        </is>
      </c>
      <c r="F2389" s="66" t="inlineStr">
        <is>
          <t>LEP_ZA_AUG26_PROG_RMKT_DYNAMIC</t>
        </is>
      </c>
      <c r="G2389" s="66" t="inlineStr">
        <is>
          <t>Dynamic Retargeting</t>
        </is>
      </c>
      <c r="H2389" s="66" t="inlineStr">
        <is>
          <t>Range</t>
        </is>
      </c>
      <c r="I2389" s="66" t="inlineStr">
        <is>
          <t>Range Offer</t>
        </is>
      </c>
      <c r="J2389" s="66" t="inlineStr">
        <is>
          <t>PROG_DYN_RMKT_30D</t>
        </is>
      </c>
      <c r="K2389" s="66" t="inlineStr">
        <is>
          <t>Retargeting</t>
        </is>
      </c>
      <c r="L2389" s="66" t="inlineStr">
        <is>
          <t>PROG_DYN_300x250_ModelSeen_v1</t>
        </is>
      </c>
      <c r="M2389" s="66" t="inlineStr">
        <is>
          <t>Dynamic Display 300x250</t>
        </is>
      </c>
      <c r="N2389" s="66" t="inlineStr">
        <is>
          <t>Still thinking about it?</t>
        </is>
      </c>
      <c r="O2389" s="66" t="inlineStr">
        <is>
          <t>Auction - Lowest Cost</t>
        </is>
      </c>
      <c r="P2389" s="66" t="inlineStr">
        <is>
          <t>Conversions (CPA)</t>
        </is>
      </c>
      <c r="Q2389" s="66" t="inlineStr">
        <is>
          <t>https://www.lepas-sa.co.za/book-a-test-drive</t>
        </is>
      </c>
      <c r="R2389" s="121" t="n">
        <v>74.92</v>
      </c>
      <c r="S2389" s="122" t="n">
        <v>1654</v>
      </c>
      <c r="T2389" s="122" t="n">
        <v>630</v>
      </c>
      <c r="U2389" s="123">
        <f>IFERROR(S2389/T2389,"")</f>
        <v/>
      </c>
      <c r="V2389" s="122" t="n">
        <v>4</v>
      </c>
      <c r="W2389" s="122" t="n">
        <v>3</v>
      </c>
      <c r="X2389" s="124">
        <f>IFERROR(W2389/S2389,"")</f>
        <v/>
      </c>
      <c r="Y2389" s="121">
        <f>IFERROR(R2389/W2389,"")</f>
        <v/>
      </c>
      <c r="Z2389" s="121">
        <f>IFERROR(R2389/S2389*1000,"")</f>
        <v/>
      </c>
      <c r="AA2389" s="122" t="n">
        <v>2</v>
      </c>
      <c r="AB2389" s="54">
        <f>IFERROR(AA2389/W2389,"")</f>
        <v/>
      </c>
      <c r="AC2389" s="122" t="n">
        <v>0</v>
      </c>
      <c r="AD2389" s="122" t="n">
        <v>0</v>
      </c>
      <c r="AE2389" s="122" t="n">
        <v>0</v>
      </c>
      <c r="AF2389" s="122" t="n">
        <v>0</v>
      </c>
      <c r="AG2389" s="122" t="n">
        <v>0</v>
      </c>
      <c r="AH2389" s="122" t="n">
        <v>0</v>
      </c>
      <c r="AI2389" s="54">
        <f>IFERROR(AC2389/S2389,"")</f>
        <v/>
      </c>
      <c r="AJ2389" s="54">
        <f>IFERROR(AH2389/S2389,"")</f>
        <v/>
      </c>
      <c r="AK2389" s="122" t="n">
        <v>5</v>
      </c>
      <c r="AL2389" s="122" t="n">
        <v>0</v>
      </c>
      <c r="AM2389" s="124">
        <f>IFERROR(AL2389/AA2389,"")</f>
        <v/>
      </c>
      <c r="AN2389" s="125">
        <f>IFERROR(R2389/AL2389,"")</f>
        <v/>
      </c>
      <c r="AO2389" s="122" t="n">
        <v>0</v>
      </c>
      <c r="AP2389" s="54">
        <f>IFERROR(AO2389/AL2389,"")</f>
        <v/>
      </c>
      <c r="AQ2389" s="125">
        <f>IFERROR(R2389/AO2389,"")</f>
        <v/>
      </c>
      <c r="AR2389" s="122" t="n">
        <v>0</v>
      </c>
      <c r="AS2389" s="122" t="n">
        <v>0</v>
      </c>
      <c r="AT2389" s="122">
        <f>AL2389+AR2389</f>
        <v/>
      </c>
      <c r="AU2389" s="125">
        <f>IFERROR(AO2389*Assumptions!$C$26*Assumptions!$C$27*INDEX(Assumptions!$C$18:$C$21,MATCH(H2389,Assumptions!$B$18:$B$21,0)),0)</f>
        <v/>
      </c>
    </row>
    <row r="2390">
      <c r="A2390" s="120" t="n">
        <v>46251</v>
      </c>
      <c r="B2390" s="66" t="inlineStr">
        <is>
          <t>Wk 34</t>
        </is>
      </c>
      <c r="C2390" s="66" t="inlineStr">
        <is>
          <t>Mon</t>
        </is>
      </c>
      <c r="D2390" s="66" t="inlineStr">
        <is>
          <t>Programmatic</t>
        </is>
      </c>
      <c r="E2390" s="66" t="inlineStr">
        <is>
          <t>DV360</t>
        </is>
      </c>
      <c r="F2390" s="66" t="inlineStr">
        <is>
          <t>LEP_ZA_AUG26_PROG_RMKT_DYNAMIC</t>
        </is>
      </c>
      <c r="G2390" s="66" t="inlineStr">
        <is>
          <t>Dynamic Retargeting</t>
        </is>
      </c>
      <c r="H2390" s="66" t="inlineStr">
        <is>
          <t>Range</t>
        </is>
      </c>
      <c r="I2390" s="66" t="inlineStr">
        <is>
          <t>Range Offer</t>
        </is>
      </c>
      <c r="J2390" s="66" t="inlineStr">
        <is>
          <t>PROG_DYN_RMKT_30D</t>
        </is>
      </c>
      <c r="K2390" s="66" t="inlineStr">
        <is>
          <t>Retargeting</t>
        </is>
      </c>
      <c r="L2390" s="66" t="inlineStr">
        <is>
          <t>PROG_DYN_300x250_ModelSeen_v1</t>
        </is>
      </c>
      <c r="M2390" s="66" t="inlineStr">
        <is>
          <t>Dynamic Display 300x250</t>
        </is>
      </c>
      <c r="N2390" s="66" t="inlineStr">
        <is>
          <t>Still thinking about it?</t>
        </is>
      </c>
      <c r="O2390" s="66" t="inlineStr">
        <is>
          <t>Auction - Lowest Cost</t>
        </is>
      </c>
      <c r="P2390" s="66" t="inlineStr">
        <is>
          <t>Conversions (CPA)</t>
        </is>
      </c>
      <c r="Q2390" s="66" t="inlineStr">
        <is>
          <t>https://www.lepas-sa.co.za/book-a-test-drive</t>
        </is>
      </c>
      <c r="R2390" s="121" t="n">
        <v>77.53</v>
      </c>
      <c r="S2390" s="122" t="n">
        <v>2630</v>
      </c>
      <c r="T2390" s="122" t="n">
        <v>1403</v>
      </c>
      <c r="U2390" s="123">
        <f>IFERROR(S2390/T2390,"")</f>
        <v/>
      </c>
      <c r="V2390" s="122" t="n">
        <v>9</v>
      </c>
      <c r="W2390" s="122" t="n">
        <v>8</v>
      </c>
      <c r="X2390" s="124">
        <f>IFERROR(W2390/S2390,"")</f>
        <v/>
      </c>
      <c r="Y2390" s="121">
        <f>IFERROR(R2390/W2390,"")</f>
        <v/>
      </c>
      <c r="Z2390" s="121">
        <f>IFERROR(R2390/S2390*1000,"")</f>
        <v/>
      </c>
      <c r="AA2390" s="122" t="n">
        <v>6</v>
      </c>
      <c r="AB2390" s="54">
        <f>IFERROR(AA2390/W2390,"")</f>
        <v/>
      </c>
      <c r="AC2390" s="122" t="n">
        <v>0</v>
      </c>
      <c r="AD2390" s="122" t="n">
        <v>0</v>
      </c>
      <c r="AE2390" s="122" t="n">
        <v>0</v>
      </c>
      <c r="AF2390" s="122" t="n">
        <v>0</v>
      </c>
      <c r="AG2390" s="122" t="n">
        <v>0</v>
      </c>
      <c r="AH2390" s="122" t="n">
        <v>0</v>
      </c>
      <c r="AI2390" s="54">
        <f>IFERROR(AC2390/S2390,"")</f>
        <v/>
      </c>
      <c r="AJ2390" s="54">
        <f>IFERROR(AH2390/S2390,"")</f>
        <v/>
      </c>
      <c r="AK2390" s="122" t="n">
        <v>9</v>
      </c>
      <c r="AL2390" s="122" t="n">
        <v>0</v>
      </c>
      <c r="AM2390" s="124">
        <f>IFERROR(AL2390/AA2390,"")</f>
        <v/>
      </c>
      <c r="AN2390" s="125">
        <f>IFERROR(R2390/AL2390,"")</f>
        <v/>
      </c>
      <c r="AO2390" s="122" t="n">
        <v>0</v>
      </c>
      <c r="AP2390" s="54">
        <f>IFERROR(AO2390/AL2390,"")</f>
        <v/>
      </c>
      <c r="AQ2390" s="125">
        <f>IFERROR(R2390/AO2390,"")</f>
        <v/>
      </c>
      <c r="AR2390" s="122" t="n">
        <v>0</v>
      </c>
      <c r="AS2390" s="122" t="n">
        <v>0</v>
      </c>
      <c r="AT2390" s="122">
        <f>AL2390+AR2390</f>
        <v/>
      </c>
      <c r="AU2390" s="125">
        <f>IFERROR(AO2390*Assumptions!$C$26*Assumptions!$C$27*INDEX(Assumptions!$C$18:$C$21,MATCH(H2390,Assumptions!$B$18:$B$21,0)),0)</f>
        <v/>
      </c>
    </row>
    <row r="2391">
      <c r="A2391" s="120" t="n">
        <v>46252</v>
      </c>
      <c r="B2391" s="66" t="inlineStr">
        <is>
          <t>Wk 34</t>
        </is>
      </c>
      <c r="C2391" s="66" t="inlineStr">
        <is>
          <t>Tue</t>
        </is>
      </c>
      <c r="D2391" s="66" t="inlineStr">
        <is>
          <t>Programmatic</t>
        </is>
      </c>
      <c r="E2391" s="66" t="inlineStr">
        <is>
          <t>DV360</t>
        </is>
      </c>
      <c r="F2391" s="66" t="inlineStr">
        <is>
          <t>LEP_ZA_AUG26_PROG_RMKT_DYNAMIC</t>
        </is>
      </c>
      <c r="G2391" s="66" t="inlineStr">
        <is>
          <t>Dynamic Retargeting</t>
        </is>
      </c>
      <c r="H2391" s="66" t="inlineStr">
        <is>
          <t>Range</t>
        </is>
      </c>
      <c r="I2391" s="66" t="inlineStr">
        <is>
          <t>Range Offer</t>
        </is>
      </c>
      <c r="J2391" s="66" t="inlineStr">
        <is>
          <t>PROG_DYN_RMKT_30D</t>
        </is>
      </c>
      <c r="K2391" s="66" t="inlineStr">
        <is>
          <t>Retargeting</t>
        </is>
      </c>
      <c r="L2391" s="66" t="inlineStr">
        <is>
          <t>PROG_DYN_300x250_ModelSeen_v1</t>
        </is>
      </c>
      <c r="M2391" s="66" t="inlineStr">
        <is>
          <t>Dynamic Display 300x250</t>
        </is>
      </c>
      <c r="N2391" s="66" t="inlineStr">
        <is>
          <t>Still thinking about it?</t>
        </is>
      </c>
      <c r="O2391" s="66" t="inlineStr">
        <is>
          <t>Auction - Lowest Cost</t>
        </is>
      </c>
      <c r="P2391" s="66" t="inlineStr">
        <is>
          <t>Conversions (CPA)</t>
        </is>
      </c>
      <c r="Q2391" s="66" t="inlineStr">
        <is>
          <t>https://www.lepas-sa.co.za/book-a-test-drive</t>
        </is>
      </c>
      <c r="R2391" s="121" t="n">
        <v>93.17</v>
      </c>
      <c r="S2391" s="122" t="n">
        <v>3688</v>
      </c>
      <c r="T2391" s="122" t="n">
        <v>2124</v>
      </c>
      <c r="U2391" s="123">
        <f>IFERROR(S2391/T2391,"")</f>
        <v/>
      </c>
      <c r="V2391" s="122" t="n">
        <v>15</v>
      </c>
      <c r="W2391" s="122" t="n">
        <v>10</v>
      </c>
      <c r="X2391" s="124">
        <f>IFERROR(W2391/S2391,"")</f>
        <v/>
      </c>
      <c r="Y2391" s="121">
        <f>IFERROR(R2391/W2391,"")</f>
        <v/>
      </c>
      <c r="Z2391" s="121">
        <f>IFERROR(R2391/S2391*1000,"")</f>
        <v/>
      </c>
      <c r="AA2391" s="122" t="n">
        <v>6</v>
      </c>
      <c r="AB2391" s="54">
        <f>IFERROR(AA2391/W2391,"")</f>
        <v/>
      </c>
      <c r="AC2391" s="122" t="n">
        <v>0</v>
      </c>
      <c r="AD2391" s="122" t="n">
        <v>0</v>
      </c>
      <c r="AE2391" s="122" t="n">
        <v>0</v>
      </c>
      <c r="AF2391" s="122" t="n">
        <v>0</v>
      </c>
      <c r="AG2391" s="122" t="n">
        <v>0</v>
      </c>
      <c r="AH2391" s="122" t="n">
        <v>0</v>
      </c>
      <c r="AI2391" s="54">
        <f>IFERROR(AC2391/S2391,"")</f>
        <v/>
      </c>
      <c r="AJ2391" s="54">
        <f>IFERROR(AH2391/S2391,"")</f>
        <v/>
      </c>
      <c r="AK2391" s="122" t="n">
        <v>7</v>
      </c>
      <c r="AL2391" s="122" t="n">
        <v>0</v>
      </c>
      <c r="AM2391" s="124">
        <f>IFERROR(AL2391/AA2391,"")</f>
        <v/>
      </c>
      <c r="AN2391" s="125">
        <f>IFERROR(R2391/AL2391,"")</f>
        <v/>
      </c>
      <c r="AO2391" s="122" t="n">
        <v>0</v>
      </c>
      <c r="AP2391" s="54">
        <f>IFERROR(AO2391/AL2391,"")</f>
        <v/>
      </c>
      <c r="AQ2391" s="125">
        <f>IFERROR(R2391/AO2391,"")</f>
        <v/>
      </c>
      <c r="AR2391" s="122" t="n">
        <v>0</v>
      </c>
      <c r="AS2391" s="122" t="n">
        <v>0</v>
      </c>
      <c r="AT2391" s="122">
        <f>AL2391+AR2391</f>
        <v/>
      </c>
      <c r="AU2391" s="125">
        <f>IFERROR(AO2391*Assumptions!$C$26*Assumptions!$C$27*INDEX(Assumptions!$C$18:$C$21,MATCH(H2391,Assumptions!$B$18:$B$21,0)),0)</f>
        <v/>
      </c>
    </row>
    <row r="2392">
      <c r="A2392" s="120" t="n">
        <v>46253</v>
      </c>
      <c r="B2392" s="66" t="inlineStr">
        <is>
          <t>Wk 34</t>
        </is>
      </c>
      <c r="C2392" s="66" t="inlineStr">
        <is>
          <t>Wed</t>
        </is>
      </c>
      <c r="D2392" s="66" t="inlineStr">
        <is>
          <t>Programmatic</t>
        </is>
      </c>
      <c r="E2392" s="66" t="inlineStr">
        <is>
          <t>DV360</t>
        </is>
      </c>
      <c r="F2392" s="66" t="inlineStr">
        <is>
          <t>LEP_ZA_AUG26_PROG_RMKT_DYNAMIC</t>
        </is>
      </c>
      <c r="G2392" s="66" t="inlineStr">
        <is>
          <t>Dynamic Retargeting</t>
        </is>
      </c>
      <c r="H2392" s="66" t="inlineStr">
        <is>
          <t>Range</t>
        </is>
      </c>
      <c r="I2392" s="66" t="inlineStr">
        <is>
          <t>Range Offer</t>
        </is>
      </c>
      <c r="J2392" s="66" t="inlineStr">
        <is>
          <t>PROG_DYN_RMKT_30D</t>
        </is>
      </c>
      <c r="K2392" s="66" t="inlineStr">
        <is>
          <t>Retargeting</t>
        </is>
      </c>
      <c r="L2392" s="66" t="inlineStr">
        <is>
          <t>PROG_DYN_300x250_ModelSeen_v1</t>
        </is>
      </c>
      <c r="M2392" s="66" t="inlineStr">
        <is>
          <t>Dynamic Display 300x250</t>
        </is>
      </c>
      <c r="N2392" s="66" t="inlineStr">
        <is>
          <t>Still thinking about it?</t>
        </is>
      </c>
      <c r="O2392" s="66" t="inlineStr">
        <is>
          <t>Auction - Lowest Cost</t>
        </is>
      </c>
      <c r="P2392" s="66" t="inlineStr">
        <is>
          <t>Conversions (CPA)</t>
        </is>
      </c>
      <c r="Q2392" s="66" t="inlineStr">
        <is>
          <t>https://www.lepas-sa.co.za/book-a-test-drive</t>
        </is>
      </c>
      <c r="R2392" s="121" t="n">
        <v>109.69</v>
      </c>
      <c r="S2392" s="122" t="n">
        <v>3126</v>
      </c>
      <c r="T2392" s="122" t="n">
        <v>1159</v>
      </c>
      <c r="U2392" s="123">
        <f>IFERROR(S2392/T2392,"")</f>
        <v/>
      </c>
      <c r="V2392" s="122" t="n">
        <v>15</v>
      </c>
      <c r="W2392" s="122" t="n">
        <v>12</v>
      </c>
      <c r="X2392" s="124">
        <f>IFERROR(W2392/S2392,"")</f>
        <v/>
      </c>
      <c r="Y2392" s="121">
        <f>IFERROR(R2392/W2392,"")</f>
        <v/>
      </c>
      <c r="Z2392" s="121">
        <f>IFERROR(R2392/S2392*1000,"")</f>
        <v/>
      </c>
      <c r="AA2392" s="122" t="n">
        <v>7</v>
      </c>
      <c r="AB2392" s="54">
        <f>IFERROR(AA2392/W2392,"")</f>
        <v/>
      </c>
      <c r="AC2392" s="122" t="n">
        <v>0</v>
      </c>
      <c r="AD2392" s="122" t="n">
        <v>0</v>
      </c>
      <c r="AE2392" s="122" t="n">
        <v>0</v>
      </c>
      <c r="AF2392" s="122" t="n">
        <v>0</v>
      </c>
      <c r="AG2392" s="122" t="n">
        <v>0</v>
      </c>
      <c r="AH2392" s="122" t="n">
        <v>0</v>
      </c>
      <c r="AI2392" s="54">
        <f>IFERROR(AC2392/S2392,"")</f>
        <v/>
      </c>
      <c r="AJ2392" s="54">
        <f>IFERROR(AH2392/S2392,"")</f>
        <v/>
      </c>
      <c r="AK2392" s="122" t="n">
        <v>4</v>
      </c>
      <c r="AL2392" s="122" t="n">
        <v>0</v>
      </c>
      <c r="AM2392" s="124">
        <f>IFERROR(AL2392/AA2392,"")</f>
        <v/>
      </c>
      <c r="AN2392" s="125">
        <f>IFERROR(R2392/AL2392,"")</f>
        <v/>
      </c>
      <c r="AO2392" s="122" t="n">
        <v>0</v>
      </c>
      <c r="AP2392" s="54">
        <f>IFERROR(AO2392/AL2392,"")</f>
        <v/>
      </c>
      <c r="AQ2392" s="125">
        <f>IFERROR(R2392/AO2392,"")</f>
        <v/>
      </c>
      <c r="AR2392" s="122" t="n">
        <v>0</v>
      </c>
      <c r="AS2392" s="122" t="n">
        <v>0</v>
      </c>
      <c r="AT2392" s="122">
        <f>AL2392+AR2392</f>
        <v/>
      </c>
      <c r="AU2392" s="125">
        <f>IFERROR(AO2392*Assumptions!$C$26*Assumptions!$C$27*INDEX(Assumptions!$C$18:$C$21,MATCH(H2392,Assumptions!$B$18:$B$21,0)),0)</f>
        <v/>
      </c>
    </row>
    <row r="2393">
      <c r="A2393" s="120" t="n">
        <v>46254</v>
      </c>
      <c r="B2393" s="66" t="inlineStr">
        <is>
          <t>Wk 34</t>
        </is>
      </c>
      <c r="C2393" s="66" t="inlineStr">
        <is>
          <t>Thu</t>
        </is>
      </c>
      <c r="D2393" s="66" t="inlineStr">
        <is>
          <t>Programmatic</t>
        </is>
      </c>
      <c r="E2393" s="66" t="inlineStr">
        <is>
          <t>DV360</t>
        </is>
      </c>
      <c r="F2393" s="66" t="inlineStr">
        <is>
          <t>LEP_ZA_AUG26_PROG_RMKT_DYNAMIC</t>
        </is>
      </c>
      <c r="G2393" s="66" t="inlineStr">
        <is>
          <t>Dynamic Retargeting</t>
        </is>
      </c>
      <c r="H2393" s="66" t="inlineStr">
        <is>
          <t>Range</t>
        </is>
      </c>
      <c r="I2393" s="66" t="inlineStr">
        <is>
          <t>Range Offer</t>
        </is>
      </c>
      <c r="J2393" s="66" t="inlineStr">
        <is>
          <t>PROG_DYN_RMKT_30D</t>
        </is>
      </c>
      <c r="K2393" s="66" t="inlineStr">
        <is>
          <t>Retargeting</t>
        </is>
      </c>
      <c r="L2393" s="66" t="inlineStr">
        <is>
          <t>PROG_DYN_300x250_ModelSeen_v1</t>
        </is>
      </c>
      <c r="M2393" s="66" t="inlineStr">
        <is>
          <t>Dynamic Display 300x250</t>
        </is>
      </c>
      <c r="N2393" s="66" t="inlineStr">
        <is>
          <t>Still thinking about it?</t>
        </is>
      </c>
      <c r="O2393" s="66" t="inlineStr">
        <is>
          <t>Auction - Lowest Cost</t>
        </is>
      </c>
      <c r="P2393" s="66" t="inlineStr">
        <is>
          <t>Conversions (CPA)</t>
        </is>
      </c>
      <c r="Q2393" s="66" t="inlineStr">
        <is>
          <t>https://www.lepas-sa.co.za/book-a-test-drive</t>
        </is>
      </c>
      <c r="R2393" s="121" t="n">
        <v>111.3</v>
      </c>
      <c r="S2393" s="122" t="n">
        <v>4331</v>
      </c>
      <c r="T2393" s="122" t="n">
        <v>2252</v>
      </c>
      <c r="U2393" s="123">
        <f>IFERROR(S2393/T2393,"")</f>
        <v/>
      </c>
      <c r="V2393" s="122" t="n">
        <v>27</v>
      </c>
      <c r="W2393" s="122" t="n">
        <v>22</v>
      </c>
      <c r="X2393" s="124">
        <f>IFERROR(W2393/S2393,"")</f>
        <v/>
      </c>
      <c r="Y2393" s="121">
        <f>IFERROR(R2393/W2393,"")</f>
        <v/>
      </c>
      <c r="Z2393" s="121">
        <f>IFERROR(R2393/S2393*1000,"")</f>
        <v/>
      </c>
      <c r="AA2393" s="122" t="n">
        <v>15</v>
      </c>
      <c r="AB2393" s="54">
        <f>IFERROR(AA2393/W2393,"")</f>
        <v/>
      </c>
      <c r="AC2393" s="122" t="n">
        <v>0</v>
      </c>
      <c r="AD2393" s="122" t="n">
        <v>0</v>
      </c>
      <c r="AE2393" s="122" t="n">
        <v>0</v>
      </c>
      <c r="AF2393" s="122" t="n">
        <v>0</v>
      </c>
      <c r="AG2393" s="122" t="n">
        <v>0</v>
      </c>
      <c r="AH2393" s="122" t="n">
        <v>0</v>
      </c>
      <c r="AI2393" s="54">
        <f>IFERROR(AC2393/S2393,"")</f>
        <v/>
      </c>
      <c r="AJ2393" s="54">
        <f>IFERROR(AH2393/S2393,"")</f>
        <v/>
      </c>
      <c r="AK2393" s="122" t="n">
        <v>8</v>
      </c>
      <c r="AL2393" s="122" t="n">
        <v>1</v>
      </c>
      <c r="AM2393" s="124">
        <f>IFERROR(AL2393/AA2393,"")</f>
        <v/>
      </c>
      <c r="AN2393" s="125">
        <f>IFERROR(R2393/AL2393,"")</f>
        <v/>
      </c>
      <c r="AO2393" s="122" t="n">
        <v>0</v>
      </c>
      <c r="AP2393" s="54">
        <f>IFERROR(AO2393/AL2393,"")</f>
        <v/>
      </c>
      <c r="AQ2393" s="125">
        <f>IFERROR(R2393/AO2393,"")</f>
        <v/>
      </c>
      <c r="AR2393" s="122" t="n">
        <v>3</v>
      </c>
      <c r="AS2393" s="122" t="n">
        <v>1</v>
      </c>
      <c r="AT2393" s="122">
        <f>AL2393+AR2393</f>
        <v/>
      </c>
      <c r="AU2393" s="125">
        <f>IFERROR(AO2393*Assumptions!$C$26*Assumptions!$C$27*INDEX(Assumptions!$C$18:$C$21,MATCH(H2393,Assumptions!$B$18:$B$21,0)),0)</f>
        <v/>
      </c>
    </row>
    <row r="2394">
      <c r="A2394" s="120" t="n">
        <v>46255</v>
      </c>
      <c r="B2394" s="66" t="inlineStr">
        <is>
          <t>Wk 34</t>
        </is>
      </c>
      <c r="C2394" s="66" t="inlineStr">
        <is>
          <t>Fri</t>
        </is>
      </c>
      <c r="D2394" s="66" t="inlineStr">
        <is>
          <t>Programmatic</t>
        </is>
      </c>
      <c r="E2394" s="66" t="inlineStr">
        <is>
          <t>DV360</t>
        </is>
      </c>
      <c r="F2394" s="66" t="inlineStr">
        <is>
          <t>LEP_ZA_AUG26_PROG_RMKT_DYNAMIC</t>
        </is>
      </c>
      <c r="G2394" s="66" t="inlineStr">
        <is>
          <t>Dynamic Retargeting</t>
        </is>
      </c>
      <c r="H2394" s="66" t="inlineStr">
        <is>
          <t>Range</t>
        </is>
      </c>
      <c r="I2394" s="66" t="inlineStr">
        <is>
          <t>Range Offer</t>
        </is>
      </c>
      <c r="J2394" s="66" t="inlineStr">
        <is>
          <t>PROG_DYN_RMKT_30D</t>
        </is>
      </c>
      <c r="K2394" s="66" t="inlineStr">
        <is>
          <t>Retargeting</t>
        </is>
      </c>
      <c r="L2394" s="66" t="inlineStr">
        <is>
          <t>PROG_DYN_300x250_ModelSeen_v1</t>
        </is>
      </c>
      <c r="M2394" s="66" t="inlineStr">
        <is>
          <t>Dynamic Display 300x250</t>
        </is>
      </c>
      <c r="N2394" s="66" t="inlineStr">
        <is>
          <t>Still thinking about it?</t>
        </is>
      </c>
      <c r="O2394" s="66" t="inlineStr">
        <is>
          <t>Auction - Lowest Cost</t>
        </is>
      </c>
      <c r="P2394" s="66" t="inlineStr">
        <is>
          <t>Conversions (CPA)</t>
        </is>
      </c>
      <c r="Q2394" s="66" t="inlineStr">
        <is>
          <t>https://www.lepas-sa.co.za/book-a-test-drive</t>
        </is>
      </c>
      <c r="R2394" s="121" t="n">
        <v>126.43</v>
      </c>
      <c r="S2394" s="122" t="n">
        <v>3036</v>
      </c>
      <c r="T2394" s="122" t="n">
        <v>1739</v>
      </c>
      <c r="U2394" s="123">
        <f>IFERROR(S2394/T2394,"")</f>
        <v/>
      </c>
      <c r="V2394" s="122" t="n">
        <v>13</v>
      </c>
      <c r="W2394" s="122" t="n">
        <v>9</v>
      </c>
      <c r="X2394" s="124">
        <f>IFERROR(W2394/S2394,"")</f>
        <v/>
      </c>
      <c r="Y2394" s="121">
        <f>IFERROR(R2394/W2394,"")</f>
        <v/>
      </c>
      <c r="Z2394" s="121">
        <f>IFERROR(R2394/S2394*1000,"")</f>
        <v/>
      </c>
      <c r="AA2394" s="122" t="n">
        <v>6</v>
      </c>
      <c r="AB2394" s="54">
        <f>IFERROR(AA2394/W2394,"")</f>
        <v/>
      </c>
      <c r="AC2394" s="122" t="n">
        <v>0</v>
      </c>
      <c r="AD2394" s="122" t="n">
        <v>0</v>
      </c>
      <c r="AE2394" s="122" t="n">
        <v>0</v>
      </c>
      <c r="AF2394" s="122" t="n">
        <v>0</v>
      </c>
      <c r="AG2394" s="122" t="n">
        <v>0</v>
      </c>
      <c r="AH2394" s="122" t="n">
        <v>0</v>
      </c>
      <c r="AI2394" s="54">
        <f>IFERROR(AC2394/S2394,"")</f>
        <v/>
      </c>
      <c r="AJ2394" s="54">
        <f>IFERROR(AH2394/S2394,"")</f>
        <v/>
      </c>
      <c r="AK2394" s="122" t="n">
        <v>12</v>
      </c>
      <c r="AL2394" s="122" t="n">
        <v>1</v>
      </c>
      <c r="AM2394" s="124">
        <f>IFERROR(AL2394/AA2394,"")</f>
        <v/>
      </c>
      <c r="AN2394" s="125">
        <f>IFERROR(R2394/AL2394,"")</f>
        <v/>
      </c>
      <c r="AO2394" s="122" t="n">
        <v>1</v>
      </c>
      <c r="AP2394" s="54">
        <f>IFERROR(AO2394/AL2394,"")</f>
        <v/>
      </c>
      <c r="AQ2394" s="125">
        <f>IFERROR(R2394/AO2394,"")</f>
        <v/>
      </c>
      <c r="AR2394" s="122" t="n">
        <v>3</v>
      </c>
      <c r="AS2394" s="122" t="n">
        <v>1</v>
      </c>
      <c r="AT2394" s="122">
        <f>AL2394+AR2394</f>
        <v/>
      </c>
      <c r="AU2394" s="125">
        <f>IFERROR(AO2394*Assumptions!$C$26*Assumptions!$C$27*INDEX(Assumptions!$C$18:$C$21,MATCH(H2394,Assumptions!$B$18:$B$21,0)),0)</f>
        <v/>
      </c>
    </row>
    <row r="2395">
      <c r="A2395" s="120" t="n">
        <v>46256</v>
      </c>
      <c r="B2395" s="66" t="inlineStr">
        <is>
          <t>Wk 34</t>
        </is>
      </c>
      <c r="C2395" s="66" t="inlineStr">
        <is>
          <t>Sat</t>
        </is>
      </c>
      <c r="D2395" s="66" t="inlineStr">
        <is>
          <t>Programmatic</t>
        </is>
      </c>
      <c r="E2395" s="66" t="inlineStr">
        <is>
          <t>DV360</t>
        </is>
      </c>
      <c r="F2395" s="66" t="inlineStr">
        <is>
          <t>LEP_ZA_AUG26_PROG_RMKT_DYNAMIC</t>
        </is>
      </c>
      <c r="G2395" s="66" t="inlineStr">
        <is>
          <t>Dynamic Retargeting</t>
        </is>
      </c>
      <c r="H2395" s="66" t="inlineStr">
        <is>
          <t>Range</t>
        </is>
      </c>
      <c r="I2395" s="66" t="inlineStr">
        <is>
          <t>Range Offer</t>
        </is>
      </c>
      <c r="J2395" s="66" t="inlineStr">
        <is>
          <t>PROG_DYN_RMKT_30D</t>
        </is>
      </c>
      <c r="K2395" s="66" t="inlineStr">
        <is>
          <t>Retargeting</t>
        </is>
      </c>
      <c r="L2395" s="66" t="inlineStr">
        <is>
          <t>PROG_DYN_300x250_ModelSeen_v1</t>
        </is>
      </c>
      <c r="M2395" s="66" t="inlineStr">
        <is>
          <t>Dynamic Display 300x250</t>
        </is>
      </c>
      <c r="N2395" s="66" t="inlineStr">
        <is>
          <t>Still thinking about it?</t>
        </is>
      </c>
      <c r="O2395" s="66" t="inlineStr">
        <is>
          <t>Auction - Lowest Cost</t>
        </is>
      </c>
      <c r="P2395" s="66" t="inlineStr">
        <is>
          <t>Conversions (CPA)</t>
        </is>
      </c>
      <c r="Q2395" s="66" t="inlineStr">
        <is>
          <t>https://www.lepas-sa.co.za/book-a-test-drive</t>
        </is>
      </c>
      <c r="R2395" s="121" t="n">
        <v>99.95999999999999</v>
      </c>
      <c r="S2395" s="122" t="n">
        <v>2855</v>
      </c>
      <c r="T2395" s="122" t="n">
        <v>1722</v>
      </c>
      <c r="U2395" s="123">
        <f>IFERROR(S2395/T2395,"")</f>
        <v/>
      </c>
      <c r="V2395" s="122" t="n">
        <v>13</v>
      </c>
      <c r="W2395" s="122" t="n">
        <v>10</v>
      </c>
      <c r="X2395" s="124">
        <f>IFERROR(W2395/S2395,"")</f>
        <v/>
      </c>
      <c r="Y2395" s="121">
        <f>IFERROR(R2395/W2395,"")</f>
        <v/>
      </c>
      <c r="Z2395" s="121">
        <f>IFERROR(R2395/S2395*1000,"")</f>
        <v/>
      </c>
      <c r="AA2395" s="122" t="n">
        <v>7</v>
      </c>
      <c r="AB2395" s="54">
        <f>IFERROR(AA2395/W2395,"")</f>
        <v/>
      </c>
      <c r="AC2395" s="122" t="n">
        <v>0</v>
      </c>
      <c r="AD2395" s="122" t="n">
        <v>0</v>
      </c>
      <c r="AE2395" s="122" t="n">
        <v>0</v>
      </c>
      <c r="AF2395" s="122" t="n">
        <v>0</v>
      </c>
      <c r="AG2395" s="122" t="n">
        <v>0</v>
      </c>
      <c r="AH2395" s="122" t="n">
        <v>0</v>
      </c>
      <c r="AI2395" s="54">
        <f>IFERROR(AC2395/S2395,"")</f>
        <v/>
      </c>
      <c r="AJ2395" s="54">
        <f>IFERROR(AH2395/S2395,"")</f>
        <v/>
      </c>
      <c r="AK2395" s="122" t="n">
        <v>6</v>
      </c>
      <c r="AL2395" s="122" t="n">
        <v>0</v>
      </c>
      <c r="AM2395" s="124">
        <f>IFERROR(AL2395/AA2395,"")</f>
        <v/>
      </c>
      <c r="AN2395" s="125">
        <f>IFERROR(R2395/AL2395,"")</f>
        <v/>
      </c>
      <c r="AO2395" s="122" t="n">
        <v>0</v>
      </c>
      <c r="AP2395" s="54">
        <f>IFERROR(AO2395/AL2395,"")</f>
        <v/>
      </c>
      <c r="AQ2395" s="125">
        <f>IFERROR(R2395/AO2395,"")</f>
        <v/>
      </c>
      <c r="AR2395" s="122" t="n">
        <v>0</v>
      </c>
      <c r="AS2395" s="122" t="n">
        <v>0</v>
      </c>
      <c r="AT2395" s="122">
        <f>AL2395+AR2395</f>
        <v/>
      </c>
      <c r="AU2395" s="125">
        <f>IFERROR(AO2395*Assumptions!$C$26*Assumptions!$C$27*INDEX(Assumptions!$C$18:$C$21,MATCH(H2395,Assumptions!$B$18:$B$21,0)),0)</f>
        <v/>
      </c>
    </row>
    <row r="2396">
      <c r="A2396" s="120" t="n">
        <v>46257</v>
      </c>
      <c r="B2396" s="66" t="inlineStr">
        <is>
          <t>Wk 34</t>
        </is>
      </c>
      <c r="C2396" s="66" t="inlineStr">
        <is>
          <t>Sun</t>
        </is>
      </c>
      <c r="D2396" s="66" t="inlineStr">
        <is>
          <t>Programmatic</t>
        </is>
      </c>
      <c r="E2396" s="66" t="inlineStr">
        <is>
          <t>DV360</t>
        </is>
      </c>
      <c r="F2396" s="66" t="inlineStr">
        <is>
          <t>LEP_ZA_AUG26_PROG_RMKT_DYNAMIC</t>
        </is>
      </c>
      <c r="G2396" s="66" t="inlineStr">
        <is>
          <t>Dynamic Retargeting</t>
        </is>
      </c>
      <c r="H2396" s="66" t="inlineStr">
        <is>
          <t>Range</t>
        </is>
      </c>
      <c r="I2396" s="66" t="inlineStr">
        <is>
          <t>Range Offer</t>
        </is>
      </c>
      <c r="J2396" s="66" t="inlineStr">
        <is>
          <t>PROG_DYN_RMKT_30D</t>
        </is>
      </c>
      <c r="K2396" s="66" t="inlineStr">
        <is>
          <t>Retargeting</t>
        </is>
      </c>
      <c r="L2396" s="66" t="inlineStr">
        <is>
          <t>PROG_DYN_300x250_ModelSeen_v1</t>
        </is>
      </c>
      <c r="M2396" s="66" t="inlineStr">
        <is>
          <t>Dynamic Display 300x250</t>
        </is>
      </c>
      <c r="N2396" s="66" t="inlineStr">
        <is>
          <t>Still thinking about it?</t>
        </is>
      </c>
      <c r="O2396" s="66" t="inlineStr">
        <is>
          <t>Auction - Lowest Cost</t>
        </is>
      </c>
      <c r="P2396" s="66" t="inlineStr">
        <is>
          <t>Conversions (CPA)</t>
        </is>
      </c>
      <c r="Q2396" s="66" t="inlineStr">
        <is>
          <t>https://www.lepas-sa.co.za/book-a-test-drive</t>
        </is>
      </c>
      <c r="R2396" s="121" t="n">
        <v>91.72</v>
      </c>
      <c r="S2396" s="122" t="n">
        <v>2708</v>
      </c>
      <c r="T2396" s="122" t="n">
        <v>1526</v>
      </c>
      <c r="U2396" s="123">
        <f>IFERROR(S2396/T2396,"")</f>
        <v/>
      </c>
      <c r="V2396" s="122" t="n">
        <v>17</v>
      </c>
      <c r="W2396" s="122" t="n">
        <v>13</v>
      </c>
      <c r="X2396" s="124">
        <f>IFERROR(W2396/S2396,"")</f>
        <v/>
      </c>
      <c r="Y2396" s="121">
        <f>IFERROR(R2396/W2396,"")</f>
        <v/>
      </c>
      <c r="Z2396" s="121">
        <f>IFERROR(R2396/S2396*1000,"")</f>
        <v/>
      </c>
      <c r="AA2396" s="122" t="n">
        <v>9</v>
      </c>
      <c r="AB2396" s="54">
        <f>IFERROR(AA2396/W2396,"")</f>
        <v/>
      </c>
      <c r="AC2396" s="122" t="n">
        <v>0</v>
      </c>
      <c r="AD2396" s="122" t="n">
        <v>0</v>
      </c>
      <c r="AE2396" s="122" t="n">
        <v>0</v>
      </c>
      <c r="AF2396" s="122" t="n">
        <v>0</v>
      </c>
      <c r="AG2396" s="122" t="n">
        <v>0</v>
      </c>
      <c r="AH2396" s="122" t="n">
        <v>0</v>
      </c>
      <c r="AI2396" s="54">
        <f>IFERROR(AC2396/S2396,"")</f>
        <v/>
      </c>
      <c r="AJ2396" s="54">
        <f>IFERROR(AH2396/S2396,"")</f>
        <v/>
      </c>
      <c r="AK2396" s="122" t="n">
        <v>5</v>
      </c>
      <c r="AL2396" s="122" t="n">
        <v>1</v>
      </c>
      <c r="AM2396" s="124">
        <f>IFERROR(AL2396/AA2396,"")</f>
        <v/>
      </c>
      <c r="AN2396" s="125">
        <f>IFERROR(R2396/AL2396,"")</f>
        <v/>
      </c>
      <c r="AO2396" s="122" t="n">
        <v>1</v>
      </c>
      <c r="AP2396" s="54">
        <f>IFERROR(AO2396/AL2396,"")</f>
        <v/>
      </c>
      <c r="AQ2396" s="125">
        <f>IFERROR(R2396/AO2396,"")</f>
        <v/>
      </c>
      <c r="AR2396" s="122" t="n">
        <v>2</v>
      </c>
      <c r="AS2396" s="122" t="n">
        <v>1</v>
      </c>
      <c r="AT2396" s="122">
        <f>AL2396+AR2396</f>
        <v/>
      </c>
      <c r="AU2396" s="125">
        <f>IFERROR(AO2396*Assumptions!$C$26*Assumptions!$C$27*INDEX(Assumptions!$C$18:$C$21,MATCH(H2396,Assumptions!$B$18:$B$21,0)),0)</f>
        <v/>
      </c>
    </row>
    <row r="2397">
      <c r="A2397" s="120" t="n">
        <v>46258</v>
      </c>
      <c r="B2397" s="66" t="inlineStr">
        <is>
          <t>Wk 35</t>
        </is>
      </c>
      <c r="C2397" s="66" t="inlineStr">
        <is>
          <t>Mon</t>
        </is>
      </c>
      <c r="D2397" s="66" t="inlineStr">
        <is>
          <t>Programmatic</t>
        </is>
      </c>
      <c r="E2397" s="66" t="inlineStr">
        <is>
          <t>DV360</t>
        </is>
      </c>
      <c r="F2397" s="66" t="inlineStr">
        <is>
          <t>LEP_ZA_AUG26_PROG_RMKT_DYNAMIC</t>
        </is>
      </c>
      <c r="G2397" s="66" t="inlineStr">
        <is>
          <t>Dynamic Retargeting</t>
        </is>
      </c>
      <c r="H2397" s="66" t="inlineStr">
        <is>
          <t>Range</t>
        </is>
      </c>
      <c r="I2397" s="66" t="inlineStr">
        <is>
          <t>Range Offer</t>
        </is>
      </c>
      <c r="J2397" s="66" t="inlineStr">
        <is>
          <t>PROG_DYN_RMKT_30D</t>
        </is>
      </c>
      <c r="K2397" s="66" t="inlineStr">
        <is>
          <t>Retargeting</t>
        </is>
      </c>
      <c r="L2397" s="66" t="inlineStr">
        <is>
          <t>PROG_DYN_300x250_ModelSeen_v1</t>
        </is>
      </c>
      <c r="M2397" s="66" t="inlineStr">
        <is>
          <t>Dynamic Display 300x250</t>
        </is>
      </c>
      <c r="N2397" s="66" t="inlineStr">
        <is>
          <t>Still thinking about it?</t>
        </is>
      </c>
      <c r="O2397" s="66" t="inlineStr">
        <is>
          <t>Auction - Lowest Cost</t>
        </is>
      </c>
      <c r="P2397" s="66" t="inlineStr">
        <is>
          <t>Conversions (CPA)</t>
        </is>
      </c>
      <c r="Q2397" s="66" t="inlineStr">
        <is>
          <t>https://www.lepas-sa.co.za/book-a-test-drive</t>
        </is>
      </c>
      <c r="R2397" s="121" t="n">
        <v>81.54000000000001</v>
      </c>
      <c r="S2397" s="122" t="n">
        <v>3459</v>
      </c>
      <c r="T2397" s="122" t="n">
        <v>1618</v>
      </c>
      <c r="U2397" s="123">
        <f>IFERROR(S2397/T2397,"")</f>
        <v/>
      </c>
      <c r="V2397" s="122" t="n">
        <v>11</v>
      </c>
      <c r="W2397" s="122" t="n">
        <v>10</v>
      </c>
      <c r="X2397" s="124">
        <f>IFERROR(W2397/S2397,"")</f>
        <v/>
      </c>
      <c r="Y2397" s="121">
        <f>IFERROR(R2397/W2397,"")</f>
        <v/>
      </c>
      <c r="Z2397" s="121">
        <f>IFERROR(R2397/S2397*1000,"")</f>
        <v/>
      </c>
      <c r="AA2397" s="122" t="n">
        <v>6</v>
      </c>
      <c r="AB2397" s="54">
        <f>IFERROR(AA2397/W2397,"")</f>
        <v/>
      </c>
      <c r="AC2397" s="122" t="n">
        <v>0</v>
      </c>
      <c r="AD2397" s="122" t="n">
        <v>0</v>
      </c>
      <c r="AE2397" s="122" t="n">
        <v>0</v>
      </c>
      <c r="AF2397" s="122" t="n">
        <v>0</v>
      </c>
      <c r="AG2397" s="122" t="n">
        <v>0</v>
      </c>
      <c r="AH2397" s="122" t="n">
        <v>0</v>
      </c>
      <c r="AI2397" s="54">
        <f>IFERROR(AC2397/S2397,"")</f>
        <v/>
      </c>
      <c r="AJ2397" s="54">
        <f>IFERROR(AH2397/S2397,"")</f>
        <v/>
      </c>
      <c r="AK2397" s="122" t="n">
        <v>18</v>
      </c>
      <c r="AL2397" s="122" t="n">
        <v>0</v>
      </c>
      <c r="AM2397" s="124">
        <f>IFERROR(AL2397/AA2397,"")</f>
        <v/>
      </c>
      <c r="AN2397" s="125">
        <f>IFERROR(R2397/AL2397,"")</f>
        <v/>
      </c>
      <c r="AO2397" s="122" t="n">
        <v>0</v>
      </c>
      <c r="AP2397" s="54">
        <f>IFERROR(AO2397/AL2397,"")</f>
        <v/>
      </c>
      <c r="AQ2397" s="125">
        <f>IFERROR(R2397/AO2397,"")</f>
        <v/>
      </c>
      <c r="AR2397" s="122" t="n">
        <v>0</v>
      </c>
      <c r="AS2397" s="122" t="n">
        <v>0</v>
      </c>
      <c r="AT2397" s="122">
        <f>AL2397+AR2397</f>
        <v/>
      </c>
      <c r="AU2397" s="125">
        <f>IFERROR(AO2397*Assumptions!$C$26*Assumptions!$C$27*INDEX(Assumptions!$C$18:$C$21,MATCH(H2397,Assumptions!$B$18:$B$21,0)),0)</f>
        <v/>
      </c>
    </row>
    <row r="2398">
      <c r="A2398" s="120" t="n">
        <v>46259</v>
      </c>
      <c r="B2398" s="66" t="inlineStr">
        <is>
          <t>Wk 35</t>
        </is>
      </c>
      <c r="C2398" s="66" t="inlineStr">
        <is>
          <t>Tue</t>
        </is>
      </c>
      <c r="D2398" s="66" t="inlineStr">
        <is>
          <t>Programmatic</t>
        </is>
      </c>
      <c r="E2398" s="66" t="inlineStr">
        <is>
          <t>DV360</t>
        </is>
      </c>
      <c r="F2398" s="66" t="inlineStr">
        <is>
          <t>LEP_ZA_AUG26_PROG_RMKT_DYNAMIC</t>
        </is>
      </c>
      <c r="G2398" s="66" t="inlineStr">
        <is>
          <t>Dynamic Retargeting</t>
        </is>
      </c>
      <c r="H2398" s="66" t="inlineStr">
        <is>
          <t>Range</t>
        </is>
      </c>
      <c r="I2398" s="66" t="inlineStr">
        <is>
          <t>Range Offer</t>
        </is>
      </c>
      <c r="J2398" s="66" t="inlineStr">
        <is>
          <t>PROG_DYN_RMKT_30D</t>
        </is>
      </c>
      <c r="K2398" s="66" t="inlineStr">
        <is>
          <t>Retargeting</t>
        </is>
      </c>
      <c r="L2398" s="66" t="inlineStr">
        <is>
          <t>PROG_DYN_300x250_ModelSeen_v1</t>
        </is>
      </c>
      <c r="M2398" s="66" t="inlineStr">
        <is>
          <t>Dynamic Display 300x250</t>
        </is>
      </c>
      <c r="N2398" s="66" t="inlineStr">
        <is>
          <t>Still thinking about it?</t>
        </is>
      </c>
      <c r="O2398" s="66" t="inlineStr">
        <is>
          <t>Auction - Lowest Cost</t>
        </is>
      </c>
      <c r="P2398" s="66" t="inlineStr">
        <is>
          <t>Conversions (CPA)</t>
        </is>
      </c>
      <c r="Q2398" s="66" t="inlineStr">
        <is>
          <t>https://www.lepas-sa.co.za/book-a-test-drive</t>
        </is>
      </c>
      <c r="R2398" s="121" t="n">
        <v>82.55</v>
      </c>
      <c r="S2398" s="122" t="n">
        <v>3058</v>
      </c>
      <c r="T2398" s="122" t="n">
        <v>1126</v>
      </c>
      <c r="U2398" s="123">
        <f>IFERROR(S2398/T2398,"")</f>
        <v/>
      </c>
      <c r="V2398" s="122" t="n">
        <v>5</v>
      </c>
      <c r="W2398" s="122" t="n">
        <v>4</v>
      </c>
      <c r="X2398" s="124">
        <f>IFERROR(W2398/S2398,"")</f>
        <v/>
      </c>
      <c r="Y2398" s="121">
        <f>IFERROR(R2398/W2398,"")</f>
        <v/>
      </c>
      <c r="Z2398" s="121">
        <f>IFERROR(R2398/S2398*1000,"")</f>
        <v/>
      </c>
      <c r="AA2398" s="122" t="n">
        <v>3</v>
      </c>
      <c r="AB2398" s="54">
        <f>IFERROR(AA2398/W2398,"")</f>
        <v/>
      </c>
      <c r="AC2398" s="122" t="n">
        <v>0</v>
      </c>
      <c r="AD2398" s="122" t="n">
        <v>0</v>
      </c>
      <c r="AE2398" s="122" t="n">
        <v>0</v>
      </c>
      <c r="AF2398" s="122" t="n">
        <v>0</v>
      </c>
      <c r="AG2398" s="122" t="n">
        <v>0</v>
      </c>
      <c r="AH2398" s="122" t="n">
        <v>0</v>
      </c>
      <c r="AI2398" s="54">
        <f>IFERROR(AC2398/S2398,"")</f>
        <v/>
      </c>
      <c r="AJ2398" s="54">
        <f>IFERROR(AH2398/S2398,"")</f>
        <v/>
      </c>
      <c r="AK2398" s="122" t="n">
        <v>9</v>
      </c>
      <c r="AL2398" s="122" t="n">
        <v>0</v>
      </c>
      <c r="AM2398" s="124">
        <f>IFERROR(AL2398/AA2398,"")</f>
        <v/>
      </c>
      <c r="AN2398" s="125">
        <f>IFERROR(R2398/AL2398,"")</f>
        <v/>
      </c>
      <c r="AO2398" s="122" t="n">
        <v>0</v>
      </c>
      <c r="AP2398" s="54">
        <f>IFERROR(AO2398/AL2398,"")</f>
        <v/>
      </c>
      <c r="AQ2398" s="125">
        <f>IFERROR(R2398/AO2398,"")</f>
        <v/>
      </c>
      <c r="AR2398" s="122" t="n">
        <v>0</v>
      </c>
      <c r="AS2398" s="122" t="n">
        <v>0</v>
      </c>
      <c r="AT2398" s="122">
        <f>AL2398+AR2398</f>
        <v/>
      </c>
      <c r="AU2398" s="125">
        <f>IFERROR(AO2398*Assumptions!$C$26*Assumptions!$C$27*INDEX(Assumptions!$C$18:$C$21,MATCH(H2398,Assumptions!$B$18:$B$21,0)),0)</f>
        <v/>
      </c>
    </row>
    <row r="2399">
      <c r="A2399" s="120" t="n">
        <v>46260</v>
      </c>
      <c r="B2399" s="66" t="inlineStr">
        <is>
          <t>Wk 35</t>
        </is>
      </c>
      <c r="C2399" s="66" t="inlineStr">
        <is>
          <t>Wed</t>
        </is>
      </c>
      <c r="D2399" s="66" t="inlineStr">
        <is>
          <t>Programmatic</t>
        </is>
      </c>
      <c r="E2399" s="66" t="inlineStr">
        <is>
          <t>DV360</t>
        </is>
      </c>
      <c r="F2399" s="66" t="inlineStr">
        <is>
          <t>LEP_ZA_AUG26_PROG_RMKT_DYNAMIC</t>
        </is>
      </c>
      <c r="G2399" s="66" t="inlineStr">
        <is>
          <t>Dynamic Retargeting</t>
        </is>
      </c>
      <c r="H2399" s="66" t="inlineStr">
        <is>
          <t>Range</t>
        </is>
      </c>
      <c r="I2399" s="66" t="inlineStr">
        <is>
          <t>Range Offer</t>
        </is>
      </c>
      <c r="J2399" s="66" t="inlineStr">
        <is>
          <t>PROG_DYN_RMKT_30D</t>
        </is>
      </c>
      <c r="K2399" s="66" t="inlineStr">
        <is>
          <t>Retargeting</t>
        </is>
      </c>
      <c r="L2399" s="66" t="inlineStr">
        <is>
          <t>PROG_DYN_300x250_ModelSeen_v1</t>
        </is>
      </c>
      <c r="M2399" s="66" t="inlineStr">
        <is>
          <t>Dynamic Display 300x250</t>
        </is>
      </c>
      <c r="N2399" s="66" t="inlineStr">
        <is>
          <t>Still thinking about it?</t>
        </is>
      </c>
      <c r="O2399" s="66" t="inlineStr">
        <is>
          <t>Auction - Lowest Cost</t>
        </is>
      </c>
      <c r="P2399" s="66" t="inlineStr">
        <is>
          <t>Conversions (CPA)</t>
        </is>
      </c>
      <c r="Q2399" s="66" t="inlineStr">
        <is>
          <t>https://www.lepas-sa.co.za/book-a-test-drive</t>
        </is>
      </c>
      <c r="R2399" s="121" t="n">
        <v>97.31999999999999</v>
      </c>
      <c r="S2399" s="122" t="n">
        <v>2106</v>
      </c>
      <c r="T2399" s="122" t="n">
        <v>742</v>
      </c>
      <c r="U2399" s="123">
        <f>IFERROR(S2399/T2399,"")</f>
        <v/>
      </c>
      <c r="V2399" s="122" t="n">
        <v>8</v>
      </c>
      <c r="W2399" s="122" t="n">
        <v>6</v>
      </c>
      <c r="X2399" s="124">
        <f>IFERROR(W2399/S2399,"")</f>
        <v/>
      </c>
      <c r="Y2399" s="121">
        <f>IFERROR(R2399/W2399,"")</f>
        <v/>
      </c>
      <c r="Z2399" s="121">
        <f>IFERROR(R2399/S2399*1000,"")</f>
        <v/>
      </c>
      <c r="AA2399" s="122" t="n">
        <v>4</v>
      </c>
      <c r="AB2399" s="54">
        <f>IFERROR(AA2399/W2399,"")</f>
        <v/>
      </c>
      <c r="AC2399" s="122" t="n">
        <v>0</v>
      </c>
      <c r="AD2399" s="122" t="n">
        <v>0</v>
      </c>
      <c r="AE2399" s="122" t="n">
        <v>0</v>
      </c>
      <c r="AF2399" s="122" t="n">
        <v>0</v>
      </c>
      <c r="AG2399" s="122" t="n">
        <v>0</v>
      </c>
      <c r="AH2399" s="122" t="n">
        <v>0</v>
      </c>
      <c r="AI2399" s="54">
        <f>IFERROR(AC2399/S2399,"")</f>
        <v/>
      </c>
      <c r="AJ2399" s="54">
        <f>IFERROR(AH2399/S2399,"")</f>
        <v/>
      </c>
      <c r="AK2399" s="122" t="n">
        <v>10</v>
      </c>
      <c r="AL2399" s="122" t="n">
        <v>0</v>
      </c>
      <c r="AM2399" s="124">
        <f>IFERROR(AL2399/AA2399,"")</f>
        <v/>
      </c>
      <c r="AN2399" s="125">
        <f>IFERROR(R2399/AL2399,"")</f>
        <v/>
      </c>
      <c r="AO2399" s="122" t="n">
        <v>0</v>
      </c>
      <c r="AP2399" s="54">
        <f>IFERROR(AO2399/AL2399,"")</f>
        <v/>
      </c>
      <c r="AQ2399" s="125">
        <f>IFERROR(R2399/AO2399,"")</f>
        <v/>
      </c>
      <c r="AR2399" s="122" t="n">
        <v>0</v>
      </c>
      <c r="AS2399" s="122" t="n">
        <v>0</v>
      </c>
      <c r="AT2399" s="122">
        <f>AL2399+AR2399</f>
        <v/>
      </c>
      <c r="AU2399" s="125">
        <f>IFERROR(AO2399*Assumptions!$C$26*Assumptions!$C$27*INDEX(Assumptions!$C$18:$C$21,MATCH(H2399,Assumptions!$B$18:$B$21,0)),0)</f>
        <v/>
      </c>
    </row>
    <row r="2400">
      <c r="A2400" s="120" t="n">
        <v>46261</v>
      </c>
      <c r="B2400" s="66" t="inlineStr">
        <is>
          <t>Wk 35</t>
        </is>
      </c>
      <c r="C2400" s="66" t="inlineStr">
        <is>
          <t>Thu</t>
        </is>
      </c>
      <c r="D2400" s="66" t="inlineStr">
        <is>
          <t>Programmatic</t>
        </is>
      </c>
      <c r="E2400" s="66" t="inlineStr">
        <is>
          <t>DV360</t>
        </is>
      </c>
      <c r="F2400" s="66" t="inlineStr">
        <is>
          <t>LEP_ZA_AUG26_PROG_RMKT_DYNAMIC</t>
        </is>
      </c>
      <c r="G2400" s="66" t="inlineStr">
        <is>
          <t>Dynamic Retargeting</t>
        </is>
      </c>
      <c r="H2400" s="66" t="inlineStr">
        <is>
          <t>Range</t>
        </is>
      </c>
      <c r="I2400" s="66" t="inlineStr">
        <is>
          <t>Range Offer</t>
        </is>
      </c>
      <c r="J2400" s="66" t="inlineStr">
        <is>
          <t>PROG_DYN_RMKT_30D</t>
        </is>
      </c>
      <c r="K2400" s="66" t="inlineStr">
        <is>
          <t>Retargeting</t>
        </is>
      </c>
      <c r="L2400" s="66" t="inlineStr">
        <is>
          <t>PROG_DYN_300x250_ModelSeen_v1</t>
        </is>
      </c>
      <c r="M2400" s="66" t="inlineStr">
        <is>
          <t>Dynamic Display 300x250</t>
        </is>
      </c>
      <c r="N2400" s="66" t="inlineStr">
        <is>
          <t>Still thinking about it?</t>
        </is>
      </c>
      <c r="O2400" s="66" t="inlineStr">
        <is>
          <t>Auction - Lowest Cost</t>
        </is>
      </c>
      <c r="P2400" s="66" t="inlineStr">
        <is>
          <t>Conversions (CPA)</t>
        </is>
      </c>
      <c r="Q2400" s="66" t="inlineStr">
        <is>
          <t>https://www.lepas-sa.co.za/book-a-test-drive</t>
        </is>
      </c>
      <c r="R2400" s="121" t="n">
        <v>119.34</v>
      </c>
      <c r="S2400" s="122" t="n">
        <v>3217</v>
      </c>
      <c r="T2400" s="122" t="n">
        <v>1288</v>
      </c>
      <c r="U2400" s="123">
        <f>IFERROR(S2400/T2400,"")</f>
        <v/>
      </c>
      <c r="V2400" s="122" t="n">
        <v>4</v>
      </c>
      <c r="W2400" s="122" t="n">
        <v>3</v>
      </c>
      <c r="X2400" s="124">
        <f>IFERROR(W2400/S2400,"")</f>
        <v/>
      </c>
      <c r="Y2400" s="121">
        <f>IFERROR(R2400/W2400,"")</f>
        <v/>
      </c>
      <c r="Z2400" s="121">
        <f>IFERROR(R2400/S2400*1000,"")</f>
        <v/>
      </c>
      <c r="AA2400" s="122" t="n">
        <v>2</v>
      </c>
      <c r="AB2400" s="54">
        <f>IFERROR(AA2400/W2400,"")</f>
        <v/>
      </c>
      <c r="AC2400" s="122" t="n">
        <v>0</v>
      </c>
      <c r="AD2400" s="122" t="n">
        <v>0</v>
      </c>
      <c r="AE2400" s="122" t="n">
        <v>0</v>
      </c>
      <c r="AF2400" s="122" t="n">
        <v>0</v>
      </c>
      <c r="AG2400" s="122" t="n">
        <v>0</v>
      </c>
      <c r="AH2400" s="122" t="n">
        <v>0</v>
      </c>
      <c r="AI2400" s="54">
        <f>IFERROR(AC2400/S2400,"")</f>
        <v/>
      </c>
      <c r="AJ2400" s="54">
        <f>IFERROR(AH2400/S2400,"")</f>
        <v/>
      </c>
      <c r="AK2400" s="122" t="n">
        <v>13</v>
      </c>
      <c r="AL2400" s="122" t="n">
        <v>1</v>
      </c>
      <c r="AM2400" s="124">
        <f>IFERROR(AL2400/AA2400,"")</f>
        <v/>
      </c>
      <c r="AN2400" s="125">
        <f>IFERROR(R2400/AL2400,"")</f>
        <v/>
      </c>
      <c r="AO2400" s="122" t="n">
        <v>1</v>
      </c>
      <c r="AP2400" s="54">
        <f>IFERROR(AO2400/AL2400,"")</f>
        <v/>
      </c>
      <c r="AQ2400" s="125">
        <f>IFERROR(R2400/AO2400,"")</f>
        <v/>
      </c>
      <c r="AR2400" s="122" t="n">
        <v>2</v>
      </c>
      <c r="AS2400" s="122" t="n">
        <v>1</v>
      </c>
      <c r="AT2400" s="122">
        <f>AL2400+AR2400</f>
        <v/>
      </c>
      <c r="AU2400" s="125">
        <f>IFERROR(AO2400*Assumptions!$C$26*Assumptions!$C$27*INDEX(Assumptions!$C$18:$C$21,MATCH(H2400,Assumptions!$B$18:$B$21,0)),0)</f>
        <v/>
      </c>
    </row>
    <row r="2401">
      <c r="A2401" s="120" t="n">
        <v>46262</v>
      </c>
      <c r="B2401" s="66" t="inlineStr">
        <is>
          <t>Wk 35</t>
        </is>
      </c>
      <c r="C2401" s="66" t="inlineStr">
        <is>
          <t>Fri</t>
        </is>
      </c>
      <c r="D2401" s="66" t="inlineStr">
        <is>
          <t>Programmatic</t>
        </is>
      </c>
      <c r="E2401" s="66" t="inlineStr">
        <is>
          <t>DV360</t>
        </is>
      </c>
      <c r="F2401" s="66" t="inlineStr">
        <is>
          <t>LEP_ZA_AUG26_PROG_RMKT_DYNAMIC</t>
        </is>
      </c>
      <c r="G2401" s="66" t="inlineStr">
        <is>
          <t>Dynamic Retargeting</t>
        </is>
      </c>
      <c r="H2401" s="66" t="inlineStr">
        <is>
          <t>Range</t>
        </is>
      </c>
      <c r="I2401" s="66" t="inlineStr">
        <is>
          <t>Range Offer</t>
        </is>
      </c>
      <c r="J2401" s="66" t="inlineStr">
        <is>
          <t>PROG_DYN_RMKT_30D</t>
        </is>
      </c>
      <c r="K2401" s="66" t="inlineStr">
        <is>
          <t>Retargeting</t>
        </is>
      </c>
      <c r="L2401" s="66" t="inlineStr">
        <is>
          <t>PROG_DYN_300x250_ModelSeen_v1</t>
        </is>
      </c>
      <c r="M2401" s="66" t="inlineStr">
        <is>
          <t>Dynamic Display 300x250</t>
        </is>
      </c>
      <c r="N2401" s="66" t="inlineStr">
        <is>
          <t>Still thinking about it?</t>
        </is>
      </c>
      <c r="O2401" s="66" t="inlineStr">
        <is>
          <t>Auction - Lowest Cost</t>
        </is>
      </c>
      <c r="P2401" s="66" t="inlineStr">
        <is>
          <t>Conversions (CPA)</t>
        </is>
      </c>
      <c r="Q2401" s="66" t="inlineStr">
        <is>
          <t>https://www.lepas-sa.co.za/book-a-test-drive</t>
        </is>
      </c>
      <c r="R2401" s="121" t="n">
        <v>112.36</v>
      </c>
      <c r="S2401" s="122" t="n">
        <v>3460</v>
      </c>
      <c r="T2401" s="122" t="n">
        <v>1299</v>
      </c>
      <c r="U2401" s="123">
        <f>IFERROR(S2401/T2401,"")</f>
        <v/>
      </c>
      <c r="V2401" s="122" t="n">
        <v>17</v>
      </c>
      <c r="W2401" s="122" t="n">
        <v>13</v>
      </c>
      <c r="X2401" s="124">
        <f>IFERROR(W2401/S2401,"")</f>
        <v/>
      </c>
      <c r="Y2401" s="121">
        <f>IFERROR(R2401/W2401,"")</f>
        <v/>
      </c>
      <c r="Z2401" s="121">
        <f>IFERROR(R2401/S2401*1000,"")</f>
        <v/>
      </c>
      <c r="AA2401" s="122" t="n">
        <v>10</v>
      </c>
      <c r="AB2401" s="54">
        <f>IFERROR(AA2401/W2401,"")</f>
        <v/>
      </c>
      <c r="AC2401" s="122" t="n">
        <v>0</v>
      </c>
      <c r="AD2401" s="122" t="n">
        <v>0</v>
      </c>
      <c r="AE2401" s="122" t="n">
        <v>0</v>
      </c>
      <c r="AF2401" s="122" t="n">
        <v>0</v>
      </c>
      <c r="AG2401" s="122" t="n">
        <v>0</v>
      </c>
      <c r="AH2401" s="122" t="n">
        <v>0</v>
      </c>
      <c r="AI2401" s="54">
        <f>IFERROR(AC2401/S2401,"")</f>
        <v/>
      </c>
      <c r="AJ2401" s="54">
        <f>IFERROR(AH2401/S2401,"")</f>
        <v/>
      </c>
      <c r="AK2401" s="122" t="n">
        <v>17</v>
      </c>
      <c r="AL2401" s="122" t="n">
        <v>0</v>
      </c>
      <c r="AM2401" s="124">
        <f>IFERROR(AL2401/AA2401,"")</f>
        <v/>
      </c>
      <c r="AN2401" s="125">
        <f>IFERROR(R2401/AL2401,"")</f>
        <v/>
      </c>
      <c r="AO2401" s="122" t="n">
        <v>0</v>
      </c>
      <c r="AP2401" s="54">
        <f>IFERROR(AO2401/AL2401,"")</f>
        <v/>
      </c>
      <c r="AQ2401" s="125">
        <f>IFERROR(R2401/AO2401,"")</f>
        <v/>
      </c>
      <c r="AR2401" s="122" t="n">
        <v>0</v>
      </c>
      <c r="AS2401" s="122" t="n">
        <v>0</v>
      </c>
      <c r="AT2401" s="122">
        <f>AL2401+AR2401</f>
        <v/>
      </c>
      <c r="AU2401" s="125">
        <f>IFERROR(AO2401*Assumptions!$C$26*Assumptions!$C$27*INDEX(Assumptions!$C$18:$C$21,MATCH(H2401,Assumptions!$B$18:$B$21,0)),0)</f>
        <v/>
      </c>
    </row>
    <row r="2402">
      <c r="A2402" s="120" t="n">
        <v>46263</v>
      </c>
      <c r="B2402" s="66" t="inlineStr">
        <is>
          <t>Wk 35</t>
        </is>
      </c>
      <c r="C2402" s="66" t="inlineStr">
        <is>
          <t>Sat</t>
        </is>
      </c>
      <c r="D2402" s="66" t="inlineStr">
        <is>
          <t>Programmatic</t>
        </is>
      </c>
      <c r="E2402" s="66" t="inlineStr">
        <is>
          <t>DV360</t>
        </is>
      </c>
      <c r="F2402" s="66" t="inlineStr">
        <is>
          <t>LEP_ZA_AUG26_PROG_RMKT_DYNAMIC</t>
        </is>
      </c>
      <c r="G2402" s="66" t="inlineStr">
        <is>
          <t>Dynamic Retargeting</t>
        </is>
      </c>
      <c r="H2402" s="66" t="inlineStr">
        <is>
          <t>Range</t>
        </is>
      </c>
      <c r="I2402" s="66" t="inlineStr">
        <is>
          <t>Range Offer</t>
        </is>
      </c>
      <c r="J2402" s="66" t="inlineStr">
        <is>
          <t>PROG_DYN_RMKT_30D</t>
        </is>
      </c>
      <c r="K2402" s="66" t="inlineStr">
        <is>
          <t>Retargeting</t>
        </is>
      </c>
      <c r="L2402" s="66" t="inlineStr">
        <is>
          <t>PROG_DYN_300x250_ModelSeen_v1</t>
        </is>
      </c>
      <c r="M2402" s="66" t="inlineStr">
        <is>
          <t>Dynamic Display 300x250</t>
        </is>
      </c>
      <c r="N2402" s="66" t="inlineStr">
        <is>
          <t>Still thinking about it?</t>
        </is>
      </c>
      <c r="O2402" s="66" t="inlineStr">
        <is>
          <t>Auction - Lowest Cost</t>
        </is>
      </c>
      <c r="P2402" s="66" t="inlineStr">
        <is>
          <t>Conversions (CPA)</t>
        </is>
      </c>
      <c r="Q2402" s="66" t="inlineStr">
        <is>
          <t>https://www.lepas-sa.co.za/book-a-test-drive</t>
        </is>
      </c>
      <c r="R2402" s="121" t="n">
        <v>135.54</v>
      </c>
      <c r="S2402" s="122" t="n">
        <v>2863</v>
      </c>
      <c r="T2402" s="122" t="n">
        <v>1006</v>
      </c>
      <c r="U2402" s="123">
        <f>IFERROR(S2402/T2402,"")</f>
        <v/>
      </c>
      <c r="V2402" s="122" t="n">
        <v>13</v>
      </c>
      <c r="W2402" s="122" t="n">
        <v>10</v>
      </c>
      <c r="X2402" s="124">
        <f>IFERROR(W2402/S2402,"")</f>
        <v/>
      </c>
      <c r="Y2402" s="121">
        <f>IFERROR(R2402/W2402,"")</f>
        <v/>
      </c>
      <c r="Z2402" s="121">
        <f>IFERROR(R2402/S2402*1000,"")</f>
        <v/>
      </c>
      <c r="AA2402" s="122" t="n">
        <v>6</v>
      </c>
      <c r="AB2402" s="54">
        <f>IFERROR(AA2402/W2402,"")</f>
        <v/>
      </c>
      <c r="AC2402" s="122" t="n">
        <v>0</v>
      </c>
      <c r="AD2402" s="122" t="n">
        <v>0</v>
      </c>
      <c r="AE2402" s="122" t="n">
        <v>0</v>
      </c>
      <c r="AF2402" s="122" t="n">
        <v>0</v>
      </c>
      <c r="AG2402" s="122" t="n">
        <v>0</v>
      </c>
      <c r="AH2402" s="122" t="n">
        <v>0</v>
      </c>
      <c r="AI2402" s="54">
        <f>IFERROR(AC2402/S2402,"")</f>
        <v/>
      </c>
      <c r="AJ2402" s="54">
        <f>IFERROR(AH2402/S2402,"")</f>
        <v/>
      </c>
      <c r="AK2402" s="122" t="n">
        <v>12</v>
      </c>
      <c r="AL2402" s="122" t="n">
        <v>0</v>
      </c>
      <c r="AM2402" s="124">
        <f>IFERROR(AL2402/AA2402,"")</f>
        <v/>
      </c>
      <c r="AN2402" s="125">
        <f>IFERROR(R2402/AL2402,"")</f>
        <v/>
      </c>
      <c r="AO2402" s="122" t="n">
        <v>0</v>
      </c>
      <c r="AP2402" s="54">
        <f>IFERROR(AO2402/AL2402,"")</f>
        <v/>
      </c>
      <c r="AQ2402" s="125">
        <f>IFERROR(R2402/AO2402,"")</f>
        <v/>
      </c>
      <c r="AR2402" s="122" t="n">
        <v>0</v>
      </c>
      <c r="AS2402" s="122" t="n">
        <v>0</v>
      </c>
      <c r="AT2402" s="122">
        <f>AL2402+AR2402</f>
        <v/>
      </c>
      <c r="AU2402" s="125">
        <f>IFERROR(AO2402*Assumptions!$C$26*Assumptions!$C$27*INDEX(Assumptions!$C$18:$C$21,MATCH(H2402,Assumptions!$B$18:$B$21,0)),0)</f>
        <v/>
      </c>
    </row>
    <row r="2403">
      <c r="A2403" s="120" t="n">
        <v>46264</v>
      </c>
      <c r="B2403" s="66" t="inlineStr">
        <is>
          <t>Wk 35</t>
        </is>
      </c>
      <c r="C2403" s="66" t="inlineStr">
        <is>
          <t>Sun</t>
        </is>
      </c>
      <c r="D2403" s="66" t="inlineStr">
        <is>
          <t>Programmatic</t>
        </is>
      </c>
      <c r="E2403" s="66" t="inlineStr">
        <is>
          <t>DV360</t>
        </is>
      </c>
      <c r="F2403" s="66" t="inlineStr">
        <is>
          <t>LEP_ZA_AUG26_PROG_RMKT_DYNAMIC</t>
        </is>
      </c>
      <c r="G2403" s="66" t="inlineStr">
        <is>
          <t>Dynamic Retargeting</t>
        </is>
      </c>
      <c r="H2403" s="66" t="inlineStr">
        <is>
          <t>Range</t>
        </is>
      </c>
      <c r="I2403" s="66" t="inlineStr">
        <is>
          <t>Range Offer</t>
        </is>
      </c>
      <c r="J2403" s="66" t="inlineStr">
        <is>
          <t>PROG_DYN_RMKT_30D</t>
        </is>
      </c>
      <c r="K2403" s="66" t="inlineStr">
        <is>
          <t>Retargeting</t>
        </is>
      </c>
      <c r="L2403" s="66" t="inlineStr">
        <is>
          <t>PROG_DYN_300x250_ModelSeen_v1</t>
        </is>
      </c>
      <c r="M2403" s="66" t="inlineStr">
        <is>
          <t>Dynamic Display 300x250</t>
        </is>
      </c>
      <c r="N2403" s="66" t="inlineStr">
        <is>
          <t>Still thinking about it?</t>
        </is>
      </c>
      <c r="O2403" s="66" t="inlineStr">
        <is>
          <t>Auction - Lowest Cost</t>
        </is>
      </c>
      <c r="P2403" s="66" t="inlineStr">
        <is>
          <t>Conversions (CPA)</t>
        </is>
      </c>
      <c r="Q2403" s="66" t="inlineStr">
        <is>
          <t>https://www.lepas-sa.co.za/book-a-test-drive</t>
        </is>
      </c>
      <c r="R2403" s="121" t="n">
        <v>102.79</v>
      </c>
      <c r="S2403" s="122" t="n">
        <v>2633</v>
      </c>
      <c r="T2403" s="122" t="n">
        <v>857</v>
      </c>
      <c r="U2403" s="123">
        <f>IFERROR(S2403/T2403,"")</f>
        <v/>
      </c>
      <c r="V2403" s="122" t="n">
        <v>14</v>
      </c>
      <c r="W2403" s="122" t="n">
        <v>12</v>
      </c>
      <c r="X2403" s="124">
        <f>IFERROR(W2403/S2403,"")</f>
        <v/>
      </c>
      <c r="Y2403" s="121">
        <f>IFERROR(R2403/W2403,"")</f>
        <v/>
      </c>
      <c r="Z2403" s="121">
        <f>IFERROR(R2403/S2403*1000,"")</f>
        <v/>
      </c>
      <c r="AA2403" s="122" t="n">
        <v>7</v>
      </c>
      <c r="AB2403" s="54">
        <f>IFERROR(AA2403/W2403,"")</f>
        <v/>
      </c>
      <c r="AC2403" s="122" t="n">
        <v>0</v>
      </c>
      <c r="AD2403" s="122" t="n">
        <v>0</v>
      </c>
      <c r="AE2403" s="122" t="n">
        <v>0</v>
      </c>
      <c r="AF2403" s="122" t="n">
        <v>0</v>
      </c>
      <c r="AG2403" s="122" t="n">
        <v>0</v>
      </c>
      <c r="AH2403" s="122" t="n">
        <v>0</v>
      </c>
      <c r="AI2403" s="54">
        <f>IFERROR(AC2403/S2403,"")</f>
        <v/>
      </c>
      <c r="AJ2403" s="54">
        <f>IFERROR(AH2403/S2403,"")</f>
        <v/>
      </c>
      <c r="AK2403" s="122" t="n">
        <v>7</v>
      </c>
      <c r="AL2403" s="122" t="n">
        <v>1</v>
      </c>
      <c r="AM2403" s="124">
        <f>IFERROR(AL2403/AA2403,"")</f>
        <v/>
      </c>
      <c r="AN2403" s="125">
        <f>IFERROR(R2403/AL2403,"")</f>
        <v/>
      </c>
      <c r="AO2403" s="122" t="n">
        <v>0</v>
      </c>
      <c r="AP2403" s="54">
        <f>IFERROR(AO2403/AL2403,"")</f>
        <v/>
      </c>
      <c r="AQ2403" s="125">
        <f>IFERROR(R2403/AO2403,"")</f>
        <v/>
      </c>
      <c r="AR2403" s="122" t="n">
        <v>3</v>
      </c>
      <c r="AS2403" s="122" t="n">
        <v>1</v>
      </c>
      <c r="AT2403" s="122">
        <f>AL2403+AR2403</f>
        <v/>
      </c>
      <c r="AU2403" s="125">
        <f>IFERROR(AO2403*Assumptions!$C$26*Assumptions!$C$27*INDEX(Assumptions!$C$18:$C$21,MATCH(H2403,Assumptions!$B$18:$B$21,0)),0)</f>
        <v/>
      </c>
    </row>
    <row r="2404">
      <c r="A2404" s="120" t="n">
        <v>46265</v>
      </c>
      <c r="B2404" s="66" t="inlineStr">
        <is>
          <t>Wk 36</t>
        </is>
      </c>
      <c r="C2404" s="66" t="inlineStr">
        <is>
          <t>Mon</t>
        </is>
      </c>
      <c r="D2404" s="66" t="inlineStr">
        <is>
          <t>Programmatic</t>
        </is>
      </c>
      <c r="E2404" s="66" t="inlineStr">
        <is>
          <t>DV360</t>
        </is>
      </c>
      <c r="F2404" s="66" t="inlineStr">
        <is>
          <t>LEP_ZA_AUG26_PROG_RMKT_DYNAMIC</t>
        </is>
      </c>
      <c r="G2404" s="66" t="inlineStr">
        <is>
          <t>Dynamic Retargeting</t>
        </is>
      </c>
      <c r="H2404" s="66" t="inlineStr">
        <is>
          <t>Range</t>
        </is>
      </c>
      <c r="I2404" s="66" t="inlineStr">
        <is>
          <t>Range Offer</t>
        </is>
      </c>
      <c r="J2404" s="66" t="inlineStr">
        <is>
          <t>PROG_DYN_RMKT_30D</t>
        </is>
      </c>
      <c r="K2404" s="66" t="inlineStr">
        <is>
          <t>Retargeting</t>
        </is>
      </c>
      <c r="L2404" s="66" t="inlineStr">
        <is>
          <t>PROG_DYN_300x250_ModelSeen_v1</t>
        </is>
      </c>
      <c r="M2404" s="66" t="inlineStr">
        <is>
          <t>Dynamic Display 300x250</t>
        </is>
      </c>
      <c r="N2404" s="66" t="inlineStr">
        <is>
          <t>Still thinking about it?</t>
        </is>
      </c>
      <c r="O2404" s="66" t="inlineStr">
        <is>
          <t>Auction - Lowest Cost</t>
        </is>
      </c>
      <c r="P2404" s="66" t="inlineStr">
        <is>
          <t>Conversions (CPA)</t>
        </is>
      </c>
      <c r="Q2404" s="66" t="inlineStr">
        <is>
          <t>https://www.lepas-sa.co.za/book-a-test-drive</t>
        </is>
      </c>
      <c r="R2404" s="121" t="n">
        <v>100.22</v>
      </c>
      <c r="S2404" s="122" t="n">
        <v>2307</v>
      </c>
      <c r="T2404" s="122" t="n">
        <v>857</v>
      </c>
      <c r="U2404" s="123">
        <f>IFERROR(S2404/T2404,"")</f>
        <v/>
      </c>
      <c r="V2404" s="122" t="n">
        <v>8</v>
      </c>
      <c r="W2404" s="122" t="n">
        <v>6</v>
      </c>
      <c r="X2404" s="124">
        <f>IFERROR(W2404/S2404,"")</f>
        <v/>
      </c>
      <c r="Y2404" s="121">
        <f>IFERROR(R2404/W2404,"")</f>
        <v/>
      </c>
      <c r="Z2404" s="121">
        <f>IFERROR(R2404/S2404*1000,"")</f>
        <v/>
      </c>
      <c r="AA2404" s="122" t="n">
        <v>3</v>
      </c>
      <c r="AB2404" s="54">
        <f>IFERROR(AA2404/W2404,"")</f>
        <v/>
      </c>
      <c r="AC2404" s="122" t="n">
        <v>0</v>
      </c>
      <c r="AD2404" s="122" t="n">
        <v>0</v>
      </c>
      <c r="AE2404" s="122" t="n">
        <v>0</v>
      </c>
      <c r="AF2404" s="122" t="n">
        <v>0</v>
      </c>
      <c r="AG2404" s="122" t="n">
        <v>0</v>
      </c>
      <c r="AH2404" s="122" t="n">
        <v>0</v>
      </c>
      <c r="AI2404" s="54">
        <f>IFERROR(AC2404/S2404,"")</f>
        <v/>
      </c>
      <c r="AJ2404" s="54">
        <f>IFERROR(AH2404/S2404,"")</f>
        <v/>
      </c>
      <c r="AK2404" s="122" t="n">
        <v>13</v>
      </c>
      <c r="AL2404" s="122" t="n">
        <v>0</v>
      </c>
      <c r="AM2404" s="124">
        <f>IFERROR(AL2404/AA2404,"")</f>
        <v/>
      </c>
      <c r="AN2404" s="125">
        <f>IFERROR(R2404/AL2404,"")</f>
        <v/>
      </c>
      <c r="AO2404" s="122" t="n">
        <v>0</v>
      </c>
      <c r="AP2404" s="54">
        <f>IFERROR(AO2404/AL2404,"")</f>
        <v/>
      </c>
      <c r="AQ2404" s="125">
        <f>IFERROR(R2404/AO2404,"")</f>
        <v/>
      </c>
      <c r="AR2404" s="122" t="n">
        <v>0</v>
      </c>
      <c r="AS2404" s="122" t="n">
        <v>0</v>
      </c>
      <c r="AT2404" s="122">
        <f>AL2404+AR2404</f>
        <v/>
      </c>
      <c r="AU2404" s="125">
        <f>IFERROR(AO2404*Assumptions!$C$26*Assumptions!$C$27*INDEX(Assumptions!$C$18:$C$21,MATCH(H2404,Assumptions!$B$18:$B$21,0)),0)</f>
        <v/>
      </c>
    </row>
    <row r="2405">
      <c r="A2405" s="120" t="n">
        <v>46235</v>
      </c>
      <c r="B2405" s="66" t="inlineStr">
        <is>
          <t>Wk 31</t>
        </is>
      </c>
      <c r="C2405" s="66" t="inlineStr">
        <is>
          <t>Sat</t>
        </is>
      </c>
      <c r="D2405" s="66" t="inlineStr">
        <is>
          <t>Programmatic</t>
        </is>
      </c>
      <c r="E2405" s="66" t="inlineStr">
        <is>
          <t>DV360</t>
        </is>
      </c>
      <c r="F2405" s="66" t="inlineStr">
        <is>
          <t>LEP_ZA_AUG26_PROG_RMKT_DYNAMIC</t>
        </is>
      </c>
      <c r="G2405" s="66" t="inlineStr">
        <is>
          <t>Dynamic Retargeting</t>
        </is>
      </c>
      <c r="H2405" s="66" t="inlineStr">
        <is>
          <t>Range</t>
        </is>
      </c>
      <c r="I2405" s="66" t="inlineStr">
        <is>
          <t>Range Offer</t>
        </is>
      </c>
      <c r="J2405" s="66" t="inlineStr">
        <is>
          <t>PROG_DYN_RMKT_30D</t>
        </is>
      </c>
      <c r="K2405" s="66" t="inlineStr">
        <is>
          <t>Retargeting</t>
        </is>
      </c>
      <c r="L2405" s="66" t="inlineStr">
        <is>
          <t>PROG_DYN_300x600_Offers_v1</t>
        </is>
      </c>
      <c r="M2405" s="66" t="inlineStr">
        <is>
          <t>Dynamic Display 300x600</t>
        </is>
      </c>
      <c r="N2405" s="66" t="inlineStr">
        <is>
          <t>Offers end 31 August</t>
        </is>
      </c>
      <c r="O2405" s="66" t="inlineStr">
        <is>
          <t>Auction - Lowest Cost</t>
        </is>
      </c>
      <c r="P2405" s="66" t="inlineStr">
        <is>
          <t>Conversions (CPA)</t>
        </is>
      </c>
      <c r="Q2405" s="66" t="inlineStr">
        <is>
          <t>https://www.lepas-sa.co.za/book-a-test-drive</t>
        </is>
      </c>
      <c r="R2405" s="121" t="n">
        <v>81.48999999999999</v>
      </c>
      <c r="S2405" s="122" t="n">
        <v>3600</v>
      </c>
      <c r="T2405" s="122" t="n">
        <v>2045</v>
      </c>
      <c r="U2405" s="123">
        <f>IFERROR(S2405/T2405,"")</f>
        <v/>
      </c>
      <c r="V2405" s="122" t="n">
        <v>21</v>
      </c>
      <c r="W2405" s="122" t="n">
        <v>17</v>
      </c>
      <c r="X2405" s="124">
        <f>IFERROR(W2405/S2405,"")</f>
        <v/>
      </c>
      <c r="Y2405" s="121">
        <f>IFERROR(R2405/W2405,"")</f>
        <v/>
      </c>
      <c r="Z2405" s="121">
        <f>IFERROR(R2405/S2405*1000,"")</f>
        <v/>
      </c>
      <c r="AA2405" s="122" t="n">
        <v>11</v>
      </c>
      <c r="AB2405" s="54">
        <f>IFERROR(AA2405/W2405,"")</f>
        <v/>
      </c>
      <c r="AC2405" s="122" t="n">
        <v>0</v>
      </c>
      <c r="AD2405" s="122" t="n">
        <v>0</v>
      </c>
      <c r="AE2405" s="122" t="n">
        <v>0</v>
      </c>
      <c r="AF2405" s="122" t="n">
        <v>0</v>
      </c>
      <c r="AG2405" s="122" t="n">
        <v>0</v>
      </c>
      <c r="AH2405" s="122" t="n">
        <v>0</v>
      </c>
      <c r="AI2405" s="54">
        <f>IFERROR(AC2405/S2405,"")</f>
        <v/>
      </c>
      <c r="AJ2405" s="54">
        <f>IFERROR(AH2405/S2405,"")</f>
        <v/>
      </c>
      <c r="AK2405" s="122" t="n">
        <v>15</v>
      </c>
      <c r="AL2405" s="122" t="n">
        <v>1</v>
      </c>
      <c r="AM2405" s="124">
        <f>IFERROR(AL2405/AA2405,"")</f>
        <v/>
      </c>
      <c r="AN2405" s="125">
        <f>IFERROR(R2405/AL2405,"")</f>
        <v/>
      </c>
      <c r="AO2405" s="122" t="n">
        <v>0</v>
      </c>
      <c r="AP2405" s="54">
        <f>IFERROR(AO2405/AL2405,"")</f>
        <v/>
      </c>
      <c r="AQ2405" s="125">
        <f>IFERROR(R2405/AO2405,"")</f>
        <v/>
      </c>
      <c r="AR2405" s="122" t="n">
        <v>2</v>
      </c>
      <c r="AS2405" s="122" t="n">
        <v>1</v>
      </c>
      <c r="AT2405" s="122">
        <f>AL2405+AR2405</f>
        <v/>
      </c>
      <c r="AU2405" s="125">
        <f>IFERROR(AO2405*Assumptions!$C$26*Assumptions!$C$27*INDEX(Assumptions!$C$18:$C$21,MATCH(H2405,Assumptions!$B$18:$B$21,0)),0)</f>
        <v/>
      </c>
    </row>
    <row r="2406">
      <c r="A2406" s="120" t="n">
        <v>46236</v>
      </c>
      <c r="B2406" s="66" t="inlineStr">
        <is>
          <t>Wk 31</t>
        </is>
      </c>
      <c r="C2406" s="66" t="inlineStr">
        <is>
          <t>Sun</t>
        </is>
      </c>
      <c r="D2406" s="66" t="inlineStr">
        <is>
          <t>Programmatic</t>
        </is>
      </c>
      <c r="E2406" s="66" t="inlineStr">
        <is>
          <t>DV360</t>
        </is>
      </c>
      <c r="F2406" s="66" t="inlineStr">
        <is>
          <t>LEP_ZA_AUG26_PROG_RMKT_DYNAMIC</t>
        </is>
      </c>
      <c r="G2406" s="66" t="inlineStr">
        <is>
          <t>Dynamic Retargeting</t>
        </is>
      </c>
      <c r="H2406" s="66" t="inlineStr">
        <is>
          <t>Range</t>
        </is>
      </c>
      <c r="I2406" s="66" t="inlineStr">
        <is>
          <t>Range Offer</t>
        </is>
      </c>
      <c r="J2406" s="66" t="inlineStr">
        <is>
          <t>PROG_DYN_RMKT_30D</t>
        </is>
      </c>
      <c r="K2406" s="66" t="inlineStr">
        <is>
          <t>Retargeting</t>
        </is>
      </c>
      <c r="L2406" s="66" t="inlineStr">
        <is>
          <t>PROG_DYN_300x600_Offers_v1</t>
        </is>
      </c>
      <c r="M2406" s="66" t="inlineStr">
        <is>
          <t>Dynamic Display 300x600</t>
        </is>
      </c>
      <c r="N2406" s="66" t="inlineStr">
        <is>
          <t>Offers end 31 August</t>
        </is>
      </c>
      <c r="O2406" s="66" t="inlineStr">
        <is>
          <t>Auction - Lowest Cost</t>
        </is>
      </c>
      <c r="P2406" s="66" t="inlineStr">
        <is>
          <t>Conversions (CPA)</t>
        </is>
      </c>
      <c r="Q2406" s="66" t="inlineStr">
        <is>
          <t>https://www.lepas-sa.co.za/book-a-test-drive</t>
        </is>
      </c>
      <c r="R2406" s="121" t="n">
        <v>55.3</v>
      </c>
      <c r="S2406" s="122" t="n">
        <v>2186</v>
      </c>
      <c r="T2406" s="122" t="n">
        <v>1262</v>
      </c>
      <c r="U2406" s="123">
        <f>IFERROR(S2406/T2406,"")</f>
        <v/>
      </c>
      <c r="V2406" s="122" t="n">
        <v>17</v>
      </c>
      <c r="W2406" s="122" t="n">
        <v>12</v>
      </c>
      <c r="X2406" s="124">
        <f>IFERROR(W2406/S2406,"")</f>
        <v/>
      </c>
      <c r="Y2406" s="121">
        <f>IFERROR(R2406/W2406,"")</f>
        <v/>
      </c>
      <c r="Z2406" s="121">
        <f>IFERROR(R2406/S2406*1000,"")</f>
        <v/>
      </c>
      <c r="AA2406" s="122" t="n">
        <v>8</v>
      </c>
      <c r="AB2406" s="54">
        <f>IFERROR(AA2406/W2406,"")</f>
        <v/>
      </c>
      <c r="AC2406" s="122" t="n">
        <v>0</v>
      </c>
      <c r="AD2406" s="122" t="n">
        <v>0</v>
      </c>
      <c r="AE2406" s="122" t="n">
        <v>0</v>
      </c>
      <c r="AF2406" s="122" t="n">
        <v>0</v>
      </c>
      <c r="AG2406" s="122" t="n">
        <v>0</v>
      </c>
      <c r="AH2406" s="122" t="n">
        <v>0</v>
      </c>
      <c r="AI2406" s="54">
        <f>IFERROR(AC2406/S2406,"")</f>
        <v/>
      </c>
      <c r="AJ2406" s="54">
        <f>IFERROR(AH2406/S2406,"")</f>
        <v/>
      </c>
      <c r="AK2406" s="122" t="n">
        <v>2</v>
      </c>
      <c r="AL2406" s="122" t="n">
        <v>1</v>
      </c>
      <c r="AM2406" s="124">
        <f>IFERROR(AL2406/AA2406,"")</f>
        <v/>
      </c>
      <c r="AN2406" s="125">
        <f>IFERROR(R2406/AL2406,"")</f>
        <v/>
      </c>
      <c r="AO2406" s="122" t="n">
        <v>0</v>
      </c>
      <c r="AP2406" s="54">
        <f>IFERROR(AO2406/AL2406,"")</f>
        <v/>
      </c>
      <c r="AQ2406" s="125">
        <f>IFERROR(R2406/AO2406,"")</f>
        <v/>
      </c>
      <c r="AR2406" s="122" t="n">
        <v>2</v>
      </c>
      <c r="AS2406" s="122" t="n">
        <v>2</v>
      </c>
      <c r="AT2406" s="122">
        <f>AL2406+AR2406</f>
        <v/>
      </c>
      <c r="AU2406" s="125">
        <f>IFERROR(AO2406*Assumptions!$C$26*Assumptions!$C$27*INDEX(Assumptions!$C$18:$C$21,MATCH(H2406,Assumptions!$B$18:$B$21,0)),0)</f>
        <v/>
      </c>
    </row>
    <row r="2407">
      <c r="A2407" s="120" t="n">
        <v>46237</v>
      </c>
      <c r="B2407" s="66" t="inlineStr">
        <is>
          <t>Wk 32</t>
        </is>
      </c>
      <c r="C2407" s="66" t="inlineStr">
        <is>
          <t>Mon</t>
        </is>
      </c>
      <c r="D2407" s="66" t="inlineStr">
        <is>
          <t>Programmatic</t>
        </is>
      </c>
      <c r="E2407" s="66" t="inlineStr">
        <is>
          <t>DV360</t>
        </is>
      </c>
      <c r="F2407" s="66" t="inlineStr">
        <is>
          <t>LEP_ZA_AUG26_PROG_RMKT_DYNAMIC</t>
        </is>
      </c>
      <c r="G2407" s="66" t="inlineStr">
        <is>
          <t>Dynamic Retargeting</t>
        </is>
      </c>
      <c r="H2407" s="66" t="inlineStr">
        <is>
          <t>Range</t>
        </is>
      </c>
      <c r="I2407" s="66" t="inlineStr">
        <is>
          <t>Range Offer</t>
        </is>
      </c>
      <c r="J2407" s="66" t="inlineStr">
        <is>
          <t>PROG_DYN_RMKT_30D</t>
        </is>
      </c>
      <c r="K2407" s="66" t="inlineStr">
        <is>
          <t>Retargeting</t>
        </is>
      </c>
      <c r="L2407" s="66" t="inlineStr">
        <is>
          <t>PROG_DYN_300x600_Offers_v1</t>
        </is>
      </c>
      <c r="M2407" s="66" t="inlineStr">
        <is>
          <t>Dynamic Display 300x600</t>
        </is>
      </c>
      <c r="N2407" s="66" t="inlineStr">
        <is>
          <t>Offers end 31 August</t>
        </is>
      </c>
      <c r="O2407" s="66" t="inlineStr">
        <is>
          <t>Auction - Lowest Cost</t>
        </is>
      </c>
      <c r="P2407" s="66" t="inlineStr">
        <is>
          <t>Conversions (CPA)</t>
        </is>
      </c>
      <c r="Q2407" s="66" t="inlineStr">
        <is>
          <t>https://www.lepas-sa.co.za/book-a-test-drive</t>
        </is>
      </c>
      <c r="R2407" s="121" t="n">
        <v>58.67</v>
      </c>
      <c r="S2407" s="122" t="n">
        <v>1335</v>
      </c>
      <c r="T2407" s="122" t="n">
        <v>714</v>
      </c>
      <c r="U2407" s="123">
        <f>IFERROR(S2407/T2407,"")</f>
        <v/>
      </c>
      <c r="V2407" s="122" t="n">
        <v>7</v>
      </c>
      <c r="W2407" s="122" t="n">
        <v>5</v>
      </c>
      <c r="X2407" s="124">
        <f>IFERROR(W2407/S2407,"")</f>
        <v/>
      </c>
      <c r="Y2407" s="121">
        <f>IFERROR(R2407/W2407,"")</f>
        <v/>
      </c>
      <c r="Z2407" s="121">
        <f>IFERROR(R2407/S2407*1000,"")</f>
        <v/>
      </c>
      <c r="AA2407" s="122" t="n">
        <v>3</v>
      </c>
      <c r="AB2407" s="54">
        <f>IFERROR(AA2407/W2407,"")</f>
        <v/>
      </c>
      <c r="AC2407" s="122" t="n">
        <v>0</v>
      </c>
      <c r="AD2407" s="122" t="n">
        <v>0</v>
      </c>
      <c r="AE2407" s="122" t="n">
        <v>0</v>
      </c>
      <c r="AF2407" s="122" t="n">
        <v>0</v>
      </c>
      <c r="AG2407" s="122" t="n">
        <v>0</v>
      </c>
      <c r="AH2407" s="122" t="n">
        <v>0</v>
      </c>
      <c r="AI2407" s="54">
        <f>IFERROR(AC2407/S2407,"")</f>
        <v/>
      </c>
      <c r="AJ2407" s="54">
        <f>IFERROR(AH2407/S2407,"")</f>
        <v/>
      </c>
      <c r="AK2407" s="122" t="n">
        <v>4</v>
      </c>
      <c r="AL2407" s="122" t="n">
        <v>0</v>
      </c>
      <c r="AM2407" s="124">
        <f>IFERROR(AL2407/AA2407,"")</f>
        <v/>
      </c>
      <c r="AN2407" s="125">
        <f>IFERROR(R2407/AL2407,"")</f>
        <v/>
      </c>
      <c r="AO2407" s="122" t="n">
        <v>0</v>
      </c>
      <c r="AP2407" s="54">
        <f>IFERROR(AO2407/AL2407,"")</f>
        <v/>
      </c>
      <c r="AQ2407" s="125">
        <f>IFERROR(R2407/AO2407,"")</f>
        <v/>
      </c>
      <c r="AR2407" s="122" t="n">
        <v>0</v>
      </c>
      <c r="AS2407" s="122" t="n">
        <v>0</v>
      </c>
      <c r="AT2407" s="122">
        <f>AL2407+AR2407</f>
        <v/>
      </c>
      <c r="AU2407" s="125">
        <f>IFERROR(AO2407*Assumptions!$C$26*Assumptions!$C$27*INDEX(Assumptions!$C$18:$C$21,MATCH(H2407,Assumptions!$B$18:$B$21,0)),0)</f>
        <v/>
      </c>
    </row>
    <row r="2408">
      <c r="A2408" s="120" t="n">
        <v>46238</v>
      </c>
      <c r="B2408" s="66" t="inlineStr">
        <is>
          <t>Wk 32</t>
        </is>
      </c>
      <c r="C2408" s="66" t="inlineStr">
        <is>
          <t>Tue</t>
        </is>
      </c>
      <c r="D2408" s="66" t="inlineStr">
        <is>
          <t>Programmatic</t>
        </is>
      </c>
      <c r="E2408" s="66" t="inlineStr">
        <is>
          <t>DV360</t>
        </is>
      </c>
      <c r="F2408" s="66" t="inlineStr">
        <is>
          <t>LEP_ZA_AUG26_PROG_RMKT_DYNAMIC</t>
        </is>
      </c>
      <c r="G2408" s="66" t="inlineStr">
        <is>
          <t>Dynamic Retargeting</t>
        </is>
      </c>
      <c r="H2408" s="66" t="inlineStr">
        <is>
          <t>Range</t>
        </is>
      </c>
      <c r="I2408" s="66" t="inlineStr">
        <is>
          <t>Range Offer</t>
        </is>
      </c>
      <c r="J2408" s="66" t="inlineStr">
        <is>
          <t>PROG_DYN_RMKT_30D</t>
        </is>
      </c>
      <c r="K2408" s="66" t="inlineStr">
        <is>
          <t>Retargeting</t>
        </is>
      </c>
      <c r="L2408" s="66" t="inlineStr">
        <is>
          <t>PROG_DYN_300x600_Offers_v1</t>
        </is>
      </c>
      <c r="M2408" s="66" t="inlineStr">
        <is>
          <t>Dynamic Display 300x600</t>
        </is>
      </c>
      <c r="N2408" s="66" t="inlineStr">
        <is>
          <t>Offers end 31 August</t>
        </is>
      </c>
      <c r="O2408" s="66" t="inlineStr">
        <is>
          <t>Auction - Lowest Cost</t>
        </is>
      </c>
      <c r="P2408" s="66" t="inlineStr">
        <is>
          <t>Conversions (CPA)</t>
        </is>
      </c>
      <c r="Q2408" s="66" t="inlineStr">
        <is>
          <t>https://www.lepas-sa.co.za/book-a-test-drive</t>
        </is>
      </c>
      <c r="R2408" s="121" t="n">
        <v>62.59</v>
      </c>
      <c r="S2408" s="122" t="n">
        <v>1677</v>
      </c>
      <c r="T2408" s="122" t="n">
        <v>837</v>
      </c>
      <c r="U2408" s="123">
        <f>IFERROR(S2408/T2408,"")</f>
        <v/>
      </c>
      <c r="V2408" s="122" t="n">
        <v>10</v>
      </c>
      <c r="W2408" s="122" t="n">
        <v>8</v>
      </c>
      <c r="X2408" s="124">
        <f>IFERROR(W2408/S2408,"")</f>
        <v/>
      </c>
      <c r="Y2408" s="121">
        <f>IFERROR(R2408/W2408,"")</f>
        <v/>
      </c>
      <c r="Z2408" s="121">
        <f>IFERROR(R2408/S2408*1000,"")</f>
        <v/>
      </c>
      <c r="AA2408" s="122" t="n">
        <v>5</v>
      </c>
      <c r="AB2408" s="54">
        <f>IFERROR(AA2408/W2408,"")</f>
        <v/>
      </c>
      <c r="AC2408" s="122" t="n">
        <v>0</v>
      </c>
      <c r="AD2408" s="122" t="n">
        <v>0</v>
      </c>
      <c r="AE2408" s="122" t="n">
        <v>0</v>
      </c>
      <c r="AF2408" s="122" t="n">
        <v>0</v>
      </c>
      <c r="AG2408" s="122" t="n">
        <v>0</v>
      </c>
      <c r="AH2408" s="122" t="n">
        <v>0</v>
      </c>
      <c r="AI2408" s="54">
        <f>IFERROR(AC2408/S2408,"")</f>
        <v/>
      </c>
      <c r="AJ2408" s="54">
        <f>IFERROR(AH2408/S2408,"")</f>
        <v/>
      </c>
      <c r="AK2408" s="122" t="n">
        <v>10</v>
      </c>
      <c r="AL2408" s="122" t="n">
        <v>1</v>
      </c>
      <c r="AM2408" s="124">
        <f>IFERROR(AL2408/AA2408,"")</f>
        <v/>
      </c>
      <c r="AN2408" s="125">
        <f>IFERROR(R2408/AL2408,"")</f>
        <v/>
      </c>
      <c r="AO2408" s="122" t="n">
        <v>1</v>
      </c>
      <c r="AP2408" s="54">
        <f>IFERROR(AO2408/AL2408,"")</f>
        <v/>
      </c>
      <c r="AQ2408" s="125">
        <f>IFERROR(R2408/AO2408,"")</f>
        <v/>
      </c>
      <c r="AR2408" s="122" t="n">
        <v>2</v>
      </c>
      <c r="AS2408" s="122" t="n">
        <v>2</v>
      </c>
      <c r="AT2408" s="122">
        <f>AL2408+AR2408</f>
        <v/>
      </c>
      <c r="AU2408" s="125">
        <f>IFERROR(AO2408*Assumptions!$C$26*Assumptions!$C$27*INDEX(Assumptions!$C$18:$C$21,MATCH(H2408,Assumptions!$B$18:$B$21,0)),0)</f>
        <v/>
      </c>
    </row>
    <row r="2409">
      <c r="A2409" s="120" t="n">
        <v>46239</v>
      </c>
      <c r="B2409" s="66" t="inlineStr">
        <is>
          <t>Wk 32</t>
        </is>
      </c>
      <c r="C2409" s="66" t="inlineStr">
        <is>
          <t>Wed</t>
        </is>
      </c>
      <c r="D2409" s="66" t="inlineStr">
        <is>
          <t>Programmatic</t>
        </is>
      </c>
      <c r="E2409" s="66" t="inlineStr">
        <is>
          <t>DV360</t>
        </is>
      </c>
      <c r="F2409" s="66" t="inlineStr">
        <is>
          <t>LEP_ZA_AUG26_PROG_RMKT_DYNAMIC</t>
        </is>
      </c>
      <c r="G2409" s="66" t="inlineStr">
        <is>
          <t>Dynamic Retargeting</t>
        </is>
      </c>
      <c r="H2409" s="66" t="inlineStr">
        <is>
          <t>Range</t>
        </is>
      </c>
      <c r="I2409" s="66" t="inlineStr">
        <is>
          <t>Range Offer</t>
        </is>
      </c>
      <c r="J2409" s="66" t="inlineStr">
        <is>
          <t>PROG_DYN_RMKT_30D</t>
        </is>
      </c>
      <c r="K2409" s="66" t="inlineStr">
        <is>
          <t>Retargeting</t>
        </is>
      </c>
      <c r="L2409" s="66" t="inlineStr">
        <is>
          <t>PROG_DYN_300x600_Offers_v1</t>
        </is>
      </c>
      <c r="M2409" s="66" t="inlineStr">
        <is>
          <t>Dynamic Display 300x600</t>
        </is>
      </c>
      <c r="N2409" s="66" t="inlineStr">
        <is>
          <t>Offers end 31 August</t>
        </is>
      </c>
      <c r="O2409" s="66" t="inlineStr">
        <is>
          <t>Auction - Lowest Cost</t>
        </is>
      </c>
      <c r="P2409" s="66" t="inlineStr">
        <is>
          <t>Conversions (CPA)</t>
        </is>
      </c>
      <c r="Q2409" s="66" t="inlineStr">
        <is>
          <t>https://www.lepas-sa.co.za/book-a-test-drive</t>
        </is>
      </c>
      <c r="R2409" s="121" t="n">
        <v>68.72</v>
      </c>
      <c r="S2409" s="122" t="n">
        <v>1485</v>
      </c>
      <c r="T2409" s="122" t="n">
        <v>1027</v>
      </c>
      <c r="U2409" s="123">
        <f>IFERROR(S2409/T2409,"")</f>
        <v/>
      </c>
      <c r="V2409" s="122" t="n">
        <v>8</v>
      </c>
      <c r="W2409" s="122" t="n">
        <v>6</v>
      </c>
      <c r="X2409" s="124">
        <f>IFERROR(W2409/S2409,"")</f>
        <v/>
      </c>
      <c r="Y2409" s="121">
        <f>IFERROR(R2409/W2409,"")</f>
        <v/>
      </c>
      <c r="Z2409" s="121">
        <f>IFERROR(R2409/S2409*1000,"")</f>
        <v/>
      </c>
      <c r="AA2409" s="122" t="n">
        <v>4</v>
      </c>
      <c r="AB2409" s="54">
        <f>IFERROR(AA2409/W2409,"")</f>
        <v/>
      </c>
      <c r="AC2409" s="122" t="n">
        <v>0</v>
      </c>
      <c r="AD2409" s="122" t="n">
        <v>0</v>
      </c>
      <c r="AE2409" s="122" t="n">
        <v>0</v>
      </c>
      <c r="AF2409" s="122" t="n">
        <v>0</v>
      </c>
      <c r="AG2409" s="122" t="n">
        <v>0</v>
      </c>
      <c r="AH2409" s="122" t="n">
        <v>0</v>
      </c>
      <c r="AI2409" s="54">
        <f>IFERROR(AC2409/S2409,"")</f>
        <v/>
      </c>
      <c r="AJ2409" s="54">
        <f>IFERROR(AH2409/S2409,"")</f>
        <v/>
      </c>
      <c r="AK2409" s="122" t="n">
        <v>6</v>
      </c>
      <c r="AL2409" s="122" t="n">
        <v>0</v>
      </c>
      <c r="AM2409" s="124">
        <f>IFERROR(AL2409/AA2409,"")</f>
        <v/>
      </c>
      <c r="AN2409" s="125">
        <f>IFERROR(R2409/AL2409,"")</f>
        <v/>
      </c>
      <c r="AO2409" s="122" t="n">
        <v>0</v>
      </c>
      <c r="AP2409" s="54">
        <f>IFERROR(AO2409/AL2409,"")</f>
        <v/>
      </c>
      <c r="AQ2409" s="125">
        <f>IFERROR(R2409/AO2409,"")</f>
        <v/>
      </c>
      <c r="AR2409" s="122" t="n">
        <v>0</v>
      </c>
      <c r="AS2409" s="122" t="n">
        <v>0</v>
      </c>
      <c r="AT2409" s="122">
        <f>AL2409+AR2409</f>
        <v/>
      </c>
      <c r="AU2409" s="125">
        <f>IFERROR(AO2409*Assumptions!$C$26*Assumptions!$C$27*INDEX(Assumptions!$C$18:$C$21,MATCH(H2409,Assumptions!$B$18:$B$21,0)),0)</f>
        <v/>
      </c>
    </row>
    <row r="2410">
      <c r="A2410" s="120" t="n">
        <v>46240</v>
      </c>
      <c r="B2410" s="66" t="inlineStr">
        <is>
          <t>Wk 32</t>
        </is>
      </c>
      <c r="C2410" s="66" t="inlineStr">
        <is>
          <t>Thu</t>
        </is>
      </c>
      <c r="D2410" s="66" t="inlineStr">
        <is>
          <t>Programmatic</t>
        </is>
      </c>
      <c r="E2410" s="66" t="inlineStr">
        <is>
          <t>DV360</t>
        </is>
      </c>
      <c r="F2410" s="66" t="inlineStr">
        <is>
          <t>LEP_ZA_AUG26_PROG_RMKT_DYNAMIC</t>
        </is>
      </c>
      <c r="G2410" s="66" t="inlineStr">
        <is>
          <t>Dynamic Retargeting</t>
        </is>
      </c>
      <c r="H2410" s="66" t="inlineStr">
        <is>
          <t>Range</t>
        </is>
      </c>
      <c r="I2410" s="66" t="inlineStr">
        <is>
          <t>Range Offer</t>
        </is>
      </c>
      <c r="J2410" s="66" t="inlineStr">
        <is>
          <t>PROG_DYN_RMKT_30D</t>
        </is>
      </c>
      <c r="K2410" s="66" t="inlineStr">
        <is>
          <t>Retargeting</t>
        </is>
      </c>
      <c r="L2410" s="66" t="inlineStr">
        <is>
          <t>PROG_DYN_300x600_Offers_v1</t>
        </is>
      </c>
      <c r="M2410" s="66" t="inlineStr">
        <is>
          <t>Dynamic Display 300x600</t>
        </is>
      </c>
      <c r="N2410" s="66" t="inlineStr">
        <is>
          <t>Offers end 31 August</t>
        </is>
      </c>
      <c r="O2410" s="66" t="inlineStr">
        <is>
          <t>Auction - Lowest Cost</t>
        </is>
      </c>
      <c r="P2410" s="66" t="inlineStr">
        <is>
          <t>Conversions (CPA)</t>
        </is>
      </c>
      <c r="Q2410" s="66" t="inlineStr">
        <is>
          <t>https://www.lepas-sa.co.za/book-a-test-drive</t>
        </is>
      </c>
      <c r="R2410" s="121" t="n">
        <v>77.18000000000001</v>
      </c>
      <c r="S2410" s="122" t="n">
        <v>2015</v>
      </c>
      <c r="T2410" s="122" t="n">
        <v>1177</v>
      </c>
      <c r="U2410" s="123">
        <f>IFERROR(S2410/T2410,"")</f>
        <v/>
      </c>
      <c r="V2410" s="122" t="n">
        <v>15</v>
      </c>
      <c r="W2410" s="122" t="n">
        <v>11</v>
      </c>
      <c r="X2410" s="124">
        <f>IFERROR(W2410/S2410,"")</f>
        <v/>
      </c>
      <c r="Y2410" s="121">
        <f>IFERROR(R2410/W2410,"")</f>
        <v/>
      </c>
      <c r="Z2410" s="121">
        <f>IFERROR(R2410/S2410*1000,"")</f>
        <v/>
      </c>
      <c r="AA2410" s="122" t="n">
        <v>8</v>
      </c>
      <c r="AB2410" s="54">
        <f>IFERROR(AA2410/W2410,"")</f>
        <v/>
      </c>
      <c r="AC2410" s="122" t="n">
        <v>0</v>
      </c>
      <c r="AD2410" s="122" t="n">
        <v>0</v>
      </c>
      <c r="AE2410" s="122" t="n">
        <v>0</v>
      </c>
      <c r="AF2410" s="122" t="n">
        <v>0</v>
      </c>
      <c r="AG2410" s="122" t="n">
        <v>0</v>
      </c>
      <c r="AH2410" s="122" t="n">
        <v>0</v>
      </c>
      <c r="AI2410" s="54">
        <f>IFERROR(AC2410/S2410,"")</f>
        <v/>
      </c>
      <c r="AJ2410" s="54">
        <f>IFERROR(AH2410/S2410,"")</f>
        <v/>
      </c>
      <c r="AK2410" s="122" t="n">
        <v>7</v>
      </c>
      <c r="AL2410" s="122" t="n">
        <v>0</v>
      </c>
      <c r="AM2410" s="124">
        <f>IFERROR(AL2410/AA2410,"")</f>
        <v/>
      </c>
      <c r="AN2410" s="125">
        <f>IFERROR(R2410/AL2410,"")</f>
        <v/>
      </c>
      <c r="AO2410" s="122" t="n">
        <v>0</v>
      </c>
      <c r="AP2410" s="54">
        <f>IFERROR(AO2410/AL2410,"")</f>
        <v/>
      </c>
      <c r="AQ2410" s="125">
        <f>IFERROR(R2410/AO2410,"")</f>
        <v/>
      </c>
      <c r="AR2410" s="122" t="n">
        <v>0</v>
      </c>
      <c r="AS2410" s="122" t="n">
        <v>0</v>
      </c>
      <c r="AT2410" s="122">
        <f>AL2410+AR2410</f>
        <v/>
      </c>
      <c r="AU2410" s="125">
        <f>IFERROR(AO2410*Assumptions!$C$26*Assumptions!$C$27*INDEX(Assumptions!$C$18:$C$21,MATCH(H2410,Assumptions!$B$18:$B$21,0)),0)</f>
        <v/>
      </c>
    </row>
    <row r="2411">
      <c r="A2411" s="120" t="n">
        <v>46241</v>
      </c>
      <c r="B2411" s="66" t="inlineStr">
        <is>
          <t>Wk 32</t>
        </is>
      </c>
      <c r="C2411" s="66" t="inlineStr">
        <is>
          <t>Fri</t>
        </is>
      </c>
      <c r="D2411" s="66" t="inlineStr">
        <is>
          <t>Programmatic</t>
        </is>
      </c>
      <c r="E2411" s="66" t="inlineStr">
        <is>
          <t>DV360</t>
        </is>
      </c>
      <c r="F2411" s="66" t="inlineStr">
        <is>
          <t>LEP_ZA_AUG26_PROG_RMKT_DYNAMIC</t>
        </is>
      </c>
      <c r="G2411" s="66" t="inlineStr">
        <is>
          <t>Dynamic Retargeting</t>
        </is>
      </c>
      <c r="H2411" s="66" t="inlineStr">
        <is>
          <t>Range</t>
        </is>
      </c>
      <c r="I2411" s="66" t="inlineStr">
        <is>
          <t>Range Offer</t>
        </is>
      </c>
      <c r="J2411" s="66" t="inlineStr">
        <is>
          <t>PROG_DYN_RMKT_30D</t>
        </is>
      </c>
      <c r="K2411" s="66" t="inlineStr">
        <is>
          <t>Retargeting</t>
        </is>
      </c>
      <c r="L2411" s="66" t="inlineStr">
        <is>
          <t>PROG_DYN_300x600_Offers_v1</t>
        </is>
      </c>
      <c r="M2411" s="66" t="inlineStr">
        <is>
          <t>Dynamic Display 300x600</t>
        </is>
      </c>
      <c r="N2411" s="66" t="inlineStr">
        <is>
          <t>Offers end 31 August</t>
        </is>
      </c>
      <c r="O2411" s="66" t="inlineStr">
        <is>
          <t>Auction - Lowest Cost</t>
        </is>
      </c>
      <c r="P2411" s="66" t="inlineStr">
        <is>
          <t>Conversions (CPA)</t>
        </is>
      </c>
      <c r="Q2411" s="66" t="inlineStr">
        <is>
          <t>https://www.lepas-sa.co.za/book-a-test-drive</t>
        </is>
      </c>
      <c r="R2411" s="121" t="n">
        <v>87.13</v>
      </c>
      <c r="S2411" s="122" t="n">
        <v>2841</v>
      </c>
      <c r="T2411" s="122" t="n">
        <v>2137</v>
      </c>
      <c r="U2411" s="123">
        <f>IFERROR(S2411/T2411,"")</f>
        <v/>
      </c>
      <c r="V2411" s="122" t="n">
        <v>23</v>
      </c>
      <c r="W2411" s="122" t="n">
        <v>17</v>
      </c>
      <c r="X2411" s="124">
        <f>IFERROR(W2411/S2411,"")</f>
        <v/>
      </c>
      <c r="Y2411" s="121">
        <f>IFERROR(R2411/W2411,"")</f>
        <v/>
      </c>
      <c r="Z2411" s="121">
        <f>IFERROR(R2411/S2411*1000,"")</f>
        <v/>
      </c>
      <c r="AA2411" s="122" t="n">
        <v>9</v>
      </c>
      <c r="AB2411" s="54">
        <f>IFERROR(AA2411/W2411,"")</f>
        <v/>
      </c>
      <c r="AC2411" s="122" t="n">
        <v>0</v>
      </c>
      <c r="AD2411" s="122" t="n">
        <v>0</v>
      </c>
      <c r="AE2411" s="122" t="n">
        <v>0</v>
      </c>
      <c r="AF2411" s="122" t="n">
        <v>0</v>
      </c>
      <c r="AG2411" s="122" t="n">
        <v>0</v>
      </c>
      <c r="AH2411" s="122" t="n">
        <v>0</v>
      </c>
      <c r="AI2411" s="54">
        <f>IFERROR(AC2411/S2411,"")</f>
        <v/>
      </c>
      <c r="AJ2411" s="54">
        <f>IFERROR(AH2411/S2411,"")</f>
        <v/>
      </c>
      <c r="AK2411" s="122" t="n">
        <v>4</v>
      </c>
      <c r="AL2411" s="122" t="n">
        <v>1</v>
      </c>
      <c r="AM2411" s="124">
        <f>IFERROR(AL2411/AA2411,"")</f>
        <v/>
      </c>
      <c r="AN2411" s="125">
        <f>IFERROR(R2411/AL2411,"")</f>
        <v/>
      </c>
      <c r="AO2411" s="122" t="n">
        <v>1</v>
      </c>
      <c r="AP2411" s="54">
        <f>IFERROR(AO2411/AL2411,"")</f>
        <v/>
      </c>
      <c r="AQ2411" s="125">
        <f>IFERROR(R2411/AO2411,"")</f>
        <v/>
      </c>
      <c r="AR2411" s="122" t="n">
        <v>2</v>
      </c>
      <c r="AS2411" s="122" t="n">
        <v>1</v>
      </c>
      <c r="AT2411" s="122">
        <f>AL2411+AR2411</f>
        <v/>
      </c>
      <c r="AU2411" s="125">
        <f>IFERROR(AO2411*Assumptions!$C$26*Assumptions!$C$27*INDEX(Assumptions!$C$18:$C$21,MATCH(H2411,Assumptions!$B$18:$B$21,0)),0)</f>
        <v/>
      </c>
    </row>
    <row r="2412">
      <c r="A2412" s="120" t="n">
        <v>46242</v>
      </c>
      <c r="B2412" s="66" t="inlineStr">
        <is>
          <t>Wk 32</t>
        </is>
      </c>
      <c r="C2412" s="66" t="inlineStr">
        <is>
          <t>Sat</t>
        </is>
      </c>
      <c r="D2412" s="66" t="inlineStr">
        <is>
          <t>Programmatic</t>
        </is>
      </c>
      <c r="E2412" s="66" t="inlineStr">
        <is>
          <t>DV360</t>
        </is>
      </c>
      <c r="F2412" s="66" t="inlineStr">
        <is>
          <t>LEP_ZA_AUG26_PROG_RMKT_DYNAMIC</t>
        </is>
      </c>
      <c r="G2412" s="66" t="inlineStr">
        <is>
          <t>Dynamic Retargeting</t>
        </is>
      </c>
      <c r="H2412" s="66" t="inlineStr">
        <is>
          <t>Range</t>
        </is>
      </c>
      <c r="I2412" s="66" t="inlineStr">
        <is>
          <t>Range Offer</t>
        </is>
      </c>
      <c r="J2412" s="66" t="inlineStr">
        <is>
          <t>PROG_DYN_RMKT_30D</t>
        </is>
      </c>
      <c r="K2412" s="66" t="inlineStr">
        <is>
          <t>Retargeting</t>
        </is>
      </c>
      <c r="L2412" s="66" t="inlineStr">
        <is>
          <t>PROG_DYN_300x600_Offers_v1</t>
        </is>
      </c>
      <c r="M2412" s="66" t="inlineStr">
        <is>
          <t>Dynamic Display 300x600</t>
        </is>
      </c>
      <c r="N2412" s="66" t="inlineStr">
        <is>
          <t>Offers end 31 August</t>
        </is>
      </c>
      <c r="O2412" s="66" t="inlineStr">
        <is>
          <t>Auction - Lowest Cost</t>
        </is>
      </c>
      <c r="P2412" s="66" t="inlineStr">
        <is>
          <t>Conversions (CPA)</t>
        </is>
      </c>
      <c r="Q2412" s="66" t="inlineStr">
        <is>
          <t>https://www.lepas-sa.co.za/book-a-test-drive</t>
        </is>
      </c>
      <c r="R2412" s="121" t="n">
        <v>98.39</v>
      </c>
      <c r="S2412" s="122" t="n">
        <v>2490</v>
      </c>
      <c r="T2412" s="122" t="n">
        <v>1101</v>
      </c>
      <c r="U2412" s="123">
        <f>IFERROR(S2412/T2412,"")</f>
        <v/>
      </c>
      <c r="V2412" s="122" t="n">
        <v>18</v>
      </c>
      <c r="W2412" s="122" t="n">
        <v>13</v>
      </c>
      <c r="X2412" s="124">
        <f>IFERROR(W2412/S2412,"")</f>
        <v/>
      </c>
      <c r="Y2412" s="121">
        <f>IFERROR(R2412/W2412,"")</f>
        <v/>
      </c>
      <c r="Z2412" s="121">
        <f>IFERROR(R2412/S2412*1000,"")</f>
        <v/>
      </c>
      <c r="AA2412" s="122" t="n">
        <v>8</v>
      </c>
      <c r="AB2412" s="54">
        <f>IFERROR(AA2412/W2412,"")</f>
        <v/>
      </c>
      <c r="AC2412" s="122" t="n">
        <v>0</v>
      </c>
      <c r="AD2412" s="122" t="n">
        <v>0</v>
      </c>
      <c r="AE2412" s="122" t="n">
        <v>0</v>
      </c>
      <c r="AF2412" s="122" t="n">
        <v>0</v>
      </c>
      <c r="AG2412" s="122" t="n">
        <v>0</v>
      </c>
      <c r="AH2412" s="122" t="n">
        <v>0</v>
      </c>
      <c r="AI2412" s="54">
        <f>IFERROR(AC2412/S2412,"")</f>
        <v/>
      </c>
      <c r="AJ2412" s="54">
        <f>IFERROR(AH2412/S2412,"")</f>
        <v/>
      </c>
      <c r="AK2412" s="122" t="n">
        <v>15</v>
      </c>
      <c r="AL2412" s="122" t="n">
        <v>1</v>
      </c>
      <c r="AM2412" s="124">
        <f>IFERROR(AL2412/AA2412,"")</f>
        <v/>
      </c>
      <c r="AN2412" s="125">
        <f>IFERROR(R2412/AL2412,"")</f>
        <v/>
      </c>
      <c r="AO2412" s="122" t="n">
        <v>0</v>
      </c>
      <c r="AP2412" s="54">
        <f>IFERROR(AO2412/AL2412,"")</f>
        <v/>
      </c>
      <c r="AQ2412" s="125">
        <f>IFERROR(R2412/AO2412,"")</f>
        <v/>
      </c>
      <c r="AR2412" s="122" t="n">
        <v>1</v>
      </c>
      <c r="AS2412" s="122" t="n">
        <v>1</v>
      </c>
      <c r="AT2412" s="122">
        <f>AL2412+AR2412</f>
        <v/>
      </c>
      <c r="AU2412" s="125">
        <f>IFERROR(AO2412*Assumptions!$C$26*Assumptions!$C$27*INDEX(Assumptions!$C$18:$C$21,MATCH(H2412,Assumptions!$B$18:$B$21,0)),0)</f>
        <v/>
      </c>
    </row>
    <row r="2413">
      <c r="A2413" s="120" t="n">
        <v>46243</v>
      </c>
      <c r="B2413" s="66" t="inlineStr">
        <is>
          <t>Wk 32</t>
        </is>
      </c>
      <c r="C2413" s="66" t="inlineStr">
        <is>
          <t>Sun</t>
        </is>
      </c>
      <c r="D2413" s="66" t="inlineStr">
        <is>
          <t>Programmatic</t>
        </is>
      </c>
      <c r="E2413" s="66" t="inlineStr">
        <is>
          <t>DV360</t>
        </is>
      </c>
      <c r="F2413" s="66" t="inlineStr">
        <is>
          <t>LEP_ZA_AUG26_PROG_RMKT_DYNAMIC</t>
        </is>
      </c>
      <c r="G2413" s="66" t="inlineStr">
        <is>
          <t>Dynamic Retargeting</t>
        </is>
      </c>
      <c r="H2413" s="66" t="inlineStr">
        <is>
          <t>Range</t>
        </is>
      </c>
      <c r="I2413" s="66" t="inlineStr">
        <is>
          <t>Range Offer</t>
        </is>
      </c>
      <c r="J2413" s="66" t="inlineStr">
        <is>
          <t>PROG_DYN_RMKT_30D</t>
        </is>
      </c>
      <c r="K2413" s="66" t="inlineStr">
        <is>
          <t>Retargeting</t>
        </is>
      </c>
      <c r="L2413" s="66" t="inlineStr">
        <is>
          <t>PROG_DYN_300x600_Offers_v1</t>
        </is>
      </c>
      <c r="M2413" s="66" t="inlineStr">
        <is>
          <t>Dynamic Display 300x600</t>
        </is>
      </c>
      <c r="N2413" s="66" t="inlineStr">
        <is>
          <t>Offers end 31 August</t>
        </is>
      </c>
      <c r="O2413" s="66" t="inlineStr">
        <is>
          <t>Auction - Lowest Cost</t>
        </is>
      </c>
      <c r="P2413" s="66" t="inlineStr">
        <is>
          <t>Conversions (CPA)</t>
        </is>
      </c>
      <c r="Q2413" s="66" t="inlineStr">
        <is>
          <t>https://www.lepas-sa.co.za/book-a-test-drive</t>
        </is>
      </c>
      <c r="R2413" s="121" t="n">
        <v>66.8</v>
      </c>
      <c r="S2413" s="122" t="n">
        <v>1599</v>
      </c>
      <c r="T2413" s="122" t="n">
        <v>1167</v>
      </c>
      <c r="U2413" s="123">
        <f>IFERROR(S2413/T2413,"")</f>
        <v/>
      </c>
      <c r="V2413" s="122" t="n">
        <v>11</v>
      </c>
      <c r="W2413" s="122" t="n">
        <v>9</v>
      </c>
      <c r="X2413" s="124">
        <f>IFERROR(W2413/S2413,"")</f>
        <v/>
      </c>
      <c r="Y2413" s="121">
        <f>IFERROR(R2413/W2413,"")</f>
        <v/>
      </c>
      <c r="Z2413" s="121">
        <f>IFERROR(R2413/S2413*1000,"")</f>
        <v/>
      </c>
      <c r="AA2413" s="122" t="n">
        <v>6</v>
      </c>
      <c r="AB2413" s="54">
        <f>IFERROR(AA2413/W2413,"")</f>
        <v/>
      </c>
      <c r="AC2413" s="122" t="n">
        <v>0</v>
      </c>
      <c r="AD2413" s="122" t="n">
        <v>0</v>
      </c>
      <c r="AE2413" s="122" t="n">
        <v>0</v>
      </c>
      <c r="AF2413" s="122" t="n">
        <v>0</v>
      </c>
      <c r="AG2413" s="122" t="n">
        <v>0</v>
      </c>
      <c r="AH2413" s="122" t="n">
        <v>0</v>
      </c>
      <c r="AI2413" s="54">
        <f>IFERROR(AC2413/S2413,"")</f>
        <v/>
      </c>
      <c r="AJ2413" s="54">
        <f>IFERROR(AH2413/S2413,"")</f>
        <v/>
      </c>
      <c r="AK2413" s="122" t="n">
        <v>7</v>
      </c>
      <c r="AL2413" s="122" t="n">
        <v>0</v>
      </c>
      <c r="AM2413" s="124">
        <f>IFERROR(AL2413/AA2413,"")</f>
        <v/>
      </c>
      <c r="AN2413" s="125">
        <f>IFERROR(R2413/AL2413,"")</f>
        <v/>
      </c>
      <c r="AO2413" s="122" t="n">
        <v>0</v>
      </c>
      <c r="AP2413" s="54">
        <f>IFERROR(AO2413/AL2413,"")</f>
        <v/>
      </c>
      <c r="AQ2413" s="125">
        <f>IFERROR(R2413/AO2413,"")</f>
        <v/>
      </c>
      <c r="AR2413" s="122" t="n">
        <v>0</v>
      </c>
      <c r="AS2413" s="122" t="n">
        <v>0</v>
      </c>
      <c r="AT2413" s="122">
        <f>AL2413+AR2413</f>
        <v/>
      </c>
      <c r="AU2413" s="125">
        <f>IFERROR(AO2413*Assumptions!$C$26*Assumptions!$C$27*INDEX(Assumptions!$C$18:$C$21,MATCH(H2413,Assumptions!$B$18:$B$21,0)),0)</f>
        <v/>
      </c>
    </row>
    <row r="2414">
      <c r="A2414" s="120" t="n">
        <v>46244</v>
      </c>
      <c r="B2414" s="66" t="inlineStr">
        <is>
          <t>Wk 33</t>
        </is>
      </c>
      <c r="C2414" s="66" t="inlineStr">
        <is>
          <t>Mon</t>
        </is>
      </c>
      <c r="D2414" s="66" t="inlineStr">
        <is>
          <t>Programmatic</t>
        </is>
      </c>
      <c r="E2414" s="66" t="inlineStr">
        <is>
          <t>DV360</t>
        </is>
      </c>
      <c r="F2414" s="66" t="inlineStr">
        <is>
          <t>LEP_ZA_AUG26_PROG_RMKT_DYNAMIC</t>
        </is>
      </c>
      <c r="G2414" s="66" t="inlineStr">
        <is>
          <t>Dynamic Retargeting</t>
        </is>
      </c>
      <c r="H2414" s="66" t="inlineStr">
        <is>
          <t>Range</t>
        </is>
      </c>
      <c r="I2414" s="66" t="inlineStr">
        <is>
          <t>Range Offer</t>
        </is>
      </c>
      <c r="J2414" s="66" t="inlineStr">
        <is>
          <t>PROG_DYN_RMKT_30D</t>
        </is>
      </c>
      <c r="K2414" s="66" t="inlineStr">
        <is>
          <t>Retargeting</t>
        </is>
      </c>
      <c r="L2414" s="66" t="inlineStr">
        <is>
          <t>PROG_DYN_300x600_Offers_v1</t>
        </is>
      </c>
      <c r="M2414" s="66" t="inlineStr">
        <is>
          <t>Dynamic Display 300x600</t>
        </is>
      </c>
      <c r="N2414" s="66" t="inlineStr">
        <is>
          <t>Offers end 31 August</t>
        </is>
      </c>
      <c r="O2414" s="66" t="inlineStr">
        <is>
          <t>Auction - Lowest Cost</t>
        </is>
      </c>
      <c r="P2414" s="66" t="inlineStr">
        <is>
          <t>Conversions (CPA)</t>
        </is>
      </c>
      <c r="Q2414" s="66" t="inlineStr">
        <is>
          <t>https://www.lepas-sa.co.za/book-a-test-drive</t>
        </is>
      </c>
      <c r="R2414" s="121" t="n">
        <v>85.55</v>
      </c>
      <c r="S2414" s="122" t="n">
        <v>1837</v>
      </c>
      <c r="T2414" s="122" t="n">
        <v>1301</v>
      </c>
      <c r="U2414" s="123">
        <f>IFERROR(S2414/T2414,"")</f>
        <v/>
      </c>
      <c r="V2414" s="122" t="n">
        <v>12</v>
      </c>
      <c r="W2414" s="122" t="n">
        <v>10</v>
      </c>
      <c r="X2414" s="124">
        <f>IFERROR(W2414/S2414,"")</f>
        <v/>
      </c>
      <c r="Y2414" s="121">
        <f>IFERROR(R2414/W2414,"")</f>
        <v/>
      </c>
      <c r="Z2414" s="121">
        <f>IFERROR(R2414/S2414*1000,"")</f>
        <v/>
      </c>
      <c r="AA2414" s="122" t="n">
        <v>6</v>
      </c>
      <c r="AB2414" s="54">
        <f>IFERROR(AA2414/W2414,"")</f>
        <v/>
      </c>
      <c r="AC2414" s="122" t="n">
        <v>0</v>
      </c>
      <c r="AD2414" s="122" t="n">
        <v>0</v>
      </c>
      <c r="AE2414" s="122" t="n">
        <v>0</v>
      </c>
      <c r="AF2414" s="122" t="n">
        <v>0</v>
      </c>
      <c r="AG2414" s="122" t="n">
        <v>0</v>
      </c>
      <c r="AH2414" s="122" t="n">
        <v>0</v>
      </c>
      <c r="AI2414" s="54">
        <f>IFERROR(AC2414/S2414,"")</f>
        <v/>
      </c>
      <c r="AJ2414" s="54">
        <f>IFERROR(AH2414/S2414,"")</f>
        <v/>
      </c>
      <c r="AK2414" s="122" t="n">
        <v>8</v>
      </c>
      <c r="AL2414" s="122" t="n">
        <v>1</v>
      </c>
      <c r="AM2414" s="124">
        <f>IFERROR(AL2414/AA2414,"")</f>
        <v/>
      </c>
      <c r="AN2414" s="125">
        <f>IFERROR(R2414/AL2414,"")</f>
        <v/>
      </c>
      <c r="AO2414" s="122" t="n">
        <v>0</v>
      </c>
      <c r="AP2414" s="54">
        <f>IFERROR(AO2414/AL2414,"")</f>
        <v/>
      </c>
      <c r="AQ2414" s="125">
        <f>IFERROR(R2414/AO2414,"")</f>
        <v/>
      </c>
      <c r="AR2414" s="122" t="n">
        <v>2</v>
      </c>
      <c r="AS2414" s="122" t="n">
        <v>2</v>
      </c>
      <c r="AT2414" s="122">
        <f>AL2414+AR2414</f>
        <v/>
      </c>
      <c r="AU2414" s="125">
        <f>IFERROR(AO2414*Assumptions!$C$26*Assumptions!$C$27*INDEX(Assumptions!$C$18:$C$21,MATCH(H2414,Assumptions!$B$18:$B$21,0)),0)</f>
        <v/>
      </c>
    </row>
    <row r="2415">
      <c r="A2415" s="120" t="n">
        <v>46245</v>
      </c>
      <c r="B2415" s="66" t="inlineStr">
        <is>
          <t>Wk 33</t>
        </is>
      </c>
      <c r="C2415" s="66" t="inlineStr">
        <is>
          <t>Tue</t>
        </is>
      </c>
      <c r="D2415" s="66" t="inlineStr">
        <is>
          <t>Programmatic</t>
        </is>
      </c>
      <c r="E2415" s="66" t="inlineStr">
        <is>
          <t>DV360</t>
        </is>
      </c>
      <c r="F2415" s="66" t="inlineStr">
        <is>
          <t>LEP_ZA_AUG26_PROG_RMKT_DYNAMIC</t>
        </is>
      </c>
      <c r="G2415" s="66" t="inlineStr">
        <is>
          <t>Dynamic Retargeting</t>
        </is>
      </c>
      <c r="H2415" s="66" t="inlineStr">
        <is>
          <t>Range</t>
        </is>
      </c>
      <c r="I2415" s="66" t="inlineStr">
        <is>
          <t>Range Offer</t>
        </is>
      </c>
      <c r="J2415" s="66" t="inlineStr">
        <is>
          <t>PROG_DYN_RMKT_30D</t>
        </is>
      </c>
      <c r="K2415" s="66" t="inlineStr">
        <is>
          <t>Retargeting</t>
        </is>
      </c>
      <c r="L2415" s="66" t="inlineStr">
        <is>
          <t>PROG_DYN_300x600_Offers_v1</t>
        </is>
      </c>
      <c r="M2415" s="66" t="inlineStr">
        <is>
          <t>Dynamic Display 300x600</t>
        </is>
      </c>
      <c r="N2415" s="66" t="inlineStr">
        <is>
          <t>Offers end 31 August</t>
        </is>
      </c>
      <c r="O2415" s="66" t="inlineStr">
        <is>
          <t>Auction - Lowest Cost</t>
        </is>
      </c>
      <c r="P2415" s="66" t="inlineStr">
        <is>
          <t>Conversions (CPA)</t>
        </is>
      </c>
      <c r="Q2415" s="66" t="inlineStr">
        <is>
          <t>https://www.lepas-sa.co.za/book-a-test-drive</t>
        </is>
      </c>
      <c r="R2415" s="121" t="n">
        <v>63.39</v>
      </c>
      <c r="S2415" s="122" t="n">
        <v>2124</v>
      </c>
      <c r="T2415" s="122" t="n">
        <v>1008</v>
      </c>
      <c r="U2415" s="123">
        <f>IFERROR(S2415/T2415,"")</f>
        <v/>
      </c>
      <c r="V2415" s="122" t="n">
        <v>14</v>
      </c>
      <c r="W2415" s="122" t="n">
        <v>11</v>
      </c>
      <c r="X2415" s="124">
        <f>IFERROR(W2415/S2415,"")</f>
        <v/>
      </c>
      <c r="Y2415" s="121">
        <f>IFERROR(R2415/W2415,"")</f>
        <v/>
      </c>
      <c r="Z2415" s="121">
        <f>IFERROR(R2415/S2415*1000,"")</f>
        <v/>
      </c>
      <c r="AA2415" s="122" t="n">
        <v>6</v>
      </c>
      <c r="AB2415" s="54">
        <f>IFERROR(AA2415/W2415,"")</f>
        <v/>
      </c>
      <c r="AC2415" s="122" t="n">
        <v>0</v>
      </c>
      <c r="AD2415" s="122" t="n">
        <v>0</v>
      </c>
      <c r="AE2415" s="122" t="n">
        <v>0</v>
      </c>
      <c r="AF2415" s="122" t="n">
        <v>0</v>
      </c>
      <c r="AG2415" s="122" t="n">
        <v>0</v>
      </c>
      <c r="AH2415" s="122" t="n">
        <v>0</v>
      </c>
      <c r="AI2415" s="54">
        <f>IFERROR(AC2415/S2415,"")</f>
        <v/>
      </c>
      <c r="AJ2415" s="54">
        <f>IFERROR(AH2415/S2415,"")</f>
        <v/>
      </c>
      <c r="AK2415" s="122" t="n">
        <v>12</v>
      </c>
      <c r="AL2415" s="122" t="n">
        <v>0</v>
      </c>
      <c r="AM2415" s="124">
        <f>IFERROR(AL2415/AA2415,"")</f>
        <v/>
      </c>
      <c r="AN2415" s="125">
        <f>IFERROR(R2415/AL2415,"")</f>
        <v/>
      </c>
      <c r="AO2415" s="122" t="n">
        <v>0</v>
      </c>
      <c r="AP2415" s="54">
        <f>IFERROR(AO2415/AL2415,"")</f>
        <v/>
      </c>
      <c r="AQ2415" s="125">
        <f>IFERROR(R2415/AO2415,"")</f>
        <v/>
      </c>
      <c r="AR2415" s="122" t="n">
        <v>0</v>
      </c>
      <c r="AS2415" s="122" t="n">
        <v>0</v>
      </c>
      <c r="AT2415" s="122">
        <f>AL2415+AR2415</f>
        <v/>
      </c>
      <c r="AU2415" s="125">
        <f>IFERROR(AO2415*Assumptions!$C$26*Assumptions!$C$27*INDEX(Assumptions!$C$18:$C$21,MATCH(H2415,Assumptions!$B$18:$B$21,0)),0)</f>
        <v/>
      </c>
    </row>
    <row r="2416">
      <c r="A2416" s="120" t="n">
        <v>46246</v>
      </c>
      <c r="B2416" s="66" t="inlineStr">
        <is>
          <t>Wk 33</t>
        </is>
      </c>
      <c r="C2416" s="66" t="inlineStr">
        <is>
          <t>Wed</t>
        </is>
      </c>
      <c r="D2416" s="66" t="inlineStr">
        <is>
          <t>Programmatic</t>
        </is>
      </c>
      <c r="E2416" s="66" t="inlineStr">
        <is>
          <t>DV360</t>
        </is>
      </c>
      <c r="F2416" s="66" t="inlineStr">
        <is>
          <t>LEP_ZA_AUG26_PROG_RMKT_DYNAMIC</t>
        </is>
      </c>
      <c r="G2416" s="66" t="inlineStr">
        <is>
          <t>Dynamic Retargeting</t>
        </is>
      </c>
      <c r="H2416" s="66" t="inlineStr">
        <is>
          <t>Range</t>
        </is>
      </c>
      <c r="I2416" s="66" t="inlineStr">
        <is>
          <t>Range Offer</t>
        </is>
      </c>
      <c r="J2416" s="66" t="inlineStr">
        <is>
          <t>PROG_DYN_RMKT_30D</t>
        </is>
      </c>
      <c r="K2416" s="66" t="inlineStr">
        <is>
          <t>Retargeting</t>
        </is>
      </c>
      <c r="L2416" s="66" t="inlineStr">
        <is>
          <t>PROG_DYN_300x600_Offers_v1</t>
        </is>
      </c>
      <c r="M2416" s="66" t="inlineStr">
        <is>
          <t>Dynamic Display 300x600</t>
        </is>
      </c>
      <c r="N2416" s="66" t="inlineStr">
        <is>
          <t>Offers end 31 August</t>
        </is>
      </c>
      <c r="O2416" s="66" t="inlineStr">
        <is>
          <t>Auction - Lowest Cost</t>
        </is>
      </c>
      <c r="P2416" s="66" t="inlineStr">
        <is>
          <t>Conversions (CPA)</t>
        </is>
      </c>
      <c r="Q2416" s="66" t="inlineStr">
        <is>
          <t>https://www.lepas-sa.co.za/book-a-test-drive</t>
        </is>
      </c>
      <c r="R2416" s="121" t="n">
        <v>68.11</v>
      </c>
      <c r="S2416" s="122" t="n">
        <v>1539</v>
      </c>
      <c r="T2416" s="122" t="n">
        <v>681</v>
      </c>
      <c r="U2416" s="123">
        <f>IFERROR(S2416/T2416,"")</f>
        <v/>
      </c>
      <c r="V2416" s="122" t="n">
        <v>10</v>
      </c>
      <c r="W2416" s="122" t="n">
        <v>8</v>
      </c>
      <c r="X2416" s="124">
        <f>IFERROR(W2416/S2416,"")</f>
        <v/>
      </c>
      <c r="Y2416" s="121">
        <f>IFERROR(R2416/W2416,"")</f>
        <v/>
      </c>
      <c r="Z2416" s="121">
        <f>IFERROR(R2416/S2416*1000,"")</f>
        <v/>
      </c>
      <c r="AA2416" s="122" t="n">
        <v>4</v>
      </c>
      <c r="AB2416" s="54">
        <f>IFERROR(AA2416/W2416,"")</f>
        <v/>
      </c>
      <c r="AC2416" s="122" t="n">
        <v>0</v>
      </c>
      <c r="AD2416" s="122" t="n">
        <v>0</v>
      </c>
      <c r="AE2416" s="122" t="n">
        <v>0</v>
      </c>
      <c r="AF2416" s="122" t="n">
        <v>0</v>
      </c>
      <c r="AG2416" s="122" t="n">
        <v>0</v>
      </c>
      <c r="AH2416" s="122" t="n">
        <v>0</v>
      </c>
      <c r="AI2416" s="54">
        <f>IFERROR(AC2416/S2416,"")</f>
        <v/>
      </c>
      <c r="AJ2416" s="54">
        <f>IFERROR(AH2416/S2416,"")</f>
        <v/>
      </c>
      <c r="AK2416" s="122" t="n">
        <v>6</v>
      </c>
      <c r="AL2416" s="122" t="n">
        <v>0</v>
      </c>
      <c r="AM2416" s="124">
        <f>IFERROR(AL2416/AA2416,"")</f>
        <v/>
      </c>
      <c r="AN2416" s="125">
        <f>IFERROR(R2416/AL2416,"")</f>
        <v/>
      </c>
      <c r="AO2416" s="122" t="n">
        <v>0</v>
      </c>
      <c r="AP2416" s="54">
        <f>IFERROR(AO2416/AL2416,"")</f>
        <v/>
      </c>
      <c r="AQ2416" s="125">
        <f>IFERROR(R2416/AO2416,"")</f>
        <v/>
      </c>
      <c r="AR2416" s="122" t="n">
        <v>0</v>
      </c>
      <c r="AS2416" s="122" t="n">
        <v>0</v>
      </c>
      <c r="AT2416" s="122">
        <f>AL2416+AR2416</f>
        <v/>
      </c>
      <c r="AU2416" s="125">
        <f>IFERROR(AO2416*Assumptions!$C$26*Assumptions!$C$27*INDEX(Assumptions!$C$18:$C$21,MATCH(H2416,Assumptions!$B$18:$B$21,0)),0)</f>
        <v/>
      </c>
    </row>
    <row r="2417">
      <c r="A2417" s="120" t="n">
        <v>46247</v>
      </c>
      <c r="B2417" s="66" t="inlineStr">
        <is>
          <t>Wk 33</t>
        </is>
      </c>
      <c r="C2417" s="66" t="inlineStr">
        <is>
          <t>Thu</t>
        </is>
      </c>
      <c r="D2417" s="66" t="inlineStr">
        <is>
          <t>Programmatic</t>
        </is>
      </c>
      <c r="E2417" s="66" t="inlineStr">
        <is>
          <t>DV360</t>
        </is>
      </c>
      <c r="F2417" s="66" t="inlineStr">
        <is>
          <t>LEP_ZA_AUG26_PROG_RMKT_DYNAMIC</t>
        </is>
      </c>
      <c r="G2417" s="66" t="inlineStr">
        <is>
          <t>Dynamic Retargeting</t>
        </is>
      </c>
      <c r="H2417" s="66" t="inlineStr">
        <is>
          <t>Range</t>
        </is>
      </c>
      <c r="I2417" s="66" t="inlineStr">
        <is>
          <t>Range Offer</t>
        </is>
      </c>
      <c r="J2417" s="66" t="inlineStr">
        <is>
          <t>PROG_DYN_RMKT_30D</t>
        </is>
      </c>
      <c r="K2417" s="66" t="inlineStr">
        <is>
          <t>Retargeting</t>
        </is>
      </c>
      <c r="L2417" s="66" t="inlineStr">
        <is>
          <t>PROG_DYN_300x600_Offers_v1</t>
        </is>
      </c>
      <c r="M2417" s="66" t="inlineStr">
        <is>
          <t>Dynamic Display 300x600</t>
        </is>
      </c>
      <c r="N2417" s="66" t="inlineStr">
        <is>
          <t>Offers end 31 August</t>
        </is>
      </c>
      <c r="O2417" s="66" t="inlineStr">
        <is>
          <t>Auction - Lowest Cost</t>
        </is>
      </c>
      <c r="P2417" s="66" t="inlineStr">
        <is>
          <t>Conversions (CPA)</t>
        </is>
      </c>
      <c r="Q2417" s="66" t="inlineStr">
        <is>
          <t>https://www.lepas-sa.co.za/book-a-test-drive</t>
        </is>
      </c>
      <c r="R2417" s="121" t="n">
        <v>92.27</v>
      </c>
      <c r="S2417" s="122" t="n">
        <v>4058</v>
      </c>
      <c r="T2417" s="122" t="n">
        <v>2135</v>
      </c>
      <c r="U2417" s="123">
        <f>IFERROR(S2417/T2417,"")</f>
        <v/>
      </c>
      <c r="V2417" s="122" t="n">
        <v>20</v>
      </c>
      <c r="W2417" s="122" t="n">
        <v>15</v>
      </c>
      <c r="X2417" s="124">
        <f>IFERROR(W2417/S2417,"")</f>
        <v/>
      </c>
      <c r="Y2417" s="121">
        <f>IFERROR(R2417/W2417,"")</f>
        <v/>
      </c>
      <c r="Z2417" s="121">
        <f>IFERROR(R2417/S2417*1000,"")</f>
        <v/>
      </c>
      <c r="AA2417" s="122" t="n">
        <v>9</v>
      </c>
      <c r="AB2417" s="54">
        <f>IFERROR(AA2417/W2417,"")</f>
        <v/>
      </c>
      <c r="AC2417" s="122" t="n">
        <v>0</v>
      </c>
      <c r="AD2417" s="122" t="n">
        <v>0</v>
      </c>
      <c r="AE2417" s="122" t="n">
        <v>0</v>
      </c>
      <c r="AF2417" s="122" t="n">
        <v>0</v>
      </c>
      <c r="AG2417" s="122" t="n">
        <v>0</v>
      </c>
      <c r="AH2417" s="122" t="n">
        <v>0</v>
      </c>
      <c r="AI2417" s="54">
        <f>IFERROR(AC2417/S2417,"")</f>
        <v/>
      </c>
      <c r="AJ2417" s="54">
        <f>IFERROR(AH2417/S2417,"")</f>
        <v/>
      </c>
      <c r="AK2417" s="122" t="n">
        <v>9</v>
      </c>
      <c r="AL2417" s="122" t="n">
        <v>0</v>
      </c>
      <c r="AM2417" s="124">
        <f>IFERROR(AL2417/AA2417,"")</f>
        <v/>
      </c>
      <c r="AN2417" s="125">
        <f>IFERROR(R2417/AL2417,"")</f>
        <v/>
      </c>
      <c r="AO2417" s="122" t="n">
        <v>0</v>
      </c>
      <c r="AP2417" s="54">
        <f>IFERROR(AO2417/AL2417,"")</f>
        <v/>
      </c>
      <c r="AQ2417" s="125">
        <f>IFERROR(R2417/AO2417,"")</f>
        <v/>
      </c>
      <c r="AR2417" s="122" t="n">
        <v>0</v>
      </c>
      <c r="AS2417" s="122" t="n">
        <v>0</v>
      </c>
      <c r="AT2417" s="122">
        <f>AL2417+AR2417</f>
        <v/>
      </c>
      <c r="AU2417" s="125">
        <f>IFERROR(AO2417*Assumptions!$C$26*Assumptions!$C$27*INDEX(Assumptions!$C$18:$C$21,MATCH(H2417,Assumptions!$B$18:$B$21,0)),0)</f>
        <v/>
      </c>
    </row>
    <row r="2418">
      <c r="A2418" s="120" t="n">
        <v>46248</v>
      </c>
      <c r="B2418" s="66" t="inlineStr">
        <is>
          <t>Wk 33</t>
        </is>
      </c>
      <c r="C2418" s="66" t="inlineStr">
        <is>
          <t>Fri</t>
        </is>
      </c>
      <c r="D2418" s="66" t="inlineStr">
        <is>
          <t>Programmatic</t>
        </is>
      </c>
      <c r="E2418" s="66" t="inlineStr">
        <is>
          <t>DV360</t>
        </is>
      </c>
      <c r="F2418" s="66" t="inlineStr">
        <is>
          <t>LEP_ZA_AUG26_PROG_RMKT_DYNAMIC</t>
        </is>
      </c>
      <c r="G2418" s="66" t="inlineStr">
        <is>
          <t>Dynamic Retargeting</t>
        </is>
      </c>
      <c r="H2418" s="66" t="inlineStr">
        <is>
          <t>Range</t>
        </is>
      </c>
      <c r="I2418" s="66" t="inlineStr">
        <is>
          <t>Range Offer</t>
        </is>
      </c>
      <c r="J2418" s="66" t="inlineStr">
        <is>
          <t>PROG_DYN_RMKT_30D</t>
        </is>
      </c>
      <c r="K2418" s="66" t="inlineStr">
        <is>
          <t>Retargeting</t>
        </is>
      </c>
      <c r="L2418" s="66" t="inlineStr">
        <is>
          <t>PROG_DYN_300x600_Offers_v1</t>
        </is>
      </c>
      <c r="M2418" s="66" t="inlineStr">
        <is>
          <t>Dynamic Display 300x600</t>
        </is>
      </c>
      <c r="N2418" s="66" t="inlineStr">
        <is>
          <t>Offers end 31 August</t>
        </is>
      </c>
      <c r="O2418" s="66" t="inlineStr">
        <is>
          <t>Auction - Lowest Cost</t>
        </is>
      </c>
      <c r="P2418" s="66" t="inlineStr">
        <is>
          <t>Conversions (CPA)</t>
        </is>
      </c>
      <c r="Q2418" s="66" t="inlineStr">
        <is>
          <t>https://www.lepas-sa.co.za/book-a-test-drive</t>
        </is>
      </c>
      <c r="R2418" s="121" t="n">
        <v>93.18000000000001</v>
      </c>
      <c r="S2418" s="122" t="n">
        <v>2401</v>
      </c>
      <c r="T2418" s="122" t="n">
        <v>1537</v>
      </c>
      <c r="U2418" s="123">
        <f>IFERROR(S2418/T2418,"")</f>
        <v/>
      </c>
      <c r="V2418" s="122" t="n">
        <v>15</v>
      </c>
      <c r="W2418" s="122" t="n">
        <v>11</v>
      </c>
      <c r="X2418" s="124">
        <f>IFERROR(W2418/S2418,"")</f>
        <v/>
      </c>
      <c r="Y2418" s="121">
        <f>IFERROR(R2418/W2418,"")</f>
        <v/>
      </c>
      <c r="Z2418" s="121">
        <f>IFERROR(R2418/S2418*1000,"")</f>
        <v/>
      </c>
      <c r="AA2418" s="122" t="n">
        <v>6</v>
      </c>
      <c r="AB2418" s="54">
        <f>IFERROR(AA2418/W2418,"")</f>
        <v/>
      </c>
      <c r="AC2418" s="122" t="n">
        <v>0</v>
      </c>
      <c r="AD2418" s="122" t="n">
        <v>0</v>
      </c>
      <c r="AE2418" s="122" t="n">
        <v>0</v>
      </c>
      <c r="AF2418" s="122" t="n">
        <v>0</v>
      </c>
      <c r="AG2418" s="122" t="n">
        <v>0</v>
      </c>
      <c r="AH2418" s="122" t="n">
        <v>0</v>
      </c>
      <c r="AI2418" s="54">
        <f>IFERROR(AC2418/S2418,"")</f>
        <v/>
      </c>
      <c r="AJ2418" s="54">
        <f>IFERROR(AH2418/S2418,"")</f>
        <v/>
      </c>
      <c r="AK2418" s="122" t="n">
        <v>3</v>
      </c>
      <c r="AL2418" s="122" t="n">
        <v>0</v>
      </c>
      <c r="AM2418" s="124">
        <f>IFERROR(AL2418/AA2418,"")</f>
        <v/>
      </c>
      <c r="AN2418" s="125">
        <f>IFERROR(R2418/AL2418,"")</f>
        <v/>
      </c>
      <c r="AO2418" s="122" t="n">
        <v>0</v>
      </c>
      <c r="AP2418" s="54">
        <f>IFERROR(AO2418/AL2418,"")</f>
        <v/>
      </c>
      <c r="AQ2418" s="125">
        <f>IFERROR(R2418/AO2418,"")</f>
        <v/>
      </c>
      <c r="AR2418" s="122" t="n">
        <v>0</v>
      </c>
      <c r="AS2418" s="122" t="n">
        <v>0</v>
      </c>
      <c r="AT2418" s="122">
        <f>AL2418+AR2418</f>
        <v/>
      </c>
      <c r="AU2418" s="125">
        <f>IFERROR(AO2418*Assumptions!$C$26*Assumptions!$C$27*INDEX(Assumptions!$C$18:$C$21,MATCH(H2418,Assumptions!$B$18:$B$21,0)),0)</f>
        <v/>
      </c>
    </row>
    <row r="2419">
      <c r="A2419" s="120" t="n">
        <v>46249</v>
      </c>
      <c r="B2419" s="66" t="inlineStr">
        <is>
          <t>Wk 33</t>
        </is>
      </c>
      <c r="C2419" s="66" t="inlineStr">
        <is>
          <t>Sat</t>
        </is>
      </c>
      <c r="D2419" s="66" t="inlineStr">
        <is>
          <t>Programmatic</t>
        </is>
      </c>
      <c r="E2419" s="66" t="inlineStr">
        <is>
          <t>DV360</t>
        </is>
      </c>
      <c r="F2419" s="66" t="inlineStr">
        <is>
          <t>LEP_ZA_AUG26_PROG_RMKT_DYNAMIC</t>
        </is>
      </c>
      <c r="G2419" s="66" t="inlineStr">
        <is>
          <t>Dynamic Retargeting</t>
        </is>
      </c>
      <c r="H2419" s="66" t="inlineStr">
        <is>
          <t>Range</t>
        </is>
      </c>
      <c r="I2419" s="66" t="inlineStr">
        <is>
          <t>Range Offer</t>
        </is>
      </c>
      <c r="J2419" s="66" t="inlineStr">
        <is>
          <t>PROG_DYN_RMKT_30D</t>
        </is>
      </c>
      <c r="K2419" s="66" t="inlineStr">
        <is>
          <t>Retargeting</t>
        </is>
      </c>
      <c r="L2419" s="66" t="inlineStr">
        <is>
          <t>PROG_DYN_300x600_Offers_v1</t>
        </is>
      </c>
      <c r="M2419" s="66" t="inlineStr">
        <is>
          <t>Dynamic Display 300x600</t>
        </is>
      </c>
      <c r="N2419" s="66" t="inlineStr">
        <is>
          <t>Offers end 31 August</t>
        </is>
      </c>
      <c r="O2419" s="66" t="inlineStr">
        <is>
          <t>Auction - Lowest Cost</t>
        </is>
      </c>
      <c r="P2419" s="66" t="inlineStr">
        <is>
          <t>Conversions (CPA)</t>
        </is>
      </c>
      <c r="Q2419" s="66" t="inlineStr">
        <is>
          <t>https://www.lepas-sa.co.za/book-a-test-drive</t>
        </is>
      </c>
      <c r="R2419" s="121" t="n">
        <v>78.88</v>
      </c>
      <c r="S2419" s="122" t="n">
        <v>2192</v>
      </c>
      <c r="T2419" s="122" t="n">
        <v>873</v>
      </c>
      <c r="U2419" s="123">
        <f>IFERROR(S2419/T2419,"")</f>
        <v/>
      </c>
      <c r="V2419" s="122" t="n">
        <v>10</v>
      </c>
      <c r="W2419" s="122" t="n">
        <v>8</v>
      </c>
      <c r="X2419" s="124">
        <f>IFERROR(W2419/S2419,"")</f>
        <v/>
      </c>
      <c r="Y2419" s="121">
        <f>IFERROR(R2419/W2419,"")</f>
        <v/>
      </c>
      <c r="Z2419" s="121">
        <f>IFERROR(R2419/S2419*1000,"")</f>
        <v/>
      </c>
      <c r="AA2419" s="122" t="n">
        <v>5</v>
      </c>
      <c r="AB2419" s="54">
        <f>IFERROR(AA2419/W2419,"")</f>
        <v/>
      </c>
      <c r="AC2419" s="122" t="n">
        <v>0</v>
      </c>
      <c r="AD2419" s="122" t="n">
        <v>0</v>
      </c>
      <c r="AE2419" s="122" t="n">
        <v>0</v>
      </c>
      <c r="AF2419" s="122" t="n">
        <v>0</v>
      </c>
      <c r="AG2419" s="122" t="n">
        <v>0</v>
      </c>
      <c r="AH2419" s="122" t="n">
        <v>0</v>
      </c>
      <c r="AI2419" s="54">
        <f>IFERROR(AC2419/S2419,"")</f>
        <v/>
      </c>
      <c r="AJ2419" s="54">
        <f>IFERROR(AH2419/S2419,"")</f>
        <v/>
      </c>
      <c r="AK2419" s="122" t="n">
        <v>4</v>
      </c>
      <c r="AL2419" s="122" t="n">
        <v>1</v>
      </c>
      <c r="AM2419" s="124">
        <f>IFERROR(AL2419/AA2419,"")</f>
        <v/>
      </c>
      <c r="AN2419" s="125">
        <f>IFERROR(R2419/AL2419,"")</f>
        <v/>
      </c>
      <c r="AO2419" s="122" t="n">
        <v>0</v>
      </c>
      <c r="AP2419" s="54">
        <f>IFERROR(AO2419/AL2419,"")</f>
        <v/>
      </c>
      <c r="AQ2419" s="125">
        <f>IFERROR(R2419/AO2419,"")</f>
        <v/>
      </c>
      <c r="AR2419" s="122" t="n">
        <v>3</v>
      </c>
      <c r="AS2419" s="122" t="n">
        <v>1</v>
      </c>
      <c r="AT2419" s="122">
        <f>AL2419+AR2419</f>
        <v/>
      </c>
      <c r="AU2419" s="125">
        <f>IFERROR(AO2419*Assumptions!$C$26*Assumptions!$C$27*INDEX(Assumptions!$C$18:$C$21,MATCH(H2419,Assumptions!$B$18:$B$21,0)),0)</f>
        <v/>
      </c>
    </row>
    <row r="2420">
      <c r="A2420" s="120" t="n">
        <v>46250</v>
      </c>
      <c r="B2420" s="66" t="inlineStr">
        <is>
          <t>Wk 33</t>
        </is>
      </c>
      <c r="C2420" s="66" t="inlineStr">
        <is>
          <t>Sun</t>
        </is>
      </c>
      <c r="D2420" s="66" t="inlineStr">
        <is>
          <t>Programmatic</t>
        </is>
      </c>
      <c r="E2420" s="66" t="inlineStr">
        <is>
          <t>DV360</t>
        </is>
      </c>
      <c r="F2420" s="66" t="inlineStr">
        <is>
          <t>LEP_ZA_AUG26_PROG_RMKT_DYNAMIC</t>
        </is>
      </c>
      <c r="G2420" s="66" t="inlineStr">
        <is>
          <t>Dynamic Retargeting</t>
        </is>
      </c>
      <c r="H2420" s="66" t="inlineStr">
        <is>
          <t>Range</t>
        </is>
      </c>
      <c r="I2420" s="66" t="inlineStr">
        <is>
          <t>Range Offer</t>
        </is>
      </c>
      <c r="J2420" s="66" t="inlineStr">
        <is>
          <t>PROG_DYN_RMKT_30D</t>
        </is>
      </c>
      <c r="K2420" s="66" t="inlineStr">
        <is>
          <t>Retargeting</t>
        </is>
      </c>
      <c r="L2420" s="66" t="inlineStr">
        <is>
          <t>PROG_DYN_300x600_Offers_v1</t>
        </is>
      </c>
      <c r="M2420" s="66" t="inlineStr">
        <is>
          <t>Dynamic Display 300x600</t>
        </is>
      </c>
      <c r="N2420" s="66" t="inlineStr">
        <is>
          <t>Offers end 31 August</t>
        </is>
      </c>
      <c r="O2420" s="66" t="inlineStr">
        <is>
          <t>Auction - Lowest Cost</t>
        </is>
      </c>
      <c r="P2420" s="66" t="inlineStr">
        <is>
          <t>Conversions (CPA)</t>
        </is>
      </c>
      <c r="Q2420" s="66" t="inlineStr">
        <is>
          <t>https://www.lepas-sa.co.za/book-a-test-drive</t>
        </is>
      </c>
      <c r="R2420" s="121" t="n">
        <v>65.61</v>
      </c>
      <c r="S2420" s="122" t="n">
        <v>1603</v>
      </c>
      <c r="T2420" s="122" t="n">
        <v>658</v>
      </c>
      <c r="U2420" s="123">
        <f>IFERROR(S2420/T2420,"")</f>
        <v/>
      </c>
      <c r="V2420" s="122" t="n">
        <v>5</v>
      </c>
      <c r="W2420" s="122" t="n">
        <v>4</v>
      </c>
      <c r="X2420" s="124">
        <f>IFERROR(W2420/S2420,"")</f>
        <v/>
      </c>
      <c r="Y2420" s="121">
        <f>IFERROR(R2420/W2420,"")</f>
        <v/>
      </c>
      <c r="Z2420" s="121">
        <f>IFERROR(R2420/S2420*1000,"")</f>
        <v/>
      </c>
      <c r="AA2420" s="122" t="n">
        <v>3</v>
      </c>
      <c r="AB2420" s="54">
        <f>IFERROR(AA2420/W2420,"")</f>
        <v/>
      </c>
      <c r="AC2420" s="122" t="n">
        <v>0</v>
      </c>
      <c r="AD2420" s="122" t="n">
        <v>0</v>
      </c>
      <c r="AE2420" s="122" t="n">
        <v>0</v>
      </c>
      <c r="AF2420" s="122" t="n">
        <v>0</v>
      </c>
      <c r="AG2420" s="122" t="n">
        <v>0</v>
      </c>
      <c r="AH2420" s="122" t="n">
        <v>0</v>
      </c>
      <c r="AI2420" s="54">
        <f>IFERROR(AC2420/S2420,"")</f>
        <v/>
      </c>
      <c r="AJ2420" s="54">
        <f>IFERROR(AH2420/S2420,"")</f>
        <v/>
      </c>
      <c r="AK2420" s="122" t="n">
        <v>4</v>
      </c>
      <c r="AL2420" s="122" t="n">
        <v>0</v>
      </c>
      <c r="AM2420" s="124">
        <f>IFERROR(AL2420/AA2420,"")</f>
        <v/>
      </c>
      <c r="AN2420" s="125">
        <f>IFERROR(R2420/AL2420,"")</f>
        <v/>
      </c>
      <c r="AO2420" s="122" t="n">
        <v>0</v>
      </c>
      <c r="AP2420" s="54">
        <f>IFERROR(AO2420/AL2420,"")</f>
        <v/>
      </c>
      <c r="AQ2420" s="125">
        <f>IFERROR(R2420/AO2420,"")</f>
        <v/>
      </c>
      <c r="AR2420" s="122" t="n">
        <v>0</v>
      </c>
      <c r="AS2420" s="122" t="n">
        <v>0</v>
      </c>
      <c r="AT2420" s="122">
        <f>AL2420+AR2420</f>
        <v/>
      </c>
      <c r="AU2420" s="125">
        <f>IFERROR(AO2420*Assumptions!$C$26*Assumptions!$C$27*INDEX(Assumptions!$C$18:$C$21,MATCH(H2420,Assumptions!$B$18:$B$21,0)),0)</f>
        <v/>
      </c>
    </row>
    <row r="2421">
      <c r="A2421" s="120" t="n">
        <v>46251</v>
      </c>
      <c r="B2421" s="66" t="inlineStr">
        <is>
          <t>Wk 34</t>
        </is>
      </c>
      <c r="C2421" s="66" t="inlineStr">
        <is>
          <t>Mon</t>
        </is>
      </c>
      <c r="D2421" s="66" t="inlineStr">
        <is>
          <t>Programmatic</t>
        </is>
      </c>
      <c r="E2421" s="66" t="inlineStr">
        <is>
          <t>DV360</t>
        </is>
      </c>
      <c r="F2421" s="66" t="inlineStr">
        <is>
          <t>LEP_ZA_AUG26_PROG_RMKT_DYNAMIC</t>
        </is>
      </c>
      <c r="G2421" s="66" t="inlineStr">
        <is>
          <t>Dynamic Retargeting</t>
        </is>
      </c>
      <c r="H2421" s="66" t="inlineStr">
        <is>
          <t>Range</t>
        </is>
      </c>
      <c r="I2421" s="66" t="inlineStr">
        <is>
          <t>Range Offer</t>
        </is>
      </c>
      <c r="J2421" s="66" t="inlineStr">
        <is>
          <t>PROG_DYN_RMKT_30D</t>
        </is>
      </c>
      <c r="K2421" s="66" t="inlineStr">
        <is>
          <t>Retargeting</t>
        </is>
      </c>
      <c r="L2421" s="66" t="inlineStr">
        <is>
          <t>PROG_DYN_300x600_Offers_v1</t>
        </is>
      </c>
      <c r="M2421" s="66" t="inlineStr">
        <is>
          <t>Dynamic Display 300x600</t>
        </is>
      </c>
      <c r="N2421" s="66" t="inlineStr">
        <is>
          <t>Offers end 31 August</t>
        </is>
      </c>
      <c r="O2421" s="66" t="inlineStr">
        <is>
          <t>Auction - Lowest Cost</t>
        </is>
      </c>
      <c r="P2421" s="66" t="inlineStr">
        <is>
          <t>Conversions (CPA)</t>
        </is>
      </c>
      <c r="Q2421" s="66" t="inlineStr">
        <is>
          <t>https://www.lepas-sa.co.za/book-a-test-drive</t>
        </is>
      </c>
      <c r="R2421" s="121" t="n">
        <v>79.8</v>
      </c>
      <c r="S2421" s="122" t="n">
        <v>3704</v>
      </c>
      <c r="T2421" s="122" t="n">
        <v>2155</v>
      </c>
      <c r="U2421" s="123">
        <f>IFERROR(S2421/T2421,"")</f>
        <v/>
      </c>
      <c r="V2421" s="122" t="n">
        <v>18</v>
      </c>
      <c r="W2421" s="122" t="n">
        <v>13</v>
      </c>
      <c r="X2421" s="124">
        <f>IFERROR(W2421/S2421,"")</f>
        <v/>
      </c>
      <c r="Y2421" s="121">
        <f>IFERROR(R2421/W2421,"")</f>
        <v/>
      </c>
      <c r="Z2421" s="121">
        <f>IFERROR(R2421/S2421*1000,"")</f>
        <v/>
      </c>
      <c r="AA2421" s="122" t="n">
        <v>9</v>
      </c>
      <c r="AB2421" s="54">
        <f>IFERROR(AA2421/W2421,"")</f>
        <v/>
      </c>
      <c r="AC2421" s="122" t="n">
        <v>0</v>
      </c>
      <c r="AD2421" s="122" t="n">
        <v>0</v>
      </c>
      <c r="AE2421" s="122" t="n">
        <v>0</v>
      </c>
      <c r="AF2421" s="122" t="n">
        <v>0</v>
      </c>
      <c r="AG2421" s="122" t="n">
        <v>0</v>
      </c>
      <c r="AH2421" s="122" t="n">
        <v>0</v>
      </c>
      <c r="AI2421" s="54">
        <f>IFERROR(AC2421/S2421,"")</f>
        <v/>
      </c>
      <c r="AJ2421" s="54">
        <f>IFERROR(AH2421/S2421,"")</f>
        <v/>
      </c>
      <c r="AK2421" s="122" t="n">
        <v>19</v>
      </c>
      <c r="AL2421" s="122" t="n">
        <v>0</v>
      </c>
      <c r="AM2421" s="124">
        <f>IFERROR(AL2421/AA2421,"")</f>
        <v/>
      </c>
      <c r="AN2421" s="125">
        <f>IFERROR(R2421/AL2421,"")</f>
        <v/>
      </c>
      <c r="AO2421" s="122" t="n">
        <v>0</v>
      </c>
      <c r="AP2421" s="54">
        <f>IFERROR(AO2421/AL2421,"")</f>
        <v/>
      </c>
      <c r="AQ2421" s="125">
        <f>IFERROR(R2421/AO2421,"")</f>
        <v/>
      </c>
      <c r="AR2421" s="122" t="n">
        <v>0</v>
      </c>
      <c r="AS2421" s="122" t="n">
        <v>0</v>
      </c>
      <c r="AT2421" s="122">
        <f>AL2421+AR2421</f>
        <v/>
      </c>
      <c r="AU2421" s="125">
        <f>IFERROR(AO2421*Assumptions!$C$26*Assumptions!$C$27*INDEX(Assumptions!$C$18:$C$21,MATCH(H2421,Assumptions!$B$18:$B$21,0)),0)</f>
        <v/>
      </c>
    </row>
    <row r="2422">
      <c r="A2422" s="120" t="n">
        <v>46252</v>
      </c>
      <c r="B2422" s="66" t="inlineStr">
        <is>
          <t>Wk 34</t>
        </is>
      </c>
      <c r="C2422" s="66" t="inlineStr">
        <is>
          <t>Tue</t>
        </is>
      </c>
      <c r="D2422" s="66" t="inlineStr">
        <is>
          <t>Programmatic</t>
        </is>
      </c>
      <c r="E2422" s="66" t="inlineStr">
        <is>
          <t>DV360</t>
        </is>
      </c>
      <c r="F2422" s="66" t="inlineStr">
        <is>
          <t>LEP_ZA_AUG26_PROG_RMKT_DYNAMIC</t>
        </is>
      </c>
      <c r="G2422" s="66" t="inlineStr">
        <is>
          <t>Dynamic Retargeting</t>
        </is>
      </c>
      <c r="H2422" s="66" t="inlineStr">
        <is>
          <t>Range</t>
        </is>
      </c>
      <c r="I2422" s="66" t="inlineStr">
        <is>
          <t>Range Offer</t>
        </is>
      </c>
      <c r="J2422" s="66" t="inlineStr">
        <is>
          <t>PROG_DYN_RMKT_30D</t>
        </is>
      </c>
      <c r="K2422" s="66" t="inlineStr">
        <is>
          <t>Retargeting</t>
        </is>
      </c>
      <c r="L2422" s="66" t="inlineStr">
        <is>
          <t>PROG_DYN_300x600_Offers_v1</t>
        </is>
      </c>
      <c r="M2422" s="66" t="inlineStr">
        <is>
          <t>Dynamic Display 300x600</t>
        </is>
      </c>
      <c r="N2422" s="66" t="inlineStr">
        <is>
          <t>Offers end 31 August</t>
        </is>
      </c>
      <c r="O2422" s="66" t="inlineStr">
        <is>
          <t>Auction - Lowest Cost</t>
        </is>
      </c>
      <c r="P2422" s="66" t="inlineStr">
        <is>
          <t>Conversions (CPA)</t>
        </is>
      </c>
      <c r="Q2422" s="66" t="inlineStr">
        <is>
          <t>https://www.lepas-sa.co.za/book-a-test-drive</t>
        </is>
      </c>
      <c r="R2422" s="121" t="n">
        <v>75.31999999999999</v>
      </c>
      <c r="S2422" s="122" t="n">
        <v>1716</v>
      </c>
      <c r="T2422" s="122" t="n">
        <v>749</v>
      </c>
      <c r="U2422" s="123">
        <f>IFERROR(S2422/T2422,"")</f>
        <v/>
      </c>
      <c r="V2422" s="122" t="n">
        <v>6</v>
      </c>
      <c r="W2422" s="122" t="n">
        <v>5</v>
      </c>
      <c r="X2422" s="124">
        <f>IFERROR(W2422/S2422,"")</f>
        <v/>
      </c>
      <c r="Y2422" s="121">
        <f>IFERROR(R2422/W2422,"")</f>
        <v/>
      </c>
      <c r="Z2422" s="121">
        <f>IFERROR(R2422/S2422*1000,"")</f>
        <v/>
      </c>
      <c r="AA2422" s="122" t="n">
        <v>4</v>
      </c>
      <c r="AB2422" s="54">
        <f>IFERROR(AA2422/W2422,"")</f>
        <v/>
      </c>
      <c r="AC2422" s="122" t="n">
        <v>0</v>
      </c>
      <c r="AD2422" s="122" t="n">
        <v>0</v>
      </c>
      <c r="AE2422" s="122" t="n">
        <v>0</v>
      </c>
      <c r="AF2422" s="122" t="n">
        <v>0</v>
      </c>
      <c r="AG2422" s="122" t="n">
        <v>0</v>
      </c>
      <c r="AH2422" s="122" t="n">
        <v>0</v>
      </c>
      <c r="AI2422" s="54">
        <f>IFERROR(AC2422/S2422,"")</f>
        <v/>
      </c>
      <c r="AJ2422" s="54">
        <f>IFERROR(AH2422/S2422,"")</f>
        <v/>
      </c>
      <c r="AK2422" s="122" t="n">
        <v>7</v>
      </c>
      <c r="AL2422" s="122" t="n">
        <v>0</v>
      </c>
      <c r="AM2422" s="124">
        <f>IFERROR(AL2422/AA2422,"")</f>
        <v/>
      </c>
      <c r="AN2422" s="125">
        <f>IFERROR(R2422/AL2422,"")</f>
        <v/>
      </c>
      <c r="AO2422" s="122" t="n">
        <v>0</v>
      </c>
      <c r="AP2422" s="54">
        <f>IFERROR(AO2422/AL2422,"")</f>
        <v/>
      </c>
      <c r="AQ2422" s="125">
        <f>IFERROR(R2422/AO2422,"")</f>
        <v/>
      </c>
      <c r="AR2422" s="122" t="n">
        <v>0</v>
      </c>
      <c r="AS2422" s="122" t="n">
        <v>0</v>
      </c>
      <c r="AT2422" s="122">
        <f>AL2422+AR2422</f>
        <v/>
      </c>
      <c r="AU2422" s="125">
        <f>IFERROR(AO2422*Assumptions!$C$26*Assumptions!$C$27*INDEX(Assumptions!$C$18:$C$21,MATCH(H2422,Assumptions!$B$18:$B$21,0)),0)</f>
        <v/>
      </c>
    </row>
    <row r="2423">
      <c r="A2423" s="120" t="n">
        <v>46253</v>
      </c>
      <c r="B2423" s="66" t="inlineStr">
        <is>
          <t>Wk 34</t>
        </is>
      </c>
      <c r="C2423" s="66" t="inlineStr">
        <is>
          <t>Wed</t>
        </is>
      </c>
      <c r="D2423" s="66" t="inlineStr">
        <is>
          <t>Programmatic</t>
        </is>
      </c>
      <c r="E2423" s="66" t="inlineStr">
        <is>
          <t>DV360</t>
        </is>
      </c>
      <c r="F2423" s="66" t="inlineStr">
        <is>
          <t>LEP_ZA_AUG26_PROG_RMKT_DYNAMIC</t>
        </is>
      </c>
      <c r="G2423" s="66" t="inlineStr">
        <is>
          <t>Dynamic Retargeting</t>
        </is>
      </c>
      <c r="H2423" s="66" t="inlineStr">
        <is>
          <t>Range</t>
        </is>
      </c>
      <c r="I2423" s="66" t="inlineStr">
        <is>
          <t>Range Offer</t>
        </is>
      </c>
      <c r="J2423" s="66" t="inlineStr">
        <is>
          <t>PROG_DYN_RMKT_30D</t>
        </is>
      </c>
      <c r="K2423" s="66" t="inlineStr">
        <is>
          <t>Retargeting</t>
        </is>
      </c>
      <c r="L2423" s="66" t="inlineStr">
        <is>
          <t>PROG_DYN_300x600_Offers_v1</t>
        </is>
      </c>
      <c r="M2423" s="66" t="inlineStr">
        <is>
          <t>Dynamic Display 300x600</t>
        </is>
      </c>
      <c r="N2423" s="66" t="inlineStr">
        <is>
          <t>Offers end 31 August</t>
        </is>
      </c>
      <c r="O2423" s="66" t="inlineStr">
        <is>
          <t>Auction - Lowest Cost</t>
        </is>
      </c>
      <c r="P2423" s="66" t="inlineStr">
        <is>
          <t>Conversions (CPA)</t>
        </is>
      </c>
      <c r="Q2423" s="66" t="inlineStr">
        <is>
          <t>https://www.lepas-sa.co.za/book-a-test-drive</t>
        </is>
      </c>
      <c r="R2423" s="121" t="n">
        <v>79.19</v>
      </c>
      <c r="S2423" s="122" t="n">
        <v>2924</v>
      </c>
      <c r="T2423" s="122" t="n">
        <v>1682</v>
      </c>
      <c r="U2423" s="123">
        <f>IFERROR(S2423/T2423,"")</f>
        <v/>
      </c>
      <c r="V2423" s="122" t="n">
        <v>7</v>
      </c>
      <c r="W2423" s="122" t="n">
        <v>6</v>
      </c>
      <c r="X2423" s="124">
        <f>IFERROR(W2423/S2423,"")</f>
        <v/>
      </c>
      <c r="Y2423" s="121">
        <f>IFERROR(R2423/W2423,"")</f>
        <v/>
      </c>
      <c r="Z2423" s="121">
        <f>IFERROR(R2423/S2423*1000,"")</f>
        <v/>
      </c>
      <c r="AA2423" s="122" t="n">
        <v>4</v>
      </c>
      <c r="AB2423" s="54">
        <f>IFERROR(AA2423/W2423,"")</f>
        <v/>
      </c>
      <c r="AC2423" s="122" t="n">
        <v>0</v>
      </c>
      <c r="AD2423" s="122" t="n">
        <v>0</v>
      </c>
      <c r="AE2423" s="122" t="n">
        <v>0</v>
      </c>
      <c r="AF2423" s="122" t="n">
        <v>0</v>
      </c>
      <c r="AG2423" s="122" t="n">
        <v>0</v>
      </c>
      <c r="AH2423" s="122" t="n">
        <v>0</v>
      </c>
      <c r="AI2423" s="54">
        <f>IFERROR(AC2423/S2423,"")</f>
        <v/>
      </c>
      <c r="AJ2423" s="54">
        <f>IFERROR(AH2423/S2423,"")</f>
        <v/>
      </c>
      <c r="AK2423" s="122" t="n">
        <v>15</v>
      </c>
      <c r="AL2423" s="122" t="n">
        <v>0</v>
      </c>
      <c r="AM2423" s="124">
        <f>IFERROR(AL2423/AA2423,"")</f>
        <v/>
      </c>
      <c r="AN2423" s="125">
        <f>IFERROR(R2423/AL2423,"")</f>
        <v/>
      </c>
      <c r="AO2423" s="122" t="n">
        <v>0</v>
      </c>
      <c r="AP2423" s="54">
        <f>IFERROR(AO2423/AL2423,"")</f>
        <v/>
      </c>
      <c r="AQ2423" s="125">
        <f>IFERROR(R2423/AO2423,"")</f>
        <v/>
      </c>
      <c r="AR2423" s="122" t="n">
        <v>0</v>
      </c>
      <c r="AS2423" s="122" t="n">
        <v>0</v>
      </c>
      <c r="AT2423" s="122">
        <f>AL2423+AR2423</f>
        <v/>
      </c>
      <c r="AU2423" s="125">
        <f>IFERROR(AO2423*Assumptions!$C$26*Assumptions!$C$27*INDEX(Assumptions!$C$18:$C$21,MATCH(H2423,Assumptions!$B$18:$B$21,0)),0)</f>
        <v/>
      </c>
    </row>
    <row r="2424">
      <c r="A2424" s="120" t="n">
        <v>46254</v>
      </c>
      <c r="B2424" s="66" t="inlineStr">
        <is>
          <t>Wk 34</t>
        </is>
      </c>
      <c r="C2424" s="66" t="inlineStr">
        <is>
          <t>Thu</t>
        </is>
      </c>
      <c r="D2424" s="66" t="inlineStr">
        <is>
          <t>Programmatic</t>
        </is>
      </c>
      <c r="E2424" s="66" t="inlineStr">
        <is>
          <t>DV360</t>
        </is>
      </c>
      <c r="F2424" s="66" t="inlineStr">
        <is>
          <t>LEP_ZA_AUG26_PROG_RMKT_DYNAMIC</t>
        </is>
      </c>
      <c r="G2424" s="66" t="inlineStr">
        <is>
          <t>Dynamic Retargeting</t>
        </is>
      </c>
      <c r="H2424" s="66" t="inlineStr">
        <is>
          <t>Range</t>
        </is>
      </c>
      <c r="I2424" s="66" t="inlineStr">
        <is>
          <t>Range Offer</t>
        </is>
      </c>
      <c r="J2424" s="66" t="inlineStr">
        <is>
          <t>PROG_DYN_RMKT_30D</t>
        </is>
      </c>
      <c r="K2424" s="66" t="inlineStr">
        <is>
          <t>Retargeting</t>
        </is>
      </c>
      <c r="L2424" s="66" t="inlineStr">
        <is>
          <t>PROG_DYN_300x600_Offers_v1</t>
        </is>
      </c>
      <c r="M2424" s="66" t="inlineStr">
        <is>
          <t>Dynamic Display 300x600</t>
        </is>
      </c>
      <c r="N2424" s="66" t="inlineStr">
        <is>
          <t>Offers end 31 August</t>
        </is>
      </c>
      <c r="O2424" s="66" t="inlineStr">
        <is>
          <t>Auction - Lowest Cost</t>
        </is>
      </c>
      <c r="P2424" s="66" t="inlineStr">
        <is>
          <t>Conversions (CPA)</t>
        </is>
      </c>
      <c r="Q2424" s="66" t="inlineStr">
        <is>
          <t>https://www.lepas-sa.co.za/book-a-test-drive</t>
        </is>
      </c>
      <c r="R2424" s="121" t="n">
        <v>94.01000000000001</v>
      </c>
      <c r="S2424" s="122" t="n">
        <v>2319</v>
      </c>
      <c r="T2424" s="122" t="n">
        <v>1479</v>
      </c>
      <c r="U2424" s="123">
        <f>IFERROR(S2424/T2424,"")</f>
        <v/>
      </c>
      <c r="V2424" s="122" t="n">
        <v>15</v>
      </c>
      <c r="W2424" s="122" t="n">
        <v>11</v>
      </c>
      <c r="X2424" s="124">
        <f>IFERROR(W2424/S2424,"")</f>
        <v/>
      </c>
      <c r="Y2424" s="121">
        <f>IFERROR(R2424/W2424,"")</f>
        <v/>
      </c>
      <c r="Z2424" s="121">
        <f>IFERROR(R2424/S2424*1000,"")</f>
        <v/>
      </c>
      <c r="AA2424" s="122" t="n">
        <v>7</v>
      </c>
      <c r="AB2424" s="54">
        <f>IFERROR(AA2424/W2424,"")</f>
        <v/>
      </c>
      <c r="AC2424" s="122" t="n">
        <v>0</v>
      </c>
      <c r="AD2424" s="122" t="n">
        <v>0</v>
      </c>
      <c r="AE2424" s="122" t="n">
        <v>0</v>
      </c>
      <c r="AF2424" s="122" t="n">
        <v>0</v>
      </c>
      <c r="AG2424" s="122" t="n">
        <v>0</v>
      </c>
      <c r="AH2424" s="122" t="n">
        <v>0</v>
      </c>
      <c r="AI2424" s="54">
        <f>IFERROR(AC2424/S2424,"")</f>
        <v/>
      </c>
      <c r="AJ2424" s="54">
        <f>IFERROR(AH2424/S2424,"")</f>
        <v/>
      </c>
      <c r="AK2424" s="122" t="n">
        <v>7</v>
      </c>
      <c r="AL2424" s="122" t="n">
        <v>0</v>
      </c>
      <c r="AM2424" s="124">
        <f>IFERROR(AL2424/AA2424,"")</f>
        <v/>
      </c>
      <c r="AN2424" s="125">
        <f>IFERROR(R2424/AL2424,"")</f>
        <v/>
      </c>
      <c r="AO2424" s="122" t="n">
        <v>0</v>
      </c>
      <c r="AP2424" s="54">
        <f>IFERROR(AO2424/AL2424,"")</f>
        <v/>
      </c>
      <c r="AQ2424" s="125">
        <f>IFERROR(R2424/AO2424,"")</f>
        <v/>
      </c>
      <c r="AR2424" s="122" t="n">
        <v>0</v>
      </c>
      <c r="AS2424" s="122" t="n">
        <v>0</v>
      </c>
      <c r="AT2424" s="122">
        <f>AL2424+AR2424</f>
        <v/>
      </c>
      <c r="AU2424" s="125">
        <f>IFERROR(AO2424*Assumptions!$C$26*Assumptions!$C$27*INDEX(Assumptions!$C$18:$C$21,MATCH(H2424,Assumptions!$B$18:$B$21,0)),0)</f>
        <v/>
      </c>
    </row>
    <row r="2425">
      <c r="A2425" s="120" t="n">
        <v>46255</v>
      </c>
      <c r="B2425" s="66" t="inlineStr">
        <is>
          <t>Wk 34</t>
        </is>
      </c>
      <c r="C2425" s="66" t="inlineStr">
        <is>
          <t>Fri</t>
        </is>
      </c>
      <c r="D2425" s="66" t="inlineStr">
        <is>
          <t>Programmatic</t>
        </is>
      </c>
      <c r="E2425" s="66" t="inlineStr">
        <is>
          <t>DV360</t>
        </is>
      </c>
      <c r="F2425" s="66" t="inlineStr">
        <is>
          <t>LEP_ZA_AUG26_PROG_RMKT_DYNAMIC</t>
        </is>
      </c>
      <c r="G2425" s="66" t="inlineStr">
        <is>
          <t>Dynamic Retargeting</t>
        </is>
      </c>
      <c r="H2425" s="66" t="inlineStr">
        <is>
          <t>Range</t>
        </is>
      </c>
      <c r="I2425" s="66" t="inlineStr">
        <is>
          <t>Range Offer</t>
        </is>
      </c>
      <c r="J2425" s="66" t="inlineStr">
        <is>
          <t>PROG_DYN_RMKT_30D</t>
        </is>
      </c>
      <c r="K2425" s="66" t="inlineStr">
        <is>
          <t>Retargeting</t>
        </is>
      </c>
      <c r="L2425" s="66" t="inlineStr">
        <is>
          <t>PROG_DYN_300x600_Offers_v1</t>
        </is>
      </c>
      <c r="M2425" s="66" t="inlineStr">
        <is>
          <t>Dynamic Display 300x600</t>
        </is>
      </c>
      <c r="N2425" s="66" t="inlineStr">
        <is>
          <t>Offers end 31 August</t>
        </is>
      </c>
      <c r="O2425" s="66" t="inlineStr">
        <is>
          <t>Auction - Lowest Cost</t>
        </is>
      </c>
      <c r="P2425" s="66" t="inlineStr">
        <is>
          <t>Conversions (CPA)</t>
        </is>
      </c>
      <c r="Q2425" s="66" t="inlineStr">
        <is>
          <t>https://www.lepas-sa.co.za/book-a-test-drive</t>
        </is>
      </c>
      <c r="R2425" s="121" t="n">
        <v>86.14</v>
      </c>
      <c r="S2425" s="122" t="n">
        <v>3396</v>
      </c>
      <c r="T2425" s="122" t="n">
        <v>1324</v>
      </c>
      <c r="U2425" s="123">
        <f>IFERROR(S2425/T2425,"")</f>
        <v/>
      </c>
      <c r="V2425" s="122" t="n">
        <v>14</v>
      </c>
      <c r="W2425" s="122" t="n">
        <v>10</v>
      </c>
      <c r="X2425" s="124">
        <f>IFERROR(W2425/S2425,"")</f>
        <v/>
      </c>
      <c r="Y2425" s="121">
        <f>IFERROR(R2425/W2425,"")</f>
        <v/>
      </c>
      <c r="Z2425" s="121">
        <f>IFERROR(R2425/S2425*1000,"")</f>
        <v/>
      </c>
      <c r="AA2425" s="122" t="n">
        <v>6</v>
      </c>
      <c r="AB2425" s="54">
        <f>IFERROR(AA2425/W2425,"")</f>
        <v/>
      </c>
      <c r="AC2425" s="122" t="n">
        <v>0</v>
      </c>
      <c r="AD2425" s="122" t="n">
        <v>0</v>
      </c>
      <c r="AE2425" s="122" t="n">
        <v>0</v>
      </c>
      <c r="AF2425" s="122" t="n">
        <v>0</v>
      </c>
      <c r="AG2425" s="122" t="n">
        <v>0</v>
      </c>
      <c r="AH2425" s="122" t="n">
        <v>0</v>
      </c>
      <c r="AI2425" s="54">
        <f>IFERROR(AC2425/S2425,"")</f>
        <v/>
      </c>
      <c r="AJ2425" s="54">
        <f>IFERROR(AH2425/S2425,"")</f>
        <v/>
      </c>
      <c r="AK2425" s="122" t="n">
        <v>12</v>
      </c>
      <c r="AL2425" s="122" t="n">
        <v>0</v>
      </c>
      <c r="AM2425" s="124">
        <f>IFERROR(AL2425/AA2425,"")</f>
        <v/>
      </c>
      <c r="AN2425" s="125">
        <f>IFERROR(R2425/AL2425,"")</f>
        <v/>
      </c>
      <c r="AO2425" s="122" t="n">
        <v>0</v>
      </c>
      <c r="AP2425" s="54">
        <f>IFERROR(AO2425/AL2425,"")</f>
        <v/>
      </c>
      <c r="AQ2425" s="125">
        <f>IFERROR(R2425/AO2425,"")</f>
        <v/>
      </c>
      <c r="AR2425" s="122" t="n">
        <v>0</v>
      </c>
      <c r="AS2425" s="122" t="n">
        <v>0</v>
      </c>
      <c r="AT2425" s="122">
        <f>AL2425+AR2425</f>
        <v/>
      </c>
      <c r="AU2425" s="125">
        <f>IFERROR(AO2425*Assumptions!$C$26*Assumptions!$C$27*INDEX(Assumptions!$C$18:$C$21,MATCH(H2425,Assumptions!$B$18:$B$21,0)),0)</f>
        <v/>
      </c>
    </row>
    <row r="2426">
      <c r="A2426" s="120" t="n">
        <v>46256</v>
      </c>
      <c r="B2426" s="66" t="inlineStr">
        <is>
          <t>Wk 34</t>
        </is>
      </c>
      <c r="C2426" s="66" t="inlineStr">
        <is>
          <t>Sat</t>
        </is>
      </c>
      <c r="D2426" s="66" t="inlineStr">
        <is>
          <t>Programmatic</t>
        </is>
      </c>
      <c r="E2426" s="66" t="inlineStr">
        <is>
          <t>DV360</t>
        </is>
      </c>
      <c r="F2426" s="66" t="inlineStr">
        <is>
          <t>LEP_ZA_AUG26_PROG_RMKT_DYNAMIC</t>
        </is>
      </c>
      <c r="G2426" s="66" t="inlineStr">
        <is>
          <t>Dynamic Retargeting</t>
        </is>
      </c>
      <c r="H2426" s="66" t="inlineStr">
        <is>
          <t>Range</t>
        </is>
      </c>
      <c r="I2426" s="66" t="inlineStr">
        <is>
          <t>Range Offer</t>
        </is>
      </c>
      <c r="J2426" s="66" t="inlineStr">
        <is>
          <t>PROG_DYN_RMKT_30D</t>
        </is>
      </c>
      <c r="K2426" s="66" t="inlineStr">
        <is>
          <t>Retargeting</t>
        </is>
      </c>
      <c r="L2426" s="66" t="inlineStr">
        <is>
          <t>PROG_DYN_300x600_Offers_v1</t>
        </is>
      </c>
      <c r="M2426" s="66" t="inlineStr">
        <is>
          <t>Dynamic Display 300x600</t>
        </is>
      </c>
      <c r="N2426" s="66" t="inlineStr">
        <is>
          <t>Offers end 31 August</t>
        </is>
      </c>
      <c r="O2426" s="66" t="inlineStr">
        <is>
          <t>Auction - Lowest Cost</t>
        </is>
      </c>
      <c r="P2426" s="66" t="inlineStr">
        <is>
          <t>Conversions (CPA)</t>
        </is>
      </c>
      <c r="Q2426" s="66" t="inlineStr">
        <is>
          <t>https://www.lepas-sa.co.za/book-a-test-drive</t>
        </is>
      </c>
      <c r="R2426" s="121" t="n">
        <v>84.29000000000001</v>
      </c>
      <c r="S2426" s="122" t="n">
        <v>2081</v>
      </c>
      <c r="T2426" s="122" t="n">
        <v>917</v>
      </c>
      <c r="U2426" s="123">
        <f>IFERROR(S2426/T2426,"")</f>
        <v/>
      </c>
      <c r="V2426" s="122" t="n">
        <v>7</v>
      </c>
      <c r="W2426" s="122" t="n">
        <v>5</v>
      </c>
      <c r="X2426" s="124">
        <f>IFERROR(W2426/S2426,"")</f>
        <v/>
      </c>
      <c r="Y2426" s="121">
        <f>IFERROR(R2426/W2426,"")</f>
        <v/>
      </c>
      <c r="Z2426" s="121">
        <f>IFERROR(R2426/S2426*1000,"")</f>
        <v/>
      </c>
      <c r="AA2426" s="122" t="n">
        <v>4</v>
      </c>
      <c r="AB2426" s="54">
        <f>IFERROR(AA2426/W2426,"")</f>
        <v/>
      </c>
      <c r="AC2426" s="122" t="n">
        <v>0</v>
      </c>
      <c r="AD2426" s="122" t="n">
        <v>0</v>
      </c>
      <c r="AE2426" s="122" t="n">
        <v>0</v>
      </c>
      <c r="AF2426" s="122" t="n">
        <v>0</v>
      </c>
      <c r="AG2426" s="122" t="n">
        <v>0</v>
      </c>
      <c r="AH2426" s="122" t="n">
        <v>0</v>
      </c>
      <c r="AI2426" s="54">
        <f>IFERROR(AC2426/S2426,"")</f>
        <v/>
      </c>
      <c r="AJ2426" s="54">
        <f>IFERROR(AH2426/S2426,"")</f>
        <v/>
      </c>
      <c r="AK2426" s="122" t="n">
        <v>9</v>
      </c>
      <c r="AL2426" s="122" t="n">
        <v>0</v>
      </c>
      <c r="AM2426" s="124">
        <f>IFERROR(AL2426/AA2426,"")</f>
        <v/>
      </c>
      <c r="AN2426" s="125">
        <f>IFERROR(R2426/AL2426,"")</f>
        <v/>
      </c>
      <c r="AO2426" s="122" t="n">
        <v>0</v>
      </c>
      <c r="AP2426" s="54">
        <f>IFERROR(AO2426/AL2426,"")</f>
        <v/>
      </c>
      <c r="AQ2426" s="125">
        <f>IFERROR(R2426/AO2426,"")</f>
        <v/>
      </c>
      <c r="AR2426" s="122" t="n">
        <v>0</v>
      </c>
      <c r="AS2426" s="122" t="n">
        <v>0</v>
      </c>
      <c r="AT2426" s="122">
        <f>AL2426+AR2426</f>
        <v/>
      </c>
      <c r="AU2426" s="125">
        <f>IFERROR(AO2426*Assumptions!$C$26*Assumptions!$C$27*INDEX(Assumptions!$C$18:$C$21,MATCH(H2426,Assumptions!$B$18:$B$21,0)),0)</f>
        <v/>
      </c>
    </row>
    <row r="2427">
      <c r="A2427" s="120" t="n">
        <v>46257</v>
      </c>
      <c r="B2427" s="66" t="inlineStr">
        <is>
          <t>Wk 34</t>
        </is>
      </c>
      <c r="C2427" s="66" t="inlineStr">
        <is>
          <t>Sun</t>
        </is>
      </c>
      <c r="D2427" s="66" t="inlineStr">
        <is>
          <t>Programmatic</t>
        </is>
      </c>
      <c r="E2427" s="66" t="inlineStr">
        <is>
          <t>DV360</t>
        </is>
      </c>
      <c r="F2427" s="66" t="inlineStr">
        <is>
          <t>LEP_ZA_AUG26_PROG_RMKT_DYNAMIC</t>
        </is>
      </c>
      <c r="G2427" s="66" t="inlineStr">
        <is>
          <t>Dynamic Retargeting</t>
        </is>
      </c>
      <c r="H2427" s="66" t="inlineStr">
        <is>
          <t>Range</t>
        </is>
      </c>
      <c r="I2427" s="66" t="inlineStr">
        <is>
          <t>Range Offer</t>
        </is>
      </c>
      <c r="J2427" s="66" t="inlineStr">
        <is>
          <t>PROG_DYN_RMKT_30D</t>
        </is>
      </c>
      <c r="K2427" s="66" t="inlineStr">
        <is>
          <t>Retargeting</t>
        </is>
      </c>
      <c r="L2427" s="66" t="inlineStr">
        <is>
          <t>PROG_DYN_300x600_Offers_v1</t>
        </is>
      </c>
      <c r="M2427" s="66" t="inlineStr">
        <is>
          <t>Dynamic Display 300x600</t>
        </is>
      </c>
      <c r="N2427" s="66" t="inlineStr">
        <is>
          <t>Offers end 31 August</t>
        </is>
      </c>
      <c r="O2427" s="66" t="inlineStr">
        <is>
          <t>Auction - Lowest Cost</t>
        </is>
      </c>
      <c r="P2427" s="66" t="inlineStr">
        <is>
          <t>Conversions (CPA)</t>
        </is>
      </c>
      <c r="Q2427" s="66" t="inlineStr">
        <is>
          <t>https://www.lepas-sa.co.za/book-a-test-drive</t>
        </is>
      </c>
      <c r="R2427" s="121" t="n">
        <v>74.5</v>
      </c>
      <c r="S2427" s="122" t="n">
        <v>1610</v>
      </c>
      <c r="T2427" s="122" t="n">
        <v>611</v>
      </c>
      <c r="U2427" s="123">
        <f>IFERROR(S2427/T2427,"")</f>
        <v/>
      </c>
      <c r="V2427" s="122" t="n">
        <v>4</v>
      </c>
      <c r="W2427" s="122" t="n">
        <v>3</v>
      </c>
      <c r="X2427" s="124">
        <f>IFERROR(W2427/S2427,"")</f>
        <v/>
      </c>
      <c r="Y2427" s="121">
        <f>IFERROR(R2427/W2427,"")</f>
        <v/>
      </c>
      <c r="Z2427" s="121">
        <f>IFERROR(R2427/S2427*1000,"")</f>
        <v/>
      </c>
      <c r="AA2427" s="122" t="n">
        <v>2</v>
      </c>
      <c r="AB2427" s="54">
        <f>IFERROR(AA2427/W2427,"")</f>
        <v/>
      </c>
      <c r="AC2427" s="122" t="n">
        <v>0</v>
      </c>
      <c r="AD2427" s="122" t="n">
        <v>0</v>
      </c>
      <c r="AE2427" s="122" t="n">
        <v>0</v>
      </c>
      <c r="AF2427" s="122" t="n">
        <v>0</v>
      </c>
      <c r="AG2427" s="122" t="n">
        <v>0</v>
      </c>
      <c r="AH2427" s="122" t="n">
        <v>0</v>
      </c>
      <c r="AI2427" s="54">
        <f>IFERROR(AC2427/S2427,"")</f>
        <v/>
      </c>
      <c r="AJ2427" s="54">
        <f>IFERROR(AH2427/S2427,"")</f>
        <v/>
      </c>
      <c r="AK2427" s="122" t="n">
        <v>2</v>
      </c>
      <c r="AL2427" s="122" t="n">
        <v>0</v>
      </c>
      <c r="AM2427" s="124">
        <f>IFERROR(AL2427/AA2427,"")</f>
        <v/>
      </c>
      <c r="AN2427" s="125">
        <f>IFERROR(R2427/AL2427,"")</f>
        <v/>
      </c>
      <c r="AO2427" s="122" t="n">
        <v>0</v>
      </c>
      <c r="AP2427" s="54">
        <f>IFERROR(AO2427/AL2427,"")</f>
        <v/>
      </c>
      <c r="AQ2427" s="125">
        <f>IFERROR(R2427/AO2427,"")</f>
        <v/>
      </c>
      <c r="AR2427" s="122" t="n">
        <v>0</v>
      </c>
      <c r="AS2427" s="122" t="n">
        <v>0</v>
      </c>
      <c r="AT2427" s="122">
        <f>AL2427+AR2427</f>
        <v/>
      </c>
      <c r="AU2427" s="125">
        <f>IFERROR(AO2427*Assumptions!$C$26*Assumptions!$C$27*INDEX(Assumptions!$C$18:$C$21,MATCH(H2427,Assumptions!$B$18:$B$21,0)),0)</f>
        <v/>
      </c>
    </row>
    <row r="2428">
      <c r="A2428" s="120" t="n">
        <v>46258</v>
      </c>
      <c r="B2428" s="66" t="inlineStr">
        <is>
          <t>Wk 35</t>
        </is>
      </c>
      <c r="C2428" s="66" t="inlineStr">
        <is>
          <t>Mon</t>
        </is>
      </c>
      <c r="D2428" s="66" t="inlineStr">
        <is>
          <t>Programmatic</t>
        </is>
      </c>
      <c r="E2428" s="66" t="inlineStr">
        <is>
          <t>DV360</t>
        </is>
      </c>
      <c r="F2428" s="66" t="inlineStr">
        <is>
          <t>LEP_ZA_AUG26_PROG_RMKT_DYNAMIC</t>
        </is>
      </c>
      <c r="G2428" s="66" t="inlineStr">
        <is>
          <t>Dynamic Retargeting</t>
        </is>
      </c>
      <c r="H2428" s="66" t="inlineStr">
        <is>
          <t>Range</t>
        </is>
      </c>
      <c r="I2428" s="66" t="inlineStr">
        <is>
          <t>Range Offer</t>
        </is>
      </c>
      <c r="J2428" s="66" t="inlineStr">
        <is>
          <t>PROG_DYN_RMKT_30D</t>
        </is>
      </c>
      <c r="K2428" s="66" t="inlineStr">
        <is>
          <t>Retargeting</t>
        </is>
      </c>
      <c r="L2428" s="66" t="inlineStr">
        <is>
          <t>PROG_DYN_300x600_Offers_v1</t>
        </is>
      </c>
      <c r="M2428" s="66" t="inlineStr">
        <is>
          <t>Dynamic Display 300x600</t>
        </is>
      </c>
      <c r="N2428" s="66" t="inlineStr">
        <is>
          <t>Offers end 31 August</t>
        </is>
      </c>
      <c r="O2428" s="66" t="inlineStr">
        <is>
          <t>Auction - Lowest Cost</t>
        </is>
      </c>
      <c r="P2428" s="66" t="inlineStr">
        <is>
          <t>Conversions (CPA)</t>
        </is>
      </c>
      <c r="Q2428" s="66" t="inlineStr">
        <is>
          <t>https://www.lepas-sa.co.za/book-a-test-drive</t>
        </is>
      </c>
      <c r="R2428" s="121" t="n">
        <v>76.84</v>
      </c>
      <c r="S2428" s="122" t="n">
        <v>1917</v>
      </c>
      <c r="T2428" s="122" t="n">
        <v>921</v>
      </c>
      <c r="U2428" s="123">
        <f>IFERROR(S2428/T2428,"")</f>
        <v/>
      </c>
      <c r="V2428" s="122" t="n">
        <v>9</v>
      </c>
      <c r="W2428" s="122" t="n">
        <v>7</v>
      </c>
      <c r="X2428" s="124">
        <f>IFERROR(W2428/S2428,"")</f>
        <v/>
      </c>
      <c r="Y2428" s="121">
        <f>IFERROR(R2428/W2428,"")</f>
        <v/>
      </c>
      <c r="Z2428" s="121">
        <f>IFERROR(R2428/S2428*1000,"")</f>
        <v/>
      </c>
      <c r="AA2428" s="122" t="n">
        <v>4</v>
      </c>
      <c r="AB2428" s="54">
        <f>IFERROR(AA2428/W2428,"")</f>
        <v/>
      </c>
      <c r="AC2428" s="122" t="n">
        <v>0</v>
      </c>
      <c r="AD2428" s="122" t="n">
        <v>0</v>
      </c>
      <c r="AE2428" s="122" t="n">
        <v>0</v>
      </c>
      <c r="AF2428" s="122" t="n">
        <v>0</v>
      </c>
      <c r="AG2428" s="122" t="n">
        <v>0</v>
      </c>
      <c r="AH2428" s="122" t="n">
        <v>0</v>
      </c>
      <c r="AI2428" s="54">
        <f>IFERROR(AC2428/S2428,"")</f>
        <v/>
      </c>
      <c r="AJ2428" s="54">
        <f>IFERROR(AH2428/S2428,"")</f>
        <v/>
      </c>
      <c r="AK2428" s="122" t="n">
        <v>4</v>
      </c>
      <c r="AL2428" s="122" t="n">
        <v>0</v>
      </c>
      <c r="AM2428" s="124">
        <f>IFERROR(AL2428/AA2428,"")</f>
        <v/>
      </c>
      <c r="AN2428" s="125">
        <f>IFERROR(R2428/AL2428,"")</f>
        <v/>
      </c>
      <c r="AO2428" s="122" t="n">
        <v>0</v>
      </c>
      <c r="AP2428" s="54">
        <f>IFERROR(AO2428/AL2428,"")</f>
        <v/>
      </c>
      <c r="AQ2428" s="125">
        <f>IFERROR(R2428/AO2428,"")</f>
        <v/>
      </c>
      <c r="AR2428" s="122" t="n">
        <v>0</v>
      </c>
      <c r="AS2428" s="122" t="n">
        <v>0</v>
      </c>
      <c r="AT2428" s="122">
        <f>AL2428+AR2428</f>
        <v/>
      </c>
      <c r="AU2428" s="125">
        <f>IFERROR(AO2428*Assumptions!$C$26*Assumptions!$C$27*INDEX(Assumptions!$C$18:$C$21,MATCH(H2428,Assumptions!$B$18:$B$21,0)),0)</f>
        <v/>
      </c>
    </row>
    <row r="2429">
      <c r="A2429" s="120" t="n">
        <v>46259</v>
      </c>
      <c r="B2429" s="66" t="inlineStr">
        <is>
          <t>Wk 35</t>
        </is>
      </c>
      <c r="C2429" s="66" t="inlineStr">
        <is>
          <t>Tue</t>
        </is>
      </c>
      <c r="D2429" s="66" t="inlineStr">
        <is>
          <t>Programmatic</t>
        </is>
      </c>
      <c r="E2429" s="66" t="inlineStr">
        <is>
          <t>DV360</t>
        </is>
      </c>
      <c r="F2429" s="66" t="inlineStr">
        <is>
          <t>LEP_ZA_AUG26_PROG_RMKT_DYNAMIC</t>
        </is>
      </c>
      <c r="G2429" s="66" t="inlineStr">
        <is>
          <t>Dynamic Retargeting</t>
        </is>
      </c>
      <c r="H2429" s="66" t="inlineStr">
        <is>
          <t>Range</t>
        </is>
      </c>
      <c r="I2429" s="66" t="inlineStr">
        <is>
          <t>Range Offer</t>
        </is>
      </c>
      <c r="J2429" s="66" t="inlineStr">
        <is>
          <t>PROG_DYN_RMKT_30D</t>
        </is>
      </c>
      <c r="K2429" s="66" t="inlineStr">
        <is>
          <t>Retargeting</t>
        </is>
      </c>
      <c r="L2429" s="66" t="inlineStr">
        <is>
          <t>PROG_DYN_300x600_Offers_v1</t>
        </is>
      </c>
      <c r="M2429" s="66" t="inlineStr">
        <is>
          <t>Dynamic Display 300x600</t>
        </is>
      </c>
      <c r="N2429" s="66" t="inlineStr">
        <is>
          <t>Offers end 31 August</t>
        </is>
      </c>
      <c r="O2429" s="66" t="inlineStr">
        <is>
          <t>Auction - Lowest Cost</t>
        </is>
      </c>
      <c r="P2429" s="66" t="inlineStr">
        <is>
          <t>Conversions (CPA)</t>
        </is>
      </c>
      <c r="Q2429" s="66" t="inlineStr">
        <is>
          <t>https://www.lepas-sa.co.za/book-a-test-drive</t>
        </is>
      </c>
      <c r="R2429" s="121" t="n">
        <v>65.42</v>
      </c>
      <c r="S2429" s="122" t="n">
        <v>2303</v>
      </c>
      <c r="T2429" s="122" t="n">
        <v>913</v>
      </c>
      <c r="U2429" s="123">
        <f>IFERROR(S2429/T2429,"")</f>
        <v/>
      </c>
      <c r="V2429" s="122" t="n">
        <v>6</v>
      </c>
      <c r="W2429" s="122" t="n">
        <v>5</v>
      </c>
      <c r="X2429" s="124">
        <f>IFERROR(W2429/S2429,"")</f>
        <v/>
      </c>
      <c r="Y2429" s="121">
        <f>IFERROR(R2429/W2429,"")</f>
        <v/>
      </c>
      <c r="Z2429" s="121">
        <f>IFERROR(R2429/S2429*1000,"")</f>
        <v/>
      </c>
      <c r="AA2429" s="122" t="n">
        <v>3</v>
      </c>
      <c r="AB2429" s="54">
        <f>IFERROR(AA2429/W2429,"")</f>
        <v/>
      </c>
      <c r="AC2429" s="122" t="n">
        <v>0</v>
      </c>
      <c r="AD2429" s="122" t="n">
        <v>0</v>
      </c>
      <c r="AE2429" s="122" t="n">
        <v>0</v>
      </c>
      <c r="AF2429" s="122" t="n">
        <v>0</v>
      </c>
      <c r="AG2429" s="122" t="n">
        <v>0</v>
      </c>
      <c r="AH2429" s="122" t="n">
        <v>0</v>
      </c>
      <c r="AI2429" s="54">
        <f>IFERROR(AC2429/S2429,"")</f>
        <v/>
      </c>
      <c r="AJ2429" s="54">
        <f>IFERROR(AH2429/S2429,"")</f>
        <v/>
      </c>
      <c r="AK2429" s="122" t="n">
        <v>7</v>
      </c>
      <c r="AL2429" s="122" t="n">
        <v>0</v>
      </c>
      <c r="AM2429" s="124">
        <f>IFERROR(AL2429/AA2429,"")</f>
        <v/>
      </c>
      <c r="AN2429" s="125">
        <f>IFERROR(R2429/AL2429,"")</f>
        <v/>
      </c>
      <c r="AO2429" s="122" t="n">
        <v>0</v>
      </c>
      <c r="AP2429" s="54">
        <f>IFERROR(AO2429/AL2429,"")</f>
        <v/>
      </c>
      <c r="AQ2429" s="125">
        <f>IFERROR(R2429/AO2429,"")</f>
        <v/>
      </c>
      <c r="AR2429" s="122" t="n">
        <v>0</v>
      </c>
      <c r="AS2429" s="122" t="n">
        <v>0</v>
      </c>
      <c r="AT2429" s="122">
        <f>AL2429+AR2429</f>
        <v/>
      </c>
      <c r="AU2429" s="125">
        <f>IFERROR(AO2429*Assumptions!$C$26*Assumptions!$C$27*INDEX(Assumptions!$C$18:$C$21,MATCH(H2429,Assumptions!$B$18:$B$21,0)),0)</f>
        <v/>
      </c>
    </row>
    <row r="2430">
      <c r="A2430" s="120" t="n">
        <v>46260</v>
      </c>
      <c r="B2430" s="66" t="inlineStr">
        <is>
          <t>Wk 35</t>
        </is>
      </c>
      <c r="C2430" s="66" t="inlineStr">
        <is>
          <t>Wed</t>
        </is>
      </c>
      <c r="D2430" s="66" t="inlineStr">
        <is>
          <t>Programmatic</t>
        </is>
      </c>
      <c r="E2430" s="66" t="inlineStr">
        <is>
          <t>DV360</t>
        </is>
      </c>
      <c r="F2430" s="66" t="inlineStr">
        <is>
          <t>LEP_ZA_AUG26_PROG_RMKT_DYNAMIC</t>
        </is>
      </c>
      <c r="G2430" s="66" t="inlineStr">
        <is>
          <t>Dynamic Retargeting</t>
        </is>
      </c>
      <c r="H2430" s="66" t="inlineStr">
        <is>
          <t>Range</t>
        </is>
      </c>
      <c r="I2430" s="66" t="inlineStr">
        <is>
          <t>Range Offer</t>
        </is>
      </c>
      <c r="J2430" s="66" t="inlineStr">
        <is>
          <t>PROG_DYN_RMKT_30D</t>
        </is>
      </c>
      <c r="K2430" s="66" t="inlineStr">
        <is>
          <t>Retargeting</t>
        </is>
      </c>
      <c r="L2430" s="66" t="inlineStr">
        <is>
          <t>PROG_DYN_300x600_Offers_v1</t>
        </is>
      </c>
      <c r="M2430" s="66" t="inlineStr">
        <is>
          <t>Dynamic Display 300x600</t>
        </is>
      </c>
      <c r="N2430" s="66" t="inlineStr">
        <is>
          <t>Offers end 31 August</t>
        </is>
      </c>
      <c r="O2430" s="66" t="inlineStr">
        <is>
          <t>Auction - Lowest Cost</t>
        </is>
      </c>
      <c r="P2430" s="66" t="inlineStr">
        <is>
          <t>Conversions (CPA)</t>
        </is>
      </c>
      <c r="Q2430" s="66" t="inlineStr">
        <is>
          <t>https://www.lepas-sa.co.za/book-a-test-drive</t>
        </is>
      </c>
      <c r="R2430" s="121" t="n">
        <v>70.53</v>
      </c>
      <c r="S2430" s="122" t="n">
        <v>1649</v>
      </c>
      <c r="T2430" s="122" t="n">
        <v>933</v>
      </c>
      <c r="U2430" s="123">
        <f>IFERROR(S2430/T2430,"")</f>
        <v/>
      </c>
      <c r="V2430" s="122" t="n">
        <v>5</v>
      </c>
      <c r="W2430" s="122" t="n">
        <v>4</v>
      </c>
      <c r="X2430" s="124">
        <f>IFERROR(W2430/S2430,"")</f>
        <v/>
      </c>
      <c r="Y2430" s="121">
        <f>IFERROR(R2430/W2430,"")</f>
        <v/>
      </c>
      <c r="Z2430" s="121">
        <f>IFERROR(R2430/S2430*1000,"")</f>
        <v/>
      </c>
      <c r="AA2430" s="122" t="n">
        <v>3</v>
      </c>
      <c r="AB2430" s="54">
        <f>IFERROR(AA2430/W2430,"")</f>
        <v/>
      </c>
      <c r="AC2430" s="122" t="n">
        <v>0</v>
      </c>
      <c r="AD2430" s="122" t="n">
        <v>0</v>
      </c>
      <c r="AE2430" s="122" t="n">
        <v>0</v>
      </c>
      <c r="AF2430" s="122" t="n">
        <v>0</v>
      </c>
      <c r="AG2430" s="122" t="n">
        <v>0</v>
      </c>
      <c r="AH2430" s="122" t="n">
        <v>0</v>
      </c>
      <c r="AI2430" s="54">
        <f>IFERROR(AC2430/S2430,"")</f>
        <v/>
      </c>
      <c r="AJ2430" s="54">
        <f>IFERROR(AH2430/S2430,"")</f>
        <v/>
      </c>
      <c r="AK2430" s="122" t="n">
        <v>6</v>
      </c>
      <c r="AL2430" s="122" t="n">
        <v>0</v>
      </c>
      <c r="AM2430" s="124">
        <f>IFERROR(AL2430/AA2430,"")</f>
        <v/>
      </c>
      <c r="AN2430" s="125">
        <f>IFERROR(R2430/AL2430,"")</f>
        <v/>
      </c>
      <c r="AO2430" s="122" t="n">
        <v>0</v>
      </c>
      <c r="AP2430" s="54">
        <f>IFERROR(AO2430/AL2430,"")</f>
        <v/>
      </c>
      <c r="AQ2430" s="125">
        <f>IFERROR(R2430/AO2430,"")</f>
        <v/>
      </c>
      <c r="AR2430" s="122" t="n">
        <v>0</v>
      </c>
      <c r="AS2430" s="122" t="n">
        <v>0</v>
      </c>
      <c r="AT2430" s="122">
        <f>AL2430+AR2430</f>
        <v/>
      </c>
      <c r="AU2430" s="125">
        <f>IFERROR(AO2430*Assumptions!$C$26*Assumptions!$C$27*INDEX(Assumptions!$C$18:$C$21,MATCH(H2430,Assumptions!$B$18:$B$21,0)),0)</f>
        <v/>
      </c>
    </row>
    <row r="2431">
      <c r="A2431" s="120" t="n">
        <v>46261</v>
      </c>
      <c r="B2431" s="66" t="inlineStr">
        <is>
          <t>Wk 35</t>
        </is>
      </c>
      <c r="C2431" s="66" t="inlineStr">
        <is>
          <t>Thu</t>
        </is>
      </c>
      <c r="D2431" s="66" t="inlineStr">
        <is>
          <t>Programmatic</t>
        </is>
      </c>
      <c r="E2431" s="66" t="inlineStr">
        <is>
          <t>DV360</t>
        </is>
      </c>
      <c r="F2431" s="66" t="inlineStr">
        <is>
          <t>LEP_ZA_AUG26_PROG_RMKT_DYNAMIC</t>
        </is>
      </c>
      <c r="G2431" s="66" t="inlineStr">
        <is>
          <t>Dynamic Retargeting</t>
        </is>
      </c>
      <c r="H2431" s="66" t="inlineStr">
        <is>
          <t>Range</t>
        </is>
      </c>
      <c r="I2431" s="66" t="inlineStr">
        <is>
          <t>Range Offer</t>
        </is>
      </c>
      <c r="J2431" s="66" t="inlineStr">
        <is>
          <t>PROG_DYN_RMKT_30D</t>
        </is>
      </c>
      <c r="K2431" s="66" t="inlineStr">
        <is>
          <t>Retargeting</t>
        </is>
      </c>
      <c r="L2431" s="66" t="inlineStr">
        <is>
          <t>PROG_DYN_300x600_Offers_v1</t>
        </is>
      </c>
      <c r="M2431" s="66" t="inlineStr">
        <is>
          <t>Dynamic Display 300x600</t>
        </is>
      </c>
      <c r="N2431" s="66" t="inlineStr">
        <is>
          <t>Offers end 31 August</t>
        </is>
      </c>
      <c r="O2431" s="66" t="inlineStr">
        <is>
          <t>Auction - Lowest Cost</t>
        </is>
      </c>
      <c r="P2431" s="66" t="inlineStr">
        <is>
          <t>Conversions (CPA)</t>
        </is>
      </c>
      <c r="Q2431" s="66" t="inlineStr">
        <is>
          <t>https://www.lepas-sa.co.za/book-a-test-drive</t>
        </is>
      </c>
      <c r="R2431" s="121" t="n">
        <v>94.87</v>
      </c>
      <c r="S2431" s="122" t="n">
        <v>2990</v>
      </c>
      <c r="T2431" s="122" t="n">
        <v>1484</v>
      </c>
      <c r="U2431" s="123">
        <f>IFERROR(S2431/T2431,"")</f>
        <v/>
      </c>
      <c r="V2431" s="122" t="n">
        <v>8</v>
      </c>
      <c r="W2431" s="122" t="n">
        <v>7</v>
      </c>
      <c r="X2431" s="124">
        <f>IFERROR(W2431/S2431,"")</f>
        <v/>
      </c>
      <c r="Y2431" s="121">
        <f>IFERROR(R2431/W2431,"")</f>
        <v/>
      </c>
      <c r="Z2431" s="121">
        <f>IFERROR(R2431/S2431*1000,"")</f>
        <v/>
      </c>
      <c r="AA2431" s="122" t="n">
        <v>4</v>
      </c>
      <c r="AB2431" s="54">
        <f>IFERROR(AA2431/W2431,"")</f>
        <v/>
      </c>
      <c r="AC2431" s="122" t="n">
        <v>0</v>
      </c>
      <c r="AD2431" s="122" t="n">
        <v>0</v>
      </c>
      <c r="AE2431" s="122" t="n">
        <v>0</v>
      </c>
      <c r="AF2431" s="122" t="n">
        <v>0</v>
      </c>
      <c r="AG2431" s="122" t="n">
        <v>0</v>
      </c>
      <c r="AH2431" s="122" t="n">
        <v>0</v>
      </c>
      <c r="AI2431" s="54">
        <f>IFERROR(AC2431/S2431,"")</f>
        <v/>
      </c>
      <c r="AJ2431" s="54">
        <f>IFERROR(AH2431/S2431,"")</f>
        <v/>
      </c>
      <c r="AK2431" s="122" t="n">
        <v>17</v>
      </c>
      <c r="AL2431" s="122" t="n">
        <v>0</v>
      </c>
      <c r="AM2431" s="124">
        <f>IFERROR(AL2431/AA2431,"")</f>
        <v/>
      </c>
      <c r="AN2431" s="125">
        <f>IFERROR(R2431/AL2431,"")</f>
        <v/>
      </c>
      <c r="AO2431" s="122" t="n">
        <v>0</v>
      </c>
      <c r="AP2431" s="54">
        <f>IFERROR(AO2431/AL2431,"")</f>
        <v/>
      </c>
      <c r="AQ2431" s="125">
        <f>IFERROR(R2431/AO2431,"")</f>
        <v/>
      </c>
      <c r="AR2431" s="122" t="n">
        <v>0</v>
      </c>
      <c r="AS2431" s="122" t="n">
        <v>0</v>
      </c>
      <c r="AT2431" s="122">
        <f>AL2431+AR2431</f>
        <v/>
      </c>
      <c r="AU2431" s="125">
        <f>IFERROR(AO2431*Assumptions!$C$26*Assumptions!$C$27*INDEX(Assumptions!$C$18:$C$21,MATCH(H2431,Assumptions!$B$18:$B$21,0)),0)</f>
        <v/>
      </c>
    </row>
    <row r="2432">
      <c r="A2432" s="120" t="n">
        <v>46262</v>
      </c>
      <c r="B2432" s="66" t="inlineStr">
        <is>
          <t>Wk 35</t>
        </is>
      </c>
      <c r="C2432" s="66" t="inlineStr">
        <is>
          <t>Fri</t>
        </is>
      </c>
      <c r="D2432" s="66" t="inlineStr">
        <is>
          <t>Programmatic</t>
        </is>
      </c>
      <c r="E2432" s="66" t="inlineStr">
        <is>
          <t>DV360</t>
        </is>
      </c>
      <c r="F2432" s="66" t="inlineStr">
        <is>
          <t>LEP_ZA_AUG26_PROG_RMKT_DYNAMIC</t>
        </is>
      </c>
      <c r="G2432" s="66" t="inlineStr">
        <is>
          <t>Dynamic Retargeting</t>
        </is>
      </c>
      <c r="H2432" s="66" t="inlineStr">
        <is>
          <t>Range</t>
        </is>
      </c>
      <c r="I2432" s="66" t="inlineStr">
        <is>
          <t>Range Offer</t>
        </is>
      </c>
      <c r="J2432" s="66" t="inlineStr">
        <is>
          <t>PROG_DYN_RMKT_30D</t>
        </is>
      </c>
      <c r="K2432" s="66" t="inlineStr">
        <is>
          <t>Retargeting</t>
        </is>
      </c>
      <c r="L2432" s="66" t="inlineStr">
        <is>
          <t>PROG_DYN_300x600_Offers_v1</t>
        </is>
      </c>
      <c r="M2432" s="66" t="inlineStr">
        <is>
          <t>Dynamic Display 300x600</t>
        </is>
      </c>
      <c r="N2432" s="66" t="inlineStr">
        <is>
          <t>Offers end 31 August</t>
        </is>
      </c>
      <c r="O2432" s="66" t="inlineStr">
        <is>
          <t>Auction - Lowest Cost</t>
        </is>
      </c>
      <c r="P2432" s="66" t="inlineStr">
        <is>
          <t>Conversions (CPA)</t>
        </is>
      </c>
      <c r="Q2432" s="66" t="inlineStr">
        <is>
          <t>https://www.lepas-sa.co.za/book-a-test-drive</t>
        </is>
      </c>
      <c r="R2432" s="121" t="n">
        <v>106.42</v>
      </c>
      <c r="S2432" s="122" t="n">
        <v>2101</v>
      </c>
      <c r="T2432" s="122" t="n">
        <v>773</v>
      </c>
      <c r="U2432" s="123">
        <f>IFERROR(S2432/T2432,"")</f>
        <v/>
      </c>
      <c r="V2432" s="122" t="n">
        <v>4</v>
      </c>
      <c r="W2432" s="122" t="n">
        <v>4</v>
      </c>
      <c r="X2432" s="124">
        <f>IFERROR(W2432/S2432,"")</f>
        <v/>
      </c>
      <c r="Y2432" s="121">
        <f>IFERROR(R2432/W2432,"")</f>
        <v/>
      </c>
      <c r="Z2432" s="121">
        <f>IFERROR(R2432/S2432*1000,"")</f>
        <v/>
      </c>
      <c r="AA2432" s="122" t="n">
        <v>3</v>
      </c>
      <c r="AB2432" s="54">
        <f>IFERROR(AA2432/W2432,"")</f>
        <v/>
      </c>
      <c r="AC2432" s="122" t="n">
        <v>0</v>
      </c>
      <c r="AD2432" s="122" t="n">
        <v>0</v>
      </c>
      <c r="AE2432" s="122" t="n">
        <v>0</v>
      </c>
      <c r="AF2432" s="122" t="n">
        <v>0</v>
      </c>
      <c r="AG2432" s="122" t="n">
        <v>0</v>
      </c>
      <c r="AH2432" s="122" t="n">
        <v>0</v>
      </c>
      <c r="AI2432" s="54">
        <f>IFERROR(AC2432/S2432,"")</f>
        <v/>
      </c>
      <c r="AJ2432" s="54">
        <f>IFERROR(AH2432/S2432,"")</f>
        <v/>
      </c>
      <c r="AK2432" s="122" t="n">
        <v>5</v>
      </c>
      <c r="AL2432" s="122" t="n">
        <v>0</v>
      </c>
      <c r="AM2432" s="124">
        <f>IFERROR(AL2432/AA2432,"")</f>
        <v/>
      </c>
      <c r="AN2432" s="125">
        <f>IFERROR(R2432/AL2432,"")</f>
        <v/>
      </c>
      <c r="AO2432" s="122" t="n">
        <v>0</v>
      </c>
      <c r="AP2432" s="54">
        <f>IFERROR(AO2432/AL2432,"")</f>
        <v/>
      </c>
      <c r="AQ2432" s="125">
        <f>IFERROR(R2432/AO2432,"")</f>
        <v/>
      </c>
      <c r="AR2432" s="122" t="n">
        <v>0</v>
      </c>
      <c r="AS2432" s="122" t="n">
        <v>0</v>
      </c>
      <c r="AT2432" s="122">
        <f>AL2432+AR2432</f>
        <v/>
      </c>
      <c r="AU2432" s="125">
        <f>IFERROR(AO2432*Assumptions!$C$26*Assumptions!$C$27*INDEX(Assumptions!$C$18:$C$21,MATCH(H2432,Assumptions!$B$18:$B$21,0)),0)</f>
        <v/>
      </c>
    </row>
    <row r="2433">
      <c r="A2433" s="120" t="n">
        <v>46263</v>
      </c>
      <c r="B2433" s="66" t="inlineStr">
        <is>
          <t>Wk 35</t>
        </is>
      </c>
      <c r="C2433" s="66" t="inlineStr">
        <is>
          <t>Sat</t>
        </is>
      </c>
      <c r="D2433" s="66" t="inlineStr">
        <is>
          <t>Programmatic</t>
        </is>
      </c>
      <c r="E2433" s="66" t="inlineStr">
        <is>
          <t>DV360</t>
        </is>
      </c>
      <c r="F2433" s="66" t="inlineStr">
        <is>
          <t>LEP_ZA_AUG26_PROG_RMKT_DYNAMIC</t>
        </is>
      </c>
      <c r="G2433" s="66" t="inlineStr">
        <is>
          <t>Dynamic Retargeting</t>
        </is>
      </c>
      <c r="H2433" s="66" t="inlineStr">
        <is>
          <t>Range</t>
        </is>
      </c>
      <c r="I2433" s="66" t="inlineStr">
        <is>
          <t>Range Offer</t>
        </is>
      </c>
      <c r="J2433" s="66" t="inlineStr">
        <is>
          <t>PROG_DYN_RMKT_30D</t>
        </is>
      </c>
      <c r="K2433" s="66" t="inlineStr">
        <is>
          <t>Retargeting</t>
        </is>
      </c>
      <c r="L2433" s="66" t="inlineStr">
        <is>
          <t>PROG_DYN_300x600_Offers_v1</t>
        </is>
      </c>
      <c r="M2433" s="66" t="inlineStr">
        <is>
          <t>Dynamic Display 300x600</t>
        </is>
      </c>
      <c r="N2433" s="66" t="inlineStr">
        <is>
          <t>Offers end 31 August</t>
        </is>
      </c>
      <c r="O2433" s="66" t="inlineStr">
        <is>
          <t>Auction - Lowest Cost</t>
        </is>
      </c>
      <c r="P2433" s="66" t="inlineStr">
        <is>
          <t>Conversions (CPA)</t>
        </is>
      </c>
      <c r="Q2433" s="66" t="inlineStr">
        <is>
          <t>https://www.lepas-sa.co.za/book-a-test-drive</t>
        </is>
      </c>
      <c r="R2433" s="121" t="n">
        <v>109.61</v>
      </c>
      <c r="S2433" s="122" t="n">
        <v>2831</v>
      </c>
      <c r="T2433" s="122" t="n">
        <v>1072</v>
      </c>
      <c r="U2433" s="123">
        <f>IFERROR(S2433/T2433,"")</f>
        <v/>
      </c>
      <c r="V2433" s="122" t="n">
        <v>7</v>
      </c>
      <c r="W2433" s="122" t="n">
        <v>5</v>
      </c>
      <c r="X2433" s="124">
        <f>IFERROR(W2433/S2433,"")</f>
        <v/>
      </c>
      <c r="Y2433" s="121">
        <f>IFERROR(R2433/W2433,"")</f>
        <v/>
      </c>
      <c r="Z2433" s="121">
        <f>IFERROR(R2433/S2433*1000,"")</f>
        <v/>
      </c>
      <c r="AA2433" s="122" t="n">
        <v>3</v>
      </c>
      <c r="AB2433" s="54">
        <f>IFERROR(AA2433/W2433,"")</f>
        <v/>
      </c>
      <c r="AC2433" s="122" t="n">
        <v>0</v>
      </c>
      <c r="AD2433" s="122" t="n">
        <v>0</v>
      </c>
      <c r="AE2433" s="122" t="n">
        <v>0</v>
      </c>
      <c r="AF2433" s="122" t="n">
        <v>0</v>
      </c>
      <c r="AG2433" s="122" t="n">
        <v>0</v>
      </c>
      <c r="AH2433" s="122" t="n">
        <v>0</v>
      </c>
      <c r="AI2433" s="54">
        <f>IFERROR(AC2433/S2433,"")</f>
        <v/>
      </c>
      <c r="AJ2433" s="54">
        <f>IFERROR(AH2433/S2433,"")</f>
        <v/>
      </c>
      <c r="AK2433" s="122" t="n">
        <v>13</v>
      </c>
      <c r="AL2433" s="122" t="n">
        <v>0</v>
      </c>
      <c r="AM2433" s="124">
        <f>IFERROR(AL2433/AA2433,"")</f>
        <v/>
      </c>
      <c r="AN2433" s="125">
        <f>IFERROR(R2433/AL2433,"")</f>
        <v/>
      </c>
      <c r="AO2433" s="122" t="n">
        <v>0</v>
      </c>
      <c r="AP2433" s="54">
        <f>IFERROR(AO2433/AL2433,"")</f>
        <v/>
      </c>
      <c r="AQ2433" s="125">
        <f>IFERROR(R2433/AO2433,"")</f>
        <v/>
      </c>
      <c r="AR2433" s="122" t="n">
        <v>0</v>
      </c>
      <c r="AS2433" s="122" t="n">
        <v>0</v>
      </c>
      <c r="AT2433" s="122">
        <f>AL2433+AR2433</f>
        <v/>
      </c>
      <c r="AU2433" s="125">
        <f>IFERROR(AO2433*Assumptions!$C$26*Assumptions!$C$27*INDEX(Assumptions!$C$18:$C$21,MATCH(H2433,Assumptions!$B$18:$B$21,0)),0)</f>
        <v/>
      </c>
    </row>
    <row r="2434">
      <c r="A2434" s="120" t="n">
        <v>46264</v>
      </c>
      <c r="B2434" s="66" t="inlineStr">
        <is>
          <t>Wk 35</t>
        </is>
      </c>
      <c r="C2434" s="66" t="inlineStr">
        <is>
          <t>Sun</t>
        </is>
      </c>
      <c r="D2434" s="66" t="inlineStr">
        <is>
          <t>Programmatic</t>
        </is>
      </c>
      <c r="E2434" s="66" t="inlineStr">
        <is>
          <t>DV360</t>
        </is>
      </c>
      <c r="F2434" s="66" t="inlineStr">
        <is>
          <t>LEP_ZA_AUG26_PROG_RMKT_DYNAMIC</t>
        </is>
      </c>
      <c r="G2434" s="66" t="inlineStr">
        <is>
          <t>Dynamic Retargeting</t>
        </is>
      </c>
      <c r="H2434" s="66" t="inlineStr">
        <is>
          <t>Range</t>
        </is>
      </c>
      <c r="I2434" s="66" t="inlineStr">
        <is>
          <t>Range Offer</t>
        </is>
      </c>
      <c r="J2434" s="66" t="inlineStr">
        <is>
          <t>PROG_DYN_RMKT_30D</t>
        </is>
      </c>
      <c r="K2434" s="66" t="inlineStr">
        <is>
          <t>Retargeting</t>
        </is>
      </c>
      <c r="L2434" s="66" t="inlineStr">
        <is>
          <t>PROG_DYN_300x600_Offers_v1</t>
        </is>
      </c>
      <c r="M2434" s="66" t="inlineStr">
        <is>
          <t>Dynamic Display 300x600</t>
        </is>
      </c>
      <c r="N2434" s="66" t="inlineStr">
        <is>
          <t>Offers end 31 August</t>
        </is>
      </c>
      <c r="O2434" s="66" t="inlineStr">
        <is>
          <t>Auction - Lowest Cost</t>
        </is>
      </c>
      <c r="P2434" s="66" t="inlineStr">
        <is>
          <t>Conversions (CPA)</t>
        </is>
      </c>
      <c r="Q2434" s="66" t="inlineStr">
        <is>
          <t>https://www.lepas-sa.co.za/book-a-test-drive</t>
        </is>
      </c>
      <c r="R2434" s="121" t="n">
        <v>80.29000000000001</v>
      </c>
      <c r="S2434" s="122" t="n">
        <v>2434</v>
      </c>
      <c r="T2434" s="122" t="n">
        <v>911</v>
      </c>
      <c r="U2434" s="123">
        <f>IFERROR(S2434/T2434,"")</f>
        <v/>
      </c>
      <c r="V2434" s="122" t="n">
        <v>13</v>
      </c>
      <c r="W2434" s="122" t="n">
        <v>10</v>
      </c>
      <c r="X2434" s="124">
        <f>IFERROR(W2434/S2434,"")</f>
        <v/>
      </c>
      <c r="Y2434" s="121">
        <f>IFERROR(R2434/W2434,"")</f>
        <v/>
      </c>
      <c r="Z2434" s="121">
        <f>IFERROR(R2434/S2434*1000,"")</f>
        <v/>
      </c>
      <c r="AA2434" s="122" t="n">
        <v>6</v>
      </c>
      <c r="AB2434" s="54">
        <f>IFERROR(AA2434/W2434,"")</f>
        <v/>
      </c>
      <c r="AC2434" s="122" t="n">
        <v>0</v>
      </c>
      <c r="AD2434" s="122" t="n">
        <v>0</v>
      </c>
      <c r="AE2434" s="122" t="n">
        <v>0</v>
      </c>
      <c r="AF2434" s="122" t="n">
        <v>0</v>
      </c>
      <c r="AG2434" s="122" t="n">
        <v>0</v>
      </c>
      <c r="AH2434" s="122" t="n">
        <v>0</v>
      </c>
      <c r="AI2434" s="54">
        <f>IFERROR(AC2434/S2434,"")</f>
        <v/>
      </c>
      <c r="AJ2434" s="54">
        <f>IFERROR(AH2434/S2434,"")</f>
        <v/>
      </c>
      <c r="AK2434" s="122" t="n">
        <v>12</v>
      </c>
      <c r="AL2434" s="122" t="n">
        <v>1</v>
      </c>
      <c r="AM2434" s="124">
        <f>IFERROR(AL2434/AA2434,"")</f>
        <v/>
      </c>
      <c r="AN2434" s="125">
        <f>IFERROR(R2434/AL2434,"")</f>
        <v/>
      </c>
      <c r="AO2434" s="122" t="n">
        <v>1</v>
      </c>
      <c r="AP2434" s="54">
        <f>IFERROR(AO2434/AL2434,"")</f>
        <v/>
      </c>
      <c r="AQ2434" s="125">
        <f>IFERROR(R2434/AO2434,"")</f>
        <v/>
      </c>
      <c r="AR2434" s="122" t="n">
        <v>3</v>
      </c>
      <c r="AS2434" s="122" t="n">
        <v>1</v>
      </c>
      <c r="AT2434" s="122">
        <f>AL2434+AR2434</f>
        <v/>
      </c>
      <c r="AU2434" s="125">
        <f>IFERROR(AO2434*Assumptions!$C$26*Assumptions!$C$27*INDEX(Assumptions!$C$18:$C$21,MATCH(H2434,Assumptions!$B$18:$B$21,0)),0)</f>
        <v/>
      </c>
    </row>
    <row r="2435">
      <c r="A2435" s="120" t="n">
        <v>46265</v>
      </c>
      <c r="B2435" s="66" t="inlineStr">
        <is>
          <t>Wk 36</t>
        </is>
      </c>
      <c r="C2435" s="66" t="inlineStr">
        <is>
          <t>Mon</t>
        </is>
      </c>
      <c r="D2435" s="66" t="inlineStr">
        <is>
          <t>Programmatic</t>
        </is>
      </c>
      <c r="E2435" s="66" t="inlineStr">
        <is>
          <t>DV360</t>
        </is>
      </c>
      <c r="F2435" s="66" t="inlineStr">
        <is>
          <t>LEP_ZA_AUG26_PROG_RMKT_DYNAMIC</t>
        </is>
      </c>
      <c r="G2435" s="66" t="inlineStr">
        <is>
          <t>Dynamic Retargeting</t>
        </is>
      </c>
      <c r="H2435" s="66" t="inlineStr">
        <is>
          <t>Range</t>
        </is>
      </c>
      <c r="I2435" s="66" t="inlineStr">
        <is>
          <t>Range Offer</t>
        </is>
      </c>
      <c r="J2435" s="66" t="inlineStr">
        <is>
          <t>PROG_DYN_RMKT_30D</t>
        </is>
      </c>
      <c r="K2435" s="66" t="inlineStr">
        <is>
          <t>Retargeting</t>
        </is>
      </c>
      <c r="L2435" s="66" t="inlineStr">
        <is>
          <t>PROG_DYN_300x600_Offers_v1</t>
        </is>
      </c>
      <c r="M2435" s="66" t="inlineStr">
        <is>
          <t>Dynamic Display 300x600</t>
        </is>
      </c>
      <c r="N2435" s="66" t="inlineStr">
        <is>
          <t>Offers end 31 August</t>
        </is>
      </c>
      <c r="O2435" s="66" t="inlineStr">
        <is>
          <t>Auction - Lowest Cost</t>
        </is>
      </c>
      <c r="P2435" s="66" t="inlineStr">
        <is>
          <t>Conversions (CPA)</t>
        </is>
      </c>
      <c r="Q2435" s="66" t="inlineStr">
        <is>
          <t>https://www.lepas-sa.co.za/book-a-test-drive</t>
        </is>
      </c>
      <c r="R2435" s="121" t="n">
        <v>73.15000000000001</v>
      </c>
      <c r="S2435" s="122" t="n">
        <v>2607</v>
      </c>
      <c r="T2435" s="122" t="n">
        <v>1383</v>
      </c>
      <c r="U2435" s="123">
        <f>IFERROR(S2435/T2435,"")</f>
        <v/>
      </c>
      <c r="V2435" s="122" t="n">
        <v>9</v>
      </c>
      <c r="W2435" s="122" t="n">
        <v>7</v>
      </c>
      <c r="X2435" s="124">
        <f>IFERROR(W2435/S2435,"")</f>
        <v/>
      </c>
      <c r="Y2435" s="121">
        <f>IFERROR(R2435/W2435,"")</f>
        <v/>
      </c>
      <c r="Z2435" s="121">
        <f>IFERROR(R2435/S2435*1000,"")</f>
        <v/>
      </c>
      <c r="AA2435" s="122" t="n">
        <v>4</v>
      </c>
      <c r="AB2435" s="54">
        <f>IFERROR(AA2435/W2435,"")</f>
        <v/>
      </c>
      <c r="AC2435" s="122" t="n">
        <v>0</v>
      </c>
      <c r="AD2435" s="122" t="n">
        <v>0</v>
      </c>
      <c r="AE2435" s="122" t="n">
        <v>0</v>
      </c>
      <c r="AF2435" s="122" t="n">
        <v>0</v>
      </c>
      <c r="AG2435" s="122" t="n">
        <v>0</v>
      </c>
      <c r="AH2435" s="122" t="n">
        <v>0</v>
      </c>
      <c r="AI2435" s="54">
        <f>IFERROR(AC2435/S2435,"")</f>
        <v/>
      </c>
      <c r="AJ2435" s="54">
        <f>IFERROR(AH2435/S2435,"")</f>
        <v/>
      </c>
      <c r="AK2435" s="122" t="n">
        <v>8</v>
      </c>
      <c r="AL2435" s="122" t="n">
        <v>0</v>
      </c>
      <c r="AM2435" s="124">
        <f>IFERROR(AL2435/AA2435,"")</f>
        <v/>
      </c>
      <c r="AN2435" s="125">
        <f>IFERROR(R2435/AL2435,"")</f>
        <v/>
      </c>
      <c r="AO2435" s="122" t="n">
        <v>0</v>
      </c>
      <c r="AP2435" s="54">
        <f>IFERROR(AO2435/AL2435,"")</f>
        <v/>
      </c>
      <c r="AQ2435" s="125">
        <f>IFERROR(R2435/AO2435,"")</f>
        <v/>
      </c>
      <c r="AR2435" s="122" t="n">
        <v>0</v>
      </c>
      <c r="AS2435" s="122" t="n">
        <v>0</v>
      </c>
      <c r="AT2435" s="122">
        <f>AL2435+AR2435</f>
        <v/>
      </c>
      <c r="AU2435" s="125">
        <f>IFERROR(AO2435*Assumptions!$C$26*Assumptions!$C$27*INDEX(Assumptions!$C$18:$C$21,MATCH(H2435,Assumptions!$B$18:$B$21,0)),0)</f>
        <v/>
      </c>
    </row>
    <row r="2436">
      <c r="A2436" s="120" t="n">
        <v>46235</v>
      </c>
      <c r="B2436" s="66" t="inlineStr">
        <is>
          <t>Wk 31</t>
        </is>
      </c>
      <c r="C2436" s="66" t="inlineStr">
        <is>
          <t>Sat</t>
        </is>
      </c>
      <c r="D2436" s="66" t="inlineStr">
        <is>
          <t>Programmatic</t>
        </is>
      </c>
      <c r="E2436" s="66" t="inlineStr">
        <is>
          <t>DV360</t>
        </is>
      </c>
      <c r="F2436" s="66" t="inlineStr">
        <is>
          <t>LEP_ZA_AUG26_PROG_RMKT_DYNAMIC</t>
        </is>
      </c>
      <c r="G2436" s="66" t="inlineStr">
        <is>
          <t>Dynamic Retargeting</t>
        </is>
      </c>
      <c r="H2436" s="66" t="inlineStr">
        <is>
          <t>Range</t>
        </is>
      </c>
      <c r="I2436" s="66" t="inlineStr">
        <is>
          <t>Range Offer</t>
        </is>
      </c>
      <c r="J2436" s="66" t="inlineStr">
        <is>
          <t>PROG_DYN_RMKT_30D</t>
        </is>
      </c>
      <c r="K2436" s="66" t="inlineStr">
        <is>
          <t>Retargeting</t>
        </is>
      </c>
      <c r="L2436" s="66" t="inlineStr">
        <is>
          <t>PROG_DYN_320x50_BookNow_v1</t>
        </is>
      </c>
      <c r="M2436" s="66" t="inlineStr">
        <is>
          <t>Dynamic Display 320x50</t>
        </is>
      </c>
      <c r="N2436" s="66" t="inlineStr">
        <is>
          <t>Book your test drive</t>
        </is>
      </c>
      <c r="O2436" s="66" t="inlineStr">
        <is>
          <t>Auction - Lowest Cost</t>
        </is>
      </c>
      <c r="P2436" s="66" t="inlineStr">
        <is>
          <t>Conversions (CPA)</t>
        </is>
      </c>
      <c r="Q2436" s="66" t="inlineStr">
        <is>
          <t>https://www.lepas-sa.co.za/book-a-test-drive</t>
        </is>
      </c>
      <c r="R2436" s="121" t="n">
        <v>52.15</v>
      </c>
      <c r="S2436" s="122" t="n">
        <v>1716</v>
      </c>
      <c r="T2436" s="122" t="n">
        <v>814</v>
      </c>
      <c r="U2436" s="123">
        <f>IFERROR(S2436/T2436,"")</f>
        <v/>
      </c>
      <c r="V2436" s="122" t="n">
        <v>11</v>
      </c>
      <c r="W2436" s="122" t="n">
        <v>9</v>
      </c>
      <c r="X2436" s="124">
        <f>IFERROR(W2436/S2436,"")</f>
        <v/>
      </c>
      <c r="Y2436" s="121">
        <f>IFERROR(R2436/W2436,"")</f>
        <v/>
      </c>
      <c r="Z2436" s="121">
        <f>IFERROR(R2436/S2436*1000,"")</f>
        <v/>
      </c>
      <c r="AA2436" s="122" t="n">
        <v>6</v>
      </c>
      <c r="AB2436" s="54">
        <f>IFERROR(AA2436/W2436,"")</f>
        <v/>
      </c>
      <c r="AC2436" s="122" t="n">
        <v>0</v>
      </c>
      <c r="AD2436" s="122" t="n">
        <v>0</v>
      </c>
      <c r="AE2436" s="122" t="n">
        <v>0</v>
      </c>
      <c r="AF2436" s="122" t="n">
        <v>0</v>
      </c>
      <c r="AG2436" s="122" t="n">
        <v>0</v>
      </c>
      <c r="AH2436" s="122" t="n">
        <v>0</v>
      </c>
      <c r="AI2436" s="54">
        <f>IFERROR(AC2436/S2436,"")</f>
        <v/>
      </c>
      <c r="AJ2436" s="54">
        <f>IFERROR(AH2436/S2436,"")</f>
        <v/>
      </c>
      <c r="AK2436" s="122" t="n">
        <v>7</v>
      </c>
      <c r="AL2436" s="122" t="n">
        <v>0</v>
      </c>
      <c r="AM2436" s="124">
        <f>IFERROR(AL2436/AA2436,"")</f>
        <v/>
      </c>
      <c r="AN2436" s="125">
        <f>IFERROR(R2436/AL2436,"")</f>
        <v/>
      </c>
      <c r="AO2436" s="122" t="n">
        <v>0</v>
      </c>
      <c r="AP2436" s="54">
        <f>IFERROR(AO2436/AL2436,"")</f>
        <v/>
      </c>
      <c r="AQ2436" s="125">
        <f>IFERROR(R2436/AO2436,"")</f>
        <v/>
      </c>
      <c r="AR2436" s="122" t="n">
        <v>0</v>
      </c>
      <c r="AS2436" s="122" t="n">
        <v>0</v>
      </c>
      <c r="AT2436" s="122">
        <f>AL2436+AR2436</f>
        <v/>
      </c>
      <c r="AU2436" s="125">
        <f>IFERROR(AO2436*Assumptions!$C$26*Assumptions!$C$27*INDEX(Assumptions!$C$18:$C$21,MATCH(H2436,Assumptions!$B$18:$B$21,0)),0)</f>
        <v/>
      </c>
    </row>
    <row r="2437">
      <c r="A2437" s="120" t="n">
        <v>46236</v>
      </c>
      <c r="B2437" s="66" t="inlineStr">
        <is>
          <t>Wk 31</t>
        </is>
      </c>
      <c r="C2437" s="66" t="inlineStr">
        <is>
          <t>Sun</t>
        </is>
      </c>
      <c r="D2437" s="66" t="inlineStr">
        <is>
          <t>Programmatic</t>
        </is>
      </c>
      <c r="E2437" s="66" t="inlineStr">
        <is>
          <t>DV360</t>
        </is>
      </c>
      <c r="F2437" s="66" t="inlineStr">
        <is>
          <t>LEP_ZA_AUG26_PROG_RMKT_DYNAMIC</t>
        </is>
      </c>
      <c r="G2437" s="66" t="inlineStr">
        <is>
          <t>Dynamic Retargeting</t>
        </is>
      </c>
      <c r="H2437" s="66" t="inlineStr">
        <is>
          <t>Range</t>
        </is>
      </c>
      <c r="I2437" s="66" t="inlineStr">
        <is>
          <t>Range Offer</t>
        </is>
      </c>
      <c r="J2437" s="66" t="inlineStr">
        <is>
          <t>PROG_DYN_RMKT_30D</t>
        </is>
      </c>
      <c r="K2437" s="66" t="inlineStr">
        <is>
          <t>Retargeting</t>
        </is>
      </c>
      <c r="L2437" s="66" t="inlineStr">
        <is>
          <t>PROG_DYN_320x50_BookNow_v1</t>
        </is>
      </c>
      <c r="M2437" s="66" t="inlineStr">
        <is>
          <t>Dynamic Display 320x50</t>
        </is>
      </c>
      <c r="N2437" s="66" t="inlineStr">
        <is>
          <t>Book your test drive</t>
        </is>
      </c>
      <c r="O2437" s="66" t="inlineStr">
        <is>
          <t>Auction - Lowest Cost</t>
        </is>
      </c>
      <c r="P2437" s="66" t="inlineStr">
        <is>
          <t>Conversions (CPA)</t>
        </is>
      </c>
      <c r="Q2437" s="66" t="inlineStr">
        <is>
          <t>https://www.lepas-sa.co.za/book-a-test-drive</t>
        </is>
      </c>
      <c r="R2437" s="121" t="n">
        <v>48.45</v>
      </c>
      <c r="S2437" s="122" t="n">
        <v>1575</v>
      </c>
      <c r="T2437" s="122" t="n">
        <v>1164</v>
      </c>
      <c r="U2437" s="123">
        <f>IFERROR(S2437/T2437,"")</f>
        <v/>
      </c>
      <c r="V2437" s="122" t="n">
        <v>12</v>
      </c>
      <c r="W2437" s="122" t="n">
        <v>10</v>
      </c>
      <c r="X2437" s="124">
        <f>IFERROR(W2437/S2437,"")</f>
        <v/>
      </c>
      <c r="Y2437" s="121">
        <f>IFERROR(R2437/W2437,"")</f>
        <v/>
      </c>
      <c r="Z2437" s="121">
        <f>IFERROR(R2437/S2437*1000,"")</f>
        <v/>
      </c>
      <c r="AA2437" s="122" t="n">
        <v>6</v>
      </c>
      <c r="AB2437" s="54">
        <f>IFERROR(AA2437/W2437,"")</f>
        <v/>
      </c>
      <c r="AC2437" s="122" t="n">
        <v>0</v>
      </c>
      <c r="AD2437" s="122" t="n">
        <v>0</v>
      </c>
      <c r="AE2437" s="122" t="n">
        <v>0</v>
      </c>
      <c r="AF2437" s="122" t="n">
        <v>0</v>
      </c>
      <c r="AG2437" s="122" t="n">
        <v>0</v>
      </c>
      <c r="AH2437" s="122" t="n">
        <v>0</v>
      </c>
      <c r="AI2437" s="54">
        <f>IFERROR(AC2437/S2437,"")</f>
        <v/>
      </c>
      <c r="AJ2437" s="54">
        <f>IFERROR(AH2437/S2437,"")</f>
        <v/>
      </c>
      <c r="AK2437" s="122" t="n">
        <v>7</v>
      </c>
      <c r="AL2437" s="122" t="n">
        <v>1</v>
      </c>
      <c r="AM2437" s="124">
        <f>IFERROR(AL2437/AA2437,"")</f>
        <v/>
      </c>
      <c r="AN2437" s="125">
        <f>IFERROR(R2437/AL2437,"")</f>
        <v/>
      </c>
      <c r="AO2437" s="122" t="n">
        <v>1</v>
      </c>
      <c r="AP2437" s="54">
        <f>IFERROR(AO2437/AL2437,"")</f>
        <v/>
      </c>
      <c r="AQ2437" s="125">
        <f>IFERROR(R2437/AO2437,"")</f>
        <v/>
      </c>
      <c r="AR2437" s="122" t="n">
        <v>1</v>
      </c>
      <c r="AS2437" s="122" t="n">
        <v>1</v>
      </c>
      <c r="AT2437" s="122">
        <f>AL2437+AR2437</f>
        <v/>
      </c>
      <c r="AU2437" s="125">
        <f>IFERROR(AO2437*Assumptions!$C$26*Assumptions!$C$27*INDEX(Assumptions!$C$18:$C$21,MATCH(H2437,Assumptions!$B$18:$B$21,0)),0)</f>
        <v/>
      </c>
    </row>
    <row r="2438">
      <c r="A2438" s="120" t="n">
        <v>46237</v>
      </c>
      <c r="B2438" s="66" t="inlineStr">
        <is>
          <t>Wk 32</t>
        </is>
      </c>
      <c r="C2438" s="66" t="inlineStr">
        <is>
          <t>Mon</t>
        </is>
      </c>
      <c r="D2438" s="66" t="inlineStr">
        <is>
          <t>Programmatic</t>
        </is>
      </c>
      <c r="E2438" s="66" t="inlineStr">
        <is>
          <t>DV360</t>
        </is>
      </c>
      <c r="F2438" s="66" t="inlineStr">
        <is>
          <t>LEP_ZA_AUG26_PROG_RMKT_DYNAMIC</t>
        </is>
      </c>
      <c r="G2438" s="66" t="inlineStr">
        <is>
          <t>Dynamic Retargeting</t>
        </is>
      </c>
      <c r="H2438" s="66" t="inlineStr">
        <is>
          <t>Range</t>
        </is>
      </c>
      <c r="I2438" s="66" t="inlineStr">
        <is>
          <t>Range Offer</t>
        </is>
      </c>
      <c r="J2438" s="66" t="inlineStr">
        <is>
          <t>PROG_DYN_RMKT_30D</t>
        </is>
      </c>
      <c r="K2438" s="66" t="inlineStr">
        <is>
          <t>Retargeting</t>
        </is>
      </c>
      <c r="L2438" s="66" t="inlineStr">
        <is>
          <t>PROG_DYN_320x50_BookNow_v1</t>
        </is>
      </c>
      <c r="M2438" s="66" t="inlineStr">
        <is>
          <t>Dynamic Display 320x50</t>
        </is>
      </c>
      <c r="N2438" s="66" t="inlineStr">
        <is>
          <t>Book your test drive</t>
        </is>
      </c>
      <c r="O2438" s="66" t="inlineStr">
        <is>
          <t>Auction - Lowest Cost</t>
        </is>
      </c>
      <c r="P2438" s="66" t="inlineStr">
        <is>
          <t>Conversions (CPA)</t>
        </is>
      </c>
      <c r="Q2438" s="66" t="inlineStr">
        <is>
          <t>https://www.lepas-sa.co.za/book-a-test-drive</t>
        </is>
      </c>
      <c r="R2438" s="121" t="n">
        <v>42.99</v>
      </c>
      <c r="S2438" s="122" t="n">
        <v>1562</v>
      </c>
      <c r="T2438" s="122" t="n">
        <v>848</v>
      </c>
      <c r="U2438" s="123">
        <f>IFERROR(S2438/T2438,"")</f>
        <v/>
      </c>
      <c r="V2438" s="122" t="n">
        <v>13</v>
      </c>
      <c r="W2438" s="122" t="n">
        <v>10</v>
      </c>
      <c r="X2438" s="124">
        <f>IFERROR(W2438/S2438,"")</f>
        <v/>
      </c>
      <c r="Y2438" s="121">
        <f>IFERROR(R2438/W2438,"")</f>
        <v/>
      </c>
      <c r="Z2438" s="121">
        <f>IFERROR(R2438/S2438*1000,"")</f>
        <v/>
      </c>
      <c r="AA2438" s="122" t="n">
        <v>7</v>
      </c>
      <c r="AB2438" s="54">
        <f>IFERROR(AA2438/W2438,"")</f>
        <v/>
      </c>
      <c r="AC2438" s="122" t="n">
        <v>0</v>
      </c>
      <c r="AD2438" s="122" t="n">
        <v>0</v>
      </c>
      <c r="AE2438" s="122" t="n">
        <v>0</v>
      </c>
      <c r="AF2438" s="122" t="n">
        <v>0</v>
      </c>
      <c r="AG2438" s="122" t="n">
        <v>0</v>
      </c>
      <c r="AH2438" s="122" t="n">
        <v>0</v>
      </c>
      <c r="AI2438" s="54">
        <f>IFERROR(AC2438/S2438,"")</f>
        <v/>
      </c>
      <c r="AJ2438" s="54">
        <f>IFERROR(AH2438/S2438,"")</f>
        <v/>
      </c>
      <c r="AK2438" s="122" t="n">
        <v>2</v>
      </c>
      <c r="AL2438" s="122" t="n">
        <v>0</v>
      </c>
      <c r="AM2438" s="124">
        <f>IFERROR(AL2438/AA2438,"")</f>
        <v/>
      </c>
      <c r="AN2438" s="125">
        <f>IFERROR(R2438/AL2438,"")</f>
        <v/>
      </c>
      <c r="AO2438" s="122" t="n">
        <v>0</v>
      </c>
      <c r="AP2438" s="54">
        <f>IFERROR(AO2438/AL2438,"")</f>
        <v/>
      </c>
      <c r="AQ2438" s="125">
        <f>IFERROR(R2438/AO2438,"")</f>
        <v/>
      </c>
      <c r="AR2438" s="122" t="n">
        <v>0</v>
      </c>
      <c r="AS2438" s="122" t="n">
        <v>0</v>
      </c>
      <c r="AT2438" s="122">
        <f>AL2438+AR2438</f>
        <v/>
      </c>
      <c r="AU2438" s="125">
        <f>IFERROR(AO2438*Assumptions!$C$26*Assumptions!$C$27*INDEX(Assumptions!$C$18:$C$21,MATCH(H2438,Assumptions!$B$18:$B$21,0)),0)</f>
        <v/>
      </c>
    </row>
    <row r="2439">
      <c r="A2439" s="120" t="n">
        <v>46238</v>
      </c>
      <c r="B2439" s="66" t="inlineStr">
        <is>
          <t>Wk 32</t>
        </is>
      </c>
      <c r="C2439" s="66" t="inlineStr">
        <is>
          <t>Tue</t>
        </is>
      </c>
      <c r="D2439" s="66" t="inlineStr">
        <is>
          <t>Programmatic</t>
        </is>
      </c>
      <c r="E2439" s="66" t="inlineStr">
        <is>
          <t>DV360</t>
        </is>
      </c>
      <c r="F2439" s="66" t="inlineStr">
        <is>
          <t>LEP_ZA_AUG26_PROG_RMKT_DYNAMIC</t>
        </is>
      </c>
      <c r="G2439" s="66" t="inlineStr">
        <is>
          <t>Dynamic Retargeting</t>
        </is>
      </c>
      <c r="H2439" s="66" t="inlineStr">
        <is>
          <t>Range</t>
        </is>
      </c>
      <c r="I2439" s="66" t="inlineStr">
        <is>
          <t>Range Offer</t>
        </is>
      </c>
      <c r="J2439" s="66" t="inlineStr">
        <is>
          <t>PROG_DYN_RMKT_30D</t>
        </is>
      </c>
      <c r="K2439" s="66" t="inlineStr">
        <is>
          <t>Retargeting</t>
        </is>
      </c>
      <c r="L2439" s="66" t="inlineStr">
        <is>
          <t>PROG_DYN_320x50_BookNow_v1</t>
        </is>
      </c>
      <c r="M2439" s="66" t="inlineStr">
        <is>
          <t>Dynamic Display 320x50</t>
        </is>
      </c>
      <c r="N2439" s="66" t="inlineStr">
        <is>
          <t>Book your test drive</t>
        </is>
      </c>
      <c r="O2439" s="66" t="inlineStr">
        <is>
          <t>Auction - Lowest Cost</t>
        </is>
      </c>
      <c r="P2439" s="66" t="inlineStr">
        <is>
          <t>Conversions (CPA)</t>
        </is>
      </c>
      <c r="Q2439" s="66" t="inlineStr">
        <is>
          <t>https://www.lepas-sa.co.za/book-a-test-drive</t>
        </is>
      </c>
      <c r="R2439" s="121" t="n">
        <v>63.48</v>
      </c>
      <c r="S2439" s="122" t="n">
        <v>1572</v>
      </c>
      <c r="T2439" s="122" t="n">
        <v>879</v>
      </c>
      <c r="U2439" s="123">
        <f>IFERROR(S2439/T2439,"")</f>
        <v/>
      </c>
      <c r="V2439" s="122" t="n">
        <v>15</v>
      </c>
      <c r="W2439" s="122" t="n">
        <v>11</v>
      </c>
      <c r="X2439" s="124">
        <f>IFERROR(W2439/S2439,"")</f>
        <v/>
      </c>
      <c r="Y2439" s="121">
        <f>IFERROR(R2439/W2439,"")</f>
        <v/>
      </c>
      <c r="Z2439" s="121">
        <f>IFERROR(R2439/S2439*1000,"")</f>
        <v/>
      </c>
      <c r="AA2439" s="122" t="n">
        <v>8</v>
      </c>
      <c r="AB2439" s="54">
        <f>IFERROR(AA2439/W2439,"")</f>
        <v/>
      </c>
      <c r="AC2439" s="122" t="n">
        <v>0</v>
      </c>
      <c r="AD2439" s="122" t="n">
        <v>0</v>
      </c>
      <c r="AE2439" s="122" t="n">
        <v>0</v>
      </c>
      <c r="AF2439" s="122" t="n">
        <v>0</v>
      </c>
      <c r="AG2439" s="122" t="n">
        <v>0</v>
      </c>
      <c r="AH2439" s="122" t="n">
        <v>0</v>
      </c>
      <c r="AI2439" s="54">
        <f>IFERROR(AC2439/S2439,"")</f>
        <v/>
      </c>
      <c r="AJ2439" s="54">
        <f>IFERROR(AH2439/S2439,"")</f>
        <v/>
      </c>
      <c r="AK2439" s="122" t="n">
        <v>3</v>
      </c>
      <c r="AL2439" s="122" t="n">
        <v>0</v>
      </c>
      <c r="AM2439" s="124">
        <f>IFERROR(AL2439/AA2439,"")</f>
        <v/>
      </c>
      <c r="AN2439" s="125">
        <f>IFERROR(R2439/AL2439,"")</f>
        <v/>
      </c>
      <c r="AO2439" s="122" t="n">
        <v>0</v>
      </c>
      <c r="AP2439" s="54">
        <f>IFERROR(AO2439/AL2439,"")</f>
        <v/>
      </c>
      <c r="AQ2439" s="125">
        <f>IFERROR(R2439/AO2439,"")</f>
        <v/>
      </c>
      <c r="AR2439" s="122" t="n">
        <v>0</v>
      </c>
      <c r="AS2439" s="122" t="n">
        <v>0</v>
      </c>
      <c r="AT2439" s="122">
        <f>AL2439+AR2439</f>
        <v/>
      </c>
      <c r="AU2439" s="125">
        <f>IFERROR(AO2439*Assumptions!$C$26*Assumptions!$C$27*INDEX(Assumptions!$C$18:$C$21,MATCH(H2439,Assumptions!$B$18:$B$21,0)),0)</f>
        <v/>
      </c>
    </row>
    <row r="2440">
      <c r="A2440" s="120" t="n">
        <v>46239</v>
      </c>
      <c r="B2440" s="66" t="inlineStr">
        <is>
          <t>Wk 32</t>
        </is>
      </c>
      <c r="C2440" s="66" t="inlineStr">
        <is>
          <t>Wed</t>
        </is>
      </c>
      <c r="D2440" s="66" t="inlineStr">
        <is>
          <t>Programmatic</t>
        </is>
      </c>
      <c r="E2440" s="66" t="inlineStr">
        <is>
          <t>DV360</t>
        </is>
      </c>
      <c r="F2440" s="66" t="inlineStr">
        <is>
          <t>LEP_ZA_AUG26_PROG_RMKT_DYNAMIC</t>
        </is>
      </c>
      <c r="G2440" s="66" t="inlineStr">
        <is>
          <t>Dynamic Retargeting</t>
        </is>
      </c>
      <c r="H2440" s="66" t="inlineStr">
        <is>
          <t>Range</t>
        </is>
      </c>
      <c r="I2440" s="66" t="inlineStr">
        <is>
          <t>Range Offer</t>
        </is>
      </c>
      <c r="J2440" s="66" t="inlineStr">
        <is>
          <t>PROG_DYN_RMKT_30D</t>
        </is>
      </c>
      <c r="K2440" s="66" t="inlineStr">
        <is>
          <t>Retargeting</t>
        </is>
      </c>
      <c r="L2440" s="66" t="inlineStr">
        <is>
          <t>PROG_DYN_320x50_BookNow_v1</t>
        </is>
      </c>
      <c r="M2440" s="66" t="inlineStr">
        <is>
          <t>Dynamic Display 320x50</t>
        </is>
      </c>
      <c r="N2440" s="66" t="inlineStr">
        <is>
          <t>Book your test drive</t>
        </is>
      </c>
      <c r="O2440" s="66" t="inlineStr">
        <is>
          <t>Auction - Lowest Cost</t>
        </is>
      </c>
      <c r="P2440" s="66" t="inlineStr">
        <is>
          <t>Conversions (CPA)</t>
        </is>
      </c>
      <c r="Q2440" s="66" t="inlineStr">
        <is>
          <t>https://www.lepas-sa.co.za/book-a-test-drive</t>
        </is>
      </c>
      <c r="R2440" s="121" t="n">
        <v>67.44</v>
      </c>
      <c r="S2440" s="122" t="n">
        <v>1877</v>
      </c>
      <c r="T2440" s="122" t="n">
        <v>1001</v>
      </c>
      <c r="U2440" s="123">
        <f>IFERROR(S2440/T2440,"")</f>
        <v/>
      </c>
      <c r="V2440" s="122" t="n">
        <v>7</v>
      </c>
      <c r="W2440" s="122" t="n">
        <v>6</v>
      </c>
      <c r="X2440" s="124">
        <f>IFERROR(W2440/S2440,"")</f>
        <v/>
      </c>
      <c r="Y2440" s="121">
        <f>IFERROR(R2440/W2440,"")</f>
        <v/>
      </c>
      <c r="Z2440" s="121">
        <f>IFERROR(R2440/S2440*1000,"")</f>
        <v/>
      </c>
      <c r="AA2440" s="122" t="n">
        <v>4</v>
      </c>
      <c r="AB2440" s="54">
        <f>IFERROR(AA2440/W2440,"")</f>
        <v/>
      </c>
      <c r="AC2440" s="122" t="n">
        <v>0</v>
      </c>
      <c r="AD2440" s="122" t="n">
        <v>0</v>
      </c>
      <c r="AE2440" s="122" t="n">
        <v>0</v>
      </c>
      <c r="AF2440" s="122" t="n">
        <v>0</v>
      </c>
      <c r="AG2440" s="122" t="n">
        <v>0</v>
      </c>
      <c r="AH2440" s="122" t="n">
        <v>0</v>
      </c>
      <c r="AI2440" s="54">
        <f>IFERROR(AC2440/S2440,"")</f>
        <v/>
      </c>
      <c r="AJ2440" s="54">
        <f>IFERROR(AH2440/S2440,"")</f>
        <v/>
      </c>
      <c r="AK2440" s="122" t="n">
        <v>2</v>
      </c>
      <c r="AL2440" s="122" t="n">
        <v>1</v>
      </c>
      <c r="AM2440" s="124">
        <f>IFERROR(AL2440/AA2440,"")</f>
        <v/>
      </c>
      <c r="AN2440" s="125">
        <f>IFERROR(R2440/AL2440,"")</f>
        <v/>
      </c>
      <c r="AO2440" s="122" t="n">
        <v>0</v>
      </c>
      <c r="AP2440" s="54">
        <f>IFERROR(AO2440/AL2440,"")</f>
        <v/>
      </c>
      <c r="AQ2440" s="125">
        <f>IFERROR(R2440/AO2440,"")</f>
        <v/>
      </c>
      <c r="AR2440" s="122" t="n">
        <v>2</v>
      </c>
      <c r="AS2440" s="122" t="n">
        <v>1</v>
      </c>
      <c r="AT2440" s="122">
        <f>AL2440+AR2440</f>
        <v/>
      </c>
      <c r="AU2440" s="125">
        <f>IFERROR(AO2440*Assumptions!$C$26*Assumptions!$C$27*INDEX(Assumptions!$C$18:$C$21,MATCH(H2440,Assumptions!$B$18:$B$21,0)),0)</f>
        <v/>
      </c>
    </row>
    <row r="2441">
      <c r="A2441" s="120" t="n">
        <v>46240</v>
      </c>
      <c r="B2441" s="66" t="inlineStr">
        <is>
          <t>Wk 32</t>
        </is>
      </c>
      <c r="C2441" s="66" t="inlineStr">
        <is>
          <t>Thu</t>
        </is>
      </c>
      <c r="D2441" s="66" t="inlineStr">
        <is>
          <t>Programmatic</t>
        </is>
      </c>
      <c r="E2441" s="66" t="inlineStr">
        <is>
          <t>DV360</t>
        </is>
      </c>
      <c r="F2441" s="66" t="inlineStr">
        <is>
          <t>LEP_ZA_AUG26_PROG_RMKT_DYNAMIC</t>
        </is>
      </c>
      <c r="G2441" s="66" t="inlineStr">
        <is>
          <t>Dynamic Retargeting</t>
        </is>
      </c>
      <c r="H2441" s="66" t="inlineStr">
        <is>
          <t>Range</t>
        </is>
      </c>
      <c r="I2441" s="66" t="inlineStr">
        <is>
          <t>Range Offer</t>
        </is>
      </c>
      <c r="J2441" s="66" t="inlineStr">
        <is>
          <t>PROG_DYN_RMKT_30D</t>
        </is>
      </c>
      <c r="K2441" s="66" t="inlineStr">
        <is>
          <t>Retargeting</t>
        </is>
      </c>
      <c r="L2441" s="66" t="inlineStr">
        <is>
          <t>PROG_DYN_320x50_BookNow_v1</t>
        </is>
      </c>
      <c r="M2441" s="66" t="inlineStr">
        <is>
          <t>Dynamic Display 320x50</t>
        </is>
      </c>
      <c r="N2441" s="66" t="inlineStr">
        <is>
          <t>Book your test drive</t>
        </is>
      </c>
      <c r="O2441" s="66" t="inlineStr">
        <is>
          <t>Auction - Lowest Cost</t>
        </is>
      </c>
      <c r="P2441" s="66" t="inlineStr">
        <is>
          <t>Conversions (CPA)</t>
        </is>
      </c>
      <c r="Q2441" s="66" t="inlineStr">
        <is>
          <t>https://www.lepas-sa.co.za/book-a-test-drive</t>
        </is>
      </c>
      <c r="R2441" s="121" t="n">
        <v>63.06</v>
      </c>
      <c r="S2441" s="122" t="n">
        <v>1911</v>
      </c>
      <c r="T2441" s="122" t="n">
        <v>1319</v>
      </c>
      <c r="U2441" s="123">
        <f>IFERROR(S2441/T2441,"")</f>
        <v/>
      </c>
      <c r="V2441" s="122" t="n">
        <v>6</v>
      </c>
      <c r="W2441" s="122" t="n">
        <v>5</v>
      </c>
      <c r="X2441" s="124">
        <f>IFERROR(W2441/S2441,"")</f>
        <v/>
      </c>
      <c r="Y2441" s="121">
        <f>IFERROR(R2441/W2441,"")</f>
        <v/>
      </c>
      <c r="Z2441" s="121">
        <f>IFERROR(R2441/S2441*1000,"")</f>
        <v/>
      </c>
      <c r="AA2441" s="122" t="n">
        <v>4</v>
      </c>
      <c r="AB2441" s="54">
        <f>IFERROR(AA2441/W2441,"")</f>
        <v/>
      </c>
      <c r="AC2441" s="122" t="n">
        <v>0</v>
      </c>
      <c r="AD2441" s="122" t="n">
        <v>0</v>
      </c>
      <c r="AE2441" s="122" t="n">
        <v>0</v>
      </c>
      <c r="AF2441" s="122" t="n">
        <v>0</v>
      </c>
      <c r="AG2441" s="122" t="n">
        <v>0</v>
      </c>
      <c r="AH2441" s="122" t="n">
        <v>0</v>
      </c>
      <c r="AI2441" s="54">
        <f>IFERROR(AC2441/S2441,"")</f>
        <v/>
      </c>
      <c r="AJ2441" s="54">
        <f>IFERROR(AH2441/S2441,"")</f>
        <v/>
      </c>
      <c r="AK2441" s="122" t="n">
        <v>10</v>
      </c>
      <c r="AL2441" s="122" t="n">
        <v>1</v>
      </c>
      <c r="AM2441" s="124">
        <f>IFERROR(AL2441/AA2441,"")</f>
        <v/>
      </c>
      <c r="AN2441" s="125">
        <f>IFERROR(R2441/AL2441,"")</f>
        <v/>
      </c>
      <c r="AO2441" s="122" t="n">
        <v>1</v>
      </c>
      <c r="AP2441" s="54">
        <f>IFERROR(AO2441/AL2441,"")</f>
        <v/>
      </c>
      <c r="AQ2441" s="125">
        <f>IFERROR(R2441/AO2441,"")</f>
        <v/>
      </c>
      <c r="AR2441" s="122" t="n">
        <v>3</v>
      </c>
      <c r="AS2441" s="122" t="n">
        <v>1</v>
      </c>
      <c r="AT2441" s="122">
        <f>AL2441+AR2441</f>
        <v/>
      </c>
      <c r="AU2441" s="125">
        <f>IFERROR(AO2441*Assumptions!$C$26*Assumptions!$C$27*INDEX(Assumptions!$C$18:$C$21,MATCH(H2441,Assumptions!$B$18:$B$21,0)),0)</f>
        <v/>
      </c>
    </row>
    <row r="2442">
      <c r="A2442" s="120" t="n">
        <v>46241</v>
      </c>
      <c r="B2442" s="66" t="inlineStr">
        <is>
          <t>Wk 32</t>
        </is>
      </c>
      <c r="C2442" s="66" t="inlineStr">
        <is>
          <t>Fri</t>
        </is>
      </c>
      <c r="D2442" s="66" t="inlineStr">
        <is>
          <t>Programmatic</t>
        </is>
      </c>
      <c r="E2442" s="66" t="inlineStr">
        <is>
          <t>DV360</t>
        </is>
      </c>
      <c r="F2442" s="66" t="inlineStr">
        <is>
          <t>LEP_ZA_AUG26_PROG_RMKT_DYNAMIC</t>
        </is>
      </c>
      <c r="G2442" s="66" t="inlineStr">
        <is>
          <t>Dynamic Retargeting</t>
        </is>
      </c>
      <c r="H2442" s="66" t="inlineStr">
        <is>
          <t>Range</t>
        </is>
      </c>
      <c r="I2442" s="66" t="inlineStr">
        <is>
          <t>Range Offer</t>
        </is>
      </c>
      <c r="J2442" s="66" t="inlineStr">
        <is>
          <t>PROG_DYN_RMKT_30D</t>
        </is>
      </c>
      <c r="K2442" s="66" t="inlineStr">
        <is>
          <t>Retargeting</t>
        </is>
      </c>
      <c r="L2442" s="66" t="inlineStr">
        <is>
          <t>PROG_DYN_320x50_BookNow_v1</t>
        </is>
      </c>
      <c r="M2442" s="66" t="inlineStr">
        <is>
          <t>Dynamic Display 320x50</t>
        </is>
      </c>
      <c r="N2442" s="66" t="inlineStr">
        <is>
          <t>Book your test drive</t>
        </is>
      </c>
      <c r="O2442" s="66" t="inlineStr">
        <is>
          <t>Auction - Lowest Cost</t>
        </is>
      </c>
      <c r="P2442" s="66" t="inlineStr">
        <is>
          <t>Conversions (CPA)</t>
        </is>
      </c>
      <c r="Q2442" s="66" t="inlineStr">
        <is>
          <t>https://www.lepas-sa.co.za/book-a-test-drive</t>
        </is>
      </c>
      <c r="R2442" s="121" t="n">
        <v>64.40000000000001</v>
      </c>
      <c r="S2442" s="122" t="n">
        <v>2424</v>
      </c>
      <c r="T2442" s="122" t="n">
        <v>1532</v>
      </c>
      <c r="U2442" s="123">
        <f>IFERROR(S2442/T2442,"")</f>
        <v/>
      </c>
      <c r="V2442" s="122" t="n">
        <v>11</v>
      </c>
      <c r="W2442" s="122" t="n">
        <v>9</v>
      </c>
      <c r="X2442" s="124">
        <f>IFERROR(W2442/S2442,"")</f>
        <v/>
      </c>
      <c r="Y2442" s="121">
        <f>IFERROR(R2442/W2442,"")</f>
        <v/>
      </c>
      <c r="Z2442" s="121">
        <f>IFERROR(R2442/S2442*1000,"")</f>
        <v/>
      </c>
      <c r="AA2442" s="122" t="n">
        <v>6</v>
      </c>
      <c r="AB2442" s="54">
        <f>IFERROR(AA2442/W2442,"")</f>
        <v/>
      </c>
      <c r="AC2442" s="122" t="n">
        <v>0</v>
      </c>
      <c r="AD2442" s="122" t="n">
        <v>0</v>
      </c>
      <c r="AE2442" s="122" t="n">
        <v>0</v>
      </c>
      <c r="AF2442" s="122" t="n">
        <v>0</v>
      </c>
      <c r="AG2442" s="122" t="n">
        <v>0</v>
      </c>
      <c r="AH2442" s="122" t="n">
        <v>0</v>
      </c>
      <c r="AI2442" s="54">
        <f>IFERROR(AC2442/S2442,"")</f>
        <v/>
      </c>
      <c r="AJ2442" s="54">
        <f>IFERROR(AH2442/S2442,"")</f>
        <v/>
      </c>
      <c r="AK2442" s="122" t="n">
        <v>10</v>
      </c>
      <c r="AL2442" s="122" t="n">
        <v>0</v>
      </c>
      <c r="AM2442" s="124">
        <f>IFERROR(AL2442/AA2442,"")</f>
        <v/>
      </c>
      <c r="AN2442" s="125">
        <f>IFERROR(R2442/AL2442,"")</f>
        <v/>
      </c>
      <c r="AO2442" s="122" t="n">
        <v>0</v>
      </c>
      <c r="AP2442" s="54">
        <f>IFERROR(AO2442/AL2442,"")</f>
        <v/>
      </c>
      <c r="AQ2442" s="125">
        <f>IFERROR(R2442/AO2442,"")</f>
        <v/>
      </c>
      <c r="AR2442" s="122" t="n">
        <v>0</v>
      </c>
      <c r="AS2442" s="122" t="n">
        <v>0</v>
      </c>
      <c r="AT2442" s="122">
        <f>AL2442+AR2442</f>
        <v/>
      </c>
      <c r="AU2442" s="125">
        <f>IFERROR(AO2442*Assumptions!$C$26*Assumptions!$C$27*INDEX(Assumptions!$C$18:$C$21,MATCH(H2442,Assumptions!$B$18:$B$21,0)),0)</f>
        <v/>
      </c>
    </row>
    <row r="2443">
      <c r="A2443" s="120" t="n">
        <v>46242</v>
      </c>
      <c r="B2443" s="66" t="inlineStr">
        <is>
          <t>Wk 32</t>
        </is>
      </c>
      <c r="C2443" s="66" t="inlineStr">
        <is>
          <t>Sat</t>
        </is>
      </c>
      <c r="D2443" s="66" t="inlineStr">
        <is>
          <t>Programmatic</t>
        </is>
      </c>
      <c r="E2443" s="66" t="inlineStr">
        <is>
          <t>DV360</t>
        </is>
      </c>
      <c r="F2443" s="66" t="inlineStr">
        <is>
          <t>LEP_ZA_AUG26_PROG_RMKT_DYNAMIC</t>
        </is>
      </c>
      <c r="G2443" s="66" t="inlineStr">
        <is>
          <t>Dynamic Retargeting</t>
        </is>
      </c>
      <c r="H2443" s="66" t="inlineStr">
        <is>
          <t>Range</t>
        </is>
      </c>
      <c r="I2443" s="66" t="inlineStr">
        <is>
          <t>Range Offer</t>
        </is>
      </c>
      <c r="J2443" s="66" t="inlineStr">
        <is>
          <t>PROG_DYN_RMKT_30D</t>
        </is>
      </c>
      <c r="K2443" s="66" t="inlineStr">
        <is>
          <t>Retargeting</t>
        </is>
      </c>
      <c r="L2443" s="66" t="inlineStr">
        <is>
          <t>PROG_DYN_320x50_BookNow_v1</t>
        </is>
      </c>
      <c r="M2443" s="66" t="inlineStr">
        <is>
          <t>Dynamic Display 320x50</t>
        </is>
      </c>
      <c r="N2443" s="66" t="inlineStr">
        <is>
          <t>Book your test drive</t>
        </is>
      </c>
      <c r="O2443" s="66" t="inlineStr">
        <is>
          <t>Auction - Lowest Cost</t>
        </is>
      </c>
      <c r="P2443" s="66" t="inlineStr">
        <is>
          <t>Conversions (CPA)</t>
        </is>
      </c>
      <c r="Q2443" s="66" t="inlineStr">
        <is>
          <t>https://www.lepas-sa.co.za/book-a-test-drive</t>
        </is>
      </c>
      <c r="R2443" s="121" t="n">
        <v>57.68</v>
      </c>
      <c r="S2443" s="122" t="n">
        <v>1927</v>
      </c>
      <c r="T2443" s="122" t="n">
        <v>893</v>
      </c>
      <c r="U2443" s="123">
        <f>IFERROR(S2443/T2443,"")</f>
        <v/>
      </c>
      <c r="V2443" s="122" t="n">
        <v>13</v>
      </c>
      <c r="W2443" s="122" t="n">
        <v>11</v>
      </c>
      <c r="X2443" s="124">
        <f>IFERROR(W2443/S2443,"")</f>
        <v/>
      </c>
      <c r="Y2443" s="121">
        <f>IFERROR(R2443/W2443,"")</f>
        <v/>
      </c>
      <c r="Z2443" s="121">
        <f>IFERROR(R2443/S2443*1000,"")</f>
        <v/>
      </c>
      <c r="AA2443" s="122" t="n">
        <v>8</v>
      </c>
      <c r="AB2443" s="54">
        <f>IFERROR(AA2443/W2443,"")</f>
        <v/>
      </c>
      <c r="AC2443" s="122" t="n">
        <v>0</v>
      </c>
      <c r="AD2443" s="122" t="n">
        <v>0</v>
      </c>
      <c r="AE2443" s="122" t="n">
        <v>0</v>
      </c>
      <c r="AF2443" s="122" t="n">
        <v>0</v>
      </c>
      <c r="AG2443" s="122" t="n">
        <v>0</v>
      </c>
      <c r="AH2443" s="122" t="n">
        <v>0</v>
      </c>
      <c r="AI2443" s="54">
        <f>IFERROR(AC2443/S2443,"")</f>
        <v/>
      </c>
      <c r="AJ2443" s="54">
        <f>IFERROR(AH2443/S2443,"")</f>
        <v/>
      </c>
      <c r="AK2443" s="122" t="n">
        <v>12</v>
      </c>
      <c r="AL2443" s="122" t="n">
        <v>0</v>
      </c>
      <c r="AM2443" s="124">
        <f>IFERROR(AL2443/AA2443,"")</f>
        <v/>
      </c>
      <c r="AN2443" s="125">
        <f>IFERROR(R2443/AL2443,"")</f>
        <v/>
      </c>
      <c r="AO2443" s="122" t="n">
        <v>0</v>
      </c>
      <c r="AP2443" s="54">
        <f>IFERROR(AO2443/AL2443,"")</f>
        <v/>
      </c>
      <c r="AQ2443" s="125">
        <f>IFERROR(R2443/AO2443,"")</f>
        <v/>
      </c>
      <c r="AR2443" s="122" t="n">
        <v>0</v>
      </c>
      <c r="AS2443" s="122" t="n">
        <v>0</v>
      </c>
      <c r="AT2443" s="122">
        <f>AL2443+AR2443</f>
        <v/>
      </c>
      <c r="AU2443" s="125">
        <f>IFERROR(AO2443*Assumptions!$C$26*Assumptions!$C$27*INDEX(Assumptions!$C$18:$C$21,MATCH(H2443,Assumptions!$B$18:$B$21,0)),0)</f>
        <v/>
      </c>
    </row>
    <row r="2444">
      <c r="A2444" s="120" t="n">
        <v>46243</v>
      </c>
      <c r="B2444" s="66" t="inlineStr">
        <is>
          <t>Wk 32</t>
        </is>
      </c>
      <c r="C2444" s="66" t="inlineStr">
        <is>
          <t>Sun</t>
        </is>
      </c>
      <c r="D2444" s="66" t="inlineStr">
        <is>
          <t>Programmatic</t>
        </is>
      </c>
      <c r="E2444" s="66" t="inlineStr">
        <is>
          <t>DV360</t>
        </is>
      </c>
      <c r="F2444" s="66" t="inlineStr">
        <is>
          <t>LEP_ZA_AUG26_PROG_RMKT_DYNAMIC</t>
        </is>
      </c>
      <c r="G2444" s="66" t="inlineStr">
        <is>
          <t>Dynamic Retargeting</t>
        </is>
      </c>
      <c r="H2444" s="66" t="inlineStr">
        <is>
          <t>Range</t>
        </is>
      </c>
      <c r="I2444" s="66" t="inlineStr">
        <is>
          <t>Range Offer</t>
        </is>
      </c>
      <c r="J2444" s="66" t="inlineStr">
        <is>
          <t>PROG_DYN_RMKT_30D</t>
        </is>
      </c>
      <c r="K2444" s="66" t="inlineStr">
        <is>
          <t>Retargeting</t>
        </is>
      </c>
      <c r="L2444" s="66" t="inlineStr">
        <is>
          <t>PROG_DYN_320x50_BookNow_v1</t>
        </is>
      </c>
      <c r="M2444" s="66" t="inlineStr">
        <is>
          <t>Dynamic Display 320x50</t>
        </is>
      </c>
      <c r="N2444" s="66" t="inlineStr">
        <is>
          <t>Book your test drive</t>
        </is>
      </c>
      <c r="O2444" s="66" t="inlineStr">
        <is>
          <t>Auction - Lowest Cost</t>
        </is>
      </c>
      <c r="P2444" s="66" t="inlineStr">
        <is>
          <t>Conversions (CPA)</t>
        </is>
      </c>
      <c r="Q2444" s="66" t="inlineStr">
        <is>
          <t>https://www.lepas-sa.co.za/book-a-test-drive</t>
        </is>
      </c>
      <c r="R2444" s="121" t="n">
        <v>44.75</v>
      </c>
      <c r="S2444" s="122" t="n">
        <v>1153</v>
      </c>
      <c r="T2444" s="122" t="n">
        <v>736</v>
      </c>
      <c r="U2444" s="123">
        <f>IFERROR(S2444/T2444,"")</f>
        <v/>
      </c>
      <c r="V2444" s="122" t="n">
        <v>8</v>
      </c>
      <c r="W2444" s="122" t="n">
        <v>6</v>
      </c>
      <c r="X2444" s="124">
        <f>IFERROR(W2444/S2444,"")</f>
        <v/>
      </c>
      <c r="Y2444" s="121">
        <f>IFERROR(R2444/W2444,"")</f>
        <v/>
      </c>
      <c r="Z2444" s="121">
        <f>IFERROR(R2444/S2444*1000,"")</f>
        <v/>
      </c>
      <c r="AA2444" s="122" t="n">
        <v>3</v>
      </c>
      <c r="AB2444" s="54">
        <f>IFERROR(AA2444/W2444,"")</f>
        <v/>
      </c>
      <c r="AC2444" s="122" t="n">
        <v>0</v>
      </c>
      <c r="AD2444" s="122" t="n">
        <v>0</v>
      </c>
      <c r="AE2444" s="122" t="n">
        <v>0</v>
      </c>
      <c r="AF2444" s="122" t="n">
        <v>0</v>
      </c>
      <c r="AG2444" s="122" t="n">
        <v>0</v>
      </c>
      <c r="AH2444" s="122" t="n">
        <v>0</v>
      </c>
      <c r="AI2444" s="54">
        <f>IFERROR(AC2444/S2444,"")</f>
        <v/>
      </c>
      <c r="AJ2444" s="54">
        <f>IFERROR(AH2444/S2444,"")</f>
        <v/>
      </c>
      <c r="AK2444" s="122" t="n">
        <v>4</v>
      </c>
      <c r="AL2444" s="122" t="n">
        <v>0</v>
      </c>
      <c r="AM2444" s="124">
        <f>IFERROR(AL2444/AA2444,"")</f>
        <v/>
      </c>
      <c r="AN2444" s="125">
        <f>IFERROR(R2444/AL2444,"")</f>
        <v/>
      </c>
      <c r="AO2444" s="122" t="n">
        <v>0</v>
      </c>
      <c r="AP2444" s="54">
        <f>IFERROR(AO2444/AL2444,"")</f>
        <v/>
      </c>
      <c r="AQ2444" s="125">
        <f>IFERROR(R2444/AO2444,"")</f>
        <v/>
      </c>
      <c r="AR2444" s="122" t="n">
        <v>0</v>
      </c>
      <c r="AS2444" s="122" t="n">
        <v>0</v>
      </c>
      <c r="AT2444" s="122">
        <f>AL2444+AR2444</f>
        <v/>
      </c>
      <c r="AU2444" s="125">
        <f>IFERROR(AO2444*Assumptions!$C$26*Assumptions!$C$27*INDEX(Assumptions!$C$18:$C$21,MATCH(H2444,Assumptions!$B$18:$B$21,0)),0)</f>
        <v/>
      </c>
    </row>
    <row r="2445">
      <c r="A2445" s="120" t="n">
        <v>46244</v>
      </c>
      <c r="B2445" s="66" t="inlineStr">
        <is>
          <t>Wk 33</t>
        </is>
      </c>
      <c r="C2445" s="66" t="inlineStr">
        <is>
          <t>Mon</t>
        </is>
      </c>
      <c r="D2445" s="66" t="inlineStr">
        <is>
          <t>Programmatic</t>
        </is>
      </c>
      <c r="E2445" s="66" t="inlineStr">
        <is>
          <t>DV360</t>
        </is>
      </c>
      <c r="F2445" s="66" t="inlineStr">
        <is>
          <t>LEP_ZA_AUG26_PROG_RMKT_DYNAMIC</t>
        </is>
      </c>
      <c r="G2445" s="66" t="inlineStr">
        <is>
          <t>Dynamic Retargeting</t>
        </is>
      </c>
      <c r="H2445" s="66" t="inlineStr">
        <is>
          <t>Range</t>
        </is>
      </c>
      <c r="I2445" s="66" t="inlineStr">
        <is>
          <t>Range Offer</t>
        </is>
      </c>
      <c r="J2445" s="66" t="inlineStr">
        <is>
          <t>PROG_DYN_RMKT_30D</t>
        </is>
      </c>
      <c r="K2445" s="66" t="inlineStr">
        <is>
          <t>Retargeting</t>
        </is>
      </c>
      <c r="L2445" s="66" t="inlineStr">
        <is>
          <t>PROG_DYN_320x50_BookNow_v1</t>
        </is>
      </c>
      <c r="M2445" s="66" t="inlineStr">
        <is>
          <t>Dynamic Display 320x50</t>
        </is>
      </c>
      <c r="N2445" s="66" t="inlineStr">
        <is>
          <t>Book your test drive</t>
        </is>
      </c>
      <c r="O2445" s="66" t="inlineStr">
        <is>
          <t>Auction - Lowest Cost</t>
        </is>
      </c>
      <c r="P2445" s="66" t="inlineStr">
        <is>
          <t>Conversions (CPA)</t>
        </is>
      </c>
      <c r="Q2445" s="66" t="inlineStr">
        <is>
          <t>https://www.lepas-sa.co.za/book-a-test-drive</t>
        </is>
      </c>
      <c r="R2445" s="121" t="n">
        <v>70.64</v>
      </c>
      <c r="S2445" s="122" t="n">
        <v>2558</v>
      </c>
      <c r="T2445" s="122" t="n">
        <v>1086</v>
      </c>
      <c r="U2445" s="123">
        <f>IFERROR(S2445/T2445,"")</f>
        <v/>
      </c>
      <c r="V2445" s="122" t="n">
        <v>7</v>
      </c>
      <c r="W2445" s="122" t="n">
        <v>5</v>
      </c>
      <c r="X2445" s="124">
        <f>IFERROR(W2445/S2445,"")</f>
        <v/>
      </c>
      <c r="Y2445" s="121">
        <f>IFERROR(R2445/W2445,"")</f>
        <v/>
      </c>
      <c r="Z2445" s="121">
        <f>IFERROR(R2445/S2445*1000,"")</f>
        <v/>
      </c>
      <c r="AA2445" s="122" t="n">
        <v>3</v>
      </c>
      <c r="AB2445" s="54">
        <f>IFERROR(AA2445/W2445,"")</f>
        <v/>
      </c>
      <c r="AC2445" s="122" t="n">
        <v>0</v>
      </c>
      <c r="AD2445" s="122" t="n">
        <v>0</v>
      </c>
      <c r="AE2445" s="122" t="n">
        <v>0</v>
      </c>
      <c r="AF2445" s="122" t="n">
        <v>0</v>
      </c>
      <c r="AG2445" s="122" t="n">
        <v>0</v>
      </c>
      <c r="AH2445" s="122" t="n">
        <v>0</v>
      </c>
      <c r="AI2445" s="54">
        <f>IFERROR(AC2445/S2445,"")</f>
        <v/>
      </c>
      <c r="AJ2445" s="54">
        <f>IFERROR(AH2445/S2445,"")</f>
        <v/>
      </c>
      <c r="AK2445" s="122" t="n">
        <v>12</v>
      </c>
      <c r="AL2445" s="122" t="n">
        <v>0</v>
      </c>
      <c r="AM2445" s="124">
        <f>IFERROR(AL2445/AA2445,"")</f>
        <v/>
      </c>
      <c r="AN2445" s="125">
        <f>IFERROR(R2445/AL2445,"")</f>
        <v/>
      </c>
      <c r="AO2445" s="122" t="n">
        <v>0</v>
      </c>
      <c r="AP2445" s="54">
        <f>IFERROR(AO2445/AL2445,"")</f>
        <v/>
      </c>
      <c r="AQ2445" s="125">
        <f>IFERROR(R2445/AO2445,"")</f>
        <v/>
      </c>
      <c r="AR2445" s="122" t="n">
        <v>0</v>
      </c>
      <c r="AS2445" s="122" t="n">
        <v>0</v>
      </c>
      <c r="AT2445" s="122">
        <f>AL2445+AR2445</f>
        <v/>
      </c>
      <c r="AU2445" s="125">
        <f>IFERROR(AO2445*Assumptions!$C$26*Assumptions!$C$27*INDEX(Assumptions!$C$18:$C$21,MATCH(H2445,Assumptions!$B$18:$B$21,0)),0)</f>
        <v/>
      </c>
    </row>
    <row r="2446">
      <c r="A2446" s="120" t="n">
        <v>46245</v>
      </c>
      <c r="B2446" s="66" t="inlineStr">
        <is>
          <t>Wk 33</t>
        </is>
      </c>
      <c r="C2446" s="66" t="inlineStr">
        <is>
          <t>Tue</t>
        </is>
      </c>
      <c r="D2446" s="66" t="inlineStr">
        <is>
          <t>Programmatic</t>
        </is>
      </c>
      <c r="E2446" s="66" t="inlineStr">
        <is>
          <t>DV360</t>
        </is>
      </c>
      <c r="F2446" s="66" t="inlineStr">
        <is>
          <t>LEP_ZA_AUG26_PROG_RMKT_DYNAMIC</t>
        </is>
      </c>
      <c r="G2446" s="66" t="inlineStr">
        <is>
          <t>Dynamic Retargeting</t>
        </is>
      </c>
      <c r="H2446" s="66" t="inlineStr">
        <is>
          <t>Range</t>
        </is>
      </c>
      <c r="I2446" s="66" t="inlineStr">
        <is>
          <t>Range Offer</t>
        </is>
      </c>
      <c r="J2446" s="66" t="inlineStr">
        <is>
          <t>PROG_DYN_RMKT_30D</t>
        </is>
      </c>
      <c r="K2446" s="66" t="inlineStr">
        <is>
          <t>Retargeting</t>
        </is>
      </c>
      <c r="L2446" s="66" t="inlineStr">
        <is>
          <t>PROG_DYN_320x50_BookNow_v1</t>
        </is>
      </c>
      <c r="M2446" s="66" t="inlineStr">
        <is>
          <t>Dynamic Display 320x50</t>
        </is>
      </c>
      <c r="N2446" s="66" t="inlineStr">
        <is>
          <t>Book your test drive</t>
        </is>
      </c>
      <c r="O2446" s="66" t="inlineStr">
        <is>
          <t>Auction - Lowest Cost</t>
        </is>
      </c>
      <c r="P2446" s="66" t="inlineStr">
        <is>
          <t>Conversions (CPA)</t>
        </is>
      </c>
      <c r="Q2446" s="66" t="inlineStr">
        <is>
          <t>https://www.lepas-sa.co.za/book-a-test-drive</t>
        </is>
      </c>
      <c r="R2446" s="121" t="n">
        <v>50.5</v>
      </c>
      <c r="S2446" s="122" t="n">
        <v>1126</v>
      </c>
      <c r="T2446" s="122" t="n">
        <v>615</v>
      </c>
      <c r="U2446" s="123">
        <f>IFERROR(S2446/T2446,"")</f>
        <v/>
      </c>
      <c r="V2446" s="122" t="n">
        <v>6</v>
      </c>
      <c r="W2446" s="122" t="n">
        <v>5</v>
      </c>
      <c r="X2446" s="124">
        <f>IFERROR(W2446/S2446,"")</f>
        <v/>
      </c>
      <c r="Y2446" s="121">
        <f>IFERROR(R2446/W2446,"")</f>
        <v/>
      </c>
      <c r="Z2446" s="121">
        <f>IFERROR(R2446/S2446*1000,"")</f>
        <v/>
      </c>
      <c r="AA2446" s="122" t="n">
        <v>4</v>
      </c>
      <c r="AB2446" s="54">
        <f>IFERROR(AA2446/W2446,"")</f>
        <v/>
      </c>
      <c r="AC2446" s="122" t="n">
        <v>0</v>
      </c>
      <c r="AD2446" s="122" t="n">
        <v>0</v>
      </c>
      <c r="AE2446" s="122" t="n">
        <v>0</v>
      </c>
      <c r="AF2446" s="122" t="n">
        <v>0</v>
      </c>
      <c r="AG2446" s="122" t="n">
        <v>0</v>
      </c>
      <c r="AH2446" s="122" t="n">
        <v>0</v>
      </c>
      <c r="AI2446" s="54">
        <f>IFERROR(AC2446/S2446,"")</f>
        <v/>
      </c>
      <c r="AJ2446" s="54">
        <f>IFERROR(AH2446/S2446,"")</f>
        <v/>
      </c>
      <c r="AK2446" s="122" t="n">
        <v>2</v>
      </c>
      <c r="AL2446" s="122" t="n">
        <v>0</v>
      </c>
      <c r="AM2446" s="124">
        <f>IFERROR(AL2446/AA2446,"")</f>
        <v/>
      </c>
      <c r="AN2446" s="125">
        <f>IFERROR(R2446/AL2446,"")</f>
        <v/>
      </c>
      <c r="AO2446" s="122" t="n">
        <v>0</v>
      </c>
      <c r="AP2446" s="54">
        <f>IFERROR(AO2446/AL2446,"")</f>
        <v/>
      </c>
      <c r="AQ2446" s="125">
        <f>IFERROR(R2446/AO2446,"")</f>
        <v/>
      </c>
      <c r="AR2446" s="122" t="n">
        <v>0</v>
      </c>
      <c r="AS2446" s="122" t="n">
        <v>0</v>
      </c>
      <c r="AT2446" s="122">
        <f>AL2446+AR2446</f>
        <v/>
      </c>
      <c r="AU2446" s="125">
        <f>IFERROR(AO2446*Assumptions!$C$26*Assumptions!$C$27*INDEX(Assumptions!$C$18:$C$21,MATCH(H2446,Assumptions!$B$18:$B$21,0)),0)</f>
        <v/>
      </c>
    </row>
    <row r="2447">
      <c r="A2447" s="120" t="n">
        <v>46246</v>
      </c>
      <c r="B2447" s="66" t="inlineStr">
        <is>
          <t>Wk 33</t>
        </is>
      </c>
      <c r="C2447" s="66" t="inlineStr">
        <is>
          <t>Wed</t>
        </is>
      </c>
      <c r="D2447" s="66" t="inlineStr">
        <is>
          <t>Programmatic</t>
        </is>
      </c>
      <c r="E2447" s="66" t="inlineStr">
        <is>
          <t>DV360</t>
        </is>
      </c>
      <c r="F2447" s="66" t="inlineStr">
        <is>
          <t>LEP_ZA_AUG26_PROG_RMKT_DYNAMIC</t>
        </is>
      </c>
      <c r="G2447" s="66" t="inlineStr">
        <is>
          <t>Dynamic Retargeting</t>
        </is>
      </c>
      <c r="H2447" s="66" t="inlineStr">
        <is>
          <t>Range</t>
        </is>
      </c>
      <c r="I2447" s="66" t="inlineStr">
        <is>
          <t>Range Offer</t>
        </is>
      </c>
      <c r="J2447" s="66" t="inlineStr">
        <is>
          <t>PROG_DYN_RMKT_30D</t>
        </is>
      </c>
      <c r="K2447" s="66" t="inlineStr">
        <is>
          <t>Retargeting</t>
        </is>
      </c>
      <c r="L2447" s="66" t="inlineStr">
        <is>
          <t>PROG_DYN_320x50_BookNow_v1</t>
        </is>
      </c>
      <c r="M2447" s="66" t="inlineStr">
        <is>
          <t>Dynamic Display 320x50</t>
        </is>
      </c>
      <c r="N2447" s="66" t="inlineStr">
        <is>
          <t>Book your test drive</t>
        </is>
      </c>
      <c r="O2447" s="66" t="inlineStr">
        <is>
          <t>Auction - Lowest Cost</t>
        </is>
      </c>
      <c r="P2447" s="66" t="inlineStr">
        <is>
          <t>Conversions (CPA)</t>
        </is>
      </c>
      <c r="Q2447" s="66" t="inlineStr">
        <is>
          <t>https://www.lepas-sa.co.za/book-a-test-drive</t>
        </is>
      </c>
      <c r="R2447" s="121" t="n">
        <v>59.56</v>
      </c>
      <c r="S2447" s="122" t="n">
        <v>2564</v>
      </c>
      <c r="T2447" s="122" t="n">
        <v>1349</v>
      </c>
      <c r="U2447" s="123">
        <f>IFERROR(S2447/T2447,"")</f>
        <v/>
      </c>
      <c r="V2447" s="122" t="n">
        <v>11</v>
      </c>
      <c r="W2447" s="122" t="n">
        <v>8</v>
      </c>
      <c r="X2447" s="124">
        <f>IFERROR(W2447/S2447,"")</f>
        <v/>
      </c>
      <c r="Y2447" s="121">
        <f>IFERROR(R2447/W2447,"")</f>
        <v/>
      </c>
      <c r="Z2447" s="121">
        <f>IFERROR(R2447/S2447*1000,"")</f>
        <v/>
      </c>
      <c r="AA2447" s="122" t="n">
        <v>5</v>
      </c>
      <c r="AB2447" s="54">
        <f>IFERROR(AA2447/W2447,"")</f>
        <v/>
      </c>
      <c r="AC2447" s="122" t="n">
        <v>0</v>
      </c>
      <c r="AD2447" s="122" t="n">
        <v>0</v>
      </c>
      <c r="AE2447" s="122" t="n">
        <v>0</v>
      </c>
      <c r="AF2447" s="122" t="n">
        <v>0</v>
      </c>
      <c r="AG2447" s="122" t="n">
        <v>0</v>
      </c>
      <c r="AH2447" s="122" t="n">
        <v>0</v>
      </c>
      <c r="AI2447" s="54">
        <f>IFERROR(AC2447/S2447,"")</f>
        <v/>
      </c>
      <c r="AJ2447" s="54">
        <f>IFERROR(AH2447/S2447,"")</f>
        <v/>
      </c>
      <c r="AK2447" s="122" t="n">
        <v>10</v>
      </c>
      <c r="AL2447" s="122" t="n">
        <v>0</v>
      </c>
      <c r="AM2447" s="124">
        <f>IFERROR(AL2447/AA2447,"")</f>
        <v/>
      </c>
      <c r="AN2447" s="125">
        <f>IFERROR(R2447/AL2447,"")</f>
        <v/>
      </c>
      <c r="AO2447" s="122" t="n">
        <v>0</v>
      </c>
      <c r="AP2447" s="54">
        <f>IFERROR(AO2447/AL2447,"")</f>
        <v/>
      </c>
      <c r="AQ2447" s="125">
        <f>IFERROR(R2447/AO2447,"")</f>
        <v/>
      </c>
      <c r="AR2447" s="122" t="n">
        <v>0</v>
      </c>
      <c r="AS2447" s="122" t="n">
        <v>0</v>
      </c>
      <c r="AT2447" s="122">
        <f>AL2447+AR2447</f>
        <v/>
      </c>
      <c r="AU2447" s="125">
        <f>IFERROR(AO2447*Assumptions!$C$26*Assumptions!$C$27*INDEX(Assumptions!$C$18:$C$21,MATCH(H2447,Assumptions!$B$18:$B$21,0)),0)</f>
        <v/>
      </c>
    </row>
    <row r="2448">
      <c r="A2448" s="120" t="n">
        <v>46247</v>
      </c>
      <c r="B2448" s="66" t="inlineStr">
        <is>
          <t>Wk 33</t>
        </is>
      </c>
      <c r="C2448" s="66" t="inlineStr">
        <is>
          <t>Thu</t>
        </is>
      </c>
      <c r="D2448" s="66" t="inlineStr">
        <is>
          <t>Programmatic</t>
        </is>
      </c>
      <c r="E2448" s="66" t="inlineStr">
        <is>
          <t>DV360</t>
        </is>
      </c>
      <c r="F2448" s="66" t="inlineStr">
        <is>
          <t>LEP_ZA_AUG26_PROG_RMKT_DYNAMIC</t>
        </is>
      </c>
      <c r="G2448" s="66" t="inlineStr">
        <is>
          <t>Dynamic Retargeting</t>
        </is>
      </c>
      <c r="H2448" s="66" t="inlineStr">
        <is>
          <t>Range</t>
        </is>
      </c>
      <c r="I2448" s="66" t="inlineStr">
        <is>
          <t>Range Offer</t>
        </is>
      </c>
      <c r="J2448" s="66" t="inlineStr">
        <is>
          <t>PROG_DYN_RMKT_30D</t>
        </is>
      </c>
      <c r="K2448" s="66" t="inlineStr">
        <is>
          <t>Retargeting</t>
        </is>
      </c>
      <c r="L2448" s="66" t="inlineStr">
        <is>
          <t>PROG_DYN_320x50_BookNow_v1</t>
        </is>
      </c>
      <c r="M2448" s="66" t="inlineStr">
        <is>
          <t>Dynamic Display 320x50</t>
        </is>
      </c>
      <c r="N2448" s="66" t="inlineStr">
        <is>
          <t>Book your test drive</t>
        </is>
      </c>
      <c r="O2448" s="66" t="inlineStr">
        <is>
          <t>Auction - Lowest Cost</t>
        </is>
      </c>
      <c r="P2448" s="66" t="inlineStr">
        <is>
          <t>Conversions (CPA)</t>
        </is>
      </c>
      <c r="Q2448" s="66" t="inlineStr">
        <is>
          <t>https://www.lepas-sa.co.za/book-a-test-drive</t>
        </is>
      </c>
      <c r="R2448" s="121" t="n">
        <v>57</v>
      </c>
      <c r="S2448" s="122" t="n">
        <v>1333</v>
      </c>
      <c r="T2448" s="122" t="n">
        <v>940</v>
      </c>
      <c r="U2448" s="123">
        <f>IFERROR(S2448/T2448,"")</f>
        <v/>
      </c>
      <c r="V2448" s="122" t="n">
        <v>7</v>
      </c>
      <c r="W2448" s="122" t="n">
        <v>6</v>
      </c>
      <c r="X2448" s="124">
        <f>IFERROR(W2448/S2448,"")</f>
        <v/>
      </c>
      <c r="Y2448" s="121">
        <f>IFERROR(R2448/W2448,"")</f>
        <v/>
      </c>
      <c r="Z2448" s="121">
        <f>IFERROR(R2448/S2448*1000,"")</f>
        <v/>
      </c>
      <c r="AA2448" s="122" t="n">
        <v>5</v>
      </c>
      <c r="AB2448" s="54">
        <f>IFERROR(AA2448/W2448,"")</f>
        <v/>
      </c>
      <c r="AC2448" s="122" t="n">
        <v>0</v>
      </c>
      <c r="AD2448" s="122" t="n">
        <v>0</v>
      </c>
      <c r="AE2448" s="122" t="n">
        <v>0</v>
      </c>
      <c r="AF2448" s="122" t="n">
        <v>0</v>
      </c>
      <c r="AG2448" s="122" t="n">
        <v>0</v>
      </c>
      <c r="AH2448" s="122" t="n">
        <v>0</v>
      </c>
      <c r="AI2448" s="54">
        <f>IFERROR(AC2448/S2448,"")</f>
        <v/>
      </c>
      <c r="AJ2448" s="54">
        <f>IFERROR(AH2448/S2448,"")</f>
        <v/>
      </c>
      <c r="AK2448" s="122" t="n">
        <v>7</v>
      </c>
      <c r="AL2448" s="122" t="n">
        <v>0</v>
      </c>
      <c r="AM2448" s="124">
        <f>IFERROR(AL2448/AA2448,"")</f>
        <v/>
      </c>
      <c r="AN2448" s="125">
        <f>IFERROR(R2448/AL2448,"")</f>
        <v/>
      </c>
      <c r="AO2448" s="122" t="n">
        <v>0</v>
      </c>
      <c r="AP2448" s="54">
        <f>IFERROR(AO2448/AL2448,"")</f>
        <v/>
      </c>
      <c r="AQ2448" s="125">
        <f>IFERROR(R2448/AO2448,"")</f>
        <v/>
      </c>
      <c r="AR2448" s="122" t="n">
        <v>0</v>
      </c>
      <c r="AS2448" s="122" t="n">
        <v>0</v>
      </c>
      <c r="AT2448" s="122">
        <f>AL2448+AR2448</f>
        <v/>
      </c>
      <c r="AU2448" s="125">
        <f>IFERROR(AO2448*Assumptions!$C$26*Assumptions!$C$27*INDEX(Assumptions!$C$18:$C$21,MATCH(H2448,Assumptions!$B$18:$B$21,0)),0)</f>
        <v/>
      </c>
    </row>
    <row r="2449">
      <c r="A2449" s="120" t="n">
        <v>46248</v>
      </c>
      <c r="B2449" s="66" t="inlineStr">
        <is>
          <t>Wk 33</t>
        </is>
      </c>
      <c r="C2449" s="66" t="inlineStr">
        <is>
          <t>Fri</t>
        </is>
      </c>
      <c r="D2449" s="66" t="inlineStr">
        <is>
          <t>Programmatic</t>
        </is>
      </c>
      <c r="E2449" s="66" t="inlineStr">
        <is>
          <t>DV360</t>
        </is>
      </c>
      <c r="F2449" s="66" t="inlineStr">
        <is>
          <t>LEP_ZA_AUG26_PROG_RMKT_DYNAMIC</t>
        </is>
      </c>
      <c r="G2449" s="66" t="inlineStr">
        <is>
          <t>Dynamic Retargeting</t>
        </is>
      </c>
      <c r="H2449" s="66" t="inlineStr">
        <is>
          <t>Range</t>
        </is>
      </c>
      <c r="I2449" s="66" t="inlineStr">
        <is>
          <t>Range Offer</t>
        </is>
      </c>
      <c r="J2449" s="66" t="inlineStr">
        <is>
          <t>PROG_DYN_RMKT_30D</t>
        </is>
      </c>
      <c r="K2449" s="66" t="inlineStr">
        <is>
          <t>Retargeting</t>
        </is>
      </c>
      <c r="L2449" s="66" t="inlineStr">
        <is>
          <t>PROG_DYN_320x50_BookNow_v1</t>
        </is>
      </c>
      <c r="M2449" s="66" t="inlineStr">
        <is>
          <t>Dynamic Display 320x50</t>
        </is>
      </c>
      <c r="N2449" s="66" t="inlineStr">
        <is>
          <t>Book your test drive</t>
        </is>
      </c>
      <c r="O2449" s="66" t="inlineStr">
        <is>
          <t>Auction - Lowest Cost</t>
        </is>
      </c>
      <c r="P2449" s="66" t="inlineStr">
        <is>
          <t>Conversions (CPA)</t>
        </is>
      </c>
      <c r="Q2449" s="66" t="inlineStr">
        <is>
          <t>https://www.lepas-sa.co.za/book-a-test-drive</t>
        </is>
      </c>
      <c r="R2449" s="121" t="n">
        <v>75.84</v>
      </c>
      <c r="S2449" s="122" t="n">
        <v>3006</v>
      </c>
      <c r="T2449" s="122" t="n">
        <v>2110</v>
      </c>
      <c r="U2449" s="123">
        <f>IFERROR(S2449/T2449,"")</f>
        <v/>
      </c>
      <c r="V2449" s="122" t="n">
        <v>12</v>
      </c>
      <c r="W2449" s="122" t="n">
        <v>10</v>
      </c>
      <c r="X2449" s="124">
        <f>IFERROR(W2449/S2449,"")</f>
        <v/>
      </c>
      <c r="Y2449" s="121">
        <f>IFERROR(R2449/W2449,"")</f>
        <v/>
      </c>
      <c r="Z2449" s="121">
        <f>IFERROR(R2449/S2449*1000,"")</f>
        <v/>
      </c>
      <c r="AA2449" s="122" t="n">
        <v>5</v>
      </c>
      <c r="AB2449" s="54">
        <f>IFERROR(AA2449/W2449,"")</f>
        <v/>
      </c>
      <c r="AC2449" s="122" t="n">
        <v>0</v>
      </c>
      <c r="AD2449" s="122" t="n">
        <v>0</v>
      </c>
      <c r="AE2449" s="122" t="n">
        <v>0</v>
      </c>
      <c r="AF2449" s="122" t="n">
        <v>0</v>
      </c>
      <c r="AG2449" s="122" t="n">
        <v>0</v>
      </c>
      <c r="AH2449" s="122" t="n">
        <v>0</v>
      </c>
      <c r="AI2449" s="54">
        <f>IFERROR(AC2449/S2449,"")</f>
        <v/>
      </c>
      <c r="AJ2449" s="54">
        <f>IFERROR(AH2449/S2449,"")</f>
        <v/>
      </c>
      <c r="AK2449" s="122" t="n">
        <v>10</v>
      </c>
      <c r="AL2449" s="122" t="n">
        <v>0</v>
      </c>
      <c r="AM2449" s="124">
        <f>IFERROR(AL2449/AA2449,"")</f>
        <v/>
      </c>
      <c r="AN2449" s="125">
        <f>IFERROR(R2449/AL2449,"")</f>
        <v/>
      </c>
      <c r="AO2449" s="122" t="n">
        <v>0</v>
      </c>
      <c r="AP2449" s="54">
        <f>IFERROR(AO2449/AL2449,"")</f>
        <v/>
      </c>
      <c r="AQ2449" s="125">
        <f>IFERROR(R2449/AO2449,"")</f>
        <v/>
      </c>
      <c r="AR2449" s="122" t="n">
        <v>0</v>
      </c>
      <c r="AS2449" s="122" t="n">
        <v>0</v>
      </c>
      <c r="AT2449" s="122">
        <f>AL2449+AR2449</f>
        <v/>
      </c>
      <c r="AU2449" s="125">
        <f>IFERROR(AO2449*Assumptions!$C$26*Assumptions!$C$27*INDEX(Assumptions!$C$18:$C$21,MATCH(H2449,Assumptions!$B$18:$B$21,0)),0)</f>
        <v/>
      </c>
    </row>
    <row r="2450">
      <c r="A2450" s="120" t="n">
        <v>46249</v>
      </c>
      <c r="B2450" s="66" t="inlineStr">
        <is>
          <t>Wk 33</t>
        </is>
      </c>
      <c r="C2450" s="66" t="inlineStr">
        <is>
          <t>Sat</t>
        </is>
      </c>
      <c r="D2450" s="66" t="inlineStr">
        <is>
          <t>Programmatic</t>
        </is>
      </c>
      <c r="E2450" s="66" t="inlineStr">
        <is>
          <t>DV360</t>
        </is>
      </c>
      <c r="F2450" s="66" t="inlineStr">
        <is>
          <t>LEP_ZA_AUG26_PROG_RMKT_DYNAMIC</t>
        </is>
      </c>
      <c r="G2450" s="66" t="inlineStr">
        <is>
          <t>Dynamic Retargeting</t>
        </is>
      </c>
      <c r="H2450" s="66" t="inlineStr">
        <is>
          <t>Range</t>
        </is>
      </c>
      <c r="I2450" s="66" t="inlineStr">
        <is>
          <t>Range Offer</t>
        </is>
      </c>
      <c r="J2450" s="66" t="inlineStr">
        <is>
          <t>PROG_DYN_RMKT_30D</t>
        </is>
      </c>
      <c r="K2450" s="66" t="inlineStr">
        <is>
          <t>Retargeting</t>
        </is>
      </c>
      <c r="L2450" s="66" t="inlineStr">
        <is>
          <t>PROG_DYN_320x50_BookNow_v1</t>
        </is>
      </c>
      <c r="M2450" s="66" t="inlineStr">
        <is>
          <t>Dynamic Display 320x50</t>
        </is>
      </c>
      <c r="N2450" s="66" t="inlineStr">
        <is>
          <t>Book your test drive</t>
        </is>
      </c>
      <c r="O2450" s="66" t="inlineStr">
        <is>
          <t>Auction - Lowest Cost</t>
        </is>
      </c>
      <c r="P2450" s="66" t="inlineStr">
        <is>
          <t>Conversions (CPA)</t>
        </is>
      </c>
      <c r="Q2450" s="66" t="inlineStr">
        <is>
          <t>https://www.lepas-sa.co.za/book-a-test-drive</t>
        </is>
      </c>
      <c r="R2450" s="121" t="n">
        <v>67.31999999999999</v>
      </c>
      <c r="S2450" s="122" t="n">
        <v>1733</v>
      </c>
      <c r="T2450" s="122" t="n">
        <v>673</v>
      </c>
      <c r="U2450" s="123">
        <f>IFERROR(S2450/T2450,"")</f>
        <v/>
      </c>
      <c r="V2450" s="122" t="n">
        <v>11</v>
      </c>
      <c r="W2450" s="122" t="n">
        <v>9</v>
      </c>
      <c r="X2450" s="124">
        <f>IFERROR(W2450/S2450,"")</f>
        <v/>
      </c>
      <c r="Y2450" s="121">
        <f>IFERROR(R2450/W2450,"")</f>
        <v/>
      </c>
      <c r="Z2450" s="121">
        <f>IFERROR(R2450/S2450*1000,"")</f>
        <v/>
      </c>
      <c r="AA2450" s="122" t="n">
        <v>6</v>
      </c>
      <c r="AB2450" s="54">
        <f>IFERROR(AA2450/W2450,"")</f>
        <v/>
      </c>
      <c r="AC2450" s="122" t="n">
        <v>0</v>
      </c>
      <c r="AD2450" s="122" t="n">
        <v>0</v>
      </c>
      <c r="AE2450" s="122" t="n">
        <v>0</v>
      </c>
      <c r="AF2450" s="122" t="n">
        <v>0</v>
      </c>
      <c r="AG2450" s="122" t="n">
        <v>0</v>
      </c>
      <c r="AH2450" s="122" t="n">
        <v>0</v>
      </c>
      <c r="AI2450" s="54">
        <f>IFERROR(AC2450/S2450,"")</f>
        <v/>
      </c>
      <c r="AJ2450" s="54">
        <f>IFERROR(AH2450/S2450,"")</f>
        <v/>
      </c>
      <c r="AK2450" s="122" t="n">
        <v>5</v>
      </c>
      <c r="AL2450" s="122" t="n">
        <v>1</v>
      </c>
      <c r="AM2450" s="124">
        <f>IFERROR(AL2450/AA2450,"")</f>
        <v/>
      </c>
      <c r="AN2450" s="125">
        <f>IFERROR(R2450/AL2450,"")</f>
        <v/>
      </c>
      <c r="AO2450" s="122" t="n">
        <v>1</v>
      </c>
      <c r="AP2450" s="54">
        <f>IFERROR(AO2450/AL2450,"")</f>
        <v/>
      </c>
      <c r="AQ2450" s="125">
        <f>IFERROR(R2450/AO2450,"")</f>
        <v/>
      </c>
      <c r="AR2450" s="122" t="n">
        <v>2</v>
      </c>
      <c r="AS2450" s="122" t="n">
        <v>1</v>
      </c>
      <c r="AT2450" s="122">
        <f>AL2450+AR2450</f>
        <v/>
      </c>
      <c r="AU2450" s="125">
        <f>IFERROR(AO2450*Assumptions!$C$26*Assumptions!$C$27*INDEX(Assumptions!$C$18:$C$21,MATCH(H2450,Assumptions!$B$18:$B$21,0)),0)</f>
        <v/>
      </c>
    </row>
    <row r="2451">
      <c r="A2451" s="120" t="n">
        <v>46250</v>
      </c>
      <c r="B2451" s="66" t="inlineStr">
        <is>
          <t>Wk 33</t>
        </is>
      </c>
      <c r="C2451" s="66" t="inlineStr">
        <is>
          <t>Sun</t>
        </is>
      </c>
      <c r="D2451" s="66" t="inlineStr">
        <is>
          <t>Programmatic</t>
        </is>
      </c>
      <c r="E2451" s="66" t="inlineStr">
        <is>
          <t>DV360</t>
        </is>
      </c>
      <c r="F2451" s="66" t="inlineStr">
        <is>
          <t>LEP_ZA_AUG26_PROG_RMKT_DYNAMIC</t>
        </is>
      </c>
      <c r="G2451" s="66" t="inlineStr">
        <is>
          <t>Dynamic Retargeting</t>
        </is>
      </c>
      <c r="H2451" s="66" t="inlineStr">
        <is>
          <t>Range</t>
        </is>
      </c>
      <c r="I2451" s="66" t="inlineStr">
        <is>
          <t>Range Offer</t>
        </is>
      </c>
      <c r="J2451" s="66" t="inlineStr">
        <is>
          <t>PROG_DYN_RMKT_30D</t>
        </is>
      </c>
      <c r="K2451" s="66" t="inlineStr">
        <is>
          <t>Retargeting</t>
        </is>
      </c>
      <c r="L2451" s="66" t="inlineStr">
        <is>
          <t>PROG_DYN_320x50_BookNow_v1</t>
        </is>
      </c>
      <c r="M2451" s="66" t="inlineStr">
        <is>
          <t>Dynamic Display 320x50</t>
        </is>
      </c>
      <c r="N2451" s="66" t="inlineStr">
        <is>
          <t>Book your test drive</t>
        </is>
      </c>
      <c r="O2451" s="66" t="inlineStr">
        <is>
          <t>Auction - Lowest Cost</t>
        </is>
      </c>
      <c r="P2451" s="66" t="inlineStr">
        <is>
          <t>Conversions (CPA)</t>
        </is>
      </c>
      <c r="Q2451" s="66" t="inlineStr">
        <is>
          <t>https://www.lepas-sa.co.za/book-a-test-drive</t>
        </is>
      </c>
      <c r="R2451" s="121" t="n">
        <v>47.03</v>
      </c>
      <c r="S2451" s="122" t="n">
        <v>1201</v>
      </c>
      <c r="T2451" s="122" t="n">
        <v>478</v>
      </c>
      <c r="U2451" s="123">
        <f>IFERROR(S2451/T2451,"")</f>
        <v/>
      </c>
      <c r="V2451" s="122" t="n">
        <v>8</v>
      </c>
      <c r="W2451" s="122" t="n">
        <v>6</v>
      </c>
      <c r="X2451" s="124">
        <f>IFERROR(W2451/S2451,"")</f>
        <v/>
      </c>
      <c r="Y2451" s="121">
        <f>IFERROR(R2451/W2451,"")</f>
        <v/>
      </c>
      <c r="Z2451" s="121">
        <f>IFERROR(R2451/S2451*1000,"")</f>
        <v/>
      </c>
      <c r="AA2451" s="122" t="n">
        <v>4</v>
      </c>
      <c r="AB2451" s="54">
        <f>IFERROR(AA2451/W2451,"")</f>
        <v/>
      </c>
      <c r="AC2451" s="122" t="n">
        <v>0</v>
      </c>
      <c r="AD2451" s="122" t="n">
        <v>0</v>
      </c>
      <c r="AE2451" s="122" t="n">
        <v>0</v>
      </c>
      <c r="AF2451" s="122" t="n">
        <v>0</v>
      </c>
      <c r="AG2451" s="122" t="n">
        <v>0</v>
      </c>
      <c r="AH2451" s="122" t="n">
        <v>0</v>
      </c>
      <c r="AI2451" s="54">
        <f>IFERROR(AC2451/S2451,"")</f>
        <v/>
      </c>
      <c r="AJ2451" s="54">
        <f>IFERROR(AH2451/S2451,"")</f>
        <v/>
      </c>
      <c r="AK2451" s="122" t="n">
        <v>2</v>
      </c>
      <c r="AL2451" s="122" t="n">
        <v>0</v>
      </c>
      <c r="AM2451" s="124">
        <f>IFERROR(AL2451/AA2451,"")</f>
        <v/>
      </c>
      <c r="AN2451" s="125">
        <f>IFERROR(R2451/AL2451,"")</f>
        <v/>
      </c>
      <c r="AO2451" s="122" t="n">
        <v>0</v>
      </c>
      <c r="AP2451" s="54">
        <f>IFERROR(AO2451/AL2451,"")</f>
        <v/>
      </c>
      <c r="AQ2451" s="125">
        <f>IFERROR(R2451/AO2451,"")</f>
        <v/>
      </c>
      <c r="AR2451" s="122" t="n">
        <v>0</v>
      </c>
      <c r="AS2451" s="122" t="n">
        <v>0</v>
      </c>
      <c r="AT2451" s="122">
        <f>AL2451+AR2451</f>
        <v/>
      </c>
      <c r="AU2451" s="125">
        <f>IFERROR(AO2451*Assumptions!$C$26*Assumptions!$C$27*INDEX(Assumptions!$C$18:$C$21,MATCH(H2451,Assumptions!$B$18:$B$21,0)),0)</f>
        <v/>
      </c>
    </row>
    <row r="2452">
      <c r="A2452" s="120" t="n">
        <v>46251</v>
      </c>
      <c r="B2452" s="66" t="inlineStr">
        <is>
          <t>Wk 34</t>
        </is>
      </c>
      <c r="C2452" s="66" t="inlineStr">
        <is>
          <t>Mon</t>
        </is>
      </c>
      <c r="D2452" s="66" t="inlineStr">
        <is>
          <t>Programmatic</t>
        </is>
      </c>
      <c r="E2452" s="66" t="inlineStr">
        <is>
          <t>DV360</t>
        </is>
      </c>
      <c r="F2452" s="66" t="inlineStr">
        <is>
          <t>LEP_ZA_AUG26_PROG_RMKT_DYNAMIC</t>
        </is>
      </c>
      <c r="G2452" s="66" t="inlineStr">
        <is>
          <t>Dynamic Retargeting</t>
        </is>
      </c>
      <c r="H2452" s="66" t="inlineStr">
        <is>
          <t>Range</t>
        </is>
      </c>
      <c r="I2452" s="66" t="inlineStr">
        <is>
          <t>Range Offer</t>
        </is>
      </c>
      <c r="J2452" s="66" t="inlineStr">
        <is>
          <t>PROG_DYN_RMKT_30D</t>
        </is>
      </c>
      <c r="K2452" s="66" t="inlineStr">
        <is>
          <t>Retargeting</t>
        </is>
      </c>
      <c r="L2452" s="66" t="inlineStr">
        <is>
          <t>PROG_DYN_320x50_BookNow_v1</t>
        </is>
      </c>
      <c r="M2452" s="66" t="inlineStr">
        <is>
          <t>Dynamic Display 320x50</t>
        </is>
      </c>
      <c r="N2452" s="66" t="inlineStr">
        <is>
          <t>Book your test drive</t>
        </is>
      </c>
      <c r="O2452" s="66" t="inlineStr">
        <is>
          <t>Auction - Lowest Cost</t>
        </is>
      </c>
      <c r="P2452" s="66" t="inlineStr">
        <is>
          <t>Conversions (CPA)</t>
        </is>
      </c>
      <c r="Q2452" s="66" t="inlineStr">
        <is>
          <t>https://www.lepas-sa.co.za/book-a-test-drive</t>
        </is>
      </c>
      <c r="R2452" s="121" t="n">
        <v>48.08</v>
      </c>
      <c r="S2452" s="122" t="n">
        <v>1720</v>
      </c>
      <c r="T2452" s="122" t="n">
        <v>797</v>
      </c>
      <c r="U2452" s="123">
        <f>IFERROR(S2452/T2452,"")</f>
        <v/>
      </c>
      <c r="V2452" s="122" t="n">
        <v>9</v>
      </c>
      <c r="W2452" s="122" t="n">
        <v>7</v>
      </c>
      <c r="X2452" s="124">
        <f>IFERROR(W2452/S2452,"")</f>
        <v/>
      </c>
      <c r="Y2452" s="121">
        <f>IFERROR(R2452/W2452,"")</f>
        <v/>
      </c>
      <c r="Z2452" s="121">
        <f>IFERROR(R2452/S2452*1000,"")</f>
        <v/>
      </c>
      <c r="AA2452" s="122" t="n">
        <v>4</v>
      </c>
      <c r="AB2452" s="54">
        <f>IFERROR(AA2452/W2452,"")</f>
        <v/>
      </c>
      <c r="AC2452" s="122" t="n">
        <v>0</v>
      </c>
      <c r="AD2452" s="122" t="n">
        <v>0</v>
      </c>
      <c r="AE2452" s="122" t="n">
        <v>0</v>
      </c>
      <c r="AF2452" s="122" t="n">
        <v>0</v>
      </c>
      <c r="AG2452" s="122" t="n">
        <v>0</v>
      </c>
      <c r="AH2452" s="122" t="n">
        <v>0</v>
      </c>
      <c r="AI2452" s="54">
        <f>IFERROR(AC2452/S2452,"")</f>
        <v/>
      </c>
      <c r="AJ2452" s="54">
        <f>IFERROR(AH2452/S2452,"")</f>
        <v/>
      </c>
      <c r="AK2452" s="122" t="n">
        <v>10</v>
      </c>
      <c r="AL2452" s="122" t="n">
        <v>0</v>
      </c>
      <c r="AM2452" s="124">
        <f>IFERROR(AL2452/AA2452,"")</f>
        <v/>
      </c>
      <c r="AN2452" s="125">
        <f>IFERROR(R2452/AL2452,"")</f>
        <v/>
      </c>
      <c r="AO2452" s="122" t="n">
        <v>0</v>
      </c>
      <c r="AP2452" s="54">
        <f>IFERROR(AO2452/AL2452,"")</f>
        <v/>
      </c>
      <c r="AQ2452" s="125">
        <f>IFERROR(R2452/AO2452,"")</f>
        <v/>
      </c>
      <c r="AR2452" s="122" t="n">
        <v>0</v>
      </c>
      <c r="AS2452" s="122" t="n">
        <v>0</v>
      </c>
      <c r="AT2452" s="122">
        <f>AL2452+AR2452</f>
        <v/>
      </c>
      <c r="AU2452" s="125">
        <f>IFERROR(AO2452*Assumptions!$C$26*Assumptions!$C$27*INDEX(Assumptions!$C$18:$C$21,MATCH(H2452,Assumptions!$B$18:$B$21,0)),0)</f>
        <v/>
      </c>
    </row>
    <row r="2453">
      <c r="A2453" s="120" t="n">
        <v>46252</v>
      </c>
      <c r="B2453" s="66" t="inlineStr">
        <is>
          <t>Wk 34</t>
        </is>
      </c>
      <c r="C2453" s="66" t="inlineStr">
        <is>
          <t>Tue</t>
        </is>
      </c>
      <c r="D2453" s="66" t="inlineStr">
        <is>
          <t>Programmatic</t>
        </is>
      </c>
      <c r="E2453" s="66" t="inlineStr">
        <is>
          <t>DV360</t>
        </is>
      </c>
      <c r="F2453" s="66" t="inlineStr">
        <is>
          <t>LEP_ZA_AUG26_PROG_RMKT_DYNAMIC</t>
        </is>
      </c>
      <c r="G2453" s="66" t="inlineStr">
        <is>
          <t>Dynamic Retargeting</t>
        </is>
      </c>
      <c r="H2453" s="66" t="inlineStr">
        <is>
          <t>Range</t>
        </is>
      </c>
      <c r="I2453" s="66" t="inlineStr">
        <is>
          <t>Range Offer</t>
        </is>
      </c>
      <c r="J2453" s="66" t="inlineStr">
        <is>
          <t>PROG_DYN_RMKT_30D</t>
        </is>
      </c>
      <c r="K2453" s="66" t="inlineStr">
        <is>
          <t>Retargeting</t>
        </is>
      </c>
      <c r="L2453" s="66" t="inlineStr">
        <is>
          <t>PROG_DYN_320x50_BookNow_v1</t>
        </is>
      </c>
      <c r="M2453" s="66" t="inlineStr">
        <is>
          <t>Dynamic Display 320x50</t>
        </is>
      </c>
      <c r="N2453" s="66" t="inlineStr">
        <is>
          <t>Book your test drive</t>
        </is>
      </c>
      <c r="O2453" s="66" t="inlineStr">
        <is>
          <t>Auction - Lowest Cost</t>
        </is>
      </c>
      <c r="P2453" s="66" t="inlineStr">
        <is>
          <t>Conversions (CPA)</t>
        </is>
      </c>
      <c r="Q2453" s="66" t="inlineStr">
        <is>
          <t>https://www.lepas-sa.co.za/book-a-test-drive</t>
        </is>
      </c>
      <c r="R2453" s="121" t="n">
        <v>64.39</v>
      </c>
      <c r="S2453" s="122" t="n">
        <v>1856</v>
      </c>
      <c r="T2453" s="122" t="n">
        <v>773</v>
      </c>
      <c r="U2453" s="123">
        <f>IFERROR(S2453/T2453,"")</f>
        <v/>
      </c>
      <c r="V2453" s="122" t="n">
        <v>10</v>
      </c>
      <c r="W2453" s="122" t="n">
        <v>7</v>
      </c>
      <c r="X2453" s="124">
        <f>IFERROR(W2453/S2453,"")</f>
        <v/>
      </c>
      <c r="Y2453" s="121">
        <f>IFERROR(R2453/W2453,"")</f>
        <v/>
      </c>
      <c r="Z2453" s="121">
        <f>IFERROR(R2453/S2453*1000,"")</f>
        <v/>
      </c>
      <c r="AA2453" s="122" t="n">
        <v>5</v>
      </c>
      <c r="AB2453" s="54">
        <f>IFERROR(AA2453/W2453,"")</f>
        <v/>
      </c>
      <c r="AC2453" s="122" t="n">
        <v>0</v>
      </c>
      <c r="AD2453" s="122" t="n">
        <v>0</v>
      </c>
      <c r="AE2453" s="122" t="n">
        <v>0</v>
      </c>
      <c r="AF2453" s="122" t="n">
        <v>0</v>
      </c>
      <c r="AG2453" s="122" t="n">
        <v>0</v>
      </c>
      <c r="AH2453" s="122" t="n">
        <v>0</v>
      </c>
      <c r="AI2453" s="54">
        <f>IFERROR(AC2453/S2453,"")</f>
        <v/>
      </c>
      <c r="AJ2453" s="54">
        <f>IFERROR(AH2453/S2453,"")</f>
        <v/>
      </c>
      <c r="AK2453" s="122" t="n">
        <v>2</v>
      </c>
      <c r="AL2453" s="122" t="n">
        <v>0</v>
      </c>
      <c r="AM2453" s="124">
        <f>IFERROR(AL2453/AA2453,"")</f>
        <v/>
      </c>
      <c r="AN2453" s="125">
        <f>IFERROR(R2453/AL2453,"")</f>
        <v/>
      </c>
      <c r="AO2453" s="122" t="n">
        <v>0</v>
      </c>
      <c r="AP2453" s="54">
        <f>IFERROR(AO2453/AL2453,"")</f>
        <v/>
      </c>
      <c r="AQ2453" s="125">
        <f>IFERROR(R2453/AO2453,"")</f>
        <v/>
      </c>
      <c r="AR2453" s="122" t="n">
        <v>0</v>
      </c>
      <c r="AS2453" s="122" t="n">
        <v>0</v>
      </c>
      <c r="AT2453" s="122">
        <f>AL2453+AR2453</f>
        <v/>
      </c>
      <c r="AU2453" s="125">
        <f>IFERROR(AO2453*Assumptions!$C$26*Assumptions!$C$27*INDEX(Assumptions!$C$18:$C$21,MATCH(H2453,Assumptions!$B$18:$B$21,0)),0)</f>
        <v/>
      </c>
    </row>
    <row r="2454">
      <c r="A2454" s="120" t="n">
        <v>46253</v>
      </c>
      <c r="B2454" s="66" t="inlineStr">
        <is>
          <t>Wk 34</t>
        </is>
      </c>
      <c r="C2454" s="66" t="inlineStr">
        <is>
          <t>Wed</t>
        </is>
      </c>
      <c r="D2454" s="66" t="inlineStr">
        <is>
          <t>Programmatic</t>
        </is>
      </c>
      <c r="E2454" s="66" t="inlineStr">
        <is>
          <t>DV360</t>
        </is>
      </c>
      <c r="F2454" s="66" t="inlineStr">
        <is>
          <t>LEP_ZA_AUG26_PROG_RMKT_DYNAMIC</t>
        </is>
      </c>
      <c r="G2454" s="66" t="inlineStr">
        <is>
          <t>Dynamic Retargeting</t>
        </is>
      </c>
      <c r="H2454" s="66" t="inlineStr">
        <is>
          <t>Range</t>
        </is>
      </c>
      <c r="I2454" s="66" t="inlineStr">
        <is>
          <t>Range Offer</t>
        </is>
      </c>
      <c r="J2454" s="66" t="inlineStr">
        <is>
          <t>PROG_DYN_RMKT_30D</t>
        </is>
      </c>
      <c r="K2454" s="66" t="inlineStr">
        <is>
          <t>Retargeting</t>
        </is>
      </c>
      <c r="L2454" s="66" t="inlineStr">
        <is>
          <t>PROG_DYN_320x50_BookNow_v1</t>
        </is>
      </c>
      <c r="M2454" s="66" t="inlineStr">
        <is>
          <t>Dynamic Display 320x50</t>
        </is>
      </c>
      <c r="N2454" s="66" t="inlineStr">
        <is>
          <t>Book your test drive</t>
        </is>
      </c>
      <c r="O2454" s="66" t="inlineStr">
        <is>
          <t>Auction - Lowest Cost</t>
        </is>
      </c>
      <c r="P2454" s="66" t="inlineStr">
        <is>
          <t>Conversions (CPA)</t>
        </is>
      </c>
      <c r="Q2454" s="66" t="inlineStr">
        <is>
          <t>https://www.lepas-sa.co.za/book-a-test-drive</t>
        </is>
      </c>
      <c r="R2454" s="121" t="n">
        <v>59.61</v>
      </c>
      <c r="S2454" s="122" t="n">
        <v>1359</v>
      </c>
      <c r="T2454" s="122" t="n">
        <v>630</v>
      </c>
      <c r="U2454" s="123">
        <f>IFERROR(S2454/T2454,"")</f>
        <v/>
      </c>
      <c r="V2454" s="122" t="n">
        <v>3</v>
      </c>
      <c r="W2454" s="122" t="n">
        <v>2</v>
      </c>
      <c r="X2454" s="124">
        <f>IFERROR(W2454/S2454,"")</f>
        <v/>
      </c>
      <c r="Y2454" s="121">
        <f>IFERROR(R2454/W2454,"")</f>
        <v/>
      </c>
      <c r="Z2454" s="121">
        <f>IFERROR(R2454/S2454*1000,"")</f>
        <v/>
      </c>
      <c r="AA2454" s="122" t="n">
        <v>2</v>
      </c>
      <c r="AB2454" s="54">
        <f>IFERROR(AA2454/W2454,"")</f>
        <v/>
      </c>
      <c r="AC2454" s="122" t="n">
        <v>0</v>
      </c>
      <c r="AD2454" s="122" t="n">
        <v>0</v>
      </c>
      <c r="AE2454" s="122" t="n">
        <v>0</v>
      </c>
      <c r="AF2454" s="122" t="n">
        <v>0</v>
      </c>
      <c r="AG2454" s="122" t="n">
        <v>0</v>
      </c>
      <c r="AH2454" s="122" t="n">
        <v>0</v>
      </c>
      <c r="AI2454" s="54">
        <f>IFERROR(AC2454/S2454,"")</f>
        <v/>
      </c>
      <c r="AJ2454" s="54">
        <f>IFERROR(AH2454/S2454,"")</f>
        <v/>
      </c>
      <c r="AK2454" s="122" t="n">
        <v>5</v>
      </c>
      <c r="AL2454" s="122" t="n">
        <v>0</v>
      </c>
      <c r="AM2454" s="124">
        <f>IFERROR(AL2454/AA2454,"")</f>
        <v/>
      </c>
      <c r="AN2454" s="125">
        <f>IFERROR(R2454/AL2454,"")</f>
        <v/>
      </c>
      <c r="AO2454" s="122" t="n">
        <v>0</v>
      </c>
      <c r="AP2454" s="54">
        <f>IFERROR(AO2454/AL2454,"")</f>
        <v/>
      </c>
      <c r="AQ2454" s="125">
        <f>IFERROR(R2454/AO2454,"")</f>
        <v/>
      </c>
      <c r="AR2454" s="122" t="n">
        <v>0</v>
      </c>
      <c r="AS2454" s="122" t="n">
        <v>0</v>
      </c>
      <c r="AT2454" s="122">
        <f>AL2454+AR2454</f>
        <v/>
      </c>
      <c r="AU2454" s="125">
        <f>IFERROR(AO2454*Assumptions!$C$26*Assumptions!$C$27*INDEX(Assumptions!$C$18:$C$21,MATCH(H2454,Assumptions!$B$18:$B$21,0)),0)</f>
        <v/>
      </c>
    </row>
    <row r="2455">
      <c r="A2455" s="120" t="n">
        <v>46254</v>
      </c>
      <c r="B2455" s="66" t="inlineStr">
        <is>
          <t>Wk 34</t>
        </is>
      </c>
      <c r="C2455" s="66" t="inlineStr">
        <is>
          <t>Thu</t>
        </is>
      </c>
      <c r="D2455" s="66" t="inlineStr">
        <is>
          <t>Programmatic</t>
        </is>
      </c>
      <c r="E2455" s="66" t="inlineStr">
        <is>
          <t>DV360</t>
        </is>
      </c>
      <c r="F2455" s="66" t="inlineStr">
        <is>
          <t>LEP_ZA_AUG26_PROG_RMKT_DYNAMIC</t>
        </is>
      </c>
      <c r="G2455" s="66" t="inlineStr">
        <is>
          <t>Dynamic Retargeting</t>
        </is>
      </c>
      <c r="H2455" s="66" t="inlineStr">
        <is>
          <t>Range</t>
        </is>
      </c>
      <c r="I2455" s="66" t="inlineStr">
        <is>
          <t>Range Offer</t>
        </is>
      </c>
      <c r="J2455" s="66" t="inlineStr">
        <is>
          <t>PROG_DYN_RMKT_30D</t>
        </is>
      </c>
      <c r="K2455" s="66" t="inlineStr">
        <is>
          <t>Retargeting</t>
        </is>
      </c>
      <c r="L2455" s="66" t="inlineStr">
        <is>
          <t>PROG_DYN_320x50_BookNow_v1</t>
        </is>
      </c>
      <c r="M2455" s="66" t="inlineStr">
        <is>
          <t>Dynamic Display 320x50</t>
        </is>
      </c>
      <c r="N2455" s="66" t="inlineStr">
        <is>
          <t>Book your test drive</t>
        </is>
      </c>
      <c r="O2455" s="66" t="inlineStr">
        <is>
          <t>Auction - Lowest Cost</t>
        </is>
      </c>
      <c r="P2455" s="66" t="inlineStr">
        <is>
          <t>Conversions (CPA)</t>
        </is>
      </c>
      <c r="Q2455" s="66" t="inlineStr">
        <is>
          <t>https://www.lepas-sa.co.za/book-a-test-drive</t>
        </is>
      </c>
      <c r="R2455" s="121" t="n">
        <v>66.56999999999999</v>
      </c>
      <c r="S2455" s="122" t="n">
        <v>1756</v>
      </c>
      <c r="T2455" s="122" t="n">
        <v>1073</v>
      </c>
      <c r="U2455" s="123">
        <f>IFERROR(S2455/T2455,"")</f>
        <v/>
      </c>
      <c r="V2455" s="122" t="n">
        <v>7</v>
      </c>
      <c r="W2455" s="122" t="n">
        <v>6</v>
      </c>
      <c r="X2455" s="124">
        <f>IFERROR(W2455/S2455,"")</f>
        <v/>
      </c>
      <c r="Y2455" s="121">
        <f>IFERROR(R2455/W2455,"")</f>
        <v/>
      </c>
      <c r="Z2455" s="121">
        <f>IFERROR(R2455/S2455*1000,"")</f>
        <v/>
      </c>
      <c r="AA2455" s="122" t="n">
        <v>4</v>
      </c>
      <c r="AB2455" s="54">
        <f>IFERROR(AA2455/W2455,"")</f>
        <v/>
      </c>
      <c r="AC2455" s="122" t="n">
        <v>0</v>
      </c>
      <c r="AD2455" s="122" t="n">
        <v>0</v>
      </c>
      <c r="AE2455" s="122" t="n">
        <v>0</v>
      </c>
      <c r="AF2455" s="122" t="n">
        <v>0</v>
      </c>
      <c r="AG2455" s="122" t="n">
        <v>0</v>
      </c>
      <c r="AH2455" s="122" t="n">
        <v>0</v>
      </c>
      <c r="AI2455" s="54">
        <f>IFERROR(AC2455/S2455,"")</f>
        <v/>
      </c>
      <c r="AJ2455" s="54">
        <f>IFERROR(AH2455/S2455,"")</f>
        <v/>
      </c>
      <c r="AK2455" s="122" t="n">
        <v>3</v>
      </c>
      <c r="AL2455" s="122" t="n">
        <v>0</v>
      </c>
      <c r="AM2455" s="124">
        <f>IFERROR(AL2455/AA2455,"")</f>
        <v/>
      </c>
      <c r="AN2455" s="125">
        <f>IFERROR(R2455/AL2455,"")</f>
        <v/>
      </c>
      <c r="AO2455" s="122" t="n">
        <v>0</v>
      </c>
      <c r="AP2455" s="54">
        <f>IFERROR(AO2455/AL2455,"")</f>
        <v/>
      </c>
      <c r="AQ2455" s="125">
        <f>IFERROR(R2455/AO2455,"")</f>
        <v/>
      </c>
      <c r="AR2455" s="122" t="n">
        <v>0</v>
      </c>
      <c r="AS2455" s="122" t="n">
        <v>0</v>
      </c>
      <c r="AT2455" s="122">
        <f>AL2455+AR2455</f>
        <v/>
      </c>
      <c r="AU2455" s="125">
        <f>IFERROR(AO2455*Assumptions!$C$26*Assumptions!$C$27*INDEX(Assumptions!$C$18:$C$21,MATCH(H2455,Assumptions!$B$18:$B$21,0)),0)</f>
        <v/>
      </c>
    </row>
    <row r="2456">
      <c r="A2456" s="120" t="n">
        <v>46255</v>
      </c>
      <c r="B2456" s="66" t="inlineStr">
        <is>
          <t>Wk 34</t>
        </is>
      </c>
      <c r="C2456" s="66" t="inlineStr">
        <is>
          <t>Fri</t>
        </is>
      </c>
      <c r="D2456" s="66" t="inlineStr">
        <is>
          <t>Programmatic</t>
        </is>
      </c>
      <c r="E2456" s="66" t="inlineStr">
        <is>
          <t>DV360</t>
        </is>
      </c>
      <c r="F2456" s="66" t="inlineStr">
        <is>
          <t>LEP_ZA_AUG26_PROG_RMKT_DYNAMIC</t>
        </is>
      </c>
      <c r="G2456" s="66" t="inlineStr">
        <is>
          <t>Dynamic Retargeting</t>
        </is>
      </c>
      <c r="H2456" s="66" t="inlineStr">
        <is>
          <t>Range</t>
        </is>
      </c>
      <c r="I2456" s="66" t="inlineStr">
        <is>
          <t>Range Offer</t>
        </is>
      </c>
      <c r="J2456" s="66" t="inlineStr">
        <is>
          <t>PROG_DYN_RMKT_30D</t>
        </is>
      </c>
      <c r="K2456" s="66" t="inlineStr">
        <is>
          <t>Retargeting</t>
        </is>
      </c>
      <c r="L2456" s="66" t="inlineStr">
        <is>
          <t>PROG_DYN_320x50_BookNow_v1</t>
        </is>
      </c>
      <c r="M2456" s="66" t="inlineStr">
        <is>
          <t>Dynamic Display 320x50</t>
        </is>
      </c>
      <c r="N2456" s="66" t="inlineStr">
        <is>
          <t>Book your test drive</t>
        </is>
      </c>
      <c r="O2456" s="66" t="inlineStr">
        <is>
          <t>Auction - Lowest Cost</t>
        </is>
      </c>
      <c r="P2456" s="66" t="inlineStr">
        <is>
          <t>Conversions (CPA)</t>
        </is>
      </c>
      <c r="Q2456" s="66" t="inlineStr">
        <is>
          <t>https://www.lepas-sa.co.za/book-a-test-drive</t>
        </is>
      </c>
      <c r="R2456" s="121" t="n">
        <v>69.95</v>
      </c>
      <c r="S2456" s="122" t="n">
        <v>1970</v>
      </c>
      <c r="T2456" s="122" t="n">
        <v>764</v>
      </c>
      <c r="U2456" s="123">
        <f>IFERROR(S2456/T2456,"")</f>
        <v/>
      </c>
      <c r="V2456" s="122" t="n">
        <v>4</v>
      </c>
      <c r="W2456" s="122" t="n">
        <v>3</v>
      </c>
      <c r="X2456" s="124">
        <f>IFERROR(W2456/S2456,"")</f>
        <v/>
      </c>
      <c r="Y2456" s="121">
        <f>IFERROR(R2456/W2456,"")</f>
        <v/>
      </c>
      <c r="Z2456" s="121">
        <f>IFERROR(R2456/S2456*1000,"")</f>
        <v/>
      </c>
      <c r="AA2456" s="122" t="n">
        <v>2</v>
      </c>
      <c r="AB2456" s="54">
        <f>IFERROR(AA2456/W2456,"")</f>
        <v/>
      </c>
      <c r="AC2456" s="122" t="n">
        <v>0</v>
      </c>
      <c r="AD2456" s="122" t="n">
        <v>0</v>
      </c>
      <c r="AE2456" s="122" t="n">
        <v>0</v>
      </c>
      <c r="AF2456" s="122" t="n">
        <v>0</v>
      </c>
      <c r="AG2456" s="122" t="n">
        <v>0</v>
      </c>
      <c r="AH2456" s="122" t="n">
        <v>0</v>
      </c>
      <c r="AI2456" s="54">
        <f>IFERROR(AC2456/S2456,"")</f>
        <v/>
      </c>
      <c r="AJ2456" s="54">
        <f>IFERROR(AH2456/S2456,"")</f>
        <v/>
      </c>
      <c r="AK2456" s="122" t="n">
        <v>3</v>
      </c>
      <c r="AL2456" s="122" t="n">
        <v>0</v>
      </c>
      <c r="AM2456" s="124">
        <f>IFERROR(AL2456/AA2456,"")</f>
        <v/>
      </c>
      <c r="AN2456" s="125">
        <f>IFERROR(R2456/AL2456,"")</f>
        <v/>
      </c>
      <c r="AO2456" s="122" t="n">
        <v>0</v>
      </c>
      <c r="AP2456" s="54">
        <f>IFERROR(AO2456/AL2456,"")</f>
        <v/>
      </c>
      <c r="AQ2456" s="125">
        <f>IFERROR(R2456/AO2456,"")</f>
        <v/>
      </c>
      <c r="AR2456" s="122" t="n">
        <v>0</v>
      </c>
      <c r="AS2456" s="122" t="n">
        <v>0</v>
      </c>
      <c r="AT2456" s="122">
        <f>AL2456+AR2456</f>
        <v/>
      </c>
      <c r="AU2456" s="125">
        <f>IFERROR(AO2456*Assumptions!$C$26*Assumptions!$C$27*INDEX(Assumptions!$C$18:$C$21,MATCH(H2456,Assumptions!$B$18:$B$21,0)),0)</f>
        <v/>
      </c>
    </row>
    <row r="2457">
      <c r="A2457" s="120" t="n">
        <v>46256</v>
      </c>
      <c r="B2457" s="66" t="inlineStr">
        <is>
          <t>Wk 34</t>
        </is>
      </c>
      <c r="C2457" s="66" t="inlineStr">
        <is>
          <t>Sat</t>
        </is>
      </c>
      <c r="D2457" s="66" t="inlineStr">
        <is>
          <t>Programmatic</t>
        </is>
      </c>
      <c r="E2457" s="66" t="inlineStr">
        <is>
          <t>DV360</t>
        </is>
      </c>
      <c r="F2457" s="66" t="inlineStr">
        <is>
          <t>LEP_ZA_AUG26_PROG_RMKT_DYNAMIC</t>
        </is>
      </c>
      <c r="G2457" s="66" t="inlineStr">
        <is>
          <t>Dynamic Retargeting</t>
        </is>
      </c>
      <c r="H2457" s="66" t="inlineStr">
        <is>
          <t>Range</t>
        </is>
      </c>
      <c r="I2457" s="66" t="inlineStr">
        <is>
          <t>Range Offer</t>
        </is>
      </c>
      <c r="J2457" s="66" t="inlineStr">
        <is>
          <t>PROG_DYN_RMKT_30D</t>
        </is>
      </c>
      <c r="K2457" s="66" t="inlineStr">
        <is>
          <t>Retargeting</t>
        </is>
      </c>
      <c r="L2457" s="66" t="inlineStr">
        <is>
          <t>PROG_DYN_320x50_BookNow_v1</t>
        </is>
      </c>
      <c r="M2457" s="66" t="inlineStr">
        <is>
          <t>Dynamic Display 320x50</t>
        </is>
      </c>
      <c r="N2457" s="66" t="inlineStr">
        <is>
          <t>Book your test drive</t>
        </is>
      </c>
      <c r="O2457" s="66" t="inlineStr">
        <is>
          <t>Auction - Lowest Cost</t>
        </is>
      </c>
      <c r="P2457" s="66" t="inlineStr">
        <is>
          <t>Conversions (CPA)</t>
        </is>
      </c>
      <c r="Q2457" s="66" t="inlineStr">
        <is>
          <t>https://www.lepas-sa.co.za/book-a-test-drive</t>
        </is>
      </c>
      <c r="R2457" s="121" t="n">
        <v>61.41</v>
      </c>
      <c r="S2457" s="122" t="n">
        <v>1552</v>
      </c>
      <c r="T2457" s="122" t="n">
        <v>821</v>
      </c>
      <c r="U2457" s="123">
        <f>IFERROR(S2457/T2457,"")</f>
        <v/>
      </c>
      <c r="V2457" s="122" t="n">
        <v>6</v>
      </c>
      <c r="W2457" s="122" t="n">
        <v>5</v>
      </c>
      <c r="X2457" s="124">
        <f>IFERROR(W2457/S2457,"")</f>
        <v/>
      </c>
      <c r="Y2457" s="121">
        <f>IFERROR(R2457/W2457,"")</f>
        <v/>
      </c>
      <c r="Z2457" s="121">
        <f>IFERROR(R2457/S2457*1000,"")</f>
        <v/>
      </c>
      <c r="AA2457" s="122" t="n">
        <v>3</v>
      </c>
      <c r="AB2457" s="54">
        <f>IFERROR(AA2457/W2457,"")</f>
        <v/>
      </c>
      <c r="AC2457" s="122" t="n">
        <v>0</v>
      </c>
      <c r="AD2457" s="122" t="n">
        <v>0</v>
      </c>
      <c r="AE2457" s="122" t="n">
        <v>0</v>
      </c>
      <c r="AF2457" s="122" t="n">
        <v>0</v>
      </c>
      <c r="AG2457" s="122" t="n">
        <v>0</v>
      </c>
      <c r="AH2457" s="122" t="n">
        <v>0</v>
      </c>
      <c r="AI2457" s="54">
        <f>IFERROR(AC2457/S2457,"")</f>
        <v/>
      </c>
      <c r="AJ2457" s="54">
        <f>IFERROR(AH2457/S2457,"")</f>
        <v/>
      </c>
      <c r="AK2457" s="122" t="n">
        <v>5</v>
      </c>
      <c r="AL2457" s="122" t="n">
        <v>0</v>
      </c>
      <c r="AM2457" s="124">
        <f>IFERROR(AL2457/AA2457,"")</f>
        <v/>
      </c>
      <c r="AN2457" s="125">
        <f>IFERROR(R2457/AL2457,"")</f>
        <v/>
      </c>
      <c r="AO2457" s="122" t="n">
        <v>0</v>
      </c>
      <c r="AP2457" s="54">
        <f>IFERROR(AO2457/AL2457,"")</f>
        <v/>
      </c>
      <c r="AQ2457" s="125">
        <f>IFERROR(R2457/AO2457,"")</f>
        <v/>
      </c>
      <c r="AR2457" s="122" t="n">
        <v>0</v>
      </c>
      <c r="AS2457" s="122" t="n">
        <v>0</v>
      </c>
      <c r="AT2457" s="122">
        <f>AL2457+AR2457</f>
        <v/>
      </c>
      <c r="AU2457" s="125">
        <f>IFERROR(AO2457*Assumptions!$C$26*Assumptions!$C$27*INDEX(Assumptions!$C$18:$C$21,MATCH(H2457,Assumptions!$B$18:$B$21,0)),0)</f>
        <v/>
      </c>
    </row>
    <row r="2458">
      <c r="A2458" s="120" t="n">
        <v>46257</v>
      </c>
      <c r="B2458" s="66" t="inlineStr">
        <is>
          <t>Wk 34</t>
        </is>
      </c>
      <c r="C2458" s="66" t="inlineStr">
        <is>
          <t>Sun</t>
        </is>
      </c>
      <c r="D2458" s="66" t="inlineStr">
        <is>
          <t>Programmatic</t>
        </is>
      </c>
      <c r="E2458" s="66" t="inlineStr">
        <is>
          <t>DV360</t>
        </is>
      </c>
      <c r="F2458" s="66" t="inlineStr">
        <is>
          <t>LEP_ZA_AUG26_PROG_RMKT_DYNAMIC</t>
        </is>
      </c>
      <c r="G2458" s="66" t="inlineStr">
        <is>
          <t>Dynamic Retargeting</t>
        </is>
      </c>
      <c r="H2458" s="66" t="inlineStr">
        <is>
          <t>Range</t>
        </is>
      </c>
      <c r="I2458" s="66" t="inlineStr">
        <is>
          <t>Range Offer</t>
        </is>
      </c>
      <c r="J2458" s="66" t="inlineStr">
        <is>
          <t>PROG_DYN_RMKT_30D</t>
        </is>
      </c>
      <c r="K2458" s="66" t="inlineStr">
        <is>
          <t>Retargeting</t>
        </is>
      </c>
      <c r="L2458" s="66" t="inlineStr">
        <is>
          <t>PROG_DYN_320x50_BookNow_v1</t>
        </is>
      </c>
      <c r="M2458" s="66" t="inlineStr">
        <is>
          <t>Dynamic Display 320x50</t>
        </is>
      </c>
      <c r="N2458" s="66" t="inlineStr">
        <is>
          <t>Book your test drive</t>
        </is>
      </c>
      <c r="O2458" s="66" t="inlineStr">
        <is>
          <t>Auction - Lowest Cost</t>
        </is>
      </c>
      <c r="P2458" s="66" t="inlineStr">
        <is>
          <t>Conversions (CPA)</t>
        </is>
      </c>
      <c r="Q2458" s="66" t="inlineStr">
        <is>
          <t>https://www.lepas-sa.co.za/book-a-test-drive</t>
        </is>
      </c>
      <c r="R2458" s="121" t="n">
        <v>51.87</v>
      </c>
      <c r="S2458" s="122" t="n">
        <v>1203</v>
      </c>
      <c r="T2458" s="122" t="n">
        <v>530</v>
      </c>
      <c r="U2458" s="123">
        <f>IFERROR(S2458/T2458,"")</f>
        <v/>
      </c>
      <c r="V2458" s="122" t="n">
        <v>6</v>
      </c>
      <c r="W2458" s="122" t="n">
        <v>5</v>
      </c>
      <c r="X2458" s="124">
        <f>IFERROR(W2458/S2458,"")</f>
        <v/>
      </c>
      <c r="Y2458" s="121">
        <f>IFERROR(R2458/W2458,"")</f>
        <v/>
      </c>
      <c r="Z2458" s="121">
        <f>IFERROR(R2458/S2458*1000,"")</f>
        <v/>
      </c>
      <c r="AA2458" s="122" t="n">
        <v>3</v>
      </c>
      <c r="AB2458" s="54">
        <f>IFERROR(AA2458/W2458,"")</f>
        <v/>
      </c>
      <c r="AC2458" s="122" t="n">
        <v>0</v>
      </c>
      <c r="AD2458" s="122" t="n">
        <v>0</v>
      </c>
      <c r="AE2458" s="122" t="n">
        <v>0</v>
      </c>
      <c r="AF2458" s="122" t="n">
        <v>0</v>
      </c>
      <c r="AG2458" s="122" t="n">
        <v>0</v>
      </c>
      <c r="AH2458" s="122" t="n">
        <v>0</v>
      </c>
      <c r="AI2458" s="54">
        <f>IFERROR(AC2458/S2458,"")</f>
        <v/>
      </c>
      <c r="AJ2458" s="54">
        <f>IFERROR(AH2458/S2458,"")</f>
        <v/>
      </c>
      <c r="AK2458" s="122" t="n">
        <v>6</v>
      </c>
      <c r="AL2458" s="122" t="n">
        <v>0</v>
      </c>
      <c r="AM2458" s="124">
        <f>IFERROR(AL2458/AA2458,"")</f>
        <v/>
      </c>
      <c r="AN2458" s="125">
        <f>IFERROR(R2458/AL2458,"")</f>
        <v/>
      </c>
      <c r="AO2458" s="122" t="n">
        <v>0</v>
      </c>
      <c r="AP2458" s="54">
        <f>IFERROR(AO2458/AL2458,"")</f>
        <v/>
      </c>
      <c r="AQ2458" s="125">
        <f>IFERROR(R2458/AO2458,"")</f>
        <v/>
      </c>
      <c r="AR2458" s="122" t="n">
        <v>0</v>
      </c>
      <c r="AS2458" s="122" t="n">
        <v>0</v>
      </c>
      <c r="AT2458" s="122">
        <f>AL2458+AR2458</f>
        <v/>
      </c>
      <c r="AU2458" s="125">
        <f>IFERROR(AO2458*Assumptions!$C$26*Assumptions!$C$27*INDEX(Assumptions!$C$18:$C$21,MATCH(H2458,Assumptions!$B$18:$B$21,0)),0)</f>
        <v/>
      </c>
    </row>
    <row r="2459">
      <c r="A2459" s="120" t="n">
        <v>46258</v>
      </c>
      <c r="B2459" s="66" t="inlineStr">
        <is>
          <t>Wk 35</t>
        </is>
      </c>
      <c r="C2459" s="66" t="inlineStr">
        <is>
          <t>Mon</t>
        </is>
      </c>
      <c r="D2459" s="66" t="inlineStr">
        <is>
          <t>Programmatic</t>
        </is>
      </c>
      <c r="E2459" s="66" t="inlineStr">
        <is>
          <t>DV360</t>
        </is>
      </c>
      <c r="F2459" s="66" t="inlineStr">
        <is>
          <t>LEP_ZA_AUG26_PROG_RMKT_DYNAMIC</t>
        </is>
      </c>
      <c r="G2459" s="66" t="inlineStr">
        <is>
          <t>Dynamic Retargeting</t>
        </is>
      </c>
      <c r="H2459" s="66" t="inlineStr">
        <is>
          <t>Range</t>
        </is>
      </c>
      <c r="I2459" s="66" t="inlineStr">
        <is>
          <t>Range Offer</t>
        </is>
      </c>
      <c r="J2459" s="66" t="inlineStr">
        <is>
          <t>PROG_DYN_RMKT_30D</t>
        </is>
      </c>
      <c r="K2459" s="66" t="inlineStr">
        <is>
          <t>Retargeting</t>
        </is>
      </c>
      <c r="L2459" s="66" t="inlineStr">
        <is>
          <t>PROG_DYN_320x50_BookNow_v1</t>
        </is>
      </c>
      <c r="M2459" s="66" t="inlineStr">
        <is>
          <t>Dynamic Display 320x50</t>
        </is>
      </c>
      <c r="N2459" s="66" t="inlineStr">
        <is>
          <t>Book your test drive</t>
        </is>
      </c>
      <c r="O2459" s="66" t="inlineStr">
        <is>
          <t>Auction - Lowest Cost</t>
        </is>
      </c>
      <c r="P2459" s="66" t="inlineStr">
        <is>
          <t>Conversions (CPA)</t>
        </is>
      </c>
      <c r="Q2459" s="66" t="inlineStr">
        <is>
          <t>https://www.lepas-sa.co.za/book-a-test-drive</t>
        </is>
      </c>
      <c r="R2459" s="121" t="n">
        <v>59.52</v>
      </c>
      <c r="S2459" s="122" t="n">
        <v>1942</v>
      </c>
      <c r="T2459" s="122" t="n">
        <v>677</v>
      </c>
      <c r="U2459" s="123">
        <f>IFERROR(S2459/T2459,"")</f>
        <v/>
      </c>
      <c r="V2459" s="122" t="n">
        <v>11</v>
      </c>
      <c r="W2459" s="122" t="n">
        <v>9</v>
      </c>
      <c r="X2459" s="124">
        <f>IFERROR(W2459/S2459,"")</f>
        <v/>
      </c>
      <c r="Y2459" s="121">
        <f>IFERROR(R2459/W2459,"")</f>
        <v/>
      </c>
      <c r="Z2459" s="121">
        <f>IFERROR(R2459/S2459*1000,"")</f>
        <v/>
      </c>
      <c r="AA2459" s="122" t="n">
        <v>6</v>
      </c>
      <c r="AB2459" s="54">
        <f>IFERROR(AA2459/W2459,"")</f>
        <v/>
      </c>
      <c r="AC2459" s="122" t="n">
        <v>0</v>
      </c>
      <c r="AD2459" s="122" t="n">
        <v>0</v>
      </c>
      <c r="AE2459" s="122" t="n">
        <v>0</v>
      </c>
      <c r="AF2459" s="122" t="n">
        <v>0</v>
      </c>
      <c r="AG2459" s="122" t="n">
        <v>0</v>
      </c>
      <c r="AH2459" s="122" t="n">
        <v>0</v>
      </c>
      <c r="AI2459" s="54">
        <f>IFERROR(AC2459/S2459,"")</f>
        <v/>
      </c>
      <c r="AJ2459" s="54">
        <f>IFERROR(AH2459/S2459,"")</f>
        <v/>
      </c>
      <c r="AK2459" s="122" t="n">
        <v>7</v>
      </c>
      <c r="AL2459" s="122" t="n">
        <v>0</v>
      </c>
      <c r="AM2459" s="124">
        <f>IFERROR(AL2459/AA2459,"")</f>
        <v/>
      </c>
      <c r="AN2459" s="125">
        <f>IFERROR(R2459/AL2459,"")</f>
        <v/>
      </c>
      <c r="AO2459" s="122" t="n">
        <v>0</v>
      </c>
      <c r="AP2459" s="54">
        <f>IFERROR(AO2459/AL2459,"")</f>
        <v/>
      </c>
      <c r="AQ2459" s="125">
        <f>IFERROR(R2459/AO2459,"")</f>
        <v/>
      </c>
      <c r="AR2459" s="122" t="n">
        <v>0</v>
      </c>
      <c r="AS2459" s="122" t="n">
        <v>0</v>
      </c>
      <c r="AT2459" s="122">
        <f>AL2459+AR2459</f>
        <v/>
      </c>
      <c r="AU2459" s="125">
        <f>IFERROR(AO2459*Assumptions!$C$26*Assumptions!$C$27*INDEX(Assumptions!$C$18:$C$21,MATCH(H2459,Assumptions!$B$18:$B$21,0)),0)</f>
        <v/>
      </c>
    </row>
    <row r="2460">
      <c r="A2460" s="120" t="n">
        <v>46259</v>
      </c>
      <c r="B2460" s="66" t="inlineStr">
        <is>
          <t>Wk 35</t>
        </is>
      </c>
      <c r="C2460" s="66" t="inlineStr">
        <is>
          <t>Tue</t>
        </is>
      </c>
      <c r="D2460" s="66" t="inlineStr">
        <is>
          <t>Programmatic</t>
        </is>
      </c>
      <c r="E2460" s="66" t="inlineStr">
        <is>
          <t>DV360</t>
        </is>
      </c>
      <c r="F2460" s="66" t="inlineStr">
        <is>
          <t>LEP_ZA_AUG26_PROG_RMKT_DYNAMIC</t>
        </is>
      </c>
      <c r="G2460" s="66" t="inlineStr">
        <is>
          <t>Dynamic Retargeting</t>
        </is>
      </c>
      <c r="H2460" s="66" t="inlineStr">
        <is>
          <t>Range</t>
        </is>
      </c>
      <c r="I2460" s="66" t="inlineStr">
        <is>
          <t>Range Offer</t>
        </is>
      </c>
      <c r="J2460" s="66" t="inlineStr">
        <is>
          <t>PROG_DYN_RMKT_30D</t>
        </is>
      </c>
      <c r="K2460" s="66" t="inlineStr">
        <is>
          <t>Retargeting</t>
        </is>
      </c>
      <c r="L2460" s="66" t="inlineStr">
        <is>
          <t>PROG_DYN_320x50_BookNow_v1</t>
        </is>
      </c>
      <c r="M2460" s="66" t="inlineStr">
        <is>
          <t>Dynamic Display 320x50</t>
        </is>
      </c>
      <c r="N2460" s="66" t="inlineStr">
        <is>
          <t>Book your test drive</t>
        </is>
      </c>
      <c r="O2460" s="66" t="inlineStr">
        <is>
          <t>Auction - Lowest Cost</t>
        </is>
      </c>
      <c r="P2460" s="66" t="inlineStr">
        <is>
          <t>Conversions (CPA)</t>
        </is>
      </c>
      <c r="Q2460" s="66" t="inlineStr">
        <is>
          <t>https://www.lepas-sa.co.za/book-a-test-drive</t>
        </is>
      </c>
      <c r="R2460" s="121" t="n">
        <v>51.17</v>
      </c>
      <c r="S2460" s="122" t="n">
        <v>1190</v>
      </c>
      <c r="T2460" s="122" t="n">
        <v>471</v>
      </c>
      <c r="U2460" s="123">
        <f>IFERROR(S2460/T2460,"")</f>
        <v/>
      </c>
      <c r="V2460" s="122" t="n">
        <v>6</v>
      </c>
      <c r="W2460" s="122" t="n">
        <v>5</v>
      </c>
      <c r="X2460" s="124">
        <f>IFERROR(W2460/S2460,"")</f>
        <v/>
      </c>
      <c r="Y2460" s="121">
        <f>IFERROR(R2460/W2460,"")</f>
        <v/>
      </c>
      <c r="Z2460" s="121">
        <f>IFERROR(R2460/S2460*1000,"")</f>
        <v/>
      </c>
      <c r="AA2460" s="122" t="n">
        <v>4</v>
      </c>
      <c r="AB2460" s="54">
        <f>IFERROR(AA2460/W2460,"")</f>
        <v/>
      </c>
      <c r="AC2460" s="122" t="n">
        <v>0</v>
      </c>
      <c r="AD2460" s="122" t="n">
        <v>0</v>
      </c>
      <c r="AE2460" s="122" t="n">
        <v>0</v>
      </c>
      <c r="AF2460" s="122" t="n">
        <v>0</v>
      </c>
      <c r="AG2460" s="122" t="n">
        <v>0</v>
      </c>
      <c r="AH2460" s="122" t="n">
        <v>0</v>
      </c>
      <c r="AI2460" s="54">
        <f>IFERROR(AC2460/S2460,"")</f>
        <v/>
      </c>
      <c r="AJ2460" s="54">
        <f>IFERROR(AH2460/S2460,"")</f>
        <v/>
      </c>
      <c r="AK2460" s="122" t="n">
        <v>5</v>
      </c>
      <c r="AL2460" s="122" t="n">
        <v>0</v>
      </c>
      <c r="AM2460" s="124">
        <f>IFERROR(AL2460/AA2460,"")</f>
        <v/>
      </c>
      <c r="AN2460" s="125">
        <f>IFERROR(R2460/AL2460,"")</f>
        <v/>
      </c>
      <c r="AO2460" s="122" t="n">
        <v>0</v>
      </c>
      <c r="AP2460" s="54">
        <f>IFERROR(AO2460/AL2460,"")</f>
        <v/>
      </c>
      <c r="AQ2460" s="125">
        <f>IFERROR(R2460/AO2460,"")</f>
        <v/>
      </c>
      <c r="AR2460" s="122" t="n">
        <v>0</v>
      </c>
      <c r="AS2460" s="122" t="n">
        <v>0</v>
      </c>
      <c r="AT2460" s="122">
        <f>AL2460+AR2460</f>
        <v/>
      </c>
      <c r="AU2460" s="125">
        <f>IFERROR(AO2460*Assumptions!$C$26*Assumptions!$C$27*INDEX(Assumptions!$C$18:$C$21,MATCH(H2460,Assumptions!$B$18:$B$21,0)),0)</f>
        <v/>
      </c>
    </row>
    <row r="2461">
      <c r="A2461" s="120" t="n">
        <v>46260</v>
      </c>
      <c r="B2461" s="66" t="inlineStr">
        <is>
          <t>Wk 35</t>
        </is>
      </c>
      <c r="C2461" s="66" t="inlineStr">
        <is>
          <t>Wed</t>
        </is>
      </c>
      <c r="D2461" s="66" t="inlineStr">
        <is>
          <t>Programmatic</t>
        </is>
      </c>
      <c r="E2461" s="66" t="inlineStr">
        <is>
          <t>DV360</t>
        </is>
      </c>
      <c r="F2461" s="66" t="inlineStr">
        <is>
          <t>LEP_ZA_AUG26_PROG_RMKT_DYNAMIC</t>
        </is>
      </c>
      <c r="G2461" s="66" t="inlineStr">
        <is>
          <t>Dynamic Retargeting</t>
        </is>
      </c>
      <c r="H2461" s="66" t="inlineStr">
        <is>
          <t>Range</t>
        </is>
      </c>
      <c r="I2461" s="66" t="inlineStr">
        <is>
          <t>Range Offer</t>
        </is>
      </c>
      <c r="J2461" s="66" t="inlineStr">
        <is>
          <t>PROG_DYN_RMKT_30D</t>
        </is>
      </c>
      <c r="K2461" s="66" t="inlineStr">
        <is>
          <t>Retargeting</t>
        </is>
      </c>
      <c r="L2461" s="66" t="inlineStr">
        <is>
          <t>PROG_DYN_320x50_BookNow_v1</t>
        </is>
      </c>
      <c r="M2461" s="66" t="inlineStr">
        <is>
          <t>Dynamic Display 320x50</t>
        </is>
      </c>
      <c r="N2461" s="66" t="inlineStr">
        <is>
          <t>Book your test drive</t>
        </is>
      </c>
      <c r="O2461" s="66" t="inlineStr">
        <is>
          <t>Auction - Lowest Cost</t>
        </is>
      </c>
      <c r="P2461" s="66" t="inlineStr">
        <is>
          <t>Conversions (CPA)</t>
        </is>
      </c>
      <c r="Q2461" s="66" t="inlineStr">
        <is>
          <t>https://www.lepas-sa.co.za/book-a-test-drive</t>
        </is>
      </c>
      <c r="R2461" s="121" t="n">
        <v>60.72</v>
      </c>
      <c r="S2461" s="122" t="n">
        <v>1595</v>
      </c>
      <c r="T2461" s="122" t="n">
        <v>541</v>
      </c>
      <c r="U2461" s="123">
        <f>IFERROR(S2461/T2461,"")</f>
        <v/>
      </c>
      <c r="V2461" s="122" t="n">
        <v>5</v>
      </c>
      <c r="W2461" s="122" t="n">
        <v>4</v>
      </c>
      <c r="X2461" s="124">
        <f>IFERROR(W2461/S2461,"")</f>
        <v/>
      </c>
      <c r="Y2461" s="121">
        <f>IFERROR(R2461/W2461,"")</f>
        <v/>
      </c>
      <c r="Z2461" s="121">
        <f>IFERROR(R2461/S2461*1000,"")</f>
        <v/>
      </c>
      <c r="AA2461" s="122" t="n">
        <v>3</v>
      </c>
      <c r="AB2461" s="54">
        <f>IFERROR(AA2461/W2461,"")</f>
        <v/>
      </c>
      <c r="AC2461" s="122" t="n">
        <v>0</v>
      </c>
      <c r="AD2461" s="122" t="n">
        <v>0</v>
      </c>
      <c r="AE2461" s="122" t="n">
        <v>0</v>
      </c>
      <c r="AF2461" s="122" t="n">
        <v>0</v>
      </c>
      <c r="AG2461" s="122" t="n">
        <v>0</v>
      </c>
      <c r="AH2461" s="122" t="n">
        <v>0</v>
      </c>
      <c r="AI2461" s="54">
        <f>IFERROR(AC2461/S2461,"")</f>
        <v/>
      </c>
      <c r="AJ2461" s="54">
        <f>IFERROR(AH2461/S2461,"")</f>
        <v/>
      </c>
      <c r="AK2461" s="122" t="n">
        <v>2</v>
      </c>
      <c r="AL2461" s="122" t="n">
        <v>0</v>
      </c>
      <c r="AM2461" s="124">
        <f>IFERROR(AL2461/AA2461,"")</f>
        <v/>
      </c>
      <c r="AN2461" s="125">
        <f>IFERROR(R2461/AL2461,"")</f>
        <v/>
      </c>
      <c r="AO2461" s="122" t="n">
        <v>0</v>
      </c>
      <c r="AP2461" s="54">
        <f>IFERROR(AO2461/AL2461,"")</f>
        <v/>
      </c>
      <c r="AQ2461" s="125">
        <f>IFERROR(R2461/AO2461,"")</f>
        <v/>
      </c>
      <c r="AR2461" s="122" t="n">
        <v>0</v>
      </c>
      <c r="AS2461" s="122" t="n">
        <v>0</v>
      </c>
      <c r="AT2461" s="122">
        <f>AL2461+AR2461</f>
        <v/>
      </c>
      <c r="AU2461" s="125">
        <f>IFERROR(AO2461*Assumptions!$C$26*Assumptions!$C$27*INDEX(Assumptions!$C$18:$C$21,MATCH(H2461,Assumptions!$B$18:$B$21,0)),0)</f>
        <v/>
      </c>
    </row>
    <row r="2462">
      <c r="A2462" s="120" t="n">
        <v>46261</v>
      </c>
      <c r="B2462" s="66" t="inlineStr">
        <is>
          <t>Wk 35</t>
        </is>
      </c>
      <c r="C2462" s="66" t="inlineStr">
        <is>
          <t>Thu</t>
        </is>
      </c>
      <c r="D2462" s="66" t="inlineStr">
        <is>
          <t>Programmatic</t>
        </is>
      </c>
      <c r="E2462" s="66" t="inlineStr">
        <is>
          <t>DV360</t>
        </is>
      </c>
      <c r="F2462" s="66" t="inlineStr">
        <is>
          <t>LEP_ZA_AUG26_PROG_RMKT_DYNAMIC</t>
        </is>
      </c>
      <c r="G2462" s="66" t="inlineStr">
        <is>
          <t>Dynamic Retargeting</t>
        </is>
      </c>
      <c r="H2462" s="66" t="inlineStr">
        <is>
          <t>Range</t>
        </is>
      </c>
      <c r="I2462" s="66" t="inlineStr">
        <is>
          <t>Range Offer</t>
        </is>
      </c>
      <c r="J2462" s="66" t="inlineStr">
        <is>
          <t>PROG_DYN_RMKT_30D</t>
        </is>
      </c>
      <c r="K2462" s="66" t="inlineStr">
        <is>
          <t>Retargeting</t>
        </is>
      </c>
      <c r="L2462" s="66" t="inlineStr">
        <is>
          <t>PROG_DYN_320x50_BookNow_v1</t>
        </is>
      </c>
      <c r="M2462" s="66" t="inlineStr">
        <is>
          <t>Dynamic Display 320x50</t>
        </is>
      </c>
      <c r="N2462" s="66" t="inlineStr">
        <is>
          <t>Book your test drive</t>
        </is>
      </c>
      <c r="O2462" s="66" t="inlineStr">
        <is>
          <t>Auction - Lowest Cost</t>
        </is>
      </c>
      <c r="P2462" s="66" t="inlineStr">
        <is>
          <t>Conversions (CPA)</t>
        </is>
      </c>
      <c r="Q2462" s="66" t="inlineStr">
        <is>
          <t>https://www.lepas-sa.co.za/book-a-test-drive</t>
        </is>
      </c>
      <c r="R2462" s="121" t="n">
        <v>78.08</v>
      </c>
      <c r="S2462" s="122" t="n">
        <v>1982</v>
      </c>
      <c r="T2462" s="122" t="n">
        <v>1102</v>
      </c>
      <c r="U2462" s="123">
        <f>IFERROR(S2462/T2462,"")</f>
        <v/>
      </c>
      <c r="V2462" s="122" t="n">
        <v>8</v>
      </c>
      <c r="W2462" s="122" t="n">
        <v>6</v>
      </c>
      <c r="X2462" s="124">
        <f>IFERROR(W2462/S2462,"")</f>
        <v/>
      </c>
      <c r="Y2462" s="121">
        <f>IFERROR(R2462/W2462,"")</f>
        <v/>
      </c>
      <c r="Z2462" s="121">
        <f>IFERROR(R2462/S2462*1000,"")</f>
        <v/>
      </c>
      <c r="AA2462" s="122" t="n">
        <v>5</v>
      </c>
      <c r="AB2462" s="54">
        <f>IFERROR(AA2462/W2462,"")</f>
        <v/>
      </c>
      <c r="AC2462" s="122" t="n">
        <v>0</v>
      </c>
      <c r="AD2462" s="122" t="n">
        <v>0</v>
      </c>
      <c r="AE2462" s="122" t="n">
        <v>0</v>
      </c>
      <c r="AF2462" s="122" t="n">
        <v>0</v>
      </c>
      <c r="AG2462" s="122" t="n">
        <v>0</v>
      </c>
      <c r="AH2462" s="122" t="n">
        <v>0</v>
      </c>
      <c r="AI2462" s="54">
        <f>IFERROR(AC2462/S2462,"")</f>
        <v/>
      </c>
      <c r="AJ2462" s="54">
        <f>IFERROR(AH2462/S2462,"")</f>
        <v/>
      </c>
      <c r="AK2462" s="122" t="n">
        <v>11</v>
      </c>
      <c r="AL2462" s="122" t="n">
        <v>0</v>
      </c>
      <c r="AM2462" s="124">
        <f>IFERROR(AL2462/AA2462,"")</f>
        <v/>
      </c>
      <c r="AN2462" s="125">
        <f>IFERROR(R2462/AL2462,"")</f>
        <v/>
      </c>
      <c r="AO2462" s="122" t="n">
        <v>0</v>
      </c>
      <c r="AP2462" s="54">
        <f>IFERROR(AO2462/AL2462,"")</f>
        <v/>
      </c>
      <c r="AQ2462" s="125">
        <f>IFERROR(R2462/AO2462,"")</f>
        <v/>
      </c>
      <c r="AR2462" s="122" t="n">
        <v>0</v>
      </c>
      <c r="AS2462" s="122" t="n">
        <v>0</v>
      </c>
      <c r="AT2462" s="122">
        <f>AL2462+AR2462</f>
        <v/>
      </c>
      <c r="AU2462" s="125">
        <f>IFERROR(AO2462*Assumptions!$C$26*Assumptions!$C$27*INDEX(Assumptions!$C$18:$C$21,MATCH(H2462,Assumptions!$B$18:$B$21,0)),0)</f>
        <v/>
      </c>
    </row>
    <row r="2463">
      <c r="A2463" s="120" t="n">
        <v>46262</v>
      </c>
      <c r="B2463" s="66" t="inlineStr">
        <is>
          <t>Wk 35</t>
        </is>
      </c>
      <c r="C2463" s="66" t="inlineStr">
        <is>
          <t>Fri</t>
        </is>
      </c>
      <c r="D2463" s="66" t="inlineStr">
        <is>
          <t>Programmatic</t>
        </is>
      </c>
      <c r="E2463" s="66" t="inlineStr">
        <is>
          <t>DV360</t>
        </is>
      </c>
      <c r="F2463" s="66" t="inlineStr">
        <is>
          <t>LEP_ZA_AUG26_PROG_RMKT_DYNAMIC</t>
        </is>
      </c>
      <c r="G2463" s="66" t="inlineStr">
        <is>
          <t>Dynamic Retargeting</t>
        </is>
      </c>
      <c r="H2463" s="66" t="inlineStr">
        <is>
          <t>Range</t>
        </is>
      </c>
      <c r="I2463" s="66" t="inlineStr">
        <is>
          <t>Range Offer</t>
        </is>
      </c>
      <c r="J2463" s="66" t="inlineStr">
        <is>
          <t>PROG_DYN_RMKT_30D</t>
        </is>
      </c>
      <c r="K2463" s="66" t="inlineStr">
        <is>
          <t>Retargeting</t>
        </is>
      </c>
      <c r="L2463" s="66" t="inlineStr">
        <is>
          <t>PROG_DYN_320x50_BookNow_v1</t>
        </is>
      </c>
      <c r="M2463" s="66" t="inlineStr">
        <is>
          <t>Dynamic Display 320x50</t>
        </is>
      </c>
      <c r="N2463" s="66" t="inlineStr">
        <is>
          <t>Book your test drive</t>
        </is>
      </c>
      <c r="O2463" s="66" t="inlineStr">
        <is>
          <t>Auction - Lowest Cost</t>
        </is>
      </c>
      <c r="P2463" s="66" t="inlineStr">
        <is>
          <t>Conversions (CPA)</t>
        </is>
      </c>
      <c r="Q2463" s="66" t="inlineStr">
        <is>
          <t>https://www.lepas-sa.co.za/book-a-test-drive</t>
        </is>
      </c>
      <c r="R2463" s="121" t="n">
        <v>72.58</v>
      </c>
      <c r="S2463" s="122" t="n">
        <v>1787</v>
      </c>
      <c r="T2463" s="122" t="n">
        <v>1020</v>
      </c>
      <c r="U2463" s="123">
        <f>IFERROR(S2463/T2463,"")</f>
        <v/>
      </c>
      <c r="V2463" s="122" t="n">
        <v>2</v>
      </c>
      <c r="W2463" s="122" t="n">
        <v>2</v>
      </c>
      <c r="X2463" s="124">
        <f>IFERROR(W2463/S2463,"")</f>
        <v/>
      </c>
      <c r="Y2463" s="121">
        <f>IFERROR(R2463/W2463,"")</f>
        <v/>
      </c>
      <c r="Z2463" s="121">
        <f>IFERROR(R2463/S2463*1000,"")</f>
        <v/>
      </c>
      <c r="AA2463" s="122" t="n">
        <v>2</v>
      </c>
      <c r="AB2463" s="54">
        <f>IFERROR(AA2463/W2463,"")</f>
        <v/>
      </c>
      <c r="AC2463" s="122" t="n">
        <v>0</v>
      </c>
      <c r="AD2463" s="122" t="n">
        <v>0</v>
      </c>
      <c r="AE2463" s="122" t="n">
        <v>0</v>
      </c>
      <c r="AF2463" s="122" t="n">
        <v>0</v>
      </c>
      <c r="AG2463" s="122" t="n">
        <v>0</v>
      </c>
      <c r="AH2463" s="122" t="n">
        <v>0</v>
      </c>
      <c r="AI2463" s="54">
        <f>IFERROR(AC2463/S2463,"")</f>
        <v/>
      </c>
      <c r="AJ2463" s="54">
        <f>IFERROR(AH2463/S2463,"")</f>
        <v/>
      </c>
      <c r="AK2463" s="122" t="n">
        <v>4</v>
      </c>
      <c r="AL2463" s="122" t="n">
        <v>0</v>
      </c>
      <c r="AM2463" s="124">
        <f>IFERROR(AL2463/AA2463,"")</f>
        <v/>
      </c>
      <c r="AN2463" s="125">
        <f>IFERROR(R2463/AL2463,"")</f>
        <v/>
      </c>
      <c r="AO2463" s="122" t="n">
        <v>0</v>
      </c>
      <c r="AP2463" s="54">
        <f>IFERROR(AO2463/AL2463,"")</f>
        <v/>
      </c>
      <c r="AQ2463" s="125">
        <f>IFERROR(R2463/AO2463,"")</f>
        <v/>
      </c>
      <c r="AR2463" s="122" t="n">
        <v>0</v>
      </c>
      <c r="AS2463" s="122" t="n">
        <v>0</v>
      </c>
      <c r="AT2463" s="122">
        <f>AL2463+AR2463</f>
        <v/>
      </c>
      <c r="AU2463" s="125">
        <f>IFERROR(AO2463*Assumptions!$C$26*Assumptions!$C$27*INDEX(Assumptions!$C$18:$C$21,MATCH(H2463,Assumptions!$B$18:$B$21,0)),0)</f>
        <v/>
      </c>
    </row>
    <row r="2464">
      <c r="A2464" s="120" t="n">
        <v>46263</v>
      </c>
      <c r="B2464" s="66" t="inlineStr">
        <is>
          <t>Wk 35</t>
        </is>
      </c>
      <c r="C2464" s="66" t="inlineStr">
        <is>
          <t>Sat</t>
        </is>
      </c>
      <c r="D2464" s="66" t="inlineStr">
        <is>
          <t>Programmatic</t>
        </is>
      </c>
      <c r="E2464" s="66" t="inlineStr">
        <is>
          <t>DV360</t>
        </is>
      </c>
      <c r="F2464" s="66" t="inlineStr">
        <is>
          <t>LEP_ZA_AUG26_PROG_RMKT_DYNAMIC</t>
        </is>
      </c>
      <c r="G2464" s="66" t="inlineStr">
        <is>
          <t>Dynamic Retargeting</t>
        </is>
      </c>
      <c r="H2464" s="66" t="inlineStr">
        <is>
          <t>Range</t>
        </is>
      </c>
      <c r="I2464" s="66" t="inlineStr">
        <is>
          <t>Range Offer</t>
        </is>
      </c>
      <c r="J2464" s="66" t="inlineStr">
        <is>
          <t>PROG_DYN_RMKT_30D</t>
        </is>
      </c>
      <c r="K2464" s="66" t="inlineStr">
        <is>
          <t>Retargeting</t>
        </is>
      </c>
      <c r="L2464" s="66" t="inlineStr">
        <is>
          <t>PROG_DYN_320x50_BookNow_v1</t>
        </is>
      </c>
      <c r="M2464" s="66" t="inlineStr">
        <is>
          <t>Dynamic Display 320x50</t>
        </is>
      </c>
      <c r="N2464" s="66" t="inlineStr">
        <is>
          <t>Book your test drive</t>
        </is>
      </c>
      <c r="O2464" s="66" t="inlineStr">
        <is>
          <t>Auction - Lowest Cost</t>
        </is>
      </c>
      <c r="P2464" s="66" t="inlineStr">
        <is>
          <t>Conversions (CPA)</t>
        </is>
      </c>
      <c r="Q2464" s="66" t="inlineStr">
        <is>
          <t>https://www.lepas-sa.co.za/book-a-test-drive</t>
        </is>
      </c>
      <c r="R2464" s="121" t="n">
        <v>75.40000000000001</v>
      </c>
      <c r="S2464" s="122" t="n">
        <v>2175</v>
      </c>
      <c r="T2464" s="122" t="n">
        <v>850</v>
      </c>
      <c r="U2464" s="123">
        <f>IFERROR(S2464/T2464,"")</f>
        <v/>
      </c>
      <c r="V2464" s="122" t="n">
        <v>6</v>
      </c>
      <c r="W2464" s="122" t="n">
        <v>5</v>
      </c>
      <c r="X2464" s="124">
        <f>IFERROR(W2464/S2464,"")</f>
        <v/>
      </c>
      <c r="Y2464" s="121">
        <f>IFERROR(R2464/W2464,"")</f>
        <v/>
      </c>
      <c r="Z2464" s="121">
        <f>IFERROR(R2464/S2464*1000,"")</f>
        <v/>
      </c>
      <c r="AA2464" s="122" t="n">
        <v>4</v>
      </c>
      <c r="AB2464" s="54">
        <f>IFERROR(AA2464/W2464,"")</f>
        <v/>
      </c>
      <c r="AC2464" s="122" t="n">
        <v>0</v>
      </c>
      <c r="AD2464" s="122" t="n">
        <v>0</v>
      </c>
      <c r="AE2464" s="122" t="n">
        <v>0</v>
      </c>
      <c r="AF2464" s="122" t="n">
        <v>0</v>
      </c>
      <c r="AG2464" s="122" t="n">
        <v>0</v>
      </c>
      <c r="AH2464" s="122" t="n">
        <v>0</v>
      </c>
      <c r="AI2464" s="54">
        <f>IFERROR(AC2464/S2464,"")</f>
        <v/>
      </c>
      <c r="AJ2464" s="54">
        <f>IFERROR(AH2464/S2464,"")</f>
        <v/>
      </c>
      <c r="AK2464" s="122" t="n">
        <v>10</v>
      </c>
      <c r="AL2464" s="122" t="n">
        <v>0</v>
      </c>
      <c r="AM2464" s="124">
        <f>IFERROR(AL2464/AA2464,"")</f>
        <v/>
      </c>
      <c r="AN2464" s="125">
        <f>IFERROR(R2464/AL2464,"")</f>
        <v/>
      </c>
      <c r="AO2464" s="122" t="n">
        <v>0</v>
      </c>
      <c r="AP2464" s="54">
        <f>IFERROR(AO2464/AL2464,"")</f>
        <v/>
      </c>
      <c r="AQ2464" s="125">
        <f>IFERROR(R2464/AO2464,"")</f>
        <v/>
      </c>
      <c r="AR2464" s="122" t="n">
        <v>0</v>
      </c>
      <c r="AS2464" s="122" t="n">
        <v>0</v>
      </c>
      <c r="AT2464" s="122">
        <f>AL2464+AR2464</f>
        <v/>
      </c>
      <c r="AU2464" s="125">
        <f>IFERROR(AO2464*Assumptions!$C$26*Assumptions!$C$27*INDEX(Assumptions!$C$18:$C$21,MATCH(H2464,Assumptions!$B$18:$B$21,0)),0)</f>
        <v/>
      </c>
    </row>
    <row r="2465">
      <c r="A2465" s="120" t="n">
        <v>46264</v>
      </c>
      <c r="B2465" s="66" t="inlineStr">
        <is>
          <t>Wk 35</t>
        </is>
      </c>
      <c r="C2465" s="66" t="inlineStr">
        <is>
          <t>Sun</t>
        </is>
      </c>
      <c r="D2465" s="66" t="inlineStr">
        <is>
          <t>Programmatic</t>
        </is>
      </c>
      <c r="E2465" s="66" t="inlineStr">
        <is>
          <t>DV360</t>
        </is>
      </c>
      <c r="F2465" s="66" t="inlineStr">
        <is>
          <t>LEP_ZA_AUG26_PROG_RMKT_DYNAMIC</t>
        </is>
      </c>
      <c r="G2465" s="66" t="inlineStr">
        <is>
          <t>Dynamic Retargeting</t>
        </is>
      </c>
      <c r="H2465" s="66" t="inlineStr">
        <is>
          <t>Range</t>
        </is>
      </c>
      <c r="I2465" s="66" t="inlineStr">
        <is>
          <t>Range Offer</t>
        </is>
      </c>
      <c r="J2465" s="66" t="inlineStr">
        <is>
          <t>PROG_DYN_RMKT_30D</t>
        </is>
      </c>
      <c r="K2465" s="66" t="inlineStr">
        <is>
          <t>Retargeting</t>
        </is>
      </c>
      <c r="L2465" s="66" t="inlineStr">
        <is>
          <t>PROG_DYN_320x50_BookNow_v1</t>
        </is>
      </c>
      <c r="M2465" s="66" t="inlineStr">
        <is>
          <t>Dynamic Display 320x50</t>
        </is>
      </c>
      <c r="N2465" s="66" t="inlineStr">
        <is>
          <t>Book your test drive</t>
        </is>
      </c>
      <c r="O2465" s="66" t="inlineStr">
        <is>
          <t>Auction - Lowest Cost</t>
        </is>
      </c>
      <c r="P2465" s="66" t="inlineStr">
        <is>
          <t>Conversions (CPA)</t>
        </is>
      </c>
      <c r="Q2465" s="66" t="inlineStr">
        <is>
          <t>https://www.lepas-sa.co.za/book-a-test-drive</t>
        </is>
      </c>
      <c r="R2465" s="121" t="n">
        <v>57.45</v>
      </c>
      <c r="S2465" s="122" t="n">
        <v>1306</v>
      </c>
      <c r="T2465" s="122" t="n">
        <v>439</v>
      </c>
      <c r="U2465" s="123">
        <f>IFERROR(S2465/T2465,"")</f>
        <v/>
      </c>
      <c r="V2465" s="122" t="n">
        <v>3</v>
      </c>
      <c r="W2465" s="122" t="n">
        <v>2</v>
      </c>
      <c r="X2465" s="124">
        <f>IFERROR(W2465/S2465,"")</f>
        <v/>
      </c>
      <c r="Y2465" s="121">
        <f>IFERROR(R2465/W2465,"")</f>
        <v/>
      </c>
      <c r="Z2465" s="121">
        <f>IFERROR(R2465/S2465*1000,"")</f>
        <v/>
      </c>
      <c r="AA2465" s="122" t="n">
        <v>1</v>
      </c>
      <c r="AB2465" s="54">
        <f>IFERROR(AA2465/W2465,"")</f>
        <v/>
      </c>
      <c r="AC2465" s="122" t="n">
        <v>0</v>
      </c>
      <c r="AD2465" s="122" t="n">
        <v>0</v>
      </c>
      <c r="AE2465" s="122" t="n">
        <v>0</v>
      </c>
      <c r="AF2465" s="122" t="n">
        <v>0</v>
      </c>
      <c r="AG2465" s="122" t="n">
        <v>0</v>
      </c>
      <c r="AH2465" s="122" t="n">
        <v>0</v>
      </c>
      <c r="AI2465" s="54">
        <f>IFERROR(AC2465/S2465,"")</f>
        <v/>
      </c>
      <c r="AJ2465" s="54">
        <f>IFERROR(AH2465/S2465,"")</f>
        <v/>
      </c>
      <c r="AK2465" s="122" t="n">
        <v>5</v>
      </c>
      <c r="AL2465" s="122" t="n">
        <v>0</v>
      </c>
      <c r="AM2465" s="124">
        <f>IFERROR(AL2465/AA2465,"")</f>
        <v/>
      </c>
      <c r="AN2465" s="125">
        <f>IFERROR(R2465/AL2465,"")</f>
        <v/>
      </c>
      <c r="AO2465" s="122" t="n">
        <v>0</v>
      </c>
      <c r="AP2465" s="54">
        <f>IFERROR(AO2465/AL2465,"")</f>
        <v/>
      </c>
      <c r="AQ2465" s="125">
        <f>IFERROR(R2465/AO2465,"")</f>
        <v/>
      </c>
      <c r="AR2465" s="122" t="n">
        <v>0</v>
      </c>
      <c r="AS2465" s="122" t="n">
        <v>0</v>
      </c>
      <c r="AT2465" s="122">
        <f>AL2465+AR2465</f>
        <v/>
      </c>
      <c r="AU2465" s="125">
        <f>IFERROR(AO2465*Assumptions!$C$26*Assumptions!$C$27*INDEX(Assumptions!$C$18:$C$21,MATCH(H2465,Assumptions!$B$18:$B$21,0)),0)</f>
        <v/>
      </c>
    </row>
    <row r="2466">
      <c r="A2466" s="120" t="n">
        <v>46265</v>
      </c>
      <c r="B2466" s="66" t="inlineStr">
        <is>
          <t>Wk 36</t>
        </is>
      </c>
      <c r="C2466" s="66" t="inlineStr">
        <is>
          <t>Mon</t>
        </is>
      </c>
      <c r="D2466" s="66" t="inlineStr">
        <is>
          <t>Programmatic</t>
        </is>
      </c>
      <c r="E2466" s="66" t="inlineStr">
        <is>
          <t>DV360</t>
        </is>
      </c>
      <c r="F2466" s="66" t="inlineStr">
        <is>
          <t>LEP_ZA_AUG26_PROG_RMKT_DYNAMIC</t>
        </is>
      </c>
      <c r="G2466" s="66" t="inlineStr">
        <is>
          <t>Dynamic Retargeting</t>
        </is>
      </c>
      <c r="H2466" s="66" t="inlineStr">
        <is>
          <t>Range</t>
        </is>
      </c>
      <c r="I2466" s="66" t="inlineStr">
        <is>
          <t>Range Offer</t>
        </is>
      </c>
      <c r="J2466" s="66" t="inlineStr">
        <is>
          <t>PROG_DYN_RMKT_30D</t>
        </is>
      </c>
      <c r="K2466" s="66" t="inlineStr">
        <is>
          <t>Retargeting</t>
        </is>
      </c>
      <c r="L2466" s="66" t="inlineStr">
        <is>
          <t>PROG_DYN_320x50_BookNow_v1</t>
        </is>
      </c>
      <c r="M2466" s="66" t="inlineStr">
        <is>
          <t>Dynamic Display 320x50</t>
        </is>
      </c>
      <c r="N2466" s="66" t="inlineStr">
        <is>
          <t>Book your test drive</t>
        </is>
      </c>
      <c r="O2466" s="66" t="inlineStr">
        <is>
          <t>Auction - Lowest Cost</t>
        </is>
      </c>
      <c r="P2466" s="66" t="inlineStr">
        <is>
          <t>Conversions (CPA)</t>
        </is>
      </c>
      <c r="Q2466" s="66" t="inlineStr">
        <is>
          <t>https://www.lepas-sa.co.za/book-a-test-drive</t>
        </is>
      </c>
      <c r="R2466" s="121" t="n">
        <v>56.91</v>
      </c>
      <c r="S2466" s="122" t="n">
        <v>2159</v>
      </c>
      <c r="T2466" s="122" t="n">
        <v>990</v>
      </c>
      <c r="U2466" s="123">
        <f>IFERROR(S2466/T2466,"")</f>
        <v/>
      </c>
      <c r="V2466" s="122" t="n">
        <v>7</v>
      </c>
      <c r="W2466" s="122" t="n">
        <v>6</v>
      </c>
      <c r="X2466" s="124">
        <f>IFERROR(W2466/S2466,"")</f>
        <v/>
      </c>
      <c r="Y2466" s="121">
        <f>IFERROR(R2466/W2466,"")</f>
        <v/>
      </c>
      <c r="Z2466" s="121">
        <f>IFERROR(R2466/S2466*1000,"")</f>
        <v/>
      </c>
      <c r="AA2466" s="122" t="n">
        <v>4</v>
      </c>
      <c r="AB2466" s="54">
        <f>IFERROR(AA2466/W2466,"")</f>
        <v/>
      </c>
      <c r="AC2466" s="122" t="n">
        <v>0</v>
      </c>
      <c r="AD2466" s="122" t="n">
        <v>0</v>
      </c>
      <c r="AE2466" s="122" t="n">
        <v>0</v>
      </c>
      <c r="AF2466" s="122" t="n">
        <v>0</v>
      </c>
      <c r="AG2466" s="122" t="n">
        <v>0</v>
      </c>
      <c r="AH2466" s="122" t="n">
        <v>0</v>
      </c>
      <c r="AI2466" s="54">
        <f>IFERROR(AC2466/S2466,"")</f>
        <v/>
      </c>
      <c r="AJ2466" s="54">
        <f>IFERROR(AH2466/S2466,"")</f>
        <v/>
      </c>
      <c r="AK2466" s="122" t="n">
        <v>10</v>
      </c>
      <c r="AL2466" s="122" t="n">
        <v>0</v>
      </c>
      <c r="AM2466" s="124">
        <f>IFERROR(AL2466/AA2466,"")</f>
        <v/>
      </c>
      <c r="AN2466" s="125">
        <f>IFERROR(R2466/AL2466,"")</f>
        <v/>
      </c>
      <c r="AO2466" s="122" t="n">
        <v>0</v>
      </c>
      <c r="AP2466" s="54">
        <f>IFERROR(AO2466/AL2466,"")</f>
        <v/>
      </c>
      <c r="AQ2466" s="125">
        <f>IFERROR(R2466/AO2466,"")</f>
        <v/>
      </c>
      <c r="AR2466" s="122" t="n">
        <v>0</v>
      </c>
      <c r="AS2466" s="122" t="n">
        <v>0</v>
      </c>
      <c r="AT2466" s="122">
        <f>AL2466+AR2466</f>
        <v/>
      </c>
      <c r="AU2466" s="125">
        <f>IFERROR(AO2466*Assumptions!$C$26*Assumptions!$C$27*INDEX(Assumptions!$C$18:$C$21,MATCH(H2466,Assumptions!$B$18:$B$21,0)),0)</f>
        <v/>
      </c>
    </row>
    <row r="2467">
      <c r="A2467" s="120" t="n">
        <v>46235</v>
      </c>
      <c r="B2467" s="66" t="inlineStr">
        <is>
          <t>Wk 31</t>
        </is>
      </c>
      <c r="C2467" s="66" t="inlineStr">
        <is>
          <t>Sat</t>
        </is>
      </c>
      <c r="D2467" s="66" t="inlineStr">
        <is>
          <t>Programmatic</t>
        </is>
      </c>
      <c r="E2467" s="66" t="inlineStr">
        <is>
          <t>DV360</t>
        </is>
      </c>
      <c r="F2467" s="66" t="inlineStr">
        <is>
          <t>LEP_ZA_AUG26_PROG_RMKT_DYNAMIC</t>
        </is>
      </c>
      <c r="G2467" s="66" t="inlineStr">
        <is>
          <t>Dynamic Retargeting</t>
        </is>
      </c>
      <c r="H2467" s="66" t="inlineStr">
        <is>
          <t>Range</t>
        </is>
      </c>
      <c r="I2467" s="66" t="inlineStr">
        <is>
          <t>Range Offer</t>
        </is>
      </c>
      <c r="J2467" s="66" t="inlineStr">
        <is>
          <t>PROG_LAL_SEED_CONVERTERS</t>
        </is>
      </c>
      <c r="K2467" s="66" t="inlineStr">
        <is>
          <t>Lookalike</t>
        </is>
      </c>
      <c r="L2467" s="66" t="inlineStr">
        <is>
          <t>PROG_HTML5_300x250_Range_v1</t>
        </is>
      </c>
      <c r="M2467" s="66" t="inlineStr">
        <is>
          <t>HTML5 Display 300x250</t>
        </is>
      </c>
      <c r="N2467" s="66" t="inlineStr">
        <is>
          <t>Book a Lepas test drive</t>
        </is>
      </c>
      <c r="O2467" s="66" t="inlineStr">
        <is>
          <t>Auction - Lowest Cost</t>
        </is>
      </c>
      <c r="P2467" s="66" t="inlineStr">
        <is>
          <t>Conversions (CPA)</t>
        </is>
      </c>
      <c r="Q2467" s="66" t="inlineStr">
        <is>
          <t>https://www.lepas-sa.co.za/offers</t>
        </is>
      </c>
      <c r="R2467" s="121" t="n">
        <v>73.8</v>
      </c>
      <c r="S2467" s="122" t="n">
        <v>2307</v>
      </c>
      <c r="T2467" s="122" t="n">
        <v>1157</v>
      </c>
      <c r="U2467" s="123">
        <f>IFERROR(S2467/T2467,"")</f>
        <v/>
      </c>
      <c r="V2467" s="122" t="n">
        <v>9</v>
      </c>
      <c r="W2467" s="122" t="n">
        <v>7</v>
      </c>
      <c r="X2467" s="124">
        <f>IFERROR(W2467/S2467,"")</f>
        <v/>
      </c>
      <c r="Y2467" s="121">
        <f>IFERROR(R2467/W2467,"")</f>
        <v/>
      </c>
      <c r="Z2467" s="121">
        <f>IFERROR(R2467/S2467*1000,"")</f>
        <v/>
      </c>
      <c r="AA2467" s="122" t="n">
        <v>5</v>
      </c>
      <c r="AB2467" s="54">
        <f>IFERROR(AA2467/W2467,"")</f>
        <v/>
      </c>
      <c r="AC2467" s="122" t="n">
        <v>0</v>
      </c>
      <c r="AD2467" s="122" t="n">
        <v>0</v>
      </c>
      <c r="AE2467" s="122" t="n">
        <v>0</v>
      </c>
      <c r="AF2467" s="122" t="n">
        <v>0</v>
      </c>
      <c r="AG2467" s="122" t="n">
        <v>0</v>
      </c>
      <c r="AH2467" s="122" t="n">
        <v>0</v>
      </c>
      <c r="AI2467" s="54">
        <f>IFERROR(AC2467/S2467,"")</f>
        <v/>
      </c>
      <c r="AJ2467" s="54">
        <f>IFERROR(AH2467/S2467,"")</f>
        <v/>
      </c>
      <c r="AK2467" s="122" t="n">
        <v>10</v>
      </c>
      <c r="AL2467" s="122" t="n">
        <v>0</v>
      </c>
      <c r="AM2467" s="124">
        <f>IFERROR(AL2467/AA2467,"")</f>
        <v/>
      </c>
      <c r="AN2467" s="125">
        <f>IFERROR(R2467/AL2467,"")</f>
        <v/>
      </c>
      <c r="AO2467" s="122" t="n">
        <v>0</v>
      </c>
      <c r="AP2467" s="54">
        <f>IFERROR(AO2467/AL2467,"")</f>
        <v/>
      </c>
      <c r="AQ2467" s="125">
        <f>IFERROR(R2467/AO2467,"")</f>
        <v/>
      </c>
      <c r="AR2467" s="122" t="n">
        <v>0</v>
      </c>
      <c r="AS2467" s="122" t="n">
        <v>0</v>
      </c>
      <c r="AT2467" s="122">
        <f>AL2467+AR2467</f>
        <v/>
      </c>
      <c r="AU2467" s="125">
        <f>IFERROR(AO2467*Assumptions!$C$26*Assumptions!$C$27*INDEX(Assumptions!$C$18:$C$21,MATCH(H2467,Assumptions!$B$18:$B$21,0)),0)</f>
        <v/>
      </c>
    </row>
    <row r="2468">
      <c r="A2468" s="120" t="n">
        <v>46236</v>
      </c>
      <c r="B2468" s="66" t="inlineStr">
        <is>
          <t>Wk 31</t>
        </is>
      </c>
      <c r="C2468" s="66" t="inlineStr">
        <is>
          <t>Sun</t>
        </is>
      </c>
      <c r="D2468" s="66" t="inlineStr">
        <is>
          <t>Programmatic</t>
        </is>
      </c>
      <c r="E2468" s="66" t="inlineStr">
        <is>
          <t>DV360</t>
        </is>
      </c>
      <c r="F2468" s="66" t="inlineStr">
        <is>
          <t>LEP_ZA_AUG26_PROG_RMKT_DYNAMIC</t>
        </is>
      </c>
      <c r="G2468" s="66" t="inlineStr">
        <is>
          <t>Dynamic Retargeting</t>
        </is>
      </c>
      <c r="H2468" s="66" t="inlineStr">
        <is>
          <t>Range</t>
        </is>
      </c>
      <c r="I2468" s="66" t="inlineStr">
        <is>
          <t>Range Offer</t>
        </is>
      </c>
      <c r="J2468" s="66" t="inlineStr">
        <is>
          <t>PROG_LAL_SEED_CONVERTERS</t>
        </is>
      </c>
      <c r="K2468" s="66" t="inlineStr">
        <is>
          <t>Lookalike</t>
        </is>
      </c>
      <c r="L2468" s="66" t="inlineStr">
        <is>
          <t>PROG_HTML5_300x250_Range_v1</t>
        </is>
      </c>
      <c r="M2468" s="66" t="inlineStr">
        <is>
          <t>HTML5 Display 300x250</t>
        </is>
      </c>
      <c r="N2468" s="66" t="inlineStr">
        <is>
          <t>Book a Lepas test drive</t>
        </is>
      </c>
      <c r="O2468" s="66" t="inlineStr">
        <is>
          <t>Auction - Lowest Cost</t>
        </is>
      </c>
      <c r="P2468" s="66" t="inlineStr">
        <is>
          <t>Conversions (CPA)</t>
        </is>
      </c>
      <c r="Q2468" s="66" t="inlineStr">
        <is>
          <t>https://www.lepas-sa.co.za/offers</t>
        </is>
      </c>
      <c r="R2468" s="121" t="n">
        <v>66.81</v>
      </c>
      <c r="S2468" s="122" t="n">
        <v>1764</v>
      </c>
      <c r="T2468" s="122" t="n">
        <v>834</v>
      </c>
      <c r="U2468" s="123">
        <f>IFERROR(S2468/T2468,"")</f>
        <v/>
      </c>
      <c r="V2468" s="122" t="n">
        <v>2</v>
      </c>
      <c r="W2468" s="122" t="n">
        <v>2</v>
      </c>
      <c r="X2468" s="124">
        <f>IFERROR(W2468/S2468,"")</f>
        <v/>
      </c>
      <c r="Y2468" s="121">
        <f>IFERROR(R2468/W2468,"")</f>
        <v/>
      </c>
      <c r="Z2468" s="121">
        <f>IFERROR(R2468/S2468*1000,"")</f>
        <v/>
      </c>
      <c r="AA2468" s="122" t="n">
        <v>1</v>
      </c>
      <c r="AB2468" s="54">
        <f>IFERROR(AA2468/W2468,"")</f>
        <v/>
      </c>
      <c r="AC2468" s="122" t="n">
        <v>0</v>
      </c>
      <c r="AD2468" s="122" t="n">
        <v>0</v>
      </c>
      <c r="AE2468" s="122" t="n">
        <v>0</v>
      </c>
      <c r="AF2468" s="122" t="n">
        <v>0</v>
      </c>
      <c r="AG2468" s="122" t="n">
        <v>0</v>
      </c>
      <c r="AH2468" s="122" t="n">
        <v>0</v>
      </c>
      <c r="AI2468" s="54">
        <f>IFERROR(AC2468/S2468,"")</f>
        <v/>
      </c>
      <c r="AJ2468" s="54">
        <f>IFERROR(AH2468/S2468,"")</f>
        <v/>
      </c>
      <c r="AK2468" s="122" t="n">
        <v>6</v>
      </c>
      <c r="AL2468" s="122" t="n">
        <v>0</v>
      </c>
      <c r="AM2468" s="124">
        <f>IFERROR(AL2468/AA2468,"")</f>
        <v/>
      </c>
      <c r="AN2468" s="125">
        <f>IFERROR(R2468/AL2468,"")</f>
        <v/>
      </c>
      <c r="AO2468" s="122" t="n">
        <v>0</v>
      </c>
      <c r="AP2468" s="54">
        <f>IFERROR(AO2468/AL2468,"")</f>
        <v/>
      </c>
      <c r="AQ2468" s="125">
        <f>IFERROR(R2468/AO2468,"")</f>
        <v/>
      </c>
      <c r="AR2468" s="122" t="n">
        <v>0</v>
      </c>
      <c r="AS2468" s="122" t="n">
        <v>0</v>
      </c>
      <c r="AT2468" s="122">
        <f>AL2468+AR2468</f>
        <v/>
      </c>
      <c r="AU2468" s="125">
        <f>IFERROR(AO2468*Assumptions!$C$26*Assumptions!$C$27*INDEX(Assumptions!$C$18:$C$21,MATCH(H2468,Assumptions!$B$18:$B$21,0)),0)</f>
        <v/>
      </c>
    </row>
    <row r="2469">
      <c r="A2469" s="120" t="n">
        <v>46237</v>
      </c>
      <c r="B2469" s="66" t="inlineStr">
        <is>
          <t>Wk 32</t>
        </is>
      </c>
      <c r="C2469" s="66" t="inlineStr">
        <is>
          <t>Mon</t>
        </is>
      </c>
      <c r="D2469" s="66" t="inlineStr">
        <is>
          <t>Programmatic</t>
        </is>
      </c>
      <c r="E2469" s="66" t="inlineStr">
        <is>
          <t>DV360</t>
        </is>
      </c>
      <c r="F2469" s="66" t="inlineStr">
        <is>
          <t>LEP_ZA_AUG26_PROG_RMKT_DYNAMIC</t>
        </is>
      </c>
      <c r="G2469" s="66" t="inlineStr">
        <is>
          <t>Dynamic Retargeting</t>
        </is>
      </c>
      <c r="H2469" s="66" t="inlineStr">
        <is>
          <t>Range</t>
        </is>
      </c>
      <c r="I2469" s="66" t="inlineStr">
        <is>
          <t>Range Offer</t>
        </is>
      </c>
      <c r="J2469" s="66" t="inlineStr">
        <is>
          <t>PROG_LAL_SEED_CONVERTERS</t>
        </is>
      </c>
      <c r="K2469" s="66" t="inlineStr">
        <is>
          <t>Lookalike</t>
        </is>
      </c>
      <c r="L2469" s="66" t="inlineStr">
        <is>
          <t>PROG_HTML5_300x250_Range_v1</t>
        </is>
      </c>
      <c r="M2469" s="66" t="inlineStr">
        <is>
          <t>HTML5 Display 300x250</t>
        </is>
      </c>
      <c r="N2469" s="66" t="inlineStr">
        <is>
          <t>Book a Lepas test drive</t>
        </is>
      </c>
      <c r="O2469" s="66" t="inlineStr">
        <is>
          <t>Auction - Lowest Cost</t>
        </is>
      </c>
      <c r="P2469" s="66" t="inlineStr">
        <is>
          <t>Conversions (CPA)</t>
        </is>
      </c>
      <c r="Q2469" s="66" t="inlineStr">
        <is>
          <t>https://www.lepas-sa.co.za/offers</t>
        </is>
      </c>
      <c r="R2469" s="121" t="n">
        <v>74.31</v>
      </c>
      <c r="S2469" s="122" t="n">
        <v>2041</v>
      </c>
      <c r="T2469" s="122" t="n">
        <v>1044</v>
      </c>
      <c r="U2469" s="123">
        <f>IFERROR(S2469/T2469,"")</f>
        <v/>
      </c>
      <c r="V2469" s="122" t="n">
        <v>5</v>
      </c>
      <c r="W2469" s="122" t="n">
        <v>4</v>
      </c>
      <c r="X2469" s="124">
        <f>IFERROR(W2469/S2469,"")</f>
        <v/>
      </c>
      <c r="Y2469" s="121">
        <f>IFERROR(R2469/W2469,"")</f>
        <v/>
      </c>
      <c r="Z2469" s="121">
        <f>IFERROR(R2469/S2469*1000,"")</f>
        <v/>
      </c>
      <c r="AA2469" s="122" t="n">
        <v>3</v>
      </c>
      <c r="AB2469" s="54">
        <f>IFERROR(AA2469/W2469,"")</f>
        <v/>
      </c>
      <c r="AC2469" s="122" t="n">
        <v>0</v>
      </c>
      <c r="AD2469" s="122" t="n">
        <v>0</v>
      </c>
      <c r="AE2469" s="122" t="n">
        <v>0</v>
      </c>
      <c r="AF2469" s="122" t="n">
        <v>0</v>
      </c>
      <c r="AG2469" s="122" t="n">
        <v>0</v>
      </c>
      <c r="AH2469" s="122" t="n">
        <v>0</v>
      </c>
      <c r="AI2469" s="54">
        <f>IFERROR(AC2469/S2469,"")</f>
        <v/>
      </c>
      <c r="AJ2469" s="54">
        <f>IFERROR(AH2469/S2469,"")</f>
        <v/>
      </c>
      <c r="AK2469" s="122" t="n">
        <v>6</v>
      </c>
      <c r="AL2469" s="122" t="n">
        <v>0</v>
      </c>
      <c r="AM2469" s="124">
        <f>IFERROR(AL2469/AA2469,"")</f>
        <v/>
      </c>
      <c r="AN2469" s="125">
        <f>IFERROR(R2469/AL2469,"")</f>
        <v/>
      </c>
      <c r="AO2469" s="122" t="n">
        <v>0</v>
      </c>
      <c r="AP2469" s="54">
        <f>IFERROR(AO2469/AL2469,"")</f>
        <v/>
      </c>
      <c r="AQ2469" s="125">
        <f>IFERROR(R2469/AO2469,"")</f>
        <v/>
      </c>
      <c r="AR2469" s="122" t="n">
        <v>0</v>
      </c>
      <c r="AS2469" s="122" t="n">
        <v>0</v>
      </c>
      <c r="AT2469" s="122">
        <f>AL2469+AR2469</f>
        <v/>
      </c>
      <c r="AU2469" s="125">
        <f>IFERROR(AO2469*Assumptions!$C$26*Assumptions!$C$27*INDEX(Assumptions!$C$18:$C$21,MATCH(H2469,Assumptions!$B$18:$B$21,0)),0)</f>
        <v/>
      </c>
    </row>
    <row r="2470">
      <c r="A2470" s="120" t="n">
        <v>46238</v>
      </c>
      <c r="B2470" s="66" t="inlineStr">
        <is>
          <t>Wk 32</t>
        </is>
      </c>
      <c r="C2470" s="66" t="inlineStr">
        <is>
          <t>Tue</t>
        </is>
      </c>
      <c r="D2470" s="66" t="inlineStr">
        <is>
          <t>Programmatic</t>
        </is>
      </c>
      <c r="E2470" s="66" t="inlineStr">
        <is>
          <t>DV360</t>
        </is>
      </c>
      <c r="F2470" s="66" t="inlineStr">
        <is>
          <t>LEP_ZA_AUG26_PROG_RMKT_DYNAMIC</t>
        </is>
      </c>
      <c r="G2470" s="66" t="inlineStr">
        <is>
          <t>Dynamic Retargeting</t>
        </is>
      </c>
      <c r="H2470" s="66" t="inlineStr">
        <is>
          <t>Range</t>
        </is>
      </c>
      <c r="I2470" s="66" t="inlineStr">
        <is>
          <t>Range Offer</t>
        </is>
      </c>
      <c r="J2470" s="66" t="inlineStr">
        <is>
          <t>PROG_LAL_SEED_CONVERTERS</t>
        </is>
      </c>
      <c r="K2470" s="66" t="inlineStr">
        <is>
          <t>Lookalike</t>
        </is>
      </c>
      <c r="L2470" s="66" t="inlineStr">
        <is>
          <t>PROG_HTML5_300x250_Range_v1</t>
        </is>
      </c>
      <c r="M2470" s="66" t="inlineStr">
        <is>
          <t>HTML5 Display 300x250</t>
        </is>
      </c>
      <c r="N2470" s="66" t="inlineStr">
        <is>
          <t>Book a Lepas test drive</t>
        </is>
      </c>
      <c r="O2470" s="66" t="inlineStr">
        <is>
          <t>Auction - Lowest Cost</t>
        </is>
      </c>
      <c r="P2470" s="66" t="inlineStr">
        <is>
          <t>Conversions (CPA)</t>
        </is>
      </c>
      <c r="Q2470" s="66" t="inlineStr">
        <is>
          <t>https://www.lepas-sa.co.za/offers</t>
        </is>
      </c>
      <c r="R2470" s="121" t="n">
        <v>79.72</v>
      </c>
      <c r="S2470" s="122" t="n">
        <v>2265</v>
      </c>
      <c r="T2470" s="122" t="n">
        <v>1309</v>
      </c>
      <c r="U2470" s="123">
        <f>IFERROR(S2470/T2470,"")</f>
        <v/>
      </c>
      <c r="V2470" s="122" t="n">
        <v>7</v>
      </c>
      <c r="W2470" s="122" t="n">
        <v>6</v>
      </c>
      <c r="X2470" s="124">
        <f>IFERROR(W2470/S2470,"")</f>
        <v/>
      </c>
      <c r="Y2470" s="121">
        <f>IFERROR(R2470/W2470,"")</f>
        <v/>
      </c>
      <c r="Z2470" s="121">
        <f>IFERROR(R2470/S2470*1000,"")</f>
        <v/>
      </c>
      <c r="AA2470" s="122" t="n">
        <v>4</v>
      </c>
      <c r="AB2470" s="54">
        <f>IFERROR(AA2470/W2470,"")</f>
        <v/>
      </c>
      <c r="AC2470" s="122" t="n">
        <v>0</v>
      </c>
      <c r="AD2470" s="122" t="n">
        <v>0</v>
      </c>
      <c r="AE2470" s="122" t="n">
        <v>0</v>
      </c>
      <c r="AF2470" s="122" t="n">
        <v>0</v>
      </c>
      <c r="AG2470" s="122" t="n">
        <v>0</v>
      </c>
      <c r="AH2470" s="122" t="n">
        <v>0</v>
      </c>
      <c r="AI2470" s="54">
        <f>IFERROR(AC2470/S2470,"")</f>
        <v/>
      </c>
      <c r="AJ2470" s="54">
        <f>IFERROR(AH2470/S2470,"")</f>
        <v/>
      </c>
      <c r="AK2470" s="122" t="n">
        <v>8</v>
      </c>
      <c r="AL2470" s="122" t="n">
        <v>0</v>
      </c>
      <c r="AM2470" s="124">
        <f>IFERROR(AL2470/AA2470,"")</f>
        <v/>
      </c>
      <c r="AN2470" s="125">
        <f>IFERROR(R2470/AL2470,"")</f>
        <v/>
      </c>
      <c r="AO2470" s="122" t="n">
        <v>0</v>
      </c>
      <c r="AP2470" s="54">
        <f>IFERROR(AO2470/AL2470,"")</f>
        <v/>
      </c>
      <c r="AQ2470" s="125">
        <f>IFERROR(R2470/AO2470,"")</f>
        <v/>
      </c>
      <c r="AR2470" s="122" t="n">
        <v>0</v>
      </c>
      <c r="AS2470" s="122" t="n">
        <v>0</v>
      </c>
      <c r="AT2470" s="122">
        <f>AL2470+AR2470</f>
        <v/>
      </c>
      <c r="AU2470" s="125">
        <f>IFERROR(AO2470*Assumptions!$C$26*Assumptions!$C$27*INDEX(Assumptions!$C$18:$C$21,MATCH(H2470,Assumptions!$B$18:$B$21,0)),0)</f>
        <v/>
      </c>
    </row>
    <row r="2471">
      <c r="A2471" s="120" t="n">
        <v>46239</v>
      </c>
      <c r="B2471" s="66" t="inlineStr">
        <is>
          <t>Wk 32</t>
        </is>
      </c>
      <c r="C2471" s="66" t="inlineStr">
        <is>
          <t>Wed</t>
        </is>
      </c>
      <c r="D2471" s="66" t="inlineStr">
        <is>
          <t>Programmatic</t>
        </is>
      </c>
      <c r="E2471" s="66" t="inlineStr">
        <is>
          <t>DV360</t>
        </is>
      </c>
      <c r="F2471" s="66" t="inlineStr">
        <is>
          <t>LEP_ZA_AUG26_PROG_RMKT_DYNAMIC</t>
        </is>
      </c>
      <c r="G2471" s="66" t="inlineStr">
        <is>
          <t>Dynamic Retargeting</t>
        </is>
      </c>
      <c r="H2471" s="66" t="inlineStr">
        <is>
          <t>Range</t>
        </is>
      </c>
      <c r="I2471" s="66" t="inlineStr">
        <is>
          <t>Range Offer</t>
        </is>
      </c>
      <c r="J2471" s="66" t="inlineStr">
        <is>
          <t>PROG_LAL_SEED_CONVERTERS</t>
        </is>
      </c>
      <c r="K2471" s="66" t="inlineStr">
        <is>
          <t>Lookalike</t>
        </is>
      </c>
      <c r="L2471" s="66" t="inlineStr">
        <is>
          <t>PROG_HTML5_300x250_Range_v1</t>
        </is>
      </c>
      <c r="M2471" s="66" t="inlineStr">
        <is>
          <t>HTML5 Display 300x250</t>
        </is>
      </c>
      <c r="N2471" s="66" t="inlineStr">
        <is>
          <t>Book a Lepas test drive</t>
        </is>
      </c>
      <c r="O2471" s="66" t="inlineStr">
        <is>
          <t>Auction - Lowest Cost</t>
        </is>
      </c>
      <c r="P2471" s="66" t="inlineStr">
        <is>
          <t>Conversions (CPA)</t>
        </is>
      </c>
      <c r="Q2471" s="66" t="inlineStr">
        <is>
          <t>https://www.lepas-sa.co.za/offers</t>
        </is>
      </c>
      <c r="R2471" s="121" t="n">
        <v>79.08</v>
      </c>
      <c r="S2471" s="122" t="n">
        <v>2216</v>
      </c>
      <c r="T2471" s="122" t="n">
        <v>1030</v>
      </c>
      <c r="U2471" s="123">
        <f>IFERROR(S2471/T2471,"")</f>
        <v/>
      </c>
      <c r="V2471" s="122" t="n">
        <v>6</v>
      </c>
      <c r="W2471" s="122" t="n">
        <v>5</v>
      </c>
      <c r="X2471" s="124">
        <f>IFERROR(W2471/S2471,"")</f>
        <v/>
      </c>
      <c r="Y2471" s="121">
        <f>IFERROR(R2471/W2471,"")</f>
        <v/>
      </c>
      <c r="Z2471" s="121">
        <f>IFERROR(R2471/S2471*1000,"")</f>
        <v/>
      </c>
      <c r="AA2471" s="122" t="n">
        <v>3</v>
      </c>
      <c r="AB2471" s="54">
        <f>IFERROR(AA2471/W2471,"")</f>
        <v/>
      </c>
      <c r="AC2471" s="122" t="n">
        <v>0</v>
      </c>
      <c r="AD2471" s="122" t="n">
        <v>0</v>
      </c>
      <c r="AE2471" s="122" t="n">
        <v>0</v>
      </c>
      <c r="AF2471" s="122" t="n">
        <v>0</v>
      </c>
      <c r="AG2471" s="122" t="n">
        <v>0</v>
      </c>
      <c r="AH2471" s="122" t="n">
        <v>0</v>
      </c>
      <c r="AI2471" s="54">
        <f>IFERROR(AC2471/S2471,"")</f>
        <v/>
      </c>
      <c r="AJ2471" s="54">
        <f>IFERROR(AH2471/S2471,"")</f>
        <v/>
      </c>
      <c r="AK2471" s="122" t="n">
        <v>7</v>
      </c>
      <c r="AL2471" s="122" t="n">
        <v>0</v>
      </c>
      <c r="AM2471" s="124">
        <f>IFERROR(AL2471/AA2471,"")</f>
        <v/>
      </c>
      <c r="AN2471" s="125">
        <f>IFERROR(R2471/AL2471,"")</f>
        <v/>
      </c>
      <c r="AO2471" s="122" t="n">
        <v>0</v>
      </c>
      <c r="AP2471" s="54">
        <f>IFERROR(AO2471/AL2471,"")</f>
        <v/>
      </c>
      <c r="AQ2471" s="125">
        <f>IFERROR(R2471/AO2471,"")</f>
        <v/>
      </c>
      <c r="AR2471" s="122" t="n">
        <v>0</v>
      </c>
      <c r="AS2471" s="122" t="n">
        <v>0</v>
      </c>
      <c r="AT2471" s="122">
        <f>AL2471+AR2471</f>
        <v/>
      </c>
      <c r="AU2471" s="125">
        <f>IFERROR(AO2471*Assumptions!$C$26*Assumptions!$C$27*INDEX(Assumptions!$C$18:$C$21,MATCH(H2471,Assumptions!$B$18:$B$21,0)),0)</f>
        <v/>
      </c>
    </row>
    <row r="2472">
      <c r="A2472" s="120" t="n">
        <v>46240</v>
      </c>
      <c r="B2472" s="66" t="inlineStr">
        <is>
          <t>Wk 32</t>
        </is>
      </c>
      <c r="C2472" s="66" t="inlineStr">
        <is>
          <t>Thu</t>
        </is>
      </c>
      <c r="D2472" s="66" t="inlineStr">
        <is>
          <t>Programmatic</t>
        </is>
      </c>
      <c r="E2472" s="66" t="inlineStr">
        <is>
          <t>DV360</t>
        </is>
      </c>
      <c r="F2472" s="66" t="inlineStr">
        <is>
          <t>LEP_ZA_AUG26_PROG_RMKT_DYNAMIC</t>
        </is>
      </c>
      <c r="G2472" s="66" t="inlineStr">
        <is>
          <t>Dynamic Retargeting</t>
        </is>
      </c>
      <c r="H2472" s="66" t="inlineStr">
        <is>
          <t>Range</t>
        </is>
      </c>
      <c r="I2472" s="66" t="inlineStr">
        <is>
          <t>Range Offer</t>
        </is>
      </c>
      <c r="J2472" s="66" t="inlineStr">
        <is>
          <t>PROG_LAL_SEED_CONVERTERS</t>
        </is>
      </c>
      <c r="K2472" s="66" t="inlineStr">
        <is>
          <t>Lookalike</t>
        </is>
      </c>
      <c r="L2472" s="66" t="inlineStr">
        <is>
          <t>PROG_HTML5_300x250_Range_v1</t>
        </is>
      </c>
      <c r="M2472" s="66" t="inlineStr">
        <is>
          <t>HTML5 Display 300x250</t>
        </is>
      </c>
      <c r="N2472" s="66" t="inlineStr">
        <is>
          <t>Book a Lepas test drive</t>
        </is>
      </c>
      <c r="O2472" s="66" t="inlineStr">
        <is>
          <t>Auction - Lowest Cost</t>
        </is>
      </c>
      <c r="P2472" s="66" t="inlineStr">
        <is>
          <t>Conversions (CPA)</t>
        </is>
      </c>
      <c r="Q2472" s="66" t="inlineStr">
        <is>
          <t>https://www.lepas-sa.co.za/offers</t>
        </is>
      </c>
      <c r="R2472" s="121" t="n">
        <v>80.8</v>
      </c>
      <c r="S2472" s="122" t="n">
        <v>2047</v>
      </c>
      <c r="T2472" s="122" t="n">
        <v>1430</v>
      </c>
      <c r="U2472" s="123">
        <f>IFERROR(S2472/T2472,"")</f>
        <v/>
      </c>
      <c r="V2472" s="122" t="n">
        <v>5</v>
      </c>
      <c r="W2472" s="122" t="n">
        <v>4</v>
      </c>
      <c r="X2472" s="124">
        <f>IFERROR(W2472/S2472,"")</f>
        <v/>
      </c>
      <c r="Y2472" s="121">
        <f>IFERROR(R2472/W2472,"")</f>
        <v/>
      </c>
      <c r="Z2472" s="121">
        <f>IFERROR(R2472/S2472*1000,"")</f>
        <v/>
      </c>
      <c r="AA2472" s="122" t="n">
        <v>3</v>
      </c>
      <c r="AB2472" s="54">
        <f>IFERROR(AA2472/W2472,"")</f>
        <v/>
      </c>
      <c r="AC2472" s="122" t="n">
        <v>0</v>
      </c>
      <c r="AD2472" s="122" t="n">
        <v>0</v>
      </c>
      <c r="AE2472" s="122" t="n">
        <v>0</v>
      </c>
      <c r="AF2472" s="122" t="n">
        <v>0</v>
      </c>
      <c r="AG2472" s="122" t="n">
        <v>0</v>
      </c>
      <c r="AH2472" s="122" t="n">
        <v>0</v>
      </c>
      <c r="AI2472" s="54">
        <f>IFERROR(AC2472/S2472,"")</f>
        <v/>
      </c>
      <c r="AJ2472" s="54">
        <f>IFERROR(AH2472/S2472,"")</f>
        <v/>
      </c>
      <c r="AK2472" s="122" t="n">
        <v>12</v>
      </c>
      <c r="AL2472" s="122" t="n">
        <v>0</v>
      </c>
      <c r="AM2472" s="124">
        <f>IFERROR(AL2472/AA2472,"")</f>
        <v/>
      </c>
      <c r="AN2472" s="125">
        <f>IFERROR(R2472/AL2472,"")</f>
        <v/>
      </c>
      <c r="AO2472" s="122" t="n">
        <v>0</v>
      </c>
      <c r="AP2472" s="54">
        <f>IFERROR(AO2472/AL2472,"")</f>
        <v/>
      </c>
      <c r="AQ2472" s="125">
        <f>IFERROR(R2472/AO2472,"")</f>
        <v/>
      </c>
      <c r="AR2472" s="122" t="n">
        <v>0</v>
      </c>
      <c r="AS2472" s="122" t="n">
        <v>0</v>
      </c>
      <c r="AT2472" s="122">
        <f>AL2472+AR2472</f>
        <v/>
      </c>
      <c r="AU2472" s="125">
        <f>IFERROR(AO2472*Assumptions!$C$26*Assumptions!$C$27*INDEX(Assumptions!$C$18:$C$21,MATCH(H2472,Assumptions!$B$18:$B$21,0)),0)</f>
        <v/>
      </c>
    </row>
    <row r="2473">
      <c r="A2473" s="120" t="n">
        <v>46241</v>
      </c>
      <c r="B2473" s="66" t="inlineStr">
        <is>
          <t>Wk 32</t>
        </is>
      </c>
      <c r="C2473" s="66" t="inlineStr">
        <is>
          <t>Fri</t>
        </is>
      </c>
      <c r="D2473" s="66" t="inlineStr">
        <is>
          <t>Programmatic</t>
        </is>
      </c>
      <c r="E2473" s="66" t="inlineStr">
        <is>
          <t>DV360</t>
        </is>
      </c>
      <c r="F2473" s="66" t="inlineStr">
        <is>
          <t>LEP_ZA_AUG26_PROG_RMKT_DYNAMIC</t>
        </is>
      </c>
      <c r="G2473" s="66" t="inlineStr">
        <is>
          <t>Dynamic Retargeting</t>
        </is>
      </c>
      <c r="H2473" s="66" t="inlineStr">
        <is>
          <t>Range</t>
        </is>
      </c>
      <c r="I2473" s="66" t="inlineStr">
        <is>
          <t>Range Offer</t>
        </is>
      </c>
      <c r="J2473" s="66" t="inlineStr">
        <is>
          <t>PROG_LAL_SEED_CONVERTERS</t>
        </is>
      </c>
      <c r="K2473" s="66" t="inlineStr">
        <is>
          <t>Lookalike</t>
        </is>
      </c>
      <c r="L2473" s="66" t="inlineStr">
        <is>
          <t>PROG_HTML5_300x250_Range_v1</t>
        </is>
      </c>
      <c r="M2473" s="66" t="inlineStr">
        <is>
          <t>HTML5 Display 300x250</t>
        </is>
      </c>
      <c r="N2473" s="66" t="inlineStr">
        <is>
          <t>Book a Lepas test drive</t>
        </is>
      </c>
      <c r="O2473" s="66" t="inlineStr">
        <is>
          <t>Auction - Lowest Cost</t>
        </is>
      </c>
      <c r="P2473" s="66" t="inlineStr">
        <is>
          <t>Conversions (CPA)</t>
        </is>
      </c>
      <c r="Q2473" s="66" t="inlineStr">
        <is>
          <t>https://www.lepas-sa.co.za/offers</t>
        </is>
      </c>
      <c r="R2473" s="121" t="n">
        <v>98.58</v>
      </c>
      <c r="S2473" s="122" t="n">
        <v>4018</v>
      </c>
      <c r="T2473" s="122" t="n">
        <v>2696</v>
      </c>
      <c r="U2473" s="123">
        <f>IFERROR(S2473/T2473,"")</f>
        <v/>
      </c>
      <c r="V2473" s="122" t="n">
        <v>20</v>
      </c>
      <c r="W2473" s="122" t="n">
        <v>16</v>
      </c>
      <c r="X2473" s="124">
        <f>IFERROR(W2473/S2473,"")</f>
        <v/>
      </c>
      <c r="Y2473" s="121">
        <f>IFERROR(R2473/W2473,"")</f>
        <v/>
      </c>
      <c r="Z2473" s="121">
        <f>IFERROR(R2473/S2473*1000,"")</f>
        <v/>
      </c>
      <c r="AA2473" s="122" t="n">
        <v>10</v>
      </c>
      <c r="AB2473" s="54">
        <f>IFERROR(AA2473/W2473,"")</f>
        <v/>
      </c>
      <c r="AC2473" s="122" t="n">
        <v>0</v>
      </c>
      <c r="AD2473" s="122" t="n">
        <v>0</v>
      </c>
      <c r="AE2473" s="122" t="n">
        <v>0</v>
      </c>
      <c r="AF2473" s="122" t="n">
        <v>0</v>
      </c>
      <c r="AG2473" s="122" t="n">
        <v>0</v>
      </c>
      <c r="AH2473" s="122" t="n">
        <v>0</v>
      </c>
      <c r="AI2473" s="54">
        <f>IFERROR(AC2473/S2473,"")</f>
        <v/>
      </c>
      <c r="AJ2473" s="54">
        <f>IFERROR(AH2473/S2473,"")</f>
        <v/>
      </c>
      <c r="AK2473" s="122" t="n">
        <v>5</v>
      </c>
      <c r="AL2473" s="122" t="n">
        <v>0</v>
      </c>
      <c r="AM2473" s="124">
        <f>IFERROR(AL2473/AA2473,"")</f>
        <v/>
      </c>
      <c r="AN2473" s="125">
        <f>IFERROR(R2473/AL2473,"")</f>
        <v/>
      </c>
      <c r="AO2473" s="122" t="n">
        <v>0</v>
      </c>
      <c r="AP2473" s="54">
        <f>IFERROR(AO2473/AL2473,"")</f>
        <v/>
      </c>
      <c r="AQ2473" s="125">
        <f>IFERROR(R2473/AO2473,"")</f>
        <v/>
      </c>
      <c r="AR2473" s="122" t="n">
        <v>0</v>
      </c>
      <c r="AS2473" s="122" t="n">
        <v>0</v>
      </c>
      <c r="AT2473" s="122">
        <f>AL2473+AR2473</f>
        <v/>
      </c>
      <c r="AU2473" s="125">
        <f>IFERROR(AO2473*Assumptions!$C$26*Assumptions!$C$27*INDEX(Assumptions!$C$18:$C$21,MATCH(H2473,Assumptions!$B$18:$B$21,0)),0)</f>
        <v/>
      </c>
    </row>
    <row r="2474">
      <c r="A2474" s="120" t="n">
        <v>46242</v>
      </c>
      <c r="B2474" s="66" t="inlineStr">
        <is>
          <t>Wk 32</t>
        </is>
      </c>
      <c r="C2474" s="66" t="inlineStr">
        <is>
          <t>Sat</t>
        </is>
      </c>
      <c r="D2474" s="66" t="inlineStr">
        <is>
          <t>Programmatic</t>
        </is>
      </c>
      <c r="E2474" s="66" t="inlineStr">
        <is>
          <t>DV360</t>
        </is>
      </c>
      <c r="F2474" s="66" t="inlineStr">
        <is>
          <t>LEP_ZA_AUG26_PROG_RMKT_DYNAMIC</t>
        </is>
      </c>
      <c r="G2474" s="66" t="inlineStr">
        <is>
          <t>Dynamic Retargeting</t>
        </is>
      </c>
      <c r="H2474" s="66" t="inlineStr">
        <is>
          <t>Range</t>
        </is>
      </c>
      <c r="I2474" s="66" t="inlineStr">
        <is>
          <t>Range Offer</t>
        </is>
      </c>
      <c r="J2474" s="66" t="inlineStr">
        <is>
          <t>PROG_LAL_SEED_CONVERTERS</t>
        </is>
      </c>
      <c r="K2474" s="66" t="inlineStr">
        <is>
          <t>Lookalike</t>
        </is>
      </c>
      <c r="L2474" s="66" t="inlineStr">
        <is>
          <t>PROG_HTML5_300x250_Range_v1</t>
        </is>
      </c>
      <c r="M2474" s="66" t="inlineStr">
        <is>
          <t>HTML5 Display 300x250</t>
        </is>
      </c>
      <c r="N2474" s="66" t="inlineStr">
        <is>
          <t>Book a Lepas test drive</t>
        </is>
      </c>
      <c r="O2474" s="66" t="inlineStr">
        <is>
          <t>Auction - Lowest Cost</t>
        </is>
      </c>
      <c r="P2474" s="66" t="inlineStr">
        <is>
          <t>Conversions (CPA)</t>
        </is>
      </c>
      <c r="Q2474" s="66" t="inlineStr">
        <is>
          <t>https://www.lepas-sa.co.za/offers</t>
        </is>
      </c>
      <c r="R2474" s="121" t="n">
        <v>108.2</v>
      </c>
      <c r="S2474" s="122" t="n">
        <v>2749</v>
      </c>
      <c r="T2474" s="122" t="n">
        <v>1168</v>
      </c>
      <c r="U2474" s="123">
        <f>IFERROR(S2474/T2474,"")</f>
        <v/>
      </c>
      <c r="V2474" s="122" t="n">
        <v>10</v>
      </c>
      <c r="W2474" s="122" t="n">
        <v>8</v>
      </c>
      <c r="X2474" s="124">
        <f>IFERROR(W2474/S2474,"")</f>
        <v/>
      </c>
      <c r="Y2474" s="121">
        <f>IFERROR(R2474/W2474,"")</f>
        <v/>
      </c>
      <c r="Z2474" s="121">
        <f>IFERROR(R2474/S2474*1000,"")</f>
        <v/>
      </c>
      <c r="AA2474" s="122" t="n">
        <v>6</v>
      </c>
      <c r="AB2474" s="54">
        <f>IFERROR(AA2474/W2474,"")</f>
        <v/>
      </c>
      <c r="AC2474" s="122" t="n">
        <v>0</v>
      </c>
      <c r="AD2474" s="122" t="n">
        <v>0</v>
      </c>
      <c r="AE2474" s="122" t="n">
        <v>0</v>
      </c>
      <c r="AF2474" s="122" t="n">
        <v>0</v>
      </c>
      <c r="AG2474" s="122" t="n">
        <v>0</v>
      </c>
      <c r="AH2474" s="122" t="n">
        <v>0</v>
      </c>
      <c r="AI2474" s="54">
        <f>IFERROR(AC2474/S2474,"")</f>
        <v/>
      </c>
      <c r="AJ2474" s="54">
        <f>IFERROR(AH2474/S2474,"")</f>
        <v/>
      </c>
      <c r="AK2474" s="122" t="n">
        <v>16</v>
      </c>
      <c r="AL2474" s="122" t="n">
        <v>1</v>
      </c>
      <c r="AM2474" s="124">
        <f>IFERROR(AL2474/AA2474,"")</f>
        <v/>
      </c>
      <c r="AN2474" s="125">
        <f>IFERROR(R2474/AL2474,"")</f>
        <v/>
      </c>
      <c r="AO2474" s="122" t="n">
        <v>1</v>
      </c>
      <c r="AP2474" s="54">
        <f>IFERROR(AO2474/AL2474,"")</f>
        <v/>
      </c>
      <c r="AQ2474" s="125">
        <f>IFERROR(R2474/AO2474,"")</f>
        <v/>
      </c>
      <c r="AR2474" s="122" t="n">
        <v>3</v>
      </c>
      <c r="AS2474" s="122" t="n">
        <v>1</v>
      </c>
      <c r="AT2474" s="122">
        <f>AL2474+AR2474</f>
        <v/>
      </c>
      <c r="AU2474" s="125">
        <f>IFERROR(AO2474*Assumptions!$C$26*Assumptions!$C$27*INDEX(Assumptions!$C$18:$C$21,MATCH(H2474,Assumptions!$B$18:$B$21,0)),0)</f>
        <v/>
      </c>
    </row>
    <row r="2475">
      <c r="A2475" s="120" t="n">
        <v>46243</v>
      </c>
      <c r="B2475" s="66" t="inlineStr">
        <is>
          <t>Wk 32</t>
        </is>
      </c>
      <c r="C2475" s="66" t="inlineStr">
        <is>
          <t>Sun</t>
        </is>
      </c>
      <c r="D2475" s="66" t="inlineStr">
        <is>
          <t>Programmatic</t>
        </is>
      </c>
      <c r="E2475" s="66" t="inlineStr">
        <is>
          <t>DV360</t>
        </is>
      </c>
      <c r="F2475" s="66" t="inlineStr">
        <is>
          <t>LEP_ZA_AUG26_PROG_RMKT_DYNAMIC</t>
        </is>
      </c>
      <c r="G2475" s="66" t="inlineStr">
        <is>
          <t>Dynamic Retargeting</t>
        </is>
      </c>
      <c r="H2475" s="66" t="inlineStr">
        <is>
          <t>Range</t>
        </is>
      </c>
      <c r="I2475" s="66" t="inlineStr">
        <is>
          <t>Range Offer</t>
        </is>
      </c>
      <c r="J2475" s="66" t="inlineStr">
        <is>
          <t>PROG_LAL_SEED_CONVERTERS</t>
        </is>
      </c>
      <c r="K2475" s="66" t="inlineStr">
        <is>
          <t>Lookalike</t>
        </is>
      </c>
      <c r="L2475" s="66" t="inlineStr">
        <is>
          <t>PROG_HTML5_300x250_Range_v1</t>
        </is>
      </c>
      <c r="M2475" s="66" t="inlineStr">
        <is>
          <t>HTML5 Display 300x250</t>
        </is>
      </c>
      <c r="N2475" s="66" t="inlineStr">
        <is>
          <t>Book a Lepas test drive</t>
        </is>
      </c>
      <c r="O2475" s="66" t="inlineStr">
        <is>
          <t>Auction - Lowest Cost</t>
        </is>
      </c>
      <c r="P2475" s="66" t="inlineStr">
        <is>
          <t>Conversions (CPA)</t>
        </is>
      </c>
      <c r="Q2475" s="66" t="inlineStr">
        <is>
          <t>https://www.lepas-sa.co.za/offers</t>
        </is>
      </c>
      <c r="R2475" s="121" t="n">
        <v>69.84999999999999</v>
      </c>
      <c r="S2475" s="122" t="n">
        <v>2897</v>
      </c>
      <c r="T2475" s="122" t="n">
        <v>1600</v>
      </c>
      <c r="U2475" s="123">
        <f>IFERROR(S2475/T2475,"")</f>
        <v/>
      </c>
      <c r="V2475" s="122" t="n">
        <v>3</v>
      </c>
      <c r="W2475" s="122" t="n">
        <v>2</v>
      </c>
      <c r="X2475" s="124">
        <f>IFERROR(W2475/S2475,"")</f>
        <v/>
      </c>
      <c r="Y2475" s="121">
        <f>IFERROR(R2475/W2475,"")</f>
        <v/>
      </c>
      <c r="Z2475" s="121">
        <f>IFERROR(R2475/S2475*1000,"")</f>
        <v/>
      </c>
      <c r="AA2475" s="122" t="n">
        <v>2</v>
      </c>
      <c r="AB2475" s="54">
        <f>IFERROR(AA2475/W2475,"")</f>
        <v/>
      </c>
      <c r="AC2475" s="122" t="n">
        <v>0</v>
      </c>
      <c r="AD2475" s="122" t="n">
        <v>0</v>
      </c>
      <c r="AE2475" s="122" t="n">
        <v>0</v>
      </c>
      <c r="AF2475" s="122" t="n">
        <v>0</v>
      </c>
      <c r="AG2475" s="122" t="n">
        <v>0</v>
      </c>
      <c r="AH2475" s="122" t="n">
        <v>0</v>
      </c>
      <c r="AI2475" s="54">
        <f>IFERROR(AC2475/S2475,"")</f>
        <v/>
      </c>
      <c r="AJ2475" s="54">
        <f>IFERROR(AH2475/S2475,"")</f>
        <v/>
      </c>
      <c r="AK2475" s="122" t="n">
        <v>11</v>
      </c>
      <c r="AL2475" s="122" t="n">
        <v>0</v>
      </c>
      <c r="AM2475" s="124">
        <f>IFERROR(AL2475/AA2475,"")</f>
        <v/>
      </c>
      <c r="AN2475" s="125">
        <f>IFERROR(R2475/AL2475,"")</f>
        <v/>
      </c>
      <c r="AO2475" s="122" t="n">
        <v>0</v>
      </c>
      <c r="AP2475" s="54">
        <f>IFERROR(AO2475/AL2475,"")</f>
        <v/>
      </c>
      <c r="AQ2475" s="125">
        <f>IFERROR(R2475/AO2475,"")</f>
        <v/>
      </c>
      <c r="AR2475" s="122" t="n">
        <v>0</v>
      </c>
      <c r="AS2475" s="122" t="n">
        <v>0</v>
      </c>
      <c r="AT2475" s="122">
        <f>AL2475+AR2475</f>
        <v/>
      </c>
      <c r="AU2475" s="125">
        <f>IFERROR(AO2475*Assumptions!$C$26*Assumptions!$C$27*INDEX(Assumptions!$C$18:$C$21,MATCH(H2475,Assumptions!$B$18:$B$21,0)),0)</f>
        <v/>
      </c>
    </row>
    <row r="2476">
      <c r="A2476" s="120" t="n">
        <v>46244</v>
      </c>
      <c r="B2476" s="66" t="inlineStr">
        <is>
          <t>Wk 33</t>
        </is>
      </c>
      <c r="C2476" s="66" t="inlineStr">
        <is>
          <t>Mon</t>
        </is>
      </c>
      <c r="D2476" s="66" t="inlineStr">
        <is>
          <t>Programmatic</t>
        </is>
      </c>
      <c r="E2476" s="66" t="inlineStr">
        <is>
          <t>DV360</t>
        </is>
      </c>
      <c r="F2476" s="66" t="inlineStr">
        <is>
          <t>LEP_ZA_AUG26_PROG_RMKT_DYNAMIC</t>
        </is>
      </c>
      <c r="G2476" s="66" t="inlineStr">
        <is>
          <t>Dynamic Retargeting</t>
        </is>
      </c>
      <c r="H2476" s="66" t="inlineStr">
        <is>
          <t>Range</t>
        </is>
      </c>
      <c r="I2476" s="66" t="inlineStr">
        <is>
          <t>Range Offer</t>
        </is>
      </c>
      <c r="J2476" s="66" t="inlineStr">
        <is>
          <t>PROG_LAL_SEED_CONVERTERS</t>
        </is>
      </c>
      <c r="K2476" s="66" t="inlineStr">
        <is>
          <t>Lookalike</t>
        </is>
      </c>
      <c r="L2476" s="66" t="inlineStr">
        <is>
          <t>PROG_HTML5_300x250_Range_v1</t>
        </is>
      </c>
      <c r="M2476" s="66" t="inlineStr">
        <is>
          <t>HTML5 Display 300x250</t>
        </is>
      </c>
      <c r="N2476" s="66" t="inlineStr">
        <is>
          <t>Book a Lepas test drive</t>
        </is>
      </c>
      <c r="O2476" s="66" t="inlineStr">
        <is>
          <t>Auction - Lowest Cost</t>
        </is>
      </c>
      <c r="P2476" s="66" t="inlineStr">
        <is>
          <t>Conversions (CPA)</t>
        </is>
      </c>
      <c r="Q2476" s="66" t="inlineStr">
        <is>
          <t>https://www.lepas-sa.co.za/offers</t>
        </is>
      </c>
      <c r="R2476" s="121" t="n">
        <v>103.36</v>
      </c>
      <c r="S2476" s="122" t="n">
        <v>2937</v>
      </c>
      <c r="T2476" s="122" t="n">
        <v>1243</v>
      </c>
      <c r="U2476" s="123">
        <f>IFERROR(S2476/T2476,"")</f>
        <v/>
      </c>
      <c r="V2476" s="122" t="n">
        <v>12</v>
      </c>
      <c r="W2476" s="122" t="n">
        <v>8</v>
      </c>
      <c r="X2476" s="124">
        <f>IFERROR(W2476/S2476,"")</f>
        <v/>
      </c>
      <c r="Y2476" s="121">
        <f>IFERROR(R2476/W2476,"")</f>
        <v/>
      </c>
      <c r="Z2476" s="121">
        <f>IFERROR(R2476/S2476*1000,"")</f>
        <v/>
      </c>
      <c r="AA2476" s="122" t="n">
        <v>4</v>
      </c>
      <c r="AB2476" s="54">
        <f>IFERROR(AA2476/W2476,"")</f>
        <v/>
      </c>
      <c r="AC2476" s="122" t="n">
        <v>0</v>
      </c>
      <c r="AD2476" s="122" t="n">
        <v>0</v>
      </c>
      <c r="AE2476" s="122" t="n">
        <v>0</v>
      </c>
      <c r="AF2476" s="122" t="n">
        <v>0</v>
      </c>
      <c r="AG2476" s="122" t="n">
        <v>0</v>
      </c>
      <c r="AH2476" s="122" t="n">
        <v>0</v>
      </c>
      <c r="AI2476" s="54">
        <f>IFERROR(AC2476/S2476,"")</f>
        <v/>
      </c>
      <c r="AJ2476" s="54">
        <f>IFERROR(AH2476/S2476,"")</f>
        <v/>
      </c>
      <c r="AK2476" s="122" t="n">
        <v>13</v>
      </c>
      <c r="AL2476" s="122" t="n">
        <v>0</v>
      </c>
      <c r="AM2476" s="124">
        <f>IFERROR(AL2476/AA2476,"")</f>
        <v/>
      </c>
      <c r="AN2476" s="125">
        <f>IFERROR(R2476/AL2476,"")</f>
        <v/>
      </c>
      <c r="AO2476" s="122" t="n">
        <v>0</v>
      </c>
      <c r="AP2476" s="54">
        <f>IFERROR(AO2476/AL2476,"")</f>
        <v/>
      </c>
      <c r="AQ2476" s="125">
        <f>IFERROR(R2476/AO2476,"")</f>
        <v/>
      </c>
      <c r="AR2476" s="122" t="n">
        <v>0</v>
      </c>
      <c r="AS2476" s="122" t="n">
        <v>0</v>
      </c>
      <c r="AT2476" s="122">
        <f>AL2476+AR2476</f>
        <v/>
      </c>
      <c r="AU2476" s="125">
        <f>IFERROR(AO2476*Assumptions!$C$26*Assumptions!$C$27*INDEX(Assumptions!$C$18:$C$21,MATCH(H2476,Assumptions!$B$18:$B$21,0)),0)</f>
        <v/>
      </c>
    </row>
    <row r="2477">
      <c r="A2477" s="120" t="n">
        <v>46245</v>
      </c>
      <c r="B2477" s="66" t="inlineStr">
        <is>
          <t>Wk 33</t>
        </is>
      </c>
      <c r="C2477" s="66" t="inlineStr">
        <is>
          <t>Tue</t>
        </is>
      </c>
      <c r="D2477" s="66" t="inlineStr">
        <is>
          <t>Programmatic</t>
        </is>
      </c>
      <c r="E2477" s="66" t="inlineStr">
        <is>
          <t>DV360</t>
        </is>
      </c>
      <c r="F2477" s="66" t="inlineStr">
        <is>
          <t>LEP_ZA_AUG26_PROG_RMKT_DYNAMIC</t>
        </is>
      </c>
      <c r="G2477" s="66" t="inlineStr">
        <is>
          <t>Dynamic Retargeting</t>
        </is>
      </c>
      <c r="H2477" s="66" t="inlineStr">
        <is>
          <t>Range</t>
        </is>
      </c>
      <c r="I2477" s="66" t="inlineStr">
        <is>
          <t>Range Offer</t>
        </is>
      </c>
      <c r="J2477" s="66" t="inlineStr">
        <is>
          <t>PROG_LAL_SEED_CONVERTERS</t>
        </is>
      </c>
      <c r="K2477" s="66" t="inlineStr">
        <is>
          <t>Lookalike</t>
        </is>
      </c>
      <c r="L2477" s="66" t="inlineStr">
        <is>
          <t>PROG_HTML5_300x250_Range_v1</t>
        </is>
      </c>
      <c r="M2477" s="66" t="inlineStr">
        <is>
          <t>HTML5 Display 300x250</t>
        </is>
      </c>
      <c r="N2477" s="66" t="inlineStr">
        <is>
          <t>Book a Lepas test drive</t>
        </is>
      </c>
      <c r="O2477" s="66" t="inlineStr">
        <is>
          <t>Auction - Lowest Cost</t>
        </is>
      </c>
      <c r="P2477" s="66" t="inlineStr">
        <is>
          <t>Conversions (CPA)</t>
        </is>
      </c>
      <c r="Q2477" s="66" t="inlineStr">
        <is>
          <t>https://www.lepas-sa.co.za/offers</t>
        </is>
      </c>
      <c r="R2477" s="121" t="n">
        <v>70.15000000000001</v>
      </c>
      <c r="S2477" s="122" t="n">
        <v>1953</v>
      </c>
      <c r="T2477" s="122" t="n">
        <v>1409</v>
      </c>
      <c r="U2477" s="123">
        <f>IFERROR(S2477/T2477,"")</f>
        <v/>
      </c>
      <c r="V2477" s="122" t="n">
        <v>6</v>
      </c>
      <c r="W2477" s="122" t="n">
        <v>5</v>
      </c>
      <c r="X2477" s="124">
        <f>IFERROR(W2477/S2477,"")</f>
        <v/>
      </c>
      <c r="Y2477" s="121">
        <f>IFERROR(R2477/W2477,"")</f>
        <v/>
      </c>
      <c r="Z2477" s="121">
        <f>IFERROR(R2477/S2477*1000,"")</f>
        <v/>
      </c>
      <c r="AA2477" s="122" t="n">
        <v>3</v>
      </c>
      <c r="AB2477" s="54">
        <f>IFERROR(AA2477/W2477,"")</f>
        <v/>
      </c>
      <c r="AC2477" s="122" t="n">
        <v>0</v>
      </c>
      <c r="AD2477" s="122" t="n">
        <v>0</v>
      </c>
      <c r="AE2477" s="122" t="n">
        <v>0</v>
      </c>
      <c r="AF2477" s="122" t="n">
        <v>0</v>
      </c>
      <c r="AG2477" s="122" t="n">
        <v>0</v>
      </c>
      <c r="AH2477" s="122" t="n">
        <v>0</v>
      </c>
      <c r="AI2477" s="54">
        <f>IFERROR(AC2477/S2477,"")</f>
        <v/>
      </c>
      <c r="AJ2477" s="54">
        <f>IFERROR(AH2477/S2477,"")</f>
        <v/>
      </c>
      <c r="AK2477" s="122" t="n">
        <v>7</v>
      </c>
      <c r="AL2477" s="122" t="n">
        <v>0</v>
      </c>
      <c r="AM2477" s="124">
        <f>IFERROR(AL2477/AA2477,"")</f>
        <v/>
      </c>
      <c r="AN2477" s="125">
        <f>IFERROR(R2477/AL2477,"")</f>
        <v/>
      </c>
      <c r="AO2477" s="122" t="n">
        <v>0</v>
      </c>
      <c r="AP2477" s="54">
        <f>IFERROR(AO2477/AL2477,"")</f>
        <v/>
      </c>
      <c r="AQ2477" s="125">
        <f>IFERROR(R2477/AO2477,"")</f>
        <v/>
      </c>
      <c r="AR2477" s="122" t="n">
        <v>0</v>
      </c>
      <c r="AS2477" s="122" t="n">
        <v>0</v>
      </c>
      <c r="AT2477" s="122">
        <f>AL2477+AR2477</f>
        <v/>
      </c>
      <c r="AU2477" s="125">
        <f>IFERROR(AO2477*Assumptions!$C$26*Assumptions!$C$27*INDEX(Assumptions!$C$18:$C$21,MATCH(H2477,Assumptions!$B$18:$B$21,0)),0)</f>
        <v/>
      </c>
    </row>
    <row r="2478">
      <c r="A2478" s="120" t="n">
        <v>46246</v>
      </c>
      <c r="B2478" s="66" t="inlineStr">
        <is>
          <t>Wk 33</t>
        </is>
      </c>
      <c r="C2478" s="66" t="inlineStr">
        <is>
          <t>Wed</t>
        </is>
      </c>
      <c r="D2478" s="66" t="inlineStr">
        <is>
          <t>Programmatic</t>
        </is>
      </c>
      <c r="E2478" s="66" t="inlineStr">
        <is>
          <t>DV360</t>
        </is>
      </c>
      <c r="F2478" s="66" t="inlineStr">
        <is>
          <t>LEP_ZA_AUG26_PROG_RMKT_DYNAMIC</t>
        </is>
      </c>
      <c r="G2478" s="66" t="inlineStr">
        <is>
          <t>Dynamic Retargeting</t>
        </is>
      </c>
      <c r="H2478" s="66" t="inlineStr">
        <is>
          <t>Range</t>
        </is>
      </c>
      <c r="I2478" s="66" t="inlineStr">
        <is>
          <t>Range Offer</t>
        </is>
      </c>
      <c r="J2478" s="66" t="inlineStr">
        <is>
          <t>PROG_LAL_SEED_CONVERTERS</t>
        </is>
      </c>
      <c r="K2478" s="66" t="inlineStr">
        <is>
          <t>Lookalike</t>
        </is>
      </c>
      <c r="L2478" s="66" t="inlineStr">
        <is>
          <t>PROG_HTML5_300x250_Range_v1</t>
        </is>
      </c>
      <c r="M2478" s="66" t="inlineStr">
        <is>
          <t>HTML5 Display 300x250</t>
        </is>
      </c>
      <c r="N2478" s="66" t="inlineStr">
        <is>
          <t>Book a Lepas test drive</t>
        </is>
      </c>
      <c r="O2478" s="66" t="inlineStr">
        <is>
          <t>Auction - Lowest Cost</t>
        </is>
      </c>
      <c r="P2478" s="66" t="inlineStr">
        <is>
          <t>Conversions (CPA)</t>
        </is>
      </c>
      <c r="Q2478" s="66" t="inlineStr">
        <is>
          <t>https://www.lepas-sa.co.za/offers</t>
        </is>
      </c>
      <c r="R2478" s="121" t="n">
        <v>74.12</v>
      </c>
      <c r="S2478" s="122" t="n">
        <v>2376</v>
      </c>
      <c r="T2478" s="122" t="n">
        <v>1233</v>
      </c>
      <c r="U2478" s="123">
        <f>IFERROR(S2478/T2478,"")</f>
        <v/>
      </c>
      <c r="V2478" s="122" t="n">
        <v>4</v>
      </c>
      <c r="W2478" s="122" t="n">
        <v>4</v>
      </c>
      <c r="X2478" s="124">
        <f>IFERROR(W2478/S2478,"")</f>
        <v/>
      </c>
      <c r="Y2478" s="121">
        <f>IFERROR(R2478/W2478,"")</f>
        <v/>
      </c>
      <c r="Z2478" s="121">
        <f>IFERROR(R2478/S2478*1000,"")</f>
        <v/>
      </c>
      <c r="AA2478" s="122" t="n">
        <v>3</v>
      </c>
      <c r="AB2478" s="54">
        <f>IFERROR(AA2478/W2478,"")</f>
        <v/>
      </c>
      <c r="AC2478" s="122" t="n">
        <v>0</v>
      </c>
      <c r="AD2478" s="122" t="n">
        <v>0</v>
      </c>
      <c r="AE2478" s="122" t="n">
        <v>0</v>
      </c>
      <c r="AF2478" s="122" t="n">
        <v>0</v>
      </c>
      <c r="AG2478" s="122" t="n">
        <v>0</v>
      </c>
      <c r="AH2478" s="122" t="n">
        <v>0</v>
      </c>
      <c r="AI2478" s="54">
        <f>IFERROR(AC2478/S2478,"")</f>
        <v/>
      </c>
      <c r="AJ2478" s="54">
        <f>IFERROR(AH2478/S2478,"")</f>
        <v/>
      </c>
      <c r="AK2478" s="122" t="n">
        <v>8</v>
      </c>
      <c r="AL2478" s="122" t="n">
        <v>0</v>
      </c>
      <c r="AM2478" s="124">
        <f>IFERROR(AL2478/AA2478,"")</f>
        <v/>
      </c>
      <c r="AN2478" s="125">
        <f>IFERROR(R2478/AL2478,"")</f>
        <v/>
      </c>
      <c r="AO2478" s="122" t="n">
        <v>0</v>
      </c>
      <c r="AP2478" s="54">
        <f>IFERROR(AO2478/AL2478,"")</f>
        <v/>
      </c>
      <c r="AQ2478" s="125">
        <f>IFERROR(R2478/AO2478,"")</f>
        <v/>
      </c>
      <c r="AR2478" s="122" t="n">
        <v>0</v>
      </c>
      <c r="AS2478" s="122" t="n">
        <v>0</v>
      </c>
      <c r="AT2478" s="122">
        <f>AL2478+AR2478</f>
        <v/>
      </c>
      <c r="AU2478" s="125">
        <f>IFERROR(AO2478*Assumptions!$C$26*Assumptions!$C$27*INDEX(Assumptions!$C$18:$C$21,MATCH(H2478,Assumptions!$B$18:$B$21,0)),0)</f>
        <v/>
      </c>
    </row>
    <row r="2479">
      <c r="A2479" s="120" t="n">
        <v>46247</v>
      </c>
      <c r="B2479" s="66" t="inlineStr">
        <is>
          <t>Wk 33</t>
        </is>
      </c>
      <c r="C2479" s="66" t="inlineStr">
        <is>
          <t>Thu</t>
        </is>
      </c>
      <c r="D2479" s="66" t="inlineStr">
        <is>
          <t>Programmatic</t>
        </is>
      </c>
      <c r="E2479" s="66" t="inlineStr">
        <is>
          <t>DV360</t>
        </is>
      </c>
      <c r="F2479" s="66" t="inlineStr">
        <is>
          <t>LEP_ZA_AUG26_PROG_RMKT_DYNAMIC</t>
        </is>
      </c>
      <c r="G2479" s="66" t="inlineStr">
        <is>
          <t>Dynamic Retargeting</t>
        </is>
      </c>
      <c r="H2479" s="66" t="inlineStr">
        <is>
          <t>Range</t>
        </is>
      </c>
      <c r="I2479" s="66" t="inlineStr">
        <is>
          <t>Range Offer</t>
        </is>
      </c>
      <c r="J2479" s="66" t="inlineStr">
        <is>
          <t>PROG_LAL_SEED_CONVERTERS</t>
        </is>
      </c>
      <c r="K2479" s="66" t="inlineStr">
        <is>
          <t>Lookalike</t>
        </is>
      </c>
      <c r="L2479" s="66" t="inlineStr">
        <is>
          <t>PROG_HTML5_300x250_Range_v1</t>
        </is>
      </c>
      <c r="M2479" s="66" t="inlineStr">
        <is>
          <t>HTML5 Display 300x250</t>
        </is>
      </c>
      <c r="N2479" s="66" t="inlineStr">
        <is>
          <t>Book a Lepas test drive</t>
        </is>
      </c>
      <c r="O2479" s="66" t="inlineStr">
        <is>
          <t>Auction - Lowest Cost</t>
        </is>
      </c>
      <c r="P2479" s="66" t="inlineStr">
        <is>
          <t>Conversions (CPA)</t>
        </is>
      </c>
      <c r="Q2479" s="66" t="inlineStr">
        <is>
          <t>https://www.lepas-sa.co.za/offers</t>
        </is>
      </c>
      <c r="R2479" s="121" t="n">
        <v>82.43000000000001</v>
      </c>
      <c r="S2479" s="122" t="n">
        <v>3567</v>
      </c>
      <c r="T2479" s="122" t="n">
        <v>1806</v>
      </c>
      <c r="U2479" s="123">
        <f>IFERROR(S2479/T2479,"")</f>
        <v/>
      </c>
      <c r="V2479" s="122" t="n">
        <v>4</v>
      </c>
      <c r="W2479" s="122" t="n">
        <v>3</v>
      </c>
      <c r="X2479" s="124">
        <f>IFERROR(W2479/S2479,"")</f>
        <v/>
      </c>
      <c r="Y2479" s="121">
        <f>IFERROR(R2479/W2479,"")</f>
        <v/>
      </c>
      <c r="Z2479" s="121">
        <f>IFERROR(R2479/S2479*1000,"")</f>
        <v/>
      </c>
      <c r="AA2479" s="122" t="n">
        <v>2</v>
      </c>
      <c r="AB2479" s="54">
        <f>IFERROR(AA2479/W2479,"")</f>
        <v/>
      </c>
      <c r="AC2479" s="122" t="n">
        <v>0</v>
      </c>
      <c r="AD2479" s="122" t="n">
        <v>0</v>
      </c>
      <c r="AE2479" s="122" t="n">
        <v>0</v>
      </c>
      <c r="AF2479" s="122" t="n">
        <v>0</v>
      </c>
      <c r="AG2479" s="122" t="n">
        <v>0</v>
      </c>
      <c r="AH2479" s="122" t="n">
        <v>0</v>
      </c>
      <c r="AI2479" s="54">
        <f>IFERROR(AC2479/S2479,"")</f>
        <v/>
      </c>
      <c r="AJ2479" s="54">
        <f>IFERROR(AH2479/S2479,"")</f>
        <v/>
      </c>
      <c r="AK2479" s="122" t="n">
        <v>18</v>
      </c>
      <c r="AL2479" s="122" t="n">
        <v>0</v>
      </c>
      <c r="AM2479" s="124">
        <f>IFERROR(AL2479/AA2479,"")</f>
        <v/>
      </c>
      <c r="AN2479" s="125">
        <f>IFERROR(R2479/AL2479,"")</f>
        <v/>
      </c>
      <c r="AO2479" s="122" t="n">
        <v>0</v>
      </c>
      <c r="AP2479" s="54">
        <f>IFERROR(AO2479/AL2479,"")</f>
        <v/>
      </c>
      <c r="AQ2479" s="125">
        <f>IFERROR(R2479/AO2479,"")</f>
        <v/>
      </c>
      <c r="AR2479" s="122" t="n">
        <v>0</v>
      </c>
      <c r="AS2479" s="122" t="n">
        <v>0</v>
      </c>
      <c r="AT2479" s="122">
        <f>AL2479+AR2479</f>
        <v/>
      </c>
      <c r="AU2479" s="125">
        <f>IFERROR(AO2479*Assumptions!$C$26*Assumptions!$C$27*INDEX(Assumptions!$C$18:$C$21,MATCH(H2479,Assumptions!$B$18:$B$21,0)),0)</f>
        <v/>
      </c>
    </row>
    <row r="2480">
      <c r="A2480" s="120" t="n">
        <v>46248</v>
      </c>
      <c r="B2480" s="66" t="inlineStr">
        <is>
          <t>Wk 33</t>
        </is>
      </c>
      <c r="C2480" s="66" t="inlineStr">
        <is>
          <t>Fri</t>
        </is>
      </c>
      <c r="D2480" s="66" t="inlineStr">
        <is>
          <t>Programmatic</t>
        </is>
      </c>
      <c r="E2480" s="66" t="inlineStr">
        <is>
          <t>DV360</t>
        </is>
      </c>
      <c r="F2480" s="66" t="inlineStr">
        <is>
          <t>LEP_ZA_AUG26_PROG_RMKT_DYNAMIC</t>
        </is>
      </c>
      <c r="G2480" s="66" t="inlineStr">
        <is>
          <t>Dynamic Retargeting</t>
        </is>
      </c>
      <c r="H2480" s="66" t="inlineStr">
        <is>
          <t>Range</t>
        </is>
      </c>
      <c r="I2480" s="66" t="inlineStr">
        <is>
          <t>Range Offer</t>
        </is>
      </c>
      <c r="J2480" s="66" t="inlineStr">
        <is>
          <t>PROG_LAL_SEED_CONVERTERS</t>
        </is>
      </c>
      <c r="K2480" s="66" t="inlineStr">
        <is>
          <t>Lookalike</t>
        </is>
      </c>
      <c r="L2480" s="66" t="inlineStr">
        <is>
          <t>PROG_HTML5_300x250_Range_v1</t>
        </is>
      </c>
      <c r="M2480" s="66" t="inlineStr">
        <is>
          <t>HTML5 Display 300x250</t>
        </is>
      </c>
      <c r="N2480" s="66" t="inlineStr">
        <is>
          <t>Book a Lepas test drive</t>
        </is>
      </c>
      <c r="O2480" s="66" t="inlineStr">
        <is>
          <t>Auction - Lowest Cost</t>
        </is>
      </c>
      <c r="P2480" s="66" t="inlineStr">
        <is>
          <t>Conversions (CPA)</t>
        </is>
      </c>
      <c r="Q2480" s="66" t="inlineStr">
        <is>
          <t>https://www.lepas-sa.co.za/offers</t>
        </is>
      </c>
      <c r="R2480" s="121" t="n">
        <v>89.29000000000001</v>
      </c>
      <c r="S2480" s="122" t="n">
        <v>2532</v>
      </c>
      <c r="T2480" s="122" t="n">
        <v>1507</v>
      </c>
      <c r="U2480" s="123">
        <f>IFERROR(S2480/T2480,"")</f>
        <v/>
      </c>
      <c r="V2480" s="122" t="n">
        <v>6</v>
      </c>
      <c r="W2480" s="122" t="n">
        <v>4</v>
      </c>
      <c r="X2480" s="124">
        <f>IFERROR(W2480/S2480,"")</f>
        <v/>
      </c>
      <c r="Y2480" s="121">
        <f>IFERROR(R2480/W2480,"")</f>
        <v/>
      </c>
      <c r="Z2480" s="121">
        <f>IFERROR(R2480/S2480*1000,"")</f>
        <v/>
      </c>
      <c r="AA2480" s="122" t="n">
        <v>3</v>
      </c>
      <c r="AB2480" s="54">
        <f>IFERROR(AA2480/W2480,"")</f>
        <v/>
      </c>
      <c r="AC2480" s="122" t="n">
        <v>0</v>
      </c>
      <c r="AD2480" s="122" t="n">
        <v>0</v>
      </c>
      <c r="AE2480" s="122" t="n">
        <v>0</v>
      </c>
      <c r="AF2480" s="122" t="n">
        <v>0</v>
      </c>
      <c r="AG2480" s="122" t="n">
        <v>0</v>
      </c>
      <c r="AH2480" s="122" t="n">
        <v>0</v>
      </c>
      <c r="AI2480" s="54">
        <f>IFERROR(AC2480/S2480,"")</f>
        <v/>
      </c>
      <c r="AJ2480" s="54">
        <f>IFERROR(AH2480/S2480,"")</f>
        <v/>
      </c>
      <c r="AK2480" s="122" t="n">
        <v>4</v>
      </c>
      <c r="AL2480" s="122" t="n">
        <v>0</v>
      </c>
      <c r="AM2480" s="124">
        <f>IFERROR(AL2480/AA2480,"")</f>
        <v/>
      </c>
      <c r="AN2480" s="125">
        <f>IFERROR(R2480/AL2480,"")</f>
        <v/>
      </c>
      <c r="AO2480" s="122" t="n">
        <v>0</v>
      </c>
      <c r="AP2480" s="54">
        <f>IFERROR(AO2480/AL2480,"")</f>
        <v/>
      </c>
      <c r="AQ2480" s="125">
        <f>IFERROR(R2480/AO2480,"")</f>
        <v/>
      </c>
      <c r="AR2480" s="122" t="n">
        <v>0</v>
      </c>
      <c r="AS2480" s="122" t="n">
        <v>0</v>
      </c>
      <c r="AT2480" s="122">
        <f>AL2480+AR2480</f>
        <v/>
      </c>
      <c r="AU2480" s="125">
        <f>IFERROR(AO2480*Assumptions!$C$26*Assumptions!$C$27*INDEX(Assumptions!$C$18:$C$21,MATCH(H2480,Assumptions!$B$18:$B$21,0)),0)</f>
        <v/>
      </c>
    </row>
    <row r="2481">
      <c r="A2481" s="120" t="n">
        <v>46249</v>
      </c>
      <c r="B2481" s="66" t="inlineStr">
        <is>
          <t>Wk 33</t>
        </is>
      </c>
      <c r="C2481" s="66" t="inlineStr">
        <is>
          <t>Sat</t>
        </is>
      </c>
      <c r="D2481" s="66" t="inlineStr">
        <is>
          <t>Programmatic</t>
        </is>
      </c>
      <c r="E2481" s="66" t="inlineStr">
        <is>
          <t>DV360</t>
        </is>
      </c>
      <c r="F2481" s="66" t="inlineStr">
        <is>
          <t>LEP_ZA_AUG26_PROG_RMKT_DYNAMIC</t>
        </is>
      </c>
      <c r="G2481" s="66" t="inlineStr">
        <is>
          <t>Dynamic Retargeting</t>
        </is>
      </c>
      <c r="H2481" s="66" t="inlineStr">
        <is>
          <t>Range</t>
        </is>
      </c>
      <c r="I2481" s="66" t="inlineStr">
        <is>
          <t>Range Offer</t>
        </is>
      </c>
      <c r="J2481" s="66" t="inlineStr">
        <is>
          <t>PROG_LAL_SEED_CONVERTERS</t>
        </is>
      </c>
      <c r="K2481" s="66" t="inlineStr">
        <is>
          <t>Lookalike</t>
        </is>
      </c>
      <c r="L2481" s="66" t="inlineStr">
        <is>
          <t>PROG_HTML5_300x250_Range_v1</t>
        </is>
      </c>
      <c r="M2481" s="66" t="inlineStr">
        <is>
          <t>HTML5 Display 300x250</t>
        </is>
      </c>
      <c r="N2481" s="66" t="inlineStr">
        <is>
          <t>Book a Lepas test drive</t>
        </is>
      </c>
      <c r="O2481" s="66" t="inlineStr">
        <is>
          <t>Auction - Lowest Cost</t>
        </is>
      </c>
      <c r="P2481" s="66" t="inlineStr">
        <is>
          <t>Conversions (CPA)</t>
        </is>
      </c>
      <c r="Q2481" s="66" t="inlineStr">
        <is>
          <t>https://www.lepas-sa.co.za/offers</t>
        </is>
      </c>
      <c r="R2481" s="121" t="n">
        <v>94.44</v>
      </c>
      <c r="S2481" s="122" t="n">
        <v>3553</v>
      </c>
      <c r="T2481" s="122" t="n">
        <v>1427</v>
      </c>
      <c r="U2481" s="123">
        <f>IFERROR(S2481/T2481,"")</f>
        <v/>
      </c>
      <c r="V2481" s="122" t="n">
        <v>13</v>
      </c>
      <c r="W2481" s="122" t="n">
        <v>10</v>
      </c>
      <c r="X2481" s="124">
        <f>IFERROR(W2481/S2481,"")</f>
        <v/>
      </c>
      <c r="Y2481" s="121">
        <f>IFERROR(R2481/W2481,"")</f>
        <v/>
      </c>
      <c r="Z2481" s="121">
        <f>IFERROR(R2481/S2481*1000,"")</f>
        <v/>
      </c>
      <c r="AA2481" s="122" t="n">
        <v>6</v>
      </c>
      <c r="AB2481" s="54">
        <f>IFERROR(AA2481/W2481,"")</f>
        <v/>
      </c>
      <c r="AC2481" s="122" t="n">
        <v>0</v>
      </c>
      <c r="AD2481" s="122" t="n">
        <v>0</v>
      </c>
      <c r="AE2481" s="122" t="n">
        <v>0</v>
      </c>
      <c r="AF2481" s="122" t="n">
        <v>0</v>
      </c>
      <c r="AG2481" s="122" t="n">
        <v>0</v>
      </c>
      <c r="AH2481" s="122" t="n">
        <v>0</v>
      </c>
      <c r="AI2481" s="54">
        <f>IFERROR(AC2481/S2481,"")</f>
        <v/>
      </c>
      <c r="AJ2481" s="54">
        <f>IFERROR(AH2481/S2481,"")</f>
        <v/>
      </c>
      <c r="AK2481" s="122" t="n">
        <v>21</v>
      </c>
      <c r="AL2481" s="122" t="n">
        <v>0</v>
      </c>
      <c r="AM2481" s="124">
        <f>IFERROR(AL2481/AA2481,"")</f>
        <v/>
      </c>
      <c r="AN2481" s="125">
        <f>IFERROR(R2481/AL2481,"")</f>
        <v/>
      </c>
      <c r="AO2481" s="122" t="n">
        <v>0</v>
      </c>
      <c r="AP2481" s="54">
        <f>IFERROR(AO2481/AL2481,"")</f>
        <v/>
      </c>
      <c r="AQ2481" s="125">
        <f>IFERROR(R2481/AO2481,"")</f>
        <v/>
      </c>
      <c r="AR2481" s="122" t="n">
        <v>0</v>
      </c>
      <c r="AS2481" s="122" t="n">
        <v>0</v>
      </c>
      <c r="AT2481" s="122">
        <f>AL2481+AR2481</f>
        <v/>
      </c>
      <c r="AU2481" s="125">
        <f>IFERROR(AO2481*Assumptions!$C$26*Assumptions!$C$27*INDEX(Assumptions!$C$18:$C$21,MATCH(H2481,Assumptions!$B$18:$B$21,0)),0)</f>
        <v/>
      </c>
    </row>
    <row r="2482">
      <c r="A2482" s="120" t="n">
        <v>46250</v>
      </c>
      <c r="B2482" s="66" t="inlineStr">
        <is>
          <t>Wk 33</t>
        </is>
      </c>
      <c r="C2482" s="66" t="inlineStr">
        <is>
          <t>Sun</t>
        </is>
      </c>
      <c r="D2482" s="66" t="inlineStr">
        <is>
          <t>Programmatic</t>
        </is>
      </c>
      <c r="E2482" s="66" t="inlineStr">
        <is>
          <t>DV360</t>
        </is>
      </c>
      <c r="F2482" s="66" t="inlineStr">
        <is>
          <t>LEP_ZA_AUG26_PROG_RMKT_DYNAMIC</t>
        </is>
      </c>
      <c r="G2482" s="66" t="inlineStr">
        <is>
          <t>Dynamic Retargeting</t>
        </is>
      </c>
      <c r="H2482" s="66" t="inlineStr">
        <is>
          <t>Range</t>
        </is>
      </c>
      <c r="I2482" s="66" t="inlineStr">
        <is>
          <t>Range Offer</t>
        </is>
      </c>
      <c r="J2482" s="66" t="inlineStr">
        <is>
          <t>PROG_LAL_SEED_CONVERTERS</t>
        </is>
      </c>
      <c r="K2482" s="66" t="inlineStr">
        <is>
          <t>Lookalike</t>
        </is>
      </c>
      <c r="L2482" s="66" t="inlineStr">
        <is>
          <t>PROG_HTML5_300x250_Range_v1</t>
        </is>
      </c>
      <c r="M2482" s="66" t="inlineStr">
        <is>
          <t>HTML5 Display 300x250</t>
        </is>
      </c>
      <c r="N2482" s="66" t="inlineStr">
        <is>
          <t>Book a Lepas test drive</t>
        </is>
      </c>
      <c r="O2482" s="66" t="inlineStr">
        <is>
          <t>Auction - Lowest Cost</t>
        </is>
      </c>
      <c r="P2482" s="66" t="inlineStr">
        <is>
          <t>Conversions (CPA)</t>
        </is>
      </c>
      <c r="Q2482" s="66" t="inlineStr">
        <is>
          <t>https://www.lepas-sa.co.za/offers</t>
        </is>
      </c>
      <c r="R2482" s="121" t="n">
        <v>82.56</v>
      </c>
      <c r="S2482" s="122" t="n">
        <v>3503</v>
      </c>
      <c r="T2482" s="122" t="n">
        <v>2239</v>
      </c>
      <c r="U2482" s="123">
        <f>IFERROR(S2482/T2482,"")</f>
        <v/>
      </c>
      <c r="V2482" s="122" t="n">
        <v>16</v>
      </c>
      <c r="W2482" s="122" t="n">
        <v>11</v>
      </c>
      <c r="X2482" s="124">
        <f>IFERROR(W2482/S2482,"")</f>
        <v/>
      </c>
      <c r="Y2482" s="121">
        <f>IFERROR(R2482/W2482,"")</f>
        <v/>
      </c>
      <c r="Z2482" s="121">
        <f>IFERROR(R2482/S2482*1000,"")</f>
        <v/>
      </c>
      <c r="AA2482" s="122" t="n">
        <v>6</v>
      </c>
      <c r="AB2482" s="54">
        <f>IFERROR(AA2482/W2482,"")</f>
        <v/>
      </c>
      <c r="AC2482" s="122" t="n">
        <v>0</v>
      </c>
      <c r="AD2482" s="122" t="n">
        <v>0</v>
      </c>
      <c r="AE2482" s="122" t="n">
        <v>0</v>
      </c>
      <c r="AF2482" s="122" t="n">
        <v>0</v>
      </c>
      <c r="AG2482" s="122" t="n">
        <v>0</v>
      </c>
      <c r="AH2482" s="122" t="n">
        <v>0</v>
      </c>
      <c r="AI2482" s="54">
        <f>IFERROR(AC2482/S2482,"")</f>
        <v/>
      </c>
      <c r="AJ2482" s="54">
        <f>IFERROR(AH2482/S2482,"")</f>
        <v/>
      </c>
      <c r="AK2482" s="122" t="n">
        <v>9</v>
      </c>
      <c r="AL2482" s="122" t="n">
        <v>0</v>
      </c>
      <c r="AM2482" s="124">
        <f>IFERROR(AL2482/AA2482,"")</f>
        <v/>
      </c>
      <c r="AN2482" s="125">
        <f>IFERROR(R2482/AL2482,"")</f>
        <v/>
      </c>
      <c r="AO2482" s="122" t="n">
        <v>0</v>
      </c>
      <c r="AP2482" s="54">
        <f>IFERROR(AO2482/AL2482,"")</f>
        <v/>
      </c>
      <c r="AQ2482" s="125">
        <f>IFERROR(R2482/AO2482,"")</f>
        <v/>
      </c>
      <c r="AR2482" s="122" t="n">
        <v>0</v>
      </c>
      <c r="AS2482" s="122" t="n">
        <v>0</v>
      </c>
      <c r="AT2482" s="122">
        <f>AL2482+AR2482</f>
        <v/>
      </c>
      <c r="AU2482" s="125">
        <f>IFERROR(AO2482*Assumptions!$C$26*Assumptions!$C$27*INDEX(Assumptions!$C$18:$C$21,MATCH(H2482,Assumptions!$B$18:$B$21,0)),0)</f>
        <v/>
      </c>
    </row>
    <row r="2483">
      <c r="A2483" s="120" t="n">
        <v>46251</v>
      </c>
      <c r="B2483" s="66" t="inlineStr">
        <is>
          <t>Wk 34</t>
        </is>
      </c>
      <c r="C2483" s="66" t="inlineStr">
        <is>
          <t>Mon</t>
        </is>
      </c>
      <c r="D2483" s="66" t="inlineStr">
        <is>
          <t>Programmatic</t>
        </is>
      </c>
      <c r="E2483" s="66" t="inlineStr">
        <is>
          <t>DV360</t>
        </is>
      </c>
      <c r="F2483" s="66" t="inlineStr">
        <is>
          <t>LEP_ZA_AUG26_PROG_RMKT_DYNAMIC</t>
        </is>
      </c>
      <c r="G2483" s="66" t="inlineStr">
        <is>
          <t>Dynamic Retargeting</t>
        </is>
      </c>
      <c r="H2483" s="66" t="inlineStr">
        <is>
          <t>Range</t>
        </is>
      </c>
      <c r="I2483" s="66" t="inlineStr">
        <is>
          <t>Range Offer</t>
        </is>
      </c>
      <c r="J2483" s="66" t="inlineStr">
        <is>
          <t>PROG_LAL_SEED_CONVERTERS</t>
        </is>
      </c>
      <c r="K2483" s="66" t="inlineStr">
        <is>
          <t>Lookalike</t>
        </is>
      </c>
      <c r="L2483" s="66" t="inlineStr">
        <is>
          <t>PROG_HTML5_300x250_Range_v1</t>
        </is>
      </c>
      <c r="M2483" s="66" t="inlineStr">
        <is>
          <t>HTML5 Display 300x250</t>
        </is>
      </c>
      <c r="N2483" s="66" t="inlineStr">
        <is>
          <t>Book a Lepas test drive</t>
        </is>
      </c>
      <c r="O2483" s="66" t="inlineStr">
        <is>
          <t>Auction - Lowest Cost</t>
        </is>
      </c>
      <c r="P2483" s="66" t="inlineStr">
        <is>
          <t>Conversions (CPA)</t>
        </is>
      </c>
      <c r="Q2483" s="66" t="inlineStr">
        <is>
          <t>https://www.lepas-sa.co.za/offers</t>
        </is>
      </c>
      <c r="R2483" s="121" t="n">
        <v>82.5</v>
      </c>
      <c r="S2483" s="122" t="n">
        <v>2646</v>
      </c>
      <c r="T2483" s="122" t="n">
        <v>1585</v>
      </c>
      <c r="U2483" s="123">
        <f>IFERROR(S2483/T2483,"")</f>
        <v/>
      </c>
      <c r="V2483" s="122" t="n">
        <v>6</v>
      </c>
      <c r="W2483" s="122" t="n">
        <v>4</v>
      </c>
      <c r="X2483" s="124">
        <f>IFERROR(W2483/S2483,"")</f>
        <v/>
      </c>
      <c r="Y2483" s="121">
        <f>IFERROR(R2483/W2483,"")</f>
        <v/>
      </c>
      <c r="Z2483" s="121">
        <f>IFERROR(R2483/S2483*1000,"")</f>
        <v/>
      </c>
      <c r="AA2483" s="122" t="n">
        <v>2</v>
      </c>
      <c r="AB2483" s="54">
        <f>IFERROR(AA2483/W2483,"")</f>
        <v/>
      </c>
      <c r="AC2483" s="122" t="n">
        <v>0</v>
      </c>
      <c r="AD2483" s="122" t="n">
        <v>0</v>
      </c>
      <c r="AE2483" s="122" t="n">
        <v>0</v>
      </c>
      <c r="AF2483" s="122" t="n">
        <v>0</v>
      </c>
      <c r="AG2483" s="122" t="n">
        <v>0</v>
      </c>
      <c r="AH2483" s="122" t="n">
        <v>0</v>
      </c>
      <c r="AI2483" s="54">
        <f>IFERROR(AC2483/S2483,"")</f>
        <v/>
      </c>
      <c r="AJ2483" s="54">
        <f>IFERROR(AH2483/S2483,"")</f>
        <v/>
      </c>
      <c r="AK2483" s="122" t="n">
        <v>4</v>
      </c>
      <c r="AL2483" s="122" t="n">
        <v>0</v>
      </c>
      <c r="AM2483" s="124">
        <f>IFERROR(AL2483/AA2483,"")</f>
        <v/>
      </c>
      <c r="AN2483" s="125">
        <f>IFERROR(R2483/AL2483,"")</f>
        <v/>
      </c>
      <c r="AO2483" s="122" t="n">
        <v>0</v>
      </c>
      <c r="AP2483" s="54">
        <f>IFERROR(AO2483/AL2483,"")</f>
        <v/>
      </c>
      <c r="AQ2483" s="125">
        <f>IFERROR(R2483/AO2483,"")</f>
        <v/>
      </c>
      <c r="AR2483" s="122" t="n">
        <v>0</v>
      </c>
      <c r="AS2483" s="122" t="n">
        <v>0</v>
      </c>
      <c r="AT2483" s="122">
        <f>AL2483+AR2483</f>
        <v/>
      </c>
      <c r="AU2483" s="125">
        <f>IFERROR(AO2483*Assumptions!$C$26*Assumptions!$C$27*INDEX(Assumptions!$C$18:$C$21,MATCH(H2483,Assumptions!$B$18:$B$21,0)),0)</f>
        <v/>
      </c>
    </row>
    <row r="2484">
      <c r="A2484" s="120" t="n">
        <v>46252</v>
      </c>
      <c r="B2484" s="66" t="inlineStr">
        <is>
          <t>Wk 34</t>
        </is>
      </c>
      <c r="C2484" s="66" t="inlineStr">
        <is>
          <t>Tue</t>
        </is>
      </c>
      <c r="D2484" s="66" t="inlineStr">
        <is>
          <t>Programmatic</t>
        </is>
      </c>
      <c r="E2484" s="66" t="inlineStr">
        <is>
          <t>DV360</t>
        </is>
      </c>
      <c r="F2484" s="66" t="inlineStr">
        <is>
          <t>LEP_ZA_AUG26_PROG_RMKT_DYNAMIC</t>
        </is>
      </c>
      <c r="G2484" s="66" t="inlineStr">
        <is>
          <t>Dynamic Retargeting</t>
        </is>
      </c>
      <c r="H2484" s="66" t="inlineStr">
        <is>
          <t>Range</t>
        </is>
      </c>
      <c r="I2484" s="66" t="inlineStr">
        <is>
          <t>Range Offer</t>
        </is>
      </c>
      <c r="J2484" s="66" t="inlineStr">
        <is>
          <t>PROG_LAL_SEED_CONVERTERS</t>
        </is>
      </c>
      <c r="K2484" s="66" t="inlineStr">
        <is>
          <t>Lookalike</t>
        </is>
      </c>
      <c r="L2484" s="66" t="inlineStr">
        <is>
          <t>PROG_HTML5_300x250_Range_v1</t>
        </is>
      </c>
      <c r="M2484" s="66" t="inlineStr">
        <is>
          <t>HTML5 Display 300x250</t>
        </is>
      </c>
      <c r="N2484" s="66" t="inlineStr">
        <is>
          <t>Book a Lepas test drive</t>
        </is>
      </c>
      <c r="O2484" s="66" t="inlineStr">
        <is>
          <t>Auction - Lowest Cost</t>
        </is>
      </c>
      <c r="P2484" s="66" t="inlineStr">
        <is>
          <t>Conversions (CPA)</t>
        </is>
      </c>
      <c r="Q2484" s="66" t="inlineStr">
        <is>
          <t>https://www.lepas-sa.co.za/offers</t>
        </is>
      </c>
      <c r="R2484" s="121" t="n">
        <v>81.16</v>
      </c>
      <c r="S2484" s="122" t="n">
        <v>2985</v>
      </c>
      <c r="T2484" s="122" t="n">
        <v>1976</v>
      </c>
      <c r="U2484" s="123">
        <f>IFERROR(S2484/T2484,"")</f>
        <v/>
      </c>
      <c r="V2484" s="122" t="n">
        <v>7</v>
      </c>
      <c r="W2484" s="122" t="n">
        <v>6</v>
      </c>
      <c r="X2484" s="124">
        <f>IFERROR(W2484/S2484,"")</f>
        <v/>
      </c>
      <c r="Y2484" s="121">
        <f>IFERROR(R2484/W2484,"")</f>
        <v/>
      </c>
      <c r="Z2484" s="121">
        <f>IFERROR(R2484/S2484*1000,"")</f>
        <v/>
      </c>
      <c r="AA2484" s="122" t="n">
        <v>4</v>
      </c>
      <c r="AB2484" s="54">
        <f>IFERROR(AA2484/W2484,"")</f>
        <v/>
      </c>
      <c r="AC2484" s="122" t="n">
        <v>0</v>
      </c>
      <c r="AD2484" s="122" t="n">
        <v>0</v>
      </c>
      <c r="AE2484" s="122" t="n">
        <v>0</v>
      </c>
      <c r="AF2484" s="122" t="n">
        <v>0</v>
      </c>
      <c r="AG2484" s="122" t="n">
        <v>0</v>
      </c>
      <c r="AH2484" s="122" t="n">
        <v>0</v>
      </c>
      <c r="AI2484" s="54">
        <f>IFERROR(AC2484/S2484,"")</f>
        <v/>
      </c>
      <c r="AJ2484" s="54">
        <f>IFERROR(AH2484/S2484,"")</f>
        <v/>
      </c>
      <c r="AK2484" s="122" t="n">
        <v>4</v>
      </c>
      <c r="AL2484" s="122" t="n">
        <v>0</v>
      </c>
      <c r="AM2484" s="124">
        <f>IFERROR(AL2484/AA2484,"")</f>
        <v/>
      </c>
      <c r="AN2484" s="125">
        <f>IFERROR(R2484/AL2484,"")</f>
        <v/>
      </c>
      <c r="AO2484" s="122" t="n">
        <v>0</v>
      </c>
      <c r="AP2484" s="54">
        <f>IFERROR(AO2484/AL2484,"")</f>
        <v/>
      </c>
      <c r="AQ2484" s="125">
        <f>IFERROR(R2484/AO2484,"")</f>
        <v/>
      </c>
      <c r="AR2484" s="122" t="n">
        <v>0</v>
      </c>
      <c r="AS2484" s="122" t="n">
        <v>0</v>
      </c>
      <c r="AT2484" s="122">
        <f>AL2484+AR2484</f>
        <v/>
      </c>
      <c r="AU2484" s="125">
        <f>IFERROR(AO2484*Assumptions!$C$26*Assumptions!$C$27*INDEX(Assumptions!$C$18:$C$21,MATCH(H2484,Assumptions!$B$18:$B$21,0)),0)</f>
        <v/>
      </c>
    </row>
    <row r="2485">
      <c r="A2485" s="120" t="n">
        <v>46253</v>
      </c>
      <c r="B2485" s="66" t="inlineStr">
        <is>
          <t>Wk 34</t>
        </is>
      </c>
      <c r="C2485" s="66" t="inlineStr">
        <is>
          <t>Wed</t>
        </is>
      </c>
      <c r="D2485" s="66" t="inlineStr">
        <is>
          <t>Programmatic</t>
        </is>
      </c>
      <c r="E2485" s="66" t="inlineStr">
        <is>
          <t>DV360</t>
        </is>
      </c>
      <c r="F2485" s="66" t="inlineStr">
        <is>
          <t>LEP_ZA_AUG26_PROG_RMKT_DYNAMIC</t>
        </is>
      </c>
      <c r="G2485" s="66" t="inlineStr">
        <is>
          <t>Dynamic Retargeting</t>
        </is>
      </c>
      <c r="H2485" s="66" t="inlineStr">
        <is>
          <t>Range</t>
        </is>
      </c>
      <c r="I2485" s="66" t="inlineStr">
        <is>
          <t>Range Offer</t>
        </is>
      </c>
      <c r="J2485" s="66" t="inlineStr">
        <is>
          <t>PROG_LAL_SEED_CONVERTERS</t>
        </is>
      </c>
      <c r="K2485" s="66" t="inlineStr">
        <is>
          <t>Lookalike</t>
        </is>
      </c>
      <c r="L2485" s="66" t="inlineStr">
        <is>
          <t>PROG_HTML5_300x250_Range_v1</t>
        </is>
      </c>
      <c r="M2485" s="66" t="inlineStr">
        <is>
          <t>HTML5 Display 300x250</t>
        </is>
      </c>
      <c r="N2485" s="66" t="inlineStr">
        <is>
          <t>Book a Lepas test drive</t>
        </is>
      </c>
      <c r="O2485" s="66" t="inlineStr">
        <is>
          <t>Auction - Lowest Cost</t>
        </is>
      </c>
      <c r="P2485" s="66" t="inlineStr">
        <is>
          <t>Conversions (CPA)</t>
        </is>
      </c>
      <c r="Q2485" s="66" t="inlineStr">
        <is>
          <t>https://www.lepas-sa.co.za/offers</t>
        </is>
      </c>
      <c r="R2485" s="121" t="n">
        <v>85.73999999999999</v>
      </c>
      <c r="S2485" s="122" t="n">
        <v>3511</v>
      </c>
      <c r="T2485" s="122" t="n">
        <v>1639</v>
      </c>
      <c r="U2485" s="123">
        <f>IFERROR(S2485/T2485,"")</f>
        <v/>
      </c>
      <c r="V2485" s="122" t="n">
        <v>14</v>
      </c>
      <c r="W2485" s="122" t="n">
        <v>10</v>
      </c>
      <c r="X2485" s="124">
        <f>IFERROR(W2485/S2485,"")</f>
        <v/>
      </c>
      <c r="Y2485" s="121">
        <f>IFERROR(R2485/W2485,"")</f>
        <v/>
      </c>
      <c r="Z2485" s="121">
        <f>IFERROR(R2485/S2485*1000,"")</f>
        <v/>
      </c>
      <c r="AA2485" s="122" t="n">
        <v>6</v>
      </c>
      <c r="AB2485" s="54">
        <f>IFERROR(AA2485/W2485,"")</f>
        <v/>
      </c>
      <c r="AC2485" s="122" t="n">
        <v>0</v>
      </c>
      <c r="AD2485" s="122" t="n">
        <v>0</v>
      </c>
      <c r="AE2485" s="122" t="n">
        <v>0</v>
      </c>
      <c r="AF2485" s="122" t="n">
        <v>0</v>
      </c>
      <c r="AG2485" s="122" t="n">
        <v>0</v>
      </c>
      <c r="AH2485" s="122" t="n">
        <v>0</v>
      </c>
      <c r="AI2485" s="54">
        <f>IFERROR(AC2485/S2485,"")</f>
        <v/>
      </c>
      <c r="AJ2485" s="54">
        <f>IFERROR(AH2485/S2485,"")</f>
        <v/>
      </c>
      <c r="AK2485" s="122" t="n">
        <v>6</v>
      </c>
      <c r="AL2485" s="122" t="n">
        <v>1</v>
      </c>
      <c r="AM2485" s="124">
        <f>IFERROR(AL2485/AA2485,"")</f>
        <v/>
      </c>
      <c r="AN2485" s="125">
        <f>IFERROR(R2485/AL2485,"")</f>
        <v/>
      </c>
      <c r="AO2485" s="122" t="n">
        <v>0</v>
      </c>
      <c r="AP2485" s="54">
        <f>IFERROR(AO2485/AL2485,"")</f>
        <v/>
      </c>
      <c r="AQ2485" s="125">
        <f>IFERROR(R2485/AO2485,"")</f>
        <v/>
      </c>
      <c r="AR2485" s="122" t="n">
        <v>2</v>
      </c>
      <c r="AS2485" s="122" t="n">
        <v>1</v>
      </c>
      <c r="AT2485" s="122">
        <f>AL2485+AR2485</f>
        <v/>
      </c>
      <c r="AU2485" s="125">
        <f>IFERROR(AO2485*Assumptions!$C$26*Assumptions!$C$27*INDEX(Assumptions!$C$18:$C$21,MATCH(H2485,Assumptions!$B$18:$B$21,0)),0)</f>
        <v/>
      </c>
    </row>
    <row r="2486">
      <c r="A2486" s="120" t="n">
        <v>46254</v>
      </c>
      <c r="B2486" s="66" t="inlineStr">
        <is>
          <t>Wk 34</t>
        </is>
      </c>
      <c r="C2486" s="66" t="inlineStr">
        <is>
          <t>Thu</t>
        </is>
      </c>
      <c r="D2486" s="66" t="inlineStr">
        <is>
          <t>Programmatic</t>
        </is>
      </c>
      <c r="E2486" s="66" t="inlineStr">
        <is>
          <t>DV360</t>
        </is>
      </c>
      <c r="F2486" s="66" t="inlineStr">
        <is>
          <t>LEP_ZA_AUG26_PROG_RMKT_DYNAMIC</t>
        </is>
      </c>
      <c r="G2486" s="66" t="inlineStr">
        <is>
          <t>Dynamic Retargeting</t>
        </is>
      </c>
      <c r="H2486" s="66" t="inlineStr">
        <is>
          <t>Range</t>
        </is>
      </c>
      <c r="I2486" s="66" t="inlineStr">
        <is>
          <t>Range Offer</t>
        </is>
      </c>
      <c r="J2486" s="66" t="inlineStr">
        <is>
          <t>PROG_LAL_SEED_CONVERTERS</t>
        </is>
      </c>
      <c r="K2486" s="66" t="inlineStr">
        <is>
          <t>Lookalike</t>
        </is>
      </c>
      <c r="L2486" s="66" t="inlineStr">
        <is>
          <t>PROG_HTML5_300x250_Range_v1</t>
        </is>
      </c>
      <c r="M2486" s="66" t="inlineStr">
        <is>
          <t>HTML5 Display 300x250</t>
        </is>
      </c>
      <c r="N2486" s="66" t="inlineStr">
        <is>
          <t>Book a Lepas test drive</t>
        </is>
      </c>
      <c r="O2486" s="66" t="inlineStr">
        <is>
          <t>Auction - Lowest Cost</t>
        </is>
      </c>
      <c r="P2486" s="66" t="inlineStr">
        <is>
          <t>Conversions (CPA)</t>
        </is>
      </c>
      <c r="Q2486" s="66" t="inlineStr">
        <is>
          <t>https://www.lepas-sa.co.za/offers</t>
        </is>
      </c>
      <c r="R2486" s="121" t="n">
        <v>104.68</v>
      </c>
      <c r="S2486" s="122" t="n">
        <v>4263</v>
      </c>
      <c r="T2486" s="122" t="n">
        <v>1843</v>
      </c>
      <c r="U2486" s="123">
        <f>IFERROR(S2486/T2486,"")</f>
        <v/>
      </c>
      <c r="V2486" s="122" t="n">
        <v>4</v>
      </c>
      <c r="W2486" s="122" t="n">
        <v>4</v>
      </c>
      <c r="X2486" s="124">
        <f>IFERROR(W2486/S2486,"")</f>
        <v/>
      </c>
      <c r="Y2486" s="121">
        <f>IFERROR(R2486/W2486,"")</f>
        <v/>
      </c>
      <c r="Z2486" s="121">
        <f>IFERROR(R2486/S2486*1000,"")</f>
        <v/>
      </c>
      <c r="AA2486" s="122" t="n">
        <v>3</v>
      </c>
      <c r="AB2486" s="54">
        <f>IFERROR(AA2486/W2486,"")</f>
        <v/>
      </c>
      <c r="AC2486" s="122" t="n">
        <v>0</v>
      </c>
      <c r="AD2486" s="122" t="n">
        <v>0</v>
      </c>
      <c r="AE2486" s="122" t="n">
        <v>0</v>
      </c>
      <c r="AF2486" s="122" t="n">
        <v>0</v>
      </c>
      <c r="AG2486" s="122" t="n">
        <v>0</v>
      </c>
      <c r="AH2486" s="122" t="n">
        <v>0</v>
      </c>
      <c r="AI2486" s="54">
        <f>IFERROR(AC2486/S2486,"")</f>
        <v/>
      </c>
      <c r="AJ2486" s="54">
        <f>IFERROR(AH2486/S2486,"")</f>
        <v/>
      </c>
      <c r="AK2486" s="122" t="n">
        <v>16</v>
      </c>
      <c r="AL2486" s="122" t="n">
        <v>0</v>
      </c>
      <c r="AM2486" s="124">
        <f>IFERROR(AL2486/AA2486,"")</f>
        <v/>
      </c>
      <c r="AN2486" s="125">
        <f>IFERROR(R2486/AL2486,"")</f>
        <v/>
      </c>
      <c r="AO2486" s="122" t="n">
        <v>0</v>
      </c>
      <c r="AP2486" s="54">
        <f>IFERROR(AO2486/AL2486,"")</f>
        <v/>
      </c>
      <c r="AQ2486" s="125">
        <f>IFERROR(R2486/AO2486,"")</f>
        <v/>
      </c>
      <c r="AR2486" s="122" t="n">
        <v>0</v>
      </c>
      <c r="AS2486" s="122" t="n">
        <v>0</v>
      </c>
      <c r="AT2486" s="122">
        <f>AL2486+AR2486</f>
        <v/>
      </c>
      <c r="AU2486" s="125">
        <f>IFERROR(AO2486*Assumptions!$C$26*Assumptions!$C$27*INDEX(Assumptions!$C$18:$C$21,MATCH(H2486,Assumptions!$B$18:$B$21,0)),0)</f>
        <v/>
      </c>
    </row>
    <row r="2487">
      <c r="A2487" s="120" t="n">
        <v>46255</v>
      </c>
      <c r="B2487" s="66" t="inlineStr">
        <is>
          <t>Wk 34</t>
        </is>
      </c>
      <c r="C2487" s="66" t="inlineStr">
        <is>
          <t>Fri</t>
        </is>
      </c>
      <c r="D2487" s="66" t="inlineStr">
        <is>
          <t>Programmatic</t>
        </is>
      </c>
      <c r="E2487" s="66" t="inlineStr">
        <is>
          <t>DV360</t>
        </is>
      </c>
      <c r="F2487" s="66" t="inlineStr">
        <is>
          <t>LEP_ZA_AUG26_PROG_RMKT_DYNAMIC</t>
        </is>
      </c>
      <c r="G2487" s="66" t="inlineStr">
        <is>
          <t>Dynamic Retargeting</t>
        </is>
      </c>
      <c r="H2487" s="66" t="inlineStr">
        <is>
          <t>Range</t>
        </is>
      </c>
      <c r="I2487" s="66" t="inlineStr">
        <is>
          <t>Range Offer</t>
        </is>
      </c>
      <c r="J2487" s="66" t="inlineStr">
        <is>
          <t>PROG_LAL_SEED_CONVERTERS</t>
        </is>
      </c>
      <c r="K2487" s="66" t="inlineStr">
        <is>
          <t>Lookalike</t>
        </is>
      </c>
      <c r="L2487" s="66" t="inlineStr">
        <is>
          <t>PROG_HTML5_300x250_Range_v1</t>
        </is>
      </c>
      <c r="M2487" s="66" t="inlineStr">
        <is>
          <t>HTML5 Display 300x250</t>
        </is>
      </c>
      <c r="N2487" s="66" t="inlineStr">
        <is>
          <t>Book a Lepas test drive</t>
        </is>
      </c>
      <c r="O2487" s="66" t="inlineStr">
        <is>
          <t>Auction - Lowest Cost</t>
        </is>
      </c>
      <c r="P2487" s="66" t="inlineStr">
        <is>
          <t>Conversions (CPA)</t>
        </is>
      </c>
      <c r="Q2487" s="66" t="inlineStr">
        <is>
          <t>https://www.lepas-sa.co.za/offers</t>
        </is>
      </c>
      <c r="R2487" s="121" t="n">
        <v>90.23999999999999</v>
      </c>
      <c r="S2487" s="122" t="n">
        <v>2995</v>
      </c>
      <c r="T2487" s="122" t="n">
        <v>1313</v>
      </c>
      <c r="U2487" s="123">
        <f>IFERROR(S2487/T2487,"")</f>
        <v/>
      </c>
      <c r="V2487" s="122" t="n">
        <v>13</v>
      </c>
      <c r="W2487" s="122" t="n">
        <v>10</v>
      </c>
      <c r="X2487" s="124">
        <f>IFERROR(W2487/S2487,"")</f>
        <v/>
      </c>
      <c r="Y2487" s="121">
        <f>IFERROR(R2487/W2487,"")</f>
        <v/>
      </c>
      <c r="Z2487" s="121">
        <f>IFERROR(R2487/S2487*1000,"")</f>
        <v/>
      </c>
      <c r="AA2487" s="122" t="n">
        <v>7</v>
      </c>
      <c r="AB2487" s="54">
        <f>IFERROR(AA2487/W2487,"")</f>
        <v/>
      </c>
      <c r="AC2487" s="122" t="n">
        <v>0</v>
      </c>
      <c r="AD2487" s="122" t="n">
        <v>0</v>
      </c>
      <c r="AE2487" s="122" t="n">
        <v>0</v>
      </c>
      <c r="AF2487" s="122" t="n">
        <v>0</v>
      </c>
      <c r="AG2487" s="122" t="n">
        <v>0</v>
      </c>
      <c r="AH2487" s="122" t="n">
        <v>0</v>
      </c>
      <c r="AI2487" s="54">
        <f>IFERROR(AC2487/S2487,"")</f>
        <v/>
      </c>
      <c r="AJ2487" s="54">
        <f>IFERROR(AH2487/S2487,"")</f>
        <v/>
      </c>
      <c r="AK2487" s="122" t="n">
        <v>12</v>
      </c>
      <c r="AL2487" s="122" t="n">
        <v>0</v>
      </c>
      <c r="AM2487" s="124">
        <f>IFERROR(AL2487/AA2487,"")</f>
        <v/>
      </c>
      <c r="AN2487" s="125">
        <f>IFERROR(R2487/AL2487,"")</f>
        <v/>
      </c>
      <c r="AO2487" s="122" t="n">
        <v>0</v>
      </c>
      <c r="AP2487" s="54">
        <f>IFERROR(AO2487/AL2487,"")</f>
        <v/>
      </c>
      <c r="AQ2487" s="125">
        <f>IFERROR(R2487/AO2487,"")</f>
        <v/>
      </c>
      <c r="AR2487" s="122" t="n">
        <v>0</v>
      </c>
      <c r="AS2487" s="122" t="n">
        <v>0</v>
      </c>
      <c r="AT2487" s="122">
        <f>AL2487+AR2487</f>
        <v/>
      </c>
      <c r="AU2487" s="125">
        <f>IFERROR(AO2487*Assumptions!$C$26*Assumptions!$C$27*INDEX(Assumptions!$C$18:$C$21,MATCH(H2487,Assumptions!$B$18:$B$21,0)),0)</f>
        <v/>
      </c>
    </row>
    <row r="2488">
      <c r="A2488" s="120" t="n">
        <v>46256</v>
      </c>
      <c r="B2488" s="66" t="inlineStr">
        <is>
          <t>Wk 34</t>
        </is>
      </c>
      <c r="C2488" s="66" t="inlineStr">
        <is>
          <t>Sat</t>
        </is>
      </c>
      <c r="D2488" s="66" t="inlineStr">
        <is>
          <t>Programmatic</t>
        </is>
      </c>
      <c r="E2488" s="66" t="inlineStr">
        <is>
          <t>DV360</t>
        </is>
      </c>
      <c r="F2488" s="66" t="inlineStr">
        <is>
          <t>LEP_ZA_AUG26_PROG_RMKT_DYNAMIC</t>
        </is>
      </c>
      <c r="G2488" s="66" t="inlineStr">
        <is>
          <t>Dynamic Retargeting</t>
        </is>
      </c>
      <c r="H2488" s="66" t="inlineStr">
        <is>
          <t>Range</t>
        </is>
      </c>
      <c r="I2488" s="66" t="inlineStr">
        <is>
          <t>Range Offer</t>
        </is>
      </c>
      <c r="J2488" s="66" t="inlineStr">
        <is>
          <t>PROG_LAL_SEED_CONVERTERS</t>
        </is>
      </c>
      <c r="K2488" s="66" t="inlineStr">
        <is>
          <t>Lookalike</t>
        </is>
      </c>
      <c r="L2488" s="66" t="inlineStr">
        <is>
          <t>PROG_HTML5_300x250_Range_v1</t>
        </is>
      </c>
      <c r="M2488" s="66" t="inlineStr">
        <is>
          <t>HTML5 Display 300x250</t>
        </is>
      </c>
      <c r="N2488" s="66" t="inlineStr">
        <is>
          <t>Book a Lepas test drive</t>
        </is>
      </c>
      <c r="O2488" s="66" t="inlineStr">
        <is>
          <t>Auction - Lowest Cost</t>
        </is>
      </c>
      <c r="P2488" s="66" t="inlineStr">
        <is>
          <t>Conversions (CPA)</t>
        </is>
      </c>
      <c r="Q2488" s="66" t="inlineStr">
        <is>
          <t>https://www.lepas-sa.co.za/offers</t>
        </is>
      </c>
      <c r="R2488" s="121" t="n">
        <v>100.68</v>
      </c>
      <c r="S2488" s="122" t="n">
        <v>2427</v>
      </c>
      <c r="T2488" s="122" t="n">
        <v>949</v>
      </c>
      <c r="U2488" s="123">
        <f>IFERROR(S2488/T2488,"")</f>
        <v/>
      </c>
      <c r="V2488" s="122" t="n">
        <v>6</v>
      </c>
      <c r="W2488" s="122" t="n">
        <v>5</v>
      </c>
      <c r="X2488" s="124">
        <f>IFERROR(W2488/S2488,"")</f>
        <v/>
      </c>
      <c r="Y2488" s="121">
        <f>IFERROR(R2488/W2488,"")</f>
        <v/>
      </c>
      <c r="Z2488" s="121">
        <f>IFERROR(R2488/S2488*1000,"")</f>
        <v/>
      </c>
      <c r="AA2488" s="122" t="n">
        <v>3</v>
      </c>
      <c r="AB2488" s="54">
        <f>IFERROR(AA2488/W2488,"")</f>
        <v/>
      </c>
      <c r="AC2488" s="122" t="n">
        <v>0</v>
      </c>
      <c r="AD2488" s="122" t="n">
        <v>0</v>
      </c>
      <c r="AE2488" s="122" t="n">
        <v>0</v>
      </c>
      <c r="AF2488" s="122" t="n">
        <v>0</v>
      </c>
      <c r="AG2488" s="122" t="n">
        <v>0</v>
      </c>
      <c r="AH2488" s="122" t="n">
        <v>0</v>
      </c>
      <c r="AI2488" s="54">
        <f>IFERROR(AC2488/S2488,"")</f>
        <v/>
      </c>
      <c r="AJ2488" s="54">
        <f>IFERROR(AH2488/S2488,"")</f>
        <v/>
      </c>
      <c r="AK2488" s="122" t="n">
        <v>8</v>
      </c>
      <c r="AL2488" s="122" t="n">
        <v>0</v>
      </c>
      <c r="AM2488" s="124">
        <f>IFERROR(AL2488/AA2488,"")</f>
        <v/>
      </c>
      <c r="AN2488" s="125">
        <f>IFERROR(R2488/AL2488,"")</f>
        <v/>
      </c>
      <c r="AO2488" s="122" t="n">
        <v>0</v>
      </c>
      <c r="AP2488" s="54">
        <f>IFERROR(AO2488/AL2488,"")</f>
        <v/>
      </c>
      <c r="AQ2488" s="125">
        <f>IFERROR(R2488/AO2488,"")</f>
        <v/>
      </c>
      <c r="AR2488" s="122" t="n">
        <v>0</v>
      </c>
      <c r="AS2488" s="122" t="n">
        <v>0</v>
      </c>
      <c r="AT2488" s="122">
        <f>AL2488+AR2488</f>
        <v/>
      </c>
      <c r="AU2488" s="125">
        <f>IFERROR(AO2488*Assumptions!$C$26*Assumptions!$C$27*INDEX(Assumptions!$C$18:$C$21,MATCH(H2488,Assumptions!$B$18:$B$21,0)),0)</f>
        <v/>
      </c>
    </row>
    <row r="2489">
      <c r="A2489" s="120" t="n">
        <v>46257</v>
      </c>
      <c r="B2489" s="66" t="inlineStr">
        <is>
          <t>Wk 34</t>
        </is>
      </c>
      <c r="C2489" s="66" t="inlineStr">
        <is>
          <t>Sun</t>
        </is>
      </c>
      <c r="D2489" s="66" t="inlineStr">
        <is>
          <t>Programmatic</t>
        </is>
      </c>
      <c r="E2489" s="66" t="inlineStr">
        <is>
          <t>DV360</t>
        </is>
      </c>
      <c r="F2489" s="66" t="inlineStr">
        <is>
          <t>LEP_ZA_AUG26_PROG_RMKT_DYNAMIC</t>
        </is>
      </c>
      <c r="G2489" s="66" t="inlineStr">
        <is>
          <t>Dynamic Retargeting</t>
        </is>
      </c>
      <c r="H2489" s="66" t="inlineStr">
        <is>
          <t>Range</t>
        </is>
      </c>
      <c r="I2489" s="66" t="inlineStr">
        <is>
          <t>Range Offer</t>
        </is>
      </c>
      <c r="J2489" s="66" t="inlineStr">
        <is>
          <t>PROG_LAL_SEED_CONVERTERS</t>
        </is>
      </c>
      <c r="K2489" s="66" t="inlineStr">
        <is>
          <t>Lookalike</t>
        </is>
      </c>
      <c r="L2489" s="66" t="inlineStr">
        <is>
          <t>PROG_HTML5_300x250_Range_v1</t>
        </is>
      </c>
      <c r="M2489" s="66" t="inlineStr">
        <is>
          <t>HTML5 Display 300x250</t>
        </is>
      </c>
      <c r="N2489" s="66" t="inlineStr">
        <is>
          <t>Book a Lepas test drive</t>
        </is>
      </c>
      <c r="O2489" s="66" t="inlineStr">
        <is>
          <t>Auction - Lowest Cost</t>
        </is>
      </c>
      <c r="P2489" s="66" t="inlineStr">
        <is>
          <t>Conversions (CPA)</t>
        </is>
      </c>
      <c r="Q2489" s="66" t="inlineStr">
        <is>
          <t>https://www.lepas-sa.co.za/offers</t>
        </is>
      </c>
      <c r="R2489" s="121" t="n">
        <v>74.61</v>
      </c>
      <c r="S2489" s="122" t="n">
        <v>2238</v>
      </c>
      <c r="T2489" s="122" t="n">
        <v>1266</v>
      </c>
      <c r="U2489" s="123">
        <f>IFERROR(S2489/T2489,"")</f>
        <v/>
      </c>
      <c r="V2489" s="122" t="n">
        <v>5</v>
      </c>
      <c r="W2489" s="122" t="n">
        <v>4</v>
      </c>
      <c r="X2489" s="124">
        <f>IFERROR(W2489/S2489,"")</f>
        <v/>
      </c>
      <c r="Y2489" s="121">
        <f>IFERROR(R2489/W2489,"")</f>
        <v/>
      </c>
      <c r="Z2489" s="121">
        <f>IFERROR(R2489/S2489*1000,"")</f>
        <v/>
      </c>
      <c r="AA2489" s="122" t="n">
        <v>2</v>
      </c>
      <c r="AB2489" s="54">
        <f>IFERROR(AA2489/W2489,"")</f>
        <v/>
      </c>
      <c r="AC2489" s="122" t="n">
        <v>0</v>
      </c>
      <c r="AD2489" s="122" t="n">
        <v>0</v>
      </c>
      <c r="AE2489" s="122" t="n">
        <v>0</v>
      </c>
      <c r="AF2489" s="122" t="n">
        <v>0</v>
      </c>
      <c r="AG2489" s="122" t="n">
        <v>0</v>
      </c>
      <c r="AH2489" s="122" t="n">
        <v>0</v>
      </c>
      <c r="AI2489" s="54">
        <f>IFERROR(AC2489/S2489,"")</f>
        <v/>
      </c>
      <c r="AJ2489" s="54">
        <f>IFERROR(AH2489/S2489,"")</f>
        <v/>
      </c>
      <c r="AK2489" s="122" t="n">
        <v>11</v>
      </c>
      <c r="AL2489" s="122" t="n">
        <v>0</v>
      </c>
      <c r="AM2489" s="124">
        <f>IFERROR(AL2489/AA2489,"")</f>
        <v/>
      </c>
      <c r="AN2489" s="125">
        <f>IFERROR(R2489/AL2489,"")</f>
        <v/>
      </c>
      <c r="AO2489" s="122" t="n">
        <v>0</v>
      </c>
      <c r="AP2489" s="54">
        <f>IFERROR(AO2489/AL2489,"")</f>
        <v/>
      </c>
      <c r="AQ2489" s="125">
        <f>IFERROR(R2489/AO2489,"")</f>
        <v/>
      </c>
      <c r="AR2489" s="122" t="n">
        <v>0</v>
      </c>
      <c r="AS2489" s="122" t="n">
        <v>0</v>
      </c>
      <c r="AT2489" s="122">
        <f>AL2489+AR2489</f>
        <v/>
      </c>
      <c r="AU2489" s="125">
        <f>IFERROR(AO2489*Assumptions!$C$26*Assumptions!$C$27*INDEX(Assumptions!$C$18:$C$21,MATCH(H2489,Assumptions!$B$18:$B$21,0)),0)</f>
        <v/>
      </c>
    </row>
    <row r="2490">
      <c r="A2490" s="120" t="n">
        <v>46258</v>
      </c>
      <c r="B2490" s="66" t="inlineStr">
        <is>
          <t>Wk 35</t>
        </is>
      </c>
      <c r="C2490" s="66" t="inlineStr">
        <is>
          <t>Mon</t>
        </is>
      </c>
      <c r="D2490" s="66" t="inlineStr">
        <is>
          <t>Programmatic</t>
        </is>
      </c>
      <c r="E2490" s="66" t="inlineStr">
        <is>
          <t>DV360</t>
        </is>
      </c>
      <c r="F2490" s="66" t="inlineStr">
        <is>
          <t>LEP_ZA_AUG26_PROG_RMKT_DYNAMIC</t>
        </is>
      </c>
      <c r="G2490" s="66" t="inlineStr">
        <is>
          <t>Dynamic Retargeting</t>
        </is>
      </c>
      <c r="H2490" s="66" t="inlineStr">
        <is>
          <t>Range</t>
        </is>
      </c>
      <c r="I2490" s="66" t="inlineStr">
        <is>
          <t>Range Offer</t>
        </is>
      </c>
      <c r="J2490" s="66" t="inlineStr">
        <is>
          <t>PROG_LAL_SEED_CONVERTERS</t>
        </is>
      </c>
      <c r="K2490" s="66" t="inlineStr">
        <is>
          <t>Lookalike</t>
        </is>
      </c>
      <c r="L2490" s="66" t="inlineStr">
        <is>
          <t>PROG_HTML5_300x250_Range_v1</t>
        </is>
      </c>
      <c r="M2490" s="66" t="inlineStr">
        <is>
          <t>HTML5 Display 300x250</t>
        </is>
      </c>
      <c r="N2490" s="66" t="inlineStr">
        <is>
          <t>Book a Lepas test drive</t>
        </is>
      </c>
      <c r="O2490" s="66" t="inlineStr">
        <is>
          <t>Auction - Lowest Cost</t>
        </is>
      </c>
      <c r="P2490" s="66" t="inlineStr">
        <is>
          <t>Conversions (CPA)</t>
        </is>
      </c>
      <c r="Q2490" s="66" t="inlineStr">
        <is>
          <t>https://www.lepas-sa.co.za/offers</t>
        </is>
      </c>
      <c r="R2490" s="121" t="n">
        <v>67.95</v>
      </c>
      <c r="S2490" s="122" t="n">
        <v>3261</v>
      </c>
      <c r="T2490" s="122" t="n">
        <v>1379</v>
      </c>
      <c r="U2490" s="123">
        <f>IFERROR(S2490/T2490,"")</f>
        <v/>
      </c>
      <c r="V2490" s="122" t="n">
        <v>11</v>
      </c>
      <c r="W2490" s="122" t="n">
        <v>8</v>
      </c>
      <c r="X2490" s="124">
        <f>IFERROR(W2490/S2490,"")</f>
        <v/>
      </c>
      <c r="Y2490" s="121">
        <f>IFERROR(R2490/W2490,"")</f>
        <v/>
      </c>
      <c r="Z2490" s="121">
        <f>IFERROR(R2490/S2490*1000,"")</f>
        <v/>
      </c>
      <c r="AA2490" s="122" t="n">
        <v>4</v>
      </c>
      <c r="AB2490" s="54">
        <f>IFERROR(AA2490/W2490,"")</f>
        <v/>
      </c>
      <c r="AC2490" s="122" t="n">
        <v>0</v>
      </c>
      <c r="AD2490" s="122" t="n">
        <v>0</v>
      </c>
      <c r="AE2490" s="122" t="n">
        <v>0</v>
      </c>
      <c r="AF2490" s="122" t="n">
        <v>0</v>
      </c>
      <c r="AG2490" s="122" t="n">
        <v>0</v>
      </c>
      <c r="AH2490" s="122" t="n">
        <v>0</v>
      </c>
      <c r="AI2490" s="54">
        <f>IFERROR(AC2490/S2490,"")</f>
        <v/>
      </c>
      <c r="AJ2490" s="54">
        <f>IFERROR(AH2490/S2490,"")</f>
        <v/>
      </c>
      <c r="AK2490" s="122" t="n">
        <v>13</v>
      </c>
      <c r="AL2490" s="122" t="n">
        <v>0</v>
      </c>
      <c r="AM2490" s="124">
        <f>IFERROR(AL2490/AA2490,"")</f>
        <v/>
      </c>
      <c r="AN2490" s="125">
        <f>IFERROR(R2490/AL2490,"")</f>
        <v/>
      </c>
      <c r="AO2490" s="122" t="n">
        <v>0</v>
      </c>
      <c r="AP2490" s="54">
        <f>IFERROR(AO2490/AL2490,"")</f>
        <v/>
      </c>
      <c r="AQ2490" s="125">
        <f>IFERROR(R2490/AO2490,"")</f>
        <v/>
      </c>
      <c r="AR2490" s="122" t="n">
        <v>0</v>
      </c>
      <c r="AS2490" s="122" t="n">
        <v>0</v>
      </c>
      <c r="AT2490" s="122">
        <f>AL2490+AR2490</f>
        <v/>
      </c>
      <c r="AU2490" s="125">
        <f>IFERROR(AO2490*Assumptions!$C$26*Assumptions!$C$27*INDEX(Assumptions!$C$18:$C$21,MATCH(H2490,Assumptions!$B$18:$B$21,0)),0)</f>
        <v/>
      </c>
    </row>
    <row r="2491">
      <c r="A2491" s="120" t="n">
        <v>46259</v>
      </c>
      <c r="B2491" s="66" t="inlineStr">
        <is>
          <t>Wk 35</t>
        </is>
      </c>
      <c r="C2491" s="66" t="inlineStr">
        <is>
          <t>Tue</t>
        </is>
      </c>
      <c r="D2491" s="66" t="inlineStr">
        <is>
          <t>Programmatic</t>
        </is>
      </c>
      <c r="E2491" s="66" t="inlineStr">
        <is>
          <t>DV360</t>
        </is>
      </c>
      <c r="F2491" s="66" t="inlineStr">
        <is>
          <t>LEP_ZA_AUG26_PROG_RMKT_DYNAMIC</t>
        </is>
      </c>
      <c r="G2491" s="66" t="inlineStr">
        <is>
          <t>Dynamic Retargeting</t>
        </is>
      </c>
      <c r="H2491" s="66" t="inlineStr">
        <is>
          <t>Range</t>
        </is>
      </c>
      <c r="I2491" s="66" t="inlineStr">
        <is>
          <t>Range Offer</t>
        </is>
      </c>
      <c r="J2491" s="66" t="inlineStr">
        <is>
          <t>PROG_LAL_SEED_CONVERTERS</t>
        </is>
      </c>
      <c r="K2491" s="66" t="inlineStr">
        <is>
          <t>Lookalike</t>
        </is>
      </c>
      <c r="L2491" s="66" t="inlineStr">
        <is>
          <t>PROG_HTML5_300x250_Range_v1</t>
        </is>
      </c>
      <c r="M2491" s="66" t="inlineStr">
        <is>
          <t>HTML5 Display 300x250</t>
        </is>
      </c>
      <c r="N2491" s="66" t="inlineStr">
        <is>
          <t>Book a Lepas test drive</t>
        </is>
      </c>
      <c r="O2491" s="66" t="inlineStr">
        <is>
          <t>Auction - Lowest Cost</t>
        </is>
      </c>
      <c r="P2491" s="66" t="inlineStr">
        <is>
          <t>Conversions (CPA)</t>
        </is>
      </c>
      <c r="Q2491" s="66" t="inlineStr">
        <is>
          <t>https://www.lepas-sa.co.za/offers</t>
        </is>
      </c>
      <c r="R2491" s="121" t="n">
        <v>73.34</v>
      </c>
      <c r="S2491" s="122" t="n">
        <v>2575</v>
      </c>
      <c r="T2491" s="122" t="n">
        <v>1583</v>
      </c>
      <c r="U2491" s="123">
        <f>IFERROR(S2491/T2491,"")</f>
        <v/>
      </c>
      <c r="V2491" s="122" t="n">
        <v>9</v>
      </c>
      <c r="W2491" s="122" t="n">
        <v>7</v>
      </c>
      <c r="X2491" s="124">
        <f>IFERROR(W2491/S2491,"")</f>
        <v/>
      </c>
      <c r="Y2491" s="121">
        <f>IFERROR(R2491/W2491,"")</f>
        <v/>
      </c>
      <c r="Z2491" s="121">
        <f>IFERROR(R2491/S2491*1000,"")</f>
        <v/>
      </c>
      <c r="AA2491" s="122" t="n">
        <v>4</v>
      </c>
      <c r="AB2491" s="54">
        <f>IFERROR(AA2491/W2491,"")</f>
        <v/>
      </c>
      <c r="AC2491" s="122" t="n">
        <v>0</v>
      </c>
      <c r="AD2491" s="122" t="n">
        <v>0</v>
      </c>
      <c r="AE2491" s="122" t="n">
        <v>0</v>
      </c>
      <c r="AF2491" s="122" t="n">
        <v>0</v>
      </c>
      <c r="AG2491" s="122" t="n">
        <v>0</v>
      </c>
      <c r="AH2491" s="122" t="n">
        <v>0</v>
      </c>
      <c r="AI2491" s="54">
        <f>IFERROR(AC2491/S2491,"")</f>
        <v/>
      </c>
      <c r="AJ2491" s="54">
        <f>IFERROR(AH2491/S2491,"")</f>
        <v/>
      </c>
      <c r="AK2491" s="122" t="n">
        <v>13</v>
      </c>
      <c r="AL2491" s="122" t="n">
        <v>0</v>
      </c>
      <c r="AM2491" s="124">
        <f>IFERROR(AL2491/AA2491,"")</f>
        <v/>
      </c>
      <c r="AN2491" s="125">
        <f>IFERROR(R2491/AL2491,"")</f>
        <v/>
      </c>
      <c r="AO2491" s="122" t="n">
        <v>0</v>
      </c>
      <c r="AP2491" s="54">
        <f>IFERROR(AO2491/AL2491,"")</f>
        <v/>
      </c>
      <c r="AQ2491" s="125">
        <f>IFERROR(R2491/AO2491,"")</f>
        <v/>
      </c>
      <c r="AR2491" s="122" t="n">
        <v>0</v>
      </c>
      <c r="AS2491" s="122" t="n">
        <v>0</v>
      </c>
      <c r="AT2491" s="122">
        <f>AL2491+AR2491</f>
        <v/>
      </c>
      <c r="AU2491" s="125">
        <f>IFERROR(AO2491*Assumptions!$C$26*Assumptions!$C$27*INDEX(Assumptions!$C$18:$C$21,MATCH(H2491,Assumptions!$B$18:$B$21,0)),0)</f>
        <v/>
      </c>
    </row>
    <row r="2492">
      <c r="A2492" s="120" t="n">
        <v>46260</v>
      </c>
      <c r="B2492" s="66" t="inlineStr">
        <is>
          <t>Wk 35</t>
        </is>
      </c>
      <c r="C2492" s="66" t="inlineStr">
        <is>
          <t>Wed</t>
        </is>
      </c>
      <c r="D2492" s="66" t="inlineStr">
        <is>
          <t>Programmatic</t>
        </is>
      </c>
      <c r="E2492" s="66" t="inlineStr">
        <is>
          <t>DV360</t>
        </is>
      </c>
      <c r="F2492" s="66" t="inlineStr">
        <is>
          <t>LEP_ZA_AUG26_PROG_RMKT_DYNAMIC</t>
        </is>
      </c>
      <c r="G2492" s="66" t="inlineStr">
        <is>
          <t>Dynamic Retargeting</t>
        </is>
      </c>
      <c r="H2492" s="66" t="inlineStr">
        <is>
          <t>Range</t>
        </is>
      </c>
      <c r="I2492" s="66" t="inlineStr">
        <is>
          <t>Range Offer</t>
        </is>
      </c>
      <c r="J2492" s="66" t="inlineStr">
        <is>
          <t>PROG_LAL_SEED_CONVERTERS</t>
        </is>
      </c>
      <c r="K2492" s="66" t="inlineStr">
        <is>
          <t>Lookalike</t>
        </is>
      </c>
      <c r="L2492" s="66" t="inlineStr">
        <is>
          <t>PROG_HTML5_300x250_Range_v1</t>
        </is>
      </c>
      <c r="M2492" s="66" t="inlineStr">
        <is>
          <t>HTML5 Display 300x250</t>
        </is>
      </c>
      <c r="N2492" s="66" t="inlineStr">
        <is>
          <t>Book a Lepas test drive</t>
        </is>
      </c>
      <c r="O2492" s="66" t="inlineStr">
        <is>
          <t>Auction - Lowest Cost</t>
        </is>
      </c>
      <c r="P2492" s="66" t="inlineStr">
        <is>
          <t>Conversions (CPA)</t>
        </is>
      </c>
      <c r="Q2492" s="66" t="inlineStr">
        <is>
          <t>https://www.lepas-sa.co.za/offers</t>
        </is>
      </c>
      <c r="R2492" s="121" t="n">
        <v>87.98999999999999</v>
      </c>
      <c r="S2492" s="122" t="n">
        <v>3835</v>
      </c>
      <c r="T2492" s="122" t="n">
        <v>1601</v>
      </c>
      <c r="U2492" s="123">
        <f>IFERROR(S2492/T2492,"")</f>
        <v/>
      </c>
      <c r="V2492" s="122" t="n">
        <v>14</v>
      </c>
      <c r="W2492" s="122" t="n">
        <v>10</v>
      </c>
      <c r="X2492" s="124">
        <f>IFERROR(W2492/S2492,"")</f>
        <v/>
      </c>
      <c r="Y2492" s="121">
        <f>IFERROR(R2492/W2492,"")</f>
        <v/>
      </c>
      <c r="Z2492" s="121">
        <f>IFERROR(R2492/S2492*1000,"")</f>
        <v/>
      </c>
      <c r="AA2492" s="122" t="n">
        <v>6</v>
      </c>
      <c r="AB2492" s="54">
        <f>IFERROR(AA2492/W2492,"")</f>
        <v/>
      </c>
      <c r="AC2492" s="122" t="n">
        <v>0</v>
      </c>
      <c r="AD2492" s="122" t="n">
        <v>0</v>
      </c>
      <c r="AE2492" s="122" t="n">
        <v>0</v>
      </c>
      <c r="AF2492" s="122" t="n">
        <v>0</v>
      </c>
      <c r="AG2492" s="122" t="n">
        <v>0</v>
      </c>
      <c r="AH2492" s="122" t="n">
        <v>0</v>
      </c>
      <c r="AI2492" s="54">
        <f>IFERROR(AC2492/S2492,"")</f>
        <v/>
      </c>
      <c r="AJ2492" s="54">
        <f>IFERROR(AH2492/S2492,"")</f>
        <v/>
      </c>
      <c r="AK2492" s="122" t="n">
        <v>12</v>
      </c>
      <c r="AL2492" s="122" t="n">
        <v>0</v>
      </c>
      <c r="AM2492" s="124">
        <f>IFERROR(AL2492/AA2492,"")</f>
        <v/>
      </c>
      <c r="AN2492" s="125">
        <f>IFERROR(R2492/AL2492,"")</f>
        <v/>
      </c>
      <c r="AO2492" s="122" t="n">
        <v>0</v>
      </c>
      <c r="AP2492" s="54">
        <f>IFERROR(AO2492/AL2492,"")</f>
        <v/>
      </c>
      <c r="AQ2492" s="125">
        <f>IFERROR(R2492/AO2492,"")</f>
        <v/>
      </c>
      <c r="AR2492" s="122" t="n">
        <v>0</v>
      </c>
      <c r="AS2492" s="122" t="n">
        <v>0</v>
      </c>
      <c r="AT2492" s="122">
        <f>AL2492+AR2492</f>
        <v/>
      </c>
      <c r="AU2492" s="125">
        <f>IFERROR(AO2492*Assumptions!$C$26*Assumptions!$C$27*INDEX(Assumptions!$C$18:$C$21,MATCH(H2492,Assumptions!$B$18:$B$21,0)),0)</f>
        <v/>
      </c>
    </row>
    <row r="2493">
      <c r="A2493" s="120" t="n">
        <v>46261</v>
      </c>
      <c r="B2493" s="66" t="inlineStr">
        <is>
          <t>Wk 35</t>
        </is>
      </c>
      <c r="C2493" s="66" t="inlineStr">
        <is>
          <t>Thu</t>
        </is>
      </c>
      <c r="D2493" s="66" t="inlineStr">
        <is>
          <t>Programmatic</t>
        </is>
      </c>
      <c r="E2493" s="66" t="inlineStr">
        <is>
          <t>DV360</t>
        </is>
      </c>
      <c r="F2493" s="66" t="inlineStr">
        <is>
          <t>LEP_ZA_AUG26_PROG_RMKT_DYNAMIC</t>
        </is>
      </c>
      <c r="G2493" s="66" t="inlineStr">
        <is>
          <t>Dynamic Retargeting</t>
        </is>
      </c>
      <c r="H2493" s="66" t="inlineStr">
        <is>
          <t>Range</t>
        </is>
      </c>
      <c r="I2493" s="66" t="inlineStr">
        <is>
          <t>Range Offer</t>
        </is>
      </c>
      <c r="J2493" s="66" t="inlineStr">
        <is>
          <t>PROG_LAL_SEED_CONVERTERS</t>
        </is>
      </c>
      <c r="K2493" s="66" t="inlineStr">
        <is>
          <t>Lookalike</t>
        </is>
      </c>
      <c r="L2493" s="66" t="inlineStr">
        <is>
          <t>PROG_HTML5_300x250_Range_v1</t>
        </is>
      </c>
      <c r="M2493" s="66" t="inlineStr">
        <is>
          <t>HTML5 Display 300x250</t>
        </is>
      </c>
      <c r="N2493" s="66" t="inlineStr">
        <is>
          <t>Book a Lepas test drive</t>
        </is>
      </c>
      <c r="O2493" s="66" t="inlineStr">
        <is>
          <t>Auction - Lowest Cost</t>
        </is>
      </c>
      <c r="P2493" s="66" t="inlineStr">
        <is>
          <t>Conversions (CPA)</t>
        </is>
      </c>
      <c r="Q2493" s="66" t="inlineStr">
        <is>
          <t>https://www.lepas-sa.co.za/offers</t>
        </is>
      </c>
      <c r="R2493" s="121" t="n">
        <v>107</v>
      </c>
      <c r="S2493" s="122" t="n">
        <v>2843</v>
      </c>
      <c r="T2493" s="122" t="n">
        <v>1383</v>
      </c>
      <c r="U2493" s="123">
        <f>IFERROR(S2493/T2493,"")</f>
        <v/>
      </c>
      <c r="V2493" s="122" t="n">
        <v>3</v>
      </c>
      <c r="W2493" s="122" t="n">
        <v>2</v>
      </c>
      <c r="X2493" s="124">
        <f>IFERROR(W2493/S2493,"")</f>
        <v/>
      </c>
      <c r="Y2493" s="121">
        <f>IFERROR(R2493/W2493,"")</f>
        <v/>
      </c>
      <c r="Z2493" s="121">
        <f>IFERROR(R2493/S2493*1000,"")</f>
        <v/>
      </c>
      <c r="AA2493" s="122" t="n">
        <v>2</v>
      </c>
      <c r="AB2493" s="54">
        <f>IFERROR(AA2493/W2493,"")</f>
        <v/>
      </c>
      <c r="AC2493" s="122" t="n">
        <v>0</v>
      </c>
      <c r="AD2493" s="122" t="n">
        <v>0</v>
      </c>
      <c r="AE2493" s="122" t="n">
        <v>0</v>
      </c>
      <c r="AF2493" s="122" t="n">
        <v>0</v>
      </c>
      <c r="AG2493" s="122" t="n">
        <v>0</v>
      </c>
      <c r="AH2493" s="122" t="n">
        <v>0</v>
      </c>
      <c r="AI2493" s="54">
        <f>IFERROR(AC2493/S2493,"")</f>
        <v/>
      </c>
      <c r="AJ2493" s="54">
        <f>IFERROR(AH2493/S2493,"")</f>
        <v/>
      </c>
      <c r="AK2493" s="122" t="n">
        <v>15</v>
      </c>
      <c r="AL2493" s="122" t="n">
        <v>0</v>
      </c>
      <c r="AM2493" s="124">
        <f>IFERROR(AL2493/AA2493,"")</f>
        <v/>
      </c>
      <c r="AN2493" s="125">
        <f>IFERROR(R2493/AL2493,"")</f>
        <v/>
      </c>
      <c r="AO2493" s="122" t="n">
        <v>0</v>
      </c>
      <c r="AP2493" s="54">
        <f>IFERROR(AO2493/AL2493,"")</f>
        <v/>
      </c>
      <c r="AQ2493" s="125">
        <f>IFERROR(R2493/AO2493,"")</f>
        <v/>
      </c>
      <c r="AR2493" s="122" t="n">
        <v>0</v>
      </c>
      <c r="AS2493" s="122" t="n">
        <v>0</v>
      </c>
      <c r="AT2493" s="122">
        <f>AL2493+AR2493</f>
        <v/>
      </c>
      <c r="AU2493" s="125">
        <f>IFERROR(AO2493*Assumptions!$C$26*Assumptions!$C$27*INDEX(Assumptions!$C$18:$C$21,MATCH(H2493,Assumptions!$B$18:$B$21,0)),0)</f>
        <v/>
      </c>
    </row>
    <row r="2494">
      <c r="A2494" s="120" t="n">
        <v>46262</v>
      </c>
      <c r="B2494" s="66" t="inlineStr">
        <is>
          <t>Wk 35</t>
        </is>
      </c>
      <c r="C2494" s="66" t="inlineStr">
        <is>
          <t>Fri</t>
        </is>
      </c>
      <c r="D2494" s="66" t="inlineStr">
        <is>
          <t>Programmatic</t>
        </is>
      </c>
      <c r="E2494" s="66" t="inlineStr">
        <is>
          <t>DV360</t>
        </is>
      </c>
      <c r="F2494" s="66" t="inlineStr">
        <is>
          <t>LEP_ZA_AUG26_PROG_RMKT_DYNAMIC</t>
        </is>
      </c>
      <c r="G2494" s="66" t="inlineStr">
        <is>
          <t>Dynamic Retargeting</t>
        </is>
      </c>
      <c r="H2494" s="66" t="inlineStr">
        <is>
          <t>Range</t>
        </is>
      </c>
      <c r="I2494" s="66" t="inlineStr">
        <is>
          <t>Range Offer</t>
        </is>
      </c>
      <c r="J2494" s="66" t="inlineStr">
        <is>
          <t>PROG_LAL_SEED_CONVERTERS</t>
        </is>
      </c>
      <c r="K2494" s="66" t="inlineStr">
        <is>
          <t>Lookalike</t>
        </is>
      </c>
      <c r="L2494" s="66" t="inlineStr">
        <is>
          <t>PROG_HTML5_300x250_Range_v1</t>
        </is>
      </c>
      <c r="M2494" s="66" t="inlineStr">
        <is>
          <t>HTML5 Display 300x250</t>
        </is>
      </c>
      <c r="N2494" s="66" t="inlineStr">
        <is>
          <t>Book a Lepas test drive</t>
        </is>
      </c>
      <c r="O2494" s="66" t="inlineStr">
        <is>
          <t>Auction - Lowest Cost</t>
        </is>
      </c>
      <c r="P2494" s="66" t="inlineStr">
        <is>
          <t>Conversions (CPA)</t>
        </is>
      </c>
      <c r="Q2494" s="66" t="inlineStr">
        <is>
          <t>https://www.lepas-sa.co.za/offers</t>
        </is>
      </c>
      <c r="R2494" s="121" t="n">
        <v>97.47</v>
      </c>
      <c r="S2494" s="122" t="n">
        <v>2631</v>
      </c>
      <c r="T2494" s="122" t="n">
        <v>901</v>
      </c>
      <c r="U2494" s="123">
        <f>IFERROR(S2494/T2494,"")</f>
        <v/>
      </c>
      <c r="V2494" s="122" t="n">
        <v>5</v>
      </c>
      <c r="W2494" s="122" t="n">
        <v>4</v>
      </c>
      <c r="X2494" s="124">
        <f>IFERROR(W2494/S2494,"")</f>
        <v/>
      </c>
      <c r="Y2494" s="121">
        <f>IFERROR(R2494/W2494,"")</f>
        <v/>
      </c>
      <c r="Z2494" s="121">
        <f>IFERROR(R2494/S2494*1000,"")</f>
        <v/>
      </c>
      <c r="AA2494" s="122" t="n">
        <v>2</v>
      </c>
      <c r="AB2494" s="54">
        <f>IFERROR(AA2494/W2494,"")</f>
        <v/>
      </c>
      <c r="AC2494" s="122" t="n">
        <v>0</v>
      </c>
      <c r="AD2494" s="122" t="n">
        <v>0</v>
      </c>
      <c r="AE2494" s="122" t="n">
        <v>0</v>
      </c>
      <c r="AF2494" s="122" t="n">
        <v>0</v>
      </c>
      <c r="AG2494" s="122" t="n">
        <v>0</v>
      </c>
      <c r="AH2494" s="122" t="n">
        <v>0</v>
      </c>
      <c r="AI2494" s="54">
        <f>IFERROR(AC2494/S2494,"")</f>
        <v/>
      </c>
      <c r="AJ2494" s="54">
        <f>IFERROR(AH2494/S2494,"")</f>
        <v/>
      </c>
      <c r="AK2494" s="122" t="n">
        <v>3</v>
      </c>
      <c r="AL2494" s="122" t="n">
        <v>0</v>
      </c>
      <c r="AM2494" s="124">
        <f>IFERROR(AL2494/AA2494,"")</f>
        <v/>
      </c>
      <c r="AN2494" s="125">
        <f>IFERROR(R2494/AL2494,"")</f>
        <v/>
      </c>
      <c r="AO2494" s="122" t="n">
        <v>0</v>
      </c>
      <c r="AP2494" s="54">
        <f>IFERROR(AO2494/AL2494,"")</f>
        <v/>
      </c>
      <c r="AQ2494" s="125">
        <f>IFERROR(R2494/AO2494,"")</f>
        <v/>
      </c>
      <c r="AR2494" s="122" t="n">
        <v>0</v>
      </c>
      <c r="AS2494" s="122" t="n">
        <v>0</v>
      </c>
      <c r="AT2494" s="122">
        <f>AL2494+AR2494</f>
        <v/>
      </c>
      <c r="AU2494" s="125">
        <f>IFERROR(AO2494*Assumptions!$C$26*Assumptions!$C$27*INDEX(Assumptions!$C$18:$C$21,MATCH(H2494,Assumptions!$B$18:$B$21,0)),0)</f>
        <v/>
      </c>
    </row>
    <row r="2495">
      <c r="A2495" s="120" t="n">
        <v>46263</v>
      </c>
      <c r="B2495" s="66" t="inlineStr">
        <is>
          <t>Wk 35</t>
        </is>
      </c>
      <c r="C2495" s="66" t="inlineStr">
        <is>
          <t>Sat</t>
        </is>
      </c>
      <c r="D2495" s="66" t="inlineStr">
        <is>
          <t>Programmatic</t>
        </is>
      </c>
      <c r="E2495" s="66" t="inlineStr">
        <is>
          <t>DV360</t>
        </is>
      </c>
      <c r="F2495" s="66" t="inlineStr">
        <is>
          <t>LEP_ZA_AUG26_PROG_RMKT_DYNAMIC</t>
        </is>
      </c>
      <c r="G2495" s="66" t="inlineStr">
        <is>
          <t>Dynamic Retargeting</t>
        </is>
      </c>
      <c r="H2495" s="66" t="inlineStr">
        <is>
          <t>Range</t>
        </is>
      </c>
      <c r="I2495" s="66" t="inlineStr">
        <is>
          <t>Range Offer</t>
        </is>
      </c>
      <c r="J2495" s="66" t="inlineStr">
        <is>
          <t>PROG_LAL_SEED_CONVERTERS</t>
        </is>
      </c>
      <c r="K2495" s="66" t="inlineStr">
        <is>
          <t>Lookalike</t>
        </is>
      </c>
      <c r="L2495" s="66" t="inlineStr">
        <is>
          <t>PROG_HTML5_300x250_Range_v1</t>
        </is>
      </c>
      <c r="M2495" s="66" t="inlineStr">
        <is>
          <t>HTML5 Display 300x250</t>
        </is>
      </c>
      <c r="N2495" s="66" t="inlineStr">
        <is>
          <t>Book a Lepas test drive</t>
        </is>
      </c>
      <c r="O2495" s="66" t="inlineStr">
        <is>
          <t>Auction - Lowest Cost</t>
        </is>
      </c>
      <c r="P2495" s="66" t="inlineStr">
        <is>
          <t>Conversions (CPA)</t>
        </is>
      </c>
      <c r="Q2495" s="66" t="inlineStr">
        <is>
          <t>https://www.lepas-sa.co.za/offers</t>
        </is>
      </c>
      <c r="R2495" s="121" t="n">
        <v>109.01</v>
      </c>
      <c r="S2495" s="122" t="n">
        <v>5080</v>
      </c>
      <c r="T2495" s="122" t="n">
        <v>2205</v>
      </c>
      <c r="U2495" s="123">
        <f>IFERROR(S2495/T2495,"")</f>
        <v/>
      </c>
      <c r="V2495" s="122" t="n">
        <v>3</v>
      </c>
      <c r="W2495" s="122" t="n">
        <v>3</v>
      </c>
      <c r="X2495" s="124">
        <f>IFERROR(W2495/S2495,"")</f>
        <v/>
      </c>
      <c r="Y2495" s="121">
        <f>IFERROR(R2495/W2495,"")</f>
        <v/>
      </c>
      <c r="Z2495" s="121">
        <f>IFERROR(R2495/S2495*1000,"")</f>
        <v/>
      </c>
      <c r="AA2495" s="122" t="n">
        <v>2</v>
      </c>
      <c r="AB2495" s="54">
        <f>IFERROR(AA2495/W2495,"")</f>
        <v/>
      </c>
      <c r="AC2495" s="122" t="n">
        <v>0</v>
      </c>
      <c r="AD2495" s="122" t="n">
        <v>0</v>
      </c>
      <c r="AE2495" s="122" t="n">
        <v>0</v>
      </c>
      <c r="AF2495" s="122" t="n">
        <v>0</v>
      </c>
      <c r="AG2495" s="122" t="n">
        <v>0</v>
      </c>
      <c r="AH2495" s="122" t="n">
        <v>0</v>
      </c>
      <c r="AI2495" s="54">
        <f>IFERROR(AC2495/S2495,"")</f>
        <v/>
      </c>
      <c r="AJ2495" s="54">
        <f>IFERROR(AH2495/S2495,"")</f>
        <v/>
      </c>
      <c r="AK2495" s="122" t="n">
        <v>12</v>
      </c>
      <c r="AL2495" s="122" t="n">
        <v>0</v>
      </c>
      <c r="AM2495" s="124">
        <f>IFERROR(AL2495/AA2495,"")</f>
        <v/>
      </c>
      <c r="AN2495" s="125">
        <f>IFERROR(R2495/AL2495,"")</f>
        <v/>
      </c>
      <c r="AO2495" s="122" t="n">
        <v>0</v>
      </c>
      <c r="AP2495" s="54">
        <f>IFERROR(AO2495/AL2495,"")</f>
        <v/>
      </c>
      <c r="AQ2495" s="125">
        <f>IFERROR(R2495/AO2495,"")</f>
        <v/>
      </c>
      <c r="AR2495" s="122" t="n">
        <v>0</v>
      </c>
      <c r="AS2495" s="122" t="n">
        <v>0</v>
      </c>
      <c r="AT2495" s="122">
        <f>AL2495+AR2495</f>
        <v/>
      </c>
      <c r="AU2495" s="125">
        <f>IFERROR(AO2495*Assumptions!$C$26*Assumptions!$C$27*INDEX(Assumptions!$C$18:$C$21,MATCH(H2495,Assumptions!$B$18:$B$21,0)),0)</f>
        <v/>
      </c>
    </row>
    <row r="2496">
      <c r="A2496" s="120" t="n">
        <v>46264</v>
      </c>
      <c r="B2496" s="66" t="inlineStr">
        <is>
          <t>Wk 35</t>
        </is>
      </c>
      <c r="C2496" s="66" t="inlineStr">
        <is>
          <t>Sun</t>
        </is>
      </c>
      <c r="D2496" s="66" t="inlineStr">
        <is>
          <t>Programmatic</t>
        </is>
      </c>
      <c r="E2496" s="66" t="inlineStr">
        <is>
          <t>DV360</t>
        </is>
      </c>
      <c r="F2496" s="66" t="inlineStr">
        <is>
          <t>LEP_ZA_AUG26_PROG_RMKT_DYNAMIC</t>
        </is>
      </c>
      <c r="G2496" s="66" t="inlineStr">
        <is>
          <t>Dynamic Retargeting</t>
        </is>
      </c>
      <c r="H2496" s="66" t="inlineStr">
        <is>
          <t>Range</t>
        </is>
      </c>
      <c r="I2496" s="66" t="inlineStr">
        <is>
          <t>Range Offer</t>
        </is>
      </c>
      <c r="J2496" s="66" t="inlineStr">
        <is>
          <t>PROG_LAL_SEED_CONVERTERS</t>
        </is>
      </c>
      <c r="K2496" s="66" t="inlineStr">
        <is>
          <t>Lookalike</t>
        </is>
      </c>
      <c r="L2496" s="66" t="inlineStr">
        <is>
          <t>PROG_HTML5_300x250_Range_v1</t>
        </is>
      </c>
      <c r="M2496" s="66" t="inlineStr">
        <is>
          <t>HTML5 Display 300x250</t>
        </is>
      </c>
      <c r="N2496" s="66" t="inlineStr">
        <is>
          <t>Book a Lepas test drive</t>
        </is>
      </c>
      <c r="O2496" s="66" t="inlineStr">
        <is>
          <t>Auction - Lowest Cost</t>
        </is>
      </c>
      <c r="P2496" s="66" t="inlineStr">
        <is>
          <t>Conversions (CPA)</t>
        </is>
      </c>
      <c r="Q2496" s="66" t="inlineStr">
        <is>
          <t>https://www.lepas-sa.co.za/offers</t>
        </is>
      </c>
      <c r="R2496" s="121" t="n">
        <v>76.52</v>
      </c>
      <c r="S2496" s="122" t="n">
        <v>2122</v>
      </c>
      <c r="T2496" s="122" t="n">
        <v>813</v>
      </c>
      <c r="U2496" s="123">
        <f>IFERROR(S2496/T2496,"")</f>
        <v/>
      </c>
      <c r="V2496" s="122" t="n">
        <v>7</v>
      </c>
      <c r="W2496" s="122" t="n">
        <v>5</v>
      </c>
      <c r="X2496" s="124">
        <f>IFERROR(W2496/S2496,"")</f>
        <v/>
      </c>
      <c r="Y2496" s="121">
        <f>IFERROR(R2496/W2496,"")</f>
        <v/>
      </c>
      <c r="Z2496" s="121">
        <f>IFERROR(R2496/S2496*1000,"")</f>
        <v/>
      </c>
      <c r="AA2496" s="122" t="n">
        <v>3</v>
      </c>
      <c r="AB2496" s="54">
        <f>IFERROR(AA2496/W2496,"")</f>
        <v/>
      </c>
      <c r="AC2496" s="122" t="n">
        <v>0</v>
      </c>
      <c r="AD2496" s="122" t="n">
        <v>0</v>
      </c>
      <c r="AE2496" s="122" t="n">
        <v>0</v>
      </c>
      <c r="AF2496" s="122" t="n">
        <v>0</v>
      </c>
      <c r="AG2496" s="122" t="n">
        <v>0</v>
      </c>
      <c r="AH2496" s="122" t="n">
        <v>0</v>
      </c>
      <c r="AI2496" s="54">
        <f>IFERROR(AC2496/S2496,"")</f>
        <v/>
      </c>
      <c r="AJ2496" s="54">
        <f>IFERROR(AH2496/S2496,"")</f>
        <v/>
      </c>
      <c r="AK2496" s="122" t="n">
        <v>5</v>
      </c>
      <c r="AL2496" s="122" t="n">
        <v>0</v>
      </c>
      <c r="AM2496" s="124">
        <f>IFERROR(AL2496/AA2496,"")</f>
        <v/>
      </c>
      <c r="AN2496" s="125">
        <f>IFERROR(R2496/AL2496,"")</f>
        <v/>
      </c>
      <c r="AO2496" s="122" t="n">
        <v>0</v>
      </c>
      <c r="AP2496" s="54">
        <f>IFERROR(AO2496/AL2496,"")</f>
        <v/>
      </c>
      <c r="AQ2496" s="125">
        <f>IFERROR(R2496/AO2496,"")</f>
        <v/>
      </c>
      <c r="AR2496" s="122" t="n">
        <v>0</v>
      </c>
      <c r="AS2496" s="122" t="n">
        <v>0</v>
      </c>
      <c r="AT2496" s="122">
        <f>AL2496+AR2496</f>
        <v/>
      </c>
      <c r="AU2496" s="125">
        <f>IFERROR(AO2496*Assumptions!$C$26*Assumptions!$C$27*INDEX(Assumptions!$C$18:$C$21,MATCH(H2496,Assumptions!$B$18:$B$21,0)),0)</f>
        <v/>
      </c>
    </row>
    <row r="2497">
      <c r="A2497" s="120" t="n">
        <v>46265</v>
      </c>
      <c r="B2497" s="66" t="inlineStr">
        <is>
          <t>Wk 36</t>
        </is>
      </c>
      <c r="C2497" s="66" t="inlineStr">
        <is>
          <t>Mon</t>
        </is>
      </c>
      <c r="D2497" s="66" t="inlineStr">
        <is>
          <t>Programmatic</t>
        </is>
      </c>
      <c r="E2497" s="66" t="inlineStr">
        <is>
          <t>DV360</t>
        </is>
      </c>
      <c r="F2497" s="66" t="inlineStr">
        <is>
          <t>LEP_ZA_AUG26_PROG_RMKT_DYNAMIC</t>
        </is>
      </c>
      <c r="G2497" s="66" t="inlineStr">
        <is>
          <t>Dynamic Retargeting</t>
        </is>
      </c>
      <c r="H2497" s="66" t="inlineStr">
        <is>
          <t>Range</t>
        </is>
      </c>
      <c r="I2497" s="66" t="inlineStr">
        <is>
          <t>Range Offer</t>
        </is>
      </c>
      <c r="J2497" s="66" t="inlineStr">
        <is>
          <t>PROG_LAL_SEED_CONVERTERS</t>
        </is>
      </c>
      <c r="K2497" s="66" t="inlineStr">
        <is>
          <t>Lookalike</t>
        </is>
      </c>
      <c r="L2497" s="66" t="inlineStr">
        <is>
          <t>PROG_HTML5_300x250_Range_v1</t>
        </is>
      </c>
      <c r="M2497" s="66" t="inlineStr">
        <is>
          <t>HTML5 Display 300x250</t>
        </is>
      </c>
      <c r="N2497" s="66" t="inlineStr">
        <is>
          <t>Book a Lepas test drive</t>
        </is>
      </c>
      <c r="O2497" s="66" t="inlineStr">
        <is>
          <t>Auction - Lowest Cost</t>
        </is>
      </c>
      <c r="P2497" s="66" t="inlineStr">
        <is>
          <t>Conversions (CPA)</t>
        </is>
      </c>
      <c r="Q2497" s="66" t="inlineStr">
        <is>
          <t>https://www.lepas-sa.co.za/offers</t>
        </is>
      </c>
      <c r="R2497" s="121" t="n">
        <v>84.37</v>
      </c>
      <c r="S2497" s="122" t="n">
        <v>3296</v>
      </c>
      <c r="T2497" s="122" t="n">
        <v>1397</v>
      </c>
      <c r="U2497" s="123">
        <f>IFERROR(S2497/T2497,"")</f>
        <v/>
      </c>
      <c r="V2497" s="122" t="n">
        <v>7</v>
      </c>
      <c r="W2497" s="122" t="n">
        <v>6</v>
      </c>
      <c r="X2497" s="124">
        <f>IFERROR(W2497/S2497,"")</f>
        <v/>
      </c>
      <c r="Y2497" s="121">
        <f>IFERROR(R2497/W2497,"")</f>
        <v/>
      </c>
      <c r="Z2497" s="121">
        <f>IFERROR(R2497/S2497*1000,"")</f>
        <v/>
      </c>
      <c r="AA2497" s="122" t="n">
        <v>4</v>
      </c>
      <c r="AB2497" s="54">
        <f>IFERROR(AA2497/W2497,"")</f>
        <v/>
      </c>
      <c r="AC2497" s="122" t="n">
        <v>0</v>
      </c>
      <c r="AD2497" s="122" t="n">
        <v>0</v>
      </c>
      <c r="AE2497" s="122" t="n">
        <v>0</v>
      </c>
      <c r="AF2497" s="122" t="n">
        <v>0</v>
      </c>
      <c r="AG2497" s="122" t="n">
        <v>0</v>
      </c>
      <c r="AH2497" s="122" t="n">
        <v>0</v>
      </c>
      <c r="AI2497" s="54">
        <f>IFERROR(AC2497/S2497,"")</f>
        <v/>
      </c>
      <c r="AJ2497" s="54">
        <f>IFERROR(AH2497/S2497,"")</f>
        <v/>
      </c>
      <c r="AK2497" s="122" t="n">
        <v>12</v>
      </c>
      <c r="AL2497" s="122" t="n">
        <v>0</v>
      </c>
      <c r="AM2497" s="124">
        <f>IFERROR(AL2497/AA2497,"")</f>
        <v/>
      </c>
      <c r="AN2497" s="125">
        <f>IFERROR(R2497/AL2497,"")</f>
        <v/>
      </c>
      <c r="AO2497" s="122" t="n">
        <v>0</v>
      </c>
      <c r="AP2497" s="54">
        <f>IFERROR(AO2497/AL2497,"")</f>
        <v/>
      </c>
      <c r="AQ2497" s="125">
        <f>IFERROR(R2497/AO2497,"")</f>
        <v/>
      </c>
      <c r="AR2497" s="122" t="n">
        <v>0</v>
      </c>
      <c r="AS2497" s="122" t="n">
        <v>0</v>
      </c>
      <c r="AT2497" s="122">
        <f>AL2497+AR2497</f>
        <v/>
      </c>
      <c r="AU2497" s="125">
        <f>IFERROR(AO2497*Assumptions!$C$26*Assumptions!$C$27*INDEX(Assumptions!$C$18:$C$21,MATCH(H2497,Assumptions!$B$18:$B$21,0)),0)</f>
        <v/>
      </c>
    </row>
    <row r="2498">
      <c r="A2498" s="120" t="n">
        <v>46235</v>
      </c>
      <c r="B2498" s="66" t="inlineStr">
        <is>
          <t>Wk 31</t>
        </is>
      </c>
      <c r="C2498" s="66" t="inlineStr">
        <is>
          <t>Sat</t>
        </is>
      </c>
      <c r="D2498" s="66" t="inlineStr">
        <is>
          <t>Programmatic</t>
        </is>
      </c>
      <c r="E2498" s="66" t="inlineStr">
        <is>
          <t>DV360</t>
        </is>
      </c>
      <c r="F2498" s="66" t="inlineStr">
        <is>
          <t>LEP_ZA_AUG26_PROG_RMKT_DYNAMIC</t>
        </is>
      </c>
      <c r="G2498" s="66" t="inlineStr">
        <is>
          <t>Dynamic Retargeting</t>
        </is>
      </c>
      <c r="H2498" s="66" t="inlineStr">
        <is>
          <t>Range</t>
        </is>
      </c>
      <c r="I2498" s="66" t="inlineStr">
        <is>
          <t>Range Offer</t>
        </is>
      </c>
      <c r="J2498" s="66" t="inlineStr">
        <is>
          <t>PROG_LAL_SEED_CONVERTERS</t>
        </is>
      </c>
      <c r="K2498" s="66" t="inlineStr">
        <is>
          <t>Lookalike</t>
        </is>
      </c>
      <c r="L2498" s="66" t="inlineStr">
        <is>
          <t>PROG_HTML5_300x600_Models_v1</t>
        </is>
      </c>
      <c r="M2498" s="66" t="inlineStr">
        <is>
          <t>HTML5 Display 300x600</t>
        </is>
      </c>
      <c r="N2498" s="66" t="inlineStr">
        <is>
          <t>Three models. One test drive.</t>
        </is>
      </c>
      <c r="O2498" s="66" t="inlineStr">
        <is>
          <t>Auction - Lowest Cost</t>
        </is>
      </c>
      <c r="P2498" s="66" t="inlineStr">
        <is>
          <t>Conversions (CPA)</t>
        </is>
      </c>
      <c r="Q2498" s="66" t="inlineStr">
        <is>
          <t>https://www.lepas-sa.co.za/offers</t>
        </is>
      </c>
      <c r="R2498" s="121" t="n">
        <v>64.92</v>
      </c>
      <c r="S2498" s="122" t="n">
        <v>1743</v>
      </c>
      <c r="T2498" s="122" t="n">
        <v>978</v>
      </c>
      <c r="U2498" s="123">
        <f>IFERROR(S2498/T2498,"")</f>
        <v/>
      </c>
      <c r="V2498" s="122" t="n">
        <v>4</v>
      </c>
      <c r="W2498" s="122" t="n">
        <v>3</v>
      </c>
      <c r="X2498" s="124">
        <f>IFERROR(W2498/S2498,"")</f>
        <v/>
      </c>
      <c r="Y2498" s="121">
        <f>IFERROR(R2498/W2498,"")</f>
        <v/>
      </c>
      <c r="Z2498" s="121">
        <f>IFERROR(R2498/S2498*1000,"")</f>
        <v/>
      </c>
      <c r="AA2498" s="122" t="n">
        <v>2</v>
      </c>
      <c r="AB2498" s="54">
        <f>IFERROR(AA2498/W2498,"")</f>
        <v/>
      </c>
      <c r="AC2498" s="122" t="n">
        <v>0</v>
      </c>
      <c r="AD2498" s="122" t="n">
        <v>0</v>
      </c>
      <c r="AE2498" s="122" t="n">
        <v>0</v>
      </c>
      <c r="AF2498" s="122" t="n">
        <v>0</v>
      </c>
      <c r="AG2498" s="122" t="n">
        <v>0</v>
      </c>
      <c r="AH2498" s="122" t="n">
        <v>0</v>
      </c>
      <c r="AI2498" s="54">
        <f>IFERROR(AC2498/S2498,"")</f>
        <v/>
      </c>
      <c r="AJ2498" s="54">
        <f>IFERROR(AH2498/S2498,"")</f>
        <v/>
      </c>
      <c r="AK2498" s="122" t="n">
        <v>9</v>
      </c>
      <c r="AL2498" s="122" t="n">
        <v>0</v>
      </c>
      <c r="AM2498" s="124">
        <f>IFERROR(AL2498/AA2498,"")</f>
        <v/>
      </c>
      <c r="AN2498" s="125">
        <f>IFERROR(R2498/AL2498,"")</f>
        <v/>
      </c>
      <c r="AO2498" s="122" t="n">
        <v>0</v>
      </c>
      <c r="AP2498" s="54">
        <f>IFERROR(AO2498/AL2498,"")</f>
        <v/>
      </c>
      <c r="AQ2498" s="125">
        <f>IFERROR(R2498/AO2498,"")</f>
        <v/>
      </c>
      <c r="AR2498" s="122" t="n">
        <v>0</v>
      </c>
      <c r="AS2498" s="122" t="n">
        <v>0</v>
      </c>
      <c r="AT2498" s="122">
        <f>AL2498+AR2498</f>
        <v/>
      </c>
      <c r="AU2498" s="125">
        <f>IFERROR(AO2498*Assumptions!$C$26*Assumptions!$C$27*INDEX(Assumptions!$C$18:$C$21,MATCH(H2498,Assumptions!$B$18:$B$21,0)),0)</f>
        <v/>
      </c>
    </row>
    <row r="2499">
      <c r="A2499" s="120" t="n">
        <v>46236</v>
      </c>
      <c r="B2499" s="66" t="inlineStr">
        <is>
          <t>Wk 31</t>
        </is>
      </c>
      <c r="C2499" s="66" t="inlineStr">
        <is>
          <t>Sun</t>
        </is>
      </c>
      <c r="D2499" s="66" t="inlineStr">
        <is>
          <t>Programmatic</t>
        </is>
      </c>
      <c r="E2499" s="66" t="inlineStr">
        <is>
          <t>DV360</t>
        </is>
      </c>
      <c r="F2499" s="66" t="inlineStr">
        <is>
          <t>LEP_ZA_AUG26_PROG_RMKT_DYNAMIC</t>
        </is>
      </c>
      <c r="G2499" s="66" t="inlineStr">
        <is>
          <t>Dynamic Retargeting</t>
        </is>
      </c>
      <c r="H2499" s="66" t="inlineStr">
        <is>
          <t>Range</t>
        </is>
      </c>
      <c r="I2499" s="66" t="inlineStr">
        <is>
          <t>Range Offer</t>
        </is>
      </c>
      <c r="J2499" s="66" t="inlineStr">
        <is>
          <t>PROG_LAL_SEED_CONVERTERS</t>
        </is>
      </c>
      <c r="K2499" s="66" t="inlineStr">
        <is>
          <t>Lookalike</t>
        </is>
      </c>
      <c r="L2499" s="66" t="inlineStr">
        <is>
          <t>PROG_HTML5_300x600_Models_v1</t>
        </is>
      </c>
      <c r="M2499" s="66" t="inlineStr">
        <is>
          <t>HTML5 Display 300x600</t>
        </is>
      </c>
      <c r="N2499" s="66" t="inlineStr">
        <is>
          <t>Three models. One test drive.</t>
        </is>
      </c>
      <c r="O2499" s="66" t="inlineStr">
        <is>
          <t>Auction - Lowest Cost</t>
        </is>
      </c>
      <c r="P2499" s="66" t="inlineStr">
        <is>
          <t>Conversions (CPA)</t>
        </is>
      </c>
      <c r="Q2499" s="66" t="inlineStr">
        <is>
          <t>https://www.lepas-sa.co.za/offers</t>
        </is>
      </c>
      <c r="R2499" s="121" t="n">
        <v>46.2</v>
      </c>
      <c r="S2499" s="122" t="n">
        <v>1340</v>
      </c>
      <c r="T2499" s="122" t="n">
        <v>1038</v>
      </c>
      <c r="U2499" s="123">
        <f>IFERROR(S2499/T2499,"")</f>
        <v/>
      </c>
      <c r="V2499" s="122" t="n">
        <v>8</v>
      </c>
      <c r="W2499" s="122" t="n">
        <v>6</v>
      </c>
      <c r="X2499" s="124">
        <f>IFERROR(W2499/S2499,"")</f>
        <v/>
      </c>
      <c r="Y2499" s="121">
        <f>IFERROR(R2499/W2499,"")</f>
        <v/>
      </c>
      <c r="Z2499" s="121">
        <f>IFERROR(R2499/S2499*1000,"")</f>
        <v/>
      </c>
      <c r="AA2499" s="122" t="n">
        <v>3</v>
      </c>
      <c r="AB2499" s="54">
        <f>IFERROR(AA2499/W2499,"")</f>
        <v/>
      </c>
      <c r="AC2499" s="122" t="n">
        <v>0</v>
      </c>
      <c r="AD2499" s="122" t="n">
        <v>0</v>
      </c>
      <c r="AE2499" s="122" t="n">
        <v>0</v>
      </c>
      <c r="AF2499" s="122" t="n">
        <v>0</v>
      </c>
      <c r="AG2499" s="122" t="n">
        <v>0</v>
      </c>
      <c r="AH2499" s="122" t="n">
        <v>0</v>
      </c>
      <c r="AI2499" s="54">
        <f>IFERROR(AC2499/S2499,"")</f>
        <v/>
      </c>
      <c r="AJ2499" s="54">
        <f>IFERROR(AH2499/S2499,"")</f>
        <v/>
      </c>
      <c r="AK2499" s="122" t="n">
        <v>4</v>
      </c>
      <c r="AL2499" s="122" t="n">
        <v>0</v>
      </c>
      <c r="AM2499" s="124">
        <f>IFERROR(AL2499/AA2499,"")</f>
        <v/>
      </c>
      <c r="AN2499" s="125">
        <f>IFERROR(R2499/AL2499,"")</f>
        <v/>
      </c>
      <c r="AO2499" s="122" t="n">
        <v>0</v>
      </c>
      <c r="AP2499" s="54">
        <f>IFERROR(AO2499/AL2499,"")</f>
        <v/>
      </c>
      <c r="AQ2499" s="125">
        <f>IFERROR(R2499/AO2499,"")</f>
        <v/>
      </c>
      <c r="AR2499" s="122" t="n">
        <v>0</v>
      </c>
      <c r="AS2499" s="122" t="n">
        <v>0</v>
      </c>
      <c r="AT2499" s="122">
        <f>AL2499+AR2499</f>
        <v/>
      </c>
      <c r="AU2499" s="125">
        <f>IFERROR(AO2499*Assumptions!$C$26*Assumptions!$C$27*INDEX(Assumptions!$C$18:$C$21,MATCH(H2499,Assumptions!$B$18:$B$21,0)),0)</f>
        <v/>
      </c>
    </row>
    <row r="2500">
      <c r="A2500" s="120" t="n">
        <v>46237</v>
      </c>
      <c r="B2500" s="66" t="inlineStr">
        <is>
          <t>Wk 32</t>
        </is>
      </c>
      <c r="C2500" s="66" t="inlineStr">
        <is>
          <t>Mon</t>
        </is>
      </c>
      <c r="D2500" s="66" t="inlineStr">
        <is>
          <t>Programmatic</t>
        </is>
      </c>
      <c r="E2500" s="66" t="inlineStr">
        <is>
          <t>DV360</t>
        </is>
      </c>
      <c r="F2500" s="66" t="inlineStr">
        <is>
          <t>LEP_ZA_AUG26_PROG_RMKT_DYNAMIC</t>
        </is>
      </c>
      <c r="G2500" s="66" t="inlineStr">
        <is>
          <t>Dynamic Retargeting</t>
        </is>
      </c>
      <c r="H2500" s="66" t="inlineStr">
        <is>
          <t>Range</t>
        </is>
      </c>
      <c r="I2500" s="66" t="inlineStr">
        <is>
          <t>Range Offer</t>
        </is>
      </c>
      <c r="J2500" s="66" t="inlineStr">
        <is>
          <t>PROG_LAL_SEED_CONVERTERS</t>
        </is>
      </c>
      <c r="K2500" s="66" t="inlineStr">
        <is>
          <t>Lookalike</t>
        </is>
      </c>
      <c r="L2500" s="66" t="inlineStr">
        <is>
          <t>PROG_HTML5_300x600_Models_v1</t>
        </is>
      </c>
      <c r="M2500" s="66" t="inlineStr">
        <is>
          <t>HTML5 Display 300x600</t>
        </is>
      </c>
      <c r="N2500" s="66" t="inlineStr">
        <is>
          <t>Three models. One test drive.</t>
        </is>
      </c>
      <c r="O2500" s="66" t="inlineStr">
        <is>
          <t>Auction - Lowest Cost</t>
        </is>
      </c>
      <c r="P2500" s="66" t="inlineStr">
        <is>
          <t>Conversions (CPA)</t>
        </is>
      </c>
      <c r="Q2500" s="66" t="inlineStr">
        <is>
          <t>https://www.lepas-sa.co.za/offers</t>
        </is>
      </c>
      <c r="R2500" s="121" t="n">
        <v>60.4</v>
      </c>
      <c r="S2500" s="122" t="n">
        <v>1551</v>
      </c>
      <c r="T2500" s="122" t="n">
        <v>1219</v>
      </c>
      <c r="U2500" s="123">
        <f>IFERROR(S2500/T2500,"")</f>
        <v/>
      </c>
      <c r="V2500" s="122" t="n">
        <v>3</v>
      </c>
      <c r="W2500" s="122" t="n">
        <v>2</v>
      </c>
      <c r="X2500" s="124">
        <f>IFERROR(W2500/S2500,"")</f>
        <v/>
      </c>
      <c r="Y2500" s="121">
        <f>IFERROR(R2500/W2500,"")</f>
        <v/>
      </c>
      <c r="Z2500" s="121">
        <f>IFERROR(R2500/S2500*1000,"")</f>
        <v/>
      </c>
      <c r="AA2500" s="122" t="n">
        <v>1</v>
      </c>
      <c r="AB2500" s="54">
        <f>IFERROR(AA2500/W2500,"")</f>
        <v/>
      </c>
      <c r="AC2500" s="122" t="n">
        <v>0</v>
      </c>
      <c r="AD2500" s="122" t="n">
        <v>0</v>
      </c>
      <c r="AE2500" s="122" t="n">
        <v>0</v>
      </c>
      <c r="AF2500" s="122" t="n">
        <v>0</v>
      </c>
      <c r="AG2500" s="122" t="n">
        <v>0</v>
      </c>
      <c r="AH2500" s="122" t="n">
        <v>0</v>
      </c>
      <c r="AI2500" s="54">
        <f>IFERROR(AC2500/S2500,"")</f>
        <v/>
      </c>
      <c r="AJ2500" s="54">
        <f>IFERROR(AH2500/S2500,"")</f>
        <v/>
      </c>
      <c r="AK2500" s="122" t="n">
        <v>3</v>
      </c>
      <c r="AL2500" s="122" t="n">
        <v>0</v>
      </c>
      <c r="AM2500" s="124">
        <f>IFERROR(AL2500/AA2500,"")</f>
        <v/>
      </c>
      <c r="AN2500" s="125">
        <f>IFERROR(R2500/AL2500,"")</f>
        <v/>
      </c>
      <c r="AO2500" s="122" t="n">
        <v>0</v>
      </c>
      <c r="AP2500" s="54">
        <f>IFERROR(AO2500/AL2500,"")</f>
        <v/>
      </c>
      <c r="AQ2500" s="125">
        <f>IFERROR(R2500/AO2500,"")</f>
        <v/>
      </c>
      <c r="AR2500" s="122" t="n">
        <v>0</v>
      </c>
      <c r="AS2500" s="122" t="n">
        <v>0</v>
      </c>
      <c r="AT2500" s="122">
        <f>AL2500+AR2500</f>
        <v/>
      </c>
      <c r="AU2500" s="125">
        <f>IFERROR(AO2500*Assumptions!$C$26*Assumptions!$C$27*INDEX(Assumptions!$C$18:$C$21,MATCH(H2500,Assumptions!$B$18:$B$21,0)),0)</f>
        <v/>
      </c>
    </row>
    <row r="2501">
      <c r="A2501" s="120" t="n">
        <v>46238</v>
      </c>
      <c r="B2501" s="66" t="inlineStr">
        <is>
          <t>Wk 32</t>
        </is>
      </c>
      <c r="C2501" s="66" t="inlineStr">
        <is>
          <t>Tue</t>
        </is>
      </c>
      <c r="D2501" s="66" t="inlineStr">
        <is>
          <t>Programmatic</t>
        </is>
      </c>
      <c r="E2501" s="66" t="inlineStr">
        <is>
          <t>DV360</t>
        </is>
      </c>
      <c r="F2501" s="66" t="inlineStr">
        <is>
          <t>LEP_ZA_AUG26_PROG_RMKT_DYNAMIC</t>
        </is>
      </c>
      <c r="G2501" s="66" t="inlineStr">
        <is>
          <t>Dynamic Retargeting</t>
        </is>
      </c>
      <c r="H2501" s="66" t="inlineStr">
        <is>
          <t>Range</t>
        </is>
      </c>
      <c r="I2501" s="66" t="inlineStr">
        <is>
          <t>Range Offer</t>
        </is>
      </c>
      <c r="J2501" s="66" t="inlineStr">
        <is>
          <t>PROG_LAL_SEED_CONVERTERS</t>
        </is>
      </c>
      <c r="K2501" s="66" t="inlineStr">
        <is>
          <t>Lookalike</t>
        </is>
      </c>
      <c r="L2501" s="66" t="inlineStr">
        <is>
          <t>PROG_HTML5_300x600_Models_v1</t>
        </is>
      </c>
      <c r="M2501" s="66" t="inlineStr">
        <is>
          <t>HTML5 Display 300x600</t>
        </is>
      </c>
      <c r="N2501" s="66" t="inlineStr">
        <is>
          <t>Three models. One test drive.</t>
        </is>
      </c>
      <c r="O2501" s="66" t="inlineStr">
        <is>
          <t>Auction - Lowest Cost</t>
        </is>
      </c>
      <c r="P2501" s="66" t="inlineStr">
        <is>
          <t>Conversions (CPA)</t>
        </is>
      </c>
      <c r="Q2501" s="66" t="inlineStr">
        <is>
          <t>https://www.lepas-sa.co.za/offers</t>
        </is>
      </c>
      <c r="R2501" s="121" t="n">
        <v>62.38</v>
      </c>
      <c r="S2501" s="122" t="n">
        <v>1782</v>
      </c>
      <c r="T2501" s="122" t="n">
        <v>922</v>
      </c>
      <c r="U2501" s="123">
        <f>IFERROR(S2501/T2501,"")</f>
        <v/>
      </c>
      <c r="V2501" s="122" t="n">
        <v>8</v>
      </c>
      <c r="W2501" s="122" t="n">
        <v>6</v>
      </c>
      <c r="X2501" s="124">
        <f>IFERROR(W2501/S2501,"")</f>
        <v/>
      </c>
      <c r="Y2501" s="121">
        <f>IFERROR(R2501/W2501,"")</f>
        <v/>
      </c>
      <c r="Z2501" s="121">
        <f>IFERROR(R2501/S2501*1000,"")</f>
        <v/>
      </c>
      <c r="AA2501" s="122" t="n">
        <v>4</v>
      </c>
      <c r="AB2501" s="54">
        <f>IFERROR(AA2501/W2501,"")</f>
        <v/>
      </c>
      <c r="AC2501" s="122" t="n">
        <v>0</v>
      </c>
      <c r="AD2501" s="122" t="n">
        <v>0</v>
      </c>
      <c r="AE2501" s="122" t="n">
        <v>0</v>
      </c>
      <c r="AF2501" s="122" t="n">
        <v>0</v>
      </c>
      <c r="AG2501" s="122" t="n">
        <v>0</v>
      </c>
      <c r="AH2501" s="122" t="n">
        <v>0</v>
      </c>
      <c r="AI2501" s="54">
        <f>IFERROR(AC2501/S2501,"")</f>
        <v/>
      </c>
      <c r="AJ2501" s="54">
        <f>IFERROR(AH2501/S2501,"")</f>
        <v/>
      </c>
      <c r="AK2501" s="122" t="n">
        <v>9</v>
      </c>
      <c r="AL2501" s="122" t="n">
        <v>0</v>
      </c>
      <c r="AM2501" s="124">
        <f>IFERROR(AL2501/AA2501,"")</f>
        <v/>
      </c>
      <c r="AN2501" s="125">
        <f>IFERROR(R2501/AL2501,"")</f>
        <v/>
      </c>
      <c r="AO2501" s="122" t="n">
        <v>0</v>
      </c>
      <c r="AP2501" s="54">
        <f>IFERROR(AO2501/AL2501,"")</f>
        <v/>
      </c>
      <c r="AQ2501" s="125">
        <f>IFERROR(R2501/AO2501,"")</f>
        <v/>
      </c>
      <c r="AR2501" s="122" t="n">
        <v>0</v>
      </c>
      <c r="AS2501" s="122" t="n">
        <v>0</v>
      </c>
      <c r="AT2501" s="122">
        <f>AL2501+AR2501</f>
        <v/>
      </c>
      <c r="AU2501" s="125">
        <f>IFERROR(AO2501*Assumptions!$C$26*Assumptions!$C$27*INDEX(Assumptions!$C$18:$C$21,MATCH(H2501,Assumptions!$B$18:$B$21,0)),0)</f>
        <v/>
      </c>
    </row>
    <row r="2502">
      <c r="A2502" s="120" t="n">
        <v>46239</v>
      </c>
      <c r="B2502" s="66" t="inlineStr">
        <is>
          <t>Wk 32</t>
        </is>
      </c>
      <c r="C2502" s="66" t="inlineStr">
        <is>
          <t>Wed</t>
        </is>
      </c>
      <c r="D2502" s="66" t="inlineStr">
        <is>
          <t>Programmatic</t>
        </is>
      </c>
      <c r="E2502" s="66" t="inlineStr">
        <is>
          <t>DV360</t>
        </is>
      </c>
      <c r="F2502" s="66" t="inlineStr">
        <is>
          <t>LEP_ZA_AUG26_PROG_RMKT_DYNAMIC</t>
        </is>
      </c>
      <c r="G2502" s="66" t="inlineStr">
        <is>
          <t>Dynamic Retargeting</t>
        </is>
      </c>
      <c r="H2502" s="66" t="inlineStr">
        <is>
          <t>Range</t>
        </is>
      </c>
      <c r="I2502" s="66" t="inlineStr">
        <is>
          <t>Range Offer</t>
        </is>
      </c>
      <c r="J2502" s="66" t="inlineStr">
        <is>
          <t>PROG_LAL_SEED_CONVERTERS</t>
        </is>
      </c>
      <c r="K2502" s="66" t="inlineStr">
        <is>
          <t>Lookalike</t>
        </is>
      </c>
      <c r="L2502" s="66" t="inlineStr">
        <is>
          <t>PROG_HTML5_300x600_Models_v1</t>
        </is>
      </c>
      <c r="M2502" s="66" t="inlineStr">
        <is>
          <t>HTML5 Display 300x600</t>
        </is>
      </c>
      <c r="N2502" s="66" t="inlineStr">
        <is>
          <t>Three models. One test drive.</t>
        </is>
      </c>
      <c r="O2502" s="66" t="inlineStr">
        <is>
          <t>Auction - Lowest Cost</t>
        </is>
      </c>
      <c r="P2502" s="66" t="inlineStr">
        <is>
          <t>Conversions (CPA)</t>
        </is>
      </c>
      <c r="Q2502" s="66" t="inlineStr">
        <is>
          <t>https://www.lepas-sa.co.za/offers</t>
        </is>
      </c>
      <c r="R2502" s="121" t="n">
        <v>70.93000000000001</v>
      </c>
      <c r="S2502" s="122" t="n">
        <v>1810</v>
      </c>
      <c r="T2502" s="122" t="n">
        <v>1162</v>
      </c>
      <c r="U2502" s="123">
        <f>IFERROR(S2502/T2502,"")</f>
        <v/>
      </c>
      <c r="V2502" s="122" t="n">
        <v>7</v>
      </c>
      <c r="W2502" s="122" t="n">
        <v>6</v>
      </c>
      <c r="X2502" s="124">
        <f>IFERROR(W2502/S2502,"")</f>
        <v/>
      </c>
      <c r="Y2502" s="121">
        <f>IFERROR(R2502/W2502,"")</f>
        <v/>
      </c>
      <c r="Z2502" s="121">
        <f>IFERROR(R2502/S2502*1000,"")</f>
        <v/>
      </c>
      <c r="AA2502" s="122" t="n">
        <v>4</v>
      </c>
      <c r="AB2502" s="54">
        <f>IFERROR(AA2502/W2502,"")</f>
        <v/>
      </c>
      <c r="AC2502" s="122" t="n">
        <v>0</v>
      </c>
      <c r="AD2502" s="122" t="n">
        <v>0</v>
      </c>
      <c r="AE2502" s="122" t="n">
        <v>0</v>
      </c>
      <c r="AF2502" s="122" t="n">
        <v>0</v>
      </c>
      <c r="AG2502" s="122" t="n">
        <v>0</v>
      </c>
      <c r="AH2502" s="122" t="n">
        <v>0</v>
      </c>
      <c r="AI2502" s="54">
        <f>IFERROR(AC2502/S2502,"")</f>
        <v/>
      </c>
      <c r="AJ2502" s="54">
        <f>IFERROR(AH2502/S2502,"")</f>
        <v/>
      </c>
      <c r="AK2502" s="122" t="n">
        <v>5</v>
      </c>
      <c r="AL2502" s="122" t="n">
        <v>0</v>
      </c>
      <c r="AM2502" s="124">
        <f>IFERROR(AL2502/AA2502,"")</f>
        <v/>
      </c>
      <c r="AN2502" s="125">
        <f>IFERROR(R2502/AL2502,"")</f>
        <v/>
      </c>
      <c r="AO2502" s="122" t="n">
        <v>0</v>
      </c>
      <c r="AP2502" s="54">
        <f>IFERROR(AO2502/AL2502,"")</f>
        <v/>
      </c>
      <c r="AQ2502" s="125">
        <f>IFERROR(R2502/AO2502,"")</f>
        <v/>
      </c>
      <c r="AR2502" s="122" t="n">
        <v>0</v>
      </c>
      <c r="AS2502" s="122" t="n">
        <v>0</v>
      </c>
      <c r="AT2502" s="122">
        <f>AL2502+AR2502</f>
        <v/>
      </c>
      <c r="AU2502" s="125">
        <f>IFERROR(AO2502*Assumptions!$C$26*Assumptions!$C$27*INDEX(Assumptions!$C$18:$C$21,MATCH(H2502,Assumptions!$B$18:$B$21,0)),0)</f>
        <v/>
      </c>
    </row>
    <row r="2503">
      <c r="A2503" s="120" t="n">
        <v>46240</v>
      </c>
      <c r="B2503" s="66" t="inlineStr">
        <is>
          <t>Wk 32</t>
        </is>
      </c>
      <c r="C2503" s="66" t="inlineStr">
        <is>
          <t>Thu</t>
        </is>
      </c>
      <c r="D2503" s="66" t="inlineStr">
        <is>
          <t>Programmatic</t>
        </is>
      </c>
      <c r="E2503" s="66" t="inlineStr">
        <is>
          <t>DV360</t>
        </is>
      </c>
      <c r="F2503" s="66" t="inlineStr">
        <is>
          <t>LEP_ZA_AUG26_PROG_RMKT_DYNAMIC</t>
        </is>
      </c>
      <c r="G2503" s="66" t="inlineStr">
        <is>
          <t>Dynamic Retargeting</t>
        </is>
      </c>
      <c r="H2503" s="66" t="inlineStr">
        <is>
          <t>Range</t>
        </is>
      </c>
      <c r="I2503" s="66" t="inlineStr">
        <is>
          <t>Range Offer</t>
        </is>
      </c>
      <c r="J2503" s="66" t="inlineStr">
        <is>
          <t>PROG_LAL_SEED_CONVERTERS</t>
        </is>
      </c>
      <c r="K2503" s="66" t="inlineStr">
        <is>
          <t>Lookalike</t>
        </is>
      </c>
      <c r="L2503" s="66" t="inlineStr">
        <is>
          <t>PROG_HTML5_300x600_Models_v1</t>
        </is>
      </c>
      <c r="M2503" s="66" t="inlineStr">
        <is>
          <t>HTML5 Display 300x600</t>
        </is>
      </c>
      <c r="N2503" s="66" t="inlineStr">
        <is>
          <t>Three models. One test drive.</t>
        </is>
      </c>
      <c r="O2503" s="66" t="inlineStr">
        <is>
          <t>Auction - Lowest Cost</t>
        </is>
      </c>
      <c r="P2503" s="66" t="inlineStr">
        <is>
          <t>Conversions (CPA)</t>
        </is>
      </c>
      <c r="Q2503" s="66" t="inlineStr">
        <is>
          <t>https://www.lepas-sa.co.za/offers</t>
        </is>
      </c>
      <c r="R2503" s="121" t="n">
        <v>72.14</v>
      </c>
      <c r="S2503" s="122" t="n">
        <v>2357</v>
      </c>
      <c r="T2503" s="122" t="n">
        <v>1169</v>
      </c>
      <c r="U2503" s="123">
        <f>IFERROR(S2503/T2503,"")</f>
        <v/>
      </c>
      <c r="V2503" s="122" t="n">
        <v>6</v>
      </c>
      <c r="W2503" s="122" t="n">
        <v>5</v>
      </c>
      <c r="X2503" s="124">
        <f>IFERROR(W2503/S2503,"")</f>
        <v/>
      </c>
      <c r="Y2503" s="121">
        <f>IFERROR(R2503/W2503,"")</f>
        <v/>
      </c>
      <c r="Z2503" s="121">
        <f>IFERROR(R2503/S2503*1000,"")</f>
        <v/>
      </c>
      <c r="AA2503" s="122" t="n">
        <v>3</v>
      </c>
      <c r="AB2503" s="54">
        <f>IFERROR(AA2503/W2503,"")</f>
        <v/>
      </c>
      <c r="AC2503" s="122" t="n">
        <v>0</v>
      </c>
      <c r="AD2503" s="122" t="n">
        <v>0</v>
      </c>
      <c r="AE2503" s="122" t="n">
        <v>0</v>
      </c>
      <c r="AF2503" s="122" t="n">
        <v>0</v>
      </c>
      <c r="AG2503" s="122" t="n">
        <v>0</v>
      </c>
      <c r="AH2503" s="122" t="n">
        <v>0</v>
      </c>
      <c r="AI2503" s="54">
        <f>IFERROR(AC2503/S2503,"")</f>
        <v/>
      </c>
      <c r="AJ2503" s="54">
        <f>IFERROR(AH2503/S2503,"")</f>
        <v/>
      </c>
      <c r="AK2503" s="122" t="n">
        <v>3</v>
      </c>
      <c r="AL2503" s="122" t="n">
        <v>0</v>
      </c>
      <c r="AM2503" s="124">
        <f>IFERROR(AL2503/AA2503,"")</f>
        <v/>
      </c>
      <c r="AN2503" s="125">
        <f>IFERROR(R2503/AL2503,"")</f>
        <v/>
      </c>
      <c r="AO2503" s="122" t="n">
        <v>0</v>
      </c>
      <c r="AP2503" s="54">
        <f>IFERROR(AO2503/AL2503,"")</f>
        <v/>
      </c>
      <c r="AQ2503" s="125">
        <f>IFERROR(R2503/AO2503,"")</f>
        <v/>
      </c>
      <c r="AR2503" s="122" t="n">
        <v>0</v>
      </c>
      <c r="AS2503" s="122" t="n">
        <v>0</v>
      </c>
      <c r="AT2503" s="122">
        <f>AL2503+AR2503</f>
        <v/>
      </c>
      <c r="AU2503" s="125">
        <f>IFERROR(AO2503*Assumptions!$C$26*Assumptions!$C$27*INDEX(Assumptions!$C$18:$C$21,MATCH(H2503,Assumptions!$B$18:$B$21,0)),0)</f>
        <v/>
      </c>
    </row>
    <row r="2504">
      <c r="A2504" s="120" t="n">
        <v>46241</v>
      </c>
      <c r="B2504" s="66" t="inlineStr">
        <is>
          <t>Wk 32</t>
        </is>
      </c>
      <c r="C2504" s="66" t="inlineStr">
        <is>
          <t>Fri</t>
        </is>
      </c>
      <c r="D2504" s="66" t="inlineStr">
        <is>
          <t>Programmatic</t>
        </is>
      </c>
      <c r="E2504" s="66" t="inlineStr">
        <is>
          <t>DV360</t>
        </is>
      </c>
      <c r="F2504" s="66" t="inlineStr">
        <is>
          <t>LEP_ZA_AUG26_PROG_RMKT_DYNAMIC</t>
        </is>
      </c>
      <c r="G2504" s="66" t="inlineStr">
        <is>
          <t>Dynamic Retargeting</t>
        </is>
      </c>
      <c r="H2504" s="66" t="inlineStr">
        <is>
          <t>Range</t>
        </is>
      </c>
      <c r="I2504" s="66" t="inlineStr">
        <is>
          <t>Range Offer</t>
        </is>
      </c>
      <c r="J2504" s="66" t="inlineStr">
        <is>
          <t>PROG_LAL_SEED_CONVERTERS</t>
        </is>
      </c>
      <c r="K2504" s="66" t="inlineStr">
        <is>
          <t>Lookalike</t>
        </is>
      </c>
      <c r="L2504" s="66" t="inlineStr">
        <is>
          <t>PROG_HTML5_300x600_Models_v1</t>
        </is>
      </c>
      <c r="M2504" s="66" t="inlineStr">
        <is>
          <t>HTML5 Display 300x600</t>
        </is>
      </c>
      <c r="N2504" s="66" t="inlineStr">
        <is>
          <t>Three models. One test drive.</t>
        </is>
      </c>
      <c r="O2504" s="66" t="inlineStr">
        <is>
          <t>Auction - Lowest Cost</t>
        </is>
      </c>
      <c r="P2504" s="66" t="inlineStr">
        <is>
          <t>Conversions (CPA)</t>
        </is>
      </c>
      <c r="Q2504" s="66" t="inlineStr">
        <is>
          <t>https://www.lepas-sa.co.za/offers</t>
        </is>
      </c>
      <c r="R2504" s="121" t="n">
        <v>71.56999999999999</v>
      </c>
      <c r="S2504" s="122" t="n">
        <v>2441</v>
      </c>
      <c r="T2504" s="122" t="n">
        <v>1409</v>
      </c>
      <c r="U2504" s="123">
        <f>IFERROR(S2504/T2504,"")</f>
        <v/>
      </c>
      <c r="V2504" s="122" t="n">
        <v>7</v>
      </c>
      <c r="W2504" s="122" t="n">
        <v>5</v>
      </c>
      <c r="X2504" s="124">
        <f>IFERROR(W2504/S2504,"")</f>
        <v/>
      </c>
      <c r="Y2504" s="121">
        <f>IFERROR(R2504/W2504,"")</f>
        <v/>
      </c>
      <c r="Z2504" s="121">
        <f>IFERROR(R2504/S2504*1000,"")</f>
        <v/>
      </c>
      <c r="AA2504" s="122" t="n">
        <v>3</v>
      </c>
      <c r="AB2504" s="54">
        <f>IFERROR(AA2504/W2504,"")</f>
        <v/>
      </c>
      <c r="AC2504" s="122" t="n">
        <v>0</v>
      </c>
      <c r="AD2504" s="122" t="n">
        <v>0</v>
      </c>
      <c r="AE2504" s="122" t="n">
        <v>0</v>
      </c>
      <c r="AF2504" s="122" t="n">
        <v>0</v>
      </c>
      <c r="AG2504" s="122" t="n">
        <v>0</v>
      </c>
      <c r="AH2504" s="122" t="n">
        <v>0</v>
      </c>
      <c r="AI2504" s="54">
        <f>IFERROR(AC2504/S2504,"")</f>
        <v/>
      </c>
      <c r="AJ2504" s="54">
        <f>IFERROR(AH2504/S2504,"")</f>
        <v/>
      </c>
      <c r="AK2504" s="122" t="n">
        <v>2</v>
      </c>
      <c r="AL2504" s="122" t="n">
        <v>0</v>
      </c>
      <c r="AM2504" s="124">
        <f>IFERROR(AL2504/AA2504,"")</f>
        <v/>
      </c>
      <c r="AN2504" s="125">
        <f>IFERROR(R2504/AL2504,"")</f>
        <v/>
      </c>
      <c r="AO2504" s="122" t="n">
        <v>0</v>
      </c>
      <c r="AP2504" s="54">
        <f>IFERROR(AO2504/AL2504,"")</f>
        <v/>
      </c>
      <c r="AQ2504" s="125">
        <f>IFERROR(R2504/AO2504,"")</f>
        <v/>
      </c>
      <c r="AR2504" s="122" t="n">
        <v>0</v>
      </c>
      <c r="AS2504" s="122" t="n">
        <v>0</v>
      </c>
      <c r="AT2504" s="122">
        <f>AL2504+AR2504</f>
        <v/>
      </c>
      <c r="AU2504" s="125">
        <f>IFERROR(AO2504*Assumptions!$C$26*Assumptions!$C$27*INDEX(Assumptions!$C$18:$C$21,MATCH(H2504,Assumptions!$B$18:$B$21,0)),0)</f>
        <v/>
      </c>
    </row>
    <row r="2505">
      <c r="A2505" s="120" t="n">
        <v>46242</v>
      </c>
      <c r="B2505" s="66" t="inlineStr">
        <is>
          <t>Wk 32</t>
        </is>
      </c>
      <c r="C2505" s="66" t="inlineStr">
        <is>
          <t>Sat</t>
        </is>
      </c>
      <c r="D2505" s="66" t="inlineStr">
        <is>
          <t>Programmatic</t>
        </is>
      </c>
      <c r="E2505" s="66" t="inlineStr">
        <is>
          <t>DV360</t>
        </is>
      </c>
      <c r="F2505" s="66" t="inlineStr">
        <is>
          <t>LEP_ZA_AUG26_PROG_RMKT_DYNAMIC</t>
        </is>
      </c>
      <c r="G2505" s="66" t="inlineStr">
        <is>
          <t>Dynamic Retargeting</t>
        </is>
      </c>
      <c r="H2505" s="66" t="inlineStr">
        <is>
          <t>Range</t>
        </is>
      </c>
      <c r="I2505" s="66" t="inlineStr">
        <is>
          <t>Range Offer</t>
        </is>
      </c>
      <c r="J2505" s="66" t="inlineStr">
        <is>
          <t>PROG_LAL_SEED_CONVERTERS</t>
        </is>
      </c>
      <c r="K2505" s="66" t="inlineStr">
        <is>
          <t>Lookalike</t>
        </is>
      </c>
      <c r="L2505" s="66" t="inlineStr">
        <is>
          <t>PROG_HTML5_300x600_Models_v1</t>
        </is>
      </c>
      <c r="M2505" s="66" t="inlineStr">
        <is>
          <t>HTML5 Display 300x600</t>
        </is>
      </c>
      <c r="N2505" s="66" t="inlineStr">
        <is>
          <t>Three models. One test drive.</t>
        </is>
      </c>
      <c r="O2505" s="66" t="inlineStr">
        <is>
          <t>Auction - Lowest Cost</t>
        </is>
      </c>
      <c r="P2505" s="66" t="inlineStr">
        <is>
          <t>Conversions (CPA)</t>
        </is>
      </c>
      <c r="Q2505" s="66" t="inlineStr">
        <is>
          <t>https://www.lepas-sa.co.za/offers</t>
        </is>
      </c>
      <c r="R2505" s="121" t="n">
        <v>73.73999999999999</v>
      </c>
      <c r="S2505" s="122" t="n">
        <v>3243</v>
      </c>
      <c r="T2505" s="122" t="n">
        <v>2050</v>
      </c>
      <c r="U2505" s="123">
        <f>IFERROR(S2505/T2505,"")</f>
        <v/>
      </c>
      <c r="V2505" s="122" t="n">
        <v>13</v>
      </c>
      <c r="W2505" s="122" t="n">
        <v>11</v>
      </c>
      <c r="X2505" s="124">
        <f>IFERROR(W2505/S2505,"")</f>
        <v/>
      </c>
      <c r="Y2505" s="121">
        <f>IFERROR(R2505/W2505,"")</f>
        <v/>
      </c>
      <c r="Z2505" s="121">
        <f>IFERROR(R2505/S2505*1000,"")</f>
        <v/>
      </c>
      <c r="AA2505" s="122" t="n">
        <v>7</v>
      </c>
      <c r="AB2505" s="54">
        <f>IFERROR(AA2505/W2505,"")</f>
        <v/>
      </c>
      <c r="AC2505" s="122" t="n">
        <v>0</v>
      </c>
      <c r="AD2505" s="122" t="n">
        <v>0</v>
      </c>
      <c r="AE2505" s="122" t="n">
        <v>0</v>
      </c>
      <c r="AF2505" s="122" t="n">
        <v>0</v>
      </c>
      <c r="AG2505" s="122" t="n">
        <v>0</v>
      </c>
      <c r="AH2505" s="122" t="n">
        <v>0</v>
      </c>
      <c r="AI2505" s="54">
        <f>IFERROR(AC2505/S2505,"")</f>
        <v/>
      </c>
      <c r="AJ2505" s="54">
        <f>IFERROR(AH2505/S2505,"")</f>
        <v/>
      </c>
      <c r="AK2505" s="122" t="n">
        <v>14</v>
      </c>
      <c r="AL2505" s="122" t="n">
        <v>1</v>
      </c>
      <c r="AM2505" s="124">
        <f>IFERROR(AL2505/AA2505,"")</f>
        <v/>
      </c>
      <c r="AN2505" s="125">
        <f>IFERROR(R2505/AL2505,"")</f>
        <v/>
      </c>
      <c r="AO2505" s="122" t="n">
        <v>0</v>
      </c>
      <c r="AP2505" s="54">
        <f>IFERROR(AO2505/AL2505,"")</f>
        <v/>
      </c>
      <c r="AQ2505" s="125">
        <f>IFERROR(R2505/AO2505,"")</f>
        <v/>
      </c>
      <c r="AR2505" s="122" t="n">
        <v>3</v>
      </c>
      <c r="AS2505" s="122" t="n">
        <v>1</v>
      </c>
      <c r="AT2505" s="122">
        <f>AL2505+AR2505</f>
        <v/>
      </c>
      <c r="AU2505" s="125">
        <f>IFERROR(AO2505*Assumptions!$C$26*Assumptions!$C$27*INDEX(Assumptions!$C$18:$C$21,MATCH(H2505,Assumptions!$B$18:$B$21,0)),0)</f>
        <v/>
      </c>
    </row>
    <row r="2506">
      <c r="A2506" s="120" t="n">
        <v>46243</v>
      </c>
      <c r="B2506" s="66" t="inlineStr">
        <is>
          <t>Wk 32</t>
        </is>
      </c>
      <c r="C2506" s="66" t="inlineStr">
        <is>
          <t>Sun</t>
        </is>
      </c>
      <c r="D2506" s="66" t="inlineStr">
        <is>
          <t>Programmatic</t>
        </is>
      </c>
      <c r="E2506" s="66" t="inlineStr">
        <is>
          <t>DV360</t>
        </is>
      </c>
      <c r="F2506" s="66" t="inlineStr">
        <is>
          <t>LEP_ZA_AUG26_PROG_RMKT_DYNAMIC</t>
        </is>
      </c>
      <c r="G2506" s="66" t="inlineStr">
        <is>
          <t>Dynamic Retargeting</t>
        </is>
      </c>
      <c r="H2506" s="66" t="inlineStr">
        <is>
          <t>Range</t>
        </is>
      </c>
      <c r="I2506" s="66" t="inlineStr">
        <is>
          <t>Range Offer</t>
        </is>
      </c>
      <c r="J2506" s="66" t="inlineStr">
        <is>
          <t>PROG_LAL_SEED_CONVERTERS</t>
        </is>
      </c>
      <c r="K2506" s="66" t="inlineStr">
        <is>
          <t>Lookalike</t>
        </is>
      </c>
      <c r="L2506" s="66" t="inlineStr">
        <is>
          <t>PROG_HTML5_300x600_Models_v1</t>
        </is>
      </c>
      <c r="M2506" s="66" t="inlineStr">
        <is>
          <t>HTML5 Display 300x600</t>
        </is>
      </c>
      <c r="N2506" s="66" t="inlineStr">
        <is>
          <t>Three models. One test drive.</t>
        </is>
      </c>
      <c r="O2506" s="66" t="inlineStr">
        <is>
          <t>Auction - Lowest Cost</t>
        </is>
      </c>
      <c r="P2506" s="66" t="inlineStr">
        <is>
          <t>Conversions (CPA)</t>
        </is>
      </c>
      <c r="Q2506" s="66" t="inlineStr">
        <is>
          <t>https://www.lepas-sa.co.za/offers</t>
        </is>
      </c>
      <c r="R2506" s="121" t="n">
        <v>51.73</v>
      </c>
      <c r="S2506" s="122" t="n">
        <v>2674</v>
      </c>
      <c r="T2506" s="122" t="n">
        <v>1456</v>
      </c>
      <c r="U2506" s="123">
        <f>IFERROR(S2506/T2506,"")</f>
        <v/>
      </c>
      <c r="V2506" s="122" t="n">
        <v>6</v>
      </c>
      <c r="W2506" s="122" t="n">
        <v>5</v>
      </c>
      <c r="X2506" s="124">
        <f>IFERROR(W2506/S2506,"")</f>
        <v/>
      </c>
      <c r="Y2506" s="121">
        <f>IFERROR(R2506/W2506,"")</f>
        <v/>
      </c>
      <c r="Z2506" s="121">
        <f>IFERROR(R2506/S2506*1000,"")</f>
        <v/>
      </c>
      <c r="AA2506" s="122" t="n">
        <v>3</v>
      </c>
      <c r="AB2506" s="54">
        <f>IFERROR(AA2506/W2506,"")</f>
        <v/>
      </c>
      <c r="AC2506" s="122" t="n">
        <v>0</v>
      </c>
      <c r="AD2506" s="122" t="n">
        <v>0</v>
      </c>
      <c r="AE2506" s="122" t="n">
        <v>0</v>
      </c>
      <c r="AF2506" s="122" t="n">
        <v>0</v>
      </c>
      <c r="AG2506" s="122" t="n">
        <v>0</v>
      </c>
      <c r="AH2506" s="122" t="n">
        <v>0</v>
      </c>
      <c r="AI2506" s="54">
        <f>IFERROR(AC2506/S2506,"")</f>
        <v/>
      </c>
      <c r="AJ2506" s="54">
        <f>IFERROR(AH2506/S2506,"")</f>
        <v/>
      </c>
      <c r="AK2506" s="122" t="n">
        <v>5</v>
      </c>
      <c r="AL2506" s="122" t="n">
        <v>0</v>
      </c>
      <c r="AM2506" s="124">
        <f>IFERROR(AL2506/AA2506,"")</f>
        <v/>
      </c>
      <c r="AN2506" s="125">
        <f>IFERROR(R2506/AL2506,"")</f>
        <v/>
      </c>
      <c r="AO2506" s="122" t="n">
        <v>0</v>
      </c>
      <c r="AP2506" s="54">
        <f>IFERROR(AO2506/AL2506,"")</f>
        <v/>
      </c>
      <c r="AQ2506" s="125">
        <f>IFERROR(R2506/AO2506,"")</f>
        <v/>
      </c>
      <c r="AR2506" s="122" t="n">
        <v>0</v>
      </c>
      <c r="AS2506" s="122" t="n">
        <v>0</v>
      </c>
      <c r="AT2506" s="122">
        <f>AL2506+AR2506</f>
        <v/>
      </c>
      <c r="AU2506" s="125">
        <f>IFERROR(AO2506*Assumptions!$C$26*Assumptions!$C$27*INDEX(Assumptions!$C$18:$C$21,MATCH(H2506,Assumptions!$B$18:$B$21,0)),0)</f>
        <v/>
      </c>
    </row>
    <row r="2507">
      <c r="A2507" s="120" t="n">
        <v>46244</v>
      </c>
      <c r="B2507" s="66" t="inlineStr">
        <is>
          <t>Wk 33</t>
        </is>
      </c>
      <c r="C2507" s="66" t="inlineStr">
        <is>
          <t>Mon</t>
        </is>
      </c>
      <c r="D2507" s="66" t="inlineStr">
        <is>
          <t>Programmatic</t>
        </is>
      </c>
      <c r="E2507" s="66" t="inlineStr">
        <is>
          <t>DV360</t>
        </is>
      </c>
      <c r="F2507" s="66" t="inlineStr">
        <is>
          <t>LEP_ZA_AUG26_PROG_RMKT_DYNAMIC</t>
        </is>
      </c>
      <c r="G2507" s="66" t="inlineStr">
        <is>
          <t>Dynamic Retargeting</t>
        </is>
      </c>
      <c r="H2507" s="66" t="inlineStr">
        <is>
          <t>Range</t>
        </is>
      </c>
      <c r="I2507" s="66" t="inlineStr">
        <is>
          <t>Range Offer</t>
        </is>
      </c>
      <c r="J2507" s="66" t="inlineStr">
        <is>
          <t>PROG_LAL_SEED_CONVERTERS</t>
        </is>
      </c>
      <c r="K2507" s="66" t="inlineStr">
        <is>
          <t>Lookalike</t>
        </is>
      </c>
      <c r="L2507" s="66" t="inlineStr">
        <is>
          <t>PROG_HTML5_300x600_Models_v1</t>
        </is>
      </c>
      <c r="M2507" s="66" t="inlineStr">
        <is>
          <t>HTML5 Display 300x600</t>
        </is>
      </c>
      <c r="N2507" s="66" t="inlineStr">
        <is>
          <t>Three models. One test drive.</t>
        </is>
      </c>
      <c r="O2507" s="66" t="inlineStr">
        <is>
          <t>Auction - Lowest Cost</t>
        </is>
      </c>
      <c r="P2507" s="66" t="inlineStr">
        <is>
          <t>Conversions (CPA)</t>
        </is>
      </c>
      <c r="Q2507" s="66" t="inlineStr">
        <is>
          <t>https://www.lepas-sa.co.za/offers</t>
        </is>
      </c>
      <c r="R2507" s="121" t="n">
        <v>79.98</v>
      </c>
      <c r="S2507" s="122" t="n">
        <v>3059</v>
      </c>
      <c r="T2507" s="122" t="n">
        <v>1778</v>
      </c>
      <c r="U2507" s="123">
        <f>IFERROR(S2507/T2507,"")</f>
        <v/>
      </c>
      <c r="V2507" s="122" t="n">
        <v>5</v>
      </c>
      <c r="W2507" s="122" t="n">
        <v>4</v>
      </c>
      <c r="X2507" s="124">
        <f>IFERROR(W2507/S2507,"")</f>
        <v/>
      </c>
      <c r="Y2507" s="121">
        <f>IFERROR(R2507/W2507,"")</f>
        <v/>
      </c>
      <c r="Z2507" s="121">
        <f>IFERROR(R2507/S2507*1000,"")</f>
        <v/>
      </c>
      <c r="AA2507" s="122" t="n">
        <v>2</v>
      </c>
      <c r="AB2507" s="54">
        <f>IFERROR(AA2507/W2507,"")</f>
        <v/>
      </c>
      <c r="AC2507" s="122" t="n">
        <v>0</v>
      </c>
      <c r="AD2507" s="122" t="n">
        <v>0</v>
      </c>
      <c r="AE2507" s="122" t="n">
        <v>0</v>
      </c>
      <c r="AF2507" s="122" t="n">
        <v>0</v>
      </c>
      <c r="AG2507" s="122" t="n">
        <v>0</v>
      </c>
      <c r="AH2507" s="122" t="n">
        <v>0</v>
      </c>
      <c r="AI2507" s="54">
        <f>IFERROR(AC2507/S2507,"")</f>
        <v/>
      </c>
      <c r="AJ2507" s="54">
        <f>IFERROR(AH2507/S2507,"")</f>
        <v/>
      </c>
      <c r="AK2507" s="122" t="n">
        <v>4</v>
      </c>
      <c r="AL2507" s="122" t="n">
        <v>0</v>
      </c>
      <c r="AM2507" s="124">
        <f>IFERROR(AL2507/AA2507,"")</f>
        <v/>
      </c>
      <c r="AN2507" s="125">
        <f>IFERROR(R2507/AL2507,"")</f>
        <v/>
      </c>
      <c r="AO2507" s="122" t="n">
        <v>0</v>
      </c>
      <c r="AP2507" s="54">
        <f>IFERROR(AO2507/AL2507,"")</f>
        <v/>
      </c>
      <c r="AQ2507" s="125">
        <f>IFERROR(R2507/AO2507,"")</f>
        <v/>
      </c>
      <c r="AR2507" s="122" t="n">
        <v>0</v>
      </c>
      <c r="AS2507" s="122" t="n">
        <v>0</v>
      </c>
      <c r="AT2507" s="122">
        <f>AL2507+AR2507</f>
        <v/>
      </c>
      <c r="AU2507" s="125">
        <f>IFERROR(AO2507*Assumptions!$C$26*Assumptions!$C$27*INDEX(Assumptions!$C$18:$C$21,MATCH(H2507,Assumptions!$B$18:$B$21,0)),0)</f>
        <v/>
      </c>
    </row>
    <row r="2508">
      <c r="A2508" s="120" t="n">
        <v>46245</v>
      </c>
      <c r="B2508" s="66" t="inlineStr">
        <is>
          <t>Wk 33</t>
        </is>
      </c>
      <c r="C2508" s="66" t="inlineStr">
        <is>
          <t>Tue</t>
        </is>
      </c>
      <c r="D2508" s="66" t="inlineStr">
        <is>
          <t>Programmatic</t>
        </is>
      </c>
      <c r="E2508" s="66" t="inlineStr">
        <is>
          <t>DV360</t>
        </is>
      </c>
      <c r="F2508" s="66" t="inlineStr">
        <is>
          <t>LEP_ZA_AUG26_PROG_RMKT_DYNAMIC</t>
        </is>
      </c>
      <c r="G2508" s="66" t="inlineStr">
        <is>
          <t>Dynamic Retargeting</t>
        </is>
      </c>
      <c r="H2508" s="66" t="inlineStr">
        <is>
          <t>Range</t>
        </is>
      </c>
      <c r="I2508" s="66" t="inlineStr">
        <is>
          <t>Range Offer</t>
        </is>
      </c>
      <c r="J2508" s="66" t="inlineStr">
        <is>
          <t>PROG_LAL_SEED_CONVERTERS</t>
        </is>
      </c>
      <c r="K2508" s="66" t="inlineStr">
        <is>
          <t>Lookalike</t>
        </is>
      </c>
      <c r="L2508" s="66" t="inlineStr">
        <is>
          <t>PROG_HTML5_300x600_Models_v1</t>
        </is>
      </c>
      <c r="M2508" s="66" t="inlineStr">
        <is>
          <t>HTML5 Display 300x600</t>
        </is>
      </c>
      <c r="N2508" s="66" t="inlineStr">
        <is>
          <t>Three models. One test drive.</t>
        </is>
      </c>
      <c r="O2508" s="66" t="inlineStr">
        <is>
          <t>Auction - Lowest Cost</t>
        </is>
      </c>
      <c r="P2508" s="66" t="inlineStr">
        <is>
          <t>Conversions (CPA)</t>
        </is>
      </c>
      <c r="Q2508" s="66" t="inlineStr">
        <is>
          <t>https://www.lepas-sa.co.za/offers</t>
        </is>
      </c>
      <c r="R2508" s="121" t="n">
        <v>58.77</v>
      </c>
      <c r="S2508" s="122" t="n">
        <v>1488</v>
      </c>
      <c r="T2508" s="122" t="n">
        <v>965</v>
      </c>
      <c r="U2508" s="123">
        <f>IFERROR(S2508/T2508,"")</f>
        <v/>
      </c>
      <c r="V2508" s="122" t="n">
        <v>4</v>
      </c>
      <c r="W2508" s="122" t="n">
        <v>3</v>
      </c>
      <c r="X2508" s="124">
        <f>IFERROR(W2508/S2508,"")</f>
        <v/>
      </c>
      <c r="Y2508" s="121">
        <f>IFERROR(R2508/W2508,"")</f>
        <v/>
      </c>
      <c r="Z2508" s="121">
        <f>IFERROR(R2508/S2508*1000,"")</f>
        <v/>
      </c>
      <c r="AA2508" s="122" t="n">
        <v>1</v>
      </c>
      <c r="AB2508" s="54">
        <f>IFERROR(AA2508/W2508,"")</f>
        <v/>
      </c>
      <c r="AC2508" s="122" t="n">
        <v>0</v>
      </c>
      <c r="AD2508" s="122" t="n">
        <v>0</v>
      </c>
      <c r="AE2508" s="122" t="n">
        <v>0</v>
      </c>
      <c r="AF2508" s="122" t="n">
        <v>0</v>
      </c>
      <c r="AG2508" s="122" t="n">
        <v>0</v>
      </c>
      <c r="AH2508" s="122" t="n">
        <v>0</v>
      </c>
      <c r="AI2508" s="54">
        <f>IFERROR(AC2508/S2508,"")</f>
        <v/>
      </c>
      <c r="AJ2508" s="54">
        <f>IFERROR(AH2508/S2508,"")</f>
        <v/>
      </c>
      <c r="AK2508" s="122" t="n">
        <v>7</v>
      </c>
      <c r="AL2508" s="122" t="n">
        <v>0</v>
      </c>
      <c r="AM2508" s="124">
        <f>IFERROR(AL2508/AA2508,"")</f>
        <v/>
      </c>
      <c r="AN2508" s="125">
        <f>IFERROR(R2508/AL2508,"")</f>
        <v/>
      </c>
      <c r="AO2508" s="122" t="n">
        <v>0</v>
      </c>
      <c r="AP2508" s="54">
        <f>IFERROR(AO2508/AL2508,"")</f>
        <v/>
      </c>
      <c r="AQ2508" s="125">
        <f>IFERROR(R2508/AO2508,"")</f>
        <v/>
      </c>
      <c r="AR2508" s="122" t="n">
        <v>0</v>
      </c>
      <c r="AS2508" s="122" t="n">
        <v>0</v>
      </c>
      <c r="AT2508" s="122">
        <f>AL2508+AR2508</f>
        <v/>
      </c>
      <c r="AU2508" s="125">
        <f>IFERROR(AO2508*Assumptions!$C$26*Assumptions!$C$27*INDEX(Assumptions!$C$18:$C$21,MATCH(H2508,Assumptions!$B$18:$B$21,0)),0)</f>
        <v/>
      </c>
    </row>
    <row r="2509">
      <c r="A2509" s="120" t="n">
        <v>46246</v>
      </c>
      <c r="B2509" s="66" t="inlineStr">
        <is>
          <t>Wk 33</t>
        </is>
      </c>
      <c r="C2509" s="66" t="inlineStr">
        <is>
          <t>Wed</t>
        </is>
      </c>
      <c r="D2509" s="66" t="inlineStr">
        <is>
          <t>Programmatic</t>
        </is>
      </c>
      <c r="E2509" s="66" t="inlineStr">
        <is>
          <t>DV360</t>
        </is>
      </c>
      <c r="F2509" s="66" t="inlineStr">
        <is>
          <t>LEP_ZA_AUG26_PROG_RMKT_DYNAMIC</t>
        </is>
      </c>
      <c r="G2509" s="66" t="inlineStr">
        <is>
          <t>Dynamic Retargeting</t>
        </is>
      </c>
      <c r="H2509" s="66" t="inlineStr">
        <is>
          <t>Range</t>
        </is>
      </c>
      <c r="I2509" s="66" t="inlineStr">
        <is>
          <t>Range Offer</t>
        </is>
      </c>
      <c r="J2509" s="66" t="inlineStr">
        <is>
          <t>PROG_LAL_SEED_CONVERTERS</t>
        </is>
      </c>
      <c r="K2509" s="66" t="inlineStr">
        <is>
          <t>Lookalike</t>
        </is>
      </c>
      <c r="L2509" s="66" t="inlineStr">
        <is>
          <t>PROG_HTML5_300x600_Models_v1</t>
        </is>
      </c>
      <c r="M2509" s="66" t="inlineStr">
        <is>
          <t>HTML5 Display 300x600</t>
        </is>
      </c>
      <c r="N2509" s="66" t="inlineStr">
        <is>
          <t>Three models. One test drive.</t>
        </is>
      </c>
      <c r="O2509" s="66" t="inlineStr">
        <is>
          <t>Auction - Lowest Cost</t>
        </is>
      </c>
      <c r="P2509" s="66" t="inlineStr">
        <is>
          <t>Conversions (CPA)</t>
        </is>
      </c>
      <c r="Q2509" s="66" t="inlineStr">
        <is>
          <t>https://www.lepas-sa.co.za/offers</t>
        </is>
      </c>
      <c r="R2509" s="121" t="n">
        <v>69.31</v>
      </c>
      <c r="S2509" s="122" t="n">
        <v>1973</v>
      </c>
      <c r="T2509" s="122" t="n">
        <v>1082</v>
      </c>
      <c r="U2509" s="123">
        <f>IFERROR(S2509/T2509,"")</f>
        <v/>
      </c>
      <c r="V2509" s="122" t="n">
        <v>4</v>
      </c>
      <c r="W2509" s="122" t="n">
        <v>3</v>
      </c>
      <c r="X2509" s="124">
        <f>IFERROR(W2509/S2509,"")</f>
        <v/>
      </c>
      <c r="Y2509" s="121">
        <f>IFERROR(R2509/W2509,"")</f>
        <v/>
      </c>
      <c r="Z2509" s="121">
        <f>IFERROR(R2509/S2509*1000,"")</f>
        <v/>
      </c>
      <c r="AA2509" s="122" t="n">
        <v>2</v>
      </c>
      <c r="AB2509" s="54">
        <f>IFERROR(AA2509/W2509,"")</f>
        <v/>
      </c>
      <c r="AC2509" s="122" t="n">
        <v>0</v>
      </c>
      <c r="AD2509" s="122" t="n">
        <v>0</v>
      </c>
      <c r="AE2509" s="122" t="n">
        <v>0</v>
      </c>
      <c r="AF2509" s="122" t="n">
        <v>0</v>
      </c>
      <c r="AG2509" s="122" t="n">
        <v>0</v>
      </c>
      <c r="AH2509" s="122" t="n">
        <v>0</v>
      </c>
      <c r="AI2509" s="54">
        <f>IFERROR(AC2509/S2509,"")</f>
        <v/>
      </c>
      <c r="AJ2509" s="54">
        <f>IFERROR(AH2509/S2509,"")</f>
        <v/>
      </c>
      <c r="AK2509" s="122" t="n">
        <v>7</v>
      </c>
      <c r="AL2509" s="122" t="n">
        <v>0</v>
      </c>
      <c r="AM2509" s="124">
        <f>IFERROR(AL2509/AA2509,"")</f>
        <v/>
      </c>
      <c r="AN2509" s="125">
        <f>IFERROR(R2509/AL2509,"")</f>
        <v/>
      </c>
      <c r="AO2509" s="122" t="n">
        <v>0</v>
      </c>
      <c r="AP2509" s="54">
        <f>IFERROR(AO2509/AL2509,"")</f>
        <v/>
      </c>
      <c r="AQ2509" s="125">
        <f>IFERROR(R2509/AO2509,"")</f>
        <v/>
      </c>
      <c r="AR2509" s="122" t="n">
        <v>0</v>
      </c>
      <c r="AS2509" s="122" t="n">
        <v>0</v>
      </c>
      <c r="AT2509" s="122">
        <f>AL2509+AR2509</f>
        <v/>
      </c>
      <c r="AU2509" s="125">
        <f>IFERROR(AO2509*Assumptions!$C$26*Assumptions!$C$27*INDEX(Assumptions!$C$18:$C$21,MATCH(H2509,Assumptions!$B$18:$B$21,0)),0)</f>
        <v/>
      </c>
    </row>
    <row r="2510">
      <c r="A2510" s="120" t="n">
        <v>46247</v>
      </c>
      <c r="B2510" s="66" t="inlineStr">
        <is>
          <t>Wk 33</t>
        </is>
      </c>
      <c r="C2510" s="66" t="inlineStr">
        <is>
          <t>Thu</t>
        </is>
      </c>
      <c r="D2510" s="66" t="inlineStr">
        <is>
          <t>Programmatic</t>
        </is>
      </c>
      <c r="E2510" s="66" t="inlineStr">
        <is>
          <t>DV360</t>
        </is>
      </c>
      <c r="F2510" s="66" t="inlineStr">
        <is>
          <t>LEP_ZA_AUG26_PROG_RMKT_DYNAMIC</t>
        </is>
      </c>
      <c r="G2510" s="66" t="inlineStr">
        <is>
          <t>Dynamic Retargeting</t>
        </is>
      </c>
      <c r="H2510" s="66" t="inlineStr">
        <is>
          <t>Range</t>
        </is>
      </c>
      <c r="I2510" s="66" t="inlineStr">
        <is>
          <t>Range Offer</t>
        </is>
      </c>
      <c r="J2510" s="66" t="inlineStr">
        <is>
          <t>PROG_LAL_SEED_CONVERTERS</t>
        </is>
      </c>
      <c r="K2510" s="66" t="inlineStr">
        <is>
          <t>Lookalike</t>
        </is>
      </c>
      <c r="L2510" s="66" t="inlineStr">
        <is>
          <t>PROG_HTML5_300x600_Models_v1</t>
        </is>
      </c>
      <c r="M2510" s="66" t="inlineStr">
        <is>
          <t>HTML5 Display 300x600</t>
        </is>
      </c>
      <c r="N2510" s="66" t="inlineStr">
        <is>
          <t>Three models. One test drive.</t>
        </is>
      </c>
      <c r="O2510" s="66" t="inlineStr">
        <is>
          <t>Auction - Lowest Cost</t>
        </is>
      </c>
      <c r="P2510" s="66" t="inlineStr">
        <is>
          <t>Conversions (CPA)</t>
        </is>
      </c>
      <c r="Q2510" s="66" t="inlineStr">
        <is>
          <t>https://www.lepas-sa.co.za/offers</t>
        </is>
      </c>
      <c r="R2510" s="121" t="n">
        <v>75.76000000000001</v>
      </c>
      <c r="S2510" s="122" t="n">
        <v>1987</v>
      </c>
      <c r="T2510" s="122" t="n">
        <v>1140</v>
      </c>
      <c r="U2510" s="123">
        <f>IFERROR(S2510/T2510,"")</f>
        <v/>
      </c>
      <c r="V2510" s="122" t="n">
        <v>6</v>
      </c>
      <c r="W2510" s="122" t="n">
        <v>5</v>
      </c>
      <c r="X2510" s="124">
        <f>IFERROR(W2510/S2510,"")</f>
        <v/>
      </c>
      <c r="Y2510" s="121">
        <f>IFERROR(R2510/W2510,"")</f>
        <v/>
      </c>
      <c r="Z2510" s="121">
        <f>IFERROR(R2510/S2510*1000,"")</f>
        <v/>
      </c>
      <c r="AA2510" s="122" t="n">
        <v>3</v>
      </c>
      <c r="AB2510" s="54">
        <f>IFERROR(AA2510/W2510,"")</f>
        <v/>
      </c>
      <c r="AC2510" s="122" t="n">
        <v>0</v>
      </c>
      <c r="AD2510" s="122" t="n">
        <v>0</v>
      </c>
      <c r="AE2510" s="122" t="n">
        <v>0</v>
      </c>
      <c r="AF2510" s="122" t="n">
        <v>0</v>
      </c>
      <c r="AG2510" s="122" t="n">
        <v>0</v>
      </c>
      <c r="AH2510" s="122" t="n">
        <v>0</v>
      </c>
      <c r="AI2510" s="54">
        <f>IFERROR(AC2510/S2510,"")</f>
        <v/>
      </c>
      <c r="AJ2510" s="54">
        <f>IFERROR(AH2510/S2510,"")</f>
        <v/>
      </c>
      <c r="AK2510" s="122" t="n">
        <v>5</v>
      </c>
      <c r="AL2510" s="122" t="n">
        <v>1</v>
      </c>
      <c r="AM2510" s="124">
        <f>IFERROR(AL2510/AA2510,"")</f>
        <v/>
      </c>
      <c r="AN2510" s="125">
        <f>IFERROR(R2510/AL2510,"")</f>
        <v/>
      </c>
      <c r="AO2510" s="122" t="n">
        <v>1</v>
      </c>
      <c r="AP2510" s="54">
        <f>IFERROR(AO2510/AL2510,"")</f>
        <v/>
      </c>
      <c r="AQ2510" s="125">
        <f>IFERROR(R2510/AO2510,"")</f>
        <v/>
      </c>
      <c r="AR2510" s="122" t="n">
        <v>3</v>
      </c>
      <c r="AS2510" s="122" t="n">
        <v>1</v>
      </c>
      <c r="AT2510" s="122">
        <f>AL2510+AR2510</f>
        <v/>
      </c>
      <c r="AU2510" s="125">
        <f>IFERROR(AO2510*Assumptions!$C$26*Assumptions!$C$27*INDEX(Assumptions!$C$18:$C$21,MATCH(H2510,Assumptions!$B$18:$B$21,0)),0)</f>
        <v/>
      </c>
    </row>
    <row r="2511">
      <c r="A2511" s="120" t="n">
        <v>46248</v>
      </c>
      <c r="B2511" s="66" t="inlineStr">
        <is>
          <t>Wk 33</t>
        </is>
      </c>
      <c r="C2511" s="66" t="inlineStr">
        <is>
          <t>Fri</t>
        </is>
      </c>
      <c r="D2511" s="66" t="inlineStr">
        <is>
          <t>Programmatic</t>
        </is>
      </c>
      <c r="E2511" s="66" t="inlineStr">
        <is>
          <t>DV360</t>
        </is>
      </c>
      <c r="F2511" s="66" t="inlineStr">
        <is>
          <t>LEP_ZA_AUG26_PROG_RMKT_DYNAMIC</t>
        </is>
      </c>
      <c r="G2511" s="66" t="inlineStr">
        <is>
          <t>Dynamic Retargeting</t>
        </is>
      </c>
      <c r="H2511" s="66" t="inlineStr">
        <is>
          <t>Range</t>
        </is>
      </c>
      <c r="I2511" s="66" t="inlineStr">
        <is>
          <t>Range Offer</t>
        </is>
      </c>
      <c r="J2511" s="66" t="inlineStr">
        <is>
          <t>PROG_LAL_SEED_CONVERTERS</t>
        </is>
      </c>
      <c r="K2511" s="66" t="inlineStr">
        <is>
          <t>Lookalike</t>
        </is>
      </c>
      <c r="L2511" s="66" t="inlineStr">
        <is>
          <t>PROG_HTML5_300x600_Models_v1</t>
        </is>
      </c>
      <c r="M2511" s="66" t="inlineStr">
        <is>
          <t>HTML5 Display 300x600</t>
        </is>
      </c>
      <c r="N2511" s="66" t="inlineStr">
        <is>
          <t>Three models. One test drive.</t>
        </is>
      </c>
      <c r="O2511" s="66" t="inlineStr">
        <is>
          <t>Auction - Lowest Cost</t>
        </is>
      </c>
      <c r="P2511" s="66" t="inlineStr">
        <is>
          <t>Conversions (CPA)</t>
        </is>
      </c>
      <c r="Q2511" s="66" t="inlineStr">
        <is>
          <t>https://www.lepas-sa.co.za/offers</t>
        </is>
      </c>
      <c r="R2511" s="121" t="n">
        <v>64.84</v>
      </c>
      <c r="S2511" s="122" t="n">
        <v>1785</v>
      </c>
      <c r="T2511" s="122" t="n">
        <v>886</v>
      </c>
      <c r="U2511" s="123">
        <f>IFERROR(S2511/T2511,"")</f>
        <v/>
      </c>
      <c r="V2511" s="122" t="n">
        <v>4</v>
      </c>
      <c r="W2511" s="122" t="n">
        <v>3</v>
      </c>
      <c r="X2511" s="124">
        <f>IFERROR(W2511/S2511,"")</f>
        <v/>
      </c>
      <c r="Y2511" s="121">
        <f>IFERROR(R2511/W2511,"")</f>
        <v/>
      </c>
      <c r="Z2511" s="121">
        <f>IFERROR(R2511/S2511*1000,"")</f>
        <v/>
      </c>
      <c r="AA2511" s="122" t="n">
        <v>2</v>
      </c>
      <c r="AB2511" s="54">
        <f>IFERROR(AA2511/W2511,"")</f>
        <v/>
      </c>
      <c r="AC2511" s="122" t="n">
        <v>0</v>
      </c>
      <c r="AD2511" s="122" t="n">
        <v>0</v>
      </c>
      <c r="AE2511" s="122" t="n">
        <v>0</v>
      </c>
      <c r="AF2511" s="122" t="n">
        <v>0</v>
      </c>
      <c r="AG2511" s="122" t="n">
        <v>0</v>
      </c>
      <c r="AH2511" s="122" t="n">
        <v>0</v>
      </c>
      <c r="AI2511" s="54">
        <f>IFERROR(AC2511/S2511,"")</f>
        <v/>
      </c>
      <c r="AJ2511" s="54">
        <f>IFERROR(AH2511/S2511,"")</f>
        <v/>
      </c>
      <c r="AK2511" s="122" t="n">
        <v>4</v>
      </c>
      <c r="AL2511" s="122" t="n">
        <v>0</v>
      </c>
      <c r="AM2511" s="124">
        <f>IFERROR(AL2511/AA2511,"")</f>
        <v/>
      </c>
      <c r="AN2511" s="125">
        <f>IFERROR(R2511/AL2511,"")</f>
        <v/>
      </c>
      <c r="AO2511" s="122" t="n">
        <v>0</v>
      </c>
      <c r="AP2511" s="54">
        <f>IFERROR(AO2511/AL2511,"")</f>
        <v/>
      </c>
      <c r="AQ2511" s="125">
        <f>IFERROR(R2511/AO2511,"")</f>
        <v/>
      </c>
      <c r="AR2511" s="122" t="n">
        <v>0</v>
      </c>
      <c r="AS2511" s="122" t="n">
        <v>0</v>
      </c>
      <c r="AT2511" s="122">
        <f>AL2511+AR2511</f>
        <v/>
      </c>
      <c r="AU2511" s="125">
        <f>IFERROR(AO2511*Assumptions!$C$26*Assumptions!$C$27*INDEX(Assumptions!$C$18:$C$21,MATCH(H2511,Assumptions!$B$18:$B$21,0)),0)</f>
        <v/>
      </c>
    </row>
    <row r="2512">
      <c r="A2512" s="120" t="n">
        <v>46249</v>
      </c>
      <c r="B2512" s="66" t="inlineStr">
        <is>
          <t>Wk 33</t>
        </is>
      </c>
      <c r="C2512" s="66" t="inlineStr">
        <is>
          <t>Sat</t>
        </is>
      </c>
      <c r="D2512" s="66" t="inlineStr">
        <is>
          <t>Programmatic</t>
        </is>
      </c>
      <c r="E2512" s="66" t="inlineStr">
        <is>
          <t>DV360</t>
        </is>
      </c>
      <c r="F2512" s="66" t="inlineStr">
        <is>
          <t>LEP_ZA_AUG26_PROG_RMKT_DYNAMIC</t>
        </is>
      </c>
      <c r="G2512" s="66" t="inlineStr">
        <is>
          <t>Dynamic Retargeting</t>
        </is>
      </c>
      <c r="H2512" s="66" t="inlineStr">
        <is>
          <t>Range</t>
        </is>
      </c>
      <c r="I2512" s="66" t="inlineStr">
        <is>
          <t>Range Offer</t>
        </is>
      </c>
      <c r="J2512" s="66" t="inlineStr">
        <is>
          <t>PROG_LAL_SEED_CONVERTERS</t>
        </is>
      </c>
      <c r="K2512" s="66" t="inlineStr">
        <is>
          <t>Lookalike</t>
        </is>
      </c>
      <c r="L2512" s="66" t="inlineStr">
        <is>
          <t>PROG_HTML5_300x600_Models_v1</t>
        </is>
      </c>
      <c r="M2512" s="66" t="inlineStr">
        <is>
          <t>HTML5 Display 300x600</t>
        </is>
      </c>
      <c r="N2512" s="66" t="inlineStr">
        <is>
          <t>Three models. One test drive.</t>
        </is>
      </c>
      <c r="O2512" s="66" t="inlineStr">
        <is>
          <t>Auction - Lowest Cost</t>
        </is>
      </c>
      <c r="P2512" s="66" t="inlineStr">
        <is>
          <t>Conversions (CPA)</t>
        </is>
      </c>
      <c r="Q2512" s="66" t="inlineStr">
        <is>
          <t>https://www.lepas-sa.co.za/offers</t>
        </is>
      </c>
      <c r="R2512" s="121" t="n">
        <v>72.25</v>
      </c>
      <c r="S2512" s="122" t="n">
        <v>3545</v>
      </c>
      <c r="T2512" s="122" t="n">
        <v>2297</v>
      </c>
      <c r="U2512" s="123">
        <f>IFERROR(S2512/T2512,"")</f>
        <v/>
      </c>
      <c r="V2512" s="122" t="n">
        <v>7</v>
      </c>
      <c r="W2512" s="122" t="n">
        <v>5</v>
      </c>
      <c r="X2512" s="124">
        <f>IFERROR(W2512/S2512,"")</f>
        <v/>
      </c>
      <c r="Y2512" s="121">
        <f>IFERROR(R2512/W2512,"")</f>
        <v/>
      </c>
      <c r="Z2512" s="121">
        <f>IFERROR(R2512/S2512*1000,"")</f>
        <v/>
      </c>
      <c r="AA2512" s="122" t="n">
        <v>3</v>
      </c>
      <c r="AB2512" s="54">
        <f>IFERROR(AA2512/W2512,"")</f>
        <v/>
      </c>
      <c r="AC2512" s="122" t="n">
        <v>0</v>
      </c>
      <c r="AD2512" s="122" t="n">
        <v>0</v>
      </c>
      <c r="AE2512" s="122" t="n">
        <v>0</v>
      </c>
      <c r="AF2512" s="122" t="n">
        <v>0</v>
      </c>
      <c r="AG2512" s="122" t="n">
        <v>0</v>
      </c>
      <c r="AH2512" s="122" t="n">
        <v>0</v>
      </c>
      <c r="AI2512" s="54">
        <f>IFERROR(AC2512/S2512,"")</f>
        <v/>
      </c>
      <c r="AJ2512" s="54">
        <f>IFERROR(AH2512/S2512,"")</f>
        <v/>
      </c>
      <c r="AK2512" s="122" t="n">
        <v>15</v>
      </c>
      <c r="AL2512" s="122" t="n">
        <v>0</v>
      </c>
      <c r="AM2512" s="124">
        <f>IFERROR(AL2512/AA2512,"")</f>
        <v/>
      </c>
      <c r="AN2512" s="125">
        <f>IFERROR(R2512/AL2512,"")</f>
        <v/>
      </c>
      <c r="AO2512" s="122" t="n">
        <v>0</v>
      </c>
      <c r="AP2512" s="54">
        <f>IFERROR(AO2512/AL2512,"")</f>
        <v/>
      </c>
      <c r="AQ2512" s="125">
        <f>IFERROR(R2512/AO2512,"")</f>
        <v/>
      </c>
      <c r="AR2512" s="122" t="n">
        <v>0</v>
      </c>
      <c r="AS2512" s="122" t="n">
        <v>0</v>
      </c>
      <c r="AT2512" s="122">
        <f>AL2512+AR2512</f>
        <v/>
      </c>
      <c r="AU2512" s="125">
        <f>IFERROR(AO2512*Assumptions!$C$26*Assumptions!$C$27*INDEX(Assumptions!$C$18:$C$21,MATCH(H2512,Assumptions!$B$18:$B$21,0)),0)</f>
        <v/>
      </c>
    </row>
    <row r="2513">
      <c r="A2513" s="120" t="n">
        <v>46250</v>
      </c>
      <c r="B2513" s="66" t="inlineStr">
        <is>
          <t>Wk 33</t>
        </is>
      </c>
      <c r="C2513" s="66" t="inlineStr">
        <is>
          <t>Sun</t>
        </is>
      </c>
      <c r="D2513" s="66" t="inlineStr">
        <is>
          <t>Programmatic</t>
        </is>
      </c>
      <c r="E2513" s="66" t="inlineStr">
        <is>
          <t>DV360</t>
        </is>
      </c>
      <c r="F2513" s="66" t="inlineStr">
        <is>
          <t>LEP_ZA_AUG26_PROG_RMKT_DYNAMIC</t>
        </is>
      </c>
      <c r="G2513" s="66" t="inlineStr">
        <is>
          <t>Dynamic Retargeting</t>
        </is>
      </c>
      <c r="H2513" s="66" t="inlineStr">
        <is>
          <t>Range</t>
        </is>
      </c>
      <c r="I2513" s="66" t="inlineStr">
        <is>
          <t>Range Offer</t>
        </is>
      </c>
      <c r="J2513" s="66" t="inlineStr">
        <is>
          <t>PROG_LAL_SEED_CONVERTERS</t>
        </is>
      </c>
      <c r="K2513" s="66" t="inlineStr">
        <is>
          <t>Lookalike</t>
        </is>
      </c>
      <c r="L2513" s="66" t="inlineStr">
        <is>
          <t>PROG_HTML5_300x600_Models_v1</t>
        </is>
      </c>
      <c r="M2513" s="66" t="inlineStr">
        <is>
          <t>HTML5 Display 300x600</t>
        </is>
      </c>
      <c r="N2513" s="66" t="inlineStr">
        <is>
          <t>Three models. One test drive.</t>
        </is>
      </c>
      <c r="O2513" s="66" t="inlineStr">
        <is>
          <t>Auction - Lowest Cost</t>
        </is>
      </c>
      <c r="P2513" s="66" t="inlineStr">
        <is>
          <t>Conversions (CPA)</t>
        </is>
      </c>
      <c r="Q2513" s="66" t="inlineStr">
        <is>
          <t>https://www.lepas-sa.co.za/offers</t>
        </is>
      </c>
      <c r="R2513" s="121" t="n">
        <v>57.84</v>
      </c>
      <c r="S2513" s="122" t="n">
        <v>1646</v>
      </c>
      <c r="T2513" s="122" t="n">
        <v>660</v>
      </c>
      <c r="U2513" s="123">
        <f>IFERROR(S2513/T2513,"")</f>
        <v/>
      </c>
      <c r="V2513" s="122" t="n">
        <v>2</v>
      </c>
      <c r="W2513" s="122" t="n">
        <v>2</v>
      </c>
      <c r="X2513" s="124">
        <f>IFERROR(W2513/S2513,"")</f>
        <v/>
      </c>
      <c r="Y2513" s="121">
        <f>IFERROR(R2513/W2513,"")</f>
        <v/>
      </c>
      <c r="Z2513" s="121">
        <f>IFERROR(R2513/S2513*1000,"")</f>
        <v/>
      </c>
      <c r="AA2513" s="122" t="n">
        <v>2</v>
      </c>
      <c r="AB2513" s="54">
        <f>IFERROR(AA2513/W2513,"")</f>
        <v/>
      </c>
      <c r="AC2513" s="122" t="n">
        <v>0</v>
      </c>
      <c r="AD2513" s="122" t="n">
        <v>0</v>
      </c>
      <c r="AE2513" s="122" t="n">
        <v>0</v>
      </c>
      <c r="AF2513" s="122" t="n">
        <v>0</v>
      </c>
      <c r="AG2513" s="122" t="n">
        <v>0</v>
      </c>
      <c r="AH2513" s="122" t="n">
        <v>0</v>
      </c>
      <c r="AI2513" s="54">
        <f>IFERROR(AC2513/S2513,"")</f>
        <v/>
      </c>
      <c r="AJ2513" s="54">
        <f>IFERROR(AH2513/S2513,"")</f>
        <v/>
      </c>
      <c r="AK2513" s="122" t="n">
        <v>2</v>
      </c>
      <c r="AL2513" s="122" t="n">
        <v>0</v>
      </c>
      <c r="AM2513" s="124">
        <f>IFERROR(AL2513/AA2513,"")</f>
        <v/>
      </c>
      <c r="AN2513" s="125">
        <f>IFERROR(R2513/AL2513,"")</f>
        <v/>
      </c>
      <c r="AO2513" s="122" t="n">
        <v>0</v>
      </c>
      <c r="AP2513" s="54">
        <f>IFERROR(AO2513/AL2513,"")</f>
        <v/>
      </c>
      <c r="AQ2513" s="125">
        <f>IFERROR(R2513/AO2513,"")</f>
        <v/>
      </c>
      <c r="AR2513" s="122" t="n">
        <v>0</v>
      </c>
      <c r="AS2513" s="122" t="n">
        <v>0</v>
      </c>
      <c r="AT2513" s="122">
        <f>AL2513+AR2513</f>
        <v/>
      </c>
      <c r="AU2513" s="125">
        <f>IFERROR(AO2513*Assumptions!$C$26*Assumptions!$C$27*INDEX(Assumptions!$C$18:$C$21,MATCH(H2513,Assumptions!$B$18:$B$21,0)),0)</f>
        <v/>
      </c>
    </row>
    <row r="2514">
      <c r="A2514" s="120" t="n">
        <v>46251</v>
      </c>
      <c r="B2514" s="66" t="inlineStr">
        <is>
          <t>Wk 34</t>
        </is>
      </c>
      <c r="C2514" s="66" t="inlineStr">
        <is>
          <t>Mon</t>
        </is>
      </c>
      <c r="D2514" s="66" t="inlineStr">
        <is>
          <t>Programmatic</t>
        </is>
      </c>
      <c r="E2514" s="66" t="inlineStr">
        <is>
          <t>DV360</t>
        </is>
      </c>
      <c r="F2514" s="66" t="inlineStr">
        <is>
          <t>LEP_ZA_AUG26_PROG_RMKT_DYNAMIC</t>
        </is>
      </c>
      <c r="G2514" s="66" t="inlineStr">
        <is>
          <t>Dynamic Retargeting</t>
        </is>
      </c>
      <c r="H2514" s="66" t="inlineStr">
        <is>
          <t>Range</t>
        </is>
      </c>
      <c r="I2514" s="66" t="inlineStr">
        <is>
          <t>Range Offer</t>
        </is>
      </c>
      <c r="J2514" s="66" t="inlineStr">
        <is>
          <t>PROG_LAL_SEED_CONVERTERS</t>
        </is>
      </c>
      <c r="K2514" s="66" t="inlineStr">
        <is>
          <t>Lookalike</t>
        </is>
      </c>
      <c r="L2514" s="66" t="inlineStr">
        <is>
          <t>PROG_HTML5_300x600_Models_v1</t>
        </is>
      </c>
      <c r="M2514" s="66" t="inlineStr">
        <is>
          <t>HTML5 Display 300x600</t>
        </is>
      </c>
      <c r="N2514" s="66" t="inlineStr">
        <is>
          <t>Three models. One test drive.</t>
        </is>
      </c>
      <c r="O2514" s="66" t="inlineStr">
        <is>
          <t>Auction - Lowest Cost</t>
        </is>
      </c>
      <c r="P2514" s="66" t="inlineStr">
        <is>
          <t>Conversions (CPA)</t>
        </is>
      </c>
      <c r="Q2514" s="66" t="inlineStr">
        <is>
          <t>https://www.lepas-sa.co.za/offers</t>
        </is>
      </c>
      <c r="R2514" s="121" t="n">
        <v>60.02</v>
      </c>
      <c r="S2514" s="122" t="n">
        <v>1469</v>
      </c>
      <c r="T2514" s="122" t="n">
        <v>758</v>
      </c>
      <c r="U2514" s="123">
        <f>IFERROR(S2514/T2514,"")</f>
        <v/>
      </c>
      <c r="V2514" s="122" t="n">
        <v>2</v>
      </c>
      <c r="W2514" s="122" t="n">
        <v>1</v>
      </c>
      <c r="X2514" s="124">
        <f>IFERROR(W2514/S2514,"")</f>
        <v/>
      </c>
      <c r="Y2514" s="121">
        <f>IFERROR(R2514/W2514,"")</f>
        <v/>
      </c>
      <c r="Z2514" s="121">
        <f>IFERROR(R2514/S2514*1000,"")</f>
        <v/>
      </c>
      <c r="AA2514" s="122" t="n">
        <v>1</v>
      </c>
      <c r="AB2514" s="54">
        <f>IFERROR(AA2514/W2514,"")</f>
        <v/>
      </c>
      <c r="AC2514" s="122" t="n">
        <v>0</v>
      </c>
      <c r="AD2514" s="122" t="n">
        <v>0</v>
      </c>
      <c r="AE2514" s="122" t="n">
        <v>0</v>
      </c>
      <c r="AF2514" s="122" t="n">
        <v>0</v>
      </c>
      <c r="AG2514" s="122" t="n">
        <v>0</v>
      </c>
      <c r="AH2514" s="122" t="n">
        <v>0</v>
      </c>
      <c r="AI2514" s="54">
        <f>IFERROR(AC2514/S2514,"")</f>
        <v/>
      </c>
      <c r="AJ2514" s="54">
        <f>IFERROR(AH2514/S2514,"")</f>
        <v/>
      </c>
      <c r="AK2514" s="122" t="n">
        <v>2</v>
      </c>
      <c r="AL2514" s="122" t="n">
        <v>0</v>
      </c>
      <c r="AM2514" s="124">
        <f>IFERROR(AL2514/AA2514,"")</f>
        <v/>
      </c>
      <c r="AN2514" s="125">
        <f>IFERROR(R2514/AL2514,"")</f>
        <v/>
      </c>
      <c r="AO2514" s="122" t="n">
        <v>0</v>
      </c>
      <c r="AP2514" s="54">
        <f>IFERROR(AO2514/AL2514,"")</f>
        <v/>
      </c>
      <c r="AQ2514" s="125">
        <f>IFERROR(R2514/AO2514,"")</f>
        <v/>
      </c>
      <c r="AR2514" s="122" t="n">
        <v>0</v>
      </c>
      <c r="AS2514" s="122" t="n">
        <v>0</v>
      </c>
      <c r="AT2514" s="122">
        <f>AL2514+AR2514</f>
        <v/>
      </c>
      <c r="AU2514" s="125">
        <f>IFERROR(AO2514*Assumptions!$C$26*Assumptions!$C$27*INDEX(Assumptions!$C$18:$C$21,MATCH(H2514,Assumptions!$B$18:$B$21,0)),0)</f>
        <v/>
      </c>
    </row>
    <row r="2515">
      <c r="A2515" s="120" t="n">
        <v>46252</v>
      </c>
      <c r="B2515" s="66" t="inlineStr">
        <is>
          <t>Wk 34</t>
        </is>
      </c>
      <c r="C2515" s="66" t="inlineStr">
        <is>
          <t>Tue</t>
        </is>
      </c>
      <c r="D2515" s="66" t="inlineStr">
        <is>
          <t>Programmatic</t>
        </is>
      </c>
      <c r="E2515" s="66" t="inlineStr">
        <is>
          <t>DV360</t>
        </is>
      </c>
      <c r="F2515" s="66" t="inlineStr">
        <is>
          <t>LEP_ZA_AUG26_PROG_RMKT_DYNAMIC</t>
        </is>
      </c>
      <c r="G2515" s="66" t="inlineStr">
        <is>
          <t>Dynamic Retargeting</t>
        </is>
      </c>
      <c r="H2515" s="66" t="inlineStr">
        <is>
          <t>Range</t>
        </is>
      </c>
      <c r="I2515" s="66" t="inlineStr">
        <is>
          <t>Range Offer</t>
        </is>
      </c>
      <c r="J2515" s="66" t="inlineStr">
        <is>
          <t>PROG_LAL_SEED_CONVERTERS</t>
        </is>
      </c>
      <c r="K2515" s="66" t="inlineStr">
        <is>
          <t>Lookalike</t>
        </is>
      </c>
      <c r="L2515" s="66" t="inlineStr">
        <is>
          <t>PROG_HTML5_300x600_Models_v1</t>
        </is>
      </c>
      <c r="M2515" s="66" t="inlineStr">
        <is>
          <t>HTML5 Display 300x600</t>
        </is>
      </c>
      <c r="N2515" s="66" t="inlineStr">
        <is>
          <t>Three models. One test drive.</t>
        </is>
      </c>
      <c r="O2515" s="66" t="inlineStr">
        <is>
          <t>Auction - Lowest Cost</t>
        </is>
      </c>
      <c r="P2515" s="66" t="inlineStr">
        <is>
          <t>Conversions (CPA)</t>
        </is>
      </c>
      <c r="Q2515" s="66" t="inlineStr">
        <is>
          <t>https://www.lepas-sa.co.za/offers</t>
        </is>
      </c>
      <c r="R2515" s="121" t="n">
        <v>56.85</v>
      </c>
      <c r="S2515" s="122" t="n">
        <v>2104</v>
      </c>
      <c r="T2515" s="122" t="n">
        <v>1229</v>
      </c>
      <c r="U2515" s="123">
        <f>IFERROR(S2515/T2515,"")</f>
        <v/>
      </c>
      <c r="V2515" s="122" t="n">
        <v>3</v>
      </c>
      <c r="W2515" s="122" t="n">
        <v>2</v>
      </c>
      <c r="X2515" s="124">
        <f>IFERROR(W2515/S2515,"")</f>
        <v/>
      </c>
      <c r="Y2515" s="121">
        <f>IFERROR(R2515/W2515,"")</f>
        <v/>
      </c>
      <c r="Z2515" s="121">
        <f>IFERROR(R2515/S2515*1000,"")</f>
        <v/>
      </c>
      <c r="AA2515" s="122" t="n">
        <v>1</v>
      </c>
      <c r="AB2515" s="54">
        <f>IFERROR(AA2515/W2515,"")</f>
        <v/>
      </c>
      <c r="AC2515" s="122" t="n">
        <v>0</v>
      </c>
      <c r="AD2515" s="122" t="n">
        <v>0</v>
      </c>
      <c r="AE2515" s="122" t="n">
        <v>0</v>
      </c>
      <c r="AF2515" s="122" t="n">
        <v>0</v>
      </c>
      <c r="AG2515" s="122" t="n">
        <v>0</v>
      </c>
      <c r="AH2515" s="122" t="n">
        <v>0</v>
      </c>
      <c r="AI2515" s="54">
        <f>IFERROR(AC2515/S2515,"")</f>
        <v/>
      </c>
      <c r="AJ2515" s="54">
        <f>IFERROR(AH2515/S2515,"")</f>
        <v/>
      </c>
      <c r="AK2515" s="122" t="n">
        <v>4</v>
      </c>
      <c r="AL2515" s="122" t="n">
        <v>0</v>
      </c>
      <c r="AM2515" s="124">
        <f>IFERROR(AL2515/AA2515,"")</f>
        <v/>
      </c>
      <c r="AN2515" s="125">
        <f>IFERROR(R2515/AL2515,"")</f>
        <v/>
      </c>
      <c r="AO2515" s="122" t="n">
        <v>0</v>
      </c>
      <c r="AP2515" s="54">
        <f>IFERROR(AO2515/AL2515,"")</f>
        <v/>
      </c>
      <c r="AQ2515" s="125">
        <f>IFERROR(R2515/AO2515,"")</f>
        <v/>
      </c>
      <c r="AR2515" s="122" t="n">
        <v>0</v>
      </c>
      <c r="AS2515" s="122" t="n">
        <v>0</v>
      </c>
      <c r="AT2515" s="122">
        <f>AL2515+AR2515</f>
        <v/>
      </c>
      <c r="AU2515" s="125">
        <f>IFERROR(AO2515*Assumptions!$C$26*Assumptions!$C$27*INDEX(Assumptions!$C$18:$C$21,MATCH(H2515,Assumptions!$B$18:$B$21,0)),0)</f>
        <v/>
      </c>
    </row>
    <row r="2516">
      <c r="A2516" s="120" t="n">
        <v>46253</v>
      </c>
      <c r="B2516" s="66" t="inlineStr">
        <is>
          <t>Wk 34</t>
        </is>
      </c>
      <c r="C2516" s="66" t="inlineStr">
        <is>
          <t>Wed</t>
        </is>
      </c>
      <c r="D2516" s="66" t="inlineStr">
        <is>
          <t>Programmatic</t>
        </is>
      </c>
      <c r="E2516" s="66" t="inlineStr">
        <is>
          <t>DV360</t>
        </is>
      </c>
      <c r="F2516" s="66" t="inlineStr">
        <is>
          <t>LEP_ZA_AUG26_PROG_RMKT_DYNAMIC</t>
        </is>
      </c>
      <c r="G2516" s="66" t="inlineStr">
        <is>
          <t>Dynamic Retargeting</t>
        </is>
      </c>
      <c r="H2516" s="66" t="inlineStr">
        <is>
          <t>Range</t>
        </is>
      </c>
      <c r="I2516" s="66" t="inlineStr">
        <is>
          <t>Range Offer</t>
        </is>
      </c>
      <c r="J2516" s="66" t="inlineStr">
        <is>
          <t>PROG_LAL_SEED_CONVERTERS</t>
        </is>
      </c>
      <c r="K2516" s="66" t="inlineStr">
        <is>
          <t>Lookalike</t>
        </is>
      </c>
      <c r="L2516" s="66" t="inlineStr">
        <is>
          <t>PROG_HTML5_300x600_Models_v1</t>
        </is>
      </c>
      <c r="M2516" s="66" t="inlineStr">
        <is>
          <t>HTML5 Display 300x600</t>
        </is>
      </c>
      <c r="N2516" s="66" t="inlineStr">
        <is>
          <t>Three models. One test drive.</t>
        </is>
      </c>
      <c r="O2516" s="66" t="inlineStr">
        <is>
          <t>Auction - Lowest Cost</t>
        </is>
      </c>
      <c r="P2516" s="66" t="inlineStr">
        <is>
          <t>Conversions (CPA)</t>
        </is>
      </c>
      <c r="Q2516" s="66" t="inlineStr">
        <is>
          <t>https://www.lepas-sa.co.za/offers</t>
        </is>
      </c>
      <c r="R2516" s="121" t="n">
        <v>73.63</v>
      </c>
      <c r="S2516" s="122" t="n">
        <v>1959</v>
      </c>
      <c r="T2516" s="122" t="n">
        <v>809</v>
      </c>
      <c r="U2516" s="123">
        <f>IFERROR(S2516/T2516,"")</f>
        <v/>
      </c>
      <c r="V2516" s="122" t="n">
        <v>6</v>
      </c>
      <c r="W2516" s="122" t="n">
        <v>4</v>
      </c>
      <c r="X2516" s="124">
        <f>IFERROR(W2516/S2516,"")</f>
        <v/>
      </c>
      <c r="Y2516" s="121">
        <f>IFERROR(R2516/W2516,"")</f>
        <v/>
      </c>
      <c r="Z2516" s="121">
        <f>IFERROR(R2516/S2516*1000,"")</f>
        <v/>
      </c>
      <c r="AA2516" s="122" t="n">
        <v>3</v>
      </c>
      <c r="AB2516" s="54">
        <f>IFERROR(AA2516/W2516,"")</f>
        <v/>
      </c>
      <c r="AC2516" s="122" t="n">
        <v>0</v>
      </c>
      <c r="AD2516" s="122" t="n">
        <v>0</v>
      </c>
      <c r="AE2516" s="122" t="n">
        <v>0</v>
      </c>
      <c r="AF2516" s="122" t="n">
        <v>0</v>
      </c>
      <c r="AG2516" s="122" t="n">
        <v>0</v>
      </c>
      <c r="AH2516" s="122" t="n">
        <v>0</v>
      </c>
      <c r="AI2516" s="54">
        <f>IFERROR(AC2516/S2516,"")</f>
        <v/>
      </c>
      <c r="AJ2516" s="54">
        <f>IFERROR(AH2516/S2516,"")</f>
        <v/>
      </c>
      <c r="AK2516" s="122" t="n">
        <v>7</v>
      </c>
      <c r="AL2516" s="122" t="n">
        <v>0</v>
      </c>
      <c r="AM2516" s="124">
        <f>IFERROR(AL2516/AA2516,"")</f>
        <v/>
      </c>
      <c r="AN2516" s="125">
        <f>IFERROR(R2516/AL2516,"")</f>
        <v/>
      </c>
      <c r="AO2516" s="122" t="n">
        <v>0</v>
      </c>
      <c r="AP2516" s="54">
        <f>IFERROR(AO2516/AL2516,"")</f>
        <v/>
      </c>
      <c r="AQ2516" s="125">
        <f>IFERROR(R2516/AO2516,"")</f>
        <v/>
      </c>
      <c r="AR2516" s="122" t="n">
        <v>0</v>
      </c>
      <c r="AS2516" s="122" t="n">
        <v>0</v>
      </c>
      <c r="AT2516" s="122">
        <f>AL2516+AR2516</f>
        <v/>
      </c>
      <c r="AU2516" s="125">
        <f>IFERROR(AO2516*Assumptions!$C$26*Assumptions!$C$27*INDEX(Assumptions!$C$18:$C$21,MATCH(H2516,Assumptions!$B$18:$B$21,0)),0)</f>
        <v/>
      </c>
    </row>
    <row r="2517">
      <c r="A2517" s="120" t="n">
        <v>46254</v>
      </c>
      <c r="B2517" s="66" t="inlineStr">
        <is>
          <t>Wk 34</t>
        </is>
      </c>
      <c r="C2517" s="66" t="inlineStr">
        <is>
          <t>Thu</t>
        </is>
      </c>
      <c r="D2517" s="66" t="inlineStr">
        <is>
          <t>Programmatic</t>
        </is>
      </c>
      <c r="E2517" s="66" t="inlineStr">
        <is>
          <t>DV360</t>
        </is>
      </c>
      <c r="F2517" s="66" t="inlineStr">
        <is>
          <t>LEP_ZA_AUG26_PROG_RMKT_DYNAMIC</t>
        </is>
      </c>
      <c r="G2517" s="66" t="inlineStr">
        <is>
          <t>Dynamic Retargeting</t>
        </is>
      </c>
      <c r="H2517" s="66" t="inlineStr">
        <is>
          <t>Range</t>
        </is>
      </c>
      <c r="I2517" s="66" t="inlineStr">
        <is>
          <t>Range Offer</t>
        </is>
      </c>
      <c r="J2517" s="66" t="inlineStr">
        <is>
          <t>PROG_LAL_SEED_CONVERTERS</t>
        </is>
      </c>
      <c r="K2517" s="66" t="inlineStr">
        <is>
          <t>Lookalike</t>
        </is>
      </c>
      <c r="L2517" s="66" t="inlineStr">
        <is>
          <t>PROG_HTML5_300x600_Models_v1</t>
        </is>
      </c>
      <c r="M2517" s="66" t="inlineStr">
        <is>
          <t>HTML5 Display 300x600</t>
        </is>
      </c>
      <c r="N2517" s="66" t="inlineStr">
        <is>
          <t>Three models. One test drive.</t>
        </is>
      </c>
      <c r="O2517" s="66" t="inlineStr">
        <is>
          <t>Auction - Lowest Cost</t>
        </is>
      </c>
      <c r="P2517" s="66" t="inlineStr">
        <is>
          <t>Conversions (CPA)</t>
        </is>
      </c>
      <c r="Q2517" s="66" t="inlineStr">
        <is>
          <t>https://www.lepas-sa.co.za/offers</t>
        </is>
      </c>
      <c r="R2517" s="121" t="n">
        <v>79.52</v>
      </c>
      <c r="S2517" s="122" t="n">
        <v>2021</v>
      </c>
      <c r="T2517" s="122" t="n">
        <v>986</v>
      </c>
      <c r="U2517" s="123">
        <f>IFERROR(S2517/T2517,"")</f>
        <v/>
      </c>
      <c r="V2517" s="122" t="n">
        <v>7</v>
      </c>
      <c r="W2517" s="122" t="n">
        <v>5</v>
      </c>
      <c r="X2517" s="124">
        <f>IFERROR(W2517/S2517,"")</f>
        <v/>
      </c>
      <c r="Y2517" s="121">
        <f>IFERROR(R2517/W2517,"")</f>
        <v/>
      </c>
      <c r="Z2517" s="121">
        <f>IFERROR(R2517/S2517*1000,"")</f>
        <v/>
      </c>
      <c r="AA2517" s="122" t="n">
        <v>4</v>
      </c>
      <c r="AB2517" s="54">
        <f>IFERROR(AA2517/W2517,"")</f>
        <v/>
      </c>
      <c r="AC2517" s="122" t="n">
        <v>0</v>
      </c>
      <c r="AD2517" s="122" t="n">
        <v>0</v>
      </c>
      <c r="AE2517" s="122" t="n">
        <v>0</v>
      </c>
      <c r="AF2517" s="122" t="n">
        <v>0</v>
      </c>
      <c r="AG2517" s="122" t="n">
        <v>0</v>
      </c>
      <c r="AH2517" s="122" t="n">
        <v>0</v>
      </c>
      <c r="AI2517" s="54">
        <f>IFERROR(AC2517/S2517,"")</f>
        <v/>
      </c>
      <c r="AJ2517" s="54">
        <f>IFERROR(AH2517/S2517,"")</f>
        <v/>
      </c>
      <c r="AK2517" s="122" t="n">
        <v>9</v>
      </c>
      <c r="AL2517" s="122" t="n">
        <v>0</v>
      </c>
      <c r="AM2517" s="124">
        <f>IFERROR(AL2517/AA2517,"")</f>
        <v/>
      </c>
      <c r="AN2517" s="125">
        <f>IFERROR(R2517/AL2517,"")</f>
        <v/>
      </c>
      <c r="AO2517" s="122" t="n">
        <v>0</v>
      </c>
      <c r="AP2517" s="54">
        <f>IFERROR(AO2517/AL2517,"")</f>
        <v/>
      </c>
      <c r="AQ2517" s="125">
        <f>IFERROR(R2517/AO2517,"")</f>
        <v/>
      </c>
      <c r="AR2517" s="122" t="n">
        <v>0</v>
      </c>
      <c r="AS2517" s="122" t="n">
        <v>0</v>
      </c>
      <c r="AT2517" s="122">
        <f>AL2517+AR2517</f>
        <v/>
      </c>
      <c r="AU2517" s="125">
        <f>IFERROR(AO2517*Assumptions!$C$26*Assumptions!$C$27*INDEX(Assumptions!$C$18:$C$21,MATCH(H2517,Assumptions!$B$18:$B$21,0)),0)</f>
        <v/>
      </c>
    </row>
    <row r="2518">
      <c r="A2518" s="120" t="n">
        <v>46255</v>
      </c>
      <c r="B2518" s="66" t="inlineStr">
        <is>
          <t>Wk 34</t>
        </is>
      </c>
      <c r="C2518" s="66" t="inlineStr">
        <is>
          <t>Fri</t>
        </is>
      </c>
      <c r="D2518" s="66" t="inlineStr">
        <is>
          <t>Programmatic</t>
        </is>
      </c>
      <c r="E2518" s="66" t="inlineStr">
        <is>
          <t>DV360</t>
        </is>
      </c>
      <c r="F2518" s="66" t="inlineStr">
        <is>
          <t>LEP_ZA_AUG26_PROG_RMKT_DYNAMIC</t>
        </is>
      </c>
      <c r="G2518" s="66" t="inlineStr">
        <is>
          <t>Dynamic Retargeting</t>
        </is>
      </c>
      <c r="H2518" s="66" t="inlineStr">
        <is>
          <t>Range</t>
        </is>
      </c>
      <c r="I2518" s="66" t="inlineStr">
        <is>
          <t>Range Offer</t>
        </is>
      </c>
      <c r="J2518" s="66" t="inlineStr">
        <is>
          <t>PROG_LAL_SEED_CONVERTERS</t>
        </is>
      </c>
      <c r="K2518" s="66" t="inlineStr">
        <is>
          <t>Lookalike</t>
        </is>
      </c>
      <c r="L2518" s="66" t="inlineStr">
        <is>
          <t>PROG_HTML5_300x600_Models_v1</t>
        </is>
      </c>
      <c r="M2518" s="66" t="inlineStr">
        <is>
          <t>HTML5 Display 300x600</t>
        </is>
      </c>
      <c r="N2518" s="66" t="inlineStr">
        <is>
          <t>Three models. One test drive.</t>
        </is>
      </c>
      <c r="O2518" s="66" t="inlineStr">
        <is>
          <t>Auction - Lowest Cost</t>
        </is>
      </c>
      <c r="P2518" s="66" t="inlineStr">
        <is>
          <t>Conversions (CPA)</t>
        </is>
      </c>
      <c r="Q2518" s="66" t="inlineStr">
        <is>
          <t>https://www.lepas-sa.co.za/offers</t>
        </is>
      </c>
      <c r="R2518" s="121" t="n">
        <v>72.67</v>
      </c>
      <c r="S2518" s="122" t="n">
        <v>2597</v>
      </c>
      <c r="T2518" s="122" t="n">
        <v>1677</v>
      </c>
      <c r="U2518" s="123">
        <f>IFERROR(S2518/T2518,"")</f>
        <v/>
      </c>
      <c r="V2518" s="122" t="n">
        <v>10</v>
      </c>
      <c r="W2518" s="122" t="n">
        <v>8</v>
      </c>
      <c r="X2518" s="124">
        <f>IFERROR(W2518/S2518,"")</f>
        <v/>
      </c>
      <c r="Y2518" s="121">
        <f>IFERROR(R2518/W2518,"")</f>
        <v/>
      </c>
      <c r="Z2518" s="121">
        <f>IFERROR(R2518/S2518*1000,"")</f>
        <v/>
      </c>
      <c r="AA2518" s="122" t="n">
        <v>5</v>
      </c>
      <c r="AB2518" s="54">
        <f>IFERROR(AA2518/W2518,"")</f>
        <v/>
      </c>
      <c r="AC2518" s="122" t="n">
        <v>0</v>
      </c>
      <c r="AD2518" s="122" t="n">
        <v>0</v>
      </c>
      <c r="AE2518" s="122" t="n">
        <v>0</v>
      </c>
      <c r="AF2518" s="122" t="n">
        <v>0</v>
      </c>
      <c r="AG2518" s="122" t="n">
        <v>0</v>
      </c>
      <c r="AH2518" s="122" t="n">
        <v>0</v>
      </c>
      <c r="AI2518" s="54">
        <f>IFERROR(AC2518/S2518,"")</f>
        <v/>
      </c>
      <c r="AJ2518" s="54">
        <f>IFERROR(AH2518/S2518,"")</f>
        <v/>
      </c>
      <c r="AK2518" s="122" t="n">
        <v>7</v>
      </c>
      <c r="AL2518" s="122" t="n">
        <v>0</v>
      </c>
      <c r="AM2518" s="124">
        <f>IFERROR(AL2518/AA2518,"")</f>
        <v/>
      </c>
      <c r="AN2518" s="125">
        <f>IFERROR(R2518/AL2518,"")</f>
        <v/>
      </c>
      <c r="AO2518" s="122" t="n">
        <v>0</v>
      </c>
      <c r="AP2518" s="54">
        <f>IFERROR(AO2518/AL2518,"")</f>
        <v/>
      </c>
      <c r="AQ2518" s="125">
        <f>IFERROR(R2518/AO2518,"")</f>
        <v/>
      </c>
      <c r="AR2518" s="122" t="n">
        <v>0</v>
      </c>
      <c r="AS2518" s="122" t="n">
        <v>0</v>
      </c>
      <c r="AT2518" s="122">
        <f>AL2518+AR2518</f>
        <v/>
      </c>
      <c r="AU2518" s="125">
        <f>IFERROR(AO2518*Assumptions!$C$26*Assumptions!$C$27*INDEX(Assumptions!$C$18:$C$21,MATCH(H2518,Assumptions!$B$18:$B$21,0)),0)</f>
        <v/>
      </c>
    </row>
    <row r="2519">
      <c r="A2519" s="120" t="n">
        <v>46256</v>
      </c>
      <c r="B2519" s="66" t="inlineStr">
        <is>
          <t>Wk 34</t>
        </is>
      </c>
      <c r="C2519" s="66" t="inlineStr">
        <is>
          <t>Sat</t>
        </is>
      </c>
      <c r="D2519" s="66" t="inlineStr">
        <is>
          <t>Programmatic</t>
        </is>
      </c>
      <c r="E2519" s="66" t="inlineStr">
        <is>
          <t>DV360</t>
        </is>
      </c>
      <c r="F2519" s="66" t="inlineStr">
        <is>
          <t>LEP_ZA_AUG26_PROG_RMKT_DYNAMIC</t>
        </is>
      </c>
      <c r="G2519" s="66" t="inlineStr">
        <is>
          <t>Dynamic Retargeting</t>
        </is>
      </c>
      <c r="H2519" s="66" t="inlineStr">
        <is>
          <t>Range</t>
        </is>
      </c>
      <c r="I2519" s="66" t="inlineStr">
        <is>
          <t>Range Offer</t>
        </is>
      </c>
      <c r="J2519" s="66" t="inlineStr">
        <is>
          <t>PROG_LAL_SEED_CONVERTERS</t>
        </is>
      </c>
      <c r="K2519" s="66" t="inlineStr">
        <is>
          <t>Lookalike</t>
        </is>
      </c>
      <c r="L2519" s="66" t="inlineStr">
        <is>
          <t>PROG_HTML5_300x600_Models_v1</t>
        </is>
      </c>
      <c r="M2519" s="66" t="inlineStr">
        <is>
          <t>HTML5 Display 300x600</t>
        </is>
      </c>
      <c r="N2519" s="66" t="inlineStr">
        <is>
          <t>Three models. One test drive.</t>
        </is>
      </c>
      <c r="O2519" s="66" t="inlineStr">
        <is>
          <t>Auction - Lowest Cost</t>
        </is>
      </c>
      <c r="P2519" s="66" t="inlineStr">
        <is>
          <t>Conversions (CPA)</t>
        </is>
      </c>
      <c r="Q2519" s="66" t="inlineStr">
        <is>
          <t>https://www.lepas-sa.co.za/offers</t>
        </is>
      </c>
      <c r="R2519" s="121" t="n">
        <v>72.37</v>
      </c>
      <c r="S2519" s="122" t="n">
        <v>3746</v>
      </c>
      <c r="T2519" s="122" t="n">
        <v>1516</v>
      </c>
      <c r="U2519" s="123">
        <f>IFERROR(S2519/T2519,"")</f>
        <v/>
      </c>
      <c r="V2519" s="122" t="n">
        <v>12</v>
      </c>
      <c r="W2519" s="122" t="n">
        <v>9</v>
      </c>
      <c r="X2519" s="124">
        <f>IFERROR(W2519/S2519,"")</f>
        <v/>
      </c>
      <c r="Y2519" s="121">
        <f>IFERROR(R2519/W2519,"")</f>
        <v/>
      </c>
      <c r="Z2519" s="121">
        <f>IFERROR(R2519/S2519*1000,"")</f>
        <v/>
      </c>
      <c r="AA2519" s="122" t="n">
        <v>6</v>
      </c>
      <c r="AB2519" s="54">
        <f>IFERROR(AA2519/W2519,"")</f>
        <v/>
      </c>
      <c r="AC2519" s="122" t="n">
        <v>0</v>
      </c>
      <c r="AD2519" s="122" t="n">
        <v>0</v>
      </c>
      <c r="AE2519" s="122" t="n">
        <v>0</v>
      </c>
      <c r="AF2519" s="122" t="n">
        <v>0</v>
      </c>
      <c r="AG2519" s="122" t="n">
        <v>0</v>
      </c>
      <c r="AH2519" s="122" t="n">
        <v>0</v>
      </c>
      <c r="AI2519" s="54">
        <f>IFERROR(AC2519/S2519,"")</f>
        <v/>
      </c>
      <c r="AJ2519" s="54">
        <f>IFERROR(AH2519/S2519,"")</f>
        <v/>
      </c>
      <c r="AK2519" s="122" t="n">
        <v>6</v>
      </c>
      <c r="AL2519" s="122" t="n">
        <v>1</v>
      </c>
      <c r="AM2519" s="124">
        <f>IFERROR(AL2519/AA2519,"")</f>
        <v/>
      </c>
      <c r="AN2519" s="125">
        <f>IFERROR(R2519/AL2519,"")</f>
        <v/>
      </c>
      <c r="AO2519" s="122" t="n">
        <v>1</v>
      </c>
      <c r="AP2519" s="54">
        <f>IFERROR(AO2519/AL2519,"")</f>
        <v/>
      </c>
      <c r="AQ2519" s="125">
        <f>IFERROR(R2519/AO2519,"")</f>
        <v/>
      </c>
      <c r="AR2519" s="122" t="n">
        <v>1</v>
      </c>
      <c r="AS2519" s="122" t="n">
        <v>1</v>
      </c>
      <c r="AT2519" s="122">
        <f>AL2519+AR2519</f>
        <v/>
      </c>
      <c r="AU2519" s="125">
        <f>IFERROR(AO2519*Assumptions!$C$26*Assumptions!$C$27*INDEX(Assumptions!$C$18:$C$21,MATCH(H2519,Assumptions!$B$18:$B$21,0)),0)</f>
        <v/>
      </c>
    </row>
    <row r="2520">
      <c r="A2520" s="120" t="n">
        <v>46257</v>
      </c>
      <c r="B2520" s="66" t="inlineStr">
        <is>
          <t>Wk 34</t>
        </is>
      </c>
      <c r="C2520" s="66" t="inlineStr">
        <is>
          <t>Sun</t>
        </is>
      </c>
      <c r="D2520" s="66" t="inlineStr">
        <is>
          <t>Programmatic</t>
        </is>
      </c>
      <c r="E2520" s="66" t="inlineStr">
        <is>
          <t>DV360</t>
        </is>
      </c>
      <c r="F2520" s="66" t="inlineStr">
        <is>
          <t>LEP_ZA_AUG26_PROG_RMKT_DYNAMIC</t>
        </is>
      </c>
      <c r="G2520" s="66" t="inlineStr">
        <is>
          <t>Dynamic Retargeting</t>
        </is>
      </c>
      <c r="H2520" s="66" t="inlineStr">
        <is>
          <t>Range</t>
        </is>
      </c>
      <c r="I2520" s="66" t="inlineStr">
        <is>
          <t>Range Offer</t>
        </is>
      </c>
      <c r="J2520" s="66" t="inlineStr">
        <is>
          <t>PROG_LAL_SEED_CONVERTERS</t>
        </is>
      </c>
      <c r="K2520" s="66" t="inlineStr">
        <is>
          <t>Lookalike</t>
        </is>
      </c>
      <c r="L2520" s="66" t="inlineStr">
        <is>
          <t>PROG_HTML5_300x600_Models_v1</t>
        </is>
      </c>
      <c r="M2520" s="66" t="inlineStr">
        <is>
          <t>HTML5 Display 300x600</t>
        </is>
      </c>
      <c r="N2520" s="66" t="inlineStr">
        <is>
          <t>Three models. One test drive.</t>
        </is>
      </c>
      <c r="O2520" s="66" t="inlineStr">
        <is>
          <t>Auction - Lowest Cost</t>
        </is>
      </c>
      <c r="P2520" s="66" t="inlineStr">
        <is>
          <t>Conversions (CPA)</t>
        </is>
      </c>
      <c r="Q2520" s="66" t="inlineStr">
        <is>
          <t>https://www.lepas-sa.co.za/offers</t>
        </is>
      </c>
      <c r="R2520" s="121" t="n">
        <v>63.26</v>
      </c>
      <c r="S2520" s="122" t="n">
        <v>2171</v>
      </c>
      <c r="T2520" s="122" t="n">
        <v>1143</v>
      </c>
      <c r="U2520" s="123">
        <f>IFERROR(S2520/T2520,"")</f>
        <v/>
      </c>
      <c r="V2520" s="122" t="n">
        <v>7</v>
      </c>
      <c r="W2520" s="122" t="n">
        <v>6</v>
      </c>
      <c r="X2520" s="124">
        <f>IFERROR(W2520/S2520,"")</f>
        <v/>
      </c>
      <c r="Y2520" s="121">
        <f>IFERROR(R2520/W2520,"")</f>
        <v/>
      </c>
      <c r="Z2520" s="121">
        <f>IFERROR(R2520/S2520*1000,"")</f>
        <v/>
      </c>
      <c r="AA2520" s="122" t="n">
        <v>3</v>
      </c>
      <c r="AB2520" s="54">
        <f>IFERROR(AA2520/W2520,"")</f>
        <v/>
      </c>
      <c r="AC2520" s="122" t="n">
        <v>0</v>
      </c>
      <c r="AD2520" s="122" t="n">
        <v>0</v>
      </c>
      <c r="AE2520" s="122" t="n">
        <v>0</v>
      </c>
      <c r="AF2520" s="122" t="n">
        <v>0</v>
      </c>
      <c r="AG2520" s="122" t="n">
        <v>0</v>
      </c>
      <c r="AH2520" s="122" t="n">
        <v>0</v>
      </c>
      <c r="AI2520" s="54">
        <f>IFERROR(AC2520/S2520,"")</f>
        <v/>
      </c>
      <c r="AJ2520" s="54">
        <f>IFERROR(AH2520/S2520,"")</f>
        <v/>
      </c>
      <c r="AK2520" s="122" t="n">
        <v>7</v>
      </c>
      <c r="AL2520" s="122" t="n">
        <v>0</v>
      </c>
      <c r="AM2520" s="124">
        <f>IFERROR(AL2520/AA2520,"")</f>
        <v/>
      </c>
      <c r="AN2520" s="125">
        <f>IFERROR(R2520/AL2520,"")</f>
        <v/>
      </c>
      <c r="AO2520" s="122" t="n">
        <v>0</v>
      </c>
      <c r="AP2520" s="54">
        <f>IFERROR(AO2520/AL2520,"")</f>
        <v/>
      </c>
      <c r="AQ2520" s="125">
        <f>IFERROR(R2520/AO2520,"")</f>
        <v/>
      </c>
      <c r="AR2520" s="122" t="n">
        <v>0</v>
      </c>
      <c r="AS2520" s="122" t="n">
        <v>0</v>
      </c>
      <c r="AT2520" s="122">
        <f>AL2520+AR2520</f>
        <v/>
      </c>
      <c r="AU2520" s="125">
        <f>IFERROR(AO2520*Assumptions!$C$26*Assumptions!$C$27*INDEX(Assumptions!$C$18:$C$21,MATCH(H2520,Assumptions!$B$18:$B$21,0)),0)</f>
        <v/>
      </c>
    </row>
    <row r="2521">
      <c r="A2521" s="120" t="n">
        <v>46258</v>
      </c>
      <c r="B2521" s="66" t="inlineStr">
        <is>
          <t>Wk 35</t>
        </is>
      </c>
      <c r="C2521" s="66" t="inlineStr">
        <is>
          <t>Mon</t>
        </is>
      </c>
      <c r="D2521" s="66" t="inlineStr">
        <is>
          <t>Programmatic</t>
        </is>
      </c>
      <c r="E2521" s="66" t="inlineStr">
        <is>
          <t>DV360</t>
        </is>
      </c>
      <c r="F2521" s="66" t="inlineStr">
        <is>
          <t>LEP_ZA_AUG26_PROG_RMKT_DYNAMIC</t>
        </is>
      </c>
      <c r="G2521" s="66" t="inlineStr">
        <is>
          <t>Dynamic Retargeting</t>
        </is>
      </c>
      <c r="H2521" s="66" t="inlineStr">
        <is>
          <t>Range</t>
        </is>
      </c>
      <c r="I2521" s="66" t="inlineStr">
        <is>
          <t>Range Offer</t>
        </is>
      </c>
      <c r="J2521" s="66" t="inlineStr">
        <is>
          <t>PROG_LAL_SEED_CONVERTERS</t>
        </is>
      </c>
      <c r="K2521" s="66" t="inlineStr">
        <is>
          <t>Lookalike</t>
        </is>
      </c>
      <c r="L2521" s="66" t="inlineStr">
        <is>
          <t>PROG_HTML5_300x600_Models_v1</t>
        </is>
      </c>
      <c r="M2521" s="66" t="inlineStr">
        <is>
          <t>HTML5 Display 300x600</t>
        </is>
      </c>
      <c r="N2521" s="66" t="inlineStr">
        <is>
          <t>Three models. One test drive.</t>
        </is>
      </c>
      <c r="O2521" s="66" t="inlineStr">
        <is>
          <t>Auction - Lowest Cost</t>
        </is>
      </c>
      <c r="P2521" s="66" t="inlineStr">
        <is>
          <t>Conversions (CPA)</t>
        </is>
      </c>
      <c r="Q2521" s="66" t="inlineStr">
        <is>
          <t>https://www.lepas-sa.co.za/offers</t>
        </is>
      </c>
      <c r="R2521" s="121" t="n">
        <v>58.24</v>
      </c>
      <c r="S2521" s="122" t="n">
        <v>1607</v>
      </c>
      <c r="T2521" s="122" t="n">
        <v>641</v>
      </c>
      <c r="U2521" s="123">
        <f>IFERROR(S2521/T2521,"")</f>
        <v/>
      </c>
      <c r="V2521" s="122" t="n">
        <v>4</v>
      </c>
      <c r="W2521" s="122" t="n">
        <v>3</v>
      </c>
      <c r="X2521" s="124">
        <f>IFERROR(W2521/S2521,"")</f>
        <v/>
      </c>
      <c r="Y2521" s="121">
        <f>IFERROR(R2521/W2521,"")</f>
        <v/>
      </c>
      <c r="Z2521" s="121">
        <f>IFERROR(R2521/S2521*1000,"")</f>
        <v/>
      </c>
      <c r="AA2521" s="122" t="n">
        <v>2</v>
      </c>
      <c r="AB2521" s="54">
        <f>IFERROR(AA2521/W2521,"")</f>
        <v/>
      </c>
      <c r="AC2521" s="122" t="n">
        <v>0</v>
      </c>
      <c r="AD2521" s="122" t="n">
        <v>0</v>
      </c>
      <c r="AE2521" s="122" t="n">
        <v>0</v>
      </c>
      <c r="AF2521" s="122" t="n">
        <v>0</v>
      </c>
      <c r="AG2521" s="122" t="n">
        <v>0</v>
      </c>
      <c r="AH2521" s="122" t="n">
        <v>0</v>
      </c>
      <c r="AI2521" s="54">
        <f>IFERROR(AC2521/S2521,"")</f>
        <v/>
      </c>
      <c r="AJ2521" s="54">
        <f>IFERROR(AH2521/S2521,"")</f>
        <v/>
      </c>
      <c r="AK2521" s="122" t="n">
        <v>8</v>
      </c>
      <c r="AL2521" s="122" t="n">
        <v>0</v>
      </c>
      <c r="AM2521" s="124">
        <f>IFERROR(AL2521/AA2521,"")</f>
        <v/>
      </c>
      <c r="AN2521" s="125">
        <f>IFERROR(R2521/AL2521,"")</f>
        <v/>
      </c>
      <c r="AO2521" s="122" t="n">
        <v>0</v>
      </c>
      <c r="AP2521" s="54">
        <f>IFERROR(AO2521/AL2521,"")</f>
        <v/>
      </c>
      <c r="AQ2521" s="125">
        <f>IFERROR(R2521/AO2521,"")</f>
        <v/>
      </c>
      <c r="AR2521" s="122" t="n">
        <v>0</v>
      </c>
      <c r="AS2521" s="122" t="n">
        <v>0</v>
      </c>
      <c r="AT2521" s="122">
        <f>AL2521+AR2521</f>
        <v/>
      </c>
      <c r="AU2521" s="125">
        <f>IFERROR(AO2521*Assumptions!$C$26*Assumptions!$C$27*INDEX(Assumptions!$C$18:$C$21,MATCH(H2521,Assumptions!$B$18:$B$21,0)),0)</f>
        <v/>
      </c>
    </row>
    <row r="2522">
      <c r="A2522" s="120" t="n">
        <v>46259</v>
      </c>
      <c r="B2522" s="66" t="inlineStr">
        <is>
          <t>Wk 35</t>
        </is>
      </c>
      <c r="C2522" s="66" t="inlineStr">
        <is>
          <t>Tue</t>
        </is>
      </c>
      <c r="D2522" s="66" t="inlineStr">
        <is>
          <t>Programmatic</t>
        </is>
      </c>
      <c r="E2522" s="66" t="inlineStr">
        <is>
          <t>DV360</t>
        </is>
      </c>
      <c r="F2522" s="66" t="inlineStr">
        <is>
          <t>LEP_ZA_AUG26_PROG_RMKT_DYNAMIC</t>
        </is>
      </c>
      <c r="G2522" s="66" t="inlineStr">
        <is>
          <t>Dynamic Retargeting</t>
        </is>
      </c>
      <c r="H2522" s="66" t="inlineStr">
        <is>
          <t>Range</t>
        </is>
      </c>
      <c r="I2522" s="66" t="inlineStr">
        <is>
          <t>Range Offer</t>
        </is>
      </c>
      <c r="J2522" s="66" t="inlineStr">
        <is>
          <t>PROG_LAL_SEED_CONVERTERS</t>
        </is>
      </c>
      <c r="K2522" s="66" t="inlineStr">
        <is>
          <t>Lookalike</t>
        </is>
      </c>
      <c r="L2522" s="66" t="inlineStr">
        <is>
          <t>PROG_HTML5_300x600_Models_v1</t>
        </is>
      </c>
      <c r="M2522" s="66" t="inlineStr">
        <is>
          <t>HTML5 Display 300x600</t>
        </is>
      </c>
      <c r="N2522" s="66" t="inlineStr">
        <is>
          <t>Three models. One test drive.</t>
        </is>
      </c>
      <c r="O2522" s="66" t="inlineStr">
        <is>
          <t>Auction - Lowest Cost</t>
        </is>
      </c>
      <c r="P2522" s="66" t="inlineStr">
        <is>
          <t>Conversions (CPA)</t>
        </is>
      </c>
      <c r="Q2522" s="66" t="inlineStr">
        <is>
          <t>https://www.lepas-sa.co.za/offers</t>
        </is>
      </c>
      <c r="R2522" s="121" t="n">
        <v>64.56</v>
      </c>
      <c r="S2522" s="122" t="n">
        <v>2851</v>
      </c>
      <c r="T2522" s="122" t="n">
        <v>1743</v>
      </c>
      <c r="U2522" s="123">
        <f>IFERROR(S2522/T2522,"")</f>
        <v/>
      </c>
      <c r="V2522" s="122" t="n">
        <v>12</v>
      </c>
      <c r="W2522" s="122" t="n">
        <v>9</v>
      </c>
      <c r="X2522" s="124">
        <f>IFERROR(W2522/S2522,"")</f>
        <v/>
      </c>
      <c r="Y2522" s="121">
        <f>IFERROR(R2522/W2522,"")</f>
        <v/>
      </c>
      <c r="Z2522" s="121">
        <f>IFERROR(R2522/S2522*1000,"")</f>
        <v/>
      </c>
      <c r="AA2522" s="122" t="n">
        <v>5</v>
      </c>
      <c r="AB2522" s="54">
        <f>IFERROR(AA2522/W2522,"")</f>
        <v/>
      </c>
      <c r="AC2522" s="122" t="n">
        <v>0</v>
      </c>
      <c r="AD2522" s="122" t="n">
        <v>0</v>
      </c>
      <c r="AE2522" s="122" t="n">
        <v>0</v>
      </c>
      <c r="AF2522" s="122" t="n">
        <v>0</v>
      </c>
      <c r="AG2522" s="122" t="n">
        <v>0</v>
      </c>
      <c r="AH2522" s="122" t="n">
        <v>0</v>
      </c>
      <c r="AI2522" s="54">
        <f>IFERROR(AC2522/S2522,"")</f>
        <v/>
      </c>
      <c r="AJ2522" s="54">
        <f>IFERROR(AH2522/S2522,"")</f>
        <v/>
      </c>
      <c r="AK2522" s="122" t="n">
        <v>9</v>
      </c>
      <c r="AL2522" s="122" t="n">
        <v>0</v>
      </c>
      <c r="AM2522" s="124">
        <f>IFERROR(AL2522/AA2522,"")</f>
        <v/>
      </c>
      <c r="AN2522" s="125">
        <f>IFERROR(R2522/AL2522,"")</f>
        <v/>
      </c>
      <c r="AO2522" s="122" t="n">
        <v>0</v>
      </c>
      <c r="AP2522" s="54">
        <f>IFERROR(AO2522/AL2522,"")</f>
        <v/>
      </c>
      <c r="AQ2522" s="125">
        <f>IFERROR(R2522/AO2522,"")</f>
        <v/>
      </c>
      <c r="AR2522" s="122" t="n">
        <v>0</v>
      </c>
      <c r="AS2522" s="122" t="n">
        <v>0</v>
      </c>
      <c r="AT2522" s="122">
        <f>AL2522+AR2522</f>
        <v/>
      </c>
      <c r="AU2522" s="125">
        <f>IFERROR(AO2522*Assumptions!$C$26*Assumptions!$C$27*INDEX(Assumptions!$C$18:$C$21,MATCH(H2522,Assumptions!$B$18:$B$21,0)),0)</f>
        <v/>
      </c>
    </row>
    <row r="2523">
      <c r="A2523" s="120" t="n">
        <v>46260</v>
      </c>
      <c r="B2523" s="66" t="inlineStr">
        <is>
          <t>Wk 35</t>
        </is>
      </c>
      <c r="C2523" s="66" t="inlineStr">
        <is>
          <t>Wed</t>
        </is>
      </c>
      <c r="D2523" s="66" t="inlineStr">
        <is>
          <t>Programmatic</t>
        </is>
      </c>
      <c r="E2523" s="66" t="inlineStr">
        <is>
          <t>DV360</t>
        </is>
      </c>
      <c r="F2523" s="66" t="inlineStr">
        <is>
          <t>LEP_ZA_AUG26_PROG_RMKT_DYNAMIC</t>
        </is>
      </c>
      <c r="G2523" s="66" t="inlineStr">
        <is>
          <t>Dynamic Retargeting</t>
        </is>
      </c>
      <c r="H2523" s="66" t="inlineStr">
        <is>
          <t>Range</t>
        </is>
      </c>
      <c r="I2523" s="66" t="inlineStr">
        <is>
          <t>Range Offer</t>
        </is>
      </c>
      <c r="J2523" s="66" t="inlineStr">
        <is>
          <t>PROG_LAL_SEED_CONVERTERS</t>
        </is>
      </c>
      <c r="K2523" s="66" t="inlineStr">
        <is>
          <t>Lookalike</t>
        </is>
      </c>
      <c r="L2523" s="66" t="inlineStr">
        <is>
          <t>PROG_HTML5_300x600_Models_v1</t>
        </is>
      </c>
      <c r="M2523" s="66" t="inlineStr">
        <is>
          <t>HTML5 Display 300x600</t>
        </is>
      </c>
      <c r="N2523" s="66" t="inlineStr">
        <is>
          <t>Three models. One test drive.</t>
        </is>
      </c>
      <c r="O2523" s="66" t="inlineStr">
        <is>
          <t>Auction - Lowest Cost</t>
        </is>
      </c>
      <c r="P2523" s="66" t="inlineStr">
        <is>
          <t>Conversions (CPA)</t>
        </is>
      </c>
      <c r="Q2523" s="66" t="inlineStr">
        <is>
          <t>https://www.lepas-sa.co.za/offers</t>
        </is>
      </c>
      <c r="R2523" s="121" t="n">
        <v>67.59999999999999</v>
      </c>
      <c r="S2523" s="122" t="n">
        <v>3054</v>
      </c>
      <c r="T2523" s="122" t="n">
        <v>1406</v>
      </c>
      <c r="U2523" s="123">
        <f>IFERROR(S2523/T2523,"")</f>
        <v/>
      </c>
      <c r="V2523" s="122" t="n">
        <v>4</v>
      </c>
      <c r="W2523" s="122" t="n">
        <v>3</v>
      </c>
      <c r="X2523" s="124">
        <f>IFERROR(W2523/S2523,"")</f>
        <v/>
      </c>
      <c r="Y2523" s="121">
        <f>IFERROR(R2523/W2523,"")</f>
        <v/>
      </c>
      <c r="Z2523" s="121">
        <f>IFERROR(R2523/S2523*1000,"")</f>
        <v/>
      </c>
      <c r="AA2523" s="122" t="n">
        <v>2</v>
      </c>
      <c r="AB2523" s="54">
        <f>IFERROR(AA2523/W2523,"")</f>
        <v/>
      </c>
      <c r="AC2523" s="122" t="n">
        <v>0</v>
      </c>
      <c r="AD2523" s="122" t="n">
        <v>0</v>
      </c>
      <c r="AE2523" s="122" t="n">
        <v>0</v>
      </c>
      <c r="AF2523" s="122" t="n">
        <v>0</v>
      </c>
      <c r="AG2523" s="122" t="n">
        <v>0</v>
      </c>
      <c r="AH2523" s="122" t="n">
        <v>0</v>
      </c>
      <c r="AI2523" s="54">
        <f>IFERROR(AC2523/S2523,"")</f>
        <v/>
      </c>
      <c r="AJ2523" s="54">
        <f>IFERROR(AH2523/S2523,"")</f>
        <v/>
      </c>
      <c r="AK2523" s="122" t="n">
        <v>7</v>
      </c>
      <c r="AL2523" s="122" t="n">
        <v>0</v>
      </c>
      <c r="AM2523" s="124">
        <f>IFERROR(AL2523/AA2523,"")</f>
        <v/>
      </c>
      <c r="AN2523" s="125">
        <f>IFERROR(R2523/AL2523,"")</f>
        <v/>
      </c>
      <c r="AO2523" s="122" t="n">
        <v>0</v>
      </c>
      <c r="AP2523" s="54">
        <f>IFERROR(AO2523/AL2523,"")</f>
        <v/>
      </c>
      <c r="AQ2523" s="125">
        <f>IFERROR(R2523/AO2523,"")</f>
        <v/>
      </c>
      <c r="AR2523" s="122" t="n">
        <v>0</v>
      </c>
      <c r="AS2523" s="122" t="n">
        <v>0</v>
      </c>
      <c r="AT2523" s="122">
        <f>AL2523+AR2523</f>
        <v/>
      </c>
      <c r="AU2523" s="125">
        <f>IFERROR(AO2523*Assumptions!$C$26*Assumptions!$C$27*INDEX(Assumptions!$C$18:$C$21,MATCH(H2523,Assumptions!$B$18:$B$21,0)),0)</f>
        <v/>
      </c>
    </row>
    <row r="2524">
      <c r="A2524" s="120" t="n">
        <v>46261</v>
      </c>
      <c r="B2524" s="66" t="inlineStr">
        <is>
          <t>Wk 35</t>
        </is>
      </c>
      <c r="C2524" s="66" t="inlineStr">
        <is>
          <t>Thu</t>
        </is>
      </c>
      <c r="D2524" s="66" t="inlineStr">
        <is>
          <t>Programmatic</t>
        </is>
      </c>
      <c r="E2524" s="66" t="inlineStr">
        <is>
          <t>DV360</t>
        </is>
      </c>
      <c r="F2524" s="66" t="inlineStr">
        <is>
          <t>LEP_ZA_AUG26_PROG_RMKT_DYNAMIC</t>
        </is>
      </c>
      <c r="G2524" s="66" t="inlineStr">
        <is>
          <t>Dynamic Retargeting</t>
        </is>
      </c>
      <c r="H2524" s="66" t="inlineStr">
        <is>
          <t>Range</t>
        </is>
      </c>
      <c r="I2524" s="66" t="inlineStr">
        <is>
          <t>Range Offer</t>
        </is>
      </c>
      <c r="J2524" s="66" t="inlineStr">
        <is>
          <t>PROG_LAL_SEED_CONVERTERS</t>
        </is>
      </c>
      <c r="K2524" s="66" t="inlineStr">
        <is>
          <t>Lookalike</t>
        </is>
      </c>
      <c r="L2524" s="66" t="inlineStr">
        <is>
          <t>PROG_HTML5_300x600_Models_v1</t>
        </is>
      </c>
      <c r="M2524" s="66" t="inlineStr">
        <is>
          <t>HTML5 Display 300x600</t>
        </is>
      </c>
      <c r="N2524" s="66" t="inlineStr">
        <is>
          <t>Three models. One test drive.</t>
        </is>
      </c>
      <c r="O2524" s="66" t="inlineStr">
        <is>
          <t>Auction - Lowest Cost</t>
        </is>
      </c>
      <c r="P2524" s="66" t="inlineStr">
        <is>
          <t>Conversions (CPA)</t>
        </is>
      </c>
      <c r="Q2524" s="66" t="inlineStr">
        <is>
          <t>https://www.lepas-sa.co.za/offers</t>
        </is>
      </c>
      <c r="R2524" s="121" t="n">
        <v>95.41</v>
      </c>
      <c r="S2524" s="122" t="n">
        <v>3551</v>
      </c>
      <c r="T2524" s="122" t="n">
        <v>1737</v>
      </c>
      <c r="U2524" s="123">
        <f>IFERROR(S2524/T2524,"")</f>
        <v/>
      </c>
      <c r="V2524" s="122" t="n">
        <v>11</v>
      </c>
      <c r="W2524" s="122" t="n">
        <v>9</v>
      </c>
      <c r="X2524" s="124">
        <f>IFERROR(W2524/S2524,"")</f>
        <v/>
      </c>
      <c r="Y2524" s="121">
        <f>IFERROR(R2524/W2524,"")</f>
        <v/>
      </c>
      <c r="Z2524" s="121">
        <f>IFERROR(R2524/S2524*1000,"")</f>
        <v/>
      </c>
      <c r="AA2524" s="122" t="n">
        <v>6</v>
      </c>
      <c r="AB2524" s="54">
        <f>IFERROR(AA2524/W2524,"")</f>
        <v/>
      </c>
      <c r="AC2524" s="122" t="n">
        <v>0</v>
      </c>
      <c r="AD2524" s="122" t="n">
        <v>0</v>
      </c>
      <c r="AE2524" s="122" t="n">
        <v>0</v>
      </c>
      <c r="AF2524" s="122" t="n">
        <v>0</v>
      </c>
      <c r="AG2524" s="122" t="n">
        <v>0</v>
      </c>
      <c r="AH2524" s="122" t="n">
        <v>0</v>
      </c>
      <c r="AI2524" s="54">
        <f>IFERROR(AC2524/S2524,"")</f>
        <v/>
      </c>
      <c r="AJ2524" s="54">
        <f>IFERROR(AH2524/S2524,"")</f>
        <v/>
      </c>
      <c r="AK2524" s="122" t="n">
        <v>7</v>
      </c>
      <c r="AL2524" s="122" t="n">
        <v>0</v>
      </c>
      <c r="AM2524" s="124">
        <f>IFERROR(AL2524/AA2524,"")</f>
        <v/>
      </c>
      <c r="AN2524" s="125">
        <f>IFERROR(R2524/AL2524,"")</f>
        <v/>
      </c>
      <c r="AO2524" s="122" t="n">
        <v>0</v>
      </c>
      <c r="AP2524" s="54">
        <f>IFERROR(AO2524/AL2524,"")</f>
        <v/>
      </c>
      <c r="AQ2524" s="125">
        <f>IFERROR(R2524/AO2524,"")</f>
        <v/>
      </c>
      <c r="AR2524" s="122" t="n">
        <v>0</v>
      </c>
      <c r="AS2524" s="122" t="n">
        <v>0</v>
      </c>
      <c r="AT2524" s="122">
        <f>AL2524+AR2524</f>
        <v/>
      </c>
      <c r="AU2524" s="125">
        <f>IFERROR(AO2524*Assumptions!$C$26*Assumptions!$C$27*INDEX(Assumptions!$C$18:$C$21,MATCH(H2524,Assumptions!$B$18:$B$21,0)),0)</f>
        <v/>
      </c>
    </row>
    <row r="2525">
      <c r="A2525" s="120" t="n">
        <v>46262</v>
      </c>
      <c r="B2525" s="66" t="inlineStr">
        <is>
          <t>Wk 35</t>
        </is>
      </c>
      <c r="C2525" s="66" t="inlineStr">
        <is>
          <t>Fri</t>
        </is>
      </c>
      <c r="D2525" s="66" t="inlineStr">
        <is>
          <t>Programmatic</t>
        </is>
      </c>
      <c r="E2525" s="66" t="inlineStr">
        <is>
          <t>DV360</t>
        </is>
      </c>
      <c r="F2525" s="66" t="inlineStr">
        <is>
          <t>LEP_ZA_AUG26_PROG_RMKT_DYNAMIC</t>
        </is>
      </c>
      <c r="G2525" s="66" t="inlineStr">
        <is>
          <t>Dynamic Retargeting</t>
        </is>
      </c>
      <c r="H2525" s="66" t="inlineStr">
        <is>
          <t>Range</t>
        </is>
      </c>
      <c r="I2525" s="66" t="inlineStr">
        <is>
          <t>Range Offer</t>
        </is>
      </c>
      <c r="J2525" s="66" t="inlineStr">
        <is>
          <t>PROG_LAL_SEED_CONVERTERS</t>
        </is>
      </c>
      <c r="K2525" s="66" t="inlineStr">
        <is>
          <t>Lookalike</t>
        </is>
      </c>
      <c r="L2525" s="66" t="inlineStr">
        <is>
          <t>PROG_HTML5_300x600_Models_v1</t>
        </is>
      </c>
      <c r="M2525" s="66" t="inlineStr">
        <is>
          <t>HTML5 Display 300x600</t>
        </is>
      </c>
      <c r="N2525" s="66" t="inlineStr">
        <is>
          <t>Three models. One test drive.</t>
        </is>
      </c>
      <c r="O2525" s="66" t="inlineStr">
        <is>
          <t>Auction - Lowest Cost</t>
        </is>
      </c>
      <c r="P2525" s="66" t="inlineStr">
        <is>
          <t>Conversions (CPA)</t>
        </is>
      </c>
      <c r="Q2525" s="66" t="inlineStr">
        <is>
          <t>https://www.lepas-sa.co.za/offers</t>
        </is>
      </c>
      <c r="R2525" s="121" t="n">
        <v>92.78</v>
      </c>
      <c r="S2525" s="122" t="n">
        <v>2779</v>
      </c>
      <c r="T2525" s="122" t="n">
        <v>924</v>
      </c>
      <c r="U2525" s="123">
        <f>IFERROR(S2525/T2525,"")</f>
        <v/>
      </c>
      <c r="V2525" s="122" t="n">
        <v>3</v>
      </c>
      <c r="W2525" s="122" t="n">
        <v>2</v>
      </c>
      <c r="X2525" s="124">
        <f>IFERROR(W2525/S2525,"")</f>
        <v/>
      </c>
      <c r="Y2525" s="121">
        <f>IFERROR(R2525/W2525,"")</f>
        <v/>
      </c>
      <c r="Z2525" s="121">
        <f>IFERROR(R2525/S2525*1000,"")</f>
        <v/>
      </c>
      <c r="AA2525" s="122" t="n">
        <v>1</v>
      </c>
      <c r="AB2525" s="54">
        <f>IFERROR(AA2525/W2525,"")</f>
        <v/>
      </c>
      <c r="AC2525" s="122" t="n">
        <v>0</v>
      </c>
      <c r="AD2525" s="122" t="n">
        <v>0</v>
      </c>
      <c r="AE2525" s="122" t="n">
        <v>0</v>
      </c>
      <c r="AF2525" s="122" t="n">
        <v>0</v>
      </c>
      <c r="AG2525" s="122" t="n">
        <v>0</v>
      </c>
      <c r="AH2525" s="122" t="n">
        <v>0</v>
      </c>
      <c r="AI2525" s="54">
        <f>IFERROR(AC2525/S2525,"")</f>
        <v/>
      </c>
      <c r="AJ2525" s="54">
        <f>IFERROR(AH2525/S2525,"")</f>
        <v/>
      </c>
      <c r="AK2525" s="122" t="n">
        <v>12</v>
      </c>
      <c r="AL2525" s="122" t="n">
        <v>0</v>
      </c>
      <c r="AM2525" s="124">
        <f>IFERROR(AL2525/AA2525,"")</f>
        <v/>
      </c>
      <c r="AN2525" s="125">
        <f>IFERROR(R2525/AL2525,"")</f>
        <v/>
      </c>
      <c r="AO2525" s="122" t="n">
        <v>0</v>
      </c>
      <c r="AP2525" s="54">
        <f>IFERROR(AO2525/AL2525,"")</f>
        <v/>
      </c>
      <c r="AQ2525" s="125">
        <f>IFERROR(R2525/AO2525,"")</f>
        <v/>
      </c>
      <c r="AR2525" s="122" t="n">
        <v>0</v>
      </c>
      <c r="AS2525" s="122" t="n">
        <v>0</v>
      </c>
      <c r="AT2525" s="122">
        <f>AL2525+AR2525</f>
        <v/>
      </c>
      <c r="AU2525" s="125">
        <f>IFERROR(AO2525*Assumptions!$C$26*Assumptions!$C$27*INDEX(Assumptions!$C$18:$C$21,MATCH(H2525,Assumptions!$B$18:$B$21,0)),0)</f>
        <v/>
      </c>
    </row>
    <row r="2526">
      <c r="A2526" s="120" t="n">
        <v>46263</v>
      </c>
      <c r="B2526" s="66" t="inlineStr">
        <is>
          <t>Wk 35</t>
        </is>
      </c>
      <c r="C2526" s="66" t="inlineStr">
        <is>
          <t>Sat</t>
        </is>
      </c>
      <c r="D2526" s="66" t="inlineStr">
        <is>
          <t>Programmatic</t>
        </is>
      </c>
      <c r="E2526" s="66" t="inlineStr">
        <is>
          <t>DV360</t>
        </is>
      </c>
      <c r="F2526" s="66" t="inlineStr">
        <is>
          <t>LEP_ZA_AUG26_PROG_RMKT_DYNAMIC</t>
        </is>
      </c>
      <c r="G2526" s="66" t="inlineStr">
        <is>
          <t>Dynamic Retargeting</t>
        </is>
      </c>
      <c r="H2526" s="66" t="inlineStr">
        <is>
          <t>Range</t>
        </is>
      </c>
      <c r="I2526" s="66" t="inlineStr">
        <is>
          <t>Range Offer</t>
        </is>
      </c>
      <c r="J2526" s="66" t="inlineStr">
        <is>
          <t>PROG_LAL_SEED_CONVERTERS</t>
        </is>
      </c>
      <c r="K2526" s="66" t="inlineStr">
        <is>
          <t>Lookalike</t>
        </is>
      </c>
      <c r="L2526" s="66" t="inlineStr">
        <is>
          <t>PROG_HTML5_300x600_Models_v1</t>
        </is>
      </c>
      <c r="M2526" s="66" t="inlineStr">
        <is>
          <t>HTML5 Display 300x600</t>
        </is>
      </c>
      <c r="N2526" s="66" t="inlineStr">
        <is>
          <t>Three models. One test drive.</t>
        </is>
      </c>
      <c r="O2526" s="66" t="inlineStr">
        <is>
          <t>Auction - Lowest Cost</t>
        </is>
      </c>
      <c r="P2526" s="66" t="inlineStr">
        <is>
          <t>Conversions (CPA)</t>
        </is>
      </c>
      <c r="Q2526" s="66" t="inlineStr">
        <is>
          <t>https://www.lepas-sa.co.za/offers</t>
        </is>
      </c>
      <c r="R2526" s="121" t="n">
        <v>77.67</v>
      </c>
      <c r="S2526" s="122" t="n">
        <v>3139</v>
      </c>
      <c r="T2526" s="122" t="n">
        <v>1111</v>
      </c>
      <c r="U2526" s="123">
        <f>IFERROR(S2526/T2526,"")</f>
        <v/>
      </c>
      <c r="V2526" s="122" t="n">
        <v>4</v>
      </c>
      <c r="W2526" s="122" t="n">
        <v>3</v>
      </c>
      <c r="X2526" s="124">
        <f>IFERROR(W2526/S2526,"")</f>
        <v/>
      </c>
      <c r="Y2526" s="121">
        <f>IFERROR(R2526/W2526,"")</f>
        <v/>
      </c>
      <c r="Z2526" s="121">
        <f>IFERROR(R2526/S2526*1000,"")</f>
        <v/>
      </c>
      <c r="AA2526" s="122" t="n">
        <v>2</v>
      </c>
      <c r="AB2526" s="54">
        <f>IFERROR(AA2526/W2526,"")</f>
        <v/>
      </c>
      <c r="AC2526" s="122" t="n">
        <v>0</v>
      </c>
      <c r="AD2526" s="122" t="n">
        <v>0</v>
      </c>
      <c r="AE2526" s="122" t="n">
        <v>0</v>
      </c>
      <c r="AF2526" s="122" t="n">
        <v>0</v>
      </c>
      <c r="AG2526" s="122" t="n">
        <v>0</v>
      </c>
      <c r="AH2526" s="122" t="n">
        <v>0</v>
      </c>
      <c r="AI2526" s="54">
        <f>IFERROR(AC2526/S2526,"")</f>
        <v/>
      </c>
      <c r="AJ2526" s="54">
        <f>IFERROR(AH2526/S2526,"")</f>
        <v/>
      </c>
      <c r="AK2526" s="122" t="n">
        <v>11</v>
      </c>
      <c r="AL2526" s="122" t="n">
        <v>0</v>
      </c>
      <c r="AM2526" s="124">
        <f>IFERROR(AL2526/AA2526,"")</f>
        <v/>
      </c>
      <c r="AN2526" s="125">
        <f>IFERROR(R2526/AL2526,"")</f>
        <v/>
      </c>
      <c r="AO2526" s="122" t="n">
        <v>0</v>
      </c>
      <c r="AP2526" s="54">
        <f>IFERROR(AO2526/AL2526,"")</f>
        <v/>
      </c>
      <c r="AQ2526" s="125">
        <f>IFERROR(R2526/AO2526,"")</f>
        <v/>
      </c>
      <c r="AR2526" s="122" t="n">
        <v>0</v>
      </c>
      <c r="AS2526" s="122" t="n">
        <v>0</v>
      </c>
      <c r="AT2526" s="122">
        <f>AL2526+AR2526</f>
        <v/>
      </c>
      <c r="AU2526" s="125">
        <f>IFERROR(AO2526*Assumptions!$C$26*Assumptions!$C$27*INDEX(Assumptions!$C$18:$C$21,MATCH(H2526,Assumptions!$B$18:$B$21,0)),0)</f>
        <v/>
      </c>
    </row>
    <row r="2527">
      <c r="A2527" s="120" t="n">
        <v>46264</v>
      </c>
      <c r="B2527" s="66" t="inlineStr">
        <is>
          <t>Wk 35</t>
        </is>
      </c>
      <c r="C2527" s="66" t="inlineStr">
        <is>
          <t>Sun</t>
        </is>
      </c>
      <c r="D2527" s="66" t="inlineStr">
        <is>
          <t>Programmatic</t>
        </is>
      </c>
      <c r="E2527" s="66" t="inlineStr">
        <is>
          <t>DV360</t>
        </is>
      </c>
      <c r="F2527" s="66" t="inlineStr">
        <is>
          <t>LEP_ZA_AUG26_PROG_RMKT_DYNAMIC</t>
        </is>
      </c>
      <c r="G2527" s="66" t="inlineStr">
        <is>
          <t>Dynamic Retargeting</t>
        </is>
      </c>
      <c r="H2527" s="66" t="inlineStr">
        <is>
          <t>Range</t>
        </is>
      </c>
      <c r="I2527" s="66" t="inlineStr">
        <is>
          <t>Range Offer</t>
        </is>
      </c>
      <c r="J2527" s="66" t="inlineStr">
        <is>
          <t>PROG_LAL_SEED_CONVERTERS</t>
        </is>
      </c>
      <c r="K2527" s="66" t="inlineStr">
        <is>
          <t>Lookalike</t>
        </is>
      </c>
      <c r="L2527" s="66" t="inlineStr">
        <is>
          <t>PROG_HTML5_300x600_Models_v1</t>
        </is>
      </c>
      <c r="M2527" s="66" t="inlineStr">
        <is>
          <t>HTML5 Display 300x600</t>
        </is>
      </c>
      <c r="N2527" s="66" t="inlineStr">
        <is>
          <t>Three models. One test drive.</t>
        </is>
      </c>
      <c r="O2527" s="66" t="inlineStr">
        <is>
          <t>Auction - Lowest Cost</t>
        </is>
      </c>
      <c r="P2527" s="66" t="inlineStr">
        <is>
          <t>Conversions (CPA)</t>
        </is>
      </c>
      <c r="Q2527" s="66" t="inlineStr">
        <is>
          <t>https://www.lepas-sa.co.za/offers</t>
        </is>
      </c>
      <c r="R2527" s="121" t="n">
        <v>74.95999999999999</v>
      </c>
      <c r="S2527" s="122" t="n">
        <v>3326</v>
      </c>
      <c r="T2527" s="122" t="n">
        <v>1124</v>
      </c>
      <c r="U2527" s="123">
        <f>IFERROR(S2527/T2527,"")</f>
        <v/>
      </c>
      <c r="V2527" s="122" t="n">
        <v>8</v>
      </c>
      <c r="W2527" s="122" t="n">
        <v>6</v>
      </c>
      <c r="X2527" s="124">
        <f>IFERROR(W2527/S2527,"")</f>
        <v/>
      </c>
      <c r="Y2527" s="121">
        <f>IFERROR(R2527/W2527,"")</f>
        <v/>
      </c>
      <c r="Z2527" s="121">
        <f>IFERROR(R2527/S2527*1000,"")</f>
        <v/>
      </c>
      <c r="AA2527" s="122" t="n">
        <v>4</v>
      </c>
      <c r="AB2527" s="54">
        <f>IFERROR(AA2527/W2527,"")</f>
        <v/>
      </c>
      <c r="AC2527" s="122" t="n">
        <v>0</v>
      </c>
      <c r="AD2527" s="122" t="n">
        <v>0</v>
      </c>
      <c r="AE2527" s="122" t="n">
        <v>0</v>
      </c>
      <c r="AF2527" s="122" t="n">
        <v>0</v>
      </c>
      <c r="AG2527" s="122" t="n">
        <v>0</v>
      </c>
      <c r="AH2527" s="122" t="n">
        <v>0</v>
      </c>
      <c r="AI2527" s="54">
        <f>IFERROR(AC2527/S2527,"")</f>
        <v/>
      </c>
      <c r="AJ2527" s="54">
        <f>IFERROR(AH2527/S2527,"")</f>
        <v/>
      </c>
      <c r="AK2527" s="122" t="n">
        <v>3</v>
      </c>
      <c r="AL2527" s="122" t="n">
        <v>0</v>
      </c>
      <c r="AM2527" s="124">
        <f>IFERROR(AL2527/AA2527,"")</f>
        <v/>
      </c>
      <c r="AN2527" s="125">
        <f>IFERROR(R2527/AL2527,"")</f>
        <v/>
      </c>
      <c r="AO2527" s="122" t="n">
        <v>0</v>
      </c>
      <c r="AP2527" s="54">
        <f>IFERROR(AO2527/AL2527,"")</f>
        <v/>
      </c>
      <c r="AQ2527" s="125">
        <f>IFERROR(R2527/AO2527,"")</f>
        <v/>
      </c>
      <c r="AR2527" s="122" t="n">
        <v>0</v>
      </c>
      <c r="AS2527" s="122" t="n">
        <v>0</v>
      </c>
      <c r="AT2527" s="122">
        <f>AL2527+AR2527</f>
        <v/>
      </c>
      <c r="AU2527" s="125">
        <f>IFERROR(AO2527*Assumptions!$C$26*Assumptions!$C$27*INDEX(Assumptions!$C$18:$C$21,MATCH(H2527,Assumptions!$B$18:$B$21,0)),0)</f>
        <v/>
      </c>
    </row>
    <row r="2528">
      <c r="A2528" s="120" t="n">
        <v>46265</v>
      </c>
      <c r="B2528" s="66" t="inlineStr">
        <is>
          <t>Wk 36</t>
        </is>
      </c>
      <c r="C2528" s="66" t="inlineStr">
        <is>
          <t>Mon</t>
        </is>
      </c>
      <c r="D2528" s="66" t="inlineStr">
        <is>
          <t>Programmatic</t>
        </is>
      </c>
      <c r="E2528" s="66" t="inlineStr">
        <is>
          <t>DV360</t>
        </is>
      </c>
      <c r="F2528" s="66" t="inlineStr">
        <is>
          <t>LEP_ZA_AUG26_PROG_RMKT_DYNAMIC</t>
        </is>
      </c>
      <c r="G2528" s="66" t="inlineStr">
        <is>
          <t>Dynamic Retargeting</t>
        </is>
      </c>
      <c r="H2528" s="66" t="inlineStr">
        <is>
          <t>Range</t>
        </is>
      </c>
      <c r="I2528" s="66" t="inlineStr">
        <is>
          <t>Range Offer</t>
        </is>
      </c>
      <c r="J2528" s="66" t="inlineStr">
        <is>
          <t>PROG_LAL_SEED_CONVERTERS</t>
        </is>
      </c>
      <c r="K2528" s="66" t="inlineStr">
        <is>
          <t>Lookalike</t>
        </is>
      </c>
      <c r="L2528" s="66" t="inlineStr">
        <is>
          <t>PROG_HTML5_300x600_Models_v1</t>
        </is>
      </c>
      <c r="M2528" s="66" t="inlineStr">
        <is>
          <t>HTML5 Display 300x600</t>
        </is>
      </c>
      <c r="N2528" s="66" t="inlineStr">
        <is>
          <t>Three models. One test drive.</t>
        </is>
      </c>
      <c r="O2528" s="66" t="inlineStr">
        <is>
          <t>Auction - Lowest Cost</t>
        </is>
      </c>
      <c r="P2528" s="66" t="inlineStr">
        <is>
          <t>Conversions (CPA)</t>
        </is>
      </c>
      <c r="Q2528" s="66" t="inlineStr">
        <is>
          <t>https://www.lepas-sa.co.za/offers</t>
        </is>
      </c>
      <c r="R2528" s="121" t="n">
        <v>68.15000000000001</v>
      </c>
      <c r="S2528" s="122" t="n">
        <v>2374</v>
      </c>
      <c r="T2528" s="122" t="n">
        <v>1145</v>
      </c>
      <c r="U2528" s="123">
        <f>IFERROR(S2528/T2528,"")</f>
        <v/>
      </c>
      <c r="V2528" s="122" t="n">
        <v>7</v>
      </c>
      <c r="W2528" s="122" t="n">
        <v>6</v>
      </c>
      <c r="X2528" s="124">
        <f>IFERROR(W2528/S2528,"")</f>
        <v/>
      </c>
      <c r="Y2528" s="121">
        <f>IFERROR(R2528/W2528,"")</f>
        <v/>
      </c>
      <c r="Z2528" s="121">
        <f>IFERROR(R2528/S2528*1000,"")</f>
        <v/>
      </c>
      <c r="AA2528" s="122" t="n">
        <v>3</v>
      </c>
      <c r="AB2528" s="54">
        <f>IFERROR(AA2528/W2528,"")</f>
        <v/>
      </c>
      <c r="AC2528" s="122" t="n">
        <v>0</v>
      </c>
      <c r="AD2528" s="122" t="n">
        <v>0</v>
      </c>
      <c r="AE2528" s="122" t="n">
        <v>0</v>
      </c>
      <c r="AF2528" s="122" t="n">
        <v>0</v>
      </c>
      <c r="AG2528" s="122" t="n">
        <v>0</v>
      </c>
      <c r="AH2528" s="122" t="n">
        <v>0</v>
      </c>
      <c r="AI2528" s="54">
        <f>IFERROR(AC2528/S2528,"")</f>
        <v/>
      </c>
      <c r="AJ2528" s="54">
        <f>IFERROR(AH2528/S2528,"")</f>
        <v/>
      </c>
      <c r="AK2528" s="122" t="n">
        <v>3</v>
      </c>
      <c r="AL2528" s="122" t="n">
        <v>0</v>
      </c>
      <c r="AM2528" s="124">
        <f>IFERROR(AL2528/AA2528,"")</f>
        <v/>
      </c>
      <c r="AN2528" s="125">
        <f>IFERROR(R2528/AL2528,"")</f>
        <v/>
      </c>
      <c r="AO2528" s="122" t="n">
        <v>0</v>
      </c>
      <c r="AP2528" s="54">
        <f>IFERROR(AO2528/AL2528,"")</f>
        <v/>
      </c>
      <c r="AQ2528" s="125">
        <f>IFERROR(R2528/AO2528,"")</f>
        <v/>
      </c>
      <c r="AR2528" s="122" t="n">
        <v>0</v>
      </c>
      <c r="AS2528" s="122" t="n">
        <v>0</v>
      </c>
      <c r="AT2528" s="122">
        <f>AL2528+AR2528</f>
        <v/>
      </c>
      <c r="AU2528" s="125">
        <f>IFERROR(AO2528*Assumptions!$C$26*Assumptions!$C$27*INDEX(Assumptions!$C$18:$C$21,MATCH(H2528,Assumptions!$B$18:$B$21,0)),0)</f>
        <v/>
      </c>
    </row>
    <row r="2529">
      <c r="A2529" s="120" t="n">
        <v>46242</v>
      </c>
      <c r="B2529" s="66" t="inlineStr">
        <is>
          <t>Wk 32</t>
        </is>
      </c>
      <c r="C2529" s="66" t="inlineStr">
        <is>
          <t>Sat</t>
        </is>
      </c>
      <c r="D2529" s="66" t="inlineStr">
        <is>
          <t>Programmatic</t>
        </is>
      </c>
      <c r="E2529" s="66" t="inlineStr">
        <is>
          <t>DV360</t>
        </is>
      </c>
      <c r="F2529" s="66" t="inlineStr">
        <is>
          <t>LEP_ZA_AUG26_PROG_RMKT_DYNAMIC</t>
        </is>
      </c>
      <c r="G2529" s="66" t="inlineStr">
        <is>
          <t>Dynamic Retargeting</t>
        </is>
      </c>
      <c r="H2529" s="66" t="inlineStr">
        <is>
          <t>Range</t>
        </is>
      </c>
      <c r="I2529" s="66" t="inlineStr">
        <is>
          <t>Range Offer</t>
        </is>
      </c>
      <c r="J2529" s="66" t="inlineStr">
        <is>
          <t>PROG_LAL_SEED_CONVERTERS</t>
        </is>
      </c>
      <c r="K2529" s="66" t="inlineStr">
        <is>
          <t>Lookalike</t>
        </is>
      </c>
      <c r="L2529" s="66" t="inlineStr">
        <is>
          <t>PROG_DYN_300x600_Offers_v1</t>
        </is>
      </c>
      <c r="M2529" s="66" t="inlineStr">
        <is>
          <t>Dynamic Display 300x600</t>
        </is>
      </c>
      <c r="N2529" s="66" t="inlineStr">
        <is>
          <t>Offers end 31 August</t>
        </is>
      </c>
      <c r="O2529" s="66" t="inlineStr">
        <is>
          <t>Auction - Lowest Cost</t>
        </is>
      </c>
      <c r="P2529" s="66" t="inlineStr">
        <is>
          <t>Conversions (CPA)</t>
        </is>
      </c>
      <c r="Q2529" s="66" t="inlineStr">
        <is>
          <t>https://www.lepas-sa.co.za/offers</t>
        </is>
      </c>
      <c r="R2529" s="121" t="n">
        <v>51.2</v>
      </c>
      <c r="S2529" s="122" t="n">
        <v>1224</v>
      </c>
      <c r="T2529" s="122" t="n">
        <v>508</v>
      </c>
      <c r="U2529" s="123">
        <f>IFERROR(S2529/T2529,"")</f>
        <v/>
      </c>
      <c r="V2529" s="122" t="n">
        <v>7</v>
      </c>
      <c r="W2529" s="122" t="n">
        <v>5</v>
      </c>
      <c r="X2529" s="124">
        <f>IFERROR(W2529/S2529,"")</f>
        <v/>
      </c>
      <c r="Y2529" s="121">
        <f>IFERROR(R2529/W2529,"")</f>
        <v/>
      </c>
      <c r="Z2529" s="121">
        <f>IFERROR(R2529/S2529*1000,"")</f>
        <v/>
      </c>
      <c r="AA2529" s="122" t="n">
        <v>3</v>
      </c>
      <c r="AB2529" s="54">
        <f>IFERROR(AA2529/W2529,"")</f>
        <v/>
      </c>
      <c r="AC2529" s="122" t="n">
        <v>0</v>
      </c>
      <c r="AD2529" s="122" t="n">
        <v>0</v>
      </c>
      <c r="AE2529" s="122" t="n">
        <v>0</v>
      </c>
      <c r="AF2529" s="122" t="n">
        <v>0</v>
      </c>
      <c r="AG2529" s="122" t="n">
        <v>0</v>
      </c>
      <c r="AH2529" s="122" t="n">
        <v>0</v>
      </c>
      <c r="AI2529" s="54">
        <f>IFERROR(AC2529/S2529,"")</f>
        <v/>
      </c>
      <c r="AJ2529" s="54">
        <f>IFERROR(AH2529/S2529,"")</f>
        <v/>
      </c>
      <c r="AK2529" s="122" t="n">
        <v>2</v>
      </c>
      <c r="AL2529" s="122" t="n">
        <v>0</v>
      </c>
      <c r="AM2529" s="124">
        <f>IFERROR(AL2529/AA2529,"")</f>
        <v/>
      </c>
      <c r="AN2529" s="125">
        <f>IFERROR(R2529/AL2529,"")</f>
        <v/>
      </c>
      <c r="AO2529" s="122" t="n">
        <v>0</v>
      </c>
      <c r="AP2529" s="54">
        <f>IFERROR(AO2529/AL2529,"")</f>
        <v/>
      </c>
      <c r="AQ2529" s="125">
        <f>IFERROR(R2529/AO2529,"")</f>
        <v/>
      </c>
      <c r="AR2529" s="122" t="n">
        <v>0</v>
      </c>
      <c r="AS2529" s="122" t="n">
        <v>0</v>
      </c>
      <c r="AT2529" s="122">
        <f>AL2529+AR2529</f>
        <v/>
      </c>
      <c r="AU2529" s="125">
        <f>IFERROR(AO2529*Assumptions!$C$26*Assumptions!$C$27*INDEX(Assumptions!$C$18:$C$21,MATCH(H2529,Assumptions!$B$18:$B$21,0)),0)</f>
        <v/>
      </c>
    </row>
    <row r="2530">
      <c r="A2530" s="120" t="n">
        <v>46243</v>
      </c>
      <c r="B2530" s="66" t="inlineStr">
        <is>
          <t>Wk 32</t>
        </is>
      </c>
      <c r="C2530" s="66" t="inlineStr">
        <is>
          <t>Sun</t>
        </is>
      </c>
      <c r="D2530" s="66" t="inlineStr">
        <is>
          <t>Programmatic</t>
        </is>
      </c>
      <c r="E2530" s="66" t="inlineStr">
        <is>
          <t>DV360</t>
        </is>
      </c>
      <c r="F2530" s="66" t="inlineStr">
        <is>
          <t>LEP_ZA_AUG26_PROG_RMKT_DYNAMIC</t>
        </is>
      </c>
      <c r="G2530" s="66" t="inlineStr">
        <is>
          <t>Dynamic Retargeting</t>
        </is>
      </c>
      <c r="H2530" s="66" t="inlineStr">
        <is>
          <t>Range</t>
        </is>
      </c>
      <c r="I2530" s="66" t="inlineStr">
        <is>
          <t>Range Offer</t>
        </is>
      </c>
      <c r="J2530" s="66" t="inlineStr">
        <is>
          <t>PROG_LAL_SEED_CONVERTERS</t>
        </is>
      </c>
      <c r="K2530" s="66" t="inlineStr">
        <is>
          <t>Lookalike</t>
        </is>
      </c>
      <c r="L2530" s="66" t="inlineStr">
        <is>
          <t>PROG_DYN_300x600_Offers_v1</t>
        </is>
      </c>
      <c r="M2530" s="66" t="inlineStr">
        <is>
          <t>Dynamic Display 300x600</t>
        </is>
      </c>
      <c r="N2530" s="66" t="inlineStr">
        <is>
          <t>Offers end 31 August</t>
        </is>
      </c>
      <c r="O2530" s="66" t="inlineStr">
        <is>
          <t>Auction - Lowest Cost</t>
        </is>
      </c>
      <c r="P2530" s="66" t="inlineStr">
        <is>
          <t>Conversions (CPA)</t>
        </is>
      </c>
      <c r="Q2530" s="66" t="inlineStr">
        <is>
          <t>https://www.lepas-sa.co.za/offers</t>
        </is>
      </c>
      <c r="R2530" s="121" t="n">
        <v>37.91</v>
      </c>
      <c r="S2530" s="122" t="n">
        <v>1673</v>
      </c>
      <c r="T2530" s="122" t="n">
        <v>1158</v>
      </c>
      <c r="U2530" s="123">
        <f>IFERROR(S2530/T2530,"")</f>
        <v/>
      </c>
      <c r="V2530" s="122" t="n">
        <v>5</v>
      </c>
      <c r="W2530" s="122" t="n">
        <v>4</v>
      </c>
      <c r="X2530" s="124">
        <f>IFERROR(W2530/S2530,"")</f>
        <v/>
      </c>
      <c r="Y2530" s="121">
        <f>IFERROR(R2530/W2530,"")</f>
        <v/>
      </c>
      <c r="Z2530" s="121">
        <f>IFERROR(R2530/S2530*1000,"")</f>
        <v/>
      </c>
      <c r="AA2530" s="122" t="n">
        <v>2</v>
      </c>
      <c r="AB2530" s="54">
        <f>IFERROR(AA2530/W2530,"")</f>
        <v/>
      </c>
      <c r="AC2530" s="122" t="n">
        <v>0</v>
      </c>
      <c r="AD2530" s="122" t="n">
        <v>0</v>
      </c>
      <c r="AE2530" s="122" t="n">
        <v>0</v>
      </c>
      <c r="AF2530" s="122" t="n">
        <v>0</v>
      </c>
      <c r="AG2530" s="122" t="n">
        <v>0</v>
      </c>
      <c r="AH2530" s="122" t="n">
        <v>0</v>
      </c>
      <c r="AI2530" s="54">
        <f>IFERROR(AC2530/S2530,"")</f>
        <v/>
      </c>
      <c r="AJ2530" s="54">
        <f>IFERROR(AH2530/S2530,"")</f>
        <v/>
      </c>
      <c r="AK2530" s="122" t="n">
        <v>6</v>
      </c>
      <c r="AL2530" s="122" t="n">
        <v>1</v>
      </c>
      <c r="AM2530" s="124">
        <f>IFERROR(AL2530/AA2530,"")</f>
        <v/>
      </c>
      <c r="AN2530" s="125">
        <f>IFERROR(R2530/AL2530,"")</f>
        <v/>
      </c>
      <c r="AO2530" s="122" t="n">
        <v>0</v>
      </c>
      <c r="AP2530" s="54">
        <f>IFERROR(AO2530/AL2530,"")</f>
        <v/>
      </c>
      <c r="AQ2530" s="125">
        <f>IFERROR(R2530/AO2530,"")</f>
        <v/>
      </c>
      <c r="AR2530" s="122" t="n">
        <v>3</v>
      </c>
      <c r="AS2530" s="122" t="n">
        <v>0</v>
      </c>
      <c r="AT2530" s="122">
        <f>AL2530+AR2530</f>
        <v/>
      </c>
      <c r="AU2530" s="125">
        <f>IFERROR(AO2530*Assumptions!$C$26*Assumptions!$C$27*INDEX(Assumptions!$C$18:$C$21,MATCH(H2530,Assumptions!$B$18:$B$21,0)),0)</f>
        <v/>
      </c>
    </row>
    <row r="2531">
      <c r="A2531" s="120" t="n">
        <v>46244</v>
      </c>
      <c r="B2531" s="66" t="inlineStr">
        <is>
          <t>Wk 33</t>
        </is>
      </c>
      <c r="C2531" s="66" t="inlineStr">
        <is>
          <t>Mon</t>
        </is>
      </c>
      <c r="D2531" s="66" t="inlineStr">
        <is>
          <t>Programmatic</t>
        </is>
      </c>
      <c r="E2531" s="66" t="inlineStr">
        <is>
          <t>DV360</t>
        </is>
      </c>
      <c r="F2531" s="66" t="inlineStr">
        <is>
          <t>LEP_ZA_AUG26_PROG_RMKT_DYNAMIC</t>
        </is>
      </c>
      <c r="G2531" s="66" t="inlineStr">
        <is>
          <t>Dynamic Retargeting</t>
        </is>
      </c>
      <c r="H2531" s="66" t="inlineStr">
        <is>
          <t>Range</t>
        </is>
      </c>
      <c r="I2531" s="66" t="inlineStr">
        <is>
          <t>Range Offer</t>
        </is>
      </c>
      <c r="J2531" s="66" t="inlineStr">
        <is>
          <t>PROG_LAL_SEED_CONVERTERS</t>
        </is>
      </c>
      <c r="K2531" s="66" t="inlineStr">
        <is>
          <t>Lookalike</t>
        </is>
      </c>
      <c r="L2531" s="66" t="inlineStr">
        <is>
          <t>PROG_DYN_300x600_Offers_v1</t>
        </is>
      </c>
      <c r="M2531" s="66" t="inlineStr">
        <is>
          <t>Dynamic Display 300x600</t>
        </is>
      </c>
      <c r="N2531" s="66" t="inlineStr">
        <is>
          <t>Offers end 31 August</t>
        </is>
      </c>
      <c r="O2531" s="66" t="inlineStr">
        <is>
          <t>Auction - Lowest Cost</t>
        </is>
      </c>
      <c r="P2531" s="66" t="inlineStr">
        <is>
          <t>Conversions (CPA)</t>
        </is>
      </c>
      <c r="Q2531" s="66" t="inlineStr">
        <is>
          <t>https://www.lepas-sa.co.za/offers</t>
        </is>
      </c>
      <c r="R2531" s="121" t="n">
        <v>57.68</v>
      </c>
      <c r="S2531" s="122" t="n">
        <v>1705</v>
      </c>
      <c r="T2531" s="122" t="n">
        <v>1010</v>
      </c>
      <c r="U2531" s="123">
        <f>IFERROR(S2531/T2531,"")</f>
        <v/>
      </c>
      <c r="V2531" s="122" t="n">
        <v>5</v>
      </c>
      <c r="W2531" s="122" t="n">
        <v>4</v>
      </c>
      <c r="X2531" s="124">
        <f>IFERROR(W2531/S2531,"")</f>
        <v/>
      </c>
      <c r="Y2531" s="121">
        <f>IFERROR(R2531/W2531,"")</f>
        <v/>
      </c>
      <c r="Z2531" s="121">
        <f>IFERROR(R2531/S2531*1000,"")</f>
        <v/>
      </c>
      <c r="AA2531" s="122" t="n">
        <v>3</v>
      </c>
      <c r="AB2531" s="54">
        <f>IFERROR(AA2531/W2531,"")</f>
        <v/>
      </c>
      <c r="AC2531" s="122" t="n">
        <v>0</v>
      </c>
      <c r="AD2531" s="122" t="n">
        <v>0</v>
      </c>
      <c r="AE2531" s="122" t="n">
        <v>0</v>
      </c>
      <c r="AF2531" s="122" t="n">
        <v>0</v>
      </c>
      <c r="AG2531" s="122" t="n">
        <v>0</v>
      </c>
      <c r="AH2531" s="122" t="n">
        <v>0</v>
      </c>
      <c r="AI2531" s="54">
        <f>IFERROR(AC2531/S2531,"")</f>
        <v/>
      </c>
      <c r="AJ2531" s="54">
        <f>IFERROR(AH2531/S2531,"")</f>
        <v/>
      </c>
      <c r="AK2531" s="122" t="n">
        <v>5</v>
      </c>
      <c r="AL2531" s="122" t="n">
        <v>0</v>
      </c>
      <c r="AM2531" s="124">
        <f>IFERROR(AL2531/AA2531,"")</f>
        <v/>
      </c>
      <c r="AN2531" s="125">
        <f>IFERROR(R2531/AL2531,"")</f>
        <v/>
      </c>
      <c r="AO2531" s="122" t="n">
        <v>0</v>
      </c>
      <c r="AP2531" s="54">
        <f>IFERROR(AO2531/AL2531,"")</f>
        <v/>
      </c>
      <c r="AQ2531" s="125">
        <f>IFERROR(R2531/AO2531,"")</f>
        <v/>
      </c>
      <c r="AR2531" s="122" t="n">
        <v>0</v>
      </c>
      <c r="AS2531" s="122" t="n">
        <v>0</v>
      </c>
      <c r="AT2531" s="122">
        <f>AL2531+AR2531</f>
        <v/>
      </c>
      <c r="AU2531" s="125">
        <f>IFERROR(AO2531*Assumptions!$C$26*Assumptions!$C$27*INDEX(Assumptions!$C$18:$C$21,MATCH(H2531,Assumptions!$B$18:$B$21,0)),0)</f>
        <v/>
      </c>
    </row>
    <row r="2532">
      <c r="A2532" s="120" t="n">
        <v>46245</v>
      </c>
      <c r="B2532" s="66" t="inlineStr">
        <is>
          <t>Wk 33</t>
        </is>
      </c>
      <c r="C2532" s="66" t="inlineStr">
        <is>
          <t>Tue</t>
        </is>
      </c>
      <c r="D2532" s="66" t="inlineStr">
        <is>
          <t>Programmatic</t>
        </is>
      </c>
      <c r="E2532" s="66" t="inlineStr">
        <is>
          <t>DV360</t>
        </is>
      </c>
      <c r="F2532" s="66" t="inlineStr">
        <is>
          <t>LEP_ZA_AUG26_PROG_RMKT_DYNAMIC</t>
        </is>
      </c>
      <c r="G2532" s="66" t="inlineStr">
        <is>
          <t>Dynamic Retargeting</t>
        </is>
      </c>
      <c r="H2532" s="66" t="inlineStr">
        <is>
          <t>Range</t>
        </is>
      </c>
      <c r="I2532" s="66" t="inlineStr">
        <is>
          <t>Range Offer</t>
        </is>
      </c>
      <c r="J2532" s="66" t="inlineStr">
        <is>
          <t>PROG_LAL_SEED_CONVERTERS</t>
        </is>
      </c>
      <c r="K2532" s="66" t="inlineStr">
        <is>
          <t>Lookalike</t>
        </is>
      </c>
      <c r="L2532" s="66" t="inlineStr">
        <is>
          <t>PROG_DYN_300x600_Offers_v1</t>
        </is>
      </c>
      <c r="M2532" s="66" t="inlineStr">
        <is>
          <t>Dynamic Display 300x600</t>
        </is>
      </c>
      <c r="N2532" s="66" t="inlineStr">
        <is>
          <t>Offers end 31 August</t>
        </is>
      </c>
      <c r="O2532" s="66" t="inlineStr">
        <is>
          <t>Auction - Lowest Cost</t>
        </is>
      </c>
      <c r="P2532" s="66" t="inlineStr">
        <is>
          <t>Conversions (CPA)</t>
        </is>
      </c>
      <c r="Q2532" s="66" t="inlineStr">
        <is>
          <t>https://www.lepas-sa.co.za/offers</t>
        </is>
      </c>
      <c r="R2532" s="121" t="n">
        <v>50</v>
      </c>
      <c r="S2532" s="122" t="n">
        <v>2286</v>
      </c>
      <c r="T2532" s="122" t="n">
        <v>1494</v>
      </c>
      <c r="U2532" s="123">
        <f>IFERROR(S2532/T2532,"")</f>
        <v/>
      </c>
      <c r="V2532" s="122" t="n">
        <v>11</v>
      </c>
      <c r="W2532" s="122" t="n">
        <v>9</v>
      </c>
      <c r="X2532" s="124">
        <f>IFERROR(W2532/S2532,"")</f>
        <v/>
      </c>
      <c r="Y2532" s="121">
        <f>IFERROR(R2532/W2532,"")</f>
        <v/>
      </c>
      <c r="Z2532" s="121">
        <f>IFERROR(R2532/S2532*1000,"")</f>
        <v/>
      </c>
      <c r="AA2532" s="122" t="n">
        <v>7</v>
      </c>
      <c r="AB2532" s="54">
        <f>IFERROR(AA2532/W2532,"")</f>
        <v/>
      </c>
      <c r="AC2532" s="122" t="n">
        <v>0</v>
      </c>
      <c r="AD2532" s="122" t="n">
        <v>0</v>
      </c>
      <c r="AE2532" s="122" t="n">
        <v>0</v>
      </c>
      <c r="AF2532" s="122" t="n">
        <v>0</v>
      </c>
      <c r="AG2532" s="122" t="n">
        <v>0</v>
      </c>
      <c r="AH2532" s="122" t="n">
        <v>0</v>
      </c>
      <c r="AI2532" s="54">
        <f>IFERROR(AC2532/S2532,"")</f>
        <v/>
      </c>
      <c r="AJ2532" s="54">
        <f>IFERROR(AH2532/S2532,"")</f>
        <v/>
      </c>
      <c r="AK2532" s="122" t="n">
        <v>9</v>
      </c>
      <c r="AL2532" s="122" t="n">
        <v>1</v>
      </c>
      <c r="AM2532" s="124">
        <f>IFERROR(AL2532/AA2532,"")</f>
        <v/>
      </c>
      <c r="AN2532" s="125">
        <f>IFERROR(R2532/AL2532,"")</f>
        <v/>
      </c>
      <c r="AO2532" s="122" t="n">
        <v>0</v>
      </c>
      <c r="AP2532" s="54">
        <f>IFERROR(AO2532/AL2532,"")</f>
        <v/>
      </c>
      <c r="AQ2532" s="125">
        <f>IFERROR(R2532/AO2532,"")</f>
        <v/>
      </c>
      <c r="AR2532" s="122" t="n">
        <v>2</v>
      </c>
      <c r="AS2532" s="122" t="n">
        <v>2</v>
      </c>
      <c r="AT2532" s="122">
        <f>AL2532+AR2532</f>
        <v/>
      </c>
      <c r="AU2532" s="125">
        <f>IFERROR(AO2532*Assumptions!$C$26*Assumptions!$C$27*INDEX(Assumptions!$C$18:$C$21,MATCH(H2532,Assumptions!$B$18:$B$21,0)),0)</f>
        <v/>
      </c>
    </row>
    <row r="2533">
      <c r="A2533" s="120" t="n">
        <v>46246</v>
      </c>
      <c r="B2533" s="66" t="inlineStr">
        <is>
          <t>Wk 33</t>
        </is>
      </c>
      <c r="C2533" s="66" t="inlineStr">
        <is>
          <t>Wed</t>
        </is>
      </c>
      <c r="D2533" s="66" t="inlineStr">
        <is>
          <t>Programmatic</t>
        </is>
      </c>
      <c r="E2533" s="66" t="inlineStr">
        <is>
          <t>DV360</t>
        </is>
      </c>
      <c r="F2533" s="66" t="inlineStr">
        <is>
          <t>LEP_ZA_AUG26_PROG_RMKT_DYNAMIC</t>
        </is>
      </c>
      <c r="G2533" s="66" t="inlineStr">
        <is>
          <t>Dynamic Retargeting</t>
        </is>
      </c>
      <c r="H2533" s="66" t="inlineStr">
        <is>
          <t>Range</t>
        </is>
      </c>
      <c r="I2533" s="66" t="inlineStr">
        <is>
          <t>Range Offer</t>
        </is>
      </c>
      <c r="J2533" s="66" t="inlineStr">
        <is>
          <t>PROG_LAL_SEED_CONVERTERS</t>
        </is>
      </c>
      <c r="K2533" s="66" t="inlineStr">
        <is>
          <t>Lookalike</t>
        </is>
      </c>
      <c r="L2533" s="66" t="inlineStr">
        <is>
          <t>PROG_DYN_300x600_Offers_v1</t>
        </is>
      </c>
      <c r="M2533" s="66" t="inlineStr">
        <is>
          <t>Dynamic Display 300x600</t>
        </is>
      </c>
      <c r="N2533" s="66" t="inlineStr">
        <is>
          <t>Offers end 31 August</t>
        </is>
      </c>
      <c r="O2533" s="66" t="inlineStr">
        <is>
          <t>Auction - Lowest Cost</t>
        </is>
      </c>
      <c r="P2533" s="66" t="inlineStr">
        <is>
          <t>Conversions (CPA)</t>
        </is>
      </c>
      <c r="Q2533" s="66" t="inlineStr">
        <is>
          <t>https://www.lepas-sa.co.za/offers</t>
        </is>
      </c>
      <c r="R2533" s="121" t="n">
        <v>44.99</v>
      </c>
      <c r="S2533" s="122" t="n">
        <v>1120</v>
      </c>
      <c r="T2533" s="122" t="n">
        <v>681</v>
      </c>
      <c r="U2533" s="123">
        <f>IFERROR(S2533/T2533,"")</f>
        <v/>
      </c>
      <c r="V2533" s="122" t="n">
        <v>2</v>
      </c>
      <c r="W2533" s="122" t="n">
        <v>2</v>
      </c>
      <c r="X2533" s="124">
        <f>IFERROR(W2533/S2533,"")</f>
        <v/>
      </c>
      <c r="Y2533" s="121">
        <f>IFERROR(R2533/W2533,"")</f>
        <v/>
      </c>
      <c r="Z2533" s="121">
        <f>IFERROR(R2533/S2533*1000,"")</f>
        <v/>
      </c>
      <c r="AA2533" s="122" t="n">
        <v>1</v>
      </c>
      <c r="AB2533" s="54">
        <f>IFERROR(AA2533/W2533,"")</f>
        <v/>
      </c>
      <c r="AC2533" s="122" t="n">
        <v>0</v>
      </c>
      <c r="AD2533" s="122" t="n">
        <v>0</v>
      </c>
      <c r="AE2533" s="122" t="n">
        <v>0</v>
      </c>
      <c r="AF2533" s="122" t="n">
        <v>0</v>
      </c>
      <c r="AG2533" s="122" t="n">
        <v>0</v>
      </c>
      <c r="AH2533" s="122" t="n">
        <v>0</v>
      </c>
      <c r="AI2533" s="54">
        <f>IFERROR(AC2533/S2533,"")</f>
        <v/>
      </c>
      <c r="AJ2533" s="54">
        <f>IFERROR(AH2533/S2533,"")</f>
        <v/>
      </c>
      <c r="AK2533" s="122" t="n">
        <v>3</v>
      </c>
      <c r="AL2533" s="122" t="n">
        <v>0</v>
      </c>
      <c r="AM2533" s="124">
        <f>IFERROR(AL2533/AA2533,"")</f>
        <v/>
      </c>
      <c r="AN2533" s="125">
        <f>IFERROR(R2533/AL2533,"")</f>
        <v/>
      </c>
      <c r="AO2533" s="122" t="n">
        <v>0</v>
      </c>
      <c r="AP2533" s="54">
        <f>IFERROR(AO2533/AL2533,"")</f>
        <v/>
      </c>
      <c r="AQ2533" s="125">
        <f>IFERROR(R2533/AO2533,"")</f>
        <v/>
      </c>
      <c r="AR2533" s="122" t="n">
        <v>0</v>
      </c>
      <c r="AS2533" s="122" t="n">
        <v>0</v>
      </c>
      <c r="AT2533" s="122">
        <f>AL2533+AR2533</f>
        <v/>
      </c>
      <c r="AU2533" s="125">
        <f>IFERROR(AO2533*Assumptions!$C$26*Assumptions!$C$27*INDEX(Assumptions!$C$18:$C$21,MATCH(H2533,Assumptions!$B$18:$B$21,0)),0)</f>
        <v/>
      </c>
    </row>
    <row r="2534">
      <c r="A2534" s="120" t="n">
        <v>46247</v>
      </c>
      <c r="B2534" s="66" t="inlineStr">
        <is>
          <t>Wk 33</t>
        </is>
      </c>
      <c r="C2534" s="66" t="inlineStr">
        <is>
          <t>Thu</t>
        </is>
      </c>
      <c r="D2534" s="66" t="inlineStr">
        <is>
          <t>Programmatic</t>
        </is>
      </c>
      <c r="E2534" s="66" t="inlineStr">
        <is>
          <t>DV360</t>
        </is>
      </c>
      <c r="F2534" s="66" t="inlineStr">
        <is>
          <t>LEP_ZA_AUG26_PROG_RMKT_DYNAMIC</t>
        </is>
      </c>
      <c r="G2534" s="66" t="inlineStr">
        <is>
          <t>Dynamic Retargeting</t>
        </is>
      </c>
      <c r="H2534" s="66" t="inlineStr">
        <is>
          <t>Range</t>
        </is>
      </c>
      <c r="I2534" s="66" t="inlineStr">
        <is>
          <t>Range Offer</t>
        </is>
      </c>
      <c r="J2534" s="66" t="inlineStr">
        <is>
          <t>PROG_LAL_SEED_CONVERTERS</t>
        </is>
      </c>
      <c r="K2534" s="66" t="inlineStr">
        <is>
          <t>Lookalike</t>
        </is>
      </c>
      <c r="L2534" s="66" t="inlineStr">
        <is>
          <t>PROG_DYN_300x600_Offers_v1</t>
        </is>
      </c>
      <c r="M2534" s="66" t="inlineStr">
        <is>
          <t>Dynamic Display 300x600</t>
        </is>
      </c>
      <c r="N2534" s="66" t="inlineStr">
        <is>
          <t>Offers end 31 August</t>
        </is>
      </c>
      <c r="O2534" s="66" t="inlineStr">
        <is>
          <t>Auction - Lowest Cost</t>
        </is>
      </c>
      <c r="P2534" s="66" t="inlineStr">
        <is>
          <t>Conversions (CPA)</t>
        </is>
      </c>
      <c r="Q2534" s="66" t="inlineStr">
        <is>
          <t>https://www.lepas-sa.co.za/offers</t>
        </is>
      </c>
      <c r="R2534" s="121" t="n">
        <v>56.08</v>
      </c>
      <c r="S2534" s="122" t="n">
        <v>1548</v>
      </c>
      <c r="T2534" s="122" t="n">
        <v>818</v>
      </c>
      <c r="U2534" s="123">
        <f>IFERROR(S2534/T2534,"")</f>
        <v/>
      </c>
      <c r="V2534" s="122" t="n">
        <v>5</v>
      </c>
      <c r="W2534" s="122" t="n">
        <v>4</v>
      </c>
      <c r="X2534" s="124">
        <f>IFERROR(W2534/S2534,"")</f>
        <v/>
      </c>
      <c r="Y2534" s="121">
        <f>IFERROR(R2534/W2534,"")</f>
        <v/>
      </c>
      <c r="Z2534" s="121">
        <f>IFERROR(R2534/S2534*1000,"")</f>
        <v/>
      </c>
      <c r="AA2534" s="122" t="n">
        <v>3</v>
      </c>
      <c r="AB2534" s="54">
        <f>IFERROR(AA2534/W2534,"")</f>
        <v/>
      </c>
      <c r="AC2534" s="122" t="n">
        <v>0</v>
      </c>
      <c r="AD2534" s="122" t="n">
        <v>0</v>
      </c>
      <c r="AE2534" s="122" t="n">
        <v>0</v>
      </c>
      <c r="AF2534" s="122" t="n">
        <v>0</v>
      </c>
      <c r="AG2534" s="122" t="n">
        <v>0</v>
      </c>
      <c r="AH2534" s="122" t="n">
        <v>0</v>
      </c>
      <c r="AI2534" s="54">
        <f>IFERROR(AC2534/S2534,"")</f>
        <v/>
      </c>
      <c r="AJ2534" s="54">
        <f>IFERROR(AH2534/S2534,"")</f>
        <v/>
      </c>
      <c r="AK2534" s="122" t="n">
        <v>2</v>
      </c>
      <c r="AL2534" s="122" t="n">
        <v>1</v>
      </c>
      <c r="AM2534" s="124">
        <f>IFERROR(AL2534/AA2534,"")</f>
        <v/>
      </c>
      <c r="AN2534" s="125">
        <f>IFERROR(R2534/AL2534,"")</f>
        <v/>
      </c>
      <c r="AO2534" s="122" t="n">
        <v>1</v>
      </c>
      <c r="AP2534" s="54">
        <f>IFERROR(AO2534/AL2534,"")</f>
        <v/>
      </c>
      <c r="AQ2534" s="125">
        <f>IFERROR(R2534/AO2534,"")</f>
        <v/>
      </c>
      <c r="AR2534" s="122" t="n">
        <v>2</v>
      </c>
      <c r="AS2534" s="122" t="n">
        <v>0</v>
      </c>
      <c r="AT2534" s="122">
        <f>AL2534+AR2534</f>
        <v/>
      </c>
      <c r="AU2534" s="125">
        <f>IFERROR(AO2534*Assumptions!$C$26*Assumptions!$C$27*INDEX(Assumptions!$C$18:$C$21,MATCH(H2534,Assumptions!$B$18:$B$21,0)),0)</f>
        <v/>
      </c>
    </row>
    <row r="2535">
      <c r="A2535" s="120" t="n">
        <v>46248</v>
      </c>
      <c r="B2535" s="66" t="inlineStr">
        <is>
          <t>Wk 33</t>
        </is>
      </c>
      <c r="C2535" s="66" t="inlineStr">
        <is>
          <t>Fri</t>
        </is>
      </c>
      <c r="D2535" s="66" t="inlineStr">
        <is>
          <t>Programmatic</t>
        </is>
      </c>
      <c r="E2535" s="66" t="inlineStr">
        <is>
          <t>DV360</t>
        </is>
      </c>
      <c r="F2535" s="66" t="inlineStr">
        <is>
          <t>LEP_ZA_AUG26_PROG_RMKT_DYNAMIC</t>
        </is>
      </c>
      <c r="G2535" s="66" t="inlineStr">
        <is>
          <t>Dynamic Retargeting</t>
        </is>
      </c>
      <c r="H2535" s="66" t="inlineStr">
        <is>
          <t>Range</t>
        </is>
      </c>
      <c r="I2535" s="66" t="inlineStr">
        <is>
          <t>Range Offer</t>
        </is>
      </c>
      <c r="J2535" s="66" t="inlineStr">
        <is>
          <t>PROG_LAL_SEED_CONVERTERS</t>
        </is>
      </c>
      <c r="K2535" s="66" t="inlineStr">
        <is>
          <t>Lookalike</t>
        </is>
      </c>
      <c r="L2535" s="66" t="inlineStr">
        <is>
          <t>PROG_DYN_300x600_Offers_v1</t>
        </is>
      </c>
      <c r="M2535" s="66" t="inlineStr">
        <is>
          <t>Dynamic Display 300x600</t>
        </is>
      </c>
      <c r="N2535" s="66" t="inlineStr">
        <is>
          <t>Offers end 31 August</t>
        </is>
      </c>
      <c r="O2535" s="66" t="inlineStr">
        <is>
          <t>Auction - Lowest Cost</t>
        </is>
      </c>
      <c r="P2535" s="66" t="inlineStr">
        <is>
          <t>Conversions (CPA)</t>
        </is>
      </c>
      <c r="Q2535" s="66" t="inlineStr">
        <is>
          <t>https://www.lepas-sa.co.za/offers</t>
        </is>
      </c>
      <c r="R2535" s="121" t="n">
        <v>61.5</v>
      </c>
      <c r="S2535" s="122" t="n">
        <v>1840</v>
      </c>
      <c r="T2535" s="122" t="n">
        <v>1290</v>
      </c>
      <c r="U2535" s="123">
        <f>IFERROR(S2535/T2535,"")</f>
        <v/>
      </c>
      <c r="V2535" s="122" t="n">
        <v>5</v>
      </c>
      <c r="W2535" s="122" t="n">
        <v>4</v>
      </c>
      <c r="X2535" s="124">
        <f>IFERROR(W2535/S2535,"")</f>
        <v/>
      </c>
      <c r="Y2535" s="121">
        <f>IFERROR(R2535/W2535,"")</f>
        <v/>
      </c>
      <c r="Z2535" s="121">
        <f>IFERROR(R2535/S2535*1000,"")</f>
        <v/>
      </c>
      <c r="AA2535" s="122" t="n">
        <v>3</v>
      </c>
      <c r="AB2535" s="54">
        <f>IFERROR(AA2535/W2535,"")</f>
        <v/>
      </c>
      <c r="AC2535" s="122" t="n">
        <v>0</v>
      </c>
      <c r="AD2535" s="122" t="n">
        <v>0</v>
      </c>
      <c r="AE2535" s="122" t="n">
        <v>0</v>
      </c>
      <c r="AF2535" s="122" t="n">
        <v>0</v>
      </c>
      <c r="AG2535" s="122" t="n">
        <v>0</v>
      </c>
      <c r="AH2535" s="122" t="n">
        <v>0</v>
      </c>
      <c r="AI2535" s="54">
        <f>IFERROR(AC2535/S2535,"")</f>
        <v/>
      </c>
      <c r="AJ2535" s="54">
        <f>IFERROR(AH2535/S2535,"")</f>
        <v/>
      </c>
      <c r="AK2535" s="122" t="n">
        <v>10</v>
      </c>
      <c r="AL2535" s="122" t="n">
        <v>0</v>
      </c>
      <c r="AM2535" s="124">
        <f>IFERROR(AL2535/AA2535,"")</f>
        <v/>
      </c>
      <c r="AN2535" s="125">
        <f>IFERROR(R2535/AL2535,"")</f>
        <v/>
      </c>
      <c r="AO2535" s="122" t="n">
        <v>0</v>
      </c>
      <c r="AP2535" s="54">
        <f>IFERROR(AO2535/AL2535,"")</f>
        <v/>
      </c>
      <c r="AQ2535" s="125">
        <f>IFERROR(R2535/AO2535,"")</f>
        <v/>
      </c>
      <c r="AR2535" s="122" t="n">
        <v>0</v>
      </c>
      <c r="AS2535" s="122" t="n">
        <v>0</v>
      </c>
      <c r="AT2535" s="122">
        <f>AL2535+AR2535</f>
        <v/>
      </c>
      <c r="AU2535" s="125">
        <f>IFERROR(AO2535*Assumptions!$C$26*Assumptions!$C$27*INDEX(Assumptions!$C$18:$C$21,MATCH(H2535,Assumptions!$B$18:$B$21,0)),0)</f>
        <v/>
      </c>
    </row>
    <row r="2536">
      <c r="A2536" s="120" t="n">
        <v>46249</v>
      </c>
      <c r="B2536" s="66" t="inlineStr">
        <is>
          <t>Wk 33</t>
        </is>
      </c>
      <c r="C2536" s="66" t="inlineStr">
        <is>
          <t>Sat</t>
        </is>
      </c>
      <c r="D2536" s="66" t="inlineStr">
        <is>
          <t>Programmatic</t>
        </is>
      </c>
      <c r="E2536" s="66" t="inlineStr">
        <is>
          <t>DV360</t>
        </is>
      </c>
      <c r="F2536" s="66" t="inlineStr">
        <is>
          <t>LEP_ZA_AUG26_PROG_RMKT_DYNAMIC</t>
        </is>
      </c>
      <c r="G2536" s="66" t="inlineStr">
        <is>
          <t>Dynamic Retargeting</t>
        </is>
      </c>
      <c r="H2536" s="66" t="inlineStr">
        <is>
          <t>Range</t>
        </is>
      </c>
      <c r="I2536" s="66" t="inlineStr">
        <is>
          <t>Range Offer</t>
        </is>
      </c>
      <c r="J2536" s="66" t="inlineStr">
        <is>
          <t>PROG_LAL_SEED_CONVERTERS</t>
        </is>
      </c>
      <c r="K2536" s="66" t="inlineStr">
        <is>
          <t>Lookalike</t>
        </is>
      </c>
      <c r="L2536" s="66" t="inlineStr">
        <is>
          <t>PROG_DYN_300x600_Offers_v1</t>
        </is>
      </c>
      <c r="M2536" s="66" t="inlineStr">
        <is>
          <t>Dynamic Display 300x600</t>
        </is>
      </c>
      <c r="N2536" s="66" t="inlineStr">
        <is>
          <t>Offers end 31 August</t>
        </is>
      </c>
      <c r="O2536" s="66" t="inlineStr">
        <is>
          <t>Auction - Lowest Cost</t>
        </is>
      </c>
      <c r="P2536" s="66" t="inlineStr">
        <is>
          <t>Conversions (CPA)</t>
        </is>
      </c>
      <c r="Q2536" s="66" t="inlineStr">
        <is>
          <t>https://www.lepas-sa.co.za/offers</t>
        </is>
      </c>
      <c r="R2536" s="121" t="n">
        <v>52.59</v>
      </c>
      <c r="S2536" s="122" t="n">
        <v>1649</v>
      </c>
      <c r="T2536" s="122" t="n">
        <v>1109</v>
      </c>
      <c r="U2536" s="123">
        <f>IFERROR(S2536/T2536,"")</f>
        <v/>
      </c>
      <c r="V2536" s="122" t="n">
        <v>4</v>
      </c>
      <c r="W2536" s="122" t="n">
        <v>3</v>
      </c>
      <c r="X2536" s="124">
        <f>IFERROR(W2536/S2536,"")</f>
        <v/>
      </c>
      <c r="Y2536" s="121">
        <f>IFERROR(R2536/W2536,"")</f>
        <v/>
      </c>
      <c r="Z2536" s="121">
        <f>IFERROR(R2536/S2536*1000,"")</f>
        <v/>
      </c>
      <c r="AA2536" s="122" t="n">
        <v>1</v>
      </c>
      <c r="AB2536" s="54">
        <f>IFERROR(AA2536/W2536,"")</f>
        <v/>
      </c>
      <c r="AC2536" s="122" t="n">
        <v>0</v>
      </c>
      <c r="AD2536" s="122" t="n">
        <v>0</v>
      </c>
      <c r="AE2536" s="122" t="n">
        <v>0</v>
      </c>
      <c r="AF2536" s="122" t="n">
        <v>0</v>
      </c>
      <c r="AG2536" s="122" t="n">
        <v>0</v>
      </c>
      <c r="AH2536" s="122" t="n">
        <v>0</v>
      </c>
      <c r="AI2536" s="54">
        <f>IFERROR(AC2536/S2536,"")</f>
        <v/>
      </c>
      <c r="AJ2536" s="54">
        <f>IFERROR(AH2536/S2536,"")</f>
        <v/>
      </c>
      <c r="AK2536" s="122" t="n">
        <v>7</v>
      </c>
      <c r="AL2536" s="122" t="n">
        <v>0</v>
      </c>
      <c r="AM2536" s="124">
        <f>IFERROR(AL2536/AA2536,"")</f>
        <v/>
      </c>
      <c r="AN2536" s="125">
        <f>IFERROR(R2536/AL2536,"")</f>
        <v/>
      </c>
      <c r="AO2536" s="122" t="n">
        <v>0</v>
      </c>
      <c r="AP2536" s="54">
        <f>IFERROR(AO2536/AL2536,"")</f>
        <v/>
      </c>
      <c r="AQ2536" s="125">
        <f>IFERROR(R2536/AO2536,"")</f>
        <v/>
      </c>
      <c r="AR2536" s="122" t="n">
        <v>0</v>
      </c>
      <c r="AS2536" s="122" t="n">
        <v>0</v>
      </c>
      <c r="AT2536" s="122">
        <f>AL2536+AR2536</f>
        <v/>
      </c>
      <c r="AU2536" s="125">
        <f>IFERROR(AO2536*Assumptions!$C$26*Assumptions!$C$27*INDEX(Assumptions!$C$18:$C$21,MATCH(H2536,Assumptions!$B$18:$B$21,0)),0)</f>
        <v/>
      </c>
    </row>
    <row r="2537">
      <c r="A2537" s="120" t="n">
        <v>46250</v>
      </c>
      <c r="B2537" s="66" t="inlineStr">
        <is>
          <t>Wk 33</t>
        </is>
      </c>
      <c r="C2537" s="66" t="inlineStr">
        <is>
          <t>Sun</t>
        </is>
      </c>
      <c r="D2537" s="66" t="inlineStr">
        <is>
          <t>Programmatic</t>
        </is>
      </c>
      <c r="E2537" s="66" t="inlineStr">
        <is>
          <t>DV360</t>
        </is>
      </c>
      <c r="F2537" s="66" t="inlineStr">
        <is>
          <t>LEP_ZA_AUG26_PROG_RMKT_DYNAMIC</t>
        </is>
      </c>
      <c r="G2537" s="66" t="inlineStr">
        <is>
          <t>Dynamic Retargeting</t>
        </is>
      </c>
      <c r="H2537" s="66" t="inlineStr">
        <is>
          <t>Range</t>
        </is>
      </c>
      <c r="I2537" s="66" t="inlineStr">
        <is>
          <t>Range Offer</t>
        </is>
      </c>
      <c r="J2537" s="66" t="inlineStr">
        <is>
          <t>PROG_LAL_SEED_CONVERTERS</t>
        </is>
      </c>
      <c r="K2537" s="66" t="inlineStr">
        <is>
          <t>Lookalike</t>
        </is>
      </c>
      <c r="L2537" s="66" t="inlineStr">
        <is>
          <t>PROG_DYN_300x600_Offers_v1</t>
        </is>
      </c>
      <c r="M2537" s="66" t="inlineStr">
        <is>
          <t>Dynamic Display 300x600</t>
        </is>
      </c>
      <c r="N2537" s="66" t="inlineStr">
        <is>
          <t>Offers end 31 August</t>
        </is>
      </c>
      <c r="O2537" s="66" t="inlineStr">
        <is>
          <t>Auction - Lowest Cost</t>
        </is>
      </c>
      <c r="P2537" s="66" t="inlineStr">
        <is>
          <t>Conversions (CPA)</t>
        </is>
      </c>
      <c r="Q2537" s="66" t="inlineStr">
        <is>
          <t>https://www.lepas-sa.co.za/offers</t>
        </is>
      </c>
      <c r="R2537" s="121" t="n">
        <v>42.02</v>
      </c>
      <c r="S2537" s="122" t="n">
        <v>1221</v>
      </c>
      <c r="T2537" s="122" t="n">
        <v>569</v>
      </c>
      <c r="U2537" s="123">
        <f>IFERROR(S2537/T2537,"")</f>
        <v/>
      </c>
      <c r="V2537" s="122" t="n">
        <v>4</v>
      </c>
      <c r="W2537" s="122" t="n">
        <v>3</v>
      </c>
      <c r="X2537" s="124">
        <f>IFERROR(W2537/S2537,"")</f>
        <v/>
      </c>
      <c r="Y2537" s="121">
        <f>IFERROR(R2537/W2537,"")</f>
        <v/>
      </c>
      <c r="Z2537" s="121">
        <f>IFERROR(R2537/S2537*1000,"")</f>
        <v/>
      </c>
      <c r="AA2537" s="122" t="n">
        <v>2</v>
      </c>
      <c r="AB2537" s="54">
        <f>IFERROR(AA2537/W2537,"")</f>
        <v/>
      </c>
      <c r="AC2537" s="122" t="n">
        <v>0</v>
      </c>
      <c r="AD2537" s="122" t="n">
        <v>0</v>
      </c>
      <c r="AE2537" s="122" t="n">
        <v>0</v>
      </c>
      <c r="AF2537" s="122" t="n">
        <v>0</v>
      </c>
      <c r="AG2537" s="122" t="n">
        <v>0</v>
      </c>
      <c r="AH2537" s="122" t="n">
        <v>0</v>
      </c>
      <c r="AI2537" s="54">
        <f>IFERROR(AC2537/S2537,"")</f>
        <v/>
      </c>
      <c r="AJ2537" s="54">
        <f>IFERROR(AH2537/S2537,"")</f>
        <v/>
      </c>
      <c r="AK2537" s="122" t="n">
        <v>6</v>
      </c>
      <c r="AL2537" s="122" t="n">
        <v>0</v>
      </c>
      <c r="AM2537" s="124">
        <f>IFERROR(AL2537/AA2537,"")</f>
        <v/>
      </c>
      <c r="AN2537" s="125">
        <f>IFERROR(R2537/AL2537,"")</f>
        <v/>
      </c>
      <c r="AO2537" s="122" t="n">
        <v>0</v>
      </c>
      <c r="AP2537" s="54">
        <f>IFERROR(AO2537/AL2537,"")</f>
        <v/>
      </c>
      <c r="AQ2537" s="125">
        <f>IFERROR(R2537/AO2537,"")</f>
        <v/>
      </c>
      <c r="AR2537" s="122" t="n">
        <v>0</v>
      </c>
      <c r="AS2537" s="122" t="n">
        <v>0</v>
      </c>
      <c r="AT2537" s="122">
        <f>AL2537+AR2537</f>
        <v/>
      </c>
      <c r="AU2537" s="125">
        <f>IFERROR(AO2537*Assumptions!$C$26*Assumptions!$C$27*INDEX(Assumptions!$C$18:$C$21,MATCH(H2537,Assumptions!$B$18:$B$21,0)),0)</f>
        <v/>
      </c>
    </row>
    <row r="2538">
      <c r="A2538" s="120" t="n">
        <v>46251</v>
      </c>
      <c r="B2538" s="66" t="inlineStr">
        <is>
          <t>Wk 34</t>
        </is>
      </c>
      <c r="C2538" s="66" t="inlineStr">
        <is>
          <t>Mon</t>
        </is>
      </c>
      <c r="D2538" s="66" t="inlineStr">
        <is>
          <t>Programmatic</t>
        </is>
      </c>
      <c r="E2538" s="66" t="inlineStr">
        <is>
          <t>DV360</t>
        </is>
      </c>
      <c r="F2538" s="66" t="inlineStr">
        <is>
          <t>LEP_ZA_AUG26_PROG_RMKT_DYNAMIC</t>
        </is>
      </c>
      <c r="G2538" s="66" t="inlineStr">
        <is>
          <t>Dynamic Retargeting</t>
        </is>
      </c>
      <c r="H2538" s="66" t="inlineStr">
        <is>
          <t>Range</t>
        </is>
      </c>
      <c r="I2538" s="66" t="inlineStr">
        <is>
          <t>Range Offer</t>
        </is>
      </c>
      <c r="J2538" s="66" t="inlineStr">
        <is>
          <t>PROG_LAL_SEED_CONVERTERS</t>
        </is>
      </c>
      <c r="K2538" s="66" t="inlineStr">
        <is>
          <t>Lookalike</t>
        </is>
      </c>
      <c r="L2538" s="66" t="inlineStr">
        <is>
          <t>PROG_DYN_300x600_Offers_v1</t>
        </is>
      </c>
      <c r="M2538" s="66" t="inlineStr">
        <is>
          <t>Dynamic Display 300x600</t>
        </is>
      </c>
      <c r="N2538" s="66" t="inlineStr">
        <is>
          <t>Offers end 31 August</t>
        </is>
      </c>
      <c r="O2538" s="66" t="inlineStr">
        <is>
          <t>Auction - Lowest Cost</t>
        </is>
      </c>
      <c r="P2538" s="66" t="inlineStr">
        <is>
          <t>Conversions (CPA)</t>
        </is>
      </c>
      <c r="Q2538" s="66" t="inlineStr">
        <is>
          <t>https://www.lepas-sa.co.za/offers</t>
        </is>
      </c>
      <c r="R2538" s="121" t="n">
        <v>43.81</v>
      </c>
      <c r="S2538" s="122" t="n">
        <v>1185</v>
      </c>
      <c r="T2538" s="122" t="n">
        <v>772</v>
      </c>
      <c r="U2538" s="123">
        <f>IFERROR(S2538/T2538,"")</f>
        <v/>
      </c>
      <c r="V2538" s="122" t="n">
        <v>4</v>
      </c>
      <c r="W2538" s="122" t="n">
        <v>3</v>
      </c>
      <c r="X2538" s="124">
        <f>IFERROR(W2538/S2538,"")</f>
        <v/>
      </c>
      <c r="Y2538" s="121">
        <f>IFERROR(R2538/W2538,"")</f>
        <v/>
      </c>
      <c r="Z2538" s="121">
        <f>IFERROR(R2538/S2538*1000,"")</f>
        <v/>
      </c>
      <c r="AA2538" s="122" t="n">
        <v>2</v>
      </c>
      <c r="AB2538" s="54">
        <f>IFERROR(AA2538/W2538,"")</f>
        <v/>
      </c>
      <c r="AC2538" s="122" t="n">
        <v>0</v>
      </c>
      <c r="AD2538" s="122" t="n">
        <v>0</v>
      </c>
      <c r="AE2538" s="122" t="n">
        <v>0</v>
      </c>
      <c r="AF2538" s="122" t="n">
        <v>0</v>
      </c>
      <c r="AG2538" s="122" t="n">
        <v>0</v>
      </c>
      <c r="AH2538" s="122" t="n">
        <v>0</v>
      </c>
      <c r="AI2538" s="54">
        <f>IFERROR(AC2538/S2538,"")</f>
        <v/>
      </c>
      <c r="AJ2538" s="54">
        <f>IFERROR(AH2538/S2538,"")</f>
        <v/>
      </c>
      <c r="AK2538" s="122" t="n">
        <v>3</v>
      </c>
      <c r="AL2538" s="122" t="n">
        <v>0</v>
      </c>
      <c r="AM2538" s="124">
        <f>IFERROR(AL2538/AA2538,"")</f>
        <v/>
      </c>
      <c r="AN2538" s="125">
        <f>IFERROR(R2538/AL2538,"")</f>
        <v/>
      </c>
      <c r="AO2538" s="122" t="n">
        <v>0</v>
      </c>
      <c r="AP2538" s="54">
        <f>IFERROR(AO2538/AL2538,"")</f>
        <v/>
      </c>
      <c r="AQ2538" s="125">
        <f>IFERROR(R2538/AO2538,"")</f>
        <v/>
      </c>
      <c r="AR2538" s="122" t="n">
        <v>0</v>
      </c>
      <c r="AS2538" s="122" t="n">
        <v>0</v>
      </c>
      <c r="AT2538" s="122">
        <f>AL2538+AR2538</f>
        <v/>
      </c>
      <c r="AU2538" s="125">
        <f>IFERROR(AO2538*Assumptions!$C$26*Assumptions!$C$27*INDEX(Assumptions!$C$18:$C$21,MATCH(H2538,Assumptions!$B$18:$B$21,0)),0)</f>
        <v/>
      </c>
    </row>
    <row r="2539">
      <c r="A2539" s="120" t="n">
        <v>46252</v>
      </c>
      <c r="B2539" s="66" t="inlineStr">
        <is>
          <t>Wk 34</t>
        </is>
      </c>
      <c r="C2539" s="66" t="inlineStr">
        <is>
          <t>Tue</t>
        </is>
      </c>
      <c r="D2539" s="66" t="inlineStr">
        <is>
          <t>Programmatic</t>
        </is>
      </c>
      <c r="E2539" s="66" t="inlineStr">
        <is>
          <t>DV360</t>
        </is>
      </c>
      <c r="F2539" s="66" t="inlineStr">
        <is>
          <t>LEP_ZA_AUG26_PROG_RMKT_DYNAMIC</t>
        </is>
      </c>
      <c r="G2539" s="66" t="inlineStr">
        <is>
          <t>Dynamic Retargeting</t>
        </is>
      </c>
      <c r="H2539" s="66" t="inlineStr">
        <is>
          <t>Range</t>
        </is>
      </c>
      <c r="I2539" s="66" t="inlineStr">
        <is>
          <t>Range Offer</t>
        </is>
      </c>
      <c r="J2539" s="66" t="inlineStr">
        <is>
          <t>PROG_LAL_SEED_CONVERTERS</t>
        </is>
      </c>
      <c r="K2539" s="66" t="inlineStr">
        <is>
          <t>Lookalike</t>
        </is>
      </c>
      <c r="L2539" s="66" t="inlineStr">
        <is>
          <t>PROG_DYN_300x600_Offers_v1</t>
        </is>
      </c>
      <c r="M2539" s="66" t="inlineStr">
        <is>
          <t>Dynamic Display 300x600</t>
        </is>
      </c>
      <c r="N2539" s="66" t="inlineStr">
        <is>
          <t>Offers end 31 August</t>
        </is>
      </c>
      <c r="O2539" s="66" t="inlineStr">
        <is>
          <t>Auction - Lowest Cost</t>
        </is>
      </c>
      <c r="P2539" s="66" t="inlineStr">
        <is>
          <t>Conversions (CPA)</t>
        </is>
      </c>
      <c r="Q2539" s="66" t="inlineStr">
        <is>
          <t>https://www.lepas-sa.co.za/offers</t>
        </is>
      </c>
      <c r="R2539" s="121" t="n">
        <v>42.53</v>
      </c>
      <c r="S2539" s="122" t="n">
        <v>1459</v>
      </c>
      <c r="T2539" s="122" t="n">
        <v>954</v>
      </c>
      <c r="U2539" s="123">
        <f>IFERROR(S2539/T2539,"")</f>
        <v/>
      </c>
      <c r="V2539" s="122" t="n">
        <v>4</v>
      </c>
      <c r="W2539" s="122" t="n">
        <v>3</v>
      </c>
      <c r="X2539" s="124">
        <f>IFERROR(W2539/S2539,"")</f>
        <v/>
      </c>
      <c r="Y2539" s="121">
        <f>IFERROR(R2539/W2539,"")</f>
        <v/>
      </c>
      <c r="Z2539" s="121">
        <f>IFERROR(R2539/S2539*1000,"")</f>
        <v/>
      </c>
      <c r="AA2539" s="122" t="n">
        <v>2</v>
      </c>
      <c r="AB2539" s="54">
        <f>IFERROR(AA2539/W2539,"")</f>
        <v/>
      </c>
      <c r="AC2539" s="122" t="n">
        <v>0</v>
      </c>
      <c r="AD2539" s="122" t="n">
        <v>0</v>
      </c>
      <c r="AE2539" s="122" t="n">
        <v>0</v>
      </c>
      <c r="AF2539" s="122" t="n">
        <v>0</v>
      </c>
      <c r="AG2539" s="122" t="n">
        <v>0</v>
      </c>
      <c r="AH2539" s="122" t="n">
        <v>0</v>
      </c>
      <c r="AI2539" s="54">
        <f>IFERROR(AC2539/S2539,"")</f>
        <v/>
      </c>
      <c r="AJ2539" s="54">
        <f>IFERROR(AH2539/S2539,"")</f>
        <v/>
      </c>
      <c r="AK2539" s="122" t="n">
        <v>6</v>
      </c>
      <c r="AL2539" s="122" t="n">
        <v>0</v>
      </c>
      <c r="AM2539" s="124">
        <f>IFERROR(AL2539/AA2539,"")</f>
        <v/>
      </c>
      <c r="AN2539" s="125">
        <f>IFERROR(R2539/AL2539,"")</f>
        <v/>
      </c>
      <c r="AO2539" s="122" t="n">
        <v>0</v>
      </c>
      <c r="AP2539" s="54">
        <f>IFERROR(AO2539/AL2539,"")</f>
        <v/>
      </c>
      <c r="AQ2539" s="125">
        <f>IFERROR(R2539/AO2539,"")</f>
        <v/>
      </c>
      <c r="AR2539" s="122" t="n">
        <v>0</v>
      </c>
      <c r="AS2539" s="122" t="n">
        <v>0</v>
      </c>
      <c r="AT2539" s="122">
        <f>AL2539+AR2539</f>
        <v/>
      </c>
      <c r="AU2539" s="125">
        <f>IFERROR(AO2539*Assumptions!$C$26*Assumptions!$C$27*INDEX(Assumptions!$C$18:$C$21,MATCH(H2539,Assumptions!$B$18:$B$21,0)),0)</f>
        <v/>
      </c>
    </row>
    <row r="2540">
      <c r="A2540" s="120" t="n">
        <v>46253</v>
      </c>
      <c r="B2540" s="66" t="inlineStr">
        <is>
          <t>Wk 34</t>
        </is>
      </c>
      <c r="C2540" s="66" t="inlineStr">
        <is>
          <t>Wed</t>
        </is>
      </c>
      <c r="D2540" s="66" t="inlineStr">
        <is>
          <t>Programmatic</t>
        </is>
      </c>
      <c r="E2540" s="66" t="inlineStr">
        <is>
          <t>DV360</t>
        </is>
      </c>
      <c r="F2540" s="66" t="inlineStr">
        <is>
          <t>LEP_ZA_AUG26_PROG_RMKT_DYNAMIC</t>
        </is>
      </c>
      <c r="G2540" s="66" t="inlineStr">
        <is>
          <t>Dynamic Retargeting</t>
        </is>
      </c>
      <c r="H2540" s="66" t="inlineStr">
        <is>
          <t>Range</t>
        </is>
      </c>
      <c r="I2540" s="66" t="inlineStr">
        <is>
          <t>Range Offer</t>
        </is>
      </c>
      <c r="J2540" s="66" t="inlineStr">
        <is>
          <t>PROG_LAL_SEED_CONVERTERS</t>
        </is>
      </c>
      <c r="K2540" s="66" t="inlineStr">
        <is>
          <t>Lookalike</t>
        </is>
      </c>
      <c r="L2540" s="66" t="inlineStr">
        <is>
          <t>PROG_DYN_300x600_Offers_v1</t>
        </is>
      </c>
      <c r="M2540" s="66" t="inlineStr">
        <is>
          <t>Dynamic Display 300x600</t>
        </is>
      </c>
      <c r="N2540" s="66" t="inlineStr">
        <is>
          <t>Offers end 31 August</t>
        </is>
      </c>
      <c r="O2540" s="66" t="inlineStr">
        <is>
          <t>Auction - Lowest Cost</t>
        </is>
      </c>
      <c r="P2540" s="66" t="inlineStr">
        <is>
          <t>Conversions (CPA)</t>
        </is>
      </c>
      <c r="Q2540" s="66" t="inlineStr">
        <is>
          <t>https://www.lepas-sa.co.za/offers</t>
        </is>
      </c>
      <c r="R2540" s="121" t="n">
        <v>53.24</v>
      </c>
      <c r="S2540" s="122" t="n">
        <v>1905</v>
      </c>
      <c r="T2540" s="122" t="n">
        <v>700</v>
      </c>
      <c r="U2540" s="123">
        <f>IFERROR(S2540/T2540,"")</f>
        <v/>
      </c>
      <c r="V2540" s="122" t="n">
        <v>7</v>
      </c>
      <c r="W2540" s="122" t="n">
        <v>5</v>
      </c>
      <c r="X2540" s="124">
        <f>IFERROR(W2540/S2540,"")</f>
        <v/>
      </c>
      <c r="Y2540" s="121">
        <f>IFERROR(R2540/W2540,"")</f>
        <v/>
      </c>
      <c r="Z2540" s="121">
        <f>IFERROR(R2540/S2540*1000,"")</f>
        <v/>
      </c>
      <c r="AA2540" s="122" t="n">
        <v>3</v>
      </c>
      <c r="AB2540" s="54">
        <f>IFERROR(AA2540/W2540,"")</f>
        <v/>
      </c>
      <c r="AC2540" s="122" t="n">
        <v>0</v>
      </c>
      <c r="AD2540" s="122" t="n">
        <v>0</v>
      </c>
      <c r="AE2540" s="122" t="n">
        <v>0</v>
      </c>
      <c r="AF2540" s="122" t="n">
        <v>0</v>
      </c>
      <c r="AG2540" s="122" t="n">
        <v>0</v>
      </c>
      <c r="AH2540" s="122" t="n">
        <v>0</v>
      </c>
      <c r="AI2540" s="54">
        <f>IFERROR(AC2540/S2540,"")</f>
        <v/>
      </c>
      <c r="AJ2540" s="54">
        <f>IFERROR(AH2540/S2540,"")</f>
        <v/>
      </c>
      <c r="AK2540" s="122" t="n">
        <v>9</v>
      </c>
      <c r="AL2540" s="122" t="n">
        <v>0</v>
      </c>
      <c r="AM2540" s="124">
        <f>IFERROR(AL2540/AA2540,"")</f>
        <v/>
      </c>
      <c r="AN2540" s="125">
        <f>IFERROR(R2540/AL2540,"")</f>
        <v/>
      </c>
      <c r="AO2540" s="122" t="n">
        <v>0</v>
      </c>
      <c r="AP2540" s="54">
        <f>IFERROR(AO2540/AL2540,"")</f>
        <v/>
      </c>
      <c r="AQ2540" s="125">
        <f>IFERROR(R2540/AO2540,"")</f>
        <v/>
      </c>
      <c r="AR2540" s="122" t="n">
        <v>0</v>
      </c>
      <c r="AS2540" s="122" t="n">
        <v>0</v>
      </c>
      <c r="AT2540" s="122">
        <f>AL2540+AR2540</f>
        <v/>
      </c>
      <c r="AU2540" s="125">
        <f>IFERROR(AO2540*Assumptions!$C$26*Assumptions!$C$27*INDEX(Assumptions!$C$18:$C$21,MATCH(H2540,Assumptions!$B$18:$B$21,0)),0)</f>
        <v/>
      </c>
    </row>
    <row r="2541">
      <c r="A2541" s="120" t="n">
        <v>46254</v>
      </c>
      <c r="B2541" s="66" t="inlineStr">
        <is>
          <t>Wk 34</t>
        </is>
      </c>
      <c r="C2541" s="66" t="inlineStr">
        <is>
          <t>Thu</t>
        </is>
      </c>
      <c r="D2541" s="66" t="inlineStr">
        <is>
          <t>Programmatic</t>
        </is>
      </c>
      <c r="E2541" s="66" t="inlineStr">
        <is>
          <t>DV360</t>
        </is>
      </c>
      <c r="F2541" s="66" t="inlineStr">
        <is>
          <t>LEP_ZA_AUG26_PROG_RMKT_DYNAMIC</t>
        </is>
      </c>
      <c r="G2541" s="66" t="inlineStr">
        <is>
          <t>Dynamic Retargeting</t>
        </is>
      </c>
      <c r="H2541" s="66" t="inlineStr">
        <is>
          <t>Range</t>
        </is>
      </c>
      <c r="I2541" s="66" t="inlineStr">
        <is>
          <t>Range Offer</t>
        </is>
      </c>
      <c r="J2541" s="66" t="inlineStr">
        <is>
          <t>PROG_LAL_SEED_CONVERTERS</t>
        </is>
      </c>
      <c r="K2541" s="66" t="inlineStr">
        <is>
          <t>Lookalike</t>
        </is>
      </c>
      <c r="L2541" s="66" t="inlineStr">
        <is>
          <t>PROG_DYN_300x600_Offers_v1</t>
        </is>
      </c>
      <c r="M2541" s="66" t="inlineStr">
        <is>
          <t>Dynamic Display 300x600</t>
        </is>
      </c>
      <c r="N2541" s="66" t="inlineStr">
        <is>
          <t>Offers end 31 August</t>
        </is>
      </c>
      <c r="O2541" s="66" t="inlineStr">
        <is>
          <t>Auction - Lowest Cost</t>
        </is>
      </c>
      <c r="P2541" s="66" t="inlineStr">
        <is>
          <t>Conversions (CPA)</t>
        </is>
      </c>
      <c r="Q2541" s="66" t="inlineStr">
        <is>
          <t>https://www.lepas-sa.co.za/offers</t>
        </is>
      </c>
      <c r="R2541" s="121" t="n">
        <v>61.34</v>
      </c>
      <c r="S2541" s="122" t="n">
        <v>2371</v>
      </c>
      <c r="T2541" s="122" t="n">
        <v>1391</v>
      </c>
      <c r="U2541" s="123">
        <f>IFERROR(S2541/T2541,"")</f>
        <v/>
      </c>
      <c r="V2541" s="122" t="n">
        <v>9</v>
      </c>
      <c r="W2541" s="122" t="n">
        <v>7</v>
      </c>
      <c r="X2541" s="124">
        <f>IFERROR(W2541/S2541,"")</f>
        <v/>
      </c>
      <c r="Y2541" s="121">
        <f>IFERROR(R2541/W2541,"")</f>
        <v/>
      </c>
      <c r="Z2541" s="121">
        <f>IFERROR(R2541/S2541*1000,"")</f>
        <v/>
      </c>
      <c r="AA2541" s="122" t="n">
        <v>4</v>
      </c>
      <c r="AB2541" s="54">
        <f>IFERROR(AA2541/W2541,"")</f>
        <v/>
      </c>
      <c r="AC2541" s="122" t="n">
        <v>0</v>
      </c>
      <c r="AD2541" s="122" t="n">
        <v>0</v>
      </c>
      <c r="AE2541" s="122" t="n">
        <v>0</v>
      </c>
      <c r="AF2541" s="122" t="n">
        <v>0</v>
      </c>
      <c r="AG2541" s="122" t="n">
        <v>0</v>
      </c>
      <c r="AH2541" s="122" t="n">
        <v>0</v>
      </c>
      <c r="AI2541" s="54">
        <f>IFERROR(AC2541/S2541,"")</f>
        <v/>
      </c>
      <c r="AJ2541" s="54">
        <f>IFERROR(AH2541/S2541,"")</f>
        <v/>
      </c>
      <c r="AK2541" s="122" t="n">
        <v>12</v>
      </c>
      <c r="AL2541" s="122" t="n">
        <v>0</v>
      </c>
      <c r="AM2541" s="124">
        <f>IFERROR(AL2541/AA2541,"")</f>
        <v/>
      </c>
      <c r="AN2541" s="125">
        <f>IFERROR(R2541/AL2541,"")</f>
        <v/>
      </c>
      <c r="AO2541" s="122" t="n">
        <v>0</v>
      </c>
      <c r="AP2541" s="54">
        <f>IFERROR(AO2541/AL2541,"")</f>
        <v/>
      </c>
      <c r="AQ2541" s="125">
        <f>IFERROR(R2541/AO2541,"")</f>
        <v/>
      </c>
      <c r="AR2541" s="122" t="n">
        <v>0</v>
      </c>
      <c r="AS2541" s="122" t="n">
        <v>0</v>
      </c>
      <c r="AT2541" s="122">
        <f>AL2541+AR2541</f>
        <v/>
      </c>
      <c r="AU2541" s="125">
        <f>IFERROR(AO2541*Assumptions!$C$26*Assumptions!$C$27*INDEX(Assumptions!$C$18:$C$21,MATCH(H2541,Assumptions!$B$18:$B$21,0)),0)</f>
        <v/>
      </c>
    </row>
    <row r="2542">
      <c r="A2542" s="120" t="n">
        <v>46255</v>
      </c>
      <c r="B2542" s="66" t="inlineStr">
        <is>
          <t>Wk 34</t>
        </is>
      </c>
      <c r="C2542" s="66" t="inlineStr">
        <is>
          <t>Fri</t>
        </is>
      </c>
      <c r="D2542" s="66" t="inlineStr">
        <is>
          <t>Programmatic</t>
        </is>
      </c>
      <c r="E2542" s="66" t="inlineStr">
        <is>
          <t>DV360</t>
        </is>
      </c>
      <c r="F2542" s="66" t="inlineStr">
        <is>
          <t>LEP_ZA_AUG26_PROG_RMKT_DYNAMIC</t>
        </is>
      </c>
      <c r="G2542" s="66" t="inlineStr">
        <is>
          <t>Dynamic Retargeting</t>
        </is>
      </c>
      <c r="H2542" s="66" t="inlineStr">
        <is>
          <t>Range</t>
        </is>
      </c>
      <c r="I2542" s="66" t="inlineStr">
        <is>
          <t>Range Offer</t>
        </is>
      </c>
      <c r="J2542" s="66" t="inlineStr">
        <is>
          <t>PROG_LAL_SEED_CONVERTERS</t>
        </is>
      </c>
      <c r="K2542" s="66" t="inlineStr">
        <is>
          <t>Lookalike</t>
        </is>
      </c>
      <c r="L2542" s="66" t="inlineStr">
        <is>
          <t>PROG_DYN_300x600_Offers_v1</t>
        </is>
      </c>
      <c r="M2542" s="66" t="inlineStr">
        <is>
          <t>Dynamic Display 300x600</t>
        </is>
      </c>
      <c r="N2542" s="66" t="inlineStr">
        <is>
          <t>Offers end 31 August</t>
        </is>
      </c>
      <c r="O2542" s="66" t="inlineStr">
        <is>
          <t>Auction - Lowest Cost</t>
        </is>
      </c>
      <c r="P2542" s="66" t="inlineStr">
        <is>
          <t>Conversions (CPA)</t>
        </is>
      </c>
      <c r="Q2542" s="66" t="inlineStr">
        <is>
          <t>https://www.lepas-sa.co.za/offers</t>
        </is>
      </c>
      <c r="R2542" s="121" t="n">
        <v>58.45</v>
      </c>
      <c r="S2542" s="122" t="n">
        <v>2161</v>
      </c>
      <c r="T2542" s="122" t="n">
        <v>1392</v>
      </c>
      <c r="U2542" s="123">
        <f>IFERROR(S2542/T2542,"")</f>
        <v/>
      </c>
      <c r="V2542" s="122" t="n">
        <v>3</v>
      </c>
      <c r="W2542" s="122" t="n">
        <v>2</v>
      </c>
      <c r="X2542" s="124">
        <f>IFERROR(W2542/S2542,"")</f>
        <v/>
      </c>
      <c r="Y2542" s="121">
        <f>IFERROR(R2542/W2542,"")</f>
        <v/>
      </c>
      <c r="Z2542" s="121">
        <f>IFERROR(R2542/S2542*1000,"")</f>
        <v/>
      </c>
      <c r="AA2542" s="122" t="n">
        <v>2</v>
      </c>
      <c r="AB2542" s="54">
        <f>IFERROR(AA2542/W2542,"")</f>
        <v/>
      </c>
      <c r="AC2542" s="122" t="n">
        <v>0</v>
      </c>
      <c r="AD2542" s="122" t="n">
        <v>0</v>
      </c>
      <c r="AE2542" s="122" t="n">
        <v>0</v>
      </c>
      <c r="AF2542" s="122" t="n">
        <v>0</v>
      </c>
      <c r="AG2542" s="122" t="n">
        <v>0</v>
      </c>
      <c r="AH2542" s="122" t="n">
        <v>0</v>
      </c>
      <c r="AI2542" s="54">
        <f>IFERROR(AC2542/S2542,"")</f>
        <v/>
      </c>
      <c r="AJ2542" s="54">
        <f>IFERROR(AH2542/S2542,"")</f>
        <v/>
      </c>
      <c r="AK2542" s="122" t="n">
        <v>7</v>
      </c>
      <c r="AL2542" s="122" t="n">
        <v>0</v>
      </c>
      <c r="AM2542" s="124">
        <f>IFERROR(AL2542/AA2542,"")</f>
        <v/>
      </c>
      <c r="AN2542" s="125">
        <f>IFERROR(R2542/AL2542,"")</f>
        <v/>
      </c>
      <c r="AO2542" s="122" t="n">
        <v>0</v>
      </c>
      <c r="AP2542" s="54">
        <f>IFERROR(AO2542/AL2542,"")</f>
        <v/>
      </c>
      <c r="AQ2542" s="125">
        <f>IFERROR(R2542/AO2542,"")</f>
        <v/>
      </c>
      <c r="AR2542" s="122" t="n">
        <v>0</v>
      </c>
      <c r="AS2542" s="122" t="n">
        <v>0</v>
      </c>
      <c r="AT2542" s="122">
        <f>AL2542+AR2542</f>
        <v/>
      </c>
      <c r="AU2542" s="125">
        <f>IFERROR(AO2542*Assumptions!$C$26*Assumptions!$C$27*INDEX(Assumptions!$C$18:$C$21,MATCH(H2542,Assumptions!$B$18:$B$21,0)),0)</f>
        <v/>
      </c>
    </row>
    <row r="2543">
      <c r="A2543" s="120" t="n">
        <v>46256</v>
      </c>
      <c r="B2543" s="66" t="inlineStr">
        <is>
          <t>Wk 34</t>
        </is>
      </c>
      <c r="C2543" s="66" t="inlineStr">
        <is>
          <t>Sat</t>
        </is>
      </c>
      <c r="D2543" s="66" t="inlineStr">
        <is>
          <t>Programmatic</t>
        </is>
      </c>
      <c r="E2543" s="66" t="inlineStr">
        <is>
          <t>DV360</t>
        </is>
      </c>
      <c r="F2543" s="66" t="inlineStr">
        <is>
          <t>LEP_ZA_AUG26_PROG_RMKT_DYNAMIC</t>
        </is>
      </c>
      <c r="G2543" s="66" t="inlineStr">
        <is>
          <t>Dynamic Retargeting</t>
        </is>
      </c>
      <c r="H2543" s="66" t="inlineStr">
        <is>
          <t>Range</t>
        </is>
      </c>
      <c r="I2543" s="66" t="inlineStr">
        <is>
          <t>Range Offer</t>
        </is>
      </c>
      <c r="J2543" s="66" t="inlineStr">
        <is>
          <t>PROG_LAL_SEED_CONVERTERS</t>
        </is>
      </c>
      <c r="K2543" s="66" t="inlineStr">
        <is>
          <t>Lookalike</t>
        </is>
      </c>
      <c r="L2543" s="66" t="inlineStr">
        <is>
          <t>PROG_DYN_300x600_Offers_v1</t>
        </is>
      </c>
      <c r="M2543" s="66" t="inlineStr">
        <is>
          <t>Dynamic Display 300x600</t>
        </is>
      </c>
      <c r="N2543" s="66" t="inlineStr">
        <is>
          <t>Offers end 31 August</t>
        </is>
      </c>
      <c r="O2543" s="66" t="inlineStr">
        <is>
          <t>Auction - Lowest Cost</t>
        </is>
      </c>
      <c r="P2543" s="66" t="inlineStr">
        <is>
          <t>Conversions (CPA)</t>
        </is>
      </c>
      <c r="Q2543" s="66" t="inlineStr">
        <is>
          <t>https://www.lepas-sa.co.za/offers</t>
        </is>
      </c>
      <c r="R2543" s="121" t="n">
        <v>52.78</v>
      </c>
      <c r="S2543" s="122" t="n">
        <v>1737</v>
      </c>
      <c r="T2543" s="122" t="n">
        <v>629</v>
      </c>
      <c r="U2543" s="123">
        <f>IFERROR(S2543/T2543,"")</f>
        <v/>
      </c>
      <c r="V2543" s="122" t="n">
        <v>6</v>
      </c>
      <c r="W2543" s="122" t="n">
        <v>5</v>
      </c>
      <c r="X2543" s="124">
        <f>IFERROR(W2543/S2543,"")</f>
        <v/>
      </c>
      <c r="Y2543" s="121">
        <f>IFERROR(R2543/W2543,"")</f>
        <v/>
      </c>
      <c r="Z2543" s="121">
        <f>IFERROR(R2543/S2543*1000,"")</f>
        <v/>
      </c>
      <c r="AA2543" s="122" t="n">
        <v>3</v>
      </c>
      <c r="AB2543" s="54">
        <f>IFERROR(AA2543/W2543,"")</f>
        <v/>
      </c>
      <c r="AC2543" s="122" t="n">
        <v>0</v>
      </c>
      <c r="AD2543" s="122" t="n">
        <v>0</v>
      </c>
      <c r="AE2543" s="122" t="n">
        <v>0</v>
      </c>
      <c r="AF2543" s="122" t="n">
        <v>0</v>
      </c>
      <c r="AG2543" s="122" t="n">
        <v>0</v>
      </c>
      <c r="AH2543" s="122" t="n">
        <v>0</v>
      </c>
      <c r="AI2543" s="54">
        <f>IFERROR(AC2543/S2543,"")</f>
        <v/>
      </c>
      <c r="AJ2543" s="54">
        <f>IFERROR(AH2543/S2543,"")</f>
        <v/>
      </c>
      <c r="AK2543" s="122" t="n">
        <v>4</v>
      </c>
      <c r="AL2543" s="122" t="n">
        <v>0</v>
      </c>
      <c r="AM2543" s="124">
        <f>IFERROR(AL2543/AA2543,"")</f>
        <v/>
      </c>
      <c r="AN2543" s="125">
        <f>IFERROR(R2543/AL2543,"")</f>
        <v/>
      </c>
      <c r="AO2543" s="122" t="n">
        <v>0</v>
      </c>
      <c r="AP2543" s="54">
        <f>IFERROR(AO2543/AL2543,"")</f>
        <v/>
      </c>
      <c r="AQ2543" s="125">
        <f>IFERROR(R2543/AO2543,"")</f>
        <v/>
      </c>
      <c r="AR2543" s="122" t="n">
        <v>0</v>
      </c>
      <c r="AS2543" s="122" t="n">
        <v>0</v>
      </c>
      <c r="AT2543" s="122">
        <f>AL2543+AR2543</f>
        <v/>
      </c>
      <c r="AU2543" s="125">
        <f>IFERROR(AO2543*Assumptions!$C$26*Assumptions!$C$27*INDEX(Assumptions!$C$18:$C$21,MATCH(H2543,Assumptions!$B$18:$B$21,0)),0)</f>
        <v/>
      </c>
    </row>
    <row r="2544">
      <c r="A2544" s="120" t="n">
        <v>46257</v>
      </c>
      <c r="B2544" s="66" t="inlineStr">
        <is>
          <t>Wk 34</t>
        </is>
      </c>
      <c r="C2544" s="66" t="inlineStr">
        <is>
          <t>Sun</t>
        </is>
      </c>
      <c r="D2544" s="66" t="inlineStr">
        <is>
          <t>Programmatic</t>
        </is>
      </c>
      <c r="E2544" s="66" t="inlineStr">
        <is>
          <t>DV360</t>
        </is>
      </c>
      <c r="F2544" s="66" t="inlineStr">
        <is>
          <t>LEP_ZA_AUG26_PROG_RMKT_DYNAMIC</t>
        </is>
      </c>
      <c r="G2544" s="66" t="inlineStr">
        <is>
          <t>Dynamic Retargeting</t>
        </is>
      </c>
      <c r="H2544" s="66" t="inlineStr">
        <is>
          <t>Range</t>
        </is>
      </c>
      <c r="I2544" s="66" t="inlineStr">
        <is>
          <t>Range Offer</t>
        </is>
      </c>
      <c r="J2544" s="66" t="inlineStr">
        <is>
          <t>PROG_LAL_SEED_CONVERTERS</t>
        </is>
      </c>
      <c r="K2544" s="66" t="inlineStr">
        <is>
          <t>Lookalike</t>
        </is>
      </c>
      <c r="L2544" s="66" t="inlineStr">
        <is>
          <t>PROG_DYN_300x600_Offers_v1</t>
        </is>
      </c>
      <c r="M2544" s="66" t="inlineStr">
        <is>
          <t>Dynamic Display 300x600</t>
        </is>
      </c>
      <c r="N2544" s="66" t="inlineStr">
        <is>
          <t>Offers end 31 August</t>
        </is>
      </c>
      <c r="O2544" s="66" t="inlineStr">
        <is>
          <t>Auction - Lowest Cost</t>
        </is>
      </c>
      <c r="P2544" s="66" t="inlineStr">
        <is>
          <t>Conversions (CPA)</t>
        </is>
      </c>
      <c r="Q2544" s="66" t="inlineStr">
        <is>
          <t>https://www.lepas-sa.co.za/offers</t>
        </is>
      </c>
      <c r="R2544" s="121" t="n">
        <v>43.32</v>
      </c>
      <c r="S2544" s="122" t="n">
        <v>1868</v>
      </c>
      <c r="T2544" s="122" t="n">
        <v>1094</v>
      </c>
      <c r="U2544" s="123">
        <f>IFERROR(S2544/T2544,"")</f>
        <v/>
      </c>
      <c r="V2544" s="122" t="n">
        <v>5</v>
      </c>
      <c r="W2544" s="122" t="n">
        <v>4</v>
      </c>
      <c r="X2544" s="124">
        <f>IFERROR(W2544/S2544,"")</f>
        <v/>
      </c>
      <c r="Y2544" s="121">
        <f>IFERROR(R2544/W2544,"")</f>
        <v/>
      </c>
      <c r="Z2544" s="121">
        <f>IFERROR(R2544/S2544*1000,"")</f>
        <v/>
      </c>
      <c r="AA2544" s="122" t="n">
        <v>2</v>
      </c>
      <c r="AB2544" s="54">
        <f>IFERROR(AA2544/W2544,"")</f>
        <v/>
      </c>
      <c r="AC2544" s="122" t="n">
        <v>0</v>
      </c>
      <c r="AD2544" s="122" t="n">
        <v>0</v>
      </c>
      <c r="AE2544" s="122" t="n">
        <v>0</v>
      </c>
      <c r="AF2544" s="122" t="n">
        <v>0</v>
      </c>
      <c r="AG2544" s="122" t="n">
        <v>0</v>
      </c>
      <c r="AH2544" s="122" t="n">
        <v>0</v>
      </c>
      <c r="AI2544" s="54">
        <f>IFERROR(AC2544/S2544,"")</f>
        <v/>
      </c>
      <c r="AJ2544" s="54">
        <f>IFERROR(AH2544/S2544,"")</f>
        <v/>
      </c>
      <c r="AK2544" s="122" t="n">
        <v>10</v>
      </c>
      <c r="AL2544" s="122" t="n">
        <v>1</v>
      </c>
      <c r="AM2544" s="124">
        <f>IFERROR(AL2544/AA2544,"")</f>
        <v/>
      </c>
      <c r="AN2544" s="125">
        <f>IFERROR(R2544/AL2544,"")</f>
        <v/>
      </c>
      <c r="AO2544" s="122" t="n">
        <v>1</v>
      </c>
      <c r="AP2544" s="54">
        <f>IFERROR(AO2544/AL2544,"")</f>
        <v/>
      </c>
      <c r="AQ2544" s="125">
        <f>IFERROR(R2544/AO2544,"")</f>
        <v/>
      </c>
      <c r="AR2544" s="122" t="n">
        <v>3</v>
      </c>
      <c r="AS2544" s="122" t="n">
        <v>1</v>
      </c>
      <c r="AT2544" s="122">
        <f>AL2544+AR2544</f>
        <v/>
      </c>
      <c r="AU2544" s="125">
        <f>IFERROR(AO2544*Assumptions!$C$26*Assumptions!$C$27*INDEX(Assumptions!$C$18:$C$21,MATCH(H2544,Assumptions!$B$18:$B$21,0)),0)</f>
        <v/>
      </c>
    </row>
    <row r="2545">
      <c r="A2545" s="120" t="n">
        <v>46258</v>
      </c>
      <c r="B2545" s="66" t="inlineStr">
        <is>
          <t>Wk 35</t>
        </is>
      </c>
      <c r="C2545" s="66" t="inlineStr">
        <is>
          <t>Mon</t>
        </is>
      </c>
      <c r="D2545" s="66" t="inlineStr">
        <is>
          <t>Programmatic</t>
        </is>
      </c>
      <c r="E2545" s="66" t="inlineStr">
        <is>
          <t>DV360</t>
        </is>
      </c>
      <c r="F2545" s="66" t="inlineStr">
        <is>
          <t>LEP_ZA_AUG26_PROG_RMKT_DYNAMIC</t>
        </is>
      </c>
      <c r="G2545" s="66" t="inlineStr">
        <is>
          <t>Dynamic Retargeting</t>
        </is>
      </c>
      <c r="H2545" s="66" t="inlineStr">
        <is>
          <t>Range</t>
        </is>
      </c>
      <c r="I2545" s="66" t="inlineStr">
        <is>
          <t>Range Offer</t>
        </is>
      </c>
      <c r="J2545" s="66" t="inlineStr">
        <is>
          <t>PROG_LAL_SEED_CONVERTERS</t>
        </is>
      </c>
      <c r="K2545" s="66" t="inlineStr">
        <is>
          <t>Lookalike</t>
        </is>
      </c>
      <c r="L2545" s="66" t="inlineStr">
        <is>
          <t>PROG_DYN_300x600_Offers_v1</t>
        </is>
      </c>
      <c r="M2545" s="66" t="inlineStr">
        <is>
          <t>Dynamic Display 300x600</t>
        </is>
      </c>
      <c r="N2545" s="66" t="inlineStr">
        <is>
          <t>Offers end 31 August</t>
        </is>
      </c>
      <c r="O2545" s="66" t="inlineStr">
        <is>
          <t>Auction - Lowest Cost</t>
        </is>
      </c>
      <c r="P2545" s="66" t="inlineStr">
        <is>
          <t>Conversions (CPA)</t>
        </is>
      </c>
      <c r="Q2545" s="66" t="inlineStr">
        <is>
          <t>https://www.lepas-sa.co.za/offers</t>
        </is>
      </c>
      <c r="R2545" s="121" t="n">
        <v>42.28</v>
      </c>
      <c r="S2545" s="122" t="n">
        <v>2228</v>
      </c>
      <c r="T2545" s="122" t="n">
        <v>783</v>
      </c>
      <c r="U2545" s="123">
        <f>IFERROR(S2545/T2545,"")</f>
        <v/>
      </c>
      <c r="V2545" s="122" t="n">
        <v>9</v>
      </c>
      <c r="W2545" s="122" t="n">
        <v>7</v>
      </c>
      <c r="X2545" s="124">
        <f>IFERROR(W2545/S2545,"")</f>
        <v/>
      </c>
      <c r="Y2545" s="121">
        <f>IFERROR(R2545/W2545,"")</f>
        <v/>
      </c>
      <c r="Z2545" s="121">
        <f>IFERROR(R2545/S2545*1000,"")</f>
        <v/>
      </c>
      <c r="AA2545" s="122" t="n">
        <v>5</v>
      </c>
      <c r="AB2545" s="54">
        <f>IFERROR(AA2545/W2545,"")</f>
        <v/>
      </c>
      <c r="AC2545" s="122" t="n">
        <v>0</v>
      </c>
      <c r="AD2545" s="122" t="n">
        <v>0</v>
      </c>
      <c r="AE2545" s="122" t="n">
        <v>0</v>
      </c>
      <c r="AF2545" s="122" t="n">
        <v>0</v>
      </c>
      <c r="AG2545" s="122" t="n">
        <v>0</v>
      </c>
      <c r="AH2545" s="122" t="n">
        <v>0</v>
      </c>
      <c r="AI2545" s="54">
        <f>IFERROR(AC2545/S2545,"")</f>
        <v/>
      </c>
      <c r="AJ2545" s="54">
        <f>IFERROR(AH2545/S2545,"")</f>
        <v/>
      </c>
      <c r="AK2545" s="122" t="n">
        <v>13</v>
      </c>
      <c r="AL2545" s="122" t="n">
        <v>0</v>
      </c>
      <c r="AM2545" s="124">
        <f>IFERROR(AL2545/AA2545,"")</f>
        <v/>
      </c>
      <c r="AN2545" s="125">
        <f>IFERROR(R2545/AL2545,"")</f>
        <v/>
      </c>
      <c r="AO2545" s="122" t="n">
        <v>0</v>
      </c>
      <c r="AP2545" s="54">
        <f>IFERROR(AO2545/AL2545,"")</f>
        <v/>
      </c>
      <c r="AQ2545" s="125">
        <f>IFERROR(R2545/AO2545,"")</f>
        <v/>
      </c>
      <c r="AR2545" s="122" t="n">
        <v>0</v>
      </c>
      <c r="AS2545" s="122" t="n">
        <v>0</v>
      </c>
      <c r="AT2545" s="122">
        <f>AL2545+AR2545</f>
        <v/>
      </c>
      <c r="AU2545" s="125">
        <f>IFERROR(AO2545*Assumptions!$C$26*Assumptions!$C$27*INDEX(Assumptions!$C$18:$C$21,MATCH(H2545,Assumptions!$B$18:$B$21,0)),0)</f>
        <v/>
      </c>
    </row>
    <row r="2546">
      <c r="A2546" s="120" t="n">
        <v>46259</v>
      </c>
      <c r="B2546" s="66" t="inlineStr">
        <is>
          <t>Wk 35</t>
        </is>
      </c>
      <c r="C2546" s="66" t="inlineStr">
        <is>
          <t>Tue</t>
        </is>
      </c>
      <c r="D2546" s="66" t="inlineStr">
        <is>
          <t>Programmatic</t>
        </is>
      </c>
      <c r="E2546" s="66" t="inlineStr">
        <is>
          <t>DV360</t>
        </is>
      </c>
      <c r="F2546" s="66" t="inlineStr">
        <is>
          <t>LEP_ZA_AUG26_PROG_RMKT_DYNAMIC</t>
        </is>
      </c>
      <c r="G2546" s="66" t="inlineStr">
        <is>
          <t>Dynamic Retargeting</t>
        </is>
      </c>
      <c r="H2546" s="66" t="inlineStr">
        <is>
          <t>Range</t>
        </is>
      </c>
      <c r="I2546" s="66" t="inlineStr">
        <is>
          <t>Range Offer</t>
        </is>
      </c>
      <c r="J2546" s="66" t="inlineStr">
        <is>
          <t>PROG_LAL_SEED_CONVERTERS</t>
        </is>
      </c>
      <c r="K2546" s="66" t="inlineStr">
        <is>
          <t>Lookalike</t>
        </is>
      </c>
      <c r="L2546" s="66" t="inlineStr">
        <is>
          <t>PROG_DYN_300x600_Offers_v1</t>
        </is>
      </c>
      <c r="M2546" s="66" t="inlineStr">
        <is>
          <t>Dynamic Display 300x600</t>
        </is>
      </c>
      <c r="N2546" s="66" t="inlineStr">
        <is>
          <t>Offers end 31 August</t>
        </is>
      </c>
      <c r="O2546" s="66" t="inlineStr">
        <is>
          <t>Auction - Lowest Cost</t>
        </is>
      </c>
      <c r="P2546" s="66" t="inlineStr">
        <is>
          <t>Conversions (CPA)</t>
        </is>
      </c>
      <c r="Q2546" s="66" t="inlineStr">
        <is>
          <t>https://www.lepas-sa.co.za/offers</t>
        </is>
      </c>
      <c r="R2546" s="121" t="n">
        <v>51.88</v>
      </c>
      <c r="S2546" s="122" t="n">
        <v>1393</v>
      </c>
      <c r="T2546" s="122" t="n">
        <v>736</v>
      </c>
      <c r="U2546" s="123">
        <f>IFERROR(S2546/T2546,"")</f>
        <v/>
      </c>
      <c r="V2546" s="122" t="n">
        <v>2</v>
      </c>
      <c r="W2546" s="122" t="n">
        <v>1</v>
      </c>
      <c r="X2546" s="124">
        <f>IFERROR(W2546/S2546,"")</f>
        <v/>
      </c>
      <c r="Y2546" s="121">
        <f>IFERROR(R2546/W2546,"")</f>
        <v/>
      </c>
      <c r="Z2546" s="121">
        <f>IFERROR(R2546/S2546*1000,"")</f>
        <v/>
      </c>
      <c r="AA2546" s="122" t="n">
        <v>0</v>
      </c>
      <c r="AB2546" s="54">
        <f>IFERROR(AA2546/W2546,"")</f>
        <v/>
      </c>
      <c r="AC2546" s="122" t="n">
        <v>0</v>
      </c>
      <c r="AD2546" s="122" t="n">
        <v>0</v>
      </c>
      <c r="AE2546" s="122" t="n">
        <v>0</v>
      </c>
      <c r="AF2546" s="122" t="n">
        <v>0</v>
      </c>
      <c r="AG2546" s="122" t="n">
        <v>0</v>
      </c>
      <c r="AH2546" s="122" t="n">
        <v>0</v>
      </c>
      <c r="AI2546" s="54">
        <f>IFERROR(AC2546/S2546,"")</f>
        <v/>
      </c>
      <c r="AJ2546" s="54">
        <f>IFERROR(AH2546/S2546,"")</f>
        <v/>
      </c>
      <c r="AK2546" s="122" t="n">
        <v>4</v>
      </c>
      <c r="AL2546" s="122" t="n">
        <v>0</v>
      </c>
      <c r="AM2546" s="124">
        <f>IFERROR(AL2546/AA2546,"")</f>
        <v/>
      </c>
      <c r="AN2546" s="125">
        <f>IFERROR(R2546/AL2546,"")</f>
        <v/>
      </c>
      <c r="AO2546" s="122" t="n">
        <v>0</v>
      </c>
      <c r="AP2546" s="54">
        <f>IFERROR(AO2546/AL2546,"")</f>
        <v/>
      </c>
      <c r="AQ2546" s="125">
        <f>IFERROR(R2546/AO2546,"")</f>
        <v/>
      </c>
      <c r="AR2546" s="122" t="n">
        <v>0</v>
      </c>
      <c r="AS2546" s="122" t="n">
        <v>0</v>
      </c>
      <c r="AT2546" s="122">
        <f>AL2546+AR2546</f>
        <v/>
      </c>
      <c r="AU2546" s="125">
        <f>IFERROR(AO2546*Assumptions!$C$26*Assumptions!$C$27*INDEX(Assumptions!$C$18:$C$21,MATCH(H2546,Assumptions!$B$18:$B$21,0)),0)</f>
        <v/>
      </c>
    </row>
    <row r="2547">
      <c r="A2547" s="120" t="n">
        <v>46260</v>
      </c>
      <c r="B2547" s="66" t="inlineStr">
        <is>
          <t>Wk 35</t>
        </is>
      </c>
      <c r="C2547" s="66" t="inlineStr">
        <is>
          <t>Wed</t>
        </is>
      </c>
      <c r="D2547" s="66" t="inlineStr">
        <is>
          <t>Programmatic</t>
        </is>
      </c>
      <c r="E2547" s="66" t="inlineStr">
        <is>
          <t>DV360</t>
        </is>
      </c>
      <c r="F2547" s="66" t="inlineStr">
        <is>
          <t>LEP_ZA_AUG26_PROG_RMKT_DYNAMIC</t>
        </is>
      </c>
      <c r="G2547" s="66" t="inlineStr">
        <is>
          <t>Dynamic Retargeting</t>
        </is>
      </c>
      <c r="H2547" s="66" t="inlineStr">
        <is>
          <t>Range</t>
        </is>
      </c>
      <c r="I2547" s="66" t="inlineStr">
        <is>
          <t>Range Offer</t>
        </is>
      </c>
      <c r="J2547" s="66" t="inlineStr">
        <is>
          <t>PROG_LAL_SEED_CONVERTERS</t>
        </is>
      </c>
      <c r="K2547" s="66" t="inlineStr">
        <is>
          <t>Lookalike</t>
        </is>
      </c>
      <c r="L2547" s="66" t="inlineStr">
        <is>
          <t>PROG_DYN_300x600_Offers_v1</t>
        </is>
      </c>
      <c r="M2547" s="66" t="inlineStr">
        <is>
          <t>Dynamic Display 300x600</t>
        </is>
      </c>
      <c r="N2547" s="66" t="inlineStr">
        <is>
          <t>Offers end 31 August</t>
        </is>
      </c>
      <c r="O2547" s="66" t="inlineStr">
        <is>
          <t>Auction - Lowest Cost</t>
        </is>
      </c>
      <c r="P2547" s="66" t="inlineStr">
        <is>
          <t>Conversions (CPA)</t>
        </is>
      </c>
      <c r="Q2547" s="66" t="inlineStr">
        <is>
          <t>https://www.lepas-sa.co.za/offers</t>
        </is>
      </c>
      <c r="R2547" s="121" t="n">
        <v>49.35</v>
      </c>
      <c r="S2547" s="122" t="n">
        <v>1621</v>
      </c>
      <c r="T2547" s="122" t="n">
        <v>572</v>
      </c>
      <c r="U2547" s="123">
        <f>IFERROR(S2547/T2547,"")</f>
        <v/>
      </c>
      <c r="V2547" s="122" t="n">
        <v>2</v>
      </c>
      <c r="W2547" s="122" t="n">
        <v>1</v>
      </c>
      <c r="X2547" s="124">
        <f>IFERROR(W2547/S2547,"")</f>
        <v/>
      </c>
      <c r="Y2547" s="121">
        <f>IFERROR(R2547/W2547,"")</f>
        <v/>
      </c>
      <c r="Z2547" s="121">
        <f>IFERROR(R2547/S2547*1000,"")</f>
        <v/>
      </c>
      <c r="AA2547" s="122" t="n">
        <v>0</v>
      </c>
      <c r="AB2547" s="54">
        <f>IFERROR(AA2547/W2547,"")</f>
        <v/>
      </c>
      <c r="AC2547" s="122" t="n">
        <v>0</v>
      </c>
      <c r="AD2547" s="122" t="n">
        <v>0</v>
      </c>
      <c r="AE2547" s="122" t="n">
        <v>0</v>
      </c>
      <c r="AF2547" s="122" t="n">
        <v>0</v>
      </c>
      <c r="AG2547" s="122" t="n">
        <v>0</v>
      </c>
      <c r="AH2547" s="122" t="n">
        <v>0</v>
      </c>
      <c r="AI2547" s="54">
        <f>IFERROR(AC2547/S2547,"")</f>
        <v/>
      </c>
      <c r="AJ2547" s="54">
        <f>IFERROR(AH2547/S2547,"")</f>
        <v/>
      </c>
      <c r="AK2547" s="122" t="n">
        <v>7</v>
      </c>
      <c r="AL2547" s="122" t="n">
        <v>0</v>
      </c>
      <c r="AM2547" s="124">
        <f>IFERROR(AL2547/AA2547,"")</f>
        <v/>
      </c>
      <c r="AN2547" s="125">
        <f>IFERROR(R2547/AL2547,"")</f>
        <v/>
      </c>
      <c r="AO2547" s="122" t="n">
        <v>0</v>
      </c>
      <c r="AP2547" s="54">
        <f>IFERROR(AO2547/AL2547,"")</f>
        <v/>
      </c>
      <c r="AQ2547" s="125">
        <f>IFERROR(R2547/AO2547,"")</f>
        <v/>
      </c>
      <c r="AR2547" s="122" t="n">
        <v>0</v>
      </c>
      <c r="AS2547" s="122" t="n">
        <v>0</v>
      </c>
      <c r="AT2547" s="122">
        <f>AL2547+AR2547</f>
        <v/>
      </c>
      <c r="AU2547" s="125">
        <f>IFERROR(AO2547*Assumptions!$C$26*Assumptions!$C$27*INDEX(Assumptions!$C$18:$C$21,MATCH(H2547,Assumptions!$B$18:$B$21,0)),0)</f>
        <v/>
      </c>
    </row>
    <row r="2548">
      <c r="A2548" s="120" t="n">
        <v>46261</v>
      </c>
      <c r="B2548" s="66" t="inlineStr">
        <is>
          <t>Wk 35</t>
        </is>
      </c>
      <c r="C2548" s="66" t="inlineStr">
        <is>
          <t>Thu</t>
        </is>
      </c>
      <c r="D2548" s="66" t="inlineStr">
        <is>
          <t>Programmatic</t>
        </is>
      </c>
      <c r="E2548" s="66" t="inlineStr">
        <is>
          <t>DV360</t>
        </is>
      </c>
      <c r="F2548" s="66" t="inlineStr">
        <is>
          <t>LEP_ZA_AUG26_PROG_RMKT_DYNAMIC</t>
        </is>
      </c>
      <c r="G2548" s="66" t="inlineStr">
        <is>
          <t>Dynamic Retargeting</t>
        </is>
      </c>
      <c r="H2548" s="66" t="inlineStr">
        <is>
          <t>Range</t>
        </is>
      </c>
      <c r="I2548" s="66" t="inlineStr">
        <is>
          <t>Range Offer</t>
        </is>
      </c>
      <c r="J2548" s="66" t="inlineStr">
        <is>
          <t>PROG_LAL_SEED_CONVERTERS</t>
        </is>
      </c>
      <c r="K2548" s="66" t="inlineStr">
        <is>
          <t>Lookalike</t>
        </is>
      </c>
      <c r="L2548" s="66" t="inlineStr">
        <is>
          <t>PROG_DYN_300x600_Offers_v1</t>
        </is>
      </c>
      <c r="M2548" s="66" t="inlineStr">
        <is>
          <t>Dynamic Display 300x600</t>
        </is>
      </c>
      <c r="N2548" s="66" t="inlineStr">
        <is>
          <t>Offers end 31 August</t>
        </is>
      </c>
      <c r="O2548" s="66" t="inlineStr">
        <is>
          <t>Auction - Lowest Cost</t>
        </is>
      </c>
      <c r="P2548" s="66" t="inlineStr">
        <is>
          <t>Conversions (CPA)</t>
        </is>
      </c>
      <c r="Q2548" s="66" t="inlineStr">
        <is>
          <t>https://www.lepas-sa.co.za/offers</t>
        </is>
      </c>
      <c r="R2548" s="121" t="n">
        <v>56.73</v>
      </c>
      <c r="S2548" s="122" t="n">
        <v>2390</v>
      </c>
      <c r="T2548" s="122" t="n">
        <v>1283</v>
      </c>
      <c r="U2548" s="123">
        <f>IFERROR(S2548/T2548,"")</f>
        <v/>
      </c>
      <c r="V2548" s="122" t="n">
        <v>5</v>
      </c>
      <c r="W2548" s="122" t="n">
        <v>3</v>
      </c>
      <c r="X2548" s="124">
        <f>IFERROR(W2548/S2548,"")</f>
        <v/>
      </c>
      <c r="Y2548" s="121">
        <f>IFERROR(R2548/W2548,"")</f>
        <v/>
      </c>
      <c r="Z2548" s="121">
        <f>IFERROR(R2548/S2548*1000,"")</f>
        <v/>
      </c>
      <c r="AA2548" s="122" t="n">
        <v>3</v>
      </c>
      <c r="AB2548" s="54">
        <f>IFERROR(AA2548/W2548,"")</f>
        <v/>
      </c>
      <c r="AC2548" s="122" t="n">
        <v>0</v>
      </c>
      <c r="AD2548" s="122" t="n">
        <v>0</v>
      </c>
      <c r="AE2548" s="122" t="n">
        <v>0</v>
      </c>
      <c r="AF2548" s="122" t="n">
        <v>0</v>
      </c>
      <c r="AG2548" s="122" t="n">
        <v>0</v>
      </c>
      <c r="AH2548" s="122" t="n">
        <v>0</v>
      </c>
      <c r="AI2548" s="54">
        <f>IFERROR(AC2548/S2548,"")</f>
        <v/>
      </c>
      <c r="AJ2548" s="54">
        <f>IFERROR(AH2548/S2548,"")</f>
        <v/>
      </c>
      <c r="AK2548" s="122" t="n">
        <v>6</v>
      </c>
      <c r="AL2548" s="122" t="n">
        <v>0</v>
      </c>
      <c r="AM2548" s="124">
        <f>IFERROR(AL2548/AA2548,"")</f>
        <v/>
      </c>
      <c r="AN2548" s="125">
        <f>IFERROR(R2548/AL2548,"")</f>
        <v/>
      </c>
      <c r="AO2548" s="122" t="n">
        <v>0</v>
      </c>
      <c r="AP2548" s="54">
        <f>IFERROR(AO2548/AL2548,"")</f>
        <v/>
      </c>
      <c r="AQ2548" s="125">
        <f>IFERROR(R2548/AO2548,"")</f>
        <v/>
      </c>
      <c r="AR2548" s="122" t="n">
        <v>0</v>
      </c>
      <c r="AS2548" s="122" t="n">
        <v>0</v>
      </c>
      <c r="AT2548" s="122">
        <f>AL2548+AR2548</f>
        <v/>
      </c>
      <c r="AU2548" s="125">
        <f>IFERROR(AO2548*Assumptions!$C$26*Assumptions!$C$27*INDEX(Assumptions!$C$18:$C$21,MATCH(H2548,Assumptions!$B$18:$B$21,0)),0)</f>
        <v/>
      </c>
    </row>
    <row r="2549">
      <c r="A2549" s="120" t="n">
        <v>46262</v>
      </c>
      <c r="B2549" s="66" t="inlineStr">
        <is>
          <t>Wk 35</t>
        </is>
      </c>
      <c r="C2549" s="66" t="inlineStr">
        <is>
          <t>Fri</t>
        </is>
      </c>
      <c r="D2549" s="66" t="inlineStr">
        <is>
          <t>Programmatic</t>
        </is>
      </c>
      <c r="E2549" s="66" t="inlineStr">
        <is>
          <t>DV360</t>
        </is>
      </c>
      <c r="F2549" s="66" t="inlineStr">
        <is>
          <t>LEP_ZA_AUG26_PROG_RMKT_DYNAMIC</t>
        </is>
      </c>
      <c r="G2549" s="66" t="inlineStr">
        <is>
          <t>Dynamic Retargeting</t>
        </is>
      </c>
      <c r="H2549" s="66" t="inlineStr">
        <is>
          <t>Range</t>
        </is>
      </c>
      <c r="I2549" s="66" t="inlineStr">
        <is>
          <t>Range Offer</t>
        </is>
      </c>
      <c r="J2549" s="66" t="inlineStr">
        <is>
          <t>PROG_LAL_SEED_CONVERTERS</t>
        </is>
      </c>
      <c r="K2549" s="66" t="inlineStr">
        <is>
          <t>Lookalike</t>
        </is>
      </c>
      <c r="L2549" s="66" t="inlineStr">
        <is>
          <t>PROG_DYN_300x600_Offers_v1</t>
        </is>
      </c>
      <c r="M2549" s="66" t="inlineStr">
        <is>
          <t>Dynamic Display 300x600</t>
        </is>
      </c>
      <c r="N2549" s="66" t="inlineStr">
        <is>
          <t>Offers end 31 August</t>
        </is>
      </c>
      <c r="O2549" s="66" t="inlineStr">
        <is>
          <t>Auction - Lowest Cost</t>
        </is>
      </c>
      <c r="P2549" s="66" t="inlineStr">
        <is>
          <t>Conversions (CPA)</t>
        </is>
      </c>
      <c r="Q2549" s="66" t="inlineStr">
        <is>
          <t>https://www.lepas-sa.co.za/offers</t>
        </is>
      </c>
      <c r="R2549" s="121" t="n">
        <v>59.13</v>
      </c>
      <c r="S2549" s="122" t="n">
        <v>2733</v>
      </c>
      <c r="T2549" s="122" t="n">
        <v>1491</v>
      </c>
      <c r="U2549" s="123">
        <f>IFERROR(S2549/T2549,"")</f>
        <v/>
      </c>
      <c r="V2549" s="122" t="n">
        <v>5</v>
      </c>
      <c r="W2549" s="122" t="n">
        <v>4</v>
      </c>
      <c r="X2549" s="124">
        <f>IFERROR(W2549/S2549,"")</f>
        <v/>
      </c>
      <c r="Y2549" s="121">
        <f>IFERROR(R2549/W2549,"")</f>
        <v/>
      </c>
      <c r="Z2549" s="121">
        <f>IFERROR(R2549/S2549*1000,"")</f>
        <v/>
      </c>
      <c r="AA2549" s="122" t="n">
        <v>3</v>
      </c>
      <c r="AB2549" s="54">
        <f>IFERROR(AA2549/W2549,"")</f>
        <v/>
      </c>
      <c r="AC2549" s="122" t="n">
        <v>0</v>
      </c>
      <c r="AD2549" s="122" t="n">
        <v>0</v>
      </c>
      <c r="AE2549" s="122" t="n">
        <v>0</v>
      </c>
      <c r="AF2549" s="122" t="n">
        <v>0</v>
      </c>
      <c r="AG2549" s="122" t="n">
        <v>0</v>
      </c>
      <c r="AH2549" s="122" t="n">
        <v>0</v>
      </c>
      <c r="AI2549" s="54">
        <f>IFERROR(AC2549/S2549,"")</f>
        <v/>
      </c>
      <c r="AJ2549" s="54">
        <f>IFERROR(AH2549/S2549,"")</f>
        <v/>
      </c>
      <c r="AK2549" s="122" t="n">
        <v>11</v>
      </c>
      <c r="AL2549" s="122" t="n">
        <v>0</v>
      </c>
      <c r="AM2549" s="124">
        <f>IFERROR(AL2549/AA2549,"")</f>
        <v/>
      </c>
      <c r="AN2549" s="125">
        <f>IFERROR(R2549/AL2549,"")</f>
        <v/>
      </c>
      <c r="AO2549" s="122" t="n">
        <v>0</v>
      </c>
      <c r="AP2549" s="54">
        <f>IFERROR(AO2549/AL2549,"")</f>
        <v/>
      </c>
      <c r="AQ2549" s="125">
        <f>IFERROR(R2549/AO2549,"")</f>
        <v/>
      </c>
      <c r="AR2549" s="122" t="n">
        <v>0</v>
      </c>
      <c r="AS2549" s="122" t="n">
        <v>0</v>
      </c>
      <c r="AT2549" s="122">
        <f>AL2549+AR2549</f>
        <v/>
      </c>
      <c r="AU2549" s="125">
        <f>IFERROR(AO2549*Assumptions!$C$26*Assumptions!$C$27*INDEX(Assumptions!$C$18:$C$21,MATCH(H2549,Assumptions!$B$18:$B$21,0)),0)</f>
        <v/>
      </c>
    </row>
    <row r="2550">
      <c r="A2550" s="120" t="n">
        <v>46263</v>
      </c>
      <c r="B2550" s="66" t="inlineStr">
        <is>
          <t>Wk 35</t>
        </is>
      </c>
      <c r="C2550" s="66" t="inlineStr">
        <is>
          <t>Sat</t>
        </is>
      </c>
      <c r="D2550" s="66" t="inlineStr">
        <is>
          <t>Programmatic</t>
        </is>
      </c>
      <c r="E2550" s="66" t="inlineStr">
        <is>
          <t>DV360</t>
        </is>
      </c>
      <c r="F2550" s="66" t="inlineStr">
        <is>
          <t>LEP_ZA_AUG26_PROG_RMKT_DYNAMIC</t>
        </is>
      </c>
      <c r="G2550" s="66" t="inlineStr">
        <is>
          <t>Dynamic Retargeting</t>
        </is>
      </c>
      <c r="H2550" s="66" t="inlineStr">
        <is>
          <t>Range</t>
        </is>
      </c>
      <c r="I2550" s="66" t="inlineStr">
        <is>
          <t>Range Offer</t>
        </is>
      </c>
      <c r="J2550" s="66" t="inlineStr">
        <is>
          <t>PROG_LAL_SEED_CONVERTERS</t>
        </is>
      </c>
      <c r="K2550" s="66" t="inlineStr">
        <is>
          <t>Lookalike</t>
        </is>
      </c>
      <c r="L2550" s="66" t="inlineStr">
        <is>
          <t>PROG_DYN_300x600_Offers_v1</t>
        </is>
      </c>
      <c r="M2550" s="66" t="inlineStr">
        <is>
          <t>Dynamic Display 300x600</t>
        </is>
      </c>
      <c r="N2550" s="66" t="inlineStr">
        <is>
          <t>Offers end 31 August</t>
        </is>
      </c>
      <c r="O2550" s="66" t="inlineStr">
        <is>
          <t>Auction - Lowest Cost</t>
        </is>
      </c>
      <c r="P2550" s="66" t="inlineStr">
        <is>
          <t>Conversions (CPA)</t>
        </is>
      </c>
      <c r="Q2550" s="66" t="inlineStr">
        <is>
          <t>https://www.lepas-sa.co.za/offers</t>
        </is>
      </c>
      <c r="R2550" s="121" t="n">
        <v>63.52</v>
      </c>
      <c r="S2550" s="122" t="n">
        <v>2142</v>
      </c>
      <c r="T2550" s="122" t="n">
        <v>938</v>
      </c>
      <c r="U2550" s="123">
        <f>IFERROR(S2550/T2550,"")</f>
        <v/>
      </c>
      <c r="V2550" s="122" t="n">
        <v>3</v>
      </c>
      <c r="W2550" s="122" t="n">
        <v>2</v>
      </c>
      <c r="X2550" s="124">
        <f>IFERROR(W2550/S2550,"")</f>
        <v/>
      </c>
      <c r="Y2550" s="121">
        <f>IFERROR(R2550/W2550,"")</f>
        <v/>
      </c>
      <c r="Z2550" s="121">
        <f>IFERROR(R2550/S2550*1000,"")</f>
        <v/>
      </c>
      <c r="AA2550" s="122" t="n">
        <v>1</v>
      </c>
      <c r="AB2550" s="54">
        <f>IFERROR(AA2550/W2550,"")</f>
        <v/>
      </c>
      <c r="AC2550" s="122" t="n">
        <v>0</v>
      </c>
      <c r="AD2550" s="122" t="n">
        <v>0</v>
      </c>
      <c r="AE2550" s="122" t="n">
        <v>0</v>
      </c>
      <c r="AF2550" s="122" t="n">
        <v>0</v>
      </c>
      <c r="AG2550" s="122" t="n">
        <v>0</v>
      </c>
      <c r="AH2550" s="122" t="n">
        <v>0</v>
      </c>
      <c r="AI2550" s="54">
        <f>IFERROR(AC2550/S2550,"")</f>
        <v/>
      </c>
      <c r="AJ2550" s="54">
        <f>IFERROR(AH2550/S2550,"")</f>
        <v/>
      </c>
      <c r="AK2550" s="122" t="n">
        <v>8</v>
      </c>
      <c r="AL2550" s="122" t="n">
        <v>0</v>
      </c>
      <c r="AM2550" s="124">
        <f>IFERROR(AL2550/AA2550,"")</f>
        <v/>
      </c>
      <c r="AN2550" s="125">
        <f>IFERROR(R2550/AL2550,"")</f>
        <v/>
      </c>
      <c r="AO2550" s="122" t="n">
        <v>0</v>
      </c>
      <c r="AP2550" s="54">
        <f>IFERROR(AO2550/AL2550,"")</f>
        <v/>
      </c>
      <c r="AQ2550" s="125">
        <f>IFERROR(R2550/AO2550,"")</f>
        <v/>
      </c>
      <c r="AR2550" s="122" t="n">
        <v>0</v>
      </c>
      <c r="AS2550" s="122" t="n">
        <v>0</v>
      </c>
      <c r="AT2550" s="122">
        <f>AL2550+AR2550</f>
        <v/>
      </c>
      <c r="AU2550" s="125">
        <f>IFERROR(AO2550*Assumptions!$C$26*Assumptions!$C$27*INDEX(Assumptions!$C$18:$C$21,MATCH(H2550,Assumptions!$B$18:$B$21,0)),0)</f>
        <v/>
      </c>
    </row>
    <row r="2551">
      <c r="A2551" s="120" t="n">
        <v>46264</v>
      </c>
      <c r="B2551" s="66" t="inlineStr">
        <is>
          <t>Wk 35</t>
        </is>
      </c>
      <c r="C2551" s="66" t="inlineStr">
        <is>
          <t>Sun</t>
        </is>
      </c>
      <c r="D2551" s="66" t="inlineStr">
        <is>
          <t>Programmatic</t>
        </is>
      </c>
      <c r="E2551" s="66" t="inlineStr">
        <is>
          <t>DV360</t>
        </is>
      </c>
      <c r="F2551" s="66" t="inlineStr">
        <is>
          <t>LEP_ZA_AUG26_PROG_RMKT_DYNAMIC</t>
        </is>
      </c>
      <c r="G2551" s="66" t="inlineStr">
        <is>
          <t>Dynamic Retargeting</t>
        </is>
      </c>
      <c r="H2551" s="66" t="inlineStr">
        <is>
          <t>Range</t>
        </is>
      </c>
      <c r="I2551" s="66" t="inlineStr">
        <is>
          <t>Range Offer</t>
        </is>
      </c>
      <c r="J2551" s="66" t="inlineStr">
        <is>
          <t>PROG_LAL_SEED_CONVERTERS</t>
        </is>
      </c>
      <c r="K2551" s="66" t="inlineStr">
        <is>
          <t>Lookalike</t>
        </is>
      </c>
      <c r="L2551" s="66" t="inlineStr">
        <is>
          <t>PROG_DYN_300x600_Offers_v1</t>
        </is>
      </c>
      <c r="M2551" s="66" t="inlineStr">
        <is>
          <t>Dynamic Display 300x600</t>
        </is>
      </c>
      <c r="N2551" s="66" t="inlineStr">
        <is>
          <t>Offers end 31 August</t>
        </is>
      </c>
      <c r="O2551" s="66" t="inlineStr">
        <is>
          <t>Auction - Lowest Cost</t>
        </is>
      </c>
      <c r="P2551" s="66" t="inlineStr">
        <is>
          <t>Conversions (CPA)</t>
        </is>
      </c>
      <c r="Q2551" s="66" t="inlineStr">
        <is>
          <t>https://www.lepas-sa.co.za/offers</t>
        </is>
      </c>
      <c r="R2551" s="121" t="n">
        <v>53.53</v>
      </c>
      <c r="S2551" s="122" t="n">
        <v>1776</v>
      </c>
      <c r="T2551" s="122" t="n">
        <v>621</v>
      </c>
      <c r="U2551" s="123">
        <f>IFERROR(S2551/T2551,"")</f>
        <v/>
      </c>
      <c r="V2551" s="122" t="n">
        <v>2</v>
      </c>
      <c r="W2551" s="122" t="n">
        <v>2</v>
      </c>
      <c r="X2551" s="124">
        <f>IFERROR(W2551/S2551,"")</f>
        <v/>
      </c>
      <c r="Y2551" s="121">
        <f>IFERROR(R2551/W2551,"")</f>
        <v/>
      </c>
      <c r="Z2551" s="121">
        <f>IFERROR(R2551/S2551*1000,"")</f>
        <v/>
      </c>
      <c r="AA2551" s="122" t="n">
        <v>1</v>
      </c>
      <c r="AB2551" s="54">
        <f>IFERROR(AA2551/W2551,"")</f>
        <v/>
      </c>
      <c r="AC2551" s="122" t="n">
        <v>0</v>
      </c>
      <c r="AD2551" s="122" t="n">
        <v>0</v>
      </c>
      <c r="AE2551" s="122" t="n">
        <v>0</v>
      </c>
      <c r="AF2551" s="122" t="n">
        <v>0</v>
      </c>
      <c r="AG2551" s="122" t="n">
        <v>0</v>
      </c>
      <c r="AH2551" s="122" t="n">
        <v>0</v>
      </c>
      <c r="AI2551" s="54">
        <f>IFERROR(AC2551/S2551,"")</f>
        <v/>
      </c>
      <c r="AJ2551" s="54">
        <f>IFERROR(AH2551/S2551,"")</f>
        <v/>
      </c>
      <c r="AK2551" s="122" t="n">
        <v>6</v>
      </c>
      <c r="AL2551" s="122" t="n">
        <v>0</v>
      </c>
      <c r="AM2551" s="124">
        <f>IFERROR(AL2551/AA2551,"")</f>
        <v/>
      </c>
      <c r="AN2551" s="125">
        <f>IFERROR(R2551/AL2551,"")</f>
        <v/>
      </c>
      <c r="AO2551" s="122" t="n">
        <v>0</v>
      </c>
      <c r="AP2551" s="54">
        <f>IFERROR(AO2551/AL2551,"")</f>
        <v/>
      </c>
      <c r="AQ2551" s="125">
        <f>IFERROR(R2551/AO2551,"")</f>
        <v/>
      </c>
      <c r="AR2551" s="122" t="n">
        <v>0</v>
      </c>
      <c r="AS2551" s="122" t="n">
        <v>0</v>
      </c>
      <c r="AT2551" s="122">
        <f>AL2551+AR2551</f>
        <v/>
      </c>
      <c r="AU2551" s="125">
        <f>IFERROR(AO2551*Assumptions!$C$26*Assumptions!$C$27*INDEX(Assumptions!$C$18:$C$21,MATCH(H2551,Assumptions!$B$18:$B$21,0)),0)</f>
        <v/>
      </c>
    </row>
    <row r="2552">
      <c r="A2552" s="120" t="n">
        <v>46265</v>
      </c>
      <c r="B2552" s="66" t="inlineStr">
        <is>
          <t>Wk 36</t>
        </is>
      </c>
      <c r="C2552" s="66" t="inlineStr">
        <is>
          <t>Mon</t>
        </is>
      </c>
      <c r="D2552" s="66" t="inlineStr">
        <is>
          <t>Programmatic</t>
        </is>
      </c>
      <c r="E2552" s="66" t="inlineStr">
        <is>
          <t>DV360</t>
        </is>
      </c>
      <c r="F2552" s="66" t="inlineStr">
        <is>
          <t>LEP_ZA_AUG26_PROG_RMKT_DYNAMIC</t>
        </is>
      </c>
      <c r="G2552" s="66" t="inlineStr">
        <is>
          <t>Dynamic Retargeting</t>
        </is>
      </c>
      <c r="H2552" s="66" t="inlineStr">
        <is>
          <t>Range</t>
        </is>
      </c>
      <c r="I2552" s="66" t="inlineStr">
        <is>
          <t>Range Offer</t>
        </is>
      </c>
      <c r="J2552" s="66" t="inlineStr">
        <is>
          <t>PROG_LAL_SEED_CONVERTERS</t>
        </is>
      </c>
      <c r="K2552" s="66" t="inlineStr">
        <is>
          <t>Lookalike</t>
        </is>
      </c>
      <c r="L2552" s="66" t="inlineStr">
        <is>
          <t>PROG_DYN_300x600_Offers_v1</t>
        </is>
      </c>
      <c r="M2552" s="66" t="inlineStr">
        <is>
          <t>Dynamic Display 300x600</t>
        </is>
      </c>
      <c r="N2552" s="66" t="inlineStr">
        <is>
          <t>Offers end 31 August</t>
        </is>
      </c>
      <c r="O2552" s="66" t="inlineStr">
        <is>
          <t>Auction - Lowest Cost</t>
        </is>
      </c>
      <c r="P2552" s="66" t="inlineStr">
        <is>
          <t>Conversions (CPA)</t>
        </is>
      </c>
      <c r="Q2552" s="66" t="inlineStr">
        <is>
          <t>https://www.lepas-sa.co.za/offers</t>
        </is>
      </c>
      <c r="R2552" s="121" t="n">
        <v>51.33</v>
      </c>
      <c r="S2552" s="122" t="n">
        <v>1409</v>
      </c>
      <c r="T2552" s="122" t="n">
        <v>668</v>
      </c>
      <c r="U2552" s="123">
        <f>IFERROR(S2552/T2552,"")</f>
        <v/>
      </c>
      <c r="V2552" s="122" t="n">
        <v>5</v>
      </c>
      <c r="W2552" s="122" t="n">
        <v>4</v>
      </c>
      <c r="X2552" s="124">
        <f>IFERROR(W2552/S2552,"")</f>
        <v/>
      </c>
      <c r="Y2552" s="121">
        <f>IFERROR(R2552/W2552,"")</f>
        <v/>
      </c>
      <c r="Z2552" s="121">
        <f>IFERROR(R2552/S2552*1000,"")</f>
        <v/>
      </c>
      <c r="AA2552" s="122" t="n">
        <v>2</v>
      </c>
      <c r="AB2552" s="54">
        <f>IFERROR(AA2552/W2552,"")</f>
        <v/>
      </c>
      <c r="AC2552" s="122" t="n">
        <v>0</v>
      </c>
      <c r="AD2552" s="122" t="n">
        <v>0</v>
      </c>
      <c r="AE2552" s="122" t="n">
        <v>0</v>
      </c>
      <c r="AF2552" s="122" t="n">
        <v>0</v>
      </c>
      <c r="AG2552" s="122" t="n">
        <v>0</v>
      </c>
      <c r="AH2552" s="122" t="n">
        <v>0</v>
      </c>
      <c r="AI2552" s="54">
        <f>IFERROR(AC2552/S2552,"")</f>
        <v/>
      </c>
      <c r="AJ2552" s="54">
        <f>IFERROR(AH2552/S2552,"")</f>
        <v/>
      </c>
      <c r="AK2552" s="122" t="n">
        <v>2</v>
      </c>
      <c r="AL2552" s="122" t="n">
        <v>0</v>
      </c>
      <c r="AM2552" s="124">
        <f>IFERROR(AL2552/AA2552,"")</f>
        <v/>
      </c>
      <c r="AN2552" s="125">
        <f>IFERROR(R2552/AL2552,"")</f>
        <v/>
      </c>
      <c r="AO2552" s="122" t="n">
        <v>0</v>
      </c>
      <c r="AP2552" s="54">
        <f>IFERROR(AO2552/AL2552,"")</f>
        <v/>
      </c>
      <c r="AQ2552" s="125">
        <f>IFERROR(R2552/AO2552,"")</f>
        <v/>
      </c>
      <c r="AR2552" s="122" t="n">
        <v>0</v>
      </c>
      <c r="AS2552" s="122" t="n">
        <v>0</v>
      </c>
      <c r="AT2552" s="122">
        <f>AL2552+AR2552</f>
        <v/>
      </c>
      <c r="AU2552" s="125">
        <f>IFERROR(AO2552*Assumptions!$C$26*Assumptions!$C$27*INDEX(Assumptions!$C$18:$C$21,MATCH(H2552,Assumptions!$B$18:$B$21,0)),0)</f>
        <v/>
      </c>
    </row>
  </sheetData>
  <autoFilter ref="A1:AU2552"/>
  <conditionalFormatting sqref="X2:X2552"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AN2:AN2552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F54"/>
  <sheetViews>
    <sheetView showGridLines="0" workbookViewId="0">
      <selection activeCell="A1" sqref="A1"/>
    </sheetView>
  </sheetViews>
  <sheetFormatPr baseColWidth="10" defaultColWidth="8.83203125" defaultRowHeight="15"/>
  <cols>
    <col width="2" customWidth="1" style="67" min="1" max="1"/>
    <col width="38" customWidth="1" style="67" min="2" max="2"/>
    <col width="20" customWidth="1" style="67" min="3" max="5"/>
    <col width="66" customWidth="1" style="67" min="6" max="6"/>
  </cols>
  <sheetData>
    <row r="1" ht="24" customHeight="1" s="67">
      <c r="A1" s="71" t="inlineStr">
        <is>
          <t>Assumptions &amp; Control Panel</t>
        </is>
      </c>
    </row>
    <row r="2">
      <c r="A2" s="68" t="inlineStr">
        <is>
          <t>Every blue cell is an input. Change one and the whole workbook recalculates. Black = formula  |  Green = pulled live from Raw_Data  |  Yellow = key assumption.</t>
        </is>
      </c>
    </row>
    <row r="4" ht="18" customHeight="1" s="67">
      <c r="A4" s="2" t="inlineStr">
        <is>
          <t xml:space="preserve">  1.  MEDIA BUDGET — AUGUST 2026</t>
        </is>
      </c>
      <c r="B4" s="3" t="n"/>
      <c r="C4" s="3" t="n"/>
      <c r="D4" s="3" t="n"/>
      <c r="E4" s="3" t="n"/>
      <c r="F4" s="3" t="n"/>
    </row>
    <row r="5" ht="16" customHeight="1" s="67">
      <c r="A5" s="5" t="n"/>
      <c r="B5" s="5" t="inlineStr">
        <is>
          <t>Channel</t>
        </is>
      </c>
      <c r="C5" s="5" t="inlineStr">
        <is>
          <t>Planned Budget (ZAR)</t>
        </is>
      </c>
      <c r="D5" s="5" t="inlineStr">
        <is>
          <t>Share of Total</t>
        </is>
      </c>
      <c r="E5" s="5" t="inlineStr">
        <is>
          <t>Actual Spend (live)</t>
        </is>
      </c>
      <c r="F5" s="5" t="inlineStr">
        <is>
          <t>Pacing Variance</t>
        </is>
      </c>
    </row>
    <row r="6">
      <c r="B6" s="6" t="inlineStr">
        <is>
          <t>Meta (FB/IG)</t>
        </is>
      </c>
      <c r="C6" s="126" t="n">
        <v>168000</v>
      </c>
      <c r="D6" s="18">
        <f>IFERROR(C6/$C$10,"")</f>
        <v/>
      </c>
      <c r="E6" s="97">
        <f>SUMIFS(Raw_Data!$R$2:$R$2552,Raw_Data!$D$2:$D$2552,$B6)</f>
        <v/>
      </c>
      <c r="F6" s="86">
        <f>E6-C6</f>
        <v/>
      </c>
    </row>
    <row r="7">
      <c r="B7" s="6" t="inlineStr">
        <is>
          <t>TikTok</t>
        </is>
      </c>
      <c r="C7" s="126" t="n">
        <v>84000</v>
      </c>
      <c r="D7" s="18">
        <f>IFERROR(C7/$C$10,"")</f>
        <v/>
      </c>
      <c r="E7" s="97">
        <f>SUMIFS(Raw_Data!$R$2:$R$2552,Raw_Data!$D$2:$D$2552,$B7)</f>
        <v/>
      </c>
      <c r="F7" s="86">
        <f>E7-C7</f>
        <v/>
      </c>
    </row>
    <row r="8">
      <c r="B8" s="6" t="inlineStr">
        <is>
          <t>Programmatic</t>
        </is>
      </c>
      <c r="C8" s="126" t="n">
        <v>100000</v>
      </c>
      <c r="D8" s="18">
        <f>IFERROR(C8/$C$10,"")</f>
        <v/>
      </c>
      <c r="E8" s="97">
        <f>SUMIFS(Raw_Data!$R$2:$R$2552,Raw_Data!$D$2:$D$2552,$B8)</f>
        <v/>
      </c>
      <c r="F8" s="86">
        <f>E8-C8</f>
        <v/>
      </c>
    </row>
    <row r="9">
      <c r="B9" s="6" t="inlineStr">
        <is>
          <t>X</t>
        </is>
      </c>
      <c r="C9" s="126" t="n">
        <v>48000</v>
      </c>
      <c r="D9" s="18">
        <f>IFERROR(C9/$C$10,"")</f>
        <v/>
      </c>
      <c r="E9" s="97">
        <f>SUMIFS(Raw_Data!$R$2:$R$2552,Raw_Data!$D$2:$D$2552,$B9)</f>
        <v/>
      </c>
      <c r="F9" s="86">
        <f>E9-C9</f>
        <v/>
      </c>
    </row>
    <row r="10">
      <c r="B10" s="19" t="inlineStr">
        <is>
          <t>TOTAL</t>
        </is>
      </c>
      <c r="C10" s="127">
        <f>SUM(C6:C9)</f>
        <v/>
      </c>
      <c r="D10" s="25">
        <f>SUM(D6:D9)</f>
        <v/>
      </c>
      <c r="E10" s="91">
        <f>SUM(E6:E9)</f>
        <v/>
      </c>
      <c r="F10" s="91">
        <f>SUM(F6:F9)</f>
        <v/>
      </c>
    </row>
    <row r="12" ht="18" customHeight="1" s="67">
      <c r="A12" s="2" t="inlineStr">
        <is>
          <t xml:space="preserve">  2.  VEHICLE, OFFER &amp; COMMERCIAL ASSUMPTIONS</t>
        </is>
      </c>
      <c r="B12" s="3" t="n"/>
      <c r="C12" s="3" t="n"/>
      <c r="D12" s="3" t="n"/>
      <c r="E12" s="3" t="n"/>
      <c r="F12" s="3" t="n"/>
    </row>
    <row r="13">
      <c r="B13" s="68" t="inlineStr">
        <is>
          <t>Monthly instalments are the published August 2026 offers from lepas-sa.co.za/offers. Retail prices are indicative planning figures.</t>
        </is>
      </c>
    </row>
    <row r="17" ht="16" customHeight="1" s="67">
      <c r="A17" s="5" t="n"/>
      <c r="B17" s="5" t="inlineStr">
        <is>
          <t>Model / Variant</t>
        </is>
      </c>
      <c r="C17" s="5" t="inlineStr">
        <is>
          <t>Est. Retail Price (ZAR)</t>
        </is>
      </c>
      <c r="D17" s="5" t="inlineStr">
        <is>
          <t>Instalment — 10% Dep</t>
        </is>
      </c>
      <c r="E17" s="5" t="inlineStr">
        <is>
          <t>Instalment — 0% Dep</t>
        </is>
      </c>
      <c r="F17" s="5" t="inlineStr">
        <is>
          <t>Source</t>
        </is>
      </c>
    </row>
    <row r="18">
      <c r="B18" s="6" t="inlineStr">
        <is>
          <t>AMUR</t>
        </is>
      </c>
      <c r="C18" s="126" t="n">
        <v>249900</v>
      </c>
      <c r="D18" s="126" t="n">
        <v>3599</v>
      </c>
      <c r="E18" s="126" t="n">
        <v>4199</v>
      </c>
      <c r="F18" s="81" t="inlineStr">
        <is>
          <t>Lepas 1.5 M/T AMUR — lepas-sa.co.za/offers, Aug 2026</t>
        </is>
      </c>
    </row>
    <row r="19">
      <c r="B19" s="6" t="inlineStr">
        <is>
          <t>JAVAN</t>
        </is>
      </c>
      <c r="C19" s="126" t="n">
        <v>319900</v>
      </c>
      <c r="D19" s="126" t="n">
        <v>4299</v>
      </c>
      <c r="E19" s="126" t="n">
        <v>5099</v>
      </c>
      <c r="F19" s="81" t="inlineStr">
        <is>
          <t>Lepas 1.5T DCT JAVAN — lepas-sa.co.za/offers, Aug 2026</t>
        </is>
      </c>
    </row>
    <row r="20">
      <c r="B20" s="6" t="inlineStr">
        <is>
          <t>PANTERA</t>
        </is>
      </c>
      <c r="C20" s="126" t="n">
        <v>374900</v>
      </c>
      <c r="D20" s="126" t="n">
        <v>4999</v>
      </c>
      <c r="E20" s="126" t="n">
        <v>5899</v>
      </c>
      <c r="F20" s="81" t="inlineStr">
        <is>
          <t>Lepas 1.5T DCT PANTERA — lepas-sa.co.za/offers, Aug 2026</t>
        </is>
      </c>
    </row>
    <row r="21">
      <c r="B21" s="6" t="inlineStr">
        <is>
          <t>Range</t>
        </is>
      </c>
      <c r="C21" s="86">
        <f>ROUND(AVERAGE(C18:C20),0)</f>
        <v/>
      </c>
      <c r="D21" s="78" t="inlineStr">
        <is>
          <t>-</t>
        </is>
      </c>
      <c r="E21" s="78" t="inlineStr">
        <is>
          <t>-</t>
        </is>
      </c>
      <c r="F21" s="81" t="inlineStr">
        <is>
          <t>Blended average — used for multi-model campaigns</t>
        </is>
      </c>
    </row>
    <row r="23" ht="18" customHeight="1" s="67">
      <c r="A23" s="2" t="inlineStr">
        <is>
          <t xml:space="preserve">  3.  CONVERSION &amp; COMMERCIAL RATES</t>
        </is>
      </c>
      <c r="B23" s="3" t="n"/>
      <c r="C23" s="3" t="n"/>
      <c r="D23" s="3" t="n"/>
      <c r="E23" s="3" t="n"/>
      <c r="F23" s="3" t="n"/>
    </row>
    <row r="24" ht="16" customHeight="1" s="67">
      <c r="A24" s="5" t="n"/>
      <c r="B24" s="5" t="inlineStr">
        <is>
          <t>Metric</t>
        </is>
      </c>
      <c r="C24" s="5" t="inlineStr">
        <is>
          <t>Value</t>
        </is>
      </c>
      <c r="D24" s="5" t="inlineStr">
        <is>
          <t>Type</t>
        </is>
      </c>
      <c r="E24" s="5" t="n"/>
      <c r="F24" s="5" t="inlineStr">
        <is>
          <t>Basis / Source</t>
        </is>
      </c>
    </row>
    <row r="25">
      <c r="B25" s="6" t="inlineStr">
        <is>
          <t>Lead-to-Qualified rate (actual)</t>
        </is>
      </c>
      <c r="C25" s="58">
        <f>IFERROR(SUM(Raw_Data!$AO$2:$AO$2552)/SUM(Raw_Data!$AL$2:$AL$2552),"")</f>
        <v/>
      </c>
      <c r="D25" s="59" t="inlineStr">
        <is>
          <t>Live</t>
        </is>
      </c>
      <c r="F25" s="81" t="inlineStr">
        <is>
          <t>Calculated from Raw_Data — qualified leads ÷ test drive bookings</t>
        </is>
      </c>
    </row>
    <row r="26">
      <c r="B26" s="6" t="inlineStr">
        <is>
          <t>Test-drive attendance rate</t>
        </is>
      </c>
      <c r="C26" s="60" t="n">
        <v>0.64</v>
      </c>
      <c r="D26" s="59" t="inlineStr">
        <is>
          <t>Input</t>
        </is>
      </c>
      <c r="F26" s="81" t="inlineStr">
        <is>
          <t>Share of booked test drives that show up at a dealer. Dealer network planning assumption.</t>
        </is>
      </c>
    </row>
    <row r="27">
      <c r="B27" s="6" t="inlineStr">
        <is>
          <t>Test-drive-to-sale close rate</t>
        </is>
      </c>
      <c r="C27" s="60" t="n">
        <v>0.21</v>
      </c>
      <c r="D27" s="59" t="inlineStr">
        <is>
          <t>Input</t>
        </is>
      </c>
      <c r="F27" s="81" t="inlineStr">
        <is>
          <t>Attended test drives converting to a signed deal. Dealer network planning assumption.</t>
        </is>
      </c>
    </row>
    <row r="28">
      <c r="B28" s="6" t="inlineStr">
        <is>
          <t>Avg gross margin per unit (ZAR)</t>
        </is>
      </c>
      <c r="C28" s="126" t="n">
        <v>46000</v>
      </c>
      <c r="D28" s="59" t="inlineStr">
        <is>
          <t>Input</t>
        </is>
      </c>
      <c r="F28" s="81" t="inlineStr">
        <is>
          <t>Blended dealer + OEM margin. Planning assumption — replace with finance's figure.</t>
        </is>
      </c>
    </row>
    <row r="29">
      <c r="B29" s="6" t="inlineStr">
        <is>
          <t>Target blended CPL (ZAR)</t>
        </is>
      </c>
      <c r="C29" s="126" t="n">
        <v>450</v>
      </c>
      <c r="D29" s="59" t="inlineStr">
        <is>
          <t>Input</t>
        </is>
      </c>
      <c r="F29" s="81" t="inlineStr">
        <is>
          <t>Campaign KPI for cost per test drive booking. Drives the RAG flags on Summary.</t>
        </is>
      </c>
    </row>
    <row r="30">
      <c r="B30" s="6" t="inlineStr">
        <is>
          <t>Target cost per qualified lead (ZAR)</t>
        </is>
      </c>
      <c r="C30" s="126" t="n">
        <v>720</v>
      </c>
      <c r="D30" s="59" t="inlineStr">
        <is>
          <t>Input</t>
        </is>
      </c>
      <c r="F30" s="81" t="inlineStr">
        <is>
          <t>Campaign KPI for cost per qualified test drive booking.</t>
        </is>
      </c>
    </row>
    <row r="32" ht="18" customHeight="1" s="67">
      <c r="A32" s="2" t="inlineStr">
        <is>
          <t xml:space="preserve">  4.  CHANNEL BENCHMARK RANGES USED TO MODEL THIS DATA</t>
        </is>
      </c>
      <c r="B32" s="3" t="n"/>
      <c r="C32" s="3" t="n"/>
      <c r="D32" s="3" t="n"/>
      <c r="E32" s="3" t="n"/>
      <c r="F32" s="3" t="n"/>
    </row>
    <row r="33" ht="16" customHeight="1" s="67">
      <c r="A33" s="5" t="n"/>
      <c r="B33" s="5" t="inlineStr">
        <is>
          <t>Channel</t>
        </is>
      </c>
      <c r="C33" s="5" t="inlineStr">
        <is>
          <t>CPM Range (ZAR)</t>
        </is>
      </c>
      <c r="D33" s="5" t="inlineStr">
        <is>
          <t>Link CTR Range</t>
        </is>
      </c>
      <c r="E33" s="5" t="inlineStr">
        <is>
          <t>Booking CVR Range</t>
        </is>
      </c>
      <c r="F33" s="5" t="inlineStr">
        <is>
          <t>Role in the plan</t>
        </is>
      </c>
    </row>
    <row r="34">
      <c r="B34" s="6" t="inlineStr">
        <is>
          <t>Meta (FB/IG)</t>
        </is>
      </c>
      <c r="C34" s="8" t="inlineStr">
        <is>
          <t>R55 – R95</t>
        </is>
      </c>
      <c r="D34" s="8" t="inlineStr">
        <is>
          <t>0.80% – 2.00%</t>
        </is>
      </c>
      <c r="E34" s="8" t="inlineStr">
        <is>
          <t>1.20% – 3.00%</t>
        </is>
      </c>
      <c r="F34" s="81" t="inlineStr">
        <is>
          <t>Primary conversion engine — broad, lookalike and site retargeting</t>
        </is>
      </c>
    </row>
    <row r="35">
      <c r="B35" s="6" t="inlineStr">
        <is>
          <t>TikTok</t>
        </is>
      </c>
      <c r="C35" s="8" t="inlineStr">
        <is>
          <t>R28 – R48</t>
        </is>
      </c>
      <c r="D35" s="8" t="inlineStr">
        <is>
          <t>0.60% – 1.40%</t>
        </is>
      </c>
      <c r="E35" s="8" t="inlineStr">
        <is>
          <t>0.80% – 1.80%</t>
        </is>
      </c>
      <c r="F35" s="81" t="inlineStr">
        <is>
          <t>Reach and creator-led awareness feeding the retargeting pools</t>
        </is>
      </c>
    </row>
    <row r="36">
      <c r="B36" s="6" t="inlineStr">
        <is>
          <t>X</t>
        </is>
      </c>
      <c r="C36" s="8" t="inlineStr">
        <is>
          <t>R42 – R70</t>
        </is>
      </c>
      <c r="D36" s="8" t="inlineStr">
        <is>
          <t>0.40% – 1.00%</t>
        </is>
      </c>
      <c r="E36" s="8" t="inlineStr">
        <is>
          <t>1.10% – 2.20%</t>
        </is>
      </c>
      <c r="F36" s="81" t="inlineStr">
        <is>
          <t>In-market and keyword conquesting at low volume</t>
        </is>
      </c>
    </row>
    <row r="37">
      <c r="B37" s="6" t="inlineStr">
        <is>
          <t>Programmatic</t>
        </is>
      </c>
      <c r="C37" s="8" t="inlineStr">
        <is>
          <t>R18 – R38</t>
        </is>
      </c>
      <c r="D37" s="8" t="inlineStr">
        <is>
          <t>0.08% – 0.35%</t>
        </is>
      </c>
      <c r="E37" s="8" t="inlineStr">
        <is>
          <t>1.60% – 3.20%</t>
        </is>
      </c>
      <c r="F37" s="81" t="inlineStr">
        <is>
          <t>Scale, CTV reach and dynamic retargeting — view-through heavy</t>
        </is>
      </c>
    </row>
    <row r="39" ht="18" customHeight="1" s="67">
      <c r="A39" s="2" t="inlineStr">
        <is>
          <t xml:space="preserve">  5.  CALENDAR &amp; MARKET FLAGS APPLIED TO THE DAILY CURVE</t>
        </is>
      </c>
      <c r="B39" s="3" t="n"/>
      <c r="C39" s="3" t="n"/>
      <c r="D39" s="3" t="n"/>
      <c r="E39" s="3" t="n"/>
      <c r="F39" s="3" t="n"/>
    </row>
    <row r="40" ht="16" customHeight="1" s="67">
      <c r="A40" s="5" t="n"/>
      <c r="B40" s="5" t="inlineStr">
        <is>
          <t>Date / Window</t>
        </is>
      </c>
      <c r="C40" s="5" t="inlineStr">
        <is>
          <t>Flag</t>
        </is>
      </c>
      <c r="D40" s="5" t="n"/>
      <c r="E40" s="5" t="n"/>
      <c r="F40" s="5" t="inlineStr">
        <is>
          <t>Effect modelled in the data</t>
        </is>
      </c>
    </row>
    <row r="41">
      <c r="B41" s="6" t="inlineStr">
        <is>
          <t>1 – 3 Aug 2026</t>
        </is>
      </c>
      <c r="C41" s="78" t="inlineStr">
        <is>
          <t>Campaign launch / learning phase</t>
        </is>
      </c>
      <c r="D41" s="79" t="n"/>
      <c r="E41" s="80" t="n"/>
      <c r="F41" s="81" t="inlineStr">
        <is>
          <t>Daily index x0.90 while delivery stabilises</t>
        </is>
      </c>
    </row>
    <row r="42">
      <c r="B42" s="6" t="inlineStr">
        <is>
          <t>Thu – Sun weekly</t>
        </is>
      </c>
      <c r="C42" s="78" t="inlineStr">
        <is>
          <t>Weekend test-drive demand</t>
        </is>
      </c>
      <c r="D42" s="79" t="n"/>
      <c r="E42" s="80" t="n"/>
      <c r="F42" s="81" t="inlineStr">
        <is>
          <t>Daily index x1.09 – x1.14 (Fri peak); Mon – Wed softer</t>
        </is>
      </c>
    </row>
    <row r="43">
      <c r="B43" s="6" t="inlineStr">
        <is>
          <t>9 Aug 2026</t>
        </is>
      </c>
      <c r="C43" s="78" t="inlineStr">
        <is>
          <t>National Women's Day (Sunday)</t>
        </is>
      </c>
      <c r="D43" s="79" t="n"/>
      <c r="E43" s="80" t="n"/>
      <c r="F43" s="81" t="inlineStr">
        <is>
          <t>Falls on a Sunday — observed the following Monday</t>
        </is>
      </c>
    </row>
    <row r="44">
      <c r="B44" s="6" t="inlineStr">
        <is>
          <t>10 Aug 2026</t>
        </is>
      </c>
      <c r="C44" s="78" t="inlineStr">
        <is>
          <t>Women's Day — public holiday</t>
        </is>
      </c>
      <c r="D44" s="79" t="n"/>
      <c r="E44" s="80" t="n"/>
      <c r="F44" s="81" t="inlineStr">
        <is>
          <t>Daily index x1.18: high dwell time, dealers trading</t>
        </is>
      </c>
    </row>
    <row r="45">
      <c r="B45" s="6" t="inlineStr">
        <is>
          <t>13 Aug 2026</t>
        </is>
      </c>
      <c r="C45" s="78" t="inlineStr">
        <is>
          <t>Creative refresh wave 2 goes live</t>
        </is>
      </c>
      <c r="D45" s="79" t="n"/>
      <c r="E45" s="80" t="n"/>
      <c r="F45" s="81" t="inlineStr">
        <is>
          <t>New assets get a x1.14 auction bump for 6 days</t>
        </is>
      </c>
    </row>
    <row r="46">
      <c r="B46" s="6" t="inlineStr">
        <is>
          <t>Whole month</t>
        </is>
      </c>
      <c r="C46" s="78" t="inlineStr">
        <is>
          <t>Creative fatigue decay</t>
        </is>
      </c>
      <c r="D46" s="79" t="n"/>
      <c r="E46" s="80" t="n"/>
      <c r="F46" s="81" t="inlineStr">
        <is>
          <t>CTR and CVR decay ~1.1% per day of a creative's flight, floored at 72%</t>
        </is>
      </c>
    </row>
    <row r="47">
      <c r="B47" s="6" t="inlineStr">
        <is>
          <t>27 – 31 Aug 2026</t>
        </is>
      </c>
      <c r="C47" s="78" t="inlineStr">
        <is>
          <t>Month-end offer deadline</t>
        </is>
      </c>
      <c r="D47" s="79" t="n"/>
      <c r="E47" s="80" t="n"/>
      <c r="F47" s="81" t="inlineStr">
        <is>
          <t>Daily index x1.16, CPM x1.06 as auction pressure rises</t>
        </is>
      </c>
    </row>
    <row r="50" ht="18" customHeight="1" s="67">
      <c r="A50" s="2" t="inlineStr">
        <is>
          <t xml:space="preserve">  6.  COLOUR LEGEND</t>
        </is>
      </c>
      <c r="B50" s="3" t="n"/>
      <c r="C50" s="3" t="n"/>
      <c r="D50" s="3" t="n"/>
      <c r="E50" s="3" t="n"/>
      <c r="F50" s="3" t="n"/>
    </row>
    <row r="51">
      <c r="B51" s="61" t="inlineStr">
        <is>
          <t>Blue text</t>
        </is>
      </c>
      <c r="C51" s="81" t="inlineStr">
        <is>
          <t>Hardcoded input — safe to change</t>
        </is>
      </c>
      <c r="D51" s="79" t="n"/>
      <c r="E51" s="79" t="n"/>
      <c r="F51" s="80" t="n"/>
    </row>
    <row r="52">
      <c r="B52" s="78" t="inlineStr">
        <is>
          <t>Black text</t>
        </is>
      </c>
      <c r="C52" s="81" t="inlineStr">
        <is>
          <t>Formula calculated on this sheet</t>
        </is>
      </c>
      <c r="D52" s="79" t="n"/>
      <c r="E52" s="79" t="n"/>
      <c r="F52" s="80" t="n"/>
    </row>
    <row r="53">
      <c r="B53" s="62" t="inlineStr">
        <is>
          <t>Green text</t>
        </is>
      </c>
      <c r="C53" s="81" t="inlineStr">
        <is>
          <t>Live formula pulling from another tab</t>
        </is>
      </c>
      <c r="D53" s="79" t="n"/>
      <c r="E53" s="79" t="n"/>
      <c r="F53" s="80" t="n"/>
    </row>
    <row r="54">
      <c r="B54" s="63" t="inlineStr">
        <is>
          <t>Yellow fill</t>
        </is>
      </c>
      <c r="C54" s="81" t="inlineStr">
        <is>
          <t>Key assumption driving downstream forecasts</t>
        </is>
      </c>
      <c r="D54" s="79" t="n"/>
      <c r="E54" s="79" t="n"/>
      <c r="F54" s="80" t="n"/>
    </row>
  </sheetData>
  <mergeCells count="14">
    <mergeCell ref="C42:E42"/>
    <mergeCell ref="A2:F2"/>
    <mergeCell ref="C52:F52"/>
    <mergeCell ref="C53:F53"/>
    <mergeCell ref="C44:E44"/>
    <mergeCell ref="C41:E41"/>
    <mergeCell ref="C45:E45"/>
    <mergeCell ref="A1:F1"/>
    <mergeCell ref="C54:F54"/>
    <mergeCell ref="C51:F51"/>
    <mergeCell ref="C43:E43"/>
    <mergeCell ref="B13:F13"/>
    <mergeCell ref="C46:E46"/>
    <mergeCell ref="C47:E47"/>
  </mergeCell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H33"/>
  <sheetViews>
    <sheetView showGridLines="0" workbookViewId="0">
      <selection activeCell="A1" sqref="A1"/>
    </sheetView>
  </sheetViews>
  <sheetFormatPr baseColWidth="10" defaultColWidth="8.83203125" defaultRowHeight="15"/>
  <cols>
    <col width="5" customWidth="1" style="67" min="1" max="1"/>
    <col width="46" customWidth="1" style="67" min="2" max="2"/>
    <col width="24" customWidth="1" style="67" min="3" max="5"/>
    <col width="16" customWidth="1" style="67" min="6" max="6"/>
    <col width="12" customWidth="1" style="67" min="7" max="7"/>
  </cols>
  <sheetData>
    <row r="1" ht="24" customHeight="1" s="67">
      <c r="A1" s="71" t="inlineStr">
        <is>
          <t>QA &amp; Reconciliation Checks</t>
        </is>
      </c>
    </row>
    <row r="2">
      <c r="A2" s="68" t="inlineStr">
        <is>
          <t>Every breakdown tab is a separate aggregate, exactly as platform exports are. These checks prove each one ties back to Raw_Data. All should read PASS.</t>
        </is>
      </c>
    </row>
    <row r="4" ht="16" customHeight="1" s="67">
      <c r="A4" s="5" t="inlineStr">
        <is>
          <t>#</t>
        </is>
      </c>
      <c r="B4" s="5" t="inlineStr">
        <is>
          <t>Check</t>
        </is>
      </c>
      <c r="C4" s="5" t="inlineStr">
        <is>
          <t>Metric</t>
        </is>
      </c>
      <c r="D4" s="5" t="inlineStr">
        <is>
          <t>Raw_Data / Source of Truth</t>
        </is>
      </c>
      <c r="E4" s="5" t="inlineStr">
        <is>
          <t>Reported on Tab</t>
        </is>
      </c>
      <c r="F4" s="5" t="inlineStr">
        <is>
          <t>Variance</t>
        </is>
      </c>
      <c r="G4" s="5" t="inlineStr">
        <is>
          <t>Status</t>
        </is>
      </c>
    </row>
    <row r="5">
      <c r="A5" s="8" t="n">
        <v>1</v>
      </c>
      <c r="B5" s="78" t="inlineStr">
        <is>
          <t>Total spend equals the planned August budget</t>
        </is>
      </c>
      <c r="C5" s="8" t="inlineStr">
        <is>
          <t>Spend (ZAR)</t>
        </is>
      </c>
      <c r="D5" s="128">
        <f>SUM(Raw_Data!$R$2:$R$2552)</f>
        <v/>
      </c>
      <c r="E5" s="128">
        <f>Assumptions!$C$10</f>
        <v/>
      </c>
      <c r="F5" s="90">
        <f>E5-D5</f>
        <v/>
      </c>
      <c r="G5" s="65">
        <f>IF(ABS(F5)&lt;0.02,"PASS","CHECK")</f>
        <v/>
      </c>
    </row>
    <row r="6">
      <c r="A6" s="8" t="n">
        <v>2</v>
      </c>
      <c r="B6" s="78" t="inlineStr">
        <is>
          <t>Placements spend reconciles to Raw_Data</t>
        </is>
      </c>
      <c r="C6" s="8" t="inlineStr">
        <is>
          <t>Spend (ZAR)</t>
        </is>
      </c>
      <c r="D6" s="128">
        <f>SUM(Raw_Data!$R$2:$R$2552)</f>
        <v/>
      </c>
      <c r="E6" s="128">
        <f>Placements!$C$27</f>
        <v/>
      </c>
      <c r="F6" s="90">
        <f>E6-D6</f>
        <v/>
      </c>
      <c r="G6" s="65">
        <f>IF(ABS(F6)&lt;0.02,"PASS","CHECK")</f>
        <v/>
      </c>
    </row>
    <row r="7">
      <c r="A7" s="8" t="n">
        <v>3</v>
      </c>
      <c r="B7" s="78" t="inlineStr">
        <is>
          <t>Placements impressions reconcile to Raw_Data</t>
        </is>
      </c>
      <c r="C7" s="8" t="inlineStr">
        <is>
          <t>Impressions</t>
        </is>
      </c>
      <c r="D7" s="98">
        <f>SUM(Raw_Data!$S$2:$S$2552)</f>
        <v/>
      </c>
      <c r="E7" s="98">
        <f>Placements!$D$27</f>
        <v/>
      </c>
      <c r="F7" s="87">
        <f>E7-D7</f>
        <v/>
      </c>
      <c r="G7" s="65">
        <f>IF(ABS(F7)&lt;0.02,"PASS","CHECK")</f>
        <v/>
      </c>
    </row>
    <row r="8">
      <c r="A8" s="8" t="n">
        <v>4</v>
      </c>
      <c r="B8" s="78" t="inlineStr">
        <is>
          <t>Placements link clicks reconcile to Raw_Data</t>
        </is>
      </c>
      <c r="C8" s="8" t="inlineStr">
        <is>
          <t>Link Clicks</t>
        </is>
      </c>
      <c r="D8" s="98">
        <f>SUM(Raw_Data!$W$2:$W$2552)</f>
        <v/>
      </c>
      <c r="E8" s="98">
        <f>Placements!$E$27</f>
        <v/>
      </c>
      <c r="F8" s="87">
        <f>E8-D8</f>
        <v/>
      </c>
      <c r="G8" s="65">
        <f>IF(ABS(F8)&lt;0.02,"PASS","CHECK")</f>
        <v/>
      </c>
    </row>
    <row r="9">
      <c r="A9" s="8" t="n">
        <v>5</v>
      </c>
      <c r="B9" s="78" t="inlineStr">
        <is>
          <t>Placements bookings reconcile to Raw_Data</t>
        </is>
      </c>
      <c r="C9" s="8" t="inlineStr">
        <is>
          <t>Test Drive Bookings</t>
        </is>
      </c>
      <c r="D9" s="98">
        <f>SUM(Raw_Data!$AL$2:$AL$2552)</f>
        <v/>
      </c>
      <c r="E9" s="98">
        <f>Placements!$K$27</f>
        <v/>
      </c>
      <c r="F9" s="87">
        <f>E9-D9</f>
        <v/>
      </c>
      <c r="G9" s="65">
        <f>IF(ABS(F9)&lt;0.02,"PASS","CHECK")</f>
        <v/>
      </c>
    </row>
    <row r="10">
      <c r="A10" s="8" t="n">
        <v>6</v>
      </c>
      <c r="B10" s="78" t="inlineStr">
        <is>
          <t>Demographics spend reconciles to Raw_Data</t>
        </is>
      </c>
      <c r="C10" s="8" t="inlineStr">
        <is>
          <t>Spend (ZAR)</t>
        </is>
      </c>
      <c r="D10" s="128">
        <f>SUM(Raw_Data!$R$2:$R$2552)</f>
        <v/>
      </c>
      <c r="E10" s="128">
        <f>Demographics!$E$221</f>
        <v/>
      </c>
      <c r="F10" s="90">
        <f>E10-D10</f>
        <v/>
      </c>
      <c r="G10" s="65">
        <f>IF(ABS(F10)&lt;0.02,"PASS","CHECK")</f>
        <v/>
      </c>
    </row>
    <row r="11">
      <c r="A11" s="8" t="n">
        <v>7</v>
      </c>
      <c r="B11" s="78" t="inlineStr">
        <is>
          <t>Demographics impressions reconcile to Raw_Data</t>
        </is>
      </c>
      <c r="C11" s="8" t="inlineStr">
        <is>
          <t>Impressions</t>
        </is>
      </c>
      <c r="D11" s="98">
        <f>SUM(Raw_Data!$S$2:$S$2552)</f>
        <v/>
      </c>
      <c r="E11" s="98">
        <f>Demographics!$F$221</f>
        <v/>
      </c>
      <c r="F11" s="87">
        <f>E11-D11</f>
        <v/>
      </c>
      <c r="G11" s="65">
        <f>IF(ABS(F11)&lt;0.02,"PASS","CHECK")</f>
        <v/>
      </c>
    </row>
    <row r="12">
      <c r="A12" s="8" t="n">
        <v>8</v>
      </c>
      <c r="B12" s="78" t="inlineStr">
        <is>
          <t>Demographics link clicks reconcile to Raw_Data</t>
        </is>
      </c>
      <c r="C12" s="8" t="inlineStr">
        <is>
          <t>Link Clicks</t>
        </is>
      </c>
      <c r="D12" s="98">
        <f>SUM(Raw_Data!$W$2:$W$2552)</f>
        <v/>
      </c>
      <c r="E12" s="98">
        <f>Demographics!$G$221</f>
        <v/>
      </c>
      <c r="F12" s="87">
        <f>E12-D12</f>
        <v/>
      </c>
      <c r="G12" s="65">
        <f>IF(ABS(F12)&lt;0.02,"PASS","CHECK")</f>
        <v/>
      </c>
    </row>
    <row r="13">
      <c r="A13" s="8" t="n">
        <v>9</v>
      </c>
      <c r="B13" s="78" t="inlineStr">
        <is>
          <t>Demographics bookings reconcile to Raw_Data</t>
        </is>
      </c>
      <c r="C13" s="8" t="inlineStr">
        <is>
          <t>Test Drive Bookings</t>
        </is>
      </c>
      <c r="D13" s="98">
        <f>SUM(Raw_Data!$AL$2:$AL$2552)</f>
        <v/>
      </c>
      <c r="E13" s="98">
        <f>Demographics!$M$221</f>
        <v/>
      </c>
      <c r="F13" s="87">
        <f>E13-D13</f>
        <v/>
      </c>
      <c r="G13" s="65">
        <f>IF(ABS(F13)&lt;0.02,"PASS","CHECK")</f>
        <v/>
      </c>
    </row>
    <row r="14">
      <c r="A14" s="8" t="n">
        <v>10</v>
      </c>
      <c r="B14" s="78" t="inlineStr">
        <is>
          <t>Location spend reconciles to Raw_Data</t>
        </is>
      </c>
      <c r="C14" s="8" t="inlineStr">
        <is>
          <t>Spend (ZAR)</t>
        </is>
      </c>
      <c r="D14" s="128">
        <f>SUM(Raw_Data!$R$2:$R$2552)</f>
        <v/>
      </c>
      <c r="E14" s="128">
        <f>Location!$E$77</f>
        <v/>
      </c>
      <c r="F14" s="90">
        <f>E14-D14</f>
        <v/>
      </c>
      <c r="G14" s="65">
        <f>IF(ABS(F14)&lt;0.02,"PASS","CHECK")</f>
        <v/>
      </c>
    </row>
    <row r="15">
      <c r="A15" s="8" t="n">
        <v>11</v>
      </c>
      <c r="B15" s="78" t="inlineStr">
        <is>
          <t>Location impressions reconcile to Raw_Data</t>
        </is>
      </c>
      <c r="C15" s="8" t="inlineStr">
        <is>
          <t>Impressions</t>
        </is>
      </c>
      <c r="D15" s="98">
        <f>SUM(Raw_Data!$S$2:$S$2552)</f>
        <v/>
      </c>
      <c r="E15" s="98">
        <f>Location!$F$77</f>
        <v/>
      </c>
      <c r="F15" s="87">
        <f>E15-D15</f>
        <v/>
      </c>
      <c r="G15" s="65">
        <f>IF(ABS(F15)&lt;0.02,"PASS","CHECK")</f>
        <v/>
      </c>
    </row>
    <row r="16">
      <c r="A16" s="8" t="n">
        <v>12</v>
      </c>
      <c r="B16" s="78" t="inlineStr">
        <is>
          <t>Location link clicks reconcile to Raw_Data</t>
        </is>
      </c>
      <c r="C16" s="8" t="inlineStr">
        <is>
          <t>Link Clicks</t>
        </is>
      </c>
      <c r="D16" s="98">
        <f>SUM(Raw_Data!$W$2:$W$2552)</f>
        <v/>
      </c>
      <c r="E16" s="98">
        <f>Location!$G$77</f>
        <v/>
      </c>
      <c r="F16" s="87">
        <f>E16-D16</f>
        <v/>
      </c>
      <c r="G16" s="65">
        <f>IF(ABS(F16)&lt;0.02,"PASS","CHECK")</f>
        <v/>
      </c>
    </row>
    <row r="17">
      <c r="A17" s="8" t="n">
        <v>13</v>
      </c>
      <c r="B17" s="78" t="inlineStr">
        <is>
          <t>Location bookings reconcile to Raw_Data</t>
        </is>
      </c>
      <c r="C17" s="8" t="inlineStr">
        <is>
          <t>Test Drive Bookings</t>
        </is>
      </c>
      <c r="D17" s="98">
        <f>SUM(Raw_Data!$AL$2:$AL$2552)</f>
        <v/>
      </c>
      <c r="E17" s="98">
        <f>Location!$M$77</f>
        <v/>
      </c>
      <c r="F17" s="87">
        <f>E17-D17</f>
        <v/>
      </c>
      <c r="G17" s="65">
        <f>IF(ABS(F17)&lt;0.02,"PASS","CHECK")</f>
        <v/>
      </c>
    </row>
    <row r="18">
      <c r="A18" s="8" t="n">
        <v>14</v>
      </c>
      <c r="B18" s="78" t="inlineStr">
        <is>
          <t>Devices_Apps spend reconciles to Raw_Data</t>
        </is>
      </c>
      <c r="C18" s="8" t="inlineStr">
        <is>
          <t>Spend (ZAR)</t>
        </is>
      </c>
      <c r="D18" s="128">
        <f>SUM(Raw_Data!$R$2:$R$2552)</f>
        <v/>
      </c>
      <c r="E18" s="128">
        <f>Devices_Apps!$D$27</f>
        <v/>
      </c>
      <c r="F18" s="90">
        <f>E18-D18</f>
        <v/>
      </c>
      <c r="G18" s="65">
        <f>IF(ABS(F18)&lt;0.02,"PASS","CHECK")</f>
        <v/>
      </c>
    </row>
    <row r="19">
      <c r="A19" s="8" t="n">
        <v>15</v>
      </c>
      <c r="B19" s="78" t="inlineStr">
        <is>
          <t>Devices_Apps impressions reconcile to Raw_Data</t>
        </is>
      </c>
      <c r="C19" s="8" t="inlineStr">
        <is>
          <t>Impressions</t>
        </is>
      </c>
      <c r="D19" s="98">
        <f>SUM(Raw_Data!$S$2:$S$2552)</f>
        <v/>
      </c>
      <c r="E19" s="98">
        <f>Devices_Apps!$E$27</f>
        <v/>
      </c>
      <c r="F19" s="87">
        <f>E19-D19</f>
        <v/>
      </c>
      <c r="G19" s="65">
        <f>IF(ABS(F19)&lt;0.02,"PASS","CHECK")</f>
        <v/>
      </c>
    </row>
    <row r="20">
      <c r="A20" s="8" t="n">
        <v>16</v>
      </c>
      <c r="B20" s="78" t="inlineStr">
        <is>
          <t>Devices_Apps link clicks reconcile to Raw_Data</t>
        </is>
      </c>
      <c r="C20" s="8" t="inlineStr">
        <is>
          <t>Link Clicks</t>
        </is>
      </c>
      <c r="D20" s="98">
        <f>SUM(Raw_Data!$W$2:$W$2552)</f>
        <v/>
      </c>
      <c r="E20" s="98">
        <f>Devices_Apps!$F$27</f>
        <v/>
      </c>
      <c r="F20" s="87">
        <f>E20-D20</f>
        <v/>
      </c>
      <c r="G20" s="65">
        <f>IF(ABS(F20)&lt;0.02,"PASS","CHECK")</f>
        <v/>
      </c>
    </row>
    <row r="21">
      <c r="A21" s="8" t="n">
        <v>17</v>
      </c>
      <c r="B21" s="78" t="inlineStr">
        <is>
          <t>Devices_Apps bookings reconcile to Raw_Data</t>
        </is>
      </c>
      <c r="C21" s="8" t="inlineStr">
        <is>
          <t>Test Drive Bookings</t>
        </is>
      </c>
      <c r="D21" s="98">
        <f>SUM(Raw_Data!$AL$2:$AL$2552)</f>
        <v/>
      </c>
      <c r="E21" s="98">
        <f>Devices_Apps!$L$27</f>
        <v/>
      </c>
      <c r="F21" s="87">
        <f>E21-D21</f>
        <v/>
      </c>
      <c r="G21" s="65">
        <f>IF(ABS(F21)&lt;0.02,"PASS","CHECK")</f>
        <v/>
      </c>
    </row>
    <row r="22">
      <c r="A22" s="8" t="n">
        <v>18</v>
      </c>
      <c r="B22" s="78" t="inlineStr">
        <is>
          <t>Landing_Pages sessions reconcile to Raw_Data landing page views</t>
        </is>
      </c>
      <c r="C22" s="8" t="inlineStr">
        <is>
          <t>Sessions (LPV)</t>
        </is>
      </c>
      <c r="D22" s="98">
        <f>SUM(Raw_Data!$AA$2:$AA$2552)</f>
        <v/>
      </c>
      <c r="E22" s="98">
        <f>Landing_Pages!$F$17</f>
        <v/>
      </c>
      <c r="F22" s="87">
        <f>E22-D22</f>
        <v/>
      </c>
      <c r="G22" s="65">
        <f>IF(ABS(F22)&lt;0.02,"PASS","CHECK")</f>
        <v/>
      </c>
    </row>
    <row r="23">
      <c r="A23" s="8" t="n">
        <v>19</v>
      </c>
      <c r="B23" s="78" t="inlineStr">
        <is>
          <t>Landing_Pages bookings reconcile to Raw_Data</t>
        </is>
      </c>
      <c r="C23" s="8" t="inlineStr">
        <is>
          <t>Test Drive Bookings</t>
        </is>
      </c>
      <c r="D23" s="98">
        <f>SUM(Raw_Data!$AL$2:$AL$2552)</f>
        <v/>
      </c>
      <c r="E23" s="98">
        <f>Landing_Pages!$L$17</f>
        <v/>
      </c>
      <c r="F23" s="87">
        <f>E23-D23</f>
        <v/>
      </c>
      <c r="G23" s="65">
        <f>IF(ABS(F23)&lt;0.02,"PASS","CHECK")</f>
        <v/>
      </c>
    </row>
    <row r="24">
      <c r="A24" s="8" t="n">
        <v>20</v>
      </c>
      <c r="B24" s="78" t="inlineStr">
        <is>
          <t>Summary channel table totals to Raw_Data spend</t>
        </is>
      </c>
      <c r="C24" s="8" t="inlineStr">
        <is>
          <t>Spend (ZAR)</t>
        </is>
      </c>
      <c r="D24" s="128">
        <f>SUM(Raw_Data!$R$2:$R$2552)</f>
        <v/>
      </c>
      <c r="E24" s="128">
        <f>Summary!$B$17</f>
        <v/>
      </c>
      <c r="F24" s="90">
        <f>E24-D24</f>
        <v/>
      </c>
      <c r="G24" s="65">
        <f>IF(ABS(F24)&lt;0.02,"PASS","CHECK")</f>
        <v/>
      </c>
    </row>
    <row r="25">
      <c r="A25" s="8" t="n">
        <v>21</v>
      </c>
      <c r="B25" s="78" t="inlineStr">
        <is>
          <t>Summary channel table totals to Raw_Data bookings</t>
        </is>
      </c>
      <c r="C25" s="8" t="inlineStr">
        <is>
          <t>Test Drive Bookings</t>
        </is>
      </c>
      <c r="D25" s="98">
        <f>SUM(Raw_Data!$AL$2:$AL$2552)</f>
        <v/>
      </c>
      <c r="E25" s="98">
        <f>Summary!$L$17</f>
        <v/>
      </c>
      <c r="F25" s="87">
        <f>E25-D25</f>
        <v/>
      </c>
      <c r="G25" s="65">
        <f>IF(ABS(F25)&lt;0.02,"PASS","CHECK")</f>
        <v/>
      </c>
    </row>
    <row r="26">
      <c r="A26" s="8" t="n">
        <v>22</v>
      </c>
      <c r="B26" s="78" t="inlineStr">
        <is>
          <t>Daily_Trend totals to Raw_Data spend</t>
        </is>
      </c>
      <c r="C26" s="8" t="inlineStr">
        <is>
          <t>Spend (ZAR)</t>
        </is>
      </c>
      <c r="D26" s="128">
        <f>SUM(Raw_Data!$R$2:$R$2552)</f>
        <v/>
      </c>
      <c r="E26" s="128">
        <f>Daily_Trend!$D$36</f>
        <v/>
      </c>
      <c r="F26" s="90">
        <f>E26-D26</f>
        <v/>
      </c>
      <c r="G26" s="65">
        <f>IF(ABS(F26)&lt;0.02,"PASS","CHECK")</f>
        <v/>
      </c>
    </row>
    <row r="27">
      <c r="A27" s="8" t="n">
        <v>23</v>
      </c>
      <c r="B27" s="78" t="inlineStr">
        <is>
          <t>Daily_Trend totals to Raw_Data bookings</t>
        </is>
      </c>
      <c r="C27" s="8" t="inlineStr">
        <is>
          <t>Test Drive Bookings</t>
        </is>
      </c>
      <c r="D27" s="98">
        <f>SUM(Raw_Data!$AL$2:$AL$2552)</f>
        <v/>
      </c>
      <c r="E27" s="98">
        <f>Daily_Trend!$N$36</f>
        <v/>
      </c>
      <c r="F27" s="87">
        <f>E27-D27</f>
        <v/>
      </c>
      <c r="G27" s="65">
        <f>IF(ABS(F27)&lt;0.02,"PASS","CHECK")</f>
        <v/>
      </c>
    </row>
    <row r="28">
      <c r="A28" s="8" t="n">
        <v>24</v>
      </c>
      <c r="B28" s="78" t="inlineStr">
        <is>
          <t>Qualified leads never exceed total bookings</t>
        </is>
      </c>
      <c r="C28" s="8" t="inlineStr">
        <is>
          <t>Qualified Leads</t>
        </is>
      </c>
      <c r="D28" s="98">
        <f>SUM(Raw_Data!$AL$2:$AL$2552)</f>
        <v/>
      </c>
      <c r="E28" s="98">
        <f>SUM(Raw_Data!$AO$2:$AO$2552)</f>
        <v/>
      </c>
      <c r="F28" s="87">
        <f>D28-E28</f>
        <v/>
      </c>
      <c r="G28" s="65">
        <f>IF(F28&gt;=0,"PASS","CHECK")</f>
        <v/>
      </c>
    </row>
    <row r="30">
      <c r="B30" s="76" t="inlineStr">
        <is>
          <t>Deliberate non-ties (not errors):</t>
        </is>
      </c>
    </row>
    <row r="31">
      <c r="B31" s="68" t="inlineStr">
        <is>
          <t>•  App / Domain inventory on Devices_Apps covers 100% of Programmatic spend but only the off-platform slice of Meta (Audience Network, 4.5%) and TikTok (Pangle, 8.5%).</t>
        </is>
      </c>
    </row>
    <row r="32">
      <c r="B32" s="68" t="inlineStr">
        <is>
          <t>•  Reach never sums across breakdowns — it is de-duplicated within each aggregate, so the same person reached on Facebook Feed and Instagram Reels counts once per breakdown, not once overall. Frequency columns are therefore labelled 'Avg Daily'.</t>
        </is>
      </c>
    </row>
    <row r="33">
      <c r="B33" s="68" t="inlineStr">
        <is>
          <t>•  View-through and assisted conversions are reported per channel and will double-count against last-click bookings if you add them together across channels.</t>
        </is>
      </c>
    </row>
  </sheetData>
  <mergeCells count="5">
    <mergeCell ref="B31:G31"/>
    <mergeCell ref="A2:H2"/>
    <mergeCell ref="B32:G32"/>
    <mergeCell ref="A1:H1"/>
    <mergeCell ref="B33:G33"/>
  </mergeCells>
  <conditionalFormatting sqref="G5:G28">
    <cfRule type="cellIs" priority="1" operator="equal" dxfId="1">
      <formula>"PASS"</formula>
    </cfRule>
    <cfRule type="cellIs" priority="2" operator="equal" dxfId="0">
      <formula>"CHECK"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2026-09-10T16:57:35Z</dcterms:created>
  <dcterms:modified xmlns:dcterms="http://purl.org/dc/terms/" xmlns:xsi="http://www.w3.org/2001/XMLSchema-instance" xsi:type="dcterms:W3CDTF">2026-09-11T17:53:56Z</dcterms:modified>
  <cp:lastModifiedBy>Ntsikelelo Mthembu</cp:lastModifiedBy>
</cp:coreProperties>
</file>